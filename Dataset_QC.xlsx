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órmula" sheetId="1" r:id="rId5"/>
    <sheet state="visible" name="properties" sheetId="2" r:id="rId6"/>
    <sheet state="visible" name="Features" sheetId="3" r:id="rId7"/>
  </sheets>
  <definedNames/>
  <calcPr/>
</workbook>
</file>

<file path=xl/sharedStrings.xml><?xml version="1.0" encoding="utf-8"?>
<sst xmlns="http://schemas.openxmlformats.org/spreadsheetml/2006/main" count="1181" uniqueCount="711">
  <si>
    <t>Fórmula</t>
  </si>
  <si>
    <t>Element 1 (line)</t>
  </si>
  <si>
    <t>index 1</t>
  </si>
  <si>
    <t>Element 2 (line)</t>
  </si>
  <si>
    <t>index 2</t>
  </si>
  <si>
    <t>Element 3 (line)</t>
  </si>
  <si>
    <t>index 3</t>
  </si>
  <si>
    <t>Element 4 (line)</t>
  </si>
  <si>
    <t>index 4</t>
  </si>
  <si>
    <t>Element 5(line)</t>
  </si>
  <si>
    <t>index 5</t>
  </si>
  <si>
    <t>Dopants</t>
  </si>
  <si>
    <t xml:space="preserve">Dopant 1(line) </t>
  </si>
  <si>
    <t>Concentration</t>
  </si>
  <si>
    <t>Density</t>
  </si>
  <si>
    <t>Crystal System</t>
  </si>
  <si>
    <t xml:space="preserve">Space Group </t>
  </si>
  <si>
    <t>A</t>
  </si>
  <si>
    <t>B</t>
  </si>
  <si>
    <t>C</t>
  </si>
  <si>
    <t>Volume</t>
  </si>
  <si>
    <t xml:space="preserve">ICSD CODE </t>
  </si>
  <si>
    <t>DOI</t>
  </si>
  <si>
    <t>SrYAl3O7</t>
  </si>
  <si>
    <t>Tb3+</t>
  </si>
  <si>
    <t>https://doi.org/10.1016/j.ijleo.2018.04.006</t>
  </si>
  <si>
    <t>La2Sr3B4O12</t>
  </si>
  <si>
    <t>https://doi.org/10.1016/j.physb.2015.10.004</t>
  </si>
  <si>
    <t>Y4Al2O9</t>
  </si>
  <si>
    <t>https://doi.org/10.1016/j.ijleo.2020.165926</t>
  </si>
  <si>
    <t>CaMoO4</t>
  </si>
  <si>
    <t>https://doi.org/10.1016/S1002-0721(16)60022-4</t>
  </si>
  <si>
    <t>Ba2SiO4</t>
  </si>
  <si>
    <t>https://doi.org/10.1016/j.ijleo.2019.164015</t>
  </si>
  <si>
    <t>Ba3Y4O9</t>
  </si>
  <si>
    <t>https://doi.org/10.1016/j.jssc.2020.121333</t>
  </si>
  <si>
    <t>ZrO2</t>
  </si>
  <si>
    <t>https://doi.org/10.1016/j.matpr.2017.12.354</t>
  </si>
  <si>
    <t>KCaPO4</t>
  </si>
  <si>
    <t>https://doi.org/10.1016/S1002-0721(14)60491-9</t>
  </si>
  <si>
    <t>Sr2ZnMoO6</t>
  </si>
  <si>
    <t>https://doi.org/10.1016/j.optcom.2014.01.080</t>
  </si>
  <si>
    <t>CdMoO4</t>
  </si>
  <si>
    <t>https://doi.org/10.1016/j.jpcs.2014.11.003</t>
  </si>
  <si>
    <t>Li2SrSiO4</t>
  </si>
  <si>
    <t>https://doi.org/10.1016/j.jlumin.2017.04.036</t>
  </si>
  <si>
    <t>Y3Al2Ga3O12</t>
  </si>
  <si>
    <t>https://doi.org/10.1016/j.jallcom.2017.09.169</t>
  </si>
  <si>
    <t>SrLaGaO4</t>
  </si>
  <si>
    <t>https://doi.org/10.1016/j.jlumin.2016.12.047</t>
  </si>
  <si>
    <t>SrGeP2O8</t>
  </si>
  <si>
    <t>https://doi.org/10.1016/S1002-0721(17)60892-5</t>
  </si>
  <si>
    <t>NaBaBO3</t>
  </si>
  <si>
    <t>https://doi.org/10.1016/S1002-0721(14)60508-1</t>
  </si>
  <si>
    <t>KMgLaP2O8</t>
  </si>
  <si>
    <t>https://doi.org/10.1016/j.ijleo.2016.07.031</t>
  </si>
  <si>
    <t>Ca3Si2O7</t>
  </si>
  <si>
    <t>https://doi.org/10.1016/j.jlumin.2013.06.015</t>
  </si>
  <si>
    <t>LaPO4</t>
  </si>
  <si>
    <t>https://doi.org/10.1016/j.ijleo.2019.163733</t>
  </si>
  <si>
    <t>CaLaAl3O7</t>
  </si>
  <si>
    <t>https://doi.org/10.1016/j.ijleo.2018.03.005</t>
  </si>
  <si>
    <t>Ga4GeO8</t>
  </si>
  <si>
    <t>https://doi.org/10.1016/j.jlumin.2021.118149</t>
  </si>
  <si>
    <t>Zn3BO3PO4</t>
  </si>
  <si>
    <t>https://doi.org/10.1016/j.dyepig.2019.01.048</t>
  </si>
  <si>
    <t>YBO3</t>
  </si>
  <si>
    <t>https://doi.org/10.1016/j.matchemphys.2009.10.002</t>
  </si>
  <si>
    <t>CsAlSi2O6</t>
  </si>
  <si>
    <t>https://doi.org/10.1016/j.materresbull.2021.111441</t>
  </si>
  <si>
    <t>SrZn2P2O8</t>
  </si>
  <si>
    <t>https://doi.org/10.1016/j.jssc.2014.09.003</t>
  </si>
  <si>
    <t>Na2MgSiO4</t>
  </si>
  <si>
    <t>https://doi.org/10.1016/j.jlumin.2017.05.003</t>
  </si>
  <si>
    <t>Ca3P2O8</t>
  </si>
  <si>
    <t>https://doi.org/10.1016/j.jmst.2020.11.065</t>
  </si>
  <si>
    <t>Li6GdB3O9</t>
  </si>
  <si>
    <t>https://doi.org/10.1016/j.phpro.2012.03.692</t>
  </si>
  <si>
    <t>La2W3O12</t>
  </si>
  <si>
    <t>https://doi.org/10.1016/j.jlumin.2021.118184</t>
  </si>
  <si>
    <t>ZnGa2O4</t>
  </si>
  <si>
    <t>https://doi.org/10.1016/j.jlumin.2018.09.033</t>
  </si>
  <si>
    <t>SrAl2Si2O8</t>
  </si>
  <si>
    <t>https://doi.org/10.1016/j.jallcom.2017.04.296</t>
  </si>
  <si>
    <t>Ba3MgSi2O8</t>
  </si>
  <si>
    <t>https://doi.org/10.1016/j.jlumin.2019.116925</t>
  </si>
  <si>
    <t>BiPO4</t>
  </si>
  <si>
    <t>https://doi.org/10.1016/j.spmi.2015.12.020</t>
  </si>
  <si>
    <t>CaWO4</t>
  </si>
  <si>
    <t>https://doi.org/10.1016/j.jlumin.2013.02.006</t>
  </si>
  <si>
    <t>BaAl2Si2O8</t>
  </si>
  <si>
    <t>https://doi.org/10.1016/j.ceramint.2016.08.161</t>
  </si>
  <si>
    <t>KSrLuP2O8</t>
  </si>
  <si>
    <t>https://doi.org/10.1016/j.saa.2019.04.037</t>
  </si>
  <si>
    <t>Y2O3</t>
  </si>
  <si>
    <t>https://doi.org/10.1016/j.jpcs.2017.11.025</t>
  </si>
  <si>
    <t>KSrPO4</t>
  </si>
  <si>
    <t>https://doi.org/10.1016/j.ceramint.2011.09.007</t>
  </si>
  <si>
    <t>Sr2ZnSi2O7</t>
  </si>
  <si>
    <t>https://doi.org/10.1016/j.ijleo.2017.12.207</t>
  </si>
  <si>
    <t>SrLaAlO4</t>
  </si>
  <si>
    <t>https://doi.org/10.1016/j.jlumin.2020.117064</t>
  </si>
  <si>
    <t>Ba3La2B4O12</t>
  </si>
  <si>
    <t>https://doi.org/10.1039/d1ra04384f</t>
  </si>
  <si>
    <t>https://doi.org/10.1016/j.saa.2015.06.081</t>
  </si>
  <si>
    <t>SrAl2O4</t>
  </si>
  <si>
    <t>https://doi.org/10.1016/j.inoche.2021.108665</t>
  </si>
  <si>
    <t>Al2O3</t>
  </si>
  <si>
    <t>https://doi.org/10.1016/j.optmat.2015.04.025</t>
  </si>
  <si>
    <t>Ca3La6Si6O24</t>
  </si>
  <si>
    <t>https://doi.org/10.1016/j.saa.2016.04.029</t>
  </si>
  <si>
    <t>SrB2Si2O8</t>
  </si>
  <si>
    <t>https://doi.org/10.1016/j.jlumin.2019.116541</t>
  </si>
  <si>
    <t>LiMgPO4</t>
  </si>
  <si>
    <t>https://doi.org/10.1016/j.jallcom.2014.11.178</t>
  </si>
  <si>
    <t>Ba3B6Si2O16</t>
  </si>
  <si>
    <t>https://doi.org/10.1016/j.jssc.2020.121403</t>
  </si>
  <si>
    <t>CaCO3</t>
  </si>
  <si>
    <t>https://doi.org/10.1016/j.jlumin.2018.06.041</t>
  </si>
  <si>
    <t>KBa2P5O15</t>
  </si>
  <si>
    <t>https://doi.org/10.1016/j.ijleo.2018.04.102</t>
  </si>
  <si>
    <t>Na3Sc2P3O12</t>
  </si>
  <si>
    <t>https://doi.org/10.1016/j.dyepig.2017.12.051</t>
  </si>
  <si>
    <t>NaGdW2O8</t>
  </si>
  <si>
    <t>https://doi.org/10.1016/j.saa.2018.04.041</t>
  </si>
  <si>
    <t>SrGd2Al2O7</t>
  </si>
  <si>
    <t>https://doi.org/10.1016/j.ceramint.2018.09.215</t>
  </si>
  <si>
    <t>BaLa2ZnO5</t>
  </si>
  <si>
    <t>https://doi.org/10.1016/j.materresbull.2017.11.005</t>
  </si>
  <si>
    <t>https://doi.org/10.1016/j.jallcom.2014.02.186</t>
  </si>
  <si>
    <t>Sr3B2O6</t>
  </si>
  <si>
    <t>https://doi.org/10.1016/j.elspec.2015.11.011</t>
  </si>
  <si>
    <t>https://doi.org/10.1016/j.optmat.2019.109191</t>
  </si>
  <si>
    <t>SrB2O4</t>
  </si>
  <si>
    <t>https://doi.org/10.1016/j.materresbull.2012.07.013</t>
  </si>
  <si>
    <t>Ca2Ga2SiO7</t>
  </si>
  <si>
    <t>https://doi.org/10.1016/j.materresbull.2019.110750</t>
  </si>
  <si>
    <t>ZnLaB5O10</t>
  </si>
  <si>
    <t>https://doi.org/10.1016/j.jlumin.2020.117821</t>
  </si>
  <si>
    <t>AlPO4</t>
  </si>
  <si>
    <t>https://doi.org/10.1016/j.matlet.2011.03.103</t>
  </si>
  <si>
    <t>https://doi.org/10.1016/j.jcrysgro.2015.09.031</t>
  </si>
  <si>
    <t>K3LaP2O8</t>
  </si>
  <si>
    <t>https://doi.org/10.1016/j.optlastec.2019.02.021</t>
  </si>
  <si>
    <t>Sr3YB3O9</t>
  </si>
  <si>
    <t>4.17</t>
  </si>
  <si>
    <t>https://doi.org/10.1016/j.jallcom.2019.07.061</t>
  </si>
  <si>
    <t>NaBaScSi2O7</t>
  </si>
  <si>
    <t>https://doi.org/10.1016/j.cej.2020.126119</t>
  </si>
  <si>
    <t>Gd2Zr2O7</t>
  </si>
  <si>
    <t>https://doi.org/10.1016/j.matlet.2011.02.004</t>
  </si>
  <si>
    <t>https://doi.org/10.1016/j.jlumin.2019.116604</t>
  </si>
  <si>
    <t>LiNa3P2O7</t>
  </si>
  <si>
    <t>https://doi.org/10.1016/j.jpcs.2015.07.011</t>
  </si>
  <si>
    <t>Bi2O3</t>
  </si>
  <si>
    <t>https://doi.org/10.1016/j.ijleo.2019.162956</t>
  </si>
  <si>
    <t>LiBaBO3</t>
  </si>
  <si>
    <t>https://doi.org/10.1016/j.jallcom.2008.12.028</t>
  </si>
  <si>
    <t>SrSO4</t>
  </si>
  <si>
    <t>https://doi.org/10.1016/j.materresbull.2013.06.007</t>
  </si>
  <si>
    <t>LiAl7B4O17</t>
  </si>
  <si>
    <t>https://doi.org/10.1016/j.materresbull.2015.07.032</t>
  </si>
  <si>
    <t>https://doi.org/10.1016/j.jlumin.2021.118146</t>
  </si>
  <si>
    <t>NaCaGaSi2O7</t>
  </si>
  <si>
    <t>https://doi.org/10.1016/j.apradiso.2019.05.029</t>
  </si>
  <si>
    <t>BaWO4</t>
  </si>
  <si>
    <t>https://doi.org/10.1016/j.jlumin.2009.11.028</t>
  </si>
  <si>
    <t>SrLaGa3O7</t>
  </si>
  <si>
    <t>https://doi.org/10.1016/j.optmat.2020.110010</t>
  </si>
  <si>
    <t>NaAlO2</t>
  </si>
  <si>
    <r>
      <rPr>
        <rFont val="Calibri"/>
        <color rgb="FF0563C1"/>
        <sz val="11.0"/>
        <u/>
      </rPr>
      <t>https://doi.org/10.1016/j.jlumin.2014.03.053</t>
    </r>
  </si>
  <si>
    <t>SrMoO4</t>
  </si>
  <si>
    <r>
      <rPr>
        <rFont val="Calibri"/>
        <color rgb="FF0563C1"/>
        <sz val="11.0"/>
        <u/>
      </rPr>
      <t>https://doi.org/10.1016/j.matlet.2009.02.029</t>
    </r>
  </si>
  <si>
    <t>Gd3Al5O12</t>
  </si>
  <si>
    <t>https://doi.org/10.1016/j.jlumin.2016.06.029</t>
  </si>
  <si>
    <t>Gd2SiO5</t>
  </si>
  <si>
    <t>https://doi.org/10.1016/j.molstruc.2020.128397</t>
  </si>
  <si>
    <t>SrWO4</t>
  </si>
  <si>
    <t>https://doi.org/10.1016/j.materresbull.2009.05.013</t>
  </si>
  <si>
    <t>NaCaPO4</t>
  </si>
  <si>
    <r>
      <rPr>
        <rFont val="Calibri"/>
        <color rgb="FF0563C1"/>
        <sz val="11.0"/>
        <u/>
      </rPr>
      <t>https://doi.org/10.1016/j.jallcom.2013.01.203</t>
    </r>
  </si>
  <si>
    <t>https://doi.org/10.1016/j.matpr.2020.07.345</t>
  </si>
  <si>
    <t>GdPO4</t>
  </si>
  <si>
    <t>https://doi.org/10.1016/j.cplett.2016.03.022</t>
  </si>
  <si>
    <t>KBaYB2O6</t>
  </si>
  <si>
    <t>https://doi.org/10.1016/j.jallcom.2012.11.011</t>
  </si>
  <si>
    <t>Ca2Al2SiO7</t>
  </si>
  <si>
    <t>https://doi.org/10.1016/j.ceramint.2024.11.456</t>
  </si>
  <si>
    <t>KSrBP2O8</t>
  </si>
  <si>
    <t>https://doi.org/10.1016/j.ijleo.2023.171231</t>
  </si>
  <si>
    <t>Ca3Y2Ge3O12</t>
  </si>
  <si>
    <t>https://doi.org/10.1016/j.ceramint.2024.02.047</t>
  </si>
  <si>
    <t>NaKLaNO5</t>
  </si>
  <si>
    <t>https://doi.org/10.1016/j.optlastec.2024.111450</t>
  </si>
  <si>
    <t>Gd2O3</t>
  </si>
  <si>
    <t>https://doi.org/10.1016/j.optmat.2024.115486</t>
  </si>
  <si>
    <t>Gd2ZnTiO6</t>
  </si>
  <si>
    <t>https://doi.org/10.1016/j.jssc.2025.125178</t>
  </si>
  <si>
    <t>LaBO3</t>
  </si>
  <si>
    <t>https://doi.org/10.1016/j.ceramint.2023.12.268</t>
  </si>
  <si>
    <t>La2Ti2O7</t>
  </si>
  <si>
    <t>https://doi.org/10.1016/j.matlet.2023.134984</t>
  </si>
  <si>
    <t>Zn2V2O7</t>
  </si>
  <si>
    <t>https://doi.org/10.1016/j.ceramint.2024.07.312</t>
  </si>
  <si>
    <t>Ca3Sc2Ge3O12</t>
  </si>
  <si>
    <t>https://doi.org/10.1016/j.jre.2024.06.025</t>
  </si>
  <si>
    <t>Y2Mo4O15</t>
  </si>
  <si>
    <t>https://doi.org/10.1016/j.jallcom.2024.176613</t>
  </si>
  <si>
    <t>CaGeO3</t>
  </si>
  <si>
    <t>https://doi.org/10.1016/j.jre.2023.08.012</t>
  </si>
  <si>
    <t>BaZrO3</t>
  </si>
  <si>
    <t>https://doi.org/10.1016/j.jiec.2025.02.026</t>
  </si>
  <si>
    <t>LaSr2AlO5</t>
  </si>
  <si>
    <t>https://doi.org/10.1016/j.mssp.2024.108162</t>
  </si>
  <si>
    <t>CaScBO4</t>
  </si>
  <si>
    <t>https://doi.org/10.1016/j.ceramint.2023.03.072</t>
  </si>
  <si>
    <t>MgAl2O4</t>
  </si>
  <si>
    <t>https://doi.org/10.1016/j.jeurceramsoc.2023.11.038</t>
  </si>
  <si>
    <t>Y2Si2O7</t>
  </si>
  <si>
    <t>https://doi.org/10.1039/d4ra02571g</t>
  </si>
  <si>
    <t>NaLaP2O7</t>
  </si>
  <si>
    <t>https://doi.org/10.1016/j.jlumin.2023.120398</t>
  </si>
  <si>
    <t>BaGd2ZnO5</t>
  </si>
  <si>
    <t>https://doi.org/10.1016/j.physb.2023.415299</t>
  </si>
  <si>
    <t>LaAlO3</t>
  </si>
  <si>
    <t>https://doi.org/10.1016/j.ijleo.2022.169709</t>
  </si>
  <si>
    <t>Sr2MgSi2O7</t>
  </si>
  <si>
    <t>https://doi.org/10.1016/j.matchemphys.2024.129162</t>
  </si>
  <si>
    <t>https://doi.org/10.1016/j.mseb.2022.116189</t>
  </si>
  <si>
    <t>GdAlO3</t>
  </si>
  <si>
    <t>https://doi.org/10.1016/j.inoche.2022.110064</t>
  </si>
  <si>
    <t>La10Si6O27</t>
  </si>
  <si>
    <t>https://doi.org/10.1016/j.apsadv.2023.100392</t>
  </si>
  <si>
    <t>RbBaBP2O8</t>
  </si>
  <si>
    <t>https://doi.org/10.1016/j.jlumin.2023.119733</t>
  </si>
  <si>
    <t>MgGa2O4</t>
  </si>
  <si>
    <t>https://doi.org/10.1016/j.ceramint.2023.10.205</t>
  </si>
  <si>
    <t>La2ZnTiO6</t>
  </si>
  <si>
    <t>https://doi.org/10.1016/j.jlumin.2022.119047</t>
  </si>
  <si>
    <t>https://doi.org/10.1016/j.mtsust.2023.100493</t>
  </si>
  <si>
    <t>NaYW2O8</t>
  </si>
  <si>
    <t>https://doi.org/10.1016/j.ceramint.2023.11.233</t>
  </si>
  <si>
    <t>https://doi.org/10.1016/j.ceramint.2023.07.113</t>
  </si>
  <si>
    <t>NaBaB9O15</t>
  </si>
  <si>
    <t>https://doi.org/10.1016/j.jallcom.2021.163131</t>
  </si>
  <si>
    <t>LiCaY5B6O18</t>
  </si>
  <si>
    <t>https://doi.org/10.1016/j.jlumin.2021.118598</t>
  </si>
  <si>
    <t>https://doi.org/10.1016/j.materresbull.2021.111535</t>
  </si>
  <si>
    <t>GdSr2AlO5</t>
  </si>
  <si>
    <t>https://doi.org/10.1016/j.materresbull.2023.112413</t>
  </si>
  <si>
    <t>LaVO4</t>
  </si>
  <si>
    <t>https://doi.org/10.1016/j.jallcom.2022.168395</t>
  </si>
  <si>
    <t>Sr3Ga4O9</t>
  </si>
  <si>
    <t>https://doi.org/10.1016/j.jlumin.2022.119066</t>
  </si>
  <si>
    <t>Gd2Ti2O7</t>
  </si>
  <si>
    <t>https://doi.org/10.1016/j.ceramint.2022.04.231</t>
  </si>
  <si>
    <t>Symbol</t>
  </si>
  <si>
    <t>Electron 
configuration</t>
  </si>
  <si>
    <t>Atomic 
weight</t>
  </si>
  <si>
    <t>Atomic 
number</t>
  </si>
  <si>
    <t>Period</t>
  </si>
  <si>
    <t>Group</t>
  </si>
  <si>
    <t>quantum 
number l</t>
  </si>
  <si>
    <t>Metal(1)/
metalloid(2)/
nonmetal(3)</t>
  </si>
  <si>
    <t>Mendeleev number</t>
  </si>
  <si>
    <t>Families</t>
  </si>
  <si>
    <t>valence s</t>
  </si>
  <si>
    <t>valence p</t>
  </si>
  <si>
    <t>valence d</t>
  </si>
  <si>
    <t>valence f</t>
  </si>
  <si>
    <t>unfilled s</t>
  </si>
  <si>
    <t>unfilled p</t>
  </si>
  <si>
    <t>unfilled d</t>
  </si>
  <si>
    <t>unfilled
f</t>
  </si>
  <si>
    <t>no. of 
valence 
electrons</t>
  </si>
  <si>
    <t>outer
shell
electrons</t>
  </si>
  <si>
    <t>Gilman no.
of valence
electrons</t>
  </si>
  <si>
    <t>Pauling valence, 
v</t>
  </si>
  <si>
    <t>Metallic 
valence</t>
  </si>
  <si>
    <t>Zeff</t>
  </si>
  <si>
    <t>1st Bohr
radius (a0)</t>
  </si>
  <si>
    <t>Ionization
energy (eV)</t>
  </si>
  <si>
    <t>Electron 
affinity (ev)</t>
  </si>
  <si>
    <t>Pearson
absolute (eV)</t>
  </si>
  <si>
    <t>Ghosh
Gupta (eV)</t>
  </si>
  <si>
    <t>Pauling 
EN</t>
  </si>
  <si>
    <t>Martynov 
Batsanov EN</t>
  </si>
  <si>
    <t>Mulliken
EN</t>
  </si>
  <si>
    <t>Allred
EN</t>
  </si>
  <si>
    <t>Allred
Rockow EN</t>
  </si>
  <si>
    <t>Nagle
EN</t>
  </si>
  <si>
    <t>Putz
Russo
Sicillia
EN</t>
  </si>
  <si>
    <t>Gordy
EN</t>
  </si>
  <si>
    <t>Ghosh
EN</t>
  </si>
  <si>
    <t>Atomic
radius calculated</t>
  </si>
  <si>
    <t>Covalent
radius</t>
  </si>
  <si>
    <t>Ionic
radius</t>
  </si>
  <si>
    <t>Effective 
ionic radius</t>
  </si>
  <si>
    <t>Miracle
radius</t>
  </si>
  <si>
    <t>van der Waals
radius</t>
  </si>
  <si>
    <t>Zunger
radii sum</t>
  </si>
  <si>
    <t>Crystal
radius</t>
  </si>
  <si>
    <t>Covalent CSD
radius</t>
  </si>
  <si>
    <t>Slater
radius</t>
  </si>
  <si>
    <t>Orbital 
radius</t>
  </si>
  <si>
    <t>Pauling, 
R(CN12)</t>
  </si>
  <si>
    <t>Pauling, 
R(1)</t>
  </si>
  <si>
    <t>polarizability,
 A^3</t>
  </si>
  <si>
    <t>Melting point,
K</t>
  </si>
  <si>
    <t>Boiling point,
K</t>
  </si>
  <si>
    <t>Density, 
g/mL</t>
  </si>
  <si>
    <t>Specific heat,
J/g K</t>
  </si>
  <si>
    <t>Heat of fusion, 
kJ/mol</t>
  </si>
  <si>
    <t>Heat of vaporization, 
kJ/mol</t>
  </si>
  <si>
    <t>Heat of atomization, 
kJ/mol</t>
  </si>
  <si>
    <t>Thermal conductivity,
W/m K</t>
  </si>
  <si>
    <t>Thermal expansion, 
K^-1</t>
  </si>
  <si>
    <t>Cohesive 
energy</t>
  </si>
  <si>
    <t>Bulk modulus,
GPa</t>
  </si>
  <si>
    <t>Sheer modulus,
GPa</t>
  </si>
  <si>
    <t>Young modulus,
GPa</t>
  </si>
  <si>
    <t>Hardness Vickers,
GPa</t>
  </si>
  <si>
    <t>Hardness Brinell,
GPa</t>
  </si>
  <si>
    <t>Resistivity (mΩ)</t>
  </si>
  <si>
    <t>Electrical Conductivity 
(S/m)</t>
  </si>
  <si>
    <t xml:space="preserve">Neutron 
Cross 
Section </t>
  </si>
  <si>
    <t>Neutron 
Mass 
Absorption</t>
  </si>
  <si>
    <t>no. of Known 
Isotopes</t>
  </si>
  <si>
    <t>no. of Stable 
Isotopes</t>
  </si>
  <si>
    <t xml:space="preserve">fraction of stable 
isotopes </t>
  </si>
  <si>
    <t xml:space="preserve">fraction abundance of stable 
isotopes </t>
  </si>
  <si>
    <t>Abundance in Earth's 
crust</t>
  </si>
  <si>
    <t>Abundance 
in solar system 
(log)</t>
  </si>
  <si>
    <t>HHI production</t>
  </si>
  <si>
    <t>HHI reserve</t>
  </si>
  <si>
    <t>cost, 
pure
($/100g)</t>
  </si>
  <si>
    <t>H</t>
  </si>
  <si>
    <r>
      <rPr>
        <rFont val="Calibri"/>
        <color rgb="FF000000"/>
        <sz val="12.0"/>
      </rPr>
      <t>1s</t>
    </r>
    <r>
      <rPr>
        <rFont val="Calibri"/>
        <color rgb="FF000000"/>
        <sz val="12.0"/>
        <vertAlign val="superscript"/>
      </rPr>
      <t>1</t>
    </r>
  </si>
  <si>
    <t>N/A</t>
  </si>
  <si>
    <t>He</t>
  </si>
  <si>
    <r>
      <rPr>
        <rFont val="Calibri"/>
        <color rgb="FF000000"/>
        <sz val="12.0"/>
      </rPr>
      <t>1s</t>
    </r>
    <r>
      <rPr>
        <rFont val="Calibri"/>
        <color rgb="FF000000"/>
        <sz val="12.0"/>
        <vertAlign val="superscript"/>
      </rPr>
      <t>2</t>
    </r>
  </si>
  <si>
    <t>Li</t>
  </si>
  <si>
    <r>
      <rPr>
        <rFont val="Calibri"/>
        <color rgb="FF000000"/>
        <sz val="12.0"/>
      </rPr>
      <t>[He]2s</t>
    </r>
    <r>
      <rPr>
        <rFont val="Calibri"/>
        <color rgb="FF000000"/>
        <sz val="12.0"/>
        <vertAlign val="superscript"/>
      </rPr>
      <t>1</t>
    </r>
  </si>
  <si>
    <t>Be</t>
  </si>
  <si>
    <r>
      <rPr>
        <rFont val="Calibri"/>
        <color rgb="FF000000"/>
        <sz val="12.0"/>
      </rPr>
      <t>[He]2s</t>
    </r>
    <r>
      <rPr>
        <rFont val="Calibri"/>
        <color rgb="FF000000"/>
        <sz val="12.0"/>
        <vertAlign val="superscript"/>
      </rPr>
      <t>2</t>
    </r>
  </si>
  <si>
    <r>
      <rPr>
        <rFont val="Calibri"/>
        <color rgb="FF000000"/>
        <sz val="12.0"/>
      </rPr>
      <t>[He]2s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2p</t>
    </r>
    <r>
      <rPr>
        <rFont val="Calibri"/>
        <color rgb="FF000000"/>
        <sz val="12.0"/>
        <vertAlign val="superscript"/>
      </rPr>
      <t>1</t>
    </r>
  </si>
  <si>
    <r>
      <rPr>
        <rFont val="Calibri"/>
        <color rgb="FF000000"/>
        <sz val="12.0"/>
      </rPr>
      <t>[He]2s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2p</t>
    </r>
    <r>
      <rPr>
        <rFont val="Calibri"/>
        <color rgb="FF000000"/>
        <sz val="12.0"/>
        <vertAlign val="superscript"/>
      </rPr>
      <t>2</t>
    </r>
  </si>
  <si>
    <t>N</t>
  </si>
  <si>
    <r>
      <rPr>
        <rFont val="Calibri"/>
        <color rgb="FF000000"/>
        <sz val="12.0"/>
      </rPr>
      <t>[He]2s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2p</t>
    </r>
    <r>
      <rPr>
        <rFont val="Calibri"/>
        <color rgb="FF000000"/>
        <sz val="12.0"/>
        <vertAlign val="superscript"/>
      </rPr>
      <t>3</t>
    </r>
  </si>
  <si>
    <t>O</t>
  </si>
  <si>
    <r>
      <rPr>
        <rFont val="Calibri"/>
        <color rgb="FF000000"/>
        <sz val="12.0"/>
      </rPr>
      <t>[He]2s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2p</t>
    </r>
    <r>
      <rPr>
        <rFont val="Calibri"/>
        <color rgb="FF000000"/>
        <sz val="12.0"/>
        <vertAlign val="superscript"/>
      </rPr>
      <t>4</t>
    </r>
  </si>
  <si>
    <t>F</t>
  </si>
  <si>
    <r>
      <rPr>
        <rFont val="Calibri"/>
        <color rgb="FF000000"/>
        <sz val="12.0"/>
      </rPr>
      <t>[He]2s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2p</t>
    </r>
    <r>
      <rPr>
        <rFont val="Calibri"/>
        <color rgb="FF000000"/>
        <sz val="12.0"/>
        <vertAlign val="superscript"/>
      </rPr>
      <t>5</t>
    </r>
  </si>
  <si>
    <t>Ne</t>
  </si>
  <si>
    <r>
      <rPr>
        <rFont val="Calibri"/>
        <color rgb="FF000000"/>
        <sz val="12.0"/>
      </rPr>
      <t>[He]2s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2p</t>
    </r>
    <r>
      <rPr>
        <rFont val="Calibri"/>
        <color rgb="FF000000"/>
        <sz val="12.0"/>
        <vertAlign val="superscript"/>
      </rPr>
      <t>6</t>
    </r>
  </si>
  <si>
    <t>Na</t>
  </si>
  <si>
    <r>
      <rPr>
        <rFont val="Calibri"/>
        <color rgb="FF000000"/>
        <sz val="12.0"/>
      </rPr>
      <t>[Ne]3s</t>
    </r>
    <r>
      <rPr>
        <rFont val="Calibri"/>
        <color rgb="FF000000"/>
        <sz val="12.0"/>
        <vertAlign val="superscript"/>
      </rPr>
      <t>1</t>
    </r>
  </si>
  <si>
    <t>Mg</t>
  </si>
  <si>
    <r>
      <rPr>
        <rFont val="Calibri"/>
        <color rgb="FF000000"/>
        <sz val="12.0"/>
      </rPr>
      <t>[Ne]3s</t>
    </r>
    <r>
      <rPr>
        <rFont val="Calibri"/>
        <color rgb="FF000000"/>
        <sz val="12.0"/>
        <vertAlign val="superscript"/>
      </rPr>
      <t>2</t>
    </r>
  </si>
  <si>
    <t>Al</t>
  </si>
  <si>
    <r>
      <rPr>
        <rFont val="Calibri"/>
        <color rgb="FF000000"/>
        <sz val="12.0"/>
      </rPr>
      <t>[Ne]3s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3p</t>
    </r>
    <r>
      <rPr>
        <rFont val="Calibri"/>
        <color rgb="FF000000"/>
        <sz val="12.0"/>
        <vertAlign val="superscript"/>
      </rPr>
      <t>1</t>
    </r>
  </si>
  <si>
    <t>Si</t>
  </si>
  <si>
    <r>
      <rPr>
        <rFont val="Calibri"/>
        <color rgb="FF000000"/>
        <sz val="12.0"/>
      </rPr>
      <t>[Ne]3s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3p</t>
    </r>
    <r>
      <rPr>
        <rFont val="Calibri"/>
        <color rgb="FF000000"/>
        <sz val="12.0"/>
        <vertAlign val="superscript"/>
      </rPr>
      <t>2</t>
    </r>
  </si>
  <si>
    <t>P</t>
  </si>
  <si>
    <r>
      <rPr>
        <rFont val="Calibri"/>
        <color rgb="FF000000"/>
        <sz val="12.0"/>
      </rPr>
      <t>[Ne]3s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3p</t>
    </r>
    <r>
      <rPr>
        <rFont val="Calibri"/>
        <color rgb="FF000000"/>
        <sz val="12.0"/>
        <vertAlign val="superscript"/>
      </rPr>
      <t>3</t>
    </r>
  </si>
  <si>
    <t>S</t>
  </si>
  <si>
    <r>
      <rPr>
        <rFont val="Calibri"/>
        <color rgb="FF000000"/>
        <sz val="12.0"/>
      </rPr>
      <t>[Ne]3s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3p</t>
    </r>
    <r>
      <rPr>
        <rFont val="Calibri"/>
        <color rgb="FF000000"/>
        <sz val="12.0"/>
        <vertAlign val="superscript"/>
      </rPr>
      <t>4</t>
    </r>
  </si>
  <si>
    <t>Cl</t>
  </si>
  <si>
    <r>
      <rPr>
        <rFont val="Calibri"/>
        <color rgb="FF000000"/>
        <sz val="12.0"/>
      </rPr>
      <t>[Ne]3s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3p</t>
    </r>
    <r>
      <rPr>
        <rFont val="Calibri"/>
        <color rgb="FF000000"/>
        <sz val="12.0"/>
        <vertAlign val="superscript"/>
      </rPr>
      <t>5</t>
    </r>
  </si>
  <si>
    <t>Ar</t>
  </si>
  <si>
    <r>
      <rPr>
        <rFont val="Calibri"/>
        <color rgb="FF000000"/>
        <sz val="12.0"/>
      </rPr>
      <t>[Ne]3s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3p</t>
    </r>
    <r>
      <rPr>
        <rFont val="Calibri"/>
        <color rgb="FF000000"/>
        <sz val="12.0"/>
        <vertAlign val="superscript"/>
      </rPr>
      <t>6</t>
    </r>
  </si>
  <si>
    <t>K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</si>
  <si>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1</t>
    </r>
  </si>
  <si>
    <t>Ca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</si>
  <si>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</si>
  <si>
    <t>Sc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</si>
  <si>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1</t>
    </r>
  </si>
  <si>
    <t>Ti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</si>
  <si>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2</t>
    </r>
  </si>
  <si>
    <t>V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</si>
  <si>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3</t>
    </r>
  </si>
  <si>
    <t>Cr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</si>
  <si>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1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5</t>
    </r>
  </si>
  <si>
    <t>Mn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</si>
  <si>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5</t>
    </r>
  </si>
  <si>
    <t>Fe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</si>
  <si>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6</t>
    </r>
  </si>
  <si>
    <t>Co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</si>
  <si>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7</t>
    </r>
  </si>
  <si>
    <t>Ni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</si>
  <si>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8</t>
    </r>
  </si>
  <si>
    <t>Cu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</si>
  <si>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1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10</t>
    </r>
  </si>
  <si>
    <t>Zn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</si>
  <si>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10</t>
    </r>
  </si>
  <si>
    <t>Ga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</si>
  <si>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4p</t>
    </r>
    <r>
      <rPr>
        <rFont val="Calibri"/>
        <color rgb="FF000000"/>
        <sz val="12.0"/>
        <vertAlign val="superscript"/>
      </rPr>
      <t>1</t>
    </r>
  </si>
  <si>
    <t>Ge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</si>
  <si>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4p</t>
    </r>
    <r>
      <rPr>
        <rFont val="Calibri"/>
        <color rgb="FF000000"/>
        <sz val="12.0"/>
        <vertAlign val="superscript"/>
      </rPr>
      <t>2</t>
    </r>
  </si>
  <si>
    <t>As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</si>
  <si>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4p</t>
    </r>
    <r>
      <rPr>
        <rFont val="Calibri"/>
        <color rgb="FF000000"/>
        <sz val="12.0"/>
        <vertAlign val="superscript"/>
      </rPr>
      <t>3</t>
    </r>
  </si>
  <si>
    <t>Se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</si>
  <si>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4p</t>
    </r>
    <r>
      <rPr>
        <rFont val="Calibri"/>
        <color rgb="FF000000"/>
        <sz val="12.0"/>
        <vertAlign val="superscript"/>
      </rPr>
      <t>4</t>
    </r>
  </si>
  <si>
    <t>Br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</si>
  <si>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4p</t>
    </r>
    <r>
      <rPr>
        <rFont val="Calibri"/>
        <color rgb="FF000000"/>
        <sz val="12.0"/>
        <vertAlign val="superscript"/>
      </rPr>
      <t>5</t>
    </r>
  </si>
  <si>
    <t>Kr</t>
  </si>
  <si>
    <r>
      <rPr>
        <rFont val="Calibri"/>
        <color rgb="FF000000"/>
        <sz val="12.0"/>
      </rPr>
      <t>[Ar]4s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3d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4p</t>
    </r>
    <r>
      <rPr>
        <rFont val="Calibri"/>
        <color rgb="FF000000"/>
        <sz val="12.0"/>
        <vertAlign val="superscript"/>
      </rPr>
      <t>6</t>
    </r>
  </si>
  <si>
    <t>Rb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</si>
  <si>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1</t>
    </r>
  </si>
  <si>
    <t>Sr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</si>
  <si>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2</t>
    </r>
  </si>
  <si>
    <t>Y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</si>
  <si>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1</t>
    </r>
  </si>
  <si>
    <t>Zr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</si>
  <si>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2</t>
    </r>
  </si>
  <si>
    <t>Nb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</si>
  <si>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1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4</t>
    </r>
  </si>
  <si>
    <t>Mo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</si>
  <si>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1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5</t>
    </r>
  </si>
  <si>
    <t>Tc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</si>
  <si>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5</t>
    </r>
  </si>
  <si>
    <t>Ru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</si>
  <si>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1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7</t>
    </r>
  </si>
  <si>
    <t>Rh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</si>
  <si>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1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8</t>
    </r>
  </si>
  <si>
    <t>Pd</t>
  </si>
  <si>
    <r>
      <rPr>
        <rFont val="Calibri"/>
        <color rgb="FF000000"/>
        <sz val="12.0"/>
      </rPr>
      <t>[Kr]4d</t>
    </r>
    <r>
      <rPr>
        <rFont val="Calibri"/>
        <color rgb="FF000000"/>
        <sz val="12.0"/>
        <vertAlign val="superscript"/>
      </rPr>
      <t>10</t>
    </r>
  </si>
  <si>
    <t>Ag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</si>
  <si>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1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10</t>
    </r>
  </si>
  <si>
    <t>Cd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</si>
  <si>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10</t>
    </r>
  </si>
  <si>
    <t>In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</si>
  <si>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5p</t>
    </r>
    <r>
      <rPr>
        <rFont val="Calibri"/>
        <color rgb="FF000000"/>
        <sz val="12.0"/>
        <vertAlign val="superscript"/>
      </rPr>
      <t>1</t>
    </r>
  </si>
  <si>
    <t>Sn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</si>
  <si>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5p</t>
    </r>
    <r>
      <rPr>
        <rFont val="Calibri"/>
        <color rgb="FF000000"/>
        <sz val="12.0"/>
        <vertAlign val="superscript"/>
      </rPr>
      <t>2</t>
    </r>
  </si>
  <si>
    <t>Sb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</si>
  <si>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5p</t>
    </r>
    <r>
      <rPr>
        <rFont val="Calibri"/>
        <color rgb="FF000000"/>
        <sz val="12.0"/>
        <vertAlign val="superscript"/>
      </rPr>
      <t>3</t>
    </r>
  </si>
  <si>
    <t>Te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</si>
  <si>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5p</t>
    </r>
    <r>
      <rPr>
        <rFont val="Calibri"/>
        <color rgb="FF000000"/>
        <sz val="12.0"/>
        <vertAlign val="superscript"/>
      </rPr>
      <t>4</t>
    </r>
  </si>
  <si>
    <t>I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</si>
  <si>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5p</t>
    </r>
    <r>
      <rPr>
        <rFont val="Calibri"/>
        <color rgb="FF000000"/>
        <sz val="12.0"/>
        <vertAlign val="superscript"/>
      </rPr>
      <t>5</t>
    </r>
  </si>
  <si>
    <t>Xe</t>
  </si>
  <si>
    <r>
      <rPr>
        <rFont val="Calibri"/>
        <color rgb="FF000000"/>
        <sz val="12.0"/>
      </rPr>
      <t>[Kr]5s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4d</t>
    </r>
    <r>
      <rPr>
        <rFont val="Calibri"/>
        <color rgb="FF000000"/>
        <sz val="12.0"/>
        <vertAlign val="superscript"/>
      </rPr>
      <t>10</t>
    </r>
    <r>
      <rPr>
        <rFont val="Calibri"/>
        <color rgb="FF000000"/>
        <sz val="12.0"/>
      </rPr>
      <t>5p</t>
    </r>
    <r>
      <rPr>
        <rFont val="Calibri"/>
        <color rgb="FF000000"/>
        <sz val="12.0"/>
        <vertAlign val="superscript"/>
      </rPr>
      <t>6</t>
    </r>
  </si>
  <si>
    <t>Cs</t>
  </si>
  <si>
    <r>
      <rPr>
        <rFont val="Calibri"/>
        <color rgb="FF000000"/>
        <sz val="12.0"/>
      </rPr>
      <t>[Xe]6s</t>
    </r>
    <r>
      <rPr>
        <rFont val="Calibri"/>
        <color rgb="FF000000"/>
        <sz val="12.0"/>
        <vertAlign val="superscript"/>
      </rPr>
      <t>1</t>
    </r>
  </si>
  <si>
    <t>Ba</t>
  </si>
  <si>
    <r>
      <rPr>
        <rFont val="Calibri"/>
        <color rgb="FF000000"/>
        <sz val="12.0"/>
      </rPr>
      <t>[Xe]6s</t>
    </r>
    <r>
      <rPr>
        <rFont val="Calibri"/>
        <color rgb="FF000000"/>
        <sz val="12.0"/>
        <vertAlign val="superscript"/>
      </rPr>
      <t>2</t>
    </r>
  </si>
  <si>
    <t>La</t>
  </si>
  <si>
    <r>
      <rPr>
        <rFont val="Calibri"/>
        <color rgb="FF000000"/>
        <sz val="12.0"/>
      </rPr>
      <t>[Xe]6s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5d</t>
    </r>
    <r>
      <rPr>
        <rFont val="Calibri"/>
        <color rgb="FF000000"/>
        <sz val="12.0"/>
        <vertAlign val="superscript"/>
      </rPr>
      <t>1</t>
    </r>
  </si>
  <si>
    <t>Ce</t>
  </si>
  <si>
    <r>
      <rPr>
        <rFont val="Calibri"/>
        <color rgb="FF000000"/>
        <sz val="12.0"/>
      </rPr>
      <t>[Xe]6s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4f</t>
    </r>
    <r>
      <rPr>
        <rFont val="Calibri"/>
        <color rgb="FF000000"/>
        <sz val="12.0"/>
        <vertAlign val="superscript"/>
      </rPr>
      <t>1</t>
    </r>
    <r>
      <rPr>
        <rFont val="Calibri"/>
        <color rgb="FF000000"/>
        <sz val="12.0"/>
      </rPr>
      <t>5d</t>
    </r>
    <r>
      <rPr>
        <rFont val="Calibri"/>
        <color rgb="FF000000"/>
        <sz val="12.0"/>
        <vertAlign val="superscript"/>
      </rPr>
      <t>1</t>
    </r>
  </si>
  <si>
    <t>Pr</t>
  </si>
  <si>
    <r>
      <rPr>
        <rFont val="Calibri"/>
        <color rgb="FF000000"/>
        <sz val="12.0"/>
      </rPr>
      <t>[Xe]6s</t>
    </r>
    <r>
      <rPr>
        <rFont val="Calibri"/>
        <color rgb="FF000000"/>
        <sz val="12.0"/>
        <vertAlign val="superscript"/>
      </rPr>
      <t>2</t>
    </r>
    <r>
      <rPr>
        <rFont val="Calibri"/>
        <color rgb="FF000000"/>
        <sz val="12.0"/>
      </rPr>
      <t>4f</t>
    </r>
    <r>
      <rPr>
        <rFont val="Calibri"/>
        <color rgb="FF000000"/>
        <sz val="12.0"/>
        <vertAlign val="superscript"/>
      </rPr>
      <t>3</t>
    </r>
  </si>
  <si>
    <t>Nd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</si>
  <si>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4</t>
    </r>
  </si>
  <si>
    <t>Pm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</si>
  <si>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5</t>
    </r>
  </si>
  <si>
    <t>Sm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</si>
  <si>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6</t>
    </r>
  </si>
  <si>
    <t>Eu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</si>
  <si>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7</t>
    </r>
  </si>
  <si>
    <t>Gd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</si>
  <si>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7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1</t>
    </r>
  </si>
  <si>
    <t>Tb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</si>
  <si>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9</t>
    </r>
  </si>
  <si>
    <t>Dy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</si>
  <si>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10</t>
    </r>
  </si>
  <si>
    <t>Ho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</si>
  <si>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11</t>
    </r>
  </si>
  <si>
    <t>Er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</si>
  <si>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12</t>
    </r>
  </si>
  <si>
    <t>Tm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</si>
  <si>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13</t>
    </r>
  </si>
  <si>
    <t>Yb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</si>
  <si>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</si>
  <si>
    <t>Lu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</si>
  <si>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1</t>
    </r>
  </si>
  <si>
    <t>Hf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</si>
  <si>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2</t>
    </r>
  </si>
  <si>
    <t>Ta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</si>
  <si>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3</t>
    </r>
  </si>
  <si>
    <t>W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</si>
  <si>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4</t>
    </r>
  </si>
  <si>
    <t>Re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</si>
  <si>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5</t>
    </r>
  </si>
  <si>
    <t>Os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</si>
  <si>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6</t>
    </r>
  </si>
  <si>
    <t>Ir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</si>
  <si>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7</t>
    </r>
  </si>
  <si>
    <t>Pt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</si>
  <si>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1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9</t>
    </r>
  </si>
  <si>
    <t>Au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</si>
  <si>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1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10</t>
    </r>
  </si>
  <si>
    <t>Hg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</si>
  <si>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10</t>
    </r>
  </si>
  <si>
    <t>Tl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</si>
  <si>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10</t>
    </r>
    <r>
      <rPr>
        <rFont val="Calibri"/>
        <color rgb="FF000000"/>
        <sz val="11.0"/>
      </rPr>
      <t>6p</t>
    </r>
    <r>
      <rPr>
        <rFont val="Calibri"/>
        <color rgb="FF000000"/>
        <sz val="11.0"/>
        <vertAlign val="superscript"/>
      </rPr>
      <t>1</t>
    </r>
  </si>
  <si>
    <t>Pb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</si>
  <si>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10</t>
    </r>
    <r>
      <rPr>
        <rFont val="Calibri"/>
        <color rgb="FF000000"/>
        <sz val="11.0"/>
      </rPr>
      <t>6p</t>
    </r>
    <r>
      <rPr>
        <rFont val="Calibri"/>
        <color rgb="FF000000"/>
        <sz val="11.0"/>
        <vertAlign val="superscript"/>
      </rPr>
      <t>2</t>
    </r>
  </si>
  <si>
    <t>Bi</t>
  </si>
  <si>
    <r>
      <rPr>
        <rFont val="Calibri"/>
        <color rgb="FF000000"/>
        <sz val="11.0"/>
      </rPr>
      <t>[Xe]6s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4f</t>
    </r>
    <r>
      <rPr>
        <rFont val="Calibri"/>
        <color rgb="FF000000"/>
        <sz val="11.0"/>
        <vertAlign val="superscript"/>
      </rPr>
      <t>14</t>
    </r>
    <r>
      <rPr>
        <rFont val="Calibri"/>
        <color rgb="FF000000"/>
        <sz val="11.0"/>
      </rPr>
      <t>5d</t>
    </r>
    <r>
      <rPr>
        <rFont val="Calibri"/>
        <color rgb="FF000000"/>
        <sz val="11.0"/>
        <vertAlign val="superscript"/>
      </rPr>
      <t>10</t>
    </r>
    <r>
      <rPr>
        <rFont val="Calibri"/>
        <color rgb="FF000000"/>
        <sz val="11.0"/>
      </rPr>
      <t>6p</t>
    </r>
    <r>
      <rPr>
        <rFont val="Calibri"/>
        <color rgb="FF000000"/>
        <sz val="11.0"/>
        <vertAlign val="superscript"/>
      </rPr>
      <t>3</t>
    </r>
  </si>
  <si>
    <t>Th</t>
  </si>
  <si>
    <r>
      <rPr>
        <rFont val="Calibri"/>
        <color rgb="FF000000"/>
        <sz val="11.0"/>
      </rPr>
      <t>[Rn]7s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6d</t>
    </r>
    <r>
      <rPr>
        <rFont val="Calibri"/>
        <color rgb="FF000000"/>
        <sz val="11.0"/>
        <vertAlign val="superscript"/>
      </rPr>
      <t>2</t>
    </r>
  </si>
  <si>
    <t>U</t>
  </si>
  <si>
    <r>
      <rPr>
        <rFont val="Calibri"/>
        <color rgb="FF000000"/>
        <sz val="11.0"/>
      </rPr>
      <t>[Rn]7s</t>
    </r>
    <r>
      <rPr>
        <rFont val="Calibri"/>
        <color rgb="FF000000"/>
        <sz val="11.0"/>
        <vertAlign val="superscript"/>
      </rPr>
      <t>2</t>
    </r>
    <r>
      <rPr>
        <rFont val="Calibri"/>
        <color rgb="FF000000"/>
        <sz val="11.0"/>
      </rPr>
      <t>5f</t>
    </r>
    <r>
      <rPr>
        <rFont val="Calibri"/>
        <color rgb="FF000000"/>
        <sz val="11.0"/>
        <vertAlign val="superscript"/>
      </rPr>
      <t>3</t>
    </r>
    <r>
      <rPr>
        <rFont val="Calibri"/>
        <color rgb="FF000000"/>
        <sz val="11.0"/>
      </rPr>
      <t>6d</t>
    </r>
    <r>
      <rPr>
        <rFont val="Calibri"/>
        <color rgb="FF000000"/>
        <sz val="11.0"/>
        <vertAlign val="superscript"/>
      </rPr>
      <t>1</t>
    </r>
  </si>
  <si>
    <t>ZERO</t>
  </si>
  <si>
    <t>Composition</t>
  </si>
  <si>
    <t>Feature 1 Atomic weight average</t>
  </si>
  <si>
    <t>Feature 2 Atomic weight Sum</t>
  </si>
  <si>
    <t>Feature 3 Atomic weight variance</t>
  </si>
  <si>
    <t>Feature 4 Atomic weight max</t>
  </si>
  <si>
    <t>Feature 5 Atomic weight mim</t>
  </si>
  <si>
    <t>Feature 6 Atomic weight diference</t>
  </si>
  <si>
    <t>Feature 7 Atomic 
number average</t>
  </si>
  <si>
    <t>Feature 8 Atomic 
number sum</t>
  </si>
  <si>
    <t>Feature 9 Atomic 
number variance</t>
  </si>
  <si>
    <t>Feature 10 Atomic 
number max</t>
  </si>
  <si>
    <t>Feature 11 Atomic 
number mim</t>
  </si>
  <si>
    <t>Feature 12 Atomic 
number diference</t>
  </si>
  <si>
    <t>Feature 13 Period avarage</t>
  </si>
  <si>
    <t>Feature 14 Period sum</t>
  </si>
  <si>
    <t>Feature 15 Period variance</t>
  </si>
  <si>
    <t>Feature 16 Period max</t>
  </si>
  <si>
    <t>Feature 17 Period mim</t>
  </si>
  <si>
    <t>Feature 18 Period diference</t>
  </si>
  <si>
    <t>Feature 19 Group avarage</t>
  </si>
  <si>
    <t>Feature 20 Group sum</t>
  </si>
  <si>
    <t>Feature 21 Group variance</t>
  </si>
  <si>
    <t>Feature 22 Group max</t>
  </si>
  <si>
    <t>Feature 23 Group mim</t>
  </si>
  <si>
    <t>Feature 24 Group diference</t>
  </si>
  <si>
    <t>Feature 25 Mendeleev number avarage</t>
  </si>
  <si>
    <t>Feature 26 Mendeleev number sum</t>
  </si>
  <si>
    <t>Feature 27 Mendeleev number variance</t>
  </si>
  <si>
    <t>Feature 28 Mendeleev number max</t>
  </si>
  <si>
    <t>Feature 29 Mendeleev number mim</t>
  </si>
  <si>
    <t>Feature 30 Mendeleev number diference</t>
  </si>
  <si>
    <t>Feature 31 Families avarage</t>
  </si>
  <si>
    <t>Feature 32 Families   sum</t>
  </si>
  <si>
    <t>Feature 33 Families variance</t>
  </si>
  <si>
    <t>Feature 34 Families    max</t>
  </si>
  <si>
    <t>Feature 35     Families   mim</t>
  </si>
  <si>
    <t>Feature 36 Families diference</t>
  </si>
  <si>
    <t>Feature 37 valence s average</t>
  </si>
  <si>
    <t>Feature 38 valence s   sum</t>
  </si>
  <si>
    <t>Feature 39 Valence s variance</t>
  </si>
  <si>
    <t>Feature 40 valence s    max</t>
  </si>
  <si>
    <t>Feature 41 Valence s min</t>
  </si>
  <si>
    <t>Valence s difference</t>
  </si>
  <si>
    <t>Feature 43 valence p average</t>
  </si>
  <si>
    <t>Feature 44 valence p   sum</t>
  </si>
  <si>
    <t>Feature 45 Valence p variance</t>
  </si>
  <si>
    <t>Feature 46 valence p    max</t>
  </si>
  <si>
    <t>Feature 47 valence p min</t>
  </si>
  <si>
    <t>Feature 48 valence p difference</t>
  </si>
  <si>
    <t>Feature 49 valence d average</t>
  </si>
  <si>
    <t>Feature 50 valence d   sum</t>
  </si>
  <si>
    <t>Feature 51 valence d variance</t>
  </si>
  <si>
    <t>Feature 52 valence d    max</t>
  </si>
  <si>
    <t>Feature 53 valence d min</t>
  </si>
  <si>
    <t>Valence d difference</t>
  </si>
  <si>
    <t>Feature 55 valence f average</t>
  </si>
  <si>
    <t>Feature 56 valence f   sum</t>
  </si>
  <si>
    <t>Feature 57 Valence f variance</t>
  </si>
  <si>
    <t>Feature 58 Valence f max</t>
  </si>
  <si>
    <t>Feature 59     valence f    min</t>
  </si>
  <si>
    <t>Valence f difference</t>
  </si>
  <si>
    <t>Feature 61 no. of 
valence 
electrons average</t>
  </si>
  <si>
    <t>Feature 62 no. of 
valence 
electrons  sum</t>
  </si>
  <si>
    <t>Feature 63 no. of 
valence 
electrons variance</t>
  </si>
  <si>
    <t>Feature 64 no. of 
valence 
electrons     max</t>
  </si>
  <si>
    <t>Feature 65     no. of 
valence 
electrons     mim</t>
  </si>
  <si>
    <t>Feature 66 Valence electrons difference</t>
  </si>
  <si>
    <t>Feature 67 outer
shell
electrons avarage</t>
  </si>
  <si>
    <t>Feature 68 outer
shell
electrons
sum</t>
  </si>
  <si>
    <t>Feature 69 outer
shell
electrons variance</t>
  </si>
  <si>
    <t>Feature 70 outer
shell
electrons    max</t>
  </si>
  <si>
    <t>Feature 71     outer
shell
electrons     mim</t>
  </si>
  <si>
    <t>Feature 72 no. of 
valence 
electrons diference</t>
  </si>
  <si>
    <t>Feature 73 Gilman no.
of valence
electrons avarage</t>
  </si>
  <si>
    <t>Feature 74 Gilman no.
of valence
electrons
sum</t>
  </si>
  <si>
    <t>Feature 75 Gilman no.
of valence
electrons variance</t>
  </si>
  <si>
    <t>Feature 76 Gilman no.
of valence
electrons    max</t>
  </si>
  <si>
    <t>Feature 77     Gilman no.
of valence
electrons     mim</t>
  </si>
  <si>
    <t>Feature 78 Gilman no.
of valence
electrons diference</t>
  </si>
  <si>
    <t>Feature 79 Metallic 
valence avarage</t>
  </si>
  <si>
    <t>Feature 80 Metallic 
valence
sum</t>
  </si>
  <si>
    <t>Feature 81 Metallic 
valencevariance</t>
  </si>
  <si>
    <t>Feature 82 Metallic 
valence    max</t>
  </si>
  <si>
    <t>Feature 83     Metallic 
valence      mim</t>
  </si>
  <si>
    <t>Feature 84 Metallic 
valence diference</t>
  </si>
  <si>
    <t>Feature 85 Ionization
energy (eV) avarage</t>
  </si>
  <si>
    <t>Feature 86 Ionization
energy (eV)
sum</t>
  </si>
  <si>
    <t>Feature 87 Ionization
energy (eV) variance</t>
  </si>
  <si>
    <t>Feature 88 Ionization
energy (eV) max</t>
  </si>
  <si>
    <t>Feature 89     Ionization
energy (eV)      mim</t>
  </si>
  <si>
    <t>Feature 90 Ionization
energy (eV) diference</t>
  </si>
  <si>
    <t>Feature 91 Pauling 
EM avarage</t>
  </si>
  <si>
    <t>Feature 92 Pauling 
EN
sum</t>
  </si>
  <si>
    <t>Feature 93 Pauling 
EN variance</t>
  </si>
  <si>
    <t>Feature 94 Pauling 
EM         max</t>
  </si>
  <si>
    <t>Feature 95     Pauling 
EM           mim</t>
  </si>
  <si>
    <t>Feature 96 Pauling 
EN diference</t>
  </si>
  <si>
    <t>Feature 97 Martynov 
Batsanov EN avarage</t>
  </si>
  <si>
    <t>Feature 98 Martynov 
Batsanov EN
sum</t>
  </si>
  <si>
    <t>Feature 99 Martynov 
Batsanov EN variance</t>
  </si>
  <si>
    <t>Feature 100 Martynov 
Batsanov   EN           max</t>
  </si>
  <si>
    <t>Feature 101     Martynov 
Batsanov EN           mim</t>
  </si>
  <si>
    <t>Feature 102 Martynov 
Batsanov EN diference</t>
  </si>
  <si>
    <t>Feature 103 Mulliken
EN     avarage</t>
  </si>
  <si>
    <t>Feature 104 Mulliken
EN
sum</t>
  </si>
  <si>
    <t>Feature 105 Mulliken
EN  variance</t>
  </si>
  <si>
    <t>Feature 106 Mulliken
EN           max</t>
  </si>
  <si>
    <t>Feature 107 Mulliken EN min</t>
  </si>
  <si>
    <t>Feature 108 Mulliken EN  difference</t>
  </si>
  <si>
    <t>Feature 109 Allred
Rockow EN   avarage</t>
  </si>
  <si>
    <t>Feature 110 Allred
Rockow EN
sum</t>
  </si>
  <si>
    <t>Feature 111 Allred
Rockow EN   variance</t>
  </si>
  <si>
    <t>Feature 112 Allred
Rockow EN         max</t>
  </si>
  <si>
    <t>Feature 113     Allred
Rockow EN           mim</t>
  </si>
  <si>
    <t>Feature 114 Allred
Rockow EN   diference</t>
  </si>
  <si>
    <t>Feature 115 Gordy
EN      avarage</t>
  </si>
  <si>
    <t>Feature 116 Gordy
EN
sum</t>
  </si>
  <si>
    <t>Feature 117 Gordy
EN   variance</t>
  </si>
  <si>
    <t>Feature 118 Gordy
EN              max</t>
  </si>
  <si>
    <t>Feature 119     Gordy
EN           mim</t>
  </si>
  <si>
    <t>Feature 120 Gordy
EN  diference</t>
  </si>
  <si>
    <t>Feature 121 Atomic
radius calculated     avarage</t>
  </si>
  <si>
    <t>Feature 122 Atomic
radius calculated
sum</t>
  </si>
  <si>
    <t>Feature 123 Atomic
radius calculated variance</t>
  </si>
  <si>
    <t>Feature 124 Atomic
radius calculated            max</t>
  </si>
  <si>
    <t>Feature 125     Atomic
radius calculated           mim</t>
  </si>
  <si>
    <t>Feature 126 Atomic
radius calculated  diference</t>
  </si>
  <si>
    <t>Feature 127 Covalent
radius    avarage</t>
  </si>
  <si>
    <t>Feature 128 Covalent
radius
sum</t>
  </si>
  <si>
    <t>Feature 129 Covalent
radius variance</t>
  </si>
  <si>
    <t>Feature 130 Covalent
radius            max</t>
  </si>
  <si>
    <t>Feature 131     Covalent
radius          mim</t>
  </si>
  <si>
    <t>Feature 132 Covalent
radius  diference</t>
  </si>
  <si>
    <t>Feature 133 Ionic
radius    avarage</t>
  </si>
  <si>
    <t>Feature 134 Ionic
radius
sum</t>
  </si>
  <si>
    <t>Feature 135 Ionic
radius variance</t>
  </si>
  <si>
    <t>Feature 136 Ionic
radius           max</t>
  </si>
  <si>
    <t>Feature 137     Ionic
radius        mim</t>
  </si>
  <si>
    <t>Feature 138 Ionic
radius  diference</t>
  </si>
  <si>
    <t>Feature 139 Zunger
radii sum    avarage</t>
  </si>
  <si>
    <t>Feature 140 Zunger
radii sum
sum</t>
  </si>
  <si>
    <t>Feature 141 Zunger
radii sum variance</t>
  </si>
  <si>
    <t>Feature 142 Zunger
radii sum          max</t>
  </si>
  <si>
    <t>Feature 143     Zunger
radii sum      mim</t>
  </si>
  <si>
    <t>Feature 144 Zunger
radii sum  diference</t>
  </si>
  <si>
    <t>Feature 145 Crystal
radius    avarage</t>
  </si>
  <si>
    <t>Feature 146 Crystal
radius
sum</t>
  </si>
  <si>
    <t>Feature 147 Crystal
radius variance</t>
  </si>
  <si>
    <t>Feature 148 Crystal
radius         max</t>
  </si>
  <si>
    <t>Feature 149     Crystal
radius      mim</t>
  </si>
  <si>
    <t>Feature 150 Crystal
radius  diference</t>
  </si>
  <si>
    <t>Feature 151 polarizability,
 A^3   avarage</t>
  </si>
  <si>
    <t>Feature 152 polarizability,
 A^3
sum</t>
  </si>
  <si>
    <t>Feature 153 polarizability,
 A^3 variance</t>
  </si>
  <si>
    <t>Feature 154 polarizability,
 A^3         max</t>
  </si>
  <si>
    <t>Feature 155     polarizability,
 A^3         mim</t>
  </si>
  <si>
    <t>Feature 156 polarizability,
 A^3  diference</t>
  </si>
  <si>
    <t>Feature 157 Melting point,
K       avarage</t>
  </si>
  <si>
    <t>Feature 158 Melting point,
K
sum</t>
  </si>
  <si>
    <t>Feature 159 Melting point,
K        variance</t>
  </si>
  <si>
    <t>Feature 160 Melting point,
K               max</t>
  </si>
  <si>
    <t>Feature 161     pMelting point,
K              mim</t>
  </si>
  <si>
    <t>Feature 162 Melting point,
K      diference</t>
  </si>
  <si>
    <t>Feature 163 Boiling point, K average</t>
  </si>
  <si>
    <t>Feature 164 Boiling point,
K
sum</t>
  </si>
  <si>
    <t>Feature 165 Boiling point,
K        variance</t>
  </si>
  <si>
    <t>Feature 166 Boiling point,
K               max</t>
  </si>
  <si>
    <t>Feature 167     Boiling point,
K                                       mim</t>
  </si>
  <si>
    <t>Feature 168 Boiling point,
K      diference</t>
  </si>
  <si>
    <t>Feature 169 Density, 
g/mL      avarage</t>
  </si>
  <si>
    <t>Feature 170 Density, 
g/mL
sum</t>
  </si>
  <si>
    <t>Feature 171 Density, 
g/mL        variance</t>
  </si>
  <si>
    <t>Feature 172 Density,  g/mL max</t>
  </si>
  <si>
    <t>Feature 173     Density, 
g/mL                                      mim</t>
  </si>
  <si>
    <t>Feature 174 Density, g/mL difference</t>
  </si>
  <si>
    <t>Feature 175 Specific heat,
J/g K      avarage</t>
  </si>
  <si>
    <t>Feature 176 Specific heat, J/g K sum</t>
  </si>
  <si>
    <t>Feature 177 Specific heat,
J/g K        variance</t>
  </si>
  <si>
    <t>Feature 178 Specific heat,
J/g K              max</t>
  </si>
  <si>
    <t>Feature 179     Specific heat,
J/g K                                      mim</t>
  </si>
  <si>
    <t>Feature 180 Specific heat,
J/gK      diference</t>
  </si>
  <si>
    <t>Feature 181 Heat of fusion, 
kJ/mol      avarage</t>
  </si>
  <si>
    <t>Feature 182 Heat of fusion, 
kJ/mol
sum</t>
  </si>
  <si>
    <t>Feature 183 Heat of fusion, 
kJ/mol       variance</t>
  </si>
  <si>
    <t>Feature 182 Heat of fusion, kJ/mol max</t>
  </si>
  <si>
    <t>Feature 185     Heat of fusion, 
kJ/mol                                      mim</t>
  </si>
  <si>
    <t>Feature 186 Heat of fusion, kJ/mol difference</t>
  </si>
  <si>
    <t>Feature 187 Thermal conductivity,
W/m K      avarage</t>
  </si>
  <si>
    <t>Feature 188 Thermal conductivity,
W/m K
sum</t>
  </si>
  <si>
    <t>Feature 189 Thermal conductivity, W/mK variance</t>
  </si>
  <si>
    <t>Feature 190 Thermal conductivity,
W/m K           max</t>
  </si>
  <si>
    <t>Feature 191     Thermal conductivity,
W/m K                                    mim</t>
  </si>
  <si>
    <t>Feature 192 Thermal conductivity,
W/m K    diference</t>
  </si>
  <si>
    <t>Feature 193 Cohesive 
energy     average</t>
  </si>
  <si>
    <t>Feature 194 Cohesive 
energy
sum</t>
  </si>
  <si>
    <t>Feature 195 Cohesive 
energy       variance</t>
  </si>
  <si>
    <t>Feature 196 Cohesive 
energy          max</t>
  </si>
  <si>
    <t>Feature 197 Cohesive energy min</t>
  </si>
  <si>
    <t>Feature 198 Cohesive 
energy    diference</t>
  </si>
  <si>
    <t xml:space="preserve">Feature 199 Space group number </t>
  </si>
  <si>
    <t xml:space="preserve">Feature 200 Crystal system </t>
  </si>
  <si>
    <t>Feature 201 Density (g/cm^3)</t>
  </si>
  <si>
    <t xml:space="preserve">Feature 202 Average anisotropy (average between a/b, b/c, c/a) </t>
  </si>
  <si>
    <t xml:space="preserve">Feature 203 V per atom </t>
  </si>
  <si>
    <t xml:space="preserve">Feature 204   Concentration 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</si>
</sst>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theme="1"/>
      <name val="Calibri"/>
    </font>
    <font>
      <u/>
      <sz val="11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CECEC"/>
        <bgColor rgb="FFECECEC"/>
      </patternFill>
    </fill>
    <fill>
      <patternFill patternType="solid">
        <fgColor rgb="FFC8C8C8"/>
        <bgColor rgb="FFC8C8C8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  <fill>
      <patternFill patternType="solid">
        <fgColor rgb="FFDADADA"/>
        <bgColor rgb="FFDADADA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B4C6E7"/>
        <bgColor rgb="FFB4C6E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</border>
    <border>
      <left style="thin">
        <color rgb="FF3F3F3F"/>
      </left>
      <top style="thin">
        <color rgb="FF3F3F3F"/>
      </top>
      <bottom style="thin">
        <color rgb="FF3F3F3F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2" fillId="3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 readingOrder="0"/>
    </xf>
    <xf borderId="2" fillId="5" fontId="1" numFmtId="0" xfId="0" applyAlignment="1" applyBorder="1" applyFill="1" applyFont="1">
      <alignment horizontal="center" readingOrder="0"/>
    </xf>
    <xf borderId="2" fillId="6" fontId="1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horizontal="center"/>
    </xf>
    <xf borderId="2" fillId="8" fontId="1" numFmtId="0" xfId="0" applyAlignment="1" applyBorder="1" applyFill="1" applyFont="1">
      <alignment horizontal="center"/>
    </xf>
    <xf borderId="2" fillId="9" fontId="1" numFmtId="0" xfId="0" applyAlignment="1" applyBorder="1" applyFill="1" applyFont="1">
      <alignment horizontal="center"/>
    </xf>
    <xf borderId="3" fillId="5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" fillId="2" fontId="3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2" fillId="5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vertical="bottom"/>
    </xf>
    <xf borderId="2" fillId="8" fontId="3" numFmtId="0" xfId="0" applyAlignment="1" applyBorder="1" applyFont="1">
      <alignment horizontal="center" vertical="bottom"/>
    </xf>
    <xf borderId="4" fillId="9" fontId="3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2" fillId="9" fontId="5" numFmtId="0" xfId="0" applyAlignment="1" applyBorder="1" applyFont="1">
      <alignment horizontal="center" readingOrder="0" vertical="bottom"/>
    </xf>
    <xf borderId="2" fillId="9" fontId="6" numFmtId="0" xfId="0" applyAlignment="1" applyBorder="1" applyFont="1">
      <alignment horizontal="center" vertical="bottom"/>
    </xf>
    <xf borderId="2" fillId="8" fontId="3" numFmtId="3" xfId="0" applyAlignment="1" applyBorder="1" applyFont="1" applyNumberFormat="1">
      <alignment horizontal="center" vertical="bottom"/>
    </xf>
    <xf borderId="1" fillId="2" fontId="7" numFmtId="0" xfId="0" applyAlignment="1" applyBorder="1" applyFont="1">
      <alignment horizontal="center" vertical="bottom"/>
    </xf>
    <xf borderId="0" fillId="10" fontId="3" numFmtId="3" xfId="0" applyAlignment="1" applyFill="1" applyFont="1" applyNumberFormat="1">
      <alignment horizontal="center" vertical="bottom"/>
    </xf>
    <xf borderId="0" fillId="11" fontId="3" numFmtId="0" xfId="0" applyAlignment="1" applyFill="1" applyFont="1">
      <alignment vertical="bottom"/>
    </xf>
    <xf borderId="1" fillId="5" fontId="4" numFmtId="0" xfId="0" applyAlignment="1" applyBorder="1" applyFont="1">
      <alignment horizontal="center"/>
    </xf>
    <xf borderId="1" fillId="2" fontId="8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  <xf borderId="1" fillId="14" fontId="1" numFmtId="0" xfId="0" applyAlignment="1" applyBorder="1" applyFill="1" applyFont="1">
      <alignment horizontal="center" vertical="center"/>
    </xf>
    <xf borderId="1" fillId="14" fontId="1" numFmtId="0" xfId="0" applyAlignment="1" applyBorder="1" applyFont="1">
      <alignment horizontal="center" shrinkToFit="0" vertical="center" wrapText="1"/>
    </xf>
    <xf borderId="1" fillId="14" fontId="1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15" fontId="1" numFmtId="0" xfId="0" applyAlignment="1" applyBorder="1" applyFill="1" applyFont="1">
      <alignment horizontal="center" shrinkToFit="0" vertical="center" wrapText="1"/>
    </xf>
    <xf borderId="1" fillId="16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12" fontId="3" numFmtId="0" xfId="0" applyAlignment="1" applyBorder="1" applyFont="1">
      <alignment horizontal="center"/>
    </xf>
    <xf borderId="1" fillId="13" fontId="3" numFmtId="0" xfId="0" applyAlignment="1" applyBorder="1" applyFont="1">
      <alignment horizontal="center"/>
    </xf>
    <xf borderId="1" fillId="17" fontId="3" numFmtId="0" xfId="0" applyAlignment="1" applyBorder="1" applyFill="1" applyFont="1">
      <alignment horizontal="center"/>
    </xf>
    <xf borderId="1" fillId="14" fontId="3" numFmtId="164" xfId="0" applyAlignment="1" applyBorder="1" applyFont="1" applyNumberFormat="1">
      <alignment horizontal="center"/>
    </xf>
    <xf borderId="1" fillId="14" fontId="3" numFmtId="0" xfId="0" applyAlignment="1" applyBorder="1" applyFont="1">
      <alignment horizontal="center"/>
    </xf>
    <xf borderId="1" fillId="3" fontId="3" numFmtId="164" xfId="0" applyAlignment="1" applyBorder="1" applyFont="1" applyNumberFormat="1">
      <alignment horizontal="center"/>
    </xf>
    <xf borderId="1" fillId="18" fontId="3" numFmtId="164" xfId="0" applyAlignment="1" applyBorder="1" applyFill="1" applyFont="1" applyNumberFormat="1">
      <alignment horizontal="center"/>
    </xf>
    <xf borderId="1" fillId="17" fontId="3" numFmtId="164" xfId="0" applyAlignment="1" applyBorder="1" applyFont="1" applyNumberFormat="1">
      <alignment horizontal="center"/>
    </xf>
    <xf borderId="1" fillId="15" fontId="3" numFmtId="0" xfId="0" applyAlignment="1" applyBorder="1" applyFont="1">
      <alignment horizontal="center"/>
    </xf>
    <xf borderId="1" fillId="16" fontId="3" numFmtId="0" xfId="0" applyAlignment="1" applyBorder="1" applyFont="1">
      <alignment horizontal="center"/>
    </xf>
    <xf borderId="1" fillId="17" fontId="10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shrinkToFit="0" wrapText="1"/>
    </xf>
    <xf borderId="1" fillId="15" fontId="3" numFmtId="11" xfId="0" applyAlignment="1" applyBorder="1" applyFont="1" applyNumberFormat="1">
      <alignment horizontal="center"/>
    </xf>
    <xf borderId="1" fillId="18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0" fontId="1" numFmtId="0" xfId="0" applyFont="1"/>
    <xf borderId="0" fillId="0" fontId="11" numFmtId="0" xfId="0" applyFont="1"/>
    <xf borderId="1" fillId="0" fontId="3" numFmtId="0" xfId="0" applyBorder="1" applyFont="1"/>
    <xf borderId="0" fillId="0" fontId="3" numFmtId="164" xfId="0" applyFont="1" applyNumberFormat="1"/>
    <xf borderId="1" fillId="15" fontId="1" numFmtId="165" xfId="0" applyAlignment="1" applyBorder="1" applyFont="1" applyNumberFormat="1">
      <alignment horizontal="center" shrinkToFit="0" vertical="center" wrapText="1"/>
    </xf>
    <xf borderId="1" fillId="7" fontId="1" numFmtId="165" xfId="0" applyAlignment="1" applyBorder="1" applyFont="1" applyNumberFormat="1">
      <alignment horizontal="center" shrinkToFit="0" vertical="center" wrapText="1"/>
    </xf>
    <xf borderId="1" fillId="19" fontId="1" numFmtId="165" xfId="0" applyAlignment="1" applyBorder="1" applyFill="1" applyFont="1" applyNumberFormat="1">
      <alignment horizontal="center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  <xf borderId="1" fillId="20" fontId="1" numFmtId="165" xfId="0" applyAlignment="1" applyBorder="1" applyFill="1" applyFont="1" applyNumberFormat="1">
      <alignment horizontal="center" shrinkToFit="0" vertical="center" wrapText="1"/>
    </xf>
    <xf borderId="1" fillId="4" fontId="1" numFmtId="165" xfId="0" applyAlignment="1" applyBorder="1" applyFont="1" applyNumberFormat="1">
      <alignment horizontal="center" shrinkToFit="0" vertical="center" wrapText="1"/>
    </xf>
    <xf borderId="1" fillId="14" fontId="1" numFmtId="165" xfId="0" applyAlignment="1" applyBorder="1" applyFont="1" applyNumberFormat="1">
      <alignment horizontal="center" shrinkToFit="0" vertical="center" wrapText="1"/>
    </xf>
    <xf borderId="1" fillId="21" fontId="1" numFmtId="165" xfId="0" applyAlignment="1" applyBorder="1" applyFill="1" applyFont="1" applyNumberFormat="1">
      <alignment horizontal="center" readingOrder="0" shrinkToFit="0" vertical="center" wrapText="1"/>
    </xf>
    <xf borderId="1" fillId="21" fontId="1" numFmtId="165" xfId="0" applyAlignment="1" applyBorder="1" applyFont="1" applyNumberFormat="1">
      <alignment horizontal="center" shrinkToFit="0" vertical="center" wrapText="1"/>
    </xf>
    <xf borderId="1" fillId="8" fontId="1" numFmtId="165" xfId="0" applyAlignment="1" applyBorder="1" applyFont="1" applyNumberFormat="1">
      <alignment horizontal="center" readingOrder="0" shrinkToFit="0" vertical="center" wrapText="1"/>
    </xf>
    <xf borderId="1" fillId="8" fontId="1" numFmtId="165" xfId="0" applyAlignment="1" applyBorder="1" applyFont="1" applyNumberFormat="1">
      <alignment horizontal="center" shrinkToFit="0" vertical="center" wrapText="1"/>
    </xf>
    <xf borderId="1" fillId="13" fontId="1" numFmtId="165" xfId="0" applyAlignment="1" applyBorder="1" applyFont="1" applyNumberFormat="1">
      <alignment horizontal="center" readingOrder="0" shrinkToFit="0" vertical="center" wrapText="1"/>
    </xf>
    <xf borderId="1" fillId="13" fontId="1" numFmtId="165" xfId="0" applyAlignment="1" applyBorder="1" applyFont="1" applyNumberFormat="1">
      <alignment horizontal="center" shrinkToFit="0" vertical="center" wrapText="1"/>
    </xf>
    <xf borderId="1" fillId="22" fontId="1" numFmtId="165" xfId="0" applyAlignment="1" applyBorder="1" applyFill="1" applyFont="1" applyNumberFormat="1">
      <alignment horizontal="center" readingOrder="0" shrinkToFit="0" vertical="center" wrapText="1"/>
    </xf>
    <xf borderId="1" fillId="22" fontId="1" numFmtId="165" xfId="0" applyAlignment="1" applyBorder="1" applyFont="1" applyNumberFormat="1">
      <alignment horizontal="center" shrinkToFit="0" vertical="center" wrapText="1"/>
    </xf>
    <xf borderId="1" fillId="5" fontId="1" numFmtId="165" xfId="0" applyAlignment="1" applyBorder="1" applyFont="1" applyNumberFormat="1">
      <alignment horizontal="center" readingOrder="0" shrinkToFit="0" vertical="center" wrapText="1"/>
    </xf>
    <xf borderId="1" fillId="5" fontId="1" numFmtId="165" xfId="0" applyAlignment="1" applyBorder="1" applyFont="1" applyNumberFormat="1">
      <alignment horizontal="center" shrinkToFit="0" vertical="center" wrapText="1"/>
    </xf>
    <xf borderId="1" fillId="12" fontId="1" numFmtId="165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shrinkToFit="0" vertical="center" wrapText="1"/>
    </xf>
    <xf borderId="1" fillId="6" fontId="1" numFmtId="165" xfId="0" applyAlignment="1" applyBorder="1" applyFont="1" applyNumberFormat="1">
      <alignment horizontal="center" shrinkToFit="0" vertical="center" wrapText="1"/>
    </xf>
    <xf borderId="1" fillId="3" fontId="1" numFmtId="165" xfId="0" applyAlignment="1" applyBorder="1" applyFont="1" applyNumberFormat="1">
      <alignment horizontal="center" readingOrder="0" shrinkToFit="0" vertical="center" wrapText="1"/>
    </xf>
    <xf borderId="1" fillId="4" fontId="1" numFmtId="165" xfId="0" applyAlignment="1" applyBorder="1" applyFont="1" applyNumberFormat="1">
      <alignment horizontal="center" readingOrder="0" shrinkToFit="0" vertical="center" wrapText="1"/>
    </xf>
    <xf borderId="1" fillId="7" fontId="1" numFmtId="165" xfId="0" applyAlignment="1" applyBorder="1" applyFont="1" applyNumberFormat="1">
      <alignment horizontal="center" readingOrder="0" shrinkToFit="0" vertical="center" wrapText="1"/>
    </xf>
    <xf borderId="1" fillId="19" fontId="1" numFmtId="165" xfId="0" applyAlignment="1" applyBorder="1" applyFont="1" applyNumberFormat="1">
      <alignment horizontal="center" readingOrder="0" shrinkToFit="0" vertical="center" wrapText="1"/>
    </xf>
    <xf borderId="1" fillId="20" fontId="1" numFmtId="165" xfId="0" applyAlignment="1" applyBorder="1" applyFont="1" applyNumberFormat="1">
      <alignment horizontal="center" readingOrder="0" shrinkToFit="0" vertical="center" wrapText="1"/>
    </xf>
    <xf borderId="1" fillId="14" fontId="1" numFmtId="165" xfId="0" applyAlignment="1" applyBorder="1" applyFont="1" applyNumberFormat="1">
      <alignment horizontal="center" readingOrder="0" shrinkToFit="0" vertical="center" wrapText="1"/>
    </xf>
    <xf borderId="1" fillId="2" fontId="1" numFmtId="165" xfId="0" applyAlignment="1" applyBorder="1" applyFont="1" applyNumberFormat="1">
      <alignment horizontal="center" readingOrder="0" shrinkToFit="0" vertical="center" wrapText="1"/>
    </xf>
    <xf borderId="1" fillId="6" fontId="1" numFmtId="165" xfId="0" applyAlignment="1" applyBorder="1" applyFont="1" applyNumberFormat="1">
      <alignment horizontal="center" readingOrder="0" shrinkToFit="0" vertical="center" wrapText="1"/>
    </xf>
    <xf borderId="1" fillId="23" fontId="1" numFmtId="165" xfId="0" applyAlignment="1" applyBorder="1" applyFill="1" applyFont="1" applyNumberFormat="1">
      <alignment horizontal="center" readingOrder="0" shrinkToFit="0" vertical="center" wrapText="1"/>
    </xf>
    <xf borderId="1" fillId="15" fontId="3" numFmtId="165" xfId="0" applyAlignment="1" applyBorder="1" applyFont="1" applyNumberFormat="1">
      <alignment horizontal="center"/>
    </xf>
    <xf borderId="1" fillId="7" fontId="3" numFmtId="165" xfId="0" applyAlignment="1" applyBorder="1" applyFont="1" applyNumberFormat="1">
      <alignment horizontal="center" vertical="center"/>
    </xf>
    <xf borderId="1" fillId="7" fontId="3" numFmtId="165" xfId="0" applyAlignment="1" applyBorder="1" applyFont="1" applyNumberFormat="1">
      <alignment horizontal="center"/>
    </xf>
    <xf borderId="1" fillId="19" fontId="3" numFmtId="165" xfId="0" applyAlignment="1" applyBorder="1" applyFont="1" applyNumberFormat="1">
      <alignment horizontal="center"/>
    </xf>
    <xf borderId="1" fillId="3" fontId="3" numFmtId="165" xfId="0" applyAlignment="1" applyBorder="1" applyFont="1" applyNumberFormat="1">
      <alignment horizontal="center" vertical="center"/>
    </xf>
    <xf borderId="1" fillId="20" fontId="3" numFmtId="0" xfId="0" applyBorder="1" applyFont="1"/>
    <xf borderId="1" fillId="4" fontId="3" numFmtId="0" xfId="0" applyBorder="1" applyFont="1"/>
    <xf borderId="1" fillId="14" fontId="3" numFmtId="0" xfId="0" applyBorder="1" applyFont="1"/>
    <xf borderId="1" fillId="21" fontId="3" numFmtId="0" xfId="0" applyBorder="1" applyFont="1"/>
    <xf borderId="1" fillId="8" fontId="3" numFmtId="0" xfId="0" applyBorder="1" applyFont="1"/>
    <xf borderId="1" fillId="13" fontId="3" numFmtId="0" xfId="0" applyBorder="1" applyFont="1"/>
    <xf borderId="1" fillId="22" fontId="3" numFmtId="0" xfId="0" applyBorder="1" applyFont="1"/>
    <xf borderId="1" fillId="5" fontId="3" numFmtId="0" xfId="0" applyBorder="1" applyFont="1"/>
    <xf borderId="1" fillId="12" fontId="3" numFmtId="0" xfId="0" applyBorder="1" applyFont="1"/>
    <xf borderId="1" fillId="2" fontId="3" numFmtId="0" xfId="0" applyBorder="1" applyFont="1"/>
    <xf borderId="1" fillId="6" fontId="3" numFmtId="0" xfId="0" applyBorder="1" applyFont="1"/>
    <xf borderId="1" fillId="15" fontId="3" numFmtId="0" xfId="0" applyBorder="1" applyFont="1"/>
    <xf borderId="1" fillId="15" fontId="3" numFmtId="164" xfId="0" applyBorder="1" applyFont="1" applyNumberFormat="1"/>
    <xf borderId="1" fillId="7" fontId="3" numFmtId="0" xfId="0" applyBorder="1" applyFont="1"/>
    <xf borderId="1" fillId="19" fontId="3" numFmtId="0" xfId="0" applyBorder="1" applyFont="1"/>
    <xf borderId="1" fillId="3" fontId="3" numFmtId="0" xfId="0" applyBorder="1" applyFont="1"/>
    <xf borderId="1" fillId="13" fontId="3" numFmtId="164" xfId="0" applyBorder="1" applyFont="1" applyNumberFormat="1"/>
    <xf borderId="1" fillId="22" fontId="3" numFmtId="164" xfId="0" applyBorder="1" applyFont="1" applyNumberFormat="1"/>
    <xf borderId="1" fillId="5" fontId="3" numFmtId="164" xfId="0" applyBorder="1" applyFont="1" applyNumberFormat="1"/>
    <xf borderId="1" fillId="12" fontId="3" numFmtId="164" xfId="0" applyBorder="1" applyFont="1" applyNumberFormat="1"/>
    <xf borderId="1" fillId="2" fontId="3" numFmtId="164" xfId="0" applyBorder="1" applyFont="1" applyNumberFormat="1"/>
    <xf borderId="1" fillId="2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16/j.jlumin.2020.117064" TargetMode="External"/><Relationship Id="rId42" Type="http://schemas.openxmlformats.org/officeDocument/2006/relationships/hyperlink" Target="https://doi.org/10.1016/j.saa.2015.06.081" TargetMode="External"/><Relationship Id="rId41" Type="http://schemas.openxmlformats.org/officeDocument/2006/relationships/hyperlink" Target="https://doi.org/10.1039/d1ra04384f" TargetMode="External"/><Relationship Id="rId44" Type="http://schemas.openxmlformats.org/officeDocument/2006/relationships/hyperlink" Target="https://doi.org/10.1016/j.optmat.2015.04.025" TargetMode="External"/><Relationship Id="rId43" Type="http://schemas.openxmlformats.org/officeDocument/2006/relationships/hyperlink" Target="https://doi.org/10.1016/j.inoche.2021.108665" TargetMode="External"/><Relationship Id="rId46" Type="http://schemas.openxmlformats.org/officeDocument/2006/relationships/hyperlink" Target="https://doi.org/10.1016/j.jlumin.2019.116541" TargetMode="External"/><Relationship Id="rId45" Type="http://schemas.openxmlformats.org/officeDocument/2006/relationships/hyperlink" Target="https://doi.org/10.1016/j.saa.2016.04.029" TargetMode="External"/><Relationship Id="rId107" Type="http://schemas.openxmlformats.org/officeDocument/2006/relationships/hyperlink" Target="https://doi.org/10.1016/j.mseb.2022.116189" TargetMode="External"/><Relationship Id="rId106" Type="http://schemas.openxmlformats.org/officeDocument/2006/relationships/hyperlink" Target="https://doi.org/10.1016/j.matchemphys.2024.129162" TargetMode="External"/><Relationship Id="rId105" Type="http://schemas.openxmlformats.org/officeDocument/2006/relationships/hyperlink" Target="https://doi.org/10.1016/j.ijleo.2022.169709" TargetMode="External"/><Relationship Id="rId104" Type="http://schemas.openxmlformats.org/officeDocument/2006/relationships/hyperlink" Target="https://doi.org/10.1016/j.physb.2023.415299" TargetMode="External"/><Relationship Id="rId109" Type="http://schemas.openxmlformats.org/officeDocument/2006/relationships/hyperlink" Target="https://doi.org/10.1016/j.apsadv.2023.100392" TargetMode="External"/><Relationship Id="rId108" Type="http://schemas.openxmlformats.org/officeDocument/2006/relationships/hyperlink" Target="https://doi.org/10.1016/j.inoche.2022.110064" TargetMode="External"/><Relationship Id="rId48" Type="http://schemas.openxmlformats.org/officeDocument/2006/relationships/hyperlink" Target="https://doi.org/10.1016/j.jssc.2020.121403" TargetMode="External"/><Relationship Id="rId47" Type="http://schemas.openxmlformats.org/officeDocument/2006/relationships/hyperlink" Target="https://doi.org/10.1016/j.jallcom.2014.11.178" TargetMode="External"/><Relationship Id="rId49" Type="http://schemas.openxmlformats.org/officeDocument/2006/relationships/hyperlink" Target="https://doi.org/10.1016/j.jlumin.2018.06.041" TargetMode="External"/><Relationship Id="rId103" Type="http://schemas.openxmlformats.org/officeDocument/2006/relationships/hyperlink" Target="https://doi.org/10.1016/j.jlumin.2023.120398" TargetMode="External"/><Relationship Id="rId102" Type="http://schemas.openxmlformats.org/officeDocument/2006/relationships/hyperlink" Target="https://doi.org/10.1039/d4ra02571g" TargetMode="External"/><Relationship Id="rId101" Type="http://schemas.openxmlformats.org/officeDocument/2006/relationships/hyperlink" Target="https://doi.org/10.1016/j.jeurceramsoc.2023.11.038" TargetMode="External"/><Relationship Id="rId100" Type="http://schemas.openxmlformats.org/officeDocument/2006/relationships/hyperlink" Target="https://doi.org/10.1016/j.ceramint.2023.03.072" TargetMode="External"/><Relationship Id="rId31" Type="http://schemas.openxmlformats.org/officeDocument/2006/relationships/hyperlink" Target="https://doi.org/10.1016/j.ijleo.2020.165926" TargetMode="External"/><Relationship Id="rId30" Type="http://schemas.openxmlformats.org/officeDocument/2006/relationships/hyperlink" Target="https://doi.org/10.1016/j.jallcom.2017.04.296" TargetMode="External"/><Relationship Id="rId33" Type="http://schemas.openxmlformats.org/officeDocument/2006/relationships/hyperlink" Target="https://doi.org/10.1016/j.spmi.2015.12.020" TargetMode="External"/><Relationship Id="rId32" Type="http://schemas.openxmlformats.org/officeDocument/2006/relationships/hyperlink" Target="https://doi.org/10.1016/j.jlumin.2019.116925" TargetMode="External"/><Relationship Id="rId35" Type="http://schemas.openxmlformats.org/officeDocument/2006/relationships/hyperlink" Target="https://doi.org/10.1016/j.ceramint.2016.08.161" TargetMode="External"/><Relationship Id="rId34" Type="http://schemas.openxmlformats.org/officeDocument/2006/relationships/hyperlink" Target="https://doi.org/10.1016/j.jlumin.2013.02.006" TargetMode="External"/><Relationship Id="rId37" Type="http://schemas.openxmlformats.org/officeDocument/2006/relationships/hyperlink" Target="https://doi.org/10.1016/j.jpcs.2017.11.025" TargetMode="External"/><Relationship Id="rId36" Type="http://schemas.openxmlformats.org/officeDocument/2006/relationships/hyperlink" Target="https://doi.org/10.1016/j.saa.2019.04.037" TargetMode="External"/><Relationship Id="rId39" Type="http://schemas.openxmlformats.org/officeDocument/2006/relationships/hyperlink" Target="https://doi.org/10.1016/j.ijleo.2017.12.207" TargetMode="External"/><Relationship Id="rId38" Type="http://schemas.openxmlformats.org/officeDocument/2006/relationships/hyperlink" Target="https://doi.org/10.1016/j.ceramint.2011.09.007" TargetMode="External"/><Relationship Id="rId20" Type="http://schemas.openxmlformats.org/officeDocument/2006/relationships/hyperlink" Target="https://doi.org/10.1016/j.jlumin.2021.118149" TargetMode="External"/><Relationship Id="rId22" Type="http://schemas.openxmlformats.org/officeDocument/2006/relationships/hyperlink" Target="https://doi.org/10.1016/j.matchemphys.2009.10.002" TargetMode="External"/><Relationship Id="rId21" Type="http://schemas.openxmlformats.org/officeDocument/2006/relationships/hyperlink" Target="https://doi.org/10.1016/j.dyepig.2019.01.048" TargetMode="External"/><Relationship Id="rId24" Type="http://schemas.openxmlformats.org/officeDocument/2006/relationships/hyperlink" Target="https://doi.org/10.1016/j.jssc.2014.09.003" TargetMode="External"/><Relationship Id="rId23" Type="http://schemas.openxmlformats.org/officeDocument/2006/relationships/hyperlink" Target="https://doi.org/10.1016/j.materresbull.2021.111441" TargetMode="External"/><Relationship Id="rId26" Type="http://schemas.openxmlformats.org/officeDocument/2006/relationships/hyperlink" Target="https://doi.org/10.1016/j.jmst.2020.11.065" TargetMode="External"/><Relationship Id="rId121" Type="http://schemas.openxmlformats.org/officeDocument/2006/relationships/hyperlink" Target="https://doi.org/10.1016/j.jlumin.2022.119066" TargetMode="External"/><Relationship Id="rId25" Type="http://schemas.openxmlformats.org/officeDocument/2006/relationships/hyperlink" Target="https://doi.org/10.1016/j.jlumin.2017.05.003" TargetMode="External"/><Relationship Id="rId120" Type="http://schemas.openxmlformats.org/officeDocument/2006/relationships/hyperlink" Target="https://doi.org/10.1016/j.jallcom.2022.168395" TargetMode="External"/><Relationship Id="rId28" Type="http://schemas.openxmlformats.org/officeDocument/2006/relationships/hyperlink" Target="https://doi.org/10.1016/j.jlumin.2021.118184" TargetMode="External"/><Relationship Id="rId27" Type="http://schemas.openxmlformats.org/officeDocument/2006/relationships/hyperlink" Target="https://doi.org/10.1016/j.phpro.2012.03.692" TargetMode="External"/><Relationship Id="rId29" Type="http://schemas.openxmlformats.org/officeDocument/2006/relationships/hyperlink" Target="https://doi.org/10.1016/j.jlumin.2018.09.033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doi.org/10.1016/j.ceramint.2022.04.231" TargetMode="External"/><Relationship Id="rId95" Type="http://schemas.openxmlformats.org/officeDocument/2006/relationships/hyperlink" Target="https://doi.org/10.1016/j.jre.2024.06.025" TargetMode="External"/><Relationship Id="rId94" Type="http://schemas.openxmlformats.org/officeDocument/2006/relationships/hyperlink" Target="https://doi.org/10.1016/j.ceramint.2024.07.312" TargetMode="External"/><Relationship Id="rId97" Type="http://schemas.openxmlformats.org/officeDocument/2006/relationships/hyperlink" Target="https://doi.org/10.1016/j.jre.2023.08.012" TargetMode="External"/><Relationship Id="rId96" Type="http://schemas.openxmlformats.org/officeDocument/2006/relationships/hyperlink" Target="https://doi.org/10.1016/j.jallcom.2024.176613" TargetMode="External"/><Relationship Id="rId11" Type="http://schemas.openxmlformats.org/officeDocument/2006/relationships/hyperlink" Target="https://doi.org/10.1016/j.jlumin.2017.04.036" TargetMode="External"/><Relationship Id="rId99" Type="http://schemas.openxmlformats.org/officeDocument/2006/relationships/hyperlink" Target="https://doi.org/10.1016/j.mssp.2024.108162" TargetMode="External"/><Relationship Id="rId10" Type="http://schemas.openxmlformats.org/officeDocument/2006/relationships/hyperlink" Target="https://doi.org/10.1016/j.jpcs.2014.11.003" TargetMode="External"/><Relationship Id="rId98" Type="http://schemas.openxmlformats.org/officeDocument/2006/relationships/hyperlink" Target="https://doi.org/10.1016/j.jiec.2025.02.026" TargetMode="External"/><Relationship Id="rId13" Type="http://schemas.openxmlformats.org/officeDocument/2006/relationships/hyperlink" Target="https://doi.org/10.1016/j.jlumin.2016.12.047" TargetMode="External"/><Relationship Id="rId12" Type="http://schemas.openxmlformats.org/officeDocument/2006/relationships/hyperlink" Target="https://doi.org/10.1016/j.jallcom.2017.09.169" TargetMode="External"/><Relationship Id="rId91" Type="http://schemas.openxmlformats.org/officeDocument/2006/relationships/hyperlink" Target="https://doi.org/10.1016/j.jssc.2025.125178" TargetMode="External"/><Relationship Id="rId90" Type="http://schemas.openxmlformats.org/officeDocument/2006/relationships/hyperlink" Target="https://doi.org/10.1016/j.optmat.2024.115486" TargetMode="External"/><Relationship Id="rId93" Type="http://schemas.openxmlformats.org/officeDocument/2006/relationships/hyperlink" Target="https://doi.org/10.1016/j.matlet.2023.134984" TargetMode="External"/><Relationship Id="rId92" Type="http://schemas.openxmlformats.org/officeDocument/2006/relationships/hyperlink" Target="https://doi.org/10.1016/j.ceramint.2023.12.268" TargetMode="External"/><Relationship Id="rId118" Type="http://schemas.openxmlformats.org/officeDocument/2006/relationships/hyperlink" Target="https://doi.org/10.1016/j.materresbull.2021.111535" TargetMode="External"/><Relationship Id="rId117" Type="http://schemas.openxmlformats.org/officeDocument/2006/relationships/hyperlink" Target="https://doi.org/10.1016/j.jlumin.2021.118598" TargetMode="External"/><Relationship Id="rId116" Type="http://schemas.openxmlformats.org/officeDocument/2006/relationships/hyperlink" Target="https://doi.org/10.1016/j.jallcom.2021.163131" TargetMode="External"/><Relationship Id="rId115" Type="http://schemas.openxmlformats.org/officeDocument/2006/relationships/hyperlink" Target="https://doi.org/10.1016/j.ceramint.2023.07.113" TargetMode="External"/><Relationship Id="rId119" Type="http://schemas.openxmlformats.org/officeDocument/2006/relationships/hyperlink" Target="https://doi.org/10.1016/j.materresbull.2023.112413" TargetMode="External"/><Relationship Id="rId15" Type="http://schemas.openxmlformats.org/officeDocument/2006/relationships/hyperlink" Target="https://doi.org/10.1016/S1002-0721(14)60508-1" TargetMode="External"/><Relationship Id="rId110" Type="http://schemas.openxmlformats.org/officeDocument/2006/relationships/hyperlink" Target="https://doi.org/10.1016/j.jlumin.2023.119733" TargetMode="External"/><Relationship Id="rId14" Type="http://schemas.openxmlformats.org/officeDocument/2006/relationships/hyperlink" Target="https://doi.org/10.1016/S1002-0721(17)60892-5" TargetMode="External"/><Relationship Id="rId17" Type="http://schemas.openxmlformats.org/officeDocument/2006/relationships/hyperlink" Target="https://doi.org/10.1016/j.jlumin.2013.06.015" TargetMode="External"/><Relationship Id="rId16" Type="http://schemas.openxmlformats.org/officeDocument/2006/relationships/hyperlink" Target="https://doi.org/10.1016/j.ijleo.2016.07.031" TargetMode="External"/><Relationship Id="rId19" Type="http://schemas.openxmlformats.org/officeDocument/2006/relationships/hyperlink" Target="https://doi.org/10.1016/j.ijleo.2018.03.005" TargetMode="External"/><Relationship Id="rId114" Type="http://schemas.openxmlformats.org/officeDocument/2006/relationships/hyperlink" Target="https://doi.org/10.1016/j.ceramint.2023.11.233" TargetMode="External"/><Relationship Id="rId18" Type="http://schemas.openxmlformats.org/officeDocument/2006/relationships/hyperlink" Target="https://doi.org/10.1016/j.ijleo.2019.163733" TargetMode="External"/><Relationship Id="rId113" Type="http://schemas.openxmlformats.org/officeDocument/2006/relationships/hyperlink" Target="https://doi.org/10.1016/j.mtsust.2023.100493" TargetMode="External"/><Relationship Id="rId112" Type="http://schemas.openxmlformats.org/officeDocument/2006/relationships/hyperlink" Target="https://doi.org/10.1016/j.jlumin.2022.119047" TargetMode="External"/><Relationship Id="rId111" Type="http://schemas.openxmlformats.org/officeDocument/2006/relationships/hyperlink" Target="https://doi.org/10.1016/j.ceramint.2023.10.205" TargetMode="External"/><Relationship Id="rId84" Type="http://schemas.openxmlformats.org/officeDocument/2006/relationships/hyperlink" Target="https://doi.org/10.1016/j.cplett.2016.03.022" TargetMode="External"/><Relationship Id="rId83" Type="http://schemas.openxmlformats.org/officeDocument/2006/relationships/hyperlink" Target="https://doi.org/10.1016/j.matpr.2020.07.345" TargetMode="External"/><Relationship Id="rId86" Type="http://schemas.openxmlformats.org/officeDocument/2006/relationships/hyperlink" Target="https://doi.org/10.1016/j.ceramint.2024.11.456" TargetMode="External"/><Relationship Id="rId85" Type="http://schemas.openxmlformats.org/officeDocument/2006/relationships/hyperlink" Target="https://doi.org/10.1016/j.jallcom.2012.11.011" TargetMode="External"/><Relationship Id="rId88" Type="http://schemas.openxmlformats.org/officeDocument/2006/relationships/hyperlink" Target="https://doi.org/10.1016/j.ceramint.2024.02.047" TargetMode="External"/><Relationship Id="rId87" Type="http://schemas.openxmlformats.org/officeDocument/2006/relationships/hyperlink" Target="https://doi.org/10.1016/j.ijleo.2023.171231" TargetMode="External"/><Relationship Id="rId89" Type="http://schemas.openxmlformats.org/officeDocument/2006/relationships/hyperlink" Target="https://doi.org/10.1016/j.optlastec.2024.111450" TargetMode="External"/><Relationship Id="rId80" Type="http://schemas.openxmlformats.org/officeDocument/2006/relationships/hyperlink" Target="https://doi.org/10.1016/j.molstruc.2020.128397" TargetMode="External"/><Relationship Id="rId82" Type="http://schemas.openxmlformats.org/officeDocument/2006/relationships/hyperlink" Target="https://doi.org/10.1016/j.jallcom.2013.01.203" TargetMode="External"/><Relationship Id="rId81" Type="http://schemas.openxmlformats.org/officeDocument/2006/relationships/hyperlink" Target="https://doi.org/10.1016/j.materresbull.2009.05.013" TargetMode="External"/><Relationship Id="rId1" Type="http://schemas.openxmlformats.org/officeDocument/2006/relationships/hyperlink" Target="https://doi.org/10.1016/j.ijleo.2018.04.006" TargetMode="External"/><Relationship Id="rId2" Type="http://schemas.openxmlformats.org/officeDocument/2006/relationships/hyperlink" Target="https://doi.org/10.1016/j.physb.2015.10.004" TargetMode="External"/><Relationship Id="rId3" Type="http://schemas.openxmlformats.org/officeDocument/2006/relationships/hyperlink" Target="https://doi.org/10.1016/j.ijleo.2020.165926" TargetMode="External"/><Relationship Id="rId4" Type="http://schemas.openxmlformats.org/officeDocument/2006/relationships/hyperlink" Target="https://doi.org/10.1016/S1002-0721(16)60022-4" TargetMode="External"/><Relationship Id="rId9" Type="http://schemas.openxmlformats.org/officeDocument/2006/relationships/hyperlink" Target="https://doi.org/10.1016/j.optcom.2014.01.080" TargetMode="External"/><Relationship Id="rId5" Type="http://schemas.openxmlformats.org/officeDocument/2006/relationships/hyperlink" Target="https://doi.org/10.1016/j.ijleo.2019.164015" TargetMode="External"/><Relationship Id="rId6" Type="http://schemas.openxmlformats.org/officeDocument/2006/relationships/hyperlink" Target="https://doi.org/10.1016/j.jssc.2020.121333" TargetMode="External"/><Relationship Id="rId7" Type="http://schemas.openxmlformats.org/officeDocument/2006/relationships/hyperlink" Target="https://doi.org/10.1016/j.matpr.2017.12.354" TargetMode="External"/><Relationship Id="rId8" Type="http://schemas.openxmlformats.org/officeDocument/2006/relationships/hyperlink" Target="https://doi.org/10.1016/S1002-0721(14)60491-9" TargetMode="External"/><Relationship Id="rId73" Type="http://schemas.openxmlformats.org/officeDocument/2006/relationships/hyperlink" Target="https://doi.org/10.1016/j.jlumin.2021.118146" TargetMode="External"/><Relationship Id="rId72" Type="http://schemas.openxmlformats.org/officeDocument/2006/relationships/hyperlink" Target="https://doi.org/10.1016/j.materresbull.2015.07.032" TargetMode="External"/><Relationship Id="rId75" Type="http://schemas.openxmlformats.org/officeDocument/2006/relationships/hyperlink" Target="https://doi.org/10.1016/j.jlumin.2009.11.028" TargetMode="External"/><Relationship Id="rId74" Type="http://schemas.openxmlformats.org/officeDocument/2006/relationships/hyperlink" Target="https://doi.org/10.1016/j.apradiso.2019.05.029" TargetMode="External"/><Relationship Id="rId77" Type="http://schemas.openxmlformats.org/officeDocument/2006/relationships/hyperlink" Target="https://doi.org/10.1016/j.jlumin.2014.03.053" TargetMode="External"/><Relationship Id="rId76" Type="http://schemas.openxmlformats.org/officeDocument/2006/relationships/hyperlink" Target="https://doi.org/10.1016/j.optmat.2020.110010" TargetMode="External"/><Relationship Id="rId79" Type="http://schemas.openxmlformats.org/officeDocument/2006/relationships/hyperlink" Target="https://doi.org/10.1016/j.jlumin.2016.06.029" TargetMode="External"/><Relationship Id="rId78" Type="http://schemas.openxmlformats.org/officeDocument/2006/relationships/hyperlink" Target="https://doi.org/10.1016/j.matlet.2009.02.029" TargetMode="External"/><Relationship Id="rId71" Type="http://schemas.openxmlformats.org/officeDocument/2006/relationships/hyperlink" Target="https://doi.org/10.1016/j.materresbull.2013.06.007" TargetMode="External"/><Relationship Id="rId70" Type="http://schemas.openxmlformats.org/officeDocument/2006/relationships/hyperlink" Target="https://doi.org/10.1016/j.jallcom.2008.12.028" TargetMode="External"/><Relationship Id="rId62" Type="http://schemas.openxmlformats.org/officeDocument/2006/relationships/hyperlink" Target="https://doi.org/10.1016/j.jcrysgro.2015.09.031" TargetMode="External"/><Relationship Id="rId61" Type="http://schemas.openxmlformats.org/officeDocument/2006/relationships/hyperlink" Target="https://doi.org/10.1016/j.matlet.2011.03.103" TargetMode="External"/><Relationship Id="rId64" Type="http://schemas.openxmlformats.org/officeDocument/2006/relationships/hyperlink" Target="https://doi.org/10.1016/j.jallcom.2019.07.061" TargetMode="External"/><Relationship Id="rId63" Type="http://schemas.openxmlformats.org/officeDocument/2006/relationships/hyperlink" Target="https://doi.org/10.1016/j.optlastec.2019.02.021" TargetMode="External"/><Relationship Id="rId66" Type="http://schemas.openxmlformats.org/officeDocument/2006/relationships/hyperlink" Target="https://doi.org/10.1016/j.matlet.2011.02.004" TargetMode="External"/><Relationship Id="rId65" Type="http://schemas.openxmlformats.org/officeDocument/2006/relationships/hyperlink" Target="https://doi.org/10.1016/j.cej.2020.126119" TargetMode="External"/><Relationship Id="rId68" Type="http://schemas.openxmlformats.org/officeDocument/2006/relationships/hyperlink" Target="https://doi.org/10.1016/j.jpcs.2015.07.011" TargetMode="External"/><Relationship Id="rId67" Type="http://schemas.openxmlformats.org/officeDocument/2006/relationships/hyperlink" Target="https://doi.org/10.1016/j.jlumin.2019.116604" TargetMode="External"/><Relationship Id="rId60" Type="http://schemas.openxmlformats.org/officeDocument/2006/relationships/hyperlink" Target="https://doi.org/10.1016/j.jlumin.2020.117821" TargetMode="External"/><Relationship Id="rId69" Type="http://schemas.openxmlformats.org/officeDocument/2006/relationships/hyperlink" Target="https://doi.org/10.1016/j.ijleo.2019.162956" TargetMode="External"/><Relationship Id="rId51" Type="http://schemas.openxmlformats.org/officeDocument/2006/relationships/hyperlink" Target="https://doi.org/10.1016/j.dyepig.2017.12.051" TargetMode="External"/><Relationship Id="rId50" Type="http://schemas.openxmlformats.org/officeDocument/2006/relationships/hyperlink" Target="https://doi.org/10.1016/j.ijleo.2018.04.102" TargetMode="External"/><Relationship Id="rId53" Type="http://schemas.openxmlformats.org/officeDocument/2006/relationships/hyperlink" Target="https://doi.org/10.1016/j.ceramint.2018.09.215" TargetMode="External"/><Relationship Id="rId52" Type="http://schemas.openxmlformats.org/officeDocument/2006/relationships/hyperlink" Target="https://doi.org/10.1016/j.saa.2018.04.041" TargetMode="External"/><Relationship Id="rId55" Type="http://schemas.openxmlformats.org/officeDocument/2006/relationships/hyperlink" Target="https://doi.org/10.1016/j.jallcom.2014.02.186" TargetMode="External"/><Relationship Id="rId54" Type="http://schemas.openxmlformats.org/officeDocument/2006/relationships/hyperlink" Target="https://doi.org/10.1016/j.materresbull.2017.11.005" TargetMode="External"/><Relationship Id="rId57" Type="http://schemas.openxmlformats.org/officeDocument/2006/relationships/hyperlink" Target="https://doi.org/10.1016/j.optmat.2019.109191" TargetMode="External"/><Relationship Id="rId56" Type="http://schemas.openxmlformats.org/officeDocument/2006/relationships/hyperlink" Target="https://doi.org/10.1016/j.elspec.2015.11.011" TargetMode="External"/><Relationship Id="rId59" Type="http://schemas.openxmlformats.org/officeDocument/2006/relationships/hyperlink" Target="https://doi.org/10.1016/j.materresbull.2019.110750" TargetMode="External"/><Relationship Id="rId58" Type="http://schemas.openxmlformats.org/officeDocument/2006/relationships/hyperlink" Target="https://doi.org/10.1016/j.materresbull.2012.07.01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4.71"/>
    <col customWidth="1" min="3" max="3" width="10.71"/>
    <col customWidth="1" min="4" max="4" width="14.0"/>
    <col customWidth="1" min="5" max="5" width="9.86"/>
    <col customWidth="1" min="6" max="6" width="16.57"/>
    <col customWidth="1" min="7" max="7" width="10.86"/>
    <col customWidth="1" min="8" max="8" width="13.71"/>
    <col customWidth="1" min="9" max="9" width="10.29"/>
    <col customWidth="1" min="10" max="10" width="13.29"/>
    <col customWidth="1" min="11" max="11" width="10.14"/>
    <col customWidth="1" min="12" max="12" width="11.14"/>
    <col customWidth="1" min="13" max="13" width="14.86"/>
    <col customWidth="1" min="14" max="14" width="15.86"/>
    <col customWidth="1" min="15" max="15" width="14.29"/>
    <col customWidth="1" min="16" max="16" width="26.71"/>
    <col customWidth="1" min="17" max="17" width="22.0"/>
    <col customWidth="1" min="18" max="18" width="8.86"/>
    <col customWidth="1" min="19" max="19" width="10.86"/>
    <col customWidth="1" min="20" max="20" width="11.29"/>
    <col customWidth="1" min="21" max="21" width="13.86"/>
    <col customWidth="1" min="22" max="22" width="12.71"/>
    <col customWidth="1" min="23" max="23" width="8.71"/>
    <col customWidth="1" min="24" max="24" width="8.86"/>
    <col customWidth="1" min="25" max="25" width="45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  <c r="Q1" s="10" t="s">
        <v>16</v>
      </c>
      <c r="R1" s="11" t="s">
        <v>17</v>
      </c>
      <c r="S1" s="11" t="s">
        <v>18</v>
      </c>
      <c r="T1" s="11" t="s">
        <v>19</v>
      </c>
      <c r="U1" s="12" t="s">
        <v>20</v>
      </c>
      <c r="V1" s="13" t="s">
        <v>21</v>
      </c>
      <c r="X1" s="14"/>
      <c r="Y1" s="12" t="s">
        <v>22</v>
      </c>
    </row>
    <row r="2" ht="14.25" customHeight="1">
      <c r="A2" s="15" t="s">
        <v>23</v>
      </c>
      <c r="B2" s="16">
        <v>39.0</v>
      </c>
      <c r="C2" s="17">
        <v>1.0</v>
      </c>
      <c r="D2" s="16">
        <v>40.0</v>
      </c>
      <c r="E2" s="17">
        <v>1.0</v>
      </c>
      <c r="F2" s="16">
        <v>14.0</v>
      </c>
      <c r="G2" s="17">
        <v>3.0</v>
      </c>
      <c r="H2" s="16">
        <v>9.0</v>
      </c>
      <c r="I2" s="17">
        <v>7.0</v>
      </c>
      <c r="J2" s="16">
        <v>87.0</v>
      </c>
      <c r="K2" s="17">
        <v>0.0</v>
      </c>
      <c r="L2" s="18" t="s">
        <v>24</v>
      </c>
      <c r="M2" s="19">
        <v>66.0</v>
      </c>
      <c r="N2" s="20">
        <v>0.006</v>
      </c>
      <c r="O2" s="21">
        <v>3.99</v>
      </c>
      <c r="P2" s="22">
        <v>2.0</v>
      </c>
      <c r="Q2" s="23">
        <v>113.0</v>
      </c>
      <c r="R2" s="24">
        <v>7.7686</v>
      </c>
      <c r="S2" s="24">
        <v>7.7686</v>
      </c>
      <c r="T2" s="24">
        <v>5.0992</v>
      </c>
      <c r="U2" s="25">
        <v>307.74</v>
      </c>
      <c r="V2" s="26">
        <v>109443.0</v>
      </c>
      <c r="W2" s="27"/>
      <c r="X2" s="27"/>
      <c r="Y2" s="28" t="s">
        <v>25</v>
      </c>
    </row>
    <row r="3" ht="14.25" customHeight="1">
      <c r="A3" s="15" t="s">
        <v>26</v>
      </c>
      <c r="B3" s="16">
        <v>58.0</v>
      </c>
      <c r="C3" s="17">
        <v>2.0</v>
      </c>
      <c r="D3" s="16">
        <v>39.0</v>
      </c>
      <c r="E3" s="17">
        <v>3.0</v>
      </c>
      <c r="F3" s="16">
        <v>6.0</v>
      </c>
      <c r="G3" s="17">
        <v>4.0</v>
      </c>
      <c r="H3" s="16">
        <v>9.0</v>
      </c>
      <c r="I3" s="17">
        <v>12.0</v>
      </c>
      <c r="J3" s="16">
        <v>87.0</v>
      </c>
      <c r="K3" s="17">
        <v>0.0</v>
      </c>
      <c r="L3" s="18" t="s">
        <v>24</v>
      </c>
      <c r="M3" s="19">
        <v>66.0</v>
      </c>
      <c r="N3" s="20">
        <v>0.033</v>
      </c>
      <c r="O3" s="21">
        <v>4.78</v>
      </c>
      <c r="P3" s="22">
        <v>3.0</v>
      </c>
      <c r="Q3" s="23">
        <v>33.0</v>
      </c>
      <c r="R3" s="24">
        <v>8.78</v>
      </c>
      <c r="S3" s="24">
        <v>16.54</v>
      </c>
      <c r="T3" s="24">
        <v>7.42</v>
      </c>
      <c r="U3" s="25">
        <v>1077.54</v>
      </c>
      <c r="V3" s="26">
        <v>10213.0</v>
      </c>
      <c r="W3" s="27"/>
      <c r="X3" s="27"/>
      <c r="Y3" s="29" t="s">
        <v>27</v>
      </c>
    </row>
    <row r="4" ht="14.25" customHeight="1">
      <c r="A4" s="15" t="s">
        <v>28</v>
      </c>
      <c r="B4" s="16">
        <v>40.0</v>
      </c>
      <c r="C4" s="17">
        <v>4.0</v>
      </c>
      <c r="D4" s="16">
        <v>14.0</v>
      </c>
      <c r="E4" s="17">
        <v>2.0</v>
      </c>
      <c r="F4" s="16">
        <v>9.0</v>
      </c>
      <c r="G4" s="17">
        <v>9.0</v>
      </c>
      <c r="H4" s="16">
        <v>87.0</v>
      </c>
      <c r="I4" s="17">
        <v>0.0</v>
      </c>
      <c r="J4" s="16">
        <v>87.0</v>
      </c>
      <c r="K4" s="17">
        <v>0.0</v>
      </c>
      <c r="L4" s="18" t="s">
        <v>24</v>
      </c>
      <c r="M4" s="19">
        <v>66.0</v>
      </c>
      <c r="N4" s="20">
        <v>0.02</v>
      </c>
      <c r="O4" s="21">
        <v>4.44</v>
      </c>
      <c r="P4" s="22">
        <v>6.0</v>
      </c>
      <c r="Q4" s="23">
        <v>14.0</v>
      </c>
      <c r="R4" s="24">
        <v>7.383</v>
      </c>
      <c r="S4" s="24">
        <v>10.4682</v>
      </c>
      <c r="T4" s="24">
        <v>11.1104</v>
      </c>
      <c r="U4" s="25">
        <v>813.74</v>
      </c>
      <c r="V4" s="26">
        <v>51076.0</v>
      </c>
      <c r="W4" s="27"/>
      <c r="X4" s="27"/>
      <c r="Y4" s="29" t="s">
        <v>29</v>
      </c>
    </row>
    <row r="5" ht="14.25" customHeight="1">
      <c r="A5" s="15" t="s">
        <v>30</v>
      </c>
      <c r="B5" s="16">
        <v>21.0</v>
      </c>
      <c r="C5" s="17">
        <v>1.0</v>
      </c>
      <c r="D5" s="16">
        <v>43.0</v>
      </c>
      <c r="E5" s="17">
        <v>1.0</v>
      </c>
      <c r="F5" s="16">
        <v>9.0</v>
      </c>
      <c r="G5" s="17">
        <v>4.0</v>
      </c>
      <c r="H5" s="16">
        <v>87.0</v>
      </c>
      <c r="I5" s="17">
        <v>0.0</v>
      </c>
      <c r="J5" s="16">
        <v>87.0</v>
      </c>
      <c r="K5" s="17">
        <v>0.0</v>
      </c>
      <c r="L5" s="18" t="s">
        <v>24</v>
      </c>
      <c r="M5" s="19">
        <v>66.0</v>
      </c>
      <c r="N5" s="20">
        <v>0.05</v>
      </c>
      <c r="O5" s="21">
        <v>4.25</v>
      </c>
      <c r="P5" s="22">
        <v>2.0</v>
      </c>
      <c r="Q5" s="23">
        <v>88.0</v>
      </c>
      <c r="R5" s="24">
        <v>5.226</v>
      </c>
      <c r="S5" s="24">
        <v>5.226</v>
      </c>
      <c r="T5" s="24">
        <v>11.4352</v>
      </c>
      <c r="U5" s="25">
        <v>312.31</v>
      </c>
      <c r="V5" s="26">
        <v>43145.0</v>
      </c>
      <c r="W5" s="27"/>
      <c r="X5" s="27"/>
      <c r="Y5" s="29" t="s">
        <v>31</v>
      </c>
    </row>
    <row r="6" ht="14.25" customHeight="1">
      <c r="A6" s="15" t="s">
        <v>32</v>
      </c>
      <c r="B6" s="16">
        <v>57.0</v>
      </c>
      <c r="C6" s="17">
        <v>2.0</v>
      </c>
      <c r="D6" s="16">
        <v>15.0</v>
      </c>
      <c r="E6" s="17">
        <v>1.0</v>
      </c>
      <c r="F6" s="16">
        <v>9.0</v>
      </c>
      <c r="G6" s="17">
        <v>4.0</v>
      </c>
      <c r="H6" s="16">
        <v>87.0</v>
      </c>
      <c r="I6" s="17">
        <v>0.0</v>
      </c>
      <c r="J6" s="16">
        <v>87.0</v>
      </c>
      <c r="K6" s="17">
        <v>0.0</v>
      </c>
      <c r="L6" s="18" t="s">
        <v>24</v>
      </c>
      <c r="M6" s="19">
        <v>66.0</v>
      </c>
      <c r="N6" s="20">
        <v>0.03</v>
      </c>
      <c r="O6" s="21">
        <v>5.47</v>
      </c>
      <c r="P6" s="22">
        <v>3.0</v>
      </c>
      <c r="Q6" s="23">
        <v>62.0</v>
      </c>
      <c r="R6" s="24">
        <v>5.809901</v>
      </c>
      <c r="S6" s="24">
        <v>10.217402</v>
      </c>
      <c r="T6" s="24">
        <v>7.507104</v>
      </c>
      <c r="U6" s="25">
        <v>445.63</v>
      </c>
      <c r="V6" s="26">
        <v>7656.0</v>
      </c>
      <c r="W6" s="27"/>
      <c r="X6" s="27"/>
      <c r="Y6" s="29" t="s">
        <v>33</v>
      </c>
    </row>
    <row r="7" ht="14.25" customHeight="1">
      <c r="A7" s="15" t="s">
        <v>34</v>
      </c>
      <c r="B7" s="16">
        <v>57.0</v>
      </c>
      <c r="C7" s="17">
        <v>3.0</v>
      </c>
      <c r="D7" s="16">
        <v>40.0</v>
      </c>
      <c r="E7" s="17">
        <v>4.0</v>
      </c>
      <c r="F7" s="16">
        <v>9.0</v>
      </c>
      <c r="G7" s="17">
        <v>9.0</v>
      </c>
      <c r="H7" s="16">
        <v>87.0</v>
      </c>
      <c r="I7" s="17">
        <v>0.0</v>
      </c>
      <c r="J7" s="16">
        <v>87.0</v>
      </c>
      <c r="K7" s="17">
        <v>0.0</v>
      </c>
      <c r="L7" s="18" t="s">
        <v>24</v>
      </c>
      <c r="M7" s="19">
        <v>66.0</v>
      </c>
      <c r="N7" s="20">
        <v>0.02</v>
      </c>
      <c r="O7" s="21">
        <v>5.64</v>
      </c>
      <c r="P7" s="22">
        <v>4.0</v>
      </c>
      <c r="Q7" s="23">
        <v>167.0</v>
      </c>
      <c r="R7" s="24">
        <v>6.059</v>
      </c>
      <c r="S7" s="24">
        <v>6.059</v>
      </c>
      <c r="T7" s="24">
        <v>50.6388</v>
      </c>
      <c r="U7" s="25">
        <v>1609.96</v>
      </c>
      <c r="V7" s="26">
        <v>200560.0</v>
      </c>
      <c r="W7" s="27"/>
      <c r="X7" s="27"/>
      <c r="Y7" s="29" t="s">
        <v>35</v>
      </c>
    </row>
    <row r="8" ht="14.25" customHeight="1">
      <c r="A8" s="15" t="s">
        <v>36</v>
      </c>
      <c r="B8" s="16">
        <v>41.0</v>
      </c>
      <c r="C8" s="17">
        <v>1.0</v>
      </c>
      <c r="D8" s="16">
        <v>9.0</v>
      </c>
      <c r="E8" s="17">
        <v>2.0</v>
      </c>
      <c r="F8" s="16">
        <v>87.0</v>
      </c>
      <c r="G8" s="17">
        <v>0.0</v>
      </c>
      <c r="H8" s="16">
        <v>87.0</v>
      </c>
      <c r="I8" s="17">
        <v>0.0</v>
      </c>
      <c r="J8" s="16">
        <v>87.0</v>
      </c>
      <c r="K8" s="17">
        <v>0.0</v>
      </c>
      <c r="L8" s="18" t="s">
        <v>24</v>
      </c>
      <c r="M8" s="19">
        <v>66.0</v>
      </c>
      <c r="N8" s="20">
        <v>0.05</v>
      </c>
      <c r="O8" s="21">
        <v>5.92</v>
      </c>
      <c r="P8" s="22">
        <v>6.0</v>
      </c>
      <c r="Q8" s="23">
        <v>14.0</v>
      </c>
      <c r="R8" s="24">
        <v>5.265</v>
      </c>
      <c r="S8" s="24">
        <v>5.262</v>
      </c>
      <c r="T8" s="24">
        <v>5.673</v>
      </c>
      <c r="U8" s="25">
        <v>138.26</v>
      </c>
      <c r="V8" s="26">
        <v>176128.0</v>
      </c>
      <c r="W8" s="27"/>
      <c r="X8" s="27"/>
      <c r="Y8" s="29" t="s">
        <v>37</v>
      </c>
    </row>
    <row r="9" ht="14.25" customHeight="1">
      <c r="A9" s="15" t="s">
        <v>38</v>
      </c>
      <c r="B9" s="16">
        <v>20.0</v>
      </c>
      <c r="C9" s="17">
        <v>1.0</v>
      </c>
      <c r="D9" s="16">
        <v>21.0</v>
      </c>
      <c r="E9" s="17">
        <v>1.0</v>
      </c>
      <c r="F9" s="16">
        <v>16.0</v>
      </c>
      <c r="G9" s="17">
        <v>1.0</v>
      </c>
      <c r="H9" s="16">
        <v>9.0</v>
      </c>
      <c r="I9" s="17">
        <v>4.0</v>
      </c>
      <c r="J9" s="16">
        <v>87.0</v>
      </c>
      <c r="K9" s="17">
        <v>0.0</v>
      </c>
      <c r="L9" s="18" t="s">
        <v>24</v>
      </c>
      <c r="M9" s="19">
        <v>66.0</v>
      </c>
      <c r="N9" s="20">
        <v>0.07</v>
      </c>
      <c r="O9" s="21">
        <v>2.92</v>
      </c>
      <c r="P9" s="22">
        <v>4.0</v>
      </c>
      <c r="Q9" s="23">
        <v>164.0</v>
      </c>
      <c r="R9" s="24">
        <v>5.499</v>
      </c>
      <c r="S9" s="24">
        <v>5.499</v>
      </c>
      <c r="T9" s="24">
        <v>7.57</v>
      </c>
      <c r="U9" s="25">
        <v>198.24</v>
      </c>
      <c r="V9" s="26">
        <v>145685.0</v>
      </c>
      <c r="W9" s="27"/>
      <c r="X9" s="27"/>
      <c r="Y9" s="29" t="s">
        <v>39</v>
      </c>
    </row>
    <row r="10" ht="14.25" customHeight="1">
      <c r="A10" s="15" t="s">
        <v>40</v>
      </c>
      <c r="B10" s="16">
        <v>39.0</v>
      </c>
      <c r="C10" s="17">
        <v>2.0</v>
      </c>
      <c r="D10" s="16">
        <v>31.0</v>
      </c>
      <c r="E10" s="17">
        <v>1.0</v>
      </c>
      <c r="F10" s="16">
        <v>43.0</v>
      </c>
      <c r="G10" s="17">
        <v>1.0</v>
      </c>
      <c r="H10" s="16">
        <v>9.0</v>
      </c>
      <c r="I10" s="17">
        <v>6.0</v>
      </c>
      <c r="J10" s="16">
        <v>87.0</v>
      </c>
      <c r="K10" s="17">
        <v>0.0</v>
      </c>
      <c r="L10" s="18" t="s">
        <v>24</v>
      </c>
      <c r="M10" s="19">
        <v>66.0</v>
      </c>
      <c r="N10" s="20">
        <v>0.08</v>
      </c>
      <c r="O10" s="21">
        <v>5.78</v>
      </c>
      <c r="P10" s="22">
        <v>2.0</v>
      </c>
      <c r="Q10" s="23">
        <v>87.0</v>
      </c>
      <c r="R10" s="24">
        <v>5.5821</v>
      </c>
      <c r="S10" s="24">
        <v>5.5821</v>
      </c>
      <c r="T10" s="24">
        <v>7.9812</v>
      </c>
      <c r="U10" s="25">
        <v>248.69</v>
      </c>
      <c r="V10" s="26">
        <v>188057.0</v>
      </c>
      <c r="W10" s="27"/>
      <c r="X10" s="27"/>
      <c r="Y10" s="29" t="s">
        <v>41</v>
      </c>
    </row>
    <row r="11" ht="14.25" customHeight="1">
      <c r="A11" s="15" t="s">
        <v>42</v>
      </c>
      <c r="B11" s="16">
        <v>49.0</v>
      </c>
      <c r="C11" s="17">
        <v>1.0</v>
      </c>
      <c r="D11" s="16">
        <v>43.0</v>
      </c>
      <c r="E11" s="17">
        <v>1.0</v>
      </c>
      <c r="F11" s="16">
        <v>9.0</v>
      </c>
      <c r="G11" s="17">
        <v>4.0</v>
      </c>
      <c r="H11" s="16">
        <v>87.0</v>
      </c>
      <c r="I11" s="17">
        <v>0.0</v>
      </c>
      <c r="J11" s="16">
        <v>87.0</v>
      </c>
      <c r="K11" s="17">
        <v>0.0</v>
      </c>
      <c r="L11" s="18" t="s">
        <v>24</v>
      </c>
      <c r="M11" s="19">
        <v>66.0</v>
      </c>
      <c r="N11" s="20">
        <v>0.05</v>
      </c>
      <c r="O11" s="21">
        <v>6.08</v>
      </c>
      <c r="P11" s="22">
        <v>2.0</v>
      </c>
      <c r="Q11" s="23">
        <v>88.0</v>
      </c>
      <c r="R11" s="24">
        <v>5.156</v>
      </c>
      <c r="S11" s="24">
        <v>5.156</v>
      </c>
      <c r="T11" s="24">
        <v>11.196</v>
      </c>
      <c r="U11" s="25">
        <v>297.64</v>
      </c>
      <c r="V11" s="26">
        <v>84455.0</v>
      </c>
      <c r="W11" s="27"/>
      <c r="X11" s="27"/>
      <c r="Y11" s="29" t="s">
        <v>43</v>
      </c>
    </row>
    <row r="12" ht="14.25" customHeight="1">
      <c r="A12" s="15" t="s">
        <v>44</v>
      </c>
      <c r="B12" s="16">
        <v>4.0</v>
      </c>
      <c r="C12" s="17">
        <v>2.0</v>
      </c>
      <c r="D12" s="16">
        <v>39.0</v>
      </c>
      <c r="E12" s="17">
        <v>1.0</v>
      </c>
      <c r="F12" s="16">
        <v>15.0</v>
      </c>
      <c r="G12" s="17">
        <v>1.0</v>
      </c>
      <c r="H12" s="16">
        <v>9.0</v>
      </c>
      <c r="I12" s="17">
        <v>4.0</v>
      </c>
      <c r="J12" s="16">
        <v>87.0</v>
      </c>
      <c r="K12" s="17">
        <v>0.0</v>
      </c>
      <c r="L12" s="18" t="s">
        <v>24</v>
      </c>
      <c r="M12" s="19">
        <v>66.0</v>
      </c>
      <c r="N12" s="20">
        <v>0.01</v>
      </c>
      <c r="O12" s="21">
        <v>3.55</v>
      </c>
      <c r="P12" s="22">
        <v>4.0</v>
      </c>
      <c r="Q12" s="23">
        <v>154.0</v>
      </c>
      <c r="R12" s="24">
        <v>5.0194</v>
      </c>
      <c r="S12" s="24">
        <v>5.0194</v>
      </c>
      <c r="T12" s="24">
        <v>12.444</v>
      </c>
      <c r="U12" s="25">
        <v>271.51</v>
      </c>
      <c r="V12" s="26">
        <v>133469.0</v>
      </c>
      <c r="W12" s="27"/>
      <c r="X12" s="27"/>
      <c r="Y12" s="29" t="s">
        <v>45</v>
      </c>
    </row>
    <row r="13" ht="14.25" customHeight="1">
      <c r="A13" s="15" t="s">
        <v>46</v>
      </c>
      <c r="B13" s="16">
        <v>40.0</v>
      </c>
      <c r="C13" s="17">
        <v>3.0</v>
      </c>
      <c r="D13" s="16">
        <v>14.0</v>
      </c>
      <c r="E13" s="17">
        <v>2.0</v>
      </c>
      <c r="F13" s="16">
        <v>32.0</v>
      </c>
      <c r="G13" s="17">
        <v>3.0</v>
      </c>
      <c r="H13" s="16">
        <v>9.0</v>
      </c>
      <c r="I13" s="17">
        <v>12.0</v>
      </c>
      <c r="J13" s="16">
        <v>87.0</v>
      </c>
      <c r="K13" s="17">
        <v>0.0</v>
      </c>
      <c r="L13" s="18" t="s">
        <v>24</v>
      </c>
      <c r="M13" s="19">
        <v>66.0</v>
      </c>
      <c r="N13" s="20">
        <v>0.025</v>
      </c>
      <c r="O13" s="21">
        <v>5.3</v>
      </c>
      <c r="P13" s="22">
        <v>1.0</v>
      </c>
      <c r="Q13" s="23">
        <v>230.0</v>
      </c>
      <c r="R13" s="24">
        <v>12.1827</v>
      </c>
      <c r="S13" s="24">
        <v>12.1827</v>
      </c>
      <c r="T13" s="24">
        <v>12.1827</v>
      </c>
      <c r="U13" s="25">
        <v>1808.13</v>
      </c>
      <c r="V13" s="26">
        <v>46103.0</v>
      </c>
      <c r="W13" s="27"/>
      <c r="X13" s="27"/>
      <c r="Y13" s="29" t="s">
        <v>47</v>
      </c>
    </row>
    <row r="14" ht="14.25" customHeight="1">
      <c r="A14" s="15" t="s">
        <v>48</v>
      </c>
      <c r="B14" s="16">
        <v>39.0</v>
      </c>
      <c r="C14" s="17">
        <v>1.0</v>
      </c>
      <c r="D14" s="16">
        <v>58.0</v>
      </c>
      <c r="E14" s="17">
        <v>1.0</v>
      </c>
      <c r="F14" s="16">
        <v>32.0</v>
      </c>
      <c r="G14" s="17">
        <v>1.0</v>
      </c>
      <c r="H14" s="16">
        <v>9.0</v>
      </c>
      <c r="I14" s="17">
        <v>4.0</v>
      </c>
      <c r="J14" s="16">
        <v>87.0</v>
      </c>
      <c r="K14" s="17">
        <v>0.0</v>
      </c>
      <c r="L14" s="18" t="s">
        <v>24</v>
      </c>
      <c r="M14" s="19">
        <v>66.0</v>
      </c>
      <c r="N14" s="20">
        <v>0.02</v>
      </c>
      <c r="O14" s="21">
        <v>6.39</v>
      </c>
      <c r="P14" s="22">
        <v>2.0</v>
      </c>
      <c r="Q14" s="23">
        <v>139.0</v>
      </c>
      <c r="R14" s="24">
        <v>3.852</v>
      </c>
      <c r="S14" s="24">
        <v>3.852</v>
      </c>
      <c r="T14" s="24">
        <v>12.68</v>
      </c>
      <c r="U14" s="25">
        <v>187.15</v>
      </c>
      <c r="V14" s="26">
        <v>54130.0</v>
      </c>
      <c r="W14" s="27"/>
      <c r="X14" s="27"/>
      <c r="Y14" s="29" t="s">
        <v>49</v>
      </c>
    </row>
    <row r="15" ht="14.25" customHeight="1">
      <c r="A15" s="15" t="s">
        <v>50</v>
      </c>
      <c r="B15" s="16">
        <v>39.0</v>
      </c>
      <c r="C15" s="17">
        <v>1.0</v>
      </c>
      <c r="D15" s="16">
        <v>33.0</v>
      </c>
      <c r="E15" s="17">
        <v>1.0</v>
      </c>
      <c r="F15" s="16">
        <v>16.0</v>
      </c>
      <c r="G15" s="17">
        <v>2.0</v>
      </c>
      <c r="H15" s="16">
        <v>9.0</v>
      </c>
      <c r="I15" s="17">
        <v>8.0</v>
      </c>
      <c r="J15" s="16">
        <v>87.0</v>
      </c>
      <c r="K15" s="17">
        <v>0.0</v>
      </c>
      <c r="L15" s="18" t="s">
        <v>24</v>
      </c>
      <c r="M15" s="19">
        <v>66.0</v>
      </c>
      <c r="N15" s="20">
        <v>0.09</v>
      </c>
      <c r="O15" s="21">
        <v>3.98</v>
      </c>
      <c r="P15" s="22">
        <v>6.0</v>
      </c>
      <c r="Q15" s="23">
        <v>15.0</v>
      </c>
      <c r="R15" s="24">
        <v>16.1787</v>
      </c>
      <c r="S15" s="24">
        <v>5.0669</v>
      </c>
      <c r="T15" s="24">
        <v>7.8694</v>
      </c>
      <c r="U15" s="25">
        <v>584.25</v>
      </c>
      <c r="V15" s="26">
        <v>423041.0</v>
      </c>
      <c r="W15" s="27"/>
      <c r="X15" s="27"/>
      <c r="Y15" s="29" t="s">
        <v>51</v>
      </c>
    </row>
    <row r="16" ht="14.25" customHeight="1">
      <c r="A16" s="15" t="s">
        <v>52</v>
      </c>
      <c r="B16" s="16">
        <v>12.0</v>
      </c>
      <c r="C16" s="17">
        <v>1.0</v>
      </c>
      <c r="D16" s="16">
        <v>57.0</v>
      </c>
      <c r="E16" s="17">
        <v>1.0</v>
      </c>
      <c r="F16" s="16">
        <v>6.0</v>
      </c>
      <c r="G16" s="17">
        <v>1.0</v>
      </c>
      <c r="H16" s="16">
        <v>9.0</v>
      </c>
      <c r="I16" s="17">
        <v>3.0</v>
      </c>
      <c r="J16" s="16">
        <v>87.0</v>
      </c>
      <c r="K16" s="17">
        <v>0.0</v>
      </c>
      <c r="L16" s="18" t="s">
        <v>24</v>
      </c>
      <c r="M16" s="19">
        <v>66.0</v>
      </c>
      <c r="N16" s="20">
        <v>0.05</v>
      </c>
      <c r="O16" s="21">
        <v>4.46</v>
      </c>
      <c r="P16" s="22">
        <v>6.0</v>
      </c>
      <c r="Q16" s="23">
        <v>12.0</v>
      </c>
      <c r="R16" s="24">
        <v>9.5787</v>
      </c>
      <c r="S16" s="24">
        <v>5.5696</v>
      </c>
      <c r="T16" s="24">
        <v>6.1923</v>
      </c>
      <c r="U16" s="25">
        <v>326.41</v>
      </c>
      <c r="V16" s="26">
        <v>192562.0</v>
      </c>
      <c r="W16" s="27"/>
      <c r="X16" s="27"/>
      <c r="Y16" s="29" t="s">
        <v>53</v>
      </c>
    </row>
    <row r="17" ht="14.25" customHeight="1">
      <c r="A17" s="15" t="s">
        <v>54</v>
      </c>
      <c r="B17" s="16">
        <v>20.0</v>
      </c>
      <c r="C17" s="17">
        <v>1.0</v>
      </c>
      <c r="D17" s="16">
        <v>13.0</v>
      </c>
      <c r="E17" s="17">
        <v>1.0</v>
      </c>
      <c r="F17" s="16">
        <v>58.0</v>
      </c>
      <c r="G17" s="17">
        <v>1.0</v>
      </c>
      <c r="H17" s="16">
        <v>16.0</v>
      </c>
      <c r="I17" s="17">
        <v>2.0</v>
      </c>
      <c r="J17" s="16">
        <v>9.0</v>
      </c>
      <c r="K17" s="17">
        <v>8.0</v>
      </c>
      <c r="L17" s="18" t="s">
        <v>24</v>
      </c>
      <c r="M17" s="19">
        <v>66.0</v>
      </c>
      <c r="N17" s="20">
        <v>0.2</v>
      </c>
      <c r="O17" s="21">
        <v>4.25</v>
      </c>
      <c r="P17" s="22">
        <v>6.0</v>
      </c>
      <c r="Q17" s="23">
        <v>14.0</v>
      </c>
      <c r="R17" s="24">
        <v>6.839</v>
      </c>
      <c r="S17" s="24">
        <v>7.066</v>
      </c>
      <c r="T17" s="24">
        <v>6.523</v>
      </c>
      <c r="U17" s="25">
        <v>306.61</v>
      </c>
      <c r="V17" s="26"/>
      <c r="W17" s="27"/>
      <c r="X17" s="27"/>
      <c r="Y17" s="29" t="s">
        <v>55</v>
      </c>
    </row>
    <row r="18" ht="14.25" customHeight="1">
      <c r="A18" s="15" t="s">
        <v>56</v>
      </c>
      <c r="B18" s="16">
        <v>21.0</v>
      </c>
      <c r="C18" s="17">
        <v>3.0</v>
      </c>
      <c r="D18" s="16">
        <v>15.0</v>
      </c>
      <c r="E18" s="17">
        <v>2.0</v>
      </c>
      <c r="F18" s="16">
        <v>9.0</v>
      </c>
      <c r="G18" s="17">
        <v>7.0</v>
      </c>
      <c r="H18" s="16">
        <v>87.0</v>
      </c>
      <c r="I18" s="17">
        <v>0.0</v>
      </c>
      <c r="J18" s="16">
        <v>87.0</v>
      </c>
      <c r="K18" s="17">
        <v>0.0</v>
      </c>
      <c r="L18" s="18" t="s">
        <v>24</v>
      </c>
      <c r="M18" s="19">
        <v>66.0</v>
      </c>
      <c r="N18" s="20">
        <v>0.12</v>
      </c>
      <c r="O18" s="21">
        <v>3.0</v>
      </c>
      <c r="P18" s="22">
        <v>3.0</v>
      </c>
      <c r="Q18" s="23">
        <v>46.0</v>
      </c>
      <c r="R18" s="24">
        <v>21.9641</v>
      </c>
      <c r="S18" s="24">
        <v>5.0841</v>
      </c>
      <c r="T18" s="24">
        <v>11.4403</v>
      </c>
      <c r="U18" s="25">
        <v>1277.51</v>
      </c>
      <c r="V18" s="26">
        <v>424472.0</v>
      </c>
      <c r="W18" s="27"/>
      <c r="X18" s="27"/>
      <c r="Y18" s="29" t="s">
        <v>57</v>
      </c>
    </row>
    <row r="19" ht="14.25" customHeight="1">
      <c r="A19" s="15" t="s">
        <v>58</v>
      </c>
      <c r="B19" s="16">
        <v>58.0</v>
      </c>
      <c r="C19" s="17">
        <v>1.0</v>
      </c>
      <c r="D19" s="16">
        <v>16.0</v>
      </c>
      <c r="E19" s="17">
        <v>1.0</v>
      </c>
      <c r="F19" s="16">
        <v>9.0</v>
      </c>
      <c r="G19" s="17">
        <v>4.0</v>
      </c>
      <c r="H19" s="16">
        <v>87.0</v>
      </c>
      <c r="I19" s="17">
        <v>0.0</v>
      </c>
      <c r="J19" s="16">
        <v>87.0</v>
      </c>
      <c r="K19" s="17">
        <v>0.0</v>
      </c>
      <c r="L19" s="18" t="s">
        <v>24</v>
      </c>
      <c r="M19" s="19">
        <v>66.0</v>
      </c>
      <c r="N19" s="20">
        <v>0.09</v>
      </c>
      <c r="O19" s="21">
        <v>5.08</v>
      </c>
      <c r="P19" s="22">
        <v>6.0</v>
      </c>
      <c r="Q19" s="23">
        <v>14.0</v>
      </c>
      <c r="R19" s="24">
        <v>6.7825</v>
      </c>
      <c r="S19" s="24">
        <v>6.9896</v>
      </c>
      <c r="T19" s="24">
        <v>6.6218</v>
      </c>
      <c r="U19" s="25">
        <v>305.92</v>
      </c>
      <c r="V19" s="26">
        <v>46788.0</v>
      </c>
      <c r="W19" s="27"/>
      <c r="X19" s="27"/>
      <c r="Y19" s="29" t="s">
        <v>59</v>
      </c>
    </row>
    <row r="20" ht="14.25" customHeight="1">
      <c r="A20" s="15" t="s">
        <v>60</v>
      </c>
      <c r="B20" s="16">
        <v>21.0</v>
      </c>
      <c r="C20" s="17">
        <v>1.0</v>
      </c>
      <c r="D20" s="16">
        <v>58.0</v>
      </c>
      <c r="E20" s="17">
        <v>1.0</v>
      </c>
      <c r="F20" s="16">
        <v>14.0</v>
      </c>
      <c r="G20" s="17">
        <v>3.0</v>
      </c>
      <c r="H20" s="16">
        <v>9.0</v>
      </c>
      <c r="I20" s="17">
        <v>7.0</v>
      </c>
      <c r="J20" s="16">
        <v>87.0</v>
      </c>
      <c r="K20" s="17">
        <v>0.0</v>
      </c>
      <c r="L20" s="18" t="s">
        <v>24</v>
      </c>
      <c r="M20" s="19">
        <v>66.0</v>
      </c>
      <c r="N20" s="20">
        <v>0.05</v>
      </c>
      <c r="O20" s="21">
        <v>3.93</v>
      </c>
      <c r="P20" s="22">
        <v>2.0</v>
      </c>
      <c r="Q20" s="23">
        <v>113.0</v>
      </c>
      <c r="R20" s="24">
        <v>7.8075</v>
      </c>
      <c r="S20" s="24">
        <v>7.8075</v>
      </c>
      <c r="T20" s="24">
        <v>5.1564</v>
      </c>
      <c r="U20" s="25">
        <v>314.32</v>
      </c>
      <c r="V20" s="26">
        <v>73207.0</v>
      </c>
      <c r="W20" s="27"/>
      <c r="X20" s="27"/>
      <c r="Y20" s="29" t="s">
        <v>61</v>
      </c>
    </row>
    <row r="21" ht="14.25" customHeight="1">
      <c r="A21" s="15" t="s">
        <v>62</v>
      </c>
      <c r="B21" s="16">
        <v>32.0</v>
      </c>
      <c r="C21" s="17">
        <v>4.0</v>
      </c>
      <c r="D21" s="16">
        <v>33.0</v>
      </c>
      <c r="E21" s="17">
        <v>1.0</v>
      </c>
      <c r="F21" s="16">
        <v>9.0</v>
      </c>
      <c r="G21" s="17">
        <v>8.0</v>
      </c>
      <c r="H21" s="16">
        <v>87.0</v>
      </c>
      <c r="I21" s="17">
        <v>0.0</v>
      </c>
      <c r="J21" s="16">
        <v>87.0</v>
      </c>
      <c r="K21" s="17">
        <v>0.0</v>
      </c>
      <c r="L21" s="18" t="s">
        <v>24</v>
      </c>
      <c r="M21" s="19">
        <v>66.0</v>
      </c>
      <c r="N21" s="20">
        <v>0.03</v>
      </c>
      <c r="O21" s="21">
        <v>5.65</v>
      </c>
      <c r="P21" s="22">
        <v>6.0</v>
      </c>
      <c r="Q21" s="23">
        <v>12.0</v>
      </c>
      <c r="R21" s="24">
        <v>12.169</v>
      </c>
      <c r="S21" s="24">
        <v>3.005</v>
      </c>
      <c r="T21" s="24">
        <v>9.414</v>
      </c>
      <c r="U21" s="25">
        <v>281.79</v>
      </c>
      <c r="V21" s="26">
        <v>202044.0</v>
      </c>
      <c r="W21" s="27"/>
      <c r="X21" s="27"/>
      <c r="Y21" s="29" t="s">
        <v>63</v>
      </c>
    </row>
    <row r="22" ht="14.25" customHeight="1">
      <c r="A22" s="15" t="s">
        <v>64</v>
      </c>
      <c r="B22" s="16">
        <v>31.0</v>
      </c>
      <c r="C22" s="17">
        <v>3.0</v>
      </c>
      <c r="D22" s="16">
        <v>6.0</v>
      </c>
      <c r="E22" s="17">
        <v>1.0</v>
      </c>
      <c r="F22" s="16">
        <v>9.0</v>
      </c>
      <c r="G22" s="17">
        <v>3.0</v>
      </c>
      <c r="H22" s="16">
        <v>16.0</v>
      </c>
      <c r="I22" s="17">
        <v>1.0</v>
      </c>
      <c r="J22" s="16">
        <v>9.0</v>
      </c>
      <c r="K22" s="17">
        <v>4.0</v>
      </c>
      <c r="L22" s="18" t="s">
        <v>24</v>
      </c>
      <c r="M22" s="19">
        <v>66.0</v>
      </c>
      <c r="N22" s="20">
        <v>0.12</v>
      </c>
      <c r="O22" s="21">
        <v>4.3</v>
      </c>
      <c r="P22" s="22">
        <v>5.0</v>
      </c>
      <c r="Q22" s="23">
        <v>174.0</v>
      </c>
      <c r="R22" s="24">
        <v>8.4624</v>
      </c>
      <c r="S22" s="24">
        <v>8.4624</v>
      </c>
      <c r="T22" s="24">
        <v>13.069</v>
      </c>
      <c r="U22" s="25">
        <v>810.51</v>
      </c>
      <c r="V22" s="26">
        <v>261151.0</v>
      </c>
      <c r="W22" s="27"/>
      <c r="X22" s="27"/>
      <c r="Y22" s="29" t="s">
        <v>65</v>
      </c>
    </row>
    <row r="23" ht="14.25" customHeight="1">
      <c r="A23" s="15" t="s">
        <v>66</v>
      </c>
      <c r="B23" s="16">
        <v>40.0</v>
      </c>
      <c r="C23" s="17">
        <v>1.0</v>
      </c>
      <c r="D23" s="16">
        <v>6.0</v>
      </c>
      <c r="E23" s="17">
        <v>1.0</v>
      </c>
      <c r="F23" s="16">
        <v>9.0</v>
      </c>
      <c r="G23" s="17">
        <v>3.0</v>
      </c>
      <c r="H23" s="16">
        <v>87.0</v>
      </c>
      <c r="I23" s="17">
        <v>0.0</v>
      </c>
      <c r="J23" s="16">
        <v>87.0</v>
      </c>
      <c r="K23" s="17">
        <v>0.0</v>
      </c>
      <c r="L23" s="18" t="s">
        <v>24</v>
      </c>
      <c r="M23" s="19">
        <v>66.0</v>
      </c>
      <c r="N23" s="20">
        <v>0.0257</v>
      </c>
      <c r="O23" s="21">
        <v>4.51</v>
      </c>
      <c r="P23" s="22">
        <v>6.0</v>
      </c>
      <c r="Q23" s="23">
        <v>15.0</v>
      </c>
      <c r="R23" s="24">
        <v>11.313</v>
      </c>
      <c r="S23" s="24">
        <v>6.552</v>
      </c>
      <c r="T23" s="24">
        <v>9.561</v>
      </c>
      <c r="U23" s="25">
        <v>653.07</v>
      </c>
      <c r="V23" s="26">
        <v>112329.0</v>
      </c>
      <c r="W23" s="27"/>
      <c r="X23" s="27"/>
      <c r="Y23" s="29" t="s">
        <v>67</v>
      </c>
    </row>
    <row r="24" ht="14.25" customHeight="1">
      <c r="A24" s="15" t="s">
        <v>68</v>
      </c>
      <c r="B24" s="16">
        <v>56.0</v>
      </c>
      <c r="C24" s="17">
        <v>1.0</v>
      </c>
      <c r="D24" s="16">
        <v>14.0</v>
      </c>
      <c r="E24" s="17">
        <v>1.0</v>
      </c>
      <c r="F24" s="16">
        <v>15.0</v>
      </c>
      <c r="G24" s="17">
        <v>2.0</v>
      </c>
      <c r="H24" s="16">
        <v>9.0</v>
      </c>
      <c r="I24" s="17">
        <v>6.0</v>
      </c>
      <c r="J24" s="16">
        <v>87.0</v>
      </c>
      <c r="K24" s="17">
        <v>0.0</v>
      </c>
      <c r="L24" s="18" t="s">
        <v>24</v>
      </c>
      <c r="M24" s="19">
        <v>66.0</v>
      </c>
      <c r="N24" s="20">
        <v>0.07</v>
      </c>
      <c r="O24" s="21">
        <v>3.25</v>
      </c>
      <c r="P24" s="22">
        <v>1.0</v>
      </c>
      <c r="Q24" s="23">
        <v>230.0</v>
      </c>
      <c r="R24" s="24">
        <v>13.6645</v>
      </c>
      <c r="S24" s="24">
        <v>13.6645</v>
      </c>
      <c r="T24" s="24">
        <v>13.6645</v>
      </c>
      <c r="U24" s="25">
        <v>2551.42</v>
      </c>
      <c r="V24" s="26">
        <v>84321.0</v>
      </c>
      <c r="W24" s="27"/>
      <c r="X24" s="27"/>
      <c r="Y24" s="29" t="s">
        <v>69</v>
      </c>
    </row>
    <row r="25" ht="14.25" customHeight="1">
      <c r="A25" s="15" t="s">
        <v>70</v>
      </c>
      <c r="B25" s="16">
        <v>39.0</v>
      </c>
      <c r="C25" s="17">
        <v>1.0</v>
      </c>
      <c r="D25" s="16">
        <v>31.0</v>
      </c>
      <c r="E25" s="17">
        <v>2.0</v>
      </c>
      <c r="F25" s="16">
        <v>16.0</v>
      </c>
      <c r="G25" s="17">
        <v>2.0</v>
      </c>
      <c r="H25" s="16">
        <v>9.0</v>
      </c>
      <c r="I25" s="17">
        <v>8.0</v>
      </c>
      <c r="J25" s="16">
        <v>87.0</v>
      </c>
      <c r="K25" s="17">
        <v>0.0</v>
      </c>
      <c r="L25" s="18" t="s">
        <v>24</v>
      </c>
      <c r="M25" s="19">
        <v>66.0</v>
      </c>
      <c r="N25" s="20">
        <v>0.03</v>
      </c>
      <c r="O25" s="21">
        <v>3.8</v>
      </c>
      <c r="P25" s="22">
        <v>6.0</v>
      </c>
      <c r="Q25" s="23">
        <v>14.0</v>
      </c>
      <c r="R25" s="24">
        <v>8.3232</v>
      </c>
      <c r="S25" s="24">
        <v>9.5101</v>
      </c>
      <c r="T25" s="24">
        <v>9.0317</v>
      </c>
      <c r="U25" s="25">
        <v>714.33</v>
      </c>
      <c r="V25" s="26">
        <v>68881.0</v>
      </c>
      <c r="W25" s="27"/>
      <c r="X25" s="27"/>
      <c r="Y25" s="29" t="s">
        <v>71</v>
      </c>
    </row>
    <row r="26" ht="14.25" customHeight="1">
      <c r="A26" s="15" t="s">
        <v>72</v>
      </c>
      <c r="B26" s="16">
        <v>12.0</v>
      </c>
      <c r="C26" s="17">
        <v>2.0</v>
      </c>
      <c r="D26" s="16">
        <v>13.0</v>
      </c>
      <c r="E26" s="17">
        <v>1.0</v>
      </c>
      <c r="F26" s="16">
        <v>15.0</v>
      </c>
      <c r="G26" s="17">
        <v>1.0</v>
      </c>
      <c r="H26" s="16">
        <v>9.0</v>
      </c>
      <c r="I26" s="17">
        <v>4.0</v>
      </c>
      <c r="J26" s="16">
        <v>87.0</v>
      </c>
      <c r="K26" s="17">
        <v>0.0</v>
      </c>
      <c r="L26" s="18" t="s">
        <v>24</v>
      </c>
      <c r="M26" s="19">
        <v>66.0</v>
      </c>
      <c r="N26" s="20">
        <v>0.04</v>
      </c>
      <c r="O26" s="21">
        <v>2.65</v>
      </c>
      <c r="P26" s="22">
        <v>3.0</v>
      </c>
      <c r="Q26" s="23">
        <v>33.0</v>
      </c>
      <c r="R26" s="24">
        <v>10.8933</v>
      </c>
      <c r="S26" s="24">
        <v>5.2927</v>
      </c>
      <c r="T26" s="24">
        <v>7.05421</v>
      </c>
      <c r="U26" s="25">
        <v>406.71</v>
      </c>
      <c r="V26" s="26">
        <v>112127.0</v>
      </c>
      <c r="W26" s="27"/>
      <c r="X26" s="27"/>
      <c r="Y26" s="29" t="s">
        <v>73</v>
      </c>
    </row>
    <row r="27" ht="14.25" customHeight="1">
      <c r="A27" s="15" t="s">
        <v>74</v>
      </c>
      <c r="B27" s="16">
        <v>21.0</v>
      </c>
      <c r="C27" s="17">
        <v>3.0</v>
      </c>
      <c r="D27" s="16">
        <v>16.0</v>
      </c>
      <c r="E27" s="17">
        <v>2.0</v>
      </c>
      <c r="F27" s="16">
        <v>9.0</v>
      </c>
      <c r="G27" s="17">
        <v>8.0</v>
      </c>
      <c r="H27" s="16">
        <v>87.0</v>
      </c>
      <c r="I27" s="17">
        <v>0.0</v>
      </c>
      <c r="J27" s="16">
        <v>87.0</v>
      </c>
      <c r="K27" s="17">
        <v>0.0</v>
      </c>
      <c r="L27" s="18" t="s">
        <v>24</v>
      </c>
      <c r="M27" s="19">
        <v>66.0</v>
      </c>
      <c r="N27" s="20">
        <v>0.35</v>
      </c>
      <c r="O27" s="21">
        <v>3.07</v>
      </c>
      <c r="P27" s="22">
        <v>4.0</v>
      </c>
      <c r="Q27" s="23">
        <v>161.0</v>
      </c>
      <c r="R27" s="24">
        <v>10.4352</v>
      </c>
      <c r="S27" s="24">
        <v>10.4352</v>
      </c>
      <c r="T27" s="24">
        <v>37.4029</v>
      </c>
      <c r="U27" s="25">
        <v>3527.26</v>
      </c>
      <c r="V27" s="26">
        <v>97500.0</v>
      </c>
      <c r="W27" s="27"/>
      <c r="X27" s="27"/>
      <c r="Y27" s="29" t="s">
        <v>75</v>
      </c>
    </row>
    <row r="28" ht="14.25" customHeight="1">
      <c r="A28" s="15" t="s">
        <v>76</v>
      </c>
      <c r="B28" s="16">
        <v>4.0</v>
      </c>
      <c r="C28" s="17">
        <v>6.0</v>
      </c>
      <c r="D28" s="16">
        <v>65.0</v>
      </c>
      <c r="E28" s="17">
        <v>1.0</v>
      </c>
      <c r="F28" s="16">
        <v>6.0</v>
      </c>
      <c r="G28" s="17">
        <v>3.0</v>
      </c>
      <c r="H28" s="16">
        <v>9.0</v>
      </c>
      <c r="I28" s="17">
        <v>9.0</v>
      </c>
      <c r="J28" s="16">
        <v>87.0</v>
      </c>
      <c r="K28" s="17">
        <v>0.0</v>
      </c>
      <c r="L28" s="18" t="s">
        <v>24</v>
      </c>
      <c r="M28" s="19">
        <v>66.0</v>
      </c>
      <c r="N28" s="20">
        <v>0.3</v>
      </c>
      <c r="O28" s="21">
        <v>3.24</v>
      </c>
      <c r="P28" s="22">
        <v>6.0</v>
      </c>
      <c r="Q28" s="23">
        <v>14.0</v>
      </c>
      <c r="R28" s="24">
        <v>7.2277</v>
      </c>
      <c r="S28" s="24">
        <v>16.5057</v>
      </c>
      <c r="T28" s="24">
        <v>6.6933</v>
      </c>
      <c r="U28" s="25">
        <v>769.93</v>
      </c>
      <c r="V28" s="26">
        <v>96123.0</v>
      </c>
      <c r="W28" s="27"/>
      <c r="X28" s="27"/>
      <c r="Y28" s="29" t="s">
        <v>77</v>
      </c>
    </row>
    <row r="29" ht="14.25" customHeight="1">
      <c r="A29" s="15" t="s">
        <v>78</v>
      </c>
      <c r="B29" s="16">
        <v>58.0</v>
      </c>
      <c r="C29" s="17">
        <v>2.0</v>
      </c>
      <c r="D29" s="16">
        <v>75.0</v>
      </c>
      <c r="E29" s="17">
        <v>3.0</v>
      </c>
      <c r="F29" s="16">
        <v>9.0</v>
      </c>
      <c r="G29" s="17">
        <v>12.0</v>
      </c>
      <c r="H29" s="16">
        <v>87.0</v>
      </c>
      <c r="I29" s="17">
        <v>0.0</v>
      </c>
      <c r="J29" s="16">
        <v>87.0</v>
      </c>
      <c r="K29" s="17">
        <v>0.0</v>
      </c>
      <c r="L29" s="18" t="s">
        <v>24</v>
      </c>
      <c r="M29" s="19">
        <v>66.0</v>
      </c>
      <c r="N29" s="20">
        <v>0.05</v>
      </c>
      <c r="O29" s="21">
        <v>6.61</v>
      </c>
      <c r="P29" s="22">
        <v>6.0</v>
      </c>
      <c r="Q29" s="23">
        <v>15.0</v>
      </c>
      <c r="R29" s="24">
        <v>7.876</v>
      </c>
      <c r="S29" s="24">
        <v>11.84</v>
      </c>
      <c r="T29" s="24">
        <v>11.6637</v>
      </c>
      <c r="U29" s="25">
        <v>1026.77</v>
      </c>
      <c r="V29" s="26">
        <v>47020.0</v>
      </c>
      <c r="W29" s="27"/>
      <c r="X29" s="27"/>
      <c r="Y29" s="29" t="s">
        <v>79</v>
      </c>
    </row>
    <row r="30" ht="14.25" customHeight="1">
      <c r="A30" s="15" t="s">
        <v>80</v>
      </c>
      <c r="B30" s="16">
        <v>31.0</v>
      </c>
      <c r="C30" s="17">
        <v>1.0</v>
      </c>
      <c r="D30" s="16">
        <v>32.0</v>
      </c>
      <c r="E30" s="17">
        <v>2.0</v>
      </c>
      <c r="F30" s="16">
        <v>9.0</v>
      </c>
      <c r="G30" s="17">
        <v>4.0</v>
      </c>
      <c r="H30" s="16">
        <v>87.0</v>
      </c>
      <c r="I30" s="17">
        <v>0.0</v>
      </c>
      <c r="J30" s="16">
        <v>87.0</v>
      </c>
      <c r="K30" s="17">
        <v>0.0</v>
      </c>
      <c r="L30" s="18" t="s">
        <v>24</v>
      </c>
      <c r="M30" s="19">
        <v>66.0</v>
      </c>
      <c r="N30" s="20">
        <v>0.025</v>
      </c>
      <c r="O30" s="21">
        <v>6.17</v>
      </c>
      <c r="P30" s="22">
        <v>1.0</v>
      </c>
      <c r="Q30" s="23">
        <v>227.0</v>
      </c>
      <c r="R30" s="24">
        <v>8.3352</v>
      </c>
      <c r="S30" s="24">
        <v>8.3352</v>
      </c>
      <c r="T30" s="24">
        <v>8.3352</v>
      </c>
      <c r="U30" s="25">
        <v>579.09</v>
      </c>
      <c r="V30" s="26">
        <v>146375.0</v>
      </c>
      <c r="W30" s="27"/>
      <c r="X30" s="27"/>
      <c r="Y30" s="29" t="s">
        <v>81</v>
      </c>
    </row>
    <row r="31" ht="14.25" customHeight="1">
      <c r="A31" s="15" t="s">
        <v>82</v>
      </c>
      <c r="B31" s="16">
        <v>39.0</v>
      </c>
      <c r="C31" s="17">
        <v>1.0</v>
      </c>
      <c r="D31" s="16">
        <v>14.0</v>
      </c>
      <c r="E31" s="17">
        <v>2.0</v>
      </c>
      <c r="F31" s="16">
        <v>15.0</v>
      </c>
      <c r="G31" s="17">
        <v>2.0</v>
      </c>
      <c r="H31" s="16">
        <v>9.0</v>
      </c>
      <c r="I31" s="17">
        <v>8.0</v>
      </c>
      <c r="J31" s="16">
        <v>87.0</v>
      </c>
      <c r="K31" s="17">
        <v>0.0</v>
      </c>
      <c r="L31" s="18" t="s">
        <v>24</v>
      </c>
      <c r="M31" s="19">
        <v>66.0</v>
      </c>
      <c r="N31" s="20">
        <v>0.04</v>
      </c>
      <c r="O31" s="21">
        <v>3.12</v>
      </c>
      <c r="P31" s="22">
        <v>6.0</v>
      </c>
      <c r="Q31" s="23">
        <v>14.0</v>
      </c>
      <c r="R31" s="24">
        <v>8.3298</v>
      </c>
      <c r="S31" s="24">
        <v>9.3645</v>
      </c>
      <c r="T31" s="24">
        <v>8.8934</v>
      </c>
      <c r="U31" s="25">
        <v>693.71</v>
      </c>
      <c r="V31" s="26">
        <v>112869.0</v>
      </c>
      <c r="W31" s="27"/>
      <c r="X31" s="27"/>
      <c r="Y31" s="29" t="s">
        <v>83</v>
      </c>
    </row>
    <row r="32" ht="14.25" customHeight="1">
      <c r="A32" s="15" t="s">
        <v>28</v>
      </c>
      <c r="B32" s="16">
        <v>40.0</v>
      </c>
      <c r="C32" s="17">
        <v>4.0</v>
      </c>
      <c r="D32" s="16">
        <v>14.0</v>
      </c>
      <c r="E32" s="17">
        <v>2.0</v>
      </c>
      <c r="F32" s="16">
        <v>9.0</v>
      </c>
      <c r="G32" s="17">
        <v>9.0</v>
      </c>
      <c r="H32" s="16">
        <v>87.0</v>
      </c>
      <c r="I32" s="17">
        <v>0.0</v>
      </c>
      <c r="J32" s="16">
        <v>87.0</v>
      </c>
      <c r="K32" s="17">
        <v>0.0</v>
      </c>
      <c r="L32" s="18" t="s">
        <v>24</v>
      </c>
      <c r="M32" s="19">
        <v>66.0</v>
      </c>
      <c r="N32" s="20">
        <v>0.02</v>
      </c>
      <c r="O32" s="21">
        <v>4.52</v>
      </c>
      <c r="P32" s="22">
        <v>6.0</v>
      </c>
      <c r="Q32" s="23">
        <v>14.0</v>
      </c>
      <c r="R32" s="24">
        <v>7.3831</v>
      </c>
      <c r="S32" s="24">
        <v>10.4675</v>
      </c>
      <c r="T32" s="24">
        <v>11.1133</v>
      </c>
      <c r="U32" s="25">
        <v>813.93</v>
      </c>
      <c r="V32" s="26">
        <v>252974.0</v>
      </c>
      <c r="W32" s="27"/>
      <c r="X32" s="27"/>
      <c r="Y32" s="29" t="s">
        <v>29</v>
      </c>
    </row>
    <row r="33" ht="14.25" customHeight="1">
      <c r="A33" s="15" t="s">
        <v>84</v>
      </c>
      <c r="B33" s="16">
        <v>57.0</v>
      </c>
      <c r="C33" s="17">
        <v>3.0</v>
      </c>
      <c r="D33" s="16">
        <v>13.0</v>
      </c>
      <c r="E33" s="17">
        <v>1.0</v>
      </c>
      <c r="F33" s="16">
        <v>15.0</v>
      </c>
      <c r="G33" s="17">
        <v>2.0</v>
      </c>
      <c r="H33" s="16">
        <v>9.0</v>
      </c>
      <c r="I33" s="17">
        <v>8.0</v>
      </c>
      <c r="J33" s="16">
        <v>87.0</v>
      </c>
      <c r="K33" s="17">
        <v>0.0</v>
      </c>
      <c r="L33" s="18" t="s">
        <v>24</v>
      </c>
      <c r="M33" s="19">
        <v>66.0</v>
      </c>
      <c r="N33" s="20">
        <v>0.12</v>
      </c>
      <c r="O33" s="21">
        <v>5.2</v>
      </c>
      <c r="P33" s="22">
        <v>4.0</v>
      </c>
      <c r="Q33" s="23">
        <v>147.0</v>
      </c>
      <c r="R33" s="24">
        <v>9.718</v>
      </c>
      <c r="S33" s="24">
        <v>9.718</v>
      </c>
      <c r="T33" s="24">
        <v>7.2715</v>
      </c>
      <c r="U33" s="25">
        <v>594.71</v>
      </c>
      <c r="V33" s="26">
        <v>195483.0</v>
      </c>
      <c r="W33" s="27"/>
      <c r="X33" s="27"/>
      <c r="Y33" s="29" t="s">
        <v>85</v>
      </c>
    </row>
    <row r="34" ht="14.25" customHeight="1">
      <c r="A34" s="15" t="s">
        <v>86</v>
      </c>
      <c r="B34" s="16">
        <v>84.0</v>
      </c>
      <c r="C34" s="17">
        <v>1.0</v>
      </c>
      <c r="D34" s="16">
        <v>16.0</v>
      </c>
      <c r="E34" s="17">
        <v>1.0</v>
      </c>
      <c r="F34" s="16">
        <v>9.0</v>
      </c>
      <c r="G34" s="17">
        <v>4.0</v>
      </c>
      <c r="H34" s="16">
        <v>87.0</v>
      </c>
      <c r="I34" s="17">
        <v>0.0</v>
      </c>
      <c r="J34" s="16">
        <v>87.0</v>
      </c>
      <c r="K34" s="17">
        <v>0.0</v>
      </c>
      <c r="L34" s="18" t="s">
        <v>24</v>
      </c>
      <c r="M34" s="19">
        <v>66.0</v>
      </c>
      <c r="N34" s="20">
        <v>0.15</v>
      </c>
      <c r="O34" s="21">
        <v>6.33</v>
      </c>
      <c r="P34" s="22">
        <v>6.0</v>
      </c>
      <c r="Q34" s="23">
        <v>11.0</v>
      </c>
      <c r="R34" s="24">
        <v>4.8472</v>
      </c>
      <c r="S34" s="24">
        <v>7.0586</v>
      </c>
      <c r="T34" s="24">
        <v>4.6863</v>
      </c>
      <c r="U34" s="25">
        <v>159.42</v>
      </c>
      <c r="V34" s="26">
        <v>19699.0</v>
      </c>
      <c r="W34" s="27"/>
      <c r="X34" s="27"/>
      <c r="Y34" s="29" t="s">
        <v>87</v>
      </c>
    </row>
    <row r="35" ht="14.25" customHeight="1">
      <c r="A35" s="15" t="s">
        <v>88</v>
      </c>
      <c r="B35" s="16">
        <v>21.0</v>
      </c>
      <c r="C35" s="17">
        <v>1.0</v>
      </c>
      <c r="D35" s="16">
        <v>75.0</v>
      </c>
      <c r="E35" s="17">
        <v>1.0</v>
      </c>
      <c r="F35" s="16">
        <v>9.0</v>
      </c>
      <c r="G35" s="17">
        <v>4.0</v>
      </c>
      <c r="H35" s="16">
        <v>87.0</v>
      </c>
      <c r="I35" s="17">
        <v>0.0</v>
      </c>
      <c r="J35" s="16">
        <v>87.0</v>
      </c>
      <c r="K35" s="17">
        <v>0.0</v>
      </c>
      <c r="L35" s="18" t="s">
        <v>24</v>
      </c>
      <c r="M35" s="19">
        <v>66.0</v>
      </c>
      <c r="N35" s="20">
        <v>0.1</v>
      </c>
      <c r="O35" s="21">
        <v>6.15</v>
      </c>
      <c r="P35" s="22">
        <v>2.0</v>
      </c>
      <c r="Q35" s="23">
        <v>88.0</v>
      </c>
      <c r="R35" s="24">
        <v>5.23336</v>
      </c>
      <c r="S35" s="24">
        <v>5.23336</v>
      </c>
      <c r="T35" s="24">
        <v>11.34579</v>
      </c>
      <c r="U35" s="25">
        <v>310.74</v>
      </c>
      <c r="V35" s="26">
        <v>177590.0</v>
      </c>
      <c r="W35" s="27"/>
      <c r="X35" s="27"/>
      <c r="Y35" s="29" t="s">
        <v>89</v>
      </c>
    </row>
    <row r="36" ht="14.25" customHeight="1">
      <c r="A36" s="15" t="s">
        <v>90</v>
      </c>
      <c r="B36" s="16">
        <v>57.0</v>
      </c>
      <c r="C36" s="17">
        <v>1.0</v>
      </c>
      <c r="D36" s="16">
        <v>14.0</v>
      </c>
      <c r="E36" s="17">
        <v>2.0</v>
      </c>
      <c r="F36" s="16">
        <v>15.0</v>
      </c>
      <c r="G36" s="17">
        <v>2.0</v>
      </c>
      <c r="H36" s="16">
        <v>9.0</v>
      </c>
      <c r="I36" s="17">
        <v>8.0</v>
      </c>
      <c r="J36" s="16">
        <v>87.0</v>
      </c>
      <c r="K36" s="17">
        <v>0.0</v>
      </c>
      <c r="L36" s="18" t="s">
        <v>24</v>
      </c>
      <c r="M36" s="19">
        <v>66.0</v>
      </c>
      <c r="N36" s="20">
        <v>0.07</v>
      </c>
      <c r="O36" s="21">
        <v>3.35</v>
      </c>
      <c r="P36" s="22">
        <v>6.0</v>
      </c>
      <c r="Q36" s="23">
        <v>14.0</v>
      </c>
      <c r="R36" s="24">
        <v>8.57557</v>
      </c>
      <c r="S36" s="24">
        <v>9.5731</v>
      </c>
      <c r="T36" s="24">
        <v>9.0681</v>
      </c>
      <c r="U36" s="25">
        <v>744.44</v>
      </c>
      <c r="V36" s="26">
        <v>48734.0</v>
      </c>
      <c r="W36" s="27"/>
      <c r="X36" s="27"/>
      <c r="Y36" s="29" t="s">
        <v>91</v>
      </c>
    </row>
    <row r="37" ht="14.25" customHeight="1">
      <c r="A37" s="15" t="s">
        <v>92</v>
      </c>
      <c r="B37" s="16">
        <v>20.0</v>
      </c>
      <c r="C37" s="17">
        <v>1.0</v>
      </c>
      <c r="D37" s="16">
        <v>39.0</v>
      </c>
      <c r="E37" s="17">
        <v>1.0</v>
      </c>
      <c r="F37" s="16">
        <v>72.0</v>
      </c>
      <c r="G37" s="17">
        <v>1.0</v>
      </c>
      <c r="H37" s="16">
        <v>16.0</v>
      </c>
      <c r="I37" s="17">
        <v>2.0</v>
      </c>
      <c r="J37" s="16">
        <v>9.0</v>
      </c>
      <c r="K37" s="17">
        <v>8.0</v>
      </c>
      <c r="L37" s="18" t="s">
        <v>24</v>
      </c>
      <c r="M37" s="19">
        <v>66.0</v>
      </c>
      <c r="N37" s="20">
        <v>0.3</v>
      </c>
      <c r="O37" s="21">
        <v>2.98</v>
      </c>
      <c r="P37" s="22">
        <v>5.0</v>
      </c>
      <c r="Q37" s="23">
        <v>180.0</v>
      </c>
      <c r="R37" s="24">
        <v>7.033</v>
      </c>
      <c r="S37" s="24">
        <v>7.033</v>
      </c>
      <c r="T37" s="24">
        <v>6.397</v>
      </c>
      <c r="U37" s="25">
        <v>274.024</v>
      </c>
      <c r="V37" s="26"/>
      <c r="W37" s="27"/>
      <c r="X37" s="27"/>
      <c r="Y37" s="29" t="s">
        <v>93</v>
      </c>
    </row>
    <row r="38" ht="14.25" customHeight="1">
      <c r="A38" s="15" t="s">
        <v>94</v>
      </c>
      <c r="B38" s="16">
        <v>40.0</v>
      </c>
      <c r="C38" s="17">
        <v>2.0</v>
      </c>
      <c r="D38" s="16">
        <v>9.0</v>
      </c>
      <c r="E38" s="17">
        <v>3.0</v>
      </c>
      <c r="F38" s="16">
        <v>87.0</v>
      </c>
      <c r="G38" s="17">
        <v>0.0</v>
      </c>
      <c r="H38" s="16">
        <v>87.0</v>
      </c>
      <c r="I38" s="17">
        <v>0.0</v>
      </c>
      <c r="J38" s="16">
        <v>87.0</v>
      </c>
      <c r="K38" s="17">
        <v>0.0</v>
      </c>
      <c r="L38" s="18" t="s">
        <v>24</v>
      </c>
      <c r="M38" s="19">
        <v>66.0</v>
      </c>
      <c r="N38" s="20">
        <v>0.01</v>
      </c>
      <c r="O38" s="21">
        <v>5.03</v>
      </c>
      <c r="P38" s="22">
        <v>1.0</v>
      </c>
      <c r="Q38" s="23">
        <v>206.0</v>
      </c>
      <c r="R38" s="24">
        <v>10.607</v>
      </c>
      <c r="S38" s="24">
        <v>10.607</v>
      </c>
      <c r="T38" s="24">
        <v>10.607</v>
      </c>
      <c r="U38" s="25">
        <v>1193.37</v>
      </c>
      <c r="V38" s="26">
        <v>42356.0</v>
      </c>
      <c r="W38" s="27"/>
      <c r="X38" s="27"/>
      <c r="Y38" s="29" t="s">
        <v>95</v>
      </c>
    </row>
    <row r="39" ht="14.25" customHeight="1">
      <c r="A39" s="15" t="s">
        <v>96</v>
      </c>
      <c r="B39" s="16">
        <v>20.0</v>
      </c>
      <c r="C39" s="17">
        <v>1.0</v>
      </c>
      <c r="D39" s="16">
        <v>39.0</v>
      </c>
      <c r="E39" s="17">
        <v>1.0</v>
      </c>
      <c r="F39" s="16">
        <v>16.0</v>
      </c>
      <c r="G39" s="17">
        <v>1.0</v>
      </c>
      <c r="H39" s="16">
        <v>9.0</v>
      </c>
      <c r="I39" s="17">
        <v>4.0</v>
      </c>
      <c r="J39" s="16">
        <v>87.0</v>
      </c>
      <c r="K39" s="17">
        <v>0.0</v>
      </c>
      <c r="L39" s="18" t="s">
        <v>24</v>
      </c>
      <c r="M39" s="19">
        <v>66.0</v>
      </c>
      <c r="N39" s="20">
        <v>0.06</v>
      </c>
      <c r="O39" s="21">
        <v>3.74</v>
      </c>
      <c r="P39" s="22">
        <v>3.0</v>
      </c>
      <c r="Q39" s="23">
        <v>62.0</v>
      </c>
      <c r="R39" s="24">
        <v>7.352</v>
      </c>
      <c r="S39" s="24">
        <v>5.561</v>
      </c>
      <c r="T39" s="24">
        <v>9.642</v>
      </c>
      <c r="U39" s="25">
        <v>394.21</v>
      </c>
      <c r="V39" s="26">
        <v>83598.0</v>
      </c>
      <c r="W39" s="27"/>
      <c r="X39" s="27"/>
      <c r="Y39" s="29" t="s">
        <v>97</v>
      </c>
    </row>
    <row r="40" ht="14.25" customHeight="1">
      <c r="A40" s="15" t="s">
        <v>98</v>
      </c>
      <c r="B40" s="16">
        <v>39.0</v>
      </c>
      <c r="C40" s="17">
        <v>2.0</v>
      </c>
      <c r="D40" s="16">
        <v>31.0</v>
      </c>
      <c r="E40" s="17">
        <v>1.0</v>
      </c>
      <c r="F40" s="16">
        <v>15.0</v>
      </c>
      <c r="G40" s="17">
        <v>2.0</v>
      </c>
      <c r="H40" s="16">
        <v>9.0</v>
      </c>
      <c r="I40" s="17">
        <v>7.0</v>
      </c>
      <c r="J40" s="16">
        <v>87.0</v>
      </c>
      <c r="K40" s="17">
        <v>0.0</v>
      </c>
      <c r="L40" s="18" t="s">
        <v>24</v>
      </c>
      <c r="M40" s="19">
        <v>66.0</v>
      </c>
      <c r="N40" s="20">
        <v>0.05</v>
      </c>
      <c r="O40" s="21">
        <v>4.1</v>
      </c>
      <c r="P40" s="22">
        <v>2.0</v>
      </c>
      <c r="Q40" s="23">
        <v>113.0</v>
      </c>
      <c r="R40" s="24">
        <v>8.0007</v>
      </c>
      <c r="S40" s="24">
        <v>8.0007</v>
      </c>
      <c r="T40" s="24">
        <v>5.1722</v>
      </c>
      <c r="U40" s="25">
        <v>331.08</v>
      </c>
      <c r="V40" s="26">
        <v>247476.0</v>
      </c>
      <c r="W40" s="27"/>
      <c r="X40" s="27"/>
      <c r="Y40" s="29" t="s">
        <v>99</v>
      </c>
    </row>
    <row r="41" ht="14.25" customHeight="1">
      <c r="A41" s="15" t="s">
        <v>100</v>
      </c>
      <c r="B41" s="16">
        <v>39.0</v>
      </c>
      <c r="C41" s="17">
        <v>1.0</v>
      </c>
      <c r="D41" s="16">
        <v>58.0</v>
      </c>
      <c r="E41" s="17">
        <v>1.0</v>
      </c>
      <c r="F41" s="16">
        <v>14.0</v>
      </c>
      <c r="G41" s="17">
        <v>1.0</v>
      </c>
      <c r="H41" s="16">
        <v>9.0</v>
      </c>
      <c r="I41" s="17">
        <v>4.0</v>
      </c>
      <c r="J41" s="16">
        <v>87.0</v>
      </c>
      <c r="K41" s="17">
        <v>0.0</v>
      </c>
      <c r="L41" s="18" t="s">
        <v>24</v>
      </c>
      <c r="M41" s="19">
        <v>66.0</v>
      </c>
      <c r="N41" s="20">
        <v>0.02</v>
      </c>
      <c r="O41" s="21">
        <v>5.91</v>
      </c>
      <c r="P41" s="22">
        <v>2.0</v>
      </c>
      <c r="Q41" s="23">
        <v>139.0</v>
      </c>
      <c r="R41" s="24">
        <v>3.75664</v>
      </c>
      <c r="S41" s="24">
        <v>3.75664</v>
      </c>
      <c r="T41" s="24">
        <v>12.6439</v>
      </c>
      <c r="U41" s="25">
        <v>178.43</v>
      </c>
      <c r="V41" s="26">
        <v>194706.0</v>
      </c>
      <c r="W41" s="27"/>
      <c r="X41" s="27"/>
      <c r="Y41" s="29" t="s">
        <v>101</v>
      </c>
    </row>
    <row r="42" ht="14.25" customHeight="1">
      <c r="A42" s="15" t="s">
        <v>102</v>
      </c>
      <c r="B42" s="16">
        <v>57.0</v>
      </c>
      <c r="C42" s="17">
        <v>3.0</v>
      </c>
      <c r="D42" s="16">
        <v>58.0</v>
      </c>
      <c r="E42" s="17">
        <v>2.0</v>
      </c>
      <c r="F42" s="16">
        <v>6.0</v>
      </c>
      <c r="G42" s="17">
        <v>4.0</v>
      </c>
      <c r="H42" s="16">
        <v>9.0</v>
      </c>
      <c r="I42" s="17">
        <v>12.0</v>
      </c>
      <c r="J42" s="16">
        <v>87.0</v>
      </c>
      <c r="K42" s="17">
        <v>0.0</v>
      </c>
      <c r="L42" s="18" t="s">
        <v>24</v>
      </c>
      <c r="M42" s="19">
        <v>66.0</v>
      </c>
      <c r="N42" s="20">
        <v>0.1</v>
      </c>
      <c r="O42" s="21">
        <v>5.17</v>
      </c>
      <c r="P42" s="22">
        <v>3.0</v>
      </c>
      <c r="Q42" s="23">
        <v>62.0</v>
      </c>
      <c r="R42" s="24">
        <v>7.731</v>
      </c>
      <c r="S42" s="24">
        <v>17.043</v>
      </c>
      <c r="T42" s="24">
        <v>9.019</v>
      </c>
      <c r="U42" s="25">
        <v>1188.34</v>
      </c>
      <c r="V42" s="26">
        <v>153451.0</v>
      </c>
      <c r="W42" s="27"/>
      <c r="X42" s="27"/>
      <c r="Y42" s="29" t="s">
        <v>103</v>
      </c>
    </row>
    <row r="43" ht="14.25" customHeight="1">
      <c r="A43" s="15" t="s">
        <v>94</v>
      </c>
      <c r="B43" s="16">
        <v>40.0</v>
      </c>
      <c r="C43" s="17">
        <v>2.0</v>
      </c>
      <c r="D43" s="16">
        <v>9.0</v>
      </c>
      <c r="E43" s="17">
        <v>3.0</v>
      </c>
      <c r="F43" s="16">
        <v>87.0</v>
      </c>
      <c r="G43" s="17">
        <v>0.0</v>
      </c>
      <c r="H43" s="16">
        <v>87.0</v>
      </c>
      <c r="I43" s="17">
        <v>0.0</v>
      </c>
      <c r="J43" s="16">
        <v>87.0</v>
      </c>
      <c r="K43" s="17">
        <v>0.0</v>
      </c>
      <c r="L43" s="18" t="s">
        <v>24</v>
      </c>
      <c r="M43" s="19">
        <v>66.0</v>
      </c>
      <c r="N43" s="20">
        <v>0.03</v>
      </c>
      <c r="O43" s="21">
        <v>5.02</v>
      </c>
      <c r="P43" s="22">
        <v>1.0</v>
      </c>
      <c r="Q43" s="23">
        <v>206.0</v>
      </c>
      <c r="R43" s="24">
        <v>10.6095</v>
      </c>
      <c r="S43" s="24">
        <v>10.6095</v>
      </c>
      <c r="T43" s="24">
        <v>10.6095</v>
      </c>
      <c r="U43" s="25">
        <v>1194.22</v>
      </c>
      <c r="V43" s="26">
        <v>42368.0</v>
      </c>
      <c r="W43" s="27"/>
      <c r="X43" s="27"/>
      <c r="Y43" s="29" t="s">
        <v>104</v>
      </c>
    </row>
    <row r="44" ht="14.25" customHeight="1">
      <c r="A44" s="15" t="s">
        <v>105</v>
      </c>
      <c r="B44" s="16">
        <v>39.0</v>
      </c>
      <c r="C44" s="17">
        <v>1.0</v>
      </c>
      <c r="D44" s="16">
        <v>14.0</v>
      </c>
      <c r="E44" s="17">
        <v>2.0</v>
      </c>
      <c r="F44" s="16">
        <v>9.0</v>
      </c>
      <c r="G44" s="17">
        <v>4.0</v>
      </c>
      <c r="H44" s="16">
        <v>87.0</v>
      </c>
      <c r="I44" s="17">
        <v>0.0</v>
      </c>
      <c r="J44" s="16">
        <v>87.0</v>
      </c>
      <c r="K44" s="17">
        <v>0.0</v>
      </c>
      <c r="L44" s="18" t="s">
        <v>24</v>
      </c>
      <c r="M44" s="19">
        <v>66.0</v>
      </c>
      <c r="N44" s="20">
        <v>0.05</v>
      </c>
      <c r="O44" s="21">
        <v>3.56</v>
      </c>
      <c r="P44" s="22">
        <v>6.0</v>
      </c>
      <c r="Q44" s="23">
        <v>4.0</v>
      </c>
      <c r="R44" s="24">
        <v>8.442422</v>
      </c>
      <c r="S44" s="24">
        <v>8.81933</v>
      </c>
      <c r="T44" s="24">
        <v>5.15816</v>
      </c>
      <c r="U44" s="25">
        <v>383.38</v>
      </c>
      <c r="V44" s="26">
        <v>70415.0</v>
      </c>
      <c r="W44" s="27"/>
      <c r="X44" s="27"/>
      <c r="Y44" s="29" t="s">
        <v>106</v>
      </c>
    </row>
    <row r="45" ht="14.25" customHeight="1">
      <c r="A45" s="15" t="s">
        <v>107</v>
      </c>
      <c r="B45" s="16">
        <v>14.0</v>
      </c>
      <c r="C45" s="17">
        <v>2.0</v>
      </c>
      <c r="D45" s="16">
        <v>9.0</v>
      </c>
      <c r="E45" s="17">
        <v>3.0</v>
      </c>
      <c r="F45" s="16">
        <v>87.0</v>
      </c>
      <c r="G45" s="17">
        <v>0.0</v>
      </c>
      <c r="H45" s="16">
        <v>87.0</v>
      </c>
      <c r="I45" s="17">
        <v>0.0</v>
      </c>
      <c r="J45" s="16">
        <v>87.0</v>
      </c>
      <c r="K45" s="17">
        <v>0.0</v>
      </c>
      <c r="L45" s="18" t="s">
        <v>24</v>
      </c>
      <c r="M45" s="19">
        <v>66.0</v>
      </c>
      <c r="N45" s="20">
        <v>0.12</v>
      </c>
      <c r="O45" s="21">
        <v>3.98</v>
      </c>
      <c r="P45" s="22">
        <v>4.0</v>
      </c>
      <c r="Q45" s="23">
        <v>167.0</v>
      </c>
      <c r="R45" s="24">
        <v>4.7619</v>
      </c>
      <c r="S45" s="24">
        <v>4.7619</v>
      </c>
      <c r="T45" s="24">
        <v>12.9991</v>
      </c>
      <c r="U45" s="25">
        <v>255.27</v>
      </c>
      <c r="V45" s="26">
        <v>175023.0</v>
      </c>
      <c r="W45" s="27"/>
      <c r="X45" s="27"/>
      <c r="Y45" s="29" t="s">
        <v>108</v>
      </c>
    </row>
    <row r="46" ht="14.25" customHeight="1">
      <c r="A46" s="15" t="s">
        <v>109</v>
      </c>
      <c r="B46" s="16">
        <v>21.0</v>
      </c>
      <c r="C46" s="17">
        <v>3.0</v>
      </c>
      <c r="D46" s="16">
        <v>58.0</v>
      </c>
      <c r="E46" s="17">
        <v>6.0</v>
      </c>
      <c r="F46" s="16">
        <v>15.0</v>
      </c>
      <c r="G46" s="17">
        <v>6.0</v>
      </c>
      <c r="H46" s="16">
        <v>9.0</v>
      </c>
      <c r="I46" s="17">
        <v>34.0</v>
      </c>
      <c r="J46" s="16">
        <v>87.0</v>
      </c>
      <c r="K46" s="17">
        <v>0.0</v>
      </c>
      <c r="L46" s="18" t="s">
        <v>24</v>
      </c>
      <c r="M46" s="19">
        <v>66.0</v>
      </c>
      <c r="N46" s="20">
        <v>0.015</v>
      </c>
      <c r="O46" s="21">
        <v>5.06</v>
      </c>
      <c r="P46" s="22">
        <v>5.0</v>
      </c>
      <c r="Q46" s="23">
        <v>176.0</v>
      </c>
      <c r="R46" s="24">
        <v>9.651</v>
      </c>
      <c r="S46" s="24">
        <v>9.651</v>
      </c>
      <c r="T46" s="24">
        <v>7.1405</v>
      </c>
      <c r="U46" s="25">
        <v>628.0</v>
      </c>
      <c r="V46" s="26"/>
      <c r="W46" s="27"/>
      <c r="X46" s="27"/>
      <c r="Y46" s="29" t="s">
        <v>110</v>
      </c>
    </row>
    <row r="47" ht="14.25" customHeight="1">
      <c r="A47" s="15" t="s">
        <v>111</v>
      </c>
      <c r="B47" s="16">
        <v>39.0</v>
      </c>
      <c r="C47" s="17">
        <v>1.0</v>
      </c>
      <c r="D47" s="16">
        <v>6.0</v>
      </c>
      <c r="E47" s="17">
        <v>2.0</v>
      </c>
      <c r="F47" s="16">
        <v>15.0</v>
      </c>
      <c r="G47" s="17">
        <v>2.0</v>
      </c>
      <c r="H47" s="16">
        <v>9.0</v>
      </c>
      <c r="I47" s="17">
        <v>8.0</v>
      </c>
      <c r="J47" s="16">
        <v>87.0</v>
      </c>
      <c r="K47" s="17">
        <v>0.0</v>
      </c>
      <c r="L47" s="18" t="s">
        <v>24</v>
      </c>
      <c r="M47" s="19">
        <v>66.0</v>
      </c>
      <c r="N47" s="20">
        <v>0.11</v>
      </c>
      <c r="O47" s="21">
        <v>3.38</v>
      </c>
      <c r="P47" s="22">
        <v>3.0</v>
      </c>
      <c r="Q47" s="23">
        <v>62.0</v>
      </c>
      <c r="R47" s="24">
        <v>8.155</v>
      </c>
      <c r="S47" s="24">
        <v>7.919</v>
      </c>
      <c r="T47" s="24">
        <v>8.921</v>
      </c>
      <c r="U47" s="25">
        <v>576.11</v>
      </c>
      <c r="V47" s="26">
        <v>98904.0</v>
      </c>
      <c r="W47" s="27"/>
      <c r="X47" s="27"/>
      <c r="Y47" s="29" t="s">
        <v>112</v>
      </c>
    </row>
    <row r="48" ht="14.25" customHeight="1">
      <c r="A48" s="15" t="s">
        <v>113</v>
      </c>
      <c r="B48" s="16">
        <v>4.0</v>
      </c>
      <c r="C48" s="17">
        <v>1.0</v>
      </c>
      <c r="D48" s="16">
        <v>13.0</v>
      </c>
      <c r="E48" s="17">
        <v>1.0</v>
      </c>
      <c r="F48" s="16">
        <v>16.0</v>
      </c>
      <c r="G48" s="17">
        <v>1.0</v>
      </c>
      <c r="H48" s="16">
        <v>9.0</v>
      </c>
      <c r="I48" s="17">
        <v>4.0</v>
      </c>
      <c r="J48" s="16">
        <v>87.0</v>
      </c>
      <c r="K48" s="17">
        <v>0.0</v>
      </c>
      <c r="L48" s="18" t="s">
        <v>24</v>
      </c>
      <c r="M48" s="19">
        <v>66.0</v>
      </c>
      <c r="N48" s="20">
        <v>0.08</v>
      </c>
      <c r="O48" s="21">
        <v>2.98</v>
      </c>
      <c r="P48" s="22">
        <v>3.0</v>
      </c>
      <c r="Q48" s="23">
        <v>62.0</v>
      </c>
      <c r="R48" s="24">
        <v>10.13854</v>
      </c>
      <c r="S48" s="24">
        <v>5.90609</v>
      </c>
      <c r="T48" s="24">
        <v>4.69051</v>
      </c>
      <c r="U48" s="25">
        <v>280.86</v>
      </c>
      <c r="V48" s="26">
        <v>11770.0</v>
      </c>
      <c r="W48" s="27"/>
      <c r="X48" s="27"/>
      <c r="Y48" s="29" t="s">
        <v>114</v>
      </c>
    </row>
    <row r="49" ht="14.25" customHeight="1">
      <c r="A49" s="15" t="s">
        <v>115</v>
      </c>
      <c r="B49" s="16">
        <v>57.0</v>
      </c>
      <c r="C49" s="17">
        <v>3.0</v>
      </c>
      <c r="D49" s="16">
        <v>6.0</v>
      </c>
      <c r="E49" s="17">
        <v>6.0</v>
      </c>
      <c r="F49" s="16">
        <v>15.0</v>
      </c>
      <c r="G49" s="17">
        <v>2.0</v>
      </c>
      <c r="H49" s="16">
        <v>9.0</v>
      </c>
      <c r="I49" s="17">
        <v>16.0</v>
      </c>
      <c r="J49" s="16">
        <v>87.0</v>
      </c>
      <c r="K49" s="17">
        <v>0.0</v>
      </c>
      <c r="L49" s="18" t="s">
        <v>24</v>
      </c>
      <c r="M49" s="19">
        <v>66.0</v>
      </c>
      <c r="N49" s="20">
        <v>0.15</v>
      </c>
      <c r="O49" s="21">
        <v>4.17</v>
      </c>
      <c r="P49" s="22">
        <v>7.0</v>
      </c>
      <c r="Q49" s="23">
        <v>2.0</v>
      </c>
      <c r="R49" s="24">
        <v>5.0382</v>
      </c>
      <c r="S49" s="24">
        <v>7.6574</v>
      </c>
      <c r="T49" s="24">
        <v>8.5262</v>
      </c>
      <c r="U49" s="25">
        <v>314.13</v>
      </c>
      <c r="V49" s="26">
        <v>290665.0</v>
      </c>
      <c r="W49" s="27"/>
      <c r="X49" s="27"/>
      <c r="Y49" s="29" t="s">
        <v>116</v>
      </c>
    </row>
    <row r="50" ht="14.25" customHeight="1">
      <c r="A50" s="15" t="s">
        <v>117</v>
      </c>
      <c r="B50" s="16">
        <v>21.0</v>
      </c>
      <c r="C50" s="17">
        <v>1.0</v>
      </c>
      <c r="D50" s="16">
        <v>7.0</v>
      </c>
      <c r="E50" s="17">
        <v>1.0</v>
      </c>
      <c r="F50" s="16">
        <v>9.0</v>
      </c>
      <c r="G50" s="17">
        <v>3.0</v>
      </c>
      <c r="H50" s="16">
        <v>87.0</v>
      </c>
      <c r="I50" s="17">
        <v>0.0</v>
      </c>
      <c r="J50" s="16">
        <v>87.0</v>
      </c>
      <c r="K50" s="17">
        <v>0.0</v>
      </c>
      <c r="L50" s="18" t="s">
        <v>24</v>
      </c>
      <c r="M50" s="19">
        <v>66.0</v>
      </c>
      <c r="N50" s="20">
        <v>0.02</v>
      </c>
      <c r="O50" s="21">
        <v>2.86</v>
      </c>
      <c r="P50" s="22">
        <v>6.0</v>
      </c>
      <c r="Q50" s="23">
        <v>11.0</v>
      </c>
      <c r="R50" s="24">
        <v>6.284</v>
      </c>
      <c r="S50" s="24">
        <v>4.87</v>
      </c>
      <c r="T50" s="24">
        <v>3.991</v>
      </c>
      <c r="U50" s="25">
        <v>116.2</v>
      </c>
      <c r="V50" s="26">
        <v>48175.0</v>
      </c>
      <c r="W50" s="27"/>
      <c r="X50" s="27"/>
      <c r="Y50" s="29" t="s">
        <v>118</v>
      </c>
    </row>
    <row r="51" ht="14.25" customHeight="1">
      <c r="A51" s="15" t="s">
        <v>119</v>
      </c>
      <c r="B51" s="16">
        <v>20.0</v>
      </c>
      <c r="C51" s="17">
        <v>1.0</v>
      </c>
      <c r="D51" s="16">
        <v>57.0</v>
      </c>
      <c r="E51" s="17">
        <v>2.0</v>
      </c>
      <c r="F51" s="16">
        <v>16.0</v>
      </c>
      <c r="G51" s="17">
        <v>5.0</v>
      </c>
      <c r="H51" s="16">
        <v>9.0</v>
      </c>
      <c r="I51" s="17">
        <v>15.0</v>
      </c>
      <c r="J51" s="16">
        <v>87.0</v>
      </c>
      <c r="K51" s="17">
        <v>0.0</v>
      </c>
      <c r="L51" s="18" t="s">
        <v>24</v>
      </c>
      <c r="M51" s="19">
        <v>66.0</v>
      </c>
      <c r="N51" s="20">
        <v>0.3</v>
      </c>
      <c r="O51" s="21">
        <v>3.45</v>
      </c>
      <c r="P51" s="22">
        <v>6.0</v>
      </c>
      <c r="Q51" s="23">
        <v>7.0</v>
      </c>
      <c r="R51" s="24">
        <v>8.646</v>
      </c>
      <c r="S51" s="24">
        <v>7.329</v>
      </c>
      <c r="T51" s="24">
        <v>13.884</v>
      </c>
      <c r="U51" s="25">
        <v>682.07</v>
      </c>
      <c r="V51" s="26"/>
      <c r="W51" s="27"/>
      <c r="X51" s="27"/>
      <c r="Y51" s="29" t="s">
        <v>120</v>
      </c>
    </row>
    <row r="52" ht="14.25" customHeight="1">
      <c r="A52" s="15" t="s">
        <v>121</v>
      </c>
      <c r="B52" s="16">
        <v>12.0</v>
      </c>
      <c r="C52" s="17">
        <v>3.0</v>
      </c>
      <c r="D52" s="16">
        <v>22.0</v>
      </c>
      <c r="E52" s="17">
        <v>2.0</v>
      </c>
      <c r="F52" s="16">
        <v>16.0</v>
      </c>
      <c r="G52" s="17">
        <v>3.0</v>
      </c>
      <c r="H52" s="16">
        <v>9.0</v>
      </c>
      <c r="I52" s="17">
        <v>12.0</v>
      </c>
      <c r="J52" s="16">
        <v>87.0</v>
      </c>
      <c r="K52" s="17">
        <v>0.0</v>
      </c>
      <c r="L52" s="18" t="s">
        <v>24</v>
      </c>
      <c r="M52" s="19">
        <v>66.0</v>
      </c>
      <c r="N52" s="20">
        <v>0.3</v>
      </c>
      <c r="O52" s="21">
        <v>2.88</v>
      </c>
      <c r="P52" s="22">
        <v>6.0</v>
      </c>
      <c r="Q52" s="23">
        <v>15.0</v>
      </c>
      <c r="R52" s="24">
        <v>15.464</v>
      </c>
      <c r="S52" s="24">
        <v>8.936</v>
      </c>
      <c r="T52" s="24">
        <v>9.024</v>
      </c>
      <c r="U52" s="25">
        <v>1024.71</v>
      </c>
      <c r="V52" s="26">
        <v>202833.0</v>
      </c>
      <c r="W52" s="27"/>
      <c r="X52" s="27"/>
      <c r="Y52" s="29" t="s">
        <v>122</v>
      </c>
    </row>
    <row r="53" ht="14.25" customHeight="1">
      <c r="A53" s="15" t="s">
        <v>123</v>
      </c>
      <c r="B53" s="16">
        <v>12.0</v>
      </c>
      <c r="C53" s="17">
        <v>1.0</v>
      </c>
      <c r="D53" s="16">
        <v>65.0</v>
      </c>
      <c r="E53" s="17">
        <v>1.0</v>
      </c>
      <c r="F53" s="16">
        <v>75.0</v>
      </c>
      <c r="G53" s="17">
        <v>2.0</v>
      </c>
      <c r="H53" s="16">
        <v>9.0</v>
      </c>
      <c r="I53" s="17">
        <v>8.0</v>
      </c>
      <c r="J53" s="16">
        <v>87.0</v>
      </c>
      <c r="K53" s="17">
        <v>0.0</v>
      </c>
      <c r="L53" s="18" t="s">
        <v>24</v>
      </c>
      <c r="M53" s="19">
        <v>66.0</v>
      </c>
      <c r="N53" s="20">
        <v>0.07</v>
      </c>
      <c r="O53" s="21">
        <v>7.15</v>
      </c>
      <c r="P53" s="22">
        <v>2.0</v>
      </c>
      <c r="Q53" s="23">
        <v>88.0</v>
      </c>
      <c r="R53" s="24">
        <v>5.2483</v>
      </c>
      <c r="S53" s="24">
        <v>5.2483</v>
      </c>
      <c r="T53" s="24">
        <v>11.392</v>
      </c>
      <c r="U53" s="25">
        <v>313.79</v>
      </c>
      <c r="V53" s="26">
        <v>157390.0</v>
      </c>
      <c r="W53" s="27"/>
      <c r="X53" s="27"/>
      <c r="Y53" s="29" t="s">
        <v>124</v>
      </c>
    </row>
    <row r="54" ht="14.25" customHeight="1">
      <c r="A54" s="15" t="s">
        <v>125</v>
      </c>
      <c r="B54" s="16">
        <v>39.0</v>
      </c>
      <c r="C54" s="17">
        <v>1.0</v>
      </c>
      <c r="D54" s="16">
        <v>65.0</v>
      </c>
      <c r="E54" s="17">
        <v>2.0</v>
      </c>
      <c r="F54" s="16">
        <v>14.0</v>
      </c>
      <c r="G54" s="17">
        <v>2.0</v>
      </c>
      <c r="H54" s="16">
        <v>9.0</v>
      </c>
      <c r="I54" s="17">
        <v>7.0</v>
      </c>
      <c r="J54" s="16">
        <v>87.0</v>
      </c>
      <c r="K54" s="17">
        <v>0.0</v>
      </c>
      <c r="L54" s="18" t="s">
        <v>24</v>
      </c>
      <c r="M54" s="19">
        <v>66.0</v>
      </c>
      <c r="N54" s="20">
        <v>0.05</v>
      </c>
      <c r="O54" s="21">
        <v>6.94</v>
      </c>
      <c r="P54" s="22">
        <v>2.0</v>
      </c>
      <c r="Q54" s="23">
        <v>139.0</v>
      </c>
      <c r="R54" s="24">
        <v>3.7067</v>
      </c>
      <c r="S54" s="24">
        <v>3.7067</v>
      </c>
      <c r="T54" s="24">
        <v>19.796</v>
      </c>
      <c r="U54" s="25">
        <v>271.99</v>
      </c>
      <c r="V54" s="26">
        <v>33580.0</v>
      </c>
      <c r="W54" s="27"/>
      <c r="X54" s="27"/>
      <c r="Y54" s="29" t="s">
        <v>126</v>
      </c>
    </row>
    <row r="55" ht="14.25" customHeight="1">
      <c r="A55" s="15" t="s">
        <v>127</v>
      </c>
      <c r="B55" s="16">
        <v>57.0</v>
      </c>
      <c r="C55" s="17">
        <v>1.0</v>
      </c>
      <c r="D55" s="16">
        <v>58.0</v>
      </c>
      <c r="E55" s="17">
        <v>2.0</v>
      </c>
      <c r="F55" s="16">
        <v>31.0</v>
      </c>
      <c r="G55" s="17">
        <v>1.0</v>
      </c>
      <c r="H55" s="16">
        <v>9.0</v>
      </c>
      <c r="I55" s="17">
        <v>5.0</v>
      </c>
      <c r="J55" s="16">
        <v>87.0</v>
      </c>
      <c r="K55" s="17">
        <v>0.0</v>
      </c>
      <c r="L55" s="18" t="s">
        <v>24</v>
      </c>
      <c r="M55" s="19">
        <v>66.0</v>
      </c>
      <c r="N55" s="20">
        <v>0.06</v>
      </c>
      <c r="O55" s="21">
        <v>6.72</v>
      </c>
      <c r="P55" s="22">
        <v>2.0</v>
      </c>
      <c r="Q55" s="23">
        <v>140.0</v>
      </c>
      <c r="R55" s="24">
        <v>6.90991</v>
      </c>
      <c r="S55" s="24">
        <v>6.90991</v>
      </c>
      <c r="T55" s="24">
        <v>11.59782</v>
      </c>
      <c r="U55" s="25">
        <v>553.76</v>
      </c>
      <c r="V55" s="26">
        <v>88598.0</v>
      </c>
      <c r="W55" s="27"/>
      <c r="X55" s="27"/>
      <c r="Y55" s="29" t="s">
        <v>128</v>
      </c>
    </row>
    <row r="56" ht="14.25" customHeight="1">
      <c r="A56" s="15" t="s">
        <v>30</v>
      </c>
      <c r="B56" s="16">
        <v>21.0</v>
      </c>
      <c r="C56" s="17">
        <v>1.0</v>
      </c>
      <c r="D56" s="16">
        <v>43.0</v>
      </c>
      <c r="E56" s="17">
        <v>1.0</v>
      </c>
      <c r="F56" s="16">
        <v>9.0</v>
      </c>
      <c r="G56" s="17">
        <v>4.0</v>
      </c>
      <c r="H56" s="16">
        <v>87.0</v>
      </c>
      <c r="I56" s="17">
        <v>0.0</v>
      </c>
      <c r="J56" s="16">
        <v>87.0</v>
      </c>
      <c r="K56" s="17">
        <v>0.0</v>
      </c>
      <c r="L56" s="18" t="s">
        <v>24</v>
      </c>
      <c r="M56" s="19">
        <v>66.0</v>
      </c>
      <c r="N56" s="20">
        <v>0.1</v>
      </c>
      <c r="O56" s="21">
        <v>4.25</v>
      </c>
      <c r="P56" s="22">
        <v>2.0</v>
      </c>
      <c r="Q56" s="23">
        <v>88.0</v>
      </c>
      <c r="R56" s="24">
        <v>5.226</v>
      </c>
      <c r="S56" s="24">
        <v>5.226</v>
      </c>
      <c r="T56" s="24">
        <v>11.4352</v>
      </c>
      <c r="U56" s="25">
        <v>312.31</v>
      </c>
      <c r="V56" s="26">
        <v>43145.0</v>
      </c>
      <c r="W56" s="27"/>
      <c r="X56" s="27"/>
      <c r="Y56" s="29" t="s">
        <v>129</v>
      </c>
    </row>
    <row r="57" ht="14.25" customHeight="1">
      <c r="A57" s="15" t="s">
        <v>130</v>
      </c>
      <c r="B57" s="16">
        <v>39.0</v>
      </c>
      <c r="C57" s="17">
        <v>3.0</v>
      </c>
      <c r="D57" s="16">
        <v>6.0</v>
      </c>
      <c r="E57" s="17">
        <v>2.0</v>
      </c>
      <c r="F57" s="16">
        <v>9.0</v>
      </c>
      <c r="G57" s="17">
        <v>6.0</v>
      </c>
      <c r="H57" s="16">
        <v>87.0</v>
      </c>
      <c r="I57" s="17">
        <v>0.0</v>
      </c>
      <c r="J57" s="16">
        <v>87.0</v>
      </c>
      <c r="K57" s="17">
        <v>0.0</v>
      </c>
      <c r="L57" s="18" t="s">
        <v>24</v>
      </c>
      <c r="M57" s="19">
        <v>66.0</v>
      </c>
      <c r="N57" s="20">
        <v>0.03</v>
      </c>
      <c r="O57" s="21">
        <v>4.26</v>
      </c>
      <c r="P57" s="22">
        <v>4.0</v>
      </c>
      <c r="Q57" s="23">
        <v>167.0</v>
      </c>
      <c r="R57" s="24">
        <v>9.0449</v>
      </c>
      <c r="S57" s="24">
        <v>9.0449</v>
      </c>
      <c r="T57" s="24">
        <v>12.5739</v>
      </c>
      <c r="U57" s="25">
        <v>890.85</v>
      </c>
      <c r="V57" s="26">
        <v>175618.0</v>
      </c>
      <c r="W57" s="27"/>
      <c r="X57" s="27"/>
      <c r="Y57" s="29" t="s">
        <v>131</v>
      </c>
    </row>
    <row r="58" ht="14.25" customHeight="1">
      <c r="A58" s="15" t="s">
        <v>100</v>
      </c>
      <c r="B58" s="16">
        <v>39.0</v>
      </c>
      <c r="C58" s="17">
        <v>1.0</v>
      </c>
      <c r="D58" s="16">
        <v>58.0</v>
      </c>
      <c r="E58" s="17">
        <v>1.0</v>
      </c>
      <c r="F58" s="16">
        <v>14.0</v>
      </c>
      <c r="G58" s="17">
        <v>1.0</v>
      </c>
      <c r="H58" s="16">
        <v>9.0</v>
      </c>
      <c r="I58" s="17">
        <v>4.0</v>
      </c>
      <c r="J58" s="16">
        <v>87.0</v>
      </c>
      <c r="K58" s="17">
        <v>0.0</v>
      </c>
      <c r="L58" s="18" t="s">
        <v>24</v>
      </c>
      <c r="M58" s="19">
        <v>66.0</v>
      </c>
      <c r="N58" s="20">
        <v>0.05</v>
      </c>
      <c r="O58" s="21">
        <v>5.92</v>
      </c>
      <c r="P58" s="22">
        <v>2.0</v>
      </c>
      <c r="Q58" s="23">
        <v>139.0</v>
      </c>
      <c r="R58" s="24">
        <v>3.75576</v>
      </c>
      <c r="S58" s="24">
        <v>3.75576</v>
      </c>
      <c r="T58" s="24">
        <v>12.6377</v>
      </c>
      <c r="U58" s="25">
        <v>178.26</v>
      </c>
      <c r="V58" s="26">
        <v>184710.0</v>
      </c>
      <c r="W58" s="27"/>
      <c r="X58" s="27"/>
      <c r="Y58" s="29" t="s">
        <v>132</v>
      </c>
    </row>
    <row r="59" ht="14.25" customHeight="1">
      <c r="A59" s="15" t="s">
        <v>133</v>
      </c>
      <c r="B59" s="16">
        <v>39.0</v>
      </c>
      <c r="C59" s="17">
        <v>1.0</v>
      </c>
      <c r="D59" s="16">
        <v>6.0</v>
      </c>
      <c r="E59" s="17">
        <v>2.0</v>
      </c>
      <c r="F59" s="16">
        <v>9.0</v>
      </c>
      <c r="G59" s="17">
        <v>4.0</v>
      </c>
      <c r="H59" s="16">
        <v>87.0</v>
      </c>
      <c r="I59" s="17">
        <v>0.0</v>
      </c>
      <c r="J59" s="16">
        <v>87.0</v>
      </c>
      <c r="K59" s="17">
        <v>0.0</v>
      </c>
      <c r="L59" s="18" t="s">
        <v>24</v>
      </c>
      <c r="M59" s="19">
        <v>66.0</v>
      </c>
      <c r="N59" s="20">
        <v>0.1</v>
      </c>
      <c r="O59" s="21">
        <v>3.35</v>
      </c>
      <c r="P59" s="22">
        <v>3.0</v>
      </c>
      <c r="Q59" s="23">
        <v>60.0</v>
      </c>
      <c r="R59" s="24">
        <v>12.0135</v>
      </c>
      <c r="S59" s="24">
        <v>4.339</v>
      </c>
      <c r="T59" s="24">
        <v>6.5864</v>
      </c>
      <c r="U59" s="25">
        <v>343.33</v>
      </c>
      <c r="V59" s="26">
        <v>203226.0</v>
      </c>
      <c r="W59" s="27"/>
      <c r="X59" s="27"/>
      <c r="Y59" s="29" t="s">
        <v>134</v>
      </c>
    </row>
    <row r="60" ht="14.25" customHeight="1">
      <c r="A60" s="15" t="s">
        <v>135</v>
      </c>
      <c r="B60" s="16">
        <v>21.0</v>
      </c>
      <c r="C60" s="17">
        <v>2.0</v>
      </c>
      <c r="D60" s="16">
        <v>32.0</v>
      </c>
      <c r="E60" s="17">
        <v>2.0</v>
      </c>
      <c r="F60" s="16">
        <v>15.0</v>
      </c>
      <c r="G60" s="17">
        <v>1.0</v>
      </c>
      <c r="H60" s="16">
        <v>9.0</v>
      </c>
      <c r="I60" s="17">
        <v>7.0</v>
      </c>
      <c r="J60" s="16">
        <v>87.0</v>
      </c>
      <c r="K60" s="17">
        <v>0.0</v>
      </c>
      <c r="L60" s="18" t="s">
        <v>24</v>
      </c>
      <c r="M60" s="19">
        <v>66.0</v>
      </c>
      <c r="N60" s="20">
        <v>0.05</v>
      </c>
      <c r="O60" s="21">
        <v>3.83</v>
      </c>
      <c r="P60" s="22">
        <v>2.0</v>
      </c>
      <c r="Q60" s="23">
        <v>113.0</v>
      </c>
      <c r="R60" s="24">
        <v>7.793</v>
      </c>
      <c r="S60" s="24">
        <v>7.793</v>
      </c>
      <c r="T60" s="24">
        <v>5.132</v>
      </c>
      <c r="U60" s="25">
        <v>311.67</v>
      </c>
      <c r="V60" s="26">
        <v>167390.0</v>
      </c>
      <c r="W60" s="27"/>
      <c r="X60" s="27"/>
      <c r="Y60" s="29" t="s">
        <v>136</v>
      </c>
    </row>
    <row r="61" ht="14.25" customHeight="1">
      <c r="A61" s="15" t="s">
        <v>137</v>
      </c>
      <c r="B61" s="16">
        <v>31.0</v>
      </c>
      <c r="C61" s="17">
        <v>1.0</v>
      </c>
      <c r="D61" s="16">
        <v>58.0</v>
      </c>
      <c r="E61" s="17">
        <v>1.0</v>
      </c>
      <c r="F61" s="16">
        <v>6.0</v>
      </c>
      <c r="G61" s="17">
        <v>5.0</v>
      </c>
      <c r="H61" s="16">
        <v>9.0</v>
      </c>
      <c r="I61" s="17">
        <v>10.0</v>
      </c>
      <c r="J61" s="16">
        <v>87.0</v>
      </c>
      <c r="K61" s="17">
        <v>0.0</v>
      </c>
      <c r="L61" s="18" t="s">
        <v>24</v>
      </c>
      <c r="M61" s="19">
        <v>66.0</v>
      </c>
      <c r="N61" s="20">
        <v>0.3</v>
      </c>
      <c r="O61" s="21">
        <v>4.34</v>
      </c>
      <c r="P61" s="22">
        <v>6.0</v>
      </c>
      <c r="Q61" s="23">
        <v>14.0</v>
      </c>
      <c r="R61" s="24">
        <v>8.7923</v>
      </c>
      <c r="S61" s="24">
        <v>7.629</v>
      </c>
      <c r="T61" s="24">
        <v>9.566</v>
      </c>
      <c r="U61" s="25">
        <v>640.96</v>
      </c>
      <c r="V61" s="26">
        <v>248011.0</v>
      </c>
      <c r="W61" s="27"/>
      <c r="X61" s="27"/>
      <c r="Y61" s="29" t="s">
        <v>138</v>
      </c>
    </row>
    <row r="62" ht="14.25" customHeight="1">
      <c r="A62" s="15" t="s">
        <v>139</v>
      </c>
      <c r="B62" s="16">
        <v>14.0</v>
      </c>
      <c r="C62" s="17">
        <v>1.0</v>
      </c>
      <c r="D62" s="16">
        <v>16.0</v>
      </c>
      <c r="E62" s="17">
        <v>1.0</v>
      </c>
      <c r="F62" s="16">
        <v>9.0</v>
      </c>
      <c r="G62" s="17">
        <v>4.0</v>
      </c>
      <c r="H62" s="16">
        <v>87.0</v>
      </c>
      <c r="I62" s="17">
        <v>0.0</v>
      </c>
      <c r="J62" s="16">
        <v>87.0</v>
      </c>
      <c r="K62" s="17">
        <v>0.0</v>
      </c>
      <c r="L62" s="18" t="s">
        <v>24</v>
      </c>
      <c r="M62" s="19">
        <v>66.0</v>
      </c>
      <c r="N62" s="20">
        <v>0.03</v>
      </c>
      <c r="O62" s="21">
        <v>1.61</v>
      </c>
      <c r="P62" s="22">
        <v>5.0</v>
      </c>
      <c r="Q62" s="23">
        <v>176.0</v>
      </c>
      <c r="R62" s="24">
        <v>13.068</v>
      </c>
      <c r="S62" s="24">
        <v>13.068</v>
      </c>
      <c r="T62" s="24">
        <v>15.3384</v>
      </c>
      <c r="U62" s="25">
        <v>2268.44</v>
      </c>
      <c r="V62" s="26">
        <v>128337.0</v>
      </c>
      <c r="W62" s="27"/>
      <c r="X62" s="27"/>
      <c r="Y62" s="29" t="s">
        <v>140</v>
      </c>
    </row>
    <row r="63" ht="14.25" customHeight="1">
      <c r="A63" s="15" t="s">
        <v>86</v>
      </c>
      <c r="B63" s="16">
        <v>84.0</v>
      </c>
      <c r="C63" s="17">
        <v>1.0</v>
      </c>
      <c r="D63" s="16">
        <v>16.0</v>
      </c>
      <c r="E63" s="17">
        <v>1.0</v>
      </c>
      <c r="F63" s="16">
        <v>9.0</v>
      </c>
      <c r="G63" s="17">
        <v>4.0</v>
      </c>
      <c r="H63" s="16">
        <v>87.0</v>
      </c>
      <c r="I63" s="17">
        <v>0.0</v>
      </c>
      <c r="J63" s="16">
        <v>87.0</v>
      </c>
      <c r="K63" s="17">
        <v>0.0</v>
      </c>
      <c r="L63" s="18" t="s">
        <v>24</v>
      </c>
      <c r="M63" s="19">
        <v>66.0</v>
      </c>
      <c r="N63" s="20">
        <v>0.15</v>
      </c>
      <c r="O63" s="21">
        <v>6.33</v>
      </c>
      <c r="P63" s="22">
        <v>6.0</v>
      </c>
      <c r="Q63" s="23">
        <v>11.0</v>
      </c>
      <c r="R63" s="24">
        <v>4.8472</v>
      </c>
      <c r="S63" s="24">
        <v>7.0586</v>
      </c>
      <c r="T63" s="24">
        <v>4.6863</v>
      </c>
      <c r="U63" s="25">
        <v>159.42</v>
      </c>
      <c r="V63" s="26">
        <v>19699.0</v>
      </c>
      <c r="W63" s="27"/>
      <c r="X63" s="27"/>
      <c r="Y63" s="29" t="s">
        <v>141</v>
      </c>
    </row>
    <row r="64" ht="14.25" customHeight="1">
      <c r="A64" s="15" t="s">
        <v>142</v>
      </c>
      <c r="B64" s="16">
        <v>20.0</v>
      </c>
      <c r="C64" s="17">
        <v>3.0</v>
      </c>
      <c r="D64" s="16">
        <v>58.0</v>
      </c>
      <c r="E64" s="17">
        <v>1.0</v>
      </c>
      <c r="F64" s="16">
        <v>16.0</v>
      </c>
      <c r="G64" s="17">
        <v>2.0</v>
      </c>
      <c r="H64" s="16">
        <v>9.0</v>
      </c>
      <c r="I64" s="17">
        <v>8.0</v>
      </c>
      <c r="J64" s="16">
        <v>87.0</v>
      </c>
      <c r="K64" s="17">
        <v>0.0</v>
      </c>
      <c r="L64" s="18" t="s">
        <v>24</v>
      </c>
      <c r="M64" s="19">
        <v>66.0</v>
      </c>
      <c r="N64" s="20">
        <v>0.3</v>
      </c>
      <c r="O64" s="21">
        <v>3.63</v>
      </c>
      <c r="P64" s="22">
        <v>6.0</v>
      </c>
      <c r="Q64" s="23">
        <v>11.0</v>
      </c>
      <c r="R64" s="24">
        <v>7.503</v>
      </c>
      <c r="S64" s="30">
        <v>5656.0</v>
      </c>
      <c r="T64" s="24">
        <v>9.631</v>
      </c>
      <c r="U64" s="25">
        <v>408.66</v>
      </c>
      <c r="V64" s="26">
        <v>196127.0</v>
      </c>
      <c r="W64" s="27"/>
      <c r="X64" s="27"/>
      <c r="Y64" s="29" t="s">
        <v>143</v>
      </c>
    </row>
    <row r="65" ht="14.25" customHeight="1">
      <c r="A65" s="15" t="s">
        <v>144</v>
      </c>
      <c r="B65" s="16">
        <v>39.0</v>
      </c>
      <c r="C65" s="17">
        <v>3.0</v>
      </c>
      <c r="D65" s="16">
        <v>40.0</v>
      </c>
      <c r="E65" s="17">
        <v>1.0</v>
      </c>
      <c r="F65" s="16">
        <v>6.0</v>
      </c>
      <c r="G65" s="17">
        <v>3.0</v>
      </c>
      <c r="H65" s="16">
        <v>9.0</v>
      </c>
      <c r="I65" s="17">
        <v>9.0</v>
      </c>
      <c r="J65" s="16">
        <v>87.0</v>
      </c>
      <c r="K65" s="17">
        <v>0.0</v>
      </c>
      <c r="L65" s="18" t="s">
        <v>24</v>
      </c>
      <c r="M65" s="19">
        <v>66.0</v>
      </c>
      <c r="N65" s="20">
        <v>0.15</v>
      </c>
      <c r="O65" s="21" t="s">
        <v>145</v>
      </c>
      <c r="P65" s="22">
        <v>4.0</v>
      </c>
      <c r="Q65" s="23">
        <v>148.0</v>
      </c>
      <c r="R65" s="24">
        <v>12.527</v>
      </c>
      <c r="S65" s="24">
        <v>12.527</v>
      </c>
      <c r="T65" s="24">
        <v>9.28</v>
      </c>
      <c r="U65" s="25">
        <v>1261.17</v>
      </c>
      <c r="V65" s="26">
        <v>246230.0</v>
      </c>
      <c r="W65" s="27"/>
      <c r="X65" s="27"/>
      <c r="Y65" s="29" t="s">
        <v>146</v>
      </c>
    </row>
    <row r="66" ht="14.25" customHeight="1">
      <c r="A66" s="15" t="s">
        <v>147</v>
      </c>
      <c r="B66" s="16">
        <v>12.0</v>
      </c>
      <c r="C66" s="17">
        <v>1.0</v>
      </c>
      <c r="D66" s="16">
        <v>57.0</v>
      </c>
      <c r="E66" s="17">
        <v>1.0</v>
      </c>
      <c r="F66" s="16">
        <v>22.0</v>
      </c>
      <c r="G66" s="17">
        <v>1.0</v>
      </c>
      <c r="H66" s="16">
        <v>15.0</v>
      </c>
      <c r="I66" s="17">
        <v>2.0</v>
      </c>
      <c r="J66" s="16">
        <v>9.0</v>
      </c>
      <c r="K66" s="17">
        <v>7.0</v>
      </c>
      <c r="L66" s="18" t="s">
        <v>24</v>
      </c>
      <c r="M66" s="19">
        <v>66.0</v>
      </c>
      <c r="N66" s="20">
        <v>0.0125</v>
      </c>
      <c r="O66" s="21">
        <v>3.87</v>
      </c>
      <c r="P66" s="22">
        <v>6.0</v>
      </c>
      <c r="Q66" s="23">
        <v>11.0</v>
      </c>
      <c r="R66" s="24">
        <v>6.845</v>
      </c>
      <c r="S66" s="24">
        <v>5.626</v>
      </c>
      <c r="T66" s="24">
        <v>8.819</v>
      </c>
      <c r="U66" s="25">
        <v>320.47</v>
      </c>
      <c r="V66" s="26">
        <v>166998.0</v>
      </c>
      <c r="W66" s="27"/>
      <c r="X66" s="27"/>
      <c r="Y66" s="29" t="s">
        <v>148</v>
      </c>
    </row>
    <row r="67" ht="14.25" customHeight="1">
      <c r="A67" s="15" t="s">
        <v>149</v>
      </c>
      <c r="B67" s="16">
        <v>65.0</v>
      </c>
      <c r="C67" s="17">
        <v>2.0</v>
      </c>
      <c r="D67" s="16">
        <v>41.0</v>
      </c>
      <c r="E67" s="17">
        <v>2.0</v>
      </c>
      <c r="F67" s="16">
        <v>9.0</v>
      </c>
      <c r="G67" s="17">
        <v>7.0</v>
      </c>
      <c r="H67" s="16">
        <v>87.0</v>
      </c>
      <c r="I67" s="17">
        <v>0.0</v>
      </c>
      <c r="J67" s="16">
        <v>87.0</v>
      </c>
      <c r="K67" s="17">
        <v>0.0</v>
      </c>
      <c r="L67" s="18" t="s">
        <v>24</v>
      </c>
      <c r="M67" s="19">
        <v>66.0</v>
      </c>
      <c r="N67" s="20">
        <v>0.05</v>
      </c>
      <c r="O67" s="21">
        <v>6.92</v>
      </c>
      <c r="P67" s="22">
        <v>1.0</v>
      </c>
      <c r="Q67" s="23">
        <v>225.0</v>
      </c>
      <c r="R67" s="24">
        <v>5.2682</v>
      </c>
      <c r="S67" s="24">
        <v>5.2682</v>
      </c>
      <c r="T67" s="24">
        <v>5.2682</v>
      </c>
      <c r="U67" s="25">
        <v>146.21</v>
      </c>
      <c r="V67" s="26">
        <v>35074.0</v>
      </c>
      <c r="W67" s="27"/>
      <c r="X67" s="27"/>
      <c r="Y67" s="29" t="s">
        <v>150</v>
      </c>
    </row>
    <row r="68" ht="14.25" customHeight="1">
      <c r="A68" s="15" t="s">
        <v>32</v>
      </c>
      <c r="B68" s="16">
        <v>57.0</v>
      </c>
      <c r="C68" s="17">
        <v>2.0</v>
      </c>
      <c r="D68" s="16">
        <v>15.0</v>
      </c>
      <c r="E68" s="17">
        <v>1.0</v>
      </c>
      <c r="F68" s="16">
        <v>9.0</v>
      </c>
      <c r="G68" s="17">
        <v>4.0</v>
      </c>
      <c r="H68" s="16">
        <v>87.0</v>
      </c>
      <c r="I68" s="17">
        <v>0.0</v>
      </c>
      <c r="J68" s="16">
        <v>87.0</v>
      </c>
      <c r="K68" s="17">
        <v>0.0</v>
      </c>
      <c r="L68" s="18" t="s">
        <v>24</v>
      </c>
      <c r="M68" s="19">
        <v>66.0</v>
      </c>
      <c r="N68" s="20">
        <v>0.04</v>
      </c>
      <c r="O68" s="21">
        <v>5.47</v>
      </c>
      <c r="P68" s="22">
        <v>3.0</v>
      </c>
      <c r="Q68" s="23">
        <v>62.0</v>
      </c>
      <c r="R68" s="24">
        <v>5.809901</v>
      </c>
      <c r="S68" s="24">
        <v>10.217402</v>
      </c>
      <c r="T68" s="24">
        <v>7.507104</v>
      </c>
      <c r="U68" s="25">
        <v>445.63</v>
      </c>
      <c r="V68" s="26">
        <v>7656.0</v>
      </c>
      <c r="W68" s="27"/>
      <c r="X68" s="27"/>
      <c r="Y68" s="29" t="s">
        <v>151</v>
      </c>
    </row>
    <row r="69" ht="14.25" customHeight="1">
      <c r="A69" s="15" t="s">
        <v>152</v>
      </c>
      <c r="B69" s="16">
        <v>4.0</v>
      </c>
      <c r="C69" s="17">
        <v>1.0</v>
      </c>
      <c r="D69" s="16">
        <v>12.0</v>
      </c>
      <c r="E69" s="17">
        <v>3.0</v>
      </c>
      <c r="F69" s="16">
        <v>16.0</v>
      </c>
      <c r="G69" s="17">
        <v>2.0</v>
      </c>
      <c r="H69" s="16">
        <v>9.0</v>
      </c>
      <c r="I69" s="17">
        <v>7.0</v>
      </c>
      <c r="J69" s="16">
        <v>87.0</v>
      </c>
      <c r="K69" s="17">
        <v>0.0</v>
      </c>
      <c r="L69" s="18" t="s">
        <v>24</v>
      </c>
      <c r="M69" s="19">
        <v>66.0</v>
      </c>
      <c r="N69" s="20">
        <v>0.09</v>
      </c>
      <c r="O69" s="21">
        <v>2.69</v>
      </c>
      <c r="P69" s="22">
        <v>3.0</v>
      </c>
      <c r="Q69" s="23">
        <v>20.0</v>
      </c>
      <c r="R69" s="24">
        <v>5.4966</v>
      </c>
      <c r="S69" s="24">
        <v>9.1365</v>
      </c>
      <c r="T69" s="24">
        <v>12.2764</v>
      </c>
      <c r="U69" s="25">
        <v>616.51</v>
      </c>
      <c r="V69" s="26">
        <v>424375.0</v>
      </c>
      <c r="W69" s="27"/>
      <c r="X69" s="27"/>
      <c r="Y69" s="29" t="s">
        <v>153</v>
      </c>
    </row>
    <row r="70" ht="14.25" customHeight="1">
      <c r="A70" s="15" t="s">
        <v>154</v>
      </c>
      <c r="B70" s="16">
        <v>84.0</v>
      </c>
      <c r="C70" s="17">
        <v>2.0</v>
      </c>
      <c r="D70" s="16">
        <v>9.0</v>
      </c>
      <c r="E70" s="17">
        <v>3.0</v>
      </c>
      <c r="F70" s="16">
        <v>87.0</v>
      </c>
      <c r="G70" s="17">
        <v>0.0</v>
      </c>
      <c r="H70" s="16">
        <v>87.0</v>
      </c>
      <c r="I70" s="17">
        <v>0.0</v>
      </c>
      <c r="J70" s="16">
        <v>87.0</v>
      </c>
      <c r="K70" s="17">
        <v>0.0</v>
      </c>
      <c r="L70" s="18" t="s">
        <v>24</v>
      </c>
      <c r="M70" s="19">
        <v>66.0</v>
      </c>
      <c r="N70" s="20">
        <v>0.05</v>
      </c>
      <c r="O70" s="21">
        <v>9.41</v>
      </c>
      <c r="P70" s="22">
        <v>1.0</v>
      </c>
      <c r="Q70" s="23">
        <v>197.0</v>
      </c>
      <c r="R70" s="24">
        <v>10.226</v>
      </c>
      <c r="S70" s="24">
        <v>10.226</v>
      </c>
      <c r="T70" s="24">
        <v>10.226</v>
      </c>
      <c r="U70" s="25">
        <v>1069.34</v>
      </c>
      <c r="V70" s="26">
        <v>145373.0</v>
      </c>
      <c r="W70" s="27"/>
      <c r="X70" s="27"/>
      <c r="Y70" s="29" t="s">
        <v>155</v>
      </c>
    </row>
    <row r="71" ht="14.25" customHeight="1">
      <c r="A71" s="15" t="s">
        <v>156</v>
      </c>
      <c r="B71" s="16">
        <v>4.0</v>
      </c>
      <c r="C71" s="17">
        <v>1.0</v>
      </c>
      <c r="D71" s="16">
        <v>57.0</v>
      </c>
      <c r="E71" s="17">
        <v>1.0</v>
      </c>
      <c r="F71" s="16">
        <v>6.0</v>
      </c>
      <c r="G71" s="17">
        <v>1.0</v>
      </c>
      <c r="H71" s="16">
        <v>9.0</v>
      </c>
      <c r="I71" s="17">
        <v>3.0</v>
      </c>
      <c r="J71" s="16">
        <v>87.0</v>
      </c>
      <c r="K71" s="17">
        <v>0.0</v>
      </c>
      <c r="L71" s="18" t="s">
        <v>24</v>
      </c>
      <c r="M71" s="19">
        <v>66.0</v>
      </c>
      <c r="N71" s="20">
        <v>0.03</v>
      </c>
      <c r="O71" s="21">
        <v>4.67</v>
      </c>
      <c r="P71" s="22">
        <v>6.0</v>
      </c>
      <c r="Q71" s="23">
        <v>14.0</v>
      </c>
      <c r="R71" s="24">
        <v>6.372</v>
      </c>
      <c r="S71" s="24">
        <v>7.022</v>
      </c>
      <c r="T71" s="24">
        <v>7.058</v>
      </c>
      <c r="U71" s="25">
        <v>288.75</v>
      </c>
      <c r="V71" s="26">
        <v>92843.0</v>
      </c>
      <c r="W71" s="27"/>
      <c r="X71" s="27"/>
      <c r="Y71" s="29" t="s">
        <v>157</v>
      </c>
    </row>
    <row r="72" ht="14.25" customHeight="1">
      <c r="A72" s="15" t="s">
        <v>158</v>
      </c>
      <c r="B72" s="16">
        <v>39.0</v>
      </c>
      <c r="C72" s="17">
        <v>1.0</v>
      </c>
      <c r="D72" s="16">
        <v>17.0</v>
      </c>
      <c r="E72" s="17">
        <v>1.0</v>
      </c>
      <c r="F72" s="16">
        <v>9.0</v>
      </c>
      <c r="G72" s="17">
        <v>4.0</v>
      </c>
      <c r="H72" s="16">
        <v>87.0</v>
      </c>
      <c r="I72" s="17">
        <v>0.0</v>
      </c>
      <c r="J72" s="16">
        <v>87.0</v>
      </c>
      <c r="K72" s="17">
        <v>0.0</v>
      </c>
      <c r="L72" s="18" t="s">
        <v>24</v>
      </c>
      <c r="M72" s="19">
        <v>66.0</v>
      </c>
      <c r="N72" s="20">
        <v>0.02</v>
      </c>
      <c r="O72" s="21">
        <v>3.97</v>
      </c>
      <c r="P72" s="22">
        <v>3.0</v>
      </c>
      <c r="Q72" s="23">
        <v>62.0</v>
      </c>
      <c r="R72" s="24">
        <v>6.87032</v>
      </c>
      <c r="S72" s="24">
        <v>8.3603</v>
      </c>
      <c r="T72" s="24">
        <v>5.34732</v>
      </c>
      <c r="U72" s="25">
        <v>307.14</v>
      </c>
      <c r="V72" s="26">
        <v>190063.0</v>
      </c>
      <c r="W72" s="27"/>
      <c r="X72" s="27"/>
      <c r="Y72" s="29" t="s">
        <v>159</v>
      </c>
    </row>
    <row r="73" ht="14.25" customHeight="1">
      <c r="A73" s="15" t="s">
        <v>160</v>
      </c>
      <c r="B73" s="16">
        <v>4.0</v>
      </c>
      <c r="C73" s="17">
        <v>1.0</v>
      </c>
      <c r="D73" s="16">
        <v>14.0</v>
      </c>
      <c r="E73" s="17">
        <v>7.0</v>
      </c>
      <c r="F73" s="16">
        <v>6.0</v>
      </c>
      <c r="G73" s="17">
        <v>4.0</v>
      </c>
      <c r="H73" s="16">
        <v>9.0</v>
      </c>
      <c r="I73" s="17">
        <v>17.0</v>
      </c>
      <c r="J73" s="16">
        <v>87.0</v>
      </c>
      <c r="K73" s="17">
        <v>0.0</v>
      </c>
      <c r="L73" s="18" t="s">
        <v>24</v>
      </c>
      <c r="M73" s="19">
        <v>66.0</v>
      </c>
      <c r="N73" s="20">
        <v>0.02</v>
      </c>
      <c r="O73" s="21">
        <v>2.71</v>
      </c>
      <c r="P73" s="22">
        <v>2.0</v>
      </c>
      <c r="Q73" s="23">
        <v>87.0</v>
      </c>
      <c r="R73" s="24">
        <v>10.5454</v>
      </c>
      <c r="S73" s="24">
        <v>10.5454</v>
      </c>
      <c r="T73" s="24">
        <v>5.6246</v>
      </c>
      <c r="U73" s="25">
        <v>625.49</v>
      </c>
      <c r="V73" s="26">
        <v>84240.0</v>
      </c>
      <c r="W73" s="27"/>
      <c r="X73" s="27"/>
      <c r="Y73" s="29" t="s">
        <v>161</v>
      </c>
    </row>
    <row r="74" ht="14.25" customHeight="1">
      <c r="A74" s="15" t="s">
        <v>88</v>
      </c>
      <c r="B74" s="16">
        <v>21.0</v>
      </c>
      <c r="C74" s="17">
        <v>1.0</v>
      </c>
      <c r="D74" s="16">
        <v>75.0</v>
      </c>
      <c r="E74" s="17">
        <v>1.0</v>
      </c>
      <c r="F74" s="16">
        <v>9.0</v>
      </c>
      <c r="G74" s="17">
        <v>4.0</v>
      </c>
      <c r="H74" s="16">
        <v>87.0</v>
      </c>
      <c r="I74" s="17">
        <v>0.0</v>
      </c>
      <c r="J74" s="16">
        <v>87.0</v>
      </c>
      <c r="K74" s="17">
        <v>0.0</v>
      </c>
      <c r="L74" s="18" t="s">
        <v>24</v>
      </c>
      <c r="M74" s="19">
        <v>66.0</v>
      </c>
      <c r="N74" s="20">
        <v>0.03</v>
      </c>
      <c r="O74" s="21">
        <v>6.15</v>
      </c>
      <c r="P74" s="22">
        <v>2.0</v>
      </c>
      <c r="Q74" s="23">
        <v>88.0</v>
      </c>
      <c r="R74" s="24">
        <v>5.24</v>
      </c>
      <c r="S74" s="24">
        <v>5.24</v>
      </c>
      <c r="T74" s="24">
        <v>11.34579</v>
      </c>
      <c r="U74" s="25">
        <v>310.74</v>
      </c>
      <c r="V74" s="26">
        <v>177590.0</v>
      </c>
      <c r="W74" s="27"/>
      <c r="X74" s="27"/>
      <c r="Y74" s="29" t="s">
        <v>162</v>
      </c>
    </row>
    <row r="75" ht="14.25" customHeight="1">
      <c r="A75" s="15" t="s">
        <v>163</v>
      </c>
      <c r="B75" s="16">
        <v>12.0</v>
      </c>
      <c r="C75" s="17">
        <v>1.0</v>
      </c>
      <c r="D75" s="16">
        <v>21.0</v>
      </c>
      <c r="E75" s="17">
        <v>1.0</v>
      </c>
      <c r="F75" s="16">
        <v>32.0</v>
      </c>
      <c r="G75" s="17">
        <v>1.0</v>
      </c>
      <c r="H75" s="16">
        <v>15.0</v>
      </c>
      <c r="I75" s="17">
        <v>2.0</v>
      </c>
      <c r="J75" s="16">
        <v>9.0</v>
      </c>
      <c r="K75" s="17">
        <v>7.0</v>
      </c>
      <c r="L75" s="18" t="s">
        <v>24</v>
      </c>
      <c r="M75" s="19">
        <v>66.0</v>
      </c>
      <c r="N75" s="20">
        <v>0.15</v>
      </c>
      <c r="O75" s="21">
        <v>3.33</v>
      </c>
      <c r="P75" s="22">
        <v>2.0</v>
      </c>
      <c r="Q75" s="23">
        <v>113.0</v>
      </c>
      <c r="R75" s="24">
        <v>7.713</v>
      </c>
      <c r="S75" s="24">
        <v>7.713</v>
      </c>
      <c r="T75" s="24">
        <v>5.052</v>
      </c>
      <c r="U75" s="25">
        <v>300.55</v>
      </c>
      <c r="V75" s="26">
        <v>34062.0</v>
      </c>
      <c r="W75" s="27"/>
      <c r="X75" s="27"/>
      <c r="Y75" s="29" t="s">
        <v>164</v>
      </c>
    </row>
    <row r="76" ht="14.25" customHeight="1">
      <c r="A76" s="15" t="s">
        <v>165</v>
      </c>
      <c r="B76" s="16">
        <v>57.0</v>
      </c>
      <c r="C76" s="17">
        <v>1.0</v>
      </c>
      <c r="D76" s="16">
        <v>75.0</v>
      </c>
      <c r="E76" s="17">
        <v>1.0</v>
      </c>
      <c r="F76" s="16">
        <v>9.0</v>
      </c>
      <c r="G76" s="17">
        <v>4.0</v>
      </c>
      <c r="H76" s="16">
        <v>87.0</v>
      </c>
      <c r="I76" s="17">
        <v>0.0</v>
      </c>
      <c r="J76" s="16">
        <v>87.0</v>
      </c>
      <c r="K76" s="17">
        <v>0.0</v>
      </c>
      <c r="L76" s="18" t="s">
        <v>24</v>
      </c>
      <c r="M76" s="19">
        <v>66.0</v>
      </c>
      <c r="N76" s="20">
        <v>0.12</v>
      </c>
      <c r="O76" s="21">
        <v>6.36</v>
      </c>
      <c r="P76" s="22">
        <v>2.0</v>
      </c>
      <c r="Q76" s="23">
        <v>88.0</v>
      </c>
      <c r="R76" s="24">
        <v>5.6192</v>
      </c>
      <c r="S76" s="24">
        <v>5.6192</v>
      </c>
      <c r="T76" s="24">
        <v>12.7348</v>
      </c>
      <c r="U76" s="25">
        <v>402.11</v>
      </c>
      <c r="V76" s="26">
        <v>129395.0</v>
      </c>
      <c r="W76" s="27"/>
      <c r="X76" s="27"/>
      <c r="Y76" s="29" t="s">
        <v>166</v>
      </c>
    </row>
    <row r="77" ht="14.25" customHeight="1">
      <c r="A77" s="15" t="s">
        <v>167</v>
      </c>
      <c r="B77" s="16">
        <v>39.0</v>
      </c>
      <c r="C77" s="17">
        <v>1.0</v>
      </c>
      <c r="D77" s="16">
        <v>58.0</v>
      </c>
      <c r="E77" s="17">
        <v>1.0</v>
      </c>
      <c r="F77" s="16">
        <v>32.0</v>
      </c>
      <c r="G77" s="17">
        <v>3.0</v>
      </c>
      <c r="H77" s="16">
        <v>9.0</v>
      </c>
      <c r="I77" s="17">
        <v>7.0</v>
      </c>
      <c r="J77" s="16">
        <v>87.0</v>
      </c>
      <c r="K77" s="17">
        <v>0.0</v>
      </c>
      <c r="L77" s="18" t="s">
        <v>24</v>
      </c>
      <c r="M77" s="19">
        <v>66.0</v>
      </c>
      <c r="N77" s="20">
        <v>0.05</v>
      </c>
      <c r="O77" s="21">
        <v>5.26</v>
      </c>
      <c r="P77" s="22">
        <v>2.0</v>
      </c>
      <c r="Q77" s="23">
        <v>113.0</v>
      </c>
      <c r="R77" s="24">
        <v>8.05324</v>
      </c>
      <c r="S77" s="24">
        <v>8.05324</v>
      </c>
      <c r="T77" s="24">
        <v>5.33267</v>
      </c>
      <c r="U77" s="25">
        <v>344.85</v>
      </c>
      <c r="V77" s="26">
        <v>238702.0</v>
      </c>
      <c r="W77" s="27"/>
      <c r="X77" s="27"/>
      <c r="Y77" s="29" t="s">
        <v>168</v>
      </c>
    </row>
    <row r="78" ht="14.25" customHeight="1">
      <c r="A78" s="15" t="s">
        <v>169</v>
      </c>
      <c r="B78" s="16">
        <v>12.0</v>
      </c>
      <c r="C78" s="17">
        <v>1.0</v>
      </c>
      <c r="D78" s="16">
        <v>14.0</v>
      </c>
      <c r="E78" s="17">
        <v>1.0</v>
      </c>
      <c r="F78" s="16">
        <v>9.0</v>
      </c>
      <c r="G78" s="17">
        <v>2.0</v>
      </c>
      <c r="H78" s="16">
        <v>87.0</v>
      </c>
      <c r="I78" s="17">
        <v>0.0</v>
      </c>
      <c r="J78" s="16">
        <v>87.0</v>
      </c>
      <c r="K78" s="17">
        <v>0.0</v>
      </c>
      <c r="L78" s="18" t="s">
        <v>24</v>
      </c>
      <c r="M78" s="19">
        <v>66.0</v>
      </c>
      <c r="N78" s="20">
        <v>0.005</v>
      </c>
      <c r="O78" s="21">
        <v>2.76</v>
      </c>
      <c r="P78" s="22">
        <v>3.0</v>
      </c>
      <c r="Q78" s="23">
        <v>33.0</v>
      </c>
      <c r="R78" s="24">
        <v>5.3777</v>
      </c>
      <c r="S78" s="24">
        <v>7.0324</v>
      </c>
      <c r="T78" s="24">
        <v>5.2186</v>
      </c>
      <c r="U78" s="25">
        <v>197.36</v>
      </c>
      <c r="V78" s="26">
        <v>116510.0</v>
      </c>
      <c r="W78" s="27"/>
      <c r="X78" s="27"/>
      <c r="Y78" s="29" t="s">
        <v>170</v>
      </c>
    </row>
    <row r="79" ht="14.25" customHeight="1">
      <c r="A79" s="15" t="s">
        <v>171</v>
      </c>
      <c r="B79" s="16">
        <v>39.0</v>
      </c>
      <c r="C79" s="17">
        <v>1.0</v>
      </c>
      <c r="D79" s="16">
        <v>43.0</v>
      </c>
      <c r="E79" s="17">
        <v>1.0</v>
      </c>
      <c r="F79" s="16">
        <v>9.0</v>
      </c>
      <c r="G79" s="17">
        <v>4.0</v>
      </c>
      <c r="H79" s="16">
        <v>87.0</v>
      </c>
      <c r="I79" s="17">
        <v>0.0</v>
      </c>
      <c r="J79" s="16">
        <v>87.0</v>
      </c>
      <c r="K79" s="17">
        <v>0.0</v>
      </c>
      <c r="L79" s="18" t="s">
        <v>24</v>
      </c>
      <c r="M79" s="19">
        <v>66.0</v>
      </c>
      <c r="N79" s="20">
        <v>0.05</v>
      </c>
      <c r="O79" s="21">
        <v>4.69</v>
      </c>
      <c r="P79" s="22">
        <v>2.0</v>
      </c>
      <c r="Q79" s="23">
        <v>88.0</v>
      </c>
      <c r="R79" s="24">
        <v>5.4002</v>
      </c>
      <c r="S79" s="24">
        <v>5.4002</v>
      </c>
      <c r="T79" s="24">
        <v>12.035</v>
      </c>
      <c r="U79" s="25">
        <v>350.97</v>
      </c>
      <c r="V79" s="26">
        <v>147471.0</v>
      </c>
      <c r="W79" s="27"/>
      <c r="X79" s="27"/>
      <c r="Y79" s="29" t="s">
        <v>172</v>
      </c>
    </row>
    <row r="80" ht="14.25" customHeight="1">
      <c r="A80" s="31" t="s">
        <v>173</v>
      </c>
      <c r="B80" s="16">
        <v>65.0</v>
      </c>
      <c r="C80" s="17">
        <v>3.0</v>
      </c>
      <c r="D80" s="16">
        <v>14.0</v>
      </c>
      <c r="E80" s="17">
        <v>5.0</v>
      </c>
      <c r="F80" s="16">
        <v>9.0</v>
      </c>
      <c r="G80" s="17">
        <v>12.0</v>
      </c>
      <c r="H80" s="16">
        <v>87.0</v>
      </c>
      <c r="I80" s="17">
        <v>0.0</v>
      </c>
      <c r="J80" s="16">
        <v>87.0</v>
      </c>
      <c r="K80" s="17">
        <v>0.0</v>
      </c>
      <c r="L80" s="18" t="s">
        <v>24</v>
      </c>
      <c r="M80" s="19">
        <v>66.0</v>
      </c>
      <c r="N80" s="20">
        <v>0.1</v>
      </c>
      <c r="O80" s="21">
        <v>5.98</v>
      </c>
      <c r="P80" s="22">
        <v>1.0</v>
      </c>
      <c r="Q80" s="23">
        <v>230.0</v>
      </c>
      <c r="R80" s="24">
        <v>12.1087</v>
      </c>
      <c r="S80" s="24">
        <v>12.1087</v>
      </c>
      <c r="T80" s="24">
        <v>12.1087</v>
      </c>
      <c r="U80" s="25">
        <v>1775.39</v>
      </c>
      <c r="V80" s="26">
        <v>70342.0</v>
      </c>
      <c r="W80" s="27"/>
      <c r="X80" s="27"/>
      <c r="Y80" s="29" t="s">
        <v>174</v>
      </c>
    </row>
    <row r="81" ht="14.25" customHeight="1">
      <c r="A81" s="15" t="s">
        <v>175</v>
      </c>
      <c r="B81" s="16">
        <v>65.0</v>
      </c>
      <c r="C81" s="17">
        <v>2.0</v>
      </c>
      <c r="D81" s="16">
        <v>15.0</v>
      </c>
      <c r="E81" s="17">
        <v>1.0</v>
      </c>
      <c r="F81" s="16">
        <v>9.0</v>
      </c>
      <c r="G81" s="17">
        <v>5.0</v>
      </c>
      <c r="H81" s="16">
        <v>87.0</v>
      </c>
      <c r="I81" s="17">
        <v>0.0</v>
      </c>
      <c r="J81" s="16">
        <v>87.0</v>
      </c>
      <c r="K81" s="17">
        <v>0.0</v>
      </c>
      <c r="L81" s="18" t="s">
        <v>24</v>
      </c>
      <c r="M81" s="19">
        <v>66.0</v>
      </c>
      <c r="N81" s="20">
        <v>0.05</v>
      </c>
      <c r="O81" s="21">
        <v>6.77</v>
      </c>
      <c r="P81" s="22">
        <v>6.0</v>
      </c>
      <c r="Q81" s="23">
        <v>14.0</v>
      </c>
      <c r="R81" s="24">
        <v>9.1288</v>
      </c>
      <c r="S81" s="24">
        <v>7.0619</v>
      </c>
      <c r="T81" s="24">
        <v>6.7431</v>
      </c>
      <c r="U81" s="25">
        <v>414.43</v>
      </c>
      <c r="V81" s="26">
        <v>70792.0</v>
      </c>
      <c r="W81" s="27"/>
      <c r="X81" s="27"/>
      <c r="Y81" s="29" t="s">
        <v>176</v>
      </c>
    </row>
    <row r="82" ht="14.25" customHeight="1">
      <c r="A82" s="15" t="s">
        <v>177</v>
      </c>
      <c r="B82" s="16">
        <v>39.0</v>
      </c>
      <c r="C82" s="17">
        <v>1.0</v>
      </c>
      <c r="D82" s="16">
        <v>75.0</v>
      </c>
      <c r="E82" s="17">
        <v>1.0</v>
      </c>
      <c r="F82" s="16">
        <v>9.0</v>
      </c>
      <c r="G82" s="17">
        <v>4.0</v>
      </c>
      <c r="H82" s="16">
        <v>87.0</v>
      </c>
      <c r="I82" s="17">
        <v>0.0</v>
      </c>
      <c r="J82" s="16">
        <v>87.0</v>
      </c>
      <c r="K82" s="17">
        <v>0.0</v>
      </c>
      <c r="L82" s="18" t="s">
        <v>24</v>
      </c>
      <c r="M82" s="19">
        <v>66.0</v>
      </c>
      <c r="N82" s="20">
        <v>0.12</v>
      </c>
      <c r="O82" s="21">
        <v>8.8</v>
      </c>
      <c r="P82" s="22">
        <v>6.0</v>
      </c>
      <c r="Q82" s="23">
        <v>14.0</v>
      </c>
      <c r="R82" s="24">
        <v>6.67</v>
      </c>
      <c r="S82" s="24">
        <v>5.25</v>
      </c>
      <c r="T82" s="24">
        <v>7.6</v>
      </c>
      <c r="U82" s="25">
        <v>153.11</v>
      </c>
      <c r="V82" s="26">
        <v>257197.0</v>
      </c>
      <c r="W82" s="27"/>
      <c r="X82" s="27"/>
      <c r="Y82" s="29" t="s">
        <v>178</v>
      </c>
    </row>
    <row r="83" ht="14.25" customHeight="1">
      <c r="A83" s="15" t="s">
        <v>179</v>
      </c>
      <c r="B83" s="16">
        <v>12.0</v>
      </c>
      <c r="C83" s="17">
        <v>1.0</v>
      </c>
      <c r="D83" s="16">
        <v>21.0</v>
      </c>
      <c r="E83" s="17">
        <v>1.0</v>
      </c>
      <c r="F83" s="16">
        <v>16.0</v>
      </c>
      <c r="G83" s="17">
        <v>1.0</v>
      </c>
      <c r="H83" s="16">
        <v>9.0</v>
      </c>
      <c r="I83" s="17">
        <v>4.0</v>
      </c>
      <c r="J83" s="16">
        <v>87.0</v>
      </c>
      <c r="K83" s="17">
        <v>0.0</v>
      </c>
      <c r="L83" s="18" t="s">
        <v>24</v>
      </c>
      <c r="M83" s="19">
        <v>66.0</v>
      </c>
      <c r="N83" s="20">
        <v>0.05</v>
      </c>
      <c r="O83" s="21">
        <v>3.11</v>
      </c>
      <c r="P83" s="22">
        <v>3.0</v>
      </c>
      <c r="Q83" s="23">
        <v>33.0</v>
      </c>
      <c r="R83" s="24">
        <v>20.397</v>
      </c>
      <c r="S83" s="24">
        <v>5.412</v>
      </c>
      <c r="T83" s="24">
        <v>9.161</v>
      </c>
      <c r="U83" s="25">
        <v>1011.27</v>
      </c>
      <c r="V83" s="26">
        <v>35629.0</v>
      </c>
      <c r="W83" s="27"/>
      <c r="X83" s="27"/>
      <c r="Y83" s="29" t="s">
        <v>180</v>
      </c>
    </row>
    <row r="84" ht="14.25" customHeight="1">
      <c r="A84" s="15" t="s">
        <v>102</v>
      </c>
      <c r="B84" s="16">
        <v>57.0</v>
      </c>
      <c r="C84" s="17">
        <v>3.0</v>
      </c>
      <c r="D84" s="16">
        <v>58.0</v>
      </c>
      <c r="E84" s="17">
        <v>2.0</v>
      </c>
      <c r="F84" s="16">
        <v>6.0</v>
      </c>
      <c r="G84" s="17">
        <v>4.0</v>
      </c>
      <c r="H84" s="16">
        <v>9.0</v>
      </c>
      <c r="I84" s="17">
        <v>12.0</v>
      </c>
      <c r="J84" s="16">
        <v>87.0</v>
      </c>
      <c r="K84" s="17">
        <v>0.0</v>
      </c>
      <c r="L84" s="18" t="s">
        <v>24</v>
      </c>
      <c r="M84" s="19">
        <v>66.0</v>
      </c>
      <c r="N84" s="20">
        <v>0.08</v>
      </c>
      <c r="O84" s="21">
        <v>5.17</v>
      </c>
      <c r="P84" s="22">
        <v>3.0</v>
      </c>
      <c r="Q84" s="23">
        <v>62.0</v>
      </c>
      <c r="R84" s="24">
        <v>7.731</v>
      </c>
      <c r="S84" s="24">
        <v>17.043</v>
      </c>
      <c r="T84" s="24">
        <v>9.019</v>
      </c>
      <c r="U84" s="25">
        <v>1188.34</v>
      </c>
      <c r="V84" s="26">
        <v>96684.0</v>
      </c>
      <c r="W84" s="27"/>
      <c r="X84" s="27"/>
      <c r="Y84" s="29" t="s">
        <v>181</v>
      </c>
    </row>
    <row r="85" ht="14.25" customHeight="1">
      <c r="A85" s="15" t="s">
        <v>182</v>
      </c>
      <c r="B85" s="16">
        <v>65.0</v>
      </c>
      <c r="C85" s="17">
        <v>1.0</v>
      </c>
      <c r="D85" s="16">
        <v>16.0</v>
      </c>
      <c r="E85" s="17">
        <v>1.0</v>
      </c>
      <c r="F85" s="16">
        <v>9.0</v>
      </c>
      <c r="G85" s="17">
        <v>4.0</v>
      </c>
      <c r="H85" s="16">
        <v>87.0</v>
      </c>
      <c r="I85" s="17">
        <v>0.0</v>
      </c>
      <c r="J85" s="16">
        <v>87.0</v>
      </c>
      <c r="K85" s="17">
        <v>0.0</v>
      </c>
      <c r="L85" s="18" t="s">
        <v>24</v>
      </c>
      <c r="M85" s="19">
        <v>66.0</v>
      </c>
      <c r="N85" s="20">
        <v>0.07</v>
      </c>
      <c r="O85" s="21">
        <v>5.98</v>
      </c>
      <c r="P85" s="22">
        <v>6.0</v>
      </c>
      <c r="Q85" s="23">
        <v>14.0</v>
      </c>
      <c r="R85" s="32">
        <v>633571.0</v>
      </c>
      <c r="S85" s="24">
        <v>6.8484</v>
      </c>
      <c r="T85" s="24">
        <v>6.6516</v>
      </c>
      <c r="U85" s="25">
        <v>280.0</v>
      </c>
      <c r="V85" s="26">
        <v>252925.0</v>
      </c>
      <c r="W85" s="27"/>
      <c r="X85" s="27"/>
      <c r="Y85" s="29" t="s">
        <v>183</v>
      </c>
    </row>
    <row r="86" ht="14.25" customHeight="1">
      <c r="A86" s="15" t="s">
        <v>184</v>
      </c>
      <c r="B86" s="16">
        <v>20.0</v>
      </c>
      <c r="C86" s="17">
        <v>1.0</v>
      </c>
      <c r="D86" s="16">
        <v>57.0</v>
      </c>
      <c r="E86" s="17">
        <v>1.0</v>
      </c>
      <c r="F86" s="16">
        <v>40.0</v>
      </c>
      <c r="G86" s="17">
        <v>1.0</v>
      </c>
      <c r="H86" s="16">
        <v>6.0</v>
      </c>
      <c r="I86" s="17">
        <v>2.0</v>
      </c>
      <c r="J86" s="16">
        <v>9.0</v>
      </c>
      <c r="K86" s="17">
        <v>6.0</v>
      </c>
      <c r="L86" s="18" t="s">
        <v>24</v>
      </c>
      <c r="M86" s="19">
        <v>66.0</v>
      </c>
      <c r="N86" s="20">
        <v>0.1</v>
      </c>
      <c r="O86" s="21">
        <v>4.19</v>
      </c>
      <c r="P86" s="22">
        <v>4.0</v>
      </c>
      <c r="Q86" s="23">
        <v>160.0</v>
      </c>
      <c r="R86" s="24">
        <v>5.4342</v>
      </c>
      <c r="S86" s="24">
        <v>5.4342</v>
      </c>
      <c r="T86" s="24">
        <v>17.7447</v>
      </c>
      <c r="U86" s="25">
        <v>455.02</v>
      </c>
      <c r="V86" s="26"/>
      <c r="W86" s="27"/>
      <c r="X86" s="27"/>
      <c r="Y86" s="29" t="s">
        <v>185</v>
      </c>
    </row>
    <row r="87" ht="14.25" customHeight="1">
      <c r="A87" s="15" t="s">
        <v>186</v>
      </c>
      <c r="B87" s="16">
        <v>21.0</v>
      </c>
      <c r="C87" s="17">
        <v>2.0</v>
      </c>
      <c r="D87" s="16">
        <v>14.0</v>
      </c>
      <c r="E87" s="17">
        <v>2.0</v>
      </c>
      <c r="F87" s="16">
        <v>15.0</v>
      </c>
      <c r="G87" s="17">
        <v>1.0</v>
      </c>
      <c r="H87" s="16">
        <v>9.0</v>
      </c>
      <c r="I87" s="17">
        <v>7.0</v>
      </c>
      <c r="J87" s="16">
        <v>87.0</v>
      </c>
      <c r="K87" s="17">
        <v>0.0</v>
      </c>
      <c r="L87" s="18" t="s">
        <v>24</v>
      </c>
      <c r="M87" s="19">
        <v>66.0</v>
      </c>
      <c r="N87" s="20">
        <v>0.09</v>
      </c>
      <c r="O87" s="21">
        <v>3.03</v>
      </c>
      <c r="P87" s="22">
        <v>2.0</v>
      </c>
      <c r="Q87" s="23">
        <v>113.0</v>
      </c>
      <c r="R87" s="24">
        <v>7.694</v>
      </c>
      <c r="S87" s="24">
        <v>7.694</v>
      </c>
      <c r="T87" s="24">
        <v>5.072</v>
      </c>
      <c r="U87" s="25">
        <v>300.25</v>
      </c>
      <c r="V87" s="26">
        <v>27427.0</v>
      </c>
      <c r="W87" s="27"/>
      <c r="X87" s="27"/>
      <c r="Y87" s="29" t="s">
        <v>187</v>
      </c>
    </row>
    <row r="88" ht="14.25" customHeight="1">
      <c r="A88" s="15" t="s">
        <v>188</v>
      </c>
      <c r="B88" s="16">
        <v>20.0</v>
      </c>
      <c r="C88" s="17">
        <v>1.0</v>
      </c>
      <c r="D88" s="16">
        <v>39.0</v>
      </c>
      <c r="E88" s="17">
        <v>1.0</v>
      </c>
      <c r="F88" s="16">
        <v>6.0</v>
      </c>
      <c r="G88" s="17">
        <v>1.0</v>
      </c>
      <c r="H88" s="16">
        <v>16.0</v>
      </c>
      <c r="I88" s="17">
        <v>2.0</v>
      </c>
      <c r="J88" s="16">
        <v>9.0</v>
      </c>
      <c r="K88" s="17">
        <v>8.0</v>
      </c>
      <c r="L88" s="18" t="s">
        <v>24</v>
      </c>
      <c r="M88" s="19">
        <v>66.0</v>
      </c>
      <c r="N88" s="20">
        <v>0.05</v>
      </c>
      <c r="O88" s="21">
        <v>3.1</v>
      </c>
      <c r="P88" s="22">
        <v>2.0</v>
      </c>
      <c r="Q88" s="23">
        <v>122.0</v>
      </c>
      <c r="R88" s="24">
        <v>7.1095</v>
      </c>
      <c r="S88" s="24">
        <v>7.1095</v>
      </c>
      <c r="T88" s="24">
        <v>13.882</v>
      </c>
      <c r="U88" s="25">
        <v>701.67</v>
      </c>
      <c r="V88" s="26">
        <v>24992.0</v>
      </c>
      <c r="W88" s="27"/>
      <c r="X88" s="27"/>
      <c r="Y88" s="29" t="s">
        <v>189</v>
      </c>
    </row>
    <row r="89" ht="14.25" customHeight="1">
      <c r="A89" s="15" t="s">
        <v>190</v>
      </c>
      <c r="B89" s="16">
        <v>21.0</v>
      </c>
      <c r="C89" s="17">
        <v>3.0</v>
      </c>
      <c r="D89" s="16">
        <v>40.0</v>
      </c>
      <c r="E89" s="17">
        <v>2.0</v>
      </c>
      <c r="F89" s="16">
        <v>33.0</v>
      </c>
      <c r="G89" s="17">
        <v>3.0</v>
      </c>
      <c r="H89" s="16">
        <v>9.0</v>
      </c>
      <c r="I89" s="17">
        <v>12.0</v>
      </c>
      <c r="J89" s="16">
        <v>87.0</v>
      </c>
      <c r="K89" s="17">
        <v>0.0</v>
      </c>
      <c r="L89" s="18" t="s">
        <v>24</v>
      </c>
      <c r="M89" s="19">
        <v>66.0</v>
      </c>
      <c r="N89" s="20">
        <v>0.24</v>
      </c>
      <c r="O89" s="21">
        <v>4.48</v>
      </c>
      <c r="P89" s="22">
        <v>1.0</v>
      </c>
      <c r="Q89" s="23">
        <v>230.0</v>
      </c>
      <c r="R89" s="24">
        <v>12.8059</v>
      </c>
      <c r="S89" s="24">
        <v>12.8059</v>
      </c>
      <c r="T89" s="24">
        <v>12.8059</v>
      </c>
      <c r="U89" s="25">
        <v>2100.05</v>
      </c>
      <c r="V89" s="26">
        <v>280048.0</v>
      </c>
      <c r="W89" s="27"/>
      <c r="X89" s="27"/>
      <c r="Y89" s="29" t="s">
        <v>191</v>
      </c>
    </row>
    <row r="90" ht="14.25" customHeight="1">
      <c r="A90" s="15" t="s">
        <v>192</v>
      </c>
      <c r="B90" s="16">
        <v>12.0</v>
      </c>
      <c r="C90" s="17">
        <v>1.0</v>
      </c>
      <c r="D90" s="16">
        <v>20.0</v>
      </c>
      <c r="E90" s="17">
        <v>1.0</v>
      </c>
      <c r="F90" s="16">
        <v>58.0</v>
      </c>
      <c r="G90" s="17">
        <v>1.0</v>
      </c>
      <c r="H90" s="16">
        <v>8.0</v>
      </c>
      <c r="I90" s="17">
        <v>1.0</v>
      </c>
      <c r="J90" s="16">
        <v>9.0</v>
      </c>
      <c r="K90" s="17">
        <v>5.0</v>
      </c>
      <c r="L90" s="18" t="s">
        <v>24</v>
      </c>
      <c r="M90" s="19">
        <v>66.0</v>
      </c>
      <c r="N90" s="20">
        <v>0.3</v>
      </c>
      <c r="O90" s="21">
        <v>4.44</v>
      </c>
      <c r="P90" s="22">
        <v>2.0</v>
      </c>
      <c r="Q90" s="23">
        <v>129.0</v>
      </c>
      <c r="R90" s="24">
        <v>5.8135</v>
      </c>
      <c r="S90" s="24">
        <v>5.8135</v>
      </c>
      <c r="T90" s="24">
        <v>8.2804</v>
      </c>
      <c r="U90" s="25">
        <v>279.85</v>
      </c>
      <c r="V90" s="26">
        <v>94743.0</v>
      </c>
      <c r="W90" s="27"/>
      <c r="X90" s="33"/>
      <c r="Y90" s="29" t="s">
        <v>193</v>
      </c>
    </row>
    <row r="91" ht="14.25" customHeight="1">
      <c r="A91" s="15" t="s">
        <v>194</v>
      </c>
      <c r="B91" s="16">
        <v>65.0</v>
      </c>
      <c r="C91" s="17">
        <v>2.0</v>
      </c>
      <c r="D91" s="16">
        <v>9.0</v>
      </c>
      <c r="E91" s="17">
        <v>3.0</v>
      </c>
      <c r="F91" s="16">
        <v>87.0</v>
      </c>
      <c r="G91" s="17">
        <v>0.0</v>
      </c>
      <c r="H91" s="16">
        <v>87.0</v>
      </c>
      <c r="I91" s="17">
        <v>0.0</v>
      </c>
      <c r="J91" s="16">
        <v>87.0</v>
      </c>
      <c r="K91" s="17">
        <v>0.0</v>
      </c>
      <c r="L91" s="18" t="s">
        <v>24</v>
      </c>
      <c r="M91" s="19">
        <v>66.0</v>
      </c>
      <c r="N91" s="20">
        <v>0.012</v>
      </c>
      <c r="O91" s="21">
        <v>7.65</v>
      </c>
      <c r="P91" s="22">
        <v>1.0</v>
      </c>
      <c r="Q91" s="23">
        <v>206.0</v>
      </c>
      <c r="R91" s="24">
        <v>10.797</v>
      </c>
      <c r="S91" s="24">
        <v>10.797</v>
      </c>
      <c r="T91" s="24">
        <v>10.797</v>
      </c>
      <c r="U91" s="25">
        <v>1258.66</v>
      </c>
      <c r="V91" s="26">
        <v>636112.0</v>
      </c>
      <c r="W91" s="27"/>
      <c r="X91" s="33"/>
      <c r="Y91" s="29" t="s">
        <v>195</v>
      </c>
    </row>
    <row r="92" ht="14.25" customHeight="1">
      <c r="A92" s="15" t="s">
        <v>196</v>
      </c>
      <c r="B92" s="16">
        <v>65.0</v>
      </c>
      <c r="C92" s="17">
        <v>2.0</v>
      </c>
      <c r="D92" s="16">
        <v>31.0</v>
      </c>
      <c r="E92" s="17">
        <v>1.0</v>
      </c>
      <c r="F92" s="16">
        <v>23.0</v>
      </c>
      <c r="G92" s="17">
        <v>1.0</v>
      </c>
      <c r="H92" s="16">
        <v>9.0</v>
      </c>
      <c r="I92" s="17">
        <v>6.0</v>
      </c>
      <c r="J92" s="16">
        <v>87.0</v>
      </c>
      <c r="K92" s="17">
        <v>0.0</v>
      </c>
      <c r="L92" s="18" t="s">
        <v>24</v>
      </c>
      <c r="M92" s="19">
        <v>66.0</v>
      </c>
      <c r="N92" s="20">
        <v>0.2</v>
      </c>
      <c r="O92" s="21">
        <v>7.47</v>
      </c>
      <c r="P92" s="22">
        <v>6.0</v>
      </c>
      <c r="Q92" s="23">
        <v>14.0</v>
      </c>
      <c r="R92" s="24">
        <v>5.3612</v>
      </c>
      <c r="S92" s="24">
        <v>5.6565</v>
      </c>
      <c r="T92" s="24">
        <v>7.6779</v>
      </c>
      <c r="U92" s="25">
        <v>232.83</v>
      </c>
      <c r="V92" s="26">
        <v>251934.0</v>
      </c>
      <c r="W92" s="27"/>
      <c r="X92" s="33"/>
      <c r="Y92" s="29" t="s">
        <v>197</v>
      </c>
    </row>
    <row r="93" ht="14.25" customHeight="1">
      <c r="A93" s="15" t="s">
        <v>198</v>
      </c>
      <c r="B93" s="16">
        <v>58.0</v>
      </c>
      <c r="C93" s="17">
        <v>1.0</v>
      </c>
      <c r="D93" s="16">
        <v>6.0</v>
      </c>
      <c r="E93" s="17">
        <v>1.0</v>
      </c>
      <c r="F93" s="16">
        <v>9.0</v>
      </c>
      <c r="G93" s="17">
        <v>3.0</v>
      </c>
      <c r="H93" s="16">
        <v>87.0</v>
      </c>
      <c r="I93" s="17">
        <v>0.0</v>
      </c>
      <c r="J93" s="16">
        <v>87.0</v>
      </c>
      <c r="K93" s="17">
        <v>0.0</v>
      </c>
      <c r="L93" s="18" t="s">
        <v>24</v>
      </c>
      <c r="M93" s="19">
        <v>66.0</v>
      </c>
      <c r="N93" s="20">
        <v>0.22</v>
      </c>
      <c r="O93" s="21">
        <v>5.3</v>
      </c>
      <c r="P93" s="22">
        <v>3.0</v>
      </c>
      <c r="Q93" s="23">
        <v>62.0</v>
      </c>
      <c r="R93" s="24">
        <v>5.8744</v>
      </c>
      <c r="S93" s="24">
        <v>5.1087</v>
      </c>
      <c r="T93" s="24">
        <v>8.2581</v>
      </c>
      <c r="U93" s="25">
        <v>247.83</v>
      </c>
      <c r="V93" s="26">
        <v>119011.0</v>
      </c>
      <c r="W93" s="27"/>
      <c r="X93" s="27"/>
      <c r="Y93" s="29" t="s">
        <v>199</v>
      </c>
    </row>
    <row r="94" ht="14.25" customHeight="1">
      <c r="A94" s="15" t="s">
        <v>200</v>
      </c>
      <c r="B94" s="16">
        <v>58.0</v>
      </c>
      <c r="C94" s="17">
        <v>2.0</v>
      </c>
      <c r="D94" s="16">
        <v>23.0</v>
      </c>
      <c r="E94" s="17">
        <v>2.0</v>
      </c>
      <c r="F94" s="16">
        <v>9.0</v>
      </c>
      <c r="G94" s="17">
        <v>7.0</v>
      </c>
      <c r="H94" s="16">
        <v>87.0</v>
      </c>
      <c r="I94" s="17">
        <v>0.0</v>
      </c>
      <c r="J94" s="16">
        <v>87.0</v>
      </c>
      <c r="K94" s="17">
        <v>0.0</v>
      </c>
      <c r="L94" s="18" t="s">
        <v>24</v>
      </c>
      <c r="M94" s="19">
        <v>66.0</v>
      </c>
      <c r="N94" s="20">
        <v>0.05</v>
      </c>
      <c r="O94" s="21">
        <v>5.8</v>
      </c>
      <c r="P94" s="22">
        <v>6.0</v>
      </c>
      <c r="Q94" s="23">
        <v>4.0</v>
      </c>
      <c r="R94" s="24">
        <v>7.812</v>
      </c>
      <c r="S94" s="24">
        <v>5.5344</v>
      </c>
      <c r="T94" s="24">
        <v>13.01</v>
      </c>
      <c r="U94" s="25">
        <v>556.07</v>
      </c>
      <c r="V94" s="26">
        <v>5416.0</v>
      </c>
      <c r="W94" s="27"/>
      <c r="X94" s="27"/>
      <c r="Y94" s="29" t="s">
        <v>201</v>
      </c>
    </row>
    <row r="95" ht="14.25" customHeight="1">
      <c r="A95" s="15" t="s">
        <v>202</v>
      </c>
      <c r="B95" s="16">
        <v>31.0</v>
      </c>
      <c r="C95" s="17">
        <v>2.0</v>
      </c>
      <c r="D95" s="16">
        <v>24.0</v>
      </c>
      <c r="E95" s="17">
        <v>2.0</v>
      </c>
      <c r="F95" s="16">
        <v>9.0</v>
      </c>
      <c r="G95" s="17">
        <v>7.0</v>
      </c>
      <c r="H95" s="16">
        <v>87.0</v>
      </c>
      <c r="I95" s="17">
        <v>0.0</v>
      </c>
      <c r="J95" s="16">
        <v>87.0</v>
      </c>
      <c r="K95" s="17">
        <v>0.0</v>
      </c>
      <c r="L95" s="18" t="s">
        <v>24</v>
      </c>
      <c r="M95" s="19">
        <v>66.0</v>
      </c>
      <c r="N95" s="20">
        <v>0.07</v>
      </c>
      <c r="O95" s="21">
        <v>4.09</v>
      </c>
      <c r="P95" s="22">
        <v>6.0</v>
      </c>
      <c r="Q95" s="23">
        <v>12.0</v>
      </c>
      <c r="R95" s="24">
        <v>6.9324</v>
      </c>
      <c r="S95" s="24">
        <v>8.4329</v>
      </c>
      <c r="T95" s="24">
        <v>5.0326</v>
      </c>
      <c r="U95" s="25">
        <v>279.59</v>
      </c>
      <c r="V95" s="26">
        <v>250002.0</v>
      </c>
      <c r="W95" s="27"/>
      <c r="X95" s="27"/>
      <c r="Y95" s="29" t="s">
        <v>203</v>
      </c>
    </row>
    <row r="96" ht="14.25" customHeight="1">
      <c r="A96" s="15" t="s">
        <v>204</v>
      </c>
      <c r="B96" s="16">
        <v>21.0</v>
      </c>
      <c r="C96" s="17">
        <v>3.0</v>
      </c>
      <c r="D96" s="16">
        <v>22.0</v>
      </c>
      <c r="E96" s="17">
        <v>2.0</v>
      </c>
      <c r="F96" s="16">
        <v>33.0</v>
      </c>
      <c r="G96" s="17">
        <v>3.0</v>
      </c>
      <c r="H96" s="16">
        <v>9.0</v>
      </c>
      <c r="I96" s="17">
        <v>12.0</v>
      </c>
      <c r="J96" s="16">
        <v>87.0</v>
      </c>
      <c r="K96" s="17">
        <v>0.0</v>
      </c>
      <c r="L96" s="18" t="s">
        <v>24</v>
      </c>
      <c r="M96" s="19">
        <v>66.0</v>
      </c>
      <c r="N96" s="20">
        <v>0.14</v>
      </c>
      <c r="O96" s="21">
        <v>4.2</v>
      </c>
      <c r="P96" s="22">
        <v>1.0</v>
      </c>
      <c r="Q96" s="23">
        <v>230.0</v>
      </c>
      <c r="R96" s="24">
        <v>12.512</v>
      </c>
      <c r="S96" s="24">
        <v>12.512</v>
      </c>
      <c r="T96" s="24">
        <v>12.512</v>
      </c>
      <c r="U96" s="25">
        <v>1958.76</v>
      </c>
      <c r="V96" s="26">
        <v>70592.0</v>
      </c>
      <c r="W96" s="27"/>
      <c r="X96" s="27"/>
      <c r="Y96" s="29" t="s">
        <v>205</v>
      </c>
    </row>
    <row r="97" ht="14.25" customHeight="1">
      <c r="A97" s="15" t="s">
        <v>206</v>
      </c>
      <c r="B97" s="16">
        <v>40.0</v>
      </c>
      <c r="C97" s="17">
        <v>2.0</v>
      </c>
      <c r="D97" s="16">
        <v>43.0</v>
      </c>
      <c r="E97" s="17">
        <v>4.0</v>
      </c>
      <c r="F97" s="16">
        <v>9.0</v>
      </c>
      <c r="G97" s="17">
        <v>15.0</v>
      </c>
      <c r="H97" s="16">
        <v>87.0</v>
      </c>
      <c r="I97" s="17">
        <v>0.0</v>
      </c>
      <c r="J97" s="16">
        <v>87.0</v>
      </c>
      <c r="K97" s="17">
        <v>0.0</v>
      </c>
      <c r="L97" s="18" t="s">
        <v>24</v>
      </c>
      <c r="M97" s="19">
        <v>66.0</v>
      </c>
      <c r="N97" s="20">
        <v>0.4</v>
      </c>
      <c r="O97" s="21">
        <v>4.03</v>
      </c>
      <c r="P97" s="22">
        <v>6.0</v>
      </c>
      <c r="Q97" s="23">
        <v>14.0</v>
      </c>
      <c r="R97" s="24">
        <v>6.811</v>
      </c>
      <c r="S97" s="24">
        <v>9.5833</v>
      </c>
      <c r="T97" s="24">
        <v>10.5124</v>
      </c>
      <c r="U97" s="25">
        <v>661.17</v>
      </c>
      <c r="V97" s="26">
        <v>2027158.0</v>
      </c>
      <c r="W97" s="27"/>
      <c r="X97" s="27"/>
      <c r="Y97" s="29" t="s">
        <v>207</v>
      </c>
    </row>
    <row r="98" ht="14.25" customHeight="1">
      <c r="A98" s="15" t="s">
        <v>208</v>
      </c>
      <c r="B98" s="16">
        <v>21.0</v>
      </c>
      <c r="C98" s="17">
        <v>1.0</v>
      </c>
      <c r="D98" s="16">
        <v>33.0</v>
      </c>
      <c r="E98" s="17">
        <v>1.0</v>
      </c>
      <c r="F98" s="16">
        <v>9.0</v>
      </c>
      <c r="G98" s="17">
        <v>3.0</v>
      </c>
      <c r="H98" s="16">
        <v>87.0</v>
      </c>
      <c r="I98" s="17">
        <v>0.0</v>
      </c>
      <c r="J98" s="16">
        <v>87.0</v>
      </c>
      <c r="K98" s="17">
        <v>0.0</v>
      </c>
      <c r="L98" s="18" t="s">
        <v>24</v>
      </c>
      <c r="M98" s="19">
        <v>66.0</v>
      </c>
      <c r="N98" s="20">
        <v>0.04</v>
      </c>
      <c r="O98" s="21">
        <v>5.16</v>
      </c>
      <c r="P98" s="22">
        <v>3.0</v>
      </c>
      <c r="Q98" s="23">
        <v>62.0</v>
      </c>
      <c r="R98" s="24">
        <v>5.2631</v>
      </c>
      <c r="S98" s="24">
        <v>5.2709</v>
      </c>
      <c r="T98" s="24">
        <v>7.4485</v>
      </c>
      <c r="U98" s="25">
        <v>206.63</v>
      </c>
      <c r="V98" s="26">
        <v>194907.0</v>
      </c>
      <c r="W98" s="27"/>
      <c r="X98" s="27"/>
      <c r="Y98" s="29" t="s">
        <v>209</v>
      </c>
    </row>
    <row r="99" ht="14.25" customHeight="1">
      <c r="A99" s="15" t="s">
        <v>210</v>
      </c>
      <c r="B99" s="16">
        <v>57.0</v>
      </c>
      <c r="C99" s="17">
        <v>1.0</v>
      </c>
      <c r="D99" s="16">
        <v>41.0</v>
      </c>
      <c r="E99" s="17">
        <v>1.0</v>
      </c>
      <c r="F99" s="16">
        <v>9.0</v>
      </c>
      <c r="G99" s="17">
        <v>3.0</v>
      </c>
      <c r="H99" s="16">
        <v>87.0</v>
      </c>
      <c r="I99" s="17">
        <v>0.0</v>
      </c>
      <c r="J99" s="16">
        <v>87.0</v>
      </c>
      <c r="K99" s="17">
        <v>0.0</v>
      </c>
      <c r="L99" s="18" t="s">
        <v>24</v>
      </c>
      <c r="M99" s="19">
        <v>66.0</v>
      </c>
      <c r="N99" s="20">
        <v>0.07</v>
      </c>
      <c r="O99" s="21">
        <v>6.23</v>
      </c>
      <c r="P99" s="22">
        <v>1.0</v>
      </c>
      <c r="Q99" s="23">
        <v>221.0</v>
      </c>
      <c r="R99" s="24">
        <v>4.19209</v>
      </c>
      <c r="S99" s="24">
        <v>4.19209</v>
      </c>
      <c r="T99" s="24">
        <v>4.19209</v>
      </c>
      <c r="U99" s="25">
        <v>73.67</v>
      </c>
      <c r="V99" s="26">
        <v>17792.0</v>
      </c>
      <c r="W99" s="27"/>
      <c r="X99" s="27"/>
      <c r="Y99" s="29" t="s">
        <v>211</v>
      </c>
    </row>
    <row r="100" ht="14.25" customHeight="1">
      <c r="A100" s="15" t="s">
        <v>212</v>
      </c>
      <c r="B100" s="16">
        <v>58.0</v>
      </c>
      <c r="C100" s="17">
        <v>1.0</v>
      </c>
      <c r="D100" s="16">
        <v>39.0</v>
      </c>
      <c r="E100" s="17">
        <v>2.0</v>
      </c>
      <c r="F100" s="16">
        <v>14.0</v>
      </c>
      <c r="G100" s="17">
        <v>1.0</v>
      </c>
      <c r="H100" s="16">
        <v>9.0</v>
      </c>
      <c r="I100" s="17">
        <v>5.0</v>
      </c>
      <c r="J100" s="16">
        <v>87.0</v>
      </c>
      <c r="K100" s="17">
        <v>0.0</v>
      </c>
      <c r="L100" s="18" t="s">
        <v>24</v>
      </c>
      <c r="M100" s="19">
        <v>66.0</v>
      </c>
      <c r="N100" s="20">
        <v>0.03</v>
      </c>
      <c r="O100" s="21">
        <v>5.55</v>
      </c>
      <c r="P100" s="22">
        <v>2.0</v>
      </c>
      <c r="Q100" s="23">
        <v>140.0</v>
      </c>
      <c r="R100" s="24">
        <v>6.7884</v>
      </c>
      <c r="S100" s="24">
        <v>6.7884</v>
      </c>
      <c r="T100" s="24">
        <v>10.9341</v>
      </c>
      <c r="U100" s="25">
        <v>503.87</v>
      </c>
      <c r="V100" s="26">
        <v>201294.0</v>
      </c>
      <c r="W100" s="27"/>
      <c r="X100" s="27"/>
      <c r="Y100" s="29" t="s">
        <v>213</v>
      </c>
    </row>
    <row r="101" ht="14.25" customHeight="1">
      <c r="A101" s="15" t="s">
        <v>214</v>
      </c>
      <c r="B101" s="16">
        <v>21.0</v>
      </c>
      <c r="C101" s="17">
        <v>1.0</v>
      </c>
      <c r="D101" s="16">
        <v>22.0</v>
      </c>
      <c r="E101" s="17">
        <v>1.0</v>
      </c>
      <c r="F101" s="16">
        <v>6.0</v>
      </c>
      <c r="G101" s="17">
        <v>1.0</v>
      </c>
      <c r="H101" s="16">
        <v>9.0</v>
      </c>
      <c r="I101" s="17">
        <v>4.0</v>
      </c>
      <c r="J101" s="16">
        <v>87.0</v>
      </c>
      <c r="K101" s="17">
        <v>0.0</v>
      </c>
      <c r="L101" s="18" t="s">
        <v>24</v>
      </c>
      <c r="M101" s="19">
        <v>66.0</v>
      </c>
      <c r="N101" s="20">
        <v>0.2</v>
      </c>
      <c r="O101" s="21">
        <v>3.28</v>
      </c>
      <c r="P101" s="22">
        <v>3.0</v>
      </c>
      <c r="Q101" s="23">
        <v>62.0</v>
      </c>
      <c r="R101" s="24">
        <v>10.2484</v>
      </c>
      <c r="S101" s="24">
        <v>3.35741</v>
      </c>
      <c r="T101" s="24">
        <v>9.4039</v>
      </c>
      <c r="U101" s="25">
        <v>323.57</v>
      </c>
      <c r="V101" s="26">
        <v>49412.0</v>
      </c>
      <c r="W101" s="27"/>
      <c r="X101" s="27"/>
      <c r="Y101" s="29" t="s">
        <v>215</v>
      </c>
    </row>
    <row r="102" ht="14.25" customHeight="1">
      <c r="A102" s="15" t="s">
        <v>216</v>
      </c>
      <c r="B102" s="16">
        <v>13.0</v>
      </c>
      <c r="C102" s="17">
        <v>1.0</v>
      </c>
      <c r="D102" s="16">
        <v>14.0</v>
      </c>
      <c r="E102" s="17">
        <v>2.0</v>
      </c>
      <c r="F102" s="16">
        <v>9.0</v>
      </c>
      <c r="G102" s="17">
        <v>4.0</v>
      </c>
      <c r="H102" s="16">
        <v>87.0</v>
      </c>
      <c r="I102" s="17">
        <v>0.0</v>
      </c>
      <c r="J102" s="16">
        <v>87.0</v>
      </c>
      <c r="K102" s="17">
        <v>0.0</v>
      </c>
      <c r="L102" s="18" t="s">
        <v>24</v>
      </c>
      <c r="M102" s="19">
        <v>66.0</v>
      </c>
      <c r="N102" s="20">
        <v>0.075</v>
      </c>
      <c r="O102" s="21">
        <v>3.59</v>
      </c>
      <c r="P102" s="22">
        <v>1.0</v>
      </c>
      <c r="Q102" s="23">
        <v>227.0</v>
      </c>
      <c r="R102" s="24">
        <v>8.0736</v>
      </c>
      <c r="S102" s="24">
        <v>8.0736</v>
      </c>
      <c r="T102" s="24">
        <v>8.0736</v>
      </c>
      <c r="U102" s="25">
        <v>526.26</v>
      </c>
      <c r="V102" s="26">
        <v>54665.0</v>
      </c>
      <c r="W102" s="27"/>
      <c r="X102" s="27"/>
      <c r="Y102" s="29" t="s">
        <v>217</v>
      </c>
    </row>
    <row r="103" ht="14.25" customHeight="1">
      <c r="A103" s="15" t="s">
        <v>218</v>
      </c>
      <c r="B103" s="16">
        <v>40.0</v>
      </c>
      <c r="C103" s="17">
        <v>2.0</v>
      </c>
      <c r="D103" s="16">
        <v>15.0</v>
      </c>
      <c r="E103" s="17">
        <v>2.0</v>
      </c>
      <c r="F103" s="16">
        <v>9.0</v>
      </c>
      <c r="G103" s="17">
        <v>7.0</v>
      </c>
      <c r="H103" s="16">
        <v>87.0</v>
      </c>
      <c r="I103" s="17">
        <v>0.0</v>
      </c>
      <c r="J103" s="16">
        <v>87.0</v>
      </c>
      <c r="K103" s="17">
        <v>0.0</v>
      </c>
      <c r="L103" s="18" t="s">
        <v>24</v>
      </c>
      <c r="M103" s="19">
        <v>66.0</v>
      </c>
      <c r="N103" s="20">
        <v>0.04</v>
      </c>
      <c r="O103" s="21">
        <v>4.41</v>
      </c>
      <c r="P103" s="22">
        <v>7.0</v>
      </c>
      <c r="Q103" s="23">
        <v>2.0</v>
      </c>
      <c r="R103" s="24">
        <v>6.629</v>
      </c>
      <c r="S103" s="30">
        <v>6.584</v>
      </c>
      <c r="T103" s="24">
        <v>35.916</v>
      </c>
      <c r="U103" s="25">
        <v>1561.58</v>
      </c>
      <c r="V103" s="26">
        <v>173268.0</v>
      </c>
      <c r="W103" s="27"/>
      <c r="X103" s="27"/>
      <c r="Y103" s="29" t="s">
        <v>219</v>
      </c>
    </row>
    <row r="104" ht="14.25" customHeight="1">
      <c r="A104" s="15" t="s">
        <v>220</v>
      </c>
      <c r="B104" s="16">
        <v>12.0</v>
      </c>
      <c r="C104" s="17">
        <v>1.0</v>
      </c>
      <c r="D104" s="16">
        <v>58.0</v>
      </c>
      <c r="E104" s="17">
        <v>1.0</v>
      </c>
      <c r="F104" s="16">
        <v>16.0</v>
      </c>
      <c r="G104" s="17">
        <v>2.0</v>
      </c>
      <c r="H104" s="16">
        <v>9.0</v>
      </c>
      <c r="I104" s="17">
        <v>7.0</v>
      </c>
      <c r="J104" s="16">
        <v>87.0</v>
      </c>
      <c r="K104" s="17">
        <v>0.0</v>
      </c>
      <c r="L104" s="18" t="s">
        <v>24</v>
      </c>
      <c r="M104" s="19">
        <v>66.0</v>
      </c>
      <c r="N104" s="20">
        <v>0.16</v>
      </c>
      <c r="O104" s="21">
        <v>3.81</v>
      </c>
      <c r="P104" s="22">
        <v>3.0</v>
      </c>
      <c r="Q104" s="23">
        <v>62.0</v>
      </c>
      <c r="R104" s="24">
        <v>8.671</v>
      </c>
      <c r="S104" s="24">
        <v>5.318</v>
      </c>
      <c r="T104" s="24">
        <v>12.744</v>
      </c>
      <c r="U104" s="25">
        <v>585.46</v>
      </c>
      <c r="V104" s="26">
        <v>151526.0</v>
      </c>
      <c r="W104" s="27"/>
      <c r="X104" s="27"/>
      <c r="Y104" s="29" t="s">
        <v>221</v>
      </c>
    </row>
    <row r="105" ht="14.25" customHeight="1">
      <c r="A105" s="15" t="s">
        <v>222</v>
      </c>
      <c r="B105" s="16">
        <v>57.0</v>
      </c>
      <c r="C105" s="17">
        <v>1.0</v>
      </c>
      <c r="D105" s="16">
        <v>65.0</v>
      </c>
      <c r="E105" s="17">
        <v>2.0</v>
      </c>
      <c r="F105" s="16">
        <v>31.0</v>
      </c>
      <c r="G105" s="17">
        <v>1.0</v>
      </c>
      <c r="H105" s="16">
        <v>9.0</v>
      </c>
      <c r="I105" s="17">
        <v>5.0</v>
      </c>
      <c r="J105" s="16">
        <v>87.0</v>
      </c>
      <c r="K105" s="17">
        <v>0.0</v>
      </c>
      <c r="L105" s="18" t="s">
        <v>24</v>
      </c>
      <c r="M105" s="19">
        <v>66.0</v>
      </c>
      <c r="N105" s="20">
        <v>0.05</v>
      </c>
      <c r="O105" s="21">
        <v>7.67</v>
      </c>
      <c r="P105" s="22">
        <v>3.0</v>
      </c>
      <c r="Q105" s="23">
        <v>62.0</v>
      </c>
      <c r="R105" s="24">
        <v>12.49739</v>
      </c>
      <c r="S105" s="24">
        <v>5.77627</v>
      </c>
      <c r="T105" s="24">
        <v>7.15961</v>
      </c>
      <c r="U105" s="25">
        <v>516.84</v>
      </c>
      <c r="V105" s="26">
        <v>24606.0</v>
      </c>
      <c r="W105" s="27"/>
      <c r="X105" s="27"/>
      <c r="Y105" s="29" t="s">
        <v>223</v>
      </c>
    </row>
    <row r="106" ht="14.25" customHeight="1">
      <c r="A106" s="15" t="s">
        <v>224</v>
      </c>
      <c r="B106" s="16">
        <v>58.0</v>
      </c>
      <c r="C106" s="17">
        <v>1.0</v>
      </c>
      <c r="D106" s="16">
        <v>14.0</v>
      </c>
      <c r="E106" s="17">
        <v>1.0</v>
      </c>
      <c r="F106" s="16">
        <v>9.0</v>
      </c>
      <c r="G106" s="17">
        <v>3.0</v>
      </c>
      <c r="H106" s="16">
        <v>87.0</v>
      </c>
      <c r="I106" s="17">
        <v>0.0</v>
      </c>
      <c r="J106" s="16">
        <v>87.0</v>
      </c>
      <c r="K106" s="17">
        <v>0.0</v>
      </c>
      <c r="L106" s="18" t="s">
        <v>24</v>
      </c>
      <c r="M106" s="19">
        <v>66.0</v>
      </c>
      <c r="N106" s="20">
        <v>0.05</v>
      </c>
      <c r="O106" s="21">
        <v>6.52</v>
      </c>
      <c r="P106" s="22">
        <v>4.0</v>
      </c>
      <c r="Q106" s="23">
        <v>160.0</v>
      </c>
      <c r="R106" s="24">
        <v>3.7908</v>
      </c>
      <c r="S106" s="24">
        <v>3.7908</v>
      </c>
      <c r="T106" s="24">
        <v>3.7908</v>
      </c>
      <c r="U106" s="25">
        <v>54.47</v>
      </c>
      <c r="V106" s="26">
        <v>38621.0</v>
      </c>
      <c r="W106" s="27"/>
      <c r="X106" s="27"/>
      <c r="Y106" s="29" t="s">
        <v>225</v>
      </c>
    </row>
    <row r="107" ht="14.25" customHeight="1">
      <c r="A107" s="15" t="s">
        <v>226</v>
      </c>
      <c r="B107" s="16">
        <v>39.0</v>
      </c>
      <c r="C107" s="17">
        <v>2.0</v>
      </c>
      <c r="D107" s="16">
        <v>13.0</v>
      </c>
      <c r="E107" s="17">
        <v>1.0</v>
      </c>
      <c r="F107" s="16">
        <v>15.0</v>
      </c>
      <c r="G107" s="17">
        <v>2.0</v>
      </c>
      <c r="H107" s="16">
        <v>9.0</v>
      </c>
      <c r="I107" s="17">
        <v>7.0</v>
      </c>
      <c r="J107" s="16">
        <v>87.0</v>
      </c>
      <c r="K107" s="17">
        <v>0.0</v>
      </c>
      <c r="L107" s="18" t="s">
        <v>24</v>
      </c>
      <c r="M107" s="19">
        <v>66.0</v>
      </c>
      <c r="N107" s="20">
        <v>0.07</v>
      </c>
      <c r="O107" s="21">
        <v>3.68</v>
      </c>
      <c r="P107" s="22">
        <v>2.0</v>
      </c>
      <c r="Q107" s="23">
        <v>113.0</v>
      </c>
      <c r="R107" s="24">
        <v>8.0142</v>
      </c>
      <c r="S107" s="24">
        <v>8.0142</v>
      </c>
      <c r="T107" s="24">
        <v>5.1656</v>
      </c>
      <c r="U107" s="25">
        <v>331.77</v>
      </c>
      <c r="V107" s="26"/>
      <c r="W107" s="27"/>
      <c r="X107" s="27"/>
      <c r="Y107" s="29" t="s">
        <v>227</v>
      </c>
    </row>
    <row r="108" ht="14.25" customHeight="1">
      <c r="A108" s="15" t="s">
        <v>173</v>
      </c>
      <c r="B108" s="16">
        <v>65.0</v>
      </c>
      <c r="C108" s="17">
        <v>3.0</v>
      </c>
      <c r="D108" s="16">
        <v>14.0</v>
      </c>
      <c r="E108" s="17">
        <v>5.0</v>
      </c>
      <c r="F108" s="16">
        <v>9.0</v>
      </c>
      <c r="G108" s="17">
        <v>12.0</v>
      </c>
      <c r="H108" s="16">
        <v>87.0</v>
      </c>
      <c r="I108" s="17">
        <v>0.0</v>
      </c>
      <c r="J108" s="16">
        <v>87.0</v>
      </c>
      <c r="K108" s="17">
        <v>0.0</v>
      </c>
      <c r="L108" s="18" t="s">
        <v>24</v>
      </c>
      <c r="M108" s="19">
        <v>66.0</v>
      </c>
      <c r="N108" s="20">
        <v>0.04</v>
      </c>
      <c r="O108" s="21">
        <v>5.83</v>
      </c>
      <c r="P108" s="22">
        <v>1.0</v>
      </c>
      <c r="Q108" s="23">
        <v>230.0</v>
      </c>
      <c r="R108" s="24">
        <v>12.1087</v>
      </c>
      <c r="S108" s="24">
        <v>12.1087</v>
      </c>
      <c r="T108" s="24">
        <v>12.1087</v>
      </c>
      <c r="U108" s="25">
        <v>1775.384</v>
      </c>
      <c r="V108" s="26"/>
      <c r="W108" s="27"/>
      <c r="X108" s="27"/>
      <c r="Y108" s="29" t="s">
        <v>228</v>
      </c>
    </row>
    <row r="109" ht="14.25" customHeight="1">
      <c r="A109" s="15" t="s">
        <v>229</v>
      </c>
      <c r="B109" s="16">
        <v>65.0</v>
      </c>
      <c r="C109" s="17">
        <v>1.0</v>
      </c>
      <c r="D109" s="16">
        <v>14.0</v>
      </c>
      <c r="E109" s="17">
        <v>1.0</v>
      </c>
      <c r="F109" s="16">
        <v>9.0</v>
      </c>
      <c r="G109" s="17">
        <v>3.0</v>
      </c>
      <c r="H109" s="16">
        <v>87.0</v>
      </c>
      <c r="I109" s="17">
        <v>0.0</v>
      </c>
      <c r="J109" s="16">
        <v>87.0</v>
      </c>
      <c r="K109" s="17">
        <v>0.0</v>
      </c>
      <c r="L109" s="18" t="s">
        <v>24</v>
      </c>
      <c r="M109" s="19">
        <v>66.0</v>
      </c>
      <c r="N109" s="20">
        <v>0.05</v>
      </c>
      <c r="O109" s="21">
        <v>7.45</v>
      </c>
      <c r="P109" s="22">
        <v>3.0</v>
      </c>
      <c r="Q109" s="23">
        <v>62.0</v>
      </c>
      <c r="R109" s="24">
        <v>5.2963</v>
      </c>
      <c r="S109" s="24">
        <v>7.4474</v>
      </c>
      <c r="T109" s="24">
        <v>5.2551</v>
      </c>
      <c r="U109" s="25">
        <v>207.17</v>
      </c>
      <c r="V109" s="26">
        <v>149787.0</v>
      </c>
      <c r="W109" s="27"/>
      <c r="X109" s="27"/>
      <c r="Y109" s="29" t="s">
        <v>230</v>
      </c>
    </row>
    <row r="110" ht="14.25" customHeight="1">
      <c r="A110" s="15" t="s">
        <v>231</v>
      </c>
      <c r="B110" s="16">
        <v>58.0</v>
      </c>
      <c r="C110" s="17">
        <v>10.0</v>
      </c>
      <c r="D110" s="16">
        <v>15.0</v>
      </c>
      <c r="E110" s="17">
        <v>6.0</v>
      </c>
      <c r="F110" s="16">
        <v>9.0</v>
      </c>
      <c r="G110" s="17">
        <v>27.0</v>
      </c>
      <c r="H110" s="16">
        <v>87.0</v>
      </c>
      <c r="I110" s="17">
        <v>0.0</v>
      </c>
      <c r="J110" s="16">
        <v>87.0</v>
      </c>
      <c r="K110" s="17">
        <v>0.0</v>
      </c>
      <c r="L110" s="18" t="s">
        <v>24</v>
      </c>
      <c r="M110" s="19">
        <v>66.0</v>
      </c>
      <c r="N110" s="20">
        <v>0.05</v>
      </c>
      <c r="O110" s="21">
        <v>5.71</v>
      </c>
      <c r="P110" s="22">
        <v>5.0</v>
      </c>
      <c r="Q110" s="23">
        <v>176.0</v>
      </c>
      <c r="R110" s="24">
        <v>9.6617</v>
      </c>
      <c r="S110" s="24">
        <v>9.6617</v>
      </c>
      <c r="T110" s="24">
        <v>7.1619</v>
      </c>
      <c r="U110" s="25">
        <v>578.98</v>
      </c>
      <c r="V110" s="26">
        <v>290753.0</v>
      </c>
      <c r="W110" s="27"/>
      <c r="X110" s="27"/>
      <c r="Y110" s="29" t="s">
        <v>232</v>
      </c>
    </row>
    <row r="111" ht="14.25" customHeight="1">
      <c r="A111" s="15" t="s">
        <v>233</v>
      </c>
      <c r="B111" s="16">
        <v>38.0</v>
      </c>
      <c r="C111" s="17">
        <v>1.0</v>
      </c>
      <c r="D111" s="16">
        <v>57.0</v>
      </c>
      <c r="E111" s="17">
        <v>1.0</v>
      </c>
      <c r="F111" s="16">
        <v>6.0</v>
      </c>
      <c r="G111" s="17">
        <v>1.0</v>
      </c>
      <c r="H111" s="16">
        <v>16.0</v>
      </c>
      <c r="I111" s="17">
        <v>2.0</v>
      </c>
      <c r="J111" s="16">
        <v>9.0</v>
      </c>
      <c r="K111" s="17">
        <v>8.0</v>
      </c>
      <c r="L111" s="18" t="s">
        <v>24</v>
      </c>
      <c r="M111" s="19">
        <v>66.0</v>
      </c>
      <c r="N111" s="20">
        <v>0.09</v>
      </c>
      <c r="O111" s="21">
        <v>3.7</v>
      </c>
      <c r="P111" s="22">
        <v>2.0</v>
      </c>
      <c r="Q111" s="23">
        <v>122.0</v>
      </c>
      <c r="R111" s="24">
        <v>7.281</v>
      </c>
      <c r="S111" s="24">
        <v>7.281</v>
      </c>
      <c r="T111" s="24">
        <v>14.33</v>
      </c>
      <c r="U111" s="25">
        <v>759.67</v>
      </c>
      <c r="V111" s="26">
        <v>253357.0</v>
      </c>
      <c r="W111" s="27"/>
      <c r="X111" s="27"/>
      <c r="Y111" s="29" t="s">
        <v>234</v>
      </c>
    </row>
    <row r="112" ht="14.25" customHeight="1">
      <c r="A112" s="15" t="s">
        <v>235</v>
      </c>
      <c r="B112" s="16">
        <v>13.0</v>
      </c>
      <c r="C112" s="17">
        <v>1.0</v>
      </c>
      <c r="D112" s="16">
        <v>32.0</v>
      </c>
      <c r="E112" s="17">
        <v>2.0</v>
      </c>
      <c r="F112" s="16">
        <v>9.0</v>
      </c>
      <c r="G112" s="17">
        <v>4.0</v>
      </c>
      <c r="H112" s="16">
        <v>87.0</v>
      </c>
      <c r="I112" s="17">
        <v>0.0</v>
      </c>
      <c r="J112" s="16">
        <v>87.0</v>
      </c>
      <c r="K112" s="17">
        <v>0.0</v>
      </c>
      <c r="L112" s="18" t="s">
        <v>24</v>
      </c>
      <c r="M112" s="19">
        <v>66.0</v>
      </c>
      <c r="N112" s="20">
        <v>0.04</v>
      </c>
      <c r="O112" s="21">
        <v>5.34</v>
      </c>
      <c r="P112" s="22">
        <v>1.0</v>
      </c>
      <c r="Q112" s="23">
        <v>227.0</v>
      </c>
      <c r="R112" s="24">
        <v>8.2721</v>
      </c>
      <c r="S112" s="24">
        <v>8.2721</v>
      </c>
      <c r="T112" s="24">
        <v>8.2721</v>
      </c>
      <c r="U112" s="25">
        <v>566.04</v>
      </c>
      <c r="V112" s="26"/>
      <c r="W112" s="27"/>
      <c r="X112" s="27"/>
      <c r="Y112" s="29" t="s">
        <v>236</v>
      </c>
    </row>
    <row r="113" ht="14.25" customHeight="1">
      <c r="A113" s="15" t="s">
        <v>237</v>
      </c>
      <c r="B113" s="16">
        <v>38.0</v>
      </c>
      <c r="C113" s="17">
        <v>2.0</v>
      </c>
      <c r="D113" s="16">
        <v>31.0</v>
      </c>
      <c r="E113" s="17">
        <v>1.0</v>
      </c>
      <c r="F113" s="16">
        <v>23.0</v>
      </c>
      <c r="G113" s="17">
        <v>1.0</v>
      </c>
      <c r="H113" s="16">
        <v>9.0</v>
      </c>
      <c r="I113" s="17">
        <v>6.0</v>
      </c>
      <c r="J113" s="16">
        <v>87.0</v>
      </c>
      <c r="K113" s="17">
        <v>0.0</v>
      </c>
      <c r="L113" s="18" t="s">
        <v>24</v>
      </c>
      <c r="M113" s="19">
        <v>66.0</v>
      </c>
      <c r="N113" s="20">
        <v>0.015</v>
      </c>
      <c r="O113" s="21">
        <v>6.54</v>
      </c>
      <c r="P113" s="22">
        <v>6.0</v>
      </c>
      <c r="Q113" s="23">
        <v>14.0</v>
      </c>
      <c r="R113" s="24">
        <v>7.8975</v>
      </c>
      <c r="S113" s="24">
        <v>5.6172</v>
      </c>
      <c r="T113" s="24">
        <v>5.578</v>
      </c>
      <c r="U113" s="25">
        <v>247.45</v>
      </c>
      <c r="V113" s="26">
        <v>174571.0</v>
      </c>
      <c r="W113" s="27"/>
      <c r="X113" s="27"/>
      <c r="Y113" s="29" t="s">
        <v>238</v>
      </c>
    </row>
    <row r="114" ht="14.25" customHeight="1">
      <c r="A114" s="15" t="s">
        <v>127</v>
      </c>
      <c r="B114" s="16">
        <v>57.0</v>
      </c>
      <c r="C114" s="17">
        <v>1.0</v>
      </c>
      <c r="D114" s="16">
        <v>38.0</v>
      </c>
      <c r="E114" s="17">
        <v>2.0</v>
      </c>
      <c r="F114" s="16">
        <v>31.0</v>
      </c>
      <c r="G114" s="17">
        <v>1.0</v>
      </c>
      <c r="H114" s="16">
        <v>9.0</v>
      </c>
      <c r="I114" s="17">
        <v>5.0</v>
      </c>
      <c r="J114" s="16">
        <v>87.0</v>
      </c>
      <c r="K114" s="17">
        <v>0.0</v>
      </c>
      <c r="L114" s="18" t="s">
        <v>24</v>
      </c>
      <c r="M114" s="19">
        <v>66.0</v>
      </c>
      <c r="N114" s="20">
        <v>0.04</v>
      </c>
      <c r="O114" s="21">
        <v>6.72</v>
      </c>
      <c r="P114" s="22">
        <v>2.0</v>
      </c>
      <c r="Q114" s="23">
        <v>140.0</v>
      </c>
      <c r="R114" s="24">
        <v>6.90991</v>
      </c>
      <c r="S114" s="24">
        <v>6.90991</v>
      </c>
      <c r="T114" s="24">
        <v>11.59782</v>
      </c>
      <c r="U114" s="25">
        <v>553.76</v>
      </c>
      <c r="V114" s="26">
        <v>88598.0</v>
      </c>
      <c r="W114" s="27"/>
      <c r="X114" s="27"/>
      <c r="Y114" s="29" t="s">
        <v>239</v>
      </c>
    </row>
    <row r="115" ht="14.25" customHeight="1">
      <c r="A115" s="15" t="s">
        <v>240</v>
      </c>
      <c r="B115" s="16">
        <v>12.0</v>
      </c>
      <c r="C115" s="17">
        <v>1.0</v>
      </c>
      <c r="D115" s="16">
        <v>40.0</v>
      </c>
      <c r="E115" s="17">
        <v>1.0</v>
      </c>
      <c r="F115" s="16">
        <v>75.0</v>
      </c>
      <c r="G115" s="17">
        <v>2.0</v>
      </c>
      <c r="H115" s="16">
        <v>9.0</v>
      </c>
      <c r="I115" s="17">
        <v>8.0</v>
      </c>
      <c r="J115" s="16">
        <v>87.0</v>
      </c>
      <c r="K115" s="17">
        <v>0.0</v>
      </c>
      <c r="L115" s="18" t="s">
        <v>24</v>
      </c>
      <c r="M115" s="19">
        <v>66.0</v>
      </c>
      <c r="N115" s="20">
        <v>0.13</v>
      </c>
      <c r="O115" s="21">
        <v>6.86</v>
      </c>
      <c r="P115" s="22">
        <v>2.0</v>
      </c>
      <c r="Q115" s="23">
        <v>88.0</v>
      </c>
      <c r="R115" s="24">
        <v>5.162</v>
      </c>
      <c r="S115" s="24">
        <v>5.162</v>
      </c>
      <c r="T115" s="24">
        <v>11.032</v>
      </c>
      <c r="U115" s="25">
        <v>293.93</v>
      </c>
      <c r="V115" s="34">
        <v>241498.0</v>
      </c>
      <c r="W115" s="27"/>
      <c r="X115" s="27"/>
      <c r="Y115" s="29" t="s">
        <v>241</v>
      </c>
    </row>
    <row r="116" ht="14.25" customHeight="1">
      <c r="A116" s="35" t="s">
        <v>80</v>
      </c>
      <c r="B116" s="16">
        <v>31.0</v>
      </c>
      <c r="C116" s="17">
        <v>1.0</v>
      </c>
      <c r="D116" s="16">
        <v>32.0</v>
      </c>
      <c r="E116" s="17">
        <v>2.0</v>
      </c>
      <c r="F116" s="16">
        <v>9.0</v>
      </c>
      <c r="G116" s="17">
        <v>4.0</v>
      </c>
      <c r="H116" s="16">
        <v>87.0</v>
      </c>
      <c r="I116" s="17">
        <v>0.0</v>
      </c>
      <c r="J116" s="16">
        <v>87.0</v>
      </c>
      <c r="K116" s="17">
        <v>0.0</v>
      </c>
      <c r="L116" s="18" t="s">
        <v>24</v>
      </c>
      <c r="M116" s="19">
        <v>66.0</v>
      </c>
      <c r="N116" s="20">
        <v>0.01</v>
      </c>
      <c r="O116" s="21">
        <v>6.17</v>
      </c>
      <c r="P116" s="22">
        <v>1.0</v>
      </c>
      <c r="Q116" s="23">
        <v>227.0</v>
      </c>
      <c r="R116" s="24">
        <v>8.3358</v>
      </c>
      <c r="S116" s="24">
        <v>8.3358</v>
      </c>
      <c r="T116" s="24">
        <v>8.3358</v>
      </c>
      <c r="U116" s="25">
        <v>579.22</v>
      </c>
      <c r="V116" s="34">
        <v>81113.0</v>
      </c>
      <c r="W116" s="27"/>
      <c r="X116" s="27"/>
      <c r="Y116" s="28" t="s">
        <v>242</v>
      </c>
    </row>
    <row r="117" ht="14.25" customHeight="1">
      <c r="A117" s="15" t="s">
        <v>243</v>
      </c>
      <c r="B117" s="16">
        <v>12.0</v>
      </c>
      <c r="C117" s="17">
        <v>1.0</v>
      </c>
      <c r="D117" s="16">
        <v>57.0</v>
      </c>
      <c r="E117" s="17">
        <v>1.0</v>
      </c>
      <c r="F117" s="16">
        <v>6.0</v>
      </c>
      <c r="G117" s="17">
        <v>9.0</v>
      </c>
      <c r="H117" s="16">
        <v>9.0</v>
      </c>
      <c r="I117" s="17">
        <v>15.0</v>
      </c>
      <c r="J117" s="16">
        <v>87.0</v>
      </c>
      <c r="K117" s="17">
        <v>0.0</v>
      </c>
      <c r="L117" s="18" t="s">
        <v>24</v>
      </c>
      <c r="M117" s="19">
        <v>66.0</v>
      </c>
      <c r="N117" s="20">
        <v>0.06</v>
      </c>
      <c r="O117" s="21">
        <v>2.67</v>
      </c>
      <c r="P117" s="22">
        <v>4.0</v>
      </c>
      <c r="Q117" s="23">
        <v>161.0</v>
      </c>
      <c r="R117" s="24">
        <v>11.102</v>
      </c>
      <c r="S117" s="24">
        <v>11.102</v>
      </c>
      <c r="T117" s="24">
        <v>17.392</v>
      </c>
      <c r="U117" s="25">
        <v>1856.45</v>
      </c>
      <c r="V117" s="34">
        <v>115182.0</v>
      </c>
      <c r="W117" s="27"/>
      <c r="X117" s="27"/>
      <c r="Y117" s="29" t="s">
        <v>244</v>
      </c>
    </row>
    <row r="118" ht="14.25" customHeight="1">
      <c r="A118" s="15" t="s">
        <v>245</v>
      </c>
      <c r="B118" s="16">
        <v>4.0</v>
      </c>
      <c r="C118" s="17">
        <v>1.0</v>
      </c>
      <c r="D118" s="16">
        <v>21.0</v>
      </c>
      <c r="E118" s="17">
        <v>1.0</v>
      </c>
      <c r="F118" s="16">
        <v>40.0</v>
      </c>
      <c r="G118" s="17">
        <v>5.0</v>
      </c>
      <c r="H118" s="16">
        <v>6.0</v>
      </c>
      <c r="I118" s="17">
        <v>6.0</v>
      </c>
      <c r="J118" s="16">
        <v>8.0</v>
      </c>
      <c r="K118" s="17">
        <v>18.0</v>
      </c>
      <c r="L118" s="18" t="s">
        <v>24</v>
      </c>
      <c r="M118" s="19">
        <v>66.0</v>
      </c>
      <c r="N118" s="20">
        <v>0.12</v>
      </c>
      <c r="O118" s="21">
        <v>3.88</v>
      </c>
      <c r="P118" s="22">
        <v>5.0</v>
      </c>
      <c r="Q118" s="23">
        <v>179.0</v>
      </c>
      <c r="R118" s="24">
        <v>7.0131</v>
      </c>
      <c r="S118" s="24">
        <v>7.0131</v>
      </c>
      <c r="T118" s="24">
        <v>25.4434</v>
      </c>
      <c r="U118" s="25">
        <v>1083.74</v>
      </c>
      <c r="V118" s="34">
        <v>133105.0</v>
      </c>
      <c r="W118" s="27"/>
      <c r="X118" s="27"/>
      <c r="Y118" s="29" t="s">
        <v>246</v>
      </c>
    </row>
    <row r="119" ht="14.25" customHeight="1">
      <c r="A119" s="15" t="s">
        <v>60</v>
      </c>
      <c r="B119" s="16">
        <v>21.0</v>
      </c>
      <c r="C119" s="17">
        <v>1.0</v>
      </c>
      <c r="D119" s="16">
        <v>58.0</v>
      </c>
      <c r="E119" s="17">
        <v>1.0</v>
      </c>
      <c r="F119" s="16">
        <v>14.0</v>
      </c>
      <c r="G119" s="17">
        <v>3.0</v>
      </c>
      <c r="H119" s="16">
        <v>9.0</v>
      </c>
      <c r="I119" s="17">
        <v>7.0</v>
      </c>
      <c r="J119" s="16">
        <v>87.0</v>
      </c>
      <c r="K119" s="17">
        <v>0.0</v>
      </c>
      <c r="L119" s="18" t="s">
        <v>24</v>
      </c>
      <c r="M119" s="19">
        <v>66.0</v>
      </c>
      <c r="N119" s="20">
        <v>0.06</v>
      </c>
      <c r="O119" s="21">
        <v>3.93</v>
      </c>
      <c r="P119" s="22">
        <v>2.0</v>
      </c>
      <c r="Q119" s="23">
        <v>113.0</v>
      </c>
      <c r="R119" s="24">
        <v>7.8075</v>
      </c>
      <c r="S119" s="24">
        <v>7.8075</v>
      </c>
      <c r="T119" s="24">
        <v>5.1565</v>
      </c>
      <c r="U119" s="25">
        <v>314.32</v>
      </c>
      <c r="V119" s="34">
        <v>73207.0</v>
      </c>
      <c r="W119" s="27"/>
      <c r="X119" s="27"/>
      <c r="Y119" s="29" t="s">
        <v>247</v>
      </c>
    </row>
    <row r="120" ht="14.25" customHeight="1">
      <c r="A120" s="15" t="s">
        <v>248</v>
      </c>
      <c r="B120" s="16">
        <v>65.0</v>
      </c>
      <c r="C120" s="17">
        <v>1.0</v>
      </c>
      <c r="D120" s="16">
        <v>39.0</v>
      </c>
      <c r="E120" s="17">
        <v>2.0</v>
      </c>
      <c r="F120" s="16">
        <v>14.0</v>
      </c>
      <c r="G120" s="17">
        <v>1.0</v>
      </c>
      <c r="H120" s="16">
        <v>9.0</v>
      </c>
      <c r="I120" s="17">
        <v>5.0</v>
      </c>
      <c r="J120" s="16">
        <v>87.0</v>
      </c>
      <c r="K120" s="17">
        <v>0.0</v>
      </c>
      <c r="L120" s="18" t="s">
        <v>24</v>
      </c>
      <c r="M120" s="19">
        <v>66.0</v>
      </c>
      <c r="N120" s="20">
        <v>0.04</v>
      </c>
      <c r="O120" s="21">
        <v>5.58</v>
      </c>
      <c r="P120" s="22">
        <v>2.0</v>
      </c>
      <c r="Q120" s="23">
        <v>140.0</v>
      </c>
      <c r="R120" s="24">
        <v>6.8863</v>
      </c>
      <c r="S120" s="24">
        <v>6.8863</v>
      </c>
      <c r="T120" s="24">
        <v>11.0407</v>
      </c>
      <c r="U120" s="25">
        <v>523.56</v>
      </c>
      <c r="V120" s="34">
        <v>126955.0</v>
      </c>
      <c r="W120" s="27"/>
      <c r="X120" s="27"/>
      <c r="Y120" s="29" t="s">
        <v>249</v>
      </c>
    </row>
    <row r="121" ht="14.25" customHeight="1">
      <c r="A121" s="15" t="s">
        <v>250</v>
      </c>
      <c r="B121" s="16">
        <v>58.0</v>
      </c>
      <c r="C121" s="17">
        <v>1.0</v>
      </c>
      <c r="D121" s="16">
        <v>24.0</v>
      </c>
      <c r="E121" s="17">
        <v>1.0</v>
      </c>
      <c r="F121" s="16">
        <v>9.0</v>
      </c>
      <c r="G121" s="17">
        <v>4.0</v>
      </c>
      <c r="H121" s="16">
        <v>87.0</v>
      </c>
      <c r="I121" s="17">
        <v>0.0</v>
      </c>
      <c r="J121" s="16">
        <v>87.0</v>
      </c>
      <c r="K121" s="17">
        <v>0.0</v>
      </c>
      <c r="L121" s="18" t="s">
        <v>24</v>
      </c>
      <c r="M121" s="19">
        <v>66.0</v>
      </c>
      <c r="N121" s="20">
        <v>0.01</v>
      </c>
      <c r="O121" s="21">
        <v>5.07</v>
      </c>
      <c r="P121" s="22">
        <v>6.0</v>
      </c>
      <c r="Q121" s="23">
        <v>14.0</v>
      </c>
      <c r="R121" s="24">
        <v>7.0396</v>
      </c>
      <c r="S121" s="24">
        <v>7.2777</v>
      </c>
      <c r="T121" s="24">
        <v>6.7212</v>
      </c>
      <c r="U121" s="25">
        <v>332.83</v>
      </c>
      <c r="V121" s="34">
        <v>19160.0</v>
      </c>
      <c r="W121" s="27"/>
      <c r="X121" s="27"/>
      <c r="Y121" s="29" t="s">
        <v>251</v>
      </c>
    </row>
    <row r="122" ht="14.25" customHeight="1">
      <c r="A122" s="31" t="s">
        <v>252</v>
      </c>
      <c r="B122" s="16">
        <v>39.0</v>
      </c>
      <c r="C122" s="17">
        <v>3.0</v>
      </c>
      <c r="D122" s="16">
        <v>32.0</v>
      </c>
      <c r="E122" s="17">
        <v>4.0</v>
      </c>
      <c r="F122" s="16">
        <v>9.0</v>
      </c>
      <c r="G122" s="17">
        <v>9.0</v>
      </c>
      <c r="H122" s="16">
        <v>87.0</v>
      </c>
      <c r="I122" s="17">
        <v>0.0</v>
      </c>
      <c r="J122" s="16">
        <v>87.0</v>
      </c>
      <c r="K122" s="17">
        <v>0.0</v>
      </c>
      <c r="L122" s="18" t="s">
        <v>24</v>
      </c>
      <c r="M122" s="19">
        <v>66.0</v>
      </c>
      <c r="N122" s="20">
        <v>0.05</v>
      </c>
      <c r="O122" s="21">
        <v>6.49</v>
      </c>
      <c r="P122" s="22">
        <v>7.0</v>
      </c>
      <c r="Q122" s="23">
        <v>2.0</v>
      </c>
      <c r="R122" s="24">
        <v>6.749</v>
      </c>
      <c r="S122" s="24">
        <v>8.049</v>
      </c>
      <c r="T122" s="24">
        <v>9.729</v>
      </c>
      <c r="U122" s="25">
        <v>485.69</v>
      </c>
      <c r="V122" s="34">
        <v>51546.0</v>
      </c>
      <c r="W122" s="27"/>
      <c r="X122" s="27"/>
      <c r="Y122" s="29" t="s">
        <v>253</v>
      </c>
    </row>
    <row r="123" ht="14.25" customHeight="1">
      <c r="A123" s="15" t="s">
        <v>254</v>
      </c>
      <c r="B123" s="16">
        <v>65.0</v>
      </c>
      <c r="C123" s="17">
        <v>2.0</v>
      </c>
      <c r="D123" s="16">
        <v>23.0</v>
      </c>
      <c r="E123" s="17">
        <v>2.0</v>
      </c>
      <c r="F123" s="16">
        <v>9.0</v>
      </c>
      <c r="G123" s="17">
        <v>7.0</v>
      </c>
      <c r="H123" s="16">
        <v>87.0</v>
      </c>
      <c r="I123" s="17">
        <v>0.0</v>
      </c>
      <c r="J123" s="16">
        <v>87.0</v>
      </c>
      <c r="K123" s="17">
        <v>0.0</v>
      </c>
      <c r="L123" s="18" t="s">
        <v>24</v>
      </c>
      <c r="M123" s="19">
        <v>66.0</v>
      </c>
      <c r="N123" s="20">
        <v>0.04</v>
      </c>
      <c r="O123" s="21">
        <v>6.57</v>
      </c>
      <c r="P123" s="22">
        <v>1.0</v>
      </c>
      <c r="Q123" s="23">
        <v>227.0</v>
      </c>
      <c r="R123" s="24">
        <v>10.18419</v>
      </c>
      <c r="S123" s="24">
        <v>10.18419</v>
      </c>
      <c r="T123" s="24">
        <v>10.18419</v>
      </c>
      <c r="U123" s="25">
        <v>298.15</v>
      </c>
      <c r="V123" s="34">
        <v>134710.0</v>
      </c>
      <c r="W123" s="27"/>
      <c r="X123" s="27"/>
      <c r="Y123" s="29" t="s">
        <v>255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</sheetData>
  <conditionalFormatting sqref="A1:A8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:id="rId1" ref="Y2"/>
    <hyperlink r:id="rId2" ref="Y3"/>
    <hyperlink r:id="rId3" ref="Y4"/>
    <hyperlink r:id="rId4" ref="Y5"/>
    <hyperlink r:id="rId5" ref="Y6"/>
    <hyperlink r:id="rId6" ref="Y7"/>
    <hyperlink r:id="rId7" ref="Y8"/>
    <hyperlink r:id="rId8" ref="Y9"/>
    <hyperlink r:id="rId9" ref="Y10"/>
    <hyperlink r:id="rId10" ref="Y11"/>
    <hyperlink r:id="rId11" ref="Y12"/>
    <hyperlink r:id="rId12" ref="Y13"/>
    <hyperlink r:id="rId13" ref="Y14"/>
    <hyperlink r:id="rId14" ref="Y15"/>
    <hyperlink r:id="rId15" ref="Y16"/>
    <hyperlink r:id="rId16" ref="Y17"/>
    <hyperlink r:id="rId17" ref="Y18"/>
    <hyperlink r:id="rId18" ref="Y19"/>
    <hyperlink r:id="rId19" ref="Y20"/>
    <hyperlink r:id="rId20" ref="Y21"/>
    <hyperlink r:id="rId21" ref="Y22"/>
    <hyperlink r:id="rId22" ref="Y23"/>
    <hyperlink r:id="rId23" ref="Y24"/>
    <hyperlink r:id="rId24" ref="Y25"/>
    <hyperlink r:id="rId25" ref="Y26"/>
    <hyperlink r:id="rId26" ref="Y27"/>
    <hyperlink r:id="rId27" ref="Y28"/>
    <hyperlink r:id="rId28" ref="Y29"/>
    <hyperlink r:id="rId29" ref="Y30"/>
    <hyperlink r:id="rId30" ref="Y31"/>
    <hyperlink r:id="rId31" ref="Y32"/>
    <hyperlink r:id="rId32" ref="Y33"/>
    <hyperlink r:id="rId33" ref="Y34"/>
    <hyperlink r:id="rId34" ref="Y35"/>
    <hyperlink r:id="rId35" ref="Y36"/>
    <hyperlink r:id="rId36" ref="Y37"/>
    <hyperlink r:id="rId37" ref="Y38"/>
    <hyperlink r:id="rId38" ref="Y39"/>
    <hyperlink r:id="rId39" ref="Y40"/>
    <hyperlink r:id="rId40" ref="Y41"/>
    <hyperlink r:id="rId41" ref="Y42"/>
    <hyperlink r:id="rId42" ref="Y43"/>
    <hyperlink r:id="rId43" ref="Y44"/>
    <hyperlink r:id="rId44" ref="Y45"/>
    <hyperlink r:id="rId45" ref="Y46"/>
    <hyperlink r:id="rId46" ref="Y47"/>
    <hyperlink r:id="rId47" ref="Y48"/>
    <hyperlink r:id="rId48" ref="Y49"/>
    <hyperlink r:id="rId49" ref="Y50"/>
    <hyperlink r:id="rId50" ref="Y51"/>
    <hyperlink r:id="rId51" ref="Y52"/>
    <hyperlink r:id="rId52" ref="Y53"/>
    <hyperlink r:id="rId53" ref="Y54"/>
    <hyperlink r:id="rId54" ref="Y55"/>
    <hyperlink r:id="rId55" ref="Y56"/>
    <hyperlink r:id="rId56" ref="Y57"/>
    <hyperlink r:id="rId57" ref="Y58"/>
    <hyperlink r:id="rId58" ref="Y59"/>
    <hyperlink r:id="rId59" ref="Y60"/>
    <hyperlink r:id="rId60" ref="Y61"/>
    <hyperlink r:id="rId61" ref="Y62"/>
    <hyperlink r:id="rId62" ref="Y63"/>
    <hyperlink r:id="rId63" ref="Y64"/>
    <hyperlink r:id="rId64" ref="Y65"/>
    <hyperlink r:id="rId65" ref="Y66"/>
    <hyperlink r:id="rId66" ref="Y67"/>
    <hyperlink r:id="rId67" ref="Y68"/>
    <hyperlink r:id="rId68" ref="Y69"/>
    <hyperlink r:id="rId69" ref="Y70"/>
    <hyperlink r:id="rId70" ref="Y71"/>
    <hyperlink r:id="rId71" ref="Y72"/>
    <hyperlink r:id="rId72" ref="Y73"/>
    <hyperlink r:id="rId73" ref="Y74"/>
    <hyperlink r:id="rId74" ref="Y75"/>
    <hyperlink r:id="rId75" ref="Y76"/>
    <hyperlink r:id="rId76" ref="Y77"/>
    <hyperlink r:id="rId77" ref="Y78"/>
    <hyperlink r:id="rId78" ref="Y79"/>
    <hyperlink r:id="rId79" ref="Y80"/>
    <hyperlink r:id="rId80" ref="Y81"/>
    <hyperlink r:id="rId81" ref="Y82"/>
    <hyperlink r:id="rId82" ref="Y83"/>
    <hyperlink r:id="rId83" ref="Y84"/>
    <hyperlink r:id="rId84" ref="Y85"/>
    <hyperlink r:id="rId85" ref="Y86"/>
    <hyperlink r:id="rId86" ref="Y87"/>
    <hyperlink r:id="rId87" ref="Y88"/>
    <hyperlink r:id="rId88" ref="Y89"/>
    <hyperlink r:id="rId89" ref="Y90"/>
    <hyperlink r:id="rId90" ref="Y91"/>
    <hyperlink r:id="rId91" ref="Y92"/>
    <hyperlink r:id="rId92" ref="Y93"/>
    <hyperlink r:id="rId93" ref="Y94"/>
    <hyperlink r:id="rId94" ref="Y95"/>
    <hyperlink r:id="rId95" ref="Y96"/>
    <hyperlink r:id="rId96" ref="Y97"/>
    <hyperlink r:id="rId97" ref="Y98"/>
    <hyperlink r:id="rId98" ref="Y99"/>
    <hyperlink r:id="rId99" ref="Y100"/>
    <hyperlink r:id="rId100" ref="Y101"/>
    <hyperlink r:id="rId101" ref="Y102"/>
    <hyperlink r:id="rId102" ref="Y103"/>
    <hyperlink r:id="rId103" ref="Y104"/>
    <hyperlink r:id="rId104" ref="Y105"/>
    <hyperlink r:id="rId105" ref="Y106"/>
    <hyperlink r:id="rId106" ref="Y107"/>
    <hyperlink r:id="rId107" ref="Y108"/>
    <hyperlink r:id="rId108" ref="Y109"/>
    <hyperlink r:id="rId109" ref="Y110"/>
    <hyperlink r:id="rId110" ref="Y111"/>
    <hyperlink r:id="rId111" ref="Y112"/>
    <hyperlink r:id="rId112" ref="Y113"/>
    <hyperlink r:id="rId113" ref="Y114"/>
    <hyperlink r:id="rId114" ref="Y115"/>
    <hyperlink r:id="rId115" ref="Y116"/>
    <hyperlink r:id="rId116" ref="Y117"/>
    <hyperlink r:id="rId117" ref="Y118"/>
    <hyperlink r:id="rId118" ref="Y119"/>
    <hyperlink r:id="rId119" ref="Y120"/>
    <hyperlink r:id="rId120" ref="Y121"/>
    <hyperlink r:id="rId121" ref="Y122"/>
    <hyperlink r:id="rId122" ref="Y123"/>
  </hyperlinks>
  <printOptions/>
  <pageMargins bottom="0.787401575" footer="0.0" header="0.0" left="0.511811024" right="0.511811024" top="0.787401575"/>
  <pageSetup paperSize="9" orientation="portrait"/>
  <drawing r:id="rId1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.0"/>
    <col customWidth="1" min="2" max="2" width="19.29"/>
    <col customWidth="1" min="3" max="3" width="9.29"/>
    <col customWidth="1" min="4" max="7" width="8.71"/>
    <col customWidth="1" min="8" max="9" width="11.86"/>
    <col customWidth="1" min="10" max="10" width="8.71"/>
    <col customWidth="1" min="11" max="11" width="9.71"/>
    <col customWidth="1" min="12" max="28" width="8.71"/>
    <col customWidth="1" min="29" max="29" width="9.29"/>
    <col customWidth="1" min="30" max="34" width="8.71"/>
    <col customWidth="1" min="35" max="35" width="9.29"/>
    <col customWidth="1" min="36" max="38" width="8.71"/>
    <col customWidth="1" min="39" max="75" width="9.29"/>
    <col customWidth="1" min="76" max="76" width="8.71"/>
    <col customWidth="1" min="77" max="80" width="9.29"/>
  </cols>
  <sheetData>
    <row r="1" ht="59.25" customHeight="1">
      <c r="A1" s="36" t="s">
        <v>256</v>
      </c>
      <c r="B1" s="37" t="s">
        <v>257</v>
      </c>
      <c r="C1" s="37" t="s">
        <v>258</v>
      </c>
      <c r="D1" s="37" t="s">
        <v>259</v>
      </c>
      <c r="E1" s="36" t="s">
        <v>260</v>
      </c>
      <c r="F1" s="36" t="s">
        <v>261</v>
      </c>
      <c r="G1" s="38" t="s">
        <v>262</v>
      </c>
      <c r="H1" s="38" t="s">
        <v>263</v>
      </c>
      <c r="I1" s="37" t="s">
        <v>264</v>
      </c>
      <c r="J1" s="36" t="s">
        <v>265</v>
      </c>
      <c r="K1" s="37" t="s">
        <v>266</v>
      </c>
      <c r="L1" s="37" t="s">
        <v>267</v>
      </c>
      <c r="M1" s="37" t="s">
        <v>268</v>
      </c>
      <c r="N1" s="37" t="s">
        <v>269</v>
      </c>
      <c r="O1" s="39" t="s">
        <v>270</v>
      </c>
      <c r="P1" s="39" t="s">
        <v>271</v>
      </c>
      <c r="Q1" s="39" t="s">
        <v>272</v>
      </c>
      <c r="R1" s="39" t="s">
        <v>273</v>
      </c>
      <c r="S1" s="37" t="s">
        <v>274</v>
      </c>
      <c r="T1" s="37" t="s">
        <v>275</v>
      </c>
      <c r="U1" s="37" t="s">
        <v>276</v>
      </c>
      <c r="V1" s="39" t="s">
        <v>277</v>
      </c>
      <c r="W1" s="37" t="s">
        <v>278</v>
      </c>
      <c r="X1" s="40" t="s">
        <v>279</v>
      </c>
      <c r="Y1" s="41" t="s">
        <v>280</v>
      </c>
      <c r="Z1" s="37" t="s">
        <v>281</v>
      </c>
      <c r="AA1" s="41" t="s">
        <v>282</v>
      </c>
      <c r="AB1" s="41" t="s">
        <v>283</v>
      </c>
      <c r="AC1" s="42" t="s">
        <v>284</v>
      </c>
      <c r="AD1" s="37" t="s">
        <v>285</v>
      </c>
      <c r="AE1" s="37" t="s">
        <v>286</v>
      </c>
      <c r="AF1" s="37" t="s">
        <v>287</v>
      </c>
      <c r="AG1" s="41" t="s">
        <v>288</v>
      </c>
      <c r="AH1" s="37" t="s">
        <v>289</v>
      </c>
      <c r="AI1" s="41" t="s">
        <v>290</v>
      </c>
      <c r="AJ1" s="41" t="s">
        <v>291</v>
      </c>
      <c r="AK1" s="37" t="s">
        <v>292</v>
      </c>
      <c r="AL1" s="41" t="s">
        <v>293</v>
      </c>
      <c r="AM1" s="43" t="s">
        <v>294</v>
      </c>
      <c r="AN1" s="43" t="s">
        <v>295</v>
      </c>
      <c r="AO1" s="43" t="s">
        <v>296</v>
      </c>
      <c r="AP1" s="44" t="s">
        <v>297</v>
      </c>
      <c r="AQ1" s="44" t="s">
        <v>298</v>
      </c>
      <c r="AR1" s="44" t="s">
        <v>299</v>
      </c>
      <c r="AS1" s="43" t="s">
        <v>300</v>
      </c>
      <c r="AT1" s="43" t="s">
        <v>301</v>
      </c>
      <c r="AU1" s="44" t="s">
        <v>302</v>
      </c>
      <c r="AV1" s="44" t="s">
        <v>303</v>
      </c>
      <c r="AW1" s="44" t="s">
        <v>304</v>
      </c>
      <c r="AX1" s="44" t="s">
        <v>305</v>
      </c>
      <c r="AY1" s="44" t="s">
        <v>306</v>
      </c>
      <c r="AZ1" s="37" t="s">
        <v>307</v>
      </c>
      <c r="BA1" s="37" t="s">
        <v>308</v>
      </c>
      <c r="BB1" s="37" t="s">
        <v>309</v>
      </c>
      <c r="BC1" s="37" t="s">
        <v>310</v>
      </c>
      <c r="BD1" s="37" t="s">
        <v>311</v>
      </c>
      <c r="BE1" s="37" t="s">
        <v>312</v>
      </c>
      <c r="BF1" s="45" t="s">
        <v>313</v>
      </c>
      <c r="BG1" s="45" t="s">
        <v>314</v>
      </c>
      <c r="BH1" s="37" t="s">
        <v>315</v>
      </c>
      <c r="BI1" s="45" t="s">
        <v>316</v>
      </c>
      <c r="BJ1" s="37" t="s">
        <v>317</v>
      </c>
      <c r="BK1" s="45" t="s">
        <v>318</v>
      </c>
      <c r="BL1" s="45" t="s">
        <v>319</v>
      </c>
      <c r="BM1" s="45" t="s">
        <v>320</v>
      </c>
      <c r="BN1" s="45" t="s">
        <v>321</v>
      </c>
      <c r="BO1" s="45" t="s">
        <v>322</v>
      </c>
      <c r="BP1" s="45" t="s">
        <v>323</v>
      </c>
      <c r="BQ1" s="45" t="s">
        <v>324</v>
      </c>
      <c r="BR1" s="46" t="s">
        <v>325</v>
      </c>
      <c r="BS1" s="46" t="s">
        <v>326</v>
      </c>
      <c r="BT1" s="46" t="s">
        <v>327</v>
      </c>
      <c r="BU1" s="46" t="s">
        <v>328</v>
      </c>
      <c r="BV1" s="46" t="s">
        <v>329</v>
      </c>
      <c r="BW1" s="46" t="s">
        <v>330</v>
      </c>
      <c r="BX1" s="37" t="s">
        <v>331</v>
      </c>
      <c r="BY1" s="37" t="s">
        <v>332</v>
      </c>
      <c r="BZ1" s="37" t="s">
        <v>333</v>
      </c>
      <c r="CA1" s="37" t="s">
        <v>334</v>
      </c>
      <c r="CB1" s="37" t="s">
        <v>335</v>
      </c>
    </row>
    <row r="2" ht="14.25" customHeight="1">
      <c r="A2" s="47" t="s">
        <v>336</v>
      </c>
      <c r="B2" s="48" t="s">
        <v>337</v>
      </c>
      <c r="C2" s="49">
        <v>1.00794</v>
      </c>
      <c r="D2" s="50">
        <v>1.0</v>
      </c>
      <c r="E2" s="50">
        <v>1.0</v>
      </c>
      <c r="F2" s="50">
        <v>1.0</v>
      </c>
      <c r="G2" s="51">
        <v>0.0</v>
      </c>
      <c r="H2" s="51">
        <v>3.0</v>
      </c>
      <c r="I2" s="50">
        <v>92.0</v>
      </c>
      <c r="J2" s="50">
        <v>7.0</v>
      </c>
      <c r="K2" s="50">
        <v>1.0</v>
      </c>
      <c r="L2" s="50">
        <v>0.0</v>
      </c>
      <c r="M2" s="50">
        <v>0.0</v>
      </c>
      <c r="N2" s="50">
        <v>0.0</v>
      </c>
      <c r="O2" s="52">
        <v>1.0</v>
      </c>
      <c r="P2" s="52">
        <v>6.0</v>
      </c>
      <c r="Q2" s="52">
        <v>10.0</v>
      </c>
      <c r="R2" s="52">
        <v>14.0</v>
      </c>
      <c r="S2" s="50">
        <v>1.0</v>
      </c>
      <c r="T2" s="50">
        <v>1.0</v>
      </c>
      <c r="U2" s="50">
        <v>1.0</v>
      </c>
      <c r="V2" s="53" t="s">
        <v>338</v>
      </c>
      <c r="W2" s="50">
        <v>0.0</v>
      </c>
      <c r="X2" s="54">
        <v>1.0</v>
      </c>
      <c r="Y2" s="54">
        <v>0.529</v>
      </c>
      <c r="Z2" s="49">
        <v>13.5984</v>
      </c>
      <c r="AA2" s="54">
        <v>0.7566182926829268</v>
      </c>
      <c r="AB2" s="55">
        <v>7.18</v>
      </c>
      <c r="AC2" s="54">
        <v>7.1862</v>
      </c>
      <c r="AD2" s="50">
        <v>2.2</v>
      </c>
      <c r="AE2" s="50">
        <v>2.1</v>
      </c>
      <c r="AF2" s="50">
        <v>7.18</v>
      </c>
      <c r="AG2" s="55">
        <v>2.2</v>
      </c>
      <c r="AH2" s="50">
        <v>2.3</v>
      </c>
      <c r="AI2" s="55">
        <v>2.27</v>
      </c>
      <c r="AJ2" s="53" t="s">
        <v>338</v>
      </c>
      <c r="AK2" s="50">
        <v>2.13</v>
      </c>
      <c r="AL2" s="55">
        <v>8.22</v>
      </c>
      <c r="AM2" s="49">
        <v>0.53</v>
      </c>
      <c r="AN2" s="49">
        <v>0.37</v>
      </c>
      <c r="AO2" s="49">
        <v>0.11</v>
      </c>
      <c r="AP2" s="56">
        <v>0.1</v>
      </c>
      <c r="AQ2" s="57">
        <v>0.51</v>
      </c>
      <c r="AR2" s="56">
        <v>1.2</v>
      </c>
      <c r="AS2" s="49">
        <v>1.25</v>
      </c>
      <c r="AT2" s="49">
        <v>0.1</v>
      </c>
      <c r="AU2" s="56">
        <v>0.31</v>
      </c>
      <c r="AV2" s="56">
        <v>0.25</v>
      </c>
      <c r="AW2" s="56">
        <v>0.529</v>
      </c>
      <c r="AX2" s="58" t="s">
        <v>338</v>
      </c>
      <c r="AY2" s="58" t="s">
        <v>338</v>
      </c>
      <c r="AZ2" s="50">
        <v>0.7</v>
      </c>
      <c r="BA2" s="50">
        <v>14.049999999999955</v>
      </c>
      <c r="BB2" s="50">
        <v>20.24999999999997</v>
      </c>
      <c r="BC2" s="50">
        <v>0.0899</v>
      </c>
      <c r="BD2" s="50">
        <v>14.304</v>
      </c>
      <c r="BE2" s="50">
        <v>0.5868</v>
      </c>
      <c r="BF2" s="59">
        <v>0.44936</v>
      </c>
      <c r="BG2" s="59">
        <v>218.0</v>
      </c>
      <c r="BH2" s="50">
        <v>0.1815</v>
      </c>
      <c r="BI2" s="53" t="s">
        <v>338</v>
      </c>
      <c r="BJ2" s="50" t="s">
        <v>338</v>
      </c>
      <c r="BK2" s="59">
        <v>0.2</v>
      </c>
      <c r="BL2" s="53" t="s">
        <v>338</v>
      </c>
      <c r="BM2" s="53" t="s">
        <v>338</v>
      </c>
      <c r="BN2" s="53" t="s">
        <v>338</v>
      </c>
      <c r="BO2" s="53" t="s">
        <v>338</v>
      </c>
      <c r="BP2" s="53" t="s">
        <v>338</v>
      </c>
      <c r="BQ2" s="53" t="s">
        <v>338</v>
      </c>
      <c r="BR2" s="60">
        <v>0.332</v>
      </c>
      <c r="BS2" s="60">
        <v>0.011</v>
      </c>
      <c r="BT2" s="60">
        <v>7.0</v>
      </c>
      <c r="BU2" s="60">
        <v>2.0</v>
      </c>
      <c r="BV2" s="60">
        <v>0.2857142857142857</v>
      </c>
      <c r="BW2" s="60">
        <v>1.0</v>
      </c>
      <c r="BX2" s="50">
        <v>0.0014292853098168835</v>
      </c>
      <c r="BY2" s="50">
        <v>0.9098509500104808</v>
      </c>
      <c r="BZ2" s="61" t="s">
        <v>338</v>
      </c>
      <c r="CA2" s="61" t="s">
        <v>338</v>
      </c>
      <c r="CB2" s="50">
        <v>12.0</v>
      </c>
    </row>
    <row r="3" ht="14.25" customHeight="1">
      <c r="A3" s="47" t="s">
        <v>339</v>
      </c>
      <c r="B3" s="48" t="s">
        <v>340</v>
      </c>
      <c r="C3" s="49">
        <v>4.002602</v>
      </c>
      <c r="D3" s="50">
        <v>2.0</v>
      </c>
      <c r="E3" s="50">
        <v>1.0</v>
      </c>
      <c r="F3" s="50">
        <v>18.0</v>
      </c>
      <c r="G3" s="51">
        <v>0.0</v>
      </c>
      <c r="H3" s="51">
        <v>3.0</v>
      </c>
      <c r="I3" s="50">
        <v>98.0</v>
      </c>
      <c r="J3" s="50">
        <v>9.0</v>
      </c>
      <c r="K3" s="50">
        <v>2.0</v>
      </c>
      <c r="L3" s="50">
        <v>0.0</v>
      </c>
      <c r="M3" s="50">
        <v>0.0</v>
      </c>
      <c r="N3" s="50">
        <v>0.0</v>
      </c>
      <c r="O3" s="52">
        <v>0.0</v>
      </c>
      <c r="P3" s="52">
        <v>6.0</v>
      </c>
      <c r="Q3" s="52">
        <v>10.0</v>
      </c>
      <c r="R3" s="52">
        <v>14.0</v>
      </c>
      <c r="S3" s="50">
        <v>2.0</v>
      </c>
      <c r="T3" s="50">
        <v>2.0</v>
      </c>
      <c r="U3" s="50">
        <v>2.0</v>
      </c>
      <c r="V3" s="53" t="s">
        <v>338</v>
      </c>
      <c r="W3" s="50">
        <v>0.0</v>
      </c>
      <c r="X3" s="54">
        <v>1.344</v>
      </c>
      <c r="Y3" s="54">
        <v>0.394</v>
      </c>
      <c r="Z3" s="49">
        <v>24.5874</v>
      </c>
      <c r="AA3" s="54">
        <v>-0.5182841483979764</v>
      </c>
      <c r="AB3" s="53" t="s">
        <v>338</v>
      </c>
      <c r="AC3" s="54">
        <v>12.0568</v>
      </c>
      <c r="AD3" s="50" t="s">
        <v>338</v>
      </c>
      <c r="AE3" s="50" t="s">
        <v>338</v>
      </c>
      <c r="AF3" s="50" t="s">
        <v>338</v>
      </c>
      <c r="AG3" s="53" t="s">
        <v>338</v>
      </c>
      <c r="AH3" s="50">
        <v>4.16</v>
      </c>
      <c r="AI3" s="55">
        <v>3.92</v>
      </c>
      <c r="AJ3" s="53" t="s">
        <v>338</v>
      </c>
      <c r="AK3" s="50" t="s">
        <v>338</v>
      </c>
      <c r="AL3" s="55">
        <v>40.4</v>
      </c>
      <c r="AM3" s="49">
        <v>0.31</v>
      </c>
      <c r="AN3" s="49">
        <v>0.32</v>
      </c>
      <c r="AO3" s="49">
        <v>0.58</v>
      </c>
      <c r="AP3" s="57">
        <v>0.56</v>
      </c>
      <c r="AQ3" s="57">
        <v>1.19</v>
      </c>
      <c r="AR3" s="56">
        <v>1.4</v>
      </c>
      <c r="AS3" s="49">
        <v>1.69</v>
      </c>
      <c r="AT3" s="49">
        <v>0.57</v>
      </c>
      <c r="AU3" s="56">
        <v>0.28</v>
      </c>
      <c r="AV3" s="56">
        <v>0.31</v>
      </c>
      <c r="AW3" s="56">
        <v>0.29100000000000004</v>
      </c>
      <c r="AX3" s="58" t="s">
        <v>338</v>
      </c>
      <c r="AY3" s="58" t="s">
        <v>338</v>
      </c>
      <c r="AZ3" s="50">
        <v>0.198</v>
      </c>
      <c r="BA3" s="50">
        <v>0.9499999999999886</v>
      </c>
      <c r="BB3" s="50">
        <v>4.25</v>
      </c>
      <c r="BC3" s="50">
        <v>0.1785</v>
      </c>
      <c r="BD3" s="50">
        <v>5.193</v>
      </c>
      <c r="BE3" s="50">
        <v>0.02</v>
      </c>
      <c r="BF3" s="59">
        <v>0.0845</v>
      </c>
      <c r="BG3" s="59">
        <v>0.0</v>
      </c>
      <c r="BH3" s="50">
        <v>0.152</v>
      </c>
      <c r="BI3" s="53" t="s">
        <v>338</v>
      </c>
      <c r="BJ3" s="50" t="s">
        <v>338</v>
      </c>
      <c r="BK3" s="53" t="s">
        <v>338</v>
      </c>
      <c r="BL3" s="53" t="s">
        <v>338</v>
      </c>
      <c r="BM3" s="53" t="s">
        <v>338</v>
      </c>
      <c r="BN3" s="53" t="s">
        <v>338</v>
      </c>
      <c r="BO3" s="53" t="s">
        <v>338</v>
      </c>
      <c r="BP3" s="53" t="s">
        <v>338</v>
      </c>
      <c r="BQ3" s="53" t="s">
        <v>338</v>
      </c>
      <c r="BR3" s="60">
        <v>0.007</v>
      </c>
      <c r="BS3" s="60">
        <v>1.0E-5</v>
      </c>
      <c r="BT3" s="60">
        <v>9.0</v>
      </c>
      <c r="BU3" s="60">
        <v>2.0</v>
      </c>
      <c r="BV3" s="60">
        <v>0.2222222222222222</v>
      </c>
      <c r="BW3" s="60">
        <v>1.0</v>
      </c>
      <c r="BX3" s="50">
        <v>8.167344627525049E-9</v>
      </c>
      <c r="BY3" s="50">
        <v>0.0887023148397315</v>
      </c>
      <c r="BZ3" s="61" t="s">
        <v>338</v>
      </c>
      <c r="CA3" s="61" t="s">
        <v>338</v>
      </c>
      <c r="CB3" s="50">
        <v>5.2</v>
      </c>
    </row>
    <row r="4" ht="14.25" customHeight="1">
      <c r="A4" s="47" t="s">
        <v>341</v>
      </c>
      <c r="B4" s="48" t="s">
        <v>342</v>
      </c>
      <c r="C4" s="49">
        <v>6.941</v>
      </c>
      <c r="D4" s="50">
        <v>3.0</v>
      </c>
      <c r="E4" s="50">
        <v>2.0</v>
      </c>
      <c r="F4" s="50">
        <v>1.0</v>
      </c>
      <c r="G4" s="51">
        <v>0.0</v>
      </c>
      <c r="H4" s="51">
        <v>1.0</v>
      </c>
      <c r="I4" s="50">
        <v>1.0</v>
      </c>
      <c r="J4" s="50">
        <v>1.0</v>
      </c>
      <c r="K4" s="50">
        <v>1.0</v>
      </c>
      <c r="L4" s="50">
        <v>0.0</v>
      </c>
      <c r="M4" s="50">
        <v>0.0</v>
      </c>
      <c r="N4" s="50">
        <v>0.0</v>
      </c>
      <c r="O4" s="52">
        <v>1.0</v>
      </c>
      <c r="P4" s="52">
        <v>6.0</v>
      </c>
      <c r="Q4" s="52">
        <v>10.0</v>
      </c>
      <c r="R4" s="52">
        <v>14.0</v>
      </c>
      <c r="S4" s="50">
        <v>1.0</v>
      </c>
      <c r="T4" s="50">
        <v>1.0</v>
      </c>
      <c r="U4" s="50">
        <v>1.0</v>
      </c>
      <c r="V4" s="52">
        <v>1.0</v>
      </c>
      <c r="W4" s="50">
        <v>1.0</v>
      </c>
      <c r="X4" s="54">
        <v>1.259</v>
      </c>
      <c r="Y4" s="54">
        <v>1.681</v>
      </c>
      <c r="Z4" s="49">
        <v>5.3917</v>
      </c>
      <c r="AA4" s="54">
        <v>0.6221192307692308</v>
      </c>
      <c r="AB4" s="55">
        <v>3.01</v>
      </c>
      <c r="AC4" s="54">
        <v>2.4435</v>
      </c>
      <c r="AD4" s="50">
        <v>0.98</v>
      </c>
      <c r="AE4" s="50">
        <v>0.9</v>
      </c>
      <c r="AF4" s="50">
        <v>3.01</v>
      </c>
      <c r="AG4" s="55">
        <v>0.98</v>
      </c>
      <c r="AH4" s="50">
        <v>0.912</v>
      </c>
      <c r="AI4" s="55">
        <v>0.94</v>
      </c>
      <c r="AJ4" s="55">
        <v>3.02</v>
      </c>
      <c r="AK4" s="50">
        <v>0.95</v>
      </c>
      <c r="AL4" s="55">
        <v>1.13</v>
      </c>
      <c r="AM4" s="49">
        <v>1.67</v>
      </c>
      <c r="AN4" s="49">
        <v>1.34</v>
      </c>
      <c r="AO4" s="49">
        <v>0.9</v>
      </c>
      <c r="AP4" s="56">
        <v>0.76</v>
      </c>
      <c r="AQ4" s="56">
        <v>1.52</v>
      </c>
      <c r="AR4" s="56">
        <v>1.82</v>
      </c>
      <c r="AS4" s="49">
        <v>1.61</v>
      </c>
      <c r="AT4" s="49">
        <v>0.9</v>
      </c>
      <c r="AU4" s="56">
        <v>1.28</v>
      </c>
      <c r="AV4" s="56">
        <v>1.45</v>
      </c>
      <c r="AW4" s="56">
        <v>1.5859999999999999</v>
      </c>
      <c r="AX4" s="56">
        <v>1.549</v>
      </c>
      <c r="AY4" s="56">
        <v>1.225</v>
      </c>
      <c r="AZ4" s="50">
        <v>24.3</v>
      </c>
      <c r="BA4" s="50">
        <v>453.65</v>
      </c>
      <c r="BB4" s="50">
        <v>1615.15</v>
      </c>
      <c r="BC4" s="50">
        <v>0.535</v>
      </c>
      <c r="BD4" s="50">
        <v>3.6</v>
      </c>
      <c r="BE4" s="50">
        <v>3.0</v>
      </c>
      <c r="BF4" s="59">
        <v>145.92</v>
      </c>
      <c r="BG4" s="59">
        <v>161.0</v>
      </c>
      <c r="BH4" s="50">
        <v>84.7</v>
      </c>
      <c r="BI4" s="59">
        <v>4.6E-5</v>
      </c>
      <c r="BJ4" s="50">
        <v>1.63</v>
      </c>
      <c r="BK4" s="59">
        <v>11.6</v>
      </c>
      <c r="BL4" s="59">
        <v>4.2</v>
      </c>
      <c r="BM4" s="59">
        <v>4.9</v>
      </c>
      <c r="BN4" s="53" t="s">
        <v>338</v>
      </c>
      <c r="BO4" s="59">
        <v>0.005</v>
      </c>
      <c r="BP4" s="59">
        <v>9.400000000002E-8</v>
      </c>
      <c r="BQ4" s="59">
        <v>1.1E7</v>
      </c>
      <c r="BR4" s="60">
        <v>71.0</v>
      </c>
      <c r="BS4" s="53" t="s">
        <v>338</v>
      </c>
      <c r="BT4" s="60">
        <v>10.0</v>
      </c>
      <c r="BU4" s="60">
        <v>2.0</v>
      </c>
      <c r="BV4" s="60">
        <v>0.2</v>
      </c>
      <c r="BW4" s="60">
        <v>1.0</v>
      </c>
      <c r="BX4" s="50">
        <v>2.041836156881262E-5</v>
      </c>
      <c r="BY4" s="50">
        <v>1.862096388731128E-9</v>
      </c>
      <c r="BZ4" s="62">
        <v>2850.0</v>
      </c>
      <c r="CA4" s="62">
        <v>4180.0</v>
      </c>
      <c r="CB4" s="50">
        <v>27.0</v>
      </c>
    </row>
    <row r="5" ht="14.25" customHeight="1">
      <c r="A5" s="47" t="s">
        <v>343</v>
      </c>
      <c r="B5" s="48" t="s">
        <v>344</v>
      </c>
      <c r="C5" s="49">
        <v>9.01218</v>
      </c>
      <c r="D5" s="50">
        <v>4.0</v>
      </c>
      <c r="E5" s="50">
        <v>2.0</v>
      </c>
      <c r="F5" s="50">
        <v>2.0</v>
      </c>
      <c r="G5" s="51">
        <v>0.0</v>
      </c>
      <c r="H5" s="51">
        <v>1.0</v>
      </c>
      <c r="I5" s="50">
        <v>67.0</v>
      </c>
      <c r="J5" s="50">
        <v>2.0</v>
      </c>
      <c r="K5" s="50">
        <v>2.0</v>
      </c>
      <c r="L5" s="50">
        <v>0.0</v>
      </c>
      <c r="M5" s="50">
        <v>0.0</v>
      </c>
      <c r="N5" s="50">
        <v>0.0</v>
      </c>
      <c r="O5" s="52">
        <v>0.0</v>
      </c>
      <c r="P5" s="52">
        <v>6.0</v>
      </c>
      <c r="Q5" s="52">
        <v>10.0</v>
      </c>
      <c r="R5" s="52">
        <v>14.0</v>
      </c>
      <c r="S5" s="50">
        <v>2.0</v>
      </c>
      <c r="T5" s="50">
        <v>2.0</v>
      </c>
      <c r="U5" s="50">
        <v>2.0</v>
      </c>
      <c r="V5" s="52">
        <v>2.0</v>
      </c>
      <c r="W5" s="50">
        <v>2.0</v>
      </c>
      <c r="X5" s="54">
        <v>1.656</v>
      </c>
      <c r="Y5" s="54">
        <v>1.278</v>
      </c>
      <c r="Z5" s="49">
        <v>9.3227</v>
      </c>
      <c r="AA5" s="54">
        <v>-0.5185038932146829</v>
      </c>
      <c r="AB5" s="55">
        <v>4.9</v>
      </c>
      <c r="AC5" s="54">
        <v>3.706</v>
      </c>
      <c r="AD5" s="50">
        <v>1.57</v>
      </c>
      <c r="AE5" s="50">
        <v>1.45</v>
      </c>
      <c r="AF5" s="50">
        <v>4.9</v>
      </c>
      <c r="AG5" s="55">
        <v>1.57</v>
      </c>
      <c r="AH5" s="50">
        <v>1.576</v>
      </c>
      <c r="AI5" s="55">
        <v>1.55</v>
      </c>
      <c r="AJ5" s="55">
        <v>3.4</v>
      </c>
      <c r="AK5" s="50">
        <v>1.45</v>
      </c>
      <c r="AL5" s="55">
        <v>3.81</v>
      </c>
      <c r="AM5" s="49">
        <v>1.12</v>
      </c>
      <c r="AN5" s="49">
        <v>0.9</v>
      </c>
      <c r="AO5" s="49">
        <v>0.59</v>
      </c>
      <c r="AP5" s="56">
        <v>0.45</v>
      </c>
      <c r="AQ5" s="56">
        <v>1.12</v>
      </c>
      <c r="AR5" s="56">
        <v>1.53</v>
      </c>
      <c r="AS5" s="49">
        <v>1.08</v>
      </c>
      <c r="AT5" s="49">
        <v>0.41</v>
      </c>
      <c r="AU5" s="56">
        <v>0.96</v>
      </c>
      <c r="AV5" s="56">
        <v>1.05</v>
      </c>
      <c r="AW5" s="56">
        <v>1.04</v>
      </c>
      <c r="AX5" s="56">
        <v>1.123</v>
      </c>
      <c r="AY5" s="56">
        <v>0.889</v>
      </c>
      <c r="AZ5" s="50">
        <v>5.6</v>
      </c>
      <c r="BA5" s="50">
        <v>1551.15</v>
      </c>
      <c r="BB5" s="50">
        <v>3243.15</v>
      </c>
      <c r="BC5" s="50">
        <v>1.85</v>
      </c>
      <c r="BD5" s="50">
        <v>1.82</v>
      </c>
      <c r="BE5" s="50">
        <v>7.95</v>
      </c>
      <c r="BF5" s="59">
        <v>292.4</v>
      </c>
      <c r="BG5" s="59">
        <v>324.0</v>
      </c>
      <c r="BH5" s="50">
        <v>200.0</v>
      </c>
      <c r="BI5" s="59">
        <v>1.13E-5</v>
      </c>
      <c r="BJ5" s="50">
        <v>3.32</v>
      </c>
      <c r="BK5" s="59">
        <v>110.0</v>
      </c>
      <c r="BL5" s="59">
        <v>132.0</v>
      </c>
      <c r="BM5" s="59">
        <v>287.0</v>
      </c>
      <c r="BN5" s="59">
        <v>1.67</v>
      </c>
      <c r="BO5" s="59">
        <v>0.6</v>
      </c>
      <c r="BP5" s="59">
        <v>3.999999999998E-8</v>
      </c>
      <c r="BQ5" s="59">
        <v>2.5E7</v>
      </c>
      <c r="BR5" s="60">
        <v>0.0092</v>
      </c>
      <c r="BS5" s="60">
        <v>3.0E-5</v>
      </c>
      <c r="BT5" s="60">
        <v>12.0</v>
      </c>
      <c r="BU5" s="60">
        <v>1.0</v>
      </c>
      <c r="BV5" s="60">
        <v>0.08333333333333333</v>
      </c>
      <c r="BW5" s="60">
        <v>1.0</v>
      </c>
      <c r="BX5" s="50">
        <v>2.858570619633767E-6</v>
      </c>
      <c r="BY5" s="50">
        <v>2.3806135968016175E-11</v>
      </c>
      <c r="BZ5" s="62">
        <v>8074.0</v>
      </c>
      <c r="CA5" s="62">
        <v>4000.0</v>
      </c>
      <c r="CB5" s="50">
        <v>530.0</v>
      </c>
    </row>
    <row r="6" ht="14.25" customHeight="1">
      <c r="A6" s="47" t="s">
        <v>18</v>
      </c>
      <c r="B6" s="48" t="s">
        <v>345</v>
      </c>
      <c r="C6" s="49">
        <v>10.811</v>
      </c>
      <c r="D6" s="50">
        <v>5.0</v>
      </c>
      <c r="E6" s="50">
        <v>2.0</v>
      </c>
      <c r="F6" s="50">
        <v>13.0</v>
      </c>
      <c r="G6" s="51">
        <v>1.0</v>
      </c>
      <c r="H6" s="51">
        <v>2.0</v>
      </c>
      <c r="I6" s="50">
        <v>72.0</v>
      </c>
      <c r="J6" s="50">
        <v>6.0</v>
      </c>
      <c r="K6" s="50">
        <v>2.0</v>
      </c>
      <c r="L6" s="50">
        <v>1.0</v>
      </c>
      <c r="M6" s="50">
        <v>0.0</v>
      </c>
      <c r="N6" s="50">
        <v>0.0</v>
      </c>
      <c r="O6" s="52">
        <v>0.0</v>
      </c>
      <c r="P6" s="52">
        <v>5.0</v>
      </c>
      <c r="Q6" s="52">
        <v>10.0</v>
      </c>
      <c r="R6" s="52">
        <v>14.0</v>
      </c>
      <c r="S6" s="50">
        <v>3.0</v>
      </c>
      <c r="T6" s="50">
        <v>3.0</v>
      </c>
      <c r="U6" s="50">
        <v>3.0</v>
      </c>
      <c r="V6" s="52">
        <v>3.0</v>
      </c>
      <c r="W6" s="50">
        <v>3.0</v>
      </c>
      <c r="X6" s="54">
        <v>1.561</v>
      </c>
      <c r="Y6" s="54">
        <v>1.355</v>
      </c>
      <c r="Z6" s="49">
        <v>8.298</v>
      </c>
      <c r="AA6" s="54">
        <v>0.2797078651685393</v>
      </c>
      <c r="AB6" s="55">
        <v>4.29</v>
      </c>
      <c r="AC6" s="54">
        <v>4.9686</v>
      </c>
      <c r="AD6" s="50">
        <v>2.04</v>
      </c>
      <c r="AE6" s="50">
        <v>1.9</v>
      </c>
      <c r="AF6" s="50">
        <v>4.29</v>
      </c>
      <c r="AG6" s="55">
        <v>2.04</v>
      </c>
      <c r="AH6" s="50">
        <v>2.051</v>
      </c>
      <c r="AI6" s="55">
        <v>2.02</v>
      </c>
      <c r="AJ6" s="55">
        <v>5.66</v>
      </c>
      <c r="AK6" s="50">
        <v>1.9</v>
      </c>
      <c r="AL6" s="55">
        <v>9.04</v>
      </c>
      <c r="AM6" s="49">
        <v>0.87</v>
      </c>
      <c r="AN6" s="49">
        <v>0.82</v>
      </c>
      <c r="AO6" s="49">
        <v>0.41</v>
      </c>
      <c r="AP6" s="56">
        <v>0.27</v>
      </c>
      <c r="AQ6" s="56">
        <v>0.78</v>
      </c>
      <c r="AR6" s="56">
        <v>1.8</v>
      </c>
      <c r="AS6" s="49">
        <v>0.8</v>
      </c>
      <c r="AT6" s="49">
        <v>0.25</v>
      </c>
      <c r="AU6" s="56">
        <v>0.84</v>
      </c>
      <c r="AV6" s="56">
        <v>0.85</v>
      </c>
      <c r="AW6" s="56">
        <v>0.7759999999999999</v>
      </c>
      <c r="AX6" s="56">
        <v>0.98</v>
      </c>
      <c r="AY6" s="56">
        <v>0.8</v>
      </c>
      <c r="AZ6" s="50">
        <v>3.0</v>
      </c>
      <c r="BA6" s="50">
        <v>2352.15</v>
      </c>
      <c r="BB6" s="50">
        <v>4275.0</v>
      </c>
      <c r="BC6" s="50">
        <v>2.34</v>
      </c>
      <c r="BD6" s="50">
        <v>1.02</v>
      </c>
      <c r="BE6" s="50">
        <v>50.2</v>
      </c>
      <c r="BF6" s="59">
        <v>489.7</v>
      </c>
      <c r="BG6" s="59">
        <v>573.0</v>
      </c>
      <c r="BH6" s="50">
        <v>27.0</v>
      </c>
      <c r="BI6" s="59">
        <v>6.0E-6</v>
      </c>
      <c r="BJ6" s="50">
        <v>5.81</v>
      </c>
      <c r="BK6" s="59">
        <v>178.0</v>
      </c>
      <c r="BL6" s="53" t="s">
        <v>338</v>
      </c>
      <c r="BM6" s="53" t="s">
        <v>338</v>
      </c>
      <c r="BN6" s="59">
        <v>49.0</v>
      </c>
      <c r="BO6" s="53" t="s">
        <v>338</v>
      </c>
      <c r="BP6" s="59">
        <v>10000.0</v>
      </c>
      <c r="BQ6" s="59">
        <v>1.0E-4</v>
      </c>
      <c r="BR6" s="60">
        <v>760.0</v>
      </c>
      <c r="BS6" s="60">
        <v>2.4</v>
      </c>
      <c r="BT6" s="60">
        <v>14.0</v>
      </c>
      <c r="BU6" s="60">
        <v>2.0</v>
      </c>
      <c r="BV6" s="60">
        <v>0.14285714285714285</v>
      </c>
      <c r="BW6" s="60">
        <v>1.0</v>
      </c>
      <c r="BX6" s="50">
        <v>1.020918078440631E-5</v>
      </c>
      <c r="BY6" s="50">
        <v>6.91356277427319E-10</v>
      </c>
      <c r="BZ6" s="62">
        <v>2929.0</v>
      </c>
      <c r="CA6" s="62">
        <v>1980.0</v>
      </c>
      <c r="CB6" s="50">
        <v>250.0</v>
      </c>
    </row>
    <row r="7" ht="14.25" customHeight="1">
      <c r="A7" s="47" t="s">
        <v>19</v>
      </c>
      <c r="B7" s="48" t="s">
        <v>346</v>
      </c>
      <c r="C7" s="49">
        <v>12.011</v>
      </c>
      <c r="D7" s="50">
        <v>6.0</v>
      </c>
      <c r="E7" s="50">
        <v>2.0</v>
      </c>
      <c r="F7" s="50">
        <v>14.0</v>
      </c>
      <c r="G7" s="51">
        <v>1.0</v>
      </c>
      <c r="H7" s="51">
        <v>3.0</v>
      </c>
      <c r="I7" s="50">
        <v>77.0</v>
      </c>
      <c r="J7" s="50">
        <v>7.0</v>
      </c>
      <c r="K7" s="50">
        <v>2.0</v>
      </c>
      <c r="L7" s="50">
        <v>2.0</v>
      </c>
      <c r="M7" s="50">
        <v>0.0</v>
      </c>
      <c r="N7" s="50">
        <v>0.0</v>
      </c>
      <c r="O7" s="52">
        <v>0.0</v>
      </c>
      <c r="P7" s="52">
        <v>4.0</v>
      </c>
      <c r="Q7" s="52">
        <v>10.0</v>
      </c>
      <c r="R7" s="52">
        <v>14.0</v>
      </c>
      <c r="S7" s="50">
        <v>4.0</v>
      </c>
      <c r="T7" s="50">
        <v>4.0</v>
      </c>
      <c r="U7" s="50">
        <v>4.0</v>
      </c>
      <c r="V7" s="52">
        <v>4.0</v>
      </c>
      <c r="W7" s="50">
        <v>4.0</v>
      </c>
      <c r="X7" s="54">
        <v>1.8193</v>
      </c>
      <c r="Y7" s="54">
        <v>1.163</v>
      </c>
      <c r="Z7" s="49">
        <v>11.2603</v>
      </c>
      <c r="AA7" s="54">
        <v>1.2649692449355434</v>
      </c>
      <c r="AB7" s="55">
        <v>6.27</v>
      </c>
      <c r="AC7" s="54">
        <v>6.2338</v>
      </c>
      <c r="AD7" s="50">
        <v>2.55</v>
      </c>
      <c r="AE7" s="50">
        <v>2.37</v>
      </c>
      <c r="AF7" s="50">
        <v>6.27</v>
      </c>
      <c r="AG7" s="55">
        <v>2.55</v>
      </c>
      <c r="AH7" s="50">
        <v>2.544</v>
      </c>
      <c r="AI7" s="55">
        <v>2.55</v>
      </c>
      <c r="AJ7" s="55">
        <v>8.58</v>
      </c>
      <c r="AK7" s="50">
        <v>2.55</v>
      </c>
      <c r="AL7" s="55">
        <v>17.6</v>
      </c>
      <c r="AM7" s="49">
        <v>0.67</v>
      </c>
      <c r="AN7" s="49">
        <v>0.77</v>
      </c>
      <c r="AO7" s="49">
        <v>0.4</v>
      </c>
      <c r="AP7" s="56">
        <v>0.16</v>
      </c>
      <c r="AQ7" s="56">
        <v>0.77</v>
      </c>
      <c r="AR7" s="56">
        <v>1.7</v>
      </c>
      <c r="AS7" s="49">
        <v>0.64</v>
      </c>
      <c r="AT7" s="49">
        <v>0.29</v>
      </c>
      <c r="AU7" s="56">
        <v>0.76</v>
      </c>
      <c r="AV7" s="56">
        <v>0.7</v>
      </c>
      <c r="AW7" s="56">
        <v>0.62</v>
      </c>
      <c r="AX7" s="56">
        <v>0.914</v>
      </c>
      <c r="AY7" s="56">
        <v>0.771</v>
      </c>
      <c r="AZ7" s="50">
        <v>1.8</v>
      </c>
      <c r="BA7" s="50">
        <v>3640.15</v>
      </c>
      <c r="BB7" s="50">
        <v>5100.15</v>
      </c>
      <c r="BC7" s="50">
        <v>2.25</v>
      </c>
      <c r="BD7" s="50">
        <v>0.71</v>
      </c>
      <c r="BE7" s="50">
        <v>105.0</v>
      </c>
      <c r="BF7" s="59">
        <v>355.8</v>
      </c>
      <c r="BG7" s="59">
        <v>717.0</v>
      </c>
      <c r="BH7" s="50">
        <v>129.0</v>
      </c>
      <c r="BI7" s="59">
        <v>7.1E-6</v>
      </c>
      <c r="BJ7" s="50">
        <v>7.37</v>
      </c>
      <c r="BK7" s="59">
        <v>443.0</v>
      </c>
      <c r="BL7" s="53" t="s">
        <v>338</v>
      </c>
      <c r="BM7" s="53" t="s">
        <v>338</v>
      </c>
      <c r="BN7" s="53" t="s">
        <v>338</v>
      </c>
      <c r="BO7" s="53" t="s">
        <v>338</v>
      </c>
      <c r="BP7" s="59">
        <v>1.0E-5</v>
      </c>
      <c r="BQ7" s="59">
        <v>100000.0</v>
      </c>
      <c r="BR7" s="60">
        <v>0.0035</v>
      </c>
      <c r="BS7" s="60">
        <v>1.5E-5</v>
      </c>
      <c r="BT7" s="60">
        <v>15.0</v>
      </c>
      <c r="BU7" s="60">
        <v>2.0</v>
      </c>
      <c r="BV7" s="60">
        <v>0.13333333333333333</v>
      </c>
      <c r="BW7" s="60">
        <v>1.0</v>
      </c>
      <c r="BX7" s="50">
        <v>2.0418361568812622E-4</v>
      </c>
      <c r="BY7" s="50">
        <v>3.293725661328269E-4</v>
      </c>
      <c r="BZ7" s="62">
        <v>500.0</v>
      </c>
      <c r="CA7" s="62">
        <v>500.0</v>
      </c>
      <c r="CB7" s="50">
        <v>2.4</v>
      </c>
    </row>
    <row r="8" ht="14.25" customHeight="1">
      <c r="A8" s="47" t="s">
        <v>347</v>
      </c>
      <c r="B8" s="48" t="s">
        <v>348</v>
      </c>
      <c r="C8" s="49">
        <v>14.00674</v>
      </c>
      <c r="D8" s="50">
        <v>7.0</v>
      </c>
      <c r="E8" s="50">
        <v>2.0</v>
      </c>
      <c r="F8" s="50">
        <v>15.0</v>
      </c>
      <c r="G8" s="51">
        <v>1.0</v>
      </c>
      <c r="H8" s="51">
        <v>3.0</v>
      </c>
      <c r="I8" s="50">
        <v>82.0</v>
      </c>
      <c r="J8" s="50">
        <v>7.0</v>
      </c>
      <c r="K8" s="50">
        <v>2.0</v>
      </c>
      <c r="L8" s="50">
        <v>3.0</v>
      </c>
      <c r="M8" s="50">
        <v>0.0</v>
      </c>
      <c r="N8" s="50">
        <v>0.0</v>
      </c>
      <c r="O8" s="52">
        <v>0.0</v>
      </c>
      <c r="P8" s="52">
        <v>3.0</v>
      </c>
      <c r="Q8" s="52">
        <v>10.0</v>
      </c>
      <c r="R8" s="52">
        <v>14.0</v>
      </c>
      <c r="S8" s="50">
        <v>5.0</v>
      </c>
      <c r="T8" s="50">
        <v>5.0</v>
      </c>
      <c r="U8" s="50">
        <v>5.0</v>
      </c>
      <c r="V8" s="52">
        <v>3.0</v>
      </c>
      <c r="W8" s="50">
        <v>3.0</v>
      </c>
      <c r="X8" s="54">
        <v>2.068</v>
      </c>
      <c r="Y8" s="54">
        <v>1.023</v>
      </c>
      <c r="Z8" s="49">
        <v>14.5341</v>
      </c>
      <c r="AA8" s="54">
        <v>-7.256683309557775E-4</v>
      </c>
      <c r="AB8" s="55">
        <v>7.3</v>
      </c>
      <c r="AC8" s="54">
        <v>7.4964</v>
      </c>
      <c r="AD8" s="50">
        <v>3.04</v>
      </c>
      <c r="AE8" s="50">
        <v>2.85</v>
      </c>
      <c r="AF8" s="50">
        <v>7.3</v>
      </c>
      <c r="AG8" s="55">
        <v>3.04</v>
      </c>
      <c r="AH8" s="50">
        <v>3.066</v>
      </c>
      <c r="AI8" s="55">
        <v>3.12</v>
      </c>
      <c r="AJ8" s="55">
        <v>9.77</v>
      </c>
      <c r="AK8" s="50">
        <v>2.98</v>
      </c>
      <c r="AL8" s="55">
        <v>30.5</v>
      </c>
      <c r="AM8" s="49">
        <v>0.56</v>
      </c>
      <c r="AN8" s="49">
        <v>0.75</v>
      </c>
      <c r="AO8" s="49">
        <v>1.32</v>
      </c>
      <c r="AP8" s="56">
        <v>1.46</v>
      </c>
      <c r="AQ8" s="56">
        <v>0.72</v>
      </c>
      <c r="AR8" s="56">
        <v>1.55</v>
      </c>
      <c r="AS8" s="49">
        <v>0.54</v>
      </c>
      <c r="AT8" s="49">
        <v>0.3</v>
      </c>
      <c r="AU8" s="56">
        <v>0.71</v>
      </c>
      <c r="AV8" s="56">
        <v>0.65</v>
      </c>
      <c r="AW8" s="56">
        <v>0.521</v>
      </c>
      <c r="AX8" s="56">
        <v>0.88</v>
      </c>
      <c r="AY8" s="56">
        <v>0.7</v>
      </c>
      <c r="AZ8" s="50">
        <v>1.1</v>
      </c>
      <c r="BA8" s="50">
        <v>63.24999999999997</v>
      </c>
      <c r="BB8" s="50">
        <v>77.34999999999997</v>
      </c>
      <c r="BC8" s="50">
        <v>0.00125</v>
      </c>
      <c r="BD8" s="50">
        <v>1.04</v>
      </c>
      <c r="BE8" s="50">
        <v>0.3604</v>
      </c>
      <c r="BF8" s="59">
        <v>2.7928</v>
      </c>
      <c r="BG8" s="59">
        <v>473.0</v>
      </c>
      <c r="BH8" s="50">
        <v>0.02598</v>
      </c>
      <c r="BI8" s="53" t="s">
        <v>338</v>
      </c>
      <c r="BJ8" s="50">
        <v>4.92</v>
      </c>
      <c r="BK8" s="59">
        <v>1.2</v>
      </c>
      <c r="BL8" s="53" t="s">
        <v>338</v>
      </c>
      <c r="BM8" s="53" t="s">
        <v>338</v>
      </c>
      <c r="BN8" s="53" t="s">
        <v>338</v>
      </c>
      <c r="BO8" s="53" t="s">
        <v>338</v>
      </c>
      <c r="BP8" s="53" t="s">
        <v>338</v>
      </c>
      <c r="BQ8" s="53" t="s">
        <v>338</v>
      </c>
      <c r="BR8" s="60">
        <v>1.91</v>
      </c>
      <c r="BS8" s="60">
        <v>0.0048</v>
      </c>
      <c r="BT8" s="60">
        <v>16.0</v>
      </c>
      <c r="BU8" s="60">
        <v>2.0</v>
      </c>
      <c r="BV8" s="60">
        <v>0.125</v>
      </c>
      <c r="BW8" s="60">
        <v>1.0</v>
      </c>
      <c r="BX8" s="50">
        <v>1.939744349037199E-5</v>
      </c>
      <c r="BY8" s="50">
        <v>1.020728843560145E-4</v>
      </c>
      <c r="BZ8" s="62">
        <v>1329.0</v>
      </c>
      <c r="CA8" s="62">
        <v>500.0</v>
      </c>
      <c r="CB8" s="50">
        <v>0.4</v>
      </c>
    </row>
    <row r="9" ht="14.25" customHeight="1">
      <c r="A9" s="47" t="s">
        <v>349</v>
      </c>
      <c r="B9" s="48" t="s">
        <v>350</v>
      </c>
      <c r="C9" s="49">
        <v>15.9994</v>
      </c>
      <c r="D9" s="50">
        <v>8.0</v>
      </c>
      <c r="E9" s="50">
        <v>2.0</v>
      </c>
      <c r="F9" s="50">
        <v>16.0</v>
      </c>
      <c r="G9" s="51">
        <v>1.0</v>
      </c>
      <c r="H9" s="51">
        <v>3.0</v>
      </c>
      <c r="I9" s="50">
        <v>87.0</v>
      </c>
      <c r="J9" s="50">
        <v>7.0</v>
      </c>
      <c r="K9" s="50">
        <v>2.0</v>
      </c>
      <c r="L9" s="50">
        <v>4.0</v>
      </c>
      <c r="M9" s="50">
        <v>0.0</v>
      </c>
      <c r="N9" s="50">
        <v>0.0</v>
      </c>
      <c r="O9" s="52">
        <v>0.0</v>
      </c>
      <c r="P9" s="52">
        <v>2.0</v>
      </c>
      <c r="Q9" s="52">
        <v>10.0</v>
      </c>
      <c r="R9" s="52">
        <v>14.0</v>
      </c>
      <c r="S9" s="50">
        <v>6.0</v>
      </c>
      <c r="T9" s="50">
        <v>6.0</v>
      </c>
      <c r="U9" s="50">
        <v>6.0</v>
      </c>
      <c r="V9" s="52">
        <v>2.0</v>
      </c>
      <c r="W9" s="50">
        <v>0.0</v>
      </c>
      <c r="X9" s="54">
        <v>2.001</v>
      </c>
      <c r="Y9" s="54">
        <v>1.058</v>
      </c>
      <c r="Z9" s="49">
        <v>13.6181</v>
      </c>
      <c r="AA9" s="54">
        <v>1.4613029680365297</v>
      </c>
      <c r="AB9" s="55">
        <v>7.54</v>
      </c>
      <c r="AC9" s="54">
        <v>8.7861</v>
      </c>
      <c r="AD9" s="50">
        <v>3.44</v>
      </c>
      <c r="AE9" s="50">
        <v>3.32</v>
      </c>
      <c r="AF9" s="50">
        <v>7.54</v>
      </c>
      <c r="AG9" s="55">
        <v>3.44</v>
      </c>
      <c r="AH9" s="50">
        <v>3.61</v>
      </c>
      <c r="AI9" s="55">
        <v>3.62</v>
      </c>
      <c r="AJ9" s="55">
        <v>12.41</v>
      </c>
      <c r="AK9" s="50">
        <v>3.45</v>
      </c>
      <c r="AL9" s="55">
        <v>48.4</v>
      </c>
      <c r="AM9" s="49">
        <v>0.48</v>
      </c>
      <c r="AN9" s="49">
        <v>0.73</v>
      </c>
      <c r="AO9" s="49">
        <v>1.26</v>
      </c>
      <c r="AP9" s="56">
        <v>1.4</v>
      </c>
      <c r="AQ9" s="56">
        <v>0.64</v>
      </c>
      <c r="AR9" s="56">
        <v>1.52</v>
      </c>
      <c r="AS9" s="49">
        <v>0.47</v>
      </c>
      <c r="AT9" s="49">
        <v>1.21</v>
      </c>
      <c r="AU9" s="56">
        <v>0.66</v>
      </c>
      <c r="AV9" s="56">
        <v>0.6</v>
      </c>
      <c r="AW9" s="56">
        <v>0.45</v>
      </c>
      <c r="AX9" s="58" t="s">
        <v>338</v>
      </c>
      <c r="AY9" s="56">
        <v>0.66</v>
      </c>
      <c r="AZ9" s="50">
        <v>0.793</v>
      </c>
      <c r="BA9" s="50">
        <v>54.74999999999997</v>
      </c>
      <c r="BB9" s="50">
        <v>90.14999999999998</v>
      </c>
      <c r="BC9" s="50">
        <v>0.00143</v>
      </c>
      <c r="BD9" s="50">
        <v>0.92</v>
      </c>
      <c r="BE9" s="50">
        <v>0.22259</v>
      </c>
      <c r="BF9" s="59">
        <v>3.4099</v>
      </c>
      <c r="BG9" s="59">
        <v>249.0</v>
      </c>
      <c r="BH9" s="50">
        <v>0.02674</v>
      </c>
      <c r="BI9" s="53" t="s">
        <v>338</v>
      </c>
      <c r="BJ9" s="50">
        <v>2.62</v>
      </c>
      <c r="BK9" s="59">
        <v>2.24694867972457</v>
      </c>
      <c r="BL9" s="53" t="s">
        <v>338</v>
      </c>
      <c r="BM9" s="53" t="s">
        <v>338</v>
      </c>
      <c r="BN9" s="53" t="s">
        <v>338</v>
      </c>
      <c r="BO9" s="53" t="s">
        <v>338</v>
      </c>
      <c r="BP9" s="53" t="s">
        <v>338</v>
      </c>
      <c r="BQ9" s="53" t="s">
        <v>338</v>
      </c>
      <c r="BR9" s="60">
        <v>2.8E-4</v>
      </c>
      <c r="BS9" s="60">
        <v>1.0E-6</v>
      </c>
      <c r="BT9" s="60">
        <v>17.0</v>
      </c>
      <c r="BU9" s="60">
        <v>3.0</v>
      </c>
      <c r="BV9" s="60">
        <v>0.17647058823529413</v>
      </c>
      <c r="BW9" s="60">
        <v>1.0</v>
      </c>
      <c r="BX9" s="50">
        <v>0.4706432341611309</v>
      </c>
      <c r="BY9" s="50">
        <v>7.761452548476516E-4</v>
      </c>
      <c r="BZ9" s="62">
        <v>500.0</v>
      </c>
      <c r="CA9" s="62">
        <v>500.0</v>
      </c>
      <c r="CB9" s="50">
        <v>0.3</v>
      </c>
    </row>
    <row r="10" ht="14.25" customHeight="1">
      <c r="A10" s="47" t="s">
        <v>351</v>
      </c>
      <c r="B10" s="48" t="s">
        <v>352</v>
      </c>
      <c r="C10" s="49">
        <v>18.998403</v>
      </c>
      <c r="D10" s="50">
        <v>9.0</v>
      </c>
      <c r="E10" s="50">
        <v>2.0</v>
      </c>
      <c r="F10" s="50">
        <v>17.0</v>
      </c>
      <c r="G10" s="51">
        <v>1.0</v>
      </c>
      <c r="H10" s="51">
        <v>3.0</v>
      </c>
      <c r="I10" s="50">
        <v>93.0</v>
      </c>
      <c r="J10" s="50">
        <v>8.0</v>
      </c>
      <c r="K10" s="50">
        <v>2.0</v>
      </c>
      <c r="L10" s="50">
        <v>5.0</v>
      </c>
      <c r="M10" s="50">
        <v>0.0</v>
      </c>
      <c r="N10" s="50">
        <v>0.0</v>
      </c>
      <c r="O10" s="52">
        <v>0.0</v>
      </c>
      <c r="P10" s="52">
        <v>1.0</v>
      </c>
      <c r="Q10" s="52">
        <v>10.0</v>
      </c>
      <c r="R10" s="52">
        <v>14.0</v>
      </c>
      <c r="S10" s="50">
        <v>7.0</v>
      </c>
      <c r="T10" s="50">
        <v>7.0</v>
      </c>
      <c r="U10" s="50">
        <v>7.0</v>
      </c>
      <c r="V10" s="52">
        <v>1.0</v>
      </c>
      <c r="W10" s="50">
        <v>0.0</v>
      </c>
      <c r="X10" s="54">
        <v>2.263</v>
      </c>
      <c r="Y10" s="54">
        <v>0.835</v>
      </c>
      <c r="Z10" s="49">
        <v>17.4228</v>
      </c>
      <c r="AA10" s="54">
        <v>3.3995707317073167</v>
      </c>
      <c r="AB10" s="55">
        <v>10.41</v>
      </c>
      <c r="AC10" s="54">
        <v>10.0378</v>
      </c>
      <c r="AD10" s="50">
        <v>3.98</v>
      </c>
      <c r="AE10" s="50">
        <v>3.78</v>
      </c>
      <c r="AF10" s="50">
        <v>10.41</v>
      </c>
      <c r="AG10" s="55">
        <v>3.98</v>
      </c>
      <c r="AH10" s="50">
        <v>4.193</v>
      </c>
      <c r="AI10" s="55">
        <v>4.23</v>
      </c>
      <c r="AJ10" s="55">
        <v>15.6</v>
      </c>
      <c r="AK10" s="50">
        <v>3.95</v>
      </c>
      <c r="AL10" s="55">
        <v>72.3</v>
      </c>
      <c r="AM10" s="49">
        <v>0.42</v>
      </c>
      <c r="AN10" s="49">
        <v>0.71</v>
      </c>
      <c r="AO10" s="49">
        <v>1.19</v>
      </c>
      <c r="AP10" s="56">
        <v>1.33</v>
      </c>
      <c r="AQ10" s="56">
        <v>0.66</v>
      </c>
      <c r="AR10" s="56">
        <v>1.47</v>
      </c>
      <c r="AS10" s="49">
        <v>0.41</v>
      </c>
      <c r="AT10" s="49">
        <v>1.19</v>
      </c>
      <c r="AU10" s="56">
        <v>0.57</v>
      </c>
      <c r="AV10" s="56">
        <v>0.5</v>
      </c>
      <c r="AW10" s="56">
        <v>0.396</v>
      </c>
      <c r="AX10" s="58" t="s">
        <v>338</v>
      </c>
      <c r="AY10" s="56">
        <v>0.64</v>
      </c>
      <c r="AZ10" s="50">
        <v>0.634</v>
      </c>
      <c r="BA10" s="50">
        <v>53.349999999999966</v>
      </c>
      <c r="BB10" s="50">
        <v>85.04999999999998</v>
      </c>
      <c r="BC10" s="50">
        <v>0.0017</v>
      </c>
      <c r="BD10" s="50">
        <v>0.82</v>
      </c>
      <c r="BE10" s="50">
        <v>0.2552</v>
      </c>
      <c r="BF10" s="59">
        <v>3.2698</v>
      </c>
      <c r="BG10" s="59">
        <v>79.0</v>
      </c>
      <c r="BH10" s="50">
        <v>0.0279</v>
      </c>
      <c r="BI10" s="53" t="s">
        <v>338</v>
      </c>
      <c r="BJ10" s="50">
        <v>0.84</v>
      </c>
      <c r="BK10" s="59">
        <v>2.2</v>
      </c>
      <c r="BL10" s="53" t="s">
        <v>338</v>
      </c>
      <c r="BM10" s="53" t="s">
        <v>338</v>
      </c>
      <c r="BN10" s="53" t="s">
        <v>338</v>
      </c>
      <c r="BO10" s="53" t="s">
        <v>338</v>
      </c>
      <c r="BP10" s="53" t="s">
        <v>338</v>
      </c>
      <c r="BQ10" s="53" t="s">
        <v>338</v>
      </c>
      <c r="BR10" s="60">
        <v>0.0096</v>
      </c>
      <c r="BS10" s="60">
        <v>2.0E-5</v>
      </c>
      <c r="BT10" s="60">
        <v>18.0</v>
      </c>
      <c r="BU10" s="60">
        <v>1.0</v>
      </c>
      <c r="BV10" s="60">
        <v>0.05555555555555555</v>
      </c>
      <c r="BW10" s="60">
        <v>1.0</v>
      </c>
      <c r="BX10" s="50">
        <v>5.972370758877692E-4</v>
      </c>
      <c r="BY10" s="50">
        <v>2.749119537128443E-8</v>
      </c>
      <c r="BZ10" s="62">
        <v>1500.0</v>
      </c>
      <c r="CA10" s="62">
        <v>1500.0</v>
      </c>
      <c r="CB10" s="50">
        <v>190.0</v>
      </c>
    </row>
    <row r="11" ht="14.25" customHeight="1">
      <c r="A11" s="47" t="s">
        <v>353</v>
      </c>
      <c r="B11" s="48" t="s">
        <v>354</v>
      </c>
      <c r="C11" s="49">
        <v>20.1797</v>
      </c>
      <c r="D11" s="50">
        <v>10.0</v>
      </c>
      <c r="E11" s="50">
        <v>2.0</v>
      </c>
      <c r="F11" s="50">
        <v>18.0</v>
      </c>
      <c r="G11" s="51">
        <v>1.0</v>
      </c>
      <c r="H11" s="51">
        <v>3.0</v>
      </c>
      <c r="I11" s="50">
        <v>99.0</v>
      </c>
      <c r="J11" s="50">
        <v>9.0</v>
      </c>
      <c r="K11" s="50">
        <v>2.0</v>
      </c>
      <c r="L11" s="50">
        <v>6.0</v>
      </c>
      <c r="M11" s="50">
        <v>0.0</v>
      </c>
      <c r="N11" s="50">
        <v>0.0</v>
      </c>
      <c r="O11" s="52">
        <v>0.0</v>
      </c>
      <c r="P11" s="52">
        <v>0.0</v>
      </c>
      <c r="Q11" s="52">
        <v>10.0</v>
      </c>
      <c r="R11" s="52">
        <v>14.0</v>
      </c>
      <c r="S11" s="50">
        <v>8.0</v>
      </c>
      <c r="T11" s="50">
        <v>8.0</v>
      </c>
      <c r="U11" s="50">
        <v>8.0</v>
      </c>
      <c r="V11" s="53" t="s">
        <v>338</v>
      </c>
      <c r="W11" s="50">
        <v>0.0</v>
      </c>
      <c r="X11" s="54">
        <v>2.518</v>
      </c>
      <c r="Y11" s="54">
        <v>0.84</v>
      </c>
      <c r="Z11" s="49">
        <v>21.5645</v>
      </c>
      <c r="AA11" s="54">
        <v>-1.243507928880346</v>
      </c>
      <c r="AB11" s="53" t="s">
        <v>338</v>
      </c>
      <c r="AC11" s="54">
        <v>11.3003</v>
      </c>
      <c r="AD11" s="50" t="s">
        <v>338</v>
      </c>
      <c r="AE11" s="50" t="s">
        <v>338</v>
      </c>
      <c r="AF11" s="50" t="s">
        <v>338</v>
      </c>
      <c r="AG11" s="53" t="s">
        <v>338</v>
      </c>
      <c r="AH11" s="50">
        <v>4.789</v>
      </c>
      <c r="AI11" s="55">
        <v>4.89</v>
      </c>
      <c r="AJ11" s="55">
        <v>13.37</v>
      </c>
      <c r="AK11" s="50" t="s">
        <v>338</v>
      </c>
      <c r="AL11" s="55">
        <v>98.0</v>
      </c>
      <c r="AM11" s="49">
        <v>0.38</v>
      </c>
      <c r="AN11" s="49">
        <v>0.69</v>
      </c>
      <c r="AO11" s="49">
        <v>1.14</v>
      </c>
      <c r="AP11" s="57">
        <v>1.02</v>
      </c>
      <c r="AQ11" s="57">
        <v>1.31</v>
      </c>
      <c r="AR11" s="56">
        <v>1.54</v>
      </c>
      <c r="AS11" s="49">
        <v>1.67</v>
      </c>
      <c r="AT11" s="49">
        <v>0.96</v>
      </c>
      <c r="AU11" s="56">
        <v>0.58</v>
      </c>
      <c r="AV11" s="56">
        <v>0.38</v>
      </c>
      <c r="AW11" s="56">
        <v>0.354</v>
      </c>
      <c r="AX11" s="58" t="s">
        <v>338</v>
      </c>
      <c r="AY11" s="58" t="s">
        <v>338</v>
      </c>
      <c r="AZ11" s="50">
        <v>0.396</v>
      </c>
      <c r="BA11" s="50">
        <v>24.45</v>
      </c>
      <c r="BB11" s="50">
        <v>25.15</v>
      </c>
      <c r="BC11" s="50">
        <v>9.0E-4</v>
      </c>
      <c r="BD11" s="50">
        <v>0.904</v>
      </c>
      <c r="BE11" s="50">
        <v>0.3317</v>
      </c>
      <c r="BF11" s="59">
        <v>1.7326</v>
      </c>
      <c r="BG11" s="59">
        <v>0.0</v>
      </c>
      <c r="BH11" s="50">
        <v>0.0493</v>
      </c>
      <c r="BI11" s="53" t="s">
        <v>338</v>
      </c>
      <c r="BJ11" s="50">
        <v>0.02</v>
      </c>
      <c r="BK11" s="53" t="s">
        <v>338</v>
      </c>
      <c r="BL11" s="53" t="s">
        <v>338</v>
      </c>
      <c r="BM11" s="53" t="s">
        <v>338</v>
      </c>
      <c r="BN11" s="53" t="s">
        <v>338</v>
      </c>
      <c r="BO11" s="53" t="s">
        <v>338</v>
      </c>
      <c r="BP11" s="53" t="s">
        <v>338</v>
      </c>
      <c r="BQ11" s="53" t="s">
        <v>338</v>
      </c>
      <c r="BR11" s="60">
        <v>0.04</v>
      </c>
      <c r="BS11" s="60">
        <v>5.9E-4</v>
      </c>
      <c r="BT11" s="60">
        <v>19.0</v>
      </c>
      <c r="BU11" s="60">
        <v>3.0</v>
      </c>
      <c r="BV11" s="60">
        <v>0.15789473684210525</v>
      </c>
      <c r="BW11" s="60">
        <v>1.0</v>
      </c>
      <c r="BX11" s="50">
        <v>5.104590392203155E-9</v>
      </c>
      <c r="BY11" s="50">
        <v>1.1218233935613108E-4</v>
      </c>
      <c r="BZ11" s="61" t="s">
        <v>338</v>
      </c>
      <c r="CA11" s="61" t="s">
        <v>338</v>
      </c>
      <c r="CB11" s="50">
        <v>33.0</v>
      </c>
    </row>
    <row r="12" ht="14.25" customHeight="1">
      <c r="A12" s="47" t="s">
        <v>355</v>
      </c>
      <c r="B12" s="48" t="s">
        <v>356</v>
      </c>
      <c r="C12" s="49">
        <v>22.989768</v>
      </c>
      <c r="D12" s="50">
        <v>11.0</v>
      </c>
      <c r="E12" s="50">
        <v>3.0</v>
      </c>
      <c r="F12" s="50">
        <v>1.0</v>
      </c>
      <c r="G12" s="51">
        <v>0.0</v>
      </c>
      <c r="H12" s="51">
        <v>1.0</v>
      </c>
      <c r="I12" s="50">
        <v>2.0</v>
      </c>
      <c r="J12" s="50">
        <v>1.0</v>
      </c>
      <c r="K12" s="50">
        <v>1.0</v>
      </c>
      <c r="L12" s="50">
        <v>0.0</v>
      </c>
      <c r="M12" s="50">
        <v>0.0</v>
      </c>
      <c r="N12" s="50">
        <v>0.0</v>
      </c>
      <c r="O12" s="52">
        <v>1.0</v>
      </c>
      <c r="P12" s="52">
        <v>6.0</v>
      </c>
      <c r="Q12" s="52">
        <v>10.0</v>
      </c>
      <c r="R12" s="52">
        <v>14.0</v>
      </c>
      <c r="S12" s="50">
        <v>1.0</v>
      </c>
      <c r="T12" s="50">
        <v>1.0</v>
      </c>
      <c r="U12" s="50">
        <v>1.0</v>
      </c>
      <c r="V12" s="52">
        <v>1.0</v>
      </c>
      <c r="W12" s="50">
        <v>1.0</v>
      </c>
      <c r="X12" s="54">
        <v>1.842</v>
      </c>
      <c r="Y12" s="54">
        <v>2.584</v>
      </c>
      <c r="Z12" s="49">
        <v>5.1391</v>
      </c>
      <c r="AA12" s="54">
        <v>0.5491377016129032</v>
      </c>
      <c r="AB12" s="55">
        <v>2.85</v>
      </c>
      <c r="AC12" s="54">
        <v>2.438</v>
      </c>
      <c r="AD12" s="50">
        <v>0.93</v>
      </c>
      <c r="AE12" s="50">
        <v>0.89</v>
      </c>
      <c r="AF12" s="50">
        <v>2.85</v>
      </c>
      <c r="AG12" s="55">
        <v>0.93</v>
      </c>
      <c r="AH12" s="50">
        <v>0.869</v>
      </c>
      <c r="AI12" s="55">
        <v>0.95</v>
      </c>
      <c r="AJ12" s="55">
        <v>2.64</v>
      </c>
      <c r="AK12" s="50">
        <v>0.9</v>
      </c>
      <c r="AL12" s="55">
        <v>1.08</v>
      </c>
      <c r="AM12" s="49">
        <v>1.9</v>
      </c>
      <c r="AN12" s="49">
        <v>1.54</v>
      </c>
      <c r="AO12" s="49">
        <v>1.16</v>
      </c>
      <c r="AP12" s="56">
        <v>0.72</v>
      </c>
      <c r="AQ12" s="56">
        <v>1.8</v>
      </c>
      <c r="AR12" s="56">
        <v>2.27</v>
      </c>
      <c r="AS12" s="49">
        <v>2.65</v>
      </c>
      <c r="AT12" s="49">
        <v>1.16</v>
      </c>
      <c r="AU12" s="56">
        <v>1.66</v>
      </c>
      <c r="AV12" s="56">
        <v>1.8</v>
      </c>
      <c r="AW12" s="56">
        <v>1.713</v>
      </c>
      <c r="AX12" s="56">
        <v>1.896</v>
      </c>
      <c r="AY12" s="56">
        <v>1.572</v>
      </c>
      <c r="AZ12" s="50">
        <v>23.6</v>
      </c>
      <c r="BA12" s="50">
        <v>370.95</v>
      </c>
      <c r="BB12" s="50">
        <v>1156.15</v>
      </c>
      <c r="BC12" s="50">
        <v>0.971</v>
      </c>
      <c r="BD12" s="50">
        <v>1.23</v>
      </c>
      <c r="BE12" s="50">
        <v>2.598</v>
      </c>
      <c r="BF12" s="59">
        <v>96.96</v>
      </c>
      <c r="BG12" s="59">
        <v>109.0</v>
      </c>
      <c r="BH12" s="50">
        <v>141.0</v>
      </c>
      <c r="BI12" s="59">
        <v>7.0E-5</v>
      </c>
      <c r="BJ12" s="50">
        <v>1.113</v>
      </c>
      <c r="BK12" s="59">
        <v>6.8</v>
      </c>
      <c r="BL12" s="59">
        <v>3.3</v>
      </c>
      <c r="BM12" s="59">
        <v>10.0</v>
      </c>
      <c r="BN12" s="53" t="s">
        <v>338</v>
      </c>
      <c r="BO12" s="59">
        <v>6.9E-4</v>
      </c>
      <c r="BP12" s="59">
        <v>4.699999999998E-8</v>
      </c>
      <c r="BQ12" s="59">
        <v>2.1E7</v>
      </c>
      <c r="BR12" s="60">
        <v>0.53</v>
      </c>
      <c r="BS12" s="60">
        <v>7.0E-4</v>
      </c>
      <c r="BT12" s="60">
        <v>20.0</v>
      </c>
      <c r="BU12" s="60">
        <v>1.0</v>
      </c>
      <c r="BV12" s="60">
        <v>0.05</v>
      </c>
      <c r="BW12" s="60">
        <v>1.0</v>
      </c>
      <c r="BX12" s="50">
        <v>2.4093666651198894E-10</v>
      </c>
      <c r="BY12" s="50">
        <v>1.8718797322796274E-6</v>
      </c>
      <c r="BZ12" s="62">
        <v>1102.0</v>
      </c>
      <c r="CA12" s="62">
        <v>500.0</v>
      </c>
      <c r="CB12" s="50">
        <v>7.0</v>
      </c>
    </row>
    <row r="13" ht="14.25" customHeight="1">
      <c r="A13" s="47" t="s">
        <v>357</v>
      </c>
      <c r="B13" s="48" t="s">
        <v>358</v>
      </c>
      <c r="C13" s="49">
        <v>24.305</v>
      </c>
      <c r="D13" s="50">
        <v>12.0</v>
      </c>
      <c r="E13" s="50">
        <v>3.0</v>
      </c>
      <c r="F13" s="50">
        <v>2.0</v>
      </c>
      <c r="G13" s="51">
        <v>0.0</v>
      </c>
      <c r="H13" s="51">
        <v>1.0</v>
      </c>
      <c r="I13" s="50">
        <v>68.0</v>
      </c>
      <c r="J13" s="50">
        <v>2.0</v>
      </c>
      <c r="K13" s="50">
        <v>2.0</v>
      </c>
      <c r="L13" s="50">
        <v>0.0</v>
      </c>
      <c r="M13" s="50">
        <v>0.0</v>
      </c>
      <c r="N13" s="50">
        <v>0.0</v>
      </c>
      <c r="O13" s="52">
        <v>0.0</v>
      </c>
      <c r="P13" s="52">
        <v>6.0</v>
      </c>
      <c r="Q13" s="52">
        <v>10.0</v>
      </c>
      <c r="R13" s="52">
        <v>14.0</v>
      </c>
      <c r="S13" s="50">
        <v>2.0</v>
      </c>
      <c r="T13" s="50">
        <v>2.0</v>
      </c>
      <c r="U13" s="50">
        <v>2.0</v>
      </c>
      <c r="V13" s="52">
        <v>2.0</v>
      </c>
      <c r="W13" s="50">
        <v>2.0</v>
      </c>
      <c r="X13" s="54">
        <v>2.248</v>
      </c>
      <c r="Y13" s="54">
        <v>0.674</v>
      </c>
      <c r="Z13" s="49">
        <v>7.6462</v>
      </c>
      <c r="AA13" s="54">
        <v>-0.41442818428184286</v>
      </c>
      <c r="AB13" s="55">
        <v>3.75</v>
      </c>
      <c r="AC13" s="54">
        <v>3.6108</v>
      </c>
      <c r="AD13" s="50">
        <v>1.31</v>
      </c>
      <c r="AE13" s="50">
        <v>1.31</v>
      </c>
      <c r="AF13" s="50">
        <v>3.75</v>
      </c>
      <c r="AG13" s="55">
        <v>1.31</v>
      </c>
      <c r="AH13" s="50">
        <v>1.293</v>
      </c>
      <c r="AI13" s="55">
        <v>1.32</v>
      </c>
      <c r="AJ13" s="55">
        <v>3.93</v>
      </c>
      <c r="AK13" s="50">
        <v>1.2</v>
      </c>
      <c r="AL13" s="55">
        <v>2.35</v>
      </c>
      <c r="AM13" s="49">
        <v>1.45</v>
      </c>
      <c r="AN13" s="49">
        <v>1.3</v>
      </c>
      <c r="AO13" s="49">
        <v>0.86</v>
      </c>
      <c r="AP13" s="56">
        <v>0.54</v>
      </c>
      <c r="AQ13" s="56">
        <v>1.6</v>
      </c>
      <c r="AR13" s="56">
        <v>1.73</v>
      </c>
      <c r="AS13" s="49">
        <v>2.03</v>
      </c>
      <c r="AT13" s="49">
        <v>0.86</v>
      </c>
      <c r="AU13" s="56">
        <v>1.41</v>
      </c>
      <c r="AV13" s="56">
        <v>1.5</v>
      </c>
      <c r="AW13" s="56">
        <v>1.2790000000000001</v>
      </c>
      <c r="AX13" s="56">
        <v>1.598</v>
      </c>
      <c r="AY13" s="56">
        <v>1.364</v>
      </c>
      <c r="AZ13" s="50">
        <v>10.6</v>
      </c>
      <c r="BA13" s="50">
        <v>922.15</v>
      </c>
      <c r="BB13" s="50">
        <v>1363.15</v>
      </c>
      <c r="BC13" s="50">
        <v>1.74</v>
      </c>
      <c r="BD13" s="50">
        <v>1.02</v>
      </c>
      <c r="BE13" s="50">
        <v>8.954</v>
      </c>
      <c r="BF13" s="59">
        <v>127.4</v>
      </c>
      <c r="BG13" s="59">
        <v>148.0</v>
      </c>
      <c r="BH13" s="50">
        <v>156.0</v>
      </c>
      <c r="BI13" s="59">
        <v>2.48E-5</v>
      </c>
      <c r="BJ13" s="50">
        <v>1.51</v>
      </c>
      <c r="BK13" s="59">
        <v>35.6</v>
      </c>
      <c r="BL13" s="59">
        <v>17.0</v>
      </c>
      <c r="BM13" s="59">
        <v>45.0</v>
      </c>
      <c r="BN13" s="53" t="s">
        <v>338</v>
      </c>
      <c r="BO13" s="59">
        <v>0.26</v>
      </c>
      <c r="BP13" s="59">
        <v>4.399999999999E-8</v>
      </c>
      <c r="BQ13" s="59">
        <v>2.3E7</v>
      </c>
      <c r="BR13" s="60">
        <v>0.063</v>
      </c>
      <c r="BS13" s="60">
        <v>1.0E-4</v>
      </c>
      <c r="BT13" s="60">
        <v>22.0</v>
      </c>
      <c r="BU13" s="60">
        <v>3.0</v>
      </c>
      <c r="BV13" s="60">
        <v>0.13636363636363635</v>
      </c>
      <c r="BW13" s="60">
        <v>1.0</v>
      </c>
      <c r="BX13" s="50">
        <v>0.023787391227666703</v>
      </c>
      <c r="BY13" s="50">
        <v>3.502436990362931E-5</v>
      </c>
      <c r="BZ13" s="62">
        <v>5259.0</v>
      </c>
      <c r="CA13" s="62">
        <v>500.0</v>
      </c>
      <c r="CB13" s="50">
        <v>3.7</v>
      </c>
    </row>
    <row r="14" ht="14.25" customHeight="1">
      <c r="A14" s="47" t="s">
        <v>359</v>
      </c>
      <c r="B14" s="48" t="s">
        <v>360</v>
      </c>
      <c r="C14" s="49">
        <v>26.981539</v>
      </c>
      <c r="D14" s="50">
        <v>13.0</v>
      </c>
      <c r="E14" s="50">
        <v>3.0</v>
      </c>
      <c r="F14" s="50">
        <v>13.0</v>
      </c>
      <c r="G14" s="51">
        <v>1.0</v>
      </c>
      <c r="H14" s="51">
        <v>1.0</v>
      </c>
      <c r="I14" s="50">
        <v>73.0</v>
      </c>
      <c r="J14" s="50">
        <v>5.0</v>
      </c>
      <c r="K14" s="50">
        <v>2.0</v>
      </c>
      <c r="L14" s="50">
        <v>1.0</v>
      </c>
      <c r="M14" s="50">
        <v>0.0</v>
      </c>
      <c r="N14" s="50">
        <v>0.0</v>
      </c>
      <c r="O14" s="52">
        <v>0.0</v>
      </c>
      <c r="P14" s="52">
        <v>5.0</v>
      </c>
      <c r="Q14" s="52">
        <v>10.0</v>
      </c>
      <c r="R14" s="52">
        <v>14.0</v>
      </c>
      <c r="S14" s="50">
        <v>3.0</v>
      </c>
      <c r="T14" s="50">
        <v>3.0</v>
      </c>
      <c r="U14" s="50">
        <v>3.0</v>
      </c>
      <c r="V14" s="52">
        <v>3.0</v>
      </c>
      <c r="W14" s="50">
        <v>3.0</v>
      </c>
      <c r="X14" s="54">
        <v>1.989</v>
      </c>
      <c r="Y14" s="54">
        <v>0.761</v>
      </c>
      <c r="Z14" s="49">
        <v>5.9858</v>
      </c>
      <c r="AA14" s="54">
        <v>0.43495432525951555</v>
      </c>
      <c r="AB14" s="55">
        <v>3.23</v>
      </c>
      <c r="AC14" s="54">
        <v>4.6393</v>
      </c>
      <c r="AD14" s="50">
        <v>1.61</v>
      </c>
      <c r="AE14" s="50">
        <v>1.64</v>
      </c>
      <c r="AF14" s="50">
        <v>3.23</v>
      </c>
      <c r="AG14" s="55">
        <v>1.61</v>
      </c>
      <c r="AH14" s="50">
        <v>1.613</v>
      </c>
      <c r="AI14" s="55">
        <v>1.55</v>
      </c>
      <c r="AJ14" s="55">
        <v>5.89</v>
      </c>
      <c r="AK14" s="50">
        <v>1.5</v>
      </c>
      <c r="AL14" s="55">
        <v>4.35</v>
      </c>
      <c r="AM14" s="49">
        <v>1.18</v>
      </c>
      <c r="AN14" s="49">
        <v>1.18</v>
      </c>
      <c r="AO14" s="49">
        <v>0.68</v>
      </c>
      <c r="AP14" s="56">
        <v>0.4</v>
      </c>
      <c r="AQ14" s="56">
        <v>1.41</v>
      </c>
      <c r="AR14" s="56">
        <v>1.84</v>
      </c>
      <c r="AS14" s="49">
        <v>1.68</v>
      </c>
      <c r="AT14" s="49">
        <v>0.53</v>
      </c>
      <c r="AU14" s="56">
        <v>1.21</v>
      </c>
      <c r="AV14" s="56">
        <v>1.25</v>
      </c>
      <c r="AW14" s="56">
        <v>1.3119999999999998</v>
      </c>
      <c r="AX14" s="56">
        <v>1.429</v>
      </c>
      <c r="AY14" s="56">
        <v>1.248</v>
      </c>
      <c r="AZ14" s="50">
        <v>8.3</v>
      </c>
      <c r="BA14" s="50">
        <v>933.15</v>
      </c>
      <c r="BB14" s="50">
        <v>2740.15</v>
      </c>
      <c r="BC14" s="50">
        <v>2.7</v>
      </c>
      <c r="BD14" s="50">
        <v>0.9</v>
      </c>
      <c r="BE14" s="50">
        <v>10.79</v>
      </c>
      <c r="BF14" s="59">
        <v>293.4</v>
      </c>
      <c r="BG14" s="59">
        <v>326.0</v>
      </c>
      <c r="BH14" s="50">
        <v>237.0</v>
      </c>
      <c r="BI14" s="59">
        <v>2.31E-5</v>
      </c>
      <c r="BJ14" s="50">
        <v>3.39</v>
      </c>
      <c r="BK14" s="59">
        <v>75.2</v>
      </c>
      <c r="BL14" s="59">
        <v>26.0</v>
      </c>
      <c r="BM14" s="59">
        <v>70.0</v>
      </c>
      <c r="BN14" s="59">
        <v>0.167</v>
      </c>
      <c r="BO14" s="59">
        <v>0.245</v>
      </c>
      <c r="BP14" s="59">
        <v>2.6E-8</v>
      </c>
      <c r="BQ14" s="59">
        <v>3.8E7</v>
      </c>
      <c r="BR14" s="60">
        <v>0.233</v>
      </c>
      <c r="BS14" s="60">
        <v>0.03</v>
      </c>
      <c r="BT14" s="60">
        <v>22.0</v>
      </c>
      <c r="BU14" s="60">
        <v>1.0</v>
      </c>
      <c r="BV14" s="60">
        <v>0.045454545454545456</v>
      </c>
      <c r="BW14" s="60">
        <v>1.0</v>
      </c>
      <c r="BX14" s="50">
        <v>0.08402155785566394</v>
      </c>
      <c r="BY14" s="50">
        <v>2.7686862242254423E-6</v>
      </c>
      <c r="BZ14" s="62">
        <v>1569.0</v>
      </c>
      <c r="CA14" s="62">
        <v>1000.0</v>
      </c>
      <c r="CB14" s="50">
        <v>1.8</v>
      </c>
    </row>
    <row r="15" ht="14.25" customHeight="1">
      <c r="A15" s="47" t="s">
        <v>361</v>
      </c>
      <c r="B15" s="48" t="s">
        <v>362</v>
      </c>
      <c r="C15" s="49">
        <v>28.0855</v>
      </c>
      <c r="D15" s="50">
        <v>14.0</v>
      </c>
      <c r="E15" s="50">
        <v>3.0</v>
      </c>
      <c r="F15" s="50">
        <v>14.0</v>
      </c>
      <c r="G15" s="51">
        <v>1.0</v>
      </c>
      <c r="H15" s="51">
        <v>3.0</v>
      </c>
      <c r="I15" s="50">
        <v>78.0</v>
      </c>
      <c r="J15" s="50">
        <v>6.0</v>
      </c>
      <c r="K15" s="50">
        <v>2.0</v>
      </c>
      <c r="L15" s="50">
        <v>2.0</v>
      </c>
      <c r="M15" s="50">
        <v>0.0</v>
      </c>
      <c r="N15" s="50">
        <v>0.0</v>
      </c>
      <c r="O15" s="52">
        <v>0.0</v>
      </c>
      <c r="P15" s="52">
        <v>4.0</v>
      </c>
      <c r="Q15" s="52">
        <v>10.0</v>
      </c>
      <c r="R15" s="52">
        <v>14.0</v>
      </c>
      <c r="S15" s="50">
        <v>4.0</v>
      </c>
      <c r="T15" s="50">
        <v>4.0</v>
      </c>
      <c r="U15" s="50">
        <v>4.0</v>
      </c>
      <c r="V15" s="52">
        <v>4.0</v>
      </c>
      <c r="W15" s="50">
        <v>4.0</v>
      </c>
      <c r="X15" s="54">
        <v>2.321</v>
      </c>
      <c r="Y15" s="54">
        <v>0.652</v>
      </c>
      <c r="Z15" s="49">
        <v>8.1517</v>
      </c>
      <c r="AA15" s="54">
        <v>1.38796416772554</v>
      </c>
      <c r="AB15" s="55">
        <v>4.77</v>
      </c>
      <c r="AC15" s="54">
        <v>5.5236</v>
      </c>
      <c r="AD15" s="50">
        <v>1.9</v>
      </c>
      <c r="AE15" s="50">
        <v>1.98</v>
      </c>
      <c r="AF15" s="50">
        <v>4.77</v>
      </c>
      <c r="AG15" s="55">
        <v>1.9</v>
      </c>
      <c r="AH15" s="50">
        <v>1.916</v>
      </c>
      <c r="AI15" s="55">
        <v>1.87</v>
      </c>
      <c r="AJ15" s="55">
        <v>6.8</v>
      </c>
      <c r="AK15" s="50">
        <v>1.8</v>
      </c>
      <c r="AL15" s="55">
        <v>7.26</v>
      </c>
      <c r="AM15" s="49">
        <v>1.11</v>
      </c>
      <c r="AN15" s="49">
        <v>1.11</v>
      </c>
      <c r="AO15" s="49">
        <v>0.54</v>
      </c>
      <c r="AP15" s="56">
        <v>0.44</v>
      </c>
      <c r="AQ15" s="56">
        <v>1.1</v>
      </c>
      <c r="AR15" s="56">
        <v>2.1</v>
      </c>
      <c r="AS15" s="49">
        <v>1.42</v>
      </c>
      <c r="AT15" s="49">
        <v>0.4</v>
      </c>
      <c r="AU15" s="56">
        <v>0.11</v>
      </c>
      <c r="AV15" s="56">
        <v>1.1</v>
      </c>
      <c r="AW15" s="56">
        <v>1.068</v>
      </c>
      <c r="AX15" s="56">
        <v>1.316</v>
      </c>
      <c r="AY15" s="56">
        <v>1.173</v>
      </c>
      <c r="AZ15" s="50">
        <v>5.4</v>
      </c>
      <c r="BA15" s="50">
        <v>1683.15</v>
      </c>
      <c r="BB15" s="50">
        <v>2628.15</v>
      </c>
      <c r="BC15" s="50">
        <v>2.33</v>
      </c>
      <c r="BD15" s="50">
        <v>0.71</v>
      </c>
      <c r="BE15" s="50">
        <v>50.55</v>
      </c>
      <c r="BF15" s="59">
        <v>384.22</v>
      </c>
      <c r="BG15" s="59">
        <v>452.0</v>
      </c>
      <c r="BH15" s="50">
        <v>148.0</v>
      </c>
      <c r="BI15" s="59">
        <v>2.6E-6</v>
      </c>
      <c r="BJ15" s="50">
        <v>4.63</v>
      </c>
      <c r="BK15" s="59">
        <v>98.0</v>
      </c>
      <c r="BL15" s="59">
        <v>60.0</v>
      </c>
      <c r="BM15" s="59">
        <v>47.0</v>
      </c>
      <c r="BN15" s="59">
        <v>9.630130300000001</v>
      </c>
      <c r="BO15" s="59">
        <v>2.3</v>
      </c>
      <c r="BP15" s="59">
        <v>0.001</v>
      </c>
      <c r="BQ15" s="59">
        <v>1000.0</v>
      </c>
      <c r="BR15" s="60">
        <v>0.166</v>
      </c>
      <c r="BS15" s="60">
        <v>2.0E-4</v>
      </c>
      <c r="BT15" s="60">
        <v>23.0</v>
      </c>
      <c r="BU15" s="60">
        <v>3.0</v>
      </c>
      <c r="BV15" s="60">
        <v>0.13043478260869565</v>
      </c>
      <c r="BW15" s="60">
        <v>1.0</v>
      </c>
      <c r="BX15" s="50">
        <v>0.287898898120258</v>
      </c>
      <c r="BY15" s="50">
        <v>3.261114516166599E-5</v>
      </c>
      <c r="BZ15" s="62">
        <v>4708.0</v>
      </c>
      <c r="CA15" s="62">
        <v>1000.0</v>
      </c>
      <c r="CB15" s="50">
        <v>5.4</v>
      </c>
    </row>
    <row r="16" ht="14.25" customHeight="1">
      <c r="A16" s="47" t="s">
        <v>363</v>
      </c>
      <c r="B16" s="48" t="s">
        <v>364</v>
      </c>
      <c r="C16" s="49">
        <v>30.973762</v>
      </c>
      <c r="D16" s="50">
        <v>15.0</v>
      </c>
      <c r="E16" s="50">
        <v>3.0</v>
      </c>
      <c r="F16" s="50">
        <v>15.0</v>
      </c>
      <c r="G16" s="51">
        <v>1.0</v>
      </c>
      <c r="H16" s="51">
        <v>3.0</v>
      </c>
      <c r="I16" s="50">
        <v>83.0</v>
      </c>
      <c r="J16" s="50">
        <v>7.0</v>
      </c>
      <c r="K16" s="50">
        <v>2.0</v>
      </c>
      <c r="L16" s="50">
        <v>3.0</v>
      </c>
      <c r="M16" s="50">
        <v>0.0</v>
      </c>
      <c r="N16" s="50">
        <v>0.0</v>
      </c>
      <c r="O16" s="52">
        <v>0.0</v>
      </c>
      <c r="P16" s="52">
        <v>3.0</v>
      </c>
      <c r="Q16" s="52">
        <v>10.0</v>
      </c>
      <c r="R16" s="52">
        <v>14.0</v>
      </c>
      <c r="S16" s="50">
        <v>5.0</v>
      </c>
      <c r="T16" s="50">
        <v>5.0</v>
      </c>
      <c r="U16" s="50">
        <v>5.0</v>
      </c>
      <c r="V16" s="52">
        <v>3.0</v>
      </c>
      <c r="W16" s="50">
        <v>3.0</v>
      </c>
      <c r="X16" s="54">
        <v>3.412</v>
      </c>
      <c r="Y16" s="54">
        <v>5.752</v>
      </c>
      <c r="Z16" s="49">
        <v>10.4867</v>
      </c>
      <c r="AA16" s="54">
        <v>0.7460893280632412</v>
      </c>
      <c r="AB16" s="55">
        <v>5.62</v>
      </c>
      <c r="AC16" s="54">
        <v>6.3405</v>
      </c>
      <c r="AD16" s="50">
        <v>2.19</v>
      </c>
      <c r="AE16" s="50">
        <v>2.32</v>
      </c>
      <c r="AF16" s="50">
        <v>5.62</v>
      </c>
      <c r="AG16" s="55">
        <v>2.19</v>
      </c>
      <c r="AH16" s="50">
        <v>2.253</v>
      </c>
      <c r="AI16" s="55">
        <v>2.22</v>
      </c>
      <c r="AJ16" s="55">
        <v>8.33</v>
      </c>
      <c r="AK16" s="50">
        <v>2.1</v>
      </c>
      <c r="AL16" s="55">
        <v>11.2</v>
      </c>
      <c r="AM16" s="49">
        <v>0.98</v>
      </c>
      <c r="AN16" s="49">
        <v>1.06</v>
      </c>
      <c r="AO16" s="49">
        <v>0.58</v>
      </c>
      <c r="AP16" s="56">
        <v>1.84</v>
      </c>
      <c r="AQ16" s="56">
        <v>1.02</v>
      </c>
      <c r="AR16" s="56">
        <v>1.8</v>
      </c>
      <c r="AS16" s="49">
        <v>1.24</v>
      </c>
      <c r="AT16" s="49">
        <v>0.31</v>
      </c>
      <c r="AU16" s="56">
        <v>1.07</v>
      </c>
      <c r="AV16" s="56">
        <v>1.0</v>
      </c>
      <c r="AW16" s="56">
        <v>0.919</v>
      </c>
      <c r="AX16" s="56">
        <v>1.28</v>
      </c>
      <c r="AY16" s="56">
        <v>1.1</v>
      </c>
      <c r="AZ16" s="50">
        <v>3.6</v>
      </c>
      <c r="BA16" s="50">
        <v>317.25</v>
      </c>
      <c r="BB16" s="50">
        <v>553.15</v>
      </c>
      <c r="BC16" s="50">
        <v>1.82</v>
      </c>
      <c r="BD16" s="50">
        <v>0.77</v>
      </c>
      <c r="BE16" s="50">
        <v>0.657</v>
      </c>
      <c r="BF16" s="59">
        <v>12.129</v>
      </c>
      <c r="BG16" s="59">
        <v>315.0</v>
      </c>
      <c r="BH16" s="50">
        <v>0.235</v>
      </c>
      <c r="BI16" s="53" t="s">
        <v>338</v>
      </c>
      <c r="BJ16" s="50">
        <v>3.43</v>
      </c>
      <c r="BK16" s="59">
        <v>30.4</v>
      </c>
      <c r="BL16" s="53" t="s">
        <v>338</v>
      </c>
      <c r="BM16" s="53" t="s">
        <v>338</v>
      </c>
      <c r="BN16" s="53" t="s">
        <v>338</v>
      </c>
      <c r="BO16" s="53" t="s">
        <v>338</v>
      </c>
      <c r="BP16" s="59">
        <v>1.0E-7</v>
      </c>
      <c r="BQ16" s="59">
        <v>1.0E7</v>
      </c>
      <c r="BR16" s="60">
        <v>0.18</v>
      </c>
      <c r="BS16" s="60">
        <v>2.0E-4</v>
      </c>
      <c r="BT16" s="60">
        <v>23.0</v>
      </c>
      <c r="BU16" s="60">
        <v>1.0</v>
      </c>
      <c r="BV16" s="60">
        <v>0.043478260869565216</v>
      </c>
      <c r="BW16" s="60">
        <v>1.0</v>
      </c>
      <c r="BX16" s="50">
        <v>0.0010719639823626626</v>
      </c>
      <c r="BY16" s="50">
        <v>3.391559096813263E-7</v>
      </c>
      <c r="BZ16" s="62">
        <v>1951.0</v>
      </c>
      <c r="CA16" s="62">
        <v>5063.0</v>
      </c>
      <c r="CB16" s="50">
        <v>4.0</v>
      </c>
    </row>
    <row r="17" ht="14.25" customHeight="1">
      <c r="A17" s="47" t="s">
        <v>365</v>
      </c>
      <c r="B17" s="48" t="s">
        <v>366</v>
      </c>
      <c r="C17" s="49">
        <v>32.066</v>
      </c>
      <c r="D17" s="50">
        <v>16.0</v>
      </c>
      <c r="E17" s="50">
        <v>3.0</v>
      </c>
      <c r="F17" s="50">
        <v>16.0</v>
      </c>
      <c r="G17" s="51">
        <v>1.0</v>
      </c>
      <c r="H17" s="51">
        <v>3.0</v>
      </c>
      <c r="I17" s="50">
        <v>88.0</v>
      </c>
      <c r="J17" s="50">
        <v>7.0</v>
      </c>
      <c r="K17" s="50">
        <v>2.0</v>
      </c>
      <c r="L17" s="50">
        <v>4.0</v>
      </c>
      <c r="M17" s="50">
        <v>0.0</v>
      </c>
      <c r="N17" s="50">
        <v>0.0</v>
      </c>
      <c r="O17" s="52">
        <v>0.0</v>
      </c>
      <c r="P17" s="52">
        <v>2.0</v>
      </c>
      <c r="Q17" s="52">
        <v>10.0</v>
      </c>
      <c r="R17" s="52">
        <v>14.0</v>
      </c>
      <c r="S17" s="50">
        <v>6.0</v>
      </c>
      <c r="T17" s="50">
        <v>6.0</v>
      </c>
      <c r="U17" s="50">
        <v>6.0</v>
      </c>
      <c r="V17" s="52">
        <v>2.0</v>
      </c>
      <c r="W17" s="50">
        <v>2.0</v>
      </c>
      <c r="X17" s="54">
        <v>2.617</v>
      </c>
      <c r="Y17" s="54">
        <v>5.787</v>
      </c>
      <c r="Z17" s="49">
        <v>10.36</v>
      </c>
      <c r="AA17" s="54">
        <v>2.072</v>
      </c>
      <c r="AB17" s="55">
        <v>6.22</v>
      </c>
      <c r="AC17" s="54">
        <v>6.8379</v>
      </c>
      <c r="AD17" s="50">
        <v>2.58</v>
      </c>
      <c r="AE17" s="50">
        <v>2.65</v>
      </c>
      <c r="AF17" s="50">
        <v>6.22</v>
      </c>
      <c r="AG17" s="55">
        <v>2.58</v>
      </c>
      <c r="AH17" s="50">
        <v>2.589</v>
      </c>
      <c r="AI17" s="55">
        <v>2.49</v>
      </c>
      <c r="AJ17" s="55">
        <v>11.88</v>
      </c>
      <c r="AK17" s="50">
        <v>2.53</v>
      </c>
      <c r="AL17" s="55">
        <v>16.4</v>
      </c>
      <c r="AM17" s="49">
        <v>0.88</v>
      </c>
      <c r="AN17" s="49">
        <v>1.02</v>
      </c>
      <c r="AO17" s="49">
        <v>1.7</v>
      </c>
      <c r="AP17" s="56">
        <v>1.81</v>
      </c>
      <c r="AQ17" s="56">
        <v>1.03</v>
      </c>
      <c r="AR17" s="56">
        <v>1.8</v>
      </c>
      <c r="AS17" s="49">
        <v>1.1</v>
      </c>
      <c r="AT17" s="49">
        <v>0.43</v>
      </c>
      <c r="AU17" s="56">
        <v>1.05</v>
      </c>
      <c r="AV17" s="56">
        <v>1.0</v>
      </c>
      <c r="AW17" s="56">
        <v>0.81</v>
      </c>
      <c r="AX17" s="56">
        <v>1.27</v>
      </c>
      <c r="AY17" s="56">
        <v>1.04</v>
      </c>
      <c r="AZ17" s="50">
        <v>2.9</v>
      </c>
      <c r="BA17" s="50">
        <v>385.95</v>
      </c>
      <c r="BB17" s="50">
        <v>717.8499999999999</v>
      </c>
      <c r="BC17" s="50">
        <v>2.07</v>
      </c>
      <c r="BD17" s="50">
        <v>0.71</v>
      </c>
      <c r="BE17" s="50">
        <v>1.7175</v>
      </c>
      <c r="BF17" s="59">
        <v>9.8</v>
      </c>
      <c r="BG17" s="59">
        <v>279.0</v>
      </c>
      <c r="BH17" s="50">
        <v>0.269</v>
      </c>
      <c r="BI17" s="53" t="s">
        <v>338</v>
      </c>
      <c r="BJ17" s="50">
        <v>2.85</v>
      </c>
      <c r="BK17" s="59">
        <v>7.7</v>
      </c>
      <c r="BL17" s="53" t="s">
        <v>338</v>
      </c>
      <c r="BM17" s="53" t="s">
        <v>338</v>
      </c>
      <c r="BN17" s="53" t="s">
        <v>338</v>
      </c>
      <c r="BO17" s="53" t="s">
        <v>338</v>
      </c>
      <c r="BP17" s="59">
        <v>1.0E15</v>
      </c>
      <c r="BQ17" s="59">
        <v>1.0E-15</v>
      </c>
      <c r="BR17" s="60">
        <v>0.52</v>
      </c>
      <c r="BS17" s="60">
        <v>5.5E-4</v>
      </c>
      <c r="BT17" s="60">
        <v>24.0</v>
      </c>
      <c r="BU17" s="60">
        <v>4.0</v>
      </c>
      <c r="BV17" s="60">
        <v>0.16666666666666666</v>
      </c>
      <c r="BW17" s="60">
        <v>1.0</v>
      </c>
      <c r="BX17" s="50">
        <v>3.573213274542209E-4</v>
      </c>
      <c r="BY17" s="50">
        <v>1.6794739758258E-5</v>
      </c>
      <c r="BZ17" s="62">
        <v>737.0</v>
      </c>
      <c r="CA17" s="62">
        <v>1000.0</v>
      </c>
      <c r="CB17" s="50">
        <v>24.0</v>
      </c>
    </row>
    <row r="18" ht="14.25" customHeight="1">
      <c r="A18" s="47" t="s">
        <v>367</v>
      </c>
      <c r="B18" s="48" t="s">
        <v>368</v>
      </c>
      <c r="C18" s="49">
        <v>35.4527</v>
      </c>
      <c r="D18" s="50">
        <v>17.0</v>
      </c>
      <c r="E18" s="50">
        <v>3.0</v>
      </c>
      <c r="F18" s="50">
        <v>17.0</v>
      </c>
      <c r="G18" s="51">
        <v>1.0</v>
      </c>
      <c r="H18" s="51">
        <v>3.0</v>
      </c>
      <c r="I18" s="50">
        <v>94.0</v>
      </c>
      <c r="J18" s="50">
        <v>8.0</v>
      </c>
      <c r="K18" s="50">
        <v>2.0</v>
      </c>
      <c r="L18" s="50">
        <v>5.0</v>
      </c>
      <c r="M18" s="50">
        <v>0.0</v>
      </c>
      <c r="N18" s="50">
        <v>0.0</v>
      </c>
      <c r="O18" s="52">
        <v>0.0</v>
      </c>
      <c r="P18" s="52">
        <v>1.0</v>
      </c>
      <c r="Q18" s="52">
        <v>10.0</v>
      </c>
      <c r="R18" s="52">
        <v>14.0</v>
      </c>
      <c r="S18" s="50">
        <v>7.0</v>
      </c>
      <c r="T18" s="50">
        <v>7.0</v>
      </c>
      <c r="U18" s="50">
        <v>7.0</v>
      </c>
      <c r="V18" s="52">
        <v>1.0</v>
      </c>
      <c r="W18" s="50">
        <v>0.0</v>
      </c>
      <c r="X18" s="54">
        <v>2.928</v>
      </c>
      <c r="Y18" s="54">
        <v>0.517</v>
      </c>
      <c r="Z18" s="49">
        <v>12.9676</v>
      </c>
      <c r="AA18" s="54">
        <v>3.6176597921662665</v>
      </c>
      <c r="AB18" s="55">
        <v>8.3</v>
      </c>
      <c r="AC18" s="54">
        <v>7.2923</v>
      </c>
      <c r="AD18" s="50">
        <v>3.16</v>
      </c>
      <c r="AE18" s="50">
        <v>2.98</v>
      </c>
      <c r="AF18" s="50">
        <v>8.3</v>
      </c>
      <c r="AG18" s="55">
        <v>3.16</v>
      </c>
      <c r="AH18" s="50">
        <v>2.869</v>
      </c>
      <c r="AI18" s="55">
        <v>2.82</v>
      </c>
      <c r="AJ18" s="55">
        <v>14.06</v>
      </c>
      <c r="AK18" s="50">
        <v>2.97</v>
      </c>
      <c r="AL18" s="55">
        <v>23.0</v>
      </c>
      <c r="AM18" s="49">
        <v>0.79</v>
      </c>
      <c r="AN18" s="49">
        <v>0.99</v>
      </c>
      <c r="AO18" s="49">
        <v>1.67</v>
      </c>
      <c r="AP18" s="56">
        <v>1.38</v>
      </c>
      <c r="AQ18" s="56">
        <v>1.05</v>
      </c>
      <c r="AR18" s="56">
        <v>1.75</v>
      </c>
      <c r="AS18" s="49">
        <v>1.01</v>
      </c>
      <c r="AT18" s="49">
        <v>1.67</v>
      </c>
      <c r="AU18" s="56">
        <v>1.02</v>
      </c>
      <c r="AV18" s="56">
        <v>1.0</v>
      </c>
      <c r="AW18" s="56">
        <v>0.725</v>
      </c>
      <c r="AX18" s="58" t="s">
        <v>338</v>
      </c>
      <c r="AY18" s="56">
        <v>0.994</v>
      </c>
      <c r="AZ18" s="50">
        <v>2.2</v>
      </c>
      <c r="BA18" s="50">
        <v>172.14999999999998</v>
      </c>
      <c r="BB18" s="50">
        <v>238.54999999999998</v>
      </c>
      <c r="BC18" s="50">
        <v>0.00321</v>
      </c>
      <c r="BD18" s="50">
        <v>0.48</v>
      </c>
      <c r="BE18" s="50">
        <v>3.23</v>
      </c>
      <c r="BF18" s="59">
        <v>10.2</v>
      </c>
      <c r="BG18" s="59">
        <v>121.0</v>
      </c>
      <c r="BH18" s="50">
        <v>0.0089</v>
      </c>
      <c r="BI18" s="53" t="s">
        <v>338</v>
      </c>
      <c r="BJ18" s="50">
        <v>1.4</v>
      </c>
      <c r="BK18" s="59">
        <v>1.1</v>
      </c>
      <c r="BL18" s="53" t="s">
        <v>338</v>
      </c>
      <c r="BM18" s="53" t="s">
        <v>338</v>
      </c>
      <c r="BN18" s="53" t="s">
        <v>338</v>
      </c>
      <c r="BO18" s="53" t="s">
        <v>338</v>
      </c>
      <c r="BP18" s="59">
        <v>100.0</v>
      </c>
      <c r="BQ18" s="59">
        <v>0.01</v>
      </c>
      <c r="BR18" s="60">
        <v>35.3</v>
      </c>
      <c r="BS18" s="60">
        <v>0.033</v>
      </c>
      <c r="BT18" s="60">
        <v>24.0</v>
      </c>
      <c r="BU18" s="60">
        <v>2.0</v>
      </c>
      <c r="BV18" s="60">
        <v>0.08333333333333333</v>
      </c>
      <c r="BW18" s="60">
        <v>1.0</v>
      </c>
      <c r="BX18" s="50">
        <v>1.480331213738915E-4</v>
      </c>
      <c r="BY18" s="50">
        <v>1.7088240064712963E-7</v>
      </c>
      <c r="BZ18" s="62">
        <v>1500.0</v>
      </c>
      <c r="CA18" s="62">
        <v>1500.0</v>
      </c>
      <c r="CB18" s="50">
        <v>0.15</v>
      </c>
    </row>
    <row r="19" ht="14.25" customHeight="1">
      <c r="A19" s="47" t="s">
        <v>369</v>
      </c>
      <c r="B19" s="48" t="s">
        <v>370</v>
      </c>
      <c r="C19" s="49">
        <v>39.948</v>
      </c>
      <c r="D19" s="50">
        <v>18.0</v>
      </c>
      <c r="E19" s="50">
        <v>3.0</v>
      </c>
      <c r="F19" s="50">
        <v>18.0</v>
      </c>
      <c r="G19" s="51">
        <v>1.0</v>
      </c>
      <c r="H19" s="51">
        <v>3.0</v>
      </c>
      <c r="I19" s="50">
        <v>100.0</v>
      </c>
      <c r="J19" s="50">
        <v>9.0</v>
      </c>
      <c r="K19" s="50">
        <v>2.0</v>
      </c>
      <c r="L19" s="50">
        <v>6.0</v>
      </c>
      <c r="M19" s="50">
        <v>0.0</v>
      </c>
      <c r="N19" s="50">
        <v>0.0</v>
      </c>
      <c r="O19" s="52">
        <v>0.0</v>
      </c>
      <c r="P19" s="52">
        <v>0.0</v>
      </c>
      <c r="Q19" s="52">
        <v>10.0</v>
      </c>
      <c r="R19" s="52">
        <v>14.0</v>
      </c>
      <c r="S19" s="50">
        <v>8.0</v>
      </c>
      <c r="T19" s="50">
        <v>8.0</v>
      </c>
      <c r="U19" s="50">
        <v>8.0</v>
      </c>
      <c r="V19" s="53" t="s">
        <v>338</v>
      </c>
      <c r="W19" s="50">
        <v>0.0</v>
      </c>
      <c r="X19" s="54">
        <v>3.228</v>
      </c>
      <c r="Y19" s="54">
        <v>0.469</v>
      </c>
      <c r="Z19" s="49">
        <v>15.7596</v>
      </c>
      <c r="AA19" s="54">
        <v>-0.9946887573964497</v>
      </c>
      <c r="AB19" s="53" t="s">
        <v>338</v>
      </c>
      <c r="AC19" s="54">
        <v>7.6515</v>
      </c>
      <c r="AD19" s="50" t="s">
        <v>338</v>
      </c>
      <c r="AE19" s="50" t="s">
        <v>338</v>
      </c>
      <c r="AF19" s="50" t="s">
        <v>338</v>
      </c>
      <c r="AG19" s="53" t="s">
        <v>338</v>
      </c>
      <c r="AH19" s="50">
        <v>3.242</v>
      </c>
      <c r="AI19" s="55">
        <v>3.18</v>
      </c>
      <c r="AJ19" s="55">
        <v>12.55</v>
      </c>
      <c r="AK19" s="50" t="s">
        <v>338</v>
      </c>
      <c r="AL19" s="55">
        <v>31.2</v>
      </c>
      <c r="AM19" s="49">
        <v>0.71</v>
      </c>
      <c r="AN19" s="49">
        <v>0.97</v>
      </c>
      <c r="AO19" s="49">
        <v>1.88</v>
      </c>
      <c r="AP19" s="57">
        <v>1.3</v>
      </c>
      <c r="AQ19" s="57">
        <v>1.75</v>
      </c>
      <c r="AR19" s="56">
        <v>1.88</v>
      </c>
      <c r="AS19" s="49">
        <v>2.57</v>
      </c>
      <c r="AT19" s="49">
        <v>1.88</v>
      </c>
      <c r="AU19" s="56">
        <v>1.06</v>
      </c>
      <c r="AV19" s="56">
        <v>0.71</v>
      </c>
      <c r="AW19" s="56">
        <v>0.659</v>
      </c>
      <c r="AX19" s="58" t="s">
        <v>338</v>
      </c>
      <c r="AY19" s="58" t="s">
        <v>338</v>
      </c>
      <c r="AZ19" s="50">
        <v>1.586</v>
      </c>
      <c r="BA19" s="50">
        <v>83.94999999999999</v>
      </c>
      <c r="BB19" s="50">
        <v>87.44999999999999</v>
      </c>
      <c r="BC19" s="50">
        <v>0.00178</v>
      </c>
      <c r="BD19" s="50">
        <v>0.52</v>
      </c>
      <c r="BE19" s="50">
        <v>1.188</v>
      </c>
      <c r="BF19" s="59">
        <v>6.447</v>
      </c>
      <c r="BG19" s="59">
        <v>0.0</v>
      </c>
      <c r="BH19" s="50">
        <v>0.01772</v>
      </c>
      <c r="BI19" s="53" t="s">
        <v>338</v>
      </c>
      <c r="BJ19" s="50">
        <v>0.08</v>
      </c>
      <c r="BK19" s="53" t="s">
        <v>338</v>
      </c>
      <c r="BL19" s="53" t="s">
        <v>338</v>
      </c>
      <c r="BM19" s="53" t="s">
        <v>338</v>
      </c>
      <c r="BN19" s="53" t="s">
        <v>338</v>
      </c>
      <c r="BO19" s="53" t="s">
        <v>338</v>
      </c>
      <c r="BP19" s="53" t="s">
        <v>338</v>
      </c>
      <c r="BQ19" s="53" t="s">
        <v>338</v>
      </c>
      <c r="BR19" s="60">
        <v>0.66</v>
      </c>
      <c r="BS19" s="60">
        <v>5.9E-4</v>
      </c>
      <c r="BT19" s="60">
        <v>24.0</v>
      </c>
      <c r="BU19" s="60">
        <v>3.0</v>
      </c>
      <c r="BV19" s="60">
        <v>0.125</v>
      </c>
      <c r="BW19" s="60">
        <v>1.0</v>
      </c>
      <c r="BX19" s="50">
        <v>3.5732132745422087E-6</v>
      </c>
      <c r="BY19" s="50">
        <v>3.2937256613282678E-6</v>
      </c>
      <c r="BZ19" s="61" t="s">
        <v>338</v>
      </c>
      <c r="CA19" s="61" t="s">
        <v>338</v>
      </c>
      <c r="CB19" s="50">
        <v>0.5</v>
      </c>
    </row>
    <row r="20" ht="14.25" customHeight="1">
      <c r="A20" s="47" t="s">
        <v>371</v>
      </c>
      <c r="B20" s="48" t="s">
        <v>372</v>
      </c>
      <c r="C20" s="49">
        <v>39.0983</v>
      </c>
      <c r="D20" s="50">
        <v>19.0</v>
      </c>
      <c r="E20" s="50">
        <v>4.0</v>
      </c>
      <c r="F20" s="50">
        <v>1.0</v>
      </c>
      <c r="G20" s="51">
        <v>0.0</v>
      </c>
      <c r="H20" s="51">
        <v>1.0</v>
      </c>
      <c r="I20" s="50">
        <v>3.0</v>
      </c>
      <c r="J20" s="50">
        <v>1.0</v>
      </c>
      <c r="K20" s="50">
        <v>1.0</v>
      </c>
      <c r="L20" s="50">
        <v>0.0</v>
      </c>
      <c r="M20" s="50">
        <v>0.0</v>
      </c>
      <c r="N20" s="50">
        <v>0.0</v>
      </c>
      <c r="O20" s="52">
        <v>1.0</v>
      </c>
      <c r="P20" s="52">
        <v>6.0</v>
      </c>
      <c r="Q20" s="52">
        <v>10.0</v>
      </c>
      <c r="R20" s="52">
        <v>14.0</v>
      </c>
      <c r="S20" s="50">
        <v>1.0</v>
      </c>
      <c r="T20" s="50">
        <v>1.0</v>
      </c>
      <c r="U20" s="50">
        <v>1.0</v>
      </c>
      <c r="V20" s="52">
        <v>1.0</v>
      </c>
      <c r="W20" s="50">
        <v>1.0</v>
      </c>
      <c r="X20" s="54">
        <v>1.694</v>
      </c>
      <c r="Y20" s="54">
        <v>0.894</v>
      </c>
      <c r="Z20" s="49">
        <v>4.3407</v>
      </c>
      <c r="AA20" s="54">
        <v>0.49726396181384247</v>
      </c>
      <c r="AB20" s="55">
        <v>2.42</v>
      </c>
      <c r="AC20" s="54">
        <v>2.0027</v>
      </c>
      <c r="AD20" s="50">
        <v>0.82</v>
      </c>
      <c r="AE20" s="50">
        <v>0.8</v>
      </c>
      <c r="AF20" s="50">
        <v>2.42</v>
      </c>
      <c r="AG20" s="55">
        <v>0.82</v>
      </c>
      <c r="AH20" s="50">
        <v>0.734</v>
      </c>
      <c r="AI20" s="55">
        <v>0.84</v>
      </c>
      <c r="AJ20" s="55">
        <v>2.48</v>
      </c>
      <c r="AK20" s="50">
        <v>0.8</v>
      </c>
      <c r="AL20" s="55">
        <v>0.467</v>
      </c>
      <c r="AM20" s="49">
        <v>2.43</v>
      </c>
      <c r="AN20" s="49">
        <v>1.96</v>
      </c>
      <c r="AO20" s="49">
        <v>1.52</v>
      </c>
      <c r="AP20" s="56">
        <v>1.38</v>
      </c>
      <c r="AQ20" s="56">
        <v>2.3</v>
      </c>
      <c r="AR20" s="56">
        <v>2.75</v>
      </c>
      <c r="AS20" s="49">
        <v>3.69</v>
      </c>
      <c r="AT20" s="49">
        <v>1.52</v>
      </c>
      <c r="AU20" s="56">
        <v>2.03</v>
      </c>
      <c r="AV20" s="56">
        <v>2.2</v>
      </c>
      <c r="AW20" s="56">
        <v>2.162</v>
      </c>
      <c r="AX20" s="56">
        <v>2.349</v>
      </c>
      <c r="AY20" s="56">
        <v>2.025</v>
      </c>
      <c r="AZ20" s="50">
        <v>43.4</v>
      </c>
      <c r="BA20" s="50">
        <v>336.4</v>
      </c>
      <c r="BB20" s="50">
        <v>1033.15</v>
      </c>
      <c r="BC20" s="50">
        <v>0.86</v>
      </c>
      <c r="BD20" s="50">
        <v>0.75</v>
      </c>
      <c r="BE20" s="50">
        <v>2.334</v>
      </c>
      <c r="BF20" s="59">
        <v>79.87</v>
      </c>
      <c r="BG20" s="59">
        <v>90.0</v>
      </c>
      <c r="BH20" s="50">
        <v>102.4</v>
      </c>
      <c r="BI20" s="63">
        <v>8.3E-5</v>
      </c>
      <c r="BJ20" s="50">
        <v>0.934</v>
      </c>
      <c r="BK20" s="59">
        <v>3.2</v>
      </c>
      <c r="BL20" s="59">
        <v>1.3</v>
      </c>
      <c r="BM20" s="59">
        <v>3.53</v>
      </c>
      <c r="BN20" s="53" t="s">
        <v>338</v>
      </c>
      <c r="BO20" s="59">
        <v>3.63E-4</v>
      </c>
      <c r="BP20" s="59">
        <v>7.000000000002E-8</v>
      </c>
      <c r="BQ20" s="59">
        <v>1.4E7</v>
      </c>
      <c r="BR20" s="60">
        <v>2.1</v>
      </c>
      <c r="BS20" s="60">
        <v>0.0018</v>
      </c>
      <c r="BT20" s="60">
        <v>24.0</v>
      </c>
      <c r="BU20" s="60">
        <v>2.0</v>
      </c>
      <c r="BV20" s="60">
        <v>0.08333333333333333</v>
      </c>
      <c r="BW20" s="60">
        <v>0.999883</v>
      </c>
      <c r="BX20" s="50">
        <v>0.02133718783940919</v>
      </c>
      <c r="BY20" s="50">
        <v>1.229440172594807E-7</v>
      </c>
      <c r="BZ20" s="62">
        <v>1738.0</v>
      </c>
      <c r="CA20" s="62">
        <v>7201.0</v>
      </c>
      <c r="CB20" s="50">
        <v>85.0</v>
      </c>
    </row>
    <row r="21" ht="14.25" customHeight="1">
      <c r="A21" s="47" t="s">
        <v>373</v>
      </c>
      <c r="B21" s="48" t="s">
        <v>374</v>
      </c>
      <c r="C21" s="49">
        <v>40.078</v>
      </c>
      <c r="D21" s="50">
        <v>20.0</v>
      </c>
      <c r="E21" s="50">
        <v>4.0</v>
      </c>
      <c r="F21" s="50">
        <v>2.0</v>
      </c>
      <c r="G21" s="51">
        <v>0.0</v>
      </c>
      <c r="H21" s="51">
        <v>1.0</v>
      </c>
      <c r="I21" s="50">
        <v>7.0</v>
      </c>
      <c r="J21" s="50">
        <v>2.0</v>
      </c>
      <c r="K21" s="50">
        <v>2.0</v>
      </c>
      <c r="L21" s="50">
        <v>0.0</v>
      </c>
      <c r="M21" s="50">
        <v>0.0</v>
      </c>
      <c r="N21" s="50">
        <v>0.0</v>
      </c>
      <c r="O21" s="52">
        <v>0.0</v>
      </c>
      <c r="P21" s="52">
        <v>6.0</v>
      </c>
      <c r="Q21" s="52">
        <v>10.0</v>
      </c>
      <c r="R21" s="52">
        <v>14.0</v>
      </c>
      <c r="S21" s="50">
        <v>2.0</v>
      </c>
      <c r="T21" s="50">
        <v>2.0</v>
      </c>
      <c r="U21" s="50">
        <v>2.0</v>
      </c>
      <c r="V21" s="52">
        <v>2.0</v>
      </c>
      <c r="W21" s="50">
        <v>2.0</v>
      </c>
      <c r="X21" s="54">
        <v>2.68</v>
      </c>
      <c r="Y21" s="54">
        <v>1.004</v>
      </c>
      <c r="Z21" s="49">
        <v>6.1132</v>
      </c>
      <c r="AA21" s="54">
        <v>0.02072271186440678</v>
      </c>
      <c r="AB21" s="55">
        <v>2.2</v>
      </c>
      <c r="AC21" s="54">
        <v>2.6965</v>
      </c>
      <c r="AD21" s="50">
        <v>1.0</v>
      </c>
      <c r="AE21" s="50">
        <v>1.17</v>
      </c>
      <c r="AF21" s="50">
        <v>2.2</v>
      </c>
      <c r="AG21" s="55">
        <v>1.0</v>
      </c>
      <c r="AH21" s="50">
        <v>1.034</v>
      </c>
      <c r="AI21" s="55">
        <v>1.11</v>
      </c>
      <c r="AJ21" s="55">
        <v>2.19</v>
      </c>
      <c r="AK21" s="50">
        <v>1.0</v>
      </c>
      <c r="AL21" s="55">
        <v>1.02</v>
      </c>
      <c r="AM21" s="49">
        <v>1.94</v>
      </c>
      <c r="AN21" s="49">
        <v>1.74</v>
      </c>
      <c r="AO21" s="49">
        <v>1.14</v>
      </c>
      <c r="AP21" s="56">
        <v>1.0</v>
      </c>
      <c r="AQ21" s="56">
        <v>2.01</v>
      </c>
      <c r="AR21" s="56">
        <v>2.31</v>
      </c>
      <c r="AS21" s="49">
        <v>3.0</v>
      </c>
      <c r="AT21" s="49">
        <v>1.14</v>
      </c>
      <c r="AU21" s="56">
        <v>1.76</v>
      </c>
      <c r="AV21" s="56">
        <v>1.8</v>
      </c>
      <c r="AW21" s="56">
        <v>1.69</v>
      </c>
      <c r="AX21" s="56">
        <v>1.97</v>
      </c>
      <c r="AY21" s="56">
        <v>1.736</v>
      </c>
      <c r="AZ21" s="50">
        <v>22.8</v>
      </c>
      <c r="BA21" s="50">
        <v>1112.15</v>
      </c>
      <c r="BB21" s="50">
        <v>1757.15</v>
      </c>
      <c r="BC21" s="50">
        <v>1.55</v>
      </c>
      <c r="BD21" s="50">
        <v>0.63</v>
      </c>
      <c r="BE21" s="50">
        <v>8.54</v>
      </c>
      <c r="BF21" s="59">
        <v>153.3</v>
      </c>
      <c r="BG21" s="59">
        <v>178.0</v>
      </c>
      <c r="BH21" s="50">
        <v>200.0</v>
      </c>
      <c r="BI21" s="59">
        <v>2.23E-5</v>
      </c>
      <c r="BJ21" s="50">
        <v>1.84</v>
      </c>
      <c r="BK21" s="59">
        <v>17.2</v>
      </c>
      <c r="BL21" s="59">
        <v>7.4</v>
      </c>
      <c r="BM21" s="59">
        <v>20.0</v>
      </c>
      <c r="BN21" s="53" t="s">
        <v>338</v>
      </c>
      <c r="BO21" s="59">
        <v>0.167</v>
      </c>
      <c r="BP21" s="59">
        <v>3.399999999999E-8</v>
      </c>
      <c r="BQ21" s="59">
        <v>2.9E7</v>
      </c>
      <c r="BR21" s="60">
        <v>0.43</v>
      </c>
      <c r="BS21" s="60">
        <v>3.7E-4</v>
      </c>
      <c r="BT21" s="60">
        <v>24.0</v>
      </c>
      <c r="BU21" s="60">
        <v>5.0</v>
      </c>
      <c r="BV21" s="60">
        <v>0.20833333333333334</v>
      </c>
      <c r="BW21" s="60">
        <v>0.99813</v>
      </c>
      <c r="BX21" s="50">
        <v>0.04236810025528619</v>
      </c>
      <c r="BY21" s="50">
        <v>1.9925409693777935E-6</v>
      </c>
      <c r="BZ21" s="62">
        <v>3860.0</v>
      </c>
      <c r="CA21" s="62">
        <v>1500.0</v>
      </c>
      <c r="CB21" s="50">
        <v>11.0</v>
      </c>
    </row>
    <row r="22" ht="14.25" customHeight="1">
      <c r="A22" s="47" t="s">
        <v>375</v>
      </c>
      <c r="B22" s="48" t="s">
        <v>376</v>
      </c>
      <c r="C22" s="49">
        <v>44.95591</v>
      </c>
      <c r="D22" s="50">
        <v>21.0</v>
      </c>
      <c r="E22" s="50">
        <v>4.0</v>
      </c>
      <c r="F22" s="50">
        <v>3.0</v>
      </c>
      <c r="G22" s="51">
        <v>2.0</v>
      </c>
      <c r="H22" s="51">
        <v>1.0</v>
      </c>
      <c r="I22" s="50">
        <v>11.0</v>
      </c>
      <c r="J22" s="50">
        <v>3.0</v>
      </c>
      <c r="K22" s="50">
        <v>2.0</v>
      </c>
      <c r="L22" s="50">
        <v>0.0</v>
      </c>
      <c r="M22" s="50">
        <v>1.0</v>
      </c>
      <c r="N22" s="50">
        <v>0.0</v>
      </c>
      <c r="O22" s="52">
        <v>0.0</v>
      </c>
      <c r="P22" s="52">
        <v>6.0</v>
      </c>
      <c r="Q22" s="52">
        <v>9.0</v>
      </c>
      <c r="R22" s="52">
        <v>14.0</v>
      </c>
      <c r="S22" s="50">
        <v>3.0</v>
      </c>
      <c r="T22" s="50">
        <v>2.0</v>
      </c>
      <c r="U22" s="50">
        <v>1.0</v>
      </c>
      <c r="V22" s="52">
        <v>3.0</v>
      </c>
      <c r="W22" s="50">
        <v>3.0</v>
      </c>
      <c r="X22" s="54">
        <v>2.777</v>
      </c>
      <c r="Y22" s="54">
        <v>0.969</v>
      </c>
      <c r="Z22" s="49">
        <v>6.5615</v>
      </c>
      <c r="AA22" s="54">
        <v>0.18658293838862558</v>
      </c>
      <c r="AB22" s="55">
        <v>3.34</v>
      </c>
      <c r="AC22" s="54">
        <v>2.8571</v>
      </c>
      <c r="AD22" s="50">
        <v>1.36</v>
      </c>
      <c r="AE22" s="50">
        <v>1.5</v>
      </c>
      <c r="AF22" s="50">
        <v>3.34</v>
      </c>
      <c r="AG22" s="55">
        <v>1.36</v>
      </c>
      <c r="AH22" s="50">
        <v>1.19</v>
      </c>
      <c r="AI22" s="55">
        <v>1.17</v>
      </c>
      <c r="AJ22" s="55">
        <v>1.83</v>
      </c>
      <c r="AK22" s="50">
        <v>1.3</v>
      </c>
      <c r="AL22" s="55">
        <v>1.18</v>
      </c>
      <c r="AM22" s="49">
        <v>1.84</v>
      </c>
      <c r="AN22" s="49">
        <v>1.44</v>
      </c>
      <c r="AO22" s="49">
        <v>0.89</v>
      </c>
      <c r="AP22" s="56">
        <v>0.75</v>
      </c>
      <c r="AQ22" s="56">
        <v>1.62</v>
      </c>
      <c r="AR22" s="56">
        <v>2.3</v>
      </c>
      <c r="AS22" s="49">
        <v>2.75</v>
      </c>
      <c r="AT22" s="49">
        <v>0.89</v>
      </c>
      <c r="AU22" s="56">
        <v>1.7</v>
      </c>
      <c r="AV22" s="56">
        <v>1.6</v>
      </c>
      <c r="AW22" s="56">
        <v>1.57</v>
      </c>
      <c r="AX22" s="56">
        <v>1.62</v>
      </c>
      <c r="AY22" s="56">
        <v>1.439</v>
      </c>
      <c r="AZ22" s="50">
        <v>17.8</v>
      </c>
      <c r="BA22" s="50">
        <v>1814.15</v>
      </c>
      <c r="BB22" s="50">
        <v>3105.15</v>
      </c>
      <c r="BC22" s="50">
        <v>2.99</v>
      </c>
      <c r="BD22" s="50">
        <v>0.6</v>
      </c>
      <c r="BE22" s="50">
        <v>14.1</v>
      </c>
      <c r="BF22" s="59">
        <v>314.2</v>
      </c>
      <c r="BG22" s="59">
        <v>378.0</v>
      </c>
      <c r="BH22" s="50">
        <v>15.8</v>
      </c>
      <c r="BI22" s="59">
        <v>1.02E-5</v>
      </c>
      <c r="BJ22" s="50">
        <v>3.9</v>
      </c>
      <c r="BK22" s="59">
        <v>56.6</v>
      </c>
      <c r="BL22" s="59">
        <v>29.0</v>
      </c>
      <c r="BM22" s="59">
        <v>74.0</v>
      </c>
      <c r="BN22" s="53" t="s">
        <v>338</v>
      </c>
      <c r="BO22" s="59">
        <v>0.75</v>
      </c>
      <c r="BP22" s="59">
        <v>5.5E-7</v>
      </c>
      <c r="BQ22" s="59">
        <v>1800000.0</v>
      </c>
      <c r="BR22" s="60">
        <v>27.2</v>
      </c>
      <c r="BS22" s="60">
        <v>0.025</v>
      </c>
      <c r="BT22" s="60">
        <v>25.0</v>
      </c>
      <c r="BU22" s="60">
        <v>1.0</v>
      </c>
      <c r="BV22" s="60">
        <v>0.04</v>
      </c>
      <c r="BW22" s="60">
        <v>1.0</v>
      </c>
      <c r="BX22" s="50">
        <v>2.2460197725693882E-5</v>
      </c>
      <c r="BY22" s="50">
        <v>1.115301164528977E-9</v>
      </c>
      <c r="BZ22" s="62">
        <v>5500.0</v>
      </c>
      <c r="CA22" s="62">
        <v>4500.0</v>
      </c>
      <c r="CB22" s="50">
        <v>1400.0</v>
      </c>
    </row>
    <row r="23" ht="14.25" customHeight="1">
      <c r="A23" s="47" t="s">
        <v>377</v>
      </c>
      <c r="B23" s="48" t="s">
        <v>378</v>
      </c>
      <c r="C23" s="49">
        <v>47.867</v>
      </c>
      <c r="D23" s="50">
        <v>22.0</v>
      </c>
      <c r="E23" s="50">
        <v>4.0</v>
      </c>
      <c r="F23" s="50">
        <v>4.0</v>
      </c>
      <c r="G23" s="51">
        <v>2.0</v>
      </c>
      <c r="H23" s="51">
        <v>1.0</v>
      </c>
      <c r="I23" s="50">
        <v>43.0</v>
      </c>
      <c r="J23" s="50">
        <v>4.0</v>
      </c>
      <c r="K23" s="50">
        <v>2.0</v>
      </c>
      <c r="L23" s="50">
        <v>0.0</v>
      </c>
      <c r="M23" s="50">
        <v>2.0</v>
      </c>
      <c r="N23" s="50">
        <v>0.0</v>
      </c>
      <c r="O23" s="52">
        <v>0.0</v>
      </c>
      <c r="P23" s="52">
        <v>6.0</v>
      </c>
      <c r="Q23" s="52">
        <v>8.0</v>
      </c>
      <c r="R23" s="52">
        <v>14.0</v>
      </c>
      <c r="S23" s="50">
        <v>4.0</v>
      </c>
      <c r="T23" s="50">
        <v>2.0</v>
      </c>
      <c r="U23" s="50">
        <v>2.0</v>
      </c>
      <c r="V23" s="52">
        <v>4.0</v>
      </c>
      <c r="W23" s="50">
        <v>4.0</v>
      </c>
      <c r="X23" s="54">
        <v>2.833</v>
      </c>
      <c r="Y23" s="54">
        <v>0.95</v>
      </c>
      <c r="Z23" s="49">
        <v>6.8281</v>
      </c>
      <c r="AA23" s="54">
        <v>0.08289044006069803</v>
      </c>
      <c r="AB23" s="55">
        <v>3.45</v>
      </c>
      <c r="AC23" s="54">
        <v>3.004</v>
      </c>
      <c r="AD23" s="50">
        <v>1.54</v>
      </c>
      <c r="AE23" s="50">
        <v>1.86</v>
      </c>
      <c r="AF23" s="50">
        <v>3.45</v>
      </c>
      <c r="AG23" s="55">
        <v>1.54</v>
      </c>
      <c r="AH23" s="50">
        <v>1.38</v>
      </c>
      <c r="AI23" s="55">
        <v>1.23</v>
      </c>
      <c r="AJ23" s="55">
        <v>2.28</v>
      </c>
      <c r="AK23" s="50">
        <v>1.6</v>
      </c>
      <c r="AL23" s="55">
        <v>1.37</v>
      </c>
      <c r="AM23" s="49">
        <v>1.76</v>
      </c>
      <c r="AN23" s="49">
        <v>1.36</v>
      </c>
      <c r="AO23" s="49">
        <v>1.0</v>
      </c>
      <c r="AP23" s="56">
        <v>0.86</v>
      </c>
      <c r="AQ23" s="56">
        <v>1.42</v>
      </c>
      <c r="AR23" s="56">
        <v>2.15</v>
      </c>
      <c r="AS23" s="49">
        <v>2.58</v>
      </c>
      <c r="AT23" s="49">
        <v>0.75</v>
      </c>
      <c r="AU23" s="56">
        <v>1.6</v>
      </c>
      <c r="AV23" s="56">
        <v>1.4</v>
      </c>
      <c r="AW23" s="56">
        <v>1.4769999999999999</v>
      </c>
      <c r="AX23" s="56">
        <v>1.467</v>
      </c>
      <c r="AY23" s="56">
        <v>1.324</v>
      </c>
      <c r="AZ23" s="50">
        <v>14.6</v>
      </c>
      <c r="BA23" s="50">
        <v>1933.15</v>
      </c>
      <c r="BB23" s="50">
        <v>3560.15</v>
      </c>
      <c r="BC23" s="50">
        <v>4.54</v>
      </c>
      <c r="BD23" s="50">
        <v>0.52</v>
      </c>
      <c r="BE23" s="50">
        <v>15.45</v>
      </c>
      <c r="BF23" s="59">
        <v>421.0</v>
      </c>
      <c r="BG23" s="59">
        <v>470.0</v>
      </c>
      <c r="BH23" s="50">
        <v>21.9</v>
      </c>
      <c r="BI23" s="59">
        <v>8.6E-6</v>
      </c>
      <c r="BJ23" s="50">
        <v>4.85</v>
      </c>
      <c r="BK23" s="59">
        <v>108.0</v>
      </c>
      <c r="BL23" s="59">
        <v>44.0</v>
      </c>
      <c r="BM23" s="59">
        <v>116.0</v>
      </c>
      <c r="BN23" s="59">
        <v>0.97</v>
      </c>
      <c r="BO23" s="59">
        <v>0.715</v>
      </c>
      <c r="BP23" s="59">
        <v>4.0E-7</v>
      </c>
      <c r="BQ23" s="59">
        <v>2500000.0</v>
      </c>
      <c r="BR23" s="60">
        <v>6.1</v>
      </c>
      <c r="BS23" s="60">
        <v>0.0044</v>
      </c>
      <c r="BT23" s="60">
        <v>26.0</v>
      </c>
      <c r="BU23" s="60">
        <v>5.0</v>
      </c>
      <c r="BV23" s="60">
        <v>0.19230769230769232</v>
      </c>
      <c r="BW23" s="60">
        <v>1.0</v>
      </c>
      <c r="BX23" s="50">
        <v>0.005768187143189565</v>
      </c>
      <c r="BY23" s="50">
        <v>7.826674838799839E-8</v>
      </c>
      <c r="BZ23" s="62">
        <v>1119.0</v>
      </c>
      <c r="CA23" s="62">
        <v>1552.0</v>
      </c>
      <c r="CB23" s="50">
        <v>6.1</v>
      </c>
    </row>
    <row r="24" ht="14.25" customHeight="1">
      <c r="A24" s="47" t="s">
        <v>379</v>
      </c>
      <c r="B24" s="48" t="s">
        <v>380</v>
      </c>
      <c r="C24" s="49">
        <v>50.9415</v>
      </c>
      <c r="D24" s="50">
        <v>23.0</v>
      </c>
      <c r="E24" s="50">
        <v>4.0</v>
      </c>
      <c r="F24" s="50">
        <v>5.0</v>
      </c>
      <c r="G24" s="51">
        <v>2.0</v>
      </c>
      <c r="H24" s="51">
        <v>1.0</v>
      </c>
      <c r="I24" s="50">
        <v>46.0</v>
      </c>
      <c r="J24" s="50">
        <v>4.0</v>
      </c>
      <c r="K24" s="50">
        <v>2.0</v>
      </c>
      <c r="L24" s="50">
        <v>0.0</v>
      </c>
      <c r="M24" s="50">
        <v>3.0</v>
      </c>
      <c r="N24" s="50">
        <v>0.0</v>
      </c>
      <c r="O24" s="52">
        <v>0.0</v>
      </c>
      <c r="P24" s="52">
        <v>6.0</v>
      </c>
      <c r="Q24" s="52">
        <v>7.0</v>
      </c>
      <c r="R24" s="52">
        <v>14.0</v>
      </c>
      <c r="S24" s="50">
        <v>5.0</v>
      </c>
      <c r="T24" s="50">
        <v>2.0</v>
      </c>
      <c r="U24" s="50">
        <v>3.0</v>
      </c>
      <c r="V24" s="52">
        <v>5.0</v>
      </c>
      <c r="W24" s="50">
        <v>5.0</v>
      </c>
      <c r="X24" s="54">
        <v>2.816</v>
      </c>
      <c r="Y24" s="54">
        <v>0.956</v>
      </c>
      <c r="Z24" s="49">
        <v>6.7462</v>
      </c>
      <c r="AA24" s="54">
        <v>0.5285041474654378</v>
      </c>
      <c r="AB24" s="55">
        <v>3.6</v>
      </c>
      <c r="AC24" s="54">
        <v>3.1482</v>
      </c>
      <c r="AD24" s="50">
        <v>1.63</v>
      </c>
      <c r="AE24" s="50">
        <v>2.22</v>
      </c>
      <c r="AF24" s="50">
        <v>3.6</v>
      </c>
      <c r="AG24" s="55">
        <v>1.63</v>
      </c>
      <c r="AH24" s="50">
        <v>1.53</v>
      </c>
      <c r="AI24" s="55">
        <v>1.27</v>
      </c>
      <c r="AJ24" s="55">
        <v>2.42</v>
      </c>
      <c r="AK24" s="50">
        <v>1.9</v>
      </c>
      <c r="AL24" s="55">
        <v>1.58</v>
      </c>
      <c r="AM24" s="49">
        <v>1.71</v>
      </c>
      <c r="AN24" s="49">
        <v>1.25</v>
      </c>
      <c r="AO24" s="49">
        <v>0.93</v>
      </c>
      <c r="AP24" s="56">
        <v>0.79</v>
      </c>
      <c r="AQ24" s="56">
        <v>1.34</v>
      </c>
      <c r="AR24" s="56">
        <v>2.05</v>
      </c>
      <c r="AS24" s="49">
        <v>2.43</v>
      </c>
      <c r="AT24" s="49">
        <v>0.68</v>
      </c>
      <c r="AU24" s="56">
        <v>1.53</v>
      </c>
      <c r="AV24" s="56">
        <v>1.35</v>
      </c>
      <c r="AW24" s="56">
        <v>1.401</v>
      </c>
      <c r="AX24" s="56">
        <v>1.338</v>
      </c>
      <c r="AY24" s="56">
        <v>1.224</v>
      </c>
      <c r="AZ24" s="50">
        <v>12.4</v>
      </c>
      <c r="BA24" s="50">
        <v>2163.15</v>
      </c>
      <c r="BB24" s="50">
        <v>3653.15</v>
      </c>
      <c r="BC24" s="50">
        <v>6.11</v>
      </c>
      <c r="BD24" s="50">
        <v>0.49</v>
      </c>
      <c r="BE24" s="50">
        <v>20.9</v>
      </c>
      <c r="BF24" s="59">
        <v>453.0</v>
      </c>
      <c r="BG24" s="59">
        <v>514.0</v>
      </c>
      <c r="BH24" s="50">
        <v>30.7</v>
      </c>
      <c r="BI24" s="59">
        <v>8.4E-6</v>
      </c>
      <c r="BJ24" s="50">
        <v>5.31</v>
      </c>
      <c r="BK24" s="59">
        <v>158.0</v>
      </c>
      <c r="BL24" s="59">
        <v>47.0</v>
      </c>
      <c r="BM24" s="59">
        <v>128.0</v>
      </c>
      <c r="BN24" s="59">
        <v>0.628</v>
      </c>
      <c r="BO24" s="59">
        <v>0.628</v>
      </c>
      <c r="BP24" s="59">
        <v>2.0E-7</v>
      </c>
      <c r="BQ24" s="59">
        <v>5000000.0</v>
      </c>
      <c r="BR24" s="60">
        <v>5.06</v>
      </c>
      <c r="BS24" s="60">
        <v>0.0033</v>
      </c>
      <c r="BT24" s="60">
        <v>26.0</v>
      </c>
      <c r="BU24" s="60">
        <v>1.0</v>
      </c>
      <c r="BV24" s="60">
        <v>0.038461538461538464</v>
      </c>
      <c r="BW24" s="60">
        <v>0.9975</v>
      </c>
      <c r="BX24" s="50">
        <v>1.2251016941287573E-4</v>
      </c>
      <c r="BY24" s="50">
        <v>9.555065532368138E-9</v>
      </c>
      <c r="BZ24" s="62">
        <v>3266.0</v>
      </c>
      <c r="CA24" s="62">
        <v>3397.0</v>
      </c>
      <c r="CB24" s="50">
        <v>220.0</v>
      </c>
    </row>
    <row r="25" ht="14.25" customHeight="1">
      <c r="A25" s="47" t="s">
        <v>381</v>
      </c>
      <c r="B25" s="48" t="s">
        <v>382</v>
      </c>
      <c r="C25" s="49">
        <v>51.9961</v>
      </c>
      <c r="D25" s="50">
        <v>24.0</v>
      </c>
      <c r="E25" s="50">
        <v>4.0</v>
      </c>
      <c r="F25" s="50">
        <v>6.0</v>
      </c>
      <c r="G25" s="51">
        <v>2.0</v>
      </c>
      <c r="H25" s="51">
        <v>1.0</v>
      </c>
      <c r="I25" s="50">
        <v>49.0</v>
      </c>
      <c r="J25" s="50">
        <v>4.0</v>
      </c>
      <c r="K25" s="50">
        <v>1.0</v>
      </c>
      <c r="L25" s="50">
        <v>0.0</v>
      </c>
      <c r="M25" s="50">
        <v>5.0</v>
      </c>
      <c r="N25" s="50">
        <v>0.0</v>
      </c>
      <c r="O25" s="52">
        <v>1.0</v>
      </c>
      <c r="P25" s="52">
        <v>6.0</v>
      </c>
      <c r="Q25" s="52">
        <v>5.0</v>
      </c>
      <c r="R25" s="52">
        <v>14.0</v>
      </c>
      <c r="S25" s="50">
        <v>6.0</v>
      </c>
      <c r="T25" s="50">
        <v>1.0</v>
      </c>
      <c r="U25" s="50">
        <v>4.0</v>
      </c>
      <c r="V25" s="52">
        <v>2.9</v>
      </c>
      <c r="W25" s="50">
        <v>5.78</v>
      </c>
      <c r="X25" s="54">
        <v>2.82</v>
      </c>
      <c r="Y25" s="54">
        <v>0.955</v>
      </c>
      <c r="Z25" s="49">
        <v>6.7665</v>
      </c>
      <c r="AA25" s="54">
        <v>0.67354134762634</v>
      </c>
      <c r="AB25" s="55">
        <v>3.72</v>
      </c>
      <c r="AC25" s="54">
        <v>3.2951</v>
      </c>
      <c r="AD25" s="50">
        <v>1.66</v>
      </c>
      <c r="AE25" s="50">
        <v>2.0</v>
      </c>
      <c r="AF25" s="50">
        <v>3.72</v>
      </c>
      <c r="AG25" s="55">
        <v>1.66</v>
      </c>
      <c r="AH25" s="50">
        <v>1.65</v>
      </c>
      <c r="AI25" s="55">
        <v>1.29</v>
      </c>
      <c r="AJ25" s="55">
        <v>2.72</v>
      </c>
      <c r="AK25" s="50">
        <v>2.2</v>
      </c>
      <c r="AL25" s="55">
        <v>1.8</v>
      </c>
      <c r="AM25" s="49">
        <v>1.66</v>
      </c>
      <c r="AN25" s="49">
        <v>1.27</v>
      </c>
      <c r="AO25" s="49">
        <v>0.87</v>
      </c>
      <c r="AP25" s="56">
        <v>0.8</v>
      </c>
      <c r="AQ25" s="56">
        <v>1.3</v>
      </c>
      <c r="AR25" s="56">
        <v>2.0</v>
      </c>
      <c r="AS25" s="49">
        <v>2.44</v>
      </c>
      <c r="AT25" s="49">
        <v>0.76</v>
      </c>
      <c r="AU25" s="56">
        <v>1.39</v>
      </c>
      <c r="AV25" s="56">
        <v>1.4</v>
      </c>
      <c r="AW25" s="56">
        <v>1.453</v>
      </c>
      <c r="AX25" s="56">
        <v>1.357</v>
      </c>
      <c r="AY25" s="56">
        <v>1.172</v>
      </c>
      <c r="AZ25" s="50">
        <v>11.6</v>
      </c>
      <c r="BA25" s="50">
        <v>2130.15</v>
      </c>
      <c r="BB25" s="50">
        <v>2945.15</v>
      </c>
      <c r="BC25" s="50">
        <v>7.19</v>
      </c>
      <c r="BD25" s="50">
        <v>0.45</v>
      </c>
      <c r="BE25" s="50">
        <v>16.9</v>
      </c>
      <c r="BF25" s="59">
        <v>344.3</v>
      </c>
      <c r="BG25" s="59">
        <v>397.0</v>
      </c>
      <c r="BH25" s="50">
        <v>93.7</v>
      </c>
      <c r="BI25" s="59">
        <v>4.9E-6</v>
      </c>
      <c r="BJ25" s="50">
        <v>4.1</v>
      </c>
      <c r="BK25" s="59">
        <v>160.0</v>
      </c>
      <c r="BL25" s="59">
        <v>115.0</v>
      </c>
      <c r="BM25" s="59">
        <v>279.0</v>
      </c>
      <c r="BN25" s="59">
        <v>1.06</v>
      </c>
      <c r="BO25" s="59">
        <v>1.12</v>
      </c>
      <c r="BP25" s="59">
        <v>1.3E-7</v>
      </c>
      <c r="BQ25" s="59">
        <v>7900000.0</v>
      </c>
      <c r="BR25" s="60">
        <v>3.1</v>
      </c>
      <c r="BS25" s="60">
        <v>0.0021</v>
      </c>
      <c r="BT25" s="60">
        <v>26.0</v>
      </c>
      <c r="BU25" s="60">
        <v>4.0</v>
      </c>
      <c r="BV25" s="60">
        <v>0.15384615384615385</v>
      </c>
      <c r="BW25" s="60">
        <v>1.0</v>
      </c>
      <c r="BX25" s="50">
        <v>1.0413364400094437E-4</v>
      </c>
      <c r="BY25" s="50">
        <v>4.402504596824907E-7</v>
      </c>
      <c r="BZ25" s="62">
        <v>3103.0</v>
      </c>
      <c r="CA25" s="62">
        <v>4053.0</v>
      </c>
      <c r="CB25" s="50">
        <v>10.0</v>
      </c>
    </row>
    <row r="26" ht="14.25" customHeight="1">
      <c r="A26" s="47" t="s">
        <v>383</v>
      </c>
      <c r="B26" s="48" t="s">
        <v>384</v>
      </c>
      <c r="C26" s="49">
        <v>54.93805</v>
      </c>
      <c r="D26" s="50">
        <v>25.0</v>
      </c>
      <c r="E26" s="50">
        <v>4.0</v>
      </c>
      <c r="F26" s="50">
        <v>7.0</v>
      </c>
      <c r="G26" s="51">
        <v>2.0</v>
      </c>
      <c r="H26" s="51">
        <v>1.0</v>
      </c>
      <c r="I26" s="50">
        <v>52.0</v>
      </c>
      <c r="J26" s="50">
        <v>4.0</v>
      </c>
      <c r="K26" s="50">
        <v>2.0</v>
      </c>
      <c r="L26" s="50">
        <v>0.0</v>
      </c>
      <c r="M26" s="50">
        <v>5.0</v>
      </c>
      <c r="N26" s="50">
        <v>0.0</v>
      </c>
      <c r="O26" s="52">
        <v>0.0</v>
      </c>
      <c r="P26" s="52">
        <v>6.0</v>
      </c>
      <c r="Q26" s="52">
        <v>5.0</v>
      </c>
      <c r="R26" s="52">
        <v>14.0</v>
      </c>
      <c r="S26" s="50">
        <v>7.0</v>
      </c>
      <c r="T26" s="50">
        <v>2.0</v>
      </c>
      <c r="U26" s="50">
        <v>5.0</v>
      </c>
      <c r="V26" s="52">
        <v>4.16</v>
      </c>
      <c r="W26" s="50">
        <v>5.78</v>
      </c>
      <c r="X26" s="54">
        <v>2.956</v>
      </c>
      <c r="Y26" s="54">
        <v>0.911</v>
      </c>
      <c r="Z26" s="49">
        <v>7.434</v>
      </c>
      <c r="AA26" s="54">
        <v>-0.5184100418410041</v>
      </c>
      <c r="AB26" s="55">
        <v>3.72</v>
      </c>
      <c r="AC26" s="54">
        <v>3.4349</v>
      </c>
      <c r="AD26" s="50">
        <v>1.55</v>
      </c>
      <c r="AE26" s="50">
        <v>2.04</v>
      </c>
      <c r="AF26" s="50">
        <v>3.72</v>
      </c>
      <c r="AG26" s="55">
        <v>1.55</v>
      </c>
      <c r="AH26" s="50">
        <v>1.75</v>
      </c>
      <c r="AI26" s="55">
        <v>1.36</v>
      </c>
      <c r="AJ26" s="55">
        <v>2.01</v>
      </c>
      <c r="AK26" s="50">
        <v>2.6</v>
      </c>
      <c r="AL26" s="55">
        <v>2.05</v>
      </c>
      <c r="AM26" s="49">
        <v>1.61</v>
      </c>
      <c r="AN26" s="49">
        <v>1.39</v>
      </c>
      <c r="AO26" s="49">
        <v>0.81</v>
      </c>
      <c r="AP26" s="56">
        <v>0.83</v>
      </c>
      <c r="AQ26" s="56">
        <v>1.32</v>
      </c>
      <c r="AR26" s="56">
        <v>1.96</v>
      </c>
      <c r="AS26" s="49">
        <v>2.22</v>
      </c>
      <c r="AT26" s="49">
        <v>0.81</v>
      </c>
      <c r="AU26" s="56">
        <v>1.32</v>
      </c>
      <c r="AV26" s="56">
        <v>1.4</v>
      </c>
      <c r="AW26" s="56">
        <v>1.278</v>
      </c>
      <c r="AX26" s="56">
        <v>1.306</v>
      </c>
      <c r="AY26" s="56">
        <v>1.168</v>
      </c>
      <c r="AZ26" s="50">
        <v>9.4</v>
      </c>
      <c r="BA26" s="50">
        <v>1517.15</v>
      </c>
      <c r="BB26" s="50">
        <v>2235.15</v>
      </c>
      <c r="BC26" s="50">
        <v>7.43</v>
      </c>
      <c r="BD26" s="50">
        <v>0.48</v>
      </c>
      <c r="BE26" s="50">
        <v>12.05</v>
      </c>
      <c r="BF26" s="59">
        <v>226.0</v>
      </c>
      <c r="BG26" s="59">
        <v>281.0</v>
      </c>
      <c r="BH26" s="50">
        <v>7.82</v>
      </c>
      <c r="BI26" s="59">
        <v>2.17E-5</v>
      </c>
      <c r="BJ26" s="50">
        <v>2.92</v>
      </c>
      <c r="BK26" s="59">
        <v>92.6</v>
      </c>
      <c r="BL26" s="59">
        <v>76.4</v>
      </c>
      <c r="BM26" s="59">
        <v>198.0</v>
      </c>
      <c r="BN26" s="53" t="s">
        <v>338</v>
      </c>
      <c r="BO26" s="59">
        <v>0.196</v>
      </c>
      <c r="BP26" s="59">
        <v>1.6E-6</v>
      </c>
      <c r="BQ26" s="59">
        <v>620000.0</v>
      </c>
      <c r="BR26" s="60">
        <v>13.3</v>
      </c>
      <c r="BS26" s="60">
        <v>0.0083</v>
      </c>
      <c r="BT26" s="60">
        <v>26.0</v>
      </c>
      <c r="BU26" s="60">
        <v>1.0</v>
      </c>
      <c r="BV26" s="60">
        <v>0.038461538461538464</v>
      </c>
      <c r="BW26" s="60">
        <v>1.0</v>
      </c>
      <c r="BX26" s="50">
        <v>9.698721745185995E-4</v>
      </c>
      <c r="BY26" s="50">
        <v>3.114364362939103E-7</v>
      </c>
      <c r="BZ26" s="62">
        <v>1593.0</v>
      </c>
      <c r="CA26" s="62">
        <v>1790.0</v>
      </c>
      <c r="CB26" s="50">
        <v>1.7</v>
      </c>
    </row>
    <row r="27" ht="14.25" customHeight="1">
      <c r="A27" s="47" t="s">
        <v>385</v>
      </c>
      <c r="B27" s="48" t="s">
        <v>386</v>
      </c>
      <c r="C27" s="49">
        <v>55.847</v>
      </c>
      <c r="D27" s="50">
        <v>26.0</v>
      </c>
      <c r="E27" s="50">
        <v>4.0</v>
      </c>
      <c r="F27" s="50">
        <v>8.0</v>
      </c>
      <c r="G27" s="51">
        <v>2.0</v>
      </c>
      <c r="H27" s="51">
        <v>1.0</v>
      </c>
      <c r="I27" s="50">
        <v>55.0</v>
      </c>
      <c r="J27" s="50">
        <v>4.0</v>
      </c>
      <c r="K27" s="50">
        <v>2.0</v>
      </c>
      <c r="L27" s="50">
        <v>0.0</v>
      </c>
      <c r="M27" s="50">
        <v>6.0</v>
      </c>
      <c r="N27" s="50">
        <v>0.0</v>
      </c>
      <c r="O27" s="52">
        <v>0.0</v>
      </c>
      <c r="P27" s="52">
        <v>6.0</v>
      </c>
      <c r="Q27" s="52">
        <v>4.0</v>
      </c>
      <c r="R27" s="52">
        <v>14.0</v>
      </c>
      <c r="S27" s="50">
        <v>8.0</v>
      </c>
      <c r="T27" s="50">
        <v>2.0</v>
      </c>
      <c r="U27" s="50">
        <v>5.0</v>
      </c>
      <c r="V27" s="52">
        <v>5.78</v>
      </c>
      <c r="W27" s="50">
        <v>5.78</v>
      </c>
      <c r="X27" s="54">
        <v>3.0478</v>
      </c>
      <c r="Y27" s="54">
        <v>2.777</v>
      </c>
      <c r="Z27" s="49">
        <v>7.9024</v>
      </c>
      <c r="AA27" s="54">
        <v>0.15555905511811025</v>
      </c>
      <c r="AB27" s="55">
        <v>4.06</v>
      </c>
      <c r="AC27" s="54">
        <v>3.5836</v>
      </c>
      <c r="AD27" s="50">
        <v>1.83</v>
      </c>
      <c r="AE27" s="50">
        <v>1.67</v>
      </c>
      <c r="AF27" s="50">
        <v>4.06</v>
      </c>
      <c r="AG27" s="55">
        <v>1.83</v>
      </c>
      <c r="AH27" s="50">
        <v>1.8</v>
      </c>
      <c r="AI27" s="55">
        <v>1.4</v>
      </c>
      <c r="AJ27" s="55">
        <v>3.9</v>
      </c>
      <c r="AK27" s="50">
        <v>2.76</v>
      </c>
      <c r="AL27" s="55">
        <v>2.31</v>
      </c>
      <c r="AM27" s="49">
        <v>1.56</v>
      </c>
      <c r="AN27" s="49">
        <v>1.25</v>
      </c>
      <c r="AO27" s="49">
        <v>0.75</v>
      </c>
      <c r="AP27" s="56">
        <v>0.78</v>
      </c>
      <c r="AQ27" s="56">
        <v>1.25</v>
      </c>
      <c r="AR27" s="57">
        <v>1.59</v>
      </c>
      <c r="AS27" s="49">
        <v>2.11</v>
      </c>
      <c r="AT27" s="49">
        <v>0.69</v>
      </c>
      <c r="AU27" s="56">
        <v>1.32</v>
      </c>
      <c r="AV27" s="56">
        <v>1.4</v>
      </c>
      <c r="AW27" s="56">
        <v>1.227</v>
      </c>
      <c r="AX27" s="56">
        <v>1.26</v>
      </c>
      <c r="AY27" s="56">
        <v>1.165</v>
      </c>
      <c r="AZ27" s="50">
        <v>8.4</v>
      </c>
      <c r="BA27" s="50">
        <v>1808.15</v>
      </c>
      <c r="BB27" s="50">
        <v>3023.15</v>
      </c>
      <c r="BC27" s="50">
        <v>7.86</v>
      </c>
      <c r="BD27" s="50">
        <v>0.44</v>
      </c>
      <c r="BE27" s="50">
        <v>13.8</v>
      </c>
      <c r="BF27" s="59">
        <v>349.6</v>
      </c>
      <c r="BG27" s="59">
        <v>418.0</v>
      </c>
      <c r="BH27" s="50">
        <v>80.2</v>
      </c>
      <c r="BI27" s="59">
        <v>1.18E-5</v>
      </c>
      <c r="BJ27" s="50">
        <v>4.28</v>
      </c>
      <c r="BK27" s="59">
        <v>166.0</v>
      </c>
      <c r="BL27" s="59">
        <v>82.0</v>
      </c>
      <c r="BM27" s="59">
        <v>211.0</v>
      </c>
      <c r="BN27" s="59">
        <v>0.608</v>
      </c>
      <c r="BO27" s="59">
        <v>0.49</v>
      </c>
      <c r="BP27" s="59">
        <v>9.700000000001E-8</v>
      </c>
      <c r="BQ27" s="59">
        <v>1.0E7</v>
      </c>
      <c r="BR27" s="60">
        <v>2.56</v>
      </c>
      <c r="BS27" s="60">
        <v>0.0015</v>
      </c>
      <c r="BT27" s="60">
        <v>28.0</v>
      </c>
      <c r="BU27" s="60">
        <v>4.0</v>
      </c>
      <c r="BV27" s="60">
        <v>0.14285714285714285</v>
      </c>
      <c r="BW27" s="60">
        <v>1.0</v>
      </c>
      <c r="BX27" s="50">
        <v>0.05747768781620753</v>
      </c>
      <c r="BY27" s="50">
        <v>2.9350030645499412E-5</v>
      </c>
      <c r="BZ27" s="62">
        <v>2424.0</v>
      </c>
      <c r="CA27" s="62">
        <v>1373.0</v>
      </c>
      <c r="CB27" s="50">
        <v>6.7</v>
      </c>
    </row>
    <row r="28" ht="14.25" customHeight="1">
      <c r="A28" s="47" t="s">
        <v>387</v>
      </c>
      <c r="B28" s="48" t="s">
        <v>388</v>
      </c>
      <c r="C28" s="49">
        <v>58.9332</v>
      </c>
      <c r="D28" s="50">
        <v>27.0</v>
      </c>
      <c r="E28" s="50">
        <v>4.0</v>
      </c>
      <c r="F28" s="50">
        <v>9.0</v>
      </c>
      <c r="G28" s="51">
        <v>2.0</v>
      </c>
      <c r="H28" s="51">
        <v>1.0</v>
      </c>
      <c r="I28" s="50">
        <v>58.0</v>
      </c>
      <c r="J28" s="50">
        <v>4.0</v>
      </c>
      <c r="K28" s="50">
        <v>2.0</v>
      </c>
      <c r="L28" s="50">
        <v>0.0</v>
      </c>
      <c r="M28" s="50">
        <v>7.0</v>
      </c>
      <c r="N28" s="50">
        <v>0.0</v>
      </c>
      <c r="O28" s="52">
        <v>0.0</v>
      </c>
      <c r="P28" s="52">
        <v>6.0</v>
      </c>
      <c r="Q28" s="52">
        <v>3.0</v>
      </c>
      <c r="R28" s="52">
        <v>14.0</v>
      </c>
      <c r="S28" s="50">
        <v>9.0</v>
      </c>
      <c r="T28" s="50">
        <v>2.0</v>
      </c>
      <c r="U28" s="50">
        <v>4.0</v>
      </c>
      <c r="V28" s="52">
        <v>5.78</v>
      </c>
      <c r="W28" s="50">
        <v>5.78</v>
      </c>
      <c r="X28" s="54">
        <v>3.046</v>
      </c>
      <c r="Y28" s="54">
        <v>0.885</v>
      </c>
      <c r="Z28" s="49">
        <v>7.881</v>
      </c>
      <c r="AA28" s="54">
        <v>0.6636631578947368</v>
      </c>
      <c r="AB28" s="55">
        <v>4.3</v>
      </c>
      <c r="AC28" s="54">
        <v>3.7305</v>
      </c>
      <c r="AD28" s="50">
        <v>1.88</v>
      </c>
      <c r="AE28" s="50">
        <v>1.72</v>
      </c>
      <c r="AF28" s="50">
        <v>4.3</v>
      </c>
      <c r="AG28" s="55">
        <v>1.88</v>
      </c>
      <c r="AH28" s="50">
        <v>1.84</v>
      </c>
      <c r="AI28" s="55">
        <v>1.44</v>
      </c>
      <c r="AJ28" s="55">
        <v>3.03</v>
      </c>
      <c r="AK28" s="50">
        <v>3.13</v>
      </c>
      <c r="AL28" s="55">
        <v>2.6</v>
      </c>
      <c r="AM28" s="49">
        <v>1.52</v>
      </c>
      <c r="AN28" s="49">
        <v>1.26</v>
      </c>
      <c r="AO28" s="49">
        <v>0.79</v>
      </c>
      <c r="AP28" s="56">
        <v>0.75</v>
      </c>
      <c r="AQ28" s="56">
        <v>1.25</v>
      </c>
      <c r="AR28" s="56">
        <v>2.0</v>
      </c>
      <c r="AS28" s="49">
        <v>2.02</v>
      </c>
      <c r="AT28" s="49">
        <v>0.54</v>
      </c>
      <c r="AU28" s="56">
        <v>1.26</v>
      </c>
      <c r="AV28" s="56">
        <v>1.35</v>
      </c>
      <c r="AW28" s="56">
        <v>1.181</v>
      </c>
      <c r="AX28" s="56">
        <v>1.252</v>
      </c>
      <c r="AY28" s="56">
        <v>1.157</v>
      </c>
      <c r="AZ28" s="50">
        <v>7.5</v>
      </c>
      <c r="BA28" s="50">
        <v>1768.15</v>
      </c>
      <c r="BB28" s="50">
        <v>3143.15</v>
      </c>
      <c r="BC28" s="50">
        <v>8.9</v>
      </c>
      <c r="BD28" s="50">
        <v>0.42</v>
      </c>
      <c r="BE28" s="50">
        <v>16.19</v>
      </c>
      <c r="BF28" s="59">
        <v>376.5</v>
      </c>
      <c r="BG28" s="59">
        <v>425.0</v>
      </c>
      <c r="BH28" s="50">
        <v>100.0</v>
      </c>
      <c r="BI28" s="59">
        <v>1.3E-5</v>
      </c>
      <c r="BJ28" s="50">
        <v>4.39</v>
      </c>
      <c r="BK28" s="59">
        <v>182.0</v>
      </c>
      <c r="BL28" s="59">
        <v>76.0</v>
      </c>
      <c r="BM28" s="59">
        <v>209.0</v>
      </c>
      <c r="BN28" s="59">
        <v>1.043</v>
      </c>
      <c r="BO28" s="59">
        <v>0.7</v>
      </c>
      <c r="BP28" s="59">
        <v>6.000000000002E-8</v>
      </c>
      <c r="BQ28" s="59">
        <v>1.7E7</v>
      </c>
      <c r="BR28" s="60">
        <v>37.2</v>
      </c>
      <c r="BS28" s="60">
        <v>0.021</v>
      </c>
      <c r="BT28" s="60">
        <v>29.0</v>
      </c>
      <c r="BU28" s="60">
        <v>1.0</v>
      </c>
      <c r="BV28" s="60">
        <v>0.034482758620689655</v>
      </c>
      <c r="BW28" s="60">
        <v>1.0</v>
      </c>
      <c r="BX28" s="50">
        <v>2.5522951961015778E-5</v>
      </c>
      <c r="BY28" s="50">
        <v>7.337507661374848E-8</v>
      </c>
      <c r="BZ28" s="62">
        <v>3052.0</v>
      </c>
      <c r="CA28" s="62">
        <v>2655.0</v>
      </c>
      <c r="CB28" s="50">
        <v>21.0</v>
      </c>
    </row>
    <row r="29" ht="14.25" customHeight="1">
      <c r="A29" s="47" t="s">
        <v>389</v>
      </c>
      <c r="B29" s="48" t="s">
        <v>390</v>
      </c>
      <c r="C29" s="49">
        <v>58.6934</v>
      </c>
      <c r="D29" s="50">
        <v>28.0</v>
      </c>
      <c r="E29" s="50">
        <v>4.0</v>
      </c>
      <c r="F29" s="50">
        <v>10.0</v>
      </c>
      <c r="G29" s="51">
        <v>2.0</v>
      </c>
      <c r="H29" s="51">
        <v>1.0</v>
      </c>
      <c r="I29" s="50">
        <v>61.0</v>
      </c>
      <c r="J29" s="50">
        <v>4.0</v>
      </c>
      <c r="K29" s="50">
        <v>2.0</v>
      </c>
      <c r="L29" s="50">
        <v>0.0</v>
      </c>
      <c r="M29" s="50">
        <v>8.0</v>
      </c>
      <c r="N29" s="50">
        <v>0.0</v>
      </c>
      <c r="O29" s="52">
        <v>0.0</v>
      </c>
      <c r="P29" s="52">
        <v>6.0</v>
      </c>
      <c r="Q29" s="52">
        <v>2.0</v>
      </c>
      <c r="R29" s="52">
        <v>14.0</v>
      </c>
      <c r="S29" s="50">
        <v>10.0</v>
      </c>
      <c r="T29" s="50">
        <v>2.0</v>
      </c>
      <c r="U29" s="50">
        <v>3.0</v>
      </c>
      <c r="V29" s="52">
        <v>5.78</v>
      </c>
      <c r="W29" s="50">
        <v>5.78</v>
      </c>
      <c r="X29" s="54">
        <v>2.996</v>
      </c>
      <c r="Y29" s="54">
        <v>0.898</v>
      </c>
      <c r="Z29" s="49">
        <v>7.6398</v>
      </c>
      <c r="AA29" s="54">
        <v>1.161000814111262</v>
      </c>
      <c r="AB29" s="55">
        <v>4.4</v>
      </c>
      <c r="AC29" s="54">
        <v>3.8584</v>
      </c>
      <c r="AD29" s="50">
        <v>1.91</v>
      </c>
      <c r="AE29" s="50">
        <v>1.76</v>
      </c>
      <c r="AF29" s="50">
        <v>4.4</v>
      </c>
      <c r="AG29" s="55">
        <v>1.91</v>
      </c>
      <c r="AH29" s="50">
        <v>1.88</v>
      </c>
      <c r="AI29" s="55">
        <v>1.47</v>
      </c>
      <c r="AJ29" s="55">
        <v>3.48</v>
      </c>
      <c r="AK29" s="50">
        <v>3.33</v>
      </c>
      <c r="AL29" s="55">
        <v>2.92</v>
      </c>
      <c r="AM29" s="49">
        <v>1.49</v>
      </c>
      <c r="AN29" s="49">
        <v>1.21</v>
      </c>
      <c r="AO29" s="49">
        <v>0.74</v>
      </c>
      <c r="AP29" s="56">
        <v>0.6</v>
      </c>
      <c r="AQ29" s="56">
        <v>1.28</v>
      </c>
      <c r="AR29" s="56">
        <v>1.63</v>
      </c>
      <c r="AS29" s="49">
        <v>2.18</v>
      </c>
      <c r="AT29" s="49">
        <v>0.7</v>
      </c>
      <c r="AU29" s="56">
        <v>1.24</v>
      </c>
      <c r="AV29" s="56">
        <v>1.35</v>
      </c>
      <c r="AW29" s="56">
        <v>1.139</v>
      </c>
      <c r="AX29" s="56">
        <v>1.244</v>
      </c>
      <c r="AY29" s="56">
        <v>1.149</v>
      </c>
      <c r="AZ29" s="50">
        <v>6.8</v>
      </c>
      <c r="BA29" s="50">
        <v>1726.15</v>
      </c>
      <c r="BB29" s="50">
        <v>3003.15</v>
      </c>
      <c r="BC29" s="50">
        <v>8.9</v>
      </c>
      <c r="BD29" s="50">
        <v>0.44</v>
      </c>
      <c r="BE29" s="50">
        <v>17.47</v>
      </c>
      <c r="BF29" s="59">
        <v>370.4</v>
      </c>
      <c r="BG29" s="59">
        <v>430.0</v>
      </c>
      <c r="BH29" s="50">
        <v>90.7</v>
      </c>
      <c r="BI29" s="59">
        <v>1.34E-5</v>
      </c>
      <c r="BJ29" s="50">
        <v>4.44</v>
      </c>
      <c r="BK29" s="59">
        <v>177.0</v>
      </c>
      <c r="BL29" s="59">
        <v>76.0</v>
      </c>
      <c r="BM29" s="59">
        <v>200.0</v>
      </c>
      <c r="BN29" s="59">
        <v>0.638</v>
      </c>
      <c r="BO29" s="59">
        <v>0.7</v>
      </c>
      <c r="BP29" s="59">
        <v>7.000000000002E-8</v>
      </c>
      <c r="BQ29" s="59">
        <v>1.4E7</v>
      </c>
      <c r="BR29" s="60">
        <v>4.5</v>
      </c>
      <c r="BS29" s="60">
        <v>0.0026</v>
      </c>
      <c r="BT29" s="60">
        <v>31.0</v>
      </c>
      <c r="BU29" s="60">
        <v>5.0</v>
      </c>
      <c r="BV29" s="60">
        <v>0.16129032258064516</v>
      </c>
      <c r="BW29" s="60">
        <v>1.0</v>
      </c>
      <c r="BX29" s="50">
        <v>8.575711858901301E-5</v>
      </c>
      <c r="BY29" s="50">
        <v>1.6077294564701334E-6</v>
      </c>
      <c r="BZ29" s="62">
        <v>988.0</v>
      </c>
      <c r="CA29" s="62">
        <v>1479.0</v>
      </c>
      <c r="CB29" s="50">
        <v>7.7</v>
      </c>
    </row>
    <row r="30" ht="14.25" customHeight="1">
      <c r="A30" s="47" t="s">
        <v>391</v>
      </c>
      <c r="B30" s="48" t="s">
        <v>392</v>
      </c>
      <c r="C30" s="49">
        <v>63.546</v>
      </c>
      <c r="D30" s="50">
        <v>29.0</v>
      </c>
      <c r="E30" s="50">
        <v>4.0</v>
      </c>
      <c r="F30" s="50">
        <v>11.0</v>
      </c>
      <c r="G30" s="51">
        <v>2.0</v>
      </c>
      <c r="H30" s="51">
        <v>1.0</v>
      </c>
      <c r="I30" s="50">
        <v>64.0</v>
      </c>
      <c r="J30" s="50">
        <v>4.0</v>
      </c>
      <c r="K30" s="50">
        <v>1.0</v>
      </c>
      <c r="L30" s="50">
        <v>0.0</v>
      </c>
      <c r="M30" s="50">
        <v>10.0</v>
      </c>
      <c r="N30" s="50">
        <v>0.0</v>
      </c>
      <c r="O30" s="52">
        <v>1.0</v>
      </c>
      <c r="P30" s="52">
        <v>6.0</v>
      </c>
      <c r="Q30" s="52">
        <v>0.0</v>
      </c>
      <c r="R30" s="52">
        <v>14.0</v>
      </c>
      <c r="S30" s="50">
        <v>11.0</v>
      </c>
      <c r="T30" s="50">
        <v>1.0</v>
      </c>
      <c r="U30" s="50">
        <v>2.0</v>
      </c>
      <c r="V30" s="52">
        <v>5.44</v>
      </c>
      <c r="W30" s="50">
        <v>5.44</v>
      </c>
      <c r="X30" s="54">
        <v>3.013</v>
      </c>
      <c r="Y30" s="54">
        <v>0.893</v>
      </c>
      <c r="Z30" s="49">
        <v>7.7264</v>
      </c>
      <c r="AA30" s="54">
        <v>1.2341497986577181</v>
      </c>
      <c r="AB30" s="55">
        <v>4.48</v>
      </c>
      <c r="AC30" s="54">
        <v>4.0026</v>
      </c>
      <c r="AD30" s="50">
        <v>1.9</v>
      </c>
      <c r="AE30" s="50">
        <v>1.08</v>
      </c>
      <c r="AF30" s="50">
        <v>4.48</v>
      </c>
      <c r="AG30" s="55">
        <v>1.9</v>
      </c>
      <c r="AH30" s="50">
        <v>1.85</v>
      </c>
      <c r="AI30" s="55">
        <v>1.51</v>
      </c>
      <c r="AJ30" s="55">
        <v>2.91</v>
      </c>
      <c r="AK30" s="50">
        <v>2.2</v>
      </c>
      <c r="AL30" s="55">
        <v>3.25</v>
      </c>
      <c r="AM30" s="49">
        <v>1.45</v>
      </c>
      <c r="AN30" s="49">
        <v>1.38</v>
      </c>
      <c r="AO30" s="49">
        <v>0.87</v>
      </c>
      <c r="AP30" s="56">
        <v>0.77</v>
      </c>
      <c r="AQ30" s="56">
        <v>1.27</v>
      </c>
      <c r="AR30" s="56">
        <v>1.4</v>
      </c>
      <c r="AS30" s="49">
        <v>2.04</v>
      </c>
      <c r="AT30" s="49">
        <v>0.71</v>
      </c>
      <c r="AU30" s="56">
        <v>1.32</v>
      </c>
      <c r="AV30" s="56">
        <v>1.35</v>
      </c>
      <c r="AW30" s="56">
        <v>1.1909999999999998</v>
      </c>
      <c r="AX30" s="56">
        <v>1.276</v>
      </c>
      <c r="AY30" s="56">
        <v>1.173</v>
      </c>
      <c r="AZ30" s="50">
        <v>6.7</v>
      </c>
      <c r="BA30" s="50">
        <v>1356.15</v>
      </c>
      <c r="BB30" s="50">
        <v>2840.15</v>
      </c>
      <c r="BC30" s="50">
        <v>8.96</v>
      </c>
      <c r="BD30" s="50">
        <v>0.38</v>
      </c>
      <c r="BE30" s="50">
        <v>13.05</v>
      </c>
      <c r="BF30" s="59">
        <v>300.3</v>
      </c>
      <c r="BG30" s="59">
        <v>338.0</v>
      </c>
      <c r="BH30" s="50">
        <v>401.0</v>
      </c>
      <c r="BI30" s="59">
        <v>1.65E-5</v>
      </c>
      <c r="BJ30" s="50">
        <v>3.49</v>
      </c>
      <c r="BK30" s="59">
        <v>138.0</v>
      </c>
      <c r="BL30" s="59">
        <v>48.0</v>
      </c>
      <c r="BM30" s="59">
        <v>130.0</v>
      </c>
      <c r="BN30" s="59">
        <v>0.369</v>
      </c>
      <c r="BO30" s="59">
        <v>0.874</v>
      </c>
      <c r="BP30" s="59">
        <v>1.7E-8</v>
      </c>
      <c r="BQ30" s="59">
        <v>5.9E7</v>
      </c>
      <c r="BR30" s="60">
        <v>3.78</v>
      </c>
      <c r="BS30" s="60">
        <v>0.0021</v>
      </c>
      <c r="BT30" s="60">
        <v>29.0</v>
      </c>
      <c r="BU30" s="60">
        <v>2.0</v>
      </c>
      <c r="BV30" s="60">
        <v>0.06896551724137931</v>
      </c>
      <c r="BW30" s="60">
        <v>1.0</v>
      </c>
      <c r="BX30" s="50">
        <v>6.125508470643786E-5</v>
      </c>
      <c r="BY30" s="50">
        <v>1.7023017774389653E-8</v>
      </c>
      <c r="BZ30" s="62">
        <v>1576.0</v>
      </c>
      <c r="CA30" s="62">
        <v>1524.0</v>
      </c>
      <c r="CB30" s="50">
        <v>2.7</v>
      </c>
    </row>
    <row r="31" ht="14.25" customHeight="1">
      <c r="A31" s="47" t="s">
        <v>393</v>
      </c>
      <c r="B31" s="48" t="s">
        <v>394</v>
      </c>
      <c r="C31" s="49">
        <v>65.38</v>
      </c>
      <c r="D31" s="50">
        <v>30.0</v>
      </c>
      <c r="E31" s="50">
        <v>4.0</v>
      </c>
      <c r="F31" s="50">
        <v>12.0</v>
      </c>
      <c r="G31" s="51">
        <v>2.0</v>
      </c>
      <c r="H31" s="51">
        <v>1.0</v>
      </c>
      <c r="I31" s="50">
        <v>69.0</v>
      </c>
      <c r="J31" s="50">
        <v>4.0</v>
      </c>
      <c r="K31" s="50">
        <v>2.0</v>
      </c>
      <c r="L31" s="50">
        <v>0.0</v>
      </c>
      <c r="M31" s="50">
        <v>10.0</v>
      </c>
      <c r="N31" s="50">
        <v>0.0</v>
      </c>
      <c r="O31" s="52">
        <v>0.0</v>
      </c>
      <c r="P31" s="52">
        <v>6.0</v>
      </c>
      <c r="Q31" s="52">
        <v>0.0</v>
      </c>
      <c r="R31" s="52">
        <v>14.0</v>
      </c>
      <c r="S31" s="50">
        <v>12.0</v>
      </c>
      <c r="T31" s="50">
        <v>2.0</v>
      </c>
      <c r="U31" s="50">
        <v>1.0</v>
      </c>
      <c r="V31" s="52">
        <v>4.44</v>
      </c>
      <c r="W31" s="50">
        <v>4.44</v>
      </c>
      <c r="X31" s="54">
        <v>3.322</v>
      </c>
      <c r="Y31" s="54">
        <v>0.81</v>
      </c>
      <c r="Z31" s="49">
        <v>9.3942</v>
      </c>
      <c r="AA31" s="54">
        <v>-0.6221324503311259</v>
      </c>
      <c r="AB31" s="55">
        <v>4.45</v>
      </c>
      <c r="AC31" s="54">
        <v>4.1332</v>
      </c>
      <c r="AD31" s="50">
        <v>1.65</v>
      </c>
      <c r="AE31" s="50">
        <v>1.44</v>
      </c>
      <c r="AF31" s="50">
        <v>4.45</v>
      </c>
      <c r="AG31" s="55">
        <v>1.65</v>
      </c>
      <c r="AH31" s="50">
        <v>1.59</v>
      </c>
      <c r="AI31" s="55">
        <v>1.46</v>
      </c>
      <c r="AJ31" s="55">
        <v>3.13</v>
      </c>
      <c r="AK31" s="50">
        <v>1.2</v>
      </c>
      <c r="AL31" s="55">
        <v>3.61</v>
      </c>
      <c r="AM31" s="49">
        <v>1.42</v>
      </c>
      <c r="AN31" s="49">
        <v>1.31</v>
      </c>
      <c r="AO31" s="49">
        <v>0.88</v>
      </c>
      <c r="AP31" s="56">
        <v>0.74</v>
      </c>
      <c r="AQ31" s="56">
        <v>1.4</v>
      </c>
      <c r="AR31" s="56">
        <v>1.39</v>
      </c>
      <c r="AS31" s="49">
        <v>1.88</v>
      </c>
      <c r="AT31" s="49">
        <v>0.74</v>
      </c>
      <c r="AU31" s="56">
        <v>1.22</v>
      </c>
      <c r="AV31" s="56">
        <v>1.35</v>
      </c>
      <c r="AW31" s="56">
        <v>1.065</v>
      </c>
      <c r="AX31" s="56">
        <v>1.379</v>
      </c>
      <c r="AY31" s="56">
        <v>1.249</v>
      </c>
      <c r="AZ31" s="50">
        <v>6.4</v>
      </c>
      <c r="BA31" s="50">
        <v>692.75</v>
      </c>
      <c r="BB31" s="50">
        <v>1179.15</v>
      </c>
      <c r="BC31" s="50">
        <v>7.13</v>
      </c>
      <c r="BD31" s="50">
        <v>0.39</v>
      </c>
      <c r="BE31" s="50">
        <v>7.322</v>
      </c>
      <c r="BF31" s="59">
        <v>115.3</v>
      </c>
      <c r="BG31" s="59">
        <v>131.0</v>
      </c>
      <c r="BH31" s="50">
        <v>116.0</v>
      </c>
      <c r="BI31" s="59">
        <v>3.02E-5</v>
      </c>
      <c r="BJ31" s="50">
        <v>1.35</v>
      </c>
      <c r="BK31" s="59">
        <v>69.4</v>
      </c>
      <c r="BL31" s="59">
        <v>43.0</v>
      </c>
      <c r="BM31" s="59">
        <v>108.0</v>
      </c>
      <c r="BN31" s="59">
        <v>8.01203305</v>
      </c>
      <c r="BO31" s="59">
        <v>0.412</v>
      </c>
      <c r="BP31" s="59">
        <v>5.900000000001E-8</v>
      </c>
      <c r="BQ31" s="59">
        <v>1.7E7</v>
      </c>
      <c r="BR31" s="60">
        <v>1.1</v>
      </c>
      <c r="BS31" s="60">
        <v>5.5E-4</v>
      </c>
      <c r="BT31" s="60">
        <v>30.0</v>
      </c>
      <c r="BU31" s="60">
        <v>5.0</v>
      </c>
      <c r="BV31" s="60">
        <v>0.16666666666666666</v>
      </c>
      <c r="BW31" s="60">
        <v>1.0</v>
      </c>
      <c r="BX31" s="50">
        <v>7.146426549084417E-5</v>
      </c>
      <c r="BY31" s="50">
        <v>4.1090042903699113E-8</v>
      </c>
      <c r="BZ31" s="62">
        <v>1574.0</v>
      </c>
      <c r="CA31" s="62">
        <v>1895.0</v>
      </c>
      <c r="CB31" s="50">
        <v>3.7</v>
      </c>
    </row>
    <row r="32" ht="14.25" customHeight="1">
      <c r="A32" s="47" t="s">
        <v>395</v>
      </c>
      <c r="B32" s="48" t="s">
        <v>396</v>
      </c>
      <c r="C32" s="49">
        <v>69.723</v>
      </c>
      <c r="D32" s="50">
        <v>31.0</v>
      </c>
      <c r="E32" s="50">
        <v>4.0</v>
      </c>
      <c r="F32" s="50">
        <v>13.0</v>
      </c>
      <c r="G32" s="51">
        <v>1.0</v>
      </c>
      <c r="H32" s="51">
        <v>1.0</v>
      </c>
      <c r="I32" s="50">
        <v>74.0</v>
      </c>
      <c r="J32" s="50">
        <v>5.0</v>
      </c>
      <c r="K32" s="50">
        <v>2.0</v>
      </c>
      <c r="L32" s="50">
        <v>1.0</v>
      </c>
      <c r="M32" s="50">
        <v>10.0</v>
      </c>
      <c r="N32" s="50">
        <v>0.0</v>
      </c>
      <c r="O32" s="52">
        <v>0.0</v>
      </c>
      <c r="P32" s="52">
        <v>5.0</v>
      </c>
      <c r="Q32" s="52">
        <v>0.0</v>
      </c>
      <c r="R32" s="52">
        <v>14.0</v>
      </c>
      <c r="S32" s="50">
        <v>13.0</v>
      </c>
      <c r="T32" s="50">
        <v>3.0</v>
      </c>
      <c r="U32" s="50">
        <v>3.0</v>
      </c>
      <c r="V32" s="52">
        <v>3.44</v>
      </c>
      <c r="W32" s="50">
        <v>3.44</v>
      </c>
      <c r="X32" s="54">
        <v>2.655</v>
      </c>
      <c r="Y32" s="54">
        <v>1.014</v>
      </c>
      <c r="Z32" s="49">
        <v>5.9993</v>
      </c>
      <c r="AA32" s="54">
        <v>0.42482089810017265</v>
      </c>
      <c r="AB32" s="55">
        <v>3.2</v>
      </c>
      <c r="AC32" s="54">
        <v>4.6638</v>
      </c>
      <c r="AD32" s="50">
        <v>1.81</v>
      </c>
      <c r="AE32" s="50">
        <v>1.7</v>
      </c>
      <c r="AF32" s="50">
        <v>3.2</v>
      </c>
      <c r="AG32" s="55">
        <v>1.81</v>
      </c>
      <c r="AH32" s="50">
        <v>1.756</v>
      </c>
      <c r="AI32" s="55">
        <v>1.56</v>
      </c>
      <c r="AJ32" s="55">
        <v>3.3</v>
      </c>
      <c r="AK32" s="50">
        <v>1.4</v>
      </c>
      <c r="AL32" s="55">
        <v>5.49</v>
      </c>
      <c r="AM32" s="49">
        <v>1.36</v>
      </c>
      <c r="AN32" s="49">
        <v>1.26</v>
      </c>
      <c r="AO32" s="49">
        <v>0.76</v>
      </c>
      <c r="AP32" s="56">
        <v>0.62</v>
      </c>
      <c r="AQ32" s="56">
        <v>1.34</v>
      </c>
      <c r="AR32" s="56">
        <v>1.87</v>
      </c>
      <c r="AS32" s="49">
        <v>1.7</v>
      </c>
      <c r="AT32" s="49">
        <v>0.76</v>
      </c>
      <c r="AU32" s="56">
        <v>1.22</v>
      </c>
      <c r="AV32" s="56">
        <v>1.3</v>
      </c>
      <c r="AW32" s="56">
        <v>1.254</v>
      </c>
      <c r="AX32" s="56">
        <v>1.408</v>
      </c>
      <c r="AY32" s="56">
        <v>1.245</v>
      </c>
      <c r="AZ32" s="50">
        <v>8.1</v>
      </c>
      <c r="BA32" s="50">
        <v>302.95</v>
      </c>
      <c r="BB32" s="50">
        <v>2676.15</v>
      </c>
      <c r="BC32" s="50">
        <v>5.9</v>
      </c>
      <c r="BD32" s="50">
        <v>0.37</v>
      </c>
      <c r="BE32" s="50">
        <v>5.59</v>
      </c>
      <c r="BF32" s="59">
        <v>258.7</v>
      </c>
      <c r="BG32" s="59">
        <v>286.0</v>
      </c>
      <c r="BH32" s="50">
        <v>40.6</v>
      </c>
      <c r="BI32" s="59">
        <v>1.2E-6</v>
      </c>
      <c r="BJ32" s="50">
        <v>2.81</v>
      </c>
      <c r="BK32" s="59">
        <v>56.9</v>
      </c>
      <c r="BL32" s="53" t="s">
        <v>338</v>
      </c>
      <c r="BM32" s="53" t="s">
        <v>338</v>
      </c>
      <c r="BN32" s="53" t="s">
        <v>338</v>
      </c>
      <c r="BO32" s="59">
        <v>0.06</v>
      </c>
      <c r="BP32" s="59">
        <v>1.4E-7</v>
      </c>
      <c r="BQ32" s="59">
        <v>7100000.0</v>
      </c>
      <c r="BR32" s="60">
        <v>2.9</v>
      </c>
      <c r="BS32" s="60">
        <v>0.0015</v>
      </c>
      <c r="BT32" s="60">
        <v>31.0</v>
      </c>
      <c r="BU32" s="60">
        <v>2.0</v>
      </c>
      <c r="BV32" s="60">
        <v>0.06451612903225806</v>
      </c>
      <c r="BW32" s="60">
        <v>1.0</v>
      </c>
      <c r="BX32" s="50">
        <v>1.939744349037199E-5</v>
      </c>
      <c r="BY32" s="50">
        <v>1.232701287110975E-9</v>
      </c>
      <c r="BZ32" s="62">
        <v>5500.0</v>
      </c>
      <c r="CA32" s="62">
        <v>1895.0</v>
      </c>
      <c r="CB32" s="50">
        <v>220.0</v>
      </c>
    </row>
    <row r="33" ht="14.25" customHeight="1">
      <c r="A33" s="47" t="s">
        <v>397</v>
      </c>
      <c r="B33" s="48" t="s">
        <v>398</v>
      </c>
      <c r="C33" s="49">
        <v>72.63</v>
      </c>
      <c r="D33" s="50">
        <v>32.0</v>
      </c>
      <c r="E33" s="50">
        <v>4.0</v>
      </c>
      <c r="F33" s="50">
        <v>14.0</v>
      </c>
      <c r="G33" s="51">
        <v>1.0</v>
      </c>
      <c r="H33" s="51">
        <v>2.0</v>
      </c>
      <c r="I33" s="50">
        <v>79.0</v>
      </c>
      <c r="J33" s="50">
        <v>6.0</v>
      </c>
      <c r="K33" s="50">
        <v>2.0</v>
      </c>
      <c r="L33" s="50">
        <v>2.0</v>
      </c>
      <c r="M33" s="50">
        <v>10.0</v>
      </c>
      <c r="N33" s="50">
        <v>0.0</v>
      </c>
      <c r="O33" s="52">
        <v>0.0</v>
      </c>
      <c r="P33" s="52">
        <v>4.0</v>
      </c>
      <c r="Q33" s="52">
        <v>0.0</v>
      </c>
      <c r="R33" s="52">
        <v>14.0</v>
      </c>
      <c r="S33" s="50">
        <v>14.0</v>
      </c>
      <c r="T33" s="50">
        <v>4.0</v>
      </c>
      <c r="U33" s="50">
        <v>4.0</v>
      </c>
      <c r="V33" s="52">
        <v>4.0</v>
      </c>
      <c r="W33" s="50">
        <v>4.0</v>
      </c>
      <c r="X33" s="54">
        <v>3.046</v>
      </c>
      <c r="Y33" s="54">
        <v>0.884</v>
      </c>
      <c r="Z33" s="49">
        <v>7.8994</v>
      </c>
      <c r="AA33" s="54">
        <v>1.2336333333333334</v>
      </c>
      <c r="AB33" s="55">
        <v>4.6</v>
      </c>
      <c r="AC33" s="54">
        <v>5.1318</v>
      </c>
      <c r="AD33" s="50">
        <v>2.01</v>
      </c>
      <c r="AE33" s="50">
        <v>1.99</v>
      </c>
      <c r="AF33" s="50">
        <v>4.6</v>
      </c>
      <c r="AG33" s="55">
        <v>2.01</v>
      </c>
      <c r="AH33" s="50">
        <v>1.994</v>
      </c>
      <c r="AI33" s="55">
        <v>1.81</v>
      </c>
      <c r="AJ33" s="55">
        <v>4.24</v>
      </c>
      <c r="AK33" s="50">
        <v>1.7</v>
      </c>
      <c r="AL33" s="55">
        <v>7.92</v>
      </c>
      <c r="AM33" s="49">
        <v>1.25</v>
      </c>
      <c r="AN33" s="49">
        <v>1.22</v>
      </c>
      <c r="AO33" s="49">
        <v>0.87</v>
      </c>
      <c r="AP33" s="56">
        <v>0.73</v>
      </c>
      <c r="AQ33" s="56">
        <v>1.14</v>
      </c>
      <c r="AR33" s="56">
        <v>2.11</v>
      </c>
      <c r="AS33" s="49">
        <v>1.56</v>
      </c>
      <c r="AT33" s="49">
        <v>0.53</v>
      </c>
      <c r="AU33" s="56">
        <v>1.2</v>
      </c>
      <c r="AV33" s="56">
        <v>1.25</v>
      </c>
      <c r="AW33" s="56">
        <v>1.09</v>
      </c>
      <c r="AX33" s="56">
        <v>1.366</v>
      </c>
      <c r="AY33" s="56">
        <v>1.223</v>
      </c>
      <c r="AZ33" s="50">
        <v>6.1</v>
      </c>
      <c r="BA33" s="50">
        <v>1220.55</v>
      </c>
      <c r="BB33" s="50">
        <v>3103.15</v>
      </c>
      <c r="BC33" s="50">
        <v>5.32</v>
      </c>
      <c r="BD33" s="50">
        <v>0.32</v>
      </c>
      <c r="BE33" s="50">
        <v>36.94</v>
      </c>
      <c r="BF33" s="59">
        <v>330.9</v>
      </c>
      <c r="BG33" s="59">
        <v>377.0</v>
      </c>
      <c r="BH33" s="50">
        <v>59.9</v>
      </c>
      <c r="BI33" s="59">
        <v>6.0E-6</v>
      </c>
      <c r="BJ33" s="50">
        <v>3.85</v>
      </c>
      <c r="BK33" s="59">
        <v>77.2</v>
      </c>
      <c r="BL33" s="53" t="s">
        <v>338</v>
      </c>
      <c r="BM33" s="53" t="s">
        <v>338</v>
      </c>
      <c r="BN33" s="53" t="s">
        <v>338</v>
      </c>
      <c r="BO33" s="59">
        <v>7.2734024988709995</v>
      </c>
      <c r="BP33" s="59">
        <v>5.0E-4</v>
      </c>
      <c r="BQ33" s="59">
        <v>2000.0</v>
      </c>
      <c r="BR33" s="60">
        <v>2.2</v>
      </c>
      <c r="BS33" s="60">
        <v>0.0011</v>
      </c>
      <c r="BT33" s="60">
        <v>32.0</v>
      </c>
      <c r="BU33" s="60">
        <v>4.0</v>
      </c>
      <c r="BV33" s="60">
        <v>0.125</v>
      </c>
      <c r="BW33" s="60">
        <v>0.9239</v>
      </c>
      <c r="BX33" s="50">
        <v>1.5313771176609465E-6</v>
      </c>
      <c r="BY33" s="50">
        <v>3.880726274238254E-9</v>
      </c>
      <c r="BZ33" s="62">
        <v>5267.0</v>
      </c>
      <c r="CA33" s="62">
        <v>1895.0</v>
      </c>
      <c r="CB33" s="50">
        <v>360.0</v>
      </c>
    </row>
    <row r="34" ht="14.25" customHeight="1">
      <c r="A34" s="47" t="s">
        <v>399</v>
      </c>
      <c r="B34" s="48" t="s">
        <v>400</v>
      </c>
      <c r="C34" s="49">
        <v>74.92159</v>
      </c>
      <c r="D34" s="50">
        <v>33.0</v>
      </c>
      <c r="E34" s="50">
        <v>4.0</v>
      </c>
      <c r="F34" s="50">
        <v>15.0</v>
      </c>
      <c r="G34" s="51">
        <v>1.0</v>
      </c>
      <c r="H34" s="51">
        <v>2.0</v>
      </c>
      <c r="I34" s="50">
        <v>84.0</v>
      </c>
      <c r="J34" s="50">
        <v>6.0</v>
      </c>
      <c r="K34" s="50">
        <v>2.0</v>
      </c>
      <c r="L34" s="50">
        <v>3.0</v>
      </c>
      <c r="M34" s="50">
        <v>10.0</v>
      </c>
      <c r="N34" s="50">
        <v>0.0</v>
      </c>
      <c r="O34" s="52">
        <v>0.0</v>
      </c>
      <c r="P34" s="52">
        <v>3.0</v>
      </c>
      <c r="Q34" s="52">
        <v>0.0</v>
      </c>
      <c r="R34" s="52">
        <v>14.0</v>
      </c>
      <c r="S34" s="50">
        <v>15.0</v>
      </c>
      <c r="T34" s="50">
        <v>5.0</v>
      </c>
      <c r="U34" s="50">
        <v>5.0</v>
      </c>
      <c r="V34" s="52">
        <v>3.0</v>
      </c>
      <c r="W34" s="50">
        <v>3.0</v>
      </c>
      <c r="X34" s="54">
        <v>3.396</v>
      </c>
      <c r="Y34" s="54">
        <v>0.884</v>
      </c>
      <c r="Z34" s="49">
        <v>9.7886</v>
      </c>
      <c r="AA34" s="54">
        <v>0.8062416050686378</v>
      </c>
      <c r="AB34" s="55">
        <v>5.3</v>
      </c>
      <c r="AC34" s="54">
        <v>5.5372</v>
      </c>
      <c r="AD34" s="50">
        <v>2.18</v>
      </c>
      <c r="AE34" s="50">
        <v>2.27</v>
      </c>
      <c r="AF34" s="50">
        <v>5.3</v>
      </c>
      <c r="AG34" s="55">
        <v>2.18</v>
      </c>
      <c r="AH34" s="50">
        <v>2.211</v>
      </c>
      <c r="AI34" s="55">
        <v>2.11</v>
      </c>
      <c r="AJ34" s="55">
        <v>4.94</v>
      </c>
      <c r="AK34" s="50">
        <v>2.0</v>
      </c>
      <c r="AL34" s="55">
        <v>11.1</v>
      </c>
      <c r="AM34" s="49">
        <v>1.14</v>
      </c>
      <c r="AN34" s="49">
        <v>1.19</v>
      </c>
      <c r="AO34" s="49">
        <v>0.72</v>
      </c>
      <c r="AP34" s="56">
        <v>0.58</v>
      </c>
      <c r="AQ34" s="56">
        <v>1.15</v>
      </c>
      <c r="AR34" s="56">
        <v>1.85</v>
      </c>
      <c r="AS34" s="49">
        <v>1.42</v>
      </c>
      <c r="AT34" s="49">
        <v>0.72</v>
      </c>
      <c r="AU34" s="56">
        <v>1.19</v>
      </c>
      <c r="AV34" s="56">
        <v>1.15</v>
      </c>
      <c r="AW34" s="56">
        <v>1.001</v>
      </c>
      <c r="AX34" s="56">
        <v>1.39</v>
      </c>
      <c r="AY34" s="56">
        <v>1.21</v>
      </c>
      <c r="AZ34" s="50">
        <v>4.3</v>
      </c>
      <c r="BA34" s="50">
        <v>1090.15</v>
      </c>
      <c r="BB34" s="50">
        <v>890.15</v>
      </c>
      <c r="BC34" s="50">
        <v>5.73</v>
      </c>
      <c r="BD34" s="50">
        <v>0.33</v>
      </c>
      <c r="BE34" s="50">
        <v>27.7</v>
      </c>
      <c r="BF34" s="59">
        <v>34.76</v>
      </c>
      <c r="BG34" s="59">
        <v>302.0</v>
      </c>
      <c r="BH34" s="50">
        <v>50.0</v>
      </c>
      <c r="BI34" s="53" t="s">
        <v>338</v>
      </c>
      <c r="BJ34" s="50">
        <v>2.96</v>
      </c>
      <c r="BK34" s="59">
        <v>38.3</v>
      </c>
      <c r="BL34" s="53" t="s">
        <v>338</v>
      </c>
      <c r="BM34" s="59">
        <v>8.0</v>
      </c>
      <c r="BN34" s="53" t="s">
        <v>338</v>
      </c>
      <c r="BO34" s="59">
        <v>1.44</v>
      </c>
      <c r="BP34" s="59">
        <v>3.0E-7</v>
      </c>
      <c r="BQ34" s="59">
        <v>3300000.0</v>
      </c>
      <c r="BR34" s="60">
        <v>4.2</v>
      </c>
      <c r="BS34" s="60">
        <v>0.002</v>
      </c>
      <c r="BT34" s="60">
        <v>33.0</v>
      </c>
      <c r="BU34" s="60">
        <v>1.0</v>
      </c>
      <c r="BV34" s="60">
        <v>0.030303030303030304</v>
      </c>
      <c r="BW34" s="60">
        <v>1.0</v>
      </c>
      <c r="BX34" s="50">
        <v>1.837652541193136E-6</v>
      </c>
      <c r="BY34" s="50">
        <v>2.1392911226052884E-10</v>
      </c>
      <c r="BZ34" s="62">
        <v>3337.0</v>
      </c>
      <c r="CA34" s="62">
        <v>4000.0</v>
      </c>
      <c r="CB34" s="50">
        <v>320.0</v>
      </c>
    </row>
    <row r="35" ht="14.25" customHeight="1">
      <c r="A35" s="47" t="s">
        <v>401</v>
      </c>
      <c r="B35" s="48" t="s">
        <v>402</v>
      </c>
      <c r="C35" s="49">
        <v>78.971</v>
      </c>
      <c r="D35" s="50">
        <v>34.0</v>
      </c>
      <c r="E35" s="50">
        <v>4.0</v>
      </c>
      <c r="F35" s="50">
        <v>16.0</v>
      </c>
      <c r="G35" s="51">
        <v>1.0</v>
      </c>
      <c r="H35" s="51">
        <v>3.0</v>
      </c>
      <c r="I35" s="50">
        <v>89.0</v>
      </c>
      <c r="J35" s="50">
        <v>7.0</v>
      </c>
      <c r="K35" s="50">
        <v>2.0</v>
      </c>
      <c r="L35" s="50">
        <v>4.0</v>
      </c>
      <c r="M35" s="50">
        <v>10.0</v>
      </c>
      <c r="N35" s="50">
        <v>0.0</v>
      </c>
      <c r="O35" s="52">
        <v>0.0</v>
      </c>
      <c r="P35" s="52">
        <v>2.0</v>
      </c>
      <c r="Q35" s="52">
        <v>0.0</v>
      </c>
      <c r="R35" s="52">
        <v>14.0</v>
      </c>
      <c r="S35" s="50">
        <v>16.0</v>
      </c>
      <c r="T35" s="50">
        <v>6.0</v>
      </c>
      <c r="U35" s="50">
        <v>6.0</v>
      </c>
      <c r="V35" s="52">
        <v>2.0</v>
      </c>
      <c r="W35" s="50">
        <v>2.0</v>
      </c>
      <c r="X35" s="54">
        <v>3.385</v>
      </c>
      <c r="Y35" s="54">
        <v>0.795</v>
      </c>
      <c r="Z35" s="49">
        <v>9.7524</v>
      </c>
      <c r="AA35" s="54">
        <v>2.0209543039319873</v>
      </c>
      <c r="AB35" s="55">
        <v>5.89</v>
      </c>
      <c r="AC35" s="54">
        <v>5.8746</v>
      </c>
      <c r="AD35" s="50">
        <v>2.55</v>
      </c>
      <c r="AE35" s="50">
        <v>2.54</v>
      </c>
      <c r="AF35" s="50">
        <v>5.89</v>
      </c>
      <c r="AG35" s="55">
        <v>2.55</v>
      </c>
      <c r="AH35" s="50">
        <v>2.434</v>
      </c>
      <c r="AI35" s="55">
        <v>2.31</v>
      </c>
      <c r="AJ35" s="55">
        <v>4.82</v>
      </c>
      <c r="AK35" s="50">
        <v>2.4</v>
      </c>
      <c r="AL35" s="55">
        <v>14.7</v>
      </c>
      <c r="AM35" s="49">
        <v>1.03</v>
      </c>
      <c r="AN35" s="49">
        <v>1.16</v>
      </c>
      <c r="AO35" s="49">
        <v>1.84</v>
      </c>
      <c r="AP35" s="56">
        <v>1.98</v>
      </c>
      <c r="AQ35" s="56">
        <v>1.18</v>
      </c>
      <c r="AR35" s="56">
        <v>1.9</v>
      </c>
      <c r="AS35" s="49">
        <v>1.29</v>
      </c>
      <c r="AT35" s="49">
        <v>0.56</v>
      </c>
      <c r="AU35" s="56">
        <v>1.2</v>
      </c>
      <c r="AV35" s="56">
        <v>1.15</v>
      </c>
      <c r="AW35" s="56">
        <v>0.9179999999999999</v>
      </c>
      <c r="AX35" s="56">
        <v>1.4</v>
      </c>
      <c r="AY35" s="56">
        <v>1.17</v>
      </c>
      <c r="AZ35" s="50">
        <v>3.8</v>
      </c>
      <c r="BA35" s="50">
        <v>490.15</v>
      </c>
      <c r="BB35" s="50">
        <v>958.15</v>
      </c>
      <c r="BC35" s="50">
        <v>4.79</v>
      </c>
      <c r="BD35" s="50">
        <v>0.32</v>
      </c>
      <c r="BE35" s="50">
        <v>6.694</v>
      </c>
      <c r="BF35" s="59">
        <v>37.7</v>
      </c>
      <c r="BG35" s="59">
        <v>227.0</v>
      </c>
      <c r="BH35" s="50">
        <v>0.52</v>
      </c>
      <c r="BI35" s="53" t="s">
        <v>338</v>
      </c>
      <c r="BJ35" s="50">
        <v>2.46</v>
      </c>
      <c r="BK35" s="59">
        <v>8.3</v>
      </c>
      <c r="BL35" s="59">
        <v>3.7</v>
      </c>
      <c r="BM35" s="59">
        <v>10.0</v>
      </c>
      <c r="BN35" s="53" t="s">
        <v>338</v>
      </c>
      <c r="BO35" s="59">
        <v>0.736</v>
      </c>
      <c r="BP35" s="53" t="s">
        <v>338</v>
      </c>
      <c r="BQ35" s="53" t="s">
        <v>338</v>
      </c>
      <c r="BR35" s="60">
        <v>11.7</v>
      </c>
      <c r="BS35" s="60">
        <v>0.0056</v>
      </c>
      <c r="BT35" s="60">
        <v>30.0</v>
      </c>
      <c r="BU35" s="60">
        <v>5.0</v>
      </c>
      <c r="BV35" s="60">
        <v>0.16666666666666666</v>
      </c>
      <c r="BW35" s="60">
        <v>0.9127</v>
      </c>
      <c r="BX35" s="50">
        <v>5.104590392203156E-8</v>
      </c>
      <c r="BY35" s="50">
        <v>2.0251521145394575E-9</v>
      </c>
      <c r="BZ35" s="62">
        <v>2225.0</v>
      </c>
      <c r="CA35" s="62">
        <v>1910.0</v>
      </c>
      <c r="CB35" s="50">
        <v>14.0</v>
      </c>
    </row>
    <row r="36" ht="14.25" customHeight="1">
      <c r="A36" s="47" t="s">
        <v>403</v>
      </c>
      <c r="B36" s="48" t="s">
        <v>404</v>
      </c>
      <c r="C36" s="49">
        <v>79.904</v>
      </c>
      <c r="D36" s="50">
        <v>35.0</v>
      </c>
      <c r="E36" s="50">
        <v>4.0</v>
      </c>
      <c r="F36" s="50">
        <v>17.0</v>
      </c>
      <c r="G36" s="51">
        <v>1.0</v>
      </c>
      <c r="H36" s="51">
        <v>3.0</v>
      </c>
      <c r="I36" s="50">
        <v>95.0</v>
      </c>
      <c r="J36" s="50">
        <v>8.0</v>
      </c>
      <c r="K36" s="50">
        <v>2.0</v>
      </c>
      <c r="L36" s="50">
        <v>5.0</v>
      </c>
      <c r="M36" s="50">
        <v>10.0</v>
      </c>
      <c r="N36" s="50">
        <v>0.0</v>
      </c>
      <c r="O36" s="52">
        <v>0.0</v>
      </c>
      <c r="P36" s="52">
        <v>1.0</v>
      </c>
      <c r="Q36" s="52">
        <v>0.0</v>
      </c>
      <c r="R36" s="52">
        <v>14.0</v>
      </c>
      <c r="S36" s="50">
        <v>17.0</v>
      </c>
      <c r="T36" s="50">
        <v>7.0</v>
      </c>
      <c r="U36" s="50">
        <v>7.0</v>
      </c>
      <c r="V36" s="52">
        <v>1.0</v>
      </c>
      <c r="W36" s="50">
        <v>0.0</v>
      </c>
      <c r="X36" s="54">
        <v>3.726</v>
      </c>
      <c r="Y36" s="54">
        <v>0.723</v>
      </c>
      <c r="Z36" s="49">
        <v>11.8138</v>
      </c>
      <c r="AA36" s="54">
        <v>3.3679692982456144</v>
      </c>
      <c r="AB36" s="55">
        <v>7.59</v>
      </c>
      <c r="AC36" s="54">
        <v>6.1658</v>
      </c>
      <c r="AD36" s="50">
        <v>2.96</v>
      </c>
      <c r="AE36" s="50">
        <v>2.83</v>
      </c>
      <c r="AF36" s="50">
        <v>7.59</v>
      </c>
      <c r="AG36" s="55">
        <v>2.96</v>
      </c>
      <c r="AH36" s="50">
        <v>2.685</v>
      </c>
      <c r="AI36" s="55">
        <v>2.56</v>
      </c>
      <c r="AJ36" s="55">
        <v>7.35</v>
      </c>
      <c r="AK36" s="50">
        <v>2.75</v>
      </c>
      <c r="AL36" s="55">
        <v>19.3</v>
      </c>
      <c r="AM36" s="49">
        <v>0.94</v>
      </c>
      <c r="AN36" s="49">
        <v>1.14</v>
      </c>
      <c r="AO36" s="49">
        <v>1.82</v>
      </c>
      <c r="AP36" s="56">
        <v>1.96</v>
      </c>
      <c r="AQ36" s="56">
        <v>1.2</v>
      </c>
      <c r="AR36" s="56">
        <v>1.85</v>
      </c>
      <c r="AS36" s="49">
        <v>1.2</v>
      </c>
      <c r="AT36" s="49">
        <v>1.82</v>
      </c>
      <c r="AU36" s="56">
        <v>1.2</v>
      </c>
      <c r="AV36" s="56">
        <v>1.15</v>
      </c>
      <c r="AW36" s="56">
        <v>0.851</v>
      </c>
      <c r="AX36" s="58" t="s">
        <v>338</v>
      </c>
      <c r="AY36" s="56">
        <v>1.142</v>
      </c>
      <c r="AZ36" s="50">
        <v>3.1</v>
      </c>
      <c r="BA36" s="50">
        <v>265.95</v>
      </c>
      <c r="BB36" s="50">
        <v>331.95</v>
      </c>
      <c r="BC36" s="50">
        <v>3.12</v>
      </c>
      <c r="BD36" s="50">
        <v>0.473</v>
      </c>
      <c r="BE36" s="50">
        <v>5.286</v>
      </c>
      <c r="BF36" s="59">
        <v>15.438</v>
      </c>
      <c r="BG36" s="59">
        <v>112.0</v>
      </c>
      <c r="BH36" s="50">
        <v>0.122</v>
      </c>
      <c r="BI36" s="53" t="s">
        <v>338</v>
      </c>
      <c r="BJ36" s="50">
        <v>1.22</v>
      </c>
      <c r="BK36" s="59">
        <v>1.9</v>
      </c>
      <c r="BL36" s="53" t="s">
        <v>338</v>
      </c>
      <c r="BM36" s="53" t="s">
        <v>338</v>
      </c>
      <c r="BN36" s="53" t="s">
        <v>338</v>
      </c>
      <c r="BO36" s="53" t="s">
        <v>338</v>
      </c>
      <c r="BP36" s="59">
        <v>1.0E10</v>
      </c>
      <c r="BQ36" s="59">
        <v>1.0E-10</v>
      </c>
      <c r="BR36" s="60">
        <v>6.8</v>
      </c>
      <c r="BS36" s="60">
        <v>0.002</v>
      </c>
      <c r="BT36" s="60">
        <v>31.0</v>
      </c>
      <c r="BU36" s="60">
        <v>2.0</v>
      </c>
      <c r="BV36" s="60">
        <v>0.06451612903225806</v>
      </c>
      <c r="BW36" s="60">
        <v>1.0</v>
      </c>
      <c r="BX36" s="50">
        <v>2.4502033882575144E-6</v>
      </c>
      <c r="BY36" s="50">
        <v>3.848115129076587E-10</v>
      </c>
      <c r="BZ36" s="62">
        <v>3299.0</v>
      </c>
      <c r="CA36" s="62">
        <v>6880.0</v>
      </c>
      <c r="CB36" s="50">
        <v>4.9</v>
      </c>
    </row>
    <row r="37" ht="14.25" customHeight="1">
      <c r="A37" s="47" t="s">
        <v>405</v>
      </c>
      <c r="B37" s="48" t="s">
        <v>406</v>
      </c>
      <c r="C37" s="49">
        <v>83.798</v>
      </c>
      <c r="D37" s="50">
        <v>36.0</v>
      </c>
      <c r="E37" s="50">
        <v>4.0</v>
      </c>
      <c r="F37" s="50">
        <v>18.0</v>
      </c>
      <c r="G37" s="51">
        <v>1.0</v>
      </c>
      <c r="H37" s="51">
        <v>3.0</v>
      </c>
      <c r="I37" s="50">
        <v>101.0</v>
      </c>
      <c r="J37" s="50">
        <v>9.0</v>
      </c>
      <c r="K37" s="50">
        <v>2.0</v>
      </c>
      <c r="L37" s="50">
        <v>6.0</v>
      </c>
      <c r="M37" s="50">
        <v>10.0</v>
      </c>
      <c r="N37" s="50">
        <v>0.0</v>
      </c>
      <c r="O37" s="52">
        <v>0.0</v>
      </c>
      <c r="P37" s="52">
        <v>0.0</v>
      </c>
      <c r="Q37" s="52">
        <v>0.0</v>
      </c>
      <c r="R37" s="52">
        <v>14.0</v>
      </c>
      <c r="S37" s="50">
        <v>18.0</v>
      </c>
      <c r="T37" s="50">
        <v>8.0</v>
      </c>
      <c r="U37" s="50">
        <v>8.0</v>
      </c>
      <c r="V37" s="53" t="s">
        <v>338</v>
      </c>
      <c r="W37" s="50">
        <v>0.0</v>
      </c>
      <c r="X37" s="54">
        <v>4.056</v>
      </c>
      <c r="Y37" s="54">
        <v>0.664</v>
      </c>
      <c r="Z37" s="49">
        <v>13.9996</v>
      </c>
      <c r="AA37" s="54">
        <v>-0.6217438934122872</v>
      </c>
      <c r="AB37" s="53" t="s">
        <v>338</v>
      </c>
      <c r="AC37" s="54">
        <v>6.3916</v>
      </c>
      <c r="AD37" s="50">
        <v>3.0</v>
      </c>
      <c r="AE37" s="50" t="s">
        <v>338</v>
      </c>
      <c r="AF37" s="50" t="s">
        <v>338</v>
      </c>
      <c r="AG37" s="53" t="s">
        <v>338</v>
      </c>
      <c r="AH37" s="50">
        <v>2.966</v>
      </c>
      <c r="AI37" s="55">
        <v>2.82</v>
      </c>
      <c r="AJ37" s="55">
        <v>9.59</v>
      </c>
      <c r="AK37" s="50" t="s">
        <v>338</v>
      </c>
      <c r="AL37" s="55">
        <v>24.6</v>
      </c>
      <c r="AM37" s="49">
        <v>0.88</v>
      </c>
      <c r="AN37" s="49">
        <v>1.1</v>
      </c>
      <c r="AO37" s="49">
        <v>1.66</v>
      </c>
      <c r="AP37" s="57">
        <v>1.36</v>
      </c>
      <c r="AQ37" s="57">
        <v>1.88</v>
      </c>
      <c r="AR37" s="56">
        <v>2.02</v>
      </c>
      <c r="AS37" s="49">
        <v>2.91</v>
      </c>
      <c r="AT37" s="49">
        <v>2.1</v>
      </c>
      <c r="AU37" s="56">
        <v>1.16</v>
      </c>
      <c r="AV37" s="56">
        <v>0.88</v>
      </c>
      <c r="AW37" s="56">
        <v>0.795</v>
      </c>
      <c r="AX37" s="58" t="s">
        <v>338</v>
      </c>
      <c r="AY37" s="58" t="s">
        <v>338</v>
      </c>
      <c r="AZ37" s="50">
        <v>2.5</v>
      </c>
      <c r="BA37" s="50">
        <v>116.14999999999998</v>
      </c>
      <c r="BB37" s="50">
        <v>121.14999999999998</v>
      </c>
      <c r="BC37" s="50">
        <v>0.00374</v>
      </c>
      <c r="BD37" s="50">
        <v>0.248</v>
      </c>
      <c r="BE37" s="50">
        <v>1.638</v>
      </c>
      <c r="BF37" s="59">
        <v>9.029</v>
      </c>
      <c r="BG37" s="59">
        <v>0.0</v>
      </c>
      <c r="BH37" s="50">
        <v>0.00949</v>
      </c>
      <c r="BI37" s="53" t="s">
        <v>338</v>
      </c>
      <c r="BJ37" s="50">
        <v>0.116</v>
      </c>
      <c r="BK37" s="53" t="s">
        <v>338</v>
      </c>
      <c r="BL37" s="53" t="s">
        <v>338</v>
      </c>
      <c r="BM37" s="53" t="s">
        <v>338</v>
      </c>
      <c r="BN37" s="53" t="s">
        <v>338</v>
      </c>
      <c r="BO37" s="53" t="s">
        <v>338</v>
      </c>
      <c r="BP37" s="53" t="s">
        <v>338</v>
      </c>
      <c r="BQ37" s="53" t="s">
        <v>338</v>
      </c>
      <c r="BR37" s="60">
        <v>25.0</v>
      </c>
      <c r="BS37" s="60">
        <v>0.013</v>
      </c>
      <c r="BT37" s="60">
        <v>32.0</v>
      </c>
      <c r="BU37" s="60">
        <v>6.0</v>
      </c>
      <c r="BV37" s="60">
        <v>0.1875</v>
      </c>
      <c r="BW37" s="60">
        <v>1.0</v>
      </c>
      <c r="BX37" s="50">
        <v>1.020918078440631E-10</v>
      </c>
      <c r="BY37" s="50">
        <v>1.4675015322749691E-9</v>
      </c>
      <c r="BZ37" s="61" t="s">
        <v>338</v>
      </c>
      <c r="CA37" s="61" t="s">
        <v>338</v>
      </c>
      <c r="CB37" s="50">
        <v>33.0</v>
      </c>
    </row>
    <row r="38" ht="14.25" customHeight="1">
      <c r="A38" s="47" t="s">
        <v>407</v>
      </c>
      <c r="B38" s="48" t="s">
        <v>408</v>
      </c>
      <c r="C38" s="49">
        <v>85.4678</v>
      </c>
      <c r="D38" s="50">
        <v>37.0</v>
      </c>
      <c r="E38" s="50">
        <v>5.0</v>
      </c>
      <c r="F38" s="50">
        <v>1.0</v>
      </c>
      <c r="G38" s="51">
        <v>0.0</v>
      </c>
      <c r="H38" s="51">
        <v>1.0</v>
      </c>
      <c r="I38" s="50">
        <v>4.0</v>
      </c>
      <c r="J38" s="50">
        <v>1.0</v>
      </c>
      <c r="K38" s="50">
        <v>1.0</v>
      </c>
      <c r="L38" s="50">
        <v>0.0</v>
      </c>
      <c r="M38" s="50">
        <v>0.0</v>
      </c>
      <c r="N38" s="50">
        <v>0.0</v>
      </c>
      <c r="O38" s="52">
        <v>1.0</v>
      </c>
      <c r="P38" s="52">
        <v>6.0</v>
      </c>
      <c r="Q38" s="52">
        <v>10.0</v>
      </c>
      <c r="R38" s="52">
        <v>14.0</v>
      </c>
      <c r="S38" s="50">
        <v>1.0</v>
      </c>
      <c r="T38" s="50">
        <v>1.0</v>
      </c>
      <c r="U38" s="50">
        <v>1.0</v>
      </c>
      <c r="V38" s="52">
        <v>1.0</v>
      </c>
      <c r="W38" s="50">
        <v>1.0</v>
      </c>
      <c r="X38" s="54">
        <v>2.769</v>
      </c>
      <c r="Y38" s="54">
        <v>1.519</v>
      </c>
      <c r="Z38" s="49">
        <v>4.1771</v>
      </c>
      <c r="AA38" s="54">
        <v>0.4871555831265509</v>
      </c>
      <c r="AB38" s="55">
        <v>2.34</v>
      </c>
      <c r="AC38" s="54">
        <v>2.0135</v>
      </c>
      <c r="AD38" s="50">
        <v>0.82</v>
      </c>
      <c r="AE38" s="50">
        <v>0.8</v>
      </c>
      <c r="AF38" s="50">
        <v>2.34</v>
      </c>
      <c r="AG38" s="55">
        <v>0.82</v>
      </c>
      <c r="AH38" s="50">
        <v>0.706</v>
      </c>
      <c r="AI38" s="55">
        <v>0.83</v>
      </c>
      <c r="AJ38" s="55">
        <v>1.05</v>
      </c>
      <c r="AK38" s="50">
        <v>0.78</v>
      </c>
      <c r="AL38" s="55">
        <v>0.342</v>
      </c>
      <c r="AM38" s="49">
        <v>2.65</v>
      </c>
      <c r="AN38" s="49">
        <v>2.11</v>
      </c>
      <c r="AO38" s="49">
        <v>1.66</v>
      </c>
      <c r="AP38" s="56">
        <v>1.52</v>
      </c>
      <c r="AQ38" s="56">
        <v>2.44</v>
      </c>
      <c r="AR38" s="56">
        <v>2.9</v>
      </c>
      <c r="AS38" s="49">
        <v>4.1</v>
      </c>
      <c r="AT38" s="49">
        <v>1.66</v>
      </c>
      <c r="AU38" s="56">
        <v>2.2</v>
      </c>
      <c r="AV38" s="56">
        <v>2.35</v>
      </c>
      <c r="AW38" s="56">
        <v>2.287</v>
      </c>
      <c r="AX38" s="56">
        <v>2.48</v>
      </c>
      <c r="AY38" s="56">
        <v>2.16</v>
      </c>
      <c r="AZ38" s="50">
        <v>47.3</v>
      </c>
      <c r="BA38" s="50">
        <v>312.04999999999995</v>
      </c>
      <c r="BB38" s="50">
        <v>959.15</v>
      </c>
      <c r="BC38" s="50">
        <v>1.53</v>
      </c>
      <c r="BD38" s="50">
        <v>0.363</v>
      </c>
      <c r="BE38" s="50">
        <v>2.192</v>
      </c>
      <c r="BF38" s="59">
        <v>72.216</v>
      </c>
      <c r="BG38" s="59">
        <v>86.0</v>
      </c>
      <c r="BH38" s="50">
        <v>58.2</v>
      </c>
      <c r="BI38" s="59">
        <v>9.0E-6</v>
      </c>
      <c r="BJ38" s="50">
        <v>0.852</v>
      </c>
      <c r="BK38" s="59">
        <v>3.1</v>
      </c>
      <c r="BL38" s="53" t="s">
        <v>338</v>
      </c>
      <c r="BM38" s="59">
        <v>2.4</v>
      </c>
      <c r="BN38" s="53" t="s">
        <v>338</v>
      </c>
      <c r="BO38" s="59">
        <v>2.16E-4</v>
      </c>
      <c r="BP38" s="59">
        <v>1.2E-7</v>
      </c>
      <c r="BQ38" s="59">
        <v>8300000.0</v>
      </c>
      <c r="BR38" s="60">
        <v>0.38</v>
      </c>
      <c r="BS38" s="60">
        <v>3.0E-4</v>
      </c>
      <c r="BT38" s="60">
        <v>32.0</v>
      </c>
      <c r="BU38" s="60">
        <v>1.0</v>
      </c>
      <c r="BV38" s="60">
        <v>0.03125</v>
      </c>
      <c r="BW38" s="60">
        <v>1.0</v>
      </c>
      <c r="BX38" s="50">
        <v>9.18826270596568E-5</v>
      </c>
      <c r="BY38" s="50">
        <v>2.3121301919621186E-10</v>
      </c>
      <c r="BZ38" s="62">
        <v>6000.0</v>
      </c>
      <c r="CA38" s="62">
        <v>6000.0</v>
      </c>
      <c r="CB38" s="50">
        <v>1200.0</v>
      </c>
    </row>
    <row r="39" ht="14.25" customHeight="1">
      <c r="A39" s="47" t="s">
        <v>409</v>
      </c>
      <c r="B39" s="48" t="s">
        <v>410</v>
      </c>
      <c r="C39" s="49">
        <v>87.62</v>
      </c>
      <c r="D39" s="50">
        <v>38.0</v>
      </c>
      <c r="E39" s="50">
        <v>5.0</v>
      </c>
      <c r="F39" s="50">
        <v>2.0</v>
      </c>
      <c r="G39" s="51">
        <v>0.0</v>
      </c>
      <c r="H39" s="51">
        <v>1.0</v>
      </c>
      <c r="I39" s="50">
        <v>8.0</v>
      </c>
      <c r="J39" s="50">
        <v>2.0</v>
      </c>
      <c r="K39" s="50">
        <v>2.0</v>
      </c>
      <c r="L39" s="50">
        <v>0.0</v>
      </c>
      <c r="M39" s="50">
        <v>0.0</v>
      </c>
      <c r="N39" s="50">
        <v>0.0</v>
      </c>
      <c r="O39" s="52">
        <v>0.0</v>
      </c>
      <c r="P39" s="52">
        <v>6.0</v>
      </c>
      <c r="Q39" s="52">
        <v>10.0</v>
      </c>
      <c r="R39" s="52">
        <v>14.0</v>
      </c>
      <c r="S39" s="50">
        <v>2.0</v>
      </c>
      <c r="T39" s="50">
        <v>2.0</v>
      </c>
      <c r="U39" s="50">
        <v>2.0</v>
      </c>
      <c r="V39" s="52">
        <v>2.0</v>
      </c>
      <c r="W39" s="50">
        <v>2.0</v>
      </c>
      <c r="X39" s="54">
        <v>3.234</v>
      </c>
      <c r="Y39" s="54">
        <v>1.301</v>
      </c>
      <c r="Z39" s="49">
        <v>5.6949</v>
      </c>
      <c r="AA39" s="54">
        <v>0.05186612021857923</v>
      </c>
      <c r="AB39" s="55">
        <v>2.0</v>
      </c>
      <c r="AC39" s="54">
        <v>2.5849</v>
      </c>
      <c r="AD39" s="50">
        <v>0.95</v>
      </c>
      <c r="AE39" s="50">
        <v>1.13</v>
      </c>
      <c r="AF39" s="50">
        <v>2.0</v>
      </c>
      <c r="AG39" s="55">
        <v>0.95</v>
      </c>
      <c r="AH39" s="50">
        <v>0.963</v>
      </c>
      <c r="AI39" s="55">
        <v>1.06</v>
      </c>
      <c r="AJ39" s="55">
        <v>1.63</v>
      </c>
      <c r="AK39" s="50">
        <v>1.0</v>
      </c>
      <c r="AL39" s="55">
        <v>0.744</v>
      </c>
      <c r="AM39" s="49">
        <v>2.19</v>
      </c>
      <c r="AN39" s="49">
        <v>1.92</v>
      </c>
      <c r="AO39" s="49">
        <v>1.32</v>
      </c>
      <c r="AP39" s="56">
        <v>1.18</v>
      </c>
      <c r="AQ39" s="56">
        <v>2.12</v>
      </c>
      <c r="AR39" s="56">
        <v>2.55</v>
      </c>
      <c r="AS39" s="49">
        <v>3.21</v>
      </c>
      <c r="AT39" s="49">
        <v>1.32</v>
      </c>
      <c r="AU39" s="56">
        <v>1.95</v>
      </c>
      <c r="AV39" s="56">
        <v>2.0</v>
      </c>
      <c r="AW39" s="56">
        <v>1.8359999999999999</v>
      </c>
      <c r="AX39" s="56">
        <v>2.148</v>
      </c>
      <c r="AY39" s="56">
        <v>1.914</v>
      </c>
      <c r="AZ39" s="50">
        <v>27.6</v>
      </c>
      <c r="BA39" s="50">
        <v>1042.15</v>
      </c>
      <c r="BB39" s="50">
        <v>1657.15</v>
      </c>
      <c r="BC39" s="50">
        <v>2.63</v>
      </c>
      <c r="BD39" s="50">
        <v>0.3</v>
      </c>
      <c r="BE39" s="50">
        <v>8.3</v>
      </c>
      <c r="BF39" s="59">
        <v>144.0</v>
      </c>
      <c r="BG39" s="59">
        <v>164.0</v>
      </c>
      <c r="BH39" s="50">
        <v>35.3</v>
      </c>
      <c r="BI39" s="59">
        <v>2.25E-5</v>
      </c>
      <c r="BJ39" s="50">
        <v>1.72</v>
      </c>
      <c r="BK39" s="59">
        <v>12.0</v>
      </c>
      <c r="BL39" s="59">
        <v>6.1</v>
      </c>
      <c r="BM39" s="53" t="s">
        <v>338</v>
      </c>
      <c r="BN39" s="53" t="s">
        <v>338</v>
      </c>
      <c r="BO39" s="53" t="s">
        <v>338</v>
      </c>
      <c r="BP39" s="59">
        <v>1.3E-7</v>
      </c>
      <c r="BQ39" s="59">
        <v>7700000.0</v>
      </c>
      <c r="BR39" s="60">
        <v>1.2</v>
      </c>
      <c r="BS39" s="60">
        <v>5.0E-4</v>
      </c>
      <c r="BT39" s="60">
        <v>33.0</v>
      </c>
      <c r="BU39" s="60">
        <v>4.0</v>
      </c>
      <c r="BV39" s="60">
        <v>0.12121212121212122</v>
      </c>
      <c r="BW39" s="60">
        <v>1.0</v>
      </c>
      <c r="BX39" s="50">
        <v>3.777396890230335E-4</v>
      </c>
      <c r="BY39" s="50">
        <v>7.663619112991508E-10</v>
      </c>
      <c r="BZ39" s="62">
        <v>4179.0</v>
      </c>
      <c r="CA39" s="62">
        <v>3000.0</v>
      </c>
      <c r="CB39" s="50">
        <v>100.0</v>
      </c>
    </row>
    <row r="40" ht="14.25" customHeight="1">
      <c r="A40" s="47" t="s">
        <v>411</v>
      </c>
      <c r="B40" s="48" t="s">
        <v>412</v>
      </c>
      <c r="C40" s="49">
        <v>88.90584</v>
      </c>
      <c r="D40" s="50">
        <v>39.0</v>
      </c>
      <c r="E40" s="50">
        <v>5.0</v>
      </c>
      <c r="F40" s="50">
        <v>3.0</v>
      </c>
      <c r="G40" s="51">
        <v>2.0</v>
      </c>
      <c r="H40" s="51">
        <v>1.0</v>
      </c>
      <c r="I40" s="50">
        <v>12.0</v>
      </c>
      <c r="J40" s="50">
        <v>3.0</v>
      </c>
      <c r="K40" s="50">
        <v>2.0</v>
      </c>
      <c r="L40" s="50">
        <v>0.0</v>
      </c>
      <c r="M40" s="50">
        <v>1.0</v>
      </c>
      <c r="N40" s="50">
        <v>0.0</v>
      </c>
      <c r="O40" s="52">
        <v>0.0</v>
      </c>
      <c r="P40" s="52">
        <v>6.0</v>
      </c>
      <c r="Q40" s="52">
        <v>9.0</v>
      </c>
      <c r="R40" s="52">
        <v>14.0</v>
      </c>
      <c r="S40" s="50">
        <v>3.0</v>
      </c>
      <c r="T40" s="50">
        <v>2.0</v>
      </c>
      <c r="U40" s="50">
        <v>1.0</v>
      </c>
      <c r="V40" s="52">
        <v>3.0</v>
      </c>
      <c r="W40" s="50">
        <v>3.0</v>
      </c>
      <c r="X40" s="54">
        <v>3.379</v>
      </c>
      <c r="Y40" s="54">
        <v>1.245</v>
      </c>
      <c r="Z40" s="49">
        <v>6.2173</v>
      </c>
      <c r="AA40" s="54">
        <v>0.310865</v>
      </c>
      <c r="AB40" s="55">
        <v>3.19</v>
      </c>
      <c r="AC40" s="54">
        <v>2.7237</v>
      </c>
      <c r="AD40" s="50">
        <v>1.22</v>
      </c>
      <c r="AE40" s="50">
        <v>1.41</v>
      </c>
      <c r="AF40" s="50">
        <v>3.19</v>
      </c>
      <c r="AG40" s="55">
        <v>1.22</v>
      </c>
      <c r="AH40" s="50">
        <v>1.12</v>
      </c>
      <c r="AI40" s="55">
        <v>1.11</v>
      </c>
      <c r="AJ40" s="55">
        <v>1.76</v>
      </c>
      <c r="AK40" s="50">
        <v>1.3</v>
      </c>
      <c r="AL40" s="55">
        <v>0.868</v>
      </c>
      <c r="AM40" s="49">
        <v>2.12</v>
      </c>
      <c r="AN40" s="49">
        <v>1.62</v>
      </c>
      <c r="AO40" s="49">
        <v>1.04</v>
      </c>
      <c r="AP40" s="56">
        <v>0.9</v>
      </c>
      <c r="AQ40" s="56">
        <v>1.79</v>
      </c>
      <c r="AR40" s="56">
        <v>2.4</v>
      </c>
      <c r="AS40" s="49">
        <v>2.94</v>
      </c>
      <c r="AT40" s="49">
        <v>1.04</v>
      </c>
      <c r="AU40" s="56">
        <v>1.9</v>
      </c>
      <c r="AV40" s="56">
        <v>1.85</v>
      </c>
      <c r="AW40" s="56">
        <v>1.693</v>
      </c>
      <c r="AX40" s="56">
        <v>1.797</v>
      </c>
      <c r="AY40" s="56">
        <v>1.616</v>
      </c>
      <c r="AZ40" s="50">
        <v>22.7</v>
      </c>
      <c r="BA40" s="50">
        <v>1796.15</v>
      </c>
      <c r="BB40" s="50">
        <v>3610.15</v>
      </c>
      <c r="BC40" s="50">
        <v>4.47</v>
      </c>
      <c r="BD40" s="50">
        <v>0.3</v>
      </c>
      <c r="BE40" s="50">
        <v>11.4</v>
      </c>
      <c r="BF40" s="59">
        <v>363.0</v>
      </c>
      <c r="BG40" s="59">
        <v>423.0</v>
      </c>
      <c r="BH40" s="50">
        <v>17.2</v>
      </c>
      <c r="BI40" s="59">
        <v>1.06E-5</v>
      </c>
      <c r="BJ40" s="50">
        <v>4.37</v>
      </c>
      <c r="BK40" s="59">
        <v>41.2</v>
      </c>
      <c r="BL40" s="59">
        <v>26.0</v>
      </c>
      <c r="BM40" s="59">
        <v>64.0</v>
      </c>
      <c r="BN40" s="53" t="s">
        <v>338</v>
      </c>
      <c r="BO40" s="59">
        <v>0.588</v>
      </c>
      <c r="BP40" s="59">
        <v>5.7E-7</v>
      </c>
      <c r="BQ40" s="59">
        <v>1800000.0</v>
      </c>
      <c r="BR40" s="60">
        <v>1.28</v>
      </c>
      <c r="BS40" s="60">
        <v>5.9E-4</v>
      </c>
      <c r="BT40" s="60">
        <v>33.0</v>
      </c>
      <c r="BU40" s="60">
        <v>1.0</v>
      </c>
      <c r="BV40" s="60">
        <v>0.030303030303030304</v>
      </c>
      <c r="BW40" s="60">
        <v>1.0</v>
      </c>
      <c r="BX40" s="50">
        <v>3.369029658854083E-5</v>
      </c>
      <c r="BY40" s="50">
        <v>1.5131571355013022E-10</v>
      </c>
      <c r="BZ40" s="62">
        <v>9834.0</v>
      </c>
      <c r="CA40" s="62">
        <v>2646.0</v>
      </c>
      <c r="CB40" s="50">
        <v>220.0</v>
      </c>
    </row>
    <row r="41" ht="14.25" customHeight="1">
      <c r="A41" s="47" t="s">
        <v>413</v>
      </c>
      <c r="B41" s="48" t="s">
        <v>414</v>
      </c>
      <c r="C41" s="49">
        <v>91.224</v>
      </c>
      <c r="D41" s="50">
        <v>40.0</v>
      </c>
      <c r="E41" s="50">
        <v>5.0</v>
      </c>
      <c r="F41" s="50">
        <v>4.0</v>
      </c>
      <c r="G41" s="51">
        <v>2.0</v>
      </c>
      <c r="H41" s="51">
        <v>1.0</v>
      </c>
      <c r="I41" s="50">
        <v>44.0</v>
      </c>
      <c r="J41" s="50">
        <v>4.0</v>
      </c>
      <c r="K41" s="50">
        <v>2.0</v>
      </c>
      <c r="L41" s="50">
        <v>0.0</v>
      </c>
      <c r="M41" s="50">
        <v>2.0</v>
      </c>
      <c r="N41" s="50">
        <v>0.0</v>
      </c>
      <c r="O41" s="52">
        <v>0.0</v>
      </c>
      <c r="P41" s="52">
        <v>6.0</v>
      </c>
      <c r="Q41" s="52">
        <v>8.0</v>
      </c>
      <c r="R41" s="52">
        <v>14.0</v>
      </c>
      <c r="S41" s="50">
        <v>4.0</v>
      </c>
      <c r="T41" s="50">
        <v>2.0</v>
      </c>
      <c r="U41" s="50">
        <v>2.0</v>
      </c>
      <c r="V41" s="52">
        <v>4.0</v>
      </c>
      <c r="W41" s="50">
        <v>4.0</v>
      </c>
      <c r="X41" s="54">
        <v>3.401</v>
      </c>
      <c r="Y41" s="54">
        <v>1.205</v>
      </c>
      <c r="Z41" s="49">
        <v>6.6339</v>
      </c>
      <c r="AA41" s="54">
        <v>0.42498421875</v>
      </c>
      <c r="AB41" s="55">
        <v>3.64</v>
      </c>
      <c r="AC41" s="54">
        <v>2.8489</v>
      </c>
      <c r="AD41" s="50">
        <v>1.33</v>
      </c>
      <c r="AE41" s="50">
        <v>1.7</v>
      </c>
      <c r="AF41" s="50">
        <v>3.64</v>
      </c>
      <c r="AG41" s="55">
        <v>1.33</v>
      </c>
      <c r="AH41" s="50">
        <v>1.32</v>
      </c>
      <c r="AI41" s="55">
        <v>1.17</v>
      </c>
      <c r="AJ41" s="55">
        <v>1.73</v>
      </c>
      <c r="AK41" s="50">
        <v>1.6</v>
      </c>
      <c r="AL41" s="55">
        <v>1.0</v>
      </c>
      <c r="AM41" s="49">
        <v>2.06</v>
      </c>
      <c r="AN41" s="49">
        <v>1.48</v>
      </c>
      <c r="AO41" s="49">
        <v>0.86</v>
      </c>
      <c r="AP41" s="56">
        <v>0.72</v>
      </c>
      <c r="AQ41" s="56">
        <v>1.58</v>
      </c>
      <c r="AR41" s="57">
        <v>2.379847066</v>
      </c>
      <c r="AS41" s="49">
        <v>2.83</v>
      </c>
      <c r="AT41" s="49">
        <v>0.86</v>
      </c>
      <c r="AU41" s="56">
        <v>1.75</v>
      </c>
      <c r="AV41" s="56">
        <v>1.55</v>
      </c>
      <c r="AW41" s="56">
        <v>1.5930000000000002</v>
      </c>
      <c r="AX41" s="56">
        <v>1.597</v>
      </c>
      <c r="AY41" s="56">
        <v>1.454</v>
      </c>
      <c r="AZ41" s="50">
        <v>17.9</v>
      </c>
      <c r="BA41" s="50">
        <v>2125.15</v>
      </c>
      <c r="BB41" s="50">
        <v>4650.15</v>
      </c>
      <c r="BC41" s="50">
        <v>6.51</v>
      </c>
      <c r="BD41" s="50">
        <v>0.27</v>
      </c>
      <c r="BE41" s="50">
        <v>16.9</v>
      </c>
      <c r="BF41" s="59">
        <v>582.0</v>
      </c>
      <c r="BG41" s="59">
        <v>609.0</v>
      </c>
      <c r="BH41" s="50">
        <v>22.7</v>
      </c>
      <c r="BI41" s="59">
        <v>5.7E-6</v>
      </c>
      <c r="BJ41" s="50">
        <v>6.25</v>
      </c>
      <c r="BK41" s="59">
        <v>89.8</v>
      </c>
      <c r="BL41" s="59">
        <v>33.0</v>
      </c>
      <c r="BM41" s="59">
        <v>67.0</v>
      </c>
      <c r="BN41" s="59">
        <v>0.904</v>
      </c>
      <c r="BO41" s="59">
        <v>0.65</v>
      </c>
      <c r="BP41" s="59">
        <v>4.2E-7</v>
      </c>
      <c r="BQ41" s="59">
        <v>2400000.0</v>
      </c>
      <c r="BR41" s="60">
        <v>0.184</v>
      </c>
      <c r="BS41" s="60">
        <v>6.6E-4</v>
      </c>
      <c r="BT41" s="60">
        <v>33.0</v>
      </c>
      <c r="BU41" s="60">
        <v>4.0</v>
      </c>
      <c r="BV41" s="60">
        <v>0.12121212121212122</v>
      </c>
      <c r="BW41" s="60">
        <v>0.972</v>
      </c>
      <c r="BX41" s="50">
        <v>1.6845148294270413E-4</v>
      </c>
      <c r="BY41" s="50">
        <v>3.717670548429923E-10</v>
      </c>
      <c r="BZ41" s="62">
        <v>3410.0</v>
      </c>
      <c r="CA41" s="62">
        <v>2595.0</v>
      </c>
      <c r="CB41" s="50">
        <v>16.0</v>
      </c>
    </row>
    <row r="42" ht="14.25" customHeight="1">
      <c r="A42" s="47" t="s">
        <v>415</v>
      </c>
      <c r="B42" s="48" t="s">
        <v>416</v>
      </c>
      <c r="C42" s="49">
        <v>92.90638</v>
      </c>
      <c r="D42" s="50">
        <v>41.0</v>
      </c>
      <c r="E42" s="50">
        <v>5.0</v>
      </c>
      <c r="F42" s="50">
        <v>5.0</v>
      </c>
      <c r="G42" s="51">
        <v>2.0</v>
      </c>
      <c r="H42" s="51">
        <v>1.0</v>
      </c>
      <c r="I42" s="50">
        <v>47.0</v>
      </c>
      <c r="J42" s="50">
        <v>4.0</v>
      </c>
      <c r="K42" s="50">
        <v>1.0</v>
      </c>
      <c r="L42" s="50">
        <v>0.0</v>
      </c>
      <c r="M42" s="50">
        <v>4.0</v>
      </c>
      <c r="N42" s="50">
        <v>0.0</v>
      </c>
      <c r="O42" s="52">
        <v>1.0</v>
      </c>
      <c r="P42" s="52">
        <v>6.0</v>
      </c>
      <c r="Q42" s="52">
        <v>6.0</v>
      </c>
      <c r="R42" s="52">
        <v>14.0</v>
      </c>
      <c r="S42" s="50">
        <v>5.0</v>
      </c>
      <c r="T42" s="50">
        <v>1.0</v>
      </c>
      <c r="U42" s="50">
        <v>3.0</v>
      </c>
      <c r="V42" s="52">
        <v>5.0</v>
      </c>
      <c r="W42" s="50">
        <v>5.0</v>
      </c>
      <c r="X42" s="54">
        <v>3.523</v>
      </c>
      <c r="Y42" s="54">
        <v>1.195</v>
      </c>
      <c r="Z42" s="49">
        <v>6.7589</v>
      </c>
      <c r="AA42" s="54">
        <v>0.9226105828220859</v>
      </c>
      <c r="AB42" s="55">
        <v>4.0</v>
      </c>
      <c r="AC42" s="54">
        <v>2.974</v>
      </c>
      <c r="AD42" s="50">
        <v>1.6</v>
      </c>
      <c r="AE42" s="50">
        <v>2.03</v>
      </c>
      <c r="AF42" s="50">
        <v>4.0</v>
      </c>
      <c r="AG42" s="64">
        <v>1.83</v>
      </c>
      <c r="AH42" s="50">
        <v>1.41</v>
      </c>
      <c r="AI42" s="55">
        <v>1.21</v>
      </c>
      <c r="AJ42" s="55">
        <v>1.68</v>
      </c>
      <c r="AK42" s="50">
        <v>1.8</v>
      </c>
      <c r="AL42" s="55">
        <v>1.15</v>
      </c>
      <c r="AM42" s="49">
        <v>1.98</v>
      </c>
      <c r="AN42" s="49">
        <v>1.37</v>
      </c>
      <c r="AO42" s="49">
        <v>0.86</v>
      </c>
      <c r="AP42" s="56">
        <v>0.72</v>
      </c>
      <c r="AQ42" s="56">
        <v>1.43</v>
      </c>
      <c r="AR42" s="56">
        <v>2.15</v>
      </c>
      <c r="AS42" s="49">
        <v>2.76</v>
      </c>
      <c r="AT42" s="49">
        <v>0.78</v>
      </c>
      <c r="AU42" s="56">
        <v>1.64</v>
      </c>
      <c r="AV42" s="56">
        <v>1.45</v>
      </c>
      <c r="AW42" s="56">
        <v>1.589</v>
      </c>
      <c r="AX42" s="56">
        <v>1.456</v>
      </c>
      <c r="AY42" s="56">
        <v>1.342</v>
      </c>
      <c r="AZ42" s="50">
        <v>15.7</v>
      </c>
      <c r="BA42" s="50">
        <v>2741.15</v>
      </c>
      <c r="BB42" s="50">
        <v>5015.15</v>
      </c>
      <c r="BC42" s="50">
        <v>8.57</v>
      </c>
      <c r="BD42" s="50">
        <v>0.26</v>
      </c>
      <c r="BE42" s="50">
        <v>26.4</v>
      </c>
      <c r="BF42" s="59">
        <v>682.0</v>
      </c>
      <c r="BG42" s="59">
        <v>726.0</v>
      </c>
      <c r="BH42" s="50">
        <v>53.7</v>
      </c>
      <c r="BI42" s="59">
        <v>7.3E-6</v>
      </c>
      <c r="BJ42" s="50">
        <v>7.57</v>
      </c>
      <c r="BK42" s="59">
        <v>170.0</v>
      </c>
      <c r="BL42" s="59">
        <v>38.0</v>
      </c>
      <c r="BM42" s="59">
        <v>105.0</v>
      </c>
      <c r="BN42" s="59">
        <v>1.32</v>
      </c>
      <c r="BO42" s="59">
        <v>0.736</v>
      </c>
      <c r="BP42" s="59">
        <v>1.5E-7</v>
      </c>
      <c r="BQ42" s="59">
        <v>6700000.0</v>
      </c>
      <c r="BR42" s="60">
        <v>1.15</v>
      </c>
      <c r="BS42" s="60">
        <v>4.0E-4</v>
      </c>
      <c r="BT42" s="60">
        <v>33.0</v>
      </c>
      <c r="BU42" s="60">
        <v>1.0</v>
      </c>
      <c r="BV42" s="60">
        <v>0.030303030303030304</v>
      </c>
      <c r="BW42" s="60">
        <v>1.0</v>
      </c>
      <c r="BX42" s="50">
        <v>2.041836156881262E-5</v>
      </c>
      <c r="BY42" s="50">
        <v>2.2762579322842858E-11</v>
      </c>
      <c r="BZ42" s="62">
        <v>8525.0</v>
      </c>
      <c r="CA42" s="62">
        <v>8792.0</v>
      </c>
      <c r="CB42" s="50">
        <v>18.0</v>
      </c>
    </row>
    <row r="43" ht="14.25" customHeight="1">
      <c r="A43" s="47" t="s">
        <v>417</v>
      </c>
      <c r="B43" s="48" t="s">
        <v>418</v>
      </c>
      <c r="C43" s="49">
        <v>95.95</v>
      </c>
      <c r="D43" s="50">
        <v>42.0</v>
      </c>
      <c r="E43" s="50">
        <v>5.0</v>
      </c>
      <c r="F43" s="50">
        <v>6.0</v>
      </c>
      <c r="G43" s="51">
        <v>2.0</v>
      </c>
      <c r="H43" s="51">
        <v>1.0</v>
      </c>
      <c r="I43" s="50">
        <v>50.0</v>
      </c>
      <c r="J43" s="50">
        <v>4.0</v>
      </c>
      <c r="K43" s="50">
        <v>1.0</v>
      </c>
      <c r="L43" s="50">
        <v>0.0</v>
      </c>
      <c r="M43" s="50">
        <v>5.0</v>
      </c>
      <c r="N43" s="50">
        <v>0.0</v>
      </c>
      <c r="O43" s="52">
        <v>1.0</v>
      </c>
      <c r="P43" s="52">
        <v>6.0</v>
      </c>
      <c r="Q43" s="52">
        <v>5.0</v>
      </c>
      <c r="R43" s="52">
        <v>14.0</v>
      </c>
      <c r="S43" s="50">
        <v>6.0</v>
      </c>
      <c r="T43" s="50">
        <v>1.0</v>
      </c>
      <c r="U43" s="50">
        <v>4.0</v>
      </c>
      <c r="V43" s="52">
        <v>5.78</v>
      </c>
      <c r="W43" s="50">
        <v>5.78</v>
      </c>
      <c r="X43" s="54">
        <v>3.609</v>
      </c>
      <c r="Y43" s="54">
        <v>1.166</v>
      </c>
      <c r="Z43" s="49">
        <v>7.0924</v>
      </c>
      <c r="AA43" s="54">
        <v>0.7465684210526315</v>
      </c>
      <c r="AB43" s="55">
        <v>3.9</v>
      </c>
      <c r="AC43" s="54">
        <v>3.0992</v>
      </c>
      <c r="AD43" s="50">
        <v>2.16</v>
      </c>
      <c r="AE43" s="50">
        <v>1.94</v>
      </c>
      <c r="AF43" s="50">
        <v>3.9</v>
      </c>
      <c r="AG43" s="55">
        <v>2.16</v>
      </c>
      <c r="AH43" s="50">
        <v>1.47</v>
      </c>
      <c r="AI43" s="55">
        <v>1.26</v>
      </c>
      <c r="AJ43" s="55">
        <v>2.07</v>
      </c>
      <c r="AK43" s="50">
        <v>2.1</v>
      </c>
      <c r="AL43" s="55">
        <v>1.32</v>
      </c>
      <c r="AM43" s="49">
        <v>1.9</v>
      </c>
      <c r="AN43" s="49">
        <v>1.45</v>
      </c>
      <c r="AO43" s="49">
        <v>0.83</v>
      </c>
      <c r="AP43" s="56">
        <v>0.69</v>
      </c>
      <c r="AQ43" s="56">
        <v>1.39</v>
      </c>
      <c r="AR43" s="57">
        <v>2.07527215</v>
      </c>
      <c r="AS43" s="49">
        <v>2.72</v>
      </c>
      <c r="AT43" s="49">
        <v>0.79</v>
      </c>
      <c r="AU43" s="56">
        <v>1.54</v>
      </c>
      <c r="AV43" s="56">
        <v>1.45</v>
      </c>
      <c r="AW43" s="56">
        <v>1.52</v>
      </c>
      <c r="AX43" s="56">
        <v>1.386</v>
      </c>
      <c r="AY43" s="56">
        <v>1.291</v>
      </c>
      <c r="AZ43" s="50">
        <v>12.8</v>
      </c>
      <c r="BA43" s="50">
        <v>2890.15</v>
      </c>
      <c r="BB43" s="50">
        <v>4885.15</v>
      </c>
      <c r="BC43" s="50">
        <v>10.2</v>
      </c>
      <c r="BD43" s="50">
        <v>0.25</v>
      </c>
      <c r="BE43" s="50">
        <v>32.0</v>
      </c>
      <c r="BF43" s="59">
        <v>598.0</v>
      </c>
      <c r="BG43" s="59">
        <v>658.0</v>
      </c>
      <c r="BH43" s="50">
        <v>138.0</v>
      </c>
      <c r="BI43" s="59">
        <v>4.8E-6</v>
      </c>
      <c r="BJ43" s="50">
        <v>6.82</v>
      </c>
      <c r="BK43" s="59">
        <v>261.0</v>
      </c>
      <c r="BL43" s="59">
        <v>20.0</v>
      </c>
      <c r="BM43" s="59">
        <v>329.0</v>
      </c>
      <c r="BN43" s="59">
        <v>1.53</v>
      </c>
      <c r="BO43" s="59">
        <v>1.5</v>
      </c>
      <c r="BP43" s="59">
        <v>4.999999999997E-8</v>
      </c>
      <c r="BQ43" s="59">
        <v>2.0E7</v>
      </c>
      <c r="BR43" s="60">
        <v>2.6</v>
      </c>
      <c r="BS43" s="60">
        <v>9.0E-4</v>
      </c>
      <c r="BT43" s="60">
        <v>33.0</v>
      </c>
      <c r="BU43" s="60">
        <v>6.0</v>
      </c>
      <c r="BV43" s="60">
        <v>0.18181818181818182</v>
      </c>
      <c r="BW43" s="60">
        <v>0.9037</v>
      </c>
      <c r="BX43" s="50">
        <v>1.2251016941287572E-6</v>
      </c>
      <c r="BY43" s="50">
        <v>8.315842016224826E-11</v>
      </c>
      <c r="BZ43" s="62">
        <v>2410.0</v>
      </c>
      <c r="CA43" s="62">
        <v>5260.0</v>
      </c>
      <c r="CB43" s="50">
        <v>11.0</v>
      </c>
    </row>
    <row r="44" ht="14.25" customHeight="1">
      <c r="A44" s="47" t="s">
        <v>419</v>
      </c>
      <c r="B44" s="48" t="s">
        <v>420</v>
      </c>
      <c r="C44" s="49">
        <v>97.9072</v>
      </c>
      <c r="D44" s="50">
        <v>43.0</v>
      </c>
      <c r="E44" s="50">
        <v>5.0</v>
      </c>
      <c r="F44" s="50">
        <v>7.0</v>
      </c>
      <c r="G44" s="51">
        <v>2.0</v>
      </c>
      <c r="H44" s="51">
        <v>1.0</v>
      </c>
      <c r="I44" s="50">
        <v>53.0</v>
      </c>
      <c r="J44" s="50">
        <v>4.0</v>
      </c>
      <c r="K44" s="50">
        <v>2.0</v>
      </c>
      <c r="L44" s="50">
        <v>0.0</v>
      </c>
      <c r="M44" s="50">
        <v>5.0</v>
      </c>
      <c r="N44" s="50">
        <v>0.0</v>
      </c>
      <c r="O44" s="52">
        <v>0.0</v>
      </c>
      <c r="P44" s="52">
        <v>6.0</v>
      </c>
      <c r="Q44" s="52">
        <v>5.0</v>
      </c>
      <c r="R44" s="52">
        <v>14.0</v>
      </c>
      <c r="S44" s="50">
        <v>7.0</v>
      </c>
      <c r="T44" s="50">
        <v>2.0</v>
      </c>
      <c r="U44" s="50">
        <v>5.0</v>
      </c>
      <c r="V44" s="52">
        <v>5.78</v>
      </c>
      <c r="W44" s="50">
        <v>5.78</v>
      </c>
      <c r="X44" s="54">
        <v>3.655</v>
      </c>
      <c r="Y44" s="54">
        <v>1.151</v>
      </c>
      <c r="Z44" s="49">
        <v>7.28</v>
      </c>
      <c r="AA44" s="54">
        <v>0.5496296296296296</v>
      </c>
      <c r="AB44" s="64">
        <v>4.4</v>
      </c>
      <c r="AC44" s="54">
        <v>3.2244</v>
      </c>
      <c r="AD44" s="50">
        <v>1.9</v>
      </c>
      <c r="AE44" s="50">
        <v>2.18</v>
      </c>
      <c r="AF44" s="50">
        <v>4.0</v>
      </c>
      <c r="AG44" s="64">
        <v>2.12</v>
      </c>
      <c r="AH44" s="50">
        <v>1.51</v>
      </c>
      <c r="AI44" s="55">
        <v>1.3</v>
      </c>
      <c r="AJ44" s="55">
        <v>1.96</v>
      </c>
      <c r="AK44" s="50">
        <v>2.27</v>
      </c>
      <c r="AL44" s="55">
        <v>1.5</v>
      </c>
      <c r="AM44" s="49">
        <v>1.83</v>
      </c>
      <c r="AN44" s="49">
        <v>1.56</v>
      </c>
      <c r="AO44" s="49">
        <v>0.79</v>
      </c>
      <c r="AP44" s="56">
        <v>0.65</v>
      </c>
      <c r="AQ44" s="56">
        <v>1.36</v>
      </c>
      <c r="AR44" s="56">
        <v>2.05</v>
      </c>
      <c r="AS44" s="49">
        <v>2.65</v>
      </c>
      <c r="AT44" s="49">
        <v>0.79</v>
      </c>
      <c r="AU44" s="56">
        <v>1.47</v>
      </c>
      <c r="AV44" s="56">
        <v>1.35</v>
      </c>
      <c r="AW44" s="56">
        <v>1.391</v>
      </c>
      <c r="AX44" s="58" t="s">
        <v>338</v>
      </c>
      <c r="AY44" s="58" t="s">
        <v>338</v>
      </c>
      <c r="AZ44" s="50">
        <v>11.4</v>
      </c>
      <c r="BA44" s="50">
        <v>2445.15</v>
      </c>
      <c r="BB44" s="50">
        <v>5150.15</v>
      </c>
      <c r="BC44" s="50">
        <v>11.5</v>
      </c>
      <c r="BD44" s="50">
        <v>0.21</v>
      </c>
      <c r="BE44" s="50">
        <v>24.0</v>
      </c>
      <c r="BF44" s="59">
        <v>660.0</v>
      </c>
      <c r="BG44" s="59">
        <v>677.0</v>
      </c>
      <c r="BH44" s="50">
        <v>50.6</v>
      </c>
      <c r="BI44" s="53" t="s">
        <v>338</v>
      </c>
      <c r="BJ44" s="50">
        <v>6.85</v>
      </c>
      <c r="BK44" s="59">
        <v>281.0</v>
      </c>
      <c r="BL44" s="53" t="s">
        <v>338</v>
      </c>
      <c r="BM44" s="53" t="s">
        <v>338</v>
      </c>
      <c r="BN44" s="53" t="s">
        <v>338</v>
      </c>
      <c r="BO44" s="53" t="s">
        <v>338</v>
      </c>
      <c r="BP44" s="59">
        <v>2.0E-7</v>
      </c>
      <c r="BQ44" s="59">
        <v>5000000.0</v>
      </c>
      <c r="BR44" s="60">
        <v>22.0</v>
      </c>
      <c r="BS44" s="53" t="s">
        <v>338</v>
      </c>
      <c r="BT44" s="60">
        <v>34.0</v>
      </c>
      <c r="BU44" s="60">
        <v>0.0</v>
      </c>
      <c r="BV44" s="60">
        <v>0.0</v>
      </c>
      <c r="BW44" s="60">
        <v>0.0</v>
      </c>
      <c r="BX44" s="53" t="s">
        <v>338</v>
      </c>
      <c r="BY44" s="50">
        <v>3.261114516166599E-11</v>
      </c>
      <c r="BZ44" s="61" t="s">
        <v>338</v>
      </c>
      <c r="CA44" s="61" t="s">
        <v>338</v>
      </c>
      <c r="CB44" s="53" t="s">
        <v>338</v>
      </c>
    </row>
    <row r="45" ht="14.25" customHeight="1">
      <c r="A45" s="47" t="s">
        <v>421</v>
      </c>
      <c r="B45" s="48" t="s">
        <v>422</v>
      </c>
      <c r="C45" s="49">
        <v>101.07</v>
      </c>
      <c r="D45" s="50">
        <v>44.0</v>
      </c>
      <c r="E45" s="50">
        <v>5.0</v>
      </c>
      <c r="F45" s="50">
        <v>8.0</v>
      </c>
      <c r="G45" s="51">
        <v>2.0</v>
      </c>
      <c r="H45" s="51">
        <v>1.0</v>
      </c>
      <c r="I45" s="50">
        <v>56.0</v>
      </c>
      <c r="J45" s="50">
        <v>4.0</v>
      </c>
      <c r="K45" s="50">
        <v>1.0</v>
      </c>
      <c r="L45" s="50">
        <v>0.0</v>
      </c>
      <c r="M45" s="50">
        <v>7.0</v>
      </c>
      <c r="N45" s="50">
        <v>0.0</v>
      </c>
      <c r="O45" s="52">
        <v>1.0</v>
      </c>
      <c r="P45" s="52">
        <v>6.0</v>
      </c>
      <c r="Q45" s="52">
        <v>3.0</v>
      </c>
      <c r="R45" s="52">
        <v>14.0</v>
      </c>
      <c r="S45" s="50">
        <v>8.0</v>
      </c>
      <c r="T45" s="50">
        <v>1.0</v>
      </c>
      <c r="U45" s="50">
        <v>5.0</v>
      </c>
      <c r="V45" s="52">
        <v>5.78</v>
      </c>
      <c r="W45" s="50">
        <v>5.78</v>
      </c>
      <c r="X45" s="54">
        <v>3.676</v>
      </c>
      <c r="Y45" s="54">
        <v>1.144</v>
      </c>
      <c r="Z45" s="49">
        <v>7.3605</v>
      </c>
      <c r="AA45" s="54">
        <v>1.047057042253521</v>
      </c>
      <c r="AB45" s="55">
        <v>4.5</v>
      </c>
      <c r="AC45" s="54">
        <v>3.336</v>
      </c>
      <c r="AD45" s="50">
        <v>2.2</v>
      </c>
      <c r="AE45" s="50">
        <v>1.97</v>
      </c>
      <c r="AF45" s="50">
        <v>4.5</v>
      </c>
      <c r="AG45" s="64">
        <v>2.15</v>
      </c>
      <c r="AH45" s="50">
        <v>1.54</v>
      </c>
      <c r="AI45" s="55">
        <v>1.35</v>
      </c>
      <c r="AJ45" s="55">
        <v>1.93</v>
      </c>
      <c r="AK45" s="50">
        <v>2.0</v>
      </c>
      <c r="AL45" s="55">
        <v>1.69</v>
      </c>
      <c r="AM45" s="49">
        <v>1.78</v>
      </c>
      <c r="AN45" s="49">
        <v>1.26</v>
      </c>
      <c r="AO45" s="49">
        <v>0.82</v>
      </c>
      <c r="AP45" s="56">
        <v>0.68</v>
      </c>
      <c r="AQ45" s="56">
        <v>1.34</v>
      </c>
      <c r="AR45" s="56">
        <v>2.05</v>
      </c>
      <c r="AS45" s="49">
        <v>2.61</v>
      </c>
      <c r="AT45" s="49">
        <v>0.82</v>
      </c>
      <c r="AU45" s="56">
        <v>1.46</v>
      </c>
      <c r="AV45" s="56">
        <v>1.3</v>
      </c>
      <c r="AW45" s="56">
        <v>1.41</v>
      </c>
      <c r="AX45" s="56">
        <v>1.336</v>
      </c>
      <c r="AY45" s="56">
        <v>1.241</v>
      </c>
      <c r="AZ45" s="50">
        <v>9.6</v>
      </c>
      <c r="BA45" s="50">
        <v>2583.15</v>
      </c>
      <c r="BB45" s="50">
        <v>4173.15</v>
      </c>
      <c r="BC45" s="50">
        <v>12.4</v>
      </c>
      <c r="BD45" s="50">
        <v>0.238</v>
      </c>
      <c r="BE45" s="50">
        <v>24.0</v>
      </c>
      <c r="BF45" s="59">
        <v>595.0</v>
      </c>
      <c r="BG45" s="59">
        <v>643.0</v>
      </c>
      <c r="BH45" s="50">
        <v>117.0</v>
      </c>
      <c r="BI45" s="59">
        <v>6.4E-6</v>
      </c>
      <c r="BJ45" s="50">
        <v>6.74</v>
      </c>
      <c r="BK45" s="59">
        <v>286.0</v>
      </c>
      <c r="BL45" s="59">
        <v>173.0</v>
      </c>
      <c r="BM45" s="59">
        <v>447.0</v>
      </c>
      <c r="BN45" s="59">
        <v>2.298138766667</v>
      </c>
      <c r="BO45" s="59">
        <v>2.16</v>
      </c>
      <c r="BP45" s="59">
        <v>7.000000000002E-8</v>
      </c>
      <c r="BQ45" s="59">
        <v>1.4E7</v>
      </c>
      <c r="BR45" s="60">
        <v>2.6</v>
      </c>
      <c r="BS45" s="60">
        <v>9.0E-4</v>
      </c>
      <c r="BT45" s="60">
        <v>34.0</v>
      </c>
      <c r="BU45" s="60">
        <v>7.0</v>
      </c>
      <c r="BV45" s="60">
        <v>0.20588235294117646</v>
      </c>
      <c r="BW45" s="60">
        <v>1.0</v>
      </c>
      <c r="BX45" s="50">
        <v>1.0209180784406311E-9</v>
      </c>
      <c r="BY45" s="50">
        <v>6.065673000069873E-11</v>
      </c>
      <c r="BZ45" s="62">
        <v>3239.0</v>
      </c>
      <c r="CA45" s="62">
        <v>8000.0</v>
      </c>
      <c r="CB45" s="50">
        <v>1400.0</v>
      </c>
    </row>
    <row r="46" ht="14.25" customHeight="1">
      <c r="A46" s="47" t="s">
        <v>423</v>
      </c>
      <c r="B46" s="48" t="s">
        <v>424</v>
      </c>
      <c r="C46" s="49">
        <v>102.9055</v>
      </c>
      <c r="D46" s="50">
        <v>45.0</v>
      </c>
      <c r="E46" s="50">
        <v>5.0</v>
      </c>
      <c r="F46" s="50">
        <v>9.0</v>
      </c>
      <c r="G46" s="51">
        <v>2.0</v>
      </c>
      <c r="H46" s="51">
        <v>1.0</v>
      </c>
      <c r="I46" s="50">
        <v>59.0</v>
      </c>
      <c r="J46" s="50">
        <v>4.0</v>
      </c>
      <c r="K46" s="50">
        <v>1.0</v>
      </c>
      <c r="L46" s="50">
        <v>0.0</v>
      </c>
      <c r="M46" s="50">
        <v>8.0</v>
      </c>
      <c r="N46" s="50">
        <v>0.0</v>
      </c>
      <c r="O46" s="52">
        <v>1.0</v>
      </c>
      <c r="P46" s="52">
        <v>6.0</v>
      </c>
      <c r="Q46" s="52">
        <v>2.0</v>
      </c>
      <c r="R46" s="52">
        <v>14.0</v>
      </c>
      <c r="S46" s="50">
        <v>9.0</v>
      </c>
      <c r="T46" s="50">
        <v>1.0</v>
      </c>
      <c r="U46" s="50">
        <v>4.0</v>
      </c>
      <c r="V46" s="52">
        <v>5.78</v>
      </c>
      <c r="W46" s="50">
        <v>5.78</v>
      </c>
      <c r="X46" s="54">
        <v>3.701</v>
      </c>
      <c r="Y46" s="54">
        <v>1.137</v>
      </c>
      <c r="Z46" s="49">
        <v>7.4589</v>
      </c>
      <c r="AA46" s="54">
        <v>1.1395541666666666</v>
      </c>
      <c r="AB46" s="55">
        <v>4.3</v>
      </c>
      <c r="AC46" s="54">
        <v>3.4611</v>
      </c>
      <c r="AD46" s="50">
        <v>2.28</v>
      </c>
      <c r="AE46" s="50">
        <v>1.99</v>
      </c>
      <c r="AF46" s="50">
        <v>4.3</v>
      </c>
      <c r="AG46" s="55">
        <v>2.28</v>
      </c>
      <c r="AH46" s="50">
        <v>1.56</v>
      </c>
      <c r="AI46" s="55">
        <v>1.39</v>
      </c>
      <c r="AJ46" s="55">
        <v>1.72</v>
      </c>
      <c r="AK46" s="50">
        <v>2.26</v>
      </c>
      <c r="AL46" s="55">
        <v>1.9</v>
      </c>
      <c r="AM46" s="49">
        <v>1.73</v>
      </c>
      <c r="AN46" s="49">
        <v>1.35</v>
      </c>
      <c r="AO46" s="49">
        <v>0.81</v>
      </c>
      <c r="AP46" s="56">
        <v>0.67</v>
      </c>
      <c r="AQ46" s="56">
        <v>1.32</v>
      </c>
      <c r="AR46" s="56">
        <v>2.0</v>
      </c>
      <c r="AS46" s="49">
        <v>2.52</v>
      </c>
      <c r="AT46" s="49">
        <v>0.81</v>
      </c>
      <c r="AU46" s="56">
        <v>1.42</v>
      </c>
      <c r="AV46" s="56">
        <v>1.35</v>
      </c>
      <c r="AW46" s="56">
        <v>1.364</v>
      </c>
      <c r="AX46" s="56">
        <v>1.342</v>
      </c>
      <c r="AY46" s="56">
        <v>1.247</v>
      </c>
      <c r="AZ46" s="50">
        <v>8.6</v>
      </c>
      <c r="BA46" s="50">
        <v>2239.15</v>
      </c>
      <c r="BB46" s="50">
        <v>4000.15</v>
      </c>
      <c r="BC46" s="50">
        <v>12.4</v>
      </c>
      <c r="BD46" s="50">
        <v>0.242</v>
      </c>
      <c r="BE46" s="50">
        <v>21.5</v>
      </c>
      <c r="BF46" s="59">
        <v>493.0</v>
      </c>
      <c r="BG46" s="59">
        <v>556.0</v>
      </c>
      <c r="BH46" s="50">
        <v>150.0</v>
      </c>
      <c r="BI46" s="59">
        <v>8.0E-6</v>
      </c>
      <c r="BJ46" s="50">
        <v>5.75</v>
      </c>
      <c r="BK46" s="59">
        <v>276.0</v>
      </c>
      <c r="BL46" s="59">
        <v>150.0</v>
      </c>
      <c r="BM46" s="59">
        <v>275.0</v>
      </c>
      <c r="BN46" s="59">
        <v>1.246</v>
      </c>
      <c r="BO46" s="59">
        <v>1.1</v>
      </c>
      <c r="BP46" s="59">
        <v>4.300000000003E-8</v>
      </c>
      <c r="BQ46" s="59">
        <v>2.3E7</v>
      </c>
      <c r="BR46" s="60">
        <v>145.0</v>
      </c>
      <c r="BS46" s="60">
        <v>0.063</v>
      </c>
      <c r="BT46" s="60">
        <v>34.0</v>
      </c>
      <c r="BU46" s="60">
        <v>1.0</v>
      </c>
      <c r="BV46" s="60">
        <v>0.029411764705882353</v>
      </c>
      <c r="BW46" s="60">
        <v>1.0</v>
      </c>
      <c r="BX46" s="50">
        <v>1.0209180784406311E-9</v>
      </c>
      <c r="BY46" s="50">
        <v>1.12182339356131E-11</v>
      </c>
      <c r="BZ46" s="62">
        <v>3239.0</v>
      </c>
      <c r="CA46" s="62">
        <v>8000.0</v>
      </c>
      <c r="CB46" s="50">
        <v>13000.0</v>
      </c>
    </row>
    <row r="47" ht="14.25" customHeight="1">
      <c r="A47" s="47" t="s">
        <v>425</v>
      </c>
      <c r="B47" s="48" t="s">
        <v>426</v>
      </c>
      <c r="C47" s="49">
        <v>106.42</v>
      </c>
      <c r="D47" s="50">
        <v>46.0</v>
      </c>
      <c r="E47" s="50">
        <v>5.0</v>
      </c>
      <c r="F47" s="50">
        <v>10.0</v>
      </c>
      <c r="G47" s="51">
        <v>2.0</v>
      </c>
      <c r="H47" s="51">
        <v>1.0</v>
      </c>
      <c r="I47" s="50">
        <v>62.0</v>
      </c>
      <c r="J47" s="50">
        <v>4.0</v>
      </c>
      <c r="K47" s="50">
        <v>0.0</v>
      </c>
      <c r="L47" s="50">
        <v>0.0</v>
      </c>
      <c r="M47" s="50">
        <v>10.0</v>
      </c>
      <c r="N47" s="50">
        <v>0.0</v>
      </c>
      <c r="O47" s="52">
        <v>2.0</v>
      </c>
      <c r="P47" s="52">
        <v>6.0</v>
      </c>
      <c r="Q47" s="52">
        <v>0.0</v>
      </c>
      <c r="R47" s="52">
        <v>14.0</v>
      </c>
      <c r="S47" s="50">
        <v>10.0</v>
      </c>
      <c r="T47" s="50">
        <v>10.0</v>
      </c>
      <c r="U47" s="50">
        <v>3.0</v>
      </c>
      <c r="V47" s="52">
        <v>5.78</v>
      </c>
      <c r="W47" s="50">
        <v>5.78</v>
      </c>
      <c r="X47" s="54">
        <v>3.101</v>
      </c>
      <c r="Y47" s="54">
        <v>0.86</v>
      </c>
      <c r="Z47" s="49">
        <v>8.3369</v>
      </c>
      <c r="AA47" s="54">
        <v>0.5599410447761194</v>
      </c>
      <c r="AB47" s="55">
        <v>4.45</v>
      </c>
      <c r="AC47" s="54">
        <v>3.5727</v>
      </c>
      <c r="AD47" s="50">
        <v>2.2</v>
      </c>
      <c r="AE47" s="50">
        <v>2.08</v>
      </c>
      <c r="AF47" s="50">
        <v>4.45</v>
      </c>
      <c r="AG47" s="55">
        <v>2.2</v>
      </c>
      <c r="AH47" s="50">
        <v>1.59</v>
      </c>
      <c r="AI47" s="55">
        <v>1.61</v>
      </c>
      <c r="AJ47" s="55">
        <v>1.98</v>
      </c>
      <c r="AK47" s="50">
        <v>6.68</v>
      </c>
      <c r="AL47" s="55">
        <v>2.13</v>
      </c>
      <c r="AM47" s="49">
        <v>1.69</v>
      </c>
      <c r="AN47" s="49">
        <v>1.31</v>
      </c>
      <c r="AO47" s="49">
        <v>0.73</v>
      </c>
      <c r="AP47" s="56">
        <v>0.59</v>
      </c>
      <c r="AQ47" s="56">
        <v>1.42</v>
      </c>
      <c r="AR47" s="56">
        <v>1.63</v>
      </c>
      <c r="AS47" s="49">
        <v>2.45</v>
      </c>
      <c r="AT47" s="49">
        <v>0.78</v>
      </c>
      <c r="AU47" s="56">
        <v>1.39</v>
      </c>
      <c r="AV47" s="56">
        <v>1.4</v>
      </c>
      <c r="AW47" s="56">
        <v>0.5670000000000001</v>
      </c>
      <c r="AX47" s="56">
        <v>1.373</v>
      </c>
      <c r="AY47" s="56">
        <v>1.278</v>
      </c>
      <c r="AZ47" s="50">
        <v>4.8</v>
      </c>
      <c r="BA47" s="50">
        <v>1827.15</v>
      </c>
      <c r="BB47" s="50">
        <v>3413.15</v>
      </c>
      <c r="BC47" s="50">
        <v>12.0</v>
      </c>
      <c r="BD47" s="50">
        <v>0.24</v>
      </c>
      <c r="BE47" s="50">
        <v>17.6</v>
      </c>
      <c r="BF47" s="59">
        <v>357.0</v>
      </c>
      <c r="BG47" s="59">
        <v>378.0</v>
      </c>
      <c r="BH47" s="50">
        <v>71.8</v>
      </c>
      <c r="BI47" s="59">
        <v>1.18E-5</v>
      </c>
      <c r="BJ47" s="50">
        <v>3.89</v>
      </c>
      <c r="BK47" s="59">
        <v>187.0</v>
      </c>
      <c r="BL47" s="59">
        <v>44.0</v>
      </c>
      <c r="BM47" s="59">
        <v>121.0</v>
      </c>
      <c r="BN47" s="59">
        <v>0.461</v>
      </c>
      <c r="BO47" s="59">
        <v>0.037200000000000004</v>
      </c>
      <c r="BP47" s="59">
        <v>1.0E-7</v>
      </c>
      <c r="BQ47" s="59">
        <v>1.0E7</v>
      </c>
      <c r="BR47" s="60">
        <v>6.9</v>
      </c>
      <c r="BS47" s="60">
        <v>0.0023</v>
      </c>
      <c r="BT47" s="60">
        <v>34.0</v>
      </c>
      <c r="BU47" s="60">
        <v>6.0</v>
      </c>
      <c r="BV47" s="60">
        <v>0.17647058823529413</v>
      </c>
      <c r="BW47" s="60">
        <v>1.0</v>
      </c>
      <c r="BX47" s="50">
        <v>1.5313771176609467E-8</v>
      </c>
      <c r="BY47" s="50">
        <v>4.532949177471572E-11</v>
      </c>
      <c r="BZ47" s="62">
        <v>3239.0</v>
      </c>
      <c r="CA47" s="62">
        <v>8000.0</v>
      </c>
      <c r="CB47" s="50">
        <v>15.0</v>
      </c>
    </row>
    <row r="48" ht="14.25" customHeight="1">
      <c r="A48" s="47" t="s">
        <v>427</v>
      </c>
      <c r="B48" s="48" t="s">
        <v>428</v>
      </c>
      <c r="C48" s="49">
        <v>107.8682</v>
      </c>
      <c r="D48" s="50">
        <v>47.0</v>
      </c>
      <c r="E48" s="50">
        <v>5.0</v>
      </c>
      <c r="F48" s="50">
        <v>11.0</v>
      </c>
      <c r="G48" s="51">
        <v>0.0</v>
      </c>
      <c r="H48" s="51">
        <v>1.0</v>
      </c>
      <c r="I48" s="50">
        <v>65.0</v>
      </c>
      <c r="J48" s="50">
        <v>4.0</v>
      </c>
      <c r="K48" s="50">
        <v>1.0</v>
      </c>
      <c r="L48" s="50">
        <v>0.0</v>
      </c>
      <c r="M48" s="50">
        <v>10.0</v>
      </c>
      <c r="N48" s="50">
        <v>0.0</v>
      </c>
      <c r="O48" s="52">
        <v>1.0</v>
      </c>
      <c r="P48" s="52">
        <v>6.0</v>
      </c>
      <c r="Q48" s="52">
        <v>0.0</v>
      </c>
      <c r="R48" s="52">
        <v>14.0</v>
      </c>
      <c r="S48" s="50">
        <v>11.0</v>
      </c>
      <c r="T48" s="50">
        <v>1.0</v>
      </c>
      <c r="U48" s="50">
        <v>2.0</v>
      </c>
      <c r="V48" s="52">
        <v>5.44</v>
      </c>
      <c r="W48" s="50">
        <v>5.44</v>
      </c>
      <c r="X48" s="54">
        <v>3.73</v>
      </c>
      <c r="Y48" s="54">
        <v>1.128</v>
      </c>
      <c r="Z48" s="49">
        <v>7.5762</v>
      </c>
      <c r="AA48" s="54">
        <v>1.3058839945280436</v>
      </c>
      <c r="AB48" s="55">
        <v>4.44</v>
      </c>
      <c r="AC48" s="54">
        <v>3.6842</v>
      </c>
      <c r="AD48" s="50">
        <v>1.93</v>
      </c>
      <c r="AE48" s="50">
        <v>1.07</v>
      </c>
      <c r="AF48" s="50">
        <v>4.44</v>
      </c>
      <c r="AG48" s="55">
        <v>1.93</v>
      </c>
      <c r="AH48" s="50">
        <v>1.87</v>
      </c>
      <c r="AI48" s="55">
        <v>1.45</v>
      </c>
      <c r="AJ48" s="55">
        <v>2.18</v>
      </c>
      <c r="AK48" s="50">
        <v>1.9</v>
      </c>
      <c r="AL48" s="55">
        <v>2.38</v>
      </c>
      <c r="AM48" s="49">
        <v>1.65</v>
      </c>
      <c r="AN48" s="49">
        <v>1.53</v>
      </c>
      <c r="AO48" s="49">
        <v>1.29</v>
      </c>
      <c r="AP48" s="56">
        <v>1.15</v>
      </c>
      <c r="AQ48" s="56">
        <v>1.44</v>
      </c>
      <c r="AR48" s="56">
        <v>1.72</v>
      </c>
      <c r="AS48" s="49">
        <v>2.38</v>
      </c>
      <c r="AT48" s="49">
        <v>1.29</v>
      </c>
      <c r="AU48" s="56">
        <v>1.45</v>
      </c>
      <c r="AV48" s="56">
        <v>1.6</v>
      </c>
      <c r="AW48" s="56">
        <v>1.286</v>
      </c>
      <c r="AX48" s="56">
        <v>1.442</v>
      </c>
      <c r="AY48" s="56">
        <v>1.339</v>
      </c>
      <c r="AZ48" s="50">
        <v>7.9</v>
      </c>
      <c r="BA48" s="50">
        <v>1235.15</v>
      </c>
      <c r="BB48" s="50">
        <v>2485.15</v>
      </c>
      <c r="BC48" s="50">
        <v>10.5</v>
      </c>
      <c r="BD48" s="50">
        <v>0.235</v>
      </c>
      <c r="BE48" s="50">
        <v>11.3</v>
      </c>
      <c r="BF48" s="59">
        <v>250.58</v>
      </c>
      <c r="BG48" s="59">
        <v>284.0</v>
      </c>
      <c r="BH48" s="50">
        <v>429.0</v>
      </c>
      <c r="BI48" s="59">
        <v>1.89E-5</v>
      </c>
      <c r="BJ48" s="50">
        <v>2.95</v>
      </c>
      <c r="BK48" s="59">
        <v>104.0</v>
      </c>
      <c r="BL48" s="59">
        <v>30.0</v>
      </c>
      <c r="BM48" s="59">
        <v>85.0</v>
      </c>
      <c r="BN48" s="59">
        <v>0.251</v>
      </c>
      <c r="BO48" s="59">
        <v>0.0245</v>
      </c>
      <c r="BP48" s="59">
        <v>1.6E-8</v>
      </c>
      <c r="BQ48" s="59">
        <v>6.2E7</v>
      </c>
      <c r="BR48" s="60">
        <v>63.6</v>
      </c>
      <c r="BS48" s="60">
        <v>0.02</v>
      </c>
      <c r="BT48" s="60">
        <v>38.0</v>
      </c>
      <c r="BU48" s="60">
        <v>2.0</v>
      </c>
      <c r="BV48" s="60">
        <v>0.05263157894736842</v>
      </c>
      <c r="BW48" s="60">
        <v>1.0</v>
      </c>
      <c r="BX48" s="50">
        <v>7.656885588304732E-8</v>
      </c>
      <c r="BY48" s="50">
        <v>1.584901654856967E-11</v>
      </c>
      <c r="BZ48" s="62">
        <v>1229.0</v>
      </c>
      <c r="CA48" s="62">
        <v>1368.0</v>
      </c>
      <c r="CB48" s="50">
        <v>120.0</v>
      </c>
    </row>
    <row r="49" ht="14.25" customHeight="1">
      <c r="A49" s="47" t="s">
        <v>429</v>
      </c>
      <c r="B49" s="48" t="s">
        <v>430</v>
      </c>
      <c r="C49" s="49">
        <v>112.411</v>
      </c>
      <c r="D49" s="50">
        <v>48.0</v>
      </c>
      <c r="E49" s="50">
        <v>5.0</v>
      </c>
      <c r="F49" s="50">
        <v>12.0</v>
      </c>
      <c r="G49" s="51">
        <v>0.0</v>
      </c>
      <c r="H49" s="51">
        <v>1.0</v>
      </c>
      <c r="I49" s="50">
        <v>70.0</v>
      </c>
      <c r="J49" s="50">
        <v>4.0</v>
      </c>
      <c r="K49" s="50">
        <v>2.0</v>
      </c>
      <c r="L49" s="50">
        <v>0.0</v>
      </c>
      <c r="M49" s="50">
        <v>10.0</v>
      </c>
      <c r="N49" s="50">
        <v>0.0</v>
      </c>
      <c r="O49" s="52">
        <v>0.0</v>
      </c>
      <c r="P49" s="52">
        <v>6.0</v>
      </c>
      <c r="Q49" s="52">
        <v>0.0</v>
      </c>
      <c r="R49" s="52">
        <v>14.0</v>
      </c>
      <c r="S49" s="50">
        <v>12.0</v>
      </c>
      <c r="T49" s="50">
        <v>2.0</v>
      </c>
      <c r="U49" s="50">
        <v>1.0</v>
      </c>
      <c r="V49" s="52">
        <v>4.44</v>
      </c>
      <c r="W49" s="50">
        <v>4.44</v>
      </c>
      <c r="X49" s="54">
        <v>4.064</v>
      </c>
      <c r="Y49" s="54">
        <v>1.035</v>
      </c>
      <c r="Z49" s="49">
        <v>8.9938</v>
      </c>
      <c r="AA49" s="54">
        <v>-0.7253064516129033</v>
      </c>
      <c r="AB49" s="55">
        <v>4.33</v>
      </c>
      <c r="AC49" s="54">
        <v>3.7958</v>
      </c>
      <c r="AD49" s="50">
        <v>1.69</v>
      </c>
      <c r="AE49" s="50">
        <v>1.4</v>
      </c>
      <c r="AF49" s="50">
        <v>4.33</v>
      </c>
      <c r="AG49" s="55">
        <v>1.69</v>
      </c>
      <c r="AH49" s="50">
        <v>1.52</v>
      </c>
      <c r="AI49" s="55">
        <v>1.45</v>
      </c>
      <c r="AJ49" s="55">
        <v>2.36</v>
      </c>
      <c r="AK49" s="50">
        <v>1.1</v>
      </c>
      <c r="AL49" s="55">
        <v>2.64</v>
      </c>
      <c r="AM49" s="49">
        <v>1.61</v>
      </c>
      <c r="AN49" s="49">
        <v>1.48</v>
      </c>
      <c r="AO49" s="49">
        <v>1.09</v>
      </c>
      <c r="AP49" s="56">
        <v>0.95</v>
      </c>
      <c r="AQ49" s="56">
        <v>1.57</v>
      </c>
      <c r="AR49" s="56">
        <v>1.58</v>
      </c>
      <c r="AS49" s="49">
        <v>2.22</v>
      </c>
      <c r="AT49" s="49">
        <v>0.92</v>
      </c>
      <c r="AU49" s="56">
        <v>1.44</v>
      </c>
      <c r="AV49" s="56">
        <v>1.55</v>
      </c>
      <c r="AW49" s="56">
        <v>1.1840000000000002</v>
      </c>
      <c r="AX49" s="56">
        <v>1.543</v>
      </c>
      <c r="AY49" s="56">
        <v>1.413</v>
      </c>
      <c r="AZ49" s="50">
        <v>7.2</v>
      </c>
      <c r="BA49" s="50">
        <v>594.05</v>
      </c>
      <c r="BB49" s="50">
        <v>1038.15</v>
      </c>
      <c r="BC49" s="50">
        <v>8.65</v>
      </c>
      <c r="BD49" s="50">
        <v>0.23</v>
      </c>
      <c r="BE49" s="50">
        <v>6.192</v>
      </c>
      <c r="BF49" s="59">
        <v>99.57</v>
      </c>
      <c r="BG49" s="59">
        <v>112.0</v>
      </c>
      <c r="BH49" s="50">
        <v>96.8</v>
      </c>
      <c r="BI49" s="59">
        <v>3.08E-5</v>
      </c>
      <c r="BJ49" s="50">
        <v>1.16</v>
      </c>
      <c r="BK49" s="59">
        <v>51.0</v>
      </c>
      <c r="BL49" s="59">
        <v>19.0</v>
      </c>
      <c r="BM49" s="59">
        <v>50.0</v>
      </c>
      <c r="BN49" s="53" t="s">
        <v>338</v>
      </c>
      <c r="BO49" s="59">
        <v>0.203</v>
      </c>
      <c r="BP49" s="59">
        <v>7.000000000002E-8</v>
      </c>
      <c r="BQ49" s="59">
        <v>1.4E7</v>
      </c>
      <c r="BR49" s="60">
        <v>2450.0</v>
      </c>
      <c r="BS49" s="60">
        <v>1.4</v>
      </c>
      <c r="BT49" s="60">
        <v>38.0</v>
      </c>
      <c r="BU49" s="60">
        <v>6.0</v>
      </c>
      <c r="BV49" s="60">
        <v>0.15789473684210525</v>
      </c>
      <c r="BW49" s="60">
        <v>0.8029</v>
      </c>
      <c r="BX49" s="50">
        <v>1.5313771176609465E-7</v>
      </c>
      <c r="BY49" s="50">
        <v>5.250394371028224E-11</v>
      </c>
      <c r="BZ49" s="62">
        <v>1676.0</v>
      </c>
      <c r="CA49" s="62">
        <v>1341.0</v>
      </c>
      <c r="CB49" s="50">
        <v>6.0</v>
      </c>
    </row>
    <row r="50" ht="14.25" customHeight="1">
      <c r="A50" s="47" t="s">
        <v>431</v>
      </c>
      <c r="B50" s="48" t="s">
        <v>432</v>
      </c>
      <c r="C50" s="49">
        <v>114.818</v>
      </c>
      <c r="D50" s="50">
        <v>49.0</v>
      </c>
      <c r="E50" s="50">
        <v>5.0</v>
      </c>
      <c r="F50" s="50">
        <v>13.0</v>
      </c>
      <c r="G50" s="51">
        <v>1.0</v>
      </c>
      <c r="H50" s="51">
        <v>1.0</v>
      </c>
      <c r="I50" s="50">
        <v>75.0</v>
      </c>
      <c r="J50" s="50">
        <v>5.0</v>
      </c>
      <c r="K50" s="50">
        <v>2.0</v>
      </c>
      <c r="L50" s="50">
        <v>1.0</v>
      </c>
      <c r="M50" s="50">
        <v>10.0</v>
      </c>
      <c r="N50" s="50">
        <v>0.0</v>
      </c>
      <c r="O50" s="52">
        <v>0.0</v>
      </c>
      <c r="P50" s="52">
        <v>5.0</v>
      </c>
      <c r="Q50" s="52">
        <v>0.0</v>
      </c>
      <c r="R50" s="52">
        <v>14.0</v>
      </c>
      <c r="S50" s="50">
        <v>13.0</v>
      </c>
      <c r="T50" s="50">
        <v>3.0</v>
      </c>
      <c r="U50" s="50">
        <v>3.0</v>
      </c>
      <c r="V50" s="52">
        <v>3.44</v>
      </c>
      <c r="W50" s="50">
        <v>3.44</v>
      </c>
      <c r="X50" s="54">
        <v>3.259</v>
      </c>
      <c r="Y50" s="54">
        <v>1.29</v>
      </c>
      <c r="Z50" s="49">
        <v>5.7864</v>
      </c>
      <c r="AA50" s="54">
        <v>0.30072688172043016</v>
      </c>
      <c r="AB50" s="55">
        <v>3.1</v>
      </c>
      <c r="AC50" s="54">
        <v>4.253</v>
      </c>
      <c r="AD50" s="50">
        <v>1.78</v>
      </c>
      <c r="AE50" s="50">
        <v>1.63</v>
      </c>
      <c r="AF50" s="50">
        <v>3.1</v>
      </c>
      <c r="AG50" s="55">
        <v>1.78</v>
      </c>
      <c r="AH50" s="50">
        <v>1.656</v>
      </c>
      <c r="AI50" s="55">
        <v>1.52</v>
      </c>
      <c r="AJ50" s="55">
        <v>2.48</v>
      </c>
      <c r="AK50" s="50">
        <v>1.4</v>
      </c>
      <c r="AL50" s="55">
        <v>4.02</v>
      </c>
      <c r="AM50" s="49">
        <v>1.56</v>
      </c>
      <c r="AN50" s="49">
        <v>1.44</v>
      </c>
      <c r="AO50" s="49">
        <v>0.94</v>
      </c>
      <c r="AP50" s="56">
        <v>0.8</v>
      </c>
      <c r="AQ50" s="56">
        <v>1.55</v>
      </c>
      <c r="AR50" s="56">
        <v>1.93</v>
      </c>
      <c r="AS50" s="49">
        <v>2.05</v>
      </c>
      <c r="AT50" s="49">
        <v>0.94</v>
      </c>
      <c r="AU50" s="56">
        <v>1.42</v>
      </c>
      <c r="AV50" s="56">
        <v>1.55</v>
      </c>
      <c r="AW50" s="56">
        <v>1.382</v>
      </c>
      <c r="AX50" s="56">
        <v>1.66</v>
      </c>
      <c r="AY50" s="56">
        <v>1.497</v>
      </c>
      <c r="AZ50" s="50">
        <v>9.7</v>
      </c>
      <c r="BA50" s="50">
        <v>429.75</v>
      </c>
      <c r="BB50" s="50">
        <v>2353.15</v>
      </c>
      <c r="BC50" s="50">
        <v>7.31</v>
      </c>
      <c r="BD50" s="50">
        <v>0.23</v>
      </c>
      <c r="BE50" s="50">
        <v>3.263</v>
      </c>
      <c r="BF50" s="59">
        <v>231.5</v>
      </c>
      <c r="BG50" s="59">
        <v>243.0</v>
      </c>
      <c r="BH50" s="50">
        <v>81.6</v>
      </c>
      <c r="BI50" s="59">
        <v>3.21E-5</v>
      </c>
      <c r="BJ50" s="50">
        <v>2.52</v>
      </c>
      <c r="BK50" s="59">
        <v>41.1</v>
      </c>
      <c r="BL50" s="53" t="s">
        <v>338</v>
      </c>
      <c r="BM50" s="59">
        <v>11.0</v>
      </c>
      <c r="BN50" s="53" t="s">
        <v>338</v>
      </c>
      <c r="BO50" s="59">
        <v>0.00883</v>
      </c>
      <c r="BP50" s="59">
        <v>8.000000000001E-8</v>
      </c>
      <c r="BQ50" s="59">
        <v>1.2E7</v>
      </c>
      <c r="BR50" s="60">
        <v>194.0</v>
      </c>
      <c r="BS50" s="60">
        <v>0.06</v>
      </c>
      <c r="BT50" s="60">
        <v>39.0</v>
      </c>
      <c r="BU50" s="60">
        <v>1.0</v>
      </c>
      <c r="BV50" s="60">
        <v>0.02564102564102564</v>
      </c>
      <c r="BW50" s="60">
        <v>0.9571</v>
      </c>
      <c r="BX50" s="50">
        <v>2.552295196101578E-7</v>
      </c>
      <c r="BY50" s="50">
        <v>6.0004507097465435E-12</v>
      </c>
      <c r="BZ50" s="62">
        <v>3333.0</v>
      </c>
      <c r="CA50" s="62">
        <v>2000.0</v>
      </c>
      <c r="CB50" s="50">
        <v>120.0</v>
      </c>
    </row>
    <row r="51" ht="14.25" customHeight="1">
      <c r="A51" s="47" t="s">
        <v>433</v>
      </c>
      <c r="B51" s="48" t="s">
        <v>434</v>
      </c>
      <c r="C51" s="49">
        <v>118.71</v>
      </c>
      <c r="D51" s="50">
        <v>50.0</v>
      </c>
      <c r="E51" s="50">
        <v>5.0</v>
      </c>
      <c r="F51" s="50">
        <v>14.0</v>
      </c>
      <c r="G51" s="51">
        <v>1.0</v>
      </c>
      <c r="H51" s="51">
        <v>1.0</v>
      </c>
      <c r="I51" s="50">
        <v>80.0</v>
      </c>
      <c r="J51" s="50">
        <v>5.0</v>
      </c>
      <c r="K51" s="50">
        <v>2.0</v>
      </c>
      <c r="L51" s="50">
        <v>2.0</v>
      </c>
      <c r="M51" s="50">
        <v>10.0</v>
      </c>
      <c r="N51" s="50">
        <v>0.0</v>
      </c>
      <c r="O51" s="52">
        <v>0.0</v>
      </c>
      <c r="P51" s="52">
        <v>4.0</v>
      </c>
      <c r="Q51" s="52">
        <v>0.0</v>
      </c>
      <c r="R51" s="52">
        <v>14.0</v>
      </c>
      <c r="S51" s="50">
        <v>14.0</v>
      </c>
      <c r="T51" s="50">
        <v>4.0</v>
      </c>
      <c r="U51" s="50">
        <v>4.0</v>
      </c>
      <c r="V51" s="52">
        <v>2.44</v>
      </c>
      <c r="W51" s="50">
        <v>4.0</v>
      </c>
      <c r="X51" s="54">
        <v>3.672</v>
      </c>
      <c r="Y51" s="54">
        <v>1.145</v>
      </c>
      <c r="Z51" s="49">
        <v>7.3439</v>
      </c>
      <c r="AA51" s="54">
        <v>1.1083177715091679</v>
      </c>
      <c r="AB51" s="55">
        <v>4.3</v>
      </c>
      <c r="AC51" s="54">
        <v>4.672</v>
      </c>
      <c r="AD51" s="50">
        <v>1.96</v>
      </c>
      <c r="AE51" s="50">
        <v>1.88</v>
      </c>
      <c r="AF51" s="50">
        <v>4.3</v>
      </c>
      <c r="AG51" s="55">
        <v>1.96</v>
      </c>
      <c r="AH51" s="50">
        <v>1.824</v>
      </c>
      <c r="AI51" s="55">
        <v>1.7</v>
      </c>
      <c r="AJ51" s="55">
        <v>2.74</v>
      </c>
      <c r="AK51" s="50">
        <v>1.7</v>
      </c>
      <c r="AL51" s="55">
        <v>5.8</v>
      </c>
      <c r="AM51" s="49">
        <v>1.45</v>
      </c>
      <c r="AN51" s="49">
        <v>1.41</v>
      </c>
      <c r="AO51" s="49">
        <v>0.83</v>
      </c>
      <c r="AP51" s="56">
        <v>0.69</v>
      </c>
      <c r="AQ51" s="56">
        <v>1.55</v>
      </c>
      <c r="AR51" s="56">
        <v>2.17</v>
      </c>
      <c r="AS51" s="49">
        <v>1.88</v>
      </c>
      <c r="AT51" s="49">
        <v>0.69</v>
      </c>
      <c r="AU51" s="56">
        <v>1.39</v>
      </c>
      <c r="AV51" s="56">
        <v>1.45</v>
      </c>
      <c r="AW51" s="56">
        <v>1.24</v>
      </c>
      <c r="AX51" s="56">
        <v>1.62</v>
      </c>
      <c r="AY51" s="56">
        <v>1.412</v>
      </c>
      <c r="AZ51" s="50">
        <v>7.7</v>
      </c>
      <c r="BA51" s="50">
        <v>505.15</v>
      </c>
      <c r="BB51" s="50">
        <v>2543.15</v>
      </c>
      <c r="BC51" s="50">
        <v>7.31</v>
      </c>
      <c r="BD51" s="50">
        <v>0.227</v>
      </c>
      <c r="BE51" s="50">
        <v>7.029</v>
      </c>
      <c r="BF51" s="59">
        <v>295.8</v>
      </c>
      <c r="BG51" s="59">
        <v>302.0</v>
      </c>
      <c r="BH51" s="50">
        <v>66.6</v>
      </c>
      <c r="BI51" s="59">
        <v>2.2E-5</v>
      </c>
      <c r="BJ51" s="50">
        <v>3.14</v>
      </c>
      <c r="BK51" s="59">
        <v>58.2</v>
      </c>
      <c r="BL51" s="59">
        <v>18.0</v>
      </c>
      <c r="BM51" s="59">
        <v>50.0</v>
      </c>
      <c r="BN51" s="53" t="s">
        <v>338</v>
      </c>
      <c r="BO51" s="59">
        <v>0.051</v>
      </c>
      <c r="BP51" s="59">
        <v>1.1E-7</v>
      </c>
      <c r="BQ51" s="59">
        <v>9100000.0</v>
      </c>
      <c r="BR51" s="60">
        <v>0.62</v>
      </c>
      <c r="BS51" s="60">
        <v>2.0E-4</v>
      </c>
      <c r="BT51" s="60">
        <v>39.0</v>
      </c>
      <c r="BU51" s="60">
        <v>10.0</v>
      </c>
      <c r="BV51" s="60">
        <v>0.2564102564102564</v>
      </c>
      <c r="BW51" s="60">
        <v>1.0</v>
      </c>
      <c r="BX51" s="50">
        <v>2.3481115804134513E-6</v>
      </c>
      <c r="BY51" s="50">
        <v>1.2457457451756407E-10</v>
      </c>
      <c r="BZ51" s="62">
        <v>2591.0</v>
      </c>
      <c r="CA51" s="62">
        <v>1639.0</v>
      </c>
      <c r="CB51" s="50">
        <v>8.0</v>
      </c>
    </row>
    <row r="52" ht="14.25" customHeight="1">
      <c r="A52" s="47" t="s">
        <v>435</v>
      </c>
      <c r="B52" s="48" t="s">
        <v>436</v>
      </c>
      <c r="C52" s="49">
        <v>121.76</v>
      </c>
      <c r="D52" s="50">
        <v>51.0</v>
      </c>
      <c r="E52" s="50">
        <v>5.0</v>
      </c>
      <c r="F52" s="50">
        <v>15.0</v>
      </c>
      <c r="G52" s="51">
        <v>1.0</v>
      </c>
      <c r="H52" s="51">
        <v>3.0</v>
      </c>
      <c r="I52" s="50">
        <v>85.0</v>
      </c>
      <c r="J52" s="50">
        <v>6.0</v>
      </c>
      <c r="K52" s="50">
        <v>2.0</v>
      </c>
      <c r="L52" s="50">
        <v>3.0</v>
      </c>
      <c r="M52" s="50">
        <v>10.0</v>
      </c>
      <c r="N52" s="50">
        <v>0.0</v>
      </c>
      <c r="O52" s="52">
        <v>0.0</v>
      </c>
      <c r="P52" s="52">
        <v>3.0</v>
      </c>
      <c r="Q52" s="52">
        <v>0.0</v>
      </c>
      <c r="R52" s="52">
        <v>14.0</v>
      </c>
      <c r="S52" s="50">
        <v>15.0</v>
      </c>
      <c r="T52" s="50">
        <v>5.0</v>
      </c>
      <c r="U52" s="50">
        <v>5.0</v>
      </c>
      <c r="V52" s="52">
        <v>3.0</v>
      </c>
      <c r="W52" s="50">
        <v>3.0</v>
      </c>
      <c r="X52" s="54">
        <v>3.984</v>
      </c>
      <c r="Y52" s="54">
        <v>1.183</v>
      </c>
      <c r="Z52" s="49">
        <v>8.6084</v>
      </c>
      <c r="AA52" s="54">
        <v>1.0425040767386091</v>
      </c>
      <c r="AB52" s="55">
        <v>4.85</v>
      </c>
      <c r="AC52" s="54">
        <v>5.0203</v>
      </c>
      <c r="AD52" s="50">
        <v>2.05</v>
      </c>
      <c r="AE52" s="50">
        <v>2.14</v>
      </c>
      <c r="AF52" s="50">
        <v>4.85</v>
      </c>
      <c r="AG52" s="55">
        <v>2.05</v>
      </c>
      <c r="AH52" s="50">
        <v>1.984</v>
      </c>
      <c r="AI52" s="55">
        <v>1.88</v>
      </c>
      <c r="AJ52" s="55">
        <v>6.29</v>
      </c>
      <c r="AK52" s="50">
        <v>1.8</v>
      </c>
      <c r="AL52" s="55">
        <v>8.04</v>
      </c>
      <c r="AM52" s="49">
        <v>1.33</v>
      </c>
      <c r="AN52" s="49">
        <v>1.38</v>
      </c>
      <c r="AO52" s="49">
        <v>0.9</v>
      </c>
      <c r="AP52" s="56">
        <v>0.76</v>
      </c>
      <c r="AQ52" s="56">
        <v>1.55</v>
      </c>
      <c r="AR52" s="56">
        <v>2.06</v>
      </c>
      <c r="AS52" s="49">
        <v>1.77</v>
      </c>
      <c r="AT52" s="49">
        <v>0.9</v>
      </c>
      <c r="AU52" s="56">
        <v>1.39</v>
      </c>
      <c r="AV52" s="56">
        <v>1.45</v>
      </c>
      <c r="AW52" s="56">
        <v>1.193</v>
      </c>
      <c r="AX52" s="56">
        <v>1.59</v>
      </c>
      <c r="AY52" s="56">
        <v>1.41</v>
      </c>
      <c r="AZ52" s="50">
        <v>6.6</v>
      </c>
      <c r="BA52" s="50">
        <v>904.15</v>
      </c>
      <c r="BB52" s="50">
        <v>2223.15</v>
      </c>
      <c r="BC52" s="50">
        <v>6.69</v>
      </c>
      <c r="BD52" s="50">
        <v>0.21</v>
      </c>
      <c r="BE52" s="50">
        <v>19.87</v>
      </c>
      <c r="BF52" s="59">
        <v>77.14</v>
      </c>
      <c r="BG52" s="59">
        <v>262.0</v>
      </c>
      <c r="BH52" s="50">
        <v>24.3</v>
      </c>
      <c r="BI52" s="59">
        <v>1.1E-5</v>
      </c>
      <c r="BJ52" s="50">
        <v>2.75</v>
      </c>
      <c r="BK52" s="59">
        <v>38.3</v>
      </c>
      <c r="BL52" s="59">
        <v>20.0</v>
      </c>
      <c r="BM52" s="59">
        <v>55.0</v>
      </c>
      <c r="BN52" s="53" t="s">
        <v>338</v>
      </c>
      <c r="BO52" s="59">
        <v>0.294</v>
      </c>
      <c r="BP52" s="59">
        <v>4.0E-7</v>
      </c>
      <c r="BQ52" s="59">
        <v>2500000.0</v>
      </c>
      <c r="BR52" s="60">
        <v>5.4</v>
      </c>
      <c r="BS52" s="60">
        <v>0.0016</v>
      </c>
      <c r="BT52" s="60">
        <v>37.0</v>
      </c>
      <c r="BU52" s="60">
        <v>2.0</v>
      </c>
      <c r="BV52" s="60">
        <v>0.05405405405405406</v>
      </c>
      <c r="BW52" s="60">
        <v>1.0</v>
      </c>
      <c r="BX52" s="50">
        <v>2.0418361568812623E-7</v>
      </c>
      <c r="BY52" s="50">
        <v>1.007684385495479E-11</v>
      </c>
      <c r="BZ52" s="62">
        <v>7906.0</v>
      </c>
      <c r="CA52" s="62">
        <v>3419.0</v>
      </c>
      <c r="CB52" s="50">
        <v>4.5</v>
      </c>
    </row>
    <row r="53" ht="14.25" customHeight="1">
      <c r="A53" s="47" t="s">
        <v>437</v>
      </c>
      <c r="B53" s="48" t="s">
        <v>438</v>
      </c>
      <c r="C53" s="49">
        <v>127.6</v>
      </c>
      <c r="D53" s="50">
        <v>52.0</v>
      </c>
      <c r="E53" s="50">
        <v>5.0</v>
      </c>
      <c r="F53" s="50">
        <v>16.0</v>
      </c>
      <c r="G53" s="51">
        <v>1.0</v>
      </c>
      <c r="H53" s="51">
        <v>3.0</v>
      </c>
      <c r="I53" s="50">
        <v>90.0</v>
      </c>
      <c r="J53" s="50">
        <v>6.0</v>
      </c>
      <c r="K53" s="50">
        <v>2.0</v>
      </c>
      <c r="L53" s="50">
        <v>4.0</v>
      </c>
      <c r="M53" s="50">
        <v>10.0</v>
      </c>
      <c r="N53" s="50">
        <v>0.0</v>
      </c>
      <c r="O53" s="52">
        <v>0.0</v>
      </c>
      <c r="P53" s="52">
        <v>2.0</v>
      </c>
      <c r="Q53" s="52">
        <v>0.0</v>
      </c>
      <c r="R53" s="52">
        <v>14.0</v>
      </c>
      <c r="S53" s="50">
        <v>16.0</v>
      </c>
      <c r="T53" s="50">
        <v>6.0</v>
      </c>
      <c r="U53" s="50">
        <v>6.0</v>
      </c>
      <c r="V53" s="52">
        <v>2.0</v>
      </c>
      <c r="W53" s="50">
        <v>2.0</v>
      </c>
      <c r="X53" s="54">
        <v>4.067</v>
      </c>
      <c r="Y53" s="54">
        <v>1.034</v>
      </c>
      <c r="Z53" s="49">
        <v>9.0096</v>
      </c>
      <c r="AA53" s="54">
        <v>1.969878020713464</v>
      </c>
      <c r="AB53" s="55">
        <v>5.49</v>
      </c>
      <c r="AC53" s="54">
        <v>5.325</v>
      </c>
      <c r="AD53" s="50">
        <v>2.1</v>
      </c>
      <c r="AE53" s="50">
        <v>2.38</v>
      </c>
      <c r="AF53" s="50">
        <v>5.49</v>
      </c>
      <c r="AG53" s="64">
        <v>2.52</v>
      </c>
      <c r="AH53" s="50">
        <v>2.158</v>
      </c>
      <c r="AI53" s="55">
        <v>2.08</v>
      </c>
      <c r="AJ53" s="55">
        <v>4.98</v>
      </c>
      <c r="AK53" s="50">
        <v>2.1</v>
      </c>
      <c r="AL53" s="55">
        <v>10.8</v>
      </c>
      <c r="AM53" s="49">
        <v>1.23</v>
      </c>
      <c r="AN53" s="49">
        <v>1.35</v>
      </c>
      <c r="AO53" s="49">
        <v>2.07</v>
      </c>
      <c r="AP53" s="56">
        <v>2.21</v>
      </c>
      <c r="AQ53" s="56">
        <v>1.4</v>
      </c>
      <c r="AR53" s="56">
        <v>2.06</v>
      </c>
      <c r="AS53" s="49">
        <v>1.67</v>
      </c>
      <c r="AT53" s="49">
        <v>1.11</v>
      </c>
      <c r="AU53" s="56">
        <v>1.38</v>
      </c>
      <c r="AV53" s="56">
        <v>1.4</v>
      </c>
      <c r="AW53" s="56">
        <v>1.111</v>
      </c>
      <c r="AX53" s="56">
        <v>1.6</v>
      </c>
      <c r="AY53" s="56">
        <v>1.37</v>
      </c>
      <c r="AZ53" s="50">
        <v>5.5</v>
      </c>
      <c r="BA53" s="50">
        <v>722.65</v>
      </c>
      <c r="BB53" s="50">
        <v>1262.9499999999998</v>
      </c>
      <c r="BC53" s="50">
        <v>6.24</v>
      </c>
      <c r="BD53" s="50">
        <v>0.2</v>
      </c>
      <c r="BE53" s="50">
        <v>17.49</v>
      </c>
      <c r="BF53" s="59">
        <v>52.55</v>
      </c>
      <c r="BG53" s="59">
        <v>197.0</v>
      </c>
      <c r="BH53" s="50">
        <v>2.35</v>
      </c>
      <c r="BI53" s="59">
        <v>1.8E-5</v>
      </c>
      <c r="BJ53" s="50">
        <v>2.19</v>
      </c>
      <c r="BK53" s="59">
        <v>65.0</v>
      </c>
      <c r="BL53" s="59">
        <v>16.0</v>
      </c>
      <c r="BM53" s="59">
        <v>43.0</v>
      </c>
      <c r="BN53" s="53" t="s">
        <v>338</v>
      </c>
      <c r="BO53" s="59">
        <v>0.18</v>
      </c>
      <c r="BP53" s="59">
        <v>1.0E-4</v>
      </c>
      <c r="BQ53" s="59">
        <v>10000.0</v>
      </c>
      <c r="BR53" s="60">
        <v>5.4</v>
      </c>
      <c r="BS53" s="60">
        <v>0.0013</v>
      </c>
      <c r="BT53" s="60">
        <v>38.0</v>
      </c>
      <c r="BU53" s="60">
        <v>5.0</v>
      </c>
      <c r="BV53" s="60">
        <v>0.13157894736842105</v>
      </c>
      <c r="BW53" s="60">
        <v>0.3329</v>
      </c>
      <c r="BX53" s="50">
        <v>1.0209180784406311E-9</v>
      </c>
      <c r="BY53" s="50">
        <v>1.568596082276134E-10</v>
      </c>
      <c r="BZ53" s="62">
        <v>2892.0</v>
      </c>
      <c r="CA53" s="62">
        <v>4934.0</v>
      </c>
      <c r="CB53" s="50">
        <v>24.0</v>
      </c>
    </row>
    <row r="54" ht="14.25" customHeight="1">
      <c r="A54" s="47" t="s">
        <v>439</v>
      </c>
      <c r="B54" s="48" t="s">
        <v>440</v>
      </c>
      <c r="C54" s="49">
        <v>126.90447</v>
      </c>
      <c r="D54" s="50">
        <v>53.0</v>
      </c>
      <c r="E54" s="50">
        <v>5.0</v>
      </c>
      <c r="F54" s="50">
        <v>17.0</v>
      </c>
      <c r="G54" s="51">
        <v>1.0</v>
      </c>
      <c r="H54" s="51">
        <v>3.0</v>
      </c>
      <c r="I54" s="50">
        <v>96.0</v>
      </c>
      <c r="J54" s="50">
        <v>8.0</v>
      </c>
      <c r="K54" s="50">
        <v>2.0</v>
      </c>
      <c r="L54" s="50">
        <v>5.0</v>
      </c>
      <c r="M54" s="50">
        <v>10.0</v>
      </c>
      <c r="N54" s="50">
        <v>0.0</v>
      </c>
      <c r="O54" s="52">
        <v>0.0</v>
      </c>
      <c r="P54" s="52">
        <v>1.0</v>
      </c>
      <c r="Q54" s="52">
        <v>0.0</v>
      </c>
      <c r="R54" s="52">
        <v>14.0</v>
      </c>
      <c r="S54" s="50">
        <v>17.0</v>
      </c>
      <c r="T54" s="50">
        <v>7.0</v>
      </c>
      <c r="U54" s="50">
        <v>7.0</v>
      </c>
      <c r="V54" s="52">
        <v>1.0</v>
      </c>
      <c r="W54" s="50">
        <v>0.0</v>
      </c>
      <c r="X54" s="54">
        <v>4.381</v>
      </c>
      <c r="Y54" s="54">
        <v>0.96</v>
      </c>
      <c r="Z54" s="49">
        <v>10.4513</v>
      </c>
      <c r="AA54" s="54">
        <v>3.058664186507936</v>
      </c>
      <c r="AB54" s="55">
        <v>6.76</v>
      </c>
      <c r="AC54" s="54">
        <v>5.5916</v>
      </c>
      <c r="AD54" s="50">
        <v>2.66</v>
      </c>
      <c r="AE54" s="50">
        <v>2.76</v>
      </c>
      <c r="AF54" s="50">
        <v>6.76</v>
      </c>
      <c r="AG54" s="55">
        <v>2.66</v>
      </c>
      <c r="AH54" s="50">
        <v>2.359</v>
      </c>
      <c r="AI54" s="55">
        <v>2.27</v>
      </c>
      <c r="AJ54" s="55">
        <v>6.7</v>
      </c>
      <c r="AK54" s="50">
        <v>2.45</v>
      </c>
      <c r="AL54" s="55">
        <v>14.1</v>
      </c>
      <c r="AM54" s="49">
        <v>1.15</v>
      </c>
      <c r="AN54" s="49">
        <v>1.33</v>
      </c>
      <c r="AO54" s="49">
        <v>2.06</v>
      </c>
      <c r="AP54" s="56">
        <v>2.2</v>
      </c>
      <c r="AQ54" s="56">
        <v>1.6</v>
      </c>
      <c r="AR54" s="56">
        <v>1.98</v>
      </c>
      <c r="AS54" s="49">
        <v>1.59</v>
      </c>
      <c r="AT54" s="49">
        <v>2.06</v>
      </c>
      <c r="AU54" s="56">
        <v>1.39</v>
      </c>
      <c r="AV54" s="56">
        <v>1.4</v>
      </c>
      <c r="AW54" s="56">
        <v>1.044</v>
      </c>
      <c r="AX54" s="58" t="s">
        <v>338</v>
      </c>
      <c r="AY54" s="56">
        <v>1.334</v>
      </c>
      <c r="AZ54" s="50">
        <v>5.0</v>
      </c>
      <c r="BA54" s="50">
        <v>386.65</v>
      </c>
      <c r="BB54" s="50">
        <v>457.15</v>
      </c>
      <c r="BC54" s="50">
        <v>4.93</v>
      </c>
      <c r="BD54" s="50">
        <v>0.214</v>
      </c>
      <c r="BE54" s="50">
        <v>7.824</v>
      </c>
      <c r="BF54" s="59">
        <v>20.752</v>
      </c>
      <c r="BG54" s="59">
        <v>107.0</v>
      </c>
      <c r="BH54" s="50">
        <v>0.449</v>
      </c>
      <c r="BI54" s="53" t="s">
        <v>338</v>
      </c>
      <c r="BJ54" s="50">
        <v>1.11</v>
      </c>
      <c r="BK54" s="59">
        <v>7.7</v>
      </c>
      <c r="BL54" s="53" t="s">
        <v>338</v>
      </c>
      <c r="BM54" s="53" t="s">
        <v>338</v>
      </c>
      <c r="BN54" s="53" t="s">
        <v>338</v>
      </c>
      <c r="BO54" s="53" t="s">
        <v>338</v>
      </c>
      <c r="BP54" s="59">
        <v>1.0E7</v>
      </c>
      <c r="BQ54" s="59">
        <v>1.0E-7</v>
      </c>
      <c r="BR54" s="60">
        <v>6.3</v>
      </c>
      <c r="BS54" s="60">
        <v>0.0018</v>
      </c>
      <c r="BT54" s="60">
        <v>37.0</v>
      </c>
      <c r="BU54" s="60">
        <v>1.0</v>
      </c>
      <c r="BV54" s="60">
        <v>0.02702702702702703</v>
      </c>
      <c r="BW54" s="60">
        <v>1.0</v>
      </c>
      <c r="BX54" s="50">
        <v>4.59413135298284E-7</v>
      </c>
      <c r="BY54" s="50">
        <v>2.9350030645499385E-11</v>
      </c>
      <c r="BZ54" s="62">
        <v>4887.0</v>
      </c>
      <c r="CA54" s="62">
        <v>4836.0</v>
      </c>
      <c r="CB54" s="50">
        <v>8.3</v>
      </c>
    </row>
    <row r="55" ht="14.25" customHeight="1">
      <c r="A55" s="47" t="s">
        <v>441</v>
      </c>
      <c r="B55" s="48" t="s">
        <v>442</v>
      </c>
      <c r="C55" s="49">
        <v>131.293</v>
      </c>
      <c r="D55" s="50">
        <v>54.0</v>
      </c>
      <c r="E55" s="50">
        <v>5.0</v>
      </c>
      <c r="F55" s="50">
        <v>18.0</v>
      </c>
      <c r="G55" s="51">
        <v>1.0</v>
      </c>
      <c r="H55" s="51">
        <v>3.0</v>
      </c>
      <c r="I55" s="50">
        <v>102.0</v>
      </c>
      <c r="J55" s="50">
        <v>9.0</v>
      </c>
      <c r="K55" s="50">
        <v>2.0</v>
      </c>
      <c r="L55" s="50">
        <v>6.0</v>
      </c>
      <c r="M55" s="50">
        <v>10.0</v>
      </c>
      <c r="N55" s="50">
        <v>0.0</v>
      </c>
      <c r="O55" s="52">
        <v>0.0</v>
      </c>
      <c r="P55" s="52">
        <v>0.0</v>
      </c>
      <c r="Q55" s="52">
        <v>0.0</v>
      </c>
      <c r="R55" s="52">
        <v>14.0</v>
      </c>
      <c r="S55" s="50">
        <v>18.0</v>
      </c>
      <c r="T55" s="50">
        <v>8.0</v>
      </c>
      <c r="U55" s="50">
        <v>8.0</v>
      </c>
      <c r="V55" s="53" t="s">
        <v>338</v>
      </c>
      <c r="W55" s="50">
        <v>0.0</v>
      </c>
      <c r="X55" s="54">
        <v>4.719</v>
      </c>
      <c r="Y55" s="54">
        <v>0.891</v>
      </c>
      <c r="Z55" s="49">
        <v>12.1298</v>
      </c>
      <c r="AA55" s="54">
        <v>-0.8293880341880341</v>
      </c>
      <c r="AB55" s="53" t="s">
        <v>338</v>
      </c>
      <c r="AC55" s="54">
        <v>5.8121</v>
      </c>
      <c r="AD55" s="50">
        <v>2.6</v>
      </c>
      <c r="AE55" s="50" t="s">
        <v>338</v>
      </c>
      <c r="AF55" s="50" t="s">
        <v>338</v>
      </c>
      <c r="AG55" s="53" t="s">
        <v>338</v>
      </c>
      <c r="AH55" s="50">
        <v>2.582</v>
      </c>
      <c r="AI55" s="55">
        <v>2.45</v>
      </c>
      <c r="AJ55" s="55">
        <v>6.27</v>
      </c>
      <c r="AK55" s="50" t="s">
        <v>338</v>
      </c>
      <c r="AL55" s="55">
        <v>18.0</v>
      </c>
      <c r="AM55" s="49">
        <v>1.08</v>
      </c>
      <c r="AN55" s="49">
        <v>1.3</v>
      </c>
      <c r="AO55" s="49">
        <v>0.62</v>
      </c>
      <c r="AP55" s="57">
        <v>1.52</v>
      </c>
      <c r="AQ55" s="57">
        <v>2.32</v>
      </c>
      <c r="AR55" s="56">
        <v>2.16</v>
      </c>
      <c r="AS55" s="49">
        <v>2.82</v>
      </c>
      <c r="AT55" s="49">
        <v>0.62</v>
      </c>
      <c r="AU55" s="56">
        <v>1.4</v>
      </c>
      <c r="AV55" s="56">
        <v>1.08</v>
      </c>
      <c r="AW55" s="56">
        <v>0.986</v>
      </c>
      <c r="AX55" s="58" t="s">
        <v>338</v>
      </c>
      <c r="AY55" s="58" t="s">
        <v>338</v>
      </c>
      <c r="AZ55" s="50">
        <v>4.0</v>
      </c>
      <c r="BA55" s="50">
        <v>161.34999999999997</v>
      </c>
      <c r="BB55" s="50">
        <v>166.04999999999998</v>
      </c>
      <c r="BC55" s="50">
        <v>0.00589</v>
      </c>
      <c r="BD55" s="50">
        <v>0.158</v>
      </c>
      <c r="BE55" s="50">
        <v>2.297</v>
      </c>
      <c r="BF55" s="59">
        <v>12.636</v>
      </c>
      <c r="BG55" s="59">
        <v>0.0</v>
      </c>
      <c r="BH55" s="50">
        <v>0.00569</v>
      </c>
      <c r="BI55" s="53" t="s">
        <v>338</v>
      </c>
      <c r="BJ55" s="50">
        <v>0.16</v>
      </c>
      <c r="BK55" s="53" t="s">
        <v>338</v>
      </c>
      <c r="BL55" s="53" t="s">
        <v>338</v>
      </c>
      <c r="BM55" s="53" t="s">
        <v>338</v>
      </c>
      <c r="BN55" s="53" t="s">
        <v>338</v>
      </c>
      <c r="BO55" s="53" t="s">
        <v>338</v>
      </c>
      <c r="BP55" s="53" t="s">
        <v>338</v>
      </c>
      <c r="BQ55" s="53" t="s">
        <v>338</v>
      </c>
      <c r="BR55" s="60">
        <v>25.0</v>
      </c>
      <c r="BS55" s="60">
        <v>0.0083</v>
      </c>
      <c r="BT55" s="60">
        <v>38.0</v>
      </c>
      <c r="BU55" s="60">
        <v>9.0</v>
      </c>
      <c r="BV55" s="60">
        <v>0.23684210526315788</v>
      </c>
      <c r="BW55" s="60">
        <v>1.0</v>
      </c>
      <c r="BX55" s="50">
        <v>3.0627542353218934E-11</v>
      </c>
      <c r="BY55" s="50">
        <v>1.5327238225983014E-10</v>
      </c>
      <c r="BZ55" s="61" t="s">
        <v>338</v>
      </c>
      <c r="CA55" s="61" t="s">
        <v>338</v>
      </c>
      <c r="CB55" s="50">
        <v>120.0</v>
      </c>
    </row>
    <row r="56" ht="14.25" customHeight="1">
      <c r="A56" s="47" t="s">
        <v>443</v>
      </c>
      <c r="B56" s="48" t="s">
        <v>444</v>
      </c>
      <c r="C56" s="49">
        <v>132.90543</v>
      </c>
      <c r="D56" s="50">
        <v>55.0</v>
      </c>
      <c r="E56" s="50">
        <v>6.0</v>
      </c>
      <c r="F56" s="50">
        <v>1.0</v>
      </c>
      <c r="G56" s="51">
        <v>0.0</v>
      </c>
      <c r="H56" s="51">
        <v>1.0</v>
      </c>
      <c r="I56" s="50">
        <v>5.0</v>
      </c>
      <c r="J56" s="50">
        <v>1.0</v>
      </c>
      <c r="K56" s="50">
        <v>1.0</v>
      </c>
      <c r="L56" s="50">
        <v>0.0</v>
      </c>
      <c r="M56" s="50">
        <v>0.0</v>
      </c>
      <c r="N56" s="50">
        <v>0.0</v>
      </c>
      <c r="O56" s="52">
        <v>1.0</v>
      </c>
      <c r="P56" s="52">
        <v>6.0</v>
      </c>
      <c r="Q56" s="52">
        <v>10.0</v>
      </c>
      <c r="R56" s="52">
        <v>14.0</v>
      </c>
      <c r="S56" s="50">
        <v>1.0</v>
      </c>
      <c r="T56" s="50">
        <v>1.0</v>
      </c>
      <c r="U56" s="50">
        <v>1.0</v>
      </c>
      <c r="V56" s="52">
        <v>1.0</v>
      </c>
      <c r="W56" s="50">
        <v>1.0</v>
      </c>
      <c r="X56" s="54">
        <v>3.209</v>
      </c>
      <c r="Y56" s="54">
        <v>1.888</v>
      </c>
      <c r="Z56" s="49">
        <v>3.8939</v>
      </c>
      <c r="AA56" s="54">
        <v>0.4763813829787234</v>
      </c>
      <c r="AB56" s="55">
        <v>2.18</v>
      </c>
      <c r="AC56" s="58" t="s">
        <v>338</v>
      </c>
      <c r="AD56" s="50">
        <v>0.79</v>
      </c>
      <c r="AE56" s="50">
        <v>0.77</v>
      </c>
      <c r="AF56" s="50">
        <v>2.18</v>
      </c>
      <c r="AG56" s="55">
        <v>0.79</v>
      </c>
      <c r="AH56" s="50">
        <v>0.659</v>
      </c>
      <c r="AI56" s="55">
        <v>0.79</v>
      </c>
      <c r="AJ56" s="53" t="s">
        <v>338</v>
      </c>
      <c r="AK56" s="50">
        <v>0.75</v>
      </c>
      <c r="AL56" s="55">
        <v>0.281</v>
      </c>
      <c r="AM56" s="49">
        <v>2.98</v>
      </c>
      <c r="AN56" s="49">
        <v>2.25</v>
      </c>
      <c r="AO56" s="49">
        <v>1.81</v>
      </c>
      <c r="AP56" s="56">
        <v>1.67</v>
      </c>
      <c r="AQ56" s="56">
        <v>2.64</v>
      </c>
      <c r="AR56" s="56">
        <v>3.43</v>
      </c>
      <c r="AS56" s="49">
        <v>4.31</v>
      </c>
      <c r="AT56" s="49">
        <v>1.81</v>
      </c>
      <c r="AU56" s="56">
        <v>2.44</v>
      </c>
      <c r="AV56" s="56">
        <v>2.6</v>
      </c>
      <c r="AW56" s="56">
        <v>2.5180000000000002</v>
      </c>
      <c r="AX56" s="56">
        <v>2.67</v>
      </c>
      <c r="AY56" s="56">
        <v>2.35</v>
      </c>
      <c r="AZ56" s="50">
        <v>59.6</v>
      </c>
      <c r="BA56" s="50">
        <v>301.54999999999995</v>
      </c>
      <c r="BB56" s="50">
        <v>942.15</v>
      </c>
      <c r="BC56" s="50">
        <v>1.87</v>
      </c>
      <c r="BD56" s="50">
        <v>0.24</v>
      </c>
      <c r="BE56" s="50">
        <v>2.092</v>
      </c>
      <c r="BF56" s="59">
        <v>67.74</v>
      </c>
      <c r="BG56" s="59">
        <v>79.0</v>
      </c>
      <c r="BH56" s="50">
        <v>35.9</v>
      </c>
      <c r="BI56" s="59">
        <v>9.7E-5</v>
      </c>
      <c r="BJ56" s="50">
        <v>0.804</v>
      </c>
      <c r="BK56" s="59">
        <v>1.57</v>
      </c>
      <c r="BL56" s="53" t="s">
        <v>338</v>
      </c>
      <c r="BM56" s="59">
        <v>1.7</v>
      </c>
      <c r="BN56" s="53" t="s">
        <v>338</v>
      </c>
      <c r="BO56" s="59">
        <v>1.4000000000000001E-4</v>
      </c>
      <c r="BP56" s="59">
        <v>2.0E-7</v>
      </c>
      <c r="BQ56" s="59">
        <v>5000000.0</v>
      </c>
      <c r="BR56" s="60">
        <v>29.0</v>
      </c>
      <c r="BS56" s="60">
        <v>0.0077</v>
      </c>
      <c r="BT56" s="60">
        <v>40.0</v>
      </c>
      <c r="BU56" s="60">
        <v>1.0</v>
      </c>
      <c r="BV56" s="60">
        <v>0.025</v>
      </c>
      <c r="BW56" s="60">
        <v>1.0</v>
      </c>
      <c r="BX56" s="50">
        <v>3.062754235321893E-6</v>
      </c>
      <c r="BY56" s="50">
        <v>1.2131346000139746E-11</v>
      </c>
      <c r="BZ56" s="62">
        <v>6000.0</v>
      </c>
      <c r="CA56" s="62">
        <v>6000.0</v>
      </c>
      <c r="CB56" s="50">
        <v>1100.0</v>
      </c>
    </row>
    <row r="57" ht="14.25" customHeight="1">
      <c r="A57" s="47" t="s">
        <v>445</v>
      </c>
      <c r="B57" s="48" t="s">
        <v>446</v>
      </c>
      <c r="C57" s="49">
        <v>137.327</v>
      </c>
      <c r="D57" s="50">
        <v>56.0</v>
      </c>
      <c r="E57" s="50">
        <v>6.0</v>
      </c>
      <c r="F57" s="50">
        <v>2.0</v>
      </c>
      <c r="G57" s="51">
        <v>0.0</v>
      </c>
      <c r="H57" s="51">
        <v>1.0</v>
      </c>
      <c r="I57" s="50">
        <v>9.0</v>
      </c>
      <c r="J57" s="50">
        <v>2.0</v>
      </c>
      <c r="K57" s="50">
        <v>2.0</v>
      </c>
      <c r="L57" s="50">
        <v>0.0</v>
      </c>
      <c r="M57" s="50">
        <v>0.0</v>
      </c>
      <c r="N57" s="50">
        <v>0.0</v>
      </c>
      <c r="O57" s="52">
        <v>0.0</v>
      </c>
      <c r="P57" s="52">
        <v>6.0</v>
      </c>
      <c r="Q57" s="52">
        <v>10.0</v>
      </c>
      <c r="R57" s="52">
        <v>14.0</v>
      </c>
      <c r="S57" s="50">
        <v>2.0</v>
      </c>
      <c r="T57" s="50">
        <v>2.0</v>
      </c>
      <c r="U57" s="50">
        <v>2.0</v>
      </c>
      <c r="V57" s="52">
        <v>2.0</v>
      </c>
      <c r="W57" s="50">
        <v>2.0</v>
      </c>
      <c r="X57" s="54">
        <v>3.712</v>
      </c>
      <c r="Y57" s="54">
        <v>1.632</v>
      </c>
      <c r="Z57" s="49">
        <v>5.2117</v>
      </c>
      <c r="AA57" s="54">
        <v>0.14505725646123263</v>
      </c>
      <c r="AB57" s="55">
        <v>2.4</v>
      </c>
      <c r="AC57" s="58" t="s">
        <v>338</v>
      </c>
      <c r="AD57" s="50">
        <v>0.89</v>
      </c>
      <c r="AE57" s="50">
        <v>1.08</v>
      </c>
      <c r="AF57" s="50">
        <v>2.4</v>
      </c>
      <c r="AG57" s="55">
        <v>0.89</v>
      </c>
      <c r="AH57" s="50">
        <v>0.881</v>
      </c>
      <c r="AI57" s="55">
        <v>0.98</v>
      </c>
      <c r="AJ57" s="53" t="s">
        <v>338</v>
      </c>
      <c r="AK57" s="50">
        <v>0.9</v>
      </c>
      <c r="AL57" s="55">
        <v>0.612</v>
      </c>
      <c r="AM57" s="49">
        <v>2.53</v>
      </c>
      <c r="AN57" s="49">
        <v>1.98</v>
      </c>
      <c r="AO57" s="49">
        <v>1.49</v>
      </c>
      <c r="AP57" s="56">
        <v>1.35</v>
      </c>
      <c r="AQ57" s="56">
        <v>2.23</v>
      </c>
      <c r="AR57" s="56">
        <v>2.68</v>
      </c>
      <c r="AS57" s="49">
        <v>3.4</v>
      </c>
      <c r="AT57" s="49">
        <v>1.49</v>
      </c>
      <c r="AU57" s="56">
        <v>2.15</v>
      </c>
      <c r="AV57" s="56">
        <v>2.15</v>
      </c>
      <c r="AW57" s="56">
        <v>2.06</v>
      </c>
      <c r="AX57" s="56">
        <v>2.215</v>
      </c>
      <c r="AY57" s="56">
        <v>1.981</v>
      </c>
      <c r="AZ57" s="50">
        <v>39.7</v>
      </c>
      <c r="BA57" s="50">
        <v>998.15</v>
      </c>
      <c r="BB57" s="50">
        <v>1913.15</v>
      </c>
      <c r="BC57" s="50">
        <v>3.5</v>
      </c>
      <c r="BD57" s="50">
        <v>0.204</v>
      </c>
      <c r="BE57" s="50">
        <v>7.75</v>
      </c>
      <c r="BF57" s="59">
        <v>142.0</v>
      </c>
      <c r="BG57" s="59">
        <v>180.0</v>
      </c>
      <c r="BH57" s="50">
        <v>18.4</v>
      </c>
      <c r="BI57" s="59">
        <v>2.06E-5</v>
      </c>
      <c r="BJ57" s="50">
        <v>1.9</v>
      </c>
      <c r="BK57" s="59">
        <v>10.2</v>
      </c>
      <c r="BL57" s="59">
        <v>4.9</v>
      </c>
      <c r="BM57" s="59">
        <v>13.0</v>
      </c>
      <c r="BN57" s="53" t="s">
        <v>338</v>
      </c>
      <c r="BO57" s="53" t="s">
        <v>338</v>
      </c>
      <c r="BP57" s="59">
        <v>3.5E-7</v>
      </c>
      <c r="BQ57" s="59">
        <v>2900000.0</v>
      </c>
      <c r="BR57" s="60">
        <v>1.3</v>
      </c>
      <c r="BS57" s="60">
        <v>2.7E-4</v>
      </c>
      <c r="BT57" s="60">
        <v>40.0</v>
      </c>
      <c r="BU57" s="60">
        <v>7.0</v>
      </c>
      <c r="BV57" s="60">
        <v>0.175</v>
      </c>
      <c r="BW57" s="60">
        <v>1.0</v>
      </c>
      <c r="BX57" s="50">
        <v>4.338901833372682E-4</v>
      </c>
      <c r="BY57" s="50">
        <v>1.464240417758803E-10</v>
      </c>
      <c r="BZ57" s="62">
        <v>2973.0</v>
      </c>
      <c r="CA57" s="62">
        <v>2347.0</v>
      </c>
      <c r="CB57" s="50">
        <v>55.0</v>
      </c>
    </row>
    <row r="58" ht="14.25" customHeight="1">
      <c r="A58" s="47" t="s">
        <v>447</v>
      </c>
      <c r="B58" s="48" t="s">
        <v>448</v>
      </c>
      <c r="C58" s="49">
        <v>138.9055</v>
      </c>
      <c r="D58" s="50">
        <v>57.0</v>
      </c>
      <c r="E58" s="50">
        <v>6.0</v>
      </c>
      <c r="F58" s="50">
        <v>3.0</v>
      </c>
      <c r="G58" s="51">
        <v>2.0</v>
      </c>
      <c r="H58" s="51">
        <v>1.0</v>
      </c>
      <c r="I58" s="50">
        <v>13.0</v>
      </c>
      <c r="J58" s="50">
        <v>3.0</v>
      </c>
      <c r="K58" s="50">
        <v>2.0</v>
      </c>
      <c r="L58" s="50">
        <v>0.0</v>
      </c>
      <c r="M58" s="50">
        <v>1.0</v>
      </c>
      <c r="N58" s="50">
        <v>0.0</v>
      </c>
      <c r="O58" s="52">
        <v>0.0</v>
      </c>
      <c r="P58" s="52">
        <v>6.0</v>
      </c>
      <c r="Q58" s="52">
        <v>9.0</v>
      </c>
      <c r="R58" s="52">
        <v>14.0</v>
      </c>
      <c r="S58" s="50">
        <v>3.0</v>
      </c>
      <c r="T58" s="50">
        <v>2.0</v>
      </c>
      <c r="U58" s="50">
        <v>1.0</v>
      </c>
      <c r="V58" s="52">
        <v>3.0</v>
      </c>
      <c r="W58" s="50">
        <v>3.0</v>
      </c>
      <c r="X58" s="54">
        <v>3.84</v>
      </c>
      <c r="Y58" s="54">
        <v>1.577</v>
      </c>
      <c r="Z58" s="49">
        <v>5.5769</v>
      </c>
      <c r="AA58" s="54">
        <v>0.46646933085501857</v>
      </c>
      <c r="AB58" s="55">
        <v>3.1</v>
      </c>
      <c r="AC58" s="58" t="s">
        <v>338</v>
      </c>
      <c r="AD58" s="50">
        <v>1.1</v>
      </c>
      <c r="AE58" s="50">
        <v>1.35</v>
      </c>
      <c r="AF58" s="50">
        <v>3.1</v>
      </c>
      <c r="AG58" s="55">
        <v>1.1</v>
      </c>
      <c r="AH58" s="50">
        <v>1.09</v>
      </c>
      <c r="AI58" s="55">
        <v>1.04</v>
      </c>
      <c r="AJ58" s="53" t="s">
        <v>338</v>
      </c>
      <c r="AK58" s="50">
        <v>1.2</v>
      </c>
      <c r="AL58" s="55">
        <v>1.13</v>
      </c>
      <c r="AM58" s="49">
        <v>1.95</v>
      </c>
      <c r="AN58" s="49">
        <v>1.69</v>
      </c>
      <c r="AO58" s="49">
        <v>1.17</v>
      </c>
      <c r="AP58" s="56">
        <v>1.03</v>
      </c>
      <c r="AQ58" s="56">
        <v>1.87</v>
      </c>
      <c r="AR58" s="56">
        <v>2.5</v>
      </c>
      <c r="AS58" s="49">
        <v>3.08</v>
      </c>
      <c r="AT58" s="49">
        <v>1.36</v>
      </c>
      <c r="AU58" s="56">
        <v>2.07</v>
      </c>
      <c r="AV58" s="56">
        <v>1.95</v>
      </c>
      <c r="AW58" s="56">
        <v>1.915</v>
      </c>
      <c r="AX58" s="56">
        <v>1.871</v>
      </c>
      <c r="AY58" s="56">
        <v>1.69</v>
      </c>
      <c r="AZ58" s="50">
        <v>31.1</v>
      </c>
      <c r="BA58" s="50">
        <v>1193.15</v>
      </c>
      <c r="BB58" s="50">
        <v>3727.15</v>
      </c>
      <c r="BC58" s="50">
        <v>6.15</v>
      </c>
      <c r="BD58" s="50">
        <v>0.19</v>
      </c>
      <c r="BE58" s="50">
        <v>6.2</v>
      </c>
      <c r="BF58" s="59">
        <v>414.0</v>
      </c>
      <c r="BG58" s="59">
        <v>423.0</v>
      </c>
      <c r="BH58" s="50">
        <v>13.5</v>
      </c>
      <c r="BI58" s="59">
        <v>1.21E-5</v>
      </c>
      <c r="BJ58" s="50">
        <v>4.47</v>
      </c>
      <c r="BK58" s="59">
        <v>27.9</v>
      </c>
      <c r="BL58" s="59">
        <v>14.0</v>
      </c>
      <c r="BM58" s="59">
        <v>37.0</v>
      </c>
      <c r="BN58" s="59">
        <v>0.491</v>
      </c>
      <c r="BO58" s="59">
        <v>0.363</v>
      </c>
      <c r="BP58" s="59">
        <v>6.1E-7</v>
      </c>
      <c r="BQ58" s="59">
        <v>1600000.0</v>
      </c>
      <c r="BR58" s="60">
        <v>8.98</v>
      </c>
      <c r="BS58" s="60">
        <v>0.0023</v>
      </c>
      <c r="BT58" s="60">
        <v>39.0</v>
      </c>
      <c r="BU58" s="60">
        <v>1.0</v>
      </c>
      <c r="BV58" s="60">
        <v>0.02564102564102564</v>
      </c>
      <c r="BW58" s="60">
        <v>0.9991</v>
      </c>
      <c r="BX58" s="50">
        <v>3.981580505918461E-5</v>
      </c>
      <c r="BY58" s="50">
        <v>1.4544570742103032E-11</v>
      </c>
      <c r="BZ58" s="62">
        <v>9476.0</v>
      </c>
      <c r="CA58" s="62">
        <v>3129.0</v>
      </c>
      <c r="CB58" s="50">
        <v>64.0</v>
      </c>
    </row>
    <row r="59" ht="14.25" customHeight="1">
      <c r="A59" s="47" t="s">
        <v>449</v>
      </c>
      <c r="B59" s="48" t="s">
        <v>450</v>
      </c>
      <c r="C59" s="49">
        <v>140.115</v>
      </c>
      <c r="D59" s="50">
        <v>58.0</v>
      </c>
      <c r="E59" s="50">
        <v>6.0</v>
      </c>
      <c r="F59" s="50">
        <v>3.0</v>
      </c>
      <c r="G59" s="51">
        <v>3.0</v>
      </c>
      <c r="H59" s="51">
        <v>1.0</v>
      </c>
      <c r="I59" s="50">
        <v>15.0</v>
      </c>
      <c r="J59" s="50">
        <v>3.0</v>
      </c>
      <c r="K59" s="50">
        <v>2.0</v>
      </c>
      <c r="L59" s="50">
        <v>0.0</v>
      </c>
      <c r="M59" s="50">
        <v>1.0</v>
      </c>
      <c r="N59" s="50">
        <v>1.0</v>
      </c>
      <c r="O59" s="52">
        <v>0.0</v>
      </c>
      <c r="P59" s="52">
        <v>6.0</v>
      </c>
      <c r="Q59" s="52">
        <v>9.0</v>
      </c>
      <c r="R59" s="52">
        <v>13.0</v>
      </c>
      <c r="S59" s="50">
        <v>4.0</v>
      </c>
      <c r="T59" s="50">
        <v>2.0</v>
      </c>
      <c r="U59" s="50">
        <v>3.0</v>
      </c>
      <c r="V59" s="52">
        <v>3.2</v>
      </c>
      <c r="W59" s="50">
        <v>3.2</v>
      </c>
      <c r="X59" s="54">
        <v>3.774</v>
      </c>
      <c r="Y59" s="54">
        <v>1.583</v>
      </c>
      <c r="Z59" s="49">
        <v>5.5387</v>
      </c>
      <c r="AA59" s="54">
        <v>6.586281835205993</v>
      </c>
      <c r="AB59" s="53" t="s">
        <v>338</v>
      </c>
      <c r="AC59" s="58" t="s">
        <v>338</v>
      </c>
      <c r="AD59" s="50">
        <v>1.12</v>
      </c>
      <c r="AE59" s="50">
        <v>1.1</v>
      </c>
      <c r="AF59" s="50">
        <v>3.1</v>
      </c>
      <c r="AG59" s="55">
        <v>1.12</v>
      </c>
      <c r="AH59" s="50">
        <v>1.09</v>
      </c>
      <c r="AI59" s="55">
        <v>1.05</v>
      </c>
      <c r="AJ59" s="53" t="s">
        <v>338</v>
      </c>
      <c r="AK59" s="50" t="s">
        <v>338</v>
      </c>
      <c r="AL59" s="55">
        <v>1.89</v>
      </c>
      <c r="AM59" s="49">
        <v>1.85</v>
      </c>
      <c r="AN59" s="49">
        <v>1.65</v>
      </c>
      <c r="AO59" s="49">
        <v>1.15</v>
      </c>
      <c r="AP59" s="56">
        <v>1.01</v>
      </c>
      <c r="AQ59" s="56">
        <v>1.82</v>
      </c>
      <c r="AR59" s="56">
        <v>2.48</v>
      </c>
      <c r="AS59" s="49">
        <v>4.5</v>
      </c>
      <c r="AT59" s="49">
        <v>1.15</v>
      </c>
      <c r="AU59" s="56">
        <v>2.04</v>
      </c>
      <c r="AV59" s="56">
        <v>1.85</v>
      </c>
      <c r="AW59" s="56">
        <v>1.9780000000000002</v>
      </c>
      <c r="AX59" s="56">
        <v>1.818</v>
      </c>
      <c r="AY59" s="56">
        <v>1.646</v>
      </c>
      <c r="AZ59" s="50">
        <v>29.6</v>
      </c>
      <c r="BA59" s="50">
        <v>1071.15</v>
      </c>
      <c r="BB59" s="50">
        <v>3530.15</v>
      </c>
      <c r="BC59" s="50">
        <v>6.66</v>
      </c>
      <c r="BD59" s="50">
        <v>0.19</v>
      </c>
      <c r="BE59" s="50">
        <v>5.46</v>
      </c>
      <c r="BF59" s="59">
        <v>414.0</v>
      </c>
      <c r="BG59" s="59">
        <v>419.0</v>
      </c>
      <c r="BH59" s="50">
        <v>11.4</v>
      </c>
      <c r="BI59" s="59">
        <v>6.3E-6</v>
      </c>
      <c r="BJ59" s="50">
        <v>4.32</v>
      </c>
      <c r="BK59" s="59">
        <v>21.5</v>
      </c>
      <c r="BL59" s="59">
        <v>14.0</v>
      </c>
      <c r="BM59" s="59">
        <v>34.0</v>
      </c>
      <c r="BN59" s="59">
        <v>0.27</v>
      </c>
      <c r="BO59" s="59">
        <v>0.412</v>
      </c>
      <c r="BP59" s="59">
        <v>7.5E-7</v>
      </c>
      <c r="BQ59" s="59">
        <v>1400000.0</v>
      </c>
      <c r="BR59" s="60">
        <v>0.6</v>
      </c>
      <c r="BS59" s="60">
        <v>2.1E-4</v>
      </c>
      <c r="BT59" s="60">
        <v>39.0</v>
      </c>
      <c r="BU59" s="60">
        <v>4.0</v>
      </c>
      <c r="BV59" s="60">
        <v>0.10256410256410256</v>
      </c>
      <c r="BW59" s="60">
        <v>1.0</v>
      </c>
      <c r="BX59" s="50">
        <v>6.789105221630197E-5</v>
      </c>
      <c r="BY59" s="50">
        <v>3.704626090365256E-11</v>
      </c>
      <c r="BZ59" s="62">
        <v>9476.0</v>
      </c>
      <c r="CA59" s="62">
        <v>3129.0</v>
      </c>
      <c r="CB59" s="50">
        <v>57.0</v>
      </c>
    </row>
    <row r="60" ht="14.25" customHeight="1">
      <c r="A60" s="47" t="s">
        <v>451</v>
      </c>
      <c r="B60" s="48" t="s">
        <v>452</v>
      </c>
      <c r="C60" s="49">
        <v>140.90765</v>
      </c>
      <c r="D60" s="50">
        <v>59.0</v>
      </c>
      <c r="E60" s="50">
        <v>6.0</v>
      </c>
      <c r="F60" s="50">
        <v>3.0</v>
      </c>
      <c r="G60" s="51">
        <v>3.0</v>
      </c>
      <c r="H60" s="51">
        <v>1.0</v>
      </c>
      <c r="I60" s="50">
        <v>17.0</v>
      </c>
      <c r="J60" s="50">
        <v>3.0</v>
      </c>
      <c r="K60" s="50">
        <v>2.0</v>
      </c>
      <c r="L60" s="50">
        <v>0.0</v>
      </c>
      <c r="M60" s="50">
        <v>0.0</v>
      </c>
      <c r="N60" s="50">
        <v>3.0</v>
      </c>
      <c r="O60" s="52">
        <v>0.0</v>
      </c>
      <c r="P60" s="52">
        <v>6.0</v>
      </c>
      <c r="Q60" s="52">
        <v>10.0</v>
      </c>
      <c r="R60" s="52">
        <v>11.0</v>
      </c>
      <c r="S60" s="50">
        <v>5.0</v>
      </c>
      <c r="T60" s="50">
        <v>2.0</v>
      </c>
      <c r="U60" s="50">
        <v>3.0</v>
      </c>
      <c r="V60" s="52">
        <v>3.1</v>
      </c>
      <c r="W60" s="50">
        <v>3.1</v>
      </c>
      <c r="X60" s="54">
        <v>3.8</v>
      </c>
      <c r="Y60" s="54">
        <v>1.594</v>
      </c>
      <c r="Z60" s="49">
        <v>5.473</v>
      </c>
      <c r="AA60" s="54">
        <v>0.9658235294117646</v>
      </c>
      <c r="AB60" s="53" t="s">
        <v>338</v>
      </c>
      <c r="AC60" s="58" t="s">
        <v>338</v>
      </c>
      <c r="AD60" s="50">
        <v>1.13</v>
      </c>
      <c r="AE60" s="50">
        <v>1.1</v>
      </c>
      <c r="AF60" s="50">
        <v>3.1</v>
      </c>
      <c r="AG60" s="55">
        <v>1.13</v>
      </c>
      <c r="AH60" s="50">
        <v>1.09</v>
      </c>
      <c r="AI60" s="55">
        <v>1.06</v>
      </c>
      <c r="AJ60" s="53" t="s">
        <v>338</v>
      </c>
      <c r="AK60" s="50" t="s">
        <v>338</v>
      </c>
      <c r="AL60" s="55">
        <v>2.92</v>
      </c>
      <c r="AM60" s="49">
        <v>2.47</v>
      </c>
      <c r="AN60" s="49">
        <v>1.65</v>
      </c>
      <c r="AO60" s="49">
        <v>1.13</v>
      </c>
      <c r="AP60" s="56">
        <v>0.99</v>
      </c>
      <c r="AQ60" s="56">
        <v>1.83</v>
      </c>
      <c r="AR60" s="56">
        <v>2.47</v>
      </c>
      <c r="AS60" s="49">
        <v>4.48</v>
      </c>
      <c r="AT60" s="49">
        <v>1.32</v>
      </c>
      <c r="AU60" s="56">
        <v>2.03</v>
      </c>
      <c r="AV60" s="56">
        <v>1.85</v>
      </c>
      <c r="AW60" s="56">
        <v>1.942</v>
      </c>
      <c r="AX60" s="56">
        <v>1.824</v>
      </c>
      <c r="AY60" s="56">
        <v>1.648</v>
      </c>
      <c r="AZ60" s="50">
        <v>28.2</v>
      </c>
      <c r="BA60" s="50">
        <v>1204.15</v>
      </c>
      <c r="BB60" s="50">
        <v>3290.15</v>
      </c>
      <c r="BC60" s="50">
        <v>6.77</v>
      </c>
      <c r="BD60" s="50">
        <v>0.19</v>
      </c>
      <c r="BE60" s="50">
        <v>6.89</v>
      </c>
      <c r="BF60" s="59">
        <v>296.8</v>
      </c>
      <c r="BG60" s="59">
        <v>356.0</v>
      </c>
      <c r="BH60" s="50">
        <v>12.5</v>
      </c>
      <c r="BI60" s="59">
        <v>6.7E-6</v>
      </c>
      <c r="BJ60" s="50">
        <v>3.7</v>
      </c>
      <c r="BK60" s="59">
        <v>28.8</v>
      </c>
      <c r="BL60" s="59">
        <v>15.0</v>
      </c>
      <c r="BM60" s="59">
        <v>37.0</v>
      </c>
      <c r="BN60" s="59">
        <v>0.4</v>
      </c>
      <c r="BO60" s="59">
        <v>0.481</v>
      </c>
      <c r="BP60" s="59">
        <v>7.0E-7</v>
      </c>
      <c r="BQ60" s="59">
        <v>1400000.0</v>
      </c>
      <c r="BR60" s="60">
        <v>11.4</v>
      </c>
      <c r="BS60" s="60">
        <v>0.0029</v>
      </c>
      <c r="BT60" s="60">
        <v>39.0</v>
      </c>
      <c r="BU60" s="60">
        <v>1.0</v>
      </c>
      <c r="BV60" s="60">
        <v>0.02564102564102564</v>
      </c>
      <c r="BW60" s="60">
        <v>1.0</v>
      </c>
      <c r="BX60" s="50">
        <v>9.392446321653805E-6</v>
      </c>
      <c r="BY60" s="50">
        <v>5.442800127482054E-12</v>
      </c>
      <c r="BZ60" s="62">
        <v>9476.0</v>
      </c>
      <c r="CA60" s="62">
        <v>3129.0</v>
      </c>
      <c r="CB60" s="50">
        <v>170.0</v>
      </c>
    </row>
    <row r="61" ht="14.25" customHeight="1">
      <c r="A61" s="47" t="s">
        <v>453</v>
      </c>
      <c r="B61" s="65" t="s">
        <v>454</v>
      </c>
      <c r="C61" s="49">
        <v>144.242</v>
      </c>
      <c r="D61" s="50">
        <v>60.0</v>
      </c>
      <c r="E61" s="50">
        <v>6.0</v>
      </c>
      <c r="F61" s="50">
        <v>3.0</v>
      </c>
      <c r="G61" s="51">
        <v>3.0</v>
      </c>
      <c r="H61" s="51">
        <v>1.0</v>
      </c>
      <c r="I61" s="50">
        <v>19.0</v>
      </c>
      <c r="J61" s="50">
        <v>3.0</v>
      </c>
      <c r="K61" s="50">
        <v>2.0</v>
      </c>
      <c r="L61" s="50">
        <v>0.0</v>
      </c>
      <c r="M61" s="50">
        <v>0.0</v>
      </c>
      <c r="N61" s="50">
        <v>4.0</v>
      </c>
      <c r="O61" s="52">
        <v>0.0</v>
      </c>
      <c r="P61" s="52">
        <v>6.0</v>
      </c>
      <c r="Q61" s="52">
        <v>10.0</v>
      </c>
      <c r="R61" s="52">
        <v>10.0</v>
      </c>
      <c r="S61" s="50">
        <v>6.0</v>
      </c>
      <c r="T61" s="50">
        <v>2.0</v>
      </c>
      <c r="U61" s="50">
        <v>3.0</v>
      </c>
      <c r="V61" s="52">
        <v>3.1</v>
      </c>
      <c r="W61" s="50">
        <v>3.1</v>
      </c>
      <c r="X61" s="54">
        <v>3.822</v>
      </c>
      <c r="Y61" s="54">
        <v>1.585</v>
      </c>
      <c r="Z61" s="49">
        <v>5.525</v>
      </c>
      <c r="AA61" s="54">
        <v>1.9176829268292683</v>
      </c>
      <c r="AB61" s="53" t="s">
        <v>338</v>
      </c>
      <c r="AC61" s="58" t="s">
        <v>338</v>
      </c>
      <c r="AD61" s="50">
        <v>1.14</v>
      </c>
      <c r="AE61" s="50">
        <v>1.2</v>
      </c>
      <c r="AF61" s="50">
        <v>3.1</v>
      </c>
      <c r="AG61" s="55">
        <v>1.14</v>
      </c>
      <c r="AH61" s="50">
        <v>1.09</v>
      </c>
      <c r="AI61" s="55">
        <v>1.03</v>
      </c>
      <c r="AJ61" s="53" t="s">
        <v>338</v>
      </c>
      <c r="AK61" s="50" t="s">
        <v>338</v>
      </c>
      <c r="AL61" s="55">
        <v>4.28</v>
      </c>
      <c r="AM61" s="49">
        <v>2.06</v>
      </c>
      <c r="AN61" s="49">
        <v>1.84</v>
      </c>
      <c r="AO61" s="49">
        <v>1.43</v>
      </c>
      <c r="AP61" s="56">
        <v>1.29</v>
      </c>
      <c r="AQ61" s="56">
        <v>1.82</v>
      </c>
      <c r="AR61" s="56">
        <v>2.29</v>
      </c>
      <c r="AS61" s="49">
        <v>3.99</v>
      </c>
      <c r="AT61" s="49">
        <v>1.3</v>
      </c>
      <c r="AU61" s="56">
        <v>2.01</v>
      </c>
      <c r="AV61" s="56">
        <v>1.85</v>
      </c>
      <c r="AW61" s="56">
        <v>1.912</v>
      </c>
      <c r="AX61" s="56">
        <v>1.818</v>
      </c>
      <c r="AY61" s="56">
        <v>1.642</v>
      </c>
      <c r="AZ61" s="50">
        <v>31.4</v>
      </c>
      <c r="BA61" s="50">
        <v>1289.15</v>
      </c>
      <c r="BB61" s="50">
        <v>3400.15</v>
      </c>
      <c r="BC61" s="50">
        <v>7.0</v>
      </c>
      <c r="BD61" s="50">
        <v>0.19</v>
      </c>
      <c r="BE61" s="50">
        <v>7.14</v>
      </c>
      <c r="BF61" s="59">
        <v>273.0</v>
      </c>
      <c r="BG61" s="59">
        <v>328.0</v>
      </c>
      <c r="BH61" s="50">
        <v>16.5</v>
      </c>
      <c r="BI61" s="59">
        <v>9.6E-6</v>
      </c>
      <c r="BJ61" s="50">
        <v>3.4</v>
      </c>
      <c r="BK61" s="59">
        <v>31.8</v>
      </c>
      <c r="BL61" s="59">
        <v>16.0</v>
      </c>
      <c r="BM61" s="59">
        <v>41.0</v>
      </c>
      <c r="BN61" s="59">
        <v>0.343</v>
      </c>
      <c r="BO61" s="59">
        <v>0.265</v>
      </c>
      <c r="BP61" s="59">
        <v>6.4E-7</v>
      </c>
      <c r="BQ61" s="59">
        <v>1600000.0</v>
      </c>
      <c r="BR61" s="60">
        <v>49.0</v>
      </c>
      <c r="BS61" s="60">
        <v>0.011</v>
      </c>
      <c r="BT61" s="60">
        <v>38.0</v>
      </c>
      <c r="BU61" s="60">
        <v>5.0</v>
      </c>
      <c r="BV61" s="60">
        <v>0.13157894736842105</v>
      </c>
      <c r="BW61" s="60">
        <v>0.706</v>
      </c>
      <c r="BX61" s="50">
        <v>4.236810025528619E-5</v>
      </c>
      <c r="BY61" s="50">
        <v>2.699876707934327E-11</v>
      </c>
      <c r="BZ61" s="62">
        <v>9476.0</v>
      </c>
      <c r="CA61" s="62">
        <v>3129.0</v>
      </c>
      <c r="CB61" s="50">
        <v>110.0</v>
      </c>
    </row>
    <row r="62" ht="14.25" customHeight="1">
      <c r="A62" s="47" t="s">
        <v>455</v>
      </c>
      <c r="B62" s="65" t="s">
        <v>456</v>
      </c>
      <c r="C62" s="49">
        <v>144.9127</v>
      </c>
      <c r="D62" s="50">
        <v>61.0</v>
      </c>
      <c r="E62" s="50">
        <v>6.0</v>
      </c>
      <c r="F62" s="50">
        <v>3.0</v>
      </c>
      <c r="G62" s="51">
        <v>3.0</v>
      </c>
      <c r="H62" s="51">
        <v>1.0</v>
      </c>
      <c r="I62" s="50">
        <v>21.0</v>
      </c>
      <c r="J62" s="50">
        <v>3.0</v>
      </c>
      <c r="K62" s="50">
        <v>2.0</v>
      </c>
      <c r="L62" s="50">
        <v>0.0</v>
      </c>
      <c r="M62" s="50">
        <v>0.0</v>
      </c>
      <c r="N62" s="50">
        <v>5.0</v>
      </c>
      <c r="O62" s="52">
        <v>0.0</v>
      </c>
      <c r="P62" s="52">
        <v>6.0</v>
      </c>
      <c r="Q62" s="52">
        <v>10.0</v>
      </c>
      <c r="R62" s="52">
        <v>9.0</v>
      </c>
      <c r="S62" s="50">
        <v>7.0</v>
      </c>
      <c r="T62" s="50">
        <v>2.0</v>
      </c>
      <c r="U62" s="50">
        <v>3.0</v>
      </c>
      <c r="V62" s="53" t="s">
        <v>338</v>
      </c>
      <c r="W62" s="50">
        <v>3.0</v>
      </c>
      <c r="X62" s="54">
        <v>3.794</v>
      </c>
      <c r="Y62" s="54">
        <v>1.573</v>
      </c>
      <c r="Z62" s="49">
        <v>5.582</v>
      </c>
      <c r="AA62" s="54">
        <v>0.125203738317757</v>
      </c>
      <c r="AB62" s="53" t="s">
        <v>338</v>
      </c>
      <c r="AC62" s="58" t="s">
        <v>338</v>
      </c>
      <c r="AD62" s="50">
        <v>1.13</v>
      </c>
      <c r="AE62" s="50">
        <v>1.15</v>
      </c>
      <c r="AF62" s="50">
        <v>3.1</v>
      </c>
      <c r="AG62" s="64">
        <v>1.16</v>
      </c>
      <c r="AH62" s="50">
        <v>1.09</v>
      </c>
      <c r="AI62" s="55">
        <v>1.04</v>
      </c>
      <c r="AJ62" s="53" t="s">
        <v>338</v>
      </c>
      <c r="AK62" s="50" t="s">
        <v>338</v>
      </c>
      <c r="AL62" s="55">
        <v>6.0</v>
      </c>
      <c r="AM62" s="49">
        <v>2.05</v>
      </c>
      <c r="AN62" s="49">
        <v>1.63</v>
      </c>
      <c r="AO62" s="49">
        <v>1.11</v>
      </c>
      <c r="AP62" s="56">
        <v>0.97</v>
      </c>
      <c r="AQ62" s="56">
        <v>1.85</v>
      </c>
      <c r="AR62" s="56">
        <v>2.43</v>
      </c>
      <c r="AS62" s="49">
        <v>3.99</v>
      </c>
      <c r="AT62" s="49">
        <v>1.28</v>
      </c>
      <c r="AU62" s="56">
        <v>1.99</v>
      </c>
      <c r="AV62" s="56">
        <v>1.85</v>
      </c>
      <c r="AW62" s="56">
        <v>1.882</v>
      </c>
      <c r="AX62" s="58" t="s">
        <v>338</v>
      </c>
      <c r="AY62" s="58" t="s">
        <v>338</v>
      </c>
      <c r="AZ62" s="50">
        <v>30.1</v>
      </c>
      <c r="BA62" s="50">
        <v>1315.15</v>
      </c>
      <c r="BB62" s="50">
        <v>3273.15</v>
      </c>
      <c r="BC62" s="50">
        <v>7.26</v>
      </c>
      <c r="BD62" s="50">
        <v>0.18</v>
      </c>
      <c r="BE62" s="50">
        <v>7.88</v>
      </c>
      <c r="BF62" s="59">
        <v>214.0</v>
      </c>
      <c r="BG62" s="59">
        <v>301.0</v>
      </c>
      <c r="BH62" s="50">
        <v>15.0</v>
      </c>
      <c r="BI62" s="59">
        <v>1.1E-5</v>
      </c>
      <c r="BJ62" s="50">
        <v>3.2</v>
      </c>
      <c r="BK62" s="59">
        <v>33.0</v>
      </c>
      <c r="BL62" s="59">
        <v>18.0</v>
      </c>
      <c r="BM62" s="59">
        <v>46.0</v>
      </c>
      <c r="BN62" s="59">
        <v>0.41</v>
      </c>
      <c r="BO62" s="59">
        <v>0.44</v>
      </c>
      <c r="BP62" s="59">
        <v>7.5E-7</v>
      </c>
      <c r="BQ62" s="59">
        <v>1300000.0</v>
      </c>
      <c r="BR62" s="60">
        <v>8400.0</v>
      </c>
      <c r="BS62" s="53" t="s">
        <v>338</v>
      </c>
      <c r="BT62" s="60">
        <v>38.0</v>
      </c>
      <c r="BU62" s="60">
        <v>0.0</v>
      </c>
      <c r="BV62" s="60">
        <v>0.0</v>
      </c>
      <c r="BW62" s="60">
        <v>0.0</v>
      </c>
      <c r="BX62" s="53" t="s">
        <v>338</v>
      </c>
      <c r="BY62" s="50">
        <v>3.261114516166599E-11</v>
      </c>
      <c r="BZ62" s="62">
        <v>9476.0</v>
      </c>
      <c r="CA62" s="62">
        <v>3129.0</v>
      </c>
      <c r="CB62" s="53" t="s">
        <v>338</v>
      </c>
    </row>
    <row r="63" ht="14.25" customHeight="1">
      <c r="A63" s="47" t="s">
        <v>457</v>
      </c>
      <c r="B63" s="65" t="s">
        <v>458</v>
      </c>
      <c r="C63" s="49">
        <v>150.36</v>
      </c>
      <c r="D63" s="50">
        <v>62.0</v>
      </c>
      <c r="E63" s="50">
        <v>6.0</v>
      </c>
      <c r="F63" s="50">
        <v>3.0</v>
      </c>
      <c r="G63" s="51">
        <v>3.0</v>
      </c>
      <c r="H63" s="51">
        <v>1.0</v>
      </c>
      <c r="I63" s="50">
        <v>23.0</v>
      </c>
      <c r="J63" s="50">
        <v>3.0</v>
      </c>
      <c r="K63" s="50">
        <v>2.0</v>
      </c>
      <c r="L63" s="50">
        <v>0.0</v>
      </c>
      <c r="M63" s="50">
        <v>0.0</v>
      </c>
      <c r="N63" s="50">
        <v>6.0</v>
      </c>
      <c r="O63" s="52">
        <v>0.0</v>
      </c>
      <c r="P63" s="52">
        <v>6.0</v>
      </c>
      <c r="Q63" s="52">
        <v>10.0</v>
      </c>
      <c r="R63" s="52">
        <v>8.0</v>
      </c>
      <c r="S63" s="50">
        <v>8.0</v>
      </c>
      <c r="T63" s="50">
        <v>2.0</v>
      </c>
      <c r="U63" s="50">
        <v>3.0</v>
      </c>
      <c r="V63" s="52">
        <v>2.8</v>
      </c>
      <c r="W63" s="50">
        <v>2.8</v>
      </c>
      <c r="X63" s="54">
        <v>3.847</v>
      </c>
      <c r="Y63" s="54">
        <v>1.575</v>
      </c>
      <c r="Z63" s="49">
        <v>5.6437</v>
      </c>
      <c r="AA63" s="54">
        <v>0.16568660550458716</v>
      </c>
      <c r="AB63" s="53" t="s">
        <v>338</v>
      </c>
      <c r="AC63" s="58" t="s">
        <v>338</v>
      </c>
      <c r="AD63" s="50">
        <v>1.17</v>
      </c>
      <c r="AE63" s="50">
        <v>1.2</v>
      </c>
      <c r="AF63" s="50">
        <v>3.1</v>
      </c>
      <c r="AG63" s="55">
        <v>1.17</v>
      </c>
      <c r="AH63" s="50">
        <v>1.09</v>
      </c>
      <c r="AI63" s="55">
        <v>1.05</v>
      </c>
      <c r="AJ63" s="53" t="s">
        <v>338</v>
      </c>
      <c r="AK63" s="50" t="s">
        <v>338</v>
      </c>
      <c r="AL63" s="55">
        <v>8.13</v>
      </c>
      <c r="AM63" s="49">
        <v>2.38</v>
      </c>
      <c r="AN63" s="49">
        <v>1.62</v>
      </c>
      <c r="AO63" s="49">
        <v>1.36</v>
      </c>
      <c r="AP63" s="56">
        <v>1.22</v>
      </c>
      <c r="AQ63" s="56">
        <v>1.85</v>
      </c>
      <c r="AR63" s="56">
        <v>2.42</v>
      </c>
      <c r="AS63" s="49">
        <v>4.14</v>
      </c>
      <c r="AT63" s="49">
        <v>1.1</v>
      </c>
      <c r="AU63" s="56">
        <v>1.98</v>
      </c>
      <c r="AV63" s="56">
        <v>1.85</v>
      </c>
      <c r="AW63" s="56">
        <v>1.854</v>
      </c>
      <c r="AX63" s="56">
        <v>1.85</v>
      </c>
      <c r="AY63" s="56">
        <v>1.66</v>
      </c>
      <c r="AZ63" s="50">
        <v>28.8</v>
      </c>
      <c r="BA63" s="50">
        <v>1347.15</v>
      </c>
      <c r="BB63" s="50">
        <v>2067.15</v>
      </c>
      <c r="BC63" s="50">
        <v>7.52</v>
      </c>
      <c r="BD63" s="50">
        <v>0.2</v>
      </c>
      <c r="BE63" s="50">
        <v>8.63</v>
      </c>
      <c r="BF63" s="59">
        <v>166.4</v>
      </c>
      <c r="BG63" s="59">
        <v>207.0</v>
      </c>
      <c r="BH63" s="50">
        <v>13.3</v>
      </c>
      <c r="BI63" s="59">
        <v>1.27E-5</v>
      </c>
      <c r="BJ63" s="50">
        <v>2.14</v>
      </c>
      <c r="BK63" s="59">
        <v>37.8</v>
      </c>
      <c r="BL63" s="59">
        <v>20.0</v>
      </c>
      <c r="BM63" s="59">
        <v>50.0</v>
      </c>
      <c r="BN63" s="59">
        <v>0.412</v>
      </c>
      <c r="BO63" s="59">
        <v>0.441</v>
      </c>
      <c r="BP63" s="59">
        <v>9.4E-7</v>
      </c>
      <c r="BQ63" s="59">
        <v>1100000.0</v>
      </c>
      <c r="BR63" s="60">
        <v>5900.0</v>
      </c>
      <c r="BS63" s="60">
        <v>4.7</v>
      </c>
      <c r="BT63" s="60">
        <v>38.0</v>
      </c>
      <c r="BU63" s="60">
        <v>5.0</v>
      </c>
      <c r="BV63" s="60">
        <v>0.13157894736842105</v>
      </c>
      <c r="BW63" s="60">
        <v>0.7377</v>
      </c>
      <c r="BX63" s="50">
        <v>7.1974724530064485E-6</v>
      </c>
      <c r="BY63" s="50">
        <v>8.420197680742157E-12</v>
      </c>
      <c r="BZ63" s="62">
        <v>9476.0</v>
      </c>
      <c r="CA63" s="62">
        <v>3129.0</v>
      </c>
      <c r="CB63" s="50">
        <v>130.0</v>
      </c>
    </row>
    <row r="64" ht="14.25" customHeight="1">
      <c r="A64" s="47" t="s">
        <v>459</v>
      </c>
      <c r="B64" s="65" t="s">
        <v>460</v>
      </c>
      <c r="C64" s="49">
        <v>151.965</v>
      </c>
      <c r="D64" s="50">
        <v>63.0</v>
      </c>
      <c r="E64" s="50">
        <v>6.0</v>
      </c>
      <c r="F64" s="50">
        <v>3.0</v>
      </c>
      <c r="G64" s="51">
        <v>3.0</v>
      </c>
      <c r="H64" s="51">
        <v>1.0</v>
      </c>
      <c r="I64" s="50">
        <v>25.0</v>
      </c>
      <c r="J64" s="50">
        <v>3.0</v>
      </c>
      <c r="K64" s="50">
        <v>2.0</v>
      </c>
      <c r="L64" s="50">
        <v>0.0</v>
      </c>
      <c r="M64" s="50">
        <v>0.0</v>
      </c>
      <c r="N64" s="50">
        <v>7.0</v>
      </c>
      <c r="O64" s="52">
        <v>0.0</v>
      </c>
      <c r="P64" s="52">
        <v>6.0</v>
      </c>
      <c r="Q64" s="52">
        <v>10.0</v>
      </c>
      <c r="R64" s="52">
        <v>7.0</v>
      </c>
      <c r="S64" s="50">
        <v>9.0</v>
      </c>
      <c r="T64" s="50">
        <v>2.0</v>
      </c>
      <c r="U64" s="50">
        <v>3.0</v>
      </c>
      <c r="V64" s="52">
        <v>2.0</v>
      </c>
      <c r="W64" s="50">
        <v>2.0</v>
      </c>
      <c r="X64" s="54">
        <v>3.871</v>
      </c>
      <c r="Y64" s="54">
        <v>1.565</v>
      </c>
      <c r="Z64" s="49">
        <v>5.6704</v>
      </c>
      <c r="AA64" s="54">
        <v>0.8604080438756855</v>
      </c>
      <c r="AB64" s="53" t="s">
        <v>338</v>
      </c>
      <c r="AC64" s="58" t="s">
        <v>338</v>
      </c>
      <c r="AD64" s="50">
        <v>1.2</v>
      </c>
      <c r="AE64" s="50">
        <v>1.15</v>
      </c>
      <c r="AF64" s="50">
        <v>3.1</v>
      </c>
      <c r="AG64" s="64">
        <v>1.18</v>
      </c>
      <c r="AH64" s="50">
        <v>1.09</v>
      </c>
      <c r="AI64" s="55">
        <v>1.06</v>
      </c>
      <c r="AJ64" s="53" t="s">
        <v>338</v>
      </c>
      <c r="AK64" s="50" t="s">
        <v>338</v>
      </c>
      <c r="AL64" s="55">
        <v>10.7</v>
      </c>
      <c r="AM64" s="49">
        <v>2.31</v>
      </c>
      <c r="AN64" s="49">
        <v>1.85</v>
      </c>
      <c r="AO64" s="49">
        <v>1.31</v>
      </c>
      <c r="AP64" s="56">
        <v>1.17</v>
      </c>
      <c r="AQ64" s="56">
        <v>1.96</v>
      </c>
      <c r="AR64" s="56">
        <v>2.4</v>
      </c>
      <c r="AS64" s="49">
        <v>3.94</v>
      </c>
      <c r="AT64" s="49">
        <v>1.31</v>
      </c>
      <c r="AU64" s="56">
        <v>1.98</v>
      </c>
      <c r="AV64" s="56">
        <v>1.85</v>
      </c>
      <c r="AW64" s="56">
        <v>1.8259999999999998</v>
      </c>
      <c r="AX64" s="56">
        <v>2.084</v>
      </c>
      <c r="AY64" s="56">
        <v>1.85</v>
      </c>
      <c r="AZ64" s="50">
        <v>27.7</v>
      </c>
      <c r="BA64" s="50">
        <v>1095.15</v>
      </c>
      <c r="BB64" s="50">
        <v>1802.15</v>
      </c>
      <c r="BC64" s="50">
        <v>5.24</v>
      </c>
      <c r="BD64" s="50">
        <v>0.18</v>
      </c>
      <c r="BE64" s="50">
        <v>9.21</v>
      </c>
      <c r="BF64" s="59">
        <v>143.5</v>
      </c>
      <c r="BG64" s="59">
        <v>178.0</v>
      </c>
      <c r="BH64" s="50">
        <v>13.9</v>
      </c>
      <c r="BI64" s="59">
        <v>3.5E-5</v>
      </c>
      <c r="BJ64" s="50">
        <v>1.86</v>
      </c>
      <c r="BK64" s="59">
        <v>14.7</v>
      </c>
      <c r="BL64" s="59">
        <v>7.9</v>
      </c>
      <c r="BM64" s="59">
        <v>18.0</v>
      </c>
      <c r="BN64" s="59">
        <v>0.167</v>
      </c>
      <c r="BO64" s="53" t="s">
        <v>338</v>
      </c>
      <c r="BP64" s="59">
        <v>9.0E-7</v>
      </c>
      <c r="BQ64" s="59">
        <v>1100000.0</v>
      </c>
      <c r="BR64" s="60">
        <v>4570.0</v>
      </c>
      <c r="BS64" s="60">
        <v>0.6</v>
      </c>
      <c r="BT64" s="60">
        <v>38.0</v>
      </c>
      <c r="BU64" s="60">
        <v>2.0</v>
      </c>
      <c r="BV64" s="60">
        <v>0.05263157894736842</v>
      </c>
      <c r="BW64" s="60">
        <v>1.0</v>
      </c>
      <c r="BX64" s="50">
        <v>2.0418361568812623E-6</v>
      </c>
      <c r="BY64" s="50">
        <v>3.1730644242301004E-12</v>
      </c>
      <c r="BZ64" s="62">
        <v>9476.0</v>
      </c>
      <c r="CA64" s="62">
        <v>3129.0</v>
      </c>
      <c r="CB64" s="50">
        <v>3600.0</v>
      </c>
    </row>
    <row r="65" ht="14.25" customHeight="1">
      <c r="A65" s="47" t="s">
        <v>461</v>
      </c>
      <c r="B65" s="65" t="s">
        <v>462</v>
      </c>
      <c r="C65" s="49">
        <v>157.25</v>
      </c>
      <c r="D65" s="50">
        <v>64.0</v>
      </c>
      <c r="E65" s="50">
        <v>6.0</v>
      </c>
      <c r="F65" s="50">
        <v>3.0</v>
      </c>
      <c r="G65" s="51">
        <v>3.0</v>
      </c>
      <c r="H65" s="51">
        <v>1.0</v>
      </c>
      <c r="I65" s="50">
        <v>27.0</v>
      </c>
      <c r="J65" s="50">
        <v>3.0</v>
      </c>
      <c r="K65" s="50">
        <v>2.0</v>
      </c>
      <c r="L65" s="50">
        <v>0.0</v>
      </c>
      <c r="M65" s="50">
        <v>1.0</v>
      </c>
      <c r="N65" s="50">
        <v>7.0</v>
      </c>
      <c r="O65" s="52">
        <v>0.0</v>
      </c>
      <c r="P65" s="52">
        <v>6.0</v>
      </c>
      <c r="Q65" s="52">
        <v>9.0</v>
      </c>
      <c r="R65" s="52">
        <v>7.0</v>
      </c>
      <c r="S65" s="50">
        <v>10.0</v>
      </c>
      <c r="T65" s="50">
        <v>2.0</v>
      </c>
      <c r="U65" s="50">
        <v>3.0</v>
      </c>
      <c r="V65" s="52">
        <v>3.0</v>
      </c>
      <c r="W65" s="50">
        <v>3.0</v>
      </c>
      <c r="X65" s="54">
        <v>4.034</v>
      </c>
      <c r="Y65" s="54">
        <v>1.501</v>
      </c>
      <c r="Z65" s="49">
        <v>6.1498</v>
      </c>
      <c r="AA65" s="54">
        <v>0.1348185497470489</v>
      </c>
      <c r="AB65" s="53" t="s">
        <v>338</v>
      </c>
      <c r="AC65" s="58" t="s">
        <v>338</v>
      </c>
      <c r="AD65" s="50">
        <v>1.2</v>
      </c>
      <c r="AE65" s="50">
        <v>1.1</v>
      </c>
      <c r="AF65" s="50">
        <v>3.1</v>
      </c>
      <c r="AG65" s="55">
        <v>1.2</v>
      </c>
      <c r="AH65" s="50">
        <v>1.09</v>
      </c>
      <c r="AI65" s="55">
        <v>1.1</v>
      </c>
      <c r="AJ65" s="53" t="s">
        <v>338</v>
      </c>
      <c r="AK65" s="50" t="s">
        <v>338</v>
      </c>
      <c r="AL65" s="55">
        <v>13.8</v>
      </c>
      <c r="AM65" s="49">
        <v>2.33</v>
      </c>
      <c r="AN65" s="49">
        <v>1.61</v>
      </c>
      <c r="AO65" s="49">
        <v>1.08</v>
      </c>
      <c r="AP65" s="56">
        <v>0.94</v>
      </c>
      <c r="AQ65" s="56">
        <v>1.76</v>
      </c>
      <c r="AR65" s="56">
        <v>2.38</v>
      </c>
      <c r="AS65" s="49">
        <v>3.91</v>
      </c>
      <c r="AT65" s="49">
        <v>1.08</v>
      </c>
      <c r="AU65" s="56">
        <v>1.96</v>
      </c>
      <c r="AV65" s="56">
        <v>1.8</v>
      </c>
      <c r="AW65" s="56">
        <v>1.713</v>
      </c>
      <c r="AX65" s="56">
        <v>1.795</v>
      </c>
      <c r="AY65" s="56">
        <v>1.614</v>
      </c>
      <c r="AZ65" s="50">
        <v>23.5</v>
      </c>
      <c r="BA65" s="50">
        <v>1586.15</v>
      </c>
      <c r="BB65" s="50">
        <v>3546.15</v>
      </c>
      <c r="BC65" s="50">
        <v>7.9</v>
      </c>
      <c r="BD65" s="50">
        <v>0.23</v>
      </c>
      <c r="BE65" s="50">
        <v>10.05</v>
      </c>
      <c r="BF65" s="59">
        <v>359.4</v>
      </c>
      <c r="BG65" s="59">
        <v>398.0</v>
      </c>
      <c r="BH65" s="50">
        <v>10.6</v>
      </c>
      <c r="BI65" s="59">
        <v>9.4E-6</v>
      </c>
      <c r="BJ65" s="50">
        <v>4.14</v>
      </c>
      <c r="BK65" s="59">
        <v>37.9</v>
      </c>
      <c r="BL65" s="59">
        <v>22.0</v>
      </c>
      <c r="BM65" s="59">
        <v>55.0</v>
      </c>
      <c r="BN65" s="59">
        <v>0.57</v>
      </c>
      <c r="BO65" s="59">
        <v>0.18</v>
      </c>
      <c r="BP65" s="59">
        <v>1.3E-6</v>
      </c>
      <c r="BQ65" s="59">
        <v>770000.0</v>
      </c>
      <c r="BR65" s="60">
        <v>49000.0</v>
      </c>
      <c r="BS65" s="60">
        <v>7.3</v>
      </c>
      <c r="BT65" s="60">
        <v>36.0</v>
      </c>
      <c r="BU65" s="60">
        <v>6.0</v>
      </c>
      <c r="BV65" s="60">
        <v>0.16666666666666666</v>
      </c>
      <c r="BW65" s="60">
        <v>0.998</v>
      </c>
      <c r="BX65" s="50">
        <v>6.3296920863319124E-6</v>
      </c>
      <c r="BY65" s="50">
        <v>1.0761677903349777E-11</v>
      </c>
      <c r="BZ65" s="62">
        <v>9476.0</v>
      </c>
      <c r="CA65" s="62">
        <v>3129.0</v>
      </c>
      <c r="CB65" s="50">
        <v>191.0</v>
      </c>
    </row>
    <row r="66" ht="14.25" customHeight="1">
      <c r="A66" s="47" t="s">
        <v>463</v>
      </c>
      <c r="B66" s="65" t="s">
        <v>464</v>
      </c>
      <c r="C66" s="49">
        <v>158.92534</v>
      </c>
      <c r="D66" s="50">
        <v>65.0</v>
      </c>
      <c r="E66" s="50">
        <v>6.0</v>
      </c>
      <c r="F66" s="50">
        <v>3.0</v>
      </c>
      <c r="G66" s="51">
        <v>3.0</v>
      </c>
      <c r="H66" s="51">
        <v>1.0</v>
      </c>
      <c r="I66" s="50">
        <v>29.0</v>
      </c>
      <c r="J66" s="50">
        <v>3.0</v>
      </c>
      <c r="K66" s="50">
        <v>2.0</v>
      </c>
      <c r="L66" s="50">
        <v>0.0</v>
      </c>
      <c r="M66" s="50">
        <v>0.0</v>
      </c>
      <c r="N66" s="50">
        <v>9.0</v>
      </c>
      <c r="O66" s="52">
        <v>0.0</v>
      </c>
      <c r="P66" s="52">
        <v>6.0</v>
      </c>
      <c r="Q66" s="52">
        <v>10.0</v>
      </c>
      <c r="R66" s="52">
        <v>5.0</v>
      </c>
      <c r="S66" s="50">
        <v>11.0</v>
      </c>
      <c r="T66" s="50">
        <v>2.0</v>
      </c>
      <c r="U66" s="50">
        <v>3.0</v>
      </c>
      <c r="V66" s="52">
        <v>3.0</v>
      </c>
      <c r="W66" s="50">
        <v>3.0</v>
      </c>
      <c r="X66" s="54">
        <v>3.976</v>
      </c>
      <c r="Y66" s="54">
        <v>1.523</v>
      </c>
      <c r="Z66" s="49">
        <v>5.8638</v>
      </c>
      <c r="AA66" s="54">
        <v>1.154210193321617</v>
      </c>
      <c r="AB66" s="53" t="s">
        <v>338</v>
      </c>
      <c r="AC66" s="58" t="s">
        <v>338</v>
      </c>
      <c r="AD66" s="50">
        <v>1.2</v>
      </c>
      <c r="AE66" s="50">
        <v>1.2</v>
      </c>
      <c r="AF66" s="50">
        <v>3.1</v>
      </c>
      <c r="AG66" s="64">
        <v>1.21</v>
      </c>
      <c r="AH66" s="50">
        <v>1.09</v>
      </c>
      <c r="AI66" s="55">
        <v>1.08</v>
      </c>
      <c r="AJ66" s="53" t="s">
        <v>338</v>
      </c>
      <c r="AK66" s="50" t="s">
        <v>338</v>
      </c>
      <c r="AL66" s="55">
        <v>17.4</v>
      </c>
      <c r="AM66" s="49">
        <v>2.25</v>
      </c>
      <c r="AN66" s="49">
        <v>1.59</v>
      </c>
      <c r="AO66" s="49">
        <v>1.06</v>
      </c>
      <c r="AP66" s="56">
        <v>0.92</v>
      </c>
      <c r="AQ66" s="56">
        <v>1.76</v>
      </c>
      <c r="AR66" s="56">
        <v>2.37</v>
      </c>
      <c r="AS66" s="49">
        <v>3.89</v>
      </c>
      <c r="AT66" s="49">
        <v>1.18</v>
      </c>
      <c r="AU66" s="56">
        <v>1.94</v>
      </c>
      <c r="AV66" s="56">
        <v>1.75</v>
      </c>
      <c r="AW66" s="56">
        <v>1.775</v>
      </c>
      <c r="AX66" s="56">
        <v>1.773</v>
      </c>
      <c r="AY66" s="56">
        <v>1.592</v>
      </c>
      <c r="AZ66" s="50">
        <v>25.5</v>
      </c>
      <c r="BA66" s="50">
        <v>1638.15</v>
      </c>
      <c r="BB66" s="50">
        <v>3503.15</v>
      </c>
      <c r="BC66" s="50">
        <v>8.23</v>
      </c>
      <c r="BD66" s="50">
        <v>0.18</v>
      </c>
      <c r="BE66" s="50">
        <v>10.8</v>
      </c>
      <c r="BF66" s="59">
        <v>330.9</v>
      </c>
      <c r="BG66" s="59">
        <v>389.0</v>
      </c>
      <c r="BH66" s="50">
        <v>11.1</v>
      </c>
      <c r="BI66" s="59">
        <v>1.03E-5</v>
      </c>
      <c r="BJ66" s="50">
        <v>4.05</v>
      </c>
      <c r="BK66" s="59">
        <v>38.7</v>
      </c>
      <c r="BL66" s="59">
        <v>22.0</v>
      </c>
      <c r="BM66" s="59">
        <v>56.0</v>
      </c>
      <c r="BN66" s="59">
        <v>0.863</v>
      </c>
      <c r="BO66" s="59">
        <v>0.677</v>
      </c>
      <c r="BP66" s="59">
        <v>1.2E-6</v>
      </c>
      <c r="BQ66" s="59">
        <v>830000.0</v>
      </c>
      <c r="BR66" s="60">
        <v>23.0</v>
      </c>
      <c r="BS66" s="60">
        <v>0.009</v>
      </c>
      <c r="BT66" s="60">
        <v>36.0</v>
      </c>
      <c r="BU66" s="60">
        <v>1.0</v>
      </c>
      <c r="BV66" s="60">
        <v>0.027777777777777776</v>
      </c>
      <c r="BW66" s="60">
        <v>1.0</v>
      </c>
      <c r="BX66" s="50">
        <v>1.2251016941287572E-6</v>
      </c>
      <c r="BY66" s="50">
        <v>1.966452053248459E-12</v>
      </c>
      <c r="BZ66" s="62">
        <v>9476.0</v>
      </c>
      <c r="CA66" s="62">
        <v>3129.0</v>
      </c>
      <c r="CB66" s="50">
        <v>1800.0</v>
      </c>
    </row>
    <row r="67" ht="14.25" customHeight="1">
      <c r="A67" s="47" t="s">
        <v>465</v>
      </c>
      <c r="B67" s="65" t="s">
        <v>466</v>
      </c>
      <c r="C67" s="49">
        <v>162.5</v>
      </c>
      <c r="D67" s="50">
        <v>66.0</v>
      </c>
      <c r="E67" s="50">
        <v>6.0</v>
      </c>
      <c r="F67" s="50">
        <v>3.0</v>
      </c>
      <c r="G67" s="51">
        <v>3.0</v>
      </c>
      <c r="H67" s="51">
        <v>1.0</v>
      </c>
      <c r="I67" s="50">
        <v>31.0</v>
      </c>
      <c r="J67" s="50">
        <v>3.0</v>
      </c>
      <c r="K67" s="50">
        <v>2.0</v>
      </c>
      <c r="L67" s="50">
        <v>0.0</v>
      </c>
      <c r="M67" s="50">
        <v>0.0</v>
      </c>
      <c r="N67" s="50">
        <v>10.0</v>
      </c>
      <c r="O67" s="52">
        <v>0.0</v>
      </c>
      <c r="P67" s="52">
        <v>6.0</v>
      </c>
      <c r="Q67" s="52">
        <v>10.0</v>
      </c>
      <c r="R67" s="52">
        <v>4.0</v>
      </c>
      <c r="S67" s="50">
        <v>12.0</v>
      </c>
      <c r="T67" s="50">
        <v>2.0</v>
      </c>
      <c r="U67" s="50">
        <v>3.0</v>
      </c>
      <c r="V67" s="52">
        <v>3.0</v>
      </c>
      <c r="W67" s="50">
        <v>3.0</v>
      </c>
      <c r="X67" s="54">
        <v>3.963</v>
      </c>
      <c r="Y67" s="54">
        <v>1.529</v>
      </c>
      <c r="Z67" s="49">
        <v>5.9389</v>
      </c>
      <c r="AA67" s="54">
        <v>0.352395462478185</v>
      </c>
      <c r="AB67" s="53" t="s">
        <v>338</v>
      </c>
      <c r="AC67" s="58" t="s">
        <v>338</v>
      </c>
      <c r="AD67" s="50">
        <v>1.22</v>
      </c>
      <c r="AE67" s="50">
        <v>1.15</v>
      </c>
      <c r="AF67" s="50">
        <v>3.1</v>
      </c>
      <c r="AG67" s="55">
        <v>1.22</v>
      </c>
      <c r="AH67" s="50">
        <v>1.09</v>
      </c>
      <c r="AI67" s="55">
        <v>1.09</v>
      </c>
      <c r="AJ67" s="53" t="s">
        <v>338</v>
      </c>
      <c r="AK67" s="50" t="s">
        <v>338</v>
      </c>
      <c r="AL67" s="55">
        <v>21.6</v>
      </c>
      <c r="AM67" s="49">
        <v>2.28</v>
      </c>
      <c r="AN67" s="49">
        <v>1.59</v>
      </c>
      <c r="AO67" s="49">
        <v>1.05</v>
      </c>
      <c r="AP67" s="56">
        <v>1.07</v>
      </c>
      <c r="AQ67" s="56">
        <v>1.75</v>
      </c>
      <c r="AR67" s="56">
        <v>2.35</v>
      </c>
      <c r="AS67" s="49">
        <v>3.67</v>
      </c>
      <c r="AT67" s="49">
        <v>1.05</v>
      </c>
      <c r="AU67" s="56">
        <v>1.92</v>
      </c>
      <c r="AV67" s="56">
        <v>1.75</v>
      </c>
      <c r="AW67" s="56">
        <v>1.75</v>
      </c>
      <c r="AX67" s="56">
        <v>1.77</v>
      </c>
      <c r="AY67" s="56">
        <v>1.589</v>
      </c>
      <c r="AZ67" s="50">
        <v>24.5</v>
      </c>
      <c r="BA67" s="50">
        <v>1685.15</v>
      </c>
      <c r="BB67" s="50">
        <v>2840.15</v>
      </c>
      <c r="BC67" s="50">
        <v>8.55</v>
      </c>
      <c r="BD67" s="50">
        <v>0.17</v>
      </c>
      <c r="BE67" s="50">
        <v>11.06</v>
      </c>
      <c r="BF67" s="59">
        <v>230.1</v>
      </c>
      <c r="BG67" s="59">
        <v>291.0</v>
      </c>
      <c r="BH67" s="50">
        <v>10.7</v>
      </c>
      <c r="BI67" s="59">
        <v>1.0E-5</v>
      </c>
      <c r="BJ67" s="50">
        <v>3.04</v>
      </c>
      <c r="BK67" s="59">
        <v>40.5</v>
      </c>
      <c r="BL67" s="59">
        <v>25.0</v>
      </c>
      <c r="BM67" s="59">
        <v>61.0</v>
      </c>
      <c r="BN67" s="59">
        <v>0.54</v>
      </c>
      <c r="BO67" s="59">
        <v>0.5</v>
      </c>
      <c r="BP67" s="59">
        <v>9.1E-7</v>
      </c>
      <c r="BQ67" s="59">
        <v>1100000.0</v>
      </c>
      <c r="BR67" s="60">
        <v>950.0</v>
      </c>
      <c r="BS67" s="60">
        <v>0.2</v>
      </c>
      <c r="BT67" s="60">
        <v>36.0</v>
      </c>
      <c r="BU67" s="60">
        <v>7.0</v>
      </c>
      <c r="BV67" s="60">
        <v>0.19444444444444445</v>
      </c>
      <c r="BW67" s="60">
        <v>1.0</v>
      </c>
      <c r="BX67" s="50">
        <v>5.308774007891282E-6</v>
      </c>
      <c r="BY67" s="50">
        <v>1.2855313422728733E-11</v>
      </c>
      <c r="BZ67" s="62">
        <v>9476.0</v>
      </c>
      <c r="CA67" s="62">
        <v>3129.0</v>
      </c>
      <c r="CB67" s="50">
        <v>210.0</v>
      </c>
    </row>
    <row r="68" ht="14.25" customHeight="1">
      <c r="A68" s="47" t="s">
        <v>467</v>
      </c>
      <c r="B68" s="65" t="s">
        <v>468</v>
      </c>
      <c r="C68" s="49">
        <v>164.93032</v>
      </c>
      <c r="D68" s="50">
        <v>67.0</v>
      </c>
      <c r="E68" s="50">
        <v>6.0</v>
      </c>
      <c r="F68" s="50">
        <v>3.0</v>
      </c>
      <c r="G68" s="51">
        <v>3.0</v>
      </c>
      <c r="H68" s="51">
        <v>1.0</v>
      </c>
      <c r="I68" s="50">
        <v>33.0</v>
      </c>
      <c r="J68" s="50">
        <v>3.0</v>
      </c>
      <c r="K68" s="50">
        <v>2.0</v>
      </c>
      <c r="L68" s="50">
        <v>0.0</v>
      </c>
      <c r="M68" s="50">
        <v>0.0</v>
      </c>
      <c r="N68" s="50">
        <v>11.0</v>
      </c>
      <c r="O68" s="52">
        <v>0.0</v>
      </c>
      <c r="P68" s="52">
        <v>6.0</v>
      </c>
      <c r="Q68" s="52">
        <v>10.0</v>
      </c>
      <c r="R68" s="52">
        <v>3.0</v>
      </c>
      <c r="S68" s="50">
        <v>13.0</v>
      </c>
      <c r="T68" s="50">
        <v>2.0</v>
      </c>
      <c r="U68" s="50">
        <v>3.0</v>
      </c>
      <c r="V68" s="52">
        <v>3.0</v>
      </c>
      <c r="W68" s="50">
        <v>3.0</v>
      </c>
      <c r="X68" s="54">
        <v>3.994</v>
      </c>
      <c r="Y68" s="54">
        <v>1.517</v>
      </c>
      <c r="Z68" s="49">
        <v>6.0215</v>
      </c>
      <c r="AA68" s="54">
        <v>0.34201290877796897</v>
      </c>
      <c r="AB68" s="53" t="s">
        <v>338</v>
      </c>
      <c r="AC68" s="58" t="s">
        <v>338</v>
      </c>
      <c r="AD68" s="50">
        <v>1.23</v>
      </c>
      <c r="AE68" s="50">
        <v>1.2</v>
      </c>
      <c r="AF68" s="50">
        <v>3.1</v>
      </c>
      <c r="AG68" s="55">
        <v>1.23</v>
      </c>
      <c r="AH68" s="50">
        <v>1.09</v>
      </c>
      <c r="AI68" s="55">
        <v>1.1</v>
      </c>
      <c r="AJ68" s="53" t="s">
        <v>338</v>
      </c>
      <c r="AK68" s="50" t="s">
        <v>338</v>
      </c>
      <c r="AL68" s="55">
        <v>26.4</v>
      </c>
      <c r="AM68" s="49">
        <v>2.26</v>
      </c>
      <c r="AN68" s="49">
        <v>1.58</v>
      </c>
      <c r="AO68" s="49">
        <v>1.04</v>
      </c>
      <c r="AP68" s="56">
        <v>0.9</v>
      </c>
      <c r="AQ68" s="56">
        <v>1.77</v>
      </c>
      <c r="AR68" s="56">
        <v>2.33</v>
      </c>
      <c r="AS68" s="49">
        <v>3.65</v>
      </c>
      <c r="AT68" s="49">
        <v>1.04</v>
      </c>
      <c r="AU68" s="56">
        <v>1.92</v>
      </c>
      <c r="AV68" s="56">
        <v>1.75</v>
      </c>
      <c r="AW68" s="56">
        <v>1.7269999999999999</v>
      </c>
      <c r="AX68" s="56">
        <v>1.761</v>
      </c>
      <c r="AY68" s="56">
        <v>1.58</v>
      </c>
      <c r="AZ68" s="50">
        <v>23.6</v>
      </c>
      <c r="BA68" s="50">
        <v>1747.15</v>
      </c>
      <c r="BB68" s="50">
        <v>2973.15</v>
      </c>
      <c r="BC68" s="50">
        <v>8.8</v>
      </c>
      <c r="BD68" s="50">
        <v>0.16</v>
      </c>
      <c r="BE68" s="50">
        <v>12.2</v>
      </c>
      <c r="BF68" s="59">
        <v>241.0</v>
      </c>
      <c r="BG68" s="59">
        <v>301.0</v>
      </c>
      <c r="BH68" s="50">
        <v>16.2</v>
      </c>
      <c r="BI68" s="59">
        <v>1.12E-5</v>
      </c>
      <c r="BJ68" s="50">
        <v>3.14</v>
      </c>
      <c r="BK68" s="59">
        <v>40.2</v>
      </c>
      <c r="BL68" s="59">
        <v>26.0</v>
      </c>
      <c r="BM68" s="59">
        <v>64.0</v>
      </c>
      <c r="BN68" s="59">
        <v>0.481</v>
      </c>
      <c r="BO68" s="59">
        <v>0.746</v>
      </c>
      <c r="BP68" s="59">
        <v>9.4E-7</v>
      </c>
      <c r="BQ68" s="59">
        <v>1100000.0</v>
      </c>
      <c r="BR68" s="60">
        <v>64.0</v>
      </c>
      <c r="BS68" s="60">
        <v>0.015</v>
      </c>
      <c r="BT68" s="60">
        <v>36.0</v>
      </c>
      <c r="BU68" s="60">
        <v>1.0</v>
      </c>
      <c r="BV68" s="60">
        <v>0.027777777777777776</v>
      </c>
      <c r="BW68" s="60">
        <v>1.0</v>
      </c>
      <c r="BX68" s="50">
        <v>1.3271935019728205E-6</v>
      </c>
      <c r="BY68" s="50">
        <v>2.899130804872105E-12</v>
      </c>
      <c r="BZ68" s="62">
        <v>9476.0</v>
      </c>
      <c r="CA68" s="62">
        <v>3129.0</v>
      </c>
      <c r="CB68" s="50">
        <v>740.0</v>
      </c>
    </row>
    <row r="69" ht="14.25" customHeight="1">
      <c r="A69" s="47" t="s">
        <v>469</v>
      </c>
      <c r="B69" s="65" t="s">
        <v>470</v>
      </c>
      <c r="C69" s="49">
        <v>167.259</v>
      </c>
      <c r="D69" s="50">
        <v>68.0</v>
      </c>
      <c r="E69" s="50">
        <v>6.0</v>
      </c>
      <c r="F69" s="50">
        <v>3.0</v>
      </c>
      <c r="G69" s="51">
        <v>3.0</v>
      </c>
      <c r="H69" s="51">
        <v>1.0</v>
      </c>
      <c r="I69" s="50">
        <v>35.0</v>
      </c>
      <c r="J69" s="50">
        <v>3.0</v>
      </c>
      <c r="K69" s="50">
        <v>2.0</v>
      </c>
      <c r="L69" s="50">
        <v>0.0</v>
      </c>
      <c r="M69" s="50">
        <v>0.0</v>
      </c>
      <c r="N69" s="50">
        <v>12.0</v>
      </c>
      <c r="O69" s="52">
        <v>0.0</v>
      </c>
      <c r="P69" s="52">
        <v>6.0</v>
      </c>
      <c r="Q69" s="52">
        <v>10.0</v>
      </c>
      <c r="R69" s="52">
        <v>2.0</v>
      </c>
      <c r="S69" s="50">
        <v>14.0</v>
      </c>
      <c r="T69" s="50">
        <v>2.0</v>
      </c>
      <c r="U69" s="50">
        <v>3.0</v>
      </c>
      <c r="V69" s="52">
        <v>3.0</v>
      </c>
      <c r="W69" s="50">
        <v>3.0</v>
      </c>
      <c r="X69" s="54">
        <v>4.018</v>
      </c>
      <c r="Y69" s="54">
        <v>1.507</v>
      </c>
      <c r="Z69" s="49">
        <v>6.1077</v>
      </c>
      <c r="AA69" s="54">
        <v>0.311088285229202</v>
      </c>
      <c r="AB69" s="53" t="s">
        <v>338</v>
      </c>
      <c r="AC69" s="58" t="s">
        <v>338</v>
      </c>
      <c r="AD69" s="50">
        <v>1.24</v>
      </c>
      <c r="AE69" s="50">
        <v>1.2</v>
      </c>
      <c r="AF69" s="50">
        <v>3.1</v>
      </c>
      <c r="AG69" s="55">
        <v>1.24</v>
      </c>
      <c r="AH69" s="50">
        <v>1.09</v>
      </c>
      <c r="AI69" s="55">
        <v>1.11</v>
      </c>
      <c r="AJ69" s="53" t="s">
        <v>338</v>
      </c>
      <c r="AK69" s="50" t="s">
        <v>338</v>
      </c>
      <c r="AL69" s="55">
        <v>31.9</v>
      </c>
      <c r="AM69" s="49">
        <v>2.26</v>
      </c>
      <c r="AN69" s="49">
        <v>1.57</v>
      </c>
      <c r="AO69" s="49">
        <v>1.03</v>
      </c>
      <c r="AP69" s="56">
        <v>0.89</v>
      </c>
      <c r="AQ69" s="56">
        <v>1.75</v>
      </c>
      <c r="AR69" s="56">
        <v>2.32</v>
      </c>
      <c r="AS69" s="49">
        <v>3.63</v>
      </c>
      <c r="AT69" s="49">
        <v>1.03</v>
      </c>
      <c r="AU69" s="56">
        <v>1.89</v>
      </c>
      <c r="AV69" s="56">
        <v>1.75</v>
      </c>
      <c r="AW69" s="56">
        <v>1.703</v>
      </c>
      <c r="AX69" s="56">
        <v>1.748</v>
      </c>
      <c r="AY69" s="56">
        <v>1.567</v>
      </c>
      <c r="AZ69" s="50">
        <v>22.7</v>
      </c>
      <c r="BA69" s="50">
        <v>1802.15</v>
      </c>
      <c r="BB69" s="50">
        <v>3141.15</v>
      </c>
      <c r="BC69" s="50">
        <v>9.07</v>
      </c>
      <c r="BD69" s="50">
        <v>0.17</v>
      </c>
      <c r="BE69" s="50">
        <v>19.9</v>
      </c>
      <c r="BF69" s="59">
        <v>261.0</v>
      </c>
      <c r="BG69" s="59">
        <v>317.0</v>
      </c>
      <c r="BH69" s="50">
        <v>14.3</v>
      </c>
      <c r="BI69" s="59">
        <v>1.22E-5</v>
      </c>
      <c r="BJ69" s="50">
        <v>3.29</v>
      </c>
      <c r="BK69" s="59">
        <v>44.4</v>
      </c>
      <c r="BL69" s="59">
        <v>28.0</v>
      </c>
      <c r="BM69" s="59">
        <v>70.0</v>
      </c>
      <c r="BN69" s="59">
        <v>0.588</v>
      </c>
      <c r="BO69" s="59">
        <v>0.814</v>
      </c>
      <c r="BP69" s="59">
        <v>8.6E-7</v>
      </c>
      <c r="BQ69" s="59">
        <v>1200000.0</v>
      </c>
      <c r="BR69" s="60">
        <v>165.0</v>
      </c>
      <c r="BS69" s="60">
        <v>0.036</v>
      </c>
      <c r="BT69" s="60">
        <v>35.0</v>
      </c>
      <c r="BU69" s="60">
        <v>6.0</v>
      </c>
      <c r="BV69" s="60">
        <v>0.17142857142857143</v>
      </c>
      <c r="BW69" s="60">
        <v>1.0</v>
      </c>
      <c r="BX69" s="50">
        <v>3.5732132745422087E-6</v>
      </c>
      <c r="BY69" s="50">
        <v>8.178875206545829E-12</v>
      </c>
      <c r="BZ69" s="62">
        <v>9476.0</v>
      </c>
      <c r="CA69" s="62">
        <v>3129.0</v>
      </c>
      <c r="CB69" s="50">
        <v>270.0</v>
      </c>
    </row>
    <row r="70" ht="14.25" customHeight="1">
      <c r="A70" s="47" t="s">
        <v>471</v>
      </c>
      <c r="B70" s="65" t="s">
        <v>472</v>
      </c>
      <c r="C70" s="49">
        <v>168.93421</v>
      </c>
      <c r="D70" s="50">
        <v>69.0</v>
      </c>
      <c r="E70" s="50">
        <v>6.0</v>
      </c>
      <c r="F70" s="50">
        <v>3.0</v>
      </c>
      <c r="G70" s="51">
        <v>3.0</v>
      </c>
      <c r="H70" s="51">
        <v>1.0</v>
      </c>
      <c r="I70" s="50">
        <v>37.0</v>
      </c>
      <c r="J70" s="50">
        <v>3.0</v>
      </c>
      <c r="K70" s="50">
        <v>2.0</v>
      </c>
      <c r="L70" s="50">
        <v>0.0</v>
      </c>
      <c r="M70" s="50">
        <v>0.0</v>
      </c>
      <c r="N70" s="50">
        <v>13.0</v>
      </c>
      <c r="O70" s="52">
        <v>0.0</v>
      </c>
      <c r="P70" s="52">
        <v>6.0</v>
      </c>
      <c r="Q70" s="52">
        <v>10.0</v>
      </c>
      <c r="R70" s="52">
        <v>1.0</v>
      </c>
      <c r="S70" s="50">
        <v>15.0</v>
      </c>
      <c r="T70" s="50">
        <v>2.0</v>
      </c>
      <c r="U70" s="50">
        <v>3.0</v>
      </c>
      <c r="V70" s="52">
        <v>3.0</v>
      </c>
      <c r="W70" s="50">
        <v>3.0</v>
      </c>
      <c r="X70" s="54">
        <v>3.921</v>
      </c>
      <c r="Y70" s="54">
        <v>1.545</v>
      </c>
      <c r="Z70" s="49">
        <v>6.1843</v>
      </c>
      <c r="AA70" s="54">
        <v>1.0255371859296483</v>
      </c>
      <c r="AB70" s="53" t="s">
        <v>338</v>
      </c>
      <c r="AC70" s="58" t="s">
        <v>338</v>
      </c>
      <c r="AD70" s="50">
        <v>1.25</v>
      </c>
      <c r="AE70" s="50">
        <v>1.2</v>
      </c>
      <c r="AF70" s="50">
        <v>3.1</v>
      </c>
      <c r="AG70" s="55">
        <v>1.25</v>
      </c>
      <c r="AH70" s="50">
        <v>1.09</v>
      </c>
      <c r="AI70" s="55">
        <v>1.12</v>
      </c>
      <c r="AJ70" s="53" t="s">
        <v>338</v>
      </c>
      <c r="AK70" s="50" t="s">
        <v>338</v>
      </c>
      <c r="AL70" s="55">
        <v>38.1</v>
      </c>
      <c r="AM70" s="49">
        <v>2.22</v>
      </c>
      <c r="AN70" s="49">
        <v>1.56</v>
      </c>
      <c r="AO70" s="49">
        <v>1.17</v>
      </c>
      <c r="AP70" s="56">
        <v>1.03</v>
      </c>
      <c r="AQ70" s="56">
        <v>1.75</v>
      </c>
      <c r="AR70" s="56">
        <v>2.3</v>
      </c>
      <c r="AS70" s="49">
        <v>3.6</v>
      </c>
      <c r="AT70" s="49">
        <v>1.02</v>
      </c>
      <c r="AU70" s="56">
        <v>1.9</v>
      </c>
      <c r="AV70" s="56">
        <v>1.75</v>
      </c>
      <c r="AW70" s="56">
        <v>1.681</v>
      </c>
      <c r="AX70" s="56">
        <v>1.743</v>
      </c>
      <c r="AY70" s="56">
        <v>1.562</v>
      </c>
      <c r="AZ70" s="50">
        <v>21.8</v>
      </c>
      <c r="BA70" s="50">
        <v>1818.15</v>
      </c>
      <c r="BB70" s="50">
        <v>2223.15</v>
      </c>
      <c r="BC70" s="50">
        <v>9.32</v>
      </c>
      <c r="BD70" s="50">
        <v>0.16</v>
      </c>
      <c r="BE70" s="50">
        <v>16.84</v>
      </c>
      <c r="BF70" s="59">
        <v>191.0</v>
      </c>
      <c r="BG70" s="59">
        <v>232.0</v>
      </c>
      <c r="BH70" s="50">
        <v>16.8</v>
      </c>
      <c r="BI70" s="59">
        <v>1.33E-5</v>
      </c>
      <c r="BJ70" s="50">
        <v>2.42</v>
      </c>
      <c r="BK70" s="59">
        <v>44.5</v>
      </c>
      <c r="BL70" s="59">
        <v>31.0</v>
      </c>
      <c r="BM70" s="59">
        <v>74.0</v>
      </c>
      <c r="BN70" s="59">
        <v>0.52</v>
      </c>
      <c r="BO70" s="59">
        <v>0.471</v>
      </c>
      <c r="BP70" s="59">
        <v>7.0E-7</v>
      </c>
      <c r="BQ70" s="59">
        <v>1400000.0</v>
      </c>
      <c r="BR70" s="60">
        <v>105.0</v>
      </c>
      <c r="BS70" s="60">
        <v>0.025</v>
      </c>
      <c r="BT70" s="60">
        <v>35.0</v>
      </c>
      <c r="BU70" s="60">
        <v>1.0</v>
      </c>
      <c r="BV70" s="60">
        <v>0.02857142857142857</v>
      </c>
      <c r="BW70" s="60">
        <v>1.0</v>
      </c>
      <c r="BX70" s="50">
        <v>5.308774007891281E-7</v>
      </c>
      <c r="BY70" s="50">
        <v>1.2327012871109742E-12</v>
      </c>
      <c r="BZ70" s="62">
        <v>9476.0</v>
      </c>
      <c r="CA70" s="62">
        <v>3129.0</v>
      </c>
      <c r="CB70" s="50">
        <v>4100.0</v>
      </c>
    </row>
    <row r="71" ht="14.25" customHeight="1">
      <c r="A71" s="47" t="s">
        <v>473</v>
      </c>
      <c r="B71" s="65" t="s">
        <v>474</v>
      </c>
      <c r="C71" s="49">
        <v>173.045</v>
      </c>
      <c r="D71" s="50">
        <v>70.0</v>
      </c>
      <c r="E71" s="50">
        <v>6.0</v>
      </c>
      <c r="F71" s="50">
        <v>3.0</v>
      </c>
      <c r="G71" s="51">
        <v>3.0</v>
      </c>
      <c r="H71" s="51">
        <v>1.0</v>
      </c>
      <c r="I71" s="50">
        <v>39.0</v>
      </c>
      <c r="J71" s="50">
        <v>3.0</v>
      </c>
      <c r="K71" s="50">
        <v>2.0</v>
      </c>
      <c r="L71" s="50">
        <v>0.0</v>
      </c>
      <c r="M71" s="50">
        <v>0.0</v>
      </c>
      <c r="N71" s="50">
        <v>14.0</v>
      </c>
      <c r="O71" s="52">
        <v>0.0</v>
      </c>
      <c r="P71" s="52">
        <v>6.0</v>
      </c>
      <c r="Q71" s="52">
        <v>10.0</v>
      </c>
      <c r="R71" s="52">
        <v>0.0</v>
      </c>
      <c r="S71" s="50">
        <v>16.0</v>
      </c>
      <c r="T71" s="50">
        <v>2.0</v>
      </c>
      <c r="U71" s="50">
        <v>3.0</v>
      </c>
      <c r="V71" s="52">
        <v>2.0</v>
      </c>
      <c r="W71" s="50">
        <v>2.0</v>
      </c>
      <c r="X71" s="54">
        <v>4.048</v>
      </c>
      <c r="Y71" s="54">
        <v>1.494</v>
      </c>
      <c r="Z71" s="49">
        <v>6.2542</v>
      </c>
      <c r="AA71" s="54">
        <v>-0.02074361525704809</v>
      </c>
      <c r="AB71" s="53" t="s">
        <v>338</v>
      </c>
      <c r="AC71" s="58" t="s">
        <v>338</v>
      </c>
      <c r="AD71" s="50">
        <v>1.1</v>
      </c>
      <c r="AE71" s="50">
        <v>1.1</v>
      </c>
      <c r="AF71" s="50">
        <v>3.1</v>
      </c>
      <c r="AG71" s="64">
        <v>1.26</v>
      </c>
      <c r="AH71" s="50">
        <v>1.09</v>
      </c>
      <c r="AI71" s="55">
        <v>1.13</v>
      </c>
      <c r="AJ71" s="53" t="s">
        <v>338</v>
      </c>
      <c r="AK71" s="50" t="s">
        <v>338</v>
      </c>
      <c r="AL71" s="55">
        <v>45.1</v>
      </c>
      <c r="AM71" s="49">
        <v>2.22</v>
      </c>
      <c r="AN71" s="49">
        <v>1.56</v>
      </c>
      <c r="AO71" s="49">
        <v>1.16</v>
      </c>
      <c r="AP71" s="56">
        <v>1.02</v>
      </c>
      <c r="AQ71" s="56">
        <v>1.9</v>
      </c>
      <c r="AR71" s="56">
        <v>2.28</v>
      </c>
      <c r="AS71" s="49">
        <v>3.59</v>
      </c>
      <c r="AT71" s="49">
        <v>1.13</v>
      </c>
      <c r="AU71" s="56">
        <v>1.97</v>
      </c>
      <c r="AV71" s="56">
        <v>1.75</v>
      </c>
      <c r="AW71" s="56">
        <v>1.6580000000000001</v>
      </c>
      <c r="AX71" s="56">
        <v>1.933</v>
      </c>
      <c r="AY71" s="56">
        <v>1.699</v>
      </c>
      <c r="AZ71" s="50">
        <v>21.0</v>
      </c>
      <c r="BA71" s="50">
        <v>1092.15</v>
      </c>
      <c r="BB71" s="50">
        <v>1469.15</v>
      </c>
      <c r="BC71" s="50">
        <v>6.97</v>
      </c>
      <c r="BD71" s="50">
        <v>0.15</v>
      </c>
      <c r="BE71" s="50">
        <v>7.66</v>
      </c>
      <c r="BF71" s="59">
        <v>128.9</v>
      </c>
      <c r="BG71" s="59">
        <v>152.0</v>
      </c>
      <c r="BH71" s="50">
        <v>34.9</v>
      </c>
      <c r="BI71" s="59">
        <v>2.63E-5</v>
      </c>
      <c r="BJ71" s="50">
        <v>1.6</v>
      </c>
      <c r="BK71" s="59">
        <v>30.5</v>
      </c>
      <c r="BL71" s="59">
        <v>10.0</v>
      </c>
      <c r="BM71" s="59">
        <v>24.0</v>
      </c>
      <c r="BN71" s="59">
        <v>0.206</v>
      </c>
      <c r="BO71" s="59">
        <v>0.343</v>
      </c>
      <c r="BP71" s="59">
        <v>2.8E-7</v>
      </c>
      <c r="BQ71" s="59">
        <v>3600000.0</v>
      </c>
      <c r="BR71" s="60">
        <v>35.0</v>
      </c>
      <c r="BS71" s="60">
        <v>0.0076</v>
      </c>
      <c r="BT71" s="60">
        <v>35.0</v>
      </c>
      <c r="BU71" s="60">
        <v>7.0</v>
      </c>
      <c r="BV71" s="60">
        <v>0.2</v>
      </c>
      <c r="BW71" s="60">
        <v>1.0</v>
      </c>
      <c r="BX71" s="50">
        <v>3.2669378510100198E-6</v>
      </c>
      <c r="BY71" s="50">
        <v>8.084302885576998E-12</v>
      </c>
      <c r="BZ71" s="62">
        <v>9476.0</v>
      </c>
      <c r="CA71" s="62">
        <v>3129.0</v>
      </c>
      <c r="CB71" s="50">
        <v>530.0</v>
      </c>
    </row>
    <row r="72" ht="14.25" customHeight="1">
      <c r="A72" s="47" t="s">
        <v>475</v>
      </c>
      <c r="B72" s="65" t="s">
        <v>476</v>
      </c>
      <c r="C72" s="49">
        <v>174.967</v>
      </c>
      <c r="D72" s="50">
        <v>71.0</v>
      </c>
      <c r="E72" s="50">
        <v>6.0</v>
      </c>
      <c r="F72" s="50">
        <v>3.0</v>
      </c>
      <c r="G72" s="51">
        <v>2.0</v>
      </c>
      <c r="H72" s="51">
        <v>1.0</v>
      </c>
      <c r="I72" s="50">
        <v>41.0</v>
      </c>
      <c r="J72" s="50">
        <v>3.0</v>
      </c>
      <c r="K72" s="50">
        <v>2.0</v>
      </c>
      <c r="L72" s="50">
        <v>0.0</v>
      </c>
      <c r="M72" s="50">
        <v>1.0</v>
      </c>
      <c r="N72" s="50">
        <v>14.0</v>
      </c>
      <c r="O72" s="52">
        <v>0.0</v>
      </c>
      <c r="P72" s="52">
        <v>6.0</v>
      </c>
      <c r="Q72" s="52">
        <v>9.0</v>
      </c>
      <c r="R72" s="52">
        <v>0.0</v>
      </c>
      <c r="S72" s="50">
        <v>17.0</v>
      </c>
      <c r="T72" s="50">
        <v>2.0</v>
      </c>
      <c r="U72" s="50">
        <v>1.0</v>
      </c>
      <c r="V72" s="52">
        <v>3.0</v>
      </c>
      <c r="W72" s="50">
        <v>3.0</v>
      </c>
      <c r="X72" s="54">
        <v>4.034</v>
      </c>
      <c r="Y72" s="54">
        <v>1.501</v>
      </c>
      <c r="Z72" s="49">
        <v>5.4259</v>
      </c>
      <c r="AA72" s="54">
        <v>0.3417074427480916</v>
      </c>
      <c r="AB72" s="53" t="s">
        <v>338</v>
      </c>
      <c r="AC72" s="58" t="s">
        <v>338</v>
      </c>
      <c r="AD72" s="50">
        <v>1.27</v>
      </c>
      <c r="AE72" s="50">
        <v>1.2</v>
      </c>
      <c r="AF72" s="50">
        <v>3.1</v>
      </c>
      <c r="AG72" s="55">
        <v>1.27</v>
      </c>
      <c r="AH72" s="50">
        <v>1.09</v>
      </c>
      <c r="AI72" s="55">
        <v>1.12</v>
      </c>
      <c r="AJ72" s="53" t="s">
        <v>338</v>
      </c>
      <c r="AK72" s="50" t="s">
        <v>338</v>
      </c>
      <c r="AL72" s="55">
        <v>52.9</v>
      </c>
      <c r="AM72" s="49">
        <v>2.17</v>
      </c>
      <c r="AN72" s="49">
        <v>1.6</v>
      </c>
      <c r="AO72" s="49">
        <v>1.0</v>
      </c>
      <c r="AP72" s="56">
        <v>0.86</v>
      </c>
      <c r="AQ72" s="56">
        <v>1.75</v>
      </c>
      <c r="AR72" s="56">
        <v>2.27</v>
      </c>
      <c r="AS72" s="49">
        <v>3.37</v>
      </c>
      <c r="AT72" s="49">
        <v>1.0</v>
      </c>
      <c r="AU72" s="56">
        <v>1.87</v>
      </c>
      <c r="AV72" s="56">
        <v>1.75</v>
      </c>
      <c r="AW72" s="56">
        <v>1.5530000000000002</v>
      </c>
      <c r="AX72" s="56">
        <v>1.738</v>
      </c>
      <c r="AY72" s="56">
        <v>1.557</v>
      </c>
      <c r="AZ72" s="50">
        <v>21.9</v>
      </c>
      <c r="BA72" s="50">
        <v>1936.15</v>
      </c>
      <c r="BB72" s="50">
        <v>3675.15</v>
      </c>
      <c r="BC72" s="50">
        <v>9.84</v>
      </c>
      <c r="BD72" s="50">
        <v>0.15</v>
      </c>
      <c r="BE72" s="50">
        <v>18.6</v>
      </c>
      <c r="BF72" s="59">
        <v>355.9</v>
      </c>
      <c r="BG72" s="59">
        <v>427.0</v>
      </c>
      <c r="BH72" s="50">
        <v>16.4</v>
      </c>
      <c r="BI72" s="59">
        <v>1.0E-5</v>
      </c>
      <c r="BJ72" s="50">
        <v>4.43</v>
      </c>
      <c r="BK72" s="59">
        <v>47.6</v>
      </c>
      <c r="BL72" s="59">
        <v>27.0</v>
      </c>
      <c r="BM72" s="59">
        <v>67.0</v>
      </c>
      <c r="BN72" s="59">
        <v>1.16</v>
      </c>
      <c r="BO72" s="59">
        <v>0.893</v>
      </c>
      <c r="BP72" s="59">
        <v>5.7E-7</v>
      </c>
      <c r="BQ72" s="59">
        <v>1800000.0</v>
      </c>
      <c r="BR72" s="60">
        <v>85.0</v>
      </c>
      <c r="BS72" s="60">
        <v>0.022</v>
      </c>
      <c r="BT72" s="60">
        <v>35.0</v>
      </c>
      <c r="BU72" s="60">
        <v>1.0</v>
      </c>
      <c r="BV72" s="60">
        <v>0.02857142857142857</v>
      </c>
      <c r="BW72" s="60">
        <v>0.9741</v>
      </c>
      <c r="BX72" s="50">
        <v>8.167344627525049E-7</v>
      </c>
      <c r="BY72" s="50">
        <v>1.1968290274331416E-12</v>
      </c>
      <c r="BZ72" s="62">
        <v>9476.0</v>
      </c>
      <c r="CA72" s="62">
        <v>3129.0</v>
      </c>
      <c r="CB72" s="50">
        <v>6900.0</v>
      </c>
    </row>
    <row r="73" ht="14.25" customHeight="1">
      <c r="A73" s="47" t="s">
        <v>477</v>
      </c>
      <c r="B73" s="65" t="s">
        <v>478</v>
      </c>
      <c r="C73" s="49">
        <v>178.49</v>
      </c>
      <c r="D73" s="50">
        <v>72.0</v>
      </c>
      <c r="E73" s="50">
        <v>6.0</v>
      </c>
      <c r="F73" s="50">
        <v>4.0</v>
      </c>
      <c r="G73" s="51">
        <v>2.0</v>
      </c>
      <c r="H73" s="51">
        <v>1.0</v>
      </c>
      <c r="I73" s="50">
        <v>45.0</v>
      </c>
      <c r="J73" s="50">
        <v>4.0</v>
      </c>
      <c r="K73" s="50">
        <v>2.0</v>
      </c>
      <c r="L73" s="50">
        <v>0.0</v>
      </c>
      <c r="M73" s="50">
        <v>2.0</v>
      </c>
      <c r="N73" s="50">
        <v>14.0</v>
      </c>
      <c r="O73" s="52">
        <v>0.0</v>
      </c>
      <c r="P73" s="52">
        <v>6.0</v>
      </c>
      <c r="Q73" s="52">
        <v>8.0</v>
      </c>
      <c r="R73" s="52">
        <v>0.0</v>
      </c>
      <c r="S73" s="50">
        <v>18.0</v>
      </c>
      <c r="T73" s="50">
        <v>2.0</v>
      </c>
      <c r="U73" s="50">
        <v>2.0</v>
      </c>
      <c r="V73" s="52">
        <v>4.0</v>
      </c>
      <c r="W73" s="50">
        <v>4.0</v>
      </c>
      <c r="X73" s="54">
        <v>4.298</v>
      </c>
      <c r="Y73" s="54">
        <v>1.09</v>
      </c>
      <c r="Z73" s="49">
        <v>6.8251</v>
      </c>
      <c r="AA73" s="54">
        <v>0.02071350531107739</v>
      </c>
      <c r="AB73" s="55">
        <v>3.8</v>
      </c>
      <c r="AC73" s="58" t="s">
        <v>338</v>
      </c>
      <c r="AD73" s="50">
        <v>1.3</v>
      </c>
      <c r="AE73" s="50">
        <v>1.73</v>
      </c>
      <c r="AF73" s="50">
        <v>3.8</v>
      </c>
      <c r="AG73" s="64">
        <v>1.39</v>
      </c>
      <c r="AH73" s="50">
        <v>1.16</v>
      </c>
      <c r="AI73" s="55">
        <v>1.2</v>
      </c>
      <c r="AJ73" s="53" t="s">
        <v>338</v>
      </c>
      <c r="AK73" s="50" t="s">
        <v>338</v>
      </c>
      <c r="AL73" s="55">
        <v>61.3</v>
      </c>
      <c r="AM73" s="49">
        <v>2.08</v>
      </c>
      <c r="AN73" s="49">
        <v>1.5</v>
      </c>
      <c r="AO73" s="49">
        <v>0.85</v>
      </c>
      <c r="AP73" s="56">
        <v>0.71</v>
      </c>
      <c r="AQ73" s="56">
        <v>1.58</v>
      </c>
      <c r="AR73" s="56">
        <v>2.25</v>
      </c>
      <c r="AS73" s="49">
        <v>2.91</v>
      </c>
      <c r="AT73" s="49">
        <v>0.85</v>
      </c>
      <c r="AU73" s="56">
        <v>1.75</v>
      </c>
      <c r="AV73" s="56">
        <v>1.55</v>
      </c>
      <c r="AW73" s="56">
        <v>1.476</v>
      </c>
      <c r="AX73" s="56">
        <v>1.585</v>
      </c>
      <c r="AY73" s="56">
        <v>1.442</v>
      </c>
      <c r="AZ73" s="50">
        <v>16.2</v>
      </c>
      <c r="BA73" s="50">
        <v>2500.15</v>
      </c>
      <c r="BB73" s="50">
        <v>4873.15</v>
      </c>
      <c r="BC73" s="50">
        <v>13.3</v>
      </c>
      <c r="BD73" s="50">
        <v>0.14</v>
      </c>
      <c r="BE73" s="50">
        <v>24.06</v>
      </c>
      <c r="BF73" s="59">
        <v>575.0</v>
      </c>
      <c r="BG73" s="59">
        <v>619.0</v>
      </c>
      <c r="BH73" s="50">
        <v>23.0</v>
      </c>
      <c r="BI73" s="59">
        <v>5.9E-6</v>
      </c>
      <c r="BJ73" s="50">
        <v>6.44</v>
      </c>
      <c r="BK73" s="59">
        <v>109.0</v>
      </c>
      <c r="BL73" s="59">
        <v>30.0</v>
      </c>
      <c r="BM73" s="59">
        <v>78.0</v>
      </c>
      <c r="BN73" s="59">
        <v>1.76</v>
      </c>
      <c r="BO73" s="59">
        <v>1.7</v>
      </c>
      <c r="BP73" s="59">
        <v>3.0E-7</v>
      </c>
      <c r="BQ73" s="59">
        <v>3300000.0</v>
      </c>
      <c r="BR73" s="60">
        <v>104.0</v>
      </c>
      <c r="BS73" s="60">
        <v>0.02</v>
      </c>
      <c r="BT73" s="60">
        <v>36.0</v>
      </c>
      <c r="BU73" s="60">
        <v>5.0</v>
      </c>
      <c r="BV73" s="60">
        <v>0.1388888888888889</v>
      </c>
      <c r="BW73" s="60">
        <v>0.9984</v>
      </c>
      <c r="BX73" s="50">
        <v>3.062754235321893E-6</v>
      </c>
      <c r="BY73" s="50">
        <v>5.022116354896561E-12</v>
      </c>
      <c r="BZ73" s="62">
        <v>3410.0</v>
      </c>
      <c r="CA73" s="62">
        <v>2595.0</v>
      </c>
      <c r="CB73" s="50">
        <v>120.0</v>
      </c>
    </row>
    <row r="74" ht="14.25" customHeight="1">
      <c r="A74" s="47" t="s">
        <v>479</v>
      </c>
      <c r="B74" s="65" t="s">
        <v>480</v>
      </c>
      <c r="C74" s="49">
        <v>180.9479</v>
      </c>
      <c r="D74" s="50">
        <v>73.0</v>
      </c>
      <c r="E74" s="50">
        <v>6.0</v>
      </c>
      <c r="F74" s="50">
        <v>5.0</v>
      </c>
      <c r="G74" s="51">
        <v>2.0</v>
      </c>
      <c r="H74" s="51">
        <v>1.0</v>
      </c>
      <c r="I74" s="50">
        <v>48.0</v>
      </c>
      <c r="J74" s="50">
        <v>4.0</v>
      </c>
      <c r="K74" s="50">
        <v>2.0</v>
      </c>
      <c r="L74" s="50">
        <v>0.0</v>
      </c>
      <c r="M74" s="50">
        <v>3.0</v>
      </c>
      <c r="N74" s="50">
        <v>14.0</v>
      </c>
      <c r="O74" s="52">
        <v>0.0</v>
      </c>
      <c r="P74" s="52">
        <v>6.0</v>
      </c>
      <c r="Q74" s="52">
        <v>7.0</v>
      </c>
      <c r="R74" s="52">
        <v>0.0</v>
      </c>
      <c r="S74" s="50">
        <v>19.0</v>
      </c>
      <c r="T74" s="50">
        <v>2.0</v>
      </c>
      <c r="U74" s="50">
        <v>3.0</v>
      </c>
      <c r="V74" s="52">
        <v>5.0</v>
      </c>
      <c r="W74" s="50">
        <v>5.0</v>
      </c>
      <c r="X74" s="54">
        <v>4.593</v>
      </c>
      <c r="Y74" s="54">
        <v>1.341</v>
      </c>
      <c r="Z74" s="49">
        <v>7.5496</v>
      </c>
      <c r="AA74" s="54">
        <v>0.3075395532194481</v>
      </c>
      <c r="AB74" s="55">
        <v>4.11</v>
      </c>
      <c r="AC74" s="58" t="s">
        <v>338</v>
      </c>
      <c r="AD74" s="50">
        <v>1.5</v>
      </c>
      <c r="AE74" s="50">
        <v>1.94</v>
      </c>
      <c r="AF74" s="50">
        <v>4.11</v>
      </c>
      <c r="AG74" s="64">
        <v>1.79</v>
      </c>
      <c r="AH74" s="50">
        <v>1.34</v>
      </c>
      <c r="AI74" s="55">
        <v>1.26</v>
      </c>
      <c r="AJ74" s="53" t="s">
        <v>338</v>
      </c>
      <c r="AK74" s="50" t="s">
        <v>338</v>
      </c>
      <c r="AL74" s="55">
        <v>71.0</v>
      </c>
      <c r="AM74" s="49">
        <v>2.0</v>
      </c>
      <c r="AN74" s="49">
        <v>1.38</v>
      </c>
      <c r="AO74" s="49">
        <v>0.86</v>
      </c>
      <c r="AP74" s="56">
        <v>0.72</v>
      </c>
      <c r="AQ74" s="56">
        <v>1.45</v>
      </c>
      <c r="AR74" s="56">
        <v>2.2</v>
      </c>
      <c r="AS74" s="49">
        <v>2.79</v>
      </c>
      <c r="AT74" s="49">
        <v>0.78</v>
      </c>
      <c r="AU74" s="56">
        <v>1.7</v>
      </c>
      <c r="AV74" s="56">
        <v>1.45</v>
      </c>
      <c r="AW74" s="56">
        <v>1.413</v>
      </c>
      <c r="AX74" s="56">
        <v>1.457</v>
      </c>
      <c r="AY74" s="56">
        <v>1.343</v>
      </c>
      <c r="AZ74" s="50">
        <v>13.1</v>
      </c>
      <c r="BA74" s="50">
        <v>3269.15</v>
      </c>
      <c r="BB74" s="50">
        <v>5698.15</v>
      </c>
      <c r="BC74" s="50">
        <v>16.6</v>
      </c>
      <c r="BD74" s="50">
        <v>0.14</v>
      </c>
      <c r="BE74" s="50">
        <v>31.6</v>
      </c>
      <c r="BF74" s="59">
        <v>743.0</v>
      </c>
      <c r="BG74" s="59">
        <v>782.0</v>
      </c>
      <c r="BH74" s="50">
        <v>57.5</v>
      </c>
      <c r="BI74" s="59">
        <v>6.3E-6</v>
      </c>
      <c r="BJ74" s="50">
        <v>8.1</v>
      </c>
      <c r="BK74" s="59">
        <v>196.0</v>
      </c>
      <c r="BL74" s="59">
        <v>67.0</v>
      </c>
      <c r="BM74" s="59">
        <v>186.0</v>
      </c>
      <c r="BN74" s="59">
        <v>0.873</v>
      </c>
      <c r="BO74" s="59">
        <v>0.8</v>
      </c>
      <c r="BP74" s="59">
        <v>1.3E-7</v>
      </c>
      <c r="BQ74" s="59">
        <v>7700000.0</v>
      </c>
      <c r="BR74" s="60">
        <v>20.5</v>
      </c>
      <c r="BS74" s="60">
        <v>0.0041</v>
      </c>
      <c r="BT74" s="60">
        <v>36.0</v>
      </c>
      <c r="BU74" s="60">
        <v>1.0</v>
      </c>
      <c r="BV74" s="60">
        <v>0.027777777777777776</v>
      </c>
      <c r="BW74" s="60">
        <v>1.0</v>
      </c>
      <c r="BX74" s="50">
        <v>2.0418361568812623E-6</v>
      </c>
      <c r="BY74" s="50">
        <v>6.750507048464861E-13</v>
      </c>
      <c r="BZ74" s="62">
        <v>2252.0</v>
      </c>
      <c r="CA74" s="62">
        <v>4811.0</v>
      </c>
      <c r="CB74" s="50">
        <v>120.0</v>
      </c>
    </row>
    <row r="75" ht="14.25" customHeight="1">
      <c r="A75" s="47" t="s">
        <v>481</v>
      </c>
      <c r="B75" s="65" t="s">
        <v>482</v>
      </c>
      <c r="C75" s="49">
        <v>183.84</v>
      </c>
      <c r="D75" s="50">
        <v>74.0</v>
      </c>
      <c r="E75" s="50">
        <v>6.0</v>
      </c>
      <c r="F75" s="50">
        <v>6.0</v>
      </c>
      <c r="G75" s="51">
        <v>2.0</v>
      </c>
      <c r="H75" s="51">
        <v>1.0</v>
      </c>
      <c r="I75" s="50">
        <v>51.0</v>
      </c>
      <c r="J75" s="50">
        <v>4.0</v>
      </c>
      <c r="K75" s="50">
        <v>2.0</v>
      </c>
      <c r="L75" s="50">
        <v>0.0</v>
      </c>
      <c r="M75" s="50">
        <v>4.0</v>
      </c>
      <c r="N75" s="50">
        <v>14.0</v>
      </c>
      <c r="O75" s="52">
        <v>0.0</v>
      </c>
      <c r="P75" s="52">
        <v>6.0</v>
      </c>
      <c r="Q75" s="52">
        <v>6.0</v>
      </c>
      <c r="R75" s="52">
        <v>0.0</v>
      </c>
      <c r="S75" s="50">
        <v>20.0</v>
      </c>
      <c r="T75" s="50">
        <v>2.0</v>
      </c>
      <c r="U75" s="50">
        <v>4.0</v>
      </c>
      <c r="V75" s="52">
        <v>5.78</v>
      </c>
      <c r="W75" s="50">
        <v>5.78</v>
      </c>
      <c r="X75" s="54">
        <v>4.593</v>
      </c>
      <c r="Y75" s="54">
        <v>1.319</v>
      </c>
      <c r="Z75" s="49">
        <v>7.864</v>
      </c>
      <c r="AA75" s="54">
        <v>0.806825974025974</v>
      </c>
      <c r="AB75" s="55">
        <v>4.4</v>
      </c>
      <c r="AC75" s="58" t="s">
        <v>338</v>
      </c>
      <c r="AD75" s="50">
        <v>2.36</v>
      </c>
      <c r="AE75" s="50">
        <v>1.79</v>
      </c>
      <c r="AF75" s="50">
        <v>4.4</v>
      </c>
      <c r="AG75" s="55">
        <v>2.36</v>
      </c>
      <c r="AH75" s="50">
        <v>1.47</v>
      </c>
      <c r="AI75" s="55">
        <v>1.31</v>
      </c>
      <c r="AJ75" s="53" t="s">
        <v>338</v>
      </c>
      <c r="AK75" s="50" t="s">
        <v>338</v>
      </c>
      <c r="AL75" s="55">
        <v>81.4</v>
      </c>
      <c r="AM75" s="49">
        <v>1.93</v>
      </c>
      <c r="AN75" s="49">
        <v>1.46</v>
      </c>
      <c r="AO75" s="49">
        <v>0.8</v>
      </c>
      <c r="AP75" s="56">
        <v>0.66</v>
      </c>
      <c r="AQ75" s="56">
        <v>1.35</v>
      </c>
      <c r="AR75" s="56">
        <v>2.1</v>
      </c>
      <c r="AS75" s="49">
        <v>2.74</v>
      </c>
      <c r="AT75" s="49">
        <v>0.74</v>
      </c>
      <c r="AU75" s="56">
        <v>1.62</v>
      </c>
      <c r="AV75" s="56">
        <v>1.35</v>
      </c>
      <c r="AW75" s="56">
        <v>1.36</v>
      </c>
      <c r="AX75" s="56">
        <v>1.394</v>
      </c>
      <c r="AY75" s="56">
        <v>1.299</v>
      </c>
      <c r="AZ75" s="50">
        <v>11.1</v>
      </c>
      <c r="BA75" s="50">
        <v>3683.15</v>
      </c>
      <c r="BB75" s="50">
        <v>5933.15</v>
      </c>
      <c r="BC75" s="50">
        <v>19.3</v>
      </c>
      <c r="BD75" s="50">
        <v>0.13</v>
      </c>
      <c r="BE75" s="50">
        <v>35.4</v>
      </c>
      <c r="BF75" s="59">
        <v>824.0</v>
      </c>
      <c r="BG75" s="59">
        <v>849.0</v>
      </c>
      <c r="BH75" s="50">
        <v>174.0</v>
      </c>
      <c r="BI75" s="59">
        <v>4.5E-6</v>
      </c>
      <c r="BJ75" s="50">
        <v>8.9</v>
      </c>
      <c r="BK75" s="59">
        <v>311.0</v>
      </c>
      <c r="BL75" s="59">
        <v>161.0</v>
      </c>
      <c r="BM75" s="59">
        <v>411.0</v>
      </c>
      <c r="BN75" s="59">
        <v>3.43</v>
      </c>
      <c r="BO75" s="59">
        <v>2.57</v>
      </c>
      <c r="BP75" s="59">
        <v>4.999999999997E-8</v>
      </c>
      <c r="BQ75" s="59">
        <v>2.0E7</v>
      </c>
      <c r="BR75" s="60">
        <v>18.4</v>
      </c>
      <c r="BS75" s="60">
        <v>0.0036</v>
      </c>
      <c r="BT75" s="60">
        <v>35.0</v>
      </c>
      <c r="BU75" s="60">
        <v>5.0</v>
      </c>
      <c r="BV75" s="60">
        <v>0.14285714285714285</v>
      </c>
      <c r="BW75" s="60">
        <v>1.0</v>
      </c>
      <c r="BX75" s="50">
        <v>1.2761475980507888E-6</v>
      </c>
      <c r="BY75" s="50">
        <v>4.337282306501578E-12</v>
      </c>
      <c r="BZ75" s="62">
        <v>6981.0</v>
      </c>
      <c r="CA75" s="62">
        <v>4297.0</v>
      </c>
      <c r="CB75" s="50">
        <v>11.0</v>
      </c>
    </row>
    <row r="76" ht="14.25" customHeight="1">
      <c r="A76" s="47" t="s">
        <v>483</v>
      </c>
      <c r="B76" s="65" t="s">
        <v>484</v>
      </c>
      <c r="C76" s="49">
        <v>186.207</v>
      </c>
      <c r="D76" s="50">
        <v>75.0</v>
      </c>
      <c r="E76" s="50">
        <v>6.0</v>
      </c>
      <c r="F76" s="50">
        <v>7.0</v>
      </c>
      <c r="G76" s="51">
        <v>2.0</v>
      </c>
      <c r="H76" s="51">
        <v>1.0</v>
      </c>
      <c r="I76" s="50">
        <v>54.0</v>
      </c>
      <c r="J76" s="50">
        <v>4.0</v>
      </c>
      <c r="K76" s="50">
        <v>2.0</v>
      </c>
      <c r="L76" s="50">
        <v>0.0</v>
      </c>
      <c r="M76" s="50">
        <v>5.0</v>
      </c>
      <c r="N76" s="50">
        <v>14.0</v>
      </c>
      <c r="O76" s="52">
        <v>0.0</v>
      </c>
      <c r="P76" s="52">
        <v>6.0</v>
      </c>
      <c r="Q76" s="52">
        <v>5.0</v>
      </c>
      <c r="R76" s="52">
        <v>0.0</v>
      </c>
      <c r="S76" s="50">
        <v>21.0</v>
      </c>
      <c r="T76" s="50">
        <v>2.0</v>
      </c>
      <c r="U76" s="50">
        <v>5.0</v>
      </c>
      <c r="V76" s="52">
        <v>5.78</v>
      </c>
      <c r="W76" s="50">
        <v>5.78</v>
      </c>
      <c r="X76" s="54">
        <v>4.564</v>
      </c>
      <c r="Y76" s="54">
        <v>1.326</v>
      </c>
      <c r="Z76" s="49">
        <v>7.8335</v>
      </c>
      <c r="AA76" s="54">
        <v>0.1443013157894737</v>
      </c>
      <c r="AB76" s="55">
        <v>4.02</v>
      </c>
      <c r="AC76" s="58" t="s">
        <v>338</v>
      </c>
      <c r="AD76" s="50">
        <v>1.9</v>
      </c>
      <c r="AE76" s="50">
        <v>2.06</v>
      </c>
      <c r="AF76" s="50">
        <v>4.02</v>
      </c>
      <c r="AG76" s="64">
        <v>2.83</v>
      </c>
      <c r="AH76" s="50">
        <v>1.6</v>
      </c>
      <c r="AI76" s="55">
        <v>1.35</v>
      </c>
      <c r="AJ76" s="53" t="s">
        <v>338</v>
      </c>
      <c r="AK76" s="50" t="s">
        <v>338</v>
      </c>
      <c r="AL76" s="55">
        <v>92.9</v>
      </c>
      <c r="AM76" s="49">
        <v>1.88</v>
      </c>
      <c r="AN76" s="49">
        <v>1.59</v>
      </c>
      <c r="AO76" s="49">
        <v>0.77</v>
      </c>
      <c r="AP76" s="56">
        <v>0.63</v>
      </c>
      <c r="AQ76" s="56">
        <v>1.37</v>
      </c>
      <c r="AR76" s="56">
        <v>2.05</v>
      </c>
      <c r="AS76" s="49">
        <v>2.68</v>
      </c>
      <c r="AT76" s="49">
        <v>0.77</v>
      </c>
      <c r="AU76" s="56">
        <v>1.51</v>
      </c>
      <c r="AV76" s="56">
        <v>1.35</v>
      </c>
      <c r="AW76" s="56">
        <v>1.31</v>
      </c>
      <c r="AX76" s="56">
        <v>1.373</v>
      </c>
      <c r="AY76" s="56">
        <v>1.278</v>
      </c>
      <c r="AZ76" s="50">
        <v>9.7</v>
      </c>
      <c r="BA76" s="50">
        <v>3453.15</v>
      </c>
      <c r="BB76" s="50">
        <v>5873.15</v>
      </c>
      <c r="BC76" s="50">
        <v>21.0</v>
      </c>
      <c r="BD76" s="50">
        <v>0.13</v>
      </c>
      <c r="BE76" s="50">
        <v>33.2</v>
      </c>
      <c r="BF76" s="59">
        <v>715.0</v>
      </c>
      <c r="BG76" s="59">
        <v>770.0</v>
      </c>
      <c r="BH76" s="50">
        <v>47.9</v>
      </c>
      <c r="BI76" s="59">
        <v>6.2E-6</v>
      </c>
      <c r="BJ76" s="50">
        <v>8.03</v>
      </c>
      <c r="BK76" s="59">
        <v>334.0</v>
      </c>
      <c r="BL76" s="59">
        <v>178.0</v>
      </c>
      <c r="BM76" s="59">
        <v>463.0</v>
      </c>
      <c r="BN76" s="59">
        <v>2.45</v>
      </c>
      <c r="BO76" s="59">
        <v>1.32</v>
      </c>
      <c r="BP76" s="59">
        <v>1.8E-7</v>
      </c>
      <c r="BQ76" s="59">
        <v>5600000.0</v>
      </c>
      <c r="BR76" s="60">
        <v>90.0</v>
      </c>
      <c r="BS76" s="60">
        <v>0.016</v>
      </c>
      <c r="BT76" s="60">
        <v>35.0</v>
      </c>
      <c r="BU76" s="60">
        <v>1.0</v>
      </c>
      <c r="BV76" s="60">
        <v>0.02857142857142857</v>
      </c>
      <c r="BW76" s="60">
        <v>0.374</v>
      </c>
      <c r="BX76" s="50">
        <v>7.146426549084417E-10</v>
      </c>
      <c r="BY76" s="50">
        <v>1.6859962048581316E-12</v>
      </c>
      <c r="BZ76" s="62">
        <v>3258.0</v>
      </c>
      <c r="CA76" s="62">
        <v>3314.0</v>
      </c>
      <c r="CB76" s="50">
        <v>540.0</v>
      </c>
    </row>
    <row r="77" ht="14.25" customHeight="1">
      <c r="A77" s="47" t="s">
        <v>485</v>
      </c>
      <c r="B77" s="65" t="s">
        <v>486</v>
      </c>
      <c r="C77" s="49">
        <v>190.23</v>
      </c>
      <c r="D77" s="50">
        <v>76.0</v>
      </c>
      <c r="E77" s="50">
        <v>6.0</v>
      </c>
      <c r="F77" s="50">
        <v>8.0</v>
      </c>
      <c r="G77" s="51">
        <v>2.0</v>
      </c>
      <c r="H77" s="51">
        <v>1.0</v>
      </c>
      <c r="I77" s="50">
        <v>57.0</v>
      </c>
      <c r="J77" s="50">
        <v>4.0</v>
      </c>
      <c r="K77" s="50">
        <v>2.0</v>
      </c>
      <c r="L77" s="50">
        <v>0.0</v>
      </c>
      <c r="M77" s="50">
        <v>6.0</v>
      </c>
      <c r="N77" s="50">
        <v>14.0</v>
      </c>
      <c r="O77" s="52">
        <v>0.0</v>
      </c>
      <c r="P77" s="52">
        <v>6.0</v>
      </c>
      <c r="Q77" s="52">
        <v>4.0</v>
      </c>
      <c r="R77" s="52">
        <v>0.0</v>
      </c>
      <c r="S77" s="50">
        <v>22.0</v>
      </c>
      <c r="T77" s="50">
        <v>2.0</v>
      </c>
      <c r="U77" s="50">
        <v>5.0</v>
      </c>
      <c r="V77" s="52">
        <v>5.78</v>
      </c>
      <c r="W77" s="50">
        <v>5.78</v>
      </c>
      <c r="X77" s="54">
        <v>5.648</v>
      </c>
      <c r="Y77" s="54">
        <v>1.265</v>
      </c>
      <c r="Z77" s="49">
        <v>8.4382</v>
      </c>
      <c r="AA77" s="54">
        <v>1.066089630512515</v>
      </c>
      <c r="AB77" s="55">
        <v>4.9</v>
      </c>
      <c r="AC77" s="58" t="s">
        <v>338</v>
      </c>
      <c r="AD77" s="50">
        <v>2.2</v>
      </c>
      <c r="AE77" s="50">
        <v>1.85</v>
      </c>
      <c r="AF77" s="50">
        <v>4.9</v>
      </c>
      <c r="AG77" s="64">
        <v>2.78</v>
      </c>
      <c r="AH77" s="50">
        <v>1.65</v>
      </c>
      <c r="AI77" s="55">
        <v>1.39</v>
      </c>
      <c r="AJ77" s="53" t="s">
        <v>338</v>
      </c>
      <c r="AK77" s="50" t="s">
        <v>338</v>
      </c>
      <c r="AL77" s="55">
        <v>105.3</v>
      </c>
      <c r="AM77" s="49">
        <v>1.85</v>
      </c>
      <c r="AN77" s="49">
        <v>1.28</v>
      </c>
      <c r="AO77" s="49">
        <v>0.77</v>
      </c>
      <c r="AP77" s="56">
        <v>0.63</v>
      </c>
      <c r="AQ77" s="56">
        <v>1.35</v>
      </c>
      <c r="AR77" s="56">
        <v>2.0</v>
      </c>
      <c r="AS77" s="49">
        <v>2.65</v>
      </c>
      <c r="AT77" s="49">
        <v>0.77</v>
      </c>
      <c r="AU77" s="56">
        <v>1.44</v>
      </c>
      <c r="AV77" s="56">
        <v>1.3</v>
      </c>
      <c r="AW77" s="56">
        <v>1.266</v>
      </c>
      <c r="AX77" s="56">
        <v>1.35</v>
      </c>
      <c r="AY77" s="56">
        <v>1.255</v>
      </c>
      <c r="AZ77" s="50">
        <v>8.5</v>
      </c>
      <c r="BA77" s="50">
        <v>3318.15</v>
      </c>
      <c r="BB77" s="50">
        <v>5303.15</v>
      </c>
      <c r="BC77" s="50">
        <v>22.6</v>
      </c>
      <c r="BD77" s="50">
        <v>0.13</v>
      </c>
      <c r="BE77" s="50">
        <v>31.8</v>
      </c>
      <c r="BF77" s="59">
        <v>746.0</v>
      </c>
      <c r="BG77" s="59">
        <v>791.0</v>
      </c>
      <c r="BH77" s="50">
        <v>87.6</v>
      </c>
      <c r="BI77" s="59">
        <v>5.1E-6</v>
      </c>
      <c r="BJ77" s="50">
        <v>8.17</v>
      </c>
      <c r="BK77" s="59">
        <v>373.0</v>
      </c>
      <c r="BL77" s="59">
        <v>222.0</v>
      </c>
      <c r="BM77" s="59"/>
      <c r="BN77" s="59">
        <v>4.137063913415</v>
      </c>
      <c r="BO77" s="59">
        <v>3.92</v>
      </c>
      <c r="BP77" s="59">
        <v>8.000000000001E-8</v>
      </c>
      <c r="BQ77" s="59">
        <v>1.2E7</v>
      </c>
      <c r="BR77" s="60">
        <v>15.0</v>
      </c>
      <c r="BS77" s="60">
        <v>0.0023</v>
      </c>
      <c r="BT77" s="60">
        <v>35.0</v>
      </c>
      <c r="BU77" s="60">
        <v>6.0</v>
      </c>
      <c r="BV77" s="60">
        <v>0.17142857142857143</v>
      </c>
      <c r="BW77" s="60">
        <v>0.9841</v>
      </c>
      <c r="BX77" s="50">
        <v>1.5313771176609466E-9</v>
      </c>
      <c r="BY77" s="50">
        <v>2.2012522984124542E-11</v>
      </c>
      <c r="BZ77" s="62">
        <v>5504.0</v>
      </c>
      <c r="CA77" s="62">
        <v>9087.0</v>
      </c>
      <c r="CB77" s="50">
        <v>7700.0</v>
      </c>
    </row>
    <row r="78" ht="14.25" customHeight="1">
      <c r="A78" s="47" t="s">
        <v>487</v>
      </c>
      <c r="B78" s="65" t="s">
        <v>488</v>
      </c>
      <c r="C78" s="49">
        <v>192.217</v>
      </c>
      <c r="D78" s="50">
        <v>77.0</v>
      </c>
      <c r="E78" s="50">
        <v>6.0</v>
      </c>
      <c r="F78" s="50">
        <v>9.0</v>
      </c>
      <c r="G78" s="51">
        <v>2.0</v>
      </c>
      <c r="H78" s="51">
        <v>1.0</v>
      </c>
      <c r="I78" s="50">
        <v>60.0</v>
      </c>
      <c r="J78" s="50">
        <v>4.0</v>
      </c>
      <c r="K78" s="50">
        <v>2.0</v>
      </c>
      <c r="L78" s="50">
        <v>0.0</v>
      </c>
      <c r="M78" s="50">
        <v>7.0</v>
      </c>
      <c r="N78" s="50">
        <v>14.0</v>
      </c>
      <c r="O78" s="52">
        <v>0.0</v>
      </c>
      <c r="P78" s="52">
        <v>6.0</v>
      </c>
      <c r="Q78" s="52">
        <v>3.0</v>
      </c>
      <c r="R78" s="52">
        <v>0.0</v>
      </c>
      <c r="S78" s="50">
        <v>23.0</v>
      </c>
      <c r="T78" s="50">
        <v>2.0</v>
      </c>
      <c r="U78" s="50">
        <v>4.0</v>
      </c>
      <c r="V78" s="52">
        <v>5.78</v>
      </c>
      <c r="W78" s="50">
        <v>5.78</v>
      </c>
      <c r="X78" s="54">
        <v>4.908</v>
      </c>
      <c r="Y78" s="54">
        <v>1.234</v>
      </c>
      <c r="Z78" s="49">
        <v>8.967</v>
      </c>
      <c r="AA78" s="54">
        <v>1.5421605922551254</v>
      </c>
      <c r="AB78" s="55">
        <v>5.4</v>
      </c>
      <c r="AC78" s="58" t="s">
        <v>338</v>
      </c>
      <c r="AD78" s="50">
        <v>2.2</v>
      </c>
      <c r="AE78" s="50">
        <v>1.87</v>
      </c>
      <c r="AF78" s="50">
        <v>5.4</v>
      </c>
      <c r="AG78" s="55">
        <v>2.2</v>
      </c>
      <c r="AH78" s="50">
        <v>1.68</v>
      </c>
      <c r="AI78" s="55">
        <v>1.43</v>
      </c>
      <c r="AJ78" s="53" t="s">
        <v>338</v>
      </c>
      <c r="AK78" s="50" t="s">
        <v>338</v>
      </c>
      <c r="AL78" s="55">
        <v>118.8</v>
      </c>
      <c r="AM78" s="49">
        <v>1.8</v>
      </c>
      <c r="AN78" s="49">
        <v>1.37</v>
      </c>
      <c r="AO78" s="49">
        <v>0.82</v>
      </c>
      <c r="AP78" s="56">
        <v>0.68</v>
      </c>
      <c r="AQ78" s="56">
        <v>1.36</v>
      </c>
      <c r="AR78" s="56">
        <v>2.0</v>
      </c>
      <c r="AS78" s="49">
        <v>2.63</v>
      </c>
      <c r="AT78" s="49">
        <v>0.77</v>
      </c>
      <c r="AU78" s="56">
        <v>1.41</v>
      </c>
      <c r="AV78" s="56">
        <v>1.35</v>
      </c>
      <c r="AW78" s="56">
        <v>1.227</v>
      </c>
      <c r="AX78" s="56">
        <v>1.355</v>
      </c>
      <c r="AY78" s="56">
        <v>1.26</v>
      </c>
      <c r="AZ78" s="50">
        <v>7.6</v>
      </c>
      <c r="BA78" s="50">
        <v>2683.15</v>
      </c>
      <c r="BB78" s="50">
        <v>4403.15</v>
      </c>
      <c r="BC78" s="50">
        <v>22.4</v>
      </c>
      <c r="BD78" s="50">
        <v>0.13</v>
      </c>
      <c r="BE78" s="50">
        <v>26.1</v>
      </c>
      <c r="BF78" s="59">
        <v>604.0</v>
      </c>
      <c r="BG78" s="59">
        <v>665.0</v>
      </c>
      <c r="BH78" s="50">
        <v>147.0</v>
      </c>
      <c r="BI78" s="59">
        <v>6.4E-6</v>
      </c>
      <c r="BJ78" s="50">
        <v>6.94</v>
      </c>
      <c r="BK78" s="59">
        <v>371.0</v>
      </c>
      <c r="BL78" s="59">
        <v>210.0</v>
      </c>
      <c r="BM78" s="59">
        <v>528.0</v>
      </c>
      <c r="BN78" s="59">
        <v>1.76</v>
      </c>
      <c r="BO78" s="59">
        <v>1.67</v>
      </c>
      <c r="BP78" s="59">
        <v>4.699999999998E-8</v>
      </c>
      <c r="BQ78" s="59">
        <v>2.1E7</v>
      </c>
      <c r="BR78" s="60">
        <v>425.0</v>
      </c>
      <c r="BS78" s="60">
        <v>0.081</v>
      </c>
      <c r="BT78" s="60">
        <v>36.0</v>
      </c>
      <c r="BU78" s="60">
        <v>2.0</v>
      </c>
      <c r="BV78" s="60">
        <v>0.05555555555555555</v>
      </c>
      <c r="BW78" s="60">
        <v>1.0</v>
      </c>
      <c r="BX78" s="50">
        <v>1.0209180784406311E-9</v>
      </c>
      <c r="BY78" s="50">
        <v>2.155596695186122E-11</v>
      </c>
      <c r="BZ78" s="62">
        <v>5504.0</v>
      </c>
      <c r="CA78" s="62">
        <v>9087.0</v>
      </c>
      <c r="CB78" s="50">
        <v>4200.0</v>
      </c>
    </row>
    <row r="79" ht="14.25" customHeight="1">
      <c r="A79" s="47" t="s">
        <v>489</v>
      </c>
      <c r="B79" s="65" t="s">
        <v>490</v>
      </c>
      <c r="C79" s="49">
        <v>195.084</v>
      </c>
      <c r="D79" s="50">
        <v>78.0</v>
      </c>
      <c r="E79" s="50">
        <v>6.0</v>
      </c>
      <c r="F79" s="50">
        <v>10.0</v>
      </c>
      <c r="G79" s="51">
        <v>2.0</v>
      </c>
      <c r="H79" s="51">
        <v>1.0</v>
      </c>
      <c r="I79" s="50">
        <v>63.0</v>
      </c>
      <c r="J79" s="50">
        <v>4.0</v>
      </c>
      <c r="K79" s="50">
        <v>1.0</v>
      </c>
      <c r="L79" s="50">
        <v>0.0</v>
      </c>
      <c r="M79" s="50">
        <v>9.0</v>
      </c>
      <c r="N79" s="50">
        <v>14.0</v>
      </c>
      <c r="O79" s="52">
        <v>1.0</v>
      </c>
      <c r="P79" s="52">
        <v>6.0</v>
      </c>
      <c r="Q79" s="52">
        <v>1.0</v>
      </c>
      <c r="R79" s="52">
        <v>0.0</v>
      </c>
      <c r="S79" s="50">
        <v>24.0</v>
      </c>
      <c r="T79" s="50">
        <v>1.0</v>
      </c>
      <c r="U79" s="50">
        <v>3.0</v>
      </c>
      <c r="V79" s="52">
        <v>5.78</v>
      </c>
      <c r="W79" s="50">
        <v>5.78</v>
      </c>
      <c r="X79" s="54">
        <v>4.883</v>
      </c>
      <c r="Y79" s="54">
        <v>1.241</v>
      </c>
      <c r="Z79" s="49">
        <v>8.9588</v>
      </c>
      <c r="AA79" s="54">
        <v>2.115845622119816</v>
      </c>
      <c r="AB79" s="55">
        <v>5.6</v>
      </c>
      <c r="AC79" s="58" t="s">
        <v>338</v>
      </c>
      <c r="AD79" s="50">
        <v>2.28</v>
      </c>
      <c r="AE79" s="50">
        <v>1.91</v>
      </c>
      <c r="AF79" s="50">
        <v>5.6</v>
      </c>
      <c r="AG79" s="55">
        <v>2.28</v>
      </c>
      <c r="AH79" s="50">
        <v>1.72</v>
      </c>
      <c r="AI79" s="55">
        <v>1.49</v>
      </c>
      <c r="AJ79" s="53" t="s">
        <v>338</v>
      </c>
      <c r="AK79" s="50" t="s">
        <v>338</v>
      </c>
      <c r="AL79" s="55">
        <v>133.4</v>
      </c>
      <c r="AM79" s="49">
        <v>1.77</v>
      </c>
      <c r="AN79" s="49">
        <v>1.28</v>
      </c>
      <c r="AO79" s="49">
        <v>0.94</v>
      </c>
      <c r="AP79" s="56">
        <v>0.8</v>
      </c>
      <c r="AQ79" s="56">
        <v>1.39</v>
      </c>
      <c r="AR79" s="56">
        <v>1.75</v>
      </c>
      <c r="AS79" s="49">
        <v>2.7</v>
      </c>
      <c r="AT79" s="49">
        <v>0.74</v>
      </c>
      <c r="AU79" s="56">
        <v>1.36</v>
      </c>
      <c r="AV79" s="56">
        <v>1.35</v>
      </c>
      <c r="AW79" s="56">
        <v>1.2209999999999999</v>
      </c>
      <c r="AX79" s="56">
        <v>1.385</v>
      </c>
      <c r="AY79" s="56">
        <v>1.29</v>
      </c>
      <c r="AZ79" s="50">
        <v>6.5</v>
      </c>
      <c r="BA79" s="50">
        <v>2045.15</v>
      </c>
      <c r="BB79" s="50">
        <v>4100.15</v>
      </c>
      <c r="BC79" s="50">
        <v>21.4</v>
      </c>
      <c r="BD79" s="50">
        <v>0.13</v>
      </c>
      <c r="BE79" s="50">
        <v>19.6</v>
      </c>
      <c r="BF79" s="59">
        <v>510.0</v>
      </c>
      <c r="BG79" s="59">
        <v>565.0</v>
      </c>
      <c r="BH79" s="50">
        <v>71.6</v>
      </c>
      <c r="BI79" s="59">
        <v>8.9E-6</v>
      </c>
      <c r="BJ79" s="50">
        <v>5.84</v>
      </c>
      <c r="BK79" s="59">
        <v>276.0</v>
      </c>
      <c r="BL79" s="59">
        <v>61.0</v>
      </c>
      <c r="BM79" s="59">
        <v>168.0</v>
      </c>
      <c r="BN79" s="59">
        <v>0.549</v>
      </c>
      <c r="BO79" s="59">
        <v>0.392</v>
      </c>
      <c r="BP79" s="59">
        <v>1.1E-7</v>
      </c>
      <c r="BQ79" s="59">
        <v>9400000.0</v>
      </c>
      <c r="BR79" s="60">
        <v>10.0</v>
      </c>
      <c r="BS79" s="60">
        <v>0.002</v>
      </c>
      <c r="BT79" s="60">
        <v>37.0</v>
      </c>
      <c r="BU79" s="60">
        <v>5.0</v>
      </c>
      <c r="BV79" s="60">
        <v>0.13513513513513514</v>
      </c>
      <c r="BW79" s="60">
        <v>0.9999</v>
      </c>
      <c r="BX79" s="50">
        <v>5.104590392203155E-9</v>
      </c>
      <c r="BY79" s="50">
        <v>4.369893451663243E-11</v>
      </c>
      <c r="BZ79" s="62">
        <v>5504.0</v>
      </c>
      <c r="CA79" s="62">
        <v>9087.0</v>
      </c>
      <c r="CB79" s="50">
        <v>4700.0</v>
      </c>
    </row>
    <row r="80" ht="14.25" customHeight="1">
      <c r="A80" s="47" t="s">
        <v>491</v>
      </c>
      <c r="B80" s="65" t="s">
        <v>492</v>
      </c>
      <c r="C80" s="49">
        <v>196.96654</v>
      </c>
      <c r="D80" s="50">
        <v>79.0</v>
      </c>
      <c r="E80" s="50">
        <v>6.0</v>
      </c>
      <c r="F80" s="50">
        <v>11.0</v>
      </c>
      <c r="G80" s="51">
        <v>2.0</v>
      </c>
      <c r="H80" s="51">
        <v>1.0</v>
      </c>
      <c r="I80" s="50">
        <v>66.0</v>
      </c>
      <c r="J80" s="50">
        <v>4.0</v>
      </c>
      <c r="K80" s="50">
        <v>1.0</v>
      </c>
      <c r="L80" s="50">
        <v>0.0</v>
      </c>
      <c r="M80" s="50">
        <v>10.0</v>
      </c>
      <c r="N80" s="50">
        <v>14.0</v>
      </c>
      <c r="O80" s="52">
        <v>1.0</v>
      </c>
      <c r="P80" s="52">
        <v>6.0</v>
      </c>
      <c r="Q80" s="52">
        <v>0.0</v>
      </c>
      <c r="R80" s="52">
        <v>0.0</v>
      </c>
      <c r="S80" s="50">
        <v>25.0</v>
      </c>
      <c r="T80" s="50">
        <v>1.0</v>
      </c>
      <c r="U80" s="50">
        <v>2.0</v>
      </c>
      <c r="V80" s="52">
        <v>5.44</v>
      </c>
      <c r="W80" s="50">
        <v>5.44</v>
      </c>
      <c r="X80" s="54">
        <v>4.938</v>
      </c>
      <c r="Y80" s="54">
        <v>1.227</v>
      </c>
      <c r="Z80" s="49">
        <v>9.2255</v>
      </c>
      <c r="AA80" s="54">
        <v>2.3115578651685396</v>
      </c>
      <c r="AB80" s="55">
        <v>5.77</v>
      </c>
      <c r="AC80" s="58" t="s">
        <v>338</v>
      </c>
      <c r="AD80" s="50">
        <v>2.54</v>
      </c>
      <c r="AE80" s="50">
        <v>1.19</v>
      </c>
      <c r="AF80" s="50">
        <v>5.77</v>
      </c>
      <c r="AG80" s="55">
        <v>2.54</v>
      </c>
      <c r="AH80" s="50">
        <v>1.92</v>
      </c>
      <c r="AI80" s="55">
        <v>1.53</v>
      </c>
      <c r="AJ80" s="53" t="s">
        <v>338</v>
      </c>
      <c r="AK80" s="50">
        <v>3.1</v>
      </c>
      <c r="AL80" s="55">
        <v>149.1</v>
      </c>
      <c r="AM80" s="49">
        <v>1.74</v>
      </c>
      <c r="AN80" s="49">
        <v>1.44</v>
      </c>
      <c r="AO80" s="49">
        <v>1.51</v>
      </c>
      <c r="AP80" s="56">
        <v>1.37</v>
      </c>
      <c r="AQ80" s="56">
        <v>1.43</v>
      </c>
      <c r="AR80" s="56">
        <v>1.66</v>
      </c>
      <c r="AS80" s="49">
        <v>2.66</v>
      </c>
      <c r="AT80" s="49">
        <v>1.51</v>
      </c>
      <c r="AU80" s="56">
        <v>1.36</v>
      </c>
      <c r="AV80" s="56">
        <v>1.35</v>
      </c>
      <c r="AW80" s="56">
        <v>1.187</v>
      </c>
      <c r="AX80" s="56">
        <v>1.439</v>
      </c>
      <c r="AY80" s="56">
        <v>1.336</v>
      </c>
      <c r="AZ80" s="50">
        <v>6.1</v>
      </c>
      <c r="BA80" s="50">
        <v>1337.15</v>
      </c>
      <c r="BB80" s="50">
        <v>3353.15</v>
      </c>
      <c r="BC80" s="50">
        <v>19.3</v>
      </c>
      <c r="BD80" s="50">
        <v>0.128</v>
      </c>
      <c r="BE80" s="50">
        <v>12.55</v>
      </c>
      <c r="BF80" s="59">
        <v>334.4</v>
      </c>
      <c r="BG80" s="59">
        <v>366.0</v>
      </c>
      <c r="BH80" s="50">
        <v>317.0</v>
      </c>
      <c r="BI80" s="59">
        <v>1.42E-5</v>
      </c>
      <c r="BJ80" s="50">
        <v>3.81</v>
      </c>
      <c r="BK80" s="59">
        <v>171.0</v>
      </c>
      <c r="BL80" s="59">
        <v>27.0</v>
      </c>
      <c r="BM80" s="59">
        <v>78.0</v>
      </c>
      <c r="BN80" s="59">
        <v>0.216</v>
      </c>
      <c r="BO80" s="59">
        <v>2.45</v>
      </c>
      <c r="BP80" s="59">
        <v>2.2E-8</v>
      </c>
      <c r="BQ80" s="59">
        <v>4.5E7</v>
      </c>
      <c r="BR80" s="60">
        <v>98.7</v>
      </c>
      <c r="BS80" s="60">
        <v>0.017</v>
      </c>
      <c r="BT80" s="60">
        <v>37.0</v>
      </c>
      <c r="BU80" s="60">
        <v>1.0</v>
      </c>
      <c r="BV80" s="60">
        <v>0.02702702702702703</v>
      </c>
      <c r="BW80" s="60">
        <v>1.0</v>
      </c>
      <c r="BX80" s="50">
        <v>4.0836723137625245E-9</v>
      </c>
      <c r="BY80" s="50">
        <v>6.09828414523154E-12</v>
      </c>
      <c r="BZ80" s="62">
        <v>1119.0</v>
      </c>
      <c r="CA80" s="62">
        <v>1040.0</v>
      </c>
      <c r="CB80" s="50">
        <v>4400.0</v>
      </c>
    </row>
    <row r="81" ht="14.25" customHeight="1">
      <c r="A81" s="47" t="s">
        <v>493</v>
      </c>
      <c r="B81" s="65" t="s">
        <v>494</v>
      </c>
      <c r="C81" s="49">
        <v>200.592</v>
      </c>
      <c r="D81" s="50">
        <v>80.0</v>
      </c>
      <c r="E81" s="50">
        <v>6.0</v>
      </c>
      <c r="F81" s="50">
        <v>12.0</v>
      </c>
      <c r="G81" s="51">
        <v>2.0</v>
      </c>
      <c r="H81" s="51">
        <v>1.0</v>
      </c>
      <c r="I81" s="50">
        <v>71.0</v>
      </c>
      <c r="J81" s="50">
        <v>4.0</v>
      </c>
      <c r="K81" s="50">
        <v>2.0</v>
      </c>
      <c r="L81" s="50">
        <v>0.0</v>
      </c>
      <c r="M81" s="50">
        <v>10.0</v>
      </c>
      <c r="N81" s="50">
        <v>14.0</v>
      </c>
      <c r="O81" s="52">
        <v>0.0</v>
      </c>
      <c r="P81" s="52">
        <v>6.0</v>
      </c>
      <c r="Q81" s="52">
        <v>0.0</v>
      </c>
      <c r="R81" s="52">
        <v>0.0</v>
      </c>
      <c r="S81" s="50">
        <v>26.0</v>
      </c>
      <c r="T81" s="50">
        <v>2.0</v>
      </c>
      <c r="U81" s="50">
        <v>1.0</v>
      </c>
      <c r="V81" s="52">
        <v>4.44</v>
      </c>
      <c r="W81" s="50">
        <v>4.44</v>
      </c>
      <c r="X81" s="54">
        <v>4.04</v>
      </c>
      <c r="Y81" s="54">
        <v>1.506</v>
      </c>
      <c r="Z81" s="49">
        <v>10.4375</v>
      </c>
      <c r="AA81" s="54">
        <v>-0.5182472691161867</v>
      </c>
      <c r="AB81" s="55">
        <v>4.91</v>
      </c>
      <c r="AC81" s="58" t="s">
        <v>338</v>
      </c>
      <c r="AD81" s="50">
        <v>2.0</v>
      </c>
      <c r="AE81" s="50">
        <v>1.49</v>
      </c>
      <c r="AF81" s="50">
        <v>4.91</v>
      </c>
      <c r="AG81" s="55">
        <v>2.0</v>
      </c>
      <c r="AH81" s="50">
        <v>1.76</v>
      </c>
      <c r="AI81" s="55">
        <v>1.54</v>
      </c>
      <c r="AJ81" s="53" t="s">
        <v>338</v>
      </c>
      <c r="AK81" s="50">
        <v>1.0</v>
      </c>
      <c r="AL81" s="55">
        <v>166.0</v>
      </c>
      <c r="AM81" s="49">
        <v>1.71</v>
      </c>
      <c r="AN81" s="49">
        <v>1.49</v>
      </c>
      <c r="AO81" s="49">
        <v>1.33</v>
      </c>
      <c r="AP81" s="56">
        <v>1.19</v>
      </c>
      <c r="AQ81" s="56">
        <v>1.52</v>
      </c>
      <c r="AR81" s="56">
        <v>1.55</v>
      </c>
      <c r="AS81" s="49">
        <v>2.41</v>
      </c>
      <c r="AT81" s="49">
        <v>0.83</v>
      </c>
      <c r="AU81" s="56">
        <v>1.32</v>
      </c>
      <c r="AV81" s="56">
        <v>1.5</v>
      </c>
      <c r="AW81" s="56">
        <v>1.126</v>
      </c>
      <c r="AX81" s="56">
        <v>1.57</v>
      </c>
      <c r="AY81" s="56">
        <v>1.44</v>
      </c>
      <c r="AZ81" s="50">
        <v>5.4</v>
      </c>
      <c r="BA81" s="50">
        <v>234.24999999999997</v>
      </c>
      <c r="BB81" s="50">
        <v>630.15</v>
      </c>
      <c r="BC81" s="50">
        <v>13.5</v>
      </c>
      <c r="BD81" s="50">
        <v>0.139</v>
      </c>
      <c r="BE81" s="50">
        <v>2.295</v>
      </c>
      <c r="BF81" s="59">
        <v>59.229</v>
      </c>
      <c r="BG81" s="59">
        <v>61.0</v>
      </c>
      <c r="BH81" s="50">
        <v>8.34</v>
      </c>
      <c r="BI81" s="59">
        <v>1.81E-4</v>
      </c>
      <c r="BJ81" s="50">
        <v>0.67</v>
      </c>
      <c r="BK81" s="59">
        <v>38.2</v>
      </c>
      <c r="BL81" s="53" t="s">
        <v>338</v>
      </c>
      <c r="BM81" s="53" t="s">
        <v>338</v>
      </c>
      <c r="BN81" s="53" t="s">
        <v>338</v>
      </c>
      <c r="BO81" s="53" t="s">
        <v>338</v>
      </c>
      <c r="BP81" s="59">
        <v>9.6E-7</v>
      </c>
      <c r="BQ81" s="59">
        <v>1000000.0</v>
      </c>
      <c r="BR81" s="60">
        <v>374.0</v>
      </c>
      <c r="BS81" s="60">
        <v>0.063</v>
      </c>
      <c r="BT81" s="60">
        <v>40.0</v>
      </c>
      <c r="BU81" s="60">
        <v>7.0</v>
      </c>
      <c r="BV81" s="60">
        <v>0.175</v>
      </c>
      <c r="BW81" s="60">
        <v>0.374</v>
      </c>
      <c r="BX81" s="50">
        <v>8.677803666745365E-8</v>
      </c>
      <c r="BY81" s="50">
        <v>1.1087789354966438E-11</v>
      </c>
      <c r="BZ81" s="62">
        <v>5505.0</v>
      </c>
      <c r="CA81" s="62">
        <v>3054.0</v>
      </c>
      <c r="CB81" s="50">
        <v>5.0</v>
      </c>
    </row>
    <row r="82" ht="14.25" customHeight="1">
      <c r="A82" s="47" t="s">
        <v>495</v>
      </c>
      <c r="B82" s="65" t="s">
        <v>496</v>
      </c>
      <c r="C82" s="49">
        <v>204.3833</v>
      </c>
      <c r="D82" s="50">
        <v>81.0</v>
      </c>
      <c r="E82" s="50">
        <v>6.0</v>
      </c>
      <c r="F82" s="50">
        <v>13.0</v>
      </c>
      <c r="G82" s="51">
        <v>1.0</v>
      </c>
      <c r="H82" s="51">
        <v>1.0</v>
      </c>
      <c r="I82" s="50">
        <v>76.0</v>
      </c>
      <c r="J82" s="50">
        <v>5.0</v>
      </c>
      <c r="K82" s="50">
        <v>2.0</v>
      </c>
      <c r="L82" s="50">
        <v>1.0</v>
      </c>
      <c r="M82" s="50">
        <v>10.0</v>
      </c>
      <c r="N82" s="50">
        <v>14.0</v>
      </c>
      <c r="O82" s="52">
        <v>0.0</v>
      </c>
      <c r="P82" s="52">
        <v>5.0</v>
      </c>
      <c r="Q82" s="52">
        <v>0.0</v>
      </c>
      <c r="R82" s="52">
        <v>0.0</v>
      </c>
      <c r="S82" s="50">
        <v>27.0</v>
      </c>
      <c r="T82" s="50">
        <v>3.0</v>
      </c>
      <c r="U82" s="50">
        <v>3.0</v>
      </c>
      <c r="V82" s="52">
        <v>3.44</v>
      </c>
      <c r="W82" s="50">
        <v>3.44</v>
      </c>
      <c r="X82" s="54">
        <v>4.07</v>
      </c>
      <c r="Y82" s="54">
        <v>1.506</v>
      </c>
      <c r="Z82" s="49">
        <v>6.1082</v>
      </c>
      <c r="AA82" s="54">
        <v>0.3733365025466893</v>
      </c>
      <c r="AB82" s="55">
        <v>3.2</v>
      </c>
      <c r="AC82" s="58" t="s">
        <v>338</v>
      </c>
      <c r="AD82" s="50">
        <v>1.62</v>
      </c>
      <c r="AE82" s="50">
        <v>1.69</v>
      </c>
      <c r="AF82" s="50">
        <v>3.2</v>
      </c>
      <c r="AG82" s="55">
        <v>2.04</v>
      </c>
      <c r="AH82" s="50">
        <v>1.789</v>
      </c>
      <c r="AI82" s="55">
        <v>1.59</v>
      </c>
      <c r="AJ82" s="53" t="s">
        <v>338</v>
      </c>
      <c r="AK82" s="50">
        <v>1.3</v>
      </c>
      <c r="AL82" s="55">
        <v>3.3</v>
      </c>
      <c r="AM82" s="49">
        <v>1.56</v>
      </c>
      <c r="AN82" s="49">
        <v>1.48</v>
      </c>
      <c r="AO82" s="49">
        <v>1.64</v>
      </c>
      <c r="AP82" s="56">
        <v>1.5</v>
      </c>
      <c r="AQ82" s="56">
        <v>1.72</v>
      </c>
      <c r="AR82" s="56">
        <v>1.96</v>
      </c>
      <c r="AS82" s="49">
        <v>2.24</v>
      </c>
      <c r="AT82" s="49">
        <v>1.03</v>
      </c>
      <c r="AU82" s="56">
        <v>1.45</v>
      </c>
      <c r="AV82" s="56">
        <v>1.9</v>
      </c>
      <c r="AW82" s="56">
        <v>1.319</v>
      </c>
      <c r="AX82" s="56">
        <v>1.712</v>
      </c>
      <c r="AY82" s="56">
        <v>1.549</v>
      </c>
      <c r="AZ82" s="50">
        <v>7.6</v>
      </c>
      <c r="BA82" s="50">
        <v>576.15</v>
      </c>
      <c r="BB82" s="50">
        <v>1730.15</v>
      </c>
      <c r="BC82" s="50">
        <v>11.9</v>
      </c>
      <c r="BD82" s="50">
        <v>0.13</v>
      </c>
      <c r="BE82" s="50">
        <v>4.142</v>
      </c>
      <c r="BF82" s="59">
        <v>164.1</v>
      </c>
      <c r="BG82" s="59">
        <v>182.0</v>
      </c>
      <c r="BH82" s="50">
        <v>46.1</v>
      </c>
      <c r="BI82" s="59">
        <v>2.99E-5</v>
      </c>
      <c r="BJ82" s="50">
        <v>1.88</v>
      </c>
      <c r="BK82" s="59">
        <v>28.5</v>
      </c>
      <c r="BL82" s="59">
        <v>2.8</v>
      </c>
      <c r="BM82" s="59">
        <v>8.0</v>
      </c>
      <c r="BN82" s="53" t="s">
        <v>338</v>
      </c>
      <c r="BO82" s="59">
        <v>0.0264</v>
      </c>
      <c r="BP82" s="59">
        <v>1.5E-7</v>
      </c>
      <c r="BQ82" s="59">
        <v>6700000.0</v>
      </c>
      <c r="BR82" s="60">
        <v>3.4</v>
      </c>
      <c r="BS82" s="60">
        <v>5.9E-4</v>
      </c>
      <c r="BT82" s="60">
        <v>37.0</v>
      </c>
      <c r="BU82" s="60">
        <v>2.0</v>
      </c>
      <c r="BV82" s="60">
        <v>0.05405405405405406</v>
      </c>
      <c r="BW82" s="60">
        <v>-0.252</v>
      </c>
      <c r="BX82" s="50">
        <v>8.677803666745364E-7</v>
      </c>
      <c r="BY82" s="50">
        <v>6.0004507097465435E-12</v>
      </c>
      <c r="BZ82" s="62">
        <v>6500.0</v>
      </c>
      <c r="CA82" s="62">
        <v>6500.0</v>
      </c>
      <c r="CB82" s="50">
        <v>48.0</v>
      </c>
    </row>
    <row r="83" ht="14.25" customHeight="1">
      <c r="A83" s="47" t="s">
        <v>497</v>
      </c>
      <c r="B83" s="65" t="s">
        <v>498</v>
      </c>
      <c r="C83" s="49">
        <v>207.2</v>
      </c>
      <c r="D83" s="50">
        <v>82.0</v>
      </c>
      <c r="E83" s="50">
        <v>6.0</v>
      </c>
      <c r="F83" s="50">
        <v>14.0</v>
      </c>
      <c r="G83" s="51">
        <v>1.0</v>
      </c>
      <c r="H83" s="51">
        <v>1.0</v>
      </c>
      <c r="I83" s="50">
        <v>81.0</v>
      </c>
      <c r="J83" s="50">
        <v>5.0</v>
      </c>
      <c r="K83" s="50">
        <v>2.0</v>
      </c>
      <c r="L83" s="50">
        <v>2.0</v>
      </c>
      <c r="M83" s="50">
        <v>10.0</v>
      </c>
      <c r="N83" s="50">
        <v>14.0</v>
      </c>
      <c r="O83" s="52">
        <v>0.0</v>
      </c>
      <c r="P83" s="52">
        <v>4.0</v>
      </c>
      <c r="Q83" s="52">
        <v>0.0</v>
      </c>
      <c r="R83" s="52">
        <v>0.0</v>
      </c>
      <c r="S83" s="50">
        <v>28.0</v>
      </c>
      <c r="T83" s="50">
        <v>4.0</v>
      </c>
      <c r="U83" s="50">
        <v>4.0</v>
      </c>
      <c r="V83" s="52">
        <v>2.44</v>
      </c>
      <c r="W83" s="50">
        <v>2.44</v>
      </c>
      <c r="X83" s="54">
        <v>4.426</v>
      </c>
      <c r="Y83" s="54">
        <v>1.368</v>
      </c>
      <c r="Z83" s="49">
        <v>7.4167</v>
      </c>
      <c r="AA83" s="54">
        <v>0.3521896648044693</v>
      </c>
      <c r="AB83" s="55">
        <v>3.9</v>
      </c>
      <c r="AC83" s="58" t="s">
        <v>338</v>
      </c>
      <c r="AD83" s="50">
        <v>1.87</v>
      </c>
      <c r="AE83" s="50">
        <v>1.92</v>
      </c>
      <c r="AF83" s="50">
        <v>3.9</v>
      </c>
      <c r="AG83" s="55">
        <v>2.33</v>
      </c>
      <c r="AH83" s="50">
        <v>1.854</v>
      </c>
      <c r="AI83" s="55">
        <v>1.76</v>
      </c>
      <c r="AJ83" s="53" t="s">
        <v>338</v>
      </c>
      <c r="AK83" s="50">
        <v>1.5</v>
      </c>
      <c r="AL83" s="55">
        <v>4.77</v>
      </c>
      <c r="AM83" s="49">
        <v>1.54</v>
      </c>
      <c r="AN83" s="49">
        <v>1.47</v>
      </c>
      <c r="AO83" s="49">
        <v>1.33</v>
      </c>
      <c r="AP83" s="56">
        <v>1.19</v>
      </c>
      <c r="AQ83" s="56">
        <v>1.74</v>
      </c>
      <c r="AR83" s="56">
        <v>2.02</v>
      </c>
      <c r="AS83" s="49">
        <v>2.09</v>
      </c>
      <c r="AT83" s="49">
        <v>1.49</v>
      </c>
      <c r="AU83" s="56">
        <v>1.46</v>
      </c>
      <c r="AV83" s="56">
        <v>1.8</v>
      </c>
      <c r="AW83" s="56">
        <v>1.215</v>
      </c>
      <c r="AX83" s="56">
        <v>1.746</v>
      </c>
      <c r="AY83" s="56">
        <v>1.538</v>
      </c>
      <c r="AZ83" s="50">
        <v>6.8</v>
      </c>
      <c r="BA83" s="50">
        <v>600.65</v>
      </c>
      <c r="BB83" s="50">
        <v>2013.15</v>
      </c>
      <c r="BC83" s="50">
        <v>11.4</v>
      </c>
      <c r="BD83" s="50">
        <v>0.13</v>
      </c>
      <c r="BE83" s="50">
        <v>4.799</v>
      </c>
      <c r="BF83" s="59">
        <v>177.7</v>
      </c>
      <c r="BG83" s="59">
        <v>196.0</v>
      </c>
      <c r="BH83" s="50">
        <v>35.3</v>
      </c>
      <c r="BI83" s="59">
        <v>2.89E-5</v>
      </c>
      <c r="BJ83" s="50">
        <v>2.03</v>
      </c>
      <c r="BK83" s="59">
        <v>45.8</v>
      </c>
      <c r="BL83" s="59">
        <v>5.6</v>
      </c>
      <c r="BM83" s="59">
        <v>16.0</v>
      </c>
      <c r="BN83" s="53" t="s">
        <v>338</v>
      </c>
      <c r="BO83" s="59">
        <v>0.038299999999999994</v>
      </c>
      <c r="BP83" s="59">
        <v>2.1E-7</v>
      </c>
      <c r="BQ83" s="59">
        <v>4800000.0</v>
      </c>
      <c r="BR83" s="60">
        <v>0.171</v>
      </c>
      <c r="BS83" s="60">
        <v>3.0E-5</v>
      </c>
      <c r="BT83" s="60">
        <v>38.0</v>
      </c>
      <c r="BU83" s="60">
        <v>4.0</v>
      </c>
      <c r="BV83" s="60">
        <v>0.10526315789473684</v>
      </c>
      <c r="BW83" s="60">
        <v>-0.878</v>
      </c>
      <c r="BX83" s="50">
        <v>1.4292853098168835E-7</v>
      </c>
      <c r="BY83" s="50">
        <v>1.0272510725924785E-10</v>
      </c>
      <c r="BZ83" s="62">
        <v>2716.0</v>
      </c>
      <c r="CA83" s="62">
        <v>1781.0</v>
      </c>
      <c r="CB83" s="50">
        <v>1.5</v>
      </c>
    </row>
    <row r="84" ht="14.25" customHeight="1">
      <c r="A84" s="47" t="s">
        <v>499</v>
      </c>
      <c r="B84" s="65" t="s">
        <v>500</v>
      </c>
      <c r="C84" s="49">
        <v>208.98037</v>
      </c>
      <c r="D84" s="50">
        <v>83.0</v>
      </c>
      <c r="E84" s="50">
        <v>6.0</v>
      </c>
      <c r="F84" s="50">
        <v>15.0</v>
      </c>
      <c r="G84" s="51">
        <v>1.0</v>
      </c>
      <c r="H84" s="51">
        <v>1.0</v>
      </c>
      <c r="I84" s="50">
        <v>86.0</v>
      </c>
      <c r="J84" s="50">
        <v>5.0</v>
      </c>
      <c r="K84" s="50">
        <v>2.0</v>
      </c>
      <c r="L84" s="50">
        <v>3.0</v>
      </c>
      <c r="M84" s="50">
        <v>10.0</v>
      </c>
      <c r="N84" s="50">
        <v>14.0</v>
      </c>
      <c r="O84" s="52">
        <v>0.0</v>
      </c>
      <c r="P84" s="52">
        <v>3.0</v>
      </c>
      <c r="Q84" s="52">
        <v>0.0</v>
      </c>
      <c r="R84" s="52">
        <v>0.0</v>
      </c>
      <c r="S84" s="50">
        <v>29.0</v>
      </c>
      <c r="T84" s="50">
        <v>5.0</v>
      </c>
      <c r="U84" s="50">
        <v>5.0</v>
      </c>
      <c r="V84" s="52">
        <v>3.0</v>
      </c>
      <c r="W84" s="50">
        <v>3.0</v>
      </c>
      <c r="X84" s="54">
        <v>4.389</v>
      </c>
      <c r="Y84" s="54">
        <v>1.368</v>
      </c>
      <c r="Z84" s="49">
        <v>7.2855</v>
      </c>
      <c r="AA84" s="54">
        <v>0.9430732574679942</v>
      </c>
      <c r="AB84" s="55">
        <v>4.69</v>
      </c>
      <c r="AC84" s="58" t="s">
        <v>338</v>
      </c>
      <c r="AD84" s="50">
        <v>2.02</v>
      </c>
      <c r="AE84" s="50">
        <v>2.14</v>
      </c>
      <c r="AF84" s="50">
        <v>4.69</v>
      </c>
      <c r="AG84" s="55">
        <v>2.02</v>
      </c>
      <c r="AH84" s="50">
        <v>2.01</v>
      </c>
      <c r="AI84" s="55">
        <v>1.83</v>
      </c>
      <c r="AJ84" s="53" t="s">
        <v>338</v>
      </c>
      <c r="AK84" s="50">
        <v>1.8</v>
      </c>
      <c r="AL84" s="55">
        <v>6.61</v>
      </c>
      <c r="AM84" s="49">
        <v>1.43</v>
      </c>
      <c r="AN84" s="49">
        <v>1.46</v>
      </c>
      <c r="AO84" s="49">
        <v>1.17</v>
      </c>
      <c r="AP84" s="56">
        <v>1.03</v>
      </c>
      <c r="AQ84" s="56">
        <v>1.62</v>
      </c>
      <c r="AR84" s="56">
        <v>2.3</v>
      </c>
      <c r="AS84" s="49">
        <v>2.0</v>
      </c>
      <c r="AT84" s="49">
        <v>1.17</v>
      </c>
      <c r="AU84" s="56">
        <v>1.48</v>
      </c>
      <c r="AV84" s="56">
        <v>1.6</v>
      </c>
      <c r="AW84" s="56">
        <v>1.295</v>
      </c>
      <c r="AX84" s="56">
        <v>1.7</v>
      </c>
      <c r="AY84" s="56">
        <v>1.52</v>
      </c>
      <c r="AZ84" s="50">
        <v>7.4</v>
      </c>
      <c r="BA84" s="50">
        <v>544.15</v>
      </c>
      <c r="BB84" s="50">
        <v>1833.15</v>
      </c>
      <c r="BC84" s="50">
        <v>9.75</v>
      </c>
      <c r="BD84" s="50">
        <v>0.12</v>
      </c>
      <c r="BE84" s="50">
        <v>11.3</v>
      </c>
      <c r="BF84" s="59">
        <v>104.8</v>
      </c>
      <c r="BG84" s="59">
        <v>207.0</v>
      </c>
      <c r="BH84" s="50">
        <v>7.87</v>
      </c>
      <c r="BI84" s="59">
        <v>1.34E-5</v>
      </c>
      <c r="BJ84" s="50">
        <v>2.18</v>
      </c>
      <c r="BK84" s="59">
        <v>31.5</v>
      </c>
      <c r="BL84" s="59">
        <v>12.0</v>
      </c>
      <c r="BM84" s="59">
        <v>32.0</v>
      </c>
      <c r="BN84" s="53" t="s">
        <v>338</v>
      </c>
      <c r="BO84" s="59">
        <v>0.0942</v>
      </c>
      <c r="BP84" s="59">
        <v>1.3E-6</v>
      </c>
      <c r="BQ84" s="59">
        <v>770000.0</v>
      </c>
      <c r="BR84" s="60">
        <v>0.034</v>
      </c>
      <c r="BS84" s="60">
        <v>6.0E-6</v>
      </c>
      <c r="BT84" s="60">
        <v>36.0</v>
      </c>
      <c r="BU84" s="60">
        <v>0.0</v>
      </c>
      <c r="BV84" s="60">
        <v>0.0</v>
      </c>
      <c r="BW84" s="60">
        <v>0.0</v>
      </c>
      <c r="BX84" s="50">
        <v>8.677803666745364E-9</v>
      </c>
      <c r="BY84" s="50">
        <v>4.696004903279902E-12</v>
      </c>
      <c r="BZ84" s="62">
        <v>5296.0</v>
      </c>
      <c r="CA84" s="62">
        <v>5993.0</v>
      </c>
      <c r="CB84" s="50">
        <v>11.0</v>
      </c>
    </row>
    <row r="85" ht="14.25" customHeight="1">
      <c r="A85" s="47" t="s">
        <v>501</v>
      </c>
      <c r="B85" s="65" t="s">
        <v>502</v>
      </c>
      <c r="C85" s="49">
        <v>232.0381</v>
      </c>
      <c r="D85" s="50">
        <v>90.0</v>
      </c>
      <c r="E85" s="50">
        <v>7.0</v>
      </c>
      <c r="F85" s="50">
        <v>3.0</v>
      </c>
      <c r="G85" s="51">
        <v>2.0</v>
      </c>
      <c r="H85" s="51">
        <v>1.0</v>
      </c>
      <c r="I85" s="50">
        <v>16.0</v>
      </c>
      <c r="J85" s="50">
        <v>3.0</v>
      </c>
      <c r="K85" s="50">
        <v>2.0</v>
      </c>
      <c r="L85" s="50">
        <v>0.0</v>
      </c>
      <c r="M85" s="50">
        <v>2.0</v>
      </c>
      <c r="N85" s="50">
        <v>0.0</v>
      </c>
      <c r="O85" s="52">
        <v>0.0</v>
      </c>
      <c r="P85" s="52">
        <v>6.0</v>
      </c>
      <c r="Q85" s="52">
        <v>8.0</v>
      </c>
      <c r="R85" s="52">
        <v>14.0</v>
      </c>
      <c r="S85" s="50">
        <v>4.0</v>
      </c>
      <c r="T85" s="50">
        <v>2.0</v>
      </c>
      <c r="U85" s="50">
        <v>2.0</v>
      </c>
      <c r="V85" s="52">
        <v>4.0</v>
      </c>
      <c r="W85" s="50">
        <v>4.0</v>
      </c>
      <c r="X85" s="54">
        <v>4.679</v>
      </c>
      <c r="Y85" s="54">
        <v>1.762</v>
      </c>
      <c r="Z85" s="49">
        <v>6.3067</v>
      </c>
      <c r="AA85" s="54">
        <v>1.2140666098807495</v>
      </c>
      <c r="AB85" s="53" t="s">
        <v>338</v>
      </c>
      <c r="AC85" s="58" t="s">
        <v>338</v>
      </c>
      <c r="AD85" s="49">
        <v>1.3</v>
      </c>
      <c r="AE85" s="49">
        <v>1.3</v>
      </c>
      <c r="AF85" s="50">
        <v>2.8784</v>
      </c>
      <c r="AG85" s="55">
        <v>3.2</v>
      </c>
      <c r="AH85" s="50">
        <v>1.11</v>
      </c>
      <c r="AI85" s="55">
        <v>1.03</v>
      </c>
      <c r="AJ85" s="53" t="s">
        <v>338</v>
      </c>
      <c r="AK85" s="50" t="s">
        <v>338</v>
      </c>
      <c r="AL85" s="55">
        <v>0.752</v>
      </c>
      <c r="AM85" s="49">
        <v>1.8</v>
      </c>
      <c r="AN85" s="49">
        <v>2.06</v>
      </c>
      <c r="AO85" s="49">
        <v>1.08</v>
      </c>
      <c r="AP85" s="56">
        <v>0.94</v>
      </c>
      <c r="AQ85" s="56">
        <v>1.78</v>
      </c>
      <c r="AR85" s="56">
        <v>2.4</v>
      </c>
      <c r="AS85" s="49">
        <v>4.98</v>
      </c>
      <c r="AT85" s="49">
        <v>1.19</v>
      </c>
      <c r="AU85" s="56">
        <v>2.06</v>
      </c>
      <c r="AV85" s="56">
        <v>1.8</v>
      </c>
      <c r="AW85" s="56">
        <v>1.788</v>
      </c>
      <c r="AX85" s="56">
        <v>1.795</v>
      </c>
      <c r="AY85" s="56">
        <v>1.652</v>
      </c>
      <c r="AZ85" s="50">
        <v>32.1</v>
      </c>
      <c r="BA85" s="50">
        <v>2023.15</v>
      </c>
      <c r="BB85" s="50">
        <v>5063.15</v>
      </c>
      <c r="BC85" s="50">
        <v>11.7</v>
      </c>
      <c r="BD85" s="50">
        <v>0.12</v>
      </c>
      <c r="BE85" s="50">
        <v>16.1</v>
      </c>
      <c r="BF85" s="59">
        <v>514.4</v>
      </c>
      <c r="BG85" s="59">
        <v>576.0</v>
      </c>
      <c r="BH85" s="50">
        <v>54.0</v>
      </c>
      <c r="BI85" s="59">
        <v>1.1E-5</v>
      </c>
      <c r="BJ85" s="50">
        <v>6.2</v>
      </c>
      <c r="BK85" s="59">
        <v>54.0</v>
      </c>
      <c r="BL85" s="59">
        <v>31.0</v>
      </c>
      <c r="BM85" s="59">
        <v>79.0</v>
      </c>
      <c r="BN85" s="59">
        <v>0.35</v>
      </c>
      <c r="BO85" s="59">
        <v>0.4</v>
      </c>
      <c r="BP85" s="59">
        <v>1.5E-7</v>
      </c>
      <c r="BQ85" s="59">
        <v>6700000.0</v>
      </c>
      <c r="BR85" s="60">
        <v>7.4</v>
      </c>
      <c r="BS85" s="60">
        <v>0.001</v>
      </c>
      <c r="BT85" s="60">
        <v>30.0</v>
      </c>
      <c r="BU85" s="60">
        <v>1.0</v>
      </c>
      <c r="BV85" s="60">
        <v>0.03333333333333333</v>
      </c>
      <c r="BW85" s="60">
        <v>1.0</v>
      </c>
      <c r="BX85" s="50">
        <v>9.800813553030058E-6</v>
      </c>
      <c r="BY85" s="50">
        <v>1.092473362915811E-12</v>
      </c>
      <c r="BZ85" s="61" t="s">
        <v>338</v>
      </c>
      <c r="CA85" s="61" t="s">
        <v>338</v>
      </c>
      <c r="CB85" s="50">
        <v>9000.0</v>
      </c>
    </row>
    <row r="86" ht="14.25" customHeight="1">
      <c r="A86" s="47" t="s">
        <v>503</v>
      </c>
      <c r="B86" s="65" t="s">
        <v>504</v>
      </c>
      <c r="C86" s="49">
        <v>238.0289</v>
      </c>
      <c r="D86" s="50">
        <v>92.0</v>
      </c>
      <c r="E86" s="50">
        <v>7.0</v>
      </c>
      <c r="F86" s="50">
        <v>3.0</v>
      </c>
      <c r="G86" s="51">
        <v>3.0</v>
      </c>
      <c r="H86" s="51">
        <v>1.0</v>
      </c>
      <c r="I86" s="50">
        <v>20.0</v>
      </c>
      <c r="J86" s="50">
        <v>3.0</v>
      </c>
      <c r="K86" s="50">
        <v>2.0</v>
      </c>
      <c r="L86" s="50">
        <v>0.0</v>
      </c>
      <c r="M86" s="50">
        <v>1.0</v>
      </c>
      <c r="N86" s="50">
        <v>3.0</v>
      </c>
      <c r="O86" s="52">
        <v>0.0</v>
      </c>
      <c r="P86" s="52">
        <v>6.0</v>
      </c>
      <c r="Q86" s="52">
        <v>9.0</v>
      </c>
      <c r="R86" s="52">
        <v>11.0</v>
      </c>
      <c r="S86" s="50">
        <v>6.0</v>
      </c>
      <c r="T86" s="50">
        <v>2.0</v>
      </c>
      <c r="U86" s="50">
        <v>3.0</v>
      </c>
      <c r="V86" s="52">
        <v>5.78</v>
      </c>
      <c r="W86" s="50">
        <v>5.78</v>
      </c>
      <c r="X86" s="54">
        <v>4.721</v>
      </c>
      <c r="Y86" s="54">
        <v>1.746</v>
      </c>
      <c r="Z86" s="49">
        <v>6.1941</v>
      </c>
      <c r="AA86" s="54">
        <v>0.528259364548495</v>
      </c>
      <c r="AB86" s="53" t="s">
        <v>338</v>
      </c>
      <c r="AC86" s="58" t="s">
        <v>338</v>
      </c>
      <c r="AD86" s="49">
        <v>1.38</v>
      </c>
      <c r="AE86" s="49">
        <v>1.7</v>
      </c>
      <c r="AF86" s="50">
        <v>3.3168</v>
      </c>
      <c r="AG86" s="55">
        <v>3.4</v>
      </c>
      <c r="AH86" s="50">
        <v>1.22</v>
      </c>
      <c r="AI86" s="55">
        <v>1.06</v>
      </c>
      <c r="AJ86" s="53" t="s">
        <v>338</v>
      </c>
      <c r="AK86" s="50" t="s">
        <v>338</v>
      </c>
      <c r="AL86" s="55">
        <v>2.92</v>
      </c>
      <c r="AM86" s="49">
        <v>1.75</v>
      </c>
      <c r="AN86" s="49">
        <v>1.96</v>
      </c>
      <c r="AO86" s="49">
        <v>1.17</v>
      </c>
      <c r="AP86" s="56">
        <v>1.025</v>
      </c>
      <c r="AQ86" s="56">
        <v>1.58</v>
      </c>
      <c r="AR86" s="56">
        <v>1.86</v>
      </c>
      <c r="AS86" s="49">
        <v>4.72</v>
      </c>
      <c r="AT86" s="49">
        <v>0.87</v>
      </c>
      <c r="AU86" s="56">
        <v>1.96</v>
      </c>
      <c r="AV86" s="56">
        <v>1.75</v>
      </c>
      <c r="AW86" s="56">
        <v>1.775</v>
      </c>
      <c r="AX86" s="56">
        <v>1.516</v>
      </c>
      <c r="AY86" s="56">
        <v>1.421</v>
      </c>
      <c r="AZ86" s="50">
        <v>27.4</v>
      </c>
      <c r="BA86" s="50">
        <v>1405.15</v>
      </c>
      <c r="BB86" s="50">
        <v>4091.15</v>
      </c>
      <c r="BC86" s="50">
        <v>19.0</v>
      </c>
      <c r="BD86" s="50">
        <v>0.12</v>
      </c>
      <c r="BE86" s="50">
        <v>14.0</v>
      </c>
      <c r="BF86" s="59">
        <v>477.0</v>
      </c>
      <c r="BG86" s="59">
        <v>490.0</v>
      </c>
      <c r="BH86" s="50">
        <v>27.6</v>
      </c>
      <c r="BI86" s="59">
        <v>1.39E-5</v>
      </c>
      <c r="BJ86" s="50">
        <v>5.55</v>
      </c>
      <c r="BK86" s="59">
        <v>97.9</v>
      </c>
      <c r="BL86" s="59">
        <v>111.0</v>
      </c>
      <c r="BM86" s="59">
        <v>208.0</v>
      </c>
      <c r="BN86" s="59">
        <v>1.96</v>
      </c>
      <c r="BO86" s="59">
        <v>2.4</v>
      </c>
      <c r="BP86" s="59">
        <v>2.8E-7</v>
      </c>
      <c r="BQ86" s="59">
        <v>3600000.0</v>
      </c>
      <c r="BR86" s="60">
        <v>7.57</v>
      </c>
      <c r="BS86" s="60">
        <v>5.0E-4</v>
      </c>
      <c r="BT86" s="60">
        <v>26.0</v>
      </c>
      <c r="BU86" s="60">
        <v>0.0</v>
      </c>
      <c r="BV86" s="60">
        <v>0.0</v>
      </c>
      <c r="BW86" s="60">
        <v>0.0</v>
      </c>
      <c r="BX86" s="50">
        <v>2.756478811789704E-6</v>
      </c>
      <c r="BY86" s="50">
        <v>2.9350030645499386E-13</v>
      </c>
      <c r="BZ86" s="61" t="s">
        <v>338</v>
      </c>
      <c r="CA86" s="61" t="s">
        <v>338</v>
      </c>
      <c r="CB86" s="50">
        <v>6000.0</v>
      </c>
    </row>
    <row r="87" ht="14.25" customHeight="1">
      <c r="A87" s="66" t="s">
        <v>505</v>
      </c>
      <c r="B87" s="67">
        <v>0.0</v>
      </c>
      <c r="C87" s="67">
        <v>0.0</v>
      </c>
      <c r="D87" s="68">
        <v>0.0</v>
      </c>
      <c r="E87" s="67">
        <v>0.0</v>
      </c>
      <c r="F87" s="67">
        <v>0.0</v>
      </c>
      <c r="G87" s="67">
        <v>0.0</v>
      </c>
      <c r="H87" s="67">
        <v>0.0</v>
      </c>
      <c r="I87" s="67">
        <v>0.0</v>
      </c>
      <c r="J87" s="67">
        <v>0.0</v>
      </c>
      <c r="K87" s="67">
        <v>0.0</v>
      </c>
      <c r="L87" s="67">
        <v>0.0</v>
      </c>
      <c r="M87" s="67">
        <v>0.0</v>
      </c>
      <c r="N87" s="67">
        <v>0.0</v>
      </c>
      <c r="O87" s="67">
        <v>0.0</v>
      </c>
      <c r="P87" s="67">
        <v>0.0</v>
      </c>
      <c r="Q87" s="67">
        <v>0.0</v>
      </c>
      <c r="R87" s="67">
        <v>0.0</v>
      </c>
      <c r="S87" s="67">
        <v>0.0</v>
      </c>
      <c r="T87" s="67">
        <v>0.0</v>
      </c>
      <c r="U87" s="67">
        <v>0.0</v>
      </c>
      <c r="V87" s="67">
        <v>0.0</v>
      </c>
      <c r="W87" s="67">
        <v>0.0</v>
      </c>
      <c r="X87" s="67">
        <v>0.0</v>
      </c>
      <c r="Y87" s="67">
        <v>0.0</v>
      </c>
      <c r="Z87" s="67">
        <v>0.0</v>
      </c>
      <c r="AA87" s="67">
        <v>0.0</v>
      </c>
      <c r="AB87" s="67">
        <v>0.0</v>
      </c>
      <c r="AC87" s="69">
        <v>0.0</v>
      </c>
      <c r="AD87" s="67">
        <v>0.0</v>
      </c>
      <c r="AE87" s="67">
        <v>0.0</v>
      </c>
      <c r="AF87" s="67">
        <v>0.0</v>
      </c>
      <c r="AG87" s="67">
        <v>0.0</v>
      </c>
      <c r="AH87" s="67">
        <v>0.0</v>
      </c>
      <c r="AI87" s="67">
        <v>0.0</v>
      </c>
      <c r="AJ87" s="67">
        <v>0.0</v>
      </c>
      <c r="AK87" s="67">
        <v>0.0</v>
      </c>
      <c r="AL87" s="67">
        <v>0.0</v>
      </c>
      <c r="AM87" s="69">
        <v>0.0</v>
      </c>
      <c r="AN87" s="69">
        <v>0.0</v>
      </c>
      <c r="AO87" s="69">
        <v>0.0</v>
      </c>
      <c r="AP87" s="69">
        <v>0.0</v>
      </c>
      <c r="AQ87" s="69">
        <v>0.0</v>
      </c>
      <c r="AR87" s="69">
        <v>0.0</v>
      </c>
      <c r="AS87" s="69">
        <v>0.0</v>
      </c>
      <c r="AT87" s="69">
        <v>0.0</v>
      </c>
      <c r="AU87" s="69">
        <v>0.0</v>
      </c>
      <c r="AV87" s="69">
        <v>0.0</v>
      </c>
      <c r="AW87" s="69">
        <v>0.0</v>
      </c>
      <c r="AX87" s="69">
        <v>0.0</v>
      </c>
      <c r="AY87" s="69">
        <v>0.0</v>
      </c>
      <c r="AZ87" s="69">
        <v>0.0</v>
      </c>
      <c r="BA87" s="69">
        <v>0.0</v>
      </c>
      <c r="BB87" s="69">
        <v>0.0</v>
      </c>
      <c r="BC87" s="69">
        <v>0.0</v>
      </c>
      <c r="BD87" s="69">
        <v>0.0</v>
      </c>
      <c r="BE87" s="69">
        <v>0.0</v>
      </c>
      <c r="BF87" s="69">
        <v>0.0</v>
      </c>
      <c r="BG87" s="69">
        <v>0.0</v>
      </c>
      <c r="BH87" s="69">
        <v>0.0</v>
      </c>
      <c r="BI87" s="69">
        <v>0.0</v>
      </c>
      <c r="BJ87" s="69">
        <v>0.0</v>
      </c>
      <c r="BK87" s="69">
        <v>0.0</v>
      </c>
      <c r="BL87" s="69">
        <v>0.0</v>
      </c>
      <c r="BM87" s="69">
        <v>0.0</v>
      </c>
      <c r="BN87" s="69">
        <v>0.0</v>
      </c>
      <c r="BO87" s="69">
        <v>0.0</v>
      </c>
      <c r="BP87" s="69">
        <v>0.0</v>
      </c>
      <c r="BQ87" s="69">
        <v>0.0</v>
      </c>
      <c r="BR87" s="69">
        <v>0.0</v>
      </c>
      <c r="BS87" s="69">
        <v>0.0</v>
      </c>
      <c r="BT87" s="69">
        <v>0.0</v>
      </c>
      <c r="BU87" s="69">
        <v>0.0</v>
      </c>
      <c r="BV87" s="69">
        <v>0.0</v>
      </c>
      <c r="BW87" s="69">
        <v>0.0</v>
      </c>
      <c r="BX87" s="69">
        <v>0.0</v>
      </c>
      <c r="BY87" s="69">
        <v>0.0</v>
      </c>
      <c r="BZ87" s="69">
        <v>0.0</v>
      </c>
      <c r="CA87" s="69">
        <v>0.0</v>
      </c>
      <c r="CB87" s="69">
        <v>0.0</v>
      </c>
    </row>
    <row r="88" ht="14.25" customHeight="1">
      <c r="A88" s="66"/>
      <c r="D88" s="68"/>
      <c r="AC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</row>
    <row r="89" ht="14.25" customHeight="1">
      <c r="A89" s="66"/>
      <c r="D89" s="68"/>
      <c r="AC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</row>
    <row r="90" ht="14.25" customHeight="1">
      <c r="A90" s="66"/>
      <c r="D90" s="68"/>
      <c r="AC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</row>
    <row r="91" ht="14.25" customHeight="1">
      <c r="A91" s="66"/>
      <c r="D91" s="68"/>
      <c r="AC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</row>
    <row r="92" ht="14.25" customHeight="1">
      <c r="A92" s="66"/>
      <c r="D92" s="68"/>
      <c r="AC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</row>
    <row r="93" ht="14.25" customHeight="1">
      <c r="A93" s="66"/>
      <c r="D93" s="68"/>
      <c r="AC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</row>
    <row r="94" ht="14.25" customHeight="1">
      <c r="A94" s="66"/>
      <c r="D94" s="68"/>
      <c r="AC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</row>
    <row r="95" ht="14.25" customHeight="1">
      <c r="A95" s="66"/>
      <c r="D95" s="68"/>
      <c r="AC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</row>
    <row r="96" ht="14.25" customHeight="1">
      <c r="A96" s="66"/>
      <c r="D96" s="68"/>
      <c r="AC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</row>
    <row r="97" ht="14.25" customHeight="1">
      <c r="A97" s="66"/>
      <c r="D97" s="68"/>
      <c r="AC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</row>
    <row r="98" ht="14.25" customHeight="1">
      <c r="A98" s="66"/>
      <c r="D98" s="68"/>
      <c r="AC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</row>
    <row r="99" ht="14.25" customHeight="1">
      <c r="A99" s="66"/>
      <c r="D99" s="68"/>
      <c r="AC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</row>
    <row r="100" ht="14.25" customHeight="1">
      <c r="A100" s="66"/>
      <c r="D100" s="68"/>
      <c r="AC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</row>
    <row r="101" ht="14.25" customHeight="1">
      <c r="A101" s="66"/>
      <c r="D101" s="68"/>
      <c r="AC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</row>
    <row r="102" ht="14.25" customHeight="1">
      <c r="A102" s="66"/>
      <c r="D102" s="68"/>
      <c r="AC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</row>
    <row r="103" ht="14.25" customHeight="1">
      <c r="A103" s="66"/>
      <c r="D103" s="68"/>
      <c r="AC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</row>
    <row r="104" ht="14.25" customHeight="1">
      <c r="A104" s="66"/>
      <c r="D104" s="68"/>
      <c r="AC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</row>
    <row r="105" ht="14.25" customHeight="1">
      <c r="A105" s="66"/>
      <c r="D105" s="68"/>
      <c r="AC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</row>
    <row r="106" ht="14.25" customHeight="1">
      <c r="A106" s="66"/>
      <c r="D106" s="68"/>
      <c r="AC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</row>
    <row r="107" ht="14.25" customHeight="1">
      <c r="A107" s="66"/>
      <c r="D107" s="68"/>
      <c r="AC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</row>
    <row r="108" ht="14.25" customHeight="1">
      <c r="A108" s="66"/>
      <c r="D108" s="68"/>
      <c r="AC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</row>
    <row r="109" ht="14.25" customHeight="1">
      <c r="A109" s="66"/>
      <c r="D109" s="68"/>
      <c r="AC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</row>
    <row r="110" ht="14.25" customHeight="1">
      <c r="A110" s="66"/>
      <c r="D110" s="68"/>
      <c r="AC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</row>
    <row r="111" ht="14.25" customHeight="1">
      <c r="A111" s="66"/>
      <c r="D111" s="68"/>
      <c r="AC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</row>
    <row r="112" ht="14.25" customHeight="1">
      <c r="A112" s="66"/>
      <c r="D112" s="68"/>
      <c r="AC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</row>
    <row r="113" ht="14.25" customHeight="1">
      <c r="A113" s="66"/>
      <c r="D113" s="68"/>
      <c r="AC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</row>
    <row r="114" ht="14.25" customHeight="1">
      <c r="A114" s="66"/>
      <c r="D114" s="68"/>
      <c r="AC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</row>
    <row r="115" ht="14.25" customHeight="1">
      <c r="A115" s="66"/>
      <c r="D115" s="68"/>
      <c r="AC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</row>
    <row r="116" ht="14.25" customHeight="1">
      <c r="A116" s="66"/>
      <c r="D116" s="68"/>
      <c r="AC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</row>
    <row r="117" ht="14.25" customHeight="1">
      <c r="A117" s="66"/>
      <c r="D117" s="68"/>
      <c r="AC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</row>
    <row r="118" ht="14.25" customHeight="1">
      <c r="A118" s="66"/>
      <c r="D118" s="68"/>
      <c r="AC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</row>
    <row r="119" ht="14.25" customHeight="1">
      <c r="A119" s="66"/>
      <c r="D119" s="68"/>
      <c r="AC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</row>
    <row r="120" ht="14.25" customHeight="1">
      <c r="A120" s="66"/>
      <c r="D120" s="68"/>
      <c r="AC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</row>
    <row r="121" ht="14.25" customHeight="1">
      <c r="A121" s="66"/>
      <c r="D121" s="68"/>
      <c r="AC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</row>
    <row r="122" ht="14.25" customHeight="1">
      <c r="A122" s="66"/>
      <c r="D122" s="68"/>
      <c r="AC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</row>
    <row r="123" ht="14.25" customHeight="1">
      <c r="A123" s="66"/>
      <c r="D123" s="68"/>
      <c r="AC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</row>
    <row r="124" ht="14.25" customHeight="1">
      <c r="A124" s="66"/>
      <c r="D124" s="68"/>
      <c r="AC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</row>
    <row r="125" ht="14.25" customHeight="1">
      <c r="A125" s="66"/>
      <c r="D125" s="68"/>
      <c r="AC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</row>
    <row r="126" ht="14.25" customHeight="1">
      <c r="A126" s="66"/>
      <c r="D126" s="68"/>
      <c r="AC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</row>
    <row r="127" ht="14.25" customHeight="1">
      <c r="A127" s="66"/>
      <c r="D127" s="68"/>
      <c r="AC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</row>
    <row r="128" ht="14.25" customHeight="1">
      <c r="A128" s="66"/>
      <c r="D128" s="68"/>
      <c r="AC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</row>
    <row r="129" ht="14.25" customHeight="1">
      <c r="A129" s="66"/>
      <c r="D129" s="68"/>
      <c r="AC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</row>
    <row r="130" ht="14.25" customHeight="1">
      <c r="A130" s="66"/>
      <c r="D130" s="68"/>
      <c r="AC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</row>
    <row r="131" ht="14.25" customHeight="1">
      <c r="A131" s="66"/>
      <c r="D131" s="68"/>
      <c r="AC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</row>
    <row r="132" ht="14.25" customHeight="1">
      <c r="A132" s="66"/>
      <c r="D132" s="68"/>
      <c r="AC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</row>
    <row r="133" ht="14.25" customHeight="1">
      <c r="A133" s="66"/>
      <c r="D133" s="68"/>
      <c r="AC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</row>
    <row r="134" ht="14.25" customHeight="1">
      <c r="A134" s="66"/>
      <c r="D134" s="68"/>
      <c r="AC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</row>
    <row r="135" ht="14.25" customHeight="1">
      <c r="A135" s="66"/>
      <c r="D135" s="68"/>
      <c r="AC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</row>
    <row r="136" ht="14.25" customHeight="1">
      <c r="A136" s="66"/>
      <c r="D136" s="68"/>
      <c r="AC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</row>
    <row r="137" ht="14.25" customHeight="1">
      <c r="A137" s="66"/>
      <c r="D137" s="68"/>
      <c r="AC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</row>
    <row r="138" ht="14.25" customHeight="1">
      <c r="A138" s="66"/>
      <c r="D138" s="68"/>
      <c r="AC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</row>
    <row r="139" ht="14.25" customHeight="1">
      <c r="A139" s="66"/>
      <c r="D139" s="68"/>
      <c r="AC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</row>
    <row r="140" ht="14.25" customHeight="1">
      <c r="A140" s="66"/>
      <c r="D140" s="68"/>
      <c r="AC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</row>
    <row r="141" ht="14.25" customHeight="1">
      <c r="A141" s="66"/>
      <c r="D141" s="68"/>
      <c r="AC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</row>
    <row r="142" ht="14.25" customHeight="1">
      <c r="A142" s="66"/>
      <c r="D142" s="68"/>
      <c r="AC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</row>
    <row r="143" ht="14.25" customHeight="1">
      <c r="A143" s="66"/>
      <c r="D143" s="68"/>
      <c r="AC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</row>
    <row r="144" ht="14.25" customHeight="1">
      <c r="A144" s="66"/>
      <c r="D144" s="68"/>
      <c r="AC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</row>
    <row r="145" ht="14.25" customHeight="1">
      <c r="A145" s="66"/>
      <c r="D145" s="68"/>
      <c r="AC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</row>
    <row r="146" ht="14.25" customHeight="1">
      <c r="A146" s="66"/>
      <c r="D146" s="68"/>
      <c r="AC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</row>
    <row r="147" ht="14.25" customHeight="1">
      <c r="A147" s="66"/>
      <c r="D147" s="68"/>
      <c r="AC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</row>
    <row r="148" ht="14.25" customHeight="1">
      <c r="A148" s="66"/>
      <c r="D148" s="68"/>
      <c r="AC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</row>
    <row r="149" ht="14.25" customHeight="1">
      <c r="A149" s="66"/>
      <c r="D149" s="68"/>
      <c r="AC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</row>
    <row r="150" ht="14.25" customHeight="1">
      <c r="A150" s="66"/>
      <c r="D150" s="68"/>
      <c r="AC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</row>
    <row r="151" ht="14.25" customHeight="1">
      <c r="A151" s="66"/>
      <c r="D151" s="68"/>
      <c r="AC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</row>
    <row r="152" ht="14.25" customHeight="1">
      <c r="A152" s="66"/>
      <c r="D152" s="68"/>
      <c r="AC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</row>
    <row r="153" ht="14.25" customHeight="1">
      <c r="A153" s="66"/>
      <c r="D153" s="68"/>
      <c r="AC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</row>
    <row r="154" ht="14.25" customHeight="1">
      <c r="A154" s="66"/>
      <c r="D154" s="68"/>
      <c r="AC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</row>
    <row r="155" ht="14.25" customHeight="1">
      <c r="A155" s="66"/>
      <c r="D155" s="68"/>
      <c r="AC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</row>
    <row r="156" ht="14.25" customHeight="1">
      <c r="A156" s="66"/>
      <c r="D156" s="68"/>
      <c r="AC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</row>
    <row r="157" ht="14.25" customHeight="1">
      <c r="A157" s="66"/>
      <c r="D157" s="68"/>
      <c r="AC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</row>
    <row r="158" ht="14.25" customHeight="1">
      <c r="A158" s="66"/>
      <c r="D158" s="68"/>
      <c r="AC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</row>
    <row r="159" ht="14.25" customHeight="1">
      <c r="A159" s="66"/>
      <c r="D159" s="68"/>
      <c r="AC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</row>
    <row r="160" ht="14.25" customHeight="1">
      <c r="A160" s="66"/>
      <c r="D160" s="68"/>
      <c r="AC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</row>
    <row r="161" ht="14.25" customHeight="1">
      <c r="A161" s="66"/>
      <c r="D161" s="68"/>
      <c r="AC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</row>
    <row r="162" ht="14.25" customHeight="1">
      <c r="A162" s="66"/>
      <c r="D162" s="68"/>
      <c r="AC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</row>
    <row r="163" ht="14.25" customHeight="1">
      <c r="A163" s="66"/>
      <c r="D163" s="68"/>
      <c r="AC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</row>
    <row r="164" ht="14.25" customHeight="1">
      <c r="A164" s="66"/>
      <c r="D164" s="68"/>
      <c r="AC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</row>
    <row r="165" ht="14.25" customHeight="1">
      <c r="A165" s="66"/>
      <c r="D165" s="68"/>
      <c r="AC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</row>
    <row r="166" ht="14.25" customHeight="1">
      <c r="A166" s="66"/>
      <c r="D166" s="68"/>
      <c r="AC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</row>
    <row r="167" ht="14.25" customHeight="1">
      <c r="A167" s="66"/>
      <c r="D167" s="68"/>
      <c r="AC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</row>
    <row r="168" ht="14.25" customHeight="1">
      <c r="A168" s="66"/>
      <c r="D168" s="68"/>
      <c r="AC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</row>
    <row r="169" ht="14.25" customHeight="1">
      <c r="A169" s="66"/>
      <c r="D169" s="68"/>
      <c r="AC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</row>
    <row r="170" ht="14.25" customHeight="1">
      <c r="A170" s="66"/>
      <c r="D170" s="68"/>
      <c r="AC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</row>
    <row r="171" ht="14.25" customHeight="1">
      <c r="A171" s="66"/>
      <c r="D171" s="68"/>
      <c r="AC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</row>
    <row r="172" ht="14.25" customHeight="1">
      <c r="A172" s="66"/>
      <c r="D172" s="68"/>
      <c r="AC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</row>
    <row r="173" ht="14.25" customHeight="1">
      <c r="A173" s="66"/>
      <c r="D173" s="68"/>
      <c r="AC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</row>
    <row r="174" ht="14.25" customHeight="1">
      <c r="A174" s="66"/>
      <c r="D174" s="68"/>
      <c r="AC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</row>
    <row r="175" ht="14.25" customHeight="1">
      <c r="A175" s="66"/>
      <c r="D175" s="68"/>
      <c r="AC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</row>
    <row r="176" ht="14.25" customHeight="1">
      <c r="A176" s="66"/>
      <c r="D176" s="68"/>
      <c r="AC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</row>
    <row r="177" ht="14.25" customHeight="1">
      <c r="A177" s="66"/>
      <c r="D177" s="68"/>
      <c r="AC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</row>
    <row r="178" ht="14.25" customHeight="1">
      <c r="A178" s="66"/>
      <c r="D178" s="68"/>
      <c r="AC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</row>
    <row r="179" ht="14.25" customHeight="1">
      <c r="A179" s="66"/>
      <c r="D179" s="68"/>
      <c r="AC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</row>
    <row r="180" ht="14.25" customHeight="1">
      <c r="A180" s="66"/>
      <c r="D180" s="68"/>
      <c r="AC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</row>
    <row r="181" ht="14.25" customHeight="1">
      <c r="A181" s="66"/>
      <c r="D181" s="68"/>
      <c r="AC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</row>
    <row r="182" ht="14.25" customHeight="1">
      <c r="A182" s="66"/>
      <c r="D182" s="68"/>
      <c r="AC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</row>
    <row r="183" ht="14.25" customHeight="1">
      <c r="A183" s="66"/>
      <c r="D183" s="68"/>
      <c r="AC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</row>
    <row r="184" ht="14.25" customHeight="1">
      <c r="A184" s="66"/>
      <c r="D184" s="68"/>
      <c r="AC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</row>
    <row r="185" ht="14.25" customHeight="1">
      <c r="A185" s="66"/>
      <c r="D185" s="68"/>
      <c r="AC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</row>
    <row r="186" ht="14.25" customHeight="1">
      <c r="A186" s="66"/>
      <c r="D186" s="68"/>
      <c r="AC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</row>
    <row r="187" ht="14.25" customHeight="1">
      <c r="A187" s="66"/>
      <c r="D187" s="68"/>
      <c r="AC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</row>
    <row r="188" ht="14.25" customHeight="1">
      <c r="A188" s="66"/>
      <c r="D188" s="68"/>
      <c r="AC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</row>
    <row r="189" ht="14.25" customHeight="1">
      <c r="A189" s="66"/>
      <c r="D189" s="68"/>
      <c r="AC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</row>
    <row r="190" ht="14.25" customHeight="1">
      <c r="A190" s="66"/>
      <c r="D190" s="68"/>
      <c r="AC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</row>
    <row r="191" ht="14.25" customHeight="1">
      <c r="A191" s="66"/>
      <c r="D191" s="68"/>
      <c r="AC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</row>
    <row r="192" ht="14.25" customHeight="1">
      <c r="A192" s="66"/>
      <c r="D192" s="68"/>
      <c r="AC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</row>
    <row r="193" ht="14.25" customHeight="1">
      <c r="A193" s="66"/>
      <c r="D193" s="68"/>
      <c r="AC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</row>
    <row r="194" ht="14.25" customHeight="1">
      <c r="A194" s="66"/>
      <c r="D194" s="68"/>
      <c r="AC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</row>
    <row r="195" ht="14.25" customHeight="1">
      <c r="A195" s="66"/>
      <c r="D195" s="68"/>
      <c r="AC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</row>
    <row r="196" ht="14.25" customHeight="1">
      <c r="A196" s="66"/>
      <c r="D196" s="68"/>
      <c r="AC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</row>
    <row r="197" ht="14.25" customHeight="1">
      <c r="A197" s="66"/>
      <c r="D197" s="68"/>
      <c r="AC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</row>
    <row r="198" ht="14.25" customHeight="1">
      <c r="A198" s="66"/>
      <c r="D198" s="68"/>
      <c r="AC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</row>
    <row r="199" ht="14.25" customHeight="1">
      <c r="A199" s="66"/>
      <c r="D199" s="68"/>
      <c r="AC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</row>
    <row r="200" ht="14.25" customHeight="1">
      <c r="A200" s="66"/>
      <c r="D200" s="68"/>
      <c r="AC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</row>
    <row r="201" ht="14.25" customHeight="1">
      <c r="A201" s="66"/>
      <c r="D201" s="68"/>
      <c r="AC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</row>
    <row r="202" ht="14.25" customHeight="1">
      <c r="A202" s="66"/>
      <c r="D202" s="68"/>
      <c r="AC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</row>
    <row r="203" ht="14.25" customHeight="1">
      <c r="A203" s="66"/>
      <c r="D203" s="68"/>
      <c r="AC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</row>
    <row r="204" ht="14.25" customHeight="1">
      <c r="A204" s="66"/>
      <c r="D204" s="68"/>
      <c r="AC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</row>
    <row r="205" ht="14.25" customHeight="1">
      <c r="A205" s="66"/>
      <c r="D205" s="68"/>
      <c r="AC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</row>
    <row r="206" ht="14.25" customHeight="1">
      <c r="A206" s="66"/>
      <c r="D206" s="68"/>
      <c r="AC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</row>
    <row r="207" ht="14.25" customHeight="1">
      <c r="A207" s="66"/>
      <c r="D207" s="68"/>
      <c r="AC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</row>
    <row r="208" ht="14.25" customHeight="1">
      <c r="A208" s="66"/>
      <c r="D208" s="68"/>
      <c r="AC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</row>
    <row r="209" ht="14.25" customHeight="1">
      <c r="A209" s="66"/>
      <c r="D209" s="68"/>
      <c r="AC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</row>
    <row r="210" ht="14.25" customHeight="1">
      <c r="A210" s="66"/>
      <c r="D210" s="68"/>
      <c r="AC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</row>
    <row r="211" ht="14.25" customHeight="1">
      <c r="A211" s="66"/>
      <c r="D211" s="68"/>
      <c r="AC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</row>
    <row r="212" ht="14.25" customHeight="1">
      <c r="A212" s="66"/>
      <c r="D212" s="68"/>
      <c r="AC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</row>
    <row r="213" ht="14.25" customHeight="1">
      <c r="A213" s="66"/>
      <c r="D213" s="68"/>
      <c r="AC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</row>
    <row r="214" ht="14.25" customHeight="1">
      <c r="A214" s="66"/>
      <c r="D214" s="68"/>
      <c r="AC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</row>
    <row r="215" ht="14.25" customHeight="1">
      <c r="A215" s="66"/>
      <c r="D215" s="68"/>
      <c r="AC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</row>
    <row r="216" ht="14.25" customHeight="1">
      <c r="A216" s="66"/>
      <c r="D216" s="68"/>
      <c r="AC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</row>
    <row r="217" ht="14.25" customHeight="1">
      <c r="A217" s="66"/>
      <c r="D217" s="68"/>
      <c r="AC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</row>
    <row r="218" ht="14.25" customHeight="1">
      <c r="A218" s="66"/>
      <c r="D218" s="68"/>
      <c r="AC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</row>
    <row r="219" ht="14.25" customHeight="1">
      <c r="A219" s="66"/>
      <c r="D219" s="68"/>
      <c r="AC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</row>
    <row r="220" ht="14.25" customHeight="1">
      <c r="A220" s="66"/>
      <c r="D220" s="68"/>
      <c r="AC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</row>
    <row r="221" ht="14.25" customHeight="1">
      <c r="A221" s="66"/>
      <c r="D221" s="68"/>
      <c r="AC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</row>
    <row r="222" ht="14.25" customHeight="1">
      <c r="A222" s="66"/>
      <c r="D222" s="68"/>
      <c r="AC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</row>
    <row r="223" ht="14.25" customHeight="1">
      <c r="A223" s="66"/>
      <c r="D223" s="68"/>
      <c r="AC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</row>
    <row r="224" ht="14.25" customHeight="1">
      <c r="A224" s="66"/>
      <c r="D224" s="68"/>
      <c r="AC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</row>
    <row r="225" ht="14.25" customHeight="1">
      <c r="A225" s="66"/>
      <c r="D225" s="68"/>
      <c r="AC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</row>
    <row r="226" ht="14.25" customHeight="1">
      <c r="A226" s="66"/>
      <c r="D226" s="68"/>
      <c r="AC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</row>
    <row r="227" ht="14.25" customHeight="1">
      <c r="A227" s="66"/>
      <c r="D227" s="68"/>
      <c r="AC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</row>
    <row r="228" ht="14.25" customHeight="1">
      <c r="A228" s="66"/>
      <c r="D228" s="68"/>
      <c r="AC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</row>
    <row r="229" ht="14.25" customHeight="1">
      <c r="A229" s="66"/>
      <c r="D229" s="68"/>
      <c r="AC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</row>
    <row r="230" ht="14.25" customHeight="1">
      <c r="A230" s="66"/>
      <c r="D230" s="68"/>
      <c r="AC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</row>
    <row r="231" ht="14.25" customHeight="1">
      <c r="A231" s="66"/>
      <c r="D231" s="68"/>
      <c r="AC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</row>
    <row r="232" ht="14.25" customHeight="1">
      <c r="A232" s="66"/>
      <c r="D232" s="68"/>
      <c r="AC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</row>
    <row r="233" ht="14.25" customHeight="1">
      <c r="A233" s="66"/>
      <c r="D233" s="68"/>
      <c r="AC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</row>
    <row r="234" ht="14.25" customHeight="1">
      <c r="A234" s="66"/>
      <c r="D234" s="68"/>
      <c r="AC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</row>
    <row r="235" ht="14.25" customHeight="1">
      <c r="A235" s="66"/>
      <c r="D235" s="68"/>
      <c r="AC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</row>
    <row r="236" ht="14.25" customHeight="1">
      <c r="A236" s="66"/>
      <c r="D236" s="68"/>
      <c r="AC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</row>
    <row r="237" ht="14.25" customHeight="1">
      <c r="A237" s="66"/>
      <c r="D237" s="68"/>
      <c r="AC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</row>
    <row r="238" ht="14.25" customHeight="1">
      <c r="A238" s="66"/>
      <c r="D238" s="68"/>
      <c r="AC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</row>
    <row r="239" ht="14.25" customHeight="1">
      <c r="A239" s="66"/>
      <c r="D239" s="68"/>
      <c r="AC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</row>
    <row r="240" ht="14.25" customHeight="1">
      <c r="A240" s="66"/>
      <c r="D240" s="68"/>
      <c r="AC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</row>
    <row r="241" ht="14.25" customHeight="1">
      <c r="A241" s="66"/>
      <c r="D241" s="68"/>
      <c r="AC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</row>
    <row r="242" ht="14.25" customHeight="1">
      <c r="A242" s="66"/>
      <c r="D242" s="68"/>
      <c r="AC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</row>
    <row r="243" ht="14.25" customHeight="1">
      <c r="A243" s="66"/>
      <c r="D243" s="68"/>
      <c r="AC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</row>
    <row r="244" ht="14.25" customHeight="1">
      <c r="A244" s="66"/>
      <c r="D244" s="68"/>
      <c r="AC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</row>
    <row r="245" ht="14.25" customHeight="1">
      <c r="A245" s="66"/>
      <c r="D245" s="68"/>
      <c r="AC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</row>
    <row r="246" ht="14.25" customHeight="1">
      <c r="A246" s="66"/>
      <c r="D246" s="68"/>
      <c r="AC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</row>
    <row r="247" ht="14.25" customHeight="1">
      <c r="A247" s="66"/>
      <c r="D247" s="68"/>
      <c r="AC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</row>
    <row r="248" ht="14.25" customHeight="1">
      <c r="A248" s="66"/>
      <c r="D248" s="68"/>
      <c r="AC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</row>
    <row r="249" ht="14.25" customHeight="1">
      <c r="A249" s="66"/>
      <c r="D249" s="68"/>
      <c r="AC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</row>
    <row r="250" ht="14.25" customHeight="1">
      <c r="A250" s="66"/>
      <c r="D250" s="68"/>
      <c r="AC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</row>
    <row r="251" ht="14.25" customHeight="1">
      <c r="A251" s="66"/>
      <c r="D251" s="68"/>
      <c r="AC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</row>
    <row r="252" ht="14.25" customHeight="1">
      <c r="A252" s="66"/>
      <c r="D252" s="68"/>
      <c r="AC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</row>
    <row r="253" ht="14.25" customHeight="1">
      <c r="A253" s="66"/>
      <c r="D253" s="68"/>
      <c r="AC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</row>
    <row r="254" ht="14.25" customHeight="1">
      <c r="A254" s="66"/>
      <c r="D254" s="68"/>
      <c r="AC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</row>
    <row r="255" ht="14.25" customHeight="1">
      <c r="A255" s="66"/>
      <c r="D255" s="68"/>
      <c r="AC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</row>
    <row r="256" ht="14.25" customHeight="1">
      <c r="A256" s="66"/>
      <c r="D256" s="68"/>
      <c r="AC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</row>
    <row r="257" ht="14.25" customHeight="1">
      <c r="A257" s="66"/>
      <c r="D257" s="68"/>
      <c r="AC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</row>
    <row r="258" ht="14.25" customHeight="1">
      <c r="A258" s="66"/>
      <c r="D258" s="68"/>
      <c r="AC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</row>
    <row r="259" ht="14.25" customHeight="1">
      <c r="A259" s="66"/>
      <c r="D259" s="68"/>
      <c r="AC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</row>
    <row r="260" ht="14.25" customHeight="1">
      <c r="A260" s="66"/>
      <c r="D260" s="68"/>
      <c r="AC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</row>
    <row r="261" ht="14.25" customHeight="1">
      <c r="A261" s="66"/>
      <c r="D261" s="68"/>
      <c r="AC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</row>
    <row r="262" ht="14.25" customHeight="1">
      <c r="A262" s="66"/>
      <c r="D262" s="68"/>
      <c r="AC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</row>
    <row r="263" ht="14.25" customHeight="1">
      <c r="A263" s="66"/>
      <c r="D263" s="68"/>
      <c r="AC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</row>
    <row r="264" ht="14.25" customHeight="1">
      <c r="A264" s="66"/>
      <c r="D264" s="68"/>
      <c r="AC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</row>
    <row r="265" ht="14.25" customHeight="1">
      <c r="A265" s="66"/>
      <c r="D265" s="68"/>
      <c r="AC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</row>
    <row r="266" ht="14.25" customHeight="1">
      <c r="A266" s="66"/>
      <c r="D266" s="68"/>
      <c r="AC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</row>
    <row r="267" ht="14.25" customHeight="1">
      <c r="A267" s="66"/>
      <c r="D267" s="68"/>
      <c r="AC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</row>
    <row r="268" ht="14.25" customHeight="1">
      <c r="A268" s="66"/>
      <c r="D268" s="68"/>
      <c r="AC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</row>
    <row r="269" ht="14.25" customHeight="1">
      <c r="A269" s="66"/>
      <c r="D269" s="68"/>
      <c r="AC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</row>
    <row r="270" ht="14.25" customHeight="1">
      <c r="A270" s="66"/>
      <c r="D270" s="68"/>
      <c r="AC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</row>
    <row r="271" ht="14.25" customHeight="1">
      <c r="A271" s="66"/>
      <c r="D271" s="68"/>
      <c r="AC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</row>
    <row r="272" ht="14.25" customHeight="1">
      <c r="A272" s="66"/>
      <c r="D272" s="68"/>
      <c r="AC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</row>
    <row r="273" ht="14.25" customHeight="1">
      <c r="A273" s="66"/>
      <c r="D273" s="68"/>
      <c r="AC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</row>
    <row r="274" ht="14.25" customHeight="1">
      <c r="A274" s="66"/>
      <c r="D274" s="68"/>
      <c r="AC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</row>
    <row r="275" ht="14.25" customHeight="1">
      <c r="A275" s="66"/>
      <c r="D275" s="68"/>
      <c r="AC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</row>
    <row r="276" ht="14.25" customHeight="1">
      <c r="A276" s="66"/>
      <c r="D276" s="68"/>
      <c r="AC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</row>
    <row r="277" ht="14.25" customHeight="1">
      <c r="A277" s="66"/>
      <c r="D277" s="68"/>
      <c r="AC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</row>
    <row r="278" ht="14.25" customHeight="1">
      <c r="A278" s="66"/>
      <c r="D278" s="68"/>
      <c r="AC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</row>
    <row r="279" ht="14.25" customHeight="1">
      <c r="A279" s="66"/>
      <c r="D279" s="68"/>
      <c r="AC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</row>
    <row r="280" ht="14.25" customHeight="1">
      <c r="A280" s="66"/>
      <c r="D280" s="68"/>
      <c r="AC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</row>
    <row r="281" ht="14.25" customHeight="1">
      <c r="A281" s="66"/>
      <c r="D281" s="68"/>
      <c r="AC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</row>
    <row r="282" ht="14.25" customHeight="1">
      <c r="A282" s="66"/>
      <c r="D282" s="68"/>
      <c r="AC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</row>
    <row r="283" ht="14.25" customHeight="1">
      <c r="A283" s="66"/>
      <c r="D283" s="68"/>
      <c r="AC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</row>
    <row r="284" ht="14.25" customHeight="1">
      <c r="A284" s="66"/>
      <c r="D284" s="68"/>
      <c r="AC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</row>
    <row r="285" ht="14.25" customHeight="1">
      <c r="A285" s="66"/>
      <c r="D285" s="68"/>
      <c r="AC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</row>
    <row r="286" ht="14.25" customHeight="1">
      <c r="A286" s="66"/>
      <c r="D286" s="68"/>
      <c r="AC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</row>
    <row r="287" ht="14.25" customHeight="1">
      <c r="A287" s="66"/>
      <c r="D287" s="68"/>
      <c r="AC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5" width="16.86"/>
  </cols>
  <sheetData>
    <row r="1" ht="43.5" customHeight="1">
      <c r="A1" s="70" t="s">
        <v>506</v>
      </c>
      <c r="B1" s="71" t="s">
        <v>507</v>
      </c>
      <c r="C1" s="71" t="s">
        <v>508</v>
      </c>
      <c r="D1" s="71" t="s">
        <v>509</v>
      </c>
      <c r="E1" s="71" t="s">
        <v>510</v>
      </c>
      <c r="F1" s="71" t="s">
        <v>511</v>
      </c>
      <c r="G1" s="71" t="s">
        <v>512</v>
      </c>
      <c r="H1" s="72" t="s">
        <v>513</v>
      </c>
      <c r="I1" s="72" t="s">
        <v>514</v>
      </c>
      <c r="J1" s="72" t="s">
        <v>515</v>
      </c>
      <c r="K1" s="72" t="s">
        <v>516</v>
      </c>
      <c r="L1" s="72" t="s">
        <v>517</v>
      </c>
      <c r="M1" s="72" t="s">
        <v>518</v>
      </c>
      <c r="N1" s="73" t="s">
        <v>519</v>
      </c>
      <c r="O1" s="73" t="s">
        <v>520</v>
      </c>
      <c r="P1" s="73" t="s">
        <v>521</v>
      </c>
      <c r="Q1" s="73" t="s">
        <v>522</v>
      </c>
      <c r="R1" s="73" t="s">
        <v>523</v>
      </c>
      <c r="S1" s="73" t="s">
        <v>524</v>
      </c>
      <c r="T1" s="74" t="s">
        <v>525</v>
      </c>
      <c r="U1" s="74" t="s">
        <v>526</v>
      </c>
      <c r="V1" s="74" t="s">
        <v>527</v>
      </c>
      <c r="W1" s="74" t="s">
        <v>528</v>
      </c>
      <c r="X1" s="74" t="s">
        <v>529</v>
      </c>
      <c r="Y1" s="74" t="s">
        <v>530</v>
      </c>
      <c r="Z1" s="75" t="s">
        <v>531</v>
      </c>
      <c r="AA1" s="75" t="s">
        <v>532</v>
      </c>
      <c r="AB1" s="75" t="s">
        <v>533</v>
      </c>
      <c r="AC1" s="75" t="s">
        <v>534</v>
      </c>
      <c r="AD1" s="75" t="s">
        <v>535</v>
      </c>
      <c r="AE1" s="75" t="s">
        <v>536</v>
      </c>
      <c r="AF1" s="76" t="s">
        <v>537</v>
      </c>
      <c r="AG1" s="76" t="s">
        <v>538</v>
      </c>
      <c r="AH1" s="76" t="s">
        <v>539</v>
      </c>
      <c r="AI1" s="76" t="s">
        <v>540</v>
      </c>
      <c r="AJ1" s="76" t="s">
        <v>541</v>
      </c>
      <c r="AK1" s="76" t="s">
        <v>542</v>
      </c>
      <c r="AL1" s="77" t="s">
        <v>543</v>
      </c>
      <c r="AM1" s="78" t="s">
        <v>544</v>
      </c>
      <c r="AN1" s="77" t="s">
        <v>545</v>
      </c>
      <c r="AO1" s="78" t="s">
        <v>546</v>
      </c>
      <c r="AP1" s="77" t="s">
        <v>547</v>
      </c>
      <c r="AQ1" s="77" t="s">
        <v>548</v>
      </c>
      <c r="AR1" s="79" t="s">
        <v>549</v>
      </c>
      <c r="AS1" s="80" t="s">
        <v>550</v>
      </c>
      <c r="AT1" s="79" t="s">
        <v>551</v>
      </c>
      <c r="AU1" s="80" t="s">
        <v>552</v>
      </c>
      <c r="AV1" s="79" t="s">
        <v>553</v>
      </c>
      <c r="AW1" s="79" t="s">
        <v>554</v>
      </c>
      <c r="AX1" s="81" t="s">
        <v>555</v>
      </c>
      <c r="AY1" s="82" t="s">
        <v>556</v>
      </c>
      <c r="AZ1" s="82" t="s">
        <v>557</v>
      </c>
      <c r="BA1" s="82" t="s">
        <v>558</v>
      </c>
      <c r="BB1" s="81" t="s">
        <v>559</v>
      </c>
      <c r="BC1" s="81" t="s">
        <v>560</v>
      </c>
      <c r="BD1" s="83" t="s">
        <v>561</v>
      </c>
      <c r="BE1" s="84" t="s">
        <v>562</v>
      </c>
      <c r="BF1" s="83" t="s">
        <v>563</v>
      </c>
      <c r="BG1" s="83" t="s">
        <v>564</v>
      </c>
      <c r="BH1" s="83" t="s">
        <v>565</v>
      </c>
      <c r="BI1" s="83" t="s">
        <v>566</v>
      </c>
      <c r="BJ1" s="85" t="s">
        <v>567</v>
      </c>
      <c r="BK1" s="86" t="s">
        <v>568</v>
      </c>
      <c r="BL1" s="86" t="s">
        <v>569</v>
      </c>
      <c r="BM1" s="86" t="s">
        <v>570</v>
      </c>
      <c r="BN1" s="86" t="s">
        <v>571</v>
      </c>
      <c r="BO1" s="85" t="s">
        <v>572</v>
      </c>
      <c r="BP1" s="87" t="s">
        <v>573</v>
      </c>
      <c r="BQ1" s="87" t="s">
        <v>574</v>
      </c>
      <c r="BR1" s="87" t="s">
        <v>575</v>
      </c>
      <c r="BS1" s="87" t="s">
        <v>576</v>
      </c>
      <c r="BT1" s="87" t="s">
        <v>577</v>
      </c>
      <c r="BU1" s="87" t="s">
        <v>578</v>
      </c>
      <c r="BV1" s="88" t="s">
        <v>579</v>
      </c>
      <c r="BW1" s="88" t="s">
        <v>580</v>
      </c>
      <c r="BX1" s="88" t="s">
        <v>581</v>
      </c>
      <c r="BY1" s="88" t="s">
        <v>582</v>
      </c>
      <c r="BZ1" s="88" t="s">
        <v>583</v>
      </c>
      <c r="CA1" s="88" t="s">
        <v>584</v>
      </c>
      <c r="CB1" s="89" t="s">
        <v>585</v>
      </c>
      <c r="CC1" s="89" t="s">
        <v>586</v>
      </c>
      <c r="CD1" s="89" t="s">
        <v>587</v>
      </c>
      <c r="CE1" s="89" t="s">
        <v>588</v>
      </c>
      <c r="CF1" s="89" t="s">
        <v>589</v>
      </c>
      <c r="CG1" s="89" t="s">
        <v>590</v>
      </c>
      <c r="CH1" s="70" t="s">
        <v>591</v>
      </c>
      <c r="CI1" s="70" t="s">
        <v>592</v>
      </c>
      <c r="CJ1" s="70" t="s">
        <v>593</v>
      </c>
      <c r="CK1" s="70" t="s">
        <v>594</v>
      </c>
      <c r="CL1" s="70" t="s">
        <v>595</v>
      </c>
      <c r="CM1" s="70" t="s">
        <v>596</v>
      </c>
      <c r="CN1" s="71" t="s">
        <v>597</v>
      </c>
      <c r="CO1" s="71" t="s">
        <v>598</v>
      </c>
      <c r="CP1" s="71" t="s">
        <v>599</v>
      </c>
      <c r="CQ1" s="71" t="s">
        <v>600</v>
      </c>
      <c r="CR1" s="71" t="s">
        <v>601</v>
      </c>
      <c r="CS1" s="71" t="s">
        <v>602</v>
      </c>
      <c r="CT1" s="72" t="s">
        <v>603</v>
      </c>
      <c r="CU1" s="72" t="s">
        <v>604</v>
      </c>
      <c r="CV1" s="72" t="s">
        <v>605</v>
      </c>
      <c r="CW1" s="72" t="s">
        <v>606</v>
      </c>
      <c r="CX1" s="72" t="s">
        <v>607</v>
      </c>
      <c r="CY1" s="72" t="s">
        <v>608</v>
      </c>
      <c r="CZ1" s="90" t="s">
        <v>609</v>
      </c>
      <c r="DA1" s="73" t="s">
        <v>610</v>
      </c>
      <c r="DB1" s="90" t="s">
        <v>611</v>
      </c>
      <c r="DC1" s="90" t="s">
        <v>612</v>
      </c>
      <c r="DD1" s="90" t="s">
        <v>613</v>
      </c>
      <c r="DE1" s="90" t="s">
        <v>614</v>
      </c>
      <c r="DF1" s="74" t="s">
        <v>615</v>
      </c>
      <c r="DG1" s="74" t="s">
        <v>616</v>
      </c>
      <c r="DH1" s="74" t="s">
        <v>617</v>
      </c>
      <c r="DI1" s="74" t="s">
        <v>618</v>
      </c>
      <c r="DJ1" s="74" t="s">
        <v>619</v>
      </c>
      <c r="DK1" s="74" t="s">
        <v>620</v>
      </c>
      <c r="DL1" s="91" t="s">
        <v>621</v>
      </c>
      <c r="DM1" s="91" t="s">
        <v>622</v>
      </c>
      <c r="DN1" s="75" t="s">
        <v>623</v>
      </c>
      <c r="DO1" s="75" t="s">
        <v>624</v>
      </c>
      <c r="DP1" s="75" t="s">
        <v>625</v>
      </c>
      <c r="DQ1" s="75" t="s">
        <v>626</v>
      </c>
      <c r="DR1" s="82" t="s">
        <v>627</v>
      </c>
      <c r="DS1" s="82" t="s">
        <v>628</v>
      </c>
      <c r="DT1" s="82" t="s">
        <v>629</v>
      </c>
      <c r="DU1" s="82" t="s">
        <v>630</v>
      </c>
      <c r="DV1" s="82" t="s">
        <v>631</v>
      </c>
      <c r="DW1" s="82" t="s">
        <v>632</v>
      </c>
      <c r="DX1" s="84" t="s">
        <v>633</v>
      </c>
      <c r="DY1" s="84" t="s">
        <v>634</v>
      </c>
      <c r="DZ1" s="84" t="s">
        <v>635</v>
      </c>
      <c r="EA1" s="84" t="s">
        <v>636</v>
      </c>
      <c r="EB1" s="84" t="s">
        <v>637</v>
      </c>
      <c r="EC1" s="84" t="s">
        <v>638</v>
      </c>
      <c r="ED1" s="86" t="s">
        <v>639</v>
      </c>
      <c r="EE1" s="86" t="s">
        <v>640</v>
      </c>
      <c r="EF1" s="86" t="s">
        <v>641</v>
      </c>
      <c r="EG1" s="86" t="s">
        <v>642</v>
      </c>
      <c r="EH1" s="86" t="s">
        <v>643</v>
      </c>
      <c r="EI1" s="86" t="s">
        <v>644</v>
      </c>
      <c r="EJ1" s="87" t="s">
        <v>645</v>
      </c>
      <c r="EK1" s="87" t="s">
        <v>646</v>
      </c>
      <c r="EL1" s="87" t="s">
        <v>647</v>
      </c>
      <c r="EM1" s="87" t="s">
        <v>648</v>
      </c>
      <c r="EN1" s="87" t="s">
        <v>649</v>
      </c>
      <c r="EO1" s="87" t="s">
        <v>650</v>
      </c>
      <c r="EP1" s="88" t="s">
        <v>651</v>
      </c>
      <c r="EQ1" s="88" t="s">
        <v>652</v>
      </c>
      <c r="ER1" s="88" t="s">
        <v>653</v>
      </c>
      <c r="ES1" s="88" t="s">
        <v>654</v>
      </c>
      <c r="ET1" s="88" t="s">
        <v>655</v>
      </c>
      <c r="EU1" s="88" t="s">
        <v>656</v>
      </c>
      <c r="EV1" s="89" t="s">
        <v>657</v>
      </c>
      <c r="EW1" s="89" t="s">
        <v>658</v>
      </c>
      <c r="EX1" s="89" t="s">
        <v>659</v>
      </c>
      <c r="EY1" s="89" t="s">
        <v>660</v>
      </c>
      <c r="EZ1" s="89" t="s">
        <v>661</v>
      </c>
      <c r="FA1" s="89" t="s">
        <v>662</v>
      </c>
      <c r="FB1" s="70" t="s">
        <v>663</v>
      </c>
      <c r="FC1" s="70" t="s">
        <v>664</v>
      </c>
      <c r="FD1" s="70" t="s">
        <v>665</v>
      </c>
      <c r="FE1" s="70" t="s">
        <v>666</v>
      </c>
      <c r="FF1" s="70" t="s">
        <v>667</v>
      </c>
      <c r="FG1" s="70" t="s">
        <v>668</v>
      </c>
      <c r="FH1" s="92" t="s">
        <v>669</v>
      </c>
      <c r="FI1" s="71" t="s">
        <v>670</v>
      </c>
      <c r="FJ1" s="71" t="s">
        <v>671</v>
      </c>
      <c r="FK1" s="71" t="s">
        <v>672</v>
      </c>
      <c r="FL1" s="71" t="s">
        <v>673</v>
      </c>
      <c r="FM1" s="71" t="s">
        <v>674</v>
      </c>
      <c r="FN1" s="72" t="s">
        <v>675</v>
      </c>
      <c r="FO1" s="72" t="s">
        <v>676</v>
      </c>
      <c r="FP1" s="72" t="s">
        <v>677</v>
      </c>
      <c r="FQ1" s="93" t="s">
        <v>678</v>
      </c>
      <c r="FR1" s="72" t="s">
        <v>679</v>
      </c>
      <c r="FS1" s="93" t="s">
        <v>680</v>
      </c>
      <c r="FT1" s="73" t="s">
        <v>681</v>
      </c>
      <c r="FU1" s="90" t="s">
        <v>682</v>
      </c>
      <c r="FV1" s="73" t="s">
        <v>683</v>
      </c>
      <c r="FW1" s="73" t="s">
        <v>684</v>
      </c>
      <c r="FX1" s="73" t="s">
        <v>685</v>
      </c>
      <c r="FY1" s="90" t="s">
        <v>686</v>
      </c>
      <c r="FZ1" s="74" t="s">
        <v>687</v>
      </c>
      <c r="GA1" s="74" t="s">
        <v>688</v>
      </c>
      <c r="GB1" s="74" t="s">
        <v>689</v>
      </c>
      <c r="GC1" s="94" t="s">
        <v>690</v>
      </c>
      <c r="GD1" s="74" t="s">
        <v>691</v>
      </c>
      <c r="GE1" s="94" t="s">
        <v>692</v>
      </c>
      <c r="GF1" s="75" t="s">
        <v>693</v>
      </c>
      <c r="GG1" s="75" t="s">
        <v>694</v>
      </c>
      <c r="GH1" s="91" t="s">
        <v>695</v>
      </c>
      <c r="GI1" s="75" t="s">
        <v>696</v>
      </c>
      <c r="GJ1" s="75" t="s">
        <v>697</v>
      </c>
      <c r="GK1" s="75" t="s">
        <v>698</v>
      </c>
      <c r="GL1" s="95" t="s">
        <v>699</v>
      </c>
      <c r="GM1" s="76" t="s">
        <v>700</v>
      </c>
      <c r="GN1" s="76" t="s">
        <v>701</v>
      </c>
      <c r="GO1" s="76" t="s">
        <v>702</v>
      </c>
      <c r="GP1" s="95" t="s">
        <v>703</v>
      </c>
      <c r="GQ1" s="76" t="s">
        <v>704</v>
      </c>
      <c r="GR1" s="76" t="s">
        <v>705</v>
      </c>
      <c r="GS1" s="77" t="s">
        <v>706</v>
      </c>
      <c r="GT1" s="96" t="s">
        <v>707</v>
      </c>
      <c r="GU1" s="97" t="s">
        <v>708</v>
      </c>
      <c r="GV1" s="98" t="s">
        <v>709</v>
      </c>
      <c r="GW1" s="95" t="s">
        <v>710</v>
      </c>
    </row>
    <row r="2" ht="14.25" customHeight="1">
      <c r="A2" s="99" t="str">
        <f>'Fórmula'!A2</f>
        <v>SrYAl3O7</v>
      </c>
      <c r="B2" s="100">
        <f t="array" ref="B2">(('Fórmula'!C2)/('Fórmula'!C2+'Fórmula'!E2+'Fórmula'!G2+'Fórmula'!I2+'Fórmula'!K2))*(INDEX(properties!A$1:CB$87,'Fórmula'!B2,3))+(('Fórmula'!E2)/('Fórmula'!C2+'Fórmula'!E2+'Fórmula'!G2+'Fórmula'!I2+'Fórmula'!K2))*(INDEX(properties!A$1:CB$87,'Fórmula'!D2,3))+(('Fórmula'!G2)/('Fórmula'!C2+'Fórmula'!E2+'Fórmula'!G2+'Fórmula'!I2+'Fórmula'!K2))*(INDEX(properties!A$1:CB$87,'Fórmula'!F2,3))+(('Fórmula'!I2)/('Fórmula'!C2+'Fórmula'!E2+'Fórmula'!G2+'Fórmula'!I2+'Fórmula'!K2))*(INDEX(properties!A$1:CB$87,'Fórmula'!H2,3))+(('Fórmula'!K2)/('Fórmula'!C2+'Fórmula'!E2+'Fórmula'!G2+'Fórmula'!I2+'Fórmula'!K2))*(INDEX(properties!A$1:CB$87,'Fórmula'!J2,3))</f>
        <v>30.78885475</v>
      </c>
      <c r="C2" s="101">
        <f t="array" ref="C2">'Fórmula'!C2*(INDEX(properties!A$1:CB$87,'Fórmula'!B2,3))+'Fórmula'!E2*(INDEX(properties!A$1:CB$87,'Fórmula'!D2,3))+'Fórmula'!G2*(INDEX(properties!A$1:CB$87,'Fórmula'!F2,3))+'Fórmula'!I2*(INDEX(properties!A$1:CB$87,'Fórmula'!H2,3))+'Fórmula'!K2*(INDEX(properties!A$1:CB$87,'Fórmula'!J2,3))</f>
        <v>369.466257</v>
      </c>
      <c r="D2" s="101">
        <f t="array" ref="D2">VARP(IF(INDEX(properties!A$1:CB$87,'Fórmula'!B2,3)&lt;&gt;"",INDEX(properties!A$1:CB$87,'Fórmula'!B2,3)),IF(INDEX(properties!A$1:CB$87,'Fórmula'!D2,3)&lt;&gt;"",INDEX(properties!A$1:CB$87,'Fórmula'!D2,3)),IF(INDEX(properties!A$1:CB$87,'Fórmula'!F2,3)&lt;&gt;"",INDEX(properties!A$1:CB$87,'Fórmula'!F2,3)),IF(INDEX(properties!A$1:CB$87,'Fórmula'!H2,3)&lt;&gt;"",INDEX(properties!A$1:CB$87,'Fórmula'!H2,3)),IF(INDEX(properties!A$1:CB$87,'Fórmula'!J2,3)&lt;&gt;"",INDEX(properties!A$1:CB$87,'Fórmula'!J2,3)))</f>
        <v>1385.770366</v>
      </c>
      <c r="E2" s="101">
        <f t="array" ref="E2">MAX(INDEX(properties!A$1:CB$87,'Fórmula'!B2,3),INDEX(properties!A$1:CB$87,'Fórmula'!D2,3),INDEX(properties!A$1:CB$87,'Fórmula'!F2,3),INDEX(properties!A$1:CB$87,'Fórmula'!H2,3),INDEX(properties!A$1:CB$87,'Fórmula'!J2,3))</f>
        <v>88.90584</v>
      </c>
      <c r="F2" s="101">
        <f t="array" ref="F2">MIN(IF(INDEX(properties!A$1:CB$87,'Fórmula'!B2,3)=0,10^6,INDEX(properties!A$1:CB$87,'Fórmula'!B2,3)),IF(INDEX(properties!A$1:CB$87,'Fórmula'!D2,3)=0,10^6,INDEX(properties!A$1:CB$87,'Fórmula'!D2,3)),IF(INDEX(properties!A$1:CB$87,'Fórmula'!F2,3)=0,10^6,INDEX(properties!A$1:CB$87,'Fórmula'!F2,3)),IF(INDEX(properties!A$1:CB$87,'Fórmula'!H2,3)=0,10^6,INDEX(properties!A$1:CB$87,'Fórmula'!H2,3)),IF(INDEX(properties!A$1:CB$87,'Fórmula'!J2,3)=0,10^6,INDEX(properties!A$1:CB$87,'Fórmula'!J2,3)))</f>
        <v>15.9994</v>
      </c>
      <c r="G2" s="101">
        <f t="shared" ref="G2:G123" si="1">ABS(E2-F2)</f>
        <v>72.90644</v>
      </c>
      <c r="H2" s="102">
        <f t="array" ref="H2">(('Fórmula'!C2)/('Fórmula'!C2+'Fórmula'!E2+'Fórmula'!G2+'Fórmula'!I2+'Fórmula'!K2))*(INDEX(properties!A$1:CB$87,'Fórmula'!B2,4))+(('Fórmula'!E2)/('Fórmula'!C2+'Fórmula'!E2+'Fórmula'!G2+'Fórmula'!I2+'Fórmula'!K2))*(INDEX(properties!A$1:CB$87,'Fórmula'!D2,4))+(('Fórmula'!G2)/('Fórmula'!C2+'Fórmula'!E2+'Fórmula'!G2+'Fórmula'!I2+'Fórmula'!K2))*(INDEX(properties!A$1:CB$87,'Fórmula'!F2,4))+(('Fórmula'!I2)/('Fórmula'!C2+'Fórmula'!E2+'Fórmula'!G2+'Fórmula'!I2+'Fórmula'!K2))*(INDEX(properties!A$1:CB$87,'Fórmula'!H2,4))+(('Fórmula'!K2)/('Fórmula'!C2+'Fórmula'!E2+'Fórmula'!G2+'Fórmula'!I2+'Fórmula'!K2))*(INDEX(properties!A$1:CB$87,'Fórmula'!J2,4))</f>
        <v>14.33333333</v>
      </c>
      <c r="I2" s="102">
        <f t="array" ref="I2">'Fórmula'!C2*(INDEX(properties!A$1:CB$87,'Fórmula'!B2,4))+'Fórmula'!E2*(INDEX(properties!A$1:CB$87,'Fórmula'!D2,4))+'Fórmula'!G2*(INDEX(properties!A$1:CB$87,'Fórmula'!F2,4))+'Fórmula'!I2*(INDEX(properties!A$1:CB$87,'Fórmula'!H2,4))+'Fórmula'!K2*(INDEX(properties!A$1:CB$87,'Fórmula'!J2,4))</f>
        <v>172</v>
      </c>
      <c r="J2" s="102">
        <f t="array" ref="J2">VARP(IF(INDEX(properties!A$1:CB$87,'Fórmula'!B2,4)&lt;&gt;"",INDEX(properties!A$1:CB$87,'Fórmula'!B2,4)),IF(INDEX(properties!A$1:CB$87,'Fórmula'!D2,4)&lt;&gt;"",INDEX(properties!A$1:CB$87,'Fórmula'!D2,4)),IF(INDEX(properties!A$1:CB$87,'Fórmula'!F2,4)&lt;&gt;"",INDEX(properties!A$1:CB$87,'Fórmula'!F2,4)),IF(INDEX(properties!A$1:CB$87,'Fórmula'!H2,4)&lt;&gt;"",INDEX(properties!A$1:CB$87,'Fórmula'!H2,4)),IF(INDEX(properties!A$1:CB$87,'Fórmula'!J2,4)&lt;&gt;"",INDEX(properties!A$1:CB$87,'Fórmula'!J2,4)))</f>
        <v>255.44</v>
      </c>
      <c r="K2" s="102">
        <f t="array" ref="K2">MAX(INDEX(properties!A$1:CB$87,'Fórmula'!B2,4),INDEX(properties!A$1:CB$87,'Fórmula'!D2,4),INDEX(properties!A$1:CB$87,'Fórmula'!F2,4),INDEX(properties!A$1:CB$87,'Fórmula'!H2,4),INDEX(properties!A$1:CB$87,'Fórmula'!J2,4))</f>
        <v>39</v>
      </c>
      <c r="L2" s="102">
        <f t="array" ref="L2">MIN(IF(INDEX(properties!A$1:CB$87,'Fórmula'!B2,4)=0,10^6,INDEX(properties!A$1:CB$87,'Fórmula'!B2,4)),IF(INDEX(properties!A$1:CB$87,'Fórmula'!D2,4)=0,10^6,INDEX(properties!A$1:CB$87,'Fórmula'!D2,4)),IF(INDEX(properties!A$1:CB$87,'Fórmula'!F2,4)=0,10^6,INDEX(properties!A$1:CB$87,'Fórmula'!F2,4)),IF(INDEX(properties!A$1:CB$87,'Fórmula'!H2,4)=0,10^6,INDEX(properties!A$1:CB$87,'Fórmula'!H2,4)),IF(INDEX(properties!A$1:CB$87,'Fórmula'!J2,4)=0,10^6,INDEX(properties!A$1:CB$87,'Fórmula'!J2,4)))</f>
        <v>8</v>
      </c>
      <c r="M2" s="102">
        <f t="shared" ref="M2:M123" si="2">ABS(K2-L2)</f>
        <v>31</v>
      </c>
      <c r="N2" s="103">
        <f t="array" ref="N2">(('Fórmula'!C2)/('Fórmula'!C2+'Fórmula'!E2+'Fórmula'!G2+'Fórmula'!I2+'Fórmula'!K2))*(INDEX(properties!A$1:CB$87,'Fórmula'!B2,5))+(('Fórmula'!E2)/('Fórmula'!C2+'Fórmula'!E2+'Fórmula'!G2+'Fórmula'!I2+'Fórmula'!K2))*(INDEX(properties!A$1:CB$87,'Fórmula'!D2,5))+(('Fórmula'!G2)/('Fórmula'!C2+'Fórmula'!E2+'Fórmula'!G2+'Fórmula'!I2+'Fórmula'!K2))*(INDEX(properties!A$1:CB$87,'Fórmula'!F2,5))+(('Fórmula'!I2)/('Fórmula'!C2+'Fórmula'!E2+'Fórmula'!G2+'Fórmula'!I2+'Fórmula'!K2))*(INDEX(properties!A$1:CB$87,'Fórmula'!H2,5))+(('Fórmula'!K2)/('Fórmula'!C2+'Fórmula'!E2+'Fórmula'!G2+'Fórmula'!I2+'Fórmula'!K2))*(INDEX(properties!A$1:CB$87,'Fórmula'!J2,5))</f>
        <v>2.75</v>
      </c>
      <c r="O2" s="103">
        <f t="array" ref="O2">'Fórmula'!C2*(INDEX(properties!A$1:CB$87,'Fórmula'!B2,5))+'Fórmula'!E2*(INDEX(properties!A$1:CB$87,'Fórmula'!D2,5))+'Fórmula'!G2*(INDEX(properties!A$1:CB$87,'Fórmula'!F2,5))+'Fórmula'!I2*(INDEX(properties!A$1:CB$87,'Fórmula'!H2,5))+'Fórmula'!K2*(INDEX(properties!A$1:CB$87,'Fórmula'!J2,5))</f>
        <v>33</v>
      </c>
      <c r="P2" s="103">
        <f t="array" ref="P2">VARP(IF(INDEX(properties!A$1:CB$87,'Fórmula'!B2,5)&lt;&gt;"",INDEX(properties!A$1:CB$87,'Fórmula'!B2,5)),IF(INDEX(properties!A$1:CB$87,'Fórmula'!D2,5)&lt;&gt;"",INDEX(properties!A$1:CB$87,'Fórmula'!D2,5)),IF(INDEX(properties!A$1:CB$87,'Fórmula'!F2,5)&lt;&gt;"",INDEX(properties!A$1:CB$87,'Fórmula'!F2,5)),IF(INDEX(properties!A$1:CB$87,'Fórmula'!H2,5)&lt;&gt;"",INDEX(properties!A$1:CB$87,'Fórmula'!H2,5)),IF(INDEX(properties!A$1:CB$87,'Fórmula'!J2,5)&lt;&gt;"",INDEX(properties!A$1:CB$87,'Fórmula'!J2,5)))</f>
        <v>3.6</v>
      </c>
      <c r="Q2" s="103">
        <f t="array" ref="Q2">MAX(INDEX(properties!A$1:CB$87,'Fórmula'!B2,5),INDEX(properties!A$1:CB$87,'Fórmula'!D2,5),INDEX(properties!A$1:CB$87,'Fórmula'!F2,5),INDEX(properties!A$1:CB$87,'Fórmula'!H2,5),INDEX(properties!A$1:CB$87,'Fórmula'!J2,5))</f>
        <v>5</v>
      </c>
      <c r="R2" s="103">
        <f t="array" ref="R2">MIN(IF(INDEX(properties!A$1:CB$87,'Fórmula'!B2,5)=0,10^6,INDEX(properties!A$1:CB$87,'Fórmula'!B2,5)),IF(INDEX(properties!A$1:CB$87,'Fórmula'!D2,5)=0,10^6,INDEX(properties!A$1:CB$87,'Fórmula'!D2,5)),IF(INDEX(properties!A$1:CB$87,'Fórmula'!F2,5)=0,10^6,INDEX(properties!A$1:CB$87,'Fórmula'!F2,5)),IF(INDEX(properties!A$1:CB$87,'Fórmula'!H2,5)=0,10^6,INDEX(properties!A$1:CB$87,'Fórmula'!H2,5)),IF(INDEX(properties!A$1:CB$87,'Fórmula'!J2,5)=0,10^6,INDEX(properties!A$1:CB$87,'Fórmula'!J2,5)))</f>
        <v>2</v>
      </c>
      <c r="S2" s="103">
        <f t="shared" ref="S2:S123" si="3">ABS(Q2-R2)</f>
        <v>3</v>
      </c>
      <c r="T2" s="104">
        <f t="array" ref="T2">(('Fórmula'!C2)/('Fórmula'!C2+'Fórmula'!E2+'Fórmula'!G2+'Fórmula'!I2+'Fórmula'!K2))*(INDEX(properties!A$1:CB$87,'Fórmula'!B2,6))+(('Fórmula'!E2)/('Fórmula'!C2+'Fórmula'!E2+'Fórmula'!G2+'Fórmula'!I2+'Fórmula'!K2))*(INDEX(properties!A$1:CB$87,'Fórmula'!D2,6))+(('Fórmula'!G2)/('Fórmula'!C2+'Fórmula'!E2+'Fórmula'!G2+'Fórmula'!I2+'Fórmula'!K2))*(INDEX(properties!A$1:CB$87,'Fórmula'!F2,6))+(('Fórmula'!I2)/('Fórmula'!C2+'Fórmula'!E2+'Fórmula'!G2+'Fórmula'!I2+'Fórmula'!K2))*(INDEX(properties!A$1:CB$87,'Fórmula'!H2,6))+(('Fórmula'!K2)/('Fórmula'!C2+'Fórmula'!E2+'Fórmula'!G2+'Fórmula'!I2+'Fórmula'!K2))*(INDEX(properties!A$1:CB$87,'Fórmula'!J2,6))</f>
        <v>13</v>
      </c>
      <c r="U2" s="104">
        <f t="array" ref="U2">'Fórmula'!C2*(INDEX(properties!A$1:CB$87,'Fórmula'!B2,6))+'Fórmula'!E2*(INDEX(properties!A$1:CB$87,'Fórmula'!D2,6))+'Fórmula'!G2*(INDEX(properties!A$1:CB$87,'Fórmula'!F2,6))+'Fórmula'!I2*(INDEX(properties!A$1:CB$87,'Fórmula'!H2,6))+'Fórmula'!K2*(INDEX(properties!A$1:CB$87,'Fórmula'!J2,6))</f>
        <v>156</v>
      </c>
      <c r="V2" s="103">
        <f t="array" ref="V2">VARP(IF(INDEX(properties!A$1:CB$87,'Fórmula'!B2,6)&lt;&gt;"",INDEX(properties!A$1:CB$87,'Fórmula'!B2,6)),IF(INDEX(properties!A$1:CB$87,'Fórmula'!D2,6)&lt;&gt;"",INDEX(properties!A$1:CB$87,'Fórmula'!D2,6)),IF(INDEX(properties!A$1:CB$87,'Fórmula'!F2,6)&lt;&gt;"",INDEX(properties!A$1:CB$87,'Fórmula'!F2,6)),IF(INDEX(properties!A$1:CB$87,'Fórmula'!H2,6)&lt;&gt;"",INDEX(properties!A$1:CB$87,'Fórmula'!H2,6)),IF(INDEX(properties!A$1:CB$87,'Fórmula'!J2,6)&lt;&gt;"",INDEX(properties!A$1:CB$87,'Fórmula'!J2,6)))</f>
        <v>41.36</v>
      </c>
      <c r="W2" s="104">
        <f t="array" ref="W2">MAX(INDEX(properties!A$1:CB$87,'Fórmula'!B2,6),INDEX(properties!A$1:CB$87,'Fórmula'!D2,6),INDEX(properties!A$1:CB$87,'Fórmula'!F2,6),INDEX(properties!A$1:CB$87,'Fórmula'!H2,4),INDEX(properties!A$1:CB$87,'Fórmula'!J2,6))</f>
        <v>13</v>
      </c>
      <c r="X2" s="104">
        <f t="array" ref="X2">MIN(IF(INDEX(properties!A$1:CB$87,'Fórmula'!B2,6)=0,10^6,INDEX(properties!A$1:CB$87,'Fórmula'!B2,6)),IF(INDEX(properties!A$1:CB$87,'Fórmula'!D2,6)=0,10^6,INDEX(properties!A$1:CB$87,'Fórmula'!D2,6)),IF(INDEX(properties!A$1:CB$87,'Fórmula'!F2,6)=0,10^6,INDEX(properties!A$1:CB$87,'Fórmula'!F2,6)),IF(INDEX(properties!A$1:CB$87,'Fórmula'!H2,6)=0,10^6,INDEX(properties!A$1:CB$87,'Fórmula'!H2,6)),IF(INDEX(properties!A$1:CB$87,'Fórmula'!J2,6)=0,10^6,INDEX(properties!A$1:CB$87,'Fórmula'!J2,6)))</f>
        <v>2</v>
      </c>
      <c r="Y2" s="104">
        <f t="shared" ref="Y2:Y123" si="4">ABS(W2-X2)</f>
        <v>11</v>
      </c>
      <c r="Z2" s="105">
        <f t="array" ref="Z2">(('Fórmula'!C2)/('Fórmula'!C2+'Fórmula'!E2+'Fórmula'!G2+'Fórmula'!I2+'Fórmula'!K2))*(INDEX(properties!A$1:CB$87,'Fórmula'!B2,9))+(('Fórmula'!E2)/('Fórmula'!C2+'Fórmula'!E2+'Fórmula'!G2+'Fórmula'!I2+'Fórmula'!K2))*(INDEX(properties!A$1:CB$87,'Fórmula'!D2,9))+(('Fórmula'!G2)/('Fórmula'!C2+'Fórmula'!E2+'Fórmula'!G2+'Fórmula'!I2+'Fórmula'!K2))*(INDEX(properties!A$1:CB$87,'Fórmula'!F2,9))+(('Fórmula'!I2)/('Fórmula'!C2+'Fórmula'!E2+'Fórmula'!G2+'Fórmula'!I2+'Fórmula'!K2))*(INDEX(properties!A$1:CB$87,'Fórmula'!H2,9))+(('Fórmula'!K2)/('Fórmula'!C2+'Fórmula'!E2+'Fórmula'!G2+'Fórmula'!I2+'Fórmula'!K2))*(INDEX(properties!A$1:CB$87,'Fórmula'!J2,9))</f>
        <v>70.66666667</v>
      </c>
      <c r="AA2" s="105">
        <f t="array" ref="AA2">'Fórmula'!C2*(INDEX(properties!A$1:CB$87,'Fórmula'!B2,9))+'Fórmula'!E2*(INDEX(properties!A$1:CB$87,'Fórmula'!D2,9))+'Fórmula'!G2*(INDEX(properties!A$1:CB$87,'Fórmula'!F2,9))+'Fórmula'!I2*(INDEX(properties!A$1:CB$87,'Fórmula'!H2,9))+'Fórmula'!K2*(INDEX(properties!A$1:CB$87,'Fórmula'!J2,9))</f>
        <v>848</v>
      </c>
      <c r="AB2" s="105">
        <f t="array" ref="AB2">VARP(IF(INDEX(properties!A$1:CB$87,'Fórmula'!B2,9)&lt;&gt;"",INDEX(properties!A$1:CB$87,'Fórmula'!B2,9)),IF(INDEX(properties!A$1:CB$87,'Fórmula'!D2,9)&lt;&gt;"",INDEX(properties!A$1:CB$87,'Fórmula'!D2,9)),IF(INDEX(properties!A$1:CB$87,'Fórmula'!F2,9)&lt;&gt;"",INDEX(properties!A$1:CB$87,'Fórmula'!F2,9)),IF(INDEX(properties!A$1:CB$87,'Fórmula'!H2,9)&lt;&gt;"",INDEX(properties!A$1:CB$87,'Fórmula'!H2,9)),IF(INDEX(properties!A$1:CB$87,'Fórmula'!J2,9)&lt;&gt;"",INDEX(properties!A$1:CB$87,'Fórmula'!J2,9)))</f>
        <v>1325.2</v>
      </c>
      <c r="AC2" s="105">
        <f t="array" ref="AC2">MAX(INDEX(properties!A$1:CB$87,'Fórmula'!B2,9),INDEX(properties!A$1:CB$87,'Fórmula'!D2,9),INDEX(properties!A$1:CB$87,'Fórmula'!F2,9),INDEX(properties!A$1:CB$87,'Fórmula'!H2,9),INDEX(properties!A$1:CB$87,'Fórmula'!J2,9))</f>
        <v>87</v>
      </c>
      <c r="AD2" s="105">
        <f t="array" ref="AD2">MIN(IF(INDEX(properties!A$1:CB$87,'Fórmula'!B2,9)=0,10^6,INDEX(properties!A$1:CB$87,'Fórmula'!B2,9)),IF(INDEX(properties!A$1:CB$87,'Fórmula'!D2,9)=0,10^6,INDEX(properties!A$1:CB$87,'Fórmula'!D2,9)),IF(INDEX(properties!A$1:CB$87,'Fórmula'!F2,9)=0,10^6,INDEX(properties!A$1:CB$87,'Fórmula'!F2,9)),IF(INDEX(properties!A$1:CB$87,'Fórmula'!H2,9)=0,10^6,INDEX(properties!A$1:CB$87,'Fórmula'!H2,9)),IF(INDEX(properties!A$1:CB$87,'Fórmula'!J2,9)=0,10^6,INDEX(properties!A$1:CB$87,'Fórmula'!J2,9)))</f>
        <v>8</v>
      </c>
      <c r="AE2" s="105">
        <f t="shared" ref="AE2:AE123" si="5">ABS(AC2-AD2)</f>
        <v>79</v>
      </c>
      <c r="AF2" s="106">
        <f t="array" ref="AF2">(('Fórmula'!C2)/('Fórmula'!C2+'Fórmula'!E2+'Fórmula'!G2+'Fórmula'!I2+'Fórmula'!K2))*(INDEX(properties!A$1:CB$87,'Fórmula'!B2,10))+(('Fórmula'!E2)/('Fórmula'!C2+'Fórmula'!E2+'Fórmula'!G2+'Fórmula'!I2+'Fórmula'!K2))*(INDEX(properties!A$1:CB$87,'Fórmula'!D2,10))+(('Fórmula'!G2)/('Fórmula'!C2+'Fórmula'!E2+'Fórmula'!G2+'Fórmula'!I2+'Fórmula'!K2))*(INDEX(properties!A$1:CB$87,'Fórmula'!F2,10))+(('Fórmula'!I2)/('Fórmula'!C2+'Fórmula'!E2+'Fórmula'!G2+'Fórmula'!I2+'Fórmula'!K2))*(INDEX(properties!A$1:CB$87,'Fórmula'!H2,10))+(('Fórmula'!K2)/('Fórmula'!C2+'Fórmula'!E2+'Fórmula'!G2+'Fórmula'!I2+'Fórmula'!K2))*(INDEX(properties!A$1:CB$87,'Fórmula'!J2,10))</f>
        <v>5.75</v>
      </c>
      <c r="AG2" s="106">
        <f t="array" ref="AG2">'Fórmula'!C2*(INDEX(properties!A$1:CB$87,'Fórmula'!B2,10))+'Fórmula'!E2*(INDEX(properties!A$1:CB$87,'Fórmula'!D2,10))+'Fórmula'!G2*(INDEX(properties!A$1:CB$87,'Fórmula'!F2,10))+'Fórmula'!I2*(INDEX(properties!A$1:CB$87,'Fórmula'!H2,10))+'Fórmula'!K2*(INDEX(properties!A$1:CB$87,'Fórmula'!J2,10))</f>
        <v>69</v>
      </c>
      <c r="AH2" s="106">
        <f t="array" ref="AH2">VARP(IF(INDEX(properties!A$1:CB$87,'Fórmula'!B2,10)&lt;&gt;"",INDEX(properties!A$1:CB$87,'Fórmula'!B2,10)),IF(INDEX(properties!A$1:CB$87,'Fórmula'!D2,10)&lt;&gt;"",INDEX(properties!A$1:CB$87,'Fórmula'!D2,10)),IF(INDEX(properties!A$1:CB$87,'Fórmula'!F2,10)&lt;&gt;"",INDEX(properties!A$1:CB$87,'Fórmula'!F2,10)),IF(INDEX(properties!A$1:CB$87,'Fórmula'!H2,10)&lt;&gt;"",INDEX(properties!A$1:CB$87,'Fórmula'!H2,10)),IF(INDEX(properties!A$1:CB$87,'Fórmula'!J2,10)&lt;&gt;"",INDEX(properties!A$1:CB$87,'Fórmula'!J2,10)))</f>
        <v>5.84</v>
      </c>
      <c r="AI2" s="106">
        <f t="array" ref="AI2">MAX(INDEX(properties!A$1:CB$87,'Fórmula'!B2,10),INDEX(properties!A$1:CB$87,'Fórmula'!D2,10),INDEX(properties!A$1:CB$87,'Fórmula'!F2,10),INDEX(properties!A$1:CB$87,'Fórmula'!H2,10),INDEX(properties!A$1:CB$87,'Fórmula'!J2,10))</f>
        <v>7</v>
      </c>
      <c r="AJ2" s="106">
        <f t="array" ref="AJ2">MIN(IF(INDEX(properties!A$1:CB$87,'Fórmula'!B2,10)=0,10^6,INDEX(properties!A$1:CB$87,'Fórmula'!B2,10)),IF(INDEX(properties!A$1:CB$87,'Fórmula'!D2,10)=0,10^6,INDEX(properties!A$1:CB$87,'Fórmula'!D2,10)),IF(INDEX(properties!A$1:CB$87,'Fórmula'!F2,10)=0,10^6,INDEX(properties!A$1:CB$87,'Fórmula'!F2,10)),IF(INDEX(properties!A$1:CB$87,'Fórmula'!H2,10)=0,10^6,INDEX(properties!A$1:CB$87,'Fórmula'!H2,10)),IF(INDEX(properties!A$1:CB$87,'Fórmula'!J2,10)=0,10^6,INDEX(properties!A$1:CB$87,'Fórmula'!J2,10)))</f>
        <v>2</v>
      </c>
      <c r="AK2" s="106">
        <f t="shared" ref="AK2:AK123" si="6">ABS(AI2-AJ2)</f>
        <v>5</v>
      </c>
      <c r="AL2" s="107">
        <f t="array" ref="AL2">(('Fórmula'!C2)/('Fórmula'!C2+'Fórmula'!E2+'Fórmula'!G2+'Fórmula'!I2+'Fórmula'!K2))*(INDEX(properties!A$1:CB$87,'Fórmula'!B2,11))+(('Fórmula'!E2)/('Fórmula'!C2+'Fórmula'!E2+'Fórmula'!G2+'Fórmula'!I2+'Fórmula'!K2))*(INDEX(properties!A$1:CB$87,'Fórmula'!D2,11))+(('Fórmula'!G2)/('Fórmula'!C2+'Fórmula'!E2+'Fórmula'!G2+'Fórmula'!I2+'Fórmula'!K2))*(INDEX(properties!A$1:CB$87,'Fórmula'!F2,11))+(('Fórmula'!I2)/('Fórmula'!C2+'Fórmula'!E2+'Fórmula'!G2+'Fórmula'!I2+'Fórmula'!K2))*(INDEX(properties!A$1:CB$87,'Fórmula'!H2,11))+(('Fórmula'!K2)/('Fórmula'!C2+'Fórmula'!E2+'Fórmula'!G2+'Fórmula'!I2+'Fórmula'!K2))*(INDEX(properties!A$1:CB$87,'Fórmula'!J2,11))</f>
        <v>2</v>
      </c>
      <c r="AM2" s="107">
        <f t="array" ref="AM2">'Fórmula'!C2*(INDEX(properties!A$1:CB$87,'Fórmula'!B2,11))+'Fórmula'!E2*(INDEX(properties!A$1:CB$87,'Fórmula'!D2,11))+'Fórmula'!G2*(INDEX(properties!A$1:CB$87,'Fórmula'!F2,11))+'Fórmula'!I2*(INDEX(properties!A$1:CB$87,'Fórmula'!H2,11))+'Fórmula'!K2*(INDEX(properties!A$1:CB$87,'Fórmula'!J2,11))</f>
        <v>24</v>
      </c>
      <c r="AN2" s="107">
        <f t="array" ref="AN2">VARP(IF(INDEX(properties!A$1:CB$87,'Fórmula'!B2,11)&lt;&gt;"",INDEX(properties!A$1:CB$87,'Fórmula'!B2,11)),IF(INDEX(properties!A$1:CB$87,'Fórmula'!D2,11)&lt;&gt;"",INDEX(properties!A$1:CB$87,'Fórmula'!D2,11)),IF(INDEX(properties!A$1:CB$87,'Fórmula'!F2,11)&lt;&gt;"",INDEX(properties!A$1:CB$87,'Fórmula'!F2,11)),IF(INDEX(properties!A$1:CB$87,'Fórmula'!H2,11)&lt;&gt;"",INDEX(properties!A$1:CB$87,'Fórmula'!H2,11)),IF(INDEX(properties!A$1:CB$87,'Fórmula'!J2,11)&lt;&gt;"",INDEX(properties!A$1:CB$87,'Fórmula'!J2,11)))</f>
        <v>0.64</v>
      </c>
      <c r="AO2" s="107">
        <f t="array" ref="AO2">MAX(INDEX(properties!A$1:CB$87,'Fórmula'!B2,11),INDEX(properties!A$1:CB$87,'Fórmula'!D2,11),INDEX(properties!A$1:CB$87,'Fórmula'!F2,11),INDEX(properties!A$1:CB$87,'Fórmula'!H2,11),INDEX(properties!A$1:CB$87,'Fórmula'!J2,11))</f>
        <v>2</v>
      </c>
      <c r="AP2" s="107">
        <f t="array" ref="AP2">MIN(IF('Fórmula'!B2=87,10^6,INDEX(properties!A$1:CB$87,'Fórmula'!B2,11)),IF(('Fórmula'!D2)=87,10^6,INDEX(properties!A$1:CB$87,'Fórmula'!D2,11)),IF(('Fórmula'!F2)=87,10^6,INDEX(properties!A$1:CB$87,'Fórmula'!F2,11)),IF(('Fórmula'!H2)=87,10^6,INDEX(properties!A$1:CB$87,'Fórmula'!H2,11)),IF('Fórmula'!J2=87,10^6,INDEX(properties!A$1:CB$87,'Fórmula'!J2,11)))</f>
        <v>2</v>
      </c>
      <c r="AQ2" s="107">
        <f t="shared" ref="AQ2:AQ123" si="7">ABS(AO2-AP2)</f>
        <v>0</v>
      </c>
      <c r="AR2" s="108">
        <f t="array" ref="AR2">(('Fórmula'!C2)/('Fórmula'!C2+'Fórmula'!E2+'Fórmula'!G2+'Fórmula'!I2+'Fórmula'!K2))*(INDEX(properties!A$1:CB$87,'Fórmula'!B2,12))+(('Fórmula'!E2)/('Fórmula'!C2+'Fórmula'!E2+'Fórmula'!G2+'Fórmula'!I2+'Fórmula'!K2))*(INDEX(properties!A$1:CB$87,'Fórmula'!D2,12))+(('Fórmula'!G2)/('Fórmula'!C2+'Fórmula'!E2+'Fórmula'!G2+'Fórmula'!I2+'Fórmula'!K2))*(INDEX(properties!A$1:CB$87,'Fórmula'!F2,12))+(('Fórmula'!I2)/('Fórmula'!C2+'Fórmula'!E2+'Fórmula'!G2+'Fórmula'!I2+'Fórmula'!K2))*(INDEX(properties!A$1:CB$87,'Fórmula'!H2,12))+(('Fórmula'!K2)/('Fórmula'!C2+'Fórmula'!E2+'Fórmula'!G2+'Fórmula'!I2+'Fórmula'!K2))*(INDEX(properties!A$1:CB$87,'Fórmula'!J2,12))</f>
        <v>2.583333333</v>
      </c>
      <c r="AS2" s="108">
        <f t="array" ref="AS2">'Fórmula'!C2*(INDEX(properties!A$1:CB$87,'Fórmula'!B2,12))+'Fórmula'!E2*(INDEX(properties!A$1:CB$87,'Fórmula'!D2,12))+'Fórmula'!G2*(INDEX(properties!A$1:CB$87,'Fórmula'!F2,12))+'Fórmula'!I2*(INDEX(properties!A$1:CB$87,'Fórmula'!H2,12))+'Fórmula'!K2*(INDEX(properties!A$1:CB$87,'Fórmula'!J2,12))</f>
        <v>31</v>
      </c>
      <c r="AT2" s="108">
        <f t="array" ref="AT2">VARP(IF(INDEX(properties!A$1:CB$87,'Fórmula'!B2,12)&lt;&gt;"",INDEX(properties!A$1:CB$87,'Fórmula'!B2,12)),IF(INDEX(properties!A$1:CB$87,'Fórmula'!D2,12)&lt;&gt;"",INDEX(properties!A$1:CB$87,'Fórmula'!D2,12)),IF(INDEX(properties!A$1:CB$87,'Fórmula'!F2,12)&lt;&gt;"",INDEX(properties!A$1:CB$87,'Fórmula'!F2,12)),IF(INDEX(properties!A$1:CB$87,'Fórmula'!H2,12)&lt;&gt;"",INDEX(properties!A$1:CB$87,'Fórmula'!H2,12)),IF(INDEX(properties!A$1:CB$87,'Fórmula'!J2,12)&lt;&gt;"",INDEX(properties!A$1:CB$87,'Fórmula'!J2,12)))</f>
        <v>2.4</v>
      </c>
      <c r="AU2" s="108">
        <f t="array" ref="AU2">MAX(INDEX(properties!A$1:CB$87,'Fórmula'!B2,12),INDEX(properties!A$1:CB$87,'Fórmula'!D2,12),INDEX(properties!A$1:CB$87,'Fórmula'!F2,12),INDEX(properties!A$1:CB$87,'Fórmula'!H2,12),INDEX(properties!A$1:CB$87,'Fórmula'!J2,12))</f>
        <v>4</v>
      </c>
      <c r="AV2" s="108">
        <f t="array" ref="AV2">MIN(IF('Fórmula'!B2=87,10^6,INDEX(properties!A$1:CB$87,'Fórmula'!B2,12)),IF(('Fórmula'!D2)=87,10^6,INDEX(properties!A$1:CB$87,'Fórmula'!D2,12)),IF(('Fórmula'!F2)=87,10^6,INDEX(properties!A$1:CB$87,'Fórmula'!F2,12)),IF(('Fórmula'!H2)=87,10^6,INDEX(properties!A$1:CB$87,'Fórmula'!H2,12)),IF('Fórmula'!J2=87,10^6,INDEX(properties!A$1:CB$87,'Fórmula'!J2,12)))</f>
        <v>0</v>
      </c>
      <c r="AW2" s="108">
        <f t="shared" ref="AW2:AW123" si="8">ABS(AU2-AV2)</f>
        <v>4</v>
      </c>
      <c r="AX2" s="109">
        <f t="array" ref="AX2">(('Fórmula'!C2)/('Fórmula'!C2+'Fórmula'!E2+'Fórmula'!G2+'Fórmula'!I2+'Fórmula'!K2))*(INDEX(properties!A$1:CB$87,'Fórmula'!B2,13))+(('Fórmula'!E2)/('Fórmula'!C2+'Fórmula'!E2+'Fórmula'!G2+'Fórmula'!I2+'Fórmula'!K2))*(INDEX(properties!A$1:CB$87,'Fórmula'!D2,13))+(('Fórmula'!G2)/('Fórmula'!C2+'Fórmula'!E2+'Fórmula'!G2+'Fórmula'!I2+'Fórmula'!K2))*(INDEX(properties!A$1:CB$87,'Fórmula'!F2,13))+(('Fórmula'!I2)/('Fórmula'!C2+'Fórmula'!E2+'Fórmula'!G2+'Fórmula'!I2+'Fórmula'!K2))*(INDEX(properties!A$1:CB$87,'Fórmula'!H2,13))+(('Fórmula'!K2)/('Fórmula'!C2+'Fórmula'!E2+'Fórmula'!G2+'Fórmula'!I2+'Fórmula'!K2))*(INDEX(properties!A$1:CB$87,'Fórmula'!J2,13))</f>
        <v>0.08333333333</v>
      </c>
      <c r="AY2" s="109">
        <f t="array" ref="AY2">'Fórmula'!C2*(INDEX(properties!A$1:CB$87,'Fórmula'!B2,13))+'Fórmula'!E2*(INDEX(properties!A$1:CB$87,'Fórmula'!D2,13))+'Fórmula'!G2*(INDEX(properties!A$1:CB$87,'Fórmula'!F2,13))+'Fórmula'!I2*(INDEX(properties!A$1:CB$87,'Fórmula'!H2,13))+'Fórmula'!K2*(INDEX(properties!A$1:CB$87,'Fórmula'!J2,13))</f>
        <v>1</v>
      </c>
      <c r="AZ2" s="109">
        <f t="array" ref="AZ2">VARP(IF(INDEX(properties!A$1:CB$87,'Fórmula'!B2,13)&lt;&gt;"",INDEX(properties!A$1:CB$87,'Fórmula'!B2,13)),IF(INDEX(properties!A$1:CB$87,'Fórmula'!D2,13)&lt;&gt;"",INDEX(properties!A$1:CB$87,'Fórmula'!D2,13)),IF(INDEX(properties!A$1:CB$87,'Fórmula'!F2,13)&lt;&gt;"",INDEX(properties!A$1:CB$87,'Fórmula'!F2,13)),IF(INDEX(properties!A$1:CB$87,'Fórmula'!H2,13)&lt;&gt;"",INDEX(properties!A$1:CB$87,'Fórmula'!H2,13)),IF(INDEX(properties!A$1:CB$87,'Fórmula'!J2,13)&lt;&gt;"",INDEX(properties!A$1:CB$87,'Fórmula'!J2,13)))</f>
        <v>0.16</v>
      </c>
      <c r="BA2" s="109">
        <f t="array" ref="BA2">MAX(INDEX(properties!A$1:CB$87,'Fórmula'!B2,13),INDEX(properties!A$1:CB$87,'Fórmula'!D2,13),INDEX(properties!A$1:CB$87,'Fórmula'!F2,13),INDEX(properties!A$1:CB$87,'Fórmula'!H2,13),INDEX(properties!A$1:CB$87,'Fórmula'!J2,13))</f>
        <v>1</v>
      </c>
      <c r="BB2" s="109">
        <f t="array" ref="BB2">MIN(IF('Fórmula'!B2=87,10^6,INDEX(properties!A$1:CB$87,'Fórmula'!B2,13)),IF(('Fórmula'!D2)=87,10^6,INDEX(properties!A$1:CB$87,'Fórmula'!D2,13)),IF(('Fórmula'!F2)=87,10^6,INDEX(properties!A$1:CB$87,'Fórmula'!F2,13)),IF(('Fórmula'!H2)=87,10^6,INDEX(properties!A$1:CB$87,'Fórmula'!H2,13)),IF('Fórmula'!J2=87,10^6,INDEX(properties!A$1:CB$87,'Fórmula'!J2,13)))</f>
        <v>0</v>
      </c>
      <c r="BC2" s="109">
        <f t="shared" ref="BC2:BC123" si="9">ABS(BA2-BB2)</f>
        <v>1</v>
      </c>
      <c r="BD2" s="110">
        <f t="array" ref="BD2">(('Fórmula'!C2)/('Fórmula'!C2+'Fórmula'!E2+'Fórmula'!G2+'Fórmula'!I2+'Fórmula'!K2))*(INDEX(properties!A$1:CB$87,'Fórmula'!B2,14))+(('Fórmula'!E2)/('Fórmula'!C2+'Fórmula'!E2+'Fórmula'!G2+'Fórmula'!I2+'Fórmula'!K2))*(INDEX(properties!A$1:CB$87,'Fórmula'!D2,14))+(('Fórmula'!G2)/('Fórmula'!C2+'Fórmula'!E2+'Fórmula'!G2+'Fórmula'!I2+'Fórmula'!K2))*(INDEX(properties!A$1:CB$87,'Fórmula'!F2,14))+(('Fórmula'!I2)/('Fórmula'!C2+'Fórmula'!E2+'Fórmula'!G2+'Fórmula'!I2+'Fórmula'!K2))*(INDEX(properties!A$1:CB$87,'Fórmula'!H2,14))+(('Fórmula'!K2)/('Fórmula'!C2+'Fórmula'!E2+'Fórmula'!G2+'Fórmula'!I2+'Fórmula'!K2))*(INDEX(properties!A$1:CB$87,'Fórmula'!J2,14))</f>
        <v>0</v>
      </c>
      <c r="BE2" s="110">
        <f t="array" ref="BE2">'Fórmula'!C2*(INDEX(properties!A$1:CB$87,'Fórmula'!B2,14))+'Fórmula'!E2*(INDEX(properties!A$1:CB$87,'Fórmula'!D2,14))+'Fórmula'!G2*(INDEX(properties!A$1:CB$87,'Fórmula'!F2,14))+'Fórmula'!I2*(INDEX(properties!A$1:CB$87,'Fórmula'!H2,14))+'Fórmula'!K2*(INDEX(properties!A$1:CB$87,'Fórmula'!J2,14))</f>
        <v>0</v>
      </c>
      <c r="BF2" s="110">
        <f t="array" ref="BF2">VARP(IF(INDEX(properties!A$1:CB$87,'Fórmula'!B2,14)&lt;&gt;"",INDEX(properties!A$1:CB$87,'Fórmula'!B2,14)),IF(INDEX(properties!A$1:CB$87,'Fórmula'!D2,14)&lt;&gt;"",INDEX(properties!A$1:CB$87,'Fórmula'!D2,14)),IF(INDEX(properties!A$1:CB$87,'Fórmula'!F2,14)&lt;&gt;"",INDEX(properties!A$1:CB$87,'Fórmula'!F2,14)),IF(INDEX(properties!A$1:CB$87,'Fórmula'!H2,14)&lt;&gt;"",INDEX(properties!A$1:CB$87,'Fórmula'!H2,14)),IF(INDEX(properties!A$1:CB$87,'Fórmula'!J2,14)&lt;&gt;"",INDEX(properties!A$1:CB$87,'Fórmula'!J2,14)))</f>
        <v>0</v>
      </c>
      <c r="BG2" s="110">
        <f t="array" ref="BG2">MAX(INDEX(properties!A$1:CB$87,'Fórmula'!B2,14),INDEX(properties!A$1:CB$87,'Fórmula'!D2,14),INDEX(properties!A$1:CB$87,'Fórmula'!F2,14),INDEX(properties!A$1:CB$87,'Fórmula'!H2,14),INDEX(properties!A$1:CB$87,'Fórmula'!J2,14))</f>
        <v>0</v>
      </c>
      <c r="BH2" s="110">
        <f t="array" ref="BH2">MIN(IF('Fórmula'!B2=87,10^6,INDEX(properties!A$1:CB$87,'Fórmula'!B2,14)),IF(('Fórmula'!D2)=87,10^6,INDEX(properties!A$1:CB$87,'Fórmula'!D2,14)),IF(('Fórmula'!F2)=87,10^6,INDEX(properties!A$1:CB$87,'Fórmula'!F2,14)),IF(('Fórmula'!H2)=87,10^6,INDEX(properties!A$1:CB$87,'Fórmula'!H2,14)),IF('Fórmula'!J2=87,10^6,INDEX(properties!A$1:CB$87,'Fórmula'!J2,14)))</f>
        <v>0</v>
      </c>
      <c r="BI2" s="110">
        <f t="shared" ref="BI2:BI123" si="10">ABS(BG2-BH2)</f>
        <v>0</v>
      </c>
      <c r="BJ2" s="111">
        <f t="array" ref="BJ2">(('Fórmula'!C2)/('Fórmula'!C2+'Fórmula'!E2+'Fórmula'!G2+'Fórmula'!I2+'Fórmula'!K2))*(INDEX(properties!A$1:CB$87,'Fórmula'!B2,19))+(('Fórmula'!E2)/('Fórmula'!C2+'Fórmula'!E2+'Fórmula'!G2+'Fórmula'!I2+'Fórmula'!K2))*(INDEX(properties!A$1:CB$87,'Fórmula'!D2,19))+(('Fórmula'!G2)/('Fórmula'!C2+'Fórmula'!E2+'Fórmula'!G2+'Fórmula'!I2+'Fórmula'!K2))*(INDEX(properties!A$1:CB$87,'Fórmula'!F2,19))+(('Fórmula'!I2)/('Fórmula'!C2+'Fórmula'!E2+'Fórmula'!G2+'Fórmula'!I2+'Fórmula'!K2))*(INDEX(properties!A$1:CB$87,'Fórmula'!H2,19))+(('Fórmula'!K2)/('Fórmula'!C2+'Fórmula'!E2+'Fórmula'!G2+'Fórmula'!I2+'Fórmula'!K2))*(INDEX(properties!A$1:CB$87,'Fórmula'!J2,19))</f>
        <v>4.666666667</v>
      </c>
      <c r="BK2" s="111">
        <f t="array" ref="BK2">'Fórmula'!C2*(INDEX(properties!A$1:CB$87,'Fórmula'!B2,19))+'Fórmula'!E2*(INDEX(properties!A$1:CB$87,'Fórmula'!D2,19))+'Fórmula'!G2*(INDEX(properties!A$1:CB$87,'Fórmula'!F2,19))+'Fórmula'!I2*(INDEX(properties!A$1:CB$87,'Fórmula'!H2,19))+'Fórmula'!K2*(INDEX(properties!A$1:CB$87,'Fórmula'!J2,19))</f>
        <v>56</v>
      </c>
      <c r="BL2" s="111">
        <f t="array" ref="BL2">VARP(IF(INDEX(properties!A$1:CB$87,'Fórmula'!B2,19)&lt;&gt;"",INDEX(properties!A$1:CB$87,'Fórmula'!B2,19)),IF(INDEX(properties!A$1:CB$87,'Fórmula'!D2,19)&lt;&gt;"",INDEX(properties!A$1:CB$87,'Fórmula'!D2,19)),IF(INDEX(properties!A$1:CB$87,'Fórmula'!F2,19)&lt;&gt;"",INDEX(properties!A$1:CB$87,'Fórmula'!F2,19)),IF(INDEX(properties!A$1:CB$87,'Fórmula'!H2,19)&lt;&gt;"",INDEX(properties!A$1:CB$87,'Fórmula'!H2,19)),IF(INDEX(properties!A$1:CB$87,'Fórmula'!J2,19)&lt;&gt;"",INDEX(properties!A$1:CB$87,'Fórmula'!J2,19)))</f>
        <v>3.76</v>
      </c>
      <c r="BM2" s="111">
        <f t="array" ref="BM2">MAX(INDEX(properties!A$1:CB$87,'Fórmula'!B2,19),INDEX(properties!A$1:CB$87,'Fórmula'!D2,19),INDEX(properties!A$1:CB$87,'Fórmula'!F2,19),INDEX(properties!A$1:CB$87,'Fórmula'!H2,19),INDEX(properties!A$1:CB$87,'Fórmula'!J2,19))</f>
        <v>6</v>
      </c>
      <c r="BN2" s="111">
        <f t="array" ref="BN2">MIN(IF(INDEX(properties!A$1:CB$87,'Fórmula'!B2,19)=0,10^6,INDEX(properties!A$1:CB$87,'Fórmula'!B2,19)),IF(INDEX(properties!A$1:CB$87,'Fórmula'!D2,19)=0,10^6,INDEX(properties!A$1:CB$87,'Fórmula'!D2,19)),IF(INDEX(properties!A$1:CB$87,'Fórmula'!F2,19)=0,10^6,INDEX(properties!A$1:CB$87,'Fórmula'!F2,19)),IF(INDEX(properties!A$1:CB$87,'Fórmula'!H2,19)=0,10^6,INDEX(properties!A$1:CB$87,'Fórmula'!H2,19)),IF(INDEX(properties!A$1:CB$87,'Fórmula'!J2,19)=0,10^6,INDEX(properties!A$1:CB$87,'Fórmula'!J2,19)))</f>
        <v>2</v>
      </c>
      <c r="BO2" s="111">
        <f t="shared" ref="BO2:BO123" si="11">ABS(BM2-BN2)</f>
        <v>4</v>
      </c>
      <c r="BP2" s="112">
        <f t="array" ref="BP2">(('Fórmula'!C2)/('Fórmula'!C2+'Fórmula'!E2+'Fórmula'!G2+'Fórmula'!I2+'Fórmula'!K2))*(INDEX(properties!A$1:CB$87,'Fórmula'!B2,20))+(('Fórmula'!E2)/('Fórmula'!C2+'Fórmula'!E2+'Fórmula'!G2+'Fórmula'!I2+'Fórmula'!K2))*(INDEX(properties!A$1:CB$87,'Fórmula'!D2,20))+(('Fórmula'!G2)/('Fórmula'!C2+'Fórmula'!E2+'Fórmula'!G2+'Fórmula'!I2+'Fórmula'!K2))*(INDEX(properties!A$1:CB$87,'Fórmula'!F2,20))+(('Fórmula'!I2)/('Fórmula'!C2+'Fórmula'!E2+'Fórmula'!G2+'Fórmula'!I2+'Fórmula'!K2))*(INDEX(properties!A$1:CB$87,'Fórmula'!H2,20))+(('Fórmula'!K2)/('Fórmula'!C2+'Fórmula'!E2+'Fórmula'!G2+'Fórmula'!I2+'Fórmula'!K2))*(INDEX(properties!A$1:CB$87,'Fórmula'!J2,20))</f>
        <v>4.583333333</v>
      </c>
      <c r="BQ2" s="112">
        <f t="array" ref="BQ2">'Fórmula'!C2*(INDEX(properties!A$1:CB$87,'Fórmula'!B2,20))+'Fórmula'!E2*(INDEX(properties!A$1:CB$87,'Fórmula'!D2,20))+'Fórmula'!G2*(INDEX(properties!A$1:CB$87,'Fórmula'!F2,20))+'Fórmula'!I2*(INDEX(properties!A$1:CB$87,'Fórmula'!H2,20))+'Fórmula'!K2*(INDEX(properties!A$1:CB$87,'Fórmula'!J2,20))</f>
        <v>55</v>
      </c>
      <c r="BR2" s="112">
        <f t="array" ref="BR2">VARP(IF(INDEX(properties!A$1:CB$87,'Fórmula'!B2,20)&lt;&gt;"",INDEX(properties!A$1:CB$87,'Fórmula'!B2,20)),IF(INDEX(properties!A$1:CB$87,'Fórmula'!D2,20)&lt;&gt;"",INDEX(properties!A$1:CB$87,'Fórmula'!D2,20)),IF(INDEX(properties!A$1:CB$87,'Fórmula'!F2,20)&lt;&gt;"",INDEX(properties!A$1:CB$87,'Fórmula'!F2,20)),IF(INDEX(properties!A$1:CB$87,'Fórmula'!H2,20)&lt;&gt;"",INDEX(properties!A$1:CB$87,'Fórmula'!H2,20)),IF(INDEX(properties!A$1:CB$87,'Fórmula'!J2,20)&lt;&gt;"",INDEX(properties!A$1:CB$87,'Fórmula'!J2,20)))</f>
        <v>3.84</v>
      </c>
      <c r="BS2" s="112">
        <f t="array" ref="BS2">MAX(INDEX(properties!A$1:CB$87,'Fórmula'!B2,20),INDEX(properties!A$1:CB$87,'Fórmula'!D2,20),INDEX(properties!A$1:CB$87,'Fórmula'!F2,20),INDEX(properties!A$1:CB$87,'Fórmula'!H2,20),INDEX(properties!A$1:CB$87,'Fórmula'!J2,20))</f>
        <v>6</v>
      </c>
      <c r="BT2" s="112">
        <f t="array" ref="BT2">MIN(IF(INDEX(properties!A$1:CB$87,'Fórmula'!B2,20)=0,10^6,INDEX(properties!A$1:CB$87,'Fórmula'!B2,20)),IF(INDEX(properties!A$1:CB$87,'Fórmula'!D2,20)=0,10^6,INDEX(properties!A$1:CB$87,'Fórmula'!D2,20)),IF(INDEX(properties!A$1:CB$87,'Fórmula'!F2,20)=0,10^6,INDEX(properties!A$1:CB$87,'Fórmula'!F2,20)),IF(INDEX(properties!A$1:CB$87,'Fórmula'!H2,20)=0,10^6,INDEX(properties!A$1:CB$87,'Fórmula'!H2,20)),IF(INDEX(properties!A$1:CB$87,'Fórmula'!J2,20)=0,10^6,INDEX(properties!A$1:CB$87,'Fórmula'!J2,20)))</f>
        <v>2</v>
      </c>
      <c r="BU2" s="112">
        <f t="shared" ref="BU2:BU123" si="12">ABS(BS2-BT2)</f>
        <v>4</v>
      </c>
      <c r="BV2" s="113">
        <f t="array" ref="BV2">(('Fórmula'!C2)/('Fórmula'!C2+'Fórmula'!E2+'Fórmula'!G2+'Fórmula'!I2+'Fórmula'!K2))*(INDEX(properties!A$1:CB$87,'Fórmula'!B2,21))+(('Fórmula'!E2)/('Fórmula'!C2+'Fórmula'!E2+'Fórmula'!G2+'Fórmula'!I2+'Fórmula'!K2))*(INDEX(properties!A$1:CB$87,'Fórmula'!D2,21))+(('Fórmula'!G2)/('Fórmula'!C2+'Fórmula'!E2+'Fórmula'!G2+'Fórmula'!I2+'Fórmula'!K2))*(INDEX(properties!A$1:CB$87,'Fórmula'!F2,21))+(('Fórmula'!I2)/('Fórmula'!C2+'Fórmula'!E2+'Fórmula'!G2+'Fórmula'!I2+'Fórmula'!K2))*(INDEX(properties!A$1:CB$87,'Fórmula'!H2,21))+(('Fórmula'!K2)/('Fórmula'!C2+'Fórmula'!E2+'Fórmula'!G2+'Fórmula'!I2+'Fórmula'!K2))*(INDEX(properties!A$1:CB$87,'Fórmula'!J2,21))</f>
        <v>4.5</v>
      </c>
      <c r="BW2" s="113">
        <f t="array" ref="BW2">'Fórmula'!C2*(INDEX(properties!A$1:CB$87,'Fórmula'!B2,21))+'Fórmula'!E2*(INDEX(properties!A$1:CB$87,'Fórmula'!D2,21))+'Fórmula'!G2*(INDEX(properties!A$1:CB$87,'Fórmula'!F2,21))+'Fórmula'!I2*(INDEX(properties!A$1:CB$87,'Fórmula'!H2,21))+'Fórmula'!K2*(INDEX(properties!A$1:CB$87,'Fórmula'!J2,21))</f>
        <v>54</v>
      </c>
      <c r="BX2" s="113">
        <f t="array" ref="BX2">VARP(IF(INDEX(properties!A$1:CB$87,'Fórmula'!B2,21)&lt;&gt;"",INDEX(properties!A$1:CB$87,'Fórmula'!B2,21)),IF(INDEX(properties!A$1:CB$87,'Fórmula'!D2,21)&lt;&gt;"",INDEX(properties!A$1:CB$87,'Fórmula'!D2,21)),IF(INDEX(properties!A$1:CB$87,'Fórmula'!F2,21)&lt;&gt;"",INDEX(properties!A$1:CB$87,'Fórmula'!F2,21)),IF(INDEX(properties!A$1:CB$87,'Fórmula'!H2,21)&lt;&gt;"",INDEX(properties!A$1:CB$87,'Fórmula'!H2,21)),IF(INDEX(properties!A$1:CB$87,'Fórmula'!J2,21)&lt;&gt;"",INDEX(properties!A$1:CB$87,'Fórmula'!J2,21)))</f>
        <v>4.24</v>
      </c>
      <c r="BY2" s="113">
        <f t="array" ref="BY2">MAX(INDEX(properties!A$1:CB$87,'Fórmula'!B2,21),INDEX(properties!A$1:CB$87,'Fórmula'!D2,21),INDEX(properties!A$1:CB$87,'Fórmula'!F2,21),INDEX(properties!A$1:CB$87,'Fórmula'!H2,21),INDEX(properties!A$1:CB$87,'Fórmula'!J2,21))</f>
        <v>6</v>
      </c>
      <c r="BZ2" s="113">
        <f t="array" ref="BZ2">MIN(IF(INDEX(properties!A$1:CB$87,'Fórmula'!B2,21)=0,10^6,INDEX(properties!A$1:CB$87,'Fórmula'!B2,21)),IF(INDEX(properties!A$1:CB$87,'Fórmula'!D2,21)=0,10^6,INDEX(properties!A$1:CB$87,'Fórmula'!D2,21)),IF(INDEX(properties!A$1:CB$87,'Fórmula'!F2,21)=0,10^6,INDEX(properties!A$1:CB$87,'Fórmula'!F2,21)),IF(INDEX(properties!A$1:CB$87,'Fórmula'!H2,21)=0,10^6,INDEX(properties!A$1:CB$87,'Fórmula'!H2,21)),IF(INDEX(properties!A$1:CB$87,'Fórmula'!J2,21)=0,10^6,INDEX(properties!A$1:CB$87,'Fórmula'!J2,21)))</f>
        <v>1</v>
      </c>
      <c r="CA2" s="113">
        <f t="shared" ref="CA2:CA123" si="13">ABS(BY2-BZ2)</f>
        <v>5</v>
      </c>
      <c r="CB2" s="114">
        <f t="array" ref="CB2">(('Fórmula'!C2)/('Fórmula'!C2+'Fórmula'!E2+'Fórmula'!G2+'Fórmula'!I2+'Fórmula'!K2))*(INDEX(properties!A$1:CB$87,'Fórmula'!B2,23))+(('Fórmula'!E2)/('Fórmula'!C2+'Fórmula'!E2+'Fórmula'!G2+'Fórmula'!I2+'Fórmula'!K2))*(INDEX(properties!A$1:CB$87,'Fórmula'!D2,23))+(('Fórmula'!G2)/('Fórmula'!C2+'Fórmula'!E2+'Fórmula'!G2+'Fórmula'!I2+'Fórmula'!K2))*(INDEX(properties!A$1:CB$87,'Fórmula'!F2,23))+(('Fórmula'!I2)/('Fórmula'!C2+'Fórmula'!E2+'Fórmula'!G2+'Fórmula'!I2+'Fórmula'!K2))*(INDEX(properties!A$1:CB$87,'Fórmula'!H2,23))+(('Fórmula'!K2)/('Fórmula'!C2+'Fórmula'!E2+'Fórmula'!G2+'Fórmula'!I2+'Fórmula'!K2))*(INDEX(properties!A$1:CB$87,'Fórmula'!J2,23))</f>
        <v>1.166666667</v>
      </c>
      <c r="CC2" s="114">
        <f t="array" ref="CC2">'Fórmula'!C2*(INDEX(properties!A$1:CB$87,'Fórmula'!B2,23))+'Fórmula'!E2*(INDEX(properties!A$1:CB$87,'Fórmula'!D2,23))+'Fórmula'!G2*(INDEX(properties!A$1:CB$87,'Fórmula'!F2,23))+'Fórmula'!I2*(INDEX(properties!A$1:CB$87,'Fórmula'!H2,23))+'Fórmula'!K2*(INDEX(properties!A$1:CB$87,'Fórmula'!J2,23))</f>
        <v>14</v>
      </c>
      <c r="CD2" s="114">
        <f t="array" ref="CD2">VARP(IF(INDEX(properties!A$1:CB$87,'Fórmula'!B2,23)&lt;&gt;"",INDEX(properties!A$1:CB$87,'Fórmula'!B2,23)),IF(INDEX(properties!A$1:CB$87,'Fórmula'!D2,23)&lt;&gt;"",INDEX(properties!A$1:CB$87,'Fórmula'!D2,23)),IF(INDEX(properties!A$1:CB$87,'Fórmula'!F2,23)&lt;&gt;"",INDEX(properties!A$1:CB$87,'Fórmula'!F2,23)),IF(INDEX(properties!A$1:CB$87,'Fórmula'!H2,23)&lt;&gt;"",INDEX(properties!A$1:CB$87,'Fórmula'!H2,23)),IF(INDEX(properties!A$1:CB$87,'Fórmula'!J2,23)&lt;&gt;"",INDEX(properties!A$1:CB$87,'Fórmula'!J2,23)))</f>
        <v>1.84</v>
      </c>
      <c r="CE2" s="114">
        <f t="array" ref="CE2">MAX(INDEX(properties!A$1:CB$87,'Fórmula'!B2,23),INDEX(properties!A$1:CB$87,'Fórmula'!D2,23),INDEX(properties!A$1:CB$87,'Fórmula'!F2,23),INDEX(properties!A$1:CB$87,'Fórmula'!H2,23),INDEX(properties!A$1:CB$87,'Fórmula'!J2,23))</f>
        <v>3</v>
      </c>
      <c r="CF2" s="114">
        <f t="array" ref="CF2">MIN(IF('Fórmula'!B2=87,10^6,INDEX(properties!A$1:CB$87,'Fórmula'!B2,23)),IF(('Fórmula'!D2)=87,10^6,INDEX(properties!A$1:CB$87,'Fórmula'!D2,23)),IF(('Fórmula'!F2)=87,10^6,INDEX(properties!A$1:CB$87,'Fórmula'!F2,23)),IF(('Fórmula'!H2)=87,10^6,INDEX(properties!A$1:CB$87,'Fórmula'!H2,23)),IF('Fórmula'!J2=87,10^6,INDEX(properties!A$1:CB$87,'Fórmula'!J2,23)))</f>
        <v>0</v>
      </c>
      <c r="CG2" s="114">
        <f t="shared" ref="CG2:CG123" si="14">ABS(CE2-CF2)</f>
        <v>3</v>
      </c>
      <c r="CH2" s="115">
        <f t="array" ref="CH2">(('Fórmula'!C2)/('Fórmula'!C2+'Fórmula'!E2+'Fórmula'!G2+'Fórmula'!I2+'Fórmula'!K2))*(INDEX(properties!A$1:CB$87,'Fórmula'!B2,26))+(('Fórmula'!E2)/('Fórmula'!C2+'Fórmula'!E2+'Fórmula'!G2+'Fórmula'!I2+'Fórmula'!K2))*(INDEX(properties!A$1:CB$87,'Fórmula'!D2,26))+(('Fórmula'!G2)/('Fórmula'!C2+'Fórmula'!E2+'Fórmula'!G2+'Fórmula'!I2+'Fórmula'!K2))*(INDEX(properties!A$1:CB$87,'Fórmula'!F2,26))+(('Fórmula'!I2)/('Fórmula'!C2+'Fórmula'!E2+'Fórmula'!G2+'Fórmula'!I2+'Fórmula'!K2))*(INDEX(properties!A$1:CB$87,'Fórmula'!H2,26))+(('Fórmula'!K2)/('Fórmula'!C2+'Fórmula'!E2+'Fórmula'!G2+'Fórmula'!I2+'Fórmula'!K2))*(INDEX(properties!A$1:CB$87,'Fórmula'!J2,26))</f>
        <v>10.433025</v>
      </c>
      <c r="CI2" s="115">
        <f t="array" ref="CI2">'Fórmula'!C2*(INDEX(properties!A$1:CB$87,'Fórmula'!B2,26))+'Fórmula'!E2*(INDEX(properties!A$1:CB$87,'Fórmula'!D2,26))+'Fórmula'!G2*(INDEX(properties!A$1:CB$87,'Fórmula'!F2,26))+'Fórmula'!I2*(INDEX(properties!A$1:CB$87,'Fórmula'!H2,26))+'Fórmula'!K2*(INDEX(properties!A$1:CB$87,'Fórmula'!J2,26))</f>
        <v>125.1963</v>
      </c>
      <c r="CJ2" s="115">
        <f t="array" ref="CJ2">VARP(IF(INDEX(properties!A$1:CB$87,'Fórmula'!B2,26)&lt;&gt;"",INDEX(properties!A$1:CB$87,'Fórmula'!B2,26)),IF(INDEX(properties!A$1:CB$87,'Fórmula'!D2,26)&lt;&gt;"",INDEX(properties!A$1:CB$87,'Fórmula'!D2,26)),IF(INDEX(properties!A$1:CB$87,'Fórmula'!F2,26)&lt;&gt;"",INDEX(properties!A$1:CB$87,'Fórmula'!F2,26)),IF(INDEX(properties!A$1:CB$87,'Fórmula'!H2,26)&lt;&gt;"",INDEX(properties!A$1:CB$87,'Fórmula'!H2,26)),IF(INDEX(properties!A$1:CB$87,'Fórmula'!J2,26)&lt;&gt;"",INDEX(properties!A$1:CB$87,'Fórmula'!J2,26)))</f>
        <v>18.74324854</v>
      </c>
      <c r="CK2" s="116">
        <f t="array" ref="CK2">MAX(INDEX(properties!A$1:CB$87,'Fórmula'!B2,26),INDEX(properties!A$1:CB$87,'Fórmula'!D2,26),INDEX(properties!A$1:CB$87,'Fórmula'!F2,26),INDEX(properties!A$1:CB$87,'Fórmula'!H2,26),INDEX(properties!A$1:CB$87,'Fórmula'!J2,26))</f>
        <v>13.6181</v>
      </c>
      <c r="CL2" s="116">
        <f t="array" ref="CL2">MIN(IF(INDEX(properties!A$1:CB$87,'Fórmula'!B2,26)=0,10^6,INDEX(properties!A$1:CB$87,'Fórmula'!B2,26)),IF(INDEX(properties!A$1:CB$87,'Fórmula'!D2,26)=0,10^6,INDEX(properties!A$1:CB$87,'Fórmula'!D2,26)),IF(INDEX(properties!A$1:CB$87,'Fórmula'!F2,26)=0,10^6,INDEX(properties!A$1:CB$87,'Fórmula'!F2,26)),IF(INDEX(properties!A$1:CB$87,'Fórmula'!H2,26)=0,10^6,INDEX(properties!A$1:CB$87,'Fórmula'!H2,26)),IF(INDEX(properties!A$1:CB$87,'Fórmula'!J2,26)=0,10^6,INDEX(properties!A$1:CB$87,'Fórmula'!J2,26)))</f>
        <v>5.6949</v>
      </c>
      <c r="CM2" s="115">
        <f t="shared" ref="CM2:CM123" si="15">ABS(CK2-CL2)</f>
        <v>7.9232</v>
      </c>
      <c r="CN2" s="117">
        <f t="array" ref="CN2">(('Fórmula'!C2)/('Fórmula'!C2+'Fórmula'!E2+'Fórmula'!G2+'Fórmula'!I2+'Fórmula'!K2))*(INDEX(properties!A$1:CB$87,'Fórmula'!B2,30))+(('Fórmula'!E2)/('Fórmula'!C2+'Fórmula'!E2+'Fórmula'!G2+'Fórmula'!I2+'Fórmula'!K2))*(INDEX(properties!A$1:CB$87,'Fórmula'!D2,30))+(('Fórmula'!G2)/('Fórmula'!C2+'Fórmula'!E2+'Fórmula'!G2+'Fórmula'!I2+'Fórmula'!K2))*(INDEX(properties!A$1:CB$87,'Fórmula'!F2,30))+(('Fórmula'!I2)/('Fórmula'!C2+'Fórmula'!E2+'Fórmula'!G2+'Fórmula'!I2+'Fórmula'!K2))*(INDEX(properties!A$1:CB$87,'Fórmula'!H2,30))+(('Fórmula'!K2)/('Fórmula'!C2+'Fórmula'!E2+'Fórmula'!G2+'Fórmula'!I2+'Fórmula'!K2))*(INDEX(properties!A$1:CB$87,'Fórmula'!J2,30))</f>
        <v>2.59</v>
      </c>
      <c r="CO2" s="117">
        <f t="array" ref="CO2">'Fórmula'!C2*(INDEX(properties!A$1:CB$87,'Fórmula'!B2,30))+'Fórmula'!E2*(INDEX(properties!A$1:CB$87,'Fórmula'!D2,30))+'Fórmula'!G2*(INDEX(properties!A$1:CB$87,'Fórmula'!F2,30))+'Fórmula'!I2*(INDEX(properties!A$1:CB$87,'Fórmula'!H2,30))+'Fórmula'!K2*(INDEX(properties!A$1:CB$87,'Fórmula'!J2,30))</f>
        <v>31.08</v>
      </c>
      <c r="CP2" s="117">
        <f t="array" ref="CP2">VARP(IF(INDEX(properties!A$1:CB$87,'Fórmula'!B2,30)&lt;&gt;"",INDEX(properties!A$1:CB$87,'Fórmula'!B2,30)),IF(INDEX(properties!A$1:CB$87,'Fórmula'!D2,30)&lt;&gt;"",INDEX(properties!A$1:CB$87,'Fórmula'!D2,30)),IF(INDEX(properties!A$1:CB$87,'Fórmula'!F2,30)&lt;&gt;"",INDEX(properties!A$1:CB$87,'Fórmula'!F2,30)),IF(INDEX(properties!A$1:CB$87,'Fórmula'!H2,30)&lt;&gt;"",INDEX(properties!A$1:CB$87,'Fórmula'!H2,30)),IF(INDEX(properties!A$1:CB$87,'Fórmula'!J2,30)&lt;&gt;"",INDEX(properties!A$1:CB$87,'Fórmula'!J2,30)))</f>
        <v>1.278184</v>
      </c>
      <c r="CQ2" s="117">
        <f t="array" ref="CQ2">MAX(INDEX(properties!A$1:CB$87,'Fórmula'!B2,30),INDEX(properties!A$1:CB$87,'Fórmula'!D2,30),INDEX(properties!A$1:CB$87,'Fórmula'!F2,30),INDEX(properties!A$1:CB$87,'Fórmula'!H2,30),INDEX(properties!A$1:CB$87,'Fórmula'!J2,30))</f>
        <v>3.44</v>
      </c>
      <c r="CR2" s="117">
        <f t="array" ref="CR2">MIN(IF(INDEX(properties!A$1:CB$87,'Fórmula'!B2,30)=0,10^6,INDEX(properties!A$1:CB$87,'Fórmula'!B2,30)),IF(INDEX(properties!A$1:CB$87,'Fórmula'!D2,30)=0,10^6,INDEX(properties!A$1:CB$87,'Fórmula'!D2,30)),IF(INDEX(properties!A$1:CB$87,'Fórmula'!F2,30)=0,10^6,INDEX(properties!A$1:CB$87,'Fórmula'!F2,30)),IF(INDEX(properties!A$1:CB$87,'Fórmula'!H2,30)=0,10^6,INDEX(properties!A$1:CB$87,'Fórmula'!H2,30)),IF(INDEX(properties!A$1:CB$87,'Fórmula'!J2,30)=0,10^6,INDEX(properties!A$1:CB$87,'Fórmula'!J2,30)))</f>
        <v>0.95</v>
      </c>
      <c r="CS2" s="117">
        <f t="shared" ref="CS2:CS123" si="16">ABS(CQ2-CR2)</f>
        <v>2.49</v>
      </c>
      <c r="CT2" s="118">
        <f t="array" ref="CT2">(('Fórmula'!C2)/('Fórmula'!C2+'Fórmula'!E2+'Fórmula'!G2+'Fórmula'!I2+'Fórmula'!K2))*(INDEX(properties!A$1:CB$87,'Fórmula'!B2,31))+(('Fórmula'!E2)/('Fórmula'!C2+'Fórmula'!E2+'Fórmula'!G2+'Fórmula'!I2+'Fórmula'!K2))*(INDEX(properties!A$1:CB$87,'Fórmula'!D2,31))+(('Fórmula'!G2)/('Fórmula'!C2+'Fórmula'!E2+'Fórmula'!G2+'Fórmula'!I2+'Fórmula'!K2))*(INDEX(properties!A$1:CB$87,'Fórmula'!F2,31))+(('Fórmula'!I2)/('Fórmula'!C2+'Fórmula'!E2+'Fórmula'!G2+'Fórmula'!I2+'Fórmula'!K2))*(INDEX(properties!A$1:CB$87,'Fórmula'!H2,31))+(('Fórmula'!K2)/('Fórmula'!C2+'Fórmula'!E2+'Fórmula'!G2+'Fórmula'!I2+'Fórmula'!K2))*(INDEX(properties!A$1:CB$87,'Fórmula'!J2,31))</f>
        <v>2.558333333</v>
      </c>
      <c r="CU2" s="118">
        <f t="array" ref="CU2">'Fórmula'!C2*(INDEX(properties!A$1:CB$87,'Fórmula'!B2,31))+'Fórmula'!E2*(INDEX(properties!A$1:CB$87,'Fórmula'!D2,31))+'Fórmula'!G2*(INDEX(properties!A$1:CB$87,'Fórmula'!F2,31))+'Fórmula'!I2*(INDEX(properties!A$1:CB$87,'Fórmula'!H2,31))+'Fórmula'!K2*(INDEX(properties!A$1:CB$87,'Fórmula'!J2,31))</f>
        <v>30.7</v>
      </c>
      <c r="CV2" s="118">
        <f t="array" ref="CV2">VARP(IF(INDEX(properties!A$1:CB$87,'Fórmula'!B2,31)&lt;&gt;"",INDEX(properties!A$1:CB$87,'Fórmula'!B2,31)),IF(INDEX(properties!A$1:CB$87,'Fórmula'!D2,31)&lt;&gt;"",INDEX(properties!A$1:CB$87,'Fórmula'!D2,31)),IF(INDEX(properties!A$1:CB$87,'Fórmula'!F2,31)&lt;&gt;"",INDEX(properties!A$1:CB$87,'Fórmula'!F2,31)),IF(INDEX(properties!A$1:CB$87,'Fórmula'!H2,31)&lt;&gt;"",INDEX(properties!A$1:CB$87,'Fórmula'!H2,31)),IF(INDEX(properties!A$1:CB$87,'Fórmula'!J2,31)&lt;&gt;"",INDEX(properties!A$1:CB$87,'Fórmula'!J2,31)))</f>
        <v>1.1454</v>
      </c>
      <c r="CW2" s="118">
        <f t="array" ref="CW2">MAX(INDEX(properties!A$1:CB$87,'Fórmula'!B2,31),INDEX(properties!A$1:CB$87,'Fórmula'!D2,31),INDEX(properties!A$1:CB$87,'Fórmula'!F2,31),INDEX(properties!A$1:CB$87,'Fórmula'!H2,31),INDEX(properties!A$1:CB$87,'Fórmula'!J2,31))</f>
        <v>3.32</v>
      </c>
      <c r="CX2" s="118">
        <f t="array" ref="CX2">MIN(IF(INDEX(properties!A$1:CB$87,'Fórmula'!B2,31)=0,10^6,INDEX(properties!A$1:CB$87,'Fórmula'!B2,31)),IF(INDEX(properties!A$1:CB$87,'Fórmula'!D2,31)=0,10^6,INDEX(properties!A$1:CB$87,'Fórmula'!D2,31)),IF(INDEX(properties!A$1:CB$87,'Fórmula'!F2,31)=0,10^6,INDEX(properties!A$1:CB$87,'Fórmula'!F2,31)),IF(INDEX(properties!A$1:CB$87,'Fórmula'!H2,31)=0,10^6,INDEX(properties!A$1:CB$87,'Fórmula'!H2,31)),IF(INDEX(properties!A$1:CB$87,'Fórmula'!J2,31)=0,10^6,INDEX(properties!A$1:CB$87,'Fórmula'!J2,31)))</f>
        <v>1.13</v>
      </c>
      <c r="CY2" s="118">
        <f t="shared" ref="CY2:CY123" si="17">ABS(CW2-CX2)</f>
        <v>2.19</v>
      </c>
      <c r="CZ2" s="119">
        <f t="array" ref="CZ2">(('Fórmula'!C2)/('Fórmula'!C2+'Fórmula'!E2+'Fórmula'!G2+'Fórmula'!I2+'Fórmula'!K2))*(INDEX(properties!A$1:CB$87,'Fórmula'!B2,32))+(('Fórmula'!E2)/('Fórmula'!C2+'Fórmula'!E2+'Fórmula'!G2+'Fórmula'!I2+'Fórmula'!K2))*(INDEX(properties!A$1:CB$87,'Fórmula'!D2,32))+(('Fórmula'!G2)/('Fórmula'!C2+'Fórmula'!E2+'Fórmula'!G2+'Fórmula'!I2+'Fórmula'!K2))*(INDEX(properties!A$1:CB$87,'Fórmula'!F2,32))+(('Fórmula'!I2)/('Fórmula'!C2+'Fórmula'!E2+'Fórmula'!G2+'Fórmula'!I2+'Fórmula'!K2))*(INDEX(properties!A$1:CB$87,'Fórmula'!H2,32))+(('Fórmula'!K2)/('Fórmula'!C2+'Fórmula'!E2+'Fórmula'!G2+'Fórmula'!I2+'Fórmula'!K2))*(INDEX(properties!A$1:CB$87,'Fórmula'!J2,32))</f>
        <v>5.638333333</v>
      </c>
      <c r="DA2" s="119">
        <f t="array" ref="DA2">'Fórmula'!C2*(INDEX(properties!A$1:CB$87,'Fórmula'!B2,32))+'Fórmula'!E2*(INDEX(properties!A$1:CB$87,'Fórmula'!D2,32))+'Fórmula'!G2*(INDEX(properties!A$1:CB$87,'Fórmula'!F2,32))+'Fórmula'!I2*(INDEX(properties!A$1:CB$87,'Fórmula'!H2,32))+'Fórmula'!K2*(INDEX(properties!A$1:CB$87,'Fórmula'!J2,32))</f>
        <v>67.66</v>
      </c>
      <c r="DB2" s="119">
        <f t="array" ref="DB2">VARP(IF(INDEX(properties!A$1:CB$87,'Fórmula'!B2,32)&lt;&gt;"",INDEX(properties!A$1:CB$87,'Fórmula'!B2,32)),IF(INDEX(properties!A$1:CB$87,'Fórmula'!D2,32)&lt;&gt;"",INDEX(properties!A$1:CB$87,'Fórmula'!D2,32)),IF(INDEX(properties!A$1:CB$87,'Fórmula'!F2,32)&lt;&gt;"",INDEX(properties!A$1:CB$87,'Fórmula'!F2,32)),IF(INDEX(properties!A$1:CB$87,'Fórmula'!H2,32)&lt;&gt;"",INDEX(properties!A$1:CB$87,'Fórmula'!H2,32)),IF(INDEX(properties!A$1:CB$87,'Fórmula'!J2,32)&lt;&gt;"",INDEX(properties!A$1:CB$87,'Fórmula'!J2,32)))</f>
        <v>6.103256</v>
      </c>
      <c r="DC2" s="119">
        <f t="array" ref="DC2">MAX(INDEX(properties!A$1:CB$87,'Fórmula'!B2,32),INDEX(properties!A$1:CB$87,'Fórmula'!D2,32),INDEX(properties!A$1:CB$87,'Fórmula'!F2,32),INDEX(properties!A$1:CB$87,'Fórmula'!H2,32),INDEX(properties!A$1:CB$87,'Fórmula'!J2,32))</f>
        <v>7.54</v>
      </c>
      <c r="DD2" s="119">
        <f t="array" ref="DD2">MIN(IF(INDEX(properties!A$1:CB$87,'Fórmula'!B2,32)=0,10^6,INDEX(properties!A$1:CB$87,'Fórmula'!B2,32)),IF(INDEX(properties!A$1:CB$87,'Fórmula'!D2,32)=0,10^6,INDEX(properties!A$1:CB$87,'Fórmula'!D2,32)),IF(INDEX(properties!A$1:CB$87,'Fórmula'!F2,32)=0,10^6,INDEX(properties!A$1:CB$87,'Fórmula'!F2,32)),IF(INDEX(properties!A$1:CB$87,'Fórmula'!H2,32)=0,10^6,INDEX(properties!A$1:CB$87,'Fórmula'!H2,32)),IF(INDEX(properties!A$1:CB$87,'Fórmula'!J2,32)=0,10^6,INDEX(properties!A$1:CB$87,'Fórmula'!J2,32)))</f>
        <v>2</v>
      </c>
      <c r="DE2" s="119">
        <f t="shared" ref="DE2:DE123" si="18">ABS(DC2-DD2)</f>
        <v>5.54</v>
      </c>
      <c r="DF2" s="104">
        <f t="array" ref="DF2">(('Fórmula'!C2)/('Fórmula'!C2+'Fórmula'!E2+'Fórmula'!G2+'Fórmula'!I2+'Fórmula'!K2))*(INDEX(properties!A$1:CB$87,'Fórmula'!B2,34))+(('Fórmula'!E2)/('Fórmula'!C2+'Fórmula'!E2+'Fórmula'!G2+'Fórmula'!I2+'Fórmula'!K2))*(INDEX(properties!A$1:CB$87,'Fórmula'!D2,34))+(('Fórmula'!G2)/('Fórmula'!C2+'Fórmula'!E2+'Fórmula'!G2+'Fórmula'!I2+'Fórmula'!K2))*(INDEX(properties!A$1:CB$87,'Fórmula'!F2,34))+(('Fórmula'!I2)/('Fórmula'!C2+'Fórmula'!E2+'Fórmula'!G2+'Fórmula'!I2+'Fórmula'!K2))*(INDEX(properties!A$1:CB$87,'Fórmula'!H2,34))+(('Fórmula'!K2)/('Fórmula'!C2+'Fórmula'!E2+'Fórmula'!G2+'Fórmula'!I2+'Fórmula'!K2))*(INDEX(properties!A$1:CB$87,'Fórmula'!J2,34))</f>
        <v>2.682666667</v>
      </c>
      <c r="DG2" s="104">
        <f t="array" ref="DG2">'Fórmula'!C2*(INDEX(properties!A$1:CB$87,'Fórmula'!B2,34))+'Fórmula'!E2*(INDEX(properties!A$1:CB$87,'Fórmula'!D2,34))+'Fórmula'!G2*(INDEX(properties!A$1:CB$87,'Fórmula'!F2,34))+'Fórmula'!I2*(INDEX(properties!A$1:CB$87,'Fórmula'!H2,34))+'Fórmula'!K2*(INDEX(properties!A$1:CB$87,'Fórmula'!J2,34))</f>
        <v>32.192</v>
      </c>
      <c r="DH2" s="104">
        <f t="array" ref="DH2">VARP(IF(INDEX(properties!A$1:CB$87,'Fórmula'!B2,34)&lt;&gt;"",INDEX(properties!A$1:CB$87,'Fórmula'!B2,34)),IF(INDEX(properties!A$1:CB$87,'Fórmula'!D2,34)&lt;&gt;"",INDEX(properties!A$1:CB$87,'Fórmula'!D2,34)),IF(INDEX(properties!A$1:CB$87,'Fórmula'!F2,34)&lt;&gt;"",INDEX(properties!A$1:CB$87,'Fórmula'!F2,34)),IF(INDEX(properties!A$1:CB$87,'Fórmula'!H2,34)&lt;&gt;"",INDEX(properties!A$1:CB$87,'Fórmula'!H2,34)),IF(INDEX(properties!A$1:CB$87,'Fórmula'!J2,34)&lt;&gt;"",INDEX(properties!A$1:CB$87,'Fórmula'!J2,34)))</f>
        <v>1.42802216</v>
      </c>
      <c r="DI2" s="104">
        <f t="array" ref="DI2">MAX(INDEX(properties!A$1:CB$87,'Fórmula'!B2,34),INDEX(properties!A$1:CB$87,'Fórmula'!D2,34),INDEX(properties!A$1:CB$87,'Fórmula'!F2,34),INDEX(properties!A$1:CB$87,'Fórmula'!H2,34),INDEX(properties!A$1:CB$87,'Fórmula'!J2,34))</f>
        <v>3.61</v>
      </c>
      <c r="DJ2" s="104">
        <f t="array" ref="DJ2">MIN(IF(INDEX(properties!A$1:CB$87,'Fórmula'!B2,34)=0,10^6,INDEX(properties!A$1:CB$87,'Fórmula'!B2,34)),IF(INDEX(properties!A$1:CB$87,'Fórmula'!D2,34)=0,10^6,INDEX(properties!A$1:CB$87,'Fórmula'!D2,34)),IF(INDEX(properties!A$1:CB$87,'Fórmula'!F2,34)=0,10^6,INDEX(properties!A$1:CB$87,'Fórmula'!F2,34)),IF(INDEX(properties!A$1:CB$87,'Fórmula'!H2,34)=0,10^6,INDEX(properties!A$1:CB$87,'Fórmula'!H2,34)),IF(INDEX(properties!A$1:CB$87,'Fórmula'!J2,34)=0,10^6,INDEX(properties!A$1:CB$87,'Fórmula'!J2,34)))</f>
        <v>0.963</v>
      </c>
      <c r="DK2" s="104">
        <f t="shared" ref="DK2:DK123" si="19">ABS(DI2-DJ2)</f>
        <v>2.647</v>
      </c>
      <c r="DL2" s="105">
        <f t="array" ref="DL2">(('Fórmula'!C2)/('Fórmula'!C2+'Fórmula'!E2+'Fórmula'!G2+'Fórmula'!I2+'Fórmula'!K2))*(INDEX(properties!A$1:CB$87,'Fórmula'!B2,37))+(('Fórmula'!E2)/('Fórmula'!C2+'Fórmula'!E2+'Fórmula'!G2+'Fórmula'!I2+'Fórmula'!K2))*(INDEX(properties!A$1:CB$87,'Fórmula'!D2,37))+(('Fórmula'!G2)/('Fórmula'!C2+'Fórmula'!E2+'Fórmula'!G2+'Fórmula'!I2+'Fórmula'!K2))*(INDEX(properties!A$1:CB$87,'Fórmula'!F2,37))+(('Fórmula'!I2)/('Fórmula'!C2+'Fórmula'!E2+'Fórmula'!G2+'Fórmula'!I2+'Fórmula'!K2))*(INDEX(properties!A$1:CB$87,'Fórmula'!H2,37))+(('Fórmula'!K2)/('Fórmula'!C2+'Fórmula'!E2+'Fórmula'!G2+'Fórmula'!I2+'Fórmula'!K2))*(INDEX(properties!A$1:CB$87,'Fórmula'!J2,37))</f>
        <v>2.579166667</v>
      </c>
      <c r="DM2" s="105">
        <f t="array" ref="DM2">'Fórmula'!C2*(INDEX(properties!A$1:CB$87,'Fórmula'!B2,37))+'Fórmula'!E2*(INDEX(properties!A$1:CB$87,'Fórmula'!D2,37))+'Fórmula'!G2*(INDEX(properties!A$1:CB$87,'Fórmula'!F2,37))+'Fórmula'!I2*(INDEX(properties!A$1:CB$87,'Fórmula'!H2,37))+'Fórmula'!K2*(INDEX(properties!A$1:CB$87,'Fórmula'!J2,37))</f>
        <v>30.95</v>
      </c>
      <c r="DN2" s="105">
        <f t="array" ref="DN2">VARP(IF(INDEX(properties!A$1:CB$87,'Fórmula'!B2,37)&lt;&gt;"",INDEX(properties!A$1:CB$87,'Fórmula'!B2,37)),IF(INDEX(properties!A$1:CB$87,'Fórmula'!D2,37)&lt;&gt;"",INDEX(properties!A$1:CB$87,'Fórmula'!D2,37)),IF(INDEX(properties!A$1:CB$87,'Fórmula'!F2,37)&lt;&gt;"",INDEX(properties!A$1:CB$87,'Fórmula'!F2,37)),IF(INDEX(properties!A$1:CB$87,'Fórmula'!H2,37)&lt;&gt;"",INDEX(properties!A$1:CB$87,'Fórmula'!H2,37)),IF(INDEX(properties!A$1:CB$87,'Fórmula'!J2,37)&lt;&gt;"",INDEX(properties!A$1:CB$87,'Fórmula'!J2,37)))</f>
        <v>1.266</v>
      </c>
      <c r="DO2" s="105">
        <f t="array" ref="DO2">MAX(INDEX(properties!A$1:CB$87,'Fórmula'!B2,37),INDEX(properties!A$1:CB$87,'Fórmula'!D2,37),INDEX(properties!A$1:CB$87,'Fórmula'!F2,37),INDEX(properties!A$1:CB$87,'Fórmula'!H2,37),INDEX(properties!A$1:CB$87,'Fórmula'!J2,37))</f>
        <v>3.45</v>
      </c>
      <c r="DP2" s="105">
        <f t="array" ref="DP2">MIN(IF(INDEX(properties!A$1:CB$87,'Fórmula'!B2,37)=0,10^6,INDEX(properties!A$1:CB$87,'Fórmula'!B2,37)),IF(INDEX(properties!A$1:CB$87,'Fórmula'!D2,37)=0,10^6,INDEX(properties!A$1:CB$87,'Fórmula'!D2,37)),IF(INDEX(properties!A$1:CB$87,'Fórmula'!F2,37)=0,10^6,INDEX(properties!A$1:CB$87,'Fórmula'!F2,37)),IF(INDEX(properties!A$1:CB$87,'Fórmula'!H2,37)=0,10^6,INDEX(properties!A$1:CB$87,'Fórmula'!H2,37)),IF(INDEX(properties!A$1:CB$87,'Fórmula'!J2,37)=0,10^6,INDEX(properties!A$1:CB$87,'Fórmula'!J2,37)))</f>
        <v>1</v>
      </c>
      <c r="DQ2" s="105">
        <f t="shared" ref="DQ2:DQ123" si="20">ABS(DO2-DP2)</f>
        <v>2.45</v>
      </c>
      <c r="DR2" s="109">
        <f t="array" ref="DR2">(('Fórmula'!C2)/('Fórmula'!C2+'Fórmula'!E2+'Fórmula'!G2+'Fórmula'!I2+'Fórmula'!K2))*(INDEX(properties!A$1:CB$87,'Fórmula'!B2,39))+(('Fórmula'!E2)/('Fórmula'!C2+'Fórmula'!E2+'Fórmula'!G2+'Fórmula'!I2+'Fórmula'!K2))*(INDEX(properties!A$1:CB$87,'Fórmula'!D2,39))+(('Fórmula'!G2)/('Fórmula'!C2+'Fórmula'!E2+'Fórmula'!G2+'Fórmula'!I2+'Fórmula'!K2))*(INDEX(properties!A$1:CB$87,'Fórmula'!F2,39))+(('Fórmula'!I2)/('Fórmula'!C2+'Fórmula'!E2+'Fórmula'!G2+'Fórmula'!I2+'Fórmula'!K2))*(INDEX(properties!A$1:CB$87,'Fórmula'!H2,39))+(('Fórmula'!K2)/('Fórmula'!C2+'Fórmula'!E2+'Fórmula'!G2+'Fórmula'!I2+'Fórmula'!K2))*(INDEX(properties!A$1:CB$87,'Fórmula'!J2,39))</f>
        <v>0.9341666667</v>
      </c>
      <c r="DS2" s="109">
        <f t="array" ref="DS2">'Fórmula'!C2*(INDEX(properties!A$1:CB$87,'Fórmula'!B2,39))+'Fórmula'!E2*(INDEX(properties!A$1:CB$87,'Fórmula'!D2,39))+'Fórmula'!G2*(INDEX(properties!A$1:CB$87,'Fórmula'!F2,39))+'Fórmula'!I2*(INDEX(properties!A$1:CB$87,'Fórmula'!H2,39))+'Fórmula'!K2*(INDEX(properties!A$1:CB$87,'Fórmula'!J2,39))</f>
        <v>11.21</v>
      </c>
      <c r="DT2" s="109">
        <f t="array" ref="DT2">VARP(IF(INDEX(properties!A$1:CB$87,'Fórmula'!B2,39)&lt;&gt;"",INDEX(properties!A$1:CB$87,'Fórmula'!B2,39)),IF(INDEX(properties!A$1:CB$87,'Fórmula'!D2,39)&lt;&gt;"",INDEX(properties!A$1:CB$87,'Fórmula'!D2,39)),IF(INDEX(properties!A$1:CB$87,'Fórmula'!F2,39)&lt;&gt;"",INDEX(properties!A$1:CB$87,'Fórmula'!F2,39)),IF(INDEX(properties!A$1:CB$87,'Fórmula'!H2,39)&lt;&gt;"",INDEX(properties!A$1:CB$87,'Fórmula'!H2,39)),IF(INDEX(properties!A$1:CB$87,'Fórmula'!J2,39)&lt;&gt;"",INDEX(properties!A$1:CB$87,'Fórmula'!J2,39)))</f>
        <v>0.757024</v>
      </c>
      <c r="DU2" s="120">
        <f t="array" ref="DU2">MAX(INDEX(properties!A$1:CB$87,'Fórmula'!B2,39),INDEX(properties!A$1:CB$87,'Fórmula'!D2,39),INDEX(properties!A$1:CB$87,'Fórmula'!F2,39),INDEX(properties!A$1:CB$87,'Fórmula'!H2,39),INDEX(properties!A$1:CB$87,'Fórmula'!J2,39))</f>
        <v>2.19</v>
      </c>
      <c r="DV2" s="120">
        <f t="array" ref="DV2">MIN(IF(INDEX(properties!A$1:CB$87,'Fórmula'!B2,39)=0,10^6,INDEX(properties!A$1:CB$87,'Fórmula'!B2,39)),IF(INDEX(properties!A$1:CB$87,'Fórmula'!D2,39)=0,10^6,INDEX(properties!A$1:CB$87,'Fórmula'!D2,39)),IF(INDEX(properties!A$1:CB$87,'Fórmula'!F2,39)=0,10^6,INDEX(properties!A$1:CB$87,'Fórmula'!F2,39)),IF(INDEX(properties!A$1:CB$87,'Fórmula'!H2,39)=0,10^6,INDEX(properties!A$1:CB$87,'Fórmula'!H2,39)),IF(INDEX(properties!A$1:CB$87,'Fórmula'!J2,39)=0,10^6,INDEX(properties!A$1:CB$87,'Fórmula'!J2,39)))</f>
        <v>0.48</v>
      </c>
      <c r="DW2" s="109">
        <f t="shared" ref="DW2:DW123" si="21">ABS(DU2-DV2)</f>
        <v>1.71</v>
      </c>
      <c r="DX2" s="110">
        <f t="array" ref="DX2">(('Fórmula'!C2)/('Fórmula'!C2+'Fórmula'!E2+'Fórmula'!G2+'Fórmula'!I2+'Fórmula'!K2))*(INDEX(properties!A$1:CB$87,'Fórmula'!B2,40))+(('Fórmula'!E2)/('Fórmula'!C2+'Fórmula'!E2+'Fórmula'!G2+'Fórmula'!I2+'Fórmula'!K2))*(INDEX(properties!A$1:CB$87,'Fórmula'!D2,40))+(('Fórmula'!G2)/('Fórmula'!C2+'Fórmula'!E2+'Fórmula'!G2+'Fórmula'!I2+'Fórmula'!K2))*(INDEX(properties!A$1:CB$87,'Fórmula'!F2,40))+(('Fórmula'!I2)/('Fórmula'!C2+'Fórmula'!E2+'Fórmula'!G2+'Fórmula'!I2+'Fórmula'!K2))*(INDEX(properties!A$1:CB$87,'Fórmula'!H2,40))+(('Fórmula'!K2)/('Fórmula'!C2+'Fórmula'!E2+'Fórmula'!G2+'Fórmula'!I2+'Fórmula'!K2))*(INDEX(properties!A$1:CB$87,'Fórmula'!J2,40))</f>
        <v>1.015833333</v>
      </c>
      <c r="DY2" s="110">
        <f t="array" ref="DY2">'Fórmula'!C2*(INDEX(properties!A$1:CB$87,'Fórmula'!B2,40))+'Fórmula'!E2*(INDEX(properties!A$1:CB$87,'Fórmula'!D2,40))+'Fórmula'!G2*(INDEX(properties!A$1:CB$87,'Fórmula'!F2,40))+'Fórmula'!I2*(INDEX(properties!A$1:CB$87,'Fórmula'!H2,40))+'Fórmula'!K2*(INDEX(properties!A$1:CB$87,'Fórmula'!J2,40))</f>
        <v>12.19</v>
      </c>
      <c r="DZ2" s="110">
        <f t="array" ref="DZ2">VARP(IF(INDEX(properties!A$1:CB$87,'Fórmula'!B2,40)&lt;&gt;"",INDEX(properties!A$1:CB$87,'Fórmula'!B2,40)),IF(INDEX(properties!A$1:CB$87,'Fórmula'!D2,40)&lt;&gt;"",INDEX(properties!A$1:CB$87,'Fórmula'!D2,40)),IF(INDEX(properties!A$1:CB$87,'Fórmula'!F2,40)&lt;&gt;"",INDEX(properties!A$1:CB$87,'Fórmula'!F2,40)),IF(INDEX(properties!A$1:CB$87,'Fórmula'!H2,40)&lt;&gt;"",INDEX(properties!A$1:CB$87,'Fórmula'!H2,40)),IF(INDEX(properties!A$1:CB$87,'Fórmula'!J2,40)&lt;&gt;"",INDEX(properties!A$1:CB$87,'Fórmula'!J2,40)))</f>
        <v>0.45912</v>
      </c>
      <c r="EA2" s="121">
        <f t="array" ref="EA2">MAX(INDEX(properties!A$1:CB$87,'Fórmula'!B2,40),INDEX(properties!A$1:CB$87,'Fórmula'!D2,40),INDEX(properties!A$1:CB$87,'Fórmula'!F2,40),INDEX(properties!A$1:CB$87,'Fórmula'!H2,40),INDEX(properties!A$1:CB$87,'Fórmula'!J2,40))</f>
        <v>1.92</v>
      </c>
      <c r="EB2" s="121">
        <f t="array" ref="EB2">MIN(IF(INDEX(properties!A$1:CB$87,'Fórmula'!B2,40)=0,10^6,INDEX(properties!A$1:CB$87,'Fórmula'!B2,40)),IF(INDEX(properties!A$1:CB$87,'Fórmula'!D2,40)=0,10^6,INDEX(properties!A$1:CB$87,'Fórmula'!D2,40)),IF(INDEX(properties!A$1:CB$87,'Fórmula'!F2,40)=0,10^6,INDEX(properties!A$1:CB$87,'Fórmula'!F2,40)),IF(INDEX(properties!A$1:CB$87,'Fórmula'!H2,40)=0,10^6,INDEX(properties!A$1:CB$87,'Fórmula'!H2,40)),IF(INDEX(properties!A$1:CB$87,'Fórmula'!J2,40)=0,10^6,INDEX(properties!A$1:CB$87,'Fórmula'!J2,40)))</f>
        <v>0.73</v>
      </c>
      <c r="EC2" s="110">
        <f t="shared" ref="EC2:EC123" si="22">ABS(EA2-EB2)</f>
        <v>1.19</v>
      </c>
      <c r="ED2" s="111">
        <f t="array" ref="ED2">(('Fórmula'!C2)/('Fórmula'!C2+'Fórmula'!E2+'Fórmula'!G2+'Fórmula'!I2+'Fórmula'!K2))*(INDEX(properties!A$1:CB$87,'Fórmula'!B2,41))+(('Fórmula'!E2)/('Fórmula'!C2+'Fórmula'!E2+'Fórmula'!G2+'Fórmula'!I2+'Fórmula'!K2))*(INDEX(properties!A$1:CB$87,'Fórmula'!D2,41))+(('Fórmula'!G2)/('Fórmula'!C2+'Fórmula'!E2+'Fórmula'!G2+'Fórmula'!I2+'Fórmula'!K2))*(INDEX(properties!A$1:CB$87,'Fórmula'!F2,41))+(('Fórmula'!I2)/('Fórmula'!C2+'Fórmula'!E2+'Fórmula'!G2+'Fórmula'!I2+'Fórmula'!K2))*(INDEX(properties!A$1:CB$87,'Fórmula'!H2,41))+(('Fórmula'!K2)/('Fórmula'!C2+'Fórmula'!E2+'Fórmula'!G2+'Fórmula'!I2+'Fórmula'!K2))*(INDEX(properties!A$1:CB$87,'Fórmula'!J2,41))</f>
        <v>1.101666667</v>
      </c>
      <c r="EE2" s="111">
        <f t="array" ref="EE2">'Fórmula'!C2*(INDEX(properties!A$1:CB$87,'Fórmula'!B2,41))+'Fórmula'!E2*(INDEX(properties!A$1:CB$87,'Fórmula'!D2,41))+'Fórmula'!G2*(INDEX(properties!A$1:CB$87,'Fórmula'!F2,41))+'Fórmula'!I2*(INDEX(properties!A$1:CB$87,'Fórmula'!H2,41))+'Fórmula'!K2*(INDEX(properties!A$1:CB$87,'Fórmula'!J2,41))</f>
        <v>13.22</v>
      </c>
      <c r="EF2" s="111">
        <f t="array" ref="EF2">VARP(IF(INDEX(properties!A$1:CB$87,'Fórmula'!B2,41)&lt;&gt;"",INDEX(properties!A$1:CB$87,'Fórmula'!B2,41)),IF(INDEX(properties!A$1:CB$87,'Fórmula'!D2,41)&lt;&gt;"",INDEX(properties!A$1:CB$87,'Fórmula'!D2,41)),IF(INDEX(properties!A$1:CB$87,'Fórmula'!F2,41)&lt;&gt;"",INDEX(properties!A$1:CB$87,'Fórmula'!F2,41)),IF(INDEX(properties!A$1:CB$87,'Fórmula'!H2,41)&lt;&gt;"",INDEX(properties!A$1:CB$87,'Fórmula'!H2,41)),IF(INDEX(properties!A$1:CB$87,'Fórmula'!J2,41)&lt;&gt;"",INDEX(properties!A$1:CB$87,'Fórmula'!J2,41)))</f>
        <v>0.2352</v>
      </c>
      <c r="EG2" s="122">
        <f t="array" ref="EG2">MAX(INDEX(properties!A$1:CB$87,'Fórmula'!B2,41),INDEX(properties!A$1:CB$87,'Fórmula'!D2,41),INDEX(properties!A$1:CB$87,'Fórmula'!F2,41),INDEX(properties!A$1:CB$87,'Fórmula'!H2,41),INDEX(properties!A$1:CB$87,'Fórmula'!J2,41))</f>
        <v>1.32</v>
      </c>
      <c r="EH2" s="122">
        <f t="array" ref="EH2">MIN(IF(INDEX(properties!A$1:CB$87,'Fórmula'!B2,41)=0,10^6,INDEX(properties!A$1:CB$87,'Fórmula'!B2,41)),IF(INDEX(properties!A$1:CB$87,'Fórmula'!D2,41)=0,10^6,INDEX(properties!A$1:CB$87,'Fórmula'!D2,41)),IF(INDEX(properties!A$1:CB$87,'Fórmula'!F2,41)=0,10^6,INDEX(properties!A$1:CB$87,'Fórmula'!F2,41)),IF(INDEX(properties!A$1:CB$87,'Fórmula'!H2,41)=0,10^6,INDEX(properties!A$1:CB$87,'Fórmula'!H2,41)),IF(INDEX(properties!A$1:CB$87,'Fórmula'!J2,41)=0,10^6,INDEX(properties!A$1:CB$87,'Fórmula'!J2,41)))</f>
        <v>0.68</v>
      </c>
      <c r="EI2" s="111">
        <f t="shared" ref="EI2:EI123" si="23">ABS(EG2-EH2)</f>
        <v>0.64</v>
      </c>
      <c r="EJ2" s="112">
        <f t="array" ref="EJ2">(('Fórmula'!C2)/('Fórmula'!C2+'Fórmula'!E2+'Fórmula'!G2+'Fórmula'!I2+'Fórmula'!K2))*(INDEX(properties!A$1:CB$87,'Fórmula'!B2,45))+(('Fórmula'!E2)/('Fórmula'!C2+'Fórmula'!E2+'Fórmula'!G2+'Fórmula'!I2+'Fórmula'!K2))*(INDEX(properties!A$1:CB$87,'Fórmula'!D2,45))+(('Fórmula'!G2)/('Fórmula'!C2+'Fórmula'!E2+'Fórmula'!G2+'Fórmula'!I2+'Fórmula'!K2))*(INDEX(properties!A$1:CB$87,'Fórmula'!F2,45))+(('Fórmula'!I2)/('Fórmula'!C2+'Fórmula'!E2+'Fórmula'!G2+'Fórmula'!I2+'Fórmula'!K2))*(INDEX(properties!A$1:CB$87,'Fórmula'!H2,45))+(('Fórmula'!K2)/('Fórmula'!C2+'Fórmula'!E2+'Fórmula'!G2+'Fórmula'!I2+'Fórmula'!K2))*(INDEX(properties!A$1:CB$87,'Fórmula'!J2,45))</f>
        <v>1.206666667</v>
      </c>
      <c r="EK2" s="112">
        <f t="array" ref="EK2">'Fórmula'!C2*(INDEX(properties!A$1:CB$87,'Fórmula'!B2,45))+'Fórmula'!E2*(INDEX(properties!A$1:CB$87,'Fórmula'!D2,45))+'Fórmula'!G2*(INDEX(properties!A$1:CB$87,'Fórmula'!F2,45))+'Fórmula'!I2*(INDEX(properties!A$1:CB$87,'Fórmula'!H2,45))+'Fórmula'!K2*(INDEX(properties!A$1:CB$87,'Fórmula'!J2,45))</f>
        <v>14.48</v>
      </c>
      <c r="EL2" s="112">
        <f t="array" ref="EL2">VARP(IF(INDEX(properties!A$1:CB$87,'Fórmula'!B2,45)&lt;&gt;"",INDEX(properties!A$1:CB$87,'Fórmula'!B2,45)),IF(INDEX(properties!A$1:CB$87,'Fórmula'!D2,45)&lt;&gt;"",INDEX(properties!A$1:CB$87,'Fórmula'!D2,45)),IF(INDEX(properties!A$1:CB$87,'Fórmula'!F2,45)&lt;&gt;"",INDEX(properties!A$1:CB$87,'Fórmula'!F2,45)),IF(INDEX(properties!A$1:CB$87,'Fórmula'!H2,45)&lt;&gt;"",INDEX(properties!A$1:CB$87,'Fórmula'!H2,45)),IF(INDEX(properties!A$1:CB$87,'Fórmula'!J2,45)&lt;&gt;"",INDEX(properties!A$1:CB$87,'Fórmula'!J2,45)))</f>
        <v>1.6426</v>
      </c>
      <c r="EM2" s="123">
        <f t="array" ref="EM2">MAX(INDEX(properties!A$1:CB$87,'Fórmula'!B2,45),INDEX(properties!A$1:CB$87,'Fórmula'!D2,45),INDEX(properties!A$1:CB$87,'Fórmula'!F2,45),INDEX(properties!A$1:CB$87,'Fórmula'!H2,45),INDEX(properties!A$1:CB$87,'Fórmula'!J2,45))</f>
        <v>3.21</v>
      </c>
      <c r="EN2" s="123">
        <f t="array" ref="EN2">MIN(IF(INDEX(properties!A$1:CB$87,'Fórmula'!B2,45)=0,10^6,INDEX(properties!A$1:CB$87,'Fórmula'!B2,45)),IF(INDEX(properties!A$1:CB$87,'Fórmula'!D2,45)=0,10^6,INDEX(properties!A$1:CB$87,'Fórmula'!D2,45)),IF(INDEX(properties!A$1:CB$87,'Fórmula'!F2,45)=0,10^6,INDEX(properties!A$1:CB$87,'Fórmula'!F2,45)),IF(INDEX(properties!A$1:CB$87,'Fórmula'!H2,45)=0,10^6,INDEX(properties!A$1:CB$87,'Fórmula'!H2,45)),IF(INDEX(properties!A$1:CB$87,'Fórmula'!J2,45)=0,10^6,INDEX(properties!A$1:CB$87,'Fórmula'!J2,45)))</f>
        <v>0.47</v>
      </c>
      <c r="EO2" s="112">
        <f t="shared" ref="EO2:EO123" si="24">ABS(EM2-EN2)</f>
        <v>2.74</v>
      </c>
      <c r="EP2" s="113">
        <f t="array" ref="EP2">(('Fórmula'!C2)/('Fórmula'!C2+'Fórmula'!E2+'Fórmula'!G2+'Fórmula'!I2+'Fórmula'!K2))*(INDEX(properties!A$1:CB$87,'Fórmula'!B2,46))+(('Fórmula'!E2)/('Fórmula'!C2+'Fórmula'!E2+'Fórmula'!G2+'Fórmula'!I2+'Fórmula'!K2))*(INDEX(properties!A$1:CB$87,'Fórmula'!D2,46))+(('Fórmula'!G2)/('Fórmula'!C2+'Fórmula'!E2+'Fórmula'!G2+'Fórmula'!I2+'Fórmula'!K2))*(INDEX(properties!A$1:CB$87,'Fórmula'!F2,46))+(('Fórmula'!I2)/('Fórmula'!C2+'Fórmula'!E2+'Fórmula'!G2+'Fórmula'!I2+'Fórmula'!K2))*(INDEX(properties!A$1:CB$87,'Fórmula'!H2,46))+(('Fórmula'!K2)/('Fórmula'!C2+'Fórmula'!E2+'Fórmula'!G2+'Fórmula'!I2+'Fórmula'!K2))*(INDEX(properties!A$1:CB$87,'Fórmula'!J2,46))</f>
        <v>1.035</v>
      </c>
      <c r="EQ2" s="113">
        <f t="array" ref="EQ2">'Fórmula'!C2*(INDEX(properties!A$1:CB$87,'Fórmula'!B2,46))+'Fórmula'!E2*(INDEX(properties!A$1:CB$87,'Fórmula'!D2,46))+'Fórmula'!G2*(INDEX(properties!A$1:CB$87,'Fórmula'!F2,46))+'Fórmula'!I2*(INDEX(properties!A$1:CB$87,'Fórmula'!H2,46))+'Fórmula'!K2*(INDEX(properties!A$1:CB$87,'Fórmula'!J2,46))</f>
        <v>12.42</v>
      </c>
      <c r="ER2" s="113">
        <f t="array" ref="ER2">VARP(IF(INDEX(properties!A$1:CB$87,'Fórmula'!B2,46)&lt;&gt;"",INDEX(properties!A$1:CB$87,'Fórmula'!B2,46)),IF(INDEX(properties!A$1:CB$87,'Fórmula'!D2,46)&lt;&gt;"",INDEX(properties!A$1:CB$87,'Fórmula'!D2,46)),IF(INDEX(properties!A$1:CB$87,'Fórmula'!F2,46)&lt;&gt;"",INDEX(properties!A$1:CB$87,'Fórmula'!F2,46)),IF(INDEX(properties!A$1:CB$87,'Fórmula'!H2,46)&lt;&gt;"",INDEX(properties!A$1:CB$87,'Fórmula'!H2,46)),IF(INDEX(properties!A$1:CB$87,'Fórmula'!J2,46)&lt;&gt;"",INDEX(properties!A$1:CB$87,'Fórmula'!J2,46)))</f>
        <v>0.2414</v>
      </c>
      <c r="ES2" s="124">
        <f t="array" ref="ES2">MAX(INDEX(properties!A$1:CB$87,'Fórmula'!B2,46),INDEX(properties!A$1:CB$87,'Fórmula'!D2,46),INDEX(properties!A$1:CB$87,'Fórmula'!F2,46),INDEX(properties!A$1:CB$87,'Fórmula'!H2,46),INDEX(properties!A$1:CB$87,'Fórmula'!J2,46))</f>
        <v>1.32</v>
      </c>
      <c r="ET2" s="124">
        <f t="array" ref="ET2">MIN(IF(INDEX(properties!A$1:CB$87,'Fórmula'!B2,46)=0,10^6,INDEX(properties!A$1:CB$87,'Fórmula'!B2,46)),IF(INDEX(properties!A$1:CB$87,'Fórmula'!D2,46)=0,10^6,INDEX(properties!A$1:CB$87,'Fórmula'!D2,46)),IF(INDEX(properties!A$1:CB$87,'Fórmula'!F2,46)=0,10^6,INDEX(properties!A$1:CB$87,'Fórmula'!F2,46)),IF(INDEX(properties!A$1:CB$87,'Fórmula'!H2,46)=0,10^6,INDEX(properties!A$1:CB$87,'Fórmula'!H2,46)),IF(INDEX(properties!A$1:CB$87,'Fórmula'!J2,46)=0,10^6,INDEX(properties!A$1:CB$87,'Fórmula'!J2,46)))</f>
        <v>0.53</v>
      </c>
      <c r="EU2" s="113">
        <f t="shared" ref="EU2:EU123" si="25">ABS(ES2-ET2)</f>
        <v>0.79</v>
      </c>
      <c r="EV2" s="114">
        <f t="array" ref="EV2">(('Fórmula'!C2)/('Fórmula'!C2+'Fórmula'!E2+'Fórmula'!G2+'Fórmula'!I2+'Fórmula'!K2))*(INDEX(properties!A$1:CB$87,'Fórmula'!B2,52))+(('Fórmula'!E2)/('Fórmula'!C2+'Fórmula'!E2+'Fórmula'!G2+'Fórmula'!I2+'Fórmula'!K2))*(INDEX(properties!A$1:CB$87,'Fórmula'!D2,52))+(('Fórmula'!G2)/('Fórmula'!C2+'Fórmula'!E2+'Fórmula'!G2+'Fórmula'!I2+'Fórmula'!K2))*(INDEX(properties!A$1:CB$87,'Fórmula'!F2,52))+(('Fórmula'!I2)/('Fórmula'!C2+'Fórmula'!E2+'Fórmula'!G2+'Fórmula'!I2+'Fórmula'!K2))*(INDEX(properties!A$1:CB$87,'Fórmula'!H2,52))+(('Fórmula'!K2)/('Fórmula'!C2+'Fórmula'!E2+'Fórmula'!G2+'Fórmula'!I2+'Fórmula'!K2))*(INDEX(properties!A$1:CB$87,'Fórmula'!J2,52))</f>
        <v>6.72925</v>
      </c>
      <c r="EW2" s="114">
        <f t="array" ref="EW2">'Fórmula'!C2*(INDEX(properties!A$1:CB$87,'Fórmula'!B2,52))+'Fórmula'!E2*(INDEX(properties!A$1:CB$87,'Fórmula'!D2,52))+'Fórmula'!G2*(INDEX(properties!A$1:CB$87,'Fórmula'!F2,52))+'Fórmula'!I2*(INDEX(properties!A$1:CB$87,'Fórmula'!H2,52))+'Fórmula'!K2*(INDEX(properties!A$1:CB$87,'Fórmula'!J2,52))</f>
        <v>80.751</v>
      </c>
      <c r="EX2" s="114">
        <f t="array" ref="EX2">VARP(IF(INDEX(properties!A$1:CB$87,'Fórmula'!B2,52)&lt;&gt;"",INDEX(properties!A$1:CB$87,'Fórmula'!B2,52)),IF(INDEX(properties!A$1:CB$87,'Fórmula'!D2,52)&lt;&gt;"",INDEX(properties!A$1:CB$87,'Fórmula'!D2,52)),IF(INDEX(properties!A$1:CB$87,'Fórmula'!F2,52)&lt;&gt;"",INDEX(properties!A$1:CB$87,'Fórmula'!F2,52)),IF(INDEX(properties!A$1:CB$87,'Fórmula'!H2,52)&lt;&gt;"",INDEX(properties!A$1:CB$87,'Fórmula'!H2,52)),IF(INDEX(properties!A$1:CB$87,'Fórmula'!J2,52)&lt;&gt;"",INDEX(properties!A$1:CB$87,'Fórmula'!J2,52)))</f>
        <v>128.2126318</v>
      </c>
      <c r="EY2" s="114">
        <f t="array" ref="EY2">MAX(INDEX(properties!A$1:CB$87,'Fórmula'!B2,52),INDEX(properties!A$1:CB$87,'Fórmula'!D2,52),INDEX(properties!A$1:CB$87,'Fórmula'!F2,52),INDEX(properties!A$1:CB$87,'Fórmula'!H2,52),INDEX(properties!A$1:CB$87,'Fórmula'!J2,52))</f>
        <v>27.6</v>
      </c>
      <c r="EZ2" s="114">
        <f t="array" ref="EZ2">MIN(IF(INDEX(properties!A$1:CB$87,'Fórmula'!B2,52)=0,10^6,INDEX(properties!A$1:CB$87,'Fórmula'!B2,52)),IF(INDEX(properties!A$1:CB$87,'Fórmula'!D2,52)=0,10^6,INDEX(properties!A$1:CB$87,'Fórmula'!D2,52)),IF(INDEX(properties!A$1:CB$87,'Fórmula'!F2,52)=0,10^6,INDEX(properties!A$1:CB$87,'Fórmula'!F2,52)),IF(INDEX(properties!A$1:CB$87,'Fórmula'!H2,52)=0,10^6,INDEX(properties!A$1:CB$87,'Fórmula'!H2,52)),IF(INDEX(properties!A$1:CB$87,'Fórmula'!J2,52)=0,10^6,INDEX(properties!A$1:CB$87,'Fórmula'!J2,52)))</f>
        <v>0.793</v>
      </c>
      <c r="FA2" s="114">
        <f t="shared" ref="FA2:FA123" si="26">ABS(EY2-EZ2)</f>
        <v>26.807</v>
      </c>
      <c r="FB2" s="115">
        <f t="array" ref="FB2">(('Fórmula'!C2)/('Fórmula'!C2+'Fórmula'!E2+'Fórmula'!G2+'Fórmula'!I2+'Fórmula'!K2))*(INDEX(properties!A$1:CB$87,'Fórmula'!B2,53))+(('Fórmula'!E2)/('Fórmula'!C2+'Fórmula'!E2+'Fórmula'!G2+'Fórmula'!I2+'Fórmula'!K2))*(INDEX(properties!A$1:CB$87,'Fórmula'!D2,53))+(('Fórmula'!G2)/('Fórmula'!C2+'Fórmula'!E2+'Fórmula'!G2+'Fórmula'!I2+'Fórmula'!K2))*(INDEX(properties!A$1:CB$87,'Fórmula'!F2,53))+(('Fórmula'!I2)/('Fórmula'!C2+'Fórmula'!E2+'Fórmula'!G2+'Fórmula'!I2+'Fórmula'!K2))*(INDEX(properties!A$1:CB$87,'Fórmula'!H2,53))+(('Fórmula'!K2)/('Fórmula'!C2+'Fórmula'!E2+'Fórmula'!G2+'Fórmula'!I2+'Fórmula'!K2))*(INDEX(properties!A$1:CB$87,'Fórmula'!J2,53))</f>
        <v>501.75</v>
      </c>
      <c r="FC2" s="115">
        <f t="array" ref="FC2">'Fórmula'!C2*(INDEX(properties!A$1:CB$87,'Fórmula'!B2,53))+'Fórmula'!E2*(INDEX(properties!A$1:CB$87,'Fórmula'!D2,53))+'Fórmula'!G2*(INDEX(properties!A$1:CB$87,'Fórmula'!F2,53))+'Fórmula'!I2*(INDEX(properties!A$1:CB$87,'Fórmula'!H2,53))+'Fórmula'!K2*(INDEX(properties!A$1:CB$87,'Fórmula'!J2,53))</f>
        <v>6021</v>
      </c>
      <c r="FD2" s="115">
        <f t="array" ref="FD2">VARP(IF(INDEX(properties!A$1:CB$87,'Fórmula'!B2,53)&lt;&gt;"",INDEX(properties!A$1:CB$87,'Fórmula'!B2,53)),IF(INDEX(properties!A$1:CB$87,'Fórmula'!D2,53)&lt;&gt;"",INDEX(properties!A$1:CB$87,'Fórmula'!D2,53)),IF(INDEX(properties!A$1:CB$87,'Fórmula'!F2,53)&lt;&gt;"",INDEX(properties!A$1:CB$87,'Fórmula'!F2,53)),IF(INDEX(properties!A$1:CB$87,'Fórmula'!H2,53)&lt;&gt;"",INDEX(properties!A$1:CB$87,'Fórmula'!H2,53)),IF(INDEX(properties!A$1:CB$87,'Fórmula'!J2,53)&lt;&gt;"",INDEX(properties!A$1:CB$87,'Fórmula'!J2,53)))</f>
        <v>451607.3284</v>
      </c>
      <c r="FE2" s="115">
        <f t="array" ref="FE2">MAX(INDEX(properties!A$1:CB$87,'Fórmula'!B2,53),INDEX(properties!A$1:CB$87,'Fórmula'!D2,53),INDEX(properties!A$1:CB$87,'Fórmula'!F2,53),INDEX(properties!A$1:CB$87,'Fórmula'!H2,53),INDEX(properties!A$1:CB$87,'Fórmula'!J2,53))</f>
        <v>1796.15</v>
      </c>
      <c r="FF2" s="115">
        <f t="array" ref="FF2">MIN(IF(INDEX(properties!A$1:CB$87,'Fórmula'!B2,53)=0,10^6,INDEX(properties!A$1:CB$87,'Fórmula'!B2,53)),IF(INDEX(properties!A$1:CB$87,'Fórmula'!D2,53)=0,10^6,INDEX(properties!A$1:CB$87,'Fórmula'!D2,53)),IF(INDEX(properties!A$1:CB$87,'Fórmula'!F2,53)=0,10^6,INDEX(properties!A$1:CB$87,'Fórmula'!F2,53)),IF(INDEX(properties!A$1:CB$87,'Fórmula'!H2,53)=0,10^6,INDEX(properties!A$1:CB$87,'Fórmula'!H2,53)),IF(INDEX(properties!A$1:CB$87,'Fórmula'!J2,53)=0,10^6,INDEX(properties!A$1:CB$87,'Fórmula'!J2,53)))</f>
        <v>54.75</v>
      </c>
      <c r="FG2" s="115">
        <f t="shared" ref="FG2:FG123" si="27">ABS(FE2-FF2)</f>
        <v>1741.4</v>
      </c>
      <c r="FH2" s="117">
        <f t="array" ref="FH2">(('Fórmula'!C2)/('Fórmula'!C2+'Fórmula'!E2+'Fórmula'!G2+'Fórmula'!I2+'Fórmula'!K2))*(INDEX(properties!A$1:CB$87,'Fórmula'!B2,54))+(('Fórmula'!E2)/('Fórmula'!C2+'Fórmula'!E2+'Fórmula'!G2+'Fórmula'!I2+'Fórmula'!K2))*(INDEX(properties!A$1:CB$87,'Fórmula'!D2,54))+(('Fórmula'!G2)/('Fórmula'!C2+'Fórmula'!E2+'Fórmula'!G2+'Fórmula'!I2+'Fórmula'!K2))*(INDEX(properties!A$1:CB$87,'Fórmula'!F2,54))+(('Fórmula'!I2)/('Fórmula'!C2+'Fórmula'!E2+'Fórmula'!G2+'Fórmula'!I2+'Fórmula'!K2))*(INDEX(properties!A$1:CB$87,'Fórmula'!H2,54))+(('Fórmula'!K2)/('Fórmula'!C2+'Fórmula'!E2+'Fórmula'!G2+'Fórmula'!I2+'Fórmula'!K2))*(INDEX(properties!A$1:CB$87,'Fórmula'!J2,54))</f>
        <v>1176.566667</v>
      </c>
      <c r="FI2" s="117">
        <f t="array" ref="FI2">'Fórmula'!C2*(INDEX(properties!A$1:CB$87,'Fórmula'!B2,54))+'Fórmula'!E2*(INDEX(properties!A$1:CB$87,'Fórmula'!D2,54))+'Fórmula'!G2*(INDEX(properties!A$1:CB$87,'Fórmula'!F2,54))+'Fórmula'!I2*(INDEX(properties!A$1:CB$87,'Fórmula'!H2,54))+'Fórmula'!K2*(INDEX(properties!A$1:CB$87,'Fórmula'!J2,54))</f>
        <v>14118.8</v>
      </c>
      <c r="FJ2" s="117">
        <f t="array" ref="FJ2">VARP(IF(INDEX(properties!A$1:CB$87,'Fórmula'!B2,54)&lt;&gt;"",INDEX(properties!A$1:CB$87,'Fórmula'!B2,54)),IF(INDEX(properties!A$1:CB$87,'Fórmula'!D2,54)&lt;&gt;"",INDEX(properties!A$1:CB$87,'Fórmula'!D2,54)),IF(INDEX(properties!A$1:CB$87,'Fórmula'!F2,54)&lt;&gt;"",INDEX(properties!A$1:CB$87,'Fórmula'!F2,54)),IF(INDEX(properties!A$1:CB$87,'Fórmula'!H2,54)&lt;&gt;"",INDEX(properties!A$1:CB$87,'Fórmula'!H2,54)),IF(INDEX(properties!A$1:CB$87,'Fórmula'!J2,54)&lt;&gt;"",INDEX(properties!A$1:CB$87,'Fórmula'!J2,54)))</f>
        <v>2036330.608</v>
      </c>
      <c r="FK2" s="117">
        <f t="array" ref="FK2">MAX(INDEX(properties!A$1:CB$87,'Fórmula'!B2,54),INDEX(properties!A$1:CB$87,'Fórmula'!D2,54),INDEX(properties!A$1:CB$87,'Fórmula'!F2,54),INDEX(properties!A$1:CB$87,'Fórmula'!H2,54),INDEX(properties!A$1:CB$87,'Fórmula'!J2,54))</f>
        <v>3610.15</v>
      </c>
      <c r="FL2" s="117">
        <f t="array" ref="FL2">MIN(IF(INDEX(properties!A$1:CB$87,'Fórmula'!B2,54)=0,10^6,INDEX(properties!A$1:CB$87,'Fórmula'!B2,54)),IF(INDEX(properties!A$1:CB$87,'Fórmula'!D2,54)=0,10^6,INDEX(properties!A$1:CB$87,'Fórmula'!D2,54)),IF(INDEX(properties!A$1:CB$87,'Fórmula'!F2,54)=0,10^6,INDEX(properties!A$1:CB$87,'Fórmula'!F2,54)),IF(INDEX(properties!A$1:CB$87,'Fórmula'!H2,54)=0,10^6,INDEX(properties!A$1:CB$87,'Fórmula'!H2,54)),IF(INDEX(properties!A$1:CB$87,'Fórmula'!J2,54)=0,10^6,INDEX(properties!A$1:CB$87,'Fórmula'!J2,54)))</f>
        <v>90.15</v>
      </c>
      <c r="FM2" s="117">
        <f t="shared" ref="FM2:FM123" si="28">ABS(FK2-FL2)</f>
        <v>3520</v>
      </c>
      <c r="FN2" s="118">
        <f t="array" ref="FN2">(('Fórmula'!C2)/('Fórmula'!C2+'Fórmula'!E2+'Fórmula'!G2+'Fórmula'!I2+'Fórmula'!K2))*(INDEX(properties!A$1:CB$87,'Fórmula'!B2,55))+(('Fórmula'!E2)/('Fórmula'!C2+'Fórmula'!E2+'Fórmula'!G2+'Fórmula'!I2+'Fórmula'!K2))*(INDEX(properties!A$1:CB$87,'Fórmula'!D2,55))+(('Fórmula'!G2)/('Fórmula'!C2+'Fórmula'!E2+'Fórmula'!G2+'Fórmula'!I2+'Fórmula'!K2))*(INDEX(properties!A$1:CB$87,'Fórmula'!F2,55))+(('Fórmula'!I2)/('Fórmula'!C2+'Fórmula'!E2+'Fórmula'!G2+'Fórmula'!I2+'Fórmula'!K2))*(INDEX(properties!A$1:CB$87,'Fórmula'!H2,55))+(('Fórmula'!K2)/('Fórmula'!C2+'Fórmula'!E2+'Fórmula'!G2+'Fórmula'!I2+'Fórmula'!K2))*(INDEX(properties!A$1:CB$87,'Fórmula'!J2,55))</f>
        <v>1.267500833</v>
      </c>
      <c r="FO2" s="118">
        <f t="array" ref="FO2">'Fórmula'!C2*(INDEX(properties!A$1:CB$87,'Fórmula'!B2,55))+'Fórmula'!E2*(INDEX(properties!A$1:CB$87,'Fórmula'!D2,54))+'Fórmula'!G2*(INDEX(properties!A$1:CB$87,'Fórmula'!F2,55))+'Fórmula'!I2*(INDEX(properties!A$1:CB$87,'Fórmula'!H2,55))+'Fórmula'!K2*(INDEX(properties!A$1:CB$87,'Fórmula'!J2,55))</f>
        <v>3620.89001</v>
      </c>
      <c r="FP2" s="118">
        <f t="array" ref="FP2">VARP(IF(INDEX(properties!A$1:CB$87,'Fórmula'!B2,55)&lt;&gt;"",INDEX(properties!A$1:CB$87,'Fórmula'!B2,55)),IF(INDEX(properties!A$1:CB$87,'Fórmula'!D2,55)&lt;&gt;"",INDEX(properties!A$1:CB$87,'Fórmula'!D2,55)),IF(INDEX(properties!A$1:CB$87,'Fórmula'!F2,55)&lt;&gt;"",INDEX(properties!A$1:CB$87,'Fórmula'!F2,55)),IF(INDEX(properties!A$1:CB$87,'Fórmula'!H2,55)&lt;&gt;"",INDEX(properties!A$1:CB$87,'Fórmula'!H2,55)),IF(INDEX(properties!A$1:CB$87,'Fórmula'!J2,55)&lt;&gt;"",INDEX(properties!A$1:CB$87,'Fórmula'!J2,55)))</f>
        <v>2.994839207</v>
      </c>
      <c r="FQ2" s="118">
        <f t="array" ref="FQ2">MAX(INDEX(properties!A$1:CB$87,'Fórmula'!B2,55),INDEX(properties!A$1:CB$87,'Fórmula'!D2,55),INDEX(properties!A$1:CB$87,'Fórmula'!F2,55),INDEX(properties!A$1:CB$87,'Fórmula'!H2,55),INDEX(properties!A$1:CB$87,'Fórmula'!J2,55))</f>
        <v>4.47</v>
      </c>
      <c r="FR2" s="118">
        <f t="array" ref="FR2">MIN(IF(INDEX(properties!A$1:CB$87,'Fórmula'!B2,55)=0,10^6,INDEX(properties!A$1:CB$87,'Fórmula'!B2,55)),IF(INDEX(properties!A$1:CB$87,'Fórmula'!D2,55)=0,10^6,INDEX(properties!A$1:CB$87,'Fórmula'!D2,55)),IF(INDEX(properties!A$1:CB$87,'Fórmula'!F2,55)=0,10^6,INDEX(properties!A$1:CB$87,'Fórmula'!F2,55)),IF(INDEX(properties!A$1:CB$87,'Fórmula'!H2,55)=0,10^6,INDEX(properties!A$1:CB$87,'Fórmula'!H2,55)),IF(INDEX(properties!A$1:CB$87,'Fórmula'!J2,55)=0,10^6,INDEX(properties!A$1:CB$87,'Fórmula'!J2,55)))</f>
        <v>0.00143</v>
      </c>
      <c r="FS2" s="118">
        <f t="shared" ref="FS2:FS123" si="29">ABS(FQ2-FR2)</f>
        <v>4.46857</v>
      </c>
      <c r="FT2" s="119">
        <f t="array" ref="FT2">(('Fórmula'!C2)/('Fórmula'!C2+'Fórmula'!E2+'Fórmula'!G2+'Fórmula'!I2+'Fórmula'!K2))*(INDEX(properties!A$1:CB$87,'Fórmula'!B2,56))+(('Fórmula'!E2)/('Fórmula'!C2+'Fórmula'!E2+'Fórmula'!G2+'Fórmula'!I2+'Fórmula'!K2))*(INDEX(properties!A$1:CB$87,'Fórmula'!D2,56))+(('Fórmula'!G2)/('Fórmula'!C2+'Fórmula'!E2+'Fórmula'!G2+'Fórmula'!I2+'Fórmula'!K2))*(INDEX(properties!A$1:CB$87,'Fórmula'!F2,56))+(('Fórmula'!I2)/('Fórmula'!C2+'Fórmula'!E2+'Fórmula'!G2+'Fórmula'!I2+'Fórmula'!K2))*(INDEX(properties!A$1:CB$87,'Fórmula'!H2,56))+(('Fórmula'!K2)/('Fórmula'!C2+'Fórmula'!E2+'Fórmula'!G2+'Fórmula'!I2+'Fórmula'!K2))*(INDEX(properties!A$1:CB$87,'Fórmula'!J2,56))</f>
        <v>0.8116666667</v>
      </c>
      <c r="FU2" s="119">
        <f t="array" ref="FU2">'Fórmula'!C2*(INDEX(properties!A$1:CB$87,'Fórmula'!B2,56))+'Fórmula'!E2*(INDEX(properties!A$1:CB$87,'Fórmula'!D2,56))+'Fórmula'!G2*(INDEX(properties!A$1:CB$87,'Fórmula'!F2,56))+'Fórmula'!I2*(INDEX(properties!A$1:CB$87,'Fórmula'!H2,56))+'Fórmula'!K2*(INDEX(properties!A$1:CB$87,'Fórmula'!J2,56))</f>
        <v>9.74</v>
      </c>
      <c r="FV2" s="119">
        <f t="array" ref="FV2">VARP(IF(INDEX(properties!A$1:CB$87,'Fórmula'!B2,56)&lt;&gt;"",INDEX(properties!A$1:CB$87,'Fórmula'!B2,56)),IF(INDEX(properties!A$1:CB$87,'Fórmula'!D2,56)&lt;&gt;"",INDEX(properties!A$1:CB$87,'Fórmula'!D2,56)),IF(INDEX(properties!A$1:CB$87,'Fórmula'!F2,56)&lt;&gt;"",INDEX(properties!A$1:CB$87,'Fórmula'!F2,56)),IF(INDEX(properties!A$1:CB$87,'Fórmula'!H2,56)&lt;&gt;"",INDEX(properties!A$1:CB$87,'Fórmula'!H2,56)),IF(INDEX(properties!A$1:CB$87,'Fórmula'!J2,56)&lt;&gt;"",INDEX(properties!A$1:CB$87,'Fórmula'!J2,56)))</f>
        <v>0.133024</v>
      </c>
      <c r="FW2" s="119">
        <f t="array" ref="FW2">MAX(INDEX(properties!A$1:CB$87,'Fórmula'!B2,56),INDEX(properties!A$1:CB$87,'Fórmula'!D2,56),INDEX(properties!A$1:CB$87,'Fórmula'!F2,56),INDEX(properties!A$1:CB$87,'Fórmula'!H2,56),INDEX(properties!A$1:CB$87,'Fórmula'!J2,56))</f>
        <v>0.92</v>
      </c>
      <c r="FX2" s="119">
        <f t="array" ref="FX2">MIN(IF(INDEX(properties!A$1:CB$87,'Fórmula'!B2,56)=0,10^6,INDEX(properties!A$1:CB$87,'Fórmula'!B2,56)),IF(INDEX(properties!A$1:CB$87,'Fórmula'!D2,56)=0,10^6,INDEX(properties!A$1:CB$87,'Fórmula'!D2,56)),IF(INDEX(properties!A$1:CB$87,'Fórmula'!F2,56)=0,10^6,INDEX(properties!A$1:CB$87,'Fórmula'!F2,56)),IF(INDEX(properties!A$1:CB$87,'Fórmula'!H2,56)=0,10^6,INDEX(properties!A$1:CB$87,'Fórmula'!H2,56)),IF(INDEX(properties!A$1:CB$87,'Fórmula'!J2,56)=0,10^6,INDEX(properties!A$1:CB$87,'Fórmula'!J2,56)))</f>
        <v>0.3</v>
      </c>
      <c r="FY2" s="119">
        <f t="shared" ref="FY2:FY123" si="30">ABS(FW2-FX2)</f>
        <v>0.62</v>
      </c>
      <c r="FZ2" s="104">
        <f t="array" ref="FZ2">(('Fórmula'!C2)/('Fórmula'!C2+'Fórmula'!E2+'Fórmula'!G2+'Fórmula'!I2+'Fórmula'!K2))*(INDEX(properties!A$1:CB$87,'Fórmula'!B2,57))+(('Fórmula'!E2)/('Fórmula'!C2+'Fórmula'!E2+'Fórmula'!G2+'Fórmula'!I2+'Fórmula'!K2))*(INDEX(properties!A$1:CB$87,'Fórmula'!D2,57))+(('Fórmula'!G2)/('Fórmula'!C2+'Fórmula'!E2+'Fórmula'!G2+'Fórmula'!I2+'Fórmula'!K2))*(INDEX(properties!A$1:CB$87,'Fórmula'!F2,57))+(('Fórmula'!I2)/('Fórmula'!C2+'Fórmula'!E2+'Fórmula'!G2+'Fórmula'!I2+'Fórmula'!K2))*(INDEX(properties!A$1:CB$87,'Fórmula'!H2,57))+(('Fórmula'!K2)/('Fórmula'!C2+'Fórmula'!E2+'Fórmula'!G2+'Fórmula'!I2+'Fórmula'!K2))*(INDEX(properties!A$1:CB$87,'Fórmula'!J2,57))</f>
        <v>4.469010833</v>
      </c>
      <c r="GA2" s="104">
        <f t="array" ref="GA2">'Fórmula'!C2*(INDEX(properties!A$1:CB$87,'Fórmula'!B2,57))+'Fórmula'!E2*(INDEX(properties!A$1:CB$87,'Fórmula'!D2,57))+'Fórmula'!G2*(INDEX(properties!A$1:CB$87,'Fórmula'!F2,57))+'Fórmula'!I2*(INDEX(properties!A$1:CB$87,'Fórmula'!H2,57))+'Fórmula'!K2*(INDEX(properties!A$1:CB$87,'Fórmula'!J2,57))</f>
        <v>53.62813</v>
      </c>
      <c r="GB2" s="104">
        <f t="array" ref="GB2">VARP(IF(INDEX(properties!A$1:CB$87,'Fórmula'!B2,57)&lt;&gt;"",INDEX(properties!A$1:CB$87,'Fórmula'!B2,57)),IF(INDEX(properties!A$1:CB$87,'Fórmula'!D2,57)&lt;&gt;"",INDEX(properties!A$1:CB$87,'Fórmula'!D2,57)),IF(INDEX(properties!A$1:CB$87,'Fórmula'!F2,57)&lt;&gt;"",INDEX(properties!A$1:CB$87,'Fórmula'!F2,57)),IF(INDEX(properties!A$1:CB$87,'Fórmula'!H2,57)&lt;&gt;"",INDEX(properties!A$1:CB$87,'Fórmula'!H2,57)),IF(INDEX(properties!A$1:CB$87,'Fórmula'!J2,57)&lt;&gt;"",INDEX(properties!A$1:CB$87,'Fórmula'!J2,57)))</f>
        <v>25.33420188</v>
      </c>
      <c r="GC2" s="104">
        <f t="array" ref="GC2">MAX(INDEX(properties!A$1:CB$87,'Fórmula'!B2,57),INDEX(properties!A$1:CB$87,'Fórmula'!D2,57),INDEX(properties!A$1:CB$87,'Fórmula'!F2,57),INDEX(properties!A$1:CB$87,'Fórmula'!H2,57),INDEX(properties!A$1:CB$87,'Fórmula'!J2,57))</f>
        <v>11.4</v>
      </c>
      <c r="GD2" s="104">
        <f t="array" ref="GD2">MIN(IF(INDEX(properties!A$1:CB$87,'Fórmula'!B2,57)=0,10^6,INDEX(properties!A$1:CB$87,'Fórmula'!B2,57)),IF(INDEX(properties!A$1:CB$87,'Fórmula'!D2,57)=0,10^6,INDEX(properties!A$1:CB$87,'Fórmula'!D2,57)),IF(INDEX(properties!A$1:CB$87,'Fórmula'!F2,57)=0,10^6,INDEX(properties!A$1:CB$87,'Fórmula'!F2,57)),IF(INDEX(properties!A$1:CB$87,'Fórmula'!H2,57)=0,10^6,INDEX(properties!A$1:CB$87,'Fórmula'!H2,57)),IF(INDEX(properties!A$1:CB$87,'Fórmula'!J2,57)=0,10^6,INDEX(properties!A$1:CB$87,'Fórmula'!J2,57)))</f>
        <v>0.22259</v>
      </c>
      <c r="GE2" s="104">
        <f t="shared" ref="GE2:GE123" si="31">ABS(GC2-GD2)</f>
        <v>11.17741</v>
      </c>
      <c r="GF2" s="105">
        <f t="array" ref="GF2">(('Fórmula'!C2)/('Fórmula'!C2+'Fórmula'!E2+'Fórmula'!G2+'Fórmula'!I2+'Fórmula'!K2))*(INDEX(properties!A$1:CB$87,'Fórmula'!B2,60))+(('Fórmula'!E2)/('Fórmula'!C2+'Fórmula'!E2+'Fórmula'!G2+'Fórmula'!I2+'Fórmula'!K2))*(INDEX(properties!A$1:CB$87,'Fórmula'!D2,60))+(('Fórmula'!G2)/('Fórmula'!C2+'Fórmula'!E2+'Fórmula'!G2+'Fórmula'!I2+'Fórmula'!K2))*(INDEX(properties!A$1:CB$87,'Fórmula'!F2,60))+(('Fórmula'!I2)/('Fórmula'!C2+'Fórmula'!E2+'Fórmula'!G2+'Fórmula'!I2+'Fórmula'!K2))*(INDEX(properties!A$1:CB$87,'Fórmula'!H2,60))+(('Fórmula'!K2)/('Fórmula'!C2+'Fórmula'!E2+'Fórmula'!G2+'Fórmula'!I2+'Fórmula'!K2))*(INDEX(properties!A$1:CB$87,'Fórmula'!J2,60))</f>
        <v>63.64059833</v>
      </c>
      <c r="GG2" s="105">
        <f t="array" ref="GG2">'Fórmula'!C2*(INDEX(properties!A$1:CB$87,'Fórmula'!B2,60))+'Fórmula'!E2*(INDEX(properties!A$1:CB$87,'Fórmula'!D2,60))+'Fórmula'!G2*(INDEX(properties!A$1:CB$87,'Fórmula'!F2,60))+'Fórmula'!I2*(INDEX(properties!A$1:CB$87,'Fórmula'!H2,60))+'Fórmula'!K2*(INDEX(properties!A$1:CB$87,'Fórmula'!J2,60))</f>
        <v>763.68718</v>
      </c>
      <c r="GH2" s="105">
        <f t="array" ref="GH2">VARP(IF(INDEX(properties!A$1:CB$87,'Fórmula'!B2,60)&lt;&gt;"",INDEX(properties!A$1:CB$87,'Fórmula'!B2,60)),IF(INDEX(properties!A$1:CB$87,'Fórmula'!D2,60)&lt;&gt;"",INDEX(properties!A$1:CB$87,'Fórmula'!D2,60)),IF(INDEX(properties!A$1:CB$87,'Fórmula'!F2,60)&lt;&gt;"",INDEX(properties!A$1:CB$87,'Fórmula'!F2,60)),IF(INDEX(properties!A$1:CB$87,'Fórmula'!H2,60)&lt;&gt;"",INDEX(properties!A$1:CB$87,'Fórmula'!H2,60)),IF(INDEX(properties!A$1:CB$87,'Fórmula'!J2,60)&lt;&gt;"",INDEX(properties!A$1:CB$87,'Fórmula'!J2,60)))</f>
        <v>8189.156816</v>
      </c>
      <c r="GI2" s="105">
        <f t="array" ref="GI2">MAX(INDEX(properties!A$1:CB$87,'Fórmula'!B2,60),INDEX(properties!A$1:CB$87,'Fórmula'!D2,60),INDEX(properties!A$1:CB$87,'Fórmula'!F2,60),INDEX(properties!A$1:CB$87,'Fórmula'!H2,60),INDEX(properties!A$1:CB$87,'Fórmula'!J2,60))</f>
        <v>237</v>
      </c>
      <c r="GJ2" s="105">
        <f t="array" ref="GJ2">MIN(IF(INDEX(properties!A$1:CB$87,'Fórmula'!B2,60)=0,10^6,INDEX(properties!A$1:CB$87,'Fórmula'!B2,60)),IF(INDEX(properties!A$1:CB$87,'Fórmula'!D2,60)=0,10^6,INDEX(properties!A$1:CB$87,'Fórmula'!D2,60)),IF(INDEX(properties!A$1:CB$87,'Fórmula'!F2,60)=0,10^6,INDEX(properties!A$1:CB$87,'Fórmula'!F2,60)),IF(INDEX(properties!A$1:CB$87,'Fórmula'!H2,60)=0,10^6,INDEX(properties!A$1:CB$87,'Fórmula'!H2,60)),IF(INDEX(properties!A$1:CB$87,'Fórmula'!J2,60)=0,10^6,INDEX(properties!A$1:CB$87,'Fórmula'!J2,60)))</f>
        <v>0.02674</v>
      </c>
      <c r="GK2" s="105">
        <f t="shared" ref="GK2:GK123" si="32">ABS(GI2-GJ2)</f>
        <v>236.97326</v>
      </c>
      <c r="GL2" s="106">
        <f t="array" ref="GL2">(('Fórmula'!C2)/('Fórmula'!C2+'Fórmula'!E2+'Fórmula'!G2+'Fórmula'!I2+'Fórmula'!K2))*(INDEX(properties!A$1:CB$87,'Fórmula'!B2,62))+(('Fórmula'!E2)/('Fórmula'!C2+'Fórmula'!E2+'Fórmula'!G2+'Fórmula'!I2+'Fórmula'!K2))*(INDEX(properties!A$1:CB$87,'Fórmula'!D2,62))+(('Fórmula'!G2)/('Fórmula'!C2+'Fórmula'!E2+'Fórmula'!G2+'Fórmula'!I2+'Fórmula'!K2))*(INDEX(properties!A$1:CB$87,'Fórmula'!F2,62))+(('Fórmula'!I2)/('Fórmula'!C2+'Fórmula'!E2+'Fórmula'!G2+'Fórmula'!I2+'Fórmula'!K2))*(INDEX(properties!A$1:CB$87,'Fórmula'!H2,62))+(('Fórmula'!K2)/('Fórmula'!C2+'Fórmula'!E2+'Fórmula'!G2+'Fórmula'!I2+'Fórmula'!K2))*(INDEX(properties!A$1:CB$87,'Fórmula'!J2,62))</f>
        <v>2.883333333</v>
      </c>
      <c r="GM2" s="106">
        <f t="array" ref="GM2">'Fórmula'!C2*(INDEX(properties!A$1:CB$87,'Fórmula'!B2,62))+'Fórmula'!E2*(INDEX(properties!A$1:CB$87,'Fórmula'!D2,62))+'Fórmula'!G2*(INDEX(properties!A$1:CB$87,'Fórmula'!F2,62))+'Fórmula'!I2*(INDEX(properties!A$1:CB$87,'Fórmula'!H2,62))+'Fórmula'!K2*(INDEX(properties!A$1:CB$87,'Fórmula'!J2,62))</f>
        <v>34.6</v>
      </c>
      <c r="GN2" s="106">
        <f t="array" ref="GN2">VARP(IF(INDEX(properties!A$1:CB$87,'Fórmula'!B2,62)&lt;&gt;"",INDEX(properties!A$1:CB$87,'Fórmula'!B2,62)),IF(INDEX(properties!A$1:CB$87,'Fórmula'!D2,62)&lt;&gt;"",INDEX(properties!A$1:CB$87,'Fórmula'!D2,62)),IF(INDEX(properties!A$1:CB$87,'Fórmula'!F2,62)&lt;&gt;"",INDEX(properties!A$1:CB$87,'Fórmula'!F2,62)),IF(INDEX(properties!A$1:CB$87,'Fórmula'!H2,62)&lt;&gt;"",INDEX(properties!A$1:CB$87,'Fórmula'!H2,62)),IF(INDEX(properties!A$1:CB$87,'Fórmula'!J2,62)&lt;&gt;"",INDEX(properties!A$1:CB$87,'Fórmula'!J2,62)))</f>
        <v>2.22596</v>
      </c>
      <c r="GO2" s="106">
        <f t="array" ref="GO2">MAX(INDEX(properties!A$1:CB$87,'Fórmula'!B2,62),INDEX(properties!A$1:CB$87,'Fórmula'!D2,62),INDEX(properties!A$1:CB$87,'Fórmula'!F2,62),INDEX(properties!A$1:CB$87,'Fórmula'!H2,62),INDEX(properties!A$1:CB$87,'Fórmula'!J2,62))</f>
        <v>4.37</v>
      </c>
      <c r="GP2" s="106">
        <f t="array" ref="GP2">MIN(IF(INDEX(properties!A$1:CB$87,'Fórmula'!B2,62)=0,10^6,INDEX(properties!A$1:CB$87,'Fórmula'!B2,62)),IF(INDEX(properties!A$1:CB$87,'Fórmula'!D2,62)=0,10^6,INDEX(properties!A$1:CB$87,'Fórmula'!D2,62)),IF(INDEX(properties!A$1:CB$87,'Fórmula'!F2,62)=0,10^6,INDEX(properties!A$1:CB$87,'Fórmula'!F2,62)),IF(INDEX(properties!A$1:CB$87,'Fórmula'!H2,62)=0,10^6,INDEX(properties!A$1:CB$87,'Fórmula'!H2,62)),IF(INDEX(properties!A$1:CB$87,'Fórmula'!J2,62)=0,10^6,INDEX(properties!A$1:CB$87,'Fórmula'!J2,62)))</f>
        <v>1.72</v>
      </c>
      <c r="GQ2" s="106">
        <f t="shared" ref="GQ2:GQ123" si="33">ABS(GO2-GP2)</f>
        <v>2.65</v>
      </c>
      <c r="GR2" s="106">
        <f>'Fórmula'!Q2</f>
        <v>113</v>
      </c>
      <c r="GS2" s="107">
        <f>'Fórmula'!P2</f>
        <v>2</v>
      </c>
      <c r="GT2" s="113">
        <f>'Fórmula'!O2</f>
        <v>3.99</v>
      </c>
      <c r="GU2" s="114">
        <f>AVERAGE('Fórmula'!R2/'Fórmula'!S2,'Fórmula'!S2/'Fórmula'!T2,'Fórmula'!T2/'Fórmula'!R2)</f>
        <v>1.059959948</v>
      </c>
      <c r="GV2" s="125">
        <f>'Fórmula'!U2</f>
        <v>307.74</v>
      </c>
      <c r="GW2" s="106">
        <f>'Fórmula'!N2</f>
        <v>0.006</v>
      </c>
    </row>
    <row r="3" ht="14.25" customHeight="1">
      <c r="A3" s="99" t="str">
        <f>'Fórmula'!A3</f>
        <v>La2Sr3B4O12</v>
      </c>
      <c r="B3" s="101">
        <f t="array" ref="B3">(('Fórmula'!C3)/('Fórmula'!C3+'Fórmula'!E3+'Fórmula'!G3+'Fórmula'!I3+'Fórmula'!K3))*(INDEX(properties!A$1:CB$87,'Fórmula'!B3,3))+(('Fórmula'!E3)/('Fórmula'!C3+'Fórmula'!E3+'Fórmula'!G3+'Fórmula'!I3+'Fórmula'!K3))*(INDEX(properties!A$1:CB$87,'Fórmula'!D3,3))+(('Fórmula'!G3)/('Fórmula'!C3+'Fórmula'!E3+'Fórmula'!G3+'Fórmula'!I3+'Fórmula'!K3))*(INDEX(properties!A$1:CB$87,'Fórmula'!F3,3))+(('Fórmula'!I3)/('Fórmula'!C3+'Fórmula'!E3+'Fórmula'!G3+'Fórmula'!I3+'Fórmula'!K3))*(INDEX(properties!A$1:CB$87,'Fórmula'!H3,3))+(('Fórmula'!K3)/('Fórmula'!C3+'Fórmula'!E3+'Fórmula'!G3+'Fórmula'!I3+'Fórmula'!K3))*(INDEX(properties!A$1:CB$87,'Fórmula'!J3,3))</f>
        <v>36.94799048</v>
      </c>
      <c r="C3" s="101">
        <f t="array" ref="C3">'Fórmula'!C3*(INDEX(properties!A$1:CB$87,'Fórmula'!B3,3))+'Fórmula'!E3*(INDEX(properties!A$1:CB$87,'Fórmula'!D3,3))+'Fórmula'!G3*(INDEX(properties!A$1:CB$87,'Fórmula'!F3,3))+'Fórmula'!I3*(INDEX(properties!A$1:CB$87,'Fórmula'!H3,3))+'Fórmula'!K3*(INDEX(properties!A$1:CB$87,'Fórmula'!J3,3))</f>
        <v>775.9078</v>
      </c>
      <c r="D3" s="101">
        <f t="array" ref="D3">VARP(IF(INDEX(properties!A$1:CB$87,'Fórmula'!B3,3)&lt;&gt;"",INDEX(properties!A$1:CB$87,'Fórmula'!B3,3)),IF(INDEX(properties!A$1:CB$87,'Fórmula'!D3,3)&lt;&gt;"",INDEX(properties!A$1:CB$87,'Fórmula'!D3,3)),IF(INDEX(properties!A$1:CB$87,'Fórmula'!F3,3)&lt;&gt;"",INDEX(properties!A$1:CB$87,'Fórmula'!F3,3)),IF(INDEX(properties!A$1:CB$87,'Fórmula'!H3,3)&lt;&gt;"",INDEX(properties!A$1:CB$87,'Fórmula'!H3,3)),IF(INDEX(properties!A$1:CB$87,'Fórmula'!J3,3)&lt;&gt;"",INDEX(properties!A$1:CB$87,'Fórmula'!J3,3)))</f>
        <v>2901.809041</v>
      </c>
      <c r="E3" s="101">
        <f t="array" ref="E3">MAX(INDEX(properties!A$1:CB$87,'Fórmula'!B3,3),INDEX(properties!A$1:CB$87,'Fórmula'!D3,3),INDEX(properties!A$1:CB$87,'Fórmula'!F3,3),INDEX(properties!A$1:CB$87,'Fórmula'!H3,3),INDEX(properties!A$1:CB$87,'Fórmula'!J3,3))</f>
        <v>138.9055</v>
      </c>
      <c r="F3" s="101">
        <f t="array" ref="F3">MIN(IF(INDEX(properties!A$1:CB$87,'Fórmula'!B3,3)=0,10^6,INDEX(properties!A$1:CB$87,'Fórmula'!B3,3)),IF(INDEX(properties!A$1:CB$87,'Fórmula'!D3,3)=0,10^6,INDEX(properties!A$1:CB$87,'Fórmula'!D3,3)),IF(INDEX(properties!A$1:CB$87,'Fórmula'!F3,3)=0,10^6,INDEX(properties!A$1:CB$87,'Fórmula'!F3,3)),IF(INDEX(properties!A$1:CB$87,'Fórmula'!H3,3)=0,10^6,INDEX(properties!A$1:CB$87,'Fórmula'!H3,3)),IF(INDEX(properties!A$1:CB$87,'Fórmula'!J3,3)=0,10^6,INDEX(properties!A$1:CB$87,'Fórmula'!J3,3)))</f>
        <v>10.811</v>
      </c>
      <c r="G3" s="101">
        <f t="shared" si="1"/>
        <v>128.0945</v>
      </c>
      <c r="H3" s="102">
        <f t="array" ref="H3">(('Fórmula'!C3)/('Fórmula'!C3+'Fórmula'!E3+'Fórmula'!G3+'Fórmula'!I3+'Fórmula'!K3))*(INDEX(properties!A$1:CB$87,'Fórmula'!B3,4))+(('Fórmula'!E3)/('Fórmula'!C3+'Fórmula'!E3+'Fórmula'!G3+'Fórmula'!I3+'Fórmula'!K3))*(INDEX(properties!A$1:CB$87,'Fórmula'!D3,4))+(('Fórmula'!G3)/('Fórmula'!C3+'Fórmula'!E3+'Fórmula'!G3+'Fórmula'!I3+'Fórmula'!K3))*(INDEX(properties!A$1:CB$87,'Fórmula'!F3,4))+(('Fórmula'!I3)/('Fórmula'!C3+'Fórmula'!E3+'Fórmula'!G3+'Fórmula'!I3+'Fórmula'!K3))*(INDEX(properties!A$1:CB$87,'Fórmula'!H3,4))+(('Fórmula'!K3)/('Fórmula'!C3+'Fórmula'!E3+'Fórmula'!G3+'Fórmula'!I3+'Fórmula'!K3))*(INDEX(properties!A$1:CB$87,'Fórmula'!J3,4))</f>
        <v>16.38095238</v>
      </c>
      <c r="I3" s="102">
        <f t="array" ref="I3">'Fórmula'!C3*(INDEX(properties!A$1:CB$87,'Fórmula'!B3,4))+'Fórmula'!E3*(INDEX(properties!A$1:CB$87,'Fórmula'!D3,4))+'Fórmula'!G3*(INDEX(properties!A$1:CB$87,'Fórmula'!F3,4))+'Fórmula'!I3*(INDEX(properties!A$1:CB$87,'Fórmula'!H3,4))+'Fórmula'!K3*(INDEX(properties!A$1:CB$87,'Fórmula'!J3,4))</f>
        <v>344</v>
      </c>
      <c r="J3" s="102">
        <f t="array" ref="J3">VARP(IF(INDEX(properties!A$1:CB$87,'Fórmula'!B3,4)&lt;&gt;"",INDEX(properties!A$1:CB$87,'Fórmula'!B3,4)),IF(INDEX(properties!A$1:CB$87,'Fórmula'!D3,4)&lt;&gt;"",INDEX(properties!A$1:CB$87,'Fórmula'!D3,4)),IF(INDEX(properties!A$1:CB$87,'Fórmula'!F3,4)&lt;&gt;"",INDEX(properties!A$1:CB$87,'Fórmula'!F3,4)),IF(INDEX(properties!A$1:CB$87,'Fórmula'!H3,4)&lt;&gt;"",INDEX(properties!A$1:CB$87,'Fórmula'!H3,4)),IF(INDEX(properties!A$1:CB$87,'Fórmula'!J3,4)&lt;&gt;"",INDEX(properties!A$1:CB$87,'Fórmula'!J3,4)))</f>
        <v>489.84</v>
      </c>
      <c r="K3" s="102">
        <f t="array" ref="K3">MAX(INDEX(properties!A$1:CB$87,'Fórmula'!B3,4),INDEX(properties!A$1:CB$87,'Fórmula'!D3,4),INDEX(properties!A$1:CB$87,'Fórmula'!F3,4),INDEX(properties!A$1:CB$87,'Fórmula'!H3,4),INDEX(properties!A$1:CB$87,'Fórmula'!J3,4))</f>
        <v>57</v>
      </c>
      <c r="L3" s="102">
        <f t="array" ref="L3">MIN(IF(INDEX(properties!A$1:CB$87,'Fórmula'!B3,4)=0,10^6,INDEX(properties!A$1:CB$87,'Fórmula'!B3,4)),IF(INDEX(properties!A$1:CB$87,'Fórmula'!D3,4)=0,10^6,INDEX(properties!A$1:CB$87,'Fórmula'!D3,4)),IF(INDEX(properties!A$1:CB$87,'Fórmula'!F3,4)=0,10^6,INDEX(properties!A$1:CB$87,'Fórmula'!F3,4)),IF(INDEX(properties!A$1:CB$87,'Fórmula'!H3,4)=0,10^6,INDEX(properties!A$1:CB$87,'Fórmula'!H3,4)),IF(INDEX(properties!A$1:CB$87,'Fórmula'!J3,4)=0,10^6,INDEX(properties!A$1:CB$87,'Fórmula'!J3,4)))</f>
        <v>5</v>
      </c>
      <c r="M3" s="102">
        <f t="shared" si="2"/>
        <v>52</v>
      </c>
      <c r="N3" s="103">
        <f t="array" ref="N3">(('Fórmula'!C3)/('Fórmula'!C3+'Fórmula'!E3+'Fórmula'!G3+'Fórmula'!I3+'Fórmula'!K3))*(INDEX(properties!A$1:CB$87,'Fórmula'!B3,5))+(('Fórmula'!E3)/('Fórmula'!C3+'Fórmula'!E3+'Fórmula'!G3+'Fórmula'!I3+'Fórmula'!K3))*(INDEX(properties!A$1:CB$87,'Fórmula'!D3,5))+(('Fórmula'!G3)/('Fórmula'!C3+'Fórmula'!E3+'Fórmula'!G3+'Fórmula'!I3+'Fórmula'!K3))*(INDEX(properties!A$1:CB$87,'Fórmula'!F3,5))+(('Fórmula'!I3)/('Fórmula'!C3+'Fórmula'!E3+'Fórmula'!G3+'Fórmula'!I3+'Fórmula'!K3))*(INDEX(properties!A$1:CB$87,'Fórmula'!H3,5))+(('Fórmula'!K3)/('Fórmula'!C3+'Fórmula'!E3+'Fórmula'!G3+'Fórmula'!I3+'Fórmula'!K3))*(INDEX(properties!A$1:CB$87,'Fórmula'!J3,5))</f>
        <v>2.80952381</v>
      </c>
      <c r="O3" s="103">
        <f t="array" ref="O3">'Fórmula'!C3*(INDEX(properties!A$1:CB$87,'Fórmula'!B3,5))+'Fórmula'!E3*(INDEX(properties!A$1:CB$87,'Fórmula'!D3,5))+'Fórmula'!G3*(INDEX(properties!A$1:CB$87,'Fórmula'!F3,5))+'Fórmula'!I3*(INDEX(properties!A$1:CB$87,'Fórmula'!H3,5))+'Fórmula'!K3*(INDEX(properties!A$1:CB$87,'Fórmula'!J3,5))</f>
        <v>59</v>
      </c>
      <c r="P3" s="103">
        <f t="array" ref="P3">VARP(IF(INDEX(properties!A$1:CB$87,'Fórmula'!B3,5)&lt;&gt;"",INDEX(properties!A$1:CB$87,'Fórmula'!B3,5)),IF(INDEX(properties!A$1:CB$87,'Fórmula'!D3,5)&lt;&gt;"",INDEX(properties!A$1:CB$87,'Fórmula'!D3,5)),IF(INDEX(properties!A$1:CB$87,'Fórmula'!F3,5)&lt;&gt;"",INDEX(properties!A$1:CB$87,'Fórmula'!F3,5)),IF(INDEX(properties!A$1:CB$87,'Fórmula'!H3,5)&lt;&gt;"",INDEX(properties!A$1:CB$87,'Fórmula'!H3,5)),IF(INDEX(properties!A$1:CB$87,'Fórmula'!J3,5)&lt;&gt;"",INDEX(properties!A$1:CB$87,'Fórmula'!J3,5)))</f>
        <v>4.8</v>
      </c>
      <c r="Q3" s="103">
        <f t="array" ref="Q3">MAX(INDEX(properties!A$1:CB$87,'Fórmula'!B3,5),INDEX(properties!A$1:CB$87,'Fórmula'!D3,5),INDEX(properties!A$1:CB$87,'Fórmula'!F3,5),INDEX(properties!A$1:CB$87,'Fórmula'!H3,5),INDEX(properties!A$1:CB$87,'Fórmula'!J3,5))</f>
        <v>6</v>
      </c>
      <c r="R3" s="103">
        <f t="array" ref="R3">MIN(IF(INDEX(properties!A$1:CB$87,'Fórmula'!B3,5)=0,10^6,INDEX(properties!A$1:CB$87,'Fórmula'!B3,5)),IF(INDEX(properties!A$1:CB$87,'Fórmula'!D3,5)=0,10^6,INDEX(properties!A$1:CB$87,'Fórmula'!D3,5)),IF(INDEX(properties!A$1:CB$87,'Fórmula'!F3,5)=0,10^6,INDEX(properties!A$1:CB$87,'Fórmula'!F3,5)),IF(INDEX(properties!A$1:CB$87,'Fórmula'!H3,5)=0,10^6,INDEX(properties!A$1:CB$87,'Fórmula'!H3,5)),IF(INDEX(properties!A$1:CB$87,'Fórmula'!J3,5)=0,10^6,INDEX(properties!A$1:CB$87,'Fórmula'!J3,5)))</f>
        <v>2</v>
      </c>
      <c r="S3" s="103">
        <f t="shared" si="3"/>
        <v>4</v>
      </c>
      <c r="T3" s="104">
        <f t="array" ref="T3">(('Fórmula'!C3)/('Fórmula'!C3+'Fórmula'!E3+'Fórmula'!G3+'Fórmula'!I3+'Fórmula'!K3))*(INDEX(properties!A$1:CB$87,'Fórmula'!B3,6))+(('Fórmula'!E3)/('Fórmula'!C3+'Fórmula'!E3+'Fórmula'!G3+'Fórmula'!I3+'Fórmula'!K3))*(INDEX(properties!A$1:CB$87,'Fórmula'!D3,6))+(('Fórmula'!G3)/('Fórmula'!C3+'Fórmula'!E3+'Fórmula'!G3+'Fórmula'!I3+'Fórmula'!K3))*(INDEX(properties!A$1:CB$87,'Fórmula'!F3,6))+(('Fórmula'!I3)/('Fórmula'!C3+'Fórmula'!E3+'Fórmula'!G3+'Fórmula'!I3+'Fórmula'!K3))*(INDEX(properties!A$1:CB$87,'Fórmula'!H3,6))+(('Fórmula'!K3)/('Fórmula'!C3+'Fórmula'!E3+'Fórmula'!G3+'Fórmula'!I3+'Fórmula'!K3))*(INDEX(properties!A$1:CB$87,'Fórmula'!J3,6))</f>
        <v>12.19047619</v>
      </c>
      <c r="U3" s="104">
        <f t="array" ref="U3">'Fórmula'!C3*(INDEX(properties!A$1:CB$87,'Fórmula'!B3,6))+'Fórmula'!E3*(INDEX(properties!A$1:CB$87,'Fórmula'!D3,6))+'Fórmula'!G3*(INDEX(properties!A$1:CB$87,'Fórmula'!F3,6))+'Fórmula'!I3*(INDEX(properties!A$1:CB$87,'Fórmula'!H3,6))+'Fórmula'!K3*(INDEX(properties!A$1:CB$87,'Fórmula'!J3,6))</f>
        <v>256</v>
      </c>
      <c r="V3" s="103">
        <f t="array" ref="V3">VARP(IF(INDEX(properties!A$1:CB$87,'Fórmula'!B3,6)&lt;&gt;"",INDEX(properties!A$1:CB$87,'Fórmula'!B3,6)),IF(INDEX(properties!A$1:CB$87,'Fórmula'!D3,6)&lt;&gt;"",INDEX(properties!A$1:CB$87,'Fórmula'!D3,6)),IF(INDEX(properties!A$1:CB$87,'Fórmula'!F3,6)&lt;&gt;"",INDEX(properties!A$1:CB$87,'Fórmula'!F3,6)),IF(INDEX(properties!A$1:CB$87,'Fórmula'!H3,6)&lt;&gt;"",INDEX(properties!A$1:CB$87,'Fórmula'!H3,6)),IF(INDEX(properties!A$1:CB$87,'Fórmula'!J3,6)&lt;&gt;"",INDEX(properties!A$1:CB$87,'Fórmula'!J3,6)))</f>
        <v>41.36</v>
      </c>
      <c r="W3" s="104">
        <f t="array" ref="W3">MAX(INDEX(properties!A$1:CB$87,'Fórmula'!B3,6),INDEX(properties!A$1:CB$87,'Fórmula'!D3,6),INDEX(properties!A$1:CB$87,'Fórmula'!F3,6),INDEX(properties!A$1:CB$87,'Fórmula'!H3,4),INDEX(properties!A$1:CB$87,'Fórmula'!J3,6))</f>
        <v>13</v>
      </c>
      <c r="X3" s="104">
        <f t="array" ref="X3">MIN(IF(INDEX(properties!A$1:CB$87,'Fórmula'!B3,6)=0,10^6,INDEX(properties!A$1:CB$87,'Fórmula'!B3,6)),IF(INDEX(properties!A$1:CB$87,'Fórmula'!D3,6)=0,10^6,INDEX(properties!A$1:CB$87,'Fórmula'!D3,6)),IF(INDEX(properties!A$1:CB$87,'Fórmula'!F3,6)=0,10^6,INDEX(properties!A$1:CB$87,'Fórmula'!F3,6)),IF(INDEX(properties!A$1:CB$87,'Fórmula'!H3,6)=0,10^6,INDEX(properties!A$1:CB$87,'Fórmula'!H3,6)),IF(INDEX(properties!A$1:CB$87,'Fórmula'!J3,6)=0,10^6,INDEX(properties!A$1:CB$87,'Fórmula'!J3,6)))</f>
        <v>2</v>
      </c>
      <c r="Y3" s="104">
        <f t="shared" si="4"/>
        <v>11</v>
      </c>
      <c r="Z3" s="105">
        <f t="array" ref="Z3">(('Fórmula'!C3)/('Fórmula'!C3+'Fórmula'!E3+'Fórmula'!G3+'Fórmula'!I3+'Fórmula'!K3))*(INDEX(properties!A$1:CB$87,'Fórmula'!B3,9))+(('Fórmula'!E3)/('Fórmula'!C3+'Fórmula'!E3+'Fórmula'!G3+'Fórmula'!I3+'Fórmula'!K3))*(INDEX(properties!A$1:CB$87,'Fórmula'!D3,9))+(('Fórmula'!G3)/('Fórmula'!C3+'Fórmula'!E3+'Fórmula'!G3+'Fórmula'!I3+'Fórmula'!K3))*(INDEX(properties!A$1:CB$87,'Fórmula'!F3,9))+(('Fórmula'!I3)/('Fórmula'!C3+'Fórmula'!E3+'Fórmula'!G3+'Fórmula'!I3+'Fórmula'!K3))*(INDEX(properties!A$1:CB$87,'Fórmula'!H3,9))+(('Fórmula'!K3)/('Fórmula'!C3+'Fórmula'!E3+'Fórmula'!G3+'Fórmula'!I3+'Fórmula'!K3))*(INDEX(properties!A$1:CB$87,'Fórmula'!J3,9))</f>
        <v>65.80952381</v>
      </c>
      <c r="AA3" s="105">
        <f t="array" ref="AA3">'Fórmula'!C3*(INDEX(properties!A$1:CB$87,'Fórmula'!B3,9))+'Fórmula'!E3*(INDEX(properties!A$1:CB$87,'Fórmula'!D3,9))+'Fórmula'!G3*(INDEX(properties!A$1:CB$87,'Fórmula'!F3,9))+'Fórmula'!I3*(INDEX(properties!A$1:CB$87,'Fórmula'!H3,9))+'Fórmula'!K3*(INDEX(properties!A$1:CB$87,'Fórmula'!J3,9))</f>
        <v>1382</v>
      </c>
      <c r="AB3" s="105">
        <f t="array" ref="AB3">VARP(IF(INDEX(properties!A$1:CB$87,'Fórmula'!B3,9)&lt;&gt;"",INDEX(properties!A$1:CB$87,'Fórmula'!B3,9)),IF(INDEX(properties!A$1:CB$87,'Fórmula'!D3,9)&lt;&gt;"",INDEX(properties!A$1:CB$87,'Fórmula'!D3,9)),IF(INDEX(properties!A$1:CB$87,'Fórmula'!F3,9)&lt;&gt;"",INDEX(properties!A$1:CB$87,'Fórmula'!F3,9)),IF(INDEX(properties!A$1:CB$87,'Fórmula'!H3,9)&lt;&gt;"",INDEX(properties!A$1:CB$87,'Fórmula'!H3,9)),IF(INDEX(properties!A$1:CB$87,'Fórmula'!J3,9)&lt;&gt;"",INDEX(properties!A$1:CB$87,'Fórmula'!J3,9)))</f>
        <v>1301.2</v>
      </c>
      <c r="AC3" s="105">
        <f t="array" ref="AC3">MAX(INDEX(properties!A$1:CB$87,'Fórmula'!B3,9),INDEX(properties!A$1:CB$87,'Fórmula'!D3,9),INDEX(properties!A$1:CB$87,'Fórmula'!F3,9),INDEX(properties!A$1:CB$87,'Fórmula'!H3,9),INDEX(properties!A$1:CB$87,'Fórmula'!J3,9))</f>
        <v>87</v>
      </c>
      <c r="AD3" s="105">
        <f t="array" ref="AD3">MIN(IF(INDEX(properties!A$1:CB$87,'Fórmula'!B3,9)=0,10^6,INDEX(properties!A$1:CB$87,'Fórmula'!B3,9)),IF(INDEX(properties!A$1:CB$87,'Fórmula'!D3,9)=0,10^6,INDEX(properties!A$1:CB$87,'Fórmula'!D3,9)),IF(INDEX(properties!A$1:CB$87,'Fórmula'!F3,9)=0,10^6,INDEX(properties!A$1:CB$87,'Fórmula'!F3,9)),IF(INDEX(properties!A$1:CB$87,'Fórmula'!H3,9)=0,10^6,INDEX(properties!A$1:CB$87,'Fórmula'!H3,9)),IF(INDEX(properties!A$1:CB$87,'Fórmula'!J3,9)=0,10^6,INDEX(properties!A$1:CB$87,'Fórmula'!J3,9)))</f>
        <v>8</v>
      </c>
      <c r="AE3" s="105">
        <f t="shared" si="5"/>
        <v>79</v>
      </c>
      <c r="AF3" s="106">
        <f t="array" ref="AF3">(('Fórmula'!C3)/('Fórmula'!C3+'Fórmula'!E3+'Fórmula'!G3+'Fórmula'!I3+'Fórmula'!K3))*(INDEX(properties!A$1:CB$87,'Fórmula'!B3,10))+(('Fórmula'!E3)/('Fórmula'!C3+'Fórmula'!E3+'Fórmula'!G3+'Fórmula'!I3+'Fórmula'!K3))*(INDEX(properties!A$1:CB$87,'Fórmula'!D3,10))+(('Fórmula'!G3)/('Fórmula'!C3+'Fórmula'!E3+'Fórmula'!G3+'Fórmula'!I3+'Fórmula'!K3))*(INDEX(properties!A$1:CB$87,'Fórmula'!F3,10))+(('Fórmula'!I3)/('Fórmula'!C3+'Fórmula'!E3+'Fórmula'!G3+'Fórmula'!I3+'Fórmula'!K3))*(INDEX(properties!A$1:CB$87,'Fórmula'!H3,10))+(('Fórmula'!K3)/('Fórmula'!C3+'Fórmula'!E3+'Fórmula'!G3+'Fórmula'!I3+'Fórmula'!K3))*(INDEX(properties!A$1:CB$87,'Fórmula'!J3,10))</f>
        <v>5.714285714</v>
      </c>
      <c r="AG3" s="106">
        <f t="array" ref="AG3">'Fórmula'!C3*(INDEX(properties!A$1:CB$87,'Fórmula'!B3,10))+'Fórmula'!E3*(INDEX(properties!A$1:CB$87,'Fórmula'!D3,10))+'Fórmula'!G3*(INDEX(properties!A$1:CB$87,'Fórmula'!F3,10))+'Fórmula'!I3*(INDEX(properties!A$1:CB$87,'Fórmula'!H3,10))+'Fórmula'!K3*(INDEX(properties!A$1:CB$87,'Fórmula'!J3,10))</f>
        <v>120</v>
      </c>
      <c r="AH3" s="106">
        <f t="array" ref="AH3">VARP(IF(INDEX(properties!A$1:CB$87,'Fórmula'!B3,10)&lt;&gt;"",INDEX(properties!A$1:CB$87,'Fórmula'!B3,10)),IF(INDEX(properties!A$1:CB$87,'Fórmula'!D3,10)&lt;&gt;"",INDEX(properties!A$1:CB$87,'Fórmula'!D3,10)),IF(INDEX(properties!A$1:CB$87,'Fórmula'!F3,10)&lt;&gt;"",INDEX(properties!A$1:CB$87,'Fórmula'!F3,10)),IF(INDEX(properties!A$1:CB$87,'Fórmula'!H3,10)&lt;&gt;"",INDEX(properties!A$1:CB$87,'Fórmula'!H3,10)),IF(INDEX(properties!A$1:CB$87,'Fórmula'!J3,10)&lt;&gt;"",INDEX(properties!A$1:CB$87,'Fórmula'!J3,10)))</f>
        <v>6.64</v>
      </c>
      <c r="AI3" s="106">
        <f t="array" ref="AI3">MAX(INDEX(properties!A$1:CB$87,'Fórmula'!B3,10),INDEX(properties!A$1:CB$87,'Fórmula'!D3,10),INDEX(properties!A$1:CB$87,'Fórmula'!F3,10),INDEX(properties!A$1:CB$87,'Fórmula'!H3,10),INDEX(properties!A$1:CB$87,'Fórmula'!J3,10))</f>
        <v>7</v>
      </c>
      <c r="AJ3" s="106">
        <f t="array" ref="AJ3">MIN(IF(INDEX(properties!A$1:CB$87,'Fórmula'!B3,10)=0,10^6,INDEX(properties!A$1:CB$87,'Fórmula'!B3,10)),IF(INDEX(properties!A$1:CB$87,'Fórmula'!D3,10)=0,10^6,INDEX(properties!A$1:CB$87,'Fórmula'!D3,10)),IF(INDEX(properties!A$1:CB$87,'Fórmula'!F3,10)=0,10^6,INDEX(properties!A$1:CB$87,'Fórmula'!F3,10)),IF(INDEX(properties!A$1:CB$87,'Fórmula'!H3,10)=0,10^6,INDEX(properties!A$1:CB$87,'Fórmula'!H3,10)),IF(INDEX(properties!A$1:CB$87,'Fórmula'!J3,10)=0,10^6,INDEX(properties!A$1:CB$87,'Fórmula'!J3,10)))</f>
        <v>2</v>
      </c>
      <c r="AK3" s="106">
        <f t="shared" si="6"/>
        <v>5</v>
      </c>
      <c r="AL3" s="107">
        <f t="array" ref="AL3">(('Fórmula'!C3)/('Fórmula'!C3+'Fórmula'!E3+'Fórmula'!G3+'Fórmula'!I3+'Fórmula'!K3))*(INDEX(properties!A$1:CB$87,'Fórmula'!B3,11))+(('Fórmula'!E3)/('Fórmula'!C3+'Fórmula'!E3+'Fórmula'!G3+'Fórmula'!I3+'Fórmula'!K3))*(INDEX(properties!A$1:CB$87,'Fórmula'!D3,11))+(('Fórmula'!G3)/('Fórmula'!C3+'Fórmula'!E3+'Fórmula'!G3+'Fórmula'!I3+'Fórmula'!K3))*(INDEX(properties!A$1:CB$87,'Fórmula'!F3,11))+(('Fórmula'!I3)/('Fórmula'!C3+'Fórmula'!E3+'Fórmula'!G3+'Fórmula'!I3+'Fórmula'!K3))*(INDEX(properties!A$1:CB$87,'Fórmula'!H3,11))+(('Fórmula'!K3)/('Fórmula'!C3+'Fórmula'!E3+'Fórmula'!G3+'Fórmula'!I3+'Fórmula'!K3))*(INDEX(properties!A$1:CB$87,'Fórmula'!J3,11))</f>
        <v>2</v>
      </c>
      <c r="AM3" s="107">
        <f t="array" ref="AM3">'Fórmula'!C3*(INDEX(properties!A$1:CB$87,'Fórmula'!B3,11))+'Fórmula'!E3*(INDEX(properties!A$1:CB$87,'Fórmula'!D3,11))+'Fórmula'!G3*(INDEX(properties!A$1:CB$87,'Fórmula'!F3,11))+'Fórmula'!I3*(INDEX(properties!A$1:CB$87,'Fórmula'!H3,11))+'Fórmula'!K3*(INDEX(properties!A$1:CB$87,'Fórmula'!J3,11))</f>
        <v>42</v>
      </c>
      <c r="AN3" s="107">
        <f t="array" ref="AN3">VARP(IF(INDEX(properties!A$1:CB$87,'Fórmula'!B3,11)&lt;&gt;"",INDEX(properties!A$1:CB$87,'Fórmula'!B3,11)),IF(INDEX(properties!A$1:CB$87,'Fórmula'!D3,11)&lt;&gt;"",INDEX(properties!A$1:CB$87,'Fórmula'!D3,11)),IF(INDEX(properties!A$1:CB$87,'Fórmula'!F3,11)&lt;&gt;"",INDEX(properties!A$1:CB$87,'Fórmula'!F3,11)),IF(INDEX(properties!A$1:CB$87,'Fórmula'!H3,11)&lt;&gt;"",INDEX(properties!A$1:CB$87,'Fórmula'!H3,11)),IF(INDEX(properties!A$1:CB$87,'Fórmula'!J3,11)&lt;&gt;"",INDEX(properties!A$1:CB$87,'Fórmula'!J3,11)))</f>
        <v>0.64</v>
      </c>
      <c r="AO3" s="107">
        <f t="array" ref="AO3">MAX(INDEX(properties!A$1:CB$87,'Fórmula'!B3,11),INDEX(properties!A$1:CB$87,'Fórmula'!D3,11),INDEX(properties!A$1:CB$87,'Fórmula'!F3,11),INDEX(properties!A$1:CB$87,'Fórmula'!H3,11),INDEX(properties!A$1:CB$87,'Fórmula'!J3,11))</f>
        <v>2</v>
      </c>
      <c r="AP3" s="107">
        <f t="array" ref="AP3">MIN(IF('Fórmula'!B3=87,10^6,INDEX(properties!A$1:CB$87,'Fórmula'!B3,11)),IF(('Fórmula'!D3)=87,10^6,INDEX(properties!A$1:CB$87,'Fórmula'!D3,11)),IF(('Fórmula'!F3)=87,10^6,INDEX(properties!A$1:CB$87,'Fórmula'!F3,11)),IF(('Fórmula'!H3)=87,10^6,INDEX(properties!A$1:CB$87,'Fórmula'!H3,11)),IF('Fórmula'!J3=87,10^6,INDEX(properties!A$1:CB$87,'Fórmula'!J3,11)))</f>
        <v>2</v>
      </c>
      <c r="AQ3" s="107">
        <f t="shared" si="7"/>
        <v>0</v>
      </c>
      <c r="AR3" s="108">
        <f t="array" ref="AR3">(('Fórmula'!C3)/('Fórmula'!C3+'Fórmula'!E3+'Fórmula'!G3+'Fórmula'!I3+'Fórmula'!K3))*(INDEX(properties!A$1:CB$87,'Fórmula'!B3,12))+(('Fórmula'!E3)/('Fórmula'!C3+'Fórmula'!E3+'Fórmula'!G3+'Fórmula'!I3+'Fórmula'!K3))*(INDEX(properties!A$1:CB$87,'Fórmula'!D3,12))+(('Fórmula'!G3)/('Fórmula'!C3+'Fórmula'!E3+'Fórmula'!G3+'Fórmula'!I3+'Fórmula'!K3))*(INDEX(properties!A$1:CB$87,'Fórmula'!F3,12))+(('Fórmula'!I3)/('Fórmula'!C3+'Fórmula'!E3+'Fórmula'!G3+'Fórmula'!I3+'Fórmula'!K3))*(INDEX(properties!A$1:CB$87,'Fórmula'!H3,12))+(('Fórmula'!K3)/('Fórmula'!C3+'Fórmula'!E3+'Fórmula'!G3+'Fórmula'!I3+'Fórmula'!K3))*(INDEX(properties!A$1:CB$87,'Fórmula'!J3,12))</f>
        <v>2.476190476</v>
      </c>
      <c r="AS3" s="108">
        <f t="array" ref="AS3">'Fórmula'!C3*(INDEX(properties!A$1:CB$87,'Fórmula'!B3,12))+'Fórmula'!E3*(INDEX(properties!A$1:CB$87,'Fórmula'!D3,12))+'Fórmula'!G3*(INDEX(properties!A$1:CB$87,'Fórmula'!F3,12))+'Fórmula'!I3*(INDEX(properties!A$1:CB$87,'Fórmula'!H3,12))+'Fórmula'!K3*(INDEX(properties!A$1:CB$87,'Fórmula'!J3,12))</f>
        <v>52</v>
      </c>
      <c r="AT3" s="108">
        <f t="array" ref="AT3">VARP(IF(INDEX(properties!A$1:CB$87,'Fórmula'!B3,12)&lt;&gt;"",INDEX(properties!A$1:CB$87,'Fórmula'!B3,12)),IF(INDEX(properties!A$1:CB$87,'Fórmula'!D3,12)&lt;&gt;"",INDEX(properties!A$1:CB$87,'Fórmula'!D3,12)),IF(INDEX(properties!A$1:CB$87,'Fórmula'!F3,12)&lt;&gt;"",INDEX(properties!A$1:CB$87,'Fórmula'!F3,12)),IF(INDEX(properties!A$1:CB$87,'Fórmula'!H3,12)&lt;&gt;"",INDEX(properties!A$1:CB$87,'Fórmula'!H3,12)),IF(INDEX(properties!A$1:CB$87,'Fórmula'!J3,12)&lt;&gt;"",INDEX(properties!A$1:CB$87,'Fórmula'!J3,12)))</f>
        <v>2.4</v>
      </c>
      <c r="AU3" s="108">
        <f t="array" ref="AU3">MAX(INDEX(properties!A$1:CB$87,'Fórmula'!B3,12),INDEX(properties!A$1:CB$87,'Fórmula'!D3,12),INDEX(properties!A$1:CB$87,'Fórmula'!F3,12),INDEX(properties!A$1:CB$87,'Fórmula'!H3,12),INDEX(properties!A$1:CB$87,'Fórmula'!J3,12))</f>
        <v>4</v>
      </c>
      <c r="AV3" s="108">
        <f t="array" ref="AV3">MIN(IF('Fórmula'!B3=87,10^6,INDEX(properties!A$1:CB$87,'Fórmula'!B3,12)),IF(('Fórmula'!D3)=87,10^6,INDEX(properties!A$1:CB$87,'Fórmula'!D3,12)),IF(('Fórmula'!F3)=87,10^6,INDEX(properties!A$1:CB$87,'Fórmula'!F3,12)),IF(('Fórmula'!H3)=87,10^6,INDEX(properties!A$1:CB$87,'Fórmula'!H3,12)),IF('Fórmula'!J3=87,10^6,INDEX(properties!A$1:CB$87,'Fórmula'!J3,12)))</f>
        <v>0</v>
      </c>
      <c r="AW3" s="108">
        <f t="shared" si="8"/>
        <v>4</v>
      </c>
      <c r="AX3" s="109">
        <f t="array" ref="AX3">(('Fórmula'!C3)/('Fórmula'!C3+'Fórmula'!E3+'Fórmula'!G3+'Fórmula'!I3+'Fórmula'!K3))*(INDEX(properties!A$1:CB$87,'Fórmula'!B3,13))+(('Fórmula'!E3)/('Fórmula'!C3+'Fórmula'!E3+'Fórmula'!G3+'Fórmula'!I3+'Fórmula'!K3))*(INDEX(properties!A$1:CB$87,'Fórmula'!D3,13))+(('Fórmula'!G3)/('Fórmula'!C3+'Fórmula'!E3+'Fórmula'!G3+'Fórmula'!I3+'Fórmula'!K3))*(INDEX(properties!A$1:CB$87,'Fórmula'!F3,13))+(('Fórmula'!I3)/('Fórmula'!C3+'Fórmula'!E3+'Fórmula'!G3+'Fórmula'!I3+'Fórmula'!K3))*(INDEX(properties!A$1:CB$87,'Fórmula'!H3,13))+(('Fórmula'!K3)/('Fórmula'!C3+'Fórmula'!E3+'Fórmula'!G3+'Fórmula'!I3+'Fórmula'!K3))*(INDEX(properties!A$1:CB$87,'Fórmula'!J3,13))</f>
        <v>0.09523809524</v>
      </c>
      <c r="AY3" s="109">
        <f t="array" ref="AY3">'Fórmula'!C3*(INDEX(properties!A$1:CB$87,'Fórmula'!B3,13))+'Fórmula'!E3*(INDEX(properties!A$1:CB$87,'Fórmula'!D3,13))+'Fórmula'!G3*(INDEX(properties!A$1:CB$87,'Fórmula'!F3,13))+'Fórmula'!I3*(INDEX(properties!A$1:CB$87,'Fórmula'!H3,13))+'Fórmula'!K3*(INDEX(properties!A$1:CB$87,'Fórmula'!J3,13))</f>
        <v>2</v>
      </c>
      <c r="AZ3" s="109">
        <f t="array" ref="AZ3">VARP(IF(INDEX(properties!A$1:CB$87,'Fórmula'!B3,13)&lt;&gt;"",INDEX(properties!A$1:CB$87,'Fórmula'!B3,13)),IF(INDEX(properties!A$1:CB$87,'Fórmula'!D3,13)&lt;&gt;"",INDEX(properties!A$1:CB$87,'Fórmula'!D3,13)),IF(INDEX(properties!A$1:CB$87,'Fórmula'!F3,13)&lt;&gt;"",INDEX(properties!A$1:CB$87,'Fórmula'!F3,13)),IF(INDEX(properties!A$1:CB$87,'Fórmula'!H3,13)&lt;&gt;"",INDEX(properties!A$1:CB$87,'Fórmula'!H3,13)),IF(INDEX(properties!A$1:CB$87,'Fórmula'!J3,13)&lt;&gt;"",INDEX(properties!A$1:CB$87,'Fórmula'!J3,13)))</f>
        <v>0.16</v>
      </c>
      <c r="BA3" s="109">
        <f t="array" ref="BA3">MAX(INDEX(properties!A$1:CB$87,'Fórmula'!B3,13),INDEX(properties!A$1:CB$87,'Fórmula'!D3,13),INDEX(properties!A$1:CB$87,'Fórmula'!F3,13),INDEX(properties!A$1:CB$87,'Fórmula'!H3,13),INDEX(properties!A$1:CB$87,'Fórmula'!J3,13))</f>
        <v>1</v>
      </c>
      <c r="BB3" s="109">
        <f t="array" ref="BB3">MIN(IF('Fórmula'!B3=87,10^6,INDEX(properties!A$1:CB$87,'Fórmula'!B3,13)),IF(('Fórmula'!D3)=87,10^6,INDEX(properties!A$1:CB$87,'Fórmula'!D3,13)),IF(('Fórmula'!F3)=87,10^6,INDEX(properties!A$1:CB$87,'Fórmula'!F3,13)),IF(('Fórmula'!H3)=87,10^6,INDEX(properties!A$1:CB$87,'Fórmula'!H3,13)),IF('Fórmula'!J3=87,10^6,INDEX(properties!A$1:CB$87,'Fórmula'!J3,13)))</f>
        <v>0</v>
      </c>
      <c r="BC3" s="109">
        <f t="shared" si="9"/>
        <v>1</v>
      </c>
      <c r="BD3" s="110">
        <f t="array" ref="BD3">(('Fórmula'!C3)/('Fórmula'!C3+'Fórmula'!E3+'Fórmula'!G3+'Fórmula'!I3+'Fórmula'!K3))*(INDEX(properties!A$1:CB$87,'Fórmula'!B3,14))+(('Fórmula'!E3)/('Fórmula'!C3+'Fórmula'!E3+'Fórmula'!G3+'Fórmula'!I3+'Fórmula'!K3))*(INDEX(properties!A$1:CB$87,'Fórmula'!D3,14))+(('Fórmula'!G3)/('Fórmula'!C3+'Fórmula'!E3+'Fórmula'!G3+'Fórmula'!I3+'Fórmula'!K3))*(INDEX(properties!A$1:CB$87,'Fórmula'!F3,14))+(('Fórmula'!I3)/('Fórmula'!C3+'Fórmula'!E3+'Fórmula'!G3+'Fórmula'!I3+'Fórmula'!K3))*(INDEX(properties!A$1:CB$87,'Fórmula'!H3,14))+(('Fórmula'!K3)/('Fórmula'!C3+'Fórmula'!E3+'Fórmula'!G3+'Fórmula'!I3+'Fórmula'!K3))*(INDEX(properties!A$1:CB$87,'Fórmula'!J3,14))</f>
        <v>0</v>
      </c>
      <c r="BE3" s="110">
        <f t="array" ref="BE3">'Fórmula'!C3*(INDEX(properties!A$1:CB$87,'Fórmula'!B3,14))+'Fórmula'!E3*(INDEX(properties!A$1:CB$87,'Fórmula'!D3,14))+'Fórmula'!G3*(INDEX(properties!A$1:CB$87,'Fórmula'!F3,14))+'Fórmula'!I3*(INDEX(properties!A$1:CB$87,'Fórmula'!H3,14))+'Fórmula'!K3*(INDEX(properties!A$1:CB$87,'Fórmula'!J3,14))</f>
        <v>0</v>
      </c>
      <c r="BF3" s="110">
        <f t="array" ref="BF3">VARP(IF(INDEX(properties!A$1:CB$87,'Fórmula'!B3,14)&lt;&gt;"",INDEX(properties!A$1:CB$87,'Fórmula'!B3,14)),IF(INDEX(properties!A$1:CB$87,'Fórmula'!D3,14)&lt;&gt;"",INDEX(properties!A$1:CB$87,'Fórmula'!D3,14)),IF(INDEX(properties!A$1:CB$87,'Fórmula'!F3,14)&lt;&gt;"",INDEX(properties!A$1:CB$87,'Fórmula'!F3,14)),IF(INDEX(properties!A$1:CB$87,'Fórmula'!H3,14)&lt;&gt;"",INDEX(properties!A$1:CB$87,'Fórmula'!H3,14)),IF(INDEX(properties!A$1:CB$87,'Fórmula'!J3,14)&lt;&gt;"",INDEX(properties!A$1:CB$87,'Fórmula'!J3,14)))</f>
        <v>0</v>
      </c>
      <c r="BG3" s="110">
        <f t="array" ref="BG3">MAX(INDEX(properties!A$1:CB$87,'Fórmula'!B3,14),INDEX(properties!A$1:CB$87,'Fórmula'!D3,14),INDEX(properties!A$1:CB$87,'Fórmula'!F3,14),INDEX(properties!A$1:CB$87,'Fórmula'!H3,14),INDEX(properties!A$1:CB$87,'Fórmula'!J3,14))</f>
        <v>0</v>
      </c>
      <c r="BH3" s="110">
        <f t="array" ref="BH3">MIN(IF('Fórmula'!B3=87,10^6,INDEX(properties!A$1:CB$87,'Fórmula'!B3,14)),IF(('Fórmula'!D3)=87,10^6,INDEX(properties!A$1:CB$87,'Fórmula'!D3,14)),IF(('Fórmula'!F3)=87,10^6,INDEX(properties!A$1:CB$87,'Fórmula'!F3,14)),IF(('Fórmula'!H3)=87,10^6,INDEX(properties!A$1:CB$87,'Fórmula'!H3,14)),IF('Fórmula'!J3=87,10^6,INDEX(properties!A$1:CB$87,'Fórmula'!J3,14)))</f>
        <v>0</v>
      </c>
      <c r="BI3" s="110">
        <f t="shared" si="10"/>
        <v>0</v>
      </c>
      <c r="BJ3" s="111">
        <f t="array" ref="BJ3">(('Fórmula'!C3)/('Fórmula'!C3+'Fórmula'!E3+'Fórmula'!G3+'Fórmula'!I3+'Fórmula'!K3))*(INDEX(properties!A$1:CB$87,'Fórmula'!B3,19))+(('Fórmula'!E3)/('Fórmula'!C3+'Fórmula'!E3+'Fórmula'!G3+'Fórmula'!I3+'Fórmula'!K3))*(INDEX(properties!A$1:CB$87,'Fórmula'!D3,19))+(('Fórmula'!G3)/('Fórmula'!C3+'Fórmula'!E3+'Fórmula'!G3+'Fórmula'!I3+'Fórmula'!K3))*(INDEX(properties!A$1:CB$87,'Fórmula'!F3,19))+(('Fórmula'!I3)/('Fórmula'!C3+'Fórmula'!E3+'Fórmula'!G3+'Fórmula'!I3+'Fórmula'!K3))*(INDEX(properties!A$1:CB$87,'Fórmula'!H3,19))+(('Fórmula'!K3)/('Fórmula'!C3+'Fórmula'!E3+'Fórmula'!G3+'Fórmula'!I3+'Fórmula'!K3))*(INDEX(properties!A$1:CB$87,'Fórmula'!J3,19))</f>
        <v>4.571428571</v>
      </c>
      <c r="BK3" s="111">
        <f t="array" ref="BK3">'Fórmula'!C3*(INDEX(properties!A$1:CB$87,'Fórmula'!B3,19))+'Fórmula'!E3*(INDEX(properties!A$1:CB$87,'Fórmula'!D3,19))+'Fórmula'!G3*(INDEX(properties!A$1:CB$87,'Fórmula'!F3,19))+'Fórmula'!I3*(INDEX(properties!A$1:CB$87,'Fórmula'!H3,19))+'Fórmula'!K3*(INDEX(properties!A$1:CB$87,'Fórmula'!J3,19))</f>
        <v>96</v>
      </c>
      <c r="BL3" s="111">
        <f t="array" ref="BL3">VARP(IF(INDEX(properties!A$1:CB$87,'Fórmula'!B3,19)&lt;&gt;"",INDEX(properties!A$1:CB$87,'Fórmula'!B3,19)),IF(INDEX(properties!A$1:CB$87,'Fórmula'!D3,19)&lt;&gt;"",INDEX(properties!A$1:CB$87,'Fórmula'!D3,19)),IF(INDEX(properties!A$1:CB$87,'Fórmula'!F3,19)&lt;&gt;"",INDEX(properties!A$1:CB$87,'Fórmula'!F3,19)),IF(INDEX(properties!A$1:CB$87,'Fórmula'!H3,19)&lt;&gt;"",INDEX(properties!A$1:CB$87,'Fórmula'!H3,19)),IF(INDEX(properties!A$1:CB$87,'Fórmula'!J3,19)&lt;&gt;"",INDEX(properties!A$1:CB$87,'Fórmula'!J3,19)))</f>
        <v>3.76</v>
      </c>
      <c r="BM3" s="111">
        <f t="array" ref="BM3">MAX(INDEX(properties!A$1:CB$87,'Fórmula'!B3,19),INDEX(properties!A$1:CB$87,'Fórmula'!D3,19),INDEX(properties!A$1:CB$87,'Fórmula'!F3,19),INDEX(properties!A$1:CB$87,'Fórmula'!H3,19),INDEX(properties!A$1:CB$87,'Fórmula'!J3,19))</f>
        <v>6</v>
      </c>
      <c r="BN3" s="111">
        <f t="array" ref="BN3">MIN(IF(INDEX(properties!A$1:CB$87,'Fórmula'!B3,19)=0,10^6,INDEX(properties!A$1:CB$87,'Fórmula'!B3,19)),IF(INDEX(properties!A$1:CB$87,'Fórmula'!D3,19)=0,10^6,INDEX(properties!A$1:CB$87,'Fórmula'!D3,19)),IF(INDEX(properties!A$1:CB$87,'Fórmula'!F3,19)=0,10^6,INDEX(properties!A$1:CB$87,'Fórmula'!F3,19)),IF(INDEX(properties!A$1:CB$87,'Fórmula'!H3,19)=0,10^6,INDEX(properties!A$1:CB$87,'Fórmula'!H3,19)),IF(INDEX(properties!A$1:CB$87,'Fórmula'!J3,19)=0,10^6,INDEX(properties!A$1:CB$87,'Fórmula'!J3,19)))</f>
        <v>2</v>
      </c>
      <c r="BO3" s="111">
        <f t="shared" si="11"/>
        <v>4</v>
      </c>
      <c r="BP3" s="112">
        <f t="array" ref="BP3">(('Fórmula'!C3)/('Fórmula'!C3+'Fórmula'!E3+'Fórmula'!G3+'Fórmula'!I3+'Fórmula'!K3))*(INDEX(properties!A$1:CB$87,'Fórmula'!B3,20))+(('Fórmula'!E3)/('Fórmula'!C3+'Fórmula'!E3+'Fórmula'!G3+'Fórmula'!I3+'Fórmula'!K3))*(INDEX(properties!A$1:CB$87,'Fórmula'!D3,20))+(('Fórmula'!G3)/('Fórmula'!C3+'Fórmula'!E3+'Fórmula'!G3+'Fórmula'!I3+'Fórmula'!K3))*(INDEX(properties!A$1:CB$87,'Fórmula'!F3,20))+(('Fórmula'!I3)/('Fórmula'!C3+'Fórmula'!E3+'Fórmula'!G3+'Fórmula'!I3+'Fórmula'!K3))*(INDEX(properties!A$1:CB$87,'Fórmula'!H3,20))+(('Fórmula'!K3)/('Fórmula'!C3+'Fórmula'!E3+'Fórmula'!G3+'Fórmula'!I3+'Fórmula'!K3))*(INDEX(properties!A$1:CB$87,'Fórmula'!J3,20))</f>
        <v>4.476190476</v>
      </c>
      <c r="BQ3" s="112">
        <f t="array" ref="BQ3">'Fórmula'!C3*(INDEX(properties!A$1:CB$87,'Fórmula'!B3,20))+'Fórmula'!E3*(INDEX(properties!A$1:CB$87,'Fórmula'!D3,20))+'Fórmula'!G3*(INDEX(properties!A$1:CB$87,'Fórmula'!F3,20))+'Fórmula'!I3*(INDEX(properties!A$1:CB$87,'Fórmula'!H3,20))+'Fórmula'!K3*(INDEX(properties!A$1:CB$87,'Fórmula'!J3,20))</f>
        <v>94</v>
      </c>
      <c r="BR3" s="112">
        <f t="array" ref="BR3">VARP(IF(INDEX(properties!A$1:CB$87,'Fórmula'!B3,20)&lt;&gt;"",INDEX(properties!A$1:CB$87,'Fórmula'!B3,20)),IF(INDEX(properties!A$1:CB$87,'Fórmula'!D3,20)&lt;&gt;"",INDEX(properties!A$1:CB$87,'Fórmula'!D3,20)),IF(INDEX(properties!A$1:CB$87,'Fórmula'!F3,20)&lt;&gt;"",INDEX(properties!A$1:CB$87,'Fórmula'!F3,20)),IF(INDEX(properties!A$1:CB$87,'Fórmula'!H3,20)&lt;&gt;"",INDEX(properties!A$1:CB$87,'Fórmula'!H3,20)),IF(INDEX(properties!A$1:CB$87,'Fórmula'!J3,20)&lt;&gt;"",INDEX(properties!A$1:CB$87,'Fórmula'!J3,20)))</f>
        <v>3.84</v>
      </c>
      <c r="BS3" s="112">
        <f t="array" ref="BS3">MAX(INDEX(properties!A$1:CB$87,'Fórmula'!B3,20),INDEX(properties!A$1:CB$87,'Fórmula'!D3,20),INDEX(properties!A$1:CB$87,'Fórmula'!F3,20),INDEX(properties!A$1:CB$87,'Fórmula'!H3,20),INDEX(properties!A$1:CB$87,'Fórmula'!J3,20))</f>
        <v>6</v>
      </c>
      <c r="BT3" s="112">
        <f t="array" ref="BT3">MIN(IF(INDEX(properties!A$1:CB$87,'Fórmula'!B3,20)=0,10^6,INDEX(properties!A$1:CB$87,'Fórmula'!B3,20)),IF(INDEX(properties!A$1:CB$87,'Fórmula'!D3,20)=0,10^6,INDEX(properties!A$1:CB$87,'Fórmula'!D3,20)),IF(INDEX(properties!A$1:CB$87,'Fórmula'!F3,20)=0,10^6,INDEX(properties!A$1:CB$87,'Fórmula'!F3,20)),IF(INDEX(properties!A$1:CB$87,'Fórmula'!H3,20)=0,10^6,INDEX(properties!A$1:CB$87,'Fórmula'!H3,20)),IF(INDEX(properties!A$1:CB$87,'Fórmula'!J3,20)=0,10^6,INDEX(properties!A$1:CB$87,'Fórmula'!J3,20)))</f>
        <v>2</v>
      </c>
      <c r="BU3" s="112">
        <f t="shared" si="12"/>
        <v>4</v>
      </c>
      <c r="BV3" s="113">
        <f t="array" ref="BV3">(('Fórmula'!C3)/('Fórmula'!C3+'Fórmula'!E3+'Fórmula'!G3+'Fórmula'!I3+'Fórmula'!K3))*(INDEX(properties!A$1:CB$87,'Fórmula'!B3,21))+(('Fórmula'!E3)/('Fórmula'!C3+'Fórmula'!E3+'Fórmula'!G3+'Fórmula'!I3+'Fórmula'!K3))*(INDEX(properties!A$1:CB$87,'Fórmula'!D3,21))+(('Fórmula'!G3)/('Fórmula'!C3+'Fórmula'!E3+'Fórmula'!G3+'Fórmula'!I3+'Fórmula'!K3))*(INDEX(properties!A$1:CB$87,'Fórmula'!F3,21))+(('Fórmula'!I3)/('Fórmula'!C3+'Fórmula'!E3+'Fórmula'!G3+'Fórmula'!I3+'Fórmula'!K3))*(INDEX(properties!A$1:CB$87,'Fórmula'!H3,21))+(('Fórmula'!K3)/('Fórmula'!C3+'Fórmula'!E3+'Fórmula'!G3+'Fórmula'!I3+'Fórmula'!K3))*(INDEX(properties!A$1:CB$87,'Fórmula'!J3,21))</f>
        <v>4.380952381</v>
      </c>
      <c r="BW3" s="113">
        <f t="array" ref="BW3">'Fórmula'!C3*(INDEX(properties!A$1:CB$87,'Fórmula'!B3,21))+'Fórmula'!E3*(INDEX(properties!A$1:CB$87,'Fórmula'!D3,21))+'Fórmula'!G3*(INDEX(properties!A$1:CB$87,'Fórmula'!F3,21))+'Fórmula'!I3*(INDEX(properties!A$1:CB$87,'Fórmula'!H3,21))+'Fórmula'!K3*(INDEX(properties!A$1:CB$87,'Fórmula'!J3,21))</f>
        <v>92</v>
      </c>
      <c r="BX3" s="113">
        <f t="array" ref="BX3">VARP(IF(INDEX(properties!A$1:CB$87,'Fórmula'!B3,21)&lt;&gt;"",INDEX(properties!A$1:CB$87,'Fórmula'!B3,21)),IF(INDEX(properties!A$1:CB$87,'Fórmula'!D3,21)&lt;&gt;"",INDEX(properties!A$1:CB$87,'Fórmula'!D3,21)),IF(INDEX(properties!A$1:CB$87,'Fórmula'!F3,21)&lt;&gt;"",INDEX(properties!A$1:CB$87,'Fórmula'!F3,21)),IF(INDEX(properties!A$1:CB$87,'Fórmula'!H3,21)&lt;&gt;"",INDEX(properties!A$1:CB$87,'Fórmula'!H3,21)),IF(INDEX(properties!A$1:CB$87,'Fórmula'!J3,21)&lt;&gt;"",INDEX(properties!A$1:CB$87,'Fórmula'!J3,21)))</f>
        <v>4.24</v>
      </c>
      <c r="BY3" s="113">
        <f t="array" ref="BY3">MAX(INDEX(properties!A$1:CB$87,'Fórmula'!B3,21),INDEX(properties!A$1:CB$87,'Fórmula'!D3,21),INDEX(properties!A$1:CB$87,'Fórmula'!F3,21),INDEX(properties!A$1:CB$87,'Fórmula'!H3,21),INDEX(properties!A$1:CB$87,'Fórmula'!J3,21))</f>
        <v>6</v>
      </c>
      <c r="BZ3" s="113">
        <f t="array" ref="BZ3">MIN(IF(INDEX(properties!A$1:CB$87,'Fórmula'!B3,21)=0,10^6,INDEX(properties!A$1:CB$87,'Fórmula'!B3,21)),IF(INDEX(properties!A$1:CB$87,'Fórmula'!D3,21)=0,10^6,INDEX(properties!A$1:CB$87,'Fórmula'!D3,21)),IF(INDEX(properties!A$1:CB$87,'Fórmula'!F3,21)=0,10^6,INDEX(properties!A$1:CB$87,'Fórmula'!F3,21)),IF(INDEX(properties!A$1:CB$87,'Fórmula'!H3,21)=0,10^6,INDEX(properties!A$1:CB$87,'Fórmula'!H3,21)),IF(INDEX(properties!A$1:CB$87,'Fórmula'!J3,21)=0,10^6,INDEX(properties!A$1:CB$87,'Fórmula'!J3,21)))</f>
        <v>1</v>
      </c>
      <c r="CA3" s="113">
        <f t="shared" si="13"/>
        <v>5</v>
      </c>
      <c r="CB3" s="114">
        <f t="array" ref="CB3">(('Fórmula'!C3)/('Fórmula'!C3+'Fórmula'!E3+'Fórmula'!G3+'Fórmula'!I3+'Fórmula'!K3))*(INDEX(properties!A$1:CB$87,'Fórmula'!B3,23))+(('Fórmula'!E3)/('Fórmula'!C3+'Fórmula'!E3+'Fórmula'!G3+'Fórmula'!I3+'Fórmula'!K3))*(INDEX(properties!A$1:CB$87,'Fórmula'!D3,23))+(('Fórmula'!G3)/('Fórmula'!C3+'Fórmula'!E3+'Fórmula'!G3+'Fórmula'!I3+'Fórmula'!K3))*(INDEX(properties!A$1:CB$87,'Fórmula'!F3,23))+(('Fórmula'!I3)/('Fórmula'!C3+'Fórmula'!E3+'Fórmula'!G3+'Fórmula'!I3+'Fórmula'!K3))*(INDEX(properties!A$1:CB$87,'Fórmula'!H3,23))+(('Fórmula'!K3)/('Fórmula'!C3+'Fórmula'!E3+'Fórmula'!G3+'Fórmula'!I3+'Fórmula'!K3))*(INDEX(properties!A$1:CB$87,'Fórmula'!J3,23))</f>
        <v>1.142857143</v>
      </c>
      <c r="CC3" s="114">
        <f t="array" ref="CC3">'Fórmula'!C3*(INDEX(properties!A$1:CB$87,'Fórmula'!B3,23))+'Fórmula'!E3*(INDEX(properties!A$1:CB$87,'Fórmula'!D3,23))+'Fórmula'!G3*(INDEX(properties!A$1:CB$87,'Fórmula'!F3,23))+'Fórmula'!I3*(INDEX(properties!A$1:CB$87,'Fórmula'!H3,23))+'Fórmula'!K3*(INDEX(properties!A$1:CB$87,'Fórmula'!J3,23))</f>
        <v>24</v>
      </c>
      <c r="CD3" s="114">
        <f t="array" ref="CD3">VARP(IF(INDEX(properties!A$1:CB$87,'Fórmula'!B3,23)&lt;&gt;"",INDEX(properties!A$1:CB$87,'Fórmula'!B3,23)),IF(INDEX(properties!A$1:CB$87,'Fórmula'!D3,23)&lt;&gt;"",INDEX(properties!A$1:CB$87,'Fórmula'!D3,23)),IF(INDEX(properties!A$1:CB$87,'Fórmula'!F3,23)&lt;&gt;"",INDEX(properties!A$1:CB$87,'Fórmula'!F3,23)),IF(INDEX(properties!A$1:CB$87,'Fórmula'!H3,23)&lt;&gt;"",INDEX(properties!A$1:CB$87,'Fórmula'!H3,23)),IF(INDEX(properties!A$1:CB$87,'Fórmula'!J3,23)&lt;&gt;"",INDEX(properties!A$1:CB$87,'Fórmula'!J3,23)))</f>
        <v>1.84</v>
      </c>
      <c r="CE3" s="114">
        <f t="array" ref="CE3">MAX(INDEX(properties!A$1:CB$87,'Fórmula'!B3,23),INDEX(properties!A$1:CB$87,'Fórmula'!D3,23),INDEX(properties!A$1:CB$87,'Fórmula'!F3,23),INDEX(properties!A$1:CB$87,'Fórmula'!H3,23),INDEX(properties!A$1:CB$87,'Fórmula'!J3,23))</f>
        <v>3</v>
      </c>
      <c r="CF3" s="114">
        <f t="array" ref="CF3">MIN(IF('Fórmula'!B3=87,10^6,INDEX(properties!A$1:CB$87,'Fórmula'!B3,23)),IF(('Fórmula'!D3)=87,10^6,INDEX(properties!A$1:CB$87,'Fórmula'!D3,23)),IF(('Fórmula'!F3)=87,10^6,INDEX(properties!A$1:CB$87,'Fórmula'!F3,23)),IF(('Fórmula'!H3)=87,10^6,INDEX(properties!A$1:CB$87,'Fórmula'!H3,23)),IF('Fórmula'!J3=87,10^6,INDEX(properties!A$1:CB$87,'Fórmula'!J3,23)))</f>
        <v>0</v>
      </c>
      <c r="CG3" s="114">
        <f t="shared" si="14"/>
        <v>3</v>
      </c>
      <c r="CH3" s="115">
        <f t="array" ref="CH3">(('Fórmula'!C3)/('Fórmula'!C3+'Fórmula'!E3+'Fórmula'!G3+'Fórmula'!I3+'Fórmula'!K3))*(INDEX(properties!A$1:CB$87,'Fórmula'!B3,26))+(('Fórmula'!E3)/('Fórmula'!C3+'Fórmula'!E3+'Fórmula'!G3+'Fórmula'!I3+'Fórmula'!K3))*(INDEX(properties!A$1:CB$87,'Fórmula'!D3,26))+(('Fórmula'!G3)/('Fórmula'!C3+'Fórmula'!E3+'Fórmula'!G3+'Fórmula'!I3+'Fórmula'!K3))*(INDEX(properties!A$1:CB$87,'Fórmula'!F3,26))+(('Fórmula'!I3)/('Fórmula'!C3+'Fórmula'!E3+'Fórmula'!G3+'Fórmula'!I3+'Fórmula'!K3))*(INDEX(properties!A$1:CB$87,'Fórmula'!H3,26))+(('Fórmula'!K3)/('Fórmula'!C3+'Fórmula'!E3+'Fórmula'!G3+'Fórmula'!I3+'Fórmula'!K3))*(INDEX(properties!A$1:CB$87,'Fórmula'!J3,26))</f>
        <v>10.70703333</v>
      </c>
      <c r="CI3" s="115">
        <f t="array" ref="CI3">'Fórmula'!C3*(INDEX(properties!A$1:CB$87,'Fórmula'!B3,26))+'Fórmula'!E3*(INDEX(properties!A$1:CB$87,'Fórmula'!D3,26))+'Fórmula'!G3*(INDEX(properties!A$1:CB$87,'Fórmula'!F3,26))+'Fórmula'!I3*(INDEX(properties!A$1:CB$87,'Fórmula'!H3,26))+'Fórmula'!K3*(INDEX(properties!A$1:CB$87,'Fórmula'!J3,26))</f>
        <v>224.8477</v>
      </c>
      <c r="CJ3" s="115">
        <f t="array" ref="CJ3">VARP(IF(INDEX(properties!A$1:CB$87,'Fórmula'!B3,26)&lt;&gt;"",INDEX(properties!A$1:CB$87,'Fórmula'!B3,26)),IF(INDEX(properties!A$1:CB$87,'Fórmula'!D3,26)&lt;&gt;"",INDEX(properties!A$1:CB$87,'Fórmula'!D3,26)),IF(INDEX(properties!A$1:CB$87,'Fórmula'!F3,26)&lt;&gt;"",INDEX(properties!A$1:CB$87,'Fórmula'!F3,26)),IF(INDEX(properties!A$1:CB$87,'Fórmula'!H3,26)&lt;&gt;"",INDEX(properties!A$1:CB$87,'Fórmula'!H3,26)),IF(INDEX(properties!A$1:CB$87,'Fórmula'!J3,26)&lt;&gt;"",INDEX(properties!A$1:CB$87,'Fórmula'!J3,26)))</f>
        <v>19.51116199</v>
      </c>
      <c r="CK3" s="116">
        <f t="array" ref="CK3">MAX(INDEX(properties!A$1:CB$87,'Fórmula'!B3,26),INDEX(properties!A$1:CB$87,'Fórmula'!D3,26),INDEX(properties!A$1:CB$87,'Fórmula'!F3,26),INDEX(properties!A$1:CB$87,'Fórmula'!H3,26),INDEX(properties!A$1:CB$87,'Fórmula'!J3,26))</f>
        <v>13.6181</v>
      </c>
      <c r="CL3" s="116">
        <f t="array" ref="CL3">MIN(IF(INDEX(properties!A$1:CB$87,'Fórmula'!B3,26)=0,10^6,INDEX(properties!A$1:CB$87,'Fórmula'!B3,26)),IF(INDEX(properties!A$1:CB$87,'Fórmula'!D3,26)=0,10^6,INDEX(properties!A$1:CB$87,'Fórmula'!D3,26)),IF(INDEX(properties!A$1:CB$87,'Fórmula'!F3,26)=0,10^6,INDEX(properties!A$1:CB$87,'Fórmula'!F3,26)),IF(INDEX(properties!A$1:CB$87,'Fórmula'!H3,26)=0,10^6,INDEX(properties!A$1:CB$87,'Fórmula'!H3,26)),IF(INDEX(properties!A$1:CB$87,'Fórmula'!J3,26)=0,10^6,INDEX(properties!A$1:CB$87,'Fórmula'!J3,26)))</f>
        <v>5.5769</v>
      </c>
      <c r="CM3" s="115">
        <f t="shared" si="15"/>
        <v>8.0412</v>
      </c>
      <c r="CN3" s="117">
        <f t="array" ref="CN3">(('Fórmula'!C3)/('Fórmula'!C3+'Fórmula'!E3+'Fórmula'!G3+'Fórmula'!I3+'Fórmula'!K3))*(INDEX(properties!A$1:CB$87,'Fórmula'!B3,30))+(('Fórmula'!E3)/('Fórmula'!C3+'Fórmula'!E3+'Fórmula'!G3+'Fórmula'!I3+'Fórmula'!K3))*(INDEX(properties!A$1:CB$87,'Fórmula'!D3,30))+(('Fórmula'!G3)/('Fórmula'!C3+'Fórmula'!E3+'Fórmula'!G3+'Fórmula'!I3+'Fórmula'!K3))*(INDEX(properties!A$1:CB$87,'Fórmula'!F3,30))+(('Fórmula'!I3)/('Fórmula'!C3+'Fórmula'!E3+'Fórmula'!G3+'Fórmula'!I3+'Fórmula'!K3))*(INDEX(properties!A$1:CB$87,'Fórmula'!H3,30))+(('Fórmula'!K3)/('Fórmula'!C3+'Fórmula'!E3+'Fórmula'!G3+'Fórmula'!I3+'Fórmula'!K3))*(INDEX(properties!A$1:CB$87,'Fórmula'!J3,30))</f>
        <v>2.594761905</v>
      </c>
      <c r="CO3" s="117">
        <f t="array" ref="CO3">'Fórmula'!C3*(INDEX(properties!A$1:CB$87,'Fórmula'!B3,30))+'Fórmula'!E3*(INDEX(properties!A$1:CB$87,'Fórmula'!D3,30))+'Fórmula'!G3*(INDEX(properties!A$1:CB$87,'Fórmula'!F3,30))+'Fórmula'!I3*(INDEX(properties!A$1:CB$87,'Fórmula'!H3,30))+'Fórmula'!K3*(INDEX(properties!A$1:CB$87,'Fórmula'!J3,30))</f>
        <v>54.49</v>
      </c>
      <c r="CP3" s="117">
        <f t="array" ref="CP3">VARP(IF(INDEX(properties!A$1:CB$87,'Fórmula'!B3,30)&lt;&gt;"",INDEX(properties!A$1:CB$87,'Fórmula'!B3,30)),IF(INDEX(properties!A$1:CB$87,'Fórmula'!D3,30)&lt;&gt;"",INDEX(properties!A$1:CB$87,'Fórmula'!D3,30)),IF(INDEX(properties!A$1:CB$87,'Fórmula'!F3,30)&lt;&gt;"",INDEX(properties!A$1:CB$87,'Fórmula'!F3,30)),IF(INDEX(properties!A$1:CB$87,'Fórmula'!H3,30)&lt;&gt;"",INDEX(properties!A$1:CB$87,'Fórmula'!H3,30)),IF(INDEX(properties!A$1:CB$87,'Fórmula'!J3,30)&lt;&gt;"",INDEX(properties!A$1:CB$87,'Fórmula'!J3,30)))</f>
        <v>1.353504</v>
      </c>
      <c r="CQ3" s="117">
        <f t="array" ref="CQ3">MAX(INDEX(properties!A$1:CB$87,'Fórmula'!B3,30),INDEX(properties!A$1:CB$87,'Fórmula'!D3,30),INDEX(properties!A$1:CB$87,'Fórmula'!F3,30),INDEX(properties!A$1:CB$87,'Fórmula'!H3,30),INDEX(properties!A$1:CB$87,'Fórmula'!J3,30))</f>
        <v>3.44</v>
      </c>
      <c r="CR3" s="117">
        <f t="array" ref="CR3">MIN(IF(INDEX(properties!A$1:CB$87,'Fórmula'!B3,30)=0,10^6,INDEX(properties!A$1:CB$87,'Fórmula'!B3,30)),IF(INDEX(properties!A$1:CB$87,'Fórmula'!D3,30)=0,10^6,INDEX(properties!A$1:CB$87,'Fórmula'!D3,30)),IF(INDEX(properties!A$1:CB$87,'Fórmula'!F3,30)=0,10^6,INDEX(properties!A$1:CB$87,'Fórmula'!F3,30)),IF(INDEX(properties!A$1:CB$87,'Fórmula'!H3,30)=0,10^6,INDEX(properties!A$1:CB$87,'Fórmula'!H3,30)),IF(INDEX(properties!A$1:CB$87,'Fórmula'!J3,30)=0,10^6,INDEX(properties!A$1:CB$87,'Fórmula'!J3,30)))</f>
        <v>0.95</v>
      </c>
      <c r="CS3" s="117">
        <f t="shared" si="16"/>
        <v>2.49</v>
      </c>
      <c r="CT3" s="118">
        <f t="array" ref="CT3">(('Fórmula'!C3)/('Fórmula'!C3+'Fórmula'!E3+'Fórmula'!G3+'Fórmula'!I3+'Fórmula'!K3))*(INDEX(properties!A$1:CB$87,'Fórmula'!B3,31))+(('Fórmula'!E3)/('Fórmula'!C3+'Fórmula'!E3+'Fórmula'!G3+'Fórmula'!I3+'Fórmula'!K3))*(INDEX(properties!A$1:CB$87,'Fórmula'!D3,31))+(('Fórmula'!G3)/('Fórmula'!C3+'Fórmula'!E3+'Fórmula'!G3+'Fórmula'!I3+'Fórmula'!K3))*(INDEX(properties!A$1:CB$87,'Fórmula'!F3,31))+(('Fórmula'!I3)/('Fórmula'!C3+'Fórmula'!E3+'Fórmula'!G3+'Fórmula'!I3+'Fórmula'!K3))*(INDEX(properties!A$1:CB$87,'Fórmula'!H3,31))+(('Fórmula'!K3)/('Fórmula'!C3+'Fórmula'!E3+'Fórmula'!G3+'Fórmula'!I3+'Fórmula'!K3))*(INDEX(properties!A$1:CB$87,'Fórmula'!J3,31))</f>
        <v>2.549047619</v>
      </c>
      <c r="CU3" s="118">
        <f t="array" ref="CU3">'Fórmula'!C3*(INDEX(properties!A$1:CB$87,'Fórmula'!B3,31))+'Fórmula'!E3*(INDEX(properties!A$1:CB$87,'Fórmula'!D3,31))+'Fórmula'!G3*(INDEX(properties!A$1:CB$87,'Fórmula'!F3,31))+'Fórmula'!I3*(INDEX(properties!A$1:CB$87,'Fórmula'!H3,31))+'Fórmula'!K3*(INDEX(properties!A$1:CB$87,'Fórmula'!J3,31))</f>
        <v>53.53</v>
      </c>
      <c r="CV3" s="118">
        <f t="array" ref="CV3">VARP(IF(INDEX(properties!A$1:CB$87,'Fórmula'!B3,31)&lt;&gt;"",INDEX(properties!A$1:CB$87,'Fórmula'!B3,31)),IF(INDEX(properties!A$1:CB$87,'Fórmula'!D3,31)&lt;&gt;"",INDEX(properties!A$1:CB$87,'Fórmula'!D3,31)),IF(INDEX(properties!A$1:CB$87,'Fórmula'!F3,31)&lt;&gt;"",INDEX(properties!A$1:CB$87,'Fórmula'!F3,31)),IF(INDEX(properties!A$1:CB$87,'Fórmula'!H3,31)&lt;&gt;"",INDEX(properties!A$1:CB$87,'Fórmula'!H3,31)),IF(INDEX(properties!A$1:CB$87,'Fórmula'!J3,31)&lt;&gt;"",INDEX(properties!A$1:CB$87,'Fórmula'!J3,31)))</f>
        <v>1.17476</v>
      </c>
      <c r="CW3" s="118">
        <f t="array" ref="CW3">MAX(INDEX(properties!A$1:CB$87,'Fórmula'!B3,31),INDEX(properties!A$1:CB$87,'Fórmula'!D3,31),INDEX(properties!A$1:CB$87,'Fórmula'!F3,31),INDEX(properties!A$1:CB$87,'Fórmula'!H3,31),INDEX(properties!A$1:CB$87,'Fórmula'!J3,31))</f>
        <v>3.32</v>
      </c>
      <c r="CX3" s="118">
        <f t="array" ref="CX3">MIN(IF(INDEX(properties!A$1:CB$87,'Fórmula'!B3,31)=0,10^6,INDEX(properties!A$1:CB$87,'Fórmula'!B3,31)),IF(INDEX(properties!A$1:CB$87,'Fórmula'!D3,31)=0,10^6,INDEX(properties!A$1:CB$87,'Fórmula'!D3,31)),IF(INDEX(properties!A$1:CB$87,'Fórmula'!F3,31)=0,10^6,INDEX(properties!A$1:CB$87,'Fórmula'!F3,31)),IF(INDEX(properties!A$1:CB$87,'Fórmula'!H3,31)=0,10^6,INDEX(properties!A$1:CB$87,'Fórmula'!H3,31)),IF(INDEX(properties!A$1:CB$87,'Fórmula'!J3,31)=0,10^6,INDEX(properties!A$1:CB$87,'Fórmula'!J3,31)))</f>
        <v>1.13</v>
      </c>
      <c r="CY3" s="118">
        <f t="shared" si="17"/>
        <v>2.19</v>
      </c>
      <c r="CZ3" s="119">
        <f t="array" ref="CZ3">(('Fórmula'!C3)/('Fórmula'!C3+'Fórmula'!E3+'Fórmula'!G3+'Fórmula'!I3+'Fórmula'!K3))*(INDEX(properties!A$1:CB$87,'Fórmula'!B3,32))+(('Fórmula'!E3)/('Fórmula'!C3+'Fórmula'!E3+'Fórmula'!G3+'Fórmula'!I3+'Fórmula'!K3))*(INDEX(properties!A$1:CB$87,'Fórmula'!D3,32))+(('Fórmula'!G3)/('Fórmula'!C3+'Fórmula'!E3+'Fórmula'!G3+'Fórmula'!I3+'Fórmula'!K3))*(INDEX(properties!A$1:CB$87,'Fórmula'!F3,32))+(('Fórmula'!I3)/('Fórmula'!C3+'Fórmula'!E3+'Fórmula'!G3+'Fórmula'!I3+'Fórmula'!K3))*(INDEX(properties!A$1:CB$87,'Fórmula'!H3,32))+(('Fórmula'!K3)/('Fórmula'!C3+'Fórmula'!E3+'Fórmula'!G3+'Fórmula'!I3+'Fórmula'!K3))*(INDEX(properties!A$1:CB$87,'Fórmula'!J3,32))</f>
        <v>5.706666667</v>
      </c>
      <c r="DA3" s="119">
        <f t="array" ref="DA3">'Fórmula'!C3*(INDEX(properties!A$1:CB$87,'Fórmula'!B3,32))+'Fórmula'!E3*(INDEX(properties!A$1:CB$87,'Fórmula'!D3,32))+'Fórmula'!G3*(INDEX(properties!A$1:CB$87,'Fórmula'!F3,32))+'Fórmula'!I3*(INDEX(properties!A$1:CB$87,'Fórmula'!H3,32))+'Fórmula'!K3*(INDEX(properties!A$1:CB$87,'Fórmula'!J3,32))</f>
        <v>119.84</v>
      </c>
      <c r="DB3" s="119">
        <f t="array" ref="DB3">VARP(IF(INDEX(properties!A$1:CB$87,'Fórmula'!B3,32)&lt;&gt;"",INDEX(properties!A$1:CB$87,'Fórmula'!B3,32)),IF(INDEX(properties!A$1:CB$87,'Fórmula'!D3,32)&lt;&gt;"",INDEX(properties!A$1:CB$87,'Fórmula'!D3,32)),IF(INDEX(properties!A$1:CB$87,'Fórmula'!F3,32)&lt;&gt;"",INDEX(properties!A$1:CB$87,'Fórmula'!F3,32)),IF(INDEX(properties!A$1:CB$87,'Fórmula'!H3,32)&lt;&gt;"",INDEX(properties!A$1:CB$87,'Fórmula'!H3,32)),IF(INDEX(properties!A$1:CB$87,'Fórmula'!J3,32)&lt;&gt;"",INDEX(properties!A$1:CB$87,'Fórmula'!J3,32)))</f>
        <v>6.308144</v>
      </c>
      <c r="DC3" s="119">
        <f t="array" ref="DC3">MAX(INDEX(properties!A$1:CB$87,'Fórmula'!B3,32),INDEX(properties!A$1:CB$87,'Fórmula'!D3,32),INDEX(properties!A$1:CB$87,'Fórmula'!F3,32),INDEX(properties!A$1:CB$87,'Fórmula'!H3,32),INDEX(properties!A$1:CB$87,'Fórmula'!J3,32))</f>
        <v>7.54</v>
      </c>
      <c r="DD3" s="119">
        <f t="array" ref="DD3">MIN(IF(INDEX(properties!A$1:CB$87,'Fórmula'!B3,32)=0,10^6,INDEX(properties!A$1:CB$87,'Fórmula'!B3,32)),IF(INDEX(properties!A$1:CB$87,'Fórmula'!D3,32)=0,10^6,INDEX(properties!A$1:CB$87,'Fórmula'!D3,32)),IF(INDEX(properties!A$1:CB$87,'Fórmula'!F3,32)=0,10^6,INDEX(properties!A$1:CB$87,'Fórmula'!F3,32)),IF(INDEX(properties!A$1:CB$87,'Fórmula'!H3,32)=0,10^6,INDEX(properties!A$1:CB$87,'Fórmula'!H3,32)),IF(INDEX(properties!A$1:CB$87,'Fórmula'!J3,32)=0,10^6,INDEX(properties!A$1:CB$87,'Fórmula'!J3,32)))</f>
        <v>2</v>
      </c>
      <c r="DE3" s="119">
        <f t="shared" si="18"/>
        <v>5.54</v>
      </c>
      <c r="DF3" s="104">
        <f t="array" ref="DF3">(('Fórmula'!C3)/('Fórmula'!C3+'Fórmula'!E3+'Fórmula'!G3+'Fórmula'!I3+'Fórmula'!K3))*(INDEX(properties!A$1:CB$87,'Fórmula'!B3,34))+(('Fórmula'!E3)/('Fórmula'!C3+'Fórmula'!E3+'Fórmula'!G3+'Fórmula'!I3+'Fórmula'!K3))*(INDEX(properties!A$1:CB$87,'Fórmula'!D3,34))+(('Fórmula'!G3)/('Fórmula'!C3+'Fórmula'!E3+'Fórmula'!G3+'Fórmula'!I3+'Fórmula'!K3))*(INDEX(properties!A$1:CB$87,'Fórmula'!F3,34))+(('Fórmula'!I3)/('Fórmula'!C3+'Fórmula'!E3+'Fórmula'!G3+'Fórmula'!I3+'Fórmula'!K3))*(INDEX(properties!A$1:CB$87,'Fórmula'!H3,34))+(('Fórmula'!K3)/('Fórmula'!C3+'Fórmula'!E3+'Fórmula'!G3+'Fórmula'!I3+'Fórmula'!K3))*(INDEX(properties!A$1:CB$87,'Fórmula'!J3,34))</f>
        <v>2.694904762</v>
      </c>
      <c r="DG3" s="104">
        <f t="array" ref="DG3">'Fórmula'!C3*(INDEX(properties!A$1:CB$87,'Fórmula'!B3,34))+'Fórmula'!E3*(INDEX(properties!A$1:CB$87,'Fórmula'!D3,34))+'Fórmula'!G3*(INDEX(properties!A$1:CB$87,'Fórmula'!F3,34))+'Fórmula'!I3*(INDEX(properties!A$1:CB$87,'Fórmula'!H3,34))+'Fórmula'!K3*(INDEX(properties!A$1:CB$87,'Fórmula'!J3,34))</f>
        <v>56.593</v>
      </c>
      <c r="DH3" s="104">
        <f t="array" ref="DH3">VARP(IF(INDEX(properties!A$1:CB$87,'Fórmula'!B3,34)&lt;&gt;"",INDEX(properties!A$1:CB$87,'Fórmula'!B3,34)),IF(INDEX(properties!A$1:CB$87,'Fórmula'!D3,34)&lt;&gt;"",INDEX(properties!A$1:CB$87,'Fórmula'!D3,34)),IF(INDEX(properties!A$1:CB$87,'Fórmula'!F3,34)&lt;&gt;"",INDEX(properties!A$1:CB$87,'Fórmula'!F3,34)),IF(INDEX(properties!A$1:CB$87,'Fórmula'!H3,34)&lt;&gt;"",INDEX(properties!A$1:CB$87,'Fórmula'!H3,34)),IF(INDEX(properties!A$1:CB$87,'Fórmula'!J3,34)&lt;&gt;"",INDEX(properties!A$1:CB$87,'Fórmula'!J3,34)))</f>
        <v>1.49060216</v>
      </c>
      <c r="DI3" s="104">
        <f t="array" ref="DI3">MAX(INDEX(properties!A$1:CB$87,'Fórmula'!B3,34),INDEX(properties!A$1:CB$87,'Fórmula'!D3,34),INDEX(properties!A$1:CB$87,'Fórmula'!F3,34),INDEX(properties!A$1:CB$87,'Fórmula'!H3,34),INDEX(properties!A$1:CB$87,'Fórmula'!J3,34))</f>
        <v>3.61</v>
      </c>
      <c r="DJ3" s="104">
        <f t="array" ref="DJ3">MIN(IF(INDEX(properties!A$1:CB$87,'Fórmula'!B3,34)=0,10^6,INDEX(properties!A$1:CB$87,'Fórmula'!B3,34)),IF(INDEX(properties!A$1:CB$87,'Fórmula'!D3,34)=0,10^6,INDEX(properties!A$1:CB$87,'Fórmula'!D3,34)),IF(INDEX(properties!A$1:CB$87,'Fórmula'!F3,34)=0,10^6,INDEX(properties!A$1:CB$87,'Fórmula'!F3,34)),IF(INDEX(properties!A$1:CB$87,'Fórmula'!H3,34)=0,10^6,INDEX(properties!A$1:CB$87,'Fórmula'!H3,34)),IF(INDEX(properties!A$1:CB$87,'Fórmula'!J3,34)=0,10^6,INDEX(properties!A$1:CB$87,'Fórmula'!J3,34)))</f>
        <v>0.963</v>
      </c>
      <c r="DK3" s="104">
        <f t="shared" si="19"/>
        <v>2.647</v>
      </c>
      <c r="DL3" s="105">
        <f t="array" ref="DL3">(('Fórmula'!C3)/('Fórmula'!C3+'Fórmula'!E3+'Fórmula'!G3+'Fórmula'!I3+'Fórmula'!K3))*(INDEX(properties!A$1:CB$87,'Fórmula'!B3,37))+(('Fórmula'!E3)/('Fórmula'!C3+'Fórmula'!E3+'Fórmula'!G3+'Fórmula'!I3+'Fórmula'!K3))*(INDEX(properties!A$1:CB$87,'Fórmula'!D3,37))+(('Fórmula'!G3)/('Fórmula'!C3+'Fórmula'!E3+'Fórmula'!G3+'Fórmula'!I3+'Fórmula'!K3))*(INDEX(properties!A$1:CB$87,'Fórmula'!F3,37))+(('Fórmula'!I3)/('Fórmula'!C3+'Fórmula'!E3+'Fórmula'!G3+'Fórmula'!I3+'Fórmula'!K3))*(INDEX(properties!A$1:CB$87,'Fórmula'!H3,37))+(('Fórmula'!K3)/('Fórmula'!C3+'Fórmula'!E3+'Fórmula'!G3+'Fórmula'!I3+'Fórmula'!K3))*(INDEX(properties!A$1:CB$87,'Fórmula'!J3,37))</f>
        <v>2.59047619</v>
      </c>
      <c r="DM3" s="105">
        <f t="array" ref="DM3">'Fórmula'!C3*(INDEX(properties!A$1:CB$87,'Fórmula'!B3,37))+'Fórmula'!E3*(INDEX(properties!A$1:CB$87,'Fórmula'!D3,37))+'Fórmula'!G3*(INDEX(properties!A$1:CB$87,'Fórmula'!F3,37))+'Fórmula'!I3*(INDEX(properties!A$1:CB$87,'Fórmula'!H3,37))+'Fórmula'!K3*(INDEX(properties!A$1:CB$87,'Fórmula'!J3,37))</f>
        <v>54.4</v>
      </c>
      <c r="DN3" s="105">
        <f t="array" ref="DN3">VARP(IF(INDEX(properties!A$1:CB$87,'Fórmula'!B3,37)&lt;&gt;"",INDEX(properties!A$1:CB$87,'Fórmula'!B3,37)),IF(INDEX(properties!A$1:CB$87,'Fórmula'!D3,37)&lt;&gt;"",INDEX(properties!A$1:CB$87,'Fórmula'!D3,37)),IF(INDEX(properties!A$1:CB$87,'Fórmula'!F3,37)&lt;&gt;"",INDEX(properties!A$1:CB$87,'Fórmula'!F3,37)),IF(INDEX(properties!A$1:CB$87,'Fórmula'!H3,37)&lt;&gt;"",INDEX(properties!A$1:CB$87,'Fórmula'!H3,37)),IF(INDEX(properties!A$1:CB$87,'Fórmula'!J3,37)&lt;&gt;"",INDEX(properties!A$1:CB$87,'Fórmula'!J3,37)))</f>
        <v>1.3104</v>
      </c>
      <c r="DO3" s="105">
        <f t="array" ref="DO3">MAX(INDEX(properties!A$1:CB$87,'Fórmula'!B3,37),INDEX(properties!A$1:CB$87,'Fórmula'!D3,37),INDEX(properties!A$1:CB$87,'Fórmula'!F3,37),INDEX(properties!A$1:CB$87,'Fórmula'!H3,37),INDEX(properties!A$1:CB$87,'Fórmula'!J3,37))</f>
        <v>3.45</v>
      </c>
      <c r="DP3" s="105">
        <f t="array" ref="DP3">MIN(IF(INDEX(properties!A$1:CB$87,'Fórmula'!B3,37)=0,10^6,INDEX(properties!A$1:CB$87,'Fórmula'!B3,37)),IF(INDEX(properties!A$1:CB$87,'Fórmula'!D3,37)=0,10^6,INDEX(properties!A$1:CB$87,'Fórmula'!D3,37)),IF(INDEX(properties!A$1:CB$87,'Fórmula'!F3,37)=0,10^6,INDEX(properties!A$1:CB$87,'Fórmula'!F3,37)),IF(INDEX(properties!A$1:CB$87,'Fórmula'!H3,37)=0,10^6,INDEX(properties!A$1:CB$87,'Fórmula'!H3,37)),IF(INDEX(properties!A$1:CB$87,'Fórmula'!J3,37)=0,10^6,INDEX(properties!A$1:CB$87,'Fórmula'!J3,37)))</f>
        <v>1</v>
      </c>
      <c r="DQ3" s="105">
        <f t="shared" si="20"/>
        <v>2.45</v>
      </c>
      <c r="DR3" s="109">
        <f t="array" ref="DR3">(('Fórmula'!C3)/('Fórmula'!C3+'Fórmula'!E3+'Fórmula'!G3+'Fórmula'!I3+'Fórmula'!K3))*(INDEX(properties!A$1:CB$87,'Fórmula'!B3,39))+(('Fórmula'!E3)/('Fórmula'!C3+'Fórmula'!E3+'Fórmula'!G3+'Fórmula'!I3+'Fórmula'!K3))*(INDEX(properties!A$1:CB$87,'Fórmula'!D3,39))+(('Fórmula'!G3)/('Fórmula'!C3+'Fórmula'!E3+'Fórmula'!G3+'Fórmula'!I3+'Fórmula'!K3))*(INDEX(properties!A$1:CB$87,'Fórmula'!F3,39))+(('Fórmula'!I3)/('Fórmula'!C3+'Fórmula'!E3+'Fórmula'!G3+'Fórmula'!I3+'Fórmula'!K3))*(INDEX(properties!A$1:CB$87,'Fórmula'!H3,39))+(('Fórmula'!K3)/('Fórmula'!C3+'Fórmula'!E3+'Fórmula'!G3+'Fórmula'!I3+'Fórmula'!K3))*(INDEX(properties!A$1:CB$87,'Fórmula'!J3,39))</f>
        <v>0.9385714286</v>
      </c>
      <c r="DS3" s="109">
        <f t="array" ref="DS3">'Fórmula'!C3*(INDEX(properties!A$1:CB$87,'Fórmula'!B3,39))+'Fórmula'!E3*(INDEX(properties!A$1:CB$87,'Fórmula'!D3,39))+'Fórmula'!G3*(INDEX(properties!A$1:CB$87,'Fórmula'!F3,39))+'Fórmula'!I3*(INDEX(properties!A$1:CB$87,'Fórmula'!H3,39))+'Fórmula'!K3*(INDEX(properties!A$1:CB$87,'Fórmula'!J3,39))</f>
        <v>19.71</v>
      </c>
      <c r="DT3" s="109">
        <f t="array" ref="DT3">VARP(IF(INDEX(properties!A$1:CB$87,'Fórmula'!B3,39)&lt;&gt;"",INDEX(properties!A$1:CB$87,'Fórmula'!B3,39)),IF(INDEX(properties!A$1:CB$87,'Fórmula'!D3,39)&lt;&gt;"",INDEX(properties!A$1:CB$87,'Fórmula'!D3,39)),IF(INDEX(properties!A$1:CB$87,'Fórmula'!F3,39)&lt;&gt;"",INDEX(properties!A$1:CB$87,'Fórmula'!F3,39)),IF(INDEX(properties!A$1:CB$87,'Fórmula'!H3,39)&lt;&gt;"",INDEX(properties!A$1:CB$87,'Fórmula'!H3,39)),IF(INDEX(properties!A$1:CB$87,'Fórmula'!J3,39)&lt;&gt;"",INDEX(properties!A$1:CB$87,'Fórmula'!J3,39)))</f>
        <v>0.711576</v>
      </c>
      <c r="DU3" s="120">
        <f t="array" ref="DU3">MAX(INDEX(properties!A$1:CB$87,'Fórmula'!B3,39),INDEX(properties!A$1:CB$87,'Fórmula'!D3,39),INDEX(properties!A$1:CB$87,'Fórmula'!F3,39),INDEX(properties!A$1:CB$87,'Fórmula'!H3,39),INDEX(properties!A$1:CB$87,'Fórmula'!J3,39))</f>
        <v>2.19</v>
      </c>
      <c r="DV3" s="120">
        <f t="array" ref="DV3">MIN(IF(INDEX(properties!A$1:CB$87,'Fórmula'!B3,39)=0,10^6,INDEX(properties!A$1:CB$87,'Fórmula'!B3,39)),IF(INDEX(properties!A$1:CB$87,'Fórmula'!D3,39)=0,10^6,INDEX(properties!A$1:CB$87,'Fórmula'!D3,39)),IF(INDEX(properties!A$1:CB$87,'Fórmula'!F3,39)=0,10^6,INDEX(properties!A$1:CB$87,'Fórmula'!F3,39)),IF(INDEX(properties!A$1:CB$87,'Fórmula'!H3,39)=0,10^6,INDEX(properties!A$1:CB$87,'Fórmula'!H3,39)),IF(INDEX(properties!A$1:CB$87,'Fórmula'!J3,39)=0,10^6,INDEX(properties!A$1:CB$87,'Fórmula'!J3,39)))</f>
        <v>0.48</v>
      </c>
      <c r="DW3" s="109">
        <f t="shared" si="21"/>
        <v>1.71</v>
      </c>
      <c r="DX3" s="110">
        <f t="array" ref="DX3">(('Fórmula'!C3)/('Fórmula'!C3+'Fórmula'!E3+'Fórmula'!G3+'Fórmula'!I3+'Fórmula'!K3))*(INDEX(properties!A$1:CB$87,'Fórmula'!B3,40))+(('Fórmula'!E3)/('Fórmula'!C3+'Fórmula'!E3+'Fórmula'!G3+'Fórmula'!I3+'Fórmula'!K3))*(INDEX(properties!A$1:CB$87,'Fórmula'!D3,40))+(('Fórmula'!G3)/('Fórmula'!C3+'Fórmula'!E3+'Fórmula'!G3+'Fórmula'!I3+'Fórmula'!K3))*(INDEX(properties!A$1:CB$87,'Fórmula'!F3,40))+(('Fórmula'!I3)/('Fórmula'!C3+'Fórmula'!E3+'Fórmula'!G3+'Fórmula'!I3+'Fórmula'!K3))*(INDEX(properties!A$1:CB$87,'Fórmula'!H3,40))+(('Fórmula'!K3)/('Fórmula'!C3+'Fórmula'!E3+'Fórmula'!G3+'Fórmula'!I3+'Fórmula'!K3))*(INDEX(properties!A$1:CB$87,'Fórmula'!J3,40))</f>
        <v>1.008571429</v>
      </c>
      <c r="DY3" s="110">
        <f t="array" ref="DY3">'Fórmula'!C3*(INDEX(properties!A$1:CB$87,'Fórmula'!B3,40))+'Fórmula'!E3*(INDEX(properties!A$1:CB$87,'Fórmula'!D3,40))+'Fórmula'!G3*(INDEX(properties!A$1:CB$87,'Fórmula'!F3,40))+'Fórmula'!I3*(INDEX(properties!A$1:CB$87,'Fórmula'!H3,40))+'Fórmula'!K3*(INDEX(properties!A$1:CB$87,'Fórmula'!J3,40))</f>
        <v>21.18</v>
      </c>
      <c r="DZ3" s="110">
        <f t="array" ref="DZ3">VARP(IF(INDEX(properties!A$1:CB$87,'Fórmula'!B3,40)&lt;&gt;"",INDEX(properties!A$1:CB$87,'Fórmula'!B3,40)),IF(INDEX(properties!A$1:CB$87,'Fórmula'!D3,40)&lt;&gt;"",INDEX(properties!A$1:CB$87,'Fórmula'!D3,40)),IF(INDEX(properties!A$1:CB$87,'Fórmula'!F3,40)&lt;&gt;"",INDEX(properties!A$1:CB$87,'Fórmula'!F3,40)),IF(INDEX(properties!A$1:CB$87,'Fórmula'!H3,40)&lt;&gt;"",INDEX(properties!A$1:CB$87,'Fórmula'!H3,40)),IF(INDEX(properties!A$1:CB$87,'Fórmula'!J3,40)&lt;&gt;"",INDEX(properties!A$1:CB$87,'Fórmula'!J3,40)))</f>
        <v>0.484536</v>
      </c>
      <c r="EA3" s="121">
        <f t="array" ref="EA3">MAX(INDEX(properties!A$1:CB$87,'Fórmula'!B3,40),INDEX(properties!A$1:CB$87,'Fórmula'!D3,40),INDEX(properties!A$1:CB$87,'Fórmula'!F3,40),INDEX(properties!A$1:CB$87,'Fórmula'!H3,40),INDEX(properties!A$1:CB$87,'Fórmula'!J3,40))</f>
        <v>1.92</v>
      </c>
      <c r="EB3" s="121">
        <f t="array" ref="EB3">MIN(IF(INDEX(properties!A$1:CB$87,'Fórmula'!B3,40)=0,10^6,INDEX(properties!A$1:CB$87,'Fórmula'!B3,40)),IF(INDEX(properties!A$1:CB$87,'Fórmula'!D3,40)=0,10^6,INDEX(properties!A$1:CB$87,'Fórmula'!D3,40)),IF(INDEX(properties!A$1:CB$87,'Fórmula'!F3,40)=0,10^6,INDEX(properties!A$1:CB$87,'Fórmula'!F3,40)),IF(INDEX(properties!A$1:CB$87,'Fórmula'!H3,40)=0,10^6,INDEX(properties!A$1:CB$87,'Fórmula'!H3,40)),IF(INDEX(properties!A$1:CB$87,'Fórmula'!J3,40)=0,10^6,INDEX(properties!A$1:CB$87,'Fórmula'!J3,40)))</f>
        <v>0.73</v>
      </c>
      <c r="EC3" s="110">
        <f t="shared" si="22"/>
        <v>1.19</v>
      </c>
      <c r="ED3" s="111">
        <f t="array" ref="ED3">(('Fórmula'!C3)/('Fórmula'!C3+'Fórmula'!E3+'Fórmula'!G3+'Fórmula'!I3+'Fórmula'!K3))*(INDEX(properties!A$1:CB$87,'Fórmula'!B3,41))+(('Fórmula'!E3)/('Fórmula'!C3+'Fórmula'!E3+'Fórmula'!G3+'Fórmula'!I3+'Fórmula'!K3))*(INDEX(properties!A$1:CB$87,'Fórmula'!D3,41))+(('Fórmula'!G3)/('Fórmula'!C3+'Fórmula'!E3+'Fórmula'!G3+'Fórmula'!I3+'Fórmula'!K3))*(INDEX(properties!A$1:CB$87,'Fórmula'!F3,41))+(('Fórmula'!I3)/('Fórmula'!C3+'Fórmula'!E3+'Fórmula'!G3+'Fórmula'!I3+'Fórmula'!K3))*(INDEX(properties!A$1:CB$87,'Fórmula'!H3,41))+(('Fórmula'!K3)/('Fórmula'!C3+'Fórmula'!E3+'Fórmula'!G3+'Fórmula'!I3+'Fórmula'!K3))*(INDEX(properties!A$1:CB$87,'Fórmula'!J3,41))</f>
        <v>1.098095238</v>
      </c>
      <c r="EE3" s="111">
        <f t="array" ref="EE3">'Fórmula'!C3*(INDEX(properties!A$1:CB$87,'Fórmula'!B3,41))+'Fórmula'!E3*(INDEX(properties!A$1:CB$87,'Fórmula'!D3,41))+'Fórmula'!G3*(INDEX(properties!A$1:CB$87,'Fórmula'!F3,41))+'Fórmula'!I3*(INDEX(properties!A$1:CB$87,'Fórmula'!H3,41))+'Fórmula'!K3*(INDEX(properties!A$1:CB$87,'Fórmula'!J3,41))</f>
        <v>23.06</v>
      </c>
      <c r="EF3" s="111">
        <f t="array" ref="EF3">VARP(IF(INDEX(properties!A$1:CB$87,'Fórmula'!B3,41)&lt;&gt;"",INDEX(properties!A$1:CB$87,'Fórmula'!B3,41)),IF(INDEX(properties!A$1:CB$87,'Fórmula'!D3,41)&lt;&gt;"",INDEX(properties!A$1:CB$87,'Fórmula'!D3,41)),IF(INDEX(properties!A$1:CB$87,'Fórmula'!F3,41)&lt;&gt;"",INDEX(properties!A$1:CB$87,'Fórmula'!F3,41)),IF(INDEX(properties!A$1:CB$87,'Fórmula'!H3,41)&lt;&gt;"",INDEX(properties!A$1:CB$87,'Fórmula'!H3,41)),IF(INDEX(properties!A$1:CB$87,'Fórmula'!J3,41)&lt;&gt;"",INDEX(properties!A$1:CB$87,'Fórmula'!J3,41)))</f>
        <v>0.281176</v>
      </c>
      <c r="EG3" s="122">
        <f t="array" ref="EG3">MAX(INDEX(properties!A$1:CB$87,'Fórmula'!B3,41),INDEX(properties!A$1:CB$87,'Fórmula'!D3,41),INDEX(properties!A$1:CB$87,'Fórmula'!F3,41),INDEX(properties!A$1:CB$87,'Fórmula'!H3,41),INDEX(properties!A$1:CB$87,'Fórmula'!J3,41))</f>
        <v>1.32</v>
      </c>
      <c r="EH3" s="122">
        <f t="array" ref="EH3">MIN(IF(INDEX(properties!A$1:CB$87,'Fórmula'!B3,41)=0,10^6,INDEX(properties!A$1:CB$87,'Fórmula'!B3,41)),IF(INDEX(properties!A$1:CB$87,'Fórmula'!D3,41)=0,10^6,INDEX(properties!A$1:CB$87,'Fórmula'!D3,41)),IF(INDEX(properties!A$1:CB$87,'Fórmula'!F3,41)=0,10^6,INDEX(properties!A$1:CB$87,'Fórmula'!F3,41)),IF(INDEX(properties!A$1:CB$87,'Fórmula'!H3,41)=0,10^6,INDEX(properties!A$1:CB$87,'Fórmula'!H3,41)),IF(INDEX(properties!A$1:CB$87,'Fórmula'!J3,41)=0,10^6,INDEX(properties!A$1:CB$87,'Fórmula'!J3,41)))</f>
        <v>0.41</v>
      </c>
      <c r="EI3" s="111">
        <f t="shared" si="23"/>
        <v>0.91</v>
      </c>
      <c r="EJ3" s="112">
        <f t="array" ref="EJ3">(('Fórmula'!C3)/('Fórmula'!C3+'Fórmula'!E3+'Fórmula'!G3+'Fórmula'!I3+'Fórmula'!K3))*(INDEX(properties!A$1:CB$87,'Fórmula'!B3,45))+(('Fórmula'!E3)/('Fórmula'!C3+'Fórmula'!E3+'Fórmula'!G3+'Fórmula'!I3+'Fórmula'!K3))*(INDEX(properties!A$1:CB$87,'Fórmula'!D3,45))+(('Fórmula'!G3)/('Fórmula'!C3+'Fórmula'!E3+'Fórmula'!G3+'Fórmula'!I3+'Fórmula'!K3))*(INDEX(properties!A$1:CB$87,'Fórmula'!F3,45))+(('Fórmula'!I3)/('Fórmula'!C3+'Fórmula'!E3+'Fórmula'!G3+'Fórmula'!I3+'Fórmula'!K3))*(INDEX(properties!A$1:CB$87,'Fórmula'!H3,45))+(('Fórmula'!K3)/('Fórmula'!C3+'Fórmula'!E3+'Fórmula'!G3+'Fórmula'!I3+'Fórmula'!K3))*(INDEX(properties!A$1:CB$87,'Fórmula'!J3,45))</f>
        <v>1.172857143</v>
      </c>
      <c r="EK3" s="112">
        <f t="array" ref="EK3">'Fórmula'!C3*(INDEX(properties!A$1:CB$87,'Fórmula'!B3,45))+'Fórmula'!E3*(INDEX(properties!A$1:CB$87,'Fórmula'!D3,45))+'Fórmula'!G3*(INDEX(properties!A$1:CB$87,'Fórmula'!F3,45))+'Fórmula'!I3*(INDEX(properties!A$1:CB$87,'Fórmula'!H3,45))+'Fórmula'!K3*(INDEX(properties!A$1:CB$87,'Fórmula'!J3,45))</f>
        <v>24.63</v>
      </c>
      <c r="EL3" s="112">
        <f t="array" ref="EL3">VARP(IF(INDEX(properties!A$1:CB$87,'Fórmula'!B3,45)&lt;&gt;"",INDEX(properties!A$1:CB$87,'Fórmula'!B3,45)),IF(INDEX(properties!A$1:CB$87,'Fórmula'!D3,45)&lt;&gt;"",INDEX(properties!A$1:CB$87,'Fórmula'!D3,45)),IF(INDEX(properties!A$1:CB$87,'Fórmula'!F3,45)&lt;&gt;"",INDEX(properties!A$1:CB$87,'Fórmula'!F3,45)),IF(INDEX(properties!A$1:CB$87,'Fórmula'!H3,45)&lt;&gt;"",INDEX(properties!A$1:CB$87,'Fórmula'!H3,45)),IF(INDEX(properties!A$1:CB$87,'Fórmula'!J3,45)&lt;&gt;"",INDEX(properties!A$1:CB$87,'Fórmula'!J3,45)))</f>
        <v>1.844136</v>
      </c>
      <c r="EM3" s="123">
        <f t="array" ref="EM3">MAX(INDEX(properties!A$1:CB$87,'Fórmula'!B3,45),INDEX(properties!A$1:CB$87,'Fórmula'!D3,45),INDEX(properties!A$1:CB$87,'Fórmula'!F3,45),INDEX(properties!A$1:CB$87,'Fórmula'!H3,45),INDEX(properties!A$1:CB$87,'Fórmula'!J3,45))</f>
        <v>3.21</v>
      </c>
      <c r="EN3" s="123">
        <f t="array" ref="EN3">MIN(IF(INDEX(properties!A$1:CB$87,'Fórmula'!B3,45)=0,10^6,INDEX(properties!A$1:CB$87,'Fórmula'!B3,45)),IF(INDEX(properties!A$1:CB$87,'Fórmula'!D3,45)=0,10^6,INDEX(properties!A$1:CB$87,'Fórmula'!D3,45)),IF(INDEX(properties!A$1:CB$87,'Fórmula'!F3,45)=0,10^6,INDEX(properties!A$1:CB$87,'Fórmula'!F3,45)),IF(INDEX(properties!A$1:CB$87,'Fórmula'!H3,45)=0,10^6,INDEX(properties!A$1:CB$87,'Fórmula'!H3,45)),IF(INDEX(properties!A$1:CB$87,'Fórmula'!J3,45)=0,10^6,INDEX(properties!A$1:CB$87,'Fórmula'!J3,45)))</f>
        <v>0.47</v>
      </c>
      <c r="EO3" s="112">
        <f t="shared" si="24"/>
        <v>2.74</v>
      </c>
      <c r="EP3" s="113">
        <f t="array" ref="EP3">(('Fórmula'!C3)/('Fórmula'!C3+'Fórmula'!E3+'Fórmula'!G3+'Fórmula'!I3+'Fórmula'!K3))*(INDEX(properties!A$1:CB$87,'Fórmula'!B3,46))+(('Fórmula'!E3)/('Fórmula'!C3+'Fórmula'!E3+'Fórmula'!G3+'Fórmula'!I3+'Fórmula'!K3))*(INDEX(properties!A$1:CB$87,'Fórmula'!D3,46))+(('Fórmula'!G3)/('Fórmula'!C3+'Fórmula'!E3+'Fórmula'!G3+'Fórmula'!I3+'Fórmula'!K3))*(INDEX(properties!A$1:CB$87,'Fórmula'!F3,46))+(('Fórmula'!I3)/('Fórmula'!C3+'Fórmula'!E3+'Fórmula'!G3+'Fórmula'!I3+'Fórmula'!K3))*(INDEX(properties!A$1:CB$87,'Fórmula'!H3,46))+(('Fórmula'!K3)/('Fórmula'!C3+'Fórmula'!E3+'Fórmula'!G3+'Fórmula'!I3+'Fórmula'!K3))*(INDEX(properties!A$1:CB$87,'Fórmula'!J3,46))</f>
        <v>1.057142857</v>
      </c>
      <c r="EQ3" s="113">
        <f t="array" ref="EQ3">'Fórmula'!C3*(INDEX(properties!A$1:CB$87,'Fórmula'!B3,46))+'Fórmula'!E3*(INDEX(properties!A$1:CB$87,'Fórmula'!D3,46))+'Fórmula'!G3*(INDEX(properties!A$1:CB$87,'Fórmula'!F3,46))+'Fórmula'!I3*(INDEX(properties!A$1:CB$87,'Fórmula'!H3,46))+'Fórmula'!K3*(INDEX(properties!A$1:CB$87,'Fórmula'!J3,46))</f>
        <v>22.2</v>
      </c>
      <c r="ER3" s="113">
        <f t="array" ref="ER3">VARP(IF(INDEX(properties!A$1:CB$87,'Fórmula'!B3,46)&lt;&gt;"",INDEX(properties!A$1:CB$87,'Fórmula'!B3,46)),IF(INDEX(properties!A$1:CB$87,'Fórmula'!D3,46)&lt;&gt;"",INDEX(properties!A$1:CB$87,'Fórmula'!D3,46)),IF(INDEX(properties!A$1:CB$87,'Fórmula'!F3,46)&lt;&gt;"",INDEX(properties!A$1:CB$87,'Fórmula'!F3,46)),IF(INDEX(properties!A$1:CB$87,'Fórmula'!H3,46)&lt;&gt;"",INDEX(properties!A$1:CB$87,'Fórmula'!H3,46)),IF(INDEX(properties!A$1:CB$87,'Fórmula'!J3,46)&lt;&gt;"",INDEX(properties!A$1:CB$87,'Fórmula'!J3,46)))</f>
        <v>0.338136</v>
      </c>
      <c r="ES3" s="124">
        <f t="array" ref="ES3">MAX(INDEX(properties!A$1:CB$87,'Fórmula'!B3,46),INDEX(properties!A$1:CB$87,'Fórmula'!D3,46),INDEX(properties!A$1:CB$87,'Fórmula'!F3,46),INDEX(properties!A$1:CB$87,'Fórmula'!H3,46),INDEX(properties!A$1:CB$87,'Fórmula'!J3,46))</f>
        <v>1.36</v>
      </c>
      <c r="ET3" s="124">
        <f t="array" ref="ET3">MIN(IF(INDEX(properties!A$1:CB$87,'Fórmula'!B3,46)=0,10^6,INDEX(properties!A$1:CB$87,'Fórmula'!B3,46)),IF(INDEX(properties!A$1:CB$87,'Fórmula'!D3,46)=0,10^6,INDEX(properties!A$1:CB$87,'Fórmula'!D3,46)),IF(INDEX(properties!A$1:CB$87,'Fórmula'!F3,46)=0,10^6,INDEX(properties!A$1:CB$87,'Fórmula'!F3,46)),IF(INDEX(properties!A$1:CB$87,'Fórmula'!H3,46)=0,10^6,INDEX(properties!A$1:CB$87,'Fórmula'!H3,46)),IF(INDEX(properties!A$1:CB$87,'Fórmula'!J3,46)=0,10^6,INDEX(properties!A$1:CB$87,'Fórmula'!J3,46)))</f>
        <v>0.25</v>
      </c>
      <c r="EU3" s="113">
        <f t="shared" si="25"/>
        <v>1.11</v>
      </c>
      <c r="EV3" s="114">
        <f t="array" ref="EV3">(('Fórmula'!C3)/('Fórmula'!C3+'Fórmula'!E3+'Fórmula'!G3+'Fórmula'!I3+'Fórmula'!K3))*(INDEX(properties!A$1:CB$87,'Fórmula'!B3,52))+(('Fórmula'!E3)/('Fórmula'!C3+'Fórmula'!E3+'Fórmula'!G3+'Fórmula'!I3+'Fórmula'!K3))*(INDEX(properties!A$1:CB$87,'Fórmula'!D3,52))+(('Fórmula'!G3)/('Fórmula'!C3+'Fórmula'!E3+'Fórmula'!G3+'Fórmula'!I3+'Fórmula'!K3))*(INDEX(properties!A$1:CB$87,'Fórmula'!F3,52))+(('Fórmula'!I3)/('Fórmula'!C3+'Fórmula'!E3+'Fórmula'!G3+'Fórmula'!I3+'Fórmula'!K3))*(INDEX(properties!A$1:CB$87,'Fórmula'!H3,52))+(('Fórmula'!K3)/('Fórmula'!C3+'Fórmula'!E3+'Fórmula'!G3+'Fórmula'!I3+'Fórmula'!K3))*(INDEX(properties!A$1:CB$87,'Fórmula'!J3,52))</f>
        <v>7.929333333</v>
      </c>
      <c r="EW3" s="114">
        <f t="array" ref="EW3">'Fórmula'!C3*(INDEX(properties!A$1:CB$87,'Fórmula'!B3,52))+'Fórmula'!E3*(INDEX(properties!A$1:CB$87,'Fórmula'!D3,52))+'Fórmula'!G3*(INDEX(properties!A$1:CB$87,'Fórmula'!F3,52))+'Fórmula'!I3*(INDEX(properties!A$1:CB$87,'Fórmula'!H3,52))+'Fórmula'!K3*(INDEX(properties!A$1:CB$87,'Fórmula'!J3,52))</f>
        <v>166.516</v>
      </c>
      <c r="EX3" s="114">
        <f t="array" ref="EX3">VARP(IF(INDEX(properties!A$1:CB$87,'Fórmula'!B3,52)&lt;&gt;"",INDEX(properties!A$1:CB$87,'Fórmula'!B3,52)),IF(INDEX(properties!A$1:CB$87,'Fórmula'!D3,52)&lt;&gt;"",INDEX(properties!A$1:CB$87,'Fórmula'!D3,52)),IF(INDEX(properties!A$1:CB$87,'Fórmula'!F3,52)&lt;&gt;"",INDEX(properties!A$1:CB$87,'Fórmula'!F3,52)),IF(INDEX(properties!A$1:CB$87,'Fórmula'!H3,52)&lt;&gt;"",INDEX(properties!A$1:CB$87,'Fórmula'!H3,52)),IF(INDEX(properties!A$1:CB$87,'Fórmula'!J3,52)&lt;&gt;"",INDEX(properties!A$1:CB$87,'Fórmula'!J3,52)))</f>
        <v>191.5047678</v>
      </c>
      <c r="EY3" s="114">
        <f t="array" ref="EY3">MAX(INDEX(properties!A$1:CB$87,'Fórmula'!B3,52),INDEX(properties!A$1:CB$87,'Fórmula'!D3,52),INDEX(properties!A$1:CB$87,'Fórmula'!F3,52),INDEX(properties!A$1:CB$87,'Fórmula'!H3,52),INDEX(properties!A$1:CB$87,'Fórmula'!J3,52))</f>
        <v>31.1</v>
      </c>
      <c r="EZ3" s="114">
        <f t="array" ref="EZ3">MIN(IF(INDEX(properties!A$1:CB$87,'Fórmula'!B3,52)=0,10^6,INDEX(properties!A$1:CB$87,'Fórmula'!B3,52)),IF(INDEX(properties!A$1:CB$87,'Fórmula'!D3,52)=0,10^6,INDEX(properties!A$1:CB$87,'Fórmula'!D3,52)),IF(INDEX(properties!A$1:CB$87,'Fórmula'!F3,52)=0,10^6,INDEX(properties!A$1:CB$87,'Fórmula'!F3,52)),IF(INDEX(properties!A$1:CB$87,'Fórmula'!H3,52)=0,10^6,INDEX(properties!A$1:CB$87,'Fórmula'!H3,52)),IF(INDEX(properties!A$1:CB$87,'Fórmula'!J3,52)=0,10^6,INDEX(properties!A$1:CB$87,'Fórmula'!J3,52)))</f>
        <v>0.793</v>
      </c>
      <c r="FA3" s="114">
        <f t="shared" si="26"/>
        <v>30.307</v>
      </c>
      <c r="FB3" s="115">
        <f t="array" ref="FB3">(('Fórmula'!C3)/('Fórmula'!C3+'Fórmula'!E3+'Fórmula'!G3+'Fórmula'!I3+'Fórmula'!K3))*(INDEX(properties!A$1:CB$87,'Fórmula'!B3,53))+(('Fórmula'!E3)/('Fórmula'!C3+'Fórmula'!E3+'Fórmula'!G3+'Fórmula'!I3+'Fórmula'!K3))*(INDEX(properties!A$1:CB$87,'Fórmula'!D3,53))+(('Fórmula'!G3)/('Fórmula'!C3+'Fórmula'!E3+'Fórmula'!G3+'Fórmula'!I3+'Fórmula'!K3))*(INDEX(properties!A$1:CB$87,'Fórmula'!F3,53))+(('Fórmula'!I3)/('Fórmula'!C3+'Fórmula'!E3+'Fórmula'!G3+'Fórmula'!I3+'Fórmula'!K3))*(INDEX(properties!A$1:CB$87,'Fórmula'!H3,53))+(('Fórmula'!K3)/('Fórmula'!C3+'Fórmula'!E3+'Fórmula'!G3+'Fórmula'!I3+'Fórmula'!K3))*(INDEX(properties!A$1:CB$87,'Fórmula'!J3,53))</f>
        <v>741.8261905</v>
      </c>
      <c r="FC3" s="115">
        <f t="array" ref="FC3">'Fórmula'!C3*(INDEX(properties!A$1:CB$87,'Fórmula'!B3,53))+'Fórmula'!E3*(INDEX(properties!A$1:CB$87,'Fórmula'!D3,53))+'Fórmula'!G3*(INDEX(properties!A$1:CB$87,'Fórmula'!F3,53))+'Fórmula'!I3*(INDEX(properties!A$1:CB$87,'Fórmula'!H3,53))+'Fórmula'!K3*(INDEX(properties!A$1:CB$87,'Fórmula'!J3,53))</f>
        <v>15578.35</v>
      </c>
      <c r="FD3" s="115">
        <f t="array" ref="FD3">VARP(IF(INDEX(properties!A$1:CB$87,'Fórmula'!B3,53)&lt;&gt;"",INDEX(properties!A$1:CB$87,'Fórmula'!B3,53)),IF(INDEX(properties!A$1:CB$87,'Fórmula'!D3,53)&lt;&gt;"",INDEX(properties!A$1:CB$87,'Fórmula'!D3,53)),IF(INDEX(properties!A$1:CB$87,'Fórmula'!F3,53)&lt;&gt;"",INDEX(properties!A$1:CB$87,'Fórmula'!F3,53)),IF(INDEX(properties!A$1:CB$87,'Fórmula'!H3,53)&lt;&gt;"",INDEX(properties!A$1:CB$87,'Fórmula'!H3,53)),IF(INDEX(properties!A$1:CB$87,'Fórmula'!J3,53)&lt;&gt;"",INDEX(properties!A$1:CB$87,'Fórmula'!J3,53)))</f>
        <v>747057.3124</v>
      </c>
      <c r="FE3" s="115">
        <f t="array" ref="FE3">MAX(INDEX(properties!A$1:CB$87,'Fórmula'!B3,53),INDEX(properties!A$1:CB$87,'Fórmula'!D3,53),INDEX(properties!A$1:CB$87,'Fórmula'!F3,53),INDEX(properties!A$1:CB$87,'Fórmula'!H3,53),INDEX(properties!A$1:CB$87,'Fórmula'!J3,53))</f>
        <v>2352.15</v>
      </c>
      <c r="FF3" s="115">
        <f t="array" ref="FF3">MIN(IF(INDEX(properties!A$1:CB$87,'Fórmula'!B3,53)=0,10^6,INDEX(properties!A$1:CB$87,'Fórmula'!B3,53)),IF(INDEX(properties!A$1:CB$87,'Fórmula'!D3,53)=0,10^6,INDEX(properties!A$1:CB$87,'Fórmula'!D3,53)),IF(INDEX(properties!A$1:CB$87,'Fórmula'!F3,53)=0,10^6,INDEX(properties!A$1:CB$87,'Fórmula'!F3,53)),IF(INDEX(properties!A$1:CB$87,'Fórmula'!H3,53)=0,10^6,INDEX(properties!A$1:CB$87,'Fórmula'!H3,53)),IF(INDEX(properties!A$1:CB$87,'Fórmula'!J3,53)=0,10^6,INDEX(properties!A$1:CB$87,'Fórmula'!J3,53)))</f>
        <v>54.75</v>
      </c>
      <c r="FG3" s="115">
        <f t="shared" si="27"/>
        <v>2297.4</v>
      </c>
      <c r="FH3" s="117">
        <f t="array" ref="FH3">(('Fórmula'!C3)/('Fórmula'!C3+'Fórmula'!E3+'Fórmula'!G3+'Fórmula'!I3+'Fórmula'!K3))*(INDEX(properties!A$1:CB$87,'Fórmula'!B3,54))+(('Fórmula'!E3)/('Fórmula'!C3+'Fórmula'!E3+'Fórmula'!G3+'Fórmula'!I3+'Fórmula'!K3))*(INDEX(properties!A$1:CB$87,'Fórmula'!D3,54))+(('Fórmula'!G3)/('Fórmula'!C3+'Fórmula'!E3+'Fórmula'!G3+'Fórmula'!I3+'Fórmula'!K3))*(INDEX(properties!A$1:CB$87,'Fórmula'!F3,54))+(('Fórmula'!I3)/('Fórmula'!C3+'Fórmula'!E3+'Fórmula'!G3+'Fórmula'!I3+'Fórmula'!K3))*(INDEX(properties!A$1:CB$87,'Fórmula'!H3,54))+(('Fórmula'!K3)/('Fórmula'!C3+'Fórmula'!E3+'Fórmula'!G3+'Fórmula'!I3+'Fórmula'!K3))*(INDEX(properties!A$1:CB$87,'Fórmula'!J3,54))</f>
        <v>1457.502381</v>
      </c>
      <c r="FI3" s="117">
        <f t="array" ref="FI3">'Fórmula'!C3*(INDEX(properties!A$1:CB$87,'Fórmula'!B3,54))+'Fórmula'!E3*(INDEX(properties!A$1:CB$87,'Fórmula'!D3,54))+'Fórmula'!G3*(INDEX(properties!A$1:CB$87,'Fórmula'!F3,54))+'Fórmula'!I3*(INDEX(properties!A$1:CB$87,'Fórmula'!H3,54))+'Fórmula'!K3*(INDEX(properties!A$1:CB$87,'Fórmula'!J3,54))</f>
        <v>30607.55</v>
      </c>
      <c r="FJ3" s="117">
        <f t="array" ref="FJ3">VARP(IF(INDEX(properties!A$1:CB$87,'Fórmula'!B3,54)&lt;&gt;"",INDEX(properties!A$1:CB$87,'Fórmula'!B3,54)),IF(INDEX(properties!A$1:CB$87,'Fórmula'!D3,54)&lt;&gt;"",INDEX(properties!A$1:CB$87,'Fórmula'!D3,54)),IF(INDEX(properties!A$1:CB$87,'Fórmula'!F3,54)&lt;&gt;"",INDEX(properties!A$1:CB$87,'Fórmula'!F3,54)),IF(INDEX(properties!A$1:CB$87,'Fórmula'!H3,54)&lt;&gt;"",INDEX(properties!A$1:CB$87,'Fórmula'!H3,54)),IF(INDEX(properties!A$1:CB$87,'Fórmula'!J3,54)&lt;&gt;"",INDEX(properties!A$1:CB$87,'Fórmula'!J3,54)))</f>
        <v>3182238.041</v>
      </c>
      <c r="FK3" s="117">
        <f t="array" ref="FK3">MAX(INDEX(properties!A$1:CB$87,'Fórmula'!B3,54),INDEX(properties!A$1:CB$87,'Fórmula'!D3,54),INDEX(properties!A$1:CB$87,'Fórmula'!F3,54),INDEX(properties!A$1:CB$87,'Fórmula'!H3,54),INDEX(properties!A$1:CB$87,'Fórmula'!J3,54))</f>
        <v>4275</v>
      </c>
      <c r="FL3" s="117">
        <f t="array" ref="FL3">MIN(IF(INDEX(properties!A$1:CB$87,'Fórmula'!B3,54)=0,10^6,INDEX(properties!A$1:CB$87,'Fórmula'!B3,54)),IF(INDEX(properties!A$1:CB$87,'Fórmula'!D3,54)=0,10^6,INDEX(properties!A$1:CB$87,'Fórmula'!D3,54)),IF(INDEX(properties!A$1:CB$87,'Fórmula'!F3,54)=0,10^6,INDEX(properties!A$1:CB$87,'Fórmula'!F3,54)),IF(INDEX(properties!A$1:CB$87,'Fórmula'!H3,54)=0,10^6,INDEX(properties!A$1:CB$87,'Fórmula'!H3,54)),IF(INDEX(properties!A$1:CB$87,'Fórmula'!J3,54)=0,10^6,INDEX(properties!A$1:CB$87,'Fórmula'!J3,54)))</f>
        <v>90.15</v>
      </c>
      <c r="FM3" s="117">
        <f t="shared" si="28"/>
        <v>4184.85</v>
      </c>
      <c r="FN3" s="118">
        <f t="array" ref="FN3">(('Fórmula'!C3)/('Fórmula'!C3+'Fórmula'!E3+'Fórmula'!G3+'Fórmula'!I3+'Fórmula'!K3))*(INDEX(properties!A$1:CB$87,'Fórmula'!B3,55))+(('Fórmula'!E3)/('Fórmula'!C3+'Fórmula'!E3+'Fórmula'!G3+'Fórmula'!I3+'Fórmula'!K3))*(INDEX(properties!A$1:CB$87,'Fórmula'!D3,55))+(('Fórmula'!G3)/('Fórmula'!C3+'Fórmula'!E3+'Fórmula'!G3+'Fórmula'!I3+'Fórmula'!K3))*(INDEX(properties!A$1:CB$87,'Fórmula'!F3,55))+(('Fórmula'!I3)/('Fórmula'!C3+'Fórmula'!E3+'Fórmula'!G3+'Fórmula'!I3+'Fórmula'!K3))*(INDEX(properties!A$1:CB$87,'Fórmula'!H3,55))+(('Fórmula'!K3)/('Fórmula'!C3+'Fórmula'!E3+'Fórmula'!G3+'Fórmula'!I3+'Fórmula'!K3))*(INDEX(properties!A$1:CB$87,'Fórmula'!J3,55))</f>
        <v>1.40796</v>
      </c>
      <c r="FO3" s="118">
        <f t="array" ref="FO3">'Fórmula'!C3*(INDEX(properties!A$1:CB$87,'Fórmula'!B3,55))+'Fórmula'!E3*(INDEX(properties!A$1:CB$87,'Fórmula'!D3,54))+'Fórmula'!G3*(INDEX(properties!A$1:CB$87,'Fórmula'!F3,55))+'Fórmula'!I3*(INDEX(properties!A$1:CB$87,'Fórmula'!H3,55))+'Fórmula'!K3*(INDEX(properties!A$1:CB$87,'Fórmula'!J3,55))</f>
        <v>4993.12716</v>
      </c>
      <c r="FP3" s="118">
        <f t="array" ref="FP3">VARP(IF(INDEX(properties!A$1:CB$87,'Fórmula'!B3,55)&lt;&gt;"",INDEX(properties!A$1:CB$87,'Fórmula'!B3,55)),IF(INDEX(properties!A$1:CB$87,'Fórmula'!D3,55)&lt;&gt;"",INDEX(properties!A$1:CB$87,'Fórmula'!D3,55)),IF(INDEX(properties!A$1:CB$87,'Fórmula'!F3,55)&lt;&gt;"",INDEX(properties!A$1:CB$87,'Fórmula'!F3,55)),IF(INDEX(properties!A$1:CB$87,'Fórmula'!H3,55)&lt;&gt;"",INDEX(properties!A$1:CB$87,'Fórmula'!H3,55)),IF(INDEX(properties!A$1:CB$87,'Fórmula'!J3,55)&lt;&gt;"",INDEX(properties!A$1:CB$87,'Fórmula'!J3,55)))</f>
        <v>5.095552199</v>
      </c>
      <c r="FQ3" s="118">
        <f t="array" ref="FQ3">MAX(INDEX(properties!A$1:CB$87,'Fórmula'!B3,55),INDEX(properties!A$1:CB$87,'Fórmula'!D3,55),INDEX(properties!A$1:CB$87,'Fórmula'!F3,55),INDEX(properties!A$1:CB$87,'Fórmula'!H3,55),INDEX(properties!A$1:CB$87,'Fórmula'!J3,55))</f>
        <v>6.15</v>
      </c>
      <c r="FR3" s="118">
        <f t="array" ref="FR3">MIN(IF(INDEX(properties!A$1:CB$87,'Fórmula'!B3,55)=0,10^6,INDEX(properties!A$1:CB$87,'Fórmula'!B3,55)),IF(INDEX(properties!A$1:CB$87,'Fórmula'!D3,55)=0,10^6,INDEX(properties!A$1:CB$87,'Fórmula'!D3,55)),IF(INDEX(properties!A$1:CB$87,'Fórmula'!F3,55)=0,10^6,INDEX(properties!A$1:CB$87,'Fórmula'!F3,55)),IF(INDEX(properties!A$1:CB$87,'Fórmula'!H3,55)=0,10^6,INDEX(properties!A$1:CB$87,'Fórmula'!H3,55)),IF(INDEX(properties!A$1:CB$87,'Fórmula'!J3,55)=0,10^6,INDEX(properties!A$1:CB$87,'Fórmula'!J3,55)))</f>
        <v>0.00143</v>
      </c>
      <c r="FS3" s="118">
        <f t="shared" si="29"/>
        <v>6.14857</v>
      </c>
      <c r="FT3" s="119">
        <f t="array" ref="FT3">(('Fórmula'!C3)/('Fórmula'!C3+'Fórmula'!E3+'Fórmula'!G3+'Fórmula'!I3+'Fórmula'!K3))*(INDEX(properties!A$1:CB$87,'Fórmula'!B3,56))+(('Fórmula'!E3)/('Fórmula'!C3+'Fórmula'!E3+'Fórmula'!G3+'Fórmula'!I3+'Fórmula'!K3))*(INDEX(properties!A$1:CB$87,'Fórmula'!D3,56))+(('Fórmula'!G3)/('Fórmula'!C3+'Fórmula'!E3+'Fórmula'!G3+'Fórmula'!I3+'Fórmula'!K3))*(INDEX(properties!A$1:CB$87,'Fórmula'!F3,56))+(('Fórmula'!I3)/('Fórmula'!C3+'Fórmula'!E3+'Fórmula'!G3+'Fórmula'!I3+'Fórmula'!K3))*(INDEX(properties!A$1:CB$87,'Fórmula'!H3,56))+(('Fórmula'!K3)/('Fórmula'!C3+'Fórmula'!E3+'Fórmula'!G3+'Fórmula'!I3+'Fórmula'!K3))*(INDEX(properties!A$1:CB$87,'Fórmula'!J3,56))</f>
        <v>0.780952381</v>
      </c>
      <c r="FU3" s="119">
        <f t="array" ref="FU3">'Fórmula'!C3*(INDEX(properties!A$1:CB$87,'Fórmula'!B3,56))+'Fórmula'!E3*(INDEX(properties!A$1:CB$87,'Fórmula'!D3,56))+'Fórmula'!G3*(INDEX(properties!A$1:CB$87,'Fórmula'!F3,56))+'Fórmula'!I3*(INDEX(properties!A$1:CB$87,'Fórmula'!H3,56))+'Fórmula'!K3*(INDEX(properties!A$1:CB$87,'Fórmula'!J3,56))</f>
        <v>16.4</v>
      </c>
      <c r="FV3" s="119">
        <f t="array" ref="FV3">VARP(IF(INDEX(properties!A$1:CB$87,'Fórmula'!B3,56)&lt;&gt;"",INDEX(properties!A$1:CB$87,'Fórmula'!B3,56)),IF(INDEX(properties!A$1:CB$87,'Fórmula'!D3,56)&lt;&gt;"",INDEX(properties!A$1:CB$87,'Fórmula'!D3,56)),IF(INDEX(properties!A$1:CB$87,'Fórmula'!F3,56)&lt;&gt;"",INDEX(properties!A$1:CB$87,'Fórmula'!F3,56)),IF(INDEX(properties!A$1:CB$87,'Fórmula'!H3,56)&lt;&gt;"",INDEX(properties!A$1:CB$87,'Fórmula'!H3,56)),IF(INDEX(properties!A$1:CB$87,'Fórmula'!J3,56)&lt;&gt;"",INDEX(properties!A$1:CB$87,'Fórmula'!J3,56)))</f>
        <v>0.166384</v>
      </c>
      <c r="FW3" s="119">
        <f t="array" ref="FW3">MAX(INDEX(properties!A$1:CB$87,'Fórmula'!B3,56),INDEX(properties!A$1:CB$87,'Fórmula'!D3,56),INDEX(properties!A$1:CB$87,'Fórmula'!F3,56),INDEX(properties!A$1:CB$87,'Fórmula'!H3,56),INDEX(properties!A$1:CB$87,'Fórmula'!J3,56))</f>
        <v>1.02</v>
      </c>
      <c r="FX3" s="119">
        <f t="array" ref="FX3">MIN(IF(INDEX(properties!A$1:CB$87,'Fórmula'!B3,56)=0,10^6,INDEX(properties!A$1:CB$87,'Fórmula'!B3,56)),IF(INDEX(properties!A$1:CB$87,'Fórmula'!D3,56)=0,10^6,INDEX(properties!A$1:CB$87,'Fórmula'!D3,56)),IF(INDEX(properties!A$1:CB$87,'Fórmula'!F3,56)=0,10^6,INDEX(properties!A$1:CB$87,'Fórmula'!F3,56)),IF(INDEX(properties!A$1:CB$87,'Fórmula'!H3,56)=0,10^6,INDEX(properties!A$1:CB$87,'Fórmula'!H3,56)),IF(INDEX(properties!A$1:CB$87,'Fórmula'!J3,56)=0,10^6,INDEX(properties!A$1:CB$87,'Fórmula'!J3,56)))</f>
        <v>0.19</v>
      </c>
      <c r="FY3" s="119">
        <f t="shared" si="30"/>
        <v>0.83</v>
      </c>
      <c r="FZ3" s="104">
        <f t="array" ref="FZ3">(('Fórmula'!C3)/('Fórmula'!C3+'Fórmula'!E3+'Fórmula'!G3+'Fórmula'!I3+'Fórmula'!K3))*(INDEX(properties!A$1:CB$87,'Fórmula'!B3,57))+(('Fórmula'!E3)/('Fórmula'!C3+'Fórmula'!E3+'Fórmula'!G3+'Fórmula'!I3+'Fórmula'!K3))*(INDEX(properties!A$1:CB$87,'Fórmula'!D3,57))+(('Fórmula'!G3)/('Fórmula'!C3+'Fórmula'!E3+'Fórmula'!G3+'Fórmula'!I3+'Fórmula'!K3))*(INDEX(properties!A$1:CB$87,'Fórmula'!F3,57))+(('Fórmula'!I3)/('Fórmula'!C3+'Fórmula'!E3+'Fórmula'!G3+'Fórmula'!I3+'Fórmula'!K3))*(INDEX(properties!A$1:CB$87,'Fórmula'!H3,57))+(('Fórmula'!K3)/('Fórmula'!C3+'Fórmula'!E3+'Fórmula'!G3+'Fórmula'!I3+'Fórmula'!K3))*(INDEX(properties!A$1:CB$87,'Fórmula'!J3,57))</f>
        <v>11.46528952</v>
      </c>
      <c r="GA3" s="104">
        <f t="array" ref="GA3">'Fórmula'!C3*(INDEX(properties!A$1:CB$87,'Fórmula'!B3,57))+'Fórmula'!E3*(INDEX(properties!A$1:CB$87,'Fórmula'!D3,57))+'Fórmula'!G3*(INDEX(properties!A$1:CB$87,'Fórmula'!F3,57))+'Fórmula'!I3*(INDEX(properties!A$1:CB$87,'Fórmula'!H3,57))+'Fórmula'!K3*(INDEX(properties!A$1:CB$87,'Fórmula'!J3,57))</f>
        <v>240.77108</v>
      </c>
      <c r="GB3" s="104">
        <f t="array" ref="GB3">VARP(IF(INDEX(properties!A$1:CB$87,'Fórmula'!B3,57)&lt;&gt;"",INDEX(properties!A$1:CB$87,'Fórmula'!B3,57)),IF(INDEX(properties!A$1:CB$87,'Fórmula'!D3,57)&lt;&gt;"",INDEX(properties!A$1:CB$87,'Fórmula'!D3,57)),IF(INDEX(properties!A$1:CB$87,'Fórmula'!F3,57)&lt;&gt;"",INDEX(properties!A$1:CB$87,'Fórmula'!F3,57)),IF(INDEX(properties!A$1:CB$87,'Fórmula'!H3,57)&lt;&gt;"",INDEX(properties!A$1:CB$87,'Fórmula'!H3,57)),IF(INDEX(properties!A$1:CB$87,'Fórmula'!J3,57)&lt;&gt;"",INDEX(properties!A$1:CB$87,'Fórmula'!J3,57)))</f>
        <v>356.8862016</v>
      </c>
      <c r="GC3" s="104">
        <f t="array" ref="GC3">MAX(INDEX(properties!A$1:CB$87,'Fórmula'!B3,57),INDEX(properties!A$1:CB$87,'Fórmula'!D3,57),INDEX(properties!A$1:CB$87,'Fórmula'!F3,57),INDEX(properties!A$1:CB$87,'Fórmula'!H3,57),INDEX(properties!A$1:CB$87,'Fórmula'!J3,57))</f>
        <v>50.2</v>
      </c>
      <c r="GD3" s="104">
        <f t="array" ref="GD3">MIN(IF(INDEX(properties!A$1:CB$87,'Fórmula'!B3,57)=0,10^6,INDEX(properties!A$1:CB$87,'Fórmula'!B3,57)),IF(INDEX(properties!A$1:CB$87,'Fórmula'!D3,57)=0,10^6,INDEX(properties!A$1:CB$87,'Fórmula'!D3,57)),IF(INDEX(properties!A$1:CB$87,'Fórmula'!F3,57)=0,10^6,INDEX(properties!A$1:CB$87,'Fórmula'!F3,57)),IF(INDEX(properties!A$1:CB$87,'Fórmula'!H3,57)=0,10^6,INDEX(properties!A$1:CB$87,'Fórmula'!H3,57)),IF(INDEX(properties!A$1:CB$87,'Fórmula'!J3,57)=0,10^6,INDEX(properties!A$1:CB$87,'Fórmula'!J3,57)))</f>
        <v>0.22259</v>
      </c>
      <c r="GE3" s="104">
        <f t="shared" si="31"/>
        <v>49.97741</v>
      </c>
      <c r="GF3" s="105">
        <f t="array" ref="GF3">(('Fórmula'!C3)/('Fórmula'!C3+'Fórmula'!E3+'Fórmula'!G3+'Fórmula'!I3+'Fórmula'!K3))*(INDEX(properties!A$1:CB$87,'Fórmula'!B3,60))+(('Fórmula'!E3)/('Fórmula'!C3+'Fórmula'!E3+'Fórmula'!G3+'Fórmula'!I3+'Fórmula'!K3))*(INDEX(properties!A$1:CB$87,'Fórmula'!D3,60))+(('Fórmula'!G3)/('Fórmula'!C3+'Fórmula'!E3+'Fórmula'!G3+'Fórmula'!I3+'Fórmula'!K3))*(INDEX(properties!A$1:CB$87,'Fórmula'!F3,60))+(('Fórmula'!I3)/('Fórmula'!C3+'Fórmula'!E3+'Fórmula'!G3+'Fórmula'!I3+'Fórmula'!K3))*(INDEX(properties!A$1:CB$87,'Fórmula'!H3,60))+(('Fórmula'!K3)/('Fórmula'!C3+'Fórmula'!E3+'Fórmula'!G3+'Fórmula'!I3+'Fórmula'!K3))*(INDEX(properties!A$1:CB$87,'Fórmula'!J3,60))</f>
        <v>11.48670857</v>
      </c>
      <c r="GG3" s="105">
        <f t="array" ref="GG3">'Fórmula'!C3*(INDEX(properties!A$1:CB$87,'Fórmula'!B3,60))+'Fórmula'!E3*(INDEX(properties!A$1:CB$87,'Fórmula'!D3,60))+'Fórmula'!G3*(INDEX(properties!A$1:CB$87,'Fórmula'!F3,60))+'Fórmula'!I3*(INDEX(properties!A$1:CB$87,'Fórmula'!H3,60))+'Fórmula'!K3*(INDEX(properties!A$1:CB$87,'Fórmula'!J3,60))</f>
        <v>241.22088</v>
      </c>
      <c r="GH3" s="105">
        <f t="array" ref="GH3">VARP(IF(INDEX(properties!A$1:CB$87,'Fórmula'!B3,60)&lt;&gt;"",INDEX(properties!A$1:CB$87,'Fórmula'!B3,60)),IF(INDEX(properties!A$1:CB$87,'Fórmula'!D3,60)&lt;&gt;"",INDEX(properties!A$1:CB$87,'Fórmula'!D3,60)),IF(INDEX(properties!A$1:CB$87,'Fórmula'!F3,60)&lt;&gt;"",INDEX(properties!A$1:CB$87,'Fórmula'!F3,60)),IF(INDEX(properties!A$1:CB$87,'Fórmula'!H3,60)&lt;&gt;"",INDEX(properties!A$1:CB$87,'Fórmula'!H3,60)),IF(INDEX(properties!A$1:CB$87,'Fórmula'!J3,60)&lt;&gt;"",INDEX(properties!A$1:CB$87,'Fórmula'!J3,60)))</f>
        <v>201.480363</v>
      </c>
      <c r="GI3" s="105">
        <f t="array" ref="GI3">MAX(INDEX(properties!A$1:CB$87,'Fórmula'!B3,60),INDEX(properties!A$1:CB$87,'Fórmula'!D3,60),INDEX(properties!A$1:CB$87,'Fórmula'!F3,60),INDEX(properties!A$1:CB$87,'Fórmula'!H3,60),INDEX(properties!A$1:CB$87,'Fórmula'!J3,60))</f>
        <v>35.3</v>
      </c>
      <c r="GJ3" s="105">
        <f t="array" ref="GJ3">MIN(IF(INDEX(properties!A$1:CB$87,'Fórmula'!B3,60)=0,10^6,INDEX(properties!A$1:CB$87,'Fórmula'!B3,60)),IF(INDEX(properties!A$1:CB$87,'Fórmula'!D3,60)=0,10^6,INDEX(properties!A$1:CB$87,'Fórmula'!D3,60)),IF(INDEX(properties!A$1:CB$87,'Fórmula'!F3,60)=0,10^6,INDEX(properties!A$1:CB$87,'Fórmula'!F3,60)),IF(INDEX(properties!A$1:CB$87,'Fórmula'!H3,60)=0,10^6,INDEX(properties!A$1:CB$87,'Fórmula'!H3,60)),IF(INDEX(properties!A$1:CB$87,'Fórmula'!J3,60)=0,10^6,INDEX(properties!A$1:CB$87,'Fórmula'!J3,60)))</f>
        <v>0.02674</v>
      </c>
      <c r="GK3" s="105">
        <f t="shared" si="32"/>
        <v>35.27326</v>
      </c>
      <c r="GL3" s="106">
        <f t="array" ref="GL3">(('Fórmula'!C3)/('Fórmula'!C3+'Fórmula'!E3+'Fórmula'!G3+'Fórmula'!I3+'Fórmula'!K3))*(INDEX(properties!A$1:CB$87,'Fórmula'!B3,62))+(('Fórmula'!E3)/('Fórmula'!C3+'Fórmula'!E3+'Fórmula'!G3+'Fórmula'!I3+'Fórmula'!K3))*(INDEX(properties!A$1:CB$87,'Fórmula'!D3,62))+(('Fórmula'!G3)/('Fórmula'!C3+'Fórmula'!E3+'Fórmula'!G3+'Fórmula'!I3+'Fórmula'!K3))*(INDEX(properties!A$1:CB$87,'Fórmula'!F3,62))+(('Fórmula'!I3)/('Fórmula'!C3+'Fórmula'!E3+'Fórmula'!G3+'Fórmula'!I3+'Fórmula'!K3))*(INDEX(properties!A$1:CB$87,'Fórmula'!H3,62))+(('Fórmula'!K3)/('Fórmula'!C3+'Fórmula'!E3+'Fórmula'!G3+'Fórmula'!I3+'Fórmula'!K3))*(INDEX(properties!A$1:CB$87,'Fórmula'!J3,62))</f>
        <v>3.275238095</v>
      </c>
      <c r="GM3" s="106">
        <f t="array" ref="GM3">'Fórmula'!C3*(INDEX(properties!A$1:CB$87,'Fórmula'!B3,62))+'Fórmula'!E3*(INDEX(properties!A$1:CB$87,'Fórmula'!D3,62))+'Fórmula'!G3*(INDEX(properties!A$1:CB$87,'Fórmula'!F3,62))+'Fórmula'!I3*(INDEX(properties!A$1:CB$87,'Fórmula'!H3,62))+'Fórmula'!K3*(INDEX(properties!A$1:CB$87,'Fórmula'!J3,62))</f>
        <v>68.78</v>
      </c>
      <c r="GN3" s="106">
        <f t="array" ref="GN3">VARP(IF(INDEX(properties!A$1:CB$87,'Fórmula'!B3,62)&lt;&gt;"",INDEX(properties!A$1:CB$87,'Fórmula'!B3,62)),IF(INDEX(properties!A$1:CB$87,'Fórmula'!D3,62)&lt;&gt;"",INDEX(properties!A$1:CB$87,'Fórmula'!D3,62)),IF(INDEX(properties!A$1:CB$87,'Fórmula'!F3,62)&lt;&gt;"",INDEX(properties!A$1:CB$87,'Fórmula'!F3,62)),IF(INDEX(properties!A$1:CB$87,'Fórmula'!H3,62)&lt;&gt;"",INDEX(properties!A$1:CB$87,'Fórmula'!H3,62)),IF(INDEX(properties!A$1:CB$87,'Fórmula'!J3,62)&lt;&gt;"",INDEX(properties!A$1:CB$87,'Fórmula'!J3,62)))</f>
        <v>4.162184</v>
      </c>
      <c r="GO3" s="106">
        <f t="array" ref="GO3">MAX(INDEX(properties!A$1:CB$87,'Fórmula'!B3,62),INDEX(properties!A$1:CB$87,'Fórmula'!D3,62),INDEX(properties!A$1:CB$87,'Fórmula'!F3,62),INDEX(properties!A$1:CB$87,'Fórmula'!H3,62),INDEX(properties!A$1:CB$87,'Fórmula'!J3,62))</f>
        <v>5.81</v>
      </c>
      <c r="GP3" s="106">
        <f t="array" ref="GP3">MIN(IF(INDEX(properties!A$1:CB$87,'Fórmula'!B3,62)=0,10^6,INDEX(properties!A$1:CB$87,'Fórmula'!B3,62)),IF(INDEX(properties!A$1:CB$87,'Fórmula'!D3,62)=0,10^6,INDEX(properties!A$1:CB$87,'Fórmula'!D3,62)),IF(INDEX(properties!A$1:CB$87,'Fórmula'!F3,62)=0,10^6,INDEX(properties!A$1:CB$87,'Fórmula'!F3,62)),IF(INDEX(properties!A$1:CB$87,'Fórmula'!H3,62)=0,10^6,INDEX(properties!A$1:CB$87,'Fórmula'!H3,62)),IF(INDEX(properties!A$1:CB$87,'Fórmula'!J3,62)=0,10^6,INDEX(properties!A$1:CB$87,'Fórmula'!J3,62)))</f>
        <v>1.72</v>
      </c>
      <c r="GQ3" s="106">
        <f t="shared" si="33"/>
        <v>4.09</v>
      </c>
      <c r="GR3" s="106">
        <f>'Fórmula'!Q3</f>
        <v>33</v>
      </c>
      <c r="GS3" s="107">
        <f>'Fórmula'!P3</f>
        <v>3</v>
      </c>
      <c r="GT3" s="113">
        <f>'Fórmula'!O3</f>
        <v>4.78</v>
      </c>
      <c r="GU3" s="114">
        <f>AVERAGE('Fórmula'!R3/'Fórmula'!S3,'Fórmula'!S3/'Fórmula'!T3,'Fórmula'!T3/'Fórmula'!R3)</f>
        <v>1.201682453</v>
      </c>
      <c r="GV3" s="125">
        <f>'Fórmula'!U3</f>
        <v>1077.54</v>
      </c>
      <c r="GW3" s="106">
        <f>'Fórmula'!N3</f>
        <v>0.033</v>
      </c>
    </row>
    <row r="4" ht="14.25" customHeight="1">
      <c r="A4" s="99" t="str">
        <f>'Fórmula'!A4</f>
        <v>Y4Al2O9</v>
      </c>
      <c r="B4" s="101">
        <f t="array" ref="B4">(('Fórmula'!C4)/('Fórmula'!C4+'Fórmula'!E4+'Fórmula'!G4+'Fórmula'!I4+'Fórmula'!K4))*(INDEX(properties!A$1:CB$87,'Fórmula'!B4,3))+(('Fórmula'!E4)/('Fórmula'!C4+'Fórmula'!E4+'Fórmula'!G4+'Fórmula'!I4+'Fórmula'!K4))*(INDEX(properties!A$1:CB$87,'Fórmula'!D4,3))+(('Fórmula'!G4)/('Fórmula'!C4+'Fórmula'!E4+'Fórmula'!G4+'Fórmula'!I4+'Fórmula'!K4))*(INDEX(properties!A$1:CB$87,'Fórmula'!F4,3))+(('Fórmula'!I4)/('Fórmula'!C4+'Fórmula'!E4+'Fórmula'!G4+'Fórmula'!I4+'Fórmula'!K4))*(INDEX(properties!A$1:CB$87,'Fórmula'!H4,3))+(('Fórmula'!K4)/('Fórmula'!C4+'Fórmula'!E4+'Fórmula'!G4+'Fórmula'!I4+'Fórmula'!K4))*(INDEX(properties!A$1:CB$87,'Fórmula'!J4,3))</f>
        <v>36.90540253</v>
      </c>
      <c r="C4" s="101">
        <f t="array" ref="C4">'Fórmula'!C4*(INDEX(properties!A$1:CB$87,'Fórmula'!B4,3))+'Fórmula'!E4*(INDEX(properties!A$1:CB$87,'Fórmula'!D4,3))+'Fórmula'!G4*(INDEX(properties!A$1:CB$87,'Fórmula'!F4,3))+'Fórmula'!I4*(INDEX(properties!A$1:CB$87,'Fórmula'!H4,3))+'Fórmula'!K4*(INDEX(properties!A$1:CB$87,'Fórmula'!J4,3))</f>
        <v>553.581038</v>
      </c>
      <c r="D4" s="101">
        <f t="array" ref="D4">VARP(IF(INDEX(properties!A$1:CB$87,'Fórmula'!B4,3)&lt;&gt;"",INDEX(properties!A$1:CB$87,'Fórmula'!B4,3)),IF(INDEX(properties!A$1:CB$87,'Fórmula'!D4,3)&lt;&gt;"",INDEX(properties!A$1:CB$87,'Fórmula'!D4,3)),IF(INDEX(properties!A$1:CB$87,'Fórmula'!F4,3)&lt;&gt;"",INDEX(properties!A$1:CB$87,'Fórmula'!F4,3)),IF(INDEX(properties!A$1:CB$87,'Fórmula'!H4,3)&lt;&gt;"",INDEX(properties!A$1:CB$87,'Fórmula'!H4,3)),IF(INDEX(properties!A$1:CB$87,'Fórmula'!J4,3)&lt;&gt;"",INDEX(properties!A$1:CB$87,'Fórmula'!J4,3)))</f>
        <v>1081.881628</v>
      </c>
      <c r="E4" s="101">
        <f t="array" ref="E4">MAX(INDEX(properties!A$1:CB$87,'Fórmula'!B4,3),INDEX(properties!A$1:CB$87,'Fórmula'!D4,3),INDEX(properties!A$1:CB$87,'Fórmula'!F4,3),INDEX(properties!A$1:CB$87,'Fórmula'!H4,3),INDEX(properties!A$1:CB$87,'Fórmula'!J4,3))</f>
        <v>88.90584</v>
      </c>
      <c r="F4" s="101">
        <f t="array" ref="F4">MIN(IF(INDEX(properties!A$1:CB$87,'Fórmula'!B4,3)=0,10^6,INDEX(properties!A$1:CB$87,'Fórmula'!B4,3)),IF(INDEX(properties!A$1:CB$87,'Fórmula'!D4,3)=0,10^6,INDEX(properties!A$1:CB$87,'Fórmula'!D4,3)),IF(INDEX(properties!A$1:CB$87,'Fórmula'!F4,3)=0,10^6,INDEX(properties!A$1:CB$87,'Fórmula'!F4,3)),IF(INDEX(properties!A$1:CB$87,'Fórmula'!H4,3)=0,10^6,INDEX(properties!A$1:CB$87,'Fórmula'!H4,3)),IF(INDEX(properties!A$1:CB$87,'Fórmula'!J4,3)=0,10^6,INDEX(properties!A$1:CB$87,'Fórmula'!J4,3)))</f>
        <v>15.9994</v>
      </c>
      <c r="G4" s="101">
        <f t="shared" si="1"/>
        <v>72.90644</v>
      </c>
      <c r="H4" s="102">
        <f t="array" ref="H4">(('Fórmula'!C4)/('Fórmula'!C4+'Fórmula'!E4+'Fórmula'!G4+'Fórmula'!I4+'Fórmula'!K4))*(INDEX(properties!A$1:CB$87,'Fórmula'!B4,4))+(('Fórmula'!E4)/('Fórmula'!C4+'Fórmula'!E4+'Fórmula'!G4+'Fórmula'!I4+'Fórmula'!K4))*(INDEX(properties!A$1:CB$87,'Fórmula'!D4,4))+(('Fórmula'!G4)/('Fórmula'!C4+'Fórmula'!E4+'Fórmula'!G4+'Fórmula'!I4+'Fórmula'!K4))*(INDEX(properties!A$1:CB$87,'Fórmula'!F4,4))+(('Fórmula'!I4)/('Fórmula'!C4+'Fórmula'!E4+'Fórmula'!G4+'Fórmula'!I4+'Fórmula'!K4))*(INDEX(properties!A$1:CB$87,'Fórmula'!H4,4))+(('Fórmula'!K4)/('Fórmula'!C4+'Fórmula'!E4+'Fórmula'!G4+'Fórmula'!I4+'Fórmula'!K4))*(INDEX(properties!A$1:CB$87,'Fórmula'!J4,4))</f>
        <v>16.93333333</v>
      </c>
      <c r="I4" s="102">
        <f t="array" ref="I4">'Fórmula'!C4*(INDEX(properties!A$1:CB$87,'Fórmula'!B4,4))+'Fórmula'!E4*(INDEX(properties!A$1:CB$87,'Fórmula'!D4,4))+'Fórmula'!G4*(INDEX(properties!A$1:CB$87,'Fórmula'!F4,4))+'Fórmula'!I4*(INDEX(properties!A$1:CB$87,'Fórmula'!H4,4))+'Fórmula'!K4*(INDEX(properties!A$1:CB$87,'Fórmula'!J4,4))</f>
        <v>254</v>
      </c>
      <c r="J4" s="102">
        <f t="array" ref="J4">VARP(IF(INDEX(properties!A$1:CB$87,'Fórmula'!B4,4)&lt;&gt;"",INDEX(properties!A$1:CB$87,'Fórmula'!B4,4)),IF(INDEX(properties!A$1:CB$87,'Fórmula'!D4,4)&lt;&gt;"",INDEX(properties!A$1:CB$87,'Fórmula'!D4,4)),IF(INDEX(properties!A$1:CB$87,'Fórmula'!F4,4)&lt;&gt;"",INDEX(properties!A$1:CB$87,'Fórmula'!F4,4)),IF(INDEX(properties!A$1:CB$87,'Fórmula'!H4,4)&lt;&gt;"",INDEX(properties!A$1:CB$87,'Fórmula'!H4,4)),IF(INDEX(properties!A$1:CB$87,'Fórmula'!J4,4)&lt;&gt;"",INDEX(properties!A$1:CB$87,'Fórmula'!J4,4)))</f>
        <v>206.8</v>
      </c>
      <c r="K4" s="102">
        <f t="array" ref="K4">MAX(INDEX(properties!A$1:CB$87,'Fórmula'!B4,4),INDEX(properties!A$1:CB$87,'Fórmula'!D4,4),INDEX(properties!A$1:CB$87,'Fórmula'!F4,4),INDEX(properties!A$1:CB$87,'Fórmula'!H4,4),INDEX(properties!A$1:CB$87,'Fórmula'!J4,4))</f>
        <v>39</v>
      </c>
      <c r="L4" s="102">
        <f t="array" ref="L4">MIN(IF(INDEX(properties!A$1:CB$87,'Fórmula'!B4,4)=0,10^6,INDEX(properties!A$1:CB$87,'Fórmula'!B4,4)),IF(INDEX(properties!A$1:CB$87,'Fórmula'!D4,4)=0,10^6,INDEX(properties!A$1:CB$87,'Fórmula'!D4,4)),IF(INDEX(properties!A$1:CB$87,'Fórmula'!F4,4)=0,10^6,INDEX(properties!A$1:CB$87,'Fórmula'!F4,4)),IF(INDEX(properties!A$1:CB$87,'Fórmula'!H4,4)=0,10^6,INDEX(properties!A$1:CB$87,'Fórmula'!H4,4)),IF(INDEX(properties!A$1:CB$87,'Fórmula'!J4,4)=0,10^6,INDEX(properties!A$1:CB$87,'Fórmula'!J4,4)))</f>
        <v>8</v>
      </c>
      <c r="M4" s="102">
        <f t="shared" si="2"/>
        <v>31</v>
      </c>
      <c r="N4" s="103">
        <f t="array" ref="N4">(('Fórmula'!C4)/('Fórmula'!C4+'Fórmula'!E4+'Fórmula'!G4+'Fórmula'!I4+'Fórmula'!K4))*(INDEX(properties!A$1:CB$87,'Fórmula'!B4,5))+(('Fórmula'!E4)/('Fórmula'!C4+'Fórmula'!E4+'Fórmula'!G4+'Fórmula'!I4+'Fórmula'!K4))*(INDEX(properties!A$1:CB$87,'Fórmula'!D4,5))+(('Fórmula'!G4)/('Fórmula'!C4+'Fórmula'!E4+'Fórmula'!G4+'Fórmula'!I4+'Fórmula'!K4))*(INDEX(properties!A$1:CB$87,'Fórmula'!F4,5))+(('Fórmula'!I4)/('Fórmula'!C4+'Fórmula'!E4+'Fórmula'!G4+'Fórmula'!I4+'Fórmula'!K4))*(INDEX(properties!A$1:CB$87,'Fórmula'!H4,5))+(('Fórmula'!K4)/('Fórmula'!C4+'Fórmula'!E4+'Fórmula'!G4+'Fórmula'!I4+'Fórmula'!K4))*(INDEX(properties!A$1:CB$87,'Fórmula'!J4,5))</f>
        <v>2.933333333</v>
      </c>
      <c r="O4" s="103">
        <f t="array" ref="O4">'Fórmula'!C4*(INDEX(properties!A$1:CB$87,'Fórmula'!B4,5))+'Fórmula'!E4*(INDEX(properties!A$1:CB$87,'Fórmula'!D4,5))+'Fórmula'!G4*(INDEX(properties!A$1:CB$87,'Fórmula'!F4,5))+'Fórmula'!I4*(INDEX(properties!A$1:CB$87,'Fórmula'!H4,5))+'Fórmula'!K4*(INDEX(properties!A$1:CB$87,'Fórmula'!J4,5))</f>
        <v>44</v>
      </c>
      <c r="P4" s="103">
        <f t="array" ref="P4">VARP(IF(INDEX(properties!A$1:CB$87,'Fórmula'!B4,5)&lt;&gt;"",INDEX(properties!A$1:CB$87,'Fórmula'!B4,5)),IF(INDEX(properties!A$1:CB$87,'Fórmula'!D4,5)&lt;&gt;"",INDEX(properties!A$1:CB$87,'Fórmula'!D4,5)),IF(INDEX(properties!A$1:CB$87,'Fórmula'!F4,5)&lt;&gt;"",INDEX(properties!A$1:CB$87,'Fórmula'!F4,5)),IF(INDEX(properties!A$1:CB$87,'Fórmula'!H4,5)&lt;&gt;"",INDEX(properties!A$1:CB$87,'Fórmula'!H4,5)),IF(INDEX(properties!A$1:CB$87,'Fórmula'!J4,5)&lt;&gt;"",INDEX(properties!A$1:CB$87,'Fórmula'!J4,5)))</f>
        <v>3.6</v>
      </c>
      <c r="Q4" s="103">
        <f t="array" ref="Q4">MAX(INDEX(properties!A$1:CB$87,'Fórmula'!B4,5),INDEX(properties!A$1:CB$87,'Fórmula'!D4,5),INDEX(properties!A$1:CB$87,'Fórmula'!F4,5),INDEX(properties!A$1:CB$87,'Fórmula'!H4,5),INDEX(properties!A$1:CB$87,'Fórmula'!J4,5))</f>
        <v>5</v>
      </c>
      <c r="R4" s="103">
        <f t="array" ref="R4">MIN(IF(INDEX(properties!A$1:CB$87,'Fórmula'!B4,5)=0,10^6,INDEX(properties!A$1:CB$87,'Fórmula'!B4,5)),IF(INDEX(properties!A$1:CB$87,'Fórmula'!D4,5)=0,10^6,INDEX(properties!A$1:CB$87,'Fórmula'!D4,5)),IF(INDEX(properties!A$1:CB$87,'Fórmula'!F4,5)=0,10^6,INDEX(properties!A$1:CB$87,'Fórmula'!F4,5)),IF(INDEX(properties!A$1:CB$87,'Fórmula'!H4,5)=0,10^6,INDEX(properties!A$1:CB$87,'Fórmula'!H4,5)),IF(INDEX(properties!A$1:CB$87,'Fórmula'!J4,5)=0,10^6,INDEX(properties!A$1:CB$87,'Fórmula'!J4,5)))</f>
        <v>2</v>
      </c>
      <c r="S4" s="103">
        <f t="shared" si="3"/>
        <v>3</v>
      </c>
      <c r="T4" s="104">
        <f t="array" ref="T4">(('Fórmula'!C4)/('Fórmula'!C4+'Fórmula'!E4+'Fórmula'!G4+'Fórmula'!I4+'Fórmula'!K4))*(INDEX(properties!A$1:CB$87,'Fórmula'!B4,6))+(('Fórmula'!E4)/('Fórmula'!C4+'Fórmula'!E4+'Fórmula'!G4+'Fórmula'!I4+'Fórmula'!K4))*(INDEX(properties!A$1:CB$87,'Fórmula'!D4,6))+(('Fórmula'!G4)/('Fórmula'!C4+'Fórmula'!E4+'Fórmula'!G4+'Fórmula'!I4+'Fórmula'!K4))*(INDEX(properties!A$1:CB$87,'Fórmula'!F4,6))+(('Fórmula'!I4)/('Fórmula'!C4+'Fórmula'!E4+'Fórmula'!G4+'Fórmula'!I4+'Fórmula'!K4))*(INDEX(properties!A$1:CB$87,'Fórmula'!H4,6))+(('Fórmula'!K4)/('Fórmula'!C4+'Fórmula'!E4+'Fórmula'!G4+'Fórmula'!I4+'Fórmula'!K4))*(INDEX(properties!A$1:CB$87,'Fórmula'!J4,6))</f>
        <v>12.13333333</v>
      </c>
      <c r="U4" s="104">
        <f t="array" ref="U4">'Fórmula'!C4*(INDEX(properties!A$1:CB$87,'Fórmula'!B4,6))+'Fórmula'!E4*(INDEX(properties!A$1:CB$87,'Fórmula'!D4,6))+'Fórmula'!G4*(INDEX(properties!A$1:CB$87,'Fórmula'!F4,6))+'Fórmula'!I4*(INDEX(properties!A$1:CB$87,'Fórmula'!H4,6))+'Fórmula'!K4*(INDEX(properties!A$1:CB$87,'Fórmula'!J4,6))</f>
        <v>182</v>
      </c>
      <c r="V4" s="103">
        <f t="array" ref="V4">VARP(IF(INDEX(properties!A$1:CB$87,'Fórmula'!B4,6)&lt;&gt;"",INDEX(properties!A$1:CB$87,'Fórmula'!B4,6)),IF(INDEX(properties!A$1:CB$87,'Fórmula'!D4,6)&lt;&gt;"",INDEX(properties!A$1:CB$87,'Fórmula'!D4,6)),IF(INDEX(properties!A$1:CB$87,'Fórmula'!F4,6)&lt;&gt;"",INDEX(properties!A$1:CB$87,'Fórmula'!F4,6)),IF(INDEX(properties!A$1:CB$87,'Fórmula'!H4,6)&lt;&gt;"",INDEX(properties!A$1:CB$87,'Fórmula'!H4,6)),IF(INDEX(properties!A$1:CB$87,'Fórmula'!J4,6)&lt;&gt;"",INDEX(properties!A$1:CB$87,'Fórmula'!J4,6)))</f>
        <v>45.84</v>
      </c>
      <c r="W4" s="104">
        <f t="array" ref="W4">MAX(INDEX(properties!A$1:CB$87,'Fórmula'!B4,6),INDEX(properties!A$1:CB$87,'Fórmula'!D4,6),INDEX(properties!A$1:CB$87,'Fórmula'!F4,6),INDEX(properties!A$1:CB$87,'Fórmula'!H4,4),INDEX(properties!A$1:CB$87,'Fórmula'!J4,6))</f>
        <v>16</v>
      </c>
      <c r="X4" s="104">
        <f t="array" ref="X4">MIN(IF(INDEX(properties!A$1:CB$87,'Fórmula'!B4,6)=0,10^6,INDEX(properties!A$1:CB$87,'Fórmula'!B4,6)),IF(INDEX(properties!A$1:CB$87,'Fórmula'!D4,6)=0,10^6,INDEX(properties!A$1:CB$87,'Fórmula'!D4,6)),IF(INDEX(properties!A$1:CB$87,'Fórmula'!F4,6)=0,10^6,INDEX(properties!A$1:CB$87,'Fórmula'!F4,6)),IF(INDEX(properties!A$1:CB$87,'Fórmula'!H4,6)=0,10^6,INDEX(properties!A$1:CB$87,'Fórmula'!H4,6)),IF(INDEX(properties!A$1:CB$87,'Fórmula'!J4,6)=0,10^6,INDEX(properties!A$1:CB$87,'Fórmula'!J4,6)))</f>
        <v>3</v>
      </c>
      <c r="Y4" s="104">
        <f t="shared" si="4"/>
        <v>13</v>
      </c>
      <c r="Z4" s="105">
        <f t="array" ref="Z4">(('Fórmula'!C4)/('Fórmula'!C4+'Fórmula'!E4+'Fórmula'!G4+'Fórmula'!I4+'Fórmula'!K4))*(INDEX(properties!A$1:CB$87,'Fórmula'!B4,9))+(('Fórmula'!E4)/('Fórmula'!C4+'Fórmula'!E4+'Fórmula'!G4+'Fórmula'!I4+'Fórmula'!K4))*(INDEX(properties!A$1:CB$87,'Fórmula'!D4,9))+(('Fórmula'!G4)/('Fórmula'!C4+'Fórmula'!E4+'Fórmula'!G4+'Fórmula'!I4+'Fórmula'!K4))*(INDEX(properties!A$1:CB$87,'Fórmula'!F4,9))+(('Fórmula'!I4)/('Fórmula'!C4+'Fórmula'!E4+'Fórmula'!G4+'Fórmula'!I4+'Fórmula'!K4))*(INDEX(properties!A$1:CB$87,'Fórmula'!H4,9))+(('Fórmula'!K4)/('Fórmula'!C4+'Fórmula'!E4+'Fórmula'!G4+'Fórmula'!I4+'Fórmula'!K4))*(INDEX(properties!A$1:CB$87,'Fórmula'!J4,9))</f>
        <v>65.13333333</v>
      </c>
      <c r="AA4" s="105">
        <f t="array" ref="AA4">'Fórmula'!C4*(INDEX(properties!A$1:CB$87,'Fórmula'!B4,9))+'Fórmula'!E4*(INDEX(properties!A$1:CB$87,'Fórmula'!D4,9))+'Fórmula'!G4*(INDEX(properties!A$1:CB$87,'Fórmula'!F4,9))+'Fórmula'!I4*(INDEX(properties!A$1:CB$87,'Fórmula'!H4,9))+'Fórmula'!K4*(INDEX(properties!A$1:CB$87,'Fórmula'!J4,9))</f>
        <v>977</v>
      </c>
      <c r="AB4" s="105">
        <f t="array" ref="AB4">VARP(IF(INDEX(properties!A$1:CB$87,'Fórmula'!B4,9)&lt;&gt;"",INDEX(properties!A$1:CB$87,'Fórmula'!B4,9)),IF(INDEX(properties!A$1:CB$87,'Fórmula'!D4,9)&lt;&gt;"",INDEX(properties!A$1:CB$87,'Fórmula'!D4,9)),IF(INDEX(properties!A$1:CB$87,'Fórmula'!F4,9)&lt;&gt;"",INDEX(properties!A$1:CB$87,'Fórmula'!F4,9)),IF(INDEX(properties!A$1:CB$87,'Fórmula'!H4,9)&lt;&gt;"",INDEX(properties!A$1:CB$87,'Fórmula'!H4,9)),IF(INDEX(properties!A$1:CB$87,'Fórmula'!J4,9)&lt;&gt;"",INDEX(properties!A$1:CB$87,'Fórmula'!J4,9)))</f>
        <v>1425.04</v>
      </c>
      <c r="AC4" s="105">
        <f t="array" ref="AC4">MAX(INDEX(properties!A$1:CB$87,'Fórmula'!B4,9),INDEX(properties!A$1:CB$87,'Fórmula'!D4,9),INDEX(properties!A$1:CB$87,'Fórmula'!F4,9),INDEX(properties!A$1:CB$87,'Fórmula'!H4,9),INDEX(properties!A$1:CB$87,'Fórmula'!J4,9))</f>
        <v>87</v>
      </c>
      <c r="AD4" s="105">
        <f t="array" ref="AD4">MIN(IF(INDEX(properties!A$1:CB$87,'Fórmula'!B4,9)=0,10^6,INDEX(properties!A$1:CB$87,'Fórmula'!B4,9)),IF(INDEX(properties!A$1:CB$87,'Fórmula'!D4,9)=0,10^6,INDEX(properties!A$1:CB$87,'Fórmula'!D4,9)),IF(INDEX(properties!A$1:CB$87,'Fórmula'!F4,9)=0,10^6,INDEX(properties!A$1:CB$87,'Fórmula'!F4,9)),IF(INDEX(properties!A$1:CB$87,'Fórmula'!H4,9)=0,10^6,INDEX(properties!A$1:CB$87,'Fórmula'!H4,9)),IF(INDEX(properties!A$1:CB$87,'Fórmula'!J4,9)=0,10^6,INDEX(properties!A$1:CB$87,'Fórmula'!J4,9)))</f>
        <v>12</v>
      </c>
      <c r="AE4" s="105">
        <f t="shared" si="5"/>
        <v>75</v>
      </c>
      <c r="AF4" s="106">
        <f t="array" ref="AF4">(('Fórmula'!C4)/('Fórmula'!C4+'Fórmula'!E4+'Fórmula'!G4+'Fórmula'!I4+'Fórmula'!K4))*(INDEX(properties!A$1:CB$87,'Fórmula'!B4,10))+(('Fórmula'!E4)/('Fórmula'!C4+'Fórmula'!E4+'Fórmula'!G4+'Fórmula'!I4+'Fórmula'!K4))*(INDEX(properties!A$1:CB$87,'Fórmula'!D4,10))+(('Fórmula'!G4)/('Fórmula'!C4+'Fórmula'!E4+'Fórmula'!G4+'Fórmula'!I4+'Fórmula'!K4))*(INDEX(properties!A$1:CB$87,'Fórmula'!F4,10))+(('Fórmula'!I4)/('Fórmula'!C4+'Fórmula'!E4+'Fórmula'!G4+'Fórmula'!I4+'Fórmula'!K4))*(INDEX(properties!A$1:CB$87,'Fórmula'!H4,10))+(('Fórmula'!K4)/('Fórmula'!C4+'Fórmula'!E4+'Fórmula'!G4+'Fórmula'!I4+'Fórmula'!K4))*(INDEX(properties!A$1:CB$87,'Fórmula'!J4,10))</f>
        <v>5.666666667</v>
      </c>
      <c r="AG4" s="106">
        <f t="array" ref="AG4">'Fórmula'!C4*(INDEX(properties!A$1:CB$87,'Fórmula'!B4,10))+'Fórmula'!E4*(INDEX(properties!A$1:CB$87,'Fórmula'!D4,10))+'Fórmula'!G4*(INDEX(properties!A$1:CB$87,'Fórmula'!F4,10))+'Fórmula'!I4*(INDEX(properties!A$1:CB$87,'Fórmula'!H4,10))+'Fórmula'!K4*(INDEX(properties!A$1:CB$87,'Fórmula'!J4,10))</f>
        <v>85</v>
      </c>
      <c r="AH4" s="106">
        <f t="array" ref="AH4">VARP(IF(INDEX(properties!A$1:CB$87,'Fórmula'!B4,10)&lt;&gt;"",INDEX(properties!A$1:CB$87,'Fórmula'!B4,10)),IF(INDEX(properties!A$1:CB$87,'Fórmula'!D4,10)&lt;&gt;"",INDEX(properties!A$1:CB$87,'Fórmula'!D4,10)),IF(INDEX(properties!A$1:CB$87,'Fórmula'!F4,10)&lt;&gt;"",INDEX(properties!A$1:CB$87,'Fórmula'!F4,10)),IF(INDEX(properties!A$1:CB$87,'Fórmula'!H4,10)&lt;&gt;"",INDEX(properties!A$1:CB$87,'Fórmula'!H4,10)),IF(INDEX(properties!A$1:CB$87,'Fórmula'!J4,10)&lt;&gt;"",INDEX(properties!A$1:CB$87,'Fórmula'!J4,10)))</f>
        <v>7.6</v>
      </c>
      <c r="AI4" s="106">
        <f t="array" ref="AI4">MAX(INDEX(properties!A$1:CB$87,'Fórmula'!B4,10),INDEX(properties!A$1:CB$87,'Fórmula'!D4,10),INDEX(properties!A$1:CB$87,'Fórmula'!F4,10),INDEX(properties!A$1:CB$87,'Fórmula'!H4,10),INDEX(properties!A$1:CB$87,'Fórmula'!J4,10))</f>
        <v>7</v>
      </c>
      <c r="AJ4" s="106">
        <f t="array" ref="AJ4">MIN(IF(INDEX(properties!A$1:CB$87,'Fórmula'!B4,10)=0,10^6,INDEX(properties!A$1:CB$87,'Fórmula'!B4,10)),IF(INDEX(properties!A$1:CB$87,'Fórmula'!D4,10)=0,10^6,INDEX(properties!A$1:CB$87,'Fórmula'!D4,10)),IF(INDEX(properties!A$1:CB$87,'Fórmula'!F4,10)=0,10^6,INDEX(properties!A$1:CB$87,'Fórmula'!F4,10)),IF(INDEX(properties!A$1:CB$87,'Fórmula'!H4,10)=0,10^6,INDEX(properties!A$1:CB$87,'Fórmula'!H4,10)),IF(INDEX(properties!A$1:CB$87,'Fórmula'!J4,10)=0,10^6,INDEX(properties!A$1:CB$87,'Fórmula'!J4,10)))</f>
        <v>3</v>
      </c>
      <c r="AK4" s="106">
        <f t="shared" si="6"/>
        <v>4</v>
      </c>
      <c r="AL4" s="107">
        <f t="array" ref="AL4">(('Fórmula'!C4)/('Fórmula'!C4+'Fórmula'!E4+'Fórmula'!G4+'Fórmula'!I4+'Fórmula'!K4))*(INDEX(properties!A$1:CB$87,'Fórmula'!B4,11))+(('Fórmula'!E4)/('Fórmula'!C4+'Fórmula'!E4+'Fórmula'!G4+'Fórmula'!I4+'Fórmula'!K4))*(INDEX(properties!A$1:CB$87,'Fórmula'!D4,11))+(('Fórmula'!G4)/('Fórmula'!C4+'Fórmula'!E4+'Fórmula'!G4+'Fórmula'!I4+'Fórmula'!K4))*(INDEX(properties!A$1:CB$87,'Fórmula'!F4,11))+(('Fórmula'!I4)/('Fórmula'!C4+'Fórmula'!E4+'Fórmula'!G4+'Fórmula'!I4+'Fórmula'!K4))*(INDEX(properties!A$1:CB$87,'Fórmula'!H4,11))+(('Fórmula'!K4)/('Fórmula'!C4+'Fórmula'!E4+'Fórmula'!G4+'Fórmula'!I4+'Fórmula'!K4))*(INDEX(properties!A$1:CB$87,'Fórmula'!J4,11))</f>
        <v>2</v>
      </c>
      <c r="AM4" s="107">
        <f t="array" ref="AM4">'Fórmula'!C4*(INDEX(properties!A$1:CB$87,'Fórmula'!B4,11))+'Fórmula'!E4*(INDEX(properties!A$1:CB$87,'Fórmula'!D4,11))+'Fórmula'!G4*(INDEX(properties!A$1:CB$87,'Fórmula'!F4,11))+'Fórmula'!I4*(INDEX(properties!A$1:CB$87,'Fórmula'!H4,11))+'Fórmula'!K4*(INDEX(properties!A$1:CB$87,'Fórmula'!J4,11))</f>
        <v>30</v>
      </c>
      <c r="AN4" s="107">
        <f t="array" ref="AN4">VARP(IF(INDEX(properties!A$1:CB$87,'Fórmula'!B4,11)&lt;&gt;"",INDEX(properties!A$1:CB$87,'Fórmula'!B4,11)),IF(INDEX(properties!A$1:CB$87,'Fórmula'!D4,11)&lt;&gt;"",INDEX(properties!A$1:CB$87,'Fórmula'!D4,11)),IF(INDEX(properties!A$1:CB$87,'Fórmula'!F4,11)&lt;&gt;"",INDEX(properties!A$1:CB$87,'Fórmula'!F4,11)),IF(INDEX(properties!A$1:CB$87,'Fórmula'!H4,11)&lt;&gt;"",INDEX(properties!A$1:CB$87,'Fórmula'!H4,11)),IF(INDEX(properties!A$1:CB$87,'Fórmula'!J4,11)&lt;&gt;"",INDEX(properties!A$1:CB$87,'Fórmula'!J4,11)))</f>
        <v>0.96</v>
      </c>
      <c r="AO4" s="107">
        <f t="array" ref="AO4">MAX(INDEX(properties!A$1:CB$87,'Fórmula'!B4,11),INDEX(properties!A$1:CB$87,'Fórmula'!D4,11),INDEX(properties!A$1:CB$87,'Fórmula'!F4,11),INDEX(properties!A$1:CB$87,'Fórmula'!H4,11),INDEX(properties!A$1:CB$87,'Fórmula'!J4,11))</f>
        <v>2</v>
      </c>
      <c r="AP4" s="107">
        <f t="array" ref="AP4">MIN(IF('Fórmula'!B4=87,10^6,INDEX(properties!A$1:CB$87,'Fórmula'!B4,11)),IF(('Fórmula'!D4)=87,10^6,INDEX(properties!A$1:CB$87,'Fórmula'!D4,11)),IF(('Fórmula'!F4)=87,10^6,INDEX(properties!A$1:CB$87,'Fórmula'!F4,11)),IF(('Fórmula'!H4)=87,10^6,INDEX(properties!A$1:CB$87,'Fórmula'!H4,11)),IF('Fórmula'!J4=87,10^6,INDEX(properties!A$1:CB$87,'Fórmula'!J4,11)))</f>
        <v>2</v>
      </c>
      <c r="AQ4" s="107">
        <f t="shared" si="7"/>
        <v>0</v>
      </c>
      <c r="AR4" s="108">
        <f t="array" ref="AR4">(('Fórmula'!C4)/('Fórmula'!C4+'Fórmula'!E4+'Fórmula'!G4+'Fórmula'!I4+'Fórmula'!K4))*(INDEX(properties!A$1:CB$87,'Fórmula'!B4,12))+(('Fórmula'!E4)/('Fórmula'!C4+'Fórmula'!E4+'Fórmula'!G4+'Fórmula'!I4+'Fórmula'!K4))*(INDEX(properties!A$1:CB$87,'Fórmula'!D4,12))+(('Fórmula'!G4)/('Fórmula'!C4+'Fórmula'!E4+'Fórmula'!G4+'Fórmula'!I4+'Fórmula'!K4))*(INDEX(properties!A$1:CB$87,'Fórmula'!F4,12))+(('Fórmula'!I4)/('Fórmula'!C4+'Fórmula'!E4+'Fórmula'!G4+'Fórmula'!I4+'Fórmula'!K4))*(INDEX(properties!A$1:CB$87,'Fórmula'!H4,12))+(('Fórmula'!K4)/('Fórmula'!C4+'Fórmula'!E4+'Fórmula'!G4+'Fórmula'!I4+'Fórmula'!K4))*(INDEX(properties!A$1:CB$87,'Fórmula'!J4,12))</f>
        <v>2.533333333</v>
      </c>
      <c r="AS4" s="108">
        <f t="array" ref="AS4">'Fórmula'!C4*(INDEX(properties!A$1:CB$87,'Fórmula'!B4,12))+'Fórmula'!E4*(INDEX(properties!A$1:CB$87,'Fórmula'!D4,12))+'Fórmula'!G4*(INDEX(properties!A$1:CB$87,'Fórmula'!F4,12))+'Fórmula'!I4*(INDEX(properties!A$1:CB$87,'Fórmula'!H4,12))+'Fórmula'!K4*(INDEX(properties!A$1:CB$87,'Fórmula'!J4,12))</f>
        <v>38</v>
      </c>
      <c r="AT4" s="108">
        <f t="array" ref="AT4">VARP(IF(INDEX(properties!A$1:CB$87,'Fórmula'!B4,12)&lt;&gt;"",INDEX(properties!A$1:CB$87,'Fórmula'!B4,12)),IF(INDEX(properties!A$1:CB$87,'Fórmula'!D4,12)&lt;&gt;"",INDEX(properties!A$1:CB$87,'Fórmula'!D4,12)),IF(INDEX(properties!A$1:CB$87,'Fórmula'!F4,12)&lt;&gt;"",INDEX(properties!A$1:CB$87,'Fórmula'!F4,12)),IF(INDEX(properties!A$1:CB$87,'Fórmula'!H4,12)&lt;&gt;"",INDEX(properties!A$1:CB$87,'Fórmula'!H4,12)),IF(INDEX(properties!A$1:CB$87,'Fórmula'!J4,12)&lt;&gt;"",INDEX(properties!A$1:CB$87,'Fórmula'!J4,12)))</f>
        <v>2.4</v>
      </c>
      <c r="AU4" s="108">
        <f t="array" ref="AU4">MAX(INDEX(properties!A$1:CB$87,'Fórmula'!B4,12),INDEX(properties!A$1:CB$87,'Fórmula'!D4,12),INDEX(properties!A$1:CB$87,'Fórmula'!F4,12),INDEX(properties!A$1:CB$87,'Fórmula'!H4,12),INDEX(properties!A$1:CB$87,'Fórmula'!J4,12))</f>
        <v>4</v>
      </c>
      <c r="AV4" s="108">
        <f t="array" ref="AV4">MIN(IF('Fórmula'!B4=87,10^6,INDEX(properties!A$1:CB$87,'Fórmula'!B4,12)),IF(('Fórmula'!D4)=87,10^6,INDEX(properties!A$1:CB$87,'Fórmula'!D4,12)),IF(('Fórmula'!F4)=87,10^6,INDEX(properties!A$1:CB$87,'Fórmula'!F4,12)),IF(('Fórmula'!H4)=87,10^6,INDEX(properties!A$1:CB$87,'Fórmula'!H4,12)),IF('Fórmula'!J4=87,10^6,INDEX(properties!A$1:CB$87,'Fórmula'!J4,12)))</f>
        <v>0</v>
      </c>
      <c r="AW4" s="108">
        <f t="shared" si="8"/>
        <v>4</v>
      </c>
      <c r="AX4" s="109">
        <f t="array" ref="AX4">(('Fórmula'!C4)/('Fórmula'!C4+'Fórmula'!E4+'Fórmula'!G4+'Fórmula'!I4+'Fórmula'!K4))*(INDEX(properties!A$1:CB$87,'Fórmula'!B4,13))+(('Fórmula'!E4)/('Fórmula'!C4+'Fórmula'!E4+'Fórmula'!G4+'Fórmula'!I4+'Fórmula'!K4))*(INDEX(properties!A$1:CB$87,'Fórmula'!D4,13))+(('Fórmula'!G4)/('Fórmula'!C4+'Fórmula'!E4+'Fórmula'!G4+'Fórmula'!I4+'Fórmula'!K4))*(INDEX(properties!A$1:CB$87,'Fórmula'!F4,13))+(('Fórmula'!I4)/('Fórmula'!C4+'Fórmula'!E4+'Fórmula'!G4+'Fórmula'!I4+'Fórmula'!K4))*(INDEX(properties!A$1:CB$87,'Fórmula'!H4,13))+(('Fórmula'!K4)/('Fórmula'!C4+'Fórmula'!E4+'Fórmula'!G4+'Fórmula'!I4+'Fórmula'!K4))*(INDEX(properties!A$1:CB$87,'Fórmula'!J4,13))</f>
        <v>0.2666666667</v>
      </c>
      <c r="AY4" s="109">
        <f t="array" ref="AY4">'Fórmula'!C4*(INDEX(properties!A$1:CB$87,'Fórmula'!B4,13))+'Fórmula'!E4*(INDEX(properties!A$1:CB$87,'Fórmula'!D4,13))+'Fórmula'!G4*(INDEX(properties!A$1:CB$87,'Fórmula'!F4,13))+'Fórmula'!I4*(INDEX(properties!A$1:CB$87,'Fórmula'!H4,13))+'Fórmula'!K4*(INDEX(properties!A$1:CB$87,'Fórmula'!J4,13))</f>
        <v>4</v>
      </c>
      <c r="AZ4" s="109">
        <f t="array" ref="AZ4">VARP(IF(INDEX(properties!A$1:CB$87,'Fórmula'!B4,13)&lt;&gt;"",INDEX(properties!A$1:CB$87,'Fórmula'!B4,13)),IF(INDEX(properties!A$1:CB$87,'Fórmula'!D4,13)&lt;&gt;"",INDEX(properties!A$1:CB$87,'Fórmula'!D4,13)),IF(INDEX(properties!A$1:CB$87,'Fórmula'!F4,13)&lt;&gt;"",INDEX(properties!A$1:CB$87,'Fórmula'!F4,13)),IF(INDEX(properties!A$1:CB$87,'Fórmula'!H4,13)&lt;&gt;"",INDEX(properties!A$1:CB$87,'Fórmula'!H4,13)),IF(INDEX(properties!A$1:CB$87,'Fórmula'!J4,13)&lt;&gt;"",INDEX(properties!A$1:CB$87,'Fórmula'!J4,13)))</f>
        <v>0.16</v>
      </c>
      <c r="BA4" s="109">
        <f t="array" ref="BA4">MAX(INDEX(properties!A$1:CB$87,'Fórmula'!B4,13),INDEX(properties!A$1:CB$87,'Fórmula'!D4,13),INDEX(properties!A$1:CB$87,'Fórmula'!F4,13),INDEX(properties!A$1:CB$87,'Fórmula'!H4,13),INDEX(properties!A$1:CB$87,'Fórmula'!J4,13))</f>
        <v>1</v>
      </c>
      <c r="BB4" s="109">
        <f t="array" ref="BB4">MIN(IF('Fórmula'!B4=87,10^6,INDEX(properties!A$1:CB$87,'Fórmula'!B4,13)),IF(('Fórmula'!D4)=87,10^6,INDEX(properties!A$1:CB$87,'Fórmula'!D4,13)),IF(('Fórmula'!F4)=87,10^6,INDEX(properties!A$1:CB$87,'Fórmula'!F4,13)),IF(('Fórmula'!H4)=87,10^6,INDEX(properties!A$1:CB$87,'Fórmula'!H4,13)),IF('Fórmula'!J4=87,10^6,INDEX(properties!A$1:CB$87,'Fórmula'!J4,13)))</f>
        <v>0</v>
      </c>
      <c r="BC4" s="109">
        <f t="shared" si="9"/>
        <v>1</v>
      </c>
      <c r="BD4" s="110">
        <f t="array" ref="BD4">(('Fórmula'!C4)/('Fórmula'!C4+'Fórmula'!E4+'Fórmula'!G4+'Fórmula'!I4+'Fórmula'!K4))*(INDEX(properties!A$1:CB$87,'Fórmula'!B4,14))+(('Fórmula'!E4)/('Fórmula'!C4+'Fórmula'!E4+'Fórmula'!G4+'Fórmula'!I4+'Fórmula'!K4))*(INDEX(properties!A$1:CB$87,'Fórmula'!D4,14))+(('Fórmula'!G4)/('Fórmula'!C4+'Fórmula'!E4+'Fórmula'!G4+'Fórmula'!I4+'Fórmula'!K4))*(INDEX(properties!A$1:CB$87,'Fórmula'!F4,14))+(('Fórmula'!I4)/('Fórmula'!C4+'Fórmula'!E4+'Fórmula'!G4+'Fórmula'!I4+'Fórmula'!K4))*(INDEX(properties!A$1:CB$87,'Fórmula'!H4,14))+(('Fórmula'!K4)/('Fórmula'!C4+'Fórmula'!E4+'Fórmula'!G4+'Fórmula'!I4+'Fórmula'!K4))*(INDEX(properties!A$1:CB$87,'Fórmula'!J4,14))</f>
        <v>0</v>
      </c>
      <c r="BE4" s="110">
        <f t="array" ref="BE4">'Fórmula'!C4*(INDEX(properties!A$1:CB$87,'Fórmula'!B4,14))+'Fórmula'!E4*(INDEX(properties!A$1:CB$87,'Fórmula'!D4,14))+'Fórmula'!G4*(INDEX(properties!A$1:CB$87,'Fórmula'!F4,14))+'Fórmula'!I4*(INDEX(properties!A$1:CB$87,'Fórmula'!H4,14))+'Fórmula'!K4*(INDEX(properties!A$1:CB$87,'Fórmula'!J4,14))</f>
        <v>0</v>
      </c>
      <c r="BF4" s="110">
        <f t="array" ref="BF4">VARP(IF(INDEX(properties!A$1:CB$87,'Fórmula'!B4,14)&lt;&gt;"",INDEX(properties!A$1:CB$87,'Fórmula'!B4,14)),IF(INDEX(properties!A$1:CB$87,'Fórmula'!D4,14)&lt;&gt;"",INDEX(properties!A$1:CB$87,'Fórmula'!D4,14)),IF(INDEX(properties!A$1:CB$87,'Fórmula'!F4,14)&lt;&gt;"",INDEX(properties!A$1:CB$87,'Fórmula'!F4,14)),IF(INDEX(properties!A$1:CB$87,'Fórmula'!H4,14)&lt;&gt;"",INDEX(properties!A$1:CB$87,'Fórmula'!H4,14)),IF(INDEX(properties!A$1:CB$87,'Fórmula'!J4,14)&lt;&gt;"",INDEX(properties!A$1:CB$87,'Fórmula'!J4,14)))</f>
        <v>0</v>
      </c>
      <c r="BG4" s="110">
        <f t="array" ref="BG4">MAX(INDEX(properties!A$1:CB$87,'Fórmula'!B4,14),INDEX(properties!A$1:CB$87,'Fórmula'!D4,14),INDEX(properties!A$1:CB$87,'Fórmula'!F4,14),INDEX(properties!A$1:CB$87,'Fórmula'!H4,14),INDEX(properties!A$1:CB$87,'Fórmula'!J4,14))</f>
        <v>0</v>
      </c>
      <c r="BH4" s="110">
        <f t="array" ref="BH4">MIN(IF('Fórmula'!B4=87,10^6,INDEX(properties!A$1:CB$87,'Fórmula'!B4,14)),IF(('Fórmula'!D4)=87,10^6,INDEX(properties!A$1:CB$87,'Fórmula'!D4,14)),IF(('Fórmula'!F4)=87,10^6,INDEX(properties!A$1:CB$87,'Fórmula'!F4,14)),IF(('Fórmula'!H4)=87,10^6,INDEX(properties!A$1:CB$87,'Fórmula'!H4,14)),IF('Fórmula'!J4=87,10^6,INDEX(properties!A$1:CB$87,'Fórmula'!J4,14)))</f>
        <v>0</v>
      </c>
      <c r="BI4" s="110">
        <f t="shared" si="10"/>
        <v>0</v>
      </c>
      <c r="BJ4" s="111">
        <f t="array" ref="BJ4">(('Fórmula'!C4)/('Fórmula'!C4+'Fórmula'!E4+'Fórmula'!G4+'Fórmula'!I4+'Fórmula'!K4))*(INDEX(properties!A$1:CB$87,'Fórmula'!B4,19))+(('Fórmula'!E4)/('Fórmula'!C4+'Fórmula'!E4+'Fórmula'!G4+'Fórmula'!I4+'Fórmula'!K4))*(INDEX(properties!A$1:CB$87,'Fórmula'!D4,19))+(('Fórmula'!G4)/('Fórmula'!C4+'Fórmula'!E4+'Fórmula'!G4+'Fórmula'!I4+'Fórmula'!K4))*(INDEX(properties!A$1:CB$87,'Fórmula'!F4,19))+(('Fórmula'!I4)/('Fórmula'!C4+'Fórmula'!E4+'Fórmula'!G4+'Fórmula'!I4+'Fórmula'!K4))*(INDEX(properties!A$1:CB$87,'Fórmula'!H4,19))+(('Fórmula'!K4)/('Fórmula'!C4+'Fórmula'!E4+'Fórmula'!G4+'Fórmula'!I4+'Fórmula'!K4))*(INDEX(properties!A$1:CB$87,'Fórmula'!J4,19))</f>
        <v>4.8</v>
      </c>
      <c r="BK4" s="111">
        <f t="array" ref="BK4">'Fórmula'!C4*(INDEX(properties!A$1:CB$87,'Fórmula'!B4,19))+'Fórmula'!E4*(INDEX(properties!A$1:CB$87,'Fórmula'!D4,19))+'Fórmula'!G4*(INDEX(properties!A$1:CB$87,'Fórmula'!F4,19))+'Fórmula'!I4*(INDEX(properties!A$1:CB$87,'Fórmula'!H4,19))+'Fórmula'!K4*(INDEX(properties!A$1:CB$87,'Fórmula'!J4,19))</f>
        <v>72</v>
      </c>
      <c r="BL4" s="111">
        <f t="array" ref="BL4">VARP(IF(INDEX(properties!A$1:CB$87,'Fórmula'!B4,19)&lt;&gt;"",INDEX(properties!A$1:CB$87,'Fórmula'!B4,19)),IF(INDEX(properties!A$1:CB$87,'Fórmula'!D4,19)&lt;&gt;"",INDEX(properties!A$1:CB$87,'Fórmula'!D4,19)),IF(INDEX(properties!A$1:CB$87,'Fórmula'!F4,19)&lt;&gt;"",INDEX(properties!A$1:CB$87,'Fórmula'!F4,19)),IF(INDEX(properties!A$1:CB$87,'Fórmula'!H4,19)&lt;&gt;"",INDEX(properties!A$1:CB$87,'Fórmula'!H4,19)),IF(INDEX(properties!A$1:CB$87,'Fórmula'!J4,19)&lt;&gt;"",INDEX(properties!A$1:CB$87,'Fórmula'!J4,19)))</f>
        <v>5.04</v>
      </c>
      <c r="BM4" s="111">
        <f t="array" ref="BM4">MAX(INDEX(properties!A$1:CB$87,'Fórmula'!B4,19),INDEX(properties!A$1:CB$87,'Fórmula'!D4,19),INDEX(properties!A$1:CB$87,'Fórmula'!F4,19),INDEX(properties!A$1:CB$87,'Fórmula'!H4,19),INDEX(properties!A$1:CB$87,'Fórmula'!J4,19))</f>
        <v>6</v>
      </c>
      <c r="BN4" s="111">
        <f t="array" ref="BN4">MIN(IF(INDEX(properties!A$1:CB$87,'Fórmula'!B4,19)=0,10^6,INDEX(properties!A$1:CB$87,'Fórmula'!B4,19)),IF(INDEX(properties!A$1:CB$87,'Fórmula'!D4,19)=0,10^6,INDEX(properties!A$1:CB$87,'Fórmula'!D4,19)),IF(INDEX(properties!A$1:CB$87,'Fórmula'!F4,19)=0,10^6,INDEX(properties!A$1:CB$87,'Fórmula'!F4,19)),IF(INDEX(properties!A$1:CB$87,'Fórmula'!H4,19)=0,10^6,INDEX(properties!A$1:CB$87,'Fórmula'!H4,19)),IF(INDEX(properties!A$1:CB$87,'Fórmula'!J4,19)=0,10^6,INDEX(properties!A$1:CB$87,'Fórmula'!J4,19)))</f>
        <v>3</v>
      </c>
      <c r="BO4" s="111">
        <f t="shared" si="11"/>
        <v>3</v>
      </c>
      <c r="BP4" s="112">
        <f t="array" ref="BP4">(('Fórmula'!C4)/('Fórmula'!C4+'Fórmula'!E4+'Fórmula'!G4+'Fórmula'!I4+'Fórmula'!K4))*(INDEX(properties!A$1:CB$87,'Fórmula'!B4,20))+(('Fórmula'!E4)/('Fórmula'!C4+'Fórmula'!E4+'Fórmula'!G4+'Fórmula'!I4+'Fórmula'!K4))*(INDEX(properties!A$1:CB$87,'Fórmula'!D4,20))+(('Fórmula'!G4)/('Fórmula'!C4+'Fórmula'!E4+'Fórmula'!G4+'Fórmula'!I4+'Fórmula'!K4))*(INDEX(properties!A$1:CB$87,'Fórmula'!F4,20))+(('Fórmula'!I4)/('Fórmula'!C4+'Fórmula'!E4+'Fórmula'!G4+'Fórmula'!I4+'Fórmula'!K4))*(INDEX(properties!A$1:CB$87,'Fórmula'!H4,20))+(('Fórmula'!K4)/('Fórmula'!C4+'Fórmula'!E4+'Fórmula'!G4+'Fórmula'!I4+'Fórmula'!K4))*(INDEX(properties!A$1:CB$87,'Fórmula'!J4,20))</f>
        <v>4.533333333</v>
      </c>
      <c r="BQ4" s="112">
        <f t="array" ref="BQ4">'Fórmula'!C4*(INDEX(properties!A$1:CB$87,'Fórmula'!B4,20))+'Fórmula'!E4*(INDEX(properties!A$1:CB$87,'Fórmula'!D4,20))+'Fórmula'!G4*(INDEX(properties!A$1:CB$87,'Fórmula'!F4,20))+'Fórmula'!I4*(INDEX(properties!A$1:CB$87,'Fórmula'!H4,20))+'Fórmula'!K4*(INDEX(properties!A$1:CB$87,'Fórmula'!J4,20))</f>
        <v>68</v>
      </c>
      <c r="BR4" s="112">
        <f t="array" ref="BR4">VARP(IF(INDEX(properties!A$1:CB$87,'Fórmula'!B4,20)&lt;&gt;"",INDEX(properties!A$1:CB$87,'Fórmula'!B4,20)),IF(INDEX(properties!A$1:CB$87,'Fórmula'!D4,20)&lt;&gt;"",INDEX(properties!A$1:CB$87,'Fórmula'!D4,20)),IF(INDEX(properties!A$1:CB$87,'Fórmula'!F4,20)&lt;&gt;"",INDEX(properties!A$1:CB$87,'Fórmula'!F4,20)),IF(INDEX(properties!A$1:CB$87,'Fórmula'!H4,20)&lt;&gt;"",INDEX(properties!A$1:CB$87,'Fórmula'!H4,20)),IF(INDEX(properties!A$1:CB$87,'Fórmula'!J4,20)&lt;&gt;"",INDEX(properties!A$1:CB$87,'Fórmula'!J4,20)))</f>
        <v>4.96</v>
      </c>
      <c r="BS4" s="112">
        <f t="array" ref="BS4">MAX(INDEX(properties!A$1:CB$87,'Fórmula'!B4,20),INDEX(properties!A$1:CB$87,'Fórmula'!D4,20),INDEX(properties!A$1:CB$87,'Fórmula'!F4,20),INDEX(properties!A$1:CB$87,'Fórmula'!H4,20),INDEX(properties!A$1:CB$87,'Fórmula'!J4,20))</f>
        <v>6</v>
      </c>
      <c r="BT4" s="112">
        <f t="array" ref="BT4">MIN(IF(INDEX(properties!A$1:CB$87,'Fórmula'!B4,20)=0,10^6,INDEX(properties!A$1:CB$87,'Fórmula'!B4,20)),IF(INDEX(properties!A$1:CB$87,'Fórmula'!D4,20)=0,10^6,INDEX(properties!A$1:CB$87,'Fórmula'!D4,20)),IF(INDEX(properties!A$1:CB$87,'Fórmula'!F4,20)=0,10^6,INDEX(properties!A$1:CB$87,'Fórmula'!F4,20)),IF(INDEX(properties!A$1:CB$87,'Fórmula'!H4,20)=0,10^6,INDEX(properties!A$1:CB$87,'Fórmula'!H4,20)),IF(INDEX(properties!A$1:CB$87,'Fórmula'!J4,20)=0,10^6,INDEX(properties!A$1:CB$87,'Fórmula'!J4,20)))</f>
        <v>2</v>
      </c>
      <c r="BU4" s="112">
        <f t="shared" si="12"/>
        <v>4</v>
      </c>
      <c r="BV4" s="113">
        <f t="array" ref="BV4">(('Fórmula'!C4)/('Fórmula'!C4+'Fórmula'!E4+'Fórmula'!G4+'Fórmula'!I4+'Fórmula'!K4))*(INDEX(properties!A$1:CB$87,'Fórmula'!B4,21))+(('Fórmula'!E4)/('Fórmula'!C4+'Fórmula'!E4+'Fórmula'!G4+'Fórmula'!I4+'Fórmula'!K4))*(INDEX(properties!A$1:CB$87,'Fórmula'!D4,21))+(('Fórmula'!G4)/('Fórmula'!C4+'Fórmula'!E4+'Fórmula'!G4+'Fórmula'!I4+'Fórmula'!K4))*(INDEX(properties!A$1:CB$87,'Fórmula'!F4,21))+(('Fórmula'!I4)/('Fórmula'!C4+'Fórmula'!E4+'Fórmula'!G4+'Fórmula'!I4+'Fórmula'!K4))*(INDEX(properties!A$1:CB$87,'Fórmula'!H4,21))+(('Fórmula'!K4)/('Fórmula'!C4+'Fórmula'!E4+'Fórmula'!G4+'Fórmula'!I4+'Fórmula'!K4))*(INDEX(properties!A$1:CB$87,'Fórmula'!J4,21))</f>
        <v>4.266666667</v>
      </c>
      <c r="BW4" s="113">
        <f t="array" ref="BW4">'Fórmula'!C4*(INDEX(properties!A$1:CB$87,'Fórmula'!B4,21))+'Fórmula'!E4*(INDEX(properties!A$1:CB$87,'Fórmula'!D4,21))+'Fórmula'!G4*(INDEX(properties!A$1:CB$87,'Fórmula'!F4,21))+'Fórmula'!I4*(INDEX(properties!A$1:CB$87,'Fórmula'!H4,21))+'Fórmula'!K4*(INDEX(properties!A$1:CB$87,'Fórmula'!J4,21))</f>
        <v>64</v>
      </c>
      <c r="BX4" s="113">
        <f t="array" ref="BX4">VARP(IF(INDEX(properties!A$1:CB$87,'Fórmula'!B4,21)&lt;&gt;"",INDEX(properties!A$1:CB$87,'Fórmula'!B4,21)),IF(INDEX(properties!A$1:CB$87,'Fórmula'!D4,21)&lt;&gt;"",INDEX(properties!A$1:CB$87,'Fórmula'!D4,21)),IF(INDEX(properties!A$1:CB$87,'Fórmula'!F4,21)&lt;&gt;"",INDEX(properties!A$1:CB$87,'Fórmula'!F4,21)),IF(INDEX(properties!A$1:CB$87,'Fórmula'!H4,21)&lt;&gt;"",INDEX(properties!A$1:CB$87,'Fórmula'!H4,21)),IF(INDEX(properties!A$1:CB$87,'Fórmula'!J4,21)&lt;&gt;"",INDEX(properties!A$1:CB$87,'Fórmula'!J4,21)))</f>
        <v>5.2</v>
      </c>
      <c r="BY4" s="113">
        <f t="array" ref="BY4">MAX(INDEX(properties!A$1:CB$87,'Fórmula'!B4,21),INDEX(properties!A$1:CB$87,'Fórmula'!D4,21),INDEX(properties!A$1:CB$87,'Fórmula'!F4,21),INDEX(properties!A$1:CB$87,'Fórmula'!H4,21),INDEX(properties!A$1:CB$87,'Fórmula'!J4,21))</f>
        <v>6</v>
      </c>
      <c r="BZ4" s="113">
        <f t="array" ref="BZ4">MIN(IF(INDEX(properties!A$1:CB$87,'Fórmula'!B4,21)=0,10^6,INDEX(properties!A$1:CB$87,'Fórmula'!B4,21)),IF(INDEX(properties!A$1:CB$87,'Fórmula'!D4,21)=0,10^6,INDEX(properties!A$1:CB$87,'Fórmula'!D4,21)),IF(INDEX(properties!A$1:CB$87,'Fórmula'!F4,21)=0,10^6,INDEX(properties!A$1:CB$87,'Fórmula'!F4,21)),IF(INDEX(properties!A$1:CB$87,'Fórmula'!H4,21)=0,10^6,INDEX(properties!A$1:CB$87,'Fórmula'!H4,21)),IF(INDEX(properties!A$1:CB$87,'Fórmula'!J4,21)=0,10^6,INDEX(properties!A$1:CB$87,'Fórmula'!J4,21)))</f>
        <v>1</v>
      </c>
      <c r="CA4" s="113">
        <f t="shared" si="13"/>
        <v>5</v>
      </c>
      <c r="CB4" s="114">
        <f t="array" ref="CB4">(('Fórmula'!C4)/('Fórmula'!C4+'Fórmula'!E4+'Fórmula'!G4+'Fórmula'!I4+'Fórmula'!K4))*(INDEX(properties!A$1:CB$87,'Fórmula'!B4,23))+(('Fórmula'!E4)/('Fórmula'!C4+'Fórmula'!E4+'Fórmula'!G4+'Fórmula'!I4+'Fórmula'!K4))*(INDEX(properties!A$1:CB$87,'Fórmula'!D4,23))+(('Fórmula'!G4)/('Fórmula'!C4+'Fórmula'!E4+'Fórmula'!G4+'Fórmula'!I4+'Fórmula'!K4))*(INDEX(properties!A$1:CB$87,'Fórmula'!F4,23))+(('Fórmula'!I4)/('Fórmula'!C4+'Fórmula'!E4+'Fórmula'!G4+'Fórmula'!I4+'Fórmula'!K4))*(INDEX(properties!A$1:CB$87,'Fórmula'!H4,23))+(('Fórmula'!K4)/('Fórmula'!C4+'Fórmula'!E4+'Fórmula'!G4+'Fórmula'!I4+'Fórmula'!K4))*(INDEX(properties!A$1:CB$87,'Fórmula'!J4,23))</f>
        <v>1.2</v>
      </c>
      <c r="CC4" s="114">
        <f t="array" ref="CC4">'Fórmula'!C4*(INDEX(properties!A$1:CB$87,'Fórmula'!B4,23))+'Fórmula'!E4*(INDEX(properties!A$1:CB$87,'Fórmula'!D4,23))+'Fórmula'!G4*(INDEX(properties!A$1:CB$87,'Fórmula'!F4,23))+'Fórmula'!I4*(INDEX(properties!A$1:CB$87,'Fórmula'!H4,23))+'Fórmula'!K4*(INDEX(properties!A$1:CB$87,'Fórmula'!J4,23))</f>
        <v>18</v>
      </c>
      <c r="CD4" s="114">
        <f t="array" ref="CD4">VARP(IF(INDEX(properties!A$1:CB$87,'Fórmula'!B4,23)&lt;&gt;"",INDEX(properties!A$1:CB$87,'Fórmula'!B4,23)),IF(INDEX(properties!A$1:CB$87,'Fórmula'!D4,23)&lt;&gt;"",INDEX(properties!A$1:CB$87,'Fórmula'!D4,23)),IF(INDEX(properties!A$1:CB$87,'Fórmula'!F4,23)&lt;&gt;"",INDEX(properties!A$1:CB$87,'Fórmula'!F4,23)),IF(INDEX(properties!A$1:CB$87,'Fórmula'!H4,23)&lt;&gt;"",INDEX(properties!A$1:CB$87,'Fórmula'!H4,23)),IF(INDEX(properties!A$1:CB$87,'Fórmula'!J4,23)&lt;&gt;"",INDEX(properties!A$1:CB$87,'Fórmula'!J4,23)))</f>
        <v>2.16</v>
      </c>
      <c r="CE4" s="114">
        <f t="array" ref="CE4">MAX(INDEX(properties!A$1:CB$87,'Fórmula'!B4,23),INDEX(properties!A$1:CB$87,'Fórmula'!D4,23),INDEX(properties!A$1:CB$87,'Fórmula'!F4,23),INDEX(properties!A$1:CB$87,'Fórmula'!H4,23),INDEX(properties!A$1:CB$87,'Fórmula'!J4,23))</f>
        <v>3</v>
      </c>
      <c r="CF4" s="114">
        <f t="array" ref="CF4">MIN(IF('Fórmula'!B4=87,10^6,INDEX(properties!A$1:CB$87,'Fórmula'!B4,23)),IF(('Fórmula'!D4)=87,10^6,INDEX(properties!A$1:CB$87,'Fórmula'!D4,23)),IF(('Fórmula'!F4)=87,10^6,INDEX(properties!A$1:CB$87,'Fórmula'!F4,23)),IF(('Fórmula'!H4)=87,10^6,INDEX(properties!A$1:CB$87,'Fórmula'!H4,23)),IF('Fórmula'!J4=87,10^6,INDEX(properties!A$1:CB$87,'Fórmula'!J4,23)))</f>
        <v>0</v>
      </c>
      <c r="CG4" s="114">
        <f t="shared" si="14"/>
        <v>3</v>
      </c>
      <c r="CH4" s="115">
        <f t="array" ref="CH4">(('Fórmula'!C4)/('Fórmula'!C4+'Fórmula'!E4+'Fórmula'!G4+'Fórmula'!I4+'Fórmula'!K4))*(INDEX(properties!A$1:CB$87,'Fórmula'!B4,26))+(('Fórmula'!E4)/('Fórmula'!C4+'Fórmula'!E4+'Fórmula'!G4+'Fórmula'!I4+'Fórmula'!K4))*(INDEX(properties!A$1:CB$87,'Fórmula'!D4,26))+(('Fórmula'!G4)/('Fórmula'!C4+'Fórmula'!E4+'Fórmula'!G4+'Fórmula'!I4+'Fórmula'!K4))*(INDEX(properties!A$1:CB$87,'Fórmula'!F4,26))+(('Fórmula'!I4)/('Fórmula'!C4+'Fórmula'!E4+'Fórmula'!G4+'Fórmula'!I4+'Fórmula'!K4))*(INDEX(properties!A$1:CB$87,'Fórmula'!H4,26))+(('Fórmula'!K4)/('Fórmula'!C4+'Fórmula'!E4+'Fórmula'!G4+'Fórmula'!I4+'Fórmula'!K4))*(INDEX(properties!A$1:CB$87,'Fórmula'!J4,26))</f>
        <v>10.62691333</v>
      </c>
      <c r="CI4" s="115">
        <f t="array" ref="CI4">'Fórmula'!C4*(INDEX(properties!A$1:CB$87,'Fórmula'!B4,26))+'Fórmula'!E4*(INDEX(properties!A$1:CB$87,'Fórmula'!D4,26))+'Fórmula'!G4*(INDEX(properties!A$1:CB$87,'Fórmula'!F4,26))+'Fórmula'!I4*(INDEX(properties!A$1:CB$87,'Fórmula'!H4,26))+'Fórmula'!K4*(INDEX(properties!A$1:CB$87,'Fórmula'!J4,26))</f>
        <v>159.4037</v>
      </c>
      <c r="CJ4" s="115">
        <f t="array" ref="CJ4">VARP(IF(INDEX(properties!A$1:CB$87,'Fórmula'!B4,26)&lt;&gt;"",INDEX(properties!A$1:CB$87,'Fórmula'!B4,26)),IF(INDEX(properties!A$1:CB$87,'Fórmula'!D4,26)&lt;&gt;"",INDEX(properties!A$1:CB$87,'Fórmula'!D4,26)),IF(INDEX(properties!A$1:CB$87,'Fórmula'!F4,26)&lt;&gt;"",INDEX(properties!A$1:CB$87,'Fórmula'!F4,26)),IF(INDEX(properties!A$1:CB$87,'Fórmula'!H4,26)&lt;&gt;"",INDEX(properties!A$1:CB$87,'Fórmula'!H4,26)),IF(INDEX(properties!A$1:CB$87,'Fórmula'!J4,26)&lt;&gt;"",INDEX(properties!A$1:CB$87,'Fórmula'!J4,26)))</f>
        <v>25.31807893</v>
      </c>
      <c r="CK4" s="116">
        <f t="array" ref="CK4">MAX(INDEX(properties!A$1:CB$87,'Fórmula'!B4,26),INDEX(properties!A$1:CB$87,'Fórmula'!D4,26),INDEX(properties!A$1:CB$87,'Fórmula'!F4,26),INDEX(properties!A$1:CB$87,'Fórmula'!H4,26),INDEX(properties!A$1:CB$87,'Fórmula'!J4,26))</f>
        <v>13.6181</v>
      </c>
      <c r="CL4" s="116">
        <f t="array" ref="CL4">MIN(IF(INDEX(properties!A$1:CB$87,'Fórmula'!B4,26)=0,10^6,INDEX(properties!A$1:CB$87,'Fórmula'!B4,26)),IF(INDEX(properties!A$1:CB$87,'Fórmula'!D4,26)=0,10^6,INDEX(properties!A$1:CB$87,'Fórmula'!D4,26)),IF(INDEX(properties!A$1:CB$87,'Fórmula'!F4,26)=0,10^6,INDEX(properties!A$1:CB$87,'Fórmula'!F4,26)),IF(INDEX(properties!A$1:CB$87,'Fórmula'!H4,26)=0,10^6,INDEX(properties!A$1:CB$87,'Fórmula'!H4,26)),IF(INDEX(properties!A$1:CB$87,'Fórmula'!J4,26)=0,10^6,INDEX(properties!A$1:CB$87,'Fórmula'!J4,26)))</f>
        <v>5.9858</v>
      </c>
      <c r="CM4" s="115">
        <f t="shared" si="15"/>
        <v>7.6323</v>
      </c>
      <c r="CN4" s="117">
        <f t="array" ref="CN4">(('Fórmula'!C4)/('Fórmula'!C4+'Fórmula'!E4+'Fórmula'!G4+'Fórmula'!I4+'Fórmula'!K4))*(INDEX(properties!A$1:CB$87,'Fórmula'!B4,30))+(('Fórmula'!E4)/('Fórmula'!C4+'Fórmula'!E4+'Fórmula'!G4+'Fórmula'!I4+'Fórmula'!K4))*(INDEX(properties!A$1:CB$87,'Fórmula'!D4,30))+(('Fórmula'!G4)/('Fórmula'!C4+'Fórmula'!E4+'Fórmula'!G4+'Fórmula'!I4+'Fórmula'!K4))*(INDEX(properties!A$1:CB$87,'Fórmula'!F4,30))+(('Fórmula'!I4)/('Fórmula'!C4+'Fórmula'!E4+'Fórmula'!G4+'Fórmula'!I4+'Fórmula'!K4))*(INDEX(properties!A$1:CB$87,'Fórmula'!H4,30))+(('Fórmula'!K4)/('Fórmula'!C4+'Fórmula'!E4+'Fórmula'!G4+'Fórmula'!I4+'Fórmula'!K4))*(INDEX(properties!A$1:CB$87,'Fórmula'!J4,30))</f>
        <v>2.604</v>
      </c>
      <c r="CO4" s="117">
        <f t="array" ref="CO4">'Fórmula'!C4*(INDEX(properties!A$1:CB$87,'Fórmula'!B4,30))+'Fórmula'!E4*(INDEX(properties!A$1:CB$87,'Fórmula'!D4,30))+'Fórmula'!G4*(INDEX(properties!A$1:CB$87,'Fórmula'!F4,30))+'Fórmula'!I4*(INDEX(properties!A$1:CB$87,'Fórmula'!H4,30))+'Fórmula'!K4*(INDEX(properties!A$1:CB$87,'Fórmula'!J4,30))</f>
        <v>39.06</v>
      </c>
      <c r="CP4" s="117">
        <f t="array" ref="CP4">VARP(IF(INDEX(properties!A$1:CB$87,'Fórmula'!B4,30)&lt;&gt;"",INDEX(properties!A$1:CB$87,'Fórmula'!B4,30)),IF(INDEX(properties!A$1:CB$87,'Fórmula'!D4,30)&lt;&gt;"",INDEX(properties!A$1:CB$87,'Fórmula'!D4,30)),IF(INDEX(properties!A$1:CB$87,'Fórmula'!F4,30)&lt;&gt;"",INDEX(properties!A$1:CB$87,'Fórmula'!F4,30)),IF(INDEX(properties!A$1:CB$87,'Fórmula'!H4,30)&lt;&gt;"",INDEX(properties!A$1:CB$87,'Fórmula'!H4,30)),IF(INDEX(properties!A$1:CB$87,'Fórmula'!J4,30)&lt;&gt;"",INDEX(properties!A$1:CB$87,'Fórmula'!J4,30)))</f>
        <v>1.610304</v>
      </c>
      <c r="CQ4" s="117">
        <f t="array" ref="CQ4">MAX(INDEX(properties!A$1:CB$87,'Fórmula'!B4,30),INDEX(properties!A$1:CB$87,'Fórmula'!D4,30),INDEX(properties!A$1:CB$87,'Fórmula'!F4,30),INDEX(properties!A$1:CB$87,'Fórmula'!H4,30),INDEX(properties!A$1:CB$87,'Fórmula'!J4,30))</f>
        <v>3.44</v>
      </c>
      <c r="CR4" s="117">
        <f t="array" ref="CR4">MIN(IF(INDEX(properties!A$1:CB$87,'Fórmula'!B4,30)=0,10^6,INDEX(properties!A$1:CB$87,'Fórmula'!B4,30)),IF(INDEX(properties!A$1:CB$87,'Fórmula'!D4,30)=0,10^6,INDEX(properties!A$1:CB$87,'Fórmula'!D4,30)),IF(INDEX(properties!A$1:CB$87,'Fórmula'!F4,30)=0,10^6,INDEX(properties!A$1:CB$87,'Fórmula'!F4,30)),IF(INDEX(properties!A$1:CB$87,'Fórmula'!H4,30)=0,10^6,INDEX(properties!A$1:CB$87,'Fórmula'!H4,30)),IF(INDEX(properties!A$1:CB$87,'Fórmula'!J4,30)=0,10^6,INDEX(properties!A$1:CB$87,'Fórmula'!J4,30)))</f>
        <v>1.22</v>
      </c>
      <c r="CS4" s="117">
        <f t="shared" si="16"/>
        <v>2.22</v>
      </c>
      <c r="CT4" s="118">
        <f t="array" ref="CT4">(('Fórmula'!C4)/('Fórmula'!C4+'Fórmula'!E4+'Fórmula'!G4+'Fórmula'!I4+'Fórmula'!K4))*(INDEX(properties!A$1:CB$87,'Fórmula'!B4,31))+(('Fórmula'!E4)/('Fórmula'!C4+'Fórmula'!E4+'Fórmula'!G4+'Fórmula'!I4+'Fórmula'!K4))*(INDEX(properties!A$1:CB$87,'Fórmula'!D4,31))+(('Fórmula'!G4)/('Fórmula'!C4+'Fórmula'!E4+'Fórmula'!G4+'Fórmula'!I4+'Fórmula'!K4))*(INDEX(properties!A$1:CB$87,'Fórmula'!F4,31))+(('Fórmula'!I4)/('Fórmula'!C4+'Fórmula'!E4+'Fórmula'!G4+'Fórmula'!I4+'Fórmula'!K4))*(INDEX(properties!A$1:CB$87,'Fórmula'!H4,31))+(('Fórmula'!K4)/('Fórmula'!C4+'Fórmula'!E4+'Fórmula'!G4+'Fórmula'!I4+'Fórmula'!K4))*(INDEX(properties!A$1:CB$87,'Fórmula'!J4,31))</f>
        <v>2.586666667</v>
      </c>
      <c r="CU4" s="118">
        <f t="array" ref="CU4">'Fórmula'!C4*(INDEX(properties!A$1:CB$87,'Fórmula'!B4,31))+'Fórmula'!E4*(INDEX(properties!A$1:CB$87,'Fórmula'!D4,31))+'Fórmula'!G4*(INDEX(properties!A$1:CB$87,'Fórmula'!F4,31))+'Fórmula'!I4*(INDEX(properties!A$1:CB$87,'Fórmula'!H4,31))+'Fórmula'!K4*(INDEX(properties!A$1:CB$87,'Fórmula'!J4,31))</f>
        <v>38.8</v>
      </c>
      <c r="CV4" s="118">
        <f t="array" ref="CV4">VARP(IF(INDEX(properties!A$1:CB$87,'Fórmula'!B4,31)&lt;&gt;"",INDEX(properties!A$1:CB$87,'Fórmula'!B4,31)),IF(INDEX(properties!A$1:CB$87,'Fórmula'!D4,31)&lt;&gt;"",INDEX(properties!A$1:CB$87,'Fórmula'!D4,31)),IF(INDEX(properties!A$1:CB$87,'Fórmula'!F4,31)&lt;&gt;"",INDEX(properties!A$1:CB$87,'Fórmula'!F4,31)),IF(INDEX(properties!A$1:CB$87,'Fórmula'!H4,31)&lt;&gt;"",INDEX(properties!A$1:CB$87,'Fórmula'!H4,31)),IF(INDEX(properties!A$1:CB$87,'Fórmula'!J4,31)&lt;&gt;"",INDEX(properties!A$1:CB$87,'Fórmula'!J4,31)))</f>
        <v>1.516944</v>
      </c>
      <c r="CW4" s="118">
        <f t="array" ref="CW4">MAX(INDEX(properties!A$1:CB$87,'Fórmula'!B4,31),INDEX(properties!A$1:CB$87,'Fórmula'!D4,31),INDEX(properties!A$1:CB$87,'Fórmula'!F4,31),INDEX(properties!A$1:CB$87,'Fórmula'!H4,31),INDEX(properties!A$1:CB$87,'Fórmula'!J4,31))</f>
        <v>3.32</v>
      </c>
      <c r="CX4" s="118">
        <f t="array" ref="CX4">MIN(IF(INDEX(properties!A$1:CB$87,'Fórmula'!B4,31)=0,10^6,INDEX(properties!A$1:CB$87,'Fórmula'!B4,31)),IF(INDEX(properties!A$1:CB$87,'Fórmula'!D4,31)=0,10^6,INDEX(properties!A$1:CB$87,'Fórmula'!D4,31)),IF(INDEX(properties!A$1:CB$87,'Fórmula'!F4,31)=0,10^6,INDEX(properties!A$1:CB$87,'Fórmula'!F4,31)),IF(INDEX(properties!A$1:CB$87,'Fórmula'!H4,31)=0,10^6,INDEX(properties!A$1:CB$87,'Fórmula'!H4,31)),IF(INDEX(properties!A$1:CB$87,'Fórmula'!J4,31)=0,10^6,INDEX(properties!A$1:CB$87,'Fórmula'!J4,31)))</f>
        <v>1.41</v>
      </c>
      <c r="CY4" s="118">
        <f t="shared" si="17"/>
        <v>1.91</v>
      </c>
      <c r="CZ4" s="119">
        <f t="array" ref="CZ4">(('Fórmula'!C4)/('Fórmula'!C4+'Fórmula'!E4+'Fórmula'!G4+'Fórmula'!I4+'Fórmula'!K4))*(INDEX(properties!A$1:CB$87,'Fórmula'!B4,32))+(('Fórmula'!E4)/('Fórmula'!C4+'Fórmula'!E4+'Fórmula'!G4+'Fórmula'!I4+'Fórmula'!K4))*(INDEX(properties!A$1:CB$87,'Fórmula'!D4,32))+(('Fórmula'!G4)/('Fórmula'!C4+'Fórmula'!E4+'Fórmula'!G4+'Fórmula'!I4+'Fórmula'!K4))*(INDEX(properties!A$1:CB$87,'Fórmula'!F4,32))+(('Fórmula'!I4)/('Fórmula'!C4+'Fórmula'!E4+'Fórmula'!G4+'Fórmula'!I4+'Fórmula'!K4))*(INDEX(properties!A$1:CB$87,'Fórmula'!H4,32))+(('Fórmula'!K4)/('Fórmula'!C4+'Fórmula'!E4+'Fórmula'!G4+'Fórmula'!I4+'Fórmula'!K4))*(INDEX(properties!A$1:CB$87,'Fórmula'!J4,32))</f>
        <v>5.805333333</v>
      </c>
      <c r="DA4" s="119">
        <f t="array" ref="DA4">'Fórmula'!C4*(INDEX(properties!A$1:CB$87,'Fórmula'!B4,32))+'Fórmula'!E4*(INDEX(properties!A$1:CB$87,'Fórmula'!D4,32))+'Fórmula'!G4*(INDEX(properties!A$1:CB$87,'Fórmula'!F4,32))+'Fórmula'!I4*(INDEX(properties!A$1:CB$87,'Fórmula'!H4,32))+'Fórmula'!K4*(INDEX(properties!A$1:CB$87,'Fórmula'!J4,32))</f>
        <v>87.08</v>
      </c>
      <c r="DB4" s="119">
        <f t="array" ref="DB4">VARP(IF(INDEX(properties!A$1:CB$87,'Fórmula'!B4,32)&lt;&gt;"",INDEX(properties!A$1:CB$87,'Fórmula'!B4,32)),IF(INDEX(properties!A$1:CB$87,'Fórmula'!D4,32)&lt;&gt;"",INDEX(properties!A$1:CB$87,'Fórmula'!D4,32)),IF(INDEX(properties!A$1:CB$87,'Fórmula'!F4,32)&lt;&gt;"",INDEX(properties!A$1:CB$87,'Fórmula'!F4,32)),IF(INDEX(properties!A$1:CB$87,'Fórmula'!H4,32)&lt;&gt;"",INDEX(properties!A$1:CB$87,'Fórmula'!H4,32)),IF(INDEX(properties!A$1:CB$87,'Fórmula'!J4,32)&lt;&gt;"",INDEX(properties!A$1:CB$87,'Fórmula'!J4,32)))</f>
        <v>7.696856</v>
      </c>
      <c r="DC4" s="119">
        <f t="array" ref="DC4">MAX(INDEX(properties!A$1:CB$87,'Fórmula'!B4,32),INDEX(properties!A$1:CB$87,'Fórmula'!D4,32),INDEX(properties!A$1:CB$87,'Fórmula'!F4,32),INDEX(properties!A$1:CB$87,'Fórmula'!H4,32),INDEX(properties!A$1:CB$87,'Fórmula'!J4,32))</f>
        <v>7.54</v>
      </c>
      <c r="DD4" s="119">
        <f t="array" ref="DD4">MIN(IF(INDEX(properties!A$1:CB$87,'Fórmula'!B4,32)=0,10^6,INDEX(properties!A$1:CB$87,'Fórmula'!B4,32)),IF(INDEX(properties!A$1:CB$87,'Fórmula'!D4,32)=0,10^6,INDEX(properties!A$1:CB$87,'Fórmula'!D4,32)),IF(INDEX(properties!A$1:CB$87,'Fórmula'!F4,32)=0,10^6,INDEX(properties!A$1:CB$87,'Fórmula'!F4,32)),IF(INDEX(properties!A$1:CB$87,'Fórmula'!H4,32)=0,10^6,INDEX(properties!A$1:CB$87,'Fórmula'!H4,32)),IF(INDEX(properties!A$1:CB$87,'Fórmula'!J4,32)=0,10^6,INDEX(properties!A$1:CB$87,'Fórmula'!J4,32)))</f>
        <v>3.19</v>
      </c>
      <c r="DE4" s="119">
        <f t="shared" si="18"/>
        <v>4.35</v>
      </c>
      <c r="DF4" s="104">
        <f t="array" ref="DF4">(('Fórmula'!C4)/('Fórmula'!C4+'Fórmula'!E4+'Fórmula'!G4+'Fórmula'!I4+'Fórmula'!K4))*(INDEX(properties!A$1:CB$87,'Fórmula'!B4,34))+(('Fórmula'!E4)/('Fórmula'!C4+'Fórmula'!E4+'Fórmula'!G4+'Fórmula'!I4+'Fórmula'!K4))*(INDEX(properties!A$1:CB$87,'Fórmula'!D4,34))+(('Fórmula'!G4)/('Fórmula'!C4+'Fórmula'!E4+'Fórmula'!G4+'Fórmula'!I4+'Fórmula'!K4))*(INDEX(properties!A$1:CB$87,'Fórmula'!F4,34))+(('Fórmula'!I4)/('Fórmula'!C4+'Fórmula'!E4+'Fórmula'!G4+'Fórmula'!I4+'Fórmula'!K4))*(INDEX(properties!A$1:CB$87,'Fórmula'!H4,34))+(('Fórmula'!K4)/('Fórmula'!C4+'Fórmula'!E4+'Fórmula'!G4+'Fórmula'!I4+'Fórmula'!K4))*(INDEX(properties!A$1:CB$87,'Fórmula'!J4,34))</f>
        <v>2.679733333</v>
      </c>
      <c r="DG4" s="104">
        <f t="array" ref="DG4">'Fórmula'!C4*(INDEX(properties!A$1:CB$87,'Fórmula'!B4,34))+'Fórmula'!E4*(INDEX(properties!A$1:CB$87,'Fórmula'!D4,34))+'Fórmula'!G4*(INDEX(properties!A$1:CB$87,'Fórmula'!F4,34))+'Fórmula'!I4*(INDEX(properties!A$1:CB$87,'Fórmula'!H4,34))+'Fórmula'!K4*(INDEX(properties!A$1:CB$87,'Fórmula'!J4,34))</f>
        <v>40.196</v>
      </c>
      <c r="DH4" s="104">
        <f t="array" ref="DH4">VARP(IF(INDEX(properties!A$1:CB$87,'Fórmula'!B4,34)&lt;&gt;"",INDEX(properties!A$1:CB$87,'Fórmula'!B4,34)),IF(INDEX(properties!A$1:CB$87,'Fórmula'!D4,34)&lt;&gt;"",INDEX(properties!A$1:CB$87,'Fórmula'!D4,34)),IF(INDEX(properties!A$1:CB$87,'Fórmula'!F4,34)&lt;&gt;"",INDEX(properties!A$1:CB$87,'Fórmula'!F4,34)),IF(INDEX(properties!A$1:CB$87,'Fórmula'!H4,34)&lt;&gt;"",INDEX(properties!A$1:CB$87,'Fórmula'!H4,34)),IF(INDEX(properties!A$1:CB$87,'Fórmula'!J4,34)&lt;&gt;"",INDEX(properties!A$1:CB$87,'Fórmula'!J4,34)))</f>
        <v>1.76830784</v>
      </c>
      <c r="DI4" s="104">
        <f t="array" ref="DI4">MAX(INDEX(properties!A$1:CB$87,'Fórmula'!B4,34),INDEX(properties!A$1:CB$87,'Fórmula'!D4,34),INDEX(properties!A$1:CB$87,'Fórmula'!F4,34),INDEX(properties!A$1:CB$87,'Fórmula'!H4,34),INDEX(properties!A$1:CB$87,'Fórmula'!J4,34))</f>
        <v>3.61</v>
      </c>
      <c r="DJ4" s="104">
        <f t="array" ref="DJ4">MIN(IF(INDEX(properties!A$1:CB$87,'Fórmula'!B4,34)=0,10^6,INDEX(properties!A$1:CB$87,'Fórmula'!B4,34)),IF(INDEX(properties!A$1:CB$87,'Fórmula'!D4,34)=0,10^6,INDEX(properties!A$1:CB$87,'Fórmula'!D4,34)),IF(INDEX(properties!A$1:CB$87,'Fórmula'!F4,34)=0,10^6,INDEX(properties!A$1:CB$87,'Fórmula'!F4,34)),IF(INDEX(properties!A$1:CB$87,'Fórmula'!H4,34)=0,10^6,INDEX(properties!A$1:CB$87,'Fórmula'!H4,34)),IF(INDEX(properties!A$1:CB$87,'Fórmula'!J4,34)=0,10^6,INDEX(properties!A$1:CB$87,'Fórmula'!J4,34)))</f>
        <v>1.12</v>
      </c>
      <c r="DK4" s="104">
        <f t="shared" si="19"/>
        <v>2.49</v>
      </c>
      <c r="DL4" s="105">
        <f t="array" ref="DL4">(('Fórmula'!C4)/('Fórmula'!C4+'Fórmula'!E4+'Fórmula'!G4+'Fórmula'!I4+'Fórmula'!K4))*(INDEX(properties!A$1:CB$87,'Fórmula'!B4,37))+(('Fórmula'!E4)/('Fórmula'!C4+'Fórmula'!E4+'Fórmula'!G4+'Fórmula'!I4+'Fórmula'!K4))*(INDEX(properties!A$1:CB$87,'Fórmula'!D4,37))+(('Fórmula'!G4)/('Fórmula'!C4+'Fórmula'!E4+'Fórmula'!G4+'Fórmula'!I4+'Fórmula'!K4))*(INDEX(properties!A$1:CB$87,'Fórmula'!F4,37))+(('Fórmula'!I4)/('Fórmula'!C4+'Fórmula'!E4+'Fórmula'!G4+'Fórmula'!I4+'Fórmula'!K4))*(INDEX(properties!A$1:CB$87,'Fórmula'!H4,37))+(('Fórmula'!K4)/('Fórmula'!C4+'Fórmula'!E4+'Fórmula'!G4+'Fórmula'!I4+'Fórmula'!K4))*(INDEX(properties!A$1:CB$87,'Fórmula'!J4,37))</f>
        <v>2.616666667</v>
      </c>
      <c r="DM4" s="105">
        <f t="array" ref="DM4">'Fórmula'!C4*(INDEX(properties!A$1:CB$87,'Fórmula'!B4,37))+'Fórmula'!E4*(INDEX(properties!A$1:CB$87,'Fórmula'!D4,37))+'Fórmula'!G4*(INDEX(properties!A$1:CB$87,'Fórmula'!F4,37))+'Fórmula'!I4*(INDEX(properties!A$1:CB$87,'Fórmula'!H4,37))+'Fórmula'!K4*(INDEX(properties!A$1:CB$87,'Fórmula'!J4,37))</f>
        <v>39.25</v>
      </c>
      <c r="DN4" s="105">
        <f t="array" ref="DN4">VARP(IF(INDEX(properties!A$1:CB$87,'Fórmula'!B4,37)&lt;&gt;"",INDEX(properties!A$1:CB$87,'Fórmula'!B4,37)),IF(INDEX(properties!A$1:CB$87,'Fórmula'!D4,37)&lt;&gt;"",INDEX(properties!A$1:CB$87,'Fórmula'!D4,37)),IF(INDEX(properties!A$1:CB$87,'Fórmula'!F4,37)&lt;&gt;"",INDEX(properties!A$1:CB$87,'Fórmula'!F4,37)),IF(INDEX(properties!A$1:CB$87,'Fórmula'!H4,37)&lt;&gt;"",INDEX(properties!A$1:CB$87,'Fórmula'!H4,37)),IF(INDEX(properties!A$1:CB$87,'Fórmula'!J4,37)&lt;&gt;"",INDEX(properties!A$1:CB$87,'Fórmula'!J4,37)))</f>
        <v>1.606</v>
      </c>
      <c r="DO4" s="105">
        <f t="array" ref="DO4">MAX(INDEX(properties!A$1:CB$87,'Fórmula'!B4,37),INDEX(properties!A$1:CB$87,'Fórmula'!D4,37),INDEX(properties!A$1:CB$87,'Fórmula'!F4,37),INDEX(properties!A$1:CB$87,'Fórmula'!H4,37),INDEX(properties!A$1:CB$87,'Fórmula'!J4,37))</f>
        <v>3.45</v>
      </c>
      <c r="DP4" s="105">
        <f t="array" ref="DP4">MIN(IF(INDEX(properties!A$1:CB$87,'Fórmula'!B4,37)=0,10^6,INDEX(properties!A$1:CB$87,'Fórmula'!B4,37)),IF(INDEX(properties!A$1:CB$87,'Fórmula'!D4,37)=0,10^6,INDEX(properties!A$1:CB$87,'Fórmula'!D4,37)),IF(INDEX(properties!A$1:CB$87,'Fórmula'!F4,37)=0,10^6,INDEX(properties!A$1:CB$87,'Fórmula'!F4,37)),IF(INDEX(properties!A$1:CB$87,'Fórmula'!H4,37)=0,10^6,INDEX(properties!A$1:CB$87,'Fórmula'!H4,37)),IF(INDEX(properties!A$1:CB$87,'Fórmula'!J4,37)=0,10^6,INDEX(properties!A$1:CB$87,'Fórmula'!J4,37)))</f>
        <v>1.3</v>
      </c>
      <c r="DQ4" s="105">
        <f t="shared" si="20"/>
        <v>2.15</v>
      </c>
      <c r="DR4" s="109">
        <f t="array" ref="DR4">(('Fórmula'!C4)/('Fórmula'!C4+'Fórmula'!E4+'Fórmula'!G4+'Fórmula'!I4+'Fórmula'!K4))*(INDEX(properties!A$1:CB$87,'Fórmula'!B4,39))+(('Fórmula'!E4)/('Fórmula'!C4+'Fórmula'!E4+'Fórmula'!G4+'Fórmula'!I4+'Fórmula'!K4))*(INDEX(properties!A$1:CB$87,'Fórmula'!D4,39))+(('Fórmula'!G4)/('Fórmula'!C4+'Fórmula'!E4+'Fórmula'!G4+'Fórmula'!I4+'Fórmula'!K4))*(INDEX(properties!A$1:CB$87,'Fórmula'!F4,39))+(('Fórmula'!I4)/('Fórmula'!C4+'Fórmula'!E4+'Fórmula'!G4+'Fórmula'!I4+'Fórmula'!K4))*(INDEX(properties!A$1:CB$87,'Fórmula'!H4,39))+(('Fórmula'!K4)/('Fórmula'!C4+'Fórmula'!E4+'Fórmula'!G4+'Fórmula'!I4+'Fórmula'!K4))*(INDEX(properties!A$1:CB$87,'Fórmula'!J4,39))</f>
        <v>1.010666667</v>
      </c>
      <c r="DS4" s="109">
        <f t="array" ref="DS4">'Fórmula'!C4*(INDEX(properties!A$1:CB$87,'Fórmula'!B4,39))+'Fórmula'!E4*(INDEX(properties!A$1:CB$87,'Fórmula'!D4,39))+'Fórmula'!G4*(INDEX(properties!A$1:CB$87,'Fórmula'!F4,39))+'Fórmula'!I4*(INDEX(properties!A$1:CB$87,'Fórmula'!H4,39))+'Fórmula'!K4*(INDEX(properties!A$1:CB$87,'Fórmula'!J4,39))</f>
        <v>15.16</v>
      </c>
      <c r="DT4" s="109">
        <f t="array" ref="DT4">VARP(IF(INDEX(properties!A$1:CB$87,'Fórmula'!B4,39)&lt;&gt;"",INDEX(properties!A$1:CB$87,'Fórmula'!B4,39)),IF(INDEX(properties!A$1:CB$87,'Fórmula'!D4,39)&lt;&gt;"",INDEX(properties!A$1:CB$87,'Fórmula'!D4,39)),IF(INDEX(properties!A$1:CB$87,'Fórmula'!F4,39)&lt;&gt;"",INDEX(properties!A$1:CB$87,'Fórmula'!F4,39)),IF(INDEX(properties!A$1:CB$87,'Fórmula'!H4,39)&lt;&gt;"",INDEX(properties!A$1:CB$87,'Fórmula'!H4,39)),IF(INDEX(properties!A$1:CB$87,'Fórmula'!J4,39)&lt;&gt;"",INDEX(properties!A$1:CB$87,'Fórmula'!J4,39)))</f>
        <v>0.651904</v>
      </c>
      <c r="DU4" s="120">
        <f t="array" ref="DU4">MAX(INDEX(properties!A$1:CB$87,'Fórmula'!B4,39),INDEX(properties!A$1:CB$87,'Fórmula'!D4,39),INDEX(properties!A$1:CB$87,'Fórmula'!F4,39),INDEX(properties!A$1:CB$87,'Fórmula'!H4,39),INDEX(properties!A$1:CB$87,'Fórmula'!J4,39))</f>
        <v>2.12</v>
      </c>
      <c r="DV4" s="120">
        <f t="array" ref="DV4">MIN(IF(INDEX(properties!A$1:CB$87,'Fórmula'!B4,39)=0,10^6,INDEX(properties!A$1:CB$87,'Fórmula'!B4,39)),IF(INDEX(properties!A$1:CB$87,'Fórmula'!D4,39)=0,10^6,INDEX(properties!A$1:CB$87,'Fórmula'!D4,39)),IF(INDEX(properties!A$1:CB$87,'Fórmula'!F4,39)=0,10^6,INDEX(properties!A$1:CB$87,'Fórmula'!F4,39)),IF(INDEX(properties!A$1:CB$87,'Fórmula'!H4,39)=0,10^6,INDEX(properties!A$1:CB$87,'Fórmula'!H4,39)),IF(INDEX(properties!A$1:CB$87,'Fórmula'!J4,39)=0,10^6,INDEX(properties!A$1:CB$87,'Fórmula'!J4,39)))</f>
        <v>0.48</v>
      </c>
      <c r="DW4" s="109">
        <f t="shared" si="21"/>
        <v>1.64</v>
      </c>
      <c r="DX4" s="110">
        <f t="array" ref="DX4">(('Fórmula'!C4)/('Fórmula'!C4+'Fórmula'!E4+'Fórmula'!G4+'Fórmula'!I4+'Fórmula'!K4))*(INDEX(properties!A$1:CB$87,'Fórmula'!B4,40))+(('Fórmula'!E4)/('Fórmula'!C4+'Fórmula'!E4+'Fórmula'!G4+'Fórmula'!I4+'Fórmula'!K4))*(INDEX(properties!A$1:CB$87,'Fórmula'!D4,40))+(('Fórmula'!G4)/('Fórmula'!C4+'Fórmula'!E4+'Fórmula'!G4+'Fórmula'!I4+'Fórmula'!K4))*(INDEX(properties!A$1:CB$87,'Fórmula'!F4,40))+(('Fórmula'!I4)/('Fórmula'!C4+'Fórmula'!E4+'Fórmula'!G4+'Fórmula'!I4+'Fórmula'!K4))*(INDEX(properties!A$1:CB$87,'Fórmula'!H4,40))+(('Fórmula'!K4)/('Fórmula'!C4+'Fórmula'!E4+'Fórmula'!G4+'Fórmula'!I4+'Fórmula'!K4))*(INDEX(properties!A$1:CB$87,'Fórmula'!J4,40))</f>
        <v>1.027333333</v>
      </c>
      <c r="DY4" s="110">
        <f t="array" ref="DY4">'Fórmula'!C4*(INDEX(properties!A$1:CB$87,'Fórmula'!B4,40))+'Fórmula'!E4*(INDEX(properties!A$1:CB$87,'Fórmula'!D4,40))+'Fórmula'!G4*(INDEX(properties!A$1:CB$87,'Fórmula'!F4,40))+'Fórmula'!I4*(INDEX(properties!A$1:CB$87,'Fórmula'!H4,40))+'Fórmula'!K4*(INDEX(properties!A$1:CB$87,'Fórmula'!J4,40))</f>
        <v>15.41</v>
      </c>
      <c r="DZ4" s="110">
        <f t="array" ref="DZ4">VARP(IF(INDEX(properties!A$1:CB$87,'Fórmula'!B4,40)&lt;&gt;"",INDEX(properties!A$1:CB$87,'Fórmula'!B4,40)),IF(INDEX(properties!A$1:CB$87,'Fórmula'!D4,40)&lt;&gt;"",INDEX(properties!A$1:CB$87,'Fórmula'!D4,40)),IF(INDEX(properties!A$1:CB$87,'Fórmula'!F4,40)&lt;&gt;"",INDEX(properties!A$1:CB$87,'Fórmula'!F4,40)),IF(INDEX(properties!A$1:CB$87,'Fórmula'!H4,40)&lt;&gt;"",INDEX(properties!A$1:CB$87,'Fórmula'!H4,40)),IF(INDEX(properties!A$1:CB$87,'Fórmula'!J4,40)&lt;&gt;"",INDEX(properties!A$1:CB$87,'Fórmula'!J4,40)))</f>
        <v>0.411504</v>
      </c>
      <c r="EA4" s="121">
        <f t="array" ref="EA4">MAX(INDEX(properties!A$1:CB$87,'Fórmula'!B4,40),INDEX(properties!A$1:CB$87,'Fórmula'!D4,40),INDEX(properties!A$1:CB$87,'Fórmula'!F4,40),INDEX(properties!A$1:CB$87,'Fórmula'!H4,40),INDEX(properties!A$1:CB$87,'Fórmula'!J4,40))</f>
        <v>1.62</v>
      </c>
      <c r="EB4" s="121">
        <f t="array" ref="EB4">MIN(IF(INDEX(properties!A$1:CB$87,'Fórmula'!B4,40)=0,10^6,INDEX(properties!A$1:CB$87,'Fórmula'!B4,40)),IF(INDEX(properties!A$1:CB$87,'Fórmula'!D4,40)=0,10^6,INDEX(properties!A$1:CB$87,'Fórmula'!D4,40)),IF(INDEX(properties!A$1:CB$87,'Fórmula'!F4,40)=0,10^6,INDEX(properties!A$1:CB$87,'Fórmula'!F4,40)),IF(INDEX(properties!A$1:CB$87,'Fórmula'!H4,40)=0,10^6,INDEX(properties!A$1:CB$87,'Fórmula'!H4,40)),IF(INDEX(properties!A$1:CB$87,'Fórmula'!J4,40)=0,10^6,INDEX(properties!A$1:CB$87,'Fórmula'!J4,40)))</f>
        <v>0.73</v>
      </c>
      <c r="EC4" s="110">
        <f t="shared" si="22"/>
        <v>0.89</v>
      </c>
      <c r="ED4" s="111">
        <f t="array" ref="ED4">(('Fórmula'!C4)/('Fórmula'!C4+'Fórmula'!E4+'Fórmula'!G4+'Fórmula'!I4+'Fórmula'!K4))*(INDEX(properties!A$1:CB$87,'Fórmula'!B4,41))+(('Fórmula'!E4)/('Fórmula'!C4+'Fórmula'!E4+'Fórmula'!G4+'Fórmula'!I4+'Fórmula'!K4))*(INDEX(properties!A$1:CB$87,'Fórmula'!D4,41))+(('Fórmula'!G4)/('Fórmula'!C4+'Fórmula'!E4+'Fórmula'!G4+'Fórmula'!I4+'Fórmula'!K4))*(INDEX(properties!A$1:CB$87,'Fórmula'!F4,41))+(('Fórmula'!I4)/('Fórmula'!C4+'Fórmula'!E4+'Fórmula'!G4+'Fórmula'!I4+'Fórmula'!K4))*(INDEX(properties!A$1:CB$87,'Fórmula'!H4,41))+(('Fórmula'!K4)/('Fórmula'!C4+'Fórmula'!E4+'Fórmula'!G4+'Fórmula'!I4+'Fórmula'!K4))*(INDEX(properties!A$1:CB$87,'Fórmula'!J4,41))</f>
        <v>1.124</v>
      </c>
      <c r="EE4" s="111">
        <f t="array" ref="EE4">'Fórmula'!C4*(INDEX(properties!A$1:CB$87,'Fórmula'!B4,41))+'Fórmula'!E4*(INDEX(properties!A$1:CB$87,'Fórmula'!D4,41))+'Fórmula'!G4*(INDEX(properties!A$1:CB$87,'Fórmula'!F4,41))+'Fórmula'!I4*(INDEX(properties!A$1:CB$87,'Fórmula'!H4,41))+'Fórmula'!K4*(INDEX(properties!A$1:CB$87,'Fórmula'!J4,41))</f>
        <v>16.86</v>
      </c>
      <c r="EF4" s="111">
        <f t="array" ref="EF4">VARP(IF(INDEX(properties!A$1:CB$87,'Fórmula'!B4,41)&lt;&gt;"",INDEX(properties!A$1:CB$87,'Fórmula'!B4,41)),IF(INDEX(properties!A$1:CB$87,'Fórmula'!D4,41)&lt;&gt;"",INDEX(properties!A$1:CB$87,'Fórmula'!D4,41)),IF(INDEX(properties!A$1:CB$87,'Fórmula'!F4,41)&lt;&gt;"",INDEX(properties!A$1:CB$87,'Fórmula'!F4,41)),IF(INDEX(properties!A$1:CB$87,'Fórmula'!H4,41)&lt;&gt;"",INDEX(properties!A$1:CB$87,'Fórmula'!H4,41)),IF(INDEX(properties!A$1:CB$87,'Fórmula'!J4,41)&lt;&gt;"",INDEX(properties!A$1:CB$87,'Fórmula'!J4,41)))</f>
        <v>0.271104</v>
      </c>
      <c r="EG4" s="122">
        <f t="array" ref="EG4">MAX(INDEX(properties!A$1:CB$87,'Fórmula'!B4,41),INDEX(properties!A$1:CB$87,'Fórmula'!D4,41),INDEX(properties!A$1:CB$87,'Fórmula'!F4,41),INDEX(properties!A$1:CB$87,'Fórmula'!H4,41),INDEX(properties!A$1:CB$87,'Fórmula'!J4,41))</f>
        <v>1.26</v>
      </c>
      <c r="EH4" s="122">
        <f t="array" ref="EH4">MIN(IF(INDEX(properties!A$1:CB$87,'Fórmula'!B4,41)=0,10^6,INDEX(properties!A$1:CB$87,'Fórmula'!B4,41)),IF(INDEX(properties!A$1:CB$87,'Fórmula'!D4,41)=0,10^6,INDEX(properties!A$1:CB$87,'Fórmula'!D4,41)),IF(INDEX(properties!A$1:CB$87,'Fórmula'!F4,41)=0,10^6,INDEX(properties!A$1:CB$87,'Fórmula'!F4,41)),IF(INDEX(properties!A$1:CB$87,'Fórmula'!H4,41)=0,10^6,INDEX(properties!A$1:CB$87,'Fórmula'!H4,41)),IF(INDEX(properties!A$1:CB$87,'Fórmula'!J4,41)=0,10^6,INDEX(properties!A$1:CB$87,'Fórmula'!J4,41)))</f>
        <v>0.68</v>
      </c>
      <c r="EI4" s="111">
        <f t="shared" si="23"/>
        <v>0.58</v>
      </c>
      <c r="EJ4" s="112">
        <f t="array" ref="EJ4">(('Fórmula'!C4)/('Fórmula'!C4+'Fórmula'!E4+'Fórmula'!G4+'Fórmula'!I4+'Fórmula'!K4))*(INDEX(properties!A$1:CB$87,'Fórmula'!B4,45))+(('Fórmula'!E4)/('Fórmula'!C4+'Fórmula'!E4+'Fórmula'!G4+'Fórmula'!I4+'Fórmula'!K4))*(INDEX(properties!A$1:CB$87,'Fórmula'!D4,45))+(('Fórmula'!G4)/('Fórmula'!C4+'Fórmula'!E4+'Fórmula'!G4+'Fórmula'!I4+'Fórmula'!K4))*(INDEX(properties!A$1:CB$87,'Fórmula'!F4,45))+(('Fórmula'!I4)/('Fórmula'!C4+'Fórmula'!E4+'Fórmula'!G4+'Fórmula'!I4+'Fórmula'!K4))*(INDEX(properties!A$1:CB$87,'Fórmula'!H4,45))+(('Fórmula'!K4)/('Fórmula'!C4+'Fórmula'!E4+'Fórmula'!G4+'Fórmula'!I4+'Fórmula'!K4))*(INDEX(properties!A$1:CB$87,'Fórmula'!J4,45))</f>
        <v>1.29</v>
      </c>
      <c r="EK4" s="112">
        <f t="array" ref="EK4">'Fórmula'!C4*(INDEX(properties!A$1:CB$87,'Fórmula'!B4,45))+'Fórmula'!E4*(INDEX(properties!A$1:CB$87,'Fórmula'!D4,45))+'Fórmula'!G4*(INDEX(properties!A$1:CB$87,'Fórmula'!F4,45))+'Fórmula'!I4*(INDEX(properties!A$1:CB$87,'Fórmula'!H4,45))+'Fórmula'!K4*(INDEX(properties!A$1:CB$87,'Fórmula'!J4,45))</f>
        <v>19.35</v>
      </c>
      <c r="EL4" s="112">
        <f t="array" ref="EL4">VARP(IF(INDEX(properties!A$1:CB$87,'Fórmula'!B4,45)&lt;&gt;"",INDEX(properties!A$1:CB$87,'Fórmula'!B4,45)),IF(INDEX(properties!A$1:CB$87,'Fórmula'!D4,45)&lt;&gt;"",INDEX(properties!A$1:CB$87,'Fórmula'!D4,45)),IF(INDEX(properties!A$1:CB$87,'Fórmula'!F4,45)&lt;&gt;"",INDEX(properties!A$1:CB$87,'Fórmula'!F4,45)),IF(INDEX(properties!A$1:CB$87,'Fórmula'!H4,45)&lt;&gt;"",INDEX(properties!A$1:CB$87,'Fórmula'!H4,45)),IF(INDEX(properties!A$1:CB$87,'Fórmula'!J4,45)&lt;&gt;"",INDEX(properties!A$1:CB$87,'Fórmula'!J4,45)))</f>
        <v>1.301056</v>
      </c>
      <c r="EM4" s="123">
        <f t="array" ref="EM4">MAX(INDEX(properties!A$1:CB$87,'Fórmula'!B4,45),INDEX(properties!A$1:CB$87,'Fórmula'!D4,45),INDEX(properties!A$1:CB$87,'Fórmula'!F4,45),INDEX(properties!A$1:CB$87,'Fórmula'!H4,45),INDEX(properties!A$1:CB$87,'Fórmula'!J4,45))</f>
        <v>2.94</v>
      </c>
      <c r="EN4" s="123">
        <f t="array" ref="EN4">MIN(IF(INDEX(properties!A$1:CB$87,'Fórmula'!B4,45)=0,10^6,INDEX(properties!A$1:CB$87,'Fórmula'!B4,45)),IF(INDEX(properties!A$1:CB$87,'Fórmula'!D4,45)=0,10^6,INDEX(properties!A$1:CB$87,'Fórmula'!D4,45)),IF(INDEX(properties!A$1:CB$87,'Fórmula'!F4,45)=0,10^6,INDEX(properties!A$1:CB$87,'Fórmula'!F4,45)),IF(INDEX(properties!A$1:CB$87,'Fórmula'!H4,45)=0,10^6,INDEX(properties!A$1:CB$87,'Fórmula'!H4,45)),IF(INDEX(properties!A$1:CB$87,'Fórmula'!J4,45)=0,10^6,INDEX(properties!A$1:CB$87,'Fórmula'!J4,45)))</f>
        <v>0.47</v>
      </c>
      <c r="EO4" s="112">
        <f t="shared" si="24"/>
        <v>2.47</v>
      </c>
      <c r="EP4" s="113">
        <f t="array" ref="EP4">(('Fórmula'!C4)/('Fórmula'!C4+'Fórmula'!E4+'Fórmula'!G4+'Fórmula'!I4+'Fórmula'!K4))*(INDEX(properties!A$1:CB$87,'Fórmula'!B4,46))+(('Fórmula'!E4)/('Fórmula'!C4+'Fórmula'!E4+'Fórmula'!G4+'Fórmula'!I4+'Fórmula'!K4))*(INDEX(properties!A$1:CB$87,'Fórmula'!D4,46))+(('Fórmula'!G4)/('Fórmula'!C4+'Fórmula'!E4+'Fórmula'!G4+'Fórmula'!I4+'Fórmula'!K4))*(INDEX(properties!A$1:CB$87,'Fórmula'!F4,46))+(('Fórmula'!I4)/('Fórmula'!C4+'Fórmula'!E4+'Fórmula'!G4+'Fórmula'!I4+'Fórmula'!K4))*(INDEX(properties!A$1:CB$87,'Fórmula'!H4,46))+(('Fórmula'!K4)/('Fórmula'!C4+'Fórmula'!E4+'Fórmula'!G4+'Fórmula'!I4+'Fórmula'!K4))*(INDEX(properties!A$1:CB$87,'Fórmula'!J4,46))</f>
        <v>1.074</v>
      </c>
      <c r="EQ4" s="113">
        <f t="array" ref="EQ4">'Fórmula'!C4*(INDEX(properties!A$1:CB$87,'Fórmula'!B4,46))+'Fórmula'!E4*(INDEX(properties!A$1:CB$87,'Fórmula'!D4,46))+'Fórmula'!G4*(INDEX(properties!A$1:CB$87,'Fórmula'!F4,46))+'Fórmula'!I4*(INDEX(properties!A$1:CB$87,'Fórmula'!H4,46))+'Fórmula'!K4*(INDEX(properties!A$1:CB$87,'Fórmula'!J4,46))</f>
        <v>16.11</v>
      </c>
      <c r="ER4" s="113">
        <f t="array" ref="ER4">VARP(IF(INDEX(properties!A$1:CB$87,'Fórmula'!B4,46)&lt;&gt;"",INDEX(properties!A$1:CB$87,'Fórmula'!B4,46)),IF(INDEX(properties!A$1:CB$87,'Fórmula'!D4,46)&lt;&gt;"",INDEX(properties!A$1:CB$87,'Fórmula'!D4,46)),IF(INDEX(properties!A$1:CB$87,'Fórmula'!F4,46)&lt;&gt;"",INDEX(properties!A$1:CB$87,'Fórmula'!F4,46)),IF(INDEX(properties!A$1:CB$87,'Fórmula'!H4,46)&lt;&gt;"",INDEX(properties!A$1:CB$87,'Fórmula'!H4,46)),IF(INDEX(properties!A$1:CB$87,'Fórmula'!J4,46)&lt;&gt;"",INDEX(properties!A$1:CB$87,'Fórmula'!J4,46)))</f>
        <v>0.256184</v>
      </c>
      <c r="ES4" s="124">
        <f t="array" ref="ES4">MAX(INDEX(properties!A$1:CB$87,'Fórmula'!B4,46),INDEX(properties!A$1:CB$87,'Fórmula'!D4,46),INDEX(properties!A$1:CB$87,'Fórmula'!F4,46),INDEX(properties!A$1:CB$87,'Fórmula'!H4,46),INDEX(properties!A$1:CB$87,'Fórmula'!J4,46))</f>
        <v>1.21</v>
      </c>
      <c r="ET4" s="124">
        <f t="array" ref="ET4">MIN(IF(INDEX(properties!A$1:CB$87,'Fórmula'!B4,46)=0,10^6,INDEX(properties!A$1:CB$87,'Fórmula'!B4,46)),IF(INDEX(properties!A$1:CB$87,'Fórmula'!D4,46)=0,10^6,INDEX(properties!A$1:CB$87,'Fórmula'!D4,46)),IF(INDEX(properties!A$1:CB$87,'Fórmula'!F4,46)=0,10^6,INDEX(properties!A$1:CB$87,'Fórmula'!F4,46)),IF(INDEX(properties!A$1:CB$87,'Fórmula'!H4,46)=0,10^6,INDEX(properties!A$1:CB$87,'Fórmula'!H4,46)),IF(INDEX(properties!A$1:CB$87,'Fórmula'!J4,46)=0,10^6,INDEX(properties!A$1:CB$87,'Fórmula'!J4,46)))</f>
        <v>0.53</v>
      </c>
      <c r="EU4" s="113">
        <f t="shared" si="25"/>
        <v>0.68</v>
      </c>
      <c r="EV4" s="114">
        <f t="array" ref="EV4">(('Fórmula'!C4)/('Fórmula'!C4+'Fórmula'!E4+'Fórmula'!G4+'Fórmula'!I4+'Fórmula'!K4))*(INDEX(properties!A$1:CB$87,'Fórmula'!B4,52))+(('Fórmula'!E4)/('Fórmula'!C4+'Fórmula'!E4+'Fórmula'!G4+'Fórmula'!I4+'Fórmula'!K4))*(INDEX(properties!A$1:CB$87,'Fórmula'!D4,52))+(('Fórmula'!G4)/('Fórmula'!C4+'Fórmula'!E4+'Fórmula'!G4+'Fórmula'!I4+'Fórmula'!K4))*(INDEX(properties!A$1:CB$87,'Fórmula'!F4,52))+(('Fórmula'!I4)/('Fórmula'!C4+'Fórmula'!E4+'Fórmula'!G4+'Fórmula'!I4+'Fórmula'!K4))*(INDEX(properties!A$1:CB$87,'Fórmula'!H4,52))+(('Fórmula'!K4)/('Fórmula'!C4+'Fórmula'!E4+'Fórmula'!G4+'Fórmula'!I4+'Fórmula'!K4))*(INDEX(properties!A$1:CB$87,'Fórmula'!J4,52))</f>
        <v>7.6358</v>
      </c>
      <c r="EW4" s="114">
        <f t="array" ref="EW4">'Fórmula'!C4*(INDEX(properties!A$1:CB$87,'Fórmula'!B4,52))+'Fórmula'!E4*(INDEX(properties!A$1:CB$87,'Fórmula'!D4,52))+'Fórmula'!G4*(INDEX(properties!A$1:CB$87,'Fórmula'!F4,52))+'Fórmula'!I4*(INDEX(properties!A$1:CB$87,'Fórmula'!H4,52))+'Fórmula'!K4*(INDEX(properties!A$1:CB$87,'Fórmula'!J4,52))</f>
        <v>114.537</v>
      </c>
      <c r="EX4" s="114">
        <f t="array" ref="EX4">VARP(IF(INDEX(properties!A$1:CB$87,'Fórmula'!B4,52)&lt;&gt;"",INDEX(properties!A$1:CB$87,'Fórmula'!B4,52)),IF(INDEX(properties!A$1:CB$87,'Fórmula'!D4,52)&lt;&gt;"",INDEX(properties!A$1:CB$87,'Fórmula'!D4,52)),IF(INDEX(properties!A$1:CB$87,'Fórmula'!F4,52)&lt;&gt;"",INDEX(properties!A$1:CB$87,'Fórmula'!F4,52)),IF(INDEX(properties!A$1:CB$87,'Fórmula'!H4,52)&lt;&gt;"",INDEX(properties!A$1:CB$87,'Fórmula'!H4,52)),IF(INDEX(properties!A$1:CB$87,'Fórmula'!J4,52)&lt;&gt;"",INDEX(properties!A$1:CB$87,'Fórmula'!J4,52)))</f>
        <v>76.52997584</v>
      </c>
      <c r="EY4" s="114">
        <f t="array" ref="EY4">MAX(INDEX(properties!A$1:CB$87,'Fórmula'!B4,52),INDEX(properties!A$1:CB$87,'Fórmula'!D4,52),INDEX(properties!A$1:CB$87,'Fórmula'!F4,52),INDEX(properties!A$1:CB$87,'Fórmula'!H4,52),INDEX(properties!A$1:CB$87,'Fórmula'!J4,52))</f>
        <v>22.7</v>
      </c>
      <c r="EZ4" s="114">
        <f t="array" ref="EZ4">MIN(IF(INDEX(properties!A$1:CB$87,'Fórmula'!B4,52)=0,10^6,INDEX(properties!A$1:CB$87,'Fórmula'!B4,52)),IF(INDEX(properties!A$1:CB$87,'Fórmula'!D4,52)=0,10^6,INDEX(properties!A$1:CB$87,'Fórmula'!D4,52)),IF(INDEX(properties!A$1:CB$87,'Fórmula'!F4,52)=0,10^6,INDEX(properties!A$1:CB$87,'Fórmula'!F4,52)),IF(INDEX(properties!A$1:CB$87,'Fórmula'!H4,52)=0,10^6,INDEX(properties!A$1:CB$87,'Fórmula'!H4,52)),IF(INDEX(properties!A$1:CB$87,'Fórmula'!J4,52)=0,10^6,INDEX(properties!A$1:CB$87,'Fórmula'!J4,52)))</f>
        <v>0.793</v>
      </c>
      <c r="FA4" s="114">
        <f t="shared" si="26"/>
        <v>21.907</v>
      </c>
      <c r="FB4" s="115">
        <f t="array" ref="FB4">(('Fórmula'!C4)/('Fórmula'!C4+'Fórmula'!E4+'Fórmula'!G4+'Fórmula'!I4+'Fórmula'!K4))*(INDEX(properties!A$1:CB$87,'Fórmula'!B4,53))+(('Fórmula'!E4)/('Fórmula'!C4+'Fórmula'!E4+'Fórmula'!G4+'Fórmula'!I4+'Fórmula'!K4))*(INDEX(properties!A$1:CB$87,'Fórmula'!D4,53))+(('Fórmula'!G4)/('Fórmula'!C4+'Fórmula'!E4+'Fórmula'!G4+'Fórmula'!I4+'Fórmula'!K4))*(INDEX(properties!A$1:CB$87,'Fórmula'!F4,53))+(('Fórmula'!I4)/('Fórmula'!C4+'Fórmula'!E4+'Fórmula'!G4+'Fórmula'!I4+'Fórmula'!K4))*(INDEX(properties!A$1:CB$87,'Fórmula'!H4,53))+(('Fórmula'!K4)/('Fórmula'!C4+'Fórmula'!E4+'Fórmula'!G4+'Fórmula'!I4+'Fórmula'!K4))*(INDEX(properties!A$1:CB$87,'Fórmula'!J4,53))</f>
        <v>636.2433333</v>
      </c>
      <c r="FC4" s="115">
        <f t="array" ref="FC4">'Fórmula'!C4*(INDEX(properties!A$1:CB$87,'Fórmula'!B4,53))+'Fórmula'!E4*(INDEX(properties!A$1:CB$87,'Fórmula'!D4,53))+'Fórmula'!G4*(INDEX(properties!A$1:CB$87,'Fórmula'!F4,53))+'Fórmula'!I4*(INDEX(properties!A$1:CB$87,'Fórmula'!H4,53))+'Fórmula'!K4*(INDEX(properties!A$1:CB$87,'Fórmula'!J4,53))</f>
        <v>9543.65</v>
      </c>
      <c r="FD4" s="115">
        <f t="array" ref="FD4">VARP(IF(INDEX(properties!A$1:CB$87,'Fórmula'!B4,53)&lt;&gt;"",INDEX(properties!A$1:CB$87,'Fórmula'!B4,53)),IF(INDEX(properties!A$1:CB$87,'Fórmula'!D4,53)&lt;&gt;"",INDEX(properties!A$1:CB$87,'Fórmula'!D4,53)),IF(INDEX(properties!A$1:CB$87,'Fórmula'!F4,53)&lt;&gt;"",INDEX(properties!A$1:CB$87,'Fórmula'!F4,53)),IF(INDEX(properties!A$1:CB$87,'Fórmula'!H4,53)&lt;&gt;"",INDEX(properties!A$1:CB$87,'Fórmula'!H4,53)),IF(INDEX(properties!A$1:CB$87,'Fórmula'!J4,53)&lt;&gt;"",INDEX(properties!A$1:CB$87,'Fórmula'!J4,53)))</f>
        <v>509946.8854</v>
      </c>
      <c r="FE4" s="115">
        <f t="array" ref="FE4">MAX(INDEX(properties!A$1:CB$87,'Fórmula'!B4,53),INDEX(properties!A$1:CB$87,'Fórmula'!D4,53),INDEX(properties!A$1:CB$87,'Fórmula'!F4,53),INDEX(properties!A$1:CB$87,'Fórmula'!H4,53),INDEX(properties!A$1:CB$87,'Fórmula'!J4,53))</f>
        <v>1796.15</v>
      </c>
      <c r="FF4" s="115">
        <f t="array" ref="FF4">MIN(IF(INDEX(properties!A$1:CB$87,'Fórmula'!B4,53)=0,10^6,INDEX(properties!A$1:CB$87,'Fórmula'!B4,53)),IF(INDEX(properties!A$1:CB$87,'Fórmula'!D4,53)=0,10^6,INDEX(properties!A$1:CB$87,'Fórmula'!D4,53)),IF(INDEX(properties!A$1:CB$87,'Fórmula'!F4,53)=0,10^6,INDEX(properties!A$1:CB$87,'Fórmula'!F4,53)),IF(INDEX(properties!A$1:CB$87,'Fórmula'!H4,53)=0,10^6,INDEX(properties!A$1:CB$87,'Fórmula'!H4,53)),IF(INDEX(properties!A$1:CB$87,'Fórmula'!J4,53)=0,10^6,INDEX(properties!A$1:CB$87,'Fórmula'!J4,53)))</f>
        <v>54.75</v>
      </c>
      <c r="FG4" s="115">
        <f t="shared" si="27"/>
        <v>1741.4</v>
      </c>
      <c r="FH4" s="117">
        <f t="array" ref="FH4">(('Fórmula'!C4)/('Fórmula'!C4+'Fórmula'!E4+'Fórmula'!G4+'Fórmula'!I4+'Fórmula'!K4))*(INDEX(properties!A$1:CB$87,'Fórmula'!B4,54))+(('Fórmula'!E4)/('Fórmula'!C4+'Fórmula'!E4+'Fórmula'!G4+'Fórmula'!I4+'Fórmula'!K4))*(INDEX(properties!A$1:CB$87,'Fórmula'!D4,54))+(('Fórmula'!G4)/('Fórmula'!C4+'Fórmula'!E4+'Fórmula'!G4+'Fórmula'!I4+'Fórmula'!K4))*(INDEX(properties!A$1:CB$87,'Fórmula'!F4,54))+(('Fórmula'!I4)/('Fórmula'!C4+'Fórmula'!E4+'Fórmula'!G4+'Fórmula'!I4+'Fórmula'!K4))*(INDEX(properties!A$1:CB$87,'Fórmula'!H4,54))+(('Fórmula'!K4)/('Fórmula'!C4+'Fórmula'!E4+'Fórmula'!G4+'Fórmula'!I4+'Fórmula'!K4))*(INDEX(properties!A$1:CB$87,'Fórmula'!J4,54))</f>
        <v>1382.15</v>
      </c>
      <c r="FI4" s="117">
        <f t="array" ref="FI4">'Fórmula'!C4*(INDEX(properties!A$1:CB$87,'Fórmula'!B4,54))+'Fórmula'!E4*(INDEX(properties!A$1:CB$87,'Fórmula'!D4,54))+'Fórmula'!G4*(INDEX(properties!A$1:CB$87,'Fórmula'!F4,54))+'Fórmula'!I4*(INDEX(properties!A$1:CB$87,'Fórmula'!H4,54))+'Fórmula'!K4*(INDEX(properties!A$1:CB$87,'Fórmula'!J4,54))</f>
        <v>20732.25</v>
      </c>
      <c r="FJ4" s="117">
        <f t="array" ref="FJ4">VARP(IF(INDEX(properties!A$1:CB$87,'Fórmula'!B4,54)&lt;&gt;"",INDEX(properties!A$1:CB$87,'Fórmula'!B4,54)),IF(INDEX(properties!A$1:CB$87,'Fórmula'!D4,54)&lt;&gt;"",INDEX(properties!A$1:CB$87,'Fórmula'!D4,54)),IF(INDEX(properties!A$1:CB$87,'Fórmula'!F4,54)&lt;&gt;"",INDEX(properties!A$1:CB$87,'Fórmula'!F4,54)),IF(INDEX(properties!A$1:CB$87,'Fórmula'!H4,54)&lt;&gt;"",INDEX(properties!A$1:CB$87,'Fórmula'!H4,54)),IF(INDEX(properties!A$1:CB$87,'Fórmula'!J4,54)&lt;&gt;"",INDEX(properties!A$1:CB$87,'Fórmula'!J4,54)))</f>
        <v>2450770.565</v>
      </c>
      <c r="FK4" s="117">
        <f t="array" ref="FK4">MAX(INDEX(properties!A$1:CB$87,'Fórmula'!B4,54),INDEX(properties!A$1:CB$87,'Fórmula'!D4,54),INDEX(properties!A$1:CB$87,'Fórmula'!F4,54),INDEX(properties!A$1:CB$87,'Fórmula'!H4,54),INDEX(properties!A$1:CB$87,'Fórmula'!J4,54))</f>
        <v>3610.15</v>
      </c>
      <c r="FL4" s="117">
        <f t="array" ref="FL4">MIN(IF(INDEX(properties!A$1:CB$87,'Fórmula'!B4,54)=0,10^6,INDEX(properties!A$1:CB$87,'Fórmula'!B4,54)),IF(INDEX(properties!A$1:CB$87,'Fórmula'!D4,54)=0,10^6,INDEX(properties!A$1:CB$87,'Fórmula'!D4,54)),IF(INDEX(properties!A$1:CB$87,'Fórmula'!F4,54)=0,10^6,INDEX(properties!A$1:CB$87,'Fórmula'!F4,54)),IF(INDEX(properties!A$1:CB$87,'Fórmula'!H4,54)=0,10^6,INDEX(properties!A$1:CB$87,'Fórmula'!H4,54)),IF(INDEX(properties!A$1:CB$87,'Fórmula'!J4,54)=0,10^6,INDEX(properties!A$1:CB$87,'Fórmula'!J4,54)))</f>
        <v>90.15</v>
      </c>
      <c r="FM4" s="117">
        <f t="shared" si="28"/>
        <v>3520</v>
      </c>
      <c r="FN4" s="118">
        <f t="array" ref="FN4">(('Fórmula'!C4)/('Fórmula'!C4+'Fórmula'!E4+'Fórmula'!G4+'Fórmula'!I4+'Fórmula'!K4))*(INDEX(properties!A$1:CB$87,'Fórmula'!B4,55))+(('Fórmula'!E4)/('Fórmula'!C4+'Fórmula'!E4+'Fórmula'!G4+'Fórmula'!I4+'Fórmula'!K4))*(INDEX(properties!A$1:CB$87,'Fórmula'!D4,55))+(('Fórmula'!G4)/('Fórmula'!C4+'Fórmula'!E4+'Fórmula'!G4+'Fórmula'!I4+'Fórmula'!K4))*(INDEX(properties!A$1:CB$87,'Fórmula'!F4,55))+(('Fórmula'!I4)/('Fórmula'!C4+'Fórmula'!E4+'Fórmula'!G4+'Fórmula'!I4+'Fórmula'!K4))*(INDEX(properties!A$1:CB$87,'Fórmula'!H4,55))+(('Fórmula'!K4)/('Fórmula'!C4+'Fórmula'!E4+'Fórmula'!G4+'Fórmula'!I4+'Fórmula'!K4))*(INDEX(properties!A$1:CB$87,'Fórmula'!J4,55))</f>
        <v>1.552858</v>
      </c>
      <c r="FO4" s="118">
        <f t="array" ref="FO4">'Fórmula'!C4*(INDEX(properties!A$1:CB$87,'Fórmula'!B4,55))+'Fórmula'!E4*(INDEX(properties!A$1:CB$87,'Fórmula'!D4,54))+'Fórmula'!G4*(INDEX(properties!A$1:CB$87,'Fórmula'!F4,55))+'Fórmula'!I4*(INDEX(properties!A$1:CB$87,'Fórmula'!H4,55))+'Fórmula'!K4*(INDEX(properties!A$1:CB$87,'Fórmula'!J4,55))</f>
        <v>5498.19287</v>
      </c>
      <c r="FP4" s="118">
        <f t="array" ref="FP4">VARP(IF(INDEX(properties!A$1:CB$87,'Fórmula'!B4,55)&lt;&gt;"",INDEX(properties!A$1:CB$87,'Fórmula'!B4,55)),IF(INDEX(properties!A$1:CB$87,'Fórmula'!D4,55)&lt;&gt;"",INDEX(properties!A$1:CB$87,'Fórmula'!D4,55)),IF(INDEX(properties!A$1:CB$87,'Fórmula'!F4,55)&lt;&gt;"",INDEX(properties!A$1:CB$87,'Fórmula'!F4,55)),IF(INDEX(properties!A$1:CB$87,'Fórmula'!H4,55)&lt;&gt;"",INDEX(properties!A$1:CB$87,'Fórmula'!H4,55)),IF(INDEX(properties!A$1:CB$87,'Fórmula'!J4,55)&lt;&gt;"",INDEX(properties!A$1:CB$87,'Fórmula'!J4,55)))</f>
        <v>3.397004079</v>
      </c>
      <c r="FQ4" s="118">
        <f t="array" ref="FQ4">MAX(INDEX(properties!A$1:CB$87,'Fórmula'!B4,55),INDEX(properties!A$1:CB$87,'Fórmula'!D4,55),INDEX(properties!A$1:CB$87,'Fórmula'!F4,55),INDEX(properties!A$1:CB$87,'Fórmula'!H4,55),INDEX(properties!A$1:CB$87,'Fórmula'!J4,55))</f>
        <v>4.47</v>
      </c>
      <c r="FR4" s="118">
        <f t="array" ref="FR4">MIN(IF(INDEX(properties!A$1:CB$87,'Fórmula'!B4,55)=0,10^6,INDEX(properties!A$1:CB$87,'Fórmula'!B4,55)),IF(INDEX(properties!A$1:CB$87,'Fórmula'!D4,55)=0,10^6,INDEX(properties!A$1:CB$87,'Fórmula'!D4,55)),IF(INDEX(properties!A$1:CB$87,'Fórmula'!F4,55)=0,10^6,INDEX(properties!A$1:CB$87,'Fórmula'!F4,55)),IF(INDEX(properties!A$1:CB$87,'Fórmula'!H4,55)=0,10^6,INDEX(properties!A$1:CB$87,'Fórmula'!H4,55)),IF(INDEX(properties!A$1:CB$87,'Fórmula'!J4,55)=0,10^6,INDEX(properties!A$1:CB$87,'Fórmula'!J4,55)))</f>
        <v>0.00143</v>
      </c>
      <c r="FS4" s="118">
        <f t="shared" si="29"/>
        <v>4.46857</v>
      </c>
      <c r="FT4" s="119">
        <f t="array" ref="FT4">(('Fórmula'!C4)/('Fórmula'!C4+'Fórmula'!E4+'Fórmula'!G4+'Fórmula'!I4+'Fórmula'!K4))*(INDEX(properties!A$1:CB$87,'Fórmula'!B4,56))+(('Fórmula'!E4)/('Fórmula'!C4+'Fórmula'!E4+'Fórmula'!G4+'Fórmula'!I4+'Fórmula'!K4))*(INDEX(properties!A$1:CB$87,'Fórmula'!D4,56))+(('Fórmula'!G4)/('Fórmula'!C4+'Fórmula'!E4+'Fórmula'!G4+'Fórmula'!I4+'Fórmula'!K4))*(INDEX(properties!A$1:CB$87,'Fórmula'!F4,56))+(('Fórmula'!I4)/('Fórmula'!C4+'Fórmula'!E4+'Fórmula'!G4+'Fórmula'!I4+'Fórmula'!K4))*(INDEX(properties!A$1:CB$87,'Fórmula'!H4,56))+(('Fórmula'!K4)/('Fórmula'!C4+'Fórmula'!E4+'Fórmula'!G4+'Fórmula'!I4+'Fórmula'!K4))*(INDEX(properties!A$1:CB$87,'Fórmula'!J4,56))</f>
        <v>0.752</v>
      </c>
      <c r="FU4" s="119">
        <f t="array" ref="FU4">'Fórmula'!C4*(INDEX(properties!A$1:CB$87,'Fórmula'!B4,56))+'Fórmula'!E4*(INDEX(properties!A$1:CB$87,'Fórmula'!D4,56))+'Fórmula'!G4*(INDEX(properties!A$1:CB$87,'Fórmula'!F4,56))+'Fórmula'!I4*(INDEX(properties!A$1:CB$87,'Fórmula'!H4,56))+'Fórmula'!K4*(INDEX(properties!A$1:CB$87,'Fórmula'!J4,56))</f>
        <v>11.28</v>
      </c>
      <c r="FV4" s="119">
        <f t="array" ref="FV4">VARP(IF(INDEX(properties!A$1:CB$87,'Fórmula'!B4,56)&lt;&gt;"",INDEX(properties!A$1:CB$87,'Fórmula'!B4,56)),IF(INDEX(properties!A$1:CB$87,'Fórmula'!D4,56)&lt;&gt;"",INDEX(properties!A$1:CB$87,'Fórmula'!D4,56)),IF(INDEX(properties!A$1:CB$87,'Fórmula'!F4,56)&lt;&gt;"",INDEX(properties!A$1:CB$87,'Fórmula'!F4,56)),IF(INDEX(properties!A$1:CB$87,'Fórmula'!H4,56)&lt;&gt;"",INDEX(properties!A$1:CB$87,'Fórmula'!H4,56)),IF(INDEX(properties!A$1:CB$87,'Fórmula'!J4,56)&lt;&gt;"",INDEX(properties!A$1:CB$87,'Fórmula'!J4,56)))</f>
        <v>0.169504</v>
      </c>
      <c r="FW4" s="119">
        <f t="array" ref="FW4">MAX(INDEX(properties!A$1:CB$87,'Fórmula'!B4,56),INDEX(properties!A$1:CB$87,'Fórmula'!D4,56),INDEX(properties!A$1:CB$87,'Fórmula'!F4,56),INDEX(properties!A$1:CB$87,'Fórmula'!H4,56),INDEX(properties!A$1:CB$87,'Fórmula'!J4,56))</f>
        <v>0.92</v>
      </c>
      <c r="FX4" s="119">
        <f t="array" ref="FX4">MIN(IF(INDEX(properties!A$1:CB$87,'Fórmula'!B4,56)=0,10^6,INDEX(properties!A$1:CB$87,'Fórmula'!B4,56)),IF(INDEX(properties!A$1:CB$87,'Fórmula'!D4,56)=0,10^6,INDEX(properties!A$1:CB$87,'Fórmula'!D4,56)),IF(INDEX(properties!A$1:CB$87,'Fórmula'!F4,56)=0,10^6,INDEX(properties!A$1:CB$87,'Fórmula'!F4,56)),IF(INDEX(properties!A$1:CB$87,'Fórmula'!H4,56)=0,10^6,INDEX(properties!A$1:CB$87,'Fórmula'!H4,56)),IF(INDEX(properties!A$1:CB$87,'Fórmula'!J4,56)=0,10^6,INDEX(properties!A$1:CB$87,'Fórmula'!J4,56)))</f>
        <v>0.3</v>
      </c>
      <c r="FY4" s="119">
        <f t="shared" si="30"/>
        <v>0.62</v>
      </c>
      <c r="FZ4" s="104">
        <f t="array" ref="FZ4">(('Fórmula'!C4)/('Fórmula'!C4+'Fórmula'!E4+'Fórmula'!G4+'Fórmula'!I4+'Fórmula'!K4))*(INDEX(properties!A$1:CB$87,'Fórmula'!B4,57))+(('Fórmula'!E4)/('Fórmula'!C4+'Fórmula'!E4+'Fórmula'!G4+'Fórmula'!I4+'Fórmula'!K4))*(INDEX(properties!A$1:CB$87,'Fórmula'!D4,57))+(('Fórmula'!G4)/('Fórmula'!C4+'Fórmula'!E4+'Fórmula'!G4+'Fórmula'!I4+'Fórmula'!K4))*(INDEX(properties!A$1:CB$87,'Fórmula'!F4,57))+(('Fórmula'!I4)/('Fórmula'!C4+'Fórmula'!E4+'Fórmula'!G4+'Fórmula'!I4+'Fórmula'!K4))*(INDEX(properties!A$1:CB$87,'Fórmula'!H4,57))+(('Fórmula'!K4)/('Fórmula'!C4+'Fórmula'!E4+'Fórmula'!G4+'Fórmula'!I4+'Fórmula'!K4))*(INDEX(properties!A$1:CB$87,'Fórmula'!J4,57))</f>
        <v>4.612220667</v>
      </c>
      <c r="GA4" s="104">
        <f t="array" ref="GA4">'Fórmula'!C4*(INDEX(properties!A$1:CB$87,'Fórmula'!B4,57))+'Fórmula'!E4*(INDEX(properties!A$1:CB$87,'Fórmula'!D4,57))+'Fórmula'!G4*(INDEX(properties!A$1:CB$87,'Fórmula'!F4,57))+'Fórmula'!I4*(INDEX(properties!A$1:CB$87,'Fórmula'!H4,57))+'Fórmula'!K4*(INDEX(properties!A$1:CB$87,'Fórmula'!J4,57))</f>
        <v>69.18331</v>
      </c>
      <c r="GB4" s="104">
        <f t="array" ref="GB4">VARP(IF(INDEX(properties!A$1:CB$87,'Fórmula'!B4,57)&lt;&gt;"",INDEX(properties!A$1:CB$87,'Fórmula'!B4,57)),IF(INDEX(properties!A$1:CB$87,'Fórmula'!D4,57)&lt;&gt;"",INDEX(properties!A$1:CB$87,'Fórmula'!D4,57)),IF(INDEX(properties!A$1:CB$87,'Fórmula'!F4,57)&lt;&gt;"",INDEX(properties!A$1:CB$87,'Fórmula'!F4,57)),IF(INDEX(properties!A$1:CB$87,'Fórmula'!H4,57)&lt;&gt;"",INDEX(properties!A$1:CB$87,'Fórmula'!H4,57)),IF(INDEX(properties!A$1:CB$87,'Fórmula'!J4,57)&lt;&gt;"",INDEX(properties!A$1:CB$87,'Fórmula'!J4,57)))</f>
        <v>29.19376164</v>
      </c>
      <c r="GC4" s="104">
        <f t="array" ref="GC4">MAX(INDEX(properties!A$1:CB$87,'Fórmula'!B4,57),INDEX(properties!A$1:CB$87,'Fórmula'!D4,57),INDEX(properties!A$1:CB$87,'Fórmula'!F4,57),INDEX(properties!A$1:CB$87,'Fórmula'!H4,57),INDEX(properties!A$1:CB$87,'Fórmula'!J4,57))</f>
        <v>11.4</v>
      </c>
      <c r="GD4" s="104">
        <f t="array" ref="GD4">MIN(IF(INDEX(properties!A$1:CB$87,'Fórmula'!B4,57)=0,10^6,INDEX(properties!A$1:CB$87,'Fórmula'!B4,57)),IF(INDEX(properties!A$1:CB$87,'Fórmula'!D4,57)=0,10^6,INDEX(properties!A$1:CB$87,'Fórmula'!D4,57)),IF(INDEX(properties!A$1:CB$87,'Fórmula'!F4,57)=0,10^6,INDEX(properties!A$1:CB$87,'Fórmula'!F4,57)),IF(INDEX(properties!A$1:CB$87,'Fórmula'!H4,57)=0,10^6,INDEX(properties!A$1:CB$87,'Fórmula'!H4,57)),IF(INDEX(properties!A$1:CB$87,'Fórmula'!J4,57)=0,10^6,INDEX(properties!A$1:CB$87,'Fórmula'!J4,57)))</f>
        <v>0.22259</v>
      </c>
      <c r="GE4" s="104">
        <f t="shared" si="31"/>
        <v>11.17741</v>
      </c>
      <c r="GF4" s="105">
        <f t="array" ref="GF4">(('Fórmula'!C4)/('Fórmula'!C4+'Fórmula'!E4+'Fórmula'!G4+'Fórmula'!I4+'Fórmula'!K4))*(INDEX(properties!A$1:CB$87,'Fórmula'!B4,60))+(('Fórmula'!E4)/('Fórmula'!C4+'Fórmula'!E4+'Fórmula'!G4+'Fórmula'!I4+'Fórmula'!K4))*(INDEX(properties!A$1:CB$87,'Fórmula'!D4,60))+(('Fórmula'!G4)/('Fórmula'!C4+'Fórmula'!E4+'Fórmula'!G4+'Fórmula'!I4+'Fórmula'!K4))*(INDEX(properties!A$1:CB$87,'Fórmula'!F4,60))+(('Fórmula'!I4)/('Fórmula'!C4+'Fórmula'!E4+'Fórmula'!G4+'Fórmula'!I4+'Fórmula'!K4))*(INDEX(properties!A$1:CB$87,'Fórmula'!H4,60))+(('Fórmula'!K4)/('Fórmula'!C4+'Fórmula'!E4+'Fórmula'!G4+'Fórmula'!I4+'Fórmula'!K4))*(INDEX(properties!A$1:CB$87,'Fórmula'!J4,60))</f>
        <v>36.20271067</v>
      </c>
      <c r="GG4" s="105">
        <f t="array" ref="GG4">'Fórmula'!C4*(INDEX(properties!A$1:CB$87,'Fórmula'!B4,60))+'Fórmula'!E4*(INDEX(properties!A$1:CB$87,'Fórmula'!D4,60))+'Fórmula'!G4*(INDEX(properties!A$1:CB$87,'Fórmula'!F4,60))+'Fórmula'!I4*(INDEX(properties!A$1:CB$87,'Fórmula'!H4,60))+'Fórmula'!K4*(INDEX(properties!A$1:CB$87,'Fórmula'!J4,60))</f>
        <v>543.04066</v>
      </c>
      <c r="GH4" s="105">
        <f t="array" ref="GH4">VARP(IF(INDEX(properties!A$1:CB$87,'Fórmula'!B4,60)&lt;&gt;"",INDEX(properties!A$1:CB$87,'Fórmula'!B4,60)),IF(INDEX(properties!A$1:CB$87,'Fórmula'!D4,60)&lt;&gt;"",INDEX(properties!A$1:CB$87,'Fórmula'!D4,60)),IF(INDEX(properties!A$1:CB$87,'Fórmula'!F4,60)&lt;&gt;"",INDEX(properties!A$1:CB$87,'Fórmula'!F4,60)),IF(INDEX(properties!A$1:CB$87,'Fórmula'!H4,60)&lt;&gt;"",INDEX(properties!A$1:CB$87,'Fórmula'!H4,60)),IF(INDEX(properties!A$1:CB$87,'Fórmula'!J4,60)&lt;&gt;"",INDEX(properties!A$1:CB$87,'Fórmula'!J4,60)))</f>
        <v>8707.71873</v>
      </c>
      <c r="GI4" s="105">
        <f t="array" ref="GI4">MAX(INDEX(properties!A$1:CB$87,'Fórmula'!B4,60),INDEX(properties!A$1:CB$87,'Fórmula'!D4,60),INDEX(properties!A$1:CB$87,'Fórmula'!F4,60),INDEX(properties!A$1:CB$87,'Fórmula'!H4,60),INDEX(properties!A$1:CB$87,'Fórmula'!J4,60))</f>
        <v>237</v>
      </c>
      <c r="GJ4" s="105">
        <f t="array" ref="GJ4">MIN(IF(INDEX(properties!A$1:CB$87,'Fórmula'!B4,60)=0,10^6,INDEX(properties!A$1:CB$87,'Fórmula'!B4,60)),IF(INDEX(properties!A$1:CB$87,'Fórmula'!D4,60)=0,10^6,INDEX(properties!A$1:CB$87,'Fórmula'!D4,60)),IF(INDEX(properties!A$1:CB$87,'Fórmula'!F4,60)=0,10^6,INDEX(properties!A$1:CB$87,'Fórmula'!F4,60)),IF(INDEX(properties!A$1:CB$87,'Fórmula'!H4,60)=0,10^6,INDEX(properties!A$1:CB$87,'Fórmula'!H4,60)),IF(INDEX(properties!A$1:CB$87,'Fórmula'!J4,60)=0,10^6,INDEX(properties!A$1:CB$87,'Fórmula'!J4,60)))</f>
        <v>0.02674</v>
      </c>
      <c r="GK4" s="105">
        <f t="shared" si="32"/>
        <v>236.97326</v>
      </c>
      <c r="GL4" s="106">
        <f t="array" ref="GL4">(('Fórmula'!C4)/('Fórmula'!C4+'Fórmula'!E4+'Fórmula'!G4+'Fórmula'!I4+'Fórmula'!K4))*(INDEX(properties!A$1:CB$87,'Fórmula'!B4,62))+(('Fórmula'!E4)/('Fórmula'!C4+'Fórmula'!E4+'Fórmula'!G4+'Fórmula'!I4+'Fórmula'!K4))*(INDEX(properties!A$1:CB$87,'Fórmula'!D4,62))+(('Fórmula'!G4)/('Fórmula'!C4+'Fórmula'!E4+'Fórmula'!G4+'Fórmula'!I4+'Fórmula'!K4))*(INDEX(properties!A$1:CB$87,'Fórmula'!F4,62))+(('Fórmula'!I4)/('Fórmula'!C4+'Fórmula'!E4+'Fórmula'!G4+'Fórmula'!I4+'Fórmula'!K4))*(INDEX(properties!A$1:CB$87,'Fórmula'!H4,62))+(('Fórmula'!K4)/('Fórmula'!C4+'Fórmula'!E4+'Fórmula'!G4+'Fórmula'!I4+'Fórmula'!K4))*(INDEX(properties!A$1:CB$87,'Fórmula'!J4,62))</f>
        <v>3.189333333</v>
      </c>
      <c r="GM4" s="106">
        <f t="array" ref="GM4">'Fórmula'!C4*(INDEX(properties!A$1:CB$87,'Fórmula'!B4,62))+'Fórmula'!E4*(INDEX(properties!A$1:CB$87,'Fórmula'!D4,62))+'Fórmula'!G4*(INDEX(properties!A$1:CB$87,'Fórmula'!F4,62))+'Fórmula'!I4*(INDEX(properties!A$1:CB$87,'Fórmula'!H4,62))+'Fórmula'!K4*(INDEX(properties!A$1:CB$87,'Fórmula'!J4,62))</f>
        <v>47.84</v>
      </c>
      <c r="GN4" s="106">
        <f t="array" ref="GN4">VARP(IF(INDEX(properties!A$1:CB$87,'Fórmula'!B4,62)&lt;&gt;"",INDEX(properties!A$1:CB$87,'Fórmula'!B4,62)),IF(INDEX(properties!A$1:CB$87,'Fórmula'!D4,62)&lt;&gt;"",INDEX(properties!A$1:CB$87,'Fórmula'!D4,62)),IF(INDEX(properties!A$1:CB$87,'Fórmula'!F4,62)&lt;&gt;"",INDEX(properties!A$1:CB$87,'Fórmula'!F4,62)),IF(INDEX(properties!A$1:CB$87,'Fórmula'!H4,62)&lt;&gt;"",INDEX(properties!A$1:CB$87,'Fórmula'!H4,62)),IF(INDEX(properties!A$1:CB$87,'Fórmula'!J4,62)&lt;&gt;"",INDEX(properties!A$1:CB$87,'Fórmula'!J4,62)))</f>
        <v>3.180904</v>
      </c>
      <c r="GO4" s="106">
        <f t="array" ref="GO4">MAX(INDEX(properties!A$1:CB$87,'Fórmula'!B4,62),INDEX(properties!A$1:CB$87,'Fórmula'!D4,62),INDEX(properties!A$1:CB$87,'Fórmula'!F4,62),INDEX(properties!A$1:CB$87,'Fórmula'!H4,62),INDEX(properties!A$1:CB$87,'Fórmula'!J4,62))</f>
        <v>4.37</v>
      </c>
      <c r="GP4" s="106">
        <f t="array" ref="GP4">MIN(IF(INDEX(properties!A$1:CB$87,'Fórmula'!B4,62)=0,10^6,INDEX(properties!A$1:CB$87,'Fórmula'!B4,62)),IF(INDEX(properties!A$1:CB$87,'Fórmula'!D4,62)=0,10^6,INDEX(properties!A$1:CB$87,'Fórmula'!D4,62)),IF(INDEX(properties!A$1:CB$87,'Fórmula'!F4,62)=0,10^6,INDEX(properties!A$1:CB$87,'Fórmula'!F4,62)),IF(INDEX(properties!A$1:CB$87,'Fórmula'!H4,62)=0,10^6,INDEX(properties!A$1:CB$87,'Fórmula'!H4,62)),IF(INDEX(properties!A$1:CB$87,'Fórmula'!J4,62)=0,10^6,INDEX(properties!A$1:CB$87,'Fórmula'!J4,62)))</f>
        <v>2.62</v>
      </c>
      <c r="GQ4" s="106">
        <f t="shared" si="33"/>
        <v>1.75</v>
      </c>
      <c r="GR4" s="106">
        <f>'Fórmula'!Q4</f>
        <v>14</v>
      </c>
      <c r="GS4" s="107">
        <f>'Fórmula'!P4</f>
        <v>6</v>
      </c>
      <c r="GT4" s="113">
        <f>'Fórmula'!O4</f>
        <v>4.44</v>
      </c>
      <c r="GU4" s="114">
        <f>AVERAGE('Fórmula'!R4/'Fórmula'!S4,'Fórmula'!S4/'Fórmula'!T4,'Fórmula'!T4/'Fórmula'!R4)</f>
        <v>1.050779889</v>
      </c>
      <c r="GV4" s="125">
        <f>'Fórmula'!U4</f>
        <v>813.74</v>
      </c>
      <c r="GW4" s="106">
        <f>'Fórmula'!N4</f>
        <v>0.02</v>
      </c>
    </row>
    <row r="5" ht="14.25" customHeight="1">
      <c r="A5" s="99" t="str">
        <f>'Fórmula'!A5</f>
        <v>CaMoO4</v>
      </c>
      <c r="B5" s="100">
        <f t="array" ref="B5">(('Fórmula'!C5)/('Fórmula'!C5+'Fórmula'!E5+'Fórmula'!G5+'Fórmula'!I5+'Fórmula'!K5))*(INDEX(properties!A$1:CB$87,'Fórmula'!B5,3))+(('Fórmula'!E5)/('Fórmula'!C5+'Fórmula'!E5+'Fórmula'!G5+'Fórmula'!I5+'Fórmula'!K5))*(INDEX(properties!A$1:CB$87,'Fórmula'!D5,3))+(('Fórmula'!G5)/('Fórmula'!C5+'Fórmula'!E5+'Fórmula'!G5+'Fórmula'!I5+'Fórmula'!K5))*(INDEX(properties!A$1:CB$87,'Fórmula'!F5,3))+(('Fórmula'!I5)/('Fórmula'!C5+'Fórmula'!E5+'Fórmula'!G5+'Fórmula'!I5+'Fórmula'!K5))*(INDEX(properties!A$1:CB$87,'Fórmula'!H5,3))+(('Fórmula'!K5)/('Fórmula'!C5+'Fórmula'!E5+'Fórmula'!G5+'Fórmula'!I5+'Fórmula'!K5))*(INDEX(properties!A$1:CB$87,'Fórmula'!J5,3))</f>
        <v>33.3376</v>
      </c>
      <c r="C5" s="101">
        <f t="array" ref="C5">'Fórmula'!C5*(INDEX(properties!A$1:CB$87,'Fórmula'!B5,3))+'Fórmula'!E5*(INDEX(properties!A$1:CB$87,'Fórmula'!D5,3))+'Fórmula'!G5*(INDEX(properties!A$1:CB$87,'Fórmula'!F5,3))+'Fórmula'!I5*(INDEX(properties!A$1:CB$87,'Fórmula'!H5,3))+'Fórmula'!K5*(INDEX(properties!A$1:CB$87,'Fórmula'!J5,3))</f>
        <v>200.0256</v>
      </c>
      <c r="D5" s="101">
        <f t="array" ref="D5">VARP(IF(INDEX(properties!A$1:CB$87,'Fórmula'!B5,3)&lt;&gt;"",INDEX(properties!A$1:CB$87,'Fórmula'!B5,3)),IF(INDEX(properties!A$1:CB$87,'Fórmula'!D5,3)&lt;&gt;"",INDEX(properties!A$1:CB$87,'Fórmula'!D5,3)),IF(INDEX(properties!A$1:CB$87,'Fórmula'!F5,3)&lt;&gt;"",INDEX(properties!A$1:CB$87,'Fórmula'!F5,3)),IF(INDEX(properties!A$1:CB$87,'Fórmula'!H5,3)&lt;&gt;"",INDEX(properties!A$1:CB$87,'Fórmula'!H5,3)),IF(INDEX(properties!A$1:CB$87,'Fórmula'!J5,3)&lt;&gt;"",INDEX(properties!A$1:CB$87,'Fórmula'!J5,3)))</f>
        <v>1289.232663</v>
      </c>
      <c r="E5" s="101">
        <f t="array" ref="E5">MAX(INDEX(properties!A$1:CB$87,'Fórmula'!B5,3),INDEX(properties!A$1:CB$87,'Fórmula'!D5,3),INDEX(properties!A$1:CB$87,'Fórmula'!F5,3),INDEX(properties!A$1:CB$87,'Fórmula'!H5,3),INDEX(properties!A$1:CB$87,'Fórmula'!J5,3))</f>
        <v>95.95</v>
      </c>
      <c r="F5" s="101">
        <f t="array" ref="F5">MIN(IF(INDEX(properties!A$1:CB$87,'Fórmula'!B5,3)=0,10^6,INDEX(properties!A$1:CB$87,'Fórmula'!B5,3)),IF(INDEX(properties!A$1:CB$87,'Fórmula'!D5,3)=0,10^6,INDEX(properties!A$1:CB$87,'Fórmula'!D5,3)),IF(INDEX(properties!A$1:CB$87,'Fórmula'!F5,3)=0,10^6,INDEX(properties!A$1:CB$87,'Fórmula'!F5,3)),IF(INDEX(properties!A$1:CB$87,'Fórmula'!H5,3)=0,10^6,INDEX(properties!A$1:CB$87,'Fórmula'!H5,3)),IF(INDEX(properties!A$1:CB$87,'Fórmula'!J5,3)=0,10^6,INDEX(properties!A$1:CB$87,'Fórmula'!J5,3)))</f>
        <v>15.9994</v>
      </c>
      <c r="G5" s="101">
        <f t="shared" si="1"/>
        <v>79.9506</v>
      </c>
      <c r="H5" s="102">
        <f t="array" ref="H5">(('Fórmula'!C5)/('Fórmula'!C5+'Fórmula'!E5+'Fórmula'!G5+'Fórmula'!I5+'Fórmula'!K5))*(INDEX(properties!A$1:CB$87,'Fórmula'!B5,4))+(('Fórmula'!E5)/('Fórmula'!C5+'Fórmula'!E5+'Fórmula'!G5+'Fórmula'!I5+'Fórmula'!K5))*(INDEX(properties!A$1:CB$87,'Fórmula'!D5,4))+(('Fórmula'!G5)/('Fórmula'!C5+'Fórmula'!E5+'Fórmula'!G5+'Fórmula'!I5+'Fórmula'!K5))*(INDEX(properties!A$1:CB$87,'Fórmula'!F5,4))+(('Fórmula'!I5)/('Fórmula'!C5+'Fórmula'!E5+'Fórmula'!G5+'Fórmula'!I5+'Fórmula'!K5))*(INDEX(properties!A$1:CB$87,'Fórmula'!H5,4))+(('Fórmula'!K5)/('Fórmula'!C5+'Fórmula'!E5+'Fórmula'!G5+'Fórmula'!I5+'Fórmula'!K5))*(INDEX(properties!A$1:CB$87,'Fórmula'!J5,4))</f>
        <v>15.66666667</v>
      </c>
      <c r="I5" s="102">
        <f t="array" ref="I5">'Fórmula'!C5*(INDEX(properties!A$1:CB$87,'Fórmula'!B5,4))+'Fórmula'!E5*(INDEX(properties!A$1:CB$87,'Fórmula'!D5,4))+'Fórmula'!G5*(INDEX(properties!A$1:CB$87,'Fórmula'!F5,4))+'Fórmula'!I5*(INDEX(properties!A$1:CB$87,'Fórmula'!H5,4))+'Fórmula'!K5*(INDEX(properties!A$1:CB$87,'Fórmula'!J5,4))</f>
        <v>94</v>
      </c>
      <c r="J5" s="102">
        <f t="array" ref="J5">VARP(IF(INDEX(properties!A$1:CB$87,'Fórmula'!B5,4)&lt;&gt;"",INDEX(properties!A$1:CB$87,'Fórmula'!B5,4)),IF(INDEX(properties!A$1:CB$87,'Fórmula'!D5,4)&lt;&gt;"",INDEX(properties!A$1:CB$87,'Fórmula'!D5,4)),IF(INDEX(properties!A$1:CB$87,'Fórmula'!F5,4)&lt;&gt;"",INDEX(properties!A$1:CB$87,'Fórmula'!F5,4)),IF(INDEX(properties!A$1:CB$87,'Fórmula'!H5,4)&lt;&gt;"",INDEX(properties!A$1:CB$87,'Fórmula'!H5,4)),IF(INDEX(properties!A$1:CB$87,'Fórmula'!J5,4)&lt;&gt;"",INDEX(properties!A$1:CB$87,'Fórmula'!J5,4)))</f>
        <v>249.6</v>
      </c>
      <c r="K5" s="102">
        <f t="array" ref="K5">MAX(INDEX(properties!A$1:CB$87,'Fórmula'!B5,4),INDEX(properties!A$1:CB$87,'Fórmula'!D5,4),INDEX(properties!A$1:CB$87,'Fórmula'!F5,4),INDEX(properties!A$1:CB$87,'Fórmula'!H5,4),INDEX(properties!A$1:CB$87,'Fórmula'!J5,4))</f>
        <v>42</v>
      </c>
      <c r="L5" s="102">
        <f t="array" ref="L5">MIN(IF(INDEX(properties!A$1:CB$87,'Fórmula'!B5,4)=0,10^6,INDEX(properties!A$1:CB$87,'Fórmula'!B5,4)),IF(INDEX(properties!A$1:CB$87,'Fórmula'!D5,4)=0,10^6,INDEX(properties!A$1:CB$87,'Fórmula'!D5,4)),IF(INDEX(properties!A$1:CB$87,'Fórmula'!F5,4)=0,10^6,INDEX(properties!A$1:CB$87,'Fórmula'!F5,4)),IF(INDEX(properties!A$1:CB$87,'Fórmula'!H5,4)=0,10^6,INDEX(properties!A$1:CB$87,'Fórmula'!H5,4)),IF(INDEX(properties!A$1:CB$87,'Fórmula'!J5,4)=0,10^6,INDEX(properties!A$1:CB$87,'Fórmula'!J5,4)))</f>
        <v>8</v>
      </c>
      <c r="M5" s="102">
        <f t="shared" si="2"/>
        <v>34</v>
      </c>
      <c r="N5" s="103">
        <f t="array" ref="N5">(('Fórmula'!C5)/('Fórmula'!C5+'Fórmula'!E5+'Fórmula'!G5+'Fórmula'!I5+'Fórmula'!K5))*(INDEX(properties!A$1:CB$87,'Fórmula'!B5,5))+(('Fórmula'!E5)/('Fórmula'!C5+'Fórmula'!E5+'Fórmula'!G5+'Fórmula'!I5+'Fórmula'!K5))*(INDEX(properties!A$1:CB$87,'Fórmula'!D5,5))+(('Fórmula'!G5)/('Fórmula'!C5+'Fórmula'!E5+'Fórmula'!G5+'Fórmula'!I5+'Fórmula'!K5))*(INDEX(properties!A$1:CB$87,'Fórmula'!F5,5))+(('Fórmula'!I5)/('Fórmula'!C5+'Fórmula'!E5+'Fórmula'!G5+'Fórmula'!I5+'Fórmula'!K5))*(INDEX(properties!A$1:CB$87,'Fórmula'!H5,5))+(('Fórmula'!K5)/('Fórmula'!C5+'Fórmula'!E5+'Fórmula'!G5+'Fórmula'!I5+'Fórmula'!K5))*(INDEX(properties!A$1:CB$87,'Fórmula'!J5,5))</f>
        <v>2.833333333</v>
      </c>
      <c r="O5" s="103">
        <f t="array" ref="O5">'Fórmula'!C5*(INDEX(properties!A$1:CB$87,'Fórmula'!B5,5))+'Fórmula'!E5*(INDEX(properties!A$1:CB$87,'Fórmula'!D5,5))+'Fórmula'!G5*(INDEX(properties!A$1:CB$87,'Fórmula'!F5,5))+'Fórmula'!I5*(INDEX(properties!A$1:CB$87,'Fórmula'!H5,5))+'Fórmula'!K5*(INDEX(properties!A$1:CB$87,'Fórmula'!J5,5))</f>
        <v>17</v>
      </c>
      <c r="P5" s="103">
        <f t="array" ref="P5">VARP(IF(INDEX(properties!A$1:CB$87,'Fórmula'!B5,5)&lt;&gt;"",INDEX(properties!A$1:CB$87,'Fórmula'!B5,5)),IF(INDEX(properties!A$1:CB$87,'Fórmula'!D5,5)&lt;&gt;"",INDEX(properties!A$1:CB$87,'Fórmula'!D5,5)),IF(INDEX(properties!A$1:CB$87,'Fórmula'!F5,5)&lt;&gt;"",INDEX(properties!A$1:CB$87,'Fórmula'!F5,5)),IF(INDEX(properties!A$1:CB$87,'Fórmula'!H5,5)&lt;&gt;"",INDEX(properties!A$1:CB$87,'Fórmula'!H5,5)),IF(INDEX(properties!A$1:CB$87,'Fórmula'!J5,5)&lt;&gt;"",INDEX(properties!A$1:CB$87,'Fórmula'!J5,5)))</f>
        <v>4.16</v>
      </c>
      <c r="Q5" s="103">
        <f t="array" ref="Q5">MAX(INDEX(properties!A$1:CB$87,'Fórmula'!B5,5),INDEX(properties!A$1:CB$87,'Fórmula'!D5,5),INDEX(properties!A$1:CB$87,'Fórmula'!F5,5),INDEX(properties!A$1:CB$87,'Fórmula'!H5,5),INDEX(properties!A$1:CB$87,'Fórmula'!J5,5))</f>
        <v>5</v>
      </c>
      <c r="R5" s="103">
        <f t="array" ref="R5">MIN(IF(INDEX(properties!A$1:CB$87,'Fórmula'!B5,5)=0,10^6,INDEX(properties!A$1:CB$87,'Fórmula'!B5,5)),IF(INDEX(properties!A$1:CB$87,'Fórmula'!D5,5)=0,10^6,INDEX(properties!A$1:CB$87,'Fórmula'!D5,5)),IF(INDEX(properties!A$1:CB$87,'Fórmula'!F5,5)=0,10^6,INDEX(properties!A$1:CB$87,'Fórmula'!F5,5)),IF(INDEX(properties!A$1:CB$87,'Fórmula'!H5,5)=0,10^6,INDEX(properties!A$1:CB$87,'Fórmula'!H5,5)),IF(INDEX(properties!A$1:CB$87,'Fórmula'!J5,5)=0,10^6,INDEX(properties!A$1:CB$87,'Fórmula'!J5,5)))</f>
        <v>2</v>
      </c>
      <c r="S5" s="103">
        <f t="shared" si="3"/>
        <v>3</v>
      </c>
      <c r="T5" s="104">
        <f t="array" ref="T5">(('Fórmula'!C5)/('Fórmula'!C5+'Fórmula'!E5+'Fórmula'!G5+'Fórmula'!I5+'Fórmula'!K5))*(INDEX(properties!A$1:CB$87,'Fórmula'!B5,6))+(('Fórmula'!E5)/('Fórmula'!C5+'Fórmula'!E5+'Fórmula'!G5+'Fórmula'!I5+'Fórmula'!K5))*(INDEX(properties!A$1:CB$87,'Fórmula'!D5,6))+(('Fórmula'!G5)/('Fórmula'!C5+'Fórmula'!E5+'Fórmula'!G5+'Fórmula'!I5+'Fórmula'!K5))*(INDEX(properties!A$1:CB$87,'Fórmula'!F5,6))+(('Fórmula'!I5)/('Fórmula'!C5+'Fórmula'!E5+'Fórmula'!G5+'Fórmula'!I5+'Fórmula'!K5))*(INDEX(properties!A$1:CB$87,'Fórmula'!H5,6))+(('Fórmula'!K5)/('Fórmula'!C5+'Fórmula'!E5+'Fórmula'!G5+'Fórmula'!I5+'Fórmula'!K5))*(INDEX(properties!A$1:CB$87,'Fórmula'!J5,6))</f>
        <v>12</v>
      </c>
      <c r="U5" s="104">
        <f t="array" ref="U5">'Fórmula'!C5*(INDEX(properties!A$1:CB$87,'Fórmula'!B5,6))+'Fórmula'!E5*(INDEX(properties!A$1:CB$87,'Fórmula'!D5,6))+'Fórmula'!G5*(INDEX(properties!A$1:CB$87,'Fórmula'!F5,6))+'Fórmula'!I5*(INDEX(properties!A$1:CB$87,'Fórmula'!H5,6))+'Fórmula'!K5*(INDEX(properties!A$1:CB$87,'Fórmula'!J5,6))</f>
        <v>72</v>
      </c>
      <c r="V5" s="103">
        <f t="array" ref="V5">VARP(IF(INDEX(properties!A$1:CB$87,'Fórmula'!B5,6)&lt;&gt;"",INDEX(properties!A$1:CB$87,'Fórmula'!B5,6)),IF(INDEX(properties!A$1:CB$87,'Fórmula'!D5,6)&lt;&gt;"",INDEX(properties!A$1:CB$87,'Fórmula'!D5,6)),IF(INDEX(properties!A$1:CB$87,'Fórmula'!F5,6)&lt;&gt;"",INDEX(properties!A$1:CB$87,'Fórmula'!F5,6)),IF(INDEX(properties!A$1:CB$87,'Fórmula'!H5,6)&lt;&gt;"",INDEX(properties!A$1:CB$87,'Fórmula'!H5,6)),IF(INDEX(properties!A$1:CB$87,'Fórmula'!J5,6)&lt;&gt;"",INDEX(properties!A$1:CB$87,'Fórmula'!J5,6)))</f>
        <v>36.16</v>
      </c>
      <c r="W5" s="104">
        <f t="array" ref="W5">MAX(INDEX(properties!A$1:CB$87,'Fórmula'!B5,6),INDEX(properties!A$1:CB$87,'Fórmula'!D5,6),INDEX(properties!A$1:CB$87,'Fórmula'!F5,6),INDEX(properties!A$1:CB$87,'Fórmula'!H5,4),INDEX(properties!A$1:CB$87,'Fórmula'!J5,6))</f>
        <v>16</v>
      </c>
      <c r="X5" s="104">
        <f t="array" ref="X5">MIN(IF(INDEX(properties!A$1:CB$87,'Fórmula'!B5,6)=0,10^6,INDEX(properties!A$1:CB$87,'Fórmula'!B5,6)),IF(INDEX(properties!A$1:CB$87,'Fórmula'!D5,6)=0,10^6,INDEX(properties!A$1:CB$87,'Fórmula'!D5,6)),IF(INDEX(properties!A$1:CB$87,'Fórmula'!F5,6)=0,10^6,INDEX(properties!A$1:CB$87,'Fórmula'!F5,6)),IF(INDEX(properties!A$1:CB$87,'Fórmula'!H5,6)=0,10^6,INDEX(properties!A$1:CB$87,'Fórmula'!H5,6)),IF(INDEX(properties!A$1:CB$87,'Fórmula'!J5,6)=0,10^6,INDEX(properties!A$1:CB$87,'Fórmula'!J5,6)))</f>
        <v>2</v>
      </c>
      <c r="Y5" s="104">
        <f t="shared" si="4"/>
        <v>14</v>
      </c>
      <c r="Z5" s="105">
        <f t="array" ref="Z5">(('Fórmula'!C5)/('Fórmula'!C5+'Fórmula'!E5+'Fórmula'!G5+'Fórmula'!I5+'Fórmula'!K5))*(INDEX(properties!A$1:CB$87,'Fórmula'!B5,9))+(('Fórmula'!E5)/('Fórmula'!C5+'Fórmula'!E5+'Fórmula'!G5+'Fórmula'!I5+'Fórmula'!K5))*(INDEX(properties!A$1:CB$87,'Fórmula'!D5,9))+(('Fórmula'!G5)/('Fórmula'!C5+'Fórmula'!E5+'Fórmula'!G5+'Fórmula'!I5+'Fórmula'!K5))*(INDEX(properties!A$1:CB$87,'Fórmula'!F5,9))+(('Fórmula'!I5)/('Fórmula'!C5+'Fórmula'!E5+'Fórmula'!G5+'Fórmula'!I5+'Fórmula'!K5))*(INDEX(properties!A$1:CB$87,'Fórmula'!H5,9))+(('Fórmula'!K5)/('Fórmula'!C5+'Fórmula'!E5+'Fórmula'!G5+'Fórmula'!I5+'Fórmula'!K5))*(INDEX(properties!A$1:CB$87,'Fórmula'!J5,9))</f>
        <v>67.5</v>
      </c>
      <c r="AA5" s="105">
        <f t="array" ref="AA5">'Fórmula'!C5*(INDEX(properties!A$1:CB$87,'Fórmula'!B5,9))+'Fórmula'!E5*(INDEX(properties!A$1:CB$87,'Fórmula'!D5,9))+'Fórmula'!G5*(INDEX(properties!A$1:CB$87,'Fórmula'!F5,9))+'Fórmula'!I5*(INDEX(properties!A$1:CB$87,'Fórmula'!H5,9))+'Fórmula'!K5*(INDEX(properties!A$1:CB$87,'Fórmula'!J5,9))</f>
        <v>405</v>
      </c>
      <c r="AB5" s="105">
        <f t="array" ref="AB5">VARP(IF(INDEX(properties!A$1:CB$87,'Fórmula'!B5,9)&lt;&gt;"",INDEX(properties!A$1:CB$87,'Fórmula'!B5,9)),IF(INDEX(properties!A$1:CB$87,'Fórmula'!D5,9)&lt;&gt;"",INDEX(properties!A$1:CB$87,'Fórmula'!D5,9)),IF(INDEX(properties!A$1:CB$87,'Fórmula'!F5,9)&lt;&gt;"",INDEX(properties!A$1:CB$87,'Fórmula'!F5,9)),IF(INDEX(properties!A$1:CB$87,'Fórmula'!H5,9)&lt;&gt;"",INDEX(properties!A$1:CB$87,'Fórmula'!H5,9)),IF(INDEX(properties!A$1:CB$87,'Fórmula'!J5,9)&lt;&gt;"",INDEX(properties!A$1:CB$87,'Fórmula'!J5,9)))</f>
        <v>1194.16</v>
      </c>
      <c r="AC5" s="105">
        <f t="array" ref="AC5">MAX(INDEX(properties!A$1:CB$87,'Fórmula'!B5,9),INDEX(properties!A$1:CB$87,'Fórmula'!D5,9),INDEX(properties!A$1:CB$87,'Fórmula'!F5,9),INDEX(properties!A$1:CB$87,'Fórmula'!H5,9),INDEX(properties!A$1:CB$87,'Fórmula'!J5,9))</f>
        <v>87</v>
      </c>
      <c r="AD5" s="105">
        <f t="array" ref="AD5">MIN(IF(INDEX(properties!A$1:CB$87,'Fórmula'!B5,9)=0,10^6,INDEX(properties!A$1:CB$87,'Fórmula'!B5,9)),IF(INDEX(properties!A$1:CB$87,'Fórmula'!D5,9)=0,10^6,INDEX(properties!A$1:CB$87,'Fórmula'!D5,9)),IF(INDEX(properties!A$1:CB$87,'Fórmula'!F5,9)=0,10^6,INDEX(properties!A$1:CB$87,'Fórmula'!F5,9)),IF(INDEX(properties!A$1:CB$87,'Fórmula'!H5,9)=0,10^6,INDEX(properties!A$1:CB$87,'Fórmula'!H5,9)),IF(INDEX(properties!A$1:CB$87,'Fórmula'!J5,9)=0,10^6,INDEX(properties!A$1:CB$87,'Fórmula'!J5,9)))</f>
        <v>7</v>
      </c>
      <c r="AE5" s="105">
        <f t="shared" si="5"/>
        <v>80</v>
      </c>
      <c r="AF5" s="106">
        <f t="array" ref="AF5">(('Fórmula'!C5)/('Fórmula'!C5+'Fórmula'!E5+'Fórmula'!G5+'Fórmula'!I5+'Fórmula'!K5))*(INDEX(properties!A$1:CB$87,'Fórmula'!B5,10))+(('Fórmula'!E5)/('Fórmula'!C5+'Fórmula'!E5+'Fórmula'!G5+'Fórmula'!I5+'Fórmula'!K5))*(INDEX(properties!A$1:CB$87,'Fórmula'!D5,10))+(('Fórmula'!G5)/('Fórmula'!C5+'Fórmula'!E5+'Fórmula'!G5+'Fórmula'!I5+'Fórmula'!K5))*(INDEX(properties!A$1:CB$87,'Fórmula'!F5,10))+(('Fórmula'!I5)/('Fórmula'!C5+'Fórmula'!E5+'Fórmula'!G5+'Fórmula'!I5+'Fórmula'!K5))*(INDEX(properties!A$1:CB$87,'Fórmula'!H5,10))+(('Fórmula'!K5)/('Fórmula'!C5+'Fórmula'!E5+'Fórmula'!G5+'Fórmula'!I5+'Fórmula'!K5))*(INDEX(properties!A$1:CB$87,'Fórmula'!J5,10))</f>
        <v>5.666666667</v>
      </c>
      <c r="AG5" s="106">
        <f t="array" ref="AG5">'Fórmula'!C5*(INDEX(properties!A$1:CB$87,'Fórmula'!B5,10))+'Fórmula'!E5*(INDEX(properties!A$1:CB$87,'Fórmula'!D5,10))+'Fórmula'!G5*(INDEX(properties!A$1:CB$87,'Fórmula'!F5,10))+'Fórmula'!I5*(INDEX(properties!A$1:CB$87,'Fórmula'!H5,10))+'Fórmula'!K5*(INDEX(properties!A$1:CB$87,'Fórmula'!J5,10))</f>
        <v>34</v>
      </c>
      <c r="AH5" s="106">
        <f t="array" ref="AH5">VARP(IF(INDEX(properties!A$1:CB$87,'Fórmula'!B5,10)&lt;&gt;"",INDEX(properties!A$1:CB$87,'Fórmula'!B5,10)),IF(INDEX(properties!A$1:CB$87,'Fórmula'!D5,10)&lt;&gt;"",INDEX(properties!A$1:CB$87,'Fórmula'!D5,10)),IF(INDEX(properties!A$1:CB$87,'Fórmula'!F5,10)&lt;&gt;"",INDEX(properties!A$1:CB$87,'Fórmula'!F5,10)),IF(INDEX(properties!A$1:CB$87,'Fórmula'!H5,10)&lt;&gt;"",INDEX(properties!A$1:CB$87,'Fórmula'!H5,10)),IF(INDEX(properties!A$1:CB$87,'Fórmula'!J5,10)&lt;&gt;"",INDEX(properties!A$1:CB$87,'Fórmula'!J5,10)))</f>
        <v>7.04</v>
      </c>
      <c r="AI5" s="106">
        <f t="array" ref="AI5">MAX(INDEX(properties!A$1:CB$87,'Fórmula'!B5,10),INDEX(properties!A$1:CB$87,'Fórmula'!D5,10),INDEX(properties!A$1:CB$87,'Fórmula'!F5,10),INDEX(properties!A$1:CB$87,'Fórmula'!H5,10),INDEX(properties!A$1:CB$87,'Fórmula'!J5,10))</f>
        <v>7</v>
      </c>
      <c r="AJ5" s="106">
        <f t="array" ref="AJ5">MIN(IF(INDEX(properties!A$1:CB$87,'Fórmula'!B5,10)=0,10^6,INDEX(properties!A$1:CB$87,'Fórmula'!B5,10)),IF(INDEX(properties!A$1:CB$87,'Fórmula'!D5,10)=0,10^6,INDEX(properties!A$1:CB$87,'Fórmula'!D5,10)),IF(INDEX(properties!A$1:CB$87,'Fórmula'!F5,10)=0,10^6,INDEX(properties!A$1:CB$87,'Fórmula'!F5,10)),IF(INDEX(properties!A$1:CB$87,'Fórmula'!H5,10)=0,10^6,INDEX(properties!A$1:CB$87,'Fórmula'!H5,10)),IF(INDEX(properties!A$1:CB$87,'Fórmula'!J5,10)=0,10^6,INDEX(properties!A$1:CB$87,'Fórmula'!J5,10)))</f>
        <v>2</v>
      </c>
      <c r="AK5" s="106">
        <f t="shared" si="6"/>
        <v>5</v>
      </c>
      <c r="AL5" s="107">
        <f t="array" ref="AL5">(('Fórmula'!C5)/('Fórmula'!C5+'Fórmula'!E5+'Fórmula'!G5+'Fórmula'!I5+'Fórmula'!K5))*(INDEX(properties!A$1:CB$87,'Fórmula'!B5,11))+(('Fórmula'!E5)/('Fórmula'!C5+'Fórmula'!E5+'Fórmula'!G5+'Fórmula'!I5+'Fórmula'!K5))*(INDEX(properties!A$1:CB$87,'Fórmula'!D5,11))+(('Fórmula'!G5)/('Fórmula'!C5+'Fórmula'!E5+'Fórmula'!G5+'Fórmula'!I5+'Fórmula'!K5))*(INDEX(properties!A$1:CB$87,'Fórmula'!F5,11))+(('Fórmula'!I5)/('Fórmula'!C5+'Fórmula'!E5+'Fórmula'!G5+'Fórmula'!I5+'Fórmula'!K5))*(INDEX(properties!A$1:CB$87,'Fórmula'!H5,11))+(('Fórmula'!K5)/('Fórmula'!C5+'Fórmula'!E5+'Fórmula'!G5+'Fórmula'!I5+'Fórmula'!K5))*(INDEX(properties!A$1:CB$87,'Fórmula'!J5,11))</f>
        <v>1.833333333</v>
      </c>
      <c r="AM5" s="107">
        <f t="array" ref="AM5">'Fórmula'!C5*(INDEX(properties!A$1:CB$87,'Fórmula'!B5,11))+'Fórmula'!E5*(INDEX(properties!A$1:CB$87,'Fórmula'!D5,11))+'Fórmula'!G5*(INDEX(properties!A$1:CB$87,'Fórmula'!F5,11))+'Fórmula'!I5*(INDEX(properties!A$1:CB$87,'Fórmula'!H5,11))+'Fórmula'!K5*(INDEX(properties!A$1:CB$87,'Fórmula'!J5,11))</f>
        <v>11</v>
      </c>
      <c r="AN5" s="107">
        <f t="array" ref="AN5">VARP(IF(INDEX(properties!A$1:CB$87,'Fórmula'!B5,11)&lt;&gt;"",INDEX(properties!A$1:CB$87,'Fórmula'!B5,11)),IF(INDEX(properties!A$1:CB$87,'Fórmula'!D5,11)&lt;&gt;"",INDEX(properties!A$1:CB$87,'Fórmula'!D5,11)),IF(INDEX(properties!A$1:CB$87,'Fórmula'!F5,11)&lt;&gt;"",INDEX(properties!A$1:CB$87,'Fórmula'!F5,11)),IF(INDEX(properties!A$1:CB$87,'Fórmula'!H5,11)&lt;&gt;"",INDEX(properties!A$1:CB$87,'Fórmula'!H5,11)),IF(INDEX(properties!A$1:CB$87,'Fórmula'!J5,11)&lt;&gt;"",INDEX(properties!A$1:CB$87,'Fórmula'!J5,11)))</f>
        <v>0.8</v>
      </c>
      <c r="AO5" s="107">
        <f t="array" ref="AO5">MAX(INDEX(properties!A$1:CB$87,'Fórmula'!B5,11),INDEX(properties!A$1:CB$87,'Fórmula'!D5,11),INDEX(properties!A$1:CB$87,'Fórmula'!F5,11),INDEX(properties!A$1:CB$87,'Fórmula'!H5,11),INDEX(properties!A$1:CB$87,'Fórmula'!J5,11))</f>
        <v>2</v>
      </c>
      <c r="AP5" s="107">
        <f t="array" ref="AP5">MIN(IF('Fórmula'!B5=87,10^6,INDEX(properties!A$1:CB$87,'Fórmula'!B5,11)),IF(('Fórmula'!D5)=87,10^6,INDEX(properties!A$1:CB$87,'Fórmula'!D5,11)),IF(('Fórmula'!F5)=87,10^6,INDEX(properties!A$1:CB$87,'Fórmula'!F5,11)),IF(('Fórmula'!H5)=87,10^6,INDEX(properties!A$1:CB$87,'Fórmula'!H5,11)),IF('Fórmula'!J5=87,10^6,INDEX(properties!A$1:CB$87,'Fórmula'!J5,11)))</f>
        <v>1</v>
      </c>
      <c r="AQ5" s="107">
        <f t="shared" si="7"/>
        <v>1</v>
      </c>
      <c r="AR5" s="108">
        <f t="array" ref="AR5">(('Fórmula'!C5)/('Fórmula'!C5+'Fórmula'!E5+'Fórmula'!G5+'Fórmula'!I5+'Fórmula'!K5))*(INDEX(properties!A$1:CB$87,'Fórmula'!B5,12))+(('Fórmula'!E5)/('Fórmula'!C5+'Fórmula'!E5+'Fórmula'!G5+'Fórmula'!I5+'Fórmula'!K5))*(INDEX(properties!A$1:CB$87,'Fórmula'!D5,12))+(('Fórmula'!G5)/('Fórmula'!C5+'Fórmula'!E5+'Fórmula'!G5+'Fórmula'!I5+'Fórmula'!K5))*(INDEX(properties!A$1:CB$87,'Fórmula'!F5,12))+(('Fórmula'!I5)/('Fórmula'!C5+'Fórmula'!E5+'Fórmula'!G5+'Fórmula'!I5+'Fórmula'!K5))*(INDEX(properties!A$1:CB$87,'Fórmula'!H5,12))+(('Fórmula'!K5)/('Fórmula'!C5+'Fórmula'!E5+'Fórmula'!G5+'Fórmula'!I5+'Fórmula'!K5))*(INDEX(properties!A$1:CB$87,'Fórmula'!J5,12))</f>
        <v>2.666666667</v>
      </c>
      <c r="AS5" s="108">
        <f t="array" ref="AS5">'Fórmula'!C5*(INDEX(properties!A$1:CB$87,'Fórmula'!B5,12))+'Fórmula'!E5*(INDEX(properties!A$1:CB$87,'Fórmula'!D5,12))+'Fórmula'!G5*(INDEX(properties!A$1:CB$87,'Fórmula'!F5,12))+'Fórmula'!I5*(INDEX(properties!A$1:CB$87,'Fórmula'!H5,12))+'Fórmula'!K5*(INDEX(properties!A$1:CB$87,'Fórmula'!J5,12))</f>
        <v>16</v>
      </c>
      <c r="AT5" s="108">
        <f t="array" ref="AT5">VARP(IF(INDEX(properties!A$1:CB$87,'Fórmula'!B5,12)&lt;&gt;"",INDEX(properties!A$1:CB$87,'Fórmula'!B5,12)),IF(INDEX(properties!A$1:CB$87,'Fórmula'!D5,12)&lt;&gt;"",INDEX(properties!A$1:CB$87,'Fórmula'!D5,12)),IF(INDEX(properties!A$1:CB$87,'Fórmula'!F5,12)&lt;&gt;"",INDEX(properties!A$1:CB$87,'Fórmula'!F5,12)),IF(INDEX(properties!A$1:CB$87,'Fórmula'!H5,12)&lt;&gt;"",INDEX(properties!A$1:CB$87,'Fórmula'!H5,12)),IF(INDEX(properties!A$1:CB$87,'Fórmula'!J5,12)&lt;&gt;"",INDEX(properties!A$1:CB$87,'Fórmula'!J5,12)))</f>
        <v>2.56</v>
      </c>
      <c r="AU5" s="108">
        <f t="array" ref="AU5">MAX(INDEX(properties!A$1:CB$87,'Fórmula'!B5,12),INDEX(properties!A$1:CB$87,'Fórmula'!D5,12),INDEX(properties!A$1:CB$87,'Fórmula'!F5,12),INDEX(properties!A$1:CB$87,'Fórmula'!H5,12),INDEX(properties!A$1:CB$87,'Fórmula'!J5,12))</f>
        <v>4</v>
      </c>
      <c r="AV5" s="108">
        <f t="array" ref="AV5">MIN(IF('Fórmula'!B5=87,10^6,INDEX(properties!A$1:CB$87,'Fórmula'!B5,12)),IF(('Fórmula'!D5)=87,10^6,INDEX(properties!A$1:CB$87,'Fórmula'!D5,12)),IF(('Fórmula'!F5)=87,10^6,INDEX(properties!A$1:CB$87,'Fórmula'!F5,12)),IF(('Fórmula'!H5)=87,10^6,INDEX(properties!A$1:CB$87,'Fórmula'!H5,12)),IF('Fórmula'!J5=87,10^6,INDEX(properties!A$1:CB$87,'Fórmula'!J5,12)))</f>
        <v>0</v>
      </c>
      <c r="AW5" s="108">
        <f t="shared" si="8"/>
        <v>4</v>
      </c>
      <c r="AX5" s="109">
        <f t="array" ref="AX5">(('Fórmula'!C5)/('Fórmula'!C5+'Fórmula'!E5+'Fórmula'!G5+'Fórmula'!I5+'Fórmula'!K5))*(INDEX(properties!A$1:CB$87,'Fórmula'!B5,13))+(('Fórmula'!E5)/('Fórmula'!C5+'Fórmula'!E5+'Fórmula'!G5+'Fórmula'!I5+'Fórmula'!K5))*(INDEX(properties!A$1:CB$87,'Fórmula'!D5,13))+(('Fórmula'!G5)/('Fórmula'!C5+'Fórmula'!E5+'Fórmula'!G5+'Fórmula'!I5+'Fórmula'!K5))*(INDEX(properties!A$1:CB$87,'Fórmula'!F5,13))+(('Fórmula'!I5)/('Fórmula'!C5+'Fórmula'!E5+'Fórmula'!G5+'Fórmula'!I5+'Fórmula'!K5))*(INDEX(properties!A$1:CB$87,'Fórmula'!H5,13))+(('Fórmula'!K5)/('Fórmula'!C5+'Fórmula'!E5+'Fórmula'!G5+'Fórmula'!I5+'Fórmula'!K5))*(INDEX(properties!A$1:CB$87,'Fórmula'!J5,13))</f>
        <v>0.8333333333</v>
      </c>
      <c r="AY5" s="109">
        <f t="array" ref="AY5">'Fórmula'!C5*(INDEX(properties!A$1:CB$87,'Fórmula'!B5,13))+'Fórmula'!E5*(INDEX(properties!A$1:CB$87,'Fórmula'!D5,13))+'Fórmula'!G5*(INDEX(properties!A$1:CB$87,'Fórmula'!F5,13))+'Fórmula'!I5*(INDEX(properties!A$1:CB$87,'Fórmula'!H5,13))+'Fórmula'!K5*(INDEX(properties!A$1:CB$87,'Fórmula'!J5,13))</f>
        <v>5</v>
      </c>
      <c r="AZ5" s="109">
        <f t="array" ref="AZ5">VARP(IF(INDEX(properties!A$1:CB$87,'Fórmula'!B5,13)&lt;&gt;"",INDEX(properties!A$1:CB$87,'Fórmula'!B5,13)),IF(INDEX(properties!A$1:CB$87,'Fórmula'!D5,13)&lt;&gt;"",INDEX(properties!A$1:CB$87,'Fórmula'!D5,13)),IF(INDEX(properties!A$1:CB$87,'Fórmula'!F5,13)&lt;&gt;"",INDEX(properties!A$1:CB$87,'Fórmula'!F5,13)),IF(INDEX(properties!A$1:CB$87,'Fórmula'!H5,13)&lt;&gt;"",INDEX(properties!A$1:CB$87,'Fórmula'!H5,13)),IF(INDEX(properties!A$1:CB$87,'Fórmula'!J5,13)&lt;&gt;"",INDEX(properties!A$1:CB$87,'Fórmula'!J5,13)))</f>
        <v>4</v>
      </c>
      <c r="BA5" s="109">
        <f t="array" ref="BA5">MAX(INDEX(properties!A$1:CB$87,'Fórmula'!B5,13),INDEX(properties!A$1:CB$87,'Fórmula'!D5,13),INDEX(properties!A$1:CB$87,'Fórmula'!F5,13),INDEX(properties!A$1:CB$87,'Fórmula'!H5,13),INDEX(properties!A$1:CB$87,'Fórmula'!J5,13))</f>
        <v>5</v>
      </c>
      <c r="BB5" s="109">
        <f t="array" ref="BB5">MIN(IF('Fórmula'!B5=87,10^6,INDEX(properties!A$1:CB$87,'Fórmula'!B5,13)),IF(('Fórmula'!D5)=87,10^6,INDEX(properties!A$1:CB$87,'Fórmula'!D5,13)),IF(('Fórmula'!F5)=87,10^6,INDEX(properties!A$1:CB$87,'Fórmula'!F5,13)),IF(('Fórmula'!H5)=87,10^6,INDEX(properties!A$1:CB$87,'Fórmula'!H5,13)),IF('Fórmula'!J5=87,10^6,INDEX(properties!A$1:CB$87,'Fórmula'!J5,13)))</f>
        <v>0</v>
      </c>
      <c r="BC5" s="109">
        <f t="shared" si="9"/>
        <v>5</v>
      </c>
      <c r="BD5" s="110">
        <f t="array" ref="BD5">(('Fórmula'!C5)/('Fórmula'!C5+'Fórmula'!E5+'Fórmula'!G5+'Fórmula'!I5+'Fórmula'!K5))*(INDEX(properties!A$1:CB$87,'Fórmula'!B5,14))+(('Fórmula'!E5)/('Fórmula'!C5+'Fórmula'!E5+'Fórmula'!G5+'Fórmula'!I5+'Fórmula'!K5))*(INDEX(properties!A$1:CB$87,'Fórmula'!D5,14))+(('Fórmula'!G5)/('Fórmula'!C5+'Fórmula'!E5+'Fórmula'!G5+'Fórmula'!I5+'Fórmula'!K5))*(INDEX(properties!A$1:CB$87,'Fórmula'!F5,14))+(('Fórmula'!I5)/('Fórmula'!C5+'Fórmula'!E5+'Fórmula'!G5+'Fórmula'!I5+'Fórmula'!K5))*(INDEX(properties!A$1:CB$87,'Fórmula'!H5,14))+(('Fórmula'!K5)/('Fórmula'!C5+'Fórmula'!E5+'Fórmula'!G5+'Fórmula'!I5+'Fórmula'!K5))*(INDEX(properties!A$1:CB$87,'Fórmula'!J5,14))</f>
        <v>0</v>
      </c>
      <c r="BE5" s="110">
        <f t="array" ref="BE5">'Fórmula'!C5*(INDEX(properties!A$1:CB$87,'Fórmula'!B5,14))+'Fórmula'!E5*(INDEX(properties!A$1:CB$87,'Fórmula'!D5,14))+'Fórmula'!G5*(INDEX(properties!A$1:CB$87,'Fórmula'!F5,14))+'Fórmula'!I5*(INDEX(properties!A$1:CB$87,'Fórmula'!H5,14))+'Fórmula'!K5*(INDEX(properties!A$1:CB$87,'Fórmula'!J5,14))</f>
        <v>0</v>
      </c>
      <c r="BF5" s="110">
        <f t="array" ref="BF5">VARP(IF(INDEX(properties!A$1:CB$87,'Fórmula'!B5,14)&lt;&gt;"",INDEX(properties!A$1:CB$87,'Fórmula'!B5,14)),IF(INDEX(properties!A$1:CB$87,'Fórmula'!D5,14)&lt;&gt;"",INDEX(properties!A$1:CB$87,'Fórmula'!D5,14)),IF(INDEX(properties!A$1:CB$87,'Fórmula'!F5,14)&lt;&gt;"",INDEX(properties!A$1:CB$87,'Fórmula'!F5,14)),IF(INDEX(properties!A$1:CB$87,'Fórmula'!H5,14)&lt;&gt;"",INDEX(properties!A$1:CB$87,'Fórmula'!H5,14)),IF(INDEX(properties!A$1:CB$87,'Fórmula'!J5,14)&lt;&gt;"",INDEX(properties!A$1:CB$87,'Fórmula'!J5,14)))</f>
        <v>0</v>
      </c>
      <c r="BG5" s="110">
        <f t="array" ref="BG5">MAX(INDEX(properties!A$1:CB$87,'Fórmula'!B5,14),INDEX(properties!A$1:CB$87,'Fórmula'!D5,14),INDEX(properties!A$1:CB$87,'Fórmula'!F5,14),INDEX(properties!A$1:CB$87,'Fórmula'!H5,14),INDEX(properties!A$1:CB$87,'Fórmula'!J5,14))</f>
        <v>0</v>
      </c>
      <c r="BH5" s="110">
        <f t="array" ref="BH5">MIN(IF('Fórmula'!B5=87,10^6,INDEX(properties!A$1:CB$87,'Fórmula'!B5,14)),IF(('Fórmula'!D5)=87,10^6,INDEX(properties!A$1:CB$87,'Fórmula'!D5,14)),IF(('Fórmula'!F5)=87,10^6,INDEX(properties!A$1:CB$87,'Fórmula'!F5,14)),IF(('Fórmula'!H5)=87,10^6,INDEX(properties!A$1:CB$87,'Fórmula'!H5,14)),IF('Fórmula'!J5=87,10^6,INDEX(properties!A$1:CB$87,'Fórmula'!J5,14)))</f>
        <v>0</v>
      </c>
      <c r="BI5" s="110">
        <f t="shared" si="10"/>
        <v>0</v>
      </c>
      <c r="BJ5" s="111">
        <f t="array" ref="BJ5">(('Fórmula'!C5)/('Fórmula'!C5+'Fórmula'!E5+'Fórmula'!G5+'Fórmula'!I5+'Fórmula'!K5))*(INDEX(properties!A$1:CB$87,'Fórmula'!B5,19))+(('Fórmula'!E5)/('Fórmula'!C5+'Fórmula'!E5+'Fórmula'!G5+'Fórmula'!I5+'Fórmula'!K5))*(INDEX(properties!A$1:CB$87,'Fórmula'!D5,19))+(('Fórmula'!G5)/('Fórmula'!C5+'Fórmula'!E5+'Fórmula'!G5+'Fórmula'!I5+'Fórmula'!K5))*(INDEX(properties!A$1:CB$87,'Fórmula'!F5,19))+(('Fórmula'!I5)/('Fórmula'!C5+'Fórmula'!E5+'Fórmula'!G5+'Fórmula'!I5+'Fórmula'!K5))*(INDEX(properties!A$1:CB$87,'Fórmula'!H5,19))+(('Fórmula'!K5)/('Fórmula'!C5+'Fórmula'!E5+'Fórmula'!G5+'Fórmula'!I5+'Fórmula'!K5))*(INDEX(properties!A$1:CB$87,'Fórmula'!J5,19))</f>
        <v>5.333333333</v>
      </c>
      <c r="BK5" s="111">
        <f t="array" ref="BK5">'Fórmula'!C5*(INDEX(properties!A$1:CB$87,'Fórmula'!B5,19))+'Fórmula'!E5*(INDEX(properties!A$1:CB$87,'Fórmula'!D5,19))+'Fórmula'!G5*(INDEX(properties!A$1:CB$87,'Fórmula'!F5,19))+'Fórmula'!I5*(INDEX(properties!A$1:CB$87,'Fórmula'!H5,19))+'Fórmula'!K5*(INDEX(properties!A$1:CB$87,'Fórmula'!J5,19))</f>
        <v>32</v>
      </c>
      <c r="BL5" s="111">
        <f t="array" ref="BL5">VARP(IF(INDEX(properties!A$1:CB$87,'Fórmula'!B5,19)&lt;&gt;"",INDEX(properties!A$1:CB$87,'Fórmula'!B5,19)),IF(INDEX(properties!A$1:CB$87,'Fórmula'!D5,19)&lt;&gt;"",INDEX(properties!A$1:CB$87,'Fórmula'!D5,19)),IF(INDEX(properties!A$1:CB$87,'Fórmula'!F5,19)&lt;&gt;"",INDEX(properties!A$1:CB$87,'Fórmula'!F5,19)),IF(INDEX(properties!A$1:CB$87,'Fórmula'!H5,19)&lt;&gt;"",INDEX(properties!A$1:CB$87,'Fórmula'!H5,19)),IF(INDEX(properties!A$1:CB$87,'Fórmula'!J5,19)&lt;&gt;"",INDEX(properties!A$1:CB$87,'Fórmula'!J5,19)))</f>
        <v>7.36</v>
      </c>
      <c r="BM5" s="111">
        <f t="array" ref="BM5">MAX(INDEX(properties!A$1:CB$87,'Fórmula'!B5,19),INDEX(properties!A$1:CB$87,'Fórmula'!D5,19),INDEX(properties!A$1:CB$87,'Fórmula'!F5,19),INDEX(properties!A$1:CB$87,'Fórmula'!H5,19),INDEX(properties!A$1:CB$87,'Fórmula'!J5,19))</f>
        <v>6</v>
      </c>
      <c r="BN5" s="111">
        <f t="array" ref="BN5">MIN(IF(INDEX(properties!A$1:CB$87,'Fórmula'!B5,19)=0,10^6,INDEX(properties!A$1:CB$87,'Fórmula'!B5,19)),IF(INDEX(properties!A$1:CB$87,'Fórmula'!D5,19)=0,10^6,INDEX(properties!A$1:CB$87,'Fórmula'!D5,19)),IF(INDEX(properties!A$1:CB$87,'Fórmula'!F5,19)=0,10^6,INDEX(properties!A$1:CB$87,'Fórmula'!F5,19)),IF(INDEX(properties!A$1:CB$87,'Fórmula'!H5,19)=0,10^6,INDEX(properties!A$1:CB$87,'Fórmula'!H5,19)),IF(INDEX(properties!A$1:CB$87,'Fórmula'!J5,19)=0,10^6,INDEX(properties!A$1:CB$87,'Fórmula'!J5,19)))</f>
        <v>2</v>
      </c>
      <c r="BO5" s="111">
        <f t="shared" si="11"/>
        <v>4</v>
      </c>
      <c r="BP5" s="112">
        <f t="array" ref="BP5">(('Fórmula'!C5)/('Fórmula'!C5+'Fórmula'!E5+'Fórmula'!G5+'Fórmula'!I5+'Fórmula'!K5))*(INDEX(properties!A$1:CB$87,'Fórmula'!B5,20))+(('Fórmula'!E5)/('Fórmula'!C5+'Fórmula'!E5+'Fórmula'!G5+'Fórmula'!I5+'Fórmula'!K5))*(INDEX(properties!A$1:CB$87,'Fórmula'!D5,20))+(('Fórmula'!G5)/('Fórmula'!C5+'Fórmula'!E5+'Fórmula'!G5+'Fórmula'!I5+'Fórmula'!K5))*(INDEX(properties!A$1:CB$87,'Fórmula'!F5,20))+(('Fórmula'!I5)/('Fórmula'!C5+'Fórmula'!E5+'Fórmula'!G5+'Fórmula'!I5+'Fórmula'!K5))*(INDEX(properties!A$1:CB$87,'Fórmula'!H5,20))+(('Fórmula'!K5)/('Fórmula'!C5+'Fórmula'!E5+'Fórmula'!G5+'Fórmula'!I5+'Fórmula'!K5))*(INDEX(properties!A$1:CB$87,'Fórmula'!J5,20))</f>
        <v>4.5</v>
      </c>
      <c r="BQ5" s="112">
        <f t="array" ref="BQ5">'Fórmula'!C5*(INDEX(properties!A$1:CB$87,'Fórmula'!B5,20))+'Fórmula'!E5*(INDEX(properties!A$1:CB$87,'Fórmula'!D5,20))+'Fórmula'!G5*(INDEX(properties!A$1:CB$87,'Fórmula'!F5,20))+'Fórmula'!I5*(INDEX(properties!A$1:CB$87,'Fórmula'!H5,20))+'Fórmula'!K5*(INDEX(properties!A$1:CB$87,'Fórmula'!J5,20))</f>
        <v>27</v>
      </c>
      <c r="BR5" s="112">
        <f t="array" ref="BR5">VARP(IF(INDEX(properties!A$1:CB$87,'Fórmula'!B5,20)&lt;&gt;"",INDEX(properties!A$1:CB$87,'Fórmula'!B5,20)),IF(INDEX(properties!A$1:CB$87,'Fórmula'!D5,20)&lt;&gt;"",INDEX(properties!A$1:CB$87,'Fórmula'!D5,20)),IF(INDEX(properties!A$1:CB$87,'Fórmula'!F5,20)&lt;&gt;"",INDEX(properties!A$1:CB$87,'Fórmula'!F5,20)),IF(INDEX(properties!A$1:CB$87,'Fórmula'!H5,20)&lt;&gt;"",INDEX(properties!A$1:CB$87,'Fórmula'!H5,20)),IF(INDEX(properties!A$1:CB$87,'Fórmula'!J5,20)&lt;&gt;"",INDEX(properties!A$1:CB$87,'Fórmula'!J5,20)))</f>
        <v>4.96</v>
      </c>
      <c r="BS5" s="112">
        <f t="array" ref="BS5">MAX(INDEX(properties!A$1:CB$87,'Fórmula'!B5,20),INDEX(properties!A$1:CB$87,'Fórmula'!D5,20),INDEX(properties!A$1:CB$87,'Fórmula'!F5,20),INDEX(properties!A$1:CB$87,'Fórmula'!H5,20),INDEX(properties!A$1:CB$87,'Fórmula'!J5,20))</f>
        <v>6</v>
      </c>
      <c r="BT5" s="112">
        <f t="array" ref="BT5">MIN(IF(INDEX(properties!A$1:CB$87,'Fórmula'!B5,20)=0,10^6,INDEX(properties!A$1:CB$87,'Fórmula'!B5,20)),IF(INDEX(properties!A$1:CB$87,'Fórmula'!D5,20)=0,10^6,INDEX(properties!A$1:CB$87,'Fórmula'!D5,20)),IF(INDEX(properties!A$1:CB$87,'Fórmula'!F5,20)=0,10^6,INDEX(properties!A$1:CB$87,'Fórmula'!F5,20)),IF(INDEX(properties!A$1:CB$87,'Fórmula'!H5,20)=0,10^6,INDEX(properties!A$1:CB$87,'Fórmula'!H5,20)),IF(INDEX(properties!A$1:CB$87,'Fórmula'!J5,20)=0,10^6,INDEX(properties!A$1:CB$87,'Fórmula'!J5,20)))</f>
        <v>1</v>
      </c>
      <c r="BU5" s="112">
        <f t="shared" si="12"/>
        <v>5</v>
      </c>
      <c r="BV5" s="113">
        <f t="array" ref="BV5">(('Fórmula'!C5)/('Fórmula'!C5+'Fórmula'!E5+'Fórmula'!G5+'Fórmula'!I5+'Fórmula'!K5))*(INDEX(properties!A$1:CB$87,'Fórmula'!B5,21))+(('Fórmula'!E5)/('Fórmula'!C5+'Fórmula'!E5+'Fórmula'!G5+'Fórmula'!I5+'Fórmula'!K5))*(INDEX(properties!A$1:CB$87,'Fórmula'!D5,21))+(('Fórmula'!G5)/('Fórmula'!C5+'Fórmula'!E5+'Fórmula'!G5+'Fórmula'!I5+'Fórmula'!K5))*(INDEX(properties!A$1:CB$87,'Fórmula'!F5,21))+(('Fórmula'!I5)/('Fórmula'!C5+'Fórmula'!E5+'Fórmula'!G5+'Fórmula'!I5+'Fórmula'!K5))*(INDEX(properties!A$1:CB$87,'Fórmula'!H5,21))+(('Fórmula'!K5)/('Fórmula'!C5+'Fórmula'!E5+'Fórmula'!G5+'Fórmula'!I5+'Fórmula'!K5))*(INDEX(properties!A$1:CB$87,'Fórmula'!J5,21))</f>
        <v>5</v>
      </c>
      <c r="BW5" s="113">
        <f t="array" ref="BW5">'Fórmula'!C5*(INDEX(properties!A$1:CB$87,'Fórmula'!B5,21))+'Fórmula'!E5*(INDEX(properties!A$1:CB$87,'Fórmula'!D5,21))+'Fórmula'!G5*(INDEX(properties!A$1:CB$87,'Fórmula'!F5,21))+'Fórmula'!I5*(INDEX(properties!A$1:CB$87,'Fórmula'!H5,21))+'Fórmula'!K5*(INDEX(properties!A$1:CB$87,'Fórmula'!J5,21))</f>
        <v>30</v>
      </c>
      <c r="BX5" s="113">
        <f t="array" ref="BX5">VARP(IF(INDEX(properties!A$1:CB$87,'Fórmula'!B5,21)&lt;&gt;"",INDEX(properties!A$1:CB$87,'Fórmula'!B5,21)),IF(INDEX(properties!A$1:CB$87,'Fórmula'!D5,21)&lt;&gt;"",INDEX(properties!A$1:CB$87,'Fórmula'!D5,21)),IF(INDEX(properties!A$1:CB$87,'Fórmula'!F5,21)&lt;&gt;"",INDEX(properties!A$1:CB$87,'Fórmula'!F5,21)),IF(INDEX(properties!A$1:CB$87,'Fórmula'!H5,21)&lt;&gt;"",INDEX(properties!A$1:CB$87,'Fórmula'!H5,21)),IF(INDEX(properties!A$1:CB$87,'Fórmula'!J5,21)&lt;&gt;"",INDEX(properties!A$1:CB$87,'Fórmula'!J5,21)))</f>
        <v>5.44</v>
      </c>
      <c r="BY5" s="113">
        <f t="array" ref="BY5">MAX(INDEX(properties!A$1:CB$87,'Fórmula'!B5,21),INDEX(properties!A$1:CB$87,'Fórmula'!D5,21),INDEX(properties!A$1:CB$87,'Fórmula'!F5,21),INDEX(properties!A$1:CB$87,'Fórmula'!H5,21),INDEX(properties!A$1:CB$87,'Fórmula'!J5,21))</f>
        <v>6</v>
      </c>
      <c r="BZ5" s="113">
        <f t="array" ref="BZ5">MIN(IF(INDEX(properties!A$1:CB$87,'Fórmula'!B5,21)=0,10^6,INDEX(properties!A$1:CB$87,'Fórmula'!B5,21)),IF(INDEX(properties!A$1:CB$87,'Fórmula'!D5,21)=0,10^6,INDEX(properties!A$1:CB$87,'Fórmula'!D5,21)),IF(INDEX(properties!A$1:CB$87,'Fórmula'!F5,21)=0,10^6,INDEX(properties!A$1:CB$87,'Fórmula'!F5,21)),IF(INDEX(properties!A$1:CB$87,'Fórmula'!H5,21)=0,10^6,INDEX(properties!A$1:CB$87,'Fórmula'!H5,21)),IF(INDEX(properties!A$1:CB$87,'Fórmula'!J5,21)=0,10^6,INDEX(properties!A$1:CB$87,'Fórmula'!J5,21)))</f>
        <v>2</v>
      </c>
      <c r="CA5" s="113">
        <f t="shared" si="13"/>
        <v>4</v>
      </c>
      <c r="CB5" s="114">
        <f t="array" ref="CB5">(('Fórmula'!C5)/('Fórmula'!C5+'Fórmula'!E5+'Fórmula'!G5+'Fórmula'!I5+'Fórmula'!K5))*(INDEX(properties!A$1:CB$87,'Fórmula'!B5,23))+(('Fórmula'!E5)/('Fórmula'!C5+'Fórmula'!E5+'Fórmula'!G5+'Fórmula'!I5+'Fórmula'!K5))*(INDEX(properties!A$1:CB$87,'Fórmula'!D5,23))+(('Fórmula'!G5)/('Fórmula'!C5+'Fórmula'!E5+'Fórmula'!G5+'Fórmula'!I5+'Fórmula'!K5))*(INDEX(properties!A$1:CB$87,'Fórmula'!F5,23))+(('Fórmula'!I5)/('Fórmula'!C5+'Fórmula'!E5+'Fórmula'!G5+'Fórmula'!I5+'Fórmula'!K5))*(INDEX(properties!A$1:CB$87,'Fórmula'!H5,23))+(('Fórmula'!K5)/('Fórmula'!C5+'Fórmula'!E5+'Fórmula'!G5+'Fórmula'!I5+'Fórmula'!K5))*(INDEX(properties!A$1:CB$87,'Fórmula'!J5,23))</f>
        <v>1.296666667</v>
      </c>
      <c r="CC5" s="114">
        <f t="array" ref="CC5">'Fórmula'!C5*(INDEX(properties!A$1:CB$87,'Fórmula'!B5,23))+'Fórmula'!E5*(INDEX(properties!A$1:CB$87,'Fórmula'!D5,23))+'Fórmula'!G5*(INDEX(properties!A$1:CB$87,'Fórmula'!F5,23))+'Fórmula'!I5*(INDEX(properties!A$1:CB$87,'Fórmula'!H5,23))+'Fórmula'!K5*(INDEX(properties!A$1:CB$87,'Fórmula'!J5,23))</f>
        <v>7.78</v>
      </c>
      <c r="CD5" s="114">
        <f t="array" ref="CD5">VARP(IF(INDEX(properties!A$1:CB$87,'Fórmula'!B5,23)&lt;&gt;"",INDEX(properties!A$1:CB$87,'Fórmula'!B5,23)),IF(INDEX(properties!A$1:CB$87,'Fórmula'!D5,23)&lt;&gt;"",INDEX(properties!A$1:CB$87,'Fórmula'!D5,23)),IF(INDEX(properties!A$1:CB$87,'Fórmula'!F5,23)&lt;&gt;"",INDEX(properties!A$1:CB$87,'Fórmula'!F5,23)),IF(INDEX(properties!A$1:CB$87,'Fórmula'!H5,23)&lt;&gt;"",INDEX(properties!A$1:CB$87,'Fórmula'!H5,23)),IF(INDEX(properties!A$1:CB$87,'Fórmula'!J5,23)&lt;&gt;"",INDEX(properties!A$1:CB$87,'Fórmula'!J5,23)))</f>
        <v>5.060544</v>
      </c>
      <c r="CE5" s="114">
        <f t="array" ref="CE5">MAX(INDEX(properties!A$1:CB$87,'Fórmula'!B5,23),INDEX(properties!A$1:CB$87,'Fórmula'!D5,23),INDEX(properties!A$1:CB$87,'Fórmula'!F5,23),INDEX(properties!A$1:CB$87,'Fórmula'!H5,23),INDEX(properties!A$1:CB$87,'Fórmula'!J5,23))</f>
        <v>5.78</v>
      </c>
      <c r="CF5" s="114">
        <f t="array" ref="CF5">MIN(IF('Fórmula'!B5=87,10^6,INDEX(properties!A$1:CB$87,'Fórmula'!B5,23)),IF(('Fórmula'!D5)=87,10^6,INDEX(properties!A$1:CB$87,'Fórmula'!D5,23)),IF(('Fórmula'!F5)=87,10^6,INDEX(properties!A$1:CB$87,'Fórmula'!F5,23)),IF(('Fórmula'!H5)=87,10^6,INDEX(properties!A$1:CB$87,'Fórmula'!H5,23)),IF('Fórmula'!J5=87,10^6,INDEX(properties!A$1:CB$87,'Fórmula'!J5,23)))</f>
        <v>0</v>
      </c>
      <c r="CG5" s="114">
        <f t="shared" si="14"/>
        <v>5.78</v>
      </c>
      <c r="CH5" s="115">
        <f t="array" ref="CH5">(('Fórmula'!C5)/('Fórmula'!C5+'Fórmula'!E5+'Fórmula'!G5+'Fórmula'!I5+'Fórmula'!K5))*(INDEX(properties!A$1:CB$87,'Fórmula'!B5,26))+(('Fórmula'!E5)/('Fórmula'!C5+'Fórmula'!E5+'Fórmula'!G5+'Fórmula'!I5+'Fórmula'!K5))*(INDEX(properties!A$1:CB$87,'Fórmula'!D5,26))+(('Fórmula'!G5)/('Fórmula'!C5+'Fórmula'!E5+'Fórmula'!G5+'Fórmula'!I5+'Fórmula'!K5))*(INDEX(properties!A$1:CB$87,'Fórmula'!F5,26))+(('Fórmula'!I5)/('Fórmula'!C5+'Fórmula'!E5+'Fórmula'!G5+'Fórmula'!I5+'Fórmula'!K5))*(INDEX(properties!A$1:CB$87,'Fórmula'!H5,26))+(('Fórmula'!K5)/('Fórmula'!C5+'Fórmula'!E5+'Fórmula'!G5+'Fórmula'!I5+'Fórmula'!K5))*(INDEX(properties!A$1:CB$87,'Fórmula'!J5,26))</f>
        <v>11.27966667</v>
      </c>
      <c r="CI5" s="115">
        <f t="array" ref="CI5">'Fórmula'!C5*(INDEX(properties!A$1:CB$87,'Fórmula'!B5,26))+'Fórmula'!E5*(INDEX(properties!A$1:CB$87,'Fórmula'!D5,26))+'Fórmula'!G5*(INDEX(properties!A$1:CB$87,'Fórmula'!F5,26))+'Fórmula'!I5*(INDEX(properties!A$1:CB$87,'Fórmula'!H5,26))+'Fórmula'!K5*(INDEX(properties!A$1:CB$87,'Fórmula'!J5,26))</f>
        <v>67.678</v>
      </c>
      <c r="CJ5" s="115">
        <f t="array" ref="CJ5">VARP(IF(INDEX(properties!A$1:CB$87,'Fórmula'!B5,26)&lt;&gt;"",INDEX(properties!A$1:CB$87,'Fórmula'!B5,26)),IF(INDEX(properties!A$1:CB$87,'Fórmula'!D5,26)&lt;&gt;"",INDEX(properties!A$1:CB$87,'Fórmula'!D5,26)),IF(INDEX(properties!A$1:CB$87,'Fórmula'!F5,26)&lt;&gt;"",INDEX(properties!A$1:CB$87,'Fórmula'!F5,26)),IF(INDEX(properties!A$1:CB$87,'Fórmula'!H5,26)&lt;&gt;"",INDEX(properties!A$1:CB$87,'Fórmula'!H5,26)),IF(INDEX(properties!A$1:CB$87,'Fórmula'!J5,26)&lt;&gt;"",INDEX(properties!A$1:CB$87,'Fórmula'!J5,26)))</f>
        <v>25.84476465</v>
      </c>
      <c r="CK5" s="116">
        <f t="array" ref="CK5">MAX(INDEX(properties!A$1:CB$87,'Fórmula'!B5,26),INDEX(properties!A$1:CB$87,'Fórmula'!D5,26),INDEX(properties!A$1:CB$87,'Fórmula'!F5,26),INDEX(properties!A$1:CB$87,'Fórmula'!H5,26),INDEX(properties!A$1:CB$87,'Fórmula'!J5,26))</f>
        <v>13.6181</v>
      </c>
      <c r="CL5" s="116">
        <f t="array" ref="CL5">MIN(IF(INDEX(properties!A$1:CB$87,'Fórmula'!B5,26)=0,10^6,INDEX(properties!A$1:CB$87,'Fórmula'!B5,26)),IF(INDEX(properties!A$1:CB$87,'Fórmula'!D5,26)=0,10^6,INDEX(properties!A$1:CB$87,'Fórmula'!D5,26)),IF(INDEX(properties!A$1:CB$87,'Fórmula'!F5,26)=0,10^6,INDEX(properties!A$1:CB$87,'Fórmula'!F5,26)),IF(INDEX(properties!A$1:CB$87,'Fórmula'!H5,26)=0,10^6,INDEX(properties!A$1:CB$87,'Fórmula'!H5,26)),IF(INDEX(properties!A$1:CB$87,'Fórmula'!J5,26)=0,10^6,INDEX(properties!A$1:CB$87,'Fórmula'!J5,26)))</f>
        <v>6.1132</v>
      </c>
      <c r="CM5" s="115">
        <f t="shared" si="15"/>
        <v>7.5049</v>
      </c>
      <c r="CN5" s="117">
        <f t="array" ref="CN5">(('Fórmula'!C5)/('Fórmula'!C5+'Fórmula'!E5+'Fórmula'!G5+'Fórmula'!I5+'Fórmula'!K5))*(INDEX(properties!A$1:CB$87,'Fórmula'!B5,30))+(('Fórmula'!E5)/('Fórmula'!C5+'Fórmula'!E5+'Fórmula'!G5+'Fórmula'!I5+'Fórmula'!K5))*(INDEX(properties!A$1:CB$87,'Fórmula'!D5,30))+(('Fórmula'!G5)/('Fórmula'!C5+'Fórmula'!E5+'Fórmula'!G5+'Fórmula'!I5+'Fórmula'!K5))*(INDEX(properties!A$1:CB$87,'Fórmula'!F5,30))+(('Fórmula'!I5)/('Fórmula'!C5+'Fórmula'!E5+'Fórmula'!G5+'Fórmula'!I5+'Fórmula'!K5))*(INDEX(properties!A$1:CB$87,'Fórmula'!H5,30))+(('Fórmula'!K5)/('Fórmula'!C5+'Fórmula'!E5+'Fórmula'!G5+'Fórmula'!I5+'Fórmula'!K5))*(INDEX(properties!A$1:CB$87,'Fórmula'!J5,30))</f>
        <v>2.82</v>
      </c>
      <c r="CO5" s="117">
        <f t="array" ref="CO5">'Fórmula'!C5*(INDEX(properties!A$1:CB$87,'Fórmula'!B5,30))+'Fórmula'!E5*(INDEX(properties!A$1:CB$87,'Fórmula'!D5,30))+'Fórmula'!G5*(INDEX(properties!A$1:CB$87,'Fórmula'!F5,30))+'Fórmula'!I5*(INDEX(properties!A$1:CB$87,'Fórmula'!H5,30))+'Fórmula'!K5*(INDEX(properties!A$1:CB$87,'Fórmula'!J5,30))</f>
        <v>16.92</v>
      </c>
      <c r="CP5" s="117">
        <f t="array" ref="CP5">VARP(IF(INDEX(properties!A$1:CB$87,'Fórmula'!B5,30)&lt;&gt;"",INDEX(properties!A$1:CB$87,'Fórmula'!B5,30)),IF(INDEX(properties!A$1:CB$87,'Fórmula'!D5,30)&lt;&gt;"",INDEX(properties!A$1:CB$87,'Fórmula'!D5,30)),IF(INDEX(properties!A$1:CB$87,'Fórmula'!F5,30)&lt;&gt;"",INDEX(properties!A$1:CB$87,'Fórmula'!F5,30)),IF(INDEX(properties!A$1:CB$87,'Fórmula'!H5,30)&lt;&gt;"",INDEX(properties!A$1:CB$87,'Fórmula'!H5,30)),IF(INDEX(properties!A$1:CB$87,'Fórmula'!J5,30)&lt;&gt;"",INDEX(properties!A$1:CB$87,'Fórmula'!J5,30)))</f>
        <v>1.75744</v>
      </c>
      <c r="CQ5" s="117">
        <f t="array" ref="CQ5">MAX(INDEX(properties!A$1:CB$87,'Fórmula'!B5,30),INDEX(properties!A$1:CB$87,'Fórmula'!D5,30),INDEX(properties!A$1:CB$87,'Fórmula'!F5,30),INDEX(properties!A$1:CB$87,'Fórmula'!H5,30),INDEX(properties!A$1:CB$87,'Fórmula'!J5,30))</f>
        <v>3.44</v>
      </c>
      <c r="CR5" s="117">
        <f t="array" ref="CR5">MIN(IF(INDEX(properties!A$1:CB$87,'Fórmula'!B5,30)=0,10^6,INDEX(properties!A$1:CB$87,'Fórmula'!B5,30)),IF(INDEX(properties!A$1:CB$87,'Fórmula'!D5,30)=0,10^6,INDEX(properties!A$1:CB$87,'Fórmula'!D5,30)),IF(INDEX(properties!A$1:CB$87,'Fórmula'!F5,30)=0,10^6,INDEX(properties!A$1:CB$87,'Fórmula'!F5,30)),IF(INDEX(properties!A$1:CB$87,'Fórmula'!H5,30)=0,10^6,INDEX(properties!A$1:CB$87,'Fórmula'!H5,30)),IF(INDEX(properties!A$1:CB$87,'Fórmula'!J5,30)=0,10^6,INDEX(properties!A$1:CB$87,'Fórmula'!J5,30)))</f>
        <v>1</v>
      </c>
      <c r="CS5" s="117">
        <f t="shared" si="16"/>
        <v>2.44</v>
      </c>
      <c r="CT5" s="118">
        <f t="array" ref="CT5">(('Fórmula'!C5)/('Fórmula'!C5+'Fórmula'!E5+'Fórmula'!G5+'Fórmula'!I5+'Fórmula'!K5))*(INDEX(properties!A$1:CB$87,'Fórmula'!B5,31))+(('Fórmula'!E5)/('Fórmula'!C5+'Fórmula'!E5+'Fórmula'!G5+'Fórmula'!I5+'Fórmula'!K5))*(INDEX(properties!A$1:CB$87,'Fórmula'!D5,31))+(('Fórmula'!G5)/('Fórmula'!C5+'Fórmula'!E5+'Fórmula'!G5+'Fórmula'!I5+'Fórmula'!K5))*(INDEX(properties!A$1:CB$87,'Fórmula'!F5,31))+(('Fórmula'!I5)/('Fórmula'!C5+'Fórmula'!E5+'Fórmula'!G5+'Fórmula'!I5+'Fórmula'!K5))*(INDEX(properties!A$1:CB$87,'Fórmula'!H5,31))+(('Fórmula'!K5)/('Fórmula'!C5+'Fórmula'!E5+'Fórmula'!G5+'Fórmula'!I5+'Fórmula'!K5))*(INDEX(properties!A$1:CB$87,'Fórmula'!J5,31))</f>
        <v>2.731666667</v>
      </c>
      <c r="CU5" s="118">
        <f t="array" ref="CU5">'Fórmula'!C5*(INDEX(properties!A$1:CB$87,'Fórmula'!B5,31))+'Fórmula'!E5*(INDEX(properties!A$1:CB$87,'Fórmula'!D5,31))+'Fórmula'!G5*(INDEX(properties!A$1:CB$87,'Fórmula'!F5,31))+'Fórmula'!I5*(INDEX(properties!A$1:CB$87,'Fórmula'!H5,31))+'Fórmula'!K5*(INDEX(properties!A$1:CB$87,'Fórmula'!J5,31))</f>
        <v>16.39</v>
      </c>
      <c r="CV5" s="118">
        <f t="array" ref="CV5">VARP(IF(INDEX(properties!A$1:CB$87,'Fórmula'!B5,31)&lt;&gt;"",INDEX(properties!A$1:CB$87,'Fórmula'!B5,31)),IF(INDEX(properties!A$1:CB$87,'Fórmula'!D5,31)&lt;&gt;"",INDEX(properties!A$1:CB$87,'Fórmula'!D5,31)),IF(INDEX(properties!A$1:CB$87,'Fórmula'!F5,31)&lt;&gt;"",INDEX(properties!A$1:CB$87,'Fórmula'!F5,31)),IF(INDEX(properties!A$1:CB$87,'Fórmula'!H5,31)&lt;&gt;"",INDEX(properties!A$1:CB$87,'Fórmula'!H5,31)),IF(INDEX(properties!A$1:CB$87,'Fórmula'!J5,31)&lt;&gt;"",INDEX(properties!A$1:CB$87,'Fórmula'!J5,31)))</f>
        <v>1.577184</v>
      </c>
      <c r="CW5" s="118">
        <f t="array" ref="CW5">MAX(INDEX(properties!A$1:CB$87,'Fórmula'!B5,31),INDEX(properties!A$1:CB$87,'Fórmula'!D5,31),INDEX(properties!A$1:CB$87,'Fórmula'!F5,31),INDEX(properties!A$1:CB$87,'Fórmula'!H5,31),INDEX(properties!A$1:CB$87,'Fórmula'!J5,31))</f>
        <v>3.32</v>
      </c>
      <c r="CX5" s="118">
        <f t="array" ref="CX5">MIN(IF(INDEX(properties!A$1:CB$87,'Fórmula'!B5,31)=0,10^6,INDEX(properties!A$1:CB$87,'Fórmula'!B5,31)),IF(INDEX(properties!A$1:CB$87,'Fórmula'!D5,31)=0,10^6,INDEX(properties!A$1:CB$87,'Fórmula'!D5,31)),IF(INDEX(properties!A$1:CB$87,'Fórmula'!F5,31)=0,10^6,INDEX(properties!A$1:CB$87,'Fórmula'!F5,31)),IF(INDEX(properties!A$1:CB$87,'Fórmula'!H5,31)=0,10^6,INDEX(properties!A$1:CB$87,'Fórmula'!H5,31)),IF(INDEX(properties!A$1:CB$87,'Fórmula'!J5,31)=0,10^6,INDEX(properties!A$1:CB$87,'Fórmula'!J5,31)))</f>
        <v>1.17</v>
      </c>
      <c r="CY5" s="118">
        <f t="shared" si="17"/>
        <v>2.15</v>
      </c>
      <c r="CZ5" s="119">
        <f t="array" ref="CZ5">(('Fórmula'!C5)/('Fórmula'!C5+'Fórmula'!E5+'Fórmula'!G5+'Fórmula'!I5+'Fórmula'!K5))*(INDEX(properties!A$1:CB$87,'Fórmula'!B5,32))+(('Fórmula'!E5)/('Fórmula'!C5+'Fórmula'!E5+'Fórmula'!G5+'Fórmula'!I5+'Fórmula'!K5))*(INDEX(properties!A$1:CB$87,'Fórmula'!D5,32))+(('Fórmula'!G5)/('Fórmula'!C5+'Fórmula'!E5+'Fórmula'!G5+'Fórmula'!I5+'Fórmula'!K5))*(INDEX(properties!A$1:CB$87,'Fórmula'!F5,32))+(('Fórmula'!I5)/('Fórmula'!C5+'Fórmula'!E5+'Fórmula'!G5+'Fórmula'!I5+'Fórmula'!K5))*(INDEX(properties!A$1:CB$87,'Fórmula'!H5,32))+(('Fórmula'!K5)/('Fórmula'!C5+'Fórmula'!E5+'Fórmula'!G5+'Fórmula'!I5+'Fórmula'!K5))*(INDEX(properties!A$1:CB$87,'Fórmula'!J5,32))</f>
        <v>6.043333333</v>
      </c>
      <c r="DA5" s="119">
        <f t="array" ref="DA5">'Fórmula'!C5*(INDEX(properties!A$1:CB$87,'Fórmula'!B5,32))+'Fórmula'!E5*(INDEX(properties!A$1:CB$87,'Fórmula'!D5,32))+'Fórmula'!G5*(INDEX(properties!A$1:CB$87,'Fórmula'!F5,32))+'Fórmula'!I5*(INDEX(properties!A$1:CB$87,'Fórmula'!H5,32))+'Fórmula'!K5*(INDEX(properties!A$1:CB$87,'Fórmula'!J5,32))</f>
        <v>36.26</v>
      </c>
      <c r="DB5" s="119">
        <f t="array" ref="DB5">VARP(IF(INDEX(properties!A$1:CB$87,'Fórmula'!B5,32)&lt;&gt;"",INDEX(properties!A$1:CB$87,'Fórmula'!B5,32)),IF(INDEX(properties!A$1:CB$87,'Fórmula'!D5,32)&lt;&gt;"",INDEX(properties!A$1:CB$87,'Fórmula'!D5,32)),IF(INDEX(properties!A$1:CB$87,'Fórmula'!F5,32)&lt;&gt;"",INDEX(properties!A$1:CB$87,'Fórmula'!F5,32)),IF(INDEX(properties!A$1:CB$87,'Fórmula'!H5,32)&lt;&gt;"",INDEX(properties!A$1:CB$87,'Fórmula'!H5,32)),IF(INDEX(properties!A$1:CB$87,'Fórmula'!J5,32)&lt;&gt;"",INDEX(properties!A$1:CB$87,'Fórmula'!J5,32)))</f>
        <v>7.938336</v>
      </c>
      <c r="DC5" s="119">
        <f t="array" ref="DC5">MAX(INDEX(properties!A$1:CB$87,'Fórmula'!B5,32),INDEX(properties!A$1:CB$87,'Fórmula'!D5,32),INDEX(properties!A$1:CB$87,'Fórmula'!F5,32),INDEX(properties!A$1:CB$87,'Fórmula'!H5,32),INDEX(properties!A$1:CB$87,'Fórmula'!J5,32))</f>
        <v>7.54</v>
      </c>
      <c r="DD5" s="119">
        <f t="array" ref="DD5">MIN(IF(INDEX(properties!A$1:CB$87,'Fórmula'!B5,32)=0,10^6,INDEX(properties!A$1:CB$87,'Fórmula'!B5,32)),IF(INDEX(properties!A$1:CB$87,'Fórmula'!D5,32)=0,10^6,INDEX(properties!A$1:CB$87,'Fórmula'!D5,32)),IF(INDEX(properties!A$1:CB$87,'Fórmula'!F5,32)=0,10^6,INDEX(properties!A$1:CB$87,'Fórmula'!F5,32)),IF(INDEX(properties!A$1:CB$87,'Fórmula'!H5,32)=0,10^6,INDEX(properties!A$1:CB$87,'Fórmula'!H5,32)),IF(INDEX(properties!A$1:CB$87,'Fórmula'!J5,32)=0,10^6,INDEX(properties!A$1:CB$87,'Fórmula'!J5,32)))</f>
        <v>2.2</v>
      </c>
      <c r="DE5" s="119">
        <f t="shared" si="18"/>
        <v>5.34</v>
      </c>
      <c r="DF5" s="104">
        <f t="array" ref="DF5">(('Fórmula'!C5)/('Fórmula'!C5+'Fórmula'!E5+'Fórmula'!G5+'Fórmula'!I5+'Fórmula'!K5))*(INDEX(properties!A$1:CB$87,'Fórmula'!B5,34))+(('Fórmula'!E5)/('Fórmula'!C5+'Fórmula'!E5+'Fórmula'!G5+'Fórmula'!I5+'Fórmula'!K5))*(INDEX(properties!A$1:CB$87,'Fórmula'!D5,34))+(('Fórmula'!G5)/('Fórmula'!C5+'Fórmula'!E5+'Fórmula'!G5+'Fórmula'!I5+'Fórmula'!K5))*(INDEX(properties!A$1:CB$87,'Fórmula'!F5,34))+(('Fórmula'!I5)/('Fórmula'!C5+'Fórmula'!E5+'Fórmula'!G5+'Fórmula'!I5+'Fórmula'!K5))*(INDEX(properties!A$1:CB$87,'Fórmula'!H5,34))+(('Fórmula'!K5)/('Fórmula'!C5+'Fórmula'!E5+'Fórmula'!G5+'Fórmula'!I5+'Fórmula'!K5))*(INDEX(properties!A$1:CB$87,'Fórmula'!J5,34))</f>
        <v>2.824</v>
      </c>
      <c r="DG5" s="104">
        <f t="array" ref="DG5">'Fórmula'!C5*(INDEX(properties!A$1:CB$87,'Fórmula'!B5,34))+'Fórmula'!E5*(INDEX(properties!A$1:CB$87,'Fórmula'!D5,34))+'Fórmula'!G5*(INDEX(properties!A$1:CB$87,'Fórmula'!F5,34))+'Fórmula'!I5*(INDEX(properties!A$1:CB$87,'Fórmula'!H5,34))+'Fórmula'!K5*(INDEX(properties!A$1:CB$87,'Fórmula'!J5,34))</f>
        <v>16.944</v>
      </c>
      <c r="DH5" s="104">
        <f t="array" ref="DH5">VARP(IF(INDEX(properties!A$1:CB$87,'Fórmula'!B5,34)&lt;&gt;"",INDEX(properties!A$1:CB$87,'Fórmula'!B5,34)),IF(INDEX(properties!A$1:CB$87,'Fórmula'!D5,34)&lt;&gt;"",INDEX(properties!A$1:CB$87,'Fórmula'!D5,34)),IF(INDEX(properties!A$1:CB$87,'Fórmula'!F5,34)&lt;&gt;"",INDEX(properties!A$1:CB$87,'Fórmula'!F5,34)),IF(INDEX(properties!A$1:CB$87,'Fórmula'!H5,34)&lt;&gt;"",INDEX(properties!A$1:CB$87,'Fórmula'!H5,34)),IF(INDEX(properties!A$1:CB$87,'Fórmula'!J5,34)&lt;&gt;"",INDEX(properties!A$1:CB$87,'Fórmula'!J5,34)))</f>
        <v>1.75719136</v>
      </c>
      <c r="DI5" s="104">
        <f t="array" ref="DI5">MAX(INDEX(properties!A$1:CB$87,'Fórmula'!B5,34),INDEX(properties!A$1:CB$87,'Fórmula'!D5,34),INDEX(properties!A$1:CB$87,'Fórmula'!F5,34),INDEX(properties!A$1:CB$87,'Fórmula'!H5,34),INDEX(properties!A$1:CB$87,'Fórmula'!J5,34))</f>
        <v>3.61</v>
      </c>
      <c r="DJ5" s="104">
        <f t="array" ref="DJ5">MIN(IF(INDEX(properties!A$1:CB$87,'Fórmula'!B5,34)=0,10^6,INDEX(properties!A$1:CB$87,'Fórmula'!B5,34)),IF(INDEX(properties!A$1:CB$87,'Fórmula'!D5,34)=0,10^6,INDEX(properties!A$1:CB$87,'Fórmula'!D5,34)),IF(INDEX(properties!A$1:CB$87,'Fórmula'!F5,34)=0,10^6,INDEX(properties!A$1:CB$87,'Fórmula'!F5,34)),IF(INDEX(properties!A$1:CB$87,'Fórmula'!H5,34)=0,10^6,INDEX(properties!A$1:CB$87,'Fórmula'!H5,34)),IF(INDEX(properties!A$1:CB$87,'Fórmula'!J5,34)=0,10^6,INDEX(properties!A$1:CB$87,'Fórmula'!J5,34)))</f>
        <v>1.034</v>
      </c>
      <c r="DK5" s="104">
        <f t="shared" si="19"/>
        <v>2.576</v>
      </c>
      <c r="DL5" s="105">
        <f t="array" ref="DL5">(('Fórmula'!C5)/('Fórmula'!C5+'Fórmula'!E5+'Fórmula'!G5+'Fórmula'!I5+'Fórmula'!K5))*(INDEX(properties!A$1:CB$87,'Fórmula'!B5,37))+(('Fórmula'!E5)/('Fórmula'!C5+'Fórmula'!E5+'Fórmula'!G5+'Fórmula'!I5+'Fórmula'!K5))*(INDEX(properties!A$1:CB$87,'Fórmula'!D5,37))+(('Fórmula'!G5)/('Fórmula'!C5+'Fórmula'!E5+'Fórmula'!G5+'Fórmula'!I5+'Fórmula'!K5))*(INDEX(properties!A$1:CB$87,'Fórmula'!F5,37))+(('Fórmula'!I5)/('Fórmula'!C5+'Fórmula'!E5+'Fórmula'!G5+'Fórmula'!I5+'Fórmula'!K5))*(INDEX(properties!A$1:CB$87,'Fórmula'!H5,37))+(('Fórmula'!K5)/('Fórmula'!C5+'Fórmula'!E5+'Fórmula'!G5+'Fórmula'!I5+'Fórmula'!K5))*(INDEX(properties!A$1:CB$87,'Fórmula'!J5,37))</f>
        <v>2.816666667</v>
      </c>
      <c r="DM5" s="105">
        <f t="array" ref="DM5">'Fórmula'!C5*(INDEX(properties!A$1:CB$87,'Fórmula'!B5,37))+'Fórmula'!E5*(INDEX(properties!A$1:CB$87,'Fórmula'!D5,37))+'Fórmula'!G5*(INDEX(properties!A$1:CB$87,'Fórmula'!F5,37))+'Fórmula'!I5*(INDEX(properties!A$1:CB$87,'Fórmula'!H5,37))+'Fórmula'!K5*(INDEX(properties!A$1:CB$87,'Fórmula'!J5,37))</f>
        <v>16.9</v>
      </c>
      <c r="DN5" s="105">
        <f t="array" ref="DN5">VARP(IF(INDEX(properties!A$1:CB$87,'Fórmula'!B5,37)&lt;&gt;"",INDEX(properties!A$1:CB$87,'Fórmula'!B5,37)),IF(INDEX(properties!A$1:CB$87,'Fórmula'!D5,37)&lt;&gt;"",INDEX(properties!A$1:CB$87,'Fórmula'!D5,37)),IF(INDEX(properties!A$1:CB$87,'Fórmula'!F5,37)&lt;&gt;"",INDEX(properties!A$1:CB$87,'Fórmula'!F5,37)),IF(INDEX(properties!A$1:CB$87,'Fórmula'!H5,37)&lt;&gt;"",INDEX(properties!A$1:CB$87,'Fórmula'!H5,37)),IF(INDEX(properties!A$1:CB$87,'Fórmula'!J5,37)&lt;&gt;"",INDEX(properties!A$1:CB$87,'Fórmula'!J5,37)))</f>
        <v>1.7464</v>
      </c>
      <c r="DO5" s="105">
        <f t="array" ref="DO5">MAX(INDEX(properties!A$1:CB$87,'Fórmula'!B5,37),INDEX(properties!A$1:CB$87,'Fórmula'!D5,37),INDEX(properties!A$1:CB$87,'Fórmula'!F5,37),INDEX(properties!A$1:CB$87,'Fórmula'!H5,37),INDEX(properties!A$1:CB$87,'Fórmula'!J5,37))</f>
        <v>3.45</v>
      </c>
      <c r="DP5" s="105">
        <f t="array" ref="DP5">MIN(IF(INDEX(properties!A$1:CB$87,'Fórmula'!B5,37)=0,10^6,INDEX(properties!A$1:CB$87,'Fórmula'!B5,37)),IF(INDEX(properties!A$1:CB$87,'Fórmula'!D5,37)=0,10^6,INDEX(properties!A$1:CB$87,'Fórmula'!D5,37)),IF(INDEX(properties!A$1:CB$87,'Fórmula'!F5,37)=0,10^6,INDEX(properties!A$1:CB$87,'Fórmula'!F5,37)),IF(INDEX(properties!A$1:CB$87,'Fórmula'!H5,37)=0,10^6,INDEX(properties!A$1:CB$87,'Fórmula'!H5,37)),IF(INDEX(properties!A$1:CB$87,'Fórmula'!J5,37)=0,10^6,INDEX(properties!A$1:CB$87,'Fórmula'!J5,37)))</f>
        <v>1</v>
      </c>
      <c r="DQ5" s="105">
        <f t="shared" si="20"/>
        <v>2.45</v>
      </c>
      <c r="DR5" s="109">
        <f t="array" ref="DR5">(('Fórmula'!C5)/('Fórmula'!C5+'Fórmula'!E5+'Fórmula'!G5+'Fórmula'!I5+'Fórmula'!K5))*(INDEX(properties!A$1:CB$87,'Fórmula'!B5,39))+(('Fórmula'!E5)/('Fórmula'!C5+'Fórmula'!E5+'Fórmula'!G5+'Fórmula'!I5+'Fórmula'!K5))*(INDEX(properties!A$1:CB$87,'Fórmula'!D5,39))+(('Fórmula'!G5)/('Fórmula'!C5+'Fórmula'!E5+'Fórmula'!G5+'Fórmula'!I5+'Fórmula'!K5))*(INDEX(properties!A$1:CB$87,'Fórmula'!F5,39))+(('Fórmula'!I5)/('Fórmula'!C5+'Fórmula'!E5+'Fórmula'!G5+'Fórmula'!I5+'Fórmula'!K5))*(INDEX(properties!A$1:CB$87,'Fórmula'!H5,39))+(('Fórmula'!K5)/('Fórmula'!C5+'Fórmula'!E5+'Fórmula'!G5+'Fórmula'!I5+'Fórmula'!K5))*(INDEX(properties!A$1:CB$87,'Fórmula'!J5,39))</f>
        <v>0.96</v>
      </c>
      <c r="DS5" s="109">
        <f t="array" ref="DS5">'Fórmula'!C5*(INDEX(properties!A$1:CB$87,'Fórmula'!B5,39))+'Fórmula'!E5*(INDEX(properties!A$1:CB$87,'Fórmula'!D5,39))+'Fórmula'!G5*(INDEX(properties!A$1:CB$87,'Fórmula'!F5,39))+'Fórmula'!I5*(INDEX(properties!A$1:CB$87,'Fórmula'!H5,39))+'Fórmula'!K5*(INDEX(properties!A$1:CB$87,'Fórmula'!J5,39))</f>
        <v>5.76</v>
      </c>
      <c r="DT5" s="109">
        <f t="array" ref="DT5">VARP(IF(INDEX(properties!A$1:CB$87,'Fórmula'!B5,39)&lt;&gt;"",INDEX(properties!A$1:CB$87,'Fórmula'!B5,39)),IF(INDEX(properties!A$1:CB$87,'Fórmula'!D5,39)&lt;&gt;"",INDEX(properties!A$1:CB$87,'Fórmula'!D5,39)),IF(INDEX(properties!A$1:CB$87,'Fórmula'!F5,39)&lt;&gt;"",INDEX(properties!A$1:CB$87,'Fórmula'!F5,39)),IF(INDEX(properties!A$1:CB$87,'Fórmula'!H5,39)&lt;&gt;"",INDEX(properties!A$1:CB$87,'Fórmula'!H5,39)),IF(INDEX(properties!A$1:CB$87,'Fórmula'!J5,39)&lt;&gt;"",INDEX(properties!A$1:CB$87,'Fórmula'!J5,39)))</f>
        <v>0.774304</v>
      </c>
      <c r="DU5" s="120">
        <f t="array" ref="DU5">MAX(INDEX(properties!A$1:CB$87,'Fórmula'!B5,39),INDEX(properties!A$1:CB$87,'Fórmula'!D5,39),INDEX(properties!A$1:CB$87,'Fórmula'!F5,39),INDEX(properties!A$1:CB$87,'Fórmula'!H5,39),INDEX(properties!A$1:CB$87,'Fórmula'!J5,39))</f>
        <v>1.94</v>
      </c>
      <c r="DV5" s="120">
        <f t="array" ref="DV5">MIN(IF(INDEX(properties!A$1:CB$87,'Fórmula'!B5,39)=0,10^6,INDEX(properties!A$1:CB$87,'Fórmula'!B5,39)),IF(INDEX(properties!A$1:CB$87,'Fórmula'!D5,39)=0,10^6,INDEX(properties!A$1:CB$87,'Fórmula'!D5,39)),IF(INDEX(properties!A$1:CB$87,'Fórmula'!F5,39)=0,10^6,INDEX(properties!A$1:CB$87,'Fórmula'!F5,39)),IF(INDEX(properties!A$1:CB$87,'Fórmula'!H5,39)=0,10^6,INDEX(properties!A$1:CB$87,'Fórmula'!H5,39)),IF(INDEX(properties!A$1:CB$87,'Fórmula'!J5,39)=0,10^6,INDEX(properties!A$1:CB$87,'Fórmula'!J5,39)))</f>
        <v>0.48</v>
      </c>
      <c r="DW5" s="109">
        <f t="shared" si="21"/>
        <v>1.46</v>
      </c>
      <c r="DX5" s="110">
        <f t="array" ref="DX5">(('Fórmula'!C5)/('Fórmula'!C5+'Fórmula'!E5+'Fórmula'!G5+'Fórmula'!I5+'Fórmula'!K5))*(INDEX(properties!A$1:CB$87,'Fórmula'!B5,40))+(('Fórmula'!E5)/('Fórmula'!C5+'Fórmula'!E5+'Fórmula'!G5+'Fórmula'!I5+'Fórmula'!K5))*(INDEX(properties!A$1:CB$87,'Fórmula'!D5,40))+(('Fórmula'!G5)/('Fórmula'!C5+'Fórmula'!E5+'Fórmula'!G5+'Fórmula'!I5+'Fórmula'!K5))*(INDEX(properties!A$1:CB$87,'Fórmula'!F5,40))+(('Fórmula'!I5)/('Fórmula'!C5+'Fórmula'!E5+'Fórmula'!G5+'Fórmula'!I5+'Fórmula'!K5))*(INDEX(properties!A$1:CB$87,'Fórmula'!H5,40))+(('Fórmula'!K5)/('Fórmula'!C5+'Fórmula'!E5+'Fórmula'!G5+'Fórmula'!I5+'Fórmula'!K5))*(INDEX(properties!A$1:CB$87,'Fórmula'!J5,40))</f>
        <v>1.018333333</v>
      </c>
      <c r="DY5" s="110">
        <f t="array" ref="DY5">'Fórmula'!C5*(INDEX(properties!A$1:CB$87,'Fórmula'!B5,40))+'Fórmula'!E5*(INDEX(properties!A$1:CB$87,'Fórmula'!D5,40))+'Fórmula'!G5*(INDEX(properties!A$1:CB$87,'Fórmula'!F5,40))+'Fórmula'!I5*(INDEX(properties!A$1:CB$87,'Fórmula'!H5,40))+'Fórmula'!K5*(INDEX(properties!A$1:CB$87,'Fórmula'!J5,40))</f>
        <v>6.11</v>
      </c>
      <c r="DZ5" s="110">
        <f t="array" ref="DZ5">VARP(IF(INDEX(properties!A$1:CB$87,'Fórmula'!B5,40)&lt;&gt;"",INDEX(properties!A$1:CB$87,'Fórmula'!B5,40)),IF(INDEX(properties!A$1:CB$87,'Fórmula'!D5,40)&lt;&gt;"",INDEX(properties!A$1:CB$87,'Fórmula'!D5,40)),IF(INDEX(properties!A$1:CB$87,'Fórmula'!F5,40)&lt;&gt;"",INDEX(properties!A$1:CB$87,'Fórmula'!F5,40)),IF(INDEX(properties!A$1:CB$87,'Fórmula'!H5,40)&lt;&gt;"",INDEX(properties!A$1:CB$87,'Fórmula'!H5,40)),IF(INDEX(properties!A$1:CB$87,'Fórmula'!J5,40)&lt;&gt;"",INDEX(properties!A$1:CB$87,'Fórmula'!J5,40)))</f>
        <v>0.517944</v>
      </c>
      <c r="EA5" s="121">
        <f t="array" ref="EA5">MAX(INDEX(properties!A$1:CB$87,'Fórmula'!B5,40),INDEX(properties!A$1:CB$87,'Fórmula'!D5,40),INDEX(properties!A$1:CB$87,'Fórmula'!F5,40),INDEX(properties!A$1:CB$87,'Fórmula'!H5,40),INDEX(properties!A$1:CB$87,'Fórmula'!J5,40))</f>
        <v>1.74</v>
      </c>
      <c r="EB5" s="121">
        <f t="array" ref="EB5">MIN(IF(INDEX(properties!A$1:CB$87,'Fórmula'!B5,40)=0,10^6,INDEX(properties!A$1:CB$87,'Fórmula'!B5,40)),IF(INDEX(properties!A$1:CB$87,'Fórmula'!D5,40)=0,10^6,INDEX(properties!A$1:CB$87,'Fórmula'!D5,40)),IF(INDEX(properties!A$1:CB$87,'Fórmula'!F5,40)=0,10^6,INDEX(properties!A$1:CB$87,'Fórmula'!F5,40)),IF(INDEX(properties!A$1:CB$87,'Fórmula'!H5,40)=0,10^6,INDEX(properties!A$1:CB$87,'Fórmula'!H5,40)),IF(INDEX(properties!A$1:CB$87,'Fórmula'!J5,40)=0,10^6,INDEX(properties!A$1:CB$87,'Fórmula'!J5,40)))</f>
        <v>0.73</v>
      </c>
      <c r="EC5" s="110">
        <f t="shared" si="22"/>
        <v>1.01</v>
      </c>
      <c r="ED5" s="111">
        <f t="array" ref="ED5">(('Fórmula'!C5)/('Fórmula'!C5+'Fórmula'!E5+'Fórmula'!G5+'Fórmula'!I5+'Fórmula'!K5))*(INDEX(properties!A$1:CB$87,'Fórmula'!B5,41))+(('Fórmula'!E5)/('Fórmula'!C5+'Fórmula'!E5+'Fórmula'!G5+'Fórmula'!I5+'Fórmula'!K5))*(INDEX(properties!A$1:CB$87,'Fórmula'!D5,41))+(('Fórmula'!G5)/('Fórmula'!C5+'Fórmula'!E5+'Fórmula'!G5+'Fórmula'!I5+'Fórmula'!K5))*(INDEX(properties!A$1:CB$87,'Fórmula'!F5,41))+(('Fórmula'!I5)/('Fórmula'!C5+'Fórmula'!E5+'Fórmula'!G5+'Fórmula'!I5+'Fórmula'!K5))*(INDEX(properties!A$1:CB$87,'Fórmula'!H5,41))+(('Fórmula'!K5)/('Fórmula'!C5+'Fórmula'!E5+'Fórmula'!G5+'Fórmula'!I5+'Fórmula'!K5))*(INDEX(properties!A$1:CB$87,'Fórmula'!J5,41))</f>
        <v>1.168333333</v>
      </c>
      <c r="EE5" s="111">
        <f t="array" ref="EE5">'Fórmula'!C5*(INDEX(properties!A$1:CB$87,'Fórmula'!B5,41))+'Fórmula'!E5*(INDEX(properties!A$1:CB$87,'Fórmula'!D5,41))+'Fórmula'!G5*(INDEX(properties!A$1:CB$87,'Fórmula'!F5,41))+'Fórmula'!I5*(INDEX(properties!A$1:CB$87,'Fórmula'!H5,41))+'Fórmula'!K5*(INDEX(properties!A$1:CB$87,'Fórmula'!J5,41))</f>
        <v>7.01</v>
      </c>
      <c r="EF5" s="111">
        <f t="array" ref="EF5">VARP(IF(INDEX(properties!A$1:CB$87,'Fórmula'!B5,41)&lt;&gt;"",INDEX(properties!A$1:CB$87,'Fórmula'!B5,41)),IF(INDEX(properties!A$1:CB$87,'Fórmula'!D5,41)&lt;&gt;"",INDEX(properties!A$1:CB$87,'Fórmula'!D5,41)),IF(INDEX(properties!A$1:CB$87,'Fórmula'!F5,41)&lt;&gt;"",INDEX(properties!A$1:CB$87,'Fórmula'!F5,41)),IF(INDEX(properties!A$1:CB$87,'Fórmula'!H5,41)&lt;&gt;"",INDEX(properties!A$1:CB$87,'Fórmula'!H5,41)),IF(INDEX(properties!A$1:CB$87,'Fórmula'!J5,41)&lt;&gt;"",INDEX(properties!A$1:CB$87,'Fórmula'!J5,41)))</f>
        <v>0.297904</v>
      </c>
      <c r="EG5" s="122">
        <f t="array" ref="EG5">MAX(INDEX(properties!A$1:CB$87,'Fórmula'!B5,41),INDEX(properties!A$1:CB$87,'Fórmula'!D5,41),INDEX(properties!A$1:CB$87,'Fórmula'!F5,41),INDEX(properties!A$1:CB$87,'Fórmula'!H5,41),INDEX(properties!A$1:CB$87,'Fórmula'!J5,41))</f>
        <v>1.26</v>
      </c>
      <c r="EH5" s="122">
        <f t="array" ref="EH5">MIN(IF(INDEX(properties!A$1:CB$87,'Fórmula'!B5,41)=0,10^6,INDEX(properties!A$1:CB$87,'Fórmula'!B5,41)),IF(INDEX(properties!A$1:CB$87,'Fórmula'!D5,41)=0,10^6,INDEX(properties!A$1:CB$87,'Fórmula'!D5,41)),IF(INDEX(properties!A$1:CB$87,'Fórmula'!F5,41)=0,10^6,INDEX(properties!A$1:CB$87,'Fórmula'!F5,41)),IF(INDEX(properties!A$1:CB$87,'Fórmula'!H5,41)=0,10^6,INDEX(properties!A$1:CB$87,'Fórmula'!H5,41)),IF(INDEX(properties!A$1:CB$87,'Fórmula'!J5,41)=0,10^6,INDEX(properties!A$1:CB$87,'Fórmula'!J5,41)))</f>
        <v>0.83</v>
      </c>
      <c r="EI5" s="111">
        <f t="shared" si="23"/>
        <v>0.43</v>
      </c>
      <c r="EJ5" s="112">
        <f t="array" ref="EJ5">(('Fórmula'!C5)/('Fórmula'!C5+'Fórmula'!E5+'Fórmula'!G5+'Fórmula'!I5+'Fórmula'!K5))*(INDEX(properties!A$1:CB$87,'Fórmula'!B5,45))+(('Fórmula'!E5)/('Fórmula'!C5+'Fórmula'!E5+'Fórmula'!G5+'Fórmula'!I5+'Fórmula'!K5))*(INDEX(properties!A$1:CB$87,'Fórmula'!D5,45))+(('Fórmula'!G5)/('Fórmula'!C5+'Fórmula'!E5+'Fórmula'!G5+'Fórmula'!I5+'Fórmula'!K5))*(INDEX(properties!A$1:CB$87,'Fórmula'!F5,45))+(('Fórmula'!I5)/('Fórmula'!C5+'Fórmula'!E5+'Fórmula'!G5+'Fórmula'!I5+'Fórmula'!K5))*(INDEX(properties!A$1:CB$87,'Fórmula'!H5,45))+(('Fórmula'!K5)/('Fórmula'!C5+'Fórmula'!E5+'Fórmula'!G5+'Fórmula'!I5+'Fórmula'!K5))*(INDEX(properties!A$1:CB$87,'Fórmula'!J5,45))</f>
        <v>1.266666667</v>
      </c>
      <c r="EK5" s="112">
        <f t="array" ref="EK5">'Fórmula'!C5*(INDEX(properties!A$1:CB$87,'Fórmula'!B5,45))+'Fórmula'!E5*(INDEX(properties!A$1:CB$87,'Fórmula'!D5,45))+'Fórmula'!G5*(INDEX(properties!A$1:CB$87,'Fórmula'!F5,45))+'Fórmula'!I5*(INDEX(properties!A$1:CB$87,'Fórmula'!H5,45))+'Fórmula'!K5*(INDEX(properties!A$1:CB$87,'Fórmula'!J5,45))</f>
        <v>7.6</v>
      </c>
      <c r="EL5" s="112">
        <f t="array" ref="EL5">VARP(IF(INDEX(properties!A$1:CB$87,'Fórmula'!B5,45)&lt;&gt;"",INDEX(properties!A$1:CB$87,'Fórmula'!B5,45)),IF(INDEX(properties!A$1:CB$87,'Fórmula'!D5,45)&lt;&gt;"",INDEX(properties!A$1:CB$87,'Fórmula'!D5,45)),IF(INDEX(properties!A$1:CB$87,'Fórmula'!F5,45)&lt;&gt;"",INDEX(properties!A$1:CB$87,'Fórmula'!F5,45)),IF(INDEX(properties!A$1:CB$87,'Fórmula'!H5,45)&lt;&gt;"",INDEX(properties!A$1:CB$87,'Fórmula'!H5,45)),IF(INDEX(properties!A$1:CB$87,'Fórmula'!J5,45)&lt;&gt;"",INDEX(properties!A$1:CB$87,'Fórmula'!J5,45)))</f>
        <v>1.791216</v>
      </c>
      <c r="EM5" s="123">
        <f t="array" ref="EM5">MAX(INDEX(properties!A$1:CB$87,'Fórmula'!B5,45),INDEX(properties!A$1:CB$87,'Fórmula'!D5,45),INDEX(properties!A$1:CB$87,'Fórmula'!F5,45),INDEX(properties!A$1:CB$87,'Fórmula'!H5,45),INDEX(properties!A$1:CB$87,'Fórmula'!J5,45))</f>
        <v>3</v>
      </c>
      <c r="EN5" s="123">
        <f t="array" ref="EN5">MIN(IF(INDEX(properties!A$1:CB$87,'Fórmula'!B5,45)=0,10^6,INDEX(properties!A$1:CB$87,'Fórmula'!B5,45)),IF(INDEX(properties!A$1:CB$87,'Fórmula'!D5,45)=0,10^6,INDEX(properties!A$1:CB$87,'Fórmula'!D5,45)),IF(INDEX(properties!A$1:CB$87,'Fórmula'!F5,45)=0,10^6,INDEX(properties!A$1:CB$87,'Fórmula'!F5,45)),IF(INDEX(properties!A$1:CB$87,'Fórmula'!H5,45)=0,10^6,INDEX(properties!A$1:CB$87,'Fórmula'!H5,45)),IF(INDEX(properties!A$1:CB$87,'Fórmula'!J5,45)=0,10^6,INDEX(properties!A$1:CB$87,'Fórmula'!J5,45)))</f>
        <v>0.47</v>
      </c>
      <c r="EO5" s="112">
        <f t="shared" si="24"/>
        <v>2.53</v>
      </c>
      <c r="EP5" s="113">
        <f t="array" ref="EP5">(('Fórmula'!C5)/('Fórmula'!C5+'Fórmula'!E5+'Fórmula'!G5+'Fórmula'!I5+'Fórmula'!K5))*(INDEX(properties!A$1:CB$87,'Fórmula'!B5,46))+(('Fórmula'!E5)/('Fórmula'!C5+'Fórmula'!E5+'Fórmula'!G5+'Fórmula'!I5+'Fórmula'!K5))*(INDEX(properties!A$1:CB$87,'Fórmula'!D5,46))+(('Fórmula'!G5)/('Fórmula'!C5+'Fórmula'!E5+'Fórmula'!G5+'Fórmula'!I5+'Fórmula'!K5))*(INDEX(properties!A$1:CB$87,'Fórmula'!F5,46))+(('Fórmula'!I5)/('Fórmula'!C5+'Fórmula'!E5+'Fórmula'!G5+'Fórmula'!I5+'Fórmula'!K5))*(INDEX(properties!A$1:CB$87,'Fórmula'!H5,46))+(('Fórmula'!K5)/('Fórmula'!C5+'Fórmula'!E5+'Fórmula'!G5+'Fórmula'!I5+'Fórmula'!K5))*(INDEX(properties!A$1:CB$87,'Fórmula'!J5,46))</f>
        <v>1.128333333</v>
      </c>
      <c r="EQ5" s="113">
        <f t="array" ref="EQ5">'Fórmula'!C5*(INDEX(properties!A$1:CB$87,'Fórmula'!B5,46))+'Fórmula'!E5*(INDEX(properties!A$1:CB$87,'Fórmula'!D5,46))+'Fórmula'!G5*(INDEX(properties!A$1:CB$87,'Fórmula'!F5,46))+'Fórmula'!I5*(INDEX(properties!A$1:CB$87,'Fórmula'!H5,46))+'Fórmula'!K5*(INDEX(properties!A$1:CB$87,'Fórmula'!J5,46))</f>
        <v>6.77</v>
      </c>
      <c r="ER5" s="113">
        <f t="array" ref="ER5">VARP(IF(INDEX(properties!A$1:CB$87,'Fórmula'!B5,46)&lt;&gt;"",INDEX(properties!A$1:CB$87,'Fórmula'!B5,46)),IF(INDEX(properties!A$1:CB$87,'Fórmula'!D5,46)&lt;&gt;"",INDEX(properties!A$1:CB$87,'Fórmula'!D5,46)),IF(INDEX(properties!A$1:CB$87,'Fórmula'!F5,46)&lt;&gt;"",INDEX(properties!A$1:CB$87,'Fórmula'!F5,46)),IF(INDEX(properties!A$1:CB$87,'Fórmula'!H5,46)&lt;&gt;"",INDEX(properties!A$1:CB$87,'Fórmula'!H5,46)),IF(INDEX(properties!A$1:CB$87,'Fórmula'!J5,46)&lt;&gt;"",INDEX(properties!A$1:CB$87,'Fórmula'!J5,46)))</f>
        <v>0.283176</v>
      </c>
      <c r="ES5" s="124">
        <f t="array" ref="ES5">MAX(INDEX(properties!A$1:CB$87,'Fórmula'!B5,46),INDEX(properties!A$1:CB$87,'Fórmula'!D5,46),INDEX(properties!A$1:CB$87,'Fórmula'!F5,46),INDEX(properties!A$1:CB$87,'Fórmula'!H5,46),INDEX(properties!A$1:CB$87,'Fórmula'!J5,46))</f>
        <v>1.21</v>
      </c>
      <c r="ET5" s="124">
        <f t="array" ref="ET5">MIN(IF(INDEX(properties!A$1:CB$87,'Fórmula'!B5,46)=0,10^6,INDEX(properties!A$1:CB$87,'Fórmula'!B5,46)),IF(INDEX(properties!A$1:CB$87,'Fórmula'!D5,46)=0,10^6,INDEX(properties!A$1:CB$87,'Fórmula'!D5,46)),IF(INDEX(properties!A$1:CB$87,'Fórmula'!F5,46)=0,10^6,INDEX(properties!A$1:CB$87,'Fórmula'!F5,46)),IF(INDEX(properties!A$1:CB$87,'Fórmula'!H5,46)=0,10^6,INDEX(properties!A$1:CB$87,'Fórmula'!H5,46)),IF(INDEX(properties!A$1:CB$87,'Fórmula'!J5,46)=0,10^6,INDEX(properties!A$1:CB$87,'Fórmula'!J5,46)))</f>
        <v>0.79</v>
      </c>
      <c r="EU5" s="113">
        <f t="shared" si="25"/>
        <v>0.42</v>
      </c>
      <c r="EV5" s="114">
        <f t="array" ref="EV5">(('Fórmula'!C5)/('Fórmula'!C5+'Fórmula'!E5+'Fórmula'!G5+'Fórmula'!I5+'Fórmula'!K5))*(INDEX(properties!A$1:CB$87,'Fórmula'!B5,52))+(('Fórmula'!E5)/('Fórmula'!C5+'Fórmula'!E5+'Fórmula'!G5+'Fórmula'!I5+'Fórmula'!K5))*(INDEX(properties!A$1:CB$87,'Fórmula'!D5,52))+(('Fórmula'!G5)/('Fórmula'!C5+'Fórmula'!E5+'Fórmula'!G5+'Fórmula'!I5+'Fórmula'!K5))*(INDEX(properties!A$1:CB$87,'Fórmula'!F5,52))+(('Fórmula'!I5)/('Fórmula'!C5+'Fórmula'!E5+'Fórmula'!G5+'Fórmula'!I5+'Fórmula'!K5))*(INDEX(properties!A$1:CB$87,'Fórmula'!H5,52))+(('Fórmula'!K5)/('Fórmula'!C5+'Fórmula'!E5+'Fórmula'!G5+'Fórmula'!I5+'Fórmula'!K5))*(INDEX(properties!A$1:CB$87,'Fórmula'!J5,52))</f>
        <v>6.462</v>
      </c>
      <c r="EW5" s="114">
        <f t="array" ref="EW5">'Fórmula'!C5*(INDEX(properties!A$1:CB$87,'Fórmula'!B5,52))+'Fórmula'!E5*(INDEX(properties!A$1:CB$87,'Fórmula'!D5,52))+'Fórmula'!G5*(INDEX(properties!A$1:CB$87,'Fórmula'!F5,52))+'Fórmula'!I5*(INDEX(properties!A$1:CB$87,'Fórmula'!H5,52))+'Fórmula'!K5*(INDEX(properties!A$1:CB$87,'Fórmula'!J5,52))</f>
        <v>38.772</v>
      </c>
      <c r="EX5" s="114">
        <f t="array" ref="EX5">VARP(IF(INDEX(properties!A$1:CB$87,'Fórmula'!B5,52)&lt;&gt;"",INDEX(properties!A$1:CB$87,'Fórmula'!B5,52)),IF(INDEX(properties!A$1:CB$87,'Fórmula'!D5,52)&lt;&gt;"",INDEX(properties!A$1:CB$87,'Fórmula'!D5,52)),IF(INDEX(properties!A$1:CB$87,'Fórmula'!F5,52)&lt;&gt;"",INDEX(properties!A$1:CB$87,'Fórmula'!F5,52)),IF(INDEX(properties!A$1:CB$87,'Fórmula'!H5,52)&lt;&gt;"",INDEX(properties!A$1:CB$87,'Fórmula'!H5,52)),IF(INDEX(properties!A$1:CB$87,'Fórmula'!J5,52)&lt;&gt;"",INDEX(properties!A$1:CB$87,'Fórmula'!J5,52)))</f>
        <v>83.88375184</v>
      </c>
      <c r="EY5" s="114">
        <f t="array" ref="EY5">MAX(INDEX(properties!A$1:CB$87,'Fórmula'!B5,52),INDEX(properties!A$1:CB$87,'Fórmula'!D5,52),INDEX(properties!A$1:CB$87,'Fórmula'!F5,52),INDEX(properties!A$1:CB$87,'Fórmula'!H5,52),INDEX(properties!A$1:CB$87,'Fórmula'!J5,52))</f>
        <v>22.8</v>
      </c>
      <c r="EZ5" s="114">
        <f t="array" ref="EZ5">MIN(IF(INDEX(properties!A$1:CB$87,'Fórmula'!B5,52)=0,10^6,INDEX(properties!A$1:CB$87,'Fórmula'!B5,52)),IF(INDEX(properties!A$1:CB$87,'Fórmula'!D5,52)=0,10^6,INDEX(properties!A$1:CB$87,'Fórmula'!D5,52)),IF(INDEX(properties!A$1:CB$87,'Fórmula'!F5,52)=0,10^6,INDEX(properties!A$1:CB$87,'Fórmula'!F5,52)),IF(INDEX(properties!A$1:CB$87,'Fórmula'!H5,52)=0,10^6,INDEX(properties!A$1:CB$87,'Fórmula'!H5,52)),IF(INDEX(properties!A$1:CB$87,'Fórmula'!J5,52)=0,10^6,INDEX(properties!A$1:CB$87,'Fórmula'!J5,52)))</f>
        <v>0.793</v>
      </c>
      <c r="FA5" s="114">
        <f t="shared" si="26"/>
        <v>22.007</v>
      </c>
      <c r="FB5" s="115">
        <f t="array" ref="FB5">(('Fórmula'!C5)/('Fórmula'!C5+'Fórmula'!E5+'Fórmula'!G5+'Fórmula'!I5+'Fórmula'!K5))*(INDEX(properties!A$1:CB$87,'Fórmula'!B5,53))+(('Fórmula'!E5)/('Fórmula'!C5+'Fórmula'!E5+'Fórmula'!G5+'Fórmula'!I5+'Fórmula'!K5))*(INDEX(properties!A$1:CB$87,'Fórmula'!D5,53))+(('Fórmula'!G5)/('Fórmula'!C5+'Fórmula'!E5+'Fórmula'!G5+'Fórmula'!I5+'Fórmula'!K5))*(INDEX(properties!A$1:CB$87,'Fórmula'!F5,53))+(('Fórmula'!I5)/('Fórmula'!C5+'Fórmula'!E5+'Fórmula'!G5+'Fórmula'!I5+'Fórmula'!K5))*(INDEX(properties!A$1:CB$87,'Fórmula'!H5,53))+(('Fórmula'!K5)/('Fórmula'!C5+'Fórmula'!E5+'Fórmula'!G5+'Fórmula'!I5+'Fórmula'!K5))*(INDEX(properties!A$1:CB$87,'Fórmula'!J5,53))</f>
        <v>703.55</v>
      </c>
      <c r="FC5" s="115">
        <f t="array" ref="FC5">'Fórmula'!C5*(INDEX(properties!A$1:CB$87,'Fórmula'!B5,53))+'Fórmula'!E5*(INDEX(properties!A$1:CB$87,'Fórmula'!D5,53))+'Fórmula'!G5*(INDEX(properties!A$1:CB$87,'Fórmula'!F5,53))+'Fórmula'!I5*(INDEX(properties!A$1:CB$87,'Fórmula'!H5,53))+'Fórmula'!K5*(INDEX(properties!A$1:CB$87,'Fórmula'!J5,53))</f>
        <v>4221.3</v>
      </c>
      <c r="FD5" s="115">
        <f t="array" ref="FD5">VARP(IF(INDEX(properties!A$1:CB$87,'Fórmula'!B5,53)&lt;&gt;"",INDEX(properties!A$1:CB$87,'Fórmula'!B5,53)),IF(INDEX(properties!A$1:CB$87,'Fórmula'!D5,53)&lt;&gt;"",INDEX(properties!A$1:CB$87,'Fórmula'!D5,53)),IF(INDEX(properties!A$1:CB$87,'Fórmula'!F5,53)&lt;&gt;"",INDEX(properties!A$1:CB$87,'Fórmula'!F5,53)),IF(INDEX(properties!A$1:CB$87,'Fórmula'!H5,53)&lt;&gt;"",INDEX(properties!A$1:CB$87,'Fórmula'!H5,53)),IF(INDEX(properties!A$1:CB$87,'Fórmula'!J5,53)&lt;&gt;"",INDEX(properties!A$1:CB$87,'Fórmula'!J5,53)))</f>
        <v>1260182.253</v>
      </c>
      <c r="FE5" s="115">
        <f t="array" ref="FE5">MAX(INDEX(properties!A$1:CB$87,'Fórmula'!B5,53),INDEX(properties!A$1:CB$87,'Fórmula'!D5,53),INDEX(properties!A$1:CB$87,'Fórmula'!F5,53),INDEX(properties!A$1:CB$87,'Fórmula'!H5,53),INDEX(properties!A$1:CB$87,'Fórmula'!J5,53))</f>
        <v>2890.15</v>
      </c>
      <c r="FF5" s="115">
        <f t="array" ref="FF5">MIN(IF(INDEX(properties!A$1:CB$87,'Fórmula'!B5,53)=0,10^6,INDEX(properties!A$1:CB$87,'Fórmula'!B5,53)),IF(INDEX(properties!A$1:CB$87,'Fórmula'!D5,53)=0,10^6,INDEX(properties!A$1:CB$87,'Fórmula'!D5,53)),IF(INDEX(properties!A$1:CB$87,'Fórmula'!F5,53)=0,10^6,INDEX(properties!A$1:CB$87,'Fórmula'!F5,53)),IF(INDEX(properties!A$1:CB$87,'Fórmula'!H5,53)=0,10^6,INDEX(properties!A$1:CB$87,'Fórmula'!H5,53)),IF(INDEX(properties!A$1:CB$87,'Fórmula'!J5,53)=0,10^6,INDEX(properties!A$1:CB$87,'Fórmula'!J5,53)))</f>
        <v>54.75</v>
      </c>
      <c r="FG5" s="115">
        <f t="shared" si="27"/>
        <v>2835.4</v>
      </c>
      <c r="FH5" s="117">
        <f t="array" ref="FH5">(('Fórmula'!C5)/('Fórmula'!C5+'Fórmula'!E5+'Fórmula'!G5+'Fórmula'!I5+'Fórmula'!K5))*(INDEX(properties!A$1:CB$87,'Fórmula'!B5,54))+(('Fórmula'!E5)/('Fórmula'!C5+'Fórmula'!E5+'Fórmula'!G5+'Fórmula'!I5+'Fórmula'!K5))*(INDEX(properties!A$1:CB$87,'Fórmula'!D5,54))+(('Fórmula'!G5)/('Fórmula'!C5+'Fórmula'!E5+'Fórmula'!G5+'Fórmula'!I5+'Fórmula'!K5))*(INDEX(properties!A$1:CB$87,'Fórmula'!F5,54))+(('Fórmula'!I5)/('Fórmula'!C5+'Fórmula'!E5+'Fórmula'!G5+'Fórmula'!I5+'Fórmula'!K5))*(INDEX(properties!A$1:CB$87,'Fórmula'!H5,54))+(('Fórmula'!K5)/('Fórmula'!C5+'Fórmula'!E5+'Fórmula'!G5+'Fórmula'!I5+'Fórmula'!K5))*(INDEX(properties!A$1:CB$87,'Fórmula'!J5,54))</f>
        <v>1167.15</v>
      </c>
      <c r="FI5" s="117">
        <f t="array" ref="FI5">'Fórmula'!C5*(INDEX(properties!A$1:CB$87,'Fórmula'!B5,54))+'Fórmula'!E5*(INDEX(properties!A$1:CB$87,'Fórmula'!D5,54))+'Fórmula'!G5*(INDEX(properties!A$1:CB$87,'Fórmula'!F5,54))+'Fórmula'!I5*(INDEX(properties!A$1:CB$87,'Fórmula'!H5,54))+'Fórmula'!K5*(INDEX(properties!A$1:CB$87,'Fórmula'!J5,54))</f>
        <v>7002.9</v>
      </c>
      <c r="FJ5" s="117">
        <f t="array" ref="FJ5">VARP(IF(INDEX(properties!A$1:CB$87,'Fórmula'!B5,54)&lt;&gt;"",INDEX(properties!A$1:CB$87,'Fórmula'!B5,54)),IF(INDEX(properties!A$1:CB$87,'Fórmula'!D5,54)&lt;&gt;"",INDEX(properties!A$1:CB$87,'Fórmula'!D5,54)),IF(INDEX(properties!A$1:CB$87,'Fórmula'!F5,54)&lt;&gt;"",INDEX(properties!A$1:CB$87,'Fórmula'!F5,54)),IF(INDEX(properties!A$1:CB$87,'Fórmula'!H5,54)&lt;&gt;"",INDEX(properties!A$1:CB$87,'Fórmula'!H5,54)),IF(INDEX(properties!A$1:CB$87,'Fórmula'!J5,54)&lt;&gt;"",INDEX(properties!A$1:CB$87,'Fórmula'!J5,54)))</f>
        <v>3579043.413</v>
      </c>
      <c r="FK5" s="117">
        <f t="array" ref="FK5">MAX(INDEX(properties!A$1:CB$87,'Fórmula'!B5,54),INDEX(properties!A$1:CB$87,'Fórmula'!D5,54),INDEX(properties!A$1:CB$87,'Fórmula'!F5,54),INDEX(properties!A$1:CB$87,'Fórmula'!H5,54),INDEX(properties!A$1:CB$87,'Fórmula'!J5,54))</f>
        <v>4885.15</v>
      </c>
      <c r="FL5" s="117">
        <f t="array" ref="FL5">MIN(IF(INDEX(properties!A$1:CB$87,'Fórmula'!B5,54)=0,10^6,INDEX(properties!A$1:CB$87,'Fórmula'!B5,54)),IF(INDEX(properties!A$1:CB$87,'Fórmula'!D5,54)=0,10^6,INDEX(properties!A$1:CB$87,'Fórmula'!D5,54)),IF(INDEX(properties!A$1:CB$87,'Fórmula'!F5,54)=0,10^6,INDEX(properties!A$1:CB$87,'Fórmula'!F5,54)),IF(INDEX(properties!A$1:CB$87,'Fórmula'!H5,54)=0,10^6,INDEX(properties!A$1:CB$87,'Fórmula'!H5,54)),IF(INDEX(properties!A$1:CB$87,'Fórmula'!J5,54)=0,10^6,INDEX(properties!A$1:CB$87,'Fórmula'!J5,54)))</f>
        <v>90.15</v>
      </c>
      <c r="FM5" s="117">
        <f t="shared" si="28"/>
        <v>4795</v>
      </c>
      <c r="FN5" s="118">
        <f t="array" ref="FN5">(('Fórmula'!C5)/('Fórmula'!C5+'Fórmula'!E5+'Fórmula'!G5+'Fórmula'!I5+'Fórmula'!K5))*(INDEX(properties!A$1:CB$87,'Fórmula'!B5,55))+(('Fórmula'!E5)/('Fórmula'!C5+'Fórmula'!E5+'Fórmula'!G5+'Fórmula'!I5+'Fórmula'!K5))*(INDEX(properties!A$1:CB$87,'Fórmula'!D5,55))+(('Fórmula'!G5)/('Fórmula'!C5+'Fórmula'!E5+'Fórmula'!G5+'Fórmula'!I5+'Fórmula'!K5))*(INDEX(properties!A$1:CB$87,'Fórmula'!F5,55))+(('Fórmula'!I5)/('Fórmula'!C5+'Fórmula'!E5+'Fórmula'!G5+'Fórmula'!I5+'Fórmula'!K5))*(INDEX(properties!A$1:CB$87,'Fórmula'!H5,55))+(('Fórmula'!K5)/('Fórmula'!C5+'Fórmula'!E5+'Fórmula'!G5+'Fórmula'!I5+'Fórmula'!K5))*(INDEX(properties!A$1:CB$87,'Fórmula'!J5,55))</f>
        <v>1.959286667</v>
      </c>
      <c r="FO5" s="118">
        <f t="array" ref="FO5">'Fórmula'!C5*(INDEX(properties!A$1:CB$87,'Fórmula'!B5,55))+'Fórmula'!E5*(INDEX(properties!A$1:CB$87,'Fórmula'!D5,54))+'Fórmula'!G5*(INDEX(properties!A$1:CB$87,'Fórmula'!F5,55))+'Fórmula'!I5*(INDEX(properties!A$1:CB$87,'Fórmula'!H5,55))+'Fórmula'!K5*(INDEX(properties!A$1:CB$87,'Fórmula'!J5,55))</f>
        <v>4886.70572</v>
      </c>
      <c r="FP5" s="118">
        <f t="array" ref="FP5">VARP(IF(INDEX(properties!A$1:CB$87,'Fórmula'!B5,55)&lt;&gt;"",INDEX(properties!A$1:CB$87,'Fórmula'!B5,55)),IF(INDEX(properties!A$1:CB$87,'Fórmula'!D5,55)&lt;&gt;"",INDEX(properties!A$1:CB$87,'Fórmula'!D5,55)),IF(INDEX(properties!A$1:CB$87,'Fórmula'!F5,55)&lt;&gt;"",INDEX(properties!A$1:CB$87,'Fórmula'!F5,55)),IF(INDEX(properties!A$1:CB$87,'Fórmula'!H5,55)&lt;&gt;"",INDEX(properties!A$1:CB$87,'Fórmula'!H5,55)),IF(INDEX(properties!A$1:CB$87,'Fórmula'!J5,55)&lt;&gt;"",INDEX(properties!A$1:CB$87,'Fórmula'!J5,55)))</f>
        <v>15.76465613</v>
      </c>
      <c r="FQ5" s="118">
        <f t="array" ref="FQ5">MAX(INDEX(properties!A$1:CB$87,'Fórmula'!B5,55),INDEX(properties!A$1:CB$87,'Fórmula'!D5,55),INDEX(properties!A$1:CB$87,'Fórmula'!F5,55),INDEX(properties!A$1:CB$87,'Fórmula'!H5,55),INDEX(properties!A$1:CB$87,'Fórmula'!J5,55))</f>
        <v>10.2</v>
      </c>
      <c r="FR5" s="118">
        <f t="array" ref="FR5">MIN(IF(INDEX(properties!A$1:CB$87,'Fórmula'!B5,55)=0,10^6,INDEX(properties!A$1:CB$87,'Fórmula'!B5,55)),IF(INDEX(properties!A$1:CB$87,'Fórmula'!D5,55)=0,10^6,INDEX(properties!A$1:CB$87,'Fórmula'!D5,55)),IF(INDEX(properties!A$1:CB$87,'Fórmula'!F5,55)=0,10^6,INDEX(properties!A$1:CB$87,'Fórmula'!F5,55)),IF(INDEX(properties!A$1:CB$87,'Fórmula'!H5,55)=0,10^6,INDEX(properties!A$1:CB$87,'Fórmula'!H5,55)),IF(INDEX(properties!A$1:CB$87,'Fórmula'!J5,55)=0,10^6,INDEX(properties!A$1:CB$87,'Fórmula'!J5,55)))</f>
        <v>0.00143</v>
      </c>
      <c r="FS5" s="118">
        <f t="shared" si="29"/>
        <v>10.19857</v>
      </c>
      <c r="FT5" s="119">
        <f t="array" ref="FT5">(('Fórmula'!C5)/('Fórmula'!C5+'Fórmula'!E5+'Fórmula'!G5+'Fórmula'!I5+'Fórmula'!K5))*(INDEX(properties!A$1:CB$87,'Fórmula'!B5,56))+(('Fórmula'!E5)/('Fórmula'!C5+'Fórmula'!E5+'Fórmula'!G5+'Fórmula'!I5+'Fórmula'!K5))*(INDEX(properties!A$1:CB$87,'Fórmula'!D5,56))+(('Fórmula'!G5)/('Fórmula'!C5+'Fórmula'!E5+'Fórmula'!G5+'Fórmula'!I5+'Fórmula'!K5))*(INDEX(properties!A$1:CB$87,'Fórmula'!F5,56))+(('Fórmula'!I5)/('Fórmula'!C5+'Fórmula'!E5+'Fórmula'!G5+'Fórmula'!I5+'Fórmula'!K5))*(INDEX(properties!A$1:CB$87,'Fórmula'!H5,56))+(('Fórmula'!K5)/('Fórmula'!C5+'Fórmula'!E5+'Fórmula'!G5+'Fórmula'!I5+'Fórmula'!K5))*(INDEX(properties!A$1:CB$87,'Fórmula'!J5,56))</f>
        <v>0.76</v>
      </c>
      <c r="FU5" s="119">
        <f t="array" ref="FU5">'Fórmula'!C5*(INDEX(properties!A$1:CB$87,'Fórmula'!B5,56))+'Fórmula'!E5*(INDEX(properties!A$1:CB$87,'Fórmula'!D5,56))+'Fórmula'!G5*(INDEX(properties!A$1:CB$87,'Fórmula'!F5,56))+'Fórmula'!I5*(INDEX(properties!A$1:CB$87,'Fórmula'!H5,56))+'Fórmula'!K5*(INDEX(properties!A$1:CB$87,'Fórmula'!J5,56))</f>
        <v>4.56</v>
      </c>
      <c r="FV5" s="119">
        <f t="array" ref="FV5">VARP(IF(INDEX(properties!A$1:CB$87,'Fórmula'!B5,56)&lt;&gt;"",INDEX(properties!A$1:CB$87,'Fórmula'!B5,56)),IF(INDEX(properties!A$1:CB$87,'Fórmula'!D5,56)&lt;&gt;"",INDEX(properties!A$1:CB$87,'Fórmula'!D5,56)),IF(INDEX(properties!A$1:CB$87,'Fórmula'!F5,56)&lt;&gt;"",INDEX(properties!A$1:CB$87,'Fórmula'!F5,56)),IF(INDEX(properties!A$1:CB$87,'Fórmula'!H5,56)&lt;&gt;"",INDEX(properties!A$1:CB$87,'Fórmula'!H5,56)),IF(INDEX(properties!A$1:CB$87,'Fórmula'!J5,56)&lt;&gt;"",INDEX(properties!A$1:CB$87,'Fórmula'!J5,56)))</f>
        <v>0.13156</v>
      </c>
      <c r="FW5" s="119">
        <f t="array" ref="FW5">MAX(INDEX(properties!A$1:CB$87,'Fórmula'!B5,56),INDEX(properties!A$1:CB$87,'Fórmula'!D5,56),INDEX(properties!A$1:CB$87,'Fórmula'!F5,56),INDEX(properties!A$1:CB$87,'Fórmula'!H5,56),INDEX(properties!A$1:CB$87,'Fórmula'!J5,56))</f>
        <v>0.92</v>
      </c>
      <c r="FX5" s="119">
        <f t="array" ref="FX5">MIN(IF(INDEX(properties!A$1:CB$87,'Fórmula'!B5,56)=0,10^6,INDEX(properties!A$1:CB$87,'Fórmula'!B5,56)),IF(INDEX(properties!A$1:CB$87,'Fórmula'!D5,56)=0,10^6,INDEX(properties!A$1:CB$87,'Fórmula'!D5,56)),IF(INDEX(properties!A$1:CB$87,'Fórmula'!F5,56)=0,10^6,INDEX(properties!A$1:CB$87,'Fórmula'!F5,56)),IF(INDEX(properties!A$1:CB$87,'Fórmula'!H5,56)=0,10^6,INDEX(properties!A$1:CB$87,'Fórmula'!H5,56)),IF(INDEX(properties!A$1:CB$87,'Fórmula'!J5,56)=0,10^6,INDEX(properties!A$1:CB$87,'Fórmula'!J5,56)))</f>
        <v>0.25</v>
      </c>
      <c r="FY5" s="119">
        <f t="shared" si="30"/>
        <v>0.67</v>
      </c>
      <c r="FZ5" s="104">
        <f t="array" ref="FZ5">(('Fórmula'!C5)/('Fórmula'!C5+'Fórmula'!E5+'Fórmula'!G5+'Fórmula'!I5+'Fórmula'!K5))*(INDEX(properties!A$1:CB$87,'Fórmula'!B5,57))+(('Fórmula'!E5)/('Fórmula'!C5+'Fórmula'!E5+'Fórmula'!G5+'Fórmula'!I5+'Fórmula'!K5))*(INDEX(properties!A$1:CB$87,'Fórmula'!D5,57))+(('Fórmula'!G5)/('Fórmula'!C5+'Fórmula'!E5+'Fórmula'!G5+'Fórmula'!I5+'Fórmula'!K5))*(INDEX(properties!A$1:CB$87,'Fórmula'!F5,57))+(('Fórmula'!I5)/('Fórmula'!C5+'Fórmula'!E5+'Fórmula'!G5+'Fórmula'!I5+'Fórmula'!K5))*(INDEX(properties!A$1:CB$87,'Fórmula'!H5,57))+(('Fórmula'!K5)/('Fórmula'!C5+'Fórmula'!E5+'Fórmula'!G5+'Fórmula'!I5+'Fórmula'!K5))*(INDEX(properties!A$1:CB$87,'Fórmula'!J5,57))</f>
        <v>6.90506</v>
      </c>
      <c r="GA5" s="104">
        <f t="array" ref="GA5">'Fórmula'!C5*(INDEX(properties!A$1:CB$87,'Fórmula'!B5,57))+'Fórmula'!E5*(INDEX(properties!A$1:CB$87,'Fórmula'!D5,57))+'Fórmula'!G5*(INDEX(properties!A$1:CB$87,'Fórmula'!F5,57))+'Fórmula'!I5*(INDEX(properties!A$1:CB$87,'Fórmula'!H5,57))+'Fórmula'!K5*(INDEX(properties!A$1:CB$87,'Fórmula'!J5,57))</f>
        <v>41.43036</v>
      </c>
      <c r="GB5" s="104">
        <f t="array" ref="GB5">VARP(IF(INDEX(properties!A$1:CB$87,'Fórmula'!B5,57)&lt;&gt;"",INDEX(properties!A$1:CB$87,'Fórmula'!B5,57)),IF(INDEX(properties!A$1:CB$87,'Fórmula'!D5,57)&lt;&gt;"",INDEX(properties!A$1:CB$87,'Fórmula'!D5,57)),IF(INDEX(properties!A$1:CB$87,'Fórmula'!F5,57)&lt;&gt;"",INDEX(properties!A$1:CB$87,'Fórmula'!F5,57)),IF(INDEX(properties!A$1:CB$87,'Fórmula'!H5,57)&lt;&gt;"",INDEX(properties!A$1:CB$87,'Fórmula'!H5,57)),IF(INDEX(properties!A$1:CB$87,'Fórmula'!J5,57)&lt;&gt;"",INDEX(properties!A$1:CB$87,'Fórmula'!J5,57)))</f>
        <v>152.9326795</v>
      </c>
      <c r="GC5" s="104">
        <f t="array" ref="GC5">MAX(INDEX(properties!A$1:CB$87,'Fórmula'!B5,57),INDEX(properties!A$1:CB$87,'Fórmula'!D5,57),INDEX(properties!A$1:CB$87,'Fórmula'!F5,57),INDEX(properties!A$1:CB$87,'Fórmula'!H5,57),INDEX(properties!A$1:CB$87,'Fórmula'!J5,57))</f>
        <v>32</v>
      </c>
      <c r="GD5" s="104">
        <f t="array" ref="GD5">MIN(IF(INDEX(properties!A$1:CB$87,'Fórmula'!B5,57)=0,10^6,INDEX(properties!A$1:CB$87,'Fórmula'!B5,57)),IF(INDEX(properties!A$1:CB$87,'Fórmula'!D5,57)=0,10^6,INDEX(properties!A$1:CB$87,'Fórmula'!D5,57)),IF(INDEX(properties!A$1:CB$87,'Fórmula'!F5,57)=0,10^6,INDEX(properties!A$1:CB$87,'Fórmula'!F5,57)),IF(INDEX(properties!A$1:CB$87,'Fórmula'!H5,57)=0,10^6,INDEX(properties!A$1:CB$87,'Fórmula'!H5,57)),IF(INDEX(properties!A$1:CB$87,'Fórmula'!J5,57)=0,10^6,INDEX(properties!A$1:CB$87,'Fórmula'!J5,57)))</f>
        <v>0.22259</v>
      </c>
      <c r="GE5" s="104">
        <f t="shared" si="31"/>
        <v>31.77741</v>
      </c>
      <c r="GF5" s="105">
        <f t="array" ref="GF5">(('Fórmula'!C5)/('Fórmula'!C5+'Fórmula'!E5+'Fórmula'!G5+'Fórmula'!I5+'Fórmula'!K5))*(INDEX(properties!A$1:CB$87,'Fórmula'!B5,60))+(('Fórmula'!E5)/('Fórmula'!C5+'Fórmula'!E5+'Fórmula'!G5+'Fórmula'!I5+'Fórmula'!K5))*(INDEX(properties!A$1:CB$87,'Fórmula'!D5,60))+(('Fórmula'!G5)/('Fórmula'!C5+'Fórmula'!E5+'Fórmula'!G5+'Fórmula'!I5+'Fórmula'!K5))*(INDEX(properties!A$1:CB$87,'Fórmula'!F5,60))+(('Fórmula'!I5)/('Fórmula'!C5+'Fórmula'!E5+'Fórmula'!G5+'Fórmula'!I5+'Fórmula'!K5))*(INDEX(properties!A$1:CB$87,'Fórmula'!H5,60))+(('Fórmula'!K5)/('Fórmula'!C5+'Fórmula'!E5+'Fórmula'!G5+'Fórmula'!I5+'Fórmula'!K5))*(INDEX(properties!A$1:CB$87,'Fórmula'!J5,60))</f>
        <v>56.35116</v>
      </c>
      <c r="GG5" s="105">
        <f t="array" ref="GG5">'Fórmula'!C5*(INDEX(properties!A$1:CB$87,'Fórmula'!B5,60))+'Fórmula'!E5*(INDEX(properties!A$1:CB$87,'Fórmula'!D5,60))+'Fórmula'!G5*(INDEX(properties!A$1:CB$87,'Fórmula'!F5,60))+'Fórmula'!I5*(INDEX(properties!A$1:CB$87,'Fórmula'!H5,60))+'Fórmula'!K5*(INDEX(properties!A$1:CB$87,'Fórmula'!J5,60))</f>
        <v>338.10696</v>
      </c>
      <c r="GH5" s="105">
        <f t="array" ref="GH5">VARP(IF(INDEX(properties!A$1:CB$87,'Fórmula'!B5,60)&lt;&gt;"",INDEX(properties!A$1:CB$87,'Fórmula'!B5,60)),IF(INDEX(properties!A$1:CB$87,'Fórmula'!D5,60)&lt;&gt;"",INDEX(properties!A$1:CB$87,'Fórmula'!D5,60)),IF(INDEX(properties!A$1:CB$87,'Fórmula'!F5,60)&lt;&gt;"",INDEX(properties!A$1:CB$87,'Fórmula'!F5,60)),IF(INDEX(properties!A$1:CB$87,'Fórmula'!H5,60)&lt;&gt;"",INDEX(properties!A$1:CB$87,'Fórmula'!H5,60)),IF(INDEX(properties!A$1:CB$87,'Fórmula'!J5,60)&lt;&gt;"",INDEX(properties!A$1:CB$87,'Fórmula'!J5,60)))</f>
        <v>7238.317065</v>
      </c>
      <c r="GI5" s="105">
        <f t="array" ref="GI5">MAX(INDEX(properties!A$1:CB$87,'Fórmula'!B5,60),INDEX(properties!A$1:CB$87,'Fórmula'!D5,60),INDEX(properties!A$1:CB$87,'Fórmula'!F5,60),INDEX(properties!A$1:CB$87,'Fórmula'!H5,60),INDEX(properties!A$1:CB$87,'Fórmula'!J5,60))</f>
        <v>200</v>
      </c>
      <c r="GJ5" s="105">
        <f t="array" ref="GJ5">MIN(IF(INDEX(properties!A$1:CB$87,'Fórmula'!B5,60)=0,10^6,INDEX(properties!A$1:CB$87,'Fórmula'!B5,60)),IF(INDEX(properties!A$1:CB$87,'Fórmula'!D5,60)=0,10^6,INDEX(properties!A$1:CB$87,'Fórmula'!D5,60)),IF(INDEX(properties!A$1:CB$87,'Fórmula'!F5,60)=0,10^6,INDEX(properties!A$1:CB$87,'Fórmula'!F5,60)),IF(INDEX(properties!A$1:CB$87,'Fórmula'!H5,60)=0,10^6,INDEX(properties!A$1:CB$87,'Fórmula'!H5,60)),IF(INDEX(properties!A$1:CB$87,'Fórmula'!J5,60)=0,10^6,INDEX(properties!A$1:CB$87,'Fórmula'!J5,60)))</f>
        <v>0.02674</v>
      </c>
      <c r="GK5" s="105">
        <f t="shared" si="32"/>
        <v>199.97326</v>
      </c>
      <c r="GL5" s="106">
        <f t="array" ref="GL5">(('Fórmula'!C5)/('Fórmula'!C5+'Fórmula'!E5+'Fórmula'!G5+'Fórmula'!I5+'Fórmula'!K5))*(INDEX(properties!A$1:CB$87,'Fórmula'!B5,62))+(('Fórmula'!E5)/('Fórmula'!C5+'Fórmula'!E5+'Fórmula'!G5+'Fórmula'!I5+'Fórmula'!K5))*(INDEX(properties!A$1:CB$87,'Fórmula'!D5,62))+(('Fórmula'!G5)/('Fórmula'!C5+'Fórmula'!E5+'Fórmula'!G5+'Fórmula'!I5+'Fórmula'!K5))*(INDEX(properties!A$1:CB$87,'Fórmula'!F5,62))+(('Fórmula'!I5)/('Fórmula'!C5+'Fórmula'!E5+'Fórmula'!G5+'Fórmula'!I5+'Fórmula'!K5))*(INDEX(properties!A$1:CB$87,'Fórmula'!H5,62))+(('Fórmula'!K5)/('Fórmula'!C5+'Fórmula'!E5+'Fórmula'!G5+'Fórmula'!I5+'Fórmula'!K5))*(INDEX(properties!A$1:CB$87,'Fórmula'!J5,62))</f>
        <v>3.19</v>
      </c>
      <c r="GM5" s="106">
        <f t="array" ref="GM5">'Fórmula'!C5*(INDEX(properties!A$1:CB$87,'Fórmula'!B5,62))+'Fórmula'!E5*(INDEX(properties!A$1:CB$87,'Fórmula'!D5,62))+'Fórmula'!G5*(INDEX(properties!A$1:CB$87,'Fórmula'!F5,62))+'Fórmula'!I5*(INDEX(properties!A$1:CB$87,'Fórmula'!H5,62))+'Fórmula'!K5*(INDEX(properties!A$1:CB$87,'Fórmula'!J5,62))</f>
        <v>19.14</v>
      </c>
      <c r="GN5" s="106">
        <f t="array" ref="GN5">VARP(IF(INDEX(properties!A$1:CB$87,'Fórmula'!B5,62)&lt;&gt;"",INDEX(properties!A$1:CB$87,'Fórmula'!B5,62)),IF(INDEX(properties!A$1:CB$87,'Fórmula'!D5,62)&lt;&gt;"",INDEX(properties!A$1:CB$87,'Fórmula'!D5,62)),IF(INDEX(properties!A$1:CB$87,'Fórmula'!F5,62)&lt;&gt;"",INDEX(properties!A$1:CB$87,'Fórmula'!F5,62)),IF(INDEX(properties!A$1:CB$87,'Fórmula'!H5,62)&lt;&gt;"",INDEX(properties!A$1:CB$87,'Fórmula'!H5,62)),IF(INDEX(properties!A$1:CB$87,'Fórmula'!J5,62)&lt;&gt;"",INDEX(properties!A$1:CB$87,'Fórmula'!J5,62)))</f>
        <v>6.262944</v>
      </c>
      <c r="GO5" s="106">
        <f t="array" ref="GO5">MAX(INDEX(properties!A$1:CB$87,'Fórmula'!B5,62),INDEX(properties!A$1:CB$87,'Fórmula'!D5,62),INDEX(properties!A$1:CB$87,'Fórmula'!F5,62),INDEX(properties!A$1:CB$87,'Fórmula'!H5,62),INDEX(properties!A$1:CB$87,'Fórmula'!J5,62))</f>
        <v>6.82</v>
      </c>
      <c r="GP5" s="106">
        <f t="array" ref="GP5">MIN(IF(INDEX(properties!A$1:CB$87,'Fórmula'!B5,62)=0,10^6,INDEX(properties!A$1:CB$87,'Fórmula'!B5,62)),IF(INDEX(properties!A$1:CB$87,'Fórmula'!D5,62)=0,10^6,INDEX(properties!A$1:CB$87,'Fórmula'!D5,62)),IF(INDEX(properties!A$1:CB$87,'Fórmula'!F5,62)=0,10^6,INDEX(properties!A$1:CB$87,'Fórmula'!F5,62)),IF(INDEX(properties!A$1:CB$87,'Fórmula'!H5,62)=0,10^6,INDEX(properties!A$1:CB$87,'Fórmula'!H5,62)),IF(INDEX(properties!A$1:CB$87,'Fórmula'!J5,62)=0,10^6,INDEX(properties!A$1:CB$87,'Fórmula'!J5,62)))</f>
        <v>1.84</v>
      </c>
      <c r="GQ5" s="106">
        <f t="shared" si="33"/>
        <v>4.98</v>
      </c>
      <c r="GR5" s="106">
        <f>'Fórmula'!Q5</f>
        <v>88</v>
      </c>
      <c r="GS5" s="107">
        <f>'Fórmula'!P5</f>
        <v>2</v>
      </c>
      <c r="GT5" s="113">
        <f>'Fórmula'!O5</f>
        <v>4.25</v>
      </c>
      <c r="GU5" s="114">
        <f>AVERAGE('Fórmula'!R5/'Fórmula'!S5,'Fórmula'!S5/'Fórmula'!T5,'Fórmula'!T5/'Fórmula'!R5)</f>
        <v>1.215048725</v>
      </c>
      <c r="GV5" s="125">
        <f>'Fórmula'!U5</f>
        <v>312.31</v>
      </c>
      <c r="GW5" s="106">
        <f>'Fórmula'!N5</f>
        <v>0.05</v>
      </c>
    </row>
    <row r="6" ht="14.25" customHeight="1">
      <c r="A6" s="99" t="str">
        <f>'Fórmula'!A6</f>
        <v>Ba2SiO4</v>
      </c>
      <c r="B6" s="101">
        <f t="array" ref="B6">(('Fórmula'!C6)/('Fórmula'!C6+'Fórmula'!E6+'Fórmula'!G6+'Fórmula'!I6+'Fórmula'!K6))*(INDEX(properties!A$1:CB$87,'Fórmula'!B6,3))+(('Fórmula'!E6)/('Fórmula'!C6+'Fórmula'!E6+'Fórmula'!G6+'Fórmula'!I6+'Fórmula'!K6))*(INDEX(properties!A$1:CB$87,'Fórmula'!D6,3))+(('Fórmula'!G6)/('Fórmula'!C6+'Fórmula'!E6+'Fórmula'!G6+'Fórmula'!I6+'Fórmula'!K6))*(INDEX(properties!A$1:CB$87,'Fórmula'!F6,3))+(('Fórmula'!I6)/('Fórmula'!C6+'Fórmula'!E6+'Fórmula'!G6+'Fórmula'!I6+'Fórmula'!K6))*(INDEX(properties!A$1:CB$87,'Fórmula'!H6,3))+(('Fórmula'!K6)/('Fórmula'!C6+'Fórmula'!E6+'Fórmula'!G6+'Fórmula'!I6+'Fórmula'!K6))*(INDEX(properties!A$1:CB$87,'Fórmula'!J6,3))</f>
        <v>52.39101429</v>
      </c>
      <c r="C6" s="101">
        <f t="array" ref="C6">'Fórmula'!C6*(INDEX(properties!A$1:CB$87,'Fórmula'!B6,3))+'Fórmula'!E6*(INDEX(properties!A$1:CB$87,'Fórmula'!D6,3))+'Fórmula'!G6*(INDEX(properties!A$1:CB$87,'Fórmula'!F6,3))+'Fórmula'!I6*(INDEX(properties!A$1:CB$87,'Fórmula'!H6,3))+'Fórmula'!K6*(INDEX(properties!A$1:CB$87,'Fórmula'!J6,3))</f>
        <v>366.7371</v>
      </c>
      <c r="D6" s="101">
        <f t="array" ref="D6">VARP(IF(INDEX(properties!A$1:CB$87,'Fórmula'!B6,3)&lt;&gt;"",INDEX(properties!A$1:CB$87,'Fórmula'!B6,3)),IF(INDEX(properties!A$1:CB$87,'Fórmula'!D6,3)&lt;&gt;"",INDEX(properties!A$1:CB$87,'Fórmula'!D6,3)),IF(INDEX(properties!A$1:CB$87,'Fórmula'!F6,3)&lt;&gt;"",INDEX(properties!A$1:CB$87,'Fórmula'!F6,3)),IF(INDEX(properties!A$1:CB$87,'Fórmula'!H6,3)&lt;&gt;"",INDEX(properties!A$1:CB$87,'Fórmula'!H6,3)),IF(INDEX(properties!A$1:CB$87,'Fórmula'!J6,3)&lt;&gt;"",INDEX(properties!A$1:CB$87,'Fórmula'!J6,3)))</f>
        <v>2664.285109</v>
      </c>
      <c r="E6" s="101">
        <f t="array" ref="E6">MAX(INDEX(properties!A$1:CB$87,'Fórmula'!B6,3),INDEX(properties!A$1:CB$87,'Fórmula'!D6,3),INDEX(properties!A$1:CB$87,'Fórmula'!F6,3),INDEX(properties!A$1:CB$87,'Fórmula'!H6,3),INDEX(properties!A$1:CB$87,'Fórmula'!J6,3))</f>
        <v>137.327</v>
      </c>
      <c r="F6" s="101">
        <f t="array" ref="F6">MIN(IF(INDEX(properties!A$1:CB$87,'Fórmula'!B6,3)=0,10^6,INDEX(properties!A$1:CB$87,'Fórmula'!B6,3)),IF(INDEX(properties!A$1:CB$87,'Fórmula'!D6,3)=0,10^6,INDEX(properties!A$1:CB$87,'Fórmula'!D6,3)),IF(INDEX(properties!A$1:CB$87,'Fórmula'!F6,3)=0,10^6,INDEX(properties!A$1:CB$87,'Fórmula'!F6,3)),IF(INDEX(properties!A$1:CB$87,'Fórmula'!H6,3)=0,10^6,INDEX(properties!A$1:CB$87,'Fórmula'!H6,3)),IF(INDEX(properties!A$1:CB$87,'Fórmula'!J6,3)=0,10^6,INDEX(properties!A$1:CB$87,'Fórmula'!J6,3)))</f>
        <v>15.9994</v>
      </c>
      <c r="G6" s="101">
        <f t="shared" si="1"/>
        <v>121.3276</v>
      </c>
      <c r="H6" s="102">
        <f t="array" ref="H6">(('Fórmula'!C6)/('Fórmula'!C6+'Fórmula'!E6+'Fórmula'!G6+'Fórmula'!I6+'Fórmula'!K6))*(INDEX(properties!A$1:CB$87,'Fórmula'!B6,4))+(('Fórmula'!E6)/('Fórmula'!C6+'Fórmula'!E6+'Fórmula'!G6+'Fórmula'!I6+'Fórmula'!K6))*(INDEX(properties!A$1:CB$87,'Fórmula'!D6,4))+(('Fórmula'!G6)/('Fórmula'!C6+'Fórmula'!E6+'Fórmula'!G6+'Fórmula'!I6+'Fórmula'!K6))*(INDEX(properties!A$1:CB$87,'Fórmula'!F6,4))+(('Fórmula'!I6)/('Fórmula'!C6+'Fórmula'!E6+'Fórmula'!G6+'Fórmula'!I6+'Fórmula'!K6))*(INDEX(properties!A$1:CB$87,'Fórmula'!H6,4))+(('Fórmula'!K6)/('Fórmula'!C6+'Fórmula'!E6+'Fórmula'!G6+'Fórmula'!I6+'Fórmula'!K6))*(INDEX(properties!A$1:CB$87,'Fórmula'!J6,4))</f>
        <v>22.57142857</v>
      </c>
      <c r="I6" s="102">
        <f t="array" ref="I6">'Fórmula'!C6*(INDEX(properties!A$1:CB$87,'Fórmula'!B6,4))+'Fórmula'!E6*(INDEX(properties!A$1:CB$87,'Fórmula'!D6,4))+'Fórmula'!G6*(INDEX(properties!A$1:CB$87,'Fórmula'!F6,4))+'Fórmula'!I6*(INDEX(properties!A$1:CB$87,'Fórmula'!H6,4))+'Fórmula'!K6*(INDEX(properties!A$1:CB$87,'Fórmula'!J6,4))</f>
        <v>158</v>
      </c>
      <c r="J6" s="102">
        <f t="array" ref="J6">VARP(IF(INDEX(properties!A$1:CB$87,'Fórmula'!B6,4)&lt;&gt;"",INDEX(properties!A$1:CB$87,'Fórmula'!B6,4)),IF(INDEX(properties!A$1:CB$87,'Fórmula'!D6,4)&lt;&gt;"",INDEX(properties!A$1:CB$87,'Fórmula'!D6,4)),IF(INDEX(properties!A$1:CB$87,'Fórmula'!F6,4)&lt;&gt;"",INDEX(properties!A$1:CB$87,'Fórmula'!F6,4)),IF(INDEX(properties!A$1:CB$87,'Fórmula'!H6,4)&lt;&gt;"",INDEX(properties!A$1:CB$87,'Fórmula'!H6,4)),IF(INDEX(properties!A$1:CB$87,'Fórmula'!J6,4)&lt;&gt;"",INDEX(properties!A$1:CB$87,'Fórmula'!J6,4)))</f>
        <v>435.84</v>
      </c>
      <c r="K6" s="102">
        <f t="array" ref="K6">MAX(INDEX(properties!A$1:CB$87,'Fórmula'!B6,4),INDEX(properties!A$1:CB$87,'Fórmula'!D6,4),INDEX(properties!A$1:CB$87,'Fórmula'!F6,4),INDEX(properties!A$1:CB$87,'Fórmula'!H6,4),INDEX(properties!A$1:CB$87,'Fórmula'!J6,4))</f>
        <v>56</v>
      </c>
      <c r="L6" s="102">
        <f t="array" ref="L6">MIN(IF(INDEX(properties!A$1:CB$87,'Fórmula'!B6,4)=0,10^6,INDEX(properties!A$1:CB$87,'Fórmula'!B6,4)),IF(INDEX(properties!A$1:CB$87,'Fórmula'!D6,4)=0,10^6,INDEX(properties!A$1:CB$87,'Fórmula'!D6,4)),IF(INDEX(properties!A$1:CB$87,'Fórmula'!F6,4)=0,10^6,INDEX(properties!A$1:CB$87,'Fórmula'!F6,4)),IF(INDEX(properties!A$1:CB$87,'Fórmula'!H6,4)=0,10^6,INDEX(properties!A$1:CB$87,'Fórmula'!H6,4)),IF(INDEX(properties!A$1:CB$87,'Fórmula'!J6,4)=0,10^6,INDEX(properties!A$1:CB$87,'Fórmula'!J6,4)))</f>
        <v>8</v>
      </c>
      <c r="M6" s="102">
        <f t="shared" si="2"/>
        <v>48</v>
      </c>
      <c r="N6" s="103">
        <f t="array" ref="N6">(('Fórmula'!C6)/('Fórmula'!C6+'Fórmula'!E6+'Fórmula'!G6+'Fórmula'!I6+'Fórmula'!K6))*(INDEX(properties!A$1:CB$87,'Fórmula'!B6,5))+(('Fórmula'!E6)/('Fórmula'!C6+'Fórmula'!E6+'Fórmula'!G6+'Fórmula'!I6+'Fórmula'!K6))*(INDEX(properties!A$1:CB$87,'Fórmula'!D6,5))+(('Fórmula'!G6)/('Fórmula'!C6+'Fórmula'!E6+'Fórmula'!G6+'Fórmula'!I6+'Fórmula'!K6))*(INDEX(properties!A$1:CB$87,'Fórmula'!F6,5))+(('Fórmula'!I6)/('Fórmula'!C6+'Fórmula'!E6+'Fórmula'!G6+'Fórmula'!I6+'Fórmula'!K6))*(INDEX(properties!A$1:CB$87,'Fórmula'!H6,5))+(('Fórmula'!K6)/('Fórmula'!C6+'Fórmula'!E6+'Fórmula'!G6+'Fórmula'!I6+'Fórmula'!K6))*(INDEX(properties!A$1:CB$87,'Fórmula'!J6,5))</f>
        <v>3.285714286</v>
      </c>
      <c r="O6" s="103">
        <f t="array" ref="O6">'Fórmula'!C6*(INDEX(properties!A$1:CB$87,'Fórmula'!B6,5))+'Fórmula'!E6*(INDEX(properties!A$1:CB$87,'Fórmula'!D6,5))+'Fórmula'!G6*(INDEX(properties!A$1:CB$87,'Fórmula'!F6,5))+'Fórmula'!I6*(INDEX(properties!A$1:CB$87,'Fórmula'!H6,5))+'Fórmula'!K6*(INDEX(properties!A$1:CB$87,'Fórmula'!J6,5))</f>
        <v>23</v>
      </c>
      <c r="P6" s="103">
        <f t="array" ref="P6">VARP(IF(INDEX(properties!A$1:CB$87,'Fórmula'!B6,5)&lt;&gt;"",INDEX(properties!A$1:CB$87,'Fórmula'!B6,5)),IF(INDEX(properties!A$1:CB$87,'Fórmula'!D6,5)&lt;&gt;"",INDEX(properties!A$1:CB$87,'Fórmula'!D6,5)),IF(INDEX(properties!A$1:CB$87,'Fórmula'!F6,5)&lt;&gt;"",INDEX(properties!A$1:CB$87,'Fórmula'!F6,5)),IF(INDEX(properties!A$1:CB$87,'Fórmula'!H6,5)&lt;&gt;"",INDEX(properties!A$1:CB$87,'Fórmula'!H6,5)),IF(INDEX(properties!A$1:CB$87,'Fórmula'!J6,5)&lt;&gt;"",INDEX(properties!A$1:CB$87,'Fórmula'!J6,5)))</f>
        <v>4.96</v>
      </c>
      <c r="Q6" s="103">
        <f t="array" ref="Q6">MAX(INDEX(properties!A$1:CB$87,'Fórmula'!B6,5),INDEX(properties!A$1:CB$87,'Fórmula'!D6,5),INDEX(properties!A$1:CB$87,'Fórmula'!F6,5),INDEX(properties!A$1:CB$87,'Fórmula'!H6,5),INDEX(properties!A$1:CB$87,'Fórmula'!J6,5))</f>
        <v>6</v>
      </c>
      <c r="R6" s="103">
        <f t="array" ref="R6">MIN(IF(INDEX(properties!A$1:CB$87,'Fórmula'!B6,5)=0,10^6,INDEX(properties!A$1:CB$87,'Fórmula'!B6,5)),IF(INDEX(properties!A$1:CB$87,'Fórmula'!D6,5)=0,10^6,INDEX(properties!A$1:CB$87,'Fórmula'!D6,5)),IF(INDEX(properties!A$1:CB$87,'Fórmula'!F6,5)=0,10^6,INDEX(properties!A$1:CB$87,'Fórmula'!F6,5)),IF(INDEX(properties!A$1:CB$87,'Fórmula'!H6,5)=0,10^6,INDEX(properties!A$1:CB$87,'Fórmula'!H6,5)),IF(INDEX(properties!A$1:CB$87,'Fórmula'!J6,5)=0,10^6,INDEX(properties!A$1:CB$87,'Fórmula'!J6,5)))</f>
        <v>2</v>
      </c>
      <c r="S6" s="103">
        <f t="shared" si="3"/>
        <v>4</v>
      </c>
      <c r="T6" s="104">
        <f t="array" ref="T6">(('Fórmula'!C6)/('Fórmula'!C6+'Fórmula'!E6+'Fórmula'!G6+'Fórmula'!I6+'Fórmula'!K6))*(INDEX(properties!A$1:CB$87,'Fórmula'!B6,6))+(('Fórmula'!E6)/('Fórmula'!C6+'Fórmula'!E6+'Fórmula'!G6+'Fórmula'!I6+'Fórmula'!K6))*(INDEX(properties!A$1:CB$87,'Fórmula'!D6,6))+(('Fórmula'!G6)/('Fórmula'!C6+'Fórmula'!E6+'Fórmula'!G6+'Fórmula'!I6+'Fórmula'!K6))*(INDEX(properties!A$1:CB$87,'Fórmula'!F6,6))+(('Fórmula'!I6)/('Fórmula'!C6+'Fórmula'!E6+'Fórmula'!G6+'Fórmula'!I6+'Fórmula'!K6))*(INDEX(properties!A$1:CB$87,'Fórmula'!H6,6))+(('Fórmula'!K6)/('Fórmula'!C6+'Fórmula'!E6+'Fórmula'!G6+'Fórmula'!I6+'Fórmula'!K6))*(INDEX(properties!A$1:CB$87,'Fórmula'!J6,6))</f>
        <v>11.71428571</v>
      </c>
      <c r="U6" s="104">
        <f t="array" ref="U6">'Fórmula'!C6*(INDEX(properties!A$1:CB$87,'Fórmula'!B6,6))+'Fórmula'!E6*(INDEX(properties!A$1:CB$87,'Fórmula'!D6,6))+'Fórmula'!G6*(INDEX(properties!A$1:CB$87,'Fórmula'!F6,6))+'Fórmula'!I6*(INDEX(properties!A$1:CB$87,'Fórmula'!H6,6))+'Fórmula'!K6*(INDEX(properties!A$1:CB$87,'Fórmula'!J6,6))</f>
        <v>82</v>
      </c>
      <c r="V6" s="103">
        <f t="array" ref="V6">VARP(IF(INDEX(properties!A$1:CB$87,'Fórmula'!B6,6)&lt;&gt;"",INDEX(properties!A$1:CB$87,'Fórmula'!B6,6)),IF(INDEX(properties!A$1:CB$87,'Fórmula'!D6,6)&lt;&gt;"",INDEX(properties!A$1:CB$87,'Fórmula'!D6,6)),IF(INDEX(properties!A$1:CB$87,'Fórmula'!F6,6)&lt;&gt;"",INDEX(properties!A$1:CB$87,'Fórmula'!F6,6)),IF(INDEX(properties!A$1:CB$87,'Fórmula'!H6,6)&lt;&gt;"",INDEX(properties!A$1:CB$87,'Fórmula'!H6,6)),IF(INDEX(properties!A$1:CB$87,'Fórmula'!J6,6)&lt;&gt;"",INDEX(properties!A$1:CB$87,'Fórmula'!J6,6)))</f>
        <v>50.24</v>
      </c>
      <c r="W6" s="104">
        <f t="array" ref="W6">MAX(INDEX(properties!A$1:CB$87,'Fórmula'!B6,6),INDEX(properties!A$1:CB$87,'Fórmula'!D6,6),INDEX(properties!A$1:CB$87,'Fórmula'!F6,6),INDEX(properties!A$1:CB$87,'Fórmula'!H6,4),INDEX(properties!A$1:CB$87,'Fórmula'!J6,6))</f>
        <v>16</v>
      </c>
      <c r="X6" s="104">
        <f t="array" ref="X6">MIN(IF(INDEX(properties!A$1:CB$87,'Fórmula'!B6,6)=0,10^6,INDEX(properties!A$1:CB$87,'Fórmula'!B6,6)),IF(INDEX(properties!A$1:CB$87,'Fórmula'!D6,6)=0,10^6,INDEX(properties!A$1:CB$87,'Fórmula'!D6,6)),IF(INDEX(properties!A$1:CB$87,'Fórmula'!F6,6)=0,10^6,INDEX(properties!A$1:CB$87,'Fórmula'!F6,6)),IF(INDEX(properties!A$1:CB$87,'Fórmula'!H6,6)=0,10^6,INDEX(properties!A$1:CB$87,'Fórmula'!H6,6)),IF(INDEX(properties!A$1:CB$87,'Fórmula'!J6,6)=0,10^6,INDEX(properties!A$1:CB$87,'Fórmula'!J6,6)))</f>
        <v>2</v>
      </c>
      <c r="Y6" s="104">
        <f t="shared" si="4"/>
        <v>14</v>
      </c>
      <c r="Z6" s="105">
        <f t="array" ref="Z6">(('Fórmula'!C6)/('Fórmula'!C6+'Fórmula'!E6+'Fórmula'!G6+'Fórmula'!I6+'Fórmula'!K6))*(INDEX(properties!A$1:CB$87,'Fórmula'!B6,9))+(('Fórmula'!E6)/('Fórmula'!C6+'Fórmula'!E6+'Fórmula'!G6+'Fórmula'!I6+'Fórmula'!K6))*(INDEX(properties!A$1:CB$87,'Fórmula'!D6,9))+(('Fórmula'!G6)/('Fórmula'!C6+'Fórmula'!E6+'Fórmula'!G6+'Fórmula'!I6+'Fórmula'!K6))*(INDEX(properties!A$1:CB$87,'Fórmula'!F6,9))+(('Fórmula'!I6)/('Fórmula'!C6+'Fórmula'!E6+'Fórmula'!G6+'Fórmula'!I6+'Fórmula'!K6))*(INDEX(properties!A$1:CB$87,'Fórmula'!H6,9))+(('Fórmula'!K6)/('Fórmula'!C6+'Fórmula'!E6+'Fórmula'!G6+'Fórmula'!I6+'Fórmula'!K6))*(INDEX(properties!A$1:CB$87,'Fórmula'!J6,9))</f>
        <v>63.42857143</v>
      </c>
      <c r="AA6" s="105">
        <f t="array" ref="AA6">'Fórmula'!C6*(INDEX(properties!A$1:CB$87,'Fórmula'!B6,9))+'Fórmula'!E6*(INDEX(properties!A$1:CB$87,'Fórmula'!D6,9))+'Fórmula'!G6*(INDEX(properties!A$1:CB$87,'Fórmula'!F6,9))+'Fórmula'!I6*(INDEX(properties!A$1:CB$87,'Fórmula'!H6,9))+'Fórmula'!K6*(INDEX(properties!A$1:CB$87,'Fórmula'!J6,9))</f>
        <v>444</v>
      </c>
      <c r="AB6" s="105">
        <f t="array" ref="AB6">VARP(IF(INDEX(properties!A$1:CB$87,'Fórmula'!B6,9)&lt;&gt;"",INDEX(properties!A$1:CB$87,'Fórmula'!B6,9)),IF(INDEX(properties!A$1:CB$87,'Fórmula'!D6,9)&lt;&gt;"",INDEX(properties!A$1:CB$87,'Fórmula'!D6,9)),IF(INDEX(properties!A$1:CB$87,'Fórmula'!F6,9)&lt;&gt;"",INDEX(properties!A$1:CB$87,'Fórmula'!F6,9)),IF(INDEX(properties!A$1:CB$87,'Fórmula'!H6,9)&lt;&gt;"",INDEX(properties!A$1:CB$87,'Fórmula'!H6,9)),IF(INDEX(properties!A$1:CB$87,'Fórmula'!J6,9)&lt;&gt;"",INDEX(properties!A$1:CB$87,'Fórmula'!J6,9)))</f>
        <v>1535.76</v>
      </c>
      <c r="AC6" s="105">
        <f t="array" ref="AC6">MAX(INDEX(properties!A$1:CB$87,'Fórmula'!B6,9),INDEX(properties!A$1:CB$87,'Fórmula'!D6,9),INDEX(properties!A$1:CB$87,'Fórmula'!F6,9),INDEX(properties!A$1:CB$87,'Fórmula'!H6,9),INDEX(properties!A$1:CB$87,'Fórmula'!J6,9))</f>
        <v>87</v>
      </c>
      <c r="AD6" s="105">
        <f t="array" ref="AD6">MIN(IF(INDEX(properties!A$1:CB$87,'Fórmula'!B6,9)=0,10^6,INDEX(properties!A$1:CB$87,'Fórmula'!B6,9)),IF(INDEX(properties!A$1:CB$87,'Fórmula'!D6,9)=0,10^6,INDEX(properties!A$1:CB$87,'Fórmula'!D6,9)),IF(INDEX(properties!A$1:CB$87,'Fórmula'!F6,9)=0,10^6,INDEX(properties!A$1:CB$87,'Fórmula'!F6,9)),IF(INDEX(properties!A$1:CB$87,'Fórmula'!H6,9)=0,10^6,INDEX(properties!A$1:CB$87,'Fórmula'!H6,9)),IF(INDEX(properties!A$1:CB$87,'Fórmula'!J6,9)=0,10^6,INDEX(properties!A$1:CB$87,'Fórmula'!J6,9)))</f>
        <v>9</v>
      </c>
      <c r="AE6" s="105">
        <f t="shared" si="5"/>
        <v>78</v>
      </c>
      <c r="AF6" s="106">
        <f t="array" ref="AF6">(('Fórmula'!C6)/('Fórmula'!C6+'Fórmula'!E6+'Fórmula'!G6+'Fórmula'!I6+'Fórmula'!K6))*(INDEX(properties!A$1:CB$87,'Fórmula'!B6,10))+(('Fórmula'!E6)/('Fórmula'!C6+'Fórmula'!E6+'Fórmula'!G6+'Fórmula'!I6+'Fórmula'!K6))*(INDEX(properties!A$1:CB$87,'Fórmula'!D6,10))+(('Fórmula'!G6)/('Fórmula'!C6+'Fórmula'!E6+'Fórmula'!G6+'Fórmula'!I6+'Fórmula'!K6))*(INDEX(properties!A$1:CB$87,'Fórmula'!F6,10))+(('Fórmula'!I6)/('Fórmula'!C6+'Fórmula'!E6+'Fórmula'!G6+'Fórmula'!I6+'Fórmula'!K6))*(INDEX(properties!A$1:CB$87,'Fórmula'!H6,10))+(('Fórmula'!K6)/('Fórmula'!C6+'Fórmula'!E6+'Fórmula'!G6+'Fórmula'!I6+'Fórmula'!K6))*(INDEX(properties!A$1:CB$87,'Fórmula'!J6,10))</f>
        <v>5.428571429</v>
      </c>
      <c r="AG6" s="106">
        <f t="array" ref="AG6">'Fórmula'!C6*(INDEX(properties!A$1:CB$87,'Fórmula'!B6,10))+'Fórmula'!E6*(INDEX(properties!A$1:CB$87,'Fórmula'!D6,10))+'Fórmula'!G6*(INDEX(properties!A$1:CB$87,'Fórmula'!F6,10))+'Fórmula'!I6*(INDEX(properties!A$1:CB$87,'Fórmula'!H6,10))+'Fórmula'!K6*(INDEX(properties!A$1:CB$87,'Fórmula'!J6,10))</f>
        <v>38</v>
      </c>
      <c r="AH6" s="106">
        <f t="array" ref="AH6">VARP(IF(INDEX(properties!A$1:CB$87,'Fórmula'!B6,10)&lt;&gt;"",INDEX(properties!A$1:CB$87,'Fórmula'!B6,10)),IF(INDEX(properties!A$1:CB$87,'Fórmula'!D6,10)&lt;&gt;"",INDEX(properties!A$1:CB$87,'Fórmula'!D6,10)),IF(INDEX(properties!A$1:CB$87,'Fórmula'!F6,10)&lt;&gt;"",INDEX(properties!A$1:CB$87,'Fórmula'!F6,10)),IF(INDEX(properties!A$1:CB$87,'Fórmula'!H6,10)&lt;&gt;"",INDEX(properties!A$1:CB$87,'Fórmula'!H6,10)),IF(INDEX(properties!A$1:CB$87,'Fórmula'!J6,10)&lt;&gt;"",INDEX(properties!A$1:CB$87,'Fórmula'!J6,10)))</f>
        <v>8.8</v>
      </c>
      <c r="AI6" s="106">
        <f t="array" ref="AI6">MAX(INDEX(properties!A$1:CB$87,'Fórmula'!B6,10),INDEX(properties!A$1:CB$87,'Fórmula'!D6,10),INDEX(properties!A$1:CB$87,'Fórmula'!F6,10),INDEX(properties!A$1:CB$87,'Fórmula'!H6,10),INDEX(properties!A$1:CB$87,'Fórmula'!J6,10))</f>
        <v>7</v>
      </c>
      <c r="AJ6" s="106">
        <f t="array" ref="AJ6">MIN(IF(INDEX(properties!A$1:CB$87,'Fórmula'!B6,10)=0,10^6,INDEX(properties!A$1:CB$87,'Fórmula'!B6,10)),IF(INDEX(properties!A$1:CB$87,'Fórmula'!D6,10)=0,10^6,INDEX(properties!A$1:CB$87,'Fórmula'!D6,10)),IF(INDEX(properties!A$1:CB$87,'Fórmula'!F6,10)=0,10^6,INDEX(properties!A$1:CB$87,'Fórmula'!F6,10)),IF(INDEX(properties!A$1:CB$87,'Fórmula'!H6,10)=0,10^6,INDEX(properties!A$1:CB$87,'Fórmula'!H6,10)),IF(INDEX(properties!A$1:CB$87,'Fórmula'!J6,10)=0,10^6,INDEX(properties!A$1:CB$87,'Fórmula'!J6,10)))</f>
        <v>2</v>
      </c>
      <c r="AK6" s="106">
        <f t="shared" si="6"/>
        <v>5</v>
      </c>
      <c r="AL6" s="107">
        <f t="array" ref="AL6">(('Fórmula'!C6)/('Fórmula'!C6+'Fórmula'!E6+'Fórmula'!G6+'Fórmula'!I6+'Fórmula'!K6))*(INDEX(properties!A$1:CB$87,'Fórmula'!B6,11))+(('Fórmula'!E6)/('Fórmula'!C6+'Fórmula'!E6+'Fórmula'!G6+'Fórmula'!I6+'Fórmula'!K6))*(INDEX(properties!A$1:CB$87,'Fórmula'!D6,11))+(('Fórmula'!G6)/('Fórmula'!C6+'Fórmula'!E6+'Fórmula'!G6+'Fórmula'!I6+'Fórmula'!K6))*(INDEX(properties!A$1:CB$87,'Fórmula'!F6,11))+(('Fórmula'!I6)/('Fórmula'!C6+'Fórmula'!E6+'Fórmula'!G6+'Fórmula'!I6+'Fórmula'!K6))*(INDEX(properties!A$1:CB$87,'Fórmula'!H6,11))+(('Fórmula'!K6)/('Fórmula'!C6+'Fórmula'!E6+'Fórmula'!G6+'Fórmula'!I6+'Fórmula'!K6))*(INDEX(properties!A$1:CB$87,'Fórmula'!J6,11))</f>
        <v>2</v>
      </c>
      <c r="AM6" s="107">
        <f t="array" ref="AM6">'Fórmula'!C6*(INDEX(properties!A$1:CB$87,'Fórmula'!B6,11))+'Fórmula'!E6*(INDEX(properties!A$1:CB$87,'Fórmula'!D6,11))+'Fórmula'!G6*(INDEX(properties!A$1:CB$87,'Fórmula'!F6,11))+'Fórmula'!I6*(INDEX(properties!A$1:CB$87,'Fórmula'!H6,11))+'Fórmula'!K6*(INDEX(properties!A$1:CB$87,'Fórmula'!J6,11))</f>
        <v>14</v>
      </c>
      <c r="AN6" s="107">
        <f t="array" ref="AN6">VARP(IF(INDEX(properties!A$1:CB$87,'Fórmula'!B6,11)&lt;&gt;"",INDEX(properties!A$1:CB$87,'Fórmula'!B6,11)),IF(INDEX(properties!A$1:CB$87,'Fórmula'!D6,11)&lt;&gt;"",INDEX(properties!A$1:CB$87,'Fórmula'!D6,11)),IF(INDEX(properties!A$1:CB$87,'Fórmula'!F6,11)&lt;&gt;"",INDEX(properties!A$1:CB$87,'Fórmula'!F6,11)),IF(INDEX(properties!A$1:CB$87,'Fórmula'!H6,11)&lt;&gt;"",INDEX(properties!A$1:CB$87,'Fórmula'!H6,11)),IF(INDEX(properties!A$1:CB$87,'Fórmula'!J6,11)&lt;&gt;"",INDEX(properties!A$1:CB$87,'Fórmula'!J6,11)))</f>
        <v>0.96</v>
      </c>
      <c r="AO6" s="107">
        <f t="array" ref="AO6">MAX(INDEX(properties!A$1:CB$87,'Fórmula'!B6,11),INDEX(properties!A$1:CB$87,'Fórmula'!D6,11),INDEX(properties!A$1:CB$87,'Fórmula'!F6,11),INDEX(properties!A$1:CB$87,'Fórmula'!H6,11),INDEX(properties!A$1:CB$87,'Fórmula'!J6,11))</f>
        <v>2</v>
      </c>
      <c r="AP6" s="107">
        <f t="array" ref="AP6">MIN(IF('Fórmula'!B6=87,10^6,INDEX(properties!A$1:CB$87,'Fórmula'!B6,11)),IF(('Fórmula'!D6)=87,10^6,INDEX(properties!A$1:CB$87,'Fórmula'!D6,11)),IF(('Fórmula'!F6)=87,10^6,INDEX(properties!A$1:CB$87,'Fórmula'!F6,11)),IF(('Fórmula'!H6)=87,10^6,INDEX(properties!A$1:CB$87,'Fórmula'!H6,11)),IF('Fórmula'!J6=87,10^6,INDEX(properties!A$1:CB$87,'Fórmula'!J6,11)))</f>
        <v>2</v>
      </c>
      <c r="AQ6" s="107">
        <f t="shared" si="7"/>
        <v>0</v>
      </c>
      <c r="AR6" s="108">
        <f t="array" ref="AR6">(('Fórmula'!C6)/('Fórmula'!C6+'Fórmula'!E6+'Fórmula'!G6+'Fórmula'!I6+'Fórmula'!K6))*(INDEX(properties!A$1:CB$87,'Fórmula'!B6,12))+(('Fórmula'!E6)/('Fórmula'!C6+'Fórmula'!E6+'Fórmula'!G6+'Fórmula'!I6+'Fórmula'!K6))*(INDEX(properties!A$1:CB$87,'Fórmula'!D6,12))+(('Fórmula'!G6)/('Fórmula'!C6+'Fórmula'!E6+'Fórmula'!G6+'Fórmula'!I6+'Fórmula'!K6))*(INDEX(properties!A$1:CB$87,'Fórmula'!F6,12))+(('Fórmula'!I6)/('Fórmula'!C6+'Fórmula'!E6+'Fórmula'!G6+'Fórmula'!I6+'Fórmula'!K6))*(INDEX(properties!A$1:CB$87,'Fórmula'!H6,12))+(('Fórmula'!K6)/('Fórmula'!C6+'Fórmula'!E6+'Fórmula'!G6+'Fórmula'!I6+'Fórmula'!K6))*(INDEX(properties!A$1:CB$87,'Fórmula'!J6,12))</f>
        <v>2.571428571</v>
      </c>
      <c r="AS6" s="108">
        <f t="array" ref="AS6">'Fórmula'!C6*(INDEX(properties!A$1:CB$87,'Fórmula'!B6,12))+'Fórmula'!E6*(INDEX(properties!A$1:CB$87,'Fórmula'!D6,12))+'Fórmula'!G6*(INDEX(properties!A$1:CB$87,'Fórmula'!F6,12))+'Fórmula'!I6*(INDEX(properties!A$1:CB$87,'Fórmula'!H6,12))+'Fórmula'!K6*(INDEX(properties!A$1:CB$87,'Fórmula'!J6,12))</f>
        <v>18</v>
      </c>
      <c r="AT6" s="108">
        <f t="array" ref="AT6">VARP(IF(INDEX(properties!A$1:CB$87,'Fórmula'!B6,12)&lt;&gt;"",INDEX(properties!A$1:CB$87,'Fórmula'!B6,12)),IF(INDEX(properties!A$1:CB$87,'Fórmula'!D6,12)&lt;&gt;"",INDEX(properties!A$1:CB$87,'Fórmula'!D6,12)),IF(INDEX(properties!A$1:CB$87,'Fórmula'!F6,12)&lt;&gt;"",INDEX(properties!A$1:CB$87,'Fórmula'!F6,12)),IF(INDEX(properties!A$1:CB$87,'Fórmula'!H6,12)&lt;&gt;"",INDEX(properties!A$1:CB$87,'Fórmula'!H6,12)),IF(INDEX(properties!A$1:CB$87,'Fórmula'!J6,12)&lt;&gt;"",INDEX(properties!A$1:CB$87,'Fórmula'!J6,12)))</f>
        <v>2.56</v>
      </c>
      <c r="AU6" s="108">
        <f t="array" ref="AU6">MAX(INDEX(properties!A$1:CB$87,'Fórmula'!B6,12),INDEX(properties!A$1:CB$87,'Fórmula'!D6,12),INDEX(properties!A$1:CB$87,'Fórmula'!F6,12),INDEX(properties!A$1:CB$87,'Fórmula'!H6,12),INDEX(properties!A$1:CB$87,'Fórmula'!J6,12))</f>
        <v>4</v>
      </c>
      <c r="AV6" s="108">
        <f t="array" ref="AV6">MIN(IF('Fórmula'!B6=87,10^6,INDEX(properties!A$1:CB$87,'Fórmula'!B6,12)),IF(('Fórmula'!D6)=87,10^6,INDEX(properties!A$1:CB$87,'Fórmula'!D6,12)),IF(('Fórmula'!F6)=87,10^6,INDEX(properties!A$1:CB$87,'Fórmula'!F6,12)),IF(('Fórmula'!H6)=87,10^6,INDEX(properties!A$1:CB$87,'Fórmula'!H6,12)),IF('Fórmula'!J6=87,10^6,INDEX(properties!A$1:CB$87,'Fórmula'!J6,12)))</f>
        <v>0</v>
      </c>
      <c r="AW6" s="108">
        <f t="shared" si="8"/>
        <v>4</v>
      </c>
      <c r="AX6" s="109">
        <f t="array" ref="AX6">(('Fórmula'!C6)/('Fórmula'!C6+'Fórmula'!E6+'Fórmula'!G6+'Fórmula'!I6+'Fórmula'!K6))*(INDEX(properties!A$1:CB$87,'Fórmula'!B6,13))+(('Fórmula'!E6)/('Fórmula'!C6+'Fórmula'!E6+'Fórmula'!G6+'Fórmula'!I6+'Fórmula'!K6))*(INDEX(properties!A$1:CB$87,'Fórmula'!D6,13))+(('Fórmula'!G6)/('Fórmula'!C6+'Fórmula'!E6+'Fórmula'!G6+'Fórmula'!I6+'Fórmula'!K6))*(INDEX(properties!A$1:CB$87,'Fórmula'!F6,13))+(('Fórmula'!I6)/('Fórmula'!C6+'Fórmula'!E6+'Fórmula'!G6+'Fórmula'!I6+'Fórmula'!K6))*(INDEX(properties!A$1:CB$87,'Fórmula'!H6,13))+(('Fórmula'!K6)/('Fórmula'!C6+'Fórmula'!E6+'Fórmula'!G6+'Fórmula'!I6+'Fórmula'!K6))*(INDEX(properties!A$1:CB$87,'Fórmula'!J6,13))</f>
        <v>0</v>
      </c>
      <c r="AY6" s="109">
        <f t="array" ref="AY6">'Fórmula'!C6*(INDEX(properties!A$1:CB$87,'Fórmula'!B6,13))+'Fórmula'!E6*(INDEX(properties!A$1:CB$87,'Fórmula'!D6,13))+'Fórmula'!G6*(INDEX(properties!A$1:CB$87,'Fórmula'!F6,13))+'Fórmula'!I6*(INDEX(properties!A$1:CB$87,'Fórmula'!H6,13))+'Fórmula'!K6*(INDEX(properties!A$1:CB$87,'Fórmula'!J6,13))</f>
        <v>0</v>
      </c>
      <c r="AZ6" s="109">
        <f t="array" ref="AZ6">VARP(IF(INDEX(properties!A$1:CB$87,'Fórmula'!B6,13)&lt;&gt;"",INDEX(properties!A$1:CB$87,'Fórmula'!B6,13)),IF(INDEX(properties!A$1:CB$87,'Fórmula'!D6,13)&lt;&gt;"",INDEX(properties!A$1:CB$87,'Fórmula'!D6,13)),IF(INDEX(properties!A$1:CB$87,'Fórmula'!F6,13)&lt;&gt;"",INDEX(properties!A$1:CB$87,'Fórmula'!F6,13)),IF(INDEX(properties!A$1:CB$87,'Fórmula'!H6,13)&lt;&gt;"",INDEX(properties!A$1:CB$87,'Fórmula'!H6,13)),IF(INDEX(properties!A$1:CB$87,'Fórmula'!J6,13)&lt;&gt;"",INDEX(properties!A$1:CB$87,'Fórmula'!J6,13)))</f>
        <v>0</v>
      </c>
      <c r="BA6" s="109">
        <f t="array" ref="BA6">MAX(INDEX(properties!A$1:CB$87,'Fórmula'!B6,13),INDEX(properties!A$1:CB$87,'Fórmula'!D6,13),INDEX(properties!A$1:CB$87,'Fórmula'!F6,13),INDEX(properties!A$1:CB$87,'Fórmula'!H6,13),INDEX(properties!A$1:CB$87,'Fórmula'!J6,13))</f>
        <v>0</v>
      </c>
      <c r="BB6" s="109">
        <f t="array" ref="BB6">MIN(IF('Fórmula'!B6=87,10^6,INDEX(properties!A$1:CB$87,'Fórmula'!B6,13)),IF(('Fórmula'!D6)=87,10^6,INDEX(properties!A$1:CB$87,'Fórmula'!D6,13)),IF(('Fórmula'!F6)=87,10^6,INDEX(properties!A$1:CB$87,'Fórmula'!F6,13)),IF(('Fórmula'!H6)=87,10^6,INDEX(properties!A$1:CB$87,'Fórmula'!H6,13)),IF('Fórmula'!J6=87,10^6,INDEX(properties!A$1:CB$87,'Fórmula'!J6,13)))</f>
        <v>0</v>
      </c>
      <c r="BC6" s="109">
        <f t="shared" si="9"/>
        <v>0</v>
      </c>
      <c r="BD6" s="110">
        <f t="array" ref="BD6">(('Fórmula'!C6)/('Fórmula'!C6+'Fórmula'!E6+'Fórmula'!G6+'Fórmula'!I6+'Fórmula'!K6))*(INDEX(properties!A$1:CB$87,'Fórmula'!B6,14))+(('Fórmula'!E6)/('Fórmula'!C6+'Fórmula'!E6+'Fórmula'!G6+'Fórmula'!I6+'Fórmula'!K6))*(INDEX(properties!A$1:CB$87,'Fórmula'!D6,14))+(('Fórmula'!G6)/('Fórmula'!C6+'Fórmula'!E6+'Fórmula'!G6+'Fórmula'!I6+'Fórmula'!K6))*(INDEX(properties!A$1:CB$87,'Fórmula'!F6,14))+(('Fórmula'!I6)/('Fórmula'!C6+'Fórmula'!E6+'Fórmula'!G6+'Fórmula'!I6+'Fórmula'!K6))*(INDEX(properties!A$1:CB$87,'Fórmula'!H6,14))+(('Fórmula'!K6)/('Fórmula'!C6+'Fórmula'!E6+'Fórmula'!G6+'Fórmula'!I6+'Fórmula'!K6))*(INDEX(properties!A$1:CB$87,'Fórmula'!J6,14))</f>
        <v>0</v>
      </c>
      <c r="BE6" s="110">
        <f t="array" ref="BE6">'Fórmula'!C6*(INDEX(properties!A$1:CB$87,'Fórmula'!B6,14))+'Fórmula'!E6*(INDEX(properties!A$1:CB$87,'Fórmula'!D6,14))+'Fórmula'!G6*(INDEX(properties!A$1:CB$87,'Fórmula'!F6,14))+'Fórmula'!I6*(INDEX(properties!A$1:CB$87,'Fórmula'!H6,14))+'Fórmula'!K6*(INDEX(properties!A$1:CB$87,'Fórmula'!J6,14))</f>
        <v>0</v>
      </c>
      <c r="BF6" s="110">
        <f t="array" ref="BF6">VARP(IF(INDEX(properties!A$1:CB$87,'Fórmula'!B6,14)&lt;&gt;"",INDEX(properties!A$1:CB$87,'Fórmula'!B6,14)),IF(INDEX(properties!A$1:CB$87,'Fórmula'!D6,14)&lt;&gt;"",INDEX(properties!A$1:CB$87,'Fórmula'!D6,14)),IF(INDEX(properties!A$1:CB$87,'Fórmula'!F6,14)&lt;&gt;"",INDEX(properties!A$1:CB$87,'Fórmula'!F6,14)),IF(INDEX(properties!A$1:CB$87,'Fórmula'!H6,14)&lt;&gt;"",INDEX(properties!A$1:CB$87,'Fórmula'!H6,14)),IF(INDEX(properties!A$1:CB$87,'Fórmula'!J6,14)&lt;&gt;"",INDEX(properties!A$1:CB$87,'Fórmula'!J6,14)))</f>
        <v>0</v>
      </c>
      <c r="BG6" s="110">
        <f t="array" ref="BG6">MAX(INDEX(properties!A$1:CB$87,'Fórmula'!B6,14),INDEX(properties!A$1:CB$87,'Fórmula'!D6,14),INDEX(properties!A$1:CB$87,'Fórmula'!F6,14),INDEX(properties!A$1:CB$87,'Fórmula'!H6,14),INDEX(properties!A$1:CB$87,'Fórmula'!J6,14))</f>
        <v>0</v>
      </c>
      <c r="BH6" s="110">
        <f t="array" ref="BH6">MIN(IF('Fórmula'!B6=87,10^6,INDEX(properties!A$1:CB$87,'Fórmula'!B6,14)),IF(('Fórmula'!D6)=87,10^6,INDEX(properties!A$1:CB$87,'Fórmula'!D6,14)),IF(('Fórmula'!F6)=87,10^6,INDEX(properties!A$1:CB$87,'Fórmula'!F6,14)),IF(('Fórmula'!H6)=87,10^6,INDEX(properties!A$1:CB$87,'Fórmula'!H6,14)),IF('Fórmula'!J6=87,10^6,INDEX(properties!A$1:CB$87,'Fórmula'!J6,14)))</f>
        <v>0</v>
      </c>
      <c r="BI6" s="110">
        <f t="shared" si="10"/>
        <v>0</v>
      </c>
      <c r="BJ6" s="111">
        <f t="array" ref="BJ6">(('Fórmula'!C6)/('Fórmula'!C6+'Fórmula'!E6+'Fórmula'!G6+'Fórmula'!I6+'Fórmula'!K6))*(INDEX(properties!A$1:CB$87,'Fórmula'!B6,19))+(('Fórmula'!E6)/('Fórmula'!C6+'Fórmula'!E6+'Fórmula'!G6+'Fórmula'!I6+'Fórmula'!K6))*(INDEX(properties!A$1:CB$87,'Fórmula'!D6,19))+(('Fórmula'!G6)/('Fórmula'!C6+'Fórmula'!E6+'Fórmula'!G6+'Fórmula'!I6+'Fórmula'!K6))*(INDEX(properties!A$1:CB$87,'Fórmula'!F6,19))+(('Fórmula'!I6)/('Fórmula'!C6+'Fórmula'!E6+'Fórmula'!G6+'Fórmula'!I6+'Fórmula'!K6))*(INDEX(properties!A$1:CB$87,'Fórmula'!H6,19))+(('Fórmula'!K6)/('Fórmula'!C6+'Fórmula'!E6+'Fórmula'!G6+'Fórmula'!I6+'Fórmula'!K6))*(INDEX(properties!A$1:CB$87,'Fórmula'!J6,19))</f>
        <v>4.571428571</v>
      </c>
      <c r="BK6" s="111">
        <f t="array" ref="BK6">'Fórmula'!C6*(INDEX(properties!A$1:CB$87,'Fórmula'!B6,19))+'Fórmula'!E6*(INDEX(properties!A$1:CB$87,'Fórmula'!D6,19))+'Fórmula'!G6*(INDEX(properties!A$1:CB$87,'Fórmula'!F6,19))+'Fórmula'!I6*(INDEX(properties!A$1:CB$87,'Fórmula'!H6,19))+'Fórmula'!K6*(INDEX(properties!A$1:CB$87,'Fórmula'!J6,19))</f>
        <v>32</v>
      </c>
      <c r="BL6" s="111">
        <f t="array" ref="BL6">VARP(IF(INDEX(properties!A$1:CB$87,'Fórmula'!B6,19)&lt;&gt;"",INDEX(properties!A$1:CB$87,'Fórmula'!B6,19)),IF(INDEX(properties!A$1:CB$87,'Fórmula'!D6,19)&lt;&gt;"",INDEX(properties!A$1:CB$87,'Fórmula'!D6,19)),IF(INDEX(properties!A$1:CB$87,'Fórmula'!F6,19)&lt;&gt;"",INDEX(properties!A$1:CB$87,'Fórmula'!F6,19)),IF(INDEX(properties!A$1:CB$87,'Fórmula'!H6,19)&lt;&gt;"",INDEX(properties!A$1:CB$87,'Fórmula'!H6,19)),IF(INDEX(properties!A$1:CB$87,'Fórmula'!J6,19)&lt;&gt;"",INDEX(properties!A$1:CB$87,'Fórmula'!J6,19)))</f>
        <v>5.44</v>
      </c>
      <c r="BM6" s="111">
        <f t="array" ref="BM6">MAX(INDEX(properties!A$1:CB$87,'Fórmula'!B6,19),INDEX(properties!A$1:CB$87,'Fórmula'!D6,19),INDEX(properties!A$1:CB$87,'Fórmula'!F6,19),INDEX(properties!A$1:CB$87,'Fórmula'!H6,19),INDEX(properties!A$1:CB$87,'Fórmula'!J6,19))</f>
        <v>6</v>
      </c>
      <c r="BN6" s="111">
        <f t="array" ref="BN6">MIN(IF(INDEX(properties!A$1:CB$87,'Fórmula'!B6,19)=0,10^6,INDEX(properties!A$1:CB$87,'Fórmula'!B6,19)),IF(INDEX(properties!A$1:CB$87,'Fórmula'!D6,19)=0,10^6,INDEX(properties!A$1:CB$87,'Fórmula'!D6,19)),IF(INDEX(properties!A$1:CB$87,'Fórmula'!F6,19)=0,10^6,INDEX(properties!A$1:CB$87,'Fórmula'!F6,19)),IF(INDEX(properties!A$1:CB$87,'Fórmula'!H6,19)=0,10^6,INDEX(properties!A$1:CB$87,'Fórmula'!H6,19)),IF(INDEX(properties!A$1:CB$87,'Fórmula'!J6,19)=0,10^6,INDEX(properties!A$1:CB$87,'Fórmula'!J6,19)))</f>
        <v>2</v>
      </c>
      <c r="BO6" s="111">
        <f t="shared" si="11"/>
        <v>4</v>
      </c>
      <c r="BP6" s="112">
        <f t="array" ref="BP6">(('Fórmula'!C6)/('Fórmula'!C6+'Fórmula'!E6+'Fórmula'!G6+'Fórmula'!I6+'Fórmula'!K6))*(INDEX(properties!A$1:CB$87,'Fórmula'!B6,20))+(('Fórmula'!E6)/('Fórmula'!C6+'Fórmula'!E6+'Fórmula'!G6+'Fórmula'!I6+'Fórmula'!K6))*(INDEX(properties!A$1:CB$87,'Fórmula'!D6,20))+(('Fórmula'!G6)/('Fórmula'!C6+'Fórmula'!E6+'Fórmula'!G6+'Fórmula'!I6+'Fórmula'!K6))*(INDEX(properties!A$1:CB$87,'Fórmula'!F6,20))+(('Fórmula'!I6)/('Fórmula'!C6+'Fórmula'!E6+'Fórmula'!G6+'Fórmula'!I6+'Fórmula'!K6))*(INDEX(properties!A$1:CB$87,'Fórmula'!H6,20))+(('Fórmula'!K6)/('Fórmula'!C6+'Fórmula'!E6+'Fórmula'!G6+'Fórmula'!I6+'Fórmula'!K6))*(INDEX(properties!A$1:CB$87,'Fórmula'!J6,20))</f>
        <v>4.571428571</v>
      </c>
      <c r="BQ6" s="112">
        <f t="array" ref="BQ6">'Fórmula'!C6*(INDEX(properties!A$1:CB$87,'Fórmula'!B6,20))+'Fórmula'!E6*(INDEX(properties!A$1:CB$87,'Fórmula'!D6,20))+'Fórmula'!G6*(INDEX(properties!A$1:CB$87,'Fórmula'!F6,20))+'Fórmula'!I6*(INDEX(properties!A$1:CB$87,'Fórmula'!H6,20))+'Fórmula'!K6*(INDEX(properties!A$1:CB$87,'Fórmula'!J6,20))</f>
        <v>32</v>
      </c>
      <c r="BR6" s="112">
        <f t="array" ref="BR6">VARP(IF(INDEX(properties!A$1:CB$87,'Fórmula'!B6,20)&lt;&gt;"",INDEX(properties!A$1:CB$87,'Fórmula'!B6,20)),IF(INDEX(properties!A$1:CB$87,'Fórmula'!D6,20)&lt;&gt;"",INDEX(properties!A$1:CB$87,'Fórmula'!D6,20)),IF(INDEX(properties!A$1:CB$87,'Fórmula'!F6,20)&lt;&gt;"",INDEX(properties!A$1:CB$87,'Fórmula'!F6,20)),IF(INDEX(properties!A$1:CB$87,'Fórmula'!H6,20)&lt;&gt;"",INDEX(properties!A$1:CB$87,'Fórmula'!H6,20)),IF(INDEX(properties!A$1:CB$87,'Fórmula'!J6,20)&lt;&gt;"",INDEX(properties!A$1:CB$87,'Fórmula'!J6,20)))</f>
        <v>5.44</v>
      </c>
      <c r="BS6" s="112">
        <f t="array" ref="BS6">MAX(INDEX(properties!A$1:CB$87,'Fórmula'!B6,20),INDEX(properties!A$1:CB$87,'Fórmula'!D6,20),INDEX(properties!A$1:CB$87,'Fórmula'!F6,20),INDEX(properties!A$1:CB$87,'Fórmula'!H6,20),INDEX(properties!A$1:CB$87,'Fórmula'!J6,20))</f>
        <v>6</v>
      </c>
      <c r="BT6" s="112">
        <f t="array" ref="BT6">MIN(IF(INDEX(properties!A$1:CB$87,'Fórmula'!B6,20)=0,10^6,INDEX(properties!A$1:CB$87,'Fórmula'!B6,20)),IF(INDEX(properties!A$1:CB$87,'Fórmula'!D6,20)=0,10^6,INDEX(properties!A$1:CB$87,'Fórmula'!D6,20)),IF(INDEX(properties!A$1:CB$87,'Fórmula'!F6,20)=0,10^6,INDEX(properties!A$1:CB$87,'Fórmula'!F6,20)),IF(INDEX(properties!A$1:CB$87,'Fórmula'!H6,20)=0,10^6,INDEX(properties!A$1:CB$87,'Fórmula'!H6,20)),IF(INDEX(properties!A$1:CB$87,'Fórmula'!J6,20)=0,10^6,INDEX(properties!A$1:CB$87,'Fórmula'!J6,20)))</f>
        <v>2</v>
      </c>
      <c r="BU6" s="112">
        <f t="shared" si="12"/>
        <v>4</v>
      </c>
      <c r="BV6" s="113">
        <f t="array" ref="BV6">(('Fórmula'!C6)/('Fórmula'!C6+'Fórmula'!E6+'Fórmula'!G6+'Fórmula'!I6+'Fórmula'!K6))*(INDEX(properties!A$1:CB$87,'Fórmula'!B6,21))+(('Fórmula'!E6)/('Fórmula'!C6+'Fórmula'!E6+'Fórmula'!G6+'Fórmula'!I6+'Fórmula'!K6))*(INDEX(properties!A$1:CB$87,'Fórmula'!D6,21))+(('Fórmula'!G6)/('Fórmula'!C6+'Fórmula'!E6+'Fórmula'!G6+'Fórmula'!I6+'Fórmula'!K6))*(INDEX(properties!A$1:CB$87,'Fórmula'!F6,21))+(('Fórmula'!I6)/('Fórmula'!C6+'Fórmula'!E6+'Fórmula'!G6+'Fórmula'!I6+'Fórmula'!K6))*(INDEX(properties!A$1:CB$87,'Fórmula'!H6,21))+(('Fórmula'!K6)/('Fórmula'!C6+'Fórmula'!E6+'Fórmula'!G6+'Fórmula'!I6+'Fórmula'!K6))*(INDEX(properties!A$1:CB$87,'Fórmula'!J6,21))</f>
        <v>4.571428571</v>
      </c>
      <c r="BW6" s="113">
        <f t="array" ref="BW6">'Fórmula'!C6*(INDEX(properties!A$1:CB$87,'Fórmula'!B6,21))+'Fórmula'!E6*(INDEX(properties!A$1:CB$87,'Fórmula'!D6,21))+'Fórmula'!G6*(INDEX(properties!A$1:CB$87,'Fórmula'!F6,21))+'Fórmula'!I6*(INDEX(properties!A$1:CB$87,'Fórmula'!H6,21))+'Fórmula'!K6*(INDEX(properties!A$1:CB$87,'Fórmula'!J6,21))</f>
        <v>32</v>
      </c>
      <c r="BX6" s="113">
        <f t="array" ref="BX6">VARP(IF(INDEX(properties!A$1:CB$87,'Fórmula'!B6,21)&lt;&gt;"",INDEX(properties!A$1:CB$87,'Fórmula'!B6,21)),IF(INDEX(properties!A$1:CB$87,'Fórmula'!D6,21)&lt;&gt;"",INDEX(properties!A$1:CB$87,'Fórmula'!D6,21)),IF(INDEX(properties!A$1:CB$87,'Fórmula'!F6,21)&lt;&gt;"",INDEX(properties!A$1:CB$87,'Fórmula'!F6,21)),IF(INDEX(properties!A$1:CB$87,'Fórmula'!H6,21)&lt;&gt;"",INDEX(properties!A$1:CB$87,'Fórmula'!H6,21)),IF(INDEX(properties!A$1:CB$87,'Fórmula'!J6,21)&lt;&gt;"",INDEX(properties!A$1:CB$87,'Fórmula'!J6,21)))</f>
        <v>5.44</v>
      </c>
      <c r="BY6" s="113">
        <f t="array" ref="BY6">MAX(INDEX(properties!A$1:CB$87,'Fórmula'!B6,21),INDEX(properties!A$1:CB$87,'Fórmula'!D6,21),INDEX(properties!A$1:CB$87,'Fórmula'!F6,21),INDEX(properties!A$1:CB$87,'Fórmula'!H6,21),INDEX(properties!A$1:CB$87,'Fórmula'!J6,21))</f>
        <v>6</v>
      </c>
      <c r="BZ6" s="113">
        <f t="array" ref="BZ6">MIN(IF(INDEX(properties!A$1:CB$87,'Fórmula'!B6,21)=0,10^6,INDEX(properties!A$1:CB$87,'Fórmula'!B6,21)),IF(INDEX(properties!A$1:CB$87,'Fórmula'!D6,21)=0,10^6,INDEX(properties!A$1:CB$87,'Fórmula'!D6,21)),IF(INDEX(properties!A$1:CB$87,'Fórmula'!F6,21)=0,10^6,INDEX(properties!A$1:CB$87,'Fórmula'!F6,21)),IF(INDEX(properties!A$1:CB$87,'Fórmula'!H6,21)=0,10^6,INDEX(properties!A$1:CB$87,'Fórmula'!H6,21)),IF(INDEX(properties!A$1:CB$87,'Fórmula'!J6,21)=0,10^6,INDEX(properties!A$1:CB$87,'Fórmula'!J6,21)))</f>
        <v>2</v>
      </c>
      <c r="CA6" s="113">
        <f t="shared" si="13"/>
        <v>4</v>
      </c>
      <c r="CB6" s="114">
        <f t="array" ref="CB6">(('Fórmula'!C6)/('Fórmula'!C6+'Fórmula'!E6+'Fórmula'!G6+'Fórmula'!I6+'Fórmula'!K6))*(INDEX(properties!A$1:CB$87,'Fórmula'!B6,23))+(('Fórmula'!E6)/('Fórmula'!C6+'Fórmula'!E6+'Fórmula'!G6+'Fórmula'!I6+'Fórmula'!K6))*(INDEX(properties!A$1:CB$87,'Fórmula'!D6,23))+(('Fórmula'!G6)/('Fórmula'!C6+'Fórmula'!E6+'Fórmula'!G6+'Fórmula'!I6+'Fórmula'!K6))*(INDEX(properties!A$1:CB$87,'Fórmula'!F6,23))+(('Fórmula'!I6)/('Fórmula'!C6+'Fórmula'!E6+'Fórmula'!G6+'Fórmula'!I6+'Fórmula'!K6))*(INDEX(properties!A$1:CB$87,'Fórmula'!H6,23))+(('Fórmula'!K6)/('Fórmula'!C6+'Fórmula'!E6+'Fórmula'!G6+'Fórmula'!I6+'Fórmula'!K6))*(INDEX(properties!A$1:CB$87,'Fórmula'!J6,23))</f>
        <v>1.142857143</v>
      </c>
      <c r="CC6" s="114">
        <f t="array" ref="CC6">'Fórmula'!C6*(INDEX(properties!A$1:CB$87,'Fórmula'!B6,23))+'Fórmula'!E6*(INDEX(properties!A$1:CB$87,'Fórmula'!D6,23))+'Fórmula'!G6*(INDEX(properties!A$1:CB$87,'Fórmula'!F6,23))+'Fórmula'!I6*(INDEX(properties!A$1:CB$87,'Fórmula'!H6,23))+'Fórmula'!K6*(INDEX(properties!A$1:CB$87,'Fórmula'!J6,23))</f>
        <v>8</v>
      </c>
      <c r="CD6" s="114">
        <f t="array" ref="CD6">VARP(IF(INDEX(properties!A$1:CB$87,'Fórmula'!B6,23)&lt;&gt;"",INDEX(properties!A$1:CB$87,'Fórmula'!B6,23)),IF(INDEX(properties!A$1:CB$87,'Fórmula'!D6,23)&lt;&gt;"",INDEX(properties!A$1:CB$87,'Fórmula'!D6,23)),IF(INDEX(properties!A$1:CB$87,'Fórmula'!F6,23)&lt;&gt;"",INDEX(properties!A$1:CB$87,'Fórmula'!F6,23)),IF(INDEX(properties!A$1:CB$87,'Fórmula'!H6,23)&lt;&gt;"",INDEX(properties!A$1:CB$87,'Fórmula'!H6,23)),IF(INDEX(properties!A$1:CB$87,'Fórmula'!J6,23)&lt;&gt;"",INDEX(properties!A$1:CB$87,'Fórmula'!J6,23)))</f>
        <v>2.56</v>
      </c>
      <c r="CE6" s="114">
        <f t="array" ref="CE6">MAX(INDEX(properties!A$1:CB$87,'Fórmula'!B6,23),INDEX(properties!A$1:CB$87,'Fórmula'!D6,23),INDEX(properties!A$1:CB$87,'Fórmula'!F6,23),INDEX(properties!A$1:CB$87,'Fórmula'!H6,23),INDEX(properties!A$1:CB$87,'Fórmula'!J6,23))</f>
        <v>4</v>
      </c>
      <c r="CF6" s="114">
        <f t="array" ref="CF6">MIN(IF('Fórmula'!B6=87,10^6,INDEX(properties!A$1:CB$87,'Fórmula'!B6,23)),IF(('Fórmula'!D6)=87,10^6,INDEX(properties!A$1:CB$87,'Fórmula'!D6,23)),IF(('Fórmula'!F6)=87,10^6,INDEX(properties!A$1:CB$87,'Fórmula'!F6,23)),IF(('Fórmula'!H6)=87,10^6,INDEX(properties!A$1:CB$87,'Fórmula'!H6,23)),IF('Fórmula'!J6=87,10^6,INDEX(properties!A$1:CB$87,'Fórmula'!J6,23)))</f>
        <v>0</v>
      </c>
      <c r="CG6" s="114">
        <f t="shared" si="14"/>
        <v>4</v>
      </c>
      <c r="CH6" s="115">
        <f t="array" ref="CH6">(('Fórmula'!C6)/('Fórmula'!C6+'Fórmula'!E6+'Fórmula'!G6+'Fórmula'!I6+'Fórmula'!K6))*(INDEX(properties!A$1:CB$87,'Fórmula'!B6,26))+(('Fórmula'!E6)/('Fórmula'!C6+'Fórmula'!E6+'Fórmula'!G6+'Fórmula'!I6+'Fórmula'!K6))*(INDEX(properties!A$1:CB$87,'Fórmula'!D6,26))+(('Fórmula'!G6)/('Fórmula'!C6+'Fórmula'!E6+'Fórmula'!G6+'Fórmula'!I6+'Fórmula'!K6))*(INDEX(properties!A$1:CB$87,'Fórmula'!F6,26))+(('Fórmula'!I6)/('Fórmula'!C6+'Fórmula'!E6+'Fórmula'!G6+'Fórmula'!I6+'Fórmula'!K6))*(INDEX(properties!A$1:CB$87,'Fórmula'!H6,26))+(('Fórmula'!K6)/('Fórmula'!C6+'Fórmula'!E6+'Fórmula'!G6+'Fórmula'!I6+'Fórmula'!K6))*(INDEX(properties!A$1:CB$87,'Fórmula'!J6,26))</f>
        <v>10.43535714</v>
      </c>
      <c r="CI6" s="115">
        <f t="array" ref="CI6">'Fórmula'!C6*(INDEX(properties!A$1:CB$87,'Fórmula'!B6,26))+'Fórmula'!E6*(INDEX(properties!A$1:CB$87,'Fórmula'!D6,26))+'Fórmula'!G6*(INDEX(properties!A$1:CB$87,'Fórmula'!F6,26))+'Fórmula'!I6*(INDEX(properties!A$1:CB$87,'Fórmula'!H6,26))+'Fórmula'!K6*(INDEX(properties!A$1:CB$87,'Fórmula'!J6,26))</f>
        <v>73.0475</v>
      </c>
      <c r="CJ6" s="115">
        <f t="array" ref="CJ6">VARP(IF(INDEX(properties!A$1:CB$87,'Fórmula'!B6,26)&lt;&gt;"",INDEX(properties!A$1:CB$87,'Fórmula'!B6,26)),IF(INDEX(properties!A$1:CB$87,'Fórmula'!D6,26)&lt;&gt;"",INDEX(properties!A$1:CB$87,'Fórmula'!D6,26)),IF(INDEX(properties!A$1:CB$87,'Fórmula'!F6,26)&lt;&gt;"",INDEX(properties!A$1:CB$87,'Fórmula'!F6,26)),IF(INDEX(properties!A$1:CB$87,'Fórmula'!H6,26)&lt;&gt;"",INDEX(properties!A$1:CB$87,'Fórmula'!H6,26)),IF(INDEX(properties!A$1:CB$87,'Fórmula'!J6,26)&lt;&gt;"",INDEX(properties!A$1:CB$87,'Fórmula'!J6,26)))</f>
        <v>26.69288179</v>
      </c>
      <c r="CK6" s="116">
        <f t="array" ref="CK6">MAX(INDEX(properties!A$1:CB$87,'Fórmula'!B6,26),INDEX(properties!A$1:CB$87,'Fórmula'!D6,26),INDEX(properties!A$1:CB$87,'Fórmula'!F6,26),INDEX(properties!A$1:CB$87,'Fórmula'!H6,26),INDEX(properties!A$1:CB$87,'Fórmula'!J6,26))</f>
        <v>13.6181</v>
      </c>
      <c r="CL6" s="116">
        <f t="array" ref="CL6">MIN(IF(INDEX(properties!A$1:CB$87,'Fórmula'!B6,26)=0,10^6,INDEX(properties!A$1:CB$87,'Fórmula'!B6,26)),IF(INDEX(properties!A$1:CB$87,'Fórmula'!D6,26)=0,10^6,INDEX(properties!A$1:CB$87,'Fórmula'!D6,26)),IF(INDEX(properties!A$1:CB$87,'Fórmula'!F6,26)=0,10^6,INDEX(properties!A$1:CB$87,'Fórmula'!F6,26)),IF(INDEX(properties!A$1:CB$87,'Fórmula'!H6,26)=0,10^6,INDEX(properties!A$1:CB$87,'Fórmula'!H6,26)),IF(INDEX(properties!A$1:CB$87,'Fórmula'!J6,26)=0,10^6,INDEX(properties!A$1:CB$87,'Fórmula'!J6,26)))</f>
        <v>5.2117</v>
      </c>
      <c r="CM6" s="115">
        <f t="shared" si="15"/>
        <v>8.4064</v>
      </c>
      <c r="CN6" s="117">
        <f t="array" ref="CN6">(('Fórmula'!C6)/('Fórmula'!C6+'Fórmula'!E6+'Fórmula'!G6+'Fórmula'!I6+'Fórmula'!K6))*(INDEX(properties!A$1:CB$87,'Fórmula'!B6,30))+(('Fórmula'!E6)/('Fórmula'!C6+'Fórmula'!E6+'Fórmula'!G6+'Fórmula'!I6+'Fórmula'!K6))*(INDEX(properties!A$1:CB$87,'Fórmula'!D6,30))+(('Fórmula'!G6)/('Fórmula'!C6+'Fórmula'!E6+'Fórmula'!G6+'Fórmula'!I6+'Fórmula'!K6))*(INDEX(properties!A$1:CB$87,'Fórmula'!F6,30))+(('Fórmula'!I6)/('Fórmula'!C6+'Fórmula'!E6+'Fórmula'!G6+'Fórmula'!I6+'Fórmula'!K6))*(INDEX(properties!A$1:CB$87,'Fórmula'!H6,30))+(('Fórmula'!K6)/('Fórmula'!C6+'Fórmula'!E6+'Fórmula'!G6+'Fórmula'!I6+'Fórmula'!K6))*(INDEX(properties!A$1:CB$87,'Fórmula'!J6,30))</f>
        <v>2.491428571</v>
      </c>
      <c r="CO6" s="117">
        <f t="array" ref="CO6">'Fórmula'!C6*(INDEX(properties!A$1:CB$87,'Fórmula'!B6,30))+'Fórmula'!E6*(INDEX(properties!A$1:CB$87,'Fórmula'!D6,30))+'Fórmula'!G6*(INDEX(properties!A$1:CB$87,'Fórmula'!F6,30))+'Fórmula'!I6*(INDEX(properties!A$1:CB$87,'Fórmula'!H6,30))+'Fórmula'!K6*(INDEX(properties!A$1:CB$87,'Fórmula'!J6,30))</f>
        <v>17.44</v>
      </c>
      <c r="CP6" s="117">
        <f t="array" ref="CP6">VARP(IF(INDEX(properties!A$1:CB$87,'Fórmula'!B6,30)&lt;&gt;"",INDEX(properties!A$1:CB$87,'Fórmula'!B6,30)),IF(INDEX(properties!A$1:CB$87,'Fórmula'!D6,30)&lt;&gt;"",INDEX(properties!A$1:CB$87,'Fórmula'!D6,30)),IF(INDEX(properties!A$1:CB$87,'Fórmula'!F6,30)&lt;&gt;"",INDEX(properties!A$1:CB$87,'Fórmula'!F6,30)),IF(INDEX(properties!A$1:CB$87,'Fórmula'!H6,30)&lt;&gt;"",INDEX(properties!A$1:CB$87,'Fórmula'!H6,30)),IF(INDEX(properties!A$1:CB$87,'Fórmula'!J6,30)&lt;&gt;"",INDEX(properties!A$1:CB$87,'Fórmula'!J6,30)))</f>
        <v>1.694624</v>
      </c>
      <c r="CQ6" s="117">
        <f t="array" ref="CQ6">MAX(INDEX(properties!A$1:CB$87,'Fórmula'!B6,30),INDEX(properties!A$1:CB$87,'Fórmula'!D6,30),INDEX(properties!A$1:CB$87,'Fórmula'!F6,30),INDEX(properties!A$1:CB$87,'Fórmula'!H6,30),INDEX(properties!A$1:CB$87,'Fórmula'!J6,30))</f>
        <v>3.44</v>
      </c>
      <c r="CR6" s="117">
        <f t="array" ref="CR6">MIN(IF(INDEX(properties!A$1:CB$87,'Fórmula'!B6,30)=0,10^6,INDEX(properties!A$1:CB$87,'Fórmula'!B6,30)),IF(INDEX(properties!A$1:CB$87,'Fórmula'!D6,30)=0,10^6,INDEX(properties!A$1:CB$87,'Fórmula'!D6,30)),IF(INDEX(properties!A$1:CB$87,'Fórmula'!F6,30)=0,10^6,INDEX(properties!A$1:CB$87,'Fórmula'!F6,30)),IF(INDEX(properties!A$1:CB$87,'Fórmula'!H6,30)=0,10^6,INDEX(properties!A$1:CB$87,'Fórmula'!H6,30)),IF(INDEX(properties!A$1:CB$87,'Fórmula'!J6,30)=0,10^6,INDEX(properties!A$1:CB$87,'Fórmula'!J6,30)))</f>
        <v>0.89</v>
      </c>
      <c r="CS6" s="117">
        <f t="shared" si="16"/>
        <v>2.55</v>
      </c>
      <c r="CT6" s="118">
        <f t="array" ref="CT6">(('Fórmula'!C6)/('Fórmula'!C6+'Fórmula'!E6+'Fórmula'!G6+'Fórmula'!I6+'Fórmula'!K6))*(INDEX(properties!A$1:CB$87,'Fórmula'!B6,31))+(('Fórmula'!E6)/('Fórmula'!C6+'Fórmula'!E6+'Fórmula'!G6+'Fórmula'!I6+'Fórmula'!K6))*(INDEX(properties!A$1:CB$87,'Fórmula'!D6,31))+(('Fórmula'!G6)/('Fórmula'!C6+'Fórmula'!E6+'Fórmula'!G6+'Fórmula'!I6+'Fórmula'!K6))*(INDEX(properties!A$1:CB$87,'Fórmula'!F6,31))+(('Fórmula'!I6)/('Fórmula'!C6+'Fórmula'!E6+'Fórmula'!G6+'Fórmula'!I6+'Fórmula'!K6))*(INDEX(properties!A$1:CB$87,'Fórmula'!H6,31))+(('Fórmula'!K6)/('Fórmula'!C6+'Fórmula'!E6+'Fórmula'!G6+'Fórmula'!I6+'Fórmula'!K6))*(INDEX(properties!A$1:CB$87,'Fórmula'!J6,31))</f>
        <v>2.488571429</v>
      </c>
      <c r="CU6" s="118">
        <f t="array" ref="CU6">'Fórmula'!C6*(INDEX(properties!A$1:CB$87,'Fórmula'!B6,31))+'Fórmula'!E6*(INDEX(properties!A$1:CB$87,'Fórmula'!D6,31))+'Fórmula'!G6*(INDEX(properties!A$1:CB$87,'Fórmula'!F6,31))+'Fórmula'!I6*(INDEX(properties!A$1:CB$87,'Fórmula'!H6,31))+'Fórmula'!K6*(INDEX(properties!A$1:CB$87,'Fórmula'!J6,31))</f>
        <v>17.42</v>
      </c>
      <c r="CV6" s="118">
        <f t="array" ref="CV6">VARP(IF(INDEX(properties!A$1:CB$87,'Fórmula'!B6,31)&lt;&gt;"",INDEX(properties!A$1:CB$87,'Fórmula'!B6,31)),IF(INDEX(properties!A$1:CB$87,'Fórmula'!D6,31)&lt;&gt;"",INDEX(properties!A$1:CB$87,'Fórmula'!D6,31)),IF(INDEX(properties!A$1:CB$87,'Fórmula'!F6,31)&lt;&gt;"",INDEX(properties!A$1:CB$87,'Fórmula'!F6,31)),IF(INDEX(properties!A$1:CB$87,'Fórmula'!H6,31)&lt;&gt;"",INDEX(properties!A$1:CB$87,'Fórmula'!H6,31)),IF(INDEX(properties!A$1:CB$87,'Fórmula'!J6,31)&lt;&gt;"",INDEX(properties!A$1:CB$87,'Fórmula'!J6,31)))</f>
        <v>1.593664</v>
      </c>
      <c r="CW6" s="118">
        <f t="array" ref="CW6">MAX(INDEX(properties!A$1:CB$87,'Fórmula'!B6,31),INDEX(properties!A$1:CB$87,'Fórmula'!D6,31),INDEX(properties!A$1:CB$87,'Fórmula'!F6,31),INDEX(properties!A$1:CB$87,'Fórmula'!H6,31),INDEX(properties!A$1:CB$87,'Fórmula'!J6,31))</f>
        <v>3.32</v>
      </c>
      <c r="CX6" s="118">
        <f t="array" ref="CX6">MIN(IF(INDEX(properties!A$1:CB$87,'Fórmula'!B6,31)=0,10^6,INDEX(properties!A$1:CB$87,'Fórmula'!B6,31)),IF(INDEX(properties!A$1:CB$87,'Fórmula'!D6,31)=0,10^6,INDEX(properties!A$1:CB$87,'Fórmula'!D6,31)),IF(INDEX(properties!A$1:CB$87,'Fórmula'!F6,31)=0,10^6,INDEX(properties!A$1:CB$87,'Fórmula'!F6,31)),IF(INDEX(properties!A$1:CB$87,'Fórmula'!H6,31)=0,10^6,INDEX(properties!A$1:CB$87,'Fórmula'!H6,31)),IF(INDEX(properties!A$1:CB$87,'Fórmula'!J6,31)=0,10^6,INDEX(properties!A$1:CB$87,'Fórmula'!J6,31)))</f>
        <v>1.08</v>
      </c>
      <c r="CY6" s="118">
        <f t="shared" si="17"/>
        <v>2.24</v>
      </c>
      <c r="CZ6" s="119">
        <f t="array" ref="CZ6">(('Fórmula'!C6)/('Fórmula'!C6+'Fórmula'!E6+'Fórmula'!G6+'Fórmula'!I6+'Fórmula'!K6))*(INDEX(properties!A$1:CB$87,'Fórmula'!B6,32))+(('Fórmula'!E6)/('Fórmula'!C6+'Fórmula'!E6+'Fórmula'!G6+'Fórmula'!I6+'Fórmula'!K6))*(INDEX(properties!A$1:CB$87,'Fórmula'!D6,32))+(('Fórmula'!G6)/('Fórmula'!C6+'Fórmula'!E6+'Fórmula'!G6+'Fórmula'!I6+'Fórmula'!K6))*(INDEX(properties!A$1:CB$87,'Fórmula'!F6,32))+(('Fórmula'!I6)/('Fórmula'!C6+'Fórmula'!E6+'Fórmula'!G6+'Fórmula'!I6+'Fórmula'!K6))*(INDEX(properties!A$1:CB$87,'Fórmula'!H6,32))+(('Fórmula'!K6)/('Fórmula'!C6+'Fórmula'!E6+'Fórmula'!G6+'Fórmula'!I6+'Fórmula'!K6))*(INDEX(properties!A$1:CB$87,'Fórmula'!J6,32))</f>
        <v>5.675714286</v>
      </c>
      <c r="DA6" s="119">
        <f t="array" ref="DA6">'Fórmula'!C6*(INDEX(properties!A$1:CB$87,'Fórmula'!B6,32))+'Fórmula'!E6*(INDEX(properties!A$1:CB$87,'Fórmula'!D6,32))+'Fórmula'!G6*(INDEX(properties!A$1:CB$87,'Fórmula'!F6,32))+'Fórmula'!I6*(INDEX(properties!A$1:CB$87,'Fórmula'!H6,32))+'Fórmula'!K6*(INDEX(properties!A$1:CB$87,'Fórmula'!J6,32))</f>
        <v>39.73</v>
      </c>
      <c r="DB6" s="119">
        <f t="array" ref="DB6">VARP(IF(INDEX(properties!A$1:CB$87,'Fórmula'!B6,32)&lt;&gt;"",INDEX(properties!A$1:CB$87,'Fórmula'!B6,32)),IF(INDEX(properties!A$1:CB$87,'Fórmula'!D6,32)&lt;&gt;"",INDEX(properties!A$1:CB$87,'Fórmula'!D6,32)),IF(INDEX(properties!A$1:CB$87,'Fórmula'!F6,32)&lt;&gt;"",INDEX(properties!A$1:CB$87,'Fórmula'!F6,32)),IF(INDEX(properties!A$1:CB$87,'Fórmula'!H6,32)&lt;&gt;"",INDEX(properties!A$1:CB$87,'Fórmula'!H6,32)),IF(INDEX(properties!A$1:CB$87,'Fórmula'!J6,32)&lt;&gt;"",INDEX(properties!A$1:CB$87,'Fórmula'!J6,32)))</f>
        <v>8.417536</v>
      </c>
      <c r="DC6" s="119">
        <f t="array" ref="DC6">MAX(INDEX(properties!A$1:CB$87,'Fórmula'!B6,32),INDEX(properties!A$1:CB$87,'Fórmula'!D6,32),INDEX(properties!A$1:CB$87,'Fórmula'!F6,32),INDEX(properties!A$1:CB$87,'Fórmula'!H6,32),INDEX(properties!A$1:CB$87,'Fórmula'!J6,32))</f>
        <v>7.54</v>
      </c>
      <c r="DD6" s="119">
        <f t="array" ref="DD6">MIN(IF(INDEX(properties!A$1:CB$87,'Fórmula'!B6,32)=0,10^6,INDEX(properties!A$1:CB$87,'Fórmula'!B6,32)),IF(INDEX(properties!A$1:CB$87,'Fórmula'!D6,32)=0,10^6,INDEX(properties!A$1:CB$87,'Fórmula'!D6,32)),IF(INDEX(properties!A$1:CB$87,'Fórmula'!F6,32)=0,10^6,INDEX(properties!A$1:CB$87,'Fórmula'!F6,32)),IF(INDEX(properties!A$1:CB$87,'Fórmula'!H6,32)=0,10^6,INDEX(properties!A$1:CB$87,'Fórmula'!H6,32)),IF(INDEX(properties!A$1:CB$87,'Fórmula'!J6,32)=0,10^6,INDEX(properties!A$1:CB$87,'Fórmula'!J6,32)))</f>
        <v>2.4</v>
      </c>
      <c r="DE6" s="119">
        <f t="shared" si="18"/>
        <v>5.14</v>
      </c>
      <c r="DF6" s="104">
        <f t="array" ref="DF6">(('Fórmula'!C6)/('Fórmula'!C6+'Fórmula'!E6+'Fórmula'!G6+'Fórmula'!I6+'Fórmula'!K6))*(INDEX(properties!A$1:CB$87,'Fórmula'!B6,34))+(('Fórmula'!E6)/('Fórmula'!C6+'Fórmula'!E6+'Fórmula'!G6+'Fórmula'!I6+'Fórmula'!K6))*(INDEX(properties!A$1:CB$87,'Fórmula'!D6,34))+(('Fórmula'!G6)/('Fórmula'!C6+'Fórmula'!E6+'Fórmula'!G6+'Fórmula'!I6+'Fórmula'!K6))*(INDEX(properties!A$1:CB$87,'Fórmula'!F6,34))+(('Fórmula'!I6)/('Fórmula'!C6+'Fórmula'!E6+'Fórmula'!G6+'Fórmula'!I6+'Fórmula'!K6))*(INDEX(properties!A$1:CB$87,'Fórmula'!H6,34))+(('Fórmula'!K6)/('Fórmula'!C6+'Fórmula'!E6+'Fórmula'!G6+'Fórmula'!I6+'Fórmula'!K6))*(INDEX(properties!A$1:CB$87,'Fórmula'!J6,34))</f>
        <v>2.588285714</v>
      </c>
      <c r="DG6" s="104">
        <f t="array" ref="DG6">'Fórmula'!C6*(INDEX(properties!A$1:CB$87,'Fórmula'!B6,34))+'Fórmula'!E6*(INDEX(properties!A$1:CB$87,'Fórmula'!D6,34))+'Fórmula'!G6*(INDEX(properties!A$1:CB$87,'Fórmula'!F6,34))+'Fórmula'!I6*(INDEX(properties!A$1:CB$87,'Fórmula'!H6,34))+'Fórmula'!K6*(INDEX(properties!A$1:CB$87,'Fórmula'!J6,34))</f>
        <v>18.118</v>
      </c>
      <c r="DH6" s="104">
        <f t="array" ref="DH6">VARP(IF(INDEX(properties!A$1:CB$87,'Fórmula'!B6,34)&lt;&gt;"",INDEX(properties!A$1:CB$87,'Fórmula'!B6,34)),IF(INDEX(properties!A$1:CB$87,'Fórmula'!D6,34)&lt;&gt;"",INDEX(properties!A$1:CB$87,'Fórmula'!D6,34)),IF(INDEX(properties!A$1:CB$87,'Fórmula'!F6,34)&lt;&gt;"",INDEX(properties!A$1:CB$87,'Fórmula'!F6,34)),IF(INDEX(properties!A$1:CB$87,'Fórmula'!H6,34)&lt;&gt;"",INDEX(properties!A$1:CB$87,'Fórmula'!H6,34)),IF(INDEX(properties!A$1:CB$87,'Fórmula'!J6,34)&lt;&gt;"",INDEX(properties!A$1:CB$87,'Fórmula'!J6,34)))</f>
        <v>1.85387744</v>
      </c>
      <c r="DI6" s="104">
        <f t="array" ref="DI6">MAX(INDEX(properties!A$1:CB$87,'Fórmula'!B6,34),INDEX(properties!A$1:CB$87,'Fórmula'!D6,34),INDEX(properties!A$1:CB$87,'Fórmula'!F6,34),INDEX(properties!A$1:CB$87,'Fórmula'!H6,34),INDEX(properties!A$1:CB$87,'Fórmula'!J6,34))</f>
        <v>3.61</v>
      </c>
      <c r="DJ6" s="104">
        <f t="array" ref="DJ6">MIN(IF(INDEX(properties!A$1:CB$87,'Fórmula'!B6,34)=0,10^6,INDEX(properties!A$1:CB$87,'Fórmula'!B6,34)),IF(INDEX(properties!A$1:CB$87,'Fórmula'!D6,34)=0,10^6,INDEX(properties!A$1:CB$87,'Fórmula'!D6,34)),IF(INDEX(properties!A$1:CB$87,'Fórmula'!F6,34)=0,10^6,INDEX(properties!A$1:CB$87,'Fórmula'!F6,34)),IF(INDEX(properties!A$1:CB$87,'Fórmula'!H6,34)=0,10^6,INDEX(properties!A$1:CB$87,'Fórmula'!H6,34)),IF(INDEX(properties!A$1:CB$87,'Fórmula'!J6,34)=0,10^6,INDEX(properties!A$1:CB$87,'Fórmula'!J6,34)))</f>
        <v>0.881</v>
      </c>
      <c r="DK6" s="104">
        <f t="shared" si="19"/>
        <v>2.729</v>
      </c>
      <c r="DL6" s="105">
        <f t="array" ref="DL6">(('Fórmula'!C6)/('Fórmula'!C6+'Fórmula'!E6+'Fórmula'!G6+'Fórmula'!I6+'Fórmula'!K6))*(INDEX(properties!A$1:CB$87,'Fórmula'!B6,37))+(('Fórmula'!E6)/('Fórmula'!C6+'Fórmula'!E6+'Fórmula'!G6+'Fórmula'!I6+'Fórmula'!K6))*(INDEX(properties!A$1:CB$87,'Fórmula'!D6,37))+(('Fórmula'!G6)/('Fórmula'!C6+'Fórmula'!E6+'Fórmula'!G6+'Fórmula'!I6+'Fórmula'!K6))*(INDEX(properties!A$1:CB$87,'Fórmula'!F6,37))+(('Fórmula'!I6)/('Fórmula'!C6+'Fórmula'!E6+'Fórmula'!G6+'Fórmula'!I6+'Fórmula'!K6))*(INDEX(properties!A$1:CB$87,'Fórmula'!H6,37))+(('Fórmula'!K6)/('Fórmula'!C6+'Fórmula'!E6+'Fórmula'!G6+'Fórmula'!I6+'Fórmula'!K6))*(INDEX(properties!A$1:CB$87,'Fórmula'!J6,37))</f>
        <v>2.485714286</v>
      </c>
      <c r="DM6" s="105">
        <f t="array" ref="DM6">'Fórmula'!C6*(INDEX(properties!A$1:CB$87,'Fórmula'!B6,37))+'Fórmula'!E6*(INDEX(properties!A$1:CB$87,'Fórmula'!D6,37))+'Fórmula'!G6*(INDEX(properties!A$1:CB$87,'Fórmula'!F6,37))+'Fórmula'!I6*(INDEX(properties!A$1:CB$87,'Fórmula'!H6,37))+'Fórmula'!K6*(INDEX(properties!A$1:CB$87,'Fórmula'!J6,37))</f>
        <v>17.4</v>
      </c>
      <c r="DN6" s="105">
        <f t="array" ref="DN6">VARP(IF(INDEX(properties!A$1:CB$87,'Fórmula'!B6,37)&lt;&gt;"",INDEX(properties!A$1:CB$87,'Fórmula'!B6,37)),IF(INDEX(properties!A$1:CB$87,'Fórmula'!D6,37)&lt;&gt;"",INDEX(properties!A$1:CB$87,'Fórmula'!D6,37)),IF(INDEX(properties!A$1:CB$87,'Fórmula'!F6,37)&lt;&gt;"",INDEX(properties!A$1:CB$87,'Fórmula'!F6,37)),IF(INDEX(properties!A$1:CB$87,'Fórmula'!H6,37)&lt;&gt;"",INDEX(properties!A$1:CB$87,'Fórmula'!H6,37)),IF(INDEX(properties!A$1:CB$87,'Fórmula'!J6,37)&lt;&gt;"",INDEX(properties!A$1:CB$87,'Fórmula'!J6,37)))</f>
        <v>1.6776</v>
      </c>
      <c r="DO6" s="105">
        <f t="array" ref="DO6">MAX(INDEX(properties!A$1:CB$87,'Fórmula'!B6,37),INDEX(properties!A$1:CB$87,'Fórmula'!D6,37),INDEX(properties!A$1:CB$87,'Fórmula'!F6,37),INDEX(properties!A$1:CB$87,'Fórmula'!H6,37),INDEX(properties!A$1:CB$87,'Fórmula'!J6,37))</f>
        <v>3.45</v>
      </c>
      <c r="DP6" s="105">
        <f t="array" ref="DP6">MIN(IF(INDEX(properties!A$1:CB$87,'Fórmula'!B6,37)=0,10^6,INDEX(properties!A$1:CB$87,'Fórmula'!B6,37)),IF(INDEX(properties!A$1:CB$87,'Fórmula'!D6,37)=0,10^6,INDEX(properties!A$1:CB$87,'Fórmula'!D6,37)),IF(INDEX(properties!A$1:CB$87,'Fórmula'!F6,37)=0,10^6,INDEX(properties!A$1:CB$87,'Fórmula'!F6,37)),IF(INDEX(properties!A$1:CB$87,'Fórmula'!H6,37)=0,10^6,INDEX(properties!A$1:CB$87,'Fórmula'!H6,37)),IF(INDEX(properties!A$1:CB$87,'Fórmula'!J6,37)=0,10^6,INDEX(properties!A$1:CB$87,'Fórmula'!J6,37)))</f>
        <v>0.9</v>
      </c>
      <c r="DQ6" s="105">
        <f t="shared" si="20"/>
        <v>2.55</v>
      </c>
      <c r="DR6" s="109">
        <f t="array" ref="DR6">(('Fórmula'!C6)/('Fórmula'!C6+'Fórmula'!E6+'Fórmula'!G6+'Fórmula'!I6+'Fórmula'!K6))*(INDEX(properties!A$1:CB$87,'Fórmula'!B6,39))+(('Fórmula'!E6)/('Fórmula'!C6+'Fórmula'!E6+'Fórmula'!G6+'Fórmula'!I6+'Fórmula'!K6))*(INDEX(properties!A$1:CB$87,'Fórmula'!D6,39))+(('Fórmula'!G6)/('Fórmula'!C6+'Fórmula'!E6+'Fórmula'!G6+'Fórmula'!I6+'Fórmula'!K6))*(INDEX(properties!A$1:CB$87,'Fórmula'!F6,39))+(('Fórmula'!I6)/('Fórmula'!C6+'Fórmula'!E6+'Fórmula'!G6+'Fórmula'!I6+'Fórmula'!K6))*(INDEX(properties!A$1:CB$87,'Fórmula'!H6,39))+(('Fórmula'!K6)/('Fórmula'!C6+'Fórmula'!E6+'Fórmula'!G6+'Fórmula'!I6+'Fórmula'!K6))*(INDEX(properties!A$1:CB$87,'Fórmula'!J6,39))</f>
        <v>1.155714286</v>
      </c>
      <c r="DS6" s="109">
        <f t="array" ref="DS6">'Fórmula'!C6*(INDEX(properties!A$1:CB$87,'Fórmula'!B6,39))+'Fórmula'!E6*(INDEX(properties!A$1:CB$87,'Fórmula'!D6,39))+'Fórmula'!G6*(INDEX(properties!A$1:CB$87,'Fórmula'!F6,39))+'Fórmula'!I6*(INDEX(properties!A$1:CB$87,'Fórmula'!H6,39))+'Fórmula'!K6*(INDEX(properties!A$1:CB$87,'Fórmula'!J6,39))</f>
        <v>8.09</v>
      </c>
      <c r="DT6" s="109">
        <f t="array" ref="DT6">VARP(IF(INDEX(properties!A$1:CB$87,'Fórmula'!B6,39)&lt;&gt;"",INDEX(properties!A$1:CB$87,'Fórmula'!B6,39)),IF(INDEX(properties!A$1:CB$87,'Fórmula'!D6,39)&lt;&gt;"",INDEX(properties!A$1:CB$87,'Fórmula'!D6,39)),IF(INDEX(properties!A$1:CB$87,'Fórmula'!F6,39)&lt;&gt;"",INDEX(properties!A$1:CB$87,'Fórmula'!F6,39)),IF(INDEX(properties!A$1:CB$87,'Fórmula'!H6,39)&lt;&gt;"",INDEX(properties!A$1:CB$87,'Fórmula'!H6,39)),IF(INDEX(properties!A$1:CB$87,'Fórmula'!J6,39)&lt;&gt;"",INDEX(properties!A$1:CB$87,'Fórmula'!J6,39)))</f>
        <v>0.893704</v>
      </c>
      <c r="DU6" s="120">
        <f t="array" ref="DU6">MAX(INDEX(properties!A$1:CB$87,'Fórmula'!B6,39),INDEX(properties!A$1:CB$87,'Fórmula'!D6,39),INDEX(properties!A$1:CB$87,'Fórmula'!F6,39),INDEX(properties!A$1:CB$87,'Fórmula'!H6,39),INDEX(properties!A$1:CB$87,'Fórmula'!J6,39))</f>
        <v>2.53</v>
      </c>
      <c r="DV6" s="120">
        <f t="array" ref="DV6">MIN(IF(INDEX(properties!A$1:CB$87,'Fórmula'!B6,39)=0,10^6,INDEX(properties!A$1:CB$87,'Fórmula'!B6,39)),IF(INDEX(properties!A$1:CB$87,'Fórmula'!D6,39)=0,10^6,INDEX(properties!A$1:CB$87,'Fórmula'!D6,39)),IF(INDEX(properties!A$1:CB$87,'Fórmula'!F6,39)=0,10^6,INDEX(properties!A$1:CB$87,'Fórmula'!F6,39)),IF(INDEX(properties!A$1:CB$87,'Fórmula'!H6,39)=0,10^6,INDEX(properties!A$1:CB$87,'Fórmula'!H6,39)),IF(INDEX(properties!A$1:CB$87,'Fórmula'!J6,39)=0,10^6,INDEX(properties!A$1:CB$87,'Fórmula'!J6,39)))</f>
        <v>0.48</v>
      </c>
      <c r="DW6" s="109">
        <f t="shared" si="21"/>
        <v>2.05</v>
      </c>
      <c r="DX6" s="110">
        <f t="array" ref="DX6">(('Fórmula'!C6)/('Fórmula'!C6+'Fórmula'!E6+'Fórmula'!G6+'Fórmula'!I6+'Fórmula'!K6))*(INDEX(properties!A$1:CB$87,'Fórmula'!B6,40))+(('Fórmula'!E6)/('Fórmula'!C6+'Fórmula'!E6+'Fórmula'!G6+'Fórmula'!I6+'Fórmula'!K6))*(INDEX(properties!A$1:CB$87,'Fórmula'!D6,40))+(('Fórmula'!G6)/('Fórmula'!C6+'Fórmula'!E6+'Fórmula'!G6+'Fórmula'!I6+'Fórmula'!K6))*(INDEX(properties!A$1:CB$87,'Fórmula'!F6,40))+(('Fórmula'!I6)/('Fórmula'!C6+'Fórmula'!E6+'Fórmula'!G6+'Fórmula'!I6+'Fórmula'!K6))*(INDEX(properties!A$1:CB$87,'Fórmula'!H6,40))+(('Fórmula'!K6)/('Fórmula'!C6+'Fórmula'!E6+'Fórmula'!G6+'Fórmula'!I6+'Fórmula'!K6))*(INDEX(properties!A$1:CB$87,'Fórmula'!J6,40))</f>
        <v>1.141428571</v>
      </c>
      <c r="DY6" s="110">
        <f t="array" ref="DY6">'Fórmula'!C6*(INDEX(properties!A$1:CB$87,'Fórmula'!B6,40))+'Fórmula'!E6*(INDEX(properties!A$1:CB$87,'Fórmula'!D6,40))+'Fórmula'!G6*(INDEX(properties!A$1:CB$87,'Fórmula'!F6,40))+'Fórmula'!I6*(INDEX(properties!A$1:CB$87,'Fórmula'!H6,40))+'Fórmula'!K6*(INDEX(properties!A$1:CB$87,'Fórmula'!J6,40))</f>
        <v>7.99</v>
      </c>
      <c r="DZ6" s="110">
        <f t="array" ref="DZ6">VARP(IF(INDEX(properties!A$1:CB$87,'Fórmula'!B6,40)&lt;&gt;"",INDEX(properties!A$1:CB$87,'Fórmula'!B6,40)),IF(INDEX(properties!A$1:CB$87,'Fórmula'!D6,40)&lt;&gt;"",INDEX(properties!A$1:CB$87,'Fórmula'!D6,40)),IF(INDEX(properties!A$1:CB$87,'Fórmula'!F6,40)&lt;&gt;"",INDEX(properties!A$1:CB$87,'Fórmula'!F6,40)),IF(INDEX(properties!A$1:CB$87,'Fórmula'!H6,40)&lt;&gt;"",INDEX(properties!A$1:CB$87,'Fórmula'!H6,40)),IF(INDEX(properties!A$1:CB$87,'Fórmula'!J6,40)&lt;&gt;"",INDEX(properties!A$1:CB$87,'Fórmula'!J6,40)))</f>
        <v>0.553384</v>
      </c>
      <c r="EA6" s="121">
        <f t="array" ref="EA6">MAX(INDEX(properties!A$1:CB$87,'Fórmula'!B6,40),INDEX(properties!A$1:CB$87,'Fórmula'!D6,40),INDEX(properties!A$1:CB$87,'Fórmula'!F6,40),INDEX(properties!A$1:CB$87,'Fórmula'!H6,40),INDEX(properties!A$1:CB$87,'Fórmula'!J6,40))</f>
        <v>1.98</v>
      </c>
      <c r="EB6" s="121">
        <f t="array" ref="EB6">MIN(IF(INDEX(properties!A$1:CB$87,'Fórmula'!B6,40)=0,10^6,INDEX(properties!A$1:CB$87,'Fórmula'!B6,40)),IF(INDEX(properties!A$1:CB$87,'Fórmula'!D6,40)=0,10^6,INDEX(properties!A$1:CB$87,'Fórmula'!D6,40)),IF(INDEX(properties!A$1:CB$87,'Fórmula'!F6,40)=0,10^6,INDEX(properties!A$1:CB$87,'Fórmula'!F6,40)),IF(INDEX(properties!A$1:CB$87,'Fórmula'!H6,40)=0,10^6,INDEX(properties!A$1:CB$87,'Fórmula'!H6,40)),IF(INDEX(properties!A$1:CB$87,'Fórmula'!J6,40)=0,10^6,INDEX(properties!A$1:CB$87,'Fórmula'!J6,40)))</f>
        <v>0.73</v>
      </c>
      <c r="EC6" s="110">
        <f t="shared" si="22"/>
        <v>1.25</v>
      </c>
      <c r="ED6" s="111">
        <f t="array" ref="ED6">(('Fórmula'!C6)/('Fórmula'!C6+'Fórmula'!E6+'Fórmula'!G6+'Fórmula'!I6+'Fórmula'!K6))*(INDEX(properties!A$1:CB$87,'Fórmula'!B6,41))+(('Fórmula'!E6)/('Fórmula'!C6+'Fórmula'!E6+'Fórmula'!G6+'Fórmula'!I6+'Fórmula'!K6))*(INDEX(properties!A$1:CB$87,'Fórmula'!D6,41))+(('Fórmula'!G6)/('Fórmula'!C6+'Fórmula'!E6+'Fórmula'!G6+'Fórmula'!I6+'Fórmula'!K6))*(INDEX(properties!A$1:CB$87,'Fórmula'!F6,41))+(('Fórmula'!I6)/('Fórmula'!C6+'Fórmula'!E6+'Fórmula'!G6+'Fórmula'!I6+'Fórmula'!K6))*(INDEX(properties!A$1:CB$87,'Fórmula'!H6,41))+(('Fórmula'!K6)/('Fórmula'!C6+'Fórmula'!E6+'Fórmula'!G6+'Fórmula'!I6+'Fórmula'!K6))*(INDEX(properties!A$1:CB$87,'Fórmula'!J6,41))</f>
        <v>1.222857143</v>
      </c>
      <c r="EE6" s="111">
        <f t="array" ref="EE6">'Fórmula'!C6*(INDEX(properties!A$1:CB$87,'Fórmula'!B6,41))+'Fórmula'!E6*(INDEX(properties!A$1:CB$87,'Fórmula'!D6,41))+'Fórmula'!G6*(INDEX(properties!A$1:CB$87,'Fórmula'!F6,41))+'Fórmula'!I6*(INDEX(properties!A$1:CB$87,'Fórmula'!H6,41))+'Fórmula'!K6*(INDEX(properties!A$1:CB$87,'Fórmula'!J6,41))</f>
        <v>8.56</v>
      </c>
      <c r="EF6" s="111">
        <f t="array" ref="EF6">VARP(IF(INDEX(properties!A$1:CB$87,'Fórmula'!B6,41)&lt;&gt;"",INDEX(properties!A$1:CB$87,'Fórmula'!B6,41)),IF(INDEX(properties!A$1:CB$87,'Fórmula'!D6,41)&lt;&gt;"",INDEX(properties!A$1:CB$87,'Fórmula'!D6,41)),IF(INDEX(properties!A$1:CB$87,'Fórmula'!F6,41)&lt;&gt;"",INDEX(properties!A$1:CB$87,'Fórmula'!F6,41)),IF(INDEX(properties!A$1:CB$87,'Fórmula'!H6,41)&lt;&gt;"",INDEX(properties!A$1:CB$87,'Fórmula'!H6,41)),IF(INDEX(properties!A$1:CB$87,'Fórmula'!J6,41)&lt;&gt;"",INDEX(properties!A$1:CB$87,'Fórmula'!J6,41)))</f>
        <v>0.386896</v>
      </c>
      <c r="EG6" s="122">
        <f t="array" ref="EG6">MAX(INDEX(properties!A$1:CB$87,'Fórmula'!B6,41),INDEX(properties!A$1:CB$87,'Fórmula'!D6,41),INDEX(properties!A$1:CB$87,'Fórmula'!F6,41),INDEX(properties!A$1:CB$87,'Fórmula'!H6,41),INDEX(properties!A$1:CB$87,'Fórmula'!J6,41))</f>
        <v>1.49</v>
      </c>
      <c r="EH6" s="122">
        <f t="array" ref="EH6">MIN(IF(INDEX(properties!A$1:CB$87,'Fórmula'!B6,41)=0,10^6,INDEX(properties!A$1:CB$87,'Fórmula'!B6,41)),IF(INDEX(properties!A$1:CB$87,'Fórmula'!D6,41)=0,10^6,INDEX(properties!A$1:CB$87,'Fórmula'!D6,41)),IF(INDEX(properties!A$1:CB$87,'Fórmula'!F6,41)=0,10^6,INDEX(properties!A$1:CB$87,'Fórmula'!F6,41)),IF(INDEX(properties!A$1:CB$87,'Fórmula'!H6,41)=0,10^6,INDEX(properties!A$1:CB$87,'Fórmula'!H6,41)),IF(INDEX(properties!A$1:CB$87,'Fórmula'!J6,41)=0,10^6,INDEX(properties!A$1:CB$87,'Fórmula'!J6,41)))</f>
        <v>0.54</v>
      </c>
      <c r="EI6" s="111">
        <f t="shared" si="23"/>
        <v>0.95</v>
      </c>
      <c r="EJ6" s="112">
        <f t="array" ref="EJ6">(('Fórmula'!C6)/('Fórmula'!C6+'Fórmula'!E6+'Fórmula'!G6+'Fórmula'!I6+'Fórmula'!K6))*(INDEX(properties!A$1:CB$87,'Fórmula'!B6,45))+(('Fórmula'!E6)/('Fórmula'!C6+'Fórmula'!E6+'Fórmula'!G6+'Fórmula'!I6+'Fórmula'!K6))*(INDEX(properties!A$1:CB$87,'Fórmula'!D6,45))+(('Fórmula'!G6)/('Fórmula'!C6+'Fórmula'!E6+'Fórmula'!G6+'Fórmula'!I6+'Fórmula'!K6))*(INDEX(properties!A$1:CB$87,'Fórmula'!F6,45))+(('Fórmula'!I6)/('Fórmula'!C6+'Fórmula'!E6+'Fórmula'!G6+'Fórmula'!I6+'Fórmula'!K6))*(INDEX(properties!A$1:CB$87,'Fórmula'!H6,45))+(('Fórmula'!K6)/('Fórmula'!C6+'Fórmula'!E6+'Fórmula'!G6+'Fórmula'!I6+'Fórmula'!K6))*(INDEX(properties!A$1:CB$87,'Fórmula'!J6,45))</f>
        <v>1.442857143</v>
      </c>
      <c r="EK6" s="112">
        <f t="array" ref="EK6">'Fórmula'!C6*(INDEX(properties!A$1:CB$87,'Fórmula'!B6,45))+'Fórmula'!E6*(INDEX(properties!A$1:CB$87,'Fórmula'!D6,45))+'Fórmula'!G6*(INDEX(properties!A$1:CB$87,'Fórmula'!F6,45))+'Fórmula'!I6*(INDEX(properties!A$1:CB$87,'Fórmula'!H6,45))+'Fórmula'!K6*(INDEX(properties!A$1:CB$87,'Fórmula'!J6,45))</f>
        <v>10.1</v>
      </c>
      <c r="EL6" s="112">
        <f t="array" ref="EL6">VARP(IF(INDEX(properties!A$1:CB$87,'Fórmula'!B6,45)&lt;&gt;"",INDEX(properties!A$1:CB$87,'Fórmula'!B6,45)),IF(INDEX(properties!A$1:CB$87,'Fórmula'!D6,45)&lt;&gt;"",INDEX(properties!A$1:CB$87,'Fórmula'!D6,45)),IF(INDEX(properties!A$1:CB$87,'Fórmula'!F6,45)&lt;&gt;"",INDEX(properties!A$1:CB$87,'Fórmula'!F6,45)),IF(INDEX(properties!A$1:CB$87,'Fórmula'!H6,45)&lt;&gt;"",INDEX(properties!A$1:CB$87,'Fórmula'!H6,45)),IF(INDEX(properties!A$1:CB$87,'Fórmula'!J6,45)&lt;&gt;"",INDEX(properties!A$1:CB$87,'Fórmula'!J6,45)))</f>
        <v>1.640096</v>
      </c>
      <c r="EM6" s="123">
        <f t="array" ref="EM6">MAX(INDEX(properties!A$1:CB$87,'Fórmula'!B6,45),INDEX(properties!A$1:CB$87,'Fórmula'!D6,45),INDEX(properties!A$1:CB$87,'Fórmula'!F6,45),INDEX(properties!A$1:CB$87,'Fórmula'!H6,45),INDEX(properties!A$1:CB$87,'Fórmula'!J6,45))</f>
        <v>3.4</v>
      </c>
      <c r="EN6" s="123">
        <f t="array" ref="EN6">MIN(IF(INDEX(properties!A$1:CB$87,'Fórmula'!B6,45)=0,10^6,INDEX(properties!A$1:CB$87,'Fórmula'!B6,45)),IF(INDEX(properties!A$1:CB$87,'Fórmula'!D6,45)=0,10^6,INDEX(properties!A$1:CB$87,'Fórmula'!D6,45)),IF(INDEX(properties!A$1:CB$87,'Fórmula'!F6,45)=0,10^6,INDEX(properties!A$1:CB$87,'Fórmula'!F6,45)),IF(INDEX(properties!A$1:CB$87,'Fórmula'!H6,45)=0,10^6,INDEX(properties!A$1:CB$87,'Fórmula'!H6,45)),IF(INDEX(properties!A$1:CB$87,'Fórmula'!J6,45)=0,10^6,INDEX(properties!A$1:CB$87,'Fórmula'!J6,45)))</f>
        <v>0.47</v>
      </c>
      <c r="EO6" s="112">
        <f t="shared" si="24"/>
        <v>2.93</v>
      </c>
      <c r="EP6" s="113">
        <f t="array" ref="EP6">(('Fórmula'!C6)/('Fórmula'!C6+'Fórmula'!E6+'Fórmula'!G6+'Fórmula'!I6+'Fórmula'!K6))*(INDEX(properties!A$1:CB$87,'Fórmula'!B6,46))+(('Fórmula'!E6)/('Fórmula'!C6+'Fórmula'!E6+'Fórmula'!G6+'Fórmula'!I6+'Fórmula'!K6))*(INDEX(properties!A$1:CB$87,'Fórmula'!D6,46))+(('Fórmula'!G6)/('Fórmula'!C6+'Fórmula'!E6+'Fórmula'!G6+'Fórmula'!I6+'Fórmula'!K6))*(INDEX(properties!A$1:CB$87,'Fórmula'!F6,46))+(('Fórmula'!I6)/('Fórmula'!C6+'Fórmula'!E6+'Fórmula'!G6+'Fórmula'!I6+'Fórmula'!K6))*(INDEX(properties!A$1:CB$87,'Fórmula'!H6,46))+(('Fórmula'!K6)/('Fórmula'!C6+'Fórmula'!E6+'Fórmula'!G6+'Fórmula'!I6+'Fórmula'!K6))*(INDEX(properties!A$1:CB$87,'Fórmula'!J6,46))</f>
        <v>1.174285714</v>
      </c>
      <c r="EQ6" s="113">
        <f t="array" ref="EQ6">'Fórmula'!C6*(INDEX(properties!A$1:CB$87,'Fórmula'!B6,46))+'Fórmula'!E6*(INDEX(properties!A$1:CB$87,'Fórmula'!D6,46))+'Fórmula'!G6*(INDEX(properties!A$1:CB$87,'Fórmula'!F6,46))+'Fórmula'!I6*(INDEX(properties!A$1:CB$87,'Fórmula'!H6,46))+'Fórmula'!K6*(INDEX(properties!A$1:CB$87,'Fórmula'!J6,46))</f>
        <v>8.22</v>
      </c>
      <c r="ER6" s="113">
        <f t="array" ref="ER6">VARP(IF(INDEX(properties!A$1:CB$87,'Fórmula'!B6,46)&lt;&gt;"",INDEX(properties!A$1:CB$87,'Fórmula'!B6,46)),IF(INDEX(properties!A$1:CB$87,'Fórmula'!D6,46)&lt;&gt;"",INDEX(properties!A$1:CB$87,'Fórmula'!D6,46)),IF(INDEX(properties!A$1:CB$87,'Fórmula'!F6,46)&lt;&gt;"",INDEX(properties!A$1:CB$87,'Fórmula'!F6,46)),IF(INDEX(properties!A$1:CB$87,'Fórmula'!H6,46)&lt;&gt;"",INDEX(properties!A$1:CB$87,'Fórmula'!H6,46)),IF(INDEX(properties!A$1:CB$87,'Fórmula'!J6,46)&lt;&gt;"",INDEX(properties!A$1:CB$87,'Fórmula'!J6,46)))</f>
        <v>0.38444</v>
      </c>
      <c r="ES6" s="124">
        <f t="array" ref="ES6">MAX(INDEX(properties!A$1:CB$87,'Fórmula'!B6,46),INDEX(properties!A$1:CB$87,'Fórmula'!D6,46),INDEX(properties!A$1:CB$87,'Fórmula'!F6,46),INDEX(properties!A$1:CB$87,'Fórmula'!H6,46),INDEX(properties!A$1:CB$87,'Fórmula'!J6,46))</f>
        <v>1.49</v>
      </c>
      <c r="ET6" s="124">
        <f t="array" ref="ET6">MIN(IF(INDEX(properties!A$1:CB$87,'Fórmula'!B6,46)=0,10^6,INDEX(properties!A$1:CB$87,'Fórmula'!B6,46)),IF(INDEX(properties!A$1:CB$87,'Fórmula'!D6,46)=0,10^6,INDEX(properties!A$1:CB$87,'Fórmula'!D6,46)),IF(INDEX(properties!A$1:CB$87,'Fórmula'!F6,46)=0,10^6,INDEX(properties!A$1:CB$87,'Fórmula'!F6,46)),IF(INDEX(properties!A$1:CB$87,'Fórmula'!H6,46)=0,10^6,INDEX(properties!A$1:CB$87,'Fórmula'!H6,46)),IF(INDEX(properties!A$1:CB$87,'Fórmula'!J6,46)=0,10^6,INDEX(properties!A$1:CB$87,'Fórmula'!J6,46)))</f>
        <v>0.4</v>
      </c>
      <c r="EU6" s="113">
        <f t="shared" si="25"/>
        <v>1.09</v>
      </c>
      <c r="EV6" s="114">
        <f t="array" ref="EV6">(('Fórmula'!C6)/('Fórmula'!C6+'Fórmula'!E6+'Fórmula'!G6+'Fórmula'!I6+'Fórmula'!K6))*(INDEX(properties!A$1:CB$87,'Fórmula'!B6,52))+(('Fórmula'!E6)/('Fórmula'!C6+'Fórmula'!E6+'Fórmula'!G6+'Fórmula'!I6+'Fórmula'!K6))*(INDEX(properties!A$1:CB$87,'Fórmula'!D6,52))+(('Fórmula'!G6)/('Fórmula'!C6+'Fórmula'!E6+'Fórmula'!G6+'Fórmula'!I6+'Fórmula'!K6))*(INDEX(properties!A$1:CB$87,'Fórmula'!F6,52))+(('Fórmula'!I6)/('Fórmula'!C6+'Fórmula'!E6+'Fórmula'!G6+'Fórmula'!I6+'Fórmula'!K6))*(INDEX(properties!A$1:CB$87,'Fórmula'!H6,52))+(('Fórmula'!K6)/('Fórmula'!C6+'Fórmula'!E6+'Fórmula'!G6+'Fórmula'!I6+'Fórmula'!K6))*(INDEX(properties!A$1:CB$87,'Fórmula'!J6,52))</f>
        <v>12.56742857</v>
      </c>
      <c r="EW6" s="114">
        <f t="array" ref="EW6">'Fórmula'!C6*(INDEX(properties!A$1:CB$87,'Fórmula'!B6,52))+'Fórmula'!E6*(INDEX(properties!A$1:CB$87,'Fórmula'!D6,52))+'Fórmula'!G6*(INDEX(properties!A$1:CB$87,'Fórmula'!F6,52))+'Fórmula'!I6*(INDEX(properties!A$1:CB$87,'Fórmula'!H6,52))+'Fórmula'!K6*(INDEX(properties!A$1:CB$87,'Fórmula'!J6,52))</f>
        <v>87.972</v>
      </c>
      <c r="EX6" s="114">
        <f t="array" ref="EX6">VARP(IF(INDEX(properties!A$1:CB$87,'Fórmula'!B6,52)&lt;&gt;"",INDEX(properties!A$1:CB$87,'Fórmula'!B6,52)),IF(INDEX(properties!A$1:CB$87,'Fórmula'!D6,52)&lt;&gt;"",INDEX(properties!A$1:CB$87,'Fórmula'!D6,52)),IF(INDEX(properties!A$1:CB$87,'Fórmula'!F6,52)&lt;&gt;"",INDEX(properties!A$1:CB$87,'Fórmula'!F6,52)),IF(INDEX(properties!A$1:CB$87,'Fórmula'!H6,52)&lt;&gt;"",INDEX(properties!A$1:CB$87,'Fórmula'!H6,52)),IF(INDEX(properties!A$1:CB$87,'Fórmula'!J6,52)&lt;&gt;"",INDEX(properties!A$1:CB$87,'Fórmula'!J6,52)))</f>
        <v>236.9290718</v>
      </c>
      <c r="EY6" s="114">
        <f t="array" ref="EY6">MAX(INDEX(properties!A$1:CB$87,'Fórmula'!B6,52),INDEX(properties!A$1:CB$87,'Fórmula'!D6,52),INDEX(properties!A$1:CB$87,'Fórmula'!F6,52),INDEX(properties!A$1:CB$87,'Fórmula'!H6,52),INDEX(properties!A$1:CB$87,'Fórmula'!J6,52))</f>
        <v>39.7</v>
      </c>
      <c r="EZ6" s="114">
        <f t="array" ref="EZ6">MIN(IF(INDEX(properties!A$1:CB$87,'Fórmula'!B6,52)=0,10^6,INDEX(properties!A$1:CB$87,'Fórmula'!B6,52)),IF(INDEX(properties!A$1:CB$87,'Fórmula'!D6,52)=0,10^6,INDEX(properties!A$1:CB$87,'Fórmula'!D6,52)),IF(INDEX(properties!A$1:CB$87,'Fórmula'!F6,52)=0,10^6,INDEX(properties!A$1:CB$87,'Fórmula'!F6,52)),IF(INDEX(properties!A$1:CB$87,'Fórmula'!H6,52)=0,10^6,INDEX(properties!A$1:CB$87,'Fórmula'!H6,52)),IF(INDEX(properties!A$1:CB$87,'Fórmula'!J6,52)=0,10^6,INDEX(properties!A$1:CB$87,'Fórmula'!J6,52)))</f>
        <v>0.793</v>
      </c>
      <c r="FA6" s="114">
        <f t="shared" si="26"/>
        <v>38.907</v>
      </c>
      <c r="FB6" s="115">
        <f t="array" ref="FB6">(('Fórmula'!C6)/('Fórmula'!C6+'Fórmula'!E6+'Fórmula'!G6+'Fórmula'!I6+'Fórmula'!K6))*(INDEX(properties!A$1:CB$87,'Fórmula'!B6,53))+(('Fórmula'!E6)/('Fórmula'!C6+'Fórmula'!E6+'Fórmula'!G6+'Fórmula'!I6+'Fórmula'!K6))*(INDEX(properties!A$1:CB$87,'Fórmula'!D6,53))+(('Fórmula'!G6)/('Fórmula'!C6+'Fórmula'!E6+'Fórmula'!G6+'Fórmula'!I6+'Fórmula'!K6))*(INDEX(properties!A$1:CB$87,'Fórmula'!F6,53))+(('Fórmula'!I6)/('Fórmula'!C6+'Fórmula'!E6+'Fórmula'!G6+'Fórmula'!I6+'Fórmula'!K6))*(INDEX(properties!A$1:CB$87,'Fórmula'!H6,53))+(('Fórmula'!K6)/('Fórmula'!C6+'Fórmula'!E6+'Fórmula'!G6+'Fórmula'!I6+'Fórmula'!K6))*(INDEX(properties!A$1:CB$87,'Fórmula'!J6,53))</f>
        <v>556.9214286</v>
      </c>
      <c r="FC6" s="115">
        <f t="array" ref="FC6">'Fórmula'!C6*(INDEX(properties!A$1:CB$87,'Fórmula'!B6,53))+'Fórmula'!E6*(INDEX(properties!A$1:CB$87,'Fórmula'!D6,53))+'Fórmula'!G6*(INDEX(properties!A$1:CB$87,'Fórmula'!F6,53))+'Fórmula'!I6*(INDEX(properties!A$1:CB$87,'Fórmula'!H6,53))+'Fórmula'!K6*(INDEX(properties!A$1:CB$87,'Fórmula'!J6,53))</f>
        <v>3898.45</v>
      </c>
      <c r="FD6" s="115">
        <f t="array" ref="FD6">VARP(IF(INDEX(properties!A$1:CB$87,'Fórmula'!B6,53)&lt;&gt;"",INDEX(properties!A$1:CB$87,'Fórmula'!B6,53)),IF(INDEX(properties!A$1:CB$87,'Fórmula'!D6,53)&lt;&gt;"",INDEX(properties!A$1:CB$87,'Fórmula'!D6,53)),IF(INDEX(properties!A$1:CB$87,'Fórmula'!F6,53)&lt;&gt;"",INDEX(properties!A$1:CB$87,'Fórmula'!F6,53)),IF(INDEX(properties!A$1:CB$87,'Fórmula'!H6,53)&lt;&gt;"",INDEX(properties!A$1:CB$87,'Fórmula'!H6,53)),IF(INDEX(properties!A$1:CB$87,'Fórmula'!J6,53)&lt;&gt;"",INDEX(properties!A$1:CB$87,'Fórmula'!J6,53)))</f>
        <v>467020.1974</v>
      </c>
      <c r="FE6" s="115">
        <f t="array" ref="FE6">MAX(INDEX(properties!A$1:CB$87,'Fórmula'!B6,53),INDEX(properties!A$1:CB$87,'Fórmula'!D6,53),INDEX(properties!A$1:CB$87,'Fórmula'!F6,53),INDEX(properties!A$1:CB$87,'Fórmula'!H6,53),INDEX(properties!A$1:CB$87,'Fórmula'!J6,53))</f>
        <v>1683.15</v>
      </c>
      <c r="FF6" s="115">
        <f t="array" ref="FF6">MIN(IF(INDEX(properties!A$1:CB$87,'Fórmula'!B6,53)=0,10^6,INDEX(properties!A$1:CB$87,'Fórmula'!B6,53)),IF(INDEX(properties!A$1:CB$87,'Fórmula'!D6,53)=0,10^6,INDEX(properties!A$1:CB$87,'Fórmula'!D6,53)),IF(INDEX(properties!A$1:CB$87,'Fórmula'!F6,53)=0,10^6,INDEX(properties!A$1:CB$87,'Fórmula'!F6,53)),IF(INDEX(properties!A$1:CB$87,'Fórmula'!H6,53)=0,10^6,INDEX(properties!A$1:CB$87,'Fórmula'!H6,53)),IF(INDEX(properties!A$1:CB$87,'Fórmula'!J6,53)=0,10^6,INDEX(properties!A$1:CB$87,'Fórmula'!J6,53)))</f>
        <v>54.75</v>
      </c>
      <c r="FG6" s="115">
        <f t="shared" si="27"/>
        <v>1628.4</v>
      </c>
      <c r="FH6" s="117">
        <f t="array" ref="FH6">(('Fórmula'!C6)/('Fórmula'!C6+'Fórmula'!E6+'Fórmula'!G6+'Fórmula'!I6+'Fórmula'!K6))*(INDEX(properties!A$1:CB$87,'Fórmula'!B6,54))+(('Fórmula'!E6)/('Fórmula'!C6+'Fórmula'!E6+'Fórmula'!G6+'Fórmula'!I6+'Fórmula'!K6))*(INDEX(properties!A$1:CB$87,'Fórmula'!D6,54))+(('Fórmula'!G6)/('Fórmula'!C6+'Fórmula'!E6+'Fórmula'!G6+'Fórmula'!I6+'Fórmula'!K6))*(INDEX(properties!A$1:CB$87,'Fórmula'!F6,54))+(('Fórmula'!I6)/('Fórmula'!C6+'Fórmula'!E6+'Fórmula'!G6+'Fórmula'!I6+'Fórmula'!K6))*(INDEX(properties!A$1:CB$87,'Fórmula'!H6,54))+(('Fórmula'!K6)/('Fórmula'!C6+'Fórmula'!E6+'Fórmula'!G6+'Fórmula'!I6+'Fórmula'!K6))*(INDEX(properties!A$1:CB$87,'Fórmula'!J6,54))</f>
        <v>973.5785714</v>
      </c>
      <c r="FI6" s="117">
        <f t="array" ref="FI6">'Fórmula'!C6*(INDEX(properties!A$1:CB$87,'Fórmula'!B6,54))+'Fórmula'!E6*(INDEX(properties!A$1:CB$87,'Fórmula'!D6,54))+'Fórmula'!G6*(INDEX(properties!A$1:CB$87,'Fórmula'!F6,54))+'Fórmula'!I6*(INDEX(properties!A$1:CB$87,'Fórmula'!H6,54))+'Fórmula'!K6*(INDEX(properties!A$1:CB$87,'Fórmula'!J6,54))</f>
        <v>6815.05</v>
      </c>
      <c r="FJ6" s="117">
        <f t="array" ref="FJ6">VARP(IF(INDEX(properties!A$1:CB$87,'Fórmula'!B6,54)&lt;&gt;"",INDEX(properties!A$1:CB$87,'Fórmula'!B6,54)),IF(INDEX(properties!A$1:CB$87,'Fórmula'!D6,54)&lt;&gt;"",INDEX(properties!A$1:CB$87,'Fórmula'!D6,54)),IF(INDEX(properties!A$1:CB$87,'Fórmula'!F6,54)&lt;&gt;"",INDEX(properties!A$1:CB$87,'Fórmula'!F6,54)),IF(INDEX(properties!A$1:CB$87,'Fórmula'!H6,54)&lt;&gt;"",INDEX(properties!A$1:CB$87,'Fórmula'!H6,54)),IF(INDEX(properties!A$1:CB$87,'Fórmula'!J6,54)&lt;&gt;"",INDEX(properties!A$1:CB$87,'Fórmula'!J6,54)))</f>
        <v>1257075.309</v>
      </c>
      <c r="FK6" s="117">
        <f t="array" ref="FK6">MAX(INDEX(properties!A$1:CB$87,'Fórmula'!B6,54),INDEX(properties!A$1:CB$87,'Fórmula'!D6,54),INDEX(properties!A$1:CB$87,'Fórmula'!F6,54),INDEX(properties!A$1:CB$87,'Fórmula'!H6,54),INDEX(properties!A$1:CB$87,'Fórmula'!J6,54))</f>
        <v>2628.15</v>
      </c>
      <c r="FL6" s="117">
        <f t="array" ref="FL6">MIN(IF(INDEX(properties!A$1:CB$87,'Fórmula'!B6,54)=0,10^6,INDEX(properties!A$1:CB$87,'Fórmula'!B6,54)),IF(INDEX(properties!A$1:CB$87,'Fórmula'!D6,54)=0,10^6,INDEX(properties!A$1:CB$87,'Fórmula'!D6,54)),IF(INDEX(properties!A$1:CB$87,'Fórmula'!F6,54)=0,10^6,INDEX(properties!A$1:CB$87,'Fórmula'!F6,54)),IF(INDEX(properties!A$1:CB$87,'Fórmula'!H6,54)=0,10^6,INDEX(properties!A$1:CB$87,'Fórmula'!H6,54)),IF(INDEX(properties!A$1:CB$87,'Fórmula'!J6,54)=0,10^6,INDEX(properties!A$1:CB$87,'Fórmula'!J6,54)))</f>
        <v>90.15</v>
      </c>
      <c r="FM6" s="117">
        <f t="shared" si="28"/>
        <v>2538</v>
      </c>
      <c r="FN6" s="118">
        <f t="array" ref="FN6">(('Fórmula'!C6)/('Fórmula'!C6+'Fórmula'!E6+'Fórmula'!G6+'Fórmula'!I6+'Fórmula'!K6))*(INDEX(properties!A$1:CB$87,'Fórmula'!B6,55))+(('Fórmula'!E6)/('Fórmula'!C6+'Fórmula'!E6+'Fórmula'!G6+'Fórmula'!I6+'Fórmula'!K6))*(INDEX(properties!A$1:CB$87,'Fórmula'!D6,55))+(('Fórmula'!G6)/('Fórmula'!C6+'Fórmula'!E6+'Fórmula'!G6+'Fórmula'!I6+'Fórmula'!K6))*(INDEX(properties!A$1:CB$87,'Fórmula'!F6,55))+(('Fórmula'!I6)/('Fórmula'!C6+'Fórmula'!E6+'Fórmula'!G6+'Fórmula'!I6+'Fórmula'!K6))*(INDEX(properties!A$1:CB$87,'Fórmula'!H6,55))+(('Fórmula'!K6)/('Fórmula'!C6+'Fórmula'!E6+'Fórmula'!G6+'Fórmula'!I6+'Fórmula'!K6))*(INDEX(properties!A$1:CB$87,'Fórmula'!J6,55))</f>
        <v>1.333674286</v>
      </c>
      <c r="FO6" s="118">
        <f t="array" ref="FO6">'Fórmula'!C6*(INDEX(properties!A$1:CB$87,'Fórmula'!B6,55))+'Fórmula'!E6*(INDEX(properties!A$1:CB$87,'Fórmula'!D6,54))+'Fórmula'!G6*(INDEX(properties!A$1:CB$87,'Fórmula'!F6,55))+'Fórmula'!I6*(INDEX(properties!A$1:CB$87,'Fórmula'!H6,55))+'Fórmula'!K6*(INDEX(properties!A$1:CB$87,'Fórmula'!J6,55))</f>
        <v>2635.15572</v>
      </c>
      <c r="FP6" s="118">
        <f t="array" ref="FP6">VARP(IF(INDEX(properties!A$1:CB$87,'Fórmula'!B6,55)&lt;&gt;"",INDEX(properties!A$1:CB$87,'Fórmula'!B6,55)),IF(INDEX(properties!A$1:CB$87,'Fórmula'!D6,55)&lt;&gt;"",INDEX(properties!A$1:CB$87,'Fórmula'!D6,55)),IF(INDEX(properties!A$1:CB$87,'Fórmula'!F6,55)&lt;&gt;"",INDEX(properties!A$1:CB$87,'Fórmula'!F6,55)),IF(INDEX(properties!A$1:CB$87,'Fórmula'!H6,55)&lt;&gt;"",INDEX(properties!A$1:CB$87,'Fórmula'!H6,55)),IF(INDEX(properties!A$1:CB$87,'Fórmula'!J6,55)&lt;&gt;"",INDEX(properties!A$1:CB$87,'Fórmula'!J6,55)))</f>
        <v>2.175557375</v>
      </c>
      <c r="FQ6" s="118">
        <f t="array" ref="FQ6">MAX(INDEX(properties!A$1:CB$87,'Fórmula'!B6,55),INDEX(properties!A$1:CB$87,'Fórmula'!D6,55),INDEX(properties!A$1:CB$87,'Fórmula'!F6,55),INDEX(properties!A$1:CB$87,'Fórmula'!H6,55),INDEX(properties!A$1:CB$87,'Fórmula'!J6,55))</f>
        <v>3.5</v>
      </c>
      <c r="FR6" s="118">
        <f t="array" ref="FR6">MIN(IF(INDEX(properties!A$1:CB$87,'Fórmula'!B6,55)=0,10^6,INDEX(properties!A$1:CB$87,'Fórmula'!B6,55)),IF(INDEX(properties!A$1:CB$87,'Fórmula'!D6,55)=0,10^6,INDEX(properties!A$1:CB$87,'Fórmula'!D6,55)),IF(INDEX(properties!A$1:CB$87,'Fórmula'!F6,55)=0,10^6,INDEX(properties!A$1:CB$87,'Fórmula'!F6,55)),IF(INDEX(properties!A$1:CB$87,'Fórmula'!H6,55)=0,10^6,INDEX(properties!A$1:CB$87,'Fórmula'!H6,55)),IF(INDEX(properties!A$1:CB$87,'Fórmula'!J6,55)=0,10^6,INDEX(properties!A$1:CB$87,'Fórmula'!J6,55)))</f>
        <v>0.00143</v>
      </c>
      <c r="FS6" s="118">
        <f t="shared" si="29"/>
        <v>3.49857</v>
      </c>
      <c r="FT6" s="119">
        <f t="array" ref="FT6">(('Fórmula'!C6)/('Fórmula'!C6+'Fórmula'!E6+'Fórmula'!G6+'Fórmula'!I6+'Fórmula'!K6))*(INDEX(properties!A$1:CB$87,'Fórmula'!B6,56))+(('Fórmula'!E6)/('Fórmula'!C6+'Fórmula'!E6+'Fórmula'!G6+'Fórmula'!I6+'Fórmula'!K6))*(INDEX(properties!A$1:CB$87,'Fórmula'!D6,56))+(('Fórmula'!G6)/('Fórmula'!C6+'Fórmula'!E6+'Fórmula'!G6+'Fórmula'!I6+'Fórmula'!K6))*(INDEX(properties!A$1:CB$87,'Fórmula'!F6,56))+(('Fórmula'!I6)/('Fórmula'!C6+'Fórmula'!E6+'Fórmula'!G6+'Fórmula'!I6+'Fórmula'!K6))*(INDEX(properties!A$1:CB$87,'Fórmula'!H6,56))+(('Fórmula'!K6)/('Fórmula'!C6+'Fórmula'!E6+'Fórmula'!G6+'Fórmula'!I6+'Fórmula'!K6))*(INDEX(properties!A$1:CB$87,'Fórmula'!J6,56))</f>
        <v>0.6854285714</v>
      </c>
      <c r="FU6" s="119">
        <f t="array" ref="FU6">'Fórmula'!C6*(INDEX(properties!A$1:CB$87,'Fórmula'!B6,56))+'Fórmula'!E6*(INDEX(properties!A$1:CB$87,'Fórmula'!D6,56))+'Fórmula'!G6*(INDEX(properties!A$1:CB$87,'Fórmula'!F6,56))+'Fórmula'!I6*(INDEX(properties!A$1:CB$87,'Fórmula'!H6,56))+'Fórmula'!K6*(INDEX(properties!A$1:CB$87,'Fórmula'!J6,56))</f>
        <v>4.798</v>
      </c>
      <c r="FV6" s="119">
        <f t="array" ref="FV6">VARP(IF(INDEX(properties!A$1:CB$87,'Fórmula'!B6,56)&lt;&gt;"",INDEX(properties!A$1:CB$87,'Fórmula'!B6,56)),IF(INDEX(properties!A$1:CB$87,'Fórmula'!D6,56)&lt;&gt;"",INDEX(properties!A$1:CB$87,'Fórmula'!D6,56)),IF(INDEX(properties!A$1:CB$87,'Fórmula'!F6,56)&lt;&gt;"",INDEX(properties!A$1:CB$87,'Fórmula'!F6,56)),IF(INDEX(properties!A$1:CB$87,'Fórmula'!H6,56)&lt;&gt;"",INDEX(properties!A$1:CB$87,'Fórmula'!H6,56)),IF(INDEX(properties!A$1:CB$87,'Fórmula'!J6,56)&lt;&gt;"",INDEX(properties!A$1:CB$87,'Fórmula'!J6,56)))</f>
        <v>0.14388096</v>
      </c>
      <c r="FW6" s="119">
        <f t="array" ref="FW6">MAX(INDEX(properties!A$1:CB$87,'Fórmula'!B6,56),INDEX(properties!A$1:CB$87,'Fórmula'!D6,56),INDEX(properties!A$1:CB$87,'Fórmula'!F6,56),INDEX(properties!A$1:CB$87,'Fórmula'!H6,56),INDEX(properties!A$1:CB$87,'Fórmula'!J6,56))</f>
        <v>0.92</v>
      </c>
      <c r="FX6" s="119">
        <f t="array" ref="FX6">MIN(IF(INDEX(properties!A$1:CB$87,'Fórmula'!B6,56)=0,10^6,INDEX(properties!A$1:CB$87,'Fórmula'!B6,56)),IF(INDEX(properties!A$1:CB$87,'Fórmula'!D6,56)=0,10^6,INDEX(properties!A$1:CB$87,'Fórmula'!D6,56)),IF(INDEX(properties!A$1:CB$87,'Fórmula'!F6,56)=0,10^6,INDEX(properties!A$1:CB$87,'Fórmula'!F6,56)),IF(INDEX(properties!A$1:CB$87,'Fórmula'!H6,56)=0,10^6,INDEX(properties!A$1:CB$87,'Fórmula'!H6,56)),IF(INDEX(properties!A$1:CB$87,'Fórmula'!J6,56)=0,10^6,INDEX(properties!A$1:CB$87,'Fórmula'!J6,56)))</f>
        <v>0.204</v>
      </c>
      <c r="FY6" s="119">
        <f t="shared" si="30"/>
        <v>0.716</v>
      </c>
      <c r="FZ6" s="104">
        <f t="array" ref="FZ6">(('Fórmula'!C6)/('Fórmula'!C6+'Fórmula'!E6+'Fórmula'!G6+'Fórmula'!I6+'Fórmula'!K6))*(INDEX(properties!A$1:CB$87,'Fórmula'!B6,57))+(('Fórmula'!E6)/('Fórmula'!C6+'Fórmula'!E6+'Fórmula'!G6+'Fórmula'!I6+'Fórmula'!K6))*(INDEX(properties!A$1:CB$87,'Fórmula'!D6,57))+(('Fórmula'!G6)/('Fórmula'!C6+'Fórmula'!E6+'Fórmula'!G6+'Fórmula'!I6+'Fórmula'!K6))*(INDEX(properties!A$1:CB$87,'Fórmula'!F6,57))+(('Fórmula'!I6)/('Fórmula'!C6+'Fórmula'!E6+'Fórmula'!G6+'Fórmula'!I6+'Fórmula'!K6))*(INDEX(properties!A$1:CB$87,'Fórmula'!H6,57))+(('Fórmula'!K6)/('Fórmula'!C6+'Fórmula'!E6+'Fórmula'!G6+'Fórmula'!I6+'Fórmula'!K6))*(INDEX(properties!A$1:CB$87,'Fórmula'!J6,57))</f>
        <v>9.562908571</v>
      </c>
      <c r="GA6" s="104">
        <f t="array" ref="GA6">'Fórmula'!C6*(INDEX(properties!A$1:CB$87,'Fórmula'!B6,57))+'Fórmula'!E6*(INDEX(properties!A$1:CB$87,'Fórmula'!D6,57))+'Fórmula'!G6*(INDEX(properties!A$1:CB$87,'Fórmula'!F6,57))+'Fórmula'!I6*(INDEX(properties!A$1:CB$87,'Fórmula'!H6,57))+'Fórmula'!K6*(INDEX(properties!A$1:CB$87,'Fórmula'!J6,57))</f>
        <v>66.94036</v>
      </c>
      <c r="GB6" s="104">
        <f t="array" ref="GB6">VARP(IF(INDEX(properties!A$1:CB$87,'Fórmula'!B6,57)&lt;&gt;"",INDEX(properties!A$1:CB$87,'Fórmula'!B6,57)),IF(INDEX(properties!A$1:CB$87,'Fórmula'!D6,57)&lt;&gt;"",INDEX(properties!A$1:CB$87,'Fórmula'!D6,57)),IF(INDEX(properties!A$1:CB$87,'Fórmula'!F6,57)&lt;&gt;"",INDEX(properties!A$1:CB$87,'Fórmula'!F6,57)),IF(INDEX(properties!A$1:CB$87,'Fórmula'!H6,57)&lt;&gt;"",INDEX(properties!A$1:CB$87,'Fórmula'!H6,57)),IF(INDEX(properties!A$1:CB$87,'Fórmula'!J6,57)&lt;&gt;"",INDEX(properties!A$1:CB$87,'Fórmula'!J6,57)))</f>
        <v>386.0871676</v>
      </c>
      <c r="GC6" s="104">
        <f t="array" ref="GC6">MAX(INDEX(properties!A$1:CB$87,'Fórmula'!B6,57),INDEX(properties!A$1:CB$87,'Fórmula'!D6,57),INDEX(properties!A$1:CB$87,'Fórmula'!F6,57),INDEX(properties!A$1:CB$87,'Fórmula'!H6,57),INDEX(properties!A$1:CB$87,'Fórmula'!J6,57))</f>
        <v>50.55</v>
      </c>
      <c r="GD6" s="104">
        <f t="array" ref="GD6">MIN(IF(INDEX(properties!A$1:CB$87,'Fórmula'!B6,57)=0,10^6,INDEX(properties!A$1:CB$87,'Fórmula'!B6,57)),IF(INDEX(properties!A$1:CB$87,'Fórmula'!D6,57)=0,10^6,INDEX(properties!A$1:CB$87,'Fórmula'!D6,57)),IF(INDEX(properties!A$1:CB$87,'Fórmula'!F6,57)=0,10^6,INDEX(properties!A$1:CB$87,'Fórmula'!F6,57)),IF(INDEX(properties!A$1:CB$87,'Fórmula'!H6,57)=0,10^6,INDEX(properties!A$1:CB$87,'Fórmula'!H6,57)),IF(INDEX(properties!A$1:CB$87,'Fórmula'!J6,57)=0,10^6,INDEX(properties!A$1:CB$87,'Fórmula'!J6,57)))</f>
        <v>0.22259</v>
      </c>
      <c r="GE6" s="104">
        <f t="shared" si="31"/>
        <v>50.32741</v>
      </c>
      <c r="GF6" s="105">
        <f t="array" ref="GF6">(('Fórmula'!C6)/('Fórmula'!C6+'Fórmula'!E6+'Fórmula'!G6+'Fórmula'!I6+'Fórmula'!K6))*(INDEX(properties!A$1:CB$87,'Fórmula'!B6,60))+(('Fórmula'!E6)/('Fórmula'!C6+'Fórmula'!E6+'Fórmula'!G6+'Fórmula'!I6+'Fórmula'!K6))*(INDEX(properties!A$1:CB$87,'Fórmula'!D6,60))+(('Fórmula'!G6)/('Fórmula'!C6+'Fórmula'!E6+'Fórmula'!G6+'Fórmula'!I6+'Fórmula'!K6))*(INDEX(properties!A$1:CB$87,'Fórmula'!F6,60))+(('Fórmula'!I6)/('Fórmula'!C6+'Fórmula'!E6+'Fórmula'!G6+'Fórmula'!I6+'Fórmula'!K6))*(INDEX(properties!A$1:CB$87,'Fórmula'!H6,60))+(('Fórmula'!K6)/('Fórmula'!C6+'Fórmula'!E6+'Fórmula'!G6+'Fórmula'!I6+'Fórmula'!K6))*(INDEX(properties!A$1:CB$87,'Fórmula'!J6,60))</f>
        <v>26.41528</v>
      </c>
      <c r="GG6" s="105">
        <f t="array" ref="GG6">'Fórmula'!C6*(INDEX(properties!A$1:CB$87,'Fórmula'!B6,60))+'Fórmula'!E6*(INDEX(properties!A$1:CB$87,'Fórmula'!D6,60))+'Fórmula'!G6*(INDEX(properties!A$1:CB$87,'Fórmula'!F6,60))+'Fórmula'!I6*(INDEX(properties!A$1:CB$87,'Fórmula'!H6,60))+'Fórmula'!K6*(INDEX(properties!A$1:CB$87,'Fórmula'!J6,60))</f>
        <v>184.90696</v>
      </c>
      <c r="GH6" s="105">
        <f t="array" ref="GH6">VARP(IF(INDEX(properties!A$1:CB$87,'Fórmula'!B6,60)&lt;&gt;"",INDEX(properties!A$1:CB$87,'Fórmula'!B6,60)),IF(INDEX(properties!A$1:CB$87,'Fórmula'!D6,60)&lt;&gt;"",INDEX(properties!A$1:CB$87,'Fórmula'!D6,60)),IF(INDEX(properties!A$1:CB$87,'Fórmula'!F6,60)&lt;&gt;"",INDEX(properties!A$1:CB$87,'Fórmula'!F6,60)),IF(INDEX(properties!A$1:CB$87,'Fórmula'!H6,60)&lt;&gt;"",INDEX(properties!A$1:CB$87,'Fórmula'!H6,60)),IF(INDEX(properties!A$1:CB$87,'Fórmula'!J6,60)&lt;&gt;"",INDEX(properties!A$1:CB$87,'Fórmula'!J6,60)))</f>
        <v>3340.597752</v>
      </c>
      <c r="GI6" s="105">
        <f t="array" ref="GI6">MAX(INDEX(properties!A$1:CB$87,'Fórmula'!B6,60),INDEX(properties!A$1:CB$87,'Fórmula'!D6,60),INDEX(properties!A$1:CB$87,'Fórmula'!F6,60),INDEX(properties!A$1:CB$87,'Fórmula'!H6,60),INDEX(properties!A$1:CB$87,'Fórmula'!J6,60))</f>
        <v>148</v>
      </c>
      <c r="GJ6" s="105">
        <f t="array" ref="GJ6">MIN(IF(INDEX(properties!A$1:CB$87,'Fórmula'!B6,60)=0,10^6,INDEX(properties!A$1:CB$87,'Fórmula'!B6,60)),IF(INDEX(properties!A$1:CB$87,'Fórmula'!D6,60)=0,10^6,INDEX(properties!A$1:CB$87,'Fórmula'!D6,60)),IF(INDEX(properties!A$1:CB$87,'Fórmula'!F6,60)=0,10^6,INDEX(properties!A$1:CB$87,'Fórmula'!F6,60)),IF(INDEX(properties!A$1:CB$87,'Fórmula'!H6,60)=0,10^6,INDEX(properties!A$1:CB$87,'Fórmula'!H6,60)),IF(INDEX(properties!A$1:CB$87,'Fórmula'!J6,60)=0,10^6,INDEX(properties!A$1:CB$87,'Fórmula'!J6,60)))</f>
        <v>0.02674</v>
      </c>
      <c r="GK6" s="105">
        <f t="shared" si="32"/>
        <v>147.97326</v>
      </c>
      <c r="GL6" s="106">
        <f t="array" ref="GL6">(('Fórmula'!C6)/('Fórmula'!C6+'Fórmula'!E6+'Fórmula'!G6+'Fórmula'!I6+'Fórmula'!K6))*(INDEX(properties!A$1:CB$87,'Fórmula'!B6,62))+(('Fórmula'!E6)/('Fórmula'!C6+'Fórmula'!E6+'Fórmula'!G6+'Fórmula'!I6+'Fórmula'!K6))*(INDEX(properties!A$1:CB$87,'Fórmula'!D6,62))+(('Fórmula'!G6)/('Fórmula'!C6+'Fórmula'!E6+'Fórmula'!G6+'Fórmula'!I6+'Fórmula'!K6))*(INDEX(properties!A$1:CB$87,'Fórmula'!F6,62))+(('Fórmula'!I6)/('Fórmula'!C6+'Fórmula'!E6+'Fórmula'!G6+'Fórmula'!I6+'Fórmula'!K6))*(INDEX(properties!A$1:CB$87,'Fórmula'!H6,62))+(('Fórmula'!K6)/('Fórmula'!C6+'Fórmula'!E6+'Fórmula'!G6+'Fórmula'!I6+'Fórmula'!K6))*(INDEX(properties!A$1:CB$87,'Fórmula'!J6,62))</f>
        <v>2.701428571</v>
      </c>
      <c r="GM6" s="106">
        <f t="array" ref="GM6">'Fórmula'!C6*(INDEX(properties!A$1:CB$87,'Fórmula'!B6,62))+'Fórmula'!E6*(INDEX(properties!A$1:CB$87,'Fórmula'!D6,62))+'Fórmula'!G6*(INDEX(properties!A$1:CB$87,'Fórmula'!F6,62))+'Fórmula'!I6*(INDEX(properties!A$1:CB$87,'Fórmula'!H6,62))+'Fórmula'!K6*(INDEX(properties!A$1:CB$87,'Fórmula'!J6,62))</f>
        <v>18.91</v>
      </c>
      <c r="GN6" s="106">
        <f t="array" ref="GN6">VARP(IF(INDEX(properties!A$1:CB$87,'Fórmula'!B6,62)&lt;&gt;"",INDEX(properties!A$1:CB$87,'Fórmula'!B6,62)),IF(INDEX(properties!A$1:CB$87,'Fórmula'!D6,62)&lt;&gt;"",INDEX(properties!A$1:CB$87,'Fórmula'!D6,62)),IF(INDEX(properties!A$1:CB$87,'Fórmula'!F6,62)&lt;&gt;"",INDEX(properties!A$1:CB$87,'Fórmula'!F6,62)),IF(INDEX(properties!A$1:CB$87,'Fórmula'!H6,62)&lt;&gt;"",INDEX(properties!A$1:CB$87,'Fórmula'!H6,62)),IF(INDEX(properties!A$1:CB$87,'Fórmula'!J6,62)&lt;&gt;"",INDEX(properties!A$1:CB$87,'Fórmula'!J6,62)))</f>
        <v>3.03336</v>
      </c>
      <c r="GO6" s="106">
        <f t="array" ref="GO6">MAX(INDEX(properties!A$1:CB$87,'Fórmula'!B6,62),INDEX(properties!A$1:CB$87,'Fórmula'!D6,62),INDEX(properties!A$1:CB$87,'Fórmula'!F6,62),INDEX(properties!A$1:CB$87,'Fórmula'!H6,62),INDEX(properties!A$1:CB$87,'Fórmula'!J6,62))</f>
        <v>4.63</v>
      </c>
      <c r="GP6" s="106">
        <f t="array" ref="GP6">MIN(IF(INDEX(properties!A$1:CB$87,'Fórmula'!B6,62)=0,10^6,INDEX(properties!A$1:CB$87,'Fórmula'!B6,62)),IF(INDEX(properties!A$1:CB$87,'Fórmula'!D6,62)=0,10^6,INDEX(properties!A$1:CB$87,'Fórmula'!D6,62)),IF(INDEX(properties!A$1:CB$87,'Fórmula'!F6,62)=0,10^6,INDEX(properties!A$1:CB$87,'Fórmula'!F6,62)),IF(INDEX(properties!A$1:CB$87,'Fórmula'!H6,62)=0,10^6,INDEX(properties!A$1:CB$87,'Fórmula'!H6,62)),IF(INDEX(properties!A$1:CB$87,'Fórmula'!J6,62)=0,10^6,INDEX(properties!A$1:CB$87,'Fórmula'!J6,62)))</f>
        <v>1.9</v>
      </c>
      <c r="GQ6" s="106">
        <f t="shared" si="33"/>
        <v>2.73</v>
      </c>
      <c r="GR6" s="106">
        <f>'Fórmula'!Q6</f>
        <v>62</v>
      </c>
      <c r="GS6" s="107">
        <f>'Fórmula'!P6</f>
        <v>3</v>
      </c>
      <c r="GT6" s="113">
        <f>'Fórmula'!O6</f>
        <v>5.47</v>
      </c>
      <c r="GU6" s="114">
        <f>AVERAGE('Fórmula'!R6/'Fórmula'!S6,'Fórmula'!S6/'Fórmula'!T6,'Fórmula'!T6/'Fórmula'!R6)</f>
        <v>1.073927215</v>
      </c>
      <c r="GV6" s="125">
        <f>'Fórmula'!U6</f>
        <v>445.63</v>
      </c>
      <c r="GW6" s="106">
        <f>'Fórmula'!N6</f>
        <v>0.03</v>
      </c>
    </row>
    <row r="7" ht="14.25" customHeight="1">
      <c r="A7" s="99" t="str">
        <f>'Fórmula'!A7</f>
        <v>Ba3Y4O9</v>
      </c>
      <c r="B7" s="101">
        <f t="array" ref="B7">(('Fórmula'!C7)/('Fórmula'!C7+'Fórmula'!E7+'Fórmula'!G7+'Fórmula'!I7+'Fórmula'!K7))*(INDEX(properties!A$1:CB$87,'Fórmula'!B7,3))+(('Fórmula'!E7)/('Fórmula'!C7+'Fórmula'!E7+'Fórmula'!G7+'Fórmula'!I7+'Fórmula'!K7))*(INDEX(properties!A$1:CB$87,'Fórmula'!D7,3))+(('Fórmula'!G7)/('Fórmula'!C7+'Fórmula'!E7+'Fórmula'!G7+'Fórmula'!I7+'Fórmula'!K7))*(INDEX(properties!A$1:CB$87,'Fórmula'!F7,3))+(('Fórmula'!I7)/('Fórmula'!C7+'Fórmula'!E7+'Fórmula'!G7+'Fórmula'!I7+'Fórmula'!K7))*(INDEX(properties!A$1:CB$87,'Fórmula'!H7,3))+(('Fórmula'!K7)/('Fórmula'!C7+'Fórmula'!E7+'Fórmula'!G7+'Fórmula'!I7+'Fórmula'!K7))*(INDEX(properties!A$1:CB$87,'Fórmula'!J7,3))</f>
        <v>56.974935</v>
      </c>
      <c r="C7" s="101">
        <f t="array" ref="C7">'Fórmula'!C7*(INDEX(properties!A$1:CB$87,'Fórmula'!B7,3))+'Fórmula'!E7*(INDEX(properties!A$1:CB$87,'Fórmula'!D7,3))+'Fórmula'!G7*(INDEX(properties!A$1:CB$87,'Fórmula'!F7,3))+'Fórmula'!I7*(INDEX(properties!A$1:CB$87,'Fórmula'!H7,3))+'Fórmula'!K7*(INDEX(properties!A$1:CB$87,'Fórmula'!J7,3))</f>
        <v>911.59896</v>
      </c>
      <c r="D7" s="101">
        <f t="array" ref="D7">VARP(IF(INDEX(properties!A$1:CB$87,'Fórmula'!B7,3)&lt;&gt;"",INDEX(properties!A$1:CB$87,'Fórmula'!B7,3)),IF(INDEX(properties!A$1:CB$87,'Fórmula'!D7,3)&lt;&gt;"",INDEX(properties!A$1:CB$87,'Fórmula'!D7,3)),IF(INDEX(properties!A$1:CB$87,'Fórmula'!F7,3)&lt;&gt;"",INDEX(properties!A$1:CB$87,'Fórmula'!F7,3)),IF(INDEX(properties!A$1:CB$87,'Fórmula'!H7,3)&lt;&gt;"",INDEX(properties!A$1:CB$87,'Fórmula'!H7,3)),IF(INDEX(properties!A$1:CB$87,'Fórmula'!J7,3)&lt;&gt;"",INDEX(properties!A$1:CB$87,'Fórmula'!J7,3)))</f>
        <v>3056.728499</v>
      </c>
      <c r="E7" s="101">
        <f t="array" ref="E7">MAX(INDEX(properties!A$1:CB$87,'Fórmula'!B7,3),INDEX(properties!A$1:CB$87,'Fórmula'!D7,3),INDEX(properties!A$1:CB$87,'Fórmula'!F7,3),INDEX(properties!A$1:CB$87,'Fórmula'!H7,3),INDEX(properties!A$1:CB$87,'Fórmula'!J7,3))</f>
        <v>137.327</v>
      </c>
      <c r="F7" s="101">
        <f t="array" ref="F7">MIN(IF(INDEX(properties!A$1:CB$87,'Fórmula'!B7,3)=0,10^6,INDEX(properties!A$1:CB$87,'Fórmula'!B7,3)),IF(INDEX(properties!A$1:CB$87,'Fórmula'!D7,3)=0,10^6,INDEX(properties!A$1:CB$87,'Fórmula'!D7,3)),IF(INDEX(properties!A$1:CB$87,'Fórmula'!F7,3)=0,10^6,INDEX(properties!A$1:CB$87,'Fórmula'!F7,3)),IF(INDEX(properties!A$1:CB$87,'Fórmula'!H7,3)=0,10^6,INDEX(properties!A$1:CB$87,'Fórmula'!H7,3)),IF(INDEX(properties!A$1:CB$87,'Fórmula'!J7,3)=0,10^6,INDEX(properties!A$1:CB$87,'Fórmula'!J7,3)))</f>
        <v>15.9994</v>
      </c>
      <c r="G7" s="101">
        <f t="shared" si="1"/>
        <v>121.3276</v>
      </c>
      <c r="H7" s="102">
        <f t="array" ref="H7">(('Fórmula'!C7)/('Fórmula'!C7+'Fórmula'!E7+'Fórmula'!G7+'Fórmula'!I7+'Fórmula'!K7))*(INDEX(properties!A$1:CB$87,'Fórmula'!B7,4))+(('Fórmula'!E7)/('Fórmula'!C7+'Fórmula'!E7+'Fórmula'!G7+'Fórmula'!I7+'Fórmula'!K7))*(INDEX(properties!A$1:CB$87,'Fórmula'!D7,4))+(('Fórmula'!G7)/('Fórmula'!C7+'Fórmula'!E7+'Fórmula'!G7+'Fórmula'!I7+'Fórmula'!K7))*(INDEX(properties!A$1:CB$87,'Fórmula'!F7,4))+(('Fórmula'!I7)/('Fórmula'!C7+'Fórmula'!E7+'Fórmula'!G7+'Fórmula'!I7+'Fórmula'!K7))*(INDEX(properties!A$1:CB$87,'Fórmula'!H7,4))+(('Fórmula'!K7)/('Fórmula'!C7+'Fórmula'!E7+'Fórmula'!G7+'Fórmula'!I7+'Fórmula'!K7))*(INDEX(properties!A$1:CB$87,'Fórmula'!J7,4))</f>
        <v>24.75</v>
      </c>
      <c r="I7" s="102">
        <f t="array" ref="I7">'Fórmula'!C7*(INDEX(properties!A$1:CB$87,'Fórmula'!B7,4))+'Fórmula'!E7*(INDEX(properties!A$1:CB$87,'Fórmula'!D7,4))+'Fórmula'!G7*(INDEX(properties!A$1:CB$87,'Fórmula'!F7,4))+'Fórmula'!I7*(INDEX(properties!A$1:CB$87,'Fórmula'!H7,4))+'Fórmula'!K7*(INDEX(properties!A$1:CB$87,'Fórmula'!J7,4))</f>
        <v>396</v>
      </c>
      <c r="J7" s="102">
        <f t="array" ref="J7">VARP(IF(INDEX(properties!A$1:CB$87,'Fórmula'!B7,4)&lt;&gt;"",INDEX(properties!A$1:CB$87,'Fórmula'!B7,4)),IF(INDEX(properties!A$1:CB$87,'Fórmula'!D7,4)&lt;&gt;"",INDEX(properties!A$1:CB$87,'Fórmula'!D7,4)),IF(INDEX(properties!A$1:CB$87,'Fórmula'!F7,4)&lt;&gt;"",INDEX(properties!A$1:CB$87,'Fórmula'!F7,4)),IF(INDEX(properties!A$1:CB$87,'Fórmula'!H7,4)&lt;&gt;"",INDEX(properties!A$1:CB$87,'Fórmula'!H7,4)),IF(INDEX(properties!A$1:CB$87,'Fórmula'!J7,4)&lt;&gt;"",INDEX(properties!A$1:CB$87,'Fórmula'!J7,4)))</f>
        <v>519.84</v>
      </c>
      <c r="K7" s="102">
        <f t="array" ref="K7">MAX(INDEX(properties!A$1:CB$87,'Fórmula'!B7,4),INDEX(properties!A$1:CB$87,'Fórmula'!D7,4),INDEX(properties!A$1:CB$87,'Fórmula'!F7,4),INDEX(properties!A$1:CB$87,'Fórmula'!H7,4),INDEX(properties!A$1:CB$87,'Fórmula'!J7,4))</f>
        <v>56</v>
      </c>
      <c r="L7" s="102">
        <f t="array" ref="L7">MIN(IF(INDEX(properties!A$1:CB$87,'Fórmula'!B7,4)=0,10^6,INDEX(properties!A$1:CB$87,'Fórmula'!B7,4)),IF(INDEX(properties!A$1:CB$87,'Fórmula'!D7,4)=0,10^6,INDEX(properties!A$1:CB$87,'Fórmula'!D7,4)),IF(INDEX(properties!A$1:CB$87,'Fórmula'!F7,4)=0,10^6,INDEX(properties!A$1:CB$87,'Fórmula'!F7,4)),IF(INDEX(properties!A$1:CB$87,'Fórmula'!H7,4)=0,10^6,INDEX(properties!A$1:CB$87,'Fórmula'!H7,4)),IF(INDEX(properties!A$1:CB$87,'Fórmula'!J7,4)=0,10^6,INDEX(properties!A$1:CB$87,'Fórmula'!J7,4)))</f>
        <v>8</v>
      </c>
      <c r="M7" s="102">
        <f t="shared" si="2"/>
        <v>48</v>
      </c>
      <c r="N7" s="103">
        <f t="array" ref="N7">(('Fórmula'!C7)/('Fórmula'!C7+'Fórmula'!E7+'Fórmula'!G7+'Fórmula'!I7+'Fórmula'!K7))*(INDEX(properties!A$1:CB$87,'Fórmula'!B7,5))+(('Fórmula'!E7)/('Fórmula'!C7+'Fórmula'!E7+'Fórmula'!G7+'Fórmula'!I7+'Fórmula'!K7))*(INDEX(properties!A$1:CB$87,'Fórmula'!D7,5))+(('Fórmula'!G7)/('Fórmula'!C7+'Fórmula'!E7+'Fórmula'!G7+'Fórmula'!I7+'Fórmula'!K7))*(INDEX(properties!A$1:CB$87,'Fórmula'!F7,5))+(('Fórmula'!I7)/('Fórmula'!C7+'Fórmula'!E7+'Fórmula'!G7+'Fórmula'!I7+'Fórmula'!K7))*(INDEX(properties!A$1:CB$87,'Fórmula'!H7,5))+(('Fórmula'!K7)/('Fórmula'!C7+'Fórmula'!E7+'Fórmula'!G7+'Fórmula'!I7+'Fórmula'!K7))*(INDEX(properties!A$1:CB$87,'Fórmula'!J7,5))</f>
        <v>3.5</v>
      </c>
      <c r="O7" s="103">
        <f t="array" ref="O7">'Fórmula'!C7*(INDEX(properties!A$1:CB$87,'Fórmula'!B7,5))+'Fórmula'!E7*(INDEX(properties!A$1:CB$87,'Fórmula'!D7,5))+'Fórmula'!G7*(INDEX(properties!A$1:CB$87,'Fórmula'!F7,5))+'Fórmula'!I7*(INDEX(properties!A$1:CB$87,'Fórmula'!H7,5))+'Fórmula'!K7*(INDEX(properties!A$1:CB$87,'Fórmula'!J7,5))</f>
        <v>56</v>
      </c>
      <c r="P7" s="103">
        <f t="array" ref="P7">VARP(IF(INDEX(properties!A$1:CB$87,'Fórmula'!B7,5)&lt;&gt;"",INDEX(properties!A$1:CB$87,'Fórmula'!B7,5)),IF(INDEX(properties!A$1:CB$87,'Fórmula'!D7,5)&lt;&gt;"",INDEX(properties!A$1:CB$87,'Fórmula'!D7,5)),IF(INDEX(properties!A$1:CB$87,'Fórmula'!F7,5)&lt;&gt;"",INDEX(properties!A$1:CB$87,'Fórmula'!F7,5)),IF(INDEX(properties!A$1:CB$87,'Fórmula'!H7,5)&lt;&gt;"",INDEX(properties!A$1:CB$87,'Fórmula'!H7,5)),IF(INDEX(properties!A$1:CB$87,'Fórmula'!J7,5)&lt;&gt;"",INDEX(properties!A$1:CB$87,'Fórmula'!J7,5)))</f>
        <v>6.24</v>
      </c>
      <c r="Q7" s="103">
        <f t="array" ref="Q7">MAX(INDEX(properties!A$1:CB$87,'Fórmula'!B7,5),INDEX(properties!A$1:CB$87,'Fórmula'!D7,5),INDEX(properties!A$1:CB$87,'Fórmula'!F7,5),INDEX(properties!A$1:CB$87,'Fórmula'!H7,5),INDEX(properties!A$1:CB$87,'Fórmula'!J7,5))</f>
        <v>6</v>
      </c>
      <c r="R7" s="103">
        <f t="array" ref="R7">MIN(IF(INDEX(properties!A$1:CB$87,'Fórmula'!B7,5)=0,10^6,INDEX(properties!A$1:CB$87,'Fórmula'!B7,5)),IF(INDEX(properties!A$1:CB$87,'Fórmula'!D7,5)=0,10^6,INDEX(properties!A$1:CB$87,'Fórmula'!D7,5)),IF(INDEX(properties!A$1:CB$87,'Fórmula'!F7,5)=0,10^6,INDEX(properties!A$1:CB$87,'Fórmula'!F7,5)),IF(INDEX(properties!A$1:CB$87,'Fórmula'!H7,5)=0,10^6,INDEX(properties!A$1:CB$87,'Fórmula'!H7,5)),IF(INDEX(properties!A$1:CB$87,'Fórmula'!J7,5)=0,10^6,INDEX(properties!A$1:CB$87,'Fórmula'!J7,5)))</f>
        <v>2</v>
      </c>
      <c r="S7" s="103">
        <f t="shared" si="3"/>
        <v>4</v>
      </c>
      <c r="T7" s="104">
        <f t="array" ref="T7">(('Fórmula'!C7)/('Fórmula'!C7+'Fórmula'!E7+'Fórmula'!G7+'Fórmula'!I7+'Fórmula'!K7))*(INDEX(properties!A$1:CB$87,'Fórmula'!B7,6))+(('Fórmula'!E7)/('Fórmula'!C7+'Fórmula'!E7+'Fórmula'!G7+'Fórmula'!I7+'Fórmula'!K7))*(INDEX(properties!A$1:CB$87,'Fórmula'!D7,6))+(('Fórmula'!G7)/('Fórmula'!C7+'Fórmula'!E7+'Fórmula'!G7+'Fórmula'!I7+'Fórmula'!K7))*(INDEX(properties!A$1:CB$87,'Fórmula'!F7,6))+(('Fórmula'!I7)/('Fórmula'!C7+'Fórmula'!E7+'Fórmula'!G7+'Fórmula'!I7+'Fórmula'!K7))*(INDEX(properties!A$1:CB$87,'Fórmula'!H7,6))+(('Fórmula'!K7)/('Fórmula'!C7+'Fórmula'!E7+'Fórmula'!G7+'Fórmula'!I7+'Fórmula'!K7))*(INDEX(properties!A$1:CB$87,'Fórmula'!J7,6))</f>
        <v>10.125</v>
      </c>
      <c r="U7" s="104">
        <f t="array" ref="U7">'Fórmula'!C7*(INDEX(properties!A$1:CB$87,'Fórmula'!B7,6))+'Fórmula'!E7*(INDEX(properties!A$1:CB$87,'Fórmula'!D7,6))+'Fórmula'!G7*(INDEX(properties!A$1:CB$87,'Fórmula'!F7,6))+'Fórmula'!I7*(INDEX(properties!A$1:CB$87,'Fórmula'!H7,6))+'Fórmula'!K7*(INDEX(properties!A$1:CB$87,'Fórmula'!J7,6))</f>
        <v>162</v>
      </c>
      <c r="V7" s="103">
        <f t="array" ref="V7">VARP(IF(INDEX(properties!A$1:CB$87,'Fórmula'!B7,6)&lt;&gt;"",INDEX(properties!A$1:CB$87,'Fórmula'!B7,6)),IF(INDEX(properties!A$1:CB$87,'Fórmula'!D7,6)&lt;&gt;"",INDEX(properties!A$1:CB$87,'Fórmula'!D7,6)),IF(INDEX(properties!A$1:CB$87,'Fórmula'!F7,6)&lt;&gt;"",INDEX(properties!A$1:CB$87,'Fórmula'!F7,6)),IF(INDEX(properties!A$1:CB$87,'Fórmula'!H7,6)&lt;&gt;"",INDEX(properties!A$1:CB$87,'Fórmula'!H7,6)),IF(INDEX(properties!A$1:CB$87,'Fórmula'!J7,6)&lt;&gt;"",INDEX(properties!A$1:CB$87,'Fórmula'!J7,6)))</f>
        <v>36.16</v>
      </c>
      <c r="W7" s="104">
        <f t="array" ref="W7">MAX(INDEX(properties!A$1:CB$87,'Fórmula'!B7,6),INDEX(properties!A$1:CB$87,'Fórmula'!D7,6),INDEX(properties!A$1:CB$87,'Fórmula'!F7,6),INDEX(properties!A$1:CB$87,'Fórmula'!H7,4),INDEX(properties!A$1:CB$87,'Fórmula'!J7,6))</f>
        <v>16</v>
      </c>
      <c r="X7" s="104">
        <f t="array" ref="X7">MIN(IF(INDEX(properties!A$1:CB$87,'Fórmula'!B7,6)=0,10^6,INDEX(properties!A$1:CB$87,'Fórmula'!B7,6)),IF(INDEX(properties!A$1:CB$87,'Fórmula'!D7,6)=0,10^6,INDEX(properties!A$1:CB$87,'Fórmula'!D7,6)),IF(INDEX(properties!A$1:CB$87,'Fórmula'!F7,6)=0,10^6,INDEX(properties!A$1:CB$87,'Fórmula'!F7,6)),IF(INDEX(properties!A$1:CB$87,'Fórmula'!H7,6)=0,10^6,INDEX(properties!A$1:CB$87,'Fórmula'!H7,6)),IF(INDEX(properties!A$1:CB$87,'Fórmula'!J7,6)=0,10^6,INDEX(properties!A$1:CB$87,'Fórmula'!J7,6)))</f>
        <v>2</v>
      </c>
      <c r="Y7" s="104">
        <f t="shared" si="4"/>
        <v>14</v>
      </c>
      <c r="Z7" s="105">
        <f t="array" ref="Z7">(('Fórmula'!C7)/('Fórmula'!C7+'Fórmula'!E7+'Fórmula'!G7+'Fórmula'!I7+'Fórmula'!K7))*(INDEX(properties!A$1:CB$87,'Fórmula'!B7,9))+(('Fórmula'!E7)/('Fórmula'!C7+'Fórmula'!E7+'Fórmula'!G7+'Fórmula'!I7+'Fórmula'!K7))*(INDEX(properties!A$1:CB$87,'Fórmula'!D7,9))+(('Fórmula'!G7)/('Fórmula'!C7+'Fórmula'!E7+'Fórmula'!G7+'Fórmula'!I7+'Fórmula'!K7))*(INDEX(properties!A$1:CB$87,'Fórmula'!F7,9))+(('Fórmula'!I7)/('Fórmula'!C7+'Fórmula'!E7+'Fórmula'!G7+'Fórmula'!I7+'Fórmula'!K7))*(INDEX(properties!A$1:CB$87,'Fórmula'!H7,9))+(('Fórmula'!K7)/('Fórmula'!C7+'Fórmula'!E7+'Fórmula'!G7+'Fórmula'!I7+'Fórmula'!K7))*(INDEX(properties!A$1:CB$87,'Fórmula'!J7,9))</f>
        <v>53.625</v>
      </c>
      <c r="AA7" s="105">
        <f t="array" ref="AA7">'Fórmula'!C7*(INDEX(properties!A$1:CB$87,'Fórmula'!B7,9))+'Fórmula'!E7*(INDEX(properties!A$1:CB$87,'Fórmula'!D7,9))+'Fórmula'!G7*(INDEX(properties!A$1:CB$87,'Fórmula'!F7,9))+'Fórmula'!I7*(INDEX(properties!A$1:CB$87,'Fórmula'!H7,9))+'Fórmula'!K7*(INDEX(properties!A$1:CB$87,'Fórmula'!J7,9))</f>
        <v>858</v>
      </c>
      <c r="AB7" s="105">
        <f t="array" ref="AB7">VARP(IF(INDEX(properties!A$1:CB$87,'Fórmula'!B7,9)&lt;&gt;"",INDEX(properties!A$1:CB$87,'Fórmula'!B7,9)),IF(INDEX(properties!A$1:CB$87,'Fórmula'!D7,9)&lt;&gt;"",INDEX(properties!A$1:CB$87,'Fórmula'!D7,9)),IF(INDEX(properties!A$1:CB$87,'Fórmula'!F7,9)&lt;&gt;"",INDEX(properties!A$1:CB$87,'Fórmula'!F7,9)),IF(INDEX(properties!A$1:CB$87,'Fórmula'!H7,9)&lt;&gt;"",INDEX(properties!A$1:CB$87,'Fórmula'!H7,9)),IF(INDEX(properties!A$1:CB$87,'Fórmula'!J7,9)&lt;&gt;"",INDEX(properties!A$1:CB$87,'Fórmula'!J7,9)))</f>
        <v>1092.24</v>
      </c>
      <c r="AC7" s="105">
        <f t="array" ref="AC7">MAX(INDEX(properties!A$1:CB$87,'Fórmula'!B7,9),INDEX(properties!A$1:CB$87,'Fórmula'!D7,9),INDEX(properties!A$1:CB$87,'Fórmula'!F7,9),INDEX(properties!A$1:CB$87,'Fórmula'!H7,9),INDEX(properties!A$1:CB$87,'Fórmula'!J7,9))</f>
        <v>87</v>
      </c>
      <c r="AD7" s="105">
        <f t="array" ref="AD7">MIN(IF(INDEX(properties!A$1:CB$87,'Fórmula'!B7,9)=0,10^6,INDEX(properties!A$1:CB$87,'Fórmula'!B7,9)),IF(INDEX(properties!A$1:CB$87,'Fórmula'!D7,9)=0,10^6,INDEX(properties!A$1:CB$87,'Fórmula'!D7,9)),IF(INDEX(properties!A$1:CB$87,'Fórmula'!F7,9)=0,10^6,INDEX(properties!A$1:CB$87,'Fórmula'!F7,9)),IF(INDEX(properties!A$1:CB$87,'Fórmula'!H7,9)=0,10^6,INDEX(properties!A$1:CB$87,'Fórmula'!H7,9)),IF(INDEX(properties!A$1:CB$87,'Fórmula'!J7,9)=0,10^6,INDEX(properties!A$1:CB$87,'Fórmula'!J7,9)))</f>
        <v>9</v>
      </c>
      <c r="AE7" s="105">
        <f t="shared" si="5"/>
        <v>78</v>
      </c>
      <c r="AF7" s="106">
        <f t="array" ref="AF7">(('Fórmula'!C7)/('Fórmula'!C7+'Fórmula'!E7+'Fórmula'!G7+'Fórmula'!I7+'Fórmula'!K7))*(INDEX(properties!A$1:CB$87,'Fórmula'!B7,10))+(('Fórmula'!E7)/('Fórmula'!C7+'Fórmula'!E7+'Fórmula'!G7+'Fórmula'!I7+'Fórmula'!K7))*(INDEX(properties!A$1:CB$87,'Fórmula'!D7,10))+(('Fórmula'!G7)/('Fórmula'!C7+'Fórmula'!E7+'Fórmula'!G7+'Fórmula'!I7+'Fórmula'!K7))*(INDEX(properties!A$1:CB$87,'Fórmula'!F7,10))+(('Fórmula'!I7)/('Fórmula'!C7+'Fórmula'!E7+'Fórmula'!G7+'Fórmula'!I7+'Fórmula'!K7))*(INDEX(properties!A$1:CB$87,'Fórmula'!H7,10))+(('Fórmula'!K7)/('Fórmula'!C7+'Fórmula'!E7+'Fórmula'!G7+'Fórmula'!I7+'Fórmula'!K7))*(INDEX(properties!A$1:CB$87,'Fórmula'!J7,10))</f>
        <v>5.0625</v>
      </c>
      <c r="AG7" s="106">
        <f t="array" ref="AG7">'Fórmula'!C7*(INDEX(properties!A$1:CB$87,'Fórmula'!B7,10))+'Fórmula'!E7*(INDEX(properties!A$1:CB$87,'Fórmula'!D7,10))+'Fórmula'!G7*(INDEX(properties!A$1:CB$87,'Fórmula'!F7,10))+'Fórmula'!I7*(INDEX(properties!A$1:CB$87,'Fórmula'!H7,10))+'Fórmula'!K7*(INDEX(properties!A$1:CB$87,'Fórmula'!J7,10))</f>
        <v>81</v>
      </c>
      <c r="AH7" s="106">
        <f t="array" ref="AH7">VARP(IF(INDEX(properties!A$1:CB$87,'Fórmula'!B7,10)&lt;&gt;"",INDEX(properties!A$1:CB$87,'Fórmula'!B7,10)),IF(INDEX(properties!A$1:CB$87,'Fórmula'!D7,10)&lt;&gt;"",INDEX(properties!A$1:CB$87,'Fórmula'!D7,10)),IF(INDEX(properties!A$1:CB$87,'Fórmula'!F7,10)&lt;&gt;"",INDEX(properties!A$1:CB$87,'Fórmula'!F7,10)),IF(INDEX(properties!A$1:CB$87,'Fórmula'!H7,10)&lt;&gt;"",INDEX(properties!A$1:CB$87,'Fórmula'!H7,10)),IF(INDEX(properties!A$1:CB$87,'Fórmula'!J7,10)&lt;&gt;"",INDEX(properties!A$1:CB$87,'Fórmula'!J7,10)))</f>
        <v>6.64</v>
      </c>
      <c r="AI7" s="106">
        <f t="array" ref="AI7">MAX(INDEX(properties!A$1:CB$87,'Fórmula'!B7,10),INDEX(properties!A$1:CB$87,'Fórmula'!D7,10),INDEX(properties!A$1:CB$87,'Fórmula'!F7,10),INDEX(properties!A$1:CB$87,'Fórmula'!H7,10),INDEX(properties!A$1:CB$87,'Fórmula'!J7,10))</f>
        <v>7</v>
      </c>
      <c r="AJ7" s="106">
        <f t="array" ref="AJ7">MIN(IF(INDEX(properties!A$1:CB$87,'Fórmula'!B7,10)=0,10^6,INDEX(properties!A$1:CB$87,'Fórmula'!B7,10)),IF(INDEX(properties!A$1:CB$87,'Fórmula'!D7,10)=0,10^6,INDEX(properties!A$1:CB$87,'Fórmula'!D7,10)),IF(INDEX(properties!A$1:CB$87,'Fórmula'!F7,10)=0,10^6,INDEX(properties!A$1:CB$87,'Fórmula'!F7,10)),IF(INDEX(properties!A$1:CB$87,'Fórmula'!H7,10)=0,10^6,INDEX(properties!A$1:CB$87,'Fórmula'!H7,10)),IF(INDEX(properties!A$1:CB$87,'Fórmula'!J7,10)=0,10^6,INDEX(properties!A$1:CB$87,'Fórmula'!J7,10)))</f>
        <v>2</v>
      </c>
      <c r="AK7" s="106">
        <f t="shared" si="6"/>
        <v>5</v>
      </c>
      <c r="AL7" s="107">
        <f t="array" ref="AL7">(('Fórmula'!C7)/('Fórmula'!C7+'Fórmula'!E7+'Fórmula'!G7+'Fórmula'!I7+'Fórmula'!K7))*(INDEX(properties!A$1:CB$87,'Fórmula'!B7,11))+(('Fórmula'!E7)/('Fórmula'!C7+'Fórmula'!E7+'Fórmula'!G7+'Fórmula'!I7+'Fórmula'!K7))*(INDEX(properties!A$1:CB$87,'Fórmula'!D7,11))+(('Fórmula'!G7)/('Fórmula'!C7+'Fórmula'!E7+'Fórmula'!G7+'Fórmula'!I7+'Fórmula'!K7))*(INDEX(properties!A$1:CB$87,'Fórmula'!F7,11))+(('Fórmula'!I7)/('Fórmula'!C7+'Fórmula'!E7+'Fórmula'!G7+'Fórmula'!I7+'Fórmula'!K7))*(INDEX(properties!A$1:CB$87,'Fórmula'!H7,11))+(('Fórmula'!K7)/('Fórmula'!C7+'Fórmula'!E7+'Fórmula'!G7+'Fórmula'!I7+'Fórmula'!K7))*(INDEX(properties!A$1:CB$87,'Fórmula'!J7,11))</f>
        <v>2</v>
      </c>
      <c r="AM7" s="107">
        <f t="array" ref="AM7">'Fórmula'!C7*(INDEX(properties!A$1:CB$87,'Fórmula'!B7,11))+'Fórmula'!E7*(INDEX(properties!A$1:CB$87,'Fórmula'!D7,11))+'Fórmula'!G7*(INDEX(properties!A$1:CB$87,'Fórmula'!F7,11))+'Fórmula'!I7*(INDEX(properties!A$1:CB$87,'Fórmula'!H7,11))+'Fórmula'!K7*(INDEX(properties!A$1:CB$87,'Fórmula'!J7,11))</f>
        <v>32</v>
      </c>
      <c r="AN7" s="107">
        <f t="array" ref="AN7">VARP(IF(INDEX(properties!A$1:CB$87,'Fórmula'!B7,11)&lt;&gt;"",INDEX(properties!A$1:CB$87,'Fórmula'!B7,11)),IF(INDEX(properties!A$1:CB$87,'Fórmula'!D7,11)&lt;&gt;"",INDEX(properties!A$1:CB$87,'Fórmula'!D7,11)),IF(INDEX(properties!A$1:CB$87,'Fórmula'!F7,11)&lt;&gt;"",INDEX(properties!A$1:CB$87,'Fórmula'!F7,11)),IF(INDEX(properties!A$1:CB$87,'Fórmula'!H7,11)&lt;&gt;"",INDEX(properties!A$1:CB$87,'Fórmula'!H7,11)),IF(INDEX(properties!A$1:CB$87,'Fórmula'!J7,11)&lt;&gt;"",INDEX(properties!A$1:CB$87,'Fórmula'!J7,11)))</f>
        <v>0.96</v>
      </c>
      <c r="AO7" s="107">
        <f t="array" ref="AO7">MAX(INDEX(properties!A$1:CB$87,'Fórmula'!B7,11),INDEX(properties!A$1:CB$87,'Fórmula'!D7,11),INDEX(properties!A$1:CB$87,'Fórmula'!F7,11),INDEX(properties!A$1:CB$87,'Fórmula'!H7,11),INDEX(properties!A$1:CB$87,'Fórmula'!J7,11))</f>
        <v>2</v>
      </c>
      <c r="AP7" s="107">
        <f t="array" ref="AP7">MIN(IF('Fórmula'!B7=87,10^6,INDEX(properties!A$1:CB$87,'Fórmula'!B7,11)),IF(('Fórmula'!D7)=87,10^6,INDEX(properties!A$1:CB$87,'Fórmula'!D7,11)),IF(('Fórmula'!F7)=87,10^6,INDEX(properties!A$1:CB$87,'Fórmula'!F7,11)),IF(('Fórmula'!H7)=87,10^6,INDEX(properties!A$1:CB$87,'Fórmula'!H7,11)),IF('Fórmula'!J7=87,10^6,INDEX(properties!A$1:CB$87,'Fórmula'!J7,11)))</f>
        <v>2</v>
      </c>
      <c r="AQ7" s="107">
        <f t="shared" si="7"/>
        <v>0</v>
      </c>
      <c r="AR7" s="108">
        <f t="array" ref="AR7">(('Fórmula'!C7)/('Fórmula'!C7+'Fórmula'!E7+'Fórmula'!G7+'Fórmula'!I7+'Fórmula'!K7))*(INDEX(properties!A$1:CB$87,'Fórmula'!B7,12))+(('Fórmula'!E7)/('Fórmula'!C7+'Fórmula'!E7+'Fórmula'!G7+'Fórmula'!I7+'Fórmula'!K7))*(INDEX(properties!A$1:CB$87,'Fórmula'!D7,12))+(('Fórmula'!G7)/('Fórmula'!C7+'Fórmula'!E7+'Fórmula'!G7+'Fórmula'!I7+'Fórmula'!K7))*(INDEX(properties!A$1:CB$87,'Fórmula'!F7,12))+(('Fórmula'!I7)/('Fórmula'!C7+'Fórmula'!E7+'Fórmula'!G7+'Fórmula'!I7+'Fórmula'!K7))*(INDEX(properties!A$1:CB$87,'Fórmula'!H7,12))+(('Fórmula'!K7)/('Fórmula'!C7+'Fórmula'!E7+'Fórmula'!G7+'Fórmula'!I7+'Fórmula'!K7))*(INDEX(properties!A$1:CB$87,'Fórmula'!J7,12))</f>
        <v>2.25</v>
      </c>
      <c r="AS7" s="108">
        <f t="array" ref="AS7">'Fórmula'!C7*(INDEX(properties!A$1:CB$87,'Fórmula'!B7,12))+'Fórmula'!E7*(INDEX(properties!A$1:CB$87,'Fórmula'!D7,12))+'Fórmula'!G7*(INDEX(properties!A$1:CB$87,'Fórmula'!F7,12))+'Fórmula'!I7*(INDEX(properties!A$1:CB$87,'Fórmula'!H7,12))+'Fórmula'!K7*(INDEX(properties!A$1:CB$87,'Fórmula'!J7,12))</f>
        <v>36</v>
      </c>
      <c r="AT7" s="108">
        <f t="array" ref="AT7">VARP(IF(INDEX(properties!A$1:CB$87,'Fórmula'!B7,12)&lt;&gt;"",INDEX(properties!A$1:CB$87,'Fórmula'!B7,12)),IF(INDEX(properties!A$1:CB$87,'Fórmula'!D7,12)&lt;&gt;"",INDEX(properties!A$1:CB$87,'Fórmula'!D7,12)),IF(INDEX(properties!A$1:CB$87,'Fórmula'!F7,12)&lt;&gt;"",INDEX(properties!A$1:CB$87,'Fórmula'!F7,12)),IF(INDEX(properties!A$1:CB$87,'Fórmula'!H7,12)&lt;&gt;"",INDEX(properties!A$1:CB$87,'Fórmula'!H7,12)),IF(INDEX(properties!A$1:CB$87,'Fórmula'!J7,12)&lt;&gt;"",INDEX(properties!A$1:CB$87,'Fórmula'!J7,12)))</f>
        <v>2.56</v>
      </c>
      <c r="AU7" s="108">
        <f t="array" ref="AU7">MAX(INDEX(properties!A$1:CB$87,'Fórmula'!B7,12),INDEX(properties!A$1:CB$87,'Fórmula'!D7,12),INDEX(properties!A$1:CB$87,'Fórmula'!F7,12),INDEX(properties!A$1:CB$87,'Fórmula'!H7,12),INDEX(properties!A$1:CB$87,'Fórmula'!J7,12))</f>
        <v>4</v>
      </c>
      <c r="AV7" s="108">
        <f t="array" ref="AV7">MIN(IF('Fórmula'!B7=87,10^6,INDEX(properties!A$1:CB$87,'Fórmula'!B7,12)),IF(('Fórmula'!D7)=87,10^6,INDEX(properties!A$1:CB$87,'Fórmula'!D7,12)),IF(('Fórmula'!F7)=87,10^6,INDEX(properties!A$1:CB$87,'Fórmula'!F7,12)),IF(('Fórmula'!H7)=87,10^6,INDEX(properties!A$1:CB$87,'Fórmula'!H7,12)),IF('Fórmula'!J7=87,10^6,INDEX(properties!A$1:CB$87,'Fórmula'!J7,12)))</f>
        <v>0</v>
      </c>
      <c r="AW7" s="108">
        <f t="shared" si="8"/>
        <v>4</v>
      </c>
      <c r="AX7" s="109">
        <f t="array" ref="AX7">(('Fórmula'!C7)/('Fórmula'!C7+'Fórmula'!E7+'Fórmula'!G7+'Fórmula'!I7+'Fórmula'!K7))*(INDEX(properties!A$1:CB$87,'Fórmula'!B7,13))+(('Fórmula'!E7)/('Fórmula'!C7+'Fórmula'!E7+'Fórmula'!G7+'Fórmula'!I7+'Fórmula'!K7))*(INDEX(properties!A$1:CB$87,'Fórmula'!D7,13))+(('Fórmula'!G7)/('Fórmula'!C7+'Fórmula'!E7+'Fórmula'!G7+'Fórmula'!I7+'Fórmula'!K7))*(INDEX(properties!A$1:CB$87,'Fórmula'!F7,13))+(('Fórmula'!I7)/('Fórmula'!C7+'Fórmula'!E7+'Fórmula'!G7+'Fórmula'!I7+'Fórmula'!K7))*(INDEX(properties!A$1:CB$87,'Fórmula'!H7,13))+(('Fórmula'!K7)/('Fórmula'!C7+'Fórmula'!E7+'Fórmula'!G7+'Fórmula'!I7+'Fórmula'!K7))*(INDEX(properties!A$1:CB$87,'Fórmula'!J7,13))</f>
        <v>0.25</v>
      </c>
      <c r="AY7" s="109">
        <f t="array" ref="AY7">'Fórmula'!C7*(INDEX(properties!A$1:CB$87,'Fórmula'!B7,13))+'Fórmula'!E7*(INDEX(properties!A$1:CB$87,'Fórmula'!D7,13))+'Fórmula'!G7*(INDEX(properties!A$1:CB$87,'Fórmula'!F7,13))+'Fórmula'!I7*(INDEX(properties!A$1:CB$87,'Fórmula'!H7,13))+'Fórmula'!K7*(INDEX(properties!A$1:CB$87,'Fórmula'!J7,13))</f>
        <v>4</v>
      </c>
      <c r="AZ7" s="109">
        <f t="array" ref="AZ7">VARP(IF(INDEX(properties!A$1:CB$87,'Fórmula'!B7,13)&lt;&gt;"",INDEX(properties!A$1:CB$87,'Fórmula'!B7,13)),IF(INDEX(properties!A$1:CB$87,'Fórmula'!D7,13)&lt;&gt;"",INDEX(properties!A$1:CB$87,'Fórmula'!D7,13)),IF(INDEX(properties!A$1:CB$87,'Fórmula'!F7,13)&lt;&gt;"",INDEX(properties!A$1:CB$87,'Fórmula'!F7,13)),IF(INDEX(properties!A$1:CB$87,'Fórmula'!H7,13)&lt;&gt;"",INDEX(properties!A$1:CB$87,'Fórmula'!H7,13)),IF(INDEX(properties!A$1:CB$87,'Fórmula'!J7,13)&lt;&gt;"",INDEX(properties!A$1:CB$87,'Fórmula'!J7,13)))</f>
        <v>0.16</v>
      </c>
      <c r="BA7" s="109">
        <f t="array" ref="BA7">MAX(INDEX(properties!A$1:CB$87,'Fórmula'!B7,13),INDEX(properties!A$1:CB$87,'Fórmula'!D7,13),INDEX(properties!A$1:CB$87,'Fórmula'!F7,13),INDEX(properties!A$1:CB$87,'Fórmula'!H7,13),INDEX(properties!A$1:CB$87,'Fórmula'!J7,13))</f>
        <v>1</v>
      </c>
      <c r="BB7" s="109">
        <f t="array" ref="BB7">MIN(IF('Fórmula'!B7=87,10^6,INDEX(properties!A$1:CB$87,'Fórmula'!B7,13)),IF(('Fórmula'!D7)=87,10^6,INDEX(properties!A$1:CB$87,'Fórmula'!D7,13)),IF(('Fórmula'!F7)=87,10^6,INDEX(properties!A$1:CB$87,'Fórmula'!F7,13)),IF(('Fórmula'!H7)=87,10^6,INDEX(properties!A$1:CB$87,'Fórmula'!H7,13)),IF('Fórmula'!J7=87,10^6,INDEX(properties!A$1:CB$87,'Fórmula'!J7,13)))</f>
        <v>0</v>
      </c>
      <c r="BC7" s="109">
        <f t="shared" si="9"/>
        <v>1</v>
      </c>
      <c r="BD7" s="110">
        <f t="array" ref="BD7">(('Fórmula'!C7)/('Fórmula'!C7+'Fórmula'!E7+'Fórmula'!G7+'Fórmula'!I7+'Fórmula'!K7))*(INDEX(properties!A$1:CB$87,'Fórmula'!B7,14))+(('Fórmula'!E7)/('Fórmula'!C7+'Fórmula'!E7+'Fórmula'!G7+'Fórmula'!I7+'Fórmula'!K7))*(INDEX(properties!A$1:CB$87,'Fórmula'!D7,14))+(('Fórmula'!G7)/('Fórmula'!C7+'Fórmula'!E7+'Fórmula'!G7+'Fórmula'!I7+'Fórmula'!K7))*(INDEX(properties!A$1:CB$87,'Fórmula'!F7,14))+(('Fórmula'!I7)/('Fórmula'!C7+'Fórmula'!E7+'Fórmula'!G7+'Fórmula'!I7+'Fórmula'!K7))*(INDEX(properties!A$1:CB$87,'Fórmula'!H7,14))+(('Fórmula'!K7)/('Fórmula'!C7+'Fórmula'!E7+'Fórmula'!G7+'Fórmula'!I7+'Fórmula'!K7))*(INDEX(properties!A$1:CB$87,'Fórmula'!J7,14))</f>
        <v>0</v>
      </c>
      <c r="BE7" s="110">
        <f t="array" ref="BE7">'Fórmula'!C7*(INDEX(properties!A$1:CB$87,'Fórmula'!B7,14))+'Fórmula'!E7*(INDEX(properties!A$1:CB$87,'Fórmula'!D7,14))+'Fórmula'!G7*(INDEX(properties!A$1:CB$87,'Fórmula'!F7,14))+'Fórmula'!I7*(INDEX(properties!A$1:CB$87,'Fórmula'!H7,14))+'Fórmula'!K7*(INDEX(properties!A$1:CB$87,'Fórmula'!J7,14))</f>
        <v>0</v>
      </c>
      <c r="BF7" s="110">
        <f t="array" ref="BF7">VARP(IF(INDEX(properties!A$1:CB$87,'Fórmula'!B7,14)&lt;&gt;"",INDEX(properties!A$1:CB$87,'Fórmula'!B7,14)),IF(INDEX(properties!A$1:CB$87,'Fórmula'!D7,14)&lt;&gt;"",INDEX(properties!A$1:CB$87,'Fórmula'!D7,14)),IF(INDEX(properties!A$1:CB$87,'Fórmula'!F7,14)&lt;&gt;"",INDEX(properties!A$1:CB$87,'Fórmula'!F7,14)),IF(INDEX(properties!A$1:CB$87,'Fórmula'!H7,14)&lt;&gt;"",INDEX(properties!A$1:CB$87,'Fórmula'!H7,14)),IF(INDEX(properties!A$1:CB$87,'Fórmula'!J7,14)&lt;&gt;"",INDEX(properties!A$1:CB$87,'Fórmula'!J7,14)))</f>
        <v>0</v>
      </c>
      <c r="BG7" s="110">
        <f t="array" ref="BG7">MAX(INDEX(properties!A$1:CB$87,'Fórmula'!B7,14),INDEX(properties!A$1:CB$87,'Fórmula'!D7,14),INDEX(properties!A$1:CB$87,'Fórmula'!F7,14),INDEX(properties!A$1:CB$87,'Fórmula'!H7,14),INDEX(properties!A$1:CB$87,'Fórmula'!J7,14))</f>
        <v>0</v>
      </c>
      <c r="BH7" s="110">
        <f t="array" ref="BH7">MIN(IF('Fórmula'!B7=87,10^6,INDEX(properties!A$1:CB$87,'Fórmula'!B7,14)),IF(('Fórmula'!D7)=87,10^6,INDEX(properties!A$1:CB$87,'Fórmula'!D7,14)),IF(('Fórmula'!F7)=87,10^6,INDEX(properties!A$1:CB$87,'Fórmula'!F7,14)),IF(('Fórmula'!H7)=87,10^6,INDEX(properties!A$1:CB$87,'Fórmula'!H7,14)),IF('Fórmula'!J7=87,10^6,INDEX(properties!A$1:CB$87,'Fórmula'!J7,14)))</f>
        <v>0</v>
      </c>
      <c r="BI7" s="110">
        <f t="shared" si="10"/>
        <v>0</v>
      </c>
      <c r="BJ7" s="111">
        <f t="array" ref="BJ7">(('Fórmula'!C7)/('Fórmula'!C7+'Fórmula'!E7+'Fórmula'!G7+'Fórmula'!I7+'Fórmula'!K7))*(INDEX(properties!A$1:CB$87,'Fórmula'!B7,19))+(('Fórmula'!E7)/('Fórmula'!C7+'Fórmula'!E7+'Fórmula'!G7+'Fórmula'!I7+'Fórmula'!K7))*(INDEX(properties!A$1:CB$87,'Fórmula'!D7,19))+(('Fórmula'!G7)/('Fórmula'!C7+'Fórmula'!E7+'Fórmula'!G7+'Fórmula'!I7+'Fórmula'!K7))*(INDEX(properties!A$1:CB$87,'Fórmula'!F7,19))+(('Fórmula'!I7)/('Fórmula'!C7+'Fórmula'!E7+'Fórmula'!G7+'Fórmula'!I7+'Fórmula'!K7))*(INDEX(properties!A$1:CB$87,'Fórmula'!H7,19))+(('Fórmula'!K7)/('Fórmula'!C7+'Fórmula'!E7+'Fórmula'!G7+'Fórmula'!I7+'Fórmula'!K7))*(INDEX(properties!A$1:CB$87,'Fórmula'!J7,19))</f>
        <v>4.5</v>
      </c>
      <c r="BK7" s="111">
        <f t="array" ref="BK7">'Fórmula'!C7*(INDEX(properties!A$1:CB$87,'Fórmula'!B7,19))+'Fórmula'!E7*(INDEX(properties!A$1:CB$87,'Fórmula'!D7,19))+'Fórmula'!G7*(INDEX(properties!A$1:CB$87,'Fórmula'!F7,19))+'Fórmula'!I7*(INDEX(properties!A$1:CB$87,'Fórmula'!H7,19))+'Fórmula'!K7*(INDEX(properties!A$1:CB$87,'Fórmula'!J7,19))</f>
        <v>72</v>
      </c>
      <c r="BL7" s="111">
        <f t="array" ref="BL7">VARP(IF(INDEX(properties!A$1:CB$87,'Fórmula'!B7,19)&lt;&gt;"",INDEX(properties!A$1:CB$87,'Fórmula'!B7,19)),IF(INDEX(properties!A$1:CB$87,'Fórmula'!D7,19)&lt;&gt;"",INDEX(properties!A$1:CB$87,'Fórmula'!D7,19)),IF(INDEX(properties!A$1:CB$87,'Fórmula'!F7,19)&lt;&gt;"",INDEX(properties!A$1:CB$87,'Fórmula'!F7,19)),IF(INDEX(properties!A$1:CB$87,'Fórmula'!H7,19)&lt;&gt;"",INDEX(properties!A$1:CB$87,'Fórmula'!H7,19)),IF(INDEX(properties!A$1:CB$87,'Fórmula'!J7,19)&lt;&gt;"",INDEX(properties!A$1:CB$87,'Fórmula'!J7,19)))</f>
        <v>4.96</v>
      </c>
      <c r="BM7" s="111">
        <f t="array" ref="BM7">MAX(INDEX(properties!A$1:CB$87,'Fórmula'!B7,19),INDEX(properties!A$1:CB$87,'Fórmula'!D7,19),INDEX(properties!A$1:CB$87,'Fórmula'!F7,19),INDEX(properties!A$1:CB$87,'Fórmula'!H7,19),INDEX(properties!A$1:CB$87,'Fórmula'!J7,19))</f>
        <v>6</v>
      </c>
      <c r="BN7" s="111">
        <f t="array" ref="BN7">MIN(IF(INDEX(properties!A$1:CB$87,'Fórmula'!B7,19)=0,10^6,INDEX(properties!A$1:CB$87,'Fórmula'!B7,19)),IF(INDEX(properties!A$1:CB$87,'Fórmula'!D7,19)=0,10^6,INDEX(properties!A$1:CB$87,'Fórmula'!D7,19)),IF(INDEX(properties!A$1:CB$87,'Fórmula'!F7,19)=0,10^6,INDEX(properties!A$1:CB$87,'Fórmula'!F7,19)),IF(INDEX(properties!A$1:CB$87,'Fórmula'!H7,19)=0,10^6,INDEX(properties!A$1:CB$87,'Fórmula'!H7,19)),IF(INDEX(properties!A$1:CB$87,'Fórmula'!J7,19)=0,10^6,INDEX(properties!A$1:CB$87,'Fórmula'!J7,19)))</f>
        <v>2</v>
      </c>
      <c r="BO7" s="111">
        <f t="shared" si="11"/>
        <v>4</v>
      </c>
      <c r="BP7" s="112">
        <f t="array" ref="BP7">(('Fórmula'!C7)/('Fórmula'!C7+'Fórmula'!E7+'Fórmula'!G7+'Fórmula'!I7+'Fórmula'!K7))*(INDEX(properties!A$1:CB$87,'Fórmula'!B7,20))+(('Fórmula'!E7)/('Fórmula'!C7+'Fórmula'!E7+'Fórmula'!G7+'Fórmula'!I7+'Fórmula'!K7))*(INDEX(properties!A$1:CB$87,'Fórmula'!D7,20))+(('Fórmula'!G7)/('Fórmula'!C7+'Fórmula'!E7+'Fórmula'!G7+'Fórmula'!I7+'Fórmula'!K7))*(INDEX(properties!A$1:CB$87,'Fórmula'!F7,20))+(('Fórmula'!I7)/('Fórmula'!C7+'Fórmula'!E7+'Fórmula'!G7+'Fórmula'!I7+'Fórmula'!K7))*(INDEX(properties!A$1:CB$87,'Fórmula'!H7,20))+(('Fórmula'!K7)/('Fórmula'!C7+'Fórmula'!E7+'Fórmula'!G7+'Fórmula'!I7+'Fórmula'!K7))*(INDEX(properties!A$1:CB$87,'Fórmula'!J7,20))</f>
        <v>4.25</v>
      </c>
      <c r="BQ7" s="112">
        <f t="array" ref="BQ7">'Fórmula'!C7*(INDEX(properties!A$1:CB$87,'Fórmula'!B7,20))+'Fórmula'!E7*(INDEX(properties!A$1:CB$87,'Fórmula'!D7,20))+'Fórmula'!G7*(INDEX(properties!A$1:CB$87,'Fórmula'!F7,20))+'Fórmula'!I7*(INDEX(properties!A$1:CB$87,'Fórmula'!H7,20))+'Fórmula'!K7*(INDEX(properties!A$1:CB$87,'Fórmula'!J7,20))</f>
        <v>68</v>
      </c>
      <c r="BR7" s="112">
        <f t="array" ref="BR7">VARP(IF(INDEX(properties!A$1:CB$87,'Fórmula'!B7,20)&lt;&gt;"",INDEX(properties!A$1:CB$87,'Fórmula'!B7,20)),IF(INDEX(properties!A$1:CB$87,'Fórmula'!D7,20)&lt;&gt;"",INDEX(properties!A$1:CB$87,'Fórmula'!D7,20)),IF(INDEX(properties!A$1:CB$87,'Fórmula'!F7,20)&lt;&gt;"",INDEX(properties!A$1:CB$87,'Fórmula'!F7,20)),IF(INDEX(properties!A$1:CB$87,'Fórmula'!H7,20)&lt;&gt;"",INDEX(properties!A$1:CB$87,'Fórmula'!H7,20)),IF(INDEX(properties!A$1:CB$87,'Fórmula'!J7,20)&lt;&gt;"",INDEX(properties!A$1:CB$87,'Fórmula'!J7,20)))</f>
        <v>4.8</v>
      </c>
      <c r="BS7" s="112">
        <f t="array" ref="BS7">MAX(INDEX(properties!A$1:CB$87,'Fórmula'!B7,20),INDEX(properties!A$1:CB$87,'Fórmula'!D7,20),INDEX(properties!A$1:CB$87,'Fórmula'!F7,20),INDEX(properties!A$1:CB$87,'Fórmula'!H7,20),INDEX(properties!A$1:CB$87,'Fórmula'!J7,20))</f>
        <v>6</v>
      </c>
      <c r="BT7" s="112">
        <f t="array" ref="BT7">MIN(IF(INDEX(properties!A$1:CB$87,'Fórmula'!B7,20)=0,10^6,INDEX(properties!A$1:CB$87,'Fórmula'!B7,20)),IF(INDEX(properties!A$1:CB$87,'Fórmula'!D7,20)=0,10^6,INDEX(properties!A$1:CB$87,'Fórmula'!D7,20)),IF(INDEX(properties!A$1:CB$87,'Fórmula'!F7,20)=0,10^6,INDEX(properties!A$1:CB$87,'Fórmula'!F7,20)),IF(INDEX(properties!A$1:CB$87,'Fórmula'!H7,20)=0,10^6,INDEX(properties!A$1:CB$87,'Fórmula'!H7,20)),IF(INDEX(properties!A$1:CB$87,'Fórmula'!J7,20)=0,10^6,INDEX(properties!A$1:CB$87,'Fórmula'!J7,20)))</f>
        <v>2</v>
      </c>
      <c r="BU7" s="112">
        <f t="shared" si="12"/>
        <v>4</v>
      </c>
      <c r="BV7" s="113">
        <f t="array" ref="BV7">(('Fórmula'!C7)/('Fórmula'!C7+'Fórmula'!E7+'Fórmula'!G7+'Fórmula'!I7+'Fórmula'!K7))*(INDEX(properties!A$1:CB$87,'Fórmula'!B7,21))+(('Fórmula'!E7)/('Fórmula'!C7+'Fórmula'!E7+'Fórmula'!G7+'Fórmula'!I7+'Fórmula'!K7))*(INDEX(properties!A$1:CB$87,'Fórmula'!D7,21))+(('Fórmula'!G7)/('Fórmula'!C7+'Fórmula'!E7+'Fórmula'!G7+'Fórmula'!I7+'Fórmula'!K7))*(INDEX(properties!A$1:CB$87,'Fórmula'!F7,21))+(('Fórmula'!I7)/('Fórmula'!C7+'Fórmula'!E7+'Fórmula'!G7+'Fórmula'!I7+'Fórmula'!K7))*(INDEX(properties!A$1:CB$87,'Fórmula'!H7,21))+(('Fórmula'!K7)/('Fórmula'!C7+'Fórmula'!E7+'Fórmula'!G7+'Fórmula'!I7+'Fórmula'!K7))*(INDEX(properties!A$1:CB$87,'Fórmula'!J7,21))</f>
        <v>4</v>
      </c>
      <c r="BW7" s="113">
        <f t="array" ref="BW7">'Fórmula'!C7*(INDEX(properties!A$1:CB$87,'Fórmula'!B7,21))+'Fórmula'!E7*(INDEX(properties!A$1:CB$87,'Fórmula'!D7,21))+'Fórmula'!G7*(INDEX(properties!A$1:CB$87,'Fórmula'!F7,21))+'Fórmula'!I7*(INDEX(properties!A$1:CB$87,'Fórmula'!H7,21))+'Fórmula'!K7*(INDEX(properties!A$1:CB$87,'Fórmula'!J7,21))</f>
        <v>64</v>
      </c>
      <c r="BX7" s="113">
        <f t="array" ref="BX7">VARP(IF(INDEX(properties!A$1:CB$87,'Fórmula'!B7,21)&lt;&gt;"",INDEX(properties!A$1:CB$87,'Fórmula'!B7,21)),IF(INDEX(properties!A$1:CB$87,'Fórmula'!D7,21)&lt;&gt;"",INDEX(properties!A$1:CB$87,'Fórmula'!D7,21)),IF(INDEX(properties!A$1:CB$87,'Fórmula'!F7,21)&lt;&gt;"",INDEX(properties!A$1:CB$87,'Fórmula'!F7,21)),IF(INDEX(properties!A$1:CB$87,'Fórmula'!H7,21)&lt;&gt;"",INDEX(properties!A$1:CB$87,'Fórmula'!H7,21)),IF(INDEX(properties!A$1:CB$87,'Fórmula'!J7,21)&lt;&gt;"",INDEX(properties!A$1:CB$87,'Fórmula'!J7,21)))</f>
        <v>4.96</v>
      </c>
      <c r="BY7" s="113">
        <f t="array" ref="BY7">MAX(INDEX(properties!A$1:CB$87,'Fórmula'!B7,21),INDEX(properties!A$1:CB$87,'Fórmula'!D7,21),INDEX(properties!A$1:CB$87,'Fórmula'!F7,21),INDEX(properties!A$1:CB$87,'Fórmula'!H7,21),INDEX(properties!A$1:CB$87,'Fórmula'!J7,21))</f>
        <v>6</v>
      </c>
      <c r="BZ7" s="113">
        <f t="array" ref="BZ7">MIN(IF(INDEX(properties!A$1:CB$87,'Fórmula'!B7,21)=0,10^6,INDEX(properties!A$1:CB$87,'Fórmula'!B7,21)),IF(INDEX(properties!A$1:CB$87,'Fórmula'!D7,21)=0,10^6,INDEX(properties!A$1:CB$87,'Fórmula'!D7,21)),IF(INDEX(properties!A$1:CB$87,'Fórmula'!F7,21)=0,10^6,INDEX(properties!A$1:CB$87,'Fórmula'!F7,21)),IF(INDEX(properties!A$1:CB$87,'Fórmula'!H7,21)=0,10^6,INDEX(properties!A$1:CB$87,'Fórmula'!H7,21)),IF(INDEX(properties!A$1:CB$87,'Fórmula'!J7,21)=0,10^6,INDEX(properties!A$1:CB$87,'Fórmula'!J7,21)))</f>
        <v>1</v>
      </c>
      <c r="CA7" s="113">
        <f t="shared" si="13"/>
        <v>5</v>
      </c>
      <c r="CB7" s="114">
        <f t="array" ref="CB7">(('Fórmula'!C7)/('Fórmula'!C7+'Fórmula'!E7+'Fórmula'!G7+'Fórmula'!I7+'Fórmula'!K7))*(INDEX(properties!A$1:CB$87,'Fórmula'!B7,23))+(('Fórmula'!E7)/('Fórmula'!C7+'Fórmula'!E7+'Fórmula'!G7+'Fórmula'!I7+'Fórmula'!K7))*(INDEX(properties!A$1:CB$87,'Fórmula'!D7,23))+(('Fórmula'!G7)/('Fórmula'!C7+'Fórmula'!E7+'Fórmula'!G7+'Fórmula'!I7+'Fórmula'!K7))*(INDEX(properties!A$1:CB$87,'Fórmula'!F7,23))+(('Fórmula'!I7)/('Fórmula'!C7+'Fórmula'!E7+'Fórmula'!G7+'Fórmula'!I7+'Fórmula'!K7))*(INDEX(properties!A$1:CB$87,'Fórmula'!H7,23))+(('Fórmula'!K7)/('Fórmula'!C7+'Fórmula'!E7+'Fórmula'!G7+'Fórmula'!I7+'Fórmula'!K7))*(INDEX(properties!A$1:CB$87,'Fórmula'!J7,23))</f>
        <v>1.125</v>
      </c>
      <c r="CC7" s="114">
        <f t="array" ref="CC7">'Fórmula'!C7*(INDEX(properties!A$1:CB$87,'Fórmula'!B7,23))+'Fórmula'!E7*(INDEX(properties!A$1:CB$87,'Fórmula'!D7,23))+'Fórmula'!G7*(INDEX(properties!A$1:CB$87,'Fórmula'!F7,23))+'Fórmula'!I7*(INDEX(properties!A$1:CB$87,'Fórmula'!H7,23))+'Fórmula'!K7*(INDEX(properties!A$1:CB$87,'Fórmula'!J7,23))</f>
        <v>18</v>
      </c>
      <c r="CD7" s="114">
        <f t="array" ref="CD7">VARP(IF(INDEX(properties!A$1:CB$87,'Fórmula'!B7,23)&lt;&gt;"",INDEX(properties!A$1:CB$87,'Fórmula'!B7,23)),IF(INDEX(properties!A$1:CB$87,'Fórmula'!D7,23)&lt;&gt;"",INDEX(properties!A$1:CB$87,'Fórmula'!D7,23)),IF(INDEX(properties!A$1:CB$87,'Fórmula'!F7,23)&lt;&gt;"",INDEX(properties!A$1:CB$87,'Fórmula'!F7,23)),IF(INDEX(properties!A$1:CB$87,'Fórmula'!H7,23)&lt;&gt;"",INDEX(properties!A$1:CB$87,'Fórmula'!H7,23)),IF(INDEX(properties!A$1:CB$87,'Fórmula'!J7,23)&lt;&gt;"",INDEX(properties!A$1:CB$87,'Fórmula'!J7,23)))</f>
        <v>1.6</v>
      </c>
      <c r="CE7" s="114">
        <f t="array" ref="CE7">MAX(INDEX(properties!A$1:CB$87,'Fórmula'!B7,23),INDEX(properties!A$1:CB$87,'Fórmula'!D7,23),INDEX(properties!A$1:CB$87,'Fórmula'!F7,23),INDEX(properties!A$1:CB$87,'Fórmula'!H7,23),INDEX(properties!A$1:CB$87,'Fórmula'!J7,23))</f>
        <v>3</v>
      </c>
      <c r="CF7" s="114">
        <f t="array" ref="CF7">MIN(IF('Fórmula'!B7=87,10^6,INDEX(properties!A$1:CB$87,'Fórmula'!B7,23)),IF(('Fórmula'!D7)=87,10^6,INDEX(properties!A$1:CB$87,'Fórmula'!D7,23)),IF(('Fórmula'!F7)=87,10^6,INDEX(properties!A$1:CB$87,'Fórmula'!F7,23)),IF(('Fórmula'!H7)=87,10^6,INDEX(properties!A$1:CB$87,'Fórmula'!H7,23)),IF('Fórmula'!J7=87,10^6,INDEX(properties!A$1:CB$87,'Fórmula'!J7,23)))</f>
        <v>0</v>
      </c>
      <c r="CG7" s="114">
        <f t="shared" si="14"/>
        <v>3</v>
      </c>
      <c r="CH7" s="115">
        <f t="array" ref="CH7">(('Fórmula'!C7)/('Fórmula'!C7+'Fórmula'!E7+'Fórmula'!G7+'Fórmula'!I7+'Fórmula'!K7))*(INDEX(properties!A$1:CB$87,'Fórmula'!B7,26))+(('Fórmula'!E7)/('Fórmula'!C7+'Fórmula'!E7+'Fórmula'!G7+'Fórmula'!I7+'Fórmula'!K7))*(INDEX(properties!A$1:CB$87,'Fórmula'!D7,26))+(('Fórmula'!G7)/('Fórmula'!C7+'Fórmula'!E7+'Fórmula'!G7+'Fórmula'!I7+'Fórmula'!K7))*(INDEX(properties!A$1:CB$87,'Fórmula'!F7,26))+(('Fórmula'!I7)/('Fórmula'!C7+'Fórmula'!E7+'Fórmula'!G7+'Fórmula'!I7+'Fórmula'!K7))*(INDEX(properties!A$1:CB$87,'Fórmula'!H7,26))+(('Fórmula'!K7)/('Fórmula'!C7+'Fórmula'!E7+'Fórmula'!G7+'Fórmula'!I7+'Fórmula'!K7))*(INDEX(properties!A$1:CB$87,'Fórmula'!J7,26))</f>
        <v>10.1917</v>
      </c>
      <c r="CI7" s="115">
        <f t="array" ref="CI7">'Fórmula'!C7*(INDEX(properties!A$1:CB$87,'Fórmula'!B7,26))+'Fórmula'!E7*(INDEX(properties!A$1:CB$87,'Fórmula'!D7,26))+'Fórmula'!G7*(INDEX(properties!A$1:CB$87,'Fórmula'!F7,26))+'Fórmula'!I7*(INDEX(properties!A$1:CB$87,'Fórmula'!H7,26))+'Fórmula'!K7*(INDEX(properties!A$1:CB$87,'Fórmula'!J7,26))</f>
        <v>163.0672</v>
      </c>
      <c r="CJ7" s="115">
        <f t="array" ref="CJ7">VARP(IF(INDEX(properties!A$1:CB$87,'Fórmula'!B7,26)&lt;&gt;"",INDEX(properties!A$1:CB$87,'Fórmula'!B7,26)),IF(INDEX(properties!A$1:CB$87,'Fórmula'!D7,26)&lt;&gt;"",INDEX(properties!A$1:CB$87,'Fórmula'!D7,26)),IF(INDEX(properties!A$1:CB$87,'Fórmula'!F7,26)&lt;&gt;"",INDEX(properties!A$1:CB$87,'Fórmula'!F7,26)),IF(INDEX(properties!A$1:CB$87,'Fórmula'!H7,26)&lt;&gt;"",INDEX(properties!A$1:CB$87,'Fórmula'!H7,26)),IF(INDEX(properties!A$1:CB$87,'Fórmula'!J7,26)&lt;&gt;"",INDEX(properties!A$1:CB$87,'Fórmula'!J7,26)))</f>
        <v>25.15956802</v>
      </c>
      <c r="CK7" s="116">
        <f t="array" ref="CK7">MAX(INDEX(properties!A$1:CB$87,'Fórmula'!B7,26),INDEX(properties!A$1:CB$87,'Fórmula'!D7,26),INDEX(properties!A$1:CB$87,'Fórmula'!F7,26),INDEX(properties!A$1:CB$87,'Fórmula'!H7,26),INDEX(properties!A$1:CB$87,'Fórmula'!J7,26))</f>
        <v>13.6181</v>
      </c>
      <c r="CL7" s="116">
        <f t="array" ref="CL7">MIN(IF(INDEX(properties!A$1:CB$87,'Fórmula'!B7,26)=0,10^6,INDEX(properties!A$1:CB$87,'Fórmula'!B7,26)),IF(INDEX(properties!A$1:CB$87,'Fórmula'!D7,26)=0,10^6,INDEX(properties!A$1:CB$87,'Fórmula'!D7,26)),IF(INDEX(properties!A$1:CB$87,'Fórmula'!F7,26)=0,10^6,INDEX(properties!A$1:CB$87,'Fórmula'!F7,26)),IF(INDEX(properties!A$1:CB$87,'Fórmula'!H7,26)=0,10^6,INDEX(properties!A$1:CB$87,'Fórmula'!H7,26)),IF(INDEX(properties!A$1:CB$87,'Fórmula'!J7,26)=0,10^6,INDEX(properties!A$1:CB$87,'Fórmula'!J7,26)))</f>
        <v>5.2117</v>
      </c>
      <c r="CM7" s="115">
        <f t="shared" si="15"/>
        <v>8.4064</v>
      </c>
      <c r="CN7" s="117">
        <f t="array" ref="CN7">(('Fórmula'!C7)/('Fórmula'!C7+'Fórmula'!E7+'Fórmula'!G7+'Fórmula'!I7+'Fórmula'!K7))*(INDEX(properties!A$1:CB$87,'Fórmula'!B7,30))+(('Fórmula'!E7)/('Fórmula'!C7+'Fórmula'!E7+'Fórmula'!G7+'Fórmula'!I7+'Fórmula'!K7))*(INDEX(properties!A$1:CB$87,'Fórmula'!D7,30))+(('Fórmula'!G7)/('Fórmula'!C7+'Fórmula'!E7+'Fórmula'!G7+'Fórmula'!I7+'Fórmula'!K7))*(INDEX(properties!A$1:CB$87,'Fórmula'!F7,30))+(('Fórmula'!I7)/('Fórmula'!C7+'Fórmula'!E7+'Fórmula'!G7+'Fórmula'!I7+'Fórmula'!K7))*(INDEX(properties!A$1:CB$87,'Fórmula'!H7,30))+(('Fórmula'!K7)/('Fórmula'!C7+'Fórmula'!E7+'Fórmula'!G7+'Fórmula'!I7+'Fórmula'!K7))*(INDEX(properties!A$1:CB$87,'Fórmula'!J7,30))</f>
        <v>2.406875</v>
      </c>
      <c r="CO7" s="117">
        <f t="array" ref="CO7">'Fórmula'!C7*(INDEX(properties!A$1:CB$87,'Fórmula'!B7,30))+'Fórmula'!E7*(INDEX(properties!A$1:CB$87,'Fórmula'!D7,30))+'Fórmula'!G7*(INDEX(properties!A$1:CB$87,'Fórmula'!F7,30))+'Fórmula'!I7*(INDEX(properties!A$1:CB$87,'Fórmula'!H7,30))+'Fórmula'!K7*(INDEX(properties!A$1:CB$87,'Fórmula'!J7,30))</f>
        <v>38.51</v>
      </c>
      <c r="CP7" s="117">
        <f t="array" ref="CP7">VARP(IF(INDEX(properties!A$1:CB$87,'Fórmula'!B7,30)&lt;&gt;"",INDEX(properties!A$1:CB$87,'Fórmula'!B7,30)),IF(INDEX(properties!A$1:CB$87,'Fórmula'!D7,30)&lt;&gt;"",INDEX(properties!A$1:CB$87,'Fórmula'!D7,30)),IF(INDEX(properties!A$1:CB$87,'Fórmula'!F7,30)&lt;&gt;"",INDEX(properties!A$1:CB$87,'Fórmula'!F7,30)),IF(INDEX(properties!A$1:CB$87,'Fórmula'!H7,30)&lt;&gt;"",INDEX(properties!A$1:CB$87,'Fórmula'!H7,30)),IF(INDEX(properties!A$1:CB$87,'Fórmula'!J7,30)&lt;&gt;"",INDEX(properties!A$1:CB$87,'Fórmula'!J7,30)))</f>
        <v>1.59072</v>
      </c>
      <c r="CQ7" s="117">
        <f t="array" ref="CQ7">MAX(INDEX(properties!A$1:CB$87,'Fórmula'!B7,30),INDEX(properties!A$1:CB$87,'Fórmula'!D7,30),INDEX(properties!A$1:CB$87,'Fórmula'!F7,30),INDEX(properties!A$1:CB$87,'Fórmula'!H7,30),INDEX(properties!A$1:CB$87,'Fórmula'!J7,30))</f>
        <v>3.44</v>
      </c>
      <c r="CR7" s="117">
        <f t="array" ref="CR7">MIN(IF(INDEX(properties!A$1:CB$87,'Fórmula'!B7,30)=0,10^6,INDEX(properties!A$1:CB$87,'Fórmula'!B7,30)),IF(INDEX(properties!A$1:CB$87,'Fórmula'!D7,30)=0,10^6,INDEX(properties!A$1:CB$87,'Fórmula'!D7,30)),IF(INDEX(properties!A$1:CB$87,'Fórmula'!F7,30)=0,10^6,INDEX(properties!A$1:CB$87,'Fórmula'!F7,30)),IF(INDEX(properties!A$1:CB$87,'Fórmula'!H7,30)=0,10^6,INDEX(properties!A$1:CB$87,'Fórmula'!H7,30)),IF(INDEX(properties!A$1:CB$87,'Fórmula'!J7,30)=0,10^6,INDEX(properties!A$1:CB$87,'Fórmula'!J7,30)))</f>
        <v>0.89</v>
      </c>
      <c r="CS7" s="117">
        <f t="shared" si="16"/>
        <v>2.55</v>
      </c>
      <c r="CT7" s="118">
        <f t="array" ref="CT7">(('Fórmula'!C7)/('Fórmula'!C7+'Fórmula'!E7+'Fórmula'!G7+'Fórmula'!I7+'Fórmula'!K7))*(INDEX(properties!A$1:CB$87,'Fórmula'!B7,31))+(('Fórmula'!E7)/('Fórmula'!C7+'Fórmula'!E7+'Fórmula'!G7+'Fórmula'!I7+'Fórmula'!K7))*(INDEX(properties!A$1:CB$87,'Fórmula'!D7,31))+(('Fórmula'!G7)/('Fórmula'!C7+'Fórmula'!E7+'Fórmula'!G7+'Fórmula'!I7+'Fórmula'!K7))*(INDEX(properties!A$1:CB$87,'Fórmula'!F7,31))+(('Fórmula'!I7)/('Fórmula'!C7+'Fórmula'!E7+'Fórmula'!G7+'Fórmula'!I7+'Fórmula'!K7))*(INDEX(properties!A$1:CB$87,'Fórmula'!H7,31))+(('Fórmula'!K7)/('Fórmula'!C7+'Fórmula'!E7+'Fórmula'!G7+'Fórmula'!I7+'Fórmula'!K7))*(INDEX(properties!A$1:CB$87,'Fórmula'!J7,31))</f>
        <v>2.4225</v>
      </c>
      <c r="CU7" s="118">
        <f t="array" ref="CU7">'Fórmula'!C7*(INDEX(properties!A$1:CB$87,'Fórmula'!B7,31))+'Fórmula'!E7*(INDEX(properties!A$1:CB$87,'Fórmula'!D7,31))+'Fórmula'!G7*(INDEX(properties!A$1:CB$87,'Fórmula'!F7,31))+'Fórmula'!I7*(INDEX(properties!A$1:CB$87,'Fórmula'!H7,31))+'Fórmula'!K7*(INDEX(properties!A$1:CB$87,'Fórmula'!J7,31))</f>
        <v>38.76</v>
      </c>
      <c r="CV7" s="118">
        <f t="array" ref="CV7">VARP(IF(INDEX(properties!A$1:CB$87,'Fórmula'!B7,31)&lt;&gt;"",INDEX(properties!A$1:CB$87,'Fórmula'!B7,31)),IF(INDEX(properties!A$1:CB$87,'Fórmula'!D7,31)&lt;&gt;"",INDEX(properties!A$1:CB$87,'Fórmula'!D7,31)),IF(INDEX(properties!A$1:CB$87,'Fórmula'!F7,31)&lt;&gt;"",INDEX(properties!A$1:CB$87,'Fórmula'!F7,31)),IF(INDEX(properties!A$1:CB$87,'Fórmula'!H7,31)&lt;&gt;"",INDEX(properties!A$1:CB$87,'Fórmula'!H7,31)),IF(INDEX(properties!A$1:CB$87,'Fórmula'!J7,31)&lt;&gt;"",INDEX(properties!A$1:CB$87,'Fórmula'!J7,31)))</f>
        <v>1.485136</v>
      </c>
      <c r="CW7" s="118">
        <f t="array" ref="CW7">MAX(INDEX(properties!A$1:CB$87,'Fórmula'!B7,31),INDEX(properties!A$1:CB$87,'Fórmula'!D7,31),INDEX(properties!A$1:CB$87,'Fórmula'!F7,31),INDEX(properties!A$1:CB$87,'Fórmula'!H7,31),INDEX(properties!A$1:CB$87,'Fórmula'!J7,31))</f>
        <v>3.32</v>
      </c>
      <c r="CX7" s="118">
        <f t="array" ref="CX7">MIN(IF(INDEX(properties!A$1:CB$87,'Fórmula'!B7,31)=0,10^6,INDEX(properties!A$1:CB$87,'Fórmula'!B7,31)),IF(INDEX(properties!A$1:CB$87,'Fórmula'!D7,31)=0,10^6,INDEX(properties!A$1:CB$87,'Fórmula'!D7,31)),IF(INDEX(properties!A$1:CB$87,'Fórmula'!F7,31)=0,10^6,INDEX(properties!A$1:CB$87,'Fórmula'!F7,31)),IF(INDEX(properties!A$1:CB$87,'Fórmula'!H7,31)=0,10^6,INDEX(properties!A$1:CB$87,'Fórmula'!H7,31)),IF(INDEX(properties!A$1:CB$87,'Fórmula'!J7,31)=0,10^6,INDEX(properties!A$1:CB$87,'Fórmula'!J7,31)))</f>
        <v>1.08</v>
      </c>
      <c r="CY7" s="118">
        <f t="shared" si="17"/>
        <v>2.24</v>
      </c>
      <c r="CZ7" s="119">
        <f t="array" ref="CZ7">(('Fórmula'!C7)/('Fórmula'!C7+'Fórmula'!E7+'Fórmula'!G7+'Fórmula'!I7+'Fórmula'!K7))*(INDEX(properties!A$1:CB$87,'Fórmula'!B7,32))+(('Fórmula'!E7)/('Fórmula'!C7+'Fórmula'!E7+'Fórmula'!G7+'Fórmula'!I7+'Fórmula'!K7))*(INDEX(properties!A$1:CB$87,'Fórmula'!D7,32))+(('Fórmula'!G7)/('Fórmula'!C7+'Fórmula'!E7+'Fórmula'!G7+'Fórmula'!I7+'Fórmula'!K7))*(INDEX(properties!A$1:CB$87,'Fórmula'!F7,32))+(('Fórmula'!I7)/('Fórmula'!C7+'Fórmula'!E7+'Fórmula'!G7+'Fórmula'!I7+'Fórmula'!K7))*(INDEX(properties!A$1:CB$87,'Fórmula'!H7,32))+(('Fórmula'!K7)/('Fórmula'!C7+'Fórmula'!E7+'Fórmula'!G7+'Fórmula'!I7+'Fórmula'!K7))*(INDEX(properties!A$1:CB$87,'Fórmula'!J7,32))</f>
        <v>5.48875</v>
      </c>
      <c r="DA7" s="119">
        <f t="array" ref="DA7">'Fórmula'!C7*(INDEX(properties!A$1:CB$87,'Fórmula'!B7,32))+'Fórmula'!E7*(INDEX(properties!A$1:CB$87,'Fórmula'!D7,32))+'Fórmula'!G7*(INDEX(properties!A$1:CB$87,'Fórmula'!F7,32))+'Fórmula'!I7*(INDEX(properties!A$1:CB$87,'Fórmula'!H7,32))+'Fórmula'!K7*(INDEX(properties!A$1:CB$87,'Fórmula'!J7,32))</f>
        <v>87.82</v>
      </c>
      <c r="DB7" s="119">
        <f t="array" ref="DB7">VARP(IF(INDEX(properties!A$1:CB$87,'Fórmula'!B7,32)&lt;&gt;"",INDEX(properties!A$1:CB$87,'Fórmula'!B7,32)),IF(INDEX(properties!A$1:CB$87,'Fórmula'!D7,32)&lt;&gt;"",INDEX(properties!A$1:CB$87,'Fórmula'!D7,32)),IF(INDEX(properties!A$1:CB$87,'Fórmula'!F7,32)&lt;&gt;"",INDEX(properties!A$1:CB$87,'Fórmula'!F7,32)),IF(INDEX(properties!A$1:CB$87,'Fórmula'!H7,32)&lt;&gt;"",INDEX(properties!A$1:CB$87,'Fórmula'!H7,32)),IF(INDEX(properties!A$1:CB$87,'Fórmula'!J7,32)&lt;&gt;"",INDEX(properties!A$1:CB$87,'Fórmula'!J7,32)))</f>
        <v>7.661664</v>
      </c>
      <c r="DC7" s="119">
        <f t="array" ref="DC7">MAX(INDEX(properties!A$1:CB$87,'Fórmula'!B7,32),INDEX(properties!A$1:CB$87,'Fórmula'!D7,32),INDEX(properties!A$1:CB$87,'Fórmula'!F7,32),INDEX(properties!A$1:CB$87,'Fórmula'!H7,32),INDEX(properties!A$1:CB$87,'Fórmula'!J7,32))</f>
        <v>7.54</v>
      </c>
      <c r="DD7" s="119">
        <f t="array" ref="DD7">MIN(IF(INDEX(properties!A$1:CB$87,'Fórmula'!B7,32)=0,10^6,INDEX(properties!A$1:CB$87,'Fórmula'!B7,32)),IF(INDEX(properties!A$1:CB$87,'Fórmula'!D7,32)=0,10^6,INDEX(properties!A$1:CB$87,'Fórmula'!D7,32)),IF(INDEX(properties!A$1:CB$87,'Fórmula'!F7,32)=0,10^6,INDEX(properties!A$1:CB$87,'Fórmula'!F7,32)),IF(INDEX(properties!A$1:CB$87,'Fórmula'!H7,32)=0,10^6,INDEX(properties!A$1:CB$87,'Fórmula'!H7,32)),IF(INDEX(properties!A$1:CB$87,'Fórmula'!J7,32)=0,10^6,INDEX(properties!A$1:CB$87,'Fórmula'!J7,32)))</f>
        <v>2.4</v>
      </c>
      <c r="DE7" s="119">
        <f t="shared" si="18"/>
        <v>5.14</v>
      </c>
      <c r="DF7" s="104">
        <f t="array" ref="DF7">(('Fórmula'!C7)/('Fórmula'!C7+'Fórmula'!E7+'Fórmula'!G7+'Fórmula'!I7+'Fórmula'!K7))*(INDEX(properties!A$1:CB$87,'Fórmula'!B7,34))+(('Fórmula'!E7)/('Fórmula'!C7+'Fórmula'!E7+'Fórmula'!G7+'Fórmula'!I7+'Fórmula'!K7))*(INDEX(properties!A$1:CB$87,'Fórmula'!D7,34))+(('Fórmula'!G7)/('Fórmula'!C7+'Fórmula'!E7+'Fórmula'!G7+'Fórmula'!I7+'Fórmula'!K7))*(INDEX(properties!A$1:CB$87,'Fórmula'!F7,34))+(('Fórmula'!I7)/('Fórmula'!C7+'Fórmula'!E7+'Fórmula'!G7+'Fórmula'!I7+'Fórmula'!K7))*(INDEX(properties!A$1:CB$87,'Fórmula'!H7,34))+(('Fórmula'!K7)/('Fórmula'!C7+'Fórmula'!E7+'Fórmula'!G7+'Fórmula'!I7+'Fórmula'!K7))*(INDEX(properties!A$1:CB$87,'Fórmula'!J7,34))</f>
        <v>2.4758125</v>
      </c>
      <c r="DG7" s="104">
        <f t="array" ref="DG7">'Fórmula'!C7*(INDEX(properties!A$1:CB$87,'Fórmula'!B7,34))+'Fórmula'!E7*(INDEX(properties!A$1:CB$87,'Fórmula'!D7,34))+'Fórmula'!G7*(INDEX(properties!A$1:CB$87,'Fórmula'!F7,34))+'Fórmula'!I7*(INDEX(properties!A$1:CB$87,'Fórmula'!H7,34))+'Fórmula'!K7*(INDEX(properties!A$1:CB$87,'Fórmula'!J7,34))</f>
        <v>39.613</v>
      </c>
      <c r="DH7" s="104">
        <f t="array" ref="DH7">VARP(IF(INDEX(properties!A$1:CB$87,'Fórmula'!B7,34)&lt;&gt;"",INDEX(properties!A$1:CB$87,'Fórmula'!B7,34)),IF(INDEX(properties!A$1:CB$87,'Fórmula'!D7,34)&lt;&gt;"",INDEX(properties!A$1:CB$87,'Fórmula'!D7,34)),IF(INDEX(properties!A$1:CB$87,'Fórmula'!F7,34)&lt;&gt;"",INDEX(properties!A$1:CB$87,'Fórmula'!F7,34)),IF(INDEX(properties!A$1:CB$87,'Fórmula'!H7,34)&lt;&gt;"",INDEX(properties!A$1:CB$87,'Fórmula'!H7,34)),IF(INDEX(properties!A$1:CB$87,'Fórmula'!J7,34)&lt;&gt;"",INDEX(properties!A$1:CB$87,'Fórmula'!J7,34)))</f>
        <v>1.75319936</v>
      </c>
      <c r="DI7" s="104">
        <f t="array" ref="DI7">MAX(INDEX(properties!A$1:CB$87,'Fórmula'!B7,34),INDEX(properties!A$1:CB$87,'Fórmula'!D7,34),INDEX(properties!A$1:CB$87,'Fórmula'!F7,34),INDEX(properties!A$1:CB$87,'Fórmula'!H7,34),INDEX(properties!A$1:CB$87,'Fórmula'!J7,34))</f>
        <v>3.61</v>
      </c>
      <c r="DJ7" s="104">
        <f t="array" ref="DJ7">MIN(IF(INDEX(properties!A$1:CB$87,'Fórmula'!B7,34)=0,10^6,INDEX(properties!A$1:CB$87,'Fórmula'!B7,34)),IF(INDEX(properties!A$1:CB$87,'Fórmula'!D7,34)=0,10^6,INDEX(properties!A$1:CB$87,'Fórmula'!D7,34)),IF(INDEX(properties!A$1:CB$87,'Fórmula'!F7,34)=0,10^6,INDEX(properties!A$1:CB$87,'Fórmula'!F7,34)),IF(INDEX(properties!A$1:CB$87,'Fórmula'!H7,34)=0,10^6,INDEX(properties!A$1:CB$87,'Fórmula'!H7,34)),IF(INDEX(properties!A$1:CB$87,'Fórmula'!J7,34)=0,10^6,INDEX(properties!A$1:CB$87,'Fórmula'!J7,34)))</f>
        <v>0.881</v>
      </c>
      <c r="DK7" s="104">
        <f t="shared" si="19"/>
        <v>2.729</v>
      </c>
      <c r="DL7" s="105">
        <f t="array" ref="DL7">(('Fórmula'!C7)/('Fórmula'!C7+'Fórmula'!E7+'Fórmula'!G7+'Fórmula'!I7+'Fórmula'!K7))*(INDEX(properties!A$1:CB$87,'Fórmula'!B7,37))+(('Fórmula'!E7)/('Fórmula'!C7+'Fórmula'!E7+'Fórmula'!G7+'Fórmula'!I7+'Fórmula'!K7))*(INDEX(properties!A$1:CB$87,'Fórmula'!D7,37))+(('Fórmula'!G7)/('Fórmula'!C7+'Fórmula'!E7+'Fórmula'!G7+'Fórmula'!I7+'Fórmula'!K7))*(INDEX(properties!A$1:CB$87,'Fórmula'!F7,37))+(('Fórmula'!I7)/('Fórmula'!C7+'Fórmula'!E7+'Fórmula'!G7+'Fórmula'!I7+'Fórmula'!K7))*(INDEX(properties!A$1:CB$87,'Fórmula'!H7,37))+(('Fórmula'!K7)/('Fórmula'!C7+'Fórmula'!E7+'Fórmula'!G7+'Fórmula'!I7+'Fórmula'!K7))*(INDEX(properties!A$1:CB$87,'Fórmula'!J7,37))</f>
        <v>2.434375</v>
      </c>
      <c r="DM7" s="105">
        <f t="array" ref="DM7">'Fórmula'!C7*(INDEX(properties!A$1:CB$87,'Fórmula'!B7,37))+'Fórmula'!E7*(INDEX(properties!A$1:CB$87,'Fórmula'!D7,37))+'Fórmula'!G7*(INDEX(properties!A$1:CB$87,'Fórmula'!F7,37))+'Fórmula'!I7*(INDEX(properties!A$1:CB$87,'Fórmula'!H7,37))+'Fórmula'!K7*(INDEX(properties!A$1:CB$87,'Fórmula'!J7,37))</f>
        <v>38.95</v>
      </c>
      <c r="DN7" s="105">
        <f t="array" ref="DN7">VARP(IF(INDEX(properties!A$1:CB$87,'Fórmula'!B7,37)&lt;&gt;"",INDEX(properties!A$1:CB$87,'Fórmula'!B7,37)),IF(INDEX(properties!A$1:CB$87,'Fórmula'!D7,37)&lt;&gt;"",INDEX(properties!A$1:CB$87,'Fórmula'!D7,37)),IF(INDEX(properties!A$1:CB$87,'Fórmula'!F7,37)&lt;&gt;"",INDEX(properties!A$1:CB$87,'Fórmula'!F7,37)),IF(INDEX(properties!A$1:CB$87,'Fórmula'!H7,37)&lt;&gt;"",INDEX(properties!A$1:CB$87,'Fórmula'!H7,37)),IF(INDEX(properties!A$1:CB$87,'Fórmula'!J7,37)&lt;&gt;"",INDEX(properties!A$1:CB$87,'Fórmula'!J7,37)))</f>
        <v>1.6036</v>
      </c>
      <c r="DO7" s="105">
        <f t="array" ref="DO7">MAX(INDEX(properties!A$1:CB$87,'Fórmula'!B7,37),INDEX(properties!A$1:CB$87,'Fórmula'!D7,37),INDEX(properties!A$1:CB$87,'Fórmula'!F7,37),INDEX(properties!A$1:CB$87,'Fórmula'!H7,37),INDEX(properties!A$1:CB$87,'Fórmula'!J7,37))</f>
        <v>3.45</v>
      </c>
      <c r="DP7" s="105">
        <f t="array" ref="DP7">MIN(IF(INDEX(properties!A$1:CB$87,'Fórmula'!B7,37)=0,10^6,INDEX(properties!A$1:CB$87,'Fórmula'!B7,37)),IF(INDEX(properties!A$1:CB$87,'Fórmula'!D7,37)=0,10^6,INDEX(properties!A$1:CB$87,'Fórmula'!D7,37)),IF(INDEX(properties!A$1:CB$87,'Fórmula'!F7,37)=0,10^6,INDEX(properties!A$1:CB$87,'Fórmula'!F7,37)),IF(INDEX(properties!A$1:CB$87,'Fórmula'!H7,37)=0,10^6,INDEX(properties!A$1:CB$87,'Fórmula'!H7,37)),IF(INDEX(properties!A$1:CB$87,'Fórmula'!J7,37)=0,10^6,INDEX(properties!A$1:CB$87,'Fórmula'!J7,37)))</f>
        <v>0.9</v>
      </c>
      <c r="DQ7" s="105">
        <f t="shared" si="20"/>
        <v>2.55</v>
      </c>
      <c r="DR7" s="109">
        <f t="array" ref="DR7">(('Fórmula'!C7)/('Fórmula'!C7+'Fórmula'!E7+'Fórmula'!G7+'Fórmula'!I7+'Fórmula'!K7))*(INDEX(properties!A$1:CB$87,'Fórmula'!B7,39))+(('Fórmula'!E7)/('Fórmula'!C7+'Fórmula'!E7+'Fórmula'!G7+'Fórmula'!I7+'Fórmula'!K7))*(INDEX(properties!A$1:CB$87,'Fórmula'!D7,39))+(('Fórmula'!G7)/('Fórmula'!C7+'Fórmula'!E7+'Fórmula'!G7+'Fórmula'!I7+'Fórmula'!K7))*(INDEX(properties!A$1:CB$87,'Fórmula'!F7,39))+(('Fórmula'!I7)/('Fórmula'!C7+'Fórmula'!E7+'Fórmula'!G7+'Fórmula'!I7+'Fórmula'!K7))*(INDEX(properties!A$1:CB$87,'Fórmula'!H7,39))+(('Fórmula'!K7)/('Fórmula'!C7+'Fórmula'!E7+'Fórmula'!G7+'Fórmula'!I7+'Fórmula'!K7))*(INDEX(properties!A$1:CB$87,'Fórmula'!J7,39))</f>
        <v>1.274375</v>
      </c>
      <c r="DS7" s="109">
        <f t="array" ref="DS7">'Fórmula'!C7*(INDEX(properties!A$1:CB$87,'Fórmula'!B7,39))+'Fórmula'!E7*(INDEX(properties!A$1:CB$87,'Fórmula'!D7,39))+'Fórmula'!G7*(INDEX(properties!A$1:CB$87,'Fórmula'!F7,39))+'Fórmula'!I7*(INDEX(properties!A$1:CB$87,'Fórmula'!H7,39))+'Fórmula'!K7*(INDEX(properties!A$1:CB$87,'Fórmula'!J7,39))</f>
        <v>20.39</v>
      </c>
      <c r="DT7" s="109">
        <f t="array" ref="DT7">VARP(IF(INDEX(properties!A$1:CB$87,'Fórmula'!B7,39)&lt;&gt;"",INDEX(properties!A$1:CB$87,'Fórmula'!B7,39)),IF(INDEX(properties!A$1:CB$87,'Fórmula'!D7,39)&lt;&gt;"",INDEX(properties!A$1:CB$87,'Fórmula'!D7,39)),IF(INDEX(properties!A$1:CB$87,'Fórmula'!F7,39)&lt;&gt;"",INDEX(properties!A$1:CB$87,'Fórmula'!F7,39)),IF(INDEX(properties!A$1:CB$87,'Fórmula'!H7,39)&lt;&gt;"",INDEX(properties!A$1:CB$87,'Fórmula'!H7,39)),IF(INDEX(properties!A$1:CB$87,'Fórmula'!J7,39)&lt;&gt;"",INDEX(properties!A$1:CB$87,'Fórmula'!J7,39)))</f>
        <v>1.172464</v>
      </c>
      <c r="DU7" s="120">
        <f t="array" ref="DU7">MAX(INDEX(properties!A$1:CB$87,'Fórmula'!B7,39),INDEX(properties!A$1:CB$87,'Fórmula'!D7,39),INDEX(properties!A$1:CB$87,'Fórmula'!F7,39),INDEX(properties!A$1:CB$87,'Fórmula'!H7,39),INDEX(properties!A$1:CB$87,'Fórmula'!J7,39))</f>
        <v>2.53</v>
      </c>
      <c r="DV7" s="120">
        <f t="array" ref="DV7">MIN(IF(INDEX(properties!A$1:CB$87,'Fórmula'!B7,39)=0,10^6,INDEX(properties!A$1:CB$87,'Fórmula'!B7,39)),IF(INDEX(properties!A$1:CB$87,'Fórmula'!D7,39)=0,10^6,INDEX(properties!A$1:CB$87,'Fórmula'!D7,39)),IF(INDEX(properties!A$1:CB$87,'Fórmula'!F7,39)=0,10^6,INDEX(properties!A$1:CB$87,'Fórmula'!F7,39)),IF(INDEX(properties!A$1:CB$87,'Fórmula'!H7,39)=0,10^6,INDEX(properties!A$1:CB$87,'Fórmula'!H7,39)),IF(INDEX(properties!A$1:CB$87,'Fórmula'!J7,39)=0,10^6,INDEX(properties!A$1:CB$87,'Fórmula'!J7,39)))</f>
        <v>0.48</v>
      </c>
      <c r="DW7" s="109">
        <f t="shared" si="21"/>
        <v>2.05</v>
      </c>
      <c r="DX7" s="110">
        <f t="array" ref="DX7">(('Fórmula'!C7)/('Fórmula'!C7+'Fórmula'!E7+'Fórmula'!G7+'Fórmula'!I7+'Fórmula'!K7))*(INDEX(properties!A$1:CB$87,'Fórmula'!B7,40))+(('Fórmula'!E7)/('Fórmula'!C7+'Fórmula'!E7+'Fórmula'!G7+'Fórmula'!I7+'Fórmula'!K7))*(INDEX(properties!A$1:CB$87,'Fórmula'!D7,40))+(('Fórmula'!G7)/('Fórmula'!C7+'Fórmula'!E7+'Fórmula'!G7+'Fórmula'!I7+'Fórmula'!K7))*(INDEX(properties!A$1:CB$87,'Fórmula'!F7,40))+(('Fórmula'!I7)/('Fórmula'!C7+'Fórmula'!E7+'Fórmula'!G7+'Fórmula'!I7+'Fórmula'!K7))*(INDEX(properties!A$1:CB$87,'Fórmula'!H7,40))+(('Fórmula'!K7)/('Fórmula'!C7+'Fórmula'!E7+'Fórmula'!G7+'Fórmula'!I7+'Fórmula'!K7))*(INDEX(properties!A$1:CB$87,'Fórmula'!J7,40))</f>
        <v>1.186875</v>
      </c>
      <c r="DY7" s="110">
        <f t="array" ref="DY7">'Fórmula'!C7*(INDEX(properties!A$1:CB$87,'Fórmula'!B7,40))+'Fórmula'!E7*(INDEX(properties!A$1:CB$87,'Fórmula'!D7,40))+'Fórmula'!G7*(INDEX(properties!A$1:CB$87,'Fórmula'!F7,40))+'Fórmula'!I7*(INDEX(properties!A$1:CB$87,'Fórmula'!H7,40))+'Fórmula'!K7*(INDEX(properties!A$1:CB$87,'Fórmula'!J7,40))</f>
        <v>18.99</v>
      </c>
      <c r="DZ7" s="110">
        <f t="array" ref="DZ7">VARP(IF(INDEX(properties!A$1:CB$87,'Fórmula'!B7,40)&lt;&gt;"",INDEX(properties!A$1:CB$87,'Fórmula'!B7,40)),IF(INDEX(properties!A$1:CB$87,'Fórmula'!D7,40)&lt;&gt;"",INDEX(properties!A$1:CB$87,'Fórmula'!D7,40)),IF(INDEX(properties!A$1:CB$87,'Fórmula'!F7,40)&lt;&gt;"",INDEX(properties!A$1:CB$87,'Fórmula'!F7,40)),IF(INDEX(properties!A$1:CB$87,'Fórmula'!H7,40)&lt;&gt;"",INDEX(properties!A$1:CB$87,'Fórmula'!H7,40)),IF(INDEX(properties!A$1:CB$87,'Fórmula'!J7,40)&lt;&gt;"",INDEX(properties!A$1:CB$87,'Fórmula'!J7,40)))</f>
        <v>0.665584</v>
      </c>
      <c r="EA7" s="121">
        <f t="array" ref="EA7">MAX(INDEX(properties!A$1:CB$87,'Fórmula'!B7,40),INDEX(properties!A$1:CB$87,'Fórmula'!D7,40),INDEX(properties!A$1:CB$87,'Fórmula'!F7,40),INDEX(properties!A$1:CB$87,'Fórmula'!H7,40),INDEX(properties!A$1:CB$87,'Fórmula'!J7,40))</f>
        <v>1.98</v>
      </c>
      <c r="EB7" s="121">
        <f t="array" ref="EB7">MIN(IF(INDEX(properties!A$1:CB$87,'Fórmula'!B7,40)=0,10^6,INDEX(properties!A$1:CB$87,'Fórmula'!B7,40)),IF(INDEX(properties!A$1:CB$87,'Fórmula'!D7,40)=0,10^6,INDEX(properties!A$1:CB$87,'Fórmula'!D7,40)),IF(INDEX(properties!A$1:CB$87,'Fórmula'!F7,40)=0,10^6,INDEX(properties!A$1:CB$87,'Fórmula'!F7,40)),IF(INDEX(properties!A$1:CB$87,'Fórmula'!H7,40)=0,10^6,INDEX(properties!A$1:CB$87,'Fórmula'!H7,40)),IF(INDEX(properties!A$1:CB$87,'Fórmula'!J7,40)=0,10^6,INDEX(properties!A$1:CB$87,'Fórmula'!J7,40)))</f>
        <v>0.73</v>
      </c>
      <c r="EC7" s="110">
        <f t="shared" si="22"/>
        <v>1.25</v>
      </c>
      <c r="ED7" s="111">
        <f t="array" ref="ED7">(('Fórmula'!C7)/('Fórmula'!C7+'Fórmula'!E7+'Fórmula'!G7+'Fórmula'!I7+'Fórmula'!K7))*(INDEX(properties!A$1:CB$87,'Fórmula'!B7,41))+(('Fórmula'!E7)/('Fórmula'!C7+'Fórmula'!E7+'Fórmula'!G7+'Fórmula'!I7+'Fórmula'!K7))*(INDEX(properties!A$1:CB$87,'Fórmula'!D7,41))+(('Fórmula'!G7)/('Fórmula'!C7+'Fórmula'!E7+'Fórmula'!G7+'Fórmula'!I7+'Fórmula'!K7))*(INDEX(properties!A$1:CB$87,'Fórmula'!F7,41))+(('Fórmula'!I7)/('Fórmula'!C7+'Fórmula'!E7+'Fórmula'!G7+'Fórmula'!I7+'Fórmula'!K7))*(INDEX(properties!A$1:CB$87,'Fórmula'!H7,41))+(('Fórmula'!K7)/('Fórmula'!C7+'Fórmula'!E7+'Fórmula'!G7+'Fórmula'!I7+'Fórmula'!K7))*(INDEX(properties!A$1:CB$87,'Fórmula'!J7,41))</f>
        <v>1.248125</v>
      </c>
      <c r="EE7" s="111">
        <f t="array" ref="EE7">'Fórmula'!C7*(INDEX(properties!A$1:CB$87,'Fórmula'!B7,41))+'Fórmula'!E7*(INDEX(properties!A$1:CB$87,'Fórmula'!D7,41))+'Fórmula'!G7*(INDEX(properties!A$1:CB$87,'Fórmula'!F7,41))+'Fórmula'!I7*(INDEX(properties!A$1:CB$87,'Fórmula'!H7,41))+'Fórmula'!K7*(INDEX(properties!A$1:CB$87,'Fórmula'!J7,41))</f>
        <v>19.97</v>
      </c>
      <c r="EF7" s="111">
        <f t="array" ref="EF7">VARP(IF(INDEX(properties!A$1:CB$87,'Fórmula'!B7,41)&lt;&gt;"",INDEX(properties!A$1:CB$87,'Fórmula'!B7,41)),IF(INDEX(properties!A$1:CB$87,'Fórmula'!D7,41)&lt;&gt;"",INDEX(properties!A$1:CB$87,'Fórmula'!D7,41)),IF(INDEX(properties!A$1:CB$87,'Fórmula'!F7,41)&lt;&gt;"",INDEX(properties!A$1:CB$87,'Fórmula'!F7,41)),IF(INDEX(properties!A$1:CB$87,'Fórmula'!H7,41)&lt;&gt;"",INDEX(properties!A$1:CB$87,'Fórmula'!H7,41)),IF(INDEX(properties!A$1:CB$87,'Fórmula'!J7,41)&lt;&gt;"",INDEX(properties!A$1:CB$87,'Fórmula'!J7,41)))</f>
        <v>0.403296</v>
      </c>
      <c r="EG7" s="122">
        <f t="array" ref="EG7">MAX(INDEX(properties!A$1:CB$87,'Fórmula'!B7,41),INDEX(properties!A$1:CB$87,'Fórmula'!D7,41),INDEX(properties!A$1:CB$87,'Fórmula'!F7,41),INDEX(properties!A$1:CB$87,'Fórmula'!H7,41),INDEX(properties!A$1:CB$87,'Fórmula'!J7,41))</f>
        <v>1.49</v>
      </c>
      <c r="EH7" s="122">
        <f t="array" ref="EH7">MIN(IF(INDEX(properties!A$1:CB$87,'Fórmula'!B7,41)=0,10^6,INDEX(properties!A$1:CB$87,'Fórmula'!B7,41)),IF(INDEX(properties!A$1:CB$87,'Fórmula'!D7,41)=0,10^6,INDEX(properties!A$1:CB$87,'Fórmula'!D7,41)),IF(INDEX(properties!A$1:CB$87,'Fórmula'!F7,41)=0,10^6,INDEX(properties!A$1:CB$87,'Fórmula'!F7,41)),IF(INDEX(properties!A$1:CB$87,'Fórmula'!H7,41)=0,10^6,INDEX(properties!A$1:CB$87,'Fórmula'!H7,41)),IF(INDEX(properties!A$1:CB$87,'Fórmula'!J7,41)=0,10^6,INDEX(properties!A$1:CB$87,'Fórmula'!J7,41)))</f>
        <v>1.04</v>
      </c>
      <c r="EI7" s="111">
        <f t="shared" si="23"/>
        <v>0.45</v>
      </c>
      <c r="EJ7" s="112">
        <f t="array" ref="EJ7">(('Fórmula'!C7)/('Fórmula'!C7+'Fórmula'!E7+'Fórmula'!G7+'Fórmula'!I7+'Fórmula'!K7))*(INDEX(properties!A$1:CB$87,'Fórmula'!B7,45))+(('Fórmula'!E7)/('Fórmula'!C7+'Fórmula'!E7+'Fórmula'!G7+'Fórmula'!I7+'Fórmula'!K7))*(INDEX(properties!A$1:CB$87,'Fórmula'!D7,45))+(('Fórmula'!G7)/('Fórmula'!C7+'Fórmula'!E7+'Fórmula'!G7+'Fórmula'!I7+'Fórmula'!K7))*(INDEX(properties!A$1:CB$87,'Fórmula'!F7,45))+(('Fórmula'!I7)/('Fórmula'!C7+'Fórmula'!E7+'Fórmula'!G7+'Fórmula'!I7+'Fórmula'!K7))*(INDEX(properties!A$1:CB$87,'Fórmula'!H7,45))+(('Fórmula'!K7)/('Fórmula'!C7+'Fórmula'!E7+'Fórmula'!G7+'Fórmula'!I7+'Fórmula'!K7))*(INDEX(properties!A$1:CB$87,'Fórmula'!J7,45))</f>
        <v>1.636875</v>
      </c>
      <c r="EK7" s="112">
        <f t="array" ref="EK7">'Fórmula'!C7*(INDEX(properties!A$1:CB$87,'Fórmula'!B7,45))+'Fórmula'!E7*(INDEX(properties!A$1:CB$87,'Fórmula'!D7,45))+'Fórmula'!G7*(INDEX(properties!A$1:CB$87,'Fórmula'!F7,45))+'Fórmula'!I7*(INDEX(properties!A$1:CB$87,'Fórmula'!H7,45))+'Fórmula'!K7*(INDEX(properties!A$1:CB$87,'Fórmula'!J7,45))</f>
        <v>26.19</v>
      </c>
      <c r="EL7" s="112">
        <f t="array" ref="EL7">VARP(IF(INDEX(properties!A$1:CB$87,'Fórmula'!B7,45)&lt;&gt;"",INDEX(properties!A$1:CB$87,'Fórmula'!B7,45)),IF(INDEX(properties!A$1:CB$87,'Fórmula'!D7,45)&lt;&gt;"",INDEX(properties!A$1:CB$87,'Fórmula'!D7,45)),IF(INDEX(properties!A$1:CB$87,'Fórmula'!F7,45)&lt;&gt;"",INDEX(properties!A$1:CB$87,'Fórmula'!F7,45)),IF(INDEX(properties!A$1:CB$87,'Fórmula'!H7,45)&lt;&gt;"",INDEX(properties!A$1:CB$87,'Fórmula'!H7,45)),IF(INDEX(properties!A$1:CB$87,'Fórmula'!J7,45)&lt;&gt;"",INDEX(properties!A$1:CB$87,'Fórmula'!J7,45)))</f>
        <v>2.229856</v>
      </c>
      <c r="EM7" s="123">
        <f t="array" ref="EM7">MAX(INDEX(properties!A$1:CB$87,'Fórmula'!B7,45),INDEX(properties!A$1:CB$87,'Fórmula'!D7,45),INDEX(properties!A$1:CB$87,'Fórmula'!F7,45),INDEX(properties!A$1:CB$87,'Fórmula'!H7,45),INDEX(properties!A$1:CB$87,'Fórmula'!J7,45))</f>
        <v>3.4</v>
      </c>
      <c r="EN7" s="123">
        <f t="array" ref="EN7">MIN(IF(INDEX(properties!A$1:CB$87,'Fórmula'!B7,45)=0,10^6,INDEX(properties!A$1:CB$87,'Fórmula'!B7,45)),IF(INDEX(properties!A$1:CB$87,'Fórmula'!D7,45)=0,10^6,INDEX(properties!A$1:CB$87,'Fórmula'!D7,45)),IF(INDEX(properties!A$1:CB$87,'Fórmula'!F7,45)=0,10^6,INDEX(properties!A$1:CB$87,'Fórmula'!F7,45)),IF(INDEX(properties!A$1:CB$87,'Fórmula'!H7,45)=0,10^6,INDEX(properties!A$1:CB$87,'Fórmula'!H7,45)),IF(INDEX(properties!A$1:CB$87,'Fórmula'!J7,45)=0,10^6,INDEX(properties!A$1:CB$87,'Fórmula'!J7,45)))</f>
        <v>0.47</v>
      </c>
      <c r="EO7" s="112">
        <f t="shared" si="24"/>
        <v>2.93</v>
      </c>
      <c r="EP7" s="113">
        <f t="array" ref="EP7">(('Fórmula'!C7)/('Fórmula'!C7+'Fórmula'!E7+'Fórmula'!G7+'Fórmula'!I7+'Fórmula'!K7))*(INDEX(properties!A$1:CB$87,'Fórmula'!B7,46))+(('Fórmula'!E7)/('Fórmula'!C7+'Fórmula'!E7+'Fórmula'!G7+'Fórmula'!I7+'Fórmula'!K7))*(INDEX(properties!A$1:CB$87,'Fórmula'!D7,46))+(('Fórmula'!G7)/('Fórmula'!C7+'Fórmula'!E7+'Fórmula'!G7+'Fórmula'!I7+'Fórmula'!K7))*(INDEX(properties!A$1:CB$87,'Fórmula'!F7,46))+(('Fórmula'!I7)/('Fórmula'!C7+'Fórmula'!E7+'Fórmula'!G7+'Fórmula'!I7+'Fórmula'!K7))*(INDEX(properties!A$1:CB$87,'Fórmula'!H7,46))+(('Fórmula'!K7)/('Fórmula'!C7+'Fórmula'!E7+'Fórmula'!G7+'Fórmula'!I7+'Fórmula'!K7))*(INDEX(properties!A$1:CB$87,'Fórmula'!J7,46))</f>
        <v>1.22</v>
      </c>
      <c r="EQ7" s="113">
        <f t="array" ref="EQ7">'Fórmula'!C7*(INDEX(properties!A$1:CB$87,'Fórmula'!B7,46))+'Fórmula'!E7*(INDEX(properties!A$1:CB$87,'Fórmula'!D7,46))+'Fórmula'!G7*(INDEX(properties!A$1:CB$87,'Fórmula'!F7,46))+'Fórmula'!I7*(INDEX(properties!A$1:CB$87,'Fórmula'!H7,46))+'Fórmula'!K7*(INDEX(properties!A$1:CB$87,'Fórmula'!J7,46))</f>
        <v>19.52</v>
      </c>
      <c r="ER7" s="113">
        <f t="array" ref="ER7">VARP(IF(INDEX(properties!A$1:CB$87,'Fórmula'!B7,46)&lt;&gt;"",INDEX(properties!A$1:CB$87,'Fórmula'!B7,46)),IF(INDEX(properties!A$1:CB$87,'Fórmula'!D7,46)&lt;&gt;"",INDEX(properties!A$1:CB$87,'Fórmula'!D7,46)),IF(INDEX(properties!A$1:CB$87,'Fórmula'!F7,46)&lt;&gt;"",INDEX(properties!A$1:CB$87,'Fórmula'!F7,46)),IF(INDEX(properties!A$1:CB$87,'Fórmula'!H7,46)&lt;&gt;"",INDEX(properties!A$1:CB$87,'Fórmula'!H7,46)),IF(INDEX(properties!A$1:CB$87,'Fórmula'!J7,46)&lt;&gt;"",INDEX(properties!A$1:CB$87,'Fórmula'!J7,46)))</f>
        <v>0.393656</v>
      </c>
      <c r="ES7" s="124">
        <f t="array" ref="ES7">MAX(INDEX(properties!A$1:CB$87,'Fórmula'!B7,46),INDEX(properties!A$1:CB$87,'Fórmula'!D7,46),INDEX(properties!A$1:CB$87,'Fórmula'!F7,46),INDEX(properties!A$1:CB$87,'Fórmula'!H7,46),INDEX(properties!A$1:CB$87,'Fórmula'!J7,46))</f>
        <v>1.49</v>
      </c>
      <c r="ET7" s="124">
        <f t="array" ref="ET7">MIN(IF(INDEX(properties!A$1:CB$87,'Fórmula'!B7,46)=0,10^6,INDEX(properties!A$1:CB$87,'Fórmula'!B7,46)),IF(INDEX(properties!A$1:CB$87,'Fórmula'!D7,46)=0,10^6,INDEX(properties!A$1:CB$87,'Fórmula'!D7,46)),IF(INDEX(properties!A$1:CB$87,'Fórmula'!F7,46)=0,10^6,INDEX(properties!A$1:CB$87,'Fórmula'!F7,46)),IF(INDEX(properties!A$1:CB$87,'Fórmula'!H7,46)=0,10^6,INDEX(properties!A$1:CB$87,'Fórmula'!H7,46)),IF(INDEX(properties!A$1:CB$87,'Fórmula'!J7,46)=0,10^6,INDEX(properties!A$1:CB$87,'Fórmula'!J7,46)))</f>
        <v>1.04</v>
      </c>
      <c r="EU7" s="113">
        <f t="shared" si="25"/>
        <v>0.45</v>
      </c>
      <c r="EV7" s="114">
        <f t="array" ref="EV7">(('Fórmula'!C7)/('Fórmula'!C7+'Fórmula'!E7+'Fórmula'!G7+'Fórmula'!I7+'Fórmula'!K7))*(INDEX(properties!A$1:CB$87,'Fórmula'!B7,52))+(('Fórmula'!E7)/('Fórmula'!C7+'Fórmula'!E7+'Fórmula'!G7+'Fórmula'!I7+'Fórmula'!K7))*(INDEX(properties!A$1:CB$87,'Fórmula'!D7,52))+(('Fórmula'!G7)/('Fórmula'!C7+'Fórmula'!E7+'Fórmula'!G7+'Fórmula'!I7+'Fórmula'!K7))*(INDEX(properties!A$1:CB$87,'Fórmula'!F7,52))+(('Fórmula'!I7)/('Fórmula'!C7+'Fórmula'!E7+'Fórmula'!G7+'Fórmula'!I7+'Fórmula'!K7))*(INDEX(properties!A$1:CB$87,'Fórmula'!H7,52))+(('Fórmula'!K7)/('Fórmula'!C7+'Fórmula'!E7+'Fórmula'!G7+'Fórmula'!I7+'Fórmula'!K7))*(INDEX(properties!A$1:CB$87,'Fórmula'!J7,52))</f>
        <v>13.5648125</v>
      </c>
      <c r="EW7" s="114">
        <f t="array" ref="EW7">'Fórmula'!C7*(INDEX(properties!A$1:CB$87,'Fórmula'!B7,52))+'Fórmula'!E7*(INDEX(properties!A$1:CB$87,'Fórmula'!D7,52))+'Fórmula'!G7*(INDEX(properties!A$1:CB$87,'Fórmula'!F7,52))+'Fórmula'!I7*(INDEX(properties!A$1:CB$87,'Fórmula'!H7,52))+'Fórmula'!K7*(INDEX(properties!A$1:CB$87,'Fórmula'!J7,52))</f>
        <v>217.037</v>
      </c>
      <c r="EX7" s="114">
        <f t="array" ref="EX7">VARP(IF(INDEX(properties!A$1:CB$87,'Fórmula'!B7,52)&lt;&gt;"",INDEX(properties!A$1:CB$87,'Fórmula'!B7,52)),IF(INDEX(properties!A$1:CB$87,'Fórmula'!D7,52)&lt;&gt;"",INDEX(properties!A$1:CB$87,'Fórmula'!D7,52)),IF(INDEX(properties!A$1:CB$87,'Fórmula'!F7,52)&lt;&gt;"",INDEX(properties!A$1:CB$87,'Fórmula'!F7,52)),IF(INDEX(properties!A$1:CB$87,'Fórmula'!H7,52)&lt;&gt;"",INDEX(properties!A$1:CB$87,'Fórmula'!H7,52)),IF(INDEX(properties!A$1:CB$87,'Fórmula'!J7,52)&lt;&gt;"",INDEX(properties!A$1:CB$87,'Fórmula'!J7,52)))</f>
        <v>258.6675598</v>
      </c>
      <c r="EY7" s="114">
        <f t="array" ref="EY7">MAX(INDEX(properties!A$1:CB$87,'Fórmula'!B7,52),INDEX(properties!A$1:CB$87,'Fórmula'!D7,52),INDEX(properties!A$1:CB$87,'Fórmula'!F7,52),INDEX(properties!A$1:CB$87,'Fórmula'!H7,52),INDEX(properties!A$1:CB$87,'Fórmula'!J7,52))</f>
        <v>39.7</v>
      </c>
      <c r="EZ7" s="114">
        <f t="array" ref="EZ7">MIN(IF(INDEX(properties!A$1:CB$87,'Fórmula'!B7,52)=0,10^6,INDEX(properties!A$1:CB$87,'Fórmula'!B7,52)),IF(INDEX(properties!A$1:CB$87,'Fórmula'!D7,52)=0,10^6,INDEX(properties!A$1:CB$87,'Fórmula'!D7,52)),IF(INDEX(properties!A$1:CB$87,'Fórmula'!F7,52)=0,10^6,INDEX(properties!A$1:CB$87,'Fórmula'!F7,52)),IF(INDEX(properties!A$1:CB$87,'Fórmula'!H7,52)=0,10^6,INDEX(properties!A$1:CB$87,'Fórmula'!H7,52)),IF(INDEX(properties!A$1:CB$87,'Fórmula'!J7,52)=0,10^6,INDEX(properties!A$1:CB$87,'Fórmula'!J7,52)))</f>
        <v>0.793</v>
      </c>
      <c r="FA7" s="114">
        <f t="shared" si="26"/>
        <v>38.907</v>
      </c>
      <c r="FB7" s="115">
        <f t="array" ref="FB7">(('Fórmula'!C7)/('Fórmula'!C7+'Fórmula'!E7+'Fórmula'!G7+'Fórmula'!I7+'Fórmula'!K7))*(INDEX(properties!A$1:CB$87,'Fórmula'!B7,53))+(('Fórmula'!E7)/('Fórmula'!C7+'Fórmula'!E7+'Fórmula'!G7+'Fórmula'!I7+'Fórmula'!K7))*(INDEX(properties!A$1:CB$87,'Fórmula'!D7,53))+(('Fórmula'!G7)/('Fórmula'!C7+'Fórmula'!E7+'Fórmula'!G7+'Fórmula'!I7+'Fórmula'!K7))*(INDEX(properties!A$1:CB$87,'Fórmula'!F7,53))+(('Fórmula'!I7)/('Fórmula'!C7+'Fórmula'!E7+'Fórmula'!G7+'Fórmula'!I7+'Fórmula'!K7))*(INDEX(properties!A$1:CB$87,'Fórmula'!H7,53))+(('Fórmula'!K7)/('Fórmula'!C7+'Fórmula'!E7+'Fórmula'!G7+'Fórmula'!I7+'Fórmula'!K7))*(INDEX(properties!A$1:CB$87,'Fórmula'!J7,53))</f>
        <v>666.9875</v>
      </c>
      <c r="FC7" s="115">
        <f t="array" ref="FC7">'Fórmula'!C7*(INDEX(properties!A$1:CB$87,'Fórmula'!B7,53))+'Fórmula'!E7*(INDEX(properties!A$1:CB$87,'Fórmula'!D7,53))+'Fórmula'!G7*(INDEX(properties!A$1:CB$87,'Fórmula'!F7,53))+'Fórmula'!I7*(INDEX(properties!A$1:CB$87,'Fórmula'!H7,53))+'Fórmula'!K7*(INDEX(properties!A$1:CB$87,'Fórmula'!J7,53))</f>
        <v>10671.8</v>
      </c>
      <c r="FD7" s="115">
        <f t="array" ref="FD7">VARP(IF(INDEX(properties!A$1:CB$87,'Fórmula'!B7,53)&lt;&gt;"",INDEX(properties!A$1:CB$87,'Fórmula'!B7,53)),IF(INDEX(properties!A$1:CB$87,'Fórmula'!D7,53)&lt;&gt;"",INDEX(properties!A$1:CB$87,'Fórmula'!D7,53)),IF(INDEX(properties!A$1:CB$87,'Fórmula'!F7,53)&lt;&gt;"",INDEX(properties!A$1:CB$87,'Fórmula'!F7,53)),IF(INDEX(properties!A$1:CB$87,'Fórmula'!H7,53)&lt;&gt;"",INDEX(properties!A$1:CB$87,'Fórmula'!H7,53)),IF(INDEX(properties!A$1:CB$87,'Fórmula'!J7,53)&lt;&gt;"",INDEX(properties!A$1:CB$87,'Fórmula'!J7,53)))</f>
        <v>520407.7254</v>
      </c>
      <c r="FE7" s="115">
        <f t="array" ref="FE7">MAX(INDEX(properties!A$1:CB$87,'Fórmula'!B7,53),INDEX(properties!A$1:CB$87,'Fórmula'!D7,53),INDEX(properties!A$1:CB$87,'Fórmula'!F7,53),INDEX(properties!A$1:CB$87,'Fórmula'!H7,53),INDEX(properties!A$1:CB$87,'Fórmula'!J7,53))</f>
        <v>1796.15</v>
      </c>
      <c r="FF7" s="115">
        <f t="array" ref="FF7">MIN(IF(INDEX(properties!A$1:CB$87,'Fórmula'!B7,53)=0,10^6,INDEX(properties!A$1:CB$87,'Fórmula'!B7,53)),IF(INDEX(properties!A$1:CB$87,'Fórmula'!D7,53)=0,10^6,INDEX(properties!A$1:CB$87,'Fórmula'!D7,53)),IF(INDEX(properties!A$1:CB$87,'Fórmula'!F7,53)=0,10^6,INDEX(properties!A$1:CB$87,'Fórmula'!F7,53)),IF(INDEX(properties!A$1:CB$87,'Fórmula'!H7,53)=0,10^6,INDEX(properties!A$1:CB$87,'Fórmula'!H7,53)),IF(INDEX(properties!A$1:CB$87,'Fórmula'!J7,53)=0,10^6,INDEX(properties!A$1:CB$87,'Fórmula'!J7,53)))</f>
        <v>54.75</v>
      </c>
      <c r="FG7" s="115">
        <f t="shared" si="27"/>
        <v>1741.4</v>
      </c>
      <c r="FH7" s="117">
        <f t="array" ref="FH7">(('Fórmula'!C7)/('Fórmula'!C7+'Fórmula'!E7+'Fórmula'!G7+'Fórmula'!I7+'Fórmula'!K7))*(INDEX(properties!A$1:CB$87,'Fórmula'!B7,54))+(('Fórmula'!E7)/('Fórmula'!C7+'Fórmula'!E7+'Fórmula'!G7+'Fórmula'!I7+'Fórmula'!K7))*(INDEX(properties!A$1:CB$87,'Fórmula'!D7,54))+(('Fórmula'!G7)/('Fórmula'!C7+'Fórmula'!E7+'Fórmula'!G7+'Fórmula'!I7+'Fórmula'!K7))*(INDEX(properties!A$1:CB$87,'Fórmula'!F7,54))+(('Fórmula'!I7)/('Fórmula'!C7+'Fórmula'!E7+'Fórmula'!G7+'Fórmula'!I7+'Fórmula'!K7))*(INDEX(properties!A$1:CB$87,'Fórmula'!H7,54))+(('Fórmula'!K7)/('Fórmula'!C7+'Fórmula'!E7+'Fórmula'!G7+'Fórmula'!I7+'Fórmula'!K7))*(INDEX(properties!A$1:CB$87,'Fórmula'!J7,54))</f>
        <v>1311.9625</v>
      </c>
      <c r="FI7" s="117">
        <f t="array" ref="FI7">'Fórmula'!C7*(INDEX(properties!A$1:CB$87,'Fórmula'!B7,54))+'Fórmula'!E7*(INDEX(properties!A$1:CB$87,'Fórmula'!D7,54))+'Fórmula'!G7*(INDEX(properties!A$1:CB$87,'Fórmula'!F7,54))+'Fórmula'!I7*(INDEX(properties!A$1:CB$87,'Fórmula'!H7,54))+'Fórmula'!K7*(INDEX(properties!A$1:CB$87,'Fórmula'!J7,54))</f>
        <v>20991.4</v>
      </c>
      <c r="FJ7" s="117">
        <f t="array" ref="FJ7">VARP(IF(INDEX(properties!A$1:CB$87,'Fórmula'!B7,54)&lt;&gt;"",INDEX(properties!A$1:CB$87,'Fórmula'!B7,54)),IF(INDEX(properties!A$1:CB$87,'Fórmula'!D7,54)&lt;&gt;"",INDEX(properties!A$1:CB$87,'Fórmula'!D7,54)),IF(INDEX(properties!A$1:CB$87,'Fórmula'!F7,54)&lt;&gt;"",INDEX(properties!A$1:CB$87,'Fórmula'!F7,54)),IF(INDEX(properties!A$1:CB$87,'Fórmula'!H7,54)&lt;&gt;"",INDEX(properties!A$1:CB$87,'Fórmula'!H7,54)),IF(INDEX(properties!A$1:CB$87,'Fórmula'!J7,54)&lt;&gt;"",INDEX(properties!A$1:CB$87,'Fórmula'!J7,54)))</f>
        <v>2079857.757</v>
      </c>
      <c r="FK7" s="117">
        <f t="array" ref="FK7">MAX(INDEX(properties!A$1:CB$87,'Fórmula'!B7,54),INDEX(properties!A$1:CB$87,'Fórmula'!D7,54),INDEX(properties!A$1:CB$87,'Fórmula'!F7,54),INDEX(properties!A$1:CB$87,'Fórmula'!H7,54),INDEX(properties!A$1:CB$87,'Fórmula'!J7,54))</f>
        <v>3610.15</v>
      </c>
      <c r="FL7" s="117">
        <f t="array" ref="FL7">MIN(IF(INDEX(properties!A$1:CB$87,'Fórmula'!B7,54)=0,10^6,INDEX(properties!A$1:CB$87,'Fórmula'!B7,54)),IF(INDEX(properties!A$1:CB$87,'Fórmula'!D7,54)=0,10^6,INDEX(properties!A$1:CB$87,'Fórmula'!D7,54)),IF(INDEX(properties!A$1:CB$87,'Fórmula'!F7,54)=0,10^6,INDEX(properties!A$1:CB$87,'Fórmula'!F7,54)),IF(INDEX(properties!A$1:CB$87,'Fórmula'!H7,54)=0,10^6,INDEX(properties!A$1:CB$87,'Fórmula'!H7,54)),IF(INDEX(properties!A$1:CB$87,'Fórmula'!J7,54)=0,10^6,INDEX(properties!A$1:CB$87,'Fórmula'!J7,54)))</f>
        <v>90.15</v>
      </c>
      <c r="FM7" s="117">
        <f t="shared" si="28"/>
        <v>3520</v>
      </c>
      <c r="FN7" s="118">
        <f t="array" ref="FN7">(('Fórmula'!C7)/('Fórmula'!C7+'Fórmula'!E7+'Fórmula'!G7+'Fórmula'!I7+'Fórmula'!K7))*(INDEX(properties!A$1:CB$87,'Fórmula'!B7,55))+(('Fórmula'!E7)/('Fórmula'!C7+'Fórmula'!E7+'Fórmula'!G7+'Fórmula'!I7+'Fórmula'!K7))*(INDEX(properties!A$1:CB$87,'Fórmula'!D7,55))+(('Fórmula'!G7)/('Fórmula'!C7+'Fórmula'!E7+'Fórmula'!G7+'Fórmula'!I7+'Fórmula'!K7))*(INDEX(properties!A$1:CB$87,'Fórmula'!F7,55))+(('Fórmula'!I7)/('Fórmula'!C7+'Fórmula'!E7+'Fórmula'!G7+'Fórmula'!I7+'Fórmula'!K7))*(INDEX(properties!A$1:CB$87,'Fórmula'!H7,55))+(('Fórmula'!K7)/('Fórmula'!C7+'Fórmula'!E7+'Fórmula'!G7+'Fórmula'!I7+'Fórmula'!K7))*(INDEX(properties!A$1:CB$87,'Fórmula'!J7,55))</f>
        <v>1.774554375</v>
      </c>
      <c r="FO7" s="118">
        <f t="array" ref="FO7">'Fórmula'!C7*(INDEX(properties!A$1:CB$87,'Fórmula'!B7,55))+'Fórmula'!E7*(INDEX(properties!A$1:CB$87,'Fórmula'!D7,54))+'Fórmula'!G7*(INDEX(properties!A$1:CB$87,'Fórmula'!F7,55))+'Fórmula'!I7*(INDEX(properties!A$1:CB$87,'Fórmula'!H7,55))+'Fórmula'!K7*(INDEX(properties!A$1:CB$87,'Fórmula'!J7,55))</f>
        <v>14451.11287</v>
      </c>
      <c r="FP7" s="118">
        <f t="array" ref="FP7">VARP(IF(INDEX(properties!A$1:CB$87,'Fórmula'!B7,55)&lt;&gt;"",INDEX(properties!A$1:CB$87,'Fórmula'!B7,55)),IF(INDEX(properties!A$1:CB$87,'Fórmula'!D7,55)&lt;&gt;"",INDEX(properties!A$1:CB$87,'Fórmula'!D7,55)),IF(INDEX(properties!A$1:CB$87,'Fórmula'!F7,55)&lt;&gt;"",INDEX(properties!A$1:CB$87,'Fórmula'!F7,55)),IF(INDEX(properties!A$1:CB$87,'Fórmula'!H7,55)&lt;&gt;"",INDEX(properties!A$1:CB$87,'Fórmula'!H7,55)),IF(INDEX(properties!A$1:CB$87,'Fórmula'!J7,55)&lt;&gt;"",INDEX(properties!A$1:CB$87,'Fórmula'!J7,55)))</f>
        <v>3.904432559</v>
      </c>
      <c r="FQ7" s="118">
        <f t="array" ref="FQ7">MAX(INDEX(properties!A$1:CB$87,'Fórmula'!B7,55),INDEX(properties!A$1:CB$87,'Fórmula'!D7,55),INDEX(properties!A$1:CB$87,'Fórmula'!F7,55),INDEX(properties!A$1:CB$87,'Fórmula'!H7,55),INDEX(properties!A$1:CB$87,'Fórmula'!J7,55))</f>
        <v>4.47</v>
      </c>
      <c r="FR7" s="118">
        <f t="array" ref="FR7">MIN(IF(INDEX(properties!A$1:CB$87,'Fórmula'!B7,55)=0,10^6,INDEX(properties!A$1:CB$87,'Fórmula'!B7,55)),IF(INDEX(properties!A$1:CB$87,'Fórmula'!D7,55)=0,10^6,INDEX(properties!A$1:CB$87,'Fórmula'!D7,55)),IF(INDEX(properties!A$1:CB$87,'Fórmula'!F7,55)=0,10^6,INDEX(properties!A$1:CB$87,'Fórmula'!F7,55)),IF(INDEX(properties!A$1:CB$87,'Fórmula'!H7,55)=0,10^6,INDEX(properties!A$1:CB$87,'Fórmula'!H7,55)),IF(INDEX(properties!A$1:CB$87,'Fórmula'!J7,55)=0,10^6,INDEX(properties!A$1:CB$87,'Fórmula'!J7,55)))</f>
        <v>0.00143</v>
      </c>
      <c r="FS7" s="118">
        <f t="shared" si="29"/>
        <v>4.46857</v>
      </c>
      <c r="FT7" s="119">
        <f t="array" ref="FT7">(('Fórmula'!C7)/('Fórmula'!C7+'Fórmula'!E7+'Fórmula'!G7+'Fórmula'!I7+'Fórmula'!K7))*(INDEX(properties!A$1:CB$87,'Fórmula'!B7,56))+(('Fórmula'!E7)/('Fórmula'!C7+'Fórmula'!E7+'Fórmula'!G7+'Fórmula'!I7+'Fórmula'!K7))*(INDEX(properties!A$1:CB$87,'Fórmula'!D7,56))+(('Fórmula'!G7)/('Fórmula'!C7+'Fórmula'!E7+'Fórmula'!G7+'Fórmula'!I7+'Fórmula'!K7))*(INDEX(properties!A$1:CB$87,'Fórmula'!F7,56))+(('Fórmula'!I7)/('Fórmula'!C7+'Fórmula'!E7+'Fórmula'!G7+'Fórmula'!I7+'Fórmula'!K7))*(INDEX(properties!A$1:CB$87,'Fórmula'!H7,56))+(('Fórmula'!K7)/('Fórmula'!C7+'Fórmula'!E7+'Fórmula'!G7+'Fórmula'!I7+'Fórmula'!K7))*(INDEX(properties!A$1:CB$87,'Fórmula'!J7,56))</f>
        <v>0.63075</v>
      </c>
      <c r="FU7" s="119">
        <f t="array" ref="FU7">'Fórmula'!C7*(INDEX(properties!A$1:CB$87,'Fórmula'!B7,56))+'Fórmula'!E7*(INDEX(properties!A$1:CB$87,'Fórmula'!D7,56))+'Fórmula'!G7*(INDEX(properties!A$1:CB$87,'Fórmula'!F7,56))+'Fórmula'!I7*(INDEX(properties!A$1:CB$87,'Fórmula'!H7,56))+'Fórmula'!K7*(INDEX(properties!A$1:CB$87,'Fórmula'!J7,56))</f>
        <v>10.092</v>
      </c>
      <c r="FV7" s="119">
        <f t="array" ref="FV7">VARP(IF(INDEX(properties!A$1:CB$87,'Fórmula'!B7,56)&lt;&gt;"",INDEX(properties!A$1:CB$87,'Fórmula'!B7,56)),IF(INDEX(properties!A$1:CB$87,'Fórmula'!D7,56)&lt;&gt;"",INDEX(properties!A$1:CB$87,'Fórmula'!D7,56)),IF(INDEX(properties!A$1:CB$87,'Fórmula'!F7,56)&lt;&gt;"",INDEX(properties!A$1:CB$87,'Fórmula'!F7,56)),IF(INDEX(properties!A$1:CB$87,'Fórmula'!H7,56)&lt;&gt;"",INDEX(properties!A$1:CB$87,'Fórmula'!H7,56)),IF(INDEX(properties!A$1:CB$87,'Fórmula'!J7,56)&lt;&gt;"",INDEX(properties!A$1:CB$87,'Fórmula'!J7,56)))</f>
        <v>0.11449216</v>
      </c>
      <c r="FW7" s="119">
        <f t="array" ref="FW7">MAX(INDEX(properties!A$1:CB$87,'Fórmula'!B7,56),INDEX(properties!A$1:CB$87,'Fórmula'!D7,56),INDEX(properties!A$1:CB$87,'Fórmula'!F7,56),INDEX(properties!A$1:CB$87,'Fórmula'!H7,56),INDEX(properties!A$1:CB$87,'Fórmula'!J7,56))</f>
        <v>0.92</v>
      </c>
      <c r="FX7" s="119">
        <f t="array" ref="FX7">MIN(IF(INDEX(properties!A$1:CB$87,'Fórmula'!B7,56)=0,10^6,INDEX(properties!A$1:CB$87,'Fórmula'!B7,56)),IF(INDEX(properties!A$1:CB$87,'Fórmula'!D7,56)=0,10^6,INDEX(properties!A$1:CB$87,'Fórmula'!D7,56)),IF(INDEX(properties!A$1:CB$87,'Fórmula'!F7,56)=0,10^6,INDEX(properties!A$1:CB$87,'Fórmula'!F7,56)),IF(INDEX(properties!A$1:CB$87,'Fórmula'!H7,56)=0,10^6,INDEX(properties!A$1:CB$87,'Fórmula'!H7,56)),IF(INDEX(properties!A$1:CB$87,'Fórmula'!J7,56)=0,10^6,INDEX(properties!A$1:CB$87,'Fórmula'!J7,56)))</f>
        <v>0.204</v>
      </c>
      <c r="FY7" s="119">
        <f t="shared" si="30"/>
        <v>0.716</v>
      </c>
      <c r="FZ7" s="104">
        <f t="array" ref="FZ7">(('Fórmula'!C7)/('Fórmula'!C7+'Fórmula'!E7+'Fórmula'!G7+'Fórmula'!I7+'Fórmula'!K7))*(INDEX(properties!A$1:CB$87,'Fórmula'!B7,57))+(('Fórmula'!E7)/('Fórmula'!C7+'Fórmula'!E7+'Fórmula'!G7+'Fórmula'!I7+'Fórmula'!K7))*(INDEX(properties!A$1:CB$87,'Fórmula'!D7,57))+(('Fórmula'!G7)/('Fórmula'!C7+'Fórmula'!E7+'Fórmula'!G7+'Fórmula'!I7+'Fórmula'!K7))*(INDEX(properties!A$1:CB$87,'Fórmula'!F7,57))+(('Fórmula'!I7)/('Fórmula'!C7+'Fórmula'!E7+'Fórmula'!G7+'Fórmula'!I7+'Fórmula'!K7))*(INDEX(properties!A$1:CB$87,'Fórmula'!H7,57))+(('Fórmula'!K7)/('Fórmula'!C7+'Fórmula'!E7+'Fórmula'!G7+'Fórmula'!I7+'Fórmula'!K7))*(INDEX(properties!A$1:CB$87,'Fórmula'!J7,57))</f>
        <v>4.428331875</v>
      </c>
      <c r="GA7" s="104">
        <f t="array" ref="GA7">'Fórmula'!C7*(INDEX(properties!A$1:CB$87,'Fórmula'!B7,57))+'Fórmula'!E7*(INDEX(properties!A$1:CB$87,'Fórmula'!D7,57))+'Fórmula'!G7*(INDEX(properties!A$1:CB$87,'Fórmula'!F7,57))+'Fórmula'!I7*(INDEX(properties!A$1:CB$87,'Fórmula'!H7,57))+'Fórmula'!K7*(INDEX(properties!A$1:CB$87,'Fórmula'!J7,57))</f>
        <v>70.85331</v>
      </c>
      <c r="GB7" s="104">
        <f t="array" ref="GB7">VARP(IF(INDEX(properties!A$1:CB$87,'Fórmula'!B7,57)&lt;&gt;"",INDEX(properties!A$1:CB$87,'Fórmula'!B7,57)),IF(INDEX(properties!A$1:CB$87,'Fórmula'!D7,57)&lt;&gt;"",INDEX(properties!A$1:CB$87,'Fórmula'!D7,57)),IF(INDEX(properties!A$1:CB$87,'Fórmula'!F7,57)&lt;&gt;"",INDEX(properties!A$1:CB$87,'Fórmula'!F7,57)),IF(INDEX(properties!A$1:CB$87,'Fórmula'!H7,57)&lt;&gt;"",INDEX(properties!A$1:CB$87,'Fórmula'!H7,57)),IF(INDEX(properties!A$1:CB$87,'Fórmula'!J7,57)&lt;&gt;"",INDEX(properties!A$1:CB$87,'Fórmula'!J7,57)))</f>
        <v>23.00251953</v>
      </c>
      <c r="GC7" s="104">
        <f t="array" ref="GC7">MAX(INDEX(properties!A$1:CB$87,'Fórmula'!B7,57),INDEX(properties!A$1:CB$87,'Fórmula'!D7,57),INDEX(properties!A$1:CB$87,'Fórmula'!F7,57),INDEX(properties!A$1:CB$87,'Fórmula'!H7,57),INDEX(properties!A$1:CB$87,'Fórmula'!J7,57))</f>
        <v>11.4</v>
      </c>
      <c r="GD7" s="104">
        <f t="array" ref="GD7">MIN(IF(INDEX(properties!A$1:CB$87,'Fórmula'!B7,57)=0,10^6,INDEX(properties!A$1:CB$87,'Fórmula'!B7,57)),IF(INDEX(properties!A$1:CB$87,'Fórmula'!D7,57)=0,10^6,INDEX(properties!A$1:CB$87,'Fórmula'!D7,57)),IF(INDEX(properties!A$1:CB$87,'Fórmula'!F7,57)=0,10^6,INDEX(properties!A$1:CB$87,'Fórmula'!F7,57)),IF(INDEX(properties!A$1:CB$87,'Fórmula'!H7,57)=0,10^6,INDEX(properties!A$1:CB$87,'Fórmula'!H7,57)),IF(INDEX(properties!A$1:CB$87,'Fórmula'!J7,57)=0,10^6,INDEX(properties!A$1:CB$87,'Fórmula'!J7,57)))</f>
        <v>0.22259</v>
      </c>
      <c r="GE7" s="104">
        <f t="shared" si="31"/>
        <v>11.17741</v>
      </c>
      <c r="GF7" s="105">
        <f t="array" ref="GF7">(('Fórmula'!C7)/('Fórmula'!C7+'Fórmula'!E7+'Fórmula'!G7+'Fórmula'!I7+'Fórmula'!K7))*(INDEX(properties!A$1:CB$87,'Fórmula'!B7,60))+(('Fórmula'!E7)/('Fórmula'!C7+'Fórmula'!E7+'Fórmula'!G7+'Fórmula'!I7+'Fórmula'!K7))*(INDEX(properties!A$1:CB$87,'Fórmula'!D7,60))+(('Fórmula'!G7)/('Fórmula'!C7+'Fórmula'!E7+'Fórmula'!G7+'Fórmula'!I7+'Fórmula'!K7))*(INDEX(properties!A$1:CB$87,'Fórmula'!F7,60))+(('Fórmula'!I7)/('Fórmula'!C7+'Fórmula'!E7+'Fórmula'!G7+'Fórmula'!I7+'Fórmula'!K7))*(INDEX(properties!A$1:CB$87,'Fórmula'!H7,60))+(('Fórmula'!K7)/('Fórmula'!C7+'Fórmula'!E7+'Fórmula'!G7+'Fórmula'!I7+'Fórmula'!K7))*(INDEX(properties!A$1:CB$87,'Fórmula'!J7,60))</f>
        <v>7.76504125</v>
      </c>
      <c r="GG7" s="105">
        <f t="array" ref="GG7">'Fórmula'!C7*(INDEX(properties!A$1:CB$87,'Fórmula'!B7,60))+'Fórmula'!E7*(INDEX(properties!A$1:CB$87,'Fórmula'!D7,60))+'Fórmula'!G7*(INDEX(properties!A$1:CB$87,'Fórmula'!F7,60))+'Fórmula'!I7*(INDEX(properties!A$1:CB$87,'Fórmula'!H7,60))+'Fórmula'!K7*(INDEX(properties!A$1:CB$87,'Fórmula'!J7,60))</f>
        <v>124.24066</v>
      </c>
      <c r="GH7" s="105">
        <f t="array" ref="GH7">VARP(IF(INDEX(properties!A$1:CB$87,'Fórmula'!B7,60)&lt;&gt;"",INDEX(properties!A$1:CB$87,'Fórmula'!B7,60)),IF(INDEX(properties!A$1:CB$87,'Fórmula'!D7,60)&lt;&gt;"",INDEX(properties!A$1:CB$87,'Fórmula'!D7,60)),IF(INDEX(properties!A$1:CB$87,'Fórmula'!F7,60)&lt;&gt;"",INDEX(properties!A$1:CB$87,'Fórmula'!F7,60)),IF(INDEX(properties!A$1:CB$87,'Fórmula'!H7,60)&lt;&gt;"",INDEX(properties!A$1:CB$87,'Fórmula'!H7,60)),IF(INDEX(properties!A$1:CB$87,'Fórmula'!J7,60)&lt;&gt;"",INDEX(properties!A$1:CB$87,'Fórmula'!J7,60)))</f>
        <v>76.10955888</v>
      </c>
      <c r="GI7" s="105">
        <f t="array" ref="GI7">MAX(INDEX(properties!A$1:CB$87,'Fórmula'!B7,60),INDEX(properties!A$1:CB$87,'Fórmula'!D7,60),INDEX(properties!A$1:CB$87,'Fórmula'!F7,60),INDEX(properties!A$1:CB$87,'Fórmula'!H7,60),INDEX(properties!A$1:CB$87,'Fórmula'!J7,60))</f>
        <v>18.4</v>
      </c>
      <c r="GJ7" s="105">
        <f t="array" ref="GJ7">MIN(IF(INDEX(properties!A$1:CB$87,'Fórmula'!B7,60)=0,10^6,INDEX(properties!A$1:CB$87,'Fórmula'!B7,60)),IF(INDEX(properties!A$1:CB$87,'Fórmula'!D7,60)=0,10^6,INDEX(properties!A$1:CB$87,'Fórmula'!D7,60)),IF(INDEX(properties!A$1:CB$87,'Fórmula'!F7,60)=0,10^6,INDEX(properties!A$1:CB$87,'Fórmula'!F7,60)),IF(INDEX(properties!A$1:CB$87,'Fórmula'!H7,60)=0,10^6,INDEX(properties!A$1:CB$87,'Fórmula'!H7,60)),IF(INDEX(properties!A$1:CB$87,'Fórmula'!J7,60)=0,10^6,INDEX(properties!A$1:CB$87,'Fórmula'!J7,60)))</f>
        <v>0.02674</v>
      </c>
      <c r="GK7" s="105">
        <f t="shared" si="32"/>
        <v>18.37326</v>
      </c>
      <c r="GL7" s="106">
        <f t="array" ref="GL7">(('Fórmula'!C7)/('Fórmula'!C7+'Fórmula'!E7+'Fórmula'!G7+'Fórmula'!I7+'Fórmula'!K7))*(INDEX(properties!A$1:CB$87,'Fórmula'!B7,62))+(('Fórmula'!E7)/('Fórmula'!C7+'Fórmula'!E7+'Fórmula'!G7+'Fórmula'!I7+'Fórmula'!K7))*(INDEX(properties!A$1:CB$87,'Fórmula'!D7,62))+(('Fórmula'!G7)/('Fórmula'!C7+'Fórmula'!E7+'Fórmula'!G7+'Fórmula'!I7+'Fórmula'!K7))*(INDEX(properties!A$1:CB$87,'Fórmula'!F7,62))+(('Fórmula'!I7)/('Fórmula'!C7+'Fórmula'!E7+'Fórmula'!G7+'Fórmula'!I7+'Fórmula'!K7))*(INDEX(properties!A$1:CB$87,'Fórmula'!H7,62))+(('Fórmula'!K7)/('Fórmula'!C7+'Fórmula'!E7+'Fórmula'!G7+'Fórmula'!I7+'Fórmula'!K7))*(INDEX(properties!A$1:CB$87,'Fórmula'!J7,62))</f>
        <v>2.9225</v>
      </c>
      <c r="GM7" s="106">
        <f t="array" ref="GM7">'Fórmula'!C7*(INDEX(properties!A$1:CB$87,'Fórmula'!B7,62))+'Fórmula'!E7*(INDEX(properties!A$1:CB$87,'Fórmula'!D7,62))+'Fórmula'!G7*(INDEX(properties!A$1:CB$87,'Fórmula'!F7,62))+'Fórmula'!I7*(INDEX(properties!A$1:CB$87,'Fórmula'!H7,62))+'Fórmula'!K7*(INDEX(properties!A$1:CB$87,'Fórmula'!J7,62))</f>
        <v>46.76</v>
      </c>
      <c r="GN7" s="106">
        <f t="array" ref="GN7">VARP(IF(INDEX(properties!A$1:CB$87,'Fórmula'!B7,62)&lt;&gt;"",INDEX(properties!A$1:CB$87,'Fórmula'!B7,62)),IF(INDEX(properties!A$1:CB$87,'Fórmula'!D7,62)&lt;&gt;"",INDEX(properties!A$1:CB$87,'Fórmula'!D7,62)),IF(INDEX(properties!A$1:CB$87,'Fórmula'!F7,62)&lt;&gt;"",INDEX(properties!A$1:CB$87,'Fórmula'!F7,62)),IF(INDEX(properties!A$1:CB$87,'Fórmula'!H7,62)&lt;&gt;"",INDEX(properties!A$1:CB$87,'Fórmula'!H7,62)),IF(INDEX(properties!A$1:CB$87,'Fórmula'!J7,62)&lt;&gt;"",INDEX(properties!A$1:CB$87,'Fórmula'!J7,62)))</f>
        <v>2.752976</v>
      </c>
      <c r="GO7" s="106">
        <f t="array" ref="GO7">MAX(INDEX(properties!A$1:CB$87,'Fórmula'!B7,62),INDEX(properties!A$1:CB$87,'Fórmula'!D7,62),INDEX(properties!A$1:CB$87,'Fórmula'!F7,62),INDEX(properties!A$1:CB$87,'Fórmula'!H7,62),INDEX(properties!A$1:CB$87,'Fórmula'!J7,62))</f>
        <v>4.37</v>
      </c>
      <c r="GP7" s="106">
        <f t="array" ref="GP7">MIN(IF(INDEX(properties!A$1:CB$87,'Fórmula'!B7,62)=0,10^6,INDEX(properties!A$1:CB$87,'Fórmula'!B7,62)),IF(INDEX(properties!A$1:CB$87,'Fórmula'!D7,62)=0,10^6,INDEX(properties!A$1:CB$87,'Fórmula'!D7,62)),IF(INDEX(properties!A$1:CB$87,'Fórmula'!F7,62)=0,10^6,INDEX(properties!A$1:CB$87,'Fórmula'!F7,62)),IF(INDEX(properties!A$1:CB$87,'Fórmula'!H7,62)=0,10^6,INDEX(properties!A$1:CB$87,'Fórmula'!H7,62)),IF(INDEX(properties!A$1:CB$87,'Fórmula'!J7,62)=0,10^6,INDEX(properties!A$1:CB$87,'Fórmula'!J7,62)))</f>
        <v>1.9</v>
      </c>
      <c r="GQ7" s="106">
        <f t="shared" si="33"/>
        <v>2.47</v>
      </c>
      <c r="GR7" s="106">
        <f>'Fórmula'!Q7</f>
        <v>167</v>
      </c>
      <c r="GS7" s="107">
        <f>'Fórmula'!P7</f>
        <v>4</v>
      </c>
      <c r="GT7" s="113">
        <f>'Fórmula'!O7</f>
        <v>5.64</v>
      </c>
      <c r="GU7" s="114">
        <f>AVERAGE('Fórmula'!R7/'Fórmula'!S7,'Fórmula'!S7/'Fórmula'!T7,'Fórmula'!T7/'Fórmula'!R7)</f>
        <v>3.159089368</v>
      </c>
      <c r="GV7" s="125">
        <f>'Fórmula'!U7</f>
        <v>1609.96</v>
      </c>
      <c r="GW7" s="106">
        <f>'Fórmula'!N7</f>
        <v>0.02</v>
      </c>
    </row>
    <row r="8" ht="14.25" customHeight="1">
      <c r="A8" s="99" t="str">
        <f>'Fórmula'!A8</f>
        <v>ZrO2</v>
      </c>
      <c r="B8" s="100">
        <f t="array" ref="B8">(('Fórmula'!C8)/('Fórmula'!C8+'Fórmula'!E8+'Fórmula'!G8+'Fórmula'!I8+'Fórmula'!K8))*(INDEX(properties!A$1:CB$87,'Fórmula'!B8,3))+(('Fórmula'!E8)/('Fórmula'!C8+'Fórmula'!E8+'Fórmula'!G8+'Fórmula'!I8+'Fórmula'!K8))*(INDEX(properties!A$1:CB$87,'Fórmula'!D8,3))+(('Fórmula'!G8)/('Fórmula'!C8+'Fórmula'!E8+'Fórmula'!G8+'Fórmula'!I8+'Fórmula'!K8))*(INDEX(properties!A$1:CB$87,'Fórmula'!F8,3))+(('Fórmula'!I8)/('Fórmula'!C8+'Fórmula'!E8+'Fórmula'!G8+'Fórmula'!I8+'Fórmula'!K8))*(INDEX(properties!A$1:CB$87,'Fórmula'!H8,3))+(('Fórmula'!K8)/('Fórmula'!C8+'Fórmula'!E8+'Fórmula'!G8+'Fórmula'!I8+'Fórmula'!K8))*(INDEX(properties!A$1:CB$87,'Fórmula'!J8,3))</f>
        <v>41.07426667</v>
      </c>
      <c r="C8" s="101">
        <f t="array" ref="C8">'Fórmula'!C8*(INDEX(properties!A$1:CB$87,'Fórmula'!B8,3))+'Fórmula'!E8*(INDEX(properties!A$1:CB$87,'Fórmula'!D8,3))+'Fórmula'!G8*(INDEX(properties!A$1:CB$87,'Fórmula'!F8,3))+'Fórmula'!I8*(INDEX(properties!A$1:CB$87,'Fórmula'!H8,3))+'Fórmula'!K8*(INDEX(properties!A$1:CB$87,'Fórmula'!J8,3))</f>
        <v>123.2228</v>
      </c>
      <c r="D8" s="101">
        <f t="array" ref="D8">VARP(IF(INDEX(properties!A$1:CB$87,'Fórmula'!B8,3)&lt;&gt;"",INDEX(properties!A$1:CB$87,'Fórmula'!B8,3)),IF(INDEX(properties!A$1:CB$87,'Fórmula'!D8,3)&lt;&gt;"",INDEX(properties!A$1:CB$87,'Fórmula'!D8,3)),IF(INDEX(properties!A$1:CB$87,'Fórmula'!F8,3)&lt;&gt;"",INDEX(properties!A$1:CB$87,'Fórmula'!F8,3)),IF(INDEX(properties!A$1:CB$87,'Fórmula'!H8,3)&lt;&gt;"",INDEX(properties!A$1:CB$87,'Fórmula'!H8,3)),IF(INDEX(properties!A$1:CB$87,'Fórmula'!J8,3)&lt;&gt;"",INDEX(properties!A$1:CB$87,'Fórmula'!J8,3)))</f>
        <v>1255.685495</v>
      </c>
      <c r="E8" s="101">
        <f t="array" ref="E8">MAX(INDEX(properties!A$1:CB$87,'Fórmula'!B8,3),INDEX(properties!A$1:CB$87,'Fórmula'!D8,3),INDEX(properties!A$1:CB$87,'Fórmula'!F8,3),INDEX(properties!A$1:CB$87,'Fórmula'!H8,3),INDEX(properties!A$1:CB$87,'Fórmula'!J8,3))</f>
        <v>91.224</v>
      </c>
      <c r="F8" s="101">
        <f t="array" ref="F8">MIN(IF(INDEX(properties!A$1:CB$87,'Fórmula'!B8,3)=0,10^6,INDEX(properties!A$1:CB$87,'Fórmula'!B8,3)),IF(INDEX(properties!A$1:CB$87,'Fórmula'!D8,3)=0,10^6,INDEX(properties!A$1:CB$87,'Fórmula'!D8,3)),IF(INDEX(properties!A$1:CB$87,'Fórmula'!F8,3)=0,10^6,INDEX(properties!A$1:CB$87,'Fórmula'!F8,3)),IF(INDEX(properties!A$1:CB$87,'Fórmula'!H8,3)=0,10^6,INDEX(properties!A$1:CB$87,'Fórmula'!H8,3)),IF(INDEX(properties!A$1:CB$87,'Fórmula'!J8,3)=0,10^6,INDEX(properties!A$1:CB$87,'Fórmula'!J8,3)))</f>
        <v>15.9994</v>
      </c>
      <c r="G8" s="101">
        <f t="shared" si="1"/>
        <v>75.2246</v>
      </c>
      <c r="H8" s="102">
        <f t="array" ref="H8">(('Fórmula'!C8)/('Fórmula'!C8+'Fórmula'!E8+'Fórmula'!G8+'Fórmula'!I8+'Fórmula'!K8))*(INDEX(properties!A$1:CB$87,'Fórmula'!B8,4))+(('Fórmula'!E8)/('Fórmula'!C8+'Fórmula'!E8+'Fórmula'!G8+'Fórmula'!I8+'Fórmula'!K8))*(INDEX(properties!A$1:CB$87,'Fórmula'!D8,4))+(('Fórmula'!G8)/('Fórmula'!C8+'Fórmula'!E8+'Fórmula'!G8+'Fórmula'!I8+'Fórmula'!K8))*(INDEX(properties!A$1:CB$87,'Fórmula'!F8,4))+(('Fórmula'!I8)/('Fórmula'!C8+'Fórmula'!E8+'Fórmula'!G8+'Fórmula'!I8+'Fórmula'!K8))*(INDEX(properties!A$1:CB$87,'Fórmula'!H8,4))+(('Fórmula'!K8)/('Fórmula'!C8+'Fórmula'!E8+'Fórmula'!G8+'Fórmula'!I8+'Fórmula'!K8))*(INDEX(properties!A$1:CB$87,'Fórmula'!J8,4))</f>
        <v>18.66666667</v>
      </c>
      <c r="I8" s="102">
        <f t="array" ref="I8">'Fórmula'!C8*(INDEX(properties!A$1:CB$87,'Fórmula'!B8,4))+'Fórmula'!E8*(INDEX(properties!A$1:CB$87,'Fórmula'!D8,4))+'Fórmula'!G8*(INDEX(properties!A$1:CB$87,'Fórmula'!F8,4))+'Fórmula'!I8*(INDEX(properties!A$1:CB$87,'Fórmula'!H8,4))+'Fórmula'!K8*(INDEX(properties!A$1:CB$87,'Fórmula'!J8,4))</f>
        <v>56</v>
      </c>
      <c r="J8" s="102">
        <f t="array" ref="J8">VARP(IF(INDEX(properties!A$1:CB$87,'Fórmula'!B8,4)&lt;&gt;"",INDEX(properties!A$1:CB$87,'Fórmula'!B8,4)),IF(INDEX(properties!A$1:CB$87,'Fórmula'!D8,4)&lt;&gt;"",INDEX(properties!A$1:CB$87,'Fórmula'!D8,4)),IF(INDEX(properties!A$1:CB$87,'Fórmula'!F8,4)&lt;&gt;"",INDEX(properties!A$1:CB$87,'Fórmula'!F8,4)),IF(INDEX(properties!A$1:CB$87,'Fórmula'!H8,4)&lt;&gt;"",INDEX(properties!A$1:CB$87,'Fórmula'!H8,4)),IF(INDEX(properties!A$1:CB$87,'Fórmula'!J8,4)&lt;&gt;"",INDEX(properties!A$1:CB$87,'Fórmula'!J8,4)))</f>
        <v>240.64</v>
      </c>
      <c r="K8" s="102">
        <f t="array" ref="K8">MAX(INDEX(properties!A$1:CB$87,'Fórmula'!B8,4),INDEX(properties!A$1:CB$87,'Fórmula'!D8,4),INDEX(properties!A$1:CB$87,'Fórmula'!F8,4),INDEX(properties!A$1:CB$87,'Fórmula'!H8,4),INDEX(properties!A$1:CB$87,'Fórmula'!J8,4))</f>
        <v>40</v>
      </c>
      <c r="L8" s="102">
        <f t="array" ref="L8">MIN(IF(INDEX(properties!A$1:CB$87,'Fórmula'!B8,4)=0,10^6,INDEX(properties!A$1:CB$87,'Fórmula'!B8,4)),IF(INDEX(properties!A$1:CB$87,'Fórmula'!D8,4)=0,10^6,INDEX(properties!A$1:CB$87,'Fórmula'!D8,4)),IF(INDEX(properties!A$1:CB$87,'Fórmula'!F8,4)=0,10^6,INDEX(properties!A$1:CB$87,'Fórmula'!F8,4)),IF(INDEX(properties!A$1:CB$87,'Fórmula'!H8,4)=0,10^6,INDEX(properties!A$1:CB$87,'Fórmula'!H8,4)),IF(INDEX(properties!A$1:CB$87,'Fórmula'!J8,4)=0,10^6,INDEX(properties!A$1:CB$87,'Fórmula'!J8,4)))</f>
        <v>8</v>
      </c>
      <c r="M8" s="102">
        <f t="shared" si="2"/>
        <v>32</v>
      </c>
      <c r="N8" s="103">
        <f t="array" ref="N8">(('Fórmula'!C8)/('Fórmula'!C8+'Fórmula'!E8+'Fórmula'!G8+'Fórmula'!I8+'Fórmula'!K8))*(INDEX(properties!A$1:CB$87,'Fórmula'!B8,5))+(('Fórmula'!E8)/('Fórmula'!C8+'Fórmula'!E8+'Fórmula'!G8+'Fórmula'!I8+'Fórmula'!K8))*(INDEX(properties!A$1:CB$87,'Fórmula'!D8,5))+(('Fórmula'!G8)/('Fórmula'!C8+'Fórmula'!E8+'Fórmula'!G8+'Fórmula'!I8+'Fórmula'!K8))*(INDEX(properties!A$1:CB$87,'Fórmula'!F8,5))+(('Fórmula'!I8)/('Fórmula'!C8+'Fórmula'!E8+'Fórmula'!G8+'Fórmula'!I8+'Fórmula'!K8))*(INDEX(properties!A$1:CB$87,'Fórmula'!H8,5))+(('Fórmula'!K8)/('Fórmula'!C8+'Fórmula'!E8+'Fórmula'!G8+'Fórmula'!I8+'Fórmula'!K8))*(INDEX(properties!A$1:CB$87,'Fórmula'!J8,5))</f>
        <v>3</v>
      </c>
      <c r="O8" s="103">
        <f t="array" ref="O8">'Fórmula'!C8*(INDEX(properties!A$1:CB$87,'Fórmula'!B8,5))+'Fórmula'!E8*(INDEX(properties!A$1:CB$87,'Fórmula'!D8,5))+'Fórmula'!G8*(INDEX(properties!A$1:CB$87,'Fórmula'!F8,5))+'Fórmula'!I8*(INDEX(properties!A$1:CB$87,'Fórmula'!H8,5))+'Fórmula'!K8*(INDEX(properties!A$1:CB$87,'Fórmula'!J8,5))</f>
        <v>9</v>
      </c>
      <c r="P8" s="103">
        <f t="array" ref="P8">VARP(IF(INDEX(properties!A$1:CB$87,'Fórmula'!B8,5)&lt;&gt;"",INDEX(properties!A$1:CB$87,'Fórmula'!B8,5)),IF(INDEX(properties!A$1:CB$87,'Fórmula'!D8,5)&lt;&gt;"",INDEX(properties!A$1:CB$87,'Fórmula'!D8,5)),IF(INDEX(properties!A$1:CB$87,'Fórmula'!F8,5)&lt;&gt;"",INDEX(properties!A$1:CB$87,'Fórmula'!F8,5)),IF(INDEX(properties!A$1:CB$87,'Fórmula'!H8,5)&lt;&gt;"",INDEX(properties!A$1:CB$87,'Fórmula'!H8,5)),IF(INDEX(properties!A$1:CB$87,'Fórmula'!J8,5)&lt;&gt;"",INDEX(properties!A$1:CB$87,'Fórmula'!J8,5)))</f>
        <v>3.84</v>
      </c>
      <c r="Q8" s="103">
        <f t="array" ref="Q8">MAX(INDEX(properties!A$1:CB$87,'Fórmula'!B8,5),INDEX(properties!A$1:CB$87,'Fórmula'!D8,5),INDEX(properties!A$1:CB$87,'Fórmula'!F8,5),INDEX(properties!A$1:CB$87,'Fórmula'!H8,5),INDEX(properties!A$1:CB$87,'Fórmula'!J8,5))</f>
        <v>5</v>
      </c>
      <c r="R8" s="103">
        <f t="array" ref="R8">MIN(IF(INDEX(properties!A$1:CB$87,'Fórmula'!B8,5)=0,10^6,INDEX(properties!A$1:CB$87,'Fórmula'!B8,5)),IF(INDEX(properties!A$1:CB$87,'Fórmula'!D8,5)=0,10^6,INDEX(properties!A$1:CB$87,'Fórmula'!D8,5)),IF(INDEX(properties!A$1:CB$87,'Fórmula'!F8,5)=0,10^6,INDEX(properties!A$1:CB$87,'Fórmula'!F8,5)),IF(INDEX(properties!A$1:CB$87,'Fórmula'!H8,5)=0,10^6,INDEX(properties!A$1:CB$87,'Fórmula'!H8,5)),IF(INDEX(properties!A$1:CB$87,'Fórmula'!J8,5)=0,10^6,INDEX(properties!A$1:CB$87,'Fórmula'!J8,5)))</f>
        <v>2</v>
      </c>
      <c r="S8" s="103">
        <f t="shared" si="3"/>
        <v>3</v>
      </c>
      <c r="T8" s="104">
        <f t="array" ref="T8">(('Fórmula'!C8)/('Fórmula'!C8+'Fórmula'!E8+'Fórmula'!G8+'Fórmula'!I8+'Fórmula'!K8))*(INDEX(properties!A$1:CB$87,'Fórmula'!B8,6))+(('Fórmula'!E8)/('Fórmula'!C8+'Fórmula'!E8+'Fórmula'!G8+'Fórmula'!I8+'Fórmula'!K8))*(INDEX(properties!A$1:CB$87,'Fórmula'!D8,6))+(('Fórmula'!G8)/('Fórmula'!C8+'Fórmula'!E8+'Fórmula'!G8+'Fórmula'!I8+'Fórmula'!K8))*(INDEX(properties!A$1:CB$87,'Fórmula'!F8,6))+(('Fórmula'!I8)/('Fórmula'!C8+'Fórmula'!E8+'Fórmula'!G8+'Fórmula'!I8+'Fórmula'!K8))*(INDEX(properties!A$1:CB$87,'Fórmula'!H8,6))+(('Fórmula'!K8)/('Fórmula'!C8+'Fórmula'!E8+'Fórmula'!G8+'Fórmula'!I8+'Fórmula'!K8))*(INDEX(properties!A$1:CB$87,'Fórmula'!J8,6))</f>
        <v>12</v>
      </c>
      <c r="U8" s="104">
        <f t="array" ref="U8">'Fórmula'!C8*(INDEX(properties!A$1:CB$87,'Fórmula'!B8,6))+'Fórmula'!E8*(INDEX(properties!A$1:CB$87,'Fórmula'!D8,6))+'Fórmula'!G8*(INDEX(properties!A$1:CB$87,'Fórmula'!F8,6))+'Fórmula'!I8*(INDEX(properties!A$1:CB$87,'Fórmula'!H8,6))+'Fórmula'!K8*(INDEX(properties!A$1:CB$87,'Fórmula'!J8,6))</f>
        <v>36</v>
      </c>
      <c r="V8" s="103">
        <f t="array" ref="V8">VARP(IF(INDEX(properties!A$1:CB$87,'Fórmula'!B8,6)&lt;&gt;"",INDEX(properties!A$1:CB$87,'Fórmula'!B8,6)),IF(INDEX(properties!A$1:CB$87,'Fórmula'!D8,6)&lt;&gt;"",INDEX(properties!A$1:CB$87,'Fórmula'!D8,6)),IF(INDEX(properties!A$1:CB$87,'Fórmula'!F8,6)&lt;&gt;"",INDEX(properties!A$1:CB$87,'Fórmula'!F8,6)),IF(INDEX(properties!A$1:CB$87,'Fórmula'!H8,6)&lt;&gt;"",INDEX(properties!A$1:CB$87,'Fórmula'!H8,6)),IF(INDEX(properties!A$1:CB$87,'Fórmula'!J8,6)&lt;&gt;"",INDEX(properties!A$1:CB$87,'Fórmula'!J8,6)))</f>
        <v>38.4</v>
      </c>
      <c r="W8" s="104">
        <f t="array" ref="W8">MAX(INDEX(properties!A$1:CB$87,'Fórmula'!B8,6),INDEX(properties!A$1:CB$87,'Fórmula'!D8,6),INDEX(properties!A$1:CB$87,'Fórmula'!F8,6),INDEX(properties!A$1:CB$87,'Fórmula'!H8,4),INDEX(properties!A$1:CB$87,'Fórmula'!J8,6))</f>
        <v>16</v>
      </c>
      <c r="X8" s="104">
        <f t="array" ref="X8">MIN(IF(INDEX(properties!A$1:CB$87,'Fórmula'!B8,6)=0,10^6,INDEX(properties!A$1:CB$87,'Fórmula'!B8,6)),IF(INDEX(properties!A$1:CB$87,'Fórmula'!D8,6)=0,10^6,INDEX(properties!A$1:CB$87,'Fórmula'!D8,6)),IF(INDEX(properties!A$1:CB$87,'Fórmula'!F8,6)=0,10^6,INDEX(properties!A$1:CB$87,'Fórmula'!F8,6)),IF(INDEX(properties!A$1:CB$87,'Fórmula'!H8,6)=0,10^6,INDEX(properties!A$1:CB$87,'Fórmula'!H8,6)),IF(INDEX(properties!A$1:CB$87,'Fórmula'!J8,6)=0,10^6,INDEX(properties!A$1:CB$87,'Fórmula'!J8,6)))</f>
        <v>4</v>
      </c>
      <c r="Y8" s="104">
        <f t="shared" si="4"/>
        <v>12</v>
      </c>
      <c r="Z8" s="105">
        <f t="array" ref="Z8">(('Fórmula'!C8)/('Fórmula'!C8+'Fórmula'!E8+'Fórmula'!G8+'Fórmula'!I8+'Fórmula'!K8))*(INDEX(properties!A$1:CB$87,'Fórmula'!B8,9))+(('Fórmula'!E8)/('Fórmula'!C8+'Fórmula'!E8+'Fórmula'!G8+'Fórmula'!I8+'Fórmula'!K8))*(INDEX(properties!A$1:CB$87,'Fórmula'!D8,9))+(('Fórmula'!G8)/('Fórmula'!C8+'Fórmula'!E8+'Fórmula'!G8+'Fórmula'!I8+'Fórmula'!K8))*(INDEX(properties!A$1:CB$87,'Fórmula'!F8,9))+(('Fórmula'!I8)/('Fórmula'!C8+'Fórmula'!E8+'Fórmula'!G8+'Fórmula'!I8+'Fórmula'!K8))*(INDEX(properties!A$1:CB$87,'Fórmula'!H8,9))+(('Fórmula'!K8)/('Fórmula'!C8+'Fórmula'!E8+'Fórmula'!G8+'Fórmula'!I8+'Fórmula'!K8))*(INDEX(properties!A$1:CB$87,'Fórmula'!J8,9))</f>
        <v>72.66666667</v>
      </c>
      <c r="AA8" s="105">
        <f t="array" ref="AA8">'Fórmula'!C8*(INDEX(properties!A$1:CB$87,'Fórmula'!B8,9))+'Fórmula'!E8*(INDEX(properties!A$1:CB$87,'Fórmula'!D8,9))+'Fórmula'!G8*(INDEX(properties!A$1:CB$87,'Fórmula'!F8,9))+'Fórmula'!I8*(INDEX(properties!A$1:CB$87,'Fórmula'!H8,9))+'Fórmula'!K8*(INDEX(properties!A$1:CB$87,'Fórmula'!J8,9))</f>
        <v>218</v>
      </c>
      <c r="AB8" s="105">
        <f t="array" ref="AB8">VARP(IF(INDEX(properties!A$1:CB$87,'Fórmula'!B8,9)&lt;&gt;"",INDEX(properties!A$1:CB$87,'Fórmula'!B8,9)),IF(INDEX(properties!A$1:CB$87,'Fórmula'!D8,9)&lt;&gt;"",INDEX(properties!A$1:CB$87,'Fórmula'!D8,9)),IF(INDEX(properties!A$1:CB$87,'Fórmula'!F8,9)&lt;&gt;"",INDEX(properties!A$1:CB$87,'Fórmula'!F8,9)),IF(INDEX(properties!A$1:CB$87,'Fórmula'!H8,9)&lt;&gt;"",INDEX(properties!A$1:CB$87,'Fórmula'!H8,9)),IF(INDEX(properties!A$1:CB$87,'Fórmula'!J8,9)&lt;&gt;"",INDEX(properties!A$1:CB$87,'Fórmula'!J8,9)))</f>
        <v>1214.56</v>
      </c>
      <c r="AC8" s="105">
        <f t="array" ref="AC8">MAX(INDEX(properties!A$1:CB$87,'Fórmula'!B8,9),INDEX(properties!A$1:CB$87,'Fórmula'!D8,9),INDEX(properties!A$1:CB$87,'Fórmula'!F8,9),INDEX(properties!A$1:CB$87,'Fórmula'!H8,9),INDEX(properties!A$1:CB$87,'Fórmula'!J8,9))</f>
        <v>87</v>
      </c>
      <c r="AD8" s="105">
        <f t="array" ref="AD8">MIN(IF(INDEX(properties!A$1:CB$87,'Fórmula'!B8,9)=0,10^6,INDEX(properties!A$1:CB$87,'Fórmula'!B8,9)),IF(INDEX(properties!A$1:CB$87,'Fórmula'!D8,9)=0,10^6,INDEX(properties!A$1:CB$87,'Fórmula'!D8,9)),IF(INDEX(properties!A$1:CB$87,'Fórmula'!F8,9)=0,10^6,INDEX(properties!A$1:CB$87,'Fórmula'!F8,9)),IF(INDEX(properties!A$1:CB$87,'Fórmula'!H8,9)=0,10^6,INDEX(properties!A$1:CB$87,'Fórmula'!H8,9)),IF(INDEX(properties!A$1:CB$87,'Fórmula'!J8,9)=0,10^6,INDEX(properties!A$1:CB$87,'Fórmula'!J8,9)))</f>
        <v>44</v>
      </c>
      <c r="AE8" s="105">
        <f t="shared" si="5"/>
        <v>43</v>
      </c>
      <c r="AF8" s="106">
        <f t="array" ref="AF8">(('Fórmula'!C8)/('Fórmula'!C8+'Fórmula'!E8+'Fórmula'!G8+'Fórmula'!I8+'Fórmula'!K8))*(INDEX(properties!A$1:CB$87,'Fórmula'!B8,10))+(('Fórmula'!E8)/('Fórmula'!C8+'Fórmula'!E8+'Fórmula'!G8+'Fórmula'!I8+'Fórmula'!K8))*(INDEX(properties!A$1:CB$87,'Fórmula'!D8,10))+(('Fórmula'!G8)/('Fórmula'!C8+'Fórmula'!E8+'Fórmula'!G8+'Fórmula'!I8+'Fórmula'!K8))*(INDEX(properties!A$1:CB$87,'Fórmula'!F8,10))+(('Fórmula'!I8)/('Fórmula'!C8+'Fórmula'!E8+'Fórmula'!G8+'Fórmula'!I8+'Fórmula'!K8))*(INDEX(properties!A$1:CB$87,'Fórmula'!H8,10))+(('Fórmula'!K8)/('Fórmula'!C8+'Fórmula'!E8+'Fórmula'!G8+'Fórmula'!I8+'Fórmula'!K8))*(INDEX(properties!A$1:CB$87,'Fórmula'!J8,10))</f>
        <v>6</v>
      </c>
      <c r="AG8" s="106">
        <f t="array" ref="AG8">'Fórmula'!C8*(INDEX(properties!A$1:CB$87,'Fórmula'!B8,10))+'Fórmula'!E8*(INDEX(properties!A$1:CB$87,'Fórmula'!D8,10))+'Fórmula'!G8*(INDEX(properties!A$1:CB$87,'Fórmula'!F8,10))+'Fórmula'!I8*(INDEX(properties!A$1:CB$87,'Fórmula'!H8,10))+'Fórmula'!K8*(INDEX(properties!A$1:CB$87,'Fórmula'!J8,10))</f>
        <v>18</v>
      </c>
      <c r="AH8" s="106">
        <f t="array" ref="AH8">VARP(IF(INDEX(properties!A$1:CB$87,'Fórmula'!B8,10)&lt;&gt;"",INDEX(properties!A$1:CB$87,'Fórmula'!B8,10)),IF(INDEX(properties!A$1:CB$87,'Fórmula'!D8,10)&lt;&gt;"",INDEX(properties!A$1:CB$87,'Fórmula'!D8,10)),IF(INDEX(properties!A$1:CB$87,'Fórmula'!F8,10)&lt;&gt;"",INDEX(properties!A$1:CB$87,'Fórmula'!F8,10)),IF(INDEX(properties!A$1:CB$87,'Fórmula'!H8,10)&lt;&gt;"",INDEX(properties!A$1:CB$87,'Fórmula'!H8,10)),IF(INDEX(properties!A$1:CB$87,'Fórmula'!J8,10)&lt;&gt;"",INDEX(properties!A$1:CB$87,'Fórmula'!J8,10)))</f>
        <v>8.16</v>
      </c>
      <c r="AI8" s="106">
        <f t="array" ref="AI8">MAX(INDEX(properties!A$1:CB$87,'Fórmula'!B8,10),INDEX(properties!A$1:CB$87,'Fórmula'!D8,10),INDEX(properties!A$1:CB$87,'Fórmula'!F8,10),INDEX(properties!A$1:CB$87,'Fórmula'!H8,10),INDEX(properties!A$1:CB$87,'Fórmula'!J8,10))</f>
        <v>7</v>
      </c>
      <c r="AJ8" s="106">
        <f t="array" ref="AJ8">MIN(IF(INDEX(properties!A$1:CB$87,'Fórmula'!B8,10)=0,10^6,INDEX(properties!A$1:CB$87,'Fórmula'!B8,10)),IF(INDEX(properties!A$1:CB$87,'Fórmula'!D8,10)=0,10^6,INDEX(properties!A$1:CB$87,'Fórmula'!D8,10)),IF(INDEX(properties!A$1:CB$87,'Fórmula'!F8,10)=0,10^6,INDEX(properties!A$1:CB$87,'Fórmula'!F8,10)),IF(INDEX(properties!A$1:CB$87,'Fórmula'!H8,10)=0,10^6,INDEX(properties!A$1:CB$87,'Fórmula'!H8,10)),IF(INDEX(properties!A$1:CB$87,'Fórmula'!J8,10)=0,10^6,INDEX(properties!A$1:CB$87,'Fórmula'!J8,10)))</f>
        <v>4</v>
      </c>
      <c r="AK8" s="106">
        <f t="shared" si="6"/>
        <v>3</v>
      </c>
      <c r="AL8" s="107">
        <f t="array" ref="AL8">(('Fórmula'!C8)/('Fórmula'!C8+'Fórmula'!E8+'Fórmula'!G8+'Fórmula'!I8+'Fórmula'!K8))*(INDEX(properties!A$1:CB$87,'Fórmula'!B8,11))+(('Fórmula'!E8)/('Fórmula'!C8+'Fórmula'!E8+'Fórmula'!G8+'Fórmula'!I8+'Fórmula'!K8))*(INDEX(properties!A$1:CB$87,'Fórmula'!D8,11))+(('Fórmula'!G8)/('Fórmula'!C8+'Fórmula'!E8+'Fórmula'!G8+'Fórmula'!I8+'Fórmula'!K8))*(INDEX(properties!A$1:CB$87,'Fórmula'!F8,11))+(('Fórmula'!I8)/('Fórmula'!C8+'Fórmula'!E8+'Fórmula'!G8+'Fórmula'!I8+'Fórmula'!K8))*(INDEX(properties!A$1:CB$87,'Fórmula'!H8,11))+(('Fórmula'!K8)/('Fórmula'!C8+'Fórmula'!E8+'Fórmula'!G8+'Fórmula'!I8+'Fórmula'!K8))*(INDEX(properties!A$1:CB$87,'Fórmula'!J8,11))</f>
        <v>2</v>
      </c>
      <c r="AM8" s="107">
        <f t="array" ref="AM8">'Fórmula'!C8*(INDEX(properties!A$1:CB$87,'Fórmula'!B8,11))+'Fórmula'!E8*(INDEX(properties!A$1:CB$87,'Fórmula'!D8,11))+'Fórmula'!G8*(INDEX(properties!A$1:CB$87,'Fórmula'!F8,11))+'Fórmula'!I8*(INDEX(properties!A$1:CB$87,'Fórmula'!H8,11))+'Fórmula'!K8*(INDEX(properties!A$1:CB$87,'Fórmula'!J8,11))</f>
        <v>6</v>
      </c>
      <c r="AN8" s="107">
        <f t="array" ref="AN8">VARP(IF(INDEX(properties!A$1:CB$87,'Fórmula'!B8,11)&lt;&gt;"",INDEX(properties!A$1:CB$87,'Fórmula'!B8,11)),IF(INDEX(properties!A$1:CB$87,'Fórmula'!D8,11)&lt;&gt;"",INDEX(properties!A$1:CB$87,'Fórmula'!D8,11)),IF(INDEX(properties!A$1:CB$87,'Fórmula'!F8,11)&lt;&gt;"",INDEX(properties!A$1:CB$87,'Fórmula'!F8,11)),IF(INDEX(properties!A$1:CB$87,'Fórmula'!H8,11)&lt;&gt;"",INDEX(properties!A$1:CB$87,'Fórmula'!H8,11)),IF(INDEX(properties!A$1:CB$87,'Fórmula'!J8,11)&lt;&gt;"",INDEX(properties!A$1:CB$87,'Fórmula'!J8,11)))</f>
        <v>0.96</v>
      </c>
      <c r="AO8" s="107">
        <f t="array" ref="AO8">MAX(INDEX(properties!A$1:CB$87,'Fórmula'!B8,11),INDEX(properties!A$1:CB$87,'Fórmula'!D8,11),INDEX(properties!A$1:CB$87,'Fórmula'!F8,11),INDEX(properties!A$1:CB$87,'Fórmula'!H8,11),INDEX(properties!A$1:CB$87,'Fórmula'!J8,11))</f>
        <v>2</v>
      </c>
      <c r="AP8" s="107">
        <f t="array" ref="AP8">MIN(IF('Fórmula'!B8=87,10^6,INDEX(properties!A$1:CB$87,'Fórmula'!B8,11)),IF(('Fórmula'!D8)=87,10^6,INDEX(properties!A$1:CB$87,'Fórmula'!D8,11)),IF(('Fórmula'!F8)=87,10^6,INDEX(properties!A$1:CB$87,'Fórmula'!F8,11)),IF(('Fórmula'!H8)=87,10^6,INDEX(properties!A$1:CB$87,'Fórmula'!H8,11)),IF('Fórmula'!J8=87,10^6,INDEX(properties!A$1:CB$87,'Fórmula'!J8,11)))</f>
        <v>2</v>
      </c>
      <c r="AQ8" s="107">
        <f t="shared" si="7"/>
        <v>0</v>
      </c>
      <c r="AR8" s="108">
        <f t="array" ref="AR8">(('Fórmula'!C8)/('Fórmula'!C8+'Fórmula'!E8+'Fórmula'!G8+'Fórmula'!I8+'Fórmula'!K8))*(INDEX(properties!A$1:CB$87,'Fórmula'!B8,12))+(('Fórmula'!E8)/('Fórmula'!C8+'Fórmula'!E8+'Fórmula'!G8+'Fórmula'!I8+'Fórmula'!K8))*(INDEX(properties!A$1:CB$87,'Fórmula'!D8,12))+(('Fórmula'!G8)/('Fórmula'!C8+'Fórmula'!E8+'Fórmula'!G8+'Fórmula'!I8+'Fórmula'!K8))*(INDEX(properties!A$1:CB$87,'Fórmula'!F8,12))+(('Fórmula'!I8)/('Fórmula'!C8+'Fórmula'!E8+'Fórmula'!G8+'Fórmula'!I8+'Fórmula'!K8))*(INDEX(properties!A$1:CB$87,'Fórmula'!H8,12))+(('Fórmula'!K8)/('Fórmula'!C8+'Fórmula'!E8+'Fórmula'!G8+'Fórmula'!I8+'Fórmula'!K8))*(INDEX(properties!A$1:CB$87,'Fórmula'!J8,12))</f>
        <v>2.666666667</v>
      </c>
      <c r="AS8" s="108">
        <f t="array" ref="AS8">'Fórmula'!C8*(INDEX(properties!A$1:CB$87,'Fórmula'!B8,12))+'Fórmula'!E8*(INDEX(properties!A$1:CB$87,'Fórmula'!D8,12))+'Fórmula'!G8*(INDEX(properties!A$1:CB$87,'Fórmula'!F8,12))+'Fórmula'!I8*(INDEX(properties!A$1:CB$87,'Fórmula'!H8,12))+'Fórmula'!K8*(INDEX(properties!A$1:CB$87,'Fórmula'!J8,12))</f>
        <v>8</v>
      </c>
      <c r="AT8" s="108">
        <f t="array" ref="AT8">VARP(IF(INDEX(properties!A$1:CB$87,'Fórmula'!B8,12)&lt;&gt;"",INDEX(properties!A$1:CB$87,'Fórmula'!B8,12)),IF(INDEX(properties!A$1:CB$87,'Fórmula'!D8,12)&lt;&gt;"",INDEX(properties!A$1:CB$87,'Fórmula'!D8,12)),IF(INDEX(properties!A$1:CB$87,'Fórmula'!F8,12)&lt;&gt;"",INDEX(properties!A$1:CB$87,'Fórmula'!F8,12)),IF(INDEX(properties!A$1:CB$87,'Fórmula'!H8,12)&lt;&gt;"",INDEX(properties!A$1:CB$87,'Fórmula'!H8,12)),IF(INDEX(properties!A$1:CB$87,'Fórmula'!J8,12)&lt;&gt;"",INDEX(properties!A$1:CB$87,'Fórmula'!J8,12)))</f>
        <v>2.56</v>
      </c>
      <c r="AU8" s="108">
        <f t="array" ref="AU8">MAX(INDEX(properties!A$1:CB$87,'Fórmula'!B8,12),INDEX(properties!A$1:CB$87,'Fórmula'!D8,12),INDEX(properties!A$1:CB$87,'Fórmula'!F8,12),INDEX(properties!A$1:CB$87,'Fórmula'!H8,12),INDEX(properties!A$1:CB$87,'Fórmula'!J8,12))</f>
        <v>4</v>
      </c>
      <c r="AV8" s="108">
        <f t="array" ref="AV8">MIN(IF('Fórmula'!B8=87,10^6,INDEX(properties!A$1:CB$87,'Fórmula'!B8,12)),IF(('Fórmula'!D8)=87,10^6,INDEX(properties!A$1:CB$87,'Fórmula'!D8,12)),IF(('Fórmula'!F8)=87,10^6,INDEX(properties!A$1:CB$87,'Fórmula'!F8,12)),IF(('Fórmula'!H8)=87,10^6,INDEX(properties!A$1:CB$87,'Fórmula'!H8,12)),IF('Fórmula'!J8=87,10^6,INDEX(properties!A$1:CB$87,'Fórmula'!J8,12)))</f>
        <v>0</v>
      </c>
      <c r="AW8" s="108">
        <f t="shared" si="8"/>
        <v>4</v>
      </c>
      <c r="AX8" s="109">
        <f t="array" ref="AX8">(('Fórmula'!C8)/('Fórmula'!C8+'Fórmula'!E8+'Fórmula'!G8+'Fórmula'!I8+'Fórmula'!K8))*(INDEX(properties!A$1:CB$87,'Fórmula'!B8,13))+(('Fórmula'!E8)/('Fórmula'!C8+'Fórmula'!E8+'Fórmula'!G8+'Fórmula'!I8+'Fórmula'!K8))*(INDEX(properties!A$1:CB$87,'Fórmula'!D8,13))+(('Fórmula'!G8)/('Fórmula'!C8+'Fórmula'!E8+'Fórmula'!G8+'Fórmula'!I8+'Fórmula'!K8))*(INDEX(properties!A$1:CB$87,'Fórmula'!F8,13))+(('Fórmula'!I8)/('Fórmula'!C8+'Fórmula'!E8+'Fórmula'!G8+'Fórmula'!I8+'Fórmula'!K8))*(INDEX(properties!A$1:CB$87,'Fórmula'!H8,13))+(('Fórmula'!K8)/('Fórmula'!C8+'Fórmula'!E8+'Fórmula'!G8+'Fórmula'!I8+'Fórmula'!K8))*(INDEX(properties!A$1:CB$87,'Fórmula'!J8,13))</f>
        <v>0.6666666667</v>
      </c>
      <c r="AY8" s="109">
        <f t="array" ref="AY8">'Fórmula'!C8*(INDEX(properties!A$1:CB$87,'Fórmula'!B8,13))+'Fórmula'!E8*(INDEX(properties!A$1:CB$87,'Fórmula'!D8,13))+'Fórmula'!G8*(INDEX(properties!A$1:CB$87,'Fórmula'!F8,13))+'Fórmula'!I8*(INDEX(properties!A$1:CB$87,'Fórmula'!H8,13))+'Fórmula'!K8*(INDEX(properties!A$1:CB$87,'Fórmula'!J8,13))</f>
        <v>2</v>
      </c>
      <c r="AZ8" s="109">
        <f t="array" ref="AZ8">VARP(IF(INDEX(properties!A$1:CB$87,'Fórmula'!B8,13)&lt;&gt;"",INDEX(properties!A$1:CB$87,'Fórmula'!B8,13)),IF(INDEX(properties!A$1:CB$87,'Fórmula'!D8,13)&lt;&gt;"",INDEX(properties!A$1:CB$87,'Fórmula'!D8,13)),IF(INDEX(properties!A$1:CB$87,'Fórmula'!F8,13)&lt;&gt;"",INDEX(properties!A$1:CB$87,'Fórmula'!F8,13)),IF(INDEX(properties!A$1:CB$87,'Fórmula'!H8,13)&lt;&gt;"",INDEX(properties!A$1:CB$87,'Fórmula'!H8,13)),IF(INDEX(properties!A$1:CB$87,'Fórmula'!J8,13)&lt;&gt;"",INDEX(properties!A$1:CB$87,'Fórmula'!J8,13)))</f>
        <v>0.64</v>
      </c>
      <c r="BA8" s="109">
        <f t="array" ref="BA8">MAX(INDEX(properties!A$1:CB$87,'Fórmula'!B8,13),INDEX(properties!A$1:CB$87,'Fórmula'!D8,13),INDEX(properties!A$1:CB$87,'Fórmula'!F8,13),INDEX(properties!A$1:CB$87,'Fórmula'!H8,13),INDEX(properties!A$1:CB$87,'Fórmula'!J8,13))</f>
        <v>2</v>
      </c>
      <c r="BB8" s="109">
        <f t="array" ref="BB8">MIN(IF('Fórmula'!B8=87,10^6,INDEX(properties!A$1:CB$87,'Fórmula'!B8,13)),IF(('Fórmula'!D8)=87,10^6,INDEX(properties!A$1:CB$87,'Fórmula'!D8,13)),IF(('Fórmula'!F8)=87,10^6,INDEX(properties!A$1:CB$87,'Fórmula'!F8,13)),IF(('Fórmula'!H8)=87,10^6,INDEX(properties!A$1:CB$87,'Fórmula'!H8,13)),IF('Fórmula'!J8=87,10^6,INDEX(properties!A$1:CB$87,'Fórmula'!J8,13)))</f>
        <v>0</v>
      </c>
      <c r="BC8" s="109">
        <f t="shared" si="9"/>
        <v>2</v>
      </c>
      <c r="BD8" s="110">
        <f t="array" ref="BD8">(('Fórmula'!C8)/('Fórmula'!C8+'Fórmula'!E8+'Fórmula'!G8+'Fórmula'!I8+'Fórmula'!K8))*(INDEX(properties!A$1:CB$87,'Fórmula'!B8,14))+(('Fórmula'!E8)/('Fórmula'!C8+'Fórmula'!E8+'Fórmula'!G8+'Fórmula'!I8+'Fórmula'!K8))*(INDEX(properties!A$1:CB$87,'Fórmula'!D8,14))+(('Fórmula'!G8)/('Fórmula'!C8+'Fórmula'!E8+'Fórmula'!G8+'Fórmula'!I8+'Fórmula'!K8))*(INDEX(properties!A$1:CB$87,'Fórmula'!F8,14))+(('Fórmula'!I8)/('Fórmula'!C8+'Fórmula'!E8+'Fórmula'!G8+'Fórmula'!I8+'Fórmula'!K8))*(INDEX(properties!A$1:CB$87,'Fórmula'!H8,14))+(('Fórmula'!K8)/('Fórmula'!C8+'Fórmula'!E8+'Fórmula'!G8+'Fórmula'!I8+'Fórmula'!K8))*(INDEX(properties!A$1:CB$87,'Fórmula'!J8,14))</f>
        <v>0</v>
      </c>
      <c r="BE8" s="110">
        <f t="array" ref="BE8">'Fórmula'!C8*(INDEX(properties!A$1:CB$87,'Fórmula'!B8,14))+'Fórmula'!E8*(INDEX(properties!A$1:CB$87,'Fórmula'!D8,14))+'Fórmula'!G8*(INDEX(properties!A$1:CB$87,'Fórmula'!F8,14))+'Fórmula'!I8*(INDEX(properties!A$1:CB$87,'Fórmula'!H8,14))+'Fórmula'!K8*(INDEX(properties!A$1:CB$87,'Fórmula'!J8,14))</f>
        <v>0</v>
      </c>
      <c r="BF8" s="110">
        <f t="array" ref="BF8">VARP(IF(INDEX(properties!A$1:CB$87,'Fórmula'!B8,14)&lt;&gt;"",INDEX(properties!A$1:CB$87,'Fórmula'!B8,14)),IF(INDEX(properties!A$1:CB$87,'Fórmula'!D8,14)&lt;&gt;"",INDEX(properties!A$1:CB$87,'Fórmula'!D8,14)),IF(INDEX(properties!A$1:CB$87,'Fórmula'!F8,14)&lt;&gt;"",INDEX(properties!A$1:CB$87,'Fórmula'!F8,14)),IF(INDEX(properties!A$1:CB$87,'Fórmula'!H8,14)&lt;&gt;"",INDEX(properties!A$1:CB$87,'Fórmula'!H8,14)),IF(INDEX(properties!A$1:CB$87,'Fórmula'!J8,14)&lt;&gt;"",INDEX(properties!A$1:CB$87,'Fórmula'!J8,14)))</f>
        <v>0</v>
      </c>
      <c r="BG8" s="110">
        <f t="array" ref="BG8">MAX(INDEX(properties!A$1:CB$87,'Fórmula'!B8,14),INDEX(properties!A$1:CB$87,'Fórmula'!D8,14),INDEX(properties!A$1:CB$87,'Fórmula'!F8,14),INDEX(properties!A$1:CB$87,'Fórmula'!H8,14),INDEX(properties!A$1:CB$87,'Fórmula'!J8,14))</f>
        <v>0</v>
      </c>
      <c r="BH8" s="110">
        <f t="array" ref="BH8">MIN(IF('Fórmula'!B8=87,10^6,INDEX(properties!A$1:CB$87,'Fórmula'!B8,14)),IF(('Fórmula'!D8)=87,10^6,INDEX(properties!A$1:CB$87,'Fórmula'!D8,14)),IF(('Fórmula'!F8)=87,10^6,INDEX(properties!A$1:CB$87,'Fórmula'!F8,14)),IF(('Fórmula'!H8)=87,10^6,INDEX(properties!A$1:CB$87,'Fórmula'!H8,14)),IF('Fórmula'!J8=87,10^6,INDEX(properties!A$1:CB$87,'Fórmula'!J8,14)))</f>
        <v>0</v>
      </c>
      <c r="BI8" s="110">
        <f t="shared" si="10"/>
        <v>0</v>
      </c>
      <c r="BJ8" s="111">
        <f t="array" ref="BJ8">(('Fórmula'!C8)/('Fórmula'!C8+'Fórmula'!E8+'Fórmula'!G8+'Fórmula'!I8+'Fórmula'!K8))*(INDEX(properties!A$1:CB$87,'Fórmula'!B8,19))+(('Fórmula'!E8)/('Fórmula'!C8+'Fórmula'!E8+'Fórmula'!G8+'Fórmula'!I8+'Fórmula'!K8))*(INDEX(properties!A$1:CB$87,'Fórmula'!D8,19))+(('Fórmula'!G8)/('Fórmula'!C8+'Fórmula'!E8+'Fórmula'!G8+'Fórmula'!I8+'Fórmula'!K8))*(INDEX(properties!A$1:CB$87,'Fórmula'!F8,19))+(('Fórmula'!I8)/('Fórmula'!C8+'Fórmula'!E8+'Fórmula'!G8+'Fórmula'!I8+'Fórmula'!K8))*(INDEX(properties!A$1:CB$87,'Fórmula'!H8,19))+(('Fórmula'!K8)/('Fórmula'!C8+'Fórmula'!E8+'Fórmula'!G8+'Fórmula'!I8+'Fórmula'!K8))*(INDEX(properties!A$1:CB$87,'Fórmula'!J8,19))</f>
        <v>5.333333333</v>
      </c>
      <c r="BK8" s="111">
        <f t="array" ref="BK8">'Fórmula'!C8*(INDEX(properties!A$1:CB$87,'Fórmula'!B8,19))+'Fórmula'!E8*(INDEX(properties!A$1:CB$87,'Fórmula'!D8,19))+'Fórmula'!G8*(INDEX(properties!A$1:CB$87,'Fórmula'!F8,19))+'Fórmula'!I8*(INDEX(properties!A$1:CB$87,'Fórmula'!H8,19))+'Fórmula'!K8*(INDEX(properties!A$1:CB$87,'Fórmula'!J8,19))</f>
        <v>16</v>
      </c>
      <c r="BL8" s="111">
        <f t="array" ref="BL8">VARP(IF(INDEX(properties!A$1:CB$87,'Fórmula'!B8,19)&lt;&gt;"",INDEX(properties!A$1:CB$87,'Fórmula'!B8,19)),IF(INDEX(properties!A$1:CB$87,'Fórmula'!D8,19)&lt;&gt;"",INDEX(properties!A$1:CB$87,'Fórmula'!D8,19)),IF(INDEX(properties!A$1:CB$87,'Fórmula'!F8,19)&lt;&gt;"",INDEX(properties!A$1:CB$87,'Fórmula'!F8,19)),IF(INDEX(properties!A$1:CB$87,'Fórmula'!H8,19)&lt;&gt;"",INDEX(properties!A$1:CB$87,'Fórmula'!H8,19)),IF(INDEX(properties!A$1:CB$87,'Fórmula'!J8,19)&lt;&gt;"",INDEX(properties!A$1:CB$87,'Fórmula'!J8,19)))</f>
        <v>6.4</v>
      </c>
      <c r="BM8" s="111">
        <f t="array" ref="BM8">MAX(INDEX(properties!A$1:CB$87,'Fórmula'!B8,19),INDEX(properties!A$1:CB$87,'Fórmula'!D8,19),INDEX(properties!A$1:CB$87,'Fórmula'!F8,19),INDEX(properties!A$1:CB$87,'Fórmula'!H8,19),INDEX(properties!A$1:CB$87,'Fórmula'!J8,19))</f>
        <v>6</v>
      </c>
      <c r="BN8" s="111">
        <f t="array" ref="BN8">MIN(IF(INDEX(properties!A$1:CB$87,'Fórmula'!B8,19)=0,10^6,INDEX(properties!A$1:CB$87,'Fórmula'!B8,19)),IF(INDEX(properties!A$1:CB$87,'Fórmula'!D8,19)=0,10^6,INDEX(properties!A$1:CB$87,'Fórmula'!D8,19)),IF(INDEX(properties!A$1:CB$87,'Fórmula'!F8,19)=0,10^6,INDEX(properties!A$1:CB$87,'Fórmula'!F8,19)),IF(INDEX(properties!A$1:CB$87,'Fórmula'!H8,19)=0,10^6,INDEX(properties!A$1:CB$87,'Fórmula'!H8,19)),IF(INDEX(properties!A$1:CB$87,'Fórmula'!J8,19)=0,10^6,INDEX(properties!A$1:CB$87,'Fórmula'!J8,19)))</f>
        <v>4</v>
      </c>
      <c r="BO8" s="111">
        <f t="shared" si="11"/>
        <v>2</v>
      </c>
      <c r="BP8" s="112">
        <f t="array" ref="BP8">(('Fórmula'!C8)/('Fórmula'!C8+'Fórmula'!E8+'Fórmula'!G8+'Fórmula'!I8+'Fórmula'!K8))*(INDEX(properties!A$1:CB$87,'Fórmula'!B8,20))+(('Fórmula'!E8)/('Fórmula'!C8+'Fórmula'!E8+'Fórmula'!G8+'Fórmula'!I8+'Fórmula'!K8))*(INDEX(properties!A$1:CB$87,'Fórmula'!D8,20))+(('Fórmula'!G8)/('Fórmula'!C8+'Fórmula'!E8+'Fórmula'!G8+'Fórmula'!I8+'Fórmula'!K8))*(INDEX(properties!A$1:CB$87,'Fórmula'!F8,20))+(('Fórmula'!I8)/('Fórmula'!C8+'Fórmula'!E8+'Fórmula'!G8+'Fórmula'!I8+'Fórmula'!K8))*(INDEX(properties!A$1:CB$87,'Fórmula'!H8,20))+(('Fórmula'!K8)/('Fórmula'!C8+'Fórmula'!E8+'Fórmula'!G8+'Fórmula'!I8+'Fórmula'!K8))*(INDEX(properties!A$1:CB$87,'Fórmula'!J8,20))</f>
        <v>4.666666667</v>
      </c>
      <c r="BQ8" s="112">
        <f t="array" ref="BQ8">'Fórmula'!C8*(INDEX(properties!A$1:CB$87,'Fórmula'!B8,20))+'Fórmula'!E8*(INDEX(properties!A$1:CB$87,'Fórmula'!D8,20))+'Fórmula'!G8*(INDEX(properties!A$1:CB$87,'Fórmula'!F8,20))+'Fórmula'!I8*(INDEX(properties!A$1:CB$87,'Fórmula'!H8,20))+'Fórmula'!K8*(INDEX(properties!A$1:CB$87,'Fórmula'!J8,20))</f>
        <v>14</v>
      </c>
      <c r="BR8" s="112">
        <f t="array" ref="BR8">VARP(IF(INDEX(properties!A$1:CB$87,'Fórmula'!B8,20)&lt;&gt;"",INDEX(properties!A$1:CB$87,'Fórmula'!B8,20)),IF(INDEX(properties!A$1:CB$87,'Fórmula'!D8,20)&lt;&gt;"",INDEX(properties!A$1:CB$87,'Fórmula'!D8,20)),IF(INDEX(properties!A$1:CB$87,'Fórmula'!F8,20)&lt;&gt;"",INDEX(properties!A$1:CB$87,'Fórmula'!F8,20)),IF(INDEX(properties!A$1:CB$87,'Fórmula'!H8,20)&lt;&gt;"",INDEX(properties!A$1:CB$87,'Fórmula'!H8,20)),IF(INDEX(properties!A$1:CB$87,'Fórmula'!J8,20)&lt;&gt;"",INDEX(properties!A$1:CB$87,'Fórmula'!J8,20)))</f>
        <v>5.44</v>
      </c>
      <c r="BS8" s="112">
        <f t="array" ref="BS8">MAX(INDEX(properties!A$1:CB$87,'Fórmula'!B8,20),INDEX(properties!A$1:CB$87,'Fórmula'!D8,20),INDEX(properties!A$1:CB$87,'Fórmula'!F8,20),INDEX(properties!A$1:CB$87,'Fórmula'!H8,20),INDEX(properties!A$1:CB$87,'Fórmula'!J8,20))</f>
        <v>6</v>
      </c>
      <c r="BT8" s="112">
        <f t="array" ref="BT8">MIN(IF(INDEX(properties!A$1:CB$87,'Fórmula'!B8,20)=0,10^6,INDEX(properties!A$1:CB$87,'Fórmula'!B8,20)),IF(INDEX(properties!A$1:CB$87,'Fórmula'!D8,20)=0,10^6,INDEX(properties!A$1:CB$87,'Fórmula'!D8,20)),IF(INDEX(properties!A$1:CB$87,'Fórmula'!F8,20)=0,10^6,INDEX(properties!A$1:CB$87,'Fórmula'!F8,20)),IF(INDEX(properties!A$1:CB$87,'Fórmula'!H8,20)=0,10^6,INDEX(properties!A$1:CB$87,'Fórmula'!H8,20)),IF(INDEX(properties!A$1:CB$87,'Fórmula'!J8,20)=0,10^6,INDEX(properties!A$1:CB$87,'Fórmula'!J8,20)))</f>
        <v>2</v>
      </c>
      <c r="BU8" s="112">
        <f t="shared" si="12"/>
        <v>4</v>
      </c>
      <c r="BV8" s="113">
        <f t="array" ref="BV8">(('Fórmula'!C8)/('Fórmula'!C8+'Fórmula'!E8+'Fórmula'!G8+'Fórmula'!I8+'Fórmula'!K8))*(INDEX(properties!A$1:CB$87,'Fórmula'!B8,21))+(('Fórmula'!E8)/('Fórmula'!C8+'Fórmula'!E8+'Fórmula'!G8+'Fórmula'!I8+'Fórmula'!K8))*(INDEX(properties!A$1:CB$87,'Fórmula'!D8,21))+(('Fórmula'!G8)/('Fórmula'!C8+'Fórmula'!E8+'Fórmula'!G8+'Fórmula'!I8+'Fórmula'!K8))*(INDEX(properties!A$1:CB$87,'Fórmula'!F8,21))+(('Fórmula'!I8)/('Fórmula'!C8+'Fórmula'!E8+'Fórmula'!G8+'Fórmula'!I8+'Fórmula'!K8))*(INDEX(properties!A$1:CB$87,'Fórmula'!H8,21))+(('Fórmula'!K8)/('Fórmula'!C8+'Fórmula'!E8+'Fórmula'!G8+'Fórmula'!I8+'Fórmula'!K8))*(INDEX(properties!A$1:CB$87,'Fórmula'!J8,21))</f>
        <v>4.666666667</v>
      </c>
      <c r="BW8" s="113">
        <f t="array" ref="BW8">'Fórmula'!C8*(INDEX(properties!A$1:CB$87,'Fórmula'!B8,21))+'Fórmula'!E8*(INDEX(properties!A$1:CB$87,'Fórmula'!D8,21))+'Fórmula'!G8*(INDEX(properties!A$1:CB$87,'Fórmula'!F8,21))+'Fórmula'!I8*(INDEX(properties!A$1:CB$87,'Fórmula'!H8,21))+'Fórmula'!K8*(INDEX(properties!A$1:CB$87,'Fórmula'!J8,21))</f>
        <v>14</v>
      </c>
      <c r="BX8" s="113">
        <f t="array" ref="BX8">VARP(IF(INDEX(properties!A$1:CB$87,'Fórmula'!B8,21)&lt;&gt;"",INDEX(properties!A$1:CB$87,'Fórmula'!B8,21)),IF(INDEX(properties!A$1:CB$87,'Fórmula'!D8,21)&lt;&gt;"",INDEX(properties!A$1:CB$87,'Fórmula'!D8,21)),IF(INDEX(properties!A$1:CB$87,'Fórmula'!F8,21)&lt;&gt;"",INDEX(properties!A$1:CB$87,'Fórmula'!F8,21)),IF(INDEX(properties!A$1:CB$87,'Fórmula'!H8,21)&lt;&gt;"",INDEX(properties!A$1:CB$87,'Fórmula'!H8,21)),IF(INDEX(properties!A$1:CB$87,'Fórmula'!J8,21)&lt;&gt;"",INDEX(properties!A$1:CB$87,'Fórmula'!J8,21)))</f>
        <v>5.44</v>
      </c>
      <c r="BY8" s="113">
        <f t="array" ref="BY8">MAX(INDEX(properties!A$1:CB$87,'Fórmula'!B8,21),INDEX(properties!A$1:CB$87,'Fórmula'!D8,21),INDEX(properties!A$1:CB$87,'Fórmula'!F8,21),INDEX(properties!A$1:CB$87,'Fórmula'!H8,21),INDEX(properties!A$1:CB$87,'Fórmula'!J8,21))</f>
        <v>6</v>
      </c>
      <c r="BZ8" s="113">
        <f t="array" ref="BZ8">MIN(IF(INDEX(properties!A$1:CB$87,'Fórmula'!B8,21)=0,10^6,INDEX(properties!A$1:CB$87,'Fórmula'!B8,21)),IF(INDEX(properties!A$1:CB$87,'Fórmula'!D8,21)=0,10^6,INDEX(properties!A$1:CB$87,'Fórmula'!D8,21)),IF(INDEX(properties!A$1:CB$87,'Fórmula'!F8,21)=0,10^6,INDEX(properties!A$1:CB$87,'Fórmula'!F8,21)),IF(INDEX(properties!A$1:CB$87,'Fórmula'!H8,21)=0,10^6,INDEX(properties!A$1:CB$87,'Fórmula'!H8,21)),IF(INDEX(properties!A$1:CB$87,'Fórmula'!J8,21)=0,10^6,INDEX(properties!A$1:CB$87,'Fórmula'!J8,21)))</f>
        <v>2</v>
      </c>
      <c r="CA8" s="113">
        <f t="shared" si="13"/>
        <v>4</v>
      </c>
      <c r="CB8" s="114">
        <f t="array" ref="CB8">(('Fórmula'!C8)/('Fórmula'!C8+'Fórmula'!E8+'Fórmula'!G8+'Fórmula'!I8+'Fórmula'!K8))*(INDEX(properties!A$1:CB$87,'Fórmula'!B8,23))+(('Fórmula'!E8)/('Fórmula'!C8+'Fórmula'!E8+'Fórmula'!G8+'Fórmula'!I8+'Fórmula'!K8))*(INDEX(properties!A$1:CB$87,'Fórmula'!D8,23))+(('Fórmula'!G8)/('Fórmula'!C8+'Fórmula'!E8+'Fórmula'!G8+'Fórmula'!I8+'Fórmula'!K8))*(INDEX(properties!A$1:CB$87,'Fórmula'!F8,23))+(('Fórmula'!I8)/('Fórmula'!C8+'Fórmula'!E8+'Fórmula'!G8+'Fórmula'!I8+'Fórmula'!K8))*(INDEX(properties!A$1:CB$87,'Fórmula'!H8,23))+(('Fórmula'!K8)/('Fórmula'!C8+'Fórmula'!E8+'Fórmula'!G8+'Fórmula'!I8+'Fórmula'!K8))*(INDEX(properties!A$1:CB$87,'Fórmula'!J8,23))</f>
        <v>1.333333333</v>
      </c>
      <c r="CC8" s="114">
        <f t="array" ref="CC8">'Fórmula'!C8*(INDEX(properties!A$1:CB$87,'Fórmula'!B8,23))+'Fórmula'!E8*(INDEX(properties!A$1:CB$87,'Fórmula'!D8,23))+'Fórmula'!G8*(INDEX(properties!A$1:CB$87,'Fórmula'!F8,23))+'Fórmula'!I8*(INDEX(properties!A$1:CB$87,'Fórmula'!H8,23))+'Fórmula'!K8*(INDEX(properties!A$1:CB$87,'Fórmula'!J8,23))</f>
        <v>4</v>
      </c>
      <c r="CD8" s="114">
        <f t="array" ref="CD8">VARP(IF(INDEX(properties!A$1:CB$87,'Fórmula'!B8,23)&lt;&gt;"",INDEX(properties!A$1:CB$87,'Fórmula'!B8,23)),IF(INDEX(properties!A$1:CB$87,'Fórmula'!D8,23)&lt;&gt;"",INDEX(properties!A$1:CB$87,'Fórmula'!D8,23)),IF(INDEX(properties!A$1:CB$87,'Fórmula'!F8,23)&lt;&gt;"",INDEX(properties!A$1:CB$87,'Fórmula'!F8,23)),IF(INDEX(properties!A$1:CB$87,'Fórmula'!H8,23)&lt;&gt;"",INDEX(properties!A$1:CB$87,'Fórmula'!H8,23)),IF(INDEX(properties!A$1:CB$87,'Fórmula'!J8,23)&lt;&gt;"",INDEX(properties!A$1:CB$87,'Fórmula'!J8,23)))</f>
        <v>2.56</v>
      </c>
      <c r="CE8" s="114">
        <f t="array" ref="CE8">MAX(INDEX(properties!A$1:CB$87,'Fórmula'!B8,23),INDEX(properties!A$1:CB$87,'Fórmula'!D8,23),INDEX(properties!A$1:CB$87,'Fórmula'!F8,23),INDEX(properties!A$1:CB$87,'Fórmula'!H8,23),INDEX(properties!A$1:CB$87,'Fórmula'!J8,23))</f>
        <v>4</v>
      </c>
      <c r="CF8" s="114">
        <f t="array" ref="CF8">MIN(IF('Fórmula'!B8=87,10^6,INDEX(properties!A$1:CB$87,'Fórmula'!B8,23)),IF(('Fórmula'!D8)=87,10^6,INDEX(properties!A$1:CB$87,'Fórmula'!D8,23)),IF(('Fórmula'!F8)=87,10^6,INDEX(properties!A$1:CB$87,'Fórmula'!F8,23)),IF(('Fórmula'!H8)=87,10^6,INDEX(properties!A$1:CB$87,'Fórmula'!H8,23)),IF('Fórmula'!J8=87,10^6,INDEX(properties!A$1:CB$87,'Fórmula'!J8,23)))</f>
        <v>0</v>
      </c>
      <c r="CG8" s="114">
        <f t="shared" si="14"/>
        <v>4</v>
      </c>
      <c r="CH8" s="115">
        <f t="array" ref="CH8">(('Fórmula'!C8)/('Fórmula'!C8+'Fórmula'!E8+'Fórmula'!G8+'Fórmula'!I8+'Fórmula'!K8))*(INDEX(properties!A$1:CB$87,'Fórmula'!B8,26))+(('Fórmula'!E8)/('Fórmula'!C8+'Fórmula'!E8+'Fórmula'!G8+'Fórmula'!I8+'Fórmula'!K8))*(INDEX(properties!A$1:CB$87,'Fórmula'!D8,26))+(('Fórmula'!G8)/('Fórmula'!C8+'Fórmula'!E8+'Fórmula'!G8+'Fórmula'!I8+'Fórmula'!K8))*(INDEX(properties!A$1:CB$87,'Fórmula'!F8,26))+(('Fórmula'!I8)/('Fórmula'!C8+'Fórmula'!E8+'Fórmula'!G8+'Fórmula'!I8+'Fórmula'!K8))*(INDEX(properties!A$1:CB$87,'Fórmula'!H8,26))+(('Fórmula'!K8)/('Fórmula'!C8+'Fórmula'!E8+'Fórmula'!G8+'Fórmula'!I8+'Fórmula'!K8))*(INDEX(properties!A$1:CB$87,'Fórmula'!J8,26))</f>
        <v>11.29003333</v>
      </c>
      <c r="CI8" s="115">
        <f t="array" ref="CI8">'Fórmula'!C8*(INDEX(properties!A$1:CB$87,'Fórmula'!B8,26))+'Fórmula'!E8*(INDEX(properties!A$1:CB$87,'Fórmula'!D8,26))+'Fórmula'!G8*(INDEX(properties!A$1:CB$87,'Fórmula'!F8,26))+'Fórmula'!I8*(INDEX(properties!A$1:CB$87,'Fórmula'!H8,26))+'Fórmula'!K8*(INDEX(properties!A$1:CB$87,'Fórmula'!J8,26))</f>
        <v>33.8701</v>
      </c>
      <c r="CJ8" s="115">
        <f t="array" ref="CJ8">VARP(IF(INDEX(properties!A$1:CB$87,'Fórmula'!B8,26)&lt;&gt;"",INDEX(properties!A$1:CB$87,'Fórmula'!B8,26)),IF(INDEX(properties!A$1:CB$87,'Fórmula'!D8,26)&lt;&gt;"",INDEX(properties!A$1:CB$87,'Fórmula'!D8,26)),IF(INDEX(properties!A$1:CB$87,'Fórmula'!F8,26)&lt;&gt;"",INDEX(properties!A$1:CB$87,'Fórmula'!F8,26)),IF(INDEX(properties!A$1:CB$87,'Fórmula'!H8,26)&lt;&gt;"",INDEX(properties!A$1:CB$87,'Fórmula'!H8,26)),IF(INDEX(properties!A$1:CB$87,'Fórmula'!J8,26)&lt;&gt;"",INDEX(properties!A$1:CB$87,'Fórmula'!J8,26)))</f>
        <v>29.4865152</v>
      </c>
      <c r="CK8" s="116">
        <f t="array" ref="CK8">MAX(INDEX(properties!A$1:CB$87,'Fórmula'!B8,26),INDEX(properties!A$1:CB$87,'Fórmula'!D8,26),INDEX(properties!A$1:CB$87,'Fórmula'!F8,26),INDEX(properties!A$1:CB$87,'Fórmula'!H8,26),INDEX(properties!A$1:CB$87,'Fórmula'!J8,26))</f>
        <v>13.6181</v>
      </c>
      <c r="CL8" s="116">
        <f t="array" ref="CL8">MIN(IF(INDEX(properties!A$1:CB$87,'Fórmula'!B8,26)=0,10^6,INDEX(properties!A$1:CB$87,'Fórmula'!B8,26)),IF(INDEX(properties!A$1:CB$87,'Fórmula'!D8,26)=0,10^6,INDEX(properties!A$1:CB$87,'Fórmula'!D8,26)),IF(INDEX(properties!A$1:CB$87,'Fórmula'!F8,26)=0,10^6,INDEX(properties!A$1:CB$87,'Fórmula'!F8,26)),IF(INDEX(properties!A$1:CB$87,'Fórmula'!H8,26)=0,10^6,INDEX(properties!A$1:CB$87,'Fórmula'!H8,26)),IF(INDEX(properties!A$1:CB$87,'Fórmula'!J8,26)=0,10^6,INDEX(properties!A$1:CB$87,'Fórmula'!J8,26)))</f>
        <v>6.6339</v>
      </c>
      <c r="CM8" s="115">
        <f t="shared" si="15"/>
        <v>6.9842</v>
      </c>
      <c r="CN8" s="117">
        <f t="array" ref="CN8">(('Fórmula'!C8)/('Fórmula'!C8+'Fórmula'!E8+'Fórmula'!G8+'Fórmula'!I8+'Fórmula'!K8))*(INDEX(properties!A$1:CB$87,'Fórmula'!B8,30))+(('Fórmula'!E8)/('Fórmula'!C8+'Fórmula'!E8+'Fórmula'!G8+'Fórmula'!I8+'Fórmula'!K8))*(INDEX(properties!A$1:CB$87,'Fórmula'!D8,30))+(('Fórmula'!G8)/('Fórmula'!C8+'Fórmula'!E8+'Fórmula'!G8+'Fórmula'!I8+'Fórmula'!K8))*(INDEX(properties!A$1:CB$87,'Fórmula'!F8,30))+(('Fórmula'!I8)/('Fórmula'!C8+'Fórmula'!E8+'Fórmula'!G8+'Fórmula'!I8+'Fórmula'!K8))*(INDEX(properties!A$1:CB$87,'Fórmula'!H8,30))+(('Fórmula'!K8)/('Fórmula'!C8+'Fórmula'!E8+'Fórmula'!G8+'Fórmula'!I8+'Fórmula'!K8))*(INDEX(properties!A$1:CB$87,'Fórmula'!J8,30))</f>
        <v>2.736666667</v>
      </c>
      <c r="CO8" s="117">
        <f t="array" ref="CO8">'Fórmula'!C8*(INDEX(properties!A$1:CB$87,'Fórmula'!B8,30))+'Fórmula'!E8*(INDEX(properties!A$1:CB$87,'Fórmula'!D8,30))+'Fórmula'!G8*(INDEX(properties!A$1:CB$87,'Fórmula'!F8,30))+'Fórmula'!I8*(INDEX(properties!A$1:CB$87,'Fórmula'!H8,30))+'Fórmula'!K8*(INDEX(properties!A$1:CB$87,'Fórmula'!J8,30))</f>
        <v>8.21</v>
      </c>
      <c r="CP8" s="117">
        <f t="array" ref="CP8">VARP(IF(INDEX(properties!A$1:CB$87,'Fórmula'!B8,30)&lt;&gt;"",INDEX(properties!A$1:CB$87,'Fórmula'!B8,30)),IF(INDEX(properties!A$1:CB$87,'Fórmula'!D8,30)&lt;&gt;"",INDEX(properties!A$1:CB$87,'Fórmula'!D8,30)),IF(INDEX(properties!A$1:CB$87,'Fórmula'!F8,30)&lt;&gt;"",INDEX(properties!A$1:CB$87,'Fórmula'!F8,30)),IF(INDEX(properties!A$1:CB$87,'Fórmula'!H8,30)&lt;&gt;"",INDEX(properties!A$1:CB$87,'Fórmula'!H8,30)),IF(INDEX(properties!A$1:CB$87,'Fórmula'!J8,30)&lt;&gt;"",INDEX(properties!A$1:CB$87,'Fórmula'!J8,30)))</f>
        <v>1.810384</v>
      </c>
      <c r="CQ8" s="117">
        <f t="array" ref="CQ8">MAX(INDEX(properties!A$1:CB$87,'Fórmula'!B8,30),INDEX(properties!A$1:CB$87,'Fórmula'!D8,30),INDEX(properties!A$1:CB$87,'Fórmula'!F8,30),INDEX(properties!A$1:CB$87,'Fórmula'!H8,30),INDEX(properties!A$1:CB$87,'Fórmula'!J8,30))</f>
        <v>3.44</v>
      </c>
      <c r="CR8" s="117">
        <f t="array" ref="CR8">MIN(IF(INDEX(properties!A$1:CB$87,'Fórmula'!B8,30)=0,10^6,INDEX(properties!A$1:CB$87,'Fórmula'!B8,30)),IF(INDEX(properties!A$1:CB$87,'Fórmula'!D8,30)=0,10^6,INDEX(properties!A$1:CB$87,'Fórmula'!D8,30)),IF(INDEX(properties!A$1:CB$87,'Fórmula'!F8,30)=0,10^6,INDEX(properties!A$1:CB$87,'Fórmula'!F8,30)),IF(INDEX(properties!A$1:CB$87,'Fórmula'!H8,30)=0,10^6,INDEX(properties!A$1:CB$87,'Fórmula'!H8,30)),IF(INDEX(properties!A$1:CB$87,'Fórmula'!J8,30)=0,10^6,INDEX(properties!A$1:CB$87,'Fórmula'!J8,30)))</f>
        <v>1.33</v>
      </c>
      <c r="CS8" s="117">
        <f t="shared" si="16"/>
        <v>2.11</v>
      </c>
      <c r="CT8" s="118">
        <f t="array" ref="CT8">(('Fórmula'!C8)/('Fórmula'!C8+'Fórmula'!E8+'Fórmula'!G8+'Fórmula'!I8+'Fórmula'!K8))*(INDEX(properties!A$1:CB$87,'Fórmula'!B8,31))+(('Fórmula'!E8)/('Fórmula'!C8+'Fórmula'!E8+'Fórmula'!G8+'Fórmula'!I8+'Fórmula'!K8))*(INDEX(properties!A$1:CB$87,'Fórmula'!D8,31))+(('Fórmula'!G8)/('Fórmula'!C8+'Fórmula'!E8+'Fórmula'!G8+'Fórmula'!I8+'Fórmula'!K8))*(INDEX(properties!A$1:CB$87,'Fórmula'!F8,31))+(('Fórmula'!I8)/('Fórmula'!C8+'Fórmula'!E8+'Fórmula'!G8+'Fórmula'!I8+'Fórmula'!K8))*(INDEX(properties!A$1:CB$87,'Fórmula'!H8,31))+(('Fórmula'!K8)/('Fórmula'!C8+'Fórmula'!E8+'Fórmula'!G8+'Fórmula'!I8+'Fórmula'!K8))*(INDEX(properties!A$1:CB$87,'Fórmula'!J8,31))</f>
        <v>2.78</v>
      </c>
      <c r="CU8" s="118">
        <f t="array" ref="CU8">'Fórmula'!C8*(INDEX(properties!A$1:CB$87,'Fórmula'!B8,31))+'Fórmula'!E8*(INDEX(properties!A$1:CB$87,'Fórmula'!D8,31))+'Fórmula'!G8*(INDEX(properties!A$1:CB$87,'Fórmula'!F8,31))+'Fórmula'!I8*(INDEX(properties!A$1:CB$87,'Fórmula'!H8,31))+'Fórmula'!K8*(INDEX(properties!A$1:CB$87,'Fórmula'!J8,31))</f>
        <v>8.34</v>
      </c>
      <c r="CV8" s="118">
        <f t="array" ref="CV8">VARP(IF(INDEX(properties!A$1:CB$87,'Fórmula'!B8,31)&lt;&gt;"",INDEX(properties!A$1:CB$87,'Fórmula'!B8,31)),IF(INDEX(properties!A$1:CB$87,'Fórmula'!D8,31)&lt;&gt;"",INDEX(properties!A$1:CB$87,'Fórmula'!D8,31)),IF(INDEX(properties!A$1:CB$87,'Fórmula'!F8,31)&lt;&gt;"",INDEX(properties!A$1:CB$87,'Fórmula'!F8,31)),IF(INDEX(properties!A$1:CB$87,'Fórmula'!H8,31)&lt;&gt;"",INDEX(properties!A$1:CB$87,'Fórmula'!H8,31)),IF(INDEX(properties!A$1:CB$87,'Fórmula'!J8,31)&lt;&gt;"",INDEX(properties!A$1:CB$87,'Fórmula'!J8,31)))</f>
        <v>1.774464</v>
      </c>
      <c r="CW8" s="118">
        <f t="array" ref="CW8">MAX(INDEX(properties!A$1:CB$87,'Fórmula'!B8,31),INDEX(properties!A$1:CB$87,'Fórmula'!D8,31),INDEX(properties!A$1:CB$87,'Fórmula'!F8,31),INDEX(properties!A$1:CB$87,'Fórmula'!H8,31),INDEX(properties!A$1:CB$87,'Fórmula'!J8,31))</f>
        <v>3.32</v>
      </c>
      <c r="CX8" s="118">
        <f t="array" ref="CX8">MIN(IF(INDEX(properties!A$1:CB$87,'Fórmula'!B8,31)=0,10^6,INDEX(properties!A$1:CB$87,'Fórmula'!B8,31)),IF(INDEX(properties!A$1:CB$87,'Fórmula'!D8,31)=0,10^6,INDEX(properties!A$1:CB$87,'Fórmula'!D8,31)),IF(INDEX(properties!A$1:CB$87,'Fórmula'!F8,31)=0,10^6,INDEX(properties!A$1:CB$87,'Fórmula'!F8,31)),IF(INDEX(properties!A$1:CB$87,'Fórmula'!H8,31)=0,10^6,INDEX(properties!A$1:CB$87,'Fórmula'!H8,31)),IF(INDEX(properties!A$1:CB$87,'Fórmula'!J8,31)=0,10^6,INDEX(properties!A$1:CB$87,'Fórmula'!J8,31)))</f>
        <v>1.7</v>
      </c>
      <c r="CY8" s="118">
        <f t="shared" si="17"/>
        <v>1.62</v>
      </c>
      <c r="CZ8" s="119">
        <f t="array" ref="CZ8">(('Fórmula'!C8)/('Fórmula'!C8+'Fórmula'!E8+'Fórmula'!G8+'Fórmula'!I8+'Fórmula'!K8))*(INDEX(properties!A$1:CB$87,'Fórmula'!B8,32))+(('Fórmula'!E8)/('Fórmula'!C8+'Fórmula'!E8+'Fórmula'!G8+'Fórmula'!I8+'Fórmula'!K8))*(INDEX(properties!A$1:CB$87,'Fórmula'!D8,32))+(('Fórmula'!G8)/('Fórmula'!C8+'Fórmula'!E8+'Fórmula'!G8+'Fórmula'!I8+'Fórmula'!K8))*(INDEX(properties!A$1:CB$87,'Fórmula'!F8,32))+(('Fórmula'!I8)/('Fórmula'!C8+'Fórmula'!E8+'Fórmula'!G8+'Fórmula'!I8+'Fórmula'!K8))*(INDEX(properties!A$1:CB$87,'Fórmula'!H8,32))+(('Fórmula'!K8)/('Fórmula'!C8+'Fórmula'!E8+'Fórmula'!G8+'Fórmula'!I8+'Fórmula'!K8))*(INDEX(properties!A$1:CB$87,'Fórmula'!J8,32))</f>
        <v>6.24</v>
      </c>
      <c r="DA8" s="119">
        <f t="array" ref="DA8">'Fórmula'!C8*(INDEX(properties!A$1:CB$87,'Fórmula'!B8,32))+'Fórmula'!E8*(INDEX(properties!A$1:CB$87,'Fórmula'!D8,32))+'Fórmula'!G8*(INDEX(properties!A$1:CB$87,'Fórmula'!F8,32))+'Fórmula'!I8*(INDEX(properties!A$1:CB$87,'Fórmula'!H8,32))+'Fórmula'!K8*(INDEX(properties!A$1:CB$87,'Fórmula'!J8,32))</f>
        <v>18.72</v>
      </c>
      <c r="DB8" s="119">
        <f t="array" ref="DB8">VARP(IF(INDEX(properties!A$1:CB$87,'Fórmula'!B8,32)&lt;&gt;"",INDEX(properties!A$1:CB$87,'Fórmula'!B8,32)),IF(INDEX(properties!A$1:CB$87,'Fórmula'!D8,32)&lt;&gt;"",INDEX(properties!A$1:CB$87,'Fórmula'!D8,32)),IF(INDEX(properties!A$1:CB$87,'Fórmula'!F8,32)&lt;&gt;"",INDEX(properties!A$1:CB$87,'Fórmula'!F8,32)),IF(INDEX(properties!A$1:CB$87,'Fórmula'!H8,32)&lt;&gt;"",INDEX(properties!A$1:CB$87,'Fórmula'!H8,32)),IF(INDEX(properties!A$1:CB$87,'Fórmula'!J8,32)&lt;&gt;"",INDEX(properties!A$1:CB$87,'Fórmula'!J8,32)))</f>
        <v>9.020544</v>
      </c>
      <c r="DC8" s="119">
        <f t="array" ref="DC8">MAX(INDEX(properties!A$1:CB$87,'Fórmula'!B8,32),INDEX(properties!A$1:CB$87,'Fórmula'!D8,32),INDEX(properties!A$1:CB$87,'Fórmula'!F8,32),INDEX(properties!A$1:CB$87,'Fórmula'!H8,32),INDEX(properties!A$1:CB$87,'Fórmula'!J8,32))</f>
        <v>7.54</v>
      </c>
      <c r="DD8" s="119">
        <f t="array" ref="DD8">MIN(IF(INDEX(properties!A$1:CB$87,'Fórmula'!B8,32)=0,10^6,INDEX(properties!A$1:CB$87,'Fórmula'!B8,32)),IF(INDEX(properties!A$1:CB$87,'Fórmula'!D8,32)=0,10^6,INDEX(properties!A$1:CB$87,'Fórmula'!D8,32)),IF(INDEX(properties!A$1:CB$87,'Fórmula'!F8,32)=0,10^6,INDEX(properties!A$1:CB$87,'Fórmula'!F8,32)),IF(INDEX(properties!A$1:CB$87,'Fórmula'!H8,32)=0,10^6,INDEX(properties!A$1:CB$87,'Fórmula'!H8,32)),IF(INDEX(properties!A$1:CB$87,'Fórmula'!J8,32)=0,10^6,INDEX(properties!A$1:CB$87,'Fórmula'!J8,32)))</f>
        <v>3.64</v>
      </c>
      <c r="DE8" s="119">
        <f t="shared" si="18"/>
        <v>3.9</v>
      </c>
      <c r="DF8" s="104">
        <f t="array" ref="DF8">(('Fórmula'!C8)/('Fórmula'!C8+'Fórmula'!E8+'Fórmula'!G8+'Fórmula'!I8+'Fórmula'!K8))*(INDEX(properties!A$1:CB$87,'Fórmula'!B8,34))+(('Fórmula'!E8)/('Fórmula'!C8+'Fórmula'!E8+'Fórmula'!G8+'Fórmula'!I8+'Fórmula'!K8))*(INDEX(properties!A$1:CB$87,'Fórmula'!D8,34))+(('Fórmula'!G8)/('Fórmula'!C8+'Fórmula'!E8+'Fórmula'!G8+'Fórmula'!I8+'Fórmula'!K8))*(INDEX(properties!A$1:CB$87,'Fórmula'!F8,34))+(('Fórmula'!I8)/('Fórmula'!C8+'Fórmula'!E8+'Fórmula'!G8+'Fórmula'!I8+'Fórmula'!K8))*(INDEX(properties!A$1:CB$87,'Fórmula'!H8,34))+(('Fórmula'!K8)/('Fórmula'!C8+'Fórmula'!E8+'Fórmula'!G8+'Fórmula'!I8+'Fórmula'!K8))*(INDEX(properties!A$1:CB$87,'Fórmula'!J8,34))</f>
        <v>2.846666667</v>
      </c>
      <c r="DG8" s="104">
        <f t="array" ref="DG8">'Fórmula'!C8*(INDEX(properties!A$1:CB$87,'Fórmula'!B8,34))+'Fórmula'!E8*(INDEX(properties!A$1:CB$87,'Fórmula'!D8,34))+'Fórmula'!G8*(INDEX(properties!A$1:CB$87,'Fórmula'!F8,34))+'Fórmula'!I8*(INDEX(properties!A$1:CB$87,'Fórmula'!H8,34))+'Fórmula'!K8*(INDEX(properties!A$1:CB$87,'Fórmula'!J8,34))</f>
        <v>8.54</v>
      </c>
      <c r="DH8" s="104">
        <f t="array" ref="DH8">VARP(IF(INDEX(properties!A$1:CB$87,'Fórmula'!B8,34)&lt;&gt;"",INDEX(properties!A$1:CB$87,'Fórmula'!B8,34)),IF(INDEX(properties!A$1:CB$87,'Fórmula'!D8,34)&lt;&gt;"",INDEX(properties!A$1:CB$87,'Fórmula'!D8,34)),IF(INDEX(properties!A$1:CB$87,'Fórmula'!F8,34)&lt;&gt;"",INDEX(properties!A$1:CB$87,'Fórmula'!F8,34)),IF(INDEX(properties!A$1:CB$87,'Fórmula'!H8,34)&lt;&gt;"",INDEX(properties!A$1:CB$87,'Fórmula'!H8,34)),IF(INDEX(properties!A$1:CB$87,'Fórmula'!J8,34)&lt;&gt;"",INDEX(properties!A$1:CB$87,'Fórmula'!J8,34)))</f>
        <v>1.982704</v>
      </c>
      <c r="DI8" s="104">
        <f t="array" ref="DI8">MAX(INDEX(properties!A$1:CB$87,'Fórmula'!B8,34),INDEX(properties!A$1:CB$87,'Fórmula'!D8,34),INDEX(properties!A$1:CB$87,'Fórmula'!F8,34),INDEX(properties!A$1:CB$87,'Fórmula'!H8,34),INDEX(properties!A$1:CB$87,'Fórmula'!J8,34))</f>
        <v>3.61</v>
      </c>
      <c r="DJ8" s="104">
        <f t="array" ref="DJ8">MIN(IF(INDEX(properties!A$1:CB$87,'Fórmula'!B8,34)=0,10^6,INDEX(properties!A$1:CB$87,'Fórmula'!B8,34)),IF(INDEX(properties!A$1:CB$87,'Fórmula'!D8,34)=0,10^6,INDEX(properties!A$1:CB$87,'Fórmula'!D8,34)),IF(INDEX(properties!A$1:CB$87,'Fórmula'!F8,34)=0,10^6,INDEX(properties!A$1:CB$87,'Fórmula'!F8,34)),IF(INDEX(properties!A$1:CB$87,'Fórmula'!H8,34)=0,10^6,INDEX(properties!A$1:CB$87,'Fórmula'!H8,34)),IF(INDEX(properties!A$1:CB$87,'Fórmula'!J8,34)=0,10^6,INDEX(properties!A$1:CB$87,'Fórmula'!J8,34)))</f>
        <v>1.32</v>
      </c>
      <c r="DK8" s="104">
        <f t="shared" si="19"/>
        <v>2.29</v>
      </c>
      <c r="DL8" s="105">
        <f t="array" ref="DL8">(('Fórmula'!C8)/('Fórmula'!C8+'Fórmula'!E8+'Fórmula'!G8+'Fórmula'!I8+'Fórmula'!K8))*(INDEX(properties!A$1:CB$87,'Fórmula'!B8,37))+(('Fórmula'!E8)/('Fórmula'!C8+'Fórmula'!E8+'Fórmula'!G8+'Fórmula'!I8+'Fórmula'!K8))*(INDEX(properties!A$1:CB$87,'Fórmula'!D8,37))+(('Fórmula'!G8)/('Fórmula'!C8+'Fórmula'!E8+'Fórmula'!G8+'Fórmula'!I8+'Fórmula'!K8))*(INDEX(properties!A$1:CB$87,'Fórmula'!F8,37))+(('Fórmula'!I8)/('Fórmula'!C8+'Fórmula'!E8+'Fórmula'!G8+'Fórmula'!I8+'Fórmula'!K8))*(INDEX(properties!A$1:CB$87,'Fórmula'!H8,37))+(('Fórmula'!K8)/('Fórmula'!C8+'Fórmula'!E8+'Fórmula'!G8+'Fórmula'!I8+'Fórmula'!K8))*(INDEX(properties!A$1:CB$87,'Fórmula'!J8,37))</f>
        <v>2.833333333</v>
      </c>
      <c r="DM8" s="105">
        <f t="array" ref="DM8">'Fórmula'!C8*(INDEX(properties!A$1:CB$87,'Fórmula'!B8,37))+'Fórmula'!E8*(INDEX(properties!A$1:CB$87,'Fórmula'!D8,37))+'Fórmula'!G8*(INDEX(properties!A$1:CB$87,'Fórmula'!F8,37))+'Fórmula'!I8*(INDEX(properties!A$1:CB$87,'Fórmula'!H8,37))+'Fórmula'!K8*(INDEX(properties!A$1:CB$87,'Fórmula'!J8,37))</f>
        <v>8.5</v>
      </c>
      <c r="DN8" s="105">
        <f t="array" ref="DN8">VARP(IF(INDEX(properties!A$1:CB$87,'Fórmula'!B8,37)&lt;&gt;"",INDEX(properties!A$1:CB$87,'Fórmula'!B8,37)),IF(INDEX(properties!A$1:CB$87,'Fórmula'!D8,37)&lt;&gt;"",INDEX(properties!A$1:CB$87,'Fórmula'!D8,37)),IF(INDEX(properties!A$1:CB$87,'Fórmula'!F8,37)&lt;&gt;"",INDEX(properties!A$1:CB$87,'Fórmula'!F8,37)),IF(INDEX(properties!A$1:CB$87,'Fórmula'!H8,37)&lt;&gt;"",INDEX(properties!A$1:CB$87,'Fórmula'!H8,37)),IF(INDEX(properties!A$1:CB$87,'Fórmula'!J8,37)&lt;&gt;"",INDEX(properties!A$1:CB$87,'Fórmula'!J8,37)))</f>
        <v>1.8724</v>
      </c>
      <c r="DO8" s="105">
        <f t="array" ref="DO8">MAX(INDEX(properties!A$1:CB$87,'Fórmula'!B8,37),INDEX(properties!A$1:CB$87,'Fórmula'!D8,37),INDEX(properties!A$1:CB$87,'Fórmula'!F8,37),INDEX(properties!A$1:CB$87,'Fórmula'!H8,37),INDEX(properties!A$1:CB$87,'Fórmula'!J8,37))</f>
        <v>3.45</v>
      </c>
      <c r="DP8" s="105">
        <f t="array" ref="DP8">MIN(IF(INDEX(properties!A$1:CB$87,'Fórmula'!B8,37)=0,10^6,INDEX(properties!A$1:CB$87,'Fórmula'!B8,37)),IF(INDEX(properties!A$1:CB$87,'Fórmula'!D8,37)=0,10^6,INDEX(properties!A$1:CB$87,'Fórmula'!D8,37)),IF(INDEX(properties!A$1:CB$87,'Fórmula'!F8,37)=0,10^6,INDEX(properties!A$1:CB$87,'Fórmula'!F8,37)),IF(INDEX(properties!A$1:CB$87,'Fórmula'!H8,37)=0,10^6,INDEX(properties!A$1:CB$87,'Fórmula'!H8,37)),IF(INDEX(properties!A$1:CB$87,'Fórmula'!J8,37)=0,10^6,INDEX(properties!A$1:CB$87,'Fórmula'!J8,37)))</f>
        <v>1.6</v>
      </c>
      <c r="DQ8" s="105">
        <f t="shared" si="20"/>
        <v>1.85</v>
      </c>
      <c r="DR8" s="109">
        <f t="array" ref="DR8">(('Fórmula'!C8)/('Fórmula'!C8+'Fórmula'!E8+'Fórmula'!G8+'Fórmula'!I8+'Fórmula'!K8))*(INDEX(properties!A$1:CB$87,'Fórmula'!B8,39))+(('Fórmula'!E8)/('Fórmula'!C8+'Fórmula'!E8+'Fórmula'!G8+'Fórmula'!I8+'Fórmula'!K8))*(INDEX(properties!A$1:CB$87,'Fórmula'!D8,39))+(('Fórmula'!G8)/('Fórmula'!C8+'Fórmula'!E8+'Fórmula'!G8+'Fórmula'!I8+'Fórmula'!K8))*(INDEX(properties!A$1:CB$87,'Fórmula'!F8,39))+(('Fórmula'!I8)/('Fórmula'!C8+'Fórmula'!E8+'Fórmula'!G8+'Fórmula'!I8+'Fórmula'!K8))*(INDEX(properties!A$1:CB$87,'Fórmula'!H8,39))+(('Fórmula'!K8)/('Fórmula'!C8+'Fórmula'!E8+'Fórmula'!G8+'Fórmula'!I8+'Fórmula'!K8))*(INDEX(properties!A$1:CB$87,'Fórmula'!J8,39))</f>
        <v>1.006666667</v>
      </c>
      <c r="DS8" s="109">
        <f t="array" ref="DS8">'Fórmula'!C8*(INDEX(properties!A$1:CB$87,'Fórmula'!B8,39))+'Fórmula'!E8*(INDEX(properties!A$1:CB$87,'Fórmula'!D8,39))+'Fórmula'!G8*(INDEX(properties!A$1:CB$87,'Fórmula'!F8,39))+'Fórmula'!I8*(INDEX(properties!A$1:CB$87,'Fórmula'!H8,39))+'Fórmula'!K8*(INDEX(properties!A$1:CB$87,'Fórmula'!J8,39))</f>
        <v>3.02</v>
      </c>
      <c r="DT8" s="109">
        <f t="array" ref="DT8">VARP(IF(INDEX(properties!A$1:CB$87,'Fórmula'!B8,39)&lt;&gt;"",INDEX(properties!A$1:CB$87,'Fórmula'!B8,39)),IF(INDEX(properties!A$1:CB$87,'Fórmula'!D8,39)&lt;&gt;"",INDEX(properties!A$1:CB$87,'Fórmula'!D8,39)),IF(INDEX(properties!A$1:CB$87,'Fórmula'!F8,39)&lt;&gt;"",INDEX(properties!A$1:CB$87,'Fórmula'!F8,39)),IF(INDEX(properties!A$1:CB$87,'Fórmula'!H8,39)&lt;&gt;"",INDEX(properties!A$1:CB$87,'Fórmula'!H8,39)),IF(INDEX(properties!A$1:CB$87,'Fórmula'!J8,39)&lt;&gt;"",INDEX(properties!A$1:CB$87,'Fórmula'!J8,39)))</f>
        <v>0.636736</v>
      </c>
      <c r="DU8" s="120">
        <f t="array" ref="DU8">MAX(INDEX(properties!A$1:CB$87,'Fórmula'!B8,39),INDEX(properties!A$1:CB$87,'Fórmula'!D8,39),INDEX(properties!A$1:CB$87,'Fórmula'!F8,39),INDEX(properties!A$1:CB$87,'Fórmula'!H8,39),INDEX(properties!A$1:CB$87,'Fórmula'!J8,39))</f>
        <v>2.06</v>
      </c>
      <c r="DV8" s="120">
        <f t="array" ref="DV8">MIN(IF(INDEX(properties!A$1:CB$87,'Fórmula'!B8,39)=0,10^6,INDEX(properties!A$1:CB$87,'Fórmula'!B8,39)),IF(INDEX(properties!A$1:CB$87,'Fórmula'!D8,39)=0,10^6,INDEX(properties!A$1:CB$87,'Fórmula'!D8,39)),IF(INDEX(properties!A$1:CB$87,'Fórmula'!F8,39)=0,10^6,INDEX(properties!A$1:CB$87,'Fórmula'!F8,39)),IF(INDEX(properties!A$1:CB$87,'Fórmula'!H8,39)=0,10^6,INDEX(properties!A$1:CB$87,'Fórmula'!H8,39)),IF(INDEX(properties!A$1:CB$87,'Fórmula'!J8,39)=0,10^6,INDEX(properties!A$1:CB$87,'Fórmula'!J8,39)))</f>
        <v>0.48</v>
      </c>
      <c r="DW8" s="109">
        <f t="shared" si="21"/>
        <v>1.58</v>
      </c>
      <c r="DX8" s="110">
        <f t="array" ref="DX8">(('Fórmula'!C8)/('Fórmula'!C8+'Fórmula'!E8+'Fórmula'!G8+'Fórmula'!I8+'Fórmula'!K8))*(INDEX(properties!A$1:CB$87,'Fórmula'!B8,40))+(('Fórmula'!E8)/('Fórmula'!C8+'Fórmula'!E8+'Fórmula'!G8+'Fórmula'!I8+'Fórmula'!K8))*(INDEX(properties!A$1:CB$87,'Fórmula'!D8,40))+(('Fórmula'!G8)/('Fórmula'!C8+'Fórmula'!E8+'Fórmula'!G8+'Fórmula'!I8+'Fórmula'!K8))*(INDEX(properties!A$1:CB$87,'Fórmula'!F8,40))+(('Fórmula'!I8)/('Fórmula'!C8+'Fórmula'!E8+'Fórmula'!G8+'Fórmula'!I8+'Fórmula'!K8))*(INDEX(properties!A$1:CB$87,'Fórmula'!H8,40))+(('Fórmula'!K8)/('Fórmula'!C8+'Fórmula'!E8+'Fórmula'!G8+'Fórmula'!I8+'Fórmula'!K8))*(INDEX(properties!A$1:CB$87,'Fórmula'!J8,40))</f>
        <v>0.98</v>
      </c>
      <c r="DY8" s="110">
        <f t="array" ref="DY8">'Fórmula'!C8*(INDEX(properties!A$1:CB$87,'Fórmula'!B8,40))+'Fórmula'!E8*(INDEX(properties!A$1:CB$87,'Fórmula'!D8,40))+'Fórmula'!G8*(INDEX(properties!A$1:CB$87,'Fórmula'!F8,40))+'Fórmula'!I8*(INDEX(properties!A$1:CB$87,'Fórmula'!H8,40))+'Fórmula'!K8*(INDEX(properties!A$1:CB$87,'Fórmula'!J8,40))</f>
        <v>2.94</v>
      </c>
      <c r="DZ8" s="110">
        <f t="array" ref="DZ8">VARP(IF(INDEX(properties!A$1:CB$87,'Fórmula'!B8,40)&lt;&gt;"",INDEX(properties!A$1:CB$87,'Fórmula'!B8,40)),IF(INDEX(properties!A$1:CB$87,'Fórmula'!D8,40)&lt;&gt;"",INDEX(properties!A$1:CB$87,'Fórmula'!D8,40)),IF(INDEX(properties!A$1:CB$87,'Fórmula'!F8,40)&lt;&gt;"",INDEX(properties!A$1:CB$87,'Fórmula'!F8,40)),IF(INDEX(properties!A$1:CB$87,'Fórmula'!H8,40)&lt;&gt;"",INDEX(properties!A$1:CB$87,'Fórmula'!H8,40)),IF(INDEX(properties!A$1:CB$87,'Fórmula'!J8,40)&lt;&gt;"",INDEX(properties!A$1:CB$87,'Fórmula'!J8,40)))</f>
        <v>0.349296</v>
      </c>
      <c r="EA8" s="121">
        <f t="array" ref="EA8">MAX(INDEX(properties!A$1:CB$87,'Fórmula'!B8,40),INDEX(properties!A$1:CB$87,'Fórmula'!D8,40),INDEX(properties!A$1:CB$87,'Fórmula'!F8,40),INDEX(properties!A$1:CB$87,'Fórmula'!H8,40),INDEX(properties!A$1:CB$87,'Fórmula'!J8,40))</f>
        <v>1.48</v>
      </c>
      <c r="EB8" s="121">
        <f t="array" ref="EB8">MIN(IF(INDEX(properties!A$1:CB$87,'Fórmula'!B8,40)=0,10^6,INDEX(properties!A$1:CB$87,'Fórmula'!B8,40)),IF(INDEX(properties!A$1:CB$87,'Fórmula'!D8,40)=0,10^6,INDEX(properties!A$1:CB$87,'Fórmula'!D8,40)),IF(INDEX(properties!A$1:CB$87,'Fórmula'!F8,40)=0,10^6,INDEX(properties!A$1:CB$87,'Fórmula'!F8,40)),IF(INDEX(properties!A$1:CB$87,'Fórmula'!H8,40)=0,10^6,INDEX(properties!A$1:CB$87,'Fórmula'!H8,40)),IF(INDEX(properties!A$1:CB$87,'Fórmula'!J8,40)=0,10^6,INDEX(properties!A$1:CB$87,'Fórmula'!J8,40)))</f>
        <v>0.73</v>
      </c>
      <c r="EC8" s="110">
        <f t="shared" si="22"/>
        <v>0.75</v>
      </c>
      <c r="ED8" s="111">
        <f t="array" ref="ED8">(('Fórmula'!C8)/('Fórmula'!C8+'Fórmula'!E8+'Fórmula'!G8+'Fórmula'!I8+'Fórmula'!K8))*(INDEX(properties!A$1:CB$87,'Fórmula'!B8,41))+(('Fórmula'!E8)/('Fórmula'!C8+'Fórmula'!E8+'Fórmula'!G8+'Fórmula'!I8+'Fórmula'!K8))*(INDEX(properties!A$1:CB$87,'Fórmula'!D8,41))+(('Fórmula'!G8)/('Fórmula'!C8+'Fórmula'!E8+'Fórmula'!G8+'Fórmula'!I8+'Fórmula'!K8))*(INDEX(properties!A$1:CB$87,'Fórmula'!F8,41))+(('Fórmula'!I8)/('Fórmula'!C8+'Fórmula'!E8+'Fórmula'!G8+'Fórmula'!I8+'Fórmula'!K8))*(INDEX(properties!A$1:CB$87,'Fórmula'!H8,41))+(('Fórmula'!K8)/('Fórmula'!C8+'Fórmula'!E8+'Fórmula'!G8+'Fórmula'!I8+'Fórmula'!K8))*(INDEX(properties!A$1:CB$87,'Fórmula'!J8,41))</f>
        <v>1.126666667</v>
      </c>
      <c r="EE8" s="111">
        <f t="array" ref="EE8">'Fórmula'!C8*(INDEX(properties!A$1:CB$87,'Fórmula'!B8,41))+'Fórmula'!E8*(INDEX(properties!A$1:CB$87,'Fórmula'!D8,41))+'Fórmula'!G8*(INDEX(properties!A$1:CB$87,'Fórmula'!F8,41))+'Fórmula'!I8*(INDEX(properties!A$1:CB$87,'Fórmula'!H8,41))+'Fórmula'!K8*(INDEX(properties!A$1:CB$87,'Fórmula'!J8,41))</f>
        <v>3.38</v>
      </c>
      <c r="EF8" s="111">
        <f t="array" ref="EF8">VARP(IF(INDEX(properties!A$1:CB$87,'Fórmula'!B8,41)&lt;&gt;"",INDEX(properties!A$1:CB$87,'Fórmula'!B8,41)),IF(INDEX(properties!A$1:CB$87,'Fórmula'!D8,41)&lt;&gt;"",INDEX(properties!A$1:CB$87,'Fórmula'!D8,41)),IF(INDEX(properties!A$1:CB$87,'Fórmula'!F8,41)&lt;&gt;"",INDEX(properties!A$1:CB$87,'Fórmula'!F8,41)),IF(INDEX(properties!A$1:CB$87,'Fórmula'!H8,41)&lt;&gt;"",INDEX(properties!A$1:CB$87,'Fórmula'!H8,41)),IF(INDEX(properties!A$1:CB$87,'Fórmula'!J8,41)&lt;&gt;"",INDEX(properties!A$1:CB$87,'Fórmula'!J8,41)))</f>
        <v>0.285664</v>
      </c>
      <c r="EG8" s="122">
        <f t="array" ref="EG8">MAX(INDEX(properties!A$1:CB$87,'Fórmula'!B8,41),INDEX(properties!A$1:CB$87,'Fórmula'!D8,41),INDEX(properties!A$1:CB$87,'Fórmula'!F8,41),INDEX(properties!A$1:CB$87,'Fórmula'!H8,41),INDEX(properties!A$1:CB$87,'Fórmula'!J8,41))</f>
        <v>1.26</v>
      </c>
      <c r="EH8" s="122">
        <f t="array" ref="EH8">MIN(IF(INDEX(properties!A$1:CB$87,'Fórmula'!B8,41)=0,10^6,INDEX(properties!A$1:CB$87,'Fórmula'!B8,41)),IF(INDEX(properties!A$1:CB$87,'Fórmula'!D8,41)=0,10^6,INDEX(properties!A$1:CB$87,'Fórmula'!D8,41)),IF(INDEX(properties!A$1:CB$87,'Fórmula'!F8,41)=0,10^6,INDEX(properties!A$1:CB$87,'Fórmula'!F8,41)),IF(INDEX(properties!A$1:CB$87,'Fórmula'!H8,41)=0,10^6,INDEX(properties!A$1:CB$87,'Fórmula'!H8,41)),IF(INDEX(properties!A$1:CB$87,'Fórmula'!J8,41)=0,10^6,INDEX(properties!A$1:CB$87,'Fórmula'!J8,41)))</f>
        <v>0.86</v>
      </c>
      <c r="EI8" s="111">
        <f t="shared" si="23"/>
        <v>0.4</v>
      </c>
      <c r="EJ8" s="112">
        <f t="array" ref="EJ8">(('Fórmula'!C8)/('Fórmula'!C8+'Fórmula'!E8+'Fórmula'!G8+'Fórmula'!I8+'Fórmula'!K8))*(INDEX(properties!A$1:CB$87,'Fórmula'!B8,45))+(('Fórmula'!E8)/('Fórmula'!C8+'Fórmula'!E8+'Fórmula'!G8+'Fórmula'!I8+'Fórmula'!K8))*(INDEX(properties!A$1:CB$87,'Fórmula'!D8,45))+(('Fórmula'!G8)/('Fórmula'!C8+'Fórmula'!E8+'Fórmula'!G8+'Fórmula'!I8+'Fórmula'!K8))*(INDEX(properties!A$1:CB$87,'Fórmula'!F8,45))+(('Fórmula'!I8)/('Fórmula'!C8+'Fórmula'!E8+'Fórmula'!G8+'Fórmula'!I8+'Fórmula'!K8))*(INDEX(properties!A$1:CB$87,'Fórmula'!H8,45))+(('Fórmula'!K8)/('Fórmula'!C8+'Fórmula'!E8+'Fórmula'!G8+'Fórmula'!I8+'Fórmula'!K8))*(INDEX(properties!A$1:CB$87,'Fórmula'!J8,45))</f>
        <v>1.256666667</v>
      </c>
      <c r="EK8" s="112">
        <f t="array" ref="EK8">'Fórmula'!C8*(INDEX(properties!A$1:CB$87,'Fórmula'!B8,45))+'Fórmula'!E8*(INDEX(properties!A$1:CB$87,'Fórmula'!D8,45))+'Fórmula'!G8*(INDEX(properties!A$1:CB$87,'Fórmula'!F8,45))+'Fórmula'!I8*(INDEX(properties!A$1:CB$87,'Fórmula'!H8,45))+'Fórmula'!K8*(INDEX(properties!A$1:CB$87,'Fórmula'!J8,45))</f>
        <v>3.77</v>
      </c>
      <c r="EL8" s="112">
        <f t="array" ref="EL8">VARP(IF(INDEX(properties!A$1:CB$87,'Fórmula'!B8,45)&lt;&gt;"",INDEX(properties!A$1:CB$87,'Fórmula'!B8,45)),IF(INDEX(properties!A$1:CB$87,'Fórmula'!D8,45)&lt;&gt;"",INDEX(properties!A$1:CB$87,'Fórmula'!D8,45)),IF(INDEX(properties!A$1:CB$87,'Fórmula'!F8,45)&lt;&gt;"",INDEX(properties!A$1:CB$87,'Fórmula'!F8,45)),IF(INDEX(properties!A$1:CB$87,'Fórmula'!H8,45)&lt;&gt;"",INDEX(properties!A$1:CB$87,'Fórmula'!H8,45)),IF(INDEX(properties!A$1:CB$87,'Fórmula'!J8,45)&lt;&gt;"",INDEX(properties!A$1:CB$87,'Fórmula'!J8,45)))</f>
        <v>1.21036</v>
      </c>
      <c r="EM8" s="123">
        <f t="array" ref="EM8">MAX(INDEX(properties!A$1:CB$87,'Fórmula'!B8,45),INDEX(properties!A$1:CB$87,'Fórmula'!D8,45),INDEX(properties!A$1:CB$87,'Fórmula'!F8,45),INDEX(properties!A$1:CB$87,'Fórmula'!H8,45),INDEX(properties!A$1:CB$87,'Fórmula'!J8,45))</f>
        <v>2.83</v>
      </c>
      <c r="EN8" s="123">
        <f t="array" ref="EN8">MIN(IF(INDEX(properties!A$1:CB$87,'Fórmula'!B8,45)=0,10^6,INDEX(properties!A$1:CB$87,'Fórmula'!B8,45)),IF(INDEX(properties!A$1:CB$87,'Fórmula'!D8,45)=0,10^6,INDEX(properties!A$1:CB$87,'Fórmula'!D8,45)),IF(INDEX(properties!A$1:CB$87,'Fórmula'!F8,45)=0,10^6,INDEX(properties!A$1:CB$87,'Fórmula'!F8,45)),IF(INDEX(properties!A$1:CB$87,'Fórmula'!H8,45)=0,10^6,INDEX(properties!A$1:CB$87,'Fórmula'!H8,45)),IF(INDEX(properties!A$1:CB$87,'Fórmula'!J8,45)=0,10^6,INDEX(properties!A$1:CB$87,'Fórmula'!J8,45)))</f>
        <v>0.47</v>
      </c>
      <c r="EO8" s="112">
        <f t="shared" si="24"/>
        <v>2.36</v>
      </c>
      <c r="EP8" s="113">
        <f t="array" ref="EP8">(('Fórmula'!C8)/('Fórmula'!C8+'Fórmula'!E8+'Fórmula'!G8+'Fórmula'!I8+'Fórmula'!K8))*(INDEX(properties!A$1:CB$87,'Fórmula'!B8,46))+(('Fórmula'!E8)/('Fórmula'!C8+'Fórmula'!E8+'Fórmula'!G8+'Fórmula'!I8+'Fórmula'!K8))*(INDEX(properties!A$1:CB$87,'Fórmula'!D8,46))+(('Fórmula'!G8)/('Fórmula'!C8+'Fórmula'!E8+'Fórmula'!G8+'Fórmula'!I8+'Fórmula'!K8))*(INDEX(properties!A$1:CB$87,'Fórmula'!F8,46))+(('Fórmula'!I8)/('Fórmula'!C8+'Fórmula'!E8+'Fórmula'!G8+'Fórmula'!I8+'Fórmula'!K8))*(INDEX(properties!A$1:CB$87,'Fórmula'!H8,46))+(('Fórmula'!K8)/('Fórmula'!C8+'Fórmula'!E8+'Fórmula'!G8+'Fórmula'!I8+'Fórmula'!K8))*(INDEX(properties!A$1:CB$87,'Fórmula'!J8,46))</f>
        <v>1.093333333</v>
      </c>
      <c r="EQ8" s="113">
        <f t="array" ref="EQ8">'Fórmula'!C8*(INDEX(properties!A$1:CB$87,'Fórmula'!B8,46))+'Fórmula'!E8*(INDEX(properties!A$1:CB$87,'Fórmula'!D8,46))+'Fórmula'!G8*(INDEX(properties!A$1:CB$87,'Fórmula'!F8,46))+'Fórmula'!I8*(INDEX(properties!A$1:CB$87,'Fórmula'!H8,46))+'Fórmula'!K8*(INDEX(properties!A$1:CB$87,'Fórmula'!J8,46))</f>
        <v>3.28</v>
      </c>
      <c r="ER8" s="113">
        <f t="array" ref="ER8">VARP(IF(INDEX(properties!A$1:CB$87,'Fórmula'!B8,46)&lt;&gt;"",INDEX(properties!A$1:CB$87,'Fórmula'!B8,46)),IF(INDEX(properties!A$1:CB$87,'Fórmula'!D8,46)&lt;&gt;"",INDEX(properties!A$1:CB$87,'Fórmula'!D8,46)),IF(INDEX(properties!A$1:CB$87,'Fórmula'!F8,46)&lt;&gt;"",INDEX(properties!A$1:CB$87,'Fórmula'!F8,46)),IF(INDEX(properties!A$1:CB$87,'Fórmula'!H8,46)&lt;&gt;"",INDEX(properties!A$1:CB$87,'Fórmula'!H8,46)),IF(INDEX(properties!A$1:CB$87,'Fórmula'!J8,46)&lt;&gt;"",INDEX(properties!A$1:CB$87,'Fórmula'!J8,46)))</f>
        <v>0.269344</v>
      </c>
      <c r="ES8" s="124">
        <f t="array" ref="ES8">MAX(INDEX(properties!A$1:CB$87,'Fórmula'!B8,46),INDEX(properties!A$1:CB$87,'Fórmula'!D8,46),INDEX(properties!A$1:CB$87,'Fórmula'!F8,46),INDEX(properties!A$1:CB$87,'Fórmula'!H8,46),INDEX(properties!A$1:CB$87,'Fórmula'!J8,46))</f>
        <v>1.21</v>
      </c>
      <c r="ET8" s="124">
        <f t="array" ref="ET8">MIN(IF(INDEX(properties!A$1:CB$87,'Fórmula'!B8,46)=0,10^6,INDEX(properties!A$1:CB$87,'Fórmula'!B8,46)),IF(INDEX(properties!A$1:CB$87,'Fórmula'!D8,46)=0,10^6,INDEX(properties!A$1:CB$87,'Fórmula'!D8,46)),IF(INDEX(properties!A$1:CB$87,'Fórmula'!F8,46)=0,10^6,INDEX(properties!A$1:CB$87,'Fórmula'!F8,46)),IF(INDEX(properties!A$1:CB$87,'Fórmula'!H8,46)=0,10^6,INDEX(properties!A$1:CB$87,'Fórmula'!H8,46)),IF(INDEX(properties!A$1:CB$87,'Fórmula'!J8,46)=0,10^6,INDEX(properties!A$1:CB$87,'Fórmula'!J8,46)))</f>
        <v>0.86</v>
      </c>
      <c r="EU8" s="113">
        <f t="shared" si="25"/>
        <v>0.35</v>
      </c>
      <c r="EV8" s="114">
        <f t="array" ref="EV8">(('Fórmula'!C8)/('Fórmula'!C8+'Fórmula'!E8+'Fórmula'!G8+'Fórmula'!I8+'Fórmula'!K8))*(INDEX(properties!A$1:CB$87,'Fórmula'!B8,52))+(('Fórmula'!E8)/('Fórmula'!C8+'Fórmula'!E8+'Fórmula'!G8+'Fórmula'!I8+'Fórmula'!K8))*(INDEX(properties!A$1:CB$87,'Fórmula'!D8,52))+(('Fórmula'!G8)/('Fórmula'!C8+'Fórmula'!E8+'Fórmula'!G8+'Fórmula'!I8+'Fórmula'!K8))*(INDEX(properties!A$1:CB$87,'Fórmula'!F8,52))+(('Fórmula'!I8)/('Fórmula'!C8+'Fórmula'!E8+'Fórmula'!G8+'Fórmula'!I8+'Fórmula'!K8))*(INDEX(properties!A$1:CB$87,'Fórmula'!H8,52))+(('Fórmula'!K8)/('Fórmula'!C8+'Fórmula'!E8+'Fórmula'!G8+'Fórmula'!I8+'Fórmula'!K8))*(INDEX(properties!A$1:CB$87,'Fórmula'!J8,52))</f>
        <v>6.495333333</v>
      </c>
      <c r="EW8" s="114">
        <f t="array" ref="EW8">'Fórmula'!C8*(INDEX(properties!A$1:CB$87,'Fórmula'!B8,52))+'Fórmula'!E8*(INDEX(properties!A$1:CB$87,'Fórmula'!D8,52))+'Fórmula'!G8*(INDEX(properties!A$1:CB$87,'Fórmula'!F8,52))+'Fórmula'!I8*(INDEX(properties!A$1:CB$87,'Fórmula'!H8,52))+'Fórmula'!K8*(INDEX(properties!A$1:CB$87,'Fórmula'!J8,52))</f>
        <v>19.486</v>
      </c>
      <c r="EX8" s="114">
        <f t="array" ref="EX8">VARP(IF(INDEX(properties!A$1:CB$87,'Fórmula'!B8,52)&lt;&gt;"",INDEX(properties!A$1:CB$87,'Fórmula'!B8,52)),IF(INDEX(properties!A$1:CB$87,'Fórmula'!D8,52)&lt;&gt;"",INDEX(properties!A$1:CB$87,'Fórmula'!D8,52)),IF(INDEX(properties!A$1:CB$87,'Fórmula'!F8,52)&lt;&gt;"",INDEX(properties!A$1:CB$87,'Fórmula'!F8,52)),IF(INDEX(properties!A$1:CB$87,'Fórmula'!H8,52)&lt;&gt;"",INDEX(properties!A$1:CB$87,'Fórmula'!H8,52)),IF(INDEX(properties!A$1:CB$87,'Fórmula'!J8,52)&lt;&gt;"",INDEX(properties!A$1:CB$87,'Fórmula'!J8,52)))</f>
        <v>50.23063984</v>
      </c>
      <c r="EY8" s="114">
        <f t="array" ref="EY8">MAX(INDEX(properties!A$1:CB$87,'Fórmula'!B8,52),INDEX(properties!A$1:CB$87,'Fórmula'!D8,52),INDEX(properties!A$1:CB$87,'Fórmula'!F8,52),INDEX(properties!A$1:CB$87,'Fórmula'!H8,52),INDEX(properties!A$1:CB$87,'Fórmula'!J8,52))</f>
        <v>17.9</v>
      </c>
      <c r="EZ8" s="114">
        <f t="array" ref="EZ8">MIN(IF(INDEX(properties!A$1:CB$87,'Fórmula'!B8,52)=0,10^6,INDEX(properties!A$1:CB$87,'Fórmula'!B8,52)),IF(INDEX(properties!A$1:CB$87,'Fórmula'!D8,52)=0,10^6,INDEX(properties!A$1:CB$87,'Fórmula'!D8,52)),IF(INDEX(properties!A$1:CB$87,'Fórmula'!F8,52)=0,10^6,INDEX(properties!A$1:CB$87,'Fórmula'!F8,52)),IF(INDEX(properties!A$1:CB$87,'Fórmula'!H8,52)=0,10^6,INDEX(properties!A$1:CB$87,'Fórmula'!H8,52)),IF(INDEX(properties!A$1:CB$87,'Fórmula'!J8,52)=0,10^6,INDEX(properties!A$1:CB$87,'Fórmula'!J8,52)))</f>
        <v>0.793</v>
      </c>
      <c r="FA8" s="114">
        <f t="shared" si="26"/>
        <v>17.107</v>
      </c>
      <c r="FB8" s="115">
        <f t="array" ref="FB8">(('Fórmula'!C8)/('Fórmula'!C8+'Fórmula'!E8+'Fórmula'!G8+'Fórmula'!I8+'Fórmula'!K8))*(INDEX(properties!A$1:CB$87,'Fórmula'!B8,53))+(('Fórmula'!E8)/('Fórmula'!C8+'Fórmula'!E8+'Fórmula'!G8+'Fórmula'!I8+'Fórmula'!K8))*(INDEX(properties!A$1:CB$87,'Fórmula'!D8,53))+(('Fórmula'!G8)/('Fórmula'!C8+'Fórmula'!E8+'Fórmula'!G8+'Fórmula'!I8+'Fórmula'!K8))*(INDEX(properties!A$1:CB$87,'Fórmula'!F8,53))+(('Fórmula'!I8)/('Fórmula'!C8+'Fórmula'!E8+'Fórmula'!G8+'Fórmula'!I8+'Fórmula'!K8))*(INDEX(properties!A$1:CB$87,'Fórmula'!H8,53))+(('Fórmula'!K8)/('Fórmula'!C8+'Fórmula'!E8+'Fórmula'!G8+'Fórmula'!I8+'Fórmula'!K8))*(INDEX(properties!A$1:CB$87,'Fórmula'!J8,53))</f>
        <v>744.8833333</v>
      </c>
      <c r="FC8" s="115">
        <f t="array" ref="FC8">'Fórmula'!C8*(INDEX(properties!A$1:CB$87,'Fórmula'!B8,53))+'Fórmula'!E8*(INDEX(properties!A$1:CB$87,'Fórmula'!D8,53))+'Fórmula'!G8*(INDEX(properties!A$1:CB$87,'Fórmula'!F8,53))+'Fórmula'!I8*(INDEX(properties!A$1:CB$87,'Fórmula'!H8,53))+'Fórmula'!K8*(INDEX(properties!A$1:CB$87,'Fórmula'!J8,53))</f>
        <v>2234.65</v>
      </c>
      <c r="FD8" s="115">
        <f t="array" ref="FD8">VARP(IF(INDEX(properties!A$1:CB$87,'Fórmula'!B8,53)&lt;&gt;"",INDEX(properties!A$1:CB$87,'Fórmula'!B8,53)),IF(INDEX(properties!A$1:CB$87,'Fórmula'!D8,53)&lt;&gt;"",INDEX(properties!A$1:CB$87,'Fórmula'!D8,53)),IF(INDEX(properties!A$1:CB$87,'Fórmula'!F8,53)&lt;&gt;"",INDEX(properties!A$1:CB$87,'Fórmula'!F8,53)),IF(INDEX(properties!A$1:CB$87,'Fórmula'!H8,53)&lt;&gt;"",INDEX(properties!A$1:CB$87,'Fórmula'!H8,53)),IF(INDEX(properties!A$1:CB$87,'Fórmula'!J8,53)&lt;&gt;"",INDEX(properties!A$1:CB$87,'Fórmula'!J8,53)))</f>
        <v>713773.4566</v>
      </c>
      <c r="FE8" s="115">
        <f t="array" ref="FE8">MAX(INDEX(properties!A$1:CB$87,'Fórmula'!B8,53),INDEX(properties!A$1:CB$87,'Fórmula'!D8,53),INDEX(properties!A$1:CB$87,'Fórmula'!F8,53),INDEX(properties!A$1:CB$87,'Fórmula'!H8,53),INDEX(properties!A$1:CB$87,'Fórmula'!J8,53))</f>
        <v>2125.15</v>
      </c>
      <c r="FF8" s="115">
        <f t="array" ref="FF8">MIN(IF(INDEX(properties!A$1:CB$87,'Fórmula'!B8,53)=0,10^6,INDEX(properties!A$1:CB$87,'Fórmula'!B8,53)),IF(INDEX(properties!A$1:CB$87,'Fórmula'!D8,53)=0,10^6,INDEX(properties!A$1:CB$87,'Fórmula'!D8,53)),IF(INDEX(properties!A$1:CB$87,'Fórmula'!F8,53)=0,10^6,INDEX(properties!A$1:CB$87,'Fórmula'!F8,53)),IF(INDEX(properties!A$1:CB$87,'Fórmula'!H8,53)=0,10^6,INDEX(properties!A$1:CB$87,'Fórmula'!H8,53)),IF(INDEX(properties!A$1:CB$87,'Fórmula'!J8,53)=0,10^6,INDEX(properties!A$1:CB$87,'Fórmula'!J8,53)))</f>
        <v>54.75</v>
      </c>
      <c r="FG8" s="115">
        <f t="shared" si="27"/>
        <v>2070.4</v>
      </c>
      <c r="FH8" s="117">
        <f t="array" ref="FH8">(('Fórmula'!C8)/('Fórmula'!C8+'Fórmula'!E8+'Fórmula'!G8+'Fórmula'!I8+'Fórmula'!K8))*(INDEX(properties!A$1:CB$87,'Fórmula'!B8,54))+(('Fórmula'!E8)/('Fórmula'!C8+'Fórmula'!E8+'Fórmula'!G8+'Fórmula'!I8+'Fórmula'!K8))*(INDEX(properties!A$1:CB$87,'Fórmula'!D8,54))+(('Fórmula'!G8)/('Fórmula'!C8+'Fórmula'!E8+'Fórmula'!G8+'Fórmula'!I8+'Fórmula'!K8))*(INDEX(properties!A$1:CB$87,'Fórmula'!F8,54))+(('Fórmula'!I8)/('Fórmula'!C8+'Fórmula'!E8+'Fórmula'!G8+'Fórmula'!I8+'Fórmula'!K8))*(INDEX(properties!A$1:CB$87,'Fórmula'!H8,54))+(('Fórmula'!K8)/('Fórmula'!C8+'Fórmula'!E8+'Fórmula'!G8+'Fórmula'!I8+'Fórmula'!K8))*(INDEX(properties!A$1:CB$87,'Fórmula'!J8,54))</f>
        <v>1610.15</v>
      </c>
      <c r="FI8" s="117">
        <f t="array" ref="FI8">'Fórmula'!C8*(INDEX(properties!A$1:CB$87,'Fórmula'!B8,54))+'Fórmula'!E8*(INDEX(properties!A$1:CB$87,'Fórmula'!D8,54))+'Fórmula'!G8*(INDEX(properties!A$1:CB$87,'Fórmula'!F8,54))+'Fórmula'!I8*(INDEX(properties!A$1:CB$87,'Fórmula'!H8,54))+'Fórmula'!K8*(INDEX(properties!A$1:CB$87,'Fórmula'!J8,54))</f>
        <v>4830.45</v>
      </c>
      <c r="FJ8" s="117">
        <f t="array" ref="FJ8">VARP(IF(INDEX(properties!A$1:CB$87,'Fórmula'!B8,54)&lt;&gt;"",INDEX(properties!A$1:CB$87,'Fórmula'!B8,54)),IF(INDEX(properties!A$1:CB$87,'Fórmula'!D8,54)&lt;&gt;"",INDEX(properties!A$1:CB$87,'Fórmula'!D8,54)),IF(INDEX(properties!A$1:CB$87,'Fórmula'!F8,54)&lt;&gt;"",INDEX(properties!A$1:CB$87,'Fórmula'!F8,54)),IF(INDEX(properties!A$1:CB$87,'Fórmula'!H8,54)&lt;&gt;"",INDEX(properties!A$1:CB$87,'Fórmula'!H8,54)),IF(INDEX(properties!A$1:CB$87,'Fórmula'!J8,54)&lt;&gt;"",INDEX(properties!A$1:CB$87,'Fórmula'!J8,54)))</f>
        <v>3427586.645</v>
      </c>
      <c r="FK8" s="117">
        <f t="array" ref="FK8">MAX(INDEX(properties!A$1:CB$87,'Fórmula'!B8,54),INDEX(properties!A$1:CB$87,'Fórmula'!D8,54),INDEX(properties!A$1:CB$87,'Fórmula'!F8,54),INDEX(properties!A$1:CB$87,'Fórmula'!H8,54),INDEX(properties!A$1:CB$87,'Fórmula'!J8,54))</f>
        <v>4650.15</v>
      </c>
      <c r="FL8" s="117">
        <f t="array" ref="FL8">MIN(IF(INDEX(properties!A$1:CB$87,'Fórmula'!B8,54)=0,10^6,INDEX(properties!A$1:CB$87,'Fórmula'!B8,54)),IF(INDEX(properties!A$1:CB$87,'Fórmula'!D8,54)=0,10^6,INDEX(properties!A$1:CB$87,'Fórmula'!D8,54)),IF(INDEX(properties!A$1:CB$87,'Fórmula'!F8,54)=0,10^6,INDEX(properties!A$1:CB$87,'Fórmula'!F8,54)),IF(INDEX(properties!A$1:CB$87,'Fórmula'!H8,54)=0,10^6,INDEX(properties!A$1:CB$87,'Fórmula'!H8,54)),IF(INDEX(properties!A$1:CB$87,'Fórmula'!J8,54)=0,10^6,INDEX(properties!A$1:CB$87,'Fórmula'!J8,54)))</f>
        <v>90.15</v>
      </c>
      <c r="FM8" s="117">
        <f t="shared" si="28"/>
        <v>4560</v>
      </c>
      <c r="FN8" s="118">
        <f t="array" ref="FN8">(('Fórmula'!C8)/('Fórmula'!C8+'Fórmula'!E8+'Fórmula'!G8+'Fórmula'!I8+'Fórmula'!K8))*(INDEX(properties!A$1:CB$87,'Fórmula'!B8,55))+(('Fórmula'!E8)/('Fórmula'!C8+'Fórmula'!E8+'Fórmula'!G8+'Fórmula'!I8+'Fórmula'!K8))*(INDEX(properties!A$1:CB$87,'Fórmula'!D8,55))+(('Fórmula'!G8)/('Fórmula'!C8+'Fórmula'!E8+'Fórmula'!G8+'Fórmula'!I8+'Fórmula'!K8))*(INDEX(properties!A$1:CB$87,'Fórmula'!F8,55))+(('Fórmula'!I8)/('Fórmula'!C8+'Fórmula'!E8+'Fórmula'!G8+'Fórmula'!I8+'Fórmula'!K8))*(INDEX(properties!A$1:CB$87,'Fórmula'!H8,55))+(('Fórmula'!K8)/('Fórmula'!C8+'Fórmula'!E8+'Fórmula'!G8+'Fórmula'!I8+'Fórmula'!K8))*(INDEX(properties!A$1:CB$87,'Fórmula'!J8,55))</f>
        <v>2.170953333</v>
      </c>
      <c r="FO8" s="118">
        <f t="array" ref="FO8">'Fórmula'!C8*(INDEX(properties!A$1:CB$87,'Fórmula'!B8,55))+'Fórmula'!E8*(INDEX(properties!A$1:CB$87,'Fórmula'!D8,54))+'Fórmula'!G8*(INDEX(properties!A$1:CB$87,'Fórmula'!F8,55))+'Fórmula'!I8*(INDEX(properties!A$1:CB$87,'Fórmula'!H8,55))+'Fórmula'!K8*(INDEX(properties!A$1:CB$87,'Fórmula'!J8,55))</f>
        <v>186.81</v>
      </c>
      <c r="FP8" s="118">
        <f t="array" ref="FP8">VARP(IF(INDEX(properties!A$1:CB$87,'Fórmula'!B8,55)&lt;&gt;"",INDEX(properties!A$1:CB$87,'Fórmula'!B8,55)),IF(INDEX(properties!A$1:CB$87,'Fórmula'!D8,55)&lt;&gt;"",INDEX(properties!A$1:CB$87,'Fórmula'!D8,55)),IF(INDEX(properties!A$1:CB$87,'Fórmula'!F8,55)&lt;&gt;"",INDEX(properties!A$1:CB$87,'Fórmula'!F8,55)),IF(INDEX(properties!A$1:CB$87,'Fórmula'!H8,55)&lt;&gt;"",INDEX(properties!A$1:CB$87,'Fórmula'!H8,55)),IF(INDEX(properties!A$1:CB$87,'Fórmula'!J8,55)&lt;&gt;"",INDEX(properties!A$1:CB$87,'Fórmula'!J8,55)))</f>
        <v>6.780071583</v>
      </c>
      <c r="FQ8" s="118">
        <f t="array" ref="FQ8">MAX(INDEX(properties!A$1:CB$87,'Fórmula'!B8,55),INDEX(properties!A$1:CB$87,'Fórmula'!D8,55),INDEX(properties!A$1:CB$87,'Fórmula'!F8,55),INDEX(properties!A$1:CB$87,'Fórmula'!H8,55),INDEX(properties!A$1:CB$87,'Fórmula'!J8,55))</f>
        <v>6.51</v>
      </c>
      <c r="FR8" s="118">
        <f t="array" ref="FR8">MIN(IF(INDEX(properties!A$1:CB$87,'Fórmula'!B8,55)=0,10^6,INDEX(properties!A$1:CB$87,'Fórmula'!B8,55)),IF(INDEX(properties!A$1:CB$87,'Fórmula'!D8,55)=0,10^6,INDEX(properties!A$1:CB$87,'Fórmula'!D8,55)),IF(INDEX(properties!A$1:CB$87,'Fórmula'!F8,55)=0,10^6,INDEX(properties!A$1:CB$87,'Fórmula'!F8,55)),IF(INDEX(properties!A$1:CB$87,'Fórmula'!H8,55)=0,10^6,INDEX(properties!A$1:CB$87,'Fórmula'!H8,55)),IF(INDEX(properties!A$1:CB$87,'Fórmula'!J8,55)=0,10^6,INDEX(properties!A$1:CB$87,'Fórmula'!J8,55)))</f>
        <v>0.00143</v>
      </c>
      <c r="FS8" s="118">
        <f t="shared" si="29"/>
        <v>6.50857</v>
      </c>
      <c r="FT8" s="119">
        <f t="array" ref="FT8">(('Fórmula'!C8)/('Fórmula'!C8+'Fórmula'!E8+'Fórmula'!G8+'Fórmula'!I8+'Fórmula'!K8))*(INDEX(properties!A$1:CB$87,'Fórmula'!B8,56))+(('Fórmula'!E8)/('Fórmula'!C8+'Fórmula'!E8+'Fórmula'!G8+'Fórmula'!I8+'Fórmula'!K8))*(INDEX(properties!A$1:CB$87,'Fórmula'!D8,56))+(('Fórmula'!G8)/('Fórmula'!C8+'Fórmula'!E8+'Fórmula'!G8+'Fórmula'!I8+'Fórmula'!K8))*(INDEX(properties!A$1:CB$87,'Fórmula'!F8,56))+(('Fórmula'!I8)/('Fórmula'!C8+'Fórmula'!E8+'Fórmula'!G8+'Fórmula'!I8+'Fórmula'!K8))*(INDEX(properties!A$1:CB$87,'Fórmula'!H8,56))+(('Fórmula'!K8)/('Fórmula'!C8+'Fórmula'!E8+'Fórmula'!G8+'Fórmula'!I8+'Fórmula'!K8))*(INDEX(properties!A$1:CB$87,'Fórmula'!J8,56))</f>
        <v>0.7033333333</v>
      </c>
      <c r="FU8" s="119">
        <f t="array" ref="FU8">'Fórmula'!C8*(INDEX(properties!A$1:CB$87,'Fórmula'!B8,56))+'Fórmula'!E8*(INDEX(properties!A$1:CB$87,'Fórmula'!D8,56))+'Fórmula'!G8*(INDEX(properties!A$1:CB$87,'Fórmula'!F8,56))+'Fórmula'!I8*(INDEX(properties!A$1:CB$87,'Fórmula'!H8,56))+'Fórmula'!K8*(INDEX(properties!A$1:CB$87,'Fórmula'!J8,56))</f>
        <v>2.11</v>
      </c>
      <c r="FV8" s="119">
        <f t="array" ref="FV8">VARP(IF(INDEX(properties!A$1:CB$87,'Fórmula'!B8,56)&lt;&gt;"",INDEX(properties!A$1:CB$87,'Fórmula'!B8,56)),IF(INDEX(properties!A$1:CB$87,'Fórmula'!D8,56)&lt;&gt;"",INDEX(properties!A$1:CB$87,'Fórmula'!D8,56)),IF(INDEX(properties!A$1:CB$87,'Fórmula'!F8,56)&lt;&gt;"",INDEX(properties!A$1:CB$87,'Fórmula'!F8,56)),IF(INDEX(properties!A$1:CB$87,'Fórmula'!H8,56)&lt;&gt;"",INDEX(properties!A$1:CB$87,'Fórmula'!H8,56)),IF(INDEX(properties!A$1:CB$87,'Fórmula'!J8,56)&lt;&gt;"",INDEX(properties!A$1:CB$87,'Fórmula'!J8,56)))</f>
        <v>0.127216</v>
      </c>
      <c r="FW8" s="119">
        <f t="array" ref="FW8">MAX(INDEX(properties!A$1:CB$87,'Fórmula'!B8,56),INDEX(properties!A$1:CB$87,'Fórmula'!D8,56),INDEX(properties!A$1:CB$87,'Fórmula'!F8,56),INDEX(properties!A$1:CB$87,'Fórmula'!H8,56),INDEX(properties!A$1:CB$87,'Fórmula'!J8,56))</f>
        <v>0.92</v>
      </c>
      <c r="FX8" s="119">
        <f t="array" ref="FX8">MIN(IF(INDEX(properties!A$1:CB$87,'Fórmula'!B8,56)=0,10^6,INDEX(properties!A$1:CB$87,'Fórmula'!B8,56)),IF(INDEX(properties!A$1:CB$87,'Fórmula'!D8,56)=0,10^6,INDEX(properties!A$1:CB$87,'Fórmula'!D8,56)),IF(INDEX(properties!A$1:CB$87,'Fórmula'!F8,56)=0,10^6,INDEX(properties!A$1:CB$87,'Fórmula'!F8,56)),IF(INDEX(properties!A$1:CB$87,'Fórmula'!H8,56)=0,10^6,INDEX(properties!A$1:CB$87,'Fórmula'!H8,56)),IF(INDEX(properties!A$1:CB$87,'Fórmula'!J8,56)=0,10^6,INDEX(properties!A$1:CB$87,'Fórmula'!J8,56)))</f>
        <v>0.27</v>
      </c>
      <c r="FY8" s="119">
        <f t="shared" si="30"/>
        <v>0.65</v>
      </c>
      <c r="FZ8" s="104">
        <f t="array" ref="FZ8">(('Fórmula'!C8)/('Fórmula'!C8+'Fórmula'!E8+'Fórmula'!G8+'Fórmula'!I8+'Fórmula'!K8))*(INDEX(properties!A$1:CB$87,'Fórmula'!B8,57))+(('Fórmula'!E8)/('Fórmula'!C8+'Fórmula'!E8+'Fórmula'!G8+'Fórmula'!I8+'Fórmula'!K8))*(INDEX(properties!A$1:CB$87,'Fórmula'!D8,57))+(('Fórmula'!G8)/('Fórmula'!C8+'Fórmula'!E8+'Fórmula'!G8+'Fórmula'!I8+'Fórmula'!K8))*(INDEX(properties!A$1:CB$87,'Fórmula'!F8,57))+(('Fórmula'!I8)/('Fórmula'!C8+'Fórmula'!E8+'Fórmula'!G8+'Fórmula'!I8+'Fórmula'!K8))*(INDEX(properties!A$1:CB$87,'Fórmula'!H8,57))+(('Fórmula'!K8)/('Fórmula'!C8+'Fórmula'!E8+'Fórmula'!G8+'Fórmula'!I8+'Fórmula'!K8))*(INDEX(properties!A$1:CB$87,'Fórmula'!J8,57))</f>
        <v>5.781726667</v>
      </c>
      <c r="GA8" s="104">
        <f t="array" ref="GA8">'Fórmula'!C8*(INDEX(properties!A$1:CB$87,'Fórmula'!B8,57))+'Fórmula'!E8*(INDEX(properties!A$1:CB$87,'Fórmula'!D8,57))+'Fórmula'!G8*(INDEX(properties!A$1:CB$87,'Fórmula'!F8,57))+'Fórmula'!I8*(INDEX(properties!A$1:CB$87,'Fórmula'!H8,57))+'Fórmula'!K8*(INDEX(properties!A$1:CB$87,'Fórmula'!J8,57))</f>
        <v>17.34518</v>
      </c>
      <c r="GB8" s="104">
        <f t="array" ref="GB8">VARP(IF(INDEX(properties!A$1:CB$87,'Fórmula'!B8,57)&lt;&gt;"",INDEX(properties!A$1:CB$87,'Fórmula'!B8,57)),IF(INDEX(properties!A$1:CB$87,'Fórmula'!D8,57)&lt;&gt;"",INDEX(properties!A$1:CB$87,'Fórmula'!D8,57)),IF(INDEX(properties!A$1:CB$87,'Fórmula'!F8,57)&lt;&gt;"",INDEX(properties!A$1:CB$87,'Fórmula'!F8,57)),IF(INDEX(properties!A$1:CB$87,'Fórmula'!H8,57)&lt;&gt;"",INDEX(properties!A$1:CB$87,'Fórmula'!H8,57)),IF(INDEX(properties!A$1:CB$87,'Fórmula'!J8,57)&lt;&gt;"",INDEX(properties!A$1:CB$87,'Fórmula'!J8,57)))</f>
        <v>45.40458573</v>
      </c>
      <c r="GC8" s="104">
        <f t="array" ref="GC8">MAX(INDEX(properties!A$1:CB$87,'Fórmula'!B8,57),INDEX(properties!A$1:CB$87,'Fórmula'!D8,57),INDEX(properties!A$1:CB$87,'Fórmula'!F8,57),INDEX(properties!A$1:CB$87,'Fórmula'!H8,57),INDEX(properties!A$1:CB$87,'Fórmula'!J8,57))</f>
        <v>16.9</v>
      </c>
      <c r="GD8" s="104">
        <f t="array" ref="GD8">MIN(IF(INDEX(properties!A$1:CB$87,'Fórmula'!B8,57)=0,10^6,INDEX(properties!A$1:CB$87,'Fórmula'!B8,57)),IF(INDEX(properties!A$1:CB$87,'Fórmula'!D8,57)=0,10^6,INDEX(properties!A$1:CB$87,'Fórmula'!D8,57)),IF(INDEX(properties!A$1:CB$87,'Fórmula'!F8,57)=0,10^6,INDEX(properties!A$1:CB$87,'Fórmula'!F8,57)),IF(INDEX(properties!A$1:CB$87,'Fórmula'!H8,57)=0,10^6,INDEX(properties!A$1:CB$87,'Fórmula'!H8,57)),IF(INDEX(properties!A$1:CB$87,'Fórmula'!J8,57)=0,10^6,INDEX(properties!A$1:CB$87,'Fórmula'!J8,57)))</f>
        <v>0.22259</v>
      </c>
      <c r="GE8" s="104">
        <f t="shared" si="31"/>
        <v>16.67741</v>
      </c>
      <c r="GF8" s="105">
        <f t="array" ref="GF8">(('Fórmula'!C8)/('Fórmula'!C8+'Fórmula'!E8+'Fórmula'!G8+'Fórmula'!I8+'Fórmula'!K8))*(INDEX(properties!A$1:CB$87,'Fórmula'!B8,60))+(('Fórmula'!E8)/('Fórmula'!C8+'Fórmula'!E8+'Fórmula'!G8+'Fórmula'!I8+'Fórmula'!K8))*(INDEX(properties!A$1:CB$87,'Fórmula'!D8,60))+(('Fórmula'!G8)/('Fórmula'!C8+'Fórmula'!E8+'Fórmula'!G8+'Fórmula'!I8+'Fórmula'!K8))*(INDEX(properties!A$1:CB$87,'Fórmula'!F8,60))+(('Fórmula'!I8)/('Fórmula'!C8+'Fórmula'!E8+'Fórmula'!G8+'Fórmula'!I8+'Fórmula'!K8))*(INDEX(properties!A$1:CB$87,'Fórmula'!H8,60))+(('Fórmula'!K8)/('Fórmula'!C8+'Fórmula'!E8+'Fórmula'!G8+'Fórmula'!I8+'Fórmula'!K8))*(INDEX(properties!A$1:CB$87,'Fórmula'!J8,60))</f>
        <v>7.584493333</v>
      </c>
      <c r="GG8" s="105">
        <f t="array" ref="GG8">'Fórmula'!C8*(INDEX(properties!A$1:CB$87,'Fórmula'!B8,60))+'Fórmula'!E8*(INDEX(properties!A$1:CB$87,'Fórmula'!D8,60))+'Fórmula'!G8*(INDEX(properties!A$1:CB$87,'Fórmula'!F8,60))+'Fórmula'!I8*(INDEX(properties!A$1:CB$87,'Fórmula'!H8,60))+'Fórmula'!K8*(INDEX(properties!A$1:CB$87,'Fórmula'!J8,60))</f>
        <v>22.75348</v>
      </c>
      <c r="GH8" s="105">
        <f t="array" ref="GH8">VARP(IF(INDEX(properties!A$1:CB$87,'Fórmula'!B8,60)&lt;&gt;"",INDEX(properties!A$1:CB$87,'Fórmula'!B8,60)),IF(INDEX(properties!A$1:CB$87,'Fórmula'!D8,60)&lt;&gt;"",INDEX(properties!A$1:CB$87,'Fórmula'!D8,60)),IF(INDEX(properties!A$1:CB$87,'Fórmula'!F8,60)&lt;&gt;"",INDEX(properties!A$1:CB$87,'Fórmula'!F8,60)),IF(INDEX(properties!A$1:CB$87,'Fórmula'!H8,60)&lt;&gt;"",INDEX(properties!A$1:CB$87,'Fórmula'!H8,60)),IF(INDEX(properties!A$1:CB$87,'Fórmula'!J8,60)&lt;&gt;"",INDEX(properties!A$1:CB$87,'Fórmula'!J8,60)))</f>
        <v>82.39795456</v>
      </c>
      <c r="GI8" s="105">
        <f t="array" ref="GI8">MAX(INDEX(properties!A$1:CB$87,'Fórmula'!B8,60),INDEX(properties!A$1:CB$87,'Fórmula'!D8,60),INDEX(properties!A$1:CB$87,'Fórmula'!F8,60),INDEX(properties!A$1:CB$87,'Fórmula'!H8,60),INDEX(properties!A$1:CB$87,'Fórmula'!J8,60))</f>
        <v>22.7</v>
      </c>
      <c r="GJ8" s="105">
        <f t="array" ref="GJ8">MIN(IF(INDEX(properties!A$1:CB$87,'Fórmula'!B8,60)=0,10^6,INDEX(properties!A$1:CB$87,'Fórmula'!B8,60)),IF(INDEX(properties!A$1:CB$87,'Fórmula'!D8,60)=0,10^6,INDEX(properties!A$1:CB$87,'Fórmula'!D8,60)),IF(INDEX(properties!A$1:CB$87,'Fórmula'!F8,60)=0,10^6,INDEX(properties!A$1:CB$87,'Fórmula'!F8,60)),IF(INDEX(properties!A$1:CB$87,'Fórmula'!H8,60)=0,10^6,INDEX(properties!A$1:CB$87,'Fórmula'!H8,60)),IF(INDEX(properties!A$1:CB$87,'Fórmula'!J8,60)=0,10^6,INDEX(properties!A$1:CB$87,'Fórmula'!J8,60)))</f>
        <v>0.02674</v>
      </c>
      <c r="GK8" s="105">
        <f t="shared" si="32"/>
        <v>22.67326</v>
      </c>
      <c r="GL8" s="106">
        <f t="array" ref="GL8">(('Fórmula'!C8)/('Fórmula'!C8+'Fórmula'!E8+'Fórmula'!G8+'Fórmula'!I8+'Fórmula'!K8))*(INDEX(properties!A$1:CB$87,'Fórmula'!B8,62))+(('Fórmula'!E8)/('Fórmula'!C8+'Fórmula'!E8+'Fórmula'!G8+'Fórmula'!I8+'Fórmula'!K8))*(INDEX(properties!A$1:CB$87,'Fórmula'!D8,62))+(('Fórmula'!G8)/('Fórmula'!C8+'Fórmula'!E8+'Fórmula'!G8+'Fórmula'!I8+'Fórmula'!K8))*(INDEX(properties!A$1:CB$87,'Fórmula'!F8,62))+(('Fórmula'!I8)/('Fórmula'!C8+'Fórmula'!E8+'Fórmula'!G8+'Fórmula'!I8+'Fórmula'!K8))*(INDEX(properties!A$1:CB$87,'Fórmula'!H8,62))+(('Fórmula'!K8)/('Fórmula'!C8+'Fórmula'!E8+'Fórmula'!G8+'Fórmula'!I8+'Fórmula'!K8))*(INDEX(properties!A$1:CB$87,'Fórmula'!J8,62))</f>
        <v>3.83</v>
      </c>
      <c r="GM8" s="106">
        <f t="array" ref="GM8">'Fórmula'!C8*(INDEX(properties!A$1:CB$87,'Fórmula'!B8,62))+'Fórmula'!E8*(INDEX(properties!A$1:CB$87,'Fórmula'!D8,62))+'Fórmula'!G8*(INDEX(properties!A$1:CB$87,'Fórmula'!F8,62))+'Fórmula'!I8*(INDEX(properties!A$1:CB$87,'Fórmula'!H8,62))+'Fórmula'!K8*(INDEX(properties!A$1:CB$87,'Fórmula'!J8,62))</f>
        <v>11.49</v>
      </c>
      <c r="GN8" s="106">
        <f t="array" ref="GN8">VARP(IF(INDEX(properties!A$1:CB$87,'Fórmula'!B8,62)&lt;&gt;"",INDEX(properties!A$1:CB$87,'Fórmula'!B8,62)),IF(INDEX(properties!A$1:CB$87,'Fórmula'!D8,62)&lt;&gt;"",INDEX(properties!A$1:CB$87,'Fórmula'!D8,62)),IF(INDEX(properties!A$1:CB$87,'Fórmula'!F8,62)&lt;&gt;"",INDEX(properties!A$1:CB$87,'Fórmula'!F8,62)),IF(INDEX(properties!A$1:CB$87,'Fórmula'!H8,62)&lt;&gt;"",INDEX(properties!A$1:CB$87,'Fórmula'!H8,62)),IF(INDEX(properties!A$1:CB$87,'Fórmula'!J8,62)&lt;&gt;"",INDEX(properties!A$1:CB$87,'Fórmula'!J8,62)))</f>
        <v>6.038304</v>
      </c>
      <c r="GO8" s="106">
        <f t="array" ref="GO8">MAX(INDEX(properties!A$1:CB$87,'Fórmula'!B8,62),INDEX(properties!A$1:CB$87,'Fórmula'!D8,62),INDEX(properties!A$1:CB$87,'Fórmula'!F8,62),INDEX(properties!A$1:CB$87,'Fórmula'!H8,62),INDEX(properties!A$1:CB$87,'Fórmula'!J8,62))</f>
        <v>6.25</v>
      </c>
      <c r="GP8" s="106">
        <f t="array" ref="GP8">MIN(IF(INDEX(properties!A$1:CB$87,'Fórmula'!B8,62)=0,10^6,INDEX(properties!A$1:CB$87,'Fórmula'!B8,62)),IF(INDEX(properties!A$1:CB$87,'Fórmula'!D8,62)=0,10^6,INDEX(properties!A$1:CB$87,'Fórmula'!D8,62)),IF(INDEX(properties!A$1:CB$87,'Fórmula'!F8,62)=0,10^6,INDEX(properties!A$1:CB$87,'Fórmula'!F8,62)),IF(INDEX(properties!A$1:CB$87,'Fórmula'!H8,62)=0,10^6,INDEX(properties!A$1:CB$87,'Fórmula'!H8,62)),IF(INDEX(properties!A$1:CB$87,'Fórmula'!J8,62)=0,10^6,INDEX(properties!A$1:CB$87,'Fórmula'!J8,62)))</f>
        <v>2.62</v>
      </c>
      <c r="GQ8" s="106">
        <f t="shared" si="33"/>
        <v>3.63</v>
      </c>
      <c r="GR8" s="106">
        <f>'Fórmula'!Q8</f>
        <v>14</v>
      </c>
      <c r="GS8" s="107">
        <f>'Fórmula'!P8</f>
        <v>6</v>
      </c>
      <c r="GT8" s="113">
        <f>'Fórmula'!O8</f>
        <v>5.92</v>
      </c>
      <c r="GU8" s="114">
        <f>AVERAGE('Fórmula'!R8/'Fórmula'!S8,'Fórmula'!S8/'Fórmula'!T8,'Fórmula'!T8/'Fórmula'!R8)</f>
        <v>1.001871521</v>
      </c>
      <c r="GV8" s="125">
        <f>'Fórmula'!U8</f>
        <v>138.26</v>
      </c>
      <c r="GW8" s="106">
        <f>'Fórmula'!N8</f>
        <v>0.05</v>
      </c>
    </row>
    <row r="9" ht="14.25" customHeight="1">
      <c r="A9" s="99" t="str">
        <f>'Fórmula'!A9</f>
        <v>KCaPO4</v>
      </c>
      <c r="B9" s="101">
        <f t="array" ref="B9">(('Fórmula'!C9)/('Fórmula'!C9+'Fórmula'!E9+'Fórmula'!G9+'Fórmula'!I9+'Fórmula'!K9))*(INDEX(properties!A$1:CB$87,'Fórmula'!B9,3))+(('Fórmula'!E9)/('Fórmula'!C9+'Fórmula'!E9+'Fórmula'!G9+'Fórmula'!I9+'Fórmula'!K9))*(INDEX(properties!A$1:CB$87,'Fórmula'!D9,3))+(('Fórmula'!G9)/('Fórmula'!C9+'Fórmula'!E9+'Fórmula'!G9+'Fórmula'!I9+'Fórmula'!K9))*(INDEX(properties!A$1:CB$87,'Fórmula'!F9,3))+(('Fórmula'!I9)/('Fórmula'!C9+'Fórmula'!E9+'Fórmula'!G9+'Fórmula'!I9+'Fórmula'!K9))*(INDEX(properties!A$1:CB$87,'Fórmula'!H9,3))+(('Fórmula'!K9)/('Fórmula'!C9+'Fórmula'!E9+'Fórmula'!G9+'Fórmula'!I9+'Fórmula'!K9))*(INDEX(properties!A$1:CB$87,'Fórmula'!J9,3))</f>
        <v>24.87823743</v>
      </c>
      <c r="C9" s="101">
        <f t="array" ref="C9">'Fórmula'!C9*(INDEX(properties!A$1:CB$87,'Fórmula'!B9,3))+'Fórmula'!E9*(INDEX(properties!A$1:CB$87,'Fórmula'!D9,3))+'Fórmula'!G9*(INDEX(properties!A$1:CB$87,'Fórmula'!F9,3))+'Fórmula'!I9*(INDEX(properties!A$1:CB$87,'Fórmula'!H9,3))+'Fórmula'!K9*(INDEX(properties!A$1:CB$87,'Fórmula'!J9,3))</f>
        <v>174.147662</v>
      </c>
      <c r="D9" s="101">
        <f t="array" ref="D9">VARP(IF(INDEX(properties!A$1:CB$87,'Fórmula'!B9,3)&lt;&gt;"",INDEX(properties!A$1:CB$87,'Fórmula'!B9,3)),IF(INDEX(properties!A$1:CB$87,'Fórmula'!D9,3)&lt;&gt;"",INDEX(properties!A$1:CB$87,'Fórmula'!D9,3)),IF(INDEX(properties!A$1:CB$87,'Fórmula'!F9,3)&lt;&gt;"",INDEX(properties!A$1:CB$87,'Fórmula'!F9,3)),IF(INDEX(properties!A$1:CB$87,'Fórmula'!H9,3)&lt;&gt;"",INDEX(properties!A$1:CB$87,'Fórmula'!H9,3)),IF(INDEX(properties!A$1:CB$87,'Fórmula'!J9,3)&lt;&gt;"",INDEX(properties!A$1:CB$87,'Fórmula'!J9,3)))</f>
        <v>233.5081054</v>
      </c>
      <c r="E9" s="101">
        <f t="array" ref="E9">MAX(INDEX(properties!A$1:CB$87,'Fórmula'!B9,3),INDEX(properties!A$1:CB$87,'Fórmula'!D9,3),INDEX(properties!A$1:CB$87,'Fórmula'!F9,3),INDEX(properties!A$1:CB$87,'Fórmula'!H9,3),INDEX(properties!A$1:CB$87,'Fórmula'!J9,3))</f>
        <v>40.078</v>
      </c>
      <c r="F9" s="101">
        <f t="array" ref="F9">MIN(IF(INDEX(properties!A$1:CB$87,'Fórmula'!B9,3)=0,10^6,INDEX(properties!A$1:CB$87,'Fórmula'!B9,3)),IF(INDEX(properties!A$1:CB$87,'Fórmula'!D9,3)=0,10^6,INDEX(properties!A$1:CB$87,'Fórmula'!D9,3)),IF(INDEX(properties!A$1:CB$87,'Fórmula'!F9,3)=0,10^6,INDEX(properties!A$1:CB$87,'Fórmula'!F9,3)),IF(INDEX(properties!A$1:CB$87,'Fórmula'!H9,3)=0,10^6,INDEX(properties!A$1:CB$87,'Fórmula'!H9,3)),IF(INDEX(properties!A$1:CB$87,'Fórmula'!J9,3)=0,10^6,INDEX(properties!A$1:CB$87,'Fórmula'!J9,3)))</f>
        <v>15.9994</v>
      </c>
      <c r="G9" s="101">
        <f t="shared" si="1"/>
        <v>24.0786</v>
      </c>
      <c r="H9" s="102">
        <f t="array" ref="H9">(('Fórmula'!C9)/('Fórmula'!C9+'Fórmula'!E9+'Fórmula'!G9+'Fórmula'!I9+'Fórmula'!K9))*(INDEX(properties!A$1:CB$87,'Fórmula'!B9,4))+(('Fórmula'!E9)/('Fórmula'!C9+'Fórmula'!E9+'Fórmula'!G9+'Fórmula'!I9+'Fórmula'!K9))*(INDEX(properties!A$1:CB$87,'Fórmula'!D9,4))+(('Fórmula'!G9)/('Fórmula'!C9+'Fórmula'!E9+'Fórmula'!G9+'Fórmula'!I9+'Fórmula'!K9))*(INDEX(properties!A$1:CB$87,'Fórmula'!F9,4))+(('Fórmula'!I9)/('Fórmula'!C9+'Fórmula'!E9+'Fórmula'!G9+'Fórmula'!I9+'Fórmula'!K9))*(INDEX(properties!A$1:CB$87,'Fórmula'!H9,4))+(('Fórmula'!K9)/('Fórmula'!C9+'Fórmula'!E9+'Fórmula'!G9+'Fórmula'!I9+'Fórmula'!K9))*(INDEX(properties!A$1:CB$87,'Fórmula'!J9,4))</f>
        <v>12.28571429</v>
      </c>
      <c r="I9" s="102">
        <f t="array" ref="I9">'Fórmula'!C9*(INDEX(properties!A$1:CB$87,'Fórmula'!B9,4))+'Fórmula'!E9*(INDEX(properties!A$1:CB$87,'Fórmula'!D9,4))+'Fórmula'!G9*(INDEX(properties!A$1:CB$87,'Fórmula'!F9,4))+'Fórmula'!I9*(INDEX(properties!A$1:CB$87,'Fórmula'!H9,4))+'Fórmula'!K9*(INDEX(properties!A$1:CB$87,'Fórmula'!J9,4))</f>
        <v>86</v>
      </c>
      <c r="J9" s="102">
        <f t="array" ref="J9">VARP(IF(INDEX(properties!A$1:CB$87,'Fórmula'!B9,4)&lt;&gt;"",INDEX(properties!A$1:CB$87,'Fórmula'!B9,4)),IF(INDEX(properties!A$1:CB$87,'Fórmula'!D9,4)&lt;&gt;"",INDEX(properties!A$1:CB$87,'Fórmula'!D9,4)),IF(INDEX(properties!A$1:CB$87,'Fórmula'!F9,4)&lt;&gt;"",INDEX(properties!A$1:CB$87,'Fórmula'!F9,4)),IF(INDEX(properties!A$1:CB$87,'Fórmula'!H9,4)&lt;&gt;"",INDEX(properties!A$1:CB$87,'Fórmula'!H9,4)),IF(INDEX(properties!A$1:CB$87,'Fórmula'!J9,4)&lt;&gt;"",INDEX(properties!A$1:CB$87,'Fórmula'!J9,4)))</f>
        <v>56.24</v>
      </c>
      <c r="K9" s="102">
        <f t="array" ref="K9">MAX(INDEX(properties!A$1:CB$87,'Fórmula'!B9,4),INDEX(properties!A$1:CB$87,'Fórmula'!D9,4),INDEX(properties!A$1:CB$87,'Fórmula'!F9,4),INDEX(properties!A$1:CB$87,'Fórmula'!H9,4),INDEX(properties!A$1:CB$87,'Fórmula'!J9,4))</f>
        <v>20</v>
      </c>
      <c r="L9" s="102">
        <f t="array" ref="L9">MIN(IF(INDEX(properties!A$1:CB$87,'Fórmula'!B9,4)=0,10^6,INDEX(properties!A$1:CB$87,'Fórmula'!B9,4)),IF(INDEX(properties!A$1:CB$87,'Fórmula'!D9,4)=0,10^6,INDEX(properties!A$1:CB$87,'Fórmula'!D9,4)),IF(INDEX(properties!A$1:CB$87,'Fórmula'!F9,4)=0,10^6,INDEX(properties!A$1:CB$87,'Fórmula'!F9,4)),IF(INDEX(properties!A$1:CB$87,'Fórmula'!H9,4)=0,10^6,INDEX(properties!A$1:CB$87,'Fórmula'!H9,4)),IF(INDEX(properties!A$1:CB$87,'Fórmula'!J9,4)=0,10^6,INDEX(properties!A$1:CB$87,'Fórmula'!J9,4)))</f>
        <v>8</v>
      </c>
      <c r="M9" s="102">
        <f t="shared" si="2"/>
        <v>12</v>
      </c>
      <c r="N9" s="103">
        <f t="array" ref="N9">(('Fórmula'!C9)/('Fórmula'!C9+'Fórmula'!E9+'Fórmula'!G9+'Fórmula'!I9+'Fórmula'!K9))*(INDEX(properties!A$1:CB$87,'Fórmula'!B9,5))+(('Fórmula'!E9)/('Fórmula'!C9+'Fórmula'!E9+'Fórmula'!G9+'Fórmula'!I9+'Fórmula'!K9))*(INDEX(properties!A$1:CB$87,'Fórmula'!D9,5))+(('Fórmula'!G9)/('Fórmula'!C9+'Fórmula'!E9+'Fórmula'!G9+'Fórmula'!I9+'Fórmula'!K9))*(INDEX(properties!A$1:CB$87,'Fórmula'!F9,5))+(('Fórmula'!I9)/('Fórmula'!C9+'Fórmula'!E9+'Fórmula'!G9+'Fórmula'!I9+'Fórmula'!K9))*(INDEX(properties!A$1:CB$87,'Fórmula'!H9,5))+(('Fórmula'!K9)/('Fórmula'!C9+'Fórmula'!E9+'Fórmula'!G9+'Fórmula'!I9+'Fórmula'!K9))*(INDEX(properties!A$1:CB$87,'Fórmula'!J9,5))</f>
        <v>2.714285714</v>
      </c>
      <c r="O9" s="103">
        <f t="array" ref="O9">'Fórmula'!C9*(INDEX(properties!A$1:CB$87,'Fórmula'!B9,5))+'Fórmula'!E9*(INDEX(properties!A$1:CB$87,'Fórmula'!D9,5))+'Fórmula'!G9*(INDEX(properties!A$1:CB$87,'Fórmula'!F9,5))+'Fórmula'!I9*(INDEX(properties!A$1:CB$87,'Fórmula'!H9,5))+'Fórmula'!K9*(INDEX(properties!A$1:CB$87,'Fórmula'!J9,5))</f>
        <v>19</v>
      </c>
      <c r="P9" s="103">
        <f t="array" ref="P9">VARP(IF(INDEX(properties!A$1:CB$87,'Fórmula'!B9,5)&lt;&gt;"",INDEX(properties!A$1:CB$87,'Fórmula'!B9,5)),IF(INDEX(properties!A$1:CB$87,'Fórmula'!D9,5)&lt;&gt;"",INDEX(properties!A$1:CB$87,'Fórmula'!D9,5)),IF(INDEX(properties!A$1:CB$87,'Fórmula'!F9,5)&lt;&gt;"",INDEX(properties!A$1:CB$87,'Fórmula'!F9,5)),IF(INDEX(properties!A$1:CB$87,'Fórmula'!H9,5)&lt;&gt;"",INDEX(properties!A$1:CB$87,'Fórmula'!H9,5)),IF(INDEX(properties!A$1:CB$87,'Fórmula'!J9,5)&lt;&gt;"",INDEX(properties!A$1:CB$87,'Fórmula'!J9,5)))</f>
        <v>2.24</v>
      </c>
      <c r="Q9" s="103">
        <f t="array" ref="Q9">MAX(INDEX(properties!A$1:CB$87,'Fórmula'!B9,5),INDEX(properties!A$1:CB$87,'Fórmula'!D9,5),INDEX(properties!A$1:CB$87,'Fórmula'!F9,5),INDEX(properties!A$1:CB$87,'Fórmula'!H9,5),INDEX(properties!A$1:CB$87,'Fórmula'!J9,5))</f>
        <v>4</v>
      </c>
      <c r="R9" s="103">
        <f t="array" ref="R9">MIN(IF(INDEX(properties!A$1:CB$87,'Fórmula'!B9,5)=0,10^6,INDEX(properties!A$1:CB$87,'Fórmula'!B9,5)),IF(INDEX(properties!A$1:CB$87,'Fórmula'!D9,5)=0,10^6,INDEX(properties!A$1:CB$87,'Fórmula'!D9,5)),IF(INDEX(properties!A$1:CB$87,'Fórmula'!F9,5)=0,10^6,INDEX(properties!A$1:CB$87,'Fórmula'!F9,5)),IF(INDEX(properties!A$1:CB$87,'Fórmula'!H9,5)=0,10^6,INDEX(properties!A$1:CB$87,'Fórmula'!H9,5)),IF(INDEX(properties!A$1:CB$87,'Fórmula'!J9,5)=0,10^6,INDEX(properties!A$1:CB$87,'Fórmula'!J9,5)))</f>
        <v>2</v>
      </c>
      <c r="S9" s="103">
        <f t="shared" si="3"/>
        <v>2</v>
      </c>
      <c r="T9" s="104">
        <f t="array" ref="T9">(('Fórmula'!C9)/('Fórmula'!C9+'Fórmula'!E9+'Fórmula'!G9+'Fórmula'!I9+'Fórmula'!K9))*(INDEX(properties!A$1:CB$87,'Fórmula'!B9,6))+(('Fórmula'!E9)/('Fórmula'!C9+'Fórmula'!E9+'Fórmula'!G9+'Fórmula'!I9+'Fórmula'!K9))*(INDEX(properties!A$1:CB$87,'Fórmula'!D9,6))+(('Fórmula'!G9)/('Fórmula'!C9+'Fórmula'!E9+'Fórmula'!G9+'Fórmula'!I9+'Fórmula'!K9))*(INDEX(properties!A$1:CB$87,'Fórmula'!F9,6))+(('Fórmula'!I9)/('Fórmula'!C9+'Fórmula'!E9+'Fórmula'!G9+'Fórmula'!I9+'Fórmula'!K9))*(INDEX(properties!A$1:CB$87,'Fórmula'!H9,6))+(('Fórmula'!K9)/('Fórmula'!C9+'Fórmula'!E9+'Fórmula'!G9+'Fórmula'!I9+'Fórmula'!K9))*(INDEX(properties!A$1:CB$87,'Fórmula'!J9,6))</f>
        <v>11.71428571</v>
      </c>
      <c r="U9" s="104">
        <f t="array" ref="U9">'Fórmula'!C9*(INDEX(properties!A$1:CB$87,'Fórmula'!B9,6))+'Fórmula'!E9*(INDEX(properties!A$1:CB$87,'Fórmula'!D9,6))+'Fórmula'!G9*(INDEX(properties!A$1:CB$87,'Fórmula'!F9,6))+'Fórmula'!I9*(INDEX(properties!A$1:CB$87,'Fórmula'!H9,6))+'Fórmula'!K9*(INDEX(properties!A$1:CB$87,'Fórmula'!J9,6))</f>
        <v>82</v>
      </c>
      <c r="V9" s="103">
        <f t="array" ref="V9">VARP(IF(INDEX(properties!A$1:CB$87,'Fórmula'!B9,6)&lt;&gt;"",INDEX(properties!A$1:CB$87,'Fórmula'!B9,6)),IF(INDEX(properties!A$1:CB$87,'Fórmula'!D9,6)&lt;&gt;"",INDEX(properties!A$1:CB$87,'Fórmula'!D9,6)),IF(INDEX(properties!A$1:CB$87,'Fórmula'!F9,6)&lt;&gt;"",INDEX(properties!A$1:CB$87,'Fórmula'!F9,6)),IF(INDEX(properties!A$1:CB$87,'Fórmula'!H9,6)&lt;&gt;"",INDEX(properties!A$1:CB$87,'Fórmula'!H9,6)),IF(INDEX(properties!A$1:CB$87,'Fórmula'!J9,6)&lt;&gt;"",INDEX(properties!A$1:CB$87,'Fórmula'!J9,6)))</f>
        <v>50.96</v>
      </c>
      <c r="W9" s="104">
        <f t="array" ref="W9">MAX(INDEX(properties!A$1:CB$87,'Fórmula'!B9,6),INDEX(properties!A$1:CB$87,'Fórmula'!D9,6),INDEX(properties!A$1:CB$87,'Fórmula'!F9,6),INDEX(properties!A$1:CB$87,'Fórmula'!H9,4),INDEX(properties!A$1:CB$87,'Fórmula'!J9,6))</f>
        <v>15</v>
      </c>
      <c r="X9" s="104">
        <f t="array" ref="X9">MIN(IF(INDEX(properties!A$1:CB$87,'Fórmula'!B9,6)=0,10^6,INDEX(properties!A$1:CB$87,'Fórmula'!B9,6)),IF(INDEX(properties!A$1:CB$87,'Fórmula'!D9,6)=0,10^6,INDEX(properties!A$1:CB$87,'Fórmula'!D9,6)),IF(INDEX(properties!A$1:CB$87,'Fórmula'!F9,6)=0,10^6,INDEX(properties!A$1:CB$87,'Fórmula'!F9,6)),IF(INDEX(properties!A$1:CB$87,'Fórmula'!H9,6)=0,10^6,INDEX(properties!A$1:CB$87,'Fórmula'!H9,6)),IF(INDEX(properties!A$1:CB$87,'Fórmula'!J9,6)=0,10^6,INDEX(properties!A$1:CB$87,'Fórmula'!J9,6)))</f>
        <v>1</v>
      </c>
      <c r="Y9" s="104">
        <f t="shared" si="4"/>
        <v>14</v>
      </c>
      <c r="Z9" s="105">
        <f t="array" ref="Z9">(('Fórmula'!C9)/('Fórmula'!C9+'Fórmula'!E9+'Fórmula'!G9+'Fórmula'!I9+'Fórmula'!K9))*(INDEX(properties!A$1:CB$87,'Fórmula'!B9,9))+(('Fórmula'!E9)/('Fórmula'!C9+'Fórmula'!E9+'Fórmula'!G9+'Fórmula'!I9+'Fórmula'!K9))*(INDEX(properties!A$1:CB$87,'Fórmula'!D9,9))+(('Fórmula'!G9)/('Fórmula'!C9+'Fórmula'!E9+'Fórmula'!G9+'Fórmula'!I9+'Fórmula'!K9))*(INDEX(properties!A$1:CB$87,'Fórmula'!F9,9))+(('Fórmula'!I9)/('Fórmula'!C9+'Fórmula'!E9+'Fórmula'!G9+'Fórmula'!I9+'Fórmula'!K9))*(INDEX(properties!A$1:CB$87,'Fórmula'!H9,9))+(('Fórmula'!K9)/('Fórmula'!C9+'Fórmula'!E9+'Fórmula'!G9+'Fórmula'!I9+'Fórmula'!K9))*(INDEX(properties!A$1:CB$87,'Fórmula'!J9,9))</f>
        <v>63</v>
      </c>
      <c r="AA9" s="105">
        <f t="array" ref="AA9">'Fórmula'!C9*(INDEX(properties!A$1:CB$87,'Fórmula'!B9,9))+'Fórmula'!E9*(INDEX(properties!A$1:CB$87,'Fórmula'!D9,9))+'Fórmula'!G9*(INDEX(properties!A$1:CB$87,'Fórmula'!F9,9))+'Fórmula'!I9*(INDEX(properties!A$1:CB$87,'Fórmula'!H9,9))+'Fórmula'!K9*(INDEX(properties!A$1:CB$87,'Fórmula'!J9,9))</f>
        <v>441</v>
      </c>
      <c r="AB9" s="105">
        <f t="array" ref="AB9">VARP(IF(INDEX(properties!A$1:CB$87,'Fórmula'!B9,9)&lt;&gt;"",INDEX(properties!A$1:CB$87,'Fórmula'!B9,9)),IF(INDEX(properties!A$1:CB$87,'Fórmula'!D9,9)&lt;&gt;"",INDEX(properties!A$1:CB$87,'Fórmula'!D9,9)),IF(INDEX(properties!A$1:CB$87,'Fórmula'!F9,9)&lt;&gt;"",INDEX(properties!A$1:CB$87,'Fórmula'!F9,9)),IF(INDEX(properties!A$1:CB$87,'Fórmula'!H9,9)&lt;&gt;"",INDEX(properties!A$1:CB$87,'Fórmula'!H9,9)),IF(INDEX(properties!A$1:CB$87,'Fórmula'!J9,9)&lt;&gt;"",INDEX(properties!A$1:CB$87,'Fórmula'!J9,9)))</f>
        <v>1607.2</v>
      </c>
      <c r="AC9" s="105">
        <f t="array" ref="AC9">MAX(INDEX(properties!A$1:CB$87,'Fórmula'!B9,9),INDEX(properties!A$1:CB$87,'Fórmula'!D9,9),INDEX(properties!A$1:CB$87,'Fórmula'!F9,9),INDEX(properties!A$1:CB$87,'Fórmula'!H9,9),INDEX(properties!A$1:CB$87,'Fórmula'!J9,9))</f>
        <v>87</v>
      </c>
      <c r="AD9" s="105">
        <f t="array" ref="AD9">MIN(IF(INDEX(properties!A$1:CB$87,'Fórmula'!B9,9)=0,10^6,INDEX(properties!A$1:CB$87,'Fórmula'!B9,9)),IF(INDEX(properties!A$1:CB$87,'Fórmula'!D9,9)=0,10^6,INDEX(properties!A$1:CB$87,'Fórmula'!D9,9)),IF(INDEX(properties!A$1:CB$87,'Fórmula'!F9,9)=0,10^6,INDEX(properties!A$1:CB$87,'Fórmula'!F9,9)),IF(INDEX(properties!A$1:CB$87,'Fórmula'!H9,9)=0,10^6,INDEX(properties!A$1:CB$87,'Fórmula'!H9,9)),IF(INDEX(properties!A$1:CB$87,'Fórmula'!J9,9)=0,10^6,INDEX(properties!A$1:CB$87,'Fórmula'!J9,9)))</f>
        <v>3</v>
      </c>
      <c r="AE9" s="105">
        <f t="shared" si="5"/>
        <v>84</v>
      </c>
      <c r="AF9" s="106">
        <f t="array" ref="AF9">(('Fórmula'!C9)/('Fórmula'!C9+'Fórmula'!E9+'Fórmula'!G9+'Fórmula'!I9+'Fórmula'!K9))*(INDEX(properties!A$1:CB$87,'Fórmula'!B9,10))+(('Fórmula'!E9)/('Fórmula'!C9+'Fórmula'!E9+'Fórmula'!G9+'Fórmula'!I9+'Fórmula'!K9))*(INDEX(properties!A$1:CB$87,'Fórmula'!D9,10))+(('Fórmula'!G9)/('Fórmula'!C9+'Fórmula'!E9+'Fórmula'!G9+'Fórmula'!I9+'Fórmula'!K9))*(INDEX(properties!A$1:CB$87,'Fórmula'!F9,10))+(('Fórmula'!I9)/('Fórmula'!C9+'Fórmula'!E9+'Fórmula'!G9+'Fórmula'!I9+'Fórmula'!K9))*(INDEX(properties!A$1:CB$87,'Fórmula'!H9,10))+(('Fórmula'!K9)/('Fórmula'!C9+'Fórmula'!E9+'Fórmula'!G9+'Fórmula'!I9+'Fórmula'!K9))*(INDEX(properties!A$1:CB$87,'Fórmula'!J9,10))</f>
        <v>5.428571429</v>
      </c>
      <c r="AG9" s="106">
        <f t="array" ref="AG9">'Fórmula'!C9*(INDEX(properties!A$1:CB$87,'Fórmula'!B9,10))+'Fórmula'!E9*(INDEX(properties!A$1:CB$87,'Fórmula'!D9,10))+'Fórmula'!G9*(INDEX(properties!A$1:CB$87,'Fórmula'!F9,10))+'Fórmula'!I9*(INDEX(properties!A$1:CB$87,'Fórmula'!H9,10))+'Fórmula'!K9*(INDEX(properties!A$1:CB$87,'Fórmula'!J9,10))</f>
        <v>38</v>
      </c>
      <c r="AH9" s="106">
        <f t="array" ref="AH9">VARP(IF(INDEX(properties!A$1:CB$87,'Fórmula'!B9,10)&lt;&gt;"",INDEX(properties!A$1:CB$87,'Fórmula'!B9,10)),IF(INDEX(properties!A$1:CB$87,'Fórmula'!D9,10)&lt;&gt;"",INDEX(properties!A$1:CB$87,'Fórmula'!D9,10)),IF(INDEX(properties!A$1:CB$87,'Fórmula'!F9,10)&lt;&gt;"",INDEX(properties!A$1:CB$87,'Fórmula'!F9,10)),IF(INDEX(properties!A$1:CB$87,'Fórmula'!H9,10)&lt;&gt;"",INDEX(properties!A$1:CB$87,'Fórmula'!H9,10)),IF(INDEX(properties!A$1:CB$87,'Fórmula'!J9,10)&lt;&gt;"",INDEX(properties!A$1:CB$87,'Fórmula'!J9,10)))</f>
        <v>9.04</v>
      </c>
      <c r="AI9" s="106">
        <f t="array" ref="AI9">MAX(INDEX(properties!A$1:CB$87,'Fórmula'!B9,10),INDEX(properties!A$1:CB$87,'Fórmula'!D9,10),INDEX(properties!A$1:CB$87,'Fórmula'!F9,10),INDEX(properties!A$1:CB$87,'Fórmula'!H9,10),INDEX(properties!A$1:CB$87,'Fórmula'!J9,10))</f>
        <v>7</v>
      </c>
      <c r="AJ9" s="106">
        <f t="array" ref="AJ9">MIN(IF(INDEX(properties!A$1:CB$87,'Fórmula'!B9,10)=0,10^6,INDEX(properties!A$1:CB$87,'Fórmula'!B9,10)),IF(INDEX(properties!A$1:CB$87,'Fórmula'!D9,10)=0,10^6,INDEX(properties!A$1:CB$87,'Fórmula'!D9,10)),IF(INDEX(properties!A$1:CB$87,'Fórmula'!F9,10)=0,10^6,INDEX(properties!A$1:CB$87,'Fórmula'!F9,10)),IF(INDEX(properties!A$1:CB$87,'Fórmula'!H9,10)=0,10^6,INDEX(properties!A$1:CB$87,'Fórmula'!H9,10)),IF(INDEX(properties!A$1:CB$87,'Fórmula'!J9,10)=0,10^6,INDEX(properties!A$1:CB$87,'Fórmula'!J9,10)))</f>
        <v>1</v>
      </c>
      <c r="AK9" s="106">
        <f t="shared" si="6"/>
        <v>6</v>
      </c>
      <c r="AL9" s="107">
        <f t="array" ref="AL9">(('Fórmula'!C9)/('Fórmula'!C9+'Fórmula'!E9+'Fórmula'!G9+'Fórmula'!I9+'Fórmula'!K9))*(INDEX(properties!A$1:CB$87,'Fórmula'!B9,11))+(('Fórmula'!E9)/('Fórmula'!C9+'Fórmula'!E9+'Fórmula'!G9+'Fórmula'!I9+'Fórmula'!K9))*(INDEX(properties!A$1:CB$87,'Fórmula'!D9,11))+(('Fórmula'!G9)/('Fórmula'!C9+'Fórmula'!E9+'Fórmula'!G9+'Fórmula'!I9+'Fórmula'!K9))*(INDEX(properties!A$1:CB$87,'Fórmula'!F9,11))+(('Fórmula'!I9)/('Fórmula'!C9+'Fórmula'!E9+'Fórmula'!G9+'Fórmula'!I9+'Fórmula'!K9))*(INDEX(properties!A$1:CB$87,'Fórmula'!H9,11))+(('Fórmula'!K9)/('Fórmula'!C9+'Fórmula'!E9+'Fórmula'!G9+'Fórmula'!I9+'Fórmula'!K9))*(INDEX(properties!A$1:CB$87,'Fórmula'!J9,11))</f>
        <v>1.857142857</v>
      </c>
      <c r="AM9" s="107">
        <f t="array" ref="AM9">'Fórmula'!C9*(INDEX(properties!A$1:CB$87,'Fórmula'!B9,11))+'Fórmula'!E9*(INDEX(properties!A$1:CB$87,'Fórmula'!D9,11))+'Fórmula'!G9*(INDEX(properties!A$1:CB$87,'Fórmula'!F9,11))+'Fórmula'!I9*(INDEX(properties!A$1:CB$87,'Fórmula'!H9,11))+'Fórmula'!K9*(INDEX(properties!A$1:CB$87,'Fórmula'!J9,11))</f>
        <v>13</v>
      </c>
      <c r="AN9" s="107">
        <f t="array" ref="AN9">VARP(IF(INDEX(properties!A$1:CB$87,'Fórmula'!B9,11)&lt;&gt;"",INDEX(properties!A$1:CB$87,'Fórmula'!B9,11)),IF(INDEX(properties!A$1:CB$87,'Fórmula'!D9,11)&lt;&gt;"",INDEX(properties!A$1:CB$87,'Fórmula'!D9,11)),IF(INDEX(properties!A$1:CB$87,'Fórmula'!F9,11)&lt;&gt;"",INDEX(properties!A$1:CB$87,'Fórmula'!F9,11)),IF(INDEX(properties!A$1:CB$87,'Fórmula'!H9,11)&lt;&gt;"",INDEX(properties!A$1:CB$87,'Fórmula'!H9,11)),IF(INDEX(properties!A$1:CB$87,'Fórmula'!J9,11)&lt;&gt;"",INDEX(properties!A$1:CB$87,'Fórmula'!J9,11)))</f>
        <v>0.64</v>
      </c>
      <c r="AO9" s="107">
        <f t="array" ref="AO9">MAX(INDEX(properties!A$1:CB$87,'Fórmula'!B9,11),INDEX(properties!A$1:CB$87,'Fórmula'!D9,11),INDEX(properties!A$1:CB$87,'Fórmula'!F9,11),INDEX(properties!A$1:CB$87,'Fórmula'!H9,11),INDEX(properties!A$1:CB$87,'Fórmula'!J9,11))</f>
        <v>2</v>
      </c>
      <c r="AP9" s="107">
        <f t="array" ref="AP9">MIN(IF('Fórmula'!B9=87,10^6,INDEX(properties!A$1:CB$87,'Fórmula'!B9,11)),IF(('Fórmula'!D9)=87,10^6,INDEX(properties!A$1:CB$87,'Fórmula'!D9,11)),IF(('Fórmula'!F9)=87,10^6,INDEX(properties!A$1:CB$87,'Fórmula'!F9,11)),IF(('Fórmula'!H9)=87,10^6,INDEX(properties!A$1:CB$87,'Fórmula'!H9,11)),IF('Fórmula'!J9=87,10^6,INDEX(properties!A$1:CB$87,'Fórmula'!J9,11)))</f>
        <v>1</v>
      </c>
      <c r="AQ9" s="107">
        <f t="shared" si="7"/>
        <v>1</v>
      </c>
      <c r="AR9" s="108">
        <f t="array" ref="AR9">(('Fórmula'!C9)/('Fórmula'!C9+'Fórmula'!E9+'Fórmula'!G9+'Fórmula'!I9+'Fórmula'!K9))*(INDEX(properties!A$1:CB$87,'Fórmula'!B9,12))+(('Fórmula'!E9)/('Fórmula'!C9+'Fórmula'!E9+'Fórmula'!G9+'Fórmula'!I9+'Fórmula'!K9))*(INDEX(properties!A$1:CB$87,'Fórmula'!D9,12))+(('Fórmula'!G9)/('Fórmula'!C9+'Fórmula'!E9+'Fórmula'!G9+'Fórmula'!I9+'Fórmula'!K9))*(INDEX(properties!A$1:CB$87,'Fórmula'!F9,12))+(('Fórmula'!I9)/('Fórmula'!C9+'Fórmula'!E9+'Fórmula'!G9+'Fórmula'!I9+'Fórmula'!K9))*(INDEX(properties!A$1:CB$87,'Fórmula'!H9,12))+(('Fórmula'!K9)/('Fórmula'!C9+'Fórmula'!E9+'Fórmula'!G9+'Fórmula'!I9+'Fórmula'!K9))*(INDEX(properties!A$1:CB$87,'Fórmula'!J9,12))</f>
        <v>2.714285714</v>
      </c>
      <c r="AS9" s="108">
        <f t="array" ref="AS9">'Fórmula'!C9*(INDEX(properties!A$1:CB$87,'Fórmula'!B9,12))+'Fórmula'!E9*(INDEX(properties!A$1:CB$87,'Fórmula'!D9,12))+'Fórmula'!G9*(INDEX(properties!A$1:CB$87,'Fórmula'!F9,12))+'Fórmula'!I9*(INDEX(properties!A$1:CB$87,'Fórmula'!H9,12))+'Fórmula'!K9*(INDEX(properties!A$1:CB$87,'Fórmula'!J9,12))</f>
        <v>19</v>
      </c>
      <c r="AT9" s="108">
        <f t="array" ref="AT9">VARP(IF(INDEX(properties!A$1:CB$87,'Fórmula'!B9,12)&lt;&gt;"",INDEX(properties!A$1:CB$87,'Fórmula'!B9,12)),IF(INDEX(properties!A$1:CB$87,'Fórmula'!D9,12)&lt;&gt;"",INDEX(properties!A$1:CB$87,'Fórmula'!D9,12)),IF(INDEX(properties!A$1:CB$87,'Fórmula'!F9,12)&lt;&gt;"",INDEX(properties!A$1:CB$87,'Fórmula'!F9,12)),IF(INDEX(properties!A$1:CB$87,'Fórmula'!H9,12)&lt;&gt;"",INDEX(properties!A$1:CB$87,'Fórmula'!H9,12)),IF(INDEX(properties!A$1:CB$87,'Fórmula'!J9,12)&lt;&gt;"",INDEX(properties!A$1:CB$87,'Fórmula'!J9,12)))</f>
        <v>3.04</v>
      </c>
      <c r="AU9" s="108">
        <f t="array" ref="AU9">MAX(INDEX(properties!A$1:CB$87,'Fórmula'!B9,12),INDEX(properties!A$1:CB$87,'Fórmula'!D9,12),INDEX(properties!A$1:CB$87,'Fórmula'!F9,12),INDEX(properties!A$1:CB$87,'Fórmula'!H9,12),INDEX(properties!A$1:CB$87,'Fórmula'!J9,12))</f>
        <v>4</v>
      </c>
      <c r="AV9" s="108">
        <f t="array" ref="AV9">MIN(IF('Fórmula'!B9=87,10^6,INDEX(properties!A$1:CB$87,'Fórmula'!B9,12)),IF(('Fórmula'!D9)=87,10^6,INDEX(properties!A$1:CB$87,'Fórmula'!D9,12)),IF(('Fórmula'!F9)=87,10^6,INDEX(properties!A$1:CB$87,'Fórmula'!F9,12)),IF(('Fórmula'!H9)=87,10^6,INDEX(properties!A$1:CB$87,'Fórmula'!H9,12)),IF('Fórmula'!J9=87,10^6,INDEX(properties!A$1:CB$87,'Fórmula'!J9,12)))</f>
        <v>0</v>
      </c>
      <c r="AW9" s="108">
        <f t="shared" si="8"/>
        <v>4</v>
      </c>
      <c r="AX9" s="109">
        <f t="array" ref="AX9">(('Fórmula'!C9)/('Fórmula'!C9+'Fórmula'!E9+'Fórmula'!G9+'Fórmula'!I9+'Fórmula'!K9))*(INDEX(properties!A$1:CB$87,'Fórmula'!B9,13))+(('Fórmula'!E9)/('Fórmula'!C9+'Fórmula'!E9+'Fórmula'!G9+'Fórmula'!I9+'Fórmula'!K9))*(INDEX(properties!A$1:CB$87,'Fórmula'!D9,13))+(('Fórmula'!G9)/('Fórmula'!C9+'Fórmula'!E9+'Fórmula'!G9+'Fórmula'!I9+'Fórmula'!K9))*(INDEX(properties!A$1:CB$87,'Fórmula'!F9,13))+(('Fórmula'!I9)/('Fórmula'!C9+'Fórmula'!E9+'Fórmula'!G9+'Fórmula'!I9+'Fórmula'!K9))*(INDEX(properties!A$1:CB$87,'Fórmula'!H9,13))+(('Fórmula'!K9)/('Fórmula'!C9+'Fórmula'!E9+'Fórmula'!G9+'Fórmula'!I9+'Fórmula'!K9))*(INDEX(properties!A$1:CB$87,'Fórmula'!J9,13))</f>
        <v>0</v>
      </c>
      <c r="AY9" s="109">
        <f t="array" ref="AY9">'Fórmula'!C9*(INDEX(properties!A$1:CB$87,'Fórmula'!B9,13))+'Fórmula'!E9*(INDEX(properties!A$1:CB$87,'Fórmula'!D9,13))+'Fórmula'!G9*(INDEX(properties!A$1:CB$87,'Fórmula'!F9,13))+'Fórmula'!I9*(INDEX(properties!A$1:CB$87,'Fórmula'!H9,13))+'Fórmula'!K9*(INDEX(properties!A$1:CB$87,'Fórmula'!J9,13))</f>
        <v>0</v>
      </c>
      <c r="AZ9" s="109">
        <f t="array" ref="AZ9">VARP(IF(INDEX(properties!A$1:CB$87,'Fórmula'!B9,13)&lt;&gt;"",INDEX(properties!A$1:CB$87,'Fórmula'!B9,13)),IF(INDEX(properties!A$1:CB$87,'Fórmula'!D9,13)&lt;&gt;"",INDEX(properties!A$1:CB$87,'Fórmula'!D9,13)),IF(INDEX(properties!A$1:CB$87,'Fórmula'!F9,13)&lt;&gt;"",INDEX(properties!A$1:CB$87,'Fórmula'!F9,13)),IF(INDEX(properties!A$1:CB$87,'Fórmula'!H9,13)&lt;&gt;"",INDEX(properties!A$1:CB$87,'Fórmula'!H9,13)),IF(INDEX(properties!A$1:CB$87,'Fórmula'!J9,13)&lt;&gt;"",INDEX(properties!A$1:CB$87,'Fórmula'!J9,13)))</f>
        <v>0</v>
      </c>
      <c r="BA9" s="109">
        <f t="array" ref="BA9">MAX(INDEX(properties!A$1:CB$87,'Fórmula'!B9,13),INDEX(properties!A$1:CB$87,'Fórmula'!D9,13),INDEX(properties!A$1:CB$87,'Fórmula'!F9,13),INDEX(properties!A$1:CB$87,'Fórmula'!H9,13),INDEX(properties!A$1:CB$87,'Fórmula'!J9,13))</f>
        <v>0</v>
      </c>
      <c r="BB9" s="109">
        <f t="array" ref="BB9">MIN(IF('Fórmula'!B9=87,10^6,INDEX(properties!A$1:CB$87,'Fórmula'!B9,13)),IF(('Fórmula'!D9)=87,10^6,INDEX(properties!A$1:CB$87,'Fórmula'!D9,13)),IF(('Fórmula'!F9)=87,10^6,INDEX(properties!A$1:CB$87,'Fórmula'!F9,13)),IF(('Fórmula'!H9)=87,10^6,INDEX(properties!A$1:CB$87,'Fórmula'!H9,13)),IF('Fórmula'!J9=87,10^6,INDEX(properties!A$1:CB$87,'Fórmula'!J9,13)))</f>
        <v>0</v>
      </c>
      <c r="BC9" s="109">
        <f t="shared" si="9"/>
        <v>0</v>
      </c>
      <c r="BD9" s="110">
        <f t="array" ref="BD9">(('Fórmula'!C9)/('Fórmula'!C9+'Fórmula'!E9+'Fórmula'!G9+'Fórmula'!I9+'Fórmula'!K9))*(INDEX(properties!A$1:CB$87,'Fórmula'!B9,14))+(('Fórmula'!E9)/('Fórmula'!C9+'Fórmula'!E9+'Fórmula'!G9+'Fórmula'!I9+'Fórmula'!K9))*(INDEX(properties!A$1:CB$87,'Fórmula'!D9,14))+(('Fórmula'!G9)/('Fórmula'!C9+'Fórmula'!E9+'Fórmula'!G9+'Fórmula'!I9+'Fórmula'!K9))*(INDEX(properties!A$1:CB$87,'Fórmula'!F9,14))+(('Fórmula'!I9)/('Fórmula'!C9+'Fórmula'!E9+'Fórmula'!G9+'Fórmula'!I9+'Fórmula'!K9))*(INDEX(properties!A$1:CB$87,'Fórmula'!H9,14))+(('Fórmula'!K9)/('Fórmula'!C9+'Fórmula'!E9+'Fórmula'!G9+'Fórmula'!I9+'Fórmula'!K9))*(INDEX(properties!A$1:CB$87,'Fórmula'!J9,14))</f>
        <v>0</v>
      </c>
      <c r="BE9" s="110">
        <f t="array" ref="BE9">'Fórmula'!C9*(INDEX(properties!A$1:CB$87,'Fórmula'!B9,14))+'Fórmula'!E9*(INDEX(properties!A$1:CB$87,'Fórmula'!D9,14))+'Fórmula'!G9*(INDEX(properties!A$1:CB$87,'Fórmula'!F9,14))+'Fórmula'!I9*(INDEX(properties!A$1:CB$87,'Fórmula'!H9,14))+'Fórmula'!K9*(INDEX(properties!A$1:CB$87,'Fórmula'!J9,14))</f>
        <v>0</v>
      </c>
      <c r="BF9" s="110">
        <f t="array" ref="BF9">VARP(IF(INDEX(properties!A$1:CB$87,'Fórmula'!B9,14)&lt;&gt;"",INDEX(properties!A$1:CB$87,'Fórmula'!B9,14)),IF(INDEX(properties!A$1:CB$87,'Fórmula'!D9,14)&lt;&gt;"",INDEX(properties!A$1:CB$87,'Fórmula'!D9,14)),IF(INDEX(properties!A$1:CB$87,'Fórmula'!F9,14)&lt;&gt;"",INDEX(properties!A$1:CB$87,'Fórmula'!F9,14)),IF(INDEX(properties!A$1:CB$87,'Fórmula'!H9,14)&lt;&gt;"",INDEX(properties!A$1:CB$87,'Fórmula'!H9,14)),IF(INDEX(properties!A$1:CB$87,'Fórmula'!J9,14)&lt;&gt;"",INDEX(properties!A$1:CB$87,'Fórmula'!J9,14)))</f>
        <v>0</v>
      </c>
      <c r="BG9" s="110">
        <f t="array" ref="BG9">MAX(INDEX(properties!A$1:CB$87,'Fórmula'!B9,14),INDEX(properties!A$1:CB$87,'Fórmula'!D9,14),INDEX(properties!A$1:CB$87,'Fórmula'!F9,14),INDEX(properties!A$1:CB$87,'Fórmula'!H9,14),INDEX(properties!A$1:CB$87,'Fórmula'!J9,14))</f>
        <v>0</v>
      </c>
      <c r="BH9" s="110">
        <f t="array" ref="BH9">MIN(IF('Fórmula'!B9=87,10^6,INDEX(properties!A$1:CB$87,'Fórmula'!B9,14)),IF(('Fórmula'!D9)=87,10^6,INDEX(properties!A$1:CB$87,'Fórmula'!D9,14)),IF(('Fórmula'!F9)=87,10^6,INDEX(properties!A$1:CB$87,'Fórmula'!F9,14)),IF(('Fórmula'!H9)=87,10^6,INDEX(properties!A$1:CB$87,'Fórmula'!H9,14)),IF('Fórmula'!J9=87,10^6,INDEX(properties!A$1:CB$87,'Fórmula'!J9,14)))</f>
        <v>0</v>
      </c>
      <c r="BI9" s="110">
        <f t="shared" si="10"/>
        <v>0</v>
      </c>
      <c r="BJ9" s="111">
        <f t="array" ref="BJ9">(('Fórmula'!C9)/('Fórmula'!C9+'Fórmula'!E9+'Fórmula'!G9+'Fórmula'!I9+'Fórmula'!K9))*(INDEX(properties!A$1:CB$87,'Fórmula'!B9,19))+(('Fórmula'!E9)/('Fórmula'!C9+'Fórmula'!E9+'Fórmula'!G9+'Fórmula'!I9+'Fórmula'!K9))*(INDEX(properties!A$1:CB$87,'Fórmula'!D9,19))+(('Fórmula'!G9)/('Fórmula'!C9+'Fórmula'!E9+'Fórmula'!G9+'Fórmula'!I9+'Fórmula'!K9))*(INDEX(properties!A$1:CB$87,'Fórmula'!F9,19))+(('Fórmula'!I9)/('Fórmula'!C9+'Fórmula'!E9+'Fórmula'!G9+'Fórmula'!I9+'Fórmula'!K9))*(INDEX(properties!A$1:CB$87,'Fórmula'!H9,19))+(('Fórmula'!K9)/('Fórmula'!C9+'Fórmula'!E9+'Fórmula'!G9+'Fórmula'!I9+'Fórmula'!K9))*(INDEX(properties!A$1:CB$87,'Fórmula'!J9,19))</f>
        <v>4.571428571</v>
      </c>
      <c r="BK9" s="111">
        <f t="array" ref="BK9">'Fórmula'!C9*(INDEX(properties!A$1:CB$87,'Fórmula'!B9,19))+'Fórmula'!E9*(INDEX(properties!A$1:CB$87,'Fórmula'!D9,19))+'Fórmula'!G9*(INDEX(properties!A$1:CB$87,'Fórmula'!F9,19))+'Fórmula'!I9*(INDEX(properties!A$1:CB$87,'Fórmula'!H9,19))+'Fórmula'!K9*(INDEX(properties!A$1:CB$87,'Fórmula'!J9,19))</f>
        <v>32</v>
      </c>
      <c r="BL9" s="111">
        <f t="array" ref="BL9">VARP(IF(INDEX(properties!A$1:CB$87,'Fórmula'!B9,19)&lt;&gt;"",INDEX(properties!A$1:CB$87,'Fórmula'!B9,19)),IF(INDEX(properties!A$1:CB$87,'Fórmula'!D9,19)&lt;&gt;"",INDEX(properties!A$1:CB$87,'Fórmula'!D9,19)),IF(INDEX(properties!A$1:CB$87,'Fórmula'!F9,19)&lt;&gt;"",INDEX(properties!A$1:CB$87,'Fórmula'!F9,19)),IF(INDEX(properties!A$1:CB$87,'Fórmula'!H9,19)&lt;&gt;"",INDEX(properties!A$1:CB$87,'Fórmula'!H9,19)),IF(INDEX(properties!A$1:CB$87,'Fórmula'!J9,19)&lt;&gt;"",INDEX(properties!A$1:CB$87,'Fórmula'!J9,19)))</f>
        <v>5.36</v>
      </c>
      <c r="BM9" s="111">
        <f t="array" ref="BM9">MAX(INDEX(properties!A$1:CB$87,'Fórmula'!B9,19),INDEX(properties!A$1:CB$87,'Fórmula'!D9,19),INDEX(properties!A$1:CB$87,'Fórmula'!F9,19),INDEX(properties!A$1:CB$87,'Fórmula'!H9,19),INDEX(properties!A$1:CB$87,'Fórmula'!J9,19))</f>
        <v>6</v>
      </c>
      <c r="BN9" s="111">
        <f t="array" ref="BN9">MIN(IF(INDEX(properties!A$1:CB$87,'Fórmula'!B9,19)=0,10^6,INDEX(properties!A$1:CB$87,'Fórmula'!B9,19)),IF(INDEX(properties!A$1:CB$87,'Fórmula'!D9,19)=0,10^6,INDEX(properties!A$1:CB$87,'Fórmula'!D9,19)),IF(INDEX(properties!A$1:CB$87,'Fórmula'!F9,19)=0,10^6,INDEX(properties!A$1:CB$87,'Fórmula'!F9,19)),IF(INDEX(properties!A$1:CB$87,'Fórmula'!H9,19)=0,10^6,INDEX(properties!A$1:CB$87,'Fórmula'!H9,19)),IF(INDEX(properties!A$1:CB$87,'Fórmula'!J9,19)=0,10^6,INDEX(properties!A$1:CB$87,'Fórmula'!J9,19)))</f>
        <v>1</v>
      </c>
      <c r="BO9" s="111">
        <f t="shared" si="11"/>
        <v>5</v>
      </c>
      <c r="BP9" s="112">
        <f t="array" ref="BP9">(('Fórmula'!C9)/('Fórmula'!C9+'Fórmula'!E9+'Fórmula'!G9+'Fórmula'!I9+'Fórmula'!K9))*(INDEX(properties!A$1:CB$87,'Fórmula'!B9,20))+(('Fórmula'!E9)/('Fórmula'!C9+'Fórmula'!E9+'Fórmula'!G9+'Fórmula'!I9+'Fórmula'!K9))*(INDEX(properties!A$1:CB$87,'Fórmula'!D9,20))+(('Fórmula'!G9)/('Fórmula'!C9+'Fórmula'!E9+'Fórmula'!G9+'Fórmula'!I9+'Fórmula'!K9))*(INDEX(properties!A$1:CB$87,'Fórmula'!F9,20))+(('Fórmula'!I9)/('Fórmula'!C9+'Fórmula'!E9+'Fórmula'!G9+'Fórmula'!I9+'Fórmula'!K9))*(INDEX(properties!A$1:CB$87,'Fórmula'!H9,20))+(('Fórmula'!K9)/('Fórmula'!C9+'Fórmula'!E9+'Fórmula'!G9+'Fórmula'!I9+'Fórmula'!K9))*(INDEX(properties!A$1:CB$87,'Fórmula'!J9,20))</f>
        <v>4.571428571</v>
      </c>
      <c r="BQ9" s="112">
        <f t="array" ref="BQ9">'Fórmula'!C9*(INDEX(properties!A$1:CB$87,'Fórmula'!B9,20))+'Fórmula'!E9*(INDEX(properties!A$1:CB$87,'Fórmula'!D9,20))+'Fórmula'!G9*(INDEX(properties!A$1:CB$87,'Fórmula'!F9,20))+'Fórmula'!I9*(INDEX(properties!A$1:CB$87,'Fórmula'!H9,20))+'Fórmula'!K9*(INDEX(properties!A$1:CB$87,'Fórmula'!J9,20))</f>
        <v>32</v>
      </c>
      <c r="BR9" s="112">
        <f t="array" ref="BR9">VARP(IF(INDEX(properties!A$1:CB$87,'Fórmula'!B9,20)&lt;&gt;"",INDEX(properties!A$1:CB$87,'Fórmula'!B9,20)),IF(INDEX(properties!A$1:CB$87,'Fórmula'!D9,20)&lt;&gt;"",INDEX(properties!A$1:CB$87,'Fórmula'!D9,20)),IF(INDEX(properties!A$1:CB$87,'Fórmula'!F9,20)&lt;&gt;"",INDEX(properties!A$1:CB$87,'Fórmula'!F9,20)),IF(INDEX(properties!A$1:CB$87,'Fórmula'!H9,20)&lt;&gt;"",INDEX(properties!A$1:CB$87,'Fórmula'!H9,20)),IF(INDEX(properties!A$1:CB$87,'Fórmula'!J9,20)&lt;&gt;"",INDEX(properties!A$1:CB$87,'Fórmula'!J9,20)))</f>
        <v>5.36</v>
      </c>
      <c r="BS9" s="112">
        <f t="array" ref="BS9">MAX(INDEX(properties!A$1:CB$87,'Fórmula'!B9,20),INDEX(properties!A$1:CB$87,'Fórmula'!D9,20),INDEX(properties!A$1:CB$87,'Fórmula'!F9,20),INDEX(properties!A$1:CB$87,'Fórmula'!H9,20),INDEX(properties!A$1:CB$87,'Fórmula'!J9,20))</f>
        <v>6</v>
      </c>
      <c r="BT9" s="112">
        <f t="array" ref="BT9">MIN(IF(INDEX(properties!A$1:CB$87,'Fórmula'!B9,20)=0,10^6,INDEX(properties!A$1:CB$87,'Fórmula'!B9,20)),IF(INDEX(properties!A$1:CB$87,'Fórmula'!D9,20)=0,10^6,INDEX(properties!A$1:CB$87,'Fórmula'!D9,20)),IF(INDEX(properties!A$1:CB$87,'Fórmula'!F9,20)=0,10^6,INDEX(properties!A$1:CB$87,'Fórmula'!F9,20)),IF(INDEX(properties!A$1:CB$87,'Fórmula'!H9,20)=0,10^6,INDEX(properties!A$1:CB$87,'Fórmula'!H9,20)),IF(INDEX(properties!A$1:CB$87,'Fórmula'!J9,20)=0,10^6,INDEX(properties!A$1:CB$87,'Fórmula'!J9,20)))</f>
        <v>1</v>
      </c>
      <c r="BU9" s="112">
        <f t="shared" si="12"/>
        <v>5</v>
      </c>
      <c r="BV9" s="113">
        <f t="array" ref="BV9">(('Fórmula'!C9)/('Fórmula'!C9+'Fórmula'!E9+'Fórmula'!G9+'Fórmula'!I9+'Fórmula'!K9))*(INDEX(properties!A$1:CB$87,'Fórmula'!B9,21))+(('Fórmula'!E9)/('Fórmula'!C9+'Fórmula'!E9+'Fórmula'!G9+'Fórmula'!I9+'Fórmula'!K9))*(INDEX(properties!A$1:CB$87,'Fórmula'!D9,21))+(('Fórmula'!G9)/('Fórmula'!C9+'Fórmula'!E9+'Fórmula'!G9+'Fórmula'!I9+'Fórmula'!K9))*(INDEX(properties!A$1:CB$87,'Fórmula'!F9,21))+(('Fórmula'!I9)/('Fórmula'!C9+'Fórmula'!E9+'Fórmula'!G9+'Fórmula'!I9+'Fórmula'!K9))*(INDEX(properties!A$1:CB$87,'Fórmula'!H9,21))+(('Fórmula'!K9)/('Fórmula'!C9+'Fórmula'!E9+'Fórmula'!G9+'Fórmula'!I9+'Fórmula'!K9))*(INDEX(properties!A$1:CB$87,'Fórmula'!J9,21))</f>
        <v>4.571428571</v>
      </c>
      <c r="BW9" s="113">
        <f t="array" ref="BW9">'Fórmula'!C9*(INDEX(properties!A$1:CB$87,'Fórmula'!B9,21))+'Fórmula'!E9*(INDEX(properties!A$1:CB$87,'Fórmula'!D9,21))+'Fórmula'!G9*(INDEX(properties!A$1:CB$87,'Fórmula'!F9,21))+'Fórmula'!I9*(INDEX(properties!A$1:CB$87,'Fórmula'!H9,21))+'Fórmula'!K9*(INDEX(properties!A$1:CB$87,'Fórmula'!J9,21))</f>
        <v>32</v>
      </c>
      <c r="BX9" s="113">
        <f t="array" ref="BX9">VARP(IF(INDEX(properties!A$1:CB$87,'Fórmula'!B9,21)&lt;&gt;"",INDEX(properties!A$1:CB$87,'Fórmula'!B9,21)),IF(INDEX(properties!A$1:CB$87,'Fórmula'!D9,21)&lt;&gt;"",INDEX(properties!A$1:CB$87,'Fórmula'!D9,21)),IF(INDEX(properties!A$1:CB$87,'Fórmula'!F9,21)&lt;&gt;"",INDEX(properties!A$1:CB$87,'Fórmula'!F9,21)),IF(INDEX(properties!A$1:CB$87,'Fórmula'!H9,21)&lt;&gt;"",INDEX(properties!A$1:CB$87,'Fórmula'!H9,21)),IF(INDEX(properties!A$1:CB$87,'Fórmula'!J9,21)&lt;&gt;"",INDEX(properties!A$1:CB$87,'Fórmula'!J9,21)))</f>
        <v>5.36</v>
      </c>
      <c r="BY9" s="113">
        <f t="array" ref="BY9">MAX(INDEX(properties!A$1:CB$87,'Fórmula'!B9,21),INDEX(properties!A$1:CB$87,'Fórmula'!D9,21),INDEX(properties!A$1:CB$87,'Fórmula'!F9,21),INDEX(properties!A$1:CB$87,'Fórmula'!H9,21),INDEX(properties!A$1:CB$87,'Fórmula'!J9,21))</f>
        <v>6</v>
      </c>
      <c r="BZ9" s="113">
        <f t="array" ref="BZ9">MIN(IF(INDEX(properties!A$1:CB$87,'Fórmula'!B9,21)=0,10^6,INDEX(properties!A$1:CB$87,'Fórmula'!B9,21)),IF(INDEX(properties!A$1:CB$87,'Fórmula'!D9,21)=0,10^6,INDEX(properties!A$1:CB$87,'Fórmula'!D9,21)),IF(INDEX(properties!A$1:CB$87,'Fórmula'!F9,21)=0,10^6,INDEX(properties!A$1:CB$87,'Fórmula'!F9,21)),IF(INDEX(properties!A$1:CB$87,'Fórmula'!H9,21)=0,10^6,INDEX(properties!A$1:CB$87,'Fórmula'!H9,21)),IF(INDEX(properties!A$1:CB$87,'Fórmula'!J9,21)=0,10^6,INDEX(properties!A$1:CB$87,'Fórmula'!J9,21)))</f>
        <v>1</v>
      </c>
      <c r="CA9" s="113">
        <f t="shared" si="13"/>
        <v>5</v>
      </c>
      <c r="CB9" s="114">
        <f t="array" ref="CB9">(('Fórmula'!C9)/('Fórmula'!C9+'Fórmula'!E9+'Fórmula'!G9+'Fórmula'!I9+'Fórmula'!K9))*(INDEX(properties!A$1:CB$87,'Fórmula'!B9,23))+(('Fórmula'!E9)/('Fórmula'!C9+'Fórmula'!E9+'Fórmula'!G9+'Fórmula'!I9+'Fórmula'!K9))*(INDEX(properties!A$1:CB$87,'Fórmula'!D9,23))+(('Fórmula'!G9)/('Fórmula'!C9+'Fórmula'!E9+'Fórmula'!G9+'Fórmula'!I9+'Fórmula'!K9))*(INDEX(properties!A$1:CB$87,'Fórmula'!F9,23))+(('Fórmula'!I9)/('Fórmula'!C9+'Fórmula'!E9+'Fórmula'!G9+'Fórmula'!I9+'Fórmula'!K9))*(INDEX(properties!A$1:CB$87,'Fórmula'!H9,23))+(('Fórmula'!K9)/('Fórmula'!C9+'Fórmula'!E9+'Fórmula'!G9+'Fórmula'!I9+'Fórmula'!K9))*(INDEX(properties!A$1:CB$87,'Fórmula'!J9,23))</f>
        <v>0.8571428571</v>
      </c>
      <c r="CC9" s="114">
        <f t="array" ref="CC9">'Fórmula'!C9*(INDEX(properties!A$1:CB$87,'Fórmula'!B9,23))+'Fórmula'!E9*(INDEX(properties!A$1:CB$87,'Fórmula'!D9,23))+'Fórmula'!G9*(INDEX(properties!A$1:CB$87,'Fórmula'!F9,23))+'Fórmula'!I9*(INDEX(properties!A$1:CB$87,'Fórmula'!H9,23))+'Fórmula'!K9*(INDEX(properties!A$1:CB$87,'Fórmula'!J9,23))</f>
        <v>6</v>
      </c>
      <c r="CD9" s="114">
        <f t="array" ref="CD9">VARP(IF(INDEX(properties!A$1:CB$87,'Fórmula'!B9,23)&lt;&gt;"",INDEX(properties!A$1:CB$87,'Fórmula'!B9,23)),IF(INDEX(properties!A$1:CB$87,'Fórmula'!D9,23)&lt;&gt;"",INDEX(properties!A$1:CB$87,'Fórmula'!D9,23)),IF(INDEX(properties!A$1:CB$87,'Fórmula'!F9,23)&lt;&gt;"",INDEX(properties!A$1:CB$87,'Fórmula'!F9,23)),IF(INDEX(properties!A$1:CB$87,'Fórmula'!H9,23)&lt;&gt;"",INDEX(properties!A$1:CB$87,'Fórmula'!H9,23)),IF(INDEX(properties!A$1:CB$87,'Fórmula'!J9,23)&lt;&gt;"",INDEX(properties!A$1:CB$87,'Fórmula'!J9,23)))</f>
        <v>1.36</v>
      </c>
      <c r="CE9" s="114">
        <f t="array" ref="CE9">MAX(INDEX(properties!A$1:CB$87,'Fórmula'!B9,23),INDEX(properties!A$1:CB$87,'Fórmula'!D9,23),INDEX(properties!A$1:CB$87,'Fórmula'!F9,23),INDEX(properties!A$1:CB$87,'Fórmula'!H9,23),INDEX(properties!A$1:CB$87,'Fórmula'!J9,23))</f>
        <v>3</v>
      </c>
      <c r="CF9" s="114">
        <f t="array" ref="CF9">MIN(IF('Fórmula'!B9=87,10^6,INDEX(properties!A$1:CB$87,'Fórmula'!B9,23)),IF(('Fórmula'!D9)=87,10^6,INDEX(properties!A$1:CB$87,'Fórmula'!D9,23)),IF(('Fórmula'!F9)=87,10^6,INDEX(properties!A$1:CB$87,'Fórmula'!F9,23)),IF(('Fórmula'!H9)=87,10^6,INDEX(properties!A$1:CB$87,'Fórmula'!H9,23)),IF('Fórmula'!J9=87,10^6,INDEX(properties!A$1:CB$87,'Fórmula'!J9,23)))</f>
        <v>0</v>
      </c>
      <c r="CG9" s="114">
        <f t="shared" si="14"/>
        <v>3</v>
      </c>
      <c r="CH9" s="115">
        <f t="array" ref="CH9">(('Fórmula'!C9)/('Fórmula'!C9+'Fórmula'!E9+'Fórmula'!G9+'Fórmula'!I9+'Fórmula'!K9))*(INDEX(properties!A$1:CB$87,'Fórmula'!B9,26))+(('Fórmula'!E9)/('Fórmula'!C9+'Fórmula'!E9+'Fórmula'!G9+'Fórmula'!I9+'Fórmula'!K9))*(INDEX(properties!A$1:CB$87,'Fórmula'!D9,26))+(('Fórmula'!G9)/('Fórmula'!C9+'Fórmula'!E9+'Fórmula'!G9+'Fórmula'!I9+'Fórmula'!K9))*(INDEX(properties!A$1:CB$87,'Fórmula'!F9,26))+(('Fórmula'!I9)/('Fórmula'!C9+'Fórmula'!E9+'Fórmula'!G9+'Fórmula'!I9+'Fórmula'!K9))*(INDEX(properties!A$1:CB$87,'Fórmula'!H9,26))+(('Fórmula'!K9)/('Fórmula'!C9+'Fórmula'!E9+'Fórmula'!G9+'Fórmula'!I9+'Fórmula'!K9))*(INDEX(properties!A$1:CB$87,'Fórmula'!J9,26))</f>
        <v>10.77328571</v>
      </c>
      <c r="CI9" s="115">
        <f t="array" ref="CI9">'Fórmula'!C9*(INDEX(properties!A$1:CB$87,'Fórmula'!B9,26))+'Fórmula'!E9*(INDEX(properties!A$1:CB$87,'Fórmula'!D9,26))+'Fórmula'!G9*(INDEX(properties!A$1:CB$87,'Fórmula'!F9,26))+'Fórmula'!I9*(INDEX(properties!A$1:CB$87,'Fórmula'!H9,26))+'Fórmula'!K9*(INDEX(properties!A$1:CB$87,'Fórmula'!J9,26))</f>
        <v>75.413</v>
      </c>
      <c r="CJ9" s="115">
        <f t="array" ref="CJ9">VARP(IF(INDEX(properties!A$1:CB$87,'Fórmula'!B9,26)&lt;&gt;"",INDEX(properties!A$1:CB$87,'Fórmula'!B9,26)),IF(INDEX(properties!A$1:CB$87,'Fórmula'!D9,26)&lt;&gt;"",INDEX(properties!A$1:CB$87,'Fórmula'!D9,26)),IF(INDEX(properties!A$1:CB$87,'Fórmula'!F9,26)&lt;&gt;"",INDEX(properties!A$1:CB$87,'Fórmula'!F9,26)),IF(INDEX(properties!A$1:CB$87,'Fórmula'!H9,26)&lt;&gt;"",INDEX(properties!A$1:CB$87,'Fórmula'!H9,26)),IF(INDEX(properties!A$1:CB$87,'Fórmula'!J9,26)&lt;&gt;"",INDEX(properties!A$1:CB$87,'Fórmula'!J9,26)))</f>
        <v>22.55513322</v>
      </c>
      <c r="CK9" s="116">
        <f t="array" ref="CK9">MAX(INDEX(properties!A$1:CB$87,'Fórmula'!B9,26),INDEX(properties!A$1:CB$87,'Fórmula'!D9,26),INDEX(properties!A$1:CB$87,'Fórmula'!F9,26),INDEX(properties!A$1:CB$87,'Fórmula'!H9,26),INDEX(properties!A$1:CB$87,'Fórmula'!J9,26))</f>
        <v>13.6181</v>
      </c>
      <c r="CL9" s="116">
        <f t="array" ref="CL9">MIN(IF(INDEX(properties!A$1:CB$87,'Fórmula'!B9,26)=0,10^6,INDEX(properties!A$1:CB$87,'Fórmula'!B9,26)),IF(INDEX(properties!A$1:CB$87,'Fórmula'!D9,26)=0,10^6,INDEX(properties!A$1:CB$87,'Fórmula'!D9,26)),IF(INDEX(properties!A$1:CB$87,'Fórmula'!F9,26)=0,10^6,INDEX(properties!A$1:CB$87,'Fórmula'!F9,26)),IF(INDEX(properties!A$1:CB$87,'Fórmula'!H9,26)=0,10^6,INDEX(properties!A$1:CB$87,'Fórmula'!H9,26)),IF(INDEX(properties!A$1:CB$87,'Fórmula'!J9,26)=0,10^6,INDEX(properties!A$1:CB$87,'Fórmula'!J9,26)))</f>
        <v>4.3407</v>
      </c>
      <c r="CM9" s="115">
        <f t="shared" si="15"/>
        <v>9.2774</v>
      </c>
      <c r="CN9" s="117">
        <f t="array" ref="CN9">(('Fórmula'!C9)/('Fórmula'!C9+'Fórmula'!E9+'Fórmula'!G9+'Fórmula'!I9+'Fórmula'!K9))*(INDEX(properties!A$1:CB$87,'Fórmula'!B9,30))+(('Fórmula'!E9)/('Fórmula'!C9+'Fórmula'!E9+'Fórmula'!G9+'Fórmula'!I9+'Fórmula'!K9))*(INDEX(properties!A$1:CB$87,'Fórmula'!D9,30))+(('Fórmula'!G9)/('Fórmula'!C9+'Fórmula'!E9+'Fórmula'!G9+'Fórmula'!I9+'Fórmula'!K9))*(INDEX(properties!A$1:CB$87,'Fórmula'!F9,30))+(('Fórmula'!I9)/('Fórmula'!C9+'Fórmula'!E9+'Fórmula'!G9+'Fórmula'!I9+'Fórmula'!K9))*(INDEX(properties!A$1:CB$87,'Fórmula'!H9,30))+(('Fórmula'!K9)/('Fórmula'!C9+'Fórmula'!E9+'Fórmula'!G9+'Fórmula'!I9+'Fórmula'!K9))*(INDEX(properties!A$1:CB$87,'Fórmula'!J9,30))</f>
        <v>2.538571429</v>
      </c>
      <c r="CO9" s="117">
        <f t="array" ref="CO9">'Fórmula'!C9*(INDEX(properties!A$1:CB$87,'Fórmula'!B9,30))+'Fórmula'!E9*(INDEX(properties!A$1:CB$87,'Fórmula'!D9,30))+'Fórmula'!G9*(INDEX(properties!A$1:CB$87,'Fórmula'!F9,30))+'Fórmula'!I9*(INDEX(properties!A$1:CB$87,'Fórmula'!H9,30))+'Fórmula'!K9*(INDEX(properties!A$1:CB$87,'Fórmula'!J9,30))</f>
        <v>17.77</v>
      </c>
      <c r="CP9" s="117">
        <f t="array" ref="CP9">VARP(IF(INDEX(properties!A$1:CB$87,'Fórmula'!B9,30)&lt;&gt;"",INDEX(properties!A$1:CB$87,'Fórmula'!B9,30)),IF(INDEX(properties!A$1:CB$87,'Fórmula'!D9,30)&lt;&gt;"",INDEX(properties!A$1:CB$87,'Fórmula'!D9,30)),IF(INDEX(properties!A$1:CB$87,'Fórmula'!F9,30)&lt;&gt;"",INDEX(properties!A$1:CB$87,'Fórmula'!F9,30)),IF(INDEX(properties!A$1:CB$87,'Fórmula'!H9,30)&lt;&gt;"",INDEX(properties!A$1:CB$87,'Fórmula'!H9,30)),IF(INDEX(properties!A$1:CB$87,'Fórmula'!J9,30)&lt;&gt;"",INDEX(properties!A$1:CB$87,'Fórmula'!J9,30)))</f>
        <v>1.44032</v>
      </c>
      <c r="CQ9" s="117">
        <f t="array" ref="CQ9">MAX(INDEX(properties!A$1:CB$87,'Fórmula'!B9,30),INDEX(properties!A$1:CB$87,'Fórmula'!D9,30),INDEX(properties!A$1:CB$87,'Fórmula'!F9,30),INDEX(properties!A$1:CB$87,'Fórmula'!H9,30),INDEX(properties!A$1:CB$87,'Fórmula'!J9,30))</f>
        <v>3.44</v>
      </c>
      <c r="CR9" s="117">
        <f t="array" ref="CR9">MIN(IF(INDEX(properties!A$1:CB$87,'Fórmula'!B9,30)=0,10^6,INDEX(properties!A$1:CB$87,'Fórmula'!B9,30)),IF(INDEX(properties!A$1:CB$87,'Fórmula'!D9,30)=0,10^6,INDEX(properties!A$1:CB$87,'Fórmula'!D9,30)),IF(INDEX(properties!A$1:CB$87,'Fórmula'!F9,30)=0,10^6,INDEX(properties!A$1:CB$87,'Fórmula'!F9,30)),IF(INDEX(properties!A$1:CB$87,'Fórmula'!H9,30)=0,10^6,INDEX(properties!A$1:CB$87,'Fórmula'!H9,30)),IF(INDEX(properties!A$1:CB$87,'Fórmula'!J9,30)=0,10^6,INDEX(properties!A$1:CB$87,'Fórmula'!J9,30)))</f>
        <v>0.82</v>
      </c>
      <c r="CS9" s="117">
        <f t="shared" si="16"/>
        <v>2.62</v>
      </c>
      <c r="CT9" s="118">
        <f t="array" ref="CT9">(('Fórmula'!C9)/('Fórmula'!C9+'Fórmula'!E9+'Fórmula'!G9+'Fórmula'!I9+'Fórmula'!K9))*(INDEX(properties!A$1:CB$87,'Fórmula'!B9,31))+(('Fórmula'!E9)/('Fórmula'!C9+'Fórmula'!E9+'Fórmula'!G9+'Fórmula'!I9+'Fórmula'!K9))*(INDEX(properties!A$1:CB$87,'Fórmula'!D9,31))+(('Fórmula'!G9)/('Fórmula'!C9+'Fórmula'!E9+'Fórmula'!G9+'Fórmula'!I9+'Fórmula'!K9))*(INDEX(properties!A$1:CB$87,'Fórmula'!F9,31))+(('Fórmula'!I9)/('Fórmula'!C9+'Fórmula'!E9+'Fórmula'!G9+'Fórmula'!I9+'Fórmula'!K9))*(INDEX(properties!A$1:CB$87,'Fórmula'!H9,31))+(('Fórmula'!K9)/('Fórmula'!C9+'Fórmula'!E9+'Fórmula'!G9+'Fórmula'!I9+'Fórmula'!K9))*(INDEX(properties!A$1:CB$87,'Fórmula'!J9,31))</f>
        <v>2.51</v>
      </c>
      <c r="CU9" s="118">
        <f t="array" ref="CU9">'Fórmula'!C9*(INDEX(properties!A$1:CB$87,'Fórmula'!B9,31))+'Fórmula'!E9*(INDEX(properties!A$1:CB$87,'Fórmula'!D9,31))+'Fórmula'!G9*(INDEX(properties!A$1:CB$87,'Fórmula'!F9,31))+'Fórmula'!I9*(INDEX(properties!A$1:CB$87,'Fórmula'!H9,31))+'Fórmula'!K9*(INDEX(properties!A$1:CB$87,'Fórmula'!J9,31))</f>
        <v>17.57</v>
      </c>
      <c r="CV9" s="118">
        <f t="array" ref="CV9">VARP(IF(INDEX(properties!A$1:CB$87,'Fórmula'!B9,31)&lt;&gt;"",INDEX(properties!A$1:CB$87,'Fórmula'!B9,31)),IF(INDEX(properties!A$1:CB$87,'Fórmula'!D9,31)&lt;&gt;"",INDEX(properties!A$1:CB$87,'Fórmula'!D9,31)),IF(INDEX(properties!A$1:CB$87,'Fórmula'!F9,31)&lt;&gt;"",INDEX(properties!A$1:CB$87,'Fórmula'!F9,31)),IF(INDEX(properties!A$1:CB$87,'Fórmula'!H9,31)&lt;&gt;"",INDEX(properties!A$1:CB$87,'Fórmula'!H9,31)),IF(INDEX(properties!A$1:CB$87,'Fórmula'!J9,31)&lt;&gt;"",INDEX(properties!A$1:CB$87,'Fórmula'!J9,31)))</f>
        <v>1.366256</v>
      </c>
      <c r="CW9" s="118">
        <f t="array" ref="CW9">MAX(INDEX(properties!A$1:CB$87,'Fórmula'!B9,31),INDEX(properties!A$1:CB$87,'Fórmula'!D9,31),INDEX(properties!A$1:CB$87,'Fórmula'!F9,31),INDEX(properties!A$1:CB$87,'Fórmula'!H9,31),INDEX(properties!A$1:CB$87,'Fórmula'!J9,31))</f>
        <v>3.32</v>
      </c>
      <c r="CX9" s="118">
        <f t="array" ref="CX9">MIN(IF(INDEX(properties!A$1:CB$87,'Fórmula'!B9,31)=0,10^6,INDEX(properties!A$1:CB$87,'Fórmula'!B9,31)),IF(INDEX(properties!A$1:CB$87,'Fórmula'!D9,31)=0,10^6,INDEX(properties!A$1:CB$87,'Fórmula'!D9,31)),IF(INDEX(properties!A$1:CB$87,'Fórmula'!F9,31)=0,10^6,INDEX(properties!A$1:CB$87,'Fórmula'!F9,31)),IF(INDEX(properties!A$1:CB$87,'Fórmula'!H9,31)=0,10^6,INDEX(properties!A$1:CB$87,'Fórmula'!H9,31)),IF(INDEX(properties!A$1:CB$87,'Fórmula'!J9,31)=0,10^6,INDEX(properties!A$1:CB$87,'Fórmula'!J9,31)))</f>
        <v>0.8</v>
      </c>
      <c r="CY9" s="118">
        <f t="shared" si="17"/>
        <v>2.52</v>
      </c>
      <c r="CZ9" s="119">
        <f t="array" ref="CZ9">(('Fórmula'!C9)/('Fórmula'!C9+'Fórmula'!E9+'Fórmula'!G9+'Fórmula'!I9+'Fórmula'!K9))*(INDEX(properties!A$1:CB$87,'Fórmula'!B9,32))+(('Fórmula'!E9)/('Fórmula'!C9+'Fórmula'!E9+'Fórmula'!G9+'Fórmula'!I9+'Fórmula'!K9))*(INDEX(properties!A$1:CB$87,'Fórmula'!D9,32))+(('Fórmula'!G9)/('Fórmula'!C9+'Fórmula'!E9+'Fórmula'!G9+'Fórmula'!I9+'Fórmula'!K9))*(INDEX(properties!A$1:CB$87,'Fórmula'!F9,32))+(('Fórmula'!I9)/('Fórmula'!C9+'Fórmula'!E9+'Fórmula'!G9+'Fórmula'!I9+'Fórmula'!K9))*(INDEX(properties!A$1:CB$87,'Fórmula'!H9,32))+(('Fórmula'!K9)/('Fórmula'!C9+'Fórmula'!E9+'Fórmula'!G9+'Fórmula'!I9+'Fórmula'!K9))*(INDEX(properties!A$1:CB$87,'Fórmula'!J9,32))</f>
        <v>5.771428571</v>
      </c>
      <c r="DA9" s="119">
        <f t="array" ref="DA9">'Fórmula'!C9*(INDEX(properties!A$1:CB$87,'Fórmula'!B9,32))+'Fórmula'!E9*(INDEX(properties!A$1:CB$87,'Fórmula'!D9,32))+'Fórmula'!G9*(INDEX(properties!A$1:CB$87,'Fórmula'!F9,32))+'Fórmula'!I9*(INDEX(properties!A$1:CB$87,'Fórmula'!H9,32))+'Fórmula'!K9*(INDEX(properties!A$1:CB$87,'Fórmula'!J9,32))</f>
        <v>40.4</v>
      </c>
      <c r="DB9" s="119">
        <f t="array" ref="DB9">VARP(IF(INDEX(properties!A$1:CB$87,'Fórmula'!B9,32)&lt;&gt;"",INDEX(properties!A$1:CB$87,'Fórmula'!B9,32)),IF(INDEX(properties!A$1:CB$87,'Fórmula'!D9,32)&lt;&gt;"",INDEX(properties!A$1:CB$87,'Fórmula'!D9,32)),IF(INDEX(properties!A$1:CB$87,'Fórmula'!F9,32)&lt;&gt;"",INDEX(properties!A$1:CB$87,'Fórmula'!F9,32)),IF(INDEX(properties!A$1:CB$87,'Fórmula'!H9,32)&lt;&gt;"",INDEX(properties!A$1:CB$87,'Fórmula'!H9,32)),IF(INDEX(properties!A$1:CB$87,'Fórmula'!J9,32)&lt;&gt;"",INDEX(properties!A$1:CB$87,'Fórmula'!J9,32)))</f>
        <v>7.181344</v>
      </c>
      <c r="DC9" s="119">
        <f t="array" ref="DC9">MAX(INDEX(properties!A$1:CB$87,'Fórmula'!B9,32),INDEX(properties!A$1:CB$87,'Fórmula'!D9,32),INDEX(properties!A$1:CB$87,'Fórmula'!F9,32),INDEX(properties!A$1:CB$87,'Fórmula'!H9,32),INDEX(properties!A$1:CB$87,'Fórmula'!J9,32))</f>
        <v>7.54</v>
      </c>
      <c r="DD9" s="119">
        <f t="array" ref="DD9">MIN(IF(INDEX(properties!A$1:CB$87,'Fórmula'!B9,32)=0,10^6,INDEX(properties!A$1:CB$87,'Fórmula'!B9,32)),IF(INDEX(properties!A$1:CB$87,'Fórmula'!D9,32)=0,10^6,INDEX(properties!A$1:CB$87,'Fórmula'!D9,32)),IF(INDEX(properties!A$1:CB$87,'Fórmula'!F9,32)=0,10^6,INDEX(properties!A$1:CB$87,'Fórmula'!F9,32)),IF(INDEX(properties!A$1:CB$87,'Fórmula'!H9,32)=0,10^6,INDEX(properties!A$1:CB$87,'Fórmula'!H9,32)),IF(INDEX(properties!A$1:CB$87,'Fórmula'!J9,32)=0,10^6,INDEX(properties!A$1:CB$87,'Fórmula'!J9,32)))</f>
        <v>2.2</v>
      </c>
      <c r="DE9" s="119">
        <f t="shared" si="18"/>
        <v>5.34</v>
      </c>
      <c r="DF9" s="104">
        <f t="array" ref="DF9">(('Fórmula'!C9)/('Fórmula'!C9+'Fórmula'!E9+'Fórmula'!G9+'Fórmula'!I9+'Fórmula'!K9))*(INDEX(properties!A$1:CB$87,'Fórmula'!B9,34))+(('Fórmula'!E9)/('Fórmula'!C9+'Fórmula'!E9+'Fórmula'!G9+'Fórmula'!I9+'Fórmula'!K9))*(INDEX(properties!A$1:CB$87,'Fórmula'!D9,34))+(('Fórmula'!G9)/('Fórmula'!C9+'Fórmula'!E9+'Fórmula'!G9+'Fórmula'!I9+'Fórmula'!K9))*(INDEX(properties!A$1:CB$87,'Fórmula'!F9,34))+(('Fórmula'!I9)/('Fórmula'!C9+'Fórmula'!E9+'Fórmula'!G9+'Fórmula'!I9+'Fórmula'!K9))*(INDEX(properties!A$1:CB$87,'Fórmula'!H9,34))+(('Fórmula'!K9)/('Fórmula'!C9+'Fórmula'!E9+'Fórmula'!G9+'Fórmula'!I9+'Fórmula'!K9))*(INDEX(properties!A$1:CB$87,'Fórmula'!J9,34))</f>
        <v>2.637285714</v>
      </c>
      <c r="DG9" s="104">
        <f t="array" ref="DG9">'Fórmula'!C9*(INDEX(properties!A$1:CB$87,'Fórmula'!B9,34))+'Fórmula'!E9*(INDEX(properties!A$1:CB$87,'Fórmula'!D9,34))+'Fórmula'!G9*(INDEX(properties!A$1:CB$87,'Fórmula'!F9,34))+'Fórmula'!I9*(INDEX(properties!A$1:CB$87,'Fórmula'!H9,34))+'Fórmula'!K9*(INDEX(properties!A$1:CB$87,'Fórmula'!J9,34))</f>
        <v>18.461</v>
      </c>
      <c r="DH9" s="104">
        <f t="array" ref="DH9">VARP(IF(INDEX(properties!A$1:CB$87,'Fórmula'!B9,34)&lt;&gt;"",INDEX(properties!A$1:CB$87,'Fórmula'!B9,34)),IF(INDEX(properties!A$1:CB$87,'Fórmula'!D9,34)&lt;&gt;"",INDEX(properties!A$1:CB$87,'Fórmula'!D9,34)),IF(INDEX(properties!A$1:CB$87,'Fórmula'!F9,34)&lt;&gt;"",INDEX(properties!A$1:CB$87,'Fórmula'!F9,34)),IF(INDEX(properties!A$1:CB$87,'Fórmula'!H9,34)&lt;&gt;"",INDEX(properties!A$1:CB$87,'Fórmula'!H9,34)),IF(INDEX(properties!A$1:CB$87,'Fórmula'!J9,34)&lt;&gt;"",INDEX(properties!A$1:CB$87,'Fórmula'!J9,34)))</f>
        <v>1.61391776</v>
      </c>
      <c r="DI9" s="104">
        <f t="array" ref="DI9">MAX(INDEX(properties!A$1:CB$87,'Fórmula'!B9,34),INDEX(properties!A$1:CB$87,'Fórmula'!D9,34),INDEX(properties!A$1:CB$87,'Fórmula'!F9,34),INDEX(properties!A$1:CB$87,'Fórmula'!H9,34),INDEX(properties!A$1:CB$87,'Fórmula'!J9,34))</f>
        <v>3.61</v>
      </c>
      <c r="DJ9" s="104">
        <f t="array" ref="DJ9">MIN(IF(INDEX(properties!A$1:CB$87,'Fórmula'!B9,34)=0,10^6,INDEX(properties!A$1:CB$87,'Fórmula'!B9,34)),IF(INDEX(properties!A$1:CB$87,'Fórmula'!D9,34)=0,10^6,INDEX(properties!A$1:CB$87,'Fórmula'!D9,34)),IF(INDEX(properties!A$1:CB$87,'Fórmula'!F9,34)=0,10^6,INDEX(properties!A$1:CB$87,'Fórmula'!F9,34)),IF(INDEX(properties!A$1:CB$87,'Fórmula'!H9,34)=0,10^6,INDEX(properties!A$1:CB$87,'Fórmula'!H9,34)),IF(INDEX(properties!A$1:CB$87,'Fórmula'!J9,34)=0,10^6,INDEX(properties!A$1:CB$87,'Fórmula'!J9,34)))</f>
        <v>0.734</v>
      </c>
      <c r="DK9" s="104">
        <f t="shared" si="19"/>
        <v>2.876</v>
      </c>
      <c r="DL9" s="105">
        <f t="array" ref="DL9">(('Fórmula'!C9)/('Fórmula'!C9+'Fórmula'!E9+'Fórmula'!G9+'Fórmula'!I9+'Fórmula'!K9))*(INDEX(properties!A$1:CB$87,'Fórmula'!B9,37))+(('Fórmula'!E9)/('Fórmula'!C9+'Fórmula'!E9+'Fórmula'!G9+'Fórmula'!I9+'Fórmula'!K9))*(INDEX(properties!A$1:CB$87,'Fórmula'!D9,37))+(('Fórmula'!G9)/('Fórmula'!C9+'Fórmula'!E9+'Fórmula'!G9+'Fórmula'!I9+'Fórmula'!K9))*(INDEX(properties!A$1:CB$87,'Fórmula'!F9,37))+(('Fórmula'!I9)/('Fórmula'!C9+'Fórmula'!E9+'Fórmula'!G9+'Fórmula'!I9+'Fórmula'!K9))*(INDEX(properties!A$1:CB$87,'Fórmula'!H9,37))+(('Fórmula'!K9)/('Fórmula'!C9+'Fórmula'!E9+'Fórmula'!G9+'Fórmula'!I9+'Fórmula'!K9))*(INDEX(properties!A$1:CB$87,'Fórmula'!J9,37))</f>
        <v>2.528571429</v>
      </c>
      <c r="DM9" s="105">
        <f t="array" ref="DM9">'Fórmula'!C9*(INDEX(properties!A$1:CB$87,'Fórmula'!B9,37))+'Fórmula'!E9*(INDEX(properties!A$1:CB$87,'Fórmula'!D9,37))+'Fórmula'!G9*(INDEX(properties!A$1:CB$87,'Fórmula'!F9,37))+'Fórmula'!I9*(INDEX(properties!A$1:CB$87,'Fórmula'!H9,37))+'Fórmula'!K9*(INDEX(properties!A$1:CB$87,'Fórmula'!J9,37))</f>
        <v>17.7</v>
      </c>
      <c r="DN9" s="105">
        <f t="array" ref="DN9">VARP(IF(INDEX(properties!A$1:CB$87,'Fórmula'!B9,37)&lt;&gt;"",INDEX(properties!A$1:CB$87,'Fórmula'!B9,37)),IF(INDEX(properties!A$1:CB$87,'Fórmula'!D9,37)&lt;&gt;"",INDEX(properties!A$1:CB$87,'Fórmula'!D9,37)),IF(INDEX(properties!A$1:CB$87,'Fórmula'!F9,37)&lt;&gt;"",INDEX(properties!A$1:CB$87,'Fórmula'!F9,37)),IF(INDEX(properties!A$1:CB$87,'Fórmula'!H9,37)&lt;&gt;"",INDEX(properties!A$1:CB$87,'Fórmula'!H9,37)),IF(INDEX(properties!A$1:CB$87,'Fórmula'!J9,37)&lt;&gt;"",INDEX(properties!A$1:CB$87,'Fórmula'!J9,37)))</f>
        <v>1.4296</v>
      </c>
      <c r="DO9" s="105">
        <f t="array" ref="DO9">MAX(INDEX(properties!A$1:CB$87,'Fórmula'!B9,37),INDEX(properties!A$1:CB$87,'Fórmula'!D9,37),INDEX(properties!A$1:CB$87,'Fórmula'!F9,37),INDEX(properties!A$1:CB$87,'Fórmula'!H9,37),INDEX(properties!A$1:CB$87,'Fórmula'!J9,37))</f>
        <v>3.45</v>
      </c>
      <c r="DP9" s="105">
        <f t="array" ref="DP9">MIN(IF(INDEX(properties!A$1:CB$87,'Fórmula'!B9,37)=0,10^6,INDEX(properties!A$1:CB$87,'Fórmula'!B9,37)),IF(INDEX(properties!A$1:CB$87,'Fórmula'!D9,37)=0,10^6,INDEX(properties!A$1:CB$87,'Fórmula'!D9,37)),IF(INDEX(properties!A$1:CB$87,'Fórmula'!F9,37)=0,10^6,INDEX(properties!A$1:CB$87,'Fórmula'!F9,37)),IF(INDEX(properties!A$1:CB$87,'Fórmula'!H9,37)=0,10^6,INDEX(properties!A$1:CB$87,'Fórmula'!H9,37)),IF(INDEX(properties!A$1:CB$87,'Fórmula'!J9,37)=0,10^6,INDEX(properties!A$1:CB$87,'Fórmula'!J9,37)))</f>
        <v>0.8</v>
      </c>
      <c r="DQ9" s="105">
        <f t="shared" si="20"/>
        <v>2.65</v>
      </c>
      <c r="DR9" s="109">
        <f t="array" ref="DR9">(('Fórmula'!C9)/('Fórmula'!C9+'Fórmula'!E9+'Fórmula'!G9+'Fórmula'!I9+'Fórmula'!K9))*(INDEX(properties!A$1:CB$87,'Fórmula'!B9,39))+(('Fórmula'!E9)/('Fórmula'!C9+'Fórmula'!E9+'Fórmula'!G9+'Fórmula'!I9+'Fórmula'!K9))*(INDEX(properties!A$1:CB$87,'Fórmula'!D9,39))+(('Fórmula'!G9)/('Fórmula'!C9+'Fórmula'!E9+'Fórmula'!G9+'Fórmula'!I9+'Fórmula'!K9))*(INDEX(properties!A$1:CB$87,'Fórmula'!F9,39))+(('Fórmula'!I9)/('Fórmula'!C9+'Fórmula'!E9+'Fórmula'!G9+'Fórmula'!I9+'Fórmula'!K9))*(INDEX(properties!A$1:CB$87,'Fórmula'!H9,39))+(('Fórmula'!K9)/('Fórmula'!C9+'Fórmula'!E9+'Fórmula'!G9+'Fórmula'!I9+'Fórmula'!K9))*(INDEX(properties!A$1:CB$87,'Fórmula'!J9,39))</f>
        <v>1.038571429</v>
      </c>
      <c r="DS9" s="109">
        <f t="array" ref="DS9">'Fórmula'!C9*(INDEX(properties!A$1:CB$87,'Fórmula'!B9,39))+'Fórmula'!E9*(INDEX(properties!A$1:CB$87,'Fórmula'!D9,39))+'Fórmula'!G9*(INDEX(properties!A$1:CB$87,'Fórmula'!F9,39))+'Fórmula'!I9*(INDEX(properties!A$1:CB$87,'Fórmula'!H9,39))+'Fórmula'!K9*(INDEX(properties!A$1:CB$87,'Fórmula'!J9,39))</f>
        <v>7.27</v>
      </c>
      <c r="DT9" s="109">
        <f t="array" ref="DT9">VARP(IF(INDEX(properties!A$1:CB$87,'Fórmula'!B9,39)&lt;&gt;"",INDEX(properties!A$1:CB$87,'Fórmula'!B9,39)),IF(INDEX(properties!A$1:CB$87,'Fórmula'!D9,39)&lt;&gt;"",INDEX(properties!A$1:CB$87,'Fórmula'!D9,39)),IF(INDEX(properties!A$1:CB$87,'Fórmula'!F9,39)&lt;&gt;"",INDEX(properties!A$1:CB$87,'Fórmula'!F9,39)),IF(INDEX(properties!A$1:CB$87,'Fórmula'!H9,39)&lt;&gt;"",INDEX(properties!A$1:CB$87,'Fórmula'!H9,39)),IF(INDEX(properties!A$1:CB$87,'Fórmula'!J9,39)&lt;&gt;"",INDEX(properties!A$1:CB$87,'Fórmula'!J9,39)))</f>
        <v>0.812304</v>
      </c>
      <c r="DU9" s="120">
        <f t="array" ref="DU9">MAX(INDEX(properties!A$1:CB$87,'Fórmula'!B9,39),INDEX(properties!A$1:CB$87,'Fórmula'!D9,39),INDEX(properties!A$1:CB$87,'Fórmula'!F9,39),INDEX(properties!A$1:CB$87,'Fórmula'!H9,39),INDEX(properties!A$1:CB$87,'Fórmula'!J9,39))</f>
        <v>2.43</v>
      </c>
      <c r="DV9" s="120">
        <f t="array" ref="DV9">MIN(IF(INDEX(properties!A$1:CB$87,'Fórmula'!B9,39)=0,10^6,INDEX(properties!A$1:CB$87,'Fórmula'!B9,39)),IF(INDEX(properties!A$1:CB$87,'Fórmula'!D9,39)=0,10^6,INDEX(properties!A$1:CB$87,'Fórmula'!D9,39)),IF(INDEX(properties!A$1:CB$87,'Fórmula'!F9,39)=0,10^6,INDEX(properties!A$1:CB$87,'Fórmula'!F9,39)),IF(INDEX(properties!A$1:CB$87,'Fórmula'!H9,39)=0,10^6,INDEX(properties!A$1:CB$87,'Fórmula'!H9,39)),IF(INDEX(properties!A$1:CB$87,'Fórmula'!J9,39)=0,10^6,INDEX(properties!A$1:CB$87,'Fórmula'!J9,39)))</f>
        <v>0.48</v>
      </c>
      <c r="DW9" s="109">
        <f t="shared" si="21"/>
        <v>1.95</v>
      </c>
      <c r="DX9" s="110">
        <f t="array" ref="DX9">(('Fórmula'!C9)/('Fórmula'!C9+'Fórmula'!E9+'Fórmula'!G9+'Fórmula'!I9+'Fórmula'!K9))*(INDEX(properties!A$1:CB$87,'Fórmula'!B9,40))+(('Fórmula'!E9)/('Fórmula'!C9+'Fórmula'!E9+'Fórmula'!G9+'Fórmula'!I9+'Fórmula'!K9))*(INDEX(properties!A$1:CB$87,'Fórmula'!D9,40))+(('Fórmula'!G9)/('Fórmula'!C9+'Fórmula'!E9+'Fórmula'!G9+'Fórmula'!I9+'Fórmula'!K9))*(INDEX(properties!A$1:CB$87,'Fórmula'!F9,40))+(('Fórmula'!I9)/('Fórmula'!C9+'Fórmula'!E9+'Fórmula'!G9+'Fórmula'!I9+'Fórmula'!K9))*(INDEX(properties!A$1:CB$87,'Fórmula'!H9,40))+(('Fórmula'!K9)/('Fórmula'!C9+'Fórmula'!E9+'Fórmula'!G9+'Fórmula'!I9+'Fórmula'!K9))*(INDEX(properties!A$1:CB$87,'Fórmula'!J9,40))</f>
        <v>1.097142857</v>
      </c>
      <c r="DY9" s="110">
        <f t="array" ref="DY9">'Fórmula'!C9*(INDEX(properties!A$1:CB$87,'Fórmula'!B9,40))+'Fórmula'!E9*(INDEX(properties!A$1:CB$87,'Fórmula'!D9,40))+'Fórmula'!G9*(INDEX(properties!A$1:CB$87,'Fórmula'!F9,40))+'Fórmula'!I9*(INDEX(properties!A$1:CB$87,'Fórmula'!H9,40))+'Fórmula'!K9*(INDEX(properties!A$1:CB$87,'Fórmula'!J9,40))</f>
        <v>7.68</v>
      </c>
      <c r="DZ9" s="110">
        <f t="array" ref="DZ9">VARP(IF(INDEX(properties!A$1:CB$87,'Fórmula'!B9,40)&lt;&gt;"",INDEX(properties!A$1:CB$87,'Fórmula'!B9,40)),IF(INDEX(properties!A$1:CB$87,'Fórmula'!D9,40)&lt;&gt;"",INDEX(properties!A$1:CB$87,'Fórmula'!D9,40)),IF(INDEX(properties!A$1:CB$87,'Fórmula'!F9,40)&lt;&gt;"",INDEX(properties!A$1:CB$87,'Fórmula'!F9,40)),IF(INDEX(properties!A$1:CB$87,'Fórmula'!H9,40)&lt;&gt;"",INDEX(properties!A$1:CB$87,'Fórmula'!H9,40)),IF(INDEX(properties!A$1:CB$87,'Fórmula'!J9,40)&lt;&gt;"",INDEX(properties!A$1:CB$87,'Fórmula'!J9,40)))</f>
        <v>0.499536</v>
      </c>
      <c r="EA9" s="121">
        <f t="array" ref="EA9">MAX(INDEX(properties!A$1:CB$87,'Fórmula'!B9,40),INDEX(properties!A$1:CB$87,'Fórmula'!D9,40),INDEX(properties!A$1:CB$87,'Fórmula'!F9,40),INDEX(properties!A$1:CB$87,'Fórmula'!H9,40),INDEX(properties!A$1:CB$87,'Fórmula'!J9,40))</f>
        <v>1.96</v>
      </c>
      <c r="EB9" s="121">
        <f t="array" ref="EB9">MIN(IF(INDEX(properties!A$1:CB$87,'Fórmula'!B9,40)=0,10^6,INDEX(properties!A$1:CB$87,'Fórmula'!B9,40)),IF(INDEX(properties!A$1:CB$87,'Fórmula'!D9,40)=0,10^6,INDEX(properties!A$1:CB$87,'Fórmula'!D9,40)),IF(INDEX(properties!A$1:CB$87,'Fórmula'!F9,40)=0,10^6,INDEX(properties!A$1:CB$87,'Fórmula'!F9,40)),IF(INDEX(properties!A$1:CB$87,'Fórmula'!H9,40)=0,10^6,INDEX(properties!A$1:CB$87,'Fórmula'!H9,40)),IF(INDEX(properties!A$1:CB$87,'Fórmula'!J9,40)=0,10^6,INDEX(properties!A$1:CB$87,'Fórmula'!J9,40)))</f>
        <v>0.73</v>
      </c>
      <c r="EC9" s="110">
        <f t="shared" si="22"/>
        <v>1.23</v>
      </c>
      <c r="ED9" s="111">
        <f t="array" ref="ED9">(('Fórmula'!C9)/('Fórmula'!C9+'Fórmula'!E9+'Fórmula'!G9+'Fórmula'!I9+'Fórmula'!K9))*(INDEX(properties!A$1:CB$87,'Fórmula'!B9,41))+(('Fórmula'!E9)/('Fórmula'!C9+'Fórmula'!E9+'Fórmula'!G9+'Fórmula'!I9+'Fórmula'!K9))*(INDEX(properties!A$1:CB$87,'Fórmula'!D9,41))+(('Fórmula'!G9)/('Fórmula'!C9+'Fórmula'!E9+'Fórmula'!G9+'Fórmula'!I9+'Fórmula'!K9))*(INDEX(properties!A$1:CB$87,'Fórmula'!F9,41))+(('Fórmula'!I9)/('Fórmula'!C9+'Fórmula'!E9+'Fórmula'!G9+'Fórmula'!I9+'Fórmula'!K9))*(INDEX(properties!A$1:CB$87,'Fórmula'!H9,41))+(('Fórmula'!K9)/('Fórmula'!C9+'Fórmula'!E9+'Fórmula'!G9+'Fórmula'!I9+'Fórmula'!K9))*(INDEX(properties!A$1:CB$87,'Fórmula'!J9,41))</f>
        <v>1.182857143</v>
      </c>
      <c r="EE9" s="111">
        <f t="array" ref="EE9">'Fórmula'!C9*(INDEX(properties!A$1:CB$87,'Fórmula'!B9,41))+'Fórmula'!E9*(INDEX(properties!A$1:CB$87,'Fórmula'!D9,41))+'Fórmula'!G9*(INDEX(properties!A$1:CB$87,'Fórmula'!F9,41))+'Fórmula'!I9*(INDEX(properties!A$1:CB$87,'Fórmula'!H9,41))+'Fórmula'!K9*(INDEX(properties!A$1:CB$87,'Fórmula'!J9,41))</f>
        <v>8.28</v>
      </c>
      <c r="EF9" s="111">
        <f t="array" ref="EF9">VARP(IF(INDEX(properties!A$1:CB$87,'Fórmula'!B9,41)&lt;&gt;"",INDEX(properties!A$1:CB$87,'Fórmula'!B9,41)),IF(INDEX(properties!A$1:CB$87,'Fórmula'!D9,41)&lt;&gt;"",INDEX(properties!A$1:CB$87,'Fórmula'!D9,41)),IF(INDEX(properties!A$1:CB$87,'Fórmula'!F9,41)&lt;&gt;"",INDEX(properties!A$1:CB$87,'Fórmula'!F9,41)),IF(INDEX(properties!A$1:CB$87,'Fórmula'!H9,41)&lt;&gt;"",INDEX(properties!A$1:CB$87,'Fórmula'!H9,41)),IF(INDEX(properties!A$1:CB$87,'Fórmula'!J9,41)&lt;&gt;"",INDEX(properties!A$1:CB$87,'Fórmula'!J9,41)))</f>
        <v>0.2968</v>
      </c>
      <c r="EG9" s="122">
        <f t="array" ref="EG9">MAX(INDEX(properties!A$1:CB$87,'Fórmula'!B9,41),INDEX(properties!A$1:CB$87,'Fórmula'!D9,41),INDEX(properties!A$1:CB$87,'Fórmula'!F9,41),INDEX(properties!A$1:CB$87,'Fórmula'!H9,41),INDEX(properties!A$1:CB$87,'Fórmula'!J9,41))</f>
        <v>1.52</v>
      </c>
      <c r="EH9" s="122">
        <f t="array" ref="EH9">MIN(IF(INDEX(properties!A$1:CB$87,'Fórmula'!B9,41)=0,10^6,INDEX(properties!A$1:CB$87,'Fórmula'!B9,41)),IF(INDEX(properties!A$1:CB$87,'Fórmula'!D9,41)=0,10^6,INDEX(properties!A$1:CB$87,'Fórmula'!D9,41)),IF(INDEX(properties!A$1:CB$87,'Fórmula'!F9,41)=0,10^6,INDEX(properties!A$1:CB$87,'Fórmula'!F9,41)),IF(INDEX(properties!A$1:CB$87,'Fórmula'!H9,41)=0,10^6,INDEX(properties!A$1:CB$87,'Fórmula'!H9,41)),IF(INDEX(properties!A$1:CB$87,'Fórmula'!J9,41)=0,10^6,INDEX(properties!A$1:CB$87,'Fórmula'!J9,41)))</f>
        <v>0.58</v>
      </c>
      <c r="EI9" s="111">
        <f t="shared" si="23"/>
        <v>0.94</v>
      </c>
      <c r="EJ9" s="112">
        <f t="array" ref="EJ9">(('Fórmula'!C9)/('Fórmula'!C9+'Fórmula'!E9+'Fórmula'!G9+'Fórmula'!I9+'Fórmula'!K9))*(INDEX(properties!A$1:CB$87,'Fórmula'!B9,45))+(('Fórmula'!E9)/('Fórmula'!C9+'Fórmula'!E9+'Fórmula'!G9+'Fórmula'!I9+'Fórmula'!K9))*(INDEX(properties!A$1:CB$87,'Fórmula'!D9,45))+(('Fórmula'!G9)/('Fórmula'!C9+'Fórmula'!E9+'Fórmula'!G9+'Fórmula'!I9+'Fórmula'!K9))*(INDEX(properties!A$1:CB$87,'Fórmula'!F9,45))+(('Fórmula'!I9)/('Fórmula'!C9+'Fórmula'!E9+'Fórmula'!G9+'Fórmula'!I9+'Fórmula'!K9))*(INDEX(properties!A$1:CB$87,'Fórmula'!H9,45))+(('Fórmula'!K9)/('Fórmula'!C9+'Fórmula'!E9+'Fórmula'!G9+'Fórmula'!I9+'Fórmula'!K9))*(INDEX(properties!A$1:CB$87,'Fórmula'!J9,45))</f>
        <v>1.401428571</v>
      </c>
      <c r="EK9" s="112">
        <f t="array" ref="EK9">'Fórmula'!C9*(INDEX(properties!A$1:CB$87,'Fórmula'!B9,45))+'Fórmula'!E9*(INDEX(properties!A$1:CB$87,'Fórmula'!D9,45))+'Fórmula'!G9*(INDEX(properties!A$1:CB$87,'Fórmula'!F9,45))+'Fórmula'!I9*(INDEX(properties!A$1:CB$87,'Fórmula'!H9,45))+'Fórmula'!K9*(INDEX(properties!A$1:CB$87,'Fórmula'!J9,45))</f>
        <v>9.81</v>
      </c>
      <c r="EL9" s="112">
        <f t="array" ref="EL9">VARP(IF(INDEX(properties!A$1:CB$87,'Fórmula'!B9,45)&lt;&gt;"",INDEX(properties!A$1:CB$87,'Fórmula'!B9,45)),IF(INDEX(properties!A$1:CB$87,'Fórmula'!D9,45)&lt;&gt;"",INDEX(properties!A$1:CB$87,'Fórmula'!D9,45)),IF(INDEX(properties!A$1:CB$87,'Fórmula'!F9,45)&lt;&gt;"",INDEX(properties!A$1:CB$87,'Fórmula'!F9,45)),IF(INDEX(properties!A$1:CB$87,'Fórmula'!H9,45)&lt;&gt;"",INDEX(properties!A$1:CB$87,'Fórmula'!H9,45)),IF(INDEX(properties!A$1:CB$87,'Fórmula'!J9,45)&lt;&gt;"",INDEX(properties!A$1:CB$87,'Fórmula'!J9,45)))</f>
        <v>2.05252</v>
      </c>
      <c r="EM9" s="123">
        <f t="array" ref="EM9">MAX(INDEX(properties!A$1:CB$87,'Fórmula'!B9,45),INDEX(properties!A$1:CB$87,'Fórmula'!D9,45),INDEX(properties!A$1:CB$87,'Fórmula'!F9,45),INDEX(properties!A$1:CB$87,'Fórmula'!H9,45),INDEX(properties!A$1:CB$87,'Fórmula'!J9,45))</f>
        <v>3.69</v>
      </c>
      <c r="EN9" s="123">
        <f t="array" ref="EN9">MIN(IF(INDEX(properties!A$1:CB$87,'Fórmula'!B9,45)=0,10^6,INDEX(properties!A$1:CB$87,'Fórmula'!B9,45)),IF(INDEX(properties!A$1:CB$87,'Fórmula'!D9,45)=0,10^6,INDEX(properties!A$1:CB$87,'Fórmula'!D9,45)),IF(INDEX(properties!A$1:CB$87,'Fórmula'!F9,45)=0,10^6,INDEX(properties!A$1:CB$87,'Fórmula'!F9,45)),IF(INDEX(properties!A$1:CB$87,'Fórmula'!H9,45)=0,10^6,INDEX(properties!A$1:CB$87,'Fórmula'!H9,45)),IF(INDEX(properties!A$1:CB$87,'Fórmula'!J9,45)=0,10^6,INDEX(properties!A$1:CB$87,'Fórmula'!J9,45)))</f>
        <v>0.47</v>
      </c>
      <c r="EO9" s="112">
        <f t="shared" si="24"/>
        <v>3.22</v>
      </c>
      <c r="EP9" s="113">
        <f t="array" ref="EP9">(('Fórmula'!C9)/('Fórmula'!C9+'Fórmula'!E9+'Fórmula'!G9+'Fórmula'!I9+'Fórmula'!K9))*(INDEX(properties!A$1:CB$87,'Fórmula'!B9,46))+(('Fórmula'!E9)/('Fórmula'!C9+'Fórmula'!E9+'Fórmula'!G9+'Fórmula'!I9+'Fórmula'!K9))*(INDEX(properties!A$1:CB$87,'Fórmula'!D9,46))+(('Fórmula'!G9)/('Fórmula'!C9+'Fórmula'!E9+'Fórmula'!G9+'Fórmula'!I9+'Fórmula'!K9))*(INDEX(properties!A$1:CB$87,'Fórmula'!F9,46))+(('Fórmula'!I9)/('Fórmula'!C9+'Fórmula'!E9+'Fórmula'!G9+'Fórmula'!I9+'Fórmula'!K9))*(INDEX(properties!A$1:CB$87,'Fórmula'!H9,46))+(('Fórmula'!K9)/('Fórmula'!C9+'Fórmula'!E9+'Fórmula'!G9+'Fórmula'!I9+'Fórmula'!K9))*(INDEX(properties!A$1:CB$87,'Fórmula'!J9,46))</f>
        <v>1.115714286</v>
      </c>
      <c r="EQ9" s="113">
        <f t="array" ref="EQ9">'Fórmula'!C9*(INDEX(properties!A$1:CB$87,'Fórmula'!B9,46))+'Fórmula'!E9*(INDEX(properties!A$1:CB$87,'Fórmula'!D9,46))+'Fórmula'!G9*(INDEX(properties!A$1:CB$87,'Fórmula'!F9,46))+'Fórmula'!I9*(INDEX(properties!A$1:CB$87,'Fórmula'!H9,46))+'Fórmula'!K9*(INDEX(properties!A$1:CB$87,'Fórmula'!J9,46))</f>
        <v>7.81</v>
      </c>
      <c r="ER9" s="113">
        <f t="array" ref="ER9">VARP(IF(INDEX(properties!A$1:CB$87,'Fórmula'!B9,46)&lt;&gt;"",INDEX(properties!A$1:CB$87,'Fórmula'!B9,46)),IF(INDEX(properties!A$1:CB$87,'Fórmula'!D9,46)&lt;&gt;"",INDEX(properties!A$1:CB$87,'Fórmula'!D9,46)),IF(INDEX(properties!A$1:CB$87,'Fórmula'!F9,46)&lt;&gt;"",INDEX(properties!A$1:CB$87,'Fórmula'!F9,46)),IF(INDEX(properties!A$1:CB$87,'Fórmula'!H9,46)&lt;&gt;"",INDEX(properties!A$1:CB$87,'Fórmula'!H9,46)),IF(INDEX(properties!A$1:CB$87,'Fórmula'!J9,46)&lt;&gt;"",INDEX(properties!A$1:CB$87,'Fórmula'!J9,46)))</f>
        <v>0.335144</v>
      </c>
      <c r="ES9" s="124">
        <f t="array" ref="ES9">MAX(INDEX(properties!A$1:CB$87,'Fórmula'!B9,46),INDEX(properties!A$1:CB$87,'Fórmula'!D9,46),INDEX(properties!A$1:CB$87,'Fórmula'!F9,46),INDEX(properties!A$1:CB$87,'Fórmula'!H9,46),INDEX(properties!A$1:CB$87,'Fórmula'!J9,46))</f>
        <v>1.52</v>
      </c>
      <c r="ET9" s="124">
        <f t="array" ref="ET9">MIN(IF(INDEX(properties!A$1:CB$87,'Fórmula'!B9,46)=0,10^6,INDEX(properties!A$1:CB$87,'Fórmula'!B9,46)),IF(INDEX(properties!A$1:CB$87,'Fórmula'!D9,46)=0,10^6,INDEX(properties!A$1:CB$87,'Fórmula'!D9,46)),IF(INDEX(properties!A$1:CB$87,'Fórmula'!F9,46)=0,10^6,INDEX(properties!A$1:CB$87,'Fórmula'!F9,46)),IF(INDEX(properties!A$1:CB$87,'Fórmula'!H9,46)=0,10^6,INDEX(properties!A$1:CB$87,'Fórmula'!H9,46)),IF(INDEX(properties!A$1:CB$87,'Fórmula'!J9,46)=0,10^6,INDEX(properties!A$1:CB$87,'Fórmula'!J9,46)))</f>
        <v>0.31</v>
      </c>
      <c r="EU9" s="113">
        <f t="shared" si="25"/>
        <v>1.21</v>
      </c>
      <c r="EV9" s="114">
        <f t="array" ref="EV9">(('Fórmula'!C9)/('Fórmula'!C9+'Fórmula'!E9+'Fórmula'!G9+'Fórmula'!I9+'Fórmula'!K9))*(INDEX(properties!A$1:CB$87,'Fórmula'!B9,52))+(('Fórmula'!E9)/('Fórmula'!C9+'Fórmula'!E9+'Fórmula'!G9+'Fórmula'!I9+'Fórmula'!K9))*(INDEX(properties!A$1:CB$87,'Fórmula'!D9,52))+(('Fórmula'!G9)/('Fórmula'!C9+'Fórmula'!E9+'Fórmula'!G9+'Fórmula'!I9+'Fórmula'!K9))*(INDEX(properties!A$1:CB$87,'Fórmula'!F9,52))+(('Fórmula'!I9)/('Fórmula'!C9+'Fórmula'!E9+'Fórmula'!G9+'Fórmula'!I9+'Fórmula'!K9))*(INDEX(properties!A$1:CB$87,'Fórmula'!H9,52))+(('Fórmula'!K9)/('Fórmula'!C9+'Fórmula'!E9+'Fórmula'!G9+'Fórmula'!I9+'Fórmula'!K9))*(INDEX(properties!A$1:CB$87,'Fórmula'!J9,52))</f>
        <v>10.42457143</v>
      </c>
      <c r="EW9" s="114">
        <f t="array" ref="EW9">'Fórmula'!C9*(INDEX(properties!A$1:CB$87,'Fórmula'!B9,52))+'Fórmula'!E9*(INDEX(properties!A$1:CB$87,'Fórmula'!D9,52))+'Fórmula'!G9*(INDEX(properties!A$1:CB$87,'Fórmula'!F9,52))+'Fórmula'!I9*(INDEX(properties!A$1:CB$87,'Fórmula'!H9,52))+'Fórmula'!K9*(INDEX(properties!A$1:CB$87,'Fórmula'!J9,52))</f>
        <v>72.972</v>
      </c>
      <c r="EX9" s="114">
        <f t="array" ref="EX9">VARP(IF(INDEX(properties!A$1:CB$87,'Fórmula'!B9,52)&lt;&gt;"",INDEX(properties!A$1:CB$87,'Fórmula'!B9,52)),IF(INDEX(properties!A$1:CB$87,'Fórmula'!D9,52)&lt;&gt;"",INDEX(properties!A$1:CB$87,'Fórmula'!D9,52)),IF(INDEX(properties!A$1:CB$87,'Fórmula'!F9,52)&lt;&gt;"",INDEX(properties!A$1:CB$87,'Fórmula'!F9,52)),IF(INDEX(properties!A$1:CB$87,'Fórmula'!H9,52)&lt;&gt;"",INDEX(properties!A$1:CB$87,'Fórmula'!H9,52)),IF(INDEX(properties!A$1:CB$87,'Fórmula'!J9,52)&lt;&gt;"",INDEX(properties!A$1:CB$87,'Fórmula'!J9,52)))</f>
        <v>284.0629038</v>
      </c>
      <c r="EY9" s="114">
        <f t="array" ref="EY9">MAX(INDEX(properties!A$1:CB$87,'Fórmula'!B9,52),INDEX(properties!A$1:CB$87,'Fórmula'!D9,52),INDEX(properties!A$1:CB$87,'Fórmula'!F9,52),INDEX(properties!A$1:CB$87,'Fórmula'!H9,52),INDEX(properties!A$1:CB$87,'Fórmula'!J9,52))</f>
        <v>43.4</v>
      </c>
      <c r="EZ9" s="114">
        <f t="array" ref="EZ9">MIN(IF(INDEX(properties!A$1:CB$87,'Fórmula'!B9,52)=0,10^6,INDEX(properties!A$1:CB$87,'Fórmula'!B9,52)),IF(INDEX(properties!A$1:CB$87,'Fórmula'!D9,52)=0,10^6,INDEX(properties!A$1:CB$87,'Fórmula'!D9,52)),IF(INDEX(properties!A$1:CB$87,'Fórmula'!F9,52)=0,10^6,INDEX(properties!A$1:CB$87,'Fórmula'!F9,52)),IF(INDEX(properties!A$1:CB$87,'Fórmula'!H9,52)=0,10^6,INDEX(properties!A$1:CB$87,'Fórmula'!H9,52)),IF(INDEX(properties!A$1:CB$87,'Fórmula'!J9,52)=0,10^6,INDEX(properties!A$1:CB$87,'Fórmula'!J9,52)))</f>
        <v>0.793</v>
      </c>
      <c r="FA9" s="114">
        <f t="shared" si="26"/>
        <v>42.607</v>
      </c>
      <c r="FB9" s="115">
        <f t="array" ref="FB9">(('Fórmula'!C9)/('Fórmula'!C9+'Fórmula'!E9+'Fórmula'!G9+'Fórmula'!I9+'Fórmula'!K9))*(INDEX(properties!A$1:CB$87,'Fórmula'!B9,53))+(('Fórmula'!E9)/('Fórmula'!C9+'Fórmula'!E9+'Fórmula'!G9+'Fórmula'!I9+'Fórmula'!K9))*(INDEX(properties!A$1:CB$87,'Fórmula'!D9,53))+(('Fórmula'!G9)/('Fórmula'!C9+'Fórmula'!E9+'Fórmula'!G9+'Fórmula'!I9+'Fórmula'!K9))*(INDEX(properties!A$1:CB$87,'Fórmula'!F9,53))+(('Fórmula'!I9)/('Fórmula'!C9+'Fórmula'!E9+'Fórmula'!G9+'Fórmula'!I9+'Fórmula'!K9))*(INDEX(properties!A$1:CB$87,'Fórmula'!H9,53))+(('Fórmula'!K9)/('Fórmula'!C9+'Fórmula'!E9+'Fórmula'!G9+'Fórmula'!I9+'Fórmula'!K9))*(INDEX(properties!A$1:CB$87,'Fórmula'!J9,53))</f>
        <v>283.5428571</v>
      </c>
      <c r="FC9" s="115">
        <f t="array" ref="FC9">'Fórmula'!C9*(INDEX(properties!A$1:CB$87,'Fórmula'!B9,53))+'Fórmula'!E9*(INDEX(properties!A$1:CB$87,'Fórmula'!D9,53))+'Fórmula'!G9*(INDEX(properties!A$1:CB$87,'Fórmula'!F9,53))+'Fórmula'!I9*(INDEX(properties!A$1:CB$87,'Fórmula'!H9,53))+'Fórmula'!K9*(INDEX(properties!A$1:CB$87,'Fórmula'!J9,53))</f>
        <v>1984.8</v>
      </c>
      <c r="FD9" s="115">
        <f t="array" ref="FD9">VARP(IF(INDEX(properties!A$1:CB$87,'Fórmula'!B9,53)&lt;&gt;"",INDEX(properties!A$1:CB$87,'Fórmula'!B9,53)),IF(INDEX(properties!A$1:CB$87,'Fórmula'!D9,53)&lt;&gt;"",INDEX(properties!A$1:CB$87,'Fórmula'!D9,53)),IF(INDEX(properties!A$1:CB$87,'Fórmula'!F9,53)&lt;&gt;"",INDEX(properties!A$1:CB$87,'Fórmula'!F9,53)),IF(INDEX(properties!A$1:CB$87,'Fórmula'!H9,53)&lt;&gt;"",INDEX(properties!A$1:CB$87,'Fórmula'!H9,53)),IF(INDEX(properties!A$1:CB$87,'Fórmula'!J9,53)&lt;&gt;"",INDEX(properties!A$1:CB$87,'Fórmula'!J9,53)))</f>
        <v>158161.4494</v>
      </c>
      <c r="FE9" s="115">
        <f t="array" ref="FE9">MAX(INDEX(properties!A$1:CB$87,'Fórmula'!B9,53),INDEX(properties!A$1:CB$87,'Fórmula'!D9,53),INDEX(properties!A$1:CB$87,'Fórmula'!F9,53),INDEX(properties!A$1:CB$87,'Fórmula'!H9,53),INDEX(properties!A$1:CB$87,'Fórmula'!J9,53))</f>
        <v>1112.15</v>
      </c>
      <c r="FF9" s="115">
        <f t="array" ref="FF9">MIN(IF(INDEX(properties!A$1:CB$87,'Fórmula'!B9,53)=0,10^6,INDEX(properties!A$1:CB$87,'Fórmula'!B9,53)),IF(INDEX(properties!A$1:CB$87,'Fórmula'!D9,53)=0,10^6,INDEX(properties!A$1:CB$87,'Fórmula'!D9,53)),IF(INDEX(properties!A$1:CB$87,'Fórmula'!F9,53)=0,10^6,INDEX(properties!A$1:CB$87,'Fórmula'!F9,53)),IF(INDEX(properties!A$1:CB$87,'Fórmula'!H9,53)=0,10^6,INDEX(properties!A$1:CB$87,'Fórmula'!H9,53)),IF(INDEX(properties!A$1:CB$87,'Fórmula'!J9,53)=0,10^6,INDEX(properties!A$1:CB$87,'Fórmula'!J9,53)))</f>
        <v>54.75</v>
      </c>
      <c r="FG9" s="115">
        <f t="shared" si="27"/>
        <v>1057.4</v>
      </c>
      <c r="FH9" s="117">
        <f t="array" ref="FH9">(('Fórmula'!C9)/('Fórmula'!C9+'Fórmula'!E9+'Fórmula'!G9+'Fórmula'!I9+'Fórmula'!K9))*(INDEX(properties!A$1:CB$87,'Fórmula'!B9,54))+(('Fórmula'!E9)/('Fórmula'!C9+'Fórmula'!E9+'Fórmula'!G9+'Fórmula'!I9+'Fórmula'!K9))*(INDEX(properties!A$1:CB$87,'Fórmula'!D9,54))+(('Fórmula'!G9)/('Fórmula'!C9+'Fórmula'!E9+'Fórmula'!G9+'Fórmula'!I9+'Fórmula'!K9))*(INDEX(properties!A$1:CB$87,'Fórmula'!F9,54))+(('Fórmula'!I9)/('Fórmula'!C9+'Fórmula'!E9+'Fórmula'!G9+'Fórmula'!I9+'Fórmula'!K9))*(INDEX(properties!A$1:CB$87,'Fórmula'!H9,54))+(('Fórmula'!K9)/('Fórmula'!C9+'Fórmula'!E9+'Fórmula'!G9+'Fórmula'!I9+'Fórmula'!K9))*(INDEX(properties!A$1:CB$87,'Fórmula'!J9,54))</f>
        <v>529.15</v>
      </c>
      <c r="FI9" s="117">
        <f t="array" ref="FI9">'Fórmula'!C9*(INDEX(properties!A$1:CB$87,'Fórmula'!B9,54))+'Fórmula'!E9*(INDEX(properties!A$1:CB$87,'Fórmula'!D9,54))+'Fórmula'!G9*(INDEX(properties!A$1:CB$87,'Fórmula'!F9,54))+'Fórmula'!I9*(INDEX(properties!A$1:CB$87,'Fórmula'!H9,54))+'Fórmula'!K9*(INDEX(properties!A$1:CB$87,'Fórmula'!J9,54))</f>
        <v>3704.05</v>
      </c>
      <c r="FJ9" s="117">
        <f t="array" ref="FJ9">VARP(IF(INDEX(properties!A$1:CB$87,'Fórmula'!B9,54)&lt;&gt;"",INDEX(properties!A$1:CB$87,'Fórmula'!B9,54)),IF(INDEX(properties!A$1:CB$87,'Fórmula'!D9,54)&lt;&gt;"",INDEX(properties!A$1:CB$87,'Fórmula'!D9,54)),IF(INDEX(properties!A$1:CB$87,'Fórmula'!F9,54)&lt;&gt;"",INDEX(properties!A$1:CB$87,'Fórmula'!F9,54)),IF(INDEX(properties!A$1:CB$87,'Fórmula'!H9,54)&lt;&gt;"",INDEX(properties!A$1:CB$87,'Fórmula'!H9,54)),IF(INDEX(properties!A$1:CB$87,'Fórmula'!J9,54)&lt;&gt;"",INDEX(properties!A$1:CB$87,'Fórmula'!J9,54)))</f>
        <v>422231.0396</v>
      </c>
      <c r="FK9" s="117">
        <f t="array" ref="FK9">MAX(INDEX(properties!A$1:CB$87,'Fórmula'!B9,54),INDEX(properties!A$1:CB$87,'Fórmula'!D9,54),INDEX(properties!A$1:CB$87,'Fórmula'!F9,54),INDEX(properties!A$1:CB$87,'Fórmula'!H9,54),INDEX(properties!A$1:CB$87,'Fórmula'!J9,54))</f>
        <v>1757.15</v>
      </c>
      <c r="FL9" s="117">
        <f t="array" ref="FL9">MIN(IF(INDEX(properties!A$1:CB$87,'Fórmula'!B9,54)=0,10^6,INDEX(properties!A$1:CB$87,'Fórmula'!B9,54)),IF(INDEX(properties!A$1:CB$87,'Fórmula'!D9,54)=0,10^6,INDEX(properties!A$1:CB$87,'Fórmula'!D9,54)),IF(INDEX(properties!A$1:CB$87,'Fórmula'!F9,54)=0,10^6,INDEX(properties!A$1:CB$87,'Fórmula'!F9,54)),IF(INDEX(properties!A$1:CB$87,'Fórmula'!H9,54)=0,10^6,INDEX(properties!A$1:CB$87,'Fórmula'!H9,54)),IF(INDEX(properties!A$1:CB$87,'Fórmula'!J9,54)=0,10^6,INDEX(properties!A$1:CB$87,'Fórmula'!J9,54)))</f>
        <v>90.15</v>
      </c>
      <c r="FM9" s="117">
        <f t="shared" si="28"/>
        <v>1667</v>
      </c>
      <c r="FN9" s="118">
        <f t="array" ref="FN9">(('Fórmula'!C9)/('Fórmula'!C9+'Fórmula'!E9+'Fórmula'!G9+'Fórmula'!I9+'Fórmula'!K9))*(INDEX(properties!A$1:CB$87,'Fórmula'!B9,55))+(('Fórmula'!E9)/('Fórmula'!C9+'Fórmula'!E9+'Fórmula'!G9+'Fórmula'!I9+'Fórmula'!K9))*(INDEX(properties!A$1:CB$87,'Fórmula'!D9,55))+(('Fórmula'!G9)/('Fórmula'!C9+'Fórmula'!E9+'Fórmula'!G9+'Fórmula'!I9+'Fórmula'!K9))*(INDEX(properties!A$1:CB$87,'Fórmula'!F9,55))+(('Fórmula'!I9)/('Fórmula'!C9+'Fórmula'!E9+'Fórmula'!G9+'Fórmula'!I9+'Fórmula'!K9))*(INDEX(properties!A$1:CB$87,'Fórmula'!H9,55))+(('Fórmula'!K9)/('Fórmula'!C9+'Fórmula'!E9+'Fórmula'!G9+'Fórmula'!I9+'Fórmula'!K9))*(INDEX(properties!A$1:CB$87,'Fórmula'!J9,55))</f>
        <v>0.6051028571</v>
      </c>
      <c r="FO9" s="118">
        <f t="array" ref="FO9">'Fórmula'!C9*(INDEX(properties!A$1:CB$87,'Fórmula'!B9,55))+'Fórmula'!E9*(INDEX(properties!A$1:CB$87,'Fórmula'!D9,54))+'Fórmula'!G9*(INDEX(properties!A$1:CB$87,'Fórmula'!F9,55))+'Fórmula'!I9*(INDEX(properties!A$1:CB$87,'Fórmula'!H9,55))+'Fórmula'!K9*(INDEX(properties!A$1:CB$87,'Fórmula'!J9,55))</f>
        <v>1759.83572</v>
      </c>
      <c r="FP9" s="118">
        <f t="array" ref="FP9">VARP(IF(INDEX(properties!A$1:CB$87,'Fórmula'!B9,55)&lt;&gt;"",INDEX(properties!A$1:CB$87,'Fórmula'!B9,55)),IF(INDEX(properties!A$1:CB$87,'Fórmula'!D9,55)&lt;&gt;"",INDEX(properties!A$1:CB$87,'Fórmula'!D9,55)),IF(INDEX(properties!A$1:CB$87,'Fórmula'!F9,55)&lt;&gt;"",INDEX(properties!A$1:CB$87,'Fórmula'!F9,55)),IF(INDEX(properties!A$1:CB$87,'Fórmula'!H9,55)&lt;&gt;"",INDEX(properties!A$1:CB$87,'Fórmula'!H9,55)),IF(INDEX(properties!A$1:CB$87,'Fórmula'!J9,55)&lt;&gt;"",INDEX(properties!A$1:CB$87,'Fórmula'!J9,55)))</f>
        <v>0.5747004152</v>
      </c>
      <c r="FQ9" s="118">
        <f t="array" ref="FQ9">MAX(INDEX(properties!A$1:CB$87,'Fórmula'!B9,55),INDEX(properties!A$1:CB$87,'Fórmula'!D9,55),INDEX(properties!A$1:CB$87,'Fórmula'!F9,55),INDEX(properties!A$1:CB$87,'Fórmula'!H9,55),INDEX(properties!A$1:CB$87,'Fórmula'!J9,55))</f>
        <v>1.82</v>
      </c>
      <c r="FR9" s="118">
        <f t="array" ref="FR9">MIN(IF(INDEX(properties!A$1:CB$87,'Fórmula'!B9,55)=0,10^6,INDEX(properties!A$1:CB$87,'Fórmula'!B9,55)),IF(INDEX(properties!A$1:CB$87,'Fórmula'!D9,55)=0,10^6,INDEX(properties!A$1:CB$87,'Fórmula'!D9,55)),IF(INDEX(properties!A$1:CB$87,'Fórmula'!F9,55)=0,10^6,INDEX(properties!A$1:CB$87,'Fórmula'!F9,55)),IF(INDEX(properties!A$1:CB$87,'Fórmula'!H9,55)=0,10^6,INDEX(properties!A$1:CB$87,'Fórmula'!H9,55)),IF(INDEX(properties!A$1:CB$87,'Fórmula'!J9,55)=0,10^6,INDEX(properties!A$1:CB$87,'Fórmula'!J9,55)))</f>
        <v>0.00143</v>
      </c>
      <c r="FS9" s="118">
        <f t="shared" si="29"/>
        <v>1.81857</v>
      </c>
      <c r="FT9" s="119">
        <f t="array" ref="FT9">(('Fórmula'!C9)/('Fórmula'!C9+'Fórmula'!E9+'Fórmula'!G9+'Fórmula'!I9+'Fórmula'!K9))*(INDEX(properties!A$1:CB$87,'Fórmula'!B9,56))+(('Fórmula'!E9)/('Fórmula'!C9+'Fórmula'!E9+'Fórmula'!G9+'Fórmula'!I9+'Fórmula'!K9))*(INDEX(properties!A$1:CB$87,'Fórmula'!D9,56))+(('Fórmula'!G9)/('Fórmula'!C9+'Fórmula'!E9+'Fórmula'!G9+'Fórmula'!I9+'Fórmula'!K9))*(INDEX(properties!A$1:CB$87,'Fórmula'!F9,56))+(('Fórmula'!I9)/('Fórmula'!C9+'Fórmula'!E9+'Fórmula'!G9+'Fórmula'!I9+'Fórmula'!K9))*(INDEX(properties!A$1:CB$87,'Fórmula'!H9,56))+(('Fórmula'!K9)/('Fórmula'!C9+'Fórmula'!E9+'Fórmula'!G9+'Fórmula'!I9+'Fórmula'!K9))*(INDEX(properties!A$1:CB$87,'Fórmula'!J9,56))</f>
        <v>0.8328571429</v>
      </c>
      <c r="FU9" s="119">
        <f t="array" ref="FU9">'Fórmula'!C9*(INDEX(properties!A$1:CB$87,'Fórmula'!B9,56))+'Fórmula'!E9*(INDEX(properties!A$1:CB$87,'Fórmula'!D9,56))+'Fórmula'!G9*(INDEX(properties!A$1:CB$87,'Fórmula'!F9,56))+'Fórmula'!I9*(INDEX(properties!A$1:CB$87,'Fórmula'!H9,56))+'Fórmula'!K9*(INDEX(properties!A$1:CB$87,'Fórmula'!J9,56))</f>
        <v>5.83</v>
      </c>
      <c r="FV9" s="119">
        <f t="array" ref="FV9">VARP(IF(INDEX(properties!A$1:CB$87,'Fórmula'!B9,56)&lt;&gt;"",INDEX(properties!A$1:CB$87,'Fórmula'!B9,56)),IF(INDEX(properties!A$1:CB$87,'Fórmula'!D9,56)&lt;&gt;"",INDEX(properties!A$1:CB$87,'Fórmula'!D9,56)),IF(INDEX(properties!A$1:CB$87,'Fórmula'!F9,56)&lt;&gt;"",INDEX(properties!A$1:CB$87,'Fórmula'!F9,56)),IF(INDEX(properties!A$1:CB$87,'Fórmula'!H9,56)&lt;&gt;"",INDEX(properties!A$1:CB$87,'Fórmula'!H9,56)),IF(INDEX(properties!A$1:CB$87,'Fórmula'!J9,56)&lt;&gt;"",INDEX(properties!A$1:CB$87,'Fórmula'!J9,56)))</f>
        <v>0.102744</v>
      </c>
      <c r="FW9" s="119">
        <f t="array" ref="FW9">MAX(INDEX(properties!A$1:CB$87,'Fórmula'!B9,56),INDEX(properties!A$1:CB$87,'Fórmula'!D9,56),INDEX(properties!A$1:CB$87,'Fórmula'!F9,56),INDEX(properties!A$1:CB$87,'Fórmula'!H9,56),INDEX(properties!A$1:CB$87,'Fórmula'!J9,56))</f>
        <v>0.92</v>
      </c>
      <c r="FX9" s="119">
        <f t="array" ref="FX9">MIN(IF(INDEX(properties!A$1:CB$87,'Fórmula'!B9,56)=0,10^6,INDEX(properties!A$1:CB$87,'Fórmula'!B9,56)),IF(INDEX(properties!A$1:CB$87,'Fórmula'!D9,56)=0,10^6,INDEX(properties!A$1:CB$87,'Fórmula'!D9,56)),IF(INDEX(properties!A$1:CB$87,'Fórmula'!F9,56)=0,10^6,INDEX(properties!A$1:CB$87,'Fórmula'!F9,56)),IF(INDEX(properties!A$1:CB$87,'Fórmula'!H9,56)=0,10^6,INDEX(properties!A$1:CB$87,'Fórmula'!H9,56)),IF(INDEX(properties!A$1:CB$87,'Fórmula'!J9,56)=0,10^6,INDEX(properties!A$1:CB$87,'Fórmula'!J9,56)))</f>
        <v>0.63</v>
      </c>
      <c r="FY9" s="119">
        <f t="shared" si="30"/>
        <v>0.29</v>
      </c>
      <c r="FZ9" s="104">
        <f t="array" ref="FZ9">(('Fórmula'!C9)/('Fórmula'!C9+'Fórmula'!E9+'Fórmula'!G9+'Fórmula'!I9+'Fórmula'!K9))*(INDEX(properties!A$1:CB$87,'Fórmula'!B9,57))+(('Fórmula'!E9)/('Fórmula'!C9+'Fórmula'!E9+'Fórmula'!G9+'Fórmula'!I9+'Fórmula'!K9))*(INDEX(properties!A$1:CB$87,'Fórmula'!D9,57))+(('Fórmula'!G9)/('Fórmula'!C9+'Fórmula'!E9+'Fórmula'!G9+'Fórmula'!I9+'Fórmula'!K9))*(INDEX(properties!A$1:CB$87,'Fórmula'!F9,57))+(('Fórmula'!I9)/('Fórmula'!C9+'Fórmula'!E9+'Fórmula'!G9+'Fórmula'!I9+'Fórmula'!K9))*(INDEX(properties!A$1:CB$87,'Fórmula'!H9,57))+(('Fórmula'!K9)/('Fórmula'!C9+'Fórmula'!E9+'Fórmula'!G9+'Fórmula'!I9+'Fórmula'!K9))*(INDEX(properties!A$1:CB$87,'Fórmula'!J9,57))</f>
        <v>1.77448</v>
      </c>
      <c r="GA9" s="104">
        <f t="array" ref="GA9">'Fórmula'!C9*(INDEX(properties!A$1:CB$87,'Fórmula'!B9,57))+'Fórmula'!E9*(INDEX(properties!A$1:CB$87,'Fórmula'!D9,57))+'Fórmula'!G9*(INDEX(properties!A$1:CB$87,'Fórmula'!F9,57))+'Fórmula'!I9*(INDEX(properties!A$1:CB$87,'Fórmula'!H9,57))+'Fórmula'!K9*(INDEX(properties!A$1:CB$87,'Fórmula'!J9,57))</f>
        <v>12.42136</v>
      </c>
      <c r="GB9" s="104">
        <f t="array" ref="GB9">VARP(IF(INDEX(properties!A$1:CB$87,'Fórmula'!B9,57)&lt;&gt;"",INDEX(properties!A$1:CB$87,'Fórmula'!B9,57)),IF(INDEX(properties!A$1:CB$87,'Fórmula'!D9,57)&lt;&gt;"",INDEX(properties!A$1:CB$87,'Fórmula'!D9,57)),IF(INDEX(properties!A$1:CB$87,'Fórmula'!F9,57)&lt;&gt;"",INDEX(properties!A$1:CB$87,'Fórmula'!F9,57)),IF(INDEX(properties!A$1:CB$87,'Fórmula'!H9,57)&lt;&gt;"",INDEX(properties!A$1:CB$87,'Fórmula'!H9,57)),IF(INDEX(properties!A$1:CB$87,'Fórmula'!J9,57)&lt;&gt;"",INDEX(properties!A$1:CB$87,'Fórmula'!J9,57)))</f>
        <v>10.24619515</v>
      </c>
      <c r="GC9" s="104">
        <f t="array" ref="GC9">MAX(INDEX(properties!A$1:CB$87,'Fórmula'!B9,57),INDEX(properties!A$1:CB$87,'Fórmula'!D9,57),INDEX(properties!A$1:CB$87,'Fórmula'!F9,57),INDEX(properties!A$1:CB$87,'Fórmula'!H9,57),INDEX(properties!A$1:CB$87,'Fórmula'!J9,57))</f>
        <v>8.54</v>
      </c>
      <c r="GD9" s="104">
        <f t="array" ref="GD9">MIN(IF(INDEX(properties!A$1:CB$87,'Fórmula'!B9,57)=0,10^6,INDEX(properties!A$1:CB$87,'Fórmula'!B9,57)),IF(INDEX(properties!A$1:CB$87,'Fórmula'!D9,57)=0,10^6,INDEX(properties!A$1:CB$87,'Fórmula'!D9,57)),IF(INDEX(properties!A$1:CB$87,'Fórmula'!F9,57)=0,10^6,INDEX(properties!A$1:CB$87,'Fórmula'!F9,57)),IF(INDEX(properties!A$1:CB$87,'Fórmula'!H9,57)=0,10^6,INDEX(properties!A$1:CB$87,'Fórmula'!H9,57)),IF(INDEX(properties!A$1:CB$87,'Fórmula'!J9,57)=0,10^6,INDEX(properties!A$1:CB$87,'Fórmula'!J9,57)))</f>
        <v>0.22259</v>
      </c>
      <c r="GE9" s="104">
        <f t="shared" si="31"/>
        <v>8.31741</v>
      </c>
      <c r="GF9" s="105">
        <f t="array" ref="GF9">(('Fórmula'!C9)/('Fórmula'!C9+'Fórmula'!E9+'Fórmula'!G9+'Fórmula'!I9+'Fórmula'!K9))*(INDEX(properties!A$1:CB$87,'Fórmula'!B9,60))+(('Fórmula'!E9)/('Fórmula'!C9+'Fórmula'!E9+'Fórmula'!G9+'Fórmula'!I9+'Fórmula'!K9))*(INDEX(properties!A$1:CB$87,'Fórmula'!D9,60))+(('Fórmula'!G9)/('Fórmula'!C9+'Fórmula'!E9+'Fórmula'!G9+'Fórmula'!I9+'Fórmula'!K9))*(INDEX(properties!A$1:CB$87,'Fórmula'!F9,60))+(('Fórmula'!I9)/('Fórmula'!C9+'Fórmula'!E9+'Fórmula'!G9+'Fórmula'!I9+'Fórmula'!K9))*(INDEX(properties!A$1:CB$87,'Fórmula'!H9,60))+(('Fórmula'!K9)/('Fórmula'!C9+'Fórmula'!E9+'Fórmula'!G9+'Fórmula'!I9+'Fórmula'!K9))*(INDEX(properties!A$1:CB$87,'Fórmula'!J9,60))</f>
        <v>43.24885143</v>
      </c>
      <c r="GG9" s="105">
        <f t="array" ref="GG9">'Fórmula'!C9*(INDEX(properties!A$1:CB$87,'Fórmula'!B9,60))+'Fórmula'!E9*(INDEX(properties!A$1:CB$87,'Fórmula'!D9,60))+'Fórmula'!G9*(INDEX(properties!A$1:CB$87,'Fórmula'!F9,60))+'Fórmula'!I9*(INDEX(properties!A$1:CB$87,'Fórmula'!H9,60))+'Fórmula'!K9*(INDEX(properties!A$1:CB$87,'Fórmula'!J9,60))</f>
        <v>302.74196</v>
      </c>
      <c r="GH9" s="105">
        <f t="array" ref="GH9">VARP(IF(INDEX(properties!A$1:CB$87,'Fórmula'!B9,60)&lt;&gt;"",INDEX(properties!A$1:CB$87,'Fórmula'!B9,60)),IF(INDEX(properties!A$1:CB$87,'Fórmula'!D9,60)&lt;&gt;"",INDEX(properties!A$1:CB$87,'Fórmula'!D9,60)),IF(INDEX(properties!A$1:CB$87,'Fórmula'!F9,60)&lt;&gt;"",INDEX(properties!A$1:CB$87,'Fórmula'!F9,60)),IF(INDEX(properties!A$1:CB$87,'Fórmula'!H9,60)&lt;&gt;"",INDEX(properties!A$1:CB$87,'Fórmula'!H9,60)),IF(INDEX(properties!A$1:CB$87,'Fórmula'!J9,60)&lt;&gt;"",INDEX(properties!A$1:CB$87,'Fórmula'!J9,60)))</f>
        <v>6432.998034</v>
      </c>
      <c r="GI9" s="105">
        <f t="array" ref="GI9">MAX(INDEX(properties!A$1:CB$87,'Fórmula'!B9,60),INDEX(properties!A$1:CB$87,'Fórmula'!D9,60),INDEX(properties!A$1:CB$87,'Fórmula'!F9,60),INDEX(properties!A$1:CB$87,'Fórmula'!H9,60),INDEX(properties!A$1:CB$87,'Fórmula'!J9,60))</f>
        <v>200</v>
      </c>
      <c r="GJ9" s="105">
        <f t="array" ref="GJ9">MIN(IF(INDEX(properties!A$1:CB$87,'Fórmula'!B9,60)=0,10^6,INDEX(properties!A$1:CB$87,'Fórmula'!B9,60)),IF(INDEX(properties!A$1:CB$87,'Fórmula'!D9,60)=0,10^6,INDEX(properties!A$1:CB$87,'Fórmula'!D9,60)),IF(INDEX(properties!A$1:CB$87,'Fórmula'!F9,60)=0,10^6,INDEX(properties!A$1:CB$87,'Fórmula'!F9,60)),IF(INDEX(properties!A$1:CB$87,'Fórmula'!H9,60)=0,10^6,INDEX(properties!A$1:CB$87,'Fórmula'!H9,60)),IF(INDEX(properties!A$1:CB$87,'Fórmula'!J9,60)=0,10^6,INDEX(properties!A$1:CB$87,'Fórmula'!J9,60)))</f>
        <v>0.02674</v>
      </c>
      <c r="GK9" s="105">
        <f t="shared" si="32"/>
        <v>199.97326</v>
      </c>
      <c r="GL9" s="106">
        <f t="array" ref="GL9">(('Fórmula'!C9)/('Fórmula'!C9+'Fórmula'!E9+'Fórmula'!G9+'Fórmula'!I9+'Fórmula'!K9))*(INDEX(properties!A$1:CB$87,'Fórmula'!B9,62))+(('Fórmula'!E9)/('Fórmula'!C9+'Fórmula'!E9+'Fórmula'!G9+'Fórmula'!I9+'Fórmula'!K9))*(INDEX(properties!A$1:CB$87,'Fórmula'!D9,62))+(('Fórmula'!G9)/('Fórmula'!C9+'Fórmula'!E9+'Fórmula'!G9+'Fórmula'!I9+'Fórmula'!K9))*(INDEX(properties!A$1:CB$87,'Fórmula'!F9,62))+(('Fórmula'!I9)/('Fórmula'!C9+'Fórmula'!E9+'Fórmula'!G9+'Fórmula'!I9+'Fórmula'!K9))*(INDEX(properties!A$1:CB$87,'Fórmula'!H9,62))+(('Fórmula'!K9)/('Fórmula'!C9+'Fórmula'!E9+'Fórmula'!G9+'Fórmula'!I9+'Fórmula'!K9))*(INDEX(properties!A$1:CB$87,'Fórmula'!J9,62))</f>
        <v>2.383428571</v>
      </c>
      <c r="GM9" s="106">
        <f t="array" ref="GM9">'Fórmula'!C9*(INDEX(properties!A$1:CB$87,'Fórmula'!B9,62))+'Fórmula'!E9*(INDEX(properties!A$1:CB$87,'Fórmula'!D9,62))+'Fórmula'!G9*(INDEX(properties!A$1:CB$87,'Fórmula'!F9,62))+'Fórmula'!I9*(INDEX(properties!A$1:CB$87,'Fórmula'!H9,62))+'Fórmula'!K9*(INDEX(properties!A$1:CB$87,'Fórmula'!J9,62))</f>
        <v>16.684</v>
      </c>
      <c r="GN9" s="106">
        <f t="array" ref="GN9">VARP(IF(INDEX(properties!A$1:CB$87,'Fórmula'!B9,62)&lt;&gt;"",INDEX(properties!A$1:CB$87,'Fórmula'!B9,62)),IF(INDEX(properties!A$1:CB$87,'Fórmula'!D9,62)&lt;&gt;"",INDEX(properties!A$1:CB$87,'Fórmula'!D9,62)),IF(INDEX(properties!A$1:CB$87,'Fórmula'!F9,62)&lt;&gt;"",INDEX(properties!A$1:CB$87,'Fórmula'!F9,62)),IF(INDEX(properties!A$1:CB$87,'Fórmula'!H9,62)&lt;&gt;"",INDEX(properties!A$1:CB$87,'Fórmula'!H9,62)),IF(INDEX(properties!A$1:CB$87,'Fórmula'!J9,62)&lt;&gt;"",INDEX(properties!A$1:CB$87,'Fórmula'!J9,62)))</f>
        <v>1.46293216</v>
      </c>
      <c r="GO9" s="106">
        <f t="array" ref="GO9">MAX(INDEX(properties!A$1:CB$87,'Fórmula'!B9,62),INDEX(properties!A$1:CB$87,'Fórmula'!D9,62),INDEX(properties!A$1:CB$87,'Fórmula'!F9,62),INDEX(properties!A$1:CB$87,'Fórmula'!H9,62),INDEX(properties!A$1:CB$87,'Fórmula'!J9,62))</f>
        <v>3.43</v>
      </c>
      <c r="GP9" s="106">
        <f t="array" ref="GP9">MIN(IF(INDEX(properties!A$1:CB$87,'Fórmula'!B9,62)=0,10^6,INDEX(properties!A$1:CB$87,'Fórmula'!B9,62)),IF(INDEX(properties!A$1:CB$87,'Fórmula'!D9,62)=0,10^6,INDEX(properties!A$1:CB$87,'Fórmula'!D9,62)),IF(INDEX(properties!A$1:CB$87,'Fórmula'!F9,62)=0,10^6,INDEX(properties!A$1:CB$87,'Fórmula'!F9,62)),IF(INDEX(properties!A$1:CB$87,'Fórmula'!H9,62)=0,10^6,INDEX(properties!A$1:CB$87,'Fórmula'!H9,62)),IF(INDEX(properties!A$1:CB$87,'Fórmula'!J9,62)=0,10^6,INDEX(properties!A$1:CB$87,'Fórmula'!J9,62)))</f>
        <v>0.934</v>
      </c>
      <c r="GQ9" s="106">
        <f t="shared" si="33"/>
        <v>2.496</v>
      </c>
      <c r="GR9" s="106">
        <f>'Fórmula'!Q9</f>
        <v>164</v>
      </c>
      <c r="GS9" s="107">
        <f>'Fórmula'!P9</f>
        <v>4</v>
      </c>
      <c r="GT9" s="113">
        <f>'Fórmula'!O9</f>
        <v>2.92</v>
      </c>
      <c r="GU9" s="114">
        <f>AVERAGE('Fórmula'!R9/'Fórmula'!S9,'Fórmula'!S9/'Fórmula'!T9,'Fórmula'!T9/'Fórmula'!R9)</f>
        <v>1.03434467</v>
      </c>
      <c r="GV9" s="125">
        <f>'Fórmula'!U9</f>
        <v>198.24</v>
      </c>
      <c r="GW9" s="106">
        <f>'Fórmula'!N9</f>
        <v>0.07</v>
      </c>
    </row>
    <row r="10" ht="14.25" customHeight="1">
      <c r="A10" s="99" t="str">
        <f>'Fórmula'!A10</f>
        <v>Sr2ZnMoO6</v>
      </c>
      <c r="B10" s="101">
        <f t="array" ref="B10">(('Fórmula'!C10)/('Fórmula'!C10+'Fórmula'!E10+'Fórmula'!G10+'Fórmula'!I10+'Fórmula'!K10))*(INDEX(properties!A$1:CB$87,'Fórmula'!B10,3))+(('Fórmula'!E10)/('Fórmula'!C10+'Fórmula'!E10+'Fórmula'!G10+'Fórmula'!I10+'Fórmula'!K10))*(INDEX(properties!A$1:CB$87,'Fórmula'!D10,3))+(('Fórmula'!G10)/('Fórmula'!C10+'Fórmula'!E10+'Fórmula'!G10+'Fórmula'!I10+'Fórmula'!K10))*(INDEX(properties!A$1:CB$87,'Fórmula'!F10,3))+(('Fórmula'!I10)/('Fórmula'!C10+'Fórmula'!E10+'Fórmula'!G10+'Fórmula'!I10+'Fórmula'!K10))*(INDEX(properties!A$1:CB$87,'Fórmula'!H10,3))+(('Fórmula'!K10)/('Fórmula'!C10+'Fórmula'!E10+'Fórmula'!G10+'Fórmula'!I10+'Fórmula'!K10))*(INDEX(properties!A$1:CB$87,'Fórmula'!J10,3))</f>
        <v>43.25664</v>
      </c>
      <c r="C10" s="101">
        <f t="array" ref="C10">'Fórmula'!C10*(INDEX(properties!A$1:CB$87,'Fórmula'!B10,3))+'Fórmula'!E10*(INDEX(properties!A$1:CB$87,'Fórmula'!D10,3))+'Fórmula'!G10*(INDEX(properties!A$1:CB$87,'Fórmula'!F10,3))+'Fórmula'!I10*(INDEX(properties!A$1:CB$87,'Fórmula'!H10,3))+'Fórmula'!K10*(INDEX(properties!A$1:CB$87,'Fórmula'!J10,3))</f>
        <v>432.5664</v>
      </c>
      <c r="D10" s="101">
        <f t="array" ref="D10">VARP(IF(INDEX(properties!A$1:CB$87,'Fórmula'!B10,3)&lt;&gt;"",INDEX(properties!A$1:CB$87,'Fórmula'!B10,3)),IF(INDEX(properties!A$1:CB$87,'Fórmula'!D10,3)&lt;&gt;"",INDEX(properties!A$1:CB$87,'Fórmula'!D10,3)),IF(INDEX(properties!A$1:CB$87,'Fórmula'!F10,3)&lt;&gt;"",INDEX(properties!A$1:CB$87,'Fórmula'!F10,3)),IF(INDEX(properties!A$1:CB$87,'Fórmula'!H10,3)&lt;&gt;"",INDEX(properties!A$1:CB$87,'Fórmula'!H10,3)),IF(INDEX(properties!A$1:CB$87,'Fórmula'!J10,3)&lt;&gt;"",INDEX(properties!A$1:CB$87,'Fórmula'!J10,3)))</f>
        <v>1474.911038</v>
      </c>
      <c r="E10" s="101">
        <f t="array" ref="E10">MAX(INDEX(properties!A$1:CB$87,'Fórmula'!B10,3),INDEX(properties!A$1:CB$87,'Fórmula'!D10,3),INDEX(properties!A$1:CB$87,'Fórmula'!F10,3),INDEX(properties!A$1:CB$87,'Fórmula'!H10,3),INDEX(properties!A$1:CB$87,'Fórmula'!J10,3))</f>
        <v>95.95</v>
      </c>
      <c r="F10" s="101">
        <f t="array" ref="F10">MIN(IF(INDEX(properties!A$1:CB$87,'Fórmula'!B10,3)=0,10^6,INDEX(properties!A$1:CB$87,'Fórmula'!B10,3)),IF(INDEX(properties!A$1:CB$87,'Fórmula'!D10,3)=0,10^6,INDEX(properties!A$1:CB$87,'Fórmula'!D10,3)),IF(INDEX(properties!A$1:CB$87,'Fórmula'!F10,3)=0,10^6,INDEX(properties!A$1:CB$87,'Fórmula'!F10,3)),IF(INDEX(properties!A$1:CB$87,'Fórmula'!H10,3)=0,10^6,INDEX(properties!A$1:CB$87,'Fórmula'!H10,3)),IF(INDEX(properties!A$1:CB$87,'Fórmula'!J10,3)=0,10^6,INDEX(properties!A$1:CB$87,'Fórmula'!J10,3)))</f>
        <v>15.9994</v>
      </c>
      <c r="G10" s="101">
        <f t="shared" si="1"/>
        <v>79.9506</v>
      </c>
      <c r="H10" s="102">
        <f t="array" ref="H10">(('Fórmula'!C10)/('Fórmula'!C10+'Fórmula'!E10+'Fórmula'!G10+'Fórmula'!I10+'Fórmula'!K10))*(INDEX(properties!A$1:CB$87,'Fórmula'!B10,4))+(('Fórmula'!E10)/('Fórmula'!C10+'Fórmula'!E10+'Fórmula'!G10+'Fórmula'!I10+'Fórmula'!K10))*(INDEX(properties!A$1:CB$87,'Fórmula'!D10,4))+(('Fórmula'!G10)/('Fórmula'!C10+'Fórmula'!E10+'Fórmula'!G10+'Fórmula'!I10+'Fórmula'!K10))*(INDEX(properties!A$1:CB$87,'Fórmula'!F10,4))+(('Fórmula'!I10)/('Fórmula'!C10+'Fórmula'!E10+'Fórmula'!G10+'Fórmula'!I10+'Fórmula'!K10))*(INDEX(properties!A$1:CB$87,'Fórmula'!H10,4))+(('Fórmula'!K10)/('Fórmula'!C10+'Fórmula'!E10+'Fórmula'!G10+'Fórmula'!I10+'Fórmula'!K10))*(INDEX(properties!A$1:CB$87,'Fórmula'!J10,4))</f>
        <v>19.6</v>
      </c>
      <c r="I10" s="102">
        <f t="array" ref="I10">'Fórmula'!C10*(INDEX(properties!A$1:CB$87,'Fórmula'!B10,4))+'Fórmula'!E10*(INDEX(properties!A$1:CB$87,'Fórmula'!D10,4))+'Fórmula'!G10*(INDEX(properties!A$1:CB$87,'Fórmula'!F10,4))+'Fórmula'!I10*(INDEX(properties!A$1:CB$87,'Fórmula'!H10,4))+'Fórmula'!K10*(INDEX(properties!A$1:CB$87,'Fórmula'!J10,4))</f>
        <v>196</v>
      </c>
      <c r="J10" s="102">
        <f t="array" ref="J10">VARP(IF(INDEX(properties!A$1:CB$87,'Fórmula'!B10,4)&lt;&gt;"",INDEX(properties!A$1:CB$87,'Fórmula'!B10,4)),IF(INDEX(properties!A$1:CB$87,'Fórmula'!D10,4)&lt;&gt;"",INDEX(properties!A$1:CB$87,'Fórmula'!D10,4)),IF(INDEX(properties!A$1:CB$87,'Fórmula'!F10,4)&lt;&gt;"",INDEX(properties!A$1:CB$87,'Fórmula'!F10,4)),IF(INDEX(properties!A$1:CB$87,'Fórmula'!H10,4)&lt;&gt;"",INDEX(properties!A$1:CB$87,'Fórmula'!H10,4)),IF(INDEX(properties!A$1:CB$87,'Fórmula'!J10,4)&lt;&gt;"",INDEX(properties!A$1:CB$87,'Fórmula'!J10,4)))</f>
        <v>277.44</v>
      </c>
      <c r="K10" s="102">
        <f t="array" ref="K10">MAX(INDEX(properties!A$1:CB$87,'Fórmula'!B10,4),INDEX(properties!A$1:CB$87,'Fórmula'!D10,4),INDEX(properties!A$1:CB$87,'Fórmula'!F10,4),INDEX(properties!A$1:CB$87,'Fórmula'!H10,4),INDEX(properties!A$1:CB$87,'Fórmula'!J10,4))</f>
        <v>42</v>
      </c>
      <c r="L10" s="102">
        <f t="array" ref="L10">MIN(IF(INDEX(properties!A$1:CB$87,'Fórmula'!B10,4)=0,10^6,INDEX(properties!A$1:CB$87,'Fórmula'!B10,4)),IF(INDEX(properties!A$1:CB$87,'Fórmula'!D10,4)=0,10^6,INDEX(properties!A$1:CB$87,'Fórmula'!D10,4)),IF(INDEX(properties!A$1:CB$87,'Fórmula'!F10,4)=0,10^6,INDEX(properties!A$1:CB$87,'Fórmula'!F10,4)),IF(INDEX(properties!A$1:CB$87,'Fórmula'!H10,4)=0,10^6,INDEX(properties!A$1:CB$87,'Fórmula'!H10,4)),IF(INDEX(properties!A$1:CB$87,'Fórmula'!J10,4)=0,10^6,INDEX(properties!A$1:CB$87,'Fórmula'!J10,4)))</f>
        <v>8</v>
      </c>
      <c r="M10" s="102">
        <f t="shared" si="2"/>
        <v>34</v>
      </c>
      <c r="N10" s="103">
        <f t="array" ref="N10">(('Fórmula'!C10)/('Fórmula'!C10+'Fórmula'!E10+'Fórmula'!G10+'Fórmula'!I10+'Fórmula'!K10))*(INDEX(properties!A$1:CB$87,'Fórmula'!B10,5))+(('Fórmula'!E10)/('Fórmula'!C10+'Fórmula'!E10+'Fórmula'!G10+'Fórmula'!I10+'Fórmula'!K10))*(INDEX(properties!A$1:CB$87,'Fórmula'!D10,5))+(('Fórmula'!G10)/('Fórmula'!C10+'Fórmula'!E10+'Fórmula'!G10+'Fórmula'!I10+'Fórmula'!K10))*(INDEX(properties!A$1:CB$87,'Fórmula'!F10,5))+(('Fórmula'!I10)/('Fórmula'!C10+'Fórmula'!E10+'Fórmula'!G10+'Fórmula'!I10+'Fórmula'!K10))*(INDEX(properties!A$1:CB$87,'Fórmula'!H10,5))+(('Fórmula'!K10)/('Fórmula'!C10+'Fórmula'!E10+'Fórmula'!G10+'Fórmula'!I10+'Fórmula'!K10))*(INDEX(properties!A$1:CB$87,'Fórmula'!J10,5))</f>
        <v>3.1</v>
      </c>
      <c r="O10" s="103">
        <f t="array" ref="O10">'Fórmula'!C10*(INDEX(properties!A$1:CB$87,'Fórmula'!B10,5))+'Fórmula'!E10*(INDEX(properties!A$1:CB$87,'Fórmula'!D10,5))+'Fórmula'!G10*(INDEX(properties!A$1:CB$87,'Fórmula'!F10,5))+'Fórmula'!I10*(INDEX(properties!A$1:CB$87,'Fórmula'!H10,5))+'Fórmula'!K10*(INDEX(properties!A$1:CB$87,'Fórmula'!J10,5))</f>
        <v>31</v>
      </c>
      <c r="P10" s="103">
        <f t="array" ref="P10">VARP(IF(INDEX(properties!A$1:CB$87,'Fórmula'!B10,5)&lt;&gt;"",INDEX(properties!A$1:CB$87,'Fórmula'!B10,5)),IF(INDEX(properties!A$1:CB$87,'Fórmula'!D10,5)&lt;&gt;"",INDEX(properties!A$1:CB$87,'Fórmula'!D10,5)),IF(INDEX(properties!A$1:CB$87,'Fórmula'!F10,5)&lt;&gt;"",INDEX(properties!A$1:CB$87,'Fórmula'!F10,5)),IF(INDEX(properties!A$1:CB$87,'Fórmula'!H10,5)&lt;&gt;"",INDEX(properties!A$1:CB$87,'Fórmula'!H10,5)),IF(INDEX(properties!A$1:CB$87,'Fórmula'!J10,5)&lt;&gt;"",INDEX(properties!A$1:CB$87,'Fórmula'!J10,5)))</f>
        <v>3.76</v>
      </c>
      <c r="Q10" s="103">
        <f t="array" ref="Q10">MAX(INDEX(properties!A$1:CB$87,'Fórmula'!B10,5),INDEX(properties!A$1:CB$87,'Fórmula'!D10,5),INDEX(properties!A$1:CB$87,'Fórmula'!F10,5),INDEX(properties!A$1:CB$87,'Fórmula'!H10,5),INDEX(properties!A$1:CB$87,'Fórmula'!J10,5))</f>
        <v>5</v>
      </c>
      <c r="R10" s="103">
        <f t="array" ref="R10">MIN(IF(INDEX(properties!A$1:CB$87,'Fórmula'!B10,5)=0,10^6,INDEX(properties!A$1:CB$87,'Fórmula'!B10,5)),IF(INDEX(properties!A$1:CB$87,'Fórmula'!D10,5)=0,10^6,INDEX(properties!A$1:CB$87,'Fórmula'!D10,5)),IF(INDEX(properties!A$1:CB$87,'Fórmula'!F10,5)=0,10^6,INDEX(properties!A$1:CB$87,'Fórmula'!F10,5)),IF(INDEX(properties!A$1:CB$87,'Fórmula'!H10,5)=0,10^6,INDEX(properties!A$1:CB$87,'Fórmula'!H10,5)),IF(INDEX(properties!A$1:CB$87,'Fórmula'!J10,5)=0,10^6,INDEX(properties!A$1:CB$87,'Fórmula'!J10,5)))</f>
        <v>2</v>
      </c>
      <c r="S10" s="103">
        <f t="shared" si="3"/>
        <v>3</v>
      </c>
      <c r="T10" s="104">
        <f t="array" ref="T10">(('Fórmula'!C10)/('Fórmula'!C10+'Fórmula'!E10+'Fórmula'!G10+'Fórmula'!I10+'Fórmula'!K10))*(INDEX(properties!A$1:CB$87,'Fórmula'!B10,6))+(('Fórmula'!E10)/('Fórmula'!C10+'Fórmula'!E10+'Fórmula'!G10+'Fórmula'!I10+'Fórmula'!K10))*(INDEX(properties!A$1:CB$87,'Fórmula'!D10,6))+(('Fórmula'!G10)/('Fórmula'!C10+'Fórmula'!E10+'Fórmula'!G10+'Fórmula'!I10+'Fórmula'!K10))*(INDEX(properties!A$1:CB$87,'Fórmula'!F10,6))+(('Fórmula'!I10)/('Fórmula'!C10+'Fórmula'!E10+'Fórmula'!G10+'Fórmula'!I10+'Fórmula'!K10))*(INDEX(properties!A$1:CB$87,'Fórmula'!H10,6))+(('Fórmula'!K10)/('Fórmula'!C10+'Fórmula'!E10+'Fórmula'!G10+'Fórmula'!I10+'Fórmula'!K10))*(INDEX(properties!A$1:CB$87,'Fórmula'!J10,6))</f>
        <v>11.8</v>
      </c>
      <c r="U10" s="104">
        <f t="array" ref="U10">'Fórmula'!C10*(INDEX(properties!A$1:CB$87,'Fórmula'!B10,6))+'Fórmula'!E10*(INDEX(properties!A$1:CB$87,'Fórmula'!D10,6))+'Fórmula'!G10*(INDEX(properties!A$1:CB$87,'Fórmula'!F10,6))+'Fórmula'!I10*(INDEX(properties!A$1:CB$87,'Fórmula'!H10,6))+'Fórmula'!K10*(INDEX(properties!A$1:CB$87,'Fórmula'!J10,6))</f>
        <v>118</v>
      </c>
      <c r="V10" s="103">
        <f t="array" ref="V10">VARP(IF(INDEX(properties!A$1:CB$87,'Fórmula'!B10,6)&lt;&gt;"",INDEX(properties!A$1:CB$87,'Fórmula'!B10,6)),IF(INDEX(properties!A$1:CB$87,'Fórmula'!D10,6)&lt;&gt;"",INDEX(properties!A$1:CB$87,'Fórmula'!D10,6)),IF(INDEX(properties!A$1:CB$87,'Fórmula'!F10,6)&lt;&gt;"",INDEX(properties!A$1:CB$87,'Fórmula'!F10,6)),IF(INDEX(properties!A$1:CB$87,'Fórmula'!H10,6)&lt;&gt;"",INDEX(properties!A$1:CB$87,'Fórmula'!H10,6)),IF(INDEX(properties!A$1:CB$87,'Fórmula'!J10,6)&lt;&gt;"",INDEX(properties!A$1:CB$87,'Fórmula'!J10,6)))</f>
        <v>36.16</v>
      </c>
      <c r="W10" s="104">
        <f t="array" ref="W10">MAX(INDEX(properties!A$1:CB$87,'Fórmula'!B10,6),INDEX(properties!A$1:CB$87,'Fórmula'!D10,6),INDEX(properties!A$1:CB$87,'Fórmula'!F10,6),INDEX(properties!A$1:CB$87,'Fórmula'!H10,4),INDEX(properties!A$1:CB$87,'Fórmula'!J10,6))</f>
        <v>12</v>
      </c>
      <c r="X10" s="104">
        <f t="array" ref="X10">MIN(IF(INDEX(properties!A$1:CB$87,'Fórmula'!B10,6)=0,10^6,INDEX(properties!A$1:CB$87,'Fórmula'!B10,6)),IF(INDEX(properties!A$1:CB$87,'Fórmula'!D10,6)=0,10^6,INDEX(properties!A$1:CB$87,'Fórmula'!D10,6)),IF(INDEX(properties!A$1:CB$87,'Fórmula'!F10,6)=0,10^6,INDEX(properties!A$1:CB$87,'Fórmula'!F10,6)),IF(INDEX(properties!A$1:CB$87,'Fórmula'!H10,6)=0,10^6,INDEX(properties!A$1:CB$87,'Fórmula'!H10,6)),IF(INDEX(properties!A$1:CB$87,'Fórmula'!J10,6)=0,10^6,INDEX(properties!A$1:CB$87,'Fórmula'!J10,6)))</f>
        <v>2</v>
      </c>
      <c r="Y10" s="104">
        <f t="shared" si="4"/>
        <v>10</v>
      </c>
      <c r="Z10" s="105">
        <f t="array" ref="Z10">(('Fórmula'!C10)/('Fórmula'!C10+'Fórmula'!E10+'Fórmula'!G10+'Fórmula'!I10+'Fórmula'!K10))*(INDEX(properties!A$1:CB$87,'Fórmula'!B10,9))+(('Fórmula'!E10)/('Fórmula'!C10+'Fórmula'!E10+'Fórmula'!G10+'Fórmula'!I10+'Fórmula'!K10))*(INDEX(properties!A$1:CB$87,'Fórmula'!D10,9))+(('Fórmula'!G10)/('Fórmula'!C10+'Fórmula'!E10+'Fórmula'!G10+'Fórmula'!I10+'Fórmula'!K10))*(INDEX(properties!A$1:CB$87,'Fórmula'!F10,9))+(('Fórmula'!I10)/('Fórmula'!C10+'Fórmula'!E10+'Fórmula'!G10+'Fórmula'!I10+'Fórmula'!K10))*(INDEX(properties!A$1:CB$87,'Fórmula'!H10,9))+(('Fórmula'!K10)/('Fórmula'!C10+'Fórmula'!E10+'Fórmula'!G10+'Fórmula'!I10+'Fórmula'!K10))*(INDEX(properties!A$1:CB$87,'Fórmula'!J10,9))</f>
        <v>65.7</v>
      </c>
      <c r="AA10" s="105">
        <f t="array" ref="AA10">'Fórmula'!C10*(INDEX(properties!A$1:CB$87,'Fórmula'!B10,9))+'Fórmula'!E10*(INDEX(properties!A$1:CB$87,'Fórmula'!D10,9))+'Fórmula'!G10*(INDEX(properties!A$1:CB$87,'Fórmula'!F10,9))+'Fórmula'!I10*(INDEX(properties!A$1:CB$87,'Fórmula'!H10,9))+'Fórmula'!K10*(INDEX(properties!A$1:CB$87,'Fórmula'!J10,9))</f>
        <v>657</v>
      </c>
      <c r="AB10" s="105">
        <f t="array" ref="AB10">VARP(IF(INDEX(properties!A$1:CB$87,'Fórmula'!B10,9)&lt;&gt;"",INDEX(properties!A$1:CB$87,'Fórmula'!B10,9)),IF(INDEX(properties!A$1:CB$87,'Fórmula'!D10,9)&lt;&gt;"",INDEX(properties!A$1:CB$87,'Fórmula'!D10,9)),IF(INDEX(properties!A$1:CB$87,'Fórmula'!F10,9)&lt;&gt;"",INDEX(properties!A$1:CB$87,'Fórmula'!F10,9)),IF(INDEX(properties!A$1:CB$87,'Fórmula'!H10,9)&lt;&gt;"",INDEX(properties!A$1:CB$87,'Fórmula'!H10,9)),IF(INDEX(properties!A$1:CB$87,'Fórmula'!J10,9)&lt;&gt;"",INDEX(properties!A$1:CB$87,'Fórmula'!J10,9)))</f>
        <v>1146.96</v>
      </c>
      <c r="AC10" s="105">
        <f t="array" ref="AC10">MAX(INDEX(properties!A$1:CB$87,'Fórmula'!B10,9),INDEX(properties!A$1:CB$87,'Fórmula'!D10,9),INDEX(properties!A$1:CB$87,'Fórmula'!F10,9),INDEX(properties!A$1:CB$87,'Fórmula'!H10,9),INDEX(properties!A$1:CB$87,'Fórmula'!J10,9))</f>
        <v>87</v>
      </c>
      <c r="AD10" s="105">
        <f t="array" ref="AD10">MIN(IF(INDEX(properties!A$1:CB$87,'Fórmula'!B10,9)=0,10^6,INDEX(properties!A$1:CB$87,'Fórmula'!B10,9)),IF(INDEX(properties!A$1:CB$87,'Fórmula'!D10,9)=0,10^6,INDEX(properties!A$1:CB$87,'Fórmula'!D10,9)),IF(INDEX(properties!A$1:CB$87,'Fórmula'!F10,9)=0,10^6,INDEX(properties!A$1:CB$87,'Fórmula'!F10,9)),IF(INDEX(properties!A$1:CB$87,'Fórmula'!H10,9)=0,10^6,INDEX(properties!A$1:CB$87,'Fórmula'!H10,9)),IF(INDEX(properties!A$1:CB$87,'Fórmula'!J10,9)=0,10^6,INDEX(properties!A$1:CB$87,'Fórmula'!J10,9)))</f>
        <v>8</v>
      </c>
      <c r="AE10" s="105">
        <f t="shared" si="5"/>
        <v>79</v>
      </c>
      <c r="AF10" s="106">
        <f t="array" ref="AF10">(('Fórmula'!C10)/('Fórmula'!C10+'Fórmula'!E10+'Fórmula'!G10+'Fórmula'!I10+'Fórmula'!K10))*(INDEX(properties!A$1:CB$87,'Fórmula'!B10,10))+(('Fórmula'!E10)/('Fórmula'!C10+'Fórmula'!E10+'Fórmula'!G10+'Fórmula'!I10+'Fórmula'!K10))*(INDEX(properties!A$1:CB$87,'Fórmula'!D10,10))+(('Fórmula'!G10)/('Fórmula'!C10+'Fórmula'!E10+'Fórmula'!G10+'Fórmula'!I10+'Fórmula'!K10))*(INDEX(properties!A$1:CB$87,'Fórmula'!F10,10))+(('Fórmula'!I10)/('Fórmula'!C10+'Fórmula'!E10+'Fórmula'!G10+'Fórmula'!I10+'Fórmula'!K10))*(INDEX(properties!A$1:CB$87,'Fórmula'!H10,10))+(('Fórmula'!K10)/('Fórmula'!C10+'Fórmula'!E10+'Fórmula'!G10+'Fórmula'!I10+'Fórmula'!K10))*(INDEX(properties!A$1:CB$87,'Fórmula'!J10,10))</f>
        <v>5.4</v>
      </c>
      <c r="AG10" s="106">
        <f t="array" ref="AG10">'Fórmula'!C10*(INDEX(properties!A$1:CB$87,'Fórmula'!B10,10))+'Fórmula'!E10*(INDEX(properties!A$1:CB$87,'Fórmula'!D10,10))+'Fórmula'!G10*(INDEX(properties!A$1:CB$87,'Fórmula'!F10,10))+'Fórmula'!I10*(INDEX(properties!A$1:CB$87,'Fórmula'!H10,10))+'Fórmula'!K10*(INDEX(properties!A$1:CB$87,'Fórmula'!J10,10))</f>
        <v>54</v>
      </c>
      <c r="AH10" s="106">
        <f t="array" ref="AH10">VARP(IF(INDEX(properties!A$1:CB$87,'Fórmula'!B10,10)&lt;&gt;"",INDEX(properties!A$1:CB$87,'Fórmula'!B10,10)),IF(INDEX(properties!A$1:CB$87,'Fórmula'!D10,10)&lt;&gt;"",INDEX(properties!A$1:CB$87,'Fórmula'!D10,10)),IF(INDEX(properties!A$1:CB$87,'Fórmula'!F10,10)&lt;&gt;"",INDEX(properties!A$1:CB$87,'Fórmula'!F10,10)),IF(INDEX(properties!A$1:CB$87,'Fórmula'!H10,10)&lt;&gt;"",INDEX(properties!A$1:CB$87,'Fórmula'!H10,10)),IF(INDEX(properties!A$1:CB$87,'Fórmula'!J10,10)&lt;&gt;"",INDEX(properties!A$1:CB$87,'Fórmula'!J10,10)))</f>
        <v>5.44</v>
      </c>
      <c r="AI10" s="106">
        <f t="array" ref="AI10">MAX(INDEX(properties!A$1:CB$87,'Fórmula'!B10,10),INDEX(properties!A$1:CB$87,'Fórmula'!D10,10),INDEX(properties!A$1:CB$87,'Fórmula'!F10,10),INDEX(properties!A$1:CB$87,'Fórmula'!H10,10),INDEX(properties!A$1:CB$87,'Fórmula'!J10,10))</f>
        <v>7</v>
      </c>
      <c r="AJ10" s="106">
        <f t="array" ref="AJ10">MIN(IF(INDEX(properties!A$1:CB$87,'Fórmula'!B10,10)=0,10^6,INDEX(properties!A$1:CB$87,'Fórmula'!B10,10)),IF(INDEX(properties!A$1:CB$87,'Fórmula'!D10,10)=0,10^6,INDEX(properties!A$1:CB$87,'Fórmula'!D10,10)),IF(INDEX(properties!A$1:CB$87,'Fórmula'!F10,10)=0,10^6,INDEX(properties!A$1:CB$87,'Fórmula'!F10,10)),IF(INDEX(properties!A$1:CB$87,'Fórmula'!H10,10)=0,10^6,INDEX(properties!A$1:CB$87,'Fórmula'!H10,10)),IF(INDEX(properties!A$1:CB$87,'Fórmula'!J10,10)=0,10^6,INDEX(properties!A$1:CB$87,'Fórmula'!J10,10)))</f>
        <v>2</v>
      </c>
      <c r="AK10" s="106">
        <f t="shared" si="6"/>
        <v>5</v>
      </c>
      <c r="AL10" s="107">
        <f t="array" ref="AL10">(('Fórmula'!C10)/('Fórmula'!C10+'Fórmula'!E10+'Fórmula'!G10+'Fórmula'!I10+'Fórmula'!K10))*(INDEX(properties!A$1:CB$87,'Fórmula'!B10,11))+(('Fórmula'!E10)/('Fórmula'!C10+'Fórmula'!E10+'Fórmula'!G10+'Fórmula'!I10+'Fórmula'!K10))*(INDEX(properties!A$1:CB$87,'Fórmula'!D10,11))+(('Fórmula'!G10)/('Fórmula'!C10+'Fórmula'!E10+'Fórmula'!G10+'Fórmula'!I10+'Fórmula'!K10))*(INDEX(properties!A$1:CB$87,'Fórmula'!F10,11))+(('Fórmula'!I10)/('Fórmula'!C10+'Fórmula'!E10+'Fórmula'!G10+'Fórmula'!I10+'Fórmula'!K10))*(INDEX(properties!A$1:CB$87,'Fórmula'!H10,11))+(('Fórmula'!K10)/('Fórmula'!C10+'Fórmula'!E10+'Fórmula'!G10+'Fórmula'!I10+'Fórmula'!K10))*(INDEX(properties!A$1:CB$87,'Fórmula'!J10,11))</f>
        <v>1.9</v>
      </c>
      <c r="AM10" s="107">
        <f t="array" ref="AM10">'Fórmula'!C10*(INDEX(properties!A$1:CB$87,'Fórmula'!B10,11))+'Fórmula'!E10*(INDEX(properties!A$1:CB$87,'Fórmula'!D10,11))+'Fórmula'!G10*(INDEX(properties!A$1:CB$87,'Fórmula'!F10,11))+'Fórmula'!I10*(INDEX(properties!A$1:CB$87,'Fórmula'!H10,11))+'Fórmula'!K10*(INDEX(properties!A$1:CB$87,'Fórmula'!J10,11))</f>
        <v>19</v>
      </c>
      <c r="AN10" s="107">
        <f t="array" ref="AN10">VARP(IF(INDEX(properties!A$1:CB$87,'Fórmula'!B10,11)&lt;&gt;"",INDEX(properties!A$1:CB$87,'Fórmula'!B10,11)),IF(INDEX(properties!A$1:CB$87,'Fórmula'!D10,11)&lt;&gt;"",INDEX(properties!A$1:CB$87,'Fórmula'!D10,11)),IF(INDEX(properties!A$1:CB$87,'Fórmula'!F10,11)&lt;&gt;"",INDEX(properties!A$1:CB$87,'Fórmula'!F10,11)),IF(INDEX(properties!A$1:CB$87,'Fórmula'!H10,11)&lt;&gt;"",INDEX(properties!A$1:CB$87,'Fórmula'!H10,11)),IF(INDEX(properties!A$1:CB$87,'Fórmula'!J10,11)&lt;&gt;"",INDEX(properties!A$1:CB$87,'Fórmula'!J10,11)))</f>
        <v>0.64</v>
      </c>
      <c r="AO10" s="107">
        <f t="array" ref="AO10">MAX(INDEX(properties!A$1:CB$87,'Fórmula'!B10,11),INDEX(properties!A$1:CB$87,'Fórmula'!D10,11),INDEX(properties!A$1:CB$87,'Fórmula'!F10,11),INDEX(properties!A$1:CB$87,'Fórmula'!H10,11),INDEX(properties!A$1:CB$87,'Fórmula'!J10,11))</f>
        <v>2</v>
      </c>
      <c r="AP10" s="107">
        <f t="array" ref="AP10">MIN(IF('Fórmula'!B10=87,10^6,INDEX(properties!A$1:CB$87,'Fórmula'!B10,11)),IF(('Fórmula'!D10)=87,10^6,INDEX(properties!A$1:CB$87,'Fórmula'!D10,11)),IF(('Fórmula'!F10)=87,10^6,INDEX(properties!A$1:CB$87,'Fórmula'!F10,11)),IF(('Fórmula'!H10)=87,10^6,INDEX(properties!A$1:CB$87,'Fórmula'!H10,11)),IF('Fórmula'!J10=87,10^6,INDEX(properties!A$1:CB$87,'Fórmula'!J10,11)))</f>
        <v>1</v>
      </c>
      <c r="AQ10" s="107">
        <f t="shared" si="7"/>
        <v>1</v>
      </c>
      <c r="AR10" s="108">
        <f t="array" ref="AR10">(('Fórmula'!C10)/('Fórmula'!C10+'Fórmula'!E10+'Fórmula'!G10+'Fórmula'!I10+'Fórmula'!K10))*(INDEX(properties!A$1:CB$87,'Fórmula'!B10,12))+(('Fórmula'!E10)/('Fórmula'!C10+'Fórmula'!E10+'Fórmula'!G10+'Fórmula'!I10+'Fórmula'!K10))*(INDEX(properties!A$1:CB$87,'Fórmula'!D10,12))+(('Fórmula'!G10)/('Fórmula'!C10+'Fórmula'!E10+'Fórmula'!G10+'Fórmula'!I10+'Fórmula'!K10))*(INDEX(properties!A$1:CB$87,'Fórmula'!F10,12))+(('Fórmula'!I10)/('Fórmula'!C10+'Fórmula'!E10+'Fórmula'!G10+'Fórmula'!I10+'Fórmula'!K10))*(INDEX(properties!A$1:CB$87,'Fórmula'!H10,12))+(('Fórmula'!K10)/('Fórmula'!C10+'Fórmula'!E10+'Fórmula'!G10+'Fórmula'!I10+'Fórmula'!K10))*(INDEX(properties!A$1:CB$87,'Fórmula'!J10,12))</f>
        <v>2.4</v>
      </c>
      <c r="AS10" s="108">
        <f t="array" ref="AS10">'Fórmula'!C10*(INDEX(properties!A$1:CB$87,'Fórmula'!B10,12))+'Fórmula'!E10*(INDEX(properties!A$1:CB$87,'Fórmula'!D10,12))+'Fórmula'!G10*(INDEX(properties!A$1:CB$87,'Fórmula'!F10,12))+'Fórmula'!I10*(INDEX(properties!A$1:CB$87,'Fórmula'!H10,12))+'Fórmula'!K10*(INDEX(properties!A$1:CB$87,'Fórmula'!J10,12))</f>
        <v>24</v>
      </c>
      <c r="AT10" s="108">
        <f t="array" ref="AT10">VARP(IF(INDEX(properties!A$1:CB$87,'Fórmula'!B10,12)&lt;&gt;"",INDEX(properties!A$1:CB$87,'Fórmula'!B10,12)),IF(INDEX(properties!A$1:CB$87,'Fórmula'!D10,12)&lt;&gt;"",INDEX(properties!A$1:CB$87,'Fórmula'!D10,12)),IF(INDEX(properties!A$1:CB$87,'Fórmula'!F10,12)&lt;&gt;"",INDEX(properties!A$1:CB$87,'Fórmula'!F10,12)),IF(INDEX(properties!A$1:CB$87,'Fórmula'!H10,12)&lt;&gt;"",INDEX(properties!A$1:CB$87,'Fórmula'!H10,12)),IF(INDEX(properties!A$1:CB$87,'Fórmula'!J10,12)&lt;&gt;"",INDEX(properties!A$1:CB$87,'Fórmula'!J10,12)))</f>
        <v>2.56</v>
      </c>
      <c r="AU10" s="108">
        <f t="array" ref="AU10">MAX(INDEX(properties!A$1:CB$87,'Fórmula'!B10,12),INDEX(properties!A$1:CB$87,'Fórmula'!D10,12),INDEX(properties!A$1:CB$87,'Fórmula'!F10,12),INDEX(properties!A$1:CB$87,'Fórmula'!H10,12),INDEX(properties!A$1:CB$87,'Fórmula'!J10,12))</f>
        <v>4</v>
      </c>
      <c r="AV10" s="108">
        <f t="array" ref="AV10">MIN(IF('Fórmula'!B10=87,10^6,INDEX(properties!A$1:CB$87,'Fórmula'!B10,12)),IF(('Fórmula'!D10)=87,10^6,INDEX(properties!A$1:CB$87,'Fórmula'!D10,12)),IF(('Fórmula'!F10)=87,10^6,INDEX(properties!A$1:CB$87,'Fórmula'!F10,12)),IF(('Fórmula'!H10)=87,10^6,INDEX(properties!A$1:CB$87,'Fórmula'!H10,12)),IF('Fórmula'!J10=87,10^6,INDEX(properties!A$1:CB$87,'Fórmula'!J10,12)))</f>
        <v>0</v>
      </c>
      <c r="AW10" s="108">
        <f t="shared" si="8"/>
        <v>4</v>
      </c>
      <c r="AX10" s="109">
        <f t="array" ref="AX10">(('Fórmula'!C10)/('Fórmula'!C10+'Fórmula'!E10+'Fórmula'!G10+'Fórmula'!I10+'Fórmula'!K10))*(INDEX(properties!A$1:CB$87,'Fórmula'!B10,13))+(('Fórmula'!E10)/('Fórmula'!C10+'Fórmula'!E10+'Fórmula'!G10+'Fórmula'!I10+'Fórmula'!K10))*(INDEX(properties!A$1:CB$87,'Fórmula'!D10,13))+(('Fórmula'!G10)/('Fórmula'!C10+'Fórmula'!E10+'Fórmula'!G10+'Fórmula'!I10+'Fórmula'!K10))*(INDEX(properties!A$1:CB$87,'Fórmula'!F10,13))+(('Fórmula'!I10)/('Fórmula'!C10+'Fórmula'!E10+'Fórmula'!G10+'Fórmula'!I10+'Fórmula'!K10))*(INDEX(properties!A$1:CB$87,'Fórmula'!H10,13))+(('Fórmula'!K10)/('Fórmula'!C10+'Fórmula'!E10+'Fórmula'!G10+'Fórmula'!I10+'Fórmula'!K10))*(INDEX(properties!A$1:CB$87,'Fórmula'!J10,13))</f>
        <v>1.5</v>
      </c>
      <c r="AY10" s="109">
        <f t="array" ref="AY10">'Fórmula'!C10*(INDEX(properties!A$1:CB$87,'Fórmula'!B10,13))+'Fórmula'!E10*(INDEX(properties!A$1:CB$87,'Fórmula'!D10,13))+'Fórmula'!G10*(INDEX(properties!A$1:CB$87,'Fórmula'!F10,13))+'Fórmula'!I10*(INDEX(properties!A$1:CB$87,'Fórmula'!H10,13))+'Fórmula'!K10*(INDEX(properties!A$1:CB$87,'Fórmula'!J10,13))</f>
        <v>15</v>
      </c>
      <c r="AZ10" s="109">
        <f t="array" ref="AZ10">VARP(IF(INDEX(properties!A$1:CB$87,'Fórmula'!B10,13)&lt;&gt;"",INDEX(properties!A$1:CB$87,'Fórmula'!B10,13)),IF(INDEX(properties!A$1:CB$87,'Fórmula'!D10,13)&lt;&gt;"",INDEX(properties!A$1:CB$87,'Fórmula'!D10,13)),IF(INDEX(properties!A$1:CB$87,'Fórmula'!F10,13)&lt;&gt;"",INDEX(properties!A$1:CB$87,'Fórmula'!F10,13)),IF(INDEX(properties!A$1:CB$87,'Fórmula'!H10,13)&lt;&gt;"",INDEX(properties!A$1:CB$87,'Fórmula'!H10,13)),IF(INDEX(properties!A$1:CB$87,'Fórmula'!J10,13)&lt;&gt;"",INDEX(properties!A$1:CB$87,'Fórmula'!J10,13)))</f>
        <v>16</v>
      </c>
      <c r="BA10" s="109">
        <f t="array" ref="BA10">MAX(INDEX(properties!A$1:CB$87,'Fórmula'!B10,13),INDEX(properties!A$1:CB$87,'Fórmula'!D10,13),INDEX(properties!A$1:CB$87,'Fórmula'!F10,13),INDEX(properties!A$1:CB$87,'Fórmula'!H10,13),INDEX(properties!A$1:CB$87,'Fórmula'!J10,13))</f>
        <v>10</v>
      </c>
      <c r="BB10" s="109">
        <f t="array" ref="BB10">MIN(IF('Fórmula'!B10=87,10^6,INDEX(properties!A$1:CB$87,'Fórmula'!B10,13)),IF(('Fórmula'!D10)=87,10^6,INDEX(properties!A$1:CB$87,'Fórmula'!D10,13)),IF(('Fórmula'!F10)=87,10^6,INDEX(properties!A$1:CB$87,'Fórmula'!F10,13)),IF(('Fórmula'!H10)=87,10^6,INDEX(properties!A$1:CB$87,'Fórmula'!H10,13)),IF('Fórmula'!J10=87,10^6,INDEX(properties!A$1:CB$87,'Fórmula'!J10,13)))</f>
        <v>0</v>
      </c>
      <c r="BC10" s="109">
        <f t="shared" si="9"/>
        <v>10</v>
      </c>
      <c r="BD10" s="110">
        <f t="array" ref="BD10">(('Fórmula'!C10)/('Fórmula'!C10+'Fórmula'!E10+'Fórmula'!G10+'Fórmula'!I10+'Fórmula'!K10))*(INDEX(properties!A$1:CB$87,'Fórmula'!B10,14))+(('Fórmula'!E10)/('Fórmula'!C10+'Fórmula'!E10+'Fórmula'!G10+'Fórmula'!I10+'Fórmula'!K10))*(INDEX(properties!A$1:CB$87,'Fórmula'!D10,14))+(('Fórmula'!G10)/('Fórmula'!C10+'Fórmula'!E10+'Fórmula'!G10+'Fórmula'!I10+'Fórmula'!K10))*(INDEX(properties!A$1:CB$87,'Fórmula'!F10,14))+(('Fórmula'!I10)/('Fórmula'!C10+'Fórmula'!E10+'Fórmula'!G10+'Fórmula'!I10+'Fórmula'!K10))*(INDEX(properties!A$1:CB$87,'Fórmula'!H10,14))+(('Fórmula'!K10)/('Fórmula'!C10+'Fórmula'!E10+'Fórmula'!G10+'Fórmula'!I10+'Fórmula'!K10))*(INDEX(properties!A$1:CB$87,'Fórmula'!J10,14))</f>
        <v>0</v>
      </c>
      <c r="BE10" s="110">
        <f t="array" ref="BE10">'Fórmula'!C10*(INDEX(properties!A$1:CB$87,'Fórmula'!B10,14))+'Fórmula'!E10*(INDEX(properties!A$1:CB$87,'Fórmula'!D10,14))+'Fórmula'!G10*(INDEX(properties!A$1:CB$87,'Fórmula'!F10,14))+'Fórmula'!I10*(INDEX(properties!A$1:CB$87,'Fórmula'!H10,14))+'Fórmula'!K10*(INDEX(properties!A$1:CB$87,'Fórmula'!J10,14))</f>
        <v>0</v>
      </c>
      <c r="BF10" s="110">
        <f t="array" ref="BF10">VARP(IF(INDEX(properties!A$1:CB$87,'Fórmula'!B10,14)&lt;&gt;"",INDEX(properties!A$1:CB$87,'Fórmula'!B10,14)),IF(INDEX(properties!A$1:CB$87,'Fórmula'!D10,14)&lt;&gt;"",INDEX(properties!A$1:CB$87,'Fórmula'!D10,14)),IF(INDEX(properties!A$1:CB$87,'Fórmula'!F10,14)&lt;&gt;"",INDEX(properties!A$1:CB$87,'Fórmula'!F10,14)),IF(INDEX(properties!A$1:CB$87,'Fórmula'!H10,14)&lt;&gt;"",INDEX(properties!A$1:CB$87,'Fórmula'!H10,14)),IF(INDEX(properties!A$1:CB$87,'Fórmula'!J10,14)&lt;&gt;"",INDEX(properties!A$1:CB$87,'Fórmula'!J10,14)))</f>
        <v>0</v>
      </c>
      <c r="BG10" s="110">
        <f t="array" ref="BG10">MAX(INDEX(properties!A$1:CB$87,'Fórmula'!B10,14),INDEX(properties!A$1:CB$87,'Fórmula'!D10,14),INDEX(properties!A$1:CB$87,'Fórmula'!F10,14),INDEX(properties!A$1:CB$87,'Fórmula'!H10,14),INDEX(properties!A$1:CB$87,'Fórmula'!J10,14))</f>
        <v>0</v>
      </c>
      <c r="BH10" s="110">
        <f t="array" ref="BH10">MIN(IF('Fórmula'!B10=87,10^6,INDEX(properties!A$1:CB$87,'Fórmula'!B10,14)),IF(('Fórmula'!D10)=87,10^6,INDEX(properties!A$1:CB$87,'Fórmula'!D10,14)),IF(('Fórmula'!F10)=87,10^6,INDEX(properties!A$1:CB$87,'Fórmula'!F10,14)),IF(('Fórmula'!H10)=87,10^6,INDEX(properties!A$1:CB$87,'Fórmula'!H10,14)),IF('Fórmula'!J10=87,10^6,INDEX(properties!A$1:CB$87,'Fórmula'!J10,14)))</f>
        <v>0</v>
      </c>
      <c r="BI10" s="110">
        <f t="shared" si="10"/>
        <v>0</v>
      </c>
      <c r="BJ10" s="111">
        <f t="array" ref="BJ10">(('Fórmula'!C10)/('Fórmula'!C10+'Fórmula'!E10+'Fórmula'!G10+'Fórmula'!I10+'Fórmula'!K10))*(INDEX(properties!A$1:CB$87,'Fórmula'!B10,19))+(('Fórmula'!E10)/('Fórmula'!C10+'Fórmula'!E10+'Fórmula'!G10+'Fórmula'!I10+'Fórmula'!K10))*(INDEX(properties!A$1:CB$87,'Fórmula'!D10,19))+(('Fórmula'!G10)/('Fórmula'!C10+'Fórmula'!E10+'Fórmula'!G10+'Fórmula'!I10+'Fórmula'!K10))*(INDEX(properties!A$1:CB$87,'Fórmula'!F10,19))+(('Fórmula'!I10)/('Fórmula'!C10+'Fórmula'!E10+'Fórmula'!G10+'Fórmula'!I10+'Fórmula'!K10))*(INDEX(properties!A$1:CB$87,'Fórmula'!H10,19))+(('Fórmula'!K10)/('Fórmula'!C10+'Fórmula'!E10+'Fórmula'!G10+'Fórmula'!I10+'Fórmula'!K10))*(INDEX(properties!A$1:CB$87,'Fórmula'!J10,19))</f>
        <v>5.8</v>
      </c>
      <c r="BK10" s="111">
        <f t="array" ref="BK10">'Fórmula'!C10*(INDEX(properties!A$1:CB$87,'Fórmula'!B10,19))+'Fórmula'!E10*(INDEX(properties!A$1:CB$87,'Fórmula'!D10,19))+'Fórmula'!G10*(INDEX(properties!A$1:CB$87,'Fórmula'!F10,19))+'Fórmula'!I10*(INDEX(properties!A$1:CB$87,'Fórmula'!H10,19))+'Fórmula'!K10*(INDEX(properties!A$1:CB$87,'Fórmula'!J10,19))</f>
        <v>58</v>
      </c>
      <c r="BL10" s="111">
        <f t="array" ref="BL10">VARP(IF(INDEX(properties!A$1:CB$87,'Fórmula'!B10,19)&lt;&gt;"",INDEX(properties!A$1:CB$87,'Fórmula'!B10,19)),IF(INDEX(properties!A$1:CB$87,'Fórmula'!D10,19)&lt;&gt;"",INDEX(properties!A$1:CB$87,'Fórmula'!D10,19)),IF(INDEX(properties!A$1:CB$87,'Fórmula'!F10,19)&lt;&gt;"",INDEX(properties!A$1:CB$87,'Fórmula'!F10,19)),IF(INDEX(properties!A$1:CB$87,'Fórmula'!H10,19)&lt;&gt;"",INDEX(properties!A$1:CB$87,'Fórmula'!H10,19)),IF(INDEX(properties!A$1:CB$87,'Fórmula'!J10,19)&lt;&gt;"",INDEX(properties!A$1:CB$87,'Fórmula'!J10,19)))</f>
        <v>16.96</v>
      </c>
      <c r="BM10" s="111">
        <f t="array" ref="BM10">MAX(INDEX(properties!A$1:CB$87,'Fórmula'!B10,19),INDEX(properties!A$1:CB$87,'Fórmula'!D10,19),INDEX(properties!A$1:CB$87,'Fórmula'!F10,19),INDEX(properties!A$1:CB$87,'Fórmula'!H10,19),INDEX(properties!A$1:CB$87,'Fórmula'!J10,19))</f>
        <v>12</v>
      </c>
      <c r="BN10" s="111">
        <f t="array" ref="BN10">MIN(IF(INDEX(properties!A$1:CB$87,'Fórmula'!B10,19)=0,10^6,INDEX(properties!A$1:CB$87,'Fórmula'!B10,19)),IF(INDEX(properties!A$1:CB$87,'Fórmula'!D10,19)=0,10^6,INDEX(properties!A$1:CB$87,'Fórmula'!D10,19)),IF(INDEX(properties!A$1:CB$87,'Fórmula'!F10,19)=0,10^6,INDEX(properties!A$1:CB$87,'Fórmula'!F10,19)),IF(INDEX(properties!A$1:CB$87,'Fórmula'!H10,19)=0,10^6,INDEX(properties!A$1:CB$87,'Fórmula'!H10,19)),IF(INDEX(properties!A$1:CB$87,'Fórmula'!J10,19)=0,10^6,INDEX(properties!A$1:CB$87,'Fórmula'!J10,19)))</f>
        <v>2</v>
      </c>
      <c r="BO10" s="111">
        <f t="shared" si="11"/>
        <v>10</v>
      </c>
      <c r="BP10" s="112">
        <f t="array" ref="BP10">(('Fórmula'!C10)/('Fórmula'!C10+'Fórmula'!E10+'Fórmula'!G10+'Fórmula'!I10+'Fórmula'!K10))*(INDEX(properties!A$1:CB$87,'Fórmula'!B10,20))+(('Fórmula'!E10)/('Fórmula'!C10+'Fórmula'!E10+'Fórmula'!G10+'Fórmula'!I10+'Fórmula'!K10))*(INDEX(properties!A$1:CB$87,'Fórmula'!D10,20))+(('Fórmula'!G10)/('Fórmula'!C10+'Fórmula'!E10+'Fórmula'!G10+'Fórmula'!I10+'Fórmula'!K10))*(INDEX(properties!A$1:CB$87,'Fórmula'!F10,20))+(('Fórmula'!I10)/('Fórmula'!C10+'Fórmula'!E10+'Fórmula'!G10+'Fórmula'!I10+'Fórmula'!K10))*(INDEX(properties!A$1:CB$87,'Fórmula'!H10,20))+(('Fórmula'!K10)/('Fórmula'!C10+'Fórmula'!E10+'Fórmula'!G10+'Fórmula'!I10+'Fórmula'!K10))*(INDEX(properties!A$1:CB$87,'Fórmula'!J10,20))</f>
        <v>4.3</v>
      </c>
      <c r="BQ10" s="112">
        <f t="array" ref="BQ10">'Fórmula'!C10*(INDEX(properties!A$1:CB$87,'Fórmula'!B10,20))+'Fórmula'!E10*(INDEX(properties!A$1:CB$87,'Fórmula'!D10,20))+'Fórmula'!G10*(INDEX(properties!A$1:CB$87,'Fórmula'!F10,20))+'Fórmula'!I10*(INDEX(properties!A$1:CB$87,'Fórmula'!H10,20))+'Fórmula'!K10*(INDEX(properties!A$1:CB$87,'Fórmula'!J10,20))</f>
        <v>43</v>
      </c>
      <c r="BR10" s="112">
        <f t="array" ref="BR10">VARP(IF(INDEX(properties!A$1:CB$87,'Fórmula'!B10,20)&lt;&gt;"",INDEX(properties!A$1:CB$87,'Fórmula'!B10,20)),IF(INDEX(properties!A$1:CB$87,'Fórmula'!D10,20)&lt;&gt;"",INDEX(properties!A$1:CB$87,'Fórmula'!D10,20)),IF(INDEX(properties!A$1:CB$87,'Fórmula'!F10,20)&lt;&gt;"",INDEX(properties!A$1:CB$87,'Fórmula'!F10,20)),IF(INDEX(properties!A$1:CB$87,'Fórmula'!H10,20)&lt;&gt;"",INDEX(properties!A$1:CB$87,'Fórmula'!H10,20)),IF(INDEX(properties!A$1:CB$87,'Fórmula'!J10,20)&lt;&gt;"",INDEX(properties!A$1:CB$87,'Fórmula'!J10,20)))</f>
        <v>4.16</v>
      </c>
      <c r="BS10" s="112">
        <f t="array" ref="BS10">MAX(INDEX(properties!A$1:CB$87,'Fórmula'!B10,20),INDEX(properties!A$1:CB$87,'Fórmula'!D10,20),INDEX(properties!A$1:CB$87,'Fórmula'!F10,20),INDEX(properties!A$1:CB$87,'Fórmula'!H10,20),INDEX(properties!A$1:CB$87,'Fórmula'!J10,20))</f>
        <v>6</v>
      </c>
      <c r="BT10" s="112">
        <f t="array" ref="BT10">MIN(IF(INDEX(properties!A$1:CB$87,'Fórmula'!B10,20)=0,10^6,INDEX(properties!A$1:CB$87,'Fórmula'!B10,20)),IF(INDEX(properties!A$1:CB$87,'Fórmula'!D10,20)=0,10^6,INDEX(properties!A$1:CB$87,'Fórmula'!D10,20)),IF(INDEX(properties!A$1:CB$87,'Fórmula'!F10,20)=0,10^6,INDEX(properties!A$1:CB$87,'Fórmula'!F10,20)),IF(INDEX(properties!A$1:CB$87,'Fórmula'!H10,20)=0,10^6,INDEX(properties!A$1:CB$87,'Fórmula'!H10,20)),IF(INDEX(properties!A$1:CB$87,'Fórmula'!J10,20)=0,10^6,INDEX(properties!A$1:CB$87,'Fórmula'!J10,20)))</f>
        <v>1</v>
      </c>
      <c r="BU10" s="112">
        <f t="shared" si="12"/>
        <v>5</v>
      </c>
      <c r="BV10" s="113">
        <f t="array" ref="BV10">(('Fórmula'!C10)/('Fórmula'!C10+'Fórmula'!E10+'Fórmula'!G10+'Fórmula'!I10+'Fórmula'!K10))*(INDEX(properties!A$1:CB$87,'Fórmula'!B10,21))+(('Fórmula'!E10)/('Fórmula'!C10+'Fórmula'!E10+'Fórmula'!G10+'Fórmula'!I10+'Fórmula'!K10))*(INDEX(properties!A$1:CB$87,'Fórmula'!D10,21))+(('Fórmula'!G10)/('Fórmula'!C10+'Fórmula'!E10+'Fórmula'!G10+'Fórmula'!I10+'Fórmula'!K10))*(INDEX(properties!A$1:CB$87,'Fórmula'!F10,21))+(('Fórmula'!I10)/('Fórmula'!C10+'Fórmula'!E10+'Fórmula'!G10+'Fórmula'!I10+'Fórmula'!K10))*(INDEX(properties!A$1:CB$87,'Fórmula'!H10,21))+(('Fórmula'!K10)/('Fórmula'!C10+'Fórmula'!E10+'Fórmula'!G10+'Fórmula'!I10+'Fórmula'!K10))*(INDEX(properties!A$1:CB$87,'Fórmula'!J10,21))</f>
        <v>4.5</v>
      </c>
      <c r="BW10" s="113">
        <f t="array" ref="BW10">'Fórmula'!C10*(INDEX(properties!A$1:CB$87,'Fórmula'!B10,21))+'Fórmula'!E10*(INDEX(properties!A$1:CB$87,'Fórmula'!D10,21))+'Fórmula'!G10*(INDEX(properties!A$1:CB$87,'Fórmula'!F10,21))+'Fórmula'!I10*(INDEX(properties!A$1:CB$87,'Fórmula'!H10,21))+'Fórmula'!K10*(INDEX(properties!A$1:CB$87,'Fórmula'!J10,21))</f>
        <v>45</v>
      </c>
      <c r="BX10" s="113">
        <f t="array" ref="BX10">VARP(IF(INDEX(properties!A$1:CB$87,'Fórmula'!B10,21)&lt;&gt;"",INDEX(properties!A$1:CB$87,'Fórmula'!B10,21)),IF(INDEX(properties!A$1:CB$87,'Fórmula'!D10,21)&lt;&gt;"",INDEX(properties!A$1:CB$87,'Fórmula'!D10,21)),IF(INDEX(properties!A$1:CB$87,'Fórmula'!F10,21)&lt;&gt;"",INDEX(properties!A$1:CB$87,'Fórmula'!F10,21)),IF(INDEX(properties!A$1:CB$87,'Fórmula'!H10,21)&lt;&gt;"",INDEX(properties!A$1:CB$87,'Fórmula'!H10,21)),IF(INDEX(properties!A$1:CB$87,'Fórmula'!J10,21)&lt;&gt;"",INDEX(properties!A$1:CB$87,'Fórmula'!J10,21)))</f>
        <v>4.64</v>
      </c>
      <c r="BY10" s="113">
        <f t="array" ref="BY10">MAX(INDEX(properties!A$1:CB$87,'Fórmula'!B10,21),INDEX(properties!A$1:CB$87,'Fórmula'!D10,21),INDEX(properties!A$1:CB$87,'Fórmula'!F10,21),INDEX(properties!A$1:CB$87,'Fórmula'!H10,21),INDEX(properties!A$1:CB$87,'Fórmula'!J10,21))</f>
        <v>6</v>
      </c>
      <c r="BZ10" s="113">
        <f t="array" ref="BZ10">MIN(IF(INDEX(properties!A$1:CB$87,'Fórmula'!B10,21)=0,10^6,INDEX(properties!A$1:CB$87,'Fórmula'!B10,21)),IF(INDEX(properties!A$1:CB$87,'Fórmula'!D10,21)=0,10^6,INDEX(properties!A$1:CB$87,'Fórmula'!D10,21)),IF(INDEX(properties!A$1:CB$87,'Fórmula'!F10,21)=0,10^6,INDEX(properties!A$1:CB$87,'Fórmula'!F10,21)),IF(INDEX(properties!A$1:CB$87,'Fórmula'!H10,21)=0,10^6,INDEX(properties!A$1:CB$87,'Fórmula'!H10,21)),IF(INDEX(properties!A$1:CB$87,'Fórmula'!J10,21)=0,10^6,INDEX(properties!A$1:CB$87,'Fórmula'!J10,21)))</f>
        <v>1</v>
      </c>
      <c r="CA10" s="113">
        <f t="shared" si="13"/>
        <v>5</v>
      </c>
      <c r="CB10" s="114">
        <f t="array" ref="CB10">(('Fórmula'!C10)/('Fórmula'!C10+'Fórmula'!E10+'Fórmula'!G10+'Fórmula'!I10+'Fórmula'!K10))*(INDEX(properties!A$1:CB$87,'Fórmula'!B10,23))+(('Fórmula'!E10)/('Fórmula'!C10+'Fórmula'!E10+'Fórmula'!G10+'Fórmula'!I10+'Fórmula'!K10))*(INDEX(properties!A$1:CB$87,'Fórmula'!D10,23))+(('Fórmula'!G10)/('Fórmula'!C10+'Fórmula'!E10+'Fórmula'!G10+'Fórmula'!I10+'Fórmula'!K10))*(INDEX(properties!A$1:CB$87,'Fórmula'!F10,23))+(('Fórmula'!I10)/('Fórmula'!C10+'Fórmula'!E10+'Fórmula'!G10+'Fórmula'!I10+'Fórmula'!K10))*(INDEX(properties!A$1:CB$87,'Fórmula'!H10,23))+(('Fórmula'!K10)/('Fórmula'!C10+'Fórmula'!E10+'Fórmula'!G10+'Fórmula'!I10+'Fórmula'!K10))*(INDEX(properties!A$1:CB$87,'Fórmula'!J10,23))</f>
        <v>1.422</v>
      </c>
      <c r="CC10" s="114">
        <f t="array" ref="CC10">'Fórmula'!C10*(INDEX(properties!A$1:CB$87,'Fórmula'!B10,23))+'Fórmula'!E10*(INDEX(properties!A$1:CB$87,'Fórmula'!D10,23))+'Fórmula'!G10*(INDEX(properties!A$1:CB$87,'Fórmula'!F10,23))+'Fórmula'!I10*(INDEX(properties!A$1:CB$87,'Fórmula'!H10,23))+'Fórmula'!K10*(INDEX(properties!A$1:CB$87,'Fórmula'!J10,23))</f>
        <v>14.22</v>
      </c>
      <c r="CD10" s="114">
        <f t="array" ref="CD10">VARP(IF(INDEX(properties!A$1:CB$87,'Fórmula'!B10,23)&lt;&gt;"",INDEX(properties!A$1:CB$87,'Fórmula'!B10,23)),IF(INDEX(properties!A$1:CB$87,'Fórmula'!D10,23)&lt;&gt;"",INDEX(properties!A$1:CB$87,'Fórmula'!D10,23)),IF(INDEX(properties!A$1:CB$87,'Fórmula'!F10,23)&lt;&gt;"",INDEX(properties!A$1:CB$87,'Fórmula'!F10,23)),IF(INDEX(properties!A$1:CB$87,'Fórmula'!H10,23)&lt;&gt;"",INDEX(properties!A$1:CB$87,'Fórmula'!H10,23)),IF(INDEX(properties!A$1:CB$87,'Fórmula'!J10,23)&lt;&gt;"",INDEX(properties!A$1:CB$87,'Fórmula'!J10,23)))</f>
        <v>5.451264</v>
      </c>
      <c r="CE10" s="114">
        <f t="array" ref="CE10">MAX(INDEX(properties!A$1:CB$87,'Fórmula'!B10,23),INDEX(properties!A$1:CB$87,'Fórmula'!D10,23),INDEX(properties!A$1:CB$87,'Fórmula'!F10,23),INDEX(properties!A$1:CB$87,'Fórmula'!H10,23),INDEX(properties!A$1:CB$87,'Fórmula'!J10,23))</f>
        <v>5.78</v>
      </c>
      <c r="CF10" s="114">
        <f t="array" ref="CF10">MIN(IF('Fórmula'!B10=87,10^6,INDEX(properties!A$1:CB$87,'Fórmula'!B10,23)),IF(('Fórmula'!D10)=87,10^6,INDEX(properties!A$1:CB$87,'Fórmula'!D10,23)),IF(('Fórmula'!F10)=87,10^6,INDEX(properties!A$1:CB$87,'Fórmula'!F10,23)),IF(('Fórmula'!H10)=87,10^6,INDEX(properties!A$1:CB$87,'Fórmula'!H10,23)),IF('Fórmula'!J10=87,10^6,INDEX(properties!A$1:CB$87,'Fórmula'!J10,23)))</f>
        <v>0</v>
      </c>
      <c r="CG10" s="114">
        <f t="shared" si="14"/>
        <v>5.78</v>
      </c>
      <c r="CH10" s="115">
        <f t="array" ref="CH10">(('Fórmula'!C10)/('Fórmula'!C10+'Fórmula'!E10+'Fórmula'!G10+'Fórmula'!I10+'Fórmula'!K10))*(INDEX(properties!A$1:CB$87,'Fórmula'!B10,26))+(('Fórmula'!E10)/('Fórmula'!C10+'Fórmula'!E10+'Fórmula'!G10+'Fórmula'!I10+'Fórmula'!K10))*(INDEX(properties!A$1:CB$87,'Fórmula'!D10,26))+(('Fórmula'!G10)/('Fórmula'!C10+'Fórmula'!E10+'Fórmula'!G10+'Fórmula'!I10+'Fórmula'!K10))*(INDEX(properties!A$1:CB$87,'Fórmula'!F10,26))+(('Fórmula'!I10)/('Fórmula'!C10+'Fórmula'!E10+'Fórmula'!G10+'Fórmula'!I10+'Fórmula'!K10))*(INDEX(properties!A$1:CB$87,'Fórmula'!H10,26))+(('Fórmula'!K10)/('Fórmula'!C10+'Fórmula'!E10+'Fórmula'!G10+'Fórmula'!I10+'Fórmula'!K10))*(INDEX(properties!A$1:CB$87,'Fórmula'!J10,26))</f>
        <v>10.9585</v>
      </c>
      <c r="CI10" s="115">
        <f t="array" ref="CI10">'Fórmula'!C10*(INDEX(properties!A$1:CB$87,'Fórmula'!B10,26))+'Fórmula'!E10*(INDEX(properties!A$1:CB$87,'Fórmula'!D10,26))+'Fórmula'!G10*(INDEX(properties!A$1:CB$87,'Fórmula'!F10,26))+'Fórmula'!I10*(INDEX(properties!A$1:CB$87,'Fórmula'!H10,26))+'Fórmula'!K10*(INDEX(properties!A$1:CB$87,'Fórmula'!J10,26))</f>
        <v>109.585</v>
      </c>
      <c r="CJ10" s="115">
        <f t="array" ref="CJ10">VARP(IF(INDEX(properties!A$1:CB$87,'Fórmula'!B10,26)&lt;&gt;"",INDEX(properties!A$1:CB$87,'Fórmula'!B10,26)),IF(INDEX(properties!A$1:CB$87,'Fórmula'!D10,26)&lt;&gt;"",INDEX(properties!A$1:CB$87,'Fórmula'!D10,26)),IF(INDEX(properties!A$1:CB$87,'Fórmula'!F10,26)&lt;&gt;"",INDEX(properties!A$1:CB$87,'Fórmula'!F10,26)),IF(INDEX(properties!A$1:CB$87,'Fórmula'!H10,26)&lt;&gt;"",INDEX(properties!A$1:CB$87,'Fórmula'!H10,26)),IF(INDEX(properties!A$1:CB$87,'Fórmula'!J10,26)&lt;&gt;"",INDEX(properties!A$1:CB$87,'Fórmula'!J10,26)))</f>
        <v>20.0230786</v>
      </c>
      <c r="CK10" s="116">
        <f t="array" ref="CK10">MAX(INDEX(properties!A$1:CB$87,'Fórmula'!B10,26),INDEX(properties!A$1:CB$87,'Fórmula'!D10,26),INDEX(properties!A$1:CB$87,'Fórmula'!F10,26),INDEX(properties!A$1:CB$87,'Fórmula'!H10,26),INDEX(properties!A$1:CB$87,'Fórmula'!J10,26))</f>
        <v>13.6181</v>
      </c>
      <c r="CL10" s="116">
        <f t="array" ref="CL10">MIN(IF(INDEX(properties!A$1:CB$87,'Fórmula'!B10,26)=0,10^6,INDEX(properties!A$1:CB$87,'Fórmula'!B10,26)),IF(INDEX(properties!A$1:CB$87,'Fórmula'!D10,26)=0,10^6,INDEX(properties!A$1:CB$87,'Fórmula'!D10,26)),IF(INDEX(properties!A$1:CB$87,'Fórmula'!F10,26)=0,10^6,INDEX(properties!A$1:CB$87,'Fórmula'!F10,26)),IF(INDEX(properties!A$1:CB$87,'Fórmula'!H10,26)=0,10^6,INDEX(properties!A$1:CB$87,'Fórmula'!H10,26)),IF(INDEX(properties!A$1:CB$87,'Fórmula'!J10,26)=0,10^6,INDEX(properties!A$1:CB$87,'Fórmula'!J10,26)))</f>
        <v>5.6949</v>
      </c>
      <c r="CM10" s="115">
        <f t="shared" si="15"/>
        <v>7.9232</v>
      </c>
      <c r="CN10" s="117">
        <f t="array" ref="CN10">(('Fórmula'!C10)/('Fórmula'!C10+'Fórmula'!E10+'Fórmula'!G10+'Fórmula'!I10+'Fórmula'!K10))*(INDEX(properties!A$1:CB$87,'Fórmula'!B10,30))+(('Fórmula'!E10)/('Fórmula'!C10+'Fórmula'!E10+'Fórmula'!G10+'Fórmula'!I10+'Fórmula'!K10))*(INDEX(properties!A$1:CB$87,'Fórmula'!D10,30))+(('Fórmula'!G10)/('Fórmula'!C10+'Fórmula'!E10+'Fórmula'!G10+'Fórmula'!I10+'Fórmula'!K10))*(INDEX(properties!A$1:CB$87,'Fórmula'!F10,30))+(('Fórmula'!I10)/('Fórmula'!C10+'Fórmula'!E10+'Fórmula'!G10+'Fórmula'!I10+'Fórmula'!K10))*(INDEX(properties!A$1:CB$87,'Fórmula'!H10,30))+(('Fórmula'!K10)/('Fórmula'!C10+'Fórmula'!E10+'Fórmula'!G10+'Fórmula'!I10+'Fórmula'!K10))*(INDEX(properties!A$1:CB$87,'Fórmula'!J10,30))</f>
        <v>2.635</v>
      </c>
      <c r="CO10" s="117">
        <f t="array" ref="CO10">'Fórmula'!C10*(INDEX(properties!A$1:CB$87,'Fórmula'!B10,30))+'Fórmula'!E10*(INDEX(properties!A$1:CB$87,'Fórmula'!D10,30))+'Fórmula'!G10*(INDEX(properties!A$1:CB$87,'Fórmula'!F10,30))+'Fórmula'!I10*(INDEX(properties!A$1:CB$87,'Fórmula'!H10,30))+'Fórmula'!K10*(INDEX(properties!A$1:CB$87,'Fórmula'!J10,30))</f>
        <v>26.35</v>
      </c>
      <c r="CP10" s="117">
        <f t="array" ref="CP10">VARP(IF(INDEX(properties!A$1:CB$87,'Fórmula'!B10,30)&lt;&gt;"",INDEX(properties!A$1:CB$87,'Fórmula'!B10,30)),IF(INDEX(properties!A$1:CB$87,'Fórmula'!D10,30)&lt;&gt;"",INDEX(properties!A$1:CB$87,'Fórmula'!D10,30)),IF(INDEX(properties!A$1:CB$87,'Fórmula'!F10,30)&lt;&gt;"",INDEX(properties!A$1:CB$87,'Fórmula'!F10,30)),IF(INDEX(properties!A$1:CB$87,'Fórmula'!H10,30)&lt;&gt;"",INDEX(properties!A$1:CB$87,'Fórmula'!H10,30)),IF(INDEX(properties!A$1:CB$87,'Fórmula'!J10,30)&lt;&gt;"",INDEX(properties!A$1:CB$87,'Fórmula'!J10,30)))</f>
        <v>1.33524</v>
      </c>
      <c r="CQ10" s="117">
        <f t="array" ref="CQ10">MAX(INDEX(properties!A$1:CB$87,'Fórmula'!B10,30),INDEX(properties!A$1:CB$87,'Fórmula'!D10,30),INDEX(properties!A$1:CB$87,'Fórmula'!F10,30),INDEX(properties!A$1:CB$87,'Fórmula'!H10,30),INDEX(properties!A$1:CB$87,'Fórmula'!J10,30))</f>
        <v>3.44</v>
      </c>
      <c r="CR10" s="117">
        <f t="array" ref="CR10">MIN(IF(INDEX(properties!A$1:CB$87,'Fórmula'!B10,30)=0,10^6,INDEX(properties!A$1:CB$87,'Fórmula'!B10,30)),IF(INDEX(properties!A$1:CB$87,'Fórmula'!D10,30)=0,10^6,INDEX(properties!A$1:CB$87,'Fórmula'!D10,30)),IF(INDEX(properties!A$1:CB$87,'Fórmula'!F10,30)=0,10^6,INDEX(properties!A$1:CB$87,'Fórmula'!F10,30)),IF(INDEX(properties!A$1:CB$87,'Fórmula'!H10,30)=0,10^6,INDEX(properties!A$1:CB$87,'Fórmula'!H10,30)),IF(INDEX(properties!A$1:CB$87,'Fórmula'!J10,30)=0,10^6,INDEX(properties!A$1:CB$87,'Fórmula'!J10,30)))</f>
        <v>0.95</v>
      </c>
      <c r="CS10" s="117">
        <f t="shared" si="16"/>
        <v>2.49</v>
      </c>
      <c r="CT10" s="118">
        <f t="array" ref="CT10">(('Fórmula'!C10)/('Fórmula'!C10+'Fórmula'!E10+'Fórmula'!G10+'Fórmula'!I10+'Fórmula'!K10))*(INDEX(properties!A$1:CB$87,'Fórmula'!B10,31))+(('Fórmula'!E10)/('Fórmula'!C10+'Fórmula'!E10+'Fórmula'!G10+'Fórmula'!I10+'Fórmula'!K10))*(INDEX(properties!A$1:CB$87,'Fórmula'!D10,31))+(('Fórmula'!G10)/('Fórmula'!C10+'Fórmula'!E10+'Fórmula'!G10+'Fórmula'!I10+'Fórmula'!K10))*(INDEX(properties!A$1:CB$87,'Fórmula'!F10,31))+(('Fórmula'!I10)/('Fórmula'!C10+'Fórmula'!E10+'Fórmula'!G10+'Fórmula'!I10+'Fórmula'!K10))*(INDEX(properties!A$1:CB$87,'Fórmula'!H10,31))+(('Fórmula'!K10)/('Fórmula'!C10+'Fórmula'!E10+'Fórmula'!G10+'Fórmula'!I10+'Fórmula'!K10))*(INDEX(properties!A$1:CB$87,'Fórmula'!J10,31))</f>
        <v>2.556</v>
      </c>
      <c r="CU10" s="118">
        <f t="array" ref="CU10">'Fórmula'!C10*(INDEX(properties!A$1:CB$87,'Fórmula'!B10,31))+'Fórmula'!E10*(INDEX(properties!A$1:CB$87,'Fórmula'!D10,31))+'Fórmula'!G10*(INDEX(properties!A$1:CB$87,'Fórmula'!F10,31))+'Fórmula'!I10*(INDEX(properties!A$1:CB$87,'Fórmula'!H10,31))+'Fórmula'!K10*(INDEX(properties!A$1:CB$87,'Fórmula'!J10,31))</f>
        <v>25.56</v>
      </c>
      <c r="CV10" s="118">
        <f t="array" ref="CV10">VARP(IF(INDEX(properties!A$1:CB$87,'Fórmula'!B10,31)&lt;&gt;"",INDEX(properties!A$1:CB$87,'Fórmula'!B10,31)),IF(INDEX(properties!A$1:CB$87,'Fórmula'!D10,31)&lt;&gt;"",INDEX(properties!A$1:CB$87,'Fórmula'!D10,31)),IF(INDEX(properties!A$1:CB$87,'Fórmula'!F10,31)&lt;&gt;"",INDEX(properties!A$1:CB$87,'Fórmula'!F10,31)),IF(INDEX(properties!A$1:CB$87,'Fórmula'!H10,31)&lt;&gt;"",INDEX(properties!A$1:CB$87,'Fórmula'!H10,31)),IF(INDEX(properties!A$1:CB$87,'Fórmula'!J10,31)&lt;&gt;"",INDEX(properties!A$1:CB$87,'Fórmula'!J10,31)))</f>
        <v>1.174944</v>
      </c>
      <c r="CW10" s="118">
        <f t="array" ref="CW10">MAX(INDEX(properties!A$1:CB$87,'Fórmula'!B10,31),INDEX(properties!A$1:CB$87,'Fórmula'!D10,31),INDEX(properties!A$1:CB$87,'Fórmula'!F10,31),INDEX(properties!A$1:CB$87,'Fórmula'!H10,31),INDEX(properties!A$1:CB$87,'Fórmula'!J10,31))</f>
        <v>3.32</v>
      </c>
      <c r="CX10" s="118">
        <f t="array" ref="CX10">MIN(IF(INDEX(properties!A$1:CB$87,'Fórmula'!B10,31)=0,10^6,INDEX(properties!A$1:CB$87,'Fórmula'!B10,31)),IF(INDEX(properties!A$1:CB$87,'Fórmula'!D10,31)=0,10^6,INDEX(properties!A$1:CB$87,'Fórmula'!D10,31)),IF(INDEX(properties!A$1:CB$87,'Fórmula'!F10,31)=0,10^6,INDEX(properties!A$1:CB$87,'Fórmula'!F10,31)),IF(INDEX(properties!A$1:CB$87,'Fórmula'!H10,31)=0,10^6,INDEX(properties!A$1:CB$87,'Fórmula'!H10,31)),IF(INDEX(properties!A$1:CB$87,'Fórmula'!J10,31)=0,10^6,INDEX(properties!A$1:CB$87,'Fórmula'!J10,31)))</f>
        <v>1.13</v>
      </c>
      <c r="CY10" s="118">
        <f t="shared" si="17"/>
        <v>2.19</v>
      </c>
      <c r="CZ10" s="119">
        <f t="array" ref="CZ10">(('Fórmula'!C10)/('Fórmula'!C10+'Fórmula'!E10+'Fórmula'!G10+'Fórmula'!I10+'Fórmula'!K10))*(INDEX(properties!A$1:CB$87,'Fórmula'!B10,32))+(('Fórmula'!E10)/('Fórmula'!C10+'Fórmula'!E10+'Fórmula'!G10+'Fórmula'!I10+'Fórmula'!K10))*(INDEX(properties!A$1:CB$87,'Fórmula'!D10,32))+(('Fórmula'!G10)/('Fórmula'!C10+'Fórmula'!E10+'Fórmula'!G10+'Fórmula'!I10+'Fórmula'!K10))*(INDEX(properties!A$1:CB$87,'Fórmula'!F10,32))+(('Fórmula'!I10)/('Fórmula'!C10+'Fórmula'!E10+'Fórmula'!G10+'Fórmula'!I10+'Fórmula'!K10))*(INDEX(properties!A$1:CB$87,'Fórmula'!H10,32))+(('Fórmula'!K10)/('Fórmula'!C10+'Fórmula'!E10+'Fórmula'!G10+'Fórmula'!I10+'Fórmula'!K10))*(INDEX(properties!A$1:CB$87,'Fórmula'!J10,32))</f>
        <v>5.759</v>
      </c>
      <c r="DA10" s="119">
        <f t="array" ref="DA10">'Fórmula'!C10*(INDEX(properties!A$1:CB$87,'Fórmula'!B10,32))+'Fórmula'!E10*(INDEX(properties!A$1:CB$87,'Fórmula'!D10,32))+'Fórmula'!G10*(INDEX(properties!A$1:CB$87,'Fórmula'!F10,32))+'Fórmula'!I10*(INDEX(properties!A$1:CB$87,'Fórmula'!H10,32))+'Fórmula'!K10*(INDEX(properties!A$1:CB$87,'Fórmula'!J10,32))</f>
        <v>57.59</v>
      </c>
      <c r="DB10" s="119">
        <f t="array" ref="DB10">VARP(IF(INDEX(properties!A$1:CB$87,'Fórmula'!B10,32)&lt;&gt;"",INDEX(properties!A$1:CB$87,'Fórmula'!B10,32)),IF(INDEX(properties!A$1:CB$87,'Fórmula'!D10,32)&lt;&gt;"",INDEX(properties!A$1:CB$87,'Fórmula'!D10,32)),IF(INDEX(properties!A$1:CB$87,'Fórmula'!F10,32)&lt;&gt;"",INDEX(properties!A$1:CB$87,'Fórmula'!F10,32)),IF(INDEX(properties!A$1:CB$87,'Fórmula'!H10,32)&lt;&gt;"",INDEX(properties!A$1:CB$87,'Fórmula'!H10,32)),IF(INDEX(properties!A$1:CB$87,'Fórmula'!J10,32)&lt;&gt;"",INDEX(properties!A$1:CB$87,'Fórmula'!J10,32)))</f>
        <v>6.370736</v>
      </c>
      <c r="DC10" s="119">
        <f t="array" ref="DC10">MAX(INDEX(properties!A$1:CB$87,'Fórmula'!B10,32),INDEX(properties!A$1:CB$87,'Fórmula'!D10,32),INDEX(properties!A$1:CB$87,'Fórmula'!F10,32),INDEX(properties!A$1:CB$87,'Fórmula'!H10,32),INDEX(properties!A$1:CB$87,'Fórmula'!J10,32))</f>
        <v>7.54</v>
      </c>
      <c r="DD10" s="119">
        <f t="array" ref="DD10">MIN(IF(INDEX(properties!A$1:CB$87,'Fórmula'!B10,32)=0,10^6,INDEX(properties!A$1:CB$87,'Fórmula'!B10,32)),IF(INDEX(properties!A$1:CB$87,'Fórmula'!D10,32)=0,10^6,INDEX(properties!A$1:CB$87,'Fórmula'!D10,32)),IF(INDEX(properties!A$1:CB$87,'Fórmula'!F10,32)=0,10^6,INDEX(properties!A$1:CB$87,'Fórmula'!F10,32)),IF(INDEX(properties!A$1:CB$87,'Fórmula'!H10,32)=0,10^6,INDEX(properties!A$1:CB$87,'Fórmula'!H10,32)),IF(INDEX(properties!A$1:CB$87,'Fórmula'!J10,32)=0,10^6,INDEX(properties!A$1:CB$87,'Fórmula'!J10,32)))</f>
        <v>2</v>
      </c>
      <c r="DE10" s="119">
        <f t="shared" si="18"/>
        <v>5.54</v>
      </c>
      <c r="DF10" s="104">
        <f t="array" ref="DF10">(('Fórmula'!C10)/('Fórmula'!C10+'Fórmula'!E10+'Fórmula'!G10+'Fórmula'!I10+'Fórmula'!K10))*(INDEX(properties!A$1:CB$87,'Fórmula'!B10,34))+(('Fórmula'!E10)/('Fórmula'!C10+'Fórmula'!E10+'Fórmula'!G10+'Fórmula'!I10+'Fórmula'!K10))*(INDEX(properties!A$1:CB$87,'Fórmula'!D10,34))+(('Fórmula'!G10)/('Fórmula'!C10+'Fórmula'!E10+'Fórmula'!G10+'Fórmula'!I10+'Fórmula'!K10))*(INDEX(properties!A$1:CB$87,'Fórmula'!F10,34))+(('Fórmula'!I10)/('Fórmula'!C10+'Fórmula'!E10+'Fórmula'!G10+'Fórmula'!I10+'Fórmula'!K10))*(INDEX(properties!A$1:CB$87,'Fórmula'!H10,34))+(('Fórmula'!K10)/('Fórmula'!C10+'Fórmula'!E10+'Fórmula'!G10+'Fórmula'!I10+'Fórmula'!K10))*(INDEX(properties!A$1:CB$87,'Fórmula'!J10,34))</f>
        <v>2.6646</v>
      </c>
      <c r="DG10" s="104">
        <f t="array" ref="DG10">'Fórmula'!C10*(INDEX(properties!A$1:CB$87,'Fórmula'!B10,34))+'Fórmula'!E10*(INDEX(properties!A$1:CB$87,'Fórmula'!D10,34))+'Fórmula'!G10*(INDEX(properties!A$1:CB$87,'Fórmula'!F10,34))+'Fórmula'!I10*(INDEX(properties!A$1:CB$87,'Fórmula'!H10,34))+'Fórmula'!K10*(INDEX(properties!A$1:CB$87,'Fórmula'!J10,34))</f>
        <v>26.646</v>
      </c>
      <c r="DH10" s="104">
        <f t="array" ref="DH10">VARP(IF(INDEX(properties!A$1:CB$87,'Fórmula'!B10,34)&lt;&gt;"",INDEX(properties!A$1:CB$87,'Fórmula'!B10,34)),IF(INDEX(properties!A$1:CB$87,'Fórmula'!D10,34)&lt;&gt;"",INDEX(properties!A$1:CB$87,'Fórmula'!D10,34)),IF(INDEX(properties!A$1:CB$87,'Fórmula'!F10,34)&lt;&gt;"",INDEX(properties!A$1:CB$87,'Fórmula'!F10,34)),IF(INDEX(properties!A$1:CB$87,'Fórmula'!H10,34)&lt;&gt;"",INDEX(properties!A$1:CB$87,'Fórmula'!H10,34)),IF(INDEX(properties!A$1:CB$87,'Fórmula'!J10,34)&lt;&gt;"",INDEX(properties!A$1:CB$87,'Fórmula'!J10,34)))</f>
        <v>1.39918624</v>
      </c>
      <c r="DI10" s="104">
        <f t="array" ref="DI10">MAX(INDEX(properties!A$1:CB$87,'Fórmula'!B10,34),INDEX(properties!A$1:CB$87,'Fórmula'!D10,34),INDEX(properties!A$1:CB$87,'Fórmula'!F10,34),INDEX(properties!A$1:CB$87,'Fórmula'!H10,34),INDEX(properties!A$1:CB$87,'Fórmula'!J10,34))</f>
        <v>3.61</v>
      </c>
      <c r="DJ10" s="104">
        <f t="array" ref="DJ10">MIN(IF(INDEX(properties!A$1:CB$87,'Fórmula'!B10,34)=0,10^6,INDEX(properties!A$1:CB$87,'Fórmula'!B10,34)),IF(INDEX(properties!A$1:CB$87,'Fórmula'!D10,34)=0,10^6,INDEX(properties!A$1:CB$87,'Fórmula'!D10,34)),IF(INDEX(properties!A$1:CB$87,'Fórmula'!F10,34)=0,10^6,INDEX(properties!A$1:CB$87,'Fórmula'!F10,34)),IF(INDEX(properties!A$1:CB$87,'Fórmula'!H10,34)=0,10^6,INDEX(properties!A$1:CB$87,'Fórmula'!H10,34)),IF(INDEX(properties!A$1:CB$87,'Fórmula'!J10,34)=0,10^6,INDEX(properties!A$1:CB$87,'Fórmula'!J10,34)))</f>
        <v>0.963</v>
      </c>
      <c r="DK10" s="104">
        <f t="shared" si="19"/>
        <v>2.647</v>
      </c>
      <c r="DL10" s="105">
        <f t="array" ref="DL10">(('Fórmula'!C10)/('Fórmula'!C10+'Fórmula'!E10+'Fórmula'!G10+'Fórmula'!I10+'Fórmula'!K10))*(INDEX(properties!A$1:CB$87,'Fórmula'!B10,37))+(('Fórmula'!E10)/('Fórmula'!C10+'Fórmula'!E10+'Fórmula'!G10+'Fórmula'!I10+'Fórmula'!K10))*(INDEX(properties!A$1:CB$87,'Fórmula'!D10,37))+(('Fórmula'!G10)/('Fórmula'!C10+'Fórmula'!E10+'Fórmula'!G10+'Fórmula'!I10+'Fórmula'!K10))*(INDEX(properties!A$1:CB$87,'Fórmula'!F10,37))+(('Fórmula'!I10)/('Fórmula'!C10+'Fórmula'!E10+'Fórmula'!G10+'Fórmula'!I10+'Fórmula'!K10))*(INDEX(properties!A$1:CB$87,'Fórmula'!H10,37))+(('Fórmula'!K10)/('Fórmula'!C10+'Fórmula'!E10+'Fórmula'!G10+'Fórmula'!I10+'Fórmula'!K10))*(INDEX(properties!A$1:CB$87,'Fórmula'!J10,37))</f>
        <v>2.6</v>
      </c>
      <c r="DM10" s="105">
        <f t="array" ref="DM10">'Fórmula'!C10*(INDEX(properties!A$1:CB$87,'Fórmula'!B10,37))+'Fórmula'!E10*(INDEX(properties!A$1:CB$87,'Fórmula'!D10,37))+'Fórmula'!G10*(INDEX(properties!A$1:CB$87,'Fórmula'!F10,37))+'Fórmula'!I10*(INDEX(properties!A$1:CB$87,'Fórmula'!H10,37))+'Fórmula'!K10*(INDEX(properties!A$1:CB$87,'Fórmula'!J10,37))</f>
        <v>26</v>
      </c>
      <c r="DN10" s="105">
        <f t="array" ref="DN10">VARP(IF(INDEX(properties!A$1:CB$87,'Fórmula'!B10,37)&lt;&gt;"",INDEX(properties!A$1:CB$87,'Fórmula'!B10,37)),IF(INDEX(properties!A$1:CB$87,'Fórmula'!D10,37)&lt;&gt;"",INDEX(properties!A$1:CB$87,'Fórmula'!D10,37)),IF(INDEX(properties!A$1:CB$87,'Fórmula'!F10,37)&lt;&gt;"",INDEX(properties!A$1:CB$87,'Fórmula'!F10,37)),IF(INDEX(properties!A$1:CB$87,'Fórmula'!H10,37)&lt;&gt;"",INDEX(properties!A$1:CB$87,'Fórmula'!H10,37)),IF(INDEX(properties!A$1:CB$87,'Fórmula'!J10,37)&lt;&gt;"",INDEX(properties!A$1:CB$87,'Fórmula'!J10,37)))</f>
        <v>1.348</v>
      </c>
      <c r="DO10" s="105">
        <f t="array" ref="DO10">MAX(INDEX(properties!A$1:CB$87,'Fórmula'!B10,37),INDEX(properties!A$1:CB$87,'Fórmula'!D10,37),INDEX(properties!A$1:CB$87,'Fórmula'!F10,37),INDEX(properties!A$1:CB$87,'Fórmula'!H10,37),INDEX(properties!A$1:CB$87,'Fórmula'!J10,37))</f>
        <v>3.45</v>
      </c>
      <c r="DP10" s="105">
        <f t="array" ref="DP10">MIN(IF(INDEX(properties!A$1:CB$87,'Fórmula'!B10,37)=0,10^6,INDEX(properties!A$1:CB$87,'Fórmula'!B10,37)),IF(INDEX(properties!A$1:CB$87,'Fórmula'!D10,37)=0,10^6,INDEX(properties!A$1:CB$87,'Fórmula'!D10,37)),IF(INDEX(properties!A$1:CB$87,'Fórmula'!F10,37)=0,10^6,INDEX(properties!A$1:CB$87,'Fórmula'!F10,37)),IF(INDEX(properties!A$1:CB$87,'Fórmula'!H10,37)=0,10^6,INDEX(properties!A$1:CB$87,'Fórmula'!H10,37)),IF(INDEX(properties!A$1:CB$87,'Fórmula'!J10,37)=0,10^6,INDEX(properties!A$1:CB$87,'Fórmula'!J10,37)))</f>
        <v>1</v>
      </c>
      <c r="DQ10" s="105">
        <f t="shared" si="20"/>
        <v>2.45</v>
      </c>
      <c r="DR10" s="109">
        <f t="array" ref="DR10">(('Fórmula'!C10)/('Fórmula'!C10+'Fórmula'!E10+'Fórmula'!G10+'Fórmula'!I10+'Fórmula'!K10))*(INDEX(properties!A$1:CB$87,'Fórmula'!B10,39))+(('Fórmula'!E10)/('Fórmula'!C10+'Fórmula'!E10+'Fórmula'!G10+'Fórmula'!I10+'Fórmula'!K10))*(INDEX(properties!A$1:CB$87,'Fórmula'!D10,39))+(('Fórmula'!G10)/('Fórmula'!C10+'Fórmula'!E10+'Fórmula'!G10+'Fórmula'!I10+'Fórmula'!K10))*(INDEX(properties!A$1:CB$87,'Fórmula'!F10,39))+(('Fórmula'!I10)/('Fórmula'!C10+'Fórmula'!E10+'Fórmula'!G10+'Fórmula'!I10+'Fórmula'!K10))*(INDEX(properties!A$1:CB$87,'Fórmula'!H10,39))+(('Fórmula'!K10)/('Fórmula'!C10+'Fórmula'!E10+'Fórmula'!G10+'Fórmula'!I10+'Fórmula'!K10))*(INDEX(properties!A$1:CB$87,'Fórmula'!J10,39))</f>
        <v>1.058</v>
      </c>
      <c r="DS10" s="109">
        <f t="array" ref="DS10">'Fórmula'!C10*(INDEX(properties!A$1:CB$87,'Fórmula'!B10,39))+'Fórmula'!E10*(INDEX(properties!A$1:CB$87,'Fórmula'!D10,39))+'Fórmula'!G10*(INDEX(properties!A$1:CB$87,'Fórmula'!F10,39))+'Fórmula'!I10*(INDEX(properties!A$1:CB$87,'Fórmula'!H10,39))+'Fórmula'!K10*(INDEX(properties!A$1:CB$87,'Fórmula'!J10,39))</f>
        <v>10.58</v>
      </c>
      <c r="DT10" s="109">
        <f t="array" ref="DT10">VARP(IF(INDEX(properties!A$1:CB$87,'Fórmula'!B10,39)&lt;&gt;"",INDEX(properties!A$1:CB$87,'Fórmula'!B10,39)),IF(INDEX(properties!A$1:CB$87,'Fórmula'!D10,39)&lt;&gt;"",INDEX(properties!A$1:CB$87,'Fórmula'!D10,39)),IF(INDEX(properties!A$1:CB$87,'Fórmula'!F10,39)&lt;&gt;"",INDEX(properties!A$1:CB$87,'Fórmula'!F10,39)),IF(INDEX(properties!A$1:CB$87,'Fórmula'!H10,39)&lt;&gt;"",INDEX(properties!A$1:CB$87,'Fórmula'!H10,39)),IF(INDEX(properties!A$1:CB$87,'Fórmula'!J10,39)&lt;&gt;"",INDEX(properties!A$1:CB$87,'Fórmula'!J10,39)))</f>
        <v>0.695376</v>
      </c>
      <c r="DU10" s="120">
        <f t="array" ref="DU10">MAX(INDEX(properties!A$1:CB$87,'Fórmula'!B10,39),INDEX(properties!A$1:CB$87,'Fórmula'!D10,39),INDEX(properties!A$1:CB$87,'Fórmula'!F10,39),INDEX(properties!A$1:CB$87,'Fórmula'!H10,39),INDEX(properties!A$1:CB$87,'Fórmula'!J10,39))</f>
        <v>2.19</v>
      </c>
      <c r="DV10" s="120">
        <f t="array" ref="DV10">MIN(IF(INDEX(properties!A$1:CB$87,'Fórmula'!B10,39)=0,10^6,INDEX(properties!A$1:CB$87,'Fórmula'!B10,39)),IF(INDEX(properties!A$1:CB$87,'Fórmula'!D10,39)=0,10^6,INDEX(properties!A$1:CB$87,'Fórmula'!D10,39)),IF(INDEX(properties!A$1:CB$87,'Fórmula'!F10,39)=0,10^6,INDEX(properties!A$1:CB$87,'Fórmula'!F10,39)),IF(INDEX(properties!A$1:CB$87,'Fórmula'!H10,39)=0,10^6,INDEX(properties!A$1:CB$87,'Fórmula'!H10,39)),IF(INDEX(properties!A$1:CB$87,'Fórmula'!J10,39)=0,10^6,INDEX(properties!A$1:CB$87,'Fórmula'!J10,39)))</f>
        <v>0.48</v>
      </c>
      <c r="DW10" s="109">
        <f t="shared" si="21"/>
        <v>1.71</v>
      </c>
      <c r="DX10" s="110">
        <f t="array" ref="DX10">(('Fórmula'!C10)/('Fórmula'!C10+'Fórmula'!E10+'Fórmula'!G10+'Fórmula'!I10+'Fórmula'!K10))*(INDEX(properties!A$1:CB$87,'Fórmula'!B10,40))+(('Fórmula'!E10)/('Fórmula'!C10+'Fórmula'!E10+'Fórmula'!G10+'Fórmula'!I10+'Fórmula'!K10))*(INDEX(properties!A$1:CB$87,'Fórmula'!D10,40))+(('Fórmula'!G10)/('Fórmula'!C10+'Fórmula'!E10+'Fórmula'!G10+'Fórmula'!I10+'Fórmula'!K10))*(INDEX(properties!A$1:CB$87,'Fórmula'!F10,40))+(('Fórmula'!I10)/('Fórmula'!C10+'Fórmula'!E10+'Fórmula'!G10+'Fórmula'!I10+'Fórmula'!K10))*(INDEX(properties!A$1:CB$87,'Fórmula'!H10,40))+(('Fórmula'!K10)/('Fórmula'!C10+'Fórmula'!E10+'Fórmula'!G10+'Fórmula'!I10+'Fórmula'!K10))*(INDEX(properties!A$1:CB$87,'Fórmula'!J10,40))</f>
        <v>1.098</v>
      </c>
      <c r="DY10" s="110">
        <f t="array" ref="DY10">'Fórmula'!C10*(INDEX(properties!A$1:CB$87,'Fórmula'!B10,40))+'Fórmula'!E10*(INDEX(properties!A$1:CB$87,'Fórmula'!D10,40))+'Fórmula'!G10*(INDEX(properties!A$1:CB$87,'Fórmula'!F10,40))+'Fórmula'!I10*(INDEX(properties!A$1:CB$87,'Fórmula'!H10,40))+'Fórmula'!K10*(INDEX(properties!A$1:CB$87,'Fórmula'!J10,40))</f>
        <v>10.98</v>
      </c>
      <c r="DZ10" s="110">
        <f t="array" ref="DZ10">VARP(IF(INDEX(properties!A$1:CB$87,'Fórmula'!B10,40)&lt;&gt;"",INDEX(properties!A$1:CB$87,'Fórmula'!B10,40)),IF(INDEX(properties!A$1:CB$87,'Fórmula'!D10,40)&lt;&gt;"",INDEX(properties!A$1:CB$87,'Fórmula'!D10,40)),IF(INDEX(properties!A$1:CB$87,'Fórmula'!F10,40)&lt;&gt;"",INDEX(properties!A$1:CB$87,'Fórmula'!F10,40)),IF(INDEX(properties!A$1:CB$87,'Fórmula'!H10,40)&lt;&gt;"",INDEX(properties!A$1:CB$87,'Fórmula'!H10,40)),IF(INDEX(properties!A$1:CB$87,'Fórmula'!J10,40)&lt;&gt;"",INDEX(properties!A$1:CB$87,'Fórmula'!J10,40)))</f>
        <v>0.436856</v>
      </c>
      <c r="EA10" s="121">
        <f t="array" ref="EA10">MAX(INDEX(properties!A$1:CB$87,'Fórmula'!B10,40),INDEX(properties!A$1:CB$87,'Fórmula'!D10,40),INDEX(properties!A$1:CB$87,'Fórmula'!F10,40),INDEX(properties!A$1:CB$87,'Fórmula'!H10,40),INDEX(properties!A$1:CB$87,'Fórmula'!J10,40))</f>
        <v>1.92</v>
      </c>
      <c r="EB10" s="121">
        <f t="array" ref="EB10">MIN(IF(INDEX(properties!A$1:CB$87,'Fórmula'!B10,40)=0,10^6,INDEX(properties!A$1:CB$87,'Fórmula'!B10,40)),IF(INDEX(properties!A$1:CB$87,'Fórmula'!D10,40)=0,10^6,INDEX(properties!A$1:CB$87,'Fórmula'!D10,40)),IF(INDEX(properties!A$1:CB$87,'Fórmula'!F10,40)=0,10^6,INDEX(properties!A$1:CB$87,'Fórmula'!F10,40)),IF(INDEX(properties!A$1:CB$87,'Fórmula'!H10,40)=0,10^6,INDEX(properties!A$1:CB$87,'Fórmula'!H10,40)),IF(INDEX(properties!A$1:CB$87,'Fórmula'!J10,40)=0,10^6,INDEX(properties!A$1:CB$87,'Fórmula'!J10,40)))</f>
        <v>0.73</v>
      </c>
      <c r="EC10" s="110">
        <f t="shared" si="22"/>
        <v>1.19</v>
      </c>
      <c r="ED10" s="111">
        <f t="array" ref="ED10">(('Fórmula'!C10)/('Fórmula'!C10+'Fórmula'!E10+'Fórmula'!G10+'Fórmula'!I10+'Fórmula'!K10))*(INDEX(properties!A$1:CB$87,'Fórmula'!B10,41))+(('Fórmula'!E10)/('Fórmula'!C10+'Fórmula'!E10+'Fórmula'!G10+'Fórmula'!I10+'Fórmula'!K10))*(INDEX(properties!A$1:CB$87,'Fórmula'!D10,41))+(('Fórmula'!G10)/('Fórmula'!C10+'Fórmula'!E10+'Fórmula'!G10+'Fórmula'!I10+'Fórmula'!K10))*(INDEX(properties!A$1:CB$87,'Fórmula'!F10,41))+(('Fórmula'!I10)/('Fórmula'!C10+'Fórmula'!E10+'Fórmula'!G10+'Fórmula'!I10+'Fórmula'!K10))*(INDEX(properties!A$1:CB$87,'Fórmula'!H10,41))+(('Fórmula'!K10)/('Fórmula'!C10+'Fórmula'!E10+'Fórmula'!G10+'Fórmula'!I10+'Fórmula'!K10))*(INDEX(properties!A$1:CB$87,'Fórmula'!J10,41))</f>
        <v>1.191</v>
      </c>
      <c r="EE10" s="111">
        <f t="array" ref="EE10">'Fórmula'!C10*(INDEX(properties!A$1:CB$87,'Fórmula'!B10,41))+'Fórmula'!E10*(INDEX(properties!A$1:CB$87,'Fórmula'!D10,41))+'Fórmula'!G10*(INDEX(properties!A$1:CB$87,'Fórmula'!F10,41))+'Fórmula'!I10*(INDEX(properties!A$1:CB$87,'Fórmula'!H10,41))+'Fórmula'!K10*(INDEX(properties!A$1:CB$87,'Fórmula'!J10,41))</f>
        <v>11.91</v>
      </c>
      <c r="EF10" s="111">
        <f t="array" ref="EF10">VARP(IF(INDEX(properties!A$1:CB$87,'Fórmula'!B10,41)&lt;&gt;"",INDEX(properties!A$1:CB$87,'Fórmula'!B10,41)),IF(INDEX(properties!A$1:CB$87,'Fórmula'!D10,41)&lt;&gt;"",INDEX(properties!A$1:CB$87,'Fórmula'!D10,41)),IF(INDEX(properties!A$1:CB$87,'Fórmula'!F10,41)&lt;&gt;"",INDEX(properties!A$1:CB$87,'Fórmula'!F10,41)),IF(INDEX(properties!A$1:CB$87,'Fórmula'!H10,41)&lt;&gt;"",INDEX(properties!A$1:CB$87,'Fórmula'!H10,41)),IF(INDEX(properties!A$1:CB$87,'Fórmula'!J10,41)&lt;&gt;"",INDEX(properties!A$1:CB$87,'Fórmula'!J10,41)))</f>
        <v>0.222496</v>
      </c>
      <c r="EG10" s="122">
        <f t="array" ref="EG10">MAX(INDEX(properties!A$1:CB$87,'Fórmula'!B10,41),INDEX(properties!A$1:CB$87,'Fórmula'!D10,41),INDEX(properties!A$1:CB$87,'Fórmula'!F10,41),INDEX(properties!A$1:CB$87,'Fórmula'!H10,41),INDEX(properties!A$1:CB$87,'Fórmula'!J10,41))</f>
        <v>1.32</v>
      </c>
      <c r="EH10" s="122">
        <f t="array" ref="EH10">MIN(IF(INDEX(properties!A$1:CB$87,'Fórmula'!B10,41)=0,10^6,INDEX(properties!A$1:CB$87,'Fórmula'!B10,41)),IF(INDEX(properties!A$1:CB$87,'Fórmula'!D10,41)=0,10^6,INDEX(properties!A$1:CB$87,'Fórmula'!D10,41)),IF(INDEX(properties!A$1:CB$87,'Fórmula'!F10,41)=0,10^6,INDEX(properties!A$1:CB$87,'Fórmula'!F10,41)),IF(INDEX(properties!A$1:CB$87,'Fórmula'!H10,41)=0,10^6,INDEX(properties!A$1:CB$87,'Fórmula'!H10,41)),IF(INDEX(properties!A$1:CB$87,'Fórmula'!J10,41)=0,10^6,INDEX(properties!A$1:CB$87,'Fórmula'!J10,41)))</f>
        <v>0.83</v>
      </c>
      <c r="EI10" s="111">
        <f t="shared" si="23"/>
        <v>0.49</v>
      </c>
      <c r="EJ10" s="112">
        <f t="array" ref="EJ10">(('Fórmula'!C10)/('Fórmula'!C10+'Fórmula'!E10+'Fórmula'!G10+'Fórmula'!I10+'Fórmula'!K10))*(INDEX(properties!A$1:CB$87,'Fórmula'!B10,45))+(('Fórmula'!E10)/('Fórmula'!C10+'Fórmula'!E10+'Fórmula'!G10+'Fórmula'!I10+'Fórmula'!K10))*(INDEX(properties!A$1:CB$87,'Fórmula'!D10,45))+(('Fórmula'!G10)/('Fórmula'!C10+'Fórmula'!E10+'Fórmula'!G10+'Fórmula'!I10+'Fórmula'!K10))*(INDEX(properties!A$1:CB$87,'Fórmula'!F10,45))+(('Fórmula'!I10)/('Fórmula'!C10+'Fórmula'!E10+'Fórmula'!G10+'Fórmula'!I10+'Fórmula'!K10))*(INDEX(properties!A$1:CB$87,'Fórmula'!H10,45))+(('Fórmula'!K10)/('Fórmula'!C10+'Fórmula'!E10+'Fórmula'!G10+'Fórmula'!I10+'Fórmula'!K10))*(INDEX(properties!A$1:CB$87,'Fórmula'!J10,45))</f>
        <v>1.384</v>
      </c>
      <c r="EK10" s="112">
        <f t="array" ref="EK10">'Fórmula'!C10*(INDEX(properties!A$1:CB$87,'Fórmula'!B10,45))+'Fórmula'!E10*(INDEX(properties!A$1:CB$87,'Fórmula'!D10,45))+'Fórmula'!G10*(INDEX(properties!A$1:CB$87,'Fórmula'!F10,45))+'Fórmula'!I10*(INDEX(properties!A$1:CB$87,'Fórmula'!H10,45))+'Fórmula'!K10*(INDEX(properties!A$1:CB$87,'Fórmula'!J10,45))</f>
        <v>13.84</v>
      </c>
      <c r="EL10" s="112">
        <f t="array" ref="EL10">VARP(IF(INDEX(properties!A$1:CB$87,'Fórmula'!B10,45)&lt;&gt;"",INDEX(properties!A$1:CB$87,'Fórmula'!B10,45)),IF(INDEX(properties!A$1:CB$87,'Fórmula'!D10,45)&lt;&gt;"",INDEX(properties!A$1:CB$87,'Fórmula'!D10,45)),IF(INDEX(properties!A$1:CB$87,'Fórmula'!F10,45)&lt;&gt;"",INDEX(properties!A$1:CB$87,'Fórmula'!F10,45)),IF(INDEX(properties!A$1:CB$87,'Fórmula'!H10,45)&lt;&gt;"",INDEX(properties!A$1:CB$87,'Fórmula'!H10,45)),IF(INDEX(properties!A$1:CB$87,'Fórmula'!J10,45)&lt;&gt;"",INDEX(properties!A$1:CB$87,'Fórmula'!J10,45)))</f>
        <v>1.549224</v>
      </c>
      <c r="EM10" s="123">
        <f t="array" ref="EM10">MAX(INDEX(properties!A$1:CB$87,'Fórmula'!B10,45),INDEX(properties!A$1:CB$87,'Fórmula'!D10,45),INDEX(properties!A$1:CB$87,'Fórmula'!F10,45),INDEX(properties!A$1:CB$87,'Fórmula'!H10,45),INDEX(properties!A$1:CB$87,'Fórmula'!J10,45))</f>
        <v>3.21</v>
      </c>
      <c r="EN10" s="123">
        <f t="array" ref="EN10">MIN(IF(INDEX(properties!A$1:CB$87,'Fórmula'!B10,45)=0,10^6,INDEX(properties!A$1:CB$87,'Fórmula'!B10,45)),IF(INDEX(properties!A$1:CB$87,'Fórmula'!D10,45)=0,10^6,INDEX(properties!A$1:CB$87,'Fórmula'!D10,45)),IF(INDEX(properties!A$1:CB$87,'Fórmula'!F10,45)=0,10^6,INDEX(properties!A$1:CB$87,'Fórmula'!F10,45)),IF(INDEX(properties!A$1:CB$87,'Fórmula'!H10,45)=0,10^6,INDEX(properties!A$1:CB$87,'Fórmula'!H10,45)),IF(INDEX(properties!A$1:CB$87,'Fórmula'!J10,45)=0,10^6,INDEX(properties!A$1:CB$87,'Fórmula'!J10,45)))</f>
        <v>0.47</v>
      </c>
      <c r="EO10" s="112">
        <f t="shared" si="24"/>
        <v>2.74</v>
      </c>
      <c r="EP10" s="113">
        <f t="array" ref="EP10">(('Fórmula'!C10)/('Fórmula'!C10+'Fórmula'!E10+'Fórmula'!G10+'Fórmula'!I10+'Fórmula'!K10))*(INDEX(properties!A$1:CB$87,'Fórmula'!B10,46))+(('Fórmula'!E10)/('Fórmula'!C10+'Fórmula'!E10+'Fórmula'!G10+'Fórmula'!I10+'Fórmula'!K10))*(INDEX(properties!A$1:CB$87,'Fórmula'!D10,46))+(('Fórmula'!G10)/('Fórmula'!C10+'Fórmula'!E10+'Fórmula'!G10+'Fórmula'!I10+'Fórmula'!K10))*(INDEX(properties!A$1:CB$87,'Fórmula'!F10,46))+(('Fórmula'!I10)/('Fórmula'!C10+'Fórmula'!E10+'Fórmula'!G10+'Fórmula'!I10+'Fórmula'!K10))*(INDEX(properties!A$1:CB$87,'Fórmula'!H10,46))+(('Fórmula'!K10)/('Fórmula'!C10+'Fórmula'!E10+'Fórmula'!G10+'Fórmula'!I10+'Fórmula'!K10))*(INDEX(properties!A$1:CB$87,'Fórmula'!J10,46))</f>
        <v>1.143</v>
      </c>
      <c r="EQ10" s="113">
        <f t="array" ref="EQ10">'Fórmula'!C10*(INDEX(properties!A$1:CB$87,'Fórmula'!B10,46))+'Fórmula'!E10*(INDEX(properties!A$1:CB$87,'Fórmula'!D10,46))+'Fórmula'!G10*(INDEX(properties!A$1:CB$87,'Fórmula'!F10,46))+'Fórmula'!I10*(INDEX(properties!A$1:CB$87,'Fórmula'!H10,46))+'Fórmula'!K10*(INDEX(properties!A$1:CB$87,'Fórmula'!J10,46))</f>
        <v>11.43</v>
      </c>
      <c r="ER10" s="113">
        <f t="array" ref="ER10">VARP(IF(INDEX(properties!A$1:CB$87,'Fórmula'!B10,46)&lt;&gt;"",INDEX(properties!A$1:CB$87,'Fórmula'!B10,46)),IF(INDEX(properties!A$1:CB$87,'Fórmula'!D10,46)&lt;&gt;"",INDEX(properties!A$1:CB$87,'Fórmula'!D10,46)),IF(INDEX(properties!A$1:CB$87,'Fórmula'!F10,46)&lt;&gt;"",INDEX(properties!A$1:CB$87,'Fórmula'!F10,46)),IF(INDEX(properties!A$1:CB$87,'Fórmula'!H10,46)&lt;&gt;"",INDEX(properties!A$1:CB$87,'Fórmula'!H10,46)),IF(INDEX(properties!A$1:CB$87,'Fórmula'!J10,46)&lt;&gt;"",INDEX(properties!A$1:CB$87,'Fórmula'!J10,46)))</f>
        <v>0.216296</v>
      </c>
      <c r="ES10" s="124">
        <f t="array" ref="ES10">MAX(INDEX(properties!A$1:CB$87,'Fórmula'!B10,46),INDEX(properties!A$1:CB$87,'Fórmula'!D10,46),INDEX(properties!A$1:CB$87,'Fórmula'!F10,46),INDEX(properties!A$1:CB$87,'Fórmula'!H10,46),INDEX(properties!A$1:CB$87,'Fórmula'!J10,46))</f>
        <v>1.32</v>
      </c>
      <c r="ET10" s="124">
        <f t="array" ref="ET10">MIN(IF(INDEX(properties!A$1:CB$87,'Fórmula'!B10,46)=0,10^6,INDEX(properties!A$1:CB$87,'Fórmula'!B10,46)),IF(INDEX(properties!A$1:CB$87,'Fórmula'!D10,46)=0,10^6,INDEX(properties!A$1:CB$87,'Fórmula'!D10,46)),IF(INDEX(properties!A$1:CB$87,'Fórmula'!F10,46)=0,10^6,INDEX(properties!A$1:CB$87,'Fórmula'!F10,46)),IF(INDEX(properties!A$1:CB$87,'Fórmula'!H10,46)=0,10^6,INDEX(properties!A$1:CB$87,'Fórmula'!H10,46)),IF(INDEX(properties!A$1:CB$87,'Fórmula'!J10,46)=0,10^6,INDEX(properties!A$1:CB$87,'Fórmula'!J10,46)))</f>
        <v>0.74</v>
      </c>
      <c r="EU10" s="113">
        <f t="shared" si="25"/>
        <v>0.58</v>
      </c>
      <c r="EV10" s="114">
        <f t="array" ref="EV10">(('Fórmula'!C10)/('Fórmula'!C10+'Fórmula'!E10+'Fórmula'!G10+'Fórmula'!I10+'Fórmula'!K10))*(INDEX(properties!A$1:CB$87,'Fórmula'!B10,52))+(('Fórmula'!E10)/('Fórmula'!C10+'Fórmula'!E10+'Fórmula'!G10+'Fórmula'!I10+'Fórmula'!K10))*(INDEX(properties!A$1:CB$87,'Fórmula'!D10,52))+(('Fórmula'!G10)/('Fórmula'!C10+'Fórmula'!E10+'Fórmula'!G10+'Fórmula'!I10+'Fórmula'!K10))*(INDEX(properties!A$1:CB$87,'Fórmula'!F10,52))+(('Fórmula'!I10)/('Fórmula'!C10+'Fórmula'!E10+'Fórmula'!G10+'Fórmula'!I10+'Fórmula'!K10))*(INDEX(properties!A$1:CB$87,'Fórmula'!H10,52))+(('Fórmula'!K10)/('Fórmula'!C10+'Fórmula'!E10+'Fórmula'!G10+'Fórmula'!I10+'Fórmula'!K10))*(INDEX(properties!A$1:CB$87,'Fórmula'!J10,52))</f>
        <v>7.9158</v>
      </c>
      <c r="EW10" s="114">
        <f t="array" ref="EW10">'Fórmula'!C10*(INDEX(properties!A$1:CB$87,'Fórmula'!B10,52))+'Fórmula'!E10*(INDEX(properties!A$1:CB$87,'Fórmula'!D10,52))+'Fórmula'!G10*(INDEX(properties!A$1:CB$87,'Fórmula'!F10,52))+'Fórmula'!I10*(INDEX(properties!A$1:CB$87,'Fórmula'!H10,52))+'Fórmula'!K10*(INDEX(properties!A$1:CB$87,'Fórmula'!J10,52))</f>
        <v>79.158</v>
      </c>
      <c r="EX10" s="114">
        <f t="array" ref="EX10">VARP(IF(INDEX(properties!A$1:CB$87,'Fórmula'!B10,52)&lt;&gt;"",INDEX(properties!A$1:CB$87,'Fórmula'!B10,52)),IF(INDEX(properties!A$1:CB$87,'Fórmula'!D10,52)&lt;&gt;"",INDEX(properties!A$1:CB$87,'Fórmula'!D10,52)),IF(INDEX(properties!A$1:CB$87,'Fórmula'!F10,52)&lt;&gt;"",INDEX(properties!A$1:CB$87,'Fórmula'!F10,52)),IF(INDEX(properties!A$1:CB$87,'Fórmula'!H10,52)&lt;&gt;"",INDEX(properties!A$1:CB$87,'Fórmula'!H10,52)),IF(INDEX(properties!A$1:CB$87,'Fórmula'!J10,52)&lt;&gt;"",INDEX(properties!A$1:CB$87,'Fórmula'!J10,52)))</f>
        <v>102.8340238</v>
      </c>
      <c r="EY10" s="114">
        <f t="array" ref="EY10">MAX(INDEX(properties!A$1:CB$87,'Fórmula'!B10,52),INDEX(properties!A$1:CB$87,'Fórmula'!D10,52),INDEX(properties!A$1:CB$87,'Fórmula'!F10,52),INDEX(properties!A$1:CB$87,'Fórmula'!H10,52),INDEX(properties!A$1:CB$87,'Fórmula'!J10,52))</f>
        <v>27.6</v>
      </c>
      <c r="EZ10" s="114">
        <f t="array" ref="EZ10">MIN(IF(INDEX(properties!A$1:CB$87,'Fórmula'!B10,52)=0,10^6,INDEX(properties!A$1:CB$87,'Fórmula'!B10,52)),IF(INDEX(properties!A$1:CB$87,'Fórmula'!D10,52)=0,10^6,INDEX(properties!A$1:CB$87,'Fórmula'!D10,52)),IF(INDEX(properties!A$1:CB$87,'Fórmula'!F10,52)=0,10^6,INDEX(properties!A$1:CB$87,'Fórmula'!F10,52)),IF(INDEX(properties!A$1:CB$87,'Fórmula'!H10,52)=0,10^6,INDEX(properties!A$1:CB$87,'Fórmula'!H10,52)),IF(INDEX(properties!A$1:CB$87,'Fórmula'!J10,52)=0,10^6,INDEX(properties!A$1:CB$87,'Fórmula'!J10,52)))</f>
        <v>0.793</v>
      </c>
      <c r="FA10" s="114">
        <f t="shared" si="26"/>
        <v>26.807</v>
      </c>
      <c r="FB10" s="115">
        <f t="array" ref="FB10">(('Fórmula'!C10)/('Fórmula'!C10+'Fórmula'!E10+'Fórmula'!G10+'Fórmula'!I10+'Fórmula'!K10))*(INDEX(properties!A$1:CB$87,'Fórmula'!B10,53))+(('Fórmula'!E10)/('Fórmula'!C10+'Fórmula'!E10+'Fórmula'!G10+'Fórmula'!I10+'Fórmula'!K10))*(INDEX(properties!A$1:CB$87,'Fórmula'!D10,53))+(('Fórmula'!G10)/('Fórmula'!C10+'Fórmula'!E10+'Fórmula'!G10+'Fórmula'!I10+'Fórmula'!K10))*(INDEX(properties!A$1:CB$87,'Fórmula'!F10,53))+(('Fórmula'!I10)/('Fórmula'!C10+'Fórmula'!E10+'Fórmula'!G10+'Fórmula'!I10+'Fórmula'!K10))*(INDEX(properties!A$1:CB$87,'Fórmula'!H10,53))+(('Fórmula'!K10)/('Fórmula'!C10+'Fórmula'!E10+'Fórmula'!G10+'Fórmula'!I10+'Fórmula'!K10))*(INDEX(properties!A$1:CB$87,'Fórmula'!J10,53))</f>
        <v>599.57</v>
      </c>
      <c r="FC10" s="115">
        <f t="array" ref="FC10">'Fórmula'!C10*(INDEX(properties!A$1:CB$87,'Fórmula'!B10,53))+'Fórmula'!E10*(INDEX(properties!A$1:CB$87,'Fórmula'!D10,53))+'Fórmula'!G10*(INDEX(properties!A$1:CB$87,'Fórmula'!F10,53))+'Fórmula'!I10*(INDEX(properties!A$1:CB$87,'Fórmula'!H10,53))+'Fórmula'!K10*(INDEX(properties!A$1:CB$87,'Fórmula'!J10,53))</f>
        <v>5995.7</v>
      </c>
      <c r="FD10" s="115">
        <f t="array" ref="FD10">VARP(IF(INDEX(properties!A$1:CB$87,'Fórmula'!B10,53)&lt;&gt;"",INDEX(properties!A$1:CB$87,'Fórmula'!B10,53)),IF(INDEX(properties!A$1:CB$87,'Fórmula'!D10,53)&lt;&gt;"",INDEX(properties!A$1:CB$87,'Fórmula'!D10,53)),IF(INDEX(properties!A$1:CB$87,'Fórmula'!F10,53)&lt;&gt;"",INDEX(properties!A$1:CB$87,'Fórmula'!F10,53)),IF(INDEX(properties!A$1:CB$87,'Fórmula'!H10,53)&lt;&gt;"",INDEX(properties!A$1:CB$87,'Fórmula'!H10,53)),IF(INDEX(properties!A$1:CB$87,'Fórmula'!J10,53)&lt;&gt;"",INDEX(properties!A$1:CB$87,'Fórmula'!J10,53)))</f>
        <v>1108367.632</v>
      </c>
      <c r="FE10" s="115">
        <f t="array" ref="FE10">MAX(INDEX(properties!A$1:CB$87,'Fórmula'!B10,53),INDEX(properties!A$1:CB$87,'Fórmula'!D10,53),INDEX(properties!A$1:CB$87,'Fórmula'!F10,53),INDEX(properties!A$1:CB$87,'Fórmula'!H10,53),INDEX(properties!A$1:CB$87,'Fórmula'!J10,53))</f>
        <v>2890.15</v>
      </c>
      <c r="FF10" s="115">
        <f t="array" ref="FF10">MIN(IF(INDEX(properties!A$1:CB$87,'Fórmula'!B10,53)=0,10^6,INDEX(properties!A$1:CB$87,'Fórmula'!B10,53)),IF(INDEX(properties!A$1:CB$87,'Fórmula'!D10,53)=0,10^6,INDEX(properties!A$1:CB$87,'Fórmula'!D10,53)),IF(INDEX(properties!A$1:CB$87,'Fórmula'!F10,53)=0,10^6,INDEX(properties!A$1:CB$87,'Fórmula'!F10,53)),IF(INDEX(properties!A$1:CB$87,'Fórmula'!H10,53)=0,10^6,INDEX(properties!A$1:CB$87,'Fórmula'!H10,53)),IF(INDEX(properties!A$1:CB$87,'Fórmula'!J10,53)=0,10^6,INDEX(properties!A$1:CB$87,'Fórmula'!J10,53)))</f>
        <v>54.75</v>
      </c>
      <c r="FG10" s="115">
        <f t="shared" si="27"/>
        <v>2835.4</v>
      </c>
      <c r="FH10" s="117">
        <f t="array" ref="FH10">(('Fórmula'!C10)/('Fórmula'!C10+'Fórmula'!E10+'Fórmula'!G10+'Fórmula'!I10+'Fórmula'!K10))*(INDEX(properties!A$1:CB$87,'Fórmula'!B10,54))+(('Fórmula'!E10)/('Fórmula'!C10+'Fórmula'!E10+'Fórmula'!G10+'Fórmula'!I10+'Fórmula'!K10))*(INDEX(properties!A$1:CB$87,'Fórmula'!D10,54))+(('Fórmula'!G10)/('Fórmula'!C10+'Fórmula'!E10+'Fórmula'!G10+'Fórmula'!I10+'Fórmula'!K10))*(INDEX(properties!A$1:CB$87,'Fórmula'!F10,54))+(('Fórmula'!I10)/('Fórmula'!C10+'Fórmula'!E10+'Fórmula'!G10+'Fórmula'!I10+'Fórmula'!K10))*(INDEX(properties!A$1:CB$87,'Fórmula'!H10,54))+(('Fórmula'!K10)/('Fórmula'!C10+'Fórmula'!E10+'Fórmula'!G10+'Fórmula'!I10+'Fórmula'!K10))*(INDEX(properties!A$1:CB$87,'Fórmula'!J10,54))</f>
        <v>991.95</v>
      </c>
      <c r="FI10" s="117">
        <f t="array" ref="FI10">'Fórmula'!C10*(INDEX(properties!A$1:CB$87,'Fórmula'!B10,54))+'Fórmula'!E10*(INDEX(properties!A$1:CB$87,'Fórmula'!D10,54))+'Fórmula'!G10*(INDEX(properties!A$1:CB$87,'Fórmula'!F10,54))+'Fórmula'!I10*(INDEX(properties!A$1:CB$87,'Fórmula'!H10,54))+'Fórmula'!K10*(INDEX(properties!A$1:CB$87,'Fórmula'!J10,54))</f>
        <v>9919.5</v>
      </c>
      <c r="FJ10" s="117">
        <f t="array" ref="FJ10">VARP(IF(INDEX(properties!A$1:CB$87,'Fórmula'!B10,54)&lt;&gt;"",INDEX(properties!A$1:CB$87,'Fórmula'!B10,54)),IF(INDEX(properties!A$1:CB$87,'Fórmula'!D10,54)&lt;&gt;"",INDEX(properties!A$1:CB$87,'Fórmula'!D10,54)),IF(INDEX(properties!A$1:CB$87,'Fórmula'!F10,54)&lt;&gt;"",INDEX(properties!A$1:CB$87,'Fórmula'!F10,54)),IF(INDEX(properties!A$1:CB$87,'Fórmula'!H10,54)&lt;&gt;"",INDEX(properties!A$1:CB$87,'Fórmula'!H10,54)),IF(INDEX(properties!A$1:CB$87,'Fórmula'!J10,54)&lt;&gt;"",INDEX(properties!A$1:CB$87,'Fórmula'!J10,54)))</f>
        <v>3161027.896</v>
      </c>
      <c r="FK10" s="117">
        <f t="array" ref="FK10">MAX(INDEX(properties!A$1:CB$87,'Fórmula'!B10,54),INDEX(properties!A$1:CB$87,'Fórmula'!D10,54),INDEX(properties!A$1:CB$87,'Fórmula'!F10,54),INDEX(properties!A$1:CB$87,'Fórmula'!H10,54),INDEX(properties!A$1:CB$87,'Fórmula'!J10,54))</f>
        <v>4885.15</v>
      </c>
      <c r="FL10" s="117">
        <f t="array" ref="FL10">MIN(IF(INDEX(properties!A$1:CB$87,'Fórmula'!B10,54)=0,10^6,INDEX(properties!A$1:CB$87,'Fórmula'!B10,54)),IF(INDEX(properties!A$1:CB$87,'Fórmula'!D10,54)=0,10^6,INDEX(properties!A$1:CB$87,'Fórmula'!D10,54)),IF(INDEX(properties!A$1:CB$87,'Fórmula'!F10,54)=0,10^6,INDEX(properties!A$1:CB$87,'Fórmula'!F10,54)),IF(INDEX(properties!A$1:CB$87,'Fórmula'!H10,54)=0,10^6,INDEX(properties!A$1:CB$87,'Fórmula'!H10,54)),IF(INDEX(properties!A$1:CB$87,'Fórmula'!J10,54)=0,10^6,INDEX(properties!A$1:CB$87,'Fórmula'!J10,54)))</f>
        <v>90.15</v>
      </c>
      <c r="FM10" s="117">
        <f t="shared" si="28"/>
        <v>4795</v>
      </c>
      <c r="FN10" s="118">
        <f t="array" ref="FN10">(('Fórmula'!C10)/('Fórmula'!C10+'Fórmula'!E10+'Fórmula'!G10+'Fórmula'!I10+'Fórmula'!K10))*(INDEX(properties!A$1:CB$87,'Fórmula'!B10,55))+(('Fórmula'!E10)/('Fórmula'!C10+'Fórmula'!E10+'Fórmula'!G10+'Fórmula'!I10+'Fórmula'!K10))*(INDEX(properties!A$1:CB$87,'Fórmula'!D10,55))+(('Fórmula'!G10)/('Fórmula'!C10+'Fórmula'!E10+'Fórmula'!G10+'Fórmula'!I10+'Fórmula'!K10))*(INDEX(properties!A$1:CB$87,'Fórmula'!F10,55))+(('Fórmula'!I10)/('Fórmula'!C10+'Fórmula'!E10+'Fórmula'!G10+'Fórmula'!I10+'Fórmula'!K10))*(INDEX(properties!A$1:CB$87,'Fórmula'!H10,55))+(('Fórmula'!K10)/('Fórmula'!C10+'Fórmula'!E10+'Fórmula'!G10+'Fórmula'!I10+'Fórmula'!K10))*(INDEX(properties!A$1:CB$87,'Fórmula'!J10,55))</f>
        <v>2.259858</v>
      </c>
      <c r="FO10" s="118">
        <f t="array" ref="FO10">'Fórmula'!C10*(INDEX(properties!A$1:CB$87,'Fórmula'!B10,55))+'Fórmula'!E10*(INDEX(properties!A$1:CB$87,'Fórmula'!D10,54))+'Fórmula'!G10*(INDEX(properties!A$1:CB$87,'Fórmula'!F10,55))+'Fórmula'!I10*(INDEX(properties!A$1:CB$87,'Fórmula'!H10,55))+'Fórmula'!K10*(INDEX(properties!A$1:CB$87,'Fórmula'!J10,55))</f>
        <v>1194.61858</v>
      </c>
      <c r="FP10" s="118">
        <f t="array" ref="FP10">VARP(IF(INDEX(properties!A$1:CB$87,'Fórmula'!B10,55)&lt;&gt;"",INDEX(properties!A$1:CB$87,'Fórmula'!B10,55)),IF(INDEX(properties!A$1:CB$87,'Fórmula'!D10,55)&lt;&gt;"",INDEX(properties!A$1:CB$87,'Fórmula'!D10,55)),IF(INDEX(properties!A$1:CB$87,'Fórmula'!F10,55)&lt;&gt;"",INDEX(properties!A$1:CB$87,'Fórmula'!F10,55)),IF(INDEX(properties!A$1:CB$87,'Fórmula'!H10,55)&lt;&gt;"",INDEX(properties!A$1:CB$87,'Fórmula'!H10,55)),IF(INDEX(properties!A$1:CB$87,'Fórmula'!J10,55)&lt;&gt;"",INDEX(properties!A$1:CB$87,'Fórmula'!J10,55)))</f>
        <v>16.4204129</v>
      </c>
      <c r="FQ10" s="118">
        <f t="array" ref="FQ10">MAX(INDEX(properties!A$1:CB$87,'Fórmula'!B10,55),INDEX(properties!A$1:CB$87,'Fórmula'!D10,55),INDEX(properties!A$1:CB$87,'Fórmula'!F10,55),INDEX(properties!A$1:CB$87,'Fórmula'!H10,55),INDEX(properties!A$1:CB$87,'Fórmula'!J10,55))</f>
        <v>10.2</v>
      </c>
      <c r="FR10" s="118">
        <f t="array" ref="FR10">MIN(IF(INDEX(properties!A$1:CB$87,'Fórmula'!B10,55)=0,10^6,INDEX(properties!A$1:CB$87,'Fórmula'!B10,55)),IF(INDEX(properties!A$1:CB$87,'Fórmula'!D10,55)=0,10^6,INDEX(properties!A$1:CB$87,'Fórmula'!D10,55)),IF(INDEX(properties!A$1:CB$87,'Fórmula'!F10,55)=0,10^6,INDEX(properties!A$1:CB$87,'Fórmula'!F10,55)),IF(INDEX(properties!A$1:CB$87,'Fórmula'!H10,55)=0,10^6,INDEX(properties!A$1:CB$87,'Fórmula'!H10,55)),IF(INDEX(properties!A$1:CB$87,'Fórmula'!J10,55)=0,10^6,INDEX(properties!A$1:CB$87,'Fórmula'!J10,55)))</f>
        <v>0.00143</v>
      </c>
      <c r="FS10" s="118">
        <f t="shared" si="29"/>
        <v>10.19857</v>
      </c>
      <c r="FT10" s="119">
        <f t="array" ref="FT10">(('Fórmula'!C10)/('Fórmula'!C10+'Fórmula'!E10+'Fórmula'!G10+'Fórmula'!I10+'Fórmula'!K10))*(INDEX(properties!A$1:CB$87,'Fórmula'!B10,56))+(('Fórmula'!E10)/('Fórmula'!C10+'Fórmula'!E10+'Fórmula'!G10+'Fórmula'!I10+'Fórmula'!K10))*(INDEX(properties!A$1:CB$87,'Fórmula'!D10,56))+(('Fórmula'!G10)/('Fórmula'!C10+'Fórmula'!E10+'Fórmula'!G10+'Fórmula'!I10+'Fórmula'!K10))*(INDEX(properties!A$1:CB$87,'Fórmula'!F10,56))+(('Fórmula'!I10)/('Fórmula'!C10+'Fórmula'!E10+'Fórmula'!G10+'Fórmula'!I10+'Fórmula'!K10))*(INDEX(properties!A$1:CB$87,'Fórmula'!H10,56))+(('Fórmula'!K10)/('Fórmula'!C10+'Fórmula'!E10+'Fórmula'!G10+'Fórmula'!I10+'Fórmula'!K10))*(INDEX(properties!A$1:CB$87,'Fórmula'!J10,56))</f>
        <v>0.676</v>
      </c>
      <c r="FU10" s="119">
        <f t="array" ref="FU10">'Fórmula'!C10*(INDEX(properties!A$1:CB$87,'Fórmula'!B10,56))+'Fórmula'!E10*(INDEX(properties!A$1:CB$87,'Fórmula'!D10,56))+'Fórmula'!G10*(INDEX(properties!A$1:CB$87,'Fórmula'!F10,56))+'Fórmula'!I10*(INDEX(properties!A$1:CB$87,'Fórmula'!H10,56))+'Fórmula'!K10*(INDEX(properties!A$1:CB$87,'Fórmula'!J10,56))</f>
        <v>6.76</v>
      </c>
      <c r="FV10" s="119">
        <f t="array" ref="FV10">VARP(IF(INDEX(properties!A$1:CB$87,'Fórmula'!B10,56)&lt;&gt;"",INDEX(properties!A$1:CB$87,'Fórmula'!B10,56)),IF(INDEX(properties!A$1:CB$87,'Fórmula'!D10,56)&lt;&gt;"",INDEX(properties!A$1:CB$87,'Fórmula'!D10,56)),IF(INDEX(properties!A$1:CB$87,'Fórmula'!F10,56)&lt;&gt;"",INDEX(properties!A$1:CB$87,'Fórmula'!F10,56)),IF(INDEX(properties!A$1:CB$87,'Fórmula'!H10,56)&lt;&gt;"",INDEX(properties!A$1:CB$87,'Fórmula'!H10,56)),IF(INDEX(properties!A$1:CB$87,'Fórmula'!J10,56)&lt;&gt;"",INDEX(properties!A$1:CB$87,'Fórmula'!J10,56)))</f>
        <v>0.091816</v>
      </c>
      <c r="FW10" s="119">
        <f t="array" ref="FW10">MAX(INDEX(properties!A$1:CB$87,'Fórmula'!B10,56),INDEX(properties!A$1:CB$87,'Fórmula'!D10,56),INDEX(properties!A$1:CB$87,'Fórmula'!F10,56),INDEX(properties!A$1:CB$87,'Fórmula'!H10,56),INDEX(properties!A$1:CB$87,'Fórmula'!J10,56))</f>
        <v>0.92</v>
      </c>
      <c r="FX10" s="119">
        <f t="array" ref="FX10">MIN(IF(INDEX(properties!A$1:CB$87,'Fórmula'!B10,56)=0,10^6,INDEX(properties!A$1:CB$87,'Fórmula'!B10,56)),IF(INDEX(properties!A$1:CB$87,'Fórmula'!D10,56)=0,10^6,INDEX(properties!A$1:CB$87,'Fórmula'!D10,56)),IF(INDEX(properties!A$1:CB$87,'Fórmula'!F10,56)=0,10^6,INDEX(properties!A$1:CB$87,'Fórmula'!F10,56)),IF(INDEX(properties!A$1:CB$87,'Fórmula'!H10,56)=0,10^6,INDEX(properties!A$1:CB$87,'Fórmula'!H10,56)),IF(INDEX(properties!A$1:CB$87,'Fórmula'!J10,56)=0,10^6,INDEX(properties!A$1:CB$87,'Fórmula'!J10,56)))</f>
        <v>0.25</v>
      </c>
      <c r="FY10" s="119">
        <f t="shared" si="30"/>
        <v>0.67</v>
      </c>
      <c r="FZ10" s="104">
        <f t="array" ref="FZ10">(('Fórmula'!C10)/('Fórmula'!C10+'Fórmula'!E10+'Fórmula'!G10+'Fórmula'!I10+'Fórmula'!K10))*(INDEX(properties!A$1:CB$87,'Fórmula'!B10,57))+(('Fórmula'!E10)/('Fórmula'!C10+'Fórmula'!E10+'Fórmula'!G10+'Fórmula'!I10+'Fórmula'!K10))*(INDEX(properties!A$1:CB$87,'Fórmula'!D10,57))+(('Fórmula'!G10)/('Fórmula'!C10+'Fórmula'!E10+'Fórmula'!G10+'Fórmula'!I10+'Fórmula'!K10))*(INDEX(properties!A$1:CB$87,'Fórmula'!F10,57))+(('Fórmula'!I10)/('Fórmula'!C10+'Fórmula'!E10+'Fórmula'!G10+'Fórmula'!I10+'Fórmula'!K10))*(INDEX(properties!A$1:CB$87,'Fórmula'!H10,57))+(('Fórmula'!K10)/('Fórmula'!C10+'Fórmula'!E10+'Fórmula'!G10+'Fórmula'!I10+'Fórmula'!K10))*(INDEX(properties!A$1:CB$87,'Fórmula'!J10,57))</f>
        <v>5.725754</v>
      </c>
      <c r="GA10" s="104">
        <f t="array" ref="GA10">'Fórmula'!C10*(INDEX(properties!A$1:CB$87,'Fórmula'!B10,57))+'Fórmula'!E10*(INDEX(properties!A$1:CB$87,'Fórmula'!D10,57))+'Fórmula'!G10*(INDEX(properties!A$1:CB$87,'Fórmula'!F10,57))+'Fórmula'!I10*(INDEX(properties!A$1:CB$87,'Fórmula'!H10,57))+'Fórmula'!K10*(INDEX(properties!A$1:CB$87,'Fórmula'!J10,57))</f>
        <v>57.25754</v>
      </c>
      <c r="GB10" s="104">
        <f t="array" ref="GB10">VARP(IF(INDEX(properties!A$1:CB$87,'Fórmula'!B10,57)&lt;&gt;"",INDEX(properties!A$1:CB$87,'Fórmula'!B10,57)),IF(INDEX(properties!A$1:CB$87,'Fórmula'!D10,57)&lt;&gt;"",INDEX(properties!A$1:CB$87,'Fórmula'!D10,57)),IF(INDEX(properties!A$1:CB$87,'Fórmula'!F10,57)&lt;&gt;"",INDEX(properties!A$1:CB$87,'Fórmula'!F10,57)),IF(INDEX(properties!A$1:CB$87,'Fórmula'!H10,57)&lt;&gt;"",INDEX(properties!A$1:CB$87,'Fórmula'!H10,57)),IF(INDEX(properties!A$1:CB$87,'Fórmula'!J10,57)&lt;&gt;"",INDEX(properties!A$1:CB$87,'Fórmula'!J10,57)))</f>
        <v>137.7460544</v>
      </c>
      <c r="GC10" s="104">
        <f t="array" ref="GC10">MAX(INDEX(properties!A$1:CB$87,'Fórmula'!B10,57),INDEX(properties!A$1:CB$87,'Fórmula'!D10,57),INDEX(properties!A$1:CB$87,'Fórmula'!F10,57),INDEX(properties!A$1:CB$87,'Fórmula'!H10,57),INDEX(properties!A$1:CB$87,'Fórmula'!J10,57))</f>
        <v>32</v>
      </c>
      <c r="GD10" s="104">
        <f t="array" ref="GD10">MIN(IF(INDEX(properties!A$1:CB$87,'Fórmula'!B10,57)=0,10^6,INDEX(properties!A$1:CB$87,'Fórmula'!B10,57)),IF(INDEX(properties!A$1:CB$87,'Fórmula'!D10,57)=0,10^6,INDEX(properties!A$1:CB$87,'Fórmula'!D10,57)),IF(INDEX(properties!A$1:CB$87,'Fórmula'!F10,57)=0,10^6,INDEX(properties!A$1:CB$87,'Fórmula'!F10,57)),IF(INDEX(properties!A$1:CB$87,'Fórmula'!H10,57)=0,10^6,INDEX(properties!A$1:CB$87,'Fórmula'!H10,57)),IF(INDEX(properties!A$1:CB$87,'Fórmula'!J10,57)=0,10^6,INDEX(properties!A$1:CB$87,'Fórmula'!J10,57)))</f>
        <v>0.22259</v>
      </c>
      <c r="GE10" s="104">
        <f t="shared" si="31"/>
        <v>31.77741</v>
      </c>
      <c r="GF10" s="105">
        <f t="array" ref="GF10">(('Fórmula'!C10)/('Fórmula'!C10+'Fórmula'!E10+'Fórmula'!G10+'Fórmula'!I10+'Fórmula'!K10))*(INDEX(properties!A$1:CB$87,'Fórmula'!B10,60))+(('Fórmula'!E10)/('Fórmula'!C10+'Fórmula'!E10+'Fórmula'!G10+'Fórmula'!I10+'Fórmula'!K10))*(INDEX(properties!A$1:CB$87,'Fórmula'!D10,60))+(('Fórmula'!G10)/('Fórmula'!C10+'Fórmula'!E10+'Fórmula'!G10+'Fórmula'!I10+'Fórmula'!K10))*(INDEX(properties!A$1:CB$87,'Fórmula'!F10,60))+(('Fórmula'!I10)/('Fórmula'!C10+'Fórmula'!E10+'Fórmula'!G10+'Fórmula'!I10+'Fórmula'!K10))*(INDEX(properties!A$1:CB$87,'Fórmula'!H10,60))+(('Fórmula'!K10)/('Fórmula'!C10+'Fórmula'!E10+'Fórmula'!G10+'Fórmula'!I10+'Fórmula'!K10))*(INDEX(properties!A$1:CB$87,'Fórmula'!J10,60))</f>
        <v>32.476044</v>
      </c>
      <c r="GG10" s="105">
        <f t="array" ref="GG10">'Fórmula'!C10*(INDEX(properties!A$1:CB$87,'Fórmula'!B10,60))+'Fórmula'!E10*(INDEX(properties!A$1:CB$87,'Fórmula'!D10,60))+'Fórmula'!G10*(INDEX(properties!A$1:CB$87,'Fórmula'!F10,60))+'Fórmula'!I10*(INDEX(properties!A$1:CB$87,'Fórmula'!H10,60))+'Fórmula'!K10*(INDEX(properties!A$1:CB$87,'Fórmula'!J10,60))</f>
        <v>324.76044</v>
      </c>
      <c r="GH10" s="105">
        <f t="array" ref="GH10">VARP(IF(INDEX(properties!A$1:CB$87,'Fórmula'!B10,60)&lt;&gt;"",INDEX(properties!A$1:CB$87,'Fórmula'!B10,60)),IF(INDEX(properties!A$1:CB$87,'Fórmula'!D10,60)&lt;&gt;"",INDEX(properties!A$1:CB$87,'Fórmula'!D10,60)),IF(INDEX(properties!A$1:CB$87,'Fórmula'!F10,60)&lt;&gt;"",INDEX(properties!A$1:CB$87,'Fórmula'!F10,60)),IF(INDEX(properties!A$1:CB$87,'Fórmula'!H10,60)&lt;&gt;"",INDEX(properties!A$1:CB$87,'Fórmula'!H10,60)),IF(INDEX(properties!A$1:CB$87,'Fórmula'!J10,60)&lt;&gt;"",INDEX(properties!A$1:CB$87,'Fórmula'!J10,60)))</f>
        <v>3400.819644</v>
      </c>
      <c r="GI10" s="105">
        <f t="array" ref="GI10">MAX(INDEX(properties!A$1:CB$87,'Fórmula'!B10,60),INDEX(properties!A$1:CB$87,'Fórmula'!D10,60),INDEX(properties!A$1:CB$87,'Fórmula'!F10,60),INDEX(properties!A$1:CB$87,'Fórmula'!H10,60),INDEX(properties!A$1:CB$87,'Fórmula'!J10,60))</f>
        <v>138</v>
      </c>
      <c r="GJ10" s="105">
        <f t="array" ref="GJ10">MIN(IF(INDEX(properties!A$1:CB$87,'Fórmula'!B10,60)=0,10^6,INDEX(properties!A$1:CB$87,'Fórmula'!B10,60)),IF(INDEX(properties!A$1:CB$87,'Fórmula'!D10,60)=0,10^6,INDEX(properties!A$1:CB$87,'Fórmula'!D10,60)),IF(INDEX(properties!A$1:CB$87,'Fórmula'!F10,60)=0,10^6,INDEX(properties!A$1:CB$87,'Fórmula'!F10,60)),IF(INDEX(properties!A$1:CB$87,'Fórmula'!H10,60)=0,10^6,INDEX(properties!A$1:CB$87,'Fórmula'!H10,60)),IF(INDEX(properties!A$1:CB$87,'Fórmula'!J10,60)=0,10^6,INDEX(properties!A$1:CB$87,'Fórmula'!J10,60)))</f>
        <v>0.02674</v>
      </c>
      <c r="GK10" s="105">
        <f t="shared" si="32"/>
        <v>137.97326</v>
      </c>
      <c r="GL10" s="106">
        <f t="array" ref="GL10">(('Fórmula'!C10)/('Fórmula'!C10+'Fórmula'!E10+'Fórmula'!G10+'Fórmula'!I10+'Fórmula'!K10))*(INDEX(properties!A$1:CB$87,'Fórmula'!B10,62))+(('Fórmula'!E10)/('Fórmula'!C10+'Fórmula'!E10+'Fórmula'!G10+'Fórmula'!I10+'Fórmula'!K10))*(INDEX(properties!A$1:CB$87,'Fórmula'!D10,62))+(('Fórmula'!G10)/('Fórmula'!C10+'Fórmula'!E10+'Fórmula'!G10+'Fórmula'!I10+'Fórmula'!K10))*(INDEX(properties!A$1:CB$87,'Fórmula'!F10,62))+(('Fórmula'!I10)/('Fórmula'!C10+'Fórmula'!E10+'Fórmula'!G10+'Fórmula'!I10+'Fórmula'!K10))*(INDEX(properties!A$1:CB$87,'Fórmula'!H10,62))+(('Fórmula'!K10)/('Fórmula'!C10+'Fórmula'!E10+'Fórmula'!G10+'Fórmula'!I10+'Fórmula'!K10))*(INDEX(properties!A$1:CB$87,'Fórmula'!J10,62))</f>
        <v>2.733</v>
      </c>
      <c r="GM10" s="106">
        <f t="array" ref="GM10">'Fórmula'!C10*(INDEX(properties!A$1:CB$87,'Fórmula'!B10,62))+'Fórmula'!E10*(INDEX(properties!A$1:CB$87,'Fórmula'!D10,62))+'Fórmula'!G10*(INDEX(properties!A$1:CB$87,'Fórmula'!F10,62))+'Fórmula'!I10*(INDEX(properties!A$1:CB$87,'Fórmula'!H10,62))+'Fórmula'!K10*(INDEX(properties!A$1:CB$87,'Fórmula'!J10,62))</f>
        <v>27.33</v>
      </c>
      <c r="GN10" s="106">
        <f t="array" ref="GN10">VARP(IF(INDEX(properties!A$1:CB$87,'Fórmula'!B10,62)&lt;&gt;"",INDEX(properties!A$1:CB$87,'Fórmula'!B10,62)),IF(INDEX(properties!A$1:CB$87,'Fórmula'!D10,62)&lt;&gt;"",INDEX(properties!A$1:CB$87,'Fórmula'!D10,62)),IF(INDEX(properties!A$1:CB$87,'Fórmula'!F10,62)&lt;&gt;"",INDEX(properties!A$1:CB$87,'Fórmula'!F10,62)),IF(INDEX(properties!A$1:CB$87,'Fórmula'!H10,62)&lt;&gt;"",INDEX(properties!A$1:CB$87,'Fórmula'!H10,62)),IF(INDEX(properties!A$1:CB$87,'Fórmula'!J10,62)&lt;&gt;"",INDEX(properties!A$1:CB$87,'Fórmula'!J10,62)))</f>
        <v>5.371536</v>
      </c>
      <c r="GO10" s="106">
        <f t="array" ref="GO10">MAX(INDEX(properties!A$1:CB$87,'Fórmula'!B10,62),INDEX(properties!A$1:CB$87,'Fórmula'!D10,62),INDEX(properties!A$1:CB$87,'Fórmula'!F10,62),INDEX(properties!A$1:CB$87,'Fórmula'!H10,62),INDEX(properties!A$1:CB$87,'Fórmula'!J10,62))</f>
        <v>6.82</v>
      </c>
      <c r="GP10" s="106">
        <f t="array" ref="GP10">MIN(IF(INDEX(properties!A$1:CB$87,'Fórmula'!B10,62)=0,10^6,INDEX(properties!A$1:CB$87,'Fórmula'!B10,62)),IF(INDEX(properties!A$1:CB$87,'Fórmula'!D10,62)=0,10^6,INDEX(properties!A$1:CB$87,'Fórmula'!D10,62)),IF(INDEX(properties!A$1:CB$87,'Fórmula'!F10,62)=0,10^6,INDEX(properties!A$1:CB$87,'Fórmula'!F10,62)),IF(INDEX(properties!A$1:CB$87,'Fórmula'!H10,62)=0,10^6,INDEX(properties!A$1:CB$87,'Fórmula'!H10,62)),IF(INDEX(properties!A$1:CB$87,'Fórmula'!J10,62)=0,10^6,INDEX(properties!A$1:CB$87,'Fórmula'!J10,62)))</f>
        <v>1.35</v>
      </c>
      <c r="GQ10" s="106">
        <f t="shared" si="33"/>
        <v>5.47</v>
      </c>
      <c r="GR10" s="106">
        <f>'Fórmula'!Q10</f>
        <v>87</v>
      </c>
      <c r="GS10" s="107">
        <f>'Fórmula'!P10</f>
        <v>2</v>
      </c>
      <c r="GT10" s="113">
        <f>'Fórmula'!O10</f>
        <v>5.78</v>
      </c>
      <c r="GU10" s="114">
        <f>AVERAGE('Fórmula'!R10/'Fórmula'!S10,'Fórmula'!S10/'Fórmula'!T10,'Fórmula'!T10/'Fórmula'!R10)</f>
        <v>1.043063531</v>
      </c>
      <c r="GV10" s="125">
        <f>'Fórmula'!U10</f>
        <v>248.69</v>
      </c>
      <c r="GW10" s="106">
        <f>'Fórmula'!N10</f>
        <v>0.08</v>
      </c>
    </row>
    <row r="11" ht="14.25" customHeight="1">
      <c r="A11" s="99" t="str">
        <f>'Fórmula'!A11</f>
        <v>CdMoO4</v>
      </c>
      <c r="B11" s="100">
        <f t="array" ref="B11">(('Fórmula'!C11)/('Fórmula'!C11+'Fórmula'!E11+'Fórmula'!G11+'Fórmula'!I11+'Fórmula'!K11))*(INDEX(properties!A$1:CB$87,'Fórmula'!B11,3))+(('Fórmula'!E11)/('Fórmula'!C11+'Fórmula'!E11+'Fórmula'!G11+'Fórmula'!I11+'Fórmula'!K11))*(INDEX(properties!A$1:CB$87,'Fórmula'!D11,3))+(('Fórmula'!G11)/('Fórmula'!C11+'Fórmula'!E11+'Fórmula'!G11+'Fórmula'!I11+'Fórmula'!K11))*(INDEX(properties!A$1:CB$87,'Fórmula'!F11,3))+(('Fórmula'!I11)/('Fórmula'!C11+'Fórmula'!E11+'Fórmula'!G11+'Fórmula'!I11+'Fórmula'!K11))*(INDEX(properties!A$1:CB$87,'Fórmula'!H11,3))+(('Fórmula'!K11)/('Fórmula'!C11+'Fórmula'!E11+'Fórmula'!G11+'Fórmula'!I11+'Fórmula'!K11))*(INDEX(properties!A$1:CB$87,'Fórmula'!J11,3))</f>
        <v>45.3931</v>
      </c>
      <c r="C11" s="101">
        <f t="array" ref="C11">'Fórmula'!C11*(INDEX(properties!A$1:CB$87,'Fórmula'!B11,3))+'Fórmula'!E11*(INDEX(properties!A$1:CB$87,'Fórmula'!D11,3))+'Fórmula'!G11*(INDEX(properties!A$1:CB$87,'Fórmula'!F11,3))+'Fórmula'!I11*(INDEX(properties!A$1:CB$87,'Fórmula'!H11,3))+'Fórmula'!K11*(INDEX(properties!A$1:CB$87,'Fórmula'!J11,3))</f>
        <v>272.3586</v>
      </c>
      <c r="D11" s="101">
        <f t="array" ref="D11">VARP(IF(INDEX(properties!A$1:CB$87,'Fórmula'!B11,3)&lt;&gt;"",INDEX(properties!A$1:CB$87,'Fórmula'!B11,3)),IF(INDEX(properties!A$1:CB$87,'Fórmula'!D11,3)&lt;&gt;"",INDEX(properties!A$1:CB$87,'Fórmula'!D11,3)),IF(INDEX(properties!A$1:CB$87,'Fórmula'!F11,3)&lt;&gt;"",INDEX(properties!A$1:CB$87,'Fórmula'!F11,3)),IF(INDEX(properties!A$1:CB$87,'Fórmula'!H11,3)&lt;&gt;"",INDEX(properties!A$1:CB$87,'Fórmula'!H11,3)),IF(INDEX(properties!A$1:CB$87,'Fórmula'!J11,3)&lt;&gt;"",INDEX(properties!A$1:CB$87,'Fórmula'!J11,3)))</f>
        <v>2406.219681</v>
      </c>
      <c r="E11" s="101">
        <f t="array" ref="E11">MAX(INDEX(properties!A$1:CB$87,'Fórmula'!B11,3),INDEX(properties!A$1:CB$87,'Fórmula'!D11,3),INDEX(properties!A$1:CB$87,'Fórmula'!F11,3),INDEX(properties!A$1:CB$87,'Fórmula'!H11,3),INDEX(properties!A$1:CB$87,'Fórmula'!J11,3))</f>
        <v>112.411</v>
      </c>
      <c r="F11" s="101">
        <f t="array" ref="F11">MIN(IF(INDEX(properties!A$1:CB$87,'Fórmula'!B11,3)=0,10^6,INDEX(properties!A$1:CB$87,'Fórmula'!B11,3)),IF(INDEX(properties!A$1:CB$87,'Fórmula'!D11,3)=0,10^6,INDEX(properties!A$1:CB$87,'Fórmula'!D11,3)),IF(INDEX(properties!A$1:CB$87,'Fórmula'!F11,3)=0,10^6,INDEX(properties!A$1:CB$87,'Fórmula'!F11,3)),IF(INDEX(properties!A$1:CB$87,'Fórmula'!H11,3)=0,10^6,INDEX(properties!A$1:CB$87,'Fórmula'!H11,3)),IF(INDEX(properties!A$1:CB$87,'Fórmula'!J11,3)=0,10^6,INDEX(properties!A$1:CB$87,'Fórmula'!J11,3)))</f>
        <v>15.9994</v>
      </c>
      <c r="G11" s="101">
        <f t="shared" si="1"/>
        <v>96.4116</v>
      </c>
      <c r="H11" s="102">
        <f t="array" ref="H11">(('Fórmula'!C11)/('Fórmula'!C11+'Fórmula'!E11+'Fórmula'!G11+'Fórmula'!I11+'Fórmula'!K11))*(INDEX(properties!A$1:CB$87,'Fórmula'!B11,4))+(('Fórmula'!E11)/('Fórmula'!C11+'Fórmula'!E11+'Fórmula'!G11+'Fórmula'!I11+'Fórmula'!K11))*(INDEX(properties!A$1:CB$87,'Fórmula'!D11,4))+(('Fórmula'!G11)/('Fórmula'!C11+'Fórmula'!E11+'Fórmula'!G11+'Fórmula'!I11+'Fórmula'!K11))*(INDEX(properties!A$1:CB$87,'Fórmula'!F11,4))+(('Fórmula'!I11)/('Fórmula'!C11+'Fórmula'!E11+'Fórmula'!G11+'Fórmula'!I11+'Fórmula'!K11))*(INDEX(properties!A$1:CB$87,'Fórmula'!H11,4))+(('Fórmula'!K11)/('Fórmula'!C11+'Fórmula'!E11+'Fórmula'!G11+'Fórmula'!I11+'Fórmula'!K11))*(INDEX(properties!A$1:CB$87,'Fórmula'!J11,4))</f>
        <v>20.33333333</v>
      </c>
      <c r="I11" s="102">
        <f t="array" ref="I11">'Fórmula'!C11*(INDEX(properties!A$1:CB$87,'Fórmula'!B11,4))+'Fórmula'!E11*(INDEX(properties!A$1:CB$87,'Fórmula'!D11,4))+'Fórmula'!G11*(INDEX(properties!A$1:CB$87,'Fórmula'!F11,4))+'Fórmula'!I11*(INDEX(properties!A$1:CB$87,'Fórmula'!H11,4))+'Fórmula'!K11*(INDEX(properties!A$1:CB$87,'Fórmula'!J11,4))</f>
        <v>122</v>
      </c>
      <c r="J11" s="102">
        <f t="array" ref="J11">VARP(IF(INDEX(properties!A$1:CB$87,'Fórmula'!B11,4)&lt;&gt;"",INDEX(properties!A$1:CB$87,'Fórmula'!B11,4)),IF(INDEX(properties!A$1:CB$87,'Fórmula'!D11,4)&lt;&gt;"",INDEX(properties!A$1:CB$87,'Fórmula'!D11,4)),IF(INDEX(properties!A$1:CB$87,'Fórmula'!F11,4)&lt;&gt;"",INDEX(properties!A$1:CB$87,'Fórmula'!F11,4)),IF(INDEX(properties!A$1:CB$87,'Fórmula'!H11,4)&lt;&gt;"",INDEX(properties!A$1:CB$87,'Fórmula'!H11,4)),IF(INDEX(properties!A$1:CB$87,'Fórmula'!J11,4)&lt;&gt;"",INDEX(properties!A$1:CB$87,'Fórmula'!J11,4)))</f>
        <v>442.24</v>
      </c>
      <c r="K11" s="102">
        <f t="array" ref="K11">MAX(INDEX(properties!A$1:CB$87,'Fórmula'!B11,4),INDEX(properties!A$1:CB$87,'Fórmula'!D11,4),INDEX(properties!A$1:CB$87,'Fórmula'!F11,4),INDEX(properties!A$1:CB$87,'Fórmula'!H11,4),INDEX(properties!A$1:CB$87,'Fórmula'!J11,4))</f>
        <v>48</v>
      </c>
      <c r="L11" s="102">
        <f t="array" ref="L11">MIN(IF(INDEX(properties!A$1:CB$87,'Fórmula'!B11,4)=0,10^6,INDEX(properties!A$1:CB$87,'Fórmula'!B11,4)),IF(INDEX(properties!A$1:CB$87,'Fórmula'!D11,4)=0,10^6,INDEX(properties!A$1:CB$87,'Fórmula'!D11,4)),IF(INDEX(properties!A$1:CB$87,'Fórmula'!F11,4)=0,10^6,INDEX(properties!A$1:CB$87,'Fórmula'!F11,4)),IF(INDEX(properties!A$1:CB$87,'Fórmula'!H11,4)=0,10^6,INDEX(properties!A$1:CB$87,'Fórmula'!H11,4)),IF(INDEX(properties!A$1:CB$87,'Fórmula'!J11,4)=0,10^6,INDEX(properties!A$1:CB$87,'Fórmula'!J11,4)))</f>
        <v>8</v>
      </c>
      <c r="M11" s="102">
        <f t="shared" si="2"/>
        <v>40</v>
      </c>
      <c r="N11" s="103">
        <f t="array" ref="N11">(('Fórmula'!C11)/('Fórmula'!C11+'Fórmula'!E11+'Fórmula'!G11+'Fórmula'!I11+'Fórmula'!K11))*(INDEX(properties!A$1:CB$87,'Fórmula'!B11,5))+(('Fórmula'!E11)/('Fórmula'!C11+'Fórmula'!E11+'Fórmula'!G11+'Fórmula'!I11+'Fórmula'!K11))*(INDEX(properties!A$1:CB$87,'Fórmula'!D11,5))+(('Fórmula'!G11)/('Fórmula'!C11+'Fórmula'!E11+'Fórmula'!G11+'Fórmula'!I11+'Fórmula'!K11))*(INDEX(properties!A$1:CB$87,'Fórmula'!F11,5))+(('Fórmula'!I11)/('Fórmula'!C11+'Fórmula'!E11+'Fórmula'!G11+'Fórmula'!I11+'Fórmula'!K11))*(INDEX(properties!A$1:CB$87,'Fórmula'!H11,5))+(('Fórmula'!K11)/('Fórmula'!C11+'Fórmula'!E11+'Fórmula'!G11+'Fórmula'!I11+'Fórmula'!K11))*(INDEX(properties!A$1:CB$87,'Fórmula'!J11,5))</f>
        <v>3</v>
      </c>
      <c r="O11" s="103">
        <f t="array" ref="O11">'Fórmula'!C11*(INDEX(properties!A$1:CB$87,'Fórmula'!B11,5))+'Fórmula'!E11*(INDEX(properties!A$1:CB$87,'Fórmula'!D11,5))+'Fórmula'!G11*(INDEX(properties!A$1:CB$87,'Fórmula'!F11,5))+'Fórmula'!I11*(INDEX(properties!A$1:CB$87,'Fórmula'!H11,5))+'Fórmula'!K11*(INDEX(properties!A$1:CB$87,'Fórmula'!J11,5))</f>
        <v>18</v>
      </c>
      <c r="P11" s="103">
        <f t="array" ref="P11">VARP(IF(INDEX(properties!A$1:CB$87,'Fórmula'!B11,5)&lt;&gt;"",INDEX(properties!A$1:CB$87,'Fórmula'!B11,5)),IF(INDEX(properties!A$1:CB$87,'Fórmula'!D11,5)&lt;&gt;"",INDEX(properties!A$1:CB$87,'Fórmula'!D11,5)),IF(INDEX(properties!A$1:CB$87,'Fórmula'!F11,5)&lt;&gt;"",INDEX(properties!A$1:CB$87,'Fórmula'!F11,5)),IF(INDEX(properties!A$1:CB$87,'Fórmula'!H11,5)&lt;&gt;"",INDEX(properties!A$1:CB$87,'Fórmula'!H11,5)),IF(INDEX(properties!A$1:CB$87,'Fórmula'!J11,5)&lt;&gt;"",INDEX(properties!A$1:CB$87,'Fórmula'!J11,5)))</f>
        <v>5.04</v>
      </c>
      <c r="Q11" s="103">
        <f t="array" ref="Q11">MAX(INDEX(properties!A$1:CB$87,'Fórmula'!B11,5),INDEX(properties!A$1:CB$87,'Fórmula'!D11,5),INDEX(properties!A$1:CB$87,'Fórmula'!F11,5),INDEX(properties!A$1:CB$87,'Fórmula'!H11,5),INDEX(properties!A$1:CB$87,'Fórmula'!J11,5))</f>
        <v>5</v>
      </c>
      <c r="R11" s="103">
        <f t="array" ref="R11">MIN(IF(INDEX(properties!A$1:CB$87,'Fórmula'!B11,5)=0,10^6,INDEX(properties!A$1:CB$87,'Fórmula'!B11,5)),IF(INDEX(properties!A$1:CB$87,'Fórmula'!D11,5)=0,10^6,INDEX(properties!A$1:CB$87,'Fórmula'!D11,5)),IF(INDEX(properties!A$1:CB$87,'Fórmula'!F11,5)=0,10^6,INDEX(properties!A$1:CB$87,'Fórmula'!F11,5)),IF(INDEX(properties!A$1:CB$87,'Fórmula'!H11,5)=0,10^6,INDEX(properties!A$1:CB$87,'Fórmula'!H11,5)),IF(INDEX(properties!A$1:CB$87,'Fórmula'!J11,5)=0,10^6,INDEX(properties!A$1:CB$87,'Fórmula'!J11,5)))</f>
        <v>2</v>
      </c>
      <c r="S11" s="103">
        <f t="shared" si="3"/>
        <v>3</v>
      </c>
      <c r="T11" s="104">
        <f t="array" ref="T11">(('Fórmula'!C11)/('Fórmula'!C11+'Fórmula'!E11+'Fórmula'!G11+'Fórmula'!I11+'Fórmula'!K11))*(INDEX(properties!A$1:CB$87,'Fórmula'!B11,6))+(('Fórmula'!E11)/('Fórmula'!C11+'Fórmula'!E11+'Fórmula'!G11+'Fórmula'!I11+'Fórmula'!K11))*(INDEX(properties!A$1:CB$87,'Fórmula'!D11,6))+(('Fórmula'!G11)/('Fórmula'!C11+'Fórmula'!E11+'Fórmula'!G11+'Fórmula'!I11+'Fórmula'!K11))*(INDEX(properties!A$1:CB$87,'Fórmula'!F11,6))+(('Fórmula'!I11)/('Fórmula'!C11+'Fórmula'!E11+'Fórmula'!G11+'Fórmula'!I11+'Fórmula'!K11))*(INDEX(properties!A$1:CB$87,'Fórmula'!H11,6))+(('Fórmula'!K11)/('Fórmula'!C11+'Fórmula'!E11+'Fórmula'!G11+'Fórmula'!I11+'Fórmula'!K11))*(INDEX(properties!A$1:CB$87,'Fórmula'!J11,6))</f>
        <v>13.66666667</v>
      </c>
      <c r="U11" s="104">
        <f t="array" ref="U11">'Fórmula'!C11*(INDEX(properties!A$1:CB$87,'Fórmula'!B11,6))+'Fórmula'!E11*(INDEX(properties!A$1:CB$87,'Fórmula'!D11,6))+'Fórmula'!G11*(INDEX(properties!A$1:CB$87,'Fórmula'!F11,6))+'Fórmula'!I11*(INDEX(properties!A$1:CB$87,'Fórmula'!H11,6))+'Fórmula'!K11*(INDEX(properties!A$1:CB$87,'Fórmula'!J11,6))</f>
        <v>82</v>
      </c>
      <c r="V11" s="103">
        <f t="array" ref="V11">VARP(IF(INDEX(properties!A$1:CB$87,'Fórmula'!B11,6)&lt;&gt;"",INDEX(properties!A$1:CB$87,'Fórmula'!B11,6)),IF(INDEX(properties!A$1:CB$87,'Fórmula'!D11,6)&lt;&gt;"",INDEX(properties!A$1:CB$87,'Fórmula'!D11,6)),IF(INDEX(properties!A$1:CB$87,'Fórmula'!F11,6)&lt;&gt;"",INDEX(properties!A$1:CB$87,'Fórmula'!F11,6)),IF(INDEX(properties!A$1:CB$87,'Fórmula'!H11,6)&lt;&gt;"",INDEX(properties!A$1:CB$87,'Fórmula'!H11,6)),IF(INDEX(properties!A$1:CB$87,'Fórmula'!J11,6)&lt;&gt;"",INDEX(properties!A$1:CB$87,'Fórmula'!J11,6)))</f>
        <v>40.96</v>
      </c>
      <c r="W11" s="104">
        <f t="array" ref="W11">MAX(INDEX(properties!A$1:CB$87,'Fórmula'!B11,6),INDEX(properties!A$1:CB$87,'Fórmula'!D11,6),INDEX(properties!A$1:CB$87,'Fórmula'!F11,6),INDEX(properties!A$1:CB$87,'Fórmula'!H11,4),INDEX(properties!A$1:CB$87,'Fórmula'!J11,6))</f>
        <v>16</v>
      </c>
      <c r="X11" s="104">
        <f t="array" ref="X11">MIN(IF(INDEX(properties!A$1:CB$87,'Fórmula'!B11,6)=0,10^6,INDEX(properties!A$1:CB$87,'Fórmula'!B11,6)),IF(INDEX(properties!A$1:CB$87,'Fórmula'!D11,6)=0,10^6,INDEX(properties!A$1:CB$87,'Fórmula'!D11,6)),IF(INDEX(properties!A$1:CB$87,'Fórmula'!F11,6)=0,10^6,INDEX(properties!A$1:CB$87,'Fórmula'!F11,6)),IF(INDEX(properties!A$1:CB$87,'Fórmula'!H11,6)=0,10^6,INDEX(properties!A$1:CB$87,'Fórmula'!H11,6)),IF(INDEX(properties!A$1:CB$87,'Fórmula'!J11,6)=0,10^6,INDEX(properties!A$1:CB$87,'Fórmula'!J11,6)))</f>
        <v>6</v>
      </c>
      <c r="Y11" s="104">
        <f t="shared" si="4"/>
        <v>10</v>
      </c>
      <c r="Z11" s="105">
        <f t="array" ref="Z11">(('Fórmula'!C11)/('Fórmula'!C11+'Fórmula'!E11+'Fórmula'!G11+'Fórmula'!I11+'Fórmula'!K11))*(INDEX(properties!A$1:CB$87,'Fórmula'!B11,9))+(('Fórmula'!E11)/('Fórmula'!C11+'Fórmula'!E11+'Fórmula'!G11+'Fórmula'!I11+'Fórmula'!K11))*(INDEX(properties!A$1:CB$87,'Fórmula'!D11,9))+(('Fórmula'!G11)/('Fórmula'!C11+'Fórmula'!E11+'Fórmula'!G11+'Fórmula'!I11+'Fórmula'!K11))*(INDEX(properties!A$1:CB$87,'Fórmula'!F11,9))+(('Fórmula'!I11)/('Fórmula'!C11+'Fórmula'!E11+'Fórmula'!G11+'Fórmula'!I11+'Fórmula'!K11))*(INDEX(properties!A$1:CB$87,'Fórmula'!H11,9))+(('Fórmula'!K11)/('Fórmula'!C11+'Fórmula'!E11+'Fórmula'!G11+'Fórmula'!I11+'Fórmula'!K11))*(INDEX(properties!A$1:CB$87,'Fórmula'!J11,9))</f>
        <v>78</v>
      </c>
      <c r="AA11" s="105">
        <f t="array" ref="AA11">'Fórmula'!C11*(INDEX(properties!A$1:CB$87,'Fórmula'!B11,9))+'Fórmula'!E11*(INDEX(properties!A$1:CB$87,'Fórmula'!D11,9))+'Fórmula'!G11*(INDEX(properties!A$1:CB$87,'Fórmula'!F11,9))+'Fórmula'!I11*(INDEX(properties!A$1:CB$87,'Fórmula'!H11,9))+'Fórmula'!K11*(INDEX(properties!A$1:CB$87,'Fórmula'!J11,9))</f>
        <v>468</v>
      </c>
      <c r="AB11" s="105">
        <f t="array" ref="AB11">VARP(IF(INDEX(properties!A$1:CB$87,'Fórmula'!B11,9)&lt;&gt;"",INDEX(properties!A$1:CB$87,'Fórmula'!B11,9)),IF(INDEX(properties!A$1:CB$87,'Fórmula'!D11,9)&lt;&gt;"",INDEX(properties!A$1:CB$87,'Fórmula'!D11,9)),IF(INDEX(properties!A$1:CB$87,'Fórmula'!F11,9)&lt;&gt;"",INDEX(properties!A$1:CB$87,'Fórmula'!F11,9)),IF(INDEX(properties!A$1:CB$87,'Fórmula'!H11,9)&lt;&gt;"",INDEX(properties!A$1:CB$87,'Fórmula'!H11,9)),IF(INDEX(properties!A$1:CB$87,'Fórmula'!J11,9)&lt;&gt;"",INDEX(properties!A$1:CB$87,'Fórmula'!J11,9)))</f>
        <v>1279.84</v>
      </c>
      <c r="AC11" s="105">
        <f t="array" ref="AC11">MAX(INDEX(properties!A$1:CB$87,'Fórmula'!B11,9),INDEX(properties!A$1:CB$87,'Fórmula'!D11,9),INDEX(properties!A$1:CB$87,'Fórmula'!F11,9),INDEX(properties!A$1:CB$87,'Fórmula'!H11,9),INDEX(properties!A$1:CB$87,'Fórmula'!J11,9))</f>
        <v>87</v>
      </c>
      <c r="AD11" s="105">
        <f t="array" ref="AD11">MIN(IF(INDEX(properties!A$1:CB$87,'Fórmula'!B11,9)=0,10^6,INDEX(properties!A$1:CB$87,'Fórmula'!B11,9)),IF(INDEX(properties!A$1:CB$87,'Fórmula'!D11,9)=0,10^6,INDEX(properties!A$1:CB$87,'Fórmula'!D11,9)),IF(INDEX(properties!A$1:CB$87,'Fórmula'!F11,9)=0,10^6,INDEX(properties!A$1:CB$87,'Fórmula'!F11,9)),IF(INDEX(properties!A$1:CB$87,'Fórmula'!H11,9)=0,10^6,INDEX(properties!A$1:CB$87,'Fórmula'!H11,9)),IF(INDEX(properties!A$1:CB$87,'Fórmula'!J11,9)=0,10^6,INDEX(properties!A$1:CB$87,'Fórmula'!J11,9)))</f>
        <v>50</v>
      </c>
      <c r="AE11" s="105">
        <f t="shared" si="5"/>
        <v>37</v>
      </c>
      <c r="AF11" s="106">
        <f t="array" ref="AF11">(('Fórmula'!C11)/('Fórmula'!C11+'Fórmula'!E11+'Fórmula'!G11+'Fórmula'!I11+'Fórmula'!K11))*(INDEX(properties!A$1:CB$87,'Fórmula'!B11,10))+(('Fórmula'!E11)/('Fórmula'!C11+'Fórmula'!E11+'Fórmula'!G11+'Fórmula'!I11+'Fórmula'!K11))*(INDEX(properties!A$1:CB$87,'Fórmula'!D11,10))+(('Fórmula'!G11)/('Fórmula'!C11+'Fórmula'!E11+'Fórmula'!G11+'Fórmula'!I11+'Fórmula'!K11))*(INDEX(properties!A$1:CB$87,'Fórmula'!F11,10))+(('Fórmula'!I11)/('Fórmula'!C11+'Fórmula'!E11+'Fórmula'!G11+'Fórmula'!I11+'Fórmula'!K11))*(INDEX(properties!A$1:CB$87,'Fórmula'!H11,10))+(('Fórmula'!K11)/('Fórmula'!C11+'Fórmula'!E11+'Fórmula'!G11+'Fórmula'!I11+'Fórmula'!K11))*(INDEX(properties!A$1:CB$87,'Fórmula'!J11,10))</f>
        <v>6</v>
      </c>
      <c r="AG11" s="106">
        <f t="array" ref="AG11">'Fórmula'!C11*(INDEX(properties!A$1:CB$87,'Fórmula'!B11,10))+'Fórmula'!E11*(INDEX(properties!A$1:CB$87,'Fórmula'!D11,10))+'Fórmula'!G11*(INDEX(properties!A$1:CB$87,'Fórmula'!F11,10))+'Fórmula'!I11*(INDEX(properties!A$1:CB$87,'Fórmula'!H11,10))+'Fórmula'!K11*(INDEX(properties!A$1:CB$87,'Fórmula'!J11,10))</f>
        <v>36</v>
      </c>
      <c r="AH11" s="106">
        <f t="array" ref="AH11">VARP(IF(INDEX(properties!A$1:CB$87,'Fórmula'!B11,10)&lt;&gt;"",INDEX(properties!A$1:CB$87,'Fórmula'!B11,10)),IF(INDEX(properties!A$1:CB$87,'Fórmula'!D11,10)&lt;&gt;"",INDEX(properties!A$1:CB$87,'Fórmula'!D11,10)),IF(INDEX(properties!A$1:CB$87,'Fórmula'!F11,10)&lt;&gt;"",INDEX(properties!A$1:CB$87,'Fórmula'!F11,10)),IF(INDEX(properties!A$1:CB$87,'Fórmula'!H11,10)&lt;&gt;"",INDEX(properties!A$1:CB$87,'Fórmula'!H11,10)),IF(INDEX(properties!A$1:CB$87,'Fórmula'!J11,10)&lt;&gt;"",INDEX(properties!A$1:CB$87,'Fórmula'!J11,10)))</f>
        <v>7.2</v>
      </c>
      <c r="AI11" s="106">
        <f t="array" ref="AI11">MAX(INDEX(properties!A$1:CB$87,'Fórmula'!B11,10),INDEX(properties!A$1:CB$87,'Fórmula'!D11,10),INDEX(properties!A$1:CB$87,'Fórmula'!F11,10),INDEX(properties!A$1:CB$87,'Fórmula'!H11,10),INDEX(properties!A$1:CB$87,'Fórmula'!J11,10))</f>
        <v>7</v>
      </c>
      <c r="AJ11" s="106">
        <f t="array" ref="AJ11">MIN(IF(INDEX(properties!A$1:CB$87,'Fórmula'!B11,10)=0,10^6,INDEX(properties!A$1:CB$87,'Fórmula'!B11,10)),IF(INDEX(properties!A$1:CB$87,'Fórmula'!D11,10)=0,10^6,INDEX(properties!A$1:CB$87,'Fórmula'!D11,10)),IF(INDEX(properties!A$1:CB$87,'Fórmula'!F11,10)=0,10^6,INDEX(properties!A$1:CB$87,'Fórmula'!F11,10)),IF(INDEX(properties!A$1:CB$87,'Fórmula'!H11,10)=0,10^6,INDEX(properties!A$1:CB$87,'Fórmula'!H11,10)),IF(INDEX(properties!A$1:CB$87,'Fórmula'!J11,10)=0,10^6,INDEX(properties!A$1:CB$87,'Fórmula'!J11,10)))</f>
        <v>4</v>
      </c>
      <c r="AK11" s="106">
        <f t="shared" si="6"/>
        <v>3</v>
      </c>
      <c r="AL11" s="107">
        <f t="array" ref="AL11">(('Fórmula'!C11)/('Fórmula'!C11+'Fórmula'!E11+'Fórmula'!G11+'Fórmula'!I11+'Fórmula'!K11))*(INDEX(properties!A$1:CB$87,'Fórmula'!B11,11))+(('Fórmula'!E11)/('Fórmula'!C11+'Fórmula'!E11+'Fórmula'!G11+'Fórmula'!I11+'Fórmula'!K11))*(INDEX(properties!A$1:CB$87,'Fórmula'!D11,11))+(('Fórmula'!G11)/('Fórmula'!C11+'Fórmula'!E11+'Fórmula'!G11+'Fórmula'!I11+'Fórmula'!K11))*(INDEX(properties!A$1:CB$87,'Fórmula'!F11,11))+(('Fórmula'!I11)/('Fórmula'!C11+'Fórmula'!E11+'Fórmula'!G11+'Fórmula'!I11+'Fórmula'!K11))*(INDEX(properties!A$1:CB$87,'Fórmula'!H11,11))+(('Fórmula'!K11)/('Fórmula'!C11+'Fórmula'!E11+'Fórmula'!G11+'Fórmula'!I11+'Fórmula'!K11))*(INDEX(properties!A$1:CB$87,'Fórmula'!J11,11))</f>
        <v>1.833333333</v>
      </c>
      <c r="AM11" s="107">
        <f t="array" ref="AM11">'Fórmula'!C11*(INDEX(properties!A$1:CB$87,'Fórmula'!B11,11))+'Fórmula'!E11*(INDEX(properties!A$1:CB$87,'Fórmula'!D11,11))+'Fórmula'!G11*(INDEX(properties!A$1:CB$87,'Fórmula'!F11,11))+'Fórmula'!I11*(INDEX(properties!A$1:CB$87,'Fórmula'!H11,11))+'Fórmula'!K11*(INDEX(properties!A$1:CB$87,'Fórmula'!J11,11))</f>
        <v>11</v>
      </c>
      <c r="AN11" s="107">
        <f t="array" ref="AN11">VARP(IF(INDEX(properties!A$1:CB$87,'Fórmula'!B11,11)&lt;&gt;"",INDEX(properties!A$1:CB$87,'Fórmula'!B11,11)),IF(INDEX(properties!A$1:CB$87,'Fórmula'!D11,11)&lt;&gt;"",INDEX(properties!A$1:CB$87,'Fórmula'!D11,11)),IF(INDEX(properties!A$1:CB$87,'Fórmula'!F11,11)&lt;&gt;"",INDEX(properties!A$1:CB$87,'Fórmula'!F11,11)),IF(INDEX(properties!A$1:CB$87,'Fórmula'!H11,11)&lt;&gt;"",INDEX(properties!A$1:CB$87,'Fórmula'!H11,11)),IF(INDEX(properties!A$1:CB$87,'Fórmula'!J11,11)&lt;&gt;"",INDEX(properties!A$1:CB$87,'Fórmula'!J11,11)))</f>
        <v>0.8</v>
      </c>
      <c r="AO11" s="107">
        <f t="array" ref="AO11">MAX(INDEX(properties!A$1:CB$87,'Fórmula'!B11,11),INDEX(properties!A$1:CB$87,'Fórmula'!D11,11),INDEX(properties!A$1:CB$87,'Fórmula'!F11,11),INDEX(properties!A$1:CB$87,'Fórmula'!H11,11),INDEX(properties!A$1:CB$87,'Fórmula'!J11,11))</f>
        <v>2</v>
      </c>
      <c r="AP11" s="107">
        <f t="array" ref="AP11">MIN(IF('Fórmula'!B11=87,10^6,INDEX(properties!A$1:CB$87,'Fórmula'!B11,11)),IF(('Fórmula'!D11)=87,10^6,INDEX(properties!A$1:CB$87,'Fórmula'!D11,11)),IF(('Fórmula'!F11)=87,10^6,INDEX(properties!A$1:CB$87,'Fórmula'!F11,11)),IF(('Fórmula'!H11)=87,10^6,INDEX(properties!A$1:CB$87,'Fórmula'!H11,11)),IF('Fórmula'!J11=87,10^6,INDEX(properties!A$1:CB$87,'Fórmula'!J11,11)))</f>
        <v>1</v>
      </c>
      <c r="AQ11" s="107">
        <f t="shared" si="7"/>
        <v>1</v>
      </c>
      <c r="AR11" s="108">
        <f t="array" ref="AR11">(('Fórmula'!C11)/('Fórmula'!C11+'Fórmula'!E11+'Fórmula'!G11+'Fórmula'!I11+'Fórmula'!K11))*(INDEX(properties!A$1:CB$87,'Fórmula'!B11,12))+(('Fórmula'!E11)/('Fórmula'!C11+'Fórmula'!E11+'Fórmula'!G11+'Fórmula'!I11+'Fórmula'!K11))*(INDEX(properties!A$1:CB$87,'Fórmula'!D11,12))+(('Fórmula'!G11)/('Fórmula'!C11+'Fórmula'!E11+'Fórmula'!G11+'Fórmula'!I11+'Fórmula'!K11))*(INDEX(properties!A$1:CB$87,'Fórmula'!F11,12))+(('Fórmula'!I11)/('Fórmula'!C11+'Fórmula'!E11+'Fórmula'!G11+'Fórmula'!I11+'Fórmula'!K11))*(INDEX(properties!A$1:CB$87,'Fórmula'!H11,12))+(('Fórmula'!K11)/('Fórmula'!C11+'Fórmula'!E11+'Fórmula'!G11+'Fórmula'!I11+'Fórmula'!K11))*(INDEX(properties!A$1:CB$87,'Fórmula'!J11,12))</f>
        <v>2.666666667</v>
      </c>
      <c r="AS11" s="108">
        <f t="array" ref="AS11">'Fórmula'!C11*(INDEX(properties!A$1:CB$87,'Fórmula'!B11,12))+'Fórmula'!E11*(INDEX(properties!A$1:CB$87,'Fórmula'!D11,12))+'Fórmula'!G11*(INDEX(properties!A$1:CB$87,'Fórmula'!F11,12))+'Fórmula'!I11*(INDEX(properties!A$1:CB$87,'Fórmula'!H11,12))+'Fórmula'!K11*(INDEX(properties!A$1:CB$87,'Fórmula'!J11,12))</f>
        <v>16</v>
      </c>
      <c r="AT11" s="108">
        <f t="array" ref="AT11">VARP(IF(INDEX(properties!A$1:CB$87,'Fórmula'!B11,12)&lt;&gt;"",INDEX(properties!A$1:CB$87,'Fórmula'!B11,12)),IF(INDEX(properties!A$1:CB$87,'Fórmula'!D11,12)&lt;&gt;"",INDEX(properties!A$1:CB$87,'Fórmula'!D11,12)),IF(INDEX(properties!A$1:CB$87,'Fórmula'!F11,12)&lt;&gt;"",INDEX(properties!A$1:CB$87,'Fórmula'!F11,12)),IF(INDEX(properties!A$1:CB$87,'Fórmula'!H11,12)&lt;&gt;"",INDEX(properties!A$1:CB$87,'Fórmula'!H11,12)),IF(INDEX(properties!A$1:CB$87,'Fórmula'!J11,12)&lt;&gt;"",INDEX(properties!A$1:CB$87,'Fórmula'!J11,12)))</f>
        <v>2.56</v>
      </c>
      <c r="AU11" s="108">
        <f t="array" ref="AU11">MAX(INDEX(properties!A$1:CB$87,'Fórmula'!B11,12),INDEX(properties!A$1:CB$87,'Fórmula'!D11,12),INDEX(properties!A$1:CB$87,'Fórmula'!F11,12),INDEX(properties!A$1:CB$87,'Fórmula'!H11,12),INDEX(properties!A$1:CB$87,'Fórmula'!J11,12))</f>
        <v>4</v>
      </c>
      <c r="AV11" s="108">
        <f t="array" ref="AV11">MIN(IF('Fórmula'!B11=87,10^6,INDEX(properties!A$1:CB$87,'Fórmula'!B11,12)),IF(('Fórmula'!D11)=87,10^6,INDEX(properties!A$1:CB$87,'Fórmula'!D11,12)),IF(('Fórmula'!F11)=87,10^6,INDEX(properties!A$1:CB$87,'Fórmula'!F11,12)),IF(('Fórmula'!H11)=87,10^6,INDEX(properties!A$1:CB$87,'Fórmula'!H11,12)),IF('Fórmula'!J11=87,10^6,INDEX(properties!A$1:CB$87,'Fórmula'!J11,12)))</f>
        <v>0</v>
      </c>
      <c r="AW11" s="108">
        <f t="shared" si="8"/>
        <v>4</v>
      </c>
      <c r="AX11" s="109">
        <f t="array" ref="AX11">(('Fórmula'!C11)/('Fórmula'!C11+'Fórmula'!E11+'Fórmula'!G11+'Fórmula'!I11+'Fórmula'!K11))*(INDEX(properties!A$1:CB$87,'Fórmula'!B11,13))+(('Fórmula'!E11)/('Fórmula'!C11+'Fórmula'!E11+'Fórmula'!G11+'Fórmula'!I11+'Fórmula'!K11))*(INDEX(properties!A$1:CB$87,'Fórmula'!D11,13))+(('Fórmula'!G11)/('Fórmula'!C11+'Fórmula'!E11+'Fórmula'!G11+'Fórmula'!I11+'Fórmula'!K11))*(INDEX(properties!A$1:CB$87,'Fórmula'!F11,13))+(('Fórmula'!I11)/('Fórmula'!C11+'Fórmula'!E11+'Fórmula'!G11+'Fórmula'!I11+'Fórmula'!K11))*(INDEX(properties!A$1:CB$87,'Fórmula'!H11,13))+(('Fórmula'!K11)/('Fórmula'!C11+'Fórmula'!E11+'Fórmula'!G11+'Fórmula'!I11+'Fórmula'!K11))*(INDEX(properties!A$1:CB$87,'Fórmula'!J11,13))</f>
        <v>2.5</v>
      </c>
      <c r="AY11" s="109">
        <f t="array" ref="AY11">'Fórmula'!C11*(INDEX(properties!A$1:CB$87,'Fórmula'!B11,13))+'Fórmula'!E11*(INDEX(properties!A$1:CB$87,'Fórmula'!D11,13))+'Fórmula'!G11*(INDEX(properties!A$1:CB$87,'Fórmula'!F11,13))+'Fórmula'!I11*(INDEX(properties!A$1:CB$87,'Fórmula'!H11,13))+'Fórmula'!K11*(INDEX(properties!A$1:CB$87,'Fórmula'!J11,13))</f>
        <v>15</v>
      </c>
      <c r="AZ11" s="109">
        <f t="array" ref="AZ11">VARP(IF(INDEX(properties!A$1:CB$87,'Fórmula'!B11,13)&lt;&gt;"",INDEX(properties!A$1:CB$87,'Fórmula'!B11,13)),IF(INDEX(properties!A$1:CB$87,'Fórmula'!D11,13)&lt;&gt;"",INDEX(properties!A$1:CB$87,'Fórmula'!D11,13)),IF(INDEX(properties!A$1:CB$87,'Fórmula'!F11,13)&lt;&gt;"",INDEX(properties!A$1:CB$87,'Fórmula'!F11,13)),IF(INDEX(properties!A$1:CB$87,'Fórmula'!H11,13)&lt;&gt;"",INDEX(properties!A$1:CB$87,'Fórmula'!H11,13)),IF(INDEX(properties!A$1:CB$87,'Fórmula'!J11,13)&lt;&gt;"",INDEX(properties!A$1:CB$87,'Fórmula'!J11,13)))</f>
        <v>16</v>
      </c>
      <c r="BA11" s="109">
        <f t="array" ref="BA11">MAX(INDEX(properties!A$1:CB$87,'Fórmula'!B11,13),INDEX(properties!A$1:CB$87,'Fórmula'!D11,13),INDEX(properties!A$1:CB$87,'Fórmula'!F11,13),INDEX(properties!A$1:CB$87,'Fórmula'!H11,13),INDEX(properties!A$1:CB$87,'Fórmula'!J11,13))</f>
        <v>10</v>
      </c>
      <c r="BB11" s="109">
        <f t="array" ref="BB11">MIN(IF('Fórmula'!B11=87,10^6,INDEX(properties!A$1:CB$87,'Fórmula'!B11,13)),IF(('Fórmula'!D11)=87,10^6,INDEX(properties!A$1:CB$87,'Fórmula'!D11,13)),IF(('Fórmula'!F11)=87,10^6,INDEX(properties!A$1:CB$87,'Fórmula'!F11,13)),IF(('Fórmula'!H11)=87,10^6,INDEX(properties!A$1:CB$87,'Fórmula'!H11,13)),IF('Fórmula'!J11=87,10^6,INDEX(properties!A$1:CB$87,'Fórmula'!J11,13)))</f>
        <v>0</v>
      </c>
      <c r="BC11" s="109">
        <f t="shared" si="9"/>
        <v>10</v>
      </c>
      <c r="BD11" s="110">
        <f t="array" ref="BD11">(('Fórmula'!C11)/('Fórmula'!C11+'Fórmula'!E11+'Fórmula'!G11+'Fórmula'!I11+'Fórmula'!K11))*(INDEX(properties!A$1:CB$87,'Fórmula'!B11,14))+(('Fórmula'!E11)/('Fórmula'!C11+'Fórmula'!E11+'Fórmula'!G11+'Fórmula'!I11+'Fórmula'!K11))*(INDEX(properties!A$1:CB$87,'Fórmula'!D11,14))+(('Fórmula'!G11)/('Fórmula'!C11+'Fórmula'!E11+'Fórmula'!G11+'Fórmula'!I11+'Fórmula'!K11))*(INDEX(properties!A$1:CB$87,'Fórmula'!F11,14))+(('Fórmula'!I11)/('Fórmula'!C11+'Fórmula'!E11+'Fórmula'!G11+'Fórmula'!I11+'Fórmula'!K11))*(INDEX(properties!A$1:CB$87,'Fórmula'!H11,14))+(('Fórmula'!K11)/('Fórmula'!C11+'Fórmula'!E11+'Fórmula'!G11+'Fórmula'!I11+'Fórmula'!K11))*(INDEX(properties!A$1:CB$87,'Fórmula'!J11,14))</f>
        <v>0</v>
      </c>
      <c r="BE11" s="110">
        <f t="array" ref="BE11">'Fórmula'!C11*(INDEX(properties!A$1:CB$87,'Fórmula'!B11,14))+'Fórmula'!E11*(INDEX(properties!A$1:CB$87,'Fórmula'!D11,14))+'Fórmula'!G11*(INDEX(properties!A$1:CB$87,'Fórmula'!F11,14))+'Fórmula'!I11*(INDEX(properties!A$1:CB$87,'Fórmula'!H11,14))+'Fórmula'!K11*(INDEX(properties!A$1:CB$87,'Fórmula'!J11,14))</f>
        <v>0</v>
      </c>
      <c r="BF11" s="110">
        <f t="array" ref="BF11">VARP(IF(INDEX(properties!A$1:CB$87,'Fórmula'!B11,14)&lt;&gt;"",INDEX(properties!A$1:CB$87,'Fórmula'!B11,14)),IF(INDEX(properties!A$1:CB$87,'Fórmula'!D11,14)&lt;&gt;"",INDEX(properties!A$1:CB$87,'Fórmula'!D11,14)),IF(INDEX(properties!A$1:CB$87,'Fórmula'!F11,14)&lt;&gt;"",INDEX(properties!A$1:CB$87,'Fórmula'!F11,14)),IF(INDEX(properties!A$1:CB$87,'Fórmula'!H11,14)&lt;&gt;"",INDEX(properties!A$1:CB$87,'Fórmula'!H11,14)),IF(INDEX(properties!A$1:CB$87,'Fórmula'!J11,14)&lt;&gt;"",INDEX(properties!A$1:CB$87,'Fórmula'!J11,14)))</f>
        <v>0</v>
      </c>
      <c r="BG11" s="110">
        <f t="array" ref="BG11">MAX(INDEX(properties!A$1:CB$87,'Fórmula'!B11,14),INDEX(properties!A$1:CB$87,'Fórmula'!D11,14),INDEX(properties!A$1:CB$87,'Fórmula'!F11,14),INDEX(properties!A$1:CB$87,'Fórmula'!H11,14),INDEX(properties!A$1:CB$87,'Fórmula'!J11,14))</f>
        <v>0</v>
      </c>
      <c r="BH11" s="110">
        <f t="array" ref="BH11">MIN(IF('Fórmula'!B11=87,10^6,INDEX(properties!A$1:CB$87,'Fórmula'!B11,14)),IF(('Fórmula'!D11)=87,10^6,INDEX(properties!A$1:CB$87,'Fórmula'!D11,14)),IF(('Fórmula'!F11)=87,10^6,INDEX(properties!A$1:CB$87,'Fórmula'!F11,14)),IF(('Fórmula'!H11)=87,10^6,INDEX(properties!A$1:CB$87,'Fórmula'!H11,14)),IF('Fórmula'!J11=87,10^6,INDEX(properties!A$1:CB$87,'Fórmula'!J11,14)))</f>
        <v>0</v>
      </c>
      <c r="BI11" s="110">
        <f t="shared" si="10"/>
        <v>0</v>
      </c>
      <c r="BJ11" s="111">
        <f t="array" ref="BJ11">(('Fórmula'!C11)/('Fórmula'!C11+'Fórmula'!E11+'Fórmula'!G11+'Fórmula'!I11+'Fórmula'!K11))*(INDEX(properties!A$1:CB$87,'Fórmula'!B11,19))+(('Fórmula'!E11)/('Fórmula'!C11+'Fórmula'!E11+'Fórmula'!G11+'Fórmula'!I11+'Fórmula'!K11))*(INDEX(properties!A$1:CB$87,'Fórmula'!D11,19))+(('Fórmula'!G11)/('Fórmula'!C11+'Fórmula'!E11+'Fórmula'!G11+'Fórmula'!I11+'Fórmula'!K11))*(INDEX(properties!A$1:CB$87,'Fórmula'!F11,19))+(('Fórmula'!I11)/('Fórmula'!C11+'Fórmula'!E11+'Fórmula'!G11+'Fórmula'!I11+'Fórmula'!K11))*(INDEX(properties!A$1:CB$87,'Fórmula'!H11,19))+(('Fórmula'!K11)/('Fórmula'!C11+'Fórmula'!E11+'Fórmula'!G11+'Fórmula'!I11+'Fórmula'!K11))*(INDEX(properties!A$1:CB$87,'Fórmula'!J11,19))</f>
        <v>7</v>
      </c>
      <c r="BK11" s="111">
        <f t="array" ref="BK11">'Fórmula'!C11*(INDEX(properties!A$1:CB$87,'Fórmula'!B11,19))+'Fórmula'!E11*(INDEX(properties!A$1:CB$87,'Fórmula'!D11,19))+'Fórmula'!G11*(INDEX(properties!A$1:CB$87,'Fórmula'!F11,19))+'Fórmula'!I11*(INDEX(properties!A$1:CB$87,'Fórmula'!H11,19))+'Fórmula'!K11*(INDEX(properties!A$1:CB$87,'Fórmula'!J11,19))</f>
        <v>42</v>
      </c>
      <c r="BL11" s="111">
        <f t="array" ref="BL11">VARP(IF(INDEX(properties!A$1:CB$87,'Fórmula'!B11,19)&lt;&gt;"",INDEX(properties!A$1:CB$87,'Fórmula'!B11,19)),IF(INDEX(properties!A$1:CB$87,'Fórmula'!D11,19)&lt;&gt;"",INDEX(properties!A$1:CB$87,'Fórmula'!D11,19)),IF(INDEX(properties!A$1:CB$87,'Fórmula'!F11,19)&lt;&gt;"",INDEX(properties!A$1:CB$87,'Fórmula'!F11,19)),IF(INDEX(properties!A$1:CB$87,'Fórmula'!H11,19)&lt;&gt;"",INDEX(properties!A$1:CB$87,'Fórmula'!H11,19)),IF(INDEX(properties!A$1:CB$87,'Fórmula'!J11,19)&lt;&gt;"",INDEX(properties!A$1:CB$87,'Fórmula'!J11,19)))</f>
        <v>20.16</v>
      </c>
      <c r="BM11" s="111">
        <f t="array" ref="BM11">MAX(INDEX(properties!A$1:CB$87,'Fórmula'!B11,19),INDEX(properties!A$1:CB$87,'Fórmula'!D11,19),INDEX(properties!A$1:CB$87,'Fórmula'!F11,19),INDEX(properties!A$1:CB$87,'Fórmula'!H11,19),INDEX(properties!A$1:CB$87,'Fórmula'!J11,19))</f>
        <v>12</v>
      </c>
      <c r="BN11" s="111">
        <f t="array" ref="BN11">MIN(IF(INDEX(properties!A$1:CB$87,'Fórmula'!B11,19)=0,10^6,INDEX(properties!A$1:CB$87,'Fórmula'!B11,19)),IF(INDEX(properties!A$1:CB$87,'Fórmula'!D11,19)=0,10^6,INDEX(properties!A$1:CB$87,'Fórmula'!D11,19)),IF(INDEX(properties!A$1:CB$87,'Fórmula'!F11,19)=0,10^6,INDEX(properties!A$1:CB$87,'Fórmula'!F11,19)),IF(INDEX(properties!A$1:CB$87,'Fórmula'!H11,19)=0,10^6,INDEX(properties!A$1:CB$87,'Fórmula'!H11,19)),IF(INDEX(properties!A$1:CB$87,'Fórmula'!J11,19)=0,10^6,INDEX(properties!A$1:CB$87,'Fórmula'!J11,19)))</f>
        <v>6</v>
      </c>
      <c r="BO11" s="111">
        <f t="shared" si="11"/>
        <v>6</v>
      </c>
      <c r="BP11" s="112">
        <f t="array" ref="BP11">(('Fórmula'!C11)/('Fórmula'!C11+'Fórmula'!E11+'Fórmula'!G11+'Fórmula'!I11+'Fórmula'!K11))*(INDEX(properties!A$1:CB$87,'Fórmula'!B11,20))+(('Fórmula'!E11)/('Fórmula'!C11+'Fórmula'!E11+'Fórmula'!G11+'Fórmula'!I11+'Fórmula'!K11))*(INDEX(properties!A$1:CB$87,'Fórmula'!D11,20))+(('Fórmula'!G11)/('Fórmula'!C11+'Fórmula'!E11+'Fórmula'!G11+'Fórmula'!I11+'Fórmula'!K11))*(INDEX(properties!A$1:CB$87,'Fórmula'!F11,20))+(('Fórmula'!I11)/('Fórmula'!C11+'Fórmula'!E11+'Fórmula'!G11+'Fórmula'!I11+'Fórmula'!K11))*(INDEX(properties!A$1:CB$87,'Fórmula'!H11,20))+(('Fórmula'!K11)/('Fórmula'!C11+'Fórmula'!E11+'Fórmula'!G11+'Fórmula'!I11+'Fórmula'!K11))*(INDEX(properties!A$1:CB$87,'Fórmula'!J11,20))</f>
        <v>4.5</v>
      </c>
      <c r="BQ11" s="112">
        <f t="array" ref="BQ11">'Fórmula'!C11*(INDEX(properties!A$1:CB$87,'Fórmula'!B11,20))+'Fórmula'!E11*(INDEX(properties!A$1:CB$87,'Fórmula'!D11,20))+'Fórmula'!G11*(INDEX(properties!A$1:CB$87,'Fórmula'!F11,20))+'Fórmula'!I11*(INDEX(properties!A$1:CB$87,'Fórmula'!H11,20))+'Fórmula'!K11*(INDEX(properties!A$1:CB$87,'Fórmula'!J11,20))</f>
        <v>27</v>
      </c>
      <c r="BR11" s="112">
        <f t="array" ref="BR11">VARP(IF(INDEX(properties!A$1:CB$87,'Fórmula'!B11,20)&lt;&gt;"",INDEX(properties!A$1:CB$87,'Fórmula'!B11,20)),IF(INDEX(properties!A$1:CB$87,'Fórmula'!D11,20)&lt;&gt;"",INDEX(properties!A$1:CB$87,'Fórmula'!D11,20)),IF(INDEX(properties!A$1:CB$87,'Fórmula'!F11,20)&lt;&gt;"",INDEX(properties!A$1:CB$87,'Fórmula'!F11,20)),IF(INDEX(properties!A$1:CB$87,'Fórmula'!H11,20)&lt;&gt;"",INDEX(properties!A$1:CB$87,'Fórmula'!H11,20)),IF(INDEX(properties!A$1:CB$87,'Fórmula'!J11,20)&lt;&gt;"",INDEX(properties!A$1:CB$87,'Fórmula'!J11,20)))</f>
        <v>4.96</v>
      </c>
      <c r="BS11" s="112">
        <f t="array" ref="BS11">MAX(INDEX(properties!A$1:CB$87,'Fórmula'!B11,20),INDEX(properties!A$1:CB$87,'Fórmula'!D11,20),INDEX(properties!A$1:CB$87,'Fórmula'!F11,20),INDEX(properties!A$1:CB$87,'Fórmula'!H11,20),INDEX(properties!A$1:CB$87,'Fórmula'!J11,20))</f>
        <v>6</v>
      </c>
      <c r="BT11" s="112">
        <f t="array" ref="BT11">MIN(IF(INDEX(properties!A$1:CB$87,'Fórmula'!B11,20)=0,10^6,INDEX(properties!A$1:CB$87,'Fórmula'!B11,20)),IF(INDEX(properties!A$1:CB$87,'Fórmula'!D11,20)=0,10^6,INDEX(properties!A$1:CB$87,'Fórmula'!D11,20)),IF(INDEX(properties!A$1:CB$87,'Fórmula'!F11,20)=0,10^6,INDEX(properties!A$1:CB$87,'Fórmula'!F11,20)),IF(INDEX(properties!A$1:CB$87,'Fórmula'!H11,20)=0,10^6,INDEX(properties!A$1:CB$87,'Fórmula'!H11,20)),IF(INDEX(properties!A$1:CB$87,'Fórmula'!J11,20)=0,10^6,INDEX(properties!A$1:CB$87,'Fórmula'!J11,20)))</f>
        <v>1</v>
      </c>
      <c r="BU11" s="112">
        <f t="shared" si="12"/>
        <v>5</v>
      </c>
      <c r="BV11" s="113">
        <f t="array" ref="BV11">(('Fórmula'!C11)/('Fórmula'!C11+'Fórmula'!E11+'Fórmula'!G11+'Fórmula'!I11+'Fórmula'!K11))*(INDEX(properties!A$1:CB$87,'Fórmula'!B11,21))+(('Fórmula'!E11)/('Fórmula'!C11+'Fórmula'!E11+'Fórmula'!G11+'Fórmula'!I11+'Fórmula'!K11))*(INDEX(properties!A$1:CB$87,'Fórmula'!D11,21))+(('Fórmula'!G11)/('Fórmula'!C11+'Fórmula'!E11+'Fórmula'!G11+'Fórmula'!I11+'Fórmula'!K11))*(INDEX(properties!A$1:CB$87,'Fórmula'!F11,21))+(('Fórmula'!I11)/('Fórmula'!C11+'Fórmula'!E11+'Fórmula'!G11+'Fórmula'!I11+'Fórmula'!K11))*(INDEX(properties!A$1:CB$87,'Fórmula'!H11,21))+(('Fórmula'!K11)/('Fórmula'!C11+'Fórmula'!E11+'Fórmula'!G11+'Fórmula'!I11+'Fórmula'!K11))*(INDEX(properties!A$1:CB$87,'Fórmula'!J11,21))</f>
        <v>4.833333333</v>
      </c>
      <c r="BW11" s="113">
        <f t="array" ref="BW11">'Fórmula'!C11*(INDEX(properties!A$1:CB$87,'Fórmula'!B11,21))+'Fórmula'!E11*(INDEX(properties!A$1:CB$87,'Fórmula'!D11,21))+'Fórmula'!G11*(INDEX(properties!A$1:CB$87,'Fórmula'!F11,21))+'Fórmula'!I11*(INDEX(properties!A$1:CB$87,'Fórmula'!H11,21))+'Fórmula'!K11*(INDEX(properties!A$1:CB$87,'Fórmula'!J11,21))</f>
        <v>29</v>
      </c>
      <c r="BX11" s="113">
        <f t="array" ref="BX11">VARP(IF(INDEX(properties!A$1:CB$87,'Fórmula'!B11,21)&lt;&gt;"",INDEX(properties!A$1:CB$87,'Fórmula'!B11,21)),IF(INDEX(properties!A$1:CB$87,'Fórmula'!D11,21)&lt;&gt;"",INDEX(properties!A$1:CB$87,'Fórmula'!D11,21)),IF(INDEX(properties!A$1:CB$87,'Fórmula'!F11,21)&lt;&gt;"",INDEX(properties!A$1:CB$87,'Fórmula'!F11,21)),IF(INDEX(properties!A$1:CB$87,'Fórmula'!H11,21)&lt;&gt;"",INDEX(properties!A$1:CB$87,'Fórmula'!H11,21)),IF(INDEX(properties!A$1:CB$87,'Fórmula'!J11,21)&lt;&gt;"",INDEX(properties!A$1:CB$87,'Fórmula'!J11,21)))</f>
        <v>5.76</v>
      </c>
      <c r="BY11" s="113">
        <f t="array" ref="BY11">MAX(INDEX(properties!A$1:CB$87,'Fórmula'!B11,21),INDEX(properties!A$1:CB$87,'Fórmula'!D11,21),INDEX(properties!A$1:CB$87,'Fórmula'!F11,21),INDEX(properties!A$1:CB$87,'Fórmula'!H11,21),INDEX(properties!A$1:CB$87,'Fórmula'!J11,21))</f>
        <v>6</v>
      </c>
      <c r="BZ11" s="113">
        <f t="array" ref="BZ11">MIN(IF(INDEX(properties!A$1:CB$87,'Fórmula'!B11,21)=0,10^6,INDEX(properties!A$1:CB$87,'Fórmula'!B11,21)),IF(INDEX(properties!A$1:CB$87,'Fórmula'!D11,21)=0,10^6,INDEX(properties!A$1:CB$87,'Fórmula'!D11,21)),IF(INDEX(properties!A$1:CB$87,'Fórmula'!F11,21)=0,10^6,INDEX(properties!A$1:CB$87,'Fórmula'!F11,21)),IF(INDEX(properties!A$1:CB$87,'Fórmula'!H11,21)=0,10^6,INDEX(properties!A$1:CB$87,'Fórmula'!H11,21)),IF(INDEX(properties!A$1:CB$87,'Fórmula'!J11,21)=0,10^6,INDEX(properties!A$1:CB$87,'Fórmula'!J11,21)))</f>
        <v>1</v>
      </c>
      <c r="CA11" s="113">
        <f t="shared" si="13"/>
        <v>5</v>
      </c>
      <c r="CB11" s="114">
        <f t="array" ref="CB11">(('Fórmula'!C11)/('Fórmula'!C11+'Fórmula'!E11+'Fórmula'!G11+'Fórmula'!I11+'Fórmula'!K11))*(INDEX(properties!A$1:CB$87,'Fórmula'!B11,23))+(('Fórmula'!E11)/('Fórmula'!C11+'Fórmula'!E11+'Fórmula'!G11+'Fórmula'!I11+'Fórmula'!K11))*(INDEX(properties!A$1:CB$87,'Fórmula'!D11,23))+(('Fórmula'!G11)/('Fórmula'!C11+'Fórmula'!E11+'Fórmula'!G11+'Fórmula'!I11+'Fórmula'!K11))*(INDEX(properties!A$1:CB$87,'Fórmula'!F11,23))+(('Fórmula'!I11)/('Fórmula'!C11+'Fórmula'!E11+'Fórmula'!G11+'Fórmula'!I11+'Fórmula'!K11))*(INDEX(properties!A$1:CB$87,'Fórmula'!H11,23))+(('Fórmula'!K11)/('Fórmula'!C11+'Fórmula'!E11+'Fórmula'!G11+'Fórmula'!I11+'Fórmula'!K11))*(INDEX(properties!A$1:CB$87,'Fórmula'!J11,23))</f>
        <v>1.703333333</v>
      </c>
      <c r="CC11" s="114">
        <f t="array" ref="CC11">'Fórmula'!C11*(INDEX(properties!A$1:CB$87,'Fórmula'!B11,23))+'Fórmula'!E11*(INDEX(properties!A$1:CB$87,'Fórmula'!D11,23))+'Fórmula'!G11*(INDEX(properties!A$1:CB$87,'Fórmula'!F11,23))+'Fórmula'!I11*(INDEX(properties!A$1:CB$87,'Fórmula'!H11,23))+'Fórmula'!K11*(INDEX(properties!A$1:CB$87,'Fórmula'!J11,23))</f>
        <v>10.22</v>
      </c>
      <c r="CD11" s="114">
        <f t="array" ref="CD11">VARP(IF(INDEX(properties!A$1:CB$87,'Fórmula'!B11,23)&lt;&gt;"",INDEX(properties!A$1:CB$87,'Fórmula'!B11,23)),IF(INDEX(properties!A$1:CB$87,'Fórmula'!D11,23)&lt;&gt;"",INDEX(properties!A$1:CB$87,'Fórmula'!D11,23)),IF(INDEX(properties!A$1:CB$87,'Fórmula'!F11,23)&lt;&gt;"",INDEX(properties!A$1:CB$87,'Fórmula'!F11,23)),IF(INDEX(properties!A$1:CB$87,'Fórmula'!H11,23)&lt;&gt;"",INDEX(properties!A$1:CB$87,'Fórmula'!H11,23)),IF(INDEX(properties!A$1:CB$87,'Fórmula'!J11,23)&lt;&gt;"",INDEX(properties!A$1:CB$87,'Fórmula'!J11,23)))</f>
        <v>6.446464</v>
      </c>
      <c r="CE11" s="114">
        <f t="array" ref="CE11">MAX(INDEX(properties!A$1:CB$87,'Fórmula'!B11,23),INDEX(properties!A$1:CB$87,'Fórmula'!D11,23),INDEX(properties!A$1:CB$87,'Fórmula'!F11,23),INDEX(properties!A$1:CB$87,'Fórmula'!H11,23),INDEX(properties!A$1:CB$87,'Fórmula'!J11,23))</f>
        <v>5.78</v>
      </c>
      <c r="CF11" s="114">
        <f t="array" ref="CF11">MIN(IF('Fórmula'!B11=87,10^6,INDEX(properties!A$1:CB$87,'Fórmula'!B11,23)),IF(('Fórmula'!D11)=87,10^6,INDEX(properties!A$1:CB$87,'Fórmula'!D11,23)),IF(('Fórmula'!F11)=87,10^6,INDEX(properties!A$1:CB$87,'Fórmula'!F11,23)),IF(('Fórmula'!H11)=87,10^6,INDEX(properties!A$1:CB$87,'Fórmula'!H11,23)),IF('Fórmula'!J11=87,10^6,INDEX(properties!A$1:CB$87,'Fórmula'!J11,23)))</f>
        <v>0</v>
      </c>
      <c r="CG11" s="114">
        <f t="shared" si="14"/>
        <v>5.78</v>
      </c>
      <c r="CH11" s="115">
        <f t="array" ref="CH11">(('Fórmula'!C11)/('Fórmula'!C11+'Fórmula'!E11+'Fórmula'!G11+'Fórmula'!I11+'Fórmula'!K11))*(INDEX(properties!A$1:CB$87,'Fórmula'!B11,26))+(('Fórmula'!E11)/('Fórmula'!C11+'Fórmula'!E11+'Fórmula'!G11+'Fórmula'!I11+'Fórmula'!K11))*(INDEX(properties!A$1:CB$87,'Fórmula'!D11,26))+(('Fórmula'!G11)/('Fórmula'!C11+'Fórmula'!E11+'Fórmula'!G11+'Fórmula'!I11+'Fórmula'!K11))*(INDEX(properties!A$1:CB$87,'Fórmula'!F11,26))+(('Fórmula'!I11)/('Fórmula'!C11+'Fórmula'!E11+'Fórmula'!G11+'Fórmula'!I11+'Fórmula'!K11))*(INDEX(properties!A$1:CB$87,'Fórmula'!H11,26))+(('Fórmula'!K11)/('Fórmula'!C11+'Fórmula'!E11+'Fórmula'!G11+'Fórmula'!I11+'Fórmula'!K11))*(INDEX(properties!A$1:CB$87,'Fórmula'!J11,26))</f>
        <v>11.75976667</v>
      </c>
      <c r="CI11" s="115">
        <f t="array" ref="CI11">'Fórmula'!C11*(INDEX(properties!A$1:CB$87,'Fórmula'!B11,26))+'Fórmula'!E11*(INDEX(properties!A$1:CB$87,'Fórmula'!D11,26))+'Fórmula'!G11*(INDEX(properties!A$1:CB$87,'Fórmula'!F11,26))+'Fórmula'!I11*(INDEX(properties!A$1:CB$87,'Fórmula'!H11,26))+'Fórmula'!K11*(INDEX(properties!A$1:CB$87,'Fórmula'!J11,26))</f>
        <v>70.5586</v>
      </c>
      <c r="CJ11" s="115">
        <f t="array" ref="CJ11">VARP(IF(INDEX(properties!A$1:CB$87,'Fórmula'!B11,26)&lt;&gt;"",INDEX(properties!A$1:CB$87,'Fórmula'!B11,26)),IF(INDEX(properties!A$1:CB$87,'Fórmula'!D11,26)&lt;&gt;"",INDEX(properties!A$1:CB$87,'Fórmula'!D11,26)),IF(INDEX(properties!A$1:CB$87,'Fórmula'!F11,26)&lt;&gt;"",INDEX(properties!A$1:CB$87,'Fórmula'!F11,26)),IF(INDEX(properties!A$1:CB$87,'Fórmula'!H11,26)&lt;&gt;"",INDEX(properties!A$1:CB$87,'Fórmula'!H11,26)),IF(INDEX(properties!A$1:CB$87,'Fórmula'!J11,26)&lt;&gt;"",INDEX(properties!A$1:CB$87,'Fórmula'!J11,26)))</f>
        <v>28.03482722</v>
      </c>
      <c r="CK11" s="116">
        <f t="array" ref="CK11">MAX(INDEX(properties!A$1:CB$87,'Fórmula'!B11,26),INDEX(properties!A$1:CB$87,'Fórmula'!D11,26),INDEX(properties!A$1:CB$87,'Fórmula'!F11,26),INDEX(properties!A$1:CB$87,'Fórmula'!H11,26),INDEX(properties!A$1:CB$87,'Fórmula'!J11,26))</f>
        <v>13.6181</v>
      </c>
      <c r="CL11" s="116">
        <f t="array" ref="CL11">MIN(IF(INDEX(properties!A$1:CB$87,'Fórmula'!B11,26)=0,10^6,INDEX(properties!A$1:CB$87,'Fórmula'!B11,26)),IF(INDEX(properties!A$1:CB$87,'Fórmula'!D11,26)=0,10^6,INDEX(properties!A$1:CB$87,'Fórmula'!D11,26)),IF(INDEX(properties!A$1:CB$87,'Fórmula'!F11,26)=0,10^6,INDEX(properties!A$1:CB$87,'Fórmula'!F11,26)),IF(INDEX(properties!A$1:CB$87,'Fórmula'!H11,26)=0,10^6,INDEX(properties!A$1:CB$87,'Fórmula'!H11,26)),IF(INDEX(properties!A$1:CB$87,'Fórmula'!J11,26)=0,10^6,INDEX(properties!A$1:CB$87,'Fórmula'!J11,26)))</f>
        <v>7.0924</v>
      </c>
      <c r="CM11" s="115">
        <f t="shared" si="15"/>
        <v>6.5257</v>
      </c>
      <c r="CN11" s="117">
        <f t="array" ref="CN11">(('Fórmula'!C11)/('Fórmula'!C11+'Fórmula'!E11+'Fórmula'!G11+'Fórmula'!I11+'Fórmula'!K11))*(INDEX(properties!A$1:CB$87,'Fórmula'!B11,30))+(('Fórmula'!E11)/('Fórmula'!C11+'Fórmula'!E11+'Fórmula'!G11+'Fórmula'!I11+'Fórmula'!K11))*(INDEX(properties!A$1:CB$87,'Fórmula'!D11,30))+(('Fórmula'!G11)/('Fórmula'!C11+'Fórmula'!E11+'Fórmula'!G11+'Fórmula'!I11+'Fórmula'!K11))*(INDEX(properties!A$1:CB$87,'Fórmula'!F11,30))+(('Fórmula'!I11)/('Fórmula'!C11+'Fórmula'!E11+'Fórmula'!G11+'Fórmula'!I11+'Fórmula'!K11))*(INDEX(properties!A$1:CB$87,'Fórmula'!H11,30))+(('Fórmula'!K11)/('Fórmula'!C11+'Fórmula'!E11+'Fórmula'!G11+'Fórmula'!I11+'Fórmula'!K11))*(INDEX(properties!A$1:CB$87,'Fórmula'!J11,30))</f>
        <v>2.935</v>
      </c>
      <c r="CO11" s="117">
        <f t="array" ref="CO11">'Fórmula'!C11*(INDEX(properties!A$1:CB$87,'Fórmula'!B11,30))+'Fórmula'!E11*(INDEX(properties!A$1:CB$87,'Fórmula'!D11,30))+'Fórmula'!G11*(INDEX(properties!A$1:CB$87,'Fórmula'!F11,30))+'Fórmula'!I11*(INDEX(properties!A$1:CB$87,'Fórmula'!H11,30))+'Fórmula'!K11*(INDEX(properties!A$1:CB$87,'Fórmula'!J11,30))</f>
        <v>17.61</v>
      </c>
      <c r="CP11" s="117">
        <f t="array" ref="CP11">VARP(IF(INDEX(properties!A$1:CB$87,'Fórmula'!B11,30)&lt;&gt;"",INDEX(properties!A$1:CB$87,'Fórmula'!B11,30)),IF(INDEX(properties!A$1:CB$87,'Fórmula'!D11,30)&lt;&gt;"",INDEX(properties!A$1:CB$87,'Fórmula'!D11,30)),IF(INDEX(properties!A$1:CB$87,'Fórmula'!F11,30)&lt;&gt;"",INDEX(properties!A$1:CB$87,'Fórmula'!F11,30)),IF(INDEX(properties!A$1:CB$87,'Fórmula'!H11,30)&lt;&gt;"",INDEX(properties!A$1:CB$87,'Fórmula'!H11,30)),IF(INDEX(properties!A$1:CB$87,'Fórmula'!J11,30)&lt;&gt;"",INDEX(properties!A$1:CB$87,'Fórmula'!J11,30)))</f>
        <v>1.745296</v>
      </c>
      <c r="CQ11" s="117">
        <f t="array" ref="CQ11">MAX(INDEX(properties!A$1:CB$87,'Fórmula'!B11,30),INDEX(properties!A$1:CB$87,'Fórmula'!D11,30),INDEX(properties!A$1:CB$87,'Fórmula'!F11,30),INDEX(properties!A$1:CB$87,'Fórmula'!H11,30),INDEX(properties!A$1:CB$87,'Fórmula'!J11,30))</f>
        <v>3.44</v>
      </c>
      <c r="CR11" s="117">
        <f t="array" ref="CR11">MIN(IF(INDEX(properties!A$1:CB$87,'Fórmula'!B11,30)=0,10^6,INDEX(properties!A$1:CB$87,'Fórmula'!B11,30)),IF(INDEX(properties!A$1:CB$87,'Fórmula'!D11,30)=0,10^6,INDEX(properties!A$1:CB$87,'Fórmula'!D11,30)),IF(INDEX(properties!A$1:CB$87,'Fórmula'!F11,30)=0,10^6,INDEX(properties!A$1:CB$87,'Fórmula'!F11,30)),IF(INDEX(properties!A$1:CB$87,'Fórmula'!H11,30)=0,10^6,INDEX(properties!A$1:CB$87,'Fórmula'!H11,30)),IF(INDEX(properties!A$1:CB$87,'Fórmula'!J11,30)=0,10^6,INDEX(properties!A$1:CB$87,'Fórmula'!J11,30)))</f>
        <v>1.69</v>
      </c>
      <c r="CS11" s="117">
        <f t="shared" si="16"/>
        <v>1.75</v>
      </c>
      <c r="CT11" s="118">
        <f t="array" ref="CT11">(('Fórmula'!C11)/('Fórmula'!C11+'Fórmula'!E11+'Fórmula'!G11+'Fórmula'!I11+'Fórmula'!K11))*(INDEX(properties!A$1:CB$87,'Fórmula'!B11,31))+(('Fórmula'!E11)/('Fórmula'!C11+'Fórmula'!E11+'Fórmula'!G11+'Fórmula'!I11+'Fórmula'!K11))*(INDEX(properties!A$1:CB$87,'Fórmula'!D11,31))+(('Fórmula'!G11)/('Fórmula'!C11+'Fórmula'!E11+'Fórmula'!G11+'Fórmula'!I11+'Fórmula'!K11))*(INDEX(properties!A$1:CB$87,'Fórmula'!F11,31))+(('Fórmula'!I11)/('Fórmula'!C11+'Fórmula'!E11+'Fórmula'!G11+'Fórmula'!I11+'Fórmula'!K11))*(INDEX(properties!A$1:CB$87,'Fórmula'!H11,31))+(('Fórmula'!K11)/('Fórmula'!C11+'Fórmula'!E11+'Fórmula'!G11+'Fórmula'!I11+'Fórmula'!K11))*(INDEX(properties!A$1:CB$87,'Fórmula'!J11,31))</f>
        <v>2.77</v>
      </c>
      <c r="CU11" s="118">
        <f t="array" ref="CU11">'Fórmula'!C11*(INDEX(properties!A$1:CB$87,'Fórmula'!B11,31))+'Fórmula'!E11*(INDEX(properties!A$1:CB$87,'Fórmula'!D11,31))+'Fórmula'!G11*(INDEX(properties!A$1:CB$87,'Fórmula'!F11,31))+'Fórmula'!I11*(INDEX(properties!A$1:CB$87,'Fórmula'!H11,31))+'Fórmula'!K11*(INDEX(properties!A$1:CB$87,'Fórmula'!J11,31))</f>
        <v>16.62</v>
      </c>
      <c r="CV11" s="118">
        <f t="array" ref="CV11">VARP(IF(INDEX(properties!A$1:CB$87,'Fórmula'!B11,31)&lt;&gt;"",INDEX(properties!A$1:CB$87,'Fórmula'!B11,31)),IF(INDEX(properties!A$1:CB$87,'Fórmula'!D11,31)&lt;&gt;"",INDEX(properties!A$1:CB$87,'Fórmula'!D11,31)),IF(INDEX(properties!A$1:CB$87,'Fórmula'!F11,31)&lt;&gt;"",INDEX(properties!A$1:CB$87,'Fórmula'!F11,31)),IF(INDEX(properties!A$1:CB$87,'Fórmula'!H11,31)&lt;&gt;"",INDEX(properties!A$1:CB$87,'Fórmula'!H11,31)),IF(INDEX(properties!A$1:CB$87,'Fórmula'!J11,31)&lt;&gt;"",INDEX(properties!A$1:CB$87,'Fórmula'!J11,31)))</f>
        <v>1.574976</v>
      </c>
      <c r="CW11" s="118">
        <f t="array" ref="CW11">MAX(INDEX(properties!A$1:CB$87,'Fórmula'!B11,31),INDEX(properties!A$1:CB$87,'Fórmula'!D11,31),INDEX(properties!A$1:CB$87,'Fórmula'!F11,31),INDEX(properties!A$1:CB$87,'Fórmula'!H11,31),INDEX(properties!A$1:CB$87,'Fórmula'!J11,31))</f>
        <v>3.32</v>
      </c>
      <c r="CX11" s="118">
        <f t="array" ref="CX11">MIN(IF(INDEX(properties!A$1:CB$87,'Fórmula'!B11,31)=0,10^6,INDEX(properties!A$1:CB$87,'Fórmula'!B11,31)),IF(INDEX(properties!A$1:CB$87,'Fórmula'!D11,31)=0,10^6,INDEX(properties!A$1:CB$87,'Fórmula'!D11,31)),IF(INDEX(properties!A$1:CB$87,'Fórmula'!F11,31)=0,10^6,INDEX(properties!A$1:CB$87,'Fórmula'!F11,31)),IF(INDEX(properties!A$1:CB$87,'Fórmula'!H11,31)=0,10^6,INDEX(properties!A$1:CB$87,'Fórmula'!H11,31)),IF(INDEX(properties!A$1:CB$87,'Fórmula'!J11,31)=0,10^6,INDEX(properties!A$1:CB$87,'Fórmula'!J11,31)))</f>
        <v>1.4</v>
      </c>
      <c r="CY11" s="118">
        <f t="shared" si="17"/>
        <v>1.92</v>
      </c>
      <c r="CZ11" s="119">
        <f t="array" ref="CZ11">(('Fórmula'!C11)/('Fórmula'!C11+'Fórmula'!E11+'Fórmula'!G11+'Fórmula'!I11+'Fórmula'!K11))*(INDEX(properties!A$1:CB$87,'Fórmula'!B11,32))+(('Fórmula'!E11)/('Fórmula'!C11+'Fórmula'!E11+'Fórmula'!G11+'Fórmula'!I11+'Fórmula'!K11))*(INDEX(properties!A$1:CB$87,'Fórmula'!D11,32))+(('Fórmula'!G11)/('Fórmula'!C11+'Fórmula'!E11+'Fórmula'!G11+'Fórmula'!I11+'Fórmula'!K11))*(INDEX(properties!A$1:CB$87,'Fórmula'!F11,32))+(('Fórmula'!I11)/('Fórmula'!C11+'Fórmula'!E11+'Fórmula'!G11+'Fórmula'!I11+'Fórmula'!K11))*(INDEX(properties!A$1:CB$87,'Fórmula'!H11,32))+(('Fórmula'!K11)/('Fórmula'!C11+'Fórmula'!E11+'Fórmula'!G11+'Fórmula'!I11+'Fórmula'!K11))*(INDEX(properties!A$1:CB$87,'Fórmula'!J11,32))</f>
        <v>6.398333333</v>
      </c>
      <c r="DA11" s="119">
        <f t="array" ref="DA11">'Fórmula'!C11*(INDEX(properties!A$1:CB$87,'Fórmula'!B11,32))+'Fórmula'!E11*(INDEX(properties!A$1:CB$87,'Fórmula'!D11,32))+'Fórmula'!G11*(INDEX(properties!A$1:CB$87,'Fórmula'!F11,32))+'Fórmula'!I11*(INDEX(properties!A$1:CB$87,'Fórmula'!H11,32))+'Fórmula'!K11*(INDEX(properties!A$1:CB$87,'Fórmula'!J11,32))</f>
        <v>38.39</v>
      </c>
      <c r="DB11" s="119">
        <f t="array" ref="DB11">VARP(IF(INDEX(properties!A$1:CB$87,'Fórmula'!B11,32)&lt;&gt;"",INDEX(properties!A$1:CB$87,'Fórmula'!B11,32)),IF(INDEX(properties!A$1:CB$87,'Fórmula'!D11,32)&lt;&gt;"",INDEX(properties!A$1:CB$87,'Fórmula'!D11,32)),IF(INDEX(properties!A$1:CB$87,'Fórmula'!F11,32)&lt;&gt;"",INDEX(properties!A$1:CB$87,'Fórmula'!F11,32)),IF(INDEX(properties!A$1:CB$87,'Fórmula'!H11,32)&lt;&gt;"",INDEX(properties!A$1:CB$87,'Fórmula'!H11,32)),IF(INDEX(properties!A$1:CB$87,'Fórmula'!J11,32)&lt;&gt;"",INDEX(properties!A$1:CB$87,'Fórmula'!J11,32)))</f>
        <v>8.214384</v>
      </c>
      <c r="DC11" s="119">
        <f t="array" ref="DC11">MAX(INDEX(properties!A$1:CB$87,'Fórmula'!B11,32),INDEX(properties!A$1:CB$87,'Fórmula'!D11,32),INDEX(properties!A$1:CB$87,'Fórmula'!F11,32),INDEX(properties!A$1:CB$87,'Fórmula'!H11,32),INDEX(properties!A$1:CB$87,'Fórmula'!J11,32))</f>
        <v>7.54</v>
      </c>
      <c r="DD11" s="119">
        <f t="array" ref="DD11">MIN(IF(INDEX(properties!A$1:CB$87,'Fórmula'!B11,32)=0,10^6,INDEX(properties!A$1:CB$87,'Fórmula'!B11,32)),IF(INDEX(properties!A$1:CB$87,'Fórmula'!D11,32)=0,10^6,INDEX(properties!A$1:CB$87,'Fórmula'!D11,32)),IF(INDEX(properties!A$1:CB$87,'Fórmula'!F11,32)=0,10^6,INDEX(properties!A$1:CB$87,'Fórmula'!F11,32)),IF(INDEX(properties!A$1:CB$87,'Fórmula'!H11,32)=0,10^6,INDEX(properties!A$1:CB$87,'Fórmula'!H11,32)),IF(INDEX(properties!A$1:CB$87,'Fórmula'!J11,32)=0,10^6,INDEX(properties!A$1:CB$87,'Fórmula'!J11,32)))</f>
        <v>3.9</v>
      </c>
      <c r="DE11" s="119">
        <f t="shared" si="18"/>
        <v>3.64</v>
      </c>
      <c r="DF11" s="104">
        <f t="array" ref="DF11">(('Fórmula'!C11)/('Fórmula'!C11+'Fórmula'!E11+'Fórmula'!G11+'Fórmula'!I11+'Fórmula'!K11))*(INDEX(properties!A$1:CB$87,'Fórmula'!B11,34))+(('Fórmula'!E11)/('Fórmula'!C11+'Fórmula'!E11+'Fórmula'!G11+'Fórmula'!I11+'Fórmula'!K11))*(INDEX(properties!A$1:CB$87,'Fórmula'!D11,34))+(('Fórmula'!G11)/('Fórmula'!C11+'Fórmula'!E11+'Fórmula'!G11+'Fórmula'!I11+'Fórmula'!K11))*(INDEX(properties!A$1:CB$87,'Fórmula'!F11,34))+(('Fórmula'!I11)/('Fórmula'!C11+'Fórmula'!E11+'Fórmula'!G11+'Fórmula'!I11+'Fórmula'!K11))*(INDEX(properties!A$1:CB$87,'Fórmula'!H11,34))+(('Fórmula'!K11)/('Fórmula'!C11+'Fórmula'!E11+'Fórmula'!G11+'Fórmula'!I11+'Fórmula'!K11))*(INDEX(properties!A$1:CB$87,'Fórmula'!J11,34))</f>
        <v>2.905</v>
      </c>
      <c r="DG11" s="104">
        <f t="array" ref="DG11">'Fórmula'!C11*(INDEX(properties!A$1:CB$87,'Fórmula'!B11,34))+'Fórmula'!E11*(INDEX(properties!A$1:CB$87,'Fórmula'!D11,34))+'Fórmula'!G11*(INDEX(properties!A$1:CB$87,'Fórmula'!F11,34))+'Fórmula'!I11*(INDEX(properties!A$1:CB$87,'Fórmula'!H11,34))+'Fórmula'!K11*(INDEX(properties!A$1:CB$87,'Fórmula'!J11,34))</f>
        <v>17.43</v>
      </c>
      <c r="DH11" s="104">
        <f t="array" ref="DH11">VARP(IF(INDEX(properties!A$1:CB$87,'Fórmula'!B11,34)&lt;&gt;"",INDEX(properties!A$1:CB$87,'Fórmula'!B11,34)),IF(INDEX(properties!A$1:CB$87,'Fórmula'!D11,34)&lt;&gt;"",INDEX(properties!A$1:CB$87,'Fórmula'!D11,34)),IF(INDEX(properties!A$1:CB$87,'Fórmula'!F11,34)&lt;&gt;"",INDEX(properties!A$1:CB$87,'Fórmula'!F11,34)),IF(INDEX(properties!A$1:CB$87,'Fórmula'!H11,34)&lt;&gt;"",INDEX(properties!A$1:CB$87,'Fórmula'!H11,34)),IF(INDEX(properties!A$1:CB$87,'Fórmula'!J11,34)&lt;&gt;"",INDEX(properties!A$1:CB$87,'Fórmula'!J11,34)))</f>
        <v>1.75828</v>
      </c>
      <c r="DI11" s="104">
        <f t="array" ref="DI11">MAX(INDEX(properties!A$1:CB$87,'Fórmula'!B11,34),INDEX(properties!A$1:CB$87,'Fórmula'!D11,34),INDEX(properties!A$1:CB$87,'Fórmula'!F11,34),INDEX(properties!A$1:CB$87,'Fórmula'!H11,34),INDEX(properties!A$1:CB$87,'Fórmula'!J11,34))</f>
        <v>3.61</v>
      </c>
      <c r="DJ11" s="104">
        <f t="array" ref="DJ11">MIN(IF(INDEX(properties!A$1:CB$87,'Fórmula'!B11,34)=0,10^6,INDEX(properties!A$1:CB$87,'Fórmula'!B11,34)),IF(INDEX(properties!A$1:CB$87,'Fórmula'!D11,34)=0,10^6,INDEX(properties!A$1:CB$87,'Fórmula'!D11,34)),IF(INDEX(properties!A$1:CB$87,'Fórmula'!F11,34)=0,10^6,INDEX(properties!A$1:CB$87,'Fórmula'!F11,34)),IF(INDEX(properties!A$1:CB$87,'Fórmula'!H11,34)=0,10^6,INDEX(properties!A$1:CB$87,'Fórmula'!H11,34)),IF(INDEX(properties!A$1:CB$87,'Fórmula'!J11,34)=0,10^6,INDEX(properties!A$1:CB$87,'Fórmula'!J11,34)))</f>
        <v>1.47</v>
      </c>
      <c r="DK11" s="104">
        <f t="shared" si="19"/>
        <v>2.14</v>
      </c>
      <c r="DL11" s="105">
        <f t="array" ref="DL11">(('Fórmula'!C11)/('Fórmula'!C11+'Fórmula'!E11+'Fórmula'!G11+'Fórmula'!I11+'Fórmula'!K11))*(INDEX(properties!A$1:CB$87,'Fórmula'!B11,37))+(('Fórmula'!E11)/('Fórmula'!C11+'Fórmula'!E11+'Fórmula'!G11+'Fórmula'!I11+'Fórmula'!K11))*(INDEX(properties!A$1:CB$87,'Fórmula'!D11,37))+(('Fórmula'!G11)/('Fórmula'!C11+'Fórmula'!E11+'Fórmula'!G11+'Fórmula'!I11+'Fórmula'!K11))*(INDEX(properties!A$1:CB$87,'Fórmula'!F11,37))+(('Fórmula'!I11)/('Fórmula'!C11+'Fórmula'!E11+'Fórmula'!G11+'Fórmula'!I11+'Fórmula'!K11))*(INDEX(properties!A$1:CB$87,'Fórmula'!H11,37))+(('Fórmula'!K11)/('Fórmula'!C11+'Fórmula'!E11+'Fórmula'!G11+'Fórmula'!I11+'Fórmula'!K11))*(INDEX(properties!A$1:CB$87,'Fórmula'!J11,37))</f>
        <v>2.833333333</v>
      </c>
      <c r="DM11" s="105">
        <f t="array" ref="DM11">'Fórmula'!C11*(INDEX(properties!A$1:CB$87,'Fórmula'!B11,37))+'Fórmula'!E11*(INDEX(properties!A$1:CB$87,'Fórmula'!D11,37))+'Fórmula'!G11*(INDEX(properties!A$1:CB$87,'Fórmula'!F11,37))+'Fórmula'!I11*(INDEX(properties!A$1:CB$87,'Fórmula'!H11,37))+'Fórmula'!K11*(INDEX(properties!A$1:CB$87,'Fórmula'!J11,37))</f>
        <v>17</v>
      </c>
      <c r="DN11" s="105">
        <f t="array" ref="DN11">VARP(IF(INDEX(properties!A$1:CB$87,'Fórmula'!B11,37)&lt;&gt;"",INDEX(properties!A$1:CB$87,'Fórmula'!B11,37)),IF(INDEX(properties!A$1:CB$87,'Fórmula'!D11,37)&lt;&gt;"",INDEX(properties!A$1:CB$87,'Fórmula'!D11,37)),IF(INDEX(properties!A$1:CB$87,'Fórmula'!F11,37)&lt;&gt;"",INDEX(properties!A$1:CB$87,'Fórmula'!F11,37)),IF(INDEX(properties!A$1:CB$87,'Fórmula'!H11,37)&lt;&gt;"",INDEX(properties!A$1:CB$87,'Fórmula'!H11,37)),IF(INDEX(properties!A$1:CB$87,'Fórmula'!J11,37)&lt;&gt;"",INDEX(properties!A$1:CB$87,'Fórmula'!J11,37)))</f>
        <v>1.7356</v>
      </c>
      <c r="DO11" s="105">
        <f t="array" ref="DO11">MAX(INDEX(properties!A$1:CB$87,'Fórmula'!B11,37),INDEX(properties!A$1:CB$87,'Fórmula'!D11,37),INDEX(properties!A$1:CB$87,'Fórmula'!F11,37),INDEX(properties!A$1:CB$87,'Fórmula'!H11,37),INDEX(properties!A$1:CB$87,'Fórmula'!J11,37))</f>
        <v>3.45</v>
      </c>
      <c r="DP11" s="105">
        <f t="array" ref="DP11">MIN(IF(INDEX(properties!A$1:CB$87,'Fórmula'!B11,37)=0,10^6,INDEX(properties!A$1:CB$87,'Fórmula'!B11,37)),IF(INDEX(properties!A$1:CB$87,'Fórmula'!D11,37)=0,10^6,INDEX(properties!A$1:CB$87,'Fórmula'!D11,37)),IF(INDEX(properties!A$1:CB$87,'Fórmula'!F11,37)=0,10^6,INDEX(properties!A$1:CB$87,'Fórmula'!F11,37)),IF(INDEX(properties!A$1:CB$87,'Fórmula'!H11,37)=0,10^6,INDEX(properties!A$1:CB$87,'Fórmula'!H11,37)),IF(INDEX(properties!A$1:CB$87,'Fórmula'!J11,37)=0,10^6,INDEX(properties!A$1:CB$87,'Fórmula'!J11,37)))</f>
        <v>1.1</v>
      </c>
      <c r="DQ11" s="105">
        <f t="shared" si="20"/>
        <v>2.35</v>
      </c>
      <c r="DR11" s="109">
        <f t="array" ref="DR11">(('Fórmula'!C11)/('Fórmula'!C11+'Fórmula'!E11+'Fórmula'!G11+'Fórmula'!I11+'Fórmula'!K11))*(INDEX(properties!A$1:CB$87,'Fórmula'!B11,39))+(('Fórmula'!E11)/('Fórmula'!C11+'Fórmula'!E11+'Fórmula'!G11+'Fórmula'!I11+'Fórmula'!K11))*(INDEX(properties!A$1:CB$87,'Fórmula'!D11,39))+(('Fórmula'!G11)/('Fórmula'!C11+'Fórmula'!E11+'Fórmula'!G11+'Fórmula'!I11+'Fórmula'!K11))*(INDEX(properties!A$1:CB$87,'Fórmula'!F11,39))+(('Fórmula'!I11)/('Fórmula'!C11+'Fórmula'!E11+'Fórmula'!G11+'Fórmula'!I11+'Fórmula'!K11))*(INDEX(properties!A$1:CB$87,'Fórmula'!H11,39))+(('Fórmula'!K11)/('Fórmula'!C11+'Fórmula'!E11+'Fórmula'!G11+'Fórmula'!I11+'Fórmula'!K11))*(INDEX(properties!A$1:CB$87,'Fórmula'!J11,39))</f>
        <v>0.905</v>
      </c>
      <c r="DS11" s="109">
        <f t="array" ref="DS11">'Fórmula'!C11*(INDEX(properties!A$1:CB$87,'Fórmula'!B11,39))+'Fórmula'!E11*(INDEX(properties!A$1:CB$87,'Fórmula'!D11,39))+'Fórmula'!G11*(INDEX(properties!A$1:CB$87,'Fórmula'!F11,39))+'Fórmula'!I11*(INDEX(properties!A$1:CB$87,'Fórmula'!H11,39))+'Fórmula'!K11*(INDEX(properties!A$1:CB$87,'Fórmula'!J11,39))</f>
        <v>5.43</v>
      </c>
      <c r="DT11" s="109">
        <f t="array" ref="DT11">VARP(IF(INDEX(properties!A$1:CB$87,'Fórmula'!B11,39)&lt;&gt;"",INDEX(properties!A$1:CB$87,'Fórmula'!B11,39)),IF(INDEX(properties!A$1:CB$87,'Fórmula'!D11,39)&lt;&gt;"",INDEX(properties!A$1:CB$87,'Fórmula'!D11,39)),IF(INDEX(properties!A$1:CB$87,'Fórmula'!F11,39)&lt;&gt;"",INDEX(properties!A$1:CB$87,'Fórmula'!F11,39)),IF(INDEX(properties!A$1:CB$87,'Fórmula'!H11,39)&lt;&gt;"",INDEX(properties!A$1:CB$87,'Fórmula'!H11,39)),IF(INDEX(properties!A$1:CB$87,'Fórmula'!J11,39)&lt;&gt;"",INDEX(properties!A$1:CB$87,'Fórmula'!J11,39)))</f>
        <v>0.649696</v>
      </c>
      <c r="DU11" s="120">
        <f t="array" ref="DU11">MAX(INDEX(properties!A$1:CB$87,'Fórmula'!B11,39),INDEX(properties!A$1:CB$87,'Fórmula'!D11,39),INDEX(properties!A$1:CB$87,'Fórmula'!F11,39),INDEX(properties!A$1:CB$87,'Fórmula'!H11,39),INDEX(properties!A$1:CB$87,'Fórmula'!J11,39))</f>
        <v>1.9</v>
      </c>
      <c r="DV11" s="120">
        <f t="array" ref="DV11">MIN(IF(INDEX(properties!A$1:CB$87,'Fórmula'!B11,39)=0,10^6,INDEX(properties!A$1:CB$87,'Fórmula'!B11,39)),IF(INDEX(properties!A$1:CB$87,'Fórmula'!D11,39)=0,10^6,INDEX(properties!A$1:CB$87,'Fórmula'!D11,39)),IF(INDEX(properties!A$1:CB$87,'Fórmula'!F11,39)=0,10^6,INDEX(properties!A$1:CB$87,'Fórmula'!F11,39)),IF(INDEX(properties!A$1:CB$87,'Fórmula'!H11,39)=0,10^6,INDEX(properties!A$1:CB$87,'Fórmula'!H11,39)),IF(INDEX(properties!A$1:CB$87,'Fórmula'!J11,39)=0,10^6,INDEX(properties!A$1:CB$87,'Fórmula'!J11,39)))</f>
        <v>0.48</v>
      </c>
      <c r="DW11" s="109">
        <f t="shared" si="21"/>
        <v>1.42</v>
      </c>
      <c r="DX11" s="110">
        <f t="array" ref="DX11">(('Fórmula'!C11)/('Fórmula'!C11+'Fórmula'!E11+'Fórmula'!G11+'Fórmula'!I11+'Fórmula'!K11))*(INDEX(properties!A$1:CB$87,'Fórmula'!B11,40))+(('Fórmula'!E11)/('Fórmula'!C11+'Fórmula'!E11+'Fórmula'!G11+'Fórmula'!I11+'Fórmula'!K11))*(INDEX(properties!A$1:CB$87,'Fórmula'!D11,40))+(('Fórmula'!G11)/('Fórmula'!C11+'Fórmula'!E11+'Fórmula'!G11+'Fórmula'!I11+'Fórmula'!K11))*(INDEX(properties!A$1:CB$87,'Fórmula'!F11,40))+(('Fórmula'!I11)/('Fórmula'!C11+'Fórmula'!E11+'Fórmula'!G11+'Fórmula'!I11+'Fórmula'!K11))*(INDEX(properties!A$1:CB$87,'Fórmula'!H11,40))+(('Fórmula'!K11)/('Fórmula'!C11+'Fórmula'!E11+'Fórmula'!G11+'Fórmula'!I11+'Fórmula'!K11))*(INDEX(properties!A$1:CB$87,'Fórmula'!J11,40))</f>
        <v>0.975</v>
      </c>
      <c r="DY11" s="110">
        <f t="array" ref="DY11">'Fórmula'!C11*(INDEX(properties!A$1:CB$87,'Fórmula'!B11,40))+'Fórmula'!E11*(INDEX(properties!A$1:CB$87,'Fórmula'!D11,40))+'Fórmula'!G11*(INDEX(properties!A$1:CB$87,'Fórmula'!F11,40))+'Fórmula'!I11*(INDEX(properties!A$1:CB$87,'Fórmula'!H11,40))+'Fórmula'!K11*(INDEX(properties!A$1:CB$87,'Fórmula'!J11,40))</f>
        <v>5.85</v>
      </c>
      <c r="DZ11" s="110">
        <f t="array" ref="DZ11">VARP(IF(INDEX(properties!A$1:CB$87,'Fórmula'!B11,40)&lt;&gt;"",INDEX(properties!A$1:CB$87,'Fórmula'!B11,40)),IF(INDEX(properties!A$1:CB$87,'Fórmula'!D11,40)&lt;&gt;"",INDEX(properties!A$1:CB$87,'Fórmula'!D11,40)),IF(INDEX(properties!A$1:CB$87,'Fórmula'!F11,40)&lt;&gt;"",INDEX(properties!A$1:CB$87,'Fórmula'!F11,40)),IF(INDEX(properties!A$1:CB$87,'Fórmula'!H11,40)&lt;&gt;"",INDEX(properties!A$1:CB$87,'Fórmula'!H11,40)),IF(INDEX(properties!A$1:CB$87,'Fórmula'!J11,40)&lt;&gt;"",INDEX(properties!A$1:CB$87,'Fórmula'!J11,40)))</f>
        <v>0.429336</v>
      </c>
      <c r="EA11" s="121">
        <f t="array" ref="EA11">MAX(INDEX(properties!A$1:CB$87,'Fórmula'!B11,40),INDEX(properties!A$1:CB$87,'Fórmula'!D11,40),INDEX(properties!A$1:CB$87,'Fórmula'!F11,40),INDEX(properties!A$1:CB$87,'Fórmula'!H11,40),INDEX(properties!A$1:CB$87,'Fórmula'!J11,40))</f>
        <v>1.48</v>
      </c>
      <c r="EB11" s="121">
        <f t="array" ref="EB11">MIN(IF(INDEX(properties!A$1:CB$87,'Fórmula'!B11,40)=0,10^6,INDEX(properties!A$1:CB$87,'Fórmula'!B11,40)),IF(INDEX(properties!A$1:CB$87,'Fórmula'!D11,40)=0,10^6,INDEX(properties!A$1:CB$87,'Fórmula'!D11,40)),IF(INDEX(properties!A$1:CB$87,'Fórmula'!F11,40)=0,10^6,INDEX(properties!A$1:CB$87,'Fórmula'!F11,40)),IF(INDEX(properties!A$1:CB$87,'Fórmula'!H11,40)=0,10^6,INDEX(properties!A$1:CB$87,'Fórmula'!H11,40)),IF(INDEX(properties!A$1:CB$87,'Fórmula'!J11,40)=0,10^6,INDEX(properties!A$1:CB$87,'Fórmula'!J11,40)))</f>
        <v>0.73</v>
      </c>
      <c r="EC11" s="110">
        <f t="shared" si="22"/>
        <v>0.75</v>
      </c>
      <c r="ED11" s="111">
        <f t="array" ref="ED11">(('Fórmula'!C11)/('Fórmula'!C11+'Fórmula'!E11+'Fórmula'!G11+'Fórmula'!I11+'Fórmula'!K11))*(INDEX(properties!A$1:CB$87,'Fórmula'!B11,41))+(('Fórmula'!E11)/('Fórmula'!C11+'Fórmula'!E11+'Fórmula'!G11+'Fórmula'!I11+'Fórmula'!K11))*(INDEX(properties!A$1:CB$87,'Fórmula'!D11,41))+(('Fórmula'!G11)/('Fórmula'!C11+'Fórmula'!E11+'Fórmula'!G11+'Fórmula'!I11+'Fórmula'!K11))*(INDEX(properties!A$1:CB$87,'Fórmula'!F11,41))+(('Fórmula'!I11)/('Fórmula'!C11+'Fórmula'!E11+'Fórmula'!G11+'Fórmula'!I11+'Fórmula'!K11))*(INDEX(properties!A$1:CB$87,'Fórmula'!H11,41))+(('Fórmula'!K11)/('Fórmula'!C11+'Fórmula'!E11+'Fórmula'!G11+'Fórmula'!I11+'Fórmula'!K11))*(INDEX(properties!A$1:CB$87,'Fórmula'!J11,41))</f>
        <v>1.16</v>
      </c>
      <c r="EE11" s="111">
        <f t="array" ref="EE11">'Fórmula'!C11*(INDEX(properties!A$1:CB$87,'Fórmula'!B11,41))+'Fórmula'!E11*(INDEX(properties!A$1:CB$87,'Fórmula'!D11,41))+'Fórmula'!G11*(INDEX(properties!A$1:CB$87,'Fórmula'!F11,41))+'Fórmula'!I11*(INDEX(properties!A$1:CB$87,'Fórmula'!H11,41))+'Fórmula'!K11*(INDEX(properties!A$1:CB$87,'Fórmula'!J11,41))</f>
        <v>6.96</v>
      </c>
      <c r="EF11" s="111">
        <f t="array" ref="EF11">VARP(IF(INDEX(properties!A$1:CB$87,'Fórmula'!B11,41)&lt;&gt;"",INDEX(properties!A$1:CB$87,'Fórmula'!B11,41)),IF(INDEX(properties!A$1:CB$87,'Fórmula'!D11,41)&lt;&gt;"",INDEX(properties!A$1:CB$87,'Fórmula'!D11,41)),IF(INDEX(properties!A$1:CB$87,'Fórmula'!F11,41)&lt;&gt;"",INDEX(properties!A$1:CB$87,'Fórmula'!F11,41)),IF(INDEX(properties!A$1:CB$87,'Fórmula'!H11,41)&lt;&gt;"",INDEX(properties!A$1:CB$87,'Fórmula'!H11,41)),IF(INDEX(properties!A$1:CB$87,'Fórmula'!J11,41)&lt;&gt;"",INDEX(properties!A$1:CB$87,'Fórmula'!J11,41)))</f>
        <v>0.288424</v>
      </c>
      <c r="EG11" s="122">
        <f t="array" ref="EG11">MAX(INDEX(properties!A$1:CB$87,'Fórmula'!B11,41),INDEX(properties!A$1:CB$87,'Fórmula'!D11,41),INDEX(properties!A$1:CB$87,'Fórmula'!F11,41),INDEX(properties!A$1:CB$87,'Fórmula'!H11,41),INDEX(properties!A$1:CB$87,'Fórmula'!J11,41))</f>
        <v>1.26</v>
      </c>
      <c r="EH11" s="122">
        <f t="array" ref="EH11">MIN(IF(INDEX(properties!A$1:CB$87,'Fórmula'!B11,41)=0,10^6,INDEX(properties!A$1:CB$87,'Fórmula'!B11,41)),IF(INDEX(properties!A$1:CB$87,'Fórmula'!D11,41)=0,10^6,INDEX(properties!A$1:CB$87,'Fórmula'!D11,41)),IF(INDEX(properties!A$1:CB$87,'Fórmula'!F11,41)=0,10^6,INDEX(properties!A$1:CB$87,'Fórmula'!F11,41)),IF(INDEX(properties!A$1:CB$87,'Fórmula'!H11,41)=0,10^6,INDEX(properties!A$1:CB$87,'Fórmula'!H11,41)),IF(INDEX(properties!A$1:CB$87,'Fórmula'!J11,41)=0,10^6,INDEX(properties!A$1:CB$87,'Fórmula'!J11,41)))</f>
        <v>0.83</v>
      </c>
      <c r="EI11" s="111">
        <f t="shared" si="23"/>
        <v>0.43</v>
      </c>
      <c r="EJ11" s="112">
        <f t="array" ref="EJ11">(('Fórmula'!C11)/('Fórmula'!C11+'Fórmula'!E11+'Fórmula'!G11+'Fórmula'!I11+'Fórmula'!K11))*(INDEX(properties!A$1:CB$87,'Fórmula'!B11,45))+(('Fórmula'!E11)/('Fórmula'!C11+'Fórmula'!E11+'Fórmula'!G11+'Fórmula'!I11+'Fórmula'!K11))*(INDEX(properties!A$1:CB$87,'Fórmula'!D11,45))+(('Fórmula'!G11)/('Fórmula'!C11+'Fórmula'!E11+'Fórmula'!G11+'Fórmula'!I11+'Fórmula'!K11))*(INDEX(properties!A$1:CB$87,'Fórmula'!F11,45))+(('Fórmula'!I11)/('Fórmula'!C11+'Fórmula'!E11+'Fórmula'!G11+'Fórmula'!I11+'Fórmula'!K11))*(INDEX(properties!A$1:CB$87,'Fórmula'!H11,45))+(('Fórmula'!K11)/('Fórmula'!C11+'Fórmula'!E11+'Fórmula'!G11+'Fórmula'!I11+'Fórmula'!K11))*(INDEX(properties!A$1:CB$87,'Fórmula'!J11,45))</f>
        <v>1.136666667</v>
      </c>
      <c r="EK11" s="112">
        <f t="array" ref="EK11">'Fórmula'!C11*(INDEX(properties!A$1:CB$87,'Fórmula'!B11,45))+'Fórmula'!E11*(INDEX(properties!A$1:CB$87,'Fórmula'!D11,45))+'Fórmula'!G11*(INDEX(properties!A$1:CB$87,'Fórmula'!F11,45))+'Fórmula'!I11*(INDEX(properties!A$1:CB$87,'Fórmula'!H11,45))+'Fórmula'!K11*(INDEX(properties!A$1:CB$87,'Fórmula'!J11,45))</f>
        <v>6.82</v>
      </c>
      <c r="EL11" s="112">
        <f t="array" ref="EL11">VARP(IF(INDEX(properties!A$1:CB$87,'Fórmula'!B11,45)&lt;&gt;"",INDEX(properties!A$1:CB$87,'Fórmula'!B11,45)),IF(INDEX(properties!A$1:CB$87,'Fórmula'!D11,45)&lt;&gt;"",INDEX(properties!A$1:CB$87,'Fórmula'!D11,45)),IF(INDEX(properties!A$1:CB$87,'Fórmula'!F11,45)&lt;&gt;"",INDEX(properties!A$1:CB$87,'Fórmula'!F11,45)),IF(INDEX(properties!A$1:CB$87,'Fórmula'!H11,45)&lt;&gt;"",INDEX(properties!A$1:CB$87,'Fórmula'!H11,45)),IF(INDEX(properties!A$1:CB$87,'Fórmula'!J11,45)&lt;&gt;"",INDEX(properties!A$1:CB$87,'Fórmula'!J11,45)))</f>
        <v>1.338816</v>
      </c>
      <c r="EM11" s="123">
        <f t="array" ref="EM11">MAX(INDEX(properties!A$1:CB$87,'Fórmula'!B11,45),INDEX(properties!A$1:CB$87,'Fórmula'!D11,45),INDEX(properties!A$1:CB$87,'Fórmula'!F11,45),INDEX(properties!A$1:CB$87,'Fórmula'!H11,45),INDEX(properties!A$1:CB$87,'Fórmula'!J11,45))</f>
        <v>2.72</v>
      </c>
      <c r="EN11" s="123">
        <f t="array" ref="EN11">MIN(IF(INDEX(properties!A$1:CB$87,'Fórmula'!B11,45)=0,10^6,INDEX(properties!A$1:CB$87,'Fórmula'!B11,45)),IF(INDEX(properties!A$1:CB$87,'Fórmula'!D11,45)=0,10^6,INDEX(properties!A$1:CB$87,'Fórmula'!D11,45)),IF(INDEX(properties!A$1:CB$87,'Fórmula'!F11,45)=0,10^6,INDEX(properties!A$1:CB$87,'Fórmula'!F11,45)),IF(INDEX(properties!A$1:CB$87,'Fórmula'!H11,45)=0,10^6,INDEX(properties!A$1:CB$87,'Fórmula'!H11,45)),IF(INDEX(properties!A$1:CB$87,'Fórmula'!J11,45)=0,10^6,INDEX(properties!A$1:CB$87,'Fórmula'!J11,45)))</f>
        <v>0.47</v>
      </c>
      <c r="EO11" s="112">
        <f t="shared" si="24"/>
        <v>2.25</v>
      </c>
      <c r="EP11" s="113">
        <f t="array" ref="EP11">(('Fórmula'!C11)/('Fórmula'!C11+'Fórmula'!E11+'Fórmula'!G11+'Fórmula'!I11+'Fórmula'!K11))*(INDEX(properties!A$1:CB$87,'Fórmula'!B11,46))+(('Fórmula'!E11)/('Fórmula'!C11+'Fórmula'!E11+'Fórmula'!G11+'Fórmula'!I11+'Fórmula'!K11))*(INDEX(properties!A$1:CB$87,'Fórmula'!D11,46))+(('Fórmula'!G11)/('Fórmula'!C11+'Fórmula'!E11+'Fórmula'!G11+'Fórmula'!I11+'Fórmula'!K11))*(INDEX(properties!A$1:CB$87,'Fórmula'!F11,46))+(('Fórmula'!I11)/('Fórmula'!C11+'Fórmula'!E11+'Fórmula'!G11+'Fórmula'!I11+'Fórmula'!K11))*(INDEX(properties!A$1:CB$87,'Fórmula'!H11,46))+(('Fórmula'!K11)/('Fórmula'!C11+'Fórmula'!E11+'Fórmula'!G11+'Fórmula'!I11+'Fórmula'!K11))*(INDEX(properties!A$1:CB$87,'Fórmula'!J11,46))</f>
        <v>1.091666667</v>
      </c>
      <c r="EQ11" s="113">
        <f t="array" ref="EQ11">'Fórmula'!C11*(INDEX(properties!A$1:CB$87,'Fórmula'!B11,46))+'Fórmula'!E11*(INDEX(properties!A$1:CB$87,'Fórmula'!D11,46))+'Fórmula'!G11*(INDEX(properties!A$1:CB$87,'Fórmula'!F11,46))+'Fórmula'!I11*(INDEX(properties!A$1:CB$87,'Fórmula'!H11,46))+'Fórmula'!K11*(INDEX(properties!A$1:CB$87,'Fórmula'!J11,46))</f>
        <v>6.55</v>
      </c>
      <c r="ER11" s="113">
        <f t="array" ref="ER11">VARP(IF(INDEX(properties!A$1:CB$87,'Fórmula'!B11,46)&lt;&gt;"",INDEX(properties!A$1:CB$87,'Fórmula'!B11,46)),IF(INDEX(properties!A$1:CB$87,'Fórmula'!D11,46)&lt;&gt;"",INDEX(properties!A$1:CB$87,'Fórmula'!D11,46)),IF(INDEX(properties!A$1:CB$87,'Fórmula'!F11,46)&lt;&gt;"",INDEX(properties!A$1:CB$87,'Fórmula'!F11,46)),IF(INDEX(properties!A$1:CB$87,'Fórmula'!H11,46)&lt;&gt;"",INDEX(properties!A$1:CB$87,'Fórmula'!H11,46)),IF(INDEX(properties!A$1:CB$87,'Fórmula'!J11,46)&lt;&gt;"",INDEX(properties!A$1:CB$87,'Fórmula'!J11,46)))</f>
        <v>0.245864</v>
      </c>
      <c r="ES11" s="124">
        <f t="array" ref="ES11">MAX(INDEX(properties!A$1:CB$87,'Fórmula'!B11,46),INDEX(properties!A$1:CB$87,'Fórmula'!D11,46),INDEX(properties!A$1:CB$87,'Fórmula'!F11,46),INDEX(properties!A$1:CB$87,'Fórmula'!H11,46),INDEX(properties!A$1:CB$87,'Fórmula'!J11,46))</f>
        <v>1.21</v>
      </c>
      <c r="ET11" s="124">
        <f t="array" ref="ET11">MIN(IF(INDEX(properties!A$1:CB$87,'Fórmula'!B11,46)=0,10^6,INDEX(properties!A$1:CB$87,'Fórmula'!B11,46)),IF(INDEX(properties!A$1:CB$87,'Fórmula'!D11,46)=0,10^6,INDEX(properties!A$1:CB$87,'Fórmula'!D11,46)),IF(INDEX(properties!A$1:CB$87,'Fórmula'!F11,46)=0,10^6,INDEX(properties!A$1:CB$87,'Fórmula'!F11,46)),IF(INDEX(properties!A$1:CB$87,'Fórmula'!H11,46)=0,10^6,INDEX(properties!A$1:CB$87,'Fórmula'!H11,46)),IF(INDEX(properties!A$1:CB$87,'Fórmula'!J11,46)=0,10^6,INDEX(properties!A$1:CB$87,'Fórmula'!J11,46)))</f>
        <v>0.79</v>
      </c>
      <c r="EU11" s="113">
        <f t="shared" si="25"/>
        <v>0.42</v>
      </c>
      <c r="EV11" s="114">
        <f t="array" ref="EV11">(('Fórmula'!C11)/('Fórmula'!C11+'Fórmula'!E11+'Fórmula'!G11+'Fórmula'!I11+'Fórmula'!K11))*(INDEX(properties!A$1:CB$87,'Fórmula'!B11,52))+(('Fórmula'!E11)/('Fórmula'!C11+'Fórmula'!E11+'Fórmula'!G11+'Fórmula'!I11+'Fórmula'!K11))*(INDEX(properties!A$1:CB$87,'Fórmula'!D11,52))+(('Fórmula'!G11)/('Fórmula'!C11+'Fórmula'!E11+'Fórmula'!G11+'Fórmula'!I11+'Fórmula'!K11))*(INDEX(properties!A$1:CB$87,'Fórmula'!F11,52))+(('Fórmula'!I11)/('Fórmula'!C11+'Fórmula'!E11+'Fórmula'!G11+'Fórmula'!I11+'Fórmula'!K11))*(INDEX(properties!A$1:CB$87,'Fórmula'!H11,52))+(('Fórmula'!K11)/('Fórmula'!C11+'Fórmula'!E11+'Fórmula'!G11+'Fórmula'!I11+'Fórmula'!K11))*(INDEX(properties!A$1:CB$87,'Fórmula'!J11,52))</f>
        <v>3.862</v>
      </c>
      <c r="EW11" s="114">
        <f t="array" ref="EW11">'Fórmula'!C11*(INDEX(properties!A$1:CB$87,'Fórmula'!B11,52))+'Fórmula'!E11*(INDEX(properties!A$1:CB$87,'Fórmula'!D11,52))+'Fórmula'!G11*(INDEX(properties!A$1:CB$87,'Fórmula'!F11,52))+'Fórmula'!I11*(INDEX(properties!A$1:CB$87,'Fórmula'!H11,52))+'Fórmula'!K11*(INDEX(properties!A$1:CB$87,'Fórmula'!J11,52))</f>
        <v>23.172</v>
      </c>
      <c r="EX11" s="114">
        <f t="array" ref="EX11">VARP(IF(INDEX(properties!A$1:CB$87,'Fórmula'!B11,52)&lt;&gt;"",INDEX(properties!A$1:CB$87,'Fórmula'!B11,52)),IF(INDEX(properties!A$1:CB$87,'Fórmula'!D11,52)&lt;&gt;"",INDEX(properties!A$1:CB$87,'Fórmula'!D11,52)),IF(INDEX(properties!A$1:CB$87,'Fórmula'!F11,52)&lt;&gt;"",INDEX(properties!A$1:CB$87,'Fórmula'!F11,52)),IF(INDEX(properties!A$1:CB$87,'Fórmula'!H11,52)&lt;&gt;"",INDEX(properties!A$1:CB$87,'Fórmula'!H11,52)),IF(INDEX(properties!A$1:CB$87,'Fórmula'!J11,52)&lt;&gt;"",INDEX(properties!A$1:CB$87,'Fórmula'!J11,52)))</f>
        <v>25.96781584</v>
      </c>
      <c r="EY11" s="114">
        <f t="array" ref="EY11">MAX(INDEX(properties!A$1:CB$87,'Fórmula'!B11,52),INDEX(properties!A$1:CB$87,'Fórmula'!D11,52),INDEX(properties!A$1:CB$87,'Fórmula'!F11,52),INDEX(properties!A$1:CB$87,'Fórmula'!H11,52),INDEX(properties!A$1:CB$87,'Fórmula'!J11,52))</f>
        <v>12.8</v>
      </c>
      <c r="EZ11" s="114">
        <f t="array" ref="EZ11">MIN(IF(INDEX(properties!A$1:CB$87,'Fórmula'!B11,52)=0,10^6,INDEX(properties!A$1:CB$87,'Fórmula'!B11,52)),IF(INDEX(properties!A$1:CB$87,'Fórmula'!D11,52)=0,10^6,INDEX(properties!A$1:CB$87,'Fórmula'!D11,52)),IF(INDEX(properties!A$1:CB$87,'Fórmula'!F11,52)=0,10^6,INDEX(properties!A$1:CB$87,'Fórmula'!F11,52)),IF(INDEX(properties!A$1:CB$87,'Fórmula'!H11,52)=0,10^6,INDEX(properties!A$1:CB$87,'Fórmula'!H11,52)),IF(INDEX(properties!A$1:CB$87,'Fórmula'!J11,52)=0,10^6,INDEX(properties!A$1:CB$87,'Fórmula'!J11,52)))</f>
        <v>0.793</v>
      </c>
      <c r="FA11" s="114">
        <f t="shared" si="26"/>
        <v>12.007</v>
      </c>
      <c r="FB11" s="115">
        <f t="array" ref="FB11">(('Fórmula'!C11)/('Fórmula'!C11+'Fórmula'!E11+'Fórmula'!G11+'Fórmula'!I11+'Fórmula'!K11))*(INDEX(properties!A$1:CB$87,'Fórmula'!B11,53))+(('Fórmula'!E11)/('Fórmula'!C11+'Fórmula'!E11+'Fórmula'!G11+'Fórmula'!I11+'Fórmula'!K11))*(INDEX(properties!A$1:CB$87,'Fórmula'!D11,53))+(('Fórmula'!G11)/('Fórmula'!C11+'Fórmula'!E11+'Fórmula'!G11+'Fórmula'!I11+'Fórmula'!K11))*(INDEX(properties!A$1:CB$87,'Fórmula'!F11,53))+(('Fórmula'!I11)/('Fórmula'!C11+'Fórmula'!E11+'Fórmula'!G11+'Fórmula'!I11+'Fórmula'!K11))*(INDEX(properties!A$1:CB$87,'Fórmula'!H11,53))+(('Fórmula'!K11)/('Fórmula'!C11+'Fórmula'!E11+'Fórmula'!G11+'Fórmula'!I11+'Fórmula'!K11))*(INDEX(properties!A$1:CB$87,'Fórmula'!J11,53))</f>
        <v>617.2</v>
      </c>
      <c r="FC11" s="115">
        <f t="array" ref="FC11">'Fórmula'!C11*(INDEX(properties!A$1:CB$87,'Fórmula'!B11,53))+'Fórmula'!E11*(INDEX(properties!A$1:CB$87,'Fórmula'!D11,53))+'Fórmula'!G11*(INDEX(properties!A$1:CB$87,'Fórmula'!F11,53))+'Fórmula'!I11*(INDEX(properties!A$1:CB$87,'Fórmula'!H11,53))+'Fórmula'!K11*(INDEX(properties!A$1:CB$87,'Fórmula'!J11,53))</f>
        <v>3703.2</v>
      </c>
      <c r="FD11" s="115">
        <f t="array" ref="FD11">VARP(IF(INDEX(properties!A$1:CB$87,'Fórmula'!B11,53)&lt;&gt;"",INDEX(properties!A$1:CB$87,'Fórmula'!B11,53)),IF(INDEX(properties!A$1:CB$87,'Fórmula'!D11,53)&lt;&gt;"",INDEX(properties!A$1:CB$87,'Fórmula'!D11,53)),IF(INDEX(properties!A$1:CB$87,'Fórmula'!F11,53)&lt;&gt;"",INDEX(properties!A$1:CB$87,'Fórmula'!F11,53)),IF(INDEX(properties!A$1:CB$87,'Fórmula'!H11,53)&lt;&gt;"",INDEX(properties!A$1:CB$87,'Fórmula'!H11,53)),IF(INDEX(properties!A$1:CB$87,'Fórmula'!J11,53)&lt;&gt;"",INDEX(properties!A$1:CB$87,'Fórmula'!J11,53)))</f>
        <v>1240805.313</v>
      </c>
      <c r="FE11" s="115">
        <f t="array" ref="FE11">MAX(INDEX(properties!A$1:CB$87,'Fórmula'!B11,53),INDEX(properties!A$1:CB$87,'Fórmula'!D11,53),INDEX(properties!A$1:CB$87,'Fórmula'!F11,53),INDEX(properties!A$1:CB$87,'Fórmula'!H11,53),INDEX(properties!A$1:CB$87,'Fórmula'!J11,53))</f>
        <v>2890.15</v>
      </c>
      <c r="FF11" s="115">
        <f t="array" ref="FF11">MIN(IF(INDEX(properties!A$1:CB$87,'Fórmula'!B11,53)=0,10^6,INDEX(properties!A$1:CB$87,'Fórmula'!B11,53)),IF(INDEX(properties!A$1:CB$87,'Fórmula'!D11,53)=0,10^6,INDEX(properties!A$1:CB$87,'Fórmula'!D11,53)),IF(INDEX(properties!A$1:CB$87,'Fórmula'!F11,53)=0,10^6,INDEX(properties!A$1:CB$87,'Fórmula'!F11,53)),IF(INDEX(properties!A$1:CB$87,'Fórmula'!H11,53)=0,10^6,INDEX(properties!A$1:CB$87,'Fórmula'!H11,53)),IF(INDEX(properties!A$1:CB$87,'Fórmula'!J11,53)=0,10^6,INDEX(properties!A$1:CB$87,'Fórmula'!J11,53)))</f>
        <v>54.75</v>
      </c>
      <c r="FG11" s="115">
        <f t="shared" si="27"/>
        <v>2835.4</v>
      </c>
      <c r="FH11" s="117">
        <f t="array" ref="FH11">(('Fórmula'!C11)/('Fórmula'!C11+'Fórmula'!E11+'Fórmula'!G11+'Fórmula'!I11+'Fórmula'!K11))*(INDEX(properties!A$1:CB$87,'Fórmula'!B11,54))+(('Fórmula'!E11)/('Fórmula'!C11+'Fórmula'!E11+'Fórmula'!G11+'Fórmula'!I11+'Fórmula'!K11))*(INDEX(properties!A$1:CB$87,'Fórmula'!D11,54))+(('Fórmula'!G11)/('Fórmula'!C11+'Fórmula'!E11+'Fórmula'!G11+'Fórmula'!I11+'Fórmula'!K11))*(INDEX(properties!A$1:CB$87,'Fórmula'!F11,54))+(('Fórmula'!I11)/('Fórmula'!C11+'Fórmula'!E11+'Fórmula'!G11+'Fórmula'!I11+'Fórmula'!K11))*(INDEX(properties!A$1:CB$87,'Fórmula'!H11,54))+(('Fórmula'!K11)/('Fórmula'!C11+'Fórmula'!E11+'Fórmula'!G11+'Fórmula'!I11+'Fórmula'!K11))*(INDEX(properties!A$1:CB$87,'Fórmula'!J11,54))</f>
        <v>1047.316667</v>
      </c>
      <c r="FI11" s="117">
        <f t="array" ref="FI11">'Fórmula'!C11*(INDEX(properties!A$1:CB$87,'Fórmula'!B11,54))+'Fórmula'!E11*(INDEX(properties!A$1:CB$87,'Fórmula'!D11,54))+'Fórmula'!G11*(INDEX(properties!A$1:CB$87,'Fórmula'!F11,54))+'Fórmula'!I11*(INDEX(properties!A$1:CB$87,'Fórmula'!H11,54))+'Fórmula'!K11*(INDEX(properties!A$1:CB$87,'Fórmula'!J11,54))</f>
        <v>6283.9</v>
      </c>
      <c r="FJ11" s="117">
        <f t="array" ref="FJ11">VARP(IF(INDEX(properties!A$1:CB$87,'Fórmula'!B11,54)&lt;&gt;"",INDEX(properties!A$1:CB$87,'Fórmula'!B11,54)),IF(INDEX(properties!A$1:CB$87,'Fórmula'!D11,54)&lt;&gt;"",INDEX(properties!A$1:CB$87,'Fórmula'!D11,54)),IF(INDEX(properties!A$1:CB$87,'Fórmula'!F11,54)&lt;&gt;"",INDEX(properties!A$1:CB$87,'Fórmula'!F11,54)),IF(INDEX(properties!A$1:CB$87,'Fórmula'!H11,54)&lt;&gt;"",INDEX(properties!A$1:CB$87,'Fórmula'!H11,54)),IF(INDEX(properties!A$1:CB$87,'Fórmula'!J11,54)&lt;&gt;"",INDEX(properties!A$1:CB$87,'Fórmula'!J11,54)))</f>
        <v>3543651.357</v>
      </c>
      <c r="FK11" s="117">
        <f t="array" ref="FK11">MAX(INDEX(properties!A$1:CB$87,'Fórmula'!B11,54),INDEX(properties!A$1:CB$87,'Fórmula'!D11,54),INDEX(properties!A$1:CB$87,'Fórmula'!F11,54),INDEX(properties!A$1:CB$87,'Fórmula'!H11,54),INDEX(properties!A$1:CB$87,'Fórmula'!J11,54))</f>
        <v>4885.15</v>
      </c>
      <c r="FL11" s="117">
        <f t="array" ref="FL11">MIN(IF(INDEX(properties!A$1:CB$87,'Fórmula'!B11,54)=0,10^6,INDEX(properties!A$1:CB$87,'Fórmula'!B11,54)),IF(INDEX(properties!A$1:CB$87,'Fórmula'!D11,54)=0,10^6,INDEX(properties!A$1:CB$87,'Fórmula'!D11,54)),IF(INDEX(properties!A$1:CB$87,'Fórmula'!F11,54)=0,10^6,INDEX(properties!A$1:CB$87,'Fórmula'!F11,54)),IF(INDEX(properties!A$1:CB$87,'Fórmula'!H11,54)=0,10^6,INDEX(properties!A$1:CB$87,'Fórmula'!H11,54)),IF(INDEX(properties!A$1:CB$87,'Fórmula'!J11,54)=0,10^6,INDEX(properties!A$1:CB$87,'Fórmula'!J11,54)))</f>
        <v>90.15</v>
      </c>
      <c r="FM11" s="117">
        <f t="shared" si="28"/>
        <v>4795</v>
      </c>
      <c r="FN11" s="118">
        <f t="array" ref="FN11">(('Fórmula'!C11)/('Fórmula'!C11+'Fórmula'!E11+'Fórmula'!G11+'Fórmula'!I11+'Fórmula'!K11))*(INDEX(properties!A$1:CB$87,'Fórmula'!B11,55))+(('Fórmula'!E11)/('Fórmula'!C11+'Fórmula'!E11+'Fórmula'!G11+'Fórmula'!I11+'Fórmula'!K11))*(INDEX(properties!A$1:CB$87,'Fórmula'!D11,55))+(('Fórmula'!G11)/('Fórmula'!C11+'Fórmula'!E11+'Fórmula'!G11+'Fórmula'!I11+'Fórmula'!K11))*(INDEX(properties!A$1:CB$87,'Fórmula'!F11,55))+(('Fórmula'!I11)/('Fórmula'!C11+'Fórmula'!E11+'Fórmula'!G11+'Fórmula'!I11+'Fórmula'!K11))*(INDEX(properties!A$1:CB$87,'Fórmula'!H11,55))+(('Fórmula'!K11)/('Fórmula'!C11+'Fórmula'!E11+'Fórmula'!G11+'Fórmula'!I11+'Fórmula'!K11))*(INDEX(properties!A$1:CB$87,'Fórmula'!J11,55))</f>
        <v>3.14262</v>
      </c>
      <c r="FO11" s="118">
        <f t="array" ref="FO11">'Fórmula'!C11*(INDEX(properties!A$1:CB$87,'Fórmula'!B11,55))+'Fórmula'!E11*(INDEX(properties!A$1:CB$87,'Fórmula'!D11,54))+'Fórmula'!G11*(INDEX(properties!A$1:CB$87,'Fórmula'!F11,55))+'Fórmula'!I11*(INDEX(properties!A$1:CB$87,'Fórmula'!H11,55))+'Fórmula'!K11*(INDEX(properties!A$1:CB$87,'Fórmula'!J11,55))</f>
        <v>4893.80572</v>
      </c>
      <c r="FP11" s="118">
        <f t="array" ref="FP11">VARP(IF(INDEX(properties!A$1:CB$87,'Fórmula'!B11,55)&lt;&gt;"",INDEX(properties!A$1:CB$87,'Fórmula'!B11,55)),IF(INDEX(properties!A$1:CB$87,'Fórmula'!D11,55)&lt;&gt;"",INDEX(properties!A$1:CB$87,'Fórmula'!D11,55)),IF(INDEX(properties!A$1:CB$87,'Fórmula'!F11,55)&lt;&gt;"",INDEX(properties!A$1:CB$87,'Fórmula'!F11,55)),IF(INDEX(properties!A$1:CB$87,'Fórmula'!H11,55)&lt;&gt;"",INDEX(properties!A$1:CB$87,'Fórmula'!H11,55)),IF(INDEX(properties!A$1:CB$87,'Fórmula'!J11,55)&lt;&gt;"",INDEX(properties!A$1:CB$87,'Fórmula'!J11,55)))</f>
        <v>21.55744389</v>
      </c>
      <c r="FQ11" s="118">
        <f t="array" ref="FQ11">MAX(INDEX(properties!A$1:CB$87,'Fórmula'!B11,55),INDEX(properties!A$1:CB$87,'Fórmula'!D11,55),INDEX(properties!A$1:CB$87,'Fórmula'!F11,55),INDEX(properties!A$1:CB$87,'Fórmula'!H11,55),INDEX(properties!A$1:CB$87,'Fórmula'!J11,55))</f>
        <v>10.2</v>
      </c>
      <c r="FR11" s="118">
        <f t="array" ref="FR11">MIN(IF(INDEX(properties!A$1:CB$87,'Fórmula'!B11,55)=0,10^6,INDEX(properties!A$1:CB$87,'Fórmula'!B11,55)),IF(INDEX(properties!A$1:CB$87,'Fórmula'!D11,55)=0,10^6,INDEX(properties!A$1:CB$87,'Fórmula'!D11,55)),IF(INDEX(properties!A$1:CB$87,'Fórmula'!F11,55)=0,10^6,INDEX(properties!A$1:CB$87,'Fórmula'!F11,55)),IF(INDEX(properties!A$1:CB$87,'Fórmula'!H11,55)=0,10^6,INDEX(properties!A$1:CB$87,'Fórmula'!H11,55)),IF(INDEX(properties!A$1:CB$87,'Fórmula'!J11,55)=0,10^6,INDEX(properties!A$1:CB$87,'Fórmula'!J11,55)))</f>
        <v>0.00143</v>
      </c>
      <c r="FS11" s="118">
        <f t="shared" si="29"/>
        <v>10.19857</v>
      </c>
      <c r="FT11" s="119">
        <f t="array" ref="FT11">(('Fórmula'!C11)/('Fórmula'!C11+'Fórmula'!E11+'Fórmula'!G11+'Fórmula'!I11+'Fórmula'!K11))*(INDEX(properties!A$1:CB$87,'Fórmula'!B11,56))+(('Fórmula'!E11)/('Fórmula'!C11+'Fórmula'!E11+'Fórmula'!G11+'Fórmula'!I11+'Fórmula'!K11))*(INDEX(properties!A$1:CB$87,'Fórmula'!D11,56))+(('Fórmula'!G11)/('Fórmula'!C11+'Fórmula'!E11+'Fórmula'!G11+'Fórmula'!I11+'Fórmula'!K11))*(INDEX(properties!A$1:CB$87,'Fórmula'!F11,56))+(('Fórmula'!I11)/('Fórmula'!C11+'Fórmula'!E11+'Fórmula'!G11+'Fórmula'!I11+'Fórmula'!K11))*(INDEX(properties!A$1:CB$87,'Fórmula'!H11,56))+(('Fórmula'!K11)/('Fórmula'!C11+'Fórmula'!E11+'Fórmula'!G11+'Fórmula'!I11+'Fórmula'!K11))*(INDEX(properties!A$1:CB$87,'Fórmula'!J11,56))</f>
        <v>0.6933333333</v>
      </c>
      <c r="FU11" s="119">
        <f t="array" ref="FU11">'Fórmula'!C11*(INDEX(properties!A$1:CB$87,'Fórmula'!B11,56))+'Fórmula'!E11*(INDEX(properties!A$1:CB$87,'Fórmula'!D11,56))+'Fórmula'!G11*(INDEX(properties!A$1:CB$87,'Fórmula'!F11,56))+'Fórmula'!I11*(INDEX(properties!A$1:CB$87,'Fórmula'!H11,56))+'Fórmula'!K11*(INDEX(properties!A$1:CB$87,'Fórmula'!J11,56))</f>
        <v>4.16</v>
      </c>
      <c r="FV11" s="119">
        <f t="array" ref="FV11">VARP(IF(INDEX(properties!A$1:CB$87,'Fórmula'!B11,56)&lt;&gt;"",INDEX(properties!A$1:CB$87,'Fórmula'!B11,56)),IF(INDEX(properties!A$1:CB$87,'Fórmula'!D11,56)&lt;&gt;"",INDEX(properties!A$1:CB$87,'Fórmula'!D11,56)),IF(INDEX(properties!A$1:CB$87,'Fórmula'!F11,56)&lt;&gt;"",INDEX(properties!A$1:CB$87,'Fórmula'!F11,56)),IF(INDEX(properties!A$1:CB$87,'Fórmula'!H11,56)&lt;&gt;"",INDEX(properties!A$1:CB$87,'Fórmula'!H11,56)),IF(INDEX(properties!A$1:CB$87,'Fórmula'!J11,56)&lt;&gt;"",INDEX(properties!A$1:CB$87,'Fórmula'!J11,56)))</f>
        <v>0.11396</v>
      </c>
      <c r="FW11" s="119">
        <f t="array" ref="FW11">MAX(INDEX(properties!A$1:CB$87,'Fórmula'!B11,56),INDEX(properties!A$1:CB$87,'Fórmula'!D11,56),INDEX(properties!A$1:CB$87,'Fórmula'!F11,56),INDEX(properties!A$1:CB$87,'Fórmula'!H11,56),INDEX(properties!A$1:CB$87,'Fórmula'!J11,56))</f>
        <v>0.92</v>
      </c>
      <c r="FX11" s="119">
        <f t="array" ref="FX11">MIN(IF(INDEX(properties!A$1:CB$87,'Fórmula'!B11,56)=0,10^6,INDEX(properties!A$1:CB$87,'Fórmula'!B11,56)),IF(INDEX(properties!A$1:CB$87,'Fórmula'!D11,56)=0,10^6,INDEX(properties!A$1:CB$87,'Fórmula'!D11,56)),IF(INDEX(properties!A$1:CB$87,'Fórmula'!F11,56)=0,10^6,INDEX(properties!A$1:CB$87,'Fórmula'!F11,56)),IF(INDEX(properties!A$1:CB$87,'Fórmula'!H11,56)=0,10^6,INDEX(properties!A$1:CB$87,'Fórmula'!H11,56)),IF(INDEX(properties!A$1:CB$87,'Fórmula'!J11,56)=0,10^6,INDEX(properties!A$1:CB$87,'Fórmula'!J11,56)))</f>
        <v>0.23</v>
      </c>
      <c r="FY11" s="119">
        <f t="shared" si="30"/>
        <v>0.69</v>
      </c>
      <c r="FZ11" s="104">
        <f t="array" ref="FZ11">(('Fórmula'!C11)/('Fórmula'!C11+'Fórmula'!E11+'Fórmula'!G11+'Fórmula'!I11+'Fórmula'!K11))*(INDEX(properties!A$1:CB$87,'Fórmula'!B11,57))+(('Fórmula'!E11)/('Fórmula'!C11+'Fórmula'!E11+'Fórmula'!G11+'Fórmula'!I11+'Fórmula'!K11))*(INDEX(properties!A$1:CB$87,'Fórmula'!D11,57))+(('Fórmula'!G11)/('Fórmula'!C11+'Fórmula'!E11+'Fórmula'!G11+'Fórmula'!I11+'Fórmula'!K11))*(INDEX(properties!A$1:CB$87,'Fórmula'!F11,57))+(('Fórmula'!I11)/('Fórmula'!C11+'Fórmula'!E11+'Fórmula'!G11+'Fórmula'!I11+'Fórmula'!K11))*(INDEX(properties!A$1:CB$87,'Fórmula'!H11,57))+(('Fórmula'!K11)/('Fórmula'!C11+'Fórmula'!E11+'Fórmula'!G11+'Fórmula'!I11+'Fórmula'!K11))*(INDEX(properties!A$1:CB$87,'Fórmula'!J11,57))</f>
        <v>6.513726667</v>
      </c>
      <c r="GA11" s="104">
        <f t="array" ref="GA11">'Fórmula'!C11*(INDEX(properties!A$1:CB$87,'Fórmula'!B11,57))+'Fórmula'!E11*(INDEX(properties!A$1:CB$87,'Fórmula'!D11,57))+'Fórmula'!G11*(INDEX(properties!A$1:CB$87,'Fórmula'!F11,57))+'Fórmula'!I11*(INDEX(properties!A$1:CB$87,'Fórmula'!H11,57))+'Fórmula'!K11*(INDEX(properties!A$1:CB$87,'Fórmula'!J11,57))</f>
        <v>39.08236</v>
      </c>
      <c r="GB11" s="104">
        <f t="array" ref="GB11">VARP(IF(INDEX(properties!A$1:CB$87,'Fórmula'!B11,57)&lt;&gt;"",INDEX(properties!A$1:CB$87,'Fórmula'!B11,57)),IF(INDEX(properties!A$1:CB$87,'Fórmula'!D11,57)&lt;&gt;"",INDEX(properties!A$1:CB$87,'Fórmula'!D11,57)),IF(INDEX(properties!A$1:CB$87,'Fórmula'!F11,57)&lt;&gt;"",INDEX(properties!A$1:CB$87,'Fórmula'!F11,57)),IF(INDEX(properties!A$1:CB$87,'Fórmula'!H11,57)&lt;&gt;"",INDEX(properties!A$1:CB$87,'Fórmula'!H11,57)),IF(INDEX(properties!A$1:CB$87,'Fórmula'!J11,57)&lt;&gt;"",INDEX(properties!A$1:CB$87,'Fórmula'!J11,57)))</f>
        <v>153.4508531</v>
      </c>
      <c r="GC11" s="104">
        <f t="array" ref="GC11">MAX(INDEX(properties!A$1:CB$87,'Fórmula'!B11,57),INDEX(properties!A$1:CB$87,'Fórmula'!D11,57),INDEX(properties!A$1:CB$87,'Fórmula'!F11,57),INDEX(properties!A$1:CB$87,'Fórmula'!H11,57),INDEX(properties!A$1:CB$87,'Fórmula'!J11,57))</f>
        <v>32</v>
      </c>
      <c r="GD11" s="104">
        <f t="array" ref="GD11">MIN(IF(INDEX(properties!A$1:CB$87,'Fórmula'!B11,57)=0,10^6,INDEX(properties!A$1:CB$87,'Fórmula'!B11,57)),IF(INDEX(properties!A$1:CB$87,'Fórmula'!D11,57)=0,10^6,INDEX(properties!A$1:CB$87,'Fórmula'!D11,57)),IF(INDEX(properties!A$1:CB$87,'Fórmula'!F11,57)=0,10^6,INDEX(properties!A$1:CB$87,'Fórmula'!F11,57)),IF(INDEX(properties!A$1:CB$87,'Fórmula'!H11,57)=0,10^6,INDEX(properties!A$1:CB$87,'Fórmula'!H11,57)),IF(INDEX(properties!A$1:CB$87,'Fórmula'!J11,57)=0,10^6,INDEX(properties!A$1:CB$87,'Fórmula'!J11,57)))</f>
        <v>0.22259</v>
      </c>
      <c r="GE11" s="104">
        <f t="shared" si="31"/>
        <v>31.77741</v>
      </c>
      <c r="GF11" s="105">
        <f t="array" ref="GF11">(('Fórmula'!C11)/('Fórmula'!C11+'Fórmula'!E11+'Fórmula'!G11+'Fórmula'!I11+'Fórmula'!K11))*(INDEX(properties!A$1:CB$87,'Fórmula'!B11,60))+(('Fórmula'!E11)/('Fórmula'!C11+'Fórmula'!E11+'Fórmula'!G11+'Fórmula'!I11+'Fórmula'!K11))*(INDEX(properties!A$1:CB$87,'Fórmula'!D11,60))+(('Fórmula'!G11)/('Fórmula'!C11+'Fórmula'!E11+'Fórmula'!G11+'Fórmula'!I11+'Fórmula'!K11))*(INDEX(properties!A$1:CB$87,'Fórmula'!F11,60))+(('Fórmula'!I11)/('Fórmula'!C11+'Fórmula'!E11+'Fórmula'!G11+'Fórmula'!I11+'Fórmula'!K11))*(INDEX(properties!A$1:CB$87,'Fórmula'!H11,60))+(('Fórmula'!K11)/('Fórmula'!C11+'Fórmula'!E11+'Fórmula'!G11+'Fórmula'!I11+'Fórmula'!K11))*(INDEX(properties!A$1:CB$87,'Fórmula'!J11,60))</f>
        <v>39.15116</v>
      </c>
      <c r="GG11" s="105">
        <f t="array" ref="GG11">'Fórmula'!C11*(INDEX(properties!A$1:CB$87,'Fórmula'!B11,60))+'Fórmula'!E11*(INDEX(properties!A$1:CB$87,'Fórmula'!D11,60))+'Fórmula'!G11*(INDEX(properties!A$1:CB$87,'Fórmula'!F11,60))+'Fórmula'!I11*(INDEX(properties!A$1:CB$87,'Fórmula'!H11,60))+'Fórmula'!K11*(INDEX(properties!A$1:CB$87,'Fórmula'!J11,60))</f>
        <v>234.90696</v>
      </c>
      <c r="GH11" s="105">
        <f t="array" ref="GH11">VARP(IF(INDEX(properties!A$1:CB$87,'Fórmula'!B11,60)&lt;&gt;"",INDEX(properties!A$1:CB$87,'Fórmula'!B11,60)),IF(INDEX(properties!A$1:CB$87,'Fórmula'!D11,60)&lt;&gt;"",INDEX(properties!A$1:CB$87,'Fórmula'!D11,60)),IF(INDEX(properties!A$1:CB$87,'Fórmula'!F11,60)&lt;&gt;"",INDEX(properties!A$1:CB$87,'Fórmula'!F11,60)),IF(INDEX(properties!A$1:CB$87,'Fórmula'!H11,60)&lt;&gt;"",INDEX(properties!A$1:CB$87,'Fórmula'!H11,60)),IF(INDEX(properties!A$1:CB$87,'Fórmula'!J11,60)&lt;&gt;"",INDEX(properties!A$1:CB$87,'Fórmula'!J11,60)))</f>
        <v>3477.10423</v>
      </c>
      <c r="GI11" s="105">
        <f t="array" ref="GI11">MAX(INDEX(properties!A$1:CB$87,'Fórmula'!B11,60),INDEX(properties!A$1:CB$87,'Fórmula'!D11,60),INDEX(properties!A$1:CB$87,'Fórmula'!F11,60),INDEX(properties!A$1:CB$87,'Fórmula'!H11,60),INDEX(properties!A$1:CB$87,'Fórmula'!J11,60))</f>
        <v>138</v>
      </c>
      <c r="GJ11" s="105">
        <f t="array" ref="GJ11">MIN(IF(INDEX(properties!A$1:CB$87,'Fórmula'!B11,60)=0,10^6,INDEX(properties!A$1:CB$87,'Fórmula'!B11,60)),IF(INDEX(properties!A$1:CB$87,'Fórmula'!D11,60)=0,10^6,INDEX(properties!A$1:CB$87,'Fórmula'!D11,60)),IF(INDEX(properties!A$1:CB$87,'Fórmula'!F11,60)=0,10^6,INDEX(properties!A$1:CB$87,'Fórmula'!F11,60)),IF(INDEX(properties!A$1:CB$87,'Fórmula'!H11,60)=0,10^6,INDEX(properties!A$1:CB$87,'Fórmula'!H11,60)),IF(INDEX(properties!A$1:CB$87,'Fórmula'!J11,60)=0,10^6,INDEX(properties!A$1:CB$87,'Fórmula'!J11,60)))</f>
        <v>0.02674</v>
      </c>
      <c r="GK11" s="105">
        <f t="shared" si="32"/>
        <v>137.97326</v>
      </c>
      <c r="GL11" s="106">
        <f t="array" ref="GL11">(('Fórmula'!C11)/('Fórmula'!C11+'Fórmula'!E11+'Fórmula'!G11+'Fórmula'!I11+'Fórmula'!K11))*(INDEX(properties!A$1:CB$87,'Fórmula'!B11,62))+(('Fórmula'!E11)/('Fórmula'!C11+'Fórmula'!E11+'Fórmula'!G11+'Fórmula'!I11+'Fórmula'!K11))*(INDEX(properties!A$1:CB$87,'Fórmula'!D11,62))+(('Fórmula'!G11)/('Fórmula'!C11+'Fórmula'!E11+'Fórmula'!G11+'Fórmula'!I11+'Fórmula'!K11))*(INDEX(properties!A$1:CB$87,'Fórmula'!F11,62))+(('Fórmula'!I11)/('Fórmula'!C11+'Fórmula'!E11+'Fórmula'!G11+'Fórmula'!I11+'Fórmula'!K11))*(INDEX(properties!A$1:CB$87,'Fórmula'!H11,62))+(('Fórmula'!K11)/('Fórmula'!C11+'Fórmula'!E11+'Fórmula'!G11+'Fórmula'!I11+'Fórmula'!K11))*(INDEX(properties!A$1:CB$87,'Fórmula'!J11,62))</f>
        <v>3.076666667</v>
      </c>
      <c r="GM11" s="106">
        <f t="array" ref="GM11">'Fórmula'!C11*(INDEX(properties!A$1:CB$87,'Fórmula'!B11,62))+'Fórmula'!E11*(INDEX(properties!A$1:CB$87,'Fórmula'!D11,62))+'Fórmula'!G11*(INDEX(properties!A$1:CB$87,'Fórmula'!F11,62))+'Fórmula'!I11*(INDEX(properties!A$1:CB$87,'Fórmula'!H11,62))+'Fórmula'!K11*(INDEX(properties!A$1:CB$87,'Fórmula'!J11,62))</f>
        <v>18.46</v>
      </c>
      <c r="GN11" s="106">
        <f t="array" ref="GN11">VARP(IF(INDEX(properties!A$1:CB$87,'Fórmula'!B11,62)&lt;&gt;"",INDEX(properties!A$1:CB$87,'Fórmula'!B11,62)),IF(INDEX(properties!A$1:CB$87,'Fórmula'!D11,62)&lt;&gt;"",INDEX(properties!A$1:CB$87,'Fórmula'!D11,62)),IF(INDEX(properties!A$1:CB$87,'Fórmula'!F11,62)&lt;&gt;"",INDEX(properties!A$1:CB$87,'Fórmula'!F11,62)),IF(INDEX(properties!A$1:CB$87,'Fórmula'!H11,62)&lt;&gt;"",INDEX(properties!A$1:CB$87,'Fórmula'!H11,62)),IF(INDEX(properties!A$1:CB$87,'Fórmula'!J11,62)&lt;&gt;"",INDEX(properties!A$1:CB$87,'Fórmula'!J11,62)))</f>
        <v>6.45008</v>
      </c>
      <c r="GO11" s="106">
        <f t="array" ref="GO11">MAX(INDEX(properties!A$1:CB$87,'Fórmula'!B11,62),INDEX(properties!A$1:CB$87,'Fórmula'!D11,62),INDEX(properties!A$1:CB$87,'Fórmula'!F11,62),INDEX(properties!A$1:CB$87,'Fórmula'!H11,62),INDEX(properties!A$1:CB$87,'Fórmula'!J11,62))</f>
        <v>6.82</v>
      </c>
      <c r="GP11" s="106">
        <f t="array" ref="GP11">MIN(IF(INDEX(properties!A$1:CB$87,'Fórmula'!B11,62)=0,10^6,INDEX(properties!A$1:CB$87,'Fórmula'!B11,62)),IF(INDEX(properties!A$1:CB$87,'Fórmula'!D11,62)=0,10^6,INDEX(properties!A$1:CB$87,'Fórmula'!D11,62)),IF(INDEX(properties!A$1:CB$87,'Fórmula'!F11,62)=0,10^6,INDEX(properties!A$1:CB$87,'Fórmula'!F11,62)),IF(INDEX(properties!A$1:CB$87,'Fórmula'!H11,62)=0,10^6,INDEX(properties!A$1:CB$87,'Fórmula'!H11,62)),IF(INDEX(properties!A$1:CB$87,'Fórmula'!J11,62)=0,10^6,INDEX(properties!A$1:CB$87,'Fórmula'!J11,62)))</f>
        <v>1.16</v>
      </c>
      <c r="GQ11" s="106">
        <f t="shared" si="33"/>
        <v>5.66</v>
      </c>
      <c r="GR11" s="106">
        <f>'Fórmula'!Q11</f>
        <v>88</v>
      </c>
      <c r="GS11" s="107">
        <f>'Fórmula'!P11</f>
        <v>2</v>
      </c>
      <c r="GT11" s="113">
        <f>'Fórmula'!O11</f>
        <v>6.08</v>
      </c>
      <c r="GU11" s="114">
        <f>AVERAGE('Fórmula'!R11/'Fórmula'!S11,'Fórmula'!S11/'Fórmula'!T11,'Fórmula'!T11/'Fórmula'!R11)</f>
        <v>1.210657451</v>
      </c>
      <c r="GV11" s="125">
        <f>'Fórmula'!U11</f>
        <v>297.64</v>
      </c>
      <c r="GW11" s="106">
        <f>'Fórmula'!N11</f>
        <v>0.05</v>
      </c>
    </row>
    <row r="12" ht="14.25" customHeight="1">
      <c r="A12" s="99" t="str">
        <f>'Fórmula'!A12</f>
        <v>Li2SrSiO4</v>
      </c>
      <c r="B12" s="101">
        <f t="array" ref="B12">(('Fórmula'!C12)/('Fórmula'!C12+'Fórmula'!E12+'Fórmula'!G12+'Fórmula'!I12+'Fórmula'!K12))*(INDEX(properties!A$1:CB$87,'Fórmula'!B12,3))+(('Fórmula'!E12)/('Fórmula'!C12+'Fórmula'!E12+'Fórmula'!G12+'Fórmula'!I12+'Fórmula'!K12))*(INDEX(properties!A$1:CB$87,'Fórmula'!D12,3))+(('Fórmula'!G12)/('Fórmula'!C12+'Fórmula'!E12+'Fórmula'!G12+'Fórmula'!I12+'Fórmula'!K12))*(INDEX(properties!A$1:CB$87,'Fórmula'!F12,3))+(('Fórmula'!I12)/('Fórmula'!C12+'Fórmula'!E12+'Fórmula'!G12+'Fórmula'!I12+'Fórmula'!K12))*(INDEX(properties!A$1:CB$87,'Fórmula'!H12,3))+(('Fórmula'!K12)/('Fórmula'!C12+'Fórmula'!E12+'Fórmula'!G12+'Fórmula'!I12+'Fórmula'!K12))*(INDEX(properties!A$1:CB$87,'Fórmula'!J12,3))</f>
        <v>24.1981375</v>
      </c>
      <c r="C12" s="101">
        <f t="array" ref="C12">'Fórmula'!C12*(INDEX(properties!A$1:CB$87,'Fórmula'!B12,3))+'Fórmula'!E12*(INDEX(properties!A$1:CB$87,'Fórmula'!D12,3))+'Fórmula'!G12*(INDEX(properties!A$1:CB$87,'Fórmula'!F12,3))+'Fórmula'!I12*(INDEX(properties!A$1:CB$87,'Fórmula'!H12,3))+'Fórmula'!K12*(INDEX(properties!A$1:CB$87,'Fórmula'!J12,3))</f>
        <v>193.5851</v>
      </c>
      <c r="D12" s="101">
        <f t="array" ref="D12">VARP(IF(INDEX(properties!A$1:CB$87,'Fórmula'!B12,3)&lt;&gt;"",INDEX(properties!A$1:CB$87,'Fórmula'!B12,3)),IF(INDEX(properties!A$1:CB$87,'Fórmula'!D12,3)&lt;&gt;"",INDEX(properties!A$1:CB$87,'Fórmula'!D12,3)),IF(INDEX(properties!A$1:CB$87,'Fórmula'!F12,3)&lt;&gt;"",INDEX(properties!A$1:CB$87,'Fórmula'!F12,3)),IF(INDEX(properties!A$1:CB$87,'Fórmula'!H12,3)&lt;&gt;"",INDEX(properties!A$1:CB$87,'Fórmula'!H12,3)),IF(INDEX(properties!A$1:CB$87,'Fórmula'!J12,3)&lt;&gt;"",INDEX(properties!A$1:CB$87,'Fórmula'!J12,3)))</f>
        <v>985.1361748</v>
      </c>
      <c r="E12" s="101">
        <f t="array" ref="E12">MAX(INDEX(properties!A$1:CB$87,'Fórmula'!B12,3),INDEX(properties!A$1:CB$87,'Fórmula'!D12,3),INDEX(properties!A$1:CB$87,'Fórmula'!F12,3),INDEX(properties!A$1:CB$87,'Fórmula'!H12,3),INDEX(properties!A$1:CB$87,'Fórmula'!J12,3))</f>
        <v>87.62</v>
      </c>
      <c r="F12" s="101">
        <f t="array" ref="F12">MIN(IF(INDEX(properties!A$1:CB$87,'Fórmula'!B12,3)=0,10^6,INDEX(properties!A$1:CB$87,'Fórmula'!B12,3)),IF(INDEX(properties!A$1:CB$87,'Fórmula'!D12,3)=0,10^6,INDEX(properties!A$1:CB$87,'Fórmula'!D12,3)),IF(INDEX(properties!A$1:CB$87,'Fórmula'!F12,3)=0,10^6,INDEX(properties!A$1:CB$87,'Fórmula'!F12,3)),IF(INDEX(properties!A$1:CB$87,'Fórmula'!H12,3)=0,10^6,INDEX(properties!A$1:CB$87,'Fórmula'!H12,3)),IF(INDEX(properties!A$1:CB$87,'Fórmula'!J12,3)=0,10^6,INDEX(properties!A$1:CB$87,'Fórmula'!J12,3)))</f>
        <v>6.941</v>
      </c>
      <c r="G12" s="101">
        <f t="shared" si="1"/>
        <v>80.679</v>
      </c>
      <c r="H12" s="102">
        <f t="array" ref="H12">(('Fórmula'!C12)/('Fórmula'!C12+'Fórmula'!E12+'Fórmula'!G12+'Fórmula'!I12+'Fórmula'!K12))*(INDEX(properties!A$1:CB$87,'Fórmula'!B12,4))+(('Fórmula'!E12)/('Fórmula'!C12+'Fórmula'!E12+'Fórmula'!G12+'Fórmula'!I12+'Fórmula'!K12))*(INDEX(properties!A$1:CB$87,'Fórmula'!D12,4))+(('Fórmula'!G12)/('Fórmula'!C12+'Fórmula'!E12+'Fórmula'!G12+'Fórmula'!I12+'Fórmula'!K12))*(INDEX(properties!A$1:CB$87,'Fórmula'!F12,4))+(('Fórmula'!I12)/('Fórmula'!C12+'Fórmula'!E12+'Fórmula'!G12+'Fórmula'!I12+'Fórmula'!K12))*(INDEX(properties!A$1:CB$87,'Fórmula'!H12,4))+(('Fórmula'!K12)/('Fórmula'!C12+'Fórmula'!E12+'Fórmula'!G12+'Fórmula'!I12+'Fórmula'!K12))*(INDEX(properties!A$1:CB$87,'Fórmula'!J12,4))</f>
        <v>11.25</v>
      </c>
      <c r="I12" s="102">
        <f t="array" ref="I12">'Fórmula'!C12*(INDEX(properties!A$1:CB$87,'Fórmula'!B12,4))+'Fórmula'!E12*(INDEX(properties!A$1:CB$87,'Fórmula'!D12,4))+'Fórmula'!G12*(INDEX(properties!A$1:CB$87,'Fórmula'!F12,4))+'Fórmula'!I12*(INDEX(properties!A$1:CB$87,'Fórmula'!H12,4))+'Fórmula'!K12*(INDEX(properties!A$1:CB$87,'Fórmula'!J12,4))</f>
        <v>90</v>
      </c>
      <c r="J12" s="102">
        <f t="array" ref="J12">VARP(IF(INDEX(properties!A$1:CB$87,'Fórmula'!B12,4)&lt;&gt;"",INDEX(properties!A$1:CB$87,'Fórmula'!B12,4)),IF(INDEX(properties!A$1:CB$87,'Fórmula'!D12,4)&lt;&gt;"",INDEX(properties!A$1:CB$87,'Fórmula'!D12,4)),IF(INDEX(properties!A$1:CB$87,'Fórmula'!F12,4)&lt;&gt;"",INDEX(properties!A$1:CB$87,'Fórmula'!F12,4)),IF(INDEX(properties!A$1:CB$87,'Fórmula'!H12,4)&lt;&gt;"",INDEX(properties!A$1:CB$87,'Fórmula'!H12,4)),IF(INDEX(properties!A$1:CB$87,'Fórmula'!J12,4)&lt;&gt;"",INDEX(properties!A$1:CB$87,'Fórmula'!J12,4)))</f>
        <v>183.84</v>
      </c>
      <c r="K12" s="102">
        <f t="array" ref="K12">MAX(INDEX(properties!A$1:CB$87,'Fórmula'!B12,4),INDEX(properties!A$1:CB$87,'Fórmula'!D12,4),INDEX(properties!A$1:CB$87,'Fórmula'!F12,4),INDEX(properties!A$1:CB$87,'Fórmula'!H12,4),INDEX(properties!A$1:CB$87,'Fórmula'!J12,4))</f>
        <v>38</v>
      </c>
      <c r="L12" s="102">
        <f t="array" ref="L12">MIN(IF(INDEX(properties!A$1:CB$87,'Fórmula'!B12,4)=0,10^6,INDEX(properties!A$1:CB$87,'Fórmula'!B12,4)),IF(INDEX(properties!A$1:CB$87,'Fórmula'!D12,4)=0,10^6,INDEX(properties!A$1:CB$87,'Fórmula'!D12,4)),IF(INDEX(properties!A$1:CB$87,'Fórmula'!F12,4)=0,10^6,INDEX(properties!A$1:CB$87,'Fórmula'!F12,4)),IF(INDEX(properties!A$1:CB$87,'Fórmula'!H12,4)=0,10^6,INDEX(properties!A$1:CB$87,'Fórmula'!H12,4)),IF(INDEX(properties!A$1:CB$87,'Fórmula'!J12,4)=0,10^6,INDEX(properties!A$1:CB$87,'Fórmula'!J12,4)))</f>
        <v>3</v>
      </c>
      <c r="M12" s="102">
        <f t="shared" si="2"/>
        <v>35</v>
      </c>
      <c r="N12" s="103">
        <f t="array" ref="N12">(('Fórmula'!C12)/('Fórmula'!C12+'Fórmula'!E12+'Fórmula'!G12+'Fórmula'!I12+'Fórmula'!K12))*(INDEX(properties!A$1:CB$87,'Fórmula'!B12,5))+(('Fórmula'!E12)/('Fórmula'!C12+'Fórmula'!E12+'Fórmula'!G12+'Fórmula'!I12+'Fórmula'!K12))*(INDEX(properties!A$1:CB$87,'Fórmula'!D12,5))+(('Fórmula'!G12)/('Fórmula'!C12+'Fórmula'!E12+'Fórmula'!G12+'Fórmula'!I12+'Fórmula'!K12))*(INDEX(properties!A$1:CB$87,'Fórmula'!F12,5))+(('Fórmula'!I12)/('Fórmula'!C12+'Fórmula'!E12+'Fórmula'!G12+'Fórmula'!I12+'Fórmula'!K12))*(INDEX(properties!A$1:CB$87,'Fórmula'!H12,5))+(('Fórmula'!K12)/('Fórmula'!C12+'Fórmula'!E12+'Fórmula'!G12+'Fórmula'!I12+'Fórmula'!K12))*(INDEX(properties!A$1:CB$87,'Fórmula'!J12,5))</f>
        <v>2.5</v>
      </c>
      <c r="O12" s="103">
        <f t="array" ref="O12">'Fórmula'!C12*(INDEX(properties!A$1:CB$87,'Fórmula'!B12,5))+'Fórmula'!E12*(INDEX(properties!A$1:CB$87,'Fórmula'!D12,5))+'Fórmula'!G12*(INDEX(properties!A$1:CB$87,'Fórmula'!F12,5))+'Fórmula'!I12*(INDEX(properties!A$1:CB$87,'Fórmula'!H12,5))+'Fórmula'!K12*(INDEX(properties!A$1:CB$87,'Fórmula'!J12,5))</f>
        <v>20</v>
      </c>
      <c r="P12" s="103">
        <f t="array" ref="P12">VARP(IF(INDEX(properties!A$1:CB$87,'Fórmula'!B12,5)&lt;&gt;"",INDEX(properties!A$1:CB$87,'Fórmula'!B12,5)),IF(INDEX(properties!A$1:CB$87,'Fórmula'!D12,5)&lt;&gt;"",INDEX(properties!A$1:CB$87,'Fórmula'!D12,5)),IF(INDEX(properties!A$1:CB$87,'Fórmula'!F12,5)&lt;&gt;"",INDEX(properties!A$1:CB$87,'Fórmula'!F12,5)),IF(INDEX(properties!A$1:CB$87,'Fórmula'!H12,5)&lt;&gt;"",INDEX(properties!A$1:CB$87,'Fórmula'!H12,5)),IF(INDEX(properties!A$1:CB$87,'Fórmula'!J12,5)&lt;&gt;"",INDEX(properties!A$1:CB$87,'Fórmula'!J12,5)))</f>
        <v>2.64</v>
      </c>
      <c r="Q12" s="103">
        <f t="array" ref="Q12">MAX(INDEX(properties!A$1:CB$87,'Fórmula'!B12,5),INDEX(properties!A$1:CB$87,'Fórmula'!D12,5),INDEX(properties!A$1:CB$87,'Fórmula'!F12,5),INDEX(properties!A$1:CB$87,'Fórmula'!H12,5),INDEX(properties!A$1:CB$87,'Fórmula'!J12,5))</f>
        <v>5</v>
      </c>
      <c r="R12" s="103">
        <f t="array" ref="R12">MIN(IF(INDEX(properties!A$1:CB$87,'Fórmula'!B12,5)=0,10^6,INDEX(properties!A$1:CB$87,'Fórmula'!B12,5)),IF(INDEX(properties!A$1:CB$87,'Fórmula'!D12,5)=0,10^6,INDEX(properties!A$1:CB$87,'Fórmula'!D12,5)),IF(INDEX(properties!A$1:CB$87,'Fórmula'!F12,5)=0,10^6,INDEX(properties!A$1:CB$87,'Fórmula'!F12,5)),IF(INDEX(properties!A$1:CB$87,'Fórmula'!H12,5)=0,10^6,INDEX(properties!A$1:CB$87,'Fórmula'!H12,5)),IF(INDEX(properties!A$1:CB$87,'Fórmula'!J12,5)=0,10^6,INDEX(properties!A$1:CB$87,'Fórmula'!J12,5)))</f>
        <v>2</v>
      </c>
      <c r="S12" s="103">
        <f t="shared" si="3"/>
        <v>3</v>
      </c>
      <c r="T12" s="104">
        <f t="array" ref="T12">(('Fórmula'!C12)/('Fórmula'!C12+'Fórmula'!E12+'Fórmula'!G12+'Fórmula'!I12+'Fórmula'!K12))*(INDEX(properties!A$1:CB$87,'Fórmula'!B12,6))+(('Fórmula'!E12)/('Fórmula'!C12+'Fórmula'!E12+'Fórmula'!G12+'Fórmula'!I12+'Fórmula'!K12))*(INDEX(properties!A$1:CB$87,'Fórmula'!D12,6))+(('Fórmula'!G12)/('Fórmula'!C12+'Fórmula'!E12+'Fórmula'!G12+'Fórmula'!I12+'Fórmula'!K12))*(INDEX(properties!A$1:CB$87,'Fórmula'!F12,6))+(('Fórmula'!I12)/('Fórmula'!C12+'Fórmula'!E12+'Fórmula'!G12+'Fórmula'!I12+'Fórmula'!K12))*(INDEX(properties!A$1:CB$87,'Fórmula'!H12,6))+(('Fórmula'!K12)/('Fórmula'!C12+'Fórmula'!E12+'Fórmula'!G12+'Fórmula'!I12+'Fórmula'!K12))*(INDEX(properties!A$1:CB$87,'Fórmula'!J12,6))</f>
        <v>10.25</v>
      </c>
      <c r="U12" s="104">
        <f t="array" ref="U12">'Fórmula'!C12*(INDEX(properties!A$1:CB$87,'Fórmula'!B12,6))+'Fórmula'!E12*(INDEX(properties!A$1:CB$87,'Fórmula'!D12,6))+'Fórmula'!G12*(INDEX(properties!A$1:CB$87,'Fórmula'!F12,6))+'Fórmula'!I12*(INDEX(properties!A$1:CB$87,'Fórmula'!H12,6))+'Fórmula'!K12*(INDEX(properties!A$1:CB$87,'Fórmula'!J12,6))</f>
        <v>82</v>
      </c>
      <c r="V12" s="103">
        <f t="array" ref="V12">VARP(IF(INDEX(properties!A$1:CB$87,'Fórmula'!B12,6)&lt;&gt;"",INDEX(properties!A$1:CB$87,'Fórmula'!B12,6)),IF(INDEX(properties!A$1:CB$87,'Fórmula'!D12,6)&lt;&gt;"",INDEX(properties!A$1:CB$87,'Fórmula'!D12,6)),IF(INDEX(properties!A$1:CB$87,'Fórmula'!F12,6)&lt;&gt;"",INDEX(properties!A$1:CB$87,'Fórmula'!F12,6)),IF(INDEX(properties!A$1:CB$87,'Fórmula'!H12,6)&lt;&gt;"",INDEX(properties!A$1:CB$87,'Fórmula'!H12,6)),IF(INDEX(properties!A$1:CB$87,'Fórmula'!J12,6)&lt;&gt;"",INDEX(properties!A$1:CB$87,'Fórmula'!J12,6)))</f>
        <v>47.84</v>
      </c>
      <c r="W12" s="104">
        <f t="array" ref="W12">MAX(INDEX(properties!A$1:CB$87,'Fórmula'!B12,6),INDEX(properties!A$1:CB$87,'Fórmula'!D12,6),INDEX(properties!A$1:CB$87,'Fórmula'!F12,6),INDEX(properties!A$1:CB$87,'Fórmula'!H12,4),INDEX(properties!A$1:CB$87,'Fórmula'!J12,6))</f>
        <v>14</v>
      </c>
      <c r="X12" s="104">
        <f t="array" ref="X12">MIN(IF(INDEX(properties!A$1:CB$87,'Fórmula'!B12,6)=0,10^6,INDEX(properties!A$1:CB$87,'Fórmula'!B12,6)),IF(INDEX(properties!A$1:CB$87,'Fórmula'!D12,6)=0,10^6,INDEX(properties!A$1:CB$87,'Fórmula'!D12,6)),IF(INDEX(properties!A$1:CB$87,'Fórmula'!F12,6)=0,10^6,INDEX(properties!A$1:CB$87,'Fórmula'!F12,6)),IF(INDEX(properties!A$1:CB$87,'Fórmula'!H12,6)=0,10^6,INDEX(properties!A$1:CB$87,'Fórmula'!H12,6)),IF(INDEX(properties!A$1:CB$87,'Fórmula'!J12,6)=0,10^6,INDEX(properties!A$1:CB$87,'Fórmula'!J12,6)))</f>
        <v>1</v>
      </c>
      <c r="Y12" s="104">
        <f t="shared" si="4"/>
        <v>13</v>
      </c>
      <c r="Z12" s="105">
        <f t="array" ref="Z12">(('Fórmula'!C12)/('Fórmula'!C12+'Fórmula'!E12+'Fórmula'!G12+'Fórmula'!I12+'Fórmula'!K12))*(INDEX(properties!A$1:CB$87,'Fórmula'!B12,9))+(('Fórmula'!E12)/('Fórmula'!C12+'Fórmula'!E12+'Fórmula'!G12+'Fórmula'!I12+'Fórmula'!K12))*(INDEX(properties!A$1:CB$87,'Fórmula'!D12,9))+(('Fórmula'!G12)/('Fórmula'!C12+'Fórmula'!E12+'Fórmula'!G12+'Fórmula'!I12+'Fórmula'!K12))*(INDEX(properties!A$1:CB$87,'Fórmula'!F12,9))+(('Fórmula'!I12)/('Fórmula'!C12+'Fórmula'!E12+'Fórmula'!G12+'Fórmula'!I12+'Fórmula'!K12))*(INDEX(properties!A$1:CB$87,'Fórmula'!H12,9))+(('Fórmula'!K12)/('Fórmula'!C12+'Fórmula'!E12+'Fórmula'!G12+'Fórmula'!I12+'Fórmula'!K12))*(INDEX(properties!A$1:CB$87,'Fórmula'!J12,9))</f>
        <v>54.5</v>
      </c>
      <c r="AA12" s="105">
        <f t="array" ref="AA12">'Fórmula'!C12*(INDEX(properties!A$1:CB$87,'Fórmula'!B12,9))+'Fórmula'!E12*(INDEX(properties!A$1:CB$87,'Fórmula'!D12,9))+'Fórmula'!G12*(INDEX(properties!A$1:CB$87,'Fórmula'!F12,9))+'Fórmula'!I12*(INDEX(properties!A$1:CB$87,'Fórmula'!H12,9))+'Fórmula'!K12*(INDEX(properties!A$1:CB$87,'Fórmula'!J12,9))</f>
        <v>436</v>
      </c>
      <c r="AB12" s="105">
        <f t="array" ref="AB12">VARP(IF(INDEX(properties!A$1:CB$87,'Fórmula'!B12,9)&lt;&gt;"",INDEX(properties!A$1:CB$87,'Fórmula'!B12,9)),IF(INDEX(properties!A$1:CB$87,'Fórmula'!D12,9)&lt;&gt;"",INDEX(properties!A$1:CB$87,'Fórmula'!D12,9)),IF(INDEX(properties!A$1:CB$87,'Fórmula'!F12,9)&lt;&gt;"",INDEX(properties!A$1:CB$87,'Fórmula'!F12,9)),IF(INDEX(properties!A$1:CB$87,'Fórmula'!H12,9)&lt;&gt;"",INDEX(properties!A$1:CB$87,'Fórmula'!H12,9)),IF(INDEX(properties!A$1:CB$87,'Fórmula'!J12,9)&lt;&gt;"",INDEX(properties!A$1:CB$87,'Fórmula'!J12,9)))</f>
        <v>1532.56</v>
      </c>
      <c r="AC12" s="105">
        <f t="array" ref="AC12">MAX(INDEX(properties!A$1:CB$87,'Fórmula'!B12,9),INDEX(properties!A$1:CB$87,'Fórmula'!D12,9),INDEX(properties!A$1:CB$87,'Fórmula'!F12,9),INDEX(properties!A$1:CB$87,'Fórmula'!H12,9),INDEX(properties!A$1:CB$87,'Fórmula'!J12,9))</f>
        <v>87</v>
      </c>
      <c r="AD12" s="105">
        <f t="array" ref="AD12">MIN(IF(INDEX(properties!A$1:CB$87,'Fórmula'!B12,9)=0,10^6,INDEX(properties!A$1:CB$87,'Fórmula'!B12,9)),IF(INDEX(properties!A$1:CB$87,'Fórmula'!D12,9)=0,10^6,INDEX(properties!A$1:CB$87,'Fórmula'!D12,9)),IF(INDEX(properties!A$1:CB$87,'Fórmula'!F12,9)=0,10^6,INDEX(properties!A$1:CB$87,'Fórmula'!F12,9)),IF(INDEX(properties!A$1:CB$87,'Fórmula'!H12,9)=0,10^6,INDEX(properties!A$1:CB$87,'Fórmula'!H12,9)),IF(INDEX(properties!A$1:CB$87,'Fórmula'!J12,9)=0,10^6,INDEX(properties!A$1:CB$87,'Fórmula'!J12,9)))</f>
        <v>1</v>
      </c>
      <c r="AE12" s="105">
        <f t="shared" si="5"/>
        <v>86</v>
      </c>
      <c r="AF12" s="106">
        <f t="array" ref="AF12">(('Fórmula'!C12)/('Fórmula'!C12+'Fórmula'!E12+'Fórmula'!G12+'Fórmula'!I12+'Fórmula'!K12))*(INDEX(properties!A$1:CB$87,'Fórmula'!B12,10))+(('Fórmula'!E12)/('Fórmula'!C12+'Fórmula'!E12+'Fórmula'!G12+'Fórmula'!I12+'Fórmula'!K12))*(INDEX(properties!A$1:CB$87,'Fórmula'!D12,10))+(('Fórmula'!G12)/('Fórmula'!C12+'Fórmula'!E12+'Fórmula'!G12+'Fórmula'!I12+'Fórmula'!K12))*(INDEX(properties!A$1:CB$87,'Fórmula'!F12,10))+(('Fórmula'!I12)/('Fórmula'!C12+'Fórmula'!E12+'Fórmula'!G12+'Fórmula'!I12+'Fórmula'!K12))*(INDEX(properties!A$1:CB$87,'Fórmula'!H12,10))+(('Fórmula'!K12)/('Fórmula'!C12+'Fórmula'!E12+'Fórmula'!G12+'Fórmula'!I12+'Fórmula'!K12))*(INDEX(properties!A$1:CB$87,'Fórmula'!J12,10))</f>
        <v>4.75</v>
      </c>
      <c r="AG12" s="106">
        <f t="array" ref="AG12">'Fórmula'!C12*(INDEX(properties!A$1:CB$87,'Fórmula'!B12,10))+'Fórmula'!E12*(INDEX(properties!A$1:CB$87,'Fórmula'!D12,10))+'Fórmula'!G12*(INDEX(properties!A$1:CB$87,'Fórmula'!F12,10))+'Fórmula'!I12*(INDEX(properties!A$1:CB$87,'Fórmula'!H12,10))+'Fórmula'!K12*(INDEX(properties!A$1:CB$87,'Fórmula'!J12,10))</f>
        <v>38</v>
      </c>
      <c r="AH12" s="106">
        <f t="array" ref="AH12">VARP(IF(INDEX(properties!A$1:CB$87,'Fórmula'!B12,10)&lt;&gt;"",INDEX(properties!A$1:CB$87,'Fórmula'!B12,10)),IF(INDEX(properties!A$1:CB$87,'Fórmula'!D12,10)&lt;&gt;"",INDEX(properties!A$1:CB$87,'Fórmula'!D12,10)),IF(INDEX(properties!A$1:CB$87,'Fórmula'!F12,10)&lt;&gt;"",INDEX(properties!A$1:CB$87,'Fórmula'!F12,10)),IF(INDEX(properties!A$1:CB$87,'Fórmula'!H12,10)&lt;&gt;"",INDEX(properties!A$1:CB$87,'Fórmula'!H12,10)),IF(INDEX(properties!A$1:CB$87,'Fórmula'!J12,10)&lt;&gt;"",INDEX(properties!A$1:CB$87,'Fórmula'!J12,10)))</f>
        <v>7.76</v>
      </c>
      <c r="AI12" s="106">
        <f t="array" ref="AI12">MAX(INDEX(properties!A$1:CB$87,'Fórmula'!B12,10),INDEX(properties!A$1:CB$87,'Fórmula'!D12,10),INDEX(properties!A$1:CB$87,'Fórmula'!F12,10),INDEX(properties!A$1:CB$87,'Fórmula'!H12,10),INDEX(properties!A$1:CB$87,'Fórmula'!J12,10))</f>
        <v>7</v>
      </c>
      <c r="AJ12" s="106">
        <f t="array" ref="AJ12">MIN(IF(INDEX(properties!A$1:CB$87,'Fórmula'!B12,10)=0,10^6,INDEX(properties!A$1:CB$87,'Fórmula'!B12,10)),IF(INDEX(properties!A$1:CB$87,'Fórmula'!D12,10)=0,10^6,INDEX(properties!A$1:CB$87,'Fórmula'!D12,10)),IF(INDEX(properties!A$1:CB$87,'Fórmula'!F12,10)=0,10^6,INDEX(properties!A$1:CB$87,'Fórmula'!F12,10)),IF(INDEX(properties!A$1:CB$87,'Fórmula'!H12,10)=0,10^6,INDEX(properties!A$1:CB$87,'Fórmula'!H12,10)),IF(INDEX(properties!A$1:CB$87,'Fórmula'!J12,10)=0,10^6,INDEX(properties!A$1:CB$87,'Fórmula'!J12,10)))</f>
        <v>1</v>
      </c>
      <c r="AK12" s="106">
        <f t="shared" si="6"/>
        <v>6</v>
      </c>
      <c r="AL12" s="107">
        <f t="array" ref="AL12">(('Fórmula'!C12)/('Fórmula'!C12+'Fórmula'!E12+'Fórmula'!G12+'Fórmula'!I12+'Fórmula'!K12))*(INDEX(properties!A$1:CB$87,'Fórmula'!B12,11))+(('Fórmula'!E12)/('Fórmula'!C12+'Fórmula'!E12+'Fórmula'!G12+'Fórmula'!I12+'Fórmula'!K12))*(INDEX(properties!A$1:CB$87,'Fórmula'!D12,11))+(('Fórmula'!G12)/('Fórmula'!C12+'Fórmula'!E12+'Fórmula'!G12+'Fórmula'!I12+'Fórmula'!K12))*(INDEX(properties!A$1:CB$87,'Fórmula'!F12,11))+(('Fórmula'!I12)/('Fórmula'!C12+'Fórmula'!E12+'Fórmula'!G12+'Fórmula'!I12+'Fórmula'!K12))*(INDEX(properties!A$1:CB$87,'Fórmula'!H12,11))+(('Fórmula'!K12)/('Fórmula'!C12+'Fórmula'!E12+'Fórmula'!G12+'Fórmula'!I12+'Fórmula'!K12))*(INDEX(properties!A$1:CB$87,'Fórmula'!J12,11))</f>
        <v>1.75</v>
      </c>
      <c r="AM12" s="107">
        <f t="array" ref="AM12">'Fórmula'!C12*(INDEX(properties!A$1:CB$87,'Fórmula'!B12,11))+'Fórmula'!E12*(INDEX(properties!A$1:CB$87,'Fórmula'!D12,11))+'Fórmula'!G12*(INDEX(properties!A$1:CB$87,'Fórmula'!F12,11))+'Fórmula'!I12*(INDEX(properties!A$1:CB$87,'Fórmula'!H12,11))+'Fórmula'!K12*(INDEX(properties!A$1:CB$87,'Fórmula'!J12,11))</f>
        <v>14</v>
      </c>
      <c r="AN12" s="107">
        <f t="array" ref="AN12">VARP(IF(INDEX(properties!A$1:CB$87,'Fórmula'!B12,11)&lt;&gt;"",INDEX(properties!A$1:CB$87,'Fórmula'!B12,11)),IF(INDEX(properties!A$1:CB$87,'Fórmula'!D12,11)&lt;&gt;"",INDEX(properties!A$1:CB$87,'Fórmula'!D12,11)),IF(INDEX(properties!A$1:CB$87,'Fórmula'!F12,11)&lt;&gt;"",INDEX(properties!A$1:CB$87,'Fórmula'!F12,11)),IF(INDEX(properties!A$1:CB$87,'Fórmula'!H12,11)&lt;&gt;"",INDEX(properties!A$1:CB$87,'Fórmula'!H12,11)),IF(INDEX(properties!A$1:CB$87,'Fórmula'!J12,11)&lt;&gt;"",INDEX(properties!A$1:CB$87,'Fórmula'!J12,11)))</f>
        <v>0.64</v>
      </c>
      <c r="AO12" s="107">
        <f t="array" ref="AO12">MAX(INDEX(properties!A$1:CB$87,'Fórmula'!B12,11),INDEX(properties!A$1:CB$87,'Fórmula'!D12,11),INDEX(properties!A$1:CB$87,'Fórmula'!F12,11),INDEX(properties!A$1:CB$87,'Fórmula'!H12,11),INDEX(properties!A$1:CB$87,'Fórmula'!J12,11))</f>
        <v>2</v>
      </c>
      <c r="AP12" s="107">
        <f t="array" ref="AP12">MIN(IF('Fórmula'!B12=87,10^6,INDEX(properties!A$1:CB$87,'Fórmula'!B12,11)),IF(('Fórmula'!D12)=87,10^6,INDEX(properties!A$1:CB$87,'Fórmula'!D12,11)),IF(('Fórmula'!F12)=87,10^6,INDEX(properties!A$1:CB$87,'Fórmula'!F12,11)),IF(('Fórmula'!H12)=87,10^6,INDEX(properties!A$1:CB$87,'Fórmula'!H12,11)),IF('Fórmula'!J12=87,10^6,INDEX(properties!A$1:CB$87,'Fórmula'!J12,11)))</f>
        <v>1</v>
      </c>
      <c r="AQ12" s="107">
        <f t="shared" si="7"/>
        <v>1</v>
      </c>
      <c r="AR12" s="108">
        <f t="array" ref="AR12">(('Fórmula'!C12)/('Fórmula'!C12+'Fórmula'!E12+'Fórmula'!G12+'Fórmula'!I12+'Fórmula'!K12))*(INDEX(properties!A$1:CB$87,'Fórmula'!B12,12))+(('Fórmula'!E12)/('Fórmula'!C12+'Fórmula'!E12+'Fórmula'!G12+'Fórmula'!I12+'Fórmula'!K12))*(INDEX(properties!A$1:CB$87,'Fórmula'!D12,12))+(('Fórmula'!G12)/('Fórmula'!C12+'Fórmula'!E12+'Fórmula'!G12+'Fórmula'!I12+'Fórmula'!K12))*(INDEX(properties!A$1:CB$87,'Fórmula'!F12,12))+(('Fórmula'!I12)/('Fórmula'!C12+'Fórmula'!E12+'Fórmula'!G12+'Fórmula'!I12+'Fórmula'!K12))*(INDEX(properties!A$1:CB$87,'Fórmula'!H12,12))+(('Fórmula'!K12)/('Fórmula'!C12+'Fórmula'!E12+'Fórmula'!G12+'Fórmula'!I12+'Fórmula'!K12))*(INDEX(properties!A$1:CB$87,'Fórmula'!J12,12))</f>
        <v>2.25</v>
      </c>
      <c r="AS12" s="108">
        <f t="array" ref="AS12">'Fórmula'!C12*(INDEX(properties!A$1:CB$87,'Fórmula'!B12,12))+'Fórmula'!E12*(INDEX(properties!A$1:CB$87,'Fórmula'!D12,12))+'Fórmula'!G12*(INDEX(properties!A$1:CB$87,'Fórmula'!F12,12))+'Fórmula'!I12*(INDEX(properties!A$1:CB$87,'Fórmula'!H12,12))+'Fórmula'!K12*(INDEX(properties!A$1:CB$87,'Fórmula'!J12,12))</f>
        <v>18</v>
      </c>
      <c r="AT12" s="108">
        <f t="array" ref="AT12">VARP(IF(INDEX(properties!A$1:CB$87,'Fórmula'!B12,12)&lt;&gt;"",INDEX(properties!A$1:CB$87,'Fórmula'!B12,12)),IF(INDEX(properties!A$1:CB$87,'Fórmula'!D12,12)&lt;&gt;"",INDEX(properties!A$1:CB$87,'Fórmula'!D12,12)),IF(INDEX(properties!A$1:CB$87,'Fórmula'!F12,12)&lt;&gt;"",INDEX(properties!A$1:CB$87,'Fórmula'!F12,12)),IF(INDEX(properties!A$1:CB$87,'Fórmula'!H12,12)&lt;&gt;"",INDEX(properties!A$1:CB$87,'Fórmula'!H12,12)),IF(INDEX(properties!A$1:CB$87,'Fórmula'!J12,12)&lt;&gt;"",INDEX(properties!A$1:CB$87,'Fórmula'!J12,12)))</f>
        <v>2.56</v>
      </c>
      <c r="AU12" s="108">
        <f t="array" ref="AU12">MAX(INDEX(properties!A$1:CB$87,'Fórmula'!B12,12),INDEX(properties!A$1:CB$87,'Fórmula'!D12,12),INDEX(properties!A$1:CB$87,'Fórmula'!F12,12),INDEX(properties!A$1:CB$87,'Fórmula'!H12,12),INDEX(properties!A$1:CB$87,'Fórmula'!J12,12))</f>
        <v>4</v>
      </c>
      <c r="AV12" s="108">
        <f t="array" ref="AV12">MIN(IF('Fórmula'!B12=87,10^6,INDEX(properties!A$1:CB$87,'Fórmula'!B12,12)),IF(('Fórmula'!D12)=87,10^6,INDEX(properties!A$1:CB$87,'Fórmula'!D12,12)),IF(('Fórmula'!F12)=87,10^6,INDEX(properties!A$1:CB$87,'Fórmula'!F12,12)),IF(('Fórmula'!H12)=87,10^6,INDEX(properties!A$1:CB$87,'Fórmula'!H12,12)),IF('Fórmula'!J12=87,10^6,INDEX(properties!A$1:CB$87,'Fórmula'!J12,12)))</f>
        <v>0</v>
      </c>
      <c r="AW12" s="108">
        <f t="shared" si="8"/>
        <v>4</v>
      </c>
      <c r="AX12" s="109">
        <f t="array" ref="AX12">(('Fórmula'!C12)/('Fórmula'!C12+'Fórmula'!E12+'Fórmula'!G12+'Fórmula'!I12+'Fórmula'!K12))*(INDEX(properties!A$1:CB$87,'Fórmula'!B12,13))+(('Fórmula'!E12)/('Fórmula'!C12+'Fórmula'!E12+'Fórmula'!G12+'Fórmula'!I12+'Fórmula'!K12))*(INDEX(properties!A$1:CB$87,'Fórmula'!D12,13))+(('Fórmula'!G12)/('Fórmula'!C12+'Fórmula'!E12+'Fórmula'!G12+'Fórmula'!I12+'Fórmula'!K12))*(INDEX(properties!A$1:CB$87,'Fórmula'!F12,13))+(('Fórmula'!I12)/('Fórmula'!C12+'Fórmula'!E12+'Fórmula'!G12+'Fórmula'!I12+'Fórmula'!K12))*(INDEX(properties!A$1:CB$87,'Fórmula'!H12,13))+(('Fórmula'!K12)/('Fórmula'!C12+'Fórmula'!E12+'Fórmula'!G12+'Fórmula'!I12+'Fórmula'!K12))*(INDEX(properties!A$1:CB$87,'Fórmula'!J12,13))</f>
        <v>0</v>
      </c>
      <c r="AY12" s="109">
        <f t="array" ref="AY12">'Fórmula'!C12*(INDEX(properties!A$1:CB$87,'Fórmula'!B12,13))+'Fórmula'!E12*(INDEX(properties!A$1:CB$87,'Fórmula'!D12,13))+'Fórmula'!G12*(INDEX(properties!A$1:CB$87,'Fórmula'!F12,13))+'Fórmula'!I12*(INDEX(properties!A$1:CB$87,'Fórmula'!H12,13))+'Fórmula'!K12*(INDEX(properties!A$1:CB$87,'Fórmula'!J12,13))</f>
        <v>0</v>
      </c>
      <c r="AZ12" s="109">
        <f t="array" ref="AZ12">VARP(IF(INDEX(properties!A$1:CB$87,'Fórmula'!B12,13)&lt;&gt;"",INDEX(properties!A$1:CB$87,'Fórmula'!B12,13)),IF(INDEX(properties!A$1:CB$87,'Fórmula'!D12,13)&lt;&gt;"",INDEX(properties!A$1:CB$87,'Fórmula'!D12,13)),IF(INDEX(properties!A$1:CB$87,'Fórmula'!F12,13)&lt;&gt;"",INDEX(properties!A$1:CB$87,'Fórmula'!F12,13)),IF(INDEX(properties!A$1:CB$87,'Fórmula'!H12,13)&lt;&gt;"",INDEX(properties!A$1:CB$87,'Fórmula'!H12,13)),IF(INDEX(properties!A$1:CB$87,'Fórmula'!J12,13)&lt;&gt;"",INDEX(properties!A$1:CB$87,'Fórmula'!J12,13)))</f>
        <v>0</v>
      </c>
      <c r="BA12" s="109">
        <f t="array" ref="BA12">MAX(INDEX(properties!A$1:CB$87,'Fórmula'!B12,13),INDEX(properties!A$1:CB$87,'Fórmula'!D12,13),INDEX(properties!A$1:CB$87,'Fórmula'!F12,13),INDEX(properties!A$1:CB$87,'Fórmula'!H12,13),INDEX(properties!A$1:CB$87,'Fórmula'!J12,13))</f>
        <v>0</v>
      </c>
      <c r="BB12" s="109">
        <f t="array" ref="BB12">MIN(IF('Fórmula'!B12=87,10^6,INDEX(properties!A$1:CB$87,'Fórmula'!B12,13)),IF(('Fórmula'!D12)=87,10^6,INDEX(properties!A$1:CB$87,'Fórmula'!D12,13)),IF(('Fórmula'!F12)=87,10^6,INDEX(properties!A$1:CB$87,'Fórmula'!F12,13)),IF(('Fórmula'!H12)=87,10^6,INDEX(properties!A$1:CB$87,'Fórmula'!H12,13)),IF('Fórmula'!J12=87,10^6,INDEX(properties!A$1:CB$87,'Fórmula'!J12,13)))</f>
        <v>0</v>
      </c>
      <c r="BC12" s="109">
        <f t="shared" si="9"/>
        <v>0</v>
      </c>
      <c r="BD12" s="110">
        <f t="array" ref="BD12">(('Fórmula'!C12)/('Fórmula'!C12+'Fórmula'!E12+'Fórmula'!G12+'Fórmula'!I12+'Fórmula'!K12))*(INDEX(properties!A$1:CB$87,'Fórmula'!B12,14))+(('Fórmula'!E12)/('Fórmula'!C12+'Fórmula'!E12+'Fórmula'!G12+'Fórmula'!I12+'Fórmula'!K12))*(INDEX(properties!A$1:CB$87,'Fórmula'!D12,14))+(('Fórmula'!G12)/('Fórmula'!C12+'Fórmula'!E12+'Fórmula'!G12+'Fórmula'!I12+'Fórmula'!K12))*(INDEX(properties!A$1:CB$87,'Fórmula'!F12,14))+(('Fórmula'!I12)/('Fórmula'!C12+'Fórmula'!E12+'Fórmula'!G12+'Fórmula'!I12+'Fórmula'!K12))*(INDEX(properties!A$1:CB$87,'Fórmula'!H12,14))+(('Fórmula'!K12)/('Fórmula'!C12+'Fórmula'!E12+'Fórmula'!G12+'Fórmula'!I12+'Fórmula'!K12))*(INDEX(properties!A$1:CB$87,'Fórmula'!J12,14))</f>
        <v>0</v>
      </c>
      <c r="BE12" s="110">
        <f t="array" ref="BE12">'Fórmula'!C12*(INDEX(properties!A$1:CB$87,'Fórmula'!B12,14))+'Fórmula'!E12*(INDEX(properties!A$1:CB$87,'Fórmula'!D12,14))+'Fórmula'!G12*(INDEX(properties!A$1:CB$87,'Fórmula'!F12,14))+'Fórmula'!I12*(INDEX(properties!A$1:CB$87,'Fórmula'!H12,14))+'Fórmula'!K12*(INDEX(properties!A$1:CB$87,'Fórmula'!J12,14))</f>
        <v>0</v>
      </c>
      <c r="BF12" s="110">
        <f t="array" ref="BF12">VARP(IF(INDEX(properties!A$1:CB$87,'Fórmula'!B12,14)&lt;&gt;"",INDEX(properties!A$1:CB$87,'Fórmula'!B12,14)),IF(INDEX(properties!A$1:CB$87,'Fórmula'!D12,14)&lt;&gt;"",INDEX(properties!A$1:CB$87,'Fórmula'!D12,14)),IF(INDEX(properties!A$1:CB$87,'Fórmula'!F12,14)&lt;&gt;"",INDEX(properties!A$1:CB$87,'Fórmula'!F12,14)),IF(INDEX(properties!A$1:CB$87,'Fórmula'!H12,14)&lt;&gt;"",INDEX(properties!A$1:CB$87,'Fórmula'!H12,14)),IF(INDEX(properties!A$1:CB$87,'Fórmula'!J12,14)&lt;&gt;"",INDEX(properties!A$1:CB$87,'Fórmula'!J12,14)))</f>
        <v>0</v>
      </c>
      <c r="BG12" s="110">
        <f t="array" ref="BG12">MAX(INDEX(properties!A$1:CB$87,'Fórmula'!B12,14),INDEX(properties!A$1:CB$87,'Fórmula'!D12,14),INDEX(properties!A$1:CB$87,'Fórmula'!F12,14),INDEX(properties!A$1:CB$87,'Fórmula'!H12,14),INDEX(properties!A$1:CB$87,'Fórmula'!J12,14))</f>
        <v>0</v>
      </c>
      <c r="BH12" s="110">
        <f t="array" ref="BH12">MIN(IF('Fórmula'!B12=87,10^6,INDEX(properties!A$1:CB$87,'Fórmula'!B12,14)),IF(('Fórmula'!D12)=87,10^6,INDEX(properties!A$1:CB$87,'Fórmula'!D12,14)),IF(('Fórmula'!F12)=87,10^6,INDEX(properties!A$1:CB$87,'Fórmula'!F12,14)),IF(('Fórmula'!H12)=87,10^6,INDEX(properties!A$1:CB$87,'Fórmula'!H12,14)),IF('Fórmula'!J12=87,10^6,INDEX(properties!A$1:CB$87,'Fórmula'!J12,14)))</f>
        <v>0</v>
      </c>
      <c r="BI12" s="110">
        <f t="shared" si="10"/>
        <v>0</v>
      </c>
      <c r="BJ12" s="111">
        <f t="array" ref="BJ12">(('Fórmula'!C12)/('Fórmula'!C12+'Fórmula'!E12+'Fórmula'!G12+'Fórmula'!I12+'Fórmula'!K12))*(INDEX(properties!A$1:CB$87,'Fórmula'!B12,19))+(('Fórmula'!E12)/('Fórmula'!C12+'Fórmula'!E12+'Fórmula'!G12+'Fórmula'!I12+'Fórmula'!K12))*(INDEX(properties!A$1:CB$87,'Fórmula'!D12,19))+(('Fórmula'!G12)/('Fórmula'!C12+'Fórmula'!E12+'Fórmula'!G12+'Fórmula'!I12+'Fórmula'!K12))*(INDEX(properties!A$1:CB$87,'Fórmula'!F12,19))+(('Fórmula'!I12)/('Fórmula'!C12+'Fórmula'!E12+'Fórmula'!G12+'Fórmula'!I12+'Fórmula'!K12))*(INDEX(properties!A$1:CB$87,'Fórmula'!H12,19))+(('Fórmula'!K12)/('Fórmula'!C12+'Fórmula'!E12+'Fórmula'!G12+'Fórmula'!I12+'Fórmula'!K12))*(INDEX(properties!A$1:CB$87,'Fórmula'!J12,19))</f>
        <v>4</v>
      </c>
      <c r="BK12" s="111">
        <f t="array" ref="BK12">'Fórmula'!C12*(INDEX(properties!A$1:CB$87,'Fórmula'!B12,19))+'Fórmula'!E12*(INDEX(properties!A$1:CB$87,'Fórmula'!D12,19))+'Fórmula'!G12*(INDEX(properties!A$1:CB$87,'Fórmula'!F12,19))+'Fórmula'!I12*(INDEX(properties!A$1:CB$87,'Fórmula'!H12,19))+'Fórmula'!K12*(INDEX(properties!A$1:CB$87,'Fórmula'!J12,19))</f>
        <v>32</v>
      </c>
      <c r="BL12" s="111">
        <f t="array" ref="BL12">VARP(IF(INDEX(properties!A$1:CB$87,'Fórmula'!B12,19)&lt;&gt;"",INDEX(properties!A$1:CB$87,'Fórmula'!B12,19)),IF(INDEX(properties!A$1:CB$87,'Fórmula'!D12,19)&lt;&gt;"",INDEX(properties!A$1:CB$87,'Fórmula'!D12,19)),IF(INDEX(properties!A$1:CB$87,'Fórmula'!F12,19)&lt;&gt;"",INDEX(properties!A$1:CB$87,'Fórmula'!F12,19)),IF(INDEX(properties!A$1:CB$87,'Fórmula'!H12,19)&lt;&gt;"",INDEX(properties!A$1:CB$87,'Fórmula'!H12,19)),IF(INDEX(properties!A$1:CB$87,'Fórmula'!J12,19)&lt;&gt;"",INDEX(properties!A$1:CB$87,'Fórmula'!J12,19)))</f>
        <v>4.64</v>
      </c>
      <c r="BM12" s="111">
        <f t="array" ref="BM12">MAX(INDEX(properties!A$1:CB$87,'Fórmula'!B12,19),INDEX(properties!A$1:CB$87,'Fórmula'!D12,19),INDEX(properties!A$1:CB$87,'Fórmula'!F12,19),INDEX(properties!A$1:CB$87,'Fórmula'!H12,19),INDEX(properties!A$1:CB$87,'Fórmula'!J12,19))</f>
        <v>6</v>
      </c>
      <c r="BN12" s="111">
        <f t="array" ref="BN12">MIN(IF(INDEX(properties!A$1:CB$87,'Fórmula'!B12,19)=0,10^6,INDEX(properties!A$1:CB$87,'Fórmula'!B12,19)),IF(INDEX(properties!A$1:CB$87,'Fórmula'!D12,19)=0,10^6,INDEX(properties!A$1:CB$87,'Fórmula'!D12,19)),IF(INDEX(properties!A$1:CB$87,'Fórmula'!F12,19)=0,10^6,INDEX(properties!A$1:CB$87,'Fórmula'!F12,19)),IF(INDEX(properties!A$1:CB$87,'Fórmula'!H12,19)=0,10^6,INDEX(properties!A$1:CB$87,'Fórmula'!H12,19)),IF(INDEX(properties!A$1:CB$87,'Fórmula'!J12,19)=0,10^6,INDEX(properties!A$1:CB$87,'Fórmula'!J12,19)))</f>
        <v>1</v>
      </c>
      <c r="BO12" s="111">
        <f t="shared" si="11"/>
        <v>5</v>
      </c>
      <c r="BP12" s="112">
        <f t="array" ref="BP12">(('Fórmula'!C12)/('Fórmula'!C12+'Fórmula'!E12+'Fórmula'!G12+'Fórmula'!I12+'Fórmula'!K12))*(INDEX(properties!A$1:CB$87,'Fórmula'!B12,20))+(('Fórmula'!E12)/('Fórmula'!C12+'Fórmula'!E12+'Fórmula'!G12+'Fórmula'!I12+'Fórmula'!K12))*(INDEX(properties!A$1:CB$87,'Fórmula'!D12,20))+(('Fórmula'!G12)/('Fórmula'!C12+'Fórmula'!E12+'Fórmula'!G12+'Fórmula'!I12+'Fórmula'!K12))*(INDEX(properties!A$1:CB$87,'Fórmula'!F12,20))+(('Fórmula'!I12)/('Fórmula'!C12+'Fórmula'!E12+'Fórmula'!G12+'Fórmula'!I12+'Fórmula'!K12))*(INDEX(properties!A$1:CB$87,'Fórmula'!H12,20))+(('Fórmula'!K12)/('Fórmula'!C12+'Fórmula'!E12+'Fórmula'!G12+'Fórmula'!I12+'Fórmula'!K12))*(INDEX(properties!A$1:CB$87,'Fórmula'!J12,20))</f>
        <v>4</v>
      </c>
      <c r="BQ12" s="112">
        <f t="array" ref="BQ12">'Fórmula'!C12*(INDEX(properties!A$1:CB$87,'Fórmula'!B12,20))+'Fórmula'!E12*(INDEX(properties!A$1:CB$87,'Fórmula'!D12,20))+'Fórmula'!G12*(INDEX(properties!A$1:CB$87,'Fórmula'!F12,20))+'Fórmula'!I12*(INDEX(properties!A$1:CB$87,'Fórmula'!H12,20))+'Fórmula'!K12*(INDEX(properties!A$1:CB$87,'Fórmula'!J12,20))</f>
        <v>32</v>
      </c>
      <c r="BR12" s="112">
        <f t="array" ref="BR12">VARP(IF(INDEX(properties!A$1:CB$87,'Fórmula'!B12,20)&lt;&gt;"",INDEX(properties!A$1:CB$87,'Fórmula'!B12,20)),IF(INDEX(properties!A$1:CB$87,'Fórmula'!D12,20)&lt;&gt;"",INDEX(properties!A$1:CB$87,'Fórmula'!D12,20)),IF(INDEX(properties!A$1:CB$87,'Fórmula'!F12,20)&lt;&gt;"",INDEX(properties!A$1:CB$87,'Fórmula'!F12,20)),IF(INDEX(properties!A$1:CB$87,'Fórmula'!H12,20)&lt;&gt;"",INDEX(properties!A$1:CB$87,'Fórmula'!H12,20)),IF(INDEX(properties!A$1:CB$87,'Fórmula'!J12,20)&lt;&gt;"",INDEX(properties!A$1:CB$87,'Fórmula'!J12,20)))</f>
        <v>4.64</v>
      </c>
      <c r="BS12" s="112">
        <f t="array" ref="BS12">MAX(INDEX(properties!A$1:CB$87,'Fórmula'!B12,20),INDEX(properties!A$1:CB$87,'Fórmula'!D12,20),INDEX(properties!A$1:CB$87,'Fórmula'!F12,20),INDEX(properties!A$1:CB$87,'Fórmula'!H12,20),INDEX(properties!A$1:CB$87,'Fórmula'!J12,20))</f>
        <v>6</v>
      </c>
      <c r="BT12" s="112">
        <f t="array" ref="BT12">MIN(IF(INDEX(properties!A$1:CB$87,'Fórmula'!B12,20)=0,10^6,INDEX(properties!A$1:CB$87,'Fórmula'!B12,20)),IF(INDEX(properties!A$1:CB$87,'Fórmula'!D12,20)=0,10^6,INDEX(properties!A$1:CB$87,'Fórmula'!D12,20)),IF(INDEX(properties!A$1:CB$87,'Fórmula'!F12,20)=0,10^6,INDEX(properties!A$1:CB$87,'Fórmula'!F12,20)),IF(INDEX(properties!A$1:CB$87,'Fórmula'!H12,20)=0,10^6,INDEX(properties!A$1:CB$87,'Fórmula'!H12,20)),IF(INDEX(properties!A$1:CB$87,'Fórmula'!J12,20)=0,10^6,INDEX(properties!A$1:CB$87,'Fórmula'!J12,20)))</f>
        <v>1</v>
      </c>
      <c r="BU12" s="112">
        <f t="shared" si="12"/>
        <v>5</v>
      </c>
      <c r="BV12" s="113">
        <f t="array" ref="BV12">(('Fórmula'!C12)/('Fórmula'!C12+'Fórmula'!E12+'Fórmula'!G12+'Fórmula'!I12+'Fórmula'!K12))*(INDEX(properties!A$1:CB$87,'Fórmula'!B12,21))+(('Fórmula'!E12)/('Fórmula'!C12+'Fórmula'!E12+'Fórmula'!G12+'Fórmula'!I12+'Fórmula'!K12))*(INDEX(properties!A$1:CB$87,'Fórmula'!D12,21))+(('Fórmula'!G12)/('Fórmula'!C12+'Fórmula'!E12+'Fórmula'!G12+'Fórmula'!I12+'Fórmula'!K12))*(INDEX(properties!A$1:CB$87,'Fórmula'!F12,21))+(('Fórmula'!I12)/('Fórmula'!C12+'Fórmula'!E12+'Fórmula'!G12+'Fórmula'!I12+'Fórmula'!K12))*(INDEX(properties!A$1:CB$87,'Fórmula'!H12,21))+(('Fórmula'!K12)/('Fórmula'!C12+'Fórmula'!E12+'Fórmula'!G12+'Fórmula'!I12+'Fórmula'!K12))*(INDEX(properties!A$1:CB$87,'Fórmula'!J12,21))</f>
        <v>4</v>
      </c>
      <c r="BW12" s="113">
        <f t="array" ref="BW12">'Fórmula'!C12*(INDEX(properties!A$1:CB$87,'Fórmula'!B12,21))+'Fórmula'!E12*(INDEX(properties!A$1:CB$87,'Fórmula'!D12,21))+'Fórmula'!G12*(INDEX(properties!A$1:CB$87,'Fórmula'!F12,21))+'Fórmula'!I12*(INDEX(properties!A$1:CB$87,'Fórmula'!H12,21))+'Fórmula'!K12*(INDEX(properties!A$1:CB$87,'Fórmula'!J12,21))</f>
        <v>32</v>
      </c>
      <c r="BX12" s="113">
        <f t="array" ref="BX12">VARP(IF(INDEX(properties!A$1:CB$87,'Fórmula'!B12,21)&lt;&gt;"",INDEX(properties!A$1:CB$87,'Fórmula'!B12,21)),IF(INDEX(properties!A$1:CB$87,'Fórmula'!D12,21)&lt;&gt;"",INDEX(properties!A$1:CB$87,'Fórmula'!D12,21)),IF(INDEX(properties!A$1:CB$87,'Fórmula'!F12,21)&lt;&gt;"",INDEX(properties!A$1:CB$87,'Fórmula'!F12,21)),IF(INDEX(properties!A$1:CB$87,'Fórmula'!H12,21)&lt;&gt;"",INDEX(properties!A$1:CB$87,'Fórmula'!H12,21)),IF(INDEX(properties!A$1:CB$87,'Fórmula'!J12,21)&lt;&gt;"",INDEX(properties!A$1:CB$87,'Fórmula'!J12,21)))</f>
        <v>4.64</v>
      </c>
      <c r="BY12" s="113">
        <f t="array" ref="BY12">MAX(INDEX(properties!A$1:CB$87,'Fórmula'!B12,21),INDEX(properties!A$1:CB$87,'Fórmula'!D12,21),INDEX(properties!A$1:CB$87,'Fórmula'!F12,21),INDEX(properties!A$1:CB$87,'Fórmula'!H12,21),INDEX(properties!A$1:CB$87,'Fórmula'!J12,21))</f>
        <v>6</v>
      </c>
      <c r="BZ12" s="113">
        <f t="array" ref="BZ12">MIN(IF(INDEX(properties!A$1:CB$87,'Fórmula'!B12,21)=0,10^6,INDEX(properties!A$1:CB$87,'Fórmula'!B12,21)),IF(INDEX(properties!A$1:CB$87,'Fórmula'!D12,21)=0,10^6,INDEX(properties!A$1:CB$87,'Fórmula'!D12,21)),IF(INDEX(properties!A$1:CB$87,'Fórmula'!F12,21)=0,10^6,INDEX(properties!A$1:CB$87,'Fórmula'!F12,21)),IF(INDEX(properties!A$1:CB$87,'Fórmula'!H12,21)=0,10^6,INDEX(properties!A$1:CB$87,'Fórmula'!H12,21)),IF(INDEX(properties!A$1:CB$87,'Fórmula'!J12,21)=0,10^6,INDEX(properties!A$1:CB$87,'Fórmula'!J12,21)))</f>
        <v>1</v>
      </c>
      <c r="CA12" s="113">
        <f t="shared" si="13"/>
        <v>5</v>
      </c>
      <c r="CB12" s="114">
        <f t="array" ref="CB12">(('Fórmula'!C12)/('Fórmula'!C12+'Fórmula'!E12+'Fórmula'!G12+'Fórmula'!I12+'Fórmula'!K12))*(INDEX(properties!A$1:CB$87,'Fórmula'!B12,23))+(('Fórmula'!E12)/('Fórmula'!C12+'Fórmula'!E12+'Fórmula'!G12+'Fórmula'!I12+'Fórmula'!K12))*(INDEX(properties!A$1:CB$87,'Fórmula'!D12,23))+(('Fórmula'!G12)/('Fórmula'!C12+'Fórmula'!E12+'Fórmula'!G12+'Fórmula'!I12+'Fórmula'!K12))*(INDEX(properties!A$1:CB$87,'Fórmula'!F12,23))+(('Fórmula'!I12)/('Fórmula'!C12+'Fórmula'!E12+'Fórmula'!G12+'Fórmula'!I12+'Fórmula'!K12))*(INDEX(properties!A$1:CB$87,'Fórmula'!H12,23))+(('Fórmula'!K12)/('Fórmula'!C12+'Fórmula'!E12+'Fórmula'!G12+'Fórmula'!I12+'Fórmula'!K12))*(INDEX(properties!A$1:CB$87,'Fórmula'!J12,23))</f>
        <v>1</v>
      </c>
      <c r="CC12" s="114">
        <f t="array" ref="CC12">'Fórmula'!C12*(INDEX(properties!A$1:CB$87,'Fórmula'!B12,23))+'Fórmula'!E12*(INDEX(properties!A$1:CB$87,'Fórmula'!D12,23))+'Fórmula'!G12*(INDEX(properties!A$1:CB$87,'Fórmula'!F12,23))+'Fórmula'!I12*(INDEX(properties!A$1:CB$87,'Fórmula'!H12,23))+'Fórmula'!K12*(INDEX(properties!A$1:CB$87,'Fórmula'!J12,23))</f>
        <v>8</v>
      </c>
      <c r="CD12" s="114">
        <f t="array" ref="CD12">VARP(IF(INDEX(properties!A$1:CB$87,'Fórmula'!B12,23)&lt;&gt;"",INDEX(properties!A$1:CB$87,'Fórmula'!B12,23)),IF(INDEX(properties!A$1:CB$87,'Fórmula'!D12,23)&lt;&gt;"",INDEX(properties!A$1:CB$87,'Fórmula'!D12,23)),IF(INDEX(properties!A$1:CB$87,'Fórmula'!F12,23)&lt;&gt;"",INDEX(properties!A$1:CB$87,'Fórmula'!F12,23)),IF(INDEX(properties!A$1:CB$87,'Fórmula'!H12,23)&lt;&gt;"",INDEX(properties!A$1:CB$87,'Fórmula'!H12,23)),IF(INDEX(properties!A$1:CB$87,'Fórmula'!J12,23)&lt;&gt;"",INDEX(properties!A$1:CB$87,'Fórmula'!J12,23)))</f>
        <v>2.24</v>
      </c>
      <c r="CE12" s="114">
        <f t="array" ref="CE12">MAX(INDEX(properties!A$1:CB$87,'Fórmula'!B12,23),INDEX(properties!A$1:CB$87,'Fórmula'!D12,23),INDEX(properties!A$1:CB$87,'Fórmula'!F12,23),INDEX(properties!A$1:CB$87,'Fórmula'!H12,23),INDEX(properties!A$1:CB$87,'Fórmula'!J12,23))</f>
        <v>4</v>
      </c>
      <c r="CF12" s="114">
        <f t="array" ref="CF12">MIN(IF('Fórmula'!B12=87,10^6,INDEX(properties!A$1:CB$87,'Fórmula'!B12,23)),IF(('Fórmula'!D12)=87,10^6,INDEX(properties!A$1:CB$87,'Fórmula'!D12,23)),IF(('Fórmula'!F12)=87,10^6,INDEX(properties!A$1:CB$87,'Fórmula'!F12,23)),IF(('Fórmula'!H12)=87,10^6,INDEX(properties!A$1:CB$87,'Fórmula'!H12,23)),IF('Fórmula'!J12=87,10^6,INDEX(properties!A$1:CB$87,'Fórmula'!J12,23)))</f>
        <v>0</v>
      </c>
      <c r="CG12" s="114">
        <f t="shared" si="14"/>
        <v>4</v>
      </c>
      <c r="CH12" s="115">
        <f t="array" ref="CH12">(('Fórmula'!C12)/('Fórmula'!C12+'Fórmula'!E12+'Fórmula'!G12+'Fórmula'!I12+'Fórmula'!K12))*(INDEX(properties!A$1:CB$87,'Fórmula'!B12,26))+(('Fórmula'!E12)/('Fórmula'!C12+'Fórmula'!E12+'Fórmula'!G12+'Fórmula'!I12+'Fórmula'!K12))*(INDEX(properties!A$1:CB$87,'Fórmula'!D12,26))+(('Fórmula'!G12)/('Fórmula'!C12+'Fórmula'!E12+'Fórmula'!G12+'Fórmula'!I12+'Fórmula'!K12))*(INDEX(properties!A$1:CB$87,'Fórmula'!F12,26))+(('Fórmula'!I12)/('Fórmula'!C12+'Fórmula'!E12+'Fórmula'!G12+'Fórmula'!I12+'Fórmula'!K12))*(INDEX(properties!A$1:CB$87,'Fórmula'!H12,26))+(('Fórmula'!K12)/('Fórmula'!C12+'Fórmula'!E12+'Fórmula'!G12+'Fórmula'!I12+'Fórmula'!K12))*(INDEX(properties!A$1:CB$87,'Fórmula'!J12,26))</f>
        <v>9.8878</v>
      </c>
      <c r="CI12" s="115">
        <f t="array" ref="CI12">'Fórmula'!C12*(INDEX(properties!A$1:CB$87,'Fórmula'!B12,26))+'Fórmula'!E12*(INDEX(properties!A$1:CB$87,'Fórmula'!D12,26))+'Fórmula'!G12*(INDEX(properties!A$1:CB$87,'Fórmula'!F12,26))+'Fórmula'!I12*(INDEX(properties!A$1:CB$87,'Fórmula'!H12,26))+'Fórmula'!K12*(INDEX(properties!A$1:CB$87,'Fórmula'!J12,26))</f>
        <v>79.1024</v>
      </c>
      <c r="CJ12" s="115">
        <f t="array" ref="CJ12">VARP(IF(INDEX(properties!A$1:CB$87,'Fórmula'!B12,26)&lt;&gt;"",INDEX(properties!A$1:CB$87,'Fórmula'!B12,26)),IF(INDEX(properties!A$1:CB$87,'Fórmula'!D12,26)&lt;&gt;"",INDEX(properties!A$1:CB$87,'Fórmula'!D12,26)),IF(INDEX(properties!A$1:CB$87,'Fórmula'!F12,26)&lt;&gt;"",INDEX(properties!A$1:CB$87,'Fórmula'!F12,26)),IF(INDEX(properties!A$1:CB$87,'Fórmula'!H12,26)&lt;&gt;"",INDEX(properties!A$1:CB$87,'Fórmula'!H12,26)),IF(INDEX(properties!A$1:CB$87,'Fórmula'!J12,26)&lt;&gt;"",INDEX(properties!A$1:CB$87,'Fórmula'!J12,26)))</f>
        <v>19.49931424</v>
      </c>
      <c r="CK12" s="116">
        <f t="array" ref="CK12">MAX(INDEX(properties!A$1:CB$87,'Fórmula'!B12,26),INDEX(properties!A$1:CB$87,'Fórmula'!D12,26),INDEX(properties!A$1:CB$87,'Fórmula'!F12,26),INDEX(properties!A$1:CB$87,'Fórmula'!H12,26),INDEX(properties!A$1:CB$87,'Fórmula'!J12,26))</f>
        <v>13.6181</v>
      </c>
      <c r="CL12" s="116">
        <f t="array" ref="CL12">MIN(IF(INDEX(properties!A$1:CB$87,'Fórmula'!B12,26)=0,10^6,INDEX(properties!A$1:CB$87,'Fórmula'!B12,26)),IF(INDEX(properties!A$1:CB$87,'Fórmula'!D12,26)=0,10^6,INDEX(properties!A$1:CB$87,'Fórmula'!D12,26)),IF(INDEX(properties!A$1:CB$87,'Fórmula'!F12,26)=0,10^6,INDEX(properties!A$1:CB$87,'Fórmula'!F12,26)),IF(INDEX(properties!A$1:CB$87,'Fórmula'!H12,26)=0,10^6,INDEX(properties!A$1:CB$87,'Fórmula'!H12,26)),IF(INDEX(properties!A$1:CB$87,'Fórmula'!J12,26)=0,10^6,INDEX(properties!A$1:CB$87,'Fórmula'!J12,26)))</f>
        <v>5.3917</v>
      </c>
      <c r="CM12" s="115">
        <f t="shared" si="15"/>
        <v>8.2264</v>
      </c>
      <c r="CN12" s="117">
        <f t="array" ref="CN12">(('Fórmula'!C12)/('Fórmula'!C12+'Fórmula'!E12+'Fórmula'!G12+'Fórmula'!I12+'Fórmula'!K12))*(INDEX(properties!A$1:CB$87,'Fórmula'!B12,30))+(('Fórmula'!E12)/('Fórmula'!C12+'Fórmula'!E12+'Fórmula'!G12+'Fórmula'!I12+'Fórmula'!K12))*(INDEX(properties!A$1:CB$87,'Fórmula'!D12,30))+(('Fórmula'!G12)/('Fórmula'!C12+'Fórmula'!E12+'Fórmula'!G12+'Fórmula'!I12+'Fórmula'!K12))*(INDEX(properties!A$1:CB$87,'Fórmula'!F12,30))+(('Fórmula'!I12)/('Fórmula'!C12+'Fórmula'!E12+'Fórmula'!G12+'Fórmula'!I12+'Fórmula'!K12))*(INDEX(properties!A$1:CB$87,'Fórmula'!H12,30))+(('Fórmula'!K12)/('Fórmula'!C12+'Fórmula'!E12+'Fórmula'!G12+'Fórmula'!I12+'Fórmula'!K12))*(INDEX(properties!A$1:CB$87,'Fórmula'!J12,30))</f>
        <v>2.32125</v>
      </c>
      <c r="CO12" s="117">
        <f t="array" ref="CO12">'Fórmula'!C12*(INDEX(properties!A$1:CB$87,'Fórmula'!B12,30))+'Fórmula'!E12*(INDEX(properties!A$1:CB$87,'Fórmula'!D12,30))+'Fórmula'!G12*(INDEX(properties!A$1:CB$87,'Fórmula'!F12,30))+'Fórmula'!I12*(INDEX(properties!A$1:CB$87,'Fórmula'!H12,30))+'Fórmula'!K12*(INDEX(properties!A$1:CB$87,'Fórmula'!J12,30))</f>
        <v>18.57</v>
      </c>
      <c r="CP12" s="117">
        <f t="array" ref="CP12">VARP(IF(INDEX(properties!A$1:CB$87,'Fórmula'!B12,30)&lt;&gt;"",INDEX(properties!A$1:CB$87,'Fórmula'!B12,30)),IF(INDEX(properties!A$1:CB$87,'Fórmula'!D12,30)&lt;&gt;"",INDEX(properties!A$1:CB$87,'Fórmula'!D12,30)),IF(INDEX(properties!A$1:CB$87,'Fórmula'!F12,30)&lt;&gt;"",INDEX(properties!A$1:CB$87,'Fórmula'!F12,30)),IF(INDEX(properties!A$1:CB$87,'Fórmula'!H12,30)&lt;&gt;"",INDEX(properties!A$1:CB$87,'Fórmula'!H12,30)),IF(INDEX(properties!A$1:CB$87,'Fórmula'!J12,30)&lt;&gt;"",INDEX(properties!A$1:CB$87,'Fórmula'!J12,30)))</f>
        <v>1.347184</v>
      </c>
      <c r="CQ12" s="117">
        <f t="array" ref="CQ12">MAX(INDEX(properties!A$1:CB$87,'Fórmula'!B12,30),INDEX(properties!A$1:CB$87,'Fórmula'!D12,30),INDEX(properties!A$1:CB$87,'Fórmula'!F12,30),INDEX(properties!A$1:CB$87,'Fórmula'!H12,30),INDEX(properties!A$1:CB$87,'Fórmula'!J12,30))</f>
        <v>3.44</v>
      </c>
      <c r="CR12" s="117">
        <f t="array" ref="CR12">MIN(IF(INDEX(properties!A$1:CB$87,'Fórmula'!B12,30)=0,10^6,INDEX(properties!A$1:CB$87,'Fórmula'!B12,30)),IF(INDEX(properties!A$1:CB$87,'Fórmula'!D12,30)=0,10^6,INDEX(properties!A$1:CB$87,'Fórmula'!D12,30)),IF(INDEX(properties!A$1:CB$87,'Fórmula'!F12,30)=0,10^6,INDEX(properties!A$1:CB$87,'Fórmula'!F12,30)),IF(INDEX(properties!A$1:CB$87,'Fórmula'!H12,30)=0,10^6,INDEX(properties!A$1:CB$87,'Fórmula'!H12,30)),IF(INDEX(properties!A$1:CB$87,'Fórmula'!J12,30)=0,10^6,INDEX(properties!A$1:CB$87,'Fórmula'!J12,30)))</f>
        <v>0.95</v>
      </c>
      <c r="CS12" s="117">
        <f t="shared" si="16"/>
        <v>2.49</v>
      </c>
      <c r="CT12" s="118">
        <f t="array" ref="CT12">(('Fórmula'!C12)/('Fórmula'!C12+'Fórmula'!E12+'Fórmula'!G12+'Fórmula'!I12+'Fórmula'!K12))*(INDEX(properties!A$1:CB$87,'Fórmula'!B12,31))+(('Fórmula'!E12)/('Fórmula'!C12+'Fórmula'!E12+'Fórmula'!G12+'Fórmula'!I12+'Fórmula'!K12))*(INDEX(properties!A$1:CB$87,'Fórmula'!D12,31))+(('Fórmula'!G12)/('Fórmula'!C12+'Fórmula'!E12+'Fórmula'!G12+'Fórmula'!I12+'Fórmula'!K12))*(INDEX(properties!A$1:CB$87,'Fórmula'!F12,31))+(('Fórmula'!I12)/('Fórmula'!C12+'Fórmula'!E12+'Fórmula'!G12+'Fórmula'!I12+'Fórmula'!K12))*(INDEX(properties!A$1:CB$87,'Fórmula'!H12,31))+(('Fórmula'!K12)/('Fórmula'!C12+'Fórmula'!E12+'Fórmula'!G12+'Fórmula'!I12+'Fórmula'!K12))*(INDEX(properties!A$1:CB$87,'Fórmula'!J12,31))</f>
        <v>2.27375</v>
      </c>
      <c r="CU12" s="118">
        <f t="array" ref="CU12">'Fórmula'!C12*(INDEX(properties!A$1:CB$87,'Fórmula'!B12,31))+'Fórmula'!E12*(INDEX(properties!A$1:CB$87,'Fórmula'!D12,31))+'Fórmula'!G12*(INDEX(properties!A$1:CB$87,'Fórmula'!F12,31))+'Fórmula'!I12*(INDEX(properties!A$1:CB$87,'Fórmula'!H12,31))+'Fórmula'!K12*(INDEX(properties!A$1:CB$87,'Fórmula'!J12,31))</f>
        <v>18.19</v>
      </c>
      <c r="CV12" s="118">
        <f t="array" ref="CV12">VARP(IF(INDEX(properties!A$1:CB$87,'Fórmula'!B12,31)&lt;&gt;"",INDEX(properties!A$1:CB$87,'Fórmula'!B12,31)),IF(INDEX(properties!A$1:CB$87,'Fórmula'!D12,31)&lt;&gt;"",INDEX(properties!A$1:CB$87,'Fórmula'!D12,31)),IF(INDEX(properties!A$1:CB$87,'Fórmula'!F12,31)&lt;&gt;"",INDEX(properties!A$1:CB$87,'Fórmula'!F12,31)),IF(INDEX(properties!A$1:CB$87,'Fórmula'!H12,31)&lt;&gt;"",INDEX(properties!A$1:CB$87,'Fórmula'!H12,31)),IF(INDEX(properties!A$1:CB$87,'Fórmula'!J12,31)&lt;&gt;"",INDEX(properties!A$1:CB$87,'Fórmula'!J12,31)))</f>
        <v>1.256784</v>
      </c>
      <c r="CW12" s="118">
        <f t="array" ref="CW12">MAX(INDEX(properties!A$1:CB$87,'Fórmula'!B12,31),INDEX(properties!A$1:CB$87,'Fórmula'!D12,31),INDEX(properties!A$1:CB$87,'Fórmula'!F12,31),INDEX(properties!A$1:CB$87,'Fórmula'!H12,31),INDEX(properties!A$1:CB$87,'Fórmula'!J12,31))</f>
        <v>3.32</v>
      </c>
      <c r="CX12" s="118">
        <f t="array" ref="CX12">MIN(IF(INDEX(properties!A$1:CB$87,'Fórmula'!B12,31)=0,10^6,INDEX(properties!A$1:CB$87,'Fórmula'!B12,31)),IF(INDEX(properties!A$1:CB$87,'Fórmula'!D12,31)=0,10^6,INDEX(properties!A$1:CB$87,'Fórmula'!D12,31)),IF(INDEX(properties!A$1:CB$87,'Fórmula'!F12,31)=0,10^6,INDEX(properties!A$1:CB$87,'Fórmula'!F12,31)),IF(INDEX(properties!A$1:CB$87,'Fórmula'!H12,31)=0,10^6,INDEX(properties!A$1:CB$87,'Fórmula'!H12,31)),IF(INDEX(properties!A$1:CB$87,'Fórmula'!J12,31)=0,10^6,INDEX(properties!A$1:CB$87,'Fórmula'!J12,31)))</f>
        <v>0.9</v>
      </c>
      <c r="CY12" s="118">
        <f t="shared" si="17"/>
        <v>2.42</v>
      </c>
      <c r="CZ12" s="119">
        <f t="array" ref="CZ12">(('Fórmula'!C12)/('Fórmula'!C12+'Fórmula'!E12+'Fórmula'!G12+'Fórmula'!I12+'Fórmula'!K12))*(INDEX(properties!A$1:CB$87,'Fórmula'!B12,32))+(('Fórmula'!E12)/('Fórmula'!C12+'Fórmula'!E12+'Fórmula'!G12+'Fórmula'!I12+'Fórmula'!K12))*(INDEX(properties!A$1:CB$87,'Fórmula'!D12,32))+(('Fórmula'!G12)/('Fórmula'!C12+'Fórmula'!E12+'Fórmula'!G12+'Fórmula'!I12+'Fórmula'!K12))*(INDEX(properties!A$1:CB$87,'Fórmula'!F12,32))+(('Fórmula'!I12)/('Fórmula'!C12+'Fórmula'!E12+'Fórmula'!G12+'Fórmula'!I12+'Fórmula'!K12))*(INDEX(properties!A$1:CB$87,'Fórmula'!H12,32))+(('Fórmula'!K12)/('Fórmula'!C12+'Fórmula'!E12+'Fórmula'!G12+'Fórmula'!I12+'Fórmula'!K12))*(INDEX(properties!A$1:CB$87,'Fórmula'!J12,32))</f>
        <v>5.36875</v>
      </c>
      <c r="DA12" s="119">
        <f t="array" ref="DA12">'Fórmula'!C12*(INDEX(properties!A$1:CB$87,'Fórmula'!B12,32))+'Fórmula'!E12*(INDEX(properties!A$1:CB$87,'Fórmula'!D12,32))+'Fórmula'!G12*(INDEX(properties!A$1:CB$87,'Fórmula'!F12,32))+'Fórmula'!I12*(INDEX(properties!A$1:CB$87,'Fórmula'!H12,32))+'Fórmula'!K12*(INDEX(properties!A$1:CB$87,'Fórmula'!J12,32))</f>
        <v>42.95</v>
      </c>
      <c r="DB12" s="119">
        <f t="array" ref="DB12">VARP(IF(INDEX(properties!A$1:CB$87,'Fórmula'!B12,32)&lt;&gt;"",INDEX(properties!A$1:CB$87,'Fórmula'!B12,32)),IF(INDEX(properties!A$1:CB$87,'Fórmula'!D12,32)&lt;&gt;"",INDEX(properties!A$1:CB$87,'Fórmula'!D12,32)),IF(INDEX(properties!A$1:CB$87,'Fórmula'!F12,32)&lt;&gt;"",INDEX(properties!A$1:CB$87,'Fórmula'!F12,32)),IF(INDEX(properties!A$1:CB$87,'Fórmula'!H12,32)&lt;&gt;"",INDEX(properties!A$1:CB$87,'Fórmula'!H12,32)),IF(INDEX(properties!A$1:CB$87,'Fórmula'!J12,32)&lt;&gt;"",INDEX(properties!A$1:CB$87,'Fórmula'!J12,32)))</f>
        <v>6.533624</v>
      </c>
      <c r="DC12" s="119">
        <f t="array" ref="DC12">MAX(INDEX(properties!A$1:CB$87,'Fórmula'!B12,32),INDEX(properties!A$1:CB$87,'Fórmula'!D12,32),INDEX(properties!A$1:CB$87,'Fórmula'!F12,32),INDEX(properties!A$1:CB$87,'Fórmula'!H12,32),INDEX(properties!A$1:CB$87,'Fórmula'!J12,32))</f>
        <v>7.54</v>
      </c>
      <c r="DD12" s="119">
        <f t="array" ref="DD12">MIN(IF(INDEX(properties!A$1:CB$87,'Fórmula'!B12,32)=0,10^6,INDEX(properties!A$1:CB$87,'Fórmula'!B12,32)),IF(INDEX(properties!A$1:CB$87,'Fórmula'!D12,32)=0,10^6,INDEX(properties!A$1:CB$87,'Fórmula'!D12,32)),IF(INDEX(properties!A$1:CB$87,'Fórmula'!F12,32)=0,10^6,INDEX(properties!A$1:CB$87,'Fórmula'!F12,32)),IF(INDEX(properties!A$1:CB$87,'Fórmula'!H12,32)=0,10^6,INDEX(properties!A$1:CB$87,'Fórmula'!H12,32)),IF(INDEX(properties!A$1:CB$87,'Fórmula'!J12,32)=0,10^6,INDEX(properties!A$1:CB$87,'Fórmula'!J12,32)))</f>
        <v>2</v>
      </c>
      <c r="DE12" s="119">
        <f t="shared" si="18"/>
        <v>5.54</v>
      </c>
      <c r="DF12" s="104">
        <f t="array" ref="DF12">(('Fórmula'!C12)/('Fórmula'!C12+'Fórmula'!E12+'Fórmula'!G12+'Fórmula'!I12+'Fórmula'!K12))*(INDEX(properties!A$1:CB$87,'Fórmula'!B12,34))+(('Fórmula'!E12)/('Fórmula'!C12+'Fórmula'!E12+'Fórmula'!G12+'Fórmula'!I12+'Fórmula'!K12))*(INDEX(properties!A$1:CB$87,'Fórmula'!D12,34))+(('Fórmula'!G12)/('Fórmula'!C12+'Fórmula'!E12+'Fórmula'!G12+'Fórmula'!I12+'Fórmula'!K12))*(INDEX(properties!A$1:CB$87,'Fórmula'!F12,34))+(('Fórmula'!I12)/('Fórmula'!C12+'Fórmula'!E12+'Fórmula'!G12+'Fórmula'!I12+'Fórmula'!K12))*(INDEX(properties!A$1:CB$87,'Fórmula'!H12,34))+(('Fórmula'!K12)/('Fórmula'!C12+'Fórmula'!E12+'Fórmula'!G12+'Fórmula'!I12+'Fórmula'!K12))*(INDEX(properties!A$1:CB$87,'Fórmula'!J12,34))</f>
        <v>2.392875</v>
      </c>
      <c r="DG12" s="104">
        <f t="array" ref="DG12">'Fórmula'!C12*(INDEX(properties!A$1:CB$87,'Fórmula'!B12,34))+'Fórmula'!E12*(INDEX(properties!A$1:CB$87,'Fórmula'!D12,34))+'Fórmula'!G12*(INDEX(properties!A$1:CB$87,'Fórmula'!F12,34))+'Fórmula'!I12*(INDEX(properties!A$1:CB$87,'Fórmula'!H12,34))+'Fórmula'!K12*(INDEX(properties!A$1:CB$87,'Fórmula'!J12,34))</f>
        <v>19.143</v>
      </c>
      <c r="DH12" s="104">
        <f t="array" ref="DH12">VARP(IF(INDEX(properties!A$1:CB$87,'Fórmula'!B12,34)&lt;&gt;"",INDEX(properties!A$1:CB$87,'Fórmula'!B12,34)),IF(INDEX(properties!A$1:CB$87,'Fórmula'!D12,34)&lt;&gt;"",INDEX(properties!A$1:CB$87,'Fórmula'!D12,34)),IF(INDEX(properties!A$1:CB$87,'Fórmula'!F12,34)&lt;&gt;"",INDEX(properties!A$1:CB$87,'Fórmula'!F12,34)),IF(INDEX(properties!A$1:CB$87,'Fórmula'!H12,34)&lt;&gt;"",INDEX(properties!A$1:CB$87,'Fórmula'!H12,34)),IF(INDEX(properties!A$1:CB$87,'Fórmula'!J12,34)&lt;&gt;"",INDEX(properties!A$1:CB$87,'Fórmula'!J12,34)))</f>
        <v>1.50146176</v>
      </c>
      <c r="DI12" s="104">
        <f t="array" ref="DI12">MAX(INDEX(properties!A$1:CB$87,'Fórmula'!B12,34),INDEX(properties!A$1:CB$87,'Fórmula'!D12,34),INDEX(properties!A$1:CB$87,'Fórmula'!F12,34),INDEX(properties!A$1:CB$87,'Fórmula'!H12,34),INDEX(properties!A$1:CB$87,'Fórmula'!J12,34))</f>
        <v>3.61</v>
      </c>
      <c r="DJ12" s="104">
        <f t="array" ref="DJ12">MIN(IF(INDEX(properties!A$1:CB$87,'Fórmula'!B12,34)=0,10^6,INDEX(properties!A$1:CB$87,'Fórmula'!B12,34)),IF(INDEX(properties!A$1:CB$87,'Fórmula'!D12,34)=0,10^6,INDEX(properties!A$1:CB$87,'Fórmula'!D12,34)),IF(INDEX(properties!A$1:CB$87,'Fórmula'!F12,34)=0,10^6,INDEX(properties!A$1:CB$87,'Fórmula'!F12,34)),IF(INDEX(properties!A$1:CB$87,'Fórmula'!H12,34)=0,10^6,INDEX(properties!A$1:CB$87,'Fórmula'!H12,34)),IF(INDEX(properties!A$1:CB$87,'Fórmula'!J12,34)=0,10^6,INDEX(properties!A$1:CB$87,'Fórmula'!J12,34)))</f>
        <v>0.912</v>
      </c>
      <c r="DK12" s="104">
        <f t="shared" si="19"/>
        <v>2.698</v>
      </c>
      <c r="DL12" s="105">
        <f t="array" ref="DL12">(('Fórmula'!C12)/('Fórmula'!C12+'Fórmula'!E12+'Fórmula'!G12+'Fórmula'!I12+'Fórmula'!K12))*(INDEX(properties!A$1:CB$87,'Fórmula'!B12,37))+(('Fórmula'!E12)/('Fórmula'!C12+'Fórmula'!E12+'Fórmula'!G12+'Fórmula'!I12+'Fórmula'!K12))*(INDEX(properties!A$1:CB$87,'Fórmula'!D12,37))+(('Fórmula'!G12)/('Fórmula'!C12+'Fórmula'!E12+'Fórmula'!G12+'Fórmula'!I12+'Fórmula'!K12))*(INDEX(properties!A$1:CB$87,'Fórmula'!F12,37))+(('Fórmula'!I12)/('Fórmula'!C12+'Fórmula'!E12+'Fórmula'!G12+'Fórmula'!I12+'Fórmula'!K12))*(INDEX(properties!A$1:CB$87,'Fórmula'!H12,37))+(('Fórmula'!K12)/('Fórmula'!C12+'Fórmula'!E12+'Fórmula'!G12+'Fórmula'!I12+'Fórmula'!K12))*(INDEX(properties!A$1:CB$87,'Fórmula'!J12,37))</f>
        <v>2.3125</v>
      </c>
      <c r="DM12" s="105">
        <f t="array" ref="DM12">'Fórmula'!C12*(INDEX(properties!A$1:CB$87,'Fórmula'!B12,37))+'Fórmula'!E12*(INDEX(properties!A$1:CB$87,'Fórmula'!D12,37))+'Fórmula'!G12*(INDEX(properties!A$1:CB$87,'Fórmula'!F12,37))+'Fórmula'!I12*(INDEX(properties!A$1:CB$87,'Fórmula'!H12,37))+'Fórmula'!K12*(INDEX(properties!A$1:CB$87,'Fórmula'!J12,37))</f>
        <v>18.5</v>
      </c>
      <c r="DN12" s="105">
        <f t="array" ref="DN12">VARP(IF(INDEX(properties!A$1:CB$87,'Fórmula'!B12,37)&lt;&gt;"",INDEX(properties!A$1:CB$87,'Fórmula'!B12,37)),IF(INDEX(properties!A$1:CB$87,'Fórmula'!D12,37)&lt;&gt;"",INDEX(properties!A$1:CB$87,'Fórmula'!D12,37)),IF(INDEX(properties!A$1:CB$87,'Fórmula'!F12,37)&lt;&gt;"",INDEX(properties!A$1:CB$87,'Fórmula'!F12,37)),IF(INDEX(properties!A$1:CB$87,'Fórmula'!H12,37)&lt;&gt;"",INDEX(properties!A$1:CB$87,'Fórmula'!H12,37)),IF(INDEX(properties!A$1:CB$87,'Fórmula'!J12,37)&lt;&gt;"",INDEX(properties!A$1:CB$87,'Fórmula'!J12,37)))</f>
        <v>1.3354</v>
      </c>
      <c r="DO12" s="105">
        <f t="array" ref="DO12">MAX(INDEX(properties!A$1:CB$87,'Fórmula'!B12,37),INDEX(properties!A$1:CB$87,'Fórmula'!D12,37),INDEX(properties!A$1:CB$87,'Fórmula'!F12,37),INDEX(properties!A$1:CB$87,'Fórmula'!H12,37),INDEX(properties!A$1:CB$87,'Fórmula'!J12,37))</f>
        <v>3.45</v>
      </c>
      <c r="DP12" s="105">
        <f t="array" ref="DP12">MIN(IF(INDEX(properties!A$1:CB$87,'Fórmula'!B12,37)=0,10^6,INDEX(properties!A$1:CB$87,'Fórmula'!B12,37)),IF(INDEX(properties!A$1:CB$87,'Fórmula'!D12,37)=0,10^6,INDEX(properties!A$1:CB$87,'Fórmula'!D12,37)),IF(INDEX(properties!A$1:CB$87,'Fórmula'!F12,37)=0,10^6,INDEX(properties!A$1:CB$87,'Fórmula'!F12,37)),IF(INDEX(properties!A$1:CB$87,'Fórmula'!H12,37)=0,10^6,INDEX(properties!A$1:CB$87,'Fórmula'!H12,37)),IF(INDEX(properties!A$1:CB$87,'Fórmula'!J12,37)=0,10^6,INDEX(properties!A$1:CB$87,'Fórmula'!J12,37)))</f>
        <v>0.95</v>
      </c>
      <c r="DQ12" s="105">
        <f t="shared" si="20"/>
        <v>2.5</v>
      </c>
      <c r="DR12" s="109">
        <f t="array" ref="DR12">(('Fórmula'!C12)/('Fórmula'!C12+'Fórmula'!E12+'Fórmula'!G12+'Fórmula'!I12+'Fórmula'!K12))*(INDEX(properties!A$1:CB$87,'Fórmula'!B12,39))+(('Fórmula'!E12)/('Fórmula'!C12+'Fórmula'!E12+'Fórmula'!G12+'Fórmula'!I12+'Fórmula'!K12))*(INDEX(properties!A$1:CB$87,'Fórmula'!D12,39))+(('Fórmula'!G12)/('Fórmula'!C12+'Fórmula'!E12+'Fórmula'!G12+'Fórmula'!I12+'Fórmula'!K12))*(INDEX(properties!A$1:CB$87,'Fórmula'!F12,39))+(('Fórmula'!I12)/('Fórmula'!C12+'Fórmula'!E12+'Fórmula'!G12+'Fórmula'!I12+'Fórmula'!K12))*(INDEX(properties!A$1:CB$87,'Fórmula'!H12,39))+(('Fórmula'!K12)/('Fórmula'!C12+'Fórmula'!E12+'Fórmula'!G12+'Fórmula'!I12+'Fórmula'!K12))*(INDEX(properties!A$1:CB$87,'Fórmula'!J12,39))</f>
        <v>1.07</v>
      </c>
      <c r="DS12" s="109">
        <f t="array" ref="DS12">'Fórmula'!C12*(INDEX(properties!A$1:CB$87,'Fórmula'!B12,39))+'Fórmula'!E12*(INDEX(properties!A$1:CB$87,'Fórmula'!D12,39))+'Fórmula'!G12*(INDEX(properties!A$1:CB$87,'Fórmula'!F12,39))+'Fórmula'!I12*(INDEX(properties!A$1:CB$87,'Fórmula'!H12,39))+'Fórmula'!K12*(INDEX(properties!A$1:CB$87,'Fórmula'!J12,39))</f>
        <v>8.56</v>
      </c>
      <c r="DT12" s="109">
        <f t="array" ref="DT12">VARP(IF(INDEX(properties!A$1:CB$87,'Fórmula'!B12,39)&lt;&gt;"",INDEX(properties!A$1:CB$87,'Fórmula'!B12,39)),IF(INDEX(properties!A$1:CB$87,'Fórmula'!D12,39)&lt;&gt;"",INDEX(properties!A$1:CB$87,'Fórmula'!D12,39)),IF(INDEX(properties!A$1:CB$87,'Fórmula'!F12,39)&lt;&gt;"",INDEX(properties!A$1:CB$87,'Fórmula'!F12,39)),IF(INDEX(properties!A$1:CB$87,'Fórmula'!H12,39)&lt;&gt;"",INDEX(properties!A$1:CB$87,'Fórmula'!H12,39)),IF(INDEX(properties!A$1:CB$87,'Fórmula'!J12,39)&lt;&gt;"",INDEX(properties!A$1:CB$87,'Fórmula'!J12,39)))</f>
        <v>0.6214</v>
      </c>
      <c r="DU12" s="120">
        <f t="array" ref="DU12">MAX(INDEX(properties!A$1:CB$87,'Fórmula'!B12,39),INDEX(properties!A$1:CB$87,'Fórmula'!D12,39),INDEX(properties!A$1:CB$87,'Fórmula'!F12,39),INDEX(properties!A$1:CB$87,'Fórmula'!H12,39),INDEX(properties!A$1:CB$87,'Fórmula'!J12,39))</f>
        <v>2.19</v>
      </c>
      <c r="DV12" s="120">
        <f t="array" ref="DV12">MIN(IF(INDEX(properties!A$1:CB$87,'Fórmula'!B12,39)=0,10^6,INDEX(properties!A$1:CB$87,'Fórmula'!B12,39)),IF(INDEX(properties!A$1:CB$87,'Fórmula'!D12,39)=0,10^6,INDEX(properties!A$1:CB$87,'Fórmula'!D12,39)),IF(INDEX(properties!A$1:CB$87,'Fórmula'!F12,39)=0,10^6,INDEX(properties!A$1:CB$87,'Fórmula'!F12,39)),IF(INDEX(properties!A$1:CB$87,'Fórmula'!H12,39)=0,10^6,INDEX(properties!A$1:CB$87,'Fórmula'!H12,39)),IF(INDEX(properties!A$1:CB$87,'Fórmula'!J12,39)=0,10^6,INDEX(properties!A$1:CB$87,'Fórmula'!J12,39)))</f>
        <v>0.48</v>
      </c>
      <c r="DW12" s="109">
        <f t="shared" si="21"/>
        <v>1.71</v>
      </c>
      <c r="DX12" s="110">
        <f t="array" ref="DX12">(('Fórmula'!C12)/('Fórmula'!C12+'Fórmula'!E12+'Fórmula'!G12+'Fórmula'!I12+'Fórmula'!K12))*(INDEX(properties!A$1:CB$87,'Fórmula'!B12,40))+(('Fórmula'!E12)/('Fórmula'!C12+'Fórmula'!E12+'Fórmula'!G12+'Fórmula'!I12+'Fórmula'!K12))*(INDEX(properties!A$1:CB$87,'Fórmula'!D12,40))+(('Fórmula'!G12)/('Fórmula'!C12+'Fórmula'!E12+'Fórmula'!G12+'Fórmula'!I12+'Fórmula'!K12))*(INDEX(properties!A$1:CB$87,'Fórmula'!F12,40))+(('Fórmula'!I12)/('Fórmula'!C12+'Fórmula'!E12+'Fórmula'!G12+'Fórmula'!I12+'Fórmula'!K12))*(INDEX(properties!A$1:CB$87,'Fórmula'!H12,40))+(('Fórmula'!K12)/('Fórmula'!C12+'Fórmula'!E12+'Fórmula'!G12+'Fórmula'!I12+'Fórmula'!K12))*(INDEX(properties!A$1:CB$87,'Fórmula'!J12,40))</f>
        <v>1.07875</v>
      </c>
      <c r="DY12" s="110">
        <f t="array" ref="DY12">'Fórmula'!C12*(INDEX(properties!A$1:CB$87,'Fórmula'!B12,40))+'Fórmula'!E12*(INDEX(properties!A$1:CB$87,'Fórmula'!D12,40))+'Fórmula'!G12*(INDEX(properties!A$1:CB$87,'Fórmula'!F12,40))+'Fórmula'!I12*(INDEX(properties!A$1:CB$87,'Fórmula'!H12,40))+'Fórmula'!K12*(INDEX(properties!A$1:CB$87,'Fórmula'!J12,40))</f>
        <v>8.63</v>
      </c>
      <c r="DZ12" s="110">
        <f t="array" ref="DZ12">VARP(IF(INDEX(properties!A$1:CB$87,'Fórmula'!B12,40)&lt;&gt;"",INDEX(properties!A$1:CB$87,'Fórmula'!B12,40)),IF(INDEX(properties!A$1:CB$87,'Fórmula'!D12,40)&lt;&gt;"",INDEX(properties!A$1:CB$87,'Fórmula'!D12,40)),IF(INDEX(properties!A$1:CB$87,'Fórmula'!F12,40)&lt;&gt;"",INDEX(properties!A$1:CB$87,'Fórmula'!F12,40)),IF(INDEX(properties!A$1:CB$87,'Fórmula'!H12,40)&lt;&gt;"",INDEX(properties!A$1:CB$87,'Fórmula'!H12,40)),IF(INDEX(properties!A$1:CB$87,'Fórmula'!J12,40)&lt;&gt;"",INDEX(properties!A$1:CB$87,'Fórmula'!J12,40)))</f>
        <v>0.409</v>
      </c>
      <c r="EA12" s="121">
        <f t="array" ref="EA12">MAX(INDEX(properties!A$1:CB$87,'Fórmula'!B12,40),INDEX(properties!A$1:CB$87,'Fórmula'!D12,40),INDEX(properties!A$1:CB$87,'Fórmula'!F12,40),INDEX(properties!A$1:CB$87,'Fórmula'!H12,40),INDEX(properties!A$1:CB$87,'Fórmula'!J12,40))</f>
        <v>1.92</v>
      </c>
      <c r="EB12" s="121">
        <f t="array" ref="EB12">MIN(IF(INDEX(properties!A$1:CB$87,'Fórmula'!B12,40)=0,10^6,INDEX(properties!A$1:CB$87,'Fórmula'!B12,40)),IF(INDEX(properties!A$1:CB$87,'Fórmula'!D12,40)=0,10^6,INDEX(properties!A$1:CB$87,'Fórmula'!D12,40)),IF(INDEX(properties!A$1:CB$87,'Fórmula'!F12,40)=0,10^6,INDEX(properties!A$1:CB$87,'Fórmula'!F12,40)),IF(INDEX(properties!A$1:CB$87,'Fórmula'!H12,40)=0,10^6,INDEX(properties!A$1:CB$87,'Fórmula'!H12,40)),IF(INDEX(properties!A$1:CB$87,'Fórmula'!J12,40)=0,10^6,INDEX(properties!A$1:CB$87,'Fórmula'!J12,40)))</f>
        <v>0.73</v>
      </c>
      <c r="EC12" s="110">
        <f t="shared" si="22"/>
        <v>1.19</v>
      </c>
      <c r="ED12" s="111">
        <f t="array" ref="ED12">(('Fórmula'!C12)/('Fórmula'!C12+'Fórmula'!E12+'Fórmula'!G12+'Fórmula'!I12+'Fórmula'!K12))*(INDEX(properties!A$1:CB$87,'Fórmula'!B12,41))+(('Fórmula'!E12)/('Fórmula'!C12+'Fórmula'!E12+'Fórmula'!G12+'Fórmula'!I12+'Fórmula'!K12))*(INDEX(properties!A$1:CB$87,'Fórmula'!D12,41))+(('Fórmula'!G12)/('Fórmula'!C12+'Fórmula'!E12+'Fórmula'!G12+'Fórmula'!I12+'Fórmula'!K12))*(INDEX(properties!A$1:CB$87,'Fórmula'!F12,41))+(('Fórmula'!I12)/('Fórmula'!C12+'Fórmula'!E12+'Fórmula'!G12+'Fórmula'!I12+'Fórmula'!K12))*(INDEX(properties!A$1:CB$87,'Fórmula'!H12,41))+(('Fórmula'!K12)/('Fórmula'!C12+'Fórmula'!E12+'Fórmula'!G12+'Fórmula'!I12+'Fórmula'!K12))*(INDEX(properties!A$1:CB$87,'Fórmula'!J12,41))</f>
        <v>1.0875</v>
      </c>
      <c r="EE12" s="111">
        <f t="array" ref="EE12">'Fórmula'!C12*(INDEX(properties!A$1:CB$87,'Fórmula'!B12,41))+'Fórmula'!E12*(INDEX(properties!A$1:CB$87,'Fórmula'!D12,41))+'Fórmula'!G12*(INDEX(properties!A$1:CB$87,'Fórmula'!F12,41))+'Fórmula'!I12*(INDEX(properties!A$1:CB$87,'Fórmula'!H12,41))+'Fórmula'!K12*(INDEX(properties!A$1:CB$87,'Fórmula'!J12,41))</f>
        <v>8.7</v>
      </c>
      <c r="EF12" s="111">
        <f t="array" ref="EF12">VARP(IF(INDEX(properties!A$1:CB$87,'Fórmula'!B12,41)&lt;&gt;"",INDEX(properties!A$1:CB$87,'Fórmula'!B12,41)),IF(INDEX(properties!A$1:CB$87,'Fórmula'!D12,41)&lt;&gt;"",INDEX(properties!A$1:CB$87,'Fórmula'!D12,41)),IF(INDEX(properties!A$1:CB$87,'Fórmula'!F12,41)&lt;&gt;"",INDEX(properties!A$1:CB$87,'Fórmula'!F12,41)),IF(INDEX(properties!A$1:CB$87,'Fórmula'!H12,41)&lt;&gt;"",INDEX(properties!A$1:CB$87,'Fórmula'!H12,41)),IF(INDEX(properties!A$1:CB$87,'Fórmula'!J12,41)&lt;&gt;"",INDEX(properties!A$1:CB$87,'Fórmula'!J12,41)))</f>
        <v>0.239904</v>
      </c>
      <c r="EG12" s="122">
        <f t="array" ref="EG12">MAX(INDEX(properties!A$1:CB$87,'Fórmula'!B12,41),INDEX(properties!A$1:CB$87,'Fórmula'!D12,41),INDEX(properties!A$1:CB$87,'Fórmula'!F12,41),INDEX(properties!A$1:CB$87,'Fórmula'!H12,41),INDEX(properties!A$1:CB$87,'Fórmula'!J12,41))</f>
        <v>1.32</v>
      </c>
      <c r="EH12" s="122">
        <f t="array" ref="EH12">MIN(IF(INDEX(properties!A$1:CB$87,'Fórmula'!B12,41)=0,10^6,INDEX(properties!A$1:CB$87,'Fórmula'!B12,41)),IF(INDEX(properties!A$1:CB$87,'Fórmula'!D12,41)=0,10^6,INDEX(properties!A$1:CB$87,'Fórmula'!D12,41)),IF(INDEX(properties!A$1:CB$87,'Fórmula'!F12,41)=0,10^6,INDEX(properties!A$1:CB$87,'Fórmula'!F12,41)),IF(INDEX(properties!A$1:CB$87,'Fórmula'!H12,41)=0,10^6,INDEX(properties!A$1:CB$87,'Fórmula'!H12,41)),IF(INDEX(properties!A$1:CB$87,'Fórmula'!J12,41)=0,10^6,INDEX(properties!A$1:CB$87,'Fórmula'!J12,41)))</f>
        <v>0.54</v>
      </c>
      <c r="EI12" s="111">
        <f t="shared" si="23"/>
        <v>0.78</v>
      </c>
      <c r="EJ12" s="112">
        <f t="array" ref="EJ12">(('Fórmula'!C12)/('Fórmula'!C12+'Fórmula'!E12+'Fórmula'!G12+'Fórmula'!I12+'Fórmula'!K12))*(INDEX(properties!A$1:CB$87,'Fórmula'!B12,45))+(('Fórmula'!E12)/('Fórmula'!C12+'Fórmula'!E12+'Fórmula'!G12+'Fórmula'!I12+'Fórmula'!K12))*(INDEX(properties!A$1:CB$87,'Fórmula'!D12,45))+(('Fórmula'!G12)/('Fórmula'!C12+'Fórmula'!E12+'Fórmula'!G12+'Fórmula'!I12+'Fórmula'!K12))*(INDEX(properties!A$1:CB$87,'Fórmula'!F12,45))+(('Fórmula'!I12)/('Fórmula'!C12+'Fórmula'!E12+'Fórmula'!G12+'Fórmula'!I12+'Fórmula'!K12))*(INDEX(properties!A$1:CB$87,'Fórmula'!H12,45))+(('Fórmula'!K12)/('Fórmula'!C12+'Fórmula'!E12+'Fórmula'!G12+'Fórmula'!I12+'Fórmula'!K12))*(INDEX(properties!A$1:CB$87,'Fórmula'!J12,45))</f>
        <v>1.21625</v>
      </c>
      <c r="EK12" s="112">
        <f t="array" ref="EK12">'Fórmula'!C12*(INDEX(properties!A$1:CB$87,'Fórmula'!B12,45))+'Fórmula'!E12*(INDEX(properties!A$1:CB$87,'Fórmula'!D12,45))+'Fórmula'!G12*(INDEX(properties!A$1:CB$87,'Fórmula'!F12,45))+'Fórmula'!I12*(INDEX(properties!A$1:CB$87,'Fórmula'!H12,45))+'Fórmula'!K12*(INDEX(properties!A$1:CB$87,'Fórmula'!J12,45))</f>
        <v>9.73</v>
      </c>
      <c r="EL12" s="112">
        <f t="array" ref="EL12">VARP(IF(INDEX(properties!A$1:CB$87,'Fórmula'!B12,45)&lt;&gt;"",INDEX(properties!A$1:CB$87,'Fórmula'!B12,45)),IF(INDEX(properties!A$1:CB$87,'Fórmula'!D12,45)&lt;&gt;"",INDEX(properties!A$1:CB$87,'Fórmula'!D12,45)),IF(INDEX(properties!A$1:CB$87,'Fórmula'!F12,45)&lt;&gt;"",INDEX(properties!A$1:CB$87,'Fórmula'!F12,45)),IF(INDEX(properties!A$1:CB$87,'Fórmula'!H12,45)&lt;&gt;"",INDEX(properties!A$1:CB$87,'Fórmula'!H12,45)),IF(INDEX(properties!A$1:CB$87,'Fórmula'!J12,45)&lt;&gt;"",INDEX(properties!A$1:CB$87,'Fórmula'!J12,45)))</f>
        <v>1.225736</v>
      </c>
      <c r="EM12" s="123">
        <f t="array" ref="EM12">MAX(INDEX(properties!A$1:CB$87,'Fórmula'!B12,45),INDEX(properties!A$1:CB$87,'Fórmula'!D12,45),INDEX(properties!A$1:CB$87,'Fórmula'!F12,45),INDEX(properties!A$1:CB$87,'Fórmula'!H12,45),INDEX(properties!A$1:CB$87,'Fórmula'!J12,45))</f>
        <v>3.21</v>
      </c>
      <c r="EN12" s="123">
        <f t="array" ref="EN12">MIN(IF(INDEX(properties!A$1:CB$87,'Fórmula'!B12,45)=0,10^6,INDEX(properties!A$1:CB$87,'Fórmula'!B12,45)),IF(INDEX(properties!A$1:CB$87,'Fórmula'!D12,45)=0,10^6,INDEX(properties!A$1:CB$87,'Fórmula'!D12,45)),IF(INDEX(properties!A$1:CB$87,'Fórmula'!F12,45)=0,10^6,INDEX(properties!A$1:CB$87,'Fórmula'!F12,45)),IF(INDEX(properties!A$1:CB$87,'Fórmula'!H12,45)=0,10^6,INDEX(properties!A$1:CB$87,'Fórmula'!H12,45)),IF(INDEX(properties!A$1:CB$87,'Fórmula'!J12,45)=0,10^6,INDEX(properties!A$1:CB$87,'Fórmula'!J12,45)))</f>
        <v>0.47</v>
      </c>
      <c r="EO12" s="112">
        <f t="shared" si="24"/>
        <v>2.74</v>
      </c>
      <c r="EP12" s="113">
        <f t="array" ref="EP12">(('Fórmula'!C12)/('Fórmula'!C12+'Fórmula'!E12+'Fórmula'!G12+'Fórmula'!I12+'Fórmula'!K12))*(INDEX(properties!A$1:CB$87,'Fórmula'!B12,46))+(('Fórmula'!E12)/('Fórmula'!C12+'Fórmula'!E12+'Fórmula'!G12+'Fórmula'!I12+'Fórmula'!K12))*(INDEX(properties!A$1:CB$87,'Fórmula'!D12,46))+(('Fórmula'!G12)/('Fórmula'!C12+'Fórmula'!E12+'Fórmula'!G12+'Fórmula'!I12+'Fórmula'!K12))*(INDEX(properties!A$1:CB$87,'Fórmula'!F12,46))+(('Fórmula'!I12)/('Fórmula'!C12+'Fórmula'!E12+'Fórmula'!G12+'Fórmula'!I12+'Fórmula'!K12))*(INDEX(properties!A$1:CB$87,'Fórmula'!H12,46))+(('Fórmula'!K12)/('Fórmula'!C12+'Fórmula'!E12+'Fórmula'!G12+'Fórmula'!I12+'Fórmula'!K12))*(INDEX(properties!A$1:CB$87,'Fórmula'!J12,46))</f>
        <v>1.045</v>
      </c>
      <c r="EQ12" s="113">
        <f t="array" ref="EQ12">'Fórmula'!C12*(INDEX(properties!A$1:CB$87,'Fórmula'!B12,46))+'Fórmula'!E12*(INDEX(properties!A$1:CB$87,'Fórmula'!D12,46))+'Fórmula'!G12*(INDEX(properties!A$1:CB$87,'Fórmula'!F12,46))+'Fórmula'!I12*(INDEX(properties!A$1:CB$87,'Fórmula'!H12,46))+'Fórmula'!K12*(INDEX(properties!A$1:CB$87,'Fórmula'!J12,46))</f>
        <v>8.36</v>
      </c>
      <c r="ER12" s="113">
        <f t="array" ref="ER12">VARP(IF(INDEX(properties!A$1:CB$87,'Fórmula'!B12,46)&lt;&gt;"",INDEX(properties!A$1:CB$87,'Fórmula'!B12,46)),IF(INDEX(properties!A$1:CB$87,'Fórmula'!D12,46)&lt;&gt;"",INDEX(properties!A$1:CB$87,'Fórmula'!D12,46)),IF(INDEX(properties!A$1:CB$87,'Fórmula'!F12,46)&lt;&gt;"",INDEX(properties!A$1:CB$87,'Fórmula'!F12,46)),IF(INDEX(properties!A$1:CB$87,'Fórmula'!H12,46)&lt;&gt;"",INDEX(properties!A$1:CB$87,'Fórmula'!H12,46)),IF(INDEX(properties!A$1:CB$87,'Fórmula'!J12,46)&lt;&gt;"",INDEX(properties!A$1:CB$87,'Fórmula'!J12,46)))</f>
        <v>0.248544</v>
      </c>
      <c r="ES12" s="124">
        <f t="array" ref="ES12">MAX(INDEX(properties!A$1:CB$87,'Fórmula'!B12,46),INDEX(properties!A$1:CB$87,'Fórmula'!D12,46),INDEX(properties!A$1:CB$87,'Fórmula'!F12,46),INDEX(properties!A$1:CB$87,'Fórmula'!H12,46),INDEX(properties!A$1:CB$87,'Fórmula'!J12,46))</f>
        <v>1.32</v>
      </c>
      <c r="ET12" s="124">
        <f t="array" ref="ET12">MIN(IF(INDEX(properties!A$1:CB$87,'Fórmula'!B12,46)=0,10^6,INDEX(properties!A$1:CB$87,'Fórmula'!B12,46)),IF(INDEX(properties!A$1:CB$87,'Fórmula'!D12,46)=0,10^6,INDEX(properties!A$1:CB$87,'Fórmula'!D12,46)),IF(INDEX(properties!A$1:CB$87,'Fórmula'!F12,46)=0,10^6,INDEX(properties!A$1:CB$87,'Fórmula'!F12,46)),IF(INDEX(properties!A$1:CB$87,'Fórmula'!H12,46)=0,10^6,INDEX(properties!A$1:CB$87,'Fórmula'!H12,46)),IF(INDEX(properties!A$1:CB$87,'Fórmula'!J12,46)=0,10^6,INDEX(properties!A$1:CB$87,'Fórmula'!J12,46)))</f>
        <v>0.4</v>
      </c>
      <c r="EU12" s="113">
        <f t="shared" si="25"/>
        <v>0.92</v>
      </c>
      <c r="EV12" s="114">
        <f t="array" ref="EV12">(('Fórmula'!C12)/('Fórmula'!C12+'Fórmula'!E12+'Fórmula'!G12+'Fórmula'!I12+'Fórmula'!K12))*(INDEX(properties!A$1:CB$87,'Fórmula'!B12,52))+(('Fórmula'!E12)/('Fórmula'!C12+'Fórmula'!E12+'Fórmula'!G12+'Fórmula'!I12+'Fórmula'!K12))*(INDEX(properties!A$1:CB$87,'Fórmula'!D12,52))+(('Fórmula'!G12)/('Fórmula'!C12+'Fórmula'!E12+'Fórmula'!G12+'Fórmula'!I12+'Fórmula'!K12))*(INDEX(properties!A$1:CB$87,'Fórmula'!F12,52))+(('Fórmula'!I12)/('Fórmula'!C12+'Fórmula'!E12+'Fórmula'!G12+'Fórmula'!I12+'Fórmula'!K12))*(INDEX(properties!A$1:CB$87,'Fórmula'!H12,52))+(('Fórmula'!K12)/('Fórmula'!C12+'Fórmula'!E12+'Fórmula'!G12+'Fórmula'!I12+'Fórmula'!K12))*(INDEX(properties!A$1:CB$87,'Fórmula'!J12,52))</f>
        <v>10.5965</v>
      </c>
      <c r="EW12" s="114">
        <f t="array" ref="EW12">'Fórmula'!C12*(INDEX(properties!A$1:CB$87,'Fórmula'!B12,52))+'Fórmula'!E12*(INDEX(properties!A$1:CB$87,'Fórmula'!D12,52))+'Fórmula'!G12*(INDEX(properties!A$1:CB$87,'Fórmula'!F12,52))+'Fórmula'!I12*(INDEX(properties!A$1:CB$87,'Fórmula'!H12,52))+'Fórmula'!K12*(INDEX(properties!A$1:CB$87,'Fórmula'!J12,52))</f>
        <v>84.772</v>
      </c>
      <c r="EX12" s="114">
        <f t="array" ref="EX12">VARP(IF(INDEX(properties!A$1:CB$87,'Fórmula'!B12,52)&lt;&gt;"",INDEX(properties!A$1:CB$87,'Fórmula'!B12,52)),IF(INDEX(properties!A$1:CB$87,'Fórmula'!D12,52)&lt;&gt;"",INDEX(properties!A$1:CB$87,'Fórmula'!D12,52)),IF(INDEX(properties!A$1:CB$87,'Fórmula'!F12,52)&lt;&gt;"",INDEX(properties!A$1:CB$87,'Fórmula'!F12,52)),IF(INDEX(properties!A$1:CB$87,'Fórmula'!H12,52)&lt;&gt;"",INDEX(properties!A$1:CB$87,'Fórmula'!H12,52)),IF(INDEX(properties!A$1:CB$87,'Fórmula'!J12,52)&lt;&gt;"",INDEX(properties!A$1:CB$87,'Fórmula'!J12,52)))</f>
        <v>141.4159038</v>
      </c>
      <c r="EY12" s="114">
        <f t="array" ref="EY12">MAX(INDEX(properties!A$1:CB$87,'Fórmula'!B12,52),INDEX(properties!A$1:CB$87,'Fórmula'!D12,52),INDEX(properties!A$1:CB$87,'Fórmula'!F12,52),INDEX(properties!A$1:CB$87,'Fórmula'!H12,52),INDEX(properties!A$1:CB$87,'Fórmula'!J12,52))</f>
        <v>27.6</v>
      </c>
      <c r="EZ12" s="114">
        <f t="array" ref="EZ12">MIN(IF(INDEX(properties!A$1:CB$87,'Fórmula'!B12,52)=0,10^6,INDEX(properties!A$1:CB$87,'Fórmula'!B12,52)),IF(INDEX(properties!A$1:CB$87,'Fórmula'!D12,52)=0,10^6,INDEX(properties!A$1:CB$87,'Fórmula'!D12,52)),IF(INDEX(properties!A$1:CB$87,'Fórmula'!F12,52)=0,10^6,INDEX(properties!A$1:CB$87,'Fórmula'!F12,52)),IF(INDEX(properties!A$1:CB$87,'Fórmula'!H12,52)=0,10^6,INDEX(properties!A$1:CB$87,'Fórmula'!H12,52)),IF(INDEX(properties!A$1:CB$87,'Fórmula'!J12,52)=0,10^6,INDEX(properties!A$1:CB$87,'Fórmula'!J12,52)))</f>
        <v>0.793</v>
      </c>
      <c r="FA12" s="114">
        <f t="shared" si="26"/>
        <v>26.807</v>
      </c>
      <c r="FB12" s="115">
        <f t="array" ref="FB12">(('Fórmula'!C12)/('Fórmula'!C12+'Fórmula'!E12+'Fórmula'!G12+'Fórmula'!I12+'Fórmula'!K12))*(INDEX(properties!A$1:CB$87,'Fórmula'!B12,53))+(('Fórmula'!E12)/('Fórmula'!C12+'Fórmula'!E12+'Fórmula'!G12+'Fórmula'!I12+'Fórmula'!K12))*(INDEX(properties!A$1:CB$87,'Fórmula'!D12,53))+(('Fórmula'!G12)/('Fórmula'!C12+'Fórmula'!E12+'Fórmula'!G12+'Fórmula'!I12+'Fórmula'!K12))*(INDEX(properties!A$1:CB$87,'Fórmula'!F12,53))+(('Fórmula'!I12)/('Fórmula'!C12+'Fórmula'!E12+'Fórmula'!G12+'Fórmula'!I12+'Fórmula'!K12))*(INDEX(properties!A$1:CB$87,'Fórmula'!H12,53))+(('Fórmula'!K12)/('Fórmula'!C12+'Fórmula'!E12+'Fórmula'!G12+'Fórmula'!I12+'Fórmula'!K12))*(INDEX(properties!A$1:CB$87,'Fórmula'!J12,53))</f>
        <v>481.45</v>
      </c>
      <c r="FC12" s="115">
        <f t="array" ref="FC12">'Fórmula'!C12*(INDEX(properties!A$1:CB$87,'Fórmula'!B12,53))+'Fórmula'!E12*(INDEX(properties!A$1:CB$87,'Fórmula'!D12,53))+'Fórmula'!G12*(INDEX(properties!A$1:CB$87,'Fórmula'!F12,53))+'Fórmula'!I12*(INDEX(properties!A$1:CB$87,'Fórmula'!H12,53))+'Fórmula'!K12*(INDEX(properties!A$1:CB$87,'Fórmula'!J12,53))</f>
        <v>3851.6</v>
      </c>
      <c r="FD12" s="115">
        <f t="array" ref="FD12">VARP(IF(INDEX(properties!A$1:CB$87,'Fórmula'!B12,53)&lt;&gt;"",INDEX(properties!A$1:CB$87,'Fórmula'!B12,53)),IF(INDEX(properties!A$1:CB$87,'Fórmula'!D12,53)&lt;&gt;"",INDEX(properties!A$1:CB$87,'Fórmula'!D12,53)),IF(INDEX(properties!A$1:CB$87,'Fórmula'!F12,53)&lt;&gt;"",INDEX(properties!A$1:CB$87,'Fórmula'!F12,53)),IF(INDEX(properties!A$1:CB$87,'Fórmula'!H12,53)&lt;&gt;"",INDEX(properties!A$1:CB$87,'Fórmula'!H12,53)),IF(INDEX(properties!A$1:CB$87,'Fórmula'!J12,53)&lt;&gt;"",INDEX(properties!A$1:CB$87,'Fórmula'!J12,53)))</f>
        <v>407300.6584</v>
      </c>
      <c r="FE12" s="115">
        <f t="array" ref="FE12">MAX(INDEX(properties!A$1:CB$87,'Fórmula'!B12,53),INDEX(properties!A$1:CB$87,'Fórmula'!D12,53),INDEX(properties!A$1:CB$87,'Fórmula'!F12,53),INDEX(properties!A$1:CB$87,'Fórmula'!H12,53),INDEX(properties!A$1:CB$87,'Fórmula'!J12,53))</f>
        <v>1683.15</v>
      </c>
      <c r="FF12" s="115">
        <f t="array" ref="FF12">MIN(IF(INDEX(properties!A$1:CB$87,'Fórmula'!B12,53)=0,10^6,INDEX(properties!A$1:CB$87,'Fórmula'!B12,53)),IF(INDEX(properties!A$1:CB$87,'Fórmula'!D12,53)=0,10^6,INDEX(properties!A$1:CB$87,'Fórmula'!D12,53)),IF(INDEX(properties!A$1:CB$87,'Fórmula'!F12,53)=0,10^6,INDEX(properties!A$1:CB$87,'Fórmula'!F12,53)),IF(INDEX(properties!A$1:CB$87,'Fórmula'!H12,53)=0,10^6,INDEX(properties!A$1:CB$87,'Fórmula'!H12,53)),IF(INDEX(properties!A$1:CB$87,'Fórmula'!J12,53)=0,10^6,INDEX(properties!A$1:CB$87,'Fórmula'!J12,53)))</f>
        <v>54.75</v>
      </c>
      <c r="FG12" s="115">
        <f t="shared" si="27"/>
        <v>1628.4</v>
      </c>
      <c r="FH12" s="117">
        <f t="array" ref="FH12">(('Fórmula'!C12)/('Fórmula'!C12+'Fórmula'!E12+'Fórmula'!G12+'Fórmula'!I12+'Fórmula'!K12))*(INDEX(properties!A$1:CB$87,'Fórmula'!B12,54))+(('Fórmula'!E12)/('Fórmula'!C12+'Fórmula'!E12+'Fórmula'!G12+'Fórmula'!I12+'Fórmula'!K12))*(INDEX(properties!A$1:CB$87,'Fórmula'!D12,54))+(('Fórmula'!G12)/('Fórmula'!C12+'Fórmula'!E12+'Fórmula'!G12+'Fórmula'!I12+'Fórmula'!K12))*(INDEX(properties!A$1:CB$87,'Fórmula'!F12,54))+(('Fórmula'!I12)/('Fórmula'!C12+'Fórmula'!E12+'Fórmula'!G12+'Fórmula'!I12+'Fórmula'!K12))*(INDEX(properties!A$1:CB$87,'Fórmula'!H12,54))+(('Fórmula'!K12)/('Fórmula'!C12+'Fórmula'!E12+'Fórmula'!G12+'Fórmula'!I12+'Fórmula'!K12))*(INDEX(properties!A$1:CB$87,'Fórmula'!J12,54))</f>
        <v>984.525</v>
      </c>
      <c r="FI12" s="117">
        <f t="array" ref="FI12">'Fórmula'!C12*(INDEX(properties!A$1:CB$87,'Fórmula'!B12,54))+'Fórmula'!E12*(INDEX(properties!A$1:CB$87,'Fórmula'!D12,54))+'Fórmula'!G12*(INDEX(properties!A$1:CB$87,'Fórmula'!F12,54))+'Fórmula'!I12*(INDEX(properties!A$1:CB$87,'Fórmula'!H12,54))+'Fórmula'!K12*(INDEX(properties!A$1:CB$87,'Fórmula'!J12,54))</f>
        <v>7876.2</v>
      </c>
      <c r="FJ12" s="117">
        <f t="array" ref="FJ12">VARP(IF(INDEX(properties!A$1:CB$87,'Fórmula'!B12,54)&lt;&gt;"",INDEX(properties!A$1:CB$87,'Fórmula'!B12,54)),IF(INDEX(properties!A$1:CB$87,'Fórmula'!D12,54)&lt;&gt;"",INDEX(properties!A$1:CB$87,'Fórmula'!D12,54)),IF(INDEX(properties!A$1:CB$87,'Fórmula'!F12,54)&lt;&gt;"",INDEX(properties!A$1:CB$87,'Fórmula'!F12,54)),IF(INDEX(properties!A$1:CB$87,'Fórmula'!H12,54)&lt;&gt;"",INDEX(properties!A$1:CB$87,'Fórmula'!H12,54)),IF(INDEX(properties!A$1:CB$87,'Fórmula'!J12,54)&lt;&gt;"",INDEX(properties!A$1:CB$87,'Fórmula'!J12,54)))</f>
        <v>1018539.484</v>
      </c>
      <c r="FK12" s="117">
        <f t="array" ref="FK12">MAX(INDEX(properties!A$1:CB$87,'Fórmula'!B12,54),INDEX(properties!A$1:CB$87,'Fórmula'!D12,54),INDEX(properties!A$1:CB$87,'Fórmula'!F12,54),INDEX(properties!A$1:CB$87,'Fórmula'!H12,54),INDEX(properties!A$1:CB$87,'Fórmula'!J12,54))</f>
        <v>2628.15</v>
      </c>
      <c r="FL12" s="117">
        <f t="array" ref="FL12">MIN(IF(INDEX(properties!A$1:CB$87,'Fórmula'!B12,54)=0,10^6,INDEX(properties!A$1:CB$87,'Fórmula'!B12,54)),IF(INDEX(properties!A$1:CB$87,'Fórmula'!D12,54)=0,10^6,INDEX(properties!A$1:CB$87,'Fórmula'!D12,54)),IF(INDEX(properties!A$1:CB$87,'Fórmula'!F12,54)=0,10^6,INDEX(properties!A$1:CB$87,'Fórmula'!F12,54)),IF(INDEX(properties!A$1:CB$87,'Fórmula'!H12,54)=0,10^6,INDEX(properties!A$1:CB$87,'Fórmula'!H12,54)),IF(INDEX(properties!A$1:CB$87,'Fórmula'!J12,54)=0,10^6,INDEX(properties!A$1:CB$87,'Fórmula'!J12,54)))</f>
        <v>90.15</v>
      </c>
      <c r="FM12" s="117">
        <f t="shared" si="28"/>
        <v>2538</v>
      </c>
      <c r="FN12" s="118">
        <f t="array" ref="FN12">(('Fórmula'!C12)/('Fórmula'!C12+'Fórmula'!E12+'Fórmula'!G12+'Fórmula'!I12+'Fórmula'!K12))*(INDEX(properties!A$1:CB$87,'Fórmula'!B12,55))+(('Fórmula'!E12)/('Fórmula'!C12+'Fórmula'!E12+'Fórmula'!G12+'Fórmula'!I12+'Fórmula'!K12))*(INDEX(properties!A$1:CB$87,'Fórmula'!D12,55))+(('Fórmula'!G12)/('Fórmula'!C12+'Fórmula'!E12+'Fórmula'!G12+'Fórmula'!I12+'Fórmula'!K12))*(INDEX(properties!A$1:CB$87,'Fórmula'!F12,55))+(('Fórmula'!I12)/('Fórmula'!C12+'Fórmula'!E12+'Fórmula'!G12+'Fórmula'!I12+'Fórmula'!K12))*(INDEX(properties!A$1:CB$87,'Fórmula'!H12,55))+(('Fórmula'!K12)/('Fórmula'!C12+'Fórmula'!E12+'Fórmula'!G12+'Fórmula'!I12+'Fórmula'!K12))*(INDEX(properties!A$1:CB$87,'Fórmula'!J12,55))</f>
        <v>0.754465</v>
      </c>
      <c r="FO12" s="118">
        <f t="array" ref="FO12">'Fórmula'!C12*(INDEX(properties!A$1:CB$87,'Fórmula'!B12,55))+'Fórmula'!E12*(INDEX(properties!A$1:CB$87,'Fórmula'!D12,54))+'Fórmula'!G12*(INDEX(properties!A$1:CB$87,'Fórmula'!F12,55))+'Fórmula'!I12*(INDEX(properties!A$1:CB$87,'Fórmula'!H12,55))+'Fórmula'!K12*(INDEX(properties!A$1:CB$87,'Fórmula'!J12,55))</f>
        <v>1660.55572</v>
      </c>
      <c r="FP12" s="118">
        <f t="array" ref="FP12">VARP(IF(INDEX(properties!A$1:CB$87,'Fórmula'!B12,55)&lt;&gt;"",INDEX(properties!A$1:CB$87,'Fórmula'!B12,55)),IF(INDEX(properties!A$1:CB$87,'Fórmula'!D12,55)&lt;&gt;"",INDEX(properties!A$1:CB$87,'Fórmula'!D12,55)),IF(INDEX(properties!A$1:CB$87,'Fórmula'!F12,55)&lt;&gt;"",INDEX(properties!A$1:CB$87,'Fórmula'!F12,55)),IF(INDEX(properties!A$1:CB$87,'Fórmula'!H12,55)&lt;&gt;"",INDEX(properties!A$1:CB$87,'Fórmula'!H12,55)),IF(INDEX(properties!A$1:CB$87,'Fórmula'!J12,55)&lt;&gt;"",INDEX(properties!A$1:CB$87,'Fórmula'!J12,55)))</f>
        <v>1.317975699</v>
      </c>
      <c r="FQ12" s="118">
        <f t="array" ref="FQ12">MAX(INDEX(properties!A$1:CB$87,'Fórmula'!B12,55),INDEX(properties!A$1:CB$87,'Fórmula'!D12,55),INDEX(properties!A$1:CB$87,'Fórmula'!F12,55),INDEX(properties!A$1:CB$87,'Fórmula'!H12,55),INDEX(properties!A$1:CB$87,'Fórmula'!J12,55))</f>
        <v>2.63</v>
      </c>
      <c r="FR12" s="118">
        <f t="array" ref="FR12">MIN(IF(INDEX(properties!A$1:CB$87,'Fórmula'!B12,55)=0,10^6,INDEX(properties!A$1:CB$87,'Fórmula'!B12,55)),IF(INDEX(properties!A$1:CB$87,'Fórmula'!D12,55)=0,10^6,INDEX(properties!A$1:CB$87,'Fórmula'!D12,55)),IF(INDEX(properties!A$1:CB$87,'Fórmula'!F12,55)=0,10^6,INDEX(properties!A$1:CB$87,'Fórmula'!F12,55)),IF(INDEX(properties!A$1:CB$87,'Fórmula'!H12,55)=0,10^6,INDEX(properties!A$1:CB$87,'Fórmula'!H12,55)),IF(INDEX(properties!A$1:CB$87,'Fórmula'!J12,55)=0,10^6,INDEX(properties!A$1:CB$87,'Fórmula'!J12,55)))</f>
        <v>0.00143</v>
      </c>
      <c r="FS12" s="118">
        <f t="shared" si="29"/>
        <v>2.62857</v>
      </c>
      <c r="FT12" s="119">
        <f t="array" ref="FT12">(('Fórmula'!C12)/('Fórmula'!C12+'Fórmula'!E12+'Fórmula'!G12+'Fórmula'!I12+'Fórmula'!K12))*(INDEX(properties!A$1:CB$87,'Fórmula'!B12,56))+(('Fórmula'!E12)/('Fórmula'!C12+'Fórmula'!E12+'Fórmula'!G12+'Fórmula'!I12+'Fórmula'!K12))*(INDEX(properties!A$1:CB$87,'Fórmula'!D12,56))+(('Fórmula'!G12)/('Fórmula'!C12+'Fórmula'!E12+'Fórmula'!G12+'Fórmula'!I12+'Fórmula'!K12))*(INDEX(properties!A$1:CB$87,'Fórmula'!F12,56))+(('Fórmula'!I12)/('Fórmula'!C12+'Fórmula'!E12+'Fórmula'!G12+'Fórmula'!I12+'Fórmula'!K12))*(INDEX(properties!A$1:CB$87,'Fórmula'!H12,56))+(('Fórmula'!K12)/('Fórmula'!C12+'Fórmula'!E12+'Fórmula'!G12+'Fórmula'!I12+'Fórmula'!K12))*(INDEX(properties!A$1:CB$87,'Fórmula'!J12,56))</f>
        <v>1.48625</v>
      </c>
      <c r="FU12" s="119">
        <f t="array" ref="FU12">'Fórmula'!C12*(INDEX(properties!A$1:CB$87,'Fórmula'!B12,56))+'Fórmula'!E12*(INDEX(properties!A$1:CB$87,'Fórmula'!D12,56))+'Fórmula'!G12*(INDEX(properties!A$1:CB$87,'Fórmula'!F12,56))+'Fórmula'!I12*(INDEX(properties!A$1:CB$87,'Fórmula'!H12,56))+'Fórmula'!K12*(INDEX(properties!A$1:CB$87,'Fórmula'!J12,56))</f>
        <v>11.89</v>
      </c>
      <c r="FV12" s="119">
        <f t="array" ref="FV12">VARP(IF(INDEX(properties!A$1:CB$87,'Fórmula'!B12,56)&lt;&gt;"",INDEX(properties!A$1:CB$87,'Fórmula'!B12,56)),IF(INDEX(properties!A$1:CB$87,'Fórmula'!D12,56)&lt;&gt;"",INDEX(properties!A$1:CB$87,'Fórmula'!D12,56)),IF(INDEX(properties!A$1:CB$87,'Fórmula'!F12,56)&lt;&gt;"",INDEX(properties!A$1:CB$87,'Fórmula'!F12,56)),IF(INDEX(properties!A$1:CB$87,'Fórmula'!H12,56)&lt;&gt;"",INDEX(properties!A$1:CB$87,'Fórmula'!H12,56)),IF(INDEX(properties!A$1:CB$87,'Fórmula'!J12,56)&lt;&gt;"",INDEX(properties!A$1:CB$87,'Fórmula'!J12,56)))</f>
        <v>1.656864</v>
      </c>
      <c r="FW12" s="119">
        <f t="array" ref="FW12">MAX(INDEX(properties!A$1:CB$87,'Fórmula'!B12,56),INDEX(properties!A$1:CB$87,'Fórmula'!D12,56),INDEX(properties!A$1:CB$87,'Fórmula'!F12,56),INDEX(properties!A$1:CB$87,'Fórmula'!H12,56),INDEX(properties!A$1:CB$87,'Fórmula'!J12,56))</f>
        <v>3.6</v>
      </c>
      <c r="FX12" s="119">
        <f t="array" ref="FX12">MIN(IF(INDEX(properties!A$1:CB$87,'Fórmula'!B12,56)=0,10^6,INDEX(properties!A$1:CB$87,'Fórmula'!B12,56)),IF(INDEX(properties!A$1:CB$87,'Fórmula'!D12,56)=0,10^6,INDEX(properties!A$1:CB$87,'Fórmula'!D12,56)),IF(INDEX(properties!A$1:CB$87,'Fórmula'!F12,56)=0,10^6,INDEX(properties!A$1:CB$87,'Fórmula'!F12,56)),IF(INDEX(properties!A$1:CB$87,'Fórmula'!H12,56)=0,10^6,INDEX(properties!A$1:CB$87,'Fórmula'!H12,56)),IF(INDEX(properties!A$1:CB$87,'Fórmula'!J12,56)=0,10^6,INDEX(properties!A$1:CB$87,'Fórmula'!J12,56)))</f>
        <v>0.3</v>
      </c>
      <c r="FY12" s="119">
        <f t="shared" si="30"/>
        <v>3.3</v>
      </c>
      <c r="FZ12" s="104">
        <f t="array" ref="FZ12">(('Fórmula'!C12)/('Fórmula'!C12+'Fórmula'!E12+'Fórmula'!G12+'Fórmula'!I12+'Fórmula'!K12))*(INDEX(properties!A$1:CB$87,'Fórmula'!B12,57))+(('Fórmula'!E12)/('Fórmula'!C12+'Fórmula'!E12+'Fórmula'!G12+'Fórmula'!I12+'Fórmula'!K12))*(INDEX(properties!A$1:CB$87,'Fórmula'!D12,57))+(('Fórmula'!G12)/('Fórmula'!C12+'Fórmula'!E12+'Fórmula'!G12+'Fórmula'!I12+'Fórmula'!K12))*(INDEX(properties!A$1:CB$87,'Fórmula'!F12,57))+(('Fórmula'!I12)/('Fórmula'!C12+'Fórmula'!E12+'Fórmula'!G12+'Fórmula'!I12+'Fórmula'!K12))*(INDEX(properties!A$1:CB$87,'Fórmula'!H12,57))+(('Fórmula'!K12)/('Fórmula'!C12+'Fórmula'!E12+'Fórmula'!G12+'Fórmula'!I12+'Fórmula'!K12))*(INDEX(properties!A$1:CB$87,'Fórmula'!J12,57))</f>
        <v>8.217545</v>
      </c>
      <c r="GA12" s="104">
        <f t="array" ref="GA12">'Fórmula'!C12*(INDEX(properties!A$1:CB$87,'Fórmula'!B12,57))+'Fórmula'!E12*(INDEX(properties!A$1:CB$87,'Fórmula'!D12,57))+'Fórmula'!G12*(INDEX(properties!A$1:CB$87,'Fórmula'!F12,57))+'Fórmula'!I12*(INDEX(properties!A$1:CB$87,'Fórmula'!H12,57))+'Fórmula'!K12*(INDEX(properties!A$1:CB$87,'Fórmula'!J12,57))</f>
        <v>65.74036</v>
      </c>
      <c r="GB12" s="104">
        <f t="array" ref="GB12">VARP(IF(INDEX(properties!A$1:CB$87,'Fórmula'!B12,57)&lt;&gt;"",INDEX(properties!A$1:CB$87,'Fórmula'!B12,57)),IF(INDEX(properties!A$1:CB$87,'Fórmula'!D12,57)&lt;&gt;"",INDEX(properties!A$1:CB$87,'Fórmula'!D12,57)),IF(INDEX(properties!A$1:CB$87,'Fórmula'!F12,57)&lt;&gt;"",INDEX(properties!A$1:CB$87,'Fórmula'!F12,57)),IF(INDEX(properties!A$1:CB$87,'Fórmula'!H12,57)&lt;&gt;"",INDEX(properties!A$1:CB$87,'Fórmula'!H12,57)),IF(INDEX(properties!A$1:CB$87,'Fórmula'!J12,57)&lt;&gt;"",INDEX(properties!A$1:CB$87,'Fórmula'!J12,57)))</f>
        <v>372.5281521</v>
      </c>
      <c r="GC12" s="104">
        <f t="array" ref="GC12">MAX(INDEX(properties!A$1:CB$87,'Fórmula'!B12,57),INDEX(properties!A$1:CB$87,'Fórmula'!D12,57),INDEX(properties!A$1:CB$87,'Fórmula'!F12,57),INDEX(properties!A$1:CB$87,'Fórmula'!H12,57),INDEX(properties!A$1:CB$87,'Fórmula'!J12,57))</f>
        <v>50.55</v>
      </c>
      <c r="GD12" s="104">
        <f t="array" ref="GD12">MIN(IF(INDEX(properties!A$1:CB$87,'Fórmula'!B12,57)=0,10^6,INDEX(properties!A$1:CB$87,'Fórmula'!B12,57)),IF(INDEX(properties!A$1:CB$87,'Fórmula'!D12,57)=0,10^6,INDEX(properties!A$1:CB$87,'Fórmula'!D12,57)),IF(INDEX(properties!A$1:CB$87,'Fórmula'!F12,57)=0,10^6,INDEX(properties!A$1:CB$87,'Fórmula'!F12,57)),IF(INDEX(properties!A$1:CB$87,'Fórmula'!H12,57)=0,10^6,INDEX(properties!A$1:CB$87,'Fórmula'!H12,57)),IF(INDEX(properties!A$1:CB$87,'Fórmula'!J12,57)=0,10^6,INDEX(properties!A$1:CB$87,'Fórmula'!J12,57)))</f>
        <v>0.22259</v>
      </c>
      <c r="GE12" s="104">
        <f t="shared" si="31"/>
        <v>50.32741</v>
      </c>
      <c r="GF12" s="105">
        <f t="array" ref="GF12">(('Fórmula'!C12)/('Fórmula'!C12+'Fórmula'!E12+'Fórmula'!G12+'Fórmula'!I12+'Fórmula'!K12))*(INDEX(properties!A$1:CB$87,'Fórmula'!B12,60))+(('Fórmula'!E12)/('Fórmula'!C12+'Fórmula'!E12+'Fórmula'!G12+'Fórmula'!I12+'Fórmula'!K12))*(INDEX(properties!A$1:CB$87,'Fórmula'!D12,60))+(('Fórmula'!G12)/('Fórmula'!C12+'Fórmula'!E12+'Fórmula'!G12+'Fórmula'!I12+'Fórmula'!K12))*(INDEX(properties!A$1:CB$87,'Fórmula'!F12,60))+(('Fórmula'!I12)/('Fórmula'!C12+'Fórmula'!E12+'Fórmula'!G12+'Fórmula'!I12+'Fórmula'!K12))*(INDEX(properties!A$1:CB$87,'Fórmula'!H12,60))+(('Fórmula'!K12)/('Fórmula'!C12+'Fórmula'!E12+'Fórmula'!G12+'Fórmula'!I12+'Fórmula'!K12))*(INDEX(properties!A$1:CB$87,'Fórmula'!J12,60))</f>
        <v>44.10087</v>
      </c>
      <c r="GG12" s="105">
        <f t="array" ref="GG12">'Fórmula'!C12*(INDEX(properties!A$1:CB$87,'Fórmula'!B12,60))+'Fórmula'!E12*(INDEX(properties!A$1:CB$87,'Fórmula'!D12,60))+'Fórmula'!G12*(INDEX(properties!A$1:CB$87,'Fórmula'!F12,60))+'Fórmula'!I12*(INDEX(properties!A$1:CB$87,'Fórmula'!H12,60))+'Fórmula'!K12*(INDEX(properties!A$1:CB$87,'Fórmula'!J12,60))</f>
        <v>352.80696</v>
      </c>
      <c r="GH12" s="105">
        <f t="array" ref="GH12">VARP(IF(INDEX(properties!A$1:CB$87,'Fórmula'!B12,60)&lt;&gt;"",INDEX(properties!A$1:CB$87,'Fórmula'!B12,60)),IF(INDEX(properties!A$1:CB$87,'Fórmula'!D12,60)&lt;&gt;"",INDEX(properties!A$1:CB$87,'Fórmula'!D12,60)),IF(INDEX(properties!A$1:CB$87,'Fórmula'!F12,60)&lt;&gt;"",INDEX(properties!A$1:CB$87,'Fórmula'!F12,60)),IF(INDEX(properties!A$1:CB$87,'Fórmula'!H12,60)&lt;&gt;"",INDEX(properties!A$1:CB$87,'Fórmula'!H12,60)),IF(INDEX(properties!A$1:CB$87,'Fórmula'!J12,60)&lt;&gt;"",INDEX(properties!A$1:CB$87,'Fórmula'!J12,60)))</f>
        <v>3191.302809</v>
      </c>
      <c r="GI12" s="105">
        <f t="array" ref="GI12">MAX(INDEX(properties!A$1:CB$87,'Fórmula'!B12,60),INDEX(properties!A$1:CB$87,'Fórmula'!D12,60),INDEX(properties!A$1:CB$87,'Fórmula'!F12,60),INDEX(properties!A$1:CB$87,'Fórmula'!H12,60),INDEX(properties!A$1:CB$87,'Fórmula'!J12,60))</f>
        <v>148</v>
      </c>
      <c r="GJ12" s="105">
        <f t="array" ref="GJ12">MIN(IF(INDEX(properties!A$1:CB$87,'Fórmula'!B12,60)=0,10^6,INDEX(properties!A$1:CB$87,'Fórmula'!B12,60)),IF(INDEX(properties!A$1:CB$87,'Fórmula'!D12,60)=0,10^6,INDEX(properties!A$1:CB$87,'Fórmula'!D12,60)),IF(INDEX(properties!A$1:CB$87,'Fórmula'!F12,60)=0,10^6,INDEX(properties!A$1:CB$87,'Fórmula'!F12,60)),IF(INDEX(properties!A$1:CB$87,'Fórmula'!H12,60)=0,10^6,INDEX(properties!A$1:CB$87,'Fórmula'!H12,60)),IF(INDEX(properties!A$1:CB$87,'Fórmula'!J12,60)=0,10^6,INDEX(properties!A$1:CB$87,'Fórmula'!J12,60)))</f>
        <v>0.02674</v>
      </c>
      <c r="GK12" s="105">
        <f t="shared" si="32"/>
        <v>147.97326</v>
      </c>
      <c r="GL12" s="106">
        <f t="array" ref="GL12">(('Fórmula'!C12)/('Fórmula'!C12+'Fórmula'!E12+'Fórmula'!G12+'Fórmula'!I12+'Fórmula'!K12))*(INDEX(properties!A$1:CB$87,'Fórmula'!B12,62))+(('Fórmula'!E12)/('Fórmula'!C12+'Fórmula'!E12+'Fórmula'!G12+'Fórmula'!I12+'Fórmula'!K12))*(INDEX(properties!A$1:CB$87,'Fórmula'!D12,62))+(('Fórmula'!G12)/('Fórmula'!C12+'Fórmula'!E12+'Fórmula'!G12+'Fórmula'!I12+'Fórmula'!K12))*(INDEX(properties!A$1:CB$87,'Fórmula'!F12,62))+(('Fórmula'!I12)/('Fórmula'!C12+'Fórmula'!E12+'Fórmula'!G12+'Fórmula'!I12+'Fórmula'!K12))*(INDEX(properties!A$1:CB$87,'Fórmula'!H12,62))+(('Fórmula'!K12)/('Fórmula'!C12+'Fórmula'!E12+'Fórmula'!G12+'Fórmula'!I12+'Fórmula'!K12))*(INDEX(properties!A$1:CB$87,'Fórmula'!J12,62))</f>
        <v>2.51125</v>
      </c>
      <c r="GM12" s="106">
        <f t="array" ref="GM12">'Fórmula'!C12*(INDEX(properties!A$1:CB$87,'Fórmula'!B12,62))+'Fórmula'!E12*(INDEX(properties!A$1:CB$87,'Fórmula'!D12,62))+'Fórmula'!G12*(INDEX(properties!A$1:CB$87,'Fórmula'!F12,62))+'Fórmula'!I12*(INDEX(properties!A$1:CB$87,'Fórmula'!H12,62))+'Fórmula'!K12*(INDEX(properties!A$1:CB$87,'Fórmula'!J12,62))</f>
        <v>20.09</v>
      </c>
      <c r="GN12" s="106">
        <f t="array" ref="GN12">VARP(IF(INDEX(properties!A$1:CB$87,'Fórmula'!B12,62)&lt;&gt;"",INDEX(properties!A$1:CB$87,'Fórmula'!B12,62)),IF(INDEX(properties!A$1:CB$87,'Fórmula'!D12,62)&lt;&gt;"",INDEX(properties!A$1:CB$87,'Fórmula'!D12,62)),IF(INDEX(properties!A$1:CB$87,'Fórmula'!F12,62)&lt;&gt;"",INDEX(properties!A$1:CB$87,'Fórmula'!F12,62)),IF(INDEX(properties!A$1:CB$87,'Fórmula'!H12,62)&lt;&gt;"",INDEX(properties!A$1:CB$87,'Fórmula'!H12,62)),IF(INDEX(properties!A$1:CB$87,'Fórmula'!J12,62)&lt;&gt;"",INDEX(properties!A$1:CB$87,'Fórmula'!J12,62)))</f>
        <v>2.28892</v>
      </c>
      <c r="GO12" s="106">
        <f t="array" ref="GO12">MAX(INDEX(properties!A$1:CB$87,'Fórmula'!B12,62),INDEX(properties!A$1:CB$87,'Fórmula'!D12,62),INDEX(properties!A$1:CB$87,'Fórmula'!F12,62),INDEX(properties!A$1:CB$87,'Fórmula'!H12,62),INDEX(properties!A$1:CB$87,'Fórmula'!J12,62))</f>
        <v>4.63</v>
      </c>
      <c r="GP12" s="106">
        <f t="array" ref="GP12">MIN(IF(INDEX(properties!A$1:CB$87,'Fórmula'!B12,62)=0,10^6,INDEX(properties!A$1:CB$87,'Fórmula'!B12,62)),IF(INDEX(properties!A$1:CB$87,'Fórmula'!D12,62)=0,10^6,INDEX(properties!A$1:CB$87,'Fórmula'!D12,62)),IF(INDEX(properties!A$1:CB$87,'Fórmula'!F12,62)=0,10^6,INDEX(properties!A$1:CB$87,'Fórmula'!F12,62)),IF(INDEX(properties!A$1:CB$87,'Fórmula'!H12,62)=0,10^6,INDEX(properties!A$1:CB$87,'Fórmula'!H12,62)),IF(INDEX(properties!A$1:CB$87,'Fórmula'!J12,62)=0,10^6,INDEX(properties!A$1:CB$87,'Fórmula'!J12,62)))</f>
        <v>1.63</v>
      </c>
      <c r="GQ12" s="106">
        <f t="shared" si="33"/>
        <v>3</v>
      </c>
      <c r="GR12" s="106">
        <f>'Fórmula'!Q12</f>
        <v>154</v>
      </c>
      <c r="GS12" s="107">
        <f>'Fórmula'!P12</f>
        <v>4</v>
      </c>
      <c r="GT12" s="113">
        <f>'Fórmula'!O12</f>
        <v>3.55</v>
      </c>
      <c r="GU12" s="114">
        <f>AVERAGE('Fórmula'!R12/'Fórmula'!S12,'Fórmula'!S12/'Fórmula'!T12,'Fórmula'!T12/'Fórmula'!R12)</f>
        <v>1.294179942</v>
      </c>
      <c r="GV12" s="125">
        <f>'Fórmula'!U12</f>
        <v>271.51</v>
      </c>
      <c r="GW12" s="106">
        <f>'Fórmula'!N12</f>
        <v>0.01</v>
      </c>
    </row>
    <row r="13" ht="14.25" customHeight="1">
      <c r="A13" s="99" t="str">
        <f>'Fórmula'!A13</f>
        <v>Y3Al2Ga3O12</v>
      </c>
      <c r="B13" s="101">
        <f t="array" ref="B13">(('Fórmula'!C13)/('Fórmula'!C13+'Fórmula'!E13+'Fórmula'!G13+'Fórmula'!I13+'Fórmula'!K13))*(INDEX(properties!A$1:CB$87,'Fórmula'!B13,3))+(('Fórmula'!E13)/('Fórmula'!C13+'Fórmula'!E13+'Fórmula'!G13+'Fórmula'!I13+'Fórmula'!K13))*(INDEX(properties!A$1:CB$87,'Fórmula'!D13,3))+(('Fórmula'!G13)/('Fórmula'!C13+'Fórmula'!E13+'Fórmula'!G13+'Fórmula'!I13+'Fórmula'!K13))*(INDEX(properties!A$1:CB$87,'Fórmula'!F13,3))+(('Fórmula'!I13)/('Fórmula'!C13+'Fórmula'!E13+'Fórmula'!G13+'Fórmula'!I13+'Fórmula'!K13))*(INDEX(properties!A$1:CB$87,'Fórmula'!H13,3))+(('Fórmula'!K13)/('Fórmula'!C13+'Fórmula'!E13+'Fórmula'!G13+'Fórmula'!I13+'Fórmula'!K13))*(INDEX(properties!A$1:CB$87,'Fórmula'!J13,3))</f>
        <v>36.0921199</v>
      </c>
      <c r="C13" s="101">
        <f t="array" ref="C13">'Fórmula'!C13*(INDEX(properties!A$1:CB$87,'Fórmula'!B13,3))+'Fórmula'!E13*(INDEX(properties!A$1:CB$87,'Fórmula'!D13,3))+'Fórmula'!G13*(INDEX(properties!A$1:CB$87,'Fórmula'!F13,3))+'Fórmula'!I13*(INDEX(properties!A$1:CB$87,'Fórmula'!H13,3))+'Fórmula'!K13*(INDEX(properties!A$1:CB$87,'Fórmula'!J13,3))</f>
        <v>721.842398</v>
      </c>
      <c r="D13" s="101">
        <f t="array" ref="D13">VARP(IF(INDEX(properties!A$1:CB$87,'Fórmula'!B13,3)&lt;&gt;"",INDEX(properties!A$1:CB$87,'Fórmula'!B13,3)),IF(INDEX(properties!A$1:CB$87,'Fórmula'!D13,3)&lt;&gt;"",INDEX(properties!A$1:CB$87,'Fórmula'!D13,3)),IF(INDEX(properties!A$1:CB$87,'Fórmula'!F13,3)&lt;&gt;"",INDEX(properties!A$1:CB$87,'Fórmula'!F13,3)),IF(INDEX(properties!A$1:CB$87,'Fórmula'!H13,3)&lt;&gt;"",INDEX(properties!A$1:CB$87,'Fórmula'!H13,3)),IF(INDEX(properties!A$1:CB$87,'Fórmula'!J13,3)&lt;&gt;"",INDEX(properties!A$1:CB$87,'Fórmula'!J13,3)))</f>
        <v>1124.045753</v>
      </c>
      <c r="E13" s="101">
        <f t="array" ref="E13">MAX(INDEX(properties!A$1:CB$87,'Fórmula'!B13,3),INDEX(properties!A$1:CB$87,'Fórmula'!D13,3),INDEX(properties!A$1:CB$87,'Fórmula'!F13,3),INDEX(properties!A$1:CB$87,'Fórmula'!H13,3),INDEX(properties!A$1:CB$87,'Fórmula'!J13,3))</f>
        <v>88.90584</v>
      </c>
      <c r="F13" s="101">
        <f t="array" ref="F13">MIN(IF(INDEX(properties!A$1:CB$87,'Fórmula'!B13,3)=0,10^6,INDEX(properties!A$1:CB$87,'Fórmula'!B13,3)),IF(INDEX(properties!A$1:CB$87,'Fórmula'!D13,3)=0,10^6,INDEX(properties!A$1:CB$87,'Fórmula'!D13,3)),IF(INDEX(properties!A$1:CB$87,'Fórmula'!F13,3)=0,10^6,INDEX(properties!A$1:CB$87,'Fórmula'!F13,3)),IF(INDEX(properties!A$1:CB$87,'Fórmula'!H13,3)=0,10^6,INDEX(properties!A$1:CB$87,'Fórmula'!H13,3)),IF(INDEX(properties!A$1:CB$87,'Fórmula'!J13,3)=0,10^6,INDEX(properties!A$1:CB$87,'Fórmula'!J13,3)))</f>
        <v>15.9994</v>
      </c>
      <c r="G13" s="101">
        <f t="shared" si="1"/>
        <v>72.90644</v>
      </c>
      <c r="H13" s="102">
        <f t="array" ref="H13">(('Fórmula'!C13)/('Fórmula'!C13+'Fórmula'!E13+'Fórmula'!G13+'Fórmula'!I13+'Fórmula'!K13))*(INDEX(properties!A$1:CB$87,'Fórmula'!B13,4))+(('Fórmula'!E13)/('Fórmula'!C13+'Fórmula'!E13+'Fórmula'!G13+'Fórmula'!I13+'Fórmula'!K13))*(INDEX(properties!A$1:CB$87,'Fórmula'!D13,4))+(('Fórmula'!G13)/('Fórmula'!C13+'Fórmula'!E13+'Fórmula'!G13+'Fórmula'!I13+'Fórmula'!K13))*(INDEX(properties!A$1:CB$87,'Fórmula'!F13,4))+(('Fórmula'!I13)/('Fórmula'!C13+'Fórmula'!E13+'Fórmula'!G13+'Fórmula'!I13+'Fórmula'!K13))*(INDEX(properties!A$1:CB$87,'Fórmula'!H13,4))+(('Fórmula'!K13)/('Fórmula'!C13+'Fórmula'!E13+'Fórmula'!G13+'Fórmula'!I13+'Fórmula'!K13))*(INDEX(properties!A$1:CB$87,'Fórmula'!J13,4))</f>
        <v>16.6</v>
      </c>
      <c r="I13" s="102">
        <f t="array" ref="I13">'Fórmula'!C13*(INDEX(properties!A$1:CB$87,'Fórmula'!B13,4))+'Fórmula'!E13*(INDEX(properties!A$1:CB$87,'Fórmula'!D13,4))+'Fórmula'!G13*(INDEX(properties!A$1:CB$87,'Fórmula'!F13,4))+'Fórmula'!I13*(INDEX(properties!A$1:CB$87,'Fórmula'!H13,4))+'Fórmula'!K13*(INDEX(properties!A$1:CB$87,'Fórmula'!J13,4))</f>
        <v>332</v>
      </c>
      <c r="J13" s="102">
        <f t="array" ref="J13">VARP(IF(INDEX(properties!A$1:CB$87,'Fórmula'!B13,4)&lt;&gt;"",INDEX(properties!A$1:CB$87,'Fórmula'!B13,4)),IF(INDEX(properties!A$1:CB$87,'Fórmula'!D13,4)&lt;&gt;"",INDEX(properties!A$1:CB$87,'Fórmula'!D13,4)),IF(INDEX(properties!A$1:CB$87,'Fórmula'!F13,4)&lt;&gt;"",INDEX(properties!A$1:CB$87,'Fórmula'!F13,4)),IF(INDEX(properties!A$1:CB$87,'Fórmula'!H13,4)&lt;&gt;"",INDEX(properties!A$1:CB$87,'Fórmula'!H13,4)),IF(INDEX(properties!A$1:CB$87,'Fórmula'!J13,4)&lt;&gt;"",INDEX(properties!A$1:CB$87,'Fórmula'!J13,4)))</f>
        <v>211.76</v>
      </c>
      <c r="K13" s="102">
        <f t="array" ref="K13">MAX(INDEX(properties!A$1:CB$87,'Fórmula'!B13,4),INDEX(properties!A$1:CB$87,'Fórmula'!D13,4),INDEX(properties!A$1:CB$87,'Fórmula'!F13,4),INDEX(properties!A$1:CB$87,'Fórmula'!H13,4),INDEX(properties!A$1:CB$87,'Fórmula'!J13,4))</f>
        <v>39</v>
      </c>
      <c r="L13" s="102">
        <f t="array" ref="L13">MIN(IF(INDEX(properties!A$1:CB$87,'Fórmula'!B13,4)=0,10^6,INDEX(properties!A$1:CB$87,'Fórmula'!B13,4)),IF(INDEX(properties!A$1:CB$87,'Fórmula'!D13,4)=0,10^6,INDEX(properties!A$1:CB$87,'Fórmula'!D13,4)),IF(INDEX(properties!A$1:CB$87,'Fórmula'!F13,4)=0,10^6,INDEX(properties!A$1:CB$87,'Fórmula'!F13,4)),IF(INDEX(properties!A$1:CB$87,'Fórmula'!H13,4)=0,10^6,INDEX(properties!A$1:CB$87,'Fórmula'!H13,4)),IF(INDEX(properties!A$1:CB$87,'Fórmula'!J13,4)=0,10^6,INDEX(properties!A$1:CB$87,'Fórmula'!J13,4)))</f>
        <v>8</v>
      </c>
      <c r="M13" s="102">
        <f t="shared" si="2"/>
        <v>31</v>
      </c>
      <c r="N13" s="103">
        <f t="array" ref="N13">(('Fórmula'!C13)/('Fórmula'!C13+'Fórmula'!E13+'Fórmula'!G13+'Fórmula'!I13+'Fórmula'!K13))*(INDEX(properties!A$1:CB$87,'Fórmula'!B13,5))+(('Fórmula'!E13)/('Fórmula'!C13+'Fórmula'!E13+'Fórmula'!G13+'Fórmula'!I13+'Fórmula'!K13))*(INDEX(properties!A$1:CB$87,'Fórmula'!D13,5))+(('Fórmula'!G13)/('Fórmula'!C13+'Fórmula'!E13+'Fórmula'!G13+'Fórmula'!I13+'Fórmula'!K13))*(INDEX(properties!A$1:CB$87,'Fórmula'!F13,5))+(('Fórmula'!I13)/('Fórmula'!C13+'Fórmula'!E13+'Fórmula'!G13+'Fórmula'!I13+'Fórmula'!K13))*(INDEX(properties!A$1:CB$87,'Fórmula'!H13,5))+(('Fórmula'!K13)/('Fórmula'!C13+'Fórmula'!E13+'Fórmula'!G13+'Fórmula'!I13+'Fórmula'!K13))*(INDEX(properties!A$1:CB$87,'Fórmula'!J13,5))</f>
        <v>2.85</v>
      </c>
      <c r="O13" s="103">
        <f t="array" ref="O13">'Fórmula'!C13*(INDEX(properties!A$1:CB$87,'Fórmula'!B13,5))+'Fórmula'!E13*(INDEX(properties!A$1:CB$87,'Fórmula'!D13,5))+'Fórmula'!G13*(INDEX(properties!A$1:CB$87,'Fórmula'!F13,5))+'Fórmula'!I13*(INDEX(properties!A$1:CB$87,'Fórmula'!H13,5))+'Fórmula'!K13*(INDEX(properties!A$1:CB$87,'Fórmula'!J13,5))</f>
        <v>57</v>
      </c>
      <c r="P13" s="103">
        <f t="array" ref="P13">VARP(IF(INDEX(properties!A$1:CB$87,'Fórmula'!B13,5)&lt;&gt;"",INDEX(properties!A$1:CB$87,'Fórmula'!B13,5)),IF(INDEX(properties!A$1:CB$87,'Fórmula'!D13,5)&lt;&gt;"",INDEX(properties!A$1:CB$87,'Fórmula'!D13,5)),IF(INDEX(properties!A$1:CB$87,'Fórmula'!F13,5)&lt;&gt;"",INDEX(properties!A$1:CB$87,'Fórmula'!F13,5)),IF(INDEX(properties!A$1:CB$87,'Fórmula'!H13,5)&lt;&gt;"",INDEX(properties!A$1:CB$87,'Fórmula'!H13,5)),IF(INDEX(properties!A$1:CB$87,'Fórmula'!J13,5)&lt;&gt;"",INDEX(properties!A$1:CB$87,'Fórmula'!J13,5)))</f>
        <v>2.96</v>
      </c>
      <c r="Q13" s="103">
        <f t="array" ref="Q13">MAX(INDEX(properties!A$1:CB$87,'Fórmula'!B13,5),INDEX(properties!A$1:CB$87,'Fórmula'!D13,5),INDEX(properties!A$1:CB$87,'Fórmula'!F13,5),INDEX(properties!A$1:CB$87,'Fórmula'!H13,5),INDEX(properties!A$1:CB$87,'Fórmula'!J13,5))</f>
        <v>5</v>
      </c>
      <c r="R13" s="103">
        <f t="array" ref="R13">MIN(IF(INDEX(properties!A$1:CB$87,'Fórmula'!B13,5)=0,10^6,INDEX(properties!A$1:CB$87,'Fórmula'!B13,5)),IF(INDEX(properties!A$1:CB$87,'Fórmula'!D13,5)=0,10^6,INDEX(properties!A$1:CB$87,'Fórmula'!D13,5)),IF(INDEX(properties!A$1:CB$87,'Fórmula'!F13,5)=0,10^6,INDEX(properties!A$1:CB$87,'Fórmula'!F13,5)),IF(INDEX(properties!A$1:CB$87,'Fórmula'!H13,5)=0,10^6,INDEX(properties!A$1:CB$87,'Fórmula'!H13,5)),IF(INDEX(properties!A$1:CB$87,'Fórmula'!J13,5)=0,10^6,INDEX(properties!A$1:CB$87,'Fórmula'!J13,5)))</f>
        <v>2</v>
      </c>
      <c r="S13" s="103">
        <f t="shared" si="3"/>
        <v>3</v>
      </c>
      <c r="T13" s="104">
        <f t="array" ref="T13">(('Fórmula'!C13)/('Fórmula'!C13+'Fórmula'!E13+'Fórmula'!G13+'Fórmula'!I13+'Fórmula'!K13))*(INDEX(properties!A$1:CB$87,'Fórmula'!B13,6))+(('Fórmula'!E13)/('Fórmula'!C13+'Fórmula'!E13+'Fórmula'!G13+'Fórmula'!I13+'Fórmula'!K13))*(INDEX(properties!A$1:CB$87,'Fórmula'!D13,6))+(('Fórmula'!G13)/('Fórmula'!C13+'Fórmula'!E13+'Fórmula'!G13+'Fórmula'!I13+'Fórmula'!K13))*(INDEX(properties!A$1:CB$87,'Fórmula'!F13,6))+(('Fórmula'!I13)/('Fórmula'!C13+'Fórmula'!E13+'Fórmula'!G13+'Fórmula'!I13+'Fórmula'!K13))*(INDEX(properties!A$1:CB$87,'Fórmula'!H13,6))+(('Fórmula'!K13)/('Fórmula'!C13+'Fórmula'!E13+'Fórmula'!G13+'Fórmula'!I13+'Fórmula'!K13))*(INDEX(properties!A$1:CB$87,'Fórmula'!J13,6))</f>
        <v>13.3</v>
      </c>
      <c r="U13" s="104">
        <f t="array" ref="U13">'Fórmula'!C13*(INDEX(properties!A$1:CB$87,'Fórmula'!B13,6))+'Fórmula'!E13*(INDEX(properties!A$1:CB$87,'Fórmula'!D13,6))+'Fórmula'!G13*(INDEX(properties!A$1:CB$87,'Fórmula'!F13,6))+'Fórmula'!I13*(INDEX(properties!A$1:CB$87,'Fórmula'!H13,6))+'Fórmula'!K13*(INDEX(properties!A$1:CB$87,'Fórmula'!J13,6))</f>
        <v>266</v>
      </c>
      <c r="V13" s="103">
        <f t="array" ref="V13">VARP(IF(INDEX(properties!A$1:CB$87,'Fórmula'!B13,6)&lt;&gt;"",INDEX(properties!A$1:CB$87,'Fórmula'!B13,6)),IF(INDEX(properties!A$1:CB$87,'Fórmula'!D13,6)&lt;&gt;"",INDEX(properties!A$1:CB$87,'Fórmula'!D13,6)),IF(INDEX(properties!A$1:CB$87,'Fórmula'!F13,6)&lt;&gt;"",INDEX(properties!A$1:CB$87,'Fórmula'!F13,6)),IF(INDEX(properties!A$1:CB$87,'Fórmula'!H13,6)&lt;&gt;"",INDEX(properties!A$1:CB$87,'Fórmula'!H13,6)),IF(INDEX(properties!A$1:CB$87,'Fórmula'!J13,6)&lt;&gt;"",INDEX(properties!A$1:CB$87,'Fórmula'!J13,6)))</f>
        <v>39.6</v>
      </c>
      <c r="W13" s="104">
        <f t="array" ref="W13">MAX(INDEX(properties!A$1:CB$87,'Fórmula'!B13,6),INDEX(properties!A$1:CB$87,'Fórmula'!D13,6),INDEX(properties!A$1:CB$87,'Fórmula'!F13,6),INDEX(properties!A$1:CB$87,'Fórmula'!H13,4),INDEX(properties!A$1:CB$87,'Fórmula'!J13,6))</f>
        <v>13</v>
      </c>
      <c r="X13" s="104">
        <f t="array" ref="X13">MIN(IF(INDEX(properties!A$1:CB$87,'Fórmula'!B13,6)=0,10^6,INDEX(properties!A$1:CB$87,'Fórmula'!B13,6)),IF(INDEX(properties!A$1:CB$87,'Fórmula'!D13,6)=0,10^6,INDEX(properties!A$1:CB$87,'Fórmula'!D13,6)),IF(INDEX(properties!A$1:CB$87,'Fórmula'!F13,6)=0,10^6,INDEX(properties!A$1:CB$87,'Fórmula'!F13,6)),IF(INDEX(properties!A$1:CB$87,'Fórmula'!H13,6)=0,10^6,INDEX(properties!A$1:CB$87,'Fórmula'!H13,6)),IF(INDEX(properties!A$1:CB$87,'Fórmula'!J13,6)=0,10^6,INDEX(properties!A$1:CB$87,'Fórmula'!J13,6)))</f>
        <v>3</v>
      </c>
      <c r="Y13" s="104">
        <f t="shared" si="4"/>
        <v>10</v>
      </c>
      <c r="Z13" s="105">
        <f t="array" ref="Z13">(('Fórmula'!C13)/('Fórmula'!C13+'Fórmula'!E13+'Fórmula'!G13+'Fórmula'!I13+'Fórmula'!K13))*(INDEX(properties!A$1:CB$87,'Fórmula'!B13,9))+(('Fórmula'!E13)/('Fórmula'!C13+'Fórmula'!E13+'Fórmula'!G13+'Fórmula'!I13+'Fórmula'!K13))*(INDEX(properties!A$1:CB$87,'Fórmula'!D13,9))+(('Fórmula'!G13)/('Fórmula'!C13+'Fórmula'!E13+'Fórmula'!G13+'Fórmula'!I13+'Fórmula'!K13))*(INDEX(properties!A$1:CB$87,'Fórmula'!F13,9))+(('Fórmula'!I13)/('Fórmula'!C13+'Fórmula'!E13+'Fórmula'!G13+'Fórmula'!I13+'Fórmula'!K13))*(INDEX(properties!A$1:CB$87,'Fórmula'!H13,9))+(('Fórmula'!K13)/('Fórmula'!C13+'Fórmula'!E13+'Fórmula'!G13+'Fórmula'!I13+'Fórmula'!K13))*(INDEX(properties!A$1:CB$87,'Fórmula'!J13,9))</f>
        <v>72.4</v>
      </c>
      <c r="AA13" s="105">
        <f t="array" ref="AA13">'Fórmula'!C13*(INDEX(properties!A$1:CB$87,'Fórmula'!B13,9))+'Fórmula'!E13*(INDEX(properties!A$1:CB$87,'Fórmula'!D13,9))+'Fórmula'!G13*(INDEX(properties!A$1:CB$87,'Fórmula'!F13,9))+'Fórmula'!I13*(INDEX(properties!A$1:CB$87,'Fórmula'!H13,9))+'Fórmula'!K13*(INDEX(properties!A$1:CB$87,'Fórmula'!J13,9))</f>
        <v>1448</v>
      </c>
      <c r="AB13" s="105">
        <f t="array" ref="AB13">VARP(IF(INDEX(properties!A$1:CB$87,'Fórmula'!B13,9)&lt;&gt;"",INDEX(properties!A$1:CB$87,'Fórmula'!B13,9)),IF(INDEX(properties!A$1:CB$87,'Fórmula'!D13,9)&lt;&gt;"",INDEX(properties!A$1:CB$87,'Fórmula'!D13,9)),IF(INDEX(properties!A$1:CB$87,'Fórmula'!F13,9)&lt;&gt;"",INDEX(properties!A$1:CB$87,'Fórmula'!F13,9)),IF(INDEX(properties!A$1:CB$87,'Fórmula'!H13,9)&lt;&gt;"",INDEX(properties!A$1:CB$87,'Fórmula'!H13,9)),IF(INDEX(properties!A$1:CB$87,'Fórmula'!J13,9)&lt;&gt;"",INDEX(properties!A$1:CB$87,'Fórmula'!J13,9)))</f>
        <v>1282.96</v>
      </c>
      <c r="AC13" s="105">
        <f t="array" ref="AC13">MAX(INDEX(properties!A$1:CB$87,'Fórmula'!B13,9),INDEX(properties!A$1:CB$87,'Fórmula'!D13,9),INDEX(properties!A$1:CB$87,'Fórmula'!F13,9),INDEX(properties!A$1:CB$87,'Fórmula'!H13,9),INDEX(properties!A$1:CB$87,'Fórmula'!J13,9))</f>
        <v>87</v>
      </c>
      <c r="AD13" s="105">
        <f t="array" ref="AD13">MIN(IF(INDEX(properties!A$1:CB$87,'Fórmula'!B13,9)=0,10^6,INDEX(properties!A$1:CB$87,'Fórmula'!B13,9)),IF(INDEX(properties!A$1:CB$87,'Fórmula'!D13,9)=0,10^6,INDEX(properties!A$1:CB$87,'Fórmula'!D13,9)),IF(INDEX(properties!A$1:CB$87,'Fórmula'!F13,9)=0,10^6,INDEX(properties!A$1:CB$87,'Fórmula'!F13,9)),IF(INDEX(properties!A$1:CB$87,'Fórmula'!H13,9)=0,10^6,INDEX(properties!A$1:CB$87,'Fórmula'!H13,9)),IF(INDEX(properties!A$1:CB$87,'Fórmula'!J13,9)=0,10^6,INDEX(properties!A$1:CB$87,'Fórmula'!J13,9)))</f>
        <v>12</v>
      </c>
      <c r="AE13" s="105">
        <f t="shared" si="5"/>
        <v>75</v>
      </c>
      <c r="AF13" s="106">
        <f t="array" ref="AF13">(('Fórmula'!C13)/('Fórmula'!C13+'Fórmula'!E13+'Fórmula'!G13+'Fórmula'!I13+'Fórmula'!K13))*(INDEX(properties!A$1:CB$87,'Fórmula'!B13,10))+(('Fórmula'!E13)/('Fórmula'!C13+'Fórmula'!E13+'Fórmula'!G13+'Fórmula'!I13+'Fórmula'!K13))*(INDEX(properties!A$1:CB$87,'Fórmula'!D13,10))+(('Fórmula'!G13)/('Fórmula'!C13+'Fórmula'!E13+'Fórmula'!G13+'Fórmula'!I13+'Fórmula'!K13))*(INDEX(properties!A$1:CB$87,'Fórmula'!F13,10))+(('Fórmula'!I13)/('Fórmula'!C13+'Fórmula'!E13+'Fórmula'!G13+'Fórmula'!I13+'Fórmula'!K13))*(INDEX(properties!A$1:CB$87,'Fórmula'!H13,10))+(('Fórmula'!K13)/('Fórmula'!C13+'Fórmula'!E13+'Fórmula'!G13+'Fórmula'!I13+'Fórmula'!K13))*(INDEX(properties!A$1:CB$87,'Fórmula'!J13,10))</f>
        <v>5.9</v>
      </c>
      <c r="AG13" s="106">
        <f t="array" ref="AG13">'Fórmula'!C13*(INDEX(properties!A$1:CB$87,'Fórmula'!B13,10))+'Fórmula'!E13*(INDEX(properties!A$1:CB$87,'Fórmula'!D13,10))+'Fórmula'!G13*(INDEX(properties!A$1:CB$87,'Fórmula'!F13,10))+'Fórmula'!I13*(INDEX(properties!A$1:CB$87,'Fórmula'!H13,10))+'Fórmula'!K13*(INDEX(properties!A$1:CB$87,'Fórmula'!J13,10))</f>
        <v>118</v>
      </c>
      <c r="AH13" s="106">
        <f t="array" ref="AH13">VARP(IF(INDEX(properties!A$1:CB$87,'Fórmula'!B13,10)&lt;&gt;"",INDEX(properties!A$1:CB$87,'Fórmula'!B13,10)),IF(INDEX(properties!A$1:CB$87,'Fórmula'!D13,10)&lt;&gt;"",INDEX(properties!A$1:CB$87,'Fórmula'!D13,10)),IF(INDEX(properties!A$1:CB$87,'Fórmula'!F13,10)&lt;&gt;"",INDEX(properties!A$1:CB$87,'Fórmula'!F13,10)),IF(INDEX(properties!A$1:CB$87,'Fórmula'!H13,10)&lt;&gt;"",INDEX(properties!A$1:CB$87,'Fórmula'!H13,10)),IF(INDEX(properties!A$1:CB$87,'Fórmula'!J13,10)&lt;&gt;"",INDEX(properties!A$1:CB$87,'Fórmula'!J13,10)))</f>
        <v>5.6</v>
      </c>
      <c r="AI13" s="106">
        <f t="array" ref="AI13">MAX(INDEX(properties!A$1:CB$87,'Fórmula'!B13,10),INDEX(properties!A$1:CB$87,'Fórmula'!D13,10),INDEX(properties!A$1:CB$87,'Fórmula'!F13,10),INDEX(properties!A$1:CB$87,'Fórmula'!H13,10),INDEX(properties!A$1:CB$87,'Fórmula'!J13,10))</f>
        <v>7</v>
      </c>
      <c r="AJ13" s="106">
        <f t="array" ref="AJ13">MIN(IF(INDEX(properties!A$1:CB$87,'Fórmula'!B13,10)=0,10^6,INDEX(properties!A$1:CB$87,'Fórmula'!B13,10)),IF(INDEX(properties!A$1:CB$87,'Fórmula'!D13,10)=0,10^6,INDEX(properties!A$1:CB$87,'Fórmula'!D13,10)),IF(INDEX(properties!A$1:CB$87,'Fórmula'!F13,10)=0,10^6,INDEX(properties!A$1:CB$87,'Fórmula'!F13,10)),IF(INDEX(properties!A$1:CB$87,'Fórmula'!H13,10)=0,10^6,INDEX(properties!A$1:CB$87,'Fórmula'!H13,10)),IF(INDEX(properties!A$1:CB$87,'Fórmula'!J13,10)=0,10^6,INDEX(properties!A$1:CB$87,'Fórmula'!J13,10)))</f>
        <v>3</v>
      </c>
      <c r="AK13" s="106">
        <f t="shared" si="6"/>
        <v>4</v>
      </c>
      <c r="AL13" s="107">
        <f t="array" ref="AL13">(('Fórmula'!C13)/('Fórmula'!C13+'Fórmula'!E13+'Fórmula'!G13+'Fórmula'!I13+'Fórmula'!K13))*(INDEX(properties!A$1:CB$87,'Fórmula'!B13,11))+(('Fórmula'!E13)/('Fórmula'!C13+'Fórmula'!E13+'Fórmula'!G13+'Fórmula'!I13+'Fórmula'!K13))*(INDEX(properties!A$1:CB$87,'Fórmula'!D13,11))+(('Fórmula'!G13)/('Fórmula'!C13+'Fórmula'!E13+'Fórmula'!G13+'Fórmula'!I13+'Fórmula'!K13))*(INDEX(properties!A$1:CB$87,'Fórmula'!F13,11))+(('Fórmula'!I13)/('Fórmula'!C13+'Fórmula'!E13+'Fórmula'!G13+'Fórmula'!I13+'Fórmula'!K13))*(INDEX(properties!A$1:CB$87,'Fórmula'!H13,11))+(('Fórmula'!K13)/('Fórmula'!C13+'Fórmula'!E13+'Fórmula'!G13+'Fórmula'!I13+'Fórmula'!K13))*(INDEX(properties!A$1:CB$87,'Fórmula'!J13,11))</f>
        <v>2</v>
      </c>
      <c r="AM13" s="107">
        <f t="array" ref="AM13">'Fórmula'!C13*(INDEX(properties!A$1:CB$87,'Fórmula'!B13,11))+'Fórmula'!E13*(INDEX(properties!A$1:CB$87,'Fórmula'!D13,11))+'Fórmula'!G13*(INDEX(properties!A$1:CB$87,'Fórmula'!F13,11))+'Fórmula'!I13*(INDEX(properties!A$1:CB$87,'Fórmula'!H13,11))+'Fórmula'!K13*(INDEX(properties!A$1:CB$87,'Fórmula'!J13,11))</f>
        <v>40</v>
      </c>
      <c r="AN13" s="107">
        <f t="array" ref="AN13">VARP(IF(INDEX(properties!A$1:CB$87,'Fórmula'!B13,11)&lt;&gt;"",INDEX(properties!A$1:CB$87,'Fórmula'!B13,11)),IF(INDEX(properties!A$1:CB$87,'Fórmula'!D13,11)&lt;&gt;"",INDEX(properties!A$1:CB$87,'Fórmula'!D13,11)),IF(INDEX(properties!A$1:CB$87,'Fórmula'!F13,11)&lt;&gt;"",INDEX(properties!A$1:CB$87,'Fórmula'!F13,11)),IF(INDEX(properties!A$1:CB$87,'Fórmula'!H13,11)&lt;&gt;"",INDEX(properties!A$1:CB$87,'Fórmula'!H13,11)),IF(INDEX(properties!A$1:CB$87,'Fórmula'!J13,11)&lt;&gt;"",INDEX(properties!A$1:CB$87,'Fórmula'!J13,11)))</f>
        <v>0.64</v>
      </c>
      <c r="AO13" s="107">
        <f t="array" ref="AO13">MAX(INDEX(properties!A$1:CB$87,'Fórmula'!B13,11),INDEX(properties!A$1:CB$87,'Fórmula'!D13,11),INDEX(properties!A$1:CB$87,'Fórmula'!F13,11),INDEX(properties!A$1:CB$87,'Fórmula'!H13,11),INDEX(properties!A$1:CB$87,'Fórmula'!J13,11))</f>
        <v>2</v>
      </c>
      <c r="AP13" s="107">
        <f t="array" ref="AP13">MIN(IF('Fórmula'!B13=87,10^6,INDEX(properties!A$1:CB$87,'Fórmula'!B13,11)),IF(('Fórmula'!D13)=87,10^6,INDEX(properties!A$1:CB$87,'Fórmula'!D13,11)),IF(('Fórmula'!F13)=87,10^6,INDEX(properties!A$1:CB$87,'Fórmula'!F13,11)),IF(('Fórmula'!H13)=87,10^6,INDEX(properties!A$1:CB$87,'Fórmula'!H13,11)),IF('Fórmula'!J13=87,10^6,INDEX(properties!A$1:CB$87,'Fórmula'!J13,11)))</f>
        <v>2</v>
      </c>
      <c r="AQ13" s="107">
        <f t="shared" si="7"/>
        <v>0</v>
      </c>
      <c r="AR13" s="108">
        <f t="array" ref="AR13">(('Fórmula'!C13)/('Fórmula'!C13+'Fórmula'!E13+'Fórmula'!G13+'Fórmula'!I13+'Fórmula'!K13))*(INDEX(properties!A$1:CB$87,'Fórmula'!B13,12))+(('Fórmula'!E13)/('Fórmula'!C13+'Fórmula'!E13+'Fórmula'!G13+'Fórmula'!I13+'Fórmula'!K13))*(INDEX(properties!A$1:CB$87,'Fórmula'!D13,12))+(('Fórmula'!G13)/('Fórmula'!C13+'Fórmula'!E13+'Fórmula'!G13+'Fórmula'!I13+'Fórmula'!K13))*(INDEX(properties!A$1:CB$87,'Fórmula'!F13,12))+(('Fórmula'!I13)/('Fórmula'!C13+'Fórmula'!E13+'Fórmula'!G13+'Fórmula'!I13+'Fórmula'!K13))*(INDEX(properties!A$1:CB$87,'Fórmula'!H13,12))+(('Fórmula'!K13)/('Fórmula'!C13+'Fórmula'!E13+'Fórmula'!G13+'Fórmula'!I13+'Fórmula'!K13))*(INDEX(properties!A$1:CB$87,'Fórmula'!J13,12))</f>
        <v>2.65</v>
      </c>
      <c r="AS13" s="108">
        <f t="array" ref="AS13">'Fórmula'!C13*(INDEX(properties!A$1:CB$87,'Fórmula'!B13,12))+'Fórmula'!E13*(INDEX(properties!A$1:CB$87,'Fórmula'!D13,12))+'Fórmula'!G13*(INDEX(properties!A$1:CB$87,'Fórmula'!F13,12))+'Fórmula'!I13*(INDEX(properties!A$1:CB$87,'Fórmula'!H13,12))+'Fórmula'!K13*(INDEX(properties!A$1:CB$87,'Fórmula'!J13,12))</f>
        <v>53</v>
      </c>
      <c r="AT13" s="108">
        <f t="array" ref="AT13">VARP(IF(INDEX(properties!A$1:CB$87,'Fórmula'!B13,12)&lt;&gt;"",INDEX(properties!A$1:CB$87,'Fórmula'!B13,12)),IF(INDEX(properties!A$1:CB$87,'Fórmula'!D13,12)&lt;&gt;"",INDEX(properties!A$1:CB$87,'Fórmula'!D13,12)),IF(INDEX(properties!A$1:CB$87,'Fórmula'!F13,12)&lt;&gt;"",INDEX(properties!A$1:CB$87,'Fórmula'!F13,12)),IF(INDEX(properties!A$1:CB$87,'Fórmula'!H13,12)&lt;&gt;"",INDEX(properties!A$1:CB$87,'Fórmula'!H13,12)),IF(INDEX(properties!A$1:CB$87,'Fórmula'!J13,12)&lt;&gt;"",INDEX(properties!A$1:CB$87,'Fórmula'!J13,12)))</f>
        <v>2.16</v>
      </c>
      <c r="AU13" s="108">
        <f t="array" ref="AU13">MAX(INDEX(properties!A$1:CB$87,'Fórmula'!B13,12),INDEX(properties!A$1:CB$87,'Fórmula'!D13,12),INDEX(properties!A$1:CB$87,'Fórmula'!F13,12),INDEX(properties!A$1:CB$87,'Fórmula'!H13,12),INDEX(properties!A$1:CB$87,'Fórmula'!J13,12))</f>
        <v>4</v>
      </c>
      <c r="AV13" s="108">
        <f t="array" ref="AV13">MIN(IF('Fórmula'!B13=87,10^6,INDEX(properties!A$1:CB$87,'Fórmula'!B13,12)),IF(('Fórmula'!D13)=87,10^6,INDEX(properties!A$1:CB$87,'Fórmula'!D13,12)),IF(('Fórmula'!F13)=87,10^6,INDEX(properties!A$1:CB$87,'Fórmula'!F13,12)),IF(('Fórmula'!H13)=87,10^6,INDEX(properties!A$1:CB$87,'Fórmula'!H13,12)),IF('Fórmula'!J13=87,10^6,INDEX(properties!A$1:CB$87,'Fórmula'!J13,12)))</f>
        <v>0</v>
      </c>
      <c r="AW13" s="108">
        <f t="shared" si="8"/>
        <v>4</v>
      </c>
      <c r="AX13" s="109">
        <f t="array" ref="AX13">(('Fórmula'!C13)/('Fórmula'!C13+'Fórmula'!E13+'Fórmula'!G13+'Fórmula'!I13+'Fórmula'!K13))*(INDEX(properties!A$1:CB$87,'Fórmula'!B13,13))+(('Fórmula'!E13)/('Fórmula'!C13+'Fórmula'!E13+'Fórmula'!G13+'Fórmula'!I13+'Fórmula'!K13))*(INDEX(properties!A$1:CB$87,'Fórmula'!D13,13))+(('Fórmula'!G13)/('Fórmula'!C13+'Fórmula'!E13+'Fórmula'!G13+'Fórmula'!I13+'Fórmula'!K13))*(INDEX(properties!A$1:CB$87,'Fórmula'!F13,13))+(('Fórmula'!I13)/('Fórmula'!C13+'Fórmula'!E13+'Fórmula'!G13+'Fórmula'!I13+'Fórmula'!K13))*(INDEX(properties!A$1:CB$87,'Fórmula'!H13,13))+(('Fórmula'!K13)/('Fórmula'!C13+'Fórmula'!E13+'Fórmula'!G13+'Fórmula'!I13+'Fórmula'!K13))*(INDEX(properties!A$1:CB$87,'Fórmula'!J13,13))</f>
        <v>1.65</v>
      </c>
      <c r="AY13" s="109">
        <f t="array" ref="AY13">'Fórmula'!C13*(INDEX(properties!A$1:CB$87,'Fórmula'!B13,13))+'Fórmula'!E13*(INDEX(properties!A$1:CB$87,'Fórmula'!D13,13))+'Fórmula'!G13*(INDEX(properties!A$1:CB$87,'Fórmula'!F13,13))+'Fórmula'!I13*(INDEX(properties!A$1:CB$87,'Fórmula'!H13,13))+'Fórmula'!K13*(INDEX(properties!A$1:CB$87,'Fórmula'!J13,13))</f>
        <v>33</v>
      </c>
      <c r="AZ13" s="109">
        <f t="array" ref="AZ13">VARP(IF(INDEX(properties!A$1:CB$87,'Fórmula'!B13,13)&lt;&gt;"",INDEX(properties!A$1:CB$87,'Fórmula'!B13,13)),IF(INDEX(properties!A$1:CB$87,'Fórmula'!D13,13)&lt;&gt;"",INDEX(properties!A$1:CB$87,'Fórmula'!D13,13)),IF(INDEX(properties!A$1:CB$87,'Fórmula'!F13,13)&lt;&gt;"",INDEX(properties!A$1:CB$87,'Fórmula'!F13,13)),IF(INDEX(properties!A$1:CB$87,'Fórmula'!H13,13)&lt;&gt;"",INDEX(properties!A$1:CB$87,'Fórmula'!H13,13)),IF(INDEX(properties!A$1:CB$87,'Fórmula'!J13,13)&lt;&gt;"",INDEX(properties!A$1:CB$87,'Fórmula'!J13,13)))</f>
        <v>15.36</v>
      </c>
      <c r="BA13" s="109">
        <f t="array" ref="BA13">MAX(INDEX(properties!A$1:CB$87,'Fórmula'!B13,13),INDEX(properties!A$1:CB$87,'Fórmula'!D13,13),INDEX(properties!A$1:CB$87,'Fórmula'!F13,13),INDEX(properties!A$1:CB$87,'Fórmula'!H13,13),INDEX(properties!A$1:CB$87,'Fórmula'!J13,13))</f>
        <v>10</v>
      </c>
      <c r="BB13" s="109">
        <f t="array" ref="BB13">MIN(IF('Fórmula'!B13=87,10^6,INDEX(properties!A$1:CB$87,'Fórmula'!B13,13)),IF(('Fórmula'!D13)=87,10^6,INDEX(properties!A$1:CB$87,'Fórmula'!D13,13)),IF(('Fórmula'!F13)=87,10^6,INDEX(properties!A$1:CB$87,'Fórmula'!F13,13)),IF(('Fórmula'!H13)=87,10^6,INDEX(properties!A$1:CB$87,'Fórmula'!H13,13)),IF('Fórmula'!J13=87,10^6,INDEX(properties!A$1:CB$87,'Fórmula'!J13,13)))</f>
        <v>0</v>
      </c>
      <c r="BC13" s="109">
        <f t="shared" si="9"/>
        <v>10</v>
      </c>
      <c r="BD13" s="110">
        <f t="array" ref="BD13">(('Fórmula'!C13)/('Fórmula'!C13+'Fórmula'!E13+'Fórmula'!G13+'Fórmula'!I13+'Fórmula'!K13))*(INDEX(properties!A$1:CB$87,'Fórmula'!B13,14))+(('Fórmula'!E13)/('Fórmula'!C13+'Fórmula'!E13+'Fórmula'!G13+'Fórmula'!I13+'Fórmula'!K13))*(INDEX(properties!A$1:CB$87,'Fórmula'!D13,14))+(('Fórmula'!G13)/('Fórmula'!C13+'Fórmula'!E13+'Fórmula'!G13+'Fórmula'!I13+'Fórmula'!K13))*(INDEX(properties!A$1:CB$87,'Fórmula'!F13,14))+(('Fórmula'!I13)/('Fórmula'!C13+'Fórmula'!E13+'Fórmula'!G13+'Fórmula'!I13+'Fórmula'!K13))*(INDEX(properties!A$1:CB$87,'Fórmula'!H13,14))+(('Fórmula'!K13)/('Fórmula'!C13+'Fórmula'!E13+'Fórmula'!G13+'Fórmula'!I13+'Fórmula'!K13))*(INDEX(properties!A$1:CB$87,'Fórmula'!J13,14))</f>
        <v>0</v>
      </c>
      <c r="BE13" s="110">
        <f t="array" ref="BE13">'Fórmula'!C13*(INDEX(properties!A$1:CB$87,'Fórmula'!B13,14))+'Fórmula'!E13*(INDEX(properties!A$1:CB$87,'Fórmula'!D13,14))+'Fórmula'!G13*(INDEX(properties!A$1:CB$87,'Fórmula'!F13,14))+'Fórmula'!I13*(INDEX(properties!A$1:CB$87,'Fórmula'!H13,14))+'Fórmula'!K13*(INDEX(properties!A$1:CB$87,'Fórmula'!J13,14))</f>
        <v>0</v>
      </c>
      <c r="BF13" s="110">
        <f t="array" ref="BF13">VARP(IF(INDEX(properties!A$1:CB$87,'Fórmula'!B13,14)&lt;&gt;"",INDEX(properties!A$1:CB$87,'Fórmula'!B13,14)),IF(INDEX(properties!A$1:CB$87,'Fórmula'!D13,14)&lt;&gt;"",INDEX(properties!A$1:CB$87,'Fórmula'!D13,14)),IF(INDEX(properties!A$1:CB$87,'Fórmula'!F13,14)&lt;&gt;"",INDEX(properties!A$1:CB$87,'Fórmula'!F13,14)),IF(INDEX(properties!A$1:CB$87,'Fórmula'!H13,14)&lt;&gt;"",INDEX(properties!A$1:CB$87,'Fórmula'!H13,14)),IF(INDEX(properties!A$1:CB$87,'Fórmula'!J13,14)&lt;&gt;"",INDEX(properties!A$1:CB$87,'Fórmula'!J13,14)))</f>
        <v>0</v>
      </c>
      <c r="BG13" s="110">
        <f t="array" ref="BG13">MAX(INDEX(properties!A$1:CB$87,'Fórmula'!B13,14),INDEX(properties!A$1:CB$87,'Fórmula'!D13,14),INDEX(properties!A$1:CB$87,'Fórmula'!F13,14),INDEX(properties!A$1:CB$87,'Fórmula'!H13,14),INDEX(properties!A$1:CB$87,'Fórmula'!J13,14))</f>
        <v>0</v>
      </c>
      <c r="BH13" s="110">
        <f t="array" ref="BH13">MIN(IF('Fórmula'!B13=87,10^6,INDEX(properties!A$1:CB$87,'Fórmula'!B13,14)),IF(('Fórmula'!D13)=87,10^6,INDEX(properties!A$1:CB$87,'Fórmula'!D13,14)),IF(('Fórmula'!F13)=87,10^6,INDEX(properties!A$1:CB$87,'Fórmula'!F13,14)),IF(('Fórmula'!H13)=87,10^6,INDEX(properties!A$1:CB$87,'Fórmula'!H13,14)),IF('Fórmula'!J13=87,10^6,INDEX(properties!A$1:CB$87,'Fórmula'!J13,14)))</f>
        <v>0</v>
      </c>
      <c r="BI13" s="110">
        <f t="shared" si="10"/>
        <v>0</v>
      </c>
      <c r="BJ13" s="111">
        <f t="array" ref="BJ13">(('Fórmula'!C13)/('Fórmula'!C13+'Fórmula'!E13+'Fórmula'!G13+'Fórmula'!I13+'Fórmula'!K13))*(INDEX(properties!A$1:CB$87,'Fórmula'!B13,19))+(('Fórmula'!E13)/('Fórmula'!C13+'Fórmula'!E13+'Fórmula'!G13+'Fórmula'!I13+'Fórmula'!K13))*(INDEX(properties!A$1:CB$87,'Fórmula'!D13,19))+(('Fórmula'!G13)/('Fórmula'!C13+'Fórmula'!E13+'Fórmula'!G13+'Fórmula'!I13+'Fórmula'!K13))*(INDEX(properties!A$1:CB$87,'Fórmula'!F13,19))+(('Fórmula'!I13)/('Fórmula'!C13+'Fórmula'!E13+'Fórmula'!G13+'Fórmula'!I13+'Fórmula'!K13))*(INDEX(properties!A$1:CB$87,'Fórmula'!H13,19))+(('Fórmula'!K13)/('Fórmula'!C13+'Fórmula'!E13+'Fórmula'!G13+'Fórmula'!I13+'Fórmula'!K13))*(INDEX(properties!A$1:CB$87,'Fórmula'!J13,19))</f>
        <v>6.3</v>
      </c>
      <c r="BK13" s="111">
        <f t="array" ref="BK13">'Fórmula'!C13*(INDEX(properties!A$1:CB$87,'Fórmula'!B13,19))+'Fórmula'!E13*(INDEX(properties!A$1:CB$87,'Fórmula'!D13,19))+'Fórmula'!G13*(INDEX(properties!A$1:CB$87,'Fórmula'!F13,19))+'Fórmula'!I13*(INDEX(properties!A$1:CB$87,'Fórmula'!H13,19))+'Fórmula'!K13*(INDEX(properties!A$1:CB$87,'Fórmula'!J13,19))</f>
        <v>126</v>
      </c>
      <c r="BL13" s="111">
        <f t="array" ref="BL13">VARP(IF(INDEX(properties!A$1:CB$87,'Fórmula'!B13,19)&lt;&gt;"",INDEX(properties!A$1:CB$87,'Fórmula'!B13,19)),IF(INDEX(properties!A$1:CB$87,'Fórmula'!D13,19)&lt;&gt;"",INDEX(properties!A$1:CB$87,'Fórmula'!D13,19)),IF(INDEX(properties!A$1:CB$87,'Fórmula'!F13,19)&lt;&gt;"",INDEX(properties!A$1:CB$87,'Fórmula'!F13,19)),IF(INDEX(properties!A$1:CB$87,'Fórmula'!H13,19)&lt;&gt;"",INDEX(properties!A$1:CB$87,'Fórmula'!H13,19)),IF(INDEX(properties!A$1:CB$87,'Fórmula'!J13,19)&lt;&gt;"",INDEX(properties!A$1:CB$87,'Fórmula'!J13,19)))</f>
        <v>19.6</v>
      </c>
      <c r="BM13" s="111">
        <f t="array" ref="BM13">MAX(INDEX(properties!A$1:CB$87,'Fórmula'!B13,19),INDEX(properties!A$1:CB$87,'Fórmula'!D13,19),INDEX(properties!A$1:CB$87,'Fórmula'!F13,19),INDEX(properties!A$1:CB$87,'Fórmula'!H13,19),INDEX(properties!A$1:CB$87,'Fórmula'!J13,19))</f>
        <v>13</v>
      </c>
      <c r="BN13" s="111">
        <f t="array" ref="BN13">MIN(IF(INDEX(properties!A$1:CB$87,'Fórmula'!B13,19)=0,10^6,INDEX(properties!A$1:CB$87,'Fórmula'!B13,19)),IF(INDEX(properties!A$1:CB$87,'Fórmula'!D13,19)=0,10^6,INDEX(properties!A$1:CB$87,'Fórmula'!D13,19)),IF(INDEX(properties!A$1:CB$87,'Fórmula'!F13,19)=0,10^6,INDEX(properties!A$1:CB$87,'Fórmula'!F13,19)),IF(INDEX(properties!A$1:CB$87,'Fórmula'!H13,19)=0,10^6,INDEX(properties!A$1:CB$87,'Fórmula'!H13,19)),IF(INDEX(properties!A$1:CB$87,'Fórmula'!J13,19)=0,10^6,INDEX(properties!A$1:CB$87,'Fórmula'!J13,19)))</f>
        <v>3</v>
      </c>
      <c r="BO13" s="111">
        <f t="shared" si="11"/>
        <v>10</v>
      </c>
      <c r="BP13" s="112">
        <f t="array" ref="BP13">(('Fórmula'!C13)/('Fórmula'!C13+'Fórmula'!E13+'Fórmula'!G13+'Fórmula'!I13+'Fórmula'!K13))*(INDEX(properties!A$1:CB$87,'Fórmula'!B13,20))+(('Fórmula'!E13)/('Fórmula'!C13+'Fórmula'!E13+'Fórmula'!G13+'Fórmula'!I13+'Fórmula'!K13))*(INDEX(properties!A$1:CB$87,'Fórmula'!D13,20))+(('Fórmula'!G13)/('Fórmula'!C13+'Fórmula'!E13+'Fórmula'!G13+'Fórmula'!I13+'Fórmula'!K13))*(INDEX(properties!A$1:CB$87,'Fórmula'!F13,20))+(('Fórmula'!I13)/('Fórmula'!C13+'Fórmula'!E13+'Fórmula'!G13+'Fórmula'!I13+'Fórmula'!K13))*(INDEX(properties!A$1:CB$87,'Fórmula'!H13,20))+(('Fórmula'!K13)/('Fórmula'!C13+'Fórmula'!E13+'Fórmula'!G13+'Fórmula'!I13+'Fórmula'!K13))*(INDEX(properties!A$1:CB$87,'Fórmula'!J13,20))</f>
        <v>4.65</v>
      </c>
      <c r="BQ13" s="112">
        <f t="array" ref="BQ13">'Fórmula'!C13*(INDEX(properties!A$1:CB$87,'Fórmula'!B13,20))+'Fórmula'!E13*(INDEX(properties!A$1:CB$87,'Fórmula'!D13,20))+'Fórmula'!G13*(INDEX(properties!A$1:CB$87,'Fórmula'!F13,20))+'Fórmula'!I13*(INDEX(properties!A$1:CB$87,'Fórmula'!H13,20))+'Fórmula'!K13*(INDEX(properties!A$1:CB$87,'Fórmula'!J13,20))</f>
        <v>93</v>
      </c>
      <c r="BR13" s="112">
        <f t="array" ref="BR13">VARP(IF(INDEX(properties!A$1:CB$87,'Fórmula'!B13,20)&lt;&gt;"",INDEX(properties!A$1:CB$87,'Fórmula'!B13,20)),IF(INDEX(properties!A$1:CB$87,'Fórmula'!D13,20)&lt;&gt;"",INDEX(properties!A$1:CB$87,'Fórmula'!D13,20)),IF(INDEX(properties!A$1:CB$87,'Fórmula'!F13,20)&lt;&gt;"",INDEX(properties!A$1:CB$87,'Fórmula'!F13,20)),IF(INDEX(properties!A$1:CB$87,'Fórmula'!H13,20)&lt;&gt;"",INDEX(properties!A$1:CB$87,'Fórmula'!H13,20)),IF(INDEX(properties!A$1:CB$87,'Fórmula'!J13,20)&lt;&gt;"",INDEX(properties!A$1:CB$87,'Fórmula'!J13,20)))</f>
        <v>3.76</v>
      </c>
      <c r="BS13" s="112">
        <f t="array" ref="BS13">MAX(INDEX(properties!A$1:CB$87,'Fórmula'!B13,20),INDEX(properties!A$1:CB$87,'Fórmula'!D13,20),INDEX(properties!A$1:CB$87,'Fórmula'!F13,20),INDEX(properties!A$1:CB$87,'Fórmula'!H13,20),INDEX(properties!A$1:CB$87,'Fórmula'!J13,20))</f>
        <v>6</v>
      </c>
      <c r="BT13" s="112">
        <f t="array" ref="BT13">MIN(IF(INDEX(properties!A$1:CB$87,'Fórmula'!B13,20)=0,10^6,INDEX(properties!A$1:CB$87,'Fórmula'!B13,20)),IF(INDEX(properties!A$1:CB$87,'Fórmula'!D13,20)=0,10^6,INDEX(properties!A$1:CB$87,'Fórmula'!D13,20)),IF(INDEX(properties!A$1:CB$87,'Fórmula'!F13,20)=0,10^6,INDEX(properties!A$1:CB$87,'Fórmula'!F13,20)),IF(INDEX(properties!A$1:CB$87,'Fórmula'!H13,20)=0,10^6,INDEX(properties!A$1:CB$87,'Fórmula'!H13,20)),IF(INDEX(properties!A$1:CB$87,'Fórmula'!J13,20)=0,10^6,INDEX(properties!A$1:CB$87,'Fórmula'!J13,20)))</f>
        <v>2</v>
      </c>
      <c r="BU13" s="112">
        <f t="shared" si="12"/>
        <v>4</v>
      </c>
      <c r="BV13" s="113">
        <f t="array" ref="BV13">(('Fórmula'!C13)/('Fórmula'!C13+'Fórmula'!E13+'Fórmula'!G13+'Fórmula'!I13+'Fórmula'!K13))*(INDEX(properties!A$1:CB$87,'Fórmula'!B13,21))+(('Fórmula'!E13)/('Fórmula'!C13+'Fórmula'!E13+'Fórmula'!G13+'Fórmula'!I13+'Fórmula'!K13))*(INDEX(properties!A$1:CB$87,'Fórmula'!D13,21))+(('Fórmula'!G13)/('Fórmula'!C13+'Fórmula'!E13+'Fórmula'!G13+'Fórmula'!I13+'Fórmula'!K13))*(INDEX(properties!A$1:CB$87,'Fórmula'!F13,21))+(('Fórmula'!I13)/('Fórmula'!C13+'Fórmula'!E13+'Fórmula'!G13+'Fórmula'!I13+'Fórmula'!K13))*(INDEX(properties!A$1:CB$87,'Fórmula'!H13,21))+(('Fórmula'!K13)/('Fórmula'!C13+'Fórmula'!E13+'Fórmula'!G13+'Fórmula'!I13+'Fórmula'!K13))*(INDEX(properties!A$1:CB$87,'Fórmula'!J13,21))</f>
        <v>4.5</v>
      </c>
      <c r="BW13" s="113">
        <f t="array" ref="BW13">'Fórmula'!C13*(INDEX(properties!A$1:CB$87,'Fórmula'!B13,21))+'Fórmula'!E13*(INDEX(properties!A$1:CB$87,'Fórmula'!D13,21))+'Fórmula'!G13*(INDEX(properties!A$1:CB$87,'Fórmula'!F13,21))+'Fórmula'!I13*(INDEX(properties!A$1:CB$87,'Fórmula'!H13,21))+'Fórmula'!K13*(INDEX(properties!A$1:CB$87,'Fórmula'!J13,21))</f>
        <v>90</v>
      </c>
      <c r="BX13" s="113">
        <f t="array" ref="BX13">VARP(IF(INDEX(properties!A$1:CB$87,'Fórmula'!B13,21)&lt;&gt;"",INDEX(properties!A$1:CB$87,'Fórmula'!B13,21)),IF(INDEX(properties!A$1:CB$87,'Fórmula'!D13,21)&lt;&gt;"",INDEX(properties!A$1:CB$87,'Fórmula'!D13,21)),IF(INDEX(properties!A$1:CB$87,'Fórmula'!F13,21)&lt;&gt;"",INDEX(properties!A$1:CB$87,'Fórmula'!F13,21)),IF(INDEX(properties!A$1:CB$87,'Fórmula'!H13,21)&lt;&gt;"",INDEX(properties!A$1:CB$87,'Fórmula'!H13,21)),IF(INDEX(properties!A$1:CB$87,'Fórmula'!J13,21)&lt;&gt;"",INDEX(properties!A$1:CB$87,'Fórmula'!J13,21)))</f>
        <v>4.24</v>
      </c>
      <c r="BY13" s="113">
        <f t="array" ref="BY13">MAX(INDEX(properties!A$1:CB$87,'Fórmula'!B13,21),INDEX(properties!A$1:CB$87,'Fórmula'!D13,21),INDEX(properties!A$1:CB$87,'Fórmula'!F13,21),INDEX(properties!A$1:CB$87,'Fórmula'!H13,21),INDEX(properties!A$1:CB$87,'Fórmula'!J13,21))</f>
        <v>6</v>
      </c>
      <c r="BZ13" s="113">
        <f t="array" ref="BZ13">MIN(IF(INDEX(properties!A$1:CB$87,'Fórmula'!B13,21)=0,10^6,INDEX(properties!A$1:CB$87,'Fórmula'!B13,21)),IF(INDEX(properties!A$1:CB$87,'Fórmula'!D13,21)=0,10^6,INDEX(properties!A$1:CB$87,'Fórmula'!D13,21)),IF(INDEX(properties!A$1:CB$87,'Fórmula'!F13,21)=0,10^6,INDEX(properties!A$1:CB$87,'Fórmula'!F13,21)),IF(INDEX(properties!A$1:CB$87,'Fórmula'!H13,21)=0,10^6,INDEX(properties!A$1:CB$87,'Fórmula'!H13,21)),IF(INDEX(properties!A$1:CB$87,'Fórmula'!J13,21)=0,10^6,INDEX(properties!A$1:CB$87,'Fórmula'!J13,21)))</f>
        <v>1</v>
      </c>
      <c r="CA13" s="113">
        <f t="shared" si="13"/>
        <v>5</v>
      </c>
      <c r="CB13" s="114">
        <f t="array" ref="CB13">(('Fórmula'!C13)/('Fórmula'!C13+'Fórmula'!E13+'Fórmula'!G13+'Fórmula'!I13+'Fórmula'!K13))*(INDEX(properties!A$1:CB$87,'Fórmula'!B13,23))+(('Fórmula'!E13)/('Fórmula'!C13+'Fórmula'!E13+'Fórmula'!G13+'Fórmula'!I13+'Fórmula'!K13))*(INDEX(properties!A$1:CB$87,'Fórmula'!D13,23))+(('Fórmula'!G13)/('Fórmula'!C13+'Fórmula'!E13+'Fórmula'!G13+'Fórmula'!I13+'Fórmula'!K13))*(INDEX(properties!A$1:CB$87,'Fórmula'!F13,23))+(('Fórmula'!I13)/('Fórmula'!C13+'Fórmula'!E13+'Fórmula'!G13+'Fórmula'!I13+'Fórmula'!K13))*(INDEX(properties!A$1:CB$87,'Fórmula'!H13,23))+(('Fórmula'!K13)/('Fórmula'!C13+'Fórmula'!E13+'Fórmula'!G13+'Fórmula'!I13+'Fórmula'!K13))*(INDEX(properties!A$1:CB$87,'Fórmula'!J13,23))</f>
        <v>1.266</v>
      </c>
      <c r="CC13" s="114">
        <f t="array" ref="CC13">'Fórmula'!C13*(INDEX(properties!A$1:CB$87,'Fórmula'!B13,23))+'Fórmula'!E13*(INDEX(properties!A$1:CB$87,'Fórmula'!D13,23))+'Fórmula'!G13*(INDEX(properties!A$1:CB$87,'Fórmula'!F13,23))+'Fórmula'!I13*(INDEX(properties!A$1:CB$87,'Fórmula'!H13,23))+'Fórmula'!K13*(INDEX(properties!A$1:CB$87,'Fórmula'!J13,23))</f>
        <v>25.32</v>
      </c>
      <c r="CD13" s="114">
        <f t="array" ref="CD13">VARP(IF(INDEX(properties!A$1:CB$87,'Fórmula'!B13,23)&lt;&gt;"",INDEX(properties!A$1:CB$87,'Fórmula'!B13,23)),IF(INDEX(properties!A$1:CB$87,'Fórmula'!D13,23)&lt;&gt;"",INDEX(properties!A$1:CB$87,'Fórmula'!D13,23)),IF(INDEX(properties!A$1:CB$87,'Fórmula'!F13,23)&lt;&gt;"",INDEX(properties!A$1:CB$87,'Fórmula'!F13,23)),IF(INDEX(properties!A$1:CB$87,'Fórmula'!H13,23)&lt;&gt;"",INDEX(properties!A$1:CB$87,'Fórmula'!H13,23)),IF(INDEX(properties!A$1:CB$87,'Fórmula'!J13,23)&lt;&gt;"",INDEX(properties!A$1:CB$87,'Fórmula'!J13,23)))</f>
        <v>2.402176</v>
      </c>
      <c r="CE13" s="114">
        <f t="array" ref="CE13">MAX(INDEX(properties!A$1:CB$87,'Fórmula'!B13,23),INDEX(properties!A$1:CB$87,'Fórmula'!D13,23),INDEX(properties!A$1:CB$87,'Fórmula'!F13,23),INDEX(properties!A$1:CB$87,'Fórmula'!H13,23),INDEX(properties!A$1:CB$87,'Fórmula'!J13,23))</f>
        <v>3.44</v>
      </c>
      <c r="CF13" s="114">
        <f t="array" ref="CF13">MIN(IF('Fórmula'!B13=87,10^6,INDEX(properties!A$1:CB$87,'Fórmula'!B13,23)),IF(('Fórmula'!D13)=87,10^6,INDEX(properties!A$1:CB$87,'Fórmula'!D13,23)),IF(('Fórmula'!F13)=87,10^6,INDEX(properties!A$1:CB$87,'Fórmula'!F13,23)),IF(('Fórmula'!H13)=87,10^6,INDEX(properties!A$1:CB$87,'Fórmula'!H13,23)),IF('Fórmula'!J13=87,10^6,INDEX(properties!A$1:CB$87,'Fórmula'!J13,23)))</f>
        <v>0</v>
      </c>
      <c r="CG13" s="114">
        <f t="shared" si="14"/>
        <v>3.44</v>
      </c>
      <c r="CH13" s="115">
        <f t="array" ref="CH13">(('Fórmula'!C13)/('Fórmula'!C13+'Fórmula'!E13+'Fórmula'!G13+'Fórmula'!I13+'Fórmula'!K13))*(INDEX(properties!A$1:CB$87,'Fórmula'!B13,26))+(('Fórmula'!E13)/('Fórmula'!C13+'Fórmula'!E13+'Fórmula'!G13+'Fórmula'!I13+'Fórmula'!K13))*(INDEX(properties!A$1:CB$87,'Fórmula'!D13,26))+(('Fórmula'!G13)/('Fórmula'!C13+'Fórmula'!E13+'Fórmula'!G13+'Fórmula'!I13+'Fórmula'!K13))*(INDEX(properties!A$1:CB$87,'Fórmula'!F13,26))+(('Fórmula'!I13)/('Fórmula'!C13+'Fórmula'!E13+'Fórmula'!G13+'Fórmula'!I13+'Fórmula'!K13))*(INDEX(properties!A$1:CB$87,'Fórmula'!H13,26))+(('Fórmula'!K13)/('Fórmula'!C13+'Fórmula'!E13+'Fórmula'!G13+'Fórmula'!I13+'Fórmula'!K13))*(INDEX(properties!A$1:CB$87,'Fórmula'!J13,26))</f>
        <v>10.60193</v>
      </c>
      <c r="CI13" s="115">
        <f t="array" ref="CI13">'Fórmula'!C13*(INDEX(properties!A$1:CB$87,'Fórmula'!B13,26))+'Fórmula'!E13*(INDEX(properties!A$1:CB$87,'Fórmula'!D13,26))+'Fórmula'!G13*(INDEX(properties!A$1:CB$87,'Fórmula'!F13,26))+'Fórmula'!I13*(INDEX(properties!A$1:CB$87,'Fórmula'!H13,26))+'Fórmula'!K13*(INDEX(properties!A$1:CB$87,'Fórmula'!J13,26))</f>
        <v>212.0386</v>
      </c>
      <c r="CJ13" s="115">
        <f t="array" ref="CJ13">VARP(IF(INDEX(properties!A$1:CB$87,'Fórmula'!B13,26)&lt;&gt;"",INDEX(properties!A$1:CB$87,'Fórmula'!B13,26)),IF(INDEX(properties!A$1:CB$87,'Fórmula'!D13,26)&lt;&gt;"",INDEX(properties!A$1:CB$87,'Fórmula'!D13,26)),IF(INDEX(properties!A$1:CB$87,'Fórmula'!F13,26)&lt;&gt;"",INDEX(properties!A$1:CB$87,'Fórmula'!F13,26)),IF(INDEX(properties!A$1:CB$87,'Fórmula'!H13,26)&lt;&gt;"",INDEX(properties!A$1:CB$87,'Fórmula'!H13,26)),IF(INDEX(properties!A$1:CB$87,'Fórmula'!J13,26)&lt;&gt;"",INDEX(properties!A$1:CB$87,'Fórmula'!J13,26)))</f>
        <v>18.684005</v>
      </c>
      <c r="CK13" s="116">
        <f t="array" ref="CK13">MAX(INDEX(properties!A$1:CB$87,'Fórmula'!B13,26),INDEX(properties!A$1:CB$87,'Fórmula'!D13,26),INDEX(properties!A$1:CB$87,'Fórmula'!F13,26),INDEX(properties!A$1:CB$87,'Fórmula'!H13,26),INDEX(properties!A$1:CB$87,'Fórmula'!J13,26))</f>
        <v>13.6181</v>
      </c>
      <c r="CL13" s="116">
        <f t="array" ref="CL13">MIN(IF(INDEX(properties!A$1:CB$87,'Fórmula'!B13,26)=0,10^6,INDEX(properties!A$1:CB$87,'Fórmula'!B13,26)),IF(INDEX(properties!A$1:CB$87,'Fórmula'!D13,26)=0,10^6,INDEX(properties!A$1:CB$87,'Fórmula'!D13,26)),IF(INDEX(properties!A$1:CB$87,'Fórmula'!F13,26)=0,10^6,INDEX(properties!A$1:CB$87,'Fórmula'!F13,26)),IF(INDEX(properties!A$1:CB$87,'Fórmula'!H13,26)=0,10^6,INDEX(properties!A$1:CB$87,'Fórmula'!H13,26)),IF(INDEX(properties!A$1:CB$87,'Fórmula'!J13,26)=0,10^6,INDEX(properties!A$1:CB$87,'Fórmula'!J13,26)))</f>
        <v>5.9858</v>
      </c>
      <c r="CM13" s="115">
        <f t="shared" si="15"/>
        <v>7.6323</v>
      </c>
      <c r="CN13" s="117">
        <f t="array" ref="CN13">(('Fórmula'!C13)/('Fórmula'!C13+'Fórmula'!E13+'Fórmula'!G13+'Fórmula'!I13+'Fórmula'!K13))*(INDEX(properties!A$1:CB$87,'Fórmula'!B13,30))+(('Fórmula'!E13)/('Fórmula'!C13+'Fórmula'!E13+'Fórmula'!G13+'Fórmula'!I13+'Fórmula'!K13))*(INDEX(properties!A$1:CB$87,'Fórmula'!D13,30))+(('Fórmula'!G13)/('Fórmula'!C13+'Fórmula'!E13+'Fórmula'!G13+'Fórmula'!I13+'Fórmula'!K13))*(INDEX(properties!A$1:CB$87,'Fórmula'!F13,30))+(('Fórmula'!I13)/('Fórmula'!C13+'Fórmula'!E13+'Fórmula'!G13+'Fórmula'!I13+'Fórmula'!K13))*(INDEX(properties!A$1:CB$87,'Fórmula'!H13,30))+(('Fórmula'!K13)/('Fórmula'!C13+'Fórmula'!E13+'Fórmula'!G13+'Fórmula'!I13+'Fórmula'!K13))*(INDEX(properties!A$1:CB$87,'Fórmula'!J13,30))</f>
        <v>2.6795</v>
      </c>
      <c r="CO13" s="117">
        <f t="array" ref="CO13">'Fórmula'!C13*(INDEX(properties!A$1:CB$87,'Fórmula'!B13,30))+'Fórmula'!E13*(INDEX(properties!A$1:CB$87,'Fórmula'!D13,30))+'Fórmula'!G13*(INDEX(properties!A$1:CB$87,'Fórmula'!F13,30))+'Fórmula'!I13*(INDEX(properties!A$1:CB$87,'Fórmula'!H13,30))+'Fórmula'!K13*(INDEX(properties!A$1:CB$87,'Fórmula'!J13,30))</f>
        <v>53.59</v>
      </c>
      <c r="CP13" s="117">
        <f t="array" ref="CP13">VARP(IF(INDEX(properties!A$1:CB$87,'Fórmula'!B13,30)&lt;&gt;"",INDEX(properties!A$1:CB$87,'Fórmula'!B13,30)),IF(INDEX(properties!A$1:CB$87,'Fórmula'!D13,30)&lt;&gt;"",INDEX(properties!A$1:CB$87,'Fórmula'!D13,30)),IF(INDEX(properties!A$1:CB$87,'Fórmula'!F13,30)&lt;&gt;"",INDEX(properties!A$1:CB$87,'Fórmula'!F13,30)),IF(INDEX(properties!A$1:CB$87,'Fórmula'!H13,30)&lt;&gt;"",INDEX(properties!A$1:CB$87,'Fórmula'!H13,30)),IF(INDEX(properties!A$1:CB$87,'Fórmula'!J13,30)&lt;&gt;"",INDEX(properties!A$1:CB$87,'Fórmula'!J13,30)))</f>
        <v>1.226584</v>
      </c>
      <c r="CQ13" s="117">
        <f t="array" ref="CQ13">MAX(INDEX(properties!A$1:CB$87,'Fórmula'!B13,30),INDEX(properties!A$1:CB$87,'Fórmula'!D13,30),INDEX(properties!A$1:CB$87,'Fórmula'!F13,30),INDEX(properties!A$1:CB$87,'Fórmula'!H13,30),INDEX(properties!A$1:CB$87,'Fórmula'!J13,30))</f>
        <v>3.44</v>
      </c>
      <c r="CR13" s="117">
        <f t="array" ref="CR13">MIN(IF(INDEX(properties!A$1:CB$87,'Fórmula'!B13,30)=0,10^6,INDEX(properties!A$1:CB$87,'Fórmula'!B13,30)),IF(INDEX(properties!A$1:CB$87,'Fórmula'!D13,30)=0,10^6,INDEX(properties!A$1:CB$87,'Fórmula'!D13,30)),IF(INDEX(properties!A$1:CB$87,'Fórmula'!F13,30)=0,10^6,INDEX(properties!A$1:CB$87,'Fórmula'!F13,30)),IF(INDEX(properties!A$1:CB$87,'Fórmula'!H13,30)=0,10^6,INDEX(properties!A$1:CB$87,'Fórmula'!H13,30)),IF(INDEX(properties!A$1:CB$87,'Fórmula'!J13,30)=0,10^6,INDEX(properties!A$1:CB$87,'Fórmula'!J13,30)))</f>
        <v>1.22</v>
      </c>
      <c r="CS13" s="117">
        <f t="shared" si="16"/>
        <v>2.22</v>
      </c>
      <c r="CT13" s="118">
        <f t="array" ref="CT13">(('Fórmula'!C13)/('Fórmula'!C13+'Fórmula'!E13+'Fórmula'!G13+'Fórmula'!I13+'Fórmula'!K13))*(INDEX(properties!A$1:CB$87,'Fórmula'!B13,31))+(('Fórmula'!E13)/('Fórmula'!C13+'Fórmula'!E13+'Fórmula'!G13+'Fórmula'!I13+'Fórmula'!K13))*(INDEX(properties!A$1:CB$87,'Fórmula'!D13,31))+(('Fórmula'!G13)/('Fórmula'!C13+'Fórmula'!E13+'Fórmula'!G13+'Fórmula'!I13+'Fórmula'!K13))*(INDEX(properties!A$1:CB$87,'Fórmula'!F13,31))+(('Fórmula'!I13)/('Fórmula'!C13+'Fórmula'!E13+'Fórmula'!G13+'Fórmula'!I13+'Fórmula'!K13))*(INDEX(properties!A$1:CB$87,'Fórmula'!H13,31))+(('Fórmula'!K13)/('Fórmula'!C13+'Fórmula'!E13+'Fórmula'!G13+'Fórmula'!I13+'Fórmula'!K13))*(INDEX(properties!A$1:CB$87,'Fórmula'!J13,31))</f>
        <v>2.6225</v>
      </c>
      <c r="CU13" s="118">
        <f t="array" ref="CU13">'Fórmula'!C13*(INDEX(properties!A$1:CB$87,'Fórmula'!B13,31))+'Fórmula'!E13*(INDEX(properties!A$1:CB$87,'Fórmula'!D13,31))+'Fórmula'!G13*(INDEX(properties!A$1:CB$87,'Fórmula'!F13,31))+'Fórmula'!I13*(INDEX(properties!A$1:CB$87,'Fórmula'!H13,31))+'Fórmula'!K13*(INDEX(properties!A$1:CB$87,'Fórmula'!J13,31))</f>
        <v>52.45</v>
      </c>
      <c r="CV13" s="118">
        <f t="array" ref="CV13">VARP(IF(INDEX(properties!A$1:CB$87,'Fórmula'!B13,31)&lt;&gt;"",INDEX(properties!A$1:CB$87,'Fórmula'!B13,31)),IF(INDEX(properties!A$1:CB$87,'Fórmula'!D13,31)&lt;&gt;"",INDEX(properties!A$1:CB$87,'Fórmula'!D13,31)),IF(INDEX(properties!A$1:CB$87,'Fórmula'!F13,31)&lt;&gt;"",INDEX(properties!A$1:CB$87,'Fórmula'!F13,31)),IF(INDEX(properties!A$1:CB$87,'Fórmula'!H13,31)&lt;&gt;"",INDEX(properties!A$1:CB$87,'Fórmula'!H13,31)),IF(INDEX(properties!A$1:CB$87,'Fórmula'!J13,31)&lt;&gt;"",INDEX(properties!A$1:CB$87,'Fórmula'!J13,31)))</f>
        <v>1.113024</v>
      </c>
      <c r="CW13" s="118">
        <f t="array" ref="CW13">MAX(INDEX(properties!A$1:CB$87,'Fórmula'!B13,31),INDEX(properties!A$1:CB$87,'Fórmula'!D13,31),INDEX(properties!A$1:CB$87,'Fórmula'!F13,31),INDEX(properties!A$1:CB$87,'Fórmula'!H13,31),INDEX(properties!A$1:CB$87,'Fórmula'!J13,31))</f>
        <v>3.32</v>
      </c>
      <c r="CX13" s="118">
        <f t="array" ref="CX13">MIN(IF(INDEX(properties!A$1:CB$87,'Fórmula'!B13,31)=0,10^6,INDEX(properties!A$1:CB$87,'Fórmula'!B13,31)),IF(INDEX(properties!A$1:CB$87,'Fórmula'!D13,31)=0,10^6,INDEX(properties!A$1:CB$87,'Fórmula'!D13,31)),IF(INDEX(properties!A$1:CB$87,'Fórmula'!F13,31)=0,10^6,INDEX(properties!A$1:CB$87,'Fórmula'!F13,31)),IF(INDEX(properties!A$1:CB$87,'Fórmula'!H13,31)=0,10^6,INDEX(properties!A$1:CB$87,'Fórmula'!H13,31)),IF(INDEX(properties!A$1:CB$87,'Fórmula'!J13,31)=0,10^6,INDEX(properties!A$1:CB$87,'Fórmula'!J13,31)))</f>
        <v>1.41</v>
      </c>
      <c r="CY13" s="118">
        <f t="shared" si="17"/>
        <v>1.91</v>
      </c>
      <c r="CZ13" s="119">
        <f t="array" ref="CZ13">(('Fórmula'!C13)/('Fórmula'!C13+'Fórmula'!E13+'Fórmula'!G13+'Fórmula'!I13+'Fórmula'!K13))*(INDEX(properties!A$1:CB$87,'Fórmula'!B13,32))+(('Fórmula'!E13)/('Fórmula'!C13+'Fórmula'!E13+'Fórmula'!G13+'Fórmula'!I13+'Fórmula'!K13))*(INDEX(properties!A$1:CB$87,'Fórmula'!D13,32))+(('Fórmula'!G13)/('Fórmula'!C13+'Fórmula'!E13+'Fórmula'!G13+'Fórmula'!I13+'Fórmula'!K13))*(INDEX(properties!A$1:CB$87,'Fórmula'!F13,32))+(('Fórmula'!I13)/('Fórmula'!C13+'Fórmula'!E13+'Fórmula'!G13+'Fórmula'!I13+'Fórmula'!K13))*(INDEX(properties!A$1:CB$87,'Fórmula'!H13,32))+(('Fórmula'!K13)/('Fórmula'!C13+'Fórmula'!E13+'Fórmula'!G13+'Fórmula'!I13+'Fórmula'!K13))*(INDEX(properties!A$1:CB$87,'Fórmula'!J13,32))</f>
        <v>5.8055</v>
      </c>
      <c r="DA13" s="119">
        <f t="array" ref="DA13">'Fórmula'!C13*(INDEX(properties!A$1:CB$87,'Fórmula'!B13,32))+'Fórmula'!E13*(INDEX(properties!A$1:CB$87,'Fórmula'!D13,32))+'Fórmula'!G13*(INDEX(properties!A$1:CB$87,'Fórmula'!F13,32))+'Fórmula'!I13*(INDEX(properties!A$1:CB$87,'Fórmula'!H13,32))+'Fórmula'!K13*(INDEX(properties!A$1:CB$87,'Fórmula'!J13,32))</f>
        <v>116.11</v>
      </c>
      <c r="DB13" s="119">
        <f t="array" ref="DB13">VARP(IF(INDEX(properties!A$1:CB$87,'Fórmula'!B13,32)&lt;&gt;"",INDEX(properties!A$1:CB$87,'Fórmula'!B13,32)),IF(INDEX(properties!A$1:CB$87,'Fórmula'!D13,32)&lt;&gt;"",INDEX(properties!A$1:CB$87,'Fórmula'!D13,32)),IF(INDEX(properties!A$1:CB$87,'Fórmula'!F13,32)&lt;&gt;"",INDEX(properties!A$1:CB$87,'Fórmula'!F13,32)),IF(INDEX(properties!A$1:CB$87,'Fórmula'!H13,32)&lt;&gt;"",INDEX(properties!A$1:CB$87,'Fórmula'!H13,32)),IF(INDEX(properties!A$1:CB$87,'Fórmula'!J13,32)&lt;&gt;"",INDEX(properties!A$1:CB$87,'Fórmula'!J13,32)))</f>
        <v>5.761496</v>
      </c>
      <c r="DC13" s="119">
        <f t="array" ref="DC13">MAX(INDEX(properties!A$1:CB$87,'Fórmula'!B13,32),INDEX(properties!A$1:CB$87,'Fórmula'!D13,32),INDEX(properties!A$1:CB$87,'Fórmula'!F13,32),INDEX(properties!A$1:CB$87,'Fórmula'!H13,32),INDEX(properties!A$1:CB$87,'Fórmula'!J13,32))</f>
        <v>7.54</v>
      </c>
      <c r="DD13" s="119">
        <f t="array" ref="DD13">MIN(IF(INDEX(properties!A$1:CB$87,'Fórmula'!B13,32)=0,10^6,INDEX(properties!A$1:CB$87,'Fórmula'!B13,32)),IF(INDEX(properties!A$1:CB$87,'Fórmula'!D13,32)=0,10^6,INDEX(properties!A$1:CB$87,'Fórmula'!D13,32)),IF(INDEX(properties!A$1:CB$87,'Fórmula'!F13,32)=0,10^6,INDEX(properties!A$1:CB$87,'Fórmula'!F13,32)),IF(INDEX(properties!A$1:CB$87,'Fórmula'!H13,32)=0,10^6,INDEX(properties!A$1:CB$87,'Fórmula'!H13,32)),IF(INDEX(properties!A$1:CB$87,'Fórmula'!J13,32)=0,10^6,INDEX(properties!A$1:CB$87,'Fórmula'!J13,32)))</f>
        <v>3.19</v>
      </c>
      <c r="DE13" s="119">
        <f t="shared" si="18"/>
        <v>4.35</v>
      </c>
      <c r="DF13" s="104">
        <f t="array" ref="DF13">(('Fórmula'!C13)/('Fórmula'!C13+'Fórmula'!E13+'Fórmula'!G13+'Fórmula'!I13+'Fórmula'!K13))*(INDEX(properties!A$1:CB$87,'Fórmula'!B13,34))+(('Fórmula'!E13)/('Fórmula'!C13+'Fórmula'!E13+'Fórmula'!G13+'Fórmula'!I13+'Fórmula'!K13))*(INDEX(properties!A$1:CB$87,'Fórmula'!D13,34))+(('Fórmula'!G13)/('Fórmula'!C13+'Fórmula'!E13+'Fórmula'!G13+'Fórmula'!I13+'Fórmula'!K13))*(INDEX(properties!A$1:CB$87,'Fórmula'!F13,34))+(('Fórmula'!I13)/('Fórmula'!C13+'Fórmula'!E13+'Fórmula'!G13+'Fórmula'!I13+'Fórmula'!K13))*(INDEX(properties!A$1:CB$87,'Fórmula'!H13,34))+(('Fórmula'!K13)/('Fórmula'!C13+'Fórmula'!E13+'Fórmula'!G13+'Fórmula'!I13+'Fórmula'!K13))*(INDEX(properties!A$1:CB$87,'Fórmula'!J13,34))</f>
        <v>2.7587</v>
      </c>
      <c r="DG13" s="104">
        <f t="array" ref="DG13">'Fórmula'!C13*(INDEX(properties!A$1:CB$87,'Fórmula'!B13,34))+'Fórmula'!E13*(INDEX(properties!A$1:CB$87,'Fórmula'!D13,34))+'Fórmula'!G13*(INDEX(properties!A$1:CB$87,'Fórmula'!F13,34))+'Fórmula'!I13*(INDEX(properties!A$1:CB$87,'Fórmula'!H13,34))+'Fórmula'!K13*(INDEX(properties!A$1:CB$87,'Fórmula'!J13,34))</f>
        <v>55.174</v>
      </c>
      <c r="DH13" s="104">
        <f t="array" ref="DH13">VARP(IF(INDEX(properties!A$1:CB$87,'Fórmula'!B13,34)&lt;&gt;"",INDEX(properties!A$1:CB$87,'Fórmula'!B13,34)),IF(INDEX(properties!A$1:CB$87,'Fórmula'!D13,34)&lt;&gt;"",INDEX(properties!A$1:CB$87,'Fórmula'!D13,34)),IF(INDEX(properties!A$1:CB$87,'Fórmula'!F13,34)&lt;&gt;"",INDEX(properties!A$1:CB$87,'Fórmula'!F13,34)),IF(INDEX(properties!A$1:CB$87,'Fórmula'!H13,34)&lt;&gt;"",INDEX(properties!A$1:CB$87,'Fórmula'!H13,34)),IF(INDEX(properties!A$1:CB$87,'Fórmula'!J13,34)&lt;&gt;"",INDEX(properties!A$1:CB$87,'Fórmula'!J13,34)))</f>
        <v>1.37060896</v>
      </c>
      <c r="DI13" s="104">
        <f t="array" ref="DI13">MAX(INDEX(properties!A$1:CB$87,'Fórmula'!B13,34),INDEX(properties!A$1:CB$87,'Fórmula'!D13,34),INDEX(properties!A$1:CB$87,'Fórmula'!F13,34),INDEX(properties!A$1:CB$87,'Fórmula'!H13,34),INDEX(properties!A$1:CB$87,'Fórmula'!J13,34))</f>
        <v>3.61</v>
      </c>
      <c r="DJ13" s="104">
        <f t="array" ref="DJ13">MIN(IF(INDEX(properties!A$1:CB$87,'Fórmula'!B13,34)=0,10^6,INDEX(properties!A$1:CB$87,'Fórmula'!B13,34)),IF(INDEX(properties!A$1:CB$87,'Fórmula'!D13,34)=0,10^6,INDEX(properties!A$1:CB$87,'Fórmula'!D13,34)),IF(INDEX(properties!A$1:CB$87,'Fórmula'!F13,34)=0,10^6,INDEX(properties!A$1:CB$87,'Fórmula'!F13,34)),IF(INDEX(properties!A$1:CB$87,'Fórmula'!H13,34)=0,10^6,INDEX(properties!A$1:CB$87,'Fórmula'!H13,34)),IF(INDEX(properties!A$1:CB$87,'Fórmula'!J13,34)=0,10^6,INDEX(properties!A$1:CB$87,'Fórmula'!J13,34)))</f>
        <v>1.12</v>
      </c>
      <c r="DK13" s="104">
        <f t="shared" si="19"/>
        <v>2.49</v>
      </c>
      <c r="DL13" s="105">
        <f t="array" ref="DL13">(('Fórmula'!C13)/('Fórmula'!C13+'Fórmula'!E13+'Fórmula'!G13+'Fórmula'!I13+'Fórmula'!K13))*(INDEX(properties!A$1:CB$87,'Fórmula'!B13,37))+(('Fórmula'!E13)/('Fórmula'!C13+'Fórmula'!E13+'Fórmula'!G13+'Fórmula'!I13+'Fórmula'!K13))*(INDEX(properties!A$1:CB$87,'Fórmula'!D13,37))+(('Fórmula'!G13)/('Fórmula'!C13+'Fórmula'!E13+'Fórmula'!G13+'Fórmula'!I13+'Fórmula'!K13))*(INDEX(properties!A$1:CB$87,'Fórmula'!F13,37))+(('Fórmula'!I13)/('Fórmula'!C13+'Fórmula'!E13+'Fórmula'!G13+'Fórmula'!I13+'Fórmula'!K13))*(INDEX(properties!A$1:CB$87,'Fórmula'!H13,37))+(('Fórmula'!K13)/('Fórmula'!C13+'Fórmula'!E13+'Fórmula'!G13+'Fórmula'!I13+'Fórmula'!K13))*(INDEX(properties!A$1:CB$87,'Fórmula'!J13,37))</f>
        <v>2.625</v>
      </c>
      <c r="DM13" s="105">
        <f t="array" ref="DM13">'Fórmula'!C13*(INDEX(properties!A$1:CB$87,'Fórmula'!B13,37))+'Fórmula'!E13*(INDEX(properties!A$1:CB$87,'Fórmula'!D13,37))+'Fórmula'!G13*(INDEX(properties!A$1:CB$87,'Fórmula'!F13,37))+'Fórmula'!I13*(INDEX(properties!A$1:CB$87,'Fórmula'!H13,37))+'Fórmula'!K13*(INDEX(properties!A$1:CB$87,'Fórmula'!J13,37))</f>
        <v>52.5</v>
      </c>
      <c r="DN13" s="105">
        <f t="array" ref="DN13">VARP(IF(INDEX(properties!A$1:CB$87,'Fórmula'!B13,37)&lt;&gt;"",INDEX(properties!A$1:CB$87,'Fórmula'!B13,37)),IF(INDEX(properties!A$1:CB$87,'Fórmula'!D13,37)&lt;&gt;"",INDEX(properties!A$1:CB$87,'Fórmula'!D13,37)),IF(INDEX(properties!A$1:CB$87,'Fórmula'!F13,37)&lt;&gt;"",INDEX(properties!A$1:CB$87,'Fórmula'!F13,37)),IF(INDEX(properties!A$1:CB$87,'Fórmula'!H13,37)&lt;&gt;"",INDEX(properties!A$1:CB$87,'Fórmula'!H13,37)),IF(INDEX(properties!A$1:CB$87,'Fórmula'!J13,37)&lt;&gt;"",INDEX(properties!A$1:CB$87,'Fórmula'!J13,37)))</f>
        <v>1.2196</v>
      </c>
      <c r="DO13" s="105">
        <f t="array" ref="DO13">MAX(INDEX(properties!A$1:CB$87,'Fórmula'!B13,37),INDEX(properties!A$1:CB$87,'Fórmula'!D13,37),INDEX(properties!A$1:CB$87,'Fórmula'!F13,37),INDEX(properties!A$1:CB$87,'Fórmula'!H13,37),INDEX(properties!A$1:CB$87,'Fórmula'!J13,37))</f>
        <v>3.45</v>
      </c>
      <c r="DP13" s="105">
        <f t="array" ref="DP13">MIN(IF(INDEX(properties!A$1:CB$87,'Fórmula'!B13,37)=0,10^6,INDEX(properties!A$1:CB$87,'Fórmula'!B13,37)),IF(INDEX(properties!A$1:CB$87,'Fórmula'!D13,37)=0,10^6,INDEX(properties!A$1:CB$87,'Fórmula'!D13,37)),IF(INDEX(properties!A$1:CB$87,'Fórmula'!F13,37)=0,10^6,INDEX(properties!A$1:CB$87,'Fórmula'!F13,37)),IF(INDEX(properties!A$1:CB$87,'Fórmula'!H13,37)=0,10^6,INDEX(properties!A$1:CB$87,'Fórmula'!H13,37)),IF(INDEX(properties!A$1:CB$87,'Fórmula'!J13,37)=0,10^6,INDEX(properties!A$1:CB$87,'Fórmula'!J13,37)))</f>
        <v>1.3</v>
      </c>
      <c r="DQ13" s="105">
        <f t="shared" si="20"/>
        <v>2.15</v>
      </c>
      <c r="DR13" s="109">
        <f t="array" ref="DR13">(('Fórmula'!C13)/('Fórmula'!C13+'Fórmula'!E13+'Fórmula'!G13+'Fórmula'!I13+'Fórmula'!K13))*(INDEX(properties!A$1:CB$87,'Fórmula'!B13,39))+(('Fórmula'!E13)/('Fórmula'!C13+'Fórmula'!E13+'Fórmula'!G13+'Fórmula'!I13+'Fórmula'!K13))*(INDEX(properties!A$1:CB$87,'Fórmula'!D13,39))+(('Fórmula'!G13)/('Fórmula'!C13+'Fórmula'!E13+'Fórmula'!G13+'Fórmula'!I13+'Fórmula'!K13))*(INDEX(properties!A$1:CB$87,'Fórmula'!F13,39))+(('Fórmula'!I13)/('Fórmula'!C13+'Fórmula'!E13+'Fórmula'!G13+'Fórmula'!I13+'Fórmula'!K13))*(INDEX(properties!A$1:CB$87,'Fórmula'!H13,39))+(('Fórmula'!K13)/('Fórmula'!C13+'Fórmula'!E13+'Fórmula'!G13+'Fórmula'!I13+'Fórmula'!K13))*(INDEX(properties!A$1:CB$87,'Fórmula'!J13,39))</f>
        <v>0.928</v>
      </c>
      <c r="DS13" s="109">
        <f t="array" ref="DS13">'Fórmula'!C13*(INDEX(properties!A$1:CB$87,'Fórmula'!B13,39))+'Fórmula'!E13*(INDEX(properties!A$1:CB$87,'Fórmula'!D13,39))+'Fórmula'!G13*(INDEX(properties!A$1:CB$87,'Fórmula'!F13,39))+'Fórmula'!I13*(INDEX(properties!A$1:CB$87,'Fórmula'!H13,39))+'Fórmula'!K13*(INDEX(properties!A$1:CB$87,'Fórmula'!J13,39))</f>
        <v>18.56</v>
      </c>
      <c r="DT13" s="109">
        <f t="array" ref="DT13">VARP(IF(INDEX(properties!A$1:CB$87,'Fórmula'!B13,39)&lt;&gt;"",INDEX(properties!A$1:CB$87,'Fórmula'!B13,39)),IF(INDEX(properties!A$1:CB$87,'Fórmula'!D13,39)&lt;&gt;"",INDEX(properties!A$1:CB$87,'Fórmula'!D13,39)),IF(INDEX(properties!A$1:CB$87,'Fórmula'!F13,39)&lt;&gt;"",INDEX(properties!A$1:CB$87,'Fórmula'!F13,39)),IF(INDEX(properties!A$1:CB$87,'Fórmula'!H13,39)&lt;&gt;"",INDEX(properties!A$1:CB$87,'Fórmula'!H13,39)),IF(INDEX(properties!A$1:CB$87,'Fórmula'!J13,39)&lt;&gt;"",INDEX(properties!A$1:CB$87,'Fórmula'!J13,39)))</f>
        <v>0.536576</v>
      </c>
      <c r="DU13" s="120">
        <f t="array" ref="DU13">MAX(INDEX(properties!A$1:CB$87,'Fórmula'!B13,39),INDEX(properties!A$1:CB$87,'Fórmula'!D13,39),INDEX(properties!A$1:CB$87,'Fórmula'!F13,39),INDEX(properties!A$1:CB$87,'Fórmula'!H13,39),INDEX(properties!A$1:CB$87,'Fórmula'!J13,39))</f>
        <v>2.12</v>
      </c>
      <c r="DV13" s="120">
        <f t="array" ref="DV13">MIN(IF(INDEX(properties!A$1:CB$87,'Fórmula'!B13,39)=0,10^6,INDEX(properties!A$1:CB$87,'Fórmula'!B13,39)),IF(INDEX(properties!A$1:CB$87,'Fórmula'!D13,39)=0,10^6,INDEX(properties!A$1:CB$87,'Fórmula'!D13,39)),IF(INDEX(properties!A$1:CB$87,'Fórmula'!F13,39)=0,10^6,INDEX(properties!A$1:CB$87,'Fórmula'!F13,39)),IF(INDEX(properties!A$1:CB$87,'Fórmula'!H13,39)=0,10^6,INDEX(properties!A$1:CB$87,'Fórmula'!H13,39)),IF(INDEX(properties!A$1:CB$87,'Fórmula'!J13,39)=0,10^6,INDEX(properties!A$1:CB$87,'Fórmula'!J13,39)))</f>
        <v>0.48</v>
      </c>
      <c r="DW13" s="109">
        <f t="shared" si="21"/>
        <v>1.64</v>
      </c>
      <c r="DX13" s="110">
        <f t="array" ref="DX13">(('Fórmula'!C13)/('Fórmula'!C13+'Fórmula'!E13+'Fórmula'!G13+'Fórmula'!I13+'Fórmula'!K13))*(INDEX(properties!A$1:CB$87,'Fórmula'!B13,40))+(('Fórmula'!E13)/('Fórmula'!C13+'Fórmula'!E13+'Fórmula'!G13+'Fórmula'!I13+'Fórmula'!K13))*(INDEX(properties!A$1:CB$87,'Fórmula'!D13,40))+(('Fórmula'!G13)/('Fórmula'!C13+'Fórmula'!E13+'Fórmula'!G13+'Fórmula'!I13+'Fórmula'!K13))*(INDEX(properties!A$1:CB$87,'Fórmula'!F13,40))+(('Fórmula'!I13)/('Fórmula'!C13+'Fórmula'!E13+'Fórmula'!G13+'Fórmula'!I13+'Fórmula'!K13))*(INDEX(properties!A$1:CB$87,'Fórmula'!H13,40))+(('Fórmula'!K13)/('Fórmula'!C13+'Fórmula'!E13+'Fórmula'!G13+'Fórmula'!I13+'Fórmula'!K13))*(INDEX(properties!A$1:CB$87,'Fórmula'!J13,40))</f>
        <v>0.988</v>
      </c>
      <c r="DY13" s="110">
        <f t="array" ref="DY13">'Fórmula'!C13*(INDEX(properties!A$1:CB$87,'Fórmula'!B13,40))+'Fórmula'!E13*(INDEX(properties!A$1:CB$87,'Fórmula'!D13,40))+'Fórmula'!G13*(INDEX(properties!A$1:CB$87,'Fórmula'!F13,40))+'Fórmula'!I13*(INDEX(properties!A$1:CB$87,'Fórmula'!H13,40))+'Fórmula'!K13*(INDEX(properties!A$1:CB$87,'Fórmula'!J13,40))</f>
        <v>19.76</v>
      </c>
      <c r="DZ13" s="110">
        <f t="array" ref="DZ13">VARP(IF(INDEX(properties!A$1:CB$87,'Fórmula'!B13,40)&lt;&gt;"",INDEX(properties!A$1:CB$87,'Fórmula'!B13,40)),IF(INDEX(properties!A$1:CB$87,'Fórmula'!D13,40)&lt;&gt;"",INDEX(properties!A$1:CB$87,'Fórmula'!D13,40)),IF(INDEX(properties!A$1:CB$87,'Fórmula'!F13,40)&lt;&gt;"",INDEX(properties!A$1:CB$87,'Fórmula'!F13,40)),IF(INDEX(properties!A$1:CB$87,'Fórmula'!H13,40)&lt;&gt;"",INDEX(properties!A$1:CB$87,'Fórmula'!H13,40)),IF(INDEX(properties!A$1:CB$87,'Fórmula'!J13,40)&lt;&gt;"",INDEX(properties!A$1:CB$87,'Fórmula'!J13,40)))</f>
        <v>0.309696</v>
      </c>
      <c r="EA13" s="121">
        <f t="array" ref="EA13">MAX(INDEX(properties!A$1:CB$87,'Fórmula'!B13,40),INDEX(properties!A$1:CB$87,'Fórmula'!D13,40),INDEX(properties!A$1:CB$87,'Fórmula'!F13,40),INDEX(properties!A$1:CB$87,'Fórmula'!H13,40),INDEX(properties!A$1:CB$87,'Fórmula'!J13,40))</f>
        <v>1.62</v>
      </c>
      <c r="EB13" s="121">
        <f t="array" ref="EB13">MIN(IF(INDEX(properties!A$1:CB$87,'Fórmula'!B13,40)=0,10^6,INDEX(properties!A$1:CB$87,'Fórmula'!B13,40)),IF(INDEX(properties!A$1:CB$87,'Fórmula'!D13,40)=0,10^6,INDEX(properties!A$1:CB$87,'Fórmula'!D13,40)),IF(INDEX(properties!A$1:CB$87,'Fórmula'!F13,40)=0,10^6,INDEX(properties!A$1:CB$87,'Fórmula'!F13,40)),IF(INDEX(properties!A$1:CB$87,'Fórmula'!H13,40)=0,10^6,INDEX(properties!A$1:CB$87,'Fórmula'!H13,40)),IF(INDEX(properties!A$1:CB$87,'Fórmula'!J13,40)=0,10^6,INDEX(properties!A$1:CB$87,'Fórmula'!J13,40)))</f>
        <v>0.73</v>
      </c>
      <c r="EC13" s="110">
        <f t="shared" si="22"/>
        <v>0.89</v>
      </c>
      <c r="ED13" s="111">
        <f t="array" ref="ED13">(('Fórmula'!C13)/('Fórmula'!C13+'Fórmula'!E13+'Fórmula'!G13+'Fórmula'!I13+'Fórmula'!K13))*(INDEX(properties!A$1:CB$87,'Fórmula'!B13,41))+(('Fórmula'!E13)/('Fórmula'!C13+'Fórmula'!E13+'Fórmula'!G13+'Fórmula'!I13+'Fórmula'!K13))*(INDEX(properties!A$1:CB$87,'Fórmula'!D13,41))+(('Fórmula'!G13)/('Fórmula'!C13+'Fórmula'!E13+'Fórmula'!G13+'Fórmula'!I13+'Fórmula'!K13))*(INDEX(properties!A$1:CB$87,'Fórmula'!F13,41))+(('Fórmula'!I13)/('Fórmula'!C13+'Fórmula'!E13+'Fórmula'!G13+'Fórmula'!I13+'Fórmula'!K13))*(INDEX(properties!A$1:CB$87,'Fórmula'!H13,41))+(('Fórmula'!K13)/('Fórmula'!C13+'Fórmula'!E13+'Fórmula'!G13+'Fórmula'!I13+'Fórmula'!K13))*(INDEX(properties!A$1:CB$87,'Fórmula'!J13,41))</f>
        <v>1.094</v>
      </c>
      <c r="EE13" s="111">
        <f t="array" ref="EE13">'Fórmula'!C13*(INDEX(properties!A$1:CB$87,'Fórmula'!B13,41))+'Fórmula'!E13*(INDEX(properties!A$1:CB$87,'Fórmula'!D13,41))+'Fórmula'!G13*(INDEX(properties!A$1:CB$87,'Fórmula'!F13,41))+'Fórmula'!I13*(INDEX(properties!A$1:CB$87,'Fórmula'!H13,41))+'Fórmula'!K13*(INDEX(properties!A$1:CB$87,'Fórmula'!J13,41))</f>
        <v>21.88</v>
      </c>
      <c r="EF13" s="111">
        <f t="array" ref="EF13">VARP(IF(INDEX(properties!A$1:CB$87,'Fórmula'!B13,41)&lt;&gt;"",INDEX(properties!A$1:CB$87,'Fórmula'!B13,41)),IF(INDEX(properties!A$1:CB$87,'Fórmula'!D13,41)&lt;&gt;"",INDEX(properties!A$1:CB$87,'Fórmula'!D13,41)),IF(INDEX(properties!A$1:CB$87,'Fórmula'!F13,41)&lt;&gt;"",INDEX(properties!A$1:CB$87,'Fórmula'!F13,41)),IF(INDEX(properties!A$1:CB$87,'Fórmula'!H13,41)&lt;&gt;"",INDEX(properties!A$1:CB$87,'Fórmula'!H13,41)),IF(INDEX(properties!A$1:CB$87,'Fórmula'!J13,41)&lt;&gt;"",INDEX(properties!A$1:CB$87,'Fórmula'!J13,41)))</f>
        <v>0.182336</v>
      </c>
      <c r="EG13" s="122">
        <f t="array" ref="EG13">MAX(INDEX(properties!A$1:CB$87,'Fórmula'!B13,41),INDEX(properties!A$1:CB$87,'Fórmula'!D13,41),INDEX(properties!A$1:CB$87,'Fórmula'!F13,41),INDEX(properties!A$1:CB$87,'Fórmula'!H13,41),INDEX(properties!A$1:CB$87,'Fórmula'!J13,41))</f>
        <v>1.26</v>
      </c>
      <c r="EH13" s="122">
        <f t="array" ref="EH13">MIN(IF(INDEX(properties!A$1:CB$87,'Fórmula'!B13,41)=0,10^6,INDEX(properties!A$1:CB$87,'Fórmula'!B13,41)),IF(INDEX(properties!A$1:CB$87,'Fórmula'!D13,41)=0,10^6,INDEX(properties!A$1:CB$87,'Fórmula'!D13,41)),IF(INDEX(properties!A$1:CB$87,'Fórmula'!F13,41)=0,10^6,INDEX(properties!A$1:CB$87,'Fórmula'!F13,41)),IF(INDEX(properties!A$1:CB$87,'Fórmula'!H13,41)=0,10^6,INDEX(properties!A$1:CB$87,'Fórmula'!H13,41)),IF(INDEX(properties!A$1:CB$87,'Fórmula'!J13,41)=0,10^6,INDEX(properties!A$1:CB$87,'Fórmula'!J13,41)))</f>
        <v>0.68</v>
      </c>
      <c r="EI13" s="111">
        <f t="shared" si="23"/>
        <v>0.58</v>
      </c>
      <c r="EJ13" s="112">
        <f t="array" ref="EJ13">(('Fórmula'!C13)/('Fórmula'!C13+'Fórmula'!E13+'Fórmula'!G13+'Fórmula'!I13+'Fórmula'!K13))*(INDEX(properties!A$1:CB$87,'Fórmula'!B13,45))+(('Fórmula'!E13)/('Fórmula'!C13+'Fórmula'!E13+'Fórmula'!G13+'Fórmula'!I13+'Fórmula'!K13))*(INDEX(properties!A$1:CB$87,'Fórmula'!D13,45))+(('Fórmula'!G13)/('Fórmula'!C13+'Fórmula'!E13+'Fórmula'!G13+'Fórmula'!I13+'Fórmula'!K13))*(INDEX(properties!A$1:CB$87,'Fórmula'!F13,45))+(('Fórmula'!I13)/('Fórmula'!C13+'Fórmula'!E13+'Fórmula'!G13+'Fórmula'!I13+'Fórmula'!K13))*(INDEX(properties!A$1:CB$87,'Fórmula'!H13,45))+(('Fórmula'!K13)/('Fórmula'!C13+'Fórmula'!E13+'Fórmula'!G13+'Fórmula'!I13+'Fórmula'!K13))*(INDEX(properties!A$1:CB$87,'Fórmula'!J13,45))</f>
        <v>1.146</v>
      </c>
      <c r="EK13" s="112">
        <f t="array" ref="EK13">'Fórmula'!C13*(INDEX(properties!A$1:CB$87,'Fórmula'!B13,45))+'Fórmula'!E13*(INDEX(properties!A$1:CB$87,'Fórmula'!D13,45))+'Fórmula'!G13*(INDEX(properties!A$1:CB$87,'Fórmula'!F13,45))+'Fórmula'!I13*(INDEX(properties!A$1:CB$87,'Fórmula'!H13,45))+'Fórmula'!K13*(INDEX(properties!A$1:CB$87,'Fórmula'!J13,45))</f>
        <v>22.92</v>
      </c>
      <c r="EL13" s="112">
        <f t="array" ref="EL13">VARP(IF(INDEX(properties!A$1:CB$87,'Fórmula'!B13,45)&lt;&gt;"",INDEX(properties!A$1:CB$87,'Fórmula'!B13,45)),IF(INDEX(properties!A$1:CB$87,'Fórmula'!D13,45)&lt;&gt;"",INDEX(properties!A$1:CB$87,'Fórmula'!D13,45)),IF(INDEX(properties!A$1:CB$87,'Fórmula'!F13,45)&lt;&gt;"",INDEX(properties!A$1:CB$87,'Fórmula'!F13,45)),IF(INDEX(properties!A$1:CB$87,'Fórmula'!H13,45)&lt;&gt;"",INDEX(properties!A$1:CB$87,'Fórmula'!H13,45)),IF(INDEX(properties!A$1:CB$87,'Fórmula'!J13,45)&lt;&gt;"",INDEX(properties!A$1:CB$87,'Fórmula'!J13,45)))</f>
        <v>1.071216</v>
      </c>
      <c r="EM13" s="123">
        <f t="array" ref="EM13">MAX(INDEX(properties!A$1:CB$87,'Fórmula'!B13,45),INDEX(properties!A$1:CB$87,'Fórmula'!D13,45),INDEX(properties!A$1:CB$87,'Fórmula'!F13,45),INDEX(properties!A$1:CB$87,'Fórmula'!H13,45),INDEX(properties!A$1:CB$87,'Fórmula'!J13,45))</f>
        <v>2.94</v>
      </c>
      <c r="EN13" s="123">
        <f t="array" ref="EN13">MIN(IF(INDEX(properties!A$1:CB$87,'Fórmula'!B13,45)=0,10^6,INDEX(properties!A$1:CB$87,'Fórmula'!B13,45)),IF(INDEX(properties!A$1:CB$87,'Fórmula'!D13,45)=0,10^6,INDEX(properties!A$1:CB$87,'Fórmula'!D13,45)),IF(INDEX(properties!A$1:CB$87,'Fórmula'!F13,45)=0,10^6,INDEX(properties!A$1:CB$87,'Fórmula'!F13,45)),IF(INDEX(properties!A$1:CB$87,'Fórmula'!H13,45)=0,10^6,INDEX(properties!A$1:CB$87,'Fórmula'!H13,45)),IF(INDEX(properties!A$1:CB$87,'Fórmula'!J13,45)=0,10^6,INDEX(properties!A$1:CB$87,'Fórmula'!J13,45)))</f>
        <v>0.47</v>
      </c>
      <c r="EO13" s="112">
        <f t="shared" si="24"/>
        <v>2.47</v>
      </c>
      <c r="EP13" s="113">
        <f t="array" ref="EP13">(('Fórmula'!C13)/('Fórmula'!C13+'Fórmula'!E13+'Fórmula'!G13+'Fórmula'!I13+'Fórmula'!K13))*(INDEX(properties!A$1:CB$87,'Fórmula'!B13,46))+(('Fórmula'!E13)/('Fórmula'!C13+'Fórmula'!E13+'Fórmula'!G13+'Fórmula'!I13+'Fórmula'!K13))*(INDEX(properties!A$1:CB$87,'Fórmula'!D13,46))+(('Fórmula'!G13)/('Fórmula'!C13+'Fórmula'!E13+'Fórmula'!G13+'Fórmula'!I13+'Fórmula'!K13))*(INDEX(properties!A$1:CB$87,'Fórmula'!F13,46))+(('Fórmula'!I13)/('Fórmula'!C13+'Fórmula'!E13+'Fórmula'!G13+'Fórmula'!I13+'Fórmula'!K13))*(INDEX(properties!A$1:CB$87,'Fórmula'!H13,46))+(('Fórmula'!K13)/('Fórmula'!C13+'Fórmula'!E13+'Fórmula'!G13+'Fórmula'!I13+'Fórmula'!K13))*(INDEX(properties!A$1:CB$87,'Fórmula'!J13,46))</f>
        <v>1.049</v>
      </c>
      <c r="EQ13" s="113">
        <f t="array" ref="EQ13">'Fórmula'!C13*(INDEX(properties!A$1:CB$87,'Fórmula'!B13,46))+'Fórmula'!E13*(INDEX(properties!A$1:CB$87,'Fórmula'!D13,46))+'Fórmula'!G13*(INDEX(properties!A$1:CB$87,'Fórmula'!F13,46))+'Fórmula'!I13*(INDEX(properties!A$1:CB$87,'Fórmula'!H13,46))+'Fórmula'!K13*(INDEX(properties!A$1:CB$87,'Fórmula'!J13,46))</f>
        <v>20.98</v>
      </c>
      <c r="ER13" s="113">
        <f t="array" ref="ER13">VARP(IF(INDEX(properties!A$1:CB$87,'Fórmula'!B13,46)&lt;&gt;"",INDEX(properties!A$1:CB$87,'Fórmula'!B13,46)),IF(INDEX(properties!A$1:CB$87,'Fórmula'!D13,46)&lt;&gt;"",INDEX(properties!A$1:CB$87,'Fórmula'!D13,46)),IF(INDEX(properties!A$1:CB$87,'Fórmula'!F13,46)&lt;&gt;"",INDEX(properties!A$1:CB$87,'Fórmula'!F13,46)),IF(INDEX(properties!A$1:CB$87,'Fórmula'!H13,46)&lt;&gt;"",INDEX(properties!A$1:CB$87,'Fórmula'!H13,46)),IF(INDEX(properties!A$1:CB$87,'Fórmula'!J13,46)&lt;&gt;"",INDEX(properties!A$1:CB$87,'Fórmula'!J13,46)))</f>
        <v>0.179576</v>
      </c>
      <c r="ES13" s="124">
        <f t="array" ref="ES13">MAX(INDEX(properties!A$1:CB$87,'Fórmula'!B13,46),INDEX(properties!A$1:CB$87,'Fórmula'!D13,46),INDEX(properties!A$1:CB$87,'Fórmula'!F13,46),INDEX(properties!A$1:CB$87,'Fórmula'!H13,46),INDEX(properties!A$1:CB$87,'Fórmula'!J13,46))</f>
        <v>1.21</v>
      </c>
      <c r="ET13" s="124">
        <f t="array" ref="ET13">MIN(IF(INDEX(properties!A$1:CB$87,'Fórmula'!B13,46)=0,10^6,INDEX(properties!A$1:CB$87,'Fórmula'!B13,46)),IF(INDEX(properties!A$1:CB$87,'Fórmula'!D13,46)=0,10^6,INDEX(properties!A$1:CB$87,'Fórmula'!D13,46)),IF(INDEX(properties!A$1:CB$87,'Fórmula'!F13,46)=0,10^6,INDEX(properties!A$1:CB$87,'Fórmula'!F13,46)),IF(INDEX(properties!A$1:CB$87,'Fórmula'!H13,46)=0,10^6,INDEX(properties!A$1:CB$87,'Fórmula'!H13,46)),IF(INDEX(properties!A$1:CB$87,'Fórmula'!J13,46)=0,10^6,INDEX(properties!A$1:CB$87,'Fórmula'!J13,46)))</f>
        <v>0.53</v>
      </c>
      <c r="EU13" s="113">
        <f t="shared" si="25"/>
        <v>0.68</v>
      </c>
      <c r="EV13" s="114">
        <f t="array" ref="EV13">(('Fórmula'!C13)/('Fórmula'!C13+'Fórmula'!E13+'Fórmula'!G13+'Fórmula'!I13+'Fórmula'!K13))*(INDEX(properties!A$1:CB$87,'Fórmula'!B13,52))+(('Fórmula'!E13)/('Fórmula'!C13+'Fórmula'!E13+'Fórmula'!G13+'Fórmula'!I13+'Fórmula'!K13))*(INDEX(properties!A$1:CB$87,'Fórmula'!D13,52))+(('Fórmula'!G13)/('Fórmula'!C13+'Fórmula'!E13+'Fórmula'!G13+'Fórmula'!I13+'Fórmula'!K13))*(INDEX(properties!A$1:CB$87,'Fórmula'!F13,52))+(('Fórmula'!I13)/('Fórmula'!C13+'Fórmula'!E13+'Fórmula'!G13+'Fórmula'!I13+'Fórmula'!K13))*(INDEX(properties!A$1:CB$87,'Fórmula'!H13,52))+(('Fórmula'!K13)/('Fórmula'!C13+'Fórmula'!E13+'Fórmula'!G13+'Fórmula'!I13+'Fórmula'!K13))*(INDEX(properties!A$1:CB$87,'Fórmula'!J13,52))</f>
        <v>5.9258</v>
      </c>
      <c r="EW13" s="114">
        <f t="array" ref="EW13">'Fórmula'!C13*(INDEX(properties!A$1:CB$87,'Fórmula'!B13,52))+'Fórmula'!E13*(INDEX(properties!A$1:CB$87,'Fórmula'!D13,52))+'Fórmula'!G13*(INDEX(properties!A$1:CB$87,'Fórmula'!F13,52))+'Fórmula'!I13*(INDEX(properties!A$1:CB$87,'Fórmula'!H13,52))+'Fórmula'!K13*(INDEX(properties!A$1:CB$87,'Fórmula'!J13,52))</f>
        <v>118.516</v>
      </c>
      <c r="EX13" s="114">
        <f t="array" ref="EX13">VARP(IF(INDEX(properties!A$1:CB$87,'Fórmula'!B13,52)&lt;&gt;"",INDEX(properties!A$1:CB$87,'Fórmula'!B13,52)),IF(INDEX(properties!A$1:CB$87,'Fórmula'!D13,52)&lt;&gt;"",INDEX(properties!A$1:CB$87,'Fórmula'!D13,52)),IF(INDEX(properties!A$1:CB$87,'Fórmula'!F13,52)&lt;&gt;"",INDEX(properties!A$1:CB$87,'Fórmula'!F13,52)),IF(INDEX(properties!A$1:CB$87,'Fórmula'!H13,52)&lt;&gt;"",INDEX(properties!A$1:CB$87,'Fórmula'!H13,52)),IF(INDEX(properties!A$1:CB$87,'Fórmula'!J13,52)&lt;&gt;"",INDEX(properties!A$1:CB$87,'Fórmula'!J13,52)))</f>
        <v>66.42571184</v>
      </c>
      <c r="EY13" s="114">
        <f t="array" ref="EY13">MAX(INDEX(properties!A$1:CB$87,'Fórmula'!B13,52),INDEX(properties!A$1:CB$87,'Fórmula'!D13,52),INDEX(properties!A$1:CB$87,'Fórmula'!F13,52),INDEX(properties!A$1:CB$87,'Fórmula'!H13,52),INDEX(properties!A$1:CB$87,'Fórmula'!J13,52))</f>
        <v>22.7</v>
      </c>
      <c r="EZ13" s="114">
        <f t="array" ref="EZ13">MIN(IF(INDEX(properties!A$1:CB$87,'Fórmula'!B13,52)=0,10^6,INDEX(properties!A$1:CB$87,'Fórmula'!B13,52)),IF(INDEX(properties!A$1:CB$87,'Fórmula'!D13,52)=0,10^6,INDEX(properties!A$1:CB$87,'Fórmula'!D13,52)),IF(INDEX(properties!A$1:CB$87,'Fórmula'!F13,52)=0,10^6,INDEX(properties!A$1:CB$87,'Fórmula'!F13,52)),IF(INDEX(properties!A$1:CB$87,'Fórmula'!H13,52)=0,10^6,INDEX(properties!A$1:CB$87,'Fórmula'!H13,52)),IF(INDEX(properties!A$1:CB$87,'Fórmula'!J13,52)=0,10^6,INDEX(properties!A$1:CB$87,'Fórmula'!J13,52)))</f>
        <v>0.793</v>
      </c>
      <c r="FA13" s="114">
        <f t="shared" si="26"/>
        <v>21.907</v>
      </c>
      <c r="FB13" s="115">
        <f t="array" ref="FB13">(('Fórmula'!C13)/('Fórmula'!C13+'Fórmula'!E13+'Fórmula'!G13+'Fórmula'!I13+'Fórmula'!K13))*(INDEX(properties!A$1:CB$87,'Fórmula'!B13,53))+(('Fórmula'!E13)/('Fórmula'!C13+'Fórmula'!E13+'Fórmula'!G13+'Fórmula'!I13+'Fórmula'!K13))*(INDEX(properties!A$1:CB$87,'Fórmula'!D13,53))+(('Fórmula'!G13)/('Fórmula'!C13+'Fórmula'!E13+'Fórmula'!G13+'Fórmula'!I13+'Fórmula'!K13))*(INDEX(properties!A$1:CB$87,'Fórmula'!F13,53))+(('Fórmula'!I13)/('Fórmula'!C13+'Fórmula'!E13+'Fórmula'!G13+'Fórmula'!I13+'Fórmula'!K13))*(INDEX(properties!A$1:CB$87,'Fórmula'!H13,53))+(('Fórmula'!K13)/('Fórmula'!C13+'Fórmula'!E13+'Fórmula'!G13+'Fórmula'!I13+'Fórmula'!K13))*(INDEX(properties!A$1:CB$87,'Fórmula'!J13,53))</f>
        <v>441.03</v>
      </c>
      <c r="FC13" s="115">
        <f t="array" ref="FC13">'Fórmula'!C13*(INDEX(properties!A$1:CB$87,'Fórmula'!B13,53))+'Fórmula'!E13*(INDEX(properties!A$1:CB$87,'Fórmula'!D13,53))+'Fórmula'!G13*(INDEX(properties!A$1:CB$87,'Fórmula'!F13,53))+'Fórmula'!I13*(INDEX(properties!A$1:CB$87,'Fórmula'!H13,53))+'Fórmula'!K13*(INDEX(properties!A$1:CB$87,'Fórmula'!J13,53))</f>
        <v>8820.6</v>
      </c>
      <c r="FD13" s="115">
        <f t="array" ref="FD13">VARP(IF(INDEX(properties!A$1:CB$87,'Fórmula'!B13,53)&lt;&gt;"",INDEX(properties!A$1:CB$87,'Fórmula'!B13,53)),IF(INDEX(properties!A$1:CB$87,'Fórmula'!D13,53)&lt;&gt;"",INDEX(properties!A$1:CB$87,'Fórmula'!D13,53)),IF(INDEX(properties!A$1:CB$87,'Fórmula'!F13,53)&lt;&gt;"",INDEX(properties!A$1:CB$87,'Fórmula'!F13,53)),IF(INDEX(properties!A$1:CB$87,'Fórmula'!H13,53)&lt;&gt;"",INDEX(properties!A$1:CB$87,'Fórmula'!H13,53)),IF(INDEX(properties!A$1:CB$87,'Fórmula'!J13,53)&lt;&gt;"",INDEX(properties!A$1:CB$87,'Fórmula'!J13,53)))</f>
        <v>457157.242</v>
      </c>
      <c r="FE13" s="115">
        <f t="array" ref="FE13">MAX(INDEX(properties!A$1:CB$87,'Fórmula'!B13,53),INDEX(properties!A$1:CB$87,'Fórmula'!D13,53),INDEX(properties!A$1:CB$87,'Fórmula'!F13,53),INDEX(properties!A$1:CB$87,'Fórmula'!H13,53),INDEX(properties!A$1:CB$87,'Fórmula'!J13,53))</f>
        <v>1796.15</v>
      </c>
      <c r="FF13" s="115">
        <f t="array" ref="FF13">MIN(IF(INDEX(properties!A$1:CB$87,'Fórmula'!B13,53)=0,10^6,INDEX(properties!A$1:CB$87,'Fórmula'!B13,53)),IF(INDEX(properties!A$1:CB$87,'Fórmula'!D13,53)=0,10^6,INDEX(properties!A$1:CB$87,'Fórmula'!D13,53)),IF(INDEX(properties!A$1:CB$87,'Fórmula'!F13,53)=0,10^6,INDEX(properties!A$1:CB$87,'Fórmula'!F13,53)),IF(INDEX(properties!A$1:CB$87,'Fórmula'!H13,53)=0,10^6,INDEX(properties!A$1:CB$87,'Fórmula'!H13,53)),IF(INDEX(properties!A$1:CB$87,'Fórmula'!J13,53)=0,10^6,INDEX(properties!A$1:CB$87,'Fórmula'!J13,53)))</f>
        <v>54.75</v>
      </c>
      <c r="FG13" s="115">
        <f t="shared" si="27"/>
        <v>1741.4</v>
      </c>
      <c r="FH13" s="117">
        <f t="array" ref="FH13">(('Fórmula'!C13)/('Fórmula'!C13+'Fórmula'!E13+'Fórmula'!G13+'Fórmula'!I13+'Fórmula'!K13))*(INDEX(properties!A$1:CB$87,'Fórmula'!B13,54))+(('Fórmula'!E13)/('Fórmula'!C13+'Fórmula'!E13+'Fórmula'!G13+'Fórmula'!I13+'Fórmula'!K13))*(INDEX(properties!A$1:CB$87,'Fórmula'!D13,54))+(('Fórmula'!G13)/('Fórmula'!C13+'Fórmula'!E13+'Fórmula'!G13+'Fórmula'!I13+'Fórmula'!K13))*(INDEX(properties!A$1:CB$87,'Fórmula'!F13,54))+(('Fórmula'!I13)/('Fórmula'!C13+'Fórmula'!E13+'Fórmula'!G13+'Fórmula'!I13+'Fórmula'!K13))*(INDEX(properties!A$1:CB$87,'Fórmula'!H13,54))+(('Fórmula'!K13)/('Fórmula'!C13+'Fórmula'!E13+'Fórmula'!G13+'Fórmula'!I13+'Fórmula'!K13))*(INDEX(properties!A$1:CB$87,'Fórmula'!J13,54))</f>
        <v>1271.05</v>
      </c>
      <c r="FI13" s="117">
        <f t="array" ref="FI13">'Fórmula'!C13*(INDEX(properties!A$1:CB$87,'Fórmula'!B13,54))+'Fórmula'!E13*(INDEX(properties!A$1:CB$87,'Fórmula'!D13,54))+'Fórmula'!G13*(INDEX(properties!A$1:CB$87,'Fórmula'!F13,54))+'Fórmula'!I13*(INDEX(properties!A$1:CB$87,'Fórmula'!H13,54))+'Fórmula'!K13*(INDEX(properties!A$1:CB$87,'Fórmula'!J13,54))</f>
        <v>25421</v>
      </c>
      <c r="FJ13" s="117">
        <f t="array" ref="FJ13">VARP(IF(INDEX(properties!A$1:CB$87,'Fórmula'!B13,54)&lt;&gt;"",INDEX(properties!A$1:CB$87,'Fórmula'!B13,54)),IF(INDEX(properties!A$1:CB$87,'Fórmula'!D13,54)&lt;&gt;"",INDEX(properties!A$1:CB$87,'Fórmula'!D13,54)),IF(INDEX(properties!A$1:CB$87,'Fórmula'!F13,54)&lt;&gt;"",INDEX(properties!A$1:CB$87,'Fórmula'!F13,54)),IF(INDEX(properties!A$1:CB$87,'Fórmula'!H13,54)&lt;&gt;"",INDEX(properties!A$1:CB$87,'Fórmula'!H13,54)),IF(INDEX(properties!A$1:CB$87,'Fórmula'!J13,54)&lt;&gt;"",INDEX(properties!A$1:CB$87,'Fórmula'!J13,54)))</f>
        <v>2217806.356</v>
      </c>
      <c r="FK13" s="117">
        <f t="array" ref="FK13">MAX(INDEX(properties!A$1:CB$87,'Fórmula'!B13,54),INDEX(properties!A$1:CB$87,'Fórmula'!D13,54),INDEX(properties!A$1:CB$87,'Fórmula'!F13,54),INDEX(properties!A$1:CB$87,'Fórmula'!H13,54),INDEX(properties!A$1:CB$87,'Fórmula'!J13,54))</f>
        <v>3610.15</v>
      </c>
      <c r="FL13" s="117">
        <f t="array" ref="FL13">MIN(IF(INDEX(properties!A$1:CB$87,'Fórmula'!B13,54)=0,10^6,INDEX(properties!A$1:CB$87,'Fórmula'!B13,54)),IF(INDEX(properties!A$1:CB$87,'Fórmula'!D13,54)=0,10^6,INDEX(properties!A$1:CB$87,'Fórmula'!D13,54)),IF(INDEX(properties!A$1:CB$87,'Fórmula'!F13,54)=0,10^6,INDEX(properties!A$1:CB$87,'Fórmula'!F13,54)),IF(INDEX(properties!A$1:CB$87,'Fórmula'!H13,54)=0,10^6,INDEX(properties!A$1:CB$87,'Fórmula'!H13,54)),IF(INDEX(properties!A$1:CB$87,'Fórmula'!J13,54)=0,10^6,INDEX(properties!A$1:CB$87,'Fórmula'!J13,54)))</f>
        <v>90.15</v>
      </c>
      <c r="FM13" s="117">
        <f t="shared" si="28"/>
        <v>3520</v>
      </c>
      <c r="FN13" s="118">
        <f t="array" ref="FN13">(('Fórmula'!C13)/('Fórmula'!C13+'Fórmula'!E13+'Fórmula'!G13+'Fórmula'!I13+'Fórmula'!K13))*(INDEX(properties!A$1:CB$87,'Fórmula'!B13,55))+(('Fórmula'!E13)/('Fórmula'!C13+'Fórmula'!E13+'Fórmula'!G13+'Fórmula'!I13+'Fórmula'!K13))*(INDEX(properties!A$1:CB$87,'Fórmula'!D13,55))+(('Fórmula'!G13)/('Fórmula'!C13+'Fórmula'!E13+'Fórmula'!G13+'Fórmula'!I13+'Fórmula'!K13))*(INDEX(properties!A$1:CB$87,'Fórmula'!F13,55))+(('Fórmula'!I13)/('Fórmula'!C13+'Fórmula'!E13+'Fórmula'!G13+'Fórmula'!I13+'Fórmula'!K13))*(INDEX(properties!A$1:CB$87,'Fórmula'!H13,55))+(('Fórmula'!K13)/('Fórmula'!C13+'Fórmula'!E13+'Fórmula'!G13+'Fórmula'!I13+'Fórmula'!K13))*(INDEX(properties!A$1:CB$87,'Fórmula'!J13,55))</f>
        <v>1.826358</v>
      </c>
      <c r="FO13" s="118">
        <f t="array" ref="FO13">'Fórmula'!C13*(INDEX(properties!A$1:CB$87,'Fórmula'!B13,55))+'Fórmula'!E13*(INDEX(properties!A$1:CB$87,'Fórmula'!D13,54))+'Fórmula'!G13*(INDEX(properties!A$1:CB$87,'Fórmula'!F13,55))+'Fórmula'!I13*(INDEX(properties!A$1:CB$87,'Fórmula'!H13,55))+'Fórmula'!K13*(INDEX(properties!A$1:CB$87,'Fórmula'!J13,55))</f>
        <v>5511.42716</v>
      </c>
      <c r="FP13" s="118">
        <f t="array" ref="FP13">VARP(IF(INDEX(properties!A$1:CB$87,'Fórmula'!B13,55)&lt;&gt;"",INDEX(properties!A$1:CB$87,'Fórmula'!B13,55)),IF(INDEX(properties!A$1:CB$87,'Fórmula'!D13,55)&lt;&gt;"",INDEX(properties!A$1:CB$87,'Fórmula'!D13,55)),IF(INDEX(properties!A$1:CB$87,'Fórmula'!F13,55)&lt;&gt;"",INDEX(properties!A$1:CB$87,'Fórmula'!F13,55)),IF(INDEX(properties!A$1:CB$87,'Fórmula'!H13,55)&lt;&gt;"",INDEX(properties!A$1:CB$87,'Fórmula'!H13,55)),IF(INDEX(properties!A$1:CB$87,'Fórmula'!J13,55)&lt;&gt;"",INDEX(properties!A$1:CB$87,'Fórmula'!J13,55)))</f>
        <v>5.581689119</v>
      </c>
      <c r="FQ13" s="118">
        <f t="array" ref="FQ13">MAX(INDEX(properties!A$1:CB$87,'Fórmula'!B13,55),INDEX(properties!A$1:CB$87,'Fórmula'!D13,55),INDEX(properties!A$1:CB$87,'Fórmula'!F13,55),INDEX(properties!A$1:CB$87,'Fórmula'!H13,55),INDEX(properties!A$1:CB$87,'Fórmula'!J13,55))</f>
        <v>5.9</v>
      </c>
      <c r="FR13" s="118">
        <f t="array" ref="FR13">MIN(IF(INDEX(properties!A$1:CB$87,'Fórmula'!B13,55)=0,10^6,INDEX(properties!A$1:CB$87,'Fórmula'!B13,55)),IF(INDEX(properties!A$1:CB$87,'Fórmula'!D13,55)=0,10^6,INDEX(properties!A$1:CB$87,'Fórmula'!D13,55)),IF(INDEX(properties!A$1:CB$87,'Fórmula'!F13,55)=0,10^6,INDEX(properties!A$1:CB$87,'Fórmula'!F13,55)),IF(INDEX(properties!A$1:CB$87,'Fórmula'!H13,55)=0,10^6,INDEX(properties!A$1:CB$87,'Fórmula'!H13,55)),IF(INDEX(properties!A$1:CB$87,'Fórmula'!J13,55)=0,10^6,INDEX(properties!A$1:CB$87,'Fórmula'!J13,55)))</f>
        <v>0.00143</v>
      </c>
      <c r="FS13" s="118">
        <f t="shared" si="29"/>
        <v>5.89857</v>
      </c>
      <c r="FT13" s="119">
        <f t="array" ref="FT13">(('Fórmula'!C13)/('Fórmula'!C13+'Fórmula'!E13+'Fórmula'!G13+'Fórmula'!I13+'Fórmula'!K13))*(INDEX(properties!A$1:CB$87,'Fórmula'!B13,56))+(('Fórmula'!E13)/('Fórmula'!C13+'Fórmula'!E13+'Fórmula'!G13+'Fórmula'!I13+'Fórmula'!K13))*(INDEX(properties!A$1:CB$87,'Fórmula'!D13,56))+(('Fórmula'!G13)/('Fórmula'!C13+'Fórmula'!E13+'Fórmula'!G13+'Fórmula'!I13+'Fórmula'!K13))*(INDEX(properties!A$1:CB$87,'Fórmula'!F13,56))+(('Fórmula'!I13)/('Fórmula'!C13+'Fórmula'!E13+'Fórmula'!G13+'Fórmula'!I13+'Fórmula'!K13))*(INDEX(properties!A$1:CB$87,'Fórmula'!H13,56))+(('Fórmula'!K13)/('Fórmula'!C13+'Fórmula'!E13+'Fórmula'!G13+'Fórmula'!I13+'Fórmula'!K13))*(INDEX(properties!A$1:CB$87,'Fórmula'!J13,56))</f>
        <v>0.7425</v>
      </c>
      <c r="FU13" s="119">
        <f t="array" ref="FU13">'Fórmula'!C13*(INDEX(properties!A$1:CB$87,'Fórmula'!B13,56))+'Fórmula'!E13*(INDEX(properties!A$1:CB$87,'Fórmula'!D13,56))+'Fórmula'!G13*(INDEX(properties!A$1:CB$87,'Fórmula'!F13,56))+'Fórmula'!I13*(INDEX(properties!A$1:CB$87,'Fórmula'!H13,56))+'Fórmula'!K13*(INDEX(properties!A$1:CB$87,'Fórmula'!J13,56))</f>
        <v>14.85</v>
      </c>
      <c r="FV13" s="119">
        <f t="array" ref="FV13">VARP(IF(INDEX(properties!A$1:CB$87,'Fórmula'!B13,56)&lt;&gt;"",INDEX(properties!A$1:CB$87,'Fórmula'!B13,56)),IF(INDEX(properties!A$1:CB$87,'Fórmula'!D13,56)&lt;&gt;"",INDEX(properties!A$1:CB$87,'Fórmula'!D13,56)),IF(INDEX(properties!A$1:CB$87,'Fórmula'!F13,56)&lt;&gt;"",INDEX(properties!A$1:CB$87,'Fórmula'!F13,56)),IF(INDEX(properties!A$1:CB$87,'Fórmula'!H13,56)&lt;&gt;"",INDEX(properties!A$1:CB$87,'Fórmula'!H13,56)),IF(INDEX(properties!A$1:CB$87,'Fórmula'!J13,56)&lt;&gt;"",INDEX(properties!A$1:CB$87,'Fórmula'!J13,56)))</f>
        <v>0.128656</v>
      </c>
      <c r="FW13" s="119">
        <f t="array" ref="FW13">MAX(INDEX(properties!A$1:CB$87,'Fórmula'!B13,56),INDEX(properties!A$1:CB$87,'Fórmula'!D13,56),INDEX(properties!A$1:CB$87,'Fórmula'!F13,56),INDEX(properties!A$1:CB$87,'Fórmula'!H13,56),INDEX(properties!A$1:CB$87,'Fórmula'!J13,56))</f>
        <v>0.92</v>
      </c>
      <c r="FX13" s="119">
        <f t="array" ref="FX13">MIN(IF(INDEX(properties!A$1:CB$87,'Fórmula'!B13,56)=0,10^6,INDEX(properties!A$1:CB$87,'Fórmula'!B13,56)),IF(INDEX(properties!A$1:CB$87,'Fórmula'!D13,56)=0,10^6,INDEX(properties!A$1:CB$87,'Fórmula'!D13,56)),IF(INDEX(properties!A$1:CB$87,'Fórmula'!F13,56)=0,10^6,INDEX(properties!A$1:CB$87,'Fórmula'!F13,56)),IF(INDEX(properties!A$1:CB$87,'Fórmula'!H13,56)=0,10^6,INDEX(properties!A$1:CB$87,'Fórmula'!H13,56)),IF(INDEX(properties!A$1:CB$87,'Fórmula'!J13,56)=0,10^6,INDEX(properties!A$1:CB$87,'Fórmula'!J13,56)))</f>
        <v>0.3</v>
      </c>
      <c r="FY13" s="119">
        <f t="shared" si="30"/>
        <v>0.62</v>
      </c>
      <c r="FZ13" s="104">
        <f t="array" ref="FZ13">(('Fórmula'!C13)/('Fórmula'!C13+'Fórmula'!E13+'Fórmula'!G13+'Fórmula'!I13+'Fórmula'!K13))*(INDEX(properties!A$1:CB$87,'Fórmula'!B13,57))+(('Fórmula'!E13)/('Fórmula'!C13+'Fórmula'!E13+'Fórmula'!G13+'Fórmula'!I13+'Fórmula'!K13))*(INDEX(properties!A$1:CB$87,'Fórmula'!D13,57))+(('Fórmula'!G13)/('Fórmula'!C13+'Fórmula'!E13+'Fórmula'!G13+'Fórmula'!I13+'Fórmula'!K13))*(INDEX(properties!A$1:CB$87,'Fórmula'!F13,57))+(('Fórmula'!I13)/('Fórmula'!C13+'Fórmula'!E13+'Fórmula'!G13+'Fórmula'!I13+'Fórmula'!K13))*(INDEX(properties!A$1:CB$87,'Fórmula'!H13,57))+(('Fórmula'!K13)/('Fórmula'!C13+'Fórmula'!E13+'Fórmula'!G13+'Fórmula'!I13+'Fórmula'!K13))*(INDEX(properties!A$1:CB$87,'Fórmula'!J13,57))</f>
        <v>3.761054</v>
      </c>
      <c r="GA13" s="104">
        <f t="array" ref="GA13">'Fórmula'!C13*(INDEX(properties!A$1:CB$87,'Fórmula'!B13,57))+'Fórmula'!E13*(INDEX(properties!A$1:CB$87,'Fórmula'!D13,57))+'Fórmula'!G13*(INDEX(properties!A$1:CB$87,'Fórmula'!F13,57))+'Fórmula'!I13*(INDEX(properties!A$1:CB$87,'Fórmula'!H13,57))+'Fórmula'!K13*(INDEX(properties!A$1:CB$87,'Fórmula'!J13,57))</f>
        <v>75.22108</v>
      </c>
      <c r="GB13" s="104">
        <f t="array" ref="GB13">VARP(IF(INDEX(properties!A$1:CB$87,'Fórmula'!B13,57)&lt;&gt;"",INDEX(properties!A$1:CB$87,'Fórmula'!B13,57)),IF(INDEX(properties!A$1:CB$87,'Fórmula'!D13,57)&lt;&gt;"",INDEX(properties!A$1:CB$87,'Fórmula'!D13,57)),IF(INDEX(properties!A$1:CB$87,'Fórmula'!F13,57)&lt;&gt;"",INDEX(properties!A$1:CB$87,'Fórmula'!F13,57)),IF(INDEX(properties!A$1:CB$87,'Fórmula'!H13,57)&lt;&gt;"",INDEX(properties!A$1:CB$87,'Fórmula'!H13,57)),IF(INDEX(properties!A$1:CB$87,'Fórmula'!J13,57)&lt;&gt;"",INDEX(properties!A$1:CB$87,'Fórmula'!J13,57)))</f>
        <v>24.17054739</v>
      </c>
      <c r="GC13" s="104">
        <f t="array" ref="GC13">MAX(INDEX(properties!A$1:CB$87,'Fórmula'!B13,57),INDEX(properties!A$1:CB$87,'Fórmula'!D13,57),INDEX(properties!A$1:CB$87,'Fórmula'!F13,57),INDEX(properties!A$1:CB$87,'Fórmula'!H13,57),INDEX(properties!A$1:CB$87,'Fórmula'!J13,57))</f>
        <v>11.4</v>
      </c>
      <c r="GD13" s="104">
        <f t="array" ref="GD13">MIN(IF(INDEX(properties!A$1:CB$87,'Fórmula'!B13,57)=0,10^6,INDEX(properties!A$1:CB$87,'Fórmula'!B13,57)),IF(INDEX(properties!A$1:CB$87,'Fórmula'!D13,57)=0,10^6,INDEX(properties!A$1:CB$87,'Fórmula'!D13,57)),IF(INDEX(properties!A$1:CB$87,'Fórmula'!F13,57)=0,10^6,INDEX(properties!A$1:CB$87,'Fórmula'!F13,57)),IF(INDEX(properties!A$1:CB$87,'Fórmula'!H13,57)=0,10^6,INDEX(properties!A$1:CB$87,'Fórmula'!H13,57)),IF(INDEX(properties!A$1:CB$87,'Fórmula'!J13,57)=0,10^6,INDEX(properties!A$1:CB$87,'Fórmula'!J13,57)))</f>
        <v>0.22259</v>
      </c>
      <c r="GE13" s="104">
        <f t="shared" si="31"/>
        <v>11.17741</v>
      </c>
      <c r="GF13" s="105">
        <f t="array" ref="GF13">(('Fórmula'!C13)/('Fórmula'!C13+'Fórmula'!E13+'Fórmula'!G13+'Fórmula'!I13+'Fórmula'!K13))*(INDEX(properties!A$1:CB$87,'Fórmula'!B13,60))+(('Fórmula'!E13)/('Fórmula'!C13+'Fórmula'!E13+'Fórmula'!G13+'Fórmula'!I13+'Fórmula'!K13))*(INDEX(properties!A$1:CB$87,'Fórmula'!D13,60))+(('Fórmula'!G13)/('Fórmula'!C13+'Fórmula'!E13+'Fórmula'!G13+'Fórmula'!I13+'Fórmula'!K13))*(INDEX(properties!A$1:CB$87,'Fórmula'!F13,60))+(('Fórmula'!I13)/('Fórmula'!C13+'Fórmula'!E13+'Fórmula'!G13+'Fórmula'!I13+'Fórmula'!K13))*(INDEX(properties!A$1:CB$87,'Fórmula'!H13,60))+(('Fórmula'!K13)/('Fórmula'!C13+'Fórmula'!E13+'Fórmula'!G13+'Fórmula'!I13+'Fórmula'!K13))*(INDEX(properties!A$1:CB$87,'Fórmula'!J13,60))</f>
        <v>32.386044</v>
      </c>
      <c r="GG13" s="105">
        <f t="array" ref="GG13">'Fórmula'!C13*(INDEX(properties!A$1:CB$87,'Fórmula'!B13,60))+'Fórmula'!E13*(INDEX(properties!A$1:CB$87,'Fórmula'!D13,60))+'Fórmula'!G13*(INDEX(properties!A$1:CB$87,'Fórmula'!F13,60))+'Fórmula'!I13*(INDEX(properties!A$1:CB$87,'Fórmula'!H13,60))+'Fórmula'!K13*(INDEX(properties!A$1:CB$87,'Fórmula'!J13,60))</f>
        <v>647.72088</v>
      </c>
      <c r="GH13" s="105">
        <f t="array" ref="GH13">VARP(IF(INDEX(properties!A$1:CB$87,'Fórmula'!B13,60)&lt;&gt;"",INDEX(properties!A$1:CB$87,'Fórmula'!B13,60)),IF(INDEX(properties!A$1:CB$87,'Fórmula'!D13,60)&lt;&gt;"",INDEX(properties!A$1:CB$87,'Fórmula'!D13,60)),IF(INDEX(properties!A$1:CB$87,'Fórmula'!F13,60)&lt;&gt;"",INDEX(properties!A$1:CB$87,'Fórmula'!F13,60)),IF(INDEX(properties!A$1:CB$87,'Fórmula'!H13,60)&lt;&gt;"",INDEX(properties!A$1:CB$87,'Fórmula'!H13,60)),IF(INDEX(properties!A$1:CB$87,'Fórmula'!J13,60)&lt;&gt;"",INDEX(properties!A$1:CB$87,'Fórmula'!J13,60)))</f>
        <v>8145.727878</v>
      </c>
      <c r="GI13" s="105">
        <f t="array" ref="GI13">MAX(INDEX(properties!A$1:CB$87,'Fórmula'!B13,60),INDEX(properties!A$1:CB$87,'Fórmula'!D13,60),INDEX(properties!A$1:CB$87,'Fórmula'!F13,60),INDEX(properties!A$1:CB$87,'Fórmula'!H13,60),INDEX(properties!A$1:CB$87,'Fórmula'!J13,60))</f>
        <v>237</v>
      </c>
      <c r="GJ13" s="105">
        <f t="array" ref="GJ13">MIN(IF(INDEX(properties!A$1:CB$87,'Fórmula'!B13,60)=0,10^6,INDEX(properties!A$1:CB$87,'Fórmula'!B13,60)),IF(INDEX(properties!A$1:CB$87,'Fórmula'!D13,60)=0,10^6,INDEX(properties!A$1:CB$87,'Fórmula'!D13,60)),IF(INDEX(properties!A$1:CB$87,'Fórmula'!F13,60)=0,10^6,INDEX(properties!A$1:CB$87,'Fórmula'!F13,60)),IF(INDEX(properties!A$1:CB$87,'Fórmula'!H13,60)=0,10^6,INDEX(properties!A$1:CB$87,'Fórmula'!H13,60)),IF(INDEX(properties!A$1:CB$87,'Fórmula'!J13,60)=0,10^6,INDEX(properties!A$1:CB$87,'Fórmula'!J13,60)))</f>
        <v>0.02674</v>
      </c>
      <c r="GK13" s="105">
        <f t="shared" si="32"/>
        <v>236.97326</v>
      </c>
      <c r="GL13" s="106">
        <f t="array" ref="GL13">(('Fórmula'!C13)/('Fórmula'!C13+'Fórmula'!E13+'Fórmula'!G13+'Fórmula'!I13+'Fórmula'!K13))*(INDEX(properties!A$1:CB$87,'Fórmula'!B13,62))+(('Fórmula'!E13)/('Fórmula'!C13+'Fórmula'!E13+'Fórmula'!G13+'Fórmula'!I13+'Fórmula'!K13))*(INDEX(properties!A$1:CB$87,'Fórmula'!D13,62))+(('Fórmula'!G13)/('Fórmula'!C13+'Fórmula'!E13+'Fórmula'!G13+'Fórmula'!I13+'Fórmula'!K13))*(INDEX(properties!A$1:CB$87,'Fórmula'!F13,62))+(('Fórmula'!I13)/('Fórmula'!C13+'Fórmula'!E13+'Fórmula'!G13+'Fórmula'!I13+'Fórmula'!K13))*(INDEX(properties!A$1:CB$87,'Fórmula'!H13,62))+(('Fórmula'!K13)/('Fórmula'!C13+'Fórmula'!E13+'Fórmula'!G13+'Fórmula'!I13+'Fórmula'!K13))*(INDEX(properties!A$1:CB$87,'Fórmula'!J13,62))</f>
        <v>2.988</v>
      </c>
      <c r="GM13" s="106">
        <f t="array" ref="GM13">'Fórmula'!C13*(INDEX(properties!A$1:CB$87,'Fórmula'!B13,62))+'Fórmula'!E13*(INDEX(properties!A$1:CB$87,'Fórmula'!D13,62))+'Fórmula'!G13*(INDEX(properties!A$1:CB$87,'Fórmula'!F13,62))+'Fórmula'!I13*(INDEX(properties!A$1:CB$87,'Fórmula'!H13,62))+'Fórmula'!K13*(INDEX(properties!A$1:CB$87,'Fórmula'!J13,62))</f>
        <v>59.76</v>
      </c>
      <c r="GN13" s="106">
        <f t="array" ref="GN13">VARP(IF(INDEX(properties!A$1:CB$87,'Fórmula'!B13,62)&lt;&gt;"",INDEX(properties!A$1:CB$87,'Fórmula'!B13,62)),IF(INDEX(properties!A$1:CB$87,'Fórmula'!D13,62)&lt;&gt;"",INDEX(properties!A$1:CB$87,'Fórmula'!D13,62)),IF(INDEX(properties!A$1:CB$87,'Fórmula'!F13,62)&lt;&gt;"",INDEX(properties!A$1:CB$87,'Fórmula'!F13,62)),IF(INDEX(properties!A$1:CB$87,'Fórmula'!H13,62)&lt;&gt;"",INDEX(properties!A$1:CB$87,'Fórmula'!H13,62)),IF(INDEX(properties!A$1:CB$87,'Fórmula'!J13,62)&lt;&gt;"",INDEX(properties!A$1:CB$87,'Fórmula'!J13,62)))</f>
        <v>2.110856</v>
      </c>
      <c r="GO13" s="106">
        <f t="array" ref="GO13">MAX(INDEX(properties!A$1:CB$87,'Fórmula'!B13,62),INDEX(properties!A$1:CB$87,'Fórmula'!D13,62),INDEX(properties!A$1:CB$87,'Fórmula'!F13,62),INDEX(properties!A$1:CB$87,'Fórmula'!H13,62),INDEX(properties!A$1:CB$87,'Fórmula'!J13,62))</f>
        <v>4.37</v>
      </c>
      <c r="GP13" s="106">
        <f t="array" ref="GP13">MIN(IF(INDEX(properties!A$1:CB$87,'Fórmula'!B13,62)=0,10^6,INDEX(properties!A$1:CB$87,'Fórmula'!B13,62)),IF(INDEX(properties!A$1:CB$87,'Fórmula'!D13,62)=0,10^6,INDEX(properties!A$1:CB$87,'Fórmula'!D13,62)),IF(INDEX(properties!A$1:CB$87,'Fórmula'!F13,62)=0,10^6,INDEX(properties!A$1:CB$87,'Fórmula'!F13,62)),IF(INDEX(properties!A$1:CB$87,'Fórmula'!H13,62)=0,10^6,INDEX(properties!A$1:CB$87,'Fórmula'!H13,62)),IF(INDEX(properties!A$1:CB$87,'Fórmula'!J13,62)=0,10^6,INDEX(properties!A$1:CB$87,'Fórmula'!J13,62)))</f>
        <v>2.62</v>
      </c>
      <c r="GQ13" s="106">
        <f t="shared" si="33"/>
        <v>1.75</v>
      </c>
      <c r="GR13" s="106">
        <f>'Fórmula'!Q13</f>
        <v>230</v>
      </c>
      <c r="GS13" s="107">
        <f>'Fórmula'!P13</f>
        <v>1</v>
      </c>
      <c r="GT13" s="113">
        <f>'Fórmula'!O13</f>
        <v>5.3</v>
      </c>
      <c r="GU13" s="114">
        <f>AVERAGE('Fórmula'!R13/'Fórmula'!S13,'Fórmula'!S13/'Fórmula'!T13,'Fórmula'!T13/'Fórmula'!R13)</f>
        <v>1</v>
      </c>
      <c r="GV13" s="125">
        <f>'Fórmula'!U13</f>
        <v>1808.13</v>
      </c>
      <c r="GW13" s="106">
        <f>'Fórmula'!N13</f>
        <v>0.025</v>
      </c>
    </row>
    <row r="14" ht="14.25" customHeight="1">
      <c r="A14" s="99" t="str">
        <f>'Fórmula'!A14</f>
        <v>SrLaGaO4</v>
      </c>
      <c r="B14" s="100">
        <f t="array" ref="B14">(('Fórmula'!C14)/('Fórmula'!C14+'Fórmula'!E14+'Fórmula'!G14+'Fórmula'!I14+'Fórmula'!K14))*(INDEX(properties!A$1:CB$87,'Fórmula'!B14,3))+(('Fórmula'!E14)/('Fórmula'!C14+'Fórmula'!E14+'Fórmula'!G14+'Fórmula'!I14+'Fórmula'!K14))*(INDEX(properties!A$1:CB$87,'Fórmula'!D14,3))+(('Fórmula'!G14)/('Fórmula'!C14+'Fórmula'!E14+'Fórmula'!G14+'Fórmula'!I14+'Fórmula'!K14))*(INDEX(properties!A$1:CB$87,'Fórmula'!F14,3))+(('Fórmula'!I14)/('Fórmula'!C14+'Fórmula'!E14+'Fórmula'!G14+'Fórmula'!I14+'Fórmula'!K14))*(INDEX(properties!A$1:CB$87,'Fórmula'!H14,3))+(('Fórmula'!K14)/('Fórmula'!C14+'Fórmula'!E14+'Fórmula'!G14+'Fórmula'!I14+'Fórmula'!K14))*(INDEX(properties!A$1:CB$87,'Fórmula'!J14,3))</f>
        <v>51.46372857</v>
      </c>
      <c r="C14" s="101">
        <f t="array" ref="C14">'Fórmula'!C14*(INDEX(properties!A$1:CB$87,'Fórmula'!B14,3))+'Fórmula'!E14*(INDEX(properties!A$1:CB$87,'Fórmula'!D14,3))+'Fórmula'!G14*(INDEX(properties!A$1:CB$87,'Fórmula'!F14,3))+'Fórmula'!I14*(INDEX(properties!A$1:CB$87,'Fórmula'!H14,3))+'Fórmula'!K14*(INDEX(properties!A$1:CB$87,'Fórmula'!J14,3))</f>
        <v>360.2461</v>
      </c>
      <c r="D14" s="101">
        <f t="array" ref="D14">VARP(IF(INDEX(properties!A$1:CB$87,'Fórmula'!B14,3)&lt;&gt;"",INDEX(properties!A$1:CB$87,'Fórmula'!B14,3)),IF(INDEX(properties!A$1:CB$87,'Fórmula'!D14,3)&lt;&gt;"",INDEX(properties!A$1:CB$87,'Fórmula'!D14,3)),IF(INDEX(properties!A$1:CB$87,'Fórmula'!F14,3)&lt;&gt;"",INDEX(properties!A$1:CB$87,'Fórmula'!F14,3)),IF(INDEX(properties!A$1:CB$87,'Fórmula'!H14,3)&lt;&gt;"",INDEX(properties!A$1:CB$87,'Fórmula'!H14,3)),IF(INDEX(properties!A$1:CB$87,'Fórmula'!J14,3)&lt;&gt;"",INDEX(properties!A$1:CB$87,'Fórmula'!J14,3)))</f>
        <v>2517.90593</v>
      </c>
      <c r="E14" s="101">
        <f t="array" ref="E14">MAX(INDEX(properties!A$1:CB$87,'Fórmula'!B14,3),INDEX(properties!A$1:CB$87,'Fórmula'!D14,3),INDEX(properties!A$1:CB$87,'Fórmula'!F14,3),INDEX(properties!A$1:CB$87,'Fórmula'!H14,3),INDEX(properties!A$1:CB$87,'Fórmula'!J14,3))</f>
        <v>138.9055</v>
      </c>
      <c r="F14" s="101">
        <f t="array" ref="F14">MIN(IF(INDEX(properties!A$1:CB$87,'Fórmula'!B14,3)=0,10^6,INDEX(properties!A$1:CB$87,'Fórmula'!B14,3)),IF(INDEX(properties!A$1:CB$87,'Fórmula'!D14,3)=0,10^6,INDEX(properties!A$1:CB$87,'Fórmula'!D14,3)),IF(INDEX(properties!A$1:CB$87,'Fórmula'!F14,3)=0,10^6,INDEX(properties!A$1:CB$87,'Fórmula'!F14,3)),IF(INDEX(properties!A$1:CB$87,'Fórmula'!H14,3)=0,10^6,INDEX(properties!A$1:CB$87,'Fórmula'!H14,3)),IF(INDEX(properties!A$1:CB$87,'Fórmula'!J14,3)=0,10^6,INDEX(properties!A$1:CB$87,'Fórmula'!J14,3)))</f>
        <v>15.9994</v>
      </c>
      <c r="G14" s="101">
        <f t="shared" si="1"/>
        <v>122.9061</v>
      </c>
      <c r="H14" s="102">
        <f t="array" ref="H14">(('Fórmula'!C14)/('Fórmula'!C14+'Fórmula'!E14+'Fórmula'!G14+'Fórmula'!I14+'Fórmula'!K14))*(INDEX(properties!A$1:CB$87,'Fórmula'!B14,4))+(('Fórmula'!E14)/('Fórmula'!C14+'Fórmula'!E14+'Fórmula'!G14+'Fórmula'!I14+'Fórmula'!K14))*(INDEX(properties!A$1:CB$87,'Fórmula'!D14,4))+(('Fórmula'!G14)/('Fórmula'!C14+'Fórmula'!E14+'Fórmula'!G14+'Fórmula'!I14+'Fórmula'!K14))*(INDEX(properties!A$1:CB$87,'Fórmula'!F14,4))+(('Fórmula'!I14)/('Fórmula'!C14+'Fórmula'!E14+'Fórmula'!G14+'Fórmula'!I14+'Fórmula'!K14))*(INDEX(properties!A$1:CB$87,'Fórmula'!H14,4))+(('Fórmula'!K14)/('Fórmula'!C14+'Fórmula'!E14+'Fórmula'!G14+'Fórmula'!I14+'Fórmula'!K14))*(INDEX(properties!A$1:CB$87,'Fórmula'!J14,4))</f>
        <v>22.57142857</v>
      </c>
      <c r="I14" s="102">
        <f t="array" ref="I14">'Fórmula'!C14*(INDEX(properties!A$1:CB$87,'Fórmula'!B14,4))+'Fórmula'!E14*(INDEX(properties!A$1:CB$87,'Fórmula'!D14,4))+'Fórmula'!G14*(INDEX(properties!A$1:CB$87,'Fórmula'!F14,4))+'Fórmula'!I14*(INDEX(properties!A$1:CB$87,'Fórmula'!H14,4))+'Fórmula'!K14*(INDEX(properties!A$1:CB$87,'Fórmula'!J14,4))</f>
        <v>158</v>
      </c>
      <c r="J14" s="102">
        <f t="array" ref="J14">VARP(IF(INDEX(properties!A$1:CB$87,'Fórmula'!B14,4)&lt;&gt;"",INDEX(properties!A$1:CB$87,'Fórmula'!B14,4)),IF(INDEX(properties!A$1:CB$87,'Fórmula'!D14,4)&lt;&gt;"",INDEX(properties!A$1:CB$87,'Fórmula'!D14,4)),IF(INDEX(properties!A$1:CB$87,'Fórmula'!F14,4)&lt;&gt;"",INDEX(properties!A$1:CB$87,'Fórmula'!F14,4)),IF(INDEX(properties!A$1:CB$87,'Fórmula'!H14,4)&lt;&gt;"",INDEX(properties!A$1:CB$87,'Fórmula'!H14,4)),IF(INDEX(properties!A$1:CB$87,'Fórmula'!J14,4)&lt;&gt;"",INDEX(properties!A$1:CB$87,'Fórmula'!J14,4)))</f>
        <v>425.36</v>
      </c>
      <c r="K14" s="102">
        <f t="array" ref="K14">MAX(INDEX(properties!A$1:CB$87,'Fórmula'!B14,4),INDEX(properties!A$1:CB$87,'Fórmula'!D14,4),INDEX(properties!A$1:CB$87,'Fórmula'!F14,4),INDEX(properties!A$1:CB$87,'Fórmula'!H14,4),INDEX(properties!A$1:CB$87,'Fórmula'!J14,4))</f>
        <v>57</v>
      </c>
      <c r="L14" s="102">
        <f t="array" ref="L14">MIN(IF(INDEX(properties!A$1:CB$87,'Fórmula'!B14,4)=0,10^6,INDEX(properties!A$1:CB$87,'Fórmula'!B14,4)),IF(INDEX(properties!A$1:CB$87,'Fórmula'!D14,4)=0,10^6,INDEX(properties!A$1:CB$87,'Fórmula'!D14,4)),IF(INDEX(properties!A$1:CB$87,'Fórmula'!F14,4)=0,10^6,INDEX(properties!A$1:CB$87,'Fórmula'!F14,4)),IF(INDEX(properties!A$1:CB$87,'Fórmula'!H14,4)=0,10^6,INDEX(properties!A$1:CB$87,'Fórmula'!H14,4)),IF(INDEX(properties!A$1:CB$87,'Fórmula'!J14,4)=0,10^6,INDEX(properties!A$1:CB$87,'Fórmula'!J14,4)))</f>
        <v>8</v>
      </c>
      <c r="M14" s="102">
        <f t="shared" si="2"/>
        <v>49</v>
      </c>
      <c r="N14" s="103">
        <f t="array" ref="N14">(('Fórmula'!C14)/('Fórmula'!C14+'Fórmula'!E14+'Fórmula'!G14+'Fórmula'!I14+'Fórmula'!K14))*(INDEX(properties!A$1:CB$87,'Fórmula'!B14,5))+(('Fórmula'!E14)/('Fórmula'!C14+'Fórmula'!E14+'Fórmula'!G14+'Fórmula'!I14+'Fórmula'!K14))*(INDEX(properties!A$1:CB$87,'Fórmula'!D14,5))+(('Fórmula'!G14)/('Fórmula'!C14+'Fórmula'!E14+'Fórmula'!G14+'Fórmula'!I14+'Fórmula'!K14))*(INDEX(properties!A$1:CB$87,'Fórmula'!F14,5))+(('Fórmula'!I14)/('Fórmula'!C14+'Fórmula'!E14+'Fórmula'!G14+'Fórmula'!I14+'Fórmula'!K14))*(INDEX(properties!A$1:CB$87,'Fórmula'!H14,5))+(('Fórmula'!K14)/('Fórmula'!C14+'Fórmula'!E14+'Fórmula'!G14+'Fórmula'!I14+'Fórmula'!K14))*(INDEX(properties!A$1:CB$87,'Fórmula'!J14,5))</f>
        <v>3.285714286</v>
      </c>
      <c r="O14" s="103">
        <f t="array" ref="O14">'Fórmula'!C14*(INDEX(properties!A$1:CB$87,'Fórmula'!B14,5))+'Fórmula'!E14*(INDEX(properties!A$1:CB$87,'Fórmula'!D14,5))+'Fórmula'!G14*(INDEX(properties!A$1:CB$87,'Fórmula'!F14,5))+'Fórmula'!I14*(INDEX(properties!A$1:CB$87,'Fórmula'!H14,5))+'Fórmula'!K14*(INDEX(properties!A$1:CB$87,'Fórmula'!J14,5))</f>
        <v>23</v>
      </c>
      <c r="P14" s="103">
        <f t="array" ref="P14">VARP(IF(INDEX(properties!A$1:CB$87,'Fórmula'!B14,5)&lt;&gt;"",INDEX(properties!A$1:CB$87,'Fórmula'!B14,5)),IF(INDEX(properties!A$1:CB$87,'Fórmula'!D14,5)&lt;&gt;"",INDEX(properties!A$1:CB$87,'Fórmula'!D14,5)),IF(INDEX(properties!A$1:CB$87,'Fórmula'!F14,5)&lt;&gt;"",INDEX(properties!A$1:CB$87,'Fórmula'!F14,5)),IF(INDEX(properties!A$1:CB$87,'Fórmula'!H14,5)&lt;&gt;"",INDEX(properties!A$1:CB$87,'Fórmula'!H14,5)),IF(INDEX(properties!A$1:CB$87,'Fórmula'!J14,5)&lt;&gt;"",INDEX(properties!A$1:CB$87,'Fórmula'!J14,5)))</f>
        <v>4.64</v>
      </c>
      <c r="Q14" s="103">
        <f t="array" ref="Q14">MAX(INDEX(properties!A$1:CB$87,'Fórmula'!B14,5),INDEX(properties!A$1:CB$87,'Fórmula'!D14,5),INDEX(properties!A$1:CB$87,'Fórmula'!F14,5),INDEX(properties!A$1:CB$87,'Fórmula'!H14,5),INDEX(properties!A$1:CB$87,'Fórmula'!J14,5))</f>
        <v>6</v>
      </c>
      <c r="R14" s="103">
        <f t="array" ref="R14">MIN(IF(INDEX(properties!A$1:CB$87,'Fórmula'!B14,5)=0,10^6,INDEX(properties!A$1:CB$87,'Fórmula'!B14,5)),IF(INDEX(properties!A$1:CB$87,'Fórmula'!D14,5)=0,10^6,INDEX(properties!A$1:CB$87,'Fórmula'!D14,5)),IF(INDEX(properties!A$1:CB$87,'Fórmula'!F14,5)=0,10^6,INDEX(properties!A$1:CB$87,'Fórmula'!F14,5)),IF(INDEX(properties!A$1:CB$87,'Fórmula'!H14,5)=0,10^6,INDEX(properties!A$1:CB$87,'Fórmula'!H14,5)),IF(INDEX(properties!A$1:CB$87,'Fórmula'!J14,5)=0,10^6,INDEX(properties!A$1:CB$87,'Fórmula'!J14,5)))</f>
        <v>2</v>
      </c>
      <c r="S14" s="103">
        <f t="shared" si="3"/>
        <v>4</v>
      </c>
      <c r="T14" s="104">
        <f t="array" ref="T14">(('Fórmula'!C14)/('Fórmula'!C14+'Fórmula'!E14+'Fórmula'!G14+'Fórmula'!I14+'Fórmula'!K14))*(INDEX(properties!A$1:CB$87,'Fórmula'!B14,6))+(('Fórmula'!E14)/('Fórmula'!C14+'Fórmula'!E14+'Fórmula'!G14+'Fórmula'!I14+'Fórmula'!K14))*(INDEX(properties!A$1:CB$87,'Fórmula'!D14,6))+(('Fórmula'!G14)/('Fórmula'!C14+'Fórmula'!E14+'Fórmula'!G14+'Fórmula'!I14+'Fórmula'!K14))*(INDEX(properties!A$1:CB$87,'Fórmula'!F14,6))+(('Fórmula'!I14)/('Fórmula'!C14+'Fórmula'!E14+'Fórmula'!G14+'Fórmula'!I14+'Fórmula'!K14))*(INDEX(properties!A$1:CB$87,'Fórmula'!H14,6))+(('Fórmula'!K14)/('Fórmula'!C14+'Fórmula'!E14+'Fórmula'!G14+'Fórmula'!I14+'Fórmula'!K14))*(INDEX(properties!A$1:CB$87,'Fórmula'!J14,6))</f>
        <v>11.71428571</v>
      </c>
      <c r="U14" s="104">
        <f t="array" ref="U14">'Fórmula'!C14*(INDEX(properties!A$1:CB$87,'Fórmula'!B14,6))+'Fórmula'!E14*(INDEX(properties!A$1:CB$87,'Fórmula'!D14,6))+'Fórmula'!G14*(INDEX(properties!A$1:CB$87,'Fórmula'!F14,6))+'Fórmula'!I14*(INDEX(properties!A$1:CB$87,'Fórmula'!H14,6))+'Fórmula'!K14*(INDEX(properties!A$1:CB$87,'Fórmula'!J14,6))</f>
        <v>82</v>
      </c>
      <c r="V14" s="103">
        <f t="array" ref="V14">VARP(IF(INDEX(properties!A$1:CB$87,'Fórmula'!B14,6)&lt;&gt;"",INDEX(properties!A$1:CB$87,'Fórmula'!B14,6)),IF(INDEX(properties!A$1:CB$87,'Fórmula'!D14,6)&lt;&gt;"",INDEX(properties!A$1:CB$87,'Fórmula'!D14,6)),IF(INDEX(properties!A$1:CB$87,'Fórmula'!F14,6)&lt;&gt;"",INDEX(properties!A$1:CB$87,'Fórmula'!F14,6)),IF(INDEX(properties!A$1:CB$87,'Fórmula'!H14,6)&lt;&gt;"",INDEX(properties!A$1:CB$87,'Fórmula'!H14,6)),IF(INDEX(properties!A$1:CB$87,'Fórmula'!J14,6)&lt;&gt;"",INDEX(properties!A$1:CB$87,'Fórmula'!J14,6)))</f>
        <v>41.36</v>
      </c>
      <c r="W14" s="104">
        <f t="array" ref="W14">MAX(INDEX(properties!A$1:CB$87,'Fórmula'!B14,6),INDEX(properties!A$1:CB$87,'Fórmula'!D14,6),INDEX(properties!A$1:CB$87,'Fórmula'!F14,6),INDEX(properties!A$1:CB$87,'Fórmula'!H14,4),INDEX(properties!A$1:CB$87,'Fórmula'!J14,6))</f>
        <v>13</v>
      </c>
      <c r="X14" s="104">
        <f t="array" ref="X14">MIN(IF(INDEX(properties!A$1:CB$87,'Fórmula'!B14,6)=0,10^6,INDEX(properties!A$1:CB$87,'Fórmula'!B14,6)),IF(INDEX(properties!A$1:CB$87,'Fórmula'!D14,6)=0,10^6,INDEX(properties!A$1:CB$87,'Fórmula'!D14,6)),IF(INDEX(properties!A$1:CB$87,'Fórmula'!F14,6)=0,10^6,INDEX(properties!A$1:CB$87,'Fórmula'!F14,6)),IF(INDEX(properties!A$1:CB$87,'Fórmula'!H14,6)=0,10^6,INDEX(properties!A$1:CB$87,'Fórmula'!H14,6)),IF(INDEX(properties!A$1:CB$87,'Fórmula'!J14,6)=0,10^6,INDEX(properties!A$1:CB$87,'Fórmula'!J14,6)))</f>
        <v>2</v>
      </c>
      <c r="Y14" s="104">
        <f t="shared" si="4"/>
        <v>11</v>
      </c>
      <c r="Z14" s="105">
        <f t="array" ref="Z14">(('Fórmula'!C14)/('Fórmula'!C14+'Fórmula'!E14+'Fórmula'!G14+'Fórmula'!I14+'Fórmula'!K14))*(INDEX(properties!A$1:CB$87,'Fórmula'!B14,9))+(('Fórmula'!E14)/('Fórmula'!C14+'Fórmula'!E14+'Fórmula'!G14+'Fórmula'!I14+'Fórmula'!K14))*(INDEX(properties!A$1:CB$87,'Fórmula'!D14,9))+(('Fórmula'!G14)/('Fórmula'!C14+'Fórmula'!E14+'Fórmula'!G14+'Fórmula'!I14+'Fórmula'!K14))*(INDEX(properties!A$1:CB$87,'Fórmula'!F14,9))+(('Fórmula'!I14)/('Fórmula'!C14+'Fórmula'!E14+'Fórmula'!G14+'Fórmula'!I14+'Fórmula'!K14))*(INDEX(properties!A$1:CB$87,'Fórmula'!H14,9))+(('Fórmula'!K14)/('Fórmula'!C14+'Fórmula'!E14+'Fórmula'!G14+'Fórmula'!I14+'Fórmula'!K14))*(INDEX(properties!A$1:CB$87,'Fórmula'!J14,9))</f>
        <v>63.28571429</v>
      </c>
      <c r="AA14" s="105">
        <f t="array" ref="AA14">'Fórmula'!C14*(INDEX(properties!A$1:CB$87,'Fórmula'!B14,9))+'Fórmula'!E14*(INDEX(properties!A$1:CB$87,'Fórmula'!D14,9))+'Fórmula'!G14*(INDEX(properties!A$1:CB$87,'Fórmula'!F14,9))+'Fórmula'!I14*(INDEX(properties!A$1:CB$87,'Fórmula'!H14,9))+'Fórmula'!K14*(INDEX(properties!A$1:CB$87,'Fórmula'!J14,9))</f>
        <v>443</v>
      </c>
      <c r="AB14" s="105">
        <f t="array" ref="AB14">VARP(IF(INDEX(properties!A$1:CB$87,'Fórmula'!B14,9)&lt;&gt;"",INDEX(properties!A$1:CB$87,'Fórmula'!B14,9)),IF(INDEX(properties!A$1:CB$87,'Fórmula'!D14,9)&lt;&gt;"",INDEX(properties!A$1:CB$87,'Fórmula'!D14,9)),IF(INDEX(properties!A$1:CB$87,'Fórmula'!F14,9)&lt;&gt;"",INDEX(properties!A$1:CB$87,'Fórmula'!F14,9)),IF(INDEX(properties!A$1:CB$87,'Fórmula'!H14,9)&lt;&gt;"",INDEX(properties!A$1:CB$87,'Fórmula'!H14,9)),IF(INDEX(properties!A$1:CB$87,'Fórmula'!J14,9)&lt;&gt;"",INDEX(properties!A$1:CB$87,'Fórmula'!J14,9)))</f>
        <v>1330.64</v>
      </c>
      <c r="AC14" s="105">
        <f t="array" ref="AC14">MAX(INDEX(properties!A$1:CB$87,'Fórmula'!B14,9),INDEX(properties!A$1:CB$87,'Fórmula'!D14,9),INDEX(properties!A$1:CB$87,'Fórmula'!F14,9),INDEX(properties!A$1:CB$87,'Fórmula'!H14,9),INDEX(properties!A$1:CB$87,'Fórmula'!J14,9))</f>
        <v>87</v>
      </c>
      <c r="AD14" s="105">
        <f t="array" ref="AD14">MIN(IF(INDEX(properties!A$1:CB$87,'Fórmula'!B14,9)=0,10^6,INDEX(properties!A$1:CB$87,'Fórmula'!B14,9)),IF(INDEX(properties!A$1:CB$87,'Fórmula'!D14,9)=0,10^6,INDEX(properties!A$1:CB$87,'Fórmula'!D14,9)),IF(INDEX(properties!A$1:CB$87,'Fórmula'!F14,9)=0,10^6,INDEX(properties!A$1:CB$87,'Fórmula'!F14,9)),IF(INDEX(properties!A$1:CB$87,'Fórmula'!H14,9)=0,10^6,INDEX(properties!A$1:CB$87,'Fórmula'!H14,9)),IF(INDEX(properties!A$1:CB$87,'Fórmula'!J14,9)=0,10^6,INDEX(properties!A$1:CB$87,'Fórmula'!J14,9)))</f>
        <v>8</v>
      </c>
      <c r="AE14" s="105">
        <f t="shared" si="5"/>
        <v>79</v>
      </c>
      <c r="AF14" s="106">
        <f t="array" ref="AF14">(('Fórmula'!C14)/('Fórmula'!C14+'Fórmula'!E14+'Fórmula'!G14+'Fórmula'!I14+'Fórmula'!K14))*(INDEX(properties!A$1:CB$87,'Fórmula'!B14,10))+(('Fórmula'!E14)/('Fórmula'!C14+'Fórmula'!E14+'Fórmula'!G14+'Fórmula'!I14+'Fórmula'!K14))*(INDEX(properties!A$1:CB$87,'Fórmula'!D14,10))+(('Fórmula'!G14)/('Fórmula'!C14+'Fórmula'!E14+'Fórmula'!G14+'Fórmula'!I14+'Fórmula'!K14))*(INDEX(properties!A$1:CB$87,'Fórmula'!F14,10))+(('Fórmula'!I14)/('Fórmula'!C14+'Fórmula'!E14+'Fórmula'!G14+'Fórmula'!I14+'Fórmula'!K14))*(INDEX(properties!A$1:CB$87,'Fórmula'!H14,10))+(('Fórmula'!K14)/('Fórmula'!C14+'Fórmula'!E14+'Fórmula'!G14+'Fórmula'!I14+'Fórmula'!K14))*(INDEX(properties!A$1:CB$87,'Fórmula'!J14,10))</f>
        <v>5.428571429</v>
      </c>
      <c r="AG14" s="106">
        <f t="array" ref="AG14">'Fórmula'!C14*(INDEX(properties!A$1:CB$87,'Fórmula'!B14,10))+'Fórmula'!E14*(INDEX(properties!A$1:CB$87,'Fórmula'!D14,10))+'Fórmula'!G14*(INDEX(properties!A$1:CB$87,'Fórmula'!F14,10))+'Fórmula'!I14*(INDEX(properties!A$1:CB$87,'Fórmula'!H14,10))+'Fórmula'!K14*(INDEX(properties!A$1:CB$87,'Fórmula'!J14,10))</f>
        <v>38</v>
      </c>
      <c r="AH14" s="106">
        <f t="array" ref="AH14">VARP(IF(INDEX(properties!A$1:CB$87,'Fórmula'!B14,10)&lt;&gt;"",INDEX(properties!A$1:CB$87,'Fórmula'!B14,10)),IF(INDEX(properties!A$1:CB$87,'Fórmula'!D14,10)&lt;&gt;"",INDEX(properties!A$1:CB$87,'Fórmula'!D14,10)),IF(INDEX(properties!A$1:CB$87,'Fórmula'!F14,10)&lt;&gt;"",INDEX(properties!A$1:CB$87,'Fórmula'!F14,10)),IF(INDEX(properties!A$1:CB$87,'Fórmula'!H14,10)&lt;&gt;"",INDEX(properties!A$1:CB$87,'Fórmula'!H14,10)),IF(INDEX(properties!A$1:CB$87,'Fórmula'!J14,10)&lt;&gt;"",INDEX(properties!A$1:CB$87,'Fórmula'!J14,10)))</f>
        <v>5.84</v>
      </c>
      <c r="AI14" s="106">
        <f t="array" ref="AI14">MAX(INDEX(properties!A$1:CB$87,'Fórmula'!B14,10),INDEX(properties!A$1:CB$87,'Fórmula'!D14,10),INDEX(properties!A$1:CB$87,'Fórmula'!F14,10),INDEX(properties!A$1:CB$87,'Fórmula'!H14,10),INDEX(properties!A$1:CB$87,'Fórmula'!J14,10))</f>
        <v>7</v>
      </c>
      <c r="AJ14" s="106">
        <f t="array" ref="AJ14">MIN(IF(INDEX(properties!A$1:CB$87,'Fórmula'!B14,10)=0,10^6,INDEX(properties!A$1:CB$87,'Fórmula'!B14,10)),IF(INDEX(properties!A$1:CB$87,'Fórmula'!D14,10)=0,10^6,INDEX(properties!A$1:CB$87,'Fórmula'!D14,10)),IF(INDEX(properties!A$1:CB$87,'Fórmula'!F14,10)=0,10^6,INDEX(properties!A$1:CB$87,'Fórmula'!F14,10)),IF(INDEX(properties!A$1:CB$87,'Fórmula'!H14,10)=0,10^6,INDEX(properties!A$1:CB$87,'Fórmula'!H14,10)),IF(INDEX(properties!A$1:CB$87,'Fórmula'!J14,10)=0,10^6,INDEX(properties!A$1:CB$87,'Fórmula'!J14,10)))</f>
        <v>2</v>
      </c>
      <c r="AK14" s="106">
        <f t="shared" si="6"/>
        <v>5</v>
      </c>
      <c r="AL14" s="107">
        <f t="array" ref="AL14">(('Fórmula'!C14)/('Fórmula'!C14+'Fórmula'!E14+'Fórmula'!G14+'Fórmula'!I14+'Fórmula'!K14))*(INDEX(properties!A$1:CB$87,'Fórmula'!B14,11))+(('Fórmula'!E14)/('Fórmula'!C14+'Fórmula'!E14+'Fórmula'!G14+'Fórmula'!I14+'Fórmula'!K14))*(INDEX(properties!A$1:CB$87,'Fórmula'!D14,11))+(('Fórmula'!G14)/('Fórmula'!C14+'Fórmula'!E14+'Fórmula'!G14+'Fórmula'!I14+'Fórmula'!K14))*(INDEX(properties!A$1:CB$87,'Fórmula'!F14,11))+(('Fórmula'!I14)/('Fórmula'!C14+'Fórmula'!E14+'Fórmula'!G14+'Fórmula'!I14+'Fórmula'!K14))*(INDEX(properties!A$1:CB$87,'Fórmula'!H14,11))+(('Fórmula'!K14)/('Fórmula'!C14+'Fórmula'!E14+'Fórmula'!G14+'Fórmula'!I14+'Fórmula'!K14))*(INDEX(properties!A$1:CB$87,'Fórmula'!J14,11))</f>
        <v>2</v>
      </c>
      <c r="AM14" s="107">
        <f t="array" ref="AM14">'Fórmula'!C14*(INDEX(properties!A$1:CB$87,'Fórmula'!B14,11))+'Fórmula'!E14*(INDEX(properties!A$1:CB$87,'Fórmula'!D14,11))+'Fórmula'!G14*(INDEX(properties!A$1:CB$87,'Fórmula'!F14,11))+'Fórmula'!I14*(INDEX(properties!A$1:CB$87,'Fórmula'!H14,11))+'Fórmula'!K14*(INDEX(properties!A$1:CB$87,'Fórmula'!J14,11))</f>
        <v>14</v>
      </c>
      <c r="AN14" s="107">
        <f t="array" ref="AN14">VARP(IF(INDEX(properties!A$1:CB$87,'Fórmula'!B14,11)&lt;&gt;"",INDEX(properties!A$1:CB$87,'Fórmula'!B14,11)),IF(INDEX(properties!A$1:CB$87,'Fórmula'!D14,11)&lt;&gt;"",INDEX(properties!A$1:CB$87,'Fórmula'!D14,11)),IF(INDEX(properties!A$1:CB$87,'Fórmula'!F14,11)&lt;&gt;"",INDEX(properties!A$1:CB$87,'Fórmula'!F14,11)),IF(INDEX(properties!A$1:CB$87,'Fórmula'!H14,11)&lt;&gt;"",INDEX(properties!A$1:CB$87,'Fórmula'!H14,11)),IF(INDEX(properties!A$1:CB$87,'Fórmula'!J14,11)&lt;&gt;"",INDEX(properties!A$1:CB$87,'Fórmula'!J14,11)))</f>
        <v>0.64</v>
      </c>
      <c r="AO14" s="107">
        <f t="array" ref="AO14">MAX(INDEX(properties!A$1:CB$87,'Fórmula'!B14,11),INDEX(properties!A$1:CB$87,'Fórmula'!D14,11),INDEX(properties!A$1:CB$87,'Fórmula'!F14,11),INDEX(properties!A$1:CB$87,'Fórmula'!H14,11),INDEX(properties!A$1:CB$87,'Fórmula'!J14,11))</f>
        <v>2</v>
      </c>
      <c r="AP14" s="107">
        <f t="array" ref="AP14">MIN(IF('Fórmula'!B14=87,10^6,INDEX(properties!A$1:CB$87,'Fórmula'!B14,11)),IF(('Fórmula'!D14)=87,10^6,INDEX(properties!A$1:CB$87,'Fórmula'!D14,11)),IF(('Fórmula'!F14)=87,10^6,INDEX(properties!A$1:CB$87,'Fórmula'!F14,11)),IF(('Fórmula'!H14)=87,10^6,INDEX(properties!A$1:CB$87,'Fórmula'!H14,11)),IF('Fórmula'!J14=87,10^6,INDEX(properties!A$1:CB$87,'Fórmula'!J14,11)))</f>
        <v>2</v>
      </c>
      <c r="AQ14" s="107">
        <f t="shared" si="7"/>
        <v>0</v>
      </c>
      <c r="AR14" s="108">
        <f t="array" ref="AR14">(('Fórmula'!C14)/('Fórmula'!C14+'Fórmula'!E14+'Fórmula'!G14+'Fórmula'!I14+'Fórmula'!K14))*(INDEX(properties!A$1:CB$87,'Fórmula'!B14,12))+(('Fórmula'!E14)/('Fórmula'!C14+'Fórmula'!E14+'Fórmula'!G14+'Fórmula'!I14+'Fórmula'!K14))*(INDEX(properties!A$1:CB$87,'Fórmula'!D14,12))+(('Fórmula'!G14)/('Fórmula'!C14+'Fórmula'!E14+'Fórmula'!G14+'Fórmula'!I14+'Fórmula'!K14))*(INDEX(properties!A$1:CB$87,'Fórmula'!F14,12))+(('Fórmula'!I14)/('Fórmula'!C14+'Fórmula'!E14+'Fórmula'!G14+'Fórmula'!I14+'Fórmula'!K14))*(INDEX(properties!A$1:CB$87,'Fórmula'!H14,12))+(('Fórmula'!K14)/('Fórmula'!C14+'Fórmula'!E14+'Fórmula'!G14+'Fórmula'!I14+'Fórmula'!K14))*(INDEX(properties!A$1:CB$87,'Fórmula'!J14,12))</f>
        <v>2.428571429</v>
      </c>
      <c r="AS14" s="108">
        <f t="array" ref="AS14">'Fórmula'!C14*(INDEX(properties!A$1:CB$87,'Fórmula'!B14,12))+'Fórmula'!E14*(INDEX(properties!A$1:CB$87,'Fórmula'!D14,12))+'Fórmula'!G14*(INDEX(properties!A$1:CB$87,'Fórmula'!F14,12))+'Fórmula'!I14*(INDEX(properties!A$1:CB$87,'Fórmula'!H14,12))+'Fórmula'!K14*(INDEX(properties!A$1:CB$87,'Fórmula'!J14,12))</f>
        <v>17</v>
      </c>
      <c r="AT14" s="108">
        <f t="array" ref="AT14">VARP(IF(INDEX(properties!A$1:CB$87,'Fórmula'!B14,12)&lt;&gt;"",INDEX(properties!A$1:CB$87,'Fórmula'!B14,12)),IF(INDEX(properties!A$1:CB$87,'Fórmula'!D14,12)&lt;&gt;"",INDEX(properties!A$1:CB$87,'Fórmula'!D14,12)),IF(INDEX(properties!A$1:CB$87,'Fórmula'!F14,12)&lt;&gt;"",INDEX(properties!A$1:CB$87,'Fórmula'!F14,12)),IF(INDEX(properties!A$1:CB$87,'Fórmula'!H14,12)&lt;&gt;"",INDEX(properties!A$1:CB$87,'Fórmula'!H14,12)),IF(INDEX(properties!A$1:CB$87,'Fórmula'!J14,12)&lt;&gt;"",INDEX(properties!A$1:CB$87,'Fórmula'!J14,12)))</f>
        <v>2.4</v>
      </c>
      <c r="AU14" s="108">
        <f t="array" ref="AU14">MAX(INDEX(properties!A$1:CB$87,'Fórmula'!B14,12),INDEX(properties!A$1:CB$87,'Fórmula'!D14,12),INDEX(properties!A$1:CB$87,'Fórmula'!F14,12),INDEX(properties!A$1:CB$87,'Fórmula'!H14,12),INDEX(properties!A$1:CB$87,'Fórmula'!J14,12))</f>
        <v>4</v>
      </c>
      <c r="AV14" s="108">
        <f t="array" ref="AV14">MIN(IF('Fórmula'!B14=87,10^6,INDEX(properties!A$1:CB$87,'Fórmula'!B14,12)),IF(('Fórmula'!D14)=87,10^6,INDEX(properties!A$1:CB$87,'Fórmula'!D14,12)),IF(('Fórmula'!F14)=87,10^6,INDEX(properties!A$1:CB$87,'Fórmula'!F14,12)),IF(('Fórmula'!H14)=87,10^6,INDEX(properties!A$1:CB$87,'Fórmula'!H14,12)),IF('Fórmula'!J14=87,10^6,INDEX(properties!A$1:CB$87,'Fórmula'!J14,12)))</f>
        <v>0</v>
      </c>
      <c r="AW14" s="108">
        <f t="shared" si="8"/>
        <v>4</v>
      </c>
      <c r="AX14" s="109">
        <f t="array" ref="AX14">(('Fórmula'!C14)/('Fórmula'!C14+'Fórmula'!E14+'Fórmula'!G14+'Fórmula'!I14+'Fórmula'!K14))*(INDEX(properties!A$1:CB$87,'Fórmula'!B14,13))+(('Fórmula'!E14)/('Fórmula'!C14+'Fórmula'!E14+'Fórmula'!G14+'Fórmula'!I14+'Fórmula'!K14))*(INDEX(properties!A$1:CB$87,'Fórmula'!D14,13))+(('Fórmula'!G14)/('Fórmula'!C14+'Fórmula'!E14+'Fórmula'!G14+'Fórmula'!I14+'Fórmula'!K14))*(INDEX(properties!A$1:CB$87,'Fórmula'!F14,13))+(('Fórmula'!I14)/('Fórmula'!C14+'Fórmula'!E14+'Fórmula'!G14+'Fórmula'!I14+'Fórmula'!K14))*(INDEX(properties!A$1:CB$87,'Fórmula'!H14,13))+(('Fórmula'!K14)/('Fórmula'!C14+'Fórmula'!E14+'Fórmula'!G14+'Fórmula'!I14+'Fórmula'!K14))*(INDEX(properties!A$1:CB$87,'Fórmula'!J14,13))</f>
        <v>1.571428571</v>
      </c>
      <c r="AY14" s="109">
        <f t="array" ref="AY14">'Fórmula'!C14*(INDEX(properties!A$1:CB$87,'Fórmula'!B14,13))+'Fórmula'!E14*(INDEX(properties!A$1:CB$87,'Fórmula'!D14,13))+'Fórmula'!G14*(INDEX(properties!A$1:CB$87,'Fórmula'!F14,13))+'Fórmula'!I14*(INDEX(properties!A$1:CB$87,'Fórmula'!H14,13))+'Fórmula'!K14*(INDEX(properties!A$1:CB$87,'Fórmula'!J14,13))</f>
        <v>11</v>
      </c>
      <c r="AZ14" s="109">
        <f t="array" ref="AZ14">VARP(IF(INDEX(properties!A$1:CB$87,'Fórmula'!B14,13)&lt;&gt;"",INDEX(properties!A$1:CB$87,'Fórmula'!B14,13)),IF(INDEX(properties!A$1:CB$87,'Fórmula'!D14,13)&lt;&gt;"",INDEX(properties!A$1:CB$87,'Fórmula'!D14,13)),IF(INDEX(properties!A$1:CB$87,'Fórmula'!F14,13)&lt;&gt;"",INDEX(properties!A$1:CB$87,'Fórmula'!F14,13)),IF(INDEX(properties!A$1:CB$87,'Fórmula'!H14,13)&lt;&gt;"",INDEX(properties!A$1:CB$87,'Fórmula'!H14,13)),IF(INDEX(properties!A$1:CB$87,'Fórmula'!J14,13)&lt;&gt;"",INDEX(properties!A$1:CB$87,'Fórmula'!J14,13)))</f>
        <v>15.36</v>
      </c>
      <c r="BA14" s="109">
        <f t="array" ref="BA14">MAX(INDEX(properties!A$1:CB$87,'Fórmula'!B14,13),INDEX(properties!A$1:CB$87,'Fórmula'!D14,13),INDEX(properties!A$1:CB$87,'Fórmula'!F14,13),INDEX(properties!A$1:CB$87,'Fórmula'!H14,13),INDEX(properties!A$1:CB$87,'Fórmula'!J14,13))</f>
        <v>10</v>
      </c>
      <c r="BB14" s="109">
        <f t="array" ref="BB14">MIN(IF('Fórmula'!B14=87,10^6,INDEX(properties!A$1:CB$87,'Fórmula'!B14,13)),IF(('Fórmula'!D14)=87,10^6,INDEX(properties!A$1:CB$87,'Fórmula'!D14,13)),IF(('Fórmula'!F14)=87,10^6,INDEX(properties!A$1:CB$87,'Fórmula'!F14,13)),IF(('Fórmula'!H14)=87,10^6,INDEX(properties!A$1:CB$87,'Fórmula'!H14,13)),IF('Fórmula'!J14=87,10^6,INDEX(properties!A$1:CB$87,'Fórmula'!J14,13)))</f>
        <v>0</v>
      </c>
      <c r="BC14" s="109">
        <f t="shared" si="9"/>
        <v>10</v>
      </c>
      <c r="BD14" s="110">
        <f t="array" ref="BD14">(('Fórmula'!C14)/('Fórmula'!C14+'Fórmula'!E14+'Fórmula'!G14+'Fórmula'!I14+'Fórmula'!K14))*(INDEX(properties!A$1:CB$87,'Fórmula'!B14,14))+(('Fórmula'!E14)/('Fórmula'!C14+'Fórmula'!E14+'Fórmula'!G14+'Fórmula'!I14+'Fórmula'!K14))*(INDEX(properties!A$1:CB$87,'Fórmula'!D14,14))+(('Fórmula'!G14)/('Fórmula'!C14+'Fórmula'!E14+'Fórmula'!G14+'Fórmula'!I14+'Fórmula'!K14))*(INDEX(properties!A$1:CB$87,'Fórmula'!F14,14))+(('Fórmula'!I14)/('Fórmula'!C14+'Fórmula'!E14+'Fórmula'!G14+'Fórmula'!I14+'Fórmula'!K14))*(INDEX(properties!A$1:CB$87,'Fórmula'!H14,14))+(('Fórmula'!K14)/('Fórmula'!C14+'Fórmula'!E14+'Fórmula'!G14+'Fórmula'!I14+'Fórmula'!K14))*(INDEX(properties!A$1:CB$87,'Fórmula'!J14,14))</f>
        <v>0</v>
      </c>
      <c r="BE14" s="110">
        <f t="array" ref="BE14">'Fórmula'!C14*(INDEX(properties!A$1:CB$87,'Fórmula'!B14,14))+'Fórmula'!E14*(INDEX(properties!A$1:CB$87,'Fórmula'!D14,14))+'Fórmula'!G14*(INDEX(properties!A$1:CB$87,'Fórmula'!F14,14))+'Fórmula'!I14*(INDEX(properties!A$1:CB$87,'Fórmula'!H14,14))+'Fórmula'!K14*(INDEX(properties!A$1:CB$87,'Fórmula'!J14,14))</f>
        <v>0</v>
      </c>
      <c r="BF14" s="110">
        <f t="array" ref="BF14">VARP(IF(INDEX(properties!A$1:CB$87,'Fórmula'!B14,14)&lt;&gt;"",INDEX(properties!A$1:CB$87,'Fórmula'!B14,14)),IF(INDEX(properties!A$1:CB$87,'Fórmula'!D14,14)&lt;&gt;"",INDEX(properties!A$1:CB$87,'Fórmula'!D14,14)),IF(INDEX(properties!A$1:CB$87,'Fórmula'!F14,14)&lt;&gt;"",INDEX(properties!A$1:CB$87,'Fórmula'!F14,14)),IF(INDEX(properties!A$1:CB$87,'Fórmula'!H14,14)&lt;&gt;"",INDEX(properties!A$1:CB$87,'Fórmula'!H14,14)),IF(INDEX(properties!A$1:CB$87,'Fórmula'!J14,14)&lt;&gt;"",INDEX(properties!A$1:CB$87,'Fórmula'!J14,14)))</f>
        <v>0</v>
      </c>
      <c r="BG14" s="110">
        <f t="array" ref="BG14">MAX(INDEX(properties!A$1:CB$87,'Fórmula'!B14,14),INDEX(properties!A$1:CB$87,'Fórmula'!D14,14),INDEX(properties!A$1:CB$87,'Fórmula'!F14,14),INDEX(properties!A$1:CB$87,'Fórmula'!H14,14),INDEX(properties!A$1:CB$87,'Fórmula'!J14,14))</f>
        <v>0</v>
      </c>
      <c r="BH14" s="110">
        <f t="array" ref="BH14">MIN(IF('Fórmula'!B14=87,10^6,INDEX(properties!A$1:CB$87,'Fórmula'!B14,14)),IF(('Fórmula'!D14)=87,10^6,INDEX(properties!A$1:CB$87,'Fórmula'!D14,14)),IF(('Fórmula'!F14)=87,10^6,INDEX(properties!A$1:CB$87,'Fórmula'!F14,14)),IF(('Fórmula'!H14)=87,10^6,INDEX(properties!A$1:CB$87,'Fórmula'!H14,14)),IF('Fórmula'!J14=87,10^6,INDEX(properties!A$1:CB$87,'Fórmula'!J14,14)))</f>
        <v>0</v>
      </c>
      <c r="BI14" s="110">
        <f t="shared" si="10"/>
        <v>0</v>
      </c>
      <c r="BJ14" s="111">
        <f t="array" ref="BJ14">(('Fórmula'!C14)/('Fórmula'!C14+'Fórmula'!E14+'Fórmula'!G14+'Fórmula'!I14+'Fórmula'!K14))*(INDEX(properties!A$1:CB$87,'Fórmula'!B14,19))+(('Fórmula'!E14)/('Fórmula'!C14+'Fórmula'!E14+'Fórmula'!G14+'Fórmula'!I14+'Fórmula'!K14))*(INDEX(properties!A$1:CB$87,'Fórmula'!D14,19))+(('Fórmula'!G14)/('Fórmula'!C14+'Fórmula'!E14+'Fórmula'!G14+'Fórmula'!I14+'Fórmula'!K14))*(INDEX(properties!A$1:CB$87,'Fórmula'!F14,19))+(('Fórmula'!I14)/('Fórmula'!C14+'Fórmula'!E14+'Fórmula'!G14+'Fórmula'!I14+'Fórmula'!K14))*(INDEX(properties!A$1:CB$87,'Fórmula'!H14,19))+(('Fórmula'!K14)/('Fórmula'!C14+'Fórmula'!E14+'Fórmula'!G14+'Fórmula'!I14+'Fórmula'!K14))*(INDEX(properties!A$1:CB$87,'Fórmula'!J14,19))</f>
        <v>6</v>
      </c>
      <c r="BK14" s="111">
        <f t="array" ref="BK14">'Fórmula'!C14*(INDEX(properties!A$1:CB$87,'Fórmula'!B14,19))+'Fórmula'!E14*(INDEX(properties!A$1:CB$87,'Fórmula'!D14,19))+'Fórmula'!G14*(INDEX(properties!A$1:CB$87,'Fórmula'!F14,19))+'Fórmula'!I14*(INDEX(properties!A$1:CB$87,'Fórmula'!H14,19))+'Fórmula'!K14*(INDEX(properties!A$1:CB$87,'Fórmula'!J14,19))</f>
        <v>42</v>
      </c>
      <c r="BL14" s="111">
        <f t="array" ref="BL14">VARP(IF(INDEX(properties!A$1:CB$87,'Fórmula'!B14,19)&lt;&gt;"",INDEX(properties!A$1:CB$87,'Fórmula'!B14,19)),IF(INDEX(properties!A$1:CB$87,'Fórmula'!D14,19)&lt;&gt;"",INDEX(properties!A$1:CB$87,'Fórmula'!D14,19)),IF(INDEX(properties!A$1:CB$87,'Fórmula'!F14,19)&lt;&gt;"",INDEX(properties!A$1:CB$87,'Fórmula'!F14,19)),IF(INDEX(properties!A$1:CB$87,'Fórmula'!H14,19)&lt;&gt;"",INDEX(properties!A$1:CB$87,'Fórmula'!H14,19)),IF(INDEX(properties!A$1:CB$87,'Fórmula'!J14,19)&lt;&gt;"",INDEX(properties!A$1:CB$87,'Fórmula'!J14,19)))</f>
        <v>20.56</v>
      </c>
      <c r="BM14" s="111">
        <f t="array" ref="BM14">MAX(INDEX(properties!A$1:CB$87,'Fórmula'!B14,19),INDEX(properties!A$1:CB$87,'Fórmula'!D14,19),INDEX(properties!A$1:CB$87,'Fórmula'!F14,19),INDEX(properties!A$1:CB$87,'Fórmula'!H14,19),INDEX(properties!A$1:CB$87,'Fórmula'!J14,19))</f>
        <v>13</v>
      </c>
      <c r="BN14" s="111">
        <f t="array" ref="BN14">MIN(IF(INDEX(properties!A$1:CB$87,'Fórmula'!B14,19)=0,10^6,INDEX(properties!A$1:CB$87,'Fórmula'!B14,19)),IF(INDEX(properties!A$1:CB$87,'Fórmula'!D14,19)=0,10^6,INDEX(properties!A$1:CB$87,'Fórmula'!D14,19)),IF(INDEX(properties!A$1:CB$87,'Fórmula'!F14,19)=0,10^6,INDEX(properties!A$1:CB$87,'Fórmula'!F14,19)),IF(INDEX(properties!A$1:CB$87,'Fórmula'!H14,19)=0,10^6,INDEX(properties!A$1:CB$87,'Fórmula'!H14,19)),IF(INDEX(properties!A$1:CB$87,'Fórmula'!J14,19)=0,10^6,INDEX(properties!A$1:CB$87,'Fórmula'!J14,19)))</f>
        <v>2</v>
      </c>
      <c r="BO14" s="111">
        <f t="shared" si="11"/>
        <v>11</v>
      </c>
      <c r="BP14" s="112">
        <f t="array" ref="BP14">(('Fórmula'!C14)/('Fórmula'!C14+'Fórmula'!E14+'Fórmula'!G14+'Fórmula'!I14+'Fórmula'!K14))*(INDEX(properties!A$1:CB$87,'Fórmula'!B14,20))+(('Fórmula'!E14)/('Fórmula'!C14+'Fórmula'!E14+'Fórmula'!G14+'Fórmula'!I14+'Fórmula'!K14))*(INDEX(properties!A$1:CB$87,'Fórmula'!D14,20))+(('Fórmula'!G14)/('Fórmula'!C14+'Fórmula'!E14+'Fórmula'!G14+'Fórmula'!I14+'Fórmula'!K14))*(INDEX(properties!A$1:CB$87,'Fórmula'!F14,20))+(('Fórmula'!I14)/('Fórmula'!C14+'Fórmula'!E14+'Fórmula'!G14+'Fórmula'!I14+'Fórmula'!K14))*(INDEX(properties!A$1:CB$87,'Fórmula'!H14,20))+(('Fórmula'!K14)/('Fórmula'!C14+'Fórmula'!E14+'Fórmula'!G14+'Fórmula'!I14+'Fórmula'!K14))*(INDEX(properties!A$1:CB$87,'Fórmula'!J14,20))</f>
        <v>4.428571429</v>
      </c>
      <c r="BQ14" s="112">
        <f t="array" ref="BQ14">'Fórmula'!C14*(INDEX(properties!A$1:CB$87,'Fórmula'!B14,20))+'Fórmula'!E14*(INDEX(properties!A$1:CB$87,'Fórmula'!D14,20))+'Fórmula'!G14*(INDEX(properties!A$1:CB$87,'Fórmula'!F14,20))+'Fórmula'!I14*(INDEX(properties!A$1:CB$87,'Fórmula'!H14,20))+'Fórmula'!K14*(INDEX(properties!A$1:CB$87,'Fórmula'!J14,20))</f>
        <v>31</v>
      </c>
      <c r="BR14" s="112">
        <f t="array" ref="BR14">VARP(IF(INDEX(properties!A$1:CB$87,'Fórmula'!B14,20)&lt;&gt;"",INDEX(properties!A$1:CB$87,'Fórmula'!B14,20)),IF(INDEX(properties!A$1:CB$87,'Fórmula'!D14,20)&lt;&gt;"",INDEX(properties!A$1:CB$87,'Fórmula'!D14,20)),IF(INDEX(properties!A$1:CB$87,'Fórmula'!F14,20)&lt;&gt;"",INDEX(properties!A$1:CB$87,'Fórmula'!F14,20)),IF(INDEX(properties!A$1:CB$87,'Fórmula'!H14,20)&lt;&gt;"",INDEX(properties!A$1:CB$87,'Fórmula'!H14,20)),IF(INDEX(properties!A$1:CB$87,'Fórmula'!J14,20)&lt;&gt;"",INDEX(properties!A$1:CB$87,'Fórmula'!J14,20)))</f>
        <v>3.84</v>
      </c>
      <c r="BS14" s="112">
        <f t="array" ref="BS14">MAX(INDEX(properties!A$1:CB$87,'Fórmula'!B14,20),INDEX(properties!A$1:CB$87,'Fórmula'!D14,20),INDEX(properties!A$1:CB$87,'Fórmula'!F14,20),INDEX(properties!A$1:CB$87,'Fórmula'!H14,20),INDEX(properties!A$1:CB$87,'Fórmula'!J14,20))</f>
        <v>6</v>
      </c>
      <c r="BT14" s="112">
        <f t="array" ref="BT14">MIN(IF(INDEX(properties!A$1:CB$87,'Fórmula'!B14,20)=0,10^6,INDEX(properties!A$1:CB$87,'Fórmula'!B14,20)),IF(INDEX(properties!A$1:CB$87,'Fórmula'!D14,20)=0,10^6,INDEX(properties!A$1:CB$87,'Fórmula'!D14,20)),IF(INDEX(properties!A$1:CB$87,'Fórmula'!F14,20)=0,10^6,INDEX(properties!A$1:CB$87,'Fórmula'!F14,20)),IF(INDEX(properties!A$1:CB$87,'Fórmula'!H14,20)=0,10^6,INDEX(properties!A$1:CB$87,'Fórmula'!H14,20)),IF(INDEX(properties!A$1:CB$87,'Fórmula'!J14,20)=0,10^6,INDEX(properties!A$1:CB$87,'Fórmula'!J14,20)))</f>
        <v>2</v>
      </c>
      <c r="BU14" s="112">
        <f t="shared" si="12"/>
        <v>4</v>
      </c>
      <c r="BV14" s="113">
        <f t="array" ref="BV14">(('Fórmula'!C14)/('Fórmula'!C14+'Fórmula'!E14+'Fórmula'!G14+'Fórmula'!I14+'Fórmula'!K14))*(INDEX(properties!A$1:CB$87,'Fórmula'!B14,21))+(('Fórmula'!E14)/('Fórmula'!C14+'Fórmula'!E14+'Fórmula'!G14+'Fórmula'!I14+'Fórmula'!K14))*(INDEX(properties!A$1:CB$87,'Fórmula'!D14,21))+(('Fórmula'!G14)/('Fórmula'!C14+'Fórmula'!E14+'Fórmula'!G14+'Fórmula'!I14+'Fórmula'!K14))*(INDEX(properties!A$1:CB$87,'Fórmula'!F14,21))+(('Fórmula'!I14)/('Fórmula'!C14+'Fórmula'!E14+'Fórmula'!G14+'Fórmula'!I14+'Fórmula'!K14))*(INDEX(properties!A$1:CB$87,'Fórmula'!H14,21))+(('Fórmula'!K14)/('Fórmula'!C14+'Fórmula'!E14+'Fórmula'!G14+'Fórmula'!I14+'Fórmula'!K14))*(INDEX(properties!A$1:CB$87,'Fórmula'!J14,21))</f>
        <v>4.285714286</v>
      </c>
      <c r="BW14" s="113">
        <f t="array" ref="BW14">'Fórmula'!C14*(INDEX(properties!A$1:CB$87,'Fórmula'!B14,21))+'Fórmula'!E14*(INDEX(properties!A$1:CB$87,'Fórmula'!D14,21))+'Fórmula'!G14*(INDEX(properties!A$1:CB$87,'Fórmula'!F14,21))+'Fórmula'!I14*(INDEX(properties!A$1:CB$87,'Fórmula'!H14,21))+'Fórmula'!K14*(INDEX(properties!A$1:CB$87,'Fórmula'!J14,21))</f>
        <v>30</v>
      </c>
      <c r="BX14" s="113">
        <f t="array" ref="BX14">VARP(IF(INDEX(properties!A$1:CB$87,'Fórmula'!B14,21)&lt;&gt;"",INDEX(properties!A$1:CB$87,'Fórmula'!B14,21)),IF(INDEX(properties!A$1:CB$87,'Fórmula'!D14,21)&lt;&gt;"",INDEX(properties!A$1:CB$87,'Fórmula'!D14,21)),IF(INDEX(properties!A$1:CB$87,'Fórmula'!F14,21)&lt;&gt;"",INDEX(properties!A$1:CB$87,'Fórmula'!F14,21)),IF(INDEX(properties!A$1:CB$87,'Fórmula'!H14,21)&lt;&gt;"",INDEX(properties!A$1:CB$87,'Fórmula'!H14,21)),IF(INDEX(properties!A$1:CB$87,'Fórmula'!J14,21)&lt;&gt;"",INDEX(properties!A$1:CB$87,'Fórmula'!J14,21)))</f>
        <v>4.24</v>
      </c>
      <c r="BY14" s="113">
        <f t="array" ref="BY14">MAX(INDEX(properties!A$1:CB$87,'Fórmula'!B14,21),INDEX(properties!A$1:CB$87,'Fórmula'!D14,21),INDEX(properties!A$1:CB$87,'Fórmula'!F14,21),INDEX(properties!A$1:CB$87,'Fórmula'!H14,21),INDEX(properties!A$1:CB$87,'Fórmula'!J14,21))</f>
        <v>6</v>
      </c>
      <c r="BZ14" s="113">
        <f t="array" ref="BZ14">MIN(IF(INDEX(properties!A$1:CB$87,'Fórmula'!B14,21)=0,10^6,INDEX(properties!A$1:CB$87,'Fórmula'!B14,21)),IF(INDEX(properties!A$1:CB$87,'Fórmula'!D14,21)=0,10^6,INDEX(properties!A$1:CB$87,'Fórmula'!D14,21)),IF(INDEX(properties!A$1:CB$87,'Fórmula'!F14,21)=0,10^6,INDEX(properties!A$1:CB$87,'Fórmula'!F14,21)),IF(INDEX(properties!A$1:CB$87,'Fórmula'!H14,21)=0,10^6,INDEX(properties!A$1:CB$87,'Fórmula'!H14,21)),IF(INDEX(properties!A$1:CB$87,'Fórmula'!J14,21)=0,10^6,INDEX(properties!A$1:CB$87,'Fórmula'!J14,21)))</f>
        <v>1</v>
      </c>
      <c r="CA14" s="113">
        <f t="shared" si="13"/>
        <v>5</v>
      </c>
      <c r="CB14" s="114">
        <f t="array" ref="CB14">(('Fórmula'!C14)/('Fórmula'!C14+'Fórmula'!E14+'Fórmula'!G14+'Fórmula'!I14+'Fórmula'!K14))*(INDEX(properties!A$1:CB$87,'Fórmula'!B14,23))+(('Fórmula'!E14)/('Fórmula'!C14+'Fórmula'!E14+'Fórmula'!G14+'Fórmula'!I14+'Fórmula'!K14))*(INDEX(properties!A$1:CB$87,'Fórmula'!D14,23))+(('Fórmula'!G14)/('Fórmula'!C14+'Fórmula'!E14+'Fórmula'!G14+'Fórmula'!I14+'Fórmula'!K14))*(INDEX(properties!A$1:CB$87,'Fórmula'!F14,23))+(('Fórmula'!I14)/('Fórmula'!C14+'Fórmula'!E14+'Fórmula'!G14+'Fórmula'!I14+'Fórmula'!K14))*(INDEX(properties!A$1:CB$87,'Fórmula'!H14,23))+(('Fórmula'!K14)/('Fórmula'!C14+'Fórmula'!E14+'Fórmula'!G14+'Fórmula'!I14+'Fórmula'!K14))*(INDEX(properties!A$1:CB$87,'Fórmula'!J14,23))</f>
        <v>1.205714286</v>
      </c>
      <c r="CC14" s="114">
        <f t="array" ref="CC14">'Fórmula'!C14*(INDEX(properties!A$1:CB$87,'Fórmula'!B14,23))+'Fórmula'!E14*(INDEX(properties!A$1:CB$87,'Fórmula'!D14,23))+'Fórmula'!G14*(INDEX(properties!A$1:CB$87,'Fórmula'!F14,23))+'Fórmula'!I14*(INDEX(properties!A$1:CB$87,'Fórmula'!H14,23))+'Fórmula'!K14*(INDEX(properties!A$1:CB$87,'Fórmula'!J14,23))</f>
        <v>8.44</v>
      </c>
      <c r="CD14" s="114">
        <f t="array" ref="CD14">VARP(IF(INDEX(properties!A$1:CB$87,'Fórmula'!B14,23)&lt;&gt;"",INDEX(properties!A$1:CB$87,'Fórmula'!B14,23)),IF(INDEX(properties!A$1:CB$87,'Fórmula'!D14,23)&lt;&gt;"",INDEX(properties!A$1:CB$87,'Fórmula'!D14,23)),IF(INDEX(properties!A$1:CB$87,'Fórmula'!F14,23)&lt;&gt;"",INDEX(properties!A$1:CB$87,'Fórmula'!F14,23)),IF(INDEX(properties!A$1:CB$87,'Fórmula'!H14,23)&lt;&gt;"",INDEX(properties!A$1:CB$87,'Fórmula'!H14,23)),IF(INDEX(properties!A$1:CB$87,'Fórmula'!J14,23)&lt;&gt;"",INDEX(properties!A$1:CB$87,'Fórmula'!J14,23)))</f>
        <v>2.117376</v>
      </c>
      <c r="CE14" s="114">
        <f t="array" ref="CE14">MAX(INDEX(properties!A$1:CB$87,'Fórmula'!B14,23),INDEX(properties!A$1:CB$87,'Fórmula'!D14,23),INDEX(properties!A$1:CB$87,'Fórmula'!F14,23),INDEX(properties!A$1:CB$87,'Fórmula'!H14,23),INDEX(properties!A$1:CB$87,'Fórmula'!J14,23))</f>
        <v>3.44</v>
      </c>
      <c r="CF14" s="114">
        <f t="array" ref="CF14">MIN(IF('Fórmula'!B14=87,10^6,INDEX(properties!A$1:CB$87,'Fórmula'!B14,23)),IF(('Fórmula'!D14)=87,10^6,INDEX(properties!A$1:CB$87,'Fórmula'!D14,23)),IF(('Fórmula'!F14)=87,10^6,INDEX(properties!A$1:CB$87,'Fórmula'!F14,23)),IF(('Fórmula'!H14)=87,10^6,INDEX(properties!A$1:CB$87,'Fórmula'!H14,23)),IF('Fórmula'!J14=87,10^6,INDEX(properties!A$1:CB$87,'Fórmula'!J14,23)))</f>
        <v>0</v>
      </c>
      <c r="CG14" s="114">
        <f t="shared" si="14"/>
        <v>3.44</v>
      </c>
      <c r="CH14" s="115">
        <f t="array" ref="CH14">(('Fórmula'!C14)/('Fórmula'!C14+'Fórmula'!E14+'Fórmula'!G14+'Fórmula'!I14+'Fórmula'!K14))*(INDEX(properties!A$1:CB$87,'Fórmula'!B14,26))+(('Fórmula'!E14)/('Fórmula'!C14+'Fórmula'!E14+'Fórmula'!G14+'Fórmula'!I14+'Fórmula'!K14))*(INDEX(properties!A$1:CB$87,'Fórmula'!D14,26))+(('Fórmula'!G14)/('Fórmula'!C14+'Fórmula'!E14+'Fórmula'!G14+'Fórmula'!I14+'Fórmula'!K14))*(INDEX(properties!A$1:CB$87,'Fórmula'!F14,26))+(('Fórmula'!I14)/('Fórmula'!C14+'Fórmula'!E14+'Fórmula'!G14+'Fórmula'!I14+'Fórmula'!K14))*(INDEX(properties!A$1:CB$87,'Fórmula'!H14,26))+(('Fórmula'!K14)/('Fórmula'!C14+'Fórmula'!E14+'Fórmula'!G14+'Fórmula'!I14+'Fórmula'!K14))*(INDEX(properties!A$1:CB$87,'Fórmula'!J14,26))</f>
        <v>10.24907143</v>
      </c>
      <c r="CI14" s="115">
        <f t="array" ref="CI14">'Fórmula'!C14*(INDEX(properties!A$1:CB$87,'Fórmula'!B14,26))+'Fórmula'!E14*(INDEX(properties!A$1:CB$87,'Fórmula'!D14,26))+'Fórmula'!G14*(INDEX(properties!A$1:CB$87,'Fórmula'!F14,26))+'Fórmula'!I14*(INDEX(properties!A$1:CB$87,'Fórmula'!H14,26))+'Fórmula'!K14*(INDEX(properties!A$1:CB$87,'Fórmula'!J14,26))</f>
        <v>71.7435</v>
      </c>
      <c r="CJ14" s="115">
        <f t="array" ref="CJ14">VARP(IF(INDEX(properties!A$1:CB$87,'Fórmula'!B14,26)&lt;&gt;"",INDEX(properties!A$1:CB$87,'Fórmula'!B14,26)),IF(INDEX(properties!A$1:CB$87,'Fórmula'!D14,26)&lt;&gt;"",INDEX(properties!A$1:CB$87,'Fórmula'!D14,26)),IF(INDEX(properties!A$1:CB$87,'Fórmula'!F14,26)&lt;&gt;"",INDEX(properties!A$1:CB$87,'Fórmula'!F14,26)),IF(INDEX(properties!A$1:CB$87,'Fórmula'!H14,26)&lt;&gt;"",INDEX(properties!A$1:CB$87,'Fórmula'!H14,26)),IF(INDEX(properties!A$1:CB$87,'Fórmula'!J14,26)&lt;&gt;"",INDEX(properties!A$1:CB$87,'Fórmula'!J14,26)))</f>
        <v>18.82988248</v>
      </c>
      <c r="CK14" s="116">
        <f t="array" ref="CK14">MAX(INDEX(properties!A$1:CB$87,'Fórmula'!B14,26),INDEX(properties!A$1:CB$87,'Fórmula'!D14,26),INDEX(properties!A$1:CB$87,'Fórmula'!F14,26),INDEX(properties!A$1:CB$87,'Fórmula'!H14,26),INDEX(properties!A$1:CB$87,'Fórmula'!J14,26))</f>
        <v>13.6181</v>
      </c>
      <c r="CL14" s="116">
        <f t="array" ref="CL14">MIN(IF(INDEX(properties!A$1:CB$87,'Fórmula'!B14,26)=0,10^6,INDEX(properties!A$1:CB$87,'Fórmula'!B14,26)),IF(INDEX(properties!A$1:CB$87,'Fórmula'!D14,26)=0,10^6,INDEX(properties!A$1:CB$87,'Fórmula'!D14,26)),IF(INDEX(properties!A$1:CB$87,'Fórmula'!F14,26)=0,10^6,INDEX(properties!A$1:CB$87,'Fórmula'!F14,26)),IF(INDEX(properties!A$1:CB$87,'Fórmula'!H14,26)=0,10^6,INDEX(properties!A$1:CB$87,'Fórmula'!H14,26)),IF(INDEX(properties!A$1:CB$87,'Fórmula'!J14,26)=0,10^6,INDEX(properties!A$1:CB$87,'Fórmula'!J14,26)))</f>
        <v>5.5769</v>
      </c>
      <c r="CM14" s="115">
        <f t="shared" si="15"/>
        <v>8.0412</v>
      </c>
      <c r="CN14" s="117">
        <f t="array" ref="CN14">(('Fórmula'!C14)/('Fórmula'!C14+'Fórmula'!E14+'Fórmula'!G14+'Fórmula'!I14+'Fórmula'!K14))*(INDEX(properties!A$1:CB$87,'Fórmula'!B14,30))+(('Fórmula'!E14)/('Fórmula'!C14+'Fórmula'!E14+'Fórmula'!G14+'Fórmula'!I14+'Fórmula'!K14))*(INDEX(properties!A$1:CB$87,'Fórmula'!D14,30))+(('Fórmula'!G14)/('Fórmula'!C14+'Fórmula'!E14+'Fórmula'!G14+'Fórmula'!I14+'Fórmula'!K14))*(INDEX(properties!A$1:CB$87,'Fórmula'!F14,30))+(('Fórmula'!I14)/('Fórmula'!C14+'Fórmula'!E14+'Fórmula'!G14+'Fórmula'!I14+'Fórmula'!K14))*(INDEX(properties!A$1:CB$87,'Fórmula'!H14,30))+(('Fórmula'!K14)/('Fórmula'!C14+'Fórmula'!E14+'Fórmula'!G14+'Fórmula'!I14+'Fórmula'!K14))*(INDEX(properties!A$1:CB$87,'Fórmula'!J14,30))</f>
        <v>2.517142857</v>
      </c>
      <c r="CO14" s="117">
        <f t="array" ref="CO14">'Fórmula'!C14*(INDEX(properties!A$1:CB$87,'Fórmula'!B14,30))+'Fórmula'!E14*(INDEX(properties!A$1:CB$87,'Fórmula'!D14,30))+'Fórmula'!G14*(INDEX(properties!A$1:CB$87,'Fórmula'!F14,30))+'Fórmula'!I14*(INDEX(properties!A$1:CB$87,'Fórmula'!H14,30))+'Fórmula'!K14*(INDEX(properties!A$1:CB$87,'Fórmula'!J14,30))</f>
        <v>17.62</v>
      </c>
      <c r="CP14" s="117">
        <f t="array" ref="CP14">VARP(IF(INDEX(properties!A$1:CB$87,'Fórmula'!B14,30)&lt;&gt;"",INDEX(properties!A$1:CB$87,'Fórmula'!B14,30)),IF(INDEX(properties!A$1:CB$87,'Fórmula'!D14,30)&lt;&gt;"",INDEX(properties!A$1:CB$87,'Fórmula'!D14,30)),IF(INDEX(properties!A$1:CB$87,'Fórmula'!F14,30)&lt;&gt;"",INDEX(properties!A$1:CB$87,'Fórmula'!F14,30)),IF(INDEX(properties!A$1:CB$87,'Fórmula'!H14,30)&lt;&gt;"",INDEX(properties!A$1:CB$87,'Fórmula'!H14,30)),IF(INDEX(properties!A$1:CB$87,'Fórmula'!J14,30)&lt;&gt;"",INDEX(properties!A$1:CB$87,'Fórmula'!J14,30)))</f>
        <v>1.31284</v>
      </c>
      <c r="CQ14" s="117">
        <f t="array" ref="CQ14">MAX(INDEX(properties!A$1:CB$87,'Fórmula'!B14,30),INDEX(properties!A$1:CB$87,'Fórmula'!D14,30),INDEX(properties!A$1:CB$87,'Fórmula'!F14,30),INDEX(properties!A$1:CB$87,'Fórmula'!H14,30),INDEX(properties!A$1:CB$87,'Fórmula'!J14,30))</f>
        <v>3.44</v>
      </c>
      <c r="CR14" s="117">
        <f t="array" ref="CR14">MIN(IF(INDEX(properties!A$1:CB$87,'Fórmula'!B14,30)=0,10^6,INDEX(properties!A$1:CB$87,'Fórmula'!B14,30)),IF(INDEX(properties!A$1:CB$87,'Fórmula'!D14,30)=0,10^6,INDEX(properties!A$1:CB$87,'Fórmula'!D14,30)),IF(INDEX(properties!A$1:CB$87,'Fórmula'!F14,30)=0,10^6,INDEX(properties!A$1:CB$87,'Fórmula'!F14,30)),IF(INDEX(properties!A$1:CB$87,'Fórmula'!H14,30)=0,10^6,INDEX(properties!A$1:CB$87,'Fórmula'!H14,30)),IF(INDEX(properties!A$1:CB$87,'Fórmula'!J14,30)=0,10^6,INDEX(properties!A$1:CB$87,'Fórmula'!J14,30)))</f>
        <v>0.95</v>
      </c>
      <c r="CS14" s="117">
        <f t="shared" si="16"/>
        <v>2.49</v>
      </c>
      <c r="CT14" s="118">
        <f t="array" ref="CT14">(('Fórmula'!C14)/('Fórmula'!C14+'Fórmula'!E14+'Fórmula'!G14+'Fórmula'!I14+'Fórmula'!K14))*(INDEX(properties!A$1:CB$87,'Fórmula'!B14,31))+(('Fórmula'!E14)/('Fórmula'!C14+'Fórmula'!E14+'Fórmula'!G14+'Fórmula'!I14+'Fórmula'!K14))*(INDEX(properties!A$1:CB$87,'Fórmula'!D14,31))+(('Fórmula'!G14)/('Fórmula'!C14+'Fórmula'!E14+'Fórmula'!G14+'Fórmula'!I14+'Fórmula'!K14))*(INDEX(properties!A$1:CB$87,'Fórmula'!F14,31))+(('Fórmula'!I14)/('Fórmula'!C14+'Fórmula'!E14+'Fórmula'!G14+'Fórmula'!I14+'Fórmula'!K14))*(INDEX(properties!A$1:CB$87,'Fórmula'!H14,31))+(('Fórmula'!K14)/('Fórmula'!C14+'Fórmula'!E14+'Fórmula'!G14+'Fórmula'!I14+'Fórmula'!K14))*(INDEX(properties!A$1:CB$87,'Fórmula'!J14,31))</f>
        <v>2.494285714</v>
      </c>
      <c r="CU14" s="118">
        <f t="array" ref="CU14">'Fórmula'!C14*(INDEX(properties!A$1:CB$87,'Fórmula'!B14,31))+'Fórmula'!E14*(INDEX(properties!A$1:CB$87,'Fórmula'!D14,31))+'Fórmula'!G14*(INDEX(properties!A$1:CB$87,'Fórmula'!F14,31))+'Fórmula'!I14*(INDEX(properties!A$1:CB$87,'Fórmula'!H14,31))+'Fórmula'!K14*(INDEX(properties!A$1:CB$87,'Fórmula'!J14,31))</f>
        <v>17.46</v>
      </c>
      <c r="CV14" s="118">
        <f t="array" ref="CV14">VARP(IF(INDEX(properties!A$1:CB$87,'Fórmula'!B14,31)&lt;&gt;"",INDEX(properties!A$1:CB$87,'Fórmula'!B14,31)),IF(INDEX(properties!A$1:CB$87,'Fórmula'!D14,31)&lt;&gt;"",INDEX(properties!A$1:CB$87,'Fórmula'!D14,31)),IF(INDEX(properties!A$1:CB$87,'Fórmula'!F14,31)&lt;&gt;"",INDEX(properties!A$1:CB$87,'Fórmula'!F14,31)),IF(INDEX(properties!A$1:CB$87,'Fórmula'!H14,31)&lt;&gt;"",INDEX(properties!A$1:CB$87,'Fórmula'!H14,31)),IF(INDEX(properties!A$1:CB$87,'Fórmula'!J14,31)&lt;&gt;"",INDEX(properties!A$1:CB$87,'Fórmula'!J14,31)))</f>
        <v>1.15236</v>
      </c>
      <c r="CW14" s="118">
        <f t="array" ref="CW14">MAX(INDEX(properties!A$1:CB$87,'Fórmula'!B14,31),INDEX(properties!A$1:CB$87,'Fórmula'!D14,31),INDEX(properties!A$1:CB$87,'Fórmula'!F14,31),INDEX(properties!A$1:CB$87,'Fórmula'!H14,31),INDEX(properties!A$1:CB$87,'Fórmula'!J14,31))</f>
        <v>3.32</v>
      </c>
      <c r="CX14" s="118">
        <f t="array" ref="CX14">MIN(IF(INDEX(properties!A$1:CB$87,'Fórmula'!B14,31)=0,10^6,INDEX(properties!A$1:CB$87,'Fórmula'!B14,31)),IF(INDEX(properties!A$1:CB$87,'Fórmula'!D14,31)=0,10^6,INDEX(properties!A$1:CB$87,'Fórmula'!D14,31)),IF(INDEX(properties!A$1:CB$87,'Fórmula'!F14,31)=0,10^6,INDEX(properties!A$1:CB$87,'Fórmula'!F14,31)),IF(INDEX(properties!A$1:CB$87,'Fórmula'!H14,31)=0,10^6,INDEX(properties!A$1:CB$87,'Fórmula'!H14,31)),IF(INDEX(properties!A$1:CB$87,'Fórmula'!J14,31)=0,10^6,INDEX(properties!A$1:CB$87,'Fórmula'!J14,31)))</f>
        <v>1.13</v>
      </c>
      <c r="CY14" s="118">
        <f t="shared" si="17"/>
        <v>2.19</v>
      </c>
      <c r="CZ14" s="119">
        <f t="array" ref="CZ14">(('Fórmula'!C14)/('Fórmula'!C14+'Fórmula'!E14+'Fórmula'!G14+'Fórmula'!I14+'Fórmula'!K14))*(INDEX(properties!A$1:CB$87,'Fórmula'!B14,32))+(('Fórmula'!E14)/('Fórmula'!C14+'Fórmula'!E14+'Fórmula'!G14+'Fórmula'!I14+'Fórmula'!K14))*(INDEX(properties!A$1:CB$87,'Fórmula'!D14,32))+(('Fórmula'!G14)/('Fórmula'!C14+'Fórmula'!E14+'Fórmula'!G14+'Fórmula'!I14+'Fórmula'!K14))*(INDEX(properties!A$1:CB$87,'Fórmula'!F14,32))+(('Fórmula'!I14)/('Fórmula'!C14+'Fórmula'!E14+'Fórmula'!G14+'Fórmula'!I14+'Fórmula'!K14))*(INDEX(properties!A$1:CB$87,'Fórmula'!H14,32))+(('Fórmula'!K14)/('Fórmula'!C14+'Fórmula'!E14+'Fórmula'!G14+'Fórmula'!I14+'Fórmula'!K14))*(INDEX(properties!A$1:CB$87,'Fórmula'!J14,32))</f>
        <v>5.494285714</v>
      </c>
      <c r="DA14" s="119">
        <f t="array" ref="DA14">'Fórmula'!C14*(INDEX(properties!A$1:CB$87,'Fórmula'!B14,32))+'Fórmula'!E14*(INDEX(properties!A$1:CB$87,'Fórmula'!D14,32))+'Fórmula'!G14*(INDEX(properties!A$1:CB$87,'Fórmula'!F14,32))+'Fórmula'!I14*(INDEX(properties!A$1:CB$87,'Fórmula'!H14,32))+'Fórmula'!K14*(INDEX(properties!A$1:CB$87,'Fórmula'!J14,32))</f>
        <v>38.46</v>
      </c>
      <c r="DB14" s="119">
        <f t="array" ref="DB14">VARP(IF(INDEX(properties!A$1:CB$87,'Fórmula'!B14,32)&lt;&gt;"",INDEX(properties!A$1:CB$87,'Fórmula'!B14,32)),IF(INDEX(properties!A$1:CB$87,'Fórmula'!D14,32)&lt;&gt;"",INDEX(properties!A$1:CB$87,'Fórmula'!D14,32)),IF(INDEX(properties!A$1:CB$87,'Fórmula'!F14,32)&lt;&gt;"",INDEX(properties!A$1:CB$87,'Fórmula'!F14,32)),IF(INDEX(properties!A$1:CB$87,'Fórmula'!H14,32)&lt;&gt;"",INDEX(properties!A$1:CB$87,'Fórmula'!H14,32)),IF(INDEX(properties!A$1:CB$87,'Fórmula'!J14,32)&lt;&gt;"",INDEX(properties!A$1:CB$87,'Fórmula'!J14,32)))</f>
        <v>6.104096</v>
      </c>
      <c r="DC14" s="119">
        <f t="array" ref="DC14">MAX(INDEX(properties!A$1:CB$87,'Fórmula'!B14,32),INDEX(properties!A$1:CB$87,'Fórmula'!D14,32),INDEX(properties!A$1:CB$87,'Fórmula'!F14,32),INDEX(properties!A$1:CB$87,'Fórmula'!H14,32),INDEX(properties!A$1:CB$87,'Fórmula'!J14,32))</f>
        <v>7.54</v>
      </c>
      <c r="DD14" s="119">
        <f t="array" ref="DD14">MIN(IF(INDEX(properties!A$1:CB$87,'Fórmula'!B14,32)=0,10^6,INDEX(properties!A$1:CB$87,'Fórmula'!B14,32)),IF(INDEX(properties!A$1:CB$87,'Fórmula'!D14,32)=0,10^6,INDEX(properties!A$1:CB$87,'Fórmula'!D14,32)),IF(INDEX(properties!A$1:CB$87,'Fórmula'!F14,32)=0,10^6,INDEX(properties!A$1:CB$87,'Fórmula'!F14,32)),IF(INDEX(properties!A$1:CB$87,'Fórmula'!H14,32)=0,10^6,INDEX(properties!A$1:CB$87,'Fórmula'!H14,32)),IF(INDEX(properties!A$1:CB$87,'Fórmula'!J14,32)=0,10^6,INDEX(properties!A$1:CB$87,'Fórmula'!J14,32)))</f>
        <v>2</v>
      </c>
      <c r="DE14" s="119">
        <f t="shared" si="18"/>
        <v>5.54</v>
      </c>
      <c r="DF14" s="104">
        <f t="array" ref="DF14">(('Fórmula'!C14)/('Fórmula'!C14+'Fórmula'!E14+'Fórmula'!G14+'Fórmula'!I14+'Fórmula'!K14))*(INDEX(properties!A$1:CB$87,'Fórmula'!B14,34))+(('Fórmula'!E14)/('Fórmula'!C14+'Fórmula'!E14+'Fórmula'!G14+'Fórmula'!I14+'Fórmula'!K14))*(INDEX(properties!A$1:CB$87,'Fórmula'!D14,34))+(('Fórmula'!G14)/('Fórmula'!C14+'Fórmula'!E14+'Fórmula'!G14+'Fórmula'!I14+'Fórmula'!K14))*(INDEX(properties!A$1:CB$87,'Fórmula'!F14,34))+(('Fórmula'!I14)/('Fórmula'!C14+'Fórmula'!E14+'Fórmula'!G14+'Fórmula'!I14+'Fórmula'!K14))*(INDEX(properties!A$1:CB$87,'Fórmula'!H14,34))+(('Fórmula'!K14)/('Fórmula'!C14+'Fórmula'!E14+'Fórmula'!G14+'Fórmula'!I14+'Fórmula'!K14))*(INDEX(properties!A$1:CB$87,'Fórmula'!J14,34))</f>
        <v>2.607</v>
      </c>
      <c r="DG14" s="104">
        <f t="array" ref="DG14">'Fórmula'!C14*(INDEX(properties!A$1:CB$87,'Fórmula'!B14,34))+'Fórmula'!E14*(INDEX(properties!A$1:CB$87,'Fórmula'!D14,34))+'Fórmula'!G14*(INDEX(properties!A$1:CB$87,'Fórmula'!F14,34))+'Fórmula'!I14*(INDEX(properties!A$1:CB$87,'Fórmula'!H14,34))+'Fórmula'!K14*(INDEX(properties!A$1:CB$87,'Fórmula'!J14,34))</f>
        <v>18.249</v>
      </c>
      <c r="DH14" s="104">
        <f t="array" ref="DH14">VARP(IF(INDEX(properties!A$1:CB$87,'Fórmula'!B14,34)&lt;&gt;"",INDEX(properties!A$1:CB$87,'Fórmula'!B14,34)),IF(INDEX(properties!A$1:CB$87,'Fórmula'!D14,34)&lt;&gt;"",INDEX(properties!A$1:CB$87,'Fórmula'!D14,34)),IF(INDEX(properties!A$1:CB$87,'Fórmula'!F14,34)&lt;&gt;"",INDEX(properties!A$1:CB$87,'Fórmula'!F14,34)),IF(INDEX(properties!A$1:CB$87,'Fórmula'!H14,34)&lt;&gt;"",INDEX(properties!A$1:CB$87,'Fórmula'!H14,34)),IF(INDEX(properties!A$1:CB$87,'Fórmula'!J14,34)&lt;&gt;"",INDEX(properties!A$1:CB$87,'Fórmula'!J14,34)))</f>
        <v>1.44455856</v>
      </c>
      <c r="DI14" s="104">
        <f t="array" ref="DI14">MAX(INDEX(properties!A$1:CB$87,'Fórmula'!B14,34),INDEX(properties!A$1:CB$87,'Fórmula'!D14,34),INDEX(properties!A$1:CB$87,'Fórmula'!F14,34),INDEX(properties!A$1:CB$87,'Fórmula'!H14,34),INDEX(properties!A$1:CB$87,'Fórmula'!J14,34))</f>
        <v>3.61</v>
      </c>
      <c r="DJ14" s="104">
        <f t="array" ref="DJ14">MIN(IF(INDEX(properties!A$1:CB$87,'Fórmula'!B14,34)=0,10^6,INDEX(properties!A$1:CB$87,'Fórmula'!B14,34)),IF(INDEX(properties!A$1:CB$87,'Fórmula'!D14,34)=0,10^6,INDEX(properties!A$1:CB$87,'Fórmula'!D14,34)),IF(INDEX(properties!A$1:CB$87,'Fórmula'!F14,34)=0,10^6,INDEX(properties!A$1:CB$87,'Fórmula'!F14,34)),IF(INDEX(properties!A$1:CB$87,'Fórmula'!H14,34)=0,10^6,INDEX(properties!A$1:CB$87,'Fórmula'!H14,34)),IF(INDEX(properties!A$1:CB$87,'Fórmula'!J14,34)=0,10^6,INDEX(properties!A$1:CB$87,'Fórmula'!J14,34)))</f>
        <v>0.963</v>
      </c>
      <c r="DK14" s="104">
        <f t="shared" si="19"/>
        <v>2.647</v>
      </c>
      <c r="DL14" s="105">
        <f t="array" ref="DL14">(('Fórmula'!C14)/('Fórmula'!C14+'Fórmula'!E14+'Fórmula'!G14+'Fórmula'!I14+'Fórmula'!K14))*(INDEX(properties!A$1:CB$87,'Fórmula'!B14,37))+(('Fórmula'!E14)/('Fórmula'!C14+'Fórmula'!E14+'Fórmula'!G14+'Fórmula'!I14+'Fórmula'!K14))*(INDEX(properties!A$1:CB$87,'Fórmula'!D14,37))+(('Fórmula'!G14)/('Fórmula'!C14+'Fórmula'!E14+'Fórmula'!G14+'Fórmula'!I14+'Fórmula'!K14))*(INDEX(properties!A$1:CB$87,'Fórmula'!F14,37))+(('Fórmula'!I14)/('Fórmula'!C14+'Fórmula'!E14+'Fórmula'!G14+'Fórmula'!I14+'Fórmula'!K14))*(INDEX(properties!A$1:CB$87,'Fórmula'!H14,37))+(('Fórmula'!K14)/('Fórmula'!C14+'Fórmula'!E14+'Fórmula'!G14+'Fórmula'!I14+'Fórmula'!K14))*(INDEX(properties!A$1:CB$87,'Fórmula'!J14,37))</f>
        <v>2.485714286</v>
      </c>
      <c r="DM14" s="105">
        <f t="array" ref="DM14">'Fórmula'!C14*(INDEX(properties!A$1:CB$87,'Fórmula'!B14,37))+'Fórmula'!E14*(INDEX(properties!A$1:CB$87,'Fórmula'!D14,37))+'Fórmula'!G14*(INDEX(properties!A$1:CB$87,'Fórmula'!F14,37))+'Fórmula'!I14*(INDEX(properties!A$1:CB$87,'Fórmula'!H14,37))+'Fórmula'!K14*(INDEX(properties!A$1:CB$87,'Fórmula'!J14,37))</f>
        <v>17.4</v>
      </c>
      <c r="DN14" s="105">
        <f t="array" ref="DN14">VARP(IF(INDEX(properties!A$1:CB$87,'Fórmula'!B14,37)&lt;&gt;"",INDEX(properties!A$1:CB$87,'Fórmula'!B14,37)),IF(INDEX(properties!A$1:CB$87,'Fórmula'!D14,37)&lt;&gt;"",INDEX(properties!A$1:CB$87,'Fórmula'!D14,37)),IF(INDEX(properties!A$1:CB$87,'Fórmula'!F14,37)&lt;&gt;"",INDEX(properties!A$1:CB$87,'Fórmula'!F14,37)),IF(INDEX(properties!A$1:CB$87,'Fórmula'!H14,37)&lt;&gt;"",INDEX(properties!A$1:CB$87,'Fórmula'!H14,37)),IF(INDEX(properties!A$1:CB$87,'Fórmula'!J14,37)&lt;&gt;"",INDEX(properties!A$1:CB$87,'Fórmula'!J14,37)))</f>
        <v>1.2724</v>
      </c>
      <c r="DO14" s="105">
        <f t="array" ref="DO14">MAX(INDEX(properties!A$1:CB$87,'Fórmula'!B14,37),INDEX(properties!A$1:CB$87,'Fórmula'!D14,37),INDEX(properties!A$1:CB$87,'Fórmula'!F14,37),INDEX(properties!A$1:CB$87,'Fórmula'!H14,37),INDEX(properties!A$1:CB$87,'Fórmula'!J14,37))</f>
        <v>3.45</v>
      </c>
      <c r="DP14" s="105">
        <f t="array" ref="DP14">MIN(IF(INDEX(properties!A$1:CB$87,'Fórmula'!B14,37)=0,10^6,INDEX(properties!A$1:CB$87,'Fórmula'!B14,37)),IF(INDEX(properties!A$1:CB$87,'Fórmula'!D14,37)=0,10^6,INDEX(properties!A$1:CB$87,'Fórmula'!D14,37)),IF(INDEX(properties!A$1:CB$87,'Fórmula'!F14,37)=0,10^6,INDEX(properties!A$1:CB$87,'Fórmula'!F14,37)),IF(INDEX(properties!A$1:CB$87,'Fórmula'!H14,37)=0,10^6,INDEX(properties!A$1:CB$87,'Fórmula'!H14,37)),IF(INDEX(properties!A$1:CB$87,'Fórmula'!J14,37)=0,10^6,INDEX(properties!A$1:CB$87,'Fórmula'!J14,37)))</f>
        <v>1</v>
      </c>
      <c r="DQ14" s="105">
        <f t="shared" si="20"/>
        <v>2.45</v>
      </c>
      <c r="DR14" s="109">
        <f t="array" ref="DR14">(('Fórmula'!C14)/('Fórmula'!C14+'Fórmula'!E14+'Fórmula'!G14+'Fórmula'!I14+'Fórmula'!K14))*(INDEX(properties!A$1:CB$87,'Fórmula'!B14,39))+(('Fórmula'!E14)/('Fórmula'!C14+'Fórmula'!E14+'Fórmula'!G14+'Fórmula'!I14+'Fórmula'!K14))*(INDEX(properties!A$1:CB$87,'Fórmula'!D14,39))+(('Fórmula'!G14)/('Fórmula'!C14+'Fórmula'!E14+'Fórmula'!G14+'Fórmula'!I14+'Fórmula'!K14))*(INDEX(properties!A$1:CB$87,'Fórmula'!F14,39))+(('Fórmula'!I14)/('Fórmula'!C14+'Fórmula'!E14+'Fórmula'!G14+'Fórmula'!I14+'Fórmula'!K14))*(INDEX(properties!A$1:CB$87,'Fórmula'!H14,39))+(('Fórmula'!K14)/('Fórmula'!C14+'Fórmula'!E14+'Fórmula'!G14+'Fórmula'!I14+'Fórmula'!K14))*(INDEX(properties!A$1:CB$87,'Fórmula'!J14,39))</f>
        <v>1.06</v>
      </c>
      <c r="DS14" s="109">
        <f t="array" ref="DS14">'Fórmula'!C14*(INDEX(properties!A$1:CB$87,'Fórmula'!B14,39))+'Fórmula'!E14*(INDEX(properties!A$1:CB$87,'Fórmula'!D14,39))+'Fórmula'!G14*(INDEX(properties!A$1:CB$87,'Fórmula'!F14,39))+'Fórmula'!I14*(INDEX(properties!A$1:CB$87,'Fórmula'!H14,39))+'Fórmula'!K14*(INDEX(properties!A$1:CB$87,'Fórmula'!J14,39))</f>
        <v>7.42</v>
      </c>
      <c r="DT14" s="109">
        <f t="array" ref="DT14">VARP(IF(INDEX(properties!A$1:CB$87,'Fórmula'!B14,39)&lt;&gt;"",INDEX(properties!A$1:CB$87,'Fórmula'!B14,39)),IF(INDEX(properties!A$1:CB$87,'Fórmula'!D14,39)&lt;&gt;"",INDEX(properties!A$1:CB$87,'Fórmula'!D14,39)),IF(INDEX(properties!A$1:CB$87,'Fórmula'!F14,39)&lt;&gt;"",INDEX(properties!A$1:CB$87,'Fórmula'!F14,39)),IF(INDEX(properties!A$1:CB$87,'Fórmula'!H14,39)&lt;&gt;"",INDEX(properties!A$1:CB$87,'Fórmula'!H14,39)),IF(INDEX(properties!A$1:CB$87,'Fórmula'!J14,39)&lt;&gt;"",INDEX(properties!A$1:CB$87,'Fórmula'!J14,39)))</f>
        <v>0.705304</v>
      </c>
      <c r="DU14" s="120">
        <f t="array" ref="DU14">MAX(INDEX(properties!A$1:CB$87,'Fórmula'!B14,39),INDEX(properties!A$1:CB$87,'Fórmula'!D14,39),INDEX(properties!A$1:CB$87,'Fórmula'!F14,39),INDEX(properties!A$1:CB$87,'Fórmula'!H14,39),INDEX(properties!A$1:CB$87,'Fórmula'!J14,39))</f>
        <v>2.19</v>
      </c>
      <c r="DV14" s="120">
        <f t="array" ref="DV14">MIN(IF(INDEX(properties!A$1:CB$87,'Fórmula'!B14,39)=0,10^6,INDEX(properties!A$1:CB$87,'Fórmula'!B14,39)),IF(INDEX(properties!A$1:CB$87,'Fórmula'!D14,39)=0,10^6,INDEX(properties!A$1:CB$87,'Fórmula'!D14,39)),IF(INDEX(properties!A$1:CB$87,'Fórmula'!F14,39)=0,10^6,INDEX(properties!A$1:CB$87,'Fórmula'!F14,39)),IF(INDEX(properties!A$1:CB$87,'Fórmula'!H14,39)=0,10^6,INDEX(properties!A$1:CB$87,'Fórmula'!H14,39)),IF(INDEX(properties!A$1:CB$87,'Fórmula'!J14,39)=0,10^6,INDEX(properties!A$1:CB$87,'Fórmula'!J14,39)))</f>
        <v>0.48</v>
      </c>
      <c r="DW14" s="109">
        <f t="shared" si="21"/>
        <v>1.71</v>
      </c>
      <c r="DX14" s="110">
        <f t="array" ref="DX14">(('Fórmula'!C14)/('Fórmula'!C14+'Fórmula'!E14+'Fórmula'!G14+'Fórmula'!I14+'Fórmula'!K14))*(INDEX(properties!A$1:CB$87,'Fórmula'!B14,40))+(('Fórmula'!E14)/('Fórmula'!C14+'Fórmula'!E14+'Fórmula'!G14+'Fórmula'!I14+'Fórmula'!K14))*(INDEX(properties!A$1:CB$87,'Fórmula'!D14,40))+(('Fórmula'!G14)/('Fórmula'!C14+'Fórmula'!E14+'Fórmula'!G14+'Fórmula'!I14+'Fórmula'!K14))*(INDEX(properties!A$1:CB$87,'Fórmula'!F14,40))+(('Fórmula'!I14)/('Fórmula'!C14+'Fórmula'!E14+'Fórmula'!G14+'Fórmula'!I14+'Fórmula'!K14))*(INDEX(properties!A$1:CB$87,'Fórmula'!H14,40))+(('Fórmula'!K14)/('Fórmula'!C14+'Fórmula'!E14+'Fórmula'!G14+'Fórmula'!I14+'Fórmula'!K14))*(INDEX(properties!A$1:CB$87,'Fórmula'!J14,40))</f>
        <v>1.112857143</v>
      </c>
      <c r="DY14" s="110">
        <f t="array" ref="DY14">'Fórmula'!C14*(INDEX(properties!A$1:CB$87,'Fórmula'!B14,40))+'Fórmula'!E14*(INDEX(properties!A$1:CB$87,'Fórmula'!D14,40))+'Fórmula'!G14*(INDEX(properties!A$1:CB$87,'Fórmula'!F14,40))+'Fórmula'!I14*(INDEX(properties!A$1:CB$87,'Fórmula'!H14,40))+'Fórmula'!K14*(INDEX(properties!A$1:CB$87,'Fórmula'!J14,40))</f>
        <v>7.79</v>
      </c>
      <c r="DZ14" s="110">
        <f t="array" ref="DZ14">VARP(IF(INDEX(properties!A$1:CB$87,'Fórmula'!B14,40)&lt;&gt;"",INDEX(properties!A$1:CB$87,'Fórmula'!B14,40)),IF(INDEX(properties!A$1:CB$87,'Fórmula'!D14,40)&lt;&gt;"",INDEX(properties!A$1:CB$87,'Fórmula'!D14,40)),IF(INDEX(properties!A$1:CB$87,'Fórmula'!F14,40)&lt;&gt;"",INDEX(properties!A$1:CB$87,'Fórmula'!F14,40)),IF(INDEX(properties!A$1:CB$87,'Fórmula'!H14,40)&lt;&gt;"",INDEX(properties!A$1:CB$87,'Fórmula'!H14,40)),IF(INDEX(properties!A$1:CB$87,'Fórmula'!J14,40)&lt;&gt;"",INDEX(properties!A$1:CB$87,'Fórmula'!J14,40)))</f>
        <v>0.4782</v>
      </c>
      <c r="EA14" s="121">
        <f t="array" ref="EA14">MAX(INDEX(properties!A$1:CB$87,'Fórmula'!B14,40),INDEX(properties!A$1:CB$87,'Fórmula'!D14,40),INDEX(properties!A$1:CB$87,'Fórmula'!F14,40),INDEX(properties!A$1:CB$87,'Fórmula'!H14,40),INDEX(properties!A$1:CB$87,'Fórmula'!J14,40))</f>
        <v>1.92</v>
      </c>
      <c r="EB14" s="121">
        <f t="array" ref="EB14">MIN(IF(INDEX(properties!A$1:CB$87,'Fórmula'!B14,40)=0,10^6,INDEX(properties!A$1:CB$87,'Fórmula'!B14,40)),IF(INDEX(properties!A$1:CB$87,'Fórmula'!D14,40)=0,10^6,INDEX(properties!A$1:CB$87,'Fórmula'!D14,40)),IF(INDEX(properties!A$1:CB$87,'Fórmula'!F14,40)=0,10^6,INDEX(properties!A$1:CB$87,'Fórmula'!F14,40)),IF(INDEX(properties!A$1:CB$87,'Fórmula'!H14,40)=0,10^6,INDEX(properties!A$1:CB$87,'Fórmula'!H14,40)),IF(INDEX(properties!A$1:CB$87,'Fórmula'!J14,40)=0,10^6,INDEX(properties!A$1:CB$87,'Fórmula'!J14,40)))</f>
        <v>0.73</v>
      </c>
      <c r="EC14" s="110">
        <f t="shared" si="22"/>
        <v>1.19</v>
      </c>
      <c r="ED14" s="111">
        <f t="array" ref="ED14">(('Fórmula'!C14)/('Fórmula'!C14+'Fórmula'!E14+'Fórmula'!G14+'Fórmula'!I14+'Fórmula'!K14))*(INDEX(properties!A$1:CB$87,'Fórmula'!B14,41))+(('Fórmula'!E14)/('Fórmula'!C14+'Fórmula'!E14+'Fórmula'!G14+'Fórmula'!I14+'Fórmula'!K14))*(INDEX(properties!A$1:CB$87,'Fórmula'!D14,41))+(('Fórmula'!G14)/('Fórmula'!C14+'Fórmula'!E14+'Fórmula'!G14+'Fórmula'!I14+'Fórmula'!K14))*(INDEX(properties!A$1:CB$87,'Fórmula'!F14,41))+(('Fórmula'!I14)/('Fórmula'!C14+'Fórmula'!E14+'Fórmula'!G14+'Fórmula'!I14+'Fórmula'!K14))*(INDEX(properties!A$1:CB$87,'Fórmula'!H14,41))+(('Fórmula'!K14)/('Fórmula'!C14+'Fórmula'!E14+'Fórmula'!G14+'Fórmula'!I14+'Fórmula'!K14))*(INDEX(properties!A$1:CB$87,'Fórmula'!J14,41))</f>
        <v>1.184285714</v>
      </c>
      <c r="EE14" s="111">
        <f t="array" ref="EE14">'Fórmula'!C14*(INDEX(properties!A$1:CB$87,'Fórmula'!B14,41))+'Fórmula'!E14*(INDEX(properties!A$1:CB$87,'Fórmula'!D14,41))+'Fórmula'!G14*(INDEX(properties!A$1:CB$87,'Fórmula'!F14,41))+'Fórmula'!I14*(INDEX(properties!A$1:CB$87,'Fórmula'!H14,41))+'Fórmula'!K14*(INDEX(properties!A$1:CB$87,'Fórmula'!J14,41))</f>
        <v>8.29</v>
      </c>
      <c r="EF14" s="111">
        <f t="array" ref="EF14">VARP(IF(INDEX(properties!A$1:CB$87,'Fórmula'!B14,41)&lt;&gt;"",INDEX(properties!A$1:CB$87,'Fórmula'!B14,41)),IF(INDEX(properties!A$1:CB$87,'Fórmula'!D14,41)&lt;&gt;"",INDEX(properties!A$1:CB$87,'Fórmula'!D14,41)),IF(INDEX(properties!A$1:CB$87,'Fórmula'!F14,41)&lt;&gt;"",INDEX(properties!A$1:CB$87,'Fórmula'!F14,41)),IF(INDEX(properties!A$1:CB$87,'Fórmula'!H14,41)&lt;&gt;"",INDEX(properties!A$1:CB$87,'Fórmula'!H14,41)),IF(INDEX(properties!A$1:CB$87,'Fórmula'!J14,41)&lt;&gt;"",INDEX(properties!A$1:CB$87,'Fórmula'!J14,41)))</f>
        <v>0.241696</v>
      </c>
      <c r="EG14" s="122">
        <f t="array" ref="EG14">MAX(INDEX(properties!A$1:CB$87,'Fórmula'!B14,41),INDEX(properties!A$1:CB$87,'Fórmula'!D14,41),INDEX(properties!A$1:CB$87,'Fórmula'!F14,41),INDEX(properties!A$1:CB$87,'Fórmula'!H14,41),INDEX(properties!A$1:CB$87,'Fórmula'!J14,41))</f>
        <v>1.32</v>
      </c>
      <c r="EH14" s="122">
        <f t="array" ref="EH14">MIN(IF(INDEX(properties!A$1:CB$87,'Fórmula'!B14,41)=0,10^6,INDEX(properties!A$1:CB$87,'Fórmula'!B14,41)),IF(INDEX(properties!A$1:CB$87,'Fórmula'!D14,41)=0,10^6,INDEX(properties!A$1:CB$87,'Fórmula'!D14,41)),IF(INDEX(properties!A$1:CB$87,'Fórmula'!F14,41)=0,10^6,INDEX(properties!A$1:CB$87,'Fórmula'!F14,41)),IF(INDEX(properties!A$1:CB$87,'Fórmula'!H14,41)=0,10^6,INDEX(properties!A$1:CB$87,'Fórmula'!H14,41)),IF(INDEX(properties!A$1:CB$87,'Fórmula'!J14,41)=0,10^6,INDEX(properties!A$1:CB$87,'Fórmula'!J14,41)))</f>
        <v>0.76</v>
      </c>
      <c r="EI14" s="111">
        <f t="shared" si="23"/>
        <v>0.56</v>
      </c>
      <c r="EJ14" s="112">
        <f t="array" ref="EJ14">(('Fórmula'!C14)/('Fórmula'!C14+'Fórmula'!E14+'Fórmula'!G14+'Fórmula'!I14+'Fórmula'!K14))*(INDEX(properties!A$1:CB$87,'Fórmula'!B14,45))+(('Fórmula'!E14)/('Fórmula'!C14+'Fórmula'!E14+'Fórmula'!G14+'Fórmula'!I14+'Fórmula'!K14))*(INDEX(properties!A$1:CB$87,'Fórmula'!D14,45))+(('Fórmula'!G14)/('Fórmula'!C14+'Fórmula'!E14+'Fórmula'!G14+'Fórmula'!I14+'Fórmula'!K14))*(INDEX(properties!A$1:CB$87,'Fórmula'!F14,45))+(('Fórmula'!I14)/('Fórmula'!C14+'Fórmula'!E14+'Fórmula'!G14+'Fórmula'!I14+'Fórmula'!K14))*(INDEX(properties!A$1:CB$87,'Fórmula'!H14,45))+(('Fórmula'!K14)/('Fórmula'!C14+'Fórmula'!E14+'Fórmula'!G14+'Fórmula'!I14+'Fórmula'!K14))*(INDEX(properties!A$1:CB$87,'Fórmula'!J14,45))</f>
        <v>1.41</v>
      </c>
      <c r="EK14" s="112">
        <f t="array" ref="EK14">'Fórmula'!C14*(INDEX(properties!A$1:CB$87,'Fórmula'!B14,45))+'Fórmula'!E14*(INDEX(properties!A$1:CB$87,'Fórmula'!D14,45))+'Fórmula'!G14*(INDEX(properties!A$1:CB$87,'Fórmula'!F14,45))+'Fórmula'!I14*(INDEX(properties!A$1:CB$87,'Fórmula'!H14,45))+'Fórmula'!K14*(INDEX(properties!A$1:CB$87,'Fórmula'!J14,45))</f>
        <v>9.87</v>
      </c>
      <c r="EL14" s="112">
        <f t="array" ref="EL14">VARP(IF(INDEX(properties!A$1:CB$87,'Fórmula'!B14,45)&lt;&gt;"",INDEX(properties!A$1:CB$87,'Fórmula'!B14,45)),IF(INDEX(properties!A$1:CB$87,'Fórmula'!D14,45)&lt;&gt;"",INDEX(properties!A$1:CB$87,'Fórmula'!D14,45)),IF(INDEX(properties!A$1:CB$87,'Fórmula'!F14,45)&lt;&gt;"",INDEX(properties!A$1:CB$87,'Fórmula'!F14,45)),IF(INDEX(properties!A$1:CB$87,'Fórmula'!H14,45)&lt;&gt;"",INDEX(properties!A$1:CB$87,'Fórmula'!H14,45)),IF(INDEX(properties!A$1:CB$87,'Fórmula'!J14,45)&lt;&gt;"",INDEX(properties!A$1:CB$87,'Fórmula'!J14,45)))</f>
        <v>1.717416</v>
      </c>
      <c r="EM14" s="123">
        <f t="array" ref="EM14">MAX(INDEX(properties!A$1:CB$87,'Fórmula'!B14,45),INDEX(properties!A$1:CB$87,'Fórmula'!D14,45),INDEX(properties!A$1:CB$87,'Fórmula'!F14,45),INDEX(properties!A$1:CB$87,'Fórmula'!H14,45),INDEX(properties!A$1:CB$87,'Fórmula'!J14,45))</f>
        <v>3.21</v>
      </c>
      <c r="EN14" s="123">
        <f t="array" ref="EN14">MIN(IF(INDEX(properties!A$1:CB$87,'Fórmula'!B14,45)=0,10^6,INDEX(properties!A$1:CB$87,'Fórmula'!B14,45)),IF(INDEX(properties!A$1:CB$87,'Fórmula'!D14,45)=0,10^6,INDEX(properties!A$1:CB$87,'Fórmula'!D14,45)),IF(INDEX(properties!A$1:CB$87,'Fórmula'!F14,45)=0,10^6,INDEX(properties!A$1:CB$87,'Fórmula'!F14,45)),IF(INDEX(properties!A$1:CB$87,'Fórmula'!H14,45)=0,10^6,INDEX(properties!A$1:CB$87,'Fórmula'!H14,45)),IF(INDEX(properties!A$1:CB$87,'Fórmula'!J14,45)=0,10^6,INDEX(properties!A$1:CB$87,'Fórmula'!J14,45)))</f>
        <v>0.47</v>
      </c>
      <c r="EO14" s="112">
        <f t="shared" si="24"/>
        <v>2.74</v>
      </c>
      <c r="EP14" s="113">
        <f t="array" ref="EP14">(('Fórmula'!C14)/('Fórmula'!C14+'Fórmula'!E14+'Fórmula'!G14+'Fórmula'!I14+'Fórmula'!K14))*(INDEX(properties!A$1:CB$87,'Fórmula'!B14,46))+(('Fórmula'!E14)/('Fórmula'!C14+'Fórmula'!E14+'Fórmula'!G14+'Fórmula'!I14+'Fórmula'!K14))*(INDEX(properties!A$1:CB$87,'Fórmula'!D14,46))+(('Fórmula'!G14)/('Fórmula'!C14+'Fórmula'!E14+'Fórmula'!G14+'Fórmula'!I14+'Fórmula'!K14))*(INDEX(properties!A$1:CB$87,'Fórmula'!F14,46))+(('Fórmula'!I14)/('Fórmula'!C14+'Fórmula'!E14+'Fórmula'!G14+'Fórmula'!I14+'Fórmula'!K14))*(INDEX(properties!A$1:CB$87,'Fórmula'!H14,46))+(('Fórmula'!K14)/('Fórmula'!C14+'Fórmula'!E14+'Fórmula'!G14+'Fórmula'!I14+'Fórmula'!K14))*(INDEX(properties!A$1:CB$87,'Fórmula'!J14,46))</f>
        <v>1.182857143</v>
      </c>
      <c r="EQ14" s="113">
        <f t="array" ref="EQ14">'Fórmula'!C14*(INDEX(properties!A$1:CB$87,'Fórmula'!B14,46))+'Fórmula'!E14*(INDEX(properties!A$1:CB$87,'Fórmula'!D14,46))+'Fórmula'!G14*(INDEX(properties!A$1:CB$87,'Fórmula'!F14,46))+'Fórmula'!I14*(INDEX(properties!A$1:CB$87,'Fórmula'!H14,46))+'Fórmula'!K14*(INDEX(properties!A$1:CB$87,'Fórmula'!J14,46))</f>
        <v>8.28</v>
      </c>
      <c r="ER14" s="113">
        <f t="array" ref="ER14">VARP(IF(INDEX(properties!A$1:CB$87,'Fórmula'!B14,46)&lt;&gt;"",INDEX(properties!A$1:CB$87,'Fórmula'!B14,46)),IF(INDEX(properties!A$1:CB$87,'Fórmula'!D14,46)&lt;&gt;"",INDEX(properties!A$1:CB$87,'Fórmula'!D14,46)),IF(INDEX(properties!A$1:CB$87,'Fórmula'!F14,46)&lt;&gt;"",INDEX(properties!A$1:CB$87,'Fórmula'!F14,46)),IF(INDEX(properties!A$1:CB$87,'Fórmula'!H14,46)&lt;&gt;"",INDEX(properties!A$1:CB$87,'Fórmula'!H14,46)),IF(INDEX(properties!A$1:CB$87,'Fórmula'!J14,46)&lt;&gt;"",INDEX(properties!A$1:CB$87,'Fórmula'!J14,46)))</f>
        <v>0.26184</v>
      </c>
      <c r="ES14" s="124">
        <f t="array" ref="ES14">MAX(INDEX(properties!A$1:CB$87,'Fórmula'!B14,46),INDEX(properties!A$1:CB$87,'Fórmula'!D14,46),INDEX(properties!A$1:CB$87,'Fórmula'!F14,46),INDEX(properties!A$1:CB$87,'Fórmula'!H14,46),INDEX(properties!A$1:CB$87,'Fórmula'!J14,46))</f>
        <v>1.36</v>
      </c>
      <c r="ET14" s="124">
        <f t="array" ref="ET14">MIN(IF(INDEX(properties!A$1:CB$87,'Fórmula'!B14,46)=0,10^6,INDEX(properties!A$1:CB$87,'Fórmula'!B14,46)),IF(INDEX(properties!A$1:CB$87,'Fórmula'!D14,46)=0,10^6,INDEX(properties!A$1:CB$87,'Fórmula'!D14,46)),IF(INDEX(properties!A$1:CB$87,'Fórmula'!F14,46)=0,10^6,INDEX(properties!A$1:CB$87,'Fórmula'!F14,46)),IF(INDEX(properties!A$1:CB$87,'Fórmula'!H14,46)=0,10^6,INDEX(properties!A$1:CB$87,'Fórmula'!H14,46)),IF(INDEX(properties!A$1:CB$87,'Fórmula'!J14,46)=0,10^6,INDEX(properties!A$1:CB$87,'Fórmula'!J14,46)))</f>
        <v>0.76</v>
      </c>
      <c r="EU14" s="113">
        <f t="shared" si="25"/>
        <v>0.6</v>
      </c>
      <c r="EV14" s="114">
        <f t="array" ref="EV14">(('Fórmula'!C14)/('Fórmula'!C14+'Fórmula'!E14+'Fórmula'!G14+'Fórmula'!I14+'Fórmula'!K14))*(INDEX(properties!A$1:CB$87,'Fórmula'!B14,52))+(('Fórmula'!E14)/('Fórmula'!C14+'Fórmula'!E14+'Fórmula'!G14+'Fórmula'!I14+'Fórmula'!K14))*(INDEX(properties!A$1:CB$87,'Fórmula'!D14,52))+(('Fórmula'!G14)/('Fórmula'!C14+'Fórmula'!E14+'Fórmula'!G14+'Fórmula'!I14+'Fórmula'!K14))*(INDEX(properties!A$1:CB$87,'Fórmula'!F14,52))+(('Fórmula'!I14)/('Fórmula'!C14+'Fórmula'!E14+'Fórmula'!G14+'Fórmula'!I14+'Fórmula'!K14))*(INDEX(properties!A$1:CB$87,'Fórmula'!H14,52))+(('Fórmula'!K14)/('Fórmula'!C14+'Fórmula'!E14+'Fórmula'!G14+'Fórmula'!I14+'Fórmula'!K14))*(INDEX(properties!A$1:CB$87,'Fórmula'!J14,52))</f>
        <v>9.996</v>
      </c>
      <c r="EW14" s="114">
        <f t="array" ref="EW14">'Fórmula'!C14*(INDEX(properties!A$1:CB$87,'Fórmula'!B14,52))+'Fórmula'!E14*(INDEX(properties!A$1:CB$87,'Fórmula'!D14,52))+'Fórmula'!G14*(INDEX(properties!A$1:CB$87,'Fórmula'!F14,52))+'Fórmula'!I14*(INDEX(properties!A$1:CB$87,'Fórmula'!H14,52))+'Fórmula'!K14*(INDEX(properties!A$1:CB$87,'Fórmula'!J14,52))</f>
        <v>69.972</v>
      </c>
      <c r="EX14" s="114">
        <f t="array" ref="EX14">VARP(IF(INDEX(properties!A$1:CB$87,'Fórmula'!B14,52)&lt;&gt;"",INDEX(properties!A$1:CB$87,'Fórmula'!B14,52)),IF(INDEX(properties!A$1:CB$87,'Fórmula'!D14,52)&lt;&gt;"",INDEX(properties!A$1:CB$87,'Fórmula'!D14,52)),IF(INDEX(properties!A$1:CB$87,'Fórmula'!F14,52)&lt;&gt;"",INDEX(properties!A$1:CB$87,'Fórmula'!F14,52)),IF(INDEX(properties!A$1:CB$87,'Fórmula'!H14,52)&lt;&gt;"",INDEX(properties!A$1:CB$87,'Fórmula'!H14,52)),IF(INDEX(properties!A$1:CB$87,'Fórmula'!J14,52)&lt;&gt;"",INDEX(properties!A$1:CB$87,'Fórmula'!J14,52)))</f>
        <v>176.2892238</v>
      </c>
      <c r="EY14" s="114">
        <f t="array" ref="EY14">MAX(INDEX(properties!A$1:CB$87,'Fórmula'!B14,52),INDEX(properties!A$1:CB$87,'Fórmula'!D14,52),INDEX(properties!A$1:CB$87,'Fórmula'!F14,52),INDEX(properties!A$1:CB$87,'Fórmula'!H14,52),INDEX(properties!A$1:CB$87,'Fórmula'!J14,52))</f>
        <v>31.1</v>
      </c>
      <c r="EZ14" s="114">
        <f t="array" ref="EZ14">MIN(IF(INDEX(properties!A$1:CB$87,'Fórmula'!B14,52)=0,10^6,INDEX(properties!A$1:CB$87,'Fórmula'!B14,52)),IF(INDEX(properties!A$1:CB$87,'Fórmula'!D14,52)=0,10^6,INDEX(properties!A$1:CB$87,'Fórmula'!D14,52)),IF(INDEX(properties!A$1:CB$87,'Fórmula'!F14,52)=0,10^6,INDEX(properties!A$1:CB$87,'Fórmula'!F14,52)),IF(INDEX(properties!A$1:CB$87,'Fórmula'!H14,52)=0,10^6,INDEX(properties!A$1:CB$87,'Fórmula'!H14,52)),IF(INDEX(properties!A$1:CB$87,'Fórmula'!J14,52)=0,10^6,INDEX(properties!A$1:CB$87,'Fórmula'!J14,52)))</f>
        <v>0.793</v>
      </c>
      <c r="FA14" s="114">
        <f t="shared" si="26"/>
        <v>30.307</v>
      </c>
      <c r="FB14" s="115">
        <f t="array" ref="FB14">(('Fórmula'!C14)/('Fórmula'!C14+'Fórmula'!E14+'Fórmula'!G14+'Fórmula'!I14+'Fórmula'!K14))*(INDEX(properties!A$1:CB$87,'Fórmula'!B14,53))+(('Fórmula'!E14)/('Fórmula'!C14+'Fórmula'!E14+'Fórmula'!G14+'Fórmula'!I14+'Fórmula'!K14))*(INDEX(properties!A$1:CB$87,'Fórmula'!D14,53))+(('Fórmula'!G14)/('Fórmula'!C14+'Fórmula'!E14+'Fórmula'!G14+'Fórmula'!I14+'Fórmula'!K14))*(INDEX(properties!A$1:CB$87,'Fórmula'!F14,53))+(('Fórmula'!I14)/('Fórmula'!C14+'Fórmula'!E14+'Fórmula'!G14+'Fórmula'!I14+'Fórmula'!K14))*(INDEX(properties!A$1:CB$87,'Fórmula'!H14,53))+(('Fórmula'!K14)/('Fórmula'!C14+'Fórmula'!E14+'Fórmula'!G14+'Fórmula'!I14+'Fórmula'!K14))*(INDEX(properties!A$1:CB$87,'Fórmula'!J14,53))</f>
        <v>393.8928571</v>
      </c>
      <c r="FC14" s="115">
        <f t="array" ref="FC14">'Fórmula'!C14*(INDEX(properties!A$1:CB$87,'Fórmula'!B14,53))+'Fórmula'!E14*(INDEX(properties!A$1:CB$87,'Fórmula'!D14,53))+'Fórmula'!G14*(INDEX(properties!A$1:CB$87,'Fórmula'!F14,53))+'Fórmula'!I14*(INDEX(properties!A$1:CB$87,'Fórmula'!H14,53))+'Fórmula'!K14*(INDEX(properties!A$1:CB$87,'Fórmula'!J14,53))</f>
        <v>2757.25</v>
      </c>
      <c r="FD14" s="115">
        <f t="array" ref="FD14">VARP(IF(INDEX(properties!A$1:CB$87,'Fórmula'!B14,53)&lt;&gt;"",INDEX(properties!A$1:CB$87,'Fórmula'!B14,53)),IF(INDEX(properties!A$1:CB$87,'Fórmula'!D14,53)&lt;&gt;"",INDEX(properties!A$1:CB$87,'Fórmula'!D14,53)),IF(INDEX(properties!A$1:CB$87,'Fórmula'!F14,53)&lt;&gt;"",INDEX(properties!A$1:CB$87,'Fórmula'!F14,53)),IF(INDEX(properties!A$1:CB$87,'Fórmula'!H14,53)&lt;&gt;"",INDEX(properties!A$1:CB$87,'Fórmula'!H14,53)),IF(INDEX(properties!A$1:CB$87,'Fórmula'!J14,53)&lt;&gt;"",INDEX(properties!A$1:CB$87,'Fórmula'!J14,53)))</f>
        <v>251946.002</v>
      </c>
      <c r="FE14" s="115">
        <f t="array" ref="FE14">MAX(INDEX(properties!A$1:CB$87,'Fórmula'!B14,53),INDEX(properties!A$1:CB$87,'Fórmula'!D14,53),INDEX(properties!A$1:CB$87,'Fórmula'!F14,53),INDEX(properties!A$1:CB$87,'Fórmula'!H14,53),INDEX(properties!A$1:CB$87,'Fórmula'!J14,53))</f>
        <v>1193.15</v>
      </c>
      <c r="FF14" s="115">
        <f t="array" ref="FF14">MIN(IF(INDEX(properties!A$1:CB$87,'Fórmula'!B14,53)=0,10^6,INDEX(properties!A$1:CB$87,'Fórmula'!B14,53)),IF(INDEX(properties!A$1:CB$87,'Fórmula'!D14,53)=0,10^6,INDEX(properties!A$1:CB$87,'Fórmula'!D14,53)),IF(INDEX(properties!A$1:CB$87,'Fórmula'!F14,53)=0,10^6,INDEX(properties!A$1:CB$87,'Fórmula'!F14,53)),IF(INDEX(properties!A$1:CB$87,'Fórmula'!H14,53)=0,10^6,INDEX(properties!A$1:CB$87,'Fórmula'!H14,53)),IF(INDEX(properties!A$1:CB$87,'Fórmula'!J14,53)=0,10^6,INDEX(properties!A$1:CB$87,'Fórmula'!J14,53)))</f>
        <v>54.75</v>
      </c>
      <c r="FG14" s="115">
        <f t="shared" si="27"/>
        <v>1138.4</v>
      </c>
      <c r="FH14" s="117">
        <f t="array" ref="FH14">(('Fórmula'!C14)/('Fórmula'!C14+'Fórmula'!E14+'Fórmula'!G14+'Fórmula'!I14+'Fórmula'!K14))*(INDEX(properties!A$1:CB$87,'Fórmula'!B14,54))+(('Fórmula'!E14)/('Fórmula'!C14+'Fórmula'!E14+'Fórmula'!G14+'Fórmula'!I14+'Fórmula'!K14))*(INDEX(properties!A$1:CB$87,'Fórmula'!D14,54))+(('Fórmula'!G14)/('Fórmula'!C14+'Fórmula'!E14+'Fórmula'!G14+'Fórmula'!I14+'Fórmula'!K14))*(INDEX(properties!A$1:CB$87,'Fórmula'!F14,54))+(('Fórmula'!I14)/('Fórmula'!C14+'Fórmula'!E14+'Fórmula'!G14+'Fórmula'!I14+'Fórmula'!K14))*(INDEX(properties!A$1:CB$87,'Fórmula'!H14,54))+(('Fórmula'!K14)/('Fórmula'!C14+'Fórmula'!E14+'Fórmula'!G14+'Fórmula'!I14+'Fórmula'!K14))*(INDEX(properties!A$1:CB$87,'Fórmula'!J14,54))</f>
        <v>1203.007143</v>
      </c>
      <c r="FI14" s="117">
        <f t="array" ref="FI14">'Fórmula'!C14*(INDEX(properties!A$1:CB$87,'Fórmula'!B14,54))+'Fórmula'!E14*(INDEX(properties!A$1:CB$87,'Fórmula'!D14,54))+'Fórmula'!G14*(INDEX(properties!A$1:CB$87,'Fórmula'!F14,54))+'Fórmula'!I14*(INDEX(properties!A$1:CB$87,'Fórmula'!H14,54))+'Fórmula'!K14*(INDEX(properties!A$1:CB$87,'Fórmula'!J14,54))</f>
        <v>8421.05</v>
      </c>
      <c r="FJ14" s="117">
        <f t="array" ref="FJ14">VARP(IF(INDEX(properties!A$1:CB$87,'Fórmula'!B14,54)&lt;&gt;"",INDEX(properties!A$1:CB$87,'Fórmula'!B14,54)),IF(INDEX(properties!A$1:CB$87,'Fórmula'!D14,54)&lt;&gt;"",INDEX(properties!A$1:CB$87,'Fórmula'!D14,54)),IF(INDEX(properties!A$1:CB$87,'Fórmula'!F14,54)&lt;&gt;"",INDEX(properties!A$1:CB$87,'Fórmula'!F14,54)),IF(INDEX(properties!A$1:CB$87,'Fórmula'!H14,54)&lt;&gt;"",INDEX(properties!A$1:CB$87,'Fórmula'!H14,54)),IF(INDEX(properties!A$1:CB$87,'Fórmula'!J14,54)&lt;&gt;"",INDEX(properties!A$1:CB$87,'Fórmula'!J14,54)))</f>
        <v>2104248.604</v>
      </c>
      <c r="FK14" s="117">
        <f t="array" ref="FK14">MAX(INDEX(properties!A$1:CB$87,'Fórmula'!B14,54),INDEX(properties!A$1:CB$87,'Fórmula'!D14,54),INDEX(properties!A$1:CB$87,'Fórmula'!F14,54),INDEX(properties!A$1:CB$87,'Fórmula'!H14,54),INDEX(properties!A$1:CB$87,'Fórmula'!J14,54))</f>
        <v>3727.15</v>
      </c>
      <c r="FL14" s="117">
        <f t="array" ref="FL14">MIN(IF(INDEX(properties!A$1:CB$87,'Fórmula'!B14,54)=0,10^6,INDEX(properties!A$1:CB$87,'Fórmula'!B14,54)),IF(INDEX(properties!A$1:CB$87,'Fórmula'!D14,54)=0,10^6,INDEX(properties!A$1:CB$87,'Fórmula'!D14,54)),IF(INDEX(properties!A$1:CB$87,'Fórmula'!F14,54)=0,10^6,INDEX(properties!A$1:CB$87,'Fórmula'!F14,54)),IF(INDEX(properties!A$1:CB$87,'Fórmula'!H14,54)=0,10^6,INDEX(properties!A$1:CB$87,'Fórmula'!H14,54)),IF(INDEX(properties!A$1:CB$87,'Fórmula'!J14,54)=0,10^6,INDEX(properties!A$1:CB$87,'Fórmula'!J14,54)))</f>
        <v>90.15</v>
      </c>
      <c r="FM14" s="117">
        <f t="shared" si="28"/>
        <v>3637</v>
      </c>
      <c r="FN14" s="118">
        <f t="array" ref="FN14">(('Fórmula'!C14)/('Fórmula'!C14+'Fórmula'!E14+'Fórmula'!G14+'Fórmula'!I14+'Fórmula'!K14))*(INDEX(properties!A$1:CB$87,'Fórmula'!B14,55))+(('Fórmula'!E14)/('Fórmula'!C14+'Fórmula'!E14+'Fórmula'!G14+'Fórmula'!I14+'Fórmula'!K14))*(INDEX(properties!A$1:CB$87,'Fórmula'!D14,55))+(('Fórmula'!G14)/('Fórmula'!C14+'Fórmula'!E14+'Fórmula'!G14+'Fórmula'!I14+'Fórmula'!K14))*(INDEX(properties!A$1:CB$87,'Fórmula'!F14,55))+(('Fórmula'!I14)/('Fórmula'!C14+'Fórmula'!E14+'Fórmula'!G14+'Fórmula'!I14+'Fórmula'!K14))*(INDEX(properties!A$1:CB$87,'Fórmula'!H14,55))+(('Fórmula'!K14)/('Fórmula'!C14+'Fórmula'!E14+'Fórmula'!G14+'Fórmula'!I14+'Fórmula'!K14))*(INDEX(properties!A$1:CB$87,'Fórmula'!J14,55))</f>
        <v>2.09796</v>
      </c>
      <c r="FO14" s="118">
        <f t="array" ref="FO14">'Fórmula'!C14*(INDEX(properties!A$1:CB$87,'Fórmula'!B14,55))+'Fórmula'!E14*(INDEX(properties!A$1:CB$87,'Fórmula'!D14,54))+'Fórmula'!G14*(INDEX(properties!A$1:CB$87,'Fórmula'!F14,55))+'Fórmula'!I14*(INDEX(properties!A$1:CB$87,'Fórmula'!H14,55))+'Fórmula'!K14*(INDEX(properties!A$1:CB$87,'Fórmula'!J14,55))</f>
        <v>3735.68572</v>
      </c>
      <c r="FP14" s="118">
        <f t="array" ref="FP14">VARP(IF(INDEX(properties!A$1:CB$87,'Fórmula'!B14,55)&lt;&gt;"",INDEX(properties!A$1:CB$87,'Fórmula'!B14,55)),IF(INDEX(properties!A$1:CB$87,'Fórmula'!D14,55)&lt;&gt;"",INDEX(properties!A$1:CB$87,'Fórmula'!D14,55)),IF(INDEX(properties!A$1:CB$87,'Fórmula'!F14,55)&lt;&gt;"",INDEX(properties!A$1:CB$87,'Fórmula'!F14,55)),IF(INDEX(properties!A$1:CB$87,'Fórmula'!H14,55)&lt;&gt;"",INDEX(properties!A$1:CB$87,'Fórmula'!H14,55)),IF(INDEX(properties!A$1:CB$87,'Fórmula'!J14,55)&lt;&gt;"",INDEX(properties!A$1:CB$87,'Fórmula'!J14,55)))</f>
        <v>7.288104935</v>
      </c>
      <c r="FQ14" s="118">
        <f t="array" ref="FQ14">MAX(INDEX(properties!A$1:CB$87,'Fórmula'!B14,55),INDEX(properties!A$1:CB$87,'Fórmula'!D14,55),INDEX(properties!A$1:CB$87,'Fórmula'!F14,55),INDEX(properties!A$1:CB$87,'Fórmula'!H14,55),INDEX(properties!A$1:CB$87,'Fórmula'!J14,55))</f>
        <v>6.15</v>
      </c>
      <c r="FR14" s="118">
        <f t="array" ref="FR14">MIN(IF(INDEX(properties!A$1:CB$87,'Fórmula'!B14,55)=0,10^6,INDEX(properties!A$1:CB$87,'Fórmula'!B14,55)),IF(INDEX(properties!A$1:CB$87,'Fórmula'!D14,55)=0,10^6,INDEX(properties!A$1:CB$87,'Fórmula'!D14,55)),IF(INDEX(properties!A$1:CB$87,'Fórmula'!F14,55)=0,10^6,INDEX(properties!A$1:CB$87,'Fórmula'!F14,55)),IF(INDEX(properties!A$1:CB$87,'Fórmula'!H14,55)=0,10^6,INDEX(properties!A$1:CB$87,'Fórmula'!H14,55)),IF(INDEX(properties!A$1:CB$87,'Fórmula'!J14,55)=0,10^6,INDEX(properties!A$1:CB$87,'Fórmula'!J14,55)))</f>
        <v>0.00143</v>
      </c>
      <c r="FS14" s="118">
        <f t="shared" si="29"/>
        <v>6.14857</v>
      </c>
      <c r="FT14" s="119">
        <f t="array" ref="FT14">(('Fórmula'!C14)/('Fórmula'!C14+'Fórmula'!E14+'Fórmula'!G14+'Fórmula'!I14+'Fórmula'!K14))*(INDEX(properties!A$1:CB$87,'Fórmula'!B14,56))+(('Fórmula'!E14)/('Fórmula'!C14+'Fórmula'!E14+'Fórmula'!G14+'Fórmula'!I14+'Fórmula'!K14))*(INDEX(properties!A$1:CB$87,'Fórmula'!D14,56))+(('Fórmula'!G14)/('Fórmula'!C14+'Fórmula'!E14+'Fórmula'!G14+'Fórmula'!I14+'Fórmula'!K14))*(INDEX(properties!A$1:CB$87,'Fórmula'!F14,56))+(('Fórmula'!I14)/('Fórmula'!C14+'Fórmula'!E14+'Fórmula'!G14+'Fórmula'!I14+'Fórmula'!K14))*(INDEX(properties!A$1:CB$87,'Fórmula'!H14,56))+(('Fórmula'!K14)/('Fórmula'!C14+'Fórmula'!E14+'Fórmula'!G14+'Fórmula'!I14+'Fórmula'!K14))*(INDEX(properties!A$1:CB$87,'Fórmula'!J14,56))</f>
        <v>0.6485714286</v>
      </c>
      <c r="FU14" s="119">
        <f t="array" ref="FU14">'Fórmula'!C14*(INDEX(properties!A$1:CB$87,'Fórmula'!B14,56))+'Fórmula'!E14*(INDEX(properties!A$1:CB$87,'Fórmula'!D14,56))+'Fórmula'!G14*(INDEX(properties!A$1:CB$87,'Fórmula'!F14,56))+'Fórmula'!I14*(INDEX(properties!A$1:CB$87,'Fórmula'!H14,56))+'Fórmula'!K14*(INDEX(properties!A$1:CB$87,'Fórmula'!J14,56))</f>
        <v>4.54</v>
      </c>
      <c r="FV14" s="119">
        <f t="array" ref="FV14">VARP(IF(INDEX(properties!A$1:CB$87,'Fórmula'!B14,56)&lt;&gt;"",INDEX(properties!A$1:CB$87,'Fórmula'!B14,56)),IF(INDEX(properties!A$1:CB$87,'Fórmula'!D14,56)&lt;&gt;"",INDEX(properties!A$1:CB$87,'Fórmula'!D14,56)),IF(INDEX(properties!A$1:CB$87,'Fórmula'!F14,56)&lt;&gt;"",INDEX(properties!A$1:CB$87,'Fórmula'!F14,56)),IF(INDEX(properties!A$1:CB$87,'Fórmula'!H14,56)&lt;&gt;"",INDEX(properties!A$1:CB$87,'Fórmula'!H14,56)),IF(INDEX(properties!A$1:CB$87,'Fórmula'!J14,56)&lt;&gt;"",INDEX(properties!A$1:CB$87,'Fórmula'!J14,56)))</f>
        <v>0.095144</v>
      </c>
      <c r="FW14" s="119">
        <f t="array" ref="FW14">MAX(INDEX(properties!A$1:CB$87,'Fórmula'!B14,56),INDEX(properties!A$1:CB$87,'Fórmula'!D14,56),INDEX(properties!A$1:CB$87,'Fórmula'!F14,56),INDEX(properties!A$1:CB$87,'Fórmula'!H14,56),INDEX(properties!A$1:CB$87,'Fórmula'!J14,56))</f>
        <v>0.92</v>
      </c>
      <c r="FX14" s="119">
        <f t="array" ref="FX14">MIN(IF(INDEX(properties!A$1:CB$87,'Fórmula'!B14,56)=0,10^6,INDEX(properties!A$1:CB$87,'Fórmula'!B14,56)),IF(INDEX(properties!A$1:CB$87,'Fórmula'!D14,56)=0,10^6,INDEX(properties!A$1:CB$87,'Fórmula'!D14,56)),IF(INDEX(properties!A$1:CB$87,'Fórmula'!F14,56)=0,10^6,INDEX(properties!A$1:CB$87,'Fórmula'!F14,56)),IF(INDEX(properties!A$1:CB$87,'Fórmula'!H14,56)=0,10^6,INDEX(properties!A$1:CB$87,'Fórmula'!H14,56)),IF(INDEX(properties!A$1:CB$87,'Fórmula'!J14,56)=0,10^6,INDEX(properties!A$1:CB$87,'Fórmula'!J14,56)))</f>
        <v>0.19</v>
      </c>
      <c r="FY14" s="119">
        <f t="shared" si="30"/>
        <v>0.73</v>
      </c>
      <c r="FZ14" s="104">
        <f t="array" ref="FZ14">(('Fórmula'!C14)/('Fórmula'!C14+'Fórmula'!E14+'Fórmula'!G14+'Fórmula'!I14+'Fórmula'!K14))*(INDEX(properties!A$1:CB$87,'Fórmula'!B14,57))+(('Fórmula'!E14)/('Fórmula'!C14+'Fórmula'!E14+'Fórmula'!G14+'Fórmula'!I14+'Fórmula'!K14))*(INDEX(properties!A$1:CB$87,'Fórmula'!D14,57))+(('Fórmula'!G14)/('Fórmula'!C14+'Fórmula'!E14+'Fórmula'!G14+'Fórmula'!I14+'Fórmula'!K14))*(INDEX(properties!A$1:CB$87,'Fórmula'!F14,57))+(('Fórmula'!I14)/('Fórmula'!C14+'Fórmula'!E14+'Fórmula'!G14+'Fórmula'!I14+'Fórmula'!K14))*(INDEX(properties!A$1:CB$87,'Fórmula'!H14,57))+(('Fórmula'!K14)/('Fórmula'!C14+'Fórmula'!E14+'Fórmula'!G14+'Fórmula'!I14+'Fórmula'!K14))*(INDEX(properties!A$1:CB$87,'Fórmula'!J14,57))</f>
        <v>2.997194286</v>
      </c>
      <c r="GA14" s="104">
        <f t="array" ref="GA14">'Fórmula'!C14*(INDEX(properties!A$1:CB$87,'Fórmula'!B14,57))+'Fórmula'!E14*(INDEX(properties!A$1:CB$87,'Fórmula'!D14,57))+'Fórmula'!G14*(INDEX(properties!A$1:CB$87,'Fórmula'!F14,57))+'Fórmula'!I14*(INDEX(properties!A$1:CB$87,'Fórmula'!H14,57))+'Fórmula'!K14*(INDEX(properties!A$1:CB$87,'Fórmula'!J14,57))</f>
        <v>20.98036</v>
      </c>
      <c r="GB14" s="104">
        <f t="array" ref="GB14">VARP(IF(INDEX(properties!A$1:CB$87,'Fórmula'!B14,57)&lt;&gt;"",INDEX(properties!A$1:CB$87,'Fórmula'!B14,57)),IF(INDEX(properties!A$1:CB$87,'Fórmula'!D14,57)&lt;&gt;"",INDEX(properties!A$1:CB$87,'Fórmula'!D14,57)),IF(INDEX(properties!A$1:CB$87,'Fórmula'!F14,57)&lt;&gt;"",INDEX(properties!A$1:CB$87,'Fórmula'!F14,57)),IF(INDEX(properties!A$1:CB$87,'Fórmula'!H14,57)&lt;&gt;"",INDEX(properties!A$1:CB$87,'Fórmula'!H14,57)),IF(INDEX(properties!A$1:CB$87,'Fórmula'!J14,57)&lt;&gt;"",INDEX(properties!A$1:CB$87,'Fórmula'!J14,57)))</f>
        <v>11.22147676</v>
      </c>
      <c r="GC14" s="104">
        <f t="array" ref="GC14">MAX(INDEX(properties!A$1:CB$87,'Fórmula'!B14,57),INDEX(properties!A$1:CB$87,'Fórmula'!D14,57),INDEX(properties!A$1:CB$87,'Fórmula'!F14,57),INDEX(properties!A$1:CB$87,'Fórmula'!H14,57),INDEX(properties!A$1:CB$87,'Fórmula'!J14,57))</f>
        <v>8.3</v>
      </c>
      <c r="GD14" s="104">
        <f t="array" ref="GD14">MIN(IF(INDEX(properties!A$1:CB$87,'Fórmula'!B14,57)=0,10^6,INDEX(properties!A$1:CB$87,'Fórmula'!B14,57)),IF(INDEX(properties!A$1:CB$87,'Fórmula'!D14,57)=0,10^6,INDEX(properties!A$1:CB$87,'Fórmula'!D14,57)),IF(INDEX(properties!A$1:CB$87,'Fórmula'!F14,57)=0,10^6,INDEX(properties!A$1:CB$87,'Fórmula'!F14,57)),IF(INDEX(properties!A$1:CB$87,'Fórmula'!H14,57)=0,10^6,INDEX(properties!A$1:CB$87,'Fórmula'!H14,57)),IF(INDEX(properties!A$1:CB$87,'Fórmula'!J14,57)=0,10^6,INDEX(properties!A$1:CB$87,'Fórmula'!J14,57)))</f>
        <v>0.22259</v>
      </c>
      <c r="GE14" s="104">
        <f t="shared" si="31"/>
        <v>8.07741</v>
      </c>
      <c r="GF14" s="105">
        <f t="array" ref="GF14">(('Fórmula'!C14)/('Fórmula'!C14+'Fórmula'!E14+'Fórmula'!G14+'Fórmula'!I14+'Fórmula'!K14))*(INDEX(properties!A$1:CB$87,'Fórmula'!B14,60))+(('Fórmula'!E14)/('Fórmula'!C14+'Fórmula'!E14+'Fórmula'!G14+'Fórmula'!I14+'Fórmula'!K14))*(INDEX(properties!A$1:CB$87,'Fórmula'!D14,60))+(('Fórmula'!G14)/('Fórmula'!C14+'Fórmula'!E14+'Fórmula'!G14+'Fórmula'!I14+'Fórmula'!K14))*(INDEX(properties!A$1:CB$87,'Fórmula'!F14,60))+(('Fórmula'!I14)/('Fórmula'!C14+'Fórmula'!E14+'Fórmula'!G14+'Fórmula'!I14+'Fórmula'!K14))*(INDEX(properties!A$1:CB$87,'Fórmula'!H14,60))+(('Fórmula'!K14)/('Fórmula'!C14+'Fórmula'!E14+'Fórmula'!G14+'Fórmula'!I14+'Fórmula'!K14))*(INDEX(properties!A$1:CB$87,'Fórmula'!J14,60))</f>
        <v>12.78670857</v>
      </c>
      <c r="GG14" s="105">
        <f t="array" ref="GG14">'Fórmula'!C14*(INDEX(properties!A$1:CB$87,'Fórmula'!B14,60))+'Fórmula'!E14*(INDEX(properties!A$1:CB$87,'Fórmula'!D14,60))+'Fórmula'!G14*(INDEX(properties!A$1:CB$87,'Fórmula'!F14,60))+'Fórmula'!I14*(INDEX(properties!A$1:CB$87,'Fórmula'!H14,60))+'Fórmula'!K14*(INDEX(properties!A$1:CB$87,'Fórmula'!J14,60))</f>
        <v>89.50696</v>
      </c>
      <c r="GH14" s="105">
        <f t="array" ref="GH14">VARP(IF(INDEX(properties!A$1:CB$87,'Fórmula'!B14,60)&lt;&gt;"",INDEX(properties!A$1:CB$87,'Fórmula'!B14,60)),IF(INDEX(properties!A$1:CB$87,'Fórmula'!D14,60)&lt;&gt;"",INDEX(properties!A$1:CB$87,'Fórmula'!D14,60)),IF(INDEX(properties!A$1:CB$87,'Fórmula'!F14,60)&lt;&gt;"",INDEX(properties!A$1:CB$87,'Fórmula'!F14,60)),IF(INDEX(properties!A$1:CB$87,'Fórmula'!H14,60)&lt;&gt;"",INDEX(properties!A$1:CB$87,'Fórmula'!H14,60)),IF(INDEX(properties!A$1:CB$87,'Fórmula'!J14,60)&lt;&gt;"",INDEX(properties!A$1:CB$87,'Fórmula'!J14,60)))</f>
        <v>295.4544699</v>
      </c>
      <c r="GI14" s="105">
        <f t="array" ref="GI14">MAX(INDEX(properties!A$1:CB$87,'Fórmula'!B14,60),INDEX(properties!A$1:CB$87,'Fórmula'!D14,60),INDEX(properties!A$1:CB$87,'Fórmula'!F14,60),INDEX(properties!A$1:CB$87,'Fórmula'!H14,60),INDEX(properties!A$1:CB$87,'Fórmula'!J14,60))</f>
        <v>40.6</v>
      </c>
      <c r="GJ14" s="105">
        <f t="array" ref="GJ14">MIN(IF(INDEX(properties!A$1:CB$87,'Fórmula'!B14,60)=0,10^6,INDEX(properties!A$1:CB$87,'Fórmula'!B14,60)),IF(INDEX(properties!A$1:CB$87,'Fórmula'!D14,60)=0,10^6,INDEX(properties!A$1:CB$87,'Fórmula'!D14,60)),IF(INDEX(properties!A$1:CB$87,'Fórmula'!F14,60)=0,10^6,INDEX(properties!A$1:CB$87,'Fórmula'!F14,60)),IF(INDEX(properties!A$1:CB$87,'Fórmula'!H14,60)=0,10^6,INDEX(properties!A$1:CB$87,'Fórmula'!H14,60)),IF(INDEX(properties!A$1:CB$87,'Fórmula'!J14,60)=0,10^6,INDEX(properties!A$1:CB$87,'Fórmula'!J14,60)))</f>
        <v>0.02674</v>
      </c>
      <c r="GK14" s="105">
        <f t="shared" si="32"/>
        <v>40.57326</v>
      </c>
      <c r="GL14" s="106">
        <f t="array" ref="GL14">(('Fórmula'!C14)/('Fórmula'!C14+'Fórmula'!E14+'Fórmula'!G14+'Fórmula'!I14+'Fórmula'!K14))*(INDEX(properties!A$1:CB$87,'Fórmula'!B14,62))+(('Fórmula'!E14)/('Fórmula'!C14+'Fórmula'!E14+'Fórmula'!G14+'Fórmula'!I14+'Fórmula'!K14))*(INDEX(properties!A$1:CB$87,'Fórmula'!D14,62))+(('Fórmula'!G14)/('Fórmula'!C14+'Fórmula'!E14+'Fórmula'!G14+'Fórmula'!I14+'Fórmula'!K14))*(INDEX(properties!A$1:CB$87,'Fórmula'!F14,62))+(('Fórmula'!I14)/('Fórmula'!C14+'Fórmula'!E14+'Fórmula'!G14+'Fórmula'!I14+'Fórmula'!K14))*(INDEX(properties!A$1:CB$87,'Fórmula'!H14,62))+(('Fórmula'!K14)/('Fórmula'!C14+'Fórmula'!E14+'Fórmula'!G14+'Fórmula'!I14+'Fórmula'!K14))*(INDEX(properties!A$1:CB$87,'Fórmula'!J14,62))</f>
        <v>2.782857143</v>
      </c>
      <c r="GM14" s="106">
        <f t="array" ref="GM14">'Fórmula'!C14*(INDEX(properties!A$1:CB$87,'Fórmula'!B14,62))+'Fórmula'!E14*(INDEX(properties!A$1:CB$87,'Fórmula'!D14,62))+'Fórmula'!G14*(INDEX(properties!A$1:CB$87,'Fórmula'!F14,62))+'Fórmula'!I14*(INDEX(properties!A$1:CB$87,'Fórmula'!H14,62))+'Fórmula'!K14*(INDEX(properties!A$1:CB$87,'Fórmula'!J14,62))</f>
        <v>19.48</v>
      </c>
      <c r="GN14" s="106">
        <f t="array" ref="GN14">VARP(IF(INDEX(properties!A$1:CB$87,'Fórmula'!B14,62)&lt;&gt;"",INDEX(properties!A$1:CB$87,'Fórmula'!B14,62)),IF(INDEX(properties!A$1:CB$87,'Fórmula'!D14,62)&lt;&gt;"",INDEX(properties!A$1:CB$87,'Fórmula'!D14,62)),IF(INDEX(properties!A$1:CB$87,'Fórmula'!F14,62)&lt;&gt;"",INDEX(properties!A$1:CB$87,'Fórmula'!F14,62)),IF(INDEX(properties!A$1:CB$87,'Fórmula'!H14,62)&lt;&gt;"",INDEX(properties!A$1:CB$87,'Fórmula'!H14,62)),IF(INDEX(properties!A$1:CB$87,'Fórmula'!J14,62)&lt;&gt;"",INDEX(properties!A$1:CB$87,'Fórmula'!J14,62)))</f>
        <v>2.138984</v>
      </c>
      <c r="GO14" s="106">
        <f t="array" ref="GO14">MAX(INDEX(properties!A$1:CB$87,'Fórmula'!B14,62),INDEX(properties!A$1:CB$87,'Fórmula'!D14,62),INDEX(properties!A$1:CB$87,'Fórmula'!F14,62),INDEX(properties!A$1:CB$87,'Fórmula'!H14,62),INDEX(properties!A$1:CB$87,'Fórmula'!J14,62))</f>
        <v>4.47</v>
      </c>
      <c r="GP14" s="106">
        <f t="array" ref="GP14">MIN(IF(INDEX(properties!A$1:CB$87,'Fórmula'!B14,62)=0,10^6,INDEX(properties!A$1:CB$87,'Fórmula'!B14,62)),IF(INDEX(properties!A$1:CB$87,'Fórmula'!D14,62)=0,10^6,INDEX(properties!A$1:CB$87,'Fórmula'!D14,62)),IF(INDEX(properties!A$1:CB$87,'Fórmula'!F14,62)=0,10^6,INDEX(properties!A$1:CB$87,'Fórmula'!F14,62)),IF(INDEX(properties!A$1:CB$87,'Fórmula'!H14,62)=0,10^6,INDEX(properties!A$1:CB$87,'Fórmula'!H14,62)),IF(INDEX(properties!A$1:CB$87,'Fórmula'!J14,62)=0,10^6,INDEX(properties!A$1:CB$87,'Fórmula'!J14,62)))</f>
        <v>1.72</v>
      </c>
      <c r="GQ14" s="106">
        <f t="shared" si="33"/>
        <v>2.75</v>
      </c>
      <c r="GR14" s="106">
        <f>'Fórmula'!Q14</f>
        <v>139</v>
      </c>
      <c r="GS14" s="107">
        <f>'Fórmula'!P14</f>
        <v>2</v>
      </c>
      <c r="GT14" s="113">
        <f>'Fórmula'!O14</f>
        <v>6.39</v>
      </c>
      <c r="GU14" s="114">
        <f>AVERAGE('Fórmula'!R14/'Fórmula'!S14,'Fórmula'!S14/'Fórmula'!T14,'Fórmula'!T14/'Fórmula'!R14)</f>
        <v>1.531860653</v>
      </c>
      <c r="GV14" s="125">
        <f>'Fórmula'!U14</f>
        <v>187.15</v>
      </c>
      <c r="GW14" s="106">
        <f>'Fórmula'!N14</f>
        <v>0.02</v>
      </c>
    </row>
    <row r="15" ht="14.25" customHeight="1">
      <c r="A15" s="99" t="str">
        <f>'Fórmula'!A15</f>
        <v>SrGeP2O8</v>
      </c>
      <c r="B15" s="101">
        <f t="array" ref="B15">(('Fórmula'!C15)/('Fórmula'!C15+'Fórmula'!E15+'Fórmula'!G15+'Fórmula'!I15+'Fórmula'!K15))*(INDEX(properties!A$1:CB$87,'Fórmula'!B15,3))+(('Fórmula'!E15)/('Fórmula'!C15+'Fórmula'!E15+'Fórmula'!G15+'Fórmula'!I15+'Fórmula'!K15))*(INDEX(properties!A$1:CB$87,'Fórmula'!D15,3))+(('Fórmula'!G15)/('Fórmula'!C15+'Fórmula'!E15+'Fórmula'!G15+'Fórmula'!I15+'Fórmula'!K15))*(INDEX(properties!A$1:CB$87,'Fórmula'!F15,3))+(('Fórmula'!I15)/('Fórmula'!C15+'Fórmula'!E15+'Fórmula'!G15+'Fórmula'!I15+'Fórmula'!K15))*(INDEX(properties!A$1:CB$87,'Fórmula'!H15,3))+(('Fórmula'!K15)/('Fórmula'!C15+'Fórmula'!E15+'Fórmula'!G15+'Fórmula'!I15+'Fórmula'!K15))*(INDEX(properties!A$1:CB$87,'Fórmula'!J15,3))</f>
        <v>29.182727</v>
      </c>
      <c r="C15" s="101">
        <f t="array" ref="C15">'Fórmula'!C15*(INDEX(properties!A$1:CB$87,'Fórmula'!B15,3))+'Fórmula'!E15*(INDEX(properties!A$1:CB$87,'Fórmula'!D15,3))+'Fórmula'!G15*(INDEX(properties!A$1:CB$87,'Fórmula'!F15,3))+'Fórmula'!I15*(INDEX(properties!A$1:CB$87,'Fórmula'!H15,3))+'Fórmula'!K15*(INDEX(properties!A$1:CB$87,'Fórmula'!J15,3))</f>
        <v>350.192724</v>
      </c>
      <c r="D15" s="101">
        <f t="array" ref="D15">VARP(IF(INDEX(properties!A$1:CB$87,'Fórmula'!B15,3)&lt;&gt;"",INDEX(properties!A$1:CB$87,'Fórmula'!B15,3)),IF(INDEX(properties!A$1:CB$87,'Fórmula'!D15,3)&lt;&gt;"",INDEX(properties!A$1:CB$87,'Fórmula'!D15,3)),IF(INDEX(properties!A$1:CB$87,'Fórmula'!F15,3)&lt;&gt;"",INDEX(properties!A$1:CB$87,'Fórmula'!F15,3)),IF(INDEX(properties!A$1:CB$87,'Fórmula'!H15,3)&lt;&gt;"",INDEX(properties!A$1:CB$87,'Fórmula'!H15,3)),IF(INDEX(properties!A$1:CB$87,'Fórmula'!J15,3)&lt;&gt;"",INDEX(properties!A$1:CB$87,'Fórmula'!J15,3)))</f>
        <v>1115.889652</v>
      </c>
      <c r="E15" s="101">
        <f t="array" ref="E15">MAX(INDEX(properties!A$1:CB$87,'Fórmula'!B15,3),INDEX(properties!A$1:CB$87,'Fórmula'!D15,3),INDEX(properties!A$1:CB$87,'Fórmula'!F15,3),INDEX(properties!A$1:CB$87,'Fórmula'!H15,3),INDEX(properties!A$1:CB$87,'Fórmula'!J15,3))</f>
        <v>87.62</v>
      </c>
      <c r="F15" s="101">
        <f t="array" ref="F15">MIN(IF(INDEX(properties!A$1:CB$87,'Fórmula'!B15,3)=0,10^6,INDEX(properties!A$1:CB$87,'Fórmula'!B15,3)),IF(INDEX(properties!A$1:CB$87,'Fórmula'!D15,3)=0,10^6,INDEX(properties!A$1:CB$87,'Fórmula'!D15,3)),IF(INDEX(properties!A$1:CB$87,'Fórmula'!F15,3)=0,10^6,INDEX(properties!A$1:CB$87,'Fórmula'!F15,3)),IF(INDEX(properties!A$1:CB$87,'Fórmula'!H15,3)=0,10^6,INDEX(properties!A$1:CB$87,'Fórmula'!H15,3)),IF(INDEX(properties!A$1:CB$87,'Fórmula'!J15,3)=0,10^6,INDEX(properties!A$1:CB$87,'Fórmula'!J15,3)))</f>
        <v>15.9994</v>
      </c>
      <c r="G15" s="101">
        <f t="shared" si="1"/>
        <v>71.6206</v>
      </c>
      <c r="H15" s="102">
        <f t="array" ref="H15">(('Fórmula'!C15)/('Fórmula'!C15+'Fórmula'!E15+'Fórmula'!G15+'Fórmula'!I15+'Fórmula'!K15))*(INDEX(properties!A$1:CB$87,'Fórmula'!B15,4))+(('Fórmula'!E15)/('Fórmula'!C15+'Fórmula'!E15+'Fórmula'!G15+'Fórmula'!I15+'Fórmula'!K15))*(INDEX(properties!A$1:CB$87,'Fórmula'!D15,4))+(('Fórmula'!G15)/('Fórmula'!C15+'Fórmula'!E15+'Fórmula'!G15+'Fórmula'!I15+'Fórmula'!K15))*(INDEX(properties!A$1:CB$87,'Fórmula'!F15,4))+(('Fórmula'!I15)/('Fórmula'!C15+'Fórmula'!E15+'Fórmula'!G15+'Fórmula'!I15+'Fórmula'!K15))*(INDEX(properties!A$1:CB$87,'Fórmula'!H15,4))+(('Fórmula'!K15)/('Fórmula'!C15+'Fórmula'!E15+'Fórmula'!G15+'Fórmula'!I15+'Fórmula'!K15))*(INDEX(properties!A$1:CB$87,'Fórmula'!J15,4))</f>
        <v>13.66666667</v>
      </c>
      <c r="I15" s="102">
        <f t="array" ref="I15">'Fórmula'!C15*(INDEX(properties!A$1:CB$87,'Fórmula'!B15,4))+'Fórmula'!E15*(INDEX(properties!A$1:CB$87,'Fórmula'!D15,4))+'Fórmula'!G15*(INDEX(properties!A$1:CB$87,'Fórmula'!F15,4))+'Fórmula'!I15*(INDEX(properties!A$1:CB$87,'Fórmula'!H15,4))+'Fórmula'!K15*(INDEX(properties!A$1:CB$87,'Fórmula'!J15,4))</f>
        <v>164</v>
      </c>
      <c r="J15" s="102">
        <f t="array" ref="J15">VARP(IF(INDEX(properties!A$1:CB$87,'Fórmula'!B15,4)&lt;&gt;"",INDEX(properties!A$1:CB$87,'Fórmula'!B15,4)),IF(INDEX(properties!A$1:CB$87,'Fórmula'!D15,4)&lt;&gt;"",INDEX(properties!A$1:CB$87,'Fórmula'!D15,4)),IF(INDEX(properties!A$1:CB$87,'Fórmula'!F15,4)&lt;&gt;"",INDEX(properties!A$1:CB$87,'Fórmula'!F15,4)),IF(INDEX(properties!A$1:CB$87,'Fórmula'!H15,4)&lt;&gt;"",INDEX(properties!A$1:CB$87,'Fórmula'!H15,4)),IF(INDEX(properties!A$1:CB$87,'Fórmula'!J15,4)&lt;&gt;"",INDEX(properties!A$1:CB$87,'Fórmula'!J15,4)))</f>
        <v>205.44</v>
      </c>
      <c r="K15" s="102">
        <f t="array" ref="K15">MAX(INDEX(properties!A$1:CB$87,'Fórmula'!B15,4),INDEX(properties!A$1:CB$87,'Fórmula'!D15,4),INDEX(properties!A$1:CB$87,'Fórmula'!F15,4),INDEX(properties!A$1:CB$87,'Fórmula'!H15,4),INDEX(properties!A$1:CB$87,'Fórmula'!J15,4))</f>
        <v>38</v>
      </c>
      <c r="L15" s="102">
        <f t="array" ref="L15">MIN(IF(INDEX(properties!A$1:CB$87,'Fórmula'!B15,4)=0,10^6,INDEX(properties!A$1:CB$87,'Fórmula'!B15,4)),IF(INDEX(properties!A$1:CB$87,'Fórmula'!D15,4)=0,10^6,INDEX(properties!A$1:CB$87,'Fórmula'!D15,4)),IF(INDEX(properties!A$1:CB$87,'Fórmula'!F15,4)=0,10^6,INDEX(properties!A$1:CB$87,'Fórmula'!F15,4)),IF(INDEX(properties!A$1:CB$87,'Fórmula'!H15,4)=0,10^6,INDEX(properties!A$1:CB$87,'Fórmula'!H15,4)),IF(INDEX(properties!A$1:CB$87,'Fórmula'!J15,4)=0,10^6,INDEX(properties!A$1:CB$87,'Fórmula'!J15,4)))</f>
        <v>8</v>
      </c>
      <c r="M15" s="102">
        <f t="shared" si="2"/>
        <v>30</v>
      </c>
      <c r="N15" s="103">
        <f t="array" ref="N15">(('Fórmula'!C15)/('Fórmula'!C15+'Fórmula'!E15+'Fórmula'!G15+'Fórmula'!I15+'Fórmula'!K15))*(INDEX(properties!A$1:CB$87,'Fórmula'!B15,5))+(('Fórmula'!E15)/('Fórmula'!C15+'Fórmula'!E15+'Fórmula'!G15+'Fórmula'!I15+'Fórmula'!K15))*(INDEX(properties!A$1:CB$87,'Fórmula'!D15,5))+(('Fórmula'!G15)/('Fórmula'!C15+'Fórmula'!E15+'Fórmula'!G15+'Fórmula'!I15+'Fórmula'!K15))*(INDEX(properties!A$1:CB$87,'Fórmula'!F15,5))+(('Fórmula'!I15)/('Fórmula'!C15+'Fórmula'!E15+'Fórmula'!G15+'Fórmula'!I15+'Fórmula'!K15))*(INDEX(properties!A$1:CB$87,'Fórmula'!H15,5))+(('Fórmula'!K15)/('Fórmula'!C15+'Fórmula'!E15+'Fórmula'!G15+'Fórmula'!I15+'Fórmula'!K15))*(INDEX(properties!A$1:CB$87,'Fórmula'!J15,5))</f>
        <v>2.583333333</v>
      </c>
      <c r="O15" s="103">
        <f t="array" ref="O15">'Fórmula'!C15*(INDEX(properties!A$1:CB$87,'Fórmula'!B15,5))+'Fórmula'!E15*(INDEX(properties!A$1:CB$87,'Fórmula'!D15,5))+'Fórmula'!G15*(INDEX(properties!A$1:CB$87,'Fórmula'!F15,5))+'Fórmula'!I15*(INDEX(properties!A$1:CB$87,'Fórmula'!H15,5))+'Fórmula'!K15*(INDEX(properties!A$1:CB$87,'Fórmula'!J15,5))</f>
        <v>31</v>
      </c>
      <c r="P15" s="103">
        <f t="array" ref="P15">VARP(IF(INDEX(properties!A$1:CB$87,'Fórmula'!B15,5)&lt;&gt;"",INDEX(properties!A$1:CB$87,'Fórmula'!B15,5)),IF(INDEX(properties!A$1:CB$87,'Fórmula'!D15,5)&lt;&gt;"",INDEX(properties!A$1:CB$87,'Fórmula'!D15,5)),IF(INDEX(properties!A$1:CB$87,'Fórmula'!F15,5)&lt;&gt;"",INDEX(properties!A$1:CB$87,'Fórmula'!F15,5)),IF(INDEX(properties!A$1:CB$87,'Fórmula'!H15,5)&lt;&gt;"",INDEX(properties!A$1:CB$87,'Fórmula'!H15,5)),IF(INDEX(properties!A$1:CB$87,'Fórmula'!J15,5)&lt;&gt;"",INDEX(properties!A$1:CB$87,'Fórmula'!J15,5)))</f>
        <v>2.96</v>
      </c>
      <c r="Q15" s="103">
        <f t="array" ref="Q15">MAX(INDEX(properties!A$1:CB$87,'Fórmula'!B15,5),INDEX(properties!A$1:CB$87,'Fórmula'!D15,5),INDEX(properties!A$1:CB$87,'Fórmula'!F15,5),INDEX(properties!A$1:CB$87,'Fórmula'!H15,5),INDEX(properties!A$1:CB$87,'Fórmula'!J15,5))</f>
        <v>5</v>
      </c>
      <c r="R15" s="103">
        <f t="array" ref="R15">MIN(IF(INDEX(properties!A$1:CB$87,'Fórmula'!B15,5)=0,10^6,INDEX(properties!A$1:CB$87,'Fórmula'!B15,5)),IF(INDEX(properties!A$1:CB$87,'Fórmula'!D15,5)=0,10^6,INDEX(properties!A$1:CB$87,'Fórmula'!D15,5)),IF(INDEX(properties!A$1:CB$87,'Fórmula'!F15,5)=0,10^6,INDEX(properties!A$1:CB$87,'Fórmula'!F15,5)),IF(INDEX(properties!A$1:CB$87,'Fórmula'!H15,5)=0,10^6,INDEX(properties!A$1:CB$87,'Fórmula'!H15,5)),IF(INDEX(properties!A$1:CB$87,'Fórmula'!J15,5)=0,10^6,INDEX(properties!A$1:CB$87,'Fórmula'!J15,5)))</f>
        <v>2</v>
      </c>
      <c r="S15" s="103">
        <f t="shared" si="3"/>
        <v>3</v>
      </c>
      <c r="T15" s="104">
        <f t="array" ref="T15">(('Fórmula'!C15)/('Fórmula'!C15+'Fórmula'!E15+'Fórmula'!G15+'Fórmula'!I15+'Fórmula'!K15))*(INDEX(properties!A$1:CB$87,'Fórmula'!B15,6))+(('Fórmula'!E15)/('Fórmula'!C15+'Fórmula'!E15+'Fórmula'!G15+'Fórmula'!I15+'Fórmula'!K15))*(INDEX(properties!A$1:CB$87,'Fórmula'!D15,6))+(('Fórmula'!G15)/('Fórmula'!C15+'Fórmula'!E15+'Fórmula'!G15+'Fórmula'!I15+'Fórmula'!K15))*(INDEX(properties!A$1:CB$87,'Fórmula'!F15,6))+(('Fórmula'!I15)/('Fórmula'!C15+'Fórmula'!E15+'Fórmula'!G15+'Fórmula'!I15+'Fórmula'!K15))*(INDEX(properties!A$1:CB$87,'Fórmula'!H15,6))+(('Fórmula'!K15)/('Fórmula'!C15+'Fórmula'!E15+'Fórmula'!G15+'Fórmula'!I15+'Fórmula'!K15))*(INDEX(properties!A$1:CB$87,'Fórmula'!J15,6))</f>
        <v>14.5</v>
      </c>
      <c r="U15" s="104">
        <f t="array" ref="U15">'Fórmula'!C15*(INDEX(properties!A$1:CB$87,'Fórmula'!B15,6))+'Fórmula'!E15*(INDEX(properties!A$1:CB$87,'Fórmula'!D15,6))+'Fórmula'!G15*(INDEX(properties!A$1:CB$87,'Fórmula'!F15,6))+'Fórmula'!I15*(INDEX(properties!A$1:CB$87,'Fórmula'!H15,6))+'Fórmula'!K15*(INDEX(properties!A$1:CB$87,'Fórmula'!J15,6))</f>
        <v>174</v>
      </c>
      <c r="V15" s="103">
        <f t="array" ref="V15">VARP(IF(INDEX(properties!A$1:CB$87,'Fórmula'!B15,6)&lt;&gt;"",INDEX(properties!A$1:CB$87,'Fórmula'!B15,6)),IF(INDEX(properties!A$1:CB$87,'Fórmula'!D15,6)&lt;&gt;"",INDEX(properties!A$1:CB$87,'Fórmula'!D15,6)),IF(INDEX(properties!A$1:CB$87,'Fórmula'!F15,6)&lt;&gt;"",INDEX(properties!A$1:CB$87,'Fórmula'!F15,6)),IF(INDEX(properties!A$1:CB$87,'Fórmula'!H15,6)&lt;&gt;"",INDEX(properties!A$1:CB$87,'Fórmula'!H15,6)),IF(INDEX(properties!A$1:CB$87,'Fórmula'!J15,6)&lt;&gt;"",INDEX(properties!A$1:CB$87,'Fórmula'!J15,6)))</f>
        <v>47.84</v>
      </c>
      <c r="W15" s="104">
        <f t="array" ref="W15">MAX(INDEX(properties!A$1:CB$87,'Fórmula'!B15,6),INDEX(properties!A$1:CB$87,'Fórmula'!D15,6),INDEX(properties!A$1:CB$87,'Fórmula'!F15,6),INDEX(properties!A$1:CB$87,'Fórmula'!H15,4),INDEX(properties!A$1:CB$87,'Fórmula'!J15,6))</f>
        <v>15</v>
      </c>
      <c r="X15" s="104">
        <f t="array" ref="X15">MIN(IF(INDEX(properties!A$1:CB$87,'Fórmula'!B15,6)=0,10^6,INDEX(properties!A$1:CB$87,'Fórmula'!B15,6)),IF(INDEX(properties!A$1:CB$87,'Fórmula'!D15,6)=0,10^6,INDEX(properties!A$1:CB$87,'Fórmula'!D15,6)),IF(INDEX(properties!A$1:CB$87,'Fórmula'!F15,6)=0,10^6,INDEX(properties!A$1:CB$87,'Fórmula'!F15,6)),IF(INDEX(properties!A$1:CB$87,'Fórmula'!H15,6)=0,10^6,INDEX(properties!A$1:CB$87,'Fórmula'!H15,6)),IF(INDEX(properties!A$1:CB$87,'Fórmula'!J15,6)=0,10^6,INDEX(properties!A$1:CB$87,'Fórmula'!J15,6)))</f>
        <v>2</v>
      </c>
      <c r="Y15" s="104">
        <f t="shared" si="4"/>
        <v>13</v>
      </c>
      <c r="Z15" s="105">
        <f t="array" ref="Z15">(('Fórmula'!C15)/('Fórmula'!C15+'Fórmula'!E15+'Fórmula'!G15+'Fórmula'!I15+'Fórmula'!K15))*(INDEX(properties!A$1:CB$87,'Fórmula'!B15,9))+(('Fórmula'!E15)/('Fórmula'!C15+'Fórmula'!E15+'Fórmula'!G15+'Fórmula'!I15+'Fórmula'!K15))*(INDEX(properties!A$1:CB$87,'Fórmula'!D15,9))+(('Fórmula'!G15)/('Fórmula'!C15+'Fórmula'!E15+'Fórmula'!G15+'Fórmula'!I15+'Fórmula'!K15))*(INDEX(properties!A$1:CB$87,'Fórmula'!F15,9))+(('Fórmula'!I15)/('Fórmula'!C15+'Fórmula'!E15+'Fórmula'!G15+'Fórmula'!I15+'Fórmula'!K15))*(INDEX(properties!A$1:CB$87,'Fórmula'!H15,9))+(('Fórmula'!K15)/('Fórmula'!C15+'Fórmula'!E15+'Fórmula'!G15+'Fórmula'!I15+'Fórmula'!K15))*(INDEX(properties!A$1:CB$87,'Fórmula'!J15,9))</f>
        <v>79.08333333</v>
      </c>
      <c r="AA15" s="105">
        <f t="array" ref="AA15">'Fórmula'!C15*(INDEX(properties!A$1:CB$87,'Fórmula'!B15,9))+'Fórmula'!E15*(INDEX(properties!A$1:CB$87,'Fórmula'!D15,9))+'Fórmula'!G15*(INDEX(properties!A$1:CB$87,'Fórmula'!F15,9))+'Fórmula'!I15*(INDEX(properties!A$1:CB$87,'Fórmula'!H15,9))+'Fórmula'!K15*(INDEX(properties!A$1:CB$87,'Fórmula'!J15,9))</f>
        <v>949</v>
      </c>
      <c r="AB15" s="105">
        <f t="array" ref="AB15">VARP(IF(INDEX(properties!A$1:CB$87,'Fórmula'!B15,9)&lt;&gt;"",INDEX(properties!A$1:CB$87,'Fórmula'!B15,9)),IF(INDEX(properties!A$1:CB$87,'Fórmula'!D15,9)&lt;&gt;"",INDEX(properties!A$1:CB$87,'Fórmula'!D15,9)),IF(INDEX(properties!A$1:CB$87,'Fórmula'!F15,9)&lt;&gt;"",INDEX(properties!A$1:CB$87,'Fórmula'!F15,9)),IF(INDEX(properties!A$1:CB$87,'Fórmula'!H15,9)&lt;&gt;"",INDEX(properties!A$1:CB$87,'Fórmula'!H15,9)),IF(INDEX(properties!A$1:CB$87,'Fórmula'!J15,9)&lt;&gt;"",INDEX(properties!A$1:CB$87,'Fórmula'!J15,9)))</f>
        <v>1510.64</v>
      </c>
      <c r="AC15" s="105">
        <f t="array" ref="AC15">MAX(INDEX(properties!A$1:CB$87,'Fórmula'!B15,9),INDEX(properties!A$1:CB$87,'Fórmula'!D15,9),INDEX(properties!A$1:CB$87,'Fórmula'!F15,9),INDEX(properties!A$1:CB$87,'Fórmula'!H15,9),INDEX(properties!A$1:CB$87,'Fórmula'!J15,9))</f>
        <v>87</v>
      </c>
      <c r="AD15" s="105">
        <f t="array" ref="AD15">MIN(IF(INDEX(properties!A$1:CB$87,'Fórmula'!B15,9)=0,10^6,INDEX(properties!A$1:CB$87,'Fórmula'!B15,9)),IF(INDEX(properties!A$1:CB$87,'Fórmula'!D15,9)=0,10^6,INDEX(properties!A$1:CB$87,'Fórmula'!D15,9)),IF(INDEX(properties!A$1:CB$87,'Fórmula'!F15,9)=0,10^6,INDEX(properties!A$1:CB$87,'Fórmula'!F15,9)),IF(INDEX(properties!A$1:CB$87,'Fórmula'!H15,9)=0,10^6,INDEX(properties!A$1:CB$87,'Fórmula'!H15,9)),IF(INDEX(properties!A$1:CB$87,'Fórmula'!J15,9)=0,10^6,INDEX(properties!A$1:CB$87,'Fórmula'!J15,9)))</f>
        <v>8</v>
      </c>
      <c r="AE15" s="105">
        <f t="shared" si="5"/>
        <v>79</v>
      </c>
      <c r="AF15" s="106">
        <f t="array" ref="AF15">(('Fórmula'!C15)/('Fórmula'!C15+'Fórmula'!E15+'Fórmula'!G15+'Fórmula'!I15+'Fórmula'!K15))*(INDEX(properties!A$1:CB$87,'Fórmula'!B15,10))+(('Fórmula'!E15)/('Fórmula'!C15+'Fórmula'!E15+'Fórmula'!G15+'Fórmula'!I15+'Fórmula'!K15))*(INDEX(properties!A$1:CB$87,'Fórmula'!D15,10))+(('Fórmula'!G15)/('Fórmula'!C15+'Fórmula'!E15+'Fórmula'!G15+'Fórmula'!I15+'Fórmula'!K15))*(INDEX(properties!A$1:CB$87,'Fórmula'!F15,10))+(('Fórmula'!I15)/('Fórmula'!C15+'Fórmula'!E15+'Fórmula'!G15+'Fórmula'!I15+'Fórmula'!K15))*(INDEX(properties!A$1:CB$87,'Fórmula'!H15,10))+(('Fórmula'!K15)/('Fórmula'!C15+'Fórmula'!E15+'Fórmula'!G15+'Fórmula'!I15+'Fórmula'!K15))*(INDEX(properties!A$1:CB$87,'Fórmula'!J15,10))</f>
        <v>6.5</v>
      </c>
      <c r="AG15" s="106">
        <f t="array" ref="AG15">'Fórmula'!C15*(INDEX(properties!A$1:CB$87,'Fórmula'!B15,10))+'Fórmula'!E15*(INDEX(properties!A$1:CB$87,'Fórmula'!D15,10))+'Fórmula'!G15*(INDEX(properties!A$1:CB$87,'Fórmula'!F15,10))+'Fórmula'!I15*(INDEX(properties!A$1:CB$87,'Fórmula'!H15,10))+'Fórmula'!K15*(INDEX(properties!A$1:CB$87,'Fórmula'!J15,10))</f>
        <v>78</v>
      </c>
      <c r="AH15" s="106">
        <f t="array" ref="AH15">VARP(IF(INDEX(properties!A$1:CB$87,'Fórmula'!B15,10)&lt;&gt;"",INDEX(properties!A$1:CB$87,'Fórmula'!B15,10)),IF(INDEX(properties!A$1:CB$87,'Fórmula'!D15,10)&lt;&gt;"",INDEX(properties!A$1:CB$87,'Fórmula'!D15,10)),IF(INDEX(properties!A$1:CB$87,'Fórmula'!F15,10)&lt;&gt;"",INDEX(properties!A$1:CB$87,'Fórmula'!F15,10)),IF(INDEX(properties!A$1:CB$87,'Fórmula'!H15,10)&lt;&gt;"",INDEX(properties!A$1:CB$87,'Fórmula'!H15,10)),IF(INDEX(properties!A$1:CB$87,'Fórmula'!J15,10)&lt;&gt;"",INDEX(properties!A$1:CB$87,'Fórmula'!J15,10)))</f>
        <v>8.24</v>
      </c>
      <c r="AI15" s="106">
        <f t="array" ref="AI15">MAX(INDEX(properties!A$1:CB$87,'Fórmula'!B15,10),INDEX(properties!A$1:CB$87,'Fórmula'!D15,10),INDEX(properties!A$1:CB$87,'Fórmula'!F15,10),INDEX(properties!A$1:CB$87,'Fórmula'!H15,10),INDEX(properties!A$1:CB$87,'Fórmula'!J15,10))</f>
        <v>7</v>
      </c>
      <c r="AJ15" s="106">
        <f t="array" ref="AJ15">MIN(IF(INDEX(properties!A$1:CB$87,'Fórmula'!B15,10)=0,10^6,INDEX(properties!A$1:CB$87,'Fórmula'!B15,10)),IF(INDEX(properties!A$1:CB$87,'Fórmula'!D15,10)=0,10^6,INDEX(properties!A$1:CB$87,'Fórmula'!D15,10)),IF(INDEX(properties!A$1:CB$87,'Fórmula'!F15,10)=0,10^6,INDEX(properties!A$1:CB$87,'Fórmula'!F15,10)),IF(INDEX(properties!A$1:CB$87,'Fórmula'!H15,10)=0,10^6,INDEX(properties!A$1:CB$87,'Fórmula'!H15,10)),IF(INDEX(properties!A$1:CB$87,'Fórmula'!J15,10)=0,10^6,INDEX(properties!A$1:CB$87,'Fórmula'!J15,10)))</f>
        <v>2</v>
      </c>
      <c r="AK15" s="106">
        <f t="shared" si="6"/>
        <v>5</v>
      </c>
      <c r="AL15" s="107">
        <f t="array" ref="AL15">(('Fórmula'!C15)/('Fórmula'!C15+'Fórmula'!E15+'Fórmula'!G15+'Fórmula'!I15+'Fórmula'!K15))*(INDEX(properties!A$1:CB$87,'Fórmula'!B15,11))+(('Fórmula'!E15)/('Fórmula'!C15+'Fórmula'!E15+'Fórmula'!G15+'Fórmula'!I15+'Fórmula'!K15))*(INDEX(properties!A$1:CB$87,'Fórmula'!D15,11))+(('Fórmula'!G15)/('Fórmula'!C15+'Fórmula'!E15+'Fórmula'!G15+'Fórmula'!I15+'Fórmula'!K15))*(INDEX(properties!A$1:CB$87,'Fórmula'!F15,11))+(('Fórmula'!I15)/('Fórmula'!C15+'Fórmula'!E15+'Fórmula'!G15+'Fórmula'!I15+'Fórmula'!K15))*(INDEX(properties!A$1:CB$87,'Fórmula'!H15,11))+(('Fórmula'!K15)/('Fórmula'!C15+'Fórmula'!E15+'Fórmula'!G15+'Fórmula'!I15+'Fórmula'!K15))*(INDEX(properties!A$1:CB$87,'Fórmula'!J15,11))</f>
        <v>2</v>
      </c>
      <c r="AM15" s="107">
        <f t="array" ref="AM15">'Fórmula'!C15*(INDEX(properties!A$1:CB$87,'Fórmula'!B15,11))+'Fórmula'!E15*(INDEX(properties!A$1:CB$87,'Fórmula'!D15,11))+'Fórmula'!G15*(INDEX(properties!A$1:CB$87,'Fórmula'!F15,11))+'Fórmula'!I15*(INDEX(properties!A$1:CB$87,'Fórmula'!H15,11))+'Fórmula'!K15*(INDEX(properties!A$1:CB$87,'Fórmula'!J15,11))</f>
        <v>24</v>
      </c>
      <c r="AN15" s="107">
        <f t="array" ref="AN15">VARP(IF(INDEX(properties!A$1:CB$87,'Fórmula'!B15,11)&lt;&gt;"",INDEX(properties!A$1:CB$87,'Fórmula'!B15,11)),IF(INDEX(properties!A$1:CB$87,'Fórmula'!D15,11)&lt;&gt;"",INDEX(properties!A$1:CB$87,'Fórmula'!D15,11)),IF(INDEX(properties!A$1:CB$87,'Fórmula'!F15,11)&lt;&gt;"",INDEX(properties!A$1:CB$87,'Fórmula'!F15,11)),IF(INDEX(properties!A$1:CB$87,'Fórmula'!H15,11)&lt;&gt;"",INDEX(properties!A$1:CB$87,'Fórmula'!H15,11)),IF(INDEX(properties!A$1:CB$87,'Fórmula'!J15,11)&lt;&gt;"",INDEX(properties!A$1:CB$87,'Fórmula'!J15,11)))</f>
        <v>0.64</v>
      </c>
      <c r="AO15" s="107">
        <f t="array" ref="AO15">MAX(INDEX(properties!A$1:CB$87,'Fórmula'!B15,11),INDEX(properties!A$1:CB$87,'Fórmula'!D15,11),INDEX(properties!A$1:CB$87,'Fórmula'!F15,11),INDEX(properties!A$1:CB$87,'Fórmula'!H15,11),INDEX(properties!A$1:CB$87,'Fórmula'!J15,11))</f>
        <v>2</v>
      </c>
      <c r="AP15" s="107">
        <f t="array" ref="AP15">MIN(IF('Fórmula'!B15=87,10^6,INDEX(properties!A$1:CB$87,'Fórmula'!B15,11)),IF(('Fórmula'!D15)=87,10^6,INDEX(properties!A$1:CB$87,'Fórmula'!D15,11)),IF(('Fórmula'!F15)=87,10^6,INDEX(properties!A$1:CB$87,'Fórmula'!F15,11)),IF(('Fórmula'!H15)=87,10^6,INDEX(properties!A$1:CB$87,'Fórmula'!H15,11)),IF('Fórmula'!J15=87,10^6,INDEX(properties!A$1:CB$87,'Fórmula'!J15,11)))</f>
        <v>2</v>
      </c>
      <c r="AQ15" s="107">
        <f t="shared" si="7"/>
        <v>0</v>
      </c>
      <c r="AR15" s="108">
        <f t="array" ref="AR15">(('Fórmula'!C15)/('Fórmula'!C15+'Fórmula'!E15+'Fórmula'!G15+'Fórmula'!I15+'Fórmula'!K15))*(INDEX(properties!A$1:CB$87,'Fórmula'!B15,12))+(('Fórmula'!E15)/('Fórmula'!C15+'Fórmula'!E15+'Fórmula'!G15+'Fórmula'!I15+'Fórmula'!K15))*(INDEX(properties!A$1:CB$87,'Fórmula'!D15,12))+(('Fórmula'!G15)/('Fórmula'!C15+'Fórmula'!E15+'Fórmula'!G15+'Fórmula'!I15+'Fórmula'!K15))*(INDEX(properties!A$1:CB$87,'Fórmula'!F15,12))+(('Fórmula'!I15)/('Fórmula'!C15+'Fórmula'!E15+'Fórmula'!G15+'Fórmula'!I15+'Fórmula'!K15))*(INDEX(properties!A$1:CB$87,'Fórmula'!H15,12))+(('Fórmula'!K15)/('Fórmula'!C15+'Fórmula'!E15+'Fórmula'!G15+'Fórmula'!I15+'Fórmula'!K15))*(INDEX(properties!A$1:CB$87,'Fórmula'!J15,12))</f>
        <v>3.333333333</v>
      </c>
      <c r="AS15" s="108">
        <f t="array" ref="AS15">'Fórmula'!C15*(INDEX(properties!A$1:CB$87,'Fórmula'!B15,12))+'Fórmula'!E15*(INDEX(properties!A$1:CB$87,'Fórmula'!D15,12))+'Fórmula'!G15*(INDEX(properties!A$1:CB$87,'Fórmula'!F15,12))+'Fórmula'!I15*(INDEX(properties!A$1:CB$87,'Fórmula'!H15,12))+'Fórmula'!K15*(INDEX(properties!A$1:CB$87,'Fórmula'!J15,12))</f>
        <v>40</v>
      </c>
      <c r="AT15" s="108">
        <f t="array" ref="AT15">VARP(IF(INDEX(properties!A$1:CB$87,'Fórmula'!B15,12)&lt;&gt;"",INDEX(properties!A$1:CB$87,'Fórmula'!B15,12)),IF(INDEX(properties!A$1:CB$87,'Fórmula'!D15,12)&lt;&gt;"",INDEX(properties!A$1:CB$87,'Fórmula'!D15,12)),IF(INDEX(properties!A$1:CB$87,'Fórmula'!F15,12)&lt;&gt;"",INDEX(properties!A$1:CB$87,'Fórmula'!F15,12)),IF(INDEX(properties!A$1:CB$87,'Fórmula'!H15,12)&lt;&gt;"",INDEX(properties!A$1:CB$87,'Fórmula'!H15,12)),IF(INDEX(properties!A$1:CB$87,'Fórmula'!J15,12)&lt;&gt;"",INDEX(properties!A$1:CB$87,'Fórmula'!J15,12)))</f>
        <v>2.56</v>
      </c>
      <c r="AU15" s="108">
        <f t="array" ref="AU15">MAX(INDEX(properties!A$1:CB$87,'Fórmula'!B15,12),INDEX(properties!A$1:CB$87,'Fórmula'!D15,12),INDEX(properties!A$1:CB$87,'Fórmula'!F15,12),INDEX(properties!A$1:CB$87,'Fórmula'!H15,12),INDEX(properties!A$1:CB$87,'Fórmula'!J15,12))</f>
        <v>4</v>
      </c>
      <c r="AV15" s="108">
        <f t="array" ref="AV15">MIN(IF('Fórmula'!B15=87,10^6,INDEX(properties!A$1:CB$87,'Fórmula'!B15,12)),IF(('Fórmula'!D15)=87,10^6,INDEX(properties!A$1:CB$87,'Fórmula'!D15,12)),IF(('Fórmula'!F15)=87,10^6,INDEX(properties!A$1:CB$87,'Fórmula'!F15,12)),IF(('Fórmula'!H15)=87,10^6,INDEX(properties!A$1:CB$87,'Fórmula'!H15,12)),IF('Fórmula'!J15=87,10^6,INDEX(properties!A$1:CB$87,'Fórmula'!J15,12)))</f>
        <v>0</v>
      </c>
      <c r="AW15" s="108">
        <f t="shared" si="8"/>
        <v>4</v>
      </c>
      <c r="AX15" s="109">
        <f t="array" ref="AX15">(('Fórmula'!C15)/('Fórmula'!C15+'Fórmula'!E15+'Fórmula'!G15+'Fórmula'!I15+'Fórmula'!K15))*(INDEX(properties!A$1:CB$87,'Fórmula'!B15,13))+(('Fórmula'!E15)/('Fórmula'!C15+'Fórmula'!E15+'Fórmula'!G15+'Fórmula'!I15+'Fórmula'!K15))*(INDEX(properties!A$1:CB$87,'Fórmula'!D15,13))+(('Fórmula'!G15)/('Fórmula'!C15+'Fórmula'!E15+'Fórmula'!G15+'Fórmula'!I15+'Fórmula'!K15))*(INDEX(properties!A$1:CB$87,'Fórmula'!F15,13))+(('Fórmula'!I15)/('Fórmula'!C15+'Fórmula'!E15+'Fórmula'!G15+'Fórmula'!I15+'Fórmula'!K15))*(INDEX(properties!A$1:CB$87,'Fórmula'!H15,13))+(('Fórmula'!K15)/('Fórmula'!C15+'Fórmula'!E15+'Fórmula'!G15+'Fórmula'!I15+'Fórmula'!K15))*(INDEX(properties!A$1:CB$87,'Fórmula'!J15,13))</f>
        <v>0.8333333333</v>
      </c>
      <c r="AY15" s="109">
        <f t="array" ref="AY15">'Fórmula'!C15*(INDEX(properties!A$1:CB$87,'Fórmula'!B15,13))+'Fórmula'!E15*(INDEX(properties!A$1:CB$87,'Fórmula'!D15,13))+'Fórmula'!G15*(INDEX(properties!A$1:CB$87,'Fórmula'!F15,13))+'Fórmula'!I15*(INDEX(properties!A$1:CB$87,'Fórmula'!H15,13))+'Fórmula'!K15*(INDEX(properties!A$1:CB$87,'Fórmula'!J15,13))</f>
        <v>10</v>
      </c>
      <c r="AZ15" s="109">
        <f t="array" ref="AZ15">VARP(IF(INDEX(properties!A$1:CB$87,'Fórmula'!B15,13)&lt;&gt;"",INDEX(properties!A$1:CB$87,'Fórmula'!B15,13)),IF(INDEX(properties!A$1:CB$87,'Fórmula'!D15,13)&lt;&gt;"",INDEX(properties!A$1:CB$87,'Fórmula'!D15,13)),IF(INDEX(properties!A$1:CB$87,'Fórmula'!F15,13)&lt;&gt;"",INDEX(properties!A$1:CB$87,'Fórmula'!F15,13)),IF(INDEX(properties!A$1:CB$87,'Fórmula'!H15,13)&lt;&gt;"",INDEX(properties!A$1:CB$87,'Fórmula'!H15,13)),IF(INDEX(properties!A$1:CB$87,'Fórmula'!J15,13)&lt;&gt;"",INDEX(properties!A$1:CB$87,'Fórmula'!J15,13)))</f>
        <v>16</v>
      </c>
      <c r="BA15" s="109">
        <f t="array" ref="BA15">MAX(INDEX(properties!A$1:CB$87,'Fórmula'!B15,13),INDEX(properties!A$1:CB$87,'Fórmula'!D15,13),INDEX(properties!A$1:CB$87,'Fórmula'!F15,13),INDEX(properties!A$1:CB$87,'Fórmula'!H15,13),INDEX(properties!A$1:CB$87,'Fórmula'!J15,13))</f>
        <v>10</v>
      </c>
      <c r="BB15" s="109">
        <f t="array" ref="BB15">MIN(IF('Fórmula'!B15=87,10^6,INDEX(properties!A$1:CB$87,'Fórmula'!B15,13)),IF(('Fórmula'!D15)=87,10^6,INDEX(properties!A$1:CB$87,'Fórmula'!D15,13)),IF(('Fórmula'!F15)=87,10^6,INDEX(properties!A$1:CB$87,'Fórmula'!F15,13)),IF(('Fórmula'!H15)=87,10^6,INDEX(properties!A$1:CB$87,'Fórmula'!H15,13)),IF('Fórmula'!J15=87,10^6,INDEX(properties!A$1:CB$87,'Fórmula'!J15,13)))</f>
        <v>0</v>
      </c>
      <c r="BC15" s="109">
        <f t="shared" si="9"/>
        <v>10</v>
      </c>
      <c r="BD15" s="110">
        <f t="array" ref="BD15">(('Fórmula'!C15)/('Fórmula'!C15+'Fórmula'!E15+'Fórmula'!G15+'Fórmula'!I15+'Fórmula'!K15))*(INDEX(properties!A$1:CB$87,'Fórmula'!B15,14))+(('Fórmula'!E15)/('Fórmula'!C15+'Fórmula'!E15+'Fórmula'!G15+'Fórmula'!I15+'Fórmula'!K15))*(INDEX(properties!A$1:CB$87,'Fórmula'!D15,14))+(('Fórmula'!G15)/('Fórmula'!C15+'Fórmula'!E15+'Fórmula'!G15+'Fórmula'!I15+'Fórmula'!K15))*(INDEX(properties!A$1:CB$87,'Fórmula'!F15,14))+(('Fórmula'!I15)/('Fórmula'!C15+'Fórmula'!E15+'Fórmula'!G15+'Fórmula'!I15+'Fórmula'!K15))*(INDEX(properties!A$1:CB$87,'Fórmula'!H15,14))+(('Fórmula'!K15)/('Fórmula'!C15+'Fórmula'!E15+'Fórmula'!G15+'Fórmula'!I15+'Fórmula'!K15))*(INDEX(properties!A$1:CB$87,'Fórmula'!J15,14))</f>
        <v>0</v>
      </c>
      <c r="BE15" s="110">
        <f t="array" ref="BE15">'Fórmula'!C15*(INDEX(properties!A$1:CB$87,'Fórmula'!B15,14))+'Fórmula'!E15*(INDEX(properties!A$1:CB$87,'Fórmula'!D15,14))+'Fórmula'!G15*(INDEX(properties!A$1:CB$87,'Fórmula'!F15,14))+'Fórmula'!I15*(INDEX(properties!A$1:CB$87,'Fórmula'!H15,14))+'Fórmula'!K15*(INDEX(properties!A$1:CB$87,'Fórmula'!J15,14))</f>
        <v>0</v>
      </c>
      <c r="BF15" s="110">
        <f t="array" ref="BF15">VARP(IF(INDEX(properties!A$1:CB$87,'Fórmula'!B15,14)&lt;&gt;"",INDEX(properties!A$1:CB$87,'Fórmula'!B15,14)),IF(INDEX(properties!A$1:CB$87,'Fórmula'!D15,14)&lt;&gt;"",INDEX(properties!A$1:CB$87,'Fórmula'!D15,14)),IF(INDEX(properties!A$1:CB$87,'Fórmula'!F15,14)&lt;&gt;"",INDEX(properties!A$1:CB$87,'Fórmula'!F15,14)),IF(INDEX(properties!A$1:CB$87,'Fórmula'!H15,14)&lt;&gt;"",INDEX(properties!A$1:CB$87,'Fórmula'!H15,14)),IF(INDEX(properties!A$1:CB$87,'Fórmula'!J15,14)&lt;&gt;"",INDEX(properties!A$1:CB$87,'Fórmula'!J15,14)))</f>
        <v>0</v>
      </c>
      <c r="BG15" s="110">
        <f t="array" ref="BG15">MAX(INDEX(properties!A$1:CB$87,'Fórmula'!B15,14),INDEX(properties!A$1:CB$87,'Fórmula'!D15,14),INDEX(properties!A$1:CB$87,'Fórmula'!F15,14),INDEX(properties!A$1:CB$87,'Fórmula'!H15,14),INDEX(properties!A$1:CB$87,'Fórmula'!J15,14))</f>
        <v>0</v>
      </c>
      <c r="BH15" s="110">
        <f t="array" ref="BH15">MIN(IF('Fórmula'!B15=87,10^6,INDEX(properties!A$1:CB$87,'Fórmula'!B15,14)),IF(('Fórmula'!D15)=87,10^6,INDEX(properties!A$1:CB$87,'Fórmula'!D15,14)),IF(('Fórmula'!F15)=87,10^6,INDEX(properties!A$1:CB$87,'Fórmula'!F15,14)),IF(('Fórmula'!H15)=87,10^6,INDEX(properties!A$1:CB$87,'Fórmula'!H15,14)),IF('Fórmula'!J15=87,10^6,INDEX(properties!A$1:CB$87,'Fórmula'!J15,14)))</f>
        <v>0</v>
      </c>
      <c r="BI15" s="110">
        <f t="shared" si="10"/>
        <v>0</v>
      </c>
      <c r="BJ15" s="111">
        <f t="array" ref="BJ15">(('Fórmula'!C15)/('Fórmula'!C15+'Fórmula'!E15+'Fórmula'!G15+'Fórmula'!I15+'Fórmula'!K15))*(INDEX(properties!A$1:CB$87,'Fórmula'!B15,19))+(('Fórmula'!E15)/('Fórmula'!C15+'Fórmula'!E15+'Fórmula'!G15+'Fórmula'!I15+'Fórmula'!K15))*(INDEX(properties!A$1:CB$87,'Fórmula'!D15,19))+(('Fórmula'!G15)/('Fórmula'!C15+'Fórmula'!E15+'Fórmula'!G15+'Fórmula'!I15+'Fórmula'!K15))*(INDEX(properties!A$1:CB$87,'Fórmula'!F15,19))+(('Fórmula'!I15)/('Fórmula'!C15+'Fórmula'!E15+'Fórmula'!G15+'Fórmula'!I15+'Fórmula'!K15))*(INDEX(properties!A$1:CB$87,'Fórmula'!H15,19))+(('Fórmula'!K15)/('Fórmula'!C15+'Fórmula'!E15+'Fórmula'!G15+'Fórmula'!I15+'Fórmula'!K15))*(INDEX(properties!A$1:CB$87,'Fórmula'!J15,19))</f>
        <v>6.166666667</v>
      </c>
      <c r="BK15" s="111">
        <f t="array" ref="BK15">'Fórmula'!C15*(INDEX(properties!A$1:CB$87,'Fórmula'!B15,19))+'Fórmula'!E15*(INDEX(properties!A$1:CB$87,'Fórmula'!D15,19))+'Fórmula'!G15*(INDEX(properties!A$1:CB$87,'Fórmula'!F15,19))+'Fórmula'!I15*(INDEX(properties!A$1:CB$87,'Fórmula'!H15,19))+'Fórmula'!K15*(INDEX(properties!A$1:CB$87,'Fórmula'!J15,19))</f>
        <v>74</v>
      </c>
      <c r="BL15" s="111">
        <f t="array" ref="BL15">VARP(IF(INDEX(properties!A$1:CB$87,'Fórmula'!B15,19)&lt;&gt;"",INDEX(properties!A$1:CB$87,'Fórmula'!B15,19)),IF(INDEX(properties!A$1:CB$87,'Fórmula'!D15,19)&lt;&gt;"",INDEX(properties!A$1:CB$87,'Fórmula'!D15,19)),IF(INDEX(properties!A$1:CB$87,'Fórmula'!F15,19)&lt;&gt;"",INDEX(properties!A$1:CB$87,'Fórmula'!F15,19)),IF(INDEX(properties!A$1:CB$87,'Fórmula'!H15,19)&lt;&gt;"",INDEX(properties!A$1:CB$87,'Fórmula'!H15,19)),IF(INDEX(properties!A$1:CB$87,'Fórmula'!J15,19)&lt;&gt;"",INDEX(properties!A$1:CB$87,'Fórmula'!J15,19)))</f>
        <v>23.04</v>
      </c>
      <c r="BM15" s="111">
        <f t="array" ref="BM15">MAX(INDEX(properties!A$1:CB$87,'Fórmula'!B15,19),INDEX(properties!A$1:CB$87,'Fórmula'!D15,19),INDEX(properties!A$1:CB$87,'Fórmula'!F15,19),INDEX(properties!A$1:CB$87,'Fórmula'!H15,19),INDEX(properties!A$1:CB$87,'Fórmula'!J15,19))</f>
        <v>14</v>
      </c>
      <c r="BN15" s="111">
        <f t="array" ref="BN15">MIN(IF(INDEX(properties!A$1:CB$87,'Fórmula'!B15,19)=0,10^6,INDEX(properties!A$1:CB$87,'Fórmula'!B15,19)),IF(INDEX(properties!A$1:CB$87,'Fórmula'!D15,19)=0,10^6,INDEX(properties!A$1:CB$87,'Fórmula'!D15,19)),IF(INDEX(properties!A$1:CB$87,'Fórmula'!F15,19)=0,10^6,INDEX(properties!A$1:CB$87,'Fórmula'!F15,19)),IF(INDEX(properties!A$1:CB$87,'Fórmula'!H15,19)=0,10^6,INDEX(properties!A$1:CB$87,'Fórmula'!H15,19)),IF(INDEX(properties!A$1:CB$87,'Fórmula'!J15,19)=0,10^6,INDEX(properties!A$1:CB$87,'Fórmula'!J15,19)))</f>
        <v>2</v>
      </c>
      <c r="BO15" s="111">
        <f t="shared" si="11"/>
        <v>12</v>
      </c>
      <c r="BP15" s="112">
        <f t="array" ref="BP15">(('Fórmula'!C15)/('Fórmula'!C15+'Fórmula'!E15+'Fórmula'!G15+'Fórmula'!I15+'Fórmula'!K15))*(INDEX(properties!A$1:CB$87,'Fórmula'!B15,20))+(('Fórmula'!E15)/('Fórmula'!C15+'Fórmula'!E15+'Fórmula'!G15+'Fórmula'!I15+'Fórmula'!K15))*(INDEX(properties!A$1:CB$87,'Fórmula'!D15,20))+(('Fórmula'!G15)/('Fórmula'!C15+'Fórmula'!E15+'Fórmula'!G15+'Fórmula'!I15+'Fórmula'!K15))*(INDEX(properties!A$1:CB$87,'Fórmula'!F15,20))+(('Fórmula'!I15)/('Fórmula'!C15+'Fórmula'!E15+'Fórmula'!G15+'Fórmula'!I15+'Fórmula'!K15))*(INDEX(properties!A$1:CB$87,'Fórmula'!H15,20))+(('Fórmula'!K15)/('Fórmula'!C15+'Fórmula'!E15+'Fórmula'!G15+'Fórmula'!I15+'Fórmula'!K15))*(INDEX(properties!A$1:CB$87,'Fórmula'!J15,20))</f>
        <v>5.333333333</v>
      </c>
      <c r="BQ15" s="112">
        <f t="array" ref="BQ15">'Fórmula'!C15*(INDEX(properties!A$1:CB$87,'Fórmula'!B15,20))+'Fórmula'!E15*(INDEX(properties!A$1:CB$87,'Fórmula'!D15,20))+'Fórmula'!G15*(INDEX(properties!A$1:CB$87,'Fórmula'!F15,20))+'Fórmula'!I15*(INDEX(properties!A$1:CB$87,'Fórmula'!H15,20))+'Fórmula'!K15*(INDEX(properties!A$1:CB$87,'Fórmula'!J15,20))</f>
        <v>64</v>
      </c>
      <c r="BR15" s="112">
        <f t="array" ref="BR15">VARP(IF(INDEX(properties!A$1:CB$87,'Fórmula'!B15,20)&lt;&gt;"",INDEX(properties!A$1:CB$87,'Fórmula'!B15,20)),IF(INDEX(properties!A$1:CB$87,'Fórmula'!D15,20)&lt;&gt;"",INDEX(properties!A$1:CB$87,'Fórmula'!D15,20)),IF(INDEX(properties!A$1:CB$87,'Fórmula'!F15,20)&lt;&gt;"",INDEX(properties!A$1:CB$87,'Fórmula'!F15,20)),IF(INDEX(properties!A$1:CB$87,'Fórmula'!H15,20)&lt;&gt;"",INDEX(properties!A$1:CB$87,'Fórmula'!H15,20)),IF(INDEX(properties!A$1:CB$87,'Fórmula'!J15,20)&lt;&gt;"",INDEX(properties!A$1:CB$87,'Fórmula'!J15,20)))</f>
        <v>4.64</v>
      </c>
      <c r="BS15" s="112">
        <f t="array" ref="BS15">MAX(INDEX(properties!A$1:CB$87,'Fórmula'!B15,20),INDEX(properties!A$1:CB$87,'Fórmula'!D15,20),INDEX(properties!A$1:CB$87,'Fórmula'!F15,20),INDEX(properties!A$1:CB$87,'Fórmula'!H15,20),INDEX(properties!A$1:CB$87,'Fórmula'!J15,20))</f>
        <v>6</v>
      </c>
      <c r="BT15" s="112">
        <f t="array" ref="BT15">MIN(IF(INDEX(properties!A$1:CB$87,'Fórmula'!B15,20)=0,10^6,INDEX(properties!A$1:CB$87,'Fórmula'!B15,20)),IF(INDEX(properties!A$1:CB$87,'Fórmula'!D15,20)=0,10^6,INDEX(properties!A$1:CB$87,'Fórmula'!D15,20)),IF(INDEX(properties!A$1:CB$87,'Fórmula'!F15,20)=0,10^6,INDEX(properties!A$1:CB$87,'Fórmula'!F15,20)),IF(INDEX(properties!A$1:CB$87,'Fórmula'!H15,20)=0,10^6,INDEX(properties!A$1:CB$87,'Fórmula'!H15,20)),IF(INDEX(properties!A$1:CB$87,'Fórmula'!J15,20)=0,10^6,INDEX(properties!A$1:CB$87,'Fórmula'!J15,20)))</f>
        <v>2</v>
      </c>
      <c r="BU15" s="112">
        <f t="shared" si="12"/>
        <v>4</v>
      </c>
      <c r="BV15" s="113">
        <f t="array" ref="BV15">(('Fórmula'!C15)/('Fórmula'!C15+'Fórmula'!E15+'Fórmula'!G15+'Fórmula'!I15+'Fórmula'!K15))*(INDEX(properties!A$1:CB$87,'Fórmula'!B15,21))+(('Fórmula'!E15)/('Fórmula'!C15+'Fórmula'!E15+'Fórmula'!G15+'Fórmula'!I15+'Fórmula'!K15))*(INDEX(properties!A$1:CB$87,'Fórmula'!D15,21))+(('Fórmula'!G15)/('Fórmula'!C15+'Fórmula'!E15+'Fórmula'!G15+'Fórmula'!I15+'Fórmula'!K15))*(INDEX(properties!A$1:CB$87,'Fórmula'!F15,21))+(('Fórmula'!I15)/('Fórmula'!C15+'Fórmula'!E15+'Fórmula'!G15+'Fórmula'!I15+'Fórmula'!K15))*(INDEX(properties!A$1:CB$87,'Fórmula'!H15,21))+(('Fórmula'!K15)/('Fórmula'!C15+'Fórmula'!E15+'Fórmula'!G15+'Fórmula'!I15+'Fórmula'!K15))*(INDEX(properties!A$1:CB$87,'Fórmula'!J15,21))</f>
        <v>5.333333333</v>
      </c>
      <c r="BW15" s="113">
        <f t="array" ref="BW15">'Fórmula'!C15*(INDEX(properties!A$1:CB$87,'Fórmula'!B15,21))+'Fórmula'!E15*(INDEX(properties!A$1:CB$87,'Fórmula'!D15,21))+'Fórmula'!G15*(INDEX(properties!A$1:CB$87,'Fórmula'!F15,21))+'Fórmula'!I15*(INDEX(properties!A$1:CB$87,'Fórmula'!H15,21))+'Fórmula'!K15*(INDEX(properties!A$1:CB$87,'Fórmula'!J15,21))</f>
        <v>64</v>
      </c>
      <c r="BX15" s="113">
        <f t="array" ref="BX15">VARP(IF(INDEX(properties!A$1:CB$87,'Fórmula'!B15,21)&lt;&gt;"",INDEX(properties!A$1:CB$87,'Fórmula'!B15,21)),IF(INDEX(properties!A$1:CB$87,'Fórmula'!D15,21)&lt;&gt;"",INDEX(properties!A$1:CB$87,'Fórmula'!D15,21)),IF(INDEX(properties!A$1:CB$87,'Fórmula'!F15,21)&lt;&gt;"",INDEX(properties!A$1:CB$87,'Fórmula'!F15,21)),IF(INDEX(properties!A$1:CB$87,'Fórmula'!H15,21)&lt;&gt;"",INDEX(properties!A$1:CB$87,'Fórmula'!H15,21)),IF(INDEX(properties!A$1:CB$87,'Fórmula'!J15,21)&lt;&gt;"",INDEX(properties!A$1:CB$87,'Fórmula'!J15,21)))</f>
        <v>4.64</v>
      </c>
      <c r="BY15" s="113">
        <f t="array" ref="BY15">MAX(INDEX(properties!A$1:CB$87,'Fórmula'!B15,21),INDEX(properties!A$1:CB$87,'Fórmula'!D15,21),INDEX(properties!A$1:CB$87,'Fórmula'!F15,21),INDEX(properties!A$1:CB$87,'Fórmula'!H15,21),INDEX(properties!A$1:CB$87,'Fórmula'!J15,21))</f>
        <v>6</v>
      </c>
      <c r="BZ15" s="113">
        <f t="array" ref="BZ15">MIN(IF(INDEX(properties!A$1:CB$87,'Fórmula'!B15,21)=0,10^6,INDEX(properties!A$1:CB$87,'Fórmula'!B15,21)),IF(INDEX(properties!A$1:CB$87,'Fórmula'!D15,21)=0,10^6,INDEX(properties!A$1:CB$87,'Fórmula'!D15,21)),IF(INDEX(properties!A$1:CB$87,'Fórmula'!F15,21)=0,10^6,INDEX(properties!A$1:CB$87,'Fórmula'!F15,21)),IF(INDEX(properties!A$1:CB$87,'Fórmula'!H15,21)=0,10^6,INDEX(properties!A$1:CB$87,'Fórmula'!H15,21)),IF(INDEX(properties!A$1:CB$87,'Fórmula'!J15,21)=0,10^6,INDEX(properties!A$1:CB$87,'Fórmula'!J15,21)))</f>
        <v>2</v>
      </c>
      <c r="CA15" s="113">
        <f t="shared" si="13"/>
        <v>4</v>
      </c>
      <c r="CB15" s="114">
        <f t="array" ref="CB15">(('Fórmula'!C15)/('Fórmula'!C15+'Fórmula'!E15+'Fórmula'!G15+'Fórmula'!I15+'Fórmula'!K15))*(INDEX(properties!A$1:CB$87,'Fórmula'!B15,23))+(('Fórmula'!E15)/('Fórmula'!C15+'Fórmula'!E15+'Fórmula'!G15+'Fórmula'!I15+'Fórmula'!K15))*(INDEX(properties!A$1:CB$87,'Fórmula'!D15,23))+(('Fórmula'!G15)/('Fórmula'!C15+'Fórmula'!E15+'Fórmula'!G15+'Fórmula'!I15+'Fórmula'!K15))*(INDEX(properties!A$1:CB$87,'Fórmula'!F15,23))+(('Fórmula'!I15)/('Fórmula'!C15+'Fórmula'!E15+'Fórmula'!G15+'Fórmula'!I15+'Fórmula'!K15))*(INDEX(properties!A$1:CB$87,'Fórmula'!H15,23))+(('Fórmula'!K15)/('Fórmula'!C15+'Fórmula'!E15+'Fórmula'!G15+'Fórmula'!I15+'Fórmula'!K15))*(INDEX(properties!A$1:CB$87,'Fórmula'!J15,23))</f>
        <v>1</v>
      </c>
      <c r="CC15" s="114">
        <f t="array" ref="CC15">'Fórmula'!C15*(INDEX(properties!A$1:CB$87,'Fórmula'!B15,23))+'Fórmula'!E15*(INDEX(properties!A$1:CB$87,'Fórmula'!D15,23))+'Fórmula'!G15*(INDEX(properties!A$1:CB$87,'Fórmula'!F15,23))+'Fórmula'!I15*(INDEX(properties!A$1:CB$87,'Fórmula'!H15,23))+'Fórmula'!K15*(INDEX(properties!A$1:CB$87,'Fórmula'!J15,23))</f>
        <v>12</v>
      </c>
      <c r="CD15" s="114">
        <f t="array" ref="CD15">VARP(IF(INDEX(properties!A$1:CB$87,'Fórmula'!B15,23)&lt;&gt;"",INDEX(properties!A$1:CB$87,'Fórmula'!B15,23)),IF(INDEX(properties!A$1:CB$87,'Fórmula'!D15,23)&lt;&gt;"",INDEX(properties!A$1:CB$87,'Fórmula'!D15,23)),IF(INDEX(properties!A$1:CB$87,'Fórmula'!F15,23)&lt;&gt;"",INDEX(properties!A$1:CB$87,'Fórmula'!F15,23)),IF(INDEX(properties!A$1:CB$87,'Fórmula'!H15,23)&lt;&gt;"",INDEX(properties!A$1:CB$87,'Fórmula'!H15,23)),IF(INDEX(properties!A$1:CB$87,'Fórmula'!J15,23)&lt;&gt;"",INDEX(properties!A$1:CB$87,'Fórmula'!J15,23)))</f>
        <v>2.56</v>
      </c>
      <c r="CE15" s="114">
        <f t="array" ref="CE15">MAX(INDEX(properties!A$1:CB$87,'Fórmula'!B15,23),INDEX(properties!A$1:CB$87,'Fórmula'!D15,23),INDEX(properties!A$1:CB$87,'Fórmula'!F15,23),INDEX(properties!A$1:CB$87,'Fórmula'!H15,23),INDEX(properties!A$1:CB$87,'Fórmula'!J15,23))</f>
        <v>4</v>
      </c>
      <c r="CF15" s="114">
        <f t="array" ref="CF15">MIN(IF('Fórmula'!B15=87,10^6,INDEX(properties!A$1:CB$87,'Fórmula'!B15,23)),IF(('Fórmula'!D15)=87,10^6,INDEX(properties!A$1:CB$87,'Fórmula'!D15,23)),IF(('Fórmula'!F15)=87,10^6,INDEX(properties!A$1:CB$87,'Fórmula'!F15,23)),IF(('Fórmula'!H15)=87,10^6,INDEX(properties!A$1:CB$87,'Fórmula'!H15,23)),IF('Fórmula'!J15=87,10^6,INDEX(properties!A$1:CB$87,'Fórmula'!J15,23)))</f>
        <v>0</v>
      </c>
      <c r="CG15" s="114">
        <f t="shared" si="14"/>
        <v>4</v>
      </c>
      <c r="CH15" s="115">
        <f t="array" ref="CH15">(('Fórmula'!C15)/('Fórmula'!C15+'Fórmula'!E15+'Fórmula'!G15+'Fórmula'!I15+'Fórmula'!K15))*(INDEX(properties!A$1:CB$87,'Fórmula'!B15,26))+(('Fórmula'!E15)/('Fórmula'!C15+'Fórmula'!E15+'Fórmula'!G15+'Fórmula'!I15+'Fórmula'!K15))*(INDEX(properties!A$1:CB$87,'Fórmula'!D15,26))+(('Fórmula'!G15)/('Fórmula'!C15+'Fórmula'!E15+'Fórmula'!G15+'Fórmula'!I15+'Fórmula'!K15))*(INDEX(properties!A$1:CB$87,'Fórmula'!F15,26))+(('Fórmula'!I15)/('Fórmula'!C15+'Fórmula'!E15+'Fórmula'!G15+'Fórmula'!I15+'Fórmula'!K15))*(INDEX(properties!A$1:CB$87,'Fórmula'!H15,26))+(('Fórmula'!K15)/('Fórmula'!C15+'Fórmula'!E15+'Fórmula'!G15+'Fórmula'!I15+'Fórmula'!K15))*(INDEX(properties!A$1:CB$87,'Fórmula'!J15,26))</f>
        <v>11.959375</v>
      </c>
      <c r="CI15" s="115">
        <f t="array" ref="CI15">'Fórmula'!C15*(INDEX(properties!A$1:CB$87,'Fórmula'!B15,26))+'Fórmula'!E15*(INDEX(properties!A$1:CB$87,'Fórmula'!D15,26))+'Fórmula'!G15*(INDEX(properties!A$1:CB$87,'Fórmula'!F15,26))+'Fórmula'!I15*(INDEX(properties!A$1:CB$87,'Fórmula'!H15,26))+'Fórmula'!K15*(INDEX(properties!A$1:CB$87,'Fórmula'!J15,26))</f>
        <v>143.5125</v>
      </c>
      <c r="CJ15" s="115">
        <f t="array" ref="CJ15">VARP(IF(INDEX(properties!A$1:CB$87,'Fórmula'!B15,26)&lt;&gt;"",INDEX(properties!A$1:CB$87,'Fórmula'!B15,26)),IF(INDEX(properties!A$1:CB$87,'Fórmula'!D15,26)&lt;&gt;"",INDEX(properties!A$1:CB$87,'Fórmula'!D15,26)),IF(INDEX(properties!A$1:CB$87,'Fórmula'!F15,26)&lt;&gt;"",INDEX(properties!A$1:CB$87,'Fórmula'!F15,26)),IF(INDEX(properties!A$1:CB$87,'Fórmula'!H15,26)&lt;&gt;"",INDEX(properties!A$1:CB$87,'Fórmula'!H15,26)),IF(INDEX(properties!A$1:CB$87,'Fórmula'!J15,26)&lt;&gt;"",INDEX(properties!A$1:CB$87,'Fórmula'!J15,26)))</f>
        <v>21.20230054</v>
      </c>
      <c r="CK15" s="116">
        <f t="array" ref="CK15">MAX(INDEX(properties!A$1:CB$87,'Fórmula'!B15,26),INDEX(properties!A$1:CB$87,'Fórmula'!D15,26),INDEX(properties!A$1:CB$87,'Fórmula'!F15,26),INDEX(properties!A$1:CB$87,'Fórmula'!H15,26),INDEX(properties!A$1:CB$87,'Fórmula'!J15,26))</f>
        <v>13.6181</v>
      </c>
      <c r="CL15" s="116">
        <f t="array" ref="CL15">MIN(IF(INDEX(properties!A$1:CB$87,'Fórmula'!B15,26)=0,10^6,INDEX(properties!A$1:CB$87,'Fórmula'!B15,26)),IF(INDEX(properties!A$1:CB$87,'Fórmula'!D15,26)=0,10^6,INDEX(properties!A$1:CB$87,'Fórmula'!D15,26)),IF(INDEX(properties!A$1:CB$87,'Fórmula'!F15,26)=0,10^6,INDEX(properties!A$1:CB$87,'Fórmula'!F15,26)),IF(INDEX(properties!A$1:CB$87,'Fórmula'!H15,26)=0,10^6,INDEX(properties!A$1:CB$87,'Fórmula'!H15,26)),IF(INDEX(properties!A$1:CB$87,'Fórmula'!J15,26)=0,10^6,INDEX(properties!A$1:CB$87,'Fórmula'!J15,26)))</f>
        <v>5.6949</v>
      </c>
      <c r="CM15" s="115">
        <f t="shared" si="15"/>
        <v>7.9232</v>
      </c>
      <c r="CN15" s="117">
        <f t="array" ref="CN15">(('Fórmula'!C15)/('Fórmula'!C15+'Fórmula'!E15+'Fórmula'!G15+'Fórmula'!I15+'Fórmula'!K15))*(INDEX(properties!A$1:CB$87,'Fórmula'!B15,30))+(('Fórmula'!E15)/('Fórmula'!C15+'Fórmula'!E15+'Fórmula'!G15+'Fórmula'!I15+'Fórmula'!K15))*(INDEX(properties!A$1:CB$87,'Fórmula'!D15,30))+(('Fórmula'!G15)/('Fórmula'!C15+'Fórmula'!E15+'Fórmula'!G15+'Fórmula'!I15+'Fórmula'!K15))*(INDEX(properties!A$1:CB$87,'Fórmula'!F15,30))+(('Fórmula'!I15)/('Fórmula'!C15+'Fórmula'!E15+'Fórmula'!G15+'Fórmula'!I15+'Fórmula'!K15))*(INDEX(properties!A$1:CB$87,'Fórmula'!H15,30))+(('Fórmula'!K15)/('Fórmula'!C15+'Fórmula'!E15+'Fórmula'!G15+'Fórmula'!I15+'Fórmula'!K15))*(INDEX(properties!A$1:CB$87,'Fórmula'!J15,30))</f>
        <v>2.905</v>
      </c>
      <c r="CO15" s="117">
        <f t="array" ref="CO15">'Fórmula'!C15*(INDEX(properties!A$1:CB$87,'Fórmula'!B15,30))+'Fórmula'!E15*(INDEX(properties!A$1:CB$87,'Fórmula'!D15,30))+'Fórmula'!G15*(INDEX(properties!A$1:CB$87,'Fórmula'!F15,30))+'Fórmula'!I15*(INDEX(properties!A$1:CB$87,'Fórmula'!H15,30))+'Fórmula'!K15*(INDEX(properties!A$1:CB$87,'Fórmula'!J15,30))</f>
        <v>34.86</v>
      </c>
      <c r="CP15" s="117">
        <f t="array" ref="CP15">VARP(IF(INDEX(properties!A$1:CB$87,'Fórmula'!B15,30)&lt;&gt;"",INDEX(properties!A$1:CB$87,'Fórmula'!B15,30)),IF(INDEX(properties!A$1:CB$87,'Fórmula'!D15,30)&lt;&gt;"",INDEX(properties!A$1:CB$87,'Fórmula'!D15,30)),IF(INDEX(properties!A$1:CB$87,'Fórmula'!F15,30)&lt;&gt;"",INDEX(properties!A$1:CB$87,'Fórmula'!F15,30)),IF(INDEX(properties!A$1:CB$87,'Fórmula'!H15,30)&lt;&gt;"",INDEX(properties!A$1:CB$87,'Fórmula'!H15,30)),IF(INDEX(properties!A$1:CB$87,'Fórmula'!J15,30)&lt;&gt;"",INDEX(properties!A$1:CB$87,'Fórmula'!J15,30)))</f>
        <v>1.362936</v>
      </c>
      <c r="CQ15" s="117">
        <f t="array" ref="CQ15">MAX(INDEX(properties!A$1:CB$87,'Fórmula'!B15,30),INDEX(properties!A$1:CB$87,'Fórmula'!D15,30),INDEX(properties!A$1:CB$87,'Fórmula'!F15,30),INDEX(properties!A$1:CB$87,'Fórmula'!H15,30),INDEX(properties!A$1:CB$87,'Fórmula'!J15,30))</f>
        <v>3.44</v>
      </c>
      <c r="CR15" s="117">
        <f t="array" ref="CR15">MIN(IF(INDEX(properties!A$1:CB$87,'Fórmula'!B15,30)=0,10^6,INDEX(properties!A$1:CB$87,'Fórmula'!B15,30)),IF(INDEX(properties!A$1:CB$87,'Fórmula'!D15,30)=0,10^6,INDEX(properties!A$1:CB$87,'Fórmula'!D15,30)),IF(INDEX(properties!A$1:CB$87,'Fórmula'!F15,30)=0,10^6,INDEX(properties!A$1:CB$87,'Fórmula'!F15,30)),IF(INDEX(properties!A$1:CB$87,'Fórmula'!H15,30)=0,10^6,INDEX(properties!A$1:CB$87,'Fórmula'!H15,30)),IF(INDEX(properties!A$1:CB$87,'Fórmula'!J15,30)=0,10^6,INDEX(properties!A$1:CB$87,'Fórmula'!J15,30)))</f>
        <v>0.95</v>
      </c>
      <c r="CS15" s="117">
        <f t="shared" si="16"/>
        <v>2.49</v>
      </c>
      <c r="CT15" s="118">
        <f t="array" ref="CT15">(('Fórmula'!C15)/('Fórmula'!C15+'Fórmula'!E15+'Fórmula'!G15+'Fórmula'!I15+'Fórmula'!K15))*(INDEX(properties!A$1:CB$87,'Fórmula'!B15,31))+(('Fórmula'!E15)/('Fórmula'!C15+'Fórmula'!E15+'Fórmula'!G15+'Fórmula'!I15+'Fórmula'!K15))*(INDEX(properties!A$1:CB$87,'Fórmula'!D15,31))+(('Fórmula'!G15)/('Fórmula'!C15+'Fórmula'!E15+'Fórmula'!G15+'Fórmula'!I15+'Fórmula'!K15))*(INDEX(properties!A$1:CB$87,'Fórmula'!F15,31))+(('Fórmula'!I15)/('Fórmula'!C15+'Fórmula'!E15+'Fórmula'!G15+'Fórmula'!I15+'Fórmula'!K15))*(INDEX(properties!A$1:CB$87,'Fórmula'!H15,31))+(('Fórmula'!K15)/('Fórmula'!C15+'Fórmula'!E15+'Fórmula'!G15+'Fórmula'!I15+'Fórmula'!K15))*(INDEX(properties!A$1:CB$87,'Fórmula'!J15,31))</f>
        <v>2.86</v>
      </c>
      <c r="CU15" s="118">
        <f t="array" ref="CU15">'Fórmula'!C15*(INDEX(properties!A$1:CB$87,'Fórmula'!B15,31))+'Fórmula'!E15*(INDEX(properties!A$1:CB$87,'Fórmula'!D15,31))+'Fórmula'!G15*(INDEX(properties!A$1:CB$87,'Fórmula'!F15,31))+'Fórmula'!I15*(INDEX(properties!A$1:CB$87,'Fórmula'!H15,31))+'Fórmula'!K15*(INDEX(properties!A$1:CB$87,'Fórmula'!J15,31))</f>
        <v>34.32</v>
      </c>
      <c r="CV15" s="118">
        <f t="array" ref="CV15">VARP(IF(INDEX(properties!A$1:CB$87,'Fórmula'!B15,31)&lt;&gt;"",INDEX(properties!A$1:CB$87,'Fórmula'!B15,31)),IF(INDEX(properties!A$1:CB$87,'Fórmula'!D15,31)&lt;&gt;"",INDEX(properties!A$1:CB$87,'Fórmula'!D15,31)),IF(INDEX(properties!A$1:CB$87,'Fórmula'!F15,31)&lt;&gt;"",INDEX(properties!A$1:CB$87,'Fórmula'!F15,31)),IF(INDEX(properties!A$1:CB$87,'Fórmula'!H15,31)&lt;&gt;"",INDEX(properties!A$1:CB$87,'Fórmula'!H15,31)),IF(INDEX(properties!A$1:CB$87,'Fórmula'!J15,31)&lt;&gt;"",INDEX(properties!A$1:CB$87,'Fórmula'!J15,31)))</f>
        <v>1.258856</v>
      </c>
      <c r="CW15" s="118">
        <f t="array" ref="CW15">MAX(INDEX(properties!A$1:CB$87,'Fórmula'!B15,31),INDEX(properties!A$1:CB$87,'Fórmula'!D15,31),INDEX(properties!A$1:CB$87,'Fórmula'!F15,31),INDEX(properties!A$1:CB$87,'Fórmula'!H15,31),INDEX(properties!A$1:CB$87,'Fórmula'!J15,31))</f>
        <v>3.32</v>
      </c>
      <c r="CX15" s="118">
        <f t="array" ref="CX15">MIN(IF(INDEX(properties!A$1:CB$87,'Fórmula'!B15,31)=0,10^6,INDEX(properties!A$1:CB$87,'Fórmula'!B15,31)),IF(INDEX(properties!A$1:CB$87,'Fórmula'!D15,31)=0,10^6,INDEX(properties!A$1:CB$87,'Fórmula'!D15,31)),IF(INDEX(properties!A$1:CB$87,'Fórmula'!F15,31)=0,10^6,INDEX(properties!A$1:CB$87,'Fórmula'!F15,31)),IF(INDEX(properties!A$1:CB$87,'Fórmula'!H15,31)=0,10^6,INDEX(properties!A$1:CB$87,'Fórmula'!H15,31)),IF(INDEX(properties!A$1:CB$87,'Fórmula'!J15,31)=0,10^6,INDEX(properties!A$1:CB$87,'Fórmula'!J15,31)))</f>
        <v>1.13</v>
      </c>
      <c r="CY15" s="118">
        <f t="shared" si="17"/>
        <v>2.19</v>
      </c>
      <c r="CZ15" s="119">
        <f t="array" ref="CZ15">(('Fórmula'!C15)/('Fórmula'!C15+'Fórmula'!E15+'Fórmula'!G15+'Fórmula'!I15+'Fórmula'!K15))*(INDEX(properties!A$1:CB$87,'Fórmula'!B15,32))+(('Fórmula'!E15)/('Fórmula'!C15+'Fórmula'!E15+'Fórmula'!G15+'Fórmula'!I15+'Fórmula'!K15))*(INDEX(properties!A$1:CB$87,'Fórmula'!D15,32))+(('Fórmula'!G15)/('Fórmula'!C15+'Fórmula'!E15+'Fórmula'!G15+'Fórmula'!I15+'Fórmula'!K15))*(INDEX(properties!A$1:CB$87,'Fórmula'!F15,32))+(('Fórmula'!I15)/('Fórmula'!C15+'Fórmula'!E15+'Fórmula'!G15+'Fórmula'!I15+'Fórmula'!K15))*(INDEX(properties!A$1:CB$87,'Fórmula'!H15,32))+(('Fórmula'!K15)/('Fórmula'!C15+'Fórmula'!E15+'Fórmula'!G15+'Fórmula'!I15+'Fórmula'!K15))*(INDEX(properties!A$1:CB$87,'Fórmula'!J15,32))</f>
        <v>6.513333333</v>
      </c>
      <c r="DA15" s="119">
        <f t="array" ref="DA15">'Fórmula'!C15*(INDEX(properties!A$1:CB$87,'Fórmula'!B15,32))+'Fórmula'!E15*(INDEX(properties!A$1:CB$87,'Fórmula'!D15,32))+'Fórmula'!G15*(INDEX(properties!A$1:CB$87,'Fórmula'!F15,32))+'Fórmula'!I15*(INDEX(properties!A$1:CB$87,'Fórmula'!H15,32))+'Fórmula'!K15*(INDEX(properties!A$1:CB$87,'Fórmula'!J15,32))</f>
        <v>78.16</v>
      </c>
      <c r="DB15" s="119">
        <f t="array" ref="DB15">VARP(IF(INDEX(properties!A$1:CB$87,'Fórmula'!B15,32)&lt;&gt;"",INDEX(properties!A$1:CB$87,'Fórmula'!B15,32)),IF(INDEX(properties!A$1:CB$87,'Fórmula'!D15,32)&lt;&gt;"",INDEX(properties!A$1:CB$87,'Fórmula'!D15,32)),IF(INDEX(properties!A$1:CB$87,'Fórmula'!F15,32)&lt;&gt;"",INDEX(properties!A$1:CB$87,'Fórmula'!F15,32)),IF(INDEX(properties!A$1:CB$87,'Fórmula'!H15,32)&lt;&gt;"",INDEX(properties!A$1:CB$87,'Fórmula'!H15,32)),IF(INDEX(properties!A$1:CB$87,'Fórmula'!J15,32)&lt;&gt;"",INDEX(properties!A$1:CB$87,'Fórmula'!J15,32)))</f>
        <v>7.100896</v>
      </c>
      <c r="DC15" s="119">
        <f t="array" ref="DC15">MAX(INDEX(properties!A$1:CB$87,'Fórmula'!B15,32),INDEX(properties!A$1:CB$87,'Fórmula'!D15,32),INDEX(properties!A$1:CB$87,'Fórmula'!F15,32),INDEX(properties!A$1:CB$87,'Fórmula'!H15,32),INDEX(properties!A$1:CB$87,'Fórmula'!J15,32))</f>
        <v>7.54</v>
      </c>
      <c r="DD15" s="119">
        <f t="array" ref="DD15">MIN(IF(INDEX(properties!A$1:CB$87,'Fórmula'!B15,32)=0,10^6,INDEX(properties!A$1:CB$87,'Fórmula'!B15,32)),IF(INDEX(properties!A$1:CB$87,'Fórmula'!D15,32)=0,10^6,INDEX(properties!A$1:CB$87,'Fórmula'!D15,32)),IF(INDEX(properties!A$1:CB$87,'Fórmula'!F15,32)=0,10^6,INDEX(properties!A$1:CB$87,'Fórmula'!F15,32)),IF(INDEX(properties!A$1:CB$87,'Fórmula'!H15,32)=0,10^6,INDEX(properties!A$1:CB$87,'Fórmula'!H15,32)),IF(INDEX(properties!A$1:CB$87,'Fórmula'!J15,32)=0,10^6,INDEX(properties!A$1:CB$87,'Fórmula'!J15,32)))</f>
        <v>2</v>
      </c>
      <c r="DE15" s="119">
        <f t="shared" si="18"/>
        <v>5.54</v>
      </c>
      <c r="DF15" s="104">
        <f t="array" ref="DF15">(('Fórmula'!C15)/('Fórmula'!C15+'Fórmula'!E15+'Fórmula'!G15+'Fórmula'!I15+'Fórmula'!K15))*(INDEX(properties!A$1:CB$87,'Fórmula'!B15,34))+(('Fórmula'!E15)/('Fórmula'!C15+'Fórmula'!E15+'Fórmula'!G15+'Fórmula'!I15+'Fórmula'!K15))*(INDEX(properties!A$1:CB$87,'Fórmula'!D15,34))+(('Fórmula'!G15)/('Fórmula'!C15+'Fórmula'!E15+'Fórmula'!G15+'Fórmula'!I15+'Fórmula'!K15))*(INDEX(properties!A$1:CB$87,'Fórmula'!F15,34))+(('Fórmula'!I15)/('Fórmula'!C15+'Fórmula'!E15+'Fórmula'!G15+'Fórmula'!I15+'Fórmula'!K15))*(INDEX(properties!A$1:CB$87,'Fórmula'!H15,34))+(('Fórmula'!K15)/('Fórmula'!C15+'Fórmula'!E15+'Fórmula'!G15+'Fórmula'!I15+'Fórmula'!K15))*(INDEX(properties!A$1:CB$87,'Fórmula'!J15,34))</f>
        <v>3.028583333</v>
      </c>
      <c r="DG15" s="104">
        <f t="array" ref="DG15">'Fórmula'!C15*(INDEX(properties!A$1:CB$87,'Fórmula'!B15,34))+'Fórmula'!E15*(INDEX(properties!A$1:CB$87,'Fórmula'!D15,34))+'Fórmula'!G15*(INDEX(properties!A$1:CB$87,'Fórmula'!F15,34))+'Fórmula'!I15*(INDEX(properties!A$1:CB$87,'Fórmula'!H15,34))+'Fórmula'!K15*(INDEX(properties!A$1:CB$87,'Fórmula'!J15,34))</f>
        <v>36.343</v>
      </c>
      <c r="DH15" s="104">
        <f t="array" ref="DH15">VARP(IF(INDEX(properties!A$1:CB$87,'Fórmula'!B15,34)&lt;&gt;"",INDEX(properties!A$1:CB$87,'Fórmula'!B15,34)),IF(INDEX(properties!A$1:CB$87,'Fórmula'!D15,34)&lt;&gt;"",INDEX(properties!A$1:CB$87,'Fórmula'!D15,34)),IF(INDEX(properties!A$1:CB$87,'Fórmula'!F15,34)&lt;&gt;"",INDEX(properties!A$1:CB$87,'Fórmula'!F15,34)),IF(INDEX(properties!A$1:CB$87,'Fórmula'!H15,34)&lt;&gt;"",INDEX(properties!A$1:CB$87,'Fórmula'!H15,34)),IF(INDEX(properties!A$1:CB$87,'Fórmula'!J15,34)&lt;&gt;"",INDEX(properties!A$1:CB$87,'Fórmula'!J15,34)))</f>
        <v>1.4906068</v>
      </c>
      <c r="DI15" s="104">
        <f t="array" ref="DI15">MAX(INDEX(properties!A$1:CB$87,'Fórmula'!B15,34),INDEX(properties!A$1:CB$87,'Fórmula'!D15,34),INDEX(properties!A$1:CB$87,'Fórmula'!F15,34),INDEX(properties!A$1:CB$87,'Fórmula'!H15,34),INDEX(properties!A$1:CB$87,'Fórmula'!J15,34))</f>
        <v>3.61</v>
      </c>
      <c r="DJ15" s="104">
        <f t="array" ref="DJ15">MIN(IF(INDEX(properties!A$1:CB$87,'Fórmula'!B15,34)=0,10^6,INDEX(properties!A$1:CB$87,'Fórmula'!B15,34)),IF(INDEX(properties!A$1:CB$87,'Fórmula'!D15,34)=0,10^6,INDEX(properties!A$1:CB$87,'Fórmula'!D15,34)),IF(INDEX(properties!A$1:CB$87,'Fórmula'!F15,34)=0,10^6,INDEX(properties!A$1:CB$87,'Fórmula'!F15,34)),IF(INDEX(properties!A$1:CB$87,'Fórmula'!H15,34)=0,10^6,INDEX(properties!A$1:CB$87,'Fórmula'!H15,34)),IF(INDEX(properties!A$1:CB$87,'Fórmula'!J15,34)=0,10^6,INDEX(properties!A$1:CB$87,'Fórmula'!J15,34)))</f>
        <v>0.963</v>
      </c>
      <c r="DK15" s="104">
        <f t="shared" si="19"/>
        <v>2.647</v>
      </c>
      <c r="DL15" s="105">
        <f t="array" ref="DL15">(('Fórmula'!C15)/('Fórmula'!C15+'Fórmula'!E15+'Fórmula'!G15+'Fórmula'!I15+'Fórmula'!K15))*(INDEX(properties!A$1:CB$87,'Fórmula'!B15,37))+(('Fórmula'!E15)/('Fórmula'!C15+'Fórmula'!E15+'Fórmula'!G15+'Fórmula'!I15+'Fórmula'!K15))*(INDEX(properties!A$1:CB$87,'Fórmula'!D15,37))+(('Fórmula'!G15)/('Fórmula'!C15+'Fórmula'!E15+'Fórmula'!G15+'Fórmula'!I15+'Fórmula'!K15))*(INDEX(properties!A$1:CB$87,'Fórmula'!F15,37))+(('Fórmula'!I15)/('Fórmula'!C15+'Fórmula'!E15+'Fórmula'!G15+'Fórmula'!I15+'Fórmula'!K15))*(INDEX(properties!A$1:CB$87,'Fórmula'!H15,37))+(('Fórmula'!K15)/('Fórmula'!C15+'Fórmula'!E15+'Fórmula'!G15+'Fórmula'!I15+'Fórmula'!K15))*(INDEX(properties!A$1:CB$87,'Fórmula'!J15,37))</f>
        <v>2.875</v>
      </c>
      <c r="DM15" s="105">
        <f t="array" ref="DM15">'Fórmula'!C15*(INDEX(properties!A$1:CB$87,'Fórmula'!B15,37))+'Fórmula'!E15*(INDEX(properties!A$1:CB$87,'Fórmula'!D15,37))+'Fórmula'!G15*(INDEX(properties!A$1:CB$87,'Fórmula'!F15,37))+'Fórmula'!I15*(INDEX(properties!A$1:CB$87,'Fórmula'!H15,37))+'Fórmula'!K15*(INDEX(properties!A$1:CB$87,'Fórmula'!J15,37))</f>
        <v>34.5</v>
      </c>
      <c r="DN15" s="105">
        <f t="array" ref="DN15">VARP(IF(INDEX(properties!A$1:CB$87,'Fórmula'!B15,37)&lt;&gt;"",INDEX(properties!A$1:CB$87,'Fórmula'!B15,37)),IF(INDEX(properties!A$1:CB$87,'Fórmula'!D15,37)&lt;&gt;"",INDEX(properties!A$1:CB$87,'Fórmula'!D15,37)),IF(INDEX(properties!A$1:CB$87,'Fórmula'!F15,37)&lt;&gt;"",INDEX(properties!A$1:CB$87,'Fórmula'!F15,37)),IF(INDEX(properties!A$1:CB$87,'Fórmula'!H15,37)&lt;&gt;"",INDEX(properties!A$1:CB$87,'Fórmula'!H15,37)),IF(INDEX(properties!A$1:CB$87,'Fórmula'!J15,37)&lt;&gt;"",INDEX(properties!A$1:CB$87,'Fórmula'!J15,37)))</f>
        <v>1.318</v>
      </c>
      <c r="DO15" s="105">
        <f t="array" ref="DO15">MAX(INDEX(properties!A$1:CB$87,'Fórmula'!B15,37),INDEX(properties!A$1:CB$87,'Fórmula'!D15,37),INDEX(properties!A$1:CB$87,'Fórmula'!F15,37),INDEX(properties!A$1:CB$87,'Fórmula'!H15,37),INDEX(properties!A$1:CB$87,'Fórmula'!J15,37))</f>
        <v>3.45</v>
      </c>
      <c r="DP15" s="105">
        <f t="array" ref="DP15">MIN(IF(INDEX(properties!A$1:CB$87,'Fórmula'!B15,37)=0,10^6,INDEX(properties!A$1:CB$87,'Fórmula'!B15,37)),IF(INDEX(properties!A$1:CB$87,'Fórmula'!D15,37)=0,10^6,INDEX(properties!A$1:CB$87,'Fórmula'!D15,37)),IF(INDEX(properties!A$1:CB$87,'Fórmula'!F15,37)=0,10^6,INDEX(properties!A$1:CB$87,'Fórmula'!F15,37)),IF(INDEX(properties!A$1:CB$87,'Fórmula'!H15,37)=0,10^6,INDEX(properties!A$1:CB$87,'Fórmula'!H15,37)),IF(INDEX(properties!A$1:CB$87,'Fórmula'!J15,37)=0,10^6,INDEX(properties!A$1:CB$87,'Fórmula'!J15,37)))</f>
        <v>1</v>
      </c>
      <c r="DQ15" s="105">
        <f t="shared" si="20"/>
        <v>2.45</v>
      </c>
      <c r="DR15" s="109">
        <f t="array" ref="DR15">(('Fórmula'!C15)/('Fórmula'!C15+'Fórmula'!E15+'Fórmula'!G15+'Fórmula'!I15+'Fórmula'!K15))*(INDEX(properties!A$1:CB$87,'Fórmula'!B15,39))+(('Fórmula'!E15)/('Fórmula'!C15+'Fórmula'!E15+'Fórmula'!G15+'Fórmula'!I15+'Fórmula'!K15))*(INDEX(properties!A$1:CB$87,'Fórmula'!D15,39))+(('Fórmula'!G15)/('Fórmula'!C15+'Fórmula'!E15+'Fórmula'!G15+'Fórmula'!I15+'Fórmula'!K15))*(INDEX(properties!A$1:CB$87,'Fórmula'!F15,39))+(('Fórmula'!I15)/('Fórmula'!C15+'Fórmula'!E15+'Fórmula'!G15+'Fórmula'!I15+'Fórmula'!K15))*(INDEX(properties!A$1:CB$87,'Fórmula'!H15,39))+(('Fórmula'!K15)/('Fórmula'!C15+'Fórmula'!E15+'Fórmula'!G15+'Fórmula'!I15+'Fórmula'!K15))*(INDEX(properties!A$1:CB$87,'Fórmula'!J15,39))</f>
        <v>0.77</v>
      </c>
      <c r="DS15" s="109">
        <f t="array" ref="DS15">'Fórmula'!C15*(INDEX(properties!A$1:CB$87,'Fórmula'!B15,39))+'Fórmula'!E15*(INDEX(properties!A$1:CB$87,'Fórmula'!D15,39))+'Fórmula'!G15*(INDEX(properties!A$1:CB$87,'Fórmula'!F15,39))+'Fórmula'!I15*(INDEX(properties!A$1:CB$87,'Fórmula'!H15,39))+'Fórmula'!K15*(INDEX(properties!A$1:CB$87,'Fórmula'!J15,39))</f>
        <v>9.24</v>
      </c>
      <c r="DT15" s="109">
        <f t="array" ref="DT15">VARP(IF(INDEX(properties!A$1:CB$87,'Fórmula'!B15,39)&lt;&gt;"",INDEX(properties!A$1:CB$87,'Fórmula'!B15,39)),IF(INDEX(properties!A$1:CB$87,'Fórmula'!D15,39)&lt;&gt;"",INDEX(properties!A$1:CB$87,'Fórmula'!D15,39)),IF(INDEX(properties!A$1:CB$87,'Fórmula'!F15,39)&lt;&gt;"",INDEX(properties!A$1:CB$87,'Fórmula'!F15,39)),IF(INDEX(properties!A$1:CB$87,'Fórmula'!H15,39)&lt;&gt;"",INDEX(properties!A$1:CB$87,'Fórmula'!H15,39)),IF(INDEX(properties!A$1:CB$87,'Fórmula'!J15,39)&lt;&gt;"",INDEX(properties!A$1:CB$87,'Fórmula'!J15,39)))</f>
        <v>0.54948</v>
      </c>
      <c r="DU15" s="120">
        <f t="array" ref="DU15">MAX(INDEX(properties!A$1:CB$87,'Fórmula'!B15,39),INDEX(properties!A$1:CB$87,'Fórmula'!D15,39),INDEX(properties!A$1:CB$87,'Fórmula'!F15,39),INDEX(properties!A$1:CB$87,'Fórmula'!H15,39),INDEX(properties!A$1:CB$87,'Fórmula'!J15,39))</f>
        <v>2.19</v>
      </c>
      <c r="DV15" s="120">
        <f t="array" ref="DV15">MIN(IF(INDEX(properties!A$1:CB$87,'Fórmula'!B15,39)=0,10^6,INDEX(properties!A$1:CB$87,'Fórmula'!B15,39)),IF(INDEX(properties!A$1:CB$87,'Fórmula'!D15,39)=0,10^6,INDEX(properties!A$1:CB$87,'Fórmula'!D15,39)),IF(INDEX(properties!A$1:CB$87,'Fórmula'!F15,39)=0,10^6,INDEX(properties!A$1:CB$87,'Fórmula'!F15,39)),IF(INDEX(properties!A$1:CB$87,'Fórmula'!H15,39)=0,10^6,INDEX(properties!A$1:CB$87,'Fórmula'!H15,39)),IF(INDEX(properties!A$1:CB$87,'Fórmula'!J15,39)=0,10^6,INDEX(properties!A$1:CB$87,'Fórmula'!J15,39)))</f>
        <v>0.48</v>
      </c>
      <c r="DW15" s="109">
        <f t="shared" si="21"/>
        <v>1.71</v>
      </c>
      <c r="DX15" s="110">
        <f t="array" ref="DX15">(('Fórmula'!C15)/('Fórmula'!C15+'Fórmula'!E15+'Fórmula'!G15+'Fórmula'!I15+'Fórmula'!K15))*(INDEX(properties!A$1:CB$87,'Fórmula'!B15,40))+(('Fórmula'!E15)/('Fórmula'!C15+'Fórmula'!E15+'Fórmula'!G15+'Fórmula'!I15+'Fórmula'!K15))*(INDEX(properties!A$1:CB$87,'Fórmula'!D15,40))+(('Fórmula'!G15)/('Fórmula'!C15+'Fórmula'!E15+'Fórmula'!G15+'Fórmula'!I15+'Fórmula'!K15))*(INDEX(properties!A$1:CB$87,'Fórmula'!F15,40))+(('Fórmula'!I15)/('Fórmula'!C15+'Fórmula'!E15+'Fórmula'!G15+'Fórmula'!I15+'Fórmula'!K15))*(INDEX(properties!A$1:CB$87,'Fórmula'!H15,40))+(('Fórmula'!K15)/('Fórmula'!C15+'Fórmula'!E15+'Fórmula'!G15+'Fórmula'!I15+'Fórmula'!K15))*(INDEX(properties!A$1:CB$87,'Fórmula'!J15,40))</f>
        <v>0.925</v>
      </c>
      <c r="DY15" s="110">
        <f t="array" ref="DY15">'Fórmula'!C15*(INDEX(properties!A$1:CB$87,'Fórmula'!B15,40))+'Fórmula'!E15*(INDEX(properties!A$1:CB$87,'Fórmula'!D15,40))+'Fórmula'!G15*(INDEX(properties!A$1:CB$87,'Fórmula'!F15,40))+'Fórmula'!I15*(INDEX(properties!A$1:CB$87,'Fórmula'!H15,40))+'Fórmula'!K15*(INDEX(properties!A$1:CB$87,'Fórmula'!J15,40))</f>
        <v>11.1</v>
      </c>
      <c r="DZ15" s="110">
        <f t="array" ref="DZ15">VARP(IF(INDEX(properties!A$1:CB$87,'Fórmula'!B15,40)&lt;&gt;"",INDEX(properties!A$1:CB$87,'Fórmula'!B15,40)),IF(INDEX(properties!A$1:CB$87,'Fórmula'!D15,40)&lt;&gt;"",INDEX(properties!A$1:CB$87,'Fórmula'!D15,40)),IF(INDEX(properties!A$1:CB$87,'Fórmula'!F15,40)&lt;&gt;"",INDEX(properties!A$1:CB$87,'Fórmula'!F15,40)),IF(INDEX(properties!A$1:CB$87,'Fórmula'!H15,40)&lt;&gt;"",INDEX(properties!A$1:CB$87,'Fórmula'!H15,40)),IF(INDEX(properties!A$1:CB$87,'Fórmula'!J15,40)&lt;&gt;"",INDEX(properties!A$1:CB$87,'Fórmula'!J15,40)))</f>
        <v>0.394064</v>
      </c>
      <c r="EA15" s="121">
        <f t="array" ref="EA15">MAX(INDEX(properties!A$1:CB$87,'Fórmula'!B15,40),INDEX(properties!A$1:CB$87,'Fórmula'!D15,40),INDEX(properties!A$1:CB$87,'Fórmula'!F15,40),INDEX(properties!A$1:CB$87,'Fórmula'!H15,40),INDEX(properties!A$1:CB$87,'Fórmula'!J15,40))</f>
        <v>1.92</v>
      </c>
      <c r="EB15" s="121">
        <f t="array" ref="EB15">MIN(IF(INDEX(properties!A$1:CB$87,'Fórmula'!B15,40)=0,10^6,INDEX(properties!A$1:CB$87,'Fórmula'!B15,40)),IF(INDEX(properties!A$1:CB$87,'Fórmula'!D15,40)=0,10^6,INDEX(properties!A$1:CB$87,'Fórmula'!D15,40)),IF(INDEX(properties!A$1:CB$87,'Fórmula'!F15,40)=0,10^6,INDEX(properties!A$1:CB$87,'Fórmula'!F15,40)),IF(INDEX(properties!A$1:CB$87,'Fórmula'!H15,40)=0,10^6,INDEX(properties!A$1:CB$87,'Fórmula'!H15,40)),IF(INDEX(properties!A$1:CB$87,'Fórmula'!J15,40)=0,10^6,INDEX(properties!A$1:CB$87,'Fórmula'!J15,40)))</f>
        <v>0.73</v>
      </c>
      <c r="EC15" s="110">
        <f t="shared" si="22"/>
        <v>1.19</v>
      </c>
      <c r="ED15" s="111">
        <f t="array" ref="ED15">(('Fórmula'!C15)/('Fórmula'!C15+'Fórmula'!E15+'Fórmula'!G15+'Fórmula'!I15+'Fórmula'!K15))*(INDEX(properties!A$1:CB$87,'Fórmula'!B15,41))+(('Fórmula'!E15)/('Fórmula'!C15+'Fórmula'!E15+'Fórmula'!G15+'Fórmula'!I15+'Fórmula'!K15))*(INDEX(properties!A$1:CB$87,'Fórmula'!D15,41))+(('Fórmula'!G15)/('Fórmula'!C15+'Fórmula'!E15+'Fórmula'!G15+'Fórmula'!I15+'Fórmula'!K15))*(INDEX(properties!A$1:CB$87,'Fórmula'!F15,41))+(('Fórmula'!I15)/('Fórmula'!C15+'Fórmula'!E15+'Fórmula'!G15+'Fórmula'!I15+'Fórmula'!K15))*(INDEX(properties!A$1:CB$87,'Fórmula'!H15,41))+(('Fórmula'!K15)/('Fórmula'!C15+'Fórmula'!E15+'Fórmula'!G15+'Fórmula'!I15+'Fórmula'!K15))*(INDEX(properties!A$1:CB$87,'Fórmula'!J15,41))</f>
        <v>1.119166667</v>
      </c>
      <c r="EE15" s="111">
        <f t="array" ref="EE15">'Fórmula'!C15*(INDEX(properties!A$1:CB$87,'Fórmula'!B15,41))+'Fórmula'!E15*(INDEX(properties!A$1:CB$87,'Fórmula'!D15,41))+'Fórmula'!G15*(INDEX(properties!A$1:CB$87,'Fórmula'!F15,41))+'Fórmula'!I15*(INDEX(properties!A$1:CB$87,'Fórmula'!H15,41))+'Fórmula'!K15*(INDEX(properties!A$1:CB$87,'Fórmula'!J15,41))</f>
        <v>13.43</v>
      </c>
      <c r="EF15" s="111">
        <f t="array" ref="EF15">VARP(IF(INDEX(properties!A$1:CB$87,'Fórmula'!B15,41)&lt;&gt;"",INDEX(properties!A$1:CB$87,'Fórmula'!B15,41)),IF(INDEX(properties!A$1:CB$87,'Fórmula'!D15,41)&lt;&gt;"",INDEX(properties!A$1:CB$87,'Fórmula'!D15,41)),IF(INDEX(properties!A$1:CB$87,'Fórmula'!F15,41)&lt;&gt;"",INDEX(properties!A$1:CB$87,'Fórmula'!F15,41)),IF(INDEX(properties!A$1:CB$87,'Fórmula'!H15,41)&lt;&gt;"",INDEX(properties!A$1:CB$87,'Fórmula'!H15,41)),IF(INDEX(properties!A$1:CB$87,'Fórmula'!J15,41)&lt;&gt;"",INDEX(properties!A$1:CB$87,'Fórmula'!J15,41)))</f>
        <v>0.235024</v>
      </c>
      <c r="EG15" s="122">
        <f t="array" ref="EG15">MAX(INDEX(properties!A$1:CB$87,'Fórmula'!B15,41),INDEX(properties!A$1:CB$87,'Fórmula'!D15,41),INDEX(properties!A$1:CB$87,'Fórmula'!F15,41),INDEX(properties!A$1:CB$87,'Fórmula'!H15,41),INDEX(properties!A$1:CB$87,'Fórmula'!J15,41))</f>
        <v>1.32</v>
      </c>
      <c r="EH15" s="122">
        <f t="array" ref="EH15">MIN(IF(INDEX(properties!A$1:CB$87,'Fórmula'!B15,41)=0,10^6,INDEX(properties!A$1:CB$87,'Fórmula'!B15,41)),IF(INDEX(properties!A$1:CB$87,'Fórmula'!D15,41)=0,10^6,INDEX(properties!A$1:CB$87,'Fórmula'!D15,41)),IF(INDEX(properties!A$1:CB$87,'Fórmula'!F15,41)=0,10^6,INDEX(properties!A$1:CB$87,'Fórmula'!F15,41)),IF(INDEX(properties!A$1:CB$87,'Fórmula'!H15,41)=0,10^6,INDEX(properties!A$1:CB$87,'Fórmula'!H15,41)),IF(INDEX(properties!A$1:CB$87,'Fórmula'!J15,41)=0,10^6,INDEX(properties!A$1:CB$87,'Fórmula'!J15,41)))</f>
        <v>0.58</v>
      </c>
      <c r="EI15" s="111">
        <f t="shared" si="23"/>
        <v>0.74</v>
      </c>
      <c r="EJ15" s="112">
        <f t="array" ref="EJ15">(('Fórmula'!C15)/('Fórmula'!C15+'Fórmula'!E15+'Fórmula'!G15+'Fórmula'!I15+'Fórmula'!K15))*(INDEX(properties!A$1:CB$87,'Fórmula'!B15,45))+(('Fórmula'!E15)/('Fórmula'!C15+'Fórmula'!E15+'Fórmula'!G15+'Fórmula'!I15+'Fórmula'!K15))*(INDEX(properties!A$1:CB$87,'Fórmula'!D15,45))+(('Fórmula'!G15)/('Fórmula'!C15+'Fórmula'!E15+'Fórmula'!G15+'Fórmula'!I15+'Fórmula'!K15))*(INDEX(properties!A$1:CB$87,'Fórmula'!F15,45))+(('Fórmula'!I15)/('Fórmula'!C15+'Fórmula'!E15+'Fórmula'!G15+'Fórmula'!I15+'Fórmula'!K15))*(INDEX(properties!A$1:CB$87,'Fórmula'!H15,45))+(('Fórmula'!K15)/('Fórmula'!C15+'Fórmula'!E15+'Fórmula'!G15+'Fórmula'!I15+'Fórmula'!K15))*(INDEX(properties!A$1:CB$87,'Fórmula'!J15,45))</f>
        <v>0.9175</v>
      </c>
      <c r="EK15" s="112">
        <f t="array" ref="EK15">'Fórmula'!C15*(INDEX(properties!A$1:CB$87,'Fórmula'!B15,45))+'Fórmula'!E15*(INDEX(properties!A$1:CB$87,'Fórmula'!D15,45))+'Fórmula'!G15*(INDEX(properties!A$1:CB$87,'Fórmula'!F15,45))+'Fórmula'!I15*(INDEX(properties!A$1:CB$87,'Fórmula'!H15,45))+'Fórmula'!K15*(INDEX(properties!A$1:CB$87,'Fórmula'!J15,45))</f>
        <v>11.01</v>
      </c>
      <c r="EL15" s="112">
        <f t="array" ref="EL15">VARP(IF(INDEX(properties!A$1:CB$87,'Fórmula'!B15,45)&lt;&gt;"",INDEX(properties!A$1:CB$87,'Fórmula'!B15,45)),IF(INDEX(properties!A$1:CB$87,'Fórmula'!D15,45)&lt;&gt;"",INDEX(properties!A$1:CB$87,'Fórmula'!D15,45)),IF(INDEX(properties!A$1:CB$87,'Fórmula'!F15,45)&lt;&gt;"",INDEX(properties!A$1:CB$87,'Fórmula'!F15,45)),IF(INDEX(properties!A$1:CB$87,'Fórmula'!H15,45)&lt;&gt;"",INDEX(properties!A$1:CB$87,'Fórmula'!H15,45)),IF(INDEX(properties!A$1:CB$87,'Fórmula'!J15,45)&lt;&gt;"",INDEX(properties!A$1:CB$87,'Fórmula'!J15,45)))</f>
        <v>1.219624</v>
      </c>
      <c r="EM15" s="123">
        <f t="array" ref="EM15">MAX(INDEX(properties!A$1:CB$87,'Fórmula'!B15,45),INDEX(properties!A$1:CB$87,'Fórmula'!D15,45),INDEX(properties!A$1:CB$87,'Fórmula'!F15,45),INDEX(properties!A$1:CB$87,'Fórmula'!H15,45),INDEX(properties!A$1:CB$87,'Fórmula'!J15,45))</f>
        <v>3.21</v>
      </c>
      <c r="EN15" s="123">
        <f t="array" ref="EN15">MIN(IF(INDEX(properties!A$1:CB$87,'Fórmula'!B15,45)=0,10^6,INDEX(properties!A$1:CB$87,'Fórmula'!B15,45)),IF(INDEX(properties!A$1:CB$87,'Fórmula'!D15,45)=0,10^6,INDEX(properties!A$1:CB$87,'Fórmula'!D15,45)),IF(INDEX(properties!A$1:CB$87,'Fórmula'!F15,45)=0,10^6,INDEX(properties!A$1:CB$87,'Fórmula'!F15,45)),IF(INDEX(properties!A$1:CB$87,'Fórmula'!H15,45)=0,10^6,INDEX(properties!A$1:CB$87,'Fórmula'!H15,45)),IF(INDEX(properties!A$1:CB$87,'Fórmula'!J15,45)=0,10^6,INDEX(properties!A$1:CB$87,'Fórmula'!J15,45)))</f>
        <v>0.47</v>
      </c>
      <c r="EO15" s="112">
        <f t="shared" si="24"/>
        <v>2.74</v>
      </c>
      <c r="EP15" s="113">
        <f t="array" ref="EP15">(('Fórmula'!C15)/('Fórmula'!C15+'Fórmula'!E15+'Fórmula'!G15+'Fórmula'!I15+'Fórmula'!K15))*(INDEX(properties!A$1:CB$87,'Fórmula'!B15,46))+(('Fórmula'!E15)/('Fórmula'!C15+'Fórmula'!E15+'Fórmula'!G15+'Fórmula'!I15+'Fórmula'!K15))*(INDEX(properties!A$1:CB$87,'Fórmula'!D15,46))+(('Fórmula'!G15)/('Fórmula'!C15+'Fórmula'!E15+'Fórmula'!G15+'Fórmula'!I15+'Fórmula'!K15))*(INDEX(properties!A$1:CB$87,'Fórmula'!F15,46))+(('Fórmula'!I15)/('Fórmula'!C15+'Fórmula'!E15+'Fórmula'!G15+'Fórmula'!I15+'Fórmula'!K15))*(INDEX(properties!A$1:CB$87,'Fórmula'!H15,46))+(('Fórmula'!K15)/('Fórmula'!C15+'Fórmula'!E15+'Fórmula'!G15+'Fórmula'!I15+'Fórmula'!K15))*(INDEX(properties!A$1:CB$87,'Fórmula'!J15,46))</f>
        <v>1.0125</v>
      </c>
      <c r="EQ15" s="113">
        <f t="array" ref="EQ15">'Fórmula'!C15*(INDEX(properties!A$1:CB$87,'Fórmula'!B15,46))+'Fórmula'!E15*(INDEX(properties!A$1:CB$87,'Fórmula'!D15,46))+'Fórmula'!G15*(INDEX(properties!A$1:CB$87,'Fórmula'!F15,46))+'Fórmula'!I15*(INDEX(properties!A$1:CB$87,'Fórmula'!H15,46))+'Fórmula'!K15*(INDEX(properties!A$1:CB$87,'Fórmula'!J15,46))</f>
        <v>12.15</v>
      </c>
      <c r="ER15" s="113">
        <f t="array" ref="ER15">VARP(IF(INDEX(properties!A$1:CB$87,'Fórmula'!B15,46)&lt;&gt;"",INDEX(properties!A$1:CB$87,'Fórmula'!B15,46)),IF(INDEX(properties!A$1:CB$87,'Fórmula'!D15,46)&lt;&gt;"",INDEX(properties!A$1:CB$87,'Fórmula'!D15,46)),IF(INDEX(properties!A$1:CB$87,'Fórmula'!F15,46)&lt;&gt;"",INDEX(properties!A$1:CB$87,'Fórmula'!F15,46)),IF(INDEX(properties!A$1:CB$87,'Fórmula'!H15,46)&lt;&gt;"",INDEX(properties!A$1:CB$87,'Fórmula'!H15,46)),IF(INDEX(properties!A$1:CB$87,'Fórmula'!J15,46)&lt;&gt;"",INDEX(properties!A$1:CB$87,'Fórmula'!J15,46)))</f>
        <v>0.262424</v>
      </c>
      <c r="ES15" s="124">
        <f t="array" ref="ES15">MAX(INDEX(properties!A$1:CB$87,'Fórmula'!B15,46),INDEX(properties!A$1:CB$87,'Fórmula'!D15,46),INDEX(properties!A$1:CB$87,'Fórmula'!F15,46),INDEX(properties!A$1:CB$87,'Fórmula'!H15,46),INDEX(properties!A$1:CB$87,'Fórmula'!J15,46))</f>
        <v>1.32</v>
      </c>
      <c r="ET15" s="124">
        <f t="array" ref="ET15">MIN(IF(INDEX(properties!A$1:CB$87,'Fórmula'!B15,46)=0,10^6,INDEX(properties!A$1:CB$87,'Fórmula'!B15,46)),IF(INDEX(properties!A$1:CB$87,'Fórmula'!D15,46)=0,10^6,INDEX(properties!A$1:CB$87,'Fórmula'!D15,46)),IF(INDEX(properties!A$1:CB$87,'Fórmula'!F15,46)=0,10^6,INDEX(properties!A$1:CB$87,'Fórmula'!F15,46)),IF(INDEX(properties!A$1:CB$87,'Fórmula'!H15,46)=0,10^6,INDEX(properties!A$1:CB$87,'Fórmula'!H15,46)),IF(INDEX(properties!A$1:CB$87,'Fórmula'!J15,46)=0,10^6,INDEX(properties!A$1:CB$87,'Fórmula'!J15,46)))</f>
        <v>0.31</v>
      </c>
      <c r="EU15" s="113">
        <f t="shared" si="25"/>
        <v>1.01</v>
      </c>
      <c r="EV15" s="114">
        <f t="array" ref="EV15">(('Fórmula'!C15)/('Fórmula'!C15+'Fórmula'!E15+'Fórmula'!G15+'Fórmula'!I15+'Fórmula'!K15))*(INDEX(properties!A$1:CB$87,'Fórmula'!B15,52))+(('Fórmula'!E15)/('Fórmula'!C15+'Fórmula'!E15+'Fórmula'!G15+'Fórmula'!I15+'Fórmula'!K15))*(INDEX(properties!A$1:CB$87,'Fórmula'!D15,52))+(('Fórmula'!G15)/('Fórmula'!C15+'Fórmula'!E15+'Fórmula'!G15+'Fórmula'!I15+'Fórmula'!K15))*(INDEX(properties!A$1:CB$87,'Fórmula'!F15,52))+(('Fórmula'!I15)/('Fórmula'!C15+'Fórmula'!E15+'Fórmula'!G15+'Fórmula'!I15+'Fórmula'!K15))*(INDEX(properties!A$1:CB$87,'Fórmula'!H15,52))+(('Fórmula'!K15)/('Fórmula'!C15+'Fórmula'!E15+'Fórmula'!G15+'Fórmula'!I15+'Fórmula'!K15))*(INDEX(properties!A$1:CB$87,'Fórmula'!J15,52))</f>
        <v>3.937</v>
      </c>
      <c r="EW15" s="114">
        <f t="array" ref="EW15">'Fórmula'!C15*(INDEX(properties!A$1:CB$87,'Fórmula'!B15,52))+'Fórmula'!E15*(INDEX(properties!A$1:CB$87,'Fórmula'!D15,52))+'Fórmula'!G15*(INDEX(properties!A$1:CB$87,'Fórmula'!F15,52))+'Fórmula'!I15*(INDEX(properties!A$1:CB$87,'Fórmula'!H15,52))+'Fórmula'!K15*(INDEX(properties!A$1:CB$87,'Fórmula'!J15,52))</f>
        <v>47.244</v>
      </c>
      <c r="EX15" s="114">
        <f t="array" ref="EX15">VARP(IF(INDEX(properties!A$1:CB$87,'Fórmula'!B15,52)&lt;&gt;"",INDEX(properties!A$1:CB$87,'Fórmula'!B15,52)),IF(INDEX(properties!A$1:CB$87,'Fórmula'!D15,52)&lt;&gt;"",INDEX(properties!A$1:CB$87,'Fórmula'!D15,52)),IF(INDEX(properties!A$1:CB$87,'Fórmula'!F15,52)&lt;&gt;"",INDEX(properties!A$1:CB$87,'Fórmula'!F15,52)),IF(INDEX(properties!A$1:CB$87,'Fórmula'!H15,52)&lt;&gt;"",INDEX(properties!A$1:CB$87,'Fórmula'!H15,52)),IF(INDEX(properties!A$1:CB$87,'Fórmula'!J15,52)&lt;&gt;"",INDEX(properties!A$1:CB$87,'Fórmula'!J15,52)))</f>
        <v>104.4687038</v>
      </c>
      <c r="EY15" s="114">
        <f t="array" ref="EY15">MAX(INDEX(properties!A$1:CB$87,'Fórmula'!B15,52),INDEX(properties!A$1:CB$87,'Fórmula'!D15,52),INDEX(properties!A$1:CB$87,'Fórmula'!F15,52),INDEX(properties!A$1:CB$87,'Fórmula'!H15,52),INDEX(properties!A$1:CB$87,'Fórmula'!J15,52))</f>
        <v>27.6</v>
      </c>
      <c r="EZ15" s="114">
        <f t="array" ref="EZ15">MIN(IF(INDEX(properties!A$1:CB$87,'Fórmula'!B15,52)=0,10^6,INDEX(properties!A$1:CB$87,'Fórmula'!B15,52)),IF(INDEX(properties!A$1:CB$87,'Fórmula'!D15,52)=0,10^6,INDEX(properties!A$1:CB$87,'Fórmula'!D15,52)),IF(INDEX(properties!A$1:CB$87,'Fórmula'!F15,52)=0,10^6,INDEX(properties!A$1:CB$87,'Fórmula'!F15,52)),IF(INDEX(properties!A$1:CB$87,'Fórmula'!H15,52)=0,10^6,INDEX(properties!A$1:CB$87,'Fórmula'!H15,52)),IF(INDEX(properties!A$1:CB$87,'Fórmula'!J15,52)=0,10^6,INDEX(properties!A$1:CB$87,'Fórmula'!J15,52)))</f>
        <v>0.793</v>
      </c>
      <c r="FA15" s="114">
        <f t="shared" si="26"/>
        <v>26.807</v>
      </c>
      <c r="FB15" s="115">
        <f t="array" ref="FB15">(('Fórmula'!C15)/('Fórmula'!C15+'Fórmula'!E15+'Fórmula'!G15+'Fórmula'!I15+'Fórmula'!K15))*(INDEX(properties!A$1:CB$87,'Fórmula'!B15,53))+(('Fórmula'!E15)/('Fórmula'!C15+'Fórmula'!E15+'Fórmula'!G15+'Fórmula'!I15+'Fórmula'!K15))*(INDEX(properties!A$1:CB$87,'Fórmula'!D15,53))+(('Fórmula'!G15)/('Fórmula'!C15+'Fórmula'!E15+'Fórmula'!G15+'Fórmula'!I15+'Fórmula'!K15))*(INDEX(properties!A$1:CB$87,'Fórmula'!F15,53))+(('Fórmula'!I15)/('Fórmula'!C15+'Fórmula'!E15+'Fórmula'!G15+'Fórmula'!I15+'Fórmula'!K15))*(INDEX(properties!A$1:CB$87,'Fórmula'!H15,53))+(('Fórmula'!K15)/('Fórmula'!C15+'Fórmula'!E15+'Fórmula'!G15+'Fórmula'!I15+'Fórmula'!K15))*(INDEX(properties!A$1:CB$87,'Fórmula'!J15,53))</f>
        <v>277.9333333</v>
      </c>
      <c r="FC15" s="115">
        <f t="array" ref="FC15">'Fórmula'!C15*(INDEX(properties!A$1:CB$87,'Fórmula'!B15,53))+'Fórmula'!E15*(INDEX(properties!A$1:CB$87,'Fórmula'!D15,53))+'Fórmula'!G15*(INDEX(properties!A$1:CB$87,'Fórmula'!F15,53))+'Fórmula'!I15*(INDEX(properties!A$1:CB$87,'Fórmula'!H15,53))+'Fórmula'!K15*(INDEX(properties!A$1:CB$87,'Fórmula'!J15,53))</f>
        <v>3335.2</v>
      </c>
      <c r="FD15" s="115">
        <f t="array" ref="FD15">VARP(IF(INDEX(properties!A$1:CB$87,'Fórmula'!B15,53)&lt;&gt;"",INDEX(properties!A$1:CB$87,'Fórmula'!B15,53)),IF(INDEX(properties!A$1:CB$87,'Fórmula'!D15,53)&lt;&gt;"",INDEX(properties!A$1:CB$87,'Fórmula'!D15,53)),IF(INDEX(properties!A$1:CB$87,'Fórmula'!F15,53)&lt;&gt;"",INDEX(properties!A$1:CB$87,'Fórmula'!F15,53)),IF(INDEX(properties!A$1:CB$87,'Fórmula'!H15,53)&lt;&gt;"",INDEX(properties!A$1:CB$87,'Fórmula'!H15,53)),IF(INDEX(properties!A$1:CB$87,'Fórmula'!J15,53)&lt;&gt;"",INDEX(properties!A$1:CB$87,'Fórmula'!J15,53)))</f>
        <v>258227.0464</v>
      </c>
      <c r="FE15" s="115">
        <f t="array" ref="FE15">MAX(INDEX(properties!A$1:CB$87,'Fórmula'!B15,53),INDEX(properties!A$1:CB$87,'Fórmula'!D15,53),INDEX(properties!A$1:CB$87,'Fórmula'!F15,53),INDEX(properties!A$1:CB$87,'Fórmula'!H15,53),INDEX(properties!A$1:CB$87,'Fórmula'!J15,53))</f>
        <v>1220.55</v>
      </c>
      <c r="FF15" s="115">
        <f t="array" ref="FF15">MIN(IF(INDEX(properties!A$1:CB$87,'Fórmula'!B15,53)=0,10^6,INDEX(properties!A$1:CB$87,'Fórmula'!B15,53)),IF(INDEX(properties!A$1:CB$87,'Fórmula'!D15,53)=0,10^6,INDEX(properties!A$1:CB$87,'Fórmula'!D15,53)),IF(INDEX(properties!A$1:CB$87,'Fórmula'!F15,53)=0,10^6,INDEX(properties!A$1:CB$87,'Fórmula'!F15,53)),IF(INDEX(properties!A$1:CB$87,'Fórmula'!H15,53)=0,10^6,INDEX(properties!A$1:CB$87,'Fórmula'!H15,53)),IF(INDEX(properties!A$1:CB$87,'Fórmula'!J15,53)=0,10^6,INDEX(properties!A$1:CB$87,'Fórmula'!J15,53)))</f>
        <v>54.75</v>
      </c>
      <c r="FG15" s="115">
        <f t="shared" si="27"/>
        <v>1165.8</v>
      </c>
      <c r="FH15" s="117">
        <f t="array" ref="FH15">(('Fórmula'!C15)/('Fórmula'!C15+'Fórmula'!E15+'Fórmula'!G15+'Fórmula'!I15+'Fórmula'!K15))*(INDEX(properties!A$1:CB$87,'Fórmula'!B15,54))+(('Fórmula'!E15)/('Fórmula'!C15+'Fórmula'!E15+'Fórmula'!G15+'Fórmula'!I15+'Fórmula'!K15))*(INDEX(properties!A$1:CB$87,'Fórmula'!D15,54))+(('Fórmula'!G15)/('Fórmula'!C15+'Fórmula'!E15+'Fórmula'!G15+'Fórmula'!I15+'Fórmula'!K15))*(INDEX(properties!A$1:CB$87,'Fórmula'!F15,54))+(('Fórmula'!I15)/('Fórmula'!C15+'Fórmula'!E15+'Fórmula'!G15+'Fórmula'!I15+'Fórmula'!K15))*(INDEX(properties!A$1:CB$87,'Fórmula'!H15,54))+(('Fórmula'!K15)/('Fórmula'!C15+'Fórmula'!E15+'Fórmula'!G15+'Fórmula'!I15+'Fórmula'!K15))*(INDEX(properties!A$1:CB$87,'Fórmula'!J15,54))</f>
        <v>548.9833333</v>
      </c>
      <c r="FI15" s="117">
        <f t="array" ref="FI15">'Fórmula'!C15*(INDEX(properties!A$1:CB$87,'Fórmula'!B15,54))+'Fórmula'!E15*(INDEX(properties!A$1:CB$87,'Fórmula'!D15,54))+'Fórmula'!G15*(INDEX(properties!A$1:CB$87,'Fórmula'!F15,54))+'Fórmula'!I15*(INDEX(properties!A$1:CB$87,'Fórmula'!H15,54))+'Fórmula'!K15*(INDEX(properties!A$1:CB$87,'Fórmula'!J15,54))</f>
        <v>6587.8</v>
      </c>
      <c r="FJ15" s="117">
        <f t="array" ref="FJ15">VARP(IF(INDEX(properties!A$1:CB$87,'Fórmula'!B15,54)&lt;&gt;"",INDEX(properties!A$1:CB$87,'Fórmula'!B15,54)),IF(INDEX(properties!A$1:CB$87,'Fórmula'!D15,54)&lt;&gt;"",INDEX(properties!A$1:CB$87,'Fórmula'!D15,54)),IF(INDEX(properties!A$1:CB$87,'Fórmula'!F15,54)&lt;&gt;"",INDEX(properties!A$1:CB$87,'Fórmula'!F15,54)),IF(INDEX(properties!A$1:CB$87,'Fórmula'!H15,54)&lt;&gt;"",INDEX(properties!A$1:CB$87,'Fórmula'!H15,54)),IF(INDEX(properties!A$1:CB$87,'Fórmula'!J15,54)&lt;&gt;"",INDEX(properties!A$1:CB$87,'Fórmula'!J15,54)))</f>
        <v>1370001.88</v>
      </c>
      <c r="FK15" s="117">
        <f t="array" ref="FK15">MAX(INDEX(properties!A$1:CB$87,'Fórmula'!B15,54),INDEX(properties!A$1:CB$87,'Fórmula'!D15,54),INDEX(properties!A$1:CB$87,'Fórmula'!F15,54),INDEX(properties!A$1:CB$87,'Fórmula'!H15,54),INDEX(properties!A$1:CB$87,'Fórmula'!J15,54))</f>
        <v>3103.15</v>
      </c>
      <c r="FL15" s="117">
        <f t="array" ref="FL15">MIN(IF(INDEX(properties!A$1:CB$87,'Fórmula'!B15,54)=0,10^6,INDEX(properties!A$1:CB$87,'Fórmula'!B15,54)),IF(INDEX(properties!A$1:CB$87,'Fórmula'!D15,54)=0,10^6,INDEX(properties!A$1:CB$87,'Fórmula'!D15,54)),IF(INDEX(properties!A$1:CB$87,'Fórmula'!F15,54)=0,10^6,INDEX(properties!A$1:CB$87,'Fórmula'!F15,54)),IF(INDEX(properties!A$1:CB$87,'Fórmula'!H15,54)=0,10^6,INDEX(properties!A$1:CB$87,'Fórmula'!H15,54)),IF(INDEX(properties!A$1:CB$87,'Fórmula'!J15,54)=0,10^6,INDEX(properties!A$1:CB$87,'Fórmula'!J15,54)))</f>
        <v>90.15</v>
      </c>
      <c r="FM15" s="117">
        <f t="shared" si="28"/>
        <v>3013</v>
      </c>
      <c r="FN15" s="118">
        <f t="array" ref="FN15">(('Fórmula'!C15)/('Fórmula'!C15+'Fórmula'!E15+'Fórmula'!G15+'Fórmula'!I15+'Fórmula'!K15))*(INDEX(properties!A$1:CB$87,'Fórmula'!B15,55))+(('Fórmula'!E15)/('Fórmula'!C15+'Fórmula'!E15+'Fórmula'!G15+'Fórmula'!I15+'Fórmula'!K15))*(INDEX(properties!A$1:CB$87,'Fórmula'!D15,55))+(('Fórmula'!G15)/('Fórmula'!C15+'Fórmula'!E15+'Fórmula'!G15+'Fórmula'!I15+'Fórmula'!K15))*(INDEX(properties!A$1:CB$87,'Fórmula'!F15,55))+(('Fórmula'!I15)/('Fórmula'!C15+'Fórmula'!E15+'Fórmula'!G15+'Fórmula'!I15+'Fórmula'!K15))*(INDEX(properties!A$1:CB$87,'Fórmula'!H15,55))+(('Fórmula'!K15)/('Fórmula'!C15+'Fórmula'!E15+'Fórmula'!G15+'Fórmula'!I15+'Fórmula'!K15))*(INDEX(properties!A$1:CB$87,'Fórmula'!J15,55))</f>
        <v>0.9667866667</v>
      </c>
      <c r="FO15" s="118">
        <f t="array" ref="FO15">'Fórmula'!C15*(INDEX(properties!A$1:CB$87,'Fórmula'!B15,55))+'Fórmula'!E15*(INDEX(properties!A$1:CB$87,'Fórmula'!D15,54))+'Fórmula'!G15*(INDEX(properties!A$1:CB$87,'Fórmula'!F15,55))+'Fórmula'!I15*(INDEX(properties!A$1:CB$87,'Fórmula'!H15,55))+'Fórmula'!K15*(INDEX(properties!A$1:CB$87,'Fórmula'!J15,55))</f>
        <v>3109.43144</v>
      </c>
      <c r="FP15" s="118">
        <f t="array" ref="FP15">VARP(IF(INDEX(properties!A$1:CB$87,'Fórmula'!B15,55)&lt;&gt;"",INDEX(properties!A$1:CB$87,'Fórmula'!B15,55)),IF(INDEX(properties!A$1:CB$87,'Fórmula'!D15,55)&lt;&gt;"",INDEX(properties!A$1:CB$87,'Fórmula'!D15,55)),IF(INDEX(properties!A$1:CB$87,'Fórmula'!F15,55)&lt;&gt;"",INDEX(properties!A$1:CB$87,'Fórmula'!F15,55)),IF(INDEX(properties!A$1:CB$87,'Fórmula'!H15,55)&lt;&gt;"",INDEX(properties!A$1:CB$87,'Fórmula'!H15,55)),IF(INDEX(properties!A$1:CB$87,'Fórmula'!J15,55)&lt;&gt;"",INDEX(properties!A$1:CB$87,'Fórmula'!J15,55)))</f>
        <v>3.887106639</v>
      </c>
      <c r="FQ15" s="118">
        <f t="array" ref="FQ15">MAX(INDEX(properties!A$1:CB$87,'Fórmula'!B15,55),INDEX(properties!A$1:CB$87,'Fórmula'!D15,55),INDEX(properties!A$1:CB$87,'Fórmula'!F15,55),INDEX(properties!A$1:CB$87,'Fórmula'!H15,55),INDEX(properties!A$1:CB$87,'Fórmula'!J15,55))</f>
        <v>5.32</v>
      </c>
      <c r="FR15" s="118">
        <f t="array" ref="FR15">MIN(IF(INDEX(properties!A$1:CB$87,'Fórmula'!B15,55)=0,10^6,INDEX(properties!A$1:CB$87,'Fórmula'!B15,55)),IF(INDEX(properties!A$1:CB$87,'Fórmula'!D15,55)=0,10^6,INDEX(properties!A$1:CB$87,'Fórmula'!D15,55)),IF(INDEX(properties!A$1:CB$87,'Fórmula'!F15,55)=0,10^6,INDEX(properties!A$1:CB$87,'Fórmula'!F15,55)),IF(INDEX(properties!A$1:CB$87,'Fórmula'!H15,55)=0,10^6,INDEX(properties!A$1:CB$87,'Fórmula'!H15,55)),IF(INDEX(properties!A$1:CB$87,'Fórmula'!J15,55)=0,10^6,INDEX(properties!A$1:CB$87,'Fórmula'!J15,55)))</f>
        <v>0.00143</v>
      </c>
      <c r="FS15" s="118">
        <f t="shared" si="29"/>
        <v>5.31857</v>
      </c>
      <c r="FT15" s="119">
        <f t="array" ref="FT15">(('Fórmula'!C15)/('Fórmula'!C15+'Fórmula'!E15+'Fórmula'!G15+'Fórmula'!I15+'Fórmula'!K15))*(INDEX(properties!A$1:CB$87,'Fórmula'!B15,56))+(('Fórmula'!E15)/('Fórmula'!C15+'Fórmula'!E15+'Fórmula'!G15+'Fórmula'!I15+'Fórmula'!K15))*(INDEX(properties!A$1:CB$87,'Fórmula'!D15,56))+(('Fórmula'!G15)/('Fórmula'!C15+'Fórmula'!E15+'Fórmula'!G15+'Fórmula'!I15+'Fórmula'!K15))*(INDEX(properties!A$1:CB$87,'Fórmula'!F15,56))+(('Fórmula'!I15)/('Fórmula'!C15+'Fórmula'!E15+'Fórmula'!G15+'Fórmula'!I15+'Fórmula'!K15))*(INDEX(properties!A$1:CB$87,'Fórmula'!H15,56))+(('Fórmula'!K15)/('Fórmula'!C15+'Fórmula'!E15+'Fórmula'!G15+'Fórmula'!I15+'Fórmula'!K15))*(INDEX(properties!A$1:CB$87,'Fórmula'!J15,56))</f>
        <v>0.7933333333</v>
      </c>
      <c r="FU15" s="119">
        <f t="array" ref="FU15">'Fórmula'!C15*(INDEX(properties!A$1:CB$87,'Fórmula'!B15,56))+'Fórmula'!E15*(INDEX(properties!A$1:CB$87,'Fórmula'!D15,56))+'Fórmula'!G15*(INDEX(properties!A$1:CB$87,'Fórmula'!F15,56))+'Fórmula'!I15*(INDEX(properties!A$1:CB$87,'Fórmula'!H15,56))+'Fórmula'!K15*(INDEX(properties!A$1:CB$87,'Fórmula'!J15,56))</f>
        <v>9.52</v>
      </c>
      <c r="FV15" s="119">
        <f t="array" ref="FV15">VARP(IF(INDEX(properties!A$1:CB$87,'Fórmula'!B15,56)&lt;&gt;"",INDEX(properties!A$1:CB$87,'Fórmula'!B15,56)),IF(INDEX(properties!A$1:CB$87,'Fórmula'!D15,56)&lt;&gt;"",INDEX(properties!A$1:CB$87,'Fórmula'!D15,56)),IF(INDEX(properties!A$1:CB$87,'Fórmula'!F15,56)&lt;&gt;"",INDEX(properties!A$1:CB$87,'Fórmula'!F15,56)),IF(INDEX(properties!A$1:CB$87,'Fórmula'!H15,56)&lt;&gt;"",INDEX(properties!A$1:CB$87,'Fórmula'!H15,56)),IF(INDEX(properties!A$1:CB$87,'Fórmula'!J15,56)&lt;&gt;"",INDEX(properties!A$1:CB$87,'Fórmula'!J15,56)))</f>
        <v>0.112896</v>
      </c>
      <c r="FW15" s="119">
        <f t="array" ref="FW15">MAX(INDEX(properties!A$1:CB$87,'Fórmula'!B15,56),INDEX(properties!A$1:CB$87,'Fórmula'!D15,56),INDEX(properties!A$1:CB$87,'Fórmula'!F15,56),INDEX(properties!A$1:CB$87,'Fórmula'!H15,56),INDEX(properties!A$1:CB$87,'Fórmula'!J15,56))</f>
        <v>0.92</v>
      </c>
      <c r="FX15" s="119">
        <f t="array" ref="FX15">MIN(IF(INDEX(properties!A$1:CB$87,'Fórmula'!B15,56)=0,10^6,INDEX(properties!A$1:CB$87,'Fórmula'!B15,56)),IF(INDEX(properties!A$1:CB$87,'Fórmula'!D15,56)=0,10^6,INDEX(properties!A$1:CB$87,'Fórmula'!D15,56)),IF(INDEX(properties!A$1:CB$87,'Fórmula'!F15,56)=0,10^6,INDEX(properties!A$1:CB$87,'Fórmula'!F15,56)),IF(INDEX(properties!A$1:CB$87,'Fórmula'!H15,56)=0,10^6,INDEX(properties!A$1:CB$87,'Fórmula'!H15,56)),IF(INDEX(properties!A$1:CB$87,'Fórmula'!J15,56)=0,10^6,INDEX(properties!A$1:CB$87,'Fórmula'!J15,56)))</f>
        <v>0.3</v>
      </c>
      <c r="FY15" s="119">
        <f t="shared" si="30"/>
        <v>0.62</v>
      </c>
      <c r="FZ15" s="104">
        <f t="array" ref="FZ15">(('Fórmula'!C15)/('Fórmula'!C15+'Fórmula'!E15+'Fórmula'!G15+'Fórmula'!I15+'Fórmula'!K15))*(INDEX(properties!A$1:CB$87,'Fórmula'!B15,57))+(('Fórmula'!E15)/('Fórmula'!C15+'Fórmula'!E15+'Fórmula'!G15+'Fórmula'!I15+'Fórmula'!K15))*(INDEX(properties!A$1:CB$87,'Fórmula'!D15,57))+(('Fórmula'!G15)/('Fórmula'!C15+'Fórmula'!E15+'Fórmula'!G15+'Fórmula'!I15+'Fórmula'!K15))*(INDEX(properties!A$1:CB$87,'Fórmula'!F15,57))+(('Fórmula'!I15)/('Fórmula'!C15+'Fórmula'!E15+'Fórmula'!G15+'Fórmula'!I15+'Fórmula'!K15))*(INDEX(properties!A$1:CB$87,'Fórmula'!H15,57))+(('Fórmula'!K15)/('Fórmula'!C15+'Fórmula'!E15+'Fórmula'!G15+'Fórmula'!I15+'Fórmula'!K15))*(INDEX(properties!A$1:CB$87,'Fórmula'!J15,57))</f>
        <v>4.027893333</v>
      </c>
      <c r="GA15" s="104">
        <f t="array" ref="GA15">'Fórmula'!C15*(INDEX(properties!A$1:CB$87,'Fórmula'!B15,57))+'Fórmula'!E15*(INDEX(properties!A$1:CB$87,'Fórmula'!D15,57))+'Fórmula'!G15*(INDEX(properties!A$1:CB$87,'Fórmula'!F15,57))+'Fórmula'!I15*(INDEX(properties!A$1:CB$87,'Fórmula'!H15,57))+'Fórmula'!K15*(INDEX(properties!A$1:CB$87,'Fórmula'!J15,57))</f>
        <v>48.33472</v>
      </c>
      <c r="GB15" s="104">
        <f t="array" ref="GB15">VARP(IF(INDEX(properties!A$1:CB$87,'Fórmula'!B15,57)&lt;&gt;"",INDEX(properties!A$1:CB$87,'Fórmula'!B15,57)),IF(INDEX(properties!A$1:CB$87,'Fórmula'!D15,57)&lt;&gt;"",INDEX(properties!A$1:CB$87,'Fórmula'!D15,57)),IF(INDEX(properties!A$1:CB$87,'Fórmula'!F15,57)&lt;&gt;"",INDEX(properties!A$1:CB$87,'Fórmula'!F15,57)),IF(INDEX(properties!A$1:CB$87,'Fórmula'!H15,57)&lt;&gt;"",INDEX(properties!A$1:CB$87,'Fórmula'!H15,57)),IF(INDEX(properties!A$1:CB$87,'Fórmula'!J15,57)&lt;&gt;"",INDEX(properties!A$1:CB$87,'Fórmula'!J15,57)))</f>
        <v>201.7062958</v>
      </c>
      <c r="GC15" s="104">
        <f t="array" ref="GC15">MAX(INDEX(properties!A$1:CB$87,'Fórmula'!B15,57),INDEX(properties!A$1:CB$87,'Fórmula'!D15,57),INDEX(properties!A$1:CB$87,'Fórmula'!F15,57),INDEX(properties!A$1:CB$87,'Fórmula'!H15,57),INDEX(properties!A$1:CB$87,'Fórmula'!J15,57))</f>
        <v>36.94</v>
      </c>
      <c r="GD15" s="104">
        <f t="array" ref="GD15">MIN(IF(INDEX(properties!A$1:CB$87,'Fórmula'!B15,57)=0,10^6,INDEX(properties!A$1:CB$87,'Fórmula'!B15,57)),IF(INDEX(properties!A$1:CB$87,'Fórmula'!D15,57)=0,10^6,INDEX(properties!A$1:CB$87,'Fórmula'!D15,57)),IF(INDEX(properties!A$1:CB$87,'Fórmula'!F15,57)=0,10^6,INDEX(properties!A$1:CB$87,'Fórmula'!F15,57)),IF(INDEX(properties!A$1:CB$87,'Fórmula'!H15,57)=0,10^6,INDEX(properties!A$1:CB$87,'Fórmula'!H15,57)),IF(INDEX(properties!A$1:CB$87,'Fórmula'!J15,57)=0,10^6,INDEX(properties!A$1:CB$87,'Fórmula'!J15,57)))</f>
        <v>0.22259</v>
      </c>
      <c r="GE15" s="104">
        <f t="shared" si="31"/>
        <v>36.71741</v>
      </c>
      <c r="GF15" s="105">
        <f t="array" ref="GF15">(('Fórmula'!C15)/('Fórmula'!C15+'Fórmula'!E15+'Fórmula'!G15+'Fórmula'!I15+'Fórmula'!K15))*(INDEX(properties!A$1:CB$87,'Fórmula'!B15,60))+(('Fórmula'!E15)/('Fórmula'!C15+'Fórmula'!E15+'Fórmula'!G15+'Fórmula'!I15+'Fórmula'!K15))*(INDEX(properties!A$1:CB$87,'Fórmula'!D15,60))+(('Fórmula'!G15)/('Fórmula'!C15+'Fórmula'!E15+'Fórmula'!G15+'Fórmula'!I15+'Fórmula'!K15))*(INDEX(properties!A$1:CB$87,'Fórmula'!F15,60))+(('Fórmula'!I15)/('Fórmula'!C15+'Fórmula'!E15+'Fórmula'!G15+'Fórmula'!I15+'Fórmula'!K15))*(INDEX(properties!A$1:CB$87,'Fórmula'!H15,60))+(('Fórmula'!K15)/('Fórmula'!C15+'Fórmula'!E15+'Fórmula'!G15+'Fórmula'!I15+'Fórmula'!K15))*(INDEX(properties!A$1:CB$87,'Fórmula'!J15,60))</f>
        <v>7.990326667</v>
      </c>
      <c r="GG15" s="105">
        <f t="array" ref="GG15">'Fórmula'!C15*(INDEX(properties!A$1:CB$87,'Fórmula'!B15,60))+'Fórmula'!E15*(INDEX(properties!A$1:CB$87,'Fórmula'!D15,60))+'Fórmula'!G15*(INDEX(properties!A$1:CB$87,'Fórmula'!F15,60))+'Fórmula'!I15*(INDEX(properties!A$1:CB$87,'Fórmula'!H15,60))+'Fórmula'!K15*(INDEX(properties!A$1:CB$87,'Fórmula'!J15,60))</f>
        <v>95.88392</v>
      </c>
      <c r="GH15" s="105">
        <f t="array" ref="GH15">VARP(IF(INDEX(properties!A$1:CB$87,'Fórmula'!B15,60)&lt;&gt;"",INDEX(properties!A$1:CB$87,'Fórmula'!B15,60)),IF(INDEX(properties!A$1:CB$87,'Fórmula'!D15,60)&lt;&gt;"",INDEX(properties!A$1:CB$87,'Fórmula'!D15,60)),IF(INDEX(properties!A$1:CB$87,'Fórmula'!F15,60)&lt;&gt;"",INDEX(properties!A$1:CB$87,'Fórmula'!F15,60)),IF(INDEX(properties!A$1:CB$87,'Fórmula'!H15,60)&lt;&gt;"",INDEX(properties!A$1:CB$87,'Fórmula'!H15,60)),IF(INDEX(properties!A$1:CB$87,'Fórmula'!J15,60)&lt;&gt;"",INDEX(properties!A$1:CB$87,'Fórmula'!J15,60)))</f>
        <v>602.3134359</v>
      </c>
      <c r="GI15" s="105">
        <f t="array" ref="GI15">MAX(INDEX(properties!A$1:CB$87,'Fórmula'!B15,60),INDEX(properties!A$1:CB$87,'Fórmula'!D15,60),INDEX(properties!A$1:CB$87,'Fórmula'!F15,60),INDEX(properties!A$1:CB$87,'Fórmula'!H15,60),INDEX(properties!A$1:CB$87,'Fórmula'!J15,60))</f>
        <v>59.9</v>
      </c>
      <c r="GJ15" s="105">
        <f t="array" ref="GJ15">MIN(IF(INDEX(properties!A$1:CB$87,'Fórmula'!B15,60)=0,10^6,INDEX(properties!A$1:CB$87,'Fórmula'!B15,60)),IF(INDEX(properties!A$1:CB$87,'Fórmula'!D15,60)=0,10^6,INDEX(properties!A$1:CB$87,'Fórmula'!D15,60)),IF(INDEX(properties!A$1:CB$87,'Fórmula'!F15,60)=0,10^6,INDEX(properties!A$1:CB$87,'Fórmula'!F15,60)),IF(INDEX(properties!A$1:CB$87,'Fórmula'!H15,60)=0,10^6,INDEX(properties!A$1:CB$87,'Fórmula'!H15,60)),IF(INDEX(properties!A$1:CB$87,'Fórmula'!J15,60)=0,10^6,INDEX(properties!A$1:CB$87,'Fórmula'!J15,60)))</f>
        <v>0.02674</v>
      </c>
      <c r="GK15" s="105">
        <f t="shared" si="32"/>
        <v>59.87326</v>
      </c>
      <c r="GL15" s="106">
        <f t="array" ref="GL15">(('Fórmula'!C15)/('Fórmula'!C15+'Fórmula'!E15+'Fórmula'!G15+'Fórmula'!I15+'Fórmula'!K15))*(INDEX(properties!A$1:CB$87,'Fórmula'!B15,62))+(('Fórmula'!E15)/('Fórmula'!C15+'Fórmula'!E15+'Fórmula'!G15+'Fórmula'!I15+'Fórmula'!K15))*(INDEX(properties!A$1:CB$87,'Fórmula'!D15,62))+(('Fórmula'!G15)/('Fórmula'!C15+'Fórmula'!E15+'Fórmula'!G15+'Fórmula'!I15+'Fórmula'!K15))*(INDEX(properties!A$1:CB$87,'Fórmula'!F15,62))+(('Fórmula'!I15)/('Fórmula'!C15+'Fórmula'!E15+'Fórmula'!G15+'Fórmula'!I15+'Fórmula'!K15))*(INDEX(properties!A$1:CB$87,'Fórmula'!H15,62))+(('Fórmula'!K15)/('Fórmula'!C15+'Fórmula'!E15+'Fórmula'!G15+'Fórmula'!I15+'Fórmula'!K15))*(INDEX(properties!A$1:CB$87,'Fórmula'!J15,62))</f>
        <v>2.7825</v>
      </c>
      <c r="GM15" s="106">
        <f t="array" ref="GM15">'Fórmula'!C15*(INDEX(properties!A$1:CB$87,'Fórmula'!B15,62))+'Fórmula'!E15*(INDEX(properties!A$1:CB$87,'Fórmula'!D15,62))+'Fórmula'!G15*(INDEX(properties!A$1:CB$87,'Fórmula'!F15,62))+'Fórmula'!I15*(INDEX(properties!A$1:CB$87,'Fórmula'!H15,62))+'Fórmula'!K15*(INDEX(properties!A$1:CB$87,'Fórmula'!J15,62))</f>
        <v>33.39</v>
      </c>
      <c r="GN15" s="106">
        <f t="array" ref="GN15">VARP(IF(INDEX(properties!A$1:CB$87,'Fórmula'!B15,62)&lt;&gt;"",INDEX(properties!A$1:CB$87,'Fórmula'!B15,62)),IF(INDEX(properties!A$1:CB$87,'Fórmula'!D15,62)&lt;&gt;"",INDEX(properties!A$1:CB$87,'Fórmula'!D15,62)),IF(INDEX(properties!A$1:CB$87,'Fórmula'!F15,62)&lt;&gt;"",INDEX(properties!A$1:CB$87,'Fórmula'!F15,62)),IF(INDEX(properties!A$1:CB$87,'Fórmula'!H15,62)&lt;&gt;"",INDEX(properties!A$1:CB$87,'Fórmula'!H15,62)),IF(INDEX(properties!A$1:CB$87,'Fórmula'!J15,62)&lt;&gt;"",INDEX(properties!A$1:CB$87,'Fórmula'!J15,62)))</f>
        <v>1.881064</v>
      </c>
      <c r="GO15" s="106">
        <f t="array" ref="GO15">MAX(INDEX(properties!A$1:CB$87,'Fórmula'!B15,62),INDEX(properties!A$1:CB$87,'Fórmula'!D15,62),INDEX(properties!A$1:CB$87,'Fórmula'!F15,62),INDEX(properties!A$1:CB$87,'Fórmula'!H15,62),INDEX(properties!A$1:CB$87,'Fórmula'!J15,62))</f>
        <v>3.85</v>
      </c>
      <c r="GP15" s="106">
        <f t="array" ref="GP15">MIN(IF(INDEX(properties!A$1:CB$87,'Fórmula'!B15,62)=0,10^6,INDEX(properties!A$1:CB$87,'Fórmula'!B15,62)),IF(INDEX(properties!A$1:CB$87,'Fórmula'!D15,62)=0,10^6,INDEX(properties!A$1:CB$87,'Fórmula'!D15,62)),IF(INDEX(properties!A$1:CB$87,'Fórmula'!F15,62)=0,10^6,INDEX(properties!A$1:CB$87,'Fórmula'!F15,62)),IF(INDEX(properties!A$1:CB$87,'Fórmula'!H15,62)=0,10^6,INDEX(properties!A$1:CB$87,'Fórmula'!H15,62)),IF(INDEX(properties!A$1:CB$87,'Fórmula'!J15,62)=0,10^6,INDEX(properties!A$1:CB$87,'Fórmula'!J15,62)))</f>
        <v>1.72</v>
      </c>
      <c r="GQ15" s="106">
        <f t="shared" si="33"/>
        <v>2.13</v>
      </c>
      <c r="GR15" s="106">
        <f>'Fórmula'!Q15</f>
        <v>15</v>
      </c>
      <c r="GS15" s="107">
        <f>'Fórmula'!P15</f>
        <v>6</v>
      </c>
      <c r="GT15" s="113">
        <f>'Fórmula'!O15</f>
        <v>3.98</v>
      </c>
      <c r="GU15" s="114">
        <f>AVERAGE('Fórmula'!R15/'Fórmula'!S15,'Fórmula'!S15/'Fórmula'!T15,'Fórmula'!T15/'Fórmula'!R15)</f>
        <v>1.44109871</v>
      </c>
      <c r="GV15" s="125">
        <f>'Fórmula'!U15</f>
        <v>584.25</v>
      </c>
      <c r="GW15" s="106">
        <f>'Fórmula'!N15</f>
        <v>0.09</v>
      </c>
    </row>
    <row r="16" ht="14.25" customHeight="1">
      <c r="A16" s="99" t="str">
        <f>'Fórmula'!A16</f>
        <v>NaBaBO3</v>
      </c>
      <c r="B16" s="101">
        <f t="array" ref="B16">(('Fórmula'!C16)/('Fórmula'!C16+'Fórmula'!E16+'Fórmula'!G16+'Fórmula'!I16+'Fórmula'!K16))*(INDEX(properties!A$1:CB$87,'Fórmula'!B16,3))+(('Fórmula'!E16)/('Fórmula'!C16+'Fórmula'!E16+'Fórmula'!G16+'Fórmula'!I16+'Fórmula'!K16))*(INDEX(properties!A$1:CB$87,'Fórmula'!D16,3))+(('Fórmula'!G16)/('Fórmula'!C16+'Fórmula'!E16+'Fórmula'!G16+'Fórmula'!I16+'Fórmula'!K16))*(INDEX(properties!A$1:CB$87,'Fórmula'!F16,3))+(('Fórmula'!I16)/('Fórmula'!C16+'Fórmula'!E16+'Fórmula'!G16+'Fórmula'!I16+'Fórmula'!K16))*(INDEX(properties!A$1:CB$87,'Fórmula'!H16,3))+(('Fórmula'!K16)/('Fórmula'!C16+'Fórmula'!E16+'Fórmula'!G16+'Fórmula'!I16+'Fórmula'!K16))*(INDEX(properties!A$1:CB$87,'Fórmula'!J16,3))</f>
        <v>36.52099467</v>
      </c>
      <c r="C16" s="101">
        <f t="array" ref="C16">'Fórmula'!C16*(INDEX(properties!A$1:CB$87,'Fórmula'!B16,3))+'Fórmula'!E16*(INDEX(properties!A$1:CB$87,'Fórmula'!D16,3))+'Fórmula'!G16*(INDEX(properties!A$1:CB$87,'Fórmula'!F16,3))+'Fórmula'!I16*(INDEX(properties!A$1:CB$87,'Fórmula'!H16,3))+'Fórmula'!K16*(INDEX(properties!A$1:CB$87,'Fórmula'!J16,3))</f>
        <v>219.125968</v>
      </c>
      <c r="D16" s="101">
        <f t="array" ref="D16">VARP(IF(INDEX(properties!A$1:CB$87,'Fórmula'!B16,3)&lt;&gt;"",INDEX(properties!A$1:CB$87,'Fórmula'!B16,3)),IF(INDEX(properties!A$1:CB$87,'Fórmula'!D16,3)&lt;&gt;"",INDEX(properties!A$1:CB$87,'Fórmula'!D16,3)),IF(INDEX(properties!A$1:CB$87,'Fórmula'!F16,3)&lt;&gt;"",INDEX(properties!A$1:CB$87,'Fórmula'!F16,3)),IF(INDEX(properties!A$1:CB$87,'Fórmula'!H16,3)&lt;&gt;"",INDEX(properties!A$1:CB$87,'Fórmula'!H16,3)),IF(INDEX(properties!A$1:CB$87,'Fórmula'!J16,3)&lt;&gt;"",INDEX(properties!A$1:CB$87,'Fórmula'!J16,3)))</f>
        <v>2551.355496</v>
      </c>
      <c r="E16" s="101">
        <f t="array" ref="E16">MAX(INDEX(properties!A$1:CB$87,'Fórmula'!B16,3),INDEX(properties!A$1:CB$87,'Fórmula'!D16,3),INDEX(properties!A$1:CB$87,'Fórmula'!F16,3),INDEX(properties!A$1:CB$87,'Fórmula'!H16,3),INDEX(properties!A$1:CB$87,'Fórmula'!J16,3))</f>
        <v>137.327</v>
      </c>
      <c r="F16" s="101">
        <f t="array" ref="F16">MIN(IF(INDEX(properties!A$1:CB$87,'Fórmula'!B16,3)=0,10^6,INDEX(properties!A$1:CB$87,'Fórmula'!B16,3)),IF(INDEX(properties!A$1:CB$87,'Fórmula'!D16,3)=0,10^6,INDEX(properties!A$1:CB$87,'Fórmula'!D16,3)),IF(INDEX(properties!A$1:CB$87,'Fórmula'!F16,3)=0,10^6,INDEX(properties!A$1:CB$87,'Fórmula'!F16,3)),IF(INDEX(properties!A$1:CB$87,'Fórmula'!H16,3)=0,10^6,INDEX(properties!A$1:CB$87,'Fórmula'!H16,3)),IF(INDEX(properties!A$1:CB$87,'Fórmula'!J16,3)=0,10^6,INDEX(properties!A$1:CB$87,'Fórmula'!J16,3)))</f>
        <v>10.811</v>
      </c>
      <c r="G16" s="101">
        <f t="shared" si="1"/>
        <v>126.516</v>
      </c>
      <c r="H16" s="102">
        <f t="array" ref="H16">(('Fórmula'!C16)/('Fórmula'!C16+'Fórmula'!E16+'Fórmula'!G16+'Fórmula'!I16+'Fórmula'!K16))*(INDEX(properties!A$1:CB$87,'Fórmula'!B16,4))+(('Fórmula'!E16)/('Fórmula'!C16+'Fórmula'!E16+'Fórmula'!G16+'Fórmula'!I16+'Fórmula'!K16))*(INDEX(properties!A$1:CB$87,'Fórmula'!D16,4))+(('Fórmula'!G16)/('Fórmula'!C16+'Fórmula'!E16+'Fórmula'!G16+'Fórmula'!I16+'Fórmula'!K16))*(INDEX(properties!A$1:CB$87,'Fórmula'!F16,4))+(('Fórmula'!I16)/('Fórmula'!C16+'Fórmula'!E16+'Fórmula'!G16+'Fórmula'!I16+'Fórmula'!K16))*(INDEX(properties!A$1:CB$87,'Fórmula'!H16,4))+(('Fórmula'!K16)/('Fórmula'!C16+'Fórmula'!E16+'Fórmula'!G16+'Fórmula'!I16+'Fórmula'!K16))*(INDEX(properties!A$1:CB$87,'Fórmula'!J16,4))</f>
        <v>16</v>
      </c>
      <c r="I16" s="102">
        <f t="array" ref="I16">'Fórmula'!C16*(INDEX(properties!A$1:CB$87,'Fórmula'!B16,4))+'Fórmula'!E16*(INDEX(properties!A$1:CB$87,'Fórmula'!D16,4))+'Fórmula'!G16*(INDEX(properties!A$1:CB$87,'Fórmula'!F16,4))+'Fórmula'!I16*(INDEX(properties!A$1:CB$87,'Fórmula'!H16,4))+'Fórmula'!K16*(INDEX(properties!A$1:CB$87,'Fórmula'!J16,4))</f>
        <v>96</v>
      </c>
      <c r="J16" s="102">
        <f t="array" ref="J16">VARP(IF(INDEX(properties!A$1:CB$87,'Fórmula'!B16,4)&lt;&gt;"",INDEX(properties!A$1:CB$87,'Fórmula'!B16,4)),IF(INDEX(properties!A$1:CB$87,'Fórmula'!D16,4)&lt;&gt;"",INDEX(properties!A$1:CB$87,'Fórmula'!D16,4)),IF(INDEX(properties!A$1:CB$87,'Fórmula'!F16,4)&lt;&gt;"",INDEX(properties!A$1:CB$87,'Fórmula'!F16,4)),IF(INDEX(properties!A$1:CB$87,'Fórmula'!H16,4)&lt;&gt;"",INDEX(properties!A$1:CB$87,'Fórmula'!H16,4)),IF(INDEX(properties!A$1:CB$87,'Fórmula'!J16,4)&lt;&gt;"",INDEX(properties!A$1:CB$87,'Fórmula'!J16,4)))</f>
        <v>413.2</v>
      </c>
      <c r="K16" s="102">
        <f t="array" ref="K16">MAX(INDEX(properties!A$1:CB$87,'Fórmula'!B16,4),INDEX(properties!A$1:CB$87,'Fórmula'!D16,4),INDEX(properties!A$1:CB$87,'Fórmula'!F16,4),INDEX(properties!A$1:CB$87,'Fórmula'!H16,4),INDEX(properties!A$1:CB$87,'Fórmula'!J16,4))</f>
        <v>56</v>
      </c>
      <c r="L16" s="102">
        <f t="array" ref="L16">MIN(IF(INDEX(properties!A$1:CB$87,'Fórmula'!B16,4)=0,10^6,INDEX(properties!A$1:CB$87,'Fórmula'!B16,4)),IF(INDEX(properties!A$1:CB$87,'Fórmula'!D16,4)=0,10^6,INDEX(properties!A$1:CB$87,'Fórmula'!D16,4)),IF(INDEX(properties!A$1:CB$87,'Fórmula'!F16,4)=0,10^6,INDEX(properties!A$1:CB$87,'Fórmula'!F16,4)),IF(INDEX(properties!A$1:CB$87,'Fórmula'!H16,4)=0,10^6,INDEX(properties!A$1:CB$87,'Fórmula'!H16,4)),IF(INDEX(properties!A$1:CB$87,'Fórmula'!J16,4)=0,10^6,INDEX(properties!A$1:CB$87,'Fórmula'!J16,4)))</f>
        <v>5</v>
      </c>
      <c r="M16" s="102">
        <f t="shared" si="2"/>
        <v>51</v>
      </c>
      <c r="N16" s="103">
        <f t="array" ref="N16">(('Fórmula'!C16)/('Fórmula'!C16+'Fórmula'!E16+'Fórmula'!G16+'Fórmula'!I16+'Fórmula'!K16))*(INDEX(properties!A$1:CB$87,'Fórmula'!B16,5))+(('Fórmula'!E16)/('Fórmula'!C16+'Fórmula'!E16+'Fórmula'!G16+'Fórmula'!I16+'Fórmula'!K16))*(INDEX(properties!A$1:CB$87,'Fórmula'!D16,5))+(('Fórmula'!G16)/('Fórmula'!C16+'Fórmula'!E16+'Fórmula'!G16+'Fórmula'!I16+'Fórmula'!K16))*(INDEX(properties!A$1:CB$87,'Fórmula'!F16,5))+(('Fórmula'!I16)/('Fórmula'!C16+'Fórmula'!E16+'Fórmula'!G16+'Fórmula'!I16+'Fórmula'!K16))*(INDEX(properties!A$1:CB$87,'Fórmula'!H16,5))+(('Fórmula'!K16)/('Fórmula'!C16+'Fórmula'!E16+'Fórmula'!G16+'Fórmula'!I16+'Fórmula'!K16))*(INDEX(properties!A$1:CB$87,'Fórmula'!J16,5))</f>
        <v>2.833333333</v>
      </c>
      <c r="O16" s="103">
        <f t="array" ref="O16">'Fórmula'!C16*(INDEX(properties!A$1:CB$87,'Fórmula'!B16,5))+'Fórmula'!E16*(INDEX(properties!A$1:CB$87,'Fórmula'!D16,5))+'Fórmula'!G16*(INDEX(properties!A$1:CB$87,'Fórmula'!F16,5))+'Fórmula'!I16*(INDEX(properties!A$1:CB$87,'Fórmula'!H16,5))+'Fórmula'!K16*(INDEX(properties!A$1:CB$87,'Fórmula'!J16,5))</f>
        <v>17</v>
      </c>
      <c r="P16" s="103">
        <f t="array" ref="P16">VARP(IF(INDEX(properties!A$1:CB$87,'Fórmula'!B16,5)&lt;&gt;"",INDEX(properties!A$1:CB$87,'Fórmula'!B16,5)),IF(INDEX(properties!A$1:CB$87,'Fórmula'!D16,5)&lt;&gt;"",INDEX(properties!A$1:CB$87,'Fórmula'!D16,5)),IF(INDEX(properties!A$1:CB$87,'Fórmula'!F16,5)&lt;&gt;"",INDEX(properties!A$1:CB$87,'Fórmula'!F16,5)),IF(INDEX(properties!A$1:CB$87,'Fórmula'!H16,5)&lt;&gt;"",INDEX(properties!A$1:CB$87,'Fórmula'!H16,5)),IF(INDEX(properties!A$1:CB$87,'Fórmula'!J16,5)&lt;&gt;"",INDEX(properties!A$1:CB$87,'Fórmula'!J16,5)))</f>
        <v>3.84</v>
      </c>
      <c r="Q16" s="103">
        <f t="array" ref="Q16">MAX(INDEX(properties!A$1:CB$87,'Fórmula'!B16,5),INDEX(properties!A$1:CB$87,'Fórmula'!D16,5),INDEX(properties!A$1:CB$87,'Fórmula'!F16,5),INDEX(properties!A$1:CB$87,'Fórmula'!H16,5),INDEX(properties!A$1:CB$87,'Fórmula'!J16,5))</f>
        <v>6</v>
      </c>
      <c r="R16" s="103">
        <f t="array" ref="R16">MIN(IF(INDEX(properties!A$1:CB$87,'Fórmula'!B16,5)=0,10^6,INDEX(properties!A$1:CB$87,'Fórmula'!B16,5)),IF(INDEX(properties!A$1:CB$87,'Fórmula'!D16,5)=0,10^6,INDEX(properties!A$1:CB$87,'Fórmula'!D16,5)),IF(INDEX(properties!A$1:CB$87,'Fórmula'!F16,5)=0,10^6,INDEX(properties!A$1:CB$87,'Fórmula'!F16,5)),IF(INDEX(properties!A$1:CB$87,'Fórmula'!H16,5)=0,10^6,INDEX(properties!A$1:CB$87,'Fórmula'!H16,5)),IF(INDEX(properties!A$1:CB$87,'Fórmula'!J16,5)=0,10^6,INDEX(properties!A$1:CB$87,'Fórmula'!J16,5)))</f>
        <v>2</v>
      </c>
      <c r="S16" s="103">
        <f t="shared" si="3"/>
        <v>4</v>
      </c>
      <c r="T16" s="104">
        <f t="array" ref="T16">(('Fórmula'!C16)/('Fórmula'!C16+'Fórmula'!E16+'Fórmula'!G16+'Fórmula'!I16+'Fórmula'!K16))*(INDEX(properties!A$1:CB$87,'Fórmula'!B16,6))+(('Fórmula'!E16)/('Fórmula'!C16+'Fórmula'!E16+'Fórmula'!G16+'Fórmula'!I16+'Fórmula'!K16))*(INDEX(properties!A$1:CB$87,'Fórmula'!D16,6))+(('Fórmula'!G16)/('Fórmula'!C16+'Fórmula'!E16+'Fórmula'!G16+'Fórmula'!I16+'Fórmula'!K16))*(INDEX(properties!A$1:CB$87,'Fórmula'!F16,6))+(('Fórmula'!I16)/('Fórmula'!C16+'Fórmula'!E16+'Fórmula'!G16+'Fórmula'!I16+'Fórmula'!K16))*(INDEX(properties!A$1:CB$87,'Fórmula'!H16,6))+(('Fórmula'!K16)/('Fórmula'!C16+'Fórmula'!E16+'Fórmula'!G16+'Fórmula'!I16+'Fórmula'!K16))*(INDEX(properties!A$1:CB$87,'Fórmula'!J16,6))</f>
        <v>10.66666667</v>
      </c>
      <c r="U16" s="104">
        <f t="array" ref="U16">'Fórmula'!C16*(INDEX(properties!A$1:CB$87,'Fórmula'!B16,6))+'Fórmula'!E16*(INDEX(properties!A$1:CB$87,'Fórmula'!D16,6))+'Fórmula'!G16*(INDEX(properties!A$1:CB$87,'Fórmula'!F16,6))+'Fórmula'!I16*(INDEX(properties!A$1:CB$87,'Fórmula'!H16,6))+'Fórmula'!K16*(INDEX(properties!A$1:CB$87,'Fórmula'!J16,6))</f>
        <v>64</v>
      </c>
      <c r="V16" s="103">
        <f t="array" ref="V16">VARP(IF(INDEX(properties!A$1:CB$87,'Fórmula'!B16,6)&lt;&gt;"",INDEX(properties!A$1:CB$87,'Fórmula'!B16,6)),IF(INDEX(properties!A$1:CB$87,'Fórmula'!D16,6)&lt;&gt;"",INDEX(properties!A$1:CB$87,'Fórmula'!D16,6)),IF(INDEX(properties!A$1:CB$87,'Fórmula'!F16,6)&lt;&gt;"",INDEX(properties!A$1:CB$87,'Fórmula'!F16,6)),IF(INDEX(properties!A$1:CB$87,'Fórmula'!H16,6)&lt;&gt;"",INDEX(properties!A$1:CB$87,'Fórmula'!H16,6)),IF(INDEX(properties!A$1:CB$87,'Fórmula'!J16,6)&lt;&gt;"",INDEX(properties!A$1:CB$87,'Fórmula'!J16,6)))</f>
        <v>45.04</v>
      </c>
      <c r="W16" s="104">
        <f t="array" ref="W16">MAX(INDEX(properties!A$1:CB$87,'Fórmula'!B16,6),INDEX(properties!A$1:CB$87,'Fórmula'!D16,6),INDEX(properties!A$1:CB$87,'Fórmula'!F16,6),INDEX(properties!A$1:CB$87,'Fórmula'!H16,4),INDEX(properties!A$1:CB$87,'Fórmula'!J16,6))</f>
        <v>13</v>
      </c>
      <c r="X16" s="104">
        <f t="array" ref="X16">MIN(IF(INDEX(properties!A$1:CB$87,'Fórmula'!B16,6)=0,10^6,INDEX(properties!A$1:CB$87,'Fórmula'!B16,6)),IF(INDEX(properties!A$1:CB$87,'Fórmula'!D16,6)=0,10^6,INDEX(properties!A$1:CB$87,'Fórmula'!D16,6)),IF(INDEX(properties!A$1:CB$87,'Fórmula'!F16,6)=0,10^6,INDEX(properties!A$1:CB$87,'Fórmula'!F16,6)),IF(INDEX(properties!A$1:CB$87,'Fórmula'!H16,6)=0,10^6,INDEX(properties!A$1:CB$87,'Fórmula'!H16,6)),IF(INDEX(properties!A$1:CB$87,'Fórmula'!J16,6)=0,10^6,INDEX(properties!A$1:CB$87,'Fórmula'!J16,6)))</f>
        <v>1</v>
      </c>
      <c r="Y16" s="104">
        <f t="shared" si="4"/>
        <v>12</v>
      </c>
      <c r="Z16" s="105">
        <f t="array" ref="Z16">(('Fórmula'!C16)/('Fórmula'!C16+'Fórmula'!E16+'Fórmula'!G16+'Fórmula'!I16+'Fórmula'!K16))*(INDEX(properties!A$1:CB$87,'Fórmula'!B16,9))+(('Fórmula'!E16)/('Fórmula'!C16+'Fórmula'!E16+'Fórmula'!G16+'Fórmula'!I16+'Fórmula'!K16))*(INDEX(properties!A$1:CB$87,'Fórmula'!D16,9))+(('Fórmula'!G16)/('Fórmula'!C16+'Fórmula'!E16+'Fórmula'!G16+'Fórmula'!I16+'Fórmula'!K16))*(INDEX(properties!A$1:CB$87,'Fórmula'!F16,9))+(('Fórmula'!I16)/('Fórmula'!C16+'Fórmula'!E16+'Fórmula'!G16+'Fórmula'!I16+'Fórmula'!K16))*(INDEX(properties!A$1:CB$87,'Fórmula'!H16,9))+(('Fórmula'!K16)/('Fórmula'!C16+'Fórmula'!E16+'Fórmula'!G16+'Fórmula'!I16+'Fórmula'!K16))*(INDEX(properties!A$1:CB$87,'Fórmula'!J16,9))</f>
        <v>57.33333333</v>
      </c>
      <c r="AA16" s="105">
        <f t="array" ref="AA16">'Fórmula'!C16*(INDEX(properties!A$1:CB$87,'Fórmula'!B16,9))+'Fórmula'!E16*(INDEX(properties!A$1:CB$87,'Fórmula'!D16,9))+'Fórmula'!G16*(INDEX(properties!A$1:CB$87,'Fórmula'!F16,9))+'Fórmula'!I16*(INDEX(properties!A$1:CB$87,'Fórmula'!H16,9))+'Fórmula'!K16*(INDEX(properties!A$1:CB$87,'Fórmula'!J16,9))</f>
        <v>344</v>
      </c>
      <c r="AB16" s="105">
        <f t="array" ref="AB16">VARP(IF(INDEX(properties!A$1:CB$87,'Fórmula'!B16,9)&lt;&gt;"",INDEX(properties!A$1:CB$87,'Fórmula'!B16,9)),IF(INDEX(properties!A$1:CB$87,'Fórmula'!D16,9)&lt;&gt;"",INDEX(properties!A$1:CB$87,'Fórmula'!D16,9)),IF(INDEX(properties!A$1:CB$87,'Fórmula'!F16,9)&lt;&gt;"",INDEX(properties!A$1:CB$87,'Fórmula'!F16,9)),IF(INDEX(properties!A$1:CB$87,'Fórmula'!H16,9)&lt;&gt;"",INDEX(properties!A$1:CB$87,'Fórmula'!H16,9)),IF(INDEX(properties!A$1:CB$87,'Fórmula'!J16,9)&lt;&gt;"",INDEX(properties!A$1:CB$87,'Fórmula'!J16,9)))</f>
        <v>1411.6</v>
      </c>
      <c r="AC16" s="105">
        <f t="array" ref="AC16">MAX(INDEX(properties!A$1:CB$87,'Fórmula'!B16,9),INDEX(properties!A$1:CB$87,'Fórmula'!D16,9),INDEX(properties!A$1:CB$87,'Fórmula'!F16,9),INDEX(properties!A$1:CB$87,'Fórmula'!H16,9),INDEX(properties!A$1:CB$87,'Fórmula'!J16,9))</f>
        <v>87</v>
      </c>
      <c r="AD16" s="105">
        <f t="array" ref="AD16">MIN(IF(INDEX(properties!A$1:CB$87,'Fórmula'!B16,9)=0,10^6,INDEX(properties!A$1:CB$87,'Fórmula'!B16,9)),IF(INDEX(properties!A$1:CB$87,'Fórmula'!D16,9)=0,10^6,INDEX(properties!A$1:CB$87,'Fórmula'!D16,9)),IF(INDEX(properties!A$1:CB$87,'Fórmula'!F16,9)=0,10^6,INDEX(properties!A$1:CB$87,'Fórmula'!F16,9)),IF(INDEX(properties!A$1:CB$87,'Fórmula'!H16,9)=0,10^6,INDEX(properties!A$1:CB$87,'Fórmula'!H16,9)),IF(INDEX(properties!A$1:CB$87,'Fórmula'!J16,9)=0,10^6,INDEX(properties!A$1:CB$87,'Fórmula'!J16,9)))</f>
        <v>2</v>
      </c>
      <c r="AE16" s="105">
        <f t="shared" si="5"/>
        <v>85</v>
      </c>
      <c r="AF16" s="106">
        <f t="array" ref="AF16">(('Fórmula'!C16)/('Fórmula'!C16+'Fórmula'!E16+'Fórmula'!G16+'Fórmula'!I16+'Fórmula'!K16))*(INDEX(properties!A$1:CB$87,'Fórmula'!B16,10))+(('Fórmula'!E16)/('Fórmula'!C16+'Fórmula'!E16+'Fórmula'!G16+'Fórmula'!I16+'Fórmula'!K16))*(INDEX(properties!A$1:CB$87,'Fórmula'!D16,10))+(('Fórmula'!G16)/('Fórmula'!C16+'Fórmula'!E16+'Fórmula'!G16+'Fórmula'!I16+'Fórmula'!K16))*(INDEX(properties!A$1:CB$87,'Fórmula'!F16,10))+(('Fórmula'!I16)/('Fórmula'!C16+'Fórmula'!E16+'Fórmula'!G16+'Fórmula'!I16+'Fórmula'!K16))*(INDEX(properties!A$1:CB$87,'Fórmula'!H16,10))+(('Fórmula'!K16)/('Fórmula'!C16+'Fórmula'!E16+'Fórmula'!G16+'Fórmula'!I16+'Fórmula'!K16))*(INDEX(properties!A$1:CB$87,'Fórmula'!J16,10))</f>
        <v>5</v>
      </c>
      <c r="AG16" s="106">
        <f t="array" ref="AG16">'Fórmula'!C16*(INDEX(properties!A$1:CB$87,'Fórmula'!B16,10))+'Fórmula'!E16*(INDEX(properties!A$1:CB$87,'Fórmula'!D16,10))+'Fórmula'!G16*(INDEX(properties!A$1:CB$87,'Fórmula'!F16,10))+'Fórmula'!I16*(INDEX(properties!A$1:CB$87,'Fórmula'!H16,10))+'Fórmula'!K16*(INDEX(properties!A$1:CB$87,'Fórmula'!J16,10))</f>
        <v>30</v>
      </c>
      <c r="AH16" s="106">
        <f t="array" ref="AH16">VARP(IF(INDEX(properties!A$1:CB$87,'Fórmula'!B16,10)&lt;&gt;"",INDEX(properties!A$1:CB$87,'Fórmula'!B16,10)),IF(INDEX(properties!A$1:CB$87,'Fórmula'!D16,10)&lt;&gt;"",INDEX(properties!A$1:CB$87,'Fórmula'!D16,10)),IF(INDEX(properties!A$1:CB$87,'Fórmula'!F16,10)&lt;&gt;"",INDEX(properties!A$1:CB$87,'Fórmula'!F16,10)),IF(INDEX(properties!A$1:CB$87,'Fórmula'!H16,10)&lt;&gt;"",INDEX(properties!A$1:CB$87,'Fórmula'!H16,10)),IF(INDEX(properties!A$1:CB$87,'Fórmula'!J16,10)&lt;&gt;"",INDEX(properties!A$1:CB$87,'Fórmula'!J16,10)))</f>
        <v>7.76</v>
      </c>
      <c r="AI16" s="106">
        <f t="array" ref="AI16">MAX(INDEX(properties!A$1:CB$87,'Fórmula'!B16,10),INDEX(properties!A$1:CB$87,'Fórmula'!D16,10),INDEX(properties!A$1:CB$87,'Fórmula'!F16,10),INDEX(properties!A$1:CB$87,'Fórmula'!H16,10),INDEX(properties!A$1:CB$87,'Fórmula'!J16,10))</f>
        <v>7</v>
      </c>
      <c r="AJ16" s="106">
        <f t="array" ref="AJ16">MIN(IF(INDEX(properties!A$1:CB$87,'Fórmula'!B16,10)=0,10^6,INDEX(properties!A$1:CB$87,'Fórmula'!B16,10)),IF(INDEX(properties!A$1:CB$87,'Fórmula'!D16,10)=0,10^6,INDEX(properties!A$1:CB$87,'Fórmula'!D16,10)),IF(INDEX(properties!A$1:CB$87,'Fórmula'!F16,10)=0,10^6,INDEX(properties!A$1:CB$87,'Fórmula'!F16,10)),IF(INDEX(properties!A$1:CB$87,'Fórmula'!H16,10)=0,10^6,INDEX(properties!A$1:CB$87,'Fórmula'!H16,10)),IF(INDEX(properties!A$1:CB$87,'Fórmula'!J16,10)=0,10^6,INDEX(properties!A$1:CB$87,'Fórmula'!J16,10)))</f>
        <v>1</v>
      </c>
      <c r="AK16" s="106">
        <f t="shared" si="6"/>
        <v>6</v>
      </c>
      <c r="AL16" s="107">
        <f t="array" ref="AL16">(('Fórmula'!C16)/('Fórmula'!C16+'Fórmula'!E16+'Fórmula'!G16+'Fórmula'!I16+'Fórmula'!K16))*(INDEX(properties!A$1:CB$87,'Fórmula'!B16,11))+(('Fórmula'!E16)/('Fórmula'!C16+'Fórmula'!E16+'Fórmula'!G16+'Fórmula'!I16+'Fórmula'!K16))*(INDEX(properties!A$1:CB$87,'Fórmula'!D16,11))+(('Fórmula'!G16)/('Fórmula'!C16+'Fórmula'!E16+'Fórmula'!G16+'Fórmula'!I16+'Fórmula'!K16))*(INDEX(properties!A$1:CB$87,'Fórmula'!F16,11))+(('Fórmula'!I16)/('Fórmula'!C16+'Fórmula'!E16+'Fórmula'!G16+'Fórmula'!I16+'Fórmula'!K16))*(INDEX(properties!A$1:CB$87,'Fórmula'!H16,11))+(('Fórmula'!K16)/('Fórmula'!C16+'Fórmula'!E16+'Fórmula'!G16+'Fórmula'!I16+'Fórmula'!K16))*(INDEX(properties!A$1:CB$87,'Fórmula'!J16,11))</f>
        <v>1.833333333</v>
      </c>
      <c r="AM16" s="107">
        <f t="array" ref="AM16">'Fórmula'!C16*(INDEX(properties!A$1:CB$87,'Fórmula'!B16,11))+'Fórmula'!E16*(INDEX(properties!A$1:CB$87,'Fórmula'!D16,11))+'Fórmula'!G16*(INDEX(properties!A$1:CB$87,'Fórmula'!F16,11))+'Fórmula'!I16*(INDEX(properties!A$1:CB$87,'Fórmula'!H16,11))+'Fórmula'!K16*(INDEX(properties!A$1:CB$87,'Fórmula'!J16,11))</f>
        <v>11</v>
      </c>
      <c r="AN16" s="107">
        <f t="array" ref="AN16">VARP(IF(INDEX(properties!A$1:CB$87,'Fórmula'!B16,11)&lt;&gt;"",INDEX(properties!A$1:CB$87,'Fórmula'!B16,11)),IF(INDEX(properties!A$1:CB$87,'Fórmula'!D16,11)&lt;&gt;"",INDEX(properties!A$1:CB$87,'Fórmula'!D16,11)),IF(INDEX(properties!A$1:CB$87,'Fórmula'!F16,11)&lt;&gt;"",INDEX(properties!A$1:CB$87,'Fórmula'!F16,11)),IF(INDEX(properties!A$1:CB$87,'Fórmula'!H16,11)&lt;&gt;"",INDEX(properties!A$1:CB$87,'Fórmula'!H16,11)),IF(INDEX(properties!A$1:CB$87,'Fórmula'!J16,11)&lt;&gt;"",INDEX(properties!A$1:CB$87,'Fórmula'!J16,11)))</f>
        <v>0.64</v>
      </c>
      <c r="AO16" s="107">
        <f t="array" ref="AO16">MAX(INDEX(properties!A$1:CB$87,'Fórmula'!B16,11),INDEX(properties!A$1:CB$87,'Fórmula'!D16,11),INDEX(properties!A$1:CB$87,'Fórmula'!F16,11),INDEX(properties!A$1:CB$87,'Fórmula'!H16,11),INDEX(properties!A$1:CB$87,'Fórmula'!J16,11))</f>
        <v>2</v>
      </c>
      <c r="AP16" s="107">
        <f t="array" ref="AP16">MIN(IF('Fórmula'!B16=87,10^6,INDEX(properties!A$1:CB$87,'Fórmula'!B16,11)),IF(('Fórmula'!D16)=87,10^6,INDEX(properties!A$1:CB$87,'Fórmula'!D16,11)),IF(('Fórmula'!F16)=87,10^6,INDEX(properties!A$1:CB$87,'Fórmula'!F16,11)),IF(('Fórmula'!H16)=87,10^6,INDEX(properties!A$1:CB$87,'Fórmula'!H16,11)),IF('Fórmula'!J16=87,10^6,INDEX(properties!A$1:CB$87,'Fórmula'!J16,11)))</f>
        <v>1</v>
      </c>
      <c r="AQ16" s="107">
        <f t="shared" si="7"/>
        <v>1</v>
      </c>
      <c r="AR16" s="108">
        <f t="array" ref="AR16">(('Fórmula'!C16)/('Fórmula'!C16+'Fórmula'!E16+'Fórmula'!G16+'Fórmula'!I16+'Fórmula'!K16))*(INDEX(properties!A$1:CB$87,'Fórmula'!B16,12))+(('Fórmula'!E16)/('Fórmula'!C16+'Fórmula'!E16+'Fórmula'!G16+'Fórmula'!I16+'Fórmula'!K16))*(INDEX(properties!A$1:CB$87,'Fórmula'!D16,12))+(('Fórmula'!G16)/('Fórmula'!C16+'Fórmula'!E16+'Fórmula'!G16+'Fórmula'!I16+'Fórmula'!K16))*(INDEX(properties!A$1:CB$87,'Fórmula'!F16,12))+(('Fórmula'!I16)/('Fórmula'!C16+'Fórmula'!E16+'Fórmula'!G16+'Fórmula'!I16+'Fórmula'!K16))*(INDEX(properties!A$1:CB$87,'Fórmula'!H16,12))+(('Fórmula'!K16)/('Fórmula'!C16+'Fórmula'!E16+'Fórmula'!G16+'Fórmula'!I16+'Fórmula'!K16))*(INDEX(properties!A$1:CB$87,'Fórmula'!J16,12))</f>
        <v>2.166666667</v>
      </c>
      <c r="AS16" s="108">
        <f t="array" ref="AS16">'Fórmula'!C16*(INDEX(properties!A$1:CB$87,'Fórmula'!B16,12))+'Fórmula'!E16*(INDEX(properties!A$1:CB$87,'Fórmula'!D16,12))+'Fórmula'!G16*(INDEX(properties!A$1:CB$87,'Fórmula'!F16,12))+'Fórmula'!I16*(INDEX(properties!A$1:CB$87,'Fórmula'!H16,12))+'Fórmula'!K16*(INDEX(properties!A$1:CB$87,'Fórmula'!J16,12))</f>
        <v>13</v>
      </c>
      <c r="AT16" s="108">
        <f t="array" ref="AT16">VARP(IF(INDEX(properties!A$1:CB$87,'Fórmula'!B16,12)&lt;&gt;"",INDEX(properties!A$1:CB$87,'Fórmula'!B16,12)),IF(INDEX(properties!A$1:CB$87,'Fórmula'!D16,12)&lt;&gt;"",INDEX(properties!A$1:CB$87,'Fórmula'!D16,12)),IF(INDEX(properties!A$1:CB$87,'Fórmula'!F16,12)&lt;&gt;"",INDEX(properties!A$1:CB$87,'Fórmula'!F16,12)),IF(INDEX(properties!A$1:CB$87,'Fórmula'!H16,12)&lt;&gt;"",INDEX(properties!A$1:CB$87,'Fórmula'!H16,12)),IF(INDEX(properties!A$1:CB$87,'Fórmula'!J16,12)&lt;&gt;"",INDEX(properties!A$1:CB$87,'Fórmula'!J16,12)))</f>
        <v>2.4</v>
      </c>
      <c r="AU16" s="108">
        <f t="array" ref="AU16">MAX(INDEX(properties!A$1:CB$87,'Fórmula'!B16,12),INDEX(properties!A$1:CB$87,'Fórmula'!D16,12),INDEX(properties!A$1:CB$87,'Fórmula'!F16,12),INDEX(properties!A$1:CB$87,'Fórmula'!H16,12),INDEX(properties!A$1:CB$87,'Fórmula'!J16,12))</f>
        <v>4</v>
      </c>
      <c r="AV16" s="108">
        <f t="array" ref="AV16">MIN(IF('Fórmula'!B16=87,10^6,INDEX(properties!A$1:CB$87,'Fórmula'!B16,12)),IF(('Fórmula'!D16)=87,10^6,INDEX(properties!A$1:CB$87,'Fórmula'!D16,12)),IF(('Fórmula'!F16)=87,10^6,INDEX(properties!A$1:CB$87,'Fórmula'!F16,12)),IF(('Fórmula'!H16)=87,10^6,INDEX(properties!A$1:CB$87,'Fórmula'!H16,12)),IF('Fórmula'!J16=87,10^6,INDEX(properties!A$1:CB$87,'Fórmula'!J16,12)))</f>
        <v>0</v>
      </c>
      <c r="AW16" s="108">
        <f t="shared" si="8"/>
        <v>4</v>
      </c>
      <c r="AX16" s="109">
        <f t="array" ref="AX16">(('Fórmula'!C16)/('Fórmula'!C16+'Fórmula'!E16+'Fórmula'!G16+'Fórmula'!I16+'Fórmula'!K16))*(INDEX(properties!A$1:CB$87,'Fórmula'!B16,13))+(('Fórmula'!E16)/('Fórmula'!C16+'Fórmula'!E16+'Fórmula'!G16+'Fórmula'!I16+'Fórmula'!K16))*(INDEX(properties!A$1:CB$87,'Fórmula'!D16,13))+(('Fórmula'!G16)/('Fórmula'!C16+'Fórmula'!E16+'Fórmula'!G16+'Fórmula'!I16+'Fórmula'!K16))*(INDEX(properties!A$1:CB$87,'Fórmula'!F16,13))+(('Fórmula'!I16)/('Fórmula'!C16+'Fórmula'!E16+'Fórmula'!G16+'Fórmula'!I16+'Fórmula'!K16))*(INDEX(properties!A$1:CB$87,'Fórmula'!H16,13))+(('Fórmula'!K16)/('Fórmula'!C16+'Fórmula'!E16+'Fórmula'!G16+'Fórmula'!I16+'Fórmula'!K16))*(INDEX(properties!A$1:CB$87,'Fórmula'!J16,13))</f>
        <v>0</v>
      </c>
      <c r="AY16" s="109">
        <f t="array" ref="AY16">'Fórmula'!C16*(INDEX(properties!A$1:CB$87,'Fórmula'!B16,13))+'Fórmula'!E16*(INDEX(properties!A$1:CB$87,'Fórmula'!D16,13))+'Fórmula'!G16*(INDEX(properties!A$1:CB$87,'Fórmula'!F16,13))+'Fórmula'!I16*(INDEX(properties!A$1:CB$87,'Fórmula'!H16,13))+'Fórmula'!K16*(INDEX(properties!A$1:CB$87,'Fórmula'!J16,13))</f>
        <v>0</v>
      </c>
      <c r="AZ16" s="109">
        <f t="array" ref="AZ16">VARP(IF(INDEX(properties!A$1:CB$87,'Fórmula'!B16,13)&lt;&gt;"",INDEX(properties!A$1:CB$87,'Fórmula'!B16,13)),IF(INDEX(properties!A$1:CB$87,'Fórmula'!D16,13)&lt;&gt;"",INDEX(properties!A$1:CB$87,'Fórmula'!D16,13)),IF(INDEX(properties!A$1:CB$87,'Fórmula'!F16,13)&lt;&gt;"",INDEX(properties!A$1:CB$87,'Fórmula'!F16,13)),IF(INDEX(properties!A$1:CB$87,'Fórmula'!H16,13)&lt;&gt;"",INDEX(properties!A$1:CB$87,'Fórmula'!H16,13)),IF(INDEX(properties!A$1:CB$87,'Fórmula'!J16,13)&lt;&gt;"",INDEX(properties!A$1:CB$87,'Fórmula'!J16,13)))</f>
        <v>0</v>
      </c>
      <c r="BA16" s="109">
        <f t="array" ref="BA16">MAX(INDEX(properties!A$1:CB$87,'Fórmula'!B16,13),INDEX(properties!A$1:CB$87,'Fórmula'!D16,13),INDEX(properties!A$1:CB$87,'Fórmula'!F16,13),INDEX(properties!A$1:CB$87,'Fórmula'!H16,13),INDEX(properties!A$1:CB$87,'Fórmula'!J16,13))</f>
        <v>0</v>
      </c>
      <c r="BB16" s="109">
        <f t="array" ref="BB16">MIN(IF('Fórmula'!B16=87,10^6,INDEX(properties!A$1:CB$87,'Fórmula'!B16,13)),IF(('Fórmula'!D16)=87,10^6,INDEX(properties!A$1:CB$87,'Fórmula'!D16,13)),IF(('Fórmula'!F16)=87,10^6,INDEX(properties!A$1:CB$87,'Fórmula'!F16,13)),IF(('Fórmula'!H16)=87,10^6,INDEX(properties!A$1:CB$87,'Fórmula'!H16,13)),IF('Fórmula'!J16=87,10^6,INDEX(properties!A$1:CB$87,'Fórmula'!J16,13)))</f>
        <v>0</v>
      </c>
      <c r="BC16" s="109">
        <f t="shared" si="9"/>
        <v>0</v>
      </c>
      <c r="BD16" s="110">
        <f t="array" ref="BD16">(('Fórmula'!C16)/('Fórmula'!C16+'Fórmula'!E16+'Fórmula'!G16+'Fórmula'!I16+'Fórmula'!K16))*(INDEX(properties!A$1:CB$87,'Fórmula'!B16,14))+(('Fórmula'!E16)/('Fórmula'!C16+'Fórmula'!E16+'Fórmula'!G16+'Fórmula'!I16+'Fórmula'!K16))*(INDEX(properties!A$1:CB$87,'Fórmula'!D16,14))+(('Fórmula'!G16)/('Fórmula'!C16+'Fórmula'!E16+'Fórmula'!G16+'Fórmula'!I16+'Fórmula'!K16))*(INDEX(properties!A$1:CB$87,'Fórmula'!F16,14))+(('Fórmula'!I16)/('Fórmula'!C16+'Fórmula'!E16+'Fórmula'!G16+'Fórmula'!I16+'Fórmula'!K16))*(INDEX(properties!A$1:CB$87,'Fórmula'!H16,14))+(('Fórmula'!K16)/('Fórmula'!C16+'Fórmula'!E16+'Fórmula'!G16+'Fórmula'!I16+'Fórmula'!K16))*(INDEX(properties!A$1:CB$87,'Fórmula'!J16,14))</f>
        <v>0</v>
      </c>
      <c r="BE16" s="110">
        <f t="array" ref="BE16">'Fórmula'!C16*(INDEX(properties!A$1:CB$87,'Fórmula'!B16,14))+'Fórmula'!E16*(INDEX(properties!A$1:CB$87,'Fórmula'!D16,14))+'Fórmula'!G16*(INDEX(properties!A$1:CB$87,'Fórmula'!F16,14))+'Fórmula'!I16*(INDEX(properties!A$1:CB$87,'Fórmula'!H16,14))+'Fórmula'!K16*(INDEX(properties!A$1:CB$87,'Fórmula'!J16,14))</f>
        <v>0</v>
      </c>
      <c r="BF16" s="110">
        <f t="array" ref="BF16">VARP(IF(INDEX(properties!A$1:CB$87,'Fórmula'!B16,14)&lt;&gt;"",INDEX(properties!A$1:CB$87,'Fórmula'!B16,14)),IF(INDEX(properties!A$1:CB$87,'Fórmula'!D16,14)&lt;&gt;"",INDEX(properties!A$1:CB$87,'Fórmula'!D16,14)),IF(INDEX(properties!A$1:CB$87,'Fórmula'!F16,14)&lt;&gt;"",INDEX(properties!A$1:CB$87,'Fórmula'!F16,14)),IF(INDEX(properties!A$1:CB$87,'Fórmula'!H16,14)&lt;&gt;"",INDEX(properties!A$1:CB$87,'Fórmula'!H16,14)),IF(INDEX(properties!A$1:CB$87,'Fórmula'!J16,14)&lt;&gt;"",INDEX(properties!A$1:CB$87,'Fórmula'!J16,14)))</f>
        <v>0</v>
      </c>
      <c r="BG16" s="110">
        <f t="array" ref="BG16">MAX(INDEX(properties!A$1:CB$87,'Fórmula'!B16,14),INDEX(properties!A$1:CB$87,'Fórmula'!D16,14),INDEX(properties!A$1:CB$87,'Fórmula'!F16,14),INDEX(properties!A$1:CB$87,'Fórmula'!H16,14),INDEX(properties!A$1:CB$87,'Fórmula'!J16,14))</f>
        <v>0</v>
      </c>
      <c r="BH16" s="110">
        <f t="array" ref="BH16">MIN(IF('Fórmula'!B16=87,10^6,INDEX(properties!A$1:CB$87,'Fórmula'!B16,14)),IF(('Fórmula'!D16)=87,10^6,INDEX(properties!A$1:CB$87,'Fórmula'!D16,14)),IF(('Fórmula'!F16)=87,10^6,INDEX(properties!A$1:CB$87,'Fórmula'!F16,14)),IF(('Fórmula'!H16)=87,10^6,INDEX(properties!A$1:CB$87,'Fórmula'!H16,14)),IF('Fórmula'!J16=87,10^6,INDEX(properties!A$1:CB$87,'Fórmula'!J16,14)))</f>
        <v>0</v>
      </c>
      <c r="BI16" s="110">
        <f t="shared" si="10"/>
        <v>0</v>
      </c>
      <c r="BJ16" s="111">
        <f t="array" ref="BJ16">(('Fórmula'!C16)/('Fórmula'!C16+'Fórmula'!E16+'Fórmula'!G16+'Fórmula'!I16+'Fórmula'!K16))*(INDEX(properties!A$1:CB$87,'Fórmula'!B16,19))+(('Fórmula'!E16)/('Fórmula'!C16+'Fórmula'!E16+'Fórmula'!G16+'Fórmula'!I16+'Fórmula'!K16))*(INDEX(properties!A$1:CB$87,'Fórmula'!D16,19))+(('Fórmula'!G16)/('Fórmula'!C16+'Fórmula'!E16+'Fórmula'!G16+'Fórmula'!I16+'Fórmula'!K16))*(INDEX(properties!A$1:CB$87,'Fórmula'!F16,19))+(('Fórmula'!I16)/('Fórmula'!C16+'Fórmula'!E16+'Fórmula'!G16+'Fórmula'!I16+'Fórmula'!K16))*(INDEX(properties!A$1:CB$87,'Fórmula'!H16,19))+(('Fórmula'!K16)/('Fórmula'!C16+'Fórmula'!E16+'Fórmula'!G16+'Fórmula'!I16+'Fórmula'!K16))*(INDEX(properties!A$1:CB$87,'Fórmula'!J16,19))</f>
        <v>4</v>
      </c>
      <c r="BK16" s="111">
        <f t="array" ref="BK16">'Fórmula'!C16*(INDEX(properties!A$1:CB$87,'Fórmula'!B16,19))+'Fórmula'!E16*(INDEX(properties!A$1:CB$87,'Fórmula'!D16,19))+'Fórmula'!G16*(INDEX(properties!A$1:CB$87,'Fórmula'!F16,19))+'Fórmula'!I16*(INDEX(properties!A$1:CB$87,'Fórmula'!H16,19))+'Fórmula'!K16*(INDEX(properties!A$1:CB$87,'Fórmula'!J16,19))</f>
        <v>24</v>
      </c>
      <c r="BL16" s="111">
        <f t="array" ref="BL16">VARP(IF(INDEX(properties!A$1:CB$87,'Fórmula'!B16,19)&lt;&gt;"",INDEX(properties!A$1:CB$87,'Fórmula'!B16,19)),IF(INDEX(properties!A$1:CB$87,'Fórmula'!D16,19)&lt;&gt;"",INDEX(properties!A$1:CB$87,'Fórmula'!D16,19)),IF(INDEX(properties!A$1:CB$87,'Fórmula'!F16,19)&lt;&gt;"",INDEX(properties!A$1:CB$87,'Fórmula'!F16,19)),IF(INDEX(properties!A$1:CB$87,'Fórmula'!H16,19)&lt;&gt;"",INDEX(properties!A$1:CB$87,'Fórmula'!H16,19)),IF(INDEX(properties!A$1:CB$87,'Fórmula'!J16,19)&lt;&gt;"",INDEX(properties!A$1:CB$87,'Fórmula'!J16,19)))</f>
        <v>4.24</v>
      </c>
      <c r="BM16" s="111">
        <f t="array" ref="BM16">MAX(INDEX(properties!A$1:CB$87,'Fórmula'!B16,19),INDEX(properties!A$1:CB$87,'Fórmula'!D16,19),INDEX(properties!A$1:CB$87,'Fórmula'!F16,19),INDEX(properties!A$1:CB$87,'Fórmula'!H16,19),INDEX(properties!A$1:CB$87,'Fórmula'!J16,19))</f>
        <v>6</v>
      </c>
      <c r="BN16" s="111">
        <f t="array" ref="BN16">MIN(IF(INDEX(properties!A$1:CB$87,'Fórmula'!B16,19)=0,10^6,INDEX(properties!A$1:CB$87,'Fórmula'!B16,19)),IF(INDEX(properties!A$1:CB$87,'Fórmula'!D16,19)=0,10^6,INDEX(properties!A$1:CB$87,'Fórmula'!D16,19)),IF(INDEX(properties!A$1:CB$87,'Fórmula'!F16,19)=0,10^6,INDEX(properties!A$1:CB$87,'Fórmula'!F16,19)),IF(INDEX(properties!A$1:CB$87,'Fórmula'!H16,19)=0,10^6,INDEX(properties!A$1:CB$87,'Fórmula'!H16,19)),IF(INDEX(properties!A$1:CB$87,'Fórmula'!J16,19)=0,10^6,INDEX(properties!A$1:CB$87,'Fórmula'!J16,19)))</f>
        <v>1</v>
      </c>
      <c r="BO16" s="111">
        <f t="shared" si="11"/>
        <v>5</v>
      </c>
      <c r="BP16" s="112">
        <f t="array" ref="BP16">(('Fórmula'!C16)/('Fórmula'!C16+'Fórmula'!E16+'Fórmula'!G16+'Fórmula'!I16+'Fórmula'!K16))*(INDEX(properties!A$1:CB$87,'Fórmula'!B16,20))+(('Fórmula'!E16)/('Fórmula'!C16+'Fórmula'!E16+'Fórmula'!G16+'Fórmula'!I16+'Fórmula'!K16))*(INDEX(properties!A$1:CB$87,'Fórmula'!D16,20))+(('Fórmula'!G16)/('Fórmula'!C16+'Fórmula'!E16+'Fórmula'!G16+'Fórmula'!I16+'Fórmula'!K16))*(INDEX(properties!A$1:CB$87,'Fórmula'!F16,20))+(('Fórmula'!I16)/('Fórmula'!C16+'Fórmula'!E16+'Fórmula'!G16+'Fórmula'!I16+'Fórmula'!K16))*(INDEX(properties!A$1:CB$87,'Fórmula'!H16,20))+(('Fórmula'!K16)/('Fórmula'!C16+'Fórmula'!E16+'Fórmula'!G16+'Fórmula'!I16+'Fórmula'!K16))*(INDEX(properties!A$1:CB$87,'Fórmula'!J16,20))</f>
        <v>4</v>
      </c>
      <c r="BQ16" s="112">
        <f t="array" ref="BQ16">'Fórmula'!C16*(INDEX(properties!A$1:CB$87,'Fórmula'!B16,20))+'Fórmula'!E16*(INDEX(properties!A$1:CB$87,'Fórmula'!D16,20))+'Fórmula'!G16*(INDEX(properties!A$1:CB$87,'Fórmula'!F16,20))+'Fórmula'!I16*(INDEX(properties!A$1:CB$87,'Fórmula'!H16,20))+'Fórmula'!K16*(INDEX(properties!A$1:CB$87,'Fórmula'!J16,20))</f>
        <v>24</v>
      </c>
      <c r="BR16" s="112">
        <f t="array" ref="BR16">VARP(IF(INDEX(properties!A$1:CB$87,'Fórmula'!B16,20)&lt;&gt;"",INDEX(properties!A$1:CB$87,'Fórmula'!B16,20)),IF(INDEX(properties!A$1:CB$87,'Fórmula'!D16,20)&lt;&gt;"",INDEX(properties!A$1:CB$87,'Fórmula'!D16,20)),IF(INDEX(properties!A$1:CB$87,'Fórmula'!F16,20)&lt;&gt;"",INDEX(properties!A$1:CB$87,'Fórmula'!F16,20)),IF(INDEX(properties!A$1:CB$87,'Fórmula'!H16,20)&lt;&gt;"",INDEX(properties!A$1:CB$87,'Fórmula'!H16,20)),IF(INDEX(properties!A$1:CB$87,'Fórmula'!J16,20)&lt;&gt;"",INDEX(properties!A$1:CB$87,'Fórmula'!J16,20)))</f>
        <v>4.24</v>
      </c>
      <c r="BS16" s="112">
        <f t="array" ref="BS16">MAX(INDEX(properties!A$1:CB$87,'Fórmula'!B16,20),INDEX(properties!A$1:CB$87,'Fórmula'!D16,20),INDEX(properties!A$1:CB$87,'Fórmula'!F16,20),INDEX(properties!A$1:CB$87,'Fórmula'!H16,20),INDEX(properties!A$1:CB$87,'Fórmula'!J16,20))</f>
        <v>6</v>
      </c>
      <c r="BT16" s="112">
        <f t="array" ref="BT16">MIN(IF(INDEX(properties!A$1:CB$87,'Fórmula'!B16,20)=0,10^6,INDEX(properties!A$1:CB$87,'Fórmula'!B16,20)),IF(INDEX(properties!A$1:CB$87,'Fórmula'!D16,20)=0,10^6,INDEX(properties!A$1:CB$87,'Fórmula'!D16,20)),IF(INDEX(properties!A$1:CB$87,'Fórmula'!F16,20)=0,10^6,INDEX(properties!A$1:CB$87,'Fórmula'!F16,20)),IF(INDEX(properties!A$1:CB$87,'Fórmula'!H16,20)=0,10^6,INDEX(properties!A$1:CB$87,'Fórmula'!H16,20)),IF(INDEX(properties!A$1:CB$87,'Fórmula'!J16,20)=0,10^6,INDEX(properties!A$1:CB$87,'Fórmula'!J16,20)))</f>
        <v>1</v>
      </c>
      <c r="BU16" s="112">
        <f t="shared" si="12"/>
        <v>5</v>
      </c>
      <c r="BV16" s="113">
        <f t="array" ref="BV16">(('Fórmula'!C16)/('Fórmula'!C16+'Fórmula'!E16+'Fórmula'!G16+'Fórmula'!I16+'Fórmula'!K16))*(INDEX(properties!A$1:CB$87,'Fórmula'!B16,21))+(('Fórmula'!E16)/('Fórmula'!C16+'Fórmula'!E16+'Fórmula'!G16+'Fórmula'!I16+'Fórmula'!K16))*(INDEX(properties!A$1:CB$87,'Fórmula'!D16,21))+(('Fórmula'!G16)/('Fórmula'!C16+'Fórmula'!E16+'Fórmula'!G16+'Fórmula'!I16+'Fórmula'!K16))*(INDEX(properties!A$1:CB$87,'Fórmula'!F16,21))+(('Fórmula'!I16)/('Fórmula'!C16+'Fórmula'!E16+'Fórmula'!G16+'Fórmula'!I16+'Fórmula'!K16))*(INDEX(properties!A$1:CB$87,'Fórmula'!H16,21))+(('Fórmula'!K16)/('Fórmula'!C16+'Fórmula'!E16+'Fórmula'!G16+'Fórmula'!I16+'Fórmula'!K16))*(INDEX(properties!A$1:CB$87,'Fórmula'!J16,21))</f>
        <v>4</v>
      </c>
      <c r="BW16" s="113">
        <f t="array" ref="BW16">'Fórmula'!C16*(INDEX(properties!A$1:CB$87,'Fórmula'!B16,21))+'Fórmula'!E16*(INDEX(properties!A$1:CB$87,'Fórmula'!D16,21))+'Fórmula'!G16*(INDEX(properties!A$1:CB$87,'Fórmula'!F16,21))+'Fórmula'!I16*(INDEX(properties!A$1:CB$87,'Fórmula'!H16,21))+'Fórmula'!K16*(INDEX(properties!A$1:CB$87,'Fórmula'!J16,21))</f>
        <v>24</v>
      </c>
      <c r="BX16" s="113">
        <f t="array" ref="BX16">VARP(IF(INDEX(properties!A$1:CB$87,'Fórmula'!B16,21)&lt;&gt;"",INDEX(properties!A$1:CB$87,'Fórmula'!B16,21)),IF(INDEX(properties!A$1:CB$87,'Fórmula'!D16,21)&lt;&gt;"",INDEX(properties!A$1:CB$87,'Fórmula'!D16,21)),IF(INDEX(properties!A$1:CB$87,'Fórmula'!F16,21)&lt;&gt;"",INDEX(properties!A$1:CB$87,'Fórmula'!F16,21)),IF(INDEX(properties!A$1:CB$87,'Fórmula'!H16,21)&lt;&gt;"",INDEX(properties!A$1:CB$87,'Fórmula'!H16,21)),IF(INDEX(properties!A$1:CB$87,'Fórmula'!J16,21)&lt;&gt;"",INDEX(properties!A$1:CB$87,'Fórmula'!J16,21)))</f>
        <v>4.24</v>
      </c>
      <c r="BY16" s="113">
        <f t="array" ref="BY16">MAX(INDEX(properties!A$1:CB$87,'Fórmula'!B16,21),INDEX(properties!A$1:CB$87,'Fórmula'!D16,21),INDEX(properties!A$1:CB$87,'Fórmula'!F16,21),INDEX(properties!A$1:CB$87,'Fórmula'!H16,21),INDEX(properties!A$1:CB$87,'Fórmula'!J16,21))</f>
        <v>6</v>
      </c>
      <c r="BZ16" s="113">
        <f t="array" ref="BZ16">MIN(IF(INDEX(properties!A$1:CB$87,'Fórmula'!B16,21)=0,10^6,INDEX(properties!A$1:CB$87,'Fórmula'!B16,21)),IF(INDEX(properties!A$1:CB$87,'Fórmula'!D16,21)=0,10^6,INDEX(properties!A$1:CB$87,'Fórmula'!D16,21)),IF(INDEX(properties!A$1:CB$87,'Fórmula'!F16,21)=0,10^6,INDEX(properties!A$1:CB$87,'Fórmula'!F16,21)),IF(INDEX(properties!A$1:CB$87,'Fórmula'!H16,21)=0,10^6,INDEX(properties!A$1:CB$87,'Fórmula'!H16,21)),IF(INDEX(properties!A$1:CB$87,'Fórmula'!J16,21)=0,10^6,INDEX(properties!A$1:CB$87,'Fórmula'!J16,21)))</f>
        <v>1</v>
      </c>
      <c r="CA16" s="113">
        <f t="shared" si="13"/>
        <v>5</v>
      </c>
      <c r="CB16" s="114">
        <f t="array" ref="CB16">(('Fórmula'!C16)/('Fórmula'!C16+'Fórmula'!E16+'Fórmula'!G16+'Fórmula'!I16+'Fórmula'!K16))*(INDEX(properties!A$1:CB$87,'Fórmula'!B16,23))+(('Fórmula'!E16)/('Fórmula'!C16+'Fórmula'!E16+'Fórmula'!G16+'Fórmula'!I16+'Fórmula'!K16))*(INDEX(properties!A$1:CB$87,'Fórmula'!D16,23))+(('Fórmula'!G16)/('Fórmula'!C16+'Fórmula'!E16+'Fórmula'!G16+'Fórmula'!I16+'Fórmula'!K16))*(INDEX(properties!A$1:CB$87,'Fórmula'!F16,23))+(('Fórmula'!I16)/('Fórmula'!C16+'Fórmula'!E16+'Fórmula'!G16+'Fórmula'!I16+'Fórmula'!K16))*(INDEX(properties!A$1:CB$87,'Fórmula'!H16,23))+(('Fórmula'!K16)/('Fórmula'!C16+'Fórmula'!E16+'Fórmula'!G16+'Fórmula'!I16+'Fórmula'!K16))*(INDEX(properties!A$1:CB$87,'Fórmula'!J16,23))</f>
        <v>1</v>
      </c>
      <c r="CC16" s="114">
        <f t="array" ref="CC16">'Fórmula'!C16*(INDEX(properties!A$1:CB$87,'Fórmula'!B16,23))+'Fórmula'!E16*(INDEX(properties!A$1:CB$87,'Fórmula'!D16,23))+'Fórmula'!G16*(INDEX(properties!A$1:CB$87,'Fórmula'!F16,23))+'Fórmula'!I16*(INDEX(properties!A$1:CB$87,'Fórmula'!H16,23))+'Fórmula'!K16*(INDEX(properties!A$1:CB$87,'Fórmula'!J16,23))</f>
        <v>6</v>
      </c>
      <c r="CD16" s="114">
        <f t="array" ref="CD16">VARP(IF(INDEX(properties!A$1:CB$87,'Fórmula'!B16,23)&lt;&gt;"",INDEX(properties!A$1:CB$87,'Fórmula'!B16,23)),IF(INDEX(properties!A$1:CB$87,'Fórmula'!D16,23)&lt;&gt;"",INDEX(properties!A$1:CB$87,'Fórmula'!D16,23)),IF(INDEX(properties!A$1:CB$87,'Fórmula'!F16,23)&lt;&gt;"",INDEX(properties!A$1:CB$87,'Fórmula'!F16,23)),IF(INDEX(properties!A$1:CB$87,'Fórmula'!H16,23)&lt;&gt;"",INDEX(properties!A$1:CB$87,'Fórmula'!H16,23)),IF(INDEX(properties!A$1:CB$87,'Fórmula'!J16,23)&lt;&gt;"",INDEX(properties!A$1:CB$87,'Fórmula'!J16,23)))</f>
        <v>1.36</v>
      </c>
      <c r="CE16" s="114">
        <f t="array" ref="CE16">MAX(INDEX(properties!A$1:CB$87,'Fórmula'!B16,23),INDEX(properties!A$1:CB$87,'Fórmula'!D16,23),INDEX(properties!A$1:CB$87,'Fórmula'!F16,23),INDEX(properties!A$1:CB$87,'Fórmula'!H16,23),INDEX(properties!A$1:CB$87,'Fórmula'!J16,23))</f>
        <v>3</v>
      </c>
      <c r="CF16" s="114">
        <f t="array" ref="CF16">MIN(IF('Fórmula'!B16=87,10^6,INDEX(properties!A$1:CB$87,'Fórmula'!B16,23)),IF(('Fórmula'!D16)=87,10^6,INDEX(properties!A$1:CB$87,'Fórmula'!D16,23)),IF(('Fórmula'!F16)=87,10^6,INDEX(properties!A$1:CB$87,'Fórmula'!F16,23)),IF(('Fórmula'!H16)=87,10^6,INDEX(properties!A$1:CB$87,'Fórmula'!H16,23)),IF('Fórmula'!J16=87,10^6,INDEX(properties!A$1:CB$87,'Fórmula'!J16,23)))</f>
        <v>0</v>
      </c>
      <c r="CG16" s="114">
        <f t="shared" si="14"/>
        <v>3</v>
      </c>
      <c r="CH16" s="115">
        <f t="array" ref="CH16">(('Fórmula'!C16)/('Fórmula'!C16+'Fórmula'!E16+'Fórmula'!G16+'Fórmula'!I16+'Fórmula'!K16))*(INDEX(properties!A$1:CB$87,'Fórmula'!B16,26))+(('Fórmula'!E16)/('Fórmula'!C16+'Fórmula'!E16+'Fórmula'!G16+'Fórmula'!I16+'Fórmula'!K16))*(INDEX(properties!A$1:CB$87,'Fórmula'!D16,26))+(('Fórmula'!G16)/('Fórmula'!C16+'Fórmula'!E16+'Fórmula'!G16+'Fórmula'!I16+'Fórmula'!K16))*(INDEX(properties!A$1:CB$87,'Fórmula'!F16,26))+(('Fórmula'!I16)/('Fórmula'!C16+'Fórmula'!E16+'Fórmula'!G16+'Fórmula'!I16+'Fórmula'!K16))*(INDEX(properties!A$1:CB$87,'Fórmula'!H16,26))+(('Fórmula'!K16)/('Fórmula'!C16+'Fórmula'!E16+'Fórmula'!G16+'Fórmula'!I16+'Fórmula'!K16))*(INDEX(properties!A$1:CB$87,'Fórmula'!J16,26))</f>
        <v>9.917183333</v>
      </c>
      <c r="CI16" s="115">
        <f t="array" ref="CI16">'Fórmula'!C16*(INDEX(properties!A$1:CB$87,'Fórmula'!B16,26))+'Fórmula'!E16*(INDEX(properties!A$1:CB$87,'Fórmula'!D16,26))+'Fórmula'!G16*(INDEX(properties!A$1:CB$87,'Fórmula'!F16,26))+'Fórmula'!I16*(INDEX(properties!A$1:CB$87,'Fórmula'!H16,26))+'Fórmula'!K16*(INDEX(properties!A$1:CB$87,'Fórmula'!J16,26))</f>
        <v>59.5031</v>
      </c>
      <c r="CJ16" s="115">
        <f t="array" ref="CJ16">VARP(IF(INDEX(properties!A$1:CB$87,'Fórmula'!B16,26)&lt;&gt;"",INDEX(properties!A$1:CB$87,'Fórmula'!B16,26)),IF(INDEX(properties!A$1:CB$87,'Fórmula'!D16,26)&lt;&gt;"",INDEX(properties!A$1:CB$87,'Fórmula'!D16,26)),IF(INDEX(properties!A$1:CB$87,'Fórmula'!F16,26)&lt;&gt;"",INDEX(properties!A$1:CB$87,'Fórmula'!F16,26)),IF(INDEX(properties!A$1:CB$87,'Fórmula'!H16,26)&lt;&gt;"",INDEX(properties!A$1:CB$87,'Fórmula'!H16,26)),IF(INDEX(properties!A$1:CB$87,'Fórmula'!J16,26)&lt;&gt;"",INDEX(properties!A$1:CB$87,'Fórmula'!J16,26)))</f>
        <v>19.93021004</v>
      </c>
      <c r="CK16" s="116">
        <f t="array" ref="CK16">MAX(INDEX(properties!A$1:CB$87,'Fórmula'!B16,26),INDEX(properties!A$1:CB$87,'Fórmula'!D16,26),INDEX(properties!A$1:CB$87,'Fórmula'!F16,26),INDEX(properties!A$1:CB$87,'Fórmula'!H16,26),INDEX(properties!A$1:CB$87,'Fórmula'!J16,26))</f>
        <v>13.6181</v>
      </c>
      <c r="CL16" s="116">
        <f t="array" ref="CL16">MIN(IF(INDEX(properties!A$1:CB$87,'Fórmula'!B16,26)=0,10^6,INDEX(properties!A$1:CB$87,'Fórmula'!B16,26)),IF(INDEX(properties!A$1:CB$87,'Fórmula'!D16,26)=0,10^6,INDEX(properties!A$1:CB$87,'Fórmula'!D16,26)),IF(INDEX(properties!A$1:CB$87,'Fórmula'!F16,26)=0,10^6,INDEX(properties!A$1:CB$87,'Fórmula'!F16,26)),IF(INDEX(properties!A$1:CB$87,'Fórmula'!H16,26)=0,10^6,INDEX(properties!A$1:CB$87,'Fórmula'!H16,26)),IF(INDEX(properties!A$1:CB$87,'Fórmula'!J16,26)=0,10^6,INDEX(properties!A$1:CB$87,'Fórmula'!J16,26)))</f>
        <v>5.1391</v>
      </c>
      <c r="CM16" s="115">
        <f t="shared" si="15"/>
        <v>8.479</v>
      </c>
      <c r="CN16" s="117">
        <f t="array" ref="CN16">(('Fórmula'!C16)/('Fórmula'!C16+'Fórmula'!E16+'Fórmula'!G16+'Fórmula'!I16+'Fórmula'!K16))*(INDEX(properties!A$1:CB$87,'Fórmula'!B16,30))+(('Fórmula'!E16)/('Fórmula'!C16+'Fórmula'!E16+'Fórmula'!G16+'Fórmula'!I16+'Fórmula'!K16))*(INDEX(properties!A$1:CB$87,'Fórmula'!D16,30))+(('Fórmula'!G16)/('Fórmula'!C16+'Fórmula'!E16+'Fórmula'!G16+'Fórmula'!I16+'Fórmula'!K16))*(INDEX(properties!A$1:CB$87,'Fórmula'!F16,30))+(('Fórmula'!I16)/('Fórmula'!C16+'Fórmula'!E16+'Fórmula'!G16+'Fórmula'!I16+'Fórmula'!K16))*(INDEX(properties!A$1:CB$87,'Fórmula'!H16,30))+(('Fórmula'!K16)/('Fórmula'!C16+'Fórmula'!E16+'Fórmula'!G16+'Fórmula'!I16+'Fórmula'!K16))*(INDEX(properties!A$1:CB$87,'Fórmula'!J16,30))</f>
        <v>2.363333333</v>
      </c>
      <c r="CO16" s="117">
        <f t="array" ref="CO16">'Fórmula'!C16*(INDEX(properties!A$1:CB$87,'Fórmula'!B16,30))+'Fórmula'!E16*(INDEX(properties!A$1:CB$87,'Fórmula'!D16,30))+'Fórmula'!G16*(INDEX(properties!A$1:CB$87,'Fórmula'!F16,30))+'Fórmula'!I16*(INDEX(properties!A$1:CB$87,'Fórmula'!H16,30))+'Fórmula'!K16*(INDEX(properties!A$1:CB$87,'Fórmula'!J16,30))</f>
        <v>14.18</v>
      </c>
      <c r="CP16" s="117">
        <f t="array" ref="CP16">VARP(IF(INDEX(properties!A$1:CB$87,'Fórmula'!B16,30)&lt;&gt;"",INDEX(properties!A$1:CB$87,'Fórmula'!B16,30)),IF(INDEX(properties!A$1:CB$87,'Fórmula'!D16,30)&lt;&gt;"",INDEX(properties!A$1:CB$87,'Fórmula'!D16,30)),IF(INDEX(properties!A$1:CB$87,'Fórmula'!F16,30)&lt;&gt;"",INDEX(properties!A$1:CB$87,'Fórmula'!F16,30)),IF(INDEX(properties!A$1:CB$87,'Fórmula'!H16,30)&lt;&gt;"",INDEX(properties!A$1:CB$87,'Fórmula'!H16,30)),IF(INDEX(properties!A$1:CB$87,'Fórmula'!J16,30)&lt;&gt;"",INDEX(properties!A$1:CB$87,'Fórmula'!J16,30)))</f>
        <v>1.39884</v>
      </c>
      <c r="CQ16" s="117">
        <f t="array" ref="CQ16">MAX(INDEX(properties!A$1:CB$87,'Fórmula'!B16,30),INDEX(properties!A$1:CB$87,'Fórmula'!D16,30),INDEX(properties!A$1:CB$87,'Fórmula'!F16,30),INDEX(properties!A$1:CB$87,'Fórmula'!H16,30),INDEX(properties!A$1:CB$87,'Fórmula'!J16,30))</f>
        <v>3.44</v>
      </c>
      <c r="CR16" s="117">
        <f t="array" ref="CR16">MIN(IF(INDEX(properties!A$1:CB$87,'Fórmula'!B16,30)=0,10^6,INDEX(properties!A$1:CB$87,'Fórmula'!B16,30)),IF(INDEX(properties!A$1:CB$87,'Fórmula'!D16,30)=0,10^6,INDEX(properties!A$1:CB$87,'Fórmula'!D16,30)),IF(INDEX(properties!A$1:CB$87,'Fórmula'!F16,30)=0,10^6,INDEX(properties!A$1:CB$87,'Fórmula'!F16,30)),IF(INDEX(properties!A$1:CB$87,'Fórmula'!H16,30)=0,10^6,INDEX(properties!A$1:CB$87,'Fórmula'!H16,30)),IF(INDEX(properties!A$1:CB$87,'Fórmula'!J16,30)=0,10^6,INDEX(properties!A$1:CB$87,'Fórmula'!J16,30)))</f>
        <v>0.89</v>
      </c>
      <c r="CS16" s="117">
        <f t="shared" si="16"/>
        <v>2.55</v>
      </c>
      <c r="CT16" s="118">
        <f t="array" ref="CT16">(('Fórmula'!C16)/('Fórmula'!C16+'Fórmula'!E16+'Fórmula'!G16+'Fórmula'!I16+'Fórmula'!K16))*(INDEX(properties!A$1:CB$87,'Fórmula'!B16,31))+(('Fórmula'!E16)/('Fórmula'!C16+'Fórmula'!E16+'Fórmula'!G16+'Fórmula'!I16+'Fórmula'!K16))*(INDEX(properties!A$1:CB$87,'Fórmula'!D16,31))+(('Fórmula'!G16)/('Fórmula'!C16+'Fórmula'!E16+'Fórmula'!G16+'Fórmula'!I16+'Fórmula'!K16))*(INDEX(properties!A$1:CB$87,'Fórmula'!F16,31))+(('Fórmula'!I16)/('Fórmula'!C16+'Fórmula'!E16+'Fórmula'!G16+'Fórmula'!I16+'Fórmula'!K16))*(INDEX(properties!A$1:CB$87,'Fórmula'!H16,31))+(('Fórmula'!K16)/('Fórmula'!C16+'Fórmula'!E16+'Fórmula'!G16+'Fórmula'!I16+'Fórmula'!K16))*(INDEX(properties!A$1:CB$87,'Fórmula'!J16,31))</f>
        <v>2.305</v>
      </c>
      <c r="CU16" s="118">
        <f t="array" ref="CU16">'Fórmula'!C16*(INDEX(properties!A$1:CB$87,'Fórmula'!B16,31))+'Fórmula'!E16*(INDEX(properties!A$1:CB$87,'Fórmula'!D16,31))+'Fórmula'!G16*(INDEX(properties!A$1:CB$87,'Fórmula'!F16,31))+'Fórmula'!I16*(INDEX(properties!A$1:CB$87,'Fórmula'!H16,31))+'Fórmula'!K16*(INDEX(properties!A$1:CB$87,'Fórmula'!J16,31))</f>
        <v>13.83</v>
      </c>
      <c r="CV16" s="118">
        <f t="array" ref="CV16">VARP(IF(INDEX(properties!A$1:CB$87,'Fórmula'!B16,31)&lt;&gt;"",INDEX(properties!A$1:CB$87,'Fórmula'!B16,31)),IF(INDEX(properties!A$1:CB$87,'Fórmula'!D16,31)&lt;&gt;"",INDEX(properties!A$1:CB$87,'Fórmula'!D16,31)),IF(INDEX(properties!A$1:CB$87,'Fórmula'!F16,31)&lt;&gt;"",INDEX(properties!A$1:CB$87,'Fórmula'!F16,31)),IF(INDEX(properties!A$1:CB$87,'Fórmula'!H16,31)&lt;&gt;"",INDEX(properties!A$1:CB$87,'Fórmula'!H16,31)),IF(INDEX(properties!A$1:CB$87,'Fórmula'!J16,31)&lt;&gt;"",INDEX(properties!A$1:CB$87,'Fórmula'!J16,31)))</f>
        <v>1.250336</v>
      </c>
      <c r="CW16" s="118">
        <f t="array" ref="CW16">MAX(INDEX(properties!A$1:CB$87,'Fórmula'!B16,31),INDEX(properties!A$1:CB$87,'Fórmula'!D16,31),INDEX(properties!A$1:CB$87,'Fórmula'!F16,31),INDEX(properties!A$1:CB$87,'Fórmula'!H16,31),INDEX(properties!A$1:CB$87,'Fórmula'!J16,31))</f>
        <v>3.32</v>
      </c>
      <c r="CX16" s="118">
        <f t="array" ref="CX16">MIN(IF(INDEX(properties!A$1:CB$87,'Fórmula'!B16,31)=0,10^6,INDEX(properties!A$1:CB$87,'Fórmula'!B16,31)),IF(INDEX(properties!A$1:CB$87,'Fórmula'!D16,31)=0,10^6,INDEX(properties!A$1:CB$87,'Fórmula'!D16,31)),IF(INDEX(properties!A$1:CB$87,'Fórmula'!F16,31)=0,10^6,INDEX(properties!A$1:CB$87,'Fórmula'!F16,31)),IF(INDEX(properties!A$1:CB$87,'Fórmula'!H16,31)=0,10^6,INDEX(properties!A$1:CB$87,'Fórmula'!H16,31)),IF(INDEX(properties!A$1:CB$87,'Fórmula'!J16,31)=0,10^6,INDEX(properties!A$1:CB$87,'Fórmula'!J16,31)))</f>
        <v>0.89</v>
      </c>
      <c r="CY16" s="118">
        <f t="shared" si="17"/>
        <v>2.43</v>
      </c>
      <c r="CZ16" s="119">
        <f t="array" ref="CZ16">(('Fórmula'!C16)/('Fórmula'!C16+'Fórmula'!E16+'Fórmula'!G16+'Fórmula'!I16+'Fórmula'!K16))*(INDEX(properties!A$1:CB$87,'Fórmula'!B16,32))+(('Fórmula'!E16)/('Fórmula'!C16+'Fórmula'!E16+'Fórmula'!G16+'Fórmula'!I16+'Fórmula'!K16))*(INDEX(properties!A$1:CB$87,'Fórmula'!D16,32))+(('Fórmula'!G16)/('Fórmula'!C16+'Fórmula'!E16+'Fórmula'!G16+'Fórmula'!I16+'Fórmula'!K16))*(INDEX(properties!A$1:CB$87,'Fórmula'!F16,32))+(('Fórmula'!I16)/('Fórmula'!C16+'Fórmula'!E16+'Fórmula'!G16+'Fórmula'!I16+'Fórmula'!K16))*(INDEX(properties!A$1:CB$87,'Fórmula'!H16,32))+(('Fórmula'!K16)/('Fórmula'!C16+'Fórmula'!E16+'Fórmula'!G16+'Fórmula'!I16+'Fórmula'!K16))*(INDEX(properties!A$1:CB$87,'Fórmula'!J16,32))</f>
        <v>5.36</v>
      </c>
      <c r="DA16" s="119">
        <f t="array" ref="DA16">'Fórmula'!C16*(INDEX(properties!A$1:CB$87,'Fórmula'!B16,32))+'Fórmula'!E16*(INDEX(properties!A$1:CB$87,'Fórmula'!D16,32))+'Fórmula'!G16*(INDEX(properties!A$1:CB$87,'Fórmula'!F16,32))+'Fórmula'!I16*(INDEX(properties!A$1:CB$87,'Fórmula'!H16,32))+'Fórmula'!K16*(INDEX(properties!A$1:CB$87,'Fórmula'!J16,32))</f>
        <v>32.16</v>
      </c>
      <c r="DB16" s="119">
        <f t="array" ref="DB16">VARP(IF(INDEX(properties!A$1:CB$87,'Fórmula'!B16,32)&lt;&gt;"",INDEX(properties!A$1:CB$87,'Fórmula'!B16,32)),IF(INDEX(properties!A$1:CB$87,'Fórmula'!D16,32)&lt;&gt;"",INDEX(properties!A$1:CB$87,'Fórmula'!D16,32)),IF(INDEX(properties!A$1:CB$87,'Fórmula'!F16,32)&lt;&gt;"",INDEX(properties!A$1:CB$87,'Fórmula'!F16,32)),IF(INDEX(properties!A$1:CB$87,'Fórmula'!H16,32)&lt;&gt;"",INDEX(properties!A$1:CB$87,'Fórmula'!H16,32)),IF(INDEX(properties!A$1:CB$87,'Fórmula'!J16,32)&lt;&gt;"",INDEX(properties!A$1:CB$87,'Fórmula'!J16,32)))</f>
        <v>6.158584</v>
      </c>
      <c r="DC16" s="119">
        <f t="array" ref="DC16">MAX(INDEX(properties!A$1:CB$87,'Fórmula'!B16,32),INDEX(properties!A$1:CB$87,'Fórmula'!D16,32),INDEX(properties!A$1:CB$87,'Fórmula'!F16,32),INDEX(properties!A$1:CB$87,'Fórmula'!H16,32),INDEX(properties!A$1:CB$87,'Fórmula'!J16,32))</f>
        <v>7.54</v>
      </c>
      <c r="DD16" s="119">
        <f t="array" ref="DD16">MIN(IF(INDEX(properties!A$1:CB$87,'Fórmula'!B16,32)=0,10^6,INDEX(properties!A$1:CB$87,'Fórmula'!B16,32)),IF(INDEX(properties!A$1:CB$87,'Fórmula'!D16,32)=0,10^6,INDEX(properties!A$1:CB$87,'Fórmula'!D16,32)),IF(INDEX(properties!A$1:CB$87,'Fórmula'!F16,32)=0,10^6,INDEX(properties!A$1:CB$87,'Fórmula'!F16,32)),IF(INDEX(properties!A$1:CB$87,'Fórmula'!H16,32)=0,10^6,INDEX(properties!A$1:CB$87,'Fórmula'!H16,32)),IF(INDEX(properties!A$1:CB$87,'Fórmula'!J16,32)=0,10^6,INDEX(properties!A$1:CB$87,'Fórmula'!J16,32)))</f>
        <v>2.4</v>
      </c>
      <c r="DE16" s="119">
        <f t="shared" si="18"/>
        <v>5.14</v>
      </c>
      <c r="DF16" s="104">
        <f t="array" ref="DF16">(('Fórmula'!C16)/('Fórmula'!C16+'Fórmula'!E16+'Fórmula'!G16+'Fórmula'!I16+'Fórmula'!K16))*(INDEX(properties!A$1:CB$87,'Fórmula'!B16,34))+(('Fórmula'!E16)/('Fórmula'!C16+'Fórmula'!E16+'Fórmula'!G16+'Fórmula'!I16+'Fórmula'!K16))*(INDEX(properties!A$1:CB$87,'Fórmula'!D16,34))+(('Fórmula'!G16)/('Fórmula'!C16+'Fórmula'!E16+'Fórmula'!G16+'Fórmula'!I16+'Fórmula'!K16))*(INDEX(properties!A$1:CB$87,'Fórmula'!F16,34))+(('Fórmula'!I16)/('Fórmula'!C16+'Fórmula'!E16+'Fórmula'!G16+'Fórmula'!I16+'Fórmula'!K16))*(INDEX(properties!A$1:CB$87,'Fórmula'!H16,34))+(('Fórmula'!K16)/('Fórmula'!C16+'Fórmula'!E16+'Fórmula'!G16+'Fórmula'!I16+'Fórmula'!K16))*(INDEX(properties!A$1:CB$87,'Fórmula'!J16,34))</f>
        <v>2.4385</v>
      </c>
      <c r="DG16" s="104">
        <f t="array" ref="DG16">'Fórmula'!C16*(INDEX(properties!A$1:CB$87,'Fórmula'!B16,34))+'Fórmula'!E16*(INDEX(properties!A$1:CB$87,'Fórmula'!D16,34))+'Fórmula'!G16*(INDEX(properties!A$1:CB$87,'Fórmula'!F16,34))+'Fórmula'!I16*(INDEX(properties!A$1:CB$87,'Fórmula'!H16,34))+'Fórmula'!K16*(INDEX(properties!A$1:CB$87,'Fórmula'!J16,34))</f>
        <v>14.631</v>
      </c>
      <c r="DH16" s="104">
        <f t="array" ref="DH16">VARP(IF(INDEX(properties!A$1:CB$87,'Fórmula'!B16,34)&lt;&gt;"",INDEX(properties!A$1:CB$87,'Fórmula'!B16,34)),IF(INDEX(properties!A$1:CB$87,'Fórmula'!D16,34)&lt;&gt;"",INDEX(properties!A$1:CB$87,'Fórmula'!D16,34)),IF(INDEX(properties!A$1:CB$87,'Fórmula'!F16,34)&lt;&gt;"",INDEX(properties!A$1:CB$87,'Fórmula'!F16,34)),IF(INDEX(properties!A$1:CB$87,'Fórmula'!H16,34)&lt;&gt;"",INDEX(properties!A$1:CB$87,'Fórmula'!H16,34)),IF(INDEX(properties!A$1:CB$87,'Fórmula'!J16,34)&lt;&gt;"",INDEX(properties!A$1:CB$87,'Fórmula'!J16,34)))</f>
        <v>1.55708776</v>
      </c>
      <c r="DI16" s="104">
        <f t="array" ref="DI16">MAX(INDEX(properties!A$1:CB$87,'Fórmula'!B16,34),INDEX(properties!A$1:CB$87,'Fórmula'!D16,34),INDEX(properties!A$1:CB$87,'Fórmula'!F16,34),INDEX(properties!A$1:CB$87,'Fórmula'!H16,34),INDEX(properties!A$1:CB$87,'Fórmula'!J16,34))</f>
        <v>3.61</v>
      </c>
      <c r="DJ16" s="104">
        <f t="array" ref="DJ16">MIN(IF(INDEX(properties!A$1:CB$87,'Fórmula'!B16,34)=0,10^6,INDEX(properties!A$1:CB$87,'Fórmula'!B16,34)),IF(INDEX(properties!A$1:CB$87,'Fórmula'!D16,34)=0,10^6,INDEX(properties!A$1:CB$87,'Fórmula'!D16,34)),IF(INDEX(properties!A$1:CB$87,'Fórmula'!F16,34)=0,10^6,INDEX(properties!A$1:CB$87,'Fórmula'!F16,34)),IF(INDEX(properties!A$1:CB$87,'Fórmula'!H16,34)=0,10^6,INDEX(properties!A$1:CB$87,'Fórmula'!H16,34)),IF(INDEX(properties!A$1:CB$87,'Fórmula'!J16,34)=0,10^6,INDEX(properties!A$1:CB$87,'Fórmula'!J16,34)))</f>
        <v>0.869</v>
      </c>
      <c r="DK16" s="104">
        <f t="shared" si="19"/>
        <v>2.741</v>
      </c>
      <c r="DL16" s="105">
        <f t="array" ref="DL16">(('Fórmula'!C16)/('Fórmula'!C16+'Fórmula'!E16+'Fórmula'!G16+'Fórmula'!I16+'Fórmula'!K16))*(INDEX(properties!A$1:CB$87,'Fórmula'!B16,37))+(('Fórmula'!E16)/('Fórmula'!C16+'Fórmula'!E16+'Fórmula'!G16+'Fórmula'!I16+'Fórmula'!K16))*(INDEX(properties!A$1:CB$87,'Fórmula'!D16,37))+(('Fórmula'!G16)/('Fórmula'!C16+'Fórmula'!E16+'Fórmula'!G16+'Fórmula'!I16+'Fórmula'!K16))*(INDEX(properties!A$1:CB$87,'Fórmula'!F16,37))+(('Fórmula'!I16)/('Fórmula'!C16+'Fórmula'!E16+'Fórmula'!G16+'Fórmula'!I16+'Fórmula'!K16))*(INDEX(properties!A$1:CB$87,'Fórmula'!H16,37))+(('Fórmula'!K16)/('Fórmula'!C16+'Fórmula'!E16+'Fórmula'!G16+'Fórmula'!I16+'Fórmula'!K16))*(INDEX(properties!A$1:CB$87,'Fórmula'!J16,37))</f>
        <v>2.341666667</v>
      </c>
      <c r="DM16" s="105">
        <f t="array" ref="DM16">'Fórmula'!C16*(INDEX(properties!A$1:CB$87,'Fórmula'!B16,37))+'Fórmula'!E16*(INDEX(properties!A$1:CB$87,'Fórmula'!D16,37))+'Fórmula'!G16*(INDEX(properties!A$1:CB$87,'Fórmula'!F16,37))+'Fórmula'!I16*(INDEX(properties!A$1:CB$87,'Fórmula'!H16,37))+'Fórmula'!K16*(INDEX(properties!A$1:CB$87,'Fórmula'!J16,37))</f>
        <v>14.05</v>
      </c>
      <c r="DN16" s="105">
        <f t="array" ref="DN16">VARP(IF(INDEX(properties!A$1:CB$87,'Fórmula'!B16,37)&lt;&gt;"",INDEX(properties!A$1:CB$87,'Fórmula'!B16,37)),IF(INDEX(properties!A$1:CB$87,'Fórmula'!D16,37)&lt;&gt;"",INDEX(properties!A$1:CB$87,'Fórmula'!D16,37)),IF(INDEX(properties!A$1:CB$87,'Fórmula'!F16,37)&lt;&gt;"",INDEX(properties!A$1:CB$87,'Fórmula'!F16,37)),IF(INDEX(properties!A$1:CB$87,'Fórmula'!H16,37)&lt;&gt;"",INDEX(properties!A$1:CB$87,'Fórmula'!H16,37)),IF(INDEX(properties!A$1:CB$87,'Fórmula'!J16,37)&lt;&gt;"",INDEX(properties!A$1:CB$87,'Fórmula'!J16,37)))</f>
        <v>1.3816</v>
      </c>
      <c r="DO16" s="105">
        <f t="array" ref="DO16">MAX(INDEX(properties!A$1:CB$87,'Fórmula'!B16,37),INDEX(properties!A$1:CB$87,'Fórmula'!D16,37),INDEX(properties!A$1:CB$87,'Fórmula'!F16,37),INDEX(properties!A$1:CB$87,'Fórmula'!H16,37),INDEX(properties!A$1:CB$87,'Fórmula'!J16,37))</f>
        <v>3.45</v>
      </c>
      <c r="DP16" s="105">
        <f t="array" ref="DP16">MIN(IF(INDEX(properties!A$1:CB$87,'Fórmula'!B16,37)=0,10^6,INDEX(properties!A$1:CB$87,'Fórmula'!B16,37)),IF(INDEX(properties!A$1:CB$87,'Fórmula'!D16,37)=0,10^6,INDEX(properties!A$1:CB$87,'Fórmula'!D16,37)),IF(INDEX(properties!A$1:CB$87,'Fórmula'!F16,37)=0,10^6,INDEX(properties!A$1:CB$87,'Fórmula'!F16,37)),IF(INDEX(properties!A$1:CB$87,'Fórmula'!H16,37)=0,10^6,INDEX(properties!A$1:CB$87,'Fórmula'!H16,37)),IF(INDEX(properties!A$1:CB$87,'Fórmula'!J16,37)=0,10^6,INDEX(properties!A$1:CB$87,'Fórmula'!J16,37)))</f>
        <v>0.9</v>
      </c>
      <c r="DQ16" s="105">
        <f t="shared" si="20"/>
        <v>2.55</v>
      </c>
      <c r="DR16" s="109">
        <f t="array" ref="DR16">(('Fórmula'!C16)/('Fórmula'!C16+'Fórmula'!E16+'Fórmula'!G16+'Fórmula'!I16+'Fórmula'!K16))*(INDEX(properties!A$1:CB$87,'Fórmula'!B16,39))+(('Fórmula'!E16)/('Fórmula'!C16+'Fórmula'!E16+'Fórmula'!G16+'Fórmula'!I16+'Fórmula'!K16))*(INDEX(properties!A$1:CB$87,'Fórmula'!D16,39))+(('Fórmula'!G16)/('Fórmula'!C16+'Fórmula'!E16+'Fórmula'!G16+'Fórmula'!I16+'Fórmula'!K16))*(INDEX(properties!A$1:CB$87,'Fórmula'!F16,39))+(('Fórmula'!I16)/('Fórmula'!C16+'Fórmula'!E16+'Fórmula'!G16+'Fórmula'!I16+'Fórmula'!K16))*(INDEX(properties!A$1:CB$87,'Fórmula'!H16,39))+(('Fórmula'!K16)/('Fórmula'!C16+'Fórmula'!E16+'Fórmula'!G16+'Fórmula'!I16+'Fórmula'!K16))*(INDEX(properties!A$1:CB$87,'Fórmula'!J16,39))</f>
        <v>1.123333333</v>
      </c>
      <c r="DS16" s="109">
        <f t="array" ref="DS16">'Fórmula'!C16*(INDEX(properties!A$1:CB$87,'Fórmula'!B16,39))+'Fórmula'!E16*(INDEX(properties!A$1:CB$87,'Fórmula'!D16,39))+'Fórmula'!G16*(INDEX(properties!A$1:CB$87,'Fórmula'!F16,39))+'Fórmula'!I16*(INDEX(properties!A$1:CB$87,'Fórmula'!H16,39))+'Fórmula'!K16*(INDEX(properties!A$1:CB$87,'Fórmula'!J16,39))</f>
        <v>6.74</v>
      </c>
      <c r="DT16" s="109">
        <f t="array" ref="DT16">VARP(IF(INDEX(properties!A$1:CB$87,'Fórmula'!B16,39)&lt;&gt;"",INDEX(properties!A$1:CB$87,'Fórmula'!B16,39)),IF(INDEX(properties!A$1:CB$87,'Fórmula'!D16,39)&lt;&gt;"",INDEX(properties!A$1:CB$87,'Fórmula'!D16,39)),IF(INDEX(properties!A$1:CB$87,'Fórmula'!F16,39)&lt;&gt;"",INDEX(properties!A$1:CB$87,'Fórmula'!F16,39)),IF(INDEX(properties!A$1:CB$87,'Fórmula'!H16,39)&lt;&gt;"",INDEX(properties!A$1:CB$87,'Fórmula'!H16,39)),IF(INDEX(properties!A$1:CB$87,'Fórmula'!J16,39)&lt;&gt;"",INDEX(properties!A$1:CB$87,'Fórmula'!J16,39)))</f>
        <v>0.863304</v>
      </c>
      <c r="DU16" s="120">
        <f t="array" ref="DU16">MAX(INDEX(properties!A$1:CB$87,'Fórmula'!B16,39),INDEX(properties!A$1:CB$87,'Fórmula'!D16,39),INDEX(properties!A$1:CB$87,'Fórmula'!F16,39),INDEX(properties!A$1:CB$87,'Fórmula'!H16,39),INDEX(properties!A$1:CB$87,'Fórmula'!J16,39))</f>
        <v>2.53</v>
      </c>
      <c r="DV16" s="120">
        <f t="array" ref="DV16">MIN(IF(INDEX(properties!A$1:CB$87,'Fórmula'!B16,39)=0,10^6,INDEX(properties!A$1:CB$87,'Fórmula'!B16,39)),IF(INDEX(properties!A$1:CB$87,'Fórmula'!D16,39)=0,10^6,INDEX(properties!A$1:CB$87,'Fórmula'!D16,39)),IF(INDEX(properties!A$1:CB$87,'Fórmula'!F16,39)=0,10^6,INDEX(properties!A$1:CB$87,'Fórmula'!F16,39)),IF(INDEX(properties!A$1:CB$87,'Fórmula'!H16,39)=0,10^6,INDEX(properties!A$1:CB$87,'Fórmula'!H16,39)),IF(INDEX(properties!A$1:CB$87,'Fórmula'!J16,39)=0,10^6,INDEX(properties!A$1:CB$87,'Fórmula'!J16,39)))</f>
        <v>0.48</v>
      </c>
      <c r="DW16" s="109">
        <f t="shared" si="21"/>
        <v>2.05</v>
      </c>
      <c r="DX16" s="110">
        <f t="array" ref="DX16">(('Fórmula'!C16)/('Fórmula'!C16+'Fórmula'!E16+'Fórmula'!G16+'Fórmula'!I16+'Fórmula'!K16))*(INDEX(properties!A$1:CB$87,'Fórmula'!B16,40))+(('Fórmula'!E16)/('Fórmula'!C16+'Fórmula'!E16+'Fórmula'!G16+'Fórmula'!I16+'Fórmula'!K16))*(INDEX(properties!A$1:CB$87,'Fórmula'!D16,40))+(('Fórmula'!G16)/('Fórmula'!C16+'Fórmula'!E16+'Fórmula'!G16+'Fórmula'!I16+'Fórmula'!K16))*(INDEX(properties!A$1:CB$87,'Fórmula'!F16,40))+(('Fórmula'!I16)/('Fórmula'!C16+'Fórmula'!E16+'Fórmula'!G16+'Fórmula'!I16+'Fórmula'!K16))*(INDEX(properties!A$1:CB$87,'Fórmula'!H16,40))+(('Fórmula'!K16)/('Fórmula'!C16+'Fórmula'!E16+'Fórmula'!G16+'Fórmula'!I16+'Fórmula'!K16))*(INDEX(properties!A$1:CB$87,'Fórmula'!J16,40))</f>
        <v>1.088333333</v>
      </c>
      <c r="DY16" s="110">
        <f t="array" ref="DY16">'Fórmula'!C16*(INDEX(properties!A$1:CB$87,'Fórmula'!B16,40))+'Fórmula'!E16*(INDEX(properties!A$1:CB$87,'Fórmula'!D16,40))+'Fórmula'!G16*(INDEX(properties!A$1:CB$87,'Fórmula'!F16,40))+'Fórmula'!I16*(INDEX(properties!A$1:CB$87,'Fórmula'!H16,40))+'Fórmula'!K16*(INDEX(properties!A$1:CB$87,'Fórmula'!J16,40))</f>
        <v>6.53</v>
      </c>
      <c r="DZ16" s="110">
        <f t="array" ref="DZ16">VARP(IF(INDEX(properties!A$1:CB$87,'Fórmula'!B16,40)&lt;&gt;"",INDEX(properties!A$1:CB$87,'Fórmula'!B16,40)),IF(INDEX(properties!A$1:CB$87,'Fórmula'!D16,40)&lt;&gt;"",INDEX(properties!A$1:CB$87,'Fórmula'!D16,40)),IF(INDEX(properties!A$1:CB$87,'Fórmula'!F16,40)&lt;&gt;"",INDEX(properties!A$1:CB$87,'Fórmula'!F16,40)),IF(INDEX(properties!A$1:CB$87,'Fórmula'!H16,40)&lt;&gt;"",INDEX(properties!A$1:CB$87,'Fórmula'!H16,40)),IF(INDEX(properties!A$1:CB$87,'Fórmula'!J16,40)&lt;&gt;"",INDEX(properties!A$1:CB$87,'Fórmula'!J16,40)))</f>
        <v>0.471264</v>
      </c>
      <c r="EA16" s="121">
        <f t="array" ref="EA16">MAX(INDEX(properties!A$1:CB$87,'Fórmula'!B16,40),INDEX(properties!A$1:CB$87,'Fórmula'!D16,40),INDEX(properties!A$1:CB$87,'Fórmula'!F16,40),INDEX(properties!A$1:CB$87,'Fórmula'!H16,40),INDEX(properties!A$1:CB$87,'Fórmula'!J16,40))</f>
        <v>1.98</v>
      </c>
      <c r="EB16" s="121">
        <f t="array" ref="EB16">MIN(IF(INDEX(properties!A$1:CB$87,'Fórmula'!B16,40)=0,10^6,INDEX(properties!A$1:CB$87,'Fórmula'!B16,40)),IF(INDEX(properties!A$1:CB$87,'Fórmula'!D16,40)=0,10^6,INDEX(properties!A$1:CB$87,'Fórmula'!D16,40)),IF(INDEX(properties!A$1:CB$87,'Fórmula'!F16,40)=0,10^6,INDEX(properties!A$1:CB$87,'Fórmula'!F16,40)),IF(INDEX(properties!A$1:CB$87,'Fórmula'!H16,40)=0,10^6,INDEX(properties!A$1:CB$87,'Fórmula'!H16,40)),IF(INDEX(properties!A$1:CB$87,'Fórmula'!J16,40)=0,10^6,INDEX(properties!A$1:CB$87,'Fórmula'!J16,40)))</f>
        <v>0.73</v>
      </c>
      <c r="EC16" s="110">
        <f t="shared" si="22"/>
        <v>1.25</v>
      </c>
      <c r="ED16" s="111">
        <f t="array" ref="ED16">(('Fórmula'!C16)/('Fórmula'!C16+'Fórmula'!E16+'Fórmula'!G16+'Fórmula'!I16+'Fórmula'!K16))*(INDEX(properties!A$1:CB$87,'Fórmula'!B16,41))+(('Fórmula'!E16)/('Fórmula'!C16+'Fórmula'!E16+'Fórmula'!G16+'Fórmula'!I16+'Fórmula'!K16))*(INDEX(properties!A$1:CB$87,'Fórmula'!D16,41))+(('Fórmula'!G16)/('Fórmula'!C16+'Fórmula'!E16+'Fórmula'!G16+'Fórmula'!I16+'Fórmula'!K16))*(INDEX(properties!A$1:CB$87,'Fórmula'!F16,41))+(('Fórmula'!I16)/('Fórmula'!C16+'Fórmula'!E16+'Fórmula'!G16+'Fórmula'!I16+'Fórmula'!K16))*(INDEX(properties!A$1:CB$87,'Fórmula'!H16,41))+(('Fórmula'!K16)/('Fórmula'!C16+'Fórmula'!E16+'Fórmula'!G16+'Fórmula'!I16+'Fórmula'!K16))*(INDEX(properties!A$1:CB$87,'Fórmula'!J16,41))</f>
        <v>1.14</v>
      </c>
      <c r="EE16" s="111">
        <f t="array" ref="EE16">'Fórmula'!C16*(INDEX(properties!A$1:CB$87,'Fórmula'!B16,41))+'Fórmula'!E16*(INDEX(properties!A$1:CB$87,'Fórmula'!D16,41))+'Fórmula'!G16*(INDEX(properties!A$1:CB$87,'Fórmula'!F16,41))+'Fórmula'!I16*(INDEX(properties!A$1:CB$87,'Fórmula'!H16,41))+'Fórmula'!K16*(INDEX(properties!A$1:CB$87,'Fórmula'!J16,41))</f>
        <v>6.84</v>
      </c>
      <c r="EF16" s="111">
        <f t="array" ref="EF16">VARP(IF(INDEX(properties!A$1:CB$87,'Fórmula'!B16,41)&lt;&gt;"",INDEX(properties!A$1:CB$87,'Fórmula'!B16,41)),IF(INDEX(properties!A$1:CB$87,'Fórmula'!D16,41)&lt;&gt;"",INDEX(properties!A$1:CB$87,'Fórmula'!D16,41)),IF(INDEX(properties!A$1:CB$87,'Fórmula'!F16,41)&lt;&gt;"",INDEX(properties!A$1:CB$87,'Fórmula'!F16,41)),IF(INDEX(properties!A$1:CB$87,'Fórmula'!H16,41)&lt;&gt;"",INDEX(properties!A$1:CB$87,'Fórmula'!H16,41)),IF(INDEX(properties!A$1:CB$87,'Fórmula'!J16,41)&lt;&gt;"",INDEX(properties!A$1:CB$87,'Fórmula'!J16,41)))</f>
        <v>0.317784</v>
      </c>
      <c r="EG16" s="122">
        <f t="array" ref="EG16">MAX(INDEX(properties!A$1:CB$87,'Fórmula'!B16,41),INDEX(properties!A$1:CB$87,'Fórmula'!D16,41),INDEX(properties!A$1:CB$87,'Fórmula'!F16,41),INDEX(properties!A$1:CB$87,'Fórmula'!H16,41),INDEX(properties!A$1:CB$87,'Fórmula'!J16,41))</f>
        <v>1.49</v>
      </c>
      <c r="EH16" s="122">
        <f t="array" ref="EH16">MIN(IF(INDEX(properties!A$1:CB$87,'Fórmula'!B16,41)=0,10^6,INDEX(properties!A$1:CB$87,'Fórmula'!B16,41)),IF(INDEX(properties!A$1:CB$87,'Fórmula'!D16,41)=0,10^6,INDEX(properties!A$1:CB$87,'Fórmula'!D16,41)),IF(INDEX(properties!A$1:CB$87,'Fórmula'!F16,41)=0,10^6,INDEX(properties!A$1:CB$87,'Fórmula'!F16,41)),IF(INDEX(properties!A$1:CB$87,'Fórmula'!H16,41)=0,10^6,INDEX(properties!A$1:CB$87,'Fórmula'!H16,41)),IF(INDEX(properties!A$1:CB$87,'Fórmula'!J16,41)=0,10^6,INDEX(properties!A$1:CB$87,'Fórmula'!J16,41)))</f>
        <v>0.41</v>
      </c>
      <c r="EI16" s="111">
        <f t="shared" si="23"/>
        <v>1.08</v>
      </c>
      <c r="EJ16" s="112">
        <f t="array" ref="EJ16">(('Fórmula'!C16)/('Fórmula'!C16+'Fórmula'!E16+'Fórmula'!G16+'Fórmula'!I16+'Fórmula'!K16))*(INDEX(properties!A$1:CB$87,'Fórmula'!B16,45))+(('Fórmula'!E16)/('Fórmula'!C16+'Fórmula'!E16+'Fórmula'!G16+'Fórmula'!I16+'Fórmula'!K16))*(INDEX(properties!A$1:CB$87,'Fórmula'!D16,45))+(('Fórmula'!G16)/('Fórmula'!C16+'Fórmula'!E16+'Fórmula'!G16+'Fórmula'!I16+'Fórmula'!K16))*(INDEX(properties!A$1:CB$87,'Fórmula'!F16,45))+(('Fórmula'!I16)/('Fórmula'!C16+'Fórmula'!E16+'Fórmula'!G16+'Fórmula'!I16+'Fórmula'!K16))*(INDEX(properties!A$1:CB$87,'Fórmula'!H16,45))+(('Fórmula'!K16)/('Fórmula'!C16+'Fórmula'!E16+'Fórmula'!G16+'Fórmula'!I16+'Fórmula'!K16))*(INDEX(properties!A$1:CB$87,'Fórmula'!J16,45))</f>
        <v>1.376666667</v>
      </c>
      <c r="EK16" s="112">
        <f t="array" ref="EK16">'Fórmula'!C16*(INDEX(properties!A$1:CB$87,'Fórmula'!B16,45))+'Fórmula'!E16*(INDEX(properties!A$1:CB$87,'Fórmula'!D16,45))+'Fórmula'!G16*(INDEX(properties!A$1:CB$87,'Fórmula'!F16,45))+'Fórmula'!I16*(INDEX(properties!A$1:CB$87,'Fórmula'!H16,45))+'Fórmula'!K16*(INDEX(properties!A$1:CB$87,'Fórmula'!J16,45))</f>
        <v>8.26</v>
      </c>
      <c r="EL16" s="112">
        <f t="array" ref="EL16">VARP(IF(INDEX(properties!A$1:CB$87,'Fórmula'!B16,45)&lt;&gt;"",INDEX(properties!A$1:CB$87,'Fórmula'!B16,45)),IF(INDEX(properties!A$1:CB$87,'Fórmula'!D16,45)&lt;&gt;"",INDEX(properties!A$1:CB$87,'Fórmula'!D16,45)),IF(INDEX(properties!A$1:CB$87,'Fórmula'!F16,45)&lt;&gt;"",INDEX(properties!A$1:CB$87,'Fórmula'!F16,45)),IF(INDEX(properties!A$1:CB$87,'Fórmula'!H16,45)&lt;&gt;"",INDEX(properties!A$1:CB$87,'Fórmula'!H16,45)),IF(INDEX(properties!A$1:CB$87,'Fórmula'!J16,45)&lt;&gt;"",INDEX(properties!A$1:CB$87,'Fórmula'!J16,45)))</f>
        <v>1.745384</v>
      </c>
      <c r="EM16" s="123">
        <f t="array" ref="EM16">MAX(INDEX(properties!A$1:CB$87,'Fórmula'!B16,45),INDEX(properties!A$1:CB$87,'Fórmula'!D16,45),INDEX(properties!A$1:CB$87,'Fórmula'!F16,45),INDEX(properties!A$1:CB$87,'Fórmula'!H16,45),INDEX(properties!A$1:CB$87,'Fórmula'!J16,45))</f>
        <v>3.4</v>
      </c>
      <c r="EN16" s="123">
        <f t="array" ref="EN16">MIN(IF(INDEX(properties!A$1:CB$87,'Fórmula'!B16,45)=0,10^6,INDEX(properties!A$1:CB$87,'Fórmula'!B16,45)),IF(INDEX(properties!A$1:CB$87,'Fórmula'!D16,45)=0,10^6,INDEX(properties!A$1:CB$87,'Fórmula'!D16,45)),IF(INDEX(properties!A$1:CB$87,'Fórmula'!F16,45)=0,10^6,INDEX(properties!A$1:CB$87,'Fórmula'!F16,45)),IF(INDEX(properties!A$1:CB$87,'Fórmula'!H16,45)=0,10^6,INDEX(properties!A$1:CB$87,'Fórmula'!H16,45)),IF(INDEX(properties!A$1:CB$87,'Fórmula'!J16,45)=0,10^6,INDEX(properties!A$1:CB$87,'Fórmula'!J16,45)))</f>
        <v>0.47</v>
      </c>
      <c r="EO16" s="112">
        <f t="shared" si="24"/>
        <v>2.93</v>
      </c>
      <c r="EP16" s="113">
        <f t="array" ref="EP16">(('Fórmula'!C16)/('Fórmula'!C16+'Fórmula'!E16+'Fórmula'!G16+'Fórmula'!I16+'Fórmula'!K16))*(INDEX(properties!A$1:CB$87,'Fórmula'!B16,46))+(('Fórmula'!E16)/('Fórmula'!C16+'Fórmula'!E16+'Fórmula'!G16+'Fórmula'!I16+'Fórmula'!K16))*(INDEX(properties!A$1:CB$87,'Fórmula'!D16,46))+(('Fórmula'!G16)/('Fórmula'!C16+'Fórmula'!E16+'Fórmula'!G16+'Fórmula'!I16+'Fórmula'!K16))*(INDEX(properties!A$1:CB$87,'Fórmula'!F16,46))+(('Fórmula'!I16)/('Fórmula'!C16+'Fórmula'!E16+'Fórmula'!G16+'Fórmula'!I16+'Fórmula'!K16))*(INDEX(properties!A$1:CB$87,'Fórmula'!H16,46))+(('Fórmula'!K16)/('Fórmula'!C16+'Fórmula'!E16+'Fórmula'!G16+'Fórmula'!I16+'Fórmula'!K16))*(INDEX(properties!A$1:CB$87,'Fórmula'!J16,46))</f>
        <v>1.088333333</v>
      </c>
      <c r="EQ16" s="113">
        <f t="array" ref="EQ16">'Fórmula'!C16*(INDEX(properties!A$1:CB$87,'Fórmula'!B16,46))+'Fórmula'!E16*(INDEX(properties!A$1:CB$87,'Fórmula'!D16,46))+'Fórmula'!G16*(INDEX(properties!A$1:CB$87,'Fórmula'!F16,46))+'Fórmula'!I16*(INDEX(properties!A$1:CB$87,'Fórmula'!H16,46))+'Fórmula'!K16*(INDEX(properties!A$1:CB$87,'Fórmula'!J16,46))</f>
        <v>6.53</v>
      </c>
      <c r="ER16" s="113">
        <f t="array" ref="ER16">VARP(IF(INDEX(properties!A$1:CB$87,'Fórmula'!B16,46)&lt;&gt;"",INDEX(properties!A$1:CB$87,'Fórmula'!B16,46)),IF(INDEX(properties!A$1:CB$87,'Fórmula'!D16,46)&lt;&gt;"",INDEX(properties!A$1:CB$87,'Fórmula'!D16,46)),IF(INDEX(properties!A$1:CB$87,'Fórmula'!F16,46)&lt;&gt;"",INDEX(properties!A$1:CB$87,'Fórmula'!F16,46)),IF(INDEX(properties!A$1:CB$87,'Fórmula'!H16,46)&lt;&gt;"",INDEX(properties!A$1:CB$87,'Fórmula'!H16,46)),IF(INDEX(properties!A$1:CB$87,'Fórmula'!J16,46)&lt;&gt;"",INDEX(properties!A$1:CB$87,'Fórmula'!J16,46)))</f>
        <v>0.342776</v>
      </c>
      <c r="ES16" s="124">
        <f t="array" ref="ES16">MAX(INDEX(properties!A$1:CB$87,'Fórmula'!B16,46),INDEX(properties!A$1:CB$87,'Fórmula'!D16,46),INDEX(properties!A$1:CB$87,'Fórmula'!F16,46),INDEX(properties!A$1:CB$87,'Fórmula'!H16,46),INDEX(properties!A$1:CB$87,'Fórmula'!J16,46))</f>
        <v>1.49</v>
      </c>
      <c r="ET16" s="124">
        <f t="array" ref="ET16">MIN(IF(INDEX(properties!A$1:CB$87,'Fórmula'!B16,46)=0,10^6,INDEX(properties!A$1:CB$87,'Fórmula'!B16,46)),IF(INDEX(properties!A$1:CB$87,'Fórmula'!D16,46)=0,10^6,INDEX(properties!A$1:CB$87,'Fórmula'!D16,46)),IF(INDEX(properties!A$1:CB$87,'Fórmula'!F16,46)=0,10^6,INDEX(properties!A$1:CB$87,'Fórmula'!F16,46)),IF(INDEX(properties!A$1:CB$87,'Fórmula'!H16,46)=0,10^6,INDEX(properties!A$1:CB$87,'Fórmula'!H16,46)),IF(INDEX(properties!A$1:CB$87,'Fórmula'!J16,46)=0,10^6,INDEX(properties!A$1:CB$87,'Fórmula'!J16,46)))</f>
        <v>0.25</v>
      </c>
      <c r="EU16" s="113">
        <f t="shared" si="25"/>
        <v>1.24</v>
      </c>
      <c r="EV16" s="114">
        <f t="array" ref="EV16">(('Fórmula'!C16)/('Fórmula'!C16+'Fórmula'!E16+'Fórmula'!G16+'Fórmula'!I16+'Fórmula'!K16))*(INDEX(properties!A$1:CB$87,'Fórmula'!B16,52))+(('Fórmula'!E16)/('Fórmula'!C16+'Fórmula'!E16+'Fórmula'!G16+'Fórmula'!I16+'Fórmula'!K16))*(INDEX(properties!A$1:CB$87,'Fórmula'!D16,52))+(('Fórmula'!G16)/('Fórmula'!C16+'Fórmula'!E16+'Fórmula'!G16+'Fórmula'!I16+'Fórmula'!K16))*(INDEX(properties!A$1:CB$87,'Fórmula'!F16,52))+(('Fórmula'!I16)/('Fórmula'!C16+'Fórmula'!E16+'Fórmula'!G16+'Fórmula'!I16+'Fórmula'!K16))*(INDEX(properties!A$1:CB$87,'Fórmula'!H16,52))+(('Fórmula'!K16)/('Fórmula'!C16+'Fórmula'!E16+'Fórmula'!G16+'Fórmula'!I16+'Fórmula'!K16))*(INDEX(properties!A$1:CB$87,'Fórmula'!J16,52))</f>
        <v>11.4465</v>
      </c>
      <c r="EW16" s="114">
        <f t="array" ref="EW16">'Fórmula'!C16*(INDEX(properties!A$1:CB$87,'Fórmula'!B16,52))+'Fórmula'!E16*(INDEX(properties!A$1:CB$87,'Fórmula'!D16,52))+'Fórmula'!G16*(INDEX(properties!A$1:CB$87,'Fórmula'!F16,52))+'Fórmula'!I16*(INDEX(properties!A$1:CB$87,'Fórmula'!H16,52))+'Fórmula'!K16*(INDEX(properties!A$1:CB$87,'Fórmula'!J16,52))</f>
        <v>68.679</v>
      </c>
      <c r="EX16" s="114">
        <f t="array" ref="EX16">VARP(IF(INDEX(properties!A$1:CB$87,'Fórmula'!B16,52)&lt;&gt;"",INDEX(properties!A$1:CB$87,'Fórmula'!B16,52)),IF(INDEX(properties!A$1:CB$87,'Fórmula'!D16,52)&lt;&gt;"",INDEX(properties!A$1:CB$87,'Fórmula'!D16,52)),IF(INDEX(properties!A$1:CB$87,'Fórmula'!F16,52)&lt;&gt;"",INDEX(properties!A$1:CB$87,'Fórmula'!F16,52)),IF(INDEX(properties!A$1:CB$87,'Fórmula'!H16,52)&lt;&gt;"",INDEX(properties!A$1:CB$87,'Fórmula'!H16,52)),IF(INDEX(properties!A$1:CB$87,'Fórmula'!J16,52)&lt;&gt;"",INDEX(properties!A$1:CB$87,'Fórmula'!J16,52)))</f>
        <v>248.4769438</v>
      </c>
      <c r="EY16" s="114">
        <f t="array" ref="EY16">MAX(INDEX(properties!A$1:CB$87,'Fórmula'!B16,52),INDEX(properties!A$1:CB$87,'Fórmula'!D16,52),INDEX(properties!A$1:CB$87,'Fórmula'!F16,52),INDEX(properties!A$1:CB$87,'Fórmula'!H16,52),INDEX(properties!A$1:CB$87,'Fórmula'!J16,52))</f>
        <v>39.7</v>
      </c>
      <c r="EZ16" s="114">
        <f t="array" ref="EZ16">MIN(IF(INDEX(properties!A$1:CB$87,'Fórmula'!B16,52)=0,10^6,INDEX(properties!A$1:CB$87,'Fórmula'!B16,52)),IF(INDEX(properties!A$1:CB$87,'Fórmula'!D16,52)=0,10^6,INDEX(properties!A$1:CB$87,'Fórmula'!D16,52)),IF(INDEX(properties!A$1:CB$87,'Fórmula'!F16,52)=0,10^6,INDEX(properties!A$1:CB$87,'Fórmula'!F16,52)),IF(INDEX(properties!A$1:CB$87,'Fórmula'!H16,52)=0,10^6,INDEX(properties!A$1:CB$87,'Fórmula'!H16,52)),IF(INDEX(properties!A$1:CB$87,'Fórmula'!J16,52)=0,10^6,INDEX(properties!A$1:CB$87,'Fórmula'!J16,52)))</f>
        <v>0.793</v>
      </c>
      <c r="FA16" s="114">
        <f t="shared" si="26"/>
        <v>38.907</v>
      </c>
      <c r="FB16" s="115">
        <f t="array" ref="FB16">(('Fórmula'!C16)/('Fórmula'!C16+'Fórmula'!E16+'Fórmula'!G16+'Fórmula'!I16+'Fórmula'!K16))*(INDEX(properties!A$1:CB$87,'Fórmula'!B16,53))+(('Fórmula'!E16)/('Fórmula'!C16+'Fórmula'!E16+'Fórmula'!G16+'Fórmula'!I16+'Fórmula'!K16))*(INDEX(properties!A$1:CB$87,'Fórmula'!D16,53))+(('Fórmula'!G16)/('Fórmula'!C16+'Fórmula'!E16+'Fórmula'!G16+'Fórmula'!I16+'Fórmula'!K16))*(INDEX(properties!A$1:CB$87,'Fórmula'!F16,53))+(('Fórmula'!I16)/('Fórmula'!C16+'Fórmula'!E16+'Fórmula'!G16+'Fórmula'!I16+'Fórmula'!K16))*(INDEX(properties!A$1:CB$87,'Fórmula'!H16,53))+(('Fórmula'!K16)/('Fórmula'!C16+'Fórmula'!E16+'Fórmula'!G16+'Fórmula'!I16+'Fórmula'!K16))*(INDEX(properties!A$1:CB$87,'Fórmula'!J16,53))</f>
        <v>647.5833333</v>
      </c>
      <c r="FC16" s="115">
        <f t="array" ref="FC16">'Fórmula'!C16*(INDEX(properties!A$1:CB$87,'Fórmula'!B16,53))+'Fórmula'!E16*(INDEX(properties!A$1:CB$87,'Fórmula'!D16,53))+'Fórmula'!G16*(INDEX(properties!A$1:CB$87,'Fórmula'!F16,53))+'Fórmula'!I16*(INDEX(properties!A$1:CB$87,'Fórmula'!H16,53))+'Fórmula'!K16*(INDEX(properties!A$1:CB$87,'Fórmula'!J16,53))</f>
        <v>3885.5</v>
      </c>
      <c r="FD16" s="115">
        <f t="array" ref="FD16">VARP(IF(INDEX(properties!A$1:CB$87,'Fórmula'!B16,53)&lt;&gt;"",INDEX(properties!A$1:CB$87,'Fórmula'!B16,53)),IF(INDEX(properties!A$1:CB$87,'Fórmula'!D16,53)&lt;&gt;"",INDEX(properties!A$1:CB$87,'Fórmula'!D16,53)),IF(INDEX(properties!A$1:CB$87,'Fórmula'!F16,53)&lt;&gt;"",INDEX(properties!A$1:CB$87,'Fórmula'!F16,53)),IF(INDEX(properties!A$1:CB$87,'Fórmula'!H16,53)&lt;&gt;"",INDEX(properties!A$1:CB$87,'Fórmula'!H16,53)),IF(INDEX(properties!A$1:CB$87,'Fórmula'!J16,53)&lt;&gt;"",INDEX(properties!A$1:CB$87,'Fórmula'!J16,53)))</f>
        <v>763575.862</v>
      </c>
      <c r="FE16" s="115">
        <f t="array" ref="FE16">MAX(INDEX(properties!A$1:CB$87,'Fórmula'!B16,53),INDEX(properties!A$1:CB$87,'Fórmula'!D16,53),INDEX(properties!A$1:CB$87,'Fórmula'!F16,53),INDEX(properties!A$1:CB$87,'Fórmula'!H16,53),INDEX(properties!A$1:CB$87,'Fórmula'!J16,53))</f>
        <v>2352.15</v>
      </c>
      <c r="FF16" s="115">
        <f t="array" ref="FF16">MIN(IF(INDEX(properties!A$1:CB$87,'Fórmula'!B16,53)=0,10^6,INDEX(properties!A$1:CB$87,'Fórmula'!B16,53)),IF(INDEX(properties!A$1:CB$87,'Fórmula'!D16,53)=0,10^6,INDEX(properties!A$1:CB$87,'Fórmula'!D16,53)),IF(INDEX(properties!A$1:CB$87,'Fórmula'!F16,53)=0,10^6,INDEX(properties!A$1:CB$87,'Fórmula'!F16,53)),IF(INDEX(properties!A$1:CB$87,'Fórmula'!H16,53)=0,10^6,INDEX(properties!A$1:CB$87,'Fórmula'!H16,53)),IF(INDEX(properties!A$1:CB$87,'Fórmula'!J16,53)=0,10^6,INDEX(properties!A$1:CB$87,'Fórmula'!J16,53)))</f>
        <v>54.75</v>
      </c>
      <c r="FG16" s="115">
        <f t="shared" si="27"/>
        <v>2297.4</v>
      </c>
      <c r="FH16" s="117">
        <f t="array" ref="FH16">(('Fórmula'!C16)/('Fórmula'!C16+'Fórmula'!E16+'Fórmula'!G16+'Fórmula'!I16+'Fórmula'!K16))*(INDEX(properties!A$1:CB$87,'Fórmula'!B16,54))+(('Fórmula'!E16)/('Fórmula'!C16+'Fórmula'!E16+'Fórmula'!G16+'Fórmula'!I16+'Fórmula'!K16))*(INDEX(properties!A$1:CB$87,'Fórmula'!D16,54))+(('Fórmula'!G16)/('Fórmula'!C16+'Fórmula'!E16+'Fórmula'!G16+'Fórmula'!I16+'Fórmula'!K16))*(INDEX(properties!A$1:CB$87,'Fórmula'!F16,54))+(('Fórmula'!I16)/('Fórmula'!C16+'Fórmula'!E16+'Fórmula'!G16+'Fórmula'!I16+'Fórmula'!K16))*(INDEX(properties!A$1:CB$87,'Fórmula'!H16,54))+(('Fórmula'!K16)/('Fórmula'!C16+'Fórmula'!E16+'Fórmula'!G16+'Fórmula'!I16+'Fórmula'!K16))*(INDEX(properties!A$1:CB$87,'Fórmula'!J16,54))</f>
        <v>1269.125</v>
      </c>
      <c r="FI16" s="117">
        <f t="array" ref="FI16">'Fórmula'!C16*(INDEX(properties!A$1:CB$87,'Fórmula'!B16,54))+'Fórmula'!E16*(INDEX(properties!A$1:CB$87,'Fórmula'!D16,54))+'Fórmula'!G16*(INDEX(properties!A$1:CB$87,'Fórmula'!F16,54))+'Fórmula'!I16*(INDEX(properties!A$1:CB$87,'Fórmula'!H16,54))+'Fórmula'!K16*(INDEX(properties!A$1:CB$87,'Fórmula'!J16,54))</f>
        <v>7614.75</v>
      </c>
      <c r="FJ16" s="117">
        <f t="array" ref="FJ16">VARP(IF(INDEX(properties!A$1:CB$87,'Fórmula'!B16,54)&lt;&gt;"",INDEX(properties!A$1:CB$87,'Fórmula'!B16,54)),IF(INDEX(properties!A$1:CB$87,'Fórmula'!D16,54)&lt;&gt;"",INDEX(properties!A$1:CB$87,'Fórmula'!D16,54)),IF(INDEX(properties!A$1:CB$87,'Fórmula'!F16,54)&lt;&gt;"",INDEX(properties!A$1:CB$87,'Fórmula'!F16,54)),IF(INDEX(properties!A$1:CB$87,'Fórmula'!H16,54)&lt;&gt;"",INDEX(properties!A$1:CB$87,'Fórmula'!H16,54)),IF(INDEX(properties!A$1:CB$87,'Fórmula'!J16,54)&lt;&gt;"",INDEX(properties!A$1:CB$87,'Fórmula'!J16,54)))</f>
        <v>2445273.681</v>
      </c>
      <c r="FK16" s="117">
        <f t="array" ref="FK16">MAX(INDEX(properties!A$1:CB$87,'Fórmula'!B16,54),INDEX(properties!A$1:CB$87,'Fórmula'!D16,54),INDEX(properties!A$1:CB$87,'Fórmula'!F16,54),INDEX(properties!A$1:CB$87,'Fórmula'!H16,54),INDEX(properties!A$1:CB$87,'Fórmula'!J16,54))</f>
        <v>4275</v>
      </c>
      <c r="FL16" s="117">
        <f t="array" ref="FL16">MIN(IF(INDEX(properties!A$1:CB$87,'Fórmula'!B16,54)=0,10^6,INDEX(properties!A$1:CB$87,'Fórmula'!B16,54)),IF(INDEX(properties!A$1:CB$87,'Fórmula'!D16,54)=0,10^6,INDEX(properties!A$1:CB$87,'Fórmula'!D16,54)),IF(INDEX(properties!A$1:CB$87,'Fórmula'!F16,54)=0,10^6,INDEX(properties!A$1:CB$87,'Fórmula'!F16,54)),IF(INDEX(properties!A$1:CB$87,'Fórmula'!H16,54)=0,10^6,INDEX(properties!A$1:CB$87,'Fórmula'!H16,54)),IF(INDEX(properties!A$1:CB$87,'Fórmula'!J16,54)=0,10^6,INDEX(properties!A$1:CB$87,'Fórmula'!J16,54)))</f>
        <v>90.15</v>
      </c>
      <c r="FM16" s="117">
        <f t="shared" si="28"/>
        <v>4184.85</v>
      </c>
      <c r="FN16" s="118">
        <f t="array" ref="FN16">(('Fórmula'!C16)/('Fórmula'!C16+'Fórmula'!E16+'Fórmula'!G16+'Fórmula'!I16+'Fórmula'!K16))*(INDEX(properties!A$1:CB$87,'Fórmula'!B16,55))+(('Fórmula'!E16)/('Fórmula'!C16+'Fórmula'!E16+'Fórmula'!G16+'Fórmula'!I16+'Fórmula'!K16))*(INDEX(properties!A$1:CB$87,'Fórmula'!D16,55))+(('Fórmula'!G16)/('Fórmula'!C16+'Fórmula'!E16+'Fórmula'!G16+'Fórmula'!I16+'Fórmula'!K16))*(INDEX(properties!A$1:CB$87,'Fórmula'!F16,55))+(('Fórmula'!I16)/('Fórmula'!C16+'Fórmula'!E16+'Fórmula'!G16+'Fórmula'!I16+'Fórmula'!K16))*(INDEX(properties!A$1:CB$87,'Fórmula'!H16,55))+(('Fórmula'!K16)/('Fórmula'!C16+'Fórmula'!E16+'Fórmula'!G16+'Fórmula'!I16+'Fórmula'!K16))*(INDEX(properties!A$1:CB$87,'Fórmula'!J16,55))</f>
        <v>1.135881667</v>
      </c>
      <c r="FO16" s="118">
        <f t="array" ref="FO16">'Fórmula'!C16*(INDEX(properties!A$1:CB$87,'Fórmula'!B16,55))+'Fórmula'!E16*(INDEX(properties!A$1:CB$87,'Fórmula'!D16,54))+'Fórmula'!G16*(INDEX(properties!A$1:CB$87,'Fórmula'!F16,55))+'Fórmula'!I16*(INDEX(properties!A$1:CB$87,'Fórmula'!H16,55))+'Fórmula'!K16*(INDEX(properties!A$1:CB$87,'Fórmula'!J16,55))</f>
        <v>1916.46529</v>
      </c>
      <c r="FP16" s="118">
        <f t="array" ref="FP16">VARP(IF(INDEX(properties!A$1:CB$87,'Fórmula'!B16,55)&lt;&gt;"",INDEX(properties!A$1:CB$87,'Fórmula'!B16,55)),IF(INDEX(properties!A$1:CB$87,'Fórmula'!D16,55)&lt;&gt;"",INDEX(properties!A$1:CB$87,'Fórmula'!D16,55)),IF(INDEX(properties!A$1:CB$87,'Fórmula'!F16,55)&lt;&gt;"",INDEX(properties!A$1:CB$87,'Fórmula'!F16,55)),IF(INDEX(properties!A$1:CB$87,'Fórmula'!H16,55)&lt;&gt;"",INDEX(properties!A$1:CB$87,'Fórmula'!H16,55)),IF(INDEX(properties!A$1:CB$87,'Fórmula'!J16,55)&lt;&gt;"",INDEX(properties!A$1:CB$87,'Fórmula'!J16,55)))</f>
        <v>1.877320509</v>
      </c>
      <c r="FQ16" s="118">
        <f t="array" ref="FQ16">MAX(INDEX(properties!A$1:CB$87,'Fórmula'!B16,55),INDEX(properties!A$1:CB$87,'Fórmula'!D16,55),INDEX(properties!A$1:CB$87,'Fórmula'!F16,55),INDEX(properties!A$1:CB$87,'Fórmula'!H16,55),INDEX(properties!A$1:CB$87,'Fórmula'!J16,55))</f>
        <v>3.5</v>
      </c>
      <c r="FR16" s="118">
        <f t="array" ref="FR16">MIN(IF(INDEX(properties!A$1:CB$87,'Fórmula'!B16,55)=0,10^6,INDEX(properties!A$1:CB$87,'Fórmula'!B16,55)),IF(INDEX(properties!A$1:CB$87,'Fórmula'!D16,55)=0,10^6,INDEX(properties!A$1:CB$87,'Fórmula'!D16,55)),IF(INDEX(properties!A$1:CB$87,'Fórmula'!F16,55)=0,10^6,INDEX(properties!A$1:CB$87,'Fórmula'!F16,55)),IF(INDEX(properties!A$1:CB$87,'Fórmula'!H16,55)=0,10^6,INDEX(properties!A$1:CB$87,'Fórmula'!H16,55)),IF(INDEX(properties!A$1:CB$87,'Fórmula'!J16,55)=0,10^6,INDEX(properties!A$1:CB$87,'Fórmula'!J16,55)))</f>
        <v>0.00143</v>
      </c>
      <c r="FS16" s="118">
        <f t="shared" si="29"/>
        <v>3.49857</v>
      </c>
      <c r="FT16" s="119">
        <f t="array" ref="FT16">(('Fórmula'!C16)/('Fórmula'!C16+'Fórmula'!E16+'Fórmula'!G16+'Fórmula'!I16+'Fórmula'!K16))*(INDEX(properties!A$1:CB$87,'Fórmula'!B16,56))+(('Fórmula'!E16)/('Fórmula'!C16+'Fórmula'!E16+'Fórmula'!G16+'Fórmula'!I16+'Fórmula'!K16))*(INDEX(properties!A$1:CB$87,'Fórmula'!D16,56))+(('Fórmula'!G16)/('Fórmula'!C16+'Fórmula'!E16+'Fórmula'!G16+'Fórmula'!I16+'Fórmula'!K16))*(INDEX(properties!A$1:CB$87,'Fórmula'!F16,56))+(('Fórmula'!I16)/('Fórmula'!C16+'Fórmula'!E16+'Fórmula'!G16+'Fórmula'!I16+'Fórmula'!K16))*(INDEX(properties!A$1:CB$87,'Fórmula'!H16,56))+(('Fórmula'!K16)/('Fórmula'!C16+'Fórmula'!E16+'Fórmula'!G16+'Fórmula'!I16+'Fórmula'!K16))*(INDEX(properties!A$1:CB$87,'Fórmula'!J16,56))</f>
        <v>0.869</v>
      </c>
      <c r="FU16" s="119">
        <f t="array" ref="FU16">'Fórmula'!C16*(INDEX(properties!A$1:CB$87,'Fórmula'!B16,56))+'Fórmula'!E16*(INDEX(properties!A$1:CB$87,'Fórmula'!D16,56))+'Fórmula'!G16*(INDEX(properties!A$1:CB$87,'Fórmula'!F16,56))+'Fórmula'!I16*(INDEX(properties!A$1:CB$87,'Fórmula'!H16,56))+'Fórmula'!K16*(INDEX(properties!A$1:CB$87,'Fórmula'!J16,56))</f>
        <v>5.214</v>
      </c>
      <c r="FV16" s="119">
        <f t="array" ref="FV16">VARP(IF(INDEX(properties!A$1:CB$87,'Fórmula'!B16,56)&lt;&gt;"",INDEX(properties!A$1:CB$87,'Fórmula'!B16,56)),IF(INDEX(properties!A$1:CB$87,'Fórmula'!D16,56)&lt;&gt;"",INDEX(properties!A$1:CB$87,'Fórmula'!D16,56)),IF(INDEX(properties!A$1:CB$87,'Fórmula'!F16,56)&lt;&gt;"",INDEX(properties!A$1:CB$87,'Fórmula'!F16,56)),IF(INDEX(properties!A$1:CB$87,'Fórmula'!H16,56)&lt;&gt;"",INDEX(properties!A$1:CB$87,'Fórmula'!H16,56)),IF(INDEX(properties!A$1:CB$87,'Fórmula'!J16,56)&lt;&gt;"",INDEX(properties!A$1:CB$87,'Fórmula'!J16,56)))</f>
        <v>0.23290816</v>
      </c>
      <c r="FW16" s="119">
        <f t="array" ref="FW16">MAX(INDEX(properties!A$1:CB$87,'Fórmula'!B16,56),INDEX(properties!A$1:CB$87,'Fórmula'!D16,56),INDEX(properties!A$1:CB$87,'Fórmula'!F16,56),INDEX(properties!A$1:CB$87,'Fórmula'!H16,56),INDEX(properties!A$1:CB$87,'Fórmula'!J16,56))</f>
        <v>1.23</v>
      </c>
      <c r="FX16" s="119">
        <f t="array" ref="FX16">MIN(IF(INDEX(properties!A$1:CB$87,'Fórmula'!B16,56)=0,10^6,INDEX(properties!A$1:CB$87,'Fórmula'!B16,56)),IF(INDEX(properties!A$1:CB$87,'Fórmula'!D16,56)=0,10^6,INDEX(properties!A$1:CB$87,'Fórmula'!D16,56)),IF(INDEX(properties!A$1:CB$87,'Fórmula'!F16,56)=0,10^6,INDEX(properties!A$1:CB$87,'Fórmula'!F16,56)),IF(INDEX(properties!A$1:CB$87,'Fórmula'!H16,56)=0,10^6,INDEX(properties!A$1:CB$87,'Fórmula'!H16,56)),IF(INDEX(properties!A$1:CB$87,'Fórmula'!J16,56)=0,10^6,INDEX(properties!A$1:CB$87,'Fórmula'!J16,56)))</f>
        <v>0.204</v>
      </c>
      <c r="FY16" s="119">
        <f t="shared" si="30"/>
        <v>1.026</v>
      </c>
      <c r="FZ16" s="104">
        <f t="array" ref="FZ16">(('Fórmula'!C16)/('Fórmula'!C16+'Fórmula'!E16+'Fórmula'!G16+'Fórmula'!I16+'Fórmula'!K16))*(INDEX(properties!A$1:CB$87,'Fórmula'!B16,57))+(('Fórmula'!E16)/('Fórmula'!C16+'Fórmula'!E16+'Fórmula'!G16+'Fórmula'!I16+'Fórmula'!K16))*(INDEX(properties!A$1:CB$87,'Fórmula'!D16,57))+(('Fórmula'!G16)/('Fórmula'!C16+'Fórmula'!E16+'Fórmula'!G16+'Fórmula'!I16+'Fórmula'!K16))*(INDEX(properties!A$1:CB$87,'Fórmula'!F16,57))+(('Fórmula'!I16)/('Fórmula'!C16+'Fórmula'!E16+'Fórmula'!G16+'Fórmula'!I16+'Fórmula'!K16))*(INDEX(properties!A$1:CB$87,'Fórmula'!H16,57))+(('Fórmula'!K16)/('Fórmula'!C16+'Fórmula'!E16+'Fórmula'!G16+'Fórmula'!I16+'Fórmula'!K16))*(INDEX(properties!A$1:CB$87,'Fórmula'!J16,57))</f>
        <v>10.20262833</v>
      </c>
      <c r="GA16" s="104">
        <f t="array" ref="GA16">'Fórmula'!C16*(INDEX(properties!A$1:CB$87,'Fórmula'!B16,57))+'Fórmula'!E16*(INDEX(properties!A$1:CB$87,'Fórmula'!D16,57))+'Fórmula'!G16*(INDEX(properties!A$1:CB$87,'Fórmula'!F16,57))+'Fórmula'!I16*(INDEX(properties!A$1:CB$87,'Fórmula'!H16,57))+'Fórmula'!K16*(INDEX(properties!A$1:CB$87,'Fórmula'!J16,57))</f>
        <v>61.21577</v>
      </c>
      <c r="GB16" s="104">
        <f t="array" ref="GB16">VARP(IF(INDEX(properties!A$1:CB$87,'Fórmula'!B16,57)&lt;&gt;"",INDEX(properties!A$1:CB$87,'Fórmula'!B16,57)),IF(INDEX(properties!A$1:CB$87,'Fórmula'!D16,57)&lt;&gt;"",INDEX(properties!A$1:CB$87,'Fórmula'!D16,57)),IF(INDEX(properties!A$1:CB$87,'Fórmula'!F16,57)&lt;&gt;"",INDEX(properties!A$1:CB$87,'Fórmula'!F16,57)),IF(INDEX(properties!A$1:CB$87,'Fórmula'!H16,57)&lt;&gt;"",INDEX(properties!A$1:CB$87,'Fórmula'!H16,57)),IF(INDEX(properties!A$1:CB$87,'Fórmula'!J16,57)&lt;&gt;"",INDEX(properties!A$1:CB$87,'Fórmula'!J16,57)))</f>
        <v>369.6577457</v>
      </c>
      <c r="GC16" s="104">
        <f t="array" ref="GC16">MAX(INDEX(properties!A$1:CB$87,'Fórmula'!B16,57),INDEX(properties!A$1:CB$87,'Fórmula'!D16,57),INDEX(properties!A$1:CB$87,'Fórmula'!F16,57),INDEX(properties!A$1:CB$87,'Fórmula'!H16,57),INDEX(properties!A$1:CB$87,'Fórmula'!J16,57))</f>
        <v>50.2</v>
      </c>
      <c r="GD16" s="104">
        <f t="array" ref="GD16">MIN(IF(INDEX(properties!A$1:CB$87,'Fórmula'!B16,57)=0,10^6,INDEX(properties!A$1:CB$87,'Fórmula'!B16,57)),IF(INDEX(properties!A$1:CB$87,'Fórmula'!D16,57)=0,10^6,INDEX(properties!A$1:CB$87,'Fórmula'!D16,57)),IF(INDEX(properties!A$1:CB$87,'Fórmula'!F16,57)=0,10^6,INDEX(properties!A$1:CB$87,'Fórmula'!F16,57)),IF(INDEX(properties!A$1:CB$87,'Fórmula'!H16,57)=0,10^6,INDEX(properties!A$1:CB$87,'Fórmula'!H16,57)),IF(INDEX(properties!A$1:CB$87,'Fórmula'!J16,57)=0,10^6,INDEX(properties!A$1:CB$87,'Fórmula'!J16,57)))</f>
        <v>0.22259</v>
      </c>
      <c r="GE16" s="104">
        <f t="shared" si="31"/>
        <v>49.97741</v>
      </c>
      <c r="GF16" s="105">
        <f t="array" ref="GF16">(('Fórmula'!C16)/('Fórmula'!C16+'Fórmula'!E16+'Fórmula'!G16+'Fórmula'!I16+'Fórmula'!K16))*(INDEX(properties!A$1:CB$87,'Fórmula'!B16,60))+(('Fórmula'!E16)/('Fórmula'!C16+'Fórmula'!E16+'Fórmula'!G16+'Fórmula'!I16+'Fórmula'!K16))*(INDEX(properties!A$1:CB$87,'Fórmula'!D16,60))+(('Fórmula'!G16)/('Fórmula'!C16+'Fórmula'!E16+'Fórmula'!G16+'Fórmula'!I16+'Fórmula'!K16))*(INDEX(properties!A$1:CB$87,'Fórmula'!F16,60))+(('Fórmula'!I16)/('Fórmula'!C16+'Fórmula'!E16+'Fórmula'!G16+'Fórmula'!I16+'Fórmula'!K16))*(INDEX(properties!A$1:CB$87,'Fórmula'!H16,60))+(('Fórmula'!K16)/('Fórmula'!C16+'Fórmula'!E16+'Fórmula'!G16+'Fórmula'!I16+'Fórmula'!K16))*(INDEX(properties!A$1:CB$87,'Fórmula'!J16,60))</f>
        <v>31.08003667</v>
      </c>
      <c r="GG16" s="105">
        <f t="array" ref="GG16">'Fórmula'!C16*(INDEX(properties!A$1:CB$87,'Fórmula'!B16,60))+'Fórmula'!E16*(INDEX(properties!A$1:CB$87,'Fórmula'!D16,60))+'Fórmula'!G16*(INDEX(properties!A$1:CB$87,'Fórmula'!F16,60))+'Fórmula'!I16*(INDEX(properties!A$1:CB$87,'Fórmula'!H16,60))+'Fórmula'!K16*(INDEX(properties!A$1:CB$87,'Fórmula'!J16,60))</f>
        <v>186.48022</v>
      </c>
      <c r="GH16" s="105">
        <f t="array" ref="GH16">VARP(IF(INDEX(properties!A$1:CB$87,'Fórmula'!B16,60)&lt;&gt;"",INDEX(properties!A$1:CB$87,'Fórmula'!B16,60)),IF(INDEX(properties!A$1:CB$87,'Fórmula'!D16,60)&lt;&gt;"",INDEX(properties!A$1:CB$87,'Fórmula'!D16,60)),IF(INDEX(properties!A$1:CB$87,'Fórmula'!F16,60)&lt;&gt;"",INDEX(properties!A$1:CB$87,'Fórmula'!F16,60)),IF(INDEX(properties!A$1:CB$87,'Fórmula'!H16,60)&lt;&gt;"",INDEX(properties!A$1:CB$87,'Fórmula'!H16,60)),IF(INDEX(properties!A$1:CB$87,'Fórmula'!J16,60)&lt;&gt;"",INDEX(properties!A$1:CB$87,'Fórmula'!J16,60)))</f>
        <v>2799.514968</v>
      </c>
      <c r="GI16" s="105">
        <f t="array" ref="GI16">MAX(INDEX(properties!A$1:CB$87,'Fórmula'!B16,60),INDEX(properties!A$1:CB$87,'Fórmula'!D16,60),INDEX(properties!A$1:CB$87,'Fórmula'!F16,60),INDEX(properties!A$1:CB$87,'Fórmula'!H16,60),INDEX(properties!A$1:CB$87,'Fórmula'!J16,60))</f>
        <v>141</v>
      </c>
      <c r="GJ16" s="105">
        <f t="array" ref="GJ16">MIN(IF(INDEX(properties!A$1:CB$87,'Fórmula'!B16,60)=0,10^6,INDEX(properties!A$1:CB$87,'Fórmula'!B16,60)),IF(INDEX(properties!A$1:CB$87,'Fórmula'!D16,60)=0,10^6,INDEX(properties!A$1:CB$87,'Fórmula'!D16,60)),IF(INDEX(properties!A$1:CB$87,'Fórmula'!F16,60)=0,10^6,INDEX(properties!A$1:CB$87,'Fórmula'!F16,60)),IF(INDEX(properties!A$1:CB$87,'Fórmula'!H16,60)=0,10^6,INDEX(properties!A$1:CB$87,'Fórmula'!H16,60)),IF(INDEX(properties!A$1:CB$87,'Fórmula'!J16,60)=0,10^6,INDEX(properties!A$1:CB$87,'Fórmula'!J16,60)))</f>
        <v>0.02674</v>
      </c>
      <c r="GK16" s="105">
        <f t="shared" si="32"/>
        <v>140.97326</v>
      </c>
      <c r="GL16" s="106">
        <f t="array" ref="GL16">(('Fórmula'!C16)/('Fórmula'!C16+'Fórmula'!E16+'Fórmula'!G16+'Fórmula'!I16+'Fórmula'!K16))*(INDEX(properties!A$1:CB$87,'Fórmula'!B16,62))+(('Fórmula'!E16)/('Fórmula'!C16+'Fórmula'!E16+'Fórmula'!G16+'Fórmula'!I16+'Fórmula'!K16))*(INDEX(properties!A$1:CB$87,'Fórmula'!D16,62))+(('Fórmula'!G16)/('Fórmula'!C16+'Fórmula'!E16+'Fórmula'!G16+'Fórmula'!I16+'Fórmula'!K16))*(INDEX(properties!A$1:CB$87,'Fórmula'!F16,62))+(('Fórmula'!I16)/('Fórmula'!C16+'Fórmula'!E16+'Fórmula'!G16+'Fórmula'!I16+'Fórmula'!K16))*(INDEX(properties!A$1:CB$87,'Fórmula'!H16,62))+(('Fórmula'!K16)/('Fórmula'!C16+'Fórmula'!E16+'Fórmula'!G16+'Fórmula'!I16+'Fórmula'!K16))*(INDEX(properties!A$1:CB$87,'Fórmula'!J16,62))</f>
        <v>2.7805</v>
      </c>
      <c r="GM16" s="106">
        <f t="array" ref="GM16">'Fórmula'!C16*(INDEX(properties!A$1:CB$87,'Fórmula'!B16,62))+'Fórmula'!E16*(INDEX(properties!A$1:CB$87,'Fórmula'!D16,62))+'Fórmula'!G16*(INDEX(properties!A$1:CB$87,'Fórmula'!F16,62))+'Fórmula'!I16*(INDEX(properties!A$1:CB$87,'Fórmula'!H16,62))+'Fórmula'!K16*(INDEX(properties!A$1:CB$87,'Fórmula'!J16,62))</f>
        <v>16.683</v>
      </c>
      <c r="GN16" s="106">
        <f t="array" ref="GN16">VARP(IF(INDEX(properties!A$1:CB$87,'Fórmula'!B16,62)&lt;&gt;"",INDEX(properties!A$1:CB$87,'Fórmula'!B16,62)),IF(INDEX(properties!A$1:CB$87,'Fórmula'!D16,62)&lt;&gt;"",INDEX(properties!A$1:CB$87,'Fórmula'!D16,62)),IF(INDEX(properties!A$1:CB$87,'Fórmula'!F16,62)&lt;&gt;"",INDEX(properties!A$1:CB$87,'Fórmula'!F16,62)),IF(INDEX(properties!A$1:CB$87,'Fórmula'!H16,62)&lt;&gt;"",INDEX(properties!A$1:CB$87,'Fórmula'!H16,62)),IF(INDEX(properties!A$1:CB$87,'Fórmula'!J16,62)&lt;&gt;"",INDEX(properties!A$1:CB$87,'Fórmula'!J16,62)))</f>
        <v>3.85616384</v>
      </c>
      <c r="GO16" s="106">
        <f t="array" ref="GO16">MAX(INDEX(properties!A$1:CB$87,'Fórmula'!B16,62),INDEX(properties!A$1:CB$87,'Fórmula'!D16,62),INDEX(properties!A$1:CB$87,'Fórmula'!F16,62),INDEX(properties!A$1:CB$87,'Fórmula'!H16,62),INDEX(properties!A$1:CB$87,'Fórmula'!J16,62))</f>
        <v>5.81</v>
      </c>
      <c r="GP16" s="106">
        <f t="array" ref="GP16">MIN(IF(INDEX(properties!A$1:CB$87,'Fórmula'!B16,62)=0,10^6,INDEX(properties!A$1:CB$87,'Fórmula'!B16,62)),IF(INDEX(properties!A$1:CB$87,'Fórmula'!D16,62)=0,10^6,INDEX(properties!A$1:CB$87,'Fórmula'!D16,62)),IF(INDEX(properties!A$1:CB$87,'Fórmula'!F16,62)=0,10^6,INDEX(properties!A$1:CB$87,'Fórmula'!F16,62)),IF(INDEX(properties!A$1:CB$87,'Fórmula'!H16,62)=0,10^6,INDEX(properties!A$1:CB$87,'Fórmula'!H16,62)),IF(INDEX(properties!A$1:CB$87,'Fórmula'!J16,62)=0,10^6,INDEX(properties!A$1:CB$87,'Fórmula'!J16,62)))</f>
        <v>1.113</v>
      </c>
      <c r="GQ16" s="106">
        <f t="shared" si="33"/>
        <v>4.697</v>
      </c>
      <c r="GR16" s="106">
        <f>'Fórmula'!Q16</f>
        <v>12</v>
      </c>
      <c r="GS16" s="107">
        <f>'Fórmula'!P16</f>
        <v>6</v>
      </c>
      <c r="GT16" s="113">
        <f>'Fórmula'!O16</f>
        <v>4.46</v>
      </c>
      <c r="GU16" s="114">
        <f>AVERAGE('Fórmula'!R16/'Fórmula'!S16,'Fórmula'!S16/'Fórmula'!T16,'Fórmula'!T16/'Fórmula'!R16)</f>
        <v>1.088574507</v>
      </c>
      <c r="GV16" s="125">
        <f>'Fórmula'!U16</f>
        <v>326.41</v>
      </c>
      <c r="GW16" s="106">
        <f>'Fórmula'!N16</f>
        <v>0.05</v>
      </c>
    </row>
    <row r="17" ht="14.25" customHeight="1">
      <c r="A17" s="99" t="str">
        <f>'Fórmula'!A17</f>
        <v>KMgLaP2O8</v>
      </c>
      <c r="B17" s="100">
        <f t="array" ref="B17">(('Fórmula'!C17)/('Fórmula'!C17+'Fórmula'!E17+'Fórmula'!G17+'Fórmula'!I17+'Fórmula'!K17))*(INDEX(properties!A$1:CB$87,'Fórmula'!B17,3))+(('Fórmula'!E17)/('Fórmula'!C17+'Fórmula'!E17+'Fórmula'!G17+'Fórmula'!I17+'Fórmula'!K17))*(INDEX(properties!A$1:CB$87,'Fórmula'!D17,3))+(('Fórmula'!G17)/('Fórmula'!C17+'Fórmula'!E17+'Fórmula'!G17+'Fórmula'!I17+'Fórmula'!K17))*(INDEX(properties!A$1:CB$87,'Fórmula'!F17,3))+(('Fórmula'!I17)/('Fórmula'!C17+'Fórmula'!E17+'Fórmula'!G17+'Fórmula'!I17+'Fórmula'!K17))*(INDEX(properties!A$1:CB$87,'Fórmula'!H17,3))+(('Fórmula'!K17)/('Fórmula'!C17+'Fórmula'!E17+'Fórmula'!G17+'Fórmula'!I17+'Fórmula'!K17))*(INDEX(properties!A$1:CB$87,'Fórmula'!J17,3))</f>
        <v>30.17319415</v>
      </c>
      <c r="C17" s="101">
        <f t="array" ref="C17">'Fórmula'!C17*(INDEX(properties!A$1:CB$87,'Fórmula'!B17,3))+'Fórmula'!E17*(INDEX(properties!A$1:CB$87,'Fórmula'!D17,3))+'Fórmula'!G17*(INDEX(properties!A$1:CB$87,'Fórmula'!F17,3))+'Fórmula'!I17*(INDEX(properties!A$1:CB$87,'Fórmula'!H17,3))+'Fórmula'!K17*(INDEX(properties!A$1:CB$87,'Fórmula'!J17,3))</f>
        <v>392.251524</v>
      </c>
      <c r="D17" s="101">
        <f t="array" ref="D17">VARP(IF(INDEX(properties!A$1:CB$87,'Fórmula'!B17,3)&lt;&gt;"",INDEX(properties!A$1:CB$87,'Fórmula'!B17,3)),IF(INDEX(properties!A$1:CB$87,'Fórmula'!D17,3)&lt;&gt;"",INDEX(properties!A$1:CB$87,'Fórmula'!D17,3)),IF(INDEX(properties!A$1:CB$87,'Fórmula'!F17,3)&lt;&gt;"",INDEX(properties!A$1:CB$87,'Fórmula'!F17,3)),IF(INDEX(properties!A$1:CB$87,'Fórmula'!H17,3)&lt;&gt;"",INDEX(properties!A$1:CB$87,'Fórmula'!H17,3)),IF(INDEX(properties!A$1:CB$87,'Fórmula'!J17,3)&lt;&gt;"",INDEX(properties!A$1:CB$87,'Fórmula'!J17,3)))</f>
        <v>2040.240687</v>
      </c>
      <c r="E17" s="101">
        <f t="array" ref="E17">MAX(INDEX(properties!A$1:CB$87,'Fórmula'!B17,3),INDEX(properties!A$1:CB$87,'Fórmula'!D17,3),INDEX(properties!A$1:CB$87,'Fórmula'!F17,3),INDEX(properties!A$1:CB$87,'Fórmula'!H17,3),INDEX(properties!A$1:CB$87,'Fórmula'!J17,3))</f>
        <v>138.9055</v>
      </c>
      <c r="F17" s="101">
        <f t="array" ref="F17">MIN(IF(INDEX(properties!A$1:CB$87,'Fórmula'!B17,3)=0,10^6,INDEX(properties!A$1:CB$87,'Fórmula'!B17,3)),IF(INDEX(properties!A$1:CB$87,'Fórmula'!D17,3)=0,10^6,INDEX(properties!A$1:CB$87,'Fórmula'!D17,3)),IF(INDEX(properties!A$1:CB$87,'Fórmula'!F17,3)=0,10^6,INDEX(properties!A$1:CB$87,'Fórmula'!F17,3)),IF(INDEX(properties!A$1:CB$87,'Fórmula'!H17,3)=0,10^6,INDEX(properties!A$1:CB$87,'Fórmula'!H17,3)),IF(INDEX(properties!A$1:CB$87,'Fórmula'!J17,3)=0,10^6,INDEX(properties!A$1:CB$87,'Fórmula'!J17,3)))</f>
        <v>15.9994</v>
      </c>
      <c r="G17" s="101">
        <f t="shared" si="1"/>
        <v>122.9061</v>
      </c>
      <c r="H17" s="102">
        <f t="array" ref="H17">(('Fórmula'!C17)/('Fórmula'!C17+'Fórmula'!E17+'Fórmula'!G17+'Fórmula'!I17+'Fórmula'!K17))*(INDEX(properties!A$1:CB$87,'Fórmula'!B17,4))+(('Fórmula'!E17)/('Fórmula'!C17+'Fórmula'!E17+'Fórmula'!G17+'Fórmula'!I17+'Fórmula'!K17))*(INDEX(properties!A$1:CB$87,'Fórmula'!D17,4))+(('Fórmula'!G17)/('Fórmula'!C17+'Fórmula'!E17+'Fórmula'!G17+'Fórmula'!I17+'Fórmula'!K17))*(INDEX(properties!A$1:CB$87,'Fórmula'!F17,4))+(('Fórmula'!I17)/('Fórmula'!C17+'Fórmula'!E17+'Fórmula'!G17+'Fórmula'!I17+'Fórmula'!K17))*(INDEX(properties!A$1:CB$87,'Fórmula'!H17,4))+(('Fórmula'!K17)/('Fórmula'!C17+'Fórmula'!E17+'Fórmula'!G17+'Fórmula'!I17+'Fórmula'!K17))*(INDEX(properties!A$1:CB$87,'Fórmula'!J17,4))</f>
        <v>14</v>
      </c>
      <c r="I17" s="102">
        <f t="array" ref="I17">'Fórmula'!C17*(INDEX(properties!A$1:CB$87,'Fórmula'!B17,4))+'Fórmula'!E17*(INDEX(properties!A$1:CB$87,'Fórmula'!D17,4))+'Fórmula'!G17*(INDEX(properties!A$1:CB$87,'Fórmula'!F17,4))+'Fórmula'!I17*(INDEX(properties!A$1:CB$87,'Fórmula'!H17,4))+'Fórmula'!K17*(INDEX(properties!A$1:CB$87,'Fórmula'!J17,4))</f>
        <v>182</v>
      </c>
      <c r="J17" s="102">
        <f t="array" ref="J17">VARP(IF(INDEX(properties!A$1:CB$87,'Fórmula'!B17,4)&lt;&gt;"",INDEX(properties!A$1:CB$87,'Fórmula'!B17,4)),IF(INDEX(properties!A$1:CB$87,'Fórmula'!D17,4)&lt;&gt;"",INDEX(properties!A$1:CB$87,'Fórmula'!D17,4)),IF(INDEX(properties!A$1:CB$87,'Fórmula'!F17,4)&lt;&gt;"",INDEX(properties!A$1:CB$87,'Fórmula'!F17,4)),IF(INDEX(properties!A$1:CB$87,'Fórmula'!H17,4)&lt;&gt;"",INDEX(properties!A$1:CB$87,'Fórmula'!H17,4)),IF(INDEX(properties!A$1:CB$87,'Fórmula'!J17,4)&lt;&gt;"",INDEX(properties!A$1:CB$87,'Fórmula'!J17,4)))</f>
        <v>315.76</v>
      </c>
      <c r="K17" s="102">
        <f t="array" ref="K17">MAX(INDEX(properties!A$1:CB$87,'Fórmula'!B17,4),INDEX(properties!A$1:CB$87,'Fórmula'!D17,4),INDEX(properties!A$1:CB$87,'Fórmula'!F17,4),INDEX(properties!A$1:CB$87,'Fórmula'!H17,4),INDEX(properties!A$1:CB$87,'Fórmula'!J17,4))</f>
        <v>57</v>
      </c>
      <c r="L17" s="102">
        <f t="array" ref="L17">MIN(IF(INDEX(properties!A$1:CB$87,'Fórmula'!B17,4)=0,10^6,INDEX(properties!A$1:CB$87,'Fórmula'!B17,4)),IF(INDEX(properties!A$1:CB$87,'Fórmula'!D17,4)=0,10^6,INDEX(properties!A$1:CB$87,'Fórmula'!D17,4)),IF(INDEX(properties!A$1:CB$87,'Fórmula'!F17,4)=0,10^6,INDEX(properties!A$1:CB$87,'Fórmula'!F17,4)),IF(INDEX(properties!A$1:CB$87,'Fórmula'!H17,4)=0,10^6,INDEX(properties!A$1:CB$87,'Fórmula'!H17,4)),IF(INDEX(properties!A$1:CB$87,'Fórmula'!J17,4)=0,10^6,INDEX(properties!A$1:CB$87,'Fórmula'!J17,4)))</f>
        <v>8</v>
      </c>
      <c r="M17" s="102">
        <f t="shared" si="2"/>
        <v>49</v>
      </c>
      <c r="N17" s="103">
        <f t="array" ref="N17">(('Fórmula'!C17)/('Fórmula'!C17+'Fórmula'!E17+'Fórmula'!G17+'Fórmula'!I17+'Fórmula'!K17))*(INDEX(properties!A$1:CB$87,'Fórmula'!B17,5))+(('Fórmula'!E17)/('Fórmula'!C17+'Fórmula'!E17+'Fórmula'!G17+'Fórmula'!I17+'Fórmula'!K17))*(INDEX(properties!A$1:CB$87,'Fórmula'!D17,5))+(('Fórmula'!G17)/('Fórmula'!C17+'Fórmula'!E17+'Fórmula'!G17+'Fórmula'!I17+'Fórmula'!K17))*(INDEX(properties!A$1:CB$87,'Fórmula'!F17,5))+(('Fórmula'!I17)/('Fórmula'!C17+'Fórmula'!E17+'Fórmula'!G17+'Fórmula'!I17+'Fórmula'!K17))*(INDEX(properties!A$1:CB$87,'Fórmula'!H17,5))+(('Fórmula'!K17)/('Fórmula'!C17+'Fórmula'!E17+'Fórmula'!G17+'Fórmula'!I17+'Fórmula'!K17))*(INDEX(properties!A$1:CB$87,'Fórmula'!J17,5))</f>
        <v>2.692307692</v>
      </c>
      <c r="O17" s="103">
        <f t="array" ref="O17">'Fórmula'!C17*(INDEX(properties!A$1:CB$87,'Fórmula'!B17,5))+'Fórmula'!E17*(INDEX(properties!A$1:CB$87,'Fórmula'!D17,5))+'Fórmula'!G17*(INDEX(properties!A$1:CB$87,'Fórmula'!F17,5))+'Fórmula'!I17*(INDEX(properties!A$1:CB$87,'Fórmula'!H17,5))+'Fórmula'!K17*(INDEX(properties!A$1:CB$87,'Fórmula'!J17,5))</f>
        <v>35</v>
      </c>
      <c r="P17" s="103">
        <f t="array" ref="P17">VARP(IF(INDEX(properties!A$1:CB$87,'Fórmula'!B17,5)&lt;&gt;"",INDEX(properties!A$1:CB$87,'Fórmula'!B17,5)),IF(INDEX(properties!A$1:CB$87,'Fórmula'!D17,5)&lt;&gt;"",INDEX(properties!A$1:CB$87,'Fórmula'!D17,5)),IF(INDEX(properties!A$1:CB$87,'Fórmula'!F17,5)&lt;&gt;"",INDEX(properties!A$1:CB$87,'Fórmula'!F17,5)),IF(INDEX(properties!A$1:CB$87,'Fórmula'!H17,5)&lt;&gt;"",INDEX(properties!A$1:CB$87,'Fórmula'!H17,5)),IF(INDEX(properties!A$1:CB$87,'Fórmula'!J17,5)&lt;&gt;"",INDEX(properties!A$1:CB$87,'Fórmula'!J17,5)))</f>
        <v>1.84</v>
      </c>
      <c r="Q17" s="103">
        <f t="array" ref="Q17">MAX(INDEX(properties!A$1:CB$87,'Fórmula'!B17,5),INDEX(properties!A$1:CB$87,'Fórmula'!D17,5),INDEX(properties!A$1:CB$87,'Fórmula'!F17,5),INDEX(properties!A$1:CB$87,'Fórmula'!H17,5),INDEX(properties!A$1:CB$87,'Fórmula'!J17,5))</f>
        <v>6</v>
      </c>
      <c r="R17" s="103">
        <f t="array" ref="R17">MIN(IF(INDEX(properties!A$1:CB$87,'Fórmula'!B17,5)=0,10^6,INDEX(properties!A$1:CB$87,'Fórmula'!B17,5)),IF(INDEX(properties!A$1:CB$87,'Fórmula'!D17,5)=0,10^6,INDEX(properties!A$1:CB$87,'Fórmula'!D17,5)),IF(INDEX(properties!A$1:CB$87,'Fórmula'!F17,5)=0,10^6,INDEX(properties!A$1:CB$87,'Fórmula'!F17,5)),IF(INDEX(properties!A$1:CB$87,'Fórmula'!H17,5)=0,10^6,INDEX(properties!A$1:CB$87,'Fórmula'!H17,5)),IF(INDEX(properties!A$1:CB$87,'Fórmula'!J17,5)=0,10^6,INDEX(properties!A$1:CB$87,'Fórmula'!J17,5)))</f>
        <v>2</v>
      </c>
      <c r="S17" s="103">
        <f t="shared" si="3"/>
        <v>4</v>
      </c>
      <c r="T17" s="104">
        <f t="array" ref="T17">(('Fórmula'!C17)/('Fórmula'!C17+'Fórmula'!E17+'Fórmula'!G17+'Fórmula'!I17+'Fórmula'!K17))*(INDEX(properties!A$1:CB$87,'Fórmula'!B17,6))+(('Fórmula'!E17)/('Fórmula'!C17+'Fórmula'!E17+'Fórmula'!G17+'Fórmula'!I17+'Fórmula'!K17))*(INDEX(properties!A$1:CB$87,'Fórmula'!D17,6))+(('Fórmula'!G17)/('Fórmula'!C17+'Fórmula'!E17+'Fórmula'!G17+'Fórmula'!I17+'Fórmula'!K17))*(INDEX(properties!A$1:CB$87,'Fórmula'!F17,6))+(('Fórmula'!I17)/('Fórmula'!C17+'Fórmula'!E17+'Fórmula'!G17+'Fórmula'!I17+'Fórmula'!K17))*(INDEX(properties!A$1:CB$87,'Fórmula'!H17,6))+(('Fórmula'!K17)/('Fórmula'!C17+'Fórmula'!E17+'Fórmula'!G17+'Fórmula'!I17+'Fórmula'!K17))*(INDEX(properties!A$1:CB$87,'Fórmula'!J17,6))</f>
        <v>12.61538462</v>
      </c>
      <c r="U17" s="104">
        <f t="array" ref="U17">'Fórmula'!C17*(INDEX(properties!A$1:CB$87,'Fórmula'!B17,6))+'Fórmula'!E17*(INDEX(properties!A$1:CB$87,'Fórmula'!D17,6))+'Fórmula'!G17*(INDEX(properties!A$1:CB$87,'Fórmula'!F17,6))+'Fórmula'!I17*(INDEX(properties!A$1:CB$87,'Fórmula'!H17,6))+'Fórmula'!K17*(INDEX(properties!A$1:CB$87,'Fórmula'!J17,6))</f>
        <v>164</v>
      </c>
      <c r="V17" s="103">
        <f t="array" ref="V17">VARP(IF(INDEX(properties!A$1:CB$87,'Fórmula'!B17,6)&lt;&gt;"",INDEX(properties!A$1:CB$87,'Fórmula'!B17,6)),IF(INDEX(properties!A$1:CB$87,'Fórmula'!D17,6)&lt;&gt;"",INDEX(properties!A$1:CB$87,'Fórmula'!D17,6)),IF(INDEX(properties!A$1:CB$87,'Fórmula'!F17,6)&lt;&gt;"",INDEX(properties!A$1:CB$87,'Fórmula'!F17,6)),IF(INDEX(properties!A$1:CB$87,'Fórmula'!H17,6)&lt;&gt;"",INDEX(properties!A$1:CB$87,'Fórmula'!H17,6)),IF(INDEX(properties!A$1:CB$87,'Fórmula'!J17,6)&lt;&gt;"",INDEX(properties!A$1:CB$87,'Fórmula'!J17,6)))</f>
        <v>44.24</v>
      </c>
      <c r="W17" s="104">
        <f t="array" ref="W17">MAX(INDEX(properties!A$1:CB$87,'Fórmula'!B17,6),INDEX(properties!A$1:CB$87,'Fórmula'!D17,6),INDEX(properties!A$1:CB$87,'Fórmula'!F17,6),INDEX(properties!A$1:CB$87,'Fórmula'!H17,4),INDEX(properties!A$1:CB$87,'Fórmula'!J17,6))</f>
        <v>16</v>
      </c>
      <c r="X17" s="104">
        <f t="array" ref="X17">MIN(IF(INDEX(properties!A$1:CB$87,'Fórmula'!B17,6)=0,10^6,INDEX(properties!A$1:CB$87,'Fórmula'!B17,6)),IF(INDEX(properties!A$1:CB$87,'Fórmula'!D17,6)=0,10^6,INDEX(properties!A$1:CB$87,'Fórmula'!D17,6)),IF(INDEX(properties!A$1:CB$87,'Fórmula'!F17,6)=0,10^6,INDEX(properties!A$1:CB$87,'Fórmula'!F17,6)),IF(INDEX(properties!A$1:CB$87,'Fórmula'!H17,6)=0,10^6,INDEX(properties!A$1:CB$87,'Fórmula'!H17,6)),IF(INDEX(properties!A$1:CB$87,'Fórmula'!J17,6)=0,10^6,INDEX(properties!A$1:CB$87,'Fórmula'!J17,6)))</f>
        <v>1</v>
      </c>
      <c r="Y17" s="104">
        <f t="shared" si="4"/>
        <v>15</v>
      </c>
      <c r="Z17" s="105">
        <f t="array" ref="Z17">(('Fórmula'!C17)/('Fórmula'!C17+'Fórmula'!E17+'Fórmula'!G17+'Fórmula'!I17+'Fórmula'!K17))*(INDEX(properties!A$1:CB$87,'Fórmula'!B17,9))+(('Fórmula'!E17)/('Fórmula'!C17+'Fórmula'!E17+'Fórmula'!G17+'Fórmula'!I17+'Fórmula'!K17))*(INDEX(properties!A$1:CB$87,'Fórmula'!D17,9))+(('Fórmula'!G17)/('Fórmula'!C17+'Fórmula'!E17+'Fórmula'!G17+'Fórmula'!I17+'Fórmula'!K17))*(INDEX(properties!A$1:CB$87,'Fórmula'!F17,9))+(('Fórmula'!I17)/('Fórmula'!C17+'Fórmula'!E17+'Fórmula'!G17+'Fórmula'!I17+'Fórmula'!K17))*(INDEX(properties!A$1:CB$87,'Fórmula'!H17,9))+(('Fórmula'!K17)/('Fórmula'!C17+'Fórmula'!E17+'Fórmula'!G17+'Fórmula'!I17+'Fórmula'!K17))*(INDEX(properties!A$1:CB$87,'Fórmula'!J17,9))</f>
        <v>72.76923077</v>
      </c>
      <c r="AA17" s="105">
        <f t="array" ref="AA17">'Fórmula'!C17*(INDEX(properties!A$1:CB$87,'Fórmula'!B17,9))+'Fórmula'!E17*(INDEX(properties!A$1:CB$87,'Fórmula'!D17,9))+'Fórmula'!G17*(INDEX(properties!A$1:CB$87,'Fórmula'!F17,9))+'Fórmula'!I17*(INDEX(properties!A$1:CB$87,'Fórmula'!H17,9))+'Fórmula'!K17*(INDEX(properties!A$1:CB$87,'Fórmula'!J17,9))</f>
        <v>946</v>
      </c>
      <c r="AB17" s="105">
        <f t="array" ref="AB17">VARP(IF(INDEX(properties!A$1:CB$87,'Fórmula'!B17,9)&lt;&gt;"",INDEX(properties!A$1:CB$87,'Fórmula'!B17,9)),IF(INDEX(properties!A$1:CB$87,'Fórmula'!D17,9)&lt;&gt;"",INDEX(properties!A$1:CB$87,'Fórmula'!D17,9)),IF(INDEX(properties!A$1:CB$87,'Fórmula'!F17,9)&lt;&gt;"",INDEX(properties!A$1:CB$87,'Fórmula'!F17,9)),IF(INDEX(properties!A$1:CB$87,'Fórmula'!H17,9)&lt;&gt;"",INDEX(properties!A$1:CB$87,'Fórmula'!H17,9)),IF(INDEX(properties!A$1:CB$87,'Fórmula'!J17,9)&lt;&gt;"",INDEX(properties!A$1:CB$87,'Fórmula'!J17,9)))</f>
        <v>1271.36</v>
      </c>
      <c r="AC17" s="105">
        <f t="array" ref="AC17">MAX(INDEX(properties!A$1:CB$87,'Fórmula'!B17,9),INDEX(properties!A$1:CB$87,'Fórmula'!D17,9),INDEX(properties!A$1:CB$87,'Fórmula'!F17,9),INDEX(properties!A$1:CB$87,'Fórmula'!H17,9),INDEX(properties!A$1:CB$87,'Fórmula'!J17,9))</f>
        <v>87</v>
      </c>
      <c r="AD17" s="105">
        <f t="array" ref="AD17">MIN(IF(INDEX(properties!A$1:CB$87,'Fórmula'!B17,9)=0,10^6,INDEX(properties!A$1:CB$87,'Fórmula'!B17,9)),IF(INDEX(properties!A$1:CB$87,'Fórmula'!D17,9)=0,10^6,INDEX(properties!A$1:CB$87,'Fórmula'!D17,9)),IF(INDEX(properties!A$1:CB$87,'Fórmula'!F17,9)=0,10^6,INDEX(properties!A$1:CB$87,'Fórmula'!F17,9)),IF(INDEX(properties!A$1:CB$87,'Fórmula'!H17,9)=0,10^6,INDEX(properties!A$1:CB$87,'Fórmula'!H17,9)),IF(INDEX(properties!A$1:CB$87,'Fórmula'!J17,9)=0,10^6,INDEX(properties!A$1:CB$87,'Fórmula'!J17,9)))</f>
        <v>3</v>
      </c>
      <c r="AE17" s="105">
        <f t="shared" si="5"/>
        <v>84</v>
      </c>
      <c r="AF17" s="106">
        <f t="array" ref="AF17">(('Fórmula'!C17)/('Fórmula'!C17+'Fórmula'!E17+'Fórmula'!G17+'Fórmula'!I17+'Fórmula'!K17))*(INDEX(properties!A$1:CB$87,'Fórmula'!B17,10))+(('Fórmula'!E17)/('Fórmula'!C17+'Fórmula'!E17+'Fórmula'!G17+'Fórmula'!I17+'Fórmula'!K17))*(INDEX(properties!A$1:CB$87,'Fórmula'!D17,10))+(('Fórmula'!G17)/('Fórmula'!C17+'Fórmula'!E17+'Fórmula'!G17+'Fórmula'!I17+'Fórmula'!K17))*(INDEX(properties!A$1:CB$87,'Fórmula'!F17,10))+(('Fórmula'!I17)/('Fórmula'!C17+'Fórmula'!E17+'Fórmula'!G17+'Fórmula'!I17+'Fórmula'!K17))*(INDEX(properties!A$1:CB$87,'Fórmula'!H17,10))+(('Fórmula'!K17)/('Fórmula'!C17+'Fórmula'!E17+'Fórmula'!G17+'Fórmula'!I17+'Fórmula'!K17))*(INDEX(properties!A$1:CB$87,'Fórmula'!J17,10))</f>
        <v>5.846153846</v>
      </c>
      <c r="AG17" s="106">
        <f t="array" ref="AG17">'Fórmula'!C17*(INDEX(properties!A$1:CB$87,'Fórmula'!B17,10))+'Fórmula'!E17*(INDEX(properties!A$1:CB$87,'Fórmula'!D17,10))+'Fórmula'!G17*(INDEX(properties!A$1:CB$87,'Fórmula'!F17,10))+'Fórmula'!I17*(INDEX(properties!A$1:CB$87,'Fórmula'!H17,10))+'Fórmula'!K17*(INDEX(properties!A$1:CB$87,'Fórmula'!J17,10))</f>
        <v>76</v>
      </c>
      <c r="AH17" s="106">
        <f t="array" ref="AH17">VARP(IF(INDEX(properties!A$1:CB$87,'Fórmula'!B17,10)&lt;&gt;"",INDEX(properties!A$1:CB$87,'Fórmula'!B17,10)),IF(INDEX(properties!A$1:CB$87,'Fórmula'!D17,10)&lt;&gt;"",INDEX(properties!A$1:CB$87,'Fórmula'!D17,10)),IF(INDEX(properties!A$1:CB$87,'Fórmula'!F17,10)&lt;&gt;"",INDEX(properties!A$1:CB$87,'Fórmula'!F17,10)),IF(INDEX(properties!A$1:CB$87,'Fórmula'!H17,10)&lt;&gt;"",INDEX(properties!A$1:CB$87,'Fórmula'!H17,10)),IF(INDEX(properties!A$1:CB$87,'Fórmula'!J17,10)&lt;&gt;"",INDEX(properties!A$1:CB$87,'Fórmula'!J17,10)))</f>
        <v>6.4</v>
      </c>
      <c r="AI17" s="106">
        <f t="array" ref="AI17">MAX(INDEX(properties!A$1:CB$87,'Fórmula'!B17,10),INDEX(properties!A$1:CB$87,'Fórmula'!D17,10),INDEX(properties!A$1:CB$87,'Fórmula'!F17,10),INDEX(properties!A$1:CB$87,'Fórmula'!H17,10),INDEX(properties!A$1:CB$87,'Fórmula'!J17,10))</f>
        <v>7</v>
      </c>
      <c r="AJ17" s="106">
        <f t="array" ref="AJ17">MIN(IF(INDEX(properties!A$1:CB$87,'Fórmula'!B17,10)=0,10^6,INDEX(properties!A$1:CB$87,'Fórmula'!B17,10)),IF(INDEX(properties!A$1:CB$87,'Fórmula'!D17,10)=0,10^6,INDEX(properties!A$1:CB$87,'Fórmula'!D17,10)),IF(INDEX(properties!A$1:CB$87,'Fórmula'!F17,10)=0,10^6,INDEX(properties!A$1:CB$87,'Fórmula'!F17,10)),IF(INDEX(properties!A$1:CB$87,'Fórmula'!H17,10)=0,10^6,INDEX(properties!A$1:CB$87,'Fórmula'!H17,10)),IF(INDEX(properties!A$1:CB$87,'Fórmula'!J17,10)=0,10^6,INDEX(properties!A$1:CB$87,'Fórmula'!J17,10)))</f>
        <v>1</v>
      </c>
      <c r="AK17" s="106">
        <f t="shared" si="6"/>
        <v>6</v>
      </c>
      <c r="AL17" s="107">
        <f t="array" ref="AL17">(('Fórmula'!C17)/('Fórmula'!C17+'Fórmula'!E17+'Fórmula'!G17+'Fórmula'!I17+'Fórmula'!K17))*(INDEX(properties!A$1:CB$87,'Fórmula'!B17,11))+(('Fórmula'!E17)/('Fórmula'!C17+'Fórmula'!E17+'Fórmula'!G17+'Fórmula'!I17+'Fórmula'!K17))*(INDEX(properties!A$1:CB$87,'Fórmula'!D17,11))+(('Fórmula'!G17)/('Fórmula'!C17+'Fórmula'!E17+'Fórmula'!G17+'Fórmula'!I17+'Fórmula'!K17))*(INDEX(properties!A$1:CB$87,'Fórmula'!F17,11))+(('Fórmula'!I17)/('Fórmula'!C17+'Fórmula'!E17+'Fórmula'!G17+'Fórmula'!I17+'Fórmula'!K17))*(INDEX(properties!A$1:CB$87,'Fórmula'!H17,11))+(('Fórmula'!K17)/('Fórmula'!C17+'Fórmula'!E17+'Fórmula'!G17+'Fórmula'!I17+'Fórmula'!K17))*(INDEX(properties!A$1:CB$87,'Fórmula'!J17,11))</f>
        <v>1.923076923</v>
      </c>
      <c r="AM17" s="107">
        <f t="array" ref="AM17">'Fórmula'!C17*(INDEX(properties!A$1:CB$87,'Fórmula'!B17,11))+'Fórmula'!E17*(INDEX(properties!A$1:CB$87,'Fórmula'!D17,11))+'Fórmula'!G17*(INDEX(properties!A$1:CB$87,'Fórmula'!F17,11))+'Fórmula'!I17*(INDEX(properties!A$1:CB$87,'Fórmula'!H17,11))+'Fórmula'!K17*(INDEX(properties!A$1:CB$87,'Fórmula'!J17,11))</f>
        <v>25</v>
      </c>
      <c r="AN17" s="107">
        <f t="array" ref="AN17">VARP(IF(INDEX(properties!A$1:CB$87,'Fórmula'!B17,11)&lt;&gt;"",INDEX(properties!A$1:CB$87,'Fórmula'!B17,11)),IF(INDEX(properties!A$1:CB$87,'Fórmula'!D17,11)&lt;&gt;"",INDEX(properties!A$1:CB$87,'Fórmula'!D17,11)),IF(INDEX(properties!A$1:CB$87,'Fórmula'!F17,11)&lt;&gt;"",INDEX(properties!A$1:CB$87,'Fórmula'!F17,11)),IF(INDEX(properties!A$1:CB$87,'Fórmula'!H17,11)&lt;&gt;"",INDEX(properties!A$1:CB$87,'Fórmula'!H17,11)),IF(INDEX(properties!A$1:CB$87,'Fórmula'!J17,11)&lt;&gt;"",INDEX(properties!A$1:CB$87,'Fórmula'!J17,11)))</f>
        <v>0.16</v>
      </c>
      <c r="AO17" s="107">
        <f t="array" ref="AO17">MAX(INDEX(properties!A$1:CB$87,'Fórmula'!B17,11),INDEX(properties!A$1:CB$87,'Fórmula'!D17,11),INDEX(properties!A$1:CB$87,'Fórmula'!F17,11),INDEX(properties!A$1:CB$87,'Fórmula'!H17,11),INDEX(properties!A$1:CB$87,'Fórmula'!J17,11))</f>
        <v>2</v>
      </c>
      <c r="AP17" s="107">
        <f t="array" ref="AP17">MIN(IF('Fórmula'!B17=87,10^6,INDEX(properties!A$1:CB$87,'Fórmula'!B17,11)),IF(('Fórmula'!D17)=87,10^6,INDEX(properties!A$1:CB$87,'Fórmula'!D17,11)),IF(('Fórmula'!F17)=87,10^6,INDEX(properties!A$1:CB$87,'Fórmula'!F17,11)),IF(('Fórmula'!H17)=87,10^6,INDEX(properties!A$1:CB$87,'Fórmula'!H17,11)),IF('Fórmula'!J17=87,10^6,INDEX(properties!A$1:CB$87,'Fórmula'!J17,11)))</f>
        <v>1</v>
      </c>
      <c r="AQ17" s="107">
        <f t="shared" si="7"/>
        <v>1</v>
      </c>
      <c r="AR17" s="108">
        <f t="array" ref="AR17">(('Fórmula'!C17)/('Fórmula'!C17+'Fórmula'!E17+'Fórmula'!G17+'Fórmula'!I17+'Fórmula'!K17))*(INDEX(properties!A$1:CB$87,'Fórmula'!B17,12))+(('Fórmula'!E17)/('Fórmula'!C17+'Fórmula'!E17+'Fórmula'!G17+'Fórmula'!I17+'Fórmula'!K17))*(INDEX(properties!A$1:CB$87,'Fórmula'!D17,12))+(('Fórmula'!G17)/('Fórmula'!C17+'Fórmula'!E17+'Fórmula'!G17+'Fórmula'!I17+'Fórmula'!K17))*(INDEX(properties!A$1:CB$87,'Fórmula'!F17,12))+(('Fórmula'!I17)/('Fórmula'!C17+'Fórmula'!E17+'Fórmula'!G17+'Fórmula'!I17+'Fórmula'!K17))*(INDEX(properties!A$1:CB$87,'Fórmula'!H17,12))+(('Fórmula'!K17)/('Fórmula'!C17+'Fórmula'!E17+'Fórmula'!G17+'Fórmula'!I17+'Fórmula'!K17))*(INDEX(properties!A$1:CB$87,'Fórmula'!J17,12))</f>
        <v>2.923076923</v>
      </c>
      <c r="AS17" s="108">
        <f t="array" ref="AS17">'Fórmula'!C17*(INDEX(properties!A$1:CB$87,'Fórmula'!B17,12))+'Fórmula'!E17*(INDEX(properties!A$1:CB$87,'Fórmula'!D17,12))+'Fórmula'!G17*(INDEX(properties!A$1:CB$87,'Fórmula'!F17,12))+'Fórmula'!I17*(INDEX(properties!A$1:CB$87,'Fórmula'!H17,12))+'Fórmula'!K17*(INDEX(properties!A$1:CB$87,'Fórmula'!J17,12))</f>
        <v>38</v>
      </c>
      <c r="AT17" s="108">
        <f t="array" ref="AT17">VARP(IF(INDEX(properties!A$1:CB$87,'Fórmula'!B17,12)&lt;&gt;"",INDEX(properties!A$1:CB$87,'Fórmula'!B17,12)),IF(INDEX(properties!A$1:CB$87,'Fórmula'!D17,12)&lt;&gt;"",INDEX(properties!A$1:CB$87,'Fórmula'!D17,12)),IF(INDEX(properties!A$1:CB$87,'Fórmula'!F17,12)&lt;&gt;"",INDEX(properties!A$1:CB$87,'Fórmula'!F17,12)),IF(INDEX(properties!A$1:CB$87,'Fórmula'!H17,12)&lt;&gt;"",INDEX(properties!A$1:CB$87,'Fórmula'!H17,12)),IF(INDEX(properties!A$1:CB$87,'Fórmula'!J17,12)&lt;&gt;"",INDEX(properties!A$1:CB$87,'Fórmula'!J17,12)))</f>
        <v>3.04</v>
      </c>
      <c r="AU17" s="108">
        <f t="array" ref="AU17">MAX(INDEX(properties!A$1:CB$87,'Fórmula'!B17,12),INDEX(properties!A$1:CB$87,'Fórmula'!D17,12),INDEX(properties!A$1:CB$87,'Fórmula'!F17,12),INDEX(properties!A$1:CB$87,'Fórmula'!H17,12),INDEX(properties!A$1:CB$87,'Fórmula'!J17,12))</f>
        <v>4</v>
      </c>
      <c r="AV17" s="108">
        <f t="array" ref="AV17">MIN(IF('Fórmula'!B17=87,10^6,INDEX(properties!A$1:CB$87,'Fórmula'!B17,12)),IF(('Fórmula'!D17)=87,10^6,INDEX(properties!A$1:CB$87,'Fórmula'!D17,12)),IF(('Fórmula'!F17)=87,10^6,INDEX(properties!A$1:CB$87,'Fórmula'!F17,12)),IF(('Fórmula'!H17)=87,10^6,INDEX(properties!A$1:CB$87,'Fórmula'!H17,12)),IF('Fórmula'!J17=87,10^6,INDEX(properties!A$1:CB$87,'Fórmula'!J17,12)))</f>
        <v>0</v>
      </c>
      <c r="AW17" s="108">
        <f t="shared" si="8"/>
        <v>4</v>
      </c>
      <c r="AX17" s="109">
        <f t="array" ref="AX17">(('Fórmula'!C17)/('Fórmula'!C17+'Fórmula'!E17+'Fórmula'!G17+'Fórmula'!I17+'Fórmula'!K17))*(INDEX(properties!A$1:CB$87,'Fórmula'!B17,13))+(('Fórmula'!E17)/('Fórmula'!C17+'Fórmula'!E17+'Fórmula'!G17+'Fórmula'!I17+'Fórmula'!K17))*(INDEX(properties!A$1:CB$87,'Fórmula'!D17,13))+(('Fórmula'!G17)/('Fórmula'!C17+'Fórmula'!E17+'Fórmula'!G17+'Fórmula'!I17+'Fórmula'!K17))*(INDEX(properties!A$1:CB$87,'Fórmula'!F17,13))+(('Fórmula'!I17)/('Fórmula'!C17+'Fórmula'!E17+'Fórmula'!G17+'Fórmula'!I17+'Fórmula'!K17))*(INDEX(properties!A$1:CB$87,'Fórmula'!H17,13))+(('Fórmula'!K17)/('Fórmula'!C17+'Fórmula'!E17+'Fórmula'!G17+'Fórmula'!I17+'Fórmula'!K17))*(INDEX(properties!A$1:CB$87,'Fórmula'!J17,13))</f>
        <v>0.07692307692</v>
      </c>
      <c r="AY17" s="109">
        <f t="array" ref="AY17">'Fórmula'!C17*(INDEX(properties!A$1:CB$87,'Fórmula'!B17,13))+'Fórmula'!E17*(INDEX(properties!A$1:CB$87,'Fórmula'!D17,13))+'Fórmula'!G17*(INDEX(properties!A$1:CB$87,'Fórmula'!F17,13))+'Fórmula'!I17*(INDEX(properties!A$1:CB$87,'Fórmula'!H17,13))+'Fórmula'!K17*(INDEX(properties!A$1:CB$87,'Fórmula'!J17,13))</f>
        <v>1</v>
      </c>
      <c r="AZ17" s="109">
        <f t="array" ref="AZ17">VARP(IF(INDEX(properties!A$1:CB$87,'Fórmula'!B17,13)&lt;&gt;"",INDEX(properties!A$1:CB$87,'Fórmula'!B17,13)),IF(INDEX(properties!A$1:CB$87,'Fórmula'!D17,13)&lt;&gt;"",INDEX(properties!A$1:CB$87,'Fórmula'!D17,13)),IF(INDEX(properties!A$1:CB$87,'Fórmula'!F17,13)&lt;&gt;"",INDEX(properties!A$1:CB$87,'Fórmula'!F17,13)),IF(INDEX(properties!A$1:CB$87,'Fórmula'!H17,13)&lt;&gt;"",INDEX(properties!A$1:CB$87,'Fórmula'!H17,13)),IF(INDEX(properties!A$1:CB$87,'Fórmula'!J17,13)&lt;&gt;"",INDEX(properties!A$1:CB$87,'Fórmula'!J17,13)))</f>
        <v>0.16</v>
      </c>
      <c r="BA17" s="109">
        <f t="array" ref="BA17">MAX(INDEX(properties!A$1:CB$87,'Fórmula'!B17,13),INDEX(properties!A$1:CB$87,'Fórmula'!D17,13),INDEX(properties!A$1:CB$87,'Fórmula'!F17,13),INDEX(properties!A$1:CB$87,'Fórmula'!H17,13),INDEX(properties!A$1:CB$87,'Fórmula'!J17,13))</f>
        <v>1</v>
      </c>
      <c r="BB17" s="109">
        <f t="array" ref="BB17">MIN(IF('Fórmula'!B17=87,10^6,INDEX(properties!A$1:CB$87,'Fórmula'!B17,13)),IF(('Fórmula'!D17)=87,10^6,INDEX(properties!A$1:CB$87,'Fórmula'!D17,13)),IF(('Fórmula'!F17)=87,10^6,INDEX(properties!A$1:CB$87,'Fórmula'!F17,13)),IF(('Fórmula'!H17)=87,10^6,INDEX(properties!A$1:CB$87,'Fórmula'!H17,13)),IF('Fórmula'!J17=87,10^6,INDEX(properties!A$1:CB$87,'Fórmula'!J17,13)))</f>
        <v>0</v>
      </c>
      <c r="BC17" s="109">
        <f t="shared" si="9"/>
        <v>1</v>
      </c>
      <c r="BD17" s="110">
        <f t="array" ref="BD17">(('Fórmula'!C17)/('Fórmula'!C17+'Fórmula'!E17+'Fórmula'!G17+'Fórmula'!I17+'Fórmula'!K17))*(INDEX(properties!A$1:CB$87,'Fórmula'!B17,14))+(('Fórmula'!E17)/('Fórmula'!C17+'Fórmula'!E17+'Fórmula'!G17+'Fórmula'!I17+'Fórmula'!K17))*(INDEX(properties!A$1:CB$87,'Fórmula'!D17,14))+(('Fórmula'!G17)/('Fórmula'!C17+'Fórmula'!E17+'Fórmula'!G17+'Fórmula'!I17+'Fórmula'!K17))*(INDEX(properties!A$1:CB$87,'Fórmula'!F17,14))+(('Fórmula'!I17)/('Fórmula'!C17+'Fórmula'!E17+'Fórmula'!G17+'Fórmula'!I17+'Fórmula'!K17))*(INDEX(properties!A$1:CB$87,'Fórmula'!H17,14))+(('Fórmula'!K17)/('Fórmula'!C17+'Fórmula'!E17+'Fórmula'!G17+'Fórmula'!I17+'Fórmula'!K17))*(INDEX(properties!A$1:CB$87,'Fórmula'!J17,14))</f>
        <v>0</v>
      </c>
      <c r="BE17" s="110">
        <f t="array" ref="BE17">'Fórmula'!C17*(INDEX(properties!A$1:CB$87,'Fórmula'!B17,14))+'Fórmula'!E17*(INDEX(properties!A$1:CB$87,'Fórmula'!D17,14))+'Fórmula'!G17*(INDEX(properties!A$1:CB$87,'Fórmula'!F17,14))+'Fórmula'!I17*(INDEX(properties!A$1:CB$87,'Fórmula'!H17,14))+'Fórmula'!K17*(INDEX(properties!A$1:CB$87,'Fórmula'!J17,14))</f>
        <v>0</v>
      </c>
      <c r="BF17" s="110">
        <f t="array" ref="BF17">VARP(IF(INDEX(properties!A$1:CB$87,'Fórmula'!B17,14)&lt;&gt;"",INDEX(properties!A$1:CB$87,'Fórmula'!B17,14)),IF(INDEX(properties!A$1:CB$87,'Fórmula'!D17,14)&lt;&gt;"",INDEX(properties!A$1:CB$87,'Fórmula'!D17,14)),IF(INDEX(properties!A$1:CB$87,'Fórmula'!F17,14)&lt;&gt;"",INDEX(properties!A$1:CB$87,'Fórmula'!F17,14)),IF(INDEX(properties!A$1:CB$87,'Fórmula'!H17,14)&lt;&gt;"",INDEX(properties!A$1:CB$87,'Fórmula'!H17,14)),IF(INDEX(properties!A$1:CB$87,'Fórmula'!J17,14)&lt;&gt;"",INDEX(properties!A$1:CB$87,'Fórmula'!J17,14)))</f>
        <v>0</v>
      </c>
      <c r="BG17" s="110">
        <f t="array" ref="BG17">MAX(INDEX(properties!A$1:CB$87,'Fórmula'!B17,14),INDEX(properties!A$1:CB$87,'Fórmula'!D17,14),INDEX(properties!A$1:CB$87,'Fórmula'!F17,14),INDEX(properties!A$1:CB$87,'Fórmula'!H17,14),INDEX(properties!A$1:CB$87,'Fórmula'!J17,14))</f>
        <v>0</v>
      </c>
      <c r="BH17" s="110">
        <f t="array" ref="BH17">MIN(IF('Fórmula'!B17=87,10^6,INDEX(properties!A$1:CB$87,'Fórmula'!B17,14)),IF(('Fórmula'!D17)=87,10^6,INDEX(properties!A$1:CB$87,'Fórmula'!D17,14)),IF(('Fórmula'!F17)=87,10^6,INDEX(properties!A$1:CB$87,'Fórmula'!F17,14)),IF(('Fórmula'!H17)=87,10^6,INDEX(properties!A$1:CB$87,'Fórmula'!H17,14)),IF('Fórmula'!J17=87,10^6,INDEX(properties!A$1:CB$87,'Fórmula'!J17,14)))</f>
        <v>0</v>
      </c>
      <c r="BI17" s="110">
        <f t="shared" si="10"/>
        <v>0</v>
      </c>
      <c r="BJ17" s="111">
        <f t="array" ref="BJ17">(('Fórmula'!C17)/('Fórmula'!C17+'Fórmula'!E17+'Fórmula'!G17+'Fórmula'!I17+'Fórmula'!K17))*(INDEX(properties!A$1:CB$87,'Fórmula'!B17,19))+(('Fórmula'!E17)/('Fórmula'!C17+'Fórmula'!E17+'Fórmula'!G17+'Fórmula'!I17+'Fórmula'!K17))*(INDEX(properties!A$1:CB$87,'Fórmula'!D17,19))+(('Fórmula'!G17)/('Fórmula'!C17+'Fórmula'!E17+'Fórmula'!G17+'Fórmula'!I17+'Fórmula'!K17))*(INDEX(properties!A$1:CB$87,'Fórmula'!F17,19))+(('Fórmula'!I17)/('Fórmula'!C17+'Fórmula'!E17+'Fórmula'!G17+'Fórmula'!I17+'Fórmula'!K17))*(INDEX(properties!A$1:CB$87,'Fórmula'!H17,19))+(('Fórmula'!K17)/('Fórmula'!C17+'Fórmula'!E17+'Fórmula'!G17+'Fórmula'!I17+'Fórmula'!K17))*(INDEX(properties!A$1:CB$87,'Fórmula'!J17,19))</f>
        <v>4.923076923</v>
      </c>
      <c r="BK17" s="111">
        <f t="array" ref="BK17">'Fórmula'!C17*(INDEX(properties!A$1:CB$87,'Fórmula'!B17,19))+'Fórmula'!E17*(INDEX(properties!A$1:CB$87,'Fórmula'!D17,19))+'Fórmula'!G17*(INDEX(properties!A$1:CB$87,'Fórmula'!F17,19))+'Fórmula'!I17*(INDEX(properties!A$1:CB$87,'Fórmula'!H17,19))+'Fórmula'!K17*(INDEX(properties!A$1:CB$87,'Fórmula'!J17,19))</f>
        <v>64</v>
      </c>
      <c r="BL17" s="111">
        <f t="array" ref="BL17">VARP(IF(INDEX(properties!A$1:CB$87,'Fórmula'!B17,19)&lt;&gt;"",INDEX(properties!A$1:CB$87,'Fórmula'!B17,19)),IF(INDEX(properties!A$1:CB$87,'Fórmula'!D17,19)&lt;&gt;"",INDEX(properties!A$1:CB$87,'Fórmula'!D17,19)),IF(INDEX(properties!A$1:CB$87,'Fórmula'!F17,19)&lt;&gt;"",INDEX(properties!A$1:CB$87,'Fórmula'!F17,19)),IF(INDEX(properties!A$1:CB$87,'Fórmula'!H17,19)&lt;&gt;"",INDEX(properties!A$1:CB$87,'Fórmula'!H17,19)),IF(INDEX(properties!A$1:CB$87,'Fórmula'!J17,19)&lt;&gt;"",INDEX(properties!A$1:CB$87,'Fórmula'!J17,19)))</f>
        <v>3.44</v>
      </c>
      <c r="BM17" s="111">
        <f t="array" ref="BM17">MAX(INDEX(properties!A$1:CB$87,'Fórmula'!B17,19),INDEX(properties!A$1:CB$87,'Fórmula'!D17,19),INDEX(properties!A$1:CB$87,'Fórmula'!F17,19),INDEX(properties!A$1:CB$87,'Fórmula'!H17,19),INDEX(properties!A$1:CB$87,'Fórmula'!J17,19))</f>
        <v>6</v>
      </c>
      <c r="BN17" s="111">
        <f t="array" ref="BN17">MIN(IF(INDEX(properties!A$1:CB$87,'Fórmula'!B17,19)=0,10^6,INDEX(properties!A$1:CB$87,'Fórmula'!B17,19)),IF(INDEX(properties!A$1:CB$87,'Fórmula'!D17,19)=0,10^6,INDEX(properties!A$1:CB$87,'Fórmula'!D17,19)),IF(INDEX(properties!A$1:CB$87,'Fórmula'!F17,19)=0,10^6,INDEX(properties!A$1:CB$87,'Fórmula'!F17,19)),IF(INDEX(properties!A$1:CB$87,'Fórmula'!H17,19)=0,10^6,INDEX(properties!A$1:CB$87,'Fórmula'!H17,19)),IF(INDEX(properties!A$1:CB$87,'Fórmula'!J17,19)=0,10^6,INDEX(properties!A$1:CB$87,'Fórmula'!J17,19)))</f>
        <v>1</v>
      </c>
      <c r="BO17" s="111">
        <f t="shared" si="11"/>
        <v>5</v>
      </c>
      <c r="BP17" s="112">
        <f t="array" ref="BP17">(('Fórmula'!C17)/('Fórmula'!C17+'Fórmula'!E17+'Fórmula'!G17+'Fórmula'!I17+'Fórmula'!K17))*(INDEX(properties!A$1:CB$87,'Fórmula'!B17,20))+(('Fórmula'!E17)/('Fórmula'!C17+'Fórmula'!E17+'Fórmula'!G17+'Fórmula'!I17+'Fórmula'!K17))*(INDEX(properties!A$1:CB$87,'Fórmula'!D17,20))+(('Fórmula'!G17)/('Fórmula'!C17+'Fórmula'!E17+'Fórmula'!G17+'Fórmula'!I17+'Fórmula'!K17))*(INDEX(properties!A$1:CB$87,'Fórmula'!F17,20))+(('Fórmula'!I17)/('Fórmula'!C17+'Fórmula'!E17+'Fórmula'!G17+'Fórmula'!I17+'Fórmula'!K17))*(INDEX(properties!A$1:CB$87,'Fórmula'!H17,20))+(('Fórmula'!K17)/('Fórmula'!C17+'Fórmula'!E17+'Fórmula'!G17+'Fórmula'!I17+'Fórmula'!K17))*(INDEX(properties!A$1:CB$87,'Fórmula'!J17,20))</f>
        <v>4.846153846</v>
      </c>
      <c r="BQ17" s="112">
        <f t="array" ref="BQ17">'Fórmula'!C17*(INDEX(properties!A$1:CB$87,'Fórmula'!B17,20))+'Fórmula'!E17*(INDEX(properties!A$1:CB$87,'Fórmula'!D17,20))+'Fórmula'!G17*(INDEX(properties!A$1:CB$87,'Fórmula'!F17,20))+'Fórmula'!I17*(INDEX(properties!A$1:CB$87,'Fórmula'!H17,20))+'Fórmula'!K17*(INDEX(properties!A$1:CB$87,'Fórmula'!J17,20))</f>
        <v>63</v>
      </c>
      <c r="BR17" s="112">
        <f t="array" ref="BR17">VARP(IF(INDEX(properties!A$1:CB$87,'Fórmula'!B17,20)&lt;&gt;"",INDEX(properties!A$1:CB$87,'Fórmula'!B17,20)),IF(INDEX(properties!A$1:CB$87,'Fórmula'!D17,20)&lt;&gt;"",INDEX(properties!A$1:CB$87,'Fórmula'!D17,20)),IF(INDEX(properties!A$1:CB$87,'Fórmula'!F17,20)&lt;&gt;"",INDEX(properties!A$1:CB$87,'Fórmula'!F17,20)),IF(INDEX(properties!A$1:CB$87,'Fórmula'!H17,20)&lt;&gt;"",INDEX(properties!A$1:CB$87,'Fórmula'!H17,20)),IF(INDEX(properties!A$1:CB$87,'Fórmula'!J17,20)&lt;&gt;"",INDEX(properties!A$1:CB$87,'Fórmula'!J17,20)))</f>
        <v>3.76</v>
      </c>
      <c r="BS17" s="112">
        <f t="array" ref="BS17">MAX(INDEX(properties!A$1:CB$87,'Fórmula'!B17,20),INDEX(properties!A$1:CB$87,'Fórmula'!D17,20),INDEX(properties!A$1:CB$87,'Fórmula'!F17,20),INDEX(properties!A$1:CB$87,'Fórmula'!H17,20),INDEX(properties!A$1:CB$87,'Fórmula'!J17,20))</f>
        <v>6</v>
      </c>
      <c r="BT17" s="112">
        <f t="array" ref="BT17">MIN(IF(INDEX(properties!A$1:CB$87,'Fórmula'!B17,20)=0,10^6,INDEX(properties!A$1:CB$87,'Fórmula'!B17,20)),IF(INDEX(properties!A$1:CB$87,'Fórmula'!D17,20)=0,10^6,INDEX(properties!A$1:CB$87,'Fórmula'!D17,20)),IF(INDEX(properties!A$1:CB$87,'Fórmula'!F17,20)=0,10^6,INDEX(properties!A$1:CB$87,'Fórmula'!F17,20)),IF(INDEX(properties!A$1:CB$87,'Fórmula'!H17,20)=0,10^6,INDEX(properties!A$1:CB$87,'Fórmula'!H17,20)),IF(INDEX(properties!A$1:CB$87,'Fórmula'!J17,20)=0,10^6,INDEX(properties!A$1:CB$87,'Fórmula'!J17,20)))</f>
        <v>1</v>
      </c>
      <c r="BU17" s="112">
        <f t="shared" si="12"/>
        <v>5</v>
      </c>
      <c r="BV17" s="113">
        <f t="array" ref="BV17">(('Fórmula'!C17)/('Fórmula'!C17+'Fórmula'!E17+'Fórmula'!G17+'Fórmula'!I17+'Fórmula'!K17))*(INDEX(properties!A$1:CB$87,'Fórmula'!B17,21))+(('Fórmula'!E17)/('Fórmula'!C17+'Fórmula'!E17+'Fórmula'!G17+'Fórmula'!I17+'Fórmula'!K17))*(INDEX(properties!A$1:CB$87,'Fórmula'!D17,21))+(('Fórmula'!G17)/('Fórmula'!C17+'Fórmula'!E17+'Fórmula'!G17+'Fórmula'!I17+'Fórmula'!K17))*(INDEX(properties!A$1:CB$87,'Fórmula'!F17,21))+(('Fórmula'!I17)/('Fórmula'!C17+'Fórmula'!E17+'Fórmula'!G17+'Fórmula'!I17+'Fórmula'!K17))*(INDEX(properties!A$1:CB$87,'Fórmula'!H17,21))+(('Fórmula'!K17)/('Fórmula'!C17+'Fórmula'!E17+'Fórmula'!G17+'Fórmula'!I17+'Fórmula'!K17))*(INDEX(properties!A$1:CB$87,'Fórmula'!J17,21))</f>
        <v>4.769230769</v>
      </c>
      <c r="BW17" s="113">
        <f t="array" ref="BW17">'Fórmula'!C17*(INDEX(properties!A$1:CB$87,'Fórmula'!B17,21))+'Fórmula'!E17*(INDEX(properties!A$1:CB$87,'Fórmula'!D17,21))+'Fórmula'!G17*(INDEX(properties!A$1:CB$87,'Fórmula'!F17,21))+'Fórmula'!I17*(INDEX(properties!A$1:CB$87,'Fórmula'!H17,21))+'Fórmula'!K17*(INDEX(properties!A$1:CB$87,'Fórmula'!J17,21))</f>
        <v>62</v>
      </c>
      <c r="BX17" s="113">
        <f t="array" ref="BX17">VARP(IF(INDEX(properties!A$1:CB$87,'Fórmula'!B17,21)&lt;&gt;"",INDEX(properties!A$1:CB$87,'Fórmula'!B17,21)),IF(INDEX(properties!A$1:CB$87,'Fórmula'!D17,21)&lt;&gt;"",INDEX(properties!A$1:CB$87,'Fórmula'!D17,21)),IF(INDEX(properties!A$1:CB$87,'Fórmula'!F17,21)&lt;&gt;"",INDEX(properties!A$1:CB$87,'Fórmula'!F17,21)),IF(INDEX(properties!A$1:CB$87,'Fórmula'!H17,21)&lt;&gt;"",INDEX(properties!A$1:CB$87,'Fórmula'!H17,21)),IF(INDEX(properties!A$1:CB$87,'Fórmula'!J17,21)&lt;&gt;"",INDEX(properties!A$1:CB$87,'Fórmula'!J17,21)))</f>
        <v>4.4</v>
      </c>
      <c r="BY17" s="113">
        <f t="array" ref="BY17">MAX(INDEX(properties!A$1:CB$87,'Fórmula'!B17,21),INDEX(properties!A$1:CB$87,'Fórmula'!D17,21),INDEX(properties!A$1:CB$87,'Fórmula'!F17,21),INDEX(properties!A$1:CB$87,'Fórmula'!H17,21),INDEX(properties!A$1:CB$87,'Fórmula'!J17,21))</f>
        <v>6</v>
      </c>
      <c r="BZ17" s="113">
        <f t="array" ref="BZ17">MIN(IF(INDEX(properties!A$1:CB$87,'Fórmula'!B17,21)=0,10^6,INDEX(properties!A$1:CB$87,'Fórmula'!B17,21)),IF(INDEX(properties!A$1:CB$87,'Fórmula'!D17,21)=0,10^6,INDEX(properties!A$1:CB$87,'Fórmula'!D17,21)),IF(INDEX(properties!A$1:CB$87,'Fórmula'!F17,21)=0,10^6,INDEX(properties!A$1:CB$87,'Fórmula'!F17,21)),IF(INDEX(properties!A$1:CB$87,'Fórmula'!H17,21)=0,10^6,INDEX(properties!A$1:CB$87,'Fórmula'!H17,21)),IF(INDEX(properties!A$1:CB$87,'Fórmula'!J17,21)=0,10^6,INDEX(properties!A$1:CB$87,'Fórmula'!J17,21)))</f>
        <v>1</v>
      </c>
      <c r="CA17" s="113">
        <f t="shared" si="13"/>
        <v>5</v>
      </c>
      <c r="CB17" s="114">
        <f t="array" ref="CB17">(('Fórmula'!C17)/('Fórmula'!C17+'Fórmula'!E17+'Fórmula'!G17+'Fórmula'!I17+'Fórmula'!K17))*(INDEX(properties!A$1:CB$87,'Fórmula'!B17,23))+(('Fórmula'!E17)/('Fórmula'!C17+'Fórmula'!E17+'Fórmula'!G17+'Fórmula'!I17+'Fórmula'!K17))*(INDEX(properties!A$1:CB$87,'Fórmula'!D17,23))+(('Fórmula'!G17)/('Fórmula'!C17+'Fórmula'!E17+'Fórmula'!G17+'Fórmula'!I17+'Fórmula'!K17))*(INDEX(properties!A$1:CB$87,'Fórmula'!F17,23))+(('Fórmula'!I17)/('Fórmula'!C17+'Fórmula'!E17+'Fórmula'!G17+'Fórmula'!I17+'Fórmula'!K17))*(INDEX(properties!A$1:CB$87,'Fórmula'!H17,23))+(('Fórmula'!K17)/('Fórmula'!C17+'Fórmula'!E17+'Fórmula'!G17+'Fórmula'!I17+'Fórmula'!K17))*(INDEX(properties!A$1:CB$87,'Fórmula'!J17,23))</f>
        <v>0.9230769231</v>
      </c>
      <c r="CC17" s="114">
        <f t="array" ref="CC17">'Fórmula'!C17*(INDEX(properties!A$1:CB$87,'Fórmula'!B17,23))+'Fórmula'!E17*(INDEX(properties!A$1:CB$87,'Fórmula'!D17,23))+'Fórmula'!G17*(INDEX(properties!A$1:CB$87,'Fórmula'!F17,23))+'Fórmula'!I17*(INDEX(properties!A$1:CB$87,'Fórmula'!H17,23))+'Fórmula'!K17*(INDEX(properties!A$1:CB$87,'Fórmula'!J17,23))</f>
        <v>12</v>
      </c>
      <c r="CD17" s="114">
        <f t="array" ref="CD17">VARP(IF(INDEX(properties!A$1:CB$87,'Fórmula'!B17,23)&lt;&gt;"",INDEX(properties!A$1:CB$87,'Fórmula'!B17,23)),IF(INDEX(properties!A$1:CB$87,'Fórmula'!D17,23)&lt;&gt;"",INDEX(properties!A$1:CB$87,'Fórmula'!D17,23)),IF(INDEX(properties!A$1:CB$87,'Fórmula'!F17,23)&lt;&gt;"",INDEX(properties!A$1:CB$87,'Fórmula'!F17,23)),IF(INDEX(properties!A$1:CB$87,'Fórmula'!H17,23)&lt;&gt;"",INDEX(properties!A$1:CB$87,'Fórmula'!H17,23)),IF(INDEX(properties!A$1:CB$87,'Fórmula'!J17,23)&lt;&gt;"",INDEX(properties!A$1:CB$87,'Fórmula'!J17,23)))</f>
        <v>1.36</v>
      </c>
      <c r="CE17" s="114">
        <f t="array" ref="CE17">MAX(INDEX(properties!A$1:CB$87,'Fórmula'!B17,23),INDEX(properties!A$1:CB$87,'Fórmula'!D17,23),INDEX(properties!A$1:CB$87,'Fórmula'!F17,23),INDEX(properties!A$1:CB$87,'Fórmula'!H17,23),INDEX(properties!A$1:CB$87,'Fórmula'!J17,23))</f>
        <v>3</v>
      </c>
      <c r="CF17" s="114">
        <f t="array" ref="CF17">MIN(IF('Fórmula'!B17=87,10^6,INDEX(properties!A$1:CB$87,'Fórmula'!B17,23)),IF(('Fórmula'!D17)=87,10^6,INDEX(properties!A$1:CB$87,'Fórmula'!D17,23)),IF(('Fórmula'!F17)=87,10^6,INDEX(properties!A$1:CB$87,'Fórmula'!F17,23)),IF(('Fórmula'!H17)=87,10^6,INDEX(properties!A$1:CB$87,'Fórmula'!H17,23)),IF('Fórmula'!J17=87,10^6,INDEX(properties!A$1:CB$87,'Fórmula'!J17,23)))</f>
        <v>0</v>
      </c>
      <c r="CG17" s="114">
        <f t="shared" si="14"/>
        <v>3</v>
      </c>
      <c r="CH17" s="115">
        <f t="array" ref="CH17">(('Fórmula'!C17)/('Fórmula'!C17+'Fórmula'!E17+'Fórmula'!G17+'Fórmula'!I17+'Fórmula'!K17))*(INDEX(properties!A$1:CB$87,'Fórmula'!B17,26))+(('Fórmula'!E17)/('Fórmula'!C17+'Fórmula'!E17+'Fórmula'!G17+'Fórmula'!I17+'Fórmula'!K17))*(INDEX(properties!A$1:CB$87,'Fórmula'!D17,26))+(('Fórmula'!G17)/('Fórmula'!C17+'Fórmula'!E17+'Fórmula'!G17+'Fórmula'!I17+'Fórmula'!K17))*(INDEX(properties!A$1:CB$87,'Fórmula'!F17,26))+(('Fórmula'!I17)/('Fórmula'!C17+'Fórmula'!E17+'Fórmula'!G17+'Fórmula'!I17+'Fórmula'!K17))*(INDEX(properties!A$1:CB$87,'Fórmula'!H17,26))+(('Fórmula'!K17)/('Fórmula'!C17+'Fórmula'!E17+'Fórmula'!G17+'Fórmula'!I17+'Fórmula'!K17))*(INDEX(properties!A$1:CB$87,'Fórmula'!J17,26))</f>
        <v>11.34476923</v>
      </c>
      <c r="CI17" s="115">
        <f t="array" ref="CI17">'Fórmula'!C17*(INDEX(properties!A$1:CB$87,'Fórmula'!B17,26))+'Fórmula'!E17*(INDEX(properties!A$1:CB$87,'Fórmula'!D17,26))+'Fórmula'!G17*(INDEX(properties!A$1:CB$87,'Fórmula'!F17,26))+'Fórmula'!I17*(INDEX(properties!A$1:CB$87,'Fórmula'!H17,26))+'Fórmula'!K17*(INDEX(properties!A$1:CB$87,'Fórmula'!J17,26))</f>
        <v>147.482</v>
      </c>
      <c r="CJ17" s="115">
        <f t="array" ref="CJ17">VARP(IF(INDEX(properties!A$1:CB$87,'Fórmula'!B17,26)&lt;&gt;"",INDEX(properties!A$1:CB$87,'Fórmula'!B17,26)),IF(INDEX(properties!A$1:CB$87,'Fórmula'!D17,26)&lt;&gt;"",INDEX(properties!A$1:CB$87,'Fórmula'!D17,26)),IF(INDEX(properties!A$1:CB$87,'Fórmula'!F17,26)&lt;&gt;"",INDEX(properties!A$1:CB$87,'Fórmula'!F17,26)),IF(INDEX(properties!A$1:CB$87,'Fórmula'!H17,26)&lt;&gt;"",INDEX(properties!A$1:CB$87,'Fórmula'!H17,26)),IF(INDEX(properties!A$1:CB$87,'Fórmula'!J17,26)&lt;&gt;"",INDEX(properties!A$1:CB$87,'Fórmula'!J17,26)))</f>
        <v>11.31538877</v>
      </c>
      <c r="CK17" s="116">
        <f t="array" ref="CK17">MAX(INDEX(properties!A$1:CB$87,'Fórmula'!B17,26),INDEX(properties!A$1:CB$87,'Fórmula'!D17,26),INDEX(properties!A$1:CB$87,'Fórmula'!F17,26),INDEX(properties!A$1:CB$87,'Fórmula'!H17,26),INDEX(properties!A$1:CB$87,'Fórmula'!J17,26))</f>
        <v>13.6181</v>
      </c>
      <c r="CL17" s="116">
        <f t="array" ref="CL17">MIN(IF(INDEX(properties!A$1:CB$87,'Fórmula'!B17,26)=0,10^6,INDEX(properties!A$1:CB$87,'Fórmula'!B17,26)),IF(INDEX(properties!A$1:CB$87,'Fórmula'!D17,26)=0,10^6,INDEX(properties!A$1:CB$87,'Fórmula'!D17,26)),IF(INDEX(properties!A$1:CB$87,'Fórmula'!F17,26)=0,10^6,INDEX(properties!A$1:CB$87,'Fórmula'!F17,26)),IF(INDEX(properties!A$1:CB$87,'Fórmula'!H17,26)=0,10^6,INDEX(properties!A$1:CB$87,'Fórmula'!H17,26)),IF(INDEX(properties!A$1:CB$87,'Fórmula'!J17,26)=0,10^6,INDEX(properties!A$1:CB$87,'Fórmula'!J17,26)))</f>
        <v>4.3407</v>
      </c>
      <c r="CM17" s="115">
        <f t="shared" si="15"/>
        <v>9.2774</v>
      </c>
      <c r="CN17" s="117">
        <f t="array" ref="CN17">(('Fórmula'!C17)/('Fórmula'!C17+'Fórmula'!E17+'Fórmula'!G17+'Fórmula'!I17+'Fórmula'!K17))*(INDEX(properties!A$1:CB$87,'Fórmula'!B17,30))+(('Fórmula'!E17)/('Fórmula'!C17+'Fórmula'!E17+'Fórmula'!G17+'Fórmula'!I17+'Fórmula'!K17))*(INDEX(properties!A$1:CB$87,'Fórmula'!D17,30))+(('Fórmula'!G17)/('Fórmula'!C17+'Fórmula'!E17+'Fórmula'!G17+'Fórmula'!I17+'Fórmula'!K17))*(INDEX(properties!A$1:CB$87,'Fórmula'!F17,30))+(('Fórmula'!I17)/('Fórmula'!C17+'Fórmula'!E17+'Fórmula'!G17+'Fórmula'!I17+'Fórmula'!K17))*(INDEX(properties!A$1:CB$87,'Fórmula'!H17,30))+(('Fórmula'!K17)/('Fórmula'!C17+'Fórmula'!E17+'Fórmula'!G17+'Fórmula'!I17+'Fórmula'!K17))*(INDEX(properties!A$1:CB$87,'Fórmula'!J17,30))</f>
        <v>2.702307692</v>
      </c>
      <c r="CO17" s="117">
        <f t="array" ref="CO17">'Fórmula'!C17*(INDEX(properties!A$1:CB$87,'Fórmula'!B17,30))+'Fórmula'!E17*(INDEX(properties!A$1:CB$87,'Fórmula'!D17,30))+'Fórmula'!G17*(INDEX(properties!A$1:CB$87,'Fórmula'!F17,30))+'Fórmula'!I17*(INDEX(properties!A$1:CB$87,'Fórmula'!H17,30))+'Fórmula'!K17*(INDEX(properties!A$1:CB$87,'Fórmula'!J17,30))</f>
        <v>35.13</v>
      </c>
      <c r="CP17" s="117">
        <f t="array" ref="CP17">VARP(IF(INDEX(properties!A$1:CB$87,'Fórmula'!B17,30)&lt;&gt;"",INDEX(properties!A$1:CB$87,'Fórmula'!B17,30)),IF(INDEX(properties!A$1:CB$87,'Fórmula'!D17,30)&lt;&gt;"",INDEX(properties!A$1:CB$87,'Fórmula'!D17,30)),IF(INDEX(properties!A$1:CB$87,'Fórmula'!F17,30)&lt;&gt;"",INDEX(properties!A$1:CB$87,'Fórmula'!F17,30)),IF(INDEX(properties!A$1:CB$87,'Fórmula'!H17,30)&lt;&gt;"",INDEX(properties!A$1:CB$87,'Fórmula'!H17,30)),IF(INDEX(properties!A$1:CB$87,'Fórmula'!J17,30)&lt;&gt;"",INDEX(properties!A$1:CB$87,'Fórmula'!J17,30)))</f>
        <v>0.905656</v>
      </c>
      <c r="CQ17" s="117">
        <f t="array" ref="CQ17">MAX(INDEX(properties!A$1:CB$87,'Fórmula'!B17,30),INDEX(properties!A$1:CB$87,'Fórmula'!D17,30),INDEX(properties!A$1:CB$87,'Fórmula'!F17,30),INDEX(properties!A$1:CB$87,'Fórmula'!H17,30),INDEX(properties!A$1:CB$87,'Fórmula'!J17,30))</f>
        <v>3.44</v>
      </c>
      <c r="CR17" s="117">
        <f t="array" ref="CR17">MIN(IF(INDEX(properties!A$1:CB$87,'Fórmula'!B17,30)=0,10^6,INDEX(properties!A$1:CB$87,'Fórmula'!B17,30)),IF(INDEX(properties!A$1:CB$87,'Fórmula'!D17,30)=0,10^6,INDEX(properties!A$1:CB$87,'Fórmula'!D17,30)),IF(INDEX(properties!A$1:CB$87,'Fórmula'!F17,30)=0,10^6,INDEX(properties!A$1:CB$87,'Fórmula'!F17,30)),IF(INDEX(properties!A$1:CB$87,'Fórmula'!H17,30)=0,10^6,INDEX(properties!A$1:CB$87,'Fórmula'!H17,30)),IF(INDEX(properties!A$1:CB$87,'Fórmula'!J17,30)=0,10^6,INDEX(properties!A$1:CB$87,'Fórmula'!J17,30)))</f>
        <v>0.82</v>
      </c>
      <c r="CS17" s="117">
        <f t="shared" si="16"/>
        <v>2.62</v>
      </c>
      <c r="CT17" s="118">
        <f t="array" ref="CT17">(('Fórmula'!C17)/('Fórmula'!C17+'Fórmula'!E17+'Fórmula'!G17+'Fórmula'!I17+'Fórmula'!K17))*(INDEX(properties!A$1:CB$87,'Fórmula'!B17,31))+(('Fórmula'!E17)/('Fórmula'!C17+'Fórmula'!E17+'Fórmula'!G17+'Fórmula'!I17+'Fórmula'!K17))*(INDEX(properties!A$1:CB$87,'Fórmula'!D17,31))+(('Fórmula'!G17)/('Fórmula'!C17+'Fórmula'!E17+'Fórmula'!G17+'Fórmula'!I17+'Fórmula'!K17))*(INDEX(properties!A$1:CB$87,'Fórmula'!F17,31))+(('Fórmula'!I17)/('Fórmula'!C17+'Fórmula'!E17+'Fórmula'!G17+'Fórmula'!I17+'Fórmula'!K17))*(INDEX(properties!A$1:CB$87,'Fórmula'!H17,31))+(('Fórmula'!K17)/('Fórmula'!C17+'Fórmula'!E17+'Fórmula'!G17+'Fórmula'!I17+'Fórmula'!K17))*(INDEX(properties!A$1:CB$87,'Fórmula'!J17,31))</f>
        <v>2.666153846</v>
      </c>
      <c r="CU17" s="118">
        <f t="array" ref="CU17">'Fórmula'!C17*(INDEX(properties!A$1:CB$87,'Fórmula'!B17,31))+'Fórmula'!E17*(INDEX(properties!A$1:CB$87,'Fórmula'!D17,31))+'Fórmula'!G17*(INDEX(properties!A$1:CB$87,'Fórmula'!F17,31))+'Fórmula'!I17*(INDEX(properties!A$1:CB$87,'Fórmula'!H17,31))+'Fórmula'!K17*(INDEX(properties!A$1:CB$87,'Fórmula'!J17,31))</f>
        <v>34.66</v>
      </c>
      <c r="CV17" s="118">
        <f t="array" ref="CV17">VARP(IF(INDEX(properties!A$1:CB$87,'Fórmula'!B17,31)&lt;&gt;"",INDEX(properties!A$1:CB$87,'Fórmula'!B17,31)),IF(INDEX(properties!A$1:CB$87,'Fórmula'!D17,31)&lt;&gt;"",INDEX(properties!A$1:CB$87,'Fórmula'!D17,31)),IF(INDEX(properties!A$1:CB$87,'Fórmula'!F17,31)&lt;&gt;"",INDEX(properties!A$1:CB$87,'Fórmula'!F17,31)),IF(INDEX(properties!A$1:CB$87,'Fórmula'!H17,31)&lt;&gt;"",INDEX(properties!A$1:CB$87,'Fórmula'!H17,31)),IF(INDEX(properties!A$1:CB$87,'Fórmula'!J17,31)&lt;&gt;"",INDEX(properties!A$1:CB$87,'Fórmula'!J17,31)))</f>
        <v>0.80428</v>
      </c>
      <c r="CW17" s="118">
        <f t="array" ref="CW17">MAX(INDEX(properties!A$1:CB$87,'Fórmula'!B17,31),INDEX(properties!A$1:CB$87,'Fórmula'!D17,31),INDEX(properties!A$1:CB$87,'Fórmula'!F17,31),INDEX(properties!A$1:CB$87,'Fórmula'!H17,31),INDEX(properties!A$1:CB$87,'Fórmula'!J17,31))</f>
        <v>3.32</v>
      </c>
      <c r="CX17" s="118">
        <f t="array" ref="CX17">MIN(IF(INDEX(properties!A$1:CB$87,'Fórmula'!B17,31)=0,10^6,INDEX(properties!A$1:CB$87,'Fórmula'!B17,31)),IF(INDEX(properties!A$1:CB$87,'Fórmula'!D17,31)=0,10^6,INDEX(properties!A$1:CB$87,'Fórmula'!D17,31)),IF(INDEX(properties!A$1:CB$87,'Fórmula'!F17,31)=0,10^6,INDEX(properties!A$1:CB$87,'Fórmula'!F17,31)),IF(INDEX(properties!A$1:CB$87,'Fórmula'!H17,31)=0,10^6,INDEX(properties!A$1:CB$87,'Fórmula'!H17,31)),IF(INDEX(properties!A$1:CB$87,'Fórmula'!J17,31)=0,10^6,INDEX(properties!A$1:CB$87,'Fórmula'!J17,31)))</f>
        <v>0.8</v>
      </c>
      <c r="CY17" s="118">
        <f t="shared" si="17"/>
        <v>2.52</v>
      </c>
      <c r="CZ17" s="119">
        <f t="array" ref="CZ17">(('Fórmula'!C17)/('Fórmula'!C17+'Fórmula'!E17+'Fórmula'!G17+'Fórmula'!I17+'Fórmula'!K17))*(INDEX(properties!A$1:CB$87,'Fórmula'!B17,32))+(('Fórmula'!E17)/('Fórmula'!C17+'Fórmula'!E17+'Fórmula'!G17+'Fórmula'!I17+'Fórmula'!K17))*(INDEX(properties!A$1:CB$87,'Fórmula'!D17,32))+(('Fórmula'!G17)/('Fórmula'!C17+'Fórmula'!E17+'Fórmula'!G17+'Fórmula'!I17+'Fórmula'!K17))*(INDEX(properties!A$1:CB$87,'Fórmula'!F17,32))+(('Fórmula'!I17)/('Fórmula'!C17+'Fórmula'!E17+'Fórmula'!G17+'Fórmula'!I17+'Fórmula'!K17))*(INDEX(properties!A$1:CB$87,'Fórmula'!H17,32))+(('Fórmula'!K17)/('Fórmula'!C17+'Fórmula'!E17+'Fórmula'!G17+'Fórmula'!I17+'Fórmula'!K17))*(INDEX(properties!A$1:CB$87,'Fórmula'!J17,32))</f>
        <v>6.217692308</v>
      </c>
      <c r="DA17" s="119">
        <f t="array" ref="DA17">'Fórmula'!C17*(INDEX(properties!A$1:CB$87,'Fórmula'!B17,32))+'Fórmula'!E17*(INDEX(properties!A$1:CB$87,'Fórmula'!D17,32))+'Fórmula'!G17*(INDEX(properties!A$1:CB$87,'Fórmula'!F17,32))+'Fórmula'!I17*(INDEX(properties!A$1:CB$87,'Fórmula'!H17,32))+'Fórmula'!K17*(INDEX(properties!A$1:CB$87,'Fórmula'!J17,32))</f>
        <v>80.83</v>
      </c>
      <c r="DB17" s="119">
        <f t="array" ref="DB17">VARP(IF(INDEX(properties!A$1:CB$87,'Fórmula'!B17,32)&lt;&gt;"",INDEX(properties!A$1:CB$87,'Fórmula'!B17,32)),IF(INDEX(properties!A$1:CB$87,'Fórmula'!D17,32)&lt;&gt;"",INDEX(properties!A$1:CB$87,'Fórmula'!D17,32)),IF(INDEX(properties!A$1:CB$87,'Fórmula'!F17,32)&lt;&gt;"",INDEX(properties!A$1:CB$87,'Fórmula'!F17,32)),IF(INDEX(properties!A$1:CB$87,'Fórmula'!H17,32)&lt;&gt;"",INDEX(properties!A$1:CB$87,'Fórmula'!H17,32)),IF(INDEX(properties!A$1:CB$87,'Fórmula'!J17,32)&lt;&gt;"",INDEX(properties!A$1:CB$87,'Fórmula'!J17,32)))</f>
        <v>3.468784</v>
      </c>
      <c r="DC17" s="119">
        <f t="array" ref="DC17">MAX(INDEX(properties!A$1:CB$87,'Fórmula'!B17,32),INDEX(properties!A$1:CB$87,'Fórmula'!D17,32),INDEX(properties!A$1:CB$87,'Fórmula'!F17,32),INDEX(properties!A$1:CB$87,'Fórmula'!H17,32),INDEX(properties!A$1:CB$87,'Fórmula'!J17,32))</f>
        <v>7.54</v>
      </c>
      <c r="DD17" s="119">
        <f t="array" ref="DD17">MIN(IF(INDEX(properties!A$1:CB$87,'Fórmula'!B17,32)=0,10^6,INDEX(properties!A$1:CB$87,'Fórmula'!B17,32)),IF(INDEX(properties!A$1:CB$87,'Fórmula'!D17,32)=0,10^6,INDEX(properties!A$1:CB$87,'Fórmula'!D17,32)),IF(INDEX(properties!A$1:CB$87,'Fórmula'!F17,32)=0,10^6,INDEX(properties!A$1:CB$87,'Fórmula'!F17,32)),IF(INDEX(properties!A$1:CB$87,'Fórmula'!H17,32)=0,10^6,INDEX(properties!A$1:CB$87,'Fórmula'!H17,32)),IF(INDEX(properties!A$1:CB$87,'Fórmula'!J17,32)=0,10^6,INDEX(properties!A$1:CB$87,'Fórmula'!J17,32)))</f>
        <v>2.42</v>
      </c>
      <c r="DE17" s="119">
        <f t="shared" si="18"/>
        <v>5.12</v>
      </c>
      <c r="DF17" s="104">
        <f t="array" ref="DF17">(('Fórmula'!C17)/('Fórmula'!C17+'Fórmula'!E17+'Fórmula'!G17+'Fórmula'!I17+'Fórmula'!K17))*(INDEX(properties!A$1:CB$87,'Fórmula'!B17,34))+(('Fórmula'!E17)/('Fórmula'!C17+'Fórmula'!E17+'Fórmula'!G17+'Fórmula'!I17+'Fórmula'!K17))*(INDEX(properties!A$1:CB$87,'Fórmula'!D17,34))+(('Fórmula'!G17)/('Fórmula'!C17+'Fórmula'!E17+'Fórmula'!G17+'Fórmula'!I17+'Fórmula'!K17))*(INDEX(properties!A$1:CB$87,'Fórmula'!F17,34))+(('Fórmula'!I17)/('Fórmula'!C17+'Fórmula'!E17+'Fórmula'!G17+'Fórmula'!I17+'Fórmula'!K17))*(INDEX(properties!A$1:CB$87,'Fórmula'!H17,34))+(('Fórmula'!K17)/('Fórmula'!C17+'Fórmula'!E17+'Fórmula'!G17+'Fórmula'!I17+'Fórmula'!K17))*(INDEX(properties!A$1:CB$87,'Fórmula'!J17,34))</f>
        <v>2.807923077</v>
      </c>
      <c r="DG17" s="104">
        <f t="array" ref="DG17">'Fórmula'!C17*(INDEX(properties!A$1:CB$87,'Fórmula'!B17,34))+'Fórmula'!E17*(INDEX(properties!A$1:CB$87,'Fórmula'!D17,34))+'Fórmula'!G17*(INDEX(properties!A$1:CB$87,'Fórmula'!F17,34))+'Fórmula'!I17*(INDEX(properties!A$1:CB$87,'Fórmula'!H17,34))+'Fórmula'!K17*(INDEX(properties!A$1:CB$87,'Fórmula'!J17,34))</f>
        <v>36.503</v>
      </c>
      <c r="DH17" s="104">
        <f t="array" ref="DH17">VARP(IF(INDEX(properties!A$1:CB$87,'Fórmula'!B17,34)&lt;&gt;"",INDEX(properties!A$1:CB$87,'Fórmula'!B17,34)),IF(INDEX(properties!A$1:CB$87,'Fórmula'!D17,34)&lt;&gt;"",INDEX(properties!A$1:CB$87,'Fórmula'!D17,34)),IF(INDEX(properties!A$1:CB$87,'Fórmula'!F17,34)&lt;&gt;"",INDEX(properties!A$1:CB$87,'Fórmula'!F17,34)),IF(INDEX(properties!A$1:CB$87,'Fórmula'!H17,34)&lt;&gt;"",INDEX(properties!A$1:CB$87,'Fórmula'!H17,34)),IF(INDEX(properties!A$1:CB$87,'Fórmula'!J17,34)&lt;&gt;"",INDEX(properties!A$1:CB$87,'Fórmula'!J17,34)))</f>
        <v>1.0757468</v>
      </c>
      <c r="DI17" s="104">
        <f t="array" ref="DI17">MAX(INDEX(properties!A$1:CB$87,'Fórmula'!B17,34),INDEX(properties!A$1:CB$87,'Fórmula'!D17,34),INDEX(properties!A$1:CB$87,'Fórmula'!F17,34),INDEX(properties!A$1:CB$87,'Fórmula'!H17,34),INDEX(properties!A$1:CB$87,'Fórmula'!J17,34))</f>
        <v>3.61</v>
      </c>
      <c r="DJ17" s="104">
        <f t="array" ref="DJ17">MIN(IF(INDEX(properties!A$1:CB$87,'Fórmula'!B17,34)=0,10^6,INDEX(properties!A$1:CB$87,'Fórmula'!B17,34)),IF(INDEX(properties!A$1:CB$87,'Fórmula'!D17,34)=0,10^6,INDEX(properties!A$1:CB$87,'Fórmula'!D17,34)),IF(INDEX(properties!A$1:CB$87,'Fórmula'!F17,34)=0,10^6,INDEX(properties!A$1:CB$87,'Fórmula'!F17,34)),IF(INDEX(properties!A$1:CB$87,'Fórmula'!H17,34)=0,10^6,INDEX(properties!A$1:CB$87,'Fórmula'!H17,34)),IF(INDEX(properties!A$1:CB$87,'Fórmula'!J17,34)=0,10^6,INDEX(properties!A$1:CB$87,'Fórmula'!J17,34)))</f>
        <v>0.734</v>
      </c>
      <c r="DK17" s="104">
        <f t="shared" si="19"/>
        <v>2.876</v>
      </c>
      <c r="DL17" s="105">
        <f t="array" ref="DL17">(('Fórmula'!C17)/('Fórmula'!C17+'Fórmula'!E17+'Fórmula'!G17+'Fórmula'!I17+'Fórmula'!K17))*(INDEX(properties!A$1:CB$87,'Fórmula'!B17,37))+(('Fórmula'!E17)/('Fórmula'!C17+'Fórmula'!E17+'Fórmula'!G17+'Fórmula'!I17+'Fórmula'!K17))*(INDEX(properties!A$1:CB$87,'Fórmula'!D17,37))+(('Fórmula'!G17)/('Fórmula'!C17+'Fórmula'!E17+'Fórmula'!G17+'Fórmula'!I17+'Fórmula'!K17))*(INDEX(properties!A$1:CB$87,'Fórmula'!F17,37))+(('Fórmula'!I17)/('Fórmula'!C17+'Fórmula'!E17+'Fórmula'!G17+'Fórmula'!I17+'Fórmula'!K17))*(INDEX(properties!A$1:CB$87,'Fórmula'!H17,37))+(('Fórmula'!K17)/('Fórmula'!C17+'Fórmula'!E17+'Fórmula'!G17+'Fórmula'!I17+'Fórmula'!K17))*(INDEX(properties!A$1:CB$87,'Fórmula'!J17,37))</f>
        <v>2.692307692</v>
      </c>
      <c r="DM17" s="105">
        <f t="array" ref="DM17">'Fórmula'!C17*(INDEX(properties!A$1:CB$87,'Fórmula'!B17,37))+'Fórmula'!E17*(INDEX(properties!A$1:CB$87,'Fórmula'!D17,37))+'Fórmula'!G17*(INDEX(properties!A$1:CB$87,'Fórmula'!F17,37))+'Fórmula'!I17*(INDEX(properties!A$1:CB$87,'Fórmula'!H17,37))+'Fórmula'!K17*(INDEX(properties!A$1:CB$87,'Fórmula'!J17,37))</f>
        <v>35</v>
      </c>
      <c r="DN17" s="105">
        <f t="array" ref="DN17">VARP(IF(INDEX(properties!A$1:CB$87,'Fórmula'!B17,37)&lt;&gt;"",INDEX(properties!A$1:CB$87,'Fórmula'!B17,37)),IF(INDEX(properties!A$1:CB$87,'Fórmula'!D17,37)&lt;&gt;"",INDEX(properties!A$1:CB$87,'Fórmula'!D17,37)),IF(INDEX(properties!A$1:CB$87,'Fórmula'!F17,37)&lt;&gt;"",INDEX(properties!A$1:CB$87,'Fórmula'!F17,37)),IF(INDEX(properties!A$1:CB$87,'Fórmula'!H17,37)&lt;&gt;"",INDEX(properties!A$1:CB$87,'Fórmula'!H17,37)),IF(INDEX(properties!A$1:CB$87,'Fórmula'!J17,37)&lt;&gt;"",INDEX(properties!A$1:CB$87,'Fórmula'!J17,37)))</f>
        <v>0.904</v>
      </c>
      <c r="DO17" s="105">
        <f t="array" ref="DO17">MAX(INDEX(properties!A$1:CB$87,'Fórmula'!B17,37),INDEX(properties!A$1:CB$87,'Fórmula'!D17,37),INDEX(properties!A$1:CB$87,'Fórmula'!F17,37),INDEX(properties!A$1:CB$87,'Fórmula'!H17,37),INDEX(properties!A$1:CB$87,'Fórmula'!J17,37))</f>
        <v>3.45</v>
      </c>
      <c r="DP17" s="105">
        <f t="array" ref="DP17">MIN(IF(INDEX(properties!A$1:CB$87,'Fórmula'!B17,37)=0,10^6,INDEX(properties!A$1:CB$87,'Fórmula'!B17,37)),IF(INDEX(properties!A$1:CB$87,'Fórmula'!D17,37)=0,10^6,INDEX(properties!A$1:CB$87,'Fórmula'!D17,37)),IF(INDEX(properties!A$1:CB$87,'Fórmula'!F17,37)=0,10^6,INDEX(properties!A$1:CB$87,'Fórmula'!F17,37)),IF(INDEX(properties!A$1:CB$87,'Fórmula'!H17,37)=0,10^6,INDEX(properties!A$1:CB$87,'Fórmula'!H17,37)),IF(INDEX(properties!A$1:CB$87,'Fórmula'!J17,37)=0,10^6,INDEX(properties!A$1:CB$87,'Fórmula'!J17,37)))</f>
        <v>0.8</v>
      </c>
      <c r="DQ17" s="105">
        <f t="shared" si="20"/>
        <v>2.65</v>
      </c>
      <c r="DR17" s="109">
        <f t="array" ref="DR17">(('Fórmula'!C17)/('Fórmula'!C17+'Fórmula'!E17+'Fórmula'!G17+'Fórmula'!I17+'Fórmula'!K17))*(INDEX(properties!A$1:CB$87,'Fórmula'!B17,39))+(('Fórmula'!E17)/('Fórmula'!C17+'Fórmula'!E17+'Fórmula'!G17+'Fórmula'!I17+'Fórmula'!K17))*(INDEX(properties!A$1:CB$87,'Fórmula'!D17,39))+(('Fórmula'!G17)/('Fórmula'!C17+'Fórmula'!E17+'Fórmula'!G17+'Fórmula'!I17+'Fórmula'!K17))*(INDEX(properties!A$1:CB$87,'Fórmula'!F17,39))+(('Fórmula'!I17)/('Fórmula'!C17+'Fórmula'!E17+'Fórmula'!G17+'Fórmula'!I17+'Fórmula'!K17))*(INDEX(properties!A$1:CB$87,'Fórmula'!H17,39))+(('Fórmula'!K17)/('Fórmula'!C17+'Fórmula'!E17+'Fórmula'!G17+'Fórmula'!I17+'Fórmula'!K17))*(INDEX(properties!A$1:CB$87,'Fórmula'!J17,39))</f>
        <v>0.8946153846</v>
      </c>
      <c r="DS17" s="109">
        <f t="array" ref="DS17">'Fórmula'!C17*(INDEX(properties!A$1:CB$87,'Fórmula'!B17,39))+'Fórmula'!E17*(INDEX(properties!A$1:CB$87,'Fórmula'!D17,39))+'Fórmula'!G17*(INDEX(properties!A$1:CB$87,'Fórmula'!F17,39))+'Fórmula'!I17*(INDEX(properties!A$1:CB$87,'Fórmula'!H17,39))+'Fórmula'!K17*(INDEX(properties!A$1:CB$87,'Fórmula'!J17,39))</f>
        <v>11.63</v>
      </c>
      <c r="DT17" s="109">
        <f t="array" ref="DT17">VARP(IF(INDEX(properties!A$1:CB$87,'Fórmula'!B17,39)&lt;&gt;"",INDEX(properties!A$1:CB$87,'Fórmula'!B17,39)),IF(INDEX(properties!A$1:CB$87,'Fórmula'!D17,39)&lt;&gt;"",INDEX(properties!A$1:CB$87,'Fórmula'!D17,39)),IF(INDEX(properties!A$1:CB$87,'Fórmula'!F17,39)&lt;&gt;"",INDEX(properties!A$1:CB$87,'Fórmula'!F17,39)),IF(INDEX(properties!A$1:CB$87,'Fórmula'!H17,39)&lt;&gt;"",INDEX(properties!A$1:CB$87,'Fórmula'!H17,39)),IF(INDEX(properties!A$1:CB$87,'Fórmula'!J17,39)&lt;&gt;"",INDEX(properties!A$1:CB$87,'Fórmula'!J17,39)))</f>
        <v>0.474376</v>
      </c>
      <c r="DU17" s="120">
        <f t="array" ref="DU17">MAX(INDEX(properties!A$1:CB$87,'Fórmula'!B17,39),INDEX(properties!A$1:CB$87,'Fórmula'!D17,39),INDEX(properties!A$1:CB$87,'Fórmula'!F17,39),INDEX(properties!A$1:CB$87,'Fórmula'!H17,39),INDEX(properties!A$1:CB$87,'Fórmula'!J17,39))</f>
        <v>2.43</v>
      </c>
      <c r="DV17" s="120">
        <f t="array" ref="DV17">MIN(IF(INDEX(properties!A$1:CB$87,'Fórmula'!B17,39)=0,10^6,INDEX(properties!A$1:CB$87,'Fórmula'!B17,39)),IF(INDEX(properties!A$1:CB$87,'Fórmula'!D17,39)=0,10^6,INDEX(properties!A$1:CB$87,'Fórmula'!D17,39)),IF(INDEX(properties!A$1:CB$87,'Fórmula'!F17,39)=0,10^6,INDEX(properties!A$1:CB$87,'Fórmula'!F17,39)),IF(INDEX(properties!A$1:CB$87,'Fórmula'!H17,39)=0,10^6,INDEX(properties!A$1:CB$87,'Fórmula'!H17,39)),IF(INDEX(properties!A$1:CB$87,'Fórmula'!J17,39)=0,10^6,INDEX(properties!A$1:CB$87,'Fórmula'!J17,39)))</f>
        <v>0.48</v>
      </c>
      <c r="DW17" s="109">
        <f t="shared" si="21"/>
        <v>1.95</v>
      </c>
      <c r="DX17" s="110">
        <f t="array" ref="DX17">(('Fórmula'!C17)/('Fórmula'!C17+'Fórmula'!E17+'Fórmula'!G17+'Fórmula'!I17+'Fórmula'!K17))*(INDEX(properties!A$1:CB$87,'Fórmula'!B17,40))+(('Fórmula'!E17)/('Fórmula'!C17+'Fórmula'!E17+'Fórmula'!G17+'Fórmula'!I17+'Fórmula'!K17))*(INDEX(properties!A$1:CB$87,'Fórmula'!D17,40))+(('Fórmula'!G17)/('Fórmula'!C17+'Fórmula'!E17+'Fórmula'!G17+'Fórmula'!I17+'Fórmula'!K17))*(INDEX(properties!A$1:CB$87,'Fórmula'!F17,40))+(('Fórmula'!I17)/('Fórmula'!C17+'Fórmula'!E17+'Fórmula'!G17+'Fórmula'!I17+'Fórmula'!K17))*(INDEX(properties!A$1:CB$87,'Fórmula'!H17,40))+(('Fórmula'!K17)/('Fórmula'!C17+'Fórmula'!E17+'Fórmula'!G17+'Fórmula'!I17+'Fórmula'!K17))*(INDEX(properties!A$1:CB$87,'Fórmula'!J17,40))</f>
        <v>0.9930769231</v>
      </c>
      <c r="DY17" s="110">
        <f t="array" ref="DY17">'Fórmula'!C17*(INDEX(properties!A$1:CB$87,'Fórmula'!B17,40))+'Fórmula'!E17*(INDEX(properties!A$1:CB$87,'Fórmula'!D17,40))+'Fórmula'!G17*(INDEX(properties!A$1:CB$87,'Fórmula'!F17,40))+'Fórmula'!I17*(INDEX(properties!A$1:CB$87,'Fórmula'!H17,40))+'Fórmula'!K17*(INDEX(properties!A$1:CB$87,'Fórmula'!J17,40))</f>
        <v>12.91</v>
      </c>
      <c r="DZ17" s="110">
        <f t="array" ref="DZ17">VARP(IF(INDEX(properties!A$1:CB$87,'Fórmula'!B17,40)&lt;&gt;"",INDEX(properties!A$1:CB$87,'Fórmula'!B17,40)),IF(INDEX(properties!A$1:CB$87,'Fórmula'!D17,40)&lt;&gt;"",INDEX(properties!A$1:CB$87,'Fórmula'!D17,40)),IF(INDEX(properties!A$1:CB$87,'Fórmula'!F17,40)&lt;&gt;"",INDEX(properties!A$1:CB$87,'Fórmula'!F17,40)),IF(INDEX(properties!A$1:CB$87,'Fórmula'!H17,40)&lt;&gt;"",INDEX(properties!A$1:CB$87,'Fórmula'!H17,40)),IF(INDEX(properties!A$1:CB$87,'Fórmula'!J17,40)&lt;&gt;"",INDEX(properties!A$1:CB$87,'Fórmula'!J17,40)))</f>
        <v>0.191736</v>
      </c>
      <c r="EA17" s="121">
        <f t="array" ref="EA17">MAX(INDEX(properties!A$1:CB$87,'Fórmula'!B17,40),INDEX(properties!A$1:CB$87,'Fórmula'!D17,40),INDEX(properties!A$1:CB$87,'Fórmula'!F17,40),INDEX(properties!A$1:CB$87,'Fórmula'!H17,40),INDEX(properties!A$1:CB$87,'Fórmula'!J17,40))</f>
        <v>1.96</v>
      </c>
      <c r="EB17" s="121">
        <f t="array" ref="EB17">MIN(IF(INDEX(properties!A$1:CB$87,'Fórmula'!B17,40)=0,10^6,INDEX(properties!A$1:CB$87,'Fórmula'!B17,40)),IF(INDEX(properties!A$1:CB$87,'Fórmula'!D17,40)=0,10^6,INDEX(properties!A$1:CB$87,'Fórmula'!D17,40)),IF(INDEX(properties!A$1:CB$87,'Fórmula'!F17,40)=0,10^6,INDEX(properties!A$1:CB$87,'Fórmula'!F17,40)),IF(INDEX(properties!A$1:CB$87,'Fórmula'!H17,40)=0,10^6,INDEX(properties!A$1:CB$87,'Fórmula'!H17,40)),IF(INDEX(properties!A$1:CB$87,'Fórmula'!J17,40)=0,10^6,INDEX(properties!A$1:CB$87,'Fórmula'!J17,40)))</f>
        <v>0.73</v>
      </c>
      <c r="EC17" s="110">
        <f t="shared" si="22"/>
        <v>1.23</v>
      </c>
      <c r="ED17" s="111">
        <f t="array" ref="ED17">(('Fórmula'!C17)/('Fórmula'!C17+'Fórmula'!E17+'Fórmula'!G17+'Fórmula'!I17+'Fórmula'!K17))*(INDEX(properties!A$1:CB$87,'Fórmula'!B17,41))+(('Fórmula'!E17)/('Fórmula'!C17+'Fórmula'!E17+'Fórmula'!G17+'Fórmula'!I17+'Fórmula'!K17))*(INDEX(properties!A$1:CB$87,'Fórmula'!D17,41))+(('Fórmula'!G17)/('Fórmula'!C17+'Fórmula'!E17+'Fórmula'!G17+'Fórmula'!I17+'Fórmula'!K17))*(INDEX(properties!A$1:CB$87,'Fórmula'!F17,41))+(('Fórmula'!I17)/('Fórmula'!C17+'Fórmula'!E17+'Fórmula'!G17+'Fórmula'!I17+'Fórmula'!K17))*(INDEX(properties!A$1:CB$87,'Fórmula'!H17,41))+(('Fórmula'!K17)/('Fórmula'!C17+'Fórmula'!E17+'Fórmula'!G17+'Fórmula'!I17+'Fórmula'!K17))*(INDEX(properties!A$1:CB$87,'Fórmula'!J17,41))</f>
        <v>1.137692308</v>
      </c>
      <c r="EE17" s="111">
        <f t="array" ref="EE17">'Fórmula'!C17*(INDEX(properties!A$1:CB$87,'Fórmula'!B17,41))+'Fórmula'!E17*(INDEX(properties!A$1:CB$87,'Fórmula'!D17,41))+'Fórmula'!G17*(INDEX(properties!A$1:CB$87,'Fórmula'!F17,41))+'Fórmula'!I17*(INDEX(properties!A$1:CB$87,'Fórmula'!H17,41))+'Fórmula'!K17*(INDEX(properties!A$1:CB$87,'Fórmula'!J17,41))</f>
        <v>14.79</v>
      </c>
      <c r="EF17" s="111">
        <f t="array" ref="EF17">VARP(IF(INDEX(properties!A$1:CB$87,'Fórmula'!B17,41)&lt;&gt;"",INDEX(properties!A$1:CB$87,'Fórmula'!B17,41)),IF(INDEX(properties!A$1:CB$87,'Fórmula'!D17,41)&lt;&gt;"",INDEX(properties!A$1:CB$87,'Fórmula'!D17,41)),IF(INDEX(properties!A$1:CB$87,'Fórmula'!F17,41)&lt;&gt;"",INDEX(properties!A$1:CB$87,'Fórmula'!F17,41)),IF(INDEX(properties!A$1:CB$87,'Fórmula'!H17,41)&lt;&gt;"",INDEX(properties!A$1:CB$87,'Fórmula'!H17,41)),IF(INDEX(properties!A$1:CB$87,'Fórmula'!J17,41)&lt;&gt;"",INDEX(properties!A$1:CB$87,'Fórmula'!J17,41)))</f>
        <v>0.106496</v>
      </c>
      <c r="EG17" s="122">
        <f t="array" ref="EG17">MAX(INDEX(properties!A$1:CB$87,'Fórmula'!B17,41),INDEX(properties!A$1:CB$87,'Fórmula'!D17,41),INDEX(properties!A$1:CB$87,'Fórmula'!F17,41),INDEX(properties!A$1:CB$87,'Fórmula'!H17,41),INDEX(properties!A$1:CB$87,'Fórmula'!J17,41))</f>
        <v>1.52</v>
      </c>
      <c r="EH17" s="122">
        <f t="array" ref="EH17">MIN(IF(INDEX(properties!A$1:CB$87,'Fórmula'!B17,41)=0,10^6,INDEX(properties!A$1:CB$87,'Fórmula'!B17,41)),IF(INDEX(properties!A$1:CB$87,'Fórmula'!D17,41)=0,10^6,INDEX(properties!A$1:CB$87,'Fórmula'!D17,41)),IF(INDEX(properties!A$1:CB$87,'Fórmula'!F17,41)=0,10^6,INDEX(properties!A$1:CB$87,'Fórmula'!F17,41)),IF(INDEX(properties!A$1:CB$87,'Fórmula'!H17,41)=0,10^6,INDEX(properties!A$1:CB$87,'Fórmula'!H17,41)),IF(INDEX(properties!A$1:CB$87,'Fórmula'!J17,41)=0,10^6,INDEX(properties!A$1:CB$87,'Fórmula'!J17,41)))</f>
        <v>0.58</v>
      </c>
      <c r="EI17" s="111">
        <f t="shared" si="23"/>
        <v>0.94</v>
      </c>
      <c r="EJ17" s="112">
        <f t="array" ref="EJ17">(('Fórmula'!C17)/('Fórmula'!C17+'Fórmula'!E17+'Fórmula'!G17+'Fórmula'!I17+'Fórmula'!K17))*(INDEX(properties!A$1:CB$87,'Fórmula'!B17,45))+(('Fórmula'!E17)/('Fórmula'!C17+'Fórmula'!E17+'Fórmula'!G17+'Fórmula'!I17+'Fórmula'!K17))*(INDEX(properties!A$1:CB$87,'Fórmula'!D17,45))+(('Fórmula'!G17)/('Fórmula'!C17+'Fórmula'!E17+'Fórmula'!G17+'Fórmula'!I17+'Fórmula'!K17))*(INDEX(properties!A$1:CB$87,'Fórmula'!F17,45))+(('Fórmula'!I17)/('Fórmula'!C17+'Fórmula'!E17+'Fórmula'!G17+'Fórmula'!I17+'Fórmula'!K17))*(INDEX(properties!A$1:CB$87,'Fórmula'!H17,45))+(('Fórmula'!K17)/('Fórmula'!C17+'Fórmula'!E17+'Fórmula'!G17+'Fórmula'!I17+'Fórmula'!K17))*(INDEX(properties!A$1:CB$87,'Fórmula'!J17,45))</f>
        <v>1.156923077</v>
      </c>
      <c r="EK17" s="112">
        <f t="array" ref="EK17">'Fórmula'!C17*(INDEX(properties!A$1:CB$87,'Fórmula'!B17,45))+'Fórmula'!E17*(INDEX(properties!A$1:CB$87,'Fórmula'!D17,45))+'Fórmula'!G17*(INDEX(properties!A$1:CB$87,'Fórmula'!F17,45))+'Fórmula'!I17*(INDEX(properties!A$1:CB$87,'Fórmula'!H17,45))+'Fórmula'!K17*(INDEX(properties!A$1:CB$87,'Fórmula'!J17,45))</f>
        <v>15.04</v>
      </c>
      <c r="EL17" s="112">
        <f t="array" ref="EL17">VARP(IF(INDEX(properties!A$1:CB$87,'Fórmula'!B17,45)&lt;&gt;"",INDEX(properties!A$1:CB$87,'Fórmula'!B17,45)),IF(INDEX(properties!A$1:CB$87,'Fórmula'!D17,45)&lt;&gt;"",INDEX(properties!A$1:CB$87,'Fórmula'!D17,45)),IF(INDEX(properties!A$1:CB$87,'Fórmula'!F17,45)&lt;&gt;"",INDEX(properties!A$1:CB$87,'Fórmula'!F17,45)),IF(INDEX(properties!A$1:CB$87,'Fórmula'!H17,45)&lt;&gt;"",INDEX(properties!A$1:CB$87,'Fórmula'!H17,45)),IF(INDEX(properties!A$1:CB$87,'Fórmula'!J17,45)&lt;&gt;"",INDEX(properties!A$1:CB$87,'Fórmula'!J17,45)))</f>
        <v>1.377976</v>
      </c>
      <c r="EM17" s="123">
        <f t="array" ref="EM17">MAX(INDEX(properties!A$1:CB$87,'Fórmula'!B17,45),INDEX(properties!A$1:CB$87,'Fórmula'!D17,45),INDEX(properties!A$1:CB$87,'Fórmula'!F17,45),INDEX(properties!A$1:CB$87,'Fórmula'!H17,45),INDEX(properties!A$1:CB$87,'Fórmula'!J17,45))</f>
        <v>3.69</v>
      </c>
      <c r="EN17" s="123">
        <f t="array" ref="EN17">MIN(IF(INDEX(properties!A$1:CB$87,'Fórmula'!B17,45)=0,10^6,INDEX(properties!A$1:CB$87,'Fórmula'!B17,45)),IF(INDEX(properties!A$1:CB$87,'Fórmula'!D17,45)=0,10^6,INDEX(properties!A$1:CB$87,'Fórmula'!D17,45)),IF(INDEX(properties!A$1:CB$87,'Fórmula'!F17,45)=0,10^6,INDEX(properties!A$1:CB$87,'Fórmula'!F17,45)),IF(INDEX(properties!A$1:CB$87,'Fórmula'!H17,45)=0,10^6,INDEX(properties!A$1:CB$87,'Fórmula'!H17,45)),IF(INDEX(properties!A$1:CB$87,'Fórmula'!J17,45)=0,10^6,INDEX(properties!A$1:CB$87,'Fórmula'!J17,45)))</f>
        <v>0.47</v>
      </c>
      <c r="EO17" s="112">
        <f t="shared" si="24"/>
        <v>3.22</v>
      </c>
      <c r="EP17" s="113">
        <f t="array" ref="EP17">(('Fórmula'!C17)/('Fórmula'!C17+'Fórmula'!E17+'Fórmula'!G17+'Fórmula'!I17+'Fórmula'!K17))*(INDEX(properties!A$1:CB$87,'Fórmula'!B17,46))+(('Fórmula'!E17)/('Fórmula'!C17+'Fórmula'!E17+'Fórmula'!G17+'Fórmula'!I17+'Fórmula'!K17))*(INDEX(properties!A$1:CB$87,'Fórmula'!D17,46))+(('Fórmula'!G17)/('Fórmula'!C17+'Fórmula'!E17+'Fórmula'!G17+'Fórmula'!I17+'Fórmula'!K17))*(INDEX(properties!A$1:CB$87,'Fórmula'!F17,46))+(('Fórmula'!I17)/('Fórmula'!C17+'Fórmula'!E17+'Fórmula'!G17+'Fórmula'!I17+'Fórmula'!K17))*(INDEX(properties!A$1:CB$87,'Fórmula'!H17,46))+(('Fórmula'!K17)/('Fórmula'!C17+'Fórmula'!E17+'Fórmula'!G17+'Fórmula'!I17+'Fórmula'!K17))*(INDEX(properties!A$1:CB$87,'Fórmula'!J17,46))</f>
        <v>1.08</v>
      </c>
      <c r="EQ17" s="113">
        <f t="array" ref="EQ17">'Fórmula'!C17*(INDEX(properties!A$1:CB$87,'Fórmula'!B17,46))+'Fórmula'!E17*(INDEX(properties!A$1:CB$87,'Fórmula'!D17,46))+'Fórmula'!G17*(INDEX(properties!A$1:CB$87,'Fórmula'!F17,46))+'Fórmula'!I17*(INDEX(properties!A$1:CB$87,'Fórmula'!H17,46))+'Fórmula'!K17*(INDEX(properties!A$1:CB$87,'Fórmula'!J17,46))</f>
        <v>14.04</v>
      </c>
      <c r="ER17" s="113">
        <f t="array" ref="ER17">VARP(IF(INDEX(properties!A$1:CB$87,'Fórmula'!B17,46)&lt;&gt;"",INDEX(properties!A$1:CB$87,'Fórmula'!B17,46)),IF(INDEX(properties!A$1:CB$87,'Fórmula'!D17,46)&lt;&gt;"",INDEX(properties!A$1:CB$87,'Fórmula'!D17,46)),IF(INDEX(properties!A$1:CB$87,'Fórmula'!F17,46)&lt;&gt;"",INDEX(properties!A$1:CB$87,'Fórmula'!F17,46)),IF(INDEX(properties!A$1:CB$87,'Fórmula'!H17,46)&lt;&gt;"",INDEX(properties!A$1:CB$87,'Fórmula'!H17,46)),IF(INDEX(properties!A$1:CB$87,'Fórmula'!J17,46)&lt;&gt;"",INDEX(properties!A$1:CB$87,'Fórmula'!J17,46)))</f>
        <v>0.185256</v>
      </c>
      <c r="ES17" s="124">
        <f t="array" ref="ES17">MAX(INDEX(properties!A$1:CB$87,'Fórmula'!B17,46),INDEX(properties!A$1:CB$87,'Fórmula'!D17,46),INDEX(properties!A$1:CB$87,'Fórmula'!F17,46),INDEX(properties!A$1:CB$87,'Fórmula'!H17,46),INDEX(properties!A$1:CB$87,'Fórmula'!J17,46))</f>
        <v>1.52</v>
      </c>
      <c r="ET17" s="124">
        <f t="array" ref="ET17">MIN(IF(INDEX(properties!A$1:CB$87,'Fórmula'!B17,46)=0,10^6,INDEX(properties!A$1:CB$87,'Fórmula'!B17,46)),IF(INDEX(properties!A$1:CB$87,'Fórmula'!D17,46)=0,10^6,INDEX(properties!A$1:CB$87,'Fórmula'!D17,46)),IF(INDEX(properties!A$1:CB$87,'Fórmula'!F17,46)=0,10^6,INDEX(properties!A$1:CB$87,'Fórmula'!F17,46)),IF(INDEX(properties!A$1:CB$87,'Fórmula'!H17,46)=0,10^6,INDEX(properties!A$1:CB$87,'Fórmula'!H17,46)),IF(INDEX(properties!A$1:CB$87,'Fórmula'!J17,46)=0,10^6,INDEX(properties!A$1:CB$87,'Fórmula'!J17,46)))</f>
        <v>0.31</v>
      </c>
      <c r="EU17" s="113">
        <f t="shared" si="25"/>
        <v>1.21</v>
      </c>
      <c r="EV17" s="114">
        <f t="array" ref="EV17">(('Fórmula'!C17)/('Fórmula'!C17+'Fórmula'!E17+'Fórmula'!G17+'Fórmula'!I17+'Fórmula'!K17))*(INDEX(properties!A$1:CB$87,'Fórmula'!B17,52))+(('Fórmula'!E17)/('Fórmula'!C17+'Fórmula'!E17+'Fórmula'!G17+'Fórmula'!I17+'Fórmula'!K17))*(INDEX(properties!A$1:CB$87,'Fórmula'!D17,52))+(('Fórmula'!G17)/('Fórmula'!C17+'Fórmula'!E17+'Fórmula'!G17+'Fórmula'!I17+'Fórmula'!K17))*(INDEX(properties!A$1:CB$87,'Fórmula'!F17,52))+(('Fórmula'!I17)/('Fórmula'!C17+'Fórmula'!E17+'Fórmula'!G17+'Fórmula'!I17+'Fórmula'!K17))*(INDEX(properties!A$1:CB$87,'Fórmula'!H17,52))+(('Fórmula'!K17)/('Fórmula'!C17+'Fórmula'!E17+'Fórmula'!G17+'Fórmula'!I17+'Fórmula'!K17))*(INDEX(properties!A$1:CB$87,'Fórmula'!J17,52))</f>
        <v>7.588</v>
      </c>
      <c r="EW17" s="114">
        <f t="array" ref="EW17">'Fórmula'!C17*(INDEX(properties!A$1:CB$87,'Fórmula'!B17,52))+'Fórmula'!E17*(INDEX(properties!A$1:CB$87,'Fórmula'!D17,52))+'Fórmula'!G17*(INDEX(properties!A$1:CB$87,'Fórmula'!F17,52))+'Fórmula'!I17*(INDEX(properties!A$1:CB$87,'Fórmula'!H17,52))+'Fórmula'!K17*(INDEX(properties!A$1:CB$87,'Fórmula'!J17,52))</f>
        <v>98.644</v>
      </c>
      <c r="EX17" s="114">
        <f t="array" ref="EX17">VARP(IF(INDEX(properties!A$1:CB$87,'Fórmula'!B17,52)&lt;&gt;"",INDEX(properties!A$1:CB$87,'Fórmula'!B17,52)),IF(INDEX(properties!A$1:CB$87,'Fórmula'!D17,52)&lt;&gt;"",INDEX(properties!A$1:CB$87,'Fórmula'!D17,52)),IF(INDEX(properties!A$1:CB$87,'Fórmula'!F17,52)&lt;&gt;"",INDEX(properties!A$1:CB$87,'Fórmula'!F17,52)),IF(INDEX(properties!A$1:CB$87,'Fórmula'!H17,52)&lt;&gt;"",INDEX(properties!A$1:CB$87,'Fórmula'!H17,52)),IF(INDEX(properties!A$1:CB$87,'Fórmula'!J17,52)&lt;&gt;"",INDEX(properties!A$1:CB$87,'Fórmula'!J17,52)))</f>
        <v>274.9838878</v>
      </c>
      <c r="EY17" s="114">
        <f t="array" ref="EY17">MAX(INDEX(properties!A$1:CB$87,'Fórmula'!B17,52),INDEX(properties!A$1:CB$87,'Fórmula'!D17,52),INDEX(properties!A$1:CB$87,'Fórmula'!F17,52),INDEX(properties!A$1:CB$87,'Fórmula'!H17,52),INDEX(properties!A$1:CB$87,'Fórmula'!J17,52))</f>
        <v>43.4</v>
      </c>
      <c r="EZ17" s="114">
        <f t="array" ref="EZ17">MIN(IF(INDEX(properties!A$1:CB$87,'Fórmula'!B17,52)=0,10^6,INDEX(properties!A$1:CB$87,'Fórmula'!B17,52)),IF(INDEX(properties!A$1:CB$87,'Fórmula'!D17,52)=0,10^6,INDEX(properties!A$1:CB$87,'Fórmula'!D17,52)),IF(INDEX(properties!A$1:CB$87,'Fórmula'!F17,52)=0,10^6,INDEX(properties!A$1:CB$87,'Fórmula'!F17,52)),IF(INDEX(properties!A$1:CB$87,'Fórmula'!H17,52)=0,10^6,INDEX(properties!A$1:CB$87,'Fórmula'!H17,52)),IF(INDEX(properties!A$1:CB$87,'Fórmula'!J17,52)=0,10^6,INDEX(properties!A$1:CB$87,'Fórmula'!J17,52)))</f>
        <v>0.793</v>
      </c>
      <c r="FA17" s="114">
        <f t="shared" si="26"/>
        <v>42.607</v>
      </c>
      <c r="FB17" s="115">
        <f t="array" ref="FB17">(('Fórmula'!C17)/('Fórmula'!C17+'Fórmula'!E17+'Fórmula'!G17+'Fórmula'!I17+'Fórmula'!K17))*(INDEX(properties!A$1:CB$87,'Fórmula'!B17,53))+(('Fórmula'!E17)/('Fórmula'!C17+'Fórmula'!E17+'Fórmula'!G17+'Fórmula'!I17+'Fórmula'!K17))*(INDEX(properties!A$1:CB$87,'Fórmula'!D17,53))+(('Fórmula'!G17)/('Fórmula'!C17+'Fórmula'!E17+'Fórmula'!G17+'Fórmula'!I17+'Fórmula'!K17))*(INDEX(properties!A$1:CB$87,'Fórmula'!F17,53))+(('Fórmula'!I17)/('Fórmula'!C17+'Fórmula'!E17+'Fórmula'!G17+'Fórmula'!I17+'Fórmula'!K17))*(INDEX(properties!A$1:CB$87,'Fórmula'!H17,53))+(('Fórmula'!K17)/('Fórmula'!C17+'Fórmula'!E17+'Fórmula'!G17+'Fórmula'!I17+'Fórmula'!K17))*(INDEX(properties!A$1:CB$87,'Fórmula'!J17,53))</f>
        <v>271.0923077</v>
      </c>
      <c r="FC17" s="115">
        <f t="array" ref="FC17">'Fórmula'!C17*(INDEX(properties!A$1:CB$87,'Fórmula'!B17,53))+'Fórmula'!E17*(INDEX(properties!A$1:CB$87,'Fórmula'!D17,53))+'Fórmula'!G17*(INDEX(properties!A$1:CB$87,'Fórmula'!F17,53))+'Fórmula'!I17*(INDEX(properties!A$1:CB$87,'Fórmula'!H17,53))+'Fórmula'!K17*(INDEX(properties!A$1:CB$87,'Fórmula'!J17,53))</f>
        <v>3524.2</v>
      </c>
      <c r="FD17" s="115">
        <f t="array" ref="FD17">VARP(IF(INDEX(properties!A$1:CB$87,'Fórmula'!B17,53)&lt;&gt;"",INDEX(properties!A$1:CB$87,'Fórmula'!B17,53)),IF(INDEX(properties!A$1:CB$87,'Fórmula'!D17,53)&lt;&gt;"",INDEX(properties!A$1:CB$87,'Fórmula'!D17,53)),IF(INDEX(properties!A$1:CB$87,'Fórmula'!F17,53)&lt;&gt;"",INDEX(properties!A$1:CB$87,'Fórmula'!F17,53)),IF(INDEX(properties!A$1:CB$87,'Fórmula'!H17,53)&lt;&gt;"",INDEX(properties!A$1:CB$87,'Fórmula'!H17,53)),IF(INDEX(properties!A$1:CB$87,'Fórmula'!J17,53)&lt;&gt;"",INDEX(properties!A$1:CB$87,'Fórmula'!J17,53)))</f>
        <v>179224.2584</v>
      </c>
      <c r="FE17" s="115">
        <f t="array" ref="FE17">MAX(INDEX(properties!A$1:CB$87,'Fórmula'!B17,53),INDEX(properties!A$1:CB$87,'Fórmula'!D17,53),INDEX(properties!A$1:CB$87,'Fórmula'!F17,53),INDEX(properties!A$1:CB$87,'Fórmula'!H17,53),INDEX(properties!A$1:CB$87,'Fórmula'!J17,53))</f>
        <v>1193.15</v>
      </c>
      <c r="FF17" s="115">
        <f t="array" ref="FF17">MIN(IF(INDEX(properties!A$1:CB$87,'Fórmula'!B17,53)=0,10^6,INDEX(properties!A$1:CB$87,'Fórmula'!B17,53)),IF(INDEX(properties!A$1:CB$87,'Fórmula'!D17,53)=0,10^6,INDEX(properties!A$1:CB$87,'Fórmula'!D17,53)),IF(INDEX(properties!A$1:CB$87,'Fórmula'!F17,53)=0,10^6,INDEX(properties!A$1:CB$87,'Fórmula'!F17,53)),IF(INDEX(properties!A$1:CB$87,'Fórmula'!H17,53)=0,10^6,INDEX(properties!A$1:CB$87,'Fórmula'!H17,53)),IF(INDEX(properties!A$1:CB$87,'Fórmula'!J17,53)=0,10^6,INDEX(properties!A$1:CB$87,'Fórmula'!J17,53)))</f>
        <v>54.75</v>
      </c>
      <c r="FG17" s="115">
        <f t="shared" si="27"/>
        <v>1138.4</v>
      </c>
      <c r="FH17" s="117">
        <f t="array" ref="FH17">(('Fórmula'!C17)/('Fórmula'!C17+'Fórmula'!E17+'Fórmula'!G17+'Fórmula'!I17+'Fórmula'!K17))*(INDEX(properties!A$1:CB$87,'Fórmula'!B17,54))+(('Fórmula'!E17)/('Fórmula'!C17+'Fórmula'!E17+'Fórmula'!G17+'Fórmula'!I17+'Fórmula'!K17))*(INDEX(properties!A$1:CB$87,'Fórmula'!D17,54))+(('Fórmula'!G17)/('Fórmula'!C17+'Fórmula'!E17+'Fórmula'!G17+'Fórmula'!I17+'Fórmula'!K17))*(INDEX(properties!A$1:CB$87,'Fórmula'!F17,54))+(('Fórmula'!I17)/('Fórmula'!C17+'Fórmula'!E17+'Fórmula'!G17+'Fórmula'!I17+'Fórmula'!K17))*(INDEX(properties!A$1:CB$87,'Fórmula'!H17,54))+(('Fórmula'!K17)/('Fórmula'!C17+'Fórmula'!E17+'Fórmula'!G17+'Fórmula'!I17+'Fórmula'!K17))*(INDEX(properties!A$1:CB$87,'Fórmula'!J17,54))</f>
        <v>611.6115385</v>
      </c>
      <c r="FI17" s="117">
        <f t="array" ref="FI17">'Fórmula'!C17*(INDEX(properties!A$1:CB$87,'Fórmula'!B17,54))+'Fórmula'!E17*(INDEX(properties!A$1:CB$87,'Fórmula'!D17,54))+'Fórmula'!G17*(INDEX(properties!A$1:CB$87,'Fórmula'!F17,54))+'Fórmula'!I17*(INDEX(properties!A$1:CB$87,'Fórmula'!H17,54))+'Fórmula'!K17*(INDEX(properties!A$1:CB$87,'Fórmula'!J17,54))</f>
        <v>7950.95</v>
      </c>
      <c r="FJ17" s="117">
        <f t="array" ref="FJ17">VARP(IF(INDEX(properties!A$1:CB$87,'Fórmula'!B17,54)&lt;&gt;"",INDEX(properties!A$1:CB$87,'Fórmula'!B17,54)),IF(INDEX(properties!A$1:CB$87,'Fórmula'!D17,54)&lt;&gt;"",INDEX(properties!A$1:CB$87,'Fórmula'!D17,54)),IF(INDEX(properties!A$1:CB$87,'Fórmula'!F17,54)&lt;&gt;"",INDEX(properties!A$1:CB$87,'Fórmula'!F17,54)),IF(INDEX(properties!A$1:CB$87,'Fórmula'!H17,54)&lt;&gt;"",INDEX(properties!A$1:CB$87,'Fórmula'!H17,54)),IF(INDEX(properties!A$1:CB$87,'Fórmula'!J17,54)&lt;&gt;"",INDEX(properties!A$1:CB$87,'Fórmula'!J17,54)))</f>
        <v>1594708.96</v>
      </c>
      <c r="FK17" s="117">
        <f t="array" ref="FK17">MAX(INDEX(properties!A$1:CB$87,'Fórmula'!B17,54),INDEX(properties!A$1:CB$87,'Fórmula'!D17,54),INDEX(properties!A$1:CB$87,'Fórmula'!F17,54),INDEX(properties!A$1:CB$87,'Fórmula'!H17,54),INDEX(properties!A$1:CB$87,'Fórmula'!J17,54))</f>
        <v>3727.15</v>
      </c>
      <c r="FL17" s="117">
        <f t="array" ref="FL17">MIN(IF(INDEX(properties!A$1:CB$87,'Fórmula'!B17,54)=0,10^6,INDEX(properties!A$1:CB$87,'Fórmula'!B17,54)),IF(INDEX(properties!A$1:CB$87,'Fórmula'!D17,54)=0,10^6,INDEX(properties!A$1:CB$87,'Fórmula'!D17,54)),IF(INDEX(properties!A$1:CB$87,'Fórmula'!F17,54)=0,10^6,INDEX(properties!A$1:CB$87,'Fórmula'!F17,54)),IF(INDEX(properties!A$1:CB$87,'Fórmula'!H17,54)=0,10^6,INDEX(properties!A$1:CB$87,'Fórmula'!H17,54)),IF(INDEX(properties!A$1:CB$87,'Fórmula'!J17,54)=0,10^6,INDEX(properties!A$1:CB$87,'Fórmula'!J17,54)))</f>
        <v>90.15</v>
      </c>
      <c r="FM17" s="117">
        <f t="shared" si="28"/>
        <v>3637</v>
      </c>
      <c r="FN17" s="118">
        <f t="array" ref="FN17">(('Fórmula'!C17)/('Fórmula'!C17+'Fórmula'!E17+'Fórmula'!G17+'Fórmula'!I17+'Fórmula'!K17))*(INDEX(properties!A$1:CB$87,'Fórmula'!B17,55))+(('Fórmula'!E17)/('Fórmula'!C17+'Fórmula'!E17+'Fórmula'!G17+'Fórmula'!I17+'Fórmula'!K17))*(INDEX(properties!A$1:CB$87,'Fórmula'!D17,55))+(('Fórmula'!G17)/('Fórmula'!C17+'Fórmula'!E17+'Fórmula'!G17+'Fórmula'!I17+'Fórmula'!K17))*(INDEX(properties!A$1:CB$87,'Fórmula'!F17,55))+(('Fórmula'!I17)/('Fórmula'!C17+'Fórmula'!E17+'Fórmula'!G17+'Fórmula'!I17+'Fórmula'!K17))*(INDEX(properties!A$1:CB$87,'Fórmula'!H17,55))+(('Fórmula'!K17)/('Fórmula'!C17+'Fórmula'!E17+'Fórmula'!G17+'Fórmula'!I17+'Fórmula'!K17))*(INDEX(properties!A$1:CB$87,'Fórmula'!J17,55))</f>
        <v>0.9539569231</v>
      </c>
      <c r="FO17" s="118">
        <f t="array" ref="FO17">'Fórmula'!C17*(INDEX(properties!A$1:CB$87,'Fórmula'!B17,55))+'Fórmula'!E17*(INDEX(properties!A$1:CB$87,'Fórmula'!D17,54))+'Fórmula'!G17*(INDEX(properties!A$1:CB$87,'Fórmula'!F17,55))+'Fórmula'!I17*(INDEX(properties!A$1:CB$87,'Fórmula'!H17,55))+'Fórmula'!K17*(INDEX(properties!A$1:CB$87,'Fórmula'!J17,55))</f>
        <v>1373.81144</v>
      </c>
      <c r="FP17" s="118">
        <f t="array" ref="FP17">VARP(IF(INDEX(properties!A$1:CB$87,'Fórmula'!B17,55)&lt;&gt;"",INDEX(properties!A$1:CB$87,'Fórmula'!B17,55)),IF(INDEX(properties!A$1:CB$87,'Fórmula'!D17,55)&lt;&gt;"",INDEX(properties!A$1:CB$87,'Fórmula'!D17,55)),IF(INDEX(properties!A$1:CB$87,'Fórmula'!F17,55)&lt;&gt;"",INDEX(properties!A$1:CB$87,'Fórmula'!F17,55)),IF(INDEX(properties!A$1:CB$87,'Fórmula'!H17,55)&lt;&gt;"",INDEX(properties!A$1:CB$87,'Fórmula'!H17,55)),IF(INDEX(properties!A$1:CB$87,'Fórmula'!J17,55)&lt;&gt;"",INDEX(properties!A$1:CB$87,'Fórmula'!J17,55)))</f>
        <v>4.510215119</v>
      </c>
      <c r="FQ17" s="118">
        <f t="array" ref="FQ17">MAX(INDEX(properties!A$1:CB$87,'Fórmula'!B17,55),INDEX(properties!A$1:CB$87,'Fórmula'!D17,55),INDEX(properties!A$1:CB$87,'Fórmula'!F17,55),INDEX(properties!A$1:CB$87,'Fórmula'!H17,55),INDEX(properties!A$1:CB$87,'Fórmula'!J17,55))</f>
        <v>6.15</v>
      </c>
      <c r="FR17" s="118">
        <f t="array" ref="FR17">MIN(IF(INDEX(properties!A$1:CB$87,'Fórmula'!B17,55)=0,10^6,INDEX(properties!A$1:CB$87,'Fórmula'!B17,55)),IF(INDEX(properties!A$1:CB$87,'Fórmula'!D17,55)=0,10^6,INDEX(properties!A$1:CB$87,'Fórmula'!D17,55)),IF(INDEX(properties!A$1:CB$87,'Fórmula'!F17,55)=0,10^6,INDEX(properties!A$1:CB$87,'Fórmula'!F17,55)),IF(INDEX(properties!A$1:CB$87,'Fórmula'!H17,55)=0,10^6,INDEX(properties!A$1:CB$87,'Fórmula'!H17,55)),IF(INDEX(properties!A$1:CB$87,'Fórmula'!J17,55)=0,10^6,INDEX(properties!A$1:CB$87,'Fórmula'!J17,55)))</f>
        <v>0.00143</v>
      </c>
      <c r="FS17" s="118">
        <f t="shared" si="29"/>
        <v>6.14857</v>
      </c>
      <c r="FT17" s="119">
        <f t="array" ref="FT17">(('Fórmula'!C17)/('Fórmula'!C17+'Fórmula'!E17+'Fórmula'!G17+'Fórmula'!I17+'Fórmula'!K17))*(INDEX(properties!A$1:CB$87,'Fórmula'!B17,56))+(('Fórmula'!E17)/('Fórmula'!C17+'Fórmula'!E17+'Fórmula'!G17+'Fórmula'!I17+'Fórmula'!K17))*(INDEX(properties!A$1:CB$87,'Fórmula'!D17,56))+(('Fórmula'!G17)/('Fórmula'!C17+'Fórmula'!E17+'Fórmula'!G17+'Fórmula'!I17+'Fórmula'!K17))*(INDEX(properties!A$1:CB$87,'Fórmula'!F17,56))+(('Fórmula'!I17)/('Fórmula'!C17+'Fórmula'!E17+'Fórmula'!G17+'Fórmula'!I17+'Fórmula'!K17))*(INDEX(properties!A$1:CB$87,'Fórmula'!H17,56))+(('Fórmula'!K17)/('Fórmula'!C17+'Fórmula'!E17+'Fórmula'!G17+'Fórmula'!I17+'Fórmula'!K17))*(INDEX(properties!A$1:CB$87,'Fórmula'!J17,56))</f>
        <v>0.8353846154</v>
      </c>
      <c r="FU17" s="119">
        <f t="array" ref="FU17">'Fórmula'!C17*(INDEX(properties!A$1:CB$87,'Fórmula'!B17,56))+'Fórmula'!E17*(INDEX(properties!A$1:CB$87,'Fórmula'!D17,56))+'Fórmula'!G17*(INDEX(properties!A$1:CB$87,'Fórmula'!F17,56))+'Fórmula'!I17*(INDEX(properties!A$1:CB$87,'Fórmula'!H17,56))+'Fórmula'!K17*(INDEX(properties!A$1:CB$87,'Fórmula'!J17,56))</f>
        <v>10.86</v>
      </c>
      <c r="FV17" s="119">
        <f t="array" ref="FV17">VARP(IF(INDEX(properties!A$1:CB$87,'Fórmula'!B17,56)&lt;&gt;"",INDEX(properties!A$1:CB$87,'Fórmula'!B17,56)),IF(INDEX(properties!A$1:CB$87,'Fórmula'!D17,56)&lt;&gt;"",INDEX(properties!A$1:CB$87,'Fórmula'!D17,56)),IF(INDEX(properties!A$1:CB$87,'Fórmula'!F17,56)&lt;&gt;"",INDEX(properties!A$1:CB$87,'Fórmula'!F17,56)),IF(INDEX(properties!A$1:CB$87,'Fórmula'!H17,56)&lt;&gt;"",INDEX(properties!A$1:CB$87,'Fórmula'!H17,56)),IF(INDEX(properties!A$1:CB$87,'Fórmula'!J17,56)&lt;&gt;"",INDEX(properties!A$1:CB$87,'Fórmula'!J17,56)))</f>
        <v>0.08276</v>
      </c>
      <c r="FW17" s="119">
        <f t="array" ref="FW17">MAX(INDEX(properties!A$1:CB$87,'Fórmula'!B17,56),INDEX(properties!A$1:CB$87,'Fórmula'!D17,56),INDEX(properties!A$1:CB$87,'Fórmula'!F17,56),INDEX(properties!A$1:CB$87,'Fórmula'!H17,56),INDEX(properties!A$1:CB$87,'Fórmula'!J17,56))</f>
        <v>1.02</v>
      </c>
      <c r="FX17" s="119">
        <f t="array" ref="FX17">MIN(IF(INDEX(properties!A$1:CB$87,'Fórmula'!B17,56)=0,10^6,INDEX(properties!A$1:CB$87,'Fórmula'!B17,56)),IF(INDEX(properties!A$1:CB$87,'Fórmula'!D17,56)=0,10^6,INDEX(properties!A$1:CB$87,'Fórmula'!D17,56)),IF(INDEX(properties!A$1:CB$87,'Fórmula'!F17,56)=0,10^6,INDEX(properties!A$1:CB$87,'Fórmula'!F17,56)),IF(INDEX(properties!A$1:CB$87,'Fórmula'!H17,56)=0,10^6,INDEX(properties!A$1:CB$87,'Fórmula'!H17,56)),IF(INDEX(properties!A$1:CB$87,'Fórmula'!J17,56)=0,10^6,INDEX(properties!A$1:CB$87,'Fórmula'!J17,56)))</f>
        <v>0.19</v>
      </c>
      <c r="FY17" s="119">
        <f t="shared" si="30"/>
        <v>0.83</v>
      </c>
      <c r="FZ17" s="104">
        <f t="array" ref="FZ17">(('Fórmula'!C17)/('Fórmula'!C17+'Fórmula'!E17+'Fórmula'!G17+'Fórmula'!I17+'Fórmula'!K17))*(INDEX(properties!A$1:CB$87,'Fórmula'!B17,57))+(('Fórmula'!E17)/('Fórmula'!C17+'Fórmula'!E17+'Fórmula'!G17+'Fórmula'!I17+'Fórmula'!K17))*(INDEX(properties!A$1:CB$87,'Fórmula'!D17,57))+(('Fórmula'!G17)/('Fórmula'!C17+'Fórmula'!E17+'Fórmula'!G17+'Fórmula'!I17+'Fórmula'!K17))*(INDEX(properties!A$1:CB$87,'Fórmula'!F17,57))+(('Fórmula'!I17)/('Fórmula'!C17+'Fórmula'!E17+'Fórmula'!G17+'Fórmula'!I17+'Fórmula'!K17))*(INDEX(properties!A$1:CB$87,'Fórmula'!H17,57))+(('Fórmula'!K17)/('Fórmula'!C17+'Fórmula'!E17+'Fórmula'!G17+'Fórmula'!I17+'Fórmula'!K17))*(INDEX(properties!A$1:CB$87,'Fórmula'!J17,57))</f>
        <v>1.583286154</v>
      </c>
      <c r="GA17" s="104">
        <f t="array" ref="GA17">'Fórmula'!C17*(INDEX(properties!A$1:CB$87,'Fórmula'!B17,57))+'Fórmula'!E17*(INDEX(properties!A$1:CB$87,'Fórmula'!D17,57))+'Fórmula'!G17*(INDEX(properties!A$1:CB$87,'Fórmula'!F17,57))+'Fórmula'!I17*(INDEX(properties!A$1:CB$87,'Fórmula'!H17,57))+'Fórmula'!K17*(INDEX(properties!A$1:CB$87,'Fórmula'!J17,57))</f>
        <v>20.58272</v>
      </c>
      <c r="GB17" s="104">
        <f t="array" ref="GB17">VARP(IF(INDEX(properties!A$1:CB$87,'Fórmula'!B17,57)&lt;&gt;"",INDEX(properties!A$1:CB$87,'Fórmula'!B17,57)),IF(INDEX(properties!A$1:CB$87,'Fórmula'!D17,57)&lt;&gt;"",INDEX(properties!A$1:CB$87,'Fórmula'!D17,57)),IF(INDEX(properties!A$1:CB$87,'Fórmula'!F17,57)&lt;&gt;"",INDEX(properties!A$1:CB$87,'Fórmula'!F17,57)),IF(INDEX(properties!A$1:CB$87,'Fórmula'!H17,57)&lt;&gt;"",INDEX(properties!A$1:CB$87,'Fórmula'!H17,57)),IF(INDEX(properties!A$1:CB$87,'Fórmula'!J17,57)&lt;&gt;"",INDEX(properties!A$1:CB$87,'Fórmula'!J17,57)))</f>
        <v>11.41383897</v>
      </c>
      <c r="GC17" s="104">
        <f t="array" ref="GC17">MAX(INDEX(properties!A$1:CB$87,'Fórmula'!B17,57),INDEX(properties!A$1:CB$87,'Fórmula'!D17,57),INDEX(properties!A$1:CB$87,'Fórmula'!F17,57),INDEX(properties!A$1:CB$87,'Fórmula'!H17,57),INDEX(properties!A$1:CB$87,'Fórmula'!J17,57))</f>
        <v>8.954</v>
      </c>
      <c r="GD17" s="104">
        <f t="array" ref="GD17">MIN(IF(INDEX(properties!A$1:CB$87,'Fórmula'!B17,57)=0,10^6,INDEX(properties!A$1:CB$87,'Fórmula'!B17,57)),IF(INDEX(properties!A$1:CB$87,'Fórmula'!D17,57)=0,10^6,INDEX(properties!A$1:CB$87,'Fórmula'!D17,57)),IF(INDEX(properties!A$1:CB$87,'Fórmula'!F17,57)=0,10^6,INDEX(properties!A$1:CB$87,'Fórmula'!F17,57)),IF(INDEX(properties!A$1:CB$87,'Fórmula'!H17,57)=0,10^6,INDEX(properties!A$1:CB$87,'Fórmula'!H17,57)),IF(INDEX(properties!A$1:CB$87,'Fórmula'!J17,57)=0,10^6,INDEX(properties!A$1:CB$87,'Fórmula'!J17,57)))</f>
        <v>0.22259</v>
      </c>
      <c r="GE17" s="104">
        <f t="shared" si="31"/>
        <v>8.73141</v>
      </c>
      <c r="GF17" s="105">
        <f t="array" ref="GF17">(('Fórmula'!C17)/('Fórmula'!C17+'Fórmula'!E17+'Fórmula'!G17+'Fórmula'!I17+'Fórmula'!K17))*(INDEX(properties!A$1:CB$87,'Fórmula'!B17,60))+(('Fórmula'!E17)/('Fórmula'!C17+'Fórmula'!E17+'Fórmula'!G17+'Fórmula'!I17+'Fórmula'!K17))*(INDEX(properties!A$1:CB$87,'Fórmula'!D17,60))+(('Fórmula'!G17)/('Fórmula'!C17+'Fórmula'!E17+'Fórmula'!G17+'Fórmula'!I17+'Fórmula'!K17))*(INDEX(properties!A$1:CB$87,'Fórmula'!F17,60))+(('Fórmula'!I17)/('Fórmula'!C17+'Fórmula'!E17+'Fórmula'!G17+'Fórmula'!I17+'Fórmula'!K17))*(INDEX(properties!A$1:CB$87,'Fórmula'!H17,60))+(('Fórmula'!K17)/('Fórmula'!C17+'Fórmula'!E17+'Fórmula'!G17+'Fórmula'!I17+'Fórmula'!K17))*(INDEX(properties!A$1:CB$87,'Fórmula'!J17,60))</f>
        <v>20.96799385</v>
      </c>
      <c r="GG17" s="105">
        <f t="array" ref="GG17">'Fórmula'!C17*(INDEX(properties!A$1:CB$87,'Fórmula'!B17,60))+'Fórmula'!E17*(INDEX(properties!A$1:CB$87,'Fórmula'!D17,60))+'Fórmula'!G17*(INDEX(properties!A$1:CB$87,'Fórmula'!F17,60))+'Fórmula'!I17*(INDEX(properties!A$1:CB$87,'Fórmula'!H17,60))+'Fórmula'!K17*(INDEX(properties!A$1:CB$87,'Fórmula'!J17,60))</f>
        <v>272.58392</v>
      </c>
      <c r="GH17" s="105">
        <f t="array" ref="GH17">VARP(IF(INDEX(properties!A$1:CB$87,'Fórmula'!B17,60)&lt;&gt;"",INDEX(properties!A$1:CB$87,'Fórmula'!B17,60)),IF(INDEX(properties!A$1:CB$87,'Fórmula'!D17,60)&lt;&gt;"",INDEX(properties!A$1:CB$87,'Fórmula'!D17,60)),IF(INDEX(properties!A$1:CB$87,'Fórmula'!F17,60)&lt;&gt;"",INDEX(properties!A$1:CB$87,'Fórmula'!F17,60)),IF(INDEX(properties!A$1:CB$87,'Fórmula'!H17,60)&lt;&gt;"",INDEX(properties!A$1:CB$87,'Fórmula'!H17,60)),IF(INDEX(properties!A$1:CB$87,'Fórmula'!J17,60)&lt;&gt;"",INDEX(properties!A$1:CB$87,'Fórmula'!J17,60)))</f>
        <v>4037.932679</v>
      </c>
      <c r="GI17" s="105">
        <f t="array" ref="GI17">MAX(INDEX(properties!A$1:CB$87,'Fórmula'!B17,60),INDEX(properties!A$1:CB$87,'Fórmula'!D17,60),INDEX(properties!A$1:CB$87,'Fórmula'!F17,60),INDEX(properties!A$1:CB$87,'Fórmula'!H17,60),INDEX(properties!A$1:CB$87,'Fórmula'!J17,60))</f>
        <v>156</v>
      </c>
      <c r="GJ17" s="105">
        <f t="array" ref="GJ17">MIN(IF(INDEX(properties!A$1:CB$87,'Fórmula'!B17,60)=0,10^6,INDEX(properties!A$1:CB$87,'Fórmula'!B17,60)),IF(INDEX(properties!A$1:CB$87,'Fórmula'!D17,60)=0,10^6,INDEX(properties!A$1:CB$87,'Fórmula'!D17,60)),IF(INDEX(properties!A$1:CB$87,'Fórmula'!F17,60)=0,10^6,INDEX(properties!A$1:CB$87,'Fórmula'!F17,60)),IF(INDEX(properties!A$1:CB$87,'Fórmula'!H17,60)=0,10^6,INDEX(properties!A$1:CB$87,'Fórmula'!H17,60)),IF(INDEX(properties!A$1:CB$87,'Fórmula'!J17,60)=0,10^6,INDEX(properties!A$1:CB$87,'Fórmula'!J17,60)))</f>
        <v>0.02674</v>
      </c>
      <c r="GK17" s="105">
        <f t="shared" si="32"/>
        <v>155.97326</v>
      </c>
      <c r="GL17" s="106">
        <f t="array" ref="GL17">(('Fórmula'!C17)/('Fórmula'!C17+'Fórmula'!E17+'Fórmula'!G17+'Fórmula'!I17+'Fórmula'!K17))*(INDEX(properties!A$1:CB$87,'Fórmula'!B17,62))+(('Fórmula'!E17)/('Fórmula'!C17+'Fórmula'!E17+'Fórmula'!G17+'Fórmula'!I17+'Fórmula'!K17))*(INDEX(properties!A$1:CB$87,'Fórmula'!D17,62))+(('Fórmula'!G17)/('Fórmula'!C17+'Fórmula'!E17+'Fórmula'!G17+'Fórmula'!I17+'Fórmula'!K17))*(INDEX(properties!A$1:CB$87,'Fórmula'!F17,62))+(('Fórmula'!I17)/('Fórmula'!C17+'Fórmula'!E17+'Fórmula'!G17+'Fórmula'!I17+'Fórmula'!K17))*(INDEX(properties!A$1:CB$87,'Fórmula'!H17,62))+(('Fórmula'!K17)/('Fórmula'!C17+'Fórmula'!E17+'Fórmula'!G17+'Fórmula'!I17+'Fórmula'!K17))*(INDEX(properties!A$1:CB$87,'Fórmula'!J17,62))</f>
        <v>2.671846154</v>
      </c>
      <c r="GM17" s="106">
        <f t="array" ref="GM17">'Fórmula'!C17*(INDEX(properties!A$1:CB$87,'Fórmula'!B17,62))+'Fórmula'!E17*(INDEX(properties!A$1:CB$87,'Fórmula'!D17,62))+'Fórmula'!G17*(INDEX(properties!A$1:CB$87,'Fórmula'!F17,62))+'Fórmula'!I17*(INDEX(properties!A$1:CB$87,'Fórmula'!H17,62))+'Fórmula'!K17*(INDEX(properties!A$1:CB$87,'Fórmula'!J17,62))</f>
        <v>34.734</v>
      </c>
      <c r="GN17" s="106">
        <f t="array" ref="GN17">VARP(IF(INDEX(properties!A$1:CB$87,'Fórmula'!B17,62)&lt;&gt;"",INDEX(properties!A$1:CB$87,'Fórmula'!B17,62)),IF(INDEX(properties!A$1:CB$87,'Fórmula'!D17,62)&lt;&gt;"",INDEX(properties!A$1:CB$87,'Fórmula'!D17,62)),IF(INDEX(properties!A$1:CB$87,'Fórmula'!F17,62)&lt;&gt;"",INDEX(properties!A$1:CB$87,'Fórmula'!F17,62)),IF(INDEX(properties!A$1:CB$87,'Fórmula'!H17,62)&lt;&gt;"",INDEX(properties!A$1:CB$87,'Fórmula'!H17,62)),IF(INDEX(properties!A$1:CB$87,'Fórmula'!J17,62)&lt;&gt;"",INDEX(properties!A$1:CB$87,'Fórmula'!J17,62)))</f>
        <v>1.62991936</v>
      </c>
      <c r="GO17" s="106">
        <f t="array" ref="GO17">MAX(INDEX(properties!A$1:CB$87,'Fórmula'!B17,62),INDEX(properties!A$1:CB$87,'Fórmula'!D17,62),INDEX(properties!A$1:CB$87,'Fórmula'!F17,62),INDEX(properties!A$1:CB$87,'Fórmula'!H17,62),INDEX(properties!A$1:CB$87,'Fórmula'!J17,62))</f>
        <v>4.47</v>
      </c>
      <c r="GP17" s="106">
        <f t="array" ref="GP17">MIN(IF(INDEX(properties!A$1:CB$87,'Fórmula'!B17,62)=0,10^6,INDEX(properties!A$1:CB$87,'Fórmula'!B17,62)),IF(INDEX(properties!A$1:CB$87,'Fórmula'!D17,62)=0,10^6,INDEX(properties!A$1:CB$87,'Fórmula'!D17,62)),IF(INDEX(properties!A$1:CB$87,'Fórmula'!F17,62)=0,10^6,INDEX(properties!A$1:CB$87,'Fórmula'!F17,62)),IF(INDEX(properties!A$1:CB$87,'Fórmula'!H17,62)=0,10^6,INDEX(properties!A$1:CB$87,'Fórmula'!H17,62)),IF(INDEX(properties!A$1:CB$87,'Fórmula'!J17,62)=0,10^6,INDEX(properties!A$1:CB$87,'Fórmula'!J17,62)))</f>
        <v>0.934</v>
      </c>
      <c r="GQ17" s="106">
        <f t="shared" si="33"/>
        <v>3.536</v>
      </c>
      <c r="GR17" s="106">
        <f>'Fórmula'!Q17</f>
        <v>14</v>
      </c>
      <c r="GS17" s="107">
        <f>'Fórmula'!P17</f>
        <v>6</v>
      </c>
      <c r="GT17" s="113">
        <f>'Fórmula'!O17</f>
        <v>4.25</v>
      </c>
      <c r="GU17" s="114">
        <f>AVERAGE('Fórmula'!R17/'Fórmula'!S17,'Fórmula'!S17/'Fórmula'!T17,'Fórmula'!T17/'Fórmula'!R17)</f>
        <v>1.001637549</v>
      </c>
      <c r="GV17" s="125">
        <f>'Fórmula'!U17</f>
        <v>306.61</v>
      </c>
      <c r="GW17" s="106">
        <f>'Fórmula'!N17</f>
        <v>0.2</v>
      </c>
    </row>
    <row r="18" ht="14.25" customHeight="1">
      <c r="A18" s="99" t="str">
        <f>'Fórmula'!A18</f>
        <v>Ca3Si2O7</v>
      </c>
      <c r="B18" s="101">
        <f t="array" ref="B18">(('Fórmula'!C18)/('Fórmula'!C18+'Fórmula'!E18+'Fórmula'!G18+'Fórmula'!I18+'Fórmula'!K18))*(INDEX(properties!A$1:CB$87,'Fórmula'!B18,3))+(('Fórmula'!E18)/('Fórmula'!C18+'Fórmula'!E18+'Fórmula'!G18+'Fórmula'!I18+'Fórmula'!K18))*(INDEX(properties!A$1:CB$87,'Fórmula'!D18,3))+(('Fórmula'!G18)/('Fórmula'!C18+'Fórmula'!E18+'Fórmula'!G18+'Fórmula'!I18+'Fórmula'!K18))*(INDEX(properties!A$1:CB$87,'Fórmula'!F18,3))+(('Fórmula'!I18)/('Fórmula'!C18+'Fórmula'!E18+'Fórmula'!G18+'Fórmula'!I18+'Fórmula'!K18))*(INDEX(properties!A$1:CB$87,'Fórmula'!H18,3))+(('Fórmula'!K18)/('Fórmula'!C18+'Fórmula'!E18+'Fórmula'!G18+'Fórmula'!I18+'Fórmula'!K18))*(INDEX(properties!A$1:CB$87,'Fórmula'!J18,3))</f>
        <v>24.0334</v>
      </c>
      <c r="C18" s="101">
        <f t="array" ref="C18">'Fórmula'!C18*(INDEX(properties!A$1:CB$87,'Fórmula'!B18,3))+'Fórmula'!E18*(INDEX(properties!A$1:CB$87,'Fórmula'!D18,3))+'Fórmula'!G18*(INDEX(properties!A$1:CB$87,'Fórmula'!F18,3))+'Fórmula'!I18*(INDEX(properties!A$1:CB$87,'Fórmula'!H18,3))+'Fórmula'!K18*(INDEX(properties!A$1:CB$87,'Fórmula'!J18,3))</f>
        <v>288.4008</v>
      </c>
      <c r="D18" s="101">
        <f t="array" ref="D18">VARP(IF(INDEX(properties!A$1:CB$87,'Fórmula'!B18,3)&lt;&gt;"",INDEX(properties!A$1:CB$87,'Fórmula'!B18,3)),IF(INDEX(properties!A$1:CB$87,'Fórmula'!D18,3)&lt;&gt;"",INDEX(properties!A$1:CB$87,'Fórmula'!D18,3)),IF(INDEX(properties!A$1:CB$87,'Fórmula'!F18,3)&lt;&gt;"",INDEX(properties!A$1:CB$87,'Fórmula'!F18,3)),IF(INDEX(properties!A$1:CB$87,'Fórmula'!H18,3)&lt;&gt;"",INDEX(properties!A$1:CB$87,'Fórmula'!H18,3)),IF(INDEX(properties!A$1:CB$87,'Fórmula'!J18,3)&lt;&gt;"",INDEX(properties!A$1:CB$87,'Fórmula'!J18,3)))</f>
        <v>246.8686895</v>
      </c>
      <c r="E18" s="101">
        <f t="array" ref="E18">MAX(INDEX(properties!A$1:CB$87,'Fórmula'!B18,3),INDEX(properties!A$1:CB$87,'Fórmula'!D18,3),INDEX(properties!A$1:CB$87,'Fórmula'!F18,3),INDEX(properties!A$1:CB$87,'Fórmula'!H18,3),INDEX(properties!A$1:CB$87,'Fórmula'!J18,3))</f>
        <v>40.078</v>
      </c>
      <c r="F18" s="101">
        <f t="array" ref="F18">MIN(IF(INDEX(properties!A$1:CB$87,'Fórmula'!B18,3)=0,10^6,INDEX(properties!A$1:CB$87,'Fórmula'!B18,3)),IF(INDEX(properties!A$1:CB$87,'Fórmula'!D18,3)=0,10^6,INDEX(properties!A$1:CB$87,'Fórmula'!D18,3)),IF(INDEX(properties!A$1:CB$87,'Fórmula'!F18,3)=0,10^6,INDEX(properties!A$1:CB$87,'Fórmula'!F18,3)),IF(INDEX(properties!A$1:CB$87,'Fórmula'!H18,3)=0,10^6,INDEX(properties!A$1:CB$87,'Fórmula'!H18,3)),IF(INDEX(properties!A$1:CB$87,'Fórmula'!J18,3)=0,10^6,INDEX(properties!A$1:CB$87,'Fórmula'!J18,3)))</f>
        <v>15.9994</v>
      </c>
      <c r="G18" s="101">
        <f t="shared" si="1"/>
        <v>24.0786</v>
      </c>
      <c r="H18" s="102">
        <f t="array" ref="H18">(('Fórmula'!C18)/('Fórmula'!C18+'Fórmula'!E18+'Fórmula'!G18+'Fórmula'!I18+'Fórmula'!K18))*(INDEX(properties!A$1:CB$87,'Fórmula'!B18,4))+(('Fórmula'!E18)/('Fórmula'!C18+'Fórmula'!E18+'Fórmula'!G18+'Fórmula'!I18+'Fórmula'!K18))*(INDEX(properties!A$1:CB$87,'Fórmula'!D18,4))+(('Fórmula'!G18)/('Fórmula'!C18+'Fórmula'!E18+'Fórmula'!G18+'Fórmula'!I18+'Fórmula'!K18))*(INDEX(properties!A$1:CB$87,'Fórmula'!F18,4))+(('Fórmula'!I18)/('Fórmula'!C18+'Fórmula'!E18+'Fórmula'!G18+'Fórmula'!I18+'Fórmula'!K18))*(INDEX(properties!A$1:CB$87,'Fórmula'!H18,4))+(('Fórmula'!K18)/('Fórmula'!C18+'Fórmula'!E18+'Fórmula'!G18+'Fórmula'!I18+'Fórmula'!K18))*(INDEX(properties!A$1:CB$87,'Fórmula'!J18,4))</f>
        <v>12</v>
      </c>
      <c r="I18" s="102">
        <f t="array" ref="I18">'Fórmula'!C18*(INDEX(properties!A$1:CB$87,'Fórmula'!B18,4))+'Fórmula'!E18*(INDEX(properties!A$1:CB$87,'Fórmula'!D18,4))+'Fórmula'!G18*(INDEX(properties!A$1:CB$87,'Fórmula'!F18,4))+'Fórmula'!I18*(INDEX(properties!A$1:CB$87,'Fórmula'!H18,4))+'Fórmula'!K18*(INDEX(properties!A$1:CB$87,'Fórmula'!J18,4))</f>
        <v>144</v>
      </c>
      <c r="J18" s="102">
        <f t="array" ref="J18">VARP(IF(INDEX(properties!A$1:CB$87,'Fórmula'!B18,4)&lt;&gt;"",INDEX(properties!A$1:CB$87,'Fórmula'!B18,4)),IF(INDEX(properties!A$1:CB$87,'Fórmula'!D18,4)&lt;&gt;"",INDEX(properties!A$1:CB$87,'Fórmula'!D18,4)),IF(INDEX(properties!A$1:CB$87,'Fórmula'!F18,4)&lt;&gt;"",INDEX(properties!A$1:CB$87,'Fórmula'!F18,4)),IF(INDEX(properties!A$1:CB$87,'Fórmula'!H18,4)&lt;&gt;"",INDEX(properties!A$1:CB$87,'Fórmula'!H18,4)),IF(INDEX(properties!A$1:CB$87,'Fórmula'!J18,4)&lt;&gt;"",INDEX(properties!A$1:CB$87,'Fórmula'!J18,4)))</f>
        <v>61.44</v>
      </c>
      <c r="K18" s="102">
        <f t="array" ref="K18">MAX(INDEX(properties!A$1:CB$87,'Fórmula'!B18,4),INDEX(properties!A$1:CB$87,'Fórmula'!D18,4),INDEX(properties!A$1:CB$87,'Fórmula'!F18,4),INDEX(properties!A$1:CB$87,'Fórmula'!H18,4),INDEX(properties!A$1:CB$87,'Fórmula'!J18,4))</f>
        <v>20</v>
      </c>
      <c r="L18" s="102">
        <f t="array" ref="L18">MIN(IF(INDEX(properties!A$1:CB$87,'Fórmula'!B18,4)=0,10^6,INDEX(properties!A$1:CB$87,'Fórmula'!B18,4)),IF(INDEX(properties!A$1:CB$87,'Fórmula'!D18,4)=0,10^6,INDEX(properties!A$1:CB$87,'Fórmula'!D18,4)),IF(INDEX(properties!A$1:CB$87,'Fórmula'!F18,4)=0,10^6,INDEX(properties!A$1:CB$87,'Fórmula'!F18,4)),IF(INDEX(properties!A$1:CB$87,'Fórmula'!H18,4)=0,10^6,INDEX(properties!A$1:CB$87,'Fórmula'!H18,4)),IF(INDEX(properties!A$1:CB$87,'Fórmula'!J18,4)=0,10^6,INDEX(properties!A$1:CB$87,'Fórmula'!J18,4)))</f>
        <v>8</v>
      </c>
      <c r="M18" s="102">
        <f t="shared" si="2"/>
        <v>12</v>
      </c>
      <c r="N18" s="103">
        <f t="array" ref="N18">(('Fórmula'!C18)/('Fórmula'!C18+'Fórmula'!E18+'Fórmula'!G18+'Fórmula'!I18+'Fórmula'!K18))*(INDEX(properties!A$1:CB$87,'Fórmula'!B18,5))+(('Fórmula'!E18)/('Fórmula'!C18+'Fórmula'!E18+'Fórmula'!G18+'Fórmula'!I18+'Fórmula'!K18))*(INDEX(properties!A$1:CB$87,'Fórmula'!D18,5))+(('Fórmula'!G18)/('Fórmula'!C18+'Fórmula'!E18+'Fórmula'!G18+'Fórmula'!I18+'Fórmula'!K18))*(INDEX(properties!A$1:CB$87,'Fórmula'!F18,5))+(('Fórmula'!I18)/('Fórmula'!C18+'Fórmula'!E18+'Fórmula'!G18+'Fórmula'!I18+'Fórmula'!K18))*(INDEX(properties!A$1:CB$87,'Fórmula'!H18,5))+(('Fórmula'!K18)/('Fórmula'!C18+'Fórmula'!E18+'Fórmula'!G18+'Fórmula'!I18+'Fórmula'!K18))*(INDEX(properties!A$1:CB$87,'Fórmula'!J18,5))</f>
        <v>2.666666667</v>
      </c>
      <c r="O18" s="103">
        <f t="array" ref="O18">'Fórmula'!C18*(INDEX(properties!A$1:CB$87,'Fórmula'!B18,5))+'Fórmula'!E18*(INDEX(properties!A$1:CB$87,'Fórmula'!D18,5))+'Fórmula'!G18*(INDEX(properties!A$1:CB$87,'Fórmula'!F18,5))+'Fórmula'!I18*(INDEX(properties!A$1:CB$87,'Fórmula'!H18,5))+'Fórmula'!K18*(INDEX(properties!A$1:CB$87,'Fórmula'!J18,5))</f>
        <v>32</v>
      </c>
      <c r="P18" s="103">
        <f t="array" ref="P18">VARP(IF(INDEX(properties!A$1:CB$87,'Fórmula'!B18,5)&lt;&gt;"",INDEX(properties!A$1:CB$87,'Fórmula'!B18,5)),IF(INDEX(properties!A$1:CB$87,'Fórmula'!D18,5)&lt;&gt;"",INDEX(properties!A$1:CB$87,'Fórmula'!D18,5)),IF(INDEX(properties!A$1:CB$87,'Fórmula'!F18,5)&lt;&gt;"",INDEX(properties!A$1:CB$87,'Fórmula'!F18,5)),IF(INDEX(properties!A$1:CB$87,'Fórmula'!H18,5)&lt;&gt;"",INDEX(properties!A$1:CB$87,'Fórmula'!H18,5)),IF(INDEX(properties!A$1:CB$87,'Fórmula'!J18,5)&lt;&gt;"",INDEX(properties!A$1:CB$87,'Fórmula'!J18,5)))</f>
        <v>2.56</v>
      </c>
      <c r="Q18" s="103">
        <f t="array" ref="Q18">MAX(INDEX(properties!A$1:CB$87,'Fórmula'!B18,5),INDEX(properties!A$1:CB$87,'Fórmula'!D18,5),INDEX(properties!A$1:CB$87,'Fórmula'!F18,5),INDEX(properties!A$1:CB$87,'Fórmula'!H18,5),INDEX(properties!A$1:CB$87,'Fórmula'!J18,5))</f>
        <v>4</v>
      </c>
      <c r="R18" s="103">
        <f t="array" ref="R18">MIN(IF(INDEX(properties!A$1:CB$87,'Fórmula'!B18,5)=0,10^6,INDEX(properties!A$1:CB$87,'Fórmula'!B18,5)),IF(INDEX(properties!A$1:CB$87,'Fórmula'!D18,5)=0,10^6,INDEX(properties!A$1:CB$87,'Fórmula'!D18,5)),IF(INDEX(properties!A$1:CB$87,'Fórmula'!F18,5)=0,10^6,INDEX(properties!A$1:CB$87,'Fórmula'!F18,5)),IF(INDEX(properties!A$1:CB$87,'Fórmula'!H18,5)=0,10^6,INDEX(properties!A$1:CB$87,'Fórmula'!H18,5)),IF(INDEX(properties!A$1:CB$87,'Fórmula'!J18,5)=0,10^6,INDEX(properties!A$1:CB$87,'Fórmula'!J18,5)))</f>
        <v>2</v>
      </c>
      <c r="S18" s="103">
        <f t="shared" si="3"/>
        <v>2</v>
      </c>
      <c r="T18" s="104">
        <f t="array" ref="T18">(('Fórmula'!C18)/('Fórmula'!C18+'Fórmula'!E18+'Fórmula'!G18+'Fórmula'!I18+'Fórmula'!K18))*(INDEX(properties!A$1:CB$87,'Fórmula'!B18,6))+(('Fórmula'!E18)/('Fórmula'!C18+'Fórmula'!E18+'Fórmula'!G18+'Fórmula'!I18+'Fórmula'!K18))*(INDEX(properties!A$1:CB$87,'Fórmula'!D18,6))+(('Fórmula'!G18)/('Fórmula'!C18+'Fórmula'!E18+'Fórmula'!G18+'Fórmula'!I18+'Fórmula'!K18))*(INDEX(properties!A$1:CB$87,'Fórmula'!F18,6))+(('Fórmula'!I18)/('Fórmula'!C18+'Fórmula'!E18+'Fórmula'!G18+'Fórmula'!I18+'Fórmula'!K18))*(INDEX(properties!A$1:CB$87,'Fórmula'!H18,6))+(('Fórmula'!K18)/('Fórmula'!C18+'Fórmula'!E18+'Fórmula'!G18+'Fórmula'!I18+'Fórmula'!K18))*(INDEX(properties!A$1:CB$87,'Fórmula'!J18,6))</f>
        <v>12.16666667</v>
      </c>
      <c r="U18" s="104">
        <f t="array" ref="U18">'Fórmula'!C18*(INDEX(properties!A$1:CB$87,'Fórmula'!B18,6))+'Fórmula'!E18*(INDEX(properties!A$1:CB$87,'Fórmula'!D18,6))+'Fórmula'!G18*(INDEX(properties!A$1:CB$87,'Fórmula'!F18,6))+'Fórmula'!I18*(INDEX(properties!A$1:CB$87,'Fórmula'!H18,6))+'Fórmula'!K18*(INDEX(properties!A$1:CB$87,'Fórmula'!J18,6))</f>
        <v>146</v>
      </c>
      <c r="V18" s="103">
        <f t="array" ref="V18">VARP(IF(INDEX(properties!A$1:CB$87,'Fórmula'!B18,6)&lt;&gt;"",INDEX(properties!A$1:CB$87,'Fórmula'!B18,6)),IF(INDEX(properties!A$1:CB$87,'Fórmula'!D18,6)&lt;&gt;"",INDEX(properties!A$1:CB$87,'Fórmula'!D18,6)),IF(INDEX(properties!A$1:CB$87,'Fórmula'!F18,6)&lt;&gt;"",INDEX(properties!A$1:CB$87,'Fórmula'!F18,6)),IF(INDEX(properties!A$1:CB$87,'Fórmula'!H18,6)&lt;&gt;"",INDEX(properties!A$1:CB$87,'Fórmula'!H18,6)),IF(INDEX(properties!A$1:CB$87,'Fórmula'!J18,6)&lt;&gt;"",INDEX(properties!A$1:CB$87,'Fórmula'!J18,6)))</f>
        <v>50.24</v>
      </c>
      <c r="W18" s="104">
        <f t="array" ref="W18">MAX(INDEX(properties!A$1:CB$87,'Fórmula'!B18,6),INDEX(properties!A$1:CB$87,'Fórmula'!D18,6),INDEX(properties!A$1:CB$87,'Fórmula'!F18,6),INDEX(properties!A$1:CB$87,'Fórmula'!H18,4),INDEX(properties!A$1:CB$87,'Fórmula'!J18,6))</f>
        <v>16</v>
      </c>
      <c r="X18" s="104">
        <f t="array" ref="X18">MIN(IF(INDEX(properties!A$1:CB$87,'Fórmula'!B18,6)=0,10^6,INDEX(properties!A$1:CB$87,'Fórmula'!B18,6)),IF(INDEX(properties!A$1:CB$87,'Fórmula'!D18,6)=0,10^6,INDEX(properties!A$1:CB$87,'Fórmula'!D18,6)),IF(INDEX(properties!A$1:CB$87,'Fórmula'!F18,6)=0,10^6,INDEX(properties!A$1:CB$87,'Fórmula'!F18,6)),IF(INDEX(properties!A$1:CB$87,'Fórmula'!H18,6)=0,10^6,INDEX(properties!A$1:CB$87,'Fórmula'!H18,6)),IF(INDEX(properties!A$1:CB$87,'Fórmula'!J18,6)=0,10^6,INDEX(properties!A$1:CB$87,'Fórmula'!J18,6)))</f>
        <v>2</v>
      </c>
      <c r="Y18" s="104">
        <f t="shared" si="4"/>
        <v>14</v>
      </c>
      <c r="Z18" s="105">
        <f t="array" ref="Z18">(('Fórmula'!C18)/('Fórmula'!C18+'Fórmula'!E18+'Fórmula'!G18+'Fórmula'!I18+'Fórmula'!K18))*(INDEX(properties!A$1:CB$87,'Fórmula'!B18,9))+(('Fórmula'!E18)/('Fórmula'!C18+'Fórmula'!E18+'Fórmula'!G18+'Fórmula'!I18+'Fórmula'!K18))*(INDEX(properties!A$1:CB$87,'Fórmula'!D18,9))+(('Fórmula'!G18)/('Fórmula'!C18+'Fórmula'!E18+'Fórmula'!G18+'Fórmula'!I18+'Fórmula'!K18))*(INDEX(properties!A$1:CB$87,'Fórmula'!F18,9))+(('Fórmula'!I18)/('Fórmula'!C18+'Fórmula'!E18+'Fórmula'!G18+'Fórmula'!I18+'Fórmula'!K18))*(INDEX(properties!A$1:CB$87,'Fórmula'!H18,9))+(('Fórmula'!K18)/('Fórmula'!C18+'Fórmula'!E18+'Fórmula'!G18+'Fórmula'!I18+'Fórmula'!K18))*(INDEX(properties!A$1:CB$87,'Fórmula'!J18,9))</f>
        <v>65.5</v>
      </c>
      <c r="AA18" s="105">
        <f t="array" ref="AA18">'Fórmula'!C18*(INDEX(properties!A$1:CB$87,'Fórmula'!B18,9))+'Fórmula'!E18*(INDEX(properties!A$1:CB$87,'Fórmula'!D18,9))+'Fórmula'!G18*(INDEX(properties!A$1:CB$87,'Fórmula'!F18,9))+'Fórmula'!I18*(INDEX(properties!A$1:CB$87,'Fórmula'!H18,9))+'Fórmula'!K18*(INDEX(properties!A$1:CB$87,'Fórmula'!J18,9))</f>
        <v>786</v>
      </c>
      <c r="AB18" s="105">
        <f t="array" ref="AB18">VARP(IF(INDEX(properties!A$1:CB$87,'Fórmula'!B18,9)&lt;&gt;"",INDEX(properties!A$1:CB$87,'Fórmula'!B18,9)),IF(INDEX(properties!A$1:CB$87,'Fórmula'!D18,9)&lt;&gt;"",INDEX(properties!A$1:CB$87,'Fórmula'!D18,9)),IF(INDEX(properties!A$1:CB$87,'Fórmula'!F18,9)&lt;&gt;"",INDEX(properties!A$1:CB$87,'Fórmula'!F18,9)),IF(INDEX(properties!A$1:CB$87,'Fórmula'!H18,9)&lt;&gt;"",INDEX(properties!A$1:CB$87,'Fórmula'!H18,9)),IF(INDEX(properties!A$1:CB$87,'Fórmula'!J18,9)&lt;&gt;"",INDEX(properties!A$1:CB$87,'Fórmula'!J18,9)))</f>
        <v>1557.04</v>
      </c>
      <c r="AC18" s="105">
        <f t="array" ref="AC18">MAX(INDEX(properties!A$1:CB$87,'Fórmula'!B18,9),INDEX(properties!A$1:CB$87,'Fórmula'!D18,9),INDEX(properties!A$1:CB$87,'Fórmula'!F18,9),INDEX(properties!A$1:CB$87,'Fórmula'!H18,9),INDEX(properties!A$1:CB$87,'Fórmula'!J18,9))</f>
        <v>87</v>
      </c>
      <c r="AD18" s="105">
        <f t="array" ref="AD18">MIN(IF(INDEX(properties!A$1:CB$87,'Fórmula'!B18,9)=0,10^6,INDEX(properties!A$1:CB$87,'Fórmula'!B18,9)),IF(INDEX(properties!A$1:CB$87,'Fórmula'!D18,9)=0,10^6,INDEX(properties!A$1:CB$87,'Fórmula'!D18,9)),IF(INDEX(properties!A$1:CB$87,'Fórmula'!F18,9)=0,10^6,INDEX(properties!A$1:CB$87,'Fórmula'!F18,9)),IF(INDEX(properties!A$1:CB$87,'Fórmula'!H18,9)=0,10^6,INDEX(properties!A$1:CB$87,'Fórmula'!H18,9)),IF(INDEX(properties!A$1:CB$87,'Fórmula'!J18,9)=0,10^6,INDEX(properties!A$1:CB$87,'Fórmula'!J18,9)))</f>
        <v>7</v>
      </c>
      <c r="AE18" s="105">
        <f t="shared" si="5"/>
        <v>80</v>
      </c>
      <c r="AF18" s="106">
        <f t="array" ref="AF18">(('Fórmula'!C18)/('Fórmula'!C18+'Fórmula'!E18+'Fórmula'!G18+'Fórmula'!I18+'Fórmula'!K18))*(INDEX(properties!A$1:CB$87,'Fórmula'!B18,10))+(('Fórmula'!E18)/('Fórmula'!C18+'Fórmula'!E18+'Fórmula'!G18+'Fórmula'!I18+'Fórmula'!K18))*(INDEX(properties!A$1:CB$87,'Fórmula'!D18,10))+(('Fórmula'!G18)/('Fórmula'!C18+'Fórmula'!E18+'Fórmula'!G18+'Fórmula'!I18+'Fórmula'!K18))*(INDEX(properties!A$1:CB$87,'Fórmula'!F18,10))+(('Fórmula'!I18)/('Fórmula'!C18+'Fórmula'!E18+'Fórmula'!G18+'Fórmula'!I18+'Fórmula'!K18))*(INDEX(properties!A$1:CB$87,'Fórmula'!H18,10))+(('Fórmula'!K18)/('Fórmula'!C18+'Fórmula'!E18+'Fórmula'!G18+'Fórmula'!I18+'Fórmula'!K18))*(INDEX(properties!A$1:CB$87,'Fórmula'!J18,10))</f>
        <v>5.583333333</v>
      </c>
      <c r="AG18" s="106">
        <f t="array" ref="AG18">'Fórmula'!C18*(INDEX(properties!A$1:CB$87,'Fórmula'!B18,10))+'Fórmula'!E18*(INDEX(properties!A$1:CB$87,'Fórmula'!D18,10))+'Fórmula'!G18*(INDEX(properties!A$1:CB$87,'Fórmula'!F18,10))+'Fórmula'!I18*(INDEX(properties!A$1:CB$87,'Fórmula'!H18,10))+'Fórmula'!K18*(INDEX(properties!A$1:CB$87,'Fórmula'!J18,10))</f>
        <v>67</v>
      </c>
      <c r="AH18" s="106">
        <f t="array" ref="AH18">VARP(IF(INDEX(properties!A$1:CB$87,'Fórmula'!B18,10)&lt;&gt;"",INDEX(properties!A$1:CB$87,'Fórmula'!B18,10)),IF(INDEX(properties!A$1:CB$87,'Fórmula'!D18,10)&lt;&gt;"",INDEX(properties!A$1:CB$87,'Fórmula'!D18,10)),IF(INDEX(properties!A$1:CB$87,'Fórmula'!F18,10)&lt;&gt;"",INDEX(properties!A$1:CB$87,'Fórmula'!F18,10)),IF(INDEX(properties!A$1:CB$87,'Fórmula'!H18,10)&lt;&gt;"",INDEX(properties!A$1:CB$87,'Fórmula'!H18,10)),IF(INDEX(properties!A$1:CB$87,'Fórmula'!J18,10)&lt;&gt;"",INDEX(properties!A$1:CB$87,'Fórmula'!J18,10)))</f>
        <v>8.8</v>
      </c>
      <c r="AI18" s="106">
        <f t="array" ref="AI18">MAX(INDEX(properties!A$1:CB$87,'Fórmula'!B18,10),INDEX(properties!A$1:CB$87,'Fórmula'!D18,10),INDEX(properties!A$1:CB$87,'Fórmula'!F18,10),INDEX(properties!A$1:CB$87,'Fórmula'!H18,10),INDEX(properties!A$1:CB$87,'Fórmula'!J18,10))</f>
        <v>7</v>
      </c>
      <c r="AJ18" s="106">
        <f t="array" ref="AJ18">MIN(IF(INDEX(properties!A$1:CB$87,'Fórmula'!B18,10)=0,10^6,INDEX(properties!A$1:CB$87,'Fórmula'!B18,10)),IF(INDEX(properties!A$1:CB$87,'Fórmula'!D18,10)=0,10^6,INDEX(properties!A$1:CB$87,'Fórmula'!D18,10)),IF(INDEX(properties!A$1:CB$87,'Fórmula'!F18,10)=0,10^6,INDEX(properties!A$1:CB$87,'Fórmula'!F18,10)),IF(INDEX(properties!A$1:CB$87,'Fórmula'!H18,10)=0,10^6,INDEX(properties!A$1:CB$87,'Fórmula'!H18,10)),IF(INDEX(properties!A$1:CB$87,'Fórmula'!J18,10)=0,10^6,INDEX(properties!A$1:CB$87,'Fórmula'!J18,10)))</f>
        <v>2</v>
      </c>
      <c r="AK18" s="106">
        <f t="shared" si="6"/>
        <v>5</v>
      </c>
      <c r="AL18" s="107">
        <f t="array" ref="AL18">(('Fórmula'!C18)/('Fórmula'!C18+'Fórmula'!E18+'Fórmula'!G18+'Fórmula'!I18+'Fórmula'!K18))*(INDEX(properties!A$1:CB$87,'Fórmula'!B18,11))+(('Fórmula'!E18)/('Fórmula'!C18+'Fórmula'!E18+'Fórmula'!G18+'Fórmula'!I18+'Fórmula'!K18))*(INDEX(properties!A$1:CB$87,'Fórmula'!D18,11))+(('Fórmula'!G18)/('Fórmula'!C18+'Fórmula'!E18+'Fórmula'!G18+'Fórmula'!I18+'Fórmula'!K18))*(INDEX(properties!A$1:CB$87,'Fórmula'!F18,11))+(('Fórmula'!I18)/('Fórmula'!C18+'Fórmula'!E18+'Fórmula'!G18+'Fórmula'!I18+'Fórmula'!K18))*(INDEX(properties!A$1:CB$87,'Fórmula'!H18,11))+(('Fórmula'!K18)/('Fórmula'!C18+'Fórmula'!E18+'Fórmula'!G18+'Fórmula'!I18+'Fórmula'!K18))*(INDEX(properties!A$1:CB$87,'Fórmula'!J18,11))</f>
        <v>2</v>
      </c>
      <c r="AM18" s="107">
        <f t="array" ref="AM18">'Fórmula'!C18*(INDEX(properties!A$1:CB$87,'Fórmula'!B18,11))+'Fórmula'!E18*(INDEX(properties!A$1:CB$87,'Fórmula'!D18,11))+'Fórmula'!G18*(INDEX(properties!A$1:CB$87,'Fórmula'!F18,11))+'Fórmula'!I18*(INDEX(properties!A$1:CB$87,'Fórmula'!H18,11))+'Fórmula'!K18*(INDEX(properties!A$1:CB$87,'Fórmula'!J18,11))</f>
        <v>24</v>
      </c>
      <c r="AN18" s="107">
        <f t="array" ref="AN18">VARP(IF(INDEX(properties!A$1:CB$87,'Fórmula'!B18,11)&lt;&gt;"",INDEX(properties!A$1:CB$87,'Fórmula'!B18,11)),IF(INDEX(properties!A$1:CB$87,'Fórmula'!D18,11)&lt;&gt;"",INDEX(properties!A$1:CB$87,'Fórmula'!D18,11)),IF(INDEX(properties!A$1:CB$87,'Fórmula'!F18,11)&lt;&gt;"",INDEX(properties!A$1:CB$87,'Fórmula'!F18,11)),IF(INDEX(properties!A$1:CB$87,'Fórmula'!H18,11)&lt;&gt;"",INDEX(properties!A$1:CB$87,'Fórmula'!H18,11)),IF(INDEX(properties!A$1:CB$87,'Fórmula'!J18,11)&lt;&gt;"",INDEX(properties!A$1:CB$87,'Fórmula'!J18,11)))</f>
        <v>0.96</v>
      </c>
      <c r="AO18" s="107">
        <f t="array" ref="AO18">MAX(INDEX(properties!A$1:CB$87,'Fórmula'!B18,11),INDEX(properties!A$1:CB$87,'Fórmula'!D18,11),INDEX(properties!A$1:CB$87,'Fórmula'!F18,11),INDEX(properties!A$1:CB$87,'Fórmula'!H18,11),INDEX(properties!A$1:CB$87,'Fórmula'!J18,11))</f>
        <v>2</v>
      </c>
      <c r="AP18" s="107">
        <f t="array" ref="AP18">MIN(IF('Fórmula'!B18=87,10^6,INDEX(properties!A$1:CB$87,'Fórmula'!B18,11)),IF(('Fórmula'!D18)=87,10^6,INDEX(properties!A$1:CB$87,'Fórmula'!D18,11)),IF(('Fórmula'!F18)=87,10^6,INDEX(properties!A$1:CB$87,'Fórmula'!F18,11)),IF(('Fórmula'!H18)=87,10^6,INDEX(properties!A$1:CB$87,'Fórmula'!H18,11)),IF('Fórmula'!J18=87,10^6,INDEX(properties!A$1:CB$87,'Fórmula'!J18,11)))</f>
        <v>2</v>
      </c>
      <c r="AQ18" s="107">
        <f t="shared" si="7"/>
        <v>0</v>
      </c>
      <c r="AR18" s="108">
        <f t="array" ref="AR18">(('Fórmula'!C18)/('Fórmula'!C18+'Fórmula'!E18+'Fórmula'!G18+'Fórmula'!I18+'Fórmula'!K18))*(INDEX(properties!A$1:CB$87,'Fórmula'!B18,12))+(('Fórmula'!E18)/('Fórmula'!C18+'Fórmula'!E18+'Fórmula'!G18+'Fórmula'!I18+'Fórmula'!K18))*(INDEX(properties!A$1:CB$87,'Fórmula'!D18,12))+(('Fórmula'!G18)/('Fórmula'!C18+'Fórmula'!E18+'Fórmula'!G18+'Fórmula'!I18+'Fórmula'!K18))*(INDEX(properties!A$1:CB$87,'Fórmula'!F18,12))+(('Fórmula'!I18)/('Fórmula'!C18+'Fórmula'!E18+'Fórmula'!G18+'Fórmula'!I18+'Fórmula'!K18))*(INDEX(properties!A$1:CB$87,'Fórmula'!H18,12))+(('Fórmula'!K18)/('Fórmula'!C18+'Fórmula'!E18+'Fórmula'!G18+'Fórmula'!I18+'Fórmula'!K18))*(INDEX(properties!A$1:CB$87,'Fórmula'!J18,12))</f>
        <v>2.666666667</v>
      </c>
      <c r="AS18" s="108">
        <f t="array" ref="AS18">'Fórmula'!C18*(INDEX(properties!A$1:CB$87,'Fórmula'!B18,12))+'Fórmula'!E18*(INDEX(properties!A$1:CB$87,'Fórmula'!D18,12))+'Fórmula'!G18*(INDEX(properties!A$1:CB$87,'Fórmula'!F18,12))+'Fórmula'!I18*(INDEX(properties!A$1:CB$87,'Fórmula'!H18,12))+'Fórmula'!K18*(INDEX(properties!A$1:CB$87,'Fórmula'!J18,12))</f>
        <v>32</v>
      </c>
      <c r="AT18" s="108">
        <f t="array" ref="AT18">VARP(IF(INDEX(properties!A$1:CB$87,'Fórmula'!B18,12)&lt;&gt;"",INDEX(properties!A$1:CB$87,'Fórmula'!B18,12)),IF(INDEX(properties!A$1:CB$87,'Fórmula'!D18,12)&lt;&gt;"",INDEX(properties!A$1:CB$87,'Fórmula'!D18,12)),IF(INDEX(properties!A$1:CB$87,'Fórmula'!F18,12)&lt;&gt;"",INDEX(properties!A$1:CB$87,'Fórmula'!F18,12)),IF(INDEX(properties!A$1:CB$87,'Fórmula'!H18,12)&lt;&gt;"",INDEX(properties!A$1:CB$87,'Fórmula'!H18,12)),IF(INDEX(properties!A$1:CB$87,'Fórmula'!J18,12)&lt;&gt;"",INDEX(properties!A$1:CB$87,'Fórmula'!J18,12)))</f>
        <v>2.56</v>
      </c>
      <c r="AU18" s="108">
        <f t="array" ref="AU18">MAX(INDEX(properties!A$1:CB$87,'Fórmula'!B18,12),INDEX(properties!A$1:CB$87,'Fórmula'!D18,12),INDEX(properties!A$1:CB$87,'Fórmula'!F18,12),INDEX(properties!A$1:CB$87,'Fórmula'!H18,12),INDEX(properties!A$1:CB$87,'Fórmula'!J18,12))</f>
        <v>4</v>
      </c>
      <c r="AV18" s="108">
        <f t="array" ref="AV18">MIN(IF('Fórmula'!B18=87,10^6,INDEX(properties!A$1:CB$87,'Fórmula'!B18,12)),IF(('Fórmula'!D18)=87,10^6,INDEX(properties!A$1:CB$87,'Fórmula'!D18,12)),IF(('Fórmula'!F18)=87,10^6,INDEX(properties!A$1:CB$87,'Fórmula'!F18,12)),IF(('Fórmula'!H18)=87,10^6,INDEX(properties!A$1:CB$87,'Fórmula'!H18,12)),IF('Fórmula'!J18=87,10^6,INDEX(properties!A$1:CB$87,'Fórmula'!J18,12)))</f>
        <v>0</v>
      </c>
      <c r="AW18" s="108">
        <f t="shared" si="8"/>
        <v>4</v>
      </c>
      <c r="AX18" s="109">
        <f t="array" ref="AX18">(('Fórmula'!C18)/('Fórmula'!C18+'Fórmula'!E18+'Fórmula'!G18+'Fórmula'!I18+'Fórmula'!K18))*(INDEX(properties!A$1:CB$87,'Fórmula'!B18,13))+(('Fórmula'!E18)/('Fórmula'!C18+'Fórmula'!E18+'Fórmula'!G18+'Fórmula'!I18+'Fórmula'!K18))*(INDEX(properties!A$1:CB$87,'Fórmula'!D18,13))+(('Fórmula'!G18)/('Fórmula'!C18+'Fórmula'!E18+'Fórmula'!G18+'Fórmula'!I18+'Fórmula'!K18))*(INDEX(properties!A$1:CB$87,'Fórmula'!F18,13))+(('Fórmula'!I18)/('Fórmula'!C18+'Fórmula'!E18+'Fórmula'!G18+'Fórmula'!I18+'Fórmula'!K18))*(INDEX(properties!A$1:CB$87,'Fórmula'!H18,13))+(('Fórmula'!K18)/('Fórmula'!C18+'Fórmula'!E18+'Fórmula'!G18+'Fórmula'!I18+'Fórmula'!K18))*(INDEX(properties!A$1:CB$87,'Fórmula'!J18,13))</f>
        <v>0</v>
      </c>
      <c r="AY18" s="109">
        <f t="array" ref="AY18">'Fórmula'!C18*(INDEX(properties!A$1:CB$87,'Fórmula'!B18,13))+'Fórmula'!E18*(INDEX(properties!A$1:CB$87,'Fórmula'!D18,13))+'Fórmula'!G18*(INDEX(properties!A$1:CB$87,'Fórmula'!F18,13))+'Fórmula'!I18*(INDEX(properties!A$1:CB$87,'Fórmula'!H18,13))+'Fórmula'!K18*(INDEX(properties!A$1:CB$87,'Fórmula'!J18,13))</f>
        <v>0</v>
      </c>
      <c r="AZ18" s="109">
        <f t="array" ref="AZ18">VARP(IF(INDEX(properties!A$1:CB$87,'Fórmula'!B18,13)&lt;&gt;"",INDEX(properties!A$1:CB$87,'Fórmula'!B18,13)),IF(INDEX(properties!A$1:CB$87,'Fórmula'!D18,13)&lt;&gt;"",INDEX(properties!A$1:CB$87,'Fórmula'!D18,13)),IF(INDEX(properties!A$1:CB$87,'Fórmula'!F18,13)&lt;&gt;"",INDEX(properties!A$1:CB$87,'Fórmula'!F18,13)),IF(INDEX(properties!A$1:CB$87,'Fórmula'!H18,13)&lt;&gt;"",INDEX(properties!A$1:CB$87,'Fórmula'!H18,13)),IF(INDEX(properties!A$1:CB$87,'Fórmula'!J18,13)&lt;&gt;"",INDEX(properties!A$1:CB$87,'Fórmula'!J18,13)))</f>
        <v>0</v>
      </c>
      <c r="BA18" s="109">
        <f t="array" ref="BA18">MAX(INDEX(properties!A$1:CB$87,'Fórmula'!B18,13),INDEX(properties!A$1:CB$87,'Fórmula'!D18,13),INDEX(properties!A$1:CB$87,'Fórmula'!F18,13),INDEX(properties!A$1:CB$87,'Fórmula'!H18,13),INDEX(properties!A$1:CB$87,'Fórmula'!J18,13))</f>
        <v>0</v>
      </c>
      <c r="BB18" s="109">
        <f t="array" ref="BB18">MIN(IF('Fórmula'!B18=87,10^6,INDEX(properties!A$1:CB$87,'Fórmula'!B18,13)),IF(('Fórmula'!D18)=87,10^6,INDEX(properties!A$1:CB$87,'Fórmula'!D18,13)),IF(('Fórmula'!F18)=87,10^6,INDEX(properties!A$1:CB$87,'Fórmula'!F18,13)),IF(('Fórmula'!H18)=87,10^6,INDEX(properties!A$1:CB$87,'Fórmula'!H18,13)),IF('Fórmula'!J18=87,10^6,INDEX(properties!A$1:CB$87,'Fórmula'!J18,13)))</f>
        <v>0</v>
      </c>
      <c r="BC18" s="109">
        <f t="shared" si="9"/>
        <v>0</v>
      </c>
      <c r="BD18" s="110">
        <f t="array" ref="BD18">(('Fórmula'!C18)/('Fórmula'!C18+'Fórmula'!E18+'Fórmula'!G18+'Fórmula'!I18+'Fórmula'!K18))*(INDEX(properties!A$1:CB$87,'Fórmula'!B18,14))+(('Fórmula'!E18)/('Fórmula'!C18+'Fórmula'!E18+'Fórmula'!G18+'Fórmula'!I18+'Fórmula'!K18))*(INDEX(properties!A$1:CB$87,'Fórmula'!D18,14))+(('Fórmula'!G18)/('Fórmula'!C18+'Fórmula'!E18+'Fórmula'!G18+'Fórmula'!I18+'Fórmula'!K18))*(INDEX(properties!A$1:CB$87,'Fórmula'!F18,14))+(('Fórmula'!I18)/('Fórmula'!C18+'Fórmula'!E18+'Fórmula'!G18+'Fórmula'!I18+'Fórmula'!K18))*(INDEX(properties!A$1:CB$87,'Fórmula'!H18,14))+(('Fórmula'!K18)/('Fórmula'!C18+'Fórmula'!E18+'Fórmula'!G18+'Fórmula'!I18+'Fórmula'!K18))*(INDEX(properties!A$1:CB$87,'Fórmula'!J18,14))</f>
        <v>0</v>
      </c>
      <c r="BE18" s="110">
        <f t="array" ref="BE18">'Fórmula'!C18*(INDEX(properties!A$1:CB$87,'Fórmula'!B18,14))+'Fórmula'!E18*(INDEX(properties!A$1:CB$87,'Fórmula'!D18,14))+'Fórmula'!G18*(INDEX(properties!A$1:CB$87,'Fórmula'!F18,14))+'Fórmula'!I18*(INDEX(properties!A$1:CB$87,'Fórmula'!H18,14))+'Fórmula'!K18*(INDEX(properties!A$1:CB$87,'Fórmula'!J18,14))</f>
        <v>0</v>
      </c>
      <c r="BF18" s="110">
        <f t="array" ref="BF18">VARP(IF(INDEX(properties!A$1:CB$87,'Fórmula'!B18,14)&lt;&gt;"",INDEX(properties!A$1:CB$87,'Fórmula'!B18,14)),IF(INDEX(properties!A$1:CB$87,'Fórmula'!D18,14)&lt;&gt;"",INDEX(properties!A$1:CB$87,'Fórmula'!D18,14)),IF(INDEX(properties!A$1:CB$87,'Fórmula'!F18,14)&lt;&gt;"",INDEX(properties!A$1:CB$87,'Fórmula'!F18,14)),IF(INDEX(properties!A$1:CB$87,'Fórmula'!H18,14)&lt;&gt;"",INDEX(properties!A$1:CB$87,'Fórmula'!H18,14)),IF(INDEX(properties!A$1:CB$87,'Fórmula'!J18,14)&lt;&gt;"",INDEX(properties!A$1:CB$87,'Fórmula'!J18,14)))</f>
        <v>0</v>
      </c>
      <c r="BG18" s="110">
        <f t="array" ref="BG18">MAX(INDEX(properties!A$1:CB$87,'Fórmula'!B18,14),INDEX(properties!A$1:CB$87,'Fórmula'!D18,14),INDEX(properties!A$1:CB$87,'Fórmula'!F18,14),INDEX(properties!A$1:CB$87,'Fórmula'!H18,14),INDEX(properties!A$1:CB$87,'Fórmula'!J18,14))</f>
        <v>0</v>
      </c>
      <c r="BH18" s="110">
        <f t="array" ref="BH18">MIN(IF('Fórmula'!B18=87,10^6,INDEX(properties!A$1:CB$87,'Fórmula'!B18,14)),IF(('Fórmula'!D18)=87,10^6,INDEX(properties!A$1:CB$87,'Fórmula'!D18,14)),IF(('Fórmula'!F18)=87,10^6,INDEX(properties!A$1:CB$87,'Fórmula'!F18,14)),IF(('Fórmula'!H18)=87,10^6,INDEX(properties!A$1:CB$87,'Fórmula'!H18,14)),IF('Fórmula'!J18=87,10^6,INDEX(properties!A$1:CB$87,'Fórmula'!J18,14)))</f>
        <v>0</v>
      </c>
      <c r="BI18" s="110">
        <f t="shared" si="10"/>
        <v>0</v>
      </c>
      <c r="BJ18" s="111">
        <f t="array" ref="BJ18">(('Fórmula'!C18)/('Fórmula'!C18+'Fórmula'!E18+'Fórmula'!G18+'Fórmula'!I18+'Fórmula'!K18))*(INDEX(properties!A$1:CB$87,'Fórmula'!B18,19))+(('Fórmula'!E18)/('Fórmula'!C18+'Fórmula'!E18+'Fórmula'!G18+'Fórmula'!I18+'Fórmula'!K18))*(INDEX(properties!A$1:CB$87,'Fórmula'!D18,19))+(('Fórmula'!G18)/('Fórmula'!C18+'Fórmula'!E18+'Fórmula'!G18+'Fórmula'!I18+'Fórmula'!K18))*(INDEX(properties!A$1:CB$87,'Fórmula'!F18,19))+(('Fórmula'!I18)/('Fórmula'!C18+'Fórmula'!E18+'Fórmula'!G18+'Fórmula'!I18+'Fórmula'!K18))*(INDEX(properties!A$1:CB$87,'Fórmula'!H18,19))+(('Fórmula'!K18)/('Fórmula'!C18+'Fórmula'!E18+'Fórmula'!G18+'Fórmula'!I18+'Fórmula'!K18))*(INDEX(properties!A$1:CB$87,'Fórmula'!J18,19))</f>
        <v>4.666666667</v>
      </c>
      <c r="BK18" s="111">
        <f t="array" ref="BK18">'Fórmula'!C18*(INDEX(properties!A$1:CB$87,'Fórmula'!B18,19))+'Fórmula'!E18*(INDEX(properties!A$1:CB$87,'Fórmula'!D18,19))+'Fórmula'!G18*(INDEX(properties!A$1:CB$87,'Fórmula'!F18,19))+'Fórmula'!I18*(INDEX(properties!A$1:CB$87,'Fórmula'!H18,19))+'Fórmula'!K18*(INDEX(properties!A$1:CB$87,'Fórmula'!J18,19))</f>
        <v>56</v>
      </c>
      <c r="BL18" s="111">
        <f t="array" ref="BL18">VARP(IF(INDEX(properties!A$1:CB$87,'Fórmula'!B18,19)&lt;&gt;"",INDEX(properties!A$1:CB$87,'Fórmula'!B18,19)),IF(INDEX(properties!A$1:CB$87,'Fórmula'!D18,19)&lt;&gt;"",INDEX(properties!A$1:CB$87,'Fórmula'!D18,19)),IF(INDEX(properties!A$1:CB$87,'Fórmula'!F18,19)&lt;&gt;"",INDEX(properties!A$1:CB$87,'Fórmula'!F18,19)),IF(INDEX(properties!A$1:CB$87,'Fórmula'!H18,19)&lt;&gt;"",INDEX(properties!A$1:CB$87,'Fórmula'!H18,19)),IF(INDEX(properties!A$1:CB$87,'Fórmula'!J18,19)&lt;&gt;"",INDEX(properties!A$1:CB$87,'Fórmula'!J18,19)))</f>
        <v>5.44</v>
      </c>
      <c r="BM18" s="111">
        <f t="array" ref="BM18">MAX(INDEX(properties!A$1:CB$87,'Fórmula'!B18,19),INDEX(properties!A$1:CB$87,'Fórmula'!D18,19),INDEX(properties!A$1:CB$87,'Fórmula'!F18,19),INDEX(properties!A$1:CB$87,'Fórmula'!H18,19),INDEX(properties!A$1:CB$87,'Fórmula'!J18,19))</f>
        <v>6</v>
      </c>
      <c r="BN18" s="111">
        <f t="array" ref="BN18">MIN(IF(INDEX(properties!A$1:CB$87,'Fórmula'!B18,19)=0,10^6,INDEX(properties!A$1:CB$87,'Fórmula'!B18,19)),IF(INDEX(properties!A$1:CB$87,'Fórmula'!D18,19)=0,10^6,INDEX(properties!A$1:CB$87,'Fórmula'!D18,19)),IF(INDEX(properties!A$1:CB$87,'Fórmula'!F18,19)=0,10^6,INDEX(properties!A$1:CB$87,'Fórmula'!F18,19)),IF(INDEX(properties!A$1:CB$87,'Fórmula'!H18,19)=0,10^6,INDEX(properties!A$1:CB$87,'Fórmula'!H18,19)),IF(INDEX(properties!A$1:CB$87,'Fórmula'!J18,19)=0,10^6,INDEX(properties!A$1:CB$87,'Fórmula'!J18,19)))</f>
        <v>2</v>
      </c>
      <c r="BO18" s="111">
        <f t="shared" si="11"/>
        <v>4</v>
      </c>
      <c r="BP18" s="112">
        <f t="array" ref="BP18">(('Fórmula'!C18)/('Fórmula'!C18+'Fórmula'!E18+'Fórmula'!G18+'Fórmula'!I18+'Fórmula'!K18))*(INDEX(properties!A$1:CB$87,'Fórmula'!B18,20))+(('Fórmula'!E18)/('Fórmula'!C18+'Fórmula'!E18+'Fórmula'!G18+'Fórmula'!I18+'Fórmula'!K18))*(INDEX(properties!A$1:CB$87,'Fórmula'!D18,20))+(('Fórmula'!G18)/('Fórmula'!C18+'Fórmula'!E18+'Fórmula'!G18+'Fórmula'!I18+'Fórmula'!K18))*(INDEX(properties!A$1:CB$87,'Fórmula'!F18,20))+(('Fórmula'!I18)/('Fórmula'!C18+'Fórmula'!E18+'Fórmula'!G18+'Fórmula'!I18+'Fórmula'!K18))*(INDEX(properties!A$1:CB$87,'Fórmula'!H18,20))+(('Fórmula'!K18)/('Fórmula'!C18+'Fórmula'!E18+'Fórmula'!G18+'Fórmula'!I18+'Fórmula'!K18))*(INDEX(properties!A$1:CB$87,'Fórmula'!J18,20))</f>
        <v>4.666666667</v>
      </c>
      <c r="BQ18" s="112">
        <f t="array" ref="BQ18">'Fórmula'!C18*(INDEX(properties!A$1:CB$87,'Fórmula'!B18,20))+'Fórmula'!E18*(INDEX(properties!A$1:CB$87,'Fórmula'!D18,20))+'Fórmula'!G18*(INDEX(properties!A$1:CB$87,'Fórmula'!F18,20))+'Fórmula'!I18*(INDEX(properties!A$1:CB$87,'Fórmula'!H18,20))+'Fórmula'!K18*(INDEX(properties!A$1:CB$87,'Fórmula'!J18,20))</f>
        <v>56</v>
      </c>
      <c r="BR18" s="112">
        <f t="array" ref="BR18">VARP(IF(INDEX(properties!A$1:CB$87,'Fórmula'!B18,20)&lt;&gt;"",INDEX(properties!A$1:CB$87,'Fórmula'!B18,20)),IF(INDEX(properties!A$1:CB$87,'Fórmula'!D18,20)&lt;&gt;"",INDEX(properties!A$1:CB$87,'Fórmula'!D18,20)),IF(INDEX(properties!A$1:CB$87,'Fórmula'!F18,20)&lt;&gt;"",INDEX(properties!A$1:CB$87,'Fórmula'!F18,20)),IF(INDEX(properties!A$1:CB$87,'Fórmula'!H18,20)&lt;&gt;"",INDEX(properties!A$1:CB$87,'Fórmula'!H18,20)),IF(INDEX(properties!A$1:CB$87,'Fórmula'!J18,20)&lt;&gt;"",INDEX(properties!A$1:CB$87,'Fórmula'!J18,20)))</f>
        <v>5.44</v>
      </c>
      <c r="BS18" s="112">
        <f t="array" ref="BS18">MAX(INDEX(properties!A$1:CB$87,'Fórmula'!B18,20),INDEX(properties!A$1:CB$87,'Fórmula'!D18,20),INDEX(properties!A$1:CB$87,'Fórmula'!F18,20),INDEX(properties!A$1:CB$87,'Fórmula'!H18,20),INDEX(properties!A$1:CB$87,'Fórmula'!J18,20))</f>
        <v>6</v>
      </c>
      <c r="BT18" s="112">
        <f t="array" ref="BT18">MIN(IF(INDEX(properties!A$1:CB$87,'Fórmula'!B18,20)=0,10^6,INDEX(properties!A$1:CB$87,'Fórmula'!B18,20)),IF(INDEX(properties!A$1:CB$87,'Fórmula'!D18,20)=0,10^6,INDEX(properties!A$1:CB$87,'Fórmula'!D18,20)),IF(INDEX(properties!A$1:CB$87,'Fórmula'!F18,20)=0,10^6,INDEX(properties!A$1:CB$87,'Fórmula'!F18,20)),IF(INDEX(properties!A$1:CB$87,'Fórmula'!H18,20)=0,10^6,INDEX(properties!A$1:CB$87,'Fórmula'!H18,20)),IF(INDEX(properties!A$1:CB$87,'Fórmula'!J18,20)=0,10^6,INDEX(properties!A$1:CB$87,'Fórmula'!J18,20)))</f>
        <v>2</v>
      </c>
      <c r="BU18" s="112">
        <f t="shared" si="12"/>
        <v>4</v>
      </c>
      <c r="BV18" s="113">
        <f t="array" ref="BV18">(('Fórmula'!C18)/('Fórmula'!C18+'Fórmula'!E18+'Fórmula'!G18+'Fórmula'!I18+'Fórmula'!K18))*(INDEX(properties!A$1:CB$87,'Fórmula'!B18,21))+(('Fórmula'!E18)/('Fórmula'!C18+'Fórmula'!E18+'Fórmula'!G18+'Fórmula'!I18+'Fórmula'!K18))*(INDEX(properties!A$1:CB$87,'Fórmula'!D18,21))+(('Fórmula'!G18)/('Fórmula'!C18+'Fórmula'!E18+'Fórmula'!G18+'Fórmula'!I18+'Fórmula'!K18))*(INDEX(properties!A$1:CB$87,'Fórmula'!F18,21))+(('Fórmula'!I18)/('Fórmula'!C18+'Fórmula'!E18+'Fórmula'!G18+'Fórmula'!I18+'Fórmula'!K18))*(INDEX(properties!A$1:CB$87,'Fórmula'!H18,21))+(('Fórmula'!K18)/('Fórmula'!C18+'Fórmula'!E18+'Fórmula'!G18+'Fórmula'!I18+'Fórmula'!K18))*(INDEX(properties!A$1:CB$87,'Fórmula'!J18,21))</f>
        <v>4.666666667</v>
      </c>
      <c r="BW18" s="113">
        <f t="array" ref="BW18">'Fórmula'!C18*(INDEX(properties!A$1:CB$87,'Fórmula'!B18,21))+'Fórmula'!E18*(INDEX(properties!A$1:CB$87,'Fórmula'!D18,21))+'Fórmula'!G18*(INDEX(properties!A$1:CB$87,'Fórmula'!F18,21))+'Fórmula'!I18*(INDEX(properties!A$1:CB$87,'Fórmula'!H18,21))+'Fórmula'!K18*(INDEX(properties!A$1:CB$87,'Fórmula'!J18,21))</f>
        <v>56</v>
      </c>
      <c r="BX18" s="113">
        <f t="array" ref="BX18">VARP(IF(INDEX(properties!A$1:CB$87,'Fórmula'!B18,21)&lt;&gt;"",INDEX(properties!A$1:CB$87,'Fórmula'!B18,21)),IF(INDEX(properties!A$1:CB$87,'Fórmula'!D18,21)&lt;&gt;"",INDEX(properties!A$1:CB$87,'Fórmula'!D18,21)),IF(INDEX(properties!A$1:CB$87,'Fórmula'!F18,21)&lt;&gt;"",INDEX(properties!A$1:CB$87,'Fórmula'!F18,21)),IF(INDEX(properties!A$1:CB$87,'Fórmula'!H18,21)&lt;&gt;"",INDEX(properties!A$1:CB$87,'Fórmula'!H18,21)),IF(INDEX(properties!A$1:CB$87,'Fórmula'!J18,21)&lt;&gt;"",INDEX(properties!A$1:CB$87,'Fórmula'!J18,21)))</f>
        <v>5.44</v>
      </c>
      <c r="BY18" s="113">
        <f t="array" ref="BY18">MAX(INDEX(properties!A$1:CB$87,'Fórmula'!B18,21),INDEX(properties!A$1:CB$87,'Fórmula'!D18,21),INDEX(properties!A$1:CB$87,'Fórmula'!F18,21),INDEX(properties!A$1:CB$87,'Fórmula'!H18,21),INDEX(properties!A$1:CB$87,'Fórmula'!J18,21))</f>
        <v>6</v>
      </c>
      <c r="BZ18" s="113">
        <f t="array" ref="BZ18">MIN(IF(INDEX(properties!A$1:CB$87,'Fórmula'!B18,21)=0,10^6,INDEX(properties!A$1:CB$87,'Fórmula'!B18,21)),IF(INDEX(properties!A$1:CB$87,'Fórmula'!D18,21)=0,10^6,INDEX(properties!A$1:CB$87,'Fórmula'!D18,21)),IF(INDEX(properties!A$1:CB$87,'Fórmula'!F18,21)=0,10^6,INDEX(properties!A$1:CB$87,'Fórmula'!F18,21)),IF(INDEX(properties!A$1:CB$87,'Fórmula'!H18,21)=0,10^6,INDEX(properties!A$1:CB$87,'Fórmula'!H18,21)),IF(INDEX(properties!A$1:CB$87,'Fórmula'!J18,21)=0,10^6,INDEX(properties!A$1:CB$87,'Fórmula'!J18,21)))</f>
        <v>2</v>
      </c>
      <c r="CA18" s="113">
        <f t="shared" si="13"/>
        <v>4</v>
      </c>
      <c r="CB18" s="114">
        <f t="array" ref="CB18">(('Fórmula'!C18)/('Fórmula'!C18+'Fórmula'!E18+'Fórmula'!G18+'Fórmula'!I18+'Fórmula'!K18))*(INDEX(properties!A$1:CB$87,'Fórmula'!B18,23))+(('Fórmula'!E18)/('Fórmula'!C18+'Fórmula'!E18+'Fórmula'!G18+'Fórmula'!I18+'Fórmula'!K18))*(INDEX(properties!A$1:CB$87,'Fórmula'!D18,23))+(('Fórmula'!G18)/('Fórmula'!C18+'Fórmula'!E18+'Fórmula'!G18+'Fórmula'!I18+'Fórmula'!K18))*(INDEX(properties!A$1:CB$87,'Fórmula'!F18,23))+(('Fórmula'!I18)/('Fórmula'!C18+'Fórmula'!E18+'Fórmula'!G18+'Fórmula'!I18+'Fórmula'!K18))*(INDEX(properties!A$1:CB$87,'Fórmula'!H18,23))+(('Fórmula'!K18)/('Fórmula'!C18+'Fórmula'!E18+'Fórmula'!G18+'Fórmula'!I18+'Fórmula'!K18))*(INDEX(properties!A$1:CB$87,'Fórmula'!J18,23))</f>
        <v>1.166666667</v>
      </c>
      <c r="CC18" s="114">
        <f t="array" ref="CC18">'Fórmula'!C18*(INDEX(properties!A$1:CB$87,'Fórmula'!B18,23))+'Fórmula'!E18*(INDEX(properties!A$1:CB$87,'Fórmula'!D18,23))+'Fórmula'!G18*(INDEX(properties!A$1:CB$87,'Fórmula'!F18,23))+'Fórmula'!I18*(INDEX(properties!A$1:CB$87,'Fórmula'!H18,23))+'Fórmula'!K18*(INDEX(properties!A$1:CB$87,'Fórmula'!J18,23))</f>
        <v>14</v>
      </c>
      <c r="CD18" s="114">
        <f t="array" ref="CD18">VARP(IF(INDEX(properties!A$1:CB$87,'Fórmula'!B18,23)&lt;&gt;"",INDEX(properties!A$1:CB$87,'Fórmula'!B18,23)),IF(INDEX(properties!A$1:CB$87,'Fórmula'!D18,23)&lt;&gt;"",INDEX(properties!A$1:CB$87,'Fórmula'!D18,23)),IF(INDEX(properties!A$1:CB$87,'Fórmula'!F18,23)&lt;&gt;"",INDEX(properties!A$1:CB$87,'Fórmula'!F18,23)),IF(INDEX(properties!A$1:CB$87,'Fórmula'!H18,23)&lt;&gt;"",INDEX(properties!A$1:CB$87,'Fórmula'!H18,23)),IF(INDEX(properties!A$1:CB$87,'Fórmula'!J18,23)&lt;&gt;"",INDEX(properties!A$1:CB$87,'Fórmula'!J18,23)))</f>
        <v>2.56</v>
      </c>
      <c r="CE18" s="114">
        <f t="array" ref="CE18">MAX(INDEX(properties!A$1:CB$87,'Fórmula'!B18,23),INDEX(properties!A$1:CB$87,'Fórmula'!D18,23),INDEX(properties!A$1:CB$87,'Fórmula'!F18,23),INDEX(properties!A$1:CB$87,'Fórmula'!H18,23),INDEX(properties!A$1:CB$87,'Fórmula'!J18,23))</f>
        <v>4</v>
      </c>
      <c r="CF18" s="114">
        <f t="array" ref="CF18">MIN(IF('Fórmula'!B18=87,10^6,INDEX(properties!A$1:CB$87,'Fórmula'!B18,23)),IF(('Fórmula'!D18)=87,10^6,INDEX(properties!A$1:CB$87,'Fórmula'!D18,23)),IF(('Fórmula'!F18)=87,10^6,INDEX(properties!A$1:CB$87,'Fórmula'!F18,23)),IF(('Fórmula'!H18)=87,10^6,INDEX(properties!A$1:CB$87,'Fórmula'!H18,23)),IF('Fórmula'!J18=87,10^6,INDEX(properties!A$1:CB$87,'Fórmula'!J18,23)))</f>
        <v>0</v>
      </c>
      <c r="CG18" s="114">
        <f t="shared" si="14"/>
        <v>4</v>
      </c>
      <c r="CH18" s="115">
        <f t="array" ref="CH18">(('Fórmula'!C18)/('Fórmula'!C18+'Fórmula'!E18+'Fórmula'!G18+'Fórmula'!I18+'Fórmula'!K18))*(INDEX(properties!A$1:CB$87,'Fórmula'!B18,26))+(('Fórmula'!E18)/('Fórmula'!C18+'Fórmula'!E18+'Fórmula'!G18+'Fórmula'!I18+'Fórmula'!K18))*(INDEX(properties!A$1:CB$87,'Fórmula'!D18,26))+(('Fórmula'!G18)/('Fórmula'!C18+'Fórmula'!E18+'Fórmula'!G18+'Fórmula'!I18+'Fórmula'!K18))*(INDEX(properties!A$1:CB$87,'Fórmula'!F18,26))+(('Fórmula'!I18)/('Fórmula'!C18+'Fórmula'!E18+'Fórmula'!G18+'Fórmula'!I18+'Fórmula'!K18))*(INDEX(properties!A$1:CB$87,'Fórmula'!H18,26))+(('Fórmula'!K18)/('Fórmula'!C18+'Fórmula'!E18+'Fórmula'!G18+'Fórmula'!I18+'Fórmula'!K18))*(INDEX(properties!A$1:CB$87,'Fórmula'!J18,26))</f>
        <v>10.83080833</v>
      </c>
      <c r="CI18" s="115">
        <f t="array" ref="CI18">'Fórmula'!C18*(INDEX(properties!A$1:CB$87,'Fórmula'!B18,26))+'Fórmula'!E18*(INDEX(properties!A$1:CB$87,'Fórmula'!D18,26))+'Fórmula'!G18*(INDEX(properties!A$1:CB$87,'Fórmula'!F18,26))+'Fórmula'!I18*(INDEX(properties!A$1:CB$87,'Fórmula'!H18,26))+'Fórmula'!K18*(INDEX(properties!A$1:CB$87,'Fórmula'!J18,26))</f>
        <v>129.9697</v>
      </c>
      <c r="CJ18" s="115">
        <f t="array" ref="CJ18">VARP(IF(INDEX(properties!A$1:CB$87,'Fórmula'!B18,26)&lt;&gt;"",INDEX(properties!A$1:CB$87,'Fórmula'!B18,26)),IF(INDEX(properties!A$1:CB$87,'Fórmula'!D18,26)&lt;&gt;"",INDEX(properties!A$1:CB$87,'Fórmula'!D18,26)),IF(INDEX(properties!A$1:CB$87,'Fórmula'!F18,26)&lt;&gt;"",INDEX(properties!A$1:CB$87,'Fórmula'!F18,26)),IF(INDEX(properties!A$1:CB$87,'Fórmula'!H18,26)&lt;&gt;"",INDEX(properties!A$1:CB$87,'Fórmula'!H18,26)),IF(INDEX(properties!A$1:CB$87,'Fórmula'!J18,26)&lt;&gt;"",INDEX(properties!A$1:CB$87,'Fórmula'!J18,26)))</f>
        <v>26.75634739</v>
      </c>
      <c r="CK18" s="116">
        <f t="array" ref="CK18">MAX(INDEX(properties!A$1:CB$87,'Fórmula'!B18,26),INDEX(properties!A$1:CB$87,'Fórmula'!D18,26),INDEX(properties!A$1:CB$87,'Fórmula'!F18,26),INDEX(properties!A$1:CB$87,'Fórmula'!H18,26),INDEX(properties!A$1:CB$87,'Fórmula'!J18,26))</f>
        <v>13.6181</v>
      </c>
      <c r="CL18" s="116">
        <f t="array" ref="CL18">MIN(IF(INDEX(properties!A$1:CB$87,'Fórmula'!B18,26)=0,10^6,INDEX(properties!A$1:CB$87,'Fórmula'!B18,26)),IF(INDEX(properties!A$1:CB$87,'Fórmula'!D18,26)=0,10^6,INDEX(properties!A$1:CB$87,'Fórmula'!D18,26)),IF(INDEX(properties!A$1:CB$87,'Fórmula'!F18,26)=0,10^6,INDEX(properties!A$1:CB$87,'Fórmula'!F18,26)),IF(INDEX(properties!A$1:CB$87,'Fórmula'!H18,26)=0,10^6,INDEX(properties!A$1:CB$87,'Fórmula'!H18,26)),IF(INDEX(properties!A$1:CB$87,'Fórmula'!J18,26)=0,10^6,INDEX(properties!A$1:CB$87,'Fórmula'!J18,26)))</f>
        <v>6.1132</v>
      </c>
      <c r="CM18" s="115">
        <f t="shared" si="15"/>
        <v>7.5049</v>
      </c>
      <c r="CN18" s="117">
        <f t="array" ref="CN18">(('Fórmula'!C18)/('Fórmula'!C18+'Fórmula'!E18+'Fórmula'!G18+'Fórmula'!I18+'Fórmula'!K18))*(INDEX(properties!A$1:CB$87,'Fórmula'!B18,30))+(('Fórmula'!E18)/('Fórmula'!C18+'Fórmula'!E18+'Fórmula'!G18+'Fórmula'!I18+'Fórmula'!K18))*(INDEX(properties!A$1:CB$87,'Fórmula'!D18,30))+(('Fórmula'!G18)/('Fórmula'!C18+'Fórmula'!E18+'Fórmula'!G18+'Fórmula'!I18+'Fórmula'!K18))*(INDEX(properties!A$1:CB$87,'Fórmula'!F18,30))+(('Fórmula'!I18)/('Fórmula'!C18+'Fórmula'!E18+'Fórmula'!G18+'Fórmula'!I18+'Fórmula'!K18))*(INDEX(properties!A$1:CB$87,'Fórmula'!H18,30))+(('Fórmula'!K18)/('Fórmula'!C18+'Fórmula'!E18+'Fórmula'!G18+'Fórmula'!I18+'Fórmula'!K18))*(INDEX(properties!A$1:CB$87,'Fórmula'!J18,30))</f>
        <v>2.573333333</v>
      </c>
      <c r="CO18" s="117">
        <f t="array" ref="CO18">'Fórmula'!C18*(INDEX(properties!A$1:CB$87,'Fórmula'!B18,30))+'Fórmula'!E18*(INDEX(properties!A$1:CB$87,'Fórmula'!D18,30))+'Fórmula'!G18*(INDEX(properties!A$1:CB$87,'Fórmula'!F18,30))+'Fórmula'!I18*(INDEX(properties!A$1:CB$87,'Fórmula'!H18,30))+'Fórmula'!K18*(INDEX(properties!A$1:CB$87,'Fórmula'!J18,30))</f>
        <v>30.88</v>
      </c>
      <c r="CP18" s="117">
        <f t="array" ref="CP18">VARP(IF(INDEX(properties!A$1:CB$87,'Fórmula'!B18,30)&lt;&gt;"",INDEX(properties!A$1:CB$87,'Fórmula'!B18,30)),IF(INDEX(properties!A$1:CB$87,'Fórmula'!D18,30)&lt;&gt;"",INDEX(properties!A$1:CB$87,'Fórmula'!D18,30)),IF(INDEX(properties!A$1:CB$87,'Fórmula'!F18,30)&lt;&gt;"",INDEX(properties!A$1:CB$87,'Fórmula'!F18,30)),IF(INDEX(properties!A$1:CB$87,'Fórmula'!H18,30)&lt;&gt;"",INDEX(properties!A$1:CB$87,'Fórmula'!H18,30)),IF(INDEX(properties!A$1:CB$87,'Fórmula'!J18,30)&lt;&gt;"",INDEX(properties!A$1:CB$87,'Fórmula'!J18,30)))</f>
        <v>1.680896</v>
      </c>
      <c r="CQ18" s="117">
        <f t="array" ref="CQ18">MAX(INDEX(properties!A$1:CB$87,'Fórmula'!B18,30),INDEX(properties!A$1:CB$87,'Fórmula'!D18,30),INDEX(properties!A$1:CB$87,'Fórmula'!F18,30),INDEX(properties!A$1:CB$87,'Fórmula'!H18,30),INDEX(properties!A$1:CB$87,'Fórmula'!J18,30))</f>
        <v>3.44</v>
      </c>
      <c r="CR18" s="117">
        <f t="array" ref="CR18">MIN(IF(INDEX(properties!A$1:CB$87,'Fórmula'!B18,30)=0,10^6,INDEX(properties!A$1:CB$87,'Fórmula'!B18,30)),IF(INDEX(properties!A$1:CB$87,'Fórmula'!D18,30)=0,10^6,INDEX(properties!A$1:CB$87,'Fórmula'!D18,30)),IF(INDEX(properties!A$1:CB$87,'Fórmula'!F18,30)=0,10^6,INDEX(properties!A$1:CB$87,'Fórmula'!F18,30)),IF(INDEX(properties!A$1:CB$87,'Fórmula'!H18,30)=0,10^6,INDEX(properties!A$1:CB$87,'Fórmula'!H18,30)),IF(INDEX(properties!A$1:CB$87,'Fórmula'!J18,30)=0,10^6,INDEX(properties!A$1:CB$87,'Fórmula'!J18,30)))</f>
        <v>1</v>
      </c>
      <c r="CS18" s="117">
        <f t="shared" si="16"/>
        <v>2.44</v>
      </c>
      <c r="CT18" s="118">
        <f t="array" ref="CT18">(('Fórmula'!C18)/('Fórmula'!C18+'Fórmula'!E18+'Fórmula'!G18+'Fórmula'!I18+'Fórmula'!K18))*(INDEX(properties!A$1:CB$87,'Fórmula'!B18,31))+(('Fórmula'!E18)/('Fórmula'!C18+'Fórmula'!E18+'Fórmula'!G18+'Fórmula'!I18+'Fórmula'!K18))*(INDEX(properties!A$1:CB$87,'Fórmula'!D18,31))+(('Fórmula'!G18)/('Fórmula'!C18+'Fórmula'!E18+'Fórmula'!G18+'Fórmula'!I18+'Fórmula'!K18))*(INDEX(properties!A$1:CB$87,'Fórmula'!F18,31))+(('Fórmula'!I18)/('Fórmula'!C18+'Fórmula'!E18+'Fórmula'!G18+'Fórmula'!I18+'Fórmula'!K18))*(INDEX(properties!A$1:CB$87,'Fórmula'!H18,31))+(('Fórmula'!K18)/('Fórmula'!C18+'Fórmula'!E18+'Fórmula'!G18+'Fórmula'!I18+'Fórmula'!K18))*(INDEX(properties!A$1:CB$87,'Fórmula'!J18,31))</f>
        <v>2.559166667</v>
      </c>
      <c r="CU18" s="118">
        <f t="array" ref="CU18">'Fórmula'!C18*(INDEX(properties!A$1:CB$87,'Fórmula'!B18,31))+'Fórmula'!E18*(INDEX(properties!A$1:CB$87,'Fórmula'!D18,31))+'Fórmula'!G18*(INDEX(properties!A$1:CB$87,'Fórmula'!F18,31))+'Fórmula'!I18*(INDEX(properties!A$1:CB$87,'Fórmula'!H18,31))+'Fórmula'!K18*(INDEX(properties!A$1:CB$87,'Fórmula'!J18,31))</f>
        <v>30.71</v>
      </c>
      <c r="CV18" s="118">
        <f t="array" ref="CV18">VARP(IF(INDEX(properties!A$1:CB$87,'Fórmula'!B18,31)&lt;&gt;"",INDEX(properties!A$1:CB$87,'Fórmula'!B18,31)),IF(INDEX(properties!A$1:CB$87,'Fórmula'!D18,31)&lt;&gt;"",INDEX(properties!A$1:CB$87,'Fórmula'!D18,31)),IF(INDEX(properties!A$1:CB$87,'Fórmula'!F18,31)&lt;&gt;"",INDEX(properties!A$1:CB$87,'Fórmula'!F18,31)),IF(INDEX(properties!A$1:CB$87,'Fórmula'!H18,31)&lt;&gt;"",INDEX(properties!A$1:CB$87,'Fórmula'!H18,31)),IF(INDEX(properties!A$1:CB$87,'Fórmula'!J18,31)&lt;&gt;"",INDEX(properties!A$1:CB$87,'Fórmula'!J18,31)))</f>
        <v>1.587904</v>
      </c>
      <c r="CW18" s="118">
        <f t="array" ref="CW18">MAX(INDEX(properties!A$1:CB$87,'Fórmula'!B18,31),INDEX(properties!A$1:CB$87,'Fórmula'!D18,31),INDEX(properties!A$1:CB$87,'Fórmula'!F18,31),INDEX(properties!A$1:CB$87,'Fórmula'!H18,31),INDEX(properties!A$1:CB$87,'Fórmula'!J18,31))</f>
        <v>3.32</v>
      </c>
      <c r="CX18" s="118">
        <f t="array" ref="CX18">MIN(IF(INDEX(properties!A$1:CB$87,'Fórmula'!B18,31)=0,10^6,INDEX(properties!A$1:CB$87,'Fórmula'!B18,31)),IF(INDEX(properties!A$1:CB$87,'Fórmula'!D18,31)=0,10^6,INDEX(properties!A$1:CB$87,'Fórmula'!D18,31)),IF(INDEX(properties!A$1:CB$87,'Fórmula'!F18,31)=0,10^6,INDEX(properties!A$1:CB$87,'Fórmula'!F18,31)),IF(INDEX(properties!A$1:CB$87,'Fórmula'!H18,31)=0,10^6,INDEX(properties!A$1:CB$87,'Fórmula'!H18,31)),IF(INDEX(properties!A$1:CB$87,'Fórmula'!J18,31)=0,10^6,INDEX(properties!A$1:CB$87,'Fórmula'!J18,31)))</f>
        <v>1.17</v>
      </c>
      <c r="CY18" s="118">
        <f t="shared" si="17"/>
        <v>2.15</v>
      </c>
      <c r="CZ18" s="119">
        <f t="array" ref="CZ18">(('Fórmula'!C18)/('Fórmula'!C18+'Fórmula'!E18+'Fórmula'!G18+'Fórmula'!I18+'Fórmula'!K18))*(INDEX(properties!A$1:CB$87,'Fórmula'!B18,32))+(('Fórmula'!E18)/('Fórmula'!C18+'Fórmula'!E18+'Fórmula'!G18+'Fórmula'!I18+'Fórmula'!K18))*(INDEX(properties!A$1:CB$87,'Fórmula'!D18,32))+(('Fórmula'!G18)/('Fórmula'!C18+'Fórmula'!E18+'Fórmula'!G18+'Fórmula'!I18+'Fórmula'!K18))*(INDEX(properties!A$1:CB$87,'Fórmula'!F18,32))+(('Fórmula'!I18)/('Fórmula'!C18+'Fórmula'!E18+'Fórmula'!G18+'Fórmula'!I18+'Fórmula'!K18))*(INDEX(properties!A$1:CB$87,'Fórmula'!H18,32))+(('Fórmula'!K18)/('Fórmula'!C18+'Fórmula'!E18+'Fórmula'!G18+'Fórmula'!I18+'Fórmula'!K18))*(INDEX(properties!A$1:CB$87,'Fórmula'!J18,32))</f>
        <v>5.743333333</v>
      </c>
      <c r="DA18" s="119">
        <f t="array" ref="DA18">'Fórmula'!C18*(INDEX(properties!A$1:CB$87,'Fórmula'!B18,32))+'Fórmula'!E18*(INDEX(properties!A$1:CB$87,'Fórmula'!D18,32))+'Fórmula'!G18*(INDEX(properties!A$1:CB$87,'Fórmula'!F18,32))+'Fórmula'!I18*(INDEX(properties!A$1:CB$87,'Fórmula'!H18,32))+'Fórmula'!K18*(INDEX(properties!A$1:CB$87,'Fórmula'!J18,32))</f>
        <v>68.92</v>
      </c>
      <c r="DB18" s="119">
        <f t="array" ref="DB18">VARP(IF(INDEX(properties!A$1:CB$87,'Fórmula'!B18,32)&lt;&gt;"",INDEX(properties!A$1:CB$87,'Fórmula'!B18,32)),IF(INDEX(properties!A$1:CB$87,'Fórmula'!D18,32)&lt;&gt;"",INDEX(properties!A$1:CB$87,'Fórmula'!D18,32)),IF(INDEX(properties!A$1:CB$87,'Fórmula'!F18,32)&lt;&gt;"",INDEX(properties!A$1:CB$87,'Fórmula'!F18,32)),IF(INDEX(properties!A$1:CB$87,'Fórmula'!H18,32)&lt;&gt;"",INDEX(properties!A$1:CB$87,'Fórmula'!H18,32)),IF(INDEX(properties!A$1:CB$87,'Fórmula'!J18,32)&lt;&gt;"",INDEX(properties!A$1:CB$87,'Fórmula'!J18,32)))</f>
        <v>8.467296</v>
      </c>
      <c r="DC18" s="119">
        <f t="array" ref="DC18">MAX(INDEX(properties!A$1:CB$87,'Fórmula'!B18,32),INDEX(properties!A$1:CB$87,'Fórmula'!D18,32),INDEX(properties!A$1:CB$87,'Fórmula'!F18,32),INDEX(properties!A$1:CB$87,'Fórmula'!H18,32),INDEX(properties!A$1:CB$87,'Fórmula'!J18,32))</f>
        <v>7.54</v>
      </c>
      <c r="DD18" s="119">
        <f t="array" ref="DD18">MIN(IF(INDEX(properties!A$1:CB$87,'Fórmula'!B18,32)=0,10^6,INDEX(properties!A$1:CB$87,'Fórmula'!B18,32)),IF(INDEX(properties!A$1:CB$87,'Fórmula'!D18,32)=0,10^6,INDEX(properties!A$1:CB$87,'Fórmula'!D18,32)),IF(INDEX(properties!A$1:CB$87,'Fórmula'!F18,32)=0,10^6,INDEX(properties!A$1:CB$87,'Fórmula'!F18,32)),IF(INDEX(properties!A$1:CB$87,'Fórmula'!H18,32)=0,10^6,INDEX(properties!A$1:CB$87,'Fórmula'!H18,32)),IF(INDEX(properties!A$1:CB$87,'Fórmula'!J18,32)=0,10^6,INDEX(properties!A$1:CB$87,'Fórmula'!J18,32)))</f>
        <v>2.2</v>
      </c>
      <c r="DE18" s="119">
        <f t="shared" si="18"/>
        <v>5.34</v>
      </c>
      <c r="DF18" s="104">
        <f t="array" ref="DF18">(('Fórmula'!C18)/('Fórmula'!C18+'Fórmula'!E18+'Fórmula'!G18+'Fórmula'!I18+'Fórmula'!K18))*(INDEX(properties!A$1:CB$87,'Fórmula'!B18,34))+(('Fórmula'!E18)/('Fórmula'!C18+'Fórmula'!E18+'Fórmula'!G18+'Fórmula'!I18+'Fórmula'!K18))*(INDEX(properties!A$1:CB$87,'Fórmula'!D18,34))+(('Fórmula'!G18)/('Fórmula'!C18+'Fórmula'!E18+'Fórmula'!G18+'Fórmula'!I18+'Fórmula'!K18))*(INDEX(properties!A$1:CB$87,'Fórmula'!F18,34))+(('Fórmula'!I18)/('Fórmula'!C18+'Fórmula'!E18+'Fórmula'!G18+'Fórmula'!I18+'Fórmula'!K18))*(INDEX(properties!A$1:CB$87,'Fórmula'!H18,34))+(('Fórmula'!K18)/('Fórmula'!C18+'Fórmula'!E18+'Fórmula'!G18+'Fórmula'!I18+'Fórmula'!K18))*(INDEX(properties!A$1:CB$87,'Fórmula'!J18,34))</f>
        <v>2.683666667</v>
      </c>
      <c r="DG18" s="104">
        <f t="array" ref="DG18">'Fórmula'!C18*(INDEX(properties!A$1:CB$87,'Fórmula'!B18,34))+'Fórmula'!E18*(INDEX(properties!A$1:CB$87,'Fórmula'!D18,34))+'Fórmula'!G18*(INDEX(properties!A$1:CB$87,'Fórmula'!F18,34))+'Fórmula'!I18*(INDEX(properties!A$1:CB$87,'Fórmula'!H18,34))+'Fórmula'!K18*(INDEX(properties!A$1:CB$87,'Fórmula'!J18,34))</f>
        <v>32.204</v>
      </c>
      <c r="DH18" s="104">
        <f t="array" ref="DH18">VARP(IF(INDEX(properties!A$1:CB$87,'Fórmula'!B18,34)&lt;&gt;"",INDEX(properties!A$1:CB$87,'Fórmula'!B18,34)),IF(INDEX(properties!A$1:CB$87,'Fórmula'!D18,34)&lt;&gt;"",INDEX(properties!A$1:CB$87,'Fórmula'!D18,34)),IF(INDEX(properties!A$1:CB$87,'Fórmula'!F18,34)&lt;&gt;"",INDEX(properties!A$1:CB$87,'Fórmula'!F18,34)),IF(INDEX(properties!A$1:CB$87,'Fórmula'!H18,34)&lt;&gt;"",INDEX(properties!A$1:CB$87,'Fórmula'!H18,34)),IF(INDEX(properties!A$1:CB$87,'Fórmula'!J18,34)&lt;&gt;"",INDEX(properties!A$1:CB$87,'Fórmula'!J18,34)))</f>
        <v>1.8331184</v>
      </c>
      <c r="DI18" s="104">
        <f t="array" ref="DI18">MAX(INDEX(properties!A$1:CB$87,'Fórmula'!B18,34),INDEX(properties!A$1:CB$87,'Fórmula'!D18,34),INDEX(properties!A$1:CB$87,'Fórmula'!F18,34),INDEX(properties!A$1:CB$87,'Fórmula'!H18,34),INDEX(properties!A$1:CB$87,'Fórmula'!J18,34))</f>
        <v>3.61</v>
      </c>
      <c r="DJ18" s="104">
        <f t="array" ref="DJ18">MIN(IF(INDEX(properties!A$1:CB$87,'Fórmula'!B18,34)=0,10^6,INDEX(properties!A$1:CB$87,'Fórmula'!B18,34)),IF(INDEX(properties!A$1:CB$87,'Fórmula'!D18,34)=0,10^6,INDEX(properties!A$1:CB$87,'Fórmula'!D18,34)),IF(INDEX(properties!A$1:CB$87,'Fórmula'!F18,34)=0,10^6,INDEX(properties!A$1:CB$87,'Fórmula'!F18,34)),IF(INDEX(properties!A$1:CB$87,'Fórmula'!H18,34)=0,10^6,INDEX(properties!A$1:CB$87,'Fórmula'!H18,34)),IF(INDEX(properties!A$1:CB$87,'Fórmula'!J18,34)=0,10^6,INDEX(properties!A$1:CB$87,'Fórmula'!J18,34)))</f>
        <v>1.034</v>
      </c>
      <c r="DK18" s="104">
        <f t="shared" si="19"/>
        <v>2.576</v>
      </c>
      <c r="DL18" s="105">
        <f t="array" ref="DL18">(('Fórmula'!C18)/('Fórmula'!C18+'Fórmula'!E18+'Fórmula'!G18+'Fórmula'!I18+'Fórmula'!K18))*(INDEX(properties!A$1:CB$87,'Fórmula'!B18,37))+(('Fórmula'!E18)/('Fórmula'!C18+'Fórmula'!E18+'Fórmula'!G18+'Fórmula'!I18+'Fórmula'!K18))*(INDEX(properties!A$1:CB$87,'Fórmula'!D18,37))+(('Fórmula'!G18)/('Fórmula'!C18+'Fórmula'!E18+'Fórmula'!G18+'Fórmula'!I18+'Fórmula'!K18))*(INDEX(properties!A$1:CB$87,'Fórmula'!F18,37))+(('Fórmula'!I18)/('Fórmula'!C18+'Fórmula'!E18+'Fórmula'!G18+'Fórmula'!I18+'Fórmula'!K18))*(INDEX(properties!A$1:CB$87,'Fórmula'!H18,37))+(('Fórmula'!K18)/('Fórmula'!C18+'Fórmula'!E18+'Fórmula'!G18+'Fórmula'!I18+'Fórmula'!K18))*(INDEX(properties!A$1:CB$87,'Fórmula'!J18,37))</f>
        <v>2.5625</v>
      </c>
      <c r="DM18" s="105">
        <f t="array" ref="DM18">'Fórmula'!C18*(INDEX(properties!A$1:CB$87,'Fórmula'!B18,37))+'Fórmula'!E18*(INDEX(properties!A$1:CB$87,'Fórmula'!D18,37))+'Fórmula'!G18*(INDEX(properties!A$1:CB$87,'Fórmula'!F18,37))+'Fórmula'!I18*(INDEX(properties!A$1:CB$87,'Fórmula'!H18,37))+'Fórmula'!K18*(INDEX(properties!A$1:CB$87,'Fórmula'!J18,37))</f>
        <v>30.75</v>
      </c>
      <c r="DN18" s="105">
        <f t="array" ref="DN18">VARP(IF(INDEX(properties!A$1:CB$87,'Fórmula'!B18,37)&lt;&gt;"",INDEX(properties!A$1:CB$87,'Fórmula'!B18,37)),IF(INDEX(properties!A$1:CB$87,'Fórmula'!D18,37)&lt;&gt;"",INDEX(properties!A$1:CB$87,'Fórmula'!D18,37)),IF(INDEX(properties!A$1:CB$87,'Fórmula'!F18,37)&lt;&gt;"",INDEX(properties!A$1:CB$87,'Fórmula'!F18,37)),IF(INDEX(properties!A$1:CB$87,'Fórmula'!H18,37)&lt;&gt;"",INDEX(properties!A$1:CB$87,'Fórmula'!H18,37)),IF(INDEX(properties!A$1:CB$87,'Fórmula'!J18,37)&lt;&gt;"",INDEX(properties!A$1:CB$87,'Fórmula'!J18,37)))</f>
        <v>1.666</v>
      </c>
      <c r="DO18" s="105">
        <f t="array" ref="DO18">MAX(INDEX(properties!A$1:CB$87,'Fórmula'!B18,37),INDEX(properties!A$1:CB$87,'Fórmula'!D18,37),INDEX(properties!A$1:CB$87,'Fórmula'!F18,37),INDEX(properties!A$1:CB$87,'Fórmula'!H18,37),INDEX(properties!A$1:CB$87,'Fórmula'!J18,37))</f>
        <v>3.45</v>
      </c>
      <c r="DP18" s="105">
        <f t="array" ref="DP18">MIN(IF(INDEX(properties!A$1:CB$87,'Fórmula'!B18,37)=0,10^6,INDEX(properties!A$1:CB$87,'Fórmula'!B18,37)),IF(INDEX(properties!A$1:CB$87,'Fórmula'!D18,37)=0,10^6,INDEX(properties!A$1:CB$87,'Fórmula'!D18,37)),IF(INDEX(properties!A$1:CB$87,'Fórmula'!F18,37)=0,10^6,INDEX(properties!A$1:CB$87,'Fórmula'!F18,37)),IF(INDEX(properties!A$1:CB$87,'Fórmula'!H18,37)=0,10^6,INDEX(properties!A$1:CB$87,'Fórmula'!H18,37)),IF(INDEX(properties!A$1:CB$87,'Fórmula'!J18,37)=0,10^6,INDEX(properties!A$1:CB$87,'Fórmula'!J18,37)))</f>
        <v>1</v>
      </c>
      <c r="DQ18" s="105">
        <f t="shared" si="20"/>
        <v>2.45</v>
      </c>
      <c r="DR18" s="109">
        <f t="array" ref="DR18">(('Fórmula'!C18)/('Fórmula'!C18+'Fórmula'!E18+'Fórmula'!G18+'Fórmula'!I18+'Fórmula'!K18))*(INDEX(properties!A$1:CB$87,'Fórmula'!B18,39))+(('Fórmula'!E18)/('Fórmula'!C18+'Fórmula'!E18+'Fórmula'!G18+'Fórmula'!I18+'Fórmula'!K18))*(INDEX(properties!A$1:CB$87,'Fórmula'!D18,39))+(('Fórmula'!G18)/('Fórmula'!C18+'Fórmula'!E18+'Fórmula'!G18+'Fórmula'!I18+'Fórmula'!K18))*(INDEX(properties!A$1:CB$87,'Fórmula'!F18,39))+(('Fórmula'!I18)/('Fórmula'!C18+'Fórmula'!E18+'Fórmula'!G18+'Fórmula'!I18+'Fórmula'!K18))*(INDEX(properties!A$1:CB$87,'Fórmula'!H18,39))+(('Fórmula'!K18)/('Fórmula'!C18+'Fórmula'!E18+'Fórmula'!G18+'Fórmula'!I18+'Fórmula'!K18))*(INDEX(properties!A$1:CB$87,'Fórmula'!J18,39))</f>
        <v>0.95</v>
      </c>
      <c r="DS18" s="109">
        <f t="array" ref="DS18">'Fórmula'!C18*(INDEX(properties!A$1:CB$87,'Fórmula'!B18,39))+'Fórmula'!E18*(INDEX(properties!A$1:CB$87,'Fórmula'!D18,39))+'Fórmula'!G18*(INDEX(properties!A$1:CB$87,'Fórmula'!F18,39))+'Fórmula'!I18*(INDEX(properties!A$1:CB$87,'Fórmula'!H18,39))+'Fórmula'!K18*(INDEX(properties!A$1:CB$87,'Fórmula'!J18,39))</f>
        <v>11.4</v>
      </c>
      <c r="DT18" s="109">
        <f t="array" ref="DT18">VARP(IF(INDEX(properties!A$1:CB$87,'Fórmula'!B18,39)&lt;&gt;"",INDEX(properties!A$1:CB$87,'Fórmula'!B18,39)),IF(INDEX(properties!A$1:CB$87,'Fórmula'!D18,39)&lt;&gt;"",INDEX(properties!A$1:CB$87,'Fórmula'!D18,39)),IF(INDEX(properties!A$1:CB$87,'Fórmula'!F18,39)&lt;&gt;"",INDEX(properties!A$1:CB$87,'Fórmula'!F18,39)),IF(INDEX(properties!A$1:CB$87,'Fórmula'!H18,39)&lt;&gt;"",INDEX(properties!A$1:CB$87,'Fórmula'!H18,39)),IF(INDEX(properties!A$1:CB$87,'Fórmula'!J18,39)&lt;&gt;"",INDEX(properties!A$1:CB$87,'Fórmula'!J18,39)))</f>
        <v>0.546784</v>
      </c>
      <c r="DU18" s="120">
        <f t="array" ref="DU18">MAX(INDEX(properties!A$1:CB$87,'Fórmula'!B18,39),INDEX(properties!A$1:CB$87,'Fórmula'!D18,39),INDEX(properties!A$1:CB$87,'Fórmula'!F18,39),INDEX(properties!A$1:CB$87,'Fórmula'!H18,39),INDEX(properties!A$1:CB$87,'Fórmula'!J18,39))</f>
        <v>1.94</v>
      </c>
      <c r="DV18" s="120">
        <f t="array" ref="DV18">MIN(IF(INDEX(properties!A$1:CB$87,'Fórmula'!B18,39)=0,10^6,INDEX(properties!A$1:CB$87,'Fórmula'!B18,39)),IF(INDEX(properties!A$1:CB$87,'Fórmula'!D18,39)=0,10^6,INDEX(properties!A$1:CB$87,'Fórmula'!D18,39)),IF(INDEX(properties!A$1:CB$87,'Fórmula'!F18,39)=0,10^6,INDEX(properties!A$1:CB$87,'Fórmula'!F18,39)),IF(INDEX(properties!A$1:CB$87,'Fórmula'!H18,39)=0,10^6,INDEX(properties!A$1:CB$87,'Fórmula'!H18,39)),IF(INDEX(properties!A$1:CB$87,'Fórmula'!J18,39)=0,10^6,INDEX(properties!A$1:CB$87,'Fórmula'!J18,39)))</f>
        <v>0.48</v>
      </c>
      <c r="DW18" s="109">
        <f t="shared" si="21"/>
        <v>1.46</v>
      </c>
      <c r="DX18" s="110">
        <f t="array" ref="DX18">(('Fórmula'!C18)/('Fórmula'!C18+'Fórmula'!E18+'Fórmula'!G18+'Fórmula'!I18+'Fórmula'!K18))*(INDEX(properties!A$1:CB$87,'Fórmula'!B18,40))+(('Fórmula'!E18)/('Fórmula'!C18+'Fórmula'!E18+'Fórmula'!G18+'Fórmula'!I18+'Fórmula'!K18))*(INDEX(properties!A$1:CB$87,'Fórmula'!D18,40))+(('Fórmula'!G18)/('Fórmula'!C18+'Fórmula'!E18+'Fórmula'!G18+'Fórmula'!I18+'Fórmula'!K18))*(INDEX(properties!A$1:CB$87,'Fórmula'!F18,40))+(('Fórmula'!I18)/('Fórmula'!C18+'Fórmula'!E18+'Fórmula'!G18+'Fórmula'!I18+'Fórmula'!K18))*(INDEX(properties!A$1:CB$87,'Fórmula'!H18,40))+(('Fórmula'!K18)/('Fórmula'!C18+'Fórmula'!E18+'Fórmula'!G18+'Fórmula'!I18+'Fórmula'!K18))*(INDEX(properties!A$1:CB$87,'Fórmula'!J18,40))</f>
        <v>1.045833333</v>
      </c>
      <c r="DY18" s="110">
        <f t="array" ref="DY18">'Fórmula'!C18*(INDEX(properties!A$1:CB$87,'Fórmula'!B18,40))+'Fórmula'!E18*(INDEX(properties!A$1:CB$87,'Fórmula'!D18,40))+'Fórmula'!G18*(INDEX(properties!A$1:CB$87,'Fórmula'!F18,40))+'Fórmula'!I18*(INDEX(properties!A$1:CB$87,'Fórmula'!H18,40))+'Fórmula'!K18*(INDEX(properties!A$1:CB$87,'Fórmula'!J18,40))</f>
        <v>12.55</v>
      </c>
      <c r="DZ18" s="110">
        <f t="array" ref="DZ18">VARP(IF(INDEX(properties!A$1:CB$87,'Fórmula'!B18,40)&lt;&gt;"",INDEX(properties!A$1:CB$87,'Fórmula'!B18,40)),IF(INDEX(properties!A$1:CB$87,'Fórmula'!D18,40)&lt;&gt;"",INDEX(properties!A$1:CB$87,'Fórmula'!D18,40)),IF(INDEX(properties!A$1:CB$87,'Fórmula'!F18,40)&lt;&gt;"",INDEX(properties!A$1:CB$87,'Fórmula'!F18,40)),IF(INDEX(properties!A$1:CB$87,'Fórmula'!H18,40)&lt;&gt;"",INDEX(properties!A$1:CB$87,'Fórmula'!H18,40)),IF(INDEX(properties!A$1:CB$87,'Fórmula'!J18,40)&lt;&gt;"",INDEX(properties!A$1:CB$87,'Fórmula'!J18,40)))</f>
        <v>0.445864</v>
      </c>
      <c r="EA18" s="121">
        <f t="array" ref="EA18">MAX(INDEX(properties!A$1:CB$87,'Fórmula'!B18,40),INDEX(properties!A$1:CB$87,'Fórmula'!D18,40),INDEX(properties!A$1:CB$87,'Fórmula'!F18,40),INDEX(properties!A$1:CB$87,'Fórmula'!H18,40),INDEX(properties!A$1:CB$87,'Fórmula'!J18,40))</f>
        <v>1.74</v>
      </c>
      <c r="EB18" s="121">
        <f t="array" ref="EB18">MIN(IF(INDEX(properties!A$1:CB$87,'Fórmula'!B18,40)=0,10^6,INDEX(properties!A$1:CB$87,'Fórmula'!B18,40)),IF(INDEX(properties!A$1:CB$87,'Fórmula'!D18,40)=0,10^6,INDEX(properties!A$1:CB$87,'Fórmula'!D18,40)),IF(INDEX(properties!A$1:CB$87,'Fórmula'!F18,40)=0,10^6,INDEX(properties!A$1:CB$87,'Fórmula'!F18,40)),IF(INDEX(properties!A$1:CB$87,'Fórmula'!H18,40)=0,10^6,INDEX(properties!A$1:CB$87,'Fórmula'!H18,40)),IF(INDEX(properties!A$1:CB$87,'Fórmula'!J18,40)=0,10^6,INDEX(properties!A$1:CB$87,'Fórmula'!J18,40)))</f>
        <v>0.73</v>
      </c>
      <c r="EC18" s="110">
        <f t="shared" si="22"/>
        <v>1.01</v>
      </c>
      <c r="ED18" s="111">
        <f t="array" ref="ED18">(('Fórmula'!C18)/('Fórmula'!C18+'Fórmula'!E18+'Fórmula'!G18+'Fórmula'!I18+'Fórmula'!K18))*(INDEX(properties!A$1:CB$87,'Fórmula'!B18,41))+(('Fórmula'!E18)/('Fórmula'!C18+'Fórmula'!E18+'Fórmula'!G18+'Fórmula'!I18+'Fórmula'!K18))*(INDEX(properties!A$1:CB$87,'Fórmula'!D18,41))+(('Fórmula'!G18)/('Fórmula'!C18+'Fórmula'!E18+'Fórmula'!G18+'Fórmula'!I18+'Fórmula'!K18))*(INDEX(properties!A$1:CB$87,'Fórmula'!F18,41))+(('Fórmula'!I18)/('Fórmula'!C18+'Fórmula'!E18+'Fórmula'!G18+'Fórmula'!I18+'Fórmula'!K18))*(INDEX(properties!A$1:CB$87,'Fórmula'!H18,41))+(('Fórmula'!K18)/('Fórmula'!C18+'Fórmula'!E18+'Fórmula'!G18+'Fórmula'!I18+'Fórmula'!K18))*(INDEX(properties!A$1:CB$87,'Fórmula'!J18,41))</f>
        <v>1.11</v>
      </c>
      <c r="EE18" s="111">
        <f t="array" ref="EE18">'Fórmula'!C18*(INDEX(properties!A$1:CB$87,'Fórmula'!B18,41))+'Fórmula'!E18*(INDEX(properties!A$1:CB$87,'Fórmula'!D18,41))+'Fórmula'!G18*(INDEX(properties!A$1:CB$87,'Fórmula'!F18,41))+'Fórmula'!I18*(INDEX(properties!A$1:CB$87,'Fórmula'!H18,41))+'Fórmula'!K18*(INDEX(properties!A$1:CB$87,'Fórmula'!J18,41))</f>
        <v>13.32</v>
      </c>
      <c r="EF18" s="111">
        <f t="array" ref="EF18">VARP(IF(INDEX(properties!A$1:CB$87,'Fórmula'!B18,41)&lt;&gt;"",INDEX(properties!A$1:CB$87,'Fórmula'!B18,41)),IF(INDEX(properties!A$1:CB$87,'Fórmula'!D18,41)&lt;&gt;"",INDEX(properties!A$1:CB$87,'Fórmula'!D18,41)),IF(INDEX(properties!A$1:CB$87,'Fórmula'!F18,41)&lt;&gt;"",INDEX(properties!A$1:CB$87,'Fórmula'!F18,41)),IF(INDEX(properties!A$1:CB$87,'Fórmula'!H18,41)&lt;&gt;"",INDEX(properties!A$1:CB$87,'Fórmula'!H18,41)),IF(INDEX(properties!A$1:CB$87,'Fórmula'!J18,41)&lt;&gt;"",INDEX(properties!A$1:CB$87,'Fórmula'!J18,41)))</f>
        <v>0.290016</v>
      </c>
      <c r="EG18" s="122">
        <f t="array" ref="EG18">MAX(INDEX(properties!A$1:CB$87,'Fórmula'!B18,41),INDEX(properties!A$1:CB$87,'Fórmula'!D18,41),INDEX(properties!A$1:CB$87,'Fórmula'!F18,41),INDEX(properties!A$1:CB$87,'Fórmula'!H18,41),INDEX(properties!A$1:CB$87,'Fórmula'!J18,41))</f>
        <v>1.26</v>
      </c>
      <c r="EH18" s="122">
        <f t="array" ref="EH18">MIN(IF(INDEX(properties!A$1:CB$87,'Fórmula'!B18,41)=0,10^6,INDEX(properties!A$1:CB$87,'Fórmula'!B18,41)),IF(INDEX(properties!A$1:CB$87,'Fórmula'!D18,41)=0,10^6,INDEX(properties!A$1:CB$87,'Fórmula'!D18,41)),IF(INDEX(properties!A$1:CB$87,'Fórmula'!F18,41)=0,10^6,INDEX(properties!A$1:CB$87,'Fórmula'!F18,41)),IF(INDEX(properties!A$1:CB$87,'Fórmula'!H18,41)=0,10^6,INDEX(properties!A$1:CB$87,'Fórmula'!H18,41)),IF(INDEX(properties!A$1:CB$87,'Fórmula'!J18,41)=0,10^6,INDEX(properties!A$1:CB$87,'Fórmula'!J18,41)))</f>
        <v>0.54</v>
      </c>
      <c r="EI18" s="111">
        <f t="shared" si="23"/>
        <v>0.72</v>
      </c>
      <c r="EJ18" s="112">
        <f t="array" ref="EJ18">(('Fórmula'!C18)/('Fórmula'!C18+'Fórmula'!E18+'Fórmula'!G18+'Fórmula'!I18+'Fórmula'!K18))*(INDEX(properties!A$1:CB$87,'Fórmula'!B18,45))+(('Fórmula'!E18)/('Fórmula'!C18+'Fórmula'!E18+'Fórmula'!G18+'Fórmula'!I18+'Fórmula'!K18))*(INDEX(properties!A$1:CB$87,'Fórmula'!D18,45))+(('Fórmula'!G18)/('Fórmula'!C18+'Fórmula'!E18+'Fórmula'!G18+'Fórmula'!I18+'Fórmula'!K18))*(INDEX(properties!A$1:CB$87,'Fórmula'!F18,45))+(('Fórmula'!I18)/('Fórmula'!C18+'Fórmula'!E18+'Fórmula'!G18+'Fórmula'!I18+'Fórmula'!K18))*(INDEX(properties!A$1:CB$87,'Fórmula'!H18,45))+(('Fórmula'!K18)/('Fórmula'!C18+'Fórmula'!E18+'Fórmula'!G18+'Fórmula'!I18+'Fórmula'!K18))*(INDEX(properties!A$1:CB$87,'Fórmula'!J18,45))</f>
        <v>1.260833333</v>
      </c>
      <c r="EK18" s="112">
        <f t="array" ref="EK18">'Fórmula'!C18*(INDEX(properties!A$1:CB$87,'Fórmula'!B18,45))+'Fórmula'!E18*(INDEX(properties!A$1:CB$87,'Fórmula'!D18,45))+'Fórmula'!G18*(INDEX(properties!A$1:CB$87,'Fórmula'!F18,45))+'Fórmula'!I18*(INDEX(properties!A$1:CB$87,'Fórmula'!H18,45))+'Fórmula'!K18*(INDEX(properties!A$1:CB$87,'Fórmula'!J18,45))</f>
        <v>15.13</v>
      </c>
      <c r="EL18" s="112">
        <f t="array" ref="EL18">VARP(IF(INDEX(properties!A$1:CB$87,'Fórmula'!B18,45)&lt;&gt;"",INDEX(properties!A$1:CB$87,'Fórmula'!B18,45)),IF(INDEX(properties!A$1:CB$87,'Fórmula'!D18,45)&lt;&gt;"",INDEX(properties!A$1:CB$87,'Fórmula'!D18,45)),IF(INDEX(properties!A$1:CB$87,'Fórmula'!F18,45)&lt;&gt;"",INDEX(properties!A$1:CB$87,'Fórmula'!F18,45)),IF(INDEX(properties!A$1:CB$87,'Fórmula'!H18,45)&lt;&gt;"",INDEX(properties!A$1:CB$87,'Fórmula'!H18,45)),IF(INDEX(properties!A$1:CB$87,'Fórmula'!J18,45)&lt;&gt;"",INDEX(properties!A$1:CB$87,'Fórmula'!J18,45)))</f>
        <v>1.290976</v>
      </c>
      <c r="EM18" s="123">
        <f t="array" ref="EM18">MAX(INDEX(properties!A$1:CB$87,'Fórmula'!B18,45),INDEX(properties!A$1:CB$87,'Fórmula'!D18,45),INDEX(properties!A$1:CB$87,'Fórmula'!F18,45),INDEX(properties!A$1:CB$87,'Fórmula'!H18,45),INDEX(properties!A$1:CB$87,'Fórmula'!J18,45))</f>
        <v>3</v>
      </c>
      <c r="EN18" s="123">
        <f t="array" ref="EN18">MIN(IF(INDEX(properties!A$1:CB$87,'Fórmula'!B18,45)=0,10^6,INDEX(properties!A$1:CB$87,'Fórmula'!B18,45)),IF(INDEX(properties!A$1:CB$87,'Fórmula'!D18,45)=0,10^6,INDEX(properties!A$1:CB$87,'Fórmula'!D18,45)),IF(INDEX(properties!A$1:CB$87,'Fórmula'!F18,45)=0,10^6,INDEX(properties!A$1:CB$87,'Fórmula'!F18,45)),IF(INDEX(properties!A$1:CB$87,'Fórmula'!H18,45)=0,10^6,INDEX(properties!A$1:CB$87,'Fórmula'!H18,45)),IF(INDEX(properties!A$1:CB$87,'Fórmula'!J18,45)=0,10^6,INDEX(properties!A$1:CB$87,'Fórmula'!J18,45)))</f>
        <v>0.47</v>
      </c>
      <c r="EO18" s="112">
        <f t="shared" si="24"/>
        <v>2.53</v>
      </c>
      <c r="EP18" s="113">
        <f t="array" ref="EP18">(('Fórmula'!C18)/('Fórmula'!C18+'Fórmula'!E18+'Fórmula'!G18+'Fórmula'!I18+'Fórmula'!K18))*(INDEX(properties!A$1:CB$87,'Fórmula'!B18,46))+(('Fórmula'!E18)/('Fórmula'!C18+'Fórmula'!E18+'Fórmula'!G18+'Fórmula'!I18+'Fórmula'!K18))*(INDEX(properties!A$1:CB$87,'Fórmula'!D18,46))+(('Fórmula'!G18)/('Fórmula'!C18+'Fórmula'!E18+'Fórmula'!G18+'Fórmula'!I18+'Fórmula'!K18))*(INDEX(properties!A$1:CB$87,'Fórmula'!F18,46))+(('Fórmula'!I18)/('Fórmula'!C18+'Fórmula'!E18+'Fórmula'!G18+'Fórmula'!I18+'Fórmula'!K18))*(INDEX(properties!A$1:CB$87,'Fórmula'!H18,46))+(('Fórmula'!K18)/('Fórmula'!C18+'Fórmula'!E18+'Fórmula'!G18+'Fórmula'!I18+'Fórmula'!K18))*(INDEX(properties!A$1:CB$87,'Fórmula'!J18,46))</f>
        <v>1.0575</v>
      </c>
      <c r="EQ18" s="113">
        <f t="array" ref="EQ18">'Fórmula'!C18*(INDEX(properties!A$1:CB$87,'Fórmula'!B18,46))+'Fórmula'!E18*(INDEX(properties!A$1:CB$87,'Fórmula'!D18,46))+'Fórmula'!G18*(INDEX(properties!A$1:CB$87,'Fórmula'!F18,46))+'Fórmula'!I18*(INDEX(properties!A$1:CB$87,'Fórmula'!H18,46))+'Fórmula'!K18*(INDEX(properties!A$1:CB$87,'Fórmula'!J18,46))</f>
        <v>12.69</v>
      </c>
      <c r="ER18" s="113">
        <f t="array" ref="ER18">VARP(IF(INDEX(properties!A$1:CB$87,'Fórmula'!B18,46)&lt;&gt;"",INDEX(properties!A$1:CB$87,'Fórmula'!B18,46)),IF(INDEX(properties!A$1:CB$87,'Fórmula'!D18,46)&lt;&gt;"",INDEX(properties!A$1:CB$87,'Fórmula'!D18,46)),IF(INDEX(properties!A$1:CB$87,'Fórmula'!F18,46)&lt;&gt;"",INDEX(properties!A$1:CB$87,'Fórmula'!F18,46)),IF(INDEX(properties!A$1:CB$87,'Fórmula'!H18,46)&lt;&gt;"",INDEX(properties!A$1:CB$87,'Fórmula'!H18,46)),IF(INDEX(properties!A$1:CB$87,'Fórmula'!J18,46)&lt;&gt;"",INDEX(properties!A$1:CB$87,'Fórmula'!J18,46)))</f>
        <v>0.28224</v>
      </c>
      <c r="ES18" s="124">
        <f t="array" ref="ES18">MAX(INDEX(properties!A$1:CB$87,'Fórmula'!B18,46),INDEX(properties!A$1:CB$87,'Fórmula'!D18,46),INDEX(properties!A$1:CB$87,'Fórmula'!F18,46),INDEX(properties!A$1:CB$87,'Fórmula'!H18,46),INDEX(properties!A$1:CB$87,'Fórmula'!J18,46))</f>
        <v>1.21</v>
      </c>
      <c r="ET18" s="124">
        <f t="array" ref="ET18">MIN(IF(INDEX(properties!A$1:CB$87,'Fórmula'!B18,46)=0,10^6,INDEX(properties!A$1:CB$87,'Fórmula'!B18,46)),IF(INDEX(properties!A$1:CB$87,'Fórmula'!D18,46)=0,10^6,INDEX(properties!A$1:CB$87,'Fórmula'!D18,46)),IF(INDEX(properties!A$1:CB$87,'Fórmula'!F18,46)=0,10^6,INDEX(properties!A$1:CB$87,'Fórmula'!F18,46)),IF(INDEX(properties!A$1:CB$87,'Fórmula'!H18,46)=0,10^6,INDEX(properties!A$1:CB$87,'Fórmula'!H18,46)),IF(INDEX(properties!A$1:CB$87,'Fórmula'!J18,46)=0,10^6,INDEX(properties!A$1:CB$87,'Fórmula'!J18,46)))</f>
        <v>0.4</v>
      </c>
      <c r="EU18" s="113">
        <f t="shared" si="25"/>
        <v>0.81</v>
      </c>
      <c r="EV18" s="114">
        <f t="array" ref="EV18">(('Fórmula'!C18)/('Fórmula'!C18+'Fórmula'!E18+'Fórmula'!G18+'Fórmula'!I18+'Fórmula'!K18))*(INDEX(properties!A$1:CB$87,'Fórmula'!B18,52))+(('Fórmula'!E18)/('Fórmula'!C18+'Fórmula'!E18+'Fórmula'!G18+'Fórmula'!I18+'Fórmula'!K18))*(INDEX(properties!A$1:CB$87,'Fórmula'!D18,52))+(('Fórmula'!G18)/('Fórmula'!C18+'Fórmula'!E18+'Fórmula'!G18+'Fórmula'!I18+'Fórmula'!K18))*(INDEX(properties!A$1:CB$87,'Fórmula'!F18,52))+(('Fórmula'!I18)/('Fórmula'!C18+'Fórmula'!E18+'Fórmula'!G18+'Fórmula'!I18+'Fórmula'!K18))*(INDEX(properties!A$1:CB$87,'Fórmula'!H18,52))+(('Fórmula'!K18)/('Fórmula'!C18+'Fórmula'!E18+'Fórmula'!G18+'Fórmula'!I18+'Fórmula'!K18))*(INDEX(properties!A$1:CB$87,'Fórmula'!J18,52))</f>
        <v>7.062583333</v>
      </c>
      <c r="EW18" s="114">
        <f t="array" ref="EW18">'Fórmula'!C18*(INDEX(properties!A$1:CB$87,'Fórmula'!B18,52))+'Fórmula'!E18*(INDEX(properties!A$1:CB$87,'Fórmula'!D18,52))+'Fórmula'!G18*(INDEX(properties!A$1:CB$87,'Fórmula'!F18,52))+'Fórmula'!I18*(INDEX(properties!A$1:CB$87,'Fórmula'!H18,52))+'Fórmula'!K18*(INDEX(properties!A$1:CB$87,'Fórmula'!J18,52))</f>
        <v>84.751</v>
      </c>
      <c r="EX18" s="114">
        <f t="array" ref="EX18">VARP(IF(INDEX(properties!A$1:CB$87,'Fórmula'!B18,52)&lt;&gt;"",INDEX(properties!A$1:CB$87,'Fórmula'!B18,52)),IF(INDEX(properties!A$1:CB$87,'Fórmula'!D18,52)&lt;&gt;"",INDEX(properties!A$1:CB$87,'Fórmula'!D18,52)),IF(INDEX(properties!A$1:CB$87,'Fórmula'!F18,52)&lt;&gt;"",INDEX(properties!A$1:CB$87,'Fórmula'!F18,52)),IF(INDEX(properties!A$1:CB$87,'Fórmula'!H18,52)&lt;&gt;"",INDEX(properties!A$1:CB$87,'Fórmula'!H18,52)),IF(INDEX(properties!A$1:CB$87,'Fórmula'!J18,52)&lt;&gt;"",INDEX(properties!A$1:CB$87,'Fórmula'!J18,52)))</f>
        <v>76.30200784</v>
      </c>
      <c r="EY18" s="114">
        <f t="array" ref="EY18">MAX(INDEX(properties!A$1:CB$87,'Fórmula'!B18,52),INDEX(properties!A$1:CB$87,'Fórmula'!D18,52),INDEX(properties!A$1:CB$87,'Fórmula'!F18,52),INDEX(properties!A$1:CB$87,'Fórmula'!H18,52),INDEX(properties!A$1:CB$87,'Fórmula'!J18,52))</f>
        <v>22.8</v>
      </c>
      <c r="EZ18" s="114">
        <f t="array" ref="EZ18">MIN(IF(INDEX(properties!A$1:CB$87,'Fórmula'!B18,52)=0,10^6,INDEX(properties!A$1:CB$87,'Fórmula'!B18,52)),IF(INDEX(properties!A$1:CB$87,'Fórmula'!D18,52)=0,10^6,INDEX(properties!A$1:CB$87,'Fórmula'!D18,52)),IF(INDEX(properties!A$1:CB$87,'Fórmula'!F18,52)=0,10^6,INDEX(properties!A$1:CB$87,'Fórmula'!F18,52)),IF(INDEX(properties!A$1:CB$87,'Fórmula'!H18,52)=0,10^6,INDEX(properties!A$1:CB$87,'Fórmula'!H18,52)),IF(INDEX(properties!A$1:CB$87,'Fórmula'!J18,52)=0,10^6,INDEX(properties!A$1:CB$87,'Fórmula'!J18,52)))</f>
        <v>0.793</v>
      </c>
      <c r="FA18" s="114">
        <f t="shared" si="26"/>
        <v>22.007</v>
      </c>
      <c r="FB18" s="115">
        <f t="array" ref="FB18">(('Fórmula'!C18)/('Fórmula'!C18+'Fórmula'!E18+'Fórmula'!G18+'Fórmula'!I18+'Fórmula'!K18))*(INDEX(properties!A$1:CB$87,'Fórmula'!B18,53))+(('Fórmula'!E18)/('Fórmula'!C18+'Fórmula'!E18+'Fórmula'!G18+'Fórmula'!I18+'Fórmula'!K18))*(INDEX(properties!A$1:CB$87,'Fórmula'!D18,53))+(('Fórmula'!G18)/('Fórmula'!C18+'Fórmula'!E18+'Fórmula'!G18+'Fórmula'!I18+'Fórmula'!K18))*(INDEX(properties!A$1:CB$87,'Fórmula'!F18,53))+(('Fórmula'!I18)/('Fórmula'!C18+'Fórmula'!E18+'Fórmula'!G18+'Fórmula'!I18+'Fórmula'!K18))*(INDEX(properties!A$1:CB$87,'Fórmula'!H18,53))+(('Fórmula'!K18)/('Fórmula'!C18+'Fórmula'!E18+'Fórmula'!G18+'Fórmula'!I18+'Fórmula'!K18))*(INDEX(properties!A$1:CB$87,'Fórmula'!J18,53))</f>
        <v>590.5</v>
      </c>
      <c r="FC18" s="115">
        <f t="array" ref="FC18">'Fórmula'!C18*(INDEX(properties!A$1:CB$87,'Fórmula'!B18,53))+'Fórmula'!E18*(INDEX(properties!A$1:CB$87,'Fórmula'!D18,53))+'Fórmula'!G18*(INDEX(properties!A$1:CB$87,'Fórmula'!F18,53))+'Fórmula'!I18*(INDEX(properties!A$1:CB$87,'Fórmula'!H18,53))+'Fórmula'!K18*(INDEX(properties!A$1:CB$87,'Fórmula'!J18,53))</f>
        <v>7086</v>
      </c>
      <c r="FD18" s="115">
        <f t="array" ref="FD18">VARP(IF(INDEX(properties!A$1:CB$87,'Fórmula'!B18,53)&lt;&gt;"",INDEX(properties!A$1:CB$87,'Fórmula'!B18,53)),IF(INDEX(properties!A$1:CB$87,'Fórmula'!D18,53)&lt;&gt;"",INDEX(properties!A$1:CB$87,'Fórmula'!D18,53)),IF(INDEX(properties!A$1:CB$87,'Fórmula'!F18,53)&lt;&gt;"",INDEX(properties!A$1:CB$87,'Fórmula'!F18,53)),IF(INDEX(properties!A$1:CB$87,'Fórmula'!H18,53)&lt;&gt;"",INDEX(properties!A$1:CB$87,'Fórmula'!H18,53)),IF(INDEX(properties!A$1:CB$87,'Fórmula'!J18,53)&lt;&gt;"",INDEX(properties!A$1:CB$87,'Fórmula'!J18,53)))</f>
        <v>489662.4214</v>
      </c>
      <c r="FE18" s="115">
        <f t="array" ref="FE18">MAX(INDEX(properties!A$1:CB$87,'Fórmula'!B18,53),INDEX(properties!A$1:CB$87,'Fórmula'!D18,53),INDEX(properties!A$1:CB$87,'Fórmula'!F18,53),INDEX(properties!A$1:CB$87,'Fórmula'!H18,53),INDEX(properties!A$1:CB$87,'Fórmula'!J18,53))</f>
        <v>1683.15</v>
      </c>
      <c r="FF18" s="115">
        <f t="array" ref="FF18">MIN(IF(INDEX(properties!A$1:CB$87,'Fórmula'!B18,53)=0,10^6,INDEX(properties!A$1:CB$87,'Fórmula'!B18,53)),IF(INDEX(properties!A$1:CB$87,'Fórmula'!D18,53)=0,10^6,INDEX(properties!A$1:CB$87,'Fórmula'!D18,53)),IF(INDEX(properties!A$1:CB$87,'Fórmula'!F18,53)=0,10^6,INDEX(properties!A$1:CB$87,'Fórmula'!F18,53)),IF(INDEX(properties!A$1:CB$87,'Fórmula'!H18,53)=0,10^6,INDEX(properties!A$1:CB$87,'Fórmula'!H18,53)),IF(INDEX(properties!A$1:CB$87,'Fórmula'!J18,53)=0,10^6,INDEX(properties!A$1:CB$87,'Fórmula'!J18,53)))</f>
        <v>54.75</v>
      </c>
      <c r="FG18" s="115">
        <f t="shared" si="27"/>
        <v>1628.4</v>
      </c>
      <c r="FH18" s="117">
        <f t="array" ref="FH18">(('Fórmula'!C18)/('Fórmula'!C18+'Fórmula'!E18+'Fórmula'!G18+'Fórmula'!I18+'Fórmula'!K18))*(INDEX(properties!A$1:CB$87,'Fórmula'!B18,54))+(('Fórmula'!E18)/('Fórmula'!C18+'Fórmula'!E18+'Fórmula'!G18+'Fórmula'!I18+'Fórmula'!K18))*(INDEX(properties!A$1:CB$87,'Fórmula'!D18,54))+(('Fórmula'!G18)/('Fórmula'!C18+'Fórmula'!E18+'Fórmula'!G18+'Fórmula'!I18+'Fórmula'!K18))*(INDEX(properties!A$1:CB$87,'Fórmula'!F18,54))+(('Fórmula'!I18)/('Fórmula'!C18+'Fórmula'!E18+'Fórmula'!G18+'Fórmula'!I18+'Fórmula'!K18))*(INDEX(properties!A$1:CB$87,'Fórmula'!H18,54))+(('Fórmula'!K18)/('Fórmula'!C18+'Fórmula'!E18+'Fórmula'!G18+'Fórmula'!I18+'Fórmula'!K18))*(INDEX(properties!A$1:CB$87,'Fórmula'!J18,54))</f>
        <v>929.9</v>
      </c>
      <c r="FI18" s="117">
        <f t="array" ref="FI18">'Fórmula'!C18*(INDEX(properties!A$1:CB$87,'Fórmula'!B18,54))+'Fórmula'!E18*(INDEX(properties!A$1:CB$87,'Fórmula'!D18,54))+'Fórmula'!G18*(INDEX(properties!A$1:CB$87,'Fórmula'!F18,54))+'Fórmula'!I18*(INDEX(properties!A$1:CB$87,'Fórmula'!H18,54))+'Fórmula'!K18*(INDEX(properties!A$1:CB$87,'Fórmula'!J18,54))</f>
        <v>11158.8</v>
      </c>
      <c r="FJ18" s="117">
        <f t="array" ref="FJ18">VARP(IF(INDEX(properties!A$1:CB$87,'Fórmula'!B18,54)&lt;&gt;"",INDEX(properties!A$1:CB$87,'Fórmula'!B18,54)),IF(INDEX(properties!A$1:CB$87,'Fórmula'!D18,54)&lt;&gt;"",INDEX(properties!A$1:CB$87,'Fórmula'!D18,54)),IF(INDEX(properties!A$1:CB$87,'Fórmula'!F18,54)&lt;&gt;"",INDEX(properties!A$1:CB$87,'Fórmula'!F18,54)),IF(INDEX(properties!A$1:CB$87,'Fórmula'!H18,54)&lt;&gt;"",INDEX(properties!A$1:CB$87,'Fórmula'!H18,54)),IF(INDEX(properties!A$1:CB$87,'Fórmula'!J18,54)&lt;&gt;"",INDEX(properties!A$1:CB$87,'Fórmula'!J18,54)))</f>
        <v>1199389.005</v>
      </c>
      <c r="FK18" s="117">
        <f t="array" ref="FK18">MAX(INDEX(properties!A$1:CB$87,'Fórmula'!B18,54),INDEX(properties!A$1:CB$87,'Fórmula'!D18,54),INDEX(properties!A$1:CB$87,'Fórmula'!F18,54),INDEX(properties!A$1:CB$87,'Fórmula'!H18,54),INDEX(properties!A$1:CB$87,'Fórmula'!J18,54))</f>
        <v>2628.15</v>
      </c>
      <c r="FL18" s="117">
        <f t="array" ref="FL18">MIN(IF(INDEX(properties!A$1:CB$87,'Fórmula'!B18,54)=0,10^6,INDEX(properties!A$1:CB$87,'Fórmula'!B18,54)),IF(INDEX(properties!A$1:CB$87,'Fórmula'!D18,54)=0,10^6,INDEX(properties!A$1:CB$87,'Fórmula'!D18,54)),IF(INDEX(properties!A$1:CB$87,'Fórmula'!F18,54)=0,10^6,INDEX(properties!A$1:CB$87,'Fórmula'!F18,54)),IF(INDEX(properties!A$1:CB$87,'Fórmula'!H18,54)=0,10^6,INDEX(properties!A$1:CB$87,'Fórmula'!H18,54)),IF(INDEX(properties!A$1:CB$87,'Fórmula'!J18,54)=0,10^6,INDEX(properties!A$1:CB$87,'Fórmula'!J18,54)))</f>
        <v>90.15</v>
      </c>
      <c r="FM18" s="117">
        <f t="shared" si="28"/>
        <v>2538</v>
      </c>
      <c r="FN18" s="118">
        <f t="array" ref="FN18">(('Fórmula'!C18)/('Fórmula'!C18+'Fórmula'!E18+'Fórmula'!G18+'Fórmula'!I18+'Fórmula'!K18))*(INDEX(properties!A$1:CB$87,'Fórmula'!B18,55))+(('Fórmula'!E18)/('Fórmula'!C18+'Fórmula'!E18+'Fórmula'!G18+'Fórmula'!I18+'Fórmula'!K18))*(INDEX(properties!A$1:CB$87,'Fórmula'!D18,55))+(('Fórmula'!G18)/('Fórmula'!C18+'Fórmula'!E18+'Fórmula'!G18+'Fórmula'!I18+'Fórmula'!K18))*(INDEX(properties!A$1:CB$87,'Fórmula'!F18,55))+(('Fórmula'!I18)/('Fórmula'!C18+'Fórmula'!E18+'Fórmula'!G18+'Fórmula'!I18+'Fórmula'!K18))*(INDEX(properties!A$1:CB$87,'Fórmula'!H18,55))+(('Fórmula'!K18)/('Fórmula'!C18+'Fórmula'!E18+'Fórmula'!G18+'Fórmula'!I18+'Fórmula'!K18))*(INDEX(properties!A$1:CB$87,'Fórmula'!J18,55))</f>
        <v>0.7766675</v>
      </c>
      <c r="FO18" s="118">
        <f t="array" ref="FO18">'Fórmula'!C18*(INDEX(properties!A$1:CB$87,'Fórmula'!B18,55))+'Fórmula'!E18*(INDEX(properties!A$1:CB$87,'Fórmula'!D18,54))+'Fórmula'!G18*(INDEX(properties!A$1:CB$87,'Fórmula'!F18,55))+'Fórmula'!I18*(INDEX(properties!A$1:CB$87,'Fórmula'!H18,55))+'Fórmula'!K18*(INDEX(properties!A$1:CB$87,'Fórmula'!J18,55))</f>
        <v>5260.96001</v>
      </c>
      <c r="FP18" s="118">
        <f t="array" ref="FP18">VARP(IF(INDEX(properties!A$1:CB$87,'Fórmula'!B18,55)&lt;&gt;"",INDEX(properties!A$1:CB$87,'Fórmula'!B18,55)),IF(INDEX(properties!A$1:CB$87,'Fórmula'!D18,55)&lt;&gt;"",INDEX(properties!A$1:CB$87,'Fórmula'!D18,55)),IF(INDEX(properties!A$1:CB$87,'Fórmula'!F18,55)&lt;&gt;"",INDEX(properties!A$1:CB$87,'Fórmula'!F18,55)),IF(INDEX(properties!A$1:CB$87,'Fórmula'!H18,55)&lt;&gt;"",INDEX(properties!A$1:CB$87,'Fórmula'!H18,55)),IF(INDEX(properties!A$1:CB$87,'Fórmula'!J18,55)&lt;&gt;"",INDEX(properties!A$1:CB$87,'Fórmula'!J18,55)))</f>
        <v>0.9636604552</v>
      </c>
      <c r="FQ18" s="118">
        <f t="array" ref="FQ18">MAX(INDEX(properties!A$1:CB$87,'Fórmula'!B18,55),INDEX(properties!A$1:CB$87,'Fórmula'!D18,55),INDEX(properties!A$1:CB$87,'Fórmula'!F18,55),INDEX(properties!A$1:CB$87,'Fórmula'!H18,55),INDEX(properties!A$1:CB$87,'Fórmula'!J18,55))</f>
        <v>2.33</v>
      </c>
      <c r="FR18" s="118">
        <f t="array" ref="FR18">MIN(IF(INDEX(properties!A$1:CB$87,'Fórmula'!B18,55)=0,10^6,INDEX(properties!A$1:CB$87,'Fórmula'!B18,55)),IF(INDEX(properties!A$1:CB$87,'Fórmula'!D18,55)=0,10^6,INDEX(properties!A$1:CB$87,'Fórmula'!D18,55)),IF(INDEX(properties!A$1:CB$87,'Fórmula'!F18,55)=0,10^6,INDEX(properties!A$1:CB$87,'Fórmula'!F18,55)),IF(INDEX(properties!A$1:CB$87,'Fórmula'!H18,55)=0,10^6,INDEX(properties!A$1:CB$87,'Fórmula'!H18,55)),IF(INDEX(properties!A$1:CB$87,'Fórmula'!J18,55)=0,10^6,INDEX(properties!A$1:CB$87,'Fórmula'!J18,55)))</f>
        <v>0.00143</v>
      </c>
      <c r="FS18" s="118">
        <f t="shared" si="29"/>
        <v>2.32857</v>
      </c>
      <c r="FT18" s="119">
        <f t="array" ref="FT18">(('Fórmula'!C18)/('Fórmula'!C18+'Fórmula'!E18+'Fórmula'!G18+'Fórmula'!I18+'Fórmula'!K18))*(INDEX(properties!A$1:CB$87,'Fórmula'!B18,56))+(('Fórmula'!E18)/('Fórmula'!C18+'Fórmula'!E18+'Fórmula'!G18+'Fórmula'!I18+'Fórmula'!K18))*(INDEX(properties!A$1:CB$87,'Fórmula'!D18,56))+(('Fórmula'!G18)/('Fórmula'!C18+'Fórmula'!E18+'Fórmula'!G18+'Fórmula'!I18+'Fórmula'!K18))*(INDEX(properties!A$1:CB$87,'Fórmula'!F18,56))+(('Fórmula'!I18)/('Fórmula'!C18+'Fórmula'!E18+'Fórmula'!G18+'Fórmula'!I18+'Fórmula'!K18))*(INDEX(properties!A$1:CB$87,'Fórmula'!H18,56))+(('Fórmula'!K18)/('Fórmula'!C18+'Fórmula'!E18+'Fórmula'!G18+'Fórmula'!I18+'Fórmula'!K18))*(INDEX(properties!A$1:CB$87,'Fórmula'!J18,56))</f>
        <v>0.8125</v>
      </c>
      <c r="FU18" s="119">
        <f t="array" ref="FU18">'Fórmula'!C18*(INDEX(properties!A$1:CB$87,'Fórmula'!B18,56))+'Fórmula'!E18*(INDEX(properties!A$1:CB$87,'Fórmula'!D18,56))+'Fórmula'!G18*(INDEX(properties!A$1:CB$87,'Fórmula'!F18,56))+'Fórmula'!I18*(INDEX(properties!A$1:CB$87,'Fórmula'!H18,56))+'Fórmula'!K18*(INDEX(properties!A$1:CB$87,'Fórmula'!J18,56))</f>
        <v>9.75</v>
      </c>
      <c r="FV18" s="119">
        <f t="array" ref="FV18">VARP(IF(INDEX(properties!A$1:CB$87,'Fórmula'!B18,56)&lt;&gt;"",INDEX(properties!A$1:CB$87,'Fórmula'!B18,56)),IF(INDEX(properties!A$1:CB$87,'Fórmula'!D18,56)&lt;&gt;"",INDEX(properties!A$1:CB$87,'Fórmula'!D18,56)),IF(INDEX(properties!A$1:CB$87,'Fórmula'!F18,56)&lt;&gt;"",INDEX(properties!A$1:CB$87,'Fórmula'!F18,56)),IF(INDEX(properties!A$1:CB$87,'Fórmula'!H18,56)&lt;&gt;"",INDEX(properties!A$1:CB$87,'Fórmula'!H18,56)),IF(INDEX(properties!A$1:CB$87,'Fórmula'!J18,56)&lt;&gt;"",INDEX(properties!A$1:CB$87,'Fórmula'!J18,56)))</f>
        <v>0.145176</v>
      </c>
      <c r="FW18" s="119">
        <f t="array" ref="FW18">MAX(INDEX(properties!A$1:CB$87,'Fórmula'!B18,56),INDEX(properties!A$1:CB$87,'Fórmula'!D18,56),INDEX(properties!A$1:CB$87,'Fórmula'!F18,56),INDEX(properties!A$1:CB$87,'Fórmula'!H18,56),INDEX(properties!A$1:CB$87,'Fórmula'!J18,56))</f>
        <v>0.92</v>
      </c>
      <c r="FX18" s="119">
        <f t="array" ref="FX18">MIN(IF(INDEX(properties!A$1:CB$87,'Fórmula'!B18,56)=0,10^6,INDEX(properties!A$1:CB$87,'Fórmula'!B18,56)),IF(INDEX(properties!A$1:CB$87,'Fórmula'!D18,56)=0,10^6,INDEX(properties!A$1:CB$87,'Fórmula'!D18,56)),IF(INDEX(properties!A$1:CB$87,'Fórmula'!F18,56)=0,10^6,INDEX(properties!A$1:CB$87,'Fórmula'!F18,56)),IF(INDEX(properties!A$1:CB$87,'Fórmula'!H18,56)=0,10^6,INDEX(properties!A$1:CB$87,'Fórmula'!H18,56)),IF(INDEX(properties!A$1:CB$87,'Fórmula'!J18,56)=0,10^6,INDEX(properties!A$1:CB$87,'Fórmula'!J18,56)))</f>
        <v>0.63</v>
      </c>
      <c r="FY18" s="119">
        <f t="shared" si="30"/>
        <v>0.29</v>
      </c>
      <c r="FZ18" s="104">
        <f t="array" ref="FZ18">(('Fórmula'!C18)/('Fórmula'!C18+'Fórmula'!E18+'Fórmula'!G18+'Fórmula'!I18+'Fórmula'!K18))*(INDEX(properties!A$1:CB$87,'Fórmula'!B18,57))+(('Fórmula'!E18)/('Fórmula'!C18+'Fórmula'!E18+'Fórmula'!G18+'Fórmula'!I18+'Fórmula'!K18))*(INDEX(properties!A$1:CB$87,'Fórmula'!D18,57))+(('Fórmula'!G18)/('Fórmula'!C18+'Fórmula'!E18+'Fórmula'!G18+'Fórmula'!I18+'Fórmula'!K18))*(INDEX(properties!A$1:CB$87,'Fórmula'!F18,57))+(('Fórmula'!I18)/('Fórmula'!C18+'Fórmula'!E18+'Fórmula'!G18+'Fórmula'!I18+'Fórmula'!K18))*(INDEX(properties!A$1:CB$87,'Fórmula'!H18,57))+(('Fórmula'!K18)/('Fórmula'!C18+'Fórmula'!E18+'Fórmula'!G18+'Fórmula'!I18+'Fórmula'!K18))*(INDEX(properties!A$1:CB$87,'Fórmula'!J18,57))</f>
        <v>10.68984417</v>
      </c>
      <c r="GA18" s="104">
        <f t="array" ref="GA18">'Fórmula'!C18*(INDEX(properties!A$1:CB$87,'Fórmula'!B18,57))+'Fórmula'!E18*(INDEX(properties!A$1:CB$87,'Fórmula'!D18,57))+'Fórmula'!G18*(INDEX(properties!A$1:CB$87,'Fórmula'!F18,57))+'Fórmula'!I18*(INDEX(properties!A$1:CB$87,'Fórmula'!H18,57))+'Fórmula'!K18*(INDEX(properties!A$1:CB$87,'Fórmula'!J18,57))</f>
        <v>128.27813</v>
      </c>
      <c r="GB18" s="104">
        <f t="array" ref="GB18">VARP(IF(INDEX(properties!A$1:CB$87,'Fórmula'!B18,57)&lt;&gt;"",INDEX(properties!A$1:CB$87,'Fórmula'!B18,57)),IF(INDEX(properties!A$1:CB$87,'Fórmula'!D18,57)&lt;&gt;"",INDEX(properties!A$1:CB$87,'Fórmula'!D18,57)),IF(INDEX(properties!A$1:CB$87,'Fórmula'!F18,57)&lt;&gt;"",INDEX(properties!A$1:CB$87,'Fórmula'!F18,57)),IF(INDEX(properties!A$1:CB$87,'Fórmula'!H18,57)&lt;&gt;"",INDEX(properties!A$1:CB$87,'Fórmula'!H18,57)),IF(INDEX(properties!A$1:CB$87,'Fórmula'!J18,57)&lt;&gt;"",INDEX(properties!A$1:CB$87,'Fórmula'!J18,57)))</f>
        <v>384.937396</v>
      </c>
      <c r="GC18" s="104">
        <f t="array" ref="GC18">MAX(INDEX(properties!A$1:CB$87,'Fórmula'!B18,57),INDEX(properties!A$1:CB$87,'Fórmula'!D18,57),INDEX(properties!A$1:CB$87,'Fórmula'!F18,57),INDEX(properties!A$1:CB$87,'Fórmula'!H18,57),INDEX(properties!A$1:CB$87,'Fórmula'!J18,57))</f>
        <v>50.55</v>
      </c>
      <c r="GD18" s="104">
        <f t="array" ref="GD18">MIN(IF(INDEX(properties!A$1:CB$87,'Fórmula'!B18,57)=0,10^6,INDEX(properties!A$1:CB$87,'Fórmula'!B18,57)),IF(INDEX(properties!A$1:CB$87,'Fórmula'!D18,57)=0,10^6,INDEX(properties!A$1:CB$87,'Fórmula'!D18,57)),IF(INDEX(properties!A$1:CB$87,'Fórmula'!F18,57)=0,10^6,INDEX(properties!A$1:CB$87,'Fórmula'!F18,57)),IF(INDEX(properties!A$1:CB$87,'Fórmula'!H18,57)=0,10^6,INDEX(properties!A$1:CB$87,'Fórmula'!H18,57)),IF(INDEX(properties!A$1:CB$87,'Fórmula'!J18,57)=0,10^6,INDEX(properties!A$1:CB$87,'Fórmula'!J18,57)))</f>
        <v>0.22259</v>
      </c>
      <c r="GE18" s="104">
        <f t="shared" si="31"/>
        <v>50.32741</v>
      </c>
      <c r="GF18" s="105">
        <f t="array" ref="GF18">(('Fórmula'!C18)/('Fórmula'!C18+'Fórmula'!E18+'Fórmula'!G18+'Fórmula'!I18+'Fórmula'!K18))*(INDEX(properties!A$1:CB$87,'Fórmula'!B18,60))+(('Fórmula'!E18)/('Fórmula'!C18+'Fórmula'!E18+'Fórmula'!G18+'Fórmula'!I18+'Fórmula'!K18))*(INDEX(properties!A$1:CB$87,'Fórmula'!D18,60))+(('Fórmula'!G18)/('Fórmula'!C18+'Fórmula'!E18+'Fórmula'!G18+'Fórmula'!I18+'Fórmula'!K18))*(INDEX(properties!A$1:CB$87,'Fórmula'!F18,60))+(('Fórmula'!I18)/('Fórmula'!C18+'Fórmula'!E18+'Fórmula'!G18+'Fórmula'!I18+'Fórmula'!K18))*(INDEX(properties!A$1:CB$87,'Fórmula'!H18,60))+(('Fórmula'!K18)/('Fórmula'!C18+'Fórmula'!E18+'Fórmula'!G18+'Fórmula'!I18+'Fórmula'!K18))*(INDEX(properties!A$1:CB$87,'Fórmula'!J18,60))</f>
        <v>74.682265</v>
      </c>
      <c r="GG18" s="105">
        <f t="array" ref="GG18">'Fórmula'!C18*(INDEX(properties!A$1:CB$87,'Fórmula'!B18,60))+'Fórmula'!E18*(INDEX(properties!A$1:CB$87,'Fórmula'!D18,60))+'Fórmula'!G18*(INDEX(properties!A$1:CB$87,'Fórmula'!F18,60))+'Fórmula'!I18*(INDEX(properties!A$1:CB$87,'Fórmula'!H18,60))+'Fórmula'!K18*(INDEX(properties!A$1:CB$87,'Fórmula'!J18,60))</f>
        <v>896.18718</v>
      </c>
      <c r="GH18" s="105">
        <f t="array" ref="GH18">VARP(IF(INDEX(properties!A$1:CB$87,'Fórmula'!B18,60)&lt;&gt;"",INDEX(properties!A$1:CB$87,'Fórmula'!B18,60)),IF(INDEX(properties!A$1:CB$87,'Fórmula'!D18,60)&lt;&gt;"",INDEX(properties!A$1:CB$87,'Fórmula'!D18,60)),IF(INDEX(properties!A$1:CB$87,'Fórmula'!F18,60)&lt;&gt;"",INDEX(properties!A$1:CB$87,'Fórmula'!F18,60)),IF(INDEX(properties!A$1:CB$87,'Fórmula'!H18,60)&lt;&gt;"",INDEX(properties!A$1:CB$87,'Fórmula'!H18,60)),IF(INDEX(properties!A$1:CB$87,'Fórmula'!J18,60)&lt;&gt;"",INDEX(properties!A$1:CB$87,'Fórmula'!J18,60)))</f>
        <v>7535.895673</v>
      </c>
      <c r="GI18" s="105">
        <f t="array" ref="GI18">MAX(INDEX(properties!A$1:CB$87,'Fórmula'!B18,60),INDEX(properties!A$1:CB$87,'Fórmula'!D18,60),INDEX(properties!A$1:CB$87,'Fórmula'!F18,60),INDEX(properties!A$1:CB$87,'Fórmula'!H18,60),INDEX(properties!A$1:CB$87,'Fórmula'!J18,60))</f>
        <v>200</v>
      </c>
      <c r="GJ18" s="105">
        <f t="array" ref="GJ18">MIN(IF(INDEX(properties!A$1:CB$87,'Fórmula'!B18,60)=0,10^6,INDEX(properties!A$1:CB$87,'Fórmula'!B18,60)),IF(INDEX(properties!A$1:CB$87,'Fórmula'!D18,60)=0,10^6,INDEX(properties!A$1:CB$87,'Fórmula'!D18,60)),IF(INDEX(properties!A$1:CB$87,'Fórmula'!F18,60)=0,10^6,INDEX(properties!A$1:CB$87,'Fórmula'!F18,60)),IF(INDEX(properties!A$1:CB$87,'Fórmula'!H18,60)=0,10^6,INDEX(properties!A$1:CB$87,'Fórmula'!H18,60)),IF(INDEX(properties!A$1:CB$87,'Fórmula'!J18,60)=0,10^6,INDEX(properties!A$1:CB$87,'Fórmula'!J18,60)))</f>
        <v>0.02674</v>
      </c>
      <c r="GK18" s="105">
        <f t="shared" si="32"/>
        <v>199.97326</v>
      </c>
      <c r="GL18" s="106">
        <f t="array" ref="GL18">(('Fórmula'!C18)/('Fórmula'!C18+'Fórmula'!E18+'Fórmula'!G18+'Fórmula'!I18+'Fórmula'!K18))*(INDEX(properties!A$1:CB$87,'Fórmula'!B18,62))+(('Fórmula'!E18)/('Fórmula'!C18+'Fórmula'!E18+'Fórmula'!G18+'Fórmula'!I18+'Fórmula'!K18))*(INDEX(properties!A$1:CB$87,'Fórmula'!D18,62))+(('Fórmula'!G18)/('Fórmula'!C18+'Fórmula'!E18+'Fórmula'!G18+'Fórmula'!I18+'Fórmula'!K18))*(INDEX(properties!A$1:CB$87,'Fórmula'!F18,62))+(('Fórmula'!I18)/('Fórmula'!C18+'Fórmula'!E18+'Fórmula'!G18+'Fórmula'!I18+'Fórmula'!K18))*(INDEX(properties!A$1:CB$87,'Fórmula'!H18,62))+(('Fórmula'!K18)/('Fórmula'!C18+'Fórmula'!E18+'Fórmula'!G18+'Fórmula'!I18+'Fórmula'!K18))*(INDEX(properties!A$1:CB$87,'Fórmula'!J18,62))</f>
        <v>2.76</v>
      </c>
      <c r="GM18" s="106">
        <f t="array" ref="GM18">'Fórmula'!C18*(INDEX(properties!A$1:CB$87,'Fórmula'!B18,62))+'Fórmula'!E18*(INDEX(properties!A$1:CB$87,'Fórmula'!D18,62))+'Fórmula'!G18*(INDEX(properties!A$1:CB$87,'Fórmula'!F18,62))+'Fórmula'!I18*(INDEX(properties!A$1:CB$87,'Fórmula'!H18,62))+'Fórmula'!K18*(INDEX(properties!A$1:CB$87,'Fórmula'!J18,62))</f>
        <v>33.12</v>
      </c>
      <c r="GN18" s="106">
        <f t="array" ref="GN18">VARP(IF(INDEX(properties!A$1:CB$87,'Fórmula'!B18,62)&lt;&gt;"",INDEX(properties!A$1:CB$87,'Fórmula'!B18,62)),IF(INDEX(properties!A$1:CB$87,'Fórmula'!D18,62)&lt;&gt;"",INDEX(properties!A$1:CB$87,'Fórmula'!D18,62)),IF(INDEX(properties!A$1:CB$87,'Fórmula'!F18,62)&lt;&gt;"",INDEX(properties!A$1:CB$87,'Fórmula'!F18,62)),IF(INDEX(properties!A$1:CB$87,'Fórmula'!H18,62)&lt;&gt;"",INDEX(properties!A$1:CB$87,'Fórmula'!H18,62)),IF(INDEX(properties!A$1:CB$87,'Fórmula'!J18,62)&lt;&gt;"",INDEX(properties!A$1:CB$87,'Fórmula'!J18,62)))</f>
        <v>3.032256</v>
      </c>
      <c r="GO18" s="106">
        <f t="array" ref="GO18">MAX(INDEX(properties!A$1:CB$87,'Fórmula'!B18,62),INDEX(properties!A$1:CB$87,'Fórmula'!D18,62),INDEX(properties!A$1:CB$87,'Fórmula'!F18,62),INDEX(properties!A$1:CB$87,'Fórmula'!H18,62),INDEX(properties!A$1:CB$87,'Fórmula'!J18,62))</f>
        <v>4.63</v>
      </c>
      <c r="GP18" s="106">
        <f t="array" ref="GP18">MIN(IF(INDEX(properties!A$1:CB$87,'Fórmula'!B18,62)=0,10^6,INDEX(properties!A$1:CB$87,'Fórmula'!B18,62)),IF(INDEX(properties!A$1:CB$87,'Fórmula'!D18,62)=0,10^6,INDEX(properties!A$1:CB$87,'Fórmula'!D18,62)),IF(INDEX(properties!A$1:CB$87,'Fórmula'!F18,62)=0,10^6,INDEX(properties!A$1:CB$87,'Fórmula'!F18,62)),IF(INDEX(properties!A$1:CB$87,'Fórmula'!H18,62)=0,10^6,INDEX(properties!A$1:CB$87,'Fórmula'!H18,62)),IF(INDEX(properties!A$1:CB$87,'Fórmula'!J18,62)=0,10^6,INDEX(properties!A$1:CB$87,'Fórmula'!J18,62)))</f>
        <v>1.84</v>
      </c>
      <c r="GQ18" s="106">
        <f t="shared" si="33"/>
        <v>2.79</v>
      </c>
      <c r="GR18" s="106">
        <f>'Fórmula'!Q18</f>
        <v>46</v>
      </c>
      <c r="GS18" s="107">
        <f>'Fórmula'!P18</f>
        <v>3</v>
      </c>
      <c r="GT18" s="113">
        <f>'Fórmula'!O18</f>
        <v>3</v>
      </c>
      <c r="GU18" s="114">
        <f>AVERAGE('Fórmula'!R18/'Fórmula'!S18,'Fórmula'!S18/'Fórmula'!T18,'Fórmula'!T18/'Fórmula'!R18)</f>
        <v>1.761807089</v>
      </c>
      <c r="GV18" s="125">
        <f>'Fórmula'!U18</f>
        <v>1277.51</v>
      </c>
      <c r="GW18" s="106">
        <f>'Fórmula'!N18</f>
        <v>0.12</v>
      </c>
    </row>
    <row r="19" ht="14.25" customHeight="1">
      <c r="A19" s="99" t="str">
        <f>'Fórmula'!A19</f>
        <v>LaPO4</v>
      </c>
      <c r="B19" s="101">
        <f t="array" ref="B19">(('Fórmula'!C19)/('Fórmula'!C19+'Fórmula'!E19+'Fórmula'!G19+'Fórmula'!I19+'Fórmula'!K19))*(INDEX(properties!A$1:CB$87,'Fórmula'!B19,3))+(('Fórmula'!E19)/('Fórmula'!C19+'Fórmula'!E19+'Fórmula'!G19+'Fórmula'!I19+'Fórmula'!K19))*(INDEX(properties!A$1:CB$87,'Fórmula'!D19,3))+(('Fórmula'!G19)/('Fórmula'!C19+'Fórmula'!E19+'Fórmula'!G19+'Fórmula'!I19+'Fórmula'!K19))*(INDEX(properties!A$1:CB$87,'Fórmula'!F19,3))+(('Fórmula'!I19)/('Fórmula'!C19+'Fórmula'!E19+'Fórmula'!G19+'Fórmula'!I19+'Fórmula'!K19))*(INDEX(properties!A$1:CB$87,'Fórmula'!H19,3))+(('Fórmula'!K19)/('Fórmula'!C19+'Fórmula'!E19+'Fórmula'!G19+'Fórmula'!I19+'Fórmula'!K19))*(INDEX(properties!A$1:CB$87,'Fórmula'!J19,3))</f>
        <v>38.979477</v>
      </c>
      <c r="C19" s="101">
        <f t="array" ref="C19">'Fórmula'!C19*(INDEX(properties!A$1:CB$87,'Fórmula'!B19,3))+'Fórmula'!E19*(INDEX(properties!A$1:CB$87,'Fórmula'!D19,3))+'Fórmula'!G19*(INDEX(properties!A$1:CB$87,'Fórmula'!F19,3))+'Fórmula'!I19*(INDEX(properties!A$1:CB$87,'Fórmula'!H19,3))+'Fórmula'!K19*(INDEX(properties!A$1:CB$87,'Fórmula'!J19,3))</f>
        <v>233.876862</v>
      </c>
      <c r="D19" s="101">
        <f t="array" ref="D19">VARP(IF(INDEX(properties!A$1:CB$87,'Fórmula'!B19,3)&lt;&gt;"",INDEX(properties!A$1:CB$87,'Fórmula'!B19,3)),IF(INDEX(properties!A$1:CB$87,'Fórmula'!D19,3)&lt;&gt;"",INDEX(properties!A$1:CB$87,'Fórmula'!D19,3)),IF(INDEX(properties!A$1:CB$87,'Fórmula'!F19,3)&lt;&gt;"",INDEX(properties!A$1:CB$87,'Fórmula'!F19,3)),IF(INDEX(properties!A$1:CB$87,'Fórmula'!H19,3)&lt;&gt;"",INDEX(properties!A$1:CB$87,'Fórmula'!H19,3)),IF(INDEX(properties!A$1:CB$87,'Fórmula'!J19,3)&lt;&gt;"",INDEX(properties!A$1:CB$87,'Fórmula'!J19,3)))</f>
        <v>2719.983453</v>
      </c>
      <c r="E19" s="101">
        <f t="array" ref="E19">MAX(INDEX(properties!A$1:CB$87,'Fórmula'!B19,3),INDEX(properties!A$1:CB$87,'Fórmula'!D19,3),INDEX(properties!A$1:CB$87,'Fórmula'!F19,3),INDEX(properties!A$1:CB$87,'Fórmula'!H19,3),INDEX(properties!A$1:CB$87,'Fórmula'!J19,3))</f>
        <v>138.9055</v>
      </c>
      <c r="F19" s="101">
        <f t="array" ref="F19">MIN(IF(INDEX(properties!A$1:CB$87,'Fórmula'!B19,3)=0,10^6,INDEX(properties!A$1:CB$87,'Fórmula'!B19,3)),IF(INDEX(properties!A$1:CB$87,'Fórmula'!D19,3)=0,10^6,INDEX(properties!A$1:CB$87,'Fórmula'!D19,3)),IF(INDEX(properties!A$1:CB$87,'Fórmula'!F19,3)=0,10^6,INDEX(properties!A$1:CB$87,'Fórmula'!F19,3)),IF(INDEX(properties!A$1:CB$87,'Fórmula'!H19,3)=0,10^6,INDEX(properties!A$1:CB$87,'Fórmula'!H19,3)),IF(INDEX(properties!A$1:CB$87,'Fórmula'!J19,3)=0,10^6,INDEX(properties!A$1:CB$87,'Fórmula'!J19,3)))</f>
        <v>15.9994</v>
      </c>
      <c r="G19" s="101">
        <f t="shared" si="1"/>
        <v>122.9061</v>
      </c>
      <c r="H19" s="102">
        <f t="array" ref="H19">(('Fórmula'!C19)/('Fórmula'!C19+'Fórmula'!E19+'Fórmula'!G19+'Fórmula'!I19+'Fórmula'!K19))*(INDEX(properties!A$1:CB$87,'Fórmula'!B19,4))+(('Fórmula'!E19)/('Fórmula'!C19+'Fórmula'!E19+'Fórmula'!G19+'Fórmula'!I19+'Fórmula'!K19))*(INDEX(properties!A$1:CB$87,'Fórmula'!D19,4))+(('Fórmula'!G19)/('Fórmula'!C19+'Fórmula'!E19+'Fórmula'!G19+'Fórmula'!I19+'Fórmula'!K19))*(INDEX(properties!A$1:CB$87,'Fórmula'!F19,4))+(('Fórmula'!I19)/('Fórmula'!C19+'Fórmula'!E19+'Fórmula'!G19+'Fórmula'!I19+'Fórmula'!K19))*(INDEX(properties!A$1:CB$87,'Fórmula'!H19,4))+(('Fórmula'!K19)/('Fórmula'!C19+'Fórmula'!E19+'Fórmula'!G19+'Fórmula'!I19+'Fórmula'!K19))*(INDEX(properties!A$1:CB$87,'Fórmula'!J19,4))</f>
        <v>17.33333333</v>
      </c>
      <c r="I19" s="102">
        <f t="array" ref="I19">'Fórmula'!C19*(INDEX(properties!A$1:CB$87,'Fórmula'!B19,4))+'Fórmula'!E19*(INDEX(properties!A$1:CB$87,'Fórmula'!D19,4))+'Fórmula'!G19*(INDEX(properties!A$1:CB$87,'Fórmula'!F19,4))+'Fórmula'!I19*(INDEX(properties!A$1:CB$87,'Fórmula'!H19,4))+'Fórmula'!K19*(INDEX(properties!A$1:CB$87,'Fórmula'!J19,4))</f>
        <v>104</v>
      </c>
      <c r="J19" s="102">
        <f t="array" ref="J19">VARP(IF(INDEX(properties!A$1:CB$87,'Fórmula'!B19,4)&lt;&gt;"",INDEX(properties!A$1:CB$87,'Fórmula'!B19,4)),IF(INDEX(properties!A$1:CB$87,'Fórmula'!D19,4)&lt;&gt;"",INDEX(properties!A$1:CB$87,'Fórmula'!D19,4)),IF(INDEX(properties!A$1:CB$87,'Fórmula'!F19,4)&lt;&gt;"",INDEX(properties!A$1:CB$87,'Fórmula'!F19,4)),IF(INDEX(properties!A$1:CB$87,'Fórmula'!H19,4)&lt;&gt;"",INDEX(properties!A$1:CB$87,'Fórmula'!H19,4)),IF(INDEX(properties!A$1:CB$87,'Fórmula'!J19,4)&lt;&gt;"",INDEX(properties!A$1:CB$87,'Fórmula'!J19,4)))</f>
        <v>451.6</v>
      </c>
      <c r="K19" s="102">
        <f t="array" ref="K19">MAX(INDEX(properties!A$1:CB$87,'Fórmula'!B19,4),INDEX(properties!A$1:CB$87,'Fórmula'!D19,4),INDEX(properties!A$1:CB$87,'Fórmula'!F19,4),INDEX(properties!A$1:CB$87,'Fórmula'!H19,4),INDEX(properties!A$1:CB$87,'Fórmula'!J19,4))</f>
        <v>57</v>
      </c>
      <c r="L19" s="102">
        <f t="array" ref="L19">MIN(IF(INDEX(properties!A$1:CB$87,'Fórmula'!B19,4)=0,10^6,INDEX(properties!A$1:CB$87,'Fórmula'!B19,4)),IF(INDEX(properties!A$1:CB$87,'Fórmula'!D19,4)=0,10^6,INDEX(properties!A$1:CB$87,'Fórmula'!D19,4)),IF(INDEX(properties!A$1:CB$87,'Fórmula'!F19,4)=0,10^6,INDEX(properties!A$1:CB$87,'Fórmula'!F19,4)),IF(INDEX(properties!A$1:CB$87,'Fórmula'!H19,4)=0,10^6,INDEX(properties!A$1:CB$87,'Fórmula'!H19,4)),IF(INDEX(properties!A$1:CB$87,'Fórmula'!J19,4)=0,10^6,INDEX(properties!A$1:CB$87,'Fórmula'!J19,4)))</f>
        <v>8</v>
      </c>
      <c r="M19" s="102">
        <f t="shared" si="2"/>
        <v>49</v>
      </c>
      <c r="N19" s="103">
        <f t="array" ref="N19">(('Fórmula'!C19)/('Fórmula'!C19+'Fórmula'!E19+'Fórmula'!G19+'Fórmula'!I19+'Fórmula'!K19))*(INDEX(properties!A$1:CB$87,'Fórmula'!B19,5))+(('Fórmula'!E19)/('Fórmula'!C19+'Fórmula'!E19+'Fórmula'!G19+'Fórmula'!I19+'Fórmula'!K19))*(INDEX(properties!A$1:CB$87,'Fórmula'!D19,5))+(('Fórmula'!G19)/('Fórmula'!C19+'Fórmula'!E19+'Fórmula'!G19+'Fórmula'!I19+'Fórmula'!K19))*(INDEX(properties!A$1:CB$87,'Fórmula'!F19,5))+(('Fórmula'!I19)/('Fórmula'!C19+'Fórmula'!E19+'Fórmula'!G19+'Fórmula'!I19+'Fórmula'!K19))*(INDEX(properties!A$1:CB$87,'Fórmula'!H19,5))+(('Fórmula'!K19)/('Fórmula'!C19+'Fórmula'!E19+'Fórmula'!G19+'Fórmula'!I19+'Fórmula'!K19))*(INDEX(properties!A$1:CB$87,'Fórmula'!J19,5))</f>
        <v>2.833333333</v>
      </c>
      <c r="O19" s="103">
        <f t="array" ref="O19">'Fórmula'!C19*(INDEX(properties!A$1:CB$87,'Fórmula'!B19,5))+'Fórmula'!E19*(INDEX(properties!A$1:CB$87,'Fórmula'!D19,5))+'Fórmula'!G19*(INDEX(properties!A$1:CB$87,'Fórmula'!F19,5))+'Fórmula'!I19*(INDEX(properties!A$1:CB$87,'Fórmula'!H19,5))+'Fórmula'!K19*(INDEX(properties!A$1:CB$87,'Fórmula'!J19,5))</f>
        <v>17</v>
      </c>
      <c r="P19" s="103">
        <f t="array" ref="P19">VARP(IF(INDEX(properties!A$1:CB$87,'Fórmula'!B19,5)&lt;&gt;"",INDEX(properties!A$1:CB$87,'Fórmula'!B19,5)),IF(INDEX(properties!A$1:CB$87,'Fórmula'!D19,5)&lt;&gt;"",INDEX(properties!A$1:CB$87,'Fórmula'!D19,5)),IF(INDEX(properties!A$1:CB$87,'Fórmula'!F19,5)&lt;&gt;"",INDEX(properties!A$1:CB$87,'Fórmula'!F19,5)),IF(INDEX(properties!A$1:CB$87,'Fórmula'!H19,5)&lt;&gt;"",INDEX(properties!A$1:CB$87,'Fórmula'!H19,5)),IF(INDEX(properties!A$1:CB$87,'Fórmula'!J19,5)&lt;&gt;"",INDEX(properties!A$1:CB$87,'Fórmula'!J19,5)))</f>
        <v>4.96</v>
      </c>
      <c r="Q19" s="103">
        <f t="array" ref="Q19">MAX(INDEX(properties!A$1:CB$87,'Fórmula'!B19,5),INDEX(properties!A$1:CB$87,'Fórmula'!D19,5),INDEX(properties!A$1:CB$87,'Fórmula'!F19,5),INDEX(properties!A$1:CB$87,'Fórmula'!H19,5),INDEX(properties!A$1:CB$87,'Fórmula'!J19,5))</f>
        <v>6</v>
      </c>
      <c r="R19" s="103">
        <f t="array" ref="R19">MIN(IF(INDEX(properties!A$1:CB$87,'Fórmula'!B19,5)=0,10^6,INDEX(properties!A$1:CB$87,'Fórmula'!B19,5)),IF(INDEX(properties!A$1:CB$87,'Fórmula'!D19,5)=0,10^6,INDEX(properties!A$1:CB$87,'Fórmula'!D19,5)),IF(INDEX(properties!A$1:CB$87,'Fórmula'!F19,5)=0,10^6,INDEX(properties!A$1:CB$87,'Fórmula'!F19,5)),IF(INDEX(properties!A$1:CB$87,'Fórmula'!H19,5)=0,10^6,INDEX(properties!A$1:CB$87,'Fórmula'!H19,5)),IF(INDEX(properties!A$1:CB$87,'Fórmula'!J19,5)=0,10^6,INDEX(properties!A$1:CB$87,'Fórmula'!J19,5)))</f>
        <v>2</v>
      </c>
      <c r="S19" s="103">
        <f t="shared" si="3"/>
        <v>4</v>
      </c>
      <c r="T19" s="104">
        <f t="array" ref="T19">(('Fórmula'!C19)/('Fórmula'!C19+'Fórmula'!E19+'Fórmula'!G19+'Fórmula'!I19+'Fórmula'!K19))*(INDEX(properties!A$1:CB$87,'Fórmula'!B19,6))+(('Fórmula'!E19)/('Fórmula'!C19+'Fórmula'!E19+'Fórmula'!G19+'Fórmula'!I19+'Fórmula'!K19))*(INDEX(properties!A$1:CB$87,'Fórmula'!D19,6))+(('Fórmula'!G19)/('Fórmula'!C19+'Fórmula'!E19+'Fórmula'!G19+'Fórmula'!I19+'Fórmula'!K19))*(INDEX(properties!A$1:CB$87,'Fórmula'!F19,6))+(('Fórmula'!I19)/('Fórmula'!C19+'Fórmula'!E19+'Fórmula'!G19+'Fórmula'!I19+'Fórmula'!K19))*(INDEX(properties!A$1:CB$87,'Fórmula'!H19,6))+(('Fórmula'!K19)/('Fórmula'!C19+'Fórmula'!E19+'Fórmula'!G19+'Fórmula'!I19+'Fórmula'!K19))*(INDEX(properties!A$1:CB$87,'Fórmula'!J19,6))</f>
        <v>13.66666667</v>
      </c>
      <c r="U19" s="104">
        <f t="array" ref="U19">'Fórmula'!C19*(INDEX(properties!A$1:CB$87,'Fórmula'!B19,6))+'Fórmula'!E19*(INDEX(properties!A$1:CB$87,'Fórmula'!D19,6))+'Fórmula'!G19*(INDEX(properties!A$1:CB$87,'Fórmula'!F19,6))+'Fórmula'!I19*(INDEX(properties!A$1:CB$87,'Fórmula'!H19,6))+'Fórmula'!K19*(INDEX(properties!A$1:CB$87,'Fórmula'!J19,6))</f>
        <v>82</v>
      </c>
      <c r="V19" s="103">
        <f t="array" ref="V19">VARP(IF(INDEX(properties!A$1:CB$87,'Fórmula'!B19,6)&lt;&gt;"",INDEX(properties!A$1:CB$87,'Fórmula'!B19,6)),IF(INDEX(properties!A$1:CB$87,'Fórmula'!D19,6)&lt;&gt;"",INDEX(properties!A$1:CB$87,'Fórmula'!D19,6)),IF(INDEX(properties!A$1:CB$87,'Fórmula'!F19,6)&lt;&gt;"",INDEX(properties!A$1:CB$87,'Fórmula'!F19,6)),IF(INDEX(properties!A$1:CB$87,'Fórmula'!H19,6)&lt;&gt;"",INDEX(properties!A$1:CB$87,'Fórmula'!H19,6)),IF(INDEX(properties!A$1:CB$87,'Fórmula'!J19,6)&lt;&gt;"",INDEX(properties!A$1:CB$87,'Fórmula'!J19,6)))</f>
        <v>51.76</v>
      </c>
      <c r="W19" s="104">
        <f t="array" ref="W19">MAX(INDEX(properties!A$1:CB$87,'Fórmula'!B19,6),INDEX(properties!A$1:CB$87,'Fórmula'!D19,6),INDEX(properties!A$1:CB$87,'Fórmula'!F19,6),INDEX(properties!A$1:CB$87,'Fórmula'!H19,4),INDEX(properties!A$1:CB$87,'Fórmula'!J19,6))</f>
        <v>16</v>
      </c>
      <c r="X19" s="104">
        <f t="array" ref="X19">MIN(IF(INDEX(properties!A$1:CB$87,'Fórmula'!B19,6)=0,10^6,INDEX(properties!A$1:CB$87,'Fórmula'!B19,6)),IF(INDEX(properties!A$1:CB$87,'Fórmula'!D19,6)=0,10^6,INDEX(properties!A$1:CB$87,'Fórmula'!D19,6)),IF(INDEX(properties!A$1:CB$87,'Fórmula'!F19,6)=0,10^6,INDEX(properties!A$1:CB$87,'Fórmula'!F19,6)),IF(INDEX(properties!A$1:CB$87,'Fórmula'!H19,6)=0,10^6,INDEX(properties!A$1:CB$87,'Fórmula'!H19,6)),IF(INDEX(properties!A$1:CB$87,'Fórmula'!J19,6)=0,10^6,INDEX(properties!A$1:CB$87,'Fórmula'!J19,6)))</f>
        <v>3</v>
      </c>
      <c r="Y19" s="104">
        <f t="shared" si="4"/>
        <v>13</v>
      </c>
      <c r="Z19" s="105">
        <f t="array" ref="Z19">(('Fórmula'!C19)/('Fórmula'!C19+'Fórmula'!E19+'Fórmula'!G19+'Fórmula'!I19+'Fórmula'!K19))*(INDEX(properties!A$1:CB$87,'Fórmula'!B19,9))+(('Fórmula'!E19)/('Fórmula'!C19+'Fórmula'!E19+'Fórmula'!G19+'Fórmula'!I19+'Fórmula'!K19))*(INDEX(properties!A$1:CB$87,'Fórmula'!D19,9))+(('Fórmula'!G19)/('Fórmula'!C19+'Fórmula'!E19+'Fórmula'!G19+'Fórmula'!I19+'Fórmula'!K19))*(INDEX(properties!A$1:CB$87,'Fórmula'!F19,9))+(('Fórmula'!I19)/('Fórmula'!C19+'Fórmula'!E19+'Fórmula'!G19+'Fórmula'!I19+'Fórmula'!K19))*(INDEX(properties!A$1:CB$87,'Fórmula'!H19,9))+(('Fórmula'!K19)/('Fórmula'!C19+'Fórmula'!E19+'Fórmula'!G19+'Fórmula'!I19+'Fórmula'!K19))*(INDEX(properties!A$1:CB$87,'Fórmula'!J19,9))</f>
        <v>74</v>
      </c>
      <c r="AA19" s="105">
        <f t="array" ref="AA19">'Fórmula'!C19*(INDEX(properties!A$1:CB$87,'Fórmula'!B19,9))+'Fórmula'!E19*(INDEX(properties!A$1:CB$87,'Fórmula'!D19,9))+'Fórmula'!G19*(INDEX(properties!A$1:CB$87,'Fórmula'!F19,9))+'Fórmula'!I19*(INDEX(properties!A$1:CB$87,'Fórmula'!H19,9))+'Fórmula'!K19*(INDEX(properties!A$1:CB$87,'Fórmula'!J19,9))</f>
        <v>444</v>
      </c>
      <c r="AB19" s="105">
        <f t="array" ref="AB19">VARP(IF(INDEX(properties!A$1:CB$87,'Fórmula'!B19,9)&lt;&gt;"",INDEX(properties!A$1:CB$87,'Fórmula'!B19,9)),IF(INDEX(properties!A$1:CB$87,'Fórmula'!D19,9)&lt;&gt;"",INDEX(properties!A$1:CB$87,'Fórmula'!D19,9)),IF(INDEX(properties!A$1:CB$87,'Fórmula'!F19,9)&lt;&gt;"",INDEX(properties!A$1:CB$87,'Fórmula'!F19,9)),IF(INDEX(properties!A$1:CB$87,'Fórmula'!H19,9)&lt;&gt;"",INDEX(properties!A$1:CB$87,'Fórmula'!H19,9)),IF(INDEX(properties!A$1:CB$87,'Fórmula'!J19,9)&lt;&gt;"",INDEX(properties!A$1:CB$87,'Fórmula'!J19,9)))</f>
        <v>1585.84</v>
      </c>
      <c r="AC19" s="105">
        <f t="array" ref="AC19">MAX(INDEX(properties!A$1:CB$87,'Fórmula'!B19,9),INDEX(properties!A$1:CB$87,'Fórmula'!D19,9),INDEX(properties!A$1:CB$87,'Fórmula'!F19,9),INDEX(properties!A$1:CB$87,'Fórmula'!H19,9),INDEX(properties!A$1:CB$87,'Fórmula'!J19,9))</f>
        <v>87</v>
      </c>
      <c r="AD19" s="105">
        <f t="array" ref="AD19">MIN(IF(INDEX(properties!A$1:CB$87,'Fórmula'!B19,9)=0,10^6,INDEX(properties!A$1:CB$87,'Fórmula'!B19,9)),IF(INDEX(properties!A$1:CB$87,'Fórmula'!D19,9)=0,10^6,INDEX(properties!A$1:CB$87,'Fórmula'!D19,9)),IF(INDEX(properties!A$1:CB$87,'Fórmula'!F19,9)=0,10^6,INDEX(properties!A$1:CB$87,'Fórmula'!F19,9)),IF(INDEX(properties!A$1:CB$87,'Fórmula'!H19,9)=0,10^6,INDEX(properties!A$1:CB$87,'Fórmula'!H19,9)),IF(INDEX(properties!A$1:CB$87,'Fórmula'!J19,9)=0,10^6,INDEX(properties!A$1:CB$87,'Fórmula'!J19,9)))</f>
        <v>13</v>
      </c>
      <c r="AE19" s="105">
        <f t="shared" si="5"/>
        <v>74</v>
      </c>
      <c r="AF19" s="106">
        <f t="array" ref="AF19">(('Fórmula'!C19)/('Fórmula'!C19+'Fórmula'!E19+'Fórmula'!G19+'Fórmula'!I19+'Fórmula'!K19))*(INDEX(properties!A$1:CB$87,'Fórmula'!B19,10))+(('Fórmula'!E19)/('Fórmula'!C19+'Fórmula'!E19+'Fórmula'!G19+'Fórmula'!I19+'Fórmula'!K19))*(INDEX(properties!A$1:CB$87,'Fórmula'!D19,10))+(('Fórmula'!G19)/('Fórmula'!C19+'Fórmula'!E19+'Fórmula'!G19+'Fórmula'!I19+'Fórmula'!K19))*(INDEX(properties!A$1:CB$87,'Fórmula'!F19,10))+(('Fórmula'!I19)/('Fórmula'!C19+'Fórmula'!E19+'Fórmula'!G19+'Fórmula'!I19+'Fórmula'!K19))*(INDEX(properties!A$1:CB$87,'Fórmula'!H19,10))+(('Fórmula'!K19)/('Fórmula'!C19+'Fórmula'!E19+'Fórmula'!G19+'Fórmula'!I19+'Fórmula'!K19))*(INDEX(properties!A$1:CB$87,'Fórmula'!J19,10))</f>
        <v>6.333333333</v>
      </c>
      <c r="AG19" s="106">
        <f t="array" ref="AG19">'Fórmula'!C19*(INDEX(properties!A$1:CB$87,'Fórmula'!B19,10))+'Fórmula'!E19*(INDEX(properties!A$1:CB$87,'Fórmula'!D19,10))+'Fórmula'!G19*(INDEX(properties!A$1:CB$87,'Fórmula'!F19,10))+'Fórmula'!I19*(INDEX(properties!A$1:CB$87,'Fórmula'!H19,10))+'Fórmula'!K19*(INDEX(properties!A$1:CB$87,'Fórmula'!J19,10))</f>
        <v>38</v>
      </c>
      <c r="AH19" s="106">
        <f t="array" ref="AH19">VARP(IF(INDEX(properties!A$1:CB$87,'Fórmula'!B19,10)&lt;&gt;"",INDEX(properties!A$1:CB$87,'Fórmula'!B19,10)),IF(INDEX(properties!A$1:CB$87,'Fórmula'!D19,10)&lt;&gt;"",INDEX(properties!A$1:CB$87,'Fórmula'!D19,10)),IF(INDEX(properties!A$1:CB$87,'Fórmula'!F19,10)&lt;&gt;"",INDEX(properties!A$1:CB$87,'Fórmula'!F19,10)),IF(INDEX(properties!A$1:CB$87,'Fórmula'!H19,10)&lt;&gt;"",INDEX(properties!A$1:CB$87,'Fórmula'!H19,10)),IF(INDEX(properties!A$1:CB$87,'Fórmula'!J19,10)&lt;&gt;"",INDEX(properties!A$1:CB$87,'Fórmula'!J19,10)))</f>
        <v>9.84</v>
      </c>
      <c r="AI19" s="106">
        <f t="array" ref="AI19">MAX(INDEX(properties!A$1:CB$87,'Fórmula'!B19,10),INDEX(properties!A$1:CB$87,'Fórmula'!D19,10),INDEX(properties!A$1:CB$87,'Fórmula'!F19,10),INDEX(properties!A$1:CB$87,'Fórmula'!H19,10),INDEX(properties!A$1:CB$87,'Fórmula'!J19,10))</f>
        <v>7</v>
      </c>
      <c r="AJ19" s="106">
        <f t="array" ref="AJ19">MIN(IF(INDEX(properties!A$1:CB$87,'Fórmula'!B19,10)=0,10^6,INDEX(properties!A$1:CB$87,'Fórmula'!B19,10)),IF(INDEX(properties!A$1:CB$87,'Fórmula'!D19,10)=0,10^6,INDEX(properties!A$1:CB$87,'Fórmula'!D19,10)),IF(INDEX(properties!A$1:CB$87,'Fórmula'!F19,10)=0,10^6,INDEX(properties!A$1:CB$87,'Fórmula'!F19,10)),IF(INDEX(properties!A$1:CB$87,'Fórmula'!H19,10)=0,10^6,INDEX(properties!A$1:CB$87,'Fórmula'!H19,10)),IF(INDEX(properties!A$1:CB$87,'Fórmula'!J19,10)=0,10^6,INDEX(properties!A$1:CB$87,'Fórmula'!J19,10)))</f>
        <v>3</v>
      </c>
      <c r="AK19" s="106">
        <f t="shared" si="6"/>
        <v>4</v>
      </c>
      <c r="AL19" s="107">
        <f t="array" ref="AL19">(('Fórmula'!C19)/('Fórmula'!C19+'Fórmula'!E19+'Fórmula'!G19+'Fórmula'!I19+'Fórmula'!K19))*(INDEX(properties!A$1:CB$87,'Fórmula'!B19,11))+(('Fórmula'!E19)/('Fórmula'!C19+'Fórmula'!E19+'Fórmula'!G19+'Fórmula'!I19+'Fórmula'!K19))*(INDEX(properties!A$1:CB$87,'Fórmula'!D19,11))+(('Fórmula'!G19)/('Fórmula'!C19+'Fórmula'!E19+'Fórmula'!G19+'Fórmula'!I19+'Fórmula'!K19))*(INDEX(properties!A$1:CB$87,'Fórmula'!F19,11))+(('Fórmula'!I19)/('Fórmula'!C19+'Fórmula'!E19+'Fórmula'!G19+'Fórmula'!I19+'Fórmula'!K19))*(INDEX(properties!A$1:CB$87,'Fórmula'!H19,11))+(('Fórmula'!K19)/('Fórmula'!C19+'Fórmula'!E19+'Fórmula'!G19+'Fórmula'!I19+'Fórmula'!K19))*(INDEX(properties!A$1:CB$87,'Fórmula'!J19,11))</f>
        <v>2</v>
      </c>
      <c r="AM19" s="107">
        <f t="array" ref="AM19">'Fórmula'!C19*(INDEX(properties!A$1:CB$87,'Fórmula'!B19,11))+'Fórmula'!E19*(INDEX(properties!A$1:CB$87,'Fórmula'!D19,11))+'Fórmula'!G19*(INDEX(properties!A$1:CB$87,'Fórmula'!F19,11))+'Fórmula'!I19*(INDEX(properties!A$1:CB$87,'Fórmula'!H19,11))+'Fórmula'!K19*(INDEX(properties!A$1:CB$87,'Fórmula'!J19,11))</f>
        <v>12</v>
      </c>
      <c r="AN19" s="107">
        <f t="array" ref="AN19">VARP(IF(INDEX(properties!A$1:CB$87,'Fórmula'!B19,11)&lt;&gt;"",INDEX(properties!A$1:CB$87,'Fórmula'!B19,11)),IF(INDEX(properties!A$1:CB$87,'Fórmula'!D19,11)&lt;&gt;"",INDEX(properties!A$1:CB$87,'Fórmula'!D19,11)),IF(INDEX(properties!A$1:CB$87,'Fórmula'!F19,11)&lt;&gt;"",INDEX(properties!A$1:CB$87,'Fórmula'!F19,11)),IF(INDEX(properties!A$1:CB$87,'Fórmula'!H19,11)&lt;&gt;"",INDEX(properties!A$1:CB$87,'Fórmula'!H19,11)),IF(INDEX(properties!A$1:CB$87,'Fórmula'!J19,11)&lt;&gt;"",INDEX(properties!A$1:CB$87,'Fórmula'!J19,11)))</f>
        <v>0.96</v>
      </c>
      <c r="AO19" s="107">
        <f t="array" ref="AO19">MAX(INDEX(properties!A$1:CB$87,'Fórmula'!B19,11),INDEX(properties!A$1:CB$87,'Fórmula'!D19,11),INDEX(properties!A$1:CB$87,'Fórmula'!F19,11),INDEX(properties!A$1:CB$87,'Fórmula'!H19,11),INDEX(properties!A$1:CB$87,'Fórmula'!J19,11))</f>
        <v>2</v>
      </c>
      <c r="AP19" s="107">
        <f t="array" ref="AP19">MIN(IF('Fórmula'!B19=87,10^6,INDEX(properties!A$1:CB$87,'Fórmula'!B19,11)),IF(('Fórmula'!D19)=87,10^6,INDEX(properties!A$1:CB$87,'Fórmula'!D19,11)),IF(('Fórmula'!F19)=87,10^6,INDEX(properties!A$1:CB$87,'Fórmula'!F19,11)),IF(('Fórmula'!H19)=87,10^6,INDEX(properties!A$1:CB$87,'Fórmula'!H19,11)),IF('Fórmula'!J19=87,10^6,INDEX(properties!A$1:CB$87,'Fórmula'!J19,11)))</f>
        <v>2</v>
      </c>
      <c r="AQ19" s="107">
        <f t="shared" si="7"/>
        <v>0</v>
      </c>
      <c r="AR19" s="108">
        <f t="array" ref="AR19">(('Fórmula'!C19)/('Fórmula'!C19+'Fórmula'!E19+'Fórmula'!G19+'Fórmula'!I19+'Fórmula'!K19))*(INDEX(properties!A$1:CB$87,'Fórmula'!B19,12))+(('Fórmula'!E19)/('Fórmula'!C19+'Fórmula'!E19+'Fórmula'!G19+'Fórmula'!I19+'Fórmula'!K19))*(INDEX(properties!A$1:CB$87,'Fórmula'!D19,12))+(('Fórmula'!G19)/('Fórmula'!C19+'Fórmula'!E19+'Fórmula'!G19+'Fórmula'!I19+'Fórmula'!K19))*(INDEX(properties!A$1:CB$87,'Fórmula'!F19,12))+(('Fórmula'!I19)/('Fórmula'!C19+'Fórmula'!E19+'Fórmula'!G19+'Fórmula'!I19+'Fórmula'!K19))*(INDEX(properties!A$1:CB$87,'Fórmula'!H19,12))+(('Fórmula'!K19)/('Fórmula'!C19+'Fórmula'!E19+'Fórmula'!G19+'Fórmula'!I19+'Fórmula'!K19))*(INDEX(properties!A$1:CB$87,'Fórmula'!J19,12))</f>
        <v>3.166666667</v>
      </c>
      <c r="AS19" s="108">
        <f t="array" ref="AS19">'Fórmula'!C19*(INDEX(properties!A$1:CB$87,'Fórmula'!B19,12))+'Fórmula'!E19*(INDEX(properties!A$1:CB$87,'Fórmula'!D19,12))+'Fórmula'!G19*(INDEX(properties!A$1:CB$87,'Fórmula'!F19,12))+'Fórmula'!I19*(INDEX(properties!A$1:CB$87,'Fórmula'!H19,12))+'Fórmula'!K19*(INDEX(properties!A$1:CB$87,'Fórmula'!J19,12))</f>
        <v>19</v>
      </c>
      <c r="AT19" s="108">
        <f t="array" ref="AT19">VARP(IF(INDEX(properties!A$1:CB$87,'Fórmula'!B19,12)&lt;&gt;"",INDEX(properties!A$1:CB$87,'Fórmula'!B19,12)),IF(INDEX(properties!A$1:CB$87,'Fórmula'!D19,12)&lt;&gt;"",INDEX(properties!A$1:CB$87,'Fórmula'!D19,12)),IF(INDEX(properties!A$1:CB$87,'Fórmula'!F19,12)&lt;&gt;"",INDEX(properties!A$1:CB$87,'Fórmula'!F19,12)),IF(INDEX(properties!A$1:CB$87,'Fórmula'!H19,12)&lt;&gt;"",INDEX(properties!A$1:CB$87,'Fórmula'!H19,12)),IF(INDEX(properties!A$1:CB$87,'Fórmula'!J19,12)&lt;&gt;"",INDEX(properties!A$1:CB$87,'Fórmula'!J19,12)))</f>
        <v>3.04</v>
      </c>
      <c r="AU19" s="108">
        <f t="array" ref="AU19">MAX(INDEX(properties!A$1:CB$87,'Fórmula'!B19,12),INDEX(properties!A$1:CB$87,'Fórmula'!D19,12),INDEX(properties!A$1:CB$87,'Fórmula'!F19,12),INDEX(properties!A$1:CB$87,'Fórmula'!H19,12),INDEX(properties!A$1:CB$87,'Fórmula'!J19,12))</f>
        <v>4</v>
      </c>
      <c r="AV19" s="108">
        <f t="array" ref="AV19">MIN(IF('Fórmula'!B19=87,10^6,INDEX(properties!A$1:CB$87,'Fórmula'!B19,12)),IF(('Fórmula'!D19)=87,10^6,INDEX(properties!A$1:CB$87,'Fórmula'!D19,12)),IF(('Fórmula'!F19)=87,10^6,INDEX(properties!A$1:CB$87,'Fórmula'!F19,12)),IF(('Fórmula'!H19)=87,10^6,INDEX(properties!A$1:CB$87,'Fórmula'!H19,12)),IF('Fórmula'!J19=87,10^6,INDEX(properties!A$1:CB$87,'Fórmula'!J19,12)))</f>
        <v>0</v>
      </c>
      <c r="AW19" s="108">
        <f t="shared" si="8"/>
        <v>4</v>
      </c>
      <c r="AX19" s="109">
        <f t="array" ref="AX19">(('Fórmula'!C19)/('Fórmula'!C19+'Fórmula'!E19+'Fórmula'!G19+'Fórmula'!I19+'Fórmula'!K19))*(INDEX(properties!A$1:CB$87,'Fórmula'!B19,13))+(('Fórmula'!E19)/('Fórmula'!C19+'Fórmula'!E19+'Fórmula'!G19+'Fórmula'!I19+'Fórmula'!K19))*(INDEX(properties!A$1:CB$87,'Fórmula'!D19,13))+(('Fórmula'!G19)/('Fórmula'!C19+'Fórmula'!E19+'Fórmula'!G19+'Fórmula'!I19+'Fórmula'!K19))*(INDEX(properties!A$1:CB$87,'Fórmula'!F19,13))+(('Fórmula'!I19)/('Fórmula'!C19+'Fórmula'!E19+'Fórmula'!G19+'Fórmula'!I19+'Fórmula'!K19))*(INDEX(properties!A$1:CB$87,'Fórmula'!H19,13))+(('Fórmula'!K19)/('Fórmula'!C19+'Fórmula'!E19+'Fórmula'!G19+'Fórmula'!I19+'Fórmula'!K19))*(INDEX(properties!A$1:CB$87,'Fórmula'!J19,13))</f>
        <v>0.1666666667</v>
      </c>
      <c r="AY19" s="109">
        <f t="array" ref="AY19">'Fórmula'!C19*(INDEX(properties!A$1:CB$87,'Fórmula'!B19,13))+'Fórmula'!E19*(INDEX(properties!A$1:CB$87,'Fórmula'!D19,13))+'Fórmula'!G19*(INDEX(properties!A$1:CB$87,'Fórmula'!F19,13))+'Fórmula'!I19*(INDEX(properties!A$1:CB$87,'Fórmula'!H19,13))+'Fórmula'!K19*(INDEX(properties!A$1:CB$87,'Fórmula'!J19,13))</f>
        <v>1</v>
      </c>
      <c r="AZ19" s="109">
        <f t="array" ref="AZ19">VARP(IF(INDEX(properties!A$1:CB$87,'Fórmula'!B19,13)&lt;&gt;"",INDEX(properties!A$1:CB$87,'Fórmula'!B19,13)),IF(INDEX(properties!A$1:CB$87,'Fórmula'!D19,13)&lt;&gt;"",INDEX(properties!A$1:CB$87,'Fórmula'!D19,13)),IF(INDEX(properties!A$1:CB$87,'Fórmula'!F19,13)&lt;&gt;"",INDEX(properties!A$1:CB$87,'Fórmula'!F19,13)),IF(INDEX(properties!A$1:CB$87,'Fórmula'!H19,13)&lt;&gt;"",INDEX(properties!A$1:CB$87,'Fórmula'!H19,13)),IF(INDEX(properties!A$1:CB$87,'Fórmula'!J19,13)&lt;&gt;"",INDEX(properties!A$1:CB$87,'Fórmula'!J19,13)))</f>
        <v>0.16</v>
      </c>
      <c r="BA19" s="109">
        <f t="array" ref="BA19">MAX(INDEX(properties!A$1:CB$87,'Fórmula'!B19,13),INDEX(properties!A$1:CB$87,'Fórmula'!D19,13),INDEX(properties!A$1:CB$87,'Fórmula'!F19,13),INDEX(properties!A$1:CB$87,'Fórmula'!H19,13),INDEX(properties!A$1:CB$87,'Fórmula'!J19,13))</f>
        <v>1</v>
      </c>
      <c r="BB19" s="109">
        <f t="array" ref="BB19">MIN(IF('Fórmula'!B19=87,10^6,INDEX(properties!A$1:CB$87,'Fórmula'!B19,13)),IF(('Fórmula'!D19)=87,10^6,INDEX(properties!A$1:CB$87,'Fórmula'!D19,13)),IF(('Fórmula'!F19)=87,10^6,INDEX(properties!A$1:CB$87,'Fórmula'!F19,13)),IF(('Fórmula'!H19)=87,10^6,INDEX(properties!A$1:CB$87,'Fórmula'!H19,13)),IF('Fórmula'!J19=87,10^6,INDEX(properties!A$1:CB$87,'Fórmula'!J19,13)))</f>
        <v>0</v>
      </c>
      <c r="BC19" s="109">
        <f t="shared" si="9"/>
        <v>1</v>
      </c>
      <c r="BD19" s="110">
        <f t="array" ref="BD19">(('Fórmula'!C19)/('Fórmula'!C19+'Fórmula'!E19+'Fórmula'!G19+'Fórmula'!I19+'Fórmula'!K19))*(INDEX(properties!A$1:CB$87,'Fórmula'!B19,14))+(('Fórmula'!E19)/('Fórmula'!C19+'Fórmula'!E19+'Fórmula'!G19+'Fórmula'!I19+'Fórmula'!K19))*(INDEX(properties!A$1:CB$87,'Fórmula'!D19,14))+(('Fórmula'!G19)/('Fórmula'!C19+'Fórmula'!E19+'Fórmula'!G19+'Fórmula'!I19+'Fórmula'!K19))*(INDEX(properties!A$1:CB$87,'Fórmula'!F19,14))+(('Fórmula'!I19)/('Fórmula'!C19+'Fórmula'!E19+'Fórmula'!G19+'Fórmula'!I19+'Fórmula'!K19))*(INDEX(properties!A$1:CB$87,'Fórmula'!H19,14))+(('Fórmula'!K19)/('Fórmula'!C19+'Fórmula'!E19+'Fórmula'!G19+'Fórmula'!I19+'Fórmula'!K19))*(INDEX(properties!A$1:CB$87,'Fórmula'!J19,14))</f>
        <v>0</v>
      </c>
      <c r="BE19" s="110">
        <f t="array" ref="BE19">'Fórmula'!C19*(INDEX(properties!A$1:CB$87,'Fórmula'!B19,14))+'Fórmula'!E19*(INDEX(properties!A$1:CB$87,'Fórmula'!D19,14))+'Fórmula'!G19*(INDEX(properties!A$1:CB$87,'Fórmula'!F19,14))+'Fórmula'!I19*(INDEX(properties!A$1:CB$87,'Fórmula'!H19,14))+'Fórmula'!K19*(INDEX(properties!A$1:CB$87,'Fórmula'!J19,14))</f>
        <v>0</v>
      </c>
      <c r="BF19" s="110">
        <f t="array" ref="BF19">VARP(IF(INDEX(properties!A$1:CB$87,'Fórmula'!B19,14)&lt;&gt;"",INDEX(properties!A$1:CB$87,'Fórmula'!B19,14)),IF(INDEX(properties!A$1:CB$87,'Fórmula'!D19,14)&lt;&gt;"",INDEX(properties!A$1:CB$87,'Fórmula'!D19,14)),IF(INDEX(properties!A$1:CB$87,'Fórmula'!F19,14)&lt;&gt;"",INDEX(properties!A$1:CB$87,'Fórmula'!F19,14)),IF(INDEX(properties!A$1:CB$87,'Fórmula'!H19,14)&lt;&gt;"",INDEX(properties!A$1:CB$87,'Fórmula'!H19,14)),IF(INDEX(properties!A$1:CB$87,'Fórmula'!J19,14)&lt;&gt;"",INDEX(properties!A$1:CB$87,'Fórmula'!J19,14)))</f>
        <v>0</v>
      </c>
      <c r="BG19" s="110">
        <f t="array" ref="BG19">MAX(INDEX(properties!A$1:CB$87,'Fórmula'!B19,14),INDEX(properties!A$1:CB$87,'Fórmula'!D19,14),INDEX(properties!A$1:CB$87,'Fórmula'!F19,14),INDEX(properties!A$1:CB$87,'Fórmula'!H19,14),INDEX(properties!A$1:CB$87,'Fórmula'!J19,14))</f>
        <v>0</v>
      </c>
      <c r="BH19" s="110">
        <f t="array" ref="BH19">MIN(IF('Fórmula'!B19=87,10^6,INDEX(properties!A$1:CB$87,'Fórmula'!B19,14)),IF(('Fórmula'!D19)=87,10^6,INDEX(properties!A$1:CB$87,'Fórmula'!D19,14)),IF(('Fórmula'!F19)=87,10^6,INDEX(properties!A$1:CB$87,'Fórmula'!F19,14)),IF(('Fórmula'!H19)=87,10^6,INDEX(properties!A$1:CB$87,'Fórmula'!H19,14)),IF('Fórmula'!J19=87,10^6,INDEX(properties!A$1:CB$87,'Fórmula'!J19,14)))</f>
        <v>0</v>
      </c>
      <c r="BI19" s="110">
        <f t="shared" si="10"/>
        <v>0</v>
      </c>
      <c r="BJ19" s="111">
        <f t="array" ref="BJ19">(('Fórmula'!C19)/('Fórmula'!C19+'Fórmula'!E19+'Fórmula'!G19+'Fórmula'!I19+'Fórmula'!K19))*(INDEX(properties!A$1:CB$87,'Fórmula'!B19,19))+(('Fórmula'!E19)/('Fórmula'!C19+'Fórmula'!E19+'Fórmula'!G19+'Fórmula'!I19+'Fórmula'!K19))*(INDEX(properties!A$1:CB$87,'Fórmula'!D19,19))+(('Fórmula'!G19)/('Fórmula'!C19+'Fórmula'!E19+'Fórmula'!G19+'Fórmula'!I19+'Fórmula'!K19))*(INDEX(properties!A$1:CB$87,'Fórmula'!F19,19))+(('Fórmula'!I19)/('Fórmula'!C19+'Fórmula'!E19+'Fórmula'!G19+'Fórmula'!I19+'Fórmula'!K19))*(INDEX(properties!A$1:CB$87,'Fórmula'!H19,19))+(('Fórmula'!K19)/('Fórmula'!C19+'Fórmula'!E19+'Fórmula'!G19+'Fórmula'!I19+'Fórmula'!K19))*(INDEX(properties!A$1:CB$87,'Fórmula'!J19,19))</f>
        <v>5.333333333</v>
      </c>
      <c r="BK19" s="111">
        <f t="array" ref="BK19">'Fórmula'!C19*(INDEX(properties!A$1:CB$87,'Fórmula'!B19,19))+'Fórmula'!E19*(INDEX(properties!A$1:CB$87,'Fórmula'!D19,19))+'Fórmula'!G19*(INDEX(properties!A$1:CB$87,'Fórmula'!F19,19))+'Fórmula'!I19*(INDEX(properties!A$1:CB$87,'Fórmula'!H19,19))+'Fórmula'!K19*(INDEX(properties!A$1:CB$87,'Fórmula'!J19,19))</f>
        <v>32</v>
      </c>
      <c r="BL19" s="111">
        <f t="array" ref="BL19">VARP(IF(INDEX(properties!A$1:CB$87,'Fórmula'!B19,19)&lt;&gt;"",INDEX(properties!A$1:CB$87,'Fórmula'!B19,19)),IF(INDEX(properties!A$1:CB$87,'Fórmula'!D19,19)&lt;&gt;"",INDEX(properties!A$1:CB$87,'Fórmula'!D19,19)),IF(INDEX(properties!A$1:CB$87,'Fórmula'!F19,19)&lt;&gt;"",INDEX(properties!A$1:CB$87,'Fórmula'!F19,19)),IF(INDEX(properties!A$1:CB$87,'Fórmula'!H19,19)&lt;&gt;"",INDEX(properties!A$1:CB$87,'Fórmula'!H19,19)),IF(INDEX(properties!A$1:CB$87,'Fórmula'!J19,19)&lt;&gt;"",INDEX(properties!A$1:CB$87,'Fórmula'!J19,19)))</f>
        <v>6.16</v>
      </c>
      <c r="BM19" s="111">
        <f t="array" ref="BM19">MAX(INDEX(properties!A$1:CB$87,'Fórmula'!B19,19),INDEX(properties!A$1:CB$87,'Fórmula'!D19,19),INDEX(properties!A$1:CB$87,'Fórmula'!F19,19),INDEX(properties!A$1:CB$87,'Fórmula'!H19,19),INDEX(properties!A$1:CB$87,'Fórmula'!J19,19))</f>
        <v>6</v>
      </c>
      <c r="BN19" s="111">
        <f t="array" ref="BN19">MIN(IF(INDEX(properties!A$1:CB$87,'Fórmula'!B19,19)=0,10^6,INDEX(properties!A$1:CB$87,'Fórmula'!B19,19)),IF(INDEX(properties!A$1:CB$87,'Fórmula'!D19,19)=0,10^6,INDEX(properties!A$1:CB$87,'Fórmula'!D19,19)),IF(INDEX(properties!A$1:CB$87,'Fórmula'!F19,19)=0,10^6,INDEX(properties!A$1:CB$87,'Fórmula'!F19,19)),IF(INDEX(properties!A$1:CB$87,'Fórmula'!H19,19)=0,10^6,INDEX(properties!A$1:CB$87,'Fórmula'!H19,19)),IF(INDEX(properties!A$1:CB$87,'Fórmula'!J19,19)=0,10^6,INDEX(properties!A$1:CB$87,'Fórmula'!J19,19)))</f>
        <v>3</v>
      </c>
      <c r="BO19" s="111">
        <f t="shared" si="11"/>
        <v>3</v>
      </c>
      <c r="BP19" s="112">
        <f t="array" ref="BP19">(('Fórmula'!C19)/('Fórmula'!C19+'Fórmula'!E19+'Fórmula'!G19+'Fórmula'!I19+'Fórmula'!K19))*(INDEX(properties!A$1:CB$87,'Fórmula'!B19,20))+(('Fórmula'!E19)/('Fórmula'!C19+'Fórmula'!E19+'Fórmula'!G19+'Fórmula'!I19+'Fórmula'!K19))*(INDEX(properties!A$1:CB$87,'Fórmula'!D19,20))+(('Fórmula'!G19)/('Fórmula'!C19+'Fórmula'!E19+'Fórmula'!G19+'Fórmula'!I19+'Fórmula'!K19))*(INDEX(properties!A$1:CB$87,'Fórmula'!F19,20))+(('Fórmula'!I19)/('Fórmula'!C19+'Fórmula'!E19+'Fórmula'!G19+'Fórmula'!I19+'Fórmula'!K19))*(INDEX(properties!A$1:CB$87,'Fórmula'!H19,20))+(('Fórmula'!K19)/('Fórmula'!C19+'Fórmula'!E19+'Fórmula'!G19+'Fórmula'!I19+'Fórmula'!K19))*(INDEX(properties!A$1:CB$87,'Fórmula'!J19,20))</f>
        <v>5.166666667</v>
      </c>
      <c r="BQ19" s="112">
        <f t="array" ref="BQ19">'Fórmula'!C19*(INDEX(properties!A$1:CB$87,'Fórmula'!B19,20))+'Fórmula'!E19*(INDEX(properties!A$1:CB$87,'Fórmula'!D19,20))+'Fórmula'!G19*(INDEX(properties!A$1:CB$87,'Fórmula'!F19,20))+'Fórmula'!I19*(INDEX(properties!A$1:CB$87,'Fórmula'!H19,20))+'Fórmula'!K19*(INDEX(properties!A$1:CB$87,'Fórmula'!J19,20))</f>
        <v>31</v>
      </c>
      <c r="BR19" s="112">
        <f t="array" ref="BR19">VARP(IF(INDEX(properties!A$1:CB$87,'Fórmula'!B19,20)&lt;&gt;"",INDEX(properties!A$1:CB$87,'Fórmula'!B19,20)),IF(INDEX(properties!A$1:CB$87,'Fórmula'!D19,20)&lt;&gt;"",INDEX(properties!A$1:CB$87,'Fórmula'!D19,20)),IF(INDEX(properties!A$1:CB$87,'Fórmula'!F19,20)&lt;&gt;"",INDEX(properties!A$1:CB$87,'Fórmula'!F19,20)),IF(INDEX(properties!A$1:CB$87,'Fórmula'!H19,20)&lt;&gt;"",INDEX(properties!A$1:CB$87,'Fórmula'!H19,20)),IF(INDEX(properties!A$1:CB$87,'Fórmula'!J19,20)&lt;&gt;"",INDEX(properties!A$1:CB$87,'Fórmula'!J19,20)))</f>
        <v>6.24</v>
      </c>
      <c r="BS19" s="112">
        <f t="array" ref="BS19">MAX(INDEX(properties!A$1:CB$87,'Fórmula'!B19,20),INDEX(properties!A$1:CB$87,'Fórmula'!D19,20),INDEX(properties!A$1:CB$87,'Fórmula'!F19,20),INDEX(properties!A$1:CB$87,'Fórmula'!H19,20),INDEX(properties!A$1:CB$87,'Fórmula'!J19,20))</f>
        <v>6</v>
      </c>
      <c r="BT19" s="112">
        <f t="array" ref="BT19">MIN(IF(INDEX(properties!A$1:CB$87,'Fórmula'!B19,20)=0,10^6,INDEX(properties!A$1:CB$87,'Fórmula'!B19,20)),IF(INDEX(properties!A$1:CB$87,'Fórmula'!D19,20)=0,10^6,INDEX(properties!A$1:CB$87,'Fórmula'!D19,20)),IF(INDEX(properties!A$1:CB$87,'Fórmula'!F19,20)=0,10^6,INDEX(properties!A$1:CB$87,'Fórmula'!F19,20)),IF(INDEX(properties!A$1:CB$87,'Fórmula'!H19,20)=0,10^6,INDEX(properties!A$1:CB$87,'Fórmula'!H19,20)),IF(INDEX(properties!A$1:CB$87,'Fórmula'!J19,20)=0,10^6,INDEX(properties!A$1:CB$87,'Fórmula'!J19,20)))</f>
        <v>2</v>
      </c>
      <c r="BU19" s="112">
        <f t="shared" si="12"/>
        <v>4</v>
      </c>
      <c r="BV19" s="113">
        <f t="array" ref="BV19">(('Fórmula'!C19)/('Fórmula'!C19+'Fórmula'!E19+'Fórmula'!G19+'Fórmula'!I19+'Fórmula'!K19))*(INDEX(properties!A$1:CB$87,'Fórmula'!B19,21))+(('Fórmula'!E19)/('Fórmula'!C19+'Fórmula'!E19+'Fórmula'!G19+'Fórmula'!I19+'Fórmula'!K19))*(INDEX(properties!A$1:CB$87,'Fórmula'!D19,21))+(('Fórmula'!G19)/('Fórmula'!C19+'Fórmula'!E19+'Fórmula'!G19+'Fórmula'!I19+'Fórmula'!K19))*(INDEX(properties!A$1:CB$87,'Fórmula'!F19,21))+(('Fórmula'!I19)/('Fórmula'!C19+'Fórmula'!E19+'Fórmula'!G19+'Fórmula'!I19+'Fórmula'!K19))*(INDEX(properties!A$1:CB$87,'Fórmula'!H19,21))+(('Fórmula'!K19)/('Fórmula'!C19+'Fórmula'!E19+'Fórmula'!G19+'Fórmula'!I19+'Fórmula'!K19))*(INDEX(properties!A$1:CB$87,'Fórmula'!J19,21))</f>
        <v>5</v>
      </c>
      <c r="BW19" s="113">
        <f t="array" ref="BW19">'Fórmula'!C19*(INDEX(properties!A$1:CB$87,'Fórmula'!B19,21))+'Fórmula'!E19*(INDEX(properties!A$1:CB$87,'Fórmula'!D19,21))+'Fórmula'!G19*(INDEX(properties!A$1:CB$87,'Fórmula'!F19,21))+'Fórmula'!I19*(INDEX(properties!A$1:CB$87,'Fórmula'!H19,21))+'Fórmula'!K19*(INDEX(properties!A$1:CB$87,'Fórmula'!J19,21))</f>
        <v>30</v>
      </c>
      <c r="BX19" s="113">
        <f t="array" ref="BX19">VARP(IF(INDEX(properties!A$1:CB$87,'Fórmula'!B19,21)&lt;&gt;"",INDEX(properties!A$1:CB$87,'Fórmula'!B19,21)),IF(INDEX(properties!A$1:CB$87,'Fórmula'!D19,21)&lt;&gt;"",INDEX(properties!A$1:CB$87,'Fórmula'!D19,21)),IF(INDEX(properties!A$1:CB$87,'Fórmula'!F19,21)&lt;&gt;"",INDEX(properties!A$1:CB$87,'Fórmula'!F19,21)),IF(INDEX(properties!A$1:CB$87,'Fórmula'!H19,21)&lt;&gt;"",INDEX(properties!A$1:CB$87,'Fórmula'!H19,21)),IF(INDEX(properties!A$1:CB$87,'Fórmula'!J19,21)&lt;&gt;"",INDEX(properties!A$1:CB$87,'Fórmula'!J19,21)))</f>
        <v>6.64</v>
      </c>
      <c r="BY19" s="113">
        <f t="array" ref="BY19">MAX(INDEX(properties!A$1:CB$87,'Fórmula'!B19,21),INDEX(properties!A$1:CB$87,'Fórmula'!D19,21),INDEX(properties!A$1:CB$87,'Fórmula'!F19,21),INDEX(properties!A$1:CB$87,'Fórmula'!H19,21),INDEX(properties!A$1:CB$87,'Fórmula'!J19,21))</f>
        <v>6</v>
      </c>
      <c r="BZ19" s="113">
        <f t="array" ref="BZ19">MIN(IF(INDEX(properties!A$1:CB$87,'Fórmula'!B19,21)=0,10^6,INDEX(properties!A$1:CB$87,'Fórmula'!B19,21)),IF(INDEX(properties!A$1:CB$87,'Fórmula'!D19,21)=0,10^6,INDEX(properties!A$1:CB$87,'Fórmula'!D19,21)),IF(INDEX(properties!A$1:CB$87,'Fórmula'!F19,21)=0,10^6,INDEX(properties!A$1:CB$87,'Fórmula'!F19,21)),IF(INDEX(properties!A$1:CB$87,'Fórmula'!H19,21)=0,10^6,INDEX(properties!A$1:CB$87,'Fórmula'!H19,21)),IF(INDEX(properties!A$1:CB$87,'Fórmula'!J19,21)=0,10^6,INDEX(properties!A$1:CB$87,'Fórmula'!J19,21)))</f>
        <v>1</v>
      </c>
      <c r="CA19" s="113">
        <f t="shared" si="13"/>
        <v>5</v>
      </c>
      <c r="CB19" s="114">
        <f t="array" ref="CB19">(('Fórmula'!C19)/('Fórmula'!C19+'Fórmula'!E19+'Fórmula'!G19+'Fórmula'!I19+'Fórmula'!K19))*(INDEX(properties!A$1:CB$87,'Fórmula'!B19,23))+(('Fórmula'!E19)/('Fórmula'!C19+'Fórmula'!E19+'Fórmula'!G19+'Fórmula'!I19+'Fórmula'!K19))*(INDEX(properties!A$1:CB$87,'Fórmula'!D19,23))+(('Fórmula'!G19)/('Fórmula'!C19+'Fórmula'!E19+'Fórmula'!G19+'Fórmula'!I19+'Fórmula'!K19))*(INDEX(properties!A$1:CB$87,'Fórmula'!F19,23))+(('Fórmula'!I19)/('Fórmula'!C19+'Fórmula'!E19+'Fórmula'!G19+'Fórmula'!I19+'Fórmula'!K19))*(INDEX(properties!A$1:CB$87,'Fórmula'!H19,23))+(('Fórmula'!K19)/('Fórmula'!C19+'Fórmula'!E19+'Fórmula'!G19+'Fórmula'!I19+'Fórmula'!K19))*(INDEX(properties!A$1:CB$87,'Fórmula'!J19,23))</f>
        <v>1</v>
      </c>
      <c r="CC19" s="114">
        <f t="array" ref="CC19">'Fórmula'!C19*(INDEX(properties!A$1:CB$87,'Fórmula'!B19,23))+'Fórmula'!E19*(INDEX(properties!A$1:CB$87,'Fórmula'!D19,23))+'Fórmula'!G19*(INDEX(properties!A$1:CB$87,'Fórmula'!F19,23))+'Fórmula'!I19*(INDEX(properties!A$1:CB$87,'Fórmula'!H19,23))+'Fórmula'!K19*(INDEX(properties!A$1:CB$87,'Fórmula'!J19,23))</f>
        <v>6</v>
      </c>
      <c r="CD19" s="114">
        <f t="array" ref="CD19">VARP(IF(INDEX(properties!A$1:CB$87,'Fórmula'!B19,23)&lt;&gt;"",INDEX(properties!A$1:CB$87,'Fórmula'!B19,23)),IF(INDEX(properties!A$1:CB$87,'Fórmula'!D19,23)&lt;&gt;"",INDEX(properties!A$1:CB$87,'Fórmula'!D19,23)),IF(INDEX(properties!A$1:CB$87,'Fórmula'!F19,23)&lt;&gt;"",INDEX(properties!A$1:CB$87,'Fórmula'!F19,23)),IF(INDEX(properties!A$1:CB$87,'Fórmula'!H19,23)&lt;&gt;"",INDEX(properties!A$1:CB$87,'Fórmula'!H19,23)),IF(INDEX(properties!A$1:CB$87,'Fórmula'!J19,23)&lt;&gt;"",INDEX(properties!A$1:CB$87,'Fórmula'!J19,23)))</f>
        <v>2.16</v>
      </c>
      <c r="CE19" s="114">
        <f t="array" ref="CE19">MAX(INDEX(properties!A$1:CB$87,'Fórmula'!B19,23),INDEX(properties!A$1:CB$87,'Fórmula'!D19,23),INDEX(properties!A$1:CB$87,'Fórmula'!F19,23),INDEX(properties!A$1:CB$87,'Fórmula'!H19,23),INDEX(properties!A$1:CB$87,'Fórmula'!J19,23))</f>
        <v>3</v>
      </c>
      <c r="CF19" s="114">
        <f t="array" ref="CF19">MIN(IF('Fórmula'!B19=87,10^6,INDEX(properties!A$1:CB$87,'Fórmula'!B19,23)),IF(('Fórmula'!D19)=87,10^6,INDEX(properties!A$1:CB$87,'Fórmula'!D19,23)),IF(('Fórmula'!F19)=87,10^6,INDEX(properties!A$1:CB$87,'Fórmula'!F19,23)),IF(('Fórmula'!H19)=87,10^6,INDEX(properties!A$1:CB$87,'Fórmula'!H19,23)),IF('Fórmula'!J19=87,10^6,INDEX(properties!A$1:CB$87,'Fórmula'!J19,23)))</f>
        <v>0</v>
      </c>
      <c r="CG19" s="114">
        <f t="shared" si="14"/>
        <v>3</v>
      </c>
      <c r="CH19" s="115">
        <f t="array" ref="CH19">(('Fórmula'!C19)/('Fórmula'!C19+'Fórmula'!E19+'Fórmula'!G19+'Fórmula'!I19+'Fórmula'!K19))*(INDEX(properties!A$1:CB$87,'Fórmula'!B19,26))+(('Fórmula'!E19)/('Fórmula'!C19+'Fórmula'!E19+'Fórmula'!G19+'Fórmula'!I19+'Fórmula'!K19))*(INDEX(properties!A$1:CB$87,'Fórmula'!D19,26))+(('Fórmula'!G19)/('Fórmula'!C19+'Fórmula'!E19+'Fórmula'!G19+'Fórmula'!I19+'Fórmula'!K19))*(INDEX(properties!A$1:CB$87,'Fórmula'!F19,26))+(('Fórmula'!I19)/('Fórmula'!C19+'Fórmula'!E19+'Fórmula'!G19+'Fórmula'!I19+'Fórmula'!K19))*(INDEX(properties!A$1:CB$87,'Fórmula'!H19,26))+(('Fórmula'!K19)/('Fórmula'!C19+'Fórmula'!E19+'Fórmula'!G19+'Fórmula'!I19+'Fórmula'!K19))*(INDEX(properties!A$1:CB$87,'Fórmula'!J19,26))</f>
        <v>11.756</v>
      </c>
      <c r="CI19" s="115">
        <f t="array" ref="CI19">'Fórmula'!C19*(INDEX(properties!A$1:CB$87,'Fórmula'!B19,26))+'Fórmula'!E19*(INDEX(properties!A$1:CB$87,'Fórmula'!D19,26))+'Fórmula'!G19*(INDEX(properties!A$1:CB$87,'Fórmula'!F19,26))+'Fórmula'!I19*(INDEX(properties!A$1:CB$87,'Fórmula'!H19,26))+'Fórmula'!K19*(INDEX(properties!A$1:CB$87,'Fórmula'!J19,26))</f>
        <v>70.536</v>
      </c>
      <c r="CJ19" s="115">
        <f t="array" ref="CJ19">VARP(IF(INDEX(properties!A$1:CB$87,'Fórmula'!B19,26)&lt;&gt;"",INDEX(properties!A$1:CB$87,'Fórmula'!B19,26)),IF(INDEX(properties!A$1:CB$87,'Fórmula'!D19,26)&lt;&gt;"",INDEX(properties!A$1:CB$87,'Fórmula'!D19,26)),IF(INDEX(properties!A$1:CB$87,'Fórmula'!F19,26)&lt;&gt;"",INDEX(properties!A$1:CB$87,'Fórmula'!F19,26)),IF(INDEX(properties!A$1:CB$87,'Fórmula'!H19,26)&lt;&gt;"",INDEX(properties!A$1:CB$87,'Fórmula'!H19,26)),IF(INDEX(properties!A$1:CB$87,'Fórmula'!J19,26)&lt;&gt;"",INDEX(properties!A$1:CB$87,'Fórmula'!J19,26)))</f>
        <v>30.06493503</v>
      </c>
      <c r="CK19" s="116">
        <f t="array" ref="CK19">MAX(INDEX(properties!A$1:CB$87,'Fórmula'!B19,26),INDEX(properties!A$1:CB$87,'Fórmula'!D19,26),INDEX(properties!A$1:CB$87,'Fórmula'!F19,26),INDEX(properties!A$1:CB$87,'Fórmula'!H19,26),INDEX(properties!A$1:CB$87,'Fórmula'!J19,26))</f>
        <v>13.6181</v>
      </c>
      <c r="CL19" s="116">
        <f t="array" ref="CL19">MIN(IF(INDEX(properties!A$1:CB$87,'Fórmula'!B19,26)=0,10^6,INDEX(properties!A$1:CB$87,'Fórmula'!B19,26)),IF(INDEX(properties!A$1:CB$87,'Fórmula'!D19,26)=0,10^6,INDEX(properties!A$1:CB$87,'Fórmula'!D19,26)),IF(INDEX(properties!A$1:CB$87,'Fórmula'!F19,26)=0,10^6,INDEX(properties!A$1:CB$87,'Fórmula'!F19,26)),IF(INDEX(properties!A$1:CB$87,'Fórmula'!H19,26)=0,10^6,INDEX(properties!A$1:CB$87,'Fórmula'!H19,26)),IF(INDEX(properties!A$1:CB$87,'Fórmula'!J19,26)=0,10^6,INDEX(properties!A$1:CB$87,'Fórmula'!J19,26)))</f>
        <v>5.5769</v>
      </c>
      <c r="CM19" s="115">
        <f t="shared" si="15"/>
        <v>8.0412</v>
      </c>
      <c r="CN19" s="117">
        <f t="array" ref="CN19">(('Fórmula'!C19)/('Fórmula'!C19+'Fórmula'!E19+'Fórmula'!G19+'Fórmula'!I19+'Fórmula'!K19))*(INDEX(properties!A$1:CB$87,'Fórmula'!B19,30))+(('Fórmula'!E19)/('Fórmula'!C19+'Fórmula'!E19+'Fórmula'!G19+'Fórmula'!I19+'Fórmula'!K19))*(INDEX(properties!A$1:CB$87,'Fórmula'!D19,30))+(('Fórmula'!G19)/('Fórmula'!C19+'Fórmula'!E19+'Fórmula'!G19+'Fórmula'!I19+'Fórmula'!K19))*(INDEX(properties!A$1:CB$87,'Fórmula'!F19,30))+(('Fórmula'!I19)/('Fórmula'!C19+'Fórmula'!E19+'Fórmula'!G19+'Fórmula'!I19+'Fórmula'!K19))*(INDEX(properties!A$1:CB$87,'Fórmula'!H19,30))+(('Fórmula'!K19)/('Fórmula'!C19+'Fórmula'!E19+'Fórmula'!G19+'Fórmula'!I19+'Fórmula'!K19))*(INDEX(properties!A$1:CB$87,'Fórmula'!J19,30))</f>
        <v>2.841666667</v>
      </c>
      <c r="CO19" s="117">
        <f t="array" ref="CO19">'Fórmula'!C19*(INDEX(properties!A$1:CB$87,'Fórmula'!B19,30))+'Fórmula'!E19*(INDEX(properties!A$1:CB$87,'Fórmula'!D19,30))+'Fórmula'!G19*(INDEX(properties!A$1:CB$87,'Fórmula'!F19,30))+'Fórmula'!I19*(INDEX(properties!A$1:CB$87,'Fórmula'!H19,30))+'Fórmula'!K19*(INDEX(properties!A$1:CB$87,'Fórmula'!J19,30))</f>
        <v>17.05</v>
      </c>
      <c r="CP19" s="117">
        <f t="array" ref="CP19">VARP(IF(INDEX(properties!A$1:CB$87,'Fórmula'!B19,30)&lt;&gt;"",INDEX(properties!A$1:CB$87,'Fórmula'!B19,30)),IF(INDEX(properties!A$1:CB$87,'Fórmula'!D19,30)&lt;&gt;"",INDEX(properties!A$1:CB$87,'Fórmula'!D19,30)),IF(INDEX(properties!A$1:CB$87,'Fórmula'!F19,30)&lt;&gt;"",INDEX(properties!A$1:CB$87,'Fórmula'!F19,30)),IF(INDEX(properties!A$1:CB$87,'Fórmula'!H19,30)&lt;&gt;"",INDEX(properties!A$1:CB$87,'Fórmula'!H19,30)),IF(INDEX(properties!A$1:CB$87,'Fórmula'!J19,30)&lt;&gt;"",INDEX(properties!A$1:CB$87,'Fórmula'!J19,30)))</f>
        <v>1.756224</v>
      </c>
      <c r="CQ19" s="117">
        <f t="array" ref="CQ19">MAX(INDEX(properties!A$1:CB$87,'Fórmula'!B19,30),INDEX(properties!A$1:CB$87,'Fórmula'!D19,30),INDEX(properties!A$1:CB$87,'Fórmula'!F19,30),INDEX(properties!A$1:CB$87,'Fórmula'!H19,30),INDEX(properties!A$1:CB$87,'Fórmula'!J19,30))</f>
        <v>3.44</v>
      </c>
      <c r="CR19" s="117">
        <f t="array" ref="CR19">MIN(IF(INDEX(properties!A$1:CB$87,'Fórmula'!B19,30)=0,10^6,INDEX(properties!A$1:CB$87,'Fórmula'!B19,30)),IF(INDEX(properties!A$1:CB$87,'Fórmula'!D19,30)=0,10^6,INDEX(properties!A$1:CB$87,'Fórmula'!D19,30)),IF(INDEX(properties!A$1:CB$87,'Fórmula'!F19,30)=0,10^6,INDEX(properties!A$1:CB$87,'Fórmula'!F19,30)),IF(INDEX(properties!A$1:CB$87,'Fórmula'!H19,30)=0,10^6,INDEX(properties!A$1:CB$87,'Fórmula'!H19,30)),IF(INDEX(properties!A$1:CB$87,'Fórmula'!J19,30)=0,10^6,INDEX(properties!A$1:CB$87,'Fórmula'!J19,30)))</f>
        <v>1.1</v>
      </c>
      <c r="CS19" s="117">
        <f t="shared" si="16"/>
        <v>2.34</v>
      </c>
      <c r="CT19" s="118">
        <f t="array" ref="CT19">(('Fórmula'!C19)/('Fórmula'!C19+'Fórmula'!E19+'Fórmula'!G19+'Fórmula'!I19+'Fórmula'!K19))*(INDEX(properties!A$1:CB$87,'Fórmula'!B19,31))+(('Fórmula'!E19)/('Fórmula'!C19+'Fórmula'!E19+'Fórmula'!G19+'Fórmula'!I19+'Fórmula'!K19))*(INDEX(properties!A$1:CB$87,'Fórmula'!D19,31))+(('Fórmula'!G19)/('Fórmula'!C19+'Fórmula'!E19+'Fórmula'!G19+'Fórmula'!I19+'Fórmula'!K19))*(INDEX(properties!A$1:CB$87,'Fórmula'!F19,31))+(('Fórmula'!I19)/('Fórmula'!C19+'Fórmula'!E19+'Fórmula'!G19+'Fórmula'!I19+'Fórmula'!K19))*(INDEX(properties!A$1:CB$87,'Fórmula'!H19,31))+(('Fórmula'!K19)/('Fórmula'!C19+'Fórmula'!E19+'Fórmula'!G19+'Fórmula'!I19+'Fórmula'!K19))*(INDEX(properties!A$1:CB$87,'Fórmula'!J19,31))</f>
        <v>2.825</v>
      </c>
      <c r="CU19" s="118">
        <f t="array" ref="CU19">'Fórmula'!C19*(INDEX(properties!A$1:CB$87,'Fórmula'!B19,31))+'Fórmula'!E19*(INDEX(properties!A$1:CB$87,'Fórmula'!D19,31))+'Fórmula'!G19*(INDEX(properties!A$1:CB$87,'Fórmula'!F19,31))+'Fórmula'!I19*(INDEX(properties!A$1:CB$87,'Fórmula'!H19,31))+'Fórmula'!K19*(INDEX(properties!A$1:CB$87,'Fórmula'!J19,31))</f>
        <v>16.95</v>
      </c>
      <c r="CV19" s="118">
        <f t="array" ref="CV19">VARP(IF(INDEX(properties!A$1:CB$87,'Fórmula'!B19,31)&lt;&gt;"",INDEX(properties!A$1:CB$87,'Fórmula'!B19,31)),IF(INDEX(properties!A$1:CB$87,'Fórmula'!D19,31)&lt;&gt;"",INDEX(properties!A$1:CB$87,'Fórmula'!D19,31)),IF(INDEX(properties!A$1:CB$87,'Fórmula'!F19,31)&lt;&gt;"",INDEX(properties!A$1:CB$87,'Fórmula'!F19,31)),IF(INDEX(properties!A$1:CB$87,'Fórmula'!H19,31)&lt;&gt;"",INDEX(properties!A$1:CB$87,'Fórmula'!H19,31)),IF(INDEX(properties!A$1:CB$87,'Fórmula'!J19,31)&lt;&gt;"",INDEX(properties!A$1:CB$87,'Fórmula'!J19,31)))</f>
        <v>1.691056</v>
      </c>
      <c r="CW19" s="118">
        <f t="array" ref="CW19">MAX(INDEX(properties!A$1:CB$87,'Fórmula'!B19,31),INDEX(properties!A$1:CB$87,'Fórmula'!D19,31),INDEX(properties!A$1:CB$87,'Fórmula'!F19,31),INDEX(properties!A$1:CB$87,'Fórmula'!H19,31),INDEX(properties!A$1:CB$87,'Fórmula'!J19,31))</f>
        <v>3.32</v>
      </c>
      <c r="CX19" s="118">
        <f t="array" ref="CX19">MIN(IF(INDEX(properties!A$1:CB$87,'Fórmula'!B19,31)=0,10^6,INDEX(properties!A$1:CB$87,'Fórmula'!B19,31)),IF(INDEX(properties!A$1:CB$87,'Fórmula'!D19,31)=0,10^6,INDEX(properties!A$1:CB$87,'Fórmula'!D19,31)),IF(INDEX(properties!A$1:CB$87,'Fórmula'!F19,31)=0,10^6,INDEX(properties!A$1:CB$87,'Fórmula'!F19,31)),IF(INDEX(properties!A$1:CB$87,'Fórmula'!H19,31)=0,10^6,INDEX(properties!A$1:CB$87,'Fórmula'!H19,31)),IF(INDEX(properties!A$1:CB$87,'Fórmula'!J19,31)=0,10^6,INDEX(properties!A$1:CB$87,'Fórmula'!J19,31)))</f>
        <v>1.35</v>
      </c>
      <c r="CY19" s="118">
        <f t="shared" si="17"/>
        <v>1.97</v>
      </c>
      <c r="CZ19" s="119">
        <f t="array" ref="CZ19">(('Fórmula'!C19)/('Fórmula'!C19+'Fórmula'!E19+'Fórmula'!G19+'Fórmula'!I19+'Fórmula'!K19))*(INDEX(properties!A$1:CB$87,'Fórmula'!B19,32))+(('Fórmula'!E19)/('Fórmula'!C19+'Fórmula'!E19+'Fórmula'!G19+'Fórmula'!I19+'Fórmula'!K19))*(INDEX(properties!A$1:CB$87,'Fórmula'!D19,32))+(('Fórmula'!G19)/('Fórmula'!C19+'Fórmula'!E19+'Fórmula'!G19+'Fórmula'!I19+'Fórmula'!K19))*(INDEX(properties!A$1:CB$87,'Fórmula'!F19,32))+(('Fórmula'!I19)/('Fórmula'!C19+'Fórmula'!E19+'Fórmula'!G19+'Fórmula'!I19+'Fórmula'!K19))*(INDEX(properties!A$1:CB$87,'Fórmula'!H19,32))+(('Fórmula'!K19)/('Fórmula'!C19+'Fórmula'!E19+'Fórmula'!G19+'Fórmula'!I19+'Fórmula'!K19))*(INDEX(properties!A$1:CB$87,'Fórmula'!J19,32))</f>
        <v>6.48</v>
      </c>
      <c r="DA19" s="119">
        <f t="array" ref="DA19">'Fórmula'!C19*(INDEX(properties!A$1:CB$87,'Fórmula'!B19,32))+'Fórmula'!E19*(INDEX(properties!A$1:CB$87,'Fórmula'!D19,32))+'Fórmula'!G19*(INDEX(properties!A$1:CB$87,'Fórmula'!F19,32))+'Fórmula'!I19*(INDEX(properties!A$1:CB$87,'Fórmula'!H19,32))+'Fórmula'!K19*(INDEX(properties!A$1:CB$87,'Fórmula'!J19,32))</f>
        <v>38.88</v>
      </c>
      <c r="DB19" s="119">
        <f t="array" ref="DB19">VARP(IF(INDEX(properties!A$1:CB$87,'Fórmula'!B19,32)&lt;&gt;"",INDEX(properties!A$1:CB$87,'Fórmula'!B19,32)),IF(INDEX(properties!A$1:CB$87,'Fórmula'!D19,32)&lt;&gt;"",INDEX(properties!A$1:CB$87,'Fórmula'!D19,32)),IF(INDEX(properties!A$1:CB$87,'Fórmula'!F19,32)&lt;&gt;"",INDEX(properties!A$1:CB$87,'Fórmula'!F19,32)),IF(INDEX(properties!A$1:CB$87,'Fórmula'!H19,32)&lt;&gt;"",INDEX(properties!A$1:CB$87,'Fórmula'!H19,32)),IF(INDEX(properties!A$1:CB$87,'Fórmula'!J19,32)&lt;&gt;"",INDEX(properties!A$1:CB$87,'Fórmula'!J19,32)))</f>
        <v>9.033696</v>
      </c>
      <c r="DC19" s="119">
        <f t="array" ref="DC19">MAX(INDEX(properties!A$1:CB$87,'Fórmula'!B19,32),INDEX(properties!A$1:CB$87,'Fórmula'!D19,32),INDEX(properties!A$1:CB$87,'Fórmula'!F19,32),INDEX(properties!A$1:CB$87,'Fórmula'!H19,32),INDEX(properties!A$1:CB$87,'Fórmula'!J19,32))</f>
        <v>7.54</v>
      </c>
      <c r="DD19" s="119">
        <f t="array" ref="DD19">MIN(IF(INDEX(properties!A$1:CB$87,'Fórmula'!B19,32)=0,10^6,INDEX(properties!A$1:CB$87,'Fórmula'!B19,32)),IF(INDEX(properties!A$1:CB$87,'Fórmula'!D19,32)=0,10^6,INDEX(properties!A$1:CB$87,'Fórmula'!D19,32)),IF(INDEX(properties!A$1:CB$87,'Fórmula'!F19,32)=0,10^6,INDEX(properties!A$1:CB$87,'Fórmula'!F19,32)),IF(INDEX(properties!A$1:CB$87,'Fórmula'!H19,32)=0,10^6,INDEX(properties!A$1:CB$87,'Fórmula'!H19,32)),IF(INDEX(properties!A$1:CB$87,'Fórmula'!J19,32)=0,10^6,INDEX(properties!A$1:CB$87,'Fórmula'!J19,32)))</f>
        <v>3.1</v>
      </c>
      <c r="DE19" s="119">
        <f t="shared" si="18"/>
        <v>4.44</v>
      </c>
      <c r="DF19" s="104">
        <f t="array" ref="DF19">(('Fórmula'!C19)/('Fórmula'!C19+'Fórmula'!E19+'Fórmula'!G19+'Fórmula'!I19+'Fórmula'!K19))*(INDEX(properties!A$1:CB$87,'Fórmula'!B19,34))+(('Fórmula'!E19)/('Fórmula'!C19+'Fórmula'!E19+'Fórmula'!G19+'Fórmula'!I19+'Fórmula'!K19))*(INDEX(properties!A$1:CB$87,'Fórmula'!D19,34))+(('Fórmula'!G19)/('Fórmula'!C19+'Fórmula'!E19+'Fórmula'!G19+'Fórmula'!I19+'Fórmula'!K19))*(INDEX(properties!A$1:CB$87,'Fórmula'!F19,34))+(('Fórmula'!I19)/('Fórmula'!C19+'Fórmula'!E19+'Fórmula'!G19+'Fórmula'!I19+'Fórmula'!K19))*(INDEX(properties!A$1:CB$87,'Fórmula'!H19,34))+(('Fórmula'!K19)/('Fórmula'!C19+'Fórmula'!E19+'Fórmula'!G19+'Fórmula'!I19+'Fórmula'!K19))*(INDEX(properties!A$1:CB$87,'Fórmula'!J19,34))</f>
        <v>2.963833333</v>
      </c>
      <c r="DG19" s="104">
        <f t="array" ref="DG19">'Fórmula'!C19*(INDEX(properties!A$1:CB$87,'Fórmula'!B19,34))+'Fórmula'!E19*(INDEX(properties!A$1:CB$87,'Fórmula'!D19,34))+'Fórmula'!G19*(INDEX(properties!A$1:CB$87,'Fórmula'!F19,34))+'Fórmula'!I19*(INDEX(properties!A$1:CB$87,'Fórmula'!H19,34))+'Fórmula'!K19*(INDEX(properties!A$1:CB$87,'Fórmula'!J19,34))</f>
        <v>17.783</v>
      </c>
      <c r="DH19" s="104">
        <f t="array" ref="DH19">VARP(IF(INDEX(properties!A$1:CB$87,'Fórmula'!B19,34)&lt;&gt;"",INDEX(properties!A$1:CB$87,'Fórmula'!B19,34)),IF(INDEX(properties!A$1:CB$87,'Fórmula'!D19,34)&lt;&gt;"",INDEX(properties!A$1:CB$87,'Fórmula'!D19,34)),IF(INDEX(properties!A$1:CB$87,'Fórmula'!F19,34)&lt;&gt;"",INDEX(properties!A$1:CB$87,'Fórmula'!F19,34)),IF(INDEX(properties!A$1:CB$87,'Fórmula'!H19,34)&lt;&gt;"",INDEX(properties!A$1:CB$87,'Fórmula'!H19,34)),IF(INDEX(properties!A$1:CB$87,'Fórmula'!J19,34)&lt;&gt;"",INDEX(properties!A$1:CB$87,'Fórmula'!J19,34)))</f>
        <v>1.92547344</v>
      </c>
      <c r="DI19" s="104">
        <f t="array" ref="DI19">MAX(INDEX(properties!A$1:CB$87,'Fórmula'!B19,34),INDEX(properties!A$1:CB$87,'Fórmula'!D19,34),INDEX(properties!A$1:CB$87,'Fórmula'!F19,34),INDEX(properties!A$1:CB$87,'Fórmula'!H19,34),INDEX(properties!A$1:CB$87,'Fórmula'!J19,34))</f>
        <v>3.61</v>
      </c>
      <c r="DJ19" s="104">
        <f t="array" ref="DJ19">MIN(IF(INDEX(properties!A$1:CB$87,'Fórmula'!B19,34)=0,10^6,INDEX(properties!A$1:CB$87,'Fórmula'!B19,34)),IF(INDEX(properties!A$1:CB$87,'Fórmula'!D19,34)=0,10^6,INDEX(properties!A$1:CB$87,'Fórmula'!D19,34)),IF(INDEX(properties!A$1:CB$87,'Fórmula'!F19,34)=0,10^6,INDEX(properties!A$1:CB$87,'Fórmula'!F19,34)),IF(INDEX(properties!A$1:CB$87,'Fórmula'!H19,34)=0,10^6,INDEX(properties!A$1:CB$87,'Fórmula'!H19,34)),IF(INDEX(properties!A$1:CB$87,'Fórmula'!J19,34)=0,10^6,INDEX(properties!A$1:CB$87,'Fórmula'!J19,34)))</f>
        <v>1.09</v>
      </c>
      <c r="DK19" s="104">
        <f t="shared" si="19"/>
        <v>2.52</v>
      </c>
      <c r="DL19" s="105">
        <f t="array" ref="DL19">(('Fórmula'!C19)/('Fórmula'!C19+'Fórmula'!E19+'Fórmula'!G19+'Fórmula'!I19+'Fórmula'!K19))*(INDEX(properties!A$1:CB$87,'Fórmula'!B19,37))+(('Fórmula'!E19)/('Fórmula'!C19+'Fórmula'!E19+'Fórmula'!G19+'Fórmula'!I19+'Fórmula'!K19))*(INDEX(properties!A$1:CB$87,'Fórmula'!D19,37))+(('Fórmula'!G19)/('Fórmula'!C19+'Fórmula'!E19+'Fórmula'!G19+'Fórmula'!I19+'Fórmula'!K19))*(INDEX(properties!A$1:CB$87,'Fórmula'!F19,37))+(('Fórmula'!I19)/('Fórmula'!C19+'Fórmula'!E19+'Fórmula'!G19+'Fórmula'!I19+'Fórmula'!K19))*(INDEX(properties!A$1:CB$87,'Fórmula'!H19,37))+(('Fórmula'!K19)/('Fórmula'!C19+'Fórmula'!E19+'Fórmula'!G19+'Fórmula'!I19+'Fórmula'!K19))*(INDEX(properties!A$1:CB$87,'Fórmula'!J19,37))</f>
        <v>2.85</v>
      </c>
      <c r="DM19" s="105">
        <f t="array" ref="DM19">'Fórmula'!C19*(INDEX(properties!A$1:CB$87,'Fórmula'!B19,37))+'Fórmula'!E19*(INDEX(properties!A$1:CB$87,'Fórmula'!D19,37))+'Fórmula'!G19*(INDEX(properties!A$1:CB$87,'Fórmula'!F19,37))+'Fórmula'!I19*(INDEX(properties!A$1:CB$87,'Fórmula'!H19,37))+'Fórmula'!K19*(INDEX(properties!A$1:CB$87,'Fórmula'!J19,37))</f>
        <v>17.1</v>
      </c>
      <c r="DN19" s="105">
        <f t="array" ref="DN19">VARP(IF(INDEX(properties!A$1:CB$87,'Fórmula'!B19,37)&lt;&gt;"",INDEX(properties!A$1:CB$87,'Fórmula'!B19,37)),IF(INDEX(properties!A$1:CB$87,'Fórmula'!D19,37)&lt;&gt;"",INDEX(properties!A$1:CB$87,'Fórmula'!D19,37)),IF(INDEX(properties!A$1:CB$87,'Fórmula'!F19,37)&lt;&gt;"",INDEX(properties!A$1:CB$87,'Fórmula'!F19,37)),IF(INDEX(properties!A$1:CB$87,'Fórmula'!H19,37)&lt;&gt;"",INDEX(properties!A$1:CB$87,'Fórmula'!H19,37)),IF(INDEX(properties!A$1:CB$87,'Fórmula'!J19,37)&lt;&gt;"",INDEX(properties!A$1:CB$87,'Fórmula'!J19,37)))</f>
        <v>1.728</v>
      </c>
      <c r="DO19" s="105">
        <f t="array" ref="DO19">MAX(INDEX(properties!A$1:CB$87,'Fórmula'!B19,37),INDEX(properties!A$1:CB$87,'Fórmula'!D19,37),INDEX(properties!A$1:CB$87,'Fórmula'!F19,37),INDEX(properties!A$1:CB$87,'Fórmula'!H19,37),INDEX(properties!A$1:CB$87,'Fórmula'!J19,37))</f>
        <v>3.45</v>
      </c>
      <c r="DP19" s="105">
        <f t="array" ref="DP19">MIN(IF(INDEX(properties!A$1:CB$87,'Fórmula'!B19,37)=0,10^6,INDEX(properties!A$1:CB$87,'Fórmula'!B19,37)),IF(INDEX(properties!A$1:CB$87,'Fórmula'!D19,37)=0,10^6,INDEX(properties!A$1:CB$87,'Fórmula'!D19,37)),IF(INDEX(properties!A$1:CB$87,'Fórmula'!F19,37)=0,10^6,INDEX(properties!A$1:CB$87,'Fórmula'!F19,37)),IF(INDEX(properties!A$1:CB$87,'Fórmula'!H19,37)=0,10^6,INDEX(properties!A$1:CB$87,'Fórmula'!H19,37)),IF(INDEX(properties!A$1:CB$87,'Fórmula'!J19,37)=0,10^6,INDEX(properties!A$1:CB$87,'Fórmula'!J19,37)))</f>
        <v>1.2</v>
      </c>
      <c r="DQ19" s="105">
        <f t="shared" si="20"/>
        <v>2.25</v>
      </c>
      <c r="DR19" s="109">
        <f t="array" ref="DR19">(('Fórmula'!C19)/('Fórmula'!C19+'Fórmula'!E19+'Fórmula'!G19+'Fórmula'!I19+'Fórmula'!K19))*(INDEX(properties!A$1:CB$87,'Fórmula'!B19,39))+(('Fórmula'!E19)/('Fórmula'!C19+'Fórmula'!E19+'Fórmula'!G19+'Fórmula'!I19+'Fórmula'!K19))*(INDEX(properties!A$1:CB$87,'Fórmula'!D19,39))+(('Fórmula'!G19)/('Fórmula'!C19+'Fórmula'!E19+'Fórmula'!G19+'Fórmula'!I19+'Fórmula'!K19))*(INDEX(properties!A$1:CB$87,'Fórmula'!F19,39))+(('Fórmula'!I19)/('Fórmula'!C19+'Fórmula'!E19+'Fórmula'!G19+'Fórmula'!I19+'Fórmula'!K19))*(INDEX(properties!A$1:CB$87,'Fórmula'!H19,39))+(('Fórmula'!K19)/('Fórmula'!C19+'Fórmula'!E19+'Fórmula'!G19+'Fórmula'!I19+'Fórmula'!K19))*(INDEX(properties!A$1:CB$87,'Fórmula'!J19,39))</f>
        <v>0.8083333333</v>
      </c>
      <c r="DS19" s="109">
        <f t="array" ref="DS19">'Fórmula'!C19*(INDEX(properties!A$1:CB$87,'Fórmula'!B19,39))+'Fórmula'!E19*(INDEX(properties!A$1:CB$87,'Fórmula'!D19,39))+'Fórmula'!G19*(INDEX(properties!A$1:CB$87,'Fórmula'!F19,39))+'Fórmula'!I19*(INDEX(properties!A$1:CB$87,'Fórmula'!H19,39))+'Fórmula'!K19*(INDEX(properties!A$1:CB$87,'Fórmula'!J19,39))</f>
        <v>4.85</v>
      </c>
      <c r="DT19" s="109">
        <f t="array" ref="DT19">VARP(IF(INDEX(properties!A$1:CB$87,'Fórmula'!B19,39)&lt;&gt;"",INDEX(properties!A$1:CB$87,'Fórmula'!B19,39)),IF(INDEX(properties!A$1:CB$87,'Fórmula'!D19,39)&lt;&gt;"",INDEX(properties!A$1:CB$87,'Fórmula'!D19,39)),IF(INDEX(properties!A$1:CB$87,'Fórmula'!F19,39)&lt;&gt;"",INDEX(properties!A$1:CB$87,'Fórmula'!F19,39)),IF(INDEX(properties!A$1:CB$87,'Fórmula'!H19,39)&lt;&gt;"",INDEX(properties!A$1:CB$87,'Fórmula'!H19,39)),IF(INDEX(properties!A$1:CB$87,'Fórmula'!J19,39)&lt;&gt;"",INDEX(properties!A$1:CB$87,'Fórmula'!J19,39)))</f>
        <v>0.533536</v>
      </c>
      <c r="DU19" s="120">
        <f t="array" ref="DU19">MAX(INDEX(properties!A$1:CB$87,'Fórmula'!B19,39),INDEX(properties!A$1:CB$87,'Fórmula'!D19,39),INDEX(properties!A$1:CB$87,'Fórmula'!F19,39),INDEX(properties!A$1:CB$87,'Fórmula'!H19,39),INDEX(properties!A$1:CB$87,'Fórmula'!J19,39))</f>
        <v>1.95</v>
      </c>
      <c r="DV19" s="120">
        <f t="array" ref="DV19">MIN(IF(INDEX(properties!A$1:CB$87,'Fórmula'!B19,39)=0,10^6,INDEX(properties!A$1:CB$87,'Fórmula'!B19,39)),IF(INDEX(properties!A$1:CB$87,'Fórmula'!D19,39)=0,10^6,INDEX(properties!A$1:CB$87,'Fórmula'!D19,39)),IF(INDEX(properties!A$1:CB$87,'Fórmula'!F19,39)=0,10^6,INDEX(properties!A$1:CB$87,'Fórmula'!F19,39)),IF(INDEX(properties!A$1:CB$87,'Fórmula'!H19,39)=0,10^6,INDEX(properties!A$1:CB$87,'Fórmula'!H19,39)),IF(INDEX(properties!A$1:CB$87,'Fórmula'!J19,39)=0,10^6,INDEX(properties!A$1:CB$87,'Fórmula'!J19,39)))</f>
        <v>0.48</v>
      </c>
      <c r="DW19" s="109">
        <f t="shared" si="21"/>
        <v>1.47</v>
      </c>
      <c r="DX19" s="110">
        <f t="array" ref="DX19">(('Fórmula'!C19)/('Fórmula'!C19+'Fórmula'!E19+'Fórmula'!G19+'Fórmula'!I19+'Fórmula'!K19))*(INDEX(properties!A$1:CB$87,'Fórmula'!B19,40))+(('Fórmula'!E19)/('Fórmula'!C19+'Fórmula'!E19+'Fórmula'!G19+'Fórmula'!I19+'Fórmula'!K19))*(INDEX(properties!A$1:CB$87,'Fórmula'!D19,40))+(('Fórmula'!G19)/('Fórmula'!C19+'Fórmula'!E19+'Fórmula'!G19+'Fórmula'!I19+'Fórmula'!K19))*(INDEX(properties!A$1:CB$87,'Fórmula'!F19,40))+(('Fórmula'!I19)/('Fórmula'!C19+'Fórmula'!E19+'Fórmula'!G19+'Fórmula'!I19+'Fórmula'!K19))*(INDEX(properties!A$1:CB$87,'Fórmula'!H19,40))+(('Fórmula'!K19)/('Fórmula'!C19+'Fórmula'!E19+'Fórmula'!G19+'Fórmula'!I19+'Fórmula'!K19))*(INDEX(properties!A$1:CB$87,'Fórmula'!J19,40))</f>
        <v>0.945</v>
      </c>
      <c r="DY19" s="110">
        <f t="array" ref="DY19">'Fórmula'!C19*(INDEX(properties!A$1:CB$87,'Fórmula'!B19,40))+'Fórmula'!E19*(INDEX(properties!A$1:CB$87,'Fórmula'!D19,40))+'Fórmula'!G19*(INDEX(properties!A$1:CB$87,'Fórmula'!F19,40))+'Fórmula'!I19*(INDEX(properties!A$1:CB$87,'Fórmula'!H19,40))+'Fórmula'!K19*(INDEX(properties!A$1:CB$87,'Fórmula'!J19,40))</f>
        <v>5.67</v>
      </c>
      <c r="DZ19" s="110">
        <f t="array" ref="DZ19">VARP(IF(INDEX(properties!A$1:CB$87,'Fórmula'!B19,40)&lt;&gt;"",INDEX(properties!A$1:CB$87,'Fórmula'!B19,40)),IF(INDEX(properties!A$1:CB$87,'Fórmula'!D19,40)&lt;&gt;"",INDEX(properties!A$1:CB$87,'Fórmula'!D19,40)),IF(INDEX(properties!A$1:CB$87,'Fórmula'!F19,40)&lt;&gt;"",INDEX(properties!A$1:CB$87,'Fórmula'!F19,40)),IF(INDEX(properties!A$1:CB$87,'Fórmula'!H19,40)&lt;&gt;"",INDEX(properties!A$1:CB$87,'Fórmula'!H19,40)),IF(INDEX(properties!A$1:CB$87,'Fórmula'!J19,40)&lt;&gt;"",INDEX(properties!A$1:CB$87,'Fórmula'!J19,40)))</f>
        <v>0.418104</v>
      </c>
      <c r="EA19" s="121">
        <f t="array" ref="EA19">MAX(INDEX(properties!A$1:CB$87,'Fórmula'!B19,40),INDEX(properties!A$1:CB$87,'Fórmula'!D19,40),INDEX(properties!A$1:CB$87,'Fórmula'!F19,40),INDEX(properties!A$1:CB$87,'Fórmula'!H19,40),INDEX(properties!A$1:CB$87,'Fórmula'!J19,40))</f>
        <v>1.69</v>
      </c>
      <c r="EB19" s="121">
        <f t="array" ref="EB19">MIN(IF(INDEX(properties!A$1:CB$87,'Fórmula'!B19,40)=0,10^6,INDEX(properties!A$1:CB$87,'Fórmula'!B19,40)),IF(INDEX(properties!A$1:CB$87,'Fórmula'!D19,40)=0,10^6,INDEX(properties!A$1:CB$87,'Fórmula'!D19,40)),IF(INDEX(properties!A$1:CB$87,'Fórmula'!F19,40)=0,10^6,INDEX(properties!A$1:CB$87,'Fórmula'!F19,40)),IF(INDEX(properties!A$1:CB$87,'Fórmula'!H19,40)=0,10^6,INDEX(properties!A$1:CB$87,'Fórmula'!H19,40)),IF(INDEX(properties!A$1:CB$87,'Fórmula'!J19,40)=0,10^6,INDEX(properties!A$1:CB$87,'Fórmula'!J19,40)))</f>
        <v>0.73</v>
      </c>
      <c r="EC19" s="110">
        <f t="shared" si="22"/>
        <v>0.96</v>
      </c>
      <c r="ED19" s="111">
        <f t="array" ref="ED19">(('Fórmula'!C19)/('Fórmula'!C19+'Fórmula'!E19+'Fórmula'!G19+'Fórmula'!I19+'Fórmula'!K19))*(INDEX(properties!A$1:CB$87,'Fórmula'!B19,41))+(('Fórmula'!E19)/('Fórmula'!C19+'Fórmula'!E19+'Fórmula'!G19+'Fórmula'!I19+'Fórmula'!K19))*(INDEX(properties!A$1:CB$87,'Fórmula'!D19,41))+(('Fórmula'!G19)/('Fórmula'!C19+'Fórmula'!E19+'Fórmula'!G19+'Fórmula'!I19+'Fórmula'!K19))*(INDEX(properties!A$1:CB$87,'Fórmula'!F19,41))+(('Fórmula'!I19)/('Fórmula'!C19+'Fórmula'!E19+'Fórmula'!G19+'Fórmula'!I19+'Fórmula'!K19))*(INDEX(properties!A$1:CB$87,'Fórmula'!H19,41))+(('Fórmula'!K19)/('Fórmula'!C19+'Fórmula'!E19+'Fórmula'!G19+'Fórmula'!I19+'Fórmula'!K19))*(INDEX(properties!A$1:CB$87,'Fórmula'!J19,41))</f>
        <v>1.131666667</v>
      </c>
      <c r="EE19" s="111">
        <f t="array" ref="EE19">'Fórmula'!C19*(INDEX(properties!A$1:CB$87,'Fórmula'!B19,41))+'Fórmula'!E19*(INDEX(properties!A$1:CB$87,'Fórmula'!D19,41))+'Fórmula'!G19*(INDEX(properties!A$1:CB$87,'Fórmula'!F19,41))+'Fórmula'!I19*(INDEX(properties!A$1:CB$87,'Fórmula'!H19,41))+'Fórmula'!K19*(INDEX(properties!A$1:CB$87,'Fórmula'!J19,41))</f>
        <v>6.79</v>
      </c>
      <c r="EF19" s="111">
        <f t="array" ref="EF19">VARP(IF(INDEX(properties!A$1:CB$87,'Fórmula'!B19,41)&lt;&gt;"",INDEX(properties!A$1:CB$87,'Fórmula'!B19,41)),IF(INDEX(properties!A$1:CB$87,'Fórmula'!D19,41)&lt;&gt;"",INDEX(properties!A$1:CB$87,'Fórmula'!D19,41)),IF(INDEX(properties!A$1:CB$87,'Fórmula'!F19,41)&lt;&gt;"",INDEX(properties!A$1:CB$87,'Fórmula'!F19,41)),IF(INDEX(properties!A$1:CB$87,'Fórmula'!H19,41)&lt;&gt;"",INDEX(properties!A$1:CB$87,'Fórmula'!H19,41)),IF(INDEX(properties!A$1:CB$87,'Fórmula'!J19,41)&lt;&gt;"",INDEX(properties!A$1:CB$87,'Fórmula'!J19,41)))</f>
        <v>0.296176</v>
      </c>
      <c r="EG19" s="122">
        <f t="array" ref="EG19">MAX(INDEX(properties!A$1:CB$87,'Fórmula'!B19,41),INDEX(properties!A$1:CB$87,'Fórmula'!D19,41),INDEX(properties!A$1:CB$87,'Fórmula'!F19,41),INDEX(properties!A$1:CB$87,'Fórmula'!H19,41),INDEX(properties!A$1:CB$87,'Fórmula'!J19,41))</f>
        <v>1.26</v>
      </c>
      <c r="EH19" s="122">
        <f t="array" ref="EH19">MIN(IF(INDEX(properties!A$1:CB$87,'Fórmula'!B19,41)=0,10^6,INDEX(properties!A$1:CB$87,'Fórmula'!B19,41)),IF(INDEX(properties!A$1:CB$87,'Fórmula'!D19,41)=0,10^6,INDEX(properties!A$1:CB$87,'Fórmula'!D19,41)),IF(INDEX(properties!A$1:CB$87,'Fórmula'!F19,41)=0,10^6,INDEX(properties!A$1:CB$87,'Fórmula'!F19,41)),IF(INDEX(properties!A$1:CB$87,'Fórmula'!H19,41)=0,10^6,INDEX(properties!A$1:CB$87,'Fórmula'!H19,41)),IF(INDEX(properties!A$1:CB$87,'Fórmula'!J19,41)=0,10^6,INDEX(properties!A$1:CB$87,'Fórmula'!J19,41)))</f>
        <v>0.58</v>
      </c>
      <c r="EI19" s="111">
        <f t="shared" si="23"/>
        <v>0.68</v>
      </c>
      <c r="EJ19" s="112">
        <f t="array" ref="EJ19">(('Fórmula'!C19)/('Fórmula'!C19+'Fórmula'!E19+'Fórmula'!G19+'Fórmula'!I19+'Fórmula'!K19))*(INDEX(properties!A$1:CB$87,'Fórmula'!B19,45))+(('Fórmula'!E19)/('Fórmula'!C19+'Fórmula'!E19+'Fórmula'!G19+'Fórmula'!I19+'Fórmula'!K19))*(INDEX(properties!A$1:CB$87,'Fórmula'!D19,45))+(('Fórmula'!G19)/('Fórmula'!C19+'Fórmula'!E19+'Fórmula'!G19+'Fórmula'!I19+'Fórmula'!K19))*(INDEX(properties!A$1:CB$87,'Fórmula'!F19,45))+(('Fórmula'!I19)/('Fórmula'!C19+'Fórmula'!E19+'Fórmula'!G19+'Fórmula'!I19+'Fórmula'!K19))*(INDEX(properties!A$1:CB$87,'Fórmula'!H19,45))+(('Fórmula'!K19)/('Fórmula'!C19+'Fórmula'!E19+'Fórmula'!G19+'Fórmula'!I19+'Fórmula'!K19))*(INDEX(properties!A$1:CB$87,'Fórmula'!J19,45))</f>
        <v>1.033333333</v>
      </c>
      <c r="EK19" s="112">
        <f t="array" ref="EK19">'Fórmula'!C19*(INDEX(properties!A$1:CB$87,'Fórmula'!B19,45))+'Fórmula'!E19*(INDEX(properties!A$1:CB$87,'Fórmula'!D19,45))+'Fórmula'!G19*(INDEX(properties!A$1:CB$87,'Fórmula'!F19,45))+'Fórmula'!I19*(INDEX(properties!A$1:CB$87,'Fórmula'!H19,45))+'Fórmula'!K19*(INDEX(properties!A$1:CB$87,'Fórmula'!J19,45))</f>
        <v>6.2</v>
      </c>
      <c r="EL19" s="112">
        <f t="array" ref="EL19">VARP(IF(INDEX(properties!A$1:CB$87,'Fórmula'!B19,45)&lt;&gt;"",INDEX(properties!A$1:CB$87,'Fórmula'!B19,45)),IF(INDEX(properties!A$1:CB$87,'Fórmula'!D19,45)&lt;&gt;"",INDEX(properties!A$1:CB$87,'Fórmula'!D19,45)),IF(INDEX(properties!A$1:CB$87,'Fórmula'!F19,45)&lt;&gt;"",INDEX(properties!A$1:CB$87,'Fórmula'!F19,45)),IF(INDEX(properties!A$1:CB$87,'Fórmula'!H19,45)&lt;&gt;"",INDEX(properties!A$1:CB$87,'Fórmula'!H19,45)),IF(INDEX(properties!A$1:CB$87,'Fórmula'!J19,45)&lt;&gt;"",INDEX(properties!A$1:CB$87,'Fórmula'!J19,45)))</f>
        <v>1.331216</v>
      </c>
      <c r="EM19" s="123">
        <f t="array" ref="EM19">MAX(INDEX(properties!A$1:CB$87,'Fórmula'!B19,45),INDEX(properties!A$1:CB$87,'Fórmula'!D19,45),INDEX(properties!A$1:CB$87,'Fórmula'!F19,45),INDEX(properties!A$1:CB$87,'Fórmula'!H19,45),INDEX(properties!A$1:CB$87,'Fórmula'!J19,45))</f>
        <v>3.08</v>
      </c>
      <c r="EN19" s="123">
        <f t="array" ref="EN19">MIN(IF(INDEX(properties!A$1:CB$87,'Fórmula'!B19,45)=0,10^6,INDEX(properties!A$1:CB$87,'Fórmula'!B19,45)),IF(INDEX(properties!A$1:CB$87,'Fórmula'!D19,45)=0,10^6,INDEX(properties!A$1:CB$87,'Fórmula'!D19,45)),IF(INDEX(properties!A$1:CB$87,'Fórmula'!F19,45)=0,10^6,INDEX(properties!A$1:CB$87,'Fórmula'!F19,45)),IF(INDEX(properties!A$1:CB$87,'Fórmula'!H19,45)=0,10^6,INDEX(properties!A$1:CB$87,'Fórmula'!H19,45)),IF(INDEX(properties!A$1:CB$87,'Fórmula'!J19,45)=0,10^6,INDEX(properties!A$1:CB$87,'Fórmula'!J19,45)))</f>
        <v>0.47</v>
      </c>
      <c r="EO19" s="112">
        <f t="shared" si="24"/>
        <v>2.61</v>
      </c>
      <c r="EP19" s="113">
        <f t="array" ref="EP19">(('Fórmula'!C19)/('Fórmula'!C19+'Fórmula'!E19+'Fórmula'!G19+'Fórmula'!I19+'Fórmula'!K19))*(INDEX(properties!A$1:CB$87,'Fórmula'!B19,46))+(('Fórmula'!E19)/('Fórmula'!C19+'Fórmula'!E19+'Fórmula'!G19+'Fórmula'!I19+'Fórmula'!K19))*(INDEX(properties!A$1:CB$87,'Fórmula'!D19,46))+(('Fórmula'!G19)/('Fórmula'!C19+'Fórmula'!E19+'Fórmula'!G19+'Fórmula'!I19+'Fórmula'!K19))*(INDEX(properties!A$1:CB$87,'Fórmula'!F19,46))+(('Fórmula'!I19)/('Fórmula'!C19+'Fórmula'!E19+'Fórmula'!G19+'Fórmula'!I19+'Fórmula'!K19))*(INDEX(properties!A$1:CB$87,'Fórmula'!H19,46))+(('Fórmula'!K19)/('Fórmula'!C19+'Fórmula'!E19+'Fórmula'!G19+'Fórmula'!I19+'Fórmula'!K19))*(INDEX(properties!A$1:CB$87,'Fórmula'!J19,46))</f>
        <v>1.085</v>
      </c>
      <c r="EQ19" s="113">
        <f t="array" ref="EQ19">'Fórmula'!C19*(INDEX(properties!A$1:CB$87,'Fórmula'!B19,46))+'Fórmula'!E19*(INDEX(properties!A$1:CB$87,'Fórmula'!D19,46))+'Fórmula'!G19*(INDEX(properties!A$1:CB$87,'Fórmula'!F19,46))+'Fórmula'!I19*(INDEX(properties!A$1:CB$87,'Fórmula'!H19,46))+'Fórmula'!K19*(INDEX(properties!A$1:CB$87,'Fórmula'!J19,46))</f>
        <v>6.51</v>
      </c>
      <c r="ER19" s="113">
        <f t="array" ref="ER19">VARP(IF(INDEX(properties!A$1:CB$87,'Fórmula'!B19,46)&lt;&gt;"",INDEX(properties!A$1:CB$87,'Fórmula'!B19,46)),IF(INDEX(properties!A$1:CB$87,'Fórmula'!D19,46)&lt;&gt;"",INDEX(properties!A$1:CB$87,'Fórmula'!D19,46)),IF(INDEX(properties!A$1:CB$87,'Fórmula'!F19,46)&lt;&gt;"",INDEX(properties!A$1:CB$87,'Fórmula'!F19,46)),IF(INDEX(properties!A$1:CB$87,'Fórmula'!H19,46)&lt;&gt;"",INDEX(properties!A$1:CB$87,'Fórmula'!H19,46)),IF(INDEX(properties!A$1:CB$87,'Fórmula'!J19,46)&lt;&gt;"",INDEX(properties!A$1:CB$87,'Fórmula'!J19,46)))</f>
        <v>0.350184</v>
      </c>
      <c r="ES19" s="124">
        <f t="array" ref="ES19">MAX(INDEX(properties!A$1:CB$87,'Fórmula'!B19,46),INDEX(properties!A$1:CB$87,'Fórmula'!D19,46),INDEX(properties!A$1:CB$87,'Fórmula'!F19,46),INDEX(properties!A$1:CB$87,'Fórmula'!H19,46),INDEX(properties!A$1:CB$87,'Fórmula'!J19,46))</f>
        <v>1.36</v>
      </c>
      <c r="ET19" s="124">
        <f t="array" ref="ET19">MIN(IF(INDEX(properties!A$1:CB$87,'Fórmula'!B19,46)=0,10^6,INDEX(properties!A$1:CB$87,'Fórmula'!B19,46)),IF(INDEX(properties!A$1:CB$87,'Fórmula'!D19,46)=0,10^6,INDEX(properties!A$1:CB$87,'Fórmula'!D19,46)),IF(INDEX(properties!A$1:CB$87,'Fórmula'!F19,46)=0,10^6,INDEX(properties!A$1:CB$87,'Fórmula'!F19,46)),IF(INDEX(properties!A$1:CB$87,'Fórmula'!H19,46)=0,10^6,INDEX(properties!A$1:CB$87,'Fórmula'!H19,46)),IF(INDEX(properties!A$1:CB$87,'Fórmula'!J19,46)=0,10^6,INDEX(properties!A$1:CB$87,'Fórmula'!J19,46)))</f>
        <v>0.31</v>
      </c>
      <c r="EU19" s="113">
        <f t="shared" si="25"/>
        <v>1.05</v>
      </c>
      <c r="EV19" s="114">
        <f t="array" ref="EV19">(('Fórmula'!C19)/('Fórmula'!C19+'Fórmula'!E19+'Fórmula'!G19+'Fórmula'!I19+'Fórmula'!K19))*(INDEX(properties!A$1:CB$87,'Fórmula'!B19,52))+(('Fórmula'!E19)/('Fórmula'!C19+'Fórmula'!E19+'Fórmula'!G19+'Fórmula'!I19+'Fórmula'!K19))*(INDEX(properties!A$1:CB$87,'Fórmula'!D19,52))+(('Fórmula'!G19)/('Fórmula'!C19+'Fórmula'!E19+'Fórmula'!G19+'Fórmula'!I19+'Fórmula'!K19))*(INDEX(properties!A$1:CB$87,'Fórmula'!F19,52))+(('Fórmula'!I19)/('Fórmula'!C19+'Fórmula'!E19+'Fórmula'!G19+'Fórmula'!I19+'Fórmula'!K19))*(INDEX(properties!A$1:CB$87,'Fórmula'!H19,52))+(('Fórmula'!K19)/('Fórmula'!C19+'Fórmula'!E19+'Fórmula'!G19+'Fórmula'!I19+'Fórmula'!K19))*(INDEX(properties!A$1:CB$87,'Fórmula'!J19,52))</f>
        <v>6.312</v>
      </c>
      <c r="EW19" s="114">
        <f t="array" ref="EW19">'Fórmula'!C19*(INDEX(properties!A$1:CB$87,'Fórmula'!B19,52))+'Fórmula'!E19*(INDEX(properties!A$1:CB$87,'Fórmula'!D19,52))+'Fórmula'!G19*(INDEX(properties!A$1:CB$87,'Fórmula'!F19,52))+'Fórmula'!I19*(INDEX(properties!A$1:CB$87,'Fórmula'!H19,52))+'Fórmula'!K19*(INDEX(properties!A$1:CB$87,'Fórmula'!J19,52))</f>
        <v>37.872</v>
      </c>
      <c r="EX19" s="114">
        <f t="array" ref="EX19">VARP(IF(INDEX(properties!A$1:CB$87,'Fórmula'!B19,52)&lt;&gt;"",INDEX(properties!A$1:CB$87,'Fórmula'!B19,52)),IF(INDEX(properties!A$1:CB$87,'Fórmula'!D19,52)&lt;&gt;"",INDEX(properties!A$1:CB$87,'Fórmula'!D19,52)),IF(INDEX(properties!A$1:CB$87,'Fórmula'!F19,52)&lt;&gt;"",INDEX(properties!A$1:CB$87,'Fórmula'!F19,52)),IF(INDEX(properties!A$1:CB$87,'Fórmula'!H19,52)&lt;&gt;"",INDEX(properties!A$1:CB$87,'Fórmula'!H19,52)),IF(INDEX(properties!A$1:CB$87,'Fórmula'!J19,52)&lt;&gt;"",INDEX(properties!A$1:CB$87,'Fórmula'!J19,52)))</f>
        <v>145.7696478</v>
      </c>
      <c r="EY19" s="114">
        <f t="array" ref="EY19">MAX(INDEX(properties!A$1:CB$87,'Fórmula'!B19,52),INDEX(properties!A$1:CB$87,'Fórmula'!D19,52),INDEX(properties!A$1:CB$87,'Fórmula'!F19,52),INDEX(properties!A$1:CB$87,'Fórmula'!H19,52),INDEX(properties!A$1:CB$87,'Fórmula'!J19,52))</f>
        <v>31.1</v>
      </c>
      <c r="EZ19" s="114">
        <f t="array" ref="EZ19">MIN(IF(INDEX(properties!A$1:CB$87,'Fórmula'!B19,52)=0,10^6,INDEX(properties!A$1:CB$87,'Fórmula'!B19,52)),IF(INDEX(properties!A$1:CB$87,'Fórmula'!D19,52)=0,10^6,INDEX(properties!A$1:CB$87,'Fórmula'!D19,52)),IF(INDEX(properties!A$1:CB$87,'Fórmula'!F19,52)=0,10^6,INDEX(properties!A$1:CB$87,'Fórmula'!F19,52)),IF(INDEX(properties!A$1:CB$87,'Fórmula'!H19,52)=0,10^6,INDEX(properties!A$1:CB$87,'Fórmula'!H19,52)),IF(INDEX(properties!A$1:CB$87,'Fórmula'!J19,52)=0,10^6,INDEX(properties!A$1:CB$87,'Fórmula'!J19,52)))</f>
        <v>0.793</v>
      </c>
      <c r="FA19" s="114">
        <f t="shared" si="26"/>
        <v>30.307</v>
      </c>
      <c r="FB19" s="115">
        <f t="array" ref="FB19">(('Fórmula'!C19)/('Fórmula'!C19+'Fórmula'!E19+'Fórmula'!G19+'Fórmula'!I19+'Fórmula'!K19))*(INDEX(properties!A$1:CB$87,'Fórmula'!B19,53))+(('Fórmula'!E19)/('Fórmula'!C19+'Fórmula'!E19+'Fórmula'!G19+'Fórmula'!I19+'Fórmula'!K19))*(INDEX(properties!A$1:CB$87,'Fórmula'!D19,53))+(('Fórmula'!G19)/('Fórmula'!C19+'Fórmula'!E19+'Fórmula'!G19+'Fórmula'!I19+'Fórmula'!K19))*(INDEX(properties!A$1:CB$87,'Fórmula'!F19,53))+(('Fórmula'!I19)/('Fórmula'!C19+'Fórmula'!E19+'Fórmula'!G19+'Fórmula'!I19+'Fórmula'!K19))*(INDEX(properties!A$1:CB$87,'Fórmula'!H19,53))+(('Fórmula'!K19)/('Fórmula'!C19+'Fórmula'!E19+'Fórmula'!G19+'Fórmula'!I19+'Fórmula'!K19))*(INDEX(properties!A$1:CB$87,'Fórmula'!J19,53))</f>
        <v>288.2333333</v>
      </c>
      <c r="FC19" s="115">
        <f t="array" ref="FC19">'Fórmula'!C19*(INDEX(properties!A$1:CB$87,'Fórmula'!B19,53))+'Fórmula'!E19*(INDEX(properties!A$1:CB$87,'Fórmula'!D19,53))+'Fórmula'!G19*(INDEX(properties!A$1:CB$87,'Fórmula'!F19,53))+'Fórmula'!I19*(INDEX(properties!A$1:CB$87,'Fórmula'!H19,53))+'Fórmula'!K19*(INDEX(properties!A$1:CB$87,'Fórmula'!J19,53))</f>
        <v>1729.4</v>
      </c>
      <c r="FD19" s="115">
        <f t="array" ref="FD19">VARP(IF(INDEX(properties!A$1:CB$87,'Fórmula'!B19,53)&lt;&gt;"",INDEX(properties!A$1:CB$87,'Fórmula'!B19,53)),IF(INDEX(properties!A$1:CB$87,'Fórmula'!D19,53)&lt;&gt;"",INDEX(properties!A$1:CB$87,'Fórmula'!D19,53)),IF(INDEX(properties!A$1:CB$87,'Fórmula'!F19,53)&lt;&gt;"",INDEX(properties!A$1:CB$87,'Fórmula'!F19,53)),IF(INDEX(properties!A$1:CB$87,'Fórmula'!H19,53)&lt;&gt;"",INDEX(properties!A$1:CB$87,'Fórmula'!H19,53)),IF(INDEX(properties!A$1:CB$87,'Fórmula'!J19,53)&lt;&gt;"",INDEX(properties!A$1:CB$87,'Fórmula'!J19,53)))</f>
        <v>207462.6286</v>
      </c>
      <c r="FE19" s="115">
        <f t="array" ref="FE19">MAX(INDEX(properties!A$1:CB$87,'Fórmula'!B19,53),INDEX(properties!A$1:CB$87,'Fórmula'!D19,53),INDEX(properties!A$1:CB$87,'Fórmula'!F19,53),INDEX(properties!A$1:CB$87,'Fórmula'!H19,53),INDEX(properties!A$1:CB$87,'Fórmula'!J19,53))</f>
        <v>1193.15</v>
      </c>
      <c r="FF19" s="115">
        <f t="array" ref="FF19">MIN(IF(INDEX(properties!A$1:CB$87,'Fórmula'!B19,53)=0,10^6,INDEX(properties!A$1:CB$87,'Fórmula'!B19,53)),IF(INDEX(properties!A$1:CB$87,'Fórmula'!D19,53)=0,10^6,INDEX(properties!A$1:CB$87,'Fórmula'!D19,53)),IF(INDEX(properties!A$1:CB$87,'Fórmula'!F19,53)=0,10^6,INDEX(properties!A$1:CB$87,'Fórmula'!F19,53)),IF(INDEX(properties!A$1:CB$87,'Fórmula'!H19,53)=0,10^6,INDEX(properties!A$1:CB$87,'Fórmula'!H19,53)),IF(INDEX(properties!A$1:CB$87,'Fórmula'!J19,53)=0,10^6,INDEX(properties!A$1:CB$87,'Fórmula'!J19,53)))</f>
        <v>54.75</v>
      </c>
      <c r="FG19" s="115">
        <f t="shared" si="27"/>
        <v>1138.4</v>
      </c>
      <c r="FH19" s="117">
        <f t="array" ref="FH19">(('Fórmula'!C19)/('Fórmula'!C19+'Fórmula'!E19+'Fórmula'!G19+'Fórmula'!I19+'Fórmula'!K19))*(INDEX(properties!A$1:CB$87,'Fórmula'!B19,54))+(('Fórmula'!E19)/('Fórmula'!C19+'Fórmula'!E19+'Fórmula'!G19+'Fórmula'!I19+'Fórmula'!K19))*(INDEX(properties!A$1:CB$87,'Fórmula'!D19,54))+(('Fórmula'!G19)/('Fórmula'!C19+'Fórmula'!E19+'Fórmula'!G19+'Fórmula'!I19+'Fórmula'!K19))*(INDEX(properties!A$1:CB$87,'Fórmula'!F19,54))+(('Fórmula'!I19)/('Fórmula'!C19+'Fórmula'!E19+'Fórmula'!G19+'Fórmula'!I19+'Fórmula'!K19))*(INDEX(properties!A$1:CB$87,'Fórmula'!H19,54))+(('Fórmula'!K19)/('Fórmula'!C19+'Fórmula'!E19+'Fórmula'!G19+'Fórmula'!I19+'Fórmula'!K19))*(INDEX(properties!A$1:CB$87,'Fórmula'!J19,54))</f>
        <v>773.4833333</v>
      </c>
      <c r="FI19" s="117">
        <f t="array" ref="FI19">'Fórmula'!C19*(INDEX(properties!A$1:CB$87,'Fórmula'!B19,54))+'Fórmula'!E19*(INDEX(properties!A$1:CB$87,'Fórmula'!D19,54))+'Fórmula'!G19*(INDEX(properties!A$1:CB$87,'Fórmula'!F19,54))+'Fórmula'!I19*(INDEX(properties!A$1:CB$87,'Fórmula'!H19,54))+'Fórmula'!K19*(INDEX(properties!A$1:CB$87,'Fórmula'!J19,54))</f>
        <v>4640.9</v>
      </c>
      <c r="FJ19" s="117">
        <f t="array" ref="FJ19">VARP(IF(INDEX(properties!A$1:CB$87,'Fórmula'!B19,54)&lt;&gt;"",INDEX(properties!A$1:CB$87,'Fórmula'!B19,54)),IF(INDEX(properties!A$1:CB$87,'Fórmula'!D19,54)&lt;&gt;"",INDEX(properties!A$1:CB$87,'Fórmula'!D19,54)),IF(INDEX(properties!A$1:CB$87,'Fórmula'!F19,54)&lt;&gt;"",INDEX(properties!A$1:CB$87,'Fórmula'!F19,54)),IF(INDEX(properties!A$1:CB$87,'Fórmula'!H19,54)&lt;&gt;"",INDEX(properties!A$1:CB$87,'Fórmula'!H19,54)),IF(INDEX(properties!A$1:CB$87,'Fórmula'!J19,54)&lt;&gt;"",INDEX(properties!A$1:CB$87,'Fórmula'!J19,54)))</f>
        <v>2077116.485</v>
      </c>
      <c r="FK19" s="117">
        <f t="array" ref="FK19">MAX(INDEX(properties!A$1:CB$87,'Fórmula'!B19,54),INDEX(properties!A$1:CB$87,'Fórmula'!D19,54),INDEX(properties!A$1:CB$87,'Fórmula'!F19,54),INDEX(properties!A$1:CB$87,'Fórmula'!H19,54),INDEX(properties!A$1:CB$87,'Fórmula'!J19,54))</f>
        <v>3727.15</v>
      </c>
      <c r="FL19" s="117">
        <f t="array" ref="FL19">MIN(IF(INDEX(properties!A$1:CB$87,'Fórmula'!B19,54)=0,10^6,INDEX(properties!A$1:CB$87,'Fórmula'!B19,54)),IF(INDEX(properties!A$1:CB$87,'Fórmula'!D19,54)=0,10^6,INDEX(properties!A$1:CB$87,'Fórmula'!D19,54)),IF(INDEX(properties!A$1:CB$87,'Fórmula'!F19,54)=0,10^6,INDEX(properties!A$1:CB$87,'Fórmula'!F19,54)),IF(INDEX(properties!A$1:CB$87,'Fórmula'!H19,54)=0,10^6,INDEX(properties!A$1:CB$87,'Fórmula'!H19,54)),IF(INDEX(properties!A$1:CB$87,'Fórmula'!J19,54)=0,10^6,INDEX(properties!A$1:CB$87,'Fórmula'!J19,54)))</f>
        <v>90.15</v>
      </c>
      <c r="FM19" s="117">
        <f t="shared" si="28"/>
        <v>3637</v>
      </c>
      <c r="FN19" s="118">
        <f t="array" ref="FN19">(('Fórmula'!C19)/('Fórmula'!C19+'Fórmula'!E19+'Fórmula'!G19+'Fórmula'!I19+'Fórmula'!K19))*(INDEX(properties!A$1:CB$87,'Fórmula'!B19,55))+(('Fórmula'!E19)/('Fórmula'!C19+'Fórmula'!E19+'Fórmula'!G19+'Fórmula'!I19+'Fórmula'!K19))*(INDEX(properties!A$1:CB$87,'Fórmula'!D19,55))+(('Fórmula'!G19)/('Fórmula'!C19+'Fórmula'!E19+'Fórmula'!G19+'Fórmula'!I19+'Fórmula'!K19))*(INDEX(properties!A$1:CB$87,'Fórmula'!F19,55))+(('Fórmula'!I19)/('Fórmula'!C19+'Fórmula'!E19+'Fórmula'!G19+'Fórmula'!I19+'Fórmula'!K19))*(INDEX(properties!A$1:CB$87,'Fórmula'!H19,55))+(('Fórmula'!K19)/('Fórmula'!C19+'Fórmula'!E19+'Fórmula'!G19+'Fórmula'!I19+'Fórmula'!K19))*(INDEX(properties!A$1:CB$87,'Fórmula'!J19,55))</f>
        <v>1.329286667</v>
      </c>
      <c r="FO19" s="118">
        <f t="array" ref="FO19">'Fórmula'!C19*(INDEX(properties!A$1:CB$87,'Fórmula'!B19,55))+'Fórmula'!E19*(INDEX(properties!A$1:CB$87,'Fórmula'!D19,54))+'Fórmula'!G19*(INDEX(properties!A$1:CB$87,'Fórmula'!F19,55))+'Fórmula'!I19*(INDEX(properties!A$1:CB$87,'Fórmula'!H19,55))+'Fórmula'!K19*(INDEX(properties!A$1:CB$87,'Fórmula'!J19,55))</f>
        <v>559.30572</v>
      </c>
      <c r="FP19" s="118">
        <f t="array" ref="FP19">VARP(IF(INDEX(properties!A$1:CB$87,'Fórmula'!B19,55)&lt;&gt;"",INDEX(properties!A$1:CB$87,'Fórmula'!B19,55)),IF(INDEX(properties!A$1:CB$87,'Fórmula'!D19,55)&lt;&gt;"",INDEX(properties!A$1:CB$87,'Fórmula'!D19,55)),IF(INDEX(properties!A$1:CB$87,'Fórmula'!F19,55)&lt;&gt;"",INDEX(properties!A$1:CB$87,'Fórmula'!F19,55)),IF(INDEX(properties!A$1:CB$87,'Fórmula'!H19,55)&lt;&gt;"",INDEX(properties!A$1:CB$87,'Fórmula'!H19,55)),IF(INDEX(properties!A$1:CB$87,'Fórmula'!J19,55)&lt;&gt;"",INDEX(properties!A$1:CB$87,'Fórmula'!J19,55)))</f>
        <v>5.685232559</v>
      </c>
      <c r="FQ19" s="118">
        <f t="array" ref="FQ19">MAX(INDEX(properties!A$1:CB$87,'Fórmula'!B19,55),INDEX(properties!A$1:CB$87,'Fórmula'!D19,55),INDEX(properties!A$1:CB$87,'Fórmula'!F19,55),INDEX(properties!A$1:CB$87,'Fórmula'!H19,55),INDEX(properties!A$1:CB$87,'Fórmula'!J19,55))</f>
        <v>6.15</v>
      </c>
      <c r="FR19" s="118">
        <f t="array" ref="FR19">MIN(IF(INDEX(properties!A$1:CB$87,'Fórmula'!B19,55)=0,10^6,INDEX(properties!A$1:CB$87,'Fórmula'!B19,55)),IF(INDEX(properties!A$1:CB$87,'Fórmula'!D19,55)=0,10^6,INDEX(properties!A$1:CB$87,'Fórmula'!D19,55)),IF(INDEX(properties!A$1:CB$87,'Fórmula'!F19,55)=0,10^6,INDEX(properties!A$1:CB$87,'Fórmula'!F19,55)),IF(INDEX(properties!A$1:CB$87,'Fórmula'!H19,55)=0,10^6,INDEX(properties!A$1:CB$87,'Fórmula'!H19,55)),IF(INDEX(properties!A$1:CB$87,'Fórmula'!J19,55)=0,10^6,INDEX(properties!A$1:CB$87,'Fórmula'!J19,55)))</f>
        <v>0.00143</v>
      </c>
      <c r="FS19" s="118">
        <f t="shared" si="29"/>
        <v>6.14857</v>
      </c>
      <c r="FT19" s="119">
        <f t="array" ref="FT19">(('Fórmula'!C19)/('Fórmula'!C19+'Fórmula'!E19+'Fórmula'!G19+'Fórmula'!I19+'Fórmula'!K19))*(INDEX(properties!A$1:CB$87,'Fórmula'!B19,56))+(('Fórmula'!E19)/('Fórmula'!C19+'Fórmula'!E19+'Fórmula'!G19+'Fórmula'!I19+'Fórmula'!K19))*(INDEX(properties!A$1:CB$87,'Fórmula'!D19,56))+(('Fórmula'!G19)/('Fórmula'!C19+'Fórmula'!E19+'Fórmula'!G19+'Fórmula'!I19+'Fórmula'!K19))*(INDEX(properties!A$1:CB$87,'Fórmula'!F19,56))+(('Fórmula'!I19)/('Fórmula'!C19+'Fórmula'!E19+'Fórmula'!G19+'Fórmula'!I19+'Fórmula'!K19))*(INDEX(properties!A$1:CB$87,'Fórmula'!H19,56))+(('Fórmula'!K19)/('Fórmula'!C19+'Fórmula'!E19+'Fórmula'!G19+'Fórmula'!I19+'Fórmula'!K19))*(INDEX(properties!A$1:CB$87,'Fórmula'!J19,56))</f>
        <v>0.7733333333</v>
      </c>
      <c r="FU19" s="119">
        <f t="array" ref="FU19">'Fórmula'!C19*(INDEX(properties!A$1:CB$87,'Fórmula'!B19,56))+'Fórmula'!E19*(INDEX(properties!A$1:CB$87,'Fórmula'!D19,56))+'Fórmula'!G19*(INDEX(properties!A$1:CB$87,'Fórmula'!F19,56))+'Fórmula'!I19*(INDEX(properties!A$1:CB$87,'Fórmula'!H19,56))+'Fórmula'!K19*(INDEX(properties!A$1:CB$87,'Fórmula'!J19,56))</f>
        <v>4.64</v>
      </c>
      <c r="FV19" s="119">
        <f t="array" ref="FV19">VARP(IF(INDEX(properties!A$1:CB$87,'Fórmula'!B19,56)&lt;&gt;"",INDEX(properties!A$1:CB$87,'Fórmula'!B19,56)),IF(INDEX(properties!A$1:CB$87,'Fórmula'!D19,56)&lt;&gt;"",INDEX(properties!A$1:CB$87,'Fórmula'!D19,56)),IF(INDEX(properties!A$1:CB$87,'Fórmula'!F19,56)&lt;&gt;"",INDEX(properties!A$1:CB$87,'Fórmula'!F19,56)),IF(INDEX(properties!A$1:CB$87,'Fórmula'!H19,56)&lt;&gt;"",INDEX(properties!A$1:CB$87,'Fórmula'!H19,56)),IF(INDEX(properties!A$1:CB$87,'Fórmula'!J19,56)&lt;&gt;"",INDEX(properties!A$1:CB$87,'Fórmula'!J19,56)))</f>
        <v>0.153704</v>
      </c>
      <c r="FW19" s="119">
        <f t="array" ref="FW19">MAX(INDEX(properties!A$1:CB$87,'Fórmula'!B19,56),INDEX(properties!A$1:CB$87,'Fórmula'!D19,56),INDEX(properties!A$1:CB$87,'Fórmula'!F19,56),INDEX(properties!A$1:CB$87,'Fórmula'!H19,56),INDEX(properties!A$1:CB$87,'Fórmula'!J19,56))</f>
        <v>0.92</v>
      </c>
      <c r="FX19" s="119">
        <f t="array" ref="FX19">MIN(IF(INDEX(properties!A$1:CB$87,'Fórmula'!B19,56)=0,10^6,INDEX(properties!A$1:CB$87,'Fórmula'!B19,56)),IF(INDEX(properties!A$1:CB$87,'Fórmula'!D19,56)=0,10^6,INDEX(properties!A$1:CB$87,'Fórmula'!D19,56)),IF(INDEX(properties!A$1:CB$87,'Fórmula'!F19,56)=0,10^6,INDEX(properties!A$1:CB$87,'Fórmula'!F19,56)),IF(INDEX(properties!A$1:CB$87,'Fórmula'!H19,56)=0,10^6,INDEX(properties!A$1:CB$87,'Fórmula'!H19,56)),IF(INDEX(properties!A$1:CB$87,'Fórmula'!J19,56)=0,10^6,INDEX(properties!A$1:CB$87,'Fórmula'!J19,56)))</f>
        <v>0.19</v>
      </c>
      <c r="FY19" s="119">
        <f t="shared" si="30"/>
        <v>0.73</v>
      </c>
      <c r="FZ19" s="104">
        <f t="array" ref="FZ19">(('Fórmula'!C19)/('Fórmula'!C19+'Fórmula'!E19+'Fórmula'!G19+'Fórmula'!I19+'Fórmula'!K19))*(INDEX(properties!A$1:CB$87,'Fórmula'!B19,57))+(('Fórmula'!E19)/('Fórmula'!C19+'Fórmula'!E19+'Fórmula'!G19+'Fórmula'!I19+'Fórmula'!K19))*(INDEX(properties!A$1:CB$87,'Fórmula'!D19,57))+(('Fórmula'!G19)/('Fórmula'!C19+'Fórmula'!E19+'Fórmula'!G19+'Fórmula'!I19+'Fórmula'!K19))*(INDEX(properties!A$1:CB$87,'Fórmula'!F19,57))+(('Fórmula'!I19)/('Fórmula'!C19+'Fórmula'!E19+'Fórmula'!G19+'Fórmula'!I19+'Fórmula'!K19))*(INDEX(properties!A$1:CB$87,'Fórmula'!H19,57))+(('Fórmula'!K19)/('Fórmula'!C19+'Fórmula'!E19+'Fórmula'!G19+'Fórmula'!I19+'Fórmula'!K19))*(INDEX(properties!A$1:CB$87,'Fórmula'!J19,57))</f>
        <v>1.291226667</v>
      </c>
      <c r="GA19" s="104">
        <f t="array" ref="GA19">'Fórmula'!C19*(INDEX(properties!A$1:CB$87,'Fórmula'!B19,57))+'Fórmula'!E19*(INDEX(properties!A$1:CB$87,'Fórmula'!D19,57))+'Fórmula'!G19*(INDEX(properties!A$1:CB$87,'Fórmula'!F19,57))+'Fórmula'!I19*(INDEX(properties!A$1:CB$87,'Fórmula'!H19,57))+'Fórmula'!K19*(INDEX(properties!A$1:CB$87,'Fórmula'!J19,57))</f>
        <v>7.74736</v>
      </c>
      <c r="GB19" s="104">
        <f t="array" ref="GB19">VARP(IF(INDEX(properties!A$1:CB$87,'Fórmula'!B19,57)&lt;&gt;"",INDEX(properties!A$1:CB$87,'Fórmula'!B19,57)),IF(INDEX(properties!A$1:CB$87,'Fórmula'!D19,57)&lt;&gt;"",INDEX(properties!A$1:CB$87,'Fórmula'!D19,57)),IF(INDEX(properties!A$1:CB$87,'Fórmula'!F19,57)&lt;&gt;"",INDEX(properties!A$1:CB$87,'Fórmula'!F19,57)),IF(INDEX(properties!A$1:CB$87,'Fórmula'!H19,57)&lt;&gt;"",INDEX(properties!A$1:CB$87,'Fórmula'!H19,57)),IF(INDEX(properties!A$1:CB$87,'Fórmula'!J19,57)&lt;&gt;"",INDEX(properties!A$1:CB$87,'Fórmula'!J19,57)))</f>
        <v>5.779415279</v>
      </c>
      <c r="GC19" s="104">
        <f t="array" ref="GC19">MAX(INDEX(properties!A$1:CB$87,'Fórmula'!B19,57),INDEX(properties!A$1:CB$87,'Fórmula'!D19,57),INDEX(properties!A$1:CB$87,'Fórmula'!F19,57),INDEX(properties!A$1:CB$87,'Fórmula'!H19,57),INDEX(properties!A$1:CB$87,'Fórmula'!J19,57))</f>
        <v>6.2</v>
      </c>
      <c r="GD19" s="104">
        <f t="array" ref="GD19">MIN(IF(INDEX(properties!A$1:CB$87,'Fórmula'!B19,57)=0,10^6,INDEX(properties!A$1:CB$87,'Fórmula'!B19,57)),IF(INDEX(properties!A$1:CB$87,'Fórmula'!D19,57)=0,10^6,INDEX(properties!A$1:CB$87,'Fórmula'!D19,57)),IF(INDEX(properties!A$1:CB$87,'Fórmula'!F19,57)=0,10^6,INDEX(properties!A$1:CB$87,'Fórmula'!F19,57)),IF(INDEX(properties!A$1:CB$87,'Fórmula'!H19,57)=0,10^6,INDEX(properties!A$1:CB$87,'Fórmula'!H19,57)),IF(INDEX(properties!A$1:CB$87,'Fórmula'!J19,57)=0,10^6,INDEX(properties!A$1:CB$87,'Fórmula'!J19,57)))</f>
        <v>0.22259</v>
      </c>
      <c r="GE19" s="104">
        <f t="shared" si="31"/>
        <v>5.97741</v>
      </c>
      <c r="GF19" s="105">
        <f t="array" ref="GF19">(('Fórmula'!C19)/('Fórmula'!C19+'Fórmula'!E19+'Fórmula'!G19+'Fórmula'!I19+'Fórmula'!K19))*(INDEX(properties!A$1:CB$87,'Fórmula'!B19,60))+(('Fórmula'!E19)/('Fórmula'!C19+'Fórmula'!E19+'Fórmula'!G19+'Fórmula'!I19+'Fórmula'!K19))*(INDEX(properties!A$1:CB$87,'Fórmula'!D19,60))+(('Fórmula'!G19)/('Fórmula'!C19+'Fórmula'!E19+'Fórmula'!G19+'Fórmula'!I19+'Fórmula'!K19))*(INDEX(properties!A$1:CB$87,'Fórmula'!F19,60))+(('Fórmula'!I19)/('Fórmula'!C19+'Fórmula'!E19+'Fórmula'!G19+'Fórmula'!I19+'Fórmula'!K19))*(INDEX(properties!A$1:CB$87,'Fórmula'!H19,60))+(('Fórmula'!K19)/('Fórmula'!C19+'Fórmula'!E19+'Fórmula'!G19+'Fórmula'!I19+'Fórmula'!K19))*(INDEX(properties!A$1:CB$87,'Fórmula'!J19,60))</f>
        <v>2.306993333</v>
      </c>
      <c r="GG19" s="105">
        <f t="array" ref="GG19">'Fórmula'!C19*(INDEX(properties!A$1:CB$87,'Fórmula'!B19,60))+'Fórmula'!E19*(INDEX(properties!A$1:CB$87,'Fórmula'!D19,60))+'Fórmula'!G19*(INDEX(properties!A$1:CB$87,'Fórmula'!F19,60))+'Fórmula'!I19*(INDEX(properties!A$1:CB$87,'Fórmula'!H19,60))+'Fórmula'!K19*(INDEX(properties!A$1:CB$87,'Fórmula'!J19,60))</f>
        <v>13.84196</v>
      </c>
      <c r="GH19" s="105">
        <f t="array" ref="GH19">VARP(IF(INDEX(properties!A$1:CB$87,'Fórmula'!B19,60)&lt;&gt;"",INDEX(properties!A$1:CB$87,'Fórmula'!B19,60)),IF(INDEX(properties!A$1:CB$87,'Fórmula'!D19,60)&lt;&gt;"",INDEX(properties!A$1:CB$87,'Fórmula'!D19,60)),IF(INDEX(properties!A$1:CB$87,'Fórmula'!F19,60)&lt;&gt;"",INDEX(properties!A$1:CB$87,'Fórmula'!F19,60)),IF(INDEX(properties!A$1:CB$87,'Fórmula'!H19,60)&lt;&gt;"",INDEX(properties!A$1:CB$87,'Fórmula'!H19,60)),IF(INDEX(properties!A$1:CB$87,'Fórmula'!J19,60)&lt;&gt;"",INDEX(properties!A$1:CB$87,'Fórmula'!J19,60)))</f>
        <v>28.88576849</v>
      </c>
      <c r="GI19" s="105">
        <f t="array" ref="GI19">MAX(INDEX(properties!A$1:CB$87,'Fórmula'!B19,60),INDEX(properties!A$1:CB$87,'Fórmula'!D19,60),INDEX(properties!A$1:CB$87,'Fórmula'!F19,60),INDEX(properties!A$1:CB$87,'Fórmula'!H19,60),INDEX(properties!A$1:CB$87,'Fórmula'!J19,60))</f>
        <v>13.5</v>
      </c>
      <c r="GJ19" s="105">
        <f t="array" ref="GJ19">MIN(IF(INDEX(properties!A$1:CB$87,'Fórmula'!B19,60)=0,10^6,INDEX(properties!A$1:CB$87,'Fórmula'!B19,60)),IF(INDEX(properties!A$1:CB$87,'Fórmula'!D19,60)=0,10^6,INDEX(properties!A$1:CB$87,'Fórmula'!D19,60)),IF(INDEX(properties!A$1:CB$87,'Fórmula'!F19,60)=0,10^6,INDEX(properties!A$1:CB$87,'Fórmula'!F19,60)),IF(INDEX(properties!A$1:CB$87,'Fórmula'!H19,60)=0,10^6,INDEX(properties!A$1:CB$87,'Fórmula'!H19,60)),IF(INDEX(properties!A$1:CB$87,'Fórmula'!J19,60)=0,10^6,INDEX(properties!A$1:CB$87,'Fórmula'!J19,60)))</f>
        <v>0.02674</v>
      </c>
      <c r="GK19" s="105">
        <f t="shared" si="32"/>
        <v>13.47326</v>
      </c>
      <c r="GL19" s="106">
        <f t="array" ref="GL19">(('Fórmula'!C19)/('Fórmula'!C19+'Fórmula'!E19+'Fórmula'!G19+'Fórmula'!I19+'Fórmula'!K19))*(INDEX(properties!A$1:CB$87,'Fórmula'!B19,62))+(('Fórmula'!E19)/('Fórmula'!C19+'Fórmula'!E19+'Fórmula'!G19+'Fórmula'!I19+'Fórmula'!K19))*(INDEX(properties!A$1:CB$87,'Fórmula'!D19,62))+(('Fórmula'!G19)/('Fórmula'!C19+'Fórmula'!E19+'Fórmula'!G19+'Fórmula'!I19+'Fórmula'!K19))*(INDEX(properties!A$1:CB$87,'Fórmula'!F19,62))+(('Fórmula'!I19)/('Fórmula'!C19+'Fórmula'!E19+'Fórmula'!G19+'Fórmula'!I19+'Fórmula'!K19))*(INDEX(properties!A$1:CB$87,'Fórmula'!H19,62))+(('Fórmula'!K19)/('Fórmula'!C19+'Fórmula'!E19+'Fórmula'!G19+'Fórmula'!I19+'Fórmula'!K19))*(INDEX(properties!A$1:CB$87,'Fórmula'!J19,62))</f>
        <v>3.063333333</v>
      </c>
      <c r="GM19" s="106">
        <f t="array" ref="GM19">'Fórmula'!C19*(INDEX(properties!A$1:CB$87,'Fórmula'!B19,62))+'Fórmula'!E19*(INDEX(properties!A$1:CB$87,'Fórmula'!D19,62))+'Fórmula'!G19*(INDEX(properties!A$1:CB$87,'Fórmula'!F19,62))+'Fórmula'!I19*(INDEX(properties!A$1:CB$87,'Fórmula'!H19,62))+'Fórmula'!K19*(INDEX(properties!A$1:CB$87,'Fórmula'!J19,62))</f>
        <v>18.38</v>
      </c>
      <c r="GN19" s="106">
        <f t="array" ref="GN19">VARP(IF(INDEX(properties!A$1:CB$87,'Fórmula'!B19,62)&lt;&gt;"",INDEX(properties!A$1:CB$87,'Fórmula'!B19,62)),IF(INDEX(properties!A$1:CB$87,'Fórmula'!D19,62)&lt;&gt;"",INDEX(properties!A$1:CB$87,'Fórmula'!D19,62)),IF(INDEX(properties!A$1:CB$87,'Fórmula'!F19,62)&lt;&gt;"",INDEX(properties!A$1:CB$87,'Fórmula'!F19,62)),IF(INDEX(properties!A$1:CB$87,'Fórmula'!H19,62)&lt;&gt;"",INDEX(properties!A$1:CB$87,'Fórmula'!H19,62)),IF(INDEX(properties!A$1:CB$87,'Fórmula'!J19,62)&lt;&gt;"",INDEX(properties!A$1:CB$87,'Fórmula'!J19,62)))</f>
        <v>3.295224</v>
      </c>
      <c r="GO19" s="106">
        <f t="array" ref="GO19">MAX(INDEX(properties!A$1:CB$87,'Fórmula'!B19,62),INDEX(properties!A$1:CB$87,'Fórmula'!D19,62),INDEX(properties!A$1:CB$87,'Fórmula'!F19,62),INDEX(properties!A$1:CB$87,'Fórmula'!H19,62),INDEX(properties!A$1:CB$87,'Fórmula'!J19,62))</f>
        <v>4.47</v>
      </c>
      <c r="GP19" s="106">
        <f t="array" ref="GP19">MIN(IF(INDEX(properties!A$1:CB$87,'Fórmula'!B19,62)=0,10^6,INDEX(properties!A$1:CB$87,'Fórmula'!B19,62)),IF(INDEX(properties!A$1:CB$87,'Fórmula'!D19,62)=0,10^6,INDEX(properties!A$1:CB$87,'Fórmula'!D19,62)),IF(INDEX(properties!A$1:CB$87,'Fórmula'!F19,62)=0,10^6,INDEX(properties!A$1:CB$87,'Fórmula'!F19,62)),IF(INDEX(properties!A$1:CB$87,'Fórmula'!H19,62)=0,10^6,INDEX(properties!A$1:CB$87,'Fórmula'!H19,62)),IF(INDEX(properties!A$1:CB$87,'Fórmula'!J19,62)=0,10^6,INDEX(properties!A$1:CB$87,'Fórmula'!J19,62)))</f>
        <v>2.62</v>
      </c>
      <c r="GQ19" s="106">
        <f t="shared" si="33"/>
        <v>1.85</v>
      </c>
      <c r="GR19" s="106">
        <f>'Fórmula'!Q19</f>
        <v>14</v>
      </c>
      <c r="GS19" s="107">
        <f>'Fórmula'!P19</f>
        <v>6</v>
      </c>
      <c r="GT19" s="113">
        <f>'Fórmula'!O19</f>
        <v>5.08</v>
      </c>
      <c r="GU19" s="114">
        <f>AVERAGE('Fórmula'!R19/'Fórmula'!S19,'Fórmula'!S19/'Fórmula'!T19,'Fórmula'!T19/'Fórmula'!R19)</f>
        <v>1.000740249</v>
      </c>
      <c r="GV19" s="125">
        <f>'Fórmula'!U19</f>
        <v>305.92</v>
      </c>
      <c r="GW19" s="106">
        <f>'Fórmula'!N19</f>
        <v>0.09</v>
      </c>
    </row>
    <row r="20" ht="14.25" customHeight="1">
      <c r="A20" s="99" t="str">
        <f>'Fórmula'!A20</f>
        <v>CaLaAl3O7</v>
      </c>
      <c r="B20" s="100">
        <f t="array" ref="B20">(('Fórmula'!C20)/('Fórmula'!C20+'Fórmula'!E20+'Fórmula'!G20+'Fórmula'!I20+'Fórmula'!K20))*(INDEX(properties!A$1:CB$87,'Fórmula'!B20,3))+(('Fórmula'!E20)/('Fórmula'!C20+'Fórmula'!E20+'Fórmula'!G20+'Fórmula'!I20+'Fórmula'!K20))*(INDEX(properties!A$1:CB$87,'Fórmula'!D20,3))+(('Fórmula'!G20)/('Fórmula'!C20+'Fórmula'!E20+'Fórmula'!G20+'Fórmula'!I20+'Fórmula'!K20))*(INDEX(properties!A$1:CB$87,'Fórmula'!F20,3))+(('Fórmula'!I20)/('Fórmula'!C20+'Fórmula'!E20+'Fórmula'!G20+'Fórmula'!I20+'Fórmula'!K20))*(INDEX(properties!A$1:CB$87,'Fórmula'!H20,3))+(('Fórmula'!K20)/('Fórmula'!C20+'Fórmula'!E20+'Fórmula'!G20+'Fórmula'!I20+'Fórmula'!K20))*(INDEX(properties!A$1:CB$87,'Fórmula'!J20,3))</f>
        <v>30.99365975</v>
      </c>
      <c r="C20" s="101">
        <f t="array" ref="C20">'Fórmula'!C20*(INDEX(properties!A$1:CB$87,'Fórmula'!B20,3))+'Fórmula'!E20*(INDEX(properties!A$1:CB$87,'Fórmula'!D20,3))+'Fórmula'!G20*(INDEX(properties!A$1:CB$87,'Fórmula'!F20,3))+'Fórmula'!I20*(INDEX(properties!A$1:CB$87,'Fórmula'!H20,3))+'Fórmula'!K20*(INDEX(properties!A$1:CB$87,'Fórmula'!J20,3))</f>
        <v>371.923917</v>
      </c>
      <c r="D20" s="101">
        <f t="array" ref="D20">VARP(IF(INDEX(properties!A$1:CB$87,'Fórmula'!B20,3)&lt;&gt;"",INDEX(properties!A$1:CB$87,'Fórmula'!B20,3)),IF(INDEX(properties!A$1:CB$87,'Fórmula'!D20,3)&lt;&gt;"",INDEX(properties!A$1:CB$87,'Fórmula'!D20,3)),IF(INDEX(properties!A$1:CB$87,'Fórmula'!F20,3)&lt;&gt;"",INDEX(properties!A$1:CB$87,'Fórmula'!F20,3)),IF(INDEX(properties!A$1:CB$87,'Fórmula'!H20,3)&lt;&gt;"",INDEX(properties!A$1:CB$87,'Fórmula'!H20,3)),IF(INDEX(properties!A$1:CB$87,'Fórmula'!J20,3)&lt;&gt;"",INDEX(properties!A$1:CB$87,'Fórmula'!J20,3)))</f>
        <v>2406.265165</v>
      </c>
      <c r="E20" s="101">
        <f t="array" ref="E20">MAX(INDEX(properties!A$1:CB$87,'Fórmula'!B20,3),INDEX(properties!A$1:CB$87,'Fórmula'!D20,3),INDEX(properties!A$1:CB$87,'Fórmula'!F20,3),INDEX(properties!A$1:CB$87,'Fórmula'!H20,3),INDEX(properties!A$1:CB$87,'Fórmula'!J20,3))</f>
        <v>138.9055</v>
      </c>
      <c r="F20" s="101">
        <f t="array" ref="F20">MIN(IF(INDEX(properties!A$1:CB$87,'Fórmula'!B20,3)=0,10^6,INDEX(properties!A$1:CB$87,'Fórmula'!B20,3)),IF(INDEX(properties!A$1:CB$87,'Fórmula'!D20,3)=0,10^6,INDEX(properties!A$1:CB$87,'Fórmula'!D20,3)),IF(INDEX(properties!A$1:CB$87,'Fórmula'!F20,3)=0,10^6,INDEX(properties!A$1:CB$87,'Fórmula'!F20,3)),IF(INDEX(properties!A$1:CB$87,'Fórmula'!H20,3)=0,10^6,INDEX(properties!A$1:CB$87,'Fórmula'!H20,3)),IF(INDEX(properties!A$1:CB$87,'Fórmula'!J20,3)=0,10^6,INDEX(properties!A$1:CB$87,'Fórmula'!J20,3)))</f>
        <v>15.9994</v>
      </c>
      <c r="G20" s="101">
        <f t="shared" si="1"/>
        <v>122.9061</v>
      </c>
      <c r="H20" s="102">
        <f t="array" ref="H20">(('Fórmula'!C20)/('Fórmula'!C20+'Fórmula'!E20+'Fórmula'!G20+'Fórmula'!I20+'Fórmula'!K20))*(INDEX(properties!A$1:CB$87,'Fórmula'!B20,4))+(('Fórmula'!E20)/('Fórmula'!C20+'Fórmula'!E20+'Fórmula'!G20+'Fórmula'!I20+'Fórmula'!K20))*(INDEX(properties!A$1:CB$87,'Fórmula'!D20,4))+(('Fórmula'!G20)/('Fórmula'!C20+'Fórmula'!E20+'Fórmula'!G20+'Fórmula'!I20+'Fórmula'!K20))*(INDEX(properties!A$1:CB$87,'Fórmula'!F20,4))+(('Fórmula'!I20)/('Fórmula'!C20+'Fórmula'!E20+'Fórmula'!G20+'Fórmula'!I20+'Fórmula'!K20))*(INDEX(properties!A$1:CB$87,'Fórmula'!H20,4))+(('Fórmula'!K20)/('Fórmula'!C20+'Fórmula'!E20+'Fórmula'!G20+'Fórmula'!I20+'Fórmula'!K20))*(INDEX(properties!A$1:CB$87,'Fórmula'!J20,4))</f>
        <v>14.33333333</v>
      </c>
      <c r="I20" s="102">
        <f t="array" ref="I20">'Fórmula'!C20*(INDEX(properties!A$1:CB$87,'Fórmula'!B20,4))+'Fórmula'!E20*(INDEX(properties!A$1:CB$87,'Fórmula'!D20,4))+'Fórmula'!G20*(INDEX(properties!A$1:CB$87,'Fórmula'!F20,4))+'Fórmula'!I20*(INDEX(properties!A$1:CB$87,'Fórmula'!H20,4))+'Fórmula'!K20*(INDEX(properties!A$1:CB$87,'Fórmula'!J20,4))</f>
        <v>172</v>
      </c>
      <c r="J20" s="102">
        <f t="array" ref="J20">VARP(IF(INDEX(properties!A$1:CB$87,'Fórmula'!B20,4)&lt;&gt;"",INDEX(properties!A$1:CB$87,'Fórmula'!B20,4)),IF(INDEX(properties!A$1:CB$87,'Fórmula'!D20,4)&lt;&gt;"",INDEX(properties!A$1:CB$87,'Fórmula'!D20,4)),IF(INDEX(properties!A$1:CB$87,'Fórmula'!F20,4)&lt;&gt;"",INDEX(properties!A$1:CB$87,'Fórmula'!F20,4)),IF(INDEX(properties!A$1:CB$87,'Fórmula'!H20,4)&lt;&gt;"",INDEX(properties!A$1:CB$87,'Fórmula'!H20,4)),IF(INDEX(properties!A$1:CB$87,'Fórmula'!J20,4)&lt;&gt;"",INDEX(properties!A$1:CB$87,'Fórmula'!J20,4)))</f>
        <v>392.24</v>
      </c>
      <c r="K20" s="102">
        <f t="array" ref="K20">MAX(INDEX(properties!A$1:CB$87,'Fórmula'!B20,4),INDEX(properties!A$1:CB$87,'Fórmula'!D20,4),INDEX(properties!A$1:CB$87,'Fórmula'!F20,4),INDEX(properties!A$1:CB$87,'Fórmula'!H20,4),INDEX(properties!A$1:CB$87,'Fórmula'!J20,4))</f>
        <v>57</v>
      </c>
      <c r="L20" s="102">
        <f t="array" ref="L20">MIN(IF(INDEX(properties!A$1:CB$87,'Fórmula'!B20,4)=0,10^6,INDEX(properties!A$1:CB$87,'Fórmula'!B20,4)),IF(INDEX(properties!A$1:CB$87,'Fórmula'!D20,4)=0,10^6,INDEX(properties!A$1:CB$87,'Fórmula'!D20,4)),IF(INDEX(properties!A$1:CB$87,'Fórmula'!F20,4)=0,10^6,INDEX(properties!A$1:CB$87,'Fórmula'!F20,4)),IF(INDEX(properties!A$1:CB$87,'Fórmula'!H20,4)=0,10^6,INDEX(properties!A$1:CB$87,'Fórmula'!H20,4)),IF(INDEX(properties!A$1:CB$87,'Fórmula'!J20,4)=0,10^6,INDEX(properties!A$1:CB$87,'Fórmula'!J20,4)))</f>
        <v>8</v>
      </c>
      <c r="M20" s="102">
        <f t="shared" si="2"/>
        <v>49</v>
      </c>
      <c r="N20" s="103">
        <f t="array" ref="N20">(('Fórmula'!C20)/('Fórmula'!C20+'Fórmula'!E20+'Fórmula'!G20+'Fórmula'!I20+'Fórmula'!K20))*(INDEX(properties!A$1:CB$87,'Fórmula'!B20,5))+(('Fórmula'!E20)/('Fórmula'!C20+'Fórmula'!E20+'Fórmula'!G20+'Fórmula'!I20+'Fórmula'!K20))*(INDEX(properties!A$1:CB$87,'Fórmula'!D20,5))+(('Fórmula'!G20)/('Fórmula'!C20+'Fórmula'!E20+'Fórmula'!G20+'Fórmula'!I20+'Fórmula'!K20))*(INDEX(properties!A$1:CB$87,'Fórmula'!F20,5))+(('Fórmula'!I20)/('Fórmula'!C20+'Fórmula'!E20+'Fórmula'!G20+'Fórmula'!I20+'Fórmula'!K20))*(INDEX(properties!A$1:CB$87,'Fórmula'!H20,5))+(('Fórmula'!K20)/('Fórmula'!C20+'Fórmula'!E20+'Fórmula'!G20+'Fórmula'!I20+'Fórmula'!K20))*(INDEX(properties!A$1:CB$87,'Fórmula'!J20,5))</f>
        <v>2.75</v>
      </c>
      <c r="O20" s="103">
        <f t="array" ref="O20">'Fórmula'!C20*(INDEX(properties!A$1:CB$87,'Fórmula'!B20,5))+'Fórmula'!E20*(INDEX(properties!A$1:CB$87,'Fórmula'!D20,5))+'Fórmula'!G20*(INDEX(properties!A$1:CB$87,'Fórmula'!F20,5))+'Fórmula'!I20*(INDEX(properties!A$1:CB$87,'Fórmula'!H20,5))+'Fórmula'!K20*(INDEX(properties!A$1:CB$87,'Fórmula'!J20,5))</f>
        <v>33</v>
      </c>
      <c r="P20" s="103">
        <f t="array" ref="P20">VARP(IF(INDEX(properties!A$1:CB$87,'Fórmula'!B20,5)&lt;&gt;"",INDEX(properties!A$1:CB$87,'Fórmula'!B20,5)),IF(INDEX(properties!A$1:CB$87,'Fórmula'!D20,5)&lt;&gt;"",INDEX(properties!A$1:CB$87,'Fórmula'!D20,5)),IF(INDEX(properties!A$1:CB$87,'Fórmula'!F20,5)&lt;&gt;"",INDEX(properties!A$1:CB$87,'Fórmula'!F20,5)),IF(INDEX(properties!A$1:CB$87,'Fórmula'!H20,5)&lt;&gt;"",INDEX(properties!A$1:CB$87,'Fórmula'!H20,5)),IF(INDEX(properties!A$1:CB$87,'Fórmula'!J20,5)&lt;&gt;"",INDEX(properties!A$1:CB$87,'Fórmula'!J20,5)))</f>
        <v>4</v>
      </c>
      <c r="Q20" s="103">
        <f t="array" ref="Q20">MAX(INDEX(properties!A$1:CB$87,'Fórmula'!B20,5),INDEX(properties!A$1:CB$87,'Fórmula'!D20,5),INDEX(properties!A$1:CB$87,'Fórmula'!F20,5),INDEX(properties!A$1:CB$87,'Fórmula'!H20,5),INDEX(properties!A$1:CB$87,'Fórmula'!J20,5))</f>
        <v>6</v>
      </c>
      <c r="R20" s="103">
        <f t="array" ref="R20">MIN(IF(INDEX(properties!A$1:CB$87,'Fórmula'!B20,5)=0,10^6,INDEX(properties!A$1:CB$87,'Fórmula'!B20,5)),IF(INDEX(properties!A$1:CB$87,'Fórmula'!D20,5)=0,10^6,INDEX(properties!A$1:CB$87,'Fórmula'!D20,5)),IF(INDEX(properties!A$1:CB$87,'Fórmula'!F20,5)=0,10^6,INDEX(properties!A$1:CB$87,'Fórmula'!F20,5)),IF(INDEX(properties!A$1:CB$87,'Fórmula'!H20,5)=0,10^6,INDEX(properties!A$1:CB$87,'Fórmula'!H20,5)),IF(INDEX(properties!A$1:CB$87,'Fórmula'!J20,5)=0,10^6,INDEX(properties!A$1:CB$87,'Fórmula'!J20,5)))</f>
        <v>2</v>
      </c>
      <c r="S20" s="103">
        <f t="shared" si="3"/>
        <v>4</v>
      </c>
      <c r="T20" s="104">
        <f t="array" ref="T20">(('Fórmula'!C20)/('Fórmula'!C20+'Fórmula'!E20+'Fórmula'!G20+'Fórmula'!I20+'Fórmula'!K20))*(INDEX(properties!A$1:CB$87,'Fórmula'!B20,6))+(('Fórmula'!E20)/('Fórmula'!C20+'Fórmula'!E20+'Fórmula'!G20+'Fórmula'!I20+'Fórmula'!K20))*(INDEX(properties!A$1:CB$87,'Fórmula'!D20,6))+(('Fórmula'!G20)/('Fórmula'!C20+'Fórmula'!E20+'Fórmula'!G20+'Fórmula'!I20+'Fórmula'!K20))*(INDEX(properties!A$1:CB$87,'Fórmula'!F20,6))+(('Fórmula'!I20)/('Fórmula'!C20+'Fórmula'!E20+'Fórmula'!G20+'Fórmula'!I20+'Fórmula'!K20))*(INDEX(properties!A$1:CB$87,'Fórmula'!H20,6))+(('Fórmula'!K20)/('Fórmula'!C20+'Fórmula'!E20+'Fórmula'!G20+'Fórmula'!I20+'Fórmula'!K20))*(INDEX(properties!A$1:CB$87,'Fórmula'!J20,6))</f>
        <v>13</v>
      </c>
      <c r="U20" s="104">
        <f t="array" ref="U20">'Fórmula'!C20*(INDEX(properties!A$1:CB$87,'Fórmula'!B20,6))+'Fórmula'!E20*(INDEX(properties!A$1:CB$87,'Fórmula'!D20,6))+'Fórmula'!G20*(INDEX(properties!A$1:CB$87,'Fórmula'!F20,6))+'Fórmula'!I20*(INDEX(properties!A$1:CB$87,'Fórmula'!H20,6))+'Fórmula'!K20*(INDEX(properties!A$1:CB$87,'Fórmula'!J20,6))</f>
        <v>156</v>
      </c>
      <c r="V20" s="103">
        <f t="array" ref="V20">VARP(IF(INDEX(properties!A$1:CB$87,'Fórmula'!B20,6)&lt;&gt;"",INDEX(properties!A$1:CB$87,'Fórmula'!B20,6)),IF(INDEX(properties!A$1:CB$87,'Fórmula'!D20,6)&lt;&gt;"",INDEX(properties!A$1:CB$87,'Fórmula'!D20,6)),IF(INDEX(properties!A$1:CB$87,'Fórmula'!F20,6)&lt;&gt;"",INDEX(properties!A$1:CB$87,'Fórmula'!F20,6)),IF(INDEX(properties!A$1:CB$87,'Fórmula'!H20,6)&lt;&gt;"",INDEX(properties!A$1:CB$87,'Fórmula'!H20,6)),IF(INDEX(properties!A$1:CB$87,'Fórmula'!J20,6)&lt;&gt;"",INDEX(properties!A$1:CB$87,'Fórmula'!J20,6)))</f>
        <v>41.36</v>
      </c>
      <c r="W20" s="104">
        <f t="array" ref="W20">MAX(INDEX(properties!A$1:CB$87,'Fórmula'!B20,6),INDEX(properties!A$1:CB$87,'Fórmula'!D20,6),INDEX(properties!A$1:CB$87,'Fórmula'!F20,6),INDEX(properties!A$1:CB$87,'Fórmula'!H20,4),INDEX(properties!A$1:CB$87,'Fórmula'!J20,6))</f>
        <v>13</v>
      </c>
      <c r="X20" s="104">
        <f t="array" ref="X20">MIN(IF(INDEX(properties!A$1:CB$87,'Fórmula'!B20,6)=0,10^6,INDEX(properties!A$1:CB$87,'Fórmula'!B20,6)),IF(INDEX(properties!A$1:CB$87,'Fórmula'!D20,6)=0,10^6,INDEX(properties!A$1:CB$87,'Fórmula'!D20,6)),IF(INDEX(properties!A$1:CB$87,'Fórmula'!F20,6)=0,10^6,INDEX(properties!A$1:CB$87,'Fórmula'!F20,6)),IF(INDEX(properties!A$1:CB$87,'Fórmula'!H20,6)=0,10^6,INDEX(properties!A$1:CB$87,'Fórmula'!H20,6)),IF(INDEX(properties!A$1:CB$87,'Fórmula'!J20,6)=0,10^6,INDEX(properties!A$1:CB$87,'Fórmula'!J20,6)))</f>
        <v>2</v>
      </c>
      <c r="Y20" s="104">
        <f t="shared" si="4"/>
        <v>11</v>
      </c>
      <c r="Z20" s="105">
        <f t="array" ref="Z20">(('Fórmula'!C20)/('Fórmula'!C20+'Fórmula'!E20+'Fórmula'!G20+'Fórmula'!I20+'Fórmula'!K20))*(INDEX(properties!A$1:CB$87,'Fórmula'!B20,9))+(('Fórmula'!E20)/('Fórmula'!C20+'Fórmula'!E20+'Fórmula'!G20+'Fórmula'!I20+'Fórmula'!K20))*(INDEX(properties!A$1:CB$87,'Fórmula'!D20,9))+(('Fórmula'!G20)/('Fórmula'!C20+'Fórmula'!E20+'Fórmula'!G20+'Fórmula'!I20+'Fórmula'!K20))*(INDEX(properties!A$1:CB$87,'Fórmula'!F20,9))+(('Fórmula'!I20)/('Fórmula'!C20+'Fórmula'!E20+'Fórmula'!G20+'Fórmula'!I20+'Fórmula'!K20))*(INDEX(properties!A$1:CB$87,'Fórmula'!H20,9))+(('Fórmula'!K20)/('Fórmula'!C20+'Fórmula'!E20+'Fórmula'!G20+'Fórmula'!I20+'Fórmula'!K20))*(INDEX(properties!A$1:CB$87,'Fórmula'!J20,9))</f>
        <v>70.66666667</v>
      </c>
      <c r="AA20" s="105">
        <f t="array" ref="AA20">'Fórmula'!C20*(INDEX(properties!A$1:CB$87,'Fórmula'!B20,9))+'Fórmula'!E20*(INDEX(properties!A$1:CB$87,'Fórmula'!D20,9))+'Fórmula'!G20*(INDEX(properties!A$1:CB$87,'Fórmula'!F20,9))+'Fórmula'!I20*(INDEX(properties!A$1:CB$87,'Fórmula'!H20,9))+'Fórmula'!K20*(INDEX(properties!A$1:CB$87,'Fórmula'!J20,9))</f>
        <v>848</v>
      </c>
      <c r="AB20" s="105">
        <f t="array" ref="AB20">VARP(IF(INDEX(properties!A$1:CB$87,'Fórmula'!B20,9)&lt;&gt;"",INDEX(properties!A$1:CB$87,'Fórmula'!B20,9)),IF(INDEX(properties!A$1:CB$87,'Fórmula'!D20,9)&lt;&gt;"",INDEX(properties!A$1:CB$87,'Fórmula'!D20,9)),IF(INDEX(properties!A$1:CB$87,'Fórmula'!F20,9)&lt;&gt;"",INDEX(properties!A$1:CB$87,'Fórmula'!F20,9)),IF(INDEX(properties!A$1:CB$87,'Fórmula'!H20,9)&lt;&gt;"",INDEX(properties!A$1:CB$87,'Fórmula'!H20,9)),IF(INDEX(properties!A$1:CB$87,'Fórmula'!J20,9)&lt;&gt;"",INDEX(properties!A$1:CB$87,'Fórmula'!J20,9)))</f>
        <v>1327.2</v>
      </c>
      <c r="AC20" s="105">
        <f t="array" ref="AC20">MAX(INDEX(properties!A$1:CB$87,'Fórmula'!B20,9),INDEX(properties!A$1:CB$87,'Fórmula'!D20,9),INDEX(properties!A$1:CB$87,'Fórmula'!F20,9),INDEX(properties!A$1:CB$87,'Fórmula'!H20,9),INDEX(properties!A$1:CB$87,'Fórmula'!J20,9))</f>
        <v>87</v>
      </c>
      <c r="AD20" s="105">
        <f t="array" ref="AD20">MIN(IF(INDEX(properties!A$1:CB$87,'Fórmula'!B20,9)=0,10^6,INDEX(properties!A$1:CB$87,'Fórmula'!B20,9)),IF(INDEX(properties!A$1:CB$87,'Fórmula'!D20,9)=0,10^6,INDEX(properties!A$1:CB$87,'Fórmula'!D20,9)),IF(INDEX(properties!A$1:CB$87,'Fórmula'!F20,9)=0,10^6,INDEX(properties!A$1:CB$87,'Fórmula'!F20,9)),IF(INDEX(properties!A$1:CB$87,'Fórmula'!H20,9)=0,10^6,INDEX(properties!A$1:CB$87,'Fórmula'!H20,9)),IF(INDEX(properties!A$1:CB$87,'Fórmula'!J20,9)=0,10^6,INDEX(properties!A$1:CB$87,'Fórmula'!J20,9)))</f>
        <v>7</v>
      </c>
      <c r="AE20" s="105">
        <f t="shared" si="5"/>
        <v>80</v>
      </c>
      <c r="AF20" s="106">
        <f t="array" ref="AF20">(('Fórmula'!C20)/('Fórmula'!C20+'Fórmula'!E20+'Fórmula'!G20+'Fórmula'!I20+'Fórmula'!K20))*(INDEX(properties!A$1:CB$87,'Fórmula'!B20,10))+(('Fórmula'!E20)/('Fórmula'!C20+'Fórmula'!E20+'Fórmula'!G20+'Fórmula'!I20+'Fórmula'!K20))*(INDEX(properties!A$1:CB$87,'Fórmula'!D20,10))+(('Fórmula'!G20)/('Fórmula'!C20+'Fórmula'!E20+'Fórmula'!G20+'Fórmula'!I20+'Fórmula'!K20))*(INDEX(properties!A$1:CB$87,'Fórmula'!F20,10))+(('Fórmula'!I20)/('Fórmula'!C20+'Fórmula'!E20+'Fórmula'!G20+'Fórmula'!I20+'Fórmula'!K20))*(INDEX(properties!A$1:CB$87,'Fórmula'!H20,10))+(('Fórmula'!K20)/('Fórmula'!C20+'Fórmula'!E20+'Fórmula'!G20+'Fórmula'!I20+'Fórmula'!K20))*(INDEX(properties!A$1:CB$87,'Fórmula'!J20,10))</f>
        <v>5.75</v>
      </c>
      <c r="AG20" s="106">
        <f t="array" ref="AG20">'Fórmula'!C20*(INDEX(properties!A$1:CB$87,'Fórmula'!B20,10))+'Fórmula'!E20*(INDEX(properties!A$1:CB$87,'Fórmula'!D20,10))+'Fórmula'!G20*(INDEX(properties!A$1:CB$87,'Fórmula'!F20,10))+'Fórmula'!I20*(INDEX(properties!A$1:CB$87,'Fórmula'!H20,10))+'Fórmula'!K20*(INDEX(properties!A$1:CB$87,'Fórmula'!J20,10))</f>
        <v>69</v>
      </c>
      <c r="AH20" s="106">
        <f t="array" ref="AH20">VARP(IF(INDEX(properties!A$1:CB$87,'Fórmula'!B20,10)&lt;&gt;"",INDEX(properties!A$1:CB$87,'Fórmula'!B20,10)),IF(INDEX(properties!A$1:CB$87,'Fórmula'!D20,10)&lt;&gt;"",INDEX(properties!A$1:CB$87,'Fórmula'!D20,10)),IF(INDEX(properties!A$1:CB$87,'Fórmula'!F20,10)&lt;&gt;"",INDEX(properties!A$1:CB$87,'Fórmula'!F20,10)),IF(INDEX(properties!A$1:CB$87,'Fórmula'!H20,10)&lt;&gt;"",INDEX(properties!A$1:CB$87,'Fórmula'!H20,10)),IF(INDEX(properties!A$1:CB$87,'Fórmula'!J20,10)&lt;&gt;"",INDEX(properties!A$1:CB$87,'Fórmula'!J20,10)))</f>
        <v>5.84</v>
      </c>
      <c r="AI20" s="106">
        <f t="array" ref="AI20">MAX(INDEX(properties!A$1:CB$87,'Fórmula'!B20,10),INDEX(properties!A$1:CB$87,'Fórmula'!D20,10),INDEX(properties!A$1:CB$87,'Fórmula'!F20,10),INDEX(properties!A$1:CB$87,'Fórmula'!H20,10),INDEX(properties!A$1:CB$87,'Fórmula'!J20,10))</f>
        <v>7</v>
      </c>
      <c r="AJ20" s="106">
        <f t="array" ref="AJ20">MIN(IF(INDEX(properties!A$1:CB$87,'Fórmula'!B20,10)=0,10^6,INDEX(properties!A$1:CB$87,'Fórmula'!B20,10)),IF(INDEX(properties!A$1:CB$87,'Fórmula'!D20,10)=0,10^6,INDEX(properties!A$1:CB$87,'Fórmula'!D20,10)),IF(INDEX(properties!A$1:CB$87,'Fórmula'!F20,10)=0,10^6,INDEX(properties!A$1:CB$87,'Fórmula'!F20,10)),IF(INDEX(properties!A$1:CB$87,'Fórmula'!H20,10)=0,10^6,INDEX(properties!A$1:CB$87,'Fórmula'!H20,10)),IF(INDEX(properties!A$1:CB$87,'Fórmula'!J20,10)=0,10^6,INDEX(properties!A$1:CB$87,'Fórmula'!J20,10)))</f>
        <v>2</v>
      </c>
      <c r="AK20" s="106">
        <f t="shared" si="6"/>
        <v>5</v>
      </c>
      <c r="AL20" s="107">
        <f t="array" ref="AL20">(('Fórmula'!C20)/('Fórmula'!C20+'Fórmula'!E20+'Fórmula'!G20+'Fórmula'!I20+'Fórmula'!K20))*(INDEX(properties!A$1:CB$87,'Fórmula'!B20,11))+(('Fórmula'!E20)/('Fórmula'!C20+'Fórmula'!E20+'Fórmula'!G20+'Fórmula'!I20+'Fórmula'!K20))*(INDEX(properties!A$1:CB$87,'Fórmula'!D20,11))+(('Fórmula'!G20)/('Fórmula'!C20+'Fórmula'!E20+'Fórmula'!G20+'Fórmula'!I20+'Fórmula'!K20))*(INDEX(properties!A$1:CB$87,'Fórmula'!F20,11))+(('Fórmula'!I20)/('Fórmula'!C20+'Fórmula'!E20+'Fórmula'!G20+'Fórmula'!I20+'Fórmula'!K20))*(INDEX(properties!A$1:CB$87,'Fórmula'!H20,11))+(('Fórmula'!K20)/('Fórmula'!C20+'Fórmula'!E20+'Fórmula'!G20+'Fórmula'!I20+'Fórmula'!K20))*(INDEX(properties!A$1:CB$87,'Fórmula'!J20,11))</f>
        <v>2</v>
      </c>
      <c r="AM20" s="107">
        <f t="array" ref="AM20">'Fórmula'!C20*(INDEX(properties!A$1:CB$87,'Fórmula'!B20,11))+'Fórmula'!E20*(INDEX(properties!A$1:CB$87,'Fórmula'!D20,11))+'Fórmula'!G20*(INDEX(properties!A$1:CB$87,'Fórmula'!F20,11))+'Fórmula'!I20*(INDEX(properties!A$1:CB$87,'Fórmula'!H20,11))+'Fórmula'!K20*(INDEX(properties!A$1:CB$87,'Fórmula'!J20,11))</f>
        <v>24</v>
      </c>
      <c r="AN20" s="107">
        <f t="array" ref="AN20">VARP(IF(INDEX(properties!A$1:CB$87,'Fórmula'!B20,11)&lt;&gt;"",INDEX(properties!A$1:CB$87,'Fórmula'!B20,11)),IF(INDEX(properties!A$1:CB$87,'Fórmula'!D20,11)&lt;&gt;"",INDEX(properties!A$1:CB$87,'Fórmula'!D20,11)),IF(INDEX(properties!A$1:CB$87,'Fórmula'!F20,11)&lt;&gt;"",INDEX(properties!A$1:CB$87,'Fórmula'!F20,11)),IF(INDEX(properties!A$1:CB$87,'Fórmula'!H20,11)&lt;&gt;"",INDEX(properties!A$1:CB$87,'Fórmula'!H20,11)),IF(INDEX(properties!A$1:CB$87,'Fórmula'!J20,11)&lt;&gt;"",INDEX(properties!A$1:CB$87,'Fórmula'!J20,11)))</f>
        <v>0.64</v>
      </c>
      <c r="AO20" s="107">
        <f t="array" ref="AO20">MAX(INDEX(properties!A$1:CB$87,'Fórmula'!B20,11),INDEX(properties!A$1:CB$87,'Fórmula'!D20,11),INDEX(properties!A$1:CB$87,'Fórmula'!F20,11),INDEX(properties!A$1:CB$87,'Fórmula'!H20,11),INDEX(properties!A$1:CB$87,'Fórmula'!J20,11))</f>
        <v>2</v>
      </c>
      <c r="AP20" s="107">
        <f t="array" ref="AP20">MIN(IF('Fórmula'!B20=87,10^6,INDEX(properties!A$1:CB$87,'Fórmula'!B20,11)),IF(('Fórmula'!D20)=87,10^6,INDEX(properties!A$1:CB$87,'Fórmula'!D20,11)),IF(('Fórmula'!F20)=87,10^6,INDEX(properties!A$1:CB$87,'Fórmula'!F20,11)),IF(('Fórmula'!H20)=87,10^6,INDEX(properties!A$1:CB$87,'Fórmula'!H20,11)),IF('Fórmula'!J20=87,10^6,INDEX(properties!A$1:CB$87,'Fórmula'!J20,11)))</f>
        <v>2</v>
      </c>
      <c r="AQ20" s="107">
        <f t="shared" si="7"/>
        <v>0</v>
      </c>
      <c r="AR20" s="108">
        <f t="array" ref="AR20">(('Fórmula'!C20)/('Fórmula'!C20+'Fórmula'!E20+'Fórmula'!G20+'Fórmula'!I20+'Fórmula'!K20))*(INDEX(properties!A$1:CB$87,'Fórmula'!B20,12))+(('Fórmula'!E20)/('Fórmula'!C20+'Fórmula'!E20+'Fórmula'!G20+'Fórmula'!I20+'Fórmula'!K20))*(INDEX(properties!A$1:CB$87,'Fórmula'!D20,12))+(('Fórmula'!G20)/('Fórmula'!C20+'Fórmula'!E20+'Fórmula'!G20+'Fórmula'!I20+'Fórmula'!K20))*(INDEX(properties!A$1:CB$87,'Fórmula'!F20,12))+(('Fórmula'!I20)/('Fórmula'!C20+'Fórmula'!E20+'Fórmula'!G20+'Fórmula'!I20+'Fórmula'!K20))*(INDEX(properties!A$1:CB$87,'Fórmula'!H20,12))+(('Fórmula'!K20)/('Fórmula'!C20+'Fórmula'!E20+'Fórmula'!G20+'Fórmula'!I20+'Fórmula'!K20))*(INDEX(properties!A$1:CB$87,'Fórmula'!J20,12))</f>
        <v>2.583333333</v>
      </c>
      <c r="AS20" s="108">
        <f t="array" ref="AS20">'Fórmula'!C20*(INDEX(properties!A$1:CB$87,'Fórmula'!B20,12))+'Fórmula'!E20*(INDEX(properties!A$1:CB$87,'Fórmula'!D20,12))+'Fórmula'!G20*(INDEX(properties!A$1:CB$87,'Fórmula'!F20,12))+'Fórmula'!I20*(INDEX(properties!A$1:CB$87,'Fórmula'!H20,12))+'Fórmula'!K20*(INDEX(properties!A$1:CB$87,'Fórmula'!J20,12))</f>
        <v>31</v>
      </c>
      <c r="AT20" s="108">
        <f t="array" ref="AT20">VARP(IF(INDEX(properties!A$1:CB$87,'Fórmula'!B20,12)&lt;&gt;"",INDEX(properties!A$1:CB$87,'Fórmula'!B20,12)),IF(INDEX(properties!A$1:CB$87,'Fórmula'!D20,12)&lt;&gt;"",INDEX(properties!A$1:CB$87,'Fórmula'!D20,12)),IF(INDEX(properties!A$1:CB$87,'Fórmula'!F20,12)&lt;&gt;"",INDEX(properties!A$1:CB$87,'Fórmula'!F20,12)),IF(INDEX(properties!A$1:CB$87,'Fórmula'!H20,12)&lt;&gt;"",INDEX(properties!A$1:CB$87,'Fórmula'!H20,12)),IF(INDEX(properties!A$1:CB$87,'Fórmula'!J20,12)&lt;&gt;"",INDEX(properties!A$1:CB$87,'Fórmula'!J20,12)))</f>
        <v>2.4</v>
      </c>
      <c r="AU20" s="108">
        <f t="array" ref="AU20">MAX(INDEX(properties!A$1:CB$87,'Fórmula'!B20,12),INDEX(properties!A$1:CB$87,'Fórmula'!D20,12),INDEX(properties!A$1:CB$87,'Fórmula'!F20,12),INDEX(properties!A$1:CB$87,'Fórmula'!H20,12),INDEX(properties!A$1:CB$87,'Fórmula'!J20,12))</f>
        <v>4</v>
      </c>
      <c r="AV20" s="108">
        <f t="array" ref="AV20">MIN(IF('Fórmula'!B20=87,10^6,INDEX(properties!A$1:CB$87,'Fórmula'!B20,12)),IF(('Fórmula'!D20)=87,10^6,INDEX(properties!A$1:CB$87,'Fórmula'!D20,12)),IF(('Fórmula'!F20)=87,10^6,INDEX(properties!A$1:CB$87,'Fórmula'!F20,12)),IF(('Fórmula'!H20)=87,10^6,INDEX(properties!A$1:CB$87,'Fórmula'!H20,12)),IF('Fórmula'!J20=87,10^6,INDEX(properties!A$1:CB$87,'Fórmula'!J20,12)))</f>
        <v>0</v>
      </c>
      <c r="AW20" s="108">
        <f t="shared" si="8"/>
        <v>4</v>
      </c>
      <c r="AX20" s="109">
        <f t="array" ref="AX20">(('Fórmula'!C20)/('Fórmula'!C20+'Fórmula'!E20+'Fórmula'!G20+'Fórmula'!I20+'Fórmula'!K20))*(INDEX(properties!A$1:CB$87,'Fórmula'!B20,13))+(('Fórmula'!E20)/('Fórmula'!C20+'Fórmula'!E20+'Fórmula'!G20+'Fórmula'!I20+'Fórmula'!K20))*(INDEX(properties!A$1:CB$87,'Fórmula'!D20,13))+(('Fórmula'!G20)/('Fórmula'!C20+'Fórmula'!E20+'Fórmula'!G20+'Fórmula'!I20+'Fórmula'!K20))*(INDEX(properties!A$1:CB$87,'Fórmula'!F20,13))+(('Fórmula'!I20)/('Fórmula'!C20+'Fórmula'!E20+'Fórmula'!G20+'Fórmula'!I20+'Fórmula'!K20))*(INDEX(properties!A$1:CB$87,'Fórmula'!H20,13))+(('Fórmula'!K20)/('Fórmula'!C20+'Fórmula'!E20+'Fórmula'!G20+'Fórmula'!I20+'Fórmula'!K20))*(INDEX(properties!A$1:CB$87,'Fórmula'!J20,13))</f>
        <v>0.08333333333</v>
      </c>
      <c r="AY20" s="109">
        <f t="array" ref="AY20">'Fórmula'!C20*(INDEX(properties!A$1:CB$87,'Fórmula'!B20,13))+'Fórmula'!E20*(INDEX(properties!A$1:CB$87,'Fórmula'!D20,13))+'Fórmula'!G20*(INDEX(properties!A$1:CB$87,'Fórmula'!F20,13))+'Fórmula'!I20*(INDEX(properties!A$1:CB$87,'Fórmula'!H20,13))+'Fórmula'!K20*(INDEX(properties!A$1:CB$87,'Fórmula'!J20,13))</f>
        <v>1</v>
      </c>
      <c r="AZ20" s="109">
        <f t="array" ref="AZ20">VARP(IF(INDEX(properties!A$1:CB$87,'Fórmula'!B20,13)&lt;&gt;"",INDEX(properties!A$1:CB$87,'Fórmula'!B20,13)),IF(INDEX(properties!A$1:CB$87,'Fórmula'!D20,13)&lt;&gt;"",INDEX(properties!A$1:CB$87,'Fórmula'!D20,13)),IF(INDEX(properties!A$1:CB$87,'Fórmula'!F20,13)&lt;&gt;"",INDEX(properties!A$1:CB$87,'Fórmula'!F20,13)),IF(INDEX(properties!A$1:CB$87,'Fórmula'!H20,13)&lt;&gt;"",INDEX(properties!A$1:CB$87,'Fórmula'!H20,13)),IF(INDEX(properties!A$1:CB$87,'Fórmula'!J20,13)&lt;&gt;"",INDEX(properties!A$1:CB$87,'Fórmula'!J20,13)))</f>
        <v>0.16</v>
      </c>
      <c r="BA20" s="109">
        <f t="array" ref="BA20">MAX(INDEX(properties!A$1:CB$87,'Fórmula'!B20,13),INDEX(properties!A$1:CB$87,'Fórmula'!D20,13),INDEX(properties!A$1:CB$87,'Fórmula'!F20,13),INDEX(properties!A$1:CB$87,'Fórmula'!H20,13),INDEX(properties!A$1:CB$87,'Fórmula'!J20,13))</f>
        <v>1</v>
      </c>
      <c r="BB20" s="109">
        <f t="array" ref="BB20">MIN(IF('Fórmula'!B20=87,10^6,INDEX(properties!A$1:CB$87,'Fórmula'!B20,13)),IF(('Fórmula'!D20)=87,10^6,INDEX(properties!A$1:CB$87,'Fórmula'!D20,13)),IF(('Fórmula'!F20)=87,10^6,INDEX(properties!A$1:CB$87,'Fórmula'!F20,13)),IF(('Fórmula'!H20)=87,10^6,INDEX(properties!A$1:CB$87,'Fórmula'!H20,13)),IF('Fórmula'!J20=87,10^6,INDEX(properties!A$1:CB$87,'Fórmula'!J20,13)))</f>
        <v>0</v>
      </c>
      <c r="BC20" s="109">
        <f t="shared" si="9"/>
        <v>1</v>
      </c>
      <c r="BD20" s="110">
        <f t="array" ref="BD20">(('Fórmula'!C20)/('Fórmula'!C20+'Fórmula'!E20+'Fórmula'!G20+'Fórmula'!I20+'Fórmula'!K20))*(INDEX(properties!A$1:CB$87,'Fórmula'!B20,14))+(('Fórmula'!E20)/('Fórmula'!C20+'Fórmula'!E20+'Fórmula'!G20+'Fórmula'!I20+'Fórmula'!K20))*(INDEX(properties!A$1:CB$87,'Fórmula'!D20,14))+(('Fórmula'!G20)/('Fórmula'!C20+'Fórmula'!E20+'Fórmula'!G20+'Fórmula'!I20+'Fórmula'!K20))*(INDEX(properties!A$1:CB$87,'Fórmula'!F20,14))+(('Fórmula'!I20)/('Fórmula'!C20+'Fórmula'!E20+'Fórmula'!G20+'Fórmula'!I20+'Fórmula'!K20))*(INDEX(properties!A$1:CB$87,'Fórmula'!H20,14))+(('Fórmula'!K20)/('Fórmula'!C20+'Fórmula'!E20+'Fórmula'!G20+'Fórmula'!I20+'Fórmula'!K20))*(INDEX(properties!A$1:CB$87,'Fórmula'!J20,14))</f>
        <v>0</v>
      </c>
      <c r="BE20" s="110">
        <f t="array" ref="BE20">'Fórmula'!C20*(INDEX(properties!A$1:CB$87,'Fórmula'!B20,14))+'Fórmula'!E20*(INDEX(properties!A$1:CB$87,'Fórmula'!D20,14))+'Fórmula'!G20*(INDEX(properties!A$1:CB$87,'Fórmula'!F20,14))+'Fórmula'!I20*(INDEX(properties!A$1:CB$87,'Fórmula'!H20,14))+'Fórmula'!K20*(INDEX(properties!A$1:CB$87,'Fórmula'!J20,14))</f>
        <v>0</v>
      </c>
      <c r="BF20" s="110">
        <f t="array" ref="BF20">VARP(IF(INDEX(properties!A$1:CB$87,'Fórmula'!B20,14)&lt;&gt;"",INDEX(properties!A$1:CB$87,'Fórmula'!B20,14)),IF(INDEX(properties!A$1:CB$87,'Fórmula'!D20,14)&lt;&gt;"",INDEX(properties!A$1:CB$87,'Fórmula'!D20,14)),IF(INDEX(properties!A$1:CB$87,'Fórmula'!F20,14)&lt;&gt;"",INDEX(properties!A$1:CB$87,'Fórmula'!F20,14)),IF(INDEX(properties!A$1:CB$87,'Fórmula'!H20,14)&lt;&gt;"",INDEX(properties!A$1:CB$87,'Fórmula'!H20,14)),IF(INDEX(properties!A$1:CB$87,'Fórmula'!J20,14)&lt;&gt;"",INDEX(properties!A$1:CB$87,'Fórmula'!J20,14)))</f>
        <v>0</v>
      </c>
      <c r="BG20" s="110">
        <f t="array" ref="BG20">MAX(INDEX(properties!A$1:CB$87,'Fórmula'!B20,14),INDEX(properties!A$1:CB$87,'Fórmula'!D20,14),INDEX(properties!A$1:CB$87,'Fórmula'!F20,14),INDEX(properties!A$1:CB$87,'Fórmula'!H20,14),INDEX(properties!A$1:CB$87,'Fórmula'!J20,14))</f>
        <v>0</v>
      </c>
      <c r="BH20" s="110">
        <f t="array" ref="BH20">MIN(IF('Fórmula'!B20=87,10^6,INDEX(properties!A$1:CB$87,'Fórmula'!B20,14)),IF(('Fórmula'!D20)=87,10^6,INDEX(properties!A$1:CB$87,'Fórmula'!D20,14)),IF(('Fórmula'!F20)=87,10^6,INDEX(properties!A$1:CB$87,'Fórmula'!F20,14)),IF(('Fórmula'!H20)=87,10^6,INDEX(properties!A$1:CB$87,'Fórmula'!H20,14)),IF('Fórmula'!J20=87,10^6,INDEX(properties!A$1:CB$87,'Fórmula'!J20,14)))</f>
        <v>0</v>
      </c>
      <c r="BI20" s="110">
        <f t="shared" si="10"/>
        <v>0</v>
      </c>
      <c r="BJ20" s="111">
        <f t="array" ref="BJ20">(('Fórmula'!C20)/('Fórmula'!C20+'Fórmula'!E20+'Fórmula'!G20+'Fórmula'!I20+'Fórmula'!K20))*(INDEX(properties!A$1:CB$87,'Fórmula'!B20,19))+(('Fórmula'!E20)/('Fórmula'!C20+'Fórmula'!E20+'Fórmula'!G20+'Fórmula'!I20+'Fórmula'!K20))*(INDEX(properties!A$1:CB$87,'Fórmula'!D20,19))+(('Fórmula'!G20)/('Fórmula'!C20+'Fórmula'!E20+'Fórmula'!G20+'Fórmula'!I20+'Fórmula'!K20))*(INDEX(properties!A$1:CB$87,'Fórmula'!F20,19))+(('Fórmula'!I20)/('Fórmula'!C20+'Fórmula'!E20+'Fórmula'!G20+'Fórmula'!I20+'Fórmula'!K20))*(INDEX(properties!A$1:CB$87,'Fórmula'!H20,19))+(('Fórmula'!K20)/('Fórmula'!C20+'Fórmula'!E20+'Fórmula'!G20+'Fórmula'!I20+'Fórmula'!K20))*(INDEX(properties!A$1:CB$87,'Fórmula'!J20,19))</f>
        <v>4.666666667</v>
      </c>
      <c r="BK20" s="111">
        <f t="array" ref="BK20">'Fórmula'!C20*(INDEX(properties!A$1:CB$87,'Fórmula'!B20,19))+'Fórmula'!E20*(INDEX(properties!A$1:CB$87,'Fórmula'!D20,19))+'Fórmula'!G20*(INDEX(properties!A$1:CB$87,'Fórmula'!F20,19))+'Fórmula'!I20*(INDEX(properties!A$1:CB$87,'Fórmula'!H20,19))+'Fórmula'!K20*(INDEX(properties!A$1:CB$87,'Fórmula'!J20,19))</f>
        <v>56</v>
      </c>
      <c r="BL20" s="111">
        <f t="array" ref="BL20">VARP(IF(INDEX(properties!A$1:CB$87,'Fórmula'!B20,19)&lt;&gt;"",INDEX(properties!A$1:CB$87,'Fórmula'!B20,19)),IF(INDEX(properties!A$1:CB$87,'Fórmula'!D20,19)&lt;&gt;"",INDEX(properties!A$1:CB$87,'Fórmula'!D20,19)),IF(INDEX(properties!A$1:CB$87,'Fórmula'!F20,19)&lt;&gt;"",INDEX(properties!A$1:CB$87,'Fórmula'!F20,19)),IF(INDEX(properties!A$1:CB$87,'Fórmula'!H20,19)&lt;&gt;"",INDEX(properties!A$1:CB$87,'Fórmula'!H20,19)),IF(INDEX(properties!A$1:CB$87,'Fórmula'!J20,19)&lt;&gt;"",INDEX(properties!A$1:CB$87,'Fórmula'!J20,19)))</f>
        <v>3.76</v>
      </c>
      <c r="BM20" s="111">
        <f t="array" ref="BM20">MAX(INDEX(properties!A$1:CB$87,'Fórmula'!B20,19),INDEX(properties!A$1:CB$87,'Fórmula'!D20,19),INDEX(properties!A$1:CB$87,'Fórmula'!F20,19),INDEX(properties!A$1:CB$87,'Fórmula'!H20,19),INDEX(properties!A$1:CB$87,'Fórmula'!J20,19))</f>
        <v>6</v>
      </c>
      <c r="BN20" s="111">
        <f t="array" ref="BN20">MIN(IF(INDEX(properties!A$1:CB$87,'Fórmula'!B20,19)=0,10^6,INDEX(properties!A$1:CB$87,'Fórmula'!B20,19)),IF(INDEX(properties!A$1:CB$87,'Fórmula'!D20,19)=0,10^6,INDEX(properties!A$1:CB$87,'Fórmula'!D20,19)),IF(INDEX(properties!A$1:CB$87,'Fórmula'!F20,19)=0,10^6,INDEX(properties!A$1:CB$87,'Fórmula'!F20,19)),IF(INDEX(properties!A$1:CB$87,'Fórmula'!H20,19)=0,10^6,INDEX(properties!A$1:CB$87,'Fórmula'!H20,19)),IF(INDEX(properties!A$1:CB$87,'Fórmula'!J20,19)=0,10^6,INDEX(properties!A$1:CB$87,'Fórmula'!J20,19)))</f>
        <v>2</v>
      </c>
      <c r="BO20" s="111">
        <f t="shared" si="11"/>
        <v>4</v>
      </c>
      <c r="BP20" s="112">
        <f t="array" ref="BP20">(('Fórmula'!C20)/('Fórmula'!C20+'Fórmula'!E20+'Fórmula'!G20+'Fórmula'!I20+'Fórmula'!K20))*(INDEX(properties!A$1:CB$87,'Fórmula'!B20,20))+(('Fórmula'!E20)/('Fórmula'!C20+'Fórmula'!E20+'Fórmula'!G20+'Fórmula'!I20+'Fórmula'!K20))*(INDEX(properties!A$1:CB$87,'Fórmula'!D20,20))+(('Fórmula'!G20)/('Fórmula'!C20+'Fórmula'!E20+'Fórmula'!G20+'Fórmula'!I20+'Fórmula'!K20))*(INDEX(properties!A$1:CB$87,'Fórmula'!F20,20))+(('Fórmula'!I20)/('Fórmula'!C20+'Fórmula'!E20+'Fórmula'!G20+'Fórmula'!I20+'Fórmula'!K20))*(INDEX(properties!A$1:CB$87,'Fórmula'!H20,20))+(('Fórmula'!K20)/('Fórmula'!C20+'Fórmula'!E20+'Fórmula'!G20+'Fórmula'!I20+'Fórmula'!K20))*(INDEX(properties!A$1:CB$87,'Fórmula'!J20,20))</f>
        <v>4.583333333</v>
      </c>
      <c r="BQ20" s="112">
        <f t="array" ref="BQ20">'Fórmula'!C20*(INDEX(properties!A$1:CB$87,'Fórmula'!B20,20))+'Fórmula'!E20*(INDEX(properties!A$1:CB$87,'Fórmula'!D20,20))+'Fórmula'!G20*(INDEX(properties!A$1:CB$87,'Fórmula'!F20,20))+'Fórmula'!I20*(INDEX(properties!A$1:CB$87,'Fórmula'!H20,20))+'Fórmula'!K20*(INDEX(properties!A$1:CB$87,'Fórmula'!J20,20))</f>
        <v>55</v>
      </c>
      <c r="BR20" s="112">
        <f t="array" ref="BR20">VARP(IF(INDEX(properties!A$1:CB$87,'Fórmula'!B20,20)&lt;&gt;"",INDEX(properties!A$1:CB$87,'Fórmula'!B20,20)),IF(INDEX(properties!A$1:CB$87,'Fórmula'!D20,20)&lt;&gt;"",INDEX(properties!A$1:CB$87,'Fórmula'!D20,20)),IF(INDEX(properties!A$1:CB$87,'Fórmula'!F20,20)&lt;&gt;"",INDEX(properties!A$1:CB$87,'Fórmula'!F20,20)),IF(INDEX(properties!A$1:CB$87,'Fórmula'!H20,20)&lt;&gt;"",INDEX(properties!A$1:CB$87,'Fórmula'!H20,20)),IF(INDEX(properties!A$1:CB$87,'Fórmula'!J20,20)&lt;&gt;"",INDEX(properties!A$1:CB$87,'Fórmula'!J20,20)))</f>
        <v>3.84</v>
      </c>
      <c r="BS20" s="112">
        <f t="array" ref="BS20">MAX(INDEX(properties!A$1:CB$87,'Fórmula'!B20,20),INDEX(properties!A$1:CB$87,'Fórmula'!D20,20),INDEX(properties!A$1:CB$87,'Fórmula'!F20,20),INDEX(properties!A$1:CB$87,'Fórmula'!H20,20),INDEX(properties!A$1:CB$87,'Fórmula'!J20,20))</f>
        <v>6</v>
      </c>
      <c r="BT20" s="112">
        <f t="array" ref="BT20">MIN(IF(INDEX(properties!A$1:CB$87,'Fórmula'!B20,20)=0,10^6,INDEX(properties!A$1:CB$87,'Fórmula'!B20,20)),IF(INDEX(properties!A$1:CB$87,'Fórmula'!D20,20)=0,10^6,INDEX(properties!A$1:CB$87,'Fórmula'!D20,20)),IF(INDEX(properties!A$1:CB$87,'Fórmula'!F20,20)=0,10^6,INDEX(properties!A$1:CB$87,'Fórmula'!F20,20)),IF(INDEX(properties!A$1:CB$87,'Fórmula'!H20,20)=0,10^6,INDEX(properties!A$1:CB$87,'Fórmula'!H20,20)),IF(INDEX(properties!A$1:CB$87,'Fórmula'!J20,20)=0,10^6,INDEX(properties!A$1:CB$87,'Fórmula'!J20,20)))</f>
        <v>2</v>
      </c>
      <c r="BU20" s="112">
        <f t="shared" si="12"/>
        <v>4</v>
      </c>
      <c r="BV20" s="113">
        <f t="array" ref="BV20">(('Fórmula'!C20)/('Fórmula'!C20+'Fórmula'!E20+'Fórmula'!G20+'Fórmula'!I20+'Fórmula'!K20))*(INDEX(properties!A$1:CB$87,'Fórmula'!B20,21))+(('Fórmula'!E20)/('Fórmula'!C20+'Fórmula'!E20+'Fórmula'!G20+'Fórmula'!I20+'Fórmula'!K20))*(INDEX(properties!A$1:CB$87,'Fórmula'!D20,21))+(('Fórmula'!G20)/('Fórmula'!C20+'Fórmula'!E20+'Fórmula'!G20+'Fórmula'!I20+'Fórmula'!K20))*(INDEX(properties!A$1:CB$87,'Fórmula'!F20,21))+(('Fórmula'!I20)/('Fórmula'!C20+'Fórmula'!E20+'Fórmula'!G20+'Fórmula'!I20+'Fórmula'!K20))*(INDEX(properties!A$1:CB$87,'Fórmula'!H20,21))+(('Fórmula'!K20)/('Fórmula'!C20+'Fórmula'!E20+'Fórmula'!G20+'Fórmula'!I20+'Fórmula'!K20))*(INDEX(properties!A$1:CB$87,'Fórmula'!J20,21))</f>
        <v>4.5</v>
      </c>
      <c r="BW20" s="113">
        <f t="array" ref="BW20">'Fórmula'!C20*(INDEX(properties!A$1:CB$87,'Fórmula'!B20,21))+'Fórmula'!E20*(INDEX(properties!A$1:CB$87,'Fórmula'!D20,21))+'Fórmula'!G20*(INDEX(properties!A$1:CB$87,'Fórmula'!F20,21))+'Fórmula'!I20*(INDEX(properties!A$1:CB$87,'Fórmula'!H20,21))+'Fórmula'!K20*(INDEX(properties!A$1:CB$87,'Fórmula'!J20,21))</f>
        <v>54</v>
      </c>
      <c r="BX20" s="113">
        <f t="array" ref="BX20">VARP(IF(INDEX(properties!A$1:CB$87,'Fórmula'!B20,21)&lt;&gt;"",INDEX(properties!A$1:CB$87,'Fórmula'!B20,21)),IF(INDEX(properties!A$1:CB$87,'Fórmula'!D20,21)&lt;&gt;"",INDEX(properties!A$1:CB$87,'Fórmula'!D20,21)),IF(INDEX(properties!A$1:CB$87,'Fórmula'!F20,21)&lt;&gt;"",INDEX(properties!A$1:CB$87,'Fórmula'!F20,21)),IF(INDEX(properties!A$1:CB$87,'Fórmula'!H20,21)&lt;&gt;"",INDEX(properties!A$1:CB$87,'Fórmula'!H20,21)),IF(INDEX(properties!A$1:CB$87,'Fórmula'!J20,21)&lt;&gt;"",INDEX(properties!A$1:CB$87,'Fórmula'!J20,21)))</f>
        <v>4.24</v>
      </c>
      <c r="BY20" s="113">
        <f t="array" ref="BY20">MAX(INDEX(properties!A$1:CB$87,'Fórmula'!B20,21),INDEX(properties!A$1:CB$87,'Fórmula'!D20,21),INDEX(properties!A$1:CB$87,'Fórmula'!F20,21),INDEX(properties!A$1:CB$87,'Fórmula'!H20,21),INDEX(properties!A$1:CB$87,'Fórmula'!J20,21))</f>
        <v>6</v>
      </c>
      <c r="BZ20" s="113">
        <f t="array" ref="BZ20">MIN(IF(INDEX(properties!A$1:CB$87,'Fórmula'!B20,21)=0,10^6,INDEX(properties!A$1:CB$87,'Fórmula'!B20,21)),IF(INDEX(properties!A$1:CB$87,'Fórmula'!D20,21)=0,10^6,INDEX(properties!A$1:CB$87,'Fórmula'!D20,21)),IF(INDEX(properties!A$1:CB$87,'Fórmula'!F20,21)=0,10^6,INDEX(properties!A$1:CB$87,'Fórmula'!F20,21)),IF(INDEX(properties!A$1:CB$87,'Fórmula'!H20,21)=0,10^6,INDEX(properties!A$1:CB$87,'Fórmula'!H20,21)),IF(INDEX(properties!A$1:CB$87,'Fórmula'!J20,21)=0,10^6,INDEX(properties!A$1:CB$87,'Fórmula'!J20,21)))</f>
        <v>1</v>
      </c>
      <c r="CA20" s="113">
        <f t="shared" si="13"/>
        <v>5</v>
      </c>
      <c r="CB20" s="114">
        <f t="array" ref="CB20">(('Fórmula'!C20)/('Fórmula'!C20+'Fórmula'!E20+'Fórmula'!G20+'Fórmula'!I20+'Fórmula'!K20))*(INDEX(properties!A$1:CB$87,'Fórmula'!B20,23))+(('Fórmula'!E20)/('Fórmula'!C20+'Fórmula'!E20+'Fórmula'!G20+'Fórmula'!I20+'Fórmula'!K20))*(INDEX(properties!A$1:CB$87,'Fórmula'!D20,23))+(('Fórmula'!G20)/('Fórmula'!C20+'Fórmula'!E20+'Fórmula'!G20+'Fórmula'!I20+'Fórmula'!K20))*(INDEX(properties!A$1:CB$87,'Fórmula'!F20,23))+(('Fórmula'!I20)/('Fórmula'!C20+'Fórmula'!E20+'Fórmula'!G20+'Fórmula'!I20+'Fórmula'!K20))*(INDEX(properties!A$1:CB$87,'Fórmula'!H20,23))+(('Fórmula'!K20)/('Fórmula'!C20+'Fórmula'!E20+'Fórmula'!G20+'Fórmula'!I20+'Fórmula'!K20))*(INDEX(properties!A$1:CB$87,'Fórmula'!J20,23))</f>
        <v>1.166666667</v>
      </c>
      <c r="CC20" s="114">
        <f t="array" ref="CC20">'Fórmula'!C20*(INDEX(properties!A$1:CB$87,'Fórmula'!B20,23))+'Fórmula'!E20*(INDEX(properties!A$1:CB$87,'Fórmula'!D20,23))+'Fórmula'!G20*(INDEX(properties!A$1:CB$87,'Fórmula'!F20,23))+'Fórmula'!I20*(INDEX(properties!A$1:CB$87,'Fórmula'!H20,23))+'Fórmula'!K20*(INDEX(properties!A$1:CB$87,'Fórmula'!J20,23))</f>
        <v>14</v>
      </c>
      <c r="CD20" s="114">
        <f t="array" ref="CD20">VARP(IF(INDEX(properties!A$1:CB$87,'Fórmula'!B20,23)&lt;&gt;"",INDEX(properties!A$1:CB$87,'Fórmula'!B20,23)),IF(INDEX(properties!A$1:CB$87,'Fórmula'!D20,23)&lt;&gt;"",INDEX(properties!A$1:CB$87,'Fórmula'!D20,23)),IF(INDEX(properties!A$1:CB$87,'Fórmula'!F20,23)&lt;&gt;"",INDEX(properties!A$1:CB$87,'Fórmula'!F20,23)),IF(INDEX(properties!A$1:CB$87,'Fórmula'!H20,23)&lt;&gt;"",INDEX(properties!A$1:CB$87,'Fórmula'!H20,23)),IF(INDEX(properties!A$1:CB$87,'Fórmula'!J20,23)&lt;&gt;"",INDEX(properties!A$1:CB$87,'Fórmula'!J20,23)))</f>
        <v>1.84</v>
      </c>
      <c r="CE20" s="114">
        <f t="array" ref="CE20">MAX(INDEX(properties!A$1:CB$87,'Fórmula'!B20,23),INDEX(properties!A$1:CB$87,'Fórmula'!D20,23),INDEX(properties!A$1:CB$87,'Fórmula'!F20,23),INDEX(properties!A$1:CB$87,'Fórmula'!H20,23),INDEX(properties!A$1:CB$87,'Fórmula'!J20,23))</f>
        <v>3</v>
      </c>
      <c r="CF20" s="114">
        <f t="array" ref="CF20">MIN(IF('Fórmula'!B20=87,10^6,INDEX(properties!A$1:CB$87,'Fórmula'!B20,23)),IF(('Fórmula'!D20)=87,10^6,INDEX(properties!A$1:CB$87,'Fórmula'!D20,23)),IF(('Fórmula'!F20)=87,10^6,INDEX(properties!A$1:CB$87,'Fórmula'!F20,23)),IF(('Fórmula'!H20)=87,10^6,INDEX(properties!A$1:CB$87,'Fórmula'!H20,23)),IF('Fórmula'!J20=87,10^6,INDEX(properties!A$1:CB$87,'Fórmula'!J20,23)))</f>
        <v>0</v>
      </c>
      <c r="CG20" s="114">
        <f t="shared" si="14"/>
        <v>3</v>
      </c>
      <c r="CH20" s="115">
        <f t="array" ref="CH20">(('Fórmula'!C20)/('Fórmula'!C20+'Fórmula'!E20+'Fórmula'!G20+'Fórmula'!I20+'Fórmula'!K20))*(INDEX(properties!A$1:CB$87,'Fórmula'!B20,26))+(('Fórmula'!E20)/('Fórmula'!C20+'Fórmula'!E20+'Fórmula'!G20+'Fórmula'!I20+'Fórmula'!K20))*(INDEX(properties!A$1:CB$87,'Fórmula'!D20,26))+(('Fórmula'!G20)/('Fórmula'!C20+'Fórmula'!E20+'Fórmula'!G20+'Fórmula'!I20+'Fórmula'!K20))*(INDEX(properties!A$1:CB$87,'Fórmula'!F20,26))+(('Fórmula'!I20)/('Fórmula'!C20+'Fórmula'!E20+'Fórmula'!G20+'Fórmula'!I20+'Fórmula'!K20))*(INDEX(properties!A$1:CB$87,'Fórmula'!H20,26))+(('Fórmula'!K20)/('Fórmula'!C20+'Fórmula'!E20+'Fórmula'!G20+'Fórmula'!I20+'Fórmula'!K20))*(INDEX(properties!A$1:CB$87,'Fórmula'!J20,26))</f>
        <v>10.41451667</v>
      </c>
      <c r="CI20" s="115">
        <f t="array" ref="CI20">'Fórmula'!C20*(INDEX(properties!A$1:CB$87,'Fórmula'!B20,26))+'Fórmula'!E20*(INDEX(properties!A$1:CB$87,'Fórmula'!D20,26))+'Fórmula'!G20*(INDEX(properties!A$1:CB$87,'Fórmula'!F20,26))+'Fórmula'!I20*(INDEX(properties!A$1:CB$87,'Fórmula'!H20,26))+'Fórmula'!K20*(INDEX(properties!A$1:CB$87,'Fórmula'!J20,26))</f>
        <v>124.9742</v>
      </c>
      <c r="CJ20" s="115">
        <f t="array" ref="CJ20">VARP(IF(INDEX(properties!A$1:CB$87,'Fórmula'!B20,26)&lt;&gt;"",INDEX(properties!A$1:CB$87,'Fórmula'!B20,26)),IF(INDEX(properties!A$1:CB$87,'Fórmula'!D20,26)&lt;&gt;"",INDEX(properties!A$1:CB$87,'Fórmula'!D20,26)),IF(INDEX(properties!A$1:CB$87,'Fórmula'!F20,26)&lt;&gt;"",INDEX(properties!A$1:CB$87,'Fórmula'!F20,26)),IF(INDEX(properties!A$1:CB$87,'Fórmula'!H20,26)&lt;&gt;"",INDEX(properties!A$1:CB$87,'Fórmula'!H20,26)),IF(INDEX(properties!A$1:CB$87,'Fórmula'!J20,26)&lt;&gt;"",INDEX(properties!A$1:CB$87,'Fórmula'!J20,26)))</f>
        <v>18.77851798</v>
      </c>
      <c r="CK20" s="116">
        <f t="array" ref="CK20">MAX(INDEX(properties!A$1:CB$87,'Fórmula'!B20,26),INDEX(properties!A$1:CB$87,'Fórmula'!D20,26),INDEX(properties!A$1:CB$87,'Fórmula'!F20,26),INDEX(properties!A$1:CB$87,'Fórmula'!H20,26),INDEX(properties!A$1:CB$87,'Fórmula'!J20,26))</f>
        <v>13.6181</v>
      </c>
      <c r="CL20" s="116">
        <f t="array" ref="CL20">MIN(IF(INDEX(properties!A$1:CB$87,'Fórmula'!B20,26)=0,10^6,INDEX(properties!A$1:CB$87,'Fórmula'!B20,26)),IF(INDEX(properties!A$1:CB$87,'Fórmula'!D20,26)=0,10^6,INDEX(properties!A$1:CB$87,'Fórmula'!D20,26)),IF(INDEX(properties!A$1:CB$87,'Fórmula'!F20,26)=0,10^6,INDEX(properties!A$1:CB$87,'Fórmula'!F20,26)),IF(INDEX(properties!A$1:CB$87,'Fórmula'!H20,26)=0,10^6,INDEX(properties!A$1:CB$87,'Fórmula'!H20,26)),IF(INDEX(properties!A$1:CB$87,'Fórmula'!J20,26)=0,10^6,INDEX(properties!A$1:CB$87,'Fórmula'!J20,26)))</f>
        <v>5.5769</v>
      </c>
      <c r="CM20" s="115">
        <f t="shared" si="15"/>
        <v>8.0412</v>
      </c>
      <c r="CN20" s="117">
        <f t="array" ref="CN20">(('Fórmula'!C20)/('Fórmula'!C20+'Fórmula'!E20+'Fórmula'!G20+'Fórmula'!I20+'Fórmula'!K20))*(INDEX(properties!A$1:CB$87,'Fórmula'!B20,30))+(('Fórmula'!E20)/('Fórmula'!C20+'Fórmula'!E20+'Fórmula'!G20+'Fórmula'!I20+'Fórmula'!K20))*(INDEX(properties!A$1:CB$87,'Fórmula'!D20,30))+(('Fórmula'!G20)/('Fórmula'!C20+'Fórmula'!E20+'Fórmula'!G20+'Fórmula'!I20+'Fórmula'!K20))*(INDEX(properties!A$1:CB$87,'Fórmula'!F20,30))+(('Fórmula'!I20)/('Fórmula'!C20+'Fórmula'!E20+'Fórmula'!G20+'Fórmula'!I20+'Fórmula'!K20))*(INDEX(properties!A$1:CB$87,'Fórmula'!H20,30))+(('Fórmula'!K20)/('Fórmula'!C20+'Fórmula'!E20+'Fórmula'!G20+'Fórmula'!I20+'Fórmula'!K20))*(INDEX(properties!A$1:CB$87,'Fórmula'!J20,30))</f>
        <v>2.584166667</v>
      </c>
      <c r="CO20" s="117">
        <f t="array" ref="CO20">'Fórmula'!C20*(INDEX(properties!A$1:CB$87,'Fórmula'!B20,30))+'Fórmula'!E20*(INDEX(properties!A$1:CB$87,'Fórmula'!D20,30))+'Fórmula'!G20*(INDEX(properties!A$1:CB$87,'Fórmula'!F20,30))+'Fórmula'!I20*(INDEX(properties!A$1:CB$87,'Fórmula'!H20,30))+'Fórmula'!K20*(INDEX(properties!A$1:CB$87,'Fórmula'!J20,30))</f>
        <v>31.01</v>
      </c>
      <c r="CP20" s="117">
        <f t="array" ref="CP20">VARP(IF(INDEX(properties!A$1:CB$87,'Fórmula'!B20,30)&lt;&gt;"",INDEX(properties!A$1:CB$87,'Fórmula'!B20,30)),IF(INDEX(properties!A$1:CB$87,'Fórmula'!D20,30)&lt;&gt;"",INDEX(properties!A$1:CB$87,'Fórmula'!D20,30)),IF(INDEX(properties!A$1:CB$87,'Fórmula'!F20,30)&lt;&gt;"",INDEX(properties!A$1:CB$87,'Fórmula'!F20,30)),IF(INDEX(properties!A$1:CB$87,'Fórmula'!H20,30)&lt;&gt;"",INDEX(properties!A$1:CB$87,'Fórmula'!H20,30)),IF(INDEX(properties!A$1:CB$87,'Fórmula'!J20,30)&lt;&gt;"",INDEX(properties!A$1:CB$87,'Fórmula'!J20,30)))</f>
        <v>1.28224</v>
      </c>
      <c r="CQ20" s="117">
        <f t="array" ref="CQ20">MAX(INDEX(properties!A$1:CB$87,'Fórmula'!B20,30),INDEX(properties!A$1:CB$87,'Fórmula'!D20,30),INDEX(properties!A$1:CB$87,'Fórmula'!F20,30),INDEX(properties!A$1:CB$87,'Fórmula'!H20,30),INDEX(properties!A$1:CB$87,'Fórmula'!J20,30))</f>
        <v>3.44</v>
      </c>
      <c r="CR20" s="117">
        <f t="array" ref="CR20">MIN(IF(INDEX(properties!A$1:CB$87,'Fórmula'!B20,30)=0,10^6,INDEX(properties!A$1:CB$87,'Fórmula'!B20,30)),IF(INDEX(properties!A$1:CB$87,'Fórmula'!D20,30)=0,10^6,INDEX(properties!A$1:CB$87,'Fórmula'!D20,30)),IF(INDEX(properties!A$1:CB$87,'Fórmula'!F20,30)=0,10^6,INDEX(properties!A$1:CB$87,'Fórmula'!F20,30)),IF(INDEX(properties!A$1:CB$87,'Fórmula'!H20,30)=0,10^6,INDEX(properties!A$1:CB$87,'Fórmula'!H20,30)),IF(INDEX(properties!A$1:CB$87,'Fórmula'!J20,30)=0,10^6,INDEX(properties!A$1:CB$87,'Fórmula'!J20,30)))</f>
        <v>1</v>
      </c>
      <c r="CS20" s="117">
        <f t="shared" si="16"/>
        <v>2.44</v>
      </c>
      <c r="CT20" s="118">
        <f t="array" ref="CT20">(('Fórmula'!C20)/('Fórmula'!C20+'Fórmula'!E20+'Fórmula'!G20+'Fórmula'!I20+'Fórmula'!K20))*(INDEX(properties!A$1:CB$87,'Fórmula'!B20,31))+(('Fórmula'!E20)/('Fórmula'!C20+'Fórmula'!E20+'Fórmula'!G20+'Fórmula'!I20+'Fórmula'!K20))*(INDEX(properties!A$1:CB$87,'Fórmula'!D20,31))+(('Fórmula'!G20)/('Fórmula'!C20+'Fórmula'!E20+'Fórmula'!G20+'Fórmula'!I20+'Fórmula'!K20))*(INDEX(properties!A$1:CB$87,'Fórmula'!F20,31))+(('Fórmula'!I20)/('Fórmula'!C20+'Fórmula'!E20+'Fórmula'!G20+'Fórmula'!I20+'Fórmula'!K20))*(INDEX(properties!A$1:CB$87,'Fórmula'!H20,31))+(('Fórmula'!K20)/('Fórmula'!C20+'Fórmula'!E20+'Fórmula'!G20+'Fórmula'!I20+'Fórmula'!K20))*(INDEX(properties!A$1:CB$87,'Fórmula'!J20,31))</f>
        <v>2.556666667</v>
      </c>
      <c r="CU20" s="118">
        <f t="array" ref="CU20">'Fórmula'!C20*(INDEX(properties!A$1:CB$87,'Fórmula'!B20,31))+'Fórmula'!E20*(INDEX(properties!A$1:CB$87,'Fórmula'!D20,31))+'Fórmula'!G20*(INDEX(properties!A$1:CB$87,'Fórmula'!F20,31))+'Fórmula'!I20*(INDEX(properties!A$1:CB$87,'Fórmula'!H20,31))+'Fórmula'!K20*(INDEX(properties!A$1:CB$87,'Fórmula'!J20,31))</f>
        <v>30.68</v>
      </c>
      <c r="CV20" s="118">
        <f t="array" ref="CV20">VARP(IF(INDEX(properties!A$1:CB$87,'Fórmula'!B20,31)&lt;&gt;"",INDEX(properties!A$1:CB$87,'Fórmula'!B20,31)),IF(INDEX(properties!A$1:CB$87,'Fórmula'!D20,31)&lt;&gt;"",INDEX(properties!A$1:CB$87,'Fórmula'!D20,31)),IF(INDEX(properties!A$1:CB$87,'Fórmula'!F20,31)&lt;&gt;"",INDEX(properties!A$1:CB$87,'Fórmula'!F20,31)),IF(INDEX(properties!A$1:CB$87,'Fórmula'!H20,31)&lt;&gt;"",INDEX(properties!A$1:CB$87,'Fórmula'!H20,31)),IF(INDEX(properties!A$1:CB$87,'Fórmula'!J20,31)&lt;&gt;"",INDEX(properties!A$1:CB$87,'Fórmula'!J20,31)))</f>
        <v>1.142664</v>
      </c>
      <c r="CW20" s="118">
        <f t="array" ref="CW20">MAX(INDEX(properties!A$1:CB$87,'Fórmula'!B20,31),INDEX(properties!A$1:CB$87,'Fórmula'!D20,31),INDEX(properties!A$1:CB$87,'Fórmula'!F20,31),INDEX(properties!A$1:CB$87,'Fórmula'!H20,31),INDEX(properties!A$1:CB$87,'Fórmula'!J20,31))</f>
        <v>3.32</v>
      </c>
      <c r="CX20" s="118">
        <f t="array" ref="CX20">MIN(IF(INDEX(properties!A$1:CB$87,'Fórmula'!B20,31)=0,10^6,INDEX(properties!A$1:CB$87,'Fórmula'!B20,31)),IF(INDEX(properties!A$1:CB$87,'Fórmula'!D20,31)=0,10^6,INDEX(properties!A$1:CB$87,'Fórmula'!D20,31)),IF(INDEX(properties!A$1:CB$87,'Fórmula'!F20,31)=0,10^6,INDEX(properties!A$1:CB$87,'Fórmula'!F20,31)),IF(INDEX(properties!A$1:CB$87,'Fórmula'!H20,31)=0,10^6,INDEX(properties!A$1:CB$87,'Fórmula'!H20,31)),IF(INDEX(properties!A$1:CB$87,'Fórmula'!J20,31)=0,10^6,INDEX(properties!A$1:CB$87,'Fórmula'!J20,31)))</f>
        <v>1.17</v>
      </c>
      <c r="CY20" s="118">
        <f t="shared" si="17"/>
        <v>2.15</v>
      </c>
      <c r="CZ20" s="119">
        <f t="array" ref="CZ20">(('Fórmula'!C20)/('Fórmula'!C20+'Fórmula'!E20+'Fórmula'!G20+'Fórmula'!I20+'Fórmula'!K20))*(INDEX(properties!A$1:CB$87,'Fórmula'!B20,32))+(('Fórmula'!E20)/('Fórmula'!C20+'Fórmula'!E20+'Fórmula'!G20+'Fórmula'!I20+'Fórmula'!K20))*(INDEX(properties!A$1:CB$87,'Fórmula'!D20,32))+(('Fórmula'!G20)/('Fórmula'!C20+'Fórmula'!E20+'Fórmula'!G20+'Fórmula'!I20+'Fórmula'!K20))*(INDEX(properties!A$1:CB$87,'Fórmula'!F20,32))+(('Fórmula'!I20)/('Fórmula'!C20+'Fórmula'!E20+'Fórmula'!G20+'Fórmula'!I20+'Fórmula'!K20))*(INDEX(properties!A$1:CB$87,'Fórmula'!H20,32))+(('Fórmula'!K20)/('Fórmula'!C20+'Fórmula'!E20+'Fórmula'!G20+'Fórmula'!I20+'Fórmula'!K20))*(INDEX(properties!A$1:CB$87,'Fórmula'!J20,32))</f>
        <v>5.6475</v>
      </c>
      <c r="DA20" s="119">
        <f t="array" ref="DA20">'Fórmula'!C20*(INDEX(properties!A$1:CB$87,'Fórmula'!B20,32))+'Fórmula'!E20*(INDEX(properties!A$1:CB$87,'Fórmula'!D20,32))+'Fórmula'!G20*(INDEX(properties!A$1:CB$87,'Fórmula'!F20,32))+'Fórmula'!I20*(INDEX(properties!A$1:CB$87,'Fórmula'!H20,32))+'Fórmula'!K20*(INDEX(properties!A$1:CB$87,'Fórmula'!J20,32))</f>
        <v>67.77</v>
      </c>
      <c r="DB20" s="119">
        <f t="array" ref="DB20">VARP(IF(INDEX(properties!A$1:CB$87,'Fórmula'!B20,32)&lt;&gt;"",INDEX(properties!A$1:CB$87,'Fórmula'!B20,32)),IF(INDEX(properties!A$1:CB$87,'Fórmula'!D20,32)&lt;&gt;"",INDEX(properties!A$1:CB$87,'Fórmula'!D20,32)),IF(INDEX(properties!A$1:CB$87,'Fórmula'!F20,32)&lt;&gt;"",INDEX(properties!A$1:CB$87,'Fórmula'!F20,32)),IF(INDEX(properties!A$1:CB$87,'Fórmula'!H20,32)&lt;&gt;"",INDEX(properties!A$1:CB$87,'Fórmula'!H20,32)),IF(INDEX(properties!A$1:CB$87,'Fórmula'!J20,32)&lt;&gt;"",INDEX(properties!A$1:CB$87,'Fórmula'!J20,32)))</f>
        <v>6.017104</v>
      </c>
      <c r="DC20" s="119">
        <f t="array" ref="DC20">MAX(INDEX(properties!A$1:CB$87,'Fórmula'!B20,32),INDEX(properties!A$1:CB$87,'Fórmula'!D20,32),INDEX(properties!A$1:CB$87,'Fórmula'!F20,32),INDEX(properties!A$1:CB$87,'Fórmula'!H20,32),INDEX(properties!A$1:CB$87,'Fórmula'!J20,32))</f>
        <v>7.54</v>
      </c>
      <c r="DD20" s="119">
        <f t="array" ref="DD20">MIN(IF(INDEX(properties!A$1:CB$87,'Fórmula'!B20,32)=0,10^6,INDEX(properties!A$1:CB$87,'Fórmula'!B20,32)),IF(INDEX(properties!A$1:CB$87,'Fórmula'!D20,32)=0,10^6,INDEX(properties!A$1:CB$87,'Fórmula'!D20,32)),IF(INDEX(properties!A$1:CB$87,'Fórmula'!F20,32)=0,10^6,INDEX(properties!A$1:CB$87,'Fórmula'!F20,32)),IF(INDEX(properties!A$1:CB$87,'Fórmula'!H20,32)=0,10^6,INDEX(properties!A$1:CB$87,'Fórmula'!H20,32)),IF(INDEX(properties!A$1:CB$87,'Fórmula'!J20,32)=0,10^6,INDEX(properties!A$1:CB$87,'Fórmula'!J20,32)))</f>
        <v>2.2</v>
      </c>
      <c r="DE20" s="119">
        <f t="shared" si="18"/>
        <v>5.34</v>
      </c>
      <c r="DF20" s="104">
        <f t="array" ref="DF20">(('Fórmula'!C20)/('Fórmula'!C20+'Fórmula'!E20+'Fórmula'!G20+'Fórmula'!I20+'Fórmula'!K20))*(INDEX(properties!A$1:CB$87,'Fórmula'!B20,34))+(('Fórmula'!E20)/('Fórmula'!C20+'Fórmula'!E20+'Fórmula'!G20+'Fórmula'!I20+'Fórmula'!K20))*(INDEX(properties!A$1:CB$87,'Fórmula'!D20,34))+(('Fórmula'!G20)/('Fórmula'!C20+'Fórmula'!E20+'Fórmula'!G20+'Fórmula'!I20+'Fórmula'!K20))*(INDEX(properties!A$1:CB$87,'Fórmula'!F20,34))+(('Fórmula'!I20)/('Fórmula'!C20+'Fórmula'!E20+'Fórmula'!G20+'Fórmula'!I20+'Fórmula'!K20))*(INDEX(properties!A$1:CB$87,'Fórmula'!H20,34))+(('Fórmula'!K20)/('Fórmula'!C20+'Fórmula'!E20+'Fórmula'!G20+'Fórmula'!I20+'Fórmula'!K20))*(INDEX(properties!A$1:CB$87,'Fórmula'!J20,34))</f>
        <v>2.686083333</v>
      </c>
      <c r="DG20" s="104">
        <f t="array" ref="DG20">'Fórmula'!C20*(INDEX(properties!A$1:CB$87,'Fórmula'!B20,34))+'Fórmula'!E20*(INDEX(properties!A$1:CB$87,'Fórmula'!D20,34))+'Fórmula'!G20*(INDEX(properties!A$1:CB$87,'Fórmula'!F20,34))+'Fórmula'!I20*(INDEX(properties!A$1:CB$87,'Fórmula'!H20,34))+'Fórmula'!K20*(INDEX(properties!A$1:CB$87,'Fórmula'!J20,34))</f>
        <v>32.233</v>
      </c>
      <c r="DH20" s="104">
        <f t="array" ref="DH20">VARP(IF(INDEX(properties!A$1:CB$87,'Fórmula'!B20,34)&lt;&gt;"",INDEX(properties!A$1:CB$87,'Fórmula'!B20,34)),IF(INDEX(properties!A$1:CB$87,'Fórmula'!D20,34)&lt;&gt;"",INDEX(properties!A$1:CB$87,'Fórmula'!D20,34)),IF(INDEX(properties!A$1:CB$87,'Fórmula'!F20,34)&lt;&gt;"",INDEX(properties!A$1:CB$87,'Fórmula'!F20,34)),IF(INDEX(properties!A$1:CB$87,'Fórmula'!H20,34)&lt;&gt;"",INDEX(properties!A$1:CB$87,'Fórmula'!H20,34)),IF(INDEX(properties!A$1:CB$87,'Fórmula'!J20,34)&lt;&gt;"",INDEX(properties!A$1:CB$87,'Fórmula'!J20,34)))</f>
        <v>1.41908864</v>
      </c>
      <c r="DI20" s="104">
        <f t="array" ref="DI20">MAX(INDEX(properties!A$1:CB$87,'Fórmula'!B20,34),INDEX(properties!A$1:CB$87,'Fórmula'!D20,34),INDEX(properties!A$1:CB$87,'Fórmula'!F20,34),INDEX(properties!A$1:CB$87,'Fórmula'!H20,34),INDEX(properties!A$1:CB$87,'Fórmula'!J20,34))</f>
        <v>3.61</v>
      </c>
      <c r="DJ20" s="104">
        <f t="array" ref="DJ20">MIN(IF(INDEX(properties!A$1:CB$87,'Fórmula'!B20,34)=0,10^6,INDEX(properties!A$1:CB$87,'Fórmula'!B20,34)),IF(INDEX(properties!A$1:CB$87,'Fórmula'!D20,34)=0,10^6,INDEX(properties!A$1:CB$87,'Fórmula'!D20,34)),IF(INDEX(properties!A$1:CB$87,'Fórmula'!F20,34)=0,10^6,INDEX(properties!A$1:CB$87,'Fórmula'!F20,34)),IF(INDEX(properties!A$1:CB$87,'Fórmula'!H20,34)=0,10^6,INDEX(properties!A$1:CB$87,'Fórmula'!H20,34)),IF(INDEX(properties!A$1:CB$87,'Fórmula'!J20,34)=0,10^6,INDEX(properties!A$1:CB$87,'Fórmula'!J20,34)))</f>
        <v>1.034</v>
      </c>
      <c r="DK20" s="104">
        <f t="shared" si="19"/>
        <v>2.576</v>
      </c>
      <c r="DL20" s="105">
        <f t="array" ref="DL20">(('Fórmula'!C20)/('Fórmula'!C20+'Fórmula'!E20+'Fórmula'!G20+'Fórmula'!I20+'Fórmula'!K20))*(INDEX(properties!A$1:CB$87,'Fórmula'!B20,37))+(('Fórmula'!E20)/('Fórmula'!C20+'Fórmula'!E20+'Fórmula'!G20+'Fórmula'!I20+'Fórmula'!K20))*(INDEX(properties!A$1:CB$87,'Fórmula'!D20,37))+(('Fórmula'!G20)/('Fórmula'!C20+'Fórmula'!E20+'Fórmula'!G20+'Fórmula'!I20+'Fórmula'!K20))*(INDEX(properties!A$1:CB$87,'Fórmula'!F20,37))+(('Fórmula'!I20)/('Fórmula'!C20+'Fórmula'!E20+'Fórmula'!G20+'Fórmula'!I20+'Fórmula'!K20))*(INDEX(properties!A$1:CB$87,'Fórmula'!H20,37))+(('Fórmula'!K20)/('Fórmula'!C20+'Fórmula'!E20+'Fórmula'!G20+'Fórmula'!I20+'Fórmula'!K20))*(INDEX(properties!A$1:CB$87,'Fórmula'!J20,37))</f>
        <v>2.570833333</v>
      </c>
      <c r="DM20" s="105">
        <f t="array" ref="DM20">'Fórmula'!C20*(INDEX(properties!A$1:CB$87,'Fórmula'!B20,37))+'Fórmula'!E20*(INDEX(properties!A$1:CB$87,'Fórmula'!D20,37))+'Fórmula'!G20*(INDEX(properties!A$1:CB$87,'Fórmula'!F20,37))+'Fórmula'!I20*(INDEX(properties!A$1:CB$87,'Fórmula'!H20,37))+'Fórmula'!K20*(INDEX(properties!A$1:CB$87,'Fórmula'!J20,37))</f>
        <v>30.85</v>
      </c>
      <c r="DN20" s="105">
        <f t="array" ref="DN20">VARP(IF(INDEX(properties!A$1:CB$87,'Fórmula'!B20,37)&lt;&gt;"",INDEX(properties!A$1:CB$87,'Fórmula'!B20,37)),IF(INDEX(properties!A$1:CB$87,'Fórmula'!D20,37)&lt;&gt;"",INDEX(properties!A$1:CB$87,'Fórmula'!D20,37)),IF(INDEX(properties!A$1:CB$87,'Fórmula'!F20,37)&lt;&gt;"",INDEX(properties!A$1:CB$87,'Fórmula'!F20,37)),IF(INDEX(properties!A$1:CB$87,'Fórmula'!H20,37)&lt;&gt;"",INDEX(properties!A$1:CB$87,'Fórmula'!H20,37)),IF(INDEX(properties!A$1:CB$87,'Fórmula'!J20,37)&lt;&gt;"",INDEX(properties!A$1:CB$87,'Fórmula'!J20,37)))</f>
        <v>1.2736</v>
      </c>
      <c r="DO20" s="105">
        <f t="array" ref="DO20">MAX(INDEX(properties!A$1:CB$87,'Fórmula'!B20,37),INDEX(properties!A$1:CB$87,'Fórmula'!D20,37),INDEX(properties!A$1:CB$87,'Fórmula'!F20,37),INDEX(properties!A$1:CB$87,'Fórmula'!H20,37),INDEX(properties!A$1:CB$87,'Fórmula'!J20,37))</f>
        <v>3.45</v>
      </c>
      <c r="DP20" s="105">
        <f t="array" ref="DP20">MIN(IF(INDEX(properties!A$1:CB$87,'Fórmula'!B20,37)=0,10^6,INDEX(properties!A$1:CB$87,'Fórmula'!B20,37)),IF(INDEX(properties!A$1:CB$87,'Fórmula'!D20,37)=0,10^6,INDEX(properties!A$1:CB$87,'Fórmula'!D20,37)),IF(INDEX(properties!A$1:CB$87,'Fórmula'!F20,37)=0,10^6,INDEX(properties!A$1:CB$87,'Fórmula'!F20,37)),IF(INDEX(properties!A$1:CB$87,'Fórmula'!H20,37)=0,10^6,INDEX(properties!A$1:CB$87,'Fórmula'!H20,37)),IF(INDEX(properties!A$1:CB$87,'Fórmula'!J20,37)=0,10^6,INDEX(properties!A$1:CB$87,'Fórmula'!J20,37)))</f>
        <v>1</v>
      </c>
      <c r="DQ20" s="105">
        <f t="shared" si="20"/>
        <v>2.45</v>
      </c>
      <c r="DR20" s="109">
        <f t="array" ref="DR20">(('Fórmula'!C20)/('Fórmula'!C20+'Fórmula'!E20+'Fórmula'!G20+'Fórmula'!I20+'Fórmula'!K20))*(INDEX(properties!A$1:CB$87,'Fórmula'!B20,39))+(('Fórmula'!E20)/('Fórmula'!C20+'Fórmula'!E20+'Fórmula'!G20+'Fórmula'!I20+'Fórmula'!K20))*(INDEX(properties!A$1:CB$87,'Fórmula'!D20,39))+(('Fórmula'!G20)/('Fórmula'!C20+'Fórmula'!E20+'Fórmula'!G20+'Fórmula'!I20+'Fórmula'!K20))*(INDEX(properties!A$1:CB$87,'Fórmula'!F20,39))+(('Fórmula'!I20)/('Fórmula'!C20+'Fórmula'!E20+'Fórmula'!G20+'Fórmula'!I20+'Fórmula'!K20))*(INDEX(properties!A$1:CB$87,'Fórmula'!H20,39))+(('Fórmula'!K20)/('Fórmula'!C20+'Fórmula'!E20+'Fórmula'!G20+'Fórmula'!I20+'Fórmula'!K20))*(INDEX(properties!A$1:CB$87,'Fórmula'!J20,39))</f>
        <v>0.8991666667</v>
      </c>
      <c r="DS20" s="109">
        <f t="array" ref="DS20">'Fórmula'!C20*(INDEX(properties!A$1:CB$87,'Fórmula'!B20,39))+'Fórmula'!E20*(INDEX(properties!A$1:CB$87,'Fórmula'!D20,39))+'Fórmula'!G20*(INDEX(properties!A$1:CB$87,'Fórmula'!F20,39))+'Fórmula'!I20*(INDEX(properties!A$1:CB$87,'Fórmula'!H20,39))+'Fórmula'!K20*(INDEX(properties!A$1:CB$87,'Fórmula'!J20,39))</f>
        <v>10.79</v>
      </c>
      <c r="DT20" s="109">
        <f t="array" ref="DT20">VARP(IF(INDEX(properties!A$1:CB$87,'Fórmula'!B20,39)&lt;&gt;"",INDEX(properties!A$1:CB$87,'Fórmula'!B20,39)),IF(INDEX(properties!A$1:CB$87,'Fórmula'!D20,39)&lt;&gt;"",INDEX(properties!A$1:CB$87,'Fórmula'!D20,39)),IF(INDEX(properties!A$1:CB$87,'Fórmula'!F20,39)&lt;&gt;"",INDEX(properties!A$1:CB$87,'Fórmula'!F20,39)),IF(INDEX(properties!A$1:CB$87,'Fórmula'!H20,39)&lt;&gt;"",INDEX(properties!A$1:CB$87,'Fórmula'!H20,39)),IF(INDEX(properties!A$1:CB$87,'Fórmula'!J20,39)&lt;&gt;"",INDEX(properties!A$1:CB$87,'Fórmula'!J20,39)))</f>
        <v>0.60568</v>
      </c>
      <c r="DU20" s="120">
        <f t="array" ref="DU20">MAX(INDEX(properties!A$1:CB$87,'Fórmula'!B20,39),INDEX(properties!A$1:CB$87,'Fórmula'!D20,39),INDEX(properties!A$1:CB$87,'Fórmula'!F20,39),INDEX(properties!A$1:CB$87,'Fórmula'!H20,39),INDEX(properties!A$1:CB$87,'Fórmula'!J20,39))</f>
        <v>1.95</v>
      </c>
      <c r="DV20" s="120">
        <f t="array" ref="DV20">MIN(IF(INDEX(properties!A$1:CB$87,'Fórmula'!B20,39)=0,10^6,INDEX(properties!A$1:CB$87,'Fórmula'!B20,39)),IF(INDEX(properties!A$1:CB$87,'Fórmula'!D20,39)=0,10^6,INDEX(properties!A$1:CB$87,'Fórmula'!D20,39)),IF(INDEX(properties!A$1:CB$87,'Fórmula'!F20,39)=0,10^6,INDEX(properties!A$1:CB$87,'Fórmula'!F20,39)),IF(INDEX(properties!A$1:CB$87,'Fórmula'!H20,39)=0,10^6,INDEX(properties!A$1:CB$87,'Fórmula'!H20,39)),IF(INDEX(properties!A$1:CB$87,'Fórmula'!J20,39)=0,10^6,INDEX(properties!A$1:CB$87,'Fórmula'!J20,39)))</f>
        <v>0.48</v>
      </c>
      <c r="DW20" s="109">
        <f t="shared" si="21"/>
        <v>1.47</v>
      </c>
      <c r="DX20" s="110">
        <f t="array" ref="DX20">(('Fórmula'!C20)/('Fórmula'!C20+'Fórmula'!E20+'Fórmula'!G20+'Fórmula'!I20+'Fórmula'!K20))*(INDEX(properties!A$1:CB$87,'Fórmula'!B20,40))+(('Fórmula'!E20)/('Fórmula'!C20+'Fórmula'!E20+'Fórmula'!G20+'Fórmula'!I20+'Fórmula'!K20))*(INDEX(properties!A$1:CB$87,'Fórmula'!D20,40))+(('Fórmula'!G20)/('Fórmula'!C20+'Fórmula'!E20+'Fórmula'!G20+'Fórmula'!I20+'Fórmula'!K20))*(INDEX(properties!A$1:CB$87,'Fórmula'!F20,40))+(('Fórmula'!I20)/('Fórmula'!C20+'Fórmula'!E20+'Fórmula'!G20+'Fórmula'!I20+'Fórmula'!K20))*(INDEX(properties!A$1:CB$87,'Fórmula'!H20,40))+(('Fórmula'!K20)/('Fórmula'!C20+'Fórmula'!E20+'Fórmula'!G20+'Fórmula'!I20+'Fórmula'!K20))*(INDEX(properties!A$1:CB$87,'Fórmula'!J20,40))</f>
        <v>1.006666667</v>
      </c>
      <c r="DY20" s="110">
        <f t="array" ref="DY20">'Fórmula'!C20*(INDEX(properties!A$1:CB$87,'Fórmula'!B20,40))+'Fórmula'!E20*(INDEX(properties!A$1:CB$87,'Fórmula'!D20,40))+'Fórmula'!G20*(INDEX(properties!A$1:CB$87,'Fórmula'!F20,40))+'Fórmula'!I20*(INDEX(properties!A$1:CB$87,'Fórmula'!H20,40))+'Fórmula'!K20*(INDEX(properties!A$1:CB$87,'Fórmula'!J20,40))</f>
        <v>12.08</v>
      </c>
      <c r="DZ20" s="110">
        <f t="array" ref="DZ20">VARP(IF(INDEX(properties!A$1:CB$87,'Fórmula'!B20,40)&lt;&gt;"",INDEX(properties!A$1:CB$87,'Fórmula'!B20,40)),IF(INDEX(properties!A$1:CB$87,'Fórmula'!D20,40)&lt;&gt;"",INDEX(properties!A$1:CB$87,'Fórmula'!D20,40)),IF(INDEX(properties!A$1:CB$87,'Fórmula'!F20,40)&lt;&gt;"",INDEX(properties!A$1:CB$87,'Fórmula'!F20,40)),IF(INDEX(properties!A$1:CB$87,'Fórmula'!H20,40)&lt;&gt;"",INDEX(properties!A$1:CB$87,'Fórmula'!H20,40)),IF(INDEX(properties!A$1:CB$87,'Fórmula'!J20,40)&lt;&gt;"",INDEX(properties!A$1:CB$87,'Fórmula'!J20,40)))</f>
        <v>0.421176</v>
      </c>
      <c r="EA20" s="121">
        <f t="array" ref="EA20">MAX(INDEX(properties!A$1:CB$87,'Fórmula'!B20,40),INDEX(properties!A$1:CB$87,'Fórmula'!D20,40),INDEX(properties!A$1:CB$87,'Fórmula'!F20,40),INDEX(properties!A$1:CB$87,'Fórmula'!H20,40),INDEX(properties!A$1:CB$87,'Fórmula'!J20,40))</f>
        <v>1.74</v>
      </c>
      <c r="EB20" s="121">
        <f t="array" ref="EB20">MIN(IF(INDEX(properties!A$1:CB$87,'Fórmula'!B20,40)=0,10^6,INDEX(properties!A$1:CB$87,'Fórmula'!B20,40)),IF(INDEX(properties!A$1:CB$87,'Fórmula'!D20,40)=0,10^6,INDEX(properties!A$1:CB$87,'Fórmula'!D20,40)),IF(INDEX(properties!A$1:CB$87,'Fórmula'!F20,40)=0,10^6,INDEX(properties!A$1:CB$87,'Fórmula'!F20,40)),IF(INDEX(properties!A$1:CB$87,'Fórmula'!H20,40)=0,10^6,INDEX(properties!A$1:CB$87,'Fórmula'!H20,40)),IF(INDEX(properties!A$1:CB$87,'Fórmula'!J20,40)=0,10^6,INDEX(properties!A$1:CB$87,'Fórmula'!J20,40)))</f>
        <v>0.73</v>
      </c>
      <c r="EC20" s="110">
        <f t="shared" si="22"/>
        <v>1.01</v>
      </c>
      <c r="ED20" s="111">
        <f t="array" ref="ED20">(('Fórmula'!C20)/('Fórmula'!C20+'Fórmula'!E20+'Fórmula'!G20+'Fórmula'!I20+'Fórmula'!K20))*(INDEX(properties!A$1:CB$87,'Fórmula'!B20,41))+(('Fórmula'!E20)/('Fórmula'!C20+'Fórmula'!E20+'Fórmula'!G20+'Fórmula'!I20+'Fórmula'!K20))*(INDEX(properties!A$1:CB$87,'Fórmula'!D20,41))+(('Fórmula'!G20)/('Fórmula'!C20+'Fórmula'!E20+'Fórmula'!G20+'Fórmula'!I20+'Fórmula'!K20))*(INDEX(properties!A$1:CB$87,'Fórmula'!F20,41))+(('Fórmula'!I20)/('Fórmula'!C20+'Fórmula'!E20+'Fórmula'!G20+'Fórmula'!I20+'Fórmula'!K20))*(INDEX(properties!A$1:CB$87,'Fórmula'!H20,41))+(('Fórmula'!K20)/('Fórmula'!C20+'Fórmula'!E20+'Fórmula'!G20+'Fórmula'!I20+'Fórmula'!K20))*(INDEX(properties!A$1:CB$87,'Fórmula'!J20,41))</f>
        <v>1.0975</v>
      </c>
      <c r="EE20" s="111">
        <f t="array" ref="EE20">'Fórmula'!C20*(INDEX(properties!A$1:CB$87,'Fórmula'!B20,41))+'Fórmula'!E20*(INDEX(properties!A$1:CB$87,'Fórmula'!D20,41))+'Fórmula'!G20*(INDEX(properties!A$1:CB$87,'Fórmula'!F20,41))+'Fórmula'!I20*(INDEX(properties!A$1:CB$87,'Fórmula'!H20,41))+'Fórmula'!K20*(INDEX(properties!A$1:CB$87,'Fórmula'!J20,41))</f>
        <v>13.17</v>
      </c>
      <c r="EF20" s="111">
        <f t="array" ref="EF20">VARP(IF(INDEX(properties!A$1:CB$87,'Fórmula'!B20,41)&lt;&gt;"",INDEX(properties!A$1:CB$87,'Fórmula'!B20,41)),IF(INDEX(properties!A$1:CB$87,'Fórmula'!D20,41)&lt;&gt;"",INDEX(properties!A$1:CB$87,'Fórmula'!D20,41)),IF(INDEX(properties!A$1:CB$87,'Fórmula'!F20,41)&lt;&gt;"",INDEX(properties!A$1:CB$87,'Fórmula'!F20,41)),IF(INDEX(properties!A$1:CB$87,'Fórmula'!H20,41)&lt;&gt;"",INDEX(properties!A$1:CB$87,'Fórmula'!H20,41)),IF(INDEX(properties!A$1:CB$87,'Fórmula'!J20,41)&lt;&gt;"",INDEX(properties!A$1:CB$87,'Fórmula'!J20,41)))</f>
        <v>0.2212</v>
      </c>
      <c r="EG20" s="122">
        <f t="array" ref="EG20">MAX(INDEX(properties!A$1:CB$87,'Fórmula'!B20,41),INDEX(properties!A$1:CB$87,'Fórmula'!D20,41),INDEX(properties!A$1:CB$87,'Fórmula'!F20,41),INDEX(properties!A$1:CB$87,'Fórmula'!H20,41),INDEX(properties!A$1:CB$87,'Fórmula'!J20,41))</f>
        <v>1.26</v>
      </c>
      <c r="EH20" s="122">
        <f t="array" ref="EH20">MIN(IF(INDEX(properties!A$1:CB$87,'Fórmula'!B20,41)=0,10^6,INDEX(properties!A$1:CB$87,'Fórmula'!B20,41)),IF(INDEX(properties!A$1:CB$87,'Fórmula'!D20,41)=0,10^6,INDEX(properties!A$1:CB$87,'Fórmula'!D20,41)),IF(INDEX(properties!A$1:CB$87,'Fórmula'!F20,41)=0,10^6,INDEX(properties!A$1:CB$87,'Fórmula'!F20,41)),IF(INDEX(properties!A$1:CB$87,'Fórmula'!H20,41)=0,10^6,INDEX(properties!A$1:CB$87,'Fórmula'!H20,41)),IF(INDEX(properties!A$1:CB$87,'Fórmula'!J20,41)=0,10^6,INDEX(properties!A$1:CB$87,'Fórmula'!J20,41)))</f>
        <v>0.68</v>
      </c>
      <c r="EI20" s="111">
        <f t="shared" si="23"/>
        <v>0.58</v>
      </c>
      <c r="EJ20" s="112">
        <f t="array" ref="EJ20">(('Fórmula'!C20)/('Fórmula'!C20+'Fórmula'!E20+'Fórmula'!G20+'Fórmula'!I20+'Fórmula'!K20))*(INDEX(properties!A$1:CB$87,'Fórmula'!B20,45))+(('Fórmula'!E20)/('Fórmula'!C20+'Fórmula'!E20+'Fórmula'!G20+'Fórmula'!I20+'Fórmula'!K20))*(INDEX(properties!A$1:CB$87,'Fórmula'!D20,45))+(('Fórmula'!G20)/('Fórmula'!C20+'Fórmula'!E20+'Fórmula'!G20+'Fórmula'!I20+'Fórmula'!K20))*(INDEX(properties!A$1:CB$87,'Fórmula'!F20,45))+(('Fórmula'!I20)/('Fórmula'!C20+'Fórmula'!E20+'Fórmula'!G20+'Fórmula'!I20+'Fórmula'!K20))*(INDEX(properties!A$1:CB$87,'Fórmula'!H20,45))+(('Fórmula'!K20)/('Fórmula'!C20+'Fórmula'!E20+'Fórmula'!G20+'Fórmula'!I20+'Fórmula'!K20))*(INDEX(properties!A$1:CB$87,'Fórmula'!J20,45))</f>
        <v>1.200833333</v>
      </c>
      <c r="EK20" s="112">
        <f t="array" ref="EK20">'Fórmula'!C20*(INDEX(properties!A$1:CB$87,'Fórmula'!B20,45))+'Fórmula'!E20*(INDEX(properties!A$1:CB$87,'Fórmula'!D20,45))+'Fórmula'!G20*(INDEX(properties!A$1:CB$87,'Fórmula'!F20,45))+'Fórmula'!I20*(INDEX(properties!A$1:CB$87,'Fórmula'!H20,45))+'Fórmula'!K20*(INDEX(properties!A$1:CB$87,'Fórmula'!J20,45))</f>
        <v>14.41</v>
      </c>
      <c r="EL20" s="112">
        <f t="array" ref="EL20">VARP(IF(INDEX(properties!A$1:CB$87,'Fórmula'!B20,45)&lt;&gt;"",INDEX(properties!A$1:CB$87,'Fórmula'!B20,45)),IF(INDEX(properties!A$1:CB$87,'Fórmula'!D20,45)&lt;&gt;"",INDEX(properties!A$1:CB$87,'Fórmula'!D20,45)),IF(INDEX(properties!A$1:CB$87,'Fórmula'!F20,45)&lt;&gt;"",INDEX(properties!A$1:CB$87,'Fórmula'!F20,45)),IF(INDEX(properties!A$1:CB$87,'Fórmula'!H20,45)&lt;&gt;"",INDEX(properties!A$1:CB$87,'Fórmula'!H20,45)),IF(INDEX(properties!A$1:CB$87,'Fórmula'!J20,45)&lt;&gt;"",INDEX(properties!A$1:CB$87,'Fórmula'!J20,45)))</f>
        <v>1.596624</v>
      </c>
      <c r="EM20" s="123">
        <f t="array" ref="EM20">MAX(INDEX(properties!A$1:CB$87,'Fórmula'!B20,45),INDEX(properties!A$1:CB$87,'Fórmula'!D20,45),INDEX(properties!A$1:CB$87,'Fórmula'!F20,45),INDEX(properties!A$1:CB$87,'Fórmula'!H20,45),INDEX(properties!A$1:CB$87,'Fórmula'!J20,45))</f>
        <v>3.08</v>
      </c>
      <c r="EN20" s="123">
        <f t="array" ref="EN20">MIN(IF(INDEX(properties!A$1:CB$87,'Fórmula'!B20,45)=0,10^6,INDEX(properties!A$1:CB$87,'Fórmula'!B20,45)),IF(INDEX(properties!A$1:CB$87,'Fórmula'!D20,45)=0,10^6,INDEX(properties!A$1:CB$87,'Fórmula'!D20,45)),IF(INDEX(properties!A$1:CB$87,'Fórmula'!F20,45)=0,10^6,INDEX(properties!A$1:CB$87,'Fórmula'!F20,45)),IF(INDEX(properties!A$1:CB$87,'Fórmula'!H20,45)=0,10^6,INDEX(properties!A$1:CB$87,'Fórmula'!H20,45)),IF(INDEX(properties!A$1:CB$87,'Fórmula'!J20,45)=0,10^6,INDEX(properties!A$1:CB$87,'Fórmula'!J20,45)))</f>
        <v>0.47</v>
      </c>
      <c r="EO20" s="112">
        <f t="shared" si="24"/>
        <v>2.61</v>
      </c>
      <c r="EP20" s="113">
        <f t="array" ref="EP20">(('Fórmula'!C20)/('Fórmula'!C20+'Fórmula'!E20+'Fórmula'!G20+'Fórmula'!I20+'Fórmula'!K20))*(INDEX(properties!A$1:CB$87,'Fórmula'!B20,46))+(('Fórmula'!E20)/('Fórmula'!C20+'Fórmula'!E20+'Fórmula'!G20+'Fórmula'!I20+'Fórmula'!K20))*(INDEX(properties!A$1:CB$87,'Fórmula'!D20,46))+(('Fórmula'!G20)/('Fórmula'!C20+'Fórmula'!E20+'Fórmula'!G20+'Fórmula'!I20+'Fórmula'!K20))*(INDEX(properties!A$1:CB$87,'Fórmula'!F20,46))+(('Fórmula'!I20)/('Fórmula'!C20+'Fórmula'!E20+'Fórmula'!G20+'Fórmula'!I20+'Fórmula'!K20))*(INDEX(properties!A$1:CB$87,'Fórmula'!H20,46))+(('Fórmula'!K20)/('Fórmula'!C20+'Fórmula'!E20+'Fórmula'!G20+'Fórmula'!I20+'Fórmula'!K20))*(INDEX(properties!A$1:CB$87,'Fórmula'!J20,46))</f>
        <v>1.046666667</v>
      </c>
      <c r="EQ20" s="113">
        <f t="array" ref="EQ20">'Fórmula'!C20*(INDEX(properties!A$1:CB$87,'Fórmula'!B20,46))+'Fórmula'!E20*(INDEX(properties!A$1:CB$87,'Fórmula'!D20,46))+'Fórmula'!G20*(INDEX(properties!A$1:CB$87,'Fórmula'!F20,46))+'Fórmula'!I20*(INDEX(properties!A$1:CB$87,'Fórmula'!H20,46))+'Fórmula'!K20*(INDEX(properties!A$1:CB$87,'Fórmula'!J20,46))</f>
        <v>12.56</v>
      </c>
      <c r="ER20" s="113">
        <f t="array" ref="ER20">VARP(IF(INDEX(properties!A$1:CB$87,'Fórmula'!B20,46)&lt;&gt;"",INDEX(properties!A$1:CB$87,'Fórmula'!B20,46)),IF(INDEX(properties!A$1:CB$87,'Fórmula'!D20,46)&lt;&gt;"",INDEX(properties!A$1:CB$87,'Fórmula'!D20,46)),IF(INDEX(properties!A$1:CB$87,'Fórmula'!F20,46)&lt;&gt;"",INDEX(properties!A$1:CB$87,'Fórmula'!F20,46)),IF(INDEX(properties!A$1:CB$87,'Fórmula'!H20,46)&lt;&gt;"",INDEX(properties!A$1:CB$87,'Fórmula'!H20,46)),IF(INDEX(properties!A$1:CB$87,'Fórmula'!J20,46)&lt;&gt;"",INDEX(properties!A$1:CB$87,'Fórmula'!J20,46)))</f>
        <v>0.259736</v>
      </c>
      <c r="ES20" s="124">
        <f t="array" ref="ES20">MAX(INDEX(properties!A$1:CB$87,'Fórmula'!B20,46),INDEX(properties!A$1:CB$87,'Fórmula'!D20,46),INDEX(properties!A$1:CB$87,'Fórmula'!F20,46),INDEX(properties!A$1:CB$87,'Fórmula'!H20,46),INDEX(properties!A$1:CB$87,'Fórmula'!J20,46))</f>
        <v>1.36</v>
      </c>
      <c r="ET20" s="124">
        <f t="array" ref="ET20">MIN(IF(INDEX(properties!A$1:CB$87,'Fórmula'!B20,46)=0,10^6,INDEX(properties!A$1:CB$87,'Fórmula'!B20,46)),IF(INDEX(properties!A$1:CB$87,'Fórmula'!D20,46)=0,10^6,INDEX(properties!A$1:CB$87,'Fórmula'!D20,46)),IF(INDEX(properties!A$1:CB$87,'Fórmula'!F20,46)=0,10^6,INDEX(properties!A$1:CB$87,'Fórmula'!F20,46)),IF(INDEX(properties!A$1:CB$87,'Fórmula'!H20,46)=0,10^6,INDEX(properties!A$1:CB$87,'Fórmula'!H20,46)),IF(INDEX(properties!A$1:CB$87,'Fórmula'!J20,46)=0,10^6,INDEX(properties!A$1:CB$87,'Fórmula'!J20,46)))</f>
        <v>0.53</v>
      </c>
      <c r="EU20" s="113">
        <f t="shared" si="25"/>
        <v>0.83</v>
      </c>
      <c r="EV20" s="114">
        <f t="array" ref="EV20">(('Fórmula'!C20)/('Fórmula'!C20+'Fórmula'!E20+'Fórmula'!G20+'Fórmula'!I20+'Fórmula'!K20))*(INDEX(properties!A$1:CB$87,'Fórmula'!B20,52))+(('Fórmula'!E20)/('Fórmula'!C20+'Fórmula'!E20+'Fórmula'!G20+'Fórmula'!I20+'Fórmula'!K20))*(INDEX(properties!A$1:CB$87,'Fórmula'!D20,52))+(('Fórmula'!G20)/('Fórmula'!C20+'Fórmula'!E20+'Fórmula'!G20+'Fórmula'!I20+'Fórmula'!K20))*(INDEX(properties!A$1:CB$87,'Fórmula'!F20,52))+(('Fórmula'!I20)/('Fórmula'!C20+'Fórmula'!E20+'Fórmula'!G20+'Fórmula'!I20+'Fórmula'!K20))*(INDEX(properties!A$1:CB$87,'Fórmula'!H20,52))+(('Fórmula'!K20)/('Fórmula'!C20+'Fórmula'!E20+'Fórmula'!G20+'Fórmula'!I20+'Fórmula'!K20))*(INDEX(properties!A$1:CB$87,'Fórmula'!J20,52))</f>
        <v>7.02925</v>
      </c>
      <c r="EW20" s="114">
        <f t="array" ref="EW20">'Fórmula'!C20*(INDEX(properties!A$1:CB$87,'Fórmula'!B20,52))+'Fórmula'!E20*(INDEX(properties!A$1:CB$87,'Fórmula'!D20,52))+'Fórmula'!G20*(INDEX(properties!A$1:CB$87,'Fórmula'!F20,52))+'Fórmula'!I20*(INDEX(properties!A$1:CB$87,'Fórmula'!H20,52))+'Fórmula'!K20*(INDEX(properties!A$1:CB$87,'Fórmula'!J20,52))</f>
        <v>84.351</v>
      </c>
      <c r="EX20" s="114">
        <f t="array" ref="EX20">VARP(IF(INDEX(properties!A$1:CB$87,'Fórmula'!B20,52)&lt;&gt;"",INDEX(properties!A$1:CB$87,'Fórmula'!B20,52)),IF(INDEX(properties!A$1:CB$87,'Fórmula'!D20,52)&lt;&gt;"",INDEX(properties!A$1:CB$87,'Fórmula'!D20,52)),IF(INDEX(properties!A$1:CB$87,'Fórmula'!F20,52)&lt;&gt;"",INDEX(properties!A$1:CB$87,'Fórmula'!F20,52)),IF(INDEX(properties!A$1:CB$87,'Fórmula'!H20,52)&lt;&gt;"",INDEX(properties!A$1:CB$87,'Fórmula'!H20,52)),IF(INDEX(properties!A$1:CB$87,'Fórmula'!J20,52)&lt;&gt;"",INDEX(properties!A$1:CB$87,'Fórmula'!J20,52)))</f>
        <v>152.5890478</v>
      </c>
      <c r="EY20" s="114">
        <f t="array" ref="EY20">MAX(INDEX(properties!A$1:CB$87,'Fórmula'!B20,52),INDEX(properties!A$1:CB$87,'Fórmula'!D20,52),INDEX(properties!A$1:CB$87,'Fórmula'!F20,52),INDEX(properties!A$1:CB$87,'Fórmula'!H20,52),INDEX(properties!A$1:CB$87,'Fórmula'!J20,52))</f>
        <v>31.1</v>
      </c>
      <c r="EZ20" s="114">
        <f t="array" ref="EZ20">MIN(IF(INDEX(properties!A$1:CB$87,'Fórmula'!B20,52)=0,10^6,INDEX(properties!A$1:CB$87,'Fórmula'!B20,52)),IF(INDEX(properties!A$1:CB$87,'Fórmula'!D20,52)=0,10^6,INDEX(properties!A$1:CB$87,'Fórmula'!D20,52)),IF(INDEX(properties!A$1:CB$87,'Fórmula'!F20,52)=0,10^6,INDEX(properties!A$1:CB$87,'Fórmula'!F20,52)),IF(INDEX(properties!A$1:CB$87,'Fórmula'!H20,52)=0,10^6,INDEX(properties!A$1:CB$87,'Fórmula'!H20,52)),IF(INDEX(properties!A$1:CB$87,'Fórmula'!J20,52)=0,10^6,INDEX(properties!A$1:CB$87,'Fórmula'!J20,52)))</f>
        <v>0.793</v>
      </c>
      <c r="FA20" s="114">
        <f t="shared" si="26"/>
        <v>30.307</v>
      </c>
      <c r="FB20" s="115">
        <f t="array" ref="FB20">(('Fórmula'!C20)/('Fórmula'!C20+'Fórmula'!E20+'Fórmula'!G20+'Fórmula'!I20+'Fórmula'!K20))*(INDEX(properties!A$1:CB$87,'Fórmula'!B20,53))+(('Fórmula'!E20)/('Fórmula'!C20+'Fórmula'!E20+'Fórmula'!G20+'Fórmula'!I20+'Fórmula'!K20))*(INDEX(properties!A$1:CB$87,'Fórmula'!D20,53))+(('Fórmula'!G20)/('Fórmula'!C20+'Fórmula'!E20+'Fórmula'!G20+'Fórmula'!I20+'Fórmula'!K20))*(INDEX(properties!A$1:CB$87,'Fórmula'!F20,53))+(('Fórmula'!I20)/('Fórmula'!C20+'Fórmula'!E20+'Fórmula'!G20+'Fórmula'!I20+'Fórmula'!K20))*(INDEX(properties!A$1:CB$87,'Fórmula'!H20,53))+(('Fórmula'!K20)/('Fórmula'!C20+'Fórmula'!E20+'Fórmula'!G20+'Fórmula'!I20+'Fórmula'!K20))*(INDEX(properties!A$1:CB$87,'Fórmula'!J20,53))</f>
        <v>457.3333333</v>
      </c>
      <c r="FC20" s="115">
        <f t="array" ref="FC20">'Fórmula'!C20*(INDEX(properties!A$1:CB$87,'Fórmula'!B20,53))+'Fórmula'!E20*(INDEX(properties!A$1:CB$87,'Fórmula'!D20,53))+'Fórmula'!G20*(INDEX(properties!A$1:CB$87,'Fórmula'!F20,53))+'Fórmula'!I20*(INDEX(properties!A$1:CB$87,'Fórmula'!H20,53))+'Fórmula'!K20*(INDEX(properties!A$1:CB$87,'Fórmula'!J20,53))</f>
        <v>5488</v>
      </c>
      <c r="FD20" s="115">
        <f t="array" ref="FD20">VARP(IF(INDEX(properties!A$1:CB$87,'Fórmula'!B20,53)&lt;&gt;"",INDEX(properties!A$1:CB$87,'Fórmula'!B20,53)),IF(INDEX(properties!A$1:CB$87,'Fórmula'!D20,53)&lt;&gt;"",INDEX(properties!A$1:CB$87,'Fórmula'!D20,53)),IF(INDEX(properties!A$1:CB$87,'Fórmula'!F20,53)&lt;&gt;"",INDEX(properties!A$1:CB$87,'Fórmula'!F20,53)),IF(INDEX(properties!A$1:CB$87,'Fórmula'!H20,53)&lt;&gt;"",INDEX(properties!A$1:CB$87,'Fórmula'!H20,53)),IF(INDEX(properties!A$1:CB$87,'Fórmula'!J20,53)&lt;&gt;"",INDEX(properties!A$1:CB$87,'Fórmula'!J20,53)))</f>
        <v>273043.5564</v>
      </c>
      <c r="FE20" s="115">
        <f t="array" ref="FE20">MAX(INDEX(properties!A$1:CB$87,'Fórmula'!B20,53),INDEX(properties!A$1:CB$87,'Fórmula'!D20,53),INDEX(properties!A$1:CB$87,'Fórmula'!F20,53),INDEX(properties!A$1:CB$87,'Fórmula'!H20,53),INDEX(properties!A$1:CB$87,'Fórmula'!J20,53))</f>
        <v>1193.15</v>
      </c>
      <c r="FF20" s="115">
        <f t="array" ref="FF20">MIN(IF(INDEX(properties!A$1:CB$87,'Fórmula'!B20,53)=0,10^6,INDEX(properties!A$1:CB$87,'Fórmula'!B20,53)),IF(INDEX(properties!A$1:CB$87,'Fórmula'!D20,53)=0,10^6,INDEX(properties!A$1:CB$87,'Fórmula'!D20,53)),IF(INDEX(properties!A$1:CB$87,'Fórmula'!F20,53)=0,10^6,INDEX(properties!A$1:CB$87,'Fórmula'!F20,53)),IF(INDEX(properties!A$1:CB$87,'Fórmula'!H20,53)=0,10^6,INDEX(properties!A$1:CB$87,'Fórmula'!H20,53)),IF(INDEX(properties!A$1:CB$87,'Fórmula'!J20,53)=0,10^6,INDEX(properties!A$1:CB$87,'Fórmula'!J20,53)))</f>
        <v>54.75</v>
      </c>
      <c r="FG20" s="115">
        <f t="shared" si="27"/>
        <v>1138.4</v>
      </c>
      <c r="FH20" s="117">
        <f t="array" ref="FH20">(('Fórmula'!C20)/('Fórmula'!C20+'Fórmula'!E20+'Fórmula'!G20+'Fórmula'!I20+'Fórmula'!K20))*(INDEX(properties!A$1:CB$87,'Fórmula'!B20,54))+(('Fórmula'!E20)/('Fórmula'!C20+'Fórmula'!E20+'Fórmula'!G20+'Fórmula'!I20+'Fórmula'!K20))*(INDEX(properties!A$1:CB$87,'Fórmula'!D20,54))+(('Fórmula'!G20)/('Fórmula'!C20+'Fórmula'!E20+'Fórmula'!G20+'Fórmula'!I20+'Fórmula'!K20))*(INDEX(properties!A$1:CB$87,'Fórmula'!F20,54))+(('Fórmula'!I20)/('Fórmula'!C20+'Fórmula'!E20+'Fórmula'!G20+'Fórmula'!I20+'Fórmula'!K20))*(INDEX(properties!A$1:CB$87,'Fórmula'!H20,54))+(('Fórmula'!K20)/('Fórmula'!C20+'Fórmula'!E20+'Fórmula'!G20+'Fórmula'!I20+'Fórmula'!K20))*(INDEX(properties!A$1:CB$87,'Fórmula'!J20,54))</f>
        <v>1194.65</v>
      </c>
      <c r="FI20" s="117">
        <f t="array" ref="FI20">'Fórmula'!C20*(INDEX(properties!A$1:CB$87,'Fórmula'!B20,54))+'Fórmula'!E20*(INDEX(properties!A$1:CB$87,'Fórmula'!D20,54))+'Fórmula'!G20*(INDEX(properties!A$1:CB$87,'Fórmula'!F20,54))+'Fórmula'!I20*(INDEX(properties!A$1:CB$87,'Fórmula'!H20,54))+'Fórmula'!K20*(INDEX(properties!A$1:CB$87,'Fórmula'!J20,54))</f>
        <v>14335.8</v>
      </c>
      <c r="FJ20" s="117">
        <f t="array" ref="FJ20">VARP(IF(INDEX(properties!A$1:CB$87,'Fórmula'!B20,54)&lt;&gt;"",INDEX(properties!A$1:CB$87,'Fórmula'!B20,54)),IF(INDEX(properties!A$1:CB$87,'Fórmula'!D20,54)&lt;&gt;"",INDEX(properties!A$1:CB$87,'Fórmula'!D20,54)),IF(INDEX(properties!A$1:CB$87,'Fórmula'!F20,54)&lt;&gt;"",INDEX(properties!A$1:CB$87,'Fórmula'!F20,54)),IF(INDEX(properties!A$1:CB$87,'Fórmula'!H20,54)&lt;&gt;"",INDEX(properties!A$1:CB$87,'Fórmula'!H20,54)),IF(INDEX(properties!A$1:CB$87,'Fórmula'!J20,54)&lt;&gt;"",INDEX(properties!A$1:CB$87,'Fórmula'!J20,54)))</f>
        <v>2133851.532</v>
      </c>
      <c r="FK20" s="117">
        <f t="array" ref="FK20">MAX(INDEX(properties!A$1:CB$87,'Fórmula'!B20,54),INDEX(properties!A$1:CB$87,'Fórmula'!D20,54),INDEX(properties!A$1:CB$87,'Fórmula'!F20,54),INDEX(properties!A$1:CB$87,'Fórmula'!H20,54),INDEX(properties!A$1:CB$87,'Fórmula'!J20,54))</f>
        <v>3727.15</v>
      </c>
      <c r="FL20" s="117">
        <f t="array" ref="FL20">MIN(IF(INDEX(properties!A$1:CB$87,'Fórmula'!B20,54)=0,10^6,INDEX(properties!A$1:CB$87,'Fórmula'!B20,54)),IF(INDEX(properties!A$1:CB$87,'Fórmula'!D20,54)=0,10^6,INDEX(properties!A$1:CB$87,'Fórmula'!D20,54)),IF(INDEX(properties!A$1:CB$87,'Fórmula'!F20,54)=0,10^6,INDEX(properties!A$1:CB$87,'Fórmula'!F20,54)),IF(INDEX(properties!A$1:CB$87,'Fórmula'!H20,54)=0,10^6,INDEX(properties!A$1:CB$87,'Fórmula'!H20,54)),IF(INDEX(properties!A$1:CB$87,'Fórmula'!J20,54)=0,10^6,INDEX(properties!A$1:CB$87,'Fórmula'!J20,54)))</f>
        <v>90.15</v>
      </c>
      <c r="FM20" s="117">
        <f t="shared" si="28"/>
        <v>3637</v>
      </c>
      <c r="FN20" s="118">
        <f t="array" ref="FN20">(('Fórmula'!C20)/('Fórmula'!C20+'Fórmula'!E20+'Fórmula'!G20+'Fórmula'!I20+'Fórmula'!K20))*(INDEX(properties!A$1:CB$87,'Fórmula'!B20,55))+(('Fórmula'!E20)/('Fórmula'!C20+'Fórmula'!E20+'Fórmula'!G20+'Fórmula'!I20+'Fórmula'!K20))*(INDEX(properties!A$1:CB$87,'Fórmula'!D20,55))+(('Fórmula'!G20)/('Fórmula'!C20+'Fórmula'!E20+'Fórmula'!G20+'Fórmula'!I20+'Fórmula'!K20))*(INDEX(properties!A$1:CB$87,'Fórmula'!F20,55))+(('Fórmula'!I20)/('Fórmula'!C20+'Fórmula'!E20+'Fórmula'!G20+'Fórmula'!I20+'Fórmula'!K20))*(INDEX(properties!A$1:CB$87,'Fórmula'!H20,55))+(('Fórmula'!K20)/('Fórmula'!C20+'Fórmula'!E20+'Fórmula'!G20+'Fórmula'!I20+'Fórmula'!K20))*(INDEX(properties!A$1:CB$87,'Fórmula'!J20,55))</f>
        <v>1.317500833</v>
      </c>
      <c r="FO20" s="118">
        <f t="array" ref="FO20">'Fórmula'!C20*(INDEX(properties!A$1:CB$87,'Fórmula'!B20,55))+'Fórmula'!E20*(INDEX(properties!A$1:CB$87,'Fórmula'!D20,54))+'Fórmula'!G20*(INDEX(properties!A$1:CB$87,'Fórmula'!F20,55))+'Fórmula'!I20*(INDEX(properties!A$1:CB$87,'Fórmula'!H20,55))+'Fórmula'!K20*(INDEX(properties!A$1:CB$87,'Fórmula'!J20,55))</f>
        <v>3736.81001</v>
      </c>
      <c r="FP20" s="118">
        <f t="array" ref="FP20">VARP(IF(INDEX(properties!A$1:CB$87,'Fórmula'!B20,55)&lt;&gt;"",INDEX(properties!A$1:CB$87,'Fórmula'!B20,55)),IF(INDEX(properties!A$1:CB$87,'Fórmula'!D20,55)&lt;&gt;"",INDEX(properties!A$1:CB$87,'Fórmula'!D20,55)),IF(INDEX(properties!A$1:CB$87,'Fórmula'!F20,55)&lt;&gt;"",INDEX(properties!A$1:CB$87,'Fórmula'!F20,55)),IF(INDEX(properties!A$1:CB$87,'Fórmula'!H20,55)&lt;&gt;"",INDEX(properties!A$1:CB$87,'Fórmula'!H20,55)),IF(INDEX(properties!A$1:CB$87,'Fórmula'!J20,55)&lt;&gt;"",INDEX(properties!A$1:CB$87,'Fórmula'!J20,55)))</f>
        <v>5.175410567</v>
      </c>
      <c r="FQ20" s="118">
        <f t="array" ref="FQ20">MAX(INDEX(properties!A$1:CB$87,'Fórmula'!B20,55),INDEX(properties!A$1:CB$87,'Fórmula'!D20,55),INDEX(properties!A$1:CB$87,'Fórmula'!F20,55),INDEX(properties!A$1:CB$87,'Fórmula'!H20,55),INDEX(properties!A$1:CB$87,'Fórmula'!J20,55))</f>
        <v>6.15</v>
      </c>
      <c r="FR20" s="118">
        <f t="array" ref="FR20">MIN(IF(INDEX(properties!A$1:CB$87,'Fórmula'!B20,55)=0,10^6,INDEX(properties!A$1:CB$87,'Fórmula'!B20,55)),IF(INDEX(properties!A$1:CB$87,'Fórmula'!D20,55)=0,10^6,INDEX(properties!A$1:CB$87,'Fórmula'!D20,55)),IF(INDEX(properties!A$1:CB$87,'Fórmula'!F20,55)=0,10^6,INDEX(properties!A$1:CB$87,'Fórmula'!F20,55)),IF(INDEX(properties!A$1:CB$87,'Fórmula'!H20,55)=0,10^6,INDEX(properties!A$1:CB$87,'Fórmula'!H20,55)),IF(INDEX(properties!A$1:CB$87,'Fórmula'!J20,55)=0,10^6,INDEX(properties!A$1:CB$87,'Fórmula'!J20,55)))</f>
        <v>0.00143</v>
      </c>
      <c r="FS20" s="118">
        <f t="shared" si="29"/>
        <v>6.14857</v>
      </c>
      <c r="FT20" s="119">
        <f t="array" ref="FT20">(('Fórmula'!C20)/('Fórmula'!C20+'Fórmula'!E20+'Fórmula'!G20+'Fórmula'!I20+'Fórmula'!K20))*(INDEX(properties!A$1:CB$87,'Fórmula'!B20,56))+(('Fórmula'!E20)/('Fórmula'!C20+'Fórmula'!E20+'Fórmula'!G20+'Fórmula'!I20+'Fórmula'!K20))*(INDEX(properties!A$1:CB$87,'Fórmula'!D20,56))+(('Fórmula'!G20)/('Fórmula'!C20+'Fórmula'!E20+'Fórmula'!G20+'Fórmula'!I20+'Fórmula'!K20))*(INDEX(properties!A$1:CB$87,'Fórmula'!F20,56))+(('Fórmula'!I20)/('Fórmula'!C20+'Fórmula'!E20+'Fórmula'!G20+'Fórmula'!I20+'Fórmula'!K20))*(INDEX(properties!A$1:CB$87,'Fórmula'!H20,56))+(('Fórmula'!K20)/('Fórmula'!C20+'Fórmula'!E20+'Fórmula'!G20+'Fórmula'!I20+'Fórmula'!K20))*(INDEX(properties!A$1:CB$87,'Fórmula'!J20,56))</f>
        <v>0.83</v>
      </c>
      <c r="FU20" s="119">
        <f t="array" ref="FU20">'Fórmula'!C20*(INDEX(properties!A$1:CB$87,'Fórmula'!B20,56))+'Fórmula'!E20*(INDEX(properties!A$1:CB$87,'Fórmula'!D20,56))+'Fórmula'!G20*(INDEX(properties!A$1:CB$87,'Fórmula'!F20,56))+'Fórmula'!I20*(INDEX(properties!A$1:CB$87,'Fórmula'!H20,56))+'Fórmula'!K20*(INDEX(properties!A$1:CB$87,'Fórmula'!J20,56))</f>
        <v>9.96</v>
      </c>
      <c r="FV20" s="119">
        <f t="array" ref="FV20">VARP(IF(INDEX(properties!A$1:CB$87,'Fórmula'!B20,56)&lt;&gt;"",INDEX(properties!A$1:CB$87,'Fórmula'!B20,56)),IF(INDEX(properties!A$1:CB$87,'Fórmula'!D20,56)&lt;&gt;"",INDEX(properties!A$1:CB$87,'Fórmula'!D20,56)),IF(INDEX(properties!A$1:CB$87,'Fórmula'!F20,56)&lt;&gt;"",INDEX(properties!A$1:CB$87,'Fórmula'!F20,56)),IF(INDEX(properties!A$1:CB$87,'Fórmula'!H20,56)&lt;&gt;"",INDEX(properties!A$1:CB$87,'Fórmula'!H20,56)),IF(INDEX(properties!A$1:CB$87,'Fórmula'!J20,56)&lt;&gt;"",INDEX(properties!A$1:CB$87,'Fórmula'!J20,56)))</f>
        <v>0.139096</v>
      </c>
      <c r="FW20" s="119">
        <f t="array" ref="FW20">MAX(INDEX(properties!A$1:CB$87,'Fórmula'!B20,56),INDEX(properties!A$1:CB$87,'Fórmula'!D20,56),INDEX(properties!A$1:CB$87,'Fórmula'!F20,56),INDEX(properties!A$1:CB$87,'Fórmula'!H20,56),INDEX(properties!A$1:CB$87,'Fórmula'!J20,56))</f>
        <v>0.92</v>
      </c>
      <c r="FX20" s="119">
        <f t="array" ref="FX20">MIN(IF(INDEX(properties!A$1:CB$87,'Fórmula'!B20,56)=0,10^6,INDEX(properties!A$1:CB$87,'Fórmula'!B20,56)),IF(INDEX(properties!A$1:CB$87,'Fórmula'!D20,56)=0,10^6,INDEX(properties!A$1:CB$87,'Fórmula'!D20,56)),IF(INDEX(properties!A$1:CB$87,'Fórmula'!F20,56)=0,10^6,INDEX(properties!A$1:CB$87,'Fórmula'!F20,56)),IF(INDEX(properties!A$1:CB$87,'Fórmula'!H20,56)=0,10^6,INDEX(properties!A$1:CB$87,'Fórmula'!H20,56)),IF(INDEX(properties!A$1:CB$87,'Fórmula'!J20,56)=0,10^6,INDEX(properties!A$1:CB$87,'Fórmula'!J20,56)))</f>
        <v>0.19</v>
      </c>
      <c r="FY20" s="119">
        <f t="shared" si="30"/>
        <v>0.73</v>
      </c>
      <c r="FZ20" s="104">
        <f t="array" ref="FZ20">(('Fórmula'!C20)/('Fórmula'!C20+'Fórmula'!E20+'Fórmula'!G20+'Fórmula'!I20+'Fórmula'!K20))*(INDEX(properties!A$1:CB$87,'Fórmula'!B20,57))+(('Fórmula'!E20)/('Fórmula'!C20+'Fórmula'!E20+'Fórmula'!G20+'Fórmula'!I20+'Fórmula'!K20))*(INDEX(properties!A$1:CB$87,'Fórmula'!D20,57))+(('Fórmula'!G20)/('Fórmula'!C20+'Fórmula'!E20+'Fórmula'!G20+'Fórmula'!I20+'Fórmula'!K20))*(INDEX(properties!A$1:CB$87,'Fórmula'!F20,57))+(('Fórmula'!I20)/('Fórmula'!C20+'Fórmula'!E20+'Fórmula'!G20+'Fórmula'!I20+'Fórmula'!K20))*(INDEX(properties!A$1:CB$87,'Fórmula'!H20,57))+(('Fórmula'!K20)/('Fórmula'!C20+'Fórmula'!E20+'Fórmula'!G20+'Fórmula'!I20+'Fórmula'!K20))*(INDEX(properties!A$1:CB$87,'Fórmula'!J20,57))</f>
        <v>4.0556775</v>
      </c>
      <c r="GA20" s="104">
        <f t="array" ref="GA20">'Fórmula'!C20*(INDEX(properties!A$1:CB$87,'Fórmula'!B20,57))+'Fórmula'!E20*(INDEX(properties!A$1:CB$87,'Fórmula'!D20,57))+'Fórmula'!G20*(INDEX(properties!A$1:CB$87,'Fórmula'!F20,57))+'Fórmula'!I20*(INDEX(properties!A$1:CB$87,'Fórmula'!H20,57))+'Fórmula'!K20*(INDEX(properties!A$1:CB$87,'Fórmula'!J20,57))</f>
        <v>48.66813</v>
      </c>
      <c r="GB20" s="104">
        <f t="array" ref="GB20">VARP(IF(INDEX(properties!A$1:CB$87,'Fórmula'!B20,57)&lt;&gt;"",INDEX(properties!A$1:CB$87,'Fórmula'!B20,57)),IF(INDEX(properties!A$1:CB$87,'Fórmula'!D20,57)&lt;&gt;"",INDEX(properties!A$1:CB$87,'Fórmula'!D20,57)),IF(INDEX(properties!A$1:CB$87,'Fórmula'!F20,57)&lt;&gt;"",INDEX(properties!A$1:CB$87,'Fórmula'!F20,57)),IF(INDEX(properties!A$1:CB$87,'Fórmula'!H20,57)&lt;&gt;"",INDEX(properties!A$1:CB$87,'Fórmula'!H20,57)),IF(INDEX(properties!A$1:CB$87,'Fórmula'!J20,57)&lt;&gt;"",INDEX(properties!A$1:CB$87,'Fórmula'!J20,57)))</f>
        <v>19.04121359</v>
      </c>
      <c r="GC20" s="104">
        <f t="array" ref="GC20">MAX(INDEX(properties!A$1:CB$87,'Fórmula'!B20,57),INDEX(properties!A$1:CB$87,'Fórmula'!D20,57),INDEX(properties!A$1:CB$87,'Fórmula'!F20,57),INDEX(properties!A$1:CB$87,'Fórmula'!H20,57),INDEX(properties!A$1:CB$87,'Fórmula'!J20,57))</f>
        <v>10.79</v>
      </c>
      <c r="GD20" s="104">
        <f t="array" ref="GD20">MIN(IF(INDEX(properties!A$1:CB$87,'Fórmula'!B20,57)=0,10^6,INDEX(properties!A$1:CB$87,'Fórmula'!B20,57)),IF(INDEX(properties!A$1:CB$87,'Fórmula'!D20,57)=0,10^6,INDEX(properties!A$1:CB$87,'Fórmula'!D20,57)),IF(INDEX(properties!A$1:CB$87,'Fórmula'!F20,57)=0,10^6,INDEX(properties!A$1:CB$87,'Fórmula'!F20,57)),IF(INDEX(properties!A$1:CB$87,'Fórmula'!H20,57)=0,10^6,INDEX(properties!A$1:CB$87,'Fórmula'!H20,57)),IF(INDEX(properties!A$1:CB$87,'Fórmula'!J20,57)=0,10^6,INDEX(properties!A$1:CB$87,'Fórmula'!J20,57)))</f>
        <v>0.22259</v>
      </c>
      <c r="GE20" s="104">
        <f t="shared" si="31"/>
        <v>10.56741</v>
      </c>
      <c r="GF20" s="105">
        <f t="array" ref="GF20">(('Fórmula'!C20)/('Fórmula'!C20+'Fórmula'!E20+'Fórmula'!G20+'Fórmula'!I20+'Fórmula'!K20))*(INDEX(properties!A$1:CB$87,'Fórmula'!B20,60))+(('Fórmula'!E20)/('Fórmula'!C20+'Fórmula'!E20+'Fórmula'!G20+'Fórmula'!I20+'Fórmula'!K20))*(INDEX(properties!A$1:CB$87,'Fórmula'!D20,60))+(('Fórmula'!G20)/('Fórmula'!C20+'Fórmula'!E20+'Fórmula'!G20+'Fórmula'!I20+'Fórmula'!K20))*(INDEX(properties!A$1:CB$87,'Fórmula'!F20,60))+(('Fórmula'!I20)/('Fórmula'!C20+'Fórmula'!E20+'Fórmula'!G20+'Fórmula'!I20+'Fórmula'!K20))*(INDEX(properties!A$1:CB$87,'Fórmula'!H20,60))+(('Fórmula'!K20)/('Fórmula'!C20+'Fórmula'!E20+'Fórmula'!G20+'Fórmula'!I20+'Fórmula'!K20))*(INDEX(properties!A$1:CB$87,'Fórmula'!J20,60))</f>
        <v>77.057265</v>
      </c>
      <c r="GG20" s="105">
        <f t="array" ref="GG20">'Fórmula'!C20*(INDEX(properties!A$1:CB$87,'Fórmula'!B20,60))+'Fórmula'!E20*(INDEX(properties!A$1:CB$87,'Fórmula'!D20,60))+'Fórmula'!G20*(INDEX(properties!A$1:CB$87,'Fórmula'!F20,60))+'Fórmula'!I20*(INDEX(properties!A$1:CB$87,'Fórmula'!H20,60))+'Fórmula'!K20*(INDEX(properties!A$1:CB$87,'Fórmula'!J20,60))</f>
        <v>924.68718</v>
      </c>
      <c r="GH20" s="105">
        <f t="array" ref="GH20">VARP(IF(INDEX(properties!A$1:CB$87,'Fórmula'!B20,60)&lt;&gt;"",INDEX(properties!A$1:CB$87,'Fórmula'!B20,60)),IF(INDEX(properties!A$1:CB$87,'Fórmula'!D20,60)&lt;&gt;"",INDEX(properties!A$1:CB$87,'Fórmula'!D20,60)),IF(INDEX(properties!A$1:CB$87,'Fórmula'!F20,60)&lt;&gt;"",INDEX(properties!A$1:CB$87,'Fórmula'!F20,60)),IF(INDEX(properties!A$1:CB$87,'Fórmula'!H20,60)&lt;&gt;"",INDEX(properties!A$1:CB$87,'Fórmula'!H20,60)),IF(INDEX(properties!A$1:CB$87,'Fórmula'!J20,60)&lt;&gt;"",INDEX(properties!A$1:CB$87,'Fórmula'!J20,60)))</f>
        <v>11151.2764</v>
      </c>
      <c r="GI20" s="105">
        <f t="array" ref="GI20">MAX(INDEX(properties!A$1:CB$87,'Fórmula'!B20,60),INDEX(properties!A$1:CB$87,'Fórmula'!D20,60),INDEX(properties!A$1:CB$87,'Fórmula'!F20,60),INDEX(properties!A$1:CB$87,'Fórmula'!H20,60),INDEX(properties!A$1:CB$87,'Fórmula'!J20,60))</f>
        <v>237</v>
      </c>
      <c r="GJ20" s="105">
        <f t="array" ref="GJ20">MIN(IF(INDEX(properties!A$1:CB$87,'Fórmula'!B20,60)=0,10^6,INDEX(properties!A$1:CB$87,'Fórmula'!B20,60)),IF(INDEX(properties!A$1:CB$87,'Fórmula'!D20,60)=0,10^6,INDEX(properties!A$1:CB$87,'Fórmula'!D20,60)),IF(INDEX(properties!A$1:CB$87,'Fórmula'!F20,60)=0,10^6,INDEX(properties!A$1:CB$87,'Fórmula'!F20,60)),IF(INDEX(properties!A$1:CB$87,'Fórmula'!H20,60)=0,10^6,INDEX(properties!A$1:CB$87,'Fórmula'!H20,60)),IF(INDEX(properties!A$1:CB$87,'Fórmula'!J20,60)=0,10^6,INDEX(properties!A$1:CB$87,'Fórmula'!J20,60)))</f>
        <v>0.02674</v>
      </c>
      <c r="GK20" s="105">
        <f t="shared" si="32"/>
        <v>236.97326</v>
      </c>
      <c r="GL20" s="106">
        <f t="array" ref="GL20">(('Fórmula'!C20)/('Fórmula'!C20+'Fórmula'!E20+'Fórmula'!G20+'Fórmula'!I20+'Fórmula'!K20))*(INDEX(properties!A$1:CB$87,'Fórmula'!B20,62))+(('Fórmula'!E20)/('Fórmula'!C20+'Fórmula'!E20+'Fórmula'!G20+'Fórmula'!I20+'Fórmula'!K20))*(INDEX(properties!A$1:CB$87,'Fórmula'!D20,62))+(('Fórmula'!G20)/('Fórmula'!C20+'Fórmula'!E20+'Fórmula'!G20+'Fórmula'!I20+'Fórmula'!K20))*(INDEX(properties!A$1:CB$87,'Fórmula'!F20,62))+(('Fórmula'!I20)/('Fórmula'!C20+'Fórmula'!E20+'Fórmula'!G20+'Fórmula'!I20+'Fórmula'!K20))*(INDEX(properties!A$1:CB$87,'Fórmula'!H20,62))+(('Fórmula'!K20)/('Fórmula'!C20+'Fórmula'!E20+'Fórmula'!G20+'Fórmula'!I20+'Fórmula'!K20))*(INDEX(properties!A$1:CB$87,'Fórmula'!J20,62))</f>
        <v>2.901666667</v>
      </c>
      <c r="GM20" s="106">
        <f t="array" ref="GM20">'Fórmula'!C20*(INDEX(properties!A$1:CB$87,'Fórmula'!B20,62))+'Fórmula'!E20*(INDEX(properties!A$1:CB$87,'Fórmula'!D20,62))+'Fórmula'!G20*(INDEX(properties!A$1:CB$87,'Fórmula'!F20,62))+'Fórmula'!I20*(INDEX(properties!A$1:CB$87,'Fórmula'!H20,62))+'Fórmula'!K20*(INDEX(properties!A$1:CB$87,'Fórmula'!J20,62))</f>
        <v>34.82</v>
      </c>
      <c r="GN20" s="106">
        <f t="array" ref="GN20">VARP(IF(INDEX(properties!A$1:CB$87,'Fórmula'!B20,62)&lt;&gt;"",INDEX(properties!A$1:CB$87,'Fórmula'!B20,62)),IF(INDEX(properties!A$1:CB$87,'Fórmula'!D20,62)&lt;&gt;"",INDEX(properties!A$1:CB$87,'Fórmula'!D20,62)),IF(INDEX(properties!A$1:CB$87,'Fórmula'!F20,62)&lt;&gt;"",INDEX(properties!A$1:CB$87,'Fórmula'!F20,62)),IF(INDEX(properties!A$1:CB$87,'Fórmula'!H20,62)&lt;&gt;"",INDEX(properties!A$1:CB$87,'Fórmula'!H20,62)),IF(INDEX(properties!A$1:CB$87,'Fórmula'!J20,62)&lt;&gt;"",INDEX(properties!A$1:CB$87,'Fórmula'!J20,62)))</f>
        <v>2.273304</v>
      </c>
      <c r="GO20" s="106">
        <f t="array" ref="GO20">MAX(INDEX(properties!A$1:CB$87,'Fórmula'!B20,62),INDEX(properties!A$1:CB$87,'Fórmula'!D20,62),INDEX(properties!A$1:CB$87,'Fórmula'!F20,62),INDEX(properties!A$1:CB$87,'Fórmula'!H20,62),INDEX(properties!A$1:CB$87,'Fórmula'!J20,62))</f>
        <v>4.47</v>
      </c>
      <c r="GP20" s="106">
        <f t="array" ref="GP20">MIN(IF(INDEX(properties!A$1:CB$87,'Fórmula'!B20,62)=0,10^6,INDEX(properties!A$1:CB$87,'Fórmula'!B20,62)),IF(INDEX(properties!A$1:CB$87,'Fórmula'!D20,62)=0,10^6,INDEX(properties!A$1:CB$87,'Fórmula'!D20,62)),IF(INDEX(properties!A$1:CB$87,'Fórmula'!F20,62)=0,10^6,INDEX(properties!A$1:CB$87,'Fórmula'!F20,62)),IF(INDEX(properties!A$1:CB$87,'Fórmula'!H20,62)=0,10^6,INDEX(properties!A$1:CB$87,'Fórmula'!H20,62)),IF(INDEX(properties!A$1:CB$87,'Fórmula'!J20,62)=0,10^6,INDEX(properties!A$1:CB$87,'Fórmula'!J20,62)))</f>
        <v>1.84</v>
      </c>
      <c r="GQ20" s="106">
        <f t="shared" si="33"/>
        <v>2.63</v>
      </c>
      <c r="GR20" s="106">
        <f>'Fórmula'!Q20</f>
        <v>113</v>
      </c>
      <c r="GS20" s="107">
        <f>'Fórmula'!P20</f>
        <v>2</v>
      </c>
      <c r="GT20" s="113">
        <f>'Fórmula'!O20</f>
        <v>3.93</v>
      </c>
      <c r="GU20" s="114">
        <f>AVERAGE('Fórmula'!R20/'Fórmula'!S20,'Fórmula'!S20/'Fórmula'!T20,'Fórmula'!T20/'Fórmula'!R20)</f>
        <v>1.058193218</v>
      </c>
      <c r="GV20" s="125">
        <f>'Fórmula'!U20</f>
        <v>314.32</v>
      </c>
      <c r="GW20" s="106">
        <f>'Fórmula'!N20</f>
        <v>0.05</v>
      </c>
    </row>
    <row r="21" ht="14.25" customHeight="1">
      <c r="A21" s="99" t="str">
        <f>'Fórmula'!A21</f>
        <v>Ga4GeO8</v>
      </c>
      <c r="B21" s="101">
        <f t="array" ref="B21">(('Fórmula'!C21)/('Fórmula'!C21+'Fórmula'!E21+'Fórmula'!G21+'Fórmula'!I21+'Fórmula'!K21))*(INDEX(properties!A$1:CB$87,'Fórmula'!B21,3))+(('Fórmula'!E21)/('Fórmula'!C21+'Fórmula'!E21+'Fórmula'!G21+'Fórmula'!I21+'Fórmula'!K21))*(INDEX(properties!A$1:CB$87,'Fórmula'!D21,3))+(('Fórmula'!G21)/('Fórmula'!C21+'Fórmula'!E21+'Fórmula'!G21+'Fórmula'!I21+'Fórmula'!K21))*(INDEX(properties!A$1:CB$87,'Fórmula'!F21,3))+(('Fórmula'!I21)/('Fórmula'!C21+'Fórmula'!E21+'Fórmula'!G21+'Fórmula'!I21+'Fórmula'!K21))*(INDEX(properties!A$1:CB$87,'Fórmula'!H21,3))+(('Fórmula'!K21)/('Fórmula'!C21+'Fórmula'!E21+'Fórmula'!G21+'Fórmula'!I21+'Fórmula'!K21))*(INDEX(properties!A$1:CB$87,'Fórmula'!J21,3))</f>
        <v>36.88593846</v>
      </c>
      <c r="C21" s="101">
        <f t="array" ref="C21">'Fórmula'!C21*(INDEX(properties!A$1:CB$87,'Fórmula'!B21,3))+'Fórmula'!E21*(INDEX(properties!A$1:CB$87,'Fórmula'!D21,3))+'Fórmula'!G21*(INDEX(properties!A$1:CB$87,'Fórmula'!F21,3))+'Fórmula'!I21*(INDEX(properties!A$1:CB$87,'Fórmula'!H21,3))+'Fórmula'!K21*(INDEX(properties!A$1:CB$87,'Fórmula'!J21,3))</f>
        <v>479.5172</v>
      </c>
      <c r="D21" s="101">
        <f t="array" ref="D21">VARP(IF(INDEX(properties!A$1:CB$87,'Fórmula'!B21,3)&lt;&gt;"",INDEX(properties!A$1:CB$87,'Fórmula'!B21,3)),IF(INDEX(properties!A$1:CB$87,'Fórmula'!D21,3)&lt;&gt;"",INDEX(properties!A$1:CB$87,'Fórmula'!D21,3)),IF(INDEX(properties!A$1:CB$87,'Fórmula'!F21,3)&lt;&gt;"",INDEX(properties!A$1:CB$87,'Fórmula'!F21,3)),IF(INDEX(properties!A$1:CB$87,'Fórmula'!H21,3)&lt;&gt;"",INDEX(properties!A$1:CB$87,'Fórmula'!H21,3)),IF(INDEX(properties!A$1:CB$87,'Fórmula'!J21,3)&lt;&gt;"",INDEX(properties!A$1:CB$87,'Fórmula'!J21,3)))</f>
        <v>1075.459582</v>
      </c>
      <c r="E21" s="101">
        <f t="array" ref="E21">MAX(INDEX(properties!A$1:CB$87,'Fórmula'!B21,3),INDEX(properties!A$1:CB$87,'Fórmula'!D21,3),INDEX(properties!A$1:CB$87,'Fórmula'!F21,3),INDEX(properties!A$1:CB$87,'Fórmula'!H21,3),INDEX(properties!A$1:CB$87,'Fórmula'!J21,3))</f>
        <v>72.63</v>
      </c>
      <c r="F21" s="101">
        <f t="array" ref="F21">MIN(IF(INDEX(properties!A$1:CB$87,'Fórmula'!B21,3)=0,10^6,INDEX(properties!A$1:CB$87,'Fórmula'!B21,3)),IF(INDEX(properties!A$1:CB$87,'Fórmula'!D21,3)=0,10^6,INDEX(properties!A$1:CB$87,'Fórmula'!D21,3)),IF(INDEX(properties!A$1:CB$87,'Fórmula'!F21,3)=0,10^6,INDEX(properties!A$1:CB$87,'Fórmula'!F21,3)),IF(INDEX(properties!A$1:CB$87,'Fórmula'!H21,3)=0,10^6,INDEX(properties!A$1:CB$87,'Fórmula'!H21,3)),IF(INDEX(properties!A$1:CB$87,'Fórmula'!J21,3)=0,10^6,INDEX(properties!A$1:CB$87,'Fórmula'!J21,3)))</f>
        <v>15.9994</v>
      </c>
      <c r="G21" s="101">
        <f t="shared" si="1"/>
        <v>56.6306</v>
      </c>
      <c r="H21" s="102">
        <f t="array" ref="H21">(('Fórmula'!C21)/('Fórmula'!C21+'Fórmula'!E21+'Fórmula'!G21+'Fórmula'!I21+'Fórmula'!K21))*(INDEX(properties!A$1:CB$87,'Fórmula'!B21,4))+(('Fórmula'!E21)/('Fórmula'!C21+'Fórmula'!E21+'Fórmula'!G21+'Fórmula'!I21+'Fórmula'!K21))*(INDEX(properties!A$1:CB$87,'Fórmula'!D21,4))+(('Fórmula'!G21)/('Fórmula'!C21+'Fórmula'!E21+'Fórmula'!G21+'Fórmula'!I21+'Fórmula'!K21))*(INDEX(properties!A$1:CB$87,'Fórmula'!F21,4))+(('Fórmula'!I21)/('Fórmula'!C21+'Fórmula'!E21+'Fórmula'!G21+'Fórmula'!I21+'Fórmula'!K21))*(INDEX(properties!A$1:CB$87,'Fórmula'!H21,4))+(('Fórmula'!K21)/('Fórmula'!C21+'Fórmula'!E21+'Fórmula'!G21+'Fórmula'!I21+'Fórmula'!K21))*(INDEX(properties!A$1:CB$87,'Fórmula'!J21,4))</f>
        <v>16.92307692</v>
      </c>
      <c r="I21" s="102">
        <f t="array" ref="I21">'Fórmula'!C21*(INDEX(properties!A$1:CB$87,'Fórmula'!B21,4))+'Fórmula'!E21*(INDEX(properties!A$1:CB$87,'Fórmula'!D21,4))+'Fórmula'!G21*(INDEX(properties!A$1:CB$87,'Fórmula'!F21,4))+'Fórmula'!I21*(INDEX(properties!A$1:CB$87,'Fórmula'!H21,4))+'Fórmula'!K21*(INDEX(properties!A$1:CB$87,'Fórmula'!J21,4))</f>
        <v>220</v>
      </c>
      <c r="J21" s="102">
        <f t="array" ref="J21">VARP(IF(INDEX(properties!A$1:CB$87,'Fórmula'!B21,4)&lt;&gt;"",INDEX(properties!A$1:CB$87,'Fórmula'!B21,4)),IF(INDEX(properties!A$1:CB$87,'Fórmula'!D21,4)&lt;&gt;"",INDEX(properties!A$1:CB$87,'Fórmula'!D21,4)),IF(INDEX(properties!A$1:CB$87,'Fórmula'!F21,4)&lt;&gt;"",INDEX(properties!A$1:CB$87,'Fórmula'!F21,4)),IF(INDEX(properties!A$1:CB$87,'Fórmula'!H21,4)&lt;&gt;"",INDEX(properties!A$1:CB$87,'Fórmula'!H21,4)),IF(INDEX(properties!A$1:CB$87,'Fórmula'!J21,4)&lt;&gt;"",INDEX(properties!A$1:CB$87,'Fórmula'!J21,4)))</f>
        <v>208.16</v>
      </c>
      <c r="K21" s="102">
        <f t="array" ref="K21">MAX(INDEX(properties!A$1:CB$87,'Fórmula'!B21,4),INDEX(properties!A$1:CB$87,'Fórmula'!D21,4),INDEX(properties!A$1:CB$87,'Fórmula'!F21,4),INDEX(properties!A$1:CB$87,'Fórmula'!H21,4),INDEX(properties!A$1:CB$87,'Fórmula'!J21,4))</f>
        <v>32</v>
      </c>
      <c r="L21" s="102">
        <f t="array" ref="L21">MIN(IF(INDEX(properties!A$1:CB$87,'Fórmula'!B21,4)=0,10^6,INDEX(properties!A$1:CB$87,'Fórmula'!B21,4)),IF(INDEX(properties!A$1:CB$87,'Fórmula'!D21,4)=0,10^6,INDEX(properties!A$1:CB$87,'Fórmula'!D21,4)),IF(INDEX(properties!A$1:CB$87,'Fórmula'!F21,4)=0,10^6,INDEX(properties!A$1:CB$87,'Fórmula'!F21,4)),IF(INDEX(properties!A$1:CB$87,'Fórmula'!H21,4)=0,10^6,INDEX(properties!A$1:CB$87,'Fórmula'!H21,4)),IF(INDEX(properties!A$1:CB$87,'Fórmula'!J21,4)=0,10^6,INDEX(properties!A$1:CB$87,'Fórmula'!J21,4)))</f>
        <v>8</v>
      </c>
      <c r="M21" s="102">
        <f t="shared" si="2"/>
        <v>24</v>
      </c>
      <c r="N21" s="103">
        <f t="array" ref="N21">(('Fórmula'!C21)/('Fórmula'!C21+'Fórmula'!E21+'Fórmula'!G21+'Fórmula'!I21+'Fórmula'!K21))*(INDEX(properties!A$1:CB$87,'Fórmula'!B21,5))+(('Fórmula'!E21)/('Fórmula'!C21+'Fórmula'!E21+'Fórmula'!G21+'Fórmula'!I21+'Fórmula'!K21))*(INDEX(properties!A$1:CB$87,'Fórmula'!D21,5))+(('Fórmula'!G21)/('Fórmula'!C21+'Fórmula'!E21+'Fórmula'!G21+'Fórmula'!I21+'Fórmula'!K21))*(INDEX(properties!A$1:CB$87,'Fórmula'!F21,5))+(('Fórmula'!I21)/('Fórmula'!C21+'Fórmula'!E21+'Fórmula'!G21+'Fórmula'!I21+'Fórmula'!K21))*(INDEX(properties!A$1:CB$87,'Fórmula'!H21,5))+(('Fórmula'!K21)/('Fórmula'!C21+'Fórmula'!E21+'Fórmula'!G21+'Fórmula'!I21+'Fórmula'!K21))*(INDEX(properties!A$1:CB$87,'Fórmula'!J21,5))</f>
        <v>2.769230769</v>
      </c>
      <c r="O21" s="103">
        <f t="array" ref="O21">'Fórmula'!C21*(INDEX(properties!A$1:CB$87,'Fórmula'!B21,5))+'Fórmula'!E21*(INDEX(properties!A$1:CB$87,'Fórmula'!D21,5))+'Fórmula'!G21*(INDEX(properties!A$1:CB$87,'Fórmula'!F21,5))+'Fórmula'!I21*(INDEX(properties!A$1:CB$87,'Fórmula'!H21,5))+'Fórmula'!K21*(INDEX(properties!A$1:CB$87,'Fórmula'!J21,5))</f>
        <v>36</v>
      </c>
      <c r="P21" s="103">
        <f t="array" ref="P21">VARP(IF(INDEX(properties!A$1:CB$87,'Fórmula'!B21,5)&lt;&gt;"",INDEX(properties!A$1:CB$87,'Fórmula'!B21,5)),IF(INDEX(properties!A$1:CB$87,'Fórmula'!D21,5)&lt;&gt;"",INDEX(properties!A$1:CB$87,'Fórmula'!D21,5)),IF(INDEX(properties!A$1:CB$87,'Fórmula'!F21,5)&lt;&gt;"",INDEX(properties!A$1:CB$87,'Fórmula'!F21,5)),IF(INDEX(properties!A$1:CB$87,'Fórmula'!H21,5)&lt;&gt;"",INDEX(properties!A$1:CB$87,'Fórmula'!H21,5)),IF(INDEX(properties!A$1:CB$87,'Fórmula'!J21,5)&lt;&gt;"",INDEX(properties!A$1:CB$87,'Fórmula'!J21,5)))</f>
        <v>3.2</v>
      </c>
      <c r="Q21" s="103">
        <f t="array" ref="Q21">MAX(INDEX(properties!A$1:CB$87,'Fórmula'!B21,5),INDEX(properties!A$1:CB$87,'Fórmula'!D21,5),INDEX(properties!A$1:CB$87,'Fórmula'!F21,5),INDEX(properties!A$1:CB$87,'Fórmula'!H21,5),INDEX(properties!A$1:CB$87,'Fórmula'!J21,5))</f>
        <v>4</v>
      </c>
      <c r="R21" s="103">
        <f t="array" ref="R21">MIN(IF(INDEX(properties!A$1:CB$87,'Fórmula'!B21,5)=0,10^6,INDEX(properties!A$1:CB$87,'Fórmula'!B21,5)),IF(INDEX(properties!A$1:CB$87,'Fórmula'!D21,5)=0,10^6,INDEX(properties!A$1:CB$87,'Fórmula'!D21,5)),IF(INDEX(properties!A$1:CB$87,'Fórmula'!F21,5)=0,10^6,INDEX(properties!A$1:CB$87,'Fórmula'!F21,5)),IF(INDEX(properties!A$1:CB$87,'Fórmula'!H21,5)=0,10^6,INDEX(properties!A$1:CB$87,'Fórmula'!H21,5)),IF(INDEX(properties!A$1:CB$87,'Fórmula'!J21,5)=0,10^6,INDEX(properties!A$1:CB$87,'Fórmula'!J21,5)))</f>
        <v>2</v>
      </c>
      <c r="S21" s="103">
        <f t="shared" si="3"/>
        <v>2</v>
      </c>
      <c r="T21" s="104">
        <f t="array" ref="T21">(('Fórmula'!C21)/('Fórmula'!C21+'Fórmula'!E21+'Fórmula'!G21+'Fórmula'!I21+'Fórmula'!K21))*(INDEX(properties!A$1:CB$87,'Fórmula'!B21,6))+(('Fórmula'!E21)/('Fórmula'!C21+'Fórmula'!E21+'Fórmula'!G21+'Fórmula'!I21+'Fórmula'!K21))*(INDEX(properties!A$1:CB$87,'Fórmula'!D21,6))+(('Fórmula'!G21)/('Fórmula'!C21+'Fórmula'!E21+'Fórmula'!G21+'Fórmula'!I21+'Fórmula'!K21))*(INDEX(properties!A$1:CB$87,'Fórmula'!F21,6))+(('Fórmula'!I21)/('Fórmula'!C21+'Fórmula'!E21+'Fórmula'!G21+'Fórmula'!I21+'Fórmula'!K21))*(INDEX(properties!A$1:CB$87,'Fórmula'!H21,6))+(('Fórmula'!K21)/('Fórmula'!C21+'Fórmula'!E21+'Fórmula'!G21+'Fórmula'!I21+'Fórmula'!K21))*(INDEX(properties!A$1:CB$87,'Fórmula'!J21,6))</f>
        <v>14.92307692</v>
      </c>
      <c r="U21" s="104">
        <f t="array" ref="U21">'Fórmula'!C21*(INDEX(properties!A$1:CB$87,'Fórmula'!B21,6))+'Fórmula'!E21*(INDEX(properties!A$1:CB$87,'Fórmula'!D21,6))+'Fórmula'!G21*(INDEX(properties!A$1:CB$87,'Fórmula'!F21,6))+'Fórmula'!I21*(INDEX(properties!A$1:CB$87,'Fórmula'!H21,6))+'Fórmula'!K21*(INDEX(properties!A$1:CB$87,'Fórmula'!J21,6))</f>
        <v>194</v>
      </c>
      <c r="V21" s="103">
        <f t="array" ref="V21">VARP(IF(INDEX(properties!A$1:CB$87,'Fórmula'!B21,6)&lt;&gt;"",INDEX(properties!A$1:CB$87,'Fórmula'!B21,6)),IF(INDEX(properties!A$1:CB$87,'Fórmula'!D21,6)&lt;&gt;"",INDEX(properties!A$1:CB$87,'Fórmula'!D21,6)),IF(INDEX(properties!A$1:CB$87,'Fórmula'!F21,6)&lt;&gt;"",INDEX(properties!A$1:CB$87,'Fórmula'!F21,6)),IF(INDEX(properties!A$1:CB$87,'Fórmula'!H21,6)&lt;&gt;"",INDEX(properties!A$1:CB$87,'Fórmula'!H21,6)),IF(INDEX(properties!A$1:CB$87,'Fórmula'!J21,6)&lt;&gt;"",INDEX(properties!A$1:CB$87,'Fórmula'!J21,6)))</f>
        <v>50.24</v>
      </c>
      <c r="W21" s="104">
        <f t="array" ref="W21">MAX(INDEX(properties!A$1:CB$87,'Fórmula'!B21,6),INDEX(properties!A$1:CB$87,'Fórmula'!D21,6),INDEX(properties!A$1:CB$87,'Fórmula'!F21,6),INDEX(properties!A$1:CB$87,'Fórmula'!H21,4),INDEX(properties!A$1:CB$87,'Fórmula'!J21,6))</f>
        <v>16</v>
      </c>
      <c r="X21" s="104">
        <f t="array" ref="X21">MIN(IF(INDEX(properties!A$1:CB$87,'Fórmula'!B21,6)=0,10^6,INDEX(properties!A$1:CB$87,'Fórmula'!B21,6)),IF(INDEX(properties!A$1:CB$87,'Fórmula'!D21,6)=0,10^6,INDEX(properties!A$1:CB$87,'Fórmula'!D21,6)),IF(INDEX(properties!A$1:CB$87,'Fórmula'!F21,6)=0,10^6,INDEX(properties!A$1:CB$87,'Fórmula'!F21,6)),IF(INDEX(properties!A$1:CB$87,'Fórmula'!H21,6)=0,10^6,INDEX(properties!A$1:CB$87,'Fórmula'!H21,6)),IF(INDEX(properties!A$1:CB$87,'Fórmula'!J21,6)=0,10^6,INDEX(properties!A$1:CB$87,'Fórmula'!J21,6)))</f>
        <v>13</v>
      </c>
      <c r="Y21" s="104">
        <f t="shared" si="4"/>
        <v>3</v>
      </c>
      <c r="Z21" s="105">
        <f t="array" ref="Z21">(('Fórmula'!C21)/('Fórmula'!C21+'Fórmula'!E21+'Fórmula'!G21+'Fórmula'!I21+'Fórmula'!K21))*(INDEX(properties!A$1:CB$87,'Fórmula'!B21,9))+(('Fórmula'!E21)/('Fórmula'!C21+'Fórmula'!E21+'Fórmula'!G21+'Fórmula'!I21+'Fórmula'!K21))*(INDEX(properties!A$1:CB$87,'Fórmula'!D21,9))+(('Fórmula'!G21)/('Fórmula'!C21+'Fórmula'!E21+'Fórmula'!G21+'Fórmula'!I21+'Fórmula'!K21))*(INDEX(properties!A$1:CB$87,'Fórmula'!F21,9))+(('Fórmula'!I21)/('Fórmula'!C21+'Fórmula'!E21+'Fórmula'!G21+'Fórmula'!I21+'Fórmula'!K21))*(INDEX(properties!A$1:CB$87,'Fórmula'!H21,9))+(('Fórmula'!K21)/('Fórmula'!C21+'Fórmula'!E21+'Fórmula'!G21+'Fórmula'!I21+'Fórmula'!K21))*(INDEX(properties!A$1:CB$87,'Fórmula'!J21,9))</f>
        <v>82.38461538</v>
      </c>
      <c r="AA21" s="105">
        <f t="array" ref="AA21">'Fórmula'!C21*(INDEX(properties!A$1:CB$87,'Fórmula'!B21,9))+'Fórmula'!E21*(INDEX(properties!A$1:CB$87,'Fórmula'!D21,9))+'Fórmula'!G21*(INDEX(properties!A$1:CB$87,'Fórmula'!F21,9))+'Fórmula'!I21*(INDEX(properties!A$1:CB$87,'Fórmula'!H21,9))+'Fórmula'!K21*(INDEX(properties!A$1:CB$87,'Fórmula'!J21,9))</f>
        <v>1071</v>
      </c>
      <c r="AB21" s="105">
        <f t="array" ref="AB21">VARP(IF(INDEX(properties!A$1:CB$87,'Fórmula'!B21,9)&lt;&gt;"",INDEX(properties!A$1:CB$87,'Fórmula'!B21,9)),IF(INDEX(properties!A$1:CB$87,'Fórmula'!D21,9)&lt;&gt;"",INDEX(properties!A$1:CB$87,'Fórmula'!D21,9)),IF(INDEX(properties!A$1:CB$87,'Fórmula'!F21,9)&lt;&gt;"",INDEX(properties!A$1:CB$87,'Fórmula'!F21,9)),IF(INDEX(properties!A$1:CB$87,'Fórmula'!H21,9)&lt;&gt;"",INDEX(properties!A$1:CB$87,'Fórmula'!H21,9)),IF(INDEX(properties!A$1:CB$87,'Fórmula'!J21,9)&lt;&gt;"",INDEX(properties!A$1:CB$87,'Fórmula'!J21,9)))</f>
        <v>1553.2</v>
      </c>
      <c r="AC21" s="105">
        <f t="array" ref="AC21">MAX(INDEX(properties!A$1:CB$87,'Fórmula'!B21,9),INDEX(properties!A$1:CB$87,'Fórmula'!D21,9),INDEX(properties!A$1:CB$87,'Fórmula'!F21,9),INDEX(properties!A$1:CB$87,'Fórmula'!H21,9),INDEX(properties!A$1:CB$87,'Fórmula'!J21,9))</f>
        <v>87</v>
      </c>
      <c r="AD21" s="105">
        <f t="array" ref="AD21">MIN(IF(INDEX(properties!A$1:CB$87,'Fórmula'!B21,9)=0,10^6,INDEX(properties!A$1:CB$87,'Fórmula'!B21,9)),IF(INDEX(properties!A$1:CB$87,'Fórmula'!D21,9)=0,10^6,INDEX(properties!A$1:CB$87,'Fórmula'!D21,9)),IF(INDEX(properties!A$1:CB$87,'Fórmula'!F21,9)=0,10^6,INDEX(properties!A$1:CB$87,'Fórmula'!F21,9)),IF(INDEX(properties!A$1:CB$87,'Fórmula'!H21,9)=0,10^6,INDEX(properties!A$1:CB$87,'Fórmula'!H21,9)),IF(INDEX(properties!A$1:CB$87,'Fórmula'!J21,9)=0,10^6,INDEX(properties!A$1:CB$87,'Fórmula'!J21,9)))</f>
        <v>74</v>
      </c>
      <c r="AE21" s="105">
        <f t="shared" si="5"/>
        <v>13</v>
      </c>
      <c r="AF21" s="106">
        <f t="array" ref="AF21">(('Fórmula'!C21)/('Fórmula'!C21+'Fórmula'!E21+'Fórmula'!G21+'Fórmula'!I21+'Fórmula'!K21))*(INDEX(properties!A$1:CB$87,'Fórmula'!B21,10))+(('Fórmula'!E21)/('Fórmula'!C21+'Fórmula'!E21+'Fórmula'!G21+'Fórmula'!I21+'Fórmula'!K21))*(INDEX(properties!A$1:CB$87,'Fórmula'!D21,10))+(('Fórmula'!G21)/('Fórmula'!C21+'Fórmula'!E21+'Fórmula'!G21+'Fórmula'!I21+'Fórmula'!K21))*(INDEX(properties!A$1:CB$87,'Fórmula'!F21,10))+(('Fórmula'!I21)/('Fórmula'!C21+'Fórmula'!E21+'Fórmula'!G21+'Fórmula'!I21+'Fórmula'!K21))*(INDEX(properties!A$1:CB$87,'Fórmula'!H21,10))+(('Fórmula'!K21)/('Fórmula'!C21+'Fórmula'!E21+'Fórmula'!G21+'Fórmula'!I21+'Fórmula'!K21))*(INDEX(properties!A$1:CB$87,'Fórmula'!J21,10))</f>
        <v>6.307692308</v>
      </c>
      <c r="AG21" s="106">
        <f t="array" ref="AG21">'Fórmula'!C21*(INDEX(properties!A$1:CB$87,'Fórmula'!B21,10))+'Fórmula'!E21*(INDEX(properties!A$1:CB$87,'Fórmula'!D21,10))+'Fórmula'!G21*(INDEX(properties!A$1:CB$87,'Fórmula'!F21,10))+'Fórmula'!I21*(INDEX(properties!A$1:CB$87,'Fórmula'!H21,10))+'Fórmula'!K21*(INDEX(properties!A$1:CB$87,'Fórmula'!J21,10))</f>
        <v>82</v>
      </c>
      <c r="AH21" s="106">
        <f t="array" ref="AH21">VARP(IF(INDEX(properties!A$1:CB$87,'Fórmula'!B21,10)&lt;&gt;"",INDEX(properties!A$1:CB$87,'Fórmula'!B21,10)),IF(INDEX(properties!A$1:CB$87,'Fórmula'!D21,10)&lt;&gt;"",INDEX(properties!A$1:CB$87,'Fórmula'!D21,10)),IF(INDEX(properties!A$1:CB$87,'Fórmula'!F21,10)&lt;&gt;"",INDEX(properties!A$1:CB$87,'Fórmula'!F21,10)),IF(INDEX(properties!A$1:CB$87,'Fórmula'!H21,10)&lt;&gt;"",INDEX(properties!A$1:CB$87,'Fórmula'!H21,10)),IF(INDEX(properties!A$1:CB$87,'Fórmula'!J21,10)&lt;&gt;"",INDEX(properties!A$1:CB$87,'Fórmula'!J21,10)))</f>
        <v>9.04</v>
      </c>
      <c r="AI21" s="106">
        <f t="array" ref="AI21">MAX(INDEX(properties!A$1:CB$87,'Fórmula'!B21,10),INDEX(properties!A$1:CB$87,'Fórmula'!D21,10),INDEX(properties!A$1:CB$87,'Fórmula'!F21,10),INDEX(properties!A$1:CB$87,'Fórmula'!H21,10),INDEX(properties!A$1:CB$87,'Fórmula'!J21,10))</f>
        <v>7</v>
      </c>
      <c r="AJ21" s="106">
        <f t="array" ref="AJ21">MIN(IF(INDEX(properties!A$1:CB$87,'Fórmula'!B21,10)=0,10^6,INDEX(properties!A$1:CB$87,'Fórmula'!B21,10)),IF(INDEX(properties!A$1:CB$87,'Fórmula'!D21,10)=0,10^6,INDEX(properties!A$1:CB$87,'Fórmula'!D21,10)),IF(INDEX(properties!A$1:CB$87,'Fórmula'!F21,10)=0,10^6,INDEX(properties!A$1:CB$87,'Fórmula'!F21,10)),IF(INDEX(properties!A$1:CB$87,'Fórmula'!H21,10)=0,10^6,INDEX(properties!A$1:CB$87,'Fórmula'!H21,10)),IF(INDEX(properties!A$1:CB$87,'Fórmula'!J21,10)=0,10^6,INDEX(properties!A$1:CB$87,'Fórmula'!J21,10)))</f>
        <v>5</v>
      </c>
      <c r="AK21" s="106">
        <f t="shared" si="6"/>
        <v>2</v>
      </c>
      <c r="AL21" s="107">
        <f t="array" ref="AL21">(('Fórmula'!C21)/('Fórmula'!C21+'Fórmula'!E21+'Fórmula'!G21+'Fórmula'!I21+'Fórmula'!K21))*(INDEX(properties!A$1:CB$87,'Fórmula'!B21,11))+(('Fórmula'!E21)/('Fórmula'!C21+'Fórmula'!E21+'Fórmula'!G21+'Fórmula'!I21+'Fórmula'!K21))*(INDEX(properties!A$1:CB$87,'Fórmula'!D21,11))+(('Fórmula'!G21)/('Fórmula'!C21+'Fórmula'!E21+'Fórmula'!G21+'Fórmula'!I21+'Fórmula'!K21))*(INDEX(properties!A$1:CB$87,'Fórmula'!F21,11))+(('Fórmula'!I21)/('Fórmula'!C21+'Fórmula'!E21+'Fórmula'!G21+'Fórmula'!I21+'Fórmula'!K21))*(INDEX(properties!A$1:CB$87,'Fórmula'!H21,11))+(('Fórmula'!K21)/('Fórmula'!C21+'Fórmula'!E21+'Fórmula'!G21+'Fórmula'!I21+'Fórmula'!K21))*(INDEX(properties!A$1:CB$87,'Fórmula'!J21,11))</f>
        <v>2</v>
      </c>
      <c r="AM21" s="107">
        <f t="array" ref="AM21">'Fórmula'!C21*(INDEX(properties!A$1:CB$87,'Fórmula'!B21,11))+'Fórmula'!E21*(INDEX(properties!A$1:CB$87,'Fórmula'!D21,11))+'Fórmula'!G21*(INDEX(properties!A$1:CB$87,'Fórmula'!F21,11))+'Fórmula'!I21*(INDEX(properties!A$1:CB$87,'Fórmula'!H21,11))+'Fórmula'!K21*(INDEX(properties!A$1:CB$87,'Fórmula'!J21,11))</f>
        <v>26</v>
      </c>
      <c r="AN21" s="107">
        <f t="array" ref="AN21">VARP(IF(INDEX(properties!A$1:CB$87,'Fórmula'!B21,11)&lt;&gt;"",INDEX(properties!A$1:CB$87,'Fórmula'!B21,11)),IF(INDEX(properties!A$1:CB$87,'Fórmula'!D21,11)&lt;&gt;"",INDEX(properties!A$1:CB$87,'Fórmula'!D21,11)),IF(INDEX(properties!A$1:CB$87,'Fórmula'!F21,11)&lt;&gt;"",INDEX(properties!A$1:CB$87,'Fórmula'!F21,11)),IF(INDEX(properties!A$1:CB$87,'Fórmula'!H21,11)&lt;&gt;"",INDEX(properties!A$1:CB$87,'Fórmula'!H21,11)),IF(INDEX(properties!A$1:CB$87,'Fórmula'!J21,11)&lt;&gt;"",INDEX(properties!A$1:CB$87,'Fórmula'!J21,11)))</f>
        <v>0.96</v>
      </c>
      <c r="AO21" s="107">
        <f t="array" ref="AO21">MAX(INDEX(properties!A$1:CB$87,'Fórmula'!B21,11),INDEX(properties!A$1:CB$87,'Fórmula'!D21,11),INDEX(properties!A$1:CB$87,'Fórmula'!F21,11),INDEX(properties!A$1:CB$87,'Fórmula'!H21,11),INDEX(properties!A$1:CB$87,'Fórmula'!J21,11))</f>
        <v>2</v>
      </c>
      <c r="AP21" s="107">
        <f t="array" ref="AP21">MIN(IF('Fórmula'!B21=87,10^6,INDEX(properties!A$1:CB$87,'Fórmula'!B21,11)),IF(('Fórmula'!D21)=87,10^6,INDEX(properties!A$1:CB$87,'Fórmula'!D21,11)),IF(('Fórmula'!F21)=87,10^6,INDEX(properties!A$1:CB$87,'Fórmula'!F21,11)),IF(('Fórmula'!H21)=87,10^6,INDEX(properties!A$1:CB$87,'Fórmula'!H21,11)),IF('Fórmula'!J21=87,10^6,INDEX(properties!A$1:CB$87,'Fórmula'!J21,11)))</f>
        <v>2</v>
      </c>
      <c r="AQ21" s="107">
        <f t="shared" si="7"/>
        <v>0</v>
      </c>
      <c r="AR21" s="108">
        <f t="array" ref="AR21">(('Fórmula'!C21)/('Fórmula'!C21+'Fórmula'!E21+'Fórmula'!G21+'Fórmula'!I21+'Fórmula'!K21))*(INDEX(properties!A$1:CB$87,'Fórmula'!B21,12))+(('Fórmula'!E21)/('Fórmula'!C21+'Fórmula'!E21+'Fórmula'!G21+'Fórmula'!I21+'Fórmula'!K21))*(INDEX(properties!A$1:CB$87,'Fórmula'!D21,12))+(('Fórmula'!G21)/('Fórmula'!C21+'Fórmula'!E21+'Fórmula'!G21+'Fórmula'!I21+'Fórmula'!K21))*(INDEX(properties!A$1:CB$87,'Fórmula'!F21,12))+(('Fórmula'!I21)/('Fórmula'!C21+'Fórmula'!E21+'Fórmula'!G21+'Fórmula'!I21+'Fórmula'!K21))*(INDEX(properties!A$1:CB$87,'Fórmula'!H21,12))+(('Fórmula'!K21)/('Fórmula'!C21+'Fórmula'!E21+'Fórmula'!G21+'Fórmula'!I21+'Fórmula'!K21))*(INDEX(properties!A$1:CB$87,'Fórmula'!J21,12))</f>
        <v>2.923076923</v>
      </c>
      <c r="AS21" s="108">
        <f t="array" ref="AS21">'Fórmula'!C21*(INDEX(properties!A$1:CB$87,'Fórmula'!B21,12))+'Fórmula'!E21*(INDEX(properties!A$1:CB$87,'Fórmula'!D21,12))+'Fórmula'!G21*(INDEX(properties!A$1:CB$87,'Fórmula'!F21,12))+'Fórmula'!I21*(INDEX(properties!A$1:CB$87,'Fórmula'!H21,12))+'Fórmula'!K21*(INDEX(properties!A$1:CB$87,'Fórmula'!J21,12))</f>
        <v>38</v>
      </c>
      <c r="AT21" s="108">
        <f t="array" ref="AT21">VARP(IF(INDEX(properties!A$1:CB$87,'Fórmula'!B21,12)&lt;&gt;"",INDEX(properties!A$1:CB$87,'Fórmula'!B21,12)),IF(INDEX(properties!A$1:CB$87,'Fórmula'!D21,12)&lt;&gt;"",INDEX(properties!A$1:CB$87,'Fórmula'!D21,12)),IF(INDEX(properties!A$1:CB$87,'Fórmula'!F21,12)&lt;&gt;"",INDEX(properties!A$1:CB$87,'Fórmula'!F21,12)),IF(INDEX(properties!A$1:CB$87,'Fórmula'!H21,12)&lt;&gt;"",INDEX(properties!A$1:CB$87,'Fórmula'!H21,12)),IF(INDEX(properties!A$1:CB$87,'Fórmula'!J21,12)&lt;&gt;"",INDEX(properties!A$1:CB$87,'Fórmula'!J21,12)))</f>
        <v>2.24</v>
      </c>
      <c r="AU21" s="108">
        <f t="array" ref="AU21">MAX(INDEX(properties!A$1:CB$87,'Fórmula'!B21,12),INDEX(properties!A$1:CB$87,'Fórmula'!D21,12),INDEX(properties!A$1:CB$87,'Fórmula'!F21,12),INDEX(properties!A$1:CB$87,'Fórmula'!H21,12),INDEX(properties!A$1:CB$87,'Fórmula'!J21,12))</f>
        <v>4</v>
      </c>
      <c r="AV21" s="108">
        <f t="array" ref="AV21">MIN(IF('Fórmula'!B21=87,10^6,INDEX(properties!A$1:CB$87,'Fórmula'!B21,12)),IF(('Fórmula'!D21)=87,10^6,INDEX(properties!A$1:CB$87,'Fórmula'!D21,12)),IF(('Fórmula'!F21)=87,10^6,INDEX(properties!A$1:CB$87,'Fórmula'!F21,12)),IF(('Fórmula'!H21)=87,10^6,INDEX(properties!A$1:CB$87,'Fórmula'!H21,12)),IF('Fórmula'!J21=87,10^6,INDEX(properties!A$1:CB$87,'Fórmula'!J21,12)))</f>
        <v>1</v>
      </c>
      <c r="AW21" s="108">
        <f t="shared" si="8"/>
        <v>3</v>
      </c>
      <c r="AX21" s="109">
        <f t="array" ref="AX21">(('Fórmula'!C21)/('Fórmula'!C21+'Fórmula'!E21+'Fórmula'!G21+'Fórmula'!I21+'Fórmula'!K21))*(INDEX(properties!A$1:CB$87,'Fórmula'!B21,13))+(('Fórmula'!E21)/('Fórmula'!C21+'Fórmula'!E21+'Fórmula'!G21+'Fórmula'!I21+'Fórmula'!K21))*(INDEX(properties!A$1:CB$87,'Fórmula'!D21,13))+(('Fórmula'!G21)/('Fórmula'!C21+'Fórmula'!E21+'Fórmula'!G21+'Fórmula'!I21+'Fórmula'!K21))*(INDEX(properties!A$1:CB$87,'Fórmula'!F21,13))+(('Fórmula'!I21)/('Fórmula'!C21+'Fórmula'!E21+'Fórmula'!G21+'Fórmula'!I21+'Fórmula'!K21))*(INDEX(properties!A$1:CB$87,'Fórmula'!H21,13))+(('Fórmula'!K21)/('Fórmula'!C21+'Fórmula'!E21+'Fórmula'!G21+'Fórmula'!I21+'Fórmula'!K21))*(INDEX(properties!A$1:CB$87,'Fórmula'!J21,13))</f>
        <v>3.846153846</v>
      </c>
      <c r="AY21" s="109">
        <f t="array" ref="AY21">'Fórmula'!C21*(INDEX(properties!A$1:CB$87,'Fórmula'!B21,13))+'Fórmula'!E21*(INDEX(properties!A$1:CB$87,'Fórmula'!D21,13))+'Fórmula'!G21*(INDEX(properties!A$1:CB$87,'Fórmula'!F21,13))+'Fórmula'!I21*(INDEX(properties!A$1:CB$87,'Fórmula'!H21,13))+'Fórmula'!K21*(INDEX(properties!A$1:CB$87,'Fórmula'!J21,13))</f>
        <v>50</v>
      </c>
      <c r="AZ21" s="109">
        <f t="array" ref="AZ21">VARP(IF(INDEX(properties!A$1:CB$87,'Fórmula'!B21,13)&lt;&gt;"",INDEX(properties!A$1:CB$87,'Fórmula'!B21,13)),IF(INDEX(properties!A$1:CB$87,'Fórmula'!D21,13)&lt;&gt;"",INDEX(properties!A$1:CB$87,'Fórmula'!D21,13)),IF(INDEX(properties!A$1:CB$87,'Fórmula'!F21,13)&lt;&gt;"",INDEX(properties!A$1:CB$87,'Fórmula'!F21,13)),IF(INDEX(properties!A$1:CB$87,'Fórmula'!H21,13)&lt;&gt;"",INDEX(properties!A$1:CB$87,'Fórmula'!H21,13)),IF(INDEX(properties!A$1:CB$87,'Fórmula'!J21,13)&lt;&gt;"",INDEX(properties!A$1:CB$87,'Fórmula'!J21,13)))</f>
        <v>24</v>
      </c>
      <c r="BA21" s="109">
        <f t="array" ref="BA21">MAX(INDEX(properties!A$1:CB$87,'Fórmula'!B21,13),INDEX(properties!A$1:CB$87,'Fórmula'!D21,13),INDEX(properties!A$1:CB$87,'Fórmula'!F21,13),INDEX(properties!A$1:CB$87,'Fórmula'!H21,13),INDEX(properties!A$1:CB$87,'Fórmula'!J21,13))</f>
        <v>10</v>
      </c>
      <c r="BB21" s="109">
        <f t="array" ref="BB21">MIN(IF('Fórmula'!B21=87,10^6,INDEX(properties!A$1:CB$87,'Fórmula'!B21,13)),IF(('Fórmula'!D21)=87,10^6,INDEX(properties!A$1:CB$87,'Fórmula'!D21,13)),IF(('Fórmula'!F21)=87,10^6,INDEX(properties!A$1:CB$87,'Fórmula'!F21,13)),IF(('Fórmula'!H21)=87,10^6,INDEX(properties!A$1:CB$87,'Fórmula'!H21,13)),IF('Fórmula'!J21=87,10^6,INDEX(properties!A$1:CB$87,'Fórmula'!J21,13)))</f>
        <v>0</v>
      </c>
      <c r="BC21" s="109">
        <f t="shared" si="9"/>
        <v>10</v>
      </c>
      <c r="BD21" s="110">
        <f t="array" ref="BD21">(('Fórmula'!C21)/('Fórmula'!C21+'Fórmula'!E21+'Fórmula'!G21+'Fórmula'!I21+'Fórmula'!K21))*(INDEX(properties!A$1:CB$87,'Fórmula'!B21,14))+(('Fórmula'!E21)/('Fórmula'!C21+'Fórmula'!E21+'Fórmula'!G21+'Fórmula'!I21+'Fórmula'!K21))*(INDEX(properties!A$1:CB$87,'Fórmula'!D21,14))+(('Fórmula'!G21)/('Fórmula'!C21+'Fórmula'!E21+'Fórmula'!G21+'Fórmula'!I21+'Fórmula'!K21))*(INDEX(properties!A$1:CB$87,'Fórmula'!F21,14))+(('Fórmula'!I21)/('Fórmula'!C21+'Fórmula'!E21+'Fórmula'!G21+'Fórmula'!I21+'Fórmula'!K21))*(INDEX(properties!A$1:CB$87,'Fórmula'!H21,14))+(('Fórmula'!K21)/('Fórmula'!C21+'Fórmula'!E21+'Fórmula'!G21+'Fórmula'!I21+'Fórmula'!K21))*(INDEX(properties!A$1:CB$87,'Fórmula'!J21,14))</f>
        <v>0</v>
      </c>
      <c r="BE21" s="110">
        <f t="array" ref="BE21">'Fórmula'!C21*(INDEX(properties!A$1:CB$87,'Fórmula'!B21,14))+'Fórmula'!E21*(INDEX(properties!A$1:CB$87,'Fórmula'!D21,14))+'Fórmula'!G21*(INDEX(properties!A$1:CB$87,'Fórmula'!F21,14))+'Fórmula'!I21*(INDEX(properties!A$1:CB$87,'Fórmula'!H21,14))+'Fórmula'!K21*(INDEX(properties!A$1:CB$87,'Fórmula'!J21,14))</f>
        <v>0</v>
      </c>
      <c r="BF21" s="110">
        <f t="array" ref="BF21">VARP(IF(INDEX(properties!A$1:CB$87,'Fórmula'!B21,14)&lt;&gt;"",INDEX(properties!A$1:CB$87,'Fórmula'!B21,14)),IF(INDEX(properties!A$1:CB$87,'Fórmula'!D21,14)&lt;&gt;"",INDEX(properties!A$1:CB$87,'Fórmula'!D21,14)),IF(INDEX(properties!A$1:CB$87,'Fórmula'!F21,14)&lt;&gt;"",INDEX(properties!A$1:CB$87,'Fórmula'!F21,14)),IF(INDEX(properties!A$1:CB$87,'Fórmula'!H21,14)&lt;&gt;"",INDEX(properties!A$1:CB$87,'Fórmula'!H21,14)),IF(INDEX(properties!A$1:CB$87,'Fórmula'!J21,14)&lt;&gt;"",INDEX(properties!A$1:CB$87,'Fórmula'!J21,14)))</f>
        <v>0</v>
      </c>
      <c r="BG21" s="110">
        <f t="array" ref="BG21">MAX(INDEX(properties!A$1:CB$87,'Fórmula'!B21,14),INDEX(properties!A$1:CB$87,'Fórmula'!D21,14),INDEX(properties!A$1:CB$87,'Fórmula'!F21,14),INDEX(properties!A$1:CB$87,'Fórmula'!H21,14),INDEX(properties!A$1:CB$87,'Fórmula'!J21,14))</f>
        <v>0</v>
      </c>
      <c r="BH21" s="110">
        <f t="array" ref="BH21">MIN(IF('Fórmula'!B21=87,10^6,INDEX(properties!A$1:CB$87,'Fórmula'!B21,14)),IF(('Fórmula'!D21)=87,10^6,INDEX(properties!A$1:CB$87,'Fórmula'!D21,14)),IF(('Fórmula'!F21)=87,10^6,INDEX(properties!A$1:CB$87,'Fórmula'!F21,14)),IF(('Fórmula'!H21)=87,10^6,INDEX(properties!A$1:CB$87,'Fórmula'!H21,14)),IF('Fórmula'!J21=87,10^6,INDEX(properties!A$1:CB$87,'Fórmula'!J21,14)))</f>
        <v>0</v>
      </c>
      <c r="BI21" s="110">
        <f t="shared" si="10"/>
        <v>0</v>
      </c>
      <c r="BJ21" s="111">
        <f t="array" ref="BJ21">(('Fórmula'!C21)/('Fórmula'!C21+'Fórmula'!E21+'Fórmula'!G21+'Fórmula'!I21+'Fórmula'!K21))*(INDEX(properties!A$1:CB$87,'Fórmula'!B21,19))+(('Fórmula'!E21)/('Fórmula'!C21+'Fórmula'!E21+'Fórmula'!G21+'Fórmula'!I21+'Fórmula'!K21))*(INDEX(properties!A$1:CB$87,'Fórmula'!D21,19))+(('Fórmula'!G21)/('Fórmula'!C21+'Fórmula'!E21+'Fórmula'!G21+'Fórmula'!I21+'Fórmula'!K21))*(INDEX(properties!A$1:CB$87,'Fórmula'!F21,19))+(('Fórmula'!I21)/('Fórmula'!C21+'Fórmula'!E21+'Fórmula'!G21+'Fórmula'!I21+'Fórmula'!K21))*(INDEX(properties!A$1:CB$87,'Fórmula'!H21,19))+(('Fórmula'!K21)/('Fórmula'!C21+'Fórmula'!E21+'Fórmula'!G21+'Fórmula'!I21+'Fórmula'!K21))*(INDEX(properties!A$1:CB$87,'Fórmula'!J21,19))</f>
        <v>8.769230769</v>
      </c>
      <c r="BK21" s="111">
        <f t="array" ref="BK21">'Fórmula'!C21*(INDEX(properties!A$1:CB$87,'Fórmula'!B21,19))+'Fórmula'!E21*(INDEX(properties!A$1:CB$87,'Fórmula'!D21,19))+'Fórmula'!G21*(INDEX(properties!A$1:CB$87,'Fórmula'!F21,19))+'Fórmula'!I21*(INDEX(properties!A$1:CB$87,'Fórmula'!H21,19))+'Fórmula'!K21*(INDEX(properties!A$1:CB$87,'Fórmula'!J21,19))</f>
        <v>114</v>
      </c>
      <c r="BL21" s="111">
        <f t="array" ref="BL21">VARP(IF(INDEX(properties!A$1:CB$87,'Fórmula'!B21,19)&lt;&gt;"",INDEX(properties!A$1:CB$87,'Fórmula'!B21,19)),IF(INDEX(properties!A$1:CB$87,'Fórmula'!D21,19)&lt;&gt;"",INDEX(properties!A$1:CB$87,'Fórmula'!D21,19)),IF(INDEX(properties!A$1:CB$87,'Fórmula'!F21,19)&lt;&gt;"",INDEX(properties!A$1:CB$87,'Fórmula'!F21,19)),IF(INDEX(properties!A$1:CB$87,'Fórmula'!H21,19)&lt;&gt;"",INDEX(properties!A$1:CB$87,'Fórmula'!H21,19)),IF(INDEX(properties!A$1:CB$87,'Fórmula'!J21,19)&lt;&gt;"",INDEX(properties!A$1:CB$87,'Fórmula'!J21,19)))</f>
        <v>36.64</v>
      </c>
      <c r="BM21" s="111">
        <f t="array" ref="BM21">MAX(INDEX(properties!A$1:CB$87,'Fórmula'!B21,19),INDEX(properties!A$1:CB$87,'Fórmula'!D21,19),INDEX(properties!A$1:CB$87,'Fórmula'!F21,19),INDEX(properties!A$1:CB$87,'Fórmula'!H21,19),INDEX(properties!A$1:CB$87,'Fórmula'!J21,19))</f>
        <v>14</v>
      </c>
      <c r="BN21" s="111">
        <f t="array" ref="BN21">MIN(IF(INDEX(properties!A$1:CB$87,'Fórmula'!B21,19)=0,10^6,INDEX(properties!A$1:CB$87,'Fórmula'!B21,19)),IF(INDEX(properties!A$1:CB$87,'Fórmula'!D21,19)=0,10^6,INDEX(properties!A$1:CB$87,'Fórmula'!D21,19)),IF(INDEX(properties!A$1:CB$87,'Fórmula'!F21,19)=0,10^6,INDEX(properties!A$1:CB$87,'Fórmula'!F21,19)),IF(INDEX(properties!A$1:CB$87,'Fórmula'!H21,19)=0,10^6,INDEX(properties!A$1:CB$87,'Fórmula'!H21,19)),IF(INDEX(properties!A$1:CB$87,'Fórmula'!J21,19)=0,10^6,INDEX(properties!A$1:CB$87,'Fórmula'!J21,19)))</f>
        <v>6</v>
      </c>
      <c r="BO21" s="111">
        <f t="shared" si="11"/>
        <v>8</v>
      </c>
      <c r="BP21" s="112">
        <f t="array" ref="BP21">(('Fórmula'!C21)/('Fórmula'!C21+'Fórmula'!E21+'Fórmula'!G21+'Fórmula'!I21+'Fórmula'!K21))*(INDEX(properties!A$1:CB$87,'Fórmula'!B21,20))+(('Fórmula'!E21)/('Fórmula'!C21+'Fórmula'!E21+'Fórmula'!G21+'Fórmula'!I21+'Fórmula'!K21))*(INDEX(properties!A$1:CB$87,'Fórmula'!D21,20))+(('Fórmula'!G21)/('Fórmula'!C21+'Fórmula'!E21+'Fórmula'!G21+'Fórmula'!I21+'Fórmula'!K21))*(INDEX(properties!A$1:CB$87,'Fórmula'!F21,20))+(('Fórmula'!I21)/('Fórmula'!C21+'Fórmula'!E21+'Fórmula'!G21+'Fórmula'!I21+'Fórmula'!K21))*(INDEX(properties!A$1:CB$87,'Fórmula'!H21,20))+(('Fórmula'!K21)/('Fórmula'!C21+'Fórmula'!E21+'Fórmula'!G21+'Fórmula'!I21+'Fórmula'!K21))*(INDEX(properties!A$1:CB$87,'Fórmula'!J21,20))</f>
        <v>4.923076923</v>
      </c>
      <c r="BQ21" s="112">
        <f t="array" ref="BQ21">'Fórmula'!C21*(INDEX(properties!A$1:CB$87,'Fórmula'!B21,20))+'Fórmula'!E21*(INDEX(properties!A$1:CB$87,'Fórmula'!D21,20))+'Fórmula'!G21*(INDEX(properties!A$1:CB$87,'Fórmula'!F21,20))+'Fórmula'!I21*(INDEX(properties!A$1:CB$87,'Fórmula'!H21,20))+'Fórmula'!K21*(INDEX(properties!A$1:CB$87,'Fórmula'!J21,20))</f>
        <v>64</v>
      </c>
      <c r="BR21" s="112">
        <f t="array" ref="BR21">VARP(IF(INDEX(properties!A$1:CB$87,'Fórmula'!B21,20)&lt;&gt;"",INDEX(properties!A$1:CB$87,'Fórmula'!B21,20)),IF(INDEX(properties!A$1:CB$87,'Fórmula'!D21,20)&lt;&gt;"",INDEX(properties!A$1:CB$87,'Fórmula'!D21,20)),IF(INDEX(properties!A$1:CB$87,'Fórmula'!F21,20)&lt;&gt;"",INDEX(properties!A$1:CB$87,'Fórmula'!F21,20)),IF(INDEX(properties!A$1:CB$87,'Fórmula'!H21,20)&lt;&gt;"",INDEX(properties!A$1:CB$87,'Fórmula'!H21,20)),IF(INDEX(properties!A$1:CB$87,'Fórmula'!J21,20)&lt;&gt;"",INDEX(properties!A$1:CB$87,'Fórmula'!J21,20)))</f>
        <v>5.44</v>
      </c>
      <c r="BS21" s="112">
        <f t="array" ref="BS21">MAX(INDEX(properties!A$1:CB$87,'Fórmula'!B21,20),INDEX(properties!A$1:CB$87,'Fórmula'!D21,20),INDEX(properties!A$1:CB$87,'Fórmula'!F21,20),INDEX(properties!A$1:CB$87,'Fórmula'!H21,20),INDEX(properties!A$1:CB$87,'Fórmula'!J21,20))</f>
        <v>6</v>
      </c>
      <c r="BT21" s="112">
        <f t="array" ref="BT21">MIN(IF(INDEX(properties!A$1:CB$87,'Fórmula'!B21,20)=0,10^6,INDEX(properties!A$1:CB$87,'Fórmula'!B21,20)),IF(INDEX(properties!A$1:CB$87,'Fórmula'!D21,20)=0,10^6,INDEX(properties!A$1:CB$87,'Fórmula'!D21,20)),IF(INDEX(properties!A$1:CB$87,'Fórmula'!F21,20)=0,10^6,INDEX(properties!A$1:CB$87,'Fórmula'!F21,20)),IF(INDEX(properties!A$1:CB$87,'Fórmula'!H21,20)=0,10^6,INDEX(properties!A$1:CB$87,'Fórmula'!H21,20)),IF(INDEX(properties!A$1:CB$87,'Fórmula'!J21,20)=0,10^6,INDEX(properties!A$1:CB$87,'Fórmula'!J21,20)))</f>
        <v>3</v>
      </c>
      <c r="BU21" s="112">
        <f t="shared" si="12"/>
        <v>3</v>
      </c>
      <c r="BV21" s="113">
        <f t="array" ref="BV21">(('Fórmula'!C21)/('Fórmula'!C21+'Fórmula'!E21+'Fórmula'!G21+'Fórmula'!I21+'Fórmula'!K21))*(INDEX(properties!A$1:CB$87,'Fórmula'!B21,21))+(('Fórmula'!E21)/('Fórmula'!C21+'Fórmula'!E21+'Fórmula'!G21+'Fórmula'!I21+'Fórmula'!K21))*(INDEX(properties!A$1:CB$87,'Fórmula'!D21,21))+(('Fórmula'!G21)/('Fórmula'!C21+'Fórmula'!E21+'Fórmula'!G21+'Fórmula'!I21+'Fórmula'!K21))*(INDEX(properties!A$1:CB$87,'Fórmula'!F21,21))+(('Fórmula'!I21)/('Fórmula'!C21+'Fórmula'!E21+'Fórmula'!G21+'Fórmula'!I21+'Fórmula'!K21))*(INDEX(properties!A$1:CB$87,'Fórmula'!H21,21))+(('Fórmula'!K21)/('Fórmula'!C21+'Fórmula'!E21+'Fórmula'!G21+'Fórmula'!I21+'Fórmula'!K21))*(INDEX(properties!A$1:CB$87,'Fórmula'!J21,21))</f>
        <v>4.923076923</v>
      </c>
      <c r="BW21" s="113">
        <f t="array" ref="BW21">'Fórmula'!C21*(INDEX(properties!A$1:CB$87,'Fórmula'!B21,21))+'Fórmula'!E21*(INDEX(properties!A$1:CB$87,'Fórmula'!D21,21))+'Fórmula'!G21*(INDEX(properties!A$1:CB$87,'Fórmula'!F21,21))+'Fórmula'!I21*(INDEX(properties!A$1:CB$87,'Fórmula'!H21,21))+'Fórmula'!K21*(INDEX(properties!A$1:CB$87,'Fórmula'!J21,21))</f>
        <v>64</v>
      </c>
      <c r="BX21" s="113">
        <f t="array" ref="BX21">VARP(IF(INDEX(properties!A$1:CB$87,'Fórmula'!B21,21)&lt;&gt;"",INDEX(properties!A$1:CB$87,'Fórmula'!B21,21)),IF(INDEX(properties!A$1:CB$87,'Fórmula'!D21,21)&lt;&gt;"",INDEX(properties!A$1:CB$87,'Fórmula'!D21,21)),IF(INDEX(properties!A$1:CB$87,'Fórmula'!F21,21)&lt;&gt;"",INDEX(properties!A$1:CB$87,'Fórmula'!F21,21)),IF(INDEX(properties!A$1:CB$87,'Fórmula'!H21,21)&lt;&gt;"",INDEX(properties!A$1:CB$87,'Fórmula'!H21,21)),IF(INDEX(properties!A$1:CB$87,'Fórmula'!J21,21)&lt;&gt;"",INDEX(properties!A$1:CB$87,'Fórmula'!J21,21)))</f>
        <v>5.44</v>
      </c>
      <c r="BY21" s="113">
        <f t="array" ref="BY21">MAX(INDEX(properties!A$1:CB$87,'Fórmula'!B21,21),INDEX(properties!A$1:CB$87,'Fórmula'!D21,21),INDEX(properties!A$1:CB$87,'Fórmula'!F21,21),INDEX(properties!A$1:CB$87,'Fórmula'!H21,21),INDEX(properties!A$1:CB$87,'Fórmula'!J21,21))</f>
        <v>6</v>
      </c>
      <c r="BZ21" s="113">
        <f t="array" ref="BZ21">MIN(IF(INDEX(properties!A$1:CB$87,'Fórmula'!B21,21)=0,10^6,INDEX(properties!A$1:CB$87,'Fórmula'!B21,21)),IF(INDEX(properties!A$1:CB$87,'Fórmula'!D21,21)=0,10^6,INDEX(properties!A$1:CB$87,'Fórmula'!D21,21)),IF(INDEX(properties!A$1:CB$87,'Fórmula'!F21,21)=0,10^6,INDEX(properties!A$1:CB$87,'Fórmula'!F21,21)),IF(INDEX(properties!A$1:CB$87,'Fórmula'!H21,21)=0,10^6,INDEX(properties!A$1:CB$87,'Fórmula'!H21,21)),IF(INDEX(properties!A$1:CB$87,'Fórmula'!J21,21)=0,10^6,INDEX(properties!A$1:CB$87,'Fórmula'!J21,21)))</f>
        <v>3</v>
      </c>
      <c r="CA21" s="113">
        <f t="shared" si="13"/>
        <v>3</v>
      </c>
      <c r="CB21" s="114">
        <f t="array" ref="CB21">(('Fórmula'!C21)/('Fórmula'!C21+'Fórmula'!E21+'Fórmula'!G21+'Fórmula'!I21+'Fórmula'!K21))*(INDEX(properties!A$1:CB$87,'Fórmula'!B21,23))+(('Fórmula'!E21)/('Fórmula'!C21+'Fórmula'!E21+'Fórmula'!G21+'Fórmula'!I21+'Fórmula'!K21))*(INDEX(properties!A$1:CB$87,'Fórmula'!D21,23))+(('Fórmula'!G21)/('Fórmula'!C21+'Fórmula'!E21+'Fórmula'!G21+'Fórmula'!I21+'Fórmula'!K21))*(INDEX(properties!A$1:CB$87,'Fórmula'!F21,23))+(('Fórmula'!I21)/('Fórmula'!C21+'Fórmula'!E21+'Fórmula'!G21+'Fórmula'!I21+'Fórmula'!K21))*(INDEX(properties!A$1:CB$87,'Fórmula'!H21,23))+(('Fórmula'!K21)/('Fórmula'!C21+'Fórmula'!E21+'Fórmula'!G21+'Fórmula'!I21+'Fórmula'!K21))*(INDEX(properties!A$1:CB$87,'Fórmula'!J21,23))</f>
        <v>1.366153846</v>
      </c>
      <c r="CC21" s="114">
        <f t="array" ref="CC21">'Fórmula'!C21*(INDEX(properties!A$1:CB$87,'Fórmula'!B21,23))+'Fórmula'!E21*(INDEX(properties!A$1:CB$87,'Fórmula'!D21,23))+'Fórmula'!G21*(INDEX(properties!A$1:CB$87,'Fórmula'!F21,23))+'Fórmula'!I21*(INDEX(properties!A$1:CB$87,'Fórmula'!H21,23))+'Fórmula'!K21*(INDEX(properties!A$1:CB$87,'Fórmula'!J21,23))</f>
        <v>17.76</v>
      </c>
      <c r="CD21" s="114">
        <f t="array" ref="CD21">VARP(IF(INDEX(properties!A$1:CB$87,'Fórmula'!B21,23)&lt;&gt;"",INDEX(properties!A$1:CB$87,'Fórmula'!B21,23)),IF(INDEX(properties!A$1:CB$87,'Fórmula'!D21,23)&lt;&gt;"",INDEX(properties!A$1:CB$87,'Fórmula'!D21,23)),IF(INDEX(properties!A$1:CB$87,'Fórmula'!F21,23)&lt;&gt;"",INDEX(properties!A$1:CB$87,'Fórmula'!F21,23)),IF(INDEX(properties!A$1:CB$87,'Fórmula'!H21,23)&lt;&gt;"",INDEX(properties!A$1:CB$87,'Fórmula'!H21,23)),IF(INDEX(properties!A$1:CB$87,'Fórmula'!J21,23)&lt;&gt;"",INDEX(properties!A$1:CB$87,'Fórmula'!J21,23)))</f>
        <v>3.352576</v>
      </c>
      <c r="CE21" s="114">
        <f t="array" ref="CE21">MAX(INDEX(properties!A$1:CB$87,'Fórmula'!B21,23),INDEX(properties!A$1:CB$87,'Fórmula'!D21,23),INDEX(properties!A$1:CB$87,'Fórmula'!F21,23),INDEX(properties!A$1:CB$87,'Fórmula'!H21,23),INDEX(properties!A$1:CB$87,'Fórmula'!J21,23))</f>
        <v>4</v>
      </c>
      <c r="CF21" s="114">
        <f t="array" ref="CF21">MIN(IF('Fórmula'!B21=87,10^6,INDEX(properties!A$1:CB$87,'Fórmula'!B21,23)),IF(('Fórmula'!D21)=87,10^6,INDEX(properties!A$1:CB$87,'Fórmula'!D21,23)),IF(('Fórmula'!F21)=87,10^6,INDEX(properties!A$1:CB$87,'Fórmula'!F21,23)),IF(('Fórmula'!H21)=87,10^6,INDEX(properties!A$1:CB$87,'Fórmula'!H21,23)),IF('Fórmula'!J21=87,10^6,INDEX(properties!A$1:CB$87,'Fórmula'!J21,23)))</f>
        <v>0</v>
      </c>
      <c r="CG21" s="114">
        <f t="shared" si="14"/>
        <v>4</v>
      </c>
      <c r="CH21" s="115">
        <f t="array" ref="CH21">(('Fórmula'!C21)/('Fórmula'!C21+'Fórmula'!E21+'Fórmula'!G21+'Fórmula'!I21+'Fórmula'!K21))*(INDEX(properties!A$1:CB$87,'Fórmula'!B21,26))+(('Fórmula'!E21)/('Fórmula'!C21+'Fórmula'!E21+'Fórmula'!G21+'Fórmula'!I21+'Fórmula'!K21))*(INDEX(properties!A$1:CB$87,'Fórmula'!D21,26))+(('Fórmula'!G21)/('Fórmula'!C21+'Fórmula'!E21+'Fórmula'!G21+'Fórmula'!I21+'Fórmula'!K21))*(INDEX(properties!A$1:CB$87,'Fórmula'!F21,26))+(('Fórmula'!I21)/('Fórmula'!C21+'Fórmula'!E21+'Fórmula'!G21+'Fórmula'!I21+'Fórmula'!K21))*(INDEX(properties!A$1:CB$87,'Fórmula'!H21,26))+(('Fórmula'!K21)/('Fórmula'!C21+'Fórmula'!E21+'Fórmula'!G21+'Fórmula'!I21+'Fórmula'!K21))*(INDEX(properties!A$1:CB$87,'Fórmula'!J21,26))</f>
        <v>10.83395385</v>
      </c>
      <c r="CI21" s="115">
        <f t="array" ref="CI21">'Fórmula'!C21*(INDEX(properties!A$1:CB$87,'Fórmula'!B21,26))+'Fórmula'!E21*(INDEX(properties!A$1:CB$87,'Fórmula'!D21,26))+'Fórmula'!G21*(INDEX(properties!A$1:CB$87,'Fórmula'!F21,26))+'Fórmula'!I21*(INDEX(properties!A$1:CB$87,'Fórmula'!H21,26))+'Fórmula'!K21*(INDEX(properties!A$1:CB$87,'Fórmula'!J21,26))</f>
        <v>140.8414</v>
      </c>
      <c r="CJ21" s="115">
        <f t="array" ref="CJ21">VARP(IF(INDEX(properties!A$1:CB$87,'Fórmula'!B21,26)&lt;&gt;"",INDEX(properties!A$1:CB$87,'Fórmula'!B21,26)),IF(INDEX(properties!A$1:CB$87,'Fórmula'!D21,26)&lt;&gt;"",INDEX(properties!A$1:CB$87,'Fórmula'!D21,26)),IF(INDEX(properties!A$1:CB$87,'Fórmula'!F21,26)&lt;&gt;"",INDEX(properties!A$1:CB$87,'Fórmula'!F21,26)),IF(INDEX(properties!A$1:CB$87,'Fórmula'!H21,26)&lt;&gt;"",INDEX(properties!A$1:CB$87,'Fórmula'!H21,26)),IF(INDEX(properties!A$1:CB$87,'Fórmula'!J21,26)&lt;&gt;"",INDEX(properties!A$1:CB$87,'Fórmula'!J21,26)))</f>
        <v>26.4819824</v>
      </c>
      <c r="CK21" s="116">
        <f t="array" ref="CK21">MAX(INDEX(properties!A$1:CB$87,'Fórmula'!B21,26),INDEX(properties!A$1:CB$87,'Fórmula'!D21,26),INDEX(properties!A$1:CB$87,'Fórmula'!F21,26),INDEX(properties!A$1:CB$87,'Fórmula'!H21,26),INDEX(properties!A$1:CB$87,'Fórmula'!J21,26))</f>
        <v>13.6181</v>
      </c>
      <c r="CL21" s="116">
        <f t="array" ref="CL21">MIN(IF(INDEX(properties!A$1:CB$87,'Fórmula'!B21,26)=0,10^6,INDEX(properties!A$1:CB$87,'Fórmula'!B21,26)),IF(INDEX(properties!A$1:CB$87,'Fórmula'!D21,26)=0,10^6,INDEX(properties!A$1:CB$87,'Fórmula'!D21,26)),IF(INDEX(properties!A$1:CB$87,'Fórmula'!F21,26)=0,10^6,INDEX(properties!A$1:CB$87,'Fórmula'!F21,26)),IF(INDEX(properties!A$1:CB$87,'Fórmula'!H21,26)=0,10^6,INDEX(properties!A$1:CB$87,'Fórmula'!H21,26)),IF(INDEX(properties!A$1:CB$87,'Fórmula'!J21,26)=0,10^6,INDEX(properties!A$1:CB$87,'Fórmula'!J21,26)))</f>
        <v>5.9993</v>
      </c>
      <c r="CM21" s="115">
        <f t="shared" si="15"/>
        <v>7.6188</v>
      </c>
      <c r="CN21" s="117">
        <f t="array" ref="CN21">(('Fórmula'!C21)/('Fórmula'!C21+'Fórmula'!E21+'Fórmula'!G21+'Fórmula'!I21+'Fórmula'!K21))*(INDEX(properties!A$1:CB$87,'Fórmula'!B21,30))+(('Fórmula'!E21)/('Fórmula'!C21+'Fórmula'!E21+'Fórmula'!G21+'Fórmula'!I21+'Fórmula'!K21))*(INDEX(properties!A$1:CB$87,'Fórmula'!D21,30))+(('Fórmula'!G21)/('Fórmula'!C21+'Fórmula'!E21+'Fórmula'!G21+'Fórmula'!I21+'Fórmula'!K21))*(INDEX(properties!A$1:CB$87,'Fórmula'!F21,30))+(('Fórmula'!I21)/('Fórmula'!C21+'Fórmula'!E21+'Fórmula'!G21+'Fórmula'!I21+'Fórmula'!K21))*(INDEX(properties!A$1:CB$87,'Fórmula'!H21,30))+(('Fórmula'!K21)/('Fórmula'!C21+'Fórmula'!E21+'Fórmula'!G21+'Fórmula'!I21+'Fórmula'!K21))*(INDEX(properties!A$1:CB$87,'Fórmula'!J21,30))</f>
        <v>2.828461538</v>
      </c>
      <c r="CO21" s="117">
        <f t="array" ref="CO21">'Fórmula'!C21*(INDEX(properties!A$1:CB$87,'Fórmula'!B21,30))+'Fórmula'!E21*(INDEX(properties!A$1:CB$87,'Fórmula'!D21,30))+'Fórmula'!G21*(INDEX(properties!A$1:CB$87,'Fórmula'!F21,30))+'Fórmula'!I21*(INDEX(properties!A$1:CB$87,'Fórmula'!H21,30))+'Fórmula'!K21*(INDEX(properties!A$1:CB$87,'Fórmula'!J21,30))</f>
        <v>36.77</v>
      </c>
      <c r="CP21" s="117">
        <f t="array" ref="CP21">VARP(IF(INDEX(properties!A$1:CB$87,'Fórmula'!B21,30)&lt;&gt;"",INDEX(properties!A$1:CB$87,'Fórmula'!B21,30)),IF(INDEX(properties!A$1:CB$87,'Fórmula'!D21,30)&lt;&gt;"",INDEX(properties!A$1:CB$87,'Fórmula'!D21,30)),IF(INDEX(properties!A$1:CB$87,'Fórmula'!F21,30)&lt;&gt;"",INDEX(properties!A$1:CB$87,'Fórmula'!F21,30)),IF(INDEX(properties!A$1:CB$87,'Fórmula'!H21,30)&lt;&gt;"",INDEX(properties!A$1:CB$87,'Fórmula'!H21,30)),IF(INDEX(properties!A$1:CB$87,'Fórmula'!J21,30)&lt;&gt;"",INDEX(properties!A$1:CB$87,'Fórmula'!J21,30)))</f>
        <v>1.721656</v>
      </c>
      <c r="CQ21" s="117">
        <f t="array" ref="CQ21">MAX(INDEX(properties!A$1:CB$87,'Fórmula'!B21,30),INDEX(properties!A$1:CB$87,'Fórmula'!D21,30),INDEX(properties!A$1:CB$87,'Fórmula'!F21,30),INDEX(properties!A$1:CB$87,'Fórmula'!H21,30),INDEX(properties!A$1:CB$87,'Fórmula'!J21,30))</f>
        <v>3.44</v>
      </c>
      <c r="CR21" s="117">
        <f t="array" ref="CR21">MIN(IF(INDEX(properties!A$1:CB$87,'Fórmula'!B21,30)=0,10^6,INDEX(properties!A$1:CB$87,'Fórmula'!B21,30)),IF(INDEX(properties!A$1:CB$87,'Fórmula'!D21,30)=0,10^6,INDEX(properties!A$1:CB$87,'Fórmula'!D21,30)),IF(INDEX(properties!A$1:CB$87,'Fórmula'!F21,30)=0,10^6,INDEX(properties!A$1:CB$87,'Fórmula'!F21,30)),IF(INDEX(properties!A$1:CB$87,'Fórmula'!H21,30)=0,10^6,INDEX(properties!A$1:CB$87,'Fórmula'!H21,30)),IF(INDEX(properties!A$1:CB$87,'Fórmula'!J21,30)=0,10^6,INDEX(properties!A$1:CB$87,'Fórmula'!J21,30)))</f>
        <v>1.81</v>
      </c>
      <c r="CS21" s="117">
        <f t="shared" si="16"/>
        <v>1.63</v>
      </c>
      <c r="CT21" s="118">
        <f t="array" ref="CT21">(('Fórmula'!C21)/('Fórmula'!C21+'Fórmula'!E21+'Fórmula'!G21+'Fórmula'!I21+'Fórmula'!K21))*(INDEX(properties!A$1:CB$87,'Fórmula'!B21,31))+(('Fórmula'!E21)/('Fórmula'!C21+'Fórmula'!E21+'Fórmula'!G21+'Fórmula'!I21+'Fórmula'!K21))*(INDEX(properties!A$1:CB$87,'Fórmula'!D21,31))+(('Fórmula'!G21)/('Fórmula'!C21+'Fórmula'!E21+'Fórmula'!G21+'Fórmula'!I21+'Fórmula'!K21))*(INDEX(properties!A$1:CB$87,'Fórmula'!F21,31))+(('Fórmula'!I21)/('Fórmula'!C21+'Fórmula'!E21+'Fórmula'!G21+'Fórmula'!I21+'Fórmula'!K21))*(INDEX(properties!A$1:CB$87,'Fórmula'!H21,31))+(('Fórmula'!K21)/('Fórmula'!C21+'Fórmula'!E21+'Fórmula'!G21+'Fórmula'!I21+'Fórmula'!K21))*(INDEX(properties!A$1:CB$87,'Fórmula'!J21,31))</f>
        <v>2.719230769</v>
      </c>
      <c r="CU21" s="118">
        <f t="array" ref="CU21">'Fórmula'!C21*(INDEX(properties!A$1:CB$87,'Fórmula'!B21,31))+'Fórmula'!E21*(INDEX(properties!A$1:CB$87,'Fórmula'!D21,31))+'Fórmula'!G21*(INDEX(properties!A$1:CB$87,'Fórmula'!F21,31))+'Fórmula'!I21*(INDEX(properties!A$1:CB$87,'Fórmula'!H21,31))+'Fórmula'!K21*(INDEX(properties!A$1:CB$87,'Fórmula'!J21,31))</f>
        <v>35.35</v>
      </c>
      <c r="CV21" s="118">
        <f t="array" ref="CV21">VARP(IF(INDEX(properties!A$1:CB$87,'Fórmula'!B21,31)&lt;&gt;"",INDEX(properties!A$1:CB$87,'Fórmula'!B21,31)),IF(INDEX(properties!A$1:CB$87,'Fórmula'!D21,31)&lt;&gt;"",INDEX(properties!A$1:CB$87,'Fórmula'!D21,31)),IF(INDEX(properties!A$1:CB$87,'Fórmula'!F21,31)&lt;&gt;"",INDEX(properties!A$1:CB$87,'Fórmula'!F21,31)),IF(INDEX(properties!A$1:CB$87,'Fórmula'!H21,31)&lt;&gt;"",INDEX(properties!A$1:CB$87,'Fórmula'!H21,31)),IF(INDEX(properties!A$1:CB$87,'Fórmula'!J21,31)&lt;&gt;"",INDEX(properties!A$1:CB$87,'Fórmula'!J21,31)))</f>
        <v>1.608896</v>
      </c>
      <c r="CW21" s="118">
        <f t="array" ref="CW21">MAX(INDEX(properties!A$1:CB$87,'Fórmula'!B21,31),INDEX(properties!A$1:CB$87,'Fórmula'!D21,31),INDEX(properties!A$1:CB$87,'Fórmula'!F21,31),INDEX(properties!A$1:CB$87,'Fórmula'!H21,31),INDEX(properties!A$1:CB$87,'Fórmula'!J21,31))</f>
        <v>3.32</v>
      </c>
      <c r="CX21" s="118">
        <f t="array" ref="CX21">MIN(IF(INDEX(properties!A$1:CB$87,'Fórmula'!B21,31)=0,10^6,INDEX(properties!A$1:CB$87,'Fórmula'!B21,31)),IF(INDEX(properties!A$1:CB$87,'Fórmula'!D21,31)=0,10^6,INDEX(properties!A$1:CB$87,'Fórmula'!D21,31)),IF(INDEX(properties!A$1:CB$87,'Fórmula'!F21,31)=0,10^6,INDEX(properties!A$1:CB$87,'Fórmula'!F21,31)),IF(INDEX(properties!A$1:CB$87,'Fórmula'!H21,31)=0,10^6,INDEX(properties!A$1:CB$87,'Fórmula'!H21,31)),IF(INDEX(properties!A$1:CB$87,'Fórmula'!J21,31)=0,10^6,INDEX(properties!A$1:CB$87,'Fórmula'!J21,31)))</f>
        <v>1.7</v>
      </c>
      <c r="CY21" s="118">
        <f t="shared" si="17"/>
        <v>1.62</v>
      </c>
      <c r="CZ21" s="119">
        <f t="array" ref="CZ21">(('Fórmula'!C21)/('Fórmula'!C21+'Fórmula'!E21+'Fórmula'!G21+'Fórmula'!I21+'Fórmula'!K21))*(INDEX(properties!A$1:CB$87,'Fórmula'!B21,32))+(('Fórmula'!E21)/('Fórmula'!C21+'Fórmula'!E21+'Fórmula'!G21+'Fórmula'!I21+'Fórmula'!K21))*(INDEX(properties!A$1:CB$87,'Fórmula'!D21,32))+(('Fórmula'!G21)/('Fórmula'!C21+'Fórmula'!E21+'Fórmula'!G21+'Fórmula'!I21+'Fórmula'!K21))*(INDEX(properties!A$1:CB$87,'Fórmula'!F21,32))+(('Fórmula'!I21)/('Fórmula'!C21+'Fórmula'!E21+'Fórmula'!G21+'Fórmula'!I21+'Fórmula'!K21))*(INDEX(properties!A$1:CB$87,'Fórmula'!H21,32))+(('Fórmula'!K21)/('Fórmula'!C21+'Fórmula'!E21+'Fórmula'!G21+'Fórmula'!I21+'Fórmula'!K21))*(INDEX(properties!A$1:CB$87,'Fórmula'!J21,32))</f>
        <v>5.978461538</v>
      </c>
      <c r="DA21" s="119">
        <f t="array" ref="DA21">'Fórmula'!C21*(INDEX(properties!A$1:CB$87,'Fórmula'!B21,32))+'Fórmula'!E21*(INDEX(properties!A$1:CB$87,'Fórmula'!D21,32))+'Fórmula'!G21*(INDEX(properties!A$1:CB$87,'Fórmula'!F21,32))+'Fórmula'!I21*(INDEX(properties!A$1:CB$87,'Fórmula'!H21,32))+'Fórmula'!K21*(INDEX(properties!A$1:CB$87,'Fórmula'!J21,32))</f>
        <v>77.72</v>
      </c>
      <c r="DB21" s="119">
        <f t="array" ref="DB21">VARP(IF(INDEX(properties!A$1:CB$87,'Fórmula'!B21,32)&lt;&gt;"",INDEX(properties!A$1:CB$87,'Fórmula'!B21,32)),IF(INDEX(properties!A$1:CB$87,'Fórmula'!D21,32)&lt;&gt;"",INDEX(properties!A$1:CB$87,'Fórmula'!D21,32)),IF(INDEX(properties!A$1:CB$87,'Fórmula'!F21,32)&lt;&gt;"",INDEX(properties!A$1:CB$87,'Fórmula'!F21,32)),IF(INDEX(properties!A$1:CB$87,'Fórmula'!H21,32)&lt;&gt;"",INDEX(properties!A$1:CB$87,'Fórmula'!H21,32)),IF(INDEX(properties!A$1:CB$87,'Fórmula'!J21,32)&lt;&gt;"",INDEX(properties!A$1:CB$87,'Fórmula'!J21,32)))</f>
        <v>8.237696</v>
      </c>
      <c r="DC21" s="119">
        <f t="array" ref="DC21">MAX(INDEX(properties!A$1:CB$87,'Fórmula'!B21,32),INDEX(properties!A$1:CB$87,'Fórmula'!D21,32),INDEX(properties!A$1:CB$87,'Fórmula'!F21,32),INDEX(properties!A$1:CB$87,'Fórmula'!H21,32),INDEX(properties!A$1:CB$87,'Fórmula'!J21,32))</f>
        <v>7.54</v>
      </c>
      <c r="DD21" s="119">
        <f t="array" ref="DD21">MIN(IF(INDEX(properties!A$1:CB$87,'Fórmula'!B21,32)=0,10^6,INDEX(properties!A$1:CB$87,'Fórmula'!B21,32)),IF(INDEX(properties!A$1:CB$87,'Fórmula'!D21,32)=0,10^6,INDEX(properties!A$1:CB$87,'Fórmula'!D21,32)),IF(INDEX(properties!A$1:CB$87,'Fórmula'!F21,32)=0,10^6,INDEX(properties!A$1:CB$87,'Fórmula'!F21,32)),IF(INDEX(properties!A$1:CB$87,'Fórmula'!H21,32)=0,10^6,INDEX(properties!A$1:CB$87,'Fórmula'!H21,32)),IF(INDEX(properties!A$1:CB$87,'Fórmula'!J21,32)=0,10^6,INDEX(properties!A$1:CB$87,'Fórmula'!J21,32)))</f>
        <v>3.2</v>
      </c>
      <c r="DE21" s="119">
        <f t="shared" si="18"/>
        <v>4.34</v>
      </c>
      <c r="DF21" s="104">
        <f t="array" ref="DF21">(('Fórmula'!C21)/('Fórmula'!C21+'Fórmula'!E21+'Fórmula'!G21+'Fórmula'!I21+'Fórmula'!K21))*(INDEX(properties!A$1:CB$87,'Fórmula'!B21,34))+(('Fórmula'!E21)/('Fórmula'!C21+'Fórmula'!E21+'Fórmula'!G21+'Fórmula'!I21+'Fórmula'!K21))*(INDEX(properties!A$1:CB$87,'Fórmula'!D21,34))+(('Fórmula'!G21)/('Fórmula'!C21+'Fórmula'!E21+'Fórmula'!G21+'Fórmula'!I21+'Fórmula'!K21))*(INDEX(properties!A$1:CB$87,'Fórmula'!F21,34))+(('Fórmula'!I21)/('Fórmula'!C21+'Fórmula'!E21+'Fórmula'!G21+'Fórmula'!I21+'Fórmula'!K21))*(INDEX(properties!A$1:CB$87,'Fórmula'!H21,34))+(('Fórmula'!K21)/('Fórmula'!C21+'Fórmula'!E21+'Fórmula'!G21+'Fórmula'!I21+'Fórmula'!K21))*(INDEX(properties!A$1:CB$87,'Fórmula'!J21,34))</f>
        <v>2.915230769</v>
      </c>
      <c r="DG21" s="104">
        <f t="array" ref="DG21">'Fórmula'!C21*(INDEX(properties!A$1:CB$87,'Fórmula'!B21,34))+'Fórmula'!E21*(INDEX(properties!A$1:CB$87,'Fórmula'!D21,34))+'Fórmula'!G21*(INDEX(properties!A$1:CB$87,'Fórmula'!F21,34))+'Fórmula'!I21*(INDEX(properties!A$1:CB$87,'Fórmula'!H21,34))+'Fórmula'!K21*(INDEX(properties!A$1:CB$87,'Fórmula'!J21,34))</f>
        <v>37.898</v>
      </c>
      <c r="DH21" s="104">
        <f t="array" ref="DH21">VARP(IF(INDEX(properties!A$1:CB$87,'Fórmula'!B21,34)&lt;&gt;"",INDEX(properties!A$1:CB$87,'Fórmula'!B21,34)),IF(INDEX(properties!A$1:CB$87,'Fórmula'!D21,34)&lt;&gt;"",INDEX(properties!A$1:CB$87,'Fórmula'!D21,34)),IF(INDEX(properties!A$1:CB$87,'Fórmula'!F21,34)&lt;&gt;"",INDEX(properties!A$1:CB$87,'Fórmula'!F21,34)),IF(INDEX(properties!A$1:CB$87,'Fórmula'!H21,34)&lt;&gt;"",INDEX(properties!A$1:CB$87,'Fórmula'!H21,34)),IF(INDEX(properties!A$1:CB$87,'Fórmula'!J21,34)&lt;&gt;"",INDEX(properties!A$1:CB$87,'Fórmula'!J21,34)))</f>
        <v>1.8515504</v>
      </c>
      <c r="DI21" s="104">
        <f t="array" ref="DI21">MAX(INDEX(properties!A$1:CB$87,'Fórmula'!B21,34),INDEX(properties!A$1:CB$87,'Fórmula'!D21,34),INDEX(properties!A$1:CB$87,'Fórmula'!F21,34),INDEX(properties!A$1:CB$87,'Fórmula'!H21,34),INDEX(properties!A$1:CB$87,'Fórmula'!J21,34))</f>
        <v>3.61</v>
      </c>
      <c r="DJ21" s="104">
        <f t="array" ref="DJ21">MIN(IF(INDEX(properties!A$1:CB$87,'Fórmula'!B21,34)=0,10^6,INDEX(properties!A$1:CB$87,'Fórmula'!B21,34)),IF(INDEX(properties!A$1:CB$87,'Fórmula'!D21,34)=0,10^6,INDEX(properties!A$1:CB$87,'Fórmula'!D21,34)),IF(INDEX(properties!A$1:CB$87,'Fórmula'!F21,34)=0,10^6,INDEX(properties!A$1:CB$87,'Fórmula'!F21,34)),IF(INDEX(properties!A$1:CB$87,'Fórmula'!H21,34)=0,10^6,INDEX(properties!A$1:CB$87,'Fórmula'!H21,34)),IF(INDEX(properties!A$1:CB$87,'Fórmula'!J21,34)=0,10^6,INDEX(properties!A$1:CB$87,'Fórmula'!J21,34)))</f>
        <v>1.756</v>
      </c>
      <c r="DK21" s="104">
        <f t="shared" si="19"/>
        <v>1.854</v>
      </c>
      <c r="DL21" s="105">
        <f t="array" ref="DL21">(('Fórmula'!C21)/('Fórmula'!C21+'Fórmula'!E21+'Fórmula'!G21+'Fórmula'!I21+'Fórmula'!K21))*(INDEX(properties!A$1:CB$87,'Fórmula'!B21,37))+(('Fórmula'!E21)/('Fórmula'!C21+'Fórmula'!E21+'Fórmula'!G21+'Fórmula'!I21+'Fórmula'!K21))*(INDEX(properties!A$1:CB$87,'Fórmula'!D21,37))+(('Fórmula'!G21)/('Fórmula'!C21+'Fórmula'!E21+'Fórmula'!G21+'Fórmula'!I21+'Fórmula'!K21))*(INDEX(properties!A$1:CB$87,'Fórmula'!F21,37))+(('Fórmula'!I21)/('Fórmula'!C21+'Fórmula'!E21+'Fórmula'!G21+'Fórmula'!I21+'Fórmula'!K21))*(INDEX(properties!A$1:CB$87,'Fórmula'!H21,37))+(('Fórmula'!K21)/('Fórmula'!C21+'Fórmula'!E21+'Fórmula'!G21+'Fórmula'!I21+'Fórmula'!K21))*(INDEX(properties!A$1:CB$87,'Fórmula'!J21,37))</f>
        <v>2.684615385</v>
      </c>
      <c r="DM21" s="105">
        <f t="array" ref="DM21">'Fórmula'!C21*(INDEX(properties!A$1:CB$87,'Fórmula'!B21,37))+'Fórmula'!E21*(INDEX(properties!A$1:CB$87,'Fórmula'!D21,37))+'Fórmula'!G21*(INDEX(properties!A$1:CB$87,'Fórmula'!F21,37))+'Fórmula'!I21*(INDEX(properties!A$1:CB$87,'Fórmula'!H21,37))+'Fórmula'!K21*(INDEX(properties!A$1:CB$87,'Fórmula'!J21,37))</f>
        <v>34.9</v>
      </c>
      <c r="DN21" s="105">
        <f t="array" ref="DN21">VARP(IF(INDEX(properties!A$1:CB$87,'Fórmula'!B21,37)&lt;&gt;"",INDEX(properties!A$1:CB$87,'Fórmula'!B21,37)),IF(INDEX(properties!A$1:CB$87,'Fórmula'!D21,37)&lt;&gt;"",INDEX(properties!A$1:CB$87,'Fórmula'!D21,37)),IF(INDEX(properties!A$1:CB$87,'Fórmula'!F21,37)&lt;&gt;"",INDEX(properties!A$1:CB$87,'Fórmula'!F21,37)),IF(INDEX(properties!A$1:CB$87,'Fórmula'!H21,37)&lt;&gt;"",INDEX(properties!A$1:CB$87,'Fórmula'!H21,37)),IF(INDEX(properties!A$1:CB$87,'Fórmula'!J21,37)&lt;&gt;"",INDEX(properties!A$1:CB$87,'Fórmula'!J21,37)))</f>
        <v>1.6344</v>
      </c>
      <c r="DO21" s="105">
        <f t="array" ref="DO21">MAX(INDEX(properties!A$1:CB$87,'Fórmula'!B21,37),INDEX(properties!A$1:CB$87,'Fórmula'!D21,37),INDEX(properties!A$1:CB$87,'Fórmula'!F21,37),INDEX(properties!A$1:CB$87,'Fórmula'!H21,37),INDEX(properties!A$1:CB$87,'Fórmula'!J21,37))</f>
        <v>3.45</v>
      </c>
      <c r="DP21" s="105">
        <f t="array" ref="DP21">MIN(IF(INDEX(properties!A$1:CB$87,'Fórmula'!B21,37)=0,10^6,INDEX(properties!A$1:CB$87,'Fórmula'!B21,37)),IF(INDEX(properties!A$1:CB$87,'Fórmula'!D21,37)=0,10^6,INDEX(properties!A$1:CB$87,'Fórmula'!D21,37)),IF(INDEX(properties!A$1:CB$87,'Fórmula'!F21,37)=0,10^6,INDEX(properties!A$1:CB$87,'Fórmula'!F21,37)),IF(INDEX(properties!A$1:CB$87,'Fórmula'!H21,37)=0,10^6,INDEX(properties!A$1:CB$87,'Fórmula'!H21,37)),IF(INDEX(properties!A$1:CB$87,'Fórmula'!J21,37)=0,10^6,INDEX(properties!A$1:CB$87,'Fórmula'!J21,37)))</f>
        <v>1.4</v>
      </c>
      <c r="DQ21" s="105">
        <f t="shared" si="20"/>
        <v>2.05</v>
      </c>
      <c r="DR21" s="109">
        <f t="array" ref="DR21">(('Fórmula'!C21)/('Fórmula'!C21+'Fórmula'!E21+'Fórmula'!G21+'Fórmula'!I21+'Fórmula'!K21))*(INDEX(properties!A$1:CB$87,'Fórmula'!B21,39))+(('Fórmula'!E21)/('Fórmula'!C21+'Fórmula'!E21+'Fórmula'!G21+'Fórmula'!I21+'Fórmula'!K21))*(INDEX(properties!A$1:CB$87,'Fórmula'!D21,39))+(('Fórmula'!G21)/('Fórmula'!C21+'Fórmula'!E21+'Fórmula'!G21+'Fórmula'!I21+'Fórmula'!K21))*(INDEX(properties!A$1:CB$87,'Fórmula'!F21,39))+(('Fórmula'!I21)/('Fórmula'!C21+'Fórmula'!E21+'Fórmula'!G21+'Fórmula'!I21+'Fórmula'!K21))*(INDEX(properties!A$1:CB$87,'Fórmula'!H21,39))+(('Fórmula'!K21)/('Fórmula'!C21+'Fórmula'!E21+'Fórmula'!G21+'Fórmula'!I21+'Fórmula'!K21))*(INDEX(properties!A$1:CB$87,'Fórmula'!J21,39))</f>
        <v>0.81</v>
      </c>
      <c r="DS21" s="109">
        <f t="array" ref="DS21">'Fórmula'!C21*(INDEX(properties!A$1:CB$87,'Fórmula'!B21,39))+'Fórmula'!E21*(INDEX(properties!A$1:CB$87,'Fórmula'!D21,39))+'Fórmula'!G21*(INDEX(properties!A$1:CB$87,'Fórmula'!F21,39))+'Fórmula'!I21*(INDEX(properties!A$1:CB$87,'Fórmula'!H21,39))+'Fórmula'!K21*(INDEX(properties!A$1:CB$87,'Fórmula'!J21,39))</f>
        <v>10.53</v>
      </c>
      <c r="DT21" s="109">
        <f t="array" ref="DT21">VARP(IF(INDEX(properties!A$1:CB$87,'Fórmula'!B21,39)&lt;&gt;"",INDEX(properties!A$1:CB$87,'Fórmula'!B21,39)),IF(INDEX(properties!A$1:CB$87,'Fórmula'!D21,39)&lt;&gt;"",INDEX(properties!A$1:CB$87,'Fórmula'!D21,39)),IF(INDEX(properties!A$1:CB$87,'Fórmula'!F21,39)&lt;&gt;"",INDEX(properties!A$1:CB$87,'Fórmula'!F21,39)),IF(INDEX(properties!A$1:CB$87,'Fórmula'!H21,39)&lt;&gt;"",INDEX(properties!A$1:CB$87,'Fórmula'!H21,39)),IF(INDEX(properties!A$1:CB$87,'Fórmula'!J21,39)&lt;&gt;"",INDEX(properties!A$1:CB$87,'Fórmula'!J21,39)))</f>
        <v>0.346576</v>
      </c>
      <c r="DU21" s="120">
        <f t="array" ref="DU21">MAX(INDEX(properties!A$1:CB$87,'Fórmula'!B21,39),INDEX(properties!A$1:CB$87,'Fórmula'!D21,39),INDEX(properties!A$1:CB$87,'Fórmula'!F21,39),INDEX(properties!A$1:CB$87,'Fórmula'!H21,39),INDEX(properties!A$1:CB$87,'Fórmula'!J21,39))</f>
        <v>1.36</v>
      </c>
      <c r="DV21" s="120">
        <f t="array" ref="DV21">MIN(IF(INDEX(properties!A$1:CB$87,'Fórmula'!B21,39)=0,10^6,INDEX(properties!A$1:CB$87,'Fórmula'!B21,39)),IF(INDEX(properties!A$1:CB$87,'Fórmula'!D21,39)=0,10^6,INDEX(properties!A$1:CB$87,'Fórmula'!D21,39)),IF(INDEX(properties!A$1:CB$87,'Fórmula'!F21,39)=0,10^6,INDEX(properties!A$1:CB$87,'Fórmula'!F21,39)),IF(INDEX(properties!A$1:CB$87,'Fórmula'!H21,39)=0,10^6,INDEX(properties!A$1:CB$87,'Fórmula'!H21,39)),IF(INDEX(properties!A$1:CB$87,'Fórmula'!J21,39)=0,10^6,INDEX(properties!A$1:CB$87,'Fórmula'!J21,39)))</f>
        <v>0.48</v>
      </c>
      <c r="DW21" s="109">
        <f t="shared" si="21"/>
        <v>0.88</v>
      </c>
      <c r="DX21" s="110">
        <f t="array" ref="DX21">(('Fórmula'!C21)/('Fórmula'!C21+'Fórmula'!E21+'Fórmula'!G21+'Fórmula'!I21+'Fórmula'!K21))*(INDEX(properties!A$1:CB$87,'Fórmula'!B21,40))+(('Fórmula'!E21)/('Fórmula'!C21+'Fórmula'!E21+'Fórmula'!G21+'Fórmula'!I21+'Fórmula'!K21))*(INDEX(properties!A$1:CB$87,'Fórmula'!D21,40))+(('Fórmula'!G21)/('Fórmula'!C21+'Fórmula'!E21+'Fórmula'!G21+'Fórmula'!I21+'Fórmula'!K21))*(INDEX(properties!A$1:CB$87,'Fórmula'!F21,40))+(('Fórmula'!I21)/('Fórmula'!C21+'Fórmula'!E21+'Fórmula'!G21+'Fórmula'!I21+'Fórmula'!K21))*(INDEX(properties!A$1:CB$87,'Fórmula'!H21,40))+(('Fórmula'!K21)/('Fórmula'!C21+'Fórmula'!E21+'Fórmula'!G21+'Fórmula'!I21+'Fórmula'!K21))*(INDEX(properties!A$1:CB$87,'Fórmula'!J21,40))</f>
        <v>0.9307692308</v>
      </c>
      <c r="DY21" s="110">
        <f t="array" ref="DY21">'Fórmula'!C21*(INDEX(properties!A$1:CB$87,'Fórmula'!B21,40))+'Fórmula'!E21*(INDEX(properties!A$1:CB$87,'Fórmula'!D21,40))+'Fórmula'!G21*(INDEX(properties!A$1:CB$87,'Fórmula'!F21,40))+'Fórmula'!I21*(INDEX(properties!A$1:CB$87,'Fórmula'!H21,40))+'Fórmula'!K21*(INDEX(properties!A$1:CB$87,'Fórmula'!J21,40))</f>
        <v>12.1</v>
      </c>
      <c r="DZ21" s="110">
        <f t="array" ref="DZ21">VARP(IF(INDEX(properties!A$1:CB$87,'Fórmula'!B21,40)&lt;&gt;"",INDEX(properties!A$1:CB$87,'Fórmula'!B21,40)),IF(INDEX(properties!A$1:CB$87,'Fórmula'!D21,40)&lt;&gt;"",INDEX(properties!A$1:CB$87,'Fórmula'!D21,40)),IF(INDEX(properties!A$1:CB$87,'Fórmula'!F21,40)&lt;&gt;"",INDEX(properties!A$1:CB$87,'Fórmula'!F21,40)),IF(INDEX(properties!A$1:CB$87,'Fórmula'!H21,40)&lt;&gt;"",INDEX(properties!A$1:CB$87,'Fórmula'!H21,40)),IF(INDEX(properties!A$1:CB$87,'Fórmula'!J21,40)&lt;&gt;"",INDEX(properties!A$1:CB$87,'Fórmula'!J21,40)))</f>
        <v>0.309616</v>
      </c>
      <c r="EA21" s="121">
        <f t="array" ref="EA21">MAX(INDEX(properties!A$1:CB$87,'Fórmula'!B21,40),INDEX(properties!A$1:CB$87,'Fórmula'!D21,40),INDEX(properties!A$1:CB$87,'Fórmula'!F21,40),INDEX(properties!A$1:CB$87,'Fórmula'!H21,40),INDEX(properties!A$1:CB$87,'Fórmula'!J21,40))</f>
        <v>1.26</v>
      </c>
      <c r="EB21" s="121">
        <f t="array" ref="EB21">MIN(IF(INDEX(properties!A$1:CB$87,'Fórmula'!B21,40)=0,10^6,INDEX(properties!A$1:CB$87,'Fórmula'!B21,40)),IF(INDEX(properties!A$1:CB$87,'Fórmula'!D21,40)=0,10^6,INDEX(properties!A$1:CB$87,'Fórmula'!D21,40)),IF(INDEX(properties!A$1:CB$87,'Fórmula'!F21,40)=0,10^6,INDEX(properties!A$1:CB$87,'Fórmula'!F21,40)),IF(INDEX(properties!A$1:CB$87,'Fórmula'!H21,40)=0,10^6,INDEX(properties!A$1:CB$87,'Fórmula'!H21,40)),IF(INDEX(properties!A$1:CB$87,'Fórmula'!J21,40)=0,10^6,INDEX(properties!A$1:CB$87,'Fórmula'!J21,40)))</f>
        <v>0.73</v>
      </c>
      <c r="EC21" s="110">
        <f t="shared" si="22"/>
        <v>0.53</v>
      </c>
      <c r="ED21" s="111">
        <f t="array" ref="ED21">(('Fórmula'!C21)/('Fórmula'!C21+'Fórmula'!E21+'Fórmula'!G21+'Fórmula'!I21+'Fórmula'!K21))*(INDEX(properties!A$1:CB$87,'Fórmula'!B21,41))+(('Fórmula'!E21)/('Fórmula'!C21+'Fórmula'!E21+'Fórmula'!G21+'Fórmula'!I21+'Fórmula'!K21))*(INDEX(properties!A$1:CB$87,'Fórmula'!D21,41))+(('Fórmula'!G21)/('Fórmula'!C21+'Fórmula'!E21+'Fórmula'!G21+'Fórmula'!I21+'Fórmula'!K21))*(INDEX(properties!A$1:CB$87,'Fórmula'!F21,41))+(('Fórmula'!I21)/('Fórmula'!C21+'Fórmula'!E21+'Fórmula'!G21+'Fórmula'!I21+'Fórmula'!K21))*(INDEX(properties!A$1:CB$87,'Fórmula'!H21,41))+(('Fórmula'!K21)/('Fórmula'!C21+'Fórmula'!E21+'Fórmula'!G21+'Fórmula'!I21+'Fórmula'!K21))*(INDEX(properties!A$1:CB$87,'Fórmula'!J21,41))</f>
        <v>1.076153846</v>
      </c>
      <c r="EE21" s="111">
        <f t="array" ref="EE21">'Fórmula'!C21*(INDEX(properties!A$1:CB$87,'Fórmula'!B21,41))+'Fórmula'!E21*(INDEX(properties!A$1:CB$87,'Fórmula'!D21,41))+'Fórmula'!G21*(INDEX(properties!A$1:CB$87,'Fórmula'!F21,41))+'Fórmula'!I21*(INDEX(properties!A$1:CB$87,'Fórmula'!H21,41))+'Fórmula'!K21*(INDEX(properties!A$1:CB$87,'Fórmula'!J21,41))</f>
        <v>13.99</v>
      </c>
      <c r="EF21" s="111">
        <f t="array" ref="EF21">VARP(IF(INDEX(properties!A$1:CB$87,'Fórmula'!B21,41)&lt;&gt;"",INDEX(properties!A$1:CB$87,'Fórmula'!B21,41)),IF(INDEX(properties!A$1:CB$87,'Fórmula'!D21,41)&lt;&gt;"",INDEX(properties!A$1:CB$87,'Fórmula'!D21,41)),IF(INDEX(properties!A$1:CB$87,'Fórmula'!F21,41)&lt;&gt;"",INDEX(properties!A$1:CB$87,'Fórmula'!F21,41)),IF(INDEX(properties!A$1:CB$87,'Fórmula'!H21,41)&lt;&gt;"",INDEX(properties!A$1:CB$87,'Fórmula'!H21,41)),IF(INDEX(properties!A$1:CB$87,'Fórmula'!J21,41)&lt;&gt;"",INDEX(properties!A$1:CB$87,'Fórmula'!J21,41)))</f>
        <v>0.250336</v>
      </c>
      <c r="EG21" s="122">
        <f t="array" ref="EG21">MAX(INDEX(properties!A$1:CB$87,'Fórmula'!B21,41),INDEX(properties!A$1:CB$87,'Fórmula'!D21,41),INDEX(properties!A$1:CB$87,'Fórmula'!F21,41),INDEX(properties!A$1:CB$87,'Fórmula'!H21,41),INDEX(properties!A$1:CB$87,'Fórmula'!J21,41))</f>
        <v>1.26</v>
      </c>
      <c r="EH21" s="122">
        <f t="array" ref="EH21">MIN(IF(INDEX(properties!A$1:CB$87,'Fórmula'!B21,41)=0,10^6,INDEX(properties!A$1:CB$87,'Fórmula'!B21,41)),IF(INDEX(properties!A$1:CB$87,'Fórmula'!D21,41)=0,10^6,INDEX(properties!A$1:CB$87,'Fórmula'!D21,41)),IF(INDEX(properties!A$1:CB$87,'Fórmula'!F21,41)=0,10^6,INDEX(properties!A$1:CB$87,'Fórmula'!F21,41)),IF(INDEX(properties!A$1:CB$87,'Fórmula'!H21,41)=0,10^6,INDEX(properties!A$1:CB$87,'Fórmula'!H21,41)),IF(INDEX(properties!A$1:CB$87,'Fórmula'!J21,41)=0,10^6,INDEX(properties!A$1:CB$87,'Fórmula'!J21,41)))</f>
        <v>0.76</v>
      </c>
      <c r="EI21" s="111">
        <f t="shared" si="23"/>
        <v>0.5</v>
      </c>
      <c r="EJ21" s="112">
        <f t="array" ref="EJ21">(('Fórmula'!C21)/('Fórmula'!C21+'Fórmula'!E21+'Fórmula'!G21+'Fórmula'!I21+'Fórmula'!K21))*(INDEX(properties!A$1:CB$87,'Fórmula'!B21,45))+(('Fórmula'!E21)/('Fórmula'!C21+'Fórmula'!E21+'Fórmula'!G21+'Fórmula'!I21+'Fórmula'!K21))*(INDEX(properties!A$1:CB$87,'Fórmula'!D21,45))+(('Fórmula'!G21)/('Fórmula'!C21+'Fórmula'!E21+'Fórmula'!G21+'Fórmula'!I21+'Fórmula'!K21))*(INDEX(properties!A$1:CB$87,'Fórmula'!F21,45))+(('Fórmula'!I21)/('Fórmula'!C21+'Fórmula'!E21+'Fórmula'!G21+'Fórmula'!I21+'Fórmula'!K21))*(INDEX(properties!A$1:CB$87,'Fórmula'!H21,45))+(('Fórmula'!K21)/('Fórmula'!C21+'Fórmula'!E21+'Fórmula'!G21+'Fórmula'!I21+'Fórmula'!K21))*(INDEX(properties!A$1:CB$87,'Fórmula'!J21,45))</f>
        <v>0.9323076923</v>
      </c>
      <c r="EK21" s="112">
        <f t="array" ref="EK21">'Fórmula'!C21*(INDEX(properties!A$1:CB$87,'Fórmula'!B21,45))+'Fórmula'!E21*(INDEX(properties!A$1:CB$87,'Fórmula'!D21,45))+'Fórmula'!G21*(INDEX(properties!A$1:CB$87,'Fórmula'!F21,45))+'Fórmula'!I21*(INDEX(properties!A$1:CB$87,'Fórmula'!H21,45))+'Fórmula'!K21*(INDEX(properties!A$1:CB$87,'Fórmula'!J21,45))</f>
        <v>12.12</v>
      </c>
      <c r="EL21" s="112">
        <f t="array" ref="EL21">VARP(IF(INDEX(properties!A$1:CB$87,'Fórmula'!B21,45)&lt;&gt;"",INDEX(properties!A$1:CB$87,'Fórmula'!B21,45)),IF(INDEX(properties!A$1:CB$87,'Fórmula'!D21,45)&lt;&gt;"",INDEX(properties!A$1:CB$87,'Fórmula'!D21,45)),IF(INDEX(properties!A$1:CB$87,'Fórmula'!F21,45)&lt;&gt;"",INDEX(properties!A$1:CB$87,'Fórmula'!F21,45)),IF(INDEX(properties!A$1:CB$87,'Fórmula'!H21,45)&lt;&gt;"",INDEX(properties!A$1:CB$87,'Fórmula'!H21,45)),IF(INDEX(properties!A$1:CB$87,'Fórmula'!J21,45)&lt;&gt;"",INDEX(properties!A$1:CB$87,'Fórmula'!J21,45)))</f>
        <v>0.552384</v>
      </c>
      <c r="EM21" s="123">
        <f t="array" ref="EM21">MAX(INDEX(properties!A$1:CB$87,'Fórmula'!B21,45),INDEX(properties!A$1:CB$87,'Fórmula'!D21,45),INDEX(properties!A$1:CB$87,'Fórmula'!F21,45),INDEX(properties!A$1:CB$87,'Fórmula'!H21,45),INDEX(properties!A$1:CB$87,'Fórmula'!J21,45))</f>
        <v>1.7</v>
      </c>
      <c r="EN21" s="123">
        <f t="array" ref="EN21">MIN(IF(INDEX(properties!A$1:CB$87,'Fórmula'!B21,45)=0,10^6,INDEX(properties!A$1:CB$87,'Fórmula'!B21,45)),IF(INDEX(properties!A$1:CB$87,'Fórmula'!D21,45)=0,10^6,INDEX(properties!A$1:CB$87,'Fórmula'!D21,45)),IF(INDEX(properties!A$1:CB$87,'Fórmula'!F21,45)=0,10^6,INDEX(properties!A$1:CB$87,'Fórmula'!F21,45)),IF(INDEX(properties!A$1:CB$87,'Fórmula'!H21,45)=0,10^6,INDEX(properties!A$1:CB$87,'Fórmula'!H21,45)),IF(INDEX(properties!A$1:CB$87,'Fórmula'!J21,45)=0,10^6,INDEX(properties!A$1:CB$87,'Fórmula'!J21,45)))</f>
        <v>0.47</v>
      </c>
      <c r="EO21" s="112">
        <f t="shared" si="24"/>
        <v>1.23</v>
      </c>
      <c r="EP21" s="113">
        <f t="array" ref="EP21">(('Fórmula'!C21)/('Fórmula'!C21+'Fórmula'!E21+'Fórmula'!G21+'Fórmula'!I21+'Fórmula'!K21))*(INDEX(properties!A$1:CB$87,'Fórmula'!B21,46))+(('Fórmula'!E21)/('Fórmula'!C21+'Fórmula'!E21+'Fórmula'!G21+'Fórmula'!I21+'Fórmula'!K21))*(INDEX(properties!A$1:CB$87,'Fórmula'!D21,46))+(('Fórmula'!G21)/('Fórmula'!C21+'Fórmula'!E21+'Fórmula'!G21+'Fórmula'!I21+'Fórmula'!K21))*(INDEX(properties!A$1:CB$87,'Fórmula'!F21,46))+(('Fórmula'!I21)/('Fórmula'!C21+'Fórmula'!E21+'Fórmula'!G21+'Fórmula'!I21+'Fórmula'!K21))*(INDEX(properties!A$1:CB$87,'Fórmula'!H21,46))+(('Fórmula'!K21)/('Fórmula'!C21+'Fórmula'!E21+'Fórmula'!G21+'Fórmula'!I21+'Fórmula'!K21))*(INDEX(properties!A$1:CB$87,'Fórmula'!J21,46))</f>
        <v>1.019230769</v>
      </c>
      <c r="EQ21" s="113">
        <f t="array" ref="EQ21">'Fórmula'!C21*(INDEX(properties!A$1:CB$87,'Fórmula'!B21,46))+'Fórmula'!E21*(INDEX(properties!A$1:CB$87,'Fórmula'!D21,46))+'Fórmula'!G21*(INDEX(properties!A$1:CB$87,'Fórmula'!F21,46))+'Fórmula'!I21*(INDEX(properties!A$1:CB$87,'Fórmula'!H21,46))+'Fórmula'!K21*(INDEX(properties!A$1:CB$87,'Fórmula'!J21,46))</f>
        <v>13.25</v>
      </c>
      <c r="ER21" s="113">
        <f t="array" ref="ER21">VARP(IF(INDEX(properties!A$1:CB$87,'Fórmula'!B21,46)&lt;&gt;"",INDEX(properties!A$1:CB$87,'Fórmula'!B21,46)),IF(INDEX(properties!A$1:CB$87,'Fórmula'!D21,46)&lt;&gt;"",INDEX(properties!A$1:CB$87,'Fórmula'!D21,46)),IF(INDEX(properties!A$1:CB$87,'Fórmula'!F21,46)&lt;&gt;"",INDEX(properties!A$1:CB$87,'Fórmula'!F21,46)),IF(INDEX(properties!A$1:CB$87,'Fórmula'!H21,46)&lt;&gt;"",INDEX(properties!A$1:CB$87,'Fórmula'!H21,46)),IF(INDEX(properties!A$1:CB$87,'Fórmula'!J21,46)&lt;&gt;"",INDEX(properties!A$1:CB$87,'Fórmula'!J21,46)))</f>
        <v>0.21452</v>
      </c>
      <c r="ES21" s="124">
        <f t="array" ref="ES21">MAX(INDEX(properties!A$1:CB$87,'Fórmula'!B21,46),INDEX(properties!A$1:CB$87,'Fórmula'!D21,46),INDEX(properties!A$1:CB$87,'Fórmula'!F21,46),INDEX(properties!A$1:CB$87,'Fórmula'!H21,46),INDEX(properties!A$1:CB$87,'Fórmula'!J21,46))</f>
        <v>1.21</v>
      </c>
      <c r="ET21" s="124">
        <f t="array" ref="ET21">MIN(IF(INDEX(properties!A$1:CB$87,'Fórmula'!B21,46)=0,10^6,INDEX(properties!A$1:CB$87,'Fórmula'!B21,46)),IF(INDEX(properties!A$1:CB$87,'Fórmula'!D21,46)=0,10^6,INDEX(properties!A$1:CB$87,'Fórmula'!D21,46)),IF(INDEX(properties!A$1:CB$87,'Fórmula'!F21,46)=0,10^6,INDEX(properties!A$1:CB$87,'Fórmula'!F21,46)),IF(INDEX(properties!A$1:CB$87,'Fórmula'!H21,46)=0,10^6,INDEX(properties!A$1:CB$87,'Fórmula'!H21,46)),IF(INDEX(properties!A$1:CB$87,'Fórmula'!J21,46)=0,10^6,INDEX(properties!A$1:CB$87,'Fórmula'!J21,46)))</f>
        <v>0.53</v>
      </c>
      <c r="EU21" s="113">
        <f t="shared" si="25"/>
        <v>0.68</v>
      </c>
      <c r="EV21" s="114">
        <f t="array" ref="EV21">(('Fórmula'!C21)/('Fórmula'!C21+'Fórmula'!E21+'Fórmula'!G21+'Fórmula'!I21+'Fórmula'!K21))*(INDEX(properties!A$1:CB$87,'Fórmula'!B21,52))+(('Fórmula'!E21)/('Fórmula'!C21+'Fórmula'!E21+'Fórmula'!G21+'Fórmula'!I21+'Fórmula'!K21))*(INDEX(properties!A$1:CB$87,'Fórmula'!D21,52))+(('Fórmula'!G21)/('Fórmula'!C21+'Fórmula'!E21+'Fórmula'!G21+'Fórmula'!I21+'Fórmula'!K21))*(INDEX(properties!A$1:CB$87,'Fórmula'!F21,52))+(('Fórmula'!I21)/('Fórmula'!C21+'Fórmula'!E21+'Fórmula'!G21+'Fórmula'!I21+'Fórmula'!K21))*(INDEX(properties!A$1:CB$87,'Fórmula'!H21,52))+(('Fórmula'!K21)/('Fórmula'!C21+'Fórmula'!E21+'Fórmula'!G21+'Fórmula'!I21+'Fórmula'!K21))*(INDEX(properties!A$1:CB$87,'Fórmula'!J21,52))</f>
        <v>3.449538462</v>
      </c>
      <c r="EW21" s="114">
        <f t="array" ref="EW21">'Fórmula'!C21*(INDEX(properties!A$1:CB$87,'Fórmula'!B21,52))+'Fórmula'!E21*(INDEX(properties!A$1:CB$87,'Fórmula'!D21,52))+'Fórmula'!G21*(INDEX(properties!A$1:CB$87,'Fórmula'!F21,52))+'Fórmula'!I21*(INDEX(properties!A$1:CB$87,'Fórmula'!H21,52))+'Fórmula'!K21*(INDEX(properties!A$1:CB$87,'Fórmula'!J21,52))</f>
        <v>44.844</v>
      </c>
      <c r="EX21" s="114">
        <f t="array" ref="EX21">VARP(IF(INDEX(properties!A$1:CB$87,'Fórmula'!B21,52)&lt;&gt;"",INDEX(properties!A$1:CB$87,'Fórmula'!B21,52)),IF(INDEX(properties!A$1:CB$87,'Fórmula'!D21,52)&lt;&gt;"",INDEX(properties!A$1:CB$87,'Fórmula'!D21,52)),IF(INDEX(properties!A$1:CB$87,'Fórmula'!F21,52)&lt;&gt;"",INDEX(properties!A$1:CB$87,'Fórmula'!F21,52)),IF(INDEX(properties!A$1:CB$87,'Fórmula'!H21,52)&lt;&gt;"",INDEX(properties!A$1:CB$87,'Fórmula'!H21,52)),IF(INDEX(properties!A$1:CB$87,'Fórmula'!J21,52)&lt;&gt;"",INDEX(properties!A$1:CB$87,'Fórmula'!J21,52)))</f>
        <v>11.69816784</v>
      </c>
      <c r="EY21" s="114">
        <f t="array" ref="EY21">MAX(INDEX(properties!A$1:CB$87,'Fórmula'!B21,52),INDEX(properties!A$1:CB$87,'Fórmula'!D21,52),INDEX(properties!A$1:CB$87,'Fórmula'!F21,52),INDEX(properties!A$1:CB$87,'Fórmula'!H21,52),INDEX(properties!A$1:CB$87,'Fórmula'!J21,52))</f>
        <v>8.1</v>
      </c>
      <c r="EZ21" s="114">
        <f t="array" ref="EZ21">MIN(IF(INDEX(properties!A$1:CB$87,'Fórmula'!B21,52)=0,10^6,INDEX(properties!A$1:CB$87,'Fórmula'!B21,52)),IF(INDEX(properties!A$1:CB$87,'Fórmula'!D21,52)=0,10^6,INDEX(properties!A$1:CB$87,'Fórmula'!D21,52)),IF(INDEX(properties!A$1:CB$87,'Fórmula'!F21,52)=0,10^6,INDEX(properties!A$1:CB$87,'Fórmula'!F21,52)),IF(INDEX(properties!A$1:CB$87,'Fórmula'!H21,52)=0,10^6,INDEX(properties!A$1:CB$87,'Fórmula'!H21,52)),IF(INDEX(properties!A$1:CB$87,'Fórmula'!J21,52)=0,10^6,INDEX(properties!A$1:CB$87,'Fórmula'!J21,52)))</f>
        <v>0.793</v>
      </c>
      <c r="FA21" s="114">
        <f t="shared" si="26"/>
        <v>7.307</v>
      </c>
      <c r="FB21" s="115">
        <f t="array" ref="FB21">(('Fórmula'!C21)/('Fórmula'!C21+'Fórmula'!E21+'Fórmula'!G21+'Fórmula'!I21+'Fórmula'!K21))*(INDEX(properties!A$1:CB$87,'Fórmula'!B21,53))+(('Fórmula'!E21)/('Fórmula'!C21+'Fórmula'!E21+'Fórmula'!G21+'Fórmula'!I21+'Fórmula'!K21))*(INDEX(properties!A$1:CB$87,'Fórmula'!D21,53))+(('Fórmula'!G21)/('Fórmula'!C21+'Fórmula'!E21+'Fórmula'!G21+'Fórmula'!I21+'Fórmula'!K21))*(INDEX(properties!A$1:CB$87,'Fórmula'!F21,53))+(('Fórmula'!I21)/('Fórmula'!C21+'Fórmula'!E21+'Fórmula'!G21+'Fórmula'!I21+'Fórmula'!K21))*(INDEX(properties!A$1:CB$87,'Fórmula'!H21,53))+(('Fórmula'!K21)/('Fórmula'!C21+'Fórmula'!E21+'Fórmula'!G21+'Fórmula'!I21+'Fórmula'!K21))*(INDEX(properties!A$1:CB$87,'Fórmula'!J21,53))</f>
        <v>220.7961538</v>
      </c>
      <c r="FC21" s="115">
        <f t="array" ref="FC21">'Fórmula'!C21*(INDEX(properties!A$1:CB$87,'Fórmula'!B21,53))+'Fórmula'!E21*(INDEX(properties!A$1:CB$87,'Fórmula'!D21,53))+'Fórmula'!G21*(INDEX(properties!A$1:CB$87,'Fórmula'!F21,53))+'Fórmula'!I21*(INDEX(properties!A$1:CB$87,'Fórmula'!H21,53))+'Fórmula'!K21*(INDEX(properties!A$1:CB$87,'Fórmula'!J21,53))</f>
        <v>2870.35</v>
      </c>
      <c r="FD21" s="115">
        <f t="array" ref="FD21">VARP(IF(INDEX(properties!A$1:CB$87,'Fórmula'!B21,53)&lt;&gt;"",INDEX(properties!A$1:CB$87,'Fórmula'!B21,53)),IF(INDEX(properties!A$1:CB$87,'Fórmula'!D21,53)&lt;&gt;"",INDEX(properties!A$1:CB$87,'Fórmula'!D21,53)),IF(INDEX(properties!A$1:CB$87,'Fórmula'!F21,53)&lt;&gt;"",INDEX(properties!A$1:CB$87,'Fórmula'!F21,53)),IF(INDEX(properties!A$1:CB$87,'Fórmula'!H21,53)&lt;&gt;"",INDEX(properties!A$1:CB$87,'Fórmula'!H21,53)),IF(INDEX(properties!A$1:CB$87,'Fórmula'!J21,53)&lt;&gt;"",INDEX(properties!A$1:CB$87,'Fórmula'!J21,53)))</f>
        <v>217268.791</v>
      </c>
      <c r="FE21" s="115">
        <f t="array" ref="FE21">MAX(INDEX(properties!A$1:CB$87,'Fórmula'!B21,53),INDEX(properties!A$1:CB$87,'Fórmula'!D21,53),INDEX(properties!A$1:CB$87,'Fórmula'!F21,53),INDEX(properties!A$1:CB$87,'Fórmula'!H21,53),INDEX(properties!A$1:CB$87,'Fórmula'!J21,53))</f>
        <v>1220.55</v>
      </c>
      <c r="FF21" s="115">
        <f t="array" ref="FF21">MIN(IF(INDEX(properties!A$1:CB$87,'Fórmula'!B21,53)=0,10^6,INDEX(properties!A$1:CB$87,'Fórmula'!B21,53)),IF(INDEX(properties!A$1:CB$87,'Fórmula'!D21,53)=0,10^6,INDEX(properties!A$1:CB$87,'Fórmula'!D21,53)),IF(INDEX(properties!A$1:CB$87,'Fórmula'!F21,53)=0,10^6,INDEX(properties!A$1:CB$87,'Fórmula'!F21,53)),IF(INDEX(properties!A$1:CB$87,'Fórmula'!H21,53)=0,10^6,INDEX(properties!A$1:CB$87,'Fórmula'!H21,53)),IF(INDEX(properties!A$1:CB$87,'Fórmula'!J21,53)=0,10^6,INDEX(properties!A$1:CB$87,'Fórmula'!J21,53)))</f>
        <v>54.75</v>
      </c>
      <c r="FG21" s="115">
        <f t="shared" si="27"/>
        <v>1165.8</v>
      </c>
      <c r="FH21" s="117">
        <f t="array" ref="FH21">(('Fórmula'!C21)/('Fórmula'!C21+'Fórmula'!E21+'Fórmula'!G21+'Fórmula'!I21+'Fórmula'!K21))*(INDEX(properties!A$1:CB$87,'Fórmula'!B21,54))+(('Fórmula'!E21)/('Fórmula'!C21+'Fórmula'!E21+'Fórmula'!G21+'Fórmula'!I21+'Fórmula'!K21))*(INDEX(properties!A$1:CB$87,'Fórmula'!D21,54))+(('Fórmula'!G21)/('Fórmula'!C21+'Fórmula'!E21+'Fórmula'!G21+'Fórmula'!I21+'Fórmula'!K21))*(INDEX(properties!A$1:CB$87,'Fórmula'!F21,54))+(('Fórmula'!I21)/('Fórmula'!C21+'Fórmula'!E21+'Fórmula'!G21+'Fórmula'!I21+'Fórmula'!K21))*(INDEX(properties!A$1:CB$87,'Fórmula'!H21,54))+(('Fórmula'!K21)/('Fórmula'!C21+'Fórmula'!E21+'Fórmula'!G21+'Fórmula'!I21+'Fórmula'!K21))*(INDEX(properties!A$1:CB$87,'Fórmula'!J21,54))</f>
        <v>1117.611538</v>
      </c>
      <c r="FI21" s="117">
        <f t="array" ref="FI21">'Fórmula'!C21*(INDEX(properties!A$1:CB$87,'Fórmula'!B21,54))+'Fórmula'!E21*(INDEX(properties!A$1:CB$87,'Fórmula'!D21,54))+'Fórmula'!G21*(INDEX(properties!A$1:CB$87,'Fórmula'!F21,54))+'Fórmula'!I21*(INDEX(properties!A$1:CB$87,'Fórmula'!H21,54))+'Fórmula'!K21*(INDEX(properties!A$1:CB$87,'Fórmula'!J21,54))</f>
        <v>14528.95</v>
      </c>
      <c r="FJ21" s="117">
        <f t="array" ref="FJ21">VARP(IF(INDEX(properties!A$1:CB$87,'Fórmula'!B21,54)&lt;&gt;"",INDEX(properties!A$1:CB$87,'Fórmula'!B21,54)),IF(INDEX(properties!A$1:CB$87,'Fórmula'!D21,54)&lt;&gt;"",INDEX(properties!A$1:CB$87,'Fórmula'!D21,54)),IF(INDEX(properties!A$1:CB$87,'Fórmula'!F21,54)&lt;&gt;"",INDEX(properties!A$1:CB$87,'Fórmula'!F21,54)),IF(INDEX(properties!A$1:CB$87,'Fórmula'!H21,54)&lt;&gt;"",INDEX(properties!A$1:CB$87,'Fórmula'!H21,54)),IF(INDEX(properties!A$1:CB$87,'Fórmula'!J21,54)&lt;&gt;"",INDEX(properties!A$1:CB$87,'Fórmula'!J21,54)))</f>
        <v>1981871.421</v>
      </c>
      <c r="FK21" s="117">
        <f t="array" ref="FK21">MAX(INDEX(properties!A$1:CB$87,'Fórmula'!B21,54),INDEX(properties!A$1:CB$87,'Fórmula'!D21,54),INDEX(properties!A$1:CB$87,'Fórmula'!F21,54),INDEX(properties!A$1:CB$87,'Fórmula'!H21,54),INDEX(properties!A$1:CB$87,'Fórmula'!J21,54))</f>
        <v>3103.15</v>
      </c>
      <c r="FL21" s="117">
        <f t="array" ref="FL21">MIN(IF(INDEX(properties!A$1:CB$87,'Fórmula'!B21,54)=0,10^6,INDEX(properties!A$1:CB$87,'Fórmula'!B21,54)),IF(INDEX(properties!A$1:CB$87,'Fórmula'!D21,54)=0,10^6,INDEX(properties!A$1:CB$87,'Fórmula'!D21,54)),IF(INDEX(properties!A$1:CB$87,'Fórmula'!F21,54)=0,10^6,INDEX(properties!A$1:CB$87,'Fórmula'!F21,54)),IF(INDEX(properties!A$1:CB$87,'Fórmula'!H21,54)=0,10^6,INDEX(properties!A$1:CB$87,'Fórmula'!H21,54)),IF(INDEX(properties!A$1:CB$87,'Fórmula'!J21,54)=0,10^6,INDEX(properties!A$1:CB$87,'Fórmula'!J21,54)))</f>
        <v>90.15</v>
      </c>
      <c r="FM21" s="117">
        <f t="shared" si="28"/>
        <v>3013</v>
      </c>
      <c r="FN21" s="118">
        <f t="array" ref="FN21">(('Fórmula'!C21)/('Fórmula'!C21+'Fórmula'!E21+'Fórmula'!G21+'Fórmula'!I21+'Fórmula'!K21))*(INDEX(properties!A$1:CB$87,'Fórmula'!B21,55))+(('Fórmula'!E21)/('Fórmula'!C21+'Fórmula'!E21+'Fórmula'!G21+'Fórmula'!I21+'Fórmula'!K21))*(INDEX(properties!A$1:CB$87,'Fórmula'!D21,55))+(('Fórmula'!G21)/('Fórmula'!C21+'Fórmula'!E21+'Fórmula'!G21+'Fórmula'!I21+'Fórmula'!K21))*(INDEX(properties!A$1:CB$87,'Fórmula'!F21,55))+(('Fórmula'!I21)/('Fórmula'!C21+'Fórmula'!E21+'Fórmula'!G21+'Fórmula'!I21+'Fórmula'!K21))*(INDEX(properties!A$1:CB$87,'Fórmula'!H21,55))+(('Fórmula'!K21)/('Fórmula'!C21+'Fórmula'!E21+'Fórmula'!G21+'Fórmula'!I21+'Fórmula'!K21))*(INDEX(properties!A$1:CB$87,'Fórmula'!J21,55))</f>
        <v>2.225495385</v>
      </c>
      <c r="FO21" s="118">
        <f t="array" ref="FO21">'Fórmula'!C21*(INDEX(properties!A$1:CB$87,'Fórmula'!B21,55))+'Fórmula'!E21*(INDEX(properties!A$1:CB$87,'Fórmula'!D21,54))+'Fórmula'!G21*(INDEX(properties!A$1:CB$87,'Fórmula'!F21,55))+'Fórmula'!I21*(INDEX(properties!A$1:CB$87,'Fórmula'!H21,55))+'Fórmula'!K21*(INDEX(properties!A$1:CB$87,'Fórmula'!J21,55))</f>
        <v>3126.76144</v>
      </c>
      <c r="FP21" s="118">
        <f t="array" ref="FP21">VARP(IF(INDEX(properties!A$1:CB$87,'Fórmula'!B21,55)&lt;&gt;"",INDEX(properties!A$1:CB$87,'Fórmula'!B21,55)),IF(INDEX(properties!A$1:CB$87,'Fórmula'!D21,55)&lt;&gt;"",INDEX(properties!A$1:CB$87,'Fórmula'!D21,55)),IF(INDEX(properties!A$1:CB$87,'Fórmula'!F21,55)&lt;&gt;"",INDEX(properties!A$1:CB$87,'Fórmula'!F21,55)),IF(INDEX(properties!A$1:CB$87,'Fórmula'!H21,55)&lt;&gt;"",INDEX(properties!A$1:CB$87,'Fórmula'!H21,55)),IF(INDEX(properties!A$1:CB$87,'Fórmula'!J21,55)&lt;&gt;"",INDEX(properties!A$1:CB$87,'Fórmula'!J21,55)))</f>
        <v>7.585660759</v>
      </c>
      <c r="FQ21" s="118">
        <f t="array" ref="FQ21">MAX(INDEX(properties!A$1:CB$87,'Fórmula'!B21,55),INDEX(properties!A$1:CB$87,'Fórmula'!D21,55),INDEX(properties!A$1:CB$87,'Fórmula'!F21,55),INDEX(properties!A$1:CB$87,'Fórmula'!H21,55),INDEX(properties!A$1:CB$87,'Fórmula'!J21,55))</f>
        <v>5.9</v>
      </c>
      <c r="FR21" s="118">
        <f t="array" ref="FR21">MIN(IF(INDEX(properties!A$1:CB$87,'Fórmula'!B21,55)=0,10^6,INDEX(properties!A$1:CB$87,'Fórmula'!B21,55)),IF(INDEX(properties!A$1:CB$87,'Fórmula'!D21,55)=0,10^6,INDEX(properties!A$1:CB$87,'Fórmula'!D21,55)),IF(INDEX(properties!A$1:CB$87,'Fórmula'!F21,55)=0,10^6,INDEX(properties!A$1:CB$87,'Fórmula'!F21,55)),IF(INDEX(properties!A$1:CB$87,'Fórmula'!H21,55)=0,10^6,INDEX(properties!A$1:CB$87,'Fórmula'!H21,55)),IF(INDEX(properties!A$1:CB$87,'Fórmula'!J21,55)=0,10^6,INDEX(properties!A$1:CB$87,'Fórmula'!J21,55)))</f>
        <v>0.00143</v>
      </c>
      <c r="FS21" s="118">
        <f t="shared" si="29"/>
        <v>5.89857</v>
      </c>
      <c r="FT21" s="119">
        <f t="array" ref="FT21">(('Fórmula'!C21)/('Fórmula'!C21+'Fórmula'!E21+'Fórmula'!G21+'Fórmula'!I21+'Fórmula'!K21))*(INDEX(properties!A$1:CB$87,'Fórmula'!B21,56))+(('Fórmula'!E21)/('Fórmula'!C21+'Fórmula'!E21+'Fórmula'!G21+'Fórmula'!I21+'Fórmula'!K21))*(INDEX(properties!A$1:CB$87,'Fórmula'!D21,56))+(('Fórmula'!G21)/('Fórmula'!C21+'Fórmula'!E21+'Fórmula'!G21+'Fórmula'!I21+'Fórmula'!K21))*(INDEX(properties!A$1:CB$87,'Fórmula'!F21,56))+(('Fórmula'!I21)/('Fórmula'!C21+'Fórmula'!E21+'Fórmula'!G21+'Fórmula'!I21+'Fórmula'!K21))*(INDEX(properties!A$1:CB$87,'Fórmula'!H21,56))+(('Fórmula'!K21)/('Fórmula'!C21+'Fórmula'!E21+'Fórmula'!G21+'Fórmula'!I21+'Fórmula'!K21))*(INDEX(properties!A$1:CB$87,'Fórmula'!J21,56))</f>
        <v>0.7046153846</v>
      </c>
      <c r="FU21" s="119">
        <f t="array" ref="FU21">'Fórmula'!C21*(INDEX(properties!A$1:CB$87,'Fórmula'!B21,56))+'Fórmula'!E21*(INDEX(properties!A$1:CB$87,'Fórmula'!D21,56))+'Fórmula'!G21*(INDEX(properties!A$1:CB$87,'Fórmula'!F21,56))+'Fórmula'!I21*(INDEX(properties!A$1:CB$87,'Fórmula'!H21,56))+'Fórmula'!K21*(INDEX(properties!A$1:CB$87,'Fórmula'!J21,56))</f>
        <v>9.16</v>
      </c>
      <c r="FV21" s="119">
        <f t="array" ref="FV21">VARP(IF(INDEX(properties!A$1:CB$87,'Fórmula'!B21,56)&lt;&gt;"",INDEX(properties!A$1:CB$87,'Fórmula'!B21,56)),IF(INDEX(properties!A$1:CB$87,'Fórmula'!D21,56)&lt;&gt;"",INDEX(properties!A$1:CB$87,'Fórmula'!D21,56)),IF(INDEX(properties!A$1:CB$87,'Fórmula'!F21,56)&lt;&gt;"",INDEX(properties!A$1:CB$87,'Fórmula'!F21,56)),IF(INDEX(properties!A$1:CB$87,'Fórmula'!H21,56)&lt;&gt;"",INDEX(properties!A$1:CB$87,'Fórmula'!H21,56)),IF(INDEX(properties!A$1:CB$87,'Fórmula'!J21,56)&lt;&gt;"",INDEX(properties!A$1:CB$87,'Fórmula'!J21,56)))</f>
        <v>0.113456</v>
      </c>
      <c r="FW21" s="119">
        <f t="array" ref="FW21">MAX(INDEX(properties!A$1:CB$87,'Fórmula'!B21,56),INDEX(properties!A$1:CB$87,'Fórmula'!D21,56),INDEX(properties!A$1:CB$87,'Fórmula'!F21,56),INDEX(properties!A$1:CB$87,'Fórmula'!H21,56),INDEX(properties!A$1:CB$87,'Fórmula'!J21,56))</f>
        <v>0.92</v>
      </c>
      <c r="FX21" s="119">
        <f t="array" ref="FX21">MIN(IF(INDEX(properties!A$1:CB$87,'Fórmula'!B21,56)=0,10^6,INDEX(properties!A$1:CB$87,'Fórmula'!B21,56)),IF(INDEX(properties!A$1:CB$87,'Fórmula'!D21,56)=0,10^6,INDEX(properties!A$1:CB$87,'Fórmula'!D21,56)),IF(INDEX(properties!A$1:CB$87,'Fórmula'!F21,56)=0,10^6,INDEX(properties!A$1:CB$87,'Fórmula'!F21,56)),IF(INDEX(properties!A$1:CB$87,'Fórmula'!H21,56)=0,10^6,INDEX(properties!A$1:CB$87,'Fórmula'!H21,56)),IF(INDEX(properties!A$1:CB$87,'Fórmula'!J21,56)=0,10^6,INDEX(properties!A$1:CB$87,'Fórmula'!J21,56)))</f>
        <v>0.32</v>
      </c>
      <c r="FY21" s="119">
        <f t="shared" si="30"/>
        <v>0.6</v>
      </c>
      <c r="FZ21" s="104">
        <f t="array" ref="FZ21">(('Fórmula'!C21)/('Fórmula'!C21+'Fórmula'!E21+'Fórmula'!G21+'Fórmula'!I21+'Fórmula'!K21))*(INDEX(properties!A$1:CB$87,'Fórmula'!B21,57))+(('Fórmula'!E21)/('Fórmula'!C21+'Fórmula'!E21+'Fórmula'!G21+'Fórmula'!I21+'Fórmula'!K21))*(INDEX(properties!A$1:CB$87,'Fórmula'!D21,57))+(('Fórmula'!G21)/('Fórmula'!C21+'Fórmula'!E21+'Fórmula'!G21+'Fórmula'!I21+'Fórmula'!K21))*(INDEX(properties!A$1:CB$87,'Fórmula'!F21,57))+(('Fórmula'!I21)/('Fórmula'!C21+'Fórmula'!E21+'Fórmula'!G21+'Fórmula'!I21+'Fórmula'!K21))*(INDEX(properties!A$1:CB$87,'Fórmula'!H21,57))+(('Fórmula'!K21)/('Fórmula'!C21+'Fórmula'!E21+'Fórmula'!G21+'Fórmula'!I21+'Fórmula'!K21))*(INDEX(properties!A$1:CB$87,'Fórmula'!J21,57))</f>
        <v>4.698516923</v>
      </c>
      <c r="GA21" s="104">
        <f t="array" ref="GA21">'Fórmula'!C21*(INDEX(properties!A$1:CB$87,'Fórmula'!B21,57))+'Fórmula'!E21*(INDEX(properties!A$1:CB$87,'Fórmula'!D21,57))+'Fórmula'!G21*(INDEX(properties!A$1:CB$87,'Fórmula'!F21,57))+'Fórmula'!I21*(INDEX(properties!A$1:CB$87,'Fórmula'!H21,57))+'Fórmula'!K21*(INDEX(properties!A$1:CB$87,'Fórmula'!J21,57))</f>
        <v>61.08072</v>
      </c>
      <c r="GB21" s="104">
        <f t="array" ref="GB21">VARP(IF(INDEX(properties!A$1:CB$87,'Fórmula'!B21,57)&lt;&gt;"",INDEX(properties!A$1:CB$87,'Fórmula'!B21,57)),IF(INDEX(properties!A$1:CB$87,'Fórmula'!D21,57)&lt;&gt;"",INDEX(properties!A$1:CB$87,'Fórmula'!D21,57)),IF(INDEX(properties!A$1:CB$87,'Fórmula'!F21,57)&lt;&gt;"",INDEX(properties!A$1:CB$87,'Fórmula'!F21,57)),IF(INDEX(properties!A$1:CB$87,'Fórmula'!H21,57)&lt;&gt;"",INDEX(properties!A$1:CB$87,'Fórmula'!H21,57)),IF(INDEX(properties!A$1:CB$87,'Fórmula'!J21,57)&lt;&gt;"",INDEX(properties!A$1:CB$87,'Fórmula'!J21,57)))</f>
        <v>206.0608912</v>
      </c>
      <c r="GC21" s="104">
        <f t="array" ref="GC21">MAX(INDEX(properties!A$1:CB$87,'Fórmula'!B21,57),INDEX(properties!A$1:CB$87,'Fórmula'!D21,57),INDEX(properties!A$1:CB$87,'Fórmula'!F21,57),INDEX(properties!A$1:CB$87,'Fórmula'!H21,57),INDEX(properties!A$1:CB$87,'Fórmula'!J21,57))</f>
        <v>36.94</v>
      </c>
      <c r="GD21" s="104">
        <f t="array" ref="GD21">MIN(IF(INDEX(properties!A$1:CB$87,'Fórmula'!B21,57)=0,10^6,INDEX(properties!A$1:CB$87,'Fórmula'!B21,57)),IF(INDEX(properties!A$1:CB$87,'Fórmula'!D21,57)=0,10^6,INDEX(properties!A$1:CB$87,'Fórmula'!D21,57)),IF(INDEX(properties!A$1:CB$87,'Fórmula'!F21,57)=0,10^6,INDEX(properties!A$1:CB$87,'Fórmula'!F21,57)),IF(INDEX(properties!A$1:CB$87,'Fórmula'!H21,57)=0,10^6,INDEX(properties!A$1:CB$87,'Fórmula'!H21,57)),IF(INDEX(properties!A$1:CB$87,'Fórmula'!J21,57)=0,10^6,INDEX(properties!A$1:CB$87,'Fórmula'!J21,57)))</f>
        <v>0.22259</v>
      </c>
      <c r="GE21" s="104">
        <f t="shared" si="31"/>
        <v>36.71741</v>
      </c>
      <c r="GF21" s="105">
        <f t="array" ref="GF21">(('Fórmula'!C21)/('Fórmula'!C21+'Fórmula'!E21+'Fórmula'!G21+'Fórmula'!I21+'Fórmula'!K21))*(INDEX(properties!A$1:CB$87,'Fórmula'!B21,60))+(('Fórmula'!E21)/('Fórmula'!C21+'Fórmula'!E21+'Fórmula'!G21+'Fórmula'!I21+'Fórmula'!K21))*(INDEX(properties!A$1:CB$87,'Fórmula'!D21,60))+(('Fórmula'!G21)/('Fórmula'!C21+'Fórmula'!E21+'Fórmula'!G21+'Fórmula'!I21+'Fórmula'!K21))*(INDEX(properties!A$1:CB$87,'Fórmula'!F21,60))+(('Fórmula'!I21)/('Fórmula'!C21+'Fórmula'!E21+'Fórmula'!G21+'Fórmula'!I21+'Fórmula'!K21))*(INDEX(properties!A$1:CB$87,'Fórmula'!H21,60))+(('Fórmula'!K21)/('Fórmula'!C21+'Fórmula'!E21+'Fórmula'!G21+'Fórmula'!I21+'Fórmula'!K21))*(INDEX(properties!A$1:CB$87,'Fórmula'!J21,60))</f>
        <v>17.11645538</v>
      </c>
      <c r="GG21" s="105">
        <f t="array" ref="GG21">'Fórmula'!C21*(INDEX(properties!A$1:CB$87,'Fórmula'!B21,60))+'Fórmula'!E21*(INDEX(properties!A$1:CB$87,'Fórmula'!D21,60))+'Fórmula'!G21*(INDEX(properties!A$1:CB$87,'Fórmula'!F21,60))+'Fórmula'!I21*(INDEX(properties!A$1:CB$87,'Fórmula'!H21,60))+'Fórmula'!K21*(INDEX(properties!A$1:CB$87,'Fórmula'!J21,60))</f>
        <v>222.51392</v>
      </c>
      <c r="GH21" s="105">
        <f t="array" ref="GH21">VARP(IF(INDEX(properties!A$1:CB$87,'Fórmula'!B21,60)&lt;&gt;"",INDEX(properties!A$1:CB$87,'Fórmula'!B21,60)),IF(INDEX(properties!A$1:CB$87,'Fórmula'!D21,60)&lt;&gt;"",INDEX(properties!A$1:CB$87,'Fórmula'!D21,60)),IF(INDEX(properties!A$1:CB$87,'Fórmula'!F21,60)&lt;&gt;"",INDEX(properties!A$1:CB$87,'Fórmula'!F21,60)),IF(INDEX(properties!A$1:CB$87,'Fórmula'!H21,60)&lt;&gt;"",INDEX(properties!A$1:CB$87,'Fórmula'!H21,60)),IF(INDEX(properties!A$1:CB$87,'Fórmula'!J21,60)&lt;&gt;"",INDEX(properties!A$1:CB$87,'Fórmula'!J21,60)))</f>
        <v>643.0491248</v>
      </c>
      <c r="GI21" s="105">
        <f t="array" ref="GI21">MAX(INDEX(properties!A$1:CB$87,'Fórmula'!B21,60),INDEX(properties!A$1:CB$87,'Fórmula'!D21,60),INDEX(properties!A$1:CB$87,'Fórmula'!F21,60),INDEX(properties!A$1:CB$87,'Fórmula'!H21,60),INDEX(properties!A$1:CB$87,'Fórmula'!J21,60))</f>
        <v>59.9</v>
      </c>
      <c r="GJ21" s="105">
        <f t="array" ref="GJ21">MIN(IF(INDEX(properties!A$1:CB$87,'Fórmula'!B21,60)=0,10^6,INDEX(properties!A$1:CB$87,'Fórmula'!B21,60)),IF(INDEX(properties!A$1:CB$87,'Fórmula'!D21,60)=0,10^6,INDEX(properties!A$1:CB$87,'Fórmula'!D21,60)),IF(INDEX(properties!A$1:CB$87,'Fórmula'!F21,60)=0,10^6,INDEX(properties!A$1:CB$87,'Fórmula'!F21,60)),IF(INDEX(properties!A$1:CB$87,'Fórmula'!H21,60)=0,10^6,INDEX(properties!A$1:CB$87,'Fórmula'!H21,60)),IF(INDEX(properties!A$1:CB$87,'Fórmula'!J21,60)=0,10^6,INDEX(properties!A$1:CB$87,'Fórmula'!J21,60)))</f>
        <v>0.02674</v>
      </c>
      <c r="GK21" s="105">
        <f t="shared" si="32"/>
        <v>59.87326</v>
      </c>
      <c r="GL21" s="106">
        <f t="array" ref="GL21">(('Fórmula'!C21)/('Fórmula'!C21+'Fórmula'!E21+'Fórmula'!G21+'Fórmula'!I21+'Fórmula'!K21))*(INDEX(properties!A$1:CB$87,'Fórmula'!B21,62))+(('Fórmula'!E21)/('Fórmula'!C21+'Fórmula'!E21+'Fórmula'!G21+'Fórmula'!I21+'Fórmula'!K21))*(INDEX(properties!A$1:CB$87,'Fórmula'!D21,62))+(('Fórmula'!G21)/('Fórmula'!C21+'Fórmula'!E21+'Fórmula'!G21+'Fórmula'!I21+'Fórmula'!K21))*(INDEX(properties!A$1:CB$87,'Fórmula'!F21,62))+(('Fórmula'!I21)/('Fórmula'!C21+'Fórmula'!E21+'Fórmula'!G21+'Fórmula'!I21+'Fórmula'!K21))*(INDEX(properties!A$1:CB$87,'Fórmula'!H21,62))+(('Fórmula'!K21)/('Fórmula'!C21+'Fórmula'!E21+'Fórmula'!G21+'Fórmula'!I21+'Fórmula'!K21))*(INDEX(properties!A$1:CB$87,'Fórmula'!J21,62))</f>
        <v>2.773076923</v>
      </c>
      <c r="GM21" s="106">
        <f t="array" ref="GM21">'Fórmula'!C21*(INDEX(properties!A$1:CB$87,'Fórmula'!B21,62))+'Fórmula'!E21*(INDEX(properties!A$1:CB$87,'Fórmula'!D21,62))+'Fórmula'!G21*(INDEX(properties!A$1:CB$87,'Fórmula'!F21,62))+'Fórmula'!I21*(INDEX(properties!A$1:CB$87,'Fórmula'!H21,62))+'Fórmula'!K21*(INDEX(properties!A$1:CB$87,'Fórmula'!J21,62))</f>
        <v>36.05</v>
      </c>
      <c r="GN21" s="106">
        <f t="array" ref="GN21">VARP(IF(INDEX(properties!A$1:CB$87,'Fórmula'!B21,62)&lt;&gt;"",INDEX(properties!A$1:CB$87,'Fórmula'!B21,62)),IF(INDEX(properties!A$1:CB$87,'Fórmula'!D21,62)&lt;&gt;"",INDEX(properties!A$1:CB$87,'Fórmula'!D21,62)),IF(INDEX(properties!A$1:CB$87,'Fórmula'!F21,62)&lt;&gt;"",INDEX(properties!A$1:CB$87,'Fórmula'!F21,62)),IF(INDEX(properties!A$1:CB$87,'Fórmula'!H21,62)&lt;&gt;"",INDEX(properties!A$1:CB$87,'Fórmula'!H21,62)),IF(INDEX(properties!A$1:CB$87,'Fórmula'!J21,62)&lt;&gt;"",INDEX(properties!A$1:CB$87,'Fórmula'!J21,62)))</f>
        <v>2.471864</v>
      </c>
      <c r="GO21" s="106">
        <f t="array" ref="GO21">MAX(INDEX(properties!A$1:CB$87,'Fórmula'!B21,62),INDEX(properties!A$1:CB$87,'Fórmula'!D21,62),INDEX(properties!A$1:CB$87,'Fórmula'!F21,62),INDEX(properties!A$1:CB$87,'Fórmula'!H21,62),INDEX(properties!A$1:CB$87,'Fórmula'!J21,62))</f>
        <v>3.85</v>
      </c>
      <c r="GP21" s="106">
        <f t="array" ref="GP21">MIN(IF(INDEX(properties!A$1:CB$87,'Fórmula'!B21,62)=0,10^6,INDEX(properties!A$1:CB$87,'Fórmula'!B21,62)),IF(INDEX(properties!A$1:CB$87,'Fórmula'!D21,62)=0,10^6,INDEX(properties!A$1:CB$87,'Fórmula'!D21,62)),IF(INDEX(properties!A$1:CB$87,'Fórmula'!F21,62)=0,10^6,INDEX(properties!A$1:CB$87,'Fórmula'!F21,62)),IF(INDEX(properties!A$1:CB$87,'Fórmula'!H21,62)=0,10^6,INDEX(properties!A$1:CB$87,'Fórmula'!H21,62)),IF(INDEX(properties!A$1:CB$87,'Fórmula'!J21,62)=0,10^6,INDEX(properties!A$1:CB$87,'Fórmula'!J21,62)))</f>
        <v>2.62</v>
      </c>
      <c r="GQ21" s="106">
        <f t="shared" si="33"/>
        <v>1.23</v>
      </c>
      <c r="GR21" s="106">
        <f>'Fórmula'!Q21</f>
        <v>12</v>
      </c>
      <c r="GS21" s="107">
        <f>'Fórmula'!P21</f>
        <v>6</v>
      </c>
      <c r="GT21" s="113">
        <f>'Fórmula'!O21</f>
        <v>5.65</v>
      </c>
      <c r="GU21" s="114">
        <f>AVERAGE('Fórmula'!R21/'Fórmula'!S21,'Fórmula'!S21/'Fórmula'!T21,'Fórmula'!T21/'Fórmula'!R21)</f>
        <v>1.714131509</v>
      </c>
      <c r="GV21" s="125">
        <f>'Fórmula'!U21</f>
        <v>281.79</v>
      </c>
      <c r="GW21" s="106">
        <f>'Fórmula'!N21</f>
        <v>0.03</v>
      </c>
    </row>
    <row r="22" ht="14.25" customHeight="1">
      <c r="A22" s="99" t="str">
        <f>'Fórmula'!A22</f>
        <v>Zn3BO3PO4</v>
      </c>
      <c r="B22" s="101">
        <f t="array" ref="B22">(('Fórmula'!C22)/('Fórmula'!C22+'Fórmula'!E22+'Fórmula'!G22+'Fórmula'!I22+'Fórmula'!K22))*(INDEX(properties!A$1:CB$87,'Fórmula'!B22,3))+(('Fórmula'!E22)/('Fórmula'!C22+'Fórmula'!E22+'Fórmula'!G22+'Fórmula'!I22+'Fórmula'!K22))*(INDEX(properties!A$1:CB$87,'Fórmula'!D22,3))+(('Fórmula'!G22)/('Fórmula'!C22+'Fórmula'!E22+'Fórmula'!G22+'Fórmula'!I22+'Fórmula'!K22))*(INDEX(properties!A$1:CB$87,'Fórmula'!F22,3))+(('Fórmula'!I22)/('Fórmula'!C22+'Fórmula'!E22+'Fórmula'!G22+'Fórmula'!I22+'Fórmula'!K22))*(INDEX(properties!A$1:CB$87,'Fórmula'!H22,3))+(('Fórmula'!K22)/('Fórmula'!C22+'Fórmula'!E22+'Fórmula'!G22+'Fórmula'!I22+'Fórmula'!K22))*(INDEX(properties!A$1:CB$87,'Fórmula'!J22,3))</f>
        <v>29.16004683</v>
      </c>
      <c r="C22" s="101">
        <f t="array" ref="C22">'Fórmula'!C22*(INDEX(properties!A$1:CB$87,'Fórmula'!B22,3))+'Fórmula'!E22*(INDEX(properties!A$1:CB$87,'Fórmula'!D22,3))+'Fórmula'!G22*(INDEX(properties!A$1:CB$87,'Fórmula'!F22,3))+'Fórmula'!I22*(INDEX(properties!A$1:CB$87,'Fórmula'!H22,3))+'Fórmula'!K22*(INDEX(properties!A$1:CB$87,'Fórmula'!J22,3))</f>
        <v>349.920562</v>
      </c>
      <c r="D22" s="101">
        <f t="array" ref="D22">VARP(IF(INDEX(properties!A$1:CB$87,'Fórmula'!B22,3)&lt;&gt;"",INDEX(properties!A$1:CB$87,'Fórmula'!B22,3)),IF(INDEX(properties!A$1:CB$87,'Fórmula'!D22,3)&lt;&gt;"",INDEX(properties!A$1:CB$87,'Fórmula'!D22,3)),IF(INDEX(properties!A$1:CB$87,'Fórmula'!F22,3)&lt;&gt;"",INDEX(properties!A$1:CB$87,'Fórmula'!F22,3)),IF(INDEX(properties!A$1:CB$87,'Fórmula'!H22,3)&lt;&gt;"",INDEX(properties!A$1:CB$87,'Fórmula'!H22,3)),IF(INDEX(properties!A$1:CB$87,'Fórmula'!J22,3)&lt;&gt;"",INDEX(properties!A$1:CB$87,'Fórmula'!J22,3)))</f>
        <v>397.8916513</v>
      </c>
      <c r="E22" s="101">
        <f t="array" ref="E22">MAX(INDEX(properties!A$1:CB$87,'Fórmula'!B22,3),INDEX(properties!A$1:CB$87,'Fórmula'!D22,3),INDEX(properties!A$1:CB$87,'Fórmula'!F22,3),INDEX(properties!A$1:CB$87,'Fórmula'!H22,3),INDEX(properties!A$1:CB$87,'Fórmula'!J22,3))</f>
        <v>65.38</v>
      </c>
      <c r="F22" s="101">
        <f t="array" ref="F22">MIN(IF(INDEX(properties!A$1:CB$87,'Fórmula'!B22,3)=0,10^6,INDEX(properties!A$1:CB$87,'Fórmula'!B22,3)),IF(INDEX(properties!A$1:CB$87,'Fórmula'!D22,3)=0,10^6,INDEX(properties!A$1:CB$87,'Fórmula'!D22,3)),IF(INDEX(properties!A$1:CB$87,'Fórmula'!F22,3)=0,10^6,INDEX(properties!A$1:CB$87,'Fórmula'!F22,3)),IF(INDEX(properties!A$1:CB$87,'Fórmula'!H22,3)=0,10^6,INDEX(properties!A$1:CB$87,'Fórmula'!H22,3)),IF(INDEX(properties!A$1:CB$87,'Fórmula'!J22,3)=0,10^6,INDEX(properties!A$1:CB$87,'Fórmula'!J22,3)))</f>
        <v>10.811</v>
      </c>
      <c r="G22" s="101">
        <f t="shared" si="1"/>
        <v>54.569</v>
      </c>
      <c r="H22" s="102">
        <f t="array" ref="H22">(('Fórmula'!C22)/('Fórmula'!C22+'Fórmula'!E22+'Fórmula'!G22+'Fórmula'!I22+'Fórmula'!K22))*(INDEX(properties!A$1:CB$87,'Fórmula'!B22,4))+(('Fórmula'!E22)/('Fórmula'!C22+'Fórmula'!E22+'Fórmula'!G22+'Fórmula'!I22+'Fórmula'!K22))*(INDEX(properties!A$1:CB$87,'Fórmula'!D22,4))+(('Fórmula'!G22)/('Fórmula'!C22+'Fórmula'!E22+'Fórmula'!G22+'Fórmula'!I22+'Fórmula'!K22))*(INDEX(properties!A$1:CB$87,'Fórmula'!F22,4))+(('Fórmula'!I22)/('Fórmula'!C22+'Fórmula'!E22+'Fórmula'!G22+'Fórmula'!I22+'Fórmula'!K22))*(INDEX(properties!A$1:CB$87,'Fórmula'!H22,4))+(('Fórmula'!K22)/('Fórmula'!C22+'Fórmula'!E22+'Fórmula'!G22+'Fórmula'!I22+'Fórmula'!K22))*(INDEX(properties!A$1:CB$87,'Fórmula'!J22,4))</f>
        <v>13.83333333</v>
      </c>
      <c r="I22" s="102">
        <f t="array" ref="I22">'Fórmula'!C22*(INDEX(properties!A$1:CB$87,'Fórmula'!B22,4))+'Fórmula'!E22*(INDEX(properties!A$1:CB$87,'Fórmula'!D22,4))+'Fórmula'!G22*(INDEX(properties!A$1:CB$87,'Fórmula'!F22,4))+'Fórmula'!I22*(INDEX(properties!A$1:CB$87,'Fórmula'!H22,4))+'Fórmula'!K22*(INDEX(properties!A$1:CB$87,'Fórmula'!J22,4))</f>
        <v>166</v>
      </c>
      <c r="J22" s="102">
        <f t="array" ref="J22">VARP(IF(INDEX(properties!A$1:CB$87,'Fórmula'!B22,4)&lt;&gt;"",INDEX(properties!A$1:CB$87,'Fórmula'!B22,4)),IF(INDEX(properties!A$1:CB$87,'Fórmula'!D22,4)&lt;&gt;"",INDEX(properties!A$1:CB$87,'Fórmula'!D22,4)),IF(INDEX(properties!A$1:CB$87,'Fórmula'!F22,4)&lt;&gt;"",INDEX(properties!A$1:CB$87,'Fórmula'!F22,4)),IF(INDEX(properties!A$1:CB$87,'Fórmula'!H22,4)&lt;&gt;"",INDEX(properties!A$1:CB$87,'Fórmula'!H22,4)),IF(INDEX(properties!A$1:CB$87,'Fórmula'!J22,4)&lt;&gt;"",INDEX(properties!A$1:CB$87,'Fórmula'!J22,4)))</f>
        <v>81.36</v>
      </c>
      <c r="K22" s="102">
        <f t="array" ref="K22">MAX(INDEX(properties!A$1:CB$87,'Fórmula'!B22,4),INDEX(properties!A$1:CB$87,'Fórmula'!D22,4),INDEX(properties!A$1:CB$87,'Fórmula'!F22,4),INDEX(properties!A$1:CB$87,'Fórmula'!H22,4),INDEX(properties!A$1:CB$87,'Fórmula'!J22,4))</f>
        <v>30</v>
      </c>
      <c r="L22" s="102">
        <f t="array" ref="L22">MIN(IF(INDEX(properties!A$1:CB$87,'Fórmula'!B22,4)=0,10^6,INDEX(properties!A$1:CB$87,'Fórmula'!B22,4)),IF(INDEX(properties!A$1:CB$87,'Fórmula'!D22,4)=0,10^6,INDEX(properties!A$1:CB$87,'Fórmula'!D22,4)),IF(INDEX(properties!A$1:CB$87,'Fórmula'!F22,4)=0,10^6,INDEX(properties!A$1:CB$87,'Fórmula'!F22,4)),IF(INDEX(properties!A$1:CB$87,'Fórmula'!H22,4)=0,10^6,INDEX(properties!A$1:CB$87,'Fórmula'!H22,4)),IF(INDEX(properties!A$1:CB$87,'Fórmula'!J22,4)=0,10^6,INDEX(properties!A$1:CB$87,'Fórmula'!J22,4)))</f>
        <v>5</v>
      </c>
      <c r="M22" s="102">
        <f t="shared" si="2"/>
        <v>25</v>
      </c>
      <c r="N22" s="103">
        <f t="array" ref="N22">(('Fórmula'!C22)/('Fórmula'!C22+'Fórmula'!E22+'Fórmula'!G22+'Fórmula'!I22+'Fórmula'!K22))*(INDEX(properties!A$1:CB$87,'Fórmula'!B22,5))+(('Fórmula'!E22)/('Fórmula'!C22+'Fórmula'!E22+'Fórmula'!G22+'Fórmula'!I22+'Fórmula'!K22))*(INDEX(properties!A$1:CB$87,'Fórmula'!D22,5))+(('Fórmula'!G22)/('Fórmula'!C22+'Fórmula'!E22+'Fórmula'!G22+'Fórmula'!I22+'Fórmula'!K22))*(INDEX(properties!A$1:CB$87,'Fórmula'!F22,5))+(('Fórmula'!I22)/('Fórmula'!C22+'Fórmula'!E22+'Fórmula'!G22+'Fórmula'!I22+'Fórmula'!K22))*(INDEX(properties!A$1:CB$87,'Fórmula'!H22,5))+(('Fórmula'!K22)/('Fórmula'!C22+'Fórmula'!E22+'Fórmula'!G22+'Fórmula'!I22+'Fórmula'!K22))*(INDEX(properties!A$1:CB$87,'Fórmula'!J22,5))</f>
        <v>2.583333333</v>
      </c>
      <c r="O22" s="103">
        <f t="array" ref="O22">'Fórmula'!C22*(INDEX(properties!A$1:CB$87,'Fórmula'!B22,5))+'Fórmula'!E22*(INDEX(properties!A$1:CB$87,'Fórmula'!D22,5))+'Fórmula'!G22*(INDEX(properties!A$1:CB$87,'Fórmula'!F22,5))+'Fórmula'!I22*(INDEX(properties!A$1:CB$87,'Fórmula'!H22,5))+'Fórmula'!K22*(INDEX(properties!A$1:CB$87,'Fórmula'!J22,5))</f>
        <v>31</v>
      </c>
      <c r="P22" s="103">
        <f t="array" ref="P22">VARP(IF(INDEX(properties!A$1:CB$87,'Fórmula'!B22,5)&lt;&gt;"",INDEX(properties!A$1:CB$87,'Fórmula'!B22,5)),IF(INDEX(properties!A$1:CB$87,'Fórmula'!D22,5)&lt;&gt;"",INDEX(properties!A$1:CB$87,'Fórmula'!D22,5)),IF(INDEX(properties!A$1:CB$87,'Fórmula'!F22,5)&lt;&gt;"",INDEX(properties!A$1:CB$87,'Fórmula'!F22,5)),IF(INDEX(properties!A$1:CB$87,'Fórmula'!H22,5)&lt;&gt;"",INDEX(properties!A$1:CB$87,'Fórmula'!H22,5)),IF(INDEX(properties!A$1:CB$87,'Fórmula'!J22,5)&lt;&gt;"",INDEX(properties!A$1:CB$87,'Fórmula'!J22,5)))</f>
        <v>0.64</v>
      </c>
      <c r="Q22" s="103">
        <f t="array" ref="Q22">MAX(INDEX(properties!A$1:CB$87,'Fórmula'!B22,5),INDEX(properties!A$1:CB$87,'Fórmula'!D22,5),INDEX(properties!A$1:CB$87,'Fórmula'!F22,5),INDEX(properties!A$1:CB$87,'Fórmula'!H22,5),INDEX(properties!A$1:CB$87,'Fórmula'!J22,5))</f>
        <v>4</v>
      </c>
      <c r="R22" s="103">
        <f t="array" ref="R22">MIN(IF(INDEX(properties!A$1:CB$87,'Fórmula'!B22,5)=0,10^6,INDEX(properties!A$1:CB$87,'Fórmula'!B22,5)),IF(INDEX(properties!A$1:CB$87,'Fórmula'!D22,5)=0,10^6,INDEX(properties!A$1:CB$87,'Fórmula'!D22,5)),IF(INDEX(properties!A$1:CB$87,'Fórmula'!F22,5)=0,10^6,INDEX(properties!A$1:CB$87,'Fórmula'!F22,5)),IF(INDEX(properties!A$1:CB$87,'Fórmula'!H22,5)=0,10^6,INDEX(properties!A$1:CB$87,'Fórmula'!H22,5)),IF(INDEX(properties!A$1:CB$87,'Fórmula'!J22,5)=0,10^6,INDEX(properties!A$1:CB$87,'Fórmula'!J22,5)))</f>
        <v>2</v>
      </c>
      <c r="S22" s="103">
        <f t="shared" si="3"/>
        <v>2</v>
      </c>
      <c r="T22" s="104">
        <f t="array" ref="T22">(('Fórmula'!C22)/('Fórmula'!C22+'Fórmula'!E22+'Fórmula'!G22+'Fórmula'!I22+'Fórmula'!K22))*(INDEX(properties!A$1:CB$87,'Fórmula'!B22,6))+(('Fórmula'!E22)/('Fórmula'!C22+'Fórmula'!E22+'Fórmula'!G22+'Fórmula'!I22+'Fórmula'!K22))*(INDEX(properties!A$1:CB$87,'Fórmula'!D22,6))+(('Fórmula'!G22)/('Fórmula'!C22+'Fórmula'!E22+'Fórmula'!G22+'Fórmula'!I22+'Fórmula'!K22))*(INDEX(properties!A$1:CB$87,'Fórmula'!F22,6))+(('Fórmula'!I22)/('Fórmula'!C22+'Fórmula'!E22+'Fórmula'!G22+'Fórmula'!I22+'Fórmula'!K22))*(INDEX(properties!A$1:CB$87,'Fórmula'!H22,6))+(('Fórmula'!K22)/('Fórmula'!C22+'Fórmula'!E22+'Fórmula'!G22+'Fórmula'!I22+'Fórmula'!K22))*(INDEX(properties!A$1:CB$87,'Fórmula'!J22,6))</f>
        <v>14.66666667</v>
      </c>
      <c r="U22" s="104">
        <f t="array" ref="U22">'Fórmula'!C22*(INDEX(properties!A$1:CB$87,'Fórmula'!B22,6))+'Fórmula'!E22*(INDEX(properties!A$1:CB$87,'Fórmula'!D22,6))+'Fórmula'!G22*(INDEX(properties!A$1:CB$87,'Fórmula'!F22,6))+'Fórmula'!I22*(INDEX(properties!A$1:CB$87,'Fórmula'!H22,6))+'Fórmula'!K22*(INDEX(properties!A$1:CB$87,'Fórmula'!J22,6))</f>
        <v>176</v>
      </c>
      <c r="V22" s="103">
        <f t="array" ref="V22">VARP(IF(INDEX(properties!A$1:CB$87,'Fórmula'!B22,6)&lt;&gt;"",INDEX(properties!A$1:CB$87,'Fórmula'!B22,6)),IF(INDEX(properties!A$1:CB$87,'Fórmula'!D22,6)&lt;&gt;"",INDEX(properties!A$1:CB$87,'Fórmula'!D22,6)),IF(INDEX(properties!A$1:CB$87,'Fórmula'!F22,6)&lt;&gt;"",INDEX(properties!A$1:CB$87,'Fórmula'!F22,6)),IF(INDEX(properties!A$1:CB$87,'Fórmula'!H22,6)&lt;&gt;"",INDEX(properties!A$1:CB$87,'Fórmula'!H22,6)),IF(INDEX(properties!A$1:CB$87,'Fórmula'!J22,6)&lt;&gt;"",INDEX(properties!A$1:CB$87,'Fórmula'!J22,6)))</f>
        <v>2.64</v>
      </c>
      <c r="W22" s="104">
        <f t="array" ref="W22">MAX(INDEX(properties!A$1:CB$87,'Fórmula'!B22,6),INDEX(properties!A$1:CB$87,'Fórmula'!D22,6),INDEX(properties!A$1:CB$87,'Fórmula'!F22,6),INDEX(properties!A$1:CB$87,'Fórmula'!H22,4),INDEX(properties!A$1:CB$87,'Fórmula'!J22,6))</f>
        <v>16</v>
      </c>
      <c r="X22" s="104">
        <f t="array" ref="X22">MIN(IF(INDEX(properties!A$1:CB$87,'Fórmula'!B22,6)=0,10^6,INDEX(properties!A$1:CB$87,'Fórmula'!B22,6)),IF(INDEX(properties!A$1:CB$87,'Fórmula'!D22,6)=0,10^6,INDEX(properties!A$1:CB$87,'Fórmula'!D22,6)),IF(INDEX(properties!A$1:CB$87,'Fórmula'!F22,6)=0,10^6,INDEX(properties!A$1:CB$87,'Fórmula'!F22,6)),IF(INDEX(properties!A$1:CB$87,'Fórmula'!H22,6)=0,10^6,INDEX(properties!A$1:CB$87,'Fórmula'!H22,6)),IF(INDEX(properties!A$1:CB$87,'Fórmula'!J22,6)=0,10^6,INDEX(properties!A$1:CB$87,'Fórmula'!J22,6)))</f>
        <v>12</v>
      </c>
      <c r="Y22" s="104">
        <f t="shared" si="4"/>
        <v>4</v>
      </c>
      <c r="Z22" s="105">
        <f t="array" ref="Z22">(('Fórmula'!C22)/('Fórmula'!C22+'Fórmula'!E22+'Fórmula'!G22+'Fórmula'!I22+'Fórmula'!K22))*(INDEX(properties!A$1:CB$87,'Fórmula'!B22,9))+(('Fórmula'!E22)/('Fórmula'!C22+'Fórmula'!E22+'Fórmula'!G22+'Fórmula'!I22+'Fórmula'!K22))*(INDEX(properties!A$1:CB$87,'Fórmula'!D22,9))+(('Fórmula'!G22)/('Fórmula'!C22+'Fórmula'!E22+'Fórmula'!G22+'Fórmula'!I22+'Fórmula'!K22))*(INDEX(properties!A$1:CB$87,'Fórmula'!F22,9))+(('Fórmula'!I22)/('Fórmula'!C22+'Fórmula'!E22+'Fórmula'!G22+'Fórmula'!I22+'Fórmula'!K22))*(INDEX(properties!A$1:CB$87,'Fórmula'!H22,9))+(('Fórmula'!K22)/('Fórmula'!C22+'Fórmula'!E22+'Fórmula'!G22+'Fórmula'!I22+'Fórmula'!K22))*(INDEX(properties!A$1:CB$87,'Fórmula'!J22,9))</f>
        <v>80.91666667</v>
      </c>
      <c r="AA22" s="105">
        <f t="array" ref="AA22">'Fórmula'!C22*(INDEX(properties!A$1:CB$87,'Fórmula'!B22,9))+'Fórmula'!E22*(INDEX(properties!A$1:CB$87,'Fórmula'!D22,9))+'Fórmula'!G22*(INDEX(properties!A$1:CB$87,'Fórmula'!F22,9))+'Fórmula'!I22*(INDEX(properties!A$1:CB$87,'Fórmula'!H22,9))+'Fórmula'!K22*(INDEX(properties!A$1:CB$87,'Fórmula'!J22,9))</f>
        <v>971</v>
      </c>
      <c r="AB22" s="105">
        <f t="array" ref="AB22">VARP(IF(INDEX(properties!A$1:CB$87,'Fórmula'!B22,9)&lt;&gt;"",INDEX(properties!A$1:CB$87,'Fórmula'!B22,9)),IF(INDEX(properties!A$1:CB$87,'Fórmula'!D22,9)&lt;&gt;"",INDEX(properties!A$1:CB$87,'Fórmula'!D22,9)),IF(INDEX(properties!A$1:CB$87,'Fórmula'!F22,9)&lt;&gt;"",INDEX(properties!A$1:CB$87,'Fórmula'!F22,9)),IF(INDEX(properties!A$1:CB$87,'Fórmula'!H22,9)&lt;&gt;"",INDEX(properties!A$1:CB$87,'Fórmula'!H22,9)),IF(INDEX(properties!A$1:CB$87,'Fórmula'!J22,9)&lt;&gt;"",INDEX(properties!A$1:CB$87,'Fórmula'!J22,9)))</f>
        <v>58.24</v>
      </c>
      <c r="AC22" s="105">
        <f t="array" ref="AC22">MAX(INDEX(properties!A$1:CB$87,'Fórmula'!B22,9),INDEX(properties!A$1:CB$87,'Fórmula'!D22,9),INDEX(properties!A$1:CB$87,'Fórmula'!F22,9),INDEX(properties!A$1:CB$87,'Fórmula'!H22,9),INDEX(properties!A$1:CB$87,'Fórmula'!J22,9))</f>
        <v>87</v>
      </c>
      <c r="AD22" s="105">
        <f t="array" ref="AD22">MIN(IF(INDEX(properties!A$1:CB$87,'Fórmula'!B22,9)=0,10^6,INDEX(properties!A$1:CB$87,'Fórmula'!B22,9)),IF(INDEX(properties!A$1:CB$87,'Fórmula'!D22,9)=0,10^6,INDEX(properties!A$1:CB$87,'Fórmula'!D22,9)),IF(INDEX(properties!A$1:CB$87,'Fórmula'!F22,9)=0,10^6,INDEX(properties!A$1:CB$87,'Fórmula'!F22,9)),IF(INDEX(properties!A$1:CB$87,'Fórmula'!H22,9)=0,10^6,INDEX(properties!A$1:CB$87,'Fórmula'!H22,9)),IF(INDEX(properties!A$1:CB$87,'Fórmula'!J22,9)=0,10^6,INDEX(properties!A$1:CB$87,'Fórmula'!J22,9)))</f>
        <v>69</v>
      </c>
      <c r="AE22" s="105">
        <f t="shared" si="5"/>
        <v>18</v>
      </c>
      <c r="AF22" s="106">
        <f t="array" ref="AF22">(('Fórmula'!C22)/('Fórmula'!C22+'Fórmula'!E22+'Fórmula'!G22+'Fórmula'!I22+'Fórmula'!K22))*(INDEX(properties!A$1:CB$87,'Fórmula'!B22,10))+(('Fórmula'!E22)/('Fórmula'!C22+'Fórmula'!E22+'Fórmula'!G22+'Fórmula'!I22+'Fórmula'!K22))*(INDEX(properties!A$1:CB$87,'Fórmula'!D22,10))+(('Fórmula'!G22)/('Fórmula'!C22+'Fórmula'!E22+'Fórmula'!G22+'Fórmula'!I22+'Fórmula'!K22))*(INDEX(properties!A$1:CB$87,'Fórmula'!F22,10))+(('Fórmula'!I22)/('Fórmula'!C22+'Fórmula'!E22+'Fórmula'!G22+'Fórmula'!I22+'Fórmula'!K22))*(INDEX(properties!A$1:CB$87,'Fórmula'!H22,10))+(('Fórmula'!K22)/('Fórmula'!C22+'Fórmula'!E22+'Fórmula'!G22+'Fórmula'!I22+'Fórmula'!K22))*(INDEX(properties!A$1:CB$87,'Fórmula'!J22,10))</f>
        <v>6.166666667</v>
      </c>
      <c r="AG22" s="106">
        <f t="array" ref="AG22">'Fórmula'!C22*(INDEX(properties!A$1:CB$87,'Fórmula'!B22,10))+'Fórmula'!E22*(INDEX(properties!A$1:CB$87,'Fórmula'!D22,10))+'Fórmula'!G22*(INDEX(properties!A$1:CB$87,'Fórmula'!F22,10))+'Fórmula'!I22*(INDEX(properties!A$1:CB$87,'Fórmula'!H22,10))+'Fórmula'!K22*(INDEX(properties!A$1:CB$87,'Fórmula'!J22,10))</f>
        <v>74</v>
      </c>
      <c r="AH22" s="106">
        <f t="array" ref="AH22">VARP(IF(INDEX(properties!A$1:CB$87,'Fórmula'!B22,10)&lt;&gt;"",INDEX(properties!A$1:CB$87,'Fórmula'!B22,10)),IF(INDEX(properties!A$1:CB$87,'Fórmula'!D22,10)&lt;&gt;"",INDEX(properties!A$1:CB$87,'Fórmula'!D22,10)),IF(INDEX(properties!A$1:CB$87,'Fórmula'!F22,10)&lt;&gt;"",INDEX(properties!A$1:CB$87,'Fórmula'!F22,10)),IF(INDEX(properties!A$1:CB$87,'Fórmula'!H22,10)&lt;&gt;"",INDEX(properties!A$1:CB$87,'Fórmula'!H22,10)),IF(INDEX(properties!A$1:CB$87,'Fórmula'!J22,10)&lt;&gt;"",INDEX(properties!A$1:CB$87,'Fórmula'!J22,10)))</f>
        <v>1.36</v>
      </c>
      <c r="AI22" s="106">
        <f t="array" ref="AI22">MAX(INDEX(properties!A$1:CB$87,'Fórmula'!B22,10),INDEX(properties!A$1:CB$87,'Fórmula'!D22,10),INDEX(properties!A$1:CB$87,'Fórmula'!F22,10),INDEX(properties!A$1:CB$87,'Fórmula'!H22,10),INDEX(properties!A$1:CB$87,'Fórmula'!J22,10))</f>
        <v>7</v>
      </c>
      <c r="AJ22" s="106">
        <f t="array" ref="AJ22">MIN(IF(INDEX(properties!A$1:CB$87,'Fórmula'!B22,10)=0,10^6,INDEX(properties!A$1:CB$87,'Fórmula'!B22,10)),IF(INDEX(properties!A$1:CB$87,'Fórmula'!D22,10)=0,10^6,INDEX(properties!A$1:CB$87,'Fórmula'!D22,10)),IF(INDEX(properties!A$1:CB$87,'Fórmula'!F22,10)=0,10^6,INDEX(properties!A$1:CB$87,'Fórmula'!F22,10)),IF(INDEX(properties!A$1:CB$87,'Fórmula'!H22,10)=0,10^6,INDEX(properties!A$1:CB$87,'Fórmula'!H22,10)),IF(INDEX(properties!A$1:CB$87,'Fórmula'!J22,10)=0,10^6,INDEX(properties!A$1:CB$87,'Fórmula'!J22,10)))</f>
        <v>4</v>
      </c>
      <c r="AK22" s="106">
        <f t="shared" si="6"/>
        <v>3</v>
      </c>
      <c r="AL22" s="107">
        <f t="array" ref="AL22">(('Fórmula'!C22)/('Fórmula'!C22+'Fórmula'!E22+'Fórmula'!G22+'Fórmula'!I22+'Fórmula'!K22))*(INDEX(properties!A$1:CB$87,'Fórmula'!B22,11))+(('Fórmula'!E22)/('Fórmula'!C22+'Fórmula'!E22+'Fórmula'!G22+'Fórmula'!I22+'Fórmula'!K22))*(INDEX(properties!A$1:CB$87,'Fórmula'!D22,11))+(('Fórmula'!G22)/('Fórmula'!C22+'Fórmula'!E22+'Fórmula'!G22+'Fórmula'!I22+'Fórmula'!K22))*(INDEX(properties!A$1:CB$87,'Fórmula'!F22,11))+(('Fórmula'!I22)/('Fórmula'!C22+'Fórmula'!E22+'Fórmula'!G22+'Fórmula'!I22+'Fórmula'!K22))*(INDEX(properties!A$1:CB$87,'Fórmula'!H22,11))+(('Fórmula'!K22)/('Fórmula'!C22+'Fórmula'!E22+'Fórmula'!G22+'Fórmula'!I22+'Fórmula'!K22))*(INDEX(properties!A$1:CB$87,'Fórmula'!J22,11))</f>
        <v>2</v>
      </c>
      <c r="AM22" s="107">
        <f t="array" ref="AM22">'Fórmula'!C22*(INDEX(properties!A$1:CB$87,'Fórmula'!B22,11))+'Fórmula'!E22*(INDEX(properties!A$1:CB$87,'Fórmula'!D22,11))+'Fórmula'!G22*(INDEX(properties!A$1:CB$87,'Fórmula'!F22,11))+'Fórmula'!I22*(INDEX(properties!A$1:CB$87,'Fórmula'!H22,11))+'Fórmula'!K22*(INDEX(properties!A$1:CB$87,'Fórmula'!J22,11))</f>
        <v>24</v>
      </c>
      <c r="AN22" s="107">
        <f t="array" ref="AN22">VARP(IF(INDEX(properties!A$1:CB$87,'Fórmula'!B22,11)&lt;&gt;"",INDEX(properties!A$1:CB$87,'Fórmula'!B22,11)),IF(INDEX(properties!A$1:CB$87,'Fórmula'!D22,11)&lt;&gt;"",INDEX(properties!A$1:CB$87,'Fórmula'!D22,11)),IF(INDEX(properties!A$1:CB$87,'Fórmula'!F22,11)&lt;&gt;"",INDEX(properties!A$1:CB$87,'Fórmula'!F22,11)),IF(INDEX(properties!A$1:CB$87,'Fórmula'!H22,11)&lt;&gt;"",INDEX(properties!A$1:CB$87,'Fórmula'!H22,11)),IF(INDEX(properties!A$1:CB$87,'Fórmula'!J22,11)&lt;&gt;"",INDEX(properties!A$1:CB$87,'Fórmula'!J22,11)))</f>
        <v>0</v>
      </c>
      <c r="AO22" s="107">
        <f t="array" ref="AO22">MAX(INDEX(properties!A$1:CB$87,'Fórmula'!B22,11),INDEX(properties!A$1:CB$87,'Fórmula'!D22,11),INDEX(properties!A$1:CB$87,'Fórmula'!F22,11),INDEX(properties!A$1:CB$87,'Fórmula'!H22,11),INDEX(properties!A$1:CB$87,'Fórmula'!J22,11))</f>
        <v>2</v>
      </c>
      <c r="AP22" s="107">
        <f t="array" ref="AP22">MIN(IF('Fórmula'!B22=87,10^6,INDEX(properties!A$1:CB$87,'Fórmula'!B22,11)),IF(('Fórmula'!D22)=87,10^6,INDEX(properties!A$1:CB$87,'Fórmula'!D22,11)),IF(('Fórmula'!F22)=87,10^6,INDEX(properties!A$1:CB$87,'Fórmula'!F22,11)),IF(('Fórmula'!H22)=87,10^6,INDEX(properties!A$1:CB$87,'Fórmula'!H22,11)),IF('Fórmula'!J22=87,10^6,INDEX(properties!A$1:CB$87,'Fórmula'!J22,11)))</f>
        <v>2</v>
      </c>
      <c r="AQ22" s="107">
        <f t="shared" si="7"/>
        <v>0</v>
      </c>
      <c r="AR22" s="108">
        <f t="array" ref="AR22">(('Fórmula'!C22)/('Fórmula'!C22+'Fórmula'!E22+'Fórmula'!G22+'Fórmula'!I22+'Fórmula'!K22))*(INDEX(properties!A$1:CB$87,'Fórmula'!B22,12))+(('Fórmula'!E22)/('Fórmula'!C22+'Fórmula'!E22+'Fórmula'!G22+'Fórmula'!I22+'Fórmula'!K22))*(INDEX(properties!A$1:CB$87,'Fórmula'!D22,12))+(('Fórmula'!G22)/('Fórmula'!C22+'Fórmula'!E22+'Fórmula'!G22+'Fórmula'!I22+'Fórmula'!K22))*(INDEX(properties!A$1:CB$87,'Fórmula'!F22,12))+(('Fórmula'!I22)/('Fórmula'!C22+'Fórmula'!E22+'Fórmula'!G22+'Fórmula'!I22+'Fórmula'!K22))*(INDEX(properties!A$1:CB$87,'Fórmula'!H22,12))+(('Fórmula'!K22)/('Fórmula'!C22+'Fórmula'!E22+'Fórmula'!G22+'Fórmula'!I22+'Fórmula'!K22))*(INDEX(properties!A$1:CB$87,'Fórmula'!J22,12))</f>
        <v>2.666666667</v>
      </c>
      <c r="AS22" s="108">
        <f t="array" ref="AS22">'Fórmula'!C22*(INDEX(properties!A$1:CB$87,'Fórmula'!B22,12))+'Fórmula'!E22*(INDEX(properties!A$1:CB$87,'Fórmula'!D22,12))+'Fórmula'!G22*(INDEX(properties!A$1:CB$87,'Fórmula'!F22,12))+'Fórmula'!I22*(INDEX(properties!A$1:CB$87,'Fórmula'!H22,12))+'Fórmula'!K22*(INDEX(properties!A$1:CB$87,'Fórmula'!J22,12))</f>
        <v>32</v>
      </c>
      <c r="AT22" s="108">
        <f t="array" ref="AT22">VARP(IF(INDEX(properties!A$1:CB$87,'Fórmula'!B22,12)&lt;&gt;"",INDEX(properties!A$1:CB$87,'Fórmula'!B22,12)),IF(INDEX(properties!A$1:CB$87,'Fórmula'!D22,12)&lt;&gt;"",INDEX(properties!A$1:CB$87,'Fórmula'!D22,12)),IF(INDEX(properties!A$1:CB$87,'Fórmula'!F22,12)&lt;&gt;"",INDEX(properties!A$1:CB$87,'Fórmula'!F22,12)),IF(INDEX(properties!A$1:CB$87,'Fórmula'!H22,12)&lt;&gt;"",INDEX(properties!A$1:CB$87,'Fórmula'!H22,12)),IF(INDEX(properties!A$1:CB$87,'Fórmula'!J22,12)&lt;&gt;"",INDEX(properties!A$1:CB$87,'Fórmula'!J22,12)))</f>
        <v>2.64</v>
      </c>
      <c r="AU22" s="108">
        <f t="array" ref="AU22">MAX(INDEX(properties!A$1:CB$87,'Fórmula'!B22,12),INDEX(properties!A$1:CB$87,'Fórmula'!D22,12),INDEX(properties!A$1:CB$87,'Fórmula'!F22,12),INDEX(properties!A$1:CB$87,'Fórmula'!H22,12),INDEX(properties!A$1:CB$87,'Fórmula'!J22,12))</f>
        <v>4</v>
      </c>
      <c r="AV22" s="108">
        <f t="array" ref="AV22">MIN(IF('Fórmula'!B22=87,10^6,INDEX(properties!A$1:CB$87,'Fórmula'!B22,12)),IF(('Fórmula'!D22)=87,10^6,INDEX(properties!A$1:CB$87,'Fórmula'!D22,12)),IF(('Fórmula'!F22)=87,10^6,INDEX(properties!A$1:CB$87,'Fórmula'!F22,12)),IF(('Fórmula'!H22)=87,10^6,INDEX(properties!A$1:CB$87,'Fórmula'!H22,12)),IF('Fórmula'!J22=87,10^6,INDEX(properties!A$1:CB$87,'Fórmula'!J22,12)))</f>
        <v>0</v>
      </c>
      <c r="AW22" s="108">
        <f t="shared" si="8"/>
        <v>4</v>
      </c>
      <c r="AX22" s="109">
        <f t="array" ref="AX22">(('Fórmula'!C22)/('Fórmula'!C22+'Fórmula'!E22+'Fórmula'!G22+'Fórmula'!I22+'Fórmula'!K22))*(INDEX(properties!A$1:CB$87,'Fórmula'!B22,13))+(('Fórmula'!E22)/('Fórmula'!C22+'Fórmula'!E22+'Fórmula'!G22+'Fórmula'!I22+'Fórmula'!K22))*(INDEX(properties!A$1:CB$87,'Fórmula'!D22,13))+(('Fórmula'!G22)/('Fórmula'!C22+'Fórmula'!E22+'Fórmula'!G22+'Fórmula'!I22+'Fórmula'!K22))*(INDEX(properties!A$1:CB$87,'Fórmula'!F22,13))+(('Fórmula'!I22)/('Fórmula'!C22+'Fórmula'!E22+'Fórmula'!G22+'Fórmula'!I22+'Fórmula'!K22))*(INDEX(properties!A$1:CB$87,'Fórmula'!H22,13))+(('Fórmula'!K22)/('Fórmula'!C22+'Fórmula'!E22+'Fórmula'!G22+'Fórmula'!I22+'Fórmula'!K22))*(INDEX(properties!A$1:CB$87,'Fórmula'!J22,13))</f>
        <v>2.5</v>
      </c>
      <c r="AY22" s="109">
        <f t="array" ref="AY22">'Fórmula'!C22*(INDEX(properties!A$1:CB$87,'Fórmula'!B22,13))+'Fórmula'!E22*(INDEX(properties!A$1:CB$87,'Fórmula'!D22,13))+'Fórmula'!G22*(INDEX(properties!A$1:CB$87,'Fórmula'!F22,13))+'Fórmula'!I22*(INDEX(properties!A$1:CB$87,'Fórmula'!H22,13))+'Fórmula'!K22*(INDEX(properties!A$1:CB$87,'Fórmula'!J22,13))</f>
        <v>30</v>
      </c>
      <c r="AZ22" s="109">
        <f t="array" ref="AZ22">VARP(IF(INDEX(properties!A$1:CB$87,'Fórmula'!B22,13)&lt;&gt;"",INDEX(properties!A$1:CB$87,'Fórmula'!B22,13)),IF(INDEX(properties!A$1:CB$87,'Fórmula'!D22,13)&lt;&gt;"",INDEX(properties!A$1:CB$87,'Fórmula'!D22,13)),IF(INDEX(properties!A$1:CB$87,'Fórmula'!F22,13)&lt;&gt;"",INDEX(properties!A$1:CB$87,'Fórmula'!F22,13)),IF(INDEX(properties!A$1:CB$87,'Fórmula'!H22,13)&lt;&gt;"",INDEX(properties!A$1:CB$87,'Fórmula'!H22,13)),IF(INDEX(properties!A$1:CB$87,'Fórmula'!J22,13)&lt;&gt;"",INDEX(properties!A$1:CB$87,'Fórmula'!J22,13)))</f>
        <v>16</v>
      </c>
      <c r="BA22" s="109">
        <f t="array" ref="BA22">MAX(INDEX(properties!A$1:CB$87,'Fórmula'!B22,13),INDEX(properties!A$1:CB$87,'Fórmula'!D22,13),INDEX(properties!A$1:CB$87,'Fórmula'!F22,13),INDEX(properties!A$1:CB$87,'Fórmula'!H22,13),INDEX(properties!A$1:CB$87,'Fórmula'!J22,13))</f>
        <v>10</v>
      </c>
      <c r="BB22" s="109">
        <f t="array" ref="BB22">MIN(IF('Fórmula'!B22=87,10^6,INDEX(properties!A$1:CB$87,'Fórmula'!B22,13)),IF(('Fórmula'!D22)=87,10^6,INDEX(properties!A$1:CB$87,'Fórmula'!D22,13)),IF(('Fórmula'!F22)=87,10^6,INDEX(properties!A$1:CB$87,'Fórmula'!F22,13)),IF(('Fórmula'!H22)=87,10^6,INDEX(properties!A$1:CB$87,'Fórmula'!H22,13)),IF('Fórmula'!J22=87,10^6,INDEX(properties!A$1:CB$87,'Fórmula'!J22,13)))</f>
        <v>0</v>
      </c>
      <c r="BC22" s="109">
        <f t="shared" si="9"/>
        <v>10</v>
      </c>
      <c r="BD22" s="110">
        <f t="array" ref="BD22">(('Fórmula'!C22)/('Fórmula'!C22+'Fórmula'!E22+'Fórmula'!G22+'Fórmula'!I22+'Fórmula'!K22))*(INDEX(properties!A$1:CB$87,'Fórmula'!B22,14))+(('Fórmula'!E22)/('Fórmula'!C22+'Fórmula'!E22+'Fórmula'!G22+'Fórmula'!I22+'Fórmula'!K22))*(INDEX(properties!A$1:CB$87,'Fórmula'!D22,14))+(('Fórmula'!G22)/('Fórmula'!C22+'Fórmula'!E22+'Fórmula'!G22+'Fórmula'!I22+'Fórmula'!K22))*(INDEX(properties!A$1:CB$87,'Fórmula'!F22,14))+(('Fórmula'!I22)/('Fórmula'!C22+'Fórmula'!E22+'Fórmula'!G22+'Fórmula'!I22+'Fórmula'!K22))*(INDEX(properties!A$1:CB$87,'Fórmula'!H22,14))+(('Fórmula'!K22)/('Fórmula'!C22+'Fórmula'!E22+'Fórmula'!G22+'Fórmula'!I22+'Fórmula'!K22))*(INDEX(properties!A$1:CB$87,'Fórmula'!J22,14))</f>
        <v>0</v>
      </c>
      <c r="BE22" s="110">
        <f t="array" ref="BE22">'Fórmula'!C22*(INDEX(properties!A$1:CB$87,'Fórmula'!B22,14))+'Fórmula'!E22*(INDEX(properties!A$1:CB$87,'Fórmula'!D22,14))+'Fórmula'!G22*(INDEX(properties!A$1:CB$87,'Fórmula'!F22,14))+'Fórmula'!I22*(INDEX(properties!A$1:CB$87,'Fórmula'!H22,14))+'Fórmula'!K22*(INDEX(properties!A$1:CB$87,'Fórmula'!J22,14))</f>
        <v>0</v>
      </c>
      <c r="BF22" s="110">
        <f t="array" ref="BF22">VARP(IF(INDEX(properties!A$1:CB$87,'Fórmula'!B22,14)&lt;&gt;"",INDEX(properties!A$1:CB$87,'Fórmula'!B22,14)),IF(INDEX(properties!A$1:CB$87,'Fórmula'!D22,14)&lt;&gt;"",INDEX(properties!A$1:CB$87,'Fórmula'!D22,14)),IF(INDEX(properties!A$1:CB$87,'Fórmula'!F22,14)&lt;&gt;"",INDEX(properties!A$1:CB$87,'Fórmula'!F22,14)),IF(INDEX(properties!A$1:CB$87,'Fórmula'!H22,14)&lt;&gt;"",INDEX(properties!A$1:CB$87,'Fórmula'!H22,14)),IF(INDEX(properties!A$1:CB$87,'Fórmula'!J22,14)&lt;&gt;"",INDEX(properties!A$1:CB$87,'Fórmula'!J22,14)))</f>
        <v>0</v>
      </c>
      <c r="BG22" s="110">
        <f t="array" ref="BG22">MAX(INDEX(properties!A$1:CB$87,'Fórmula'!B22,14),INDEX(properties!A$1:CB$87,'Fórmula'!D22,14),INDEX(properties!A$1:CB$87,'Fórmula'!F22,14),INDEX(properties!A$1:CB$87,'Fórmula'!H22,14),INDEX(properties!A$1:CB$87,'Fórmula'!J22,14))</f>
        <v>0</v>
      </c>
      <c r="BH22" s="110">
        <f t="array" ref="BH22">MIN(IF('Fórmula'!B22=87,10^6,INDEX(properties!A$1:CB$87,'Fórmula'!B22,14)),IF(('Fórmula'!D22)=87,10^6,INDEX(properties!A$1:CB$87,'Fórmula'!D22,14)),IF(('Fórmula'!F22)=87,10^6,INDEX(properties!A$1:CB$87,'Fórmula'!F22,14)),IF(('Fórmula'!H22)=87,10^6,INDEX(properties!A$1:CB$87,'Fórmula'!H22,14)),IF('Fórmula'!J22=87,10^6,INDEX(properties!A$1:CB$87,'Fórmula'!J22,14)))</f>
        <v>0</v>
      </c>
      <c r="BI22" s="110">
        <f t="shared" si="10"/>
        <v>0</v>
      </c>
      <c r="BJ22" s="111">
        <f t="array" ref="BJ22">(('Fórmula'!C22)/('Fórmula'!C22+'Fórmula'!E22+'Fórmula'!G22+'Fórmula'!I22+'Fórmula'!K22))*(INDEX(properties!A$1:CB$87,'Fórmula'!B22,19))+(('Fórmula'!E22)/('Fórmula'!C22+'Fórmula'!E22+'Fórmula'!G22+'Fórmula'!I22+'Fórmula'!K22))*(INDEX(properties!A$1:CB$87,'Fórmula'!D22,19))+(('Fórmula'!G22)/('Fórmula'!C22+'Fórmula'!E22+'Fórmula'!G22+'Fórmula'!I22+'Fórmula'!K22))*(INDEX(properties!A$1:CB$87,'Fórmula'!F22,19))+(('Fórmula'!I22)/('Fórmula'!C22+'Fórmula'!E22+'Fórmula'!G22+'Fórmula'!I22+'Fórmula'!K22))*(INDEX(properties!A$1:CB$87,'Fórmula'!H22,19))+(('Fórmula'!K22)/('Fórmula'!C22+'Fórmula'!E22+'Fórmula'!G22+'Fórmula'!I22+'Fórmula'!K22))*(INDEX(properties!A$1:CB$87,'Fórmula'!J22,19))</f>
        <v>7.166666667</v>
      </c>
      <c r="BK22" s="111">
        <f t="array" ref="BK22">'Fórmula'!C22*(INDEX(properties!A$1:CB$87,'Fórmula'!B22,19))+'Fórmula'!E22*(INDEX(properties!A$1:CB$87,'Fórmula'!D22,19))+'Fórmula'!G22*(INDEX(properties!A$1:CB$87,'Fórmula'!F22,19))+'Fórmula'!I22*(INDEX(properties!A$1:CB$87,'Fórmula'!H22,19))+'Fórmula'!K22*(INDEX(properties!A$1:CB$87,'Fórmula'!J22,19))</f>
        <v>86</v>
      </c>
      <c r="BL22" s="111">
        <f t="array" ref="BL22">VARP(IF(INDEX(properties!A$1:CB$87,'Fórmula'!B22,19)&lt;&gt;"",INDEX(properties!A$1:CB$87,'Fórmula'!B22,19)),IF(INDEX(properties!A$1:CB$87,'Fórmula'!D22,19)&lt;&gt;"",INDEX(properties!A$1:CB$87,'Fórmula'!D22,19)),IF(INDEX(properties!A$1:CB$87,'Fórmula'!F22,19)&lt;&gt;"",INDEX(properties!A$1:CB$87,'Fórmula'!F22,19)),IF(INDEX(properties!A$1:CB$87,'Fórmula'!H22,19)&lt;&gt;"",INDEX(properties!A$1:CB$87,'Fórmula'!H22,19)),IF(INDEX(properties!A$1:CB$87,'Fórmula'!J22,19)&lt;&gt;"",INDEX(properties!A$1:CB$87,'Fórmula'!J22,19)))</f>
        <v>9.04</v>
      </c>
      <c r="BM22" s="111">
        <f t="array" ref="BM22">MAX(INDEX(properties!A$1:CB$87,'Fórmula'!B22,19),INDEX(properties!A$1:CB$87,'Fórmula'!D22,19),INDEX(properties!A$1:CB$87,'Fórmula'!F22,19),INDEX(properties!A$1:CB$87,'Fórmula'!H22,19),INDEX(properties!A$1:CB$87,'Fórmula'!J22,19))</f>
        <v>12</v>
      </c>
      <c r="BN22" s="111">
        <f t="array" ref="BN22">MIN(IF(INDEX(properties!A$1:CB$87,'Fórmula'!B22,19)=0,10^6,INDEX(properties!A$1:CB$87,'Fórmula'!B22,19)),IF(INDEX(properties!A$1:CB$87,'Fórmula'!D22,19)=0,10^6,INDEX(properties!A$1:CB$87,'Fórmula'!D22,19)),IF(INDEX(properties!A$1:CB$87,'Fórmula'!F22,19)=0,10^6,INDEX(properties!A$1:CB$87,'Fórmula'!F22,19)),IF(INDEX(properties!A$1:CB$87,'Fórmula'!H22,19)=0,10^6,INDEX(properties!A$1:CB$87,'Fórmula'!H22,19)),IF(INDEX(properties!A$1:CB$87,'Fórmula'!J22,19)=0,10^6,INDEX(properties!A$1:CB$87,'Fórmula'!J22,19)))</f>
        <v>3</v>
      </c>
      <c r="BO22" s="111">
        <f t="shared" si="11"/>
        <v>9</v>
      </c>
      <c r="BP22" s="112">
        <f t="array" ref="BP22">(('Fórmula'!C22)/('Fórmula'!C22+'Fórmula'!E22+'Fórmula'!G22+'Fórmula'!I22+'Fórmula'!K22))*(INDEX(properties!A$1:CB$87,'Fórmula'!B22,20))+(('Fórmula'!E22)/('Fórmula'!C22+'Fórmula'!E22+'Fórmula'!G22+'Fórmula'!I22+'Fórmula'!K22))*(INDEX(properties!A$1:CB$87,'Fórmula'!D22,20))+(('Fórmula'!G22)/('Fórmula'!C22+'Fórmula'!E22+'Fórmula'!G22+'Fórmula'!I22+'Fórmula'!K22))*(INDEX(properties!A$1:CB$87,'Fórmula'!F22,20))+(('Fórmula'!I22)/('Fórmula'!C22+'Fórmula'!E22+'Fórmula'!G22+'Fórmula'!I22+'Fórmula'!K22))*(INDEX(properties!A$1:CB$87,'Fórmula'!H22,20))+(('Fórmula'!K22)/('Fórmula'!C22+'Fórmula'!E22+'Fórmula'!G22+'Fórmula'!I22+'Fórmula'!K22))*(INDEX(properties!A$1:CB$87,'Fórmula'!J22,20))</f>
        <v>4.666666667</v>
      </c>
      <c r="BQ22" s="112">
        <f t="array" ref="BQ22">'Fórmula'!C22*(INDEX(properties!A$1:CB$87,'Fórmula'!B22,20))+'Fórmula'!E22*(INDEX(properties!A$1:CB$87,'Fórmula'!D22,20))+'Fórmula'!G22*(INDEX(properties!A$1:CB$87,'Fórmula'!F22,20))+'Fórmula'!I22*(INDEX(properties!A$1:CB$87,'Fórmula'!H22,20))+'Fórmula'!K22*(INDEX(properties!A$1:CB$87,'Fórmula'!J22,20))</f>
        <v>56</v>
      </c>
      <c r="BR22" s="112">
        <f t="array" ref="BR22">VARP(IF(INDEX(properties!A$1:CB$87,'Fórmula'!B22,20)&lt;&gt;"",INDEX(properties!A$1:CB$87,'Fórmula'!B22,20)),IF(INDEX(properties!A$1:CB$87,'Fórmula'!D22,20)&lt;&gt;"",INDEX(properties!A$1:CB$87,'Fórmula'!D22,20)),IF(INDEX(properties!A$1:CB$87,'Fórmula'!F22,20)&lt;&gt;"",INDEX(properties!A$1:CB$87,'Fórmula'!F22,20)),IF(INDEX(properties!A$1:CB$87,'Fórmula'!H22,20)&lt;&gt;"",INDEX(properties!A$1:CB$87,'Fórmula'!H22,20)),IF(INDEX(properties!A$1:CB$87,'Fórmula'!J22,20)&lt;&gt;"",INDEX(properties!A$1:CB$87,'Fórmula'!J22,20)))</f>
        <v>2.64</v>
      </c>
      <c r="BS22" s="112">
        <f t="array" ref="BS22">MAX(INDEX(properties!A$1:CB$87,'Fórmula'!B22,20),INDEX(properties!A$1:CB$87,'Fórmula'!D22,20),INDEX(properties!A$1:CB$87,'Fórmula'!F22,20),INDEX(properties!A$1:CB$87,'Fórmula'!H22,20),INDEX(properties!A$1:CB$87,'Fórmula'!J22,20))</f>
        <v>6</v>
      </c>
      <c r="BT22" s="112">
        <f t="array" ref="BT22">MIN(IF(INDEX(properties!A$1:CB$87,'Fórmula'!B22,20)=0,10^6,INDEX(properties!A$1:CB$87,'Fórmula'!B22,20)),IF(INDEX(properties!A$1:CB$87,'Fórmula'!D22,20)=0,10^6,INDEX(properties!A$1:CB$87,'Fórmula'!D22,20)),IF(INDEX(properties!A$1:CB$87,'Fórmula'!F22,20)=0,10^6,INDEX(properties!A$1:CB$87,'Fórmula'!F22,20)),IF(INDEX(properties!A$1:CB$87,'Fórmula'!H22,20)=0,10^6,INDEX(properties!A$1:CB$87,'Fórmula'!H22,20)),IF(INDEX(properties!A$1:CB$87,'Fórmula'!J22,20)=0,10^6,INDEX(properties!A$1:CB$87,'Fórmula'!J22,20)))</f>
        <v>2</v>
      </c>
      <c r="BU22" s="112">
        <f t="shared" si="12"/>
        <v>4</v>
      </c>
      <c r="BV22" s="113">
        <f t="array" ref="BV22">(('Fórmula'!C22)/('Fórmula'!C22+'Fórmula'!E22+'Fórmula'!G22+'Fórmula'!I22+'Fórmula'!K22))*(INDEX(properties!A$1:CB$87,'Fórmula'!B22,21))+(('Fórmula'!E22)/('Fórmula'!C22+'Fórmula'!E22+'Fórmula'!G22+'Fórmula'!I22+'Fórmula'!K22))*(INDEX(properties!A$1:CB$87,'Fórmula'!D22,21))+(('Fórmula'!G22)/('Fórmula'!C22+'Fórmula'!E22+'Fórmula'!G22+'Fórmula'!I22+'Fórmula'!K22))*(INDEX(properties!A$1:CB$87,'Fórmula'!F22,21))+(('Fórmula'!I22)/('Fórmula'!C22+'Fórmula'!E22+'Fórmula'!G22+'Fórmula'!I22+'Fórmula'!K22))*(INDEX(properties!A$1:CB$87,'Fórmula'!H22,21))+(('Fórmula'!K22)/('Fórmula'!C22+'Fórmula'!E22+'Fórmula'!G22+'Fórmula'!I22+'Fórmula'!K22))*(INDEX(properties!A$1:CB$87,'Fórmula'!J22,21))</f>
        <v>4.416666667</v>
      </c>
      <c r="BW22" s="113">
        <f t="array" ref="BW22">'Fórmula'!C22*(INDEX(properties!A$1:CB$87,'Fórmula'!B22,21))+'Fórmula'!E22*(INDEX(properties!A$1:CB$87,'Fórmula'!D22,21))+'Fórmula'!G22*(INDEX(properties!A$1:CB$87,'Fórmula'!F22,21))+'Fórmula'!I22*(INDEX(properties!A$1:CB$87,'Fórmula'!H22,21))+'Fórmula'!K22*(INDEX(properties!A$1:CB$87,'Fórmula'!J22,21))</f>
        <v>53</v>
      </c>
      <c r="BX22" s="113">
        <f t="array" ref="BX22">VARP(IF(INDEX(properties!A$1:CB$87,'Fórmula'!B22,21)&lt;&gt;"",INDEX(properties!A$1:CB$87,'Fórmula'!B22,21)),IF(INDEX(properties!A$1:CB$87,'Fórmula'!D22,21)&lt;&gt;"",INDEX(properties!A$1:CB$87,'Fórmula'!D22,21)),IF(INDEX(properties!A$1:CB$87,'Fórmula'!F22,21)&lt;&gt;"",INDEX(properties!A$1:CB$87,'Fórmula'!F22,21)),IF(INDEX(properties!A$1:CB$87,'Fórmula'!H22,21)&lt;&gt;"",INDEX(properties!A$1:CB$87,'Fórmula'!H22,21)),IF(INDEX(properties!A$1:CB$87,'Fórmula'!J22,21)&lt;&gt;"",INDEX(properties!A$1:CB$87,'Fórmula'!J22,21)))</f>
        <v>3.76</v>
      </c>
      <c r="BY22" s="113">
        <f t="array" ref="BY22">MAX(INDEX(properties!A$1:CB$87,'Fórmula'!B22,21),INDEX(properties!A$1:CB$87,'Fórmula'!D22,21),INDEX(properties!A$1:CB$87,'Fórmula'!F22,21),INDEX(properties!A$1:CB$87,'Fórmula'!H22,21),INDEX(properties!A$1:CB$87,'Fórmula'!J22,21))</f>
        <v>6</v>
      </c>
      <c r="BZ22" s="113">
        <f t="array" ref="BZ22">MIN(IF(INDEX(properties!A$1:CB$87,'Fórmula'!B22,21)=0,10^6,INDEX(properties!A$1:CB$87,'Fórmula'!B22,21)),IF(INDEX(properties!A$1:CB$87,'Fórmula'!D22,21)=0,10^6,INDEX(properties!A$1:CB$87,'Fórmula'!D22,21)),IF(INDEX(properties!A$1:CB$87,'Fórmula'!F22,21)=0,10^6,INDEX(properties!A$1:CB$87,'Fórmula'!F22,21)),IF(INDEX(properties!A$1:CB$87,'Fórmula'!H22,21)=0,10^6,INDEX(properties!A$1:CB$87,'Fórmula'!H22,21)),IF(INDEX(properties!A$1:CB$87,'Fórmula'!J22,21)=0,10^6,INDEX(properties!A$1:CB$87,'Fórmula'!J22,21)))</f>
        <v>1</v>
      </c>
      <c r="CA22" s="113">
        <f t="shared" si="13"/>
        <v>5</v>
      </c>
      <c r="CB22" s="114">
        <f t="array" ref="CB22">(('Fórmula'!C22)/('Fórmula'!C22+'Fórmula'!E22+'Fórmula'!G22+'Fórmula'!I22+'Fórmula'!K22))*(INDEX(properties!A$1:CB$87,'Fórmula'!B22,23))+(('Fórmula'!E22)/('Fórmula'!C22+'Fórmula'!E22+'Fórmula'!G22+'Fórmula'!I22+'Fórmula'!K22))*(INDEX(properties!A$1:CB$87,'Fórmula'!D22,23))+(('Fórmula'!G22)/('Fórmula'!C22+'Fórmula'!E22+'Fórmula'!G22+'Fórmula'!I22+'Fórmula'!K22))*(INDEX(properties!A$1:CB$87,'Fórmula'!F22,23))+(('Fórmula'!I22)/('Fórmula'!C22+'Fórmula'!E22+'Fórmula'!G22+'Fórmula'!I22+'Fórmula'!K22))*(INDEX(properties!A$1:CB$87,'Fórmula'!H22,23))+(('Fórmula'!K22)/('Fórmula'!C22+'Fórmula'!E22+'Fórmula'!G22+'Fórmula'!I22+'Fórmula'!K22))*(INDEX(properties!A$1:CB$87,'Fórmula'!J22,23))</f>
        <v>1.61</v>
      </c>
      <c r="CC22" s="114">
        <f t="array" ref="CC22">'Fórmula'!C22*(INDEX(properties!A$1:CB$87,'Fórmula'!B22,23))+'Fórmula'!E22*(INDEX(properties!A$1:CB$87,'Fórmula'!D22,23))+'Fórmula'!G22*(INDEX(properties!A$1:CB$87,'Fórmula'!F22,23))+'Fórmula'!I22*(INDEX(properties!A$1:CB$87,'Fórmula'!H22,23))+'Fórmula'!K22*(INDEX(properties!A$1:CB$87,'Fórmula'!J22,23))</f>
        <v>19.32</v>
      </c>
      <c r="CD22" s="114">
        <f t="array" ref="CD22">VARP(IF(INDEX(properties!A$1:CB$87,'Fórmula'!B22,23)&lt;&gt;"",INDEX(properties!A$1:CB$87,'Fórmula'!B22,23)),IF(INDEX(properties!A$1:CB$87,'Fórmula'!D22,23)&lt;&gt;"",INDEX(properties!A$1:CB$87,'Fórmula'!D22,23)),IF(INDEX(properties!A$1:CB$87,'Fórmula'!F22,23)&lt;&gt;"",INDEX(properties!A$1:CB$87,'Fórmula'!F22,23)),IF(INDEX(properties!A$1:CB$87,'Fórmula'!H22,23)&lt;&gt;"",INDEX(properties!A$1:CB$87,'Fórmula'!H22,23)),IF(INDEX(properties!A$1:CB$87,'Fórmula'!J22,23)&lt;&gt;"",INDEX(properties!A$1:CB$87,'Fórmula'!J22,23)))</f>
        <v>3.182976</v>
      </c>
      <c r="CE22" s="114">
        <f t="array" ref="CE22">MAX(INDEX(properties!A$1:CB$87,'Fórmula'!B22,23),INDEX(properties!A$1:CB$87,'Fórmula'!D22,23),INDEX(properties!A$1:CB$87,'Fórmula'!F22,23),INDEX(properties!A$1:CB$87,'Fórmula'!H22,23),INDEX(properties!A$1:CB$87,'Fórmula'!J22,23))</f>
        <v>4.44</v>
      </c>
      <c r="CF22" s="114">
        <f t="array" ref="CF22">MIN(IF('Fórmula'!B22=87,10^6,INDEX(properties!A$1:CB$87,'Fórmula'!B22,23)),IF(('Fórmula'!D22)=87,10^6,INDEX(properties!A$1:CB$87,'Fórmula'!D22,23)),IF(('Fórmula'!F22)=87,10^6,INDEX(properties!A$1:CB$87,'Fórmula'!F22,23)),IF(('Fórmula'!H22)=87,10^6,INDEX(properties!A$1:CB$87,'Fórmula'!H22,23)),IF('Fórmula'!J22=87,10^6,INDEX(properties!A$1:CB$87,'Fórmula'!J22,23)))</f>
        <v>0</v>
      </c>
      <c r="CG22" s="114">
        <f t="shared" si="14"/>
        <v>4.44</v>
      </c>
      <c r="CH22" s="115">
        <f t="array" ref="CH22">(('Fórmula'!C22)/('Fórmula'!C22+'Fórmula'!E22+'Fórmula'!G22+'Fórmula'!I22+'Fórmula'!K22))*(INDEX(properties!A$1:CB$87,'Fórmula'!B22,26))+(('Fórmula'!E22)/('Fórmula'!C22+'Fórmula'!E22+'Fórmula'!G22+'Fórmula'!I22+'Fórmula'!K22))*(INDEX(properties!A$1:CB$87,'Fórmula'!D22,26))+(('Fórmula'!G22)/('Fórmula'!C22+'Fórmula'!E22+'Fórmula'!G22+'Fórmula'!I22+'Fórmula'!K22))*(INDEX(properties!A$1:CB$87,'Fórmula'!F22,26))+(('Fórmula'!I22)/('Fórmula'!C22+'Fórmula'!E22+'Fórmula'!G22+'Fórmula'!I22+'Fórmula'!K22))*(INDEX(properties!A$1:CB$87,'Fórmula'!H22,26))+(('Fórmula'!K22)/('Fórmula'!C22+'Fórmula'!E22+'Fórmula'!G22+'Fórmula'!I22+'Fórmula'!K22))*(INDEX(properties!A$1:CB$87,'Fórmula'!J22,26))</f>
        <v>11.85783333</v>
      </c>
      <c r="CI22" s="115">
        <f t="array" ref="CI22">'Fórmula'!C22*(INDEX(properties!A$1:CB$87,'Fórmula'!B22,26))+'Fórmula'!E22*(INDEX(properties!A$1:CB$87,'Fórmula'!D22,26))+'Fórmula'!G22*(INDEX(properties!A$1:CB$87,'Fórmula'!F22,26))+'Fórmula'!I22*(INDEX(properties!A$1:CB$87,'Fórmula'!H22,26))+'Fórmula'!K22*(INDEX(properties!A$1:CB$87,'Fórmula'!J22,26))</f>
        <v>142.294</v>
      </c>
      <c r="CJ22" s="115">
        <f t="array" ref="CJ22">VARP(IF(INDEX(properties!A$1:CB$87,'Fórmula'!B22,26)&lt;&gt;"",INDEX(properties!A$1:CB$87,'Fórmula'!B22,26)),IF(INDEX(properties!A$1:CB$87,'Fórmula'!D22,26)&lt;&gt;"",INDEX(properties!A$1:CB$87,'Fórmula'!D22,26)),IF(INDEX(properties!A$1:CB$87,'Fórmula'!F22,26)&lt;&gt;"",INDEX(properties!A$1:CB$87,'Fórmula'!F22,26)),IF(INDEX(properties!A$1:CB$87,'Fórmula'!H22,26)&lt;&gt;"",INDEX(properties!A$1:CB$87,'Fórmula'!H22,26)),IF(INDEX(properties!A$1:CB$87,'Fórmula'!J22,26)&lt;&gt;"",INDEX(properties!A$1:CB$87,'Fórmula'!J22,26)))</f>
        <v>4.76346163</v>
      </c>
      <c r="CK22" s="116">
        <f t="array" ref="CK22">MAX(INDEX(properties!A$1:CB$87,'Fórmula'!B22,26),INDEX(properties!A$1:CB$87,'Fórmula'!D22,26),INDEX(properties!A$1:CB$87,'Fórmula'!F22,26),INDEX(properties!A$1:CB$87,'Fórmula'!H22,26),INDEX(properties!A$1:CB$87,'Fórmula'!J22,26))</f>
        <v>13.6181</v>
      </c>
      <c r="CL22" s="116">
        <f t="array" ref="CL22">MIN(IF(INDEX(properties!A$1:CB$87,'Fórmula'!B22,26)=0,10^6,INDEX(properties!A$1:CB$87,'Fórmula'!B22,26)),IF(INDEX(properties!A$1:CB$87,'Fórmula'!D22,26)=0,10^6,INDEX(properties!A$1:CB$87,'Fórmula'!D22,26)),IF(INDEX(properties!A$1:CB$87,'Fórmula'!F22,26)=0,10^6,INDEX(properties!A$1:CB$87,'Fórmula'!F22,26)),IF(INDEX(properties!A$1:CB$87,'Fórmula'!H22,26)=0,10^6,INDEX(properties!A$1:CB$87,'Fórmula'!H22,26)),IF(INDEX(properties!A$1:CB$87,'Fórmula'!J22,26)=0,10^6,INDEX(properties!A$1:CB$87,'Fórmula'!J22,26)))</f>
        <v>8.298</v>
      </c>
      <c r="CM22" s="115">
        <f t="shared" si="15"/>
        <v>5.3201</v>
      </c>
      <c r="CN22" s="117">
        <f t="array" ref="CN22">(('Fórmula'!C22)/('Fórmula'!C22+'Fórmula'!E22+'Fórmula'!G22+'Fórmula'!I22+'Fórmula'!K22))*(INDEX(properties!A$1:CB$87,'Fórmula'!B22,30))+(('Fórmula'!E22)/('Fórmula'!C22+'Fórmula'!E22+'Fórmula'!G22+'Fórmula'!I22+'Fórmula'!K22))*(INDEX(properties!A$1:CB$87,'Fórmula'!D22,30))+(('Fórmula'!G22)/('Fórmula'!C22+'Fórmula'!E22+'Fórmula'!G22+'Fórmula'!I22+'Fórmula'!K22))*(INDEX(properties!A$1:CB$87,'Fórmula'!F22,30))+(('Fórmula'!I22)/('Fórmula'!C22+'Fórmula'!E22+'Fórmula'!G22+'Fórmula'!I22+'Fórmula'!K22))*(INDEX(properties!A$1:CB$87,'Fórmula'!H22,30))+(('Fórmula'!K22)/('Fórmula'!C22+'Fórmula'!E22+'Fórmula'!G22+'Fórmula'!I22+'Fórmula'!K22))*(INDEX(properties!A$1:CB$87,'Fórmula'!J22,30))</f>
        <v>2.771666667</v>
      </c>
      <c r="CO22" s="117">
        <f t="array" ref="CO22">'Fórmula'!C22*(INDEX(properties!A$1:CB$87,'Fórmula'!B22,30))+'Fórmula'!E22*(INDEX(properties!A$1:CB$87,'Fórmula'!D22,30))+'Fórmula'!G22*(INDEX(properties!A$1:CB$87,'Fórmula'!F22,30))+'Fórmula'!I22*(INDEX(properties!A$1:CB$87,'Fórmula'!H22,30))+'Fórmula'!K22*(INDEX(properties!A$1:CB$87,'Fórmula'!J22,30))</f>
        <v>33.26</v>
      </c>
      <c r="CP22" s="117">
        <f t="array" ref="CP22">VARP(IF(INDEX(properties!A$1:CB$87,'Fórmula'!B22,30)&lt;&gt;"",INDEX(properties!A$1:CB$87,'Fórmula'!B22,30)),IF(INDEX(properties!A$1:CB$87,'Fórmula'!D22,30)&lt;&gt;"",INDEX(properties!A$1:CB$87,'Fórmula'!D22,30)),IF(INDEX(properties!A$1:CB$87,'Fórmula'!F22,30)&lt;&gt;"",INDEX(properties!A$1:CB$87,'Fórmula'!F22,30)),IF(INDEX(properties!A$1:CB$87,'Fórmula'!H22,30)&lt;&gt;"",INDEX(properties!A$1:CB$87,'Fórmula'!H22,30)),IF(INDEX(properties!A$1:CB$87,'Fórmula'!J22,30)&lt;&gt;"",INDEX(properties!A$1:CB$87,'Fórmula'!J22,30)))</f>
        <v>0.556776</v>
      </c>
      <c r="CQ22" s="117">
        <f t="array" ref="CQ22">MAX(INDEX(properties!A$1:CB$87,'Fórmula'!B22,30),INDEX(properties!A$1:CB$87,'Fórmula'!D22,30),INDEX(properties!A$1:CB$87,'Fórmula'!F22,30),INDEX(properties!A$1:CB$87,'Fórmula'!H22,30),INDEX(properties!A$1:CB$87,'Fórmula'!J22,30))</f>
        <v>3.44</v>
      </c>
      <c r="CR22" s="117">
        <f t="array" ref="CR22">MIN(IF(INDEX(properties!A$1:CB$87,'Fórmula'!B22,30)=0,10^6,INDEX(properties!A$1:CB$87,'Fórmula'!B22,30)),IF(INDEX(properties!A$1:CB$87,'Fórmula'!D22,30)=0,10^6,INDEX(properties!A$1:CB$87,'Fórmula'!D22,30)),IF(INDEX(properties!A$1:CB$87,'Fórmula'!F22,30)=0,10^6,INDEX(properties!A$1:CB$87,'Fórmula'!F22,30)),IF(INDEX(properties!A$1:CB$87,'Fórmula'!H22,30)=0,10^6,INDEX(properties!A$1:CB$87,'Fórmula'!H22,30)),IF(INDEX(properties!A$1:CB$87,'Fórmula'!J22,30)=0,10^6,INDEX(properties!A$1:CB$87,'Fórmula'!J22,30)))</f>
        <v>1.65</v>
      </c>
      <c r="CS22" s="117">
        <f t="shared" si="16"/>
        <v>1.79</v>
      </c>
      <c r="CT22" s="118">
        <f t="array" ref="CT22">(('Fórmula'!C22)/('Fórmula'!C22+'Fórmula'!E22+'Fórmula'!G22+'Fórmula'!I22+'Fórmula'!K22))*(INDEX(properties!A$1:CB$87,'Fórmula'!B22,31))+(('Fórmula'!E22)/('Fórmula'!C22+'Fórmula'!E22+'Fórmula'!G22+'Fórmula'!I22+'Fórmula'!K22))*(INDEX(properties!A$1:CB$87,'Fórmula'!D22,31))+(('Fórmula'!G22)/('Fórmula'!C22+'Fórmula'!E22+'Fórmula'!G22+'Fórmula'!I22+'Fórmula'!K22))*(INDEX(properties!A$1:CB$87,'Fórmula'!F22,31))+(('Fórmula'!I22)/('Fórmula'!C22+'Fórmula'!E22+'Fórmula'!G22+'Fórmula'!I22+'Fórmula'!K22))*(INDEX(properties!A$1:CB$87,'Fórmula'!H22,31))+(('Fórmula'!K22)/('Fórmula'!C22+'Fórmula'!E22+'Fórmula'!G22+'Fórmula'!I22+'Fórmula'!K22))*(INDEX(properties!A$1:CB$87,'Fórmula'!J22,31))</f>
        <v>2.648333333</v>
      </c>
      <c r="CU22" s="118">
        <f t="array" ref="CU22">'Fórmula'!C22*(INDEX(properties!A$1:CB$87,'Fórmula'!B22,31))+'Fórmula'!E22*(INDEX(properties!A$1:CB$87,'Fórmula'!D22,31))+'Fórmula'!G22*(INDEX(properties!A$1:CB$87,'Fórmula'!F22,31))+'Fórmula'!I22*(INDEX(properties!A$1:CB$87,'Fórmula'!H22,31))+'Fórmula'!K22*(INDEX(properties!A$1:CB$87,'Fórmula'!J22,31))</f>
        <v>31.78</v>
      </c>
      <c r="CV22" s="118">
        <f t="array" ref="CV22">VARP(IF(INDEX(properties!A$1:CB$87,'Fórmula'!B22,31)&lt;&gt;"",INDEX(properties!A$1:CB$87,'Fórmula'!B22,31)),IF(INDEX(properties!A$1:CB$87,'Fórmula'!D22,31)&lt;&gt;"",INDEX(properties!A$1:CB$87,'Fórmula'!D22,31)),IF(INDEX(properties!A$1:CB$87,'Fórmula'!F22,31)&lt;&gt;"",INDEX(properties!A$1:CB$87,'Fórmula'!F22,31)),IF(INDEX(properties!A$1:CB$87,'Fórmula'!H22,31)&lt;&gt;"",INDEX(properties!A$1:CB$87,'Fórmula'!H22,31)),IF(INDEX(properties!A$1:CB$87,'Fórmula'!J22,31)&lt;&gt;"",INDEX(properties!A$1:CB$87,'Fórmula'!J22,31)))</f>
        <v>0.57056</v>
      </c>
      <c r="CW22" s="118">
        <f t="array" ref="CW22">MAX(INDEX(properties!A$1:CB$87,'Fórmula'!B22,31),INDEX(properties!A$1:CB$87,'Fórmula'!D22,31),INDEX(properties!A$1:CB$87,'Fórmula'!F22,31),INDEX(properties!A$1:CB$87,'Fórmula'!H22,31),INDEX(properties!A$1:CB$87,'Fórmula'!J22,31))</f>
        <v>3.32</v>
      </c>
      <c r="CX22" s="118">
        <f t="array" ref="CX22">MIN(IF(INDEX(properties!A$1:CB$87,'Fórmula'!B22,31)=0,10^6,INDEX(properties!A$1:CB$87,'Fórmula'!B22,31)),IF(INDEX(properties!A$1:CB$87,'Fórmula'!D22,31)=0,10^6,INDEX(properties!A$1:CB$87,'Fórmula'!D22,31)),IF(INDEX(properties!A$1:CB$87,'Fórmula'!F22,31)=0,10^6,INDEX(properties!A$1:CB$87,'Fórmula'!F22,31)),IF(INDEX(properties!A$1:CB$87,'Fórmula'!H22,31)=0,10^6,INDEX(properties!A$1:CB$87,'Fórmula'!H22,31)),IF(INDEX(properties!A$1:CB$87,'Fórmula'!J22,31)=0,10^6,INDEX(properties!A$1:CB$87,'Fórmula'!J22,31)))</f>
        <v>1.44</v>
      </c>
      <c r="CY22" s="118">
        <f t="shared" si="17"/>
        <v>1.88</v>
      </c>
      <c r="CZ22" s="119">
        <f t="array" ref="CZ22">(('Fórmula'!C22)/('Fórmula'!C22+'Fórmula'!E22+'Fórmula'!G22+'Fórmula'!I22+'Fórmula'!K22))*(INDEX(properties!A$1:CB$87,'Fórmula'!B22,32))+(('Fórmula'!E22)/('Fórmula'!C22+'Fórmula'!E22+'Fórmula'!G22+'Fórmula'!I22+'Fórmula'!K22))*(INDEX(properties!A$1:CB$87,'Fórmula'!D22,32))+(('Fórmula'!G22)/('Fórmula'!C22+'Fórmula'!E22+'Fórmula'!G22+'Fórmula'!I22+'Fórmula'!K22))*(INDEX(properties!A$1:CB$87,'Fórmula'!F22,32))+(('Fórmula'!I22)/('Fórmula'!C22+'Fórmula'!E22+'Fórmula'!G22+'Fórmula'!I22+'Fórmula'!K22))*(INDEX(properties!A$1:CB$87,'Fórmula'!H22,32))+(('Fórmula'!K22)/('Fórmula'!C22+'Fórmula'!E22+'Fórmula'!G22+'Fórmula'!I22+'Fórmula'!K22))*(INDEX(properties!A$1:CB$87,'Fórmula'!J22,32))</f>
        <v>6.336666667</v>
      </c>
      <c r="DA22" s="119">
        <f t="array" ref="DA22">'Fórmula'!C22*(INDEX(properties!A$1:CB$87,'Fórmula'!B22,32))+'Fórmula'!E22*(INDEX(properties!A$1:CB$87,'Fórmula'!D22,32))+'Fórmula'!G22*(INDEX(properties!A$1:CB$87,'Fórmula'!F22,32))+'Fórmula'!I22*(INDEX(properties!A$1:CB$87,'Fórmula'!H22,32))+'Fórmula'!K22*(INDEX(properties!A$1:CB$87,'Fórmula'!J22,32))</f>
        <v>76.04</v>
      </c>
      <c r="DB22" s="119">
        <f t="array" ref="DB22">VARP(IF(INDEX(properties!A$1:CB$87,'Fórmula'!B22,32)&lt;&gt;"",INDEX(properties!A$1:CB$87,'Fórmula'!B22,32)),IF(INDEX(properties!A$1:CB$87,'Fórmula'!D22,32)&lt;&gt;"",INDEX(properties!A$1:CB$87,'Fórmula'!D22,32)),IF(INDEX(properties!A$1:CB$87,'Fórmula'!F22,32)&lt;&gt;"",INDEX(properties!A$1:CB$87,'Fórmula'!F22,32)),IF(INDEX(properties!A$1:CB$87,'Fórmula'!H22,32)&lt;&gt;"",INDEX(properties!A$1:CB$87,'Fórmula'!H22,32)),IF(INDEX(properties!A$1:CB$87,'Fórmula'!J22,32)&lt;&gt;"",INDEX(properties!A$1:CB$87,'Fórmula'!J22,32)))</f>
        <v>2.030296</v>
      </c>
      <c r="DC22" s="119">
        <f t="array" ref="DC22">MAX(INDEX(properties!A$1:CB$87,'Fórmula'!B22,32),INDEX(properties!A$1:CB$87,'Fórmula'!D22,32),INDEX(properties!A$1:CB$87,'Fórmula'!F22,32),INDEX(properties!A$1:CB$87,'Fórmula'!H22,32),INDEX(properties!A$1:CB$87,'Fórmula'!J22,32))</f>
        <v>7.54</v>
      </c>
      <c r="DD22" s="119">
        <f t="array" ref="DD22">MIN(IF(INDEX(properties!A$1:CB$87,'Fórmula'!B22,32)=0,10^6,INDEX(properties!A$1:CB$87,'Fórmula'!B22,32)),IF(INDEX(properties!A$1:CB$87,'Fórmula'!D22,32)=0,10^6,INDEX(properties!A$1:CB$87,'Fórmula'!D22,32)),IF(INDEX(properties!A$1:CB$87,'Fórmula'!F22,32)=0,10^6,INDEX(properties!A$1:CB$87,'Fórmula'!F22,32)),IF(INDEX(properties!A$1:CB$87,'Fórmula'!H22,32)=0,10^6,INDEX(properties!A$1:CB$87,'Fórmula'!H22,32)),IF(INDEX(properties!A$1:CB$87,'Fórmula'!J22,32)=0,10^6,INDEX(properties!A$1:CB$87,'Fórmula'!J22,32)))</f>
        <v>4.29</v>
      </c>
      <c r="DE22" s="119">
        <f t="shared" si="18"/>
        <v>3.25</v>
      </c>
      <c r="DF22" s="104">
        <f t="array" ref="DF22">(('Fórmula'!C22)/('Fórmula'!C22+'Fórmula'!E22+'Fórmula'!G22+'Fórmula'!I22+'Fórmula'!K22))*(INDEX(properties!A$1:CB$87,'Fórmula'!B22,34))+(('Fórmula'!E22)/('Fórmula'!C22+'Fórmula'!E22+'Fórmula'!G22+'Fórmula'!I22+'Fórmula'!K22))*(INDEX(properties!A$1:CB$87,'Fórmula'!D22,34))+(('Fórmula'!G22)/('Fórmula'!C22+'Fórmula'!E22+'Fórmula'!G22+'Fórmula'!I22+'Fórmula'!K22))*(INDEX(properties!A$1:CB$87,'Fórmula'!F22,34))+(('Fórmula'!I22)/('Fórmula'!C22+'Fórmula'!E22+'Fórmula'!G22+'Fórmula'!I22+'Fórmula'!K22))*(INDEX(properties!A$1:CB$87,'Fórmula'!H22,34))+(('Fórmula'!K22)/('Fórmula'!C22+'Fórmula'!E22+'Fórmula'!G22+'Fórmula'!I22+'Fórmula'!K22))*(INDEX(properties!A$1:CB$87,'Fórmula'!J22,34))</f>
        <v>2.862</v>
      </c>
      <c r="DG22" s="104">
        <f t="array" ref="DG22">'Fórmula'!C22*(INDEX(properties!A$1:CB$87,'Fórmula'!B22,34))+'Fórmula'!E22*(INDEX(properties!A$1:CB$87,'Fórmula'!D22,34))+'Fórmula'!G22*(INDEX(properties!A$1:CB$87,'Fórmula'!F22,34))+'Fórmula'!I22*(INDEX(properties!A$1:CB$87,'Fórmula'!H22,34))+'Fórmula'!K22*(INDEX(properties!A$1:CB$87,'Fórmula'!J22,34))</f>
        <v>34.344</v>
      </c>
      <c r="DH22" s="104">
        <f t="array" ref="DH22">VARP(IF(INDEX(properties!A$1:CB$87,'Fórmula'!B22,34)&lt;&gt;"",INDEX(properties!A$1:CB$87,'Fórmula'!B22,34)),IF(INDEX(properties!A$1:CB$87,'Fórmula'!D22,34)&lt;&gt;"",INDEX(properties!A$1:CB$87,'Fórmula'!D22,34)),IF(INDEX(properties!A$1:CB$87,'Fórmula'!F22,34)&lt;&gt;"",INDEX(properties!A$1:CB$87,'Fórmula'!F22,34)),IF(INDEX(properties!A$1:CB$87,'Fórmula'!H22,34)&lt;&gt;"",INDEX(properties!A$1:CB$87,'Fórmula'!H22,34)),IF(INDEX(properties!A$1:CB$87,'Fórmula'!J22,34)&lt;&gt;"",INDEX(properties!A$1:CB$87,'Fórmula'!J22,34)))</f>
        <v>0.69590216</v>
      </c>
      <c r="DI22" s="104">
        <f t="array" ref="DI22">MAX(INDEX(properties!A$1:CB$87,'Fórmula'!B22,34),INDEX(properties!A$1:CB$87,'Fórmula'!D22,34),INDEX(properties!A$1:CB$87,'Fórmula'!F22,34),INDEX(properties!A$1:CB$87,'Fórmula'!H22,34),INDEX(properties!A$1:CB$87,'Fórmula'!J22,34))</f>
        <v>3.61</v>
      </c>
      <c r="DJ22" s="104">
        <f t="array" ref="DJ22">MIN(IF(INDEX(properties!A$1:CB$87,'Fórmula'!B22,34)=0,10^6,INDEX(properties!A$1:CB$87,'Fórmula'!B22,34)),IF(INDEX(properties!A$1:CB$87,'Fórmula'!D22,34)=0,10^6,INDEX(properties!A$1:CB$87,'Fórmula'!D22,34)),IF(INDEX(properties!A$1:CB$87,'Fórmula'!F22,34)=0,10^6,INDEX(properties!A$1:CB$87,'Fórmula'!F22,34)),IF(INDEX(properties!A$1:CB$87,'Fórmula'!H22,34)=0,10^6,INDEX(properties!A$1:CB$87,'Fórmula'!H22,34)),IF(INDEX(properties!A$1:CB$87,'Fórmula'!J22,34)=0,10^6,INDEX(properties!A$1:CB$87,'Fórmula'!J22,34)))</f>
        <v>1.59</v>
      </c>
      <c r="DK22" s="104">
        <f t="shared" si="19"/>
        <v>2.02</v>
      </c>
      <c r="DL22" s="105">
        <f t="array" ref="DL22">(('Fórmula'!C22)/('Fórmula'!C22+'Fórmula'!E22+'Fórmula'!G22+'Fórmula'!I22+'Fórmula'!K22))*(INDEX(properties!A$1:CB$87,'Fórmula'!B22,37))+(('Fórmula'!E22)/('Fórmula'!C22+'Fórmula'!E22+'Fórmula'!G22+'Fórmula'!I22+'Fórmula'!K22))*(INDEX(properties!A$1:CB$87,'Fórmula'!D22,37))+(('Fórmula'!G22)/('Fórmula'!C22+'Fórmula'!E22+'Fórmula'!G22+'Fórmula'!I22+'Fórmula'!K22))*(INDEX(properties!A$1:CB$87,'Fórmula'!F22,37))+(('Fórmula'!I22)/('Fórmula'!C22+'Fórmula'!E22+'Fórmula'!G22+'Fórmula'!I22+'Fórmula'!K22))*(INDEX(properties!A$1:CB$87,'Fórmula'!H22,37))+(('Fórmula'!K22)/('Fórmula'!C22+'Fórmula'!E22+'Fórmula'!G22+'Fórmula'!I22+'Fórmula'!K22))*(INDEX(properties!A$1:CB$87,'Fórmula'!J22,37))</f>
        <v>2.645833333</v>
      </c>
      <c r="DM22" s="105">
        <f t="array" ref="DM22">'Fórmula'!C22*(INDEX(properties!A$1:CB$87,'Fórmula'!B22,37))+'Fórmula'!E22*(INDEX(properties!A$1:CB$87,'Fórmula'!D22,37))+'Fórmula'!G22*(INDEX(properties!A$1:CB$87,'Fórmula'!F22,37))+'Fórmula'!I22*(INDEX(properties!A$1:CB$87,'Fórmula'!H22,37))+'Fórmula'!K22*(INDEX(properties!A$1:CB$87,'Fórmula'!J22,37))</f>
        <v>31.75</v>
      </c>
      <c r="DN22" s="105">
        <f t="array" ref="DN22">VARP(IF(INDEX(properties!A$1:CB$87,'Fórmula'!B22,37)&lt;&gt;"",INDEX(properties!A$1:CB$87,'Fórmula'!B22,37)),IF(INDEX(properties!A$1:CB$87,'Fórmula'!D22,37)&lt;&gt;"",INDEX(properties!A$1:CB$87,'Fórmula'!D22,37)),IF(INDEX(properties!A$1:CB$87,'Fórmula'!F22,37)&lt;&gt;"",INDEX(properties!A$1:CB$87,'Fórmula'!F22,37)),IF(INDEX(properties!A$1:CB$87,'Fórmula'!H22,37)&lt;&gt;"",INDEX(properties!A$1:CB$87,'Fórmula'!H22,37)),IF(INDEX(properties!A$1:CB$87,'Fórmula'!J22,37)&lt;&gt;"",INDEX(properties!A$1:CB$87,'Fórmula'!J22,37)))</f>
        <v>0.7966</v>
      </c>
      <c r="DO22" s="105">
        <f t="array" ref="DO22">MAX(INDEX(properties!A$1:CB$87,'Fórmula'!B22,37),INDEX(properties!A$1:CB$87,'Fórmula'!D22,37),INDEX(properties!A$1:CB$87,'Fórmula'!F22,37),INDEX(properties!A$1:CB$87,'Fórmula'!H22,37),INDEX(properties!A$1:CB$87,'Fórmula'!J22,37))</f>
        <v>3.45</v>
      </c>
      <c r="DP22" s="105">
        <f t="array" ref="DP22">MIN(IF(INDEX(properties!A$1:CB$87,'Fórmula'!B22,37)=0,10^6,INDEX(properties!A$1:CB$87,'Fórmula'!B22,37)),IF(INDEX(properties!A$1:CB$87,'Fórmula'!D22,37)=0,10^6,INDEX(properties!A$1:CB$87,'Fórmula'!D22,37)),IF(INDEX(properties!A$1:CB$87,'Fórmula'!F22,37)=0,10^6,INDEX(properties!A$1:CB$87,'Fórmula'!F22,37)),IF(INDEX(properties!A$1:CB$87,'Fórmula'!H22,37)=0,10^6,INDEX(properties!A$1:CB$87,'Fórmula'!H22,37)),IF(INDEX(properties!A$1:CB$87,'Fórmula'!J22,37)=0,10^6,INDEX(properties!A$1:CB$87,'Fórmula'!J22,37)))</f>
        <v>1.2</v>
      </c>
      <c r="DQ22" s="105">
        <f t="shared" si="20"/>
        <v>2.25</v>
      </c>
      <c r="DR22" s="109">
        <f t="array" ref="DR22">(('Fórmula'!C22)/('Fórmula'!C22+'Fórmula'!E22+'Fórmula'!G22+'Fórmula'!I22+'Fórmula'!K22))*(INDEX(properties!A$1:CB$87,'Fórmula'!B22,39))+(('Fórmula'!E22)/('Fórmula'!C22+'Fórmula'!E22+'Fórmula'!G22+'Fórmula'!I22+'Fórmula'!K22))*(INDEX(properties!A$1:CB$87,'Fórmula'!D22,39))+(('Fórmula'!G22)/('Fórmula'!C22+'Fórmula'!E22+'Fórmula'!G22+'Fórmula'!I22+'Fórmula'!K22))*(INDEX(properties!A$1:CB$87,'Fórmula'!F22,39))+(('Fórmula'!I22)/('Fórmula'!C22+'Fórmula'!E22+'Fórmula'!G22+'Fórmula'!I22+'Fórmula'!K22))*(INDEX(properties!A$1:CB$87,'Fórmula'!H22,39))+(('Fórmula'!K22)/('Fórmula'!C22+'Fórmula'!E22+'Fórmula'!G22+'Fórmula'!I22+'Fórmula'!K22))*(INDEX(properties!A$1:CB$87,'Fórmula'!J22,39))</f>
        <v>0.7891666667</v>
      </c>
      <c r="DS22" s="109">
        <f t="array" ref="DS22">'Fórmula'!C22*(INDEX(properties!A$1:CB$87,'Fórmula'!B22,39))+'Fórmula'!E22*(INDEX(properties!A$1:CB$87,'Fórmula'!D22,39))+'Fórmula'!G22*(INDEX(properties!A$1:CB$87,'Fórmula'!F22,39))+'Fórmula'!I22*(INDEX(properties!A$1:CB$87,'Fórmula'!H22,39))+'Fórmula'!K22*(INDEX(properties!A$1:CB$87,'Fórmula'!J22,39))</f>
        <v>9.47</v>
      </c>
      <c r="DT22" s="109">
        <f t="array" ref="DT22">VARP(IF(INDEX(properties!A$1:CB$87,'Fórmula'!B22,39)&lt;&gt;"",INDEX(properties!A$1:CB$87,'Fórmula'!B22,39)),IF(INDEX(properties!A$1:CB$87,'Fórmula'!D22,39)&lt;&gt;"",INDEX(properties!A$1:CB$87,'Fórmula'!D22,39)),IF(INDEX(properties!A$1:CB$87,'Fórmula'!F22,39)&lt;&gt;"",INDEX(properties!A$1:CB$87,'Fórmula'!F22,39)),IF(INDEX(properties!A$1:CB$87,'Fórmula'!H22,39)&lt;&gt;"",INDEX(properties!A$1:CB$87,'Fórmula'!H22,39)),IF(INDEX(properties!A$1:CB$87,'Fórmula'!J22,39)&lt;&gt;"",INDEX(properties!A$1:CB$87,'Fórmula'!J22,39)))</f>
        <v>0.123184</v>
      </c>
      <c r="DU22" s="120">
        <f t="array" ref="DU22">MAX(INDEX(properties!A$1:CB$87,'Fórmula'!B22,39),INDEX(properties!A$1:CB$87,'Fórmula'!D22,39),INDEX(properties!A$1:CB$87,'Fórmula'!F22,39),INDEX(properties!A$1:CB$87,'Fórmula'!H22,39),INDEX(properties!A$1:CB$87,'Fórmula'!J22,39))</f>
        <v>1.42</v>
      </c>
      <c r="DV22" s="120">
        <f t="array" ref="DV22">MIN(IF(INDEX(properties!A$1:CB$87,'Fórmula'!B22,39)=0,10^6,INDEX(properties!A$1:CB$87,'Fórmula'!B22,39)),IF(INDEX(properties!A$1:CB$87,'Fórmula'!D22,39)=0,10^6,INDEX(properties!A$1:CB$87,'Fórmula'!D22,39)),IF(INDEX(properties!A$1:CB$87,'Fórmula'!F22,39)=0,10^6,INDEX(properties!A$1:CB$87,'Fórmula'!F22,39)),IF(INDEX(properties!A$1:CB$87,'Fórmula'!H22,39)=0,10^6,INDEX(properties!A$1:CB$87,'Fórmula'!H22,39)),IF(INDEX(properties!A$1:CB$87,'Fórmula'!J22,39)=0,10^6,INDEX(properties!A$1:CB$87,'Fórmula'!J22,39)))</f>
        <v>0.48</v>
      </c>
      <c r="DW22" s="109">
        <f t="shared" si="21"/>
        <v>0.94</v>
      </c>
      <c r="DX22" s="110">
        <f t="array" ref="DX22">(('Fórmula'!C22)/('Fórmula'!C22+'Fórmula'!E22+'Fórmula'!G22+'Fórmula'!I22+'Fórmula'!K22))*(INDEX(properties!A$1:CB$87,'Fórmula'!B22,40))+(('Fórmula'!E22)/('Fórmula'!C22+'Fórmula'!E22+'Fórmula'!G22+'Fórmula'!I22+'Fórmula'!K22))*(INDEX(properties!A$1:CB$87,'Fórmula'!D22,40))+(('Fórmula'!G22)/('Fórmula'!C22+'Fórmula'!E22+'Fórmula'!G22+'Fórmula'!I22+'Fórmula'!K22))*(INDEX(properties!A$1:CB$87,'Fórmula'!F22,40))+(('Fórmula'!I22)/('Fórmula'!C22+'Fórmula'!E22+'Fórmula'!G22+'Fórmula'!I22+'Fórmula'!K22))*(INDEX(properties!A$1:CB$87,'Fórmula'!H22,40))+(('Fórmula'!K22)/('Fórmula'!C22+'Fórmula'!E22+'Fórmula'!G22+'Fórmula'!I22+'Fórmula'!K22))*(INDEX(properties!A$1:CB$87,'Fórmula'!J22,40))</f>
        <v>0.91</v>
      </c>
      <c r="DY22" s="110">
        <f t="array" ref="DY22">'Fórmula'!C22*(INDEX(properties!A$1:CB$87,'Fórmula'!B22,40))+'Fórmula'!E22*(INDEX(properties!A$1:CB$87,'Fórmula'!D22,40))+'Fórmula'!G22*(INDEX(properties!A$1:CB$87,'Fórmula'!F22,40))+'Fórmula'!I22*(INDEX(properties!A$1:CB$87,'Fórmula'!H22,40))+'Fórmula'!K22*(INDEX(properties!A$1:CB$87,'Fórmula'!J22,40))</f>
        <v>10.92</v>
      </c>
      <c r="DZ22" s="110">
        <f t="array" ref="DZ22">VARP(IF(INDEX(properties!A$1:CB$87,'Fórmula'!B22,40)&lt;&gt;"",INDEX(properties!A$1:CB$87,'Fórmula'!B22,40)),IF(INDEX(properties!A$1:CB$87,'Fórmula'!D22,40)&lt;&gt;"",INDEX(properties!A$1:CB$87,'Fórmula'!D22,40)),IF(INDEX(properties!A$1:CB$87,'Fórmula'!F22,40)&lt;&gt;"",INDEX(properties!A$1:CB$87,'Fórmula'!F22,40)),IF(INDEX(properties!A$1:CB$87,'Fórmula'!H22,40)&lt;&gt;"",INDEX(properties!A$1:CB$87,'Fórmula'!H22,40)),IF(INDEX(properties!A$1:CB$87,'Fórmula'!J22,40)&lt;&gt;"",INDEX(properties!A$1:CB$87,'Fórmula'!J22,40)))</f>
        <v>0.05068</v>
      </c>
      <c r="EA22" s="121">
        <f t="array" ref="EA22">MAX(INDEX(properties!A$1:CB$87,'Fórmula'!B22,40),INDEX(properties!A$1:CB$87,'Fórmula'!D22,40),INDEX(properties!A$1:CB$87,'Fórmula'!F22,40),INDEX(properties!A$1:CB$87,'Fórmula'!H22,40),INDEX(properties!A$1:CB$87,'Fórmula'!J22,40))</f>
        <v>1.31</v>
      </c>
      <c r="EB22" s="121">
        <f t="array" ref="EB22">MIN(IF(INDEX(properties!A$1:CB$87,'Fórmula'!B22,40)=0,10^6,INDEX(properties!A$1:CB$87,'Fórmula'!B22,40)),IF(INDEX(properties!A$1:CB$87,'Fórmula'!D22,40)=0,10^6,INDEX(properties!A$1:CB$87,'Fórmula'!D22,40)),IF(INDEX(properties!A$1:CB$87,'Fórmula'!F22,40)=0,10^6,INDEX(properties!A$1:CB$87,'Fórmula'!F22,40)),IF(INDEX(properties!A$1:CB$87,'Fórmula'!H22,40)=0,10^6,INDEX(properties!A$1:CB$87,'Fórmula'!H22,40)),IF(INDEX(properties!A$1:CB$87,'Fórmula'!J22,40)=0,10^6,INDEX(properties!A$1:CB$87,'Fórmula'!J22,40)))</f>
        <v>0.73</v>
      </c>
      <c r="EC22" s="110">
        <f t="shared" si="22"/>
        <v>0.58</v>
      </c>
      <c r="ED22" s="111">
        <f t="array" ref="ED22">(('Fórmula'!C22)/('Fórmula'!C22+'Fórmula'!E22+'Fórmula'!G22+'Fórmula'!I22+'Fórmula'!K22))*(INDEX(properties!A$1:CB$87,'Fórmula'!B22,41))+(('Fórmula'!E22)/('Fórmula'!C22+'Fórmula'!E22+'Fórmula'!G22+'Fórmula'!I22+'Fórmula'!K22))*(INDEX(properties!A$1:CB$87,'Fórmula'!D22,41))+(('Fórmula'!G22)/('Fórmula'!C22+'Fórmula'!E22+'Fórmula'!G22+'Fórmula'!I22+'Fórmula'!K22))*(INDEX(properties!A$1:CB$87,'Fórmula'!F22,41))+(('Fórmula'!I22)/('Fórmula'!C22+'Fórmula'!E22+'Fórmula'!G22+'Fórmula'!I22+'Fórmula'!K22))*(INDEX(properties!A$1:CB$87,'Fórmula'!H22,41))+(('Fórmula'!K22)/('Fórmula'!C22+'Fórmula'!E22+'Fórmula'!G22+'Fórmula'!I22+'Fórmula'!K22))*(INDEX(properties!A$1:CB$87,'Fórmula'!J22,41))</f>
        <v>1.0375</v>
      </c>
      <c r="EE22" s="111">
        <f t="array" ref="EE22">'Fórmula'!C22*(INDEX(properties!A$1:CB$87,'Fórmula'!B22,41))+'Fórmula'!E22*(INDEX(properties!A$1:CB$87,'Fórmula'!D22,41))+'Fórmula'!G22*(INDEX(properties!A$1:CB$87,'Fórmula'!F22,41))+'Fórmula'!I22*(INDEX(properties!A$1:CB$87,'Fórmula'!H22,41))+'Fórmula'!K22*(INDEX(properties!A$1:CB$87,'Fórmula'!J22,41))</f>
        <v>12.45</v>
      </c>
      <c r="EF22" s="111">
        <f t="array" ref="EF22">VARP(IF(INDEX(properties!A$1:CB$87,'Fórmula'!B22,41)&lt;&gt;"",INDEX(properties!A$1:CB$87,'Fórmula'!B22,41)),IF(INDEX(properties!A$1:CB$87,'Fórmula'!D22,41)&lt;&gt;"",INDEX(properties!A$1:CB$87,'Fórmula'!D22,41)),IF(INDEX(properties!A$1:CB$87,'Fórmula'!F22,41)&lt;&gt;"",INDEX(properties!A$1:CB$87,'Fórmula'!F22,41)),IF(INDEX(properties!A$1:CB$87,'Fórmula'!H22,41)&lt;&gt;"",INDEX(properties!A$1:CB$87,'Fórmula'!H22,41)),IF(INDEX(properties!A$1:CB$87,'Fórmula'!J22,41)&lt;&gt;"",INDEX(properties!A$1:CB$87,'Fórmula'!J22,41)))</f>
        <v>0.119936</v>
      </c>
      <c r="EG22" s="122">
        <f t="array" ref="EG22">MAX(INDEX(properties!A$1:CB$87,'Fórmula'!B22,41),INDEX(properties!A$1:CB$87,'Fórmula'!D22,41),INDEX(properties!A$1:CB$87,'Fórmula'!F22,41),INDEX(properties!A$1:CB$87,'Fórmula'!H22,41),INDEX(properties!A$1:CB$87,'Fórmula'!J22,41))</f>
        <v>1.26</v>
      </c>
      <c r="EH22" s="122">
        <f t="array" ref="EH22">MIN(IF(INDEX(properties!A$1:CB$87,'Fórmula'!B22,41)=0,10^6,INDEX(properties!A$1:CB$87,'Fórmula'!B22,41)),IF(INDEX(properties!A$1:CB$87,'Fórmula'!D22,41)=0,10^6,INDEX(properties!A$1:CB$87,'Fórmula'!D22,41)),IF(INDEX(properties!A$1:CB$87,'Fórmula'!F22,41)=0,10^6,INDEX(properties!A$1:CB$87,'Fórmula'!F22,41)),IF(INDEX(properties!A$1:CB$87,'Fórmula'!H22,41)=0,10^6,INDEX(properties!A$1:CB$87,'Fórmula'!H22,41)),IF(INDEX(properties!A$1:CB$87,'Fórmula'!J22,41)=0,10^6,INDEX(properties!A$1:CB$87,'Fórmula'!J22,41)))</f>
        <v>0.41</v>
      </c>
      <c r="EI22" s="111">
        <f t="shared" si="23"/>
        <v>0.85</v>
      </c>
      <c r="EJ22" s="112">
        <f t="array" ref="EJ22">(('Fórmula'!C22)/('Fórmula'!C22+'Fórmula'!E22+'Fórmula'!G22+'Fórmula'!I22+'Fórmula'!K22))*(INDEX(properties!A$1:CB$87,'Fórmula'!B22,45))+(('Fórmula'!E22)/('Fórmula'!C22+'Fórmula'!E22+'Fórmula'!G22+'Fórmula'!I22+'Fórmula'!K22))*(INDEX(properties!A$1:CB$87,'Fórmula'!D22,45))+(('Fórmula'!G22)/('Fórmula'!C22+'Fórmula'!E22+'Fórmula'!G22+'Fórmula'!I22+'Fórmula'!K22))*(INDEX(properties!A$1:CB$87,'Fórmula'!F22,45))+(('Fórmula'!I22)/('Fórmula'!C22+'Fórmula'!E22+'Fórmula'!G22+'Fórmula'!I22+'Fórmula'!K22))*(INDEX(properties!A$1:CB$87,'Fórmula'!H22,45))+(('Fórmula'!K22)/('Fórmula'!C22+'Fórmula'!E22+'Fórmula'!G22+'Fórmula'!I22+'Fórmula'!K22))*(INDEX(properties!A$1:CB$87,'Fórmula'!J22,45))</f>
        <v>0.9141666667</v>
      </c>
      <c r="EK22" s="112">
        <f t="array" ref="EK22">'Fórmula'!C22*(INDEX(properties!A$1:CB$87,'Fórmula'!B22,45))+'Fórmula'!E22*(INDEX(properties!A$1:CB$87,'Fórmula'!D22,45))+'Fórmula'!G22*(INDEX(properties!A$1:CB$87,'Fórmula'!F22,45))+'Fórmula'!I22*(INDEX(properties!A$1:CB$87,'Fórmula'!H22,45))+'Fórmula'!K22*(INDEX(properties!A$1:CB$87,'Fórmula'!J22,45))</f>
        <v>10.97</v>
      </c>
      <c r="EL22" s="112">
        <f t="array" ref="EL22">VARP(IF(INDEX(properties!A$1:CB$87,'Fórmula'!B22,45)&lt;&gt;"",INDEX(properties!A$1:CB$87,'Fórmula'!B22,45)),IF(INDEX(properties!A$1:CB$87,'Fórmula'!D22,45)&lt;&gt;"",INDEX(properties!A$1:CB$87,'Fórmula'!D22,45)),IF(INDEX(properties!A$1:CB$87,'Fórmula'!F22,45)&lt;&gt;"",INDEX(properties!A$1:CB$87,'Fórmula'!F22,45)),IF(INDEX(properties!A$1:CB$87,'Fórmula'!H22,45)&lt;&gt;"",INDEX(properties!A$1:CB$87,'Fórmula'!H22,45)),IF(INDEX(properties!A$1:CB$87,'Fórmula'!J22,45)&lt;&gt;"",INDEX(properties!A$1:CB$87,'Fórmula'!J22,45)))</f>
        <v>0.285976</v>
      </c>
      <c r="EM22" s="123">
        <f t="array" ref="EM22">MAX(INDEX(properties!A$1:CB$87,'Fórmula'!B22,45),INDEX(properties!A$1:CB$87,'Fórmula'!D22,45),INDEX(properties!A$1:CB$87,'Fórmula'!F22,45),INDEX(properties!A$1:CB$87,'Fórmula'!H22,45),INDEX(properties!A$1:CB$87,'Fórmula'!J22,45))</f>
        <v>1.88</v>
      </c>
      <c r="EN22" s="123">
        <f t="array" ref="EN22">MIN(IF(INDEX(properties!A$1:CB$87,'Fórmula'!B22,45)=0,10^6,INDEX(properties!A$1:CB$87,'Fórmula'!B22,45)),IF(INDEX(properties!A$1:CB$87,'Fórmula'!D22,45)=0,10^6,INDEX(properties!A$1:CB$87,'Fórmula'!D22,45)),IF(INDEX(properties!A$1:CB$87,'Fórmula'!F22,45)=0,10^6,INDEX(properties!A$1:CB$87,'Fórmula'!F22,45)),IF(INDEX(properties!A$1:CB$87,'Fórmula'!H22,45)=0,10^6,INDEX(properties!A$1:CB$87,'Fórmula'!H22,45)),IF(INDEX(properties!A$1:CB$87,'Fórmula'!J22,45)=0,10^6,INDEX(properties!A$1:CB$87,'Fórmula'!J22,45)))</f>
        <v>0.47</v>
      </c>
      <c r="EO22" s="112">
        <f t="shared" si="24"/>
        <v>1.41</v>
      </c>
      <c r="EP22" s="113">
        <f t="array" ref="EP22">(('Fórmula'!C22)/('Fórmula'!C22+'Fórmula'!E22+'Fórmula'!G22+'Fórmula'!I22+'Fórmula'!K22))*(INDEX(properties!A$1:CB$87,'Fórmula'!B22,46))+(('Fórmula'!E22)/('Fórmula'!C22+'Fórmula'!E22+'Fórmula'!G22+'Fórmula'!I22+'Fórmula'!K22))*(INDEX(properties!A$1:CB$87,'Fórmula'!D22,46))+(('Fórmula'!G22)/('Fórmula'!C22+'Fórmula'!E22+'Fórmula'!G22+'Fórmula'!I22+'Fórmula'!K22))*(INDEX(properties!A$1:CB$87,'Fórmula'!F22,46))+(('Fórmula'!I22)/('Fórmula'!C22+'Fórmula'!E22+'Fórmula'!G22+'Fórmula'!I22+'Fórmula'!K22))*(INDEX(properties!A$1:CB$87,'Fórmula'!H22,46))+(('Fórmula'!K22)/('Fórmula'!C22+'Fórmula'!E22+'Fórmula'!G22+'Fórmula'!I22+'Fórmula'!K22))*(INDEX(properties!A$1:CB$87,'Fórmula'!J22,46))</f>
        <v>0.9375</v>
      </c>
      <c r="EQ22" s="113">
        <f t="array" ref="EQ22">'Fórmula'!C22*(INDEX(properties!A$1:CB$87,'Fórmula'!B22,46))+'Fórmula'!E22*(INDEX(properties!A$1:CB$87,'Fórmula'!D22,46))+'Fórmula'!G22*(INDEX(properties!A$1:CB$87,'Fórmula'!F22,46))+'Fórmula'!I22*(INDEX(properties!A$1:CB$87,'Fórmula'!H22,46))+'Fórmula'!K22*(INDEX(properties!A$1:CB$87,'Fórmula'!J22,46))</f>
        <v>11.25</v>
      </c>
      <c r="ER22" s="113">
        <f t="array" ref="ER22">VARP(IF(INDEX(properties!A$1:CB$87,'Fórmula'!B22,46)&lt;&gt;"",INDEX(properties!A$1:CB$87,'Fórmula'!B22,46)),IF(INDEX(properties!A$1:CB$87,'Fórmula'!D22,46)&lt;&gt;"",INDEX(properties!A$1:CB$87,'Fórmula'!D22,46)),IF(INDEX(properties!A$1:CB$87,'Fórmula'!F22,46)&lt;&gt;"",INDEX(properties!A$1:CB$87,'Fórmula'!F22,46)),IF(INDEX(properties!A$1:CB$87,'Fórmula'!H22,46)&lt;&gt;"",INDEX(properties!A$1:CB$87,'Fórmula'!H22,46)),IF(INDEX(properties!A$1:CB$87,'Fórmula'!J22,46)&lt;&gt;"",INDEX(properties!A$1:CB$87,'Fórmula'!J22,46)))</f>
        <v>0.173344</v>
      </c>
      <c r="ES22" s="124">
        <f t="array" ref="ES22">MAX(INDEX(properties!A$1:CB$87,'Fórmula'!B22,46),INDEX(properties!A$1:CB$87,'Fórmula'!D22,46),INDEX(properties!A$1:CB$87,'Fórmula'!F22,46),INDEX(properties!A$1:CB$87,'Fórmula'!H22,46),INDEX(properties!A$1:CB$87,'Fórmula'!J22,46))</f>
        <v>1.21</v>
      </c>
      <c r="ET22" s="124">
        <f t="array" ref="ET22">MIN(IF(INDEX(properties!A$1:CB$87,'Fórmula'!B22,46)=0,10^6,INDEX(properties!A$1:CB$87,'Fórmula'!B22,46)),IF(INDEX(properties!A$1:CB$87,'Fórmula'!D22,46)=0,10^6,INDEX(properties!A$1:CB$87,'Fórmula'!D22,46)),IF(INDEX(properties!A$1:CB$87,'Fórmula'!F22,46)=0,10^6,INDEX(properties!A$1:CB$87,'Fórmula'!F22,46)),IF(INDEX(properties!A$1:CB$87,'Fórmula'!H22,46)=0,10^6,INDEX(properties!A$1:CB$87,'Fórmula'!H22,46)),IF(INDEX(properties!A$1:CB$87,'Fórmula'!J22,46)=0,10^6,INDEX(properties!A$1:CB$87,'Fórmula'!J22,46)))</f>
        <v>0.25</v>
      </c>
      <c r="EU22" s="113">
        <f t="shared" si="25"/>
        <v>0.96</v>
      </c>
      <c r="EV22" s="114">
        <f t="array" ref="EV22">(('Fórmula'!C22)/('Fórmula'!C22+'Fórmula'!E22+'Fórmula'!G22+'Fórmula'!I22+'Fórmula'!K22))*(INDEX(properties!A$1:CB$87,'Fórmula'!B22,52))+(('Fórmula'!E22)/('Fórmula'!C22+'Fórmula'!E22+'Fórmula'!G22+'Fórmula'!I22+'Fórmula'!K22))*(INDEX(properties!A$1:CB$87,'Fórmula'!D22,52))+(('Fórmula'!G22)/('Fórmula'!C22+'Fórmula'!E22+'Fórmula'!G22+'Fórmula'!I22+'Fórmula'!K22))*(INDEX(properties!A$1:CB$87,'Fórmula'!F22,52))+(('Fórmula'!I22)/('Fórmula'!C22+'Fórmula'!E22+'Fórmula'!G22+'Fórmula'!I22+'Fórmula'!K22))*(INDEX(properties!A$1:CB$87,'Fórmula'!H22,52))+(('Fórmula'!K22)/('Fórmula'!C22+'Fórmula'!E22+'Fórmula'!G22+'Fórmula'!I22+'Fórmula'!K22))*(INDEX(properties!A$1:CB$87,'Fórmula'!J22,52))</f>
        <v>2.612583333</v>
      </c>
      <c r="EW22" s="114">
        <f t="array" ref="EW22">'Fórmula'!C22*(INDEX(properties!A$1:CB$87,'Fórmula'!B22,52))+'Fórmula'!E22*(INDEX(properties!A$1:CB$87,'Fórmula'!D22,52))+'Fórmula'!G22*(INDEX(properties!A$1:CB$87,'Fórmula'!F22,52))+'Fórmula'!I22*(INDEX(properties!A$1:CB$87,'Fórmula'!H22,52))+'Fórmula'!K22*(INDEX(properties!A$1:CB$87,'Fórmula'!J22,52))</f>
        <v>31.351</v>
      </c>
      <c r="EX22" s="114">
        <f t="array" ref="EX22">VARP(IF(INDEX(properties!A$1:CB$87,'Fórmula'!B22,52)&lt;&gt;"",INDEX(properties!A$1:CB$87,'Fórmula'!B22,52)),IF(INDEX(properties!A$1:CB$87,'Fórmula'!D22,52)&lt;&gt;"",INDEX(properties!A$1:CB$87,'Fórmula'!D22,52)),IF(INDEX(properties!A$1:CB$87,'Fórmula'!F22,52)&lt;&gt;"",INDEX(properties!A$1:CB$87,'Fórmula'!F22,52)),IF(INDEX(properties!A$1:CB$87,'Fórmula'!H22,52)&lt;&gt;"",INDEX(properties!A$1:CB$87,'Fórmula'!H22,52)),IF(INDEX(properties!A$1:CB$87,'Fórmula'!J22,52)&lt;&gt;"",INDEX(properties!A$1:CB$87,'Fórmula'!J22,52)))</f>
        <v>4.32548376</v>
      </c>
      <c r="EY22" s="114">
        <f t="array" ref="EY22">MAX(INDEX(properties!A$1:CB$87,'Fórmula'!B22,52),INDEX(properties!A$1:CB$87,'Fórmula'!D22,52),INDEX(properties!A$1:CB$87,'Fórmula'!F22,52),INDEX(properties!A$1:CB$87,'Fórmula'!H22,52),INDEX(properties!A$1:CB$87,'Fórmula'!J22,52))</f>
        <v>6.4</v>
      </c>
      <c r="EZ22" s="114">
        <f t="array" ref="EZ22">MIN(IF(INDEX(properties!A$1:CB$87,'Fórmula'!B22,52)=0,10^6,INDEX(properties!A$1:CB$87,'Fórmula'!B22,52)),IF(INDEX(properties!A$1:CB$87,'Fórmula'!D22,52)=0,10^6,INDEX(properties!A$1:CB$87,'Fórmula'!D22,52)),IF(INDEX(properties!A$1:CB$87,'Fórmula'!F22,52)=0,10^6,INDEX(properties!A$1:CB$87,'Fórmula'!F22,52)),IF(INDEX(properties!A$1:CB$87,'Fórmula'!H22,52)=0,10^6,INDEX(properties!A$1:CB$87,'Fórmula'!H22,52)),IF(INDEX(properties!A$1:CB$87,'Fórmula'!J22,52)=0,10^6,INDEX(properties!A$1:CB$87,'Fórmula'!J22,52)))</f>
        <v>0.793</v>
      </c>
      <c r="FA22" s="114">
        <f t="shared" si="26"/>
        <v>5.607</v>
      </c>
      <c r="FB22" s="115">
        <f t="array" ref="FB22">(('Fórmula'!C22)/('Fórmula'!C22+'Fórmula'!E22+'Fórmula'!G22+'Fórmula'!I22+'Fórmula'!K22))*(INDEX(properties!A$1:CB$87,'Fórmula'!B22,53))+(('Fórmula'!E22)/('Fórmula'!C22+'Fórmula'!E22+'Fórmula'!G22+'Fórmula'!I22+'Fórmula'!K22))*(INDEX(properties!A$1:CB$87,'Fórmula'!D22,53))+(('Fórmula'!G22)/('Fórmula'!C22+'Fórmula'!E22+'Fórmula'!G22+'Fórmula'!I22+'Fórmula'!K22))*(INDEX(properties!A$1:CB$87,'Fórmula'!F22,53))+(('Fórmula'!I22)/('Fórmula'!C22+'Fórmula'!E22+'Fórmula'!G22+'Fórmula'!I22+'Fórmula'!K22))*(INDEX(properties!A$1:CB$87,'Fórmula'!H22,53))+(('Fórmula'!K22)/('Fórmula'!C22+'Fórmula'!E22+'Fórmula'!G22+'Fórmula'!I22+'Fórmula'!K22))*(INDEX(properties!A$1:CB$87,'Fórmula'!J22,53))</f>
        <v>427.575</v>
      </c>
      <c r="FC22" s="115">
        <f t="array" ref="FC22">'Fórmula'!C22*(INDEX(properties!A$1:CB$87,'Fórmula'!B22,53))+'Fórmula'!E22*(INDEX(properties!A$1:CB$87,'Fórmula'!D22,53))+'Fórmula'!G22*(INDEX(properties!A$1:CB$87,'Fórmula'!F22,53))+'Fórmula'!I22*(INDEX(properties!A$1:CB$87,'Fórmula'!H22,53))+'Fórmula'!K22*(INDEX(properties!A$1:CB$87,'Fórmula'!J22,53))</f>
        <v>5130.9</v>
      </c>
      <c r="FD22" s="115">
        <f t="array" ref="FD22">VARP(IF(INDEX(properties!A$1:CB$87,'Fórmula'!B22,53)&lt;&gt;"",INDEX(properties!A$1:CB$87,'Fórmula'!B22,53)),IF(INDEX(properties!A$1:CB$87,'Fórmula'!D22,53)&lt;&gt;"",INDEX(properties!A$1:CB$87,'Fórmula'!D22,53)),IF(INDEX(properties!A$1:CB$87,'Fórmula'!F22,53)&lt;&gt;"",INDEX(properties!A$1:CB$87,'Fórmula'!F22,53)),IF(INDEX(properties!A$1:CB$87,'Fórmula'!H22,53)&lt;&gt;"",INDEX(properties!A$1:CB$87,'Fórmula'!H22,53)),IF(INDEX(properties!A$1:CB$87,'Fórmula'!J22,53)&lt;&gt;"",INDEX(properties!A$1:CB$87,'Fórmula'!J22,53)))</f>
        <v>741736.8256</v>
      </c>
      <c r="FE22" s="115">
        <f t="array" ref="FE22">MAX(INDEX(properties!A$1:CB$87,'Fórmula'!B22,53),INDEX(properties!A$1:CB$87,'Fórmula'!D22,53),INDEX(properties!A$1:CB$87,'Fórmula'!F22,53),INDEX(properties!A$1:CB$87,'Fórmula'!H22,53),INDEX(properties!A$1:CB$87,'Fórmula'!J22,53))</f>
        <v>2352.15</v>
      </c>
      <c r="FF22" s="115">
        <f t="array" ref="FF22">MIN(IF(INDEX(properties!A$1:CB$87,'Fórmula'!B22,53)=0,10^6,INDEX(properties!A$1:CB$87,'Fórmula'!B22,53)),IF(INDEX(properties!A$1:CB$87,'Fórmula'!D22,53)=0,10^6,INDEX(properties!A$1:CB$87,'Fórmula'!D22,53)),IF(INDEX(properties!A$1:CB$87,'Fórmula'!F22,53)=0,10^6,INDEX(properties!A$1:CB$87,'Fórmula'!F22,53)),IF(INDEX(properties!A$1:CB$87,'Fórmula'!H22,53)=0,10^6,INDEX(properties!A$1:CB$87,'Fórmula'!H22,53)),IF(INDEX(properties!A$1:CB$87,'Fórmula'!J22,53)=0,10^6,INDEX(properties!A$1:CB$87,'Fórmula'!J22,53)))</f>
        <v>54.75</v>
      </c>
      <c r="FG22" s="115">
        <f t="shared" si="27"/>
        <v>2297.4</v>
      </c>
      <c r="FH22" s="117">
        <f t="array" ref="FH22">(('Fórmula'!C22)/('Fórmula'!C22+'Fórmula'!E22+'Fórmula'!G22+'Fórmula'!I22+'Fórmula'!K22))*(INDEX(properties!A$1:CB$87,'Fórmula'!B22,54))+(('Fórmula'!E22)/('Fórmula'!C22+'Fórmula'!E22+'Fórmula'!G22+'Fórmula'!I22+'Fórmula'!K22))*(INDEX(properties!A$1:CB$87,'Fórmula'!D22,54))+(('Fórmula'!G22)/('Fórmula'!C22+'Fórmula'!E22+'Fórmula'!G22+'Fórmula'!I22+'Fórmula'!K22))*(INDEX(properties!A$1:CB$87,'Fórmula'!F22,54))+(('Fórmula'!I22)/('Fórmula'!C22+'Fórmula'!E22+'Fórmula'!G22+'Fórmula'!I22+'Fórmula'!K22))*(INDEX(properties!A$1:CB$87,'Fórmula'!H22,54))+(('Fórmula'!K22)/('Fórmula'!C22+'Fórmula'!E22+'Fórmula'!G22+'Fórmula'!I22+'Fórmula'!K22))*(INDEX(properties!A$1:CB$87,'Fórmula'!J22,54))</f>
        <v>749.7208333</v>
      </c>
      <c r="FI22" s="117">
        <f t="array" ref="FI22">'Fórmula'!C22*(INDEX(properties!A$1:CB$87,'Fórmula'!B22,54))+'Fórmula'!E22*(INDEX(properties!A$1:CB$87,'Fórmula'!D22,54))+'Fórmula'!G22*(INDEX(properties!A$1:CB$87,'Fórmula'!F22,54))+'Fórmula'!I22*(INDEX(properties!A$1:CB$87,'Fórmula'!H22,54))+'Fórmula'!K22*(INDEX(properties!A$1:CB$87,'Fórmula'!J22,54))</f>
        <v>8996.65</v>
      </c>
      <c r="FJ22" s="117">
        <f t="array" ref="FJ22">VARP(IF(INDEX(properties!A$1:CB$87,'Fórmula'!B22,54)&lt;&gt;"",INDEX(properties!A$1:CB$87,'Fórmula'!B22,54)),IF(INDEX(properties!A$1:CB$87,'Fórmula'!D22,54)&lt;&gt;"",INDEX(properties!A$1:CB$87,'Fórmula'!D22,54)),IF(INDEX(properties!A$1:CB$87,'Fórmula'!F22,54)&lt;&gt;"",INDEX(properties!A$1:CB$87,'Fórmula'!F22,54)),IF(INDEX(properties!A$1:CB$87,'Fórmula'!H22,54)&lt;&gt;"",INDEX(properties!A$1:CB$87,'Fórmula'!H22,54)),IF(INDEX(properties!A$1:CB$87,'Fórmula'!J22,54)&lt;&gt;"",INDEX(properties!A$1:CB$87,'Fórmula'!J22,54)))</f>
        <v>2466193.988</v>
      </c>
      <c r="FK22" s="117">
        <f t="array" ref="FK22">MAX(INDEX(properties!A$1:CB$87,'Fórmula'!B22,54),INDEX(properties!A$1:CB$87,'Fórmula'!D22,54),INDEX(properties!A$1:CB$87,'Fórmula'!F22,54),INDEX(properties!A$1:CB$87,'Fórmula'!H22,54),INDEX(properties!A$1:CB$87,'Fórmula'!J22,54))</f>
        <v>4275</v>
      </c>
      <c r="FL22" s="117">
        <f t="array" ref="FL22">MIN(IF(INDEX(properties!A$1:CB$87,'Fórmula'!B22,54)=0,10^6,INDEX(properties!A$1:CB$87,'Fórmula'!B22,54)),IF(INDEX(properties!A$1:CB$87,'Fórmula'!D22,54)=0,10^6,INDEX(properties!A$1:CB$87,'Fórmula'!D22,54)),IF(INDEX(properties!A$1:CB$87,'Fórmula'!F22,54)=0,10^6,INDEX(properties!A$1:CB$87,'Fórmula'!F22,54)),IF(INDEX(properties!A$1:CB$87,'Fórmula'!H22,54)=0,10^6,INDEX(properties!A$1:CB$87,'Fórmula'!H22,54)),IF(INDEX(properties!A$1:CB$87,'Fórmula'!J22,54)=0,10^6,INDEX(properties!A$1:CB$87,'Fórmula'!J22,54)))</f>
        <v>90.15</v>
      </c>
      <c r="FM22" s="117">
        <f t="shared" si="28"/>
        <v>4184.85</v>
      </c>
      <c r="FN22" s="118">
        <f t="array" ref="FN22">(('Fórmula'!C22)/('Fórmula'!C22+'Fórmula'!E22+'Fórmula'!G22+'Fórmula'!I22+'Fórmula'!K22))*(INDEX(properties!A$1:CB$87,'Fórmula'!B22,55))+(('Fórmula'!E22)/('Fórmula'!C22+'Fórmula'!E22+'Fórmula'!G22+'Fórmula'!I22+'Fórmula'!K22))*(INDEX(properties!A$1:CB$87,'Fórmula'!D22,55))+(('Fórmula'!G22)/('Fórmula'!C22+'Fórmula'!E22+'Fórmula'!G22+'Fórmula'!I22+'Fórmula'!K22))*(INDEX(properties!A$1:CB$87,'Fórmula'!F22,55))+(('Fórmula'!I22)/('Fórmula'!C22+'Fórmula'!E22+'Fórmula'!G22+'Fórmula'!I22+'Fórmula'!K22))*(INDEX(properties!A$1:CB$87,'Fórmula'!H22,55))+(('Fórmula'!K22)/('Fórmula'!C22+'Fórmula'!E22+'Fórmula'!G22+'Fórmula'!I22+'Fórmula'!K22))*(INDEX(properties!A$1:CB$87,'Fórmula'!J22,55))</f>
        <v>2.130000833</v>
      </c>
      <c r="FO22" s="118">
        <f t="array" ref="FO22">'Fórmula'!C22*(INDEX(properties!A$1:CB$87,'Fórmula'!B22,55))+'Fórmula'!E22*(INDEX(properties!A$1:CB$87,'Fórmula'!D22,54))+'Fórmula'!G22*(INDEX(properties!A$1:CB$87,'Fórmula'!F22,55))+'Fórmula'!I22*(INDEX(properties!A$1:CB$87,'Fórmula'!H22,55))+'Fórmula'!K22*(INDEX(properties!A$1:CB$87,'Fórmula'!J22,55))</f>
        <v>4298.22001</v>
      </c>
      <c r="FP22" s="118">
        <f t="array" ref="FP22">VARP(IF(INDEX(properties!A$1:CB$87,'Fórmula'!B22,55)&lt;&gt;"",INDEX(properties!A$1:CB$87,'Fórmula'!B22,55)),IF(INDEX(properties!A$1:CB$87,'Fórmula'!D22,55)&lt;&gt;"",INDEX(properties!A$1:CB$87,'Fórmula'!D22,55)),IF(INDEX(properties!A$1:CB$87,'Fórmula'!F22,55)&lt;&gt;"",INDEX(properties!A$1:CB$87,'Fórmula'!F22,55)),IF(INDEX(properties!A$1:CB$87,'Fórmula'!H22,55)&lt;&gt;"",INDEX(properties!A$1:CB$87,'Fórmula'!H22,55)),IF(INDEX(properties!A$1:CB$87,'Fórmula'!J22,55)&lt;&gt;"",INDEX(properties!A$1:CB$87,'Fórmula'!J22,55)))</f>
        <v>6.823833339</v>
      </c>
      <c r="FQ22" s="118">
        <f t="array" ref="FQ22">MAX(INDEX(properties!A$1:CB$87,'Fórmula'!B22,55),INDEX(properties!A$1:CB$87,'Fórmula'!D22,55),INDEX(properties!A$1:CB$87,'Fórmula'!F22,55),INDEX(properties!A$1:CB$87,'Fórmula'!H22,55),INDEX(properties!A$1:CB$87,'Fórmula'!J22,55))</f>
        <v>7.13</v>
      </c>
      <c r="FR22" s="118">
        <f t="array" ref="FR22">MIN(IF(INDEX(properties!A$1:CB$87,'Fórmula'!B22,55)=0,10^6,INDEX(properties!A$1:CB$87,'Fórmula'!B22,55)),IF(INDEX(properties!A$1:CB$87,'Fórmula'!D22,55)=0,10^6,INDEX(properties!A$1:CB$87,'Fórmula'!D22,55)),IF(INDEX(properties!A$1:CB$87,'Fórmula'!F22,55)=0,10^6,INDEX(properties!A$1:CB$87,'Fórmula'!F22,55)),IF(INDEX(properties!A$1:CB$87,'Fórmula'!H22,55)=0,10^6,INDEX(properties!A$1:CB$87,'Fórmula'!H22,55)),IF(INDEX(properties!A$1:CB$87,'Fórmula'!J22,55)=0,10^6,INDEX(properties!A$1:CB$87,'Fórmula'!J22,55)))</f>
        <v>0.00143</v>
      </c>
      <c r="FS22" s="118">
        <f t="shared" si="29"/>
        <v>7.12857</v>
      </c>
      <c r="FT22" s="119">
        <f t="array" ref="FT22">(('Fórmula'!C22)/('Fórmula'!C22+'Fórmula'!E22+'Fórmula'!G22+'Fórmula'!I22+'Fórmula'!K22))*(INDEX(properties!A$1:CB$87,'Fórmula'!B22,56))+(('Fórmula'!E22)/('Fórmula'!C22+'Fórmula'!E22+'Fórmula'!G22+'Fórmula'!I22+'Fórmula'!K22))*(INDEX(properties!A$1:CB$87,'Fórmula'!D22,56))+(('Fórmula'!G22)/('Fórmula'!C22+'Fórmula'!E22+'Fórmula'!G22+'Fórmula'!I22+'Fórmula'!K22))*(INDEX(properties!A$1:CB$87,'Fórmula'!F22,56))+(('Fórmula'!I22)/('Fórmula'!C22+'Fórmula'!E22+'Fórmula'!G22+'Fórmula'!I22+'Fórmula'!K22))*(INDEX(properties!A$1:CB$87,'Fórmula'!H22,56))+(('Fórmula'!K22)/('Fórmula'!C22+'Fórmula'!E22+'Fórmula'!G22+'Fórmula'!I22+'Fórmula'!K22))*(INDEX(properties!A$1:CB$87,'Fórmula'!J22,56))</f>
        <v>0.7833333333</v>
      </c>
      <c r="FU22" s="119">
        <f t="array" ref="FU22">'Fórmula'!C22*(INDEX(properties!A$1:CB$87,'Fórmula'!B22,56))+'Fórmula'!E22*(INDEX(properties!A$1:CB$87,'Fórmula'!D22,56))+'Fórmula'!G22*(INDEX(properties!A$1:CB$87,'Fórmula'!F22,56))+'Fórmula'!I22*(INDEX(properties!A$1:CB$87,'Fórmula'!H22,56))+'Fórmula'!K22*(INDEX(properties!A$1:CB$87,'Fórmula'!J22,56))</f>
        <v>9.4</v>
      </c>
      <c r="FV22" s="119">
        <f t="array" ref="FV22">VARP(IF(INDEX(properties!A$1:CB$87,'Fórmula'!B22,56)&lt;&gt;"",INDEX(properties!A$1:CB$87,'Fórmula'!B22,56)),IF(INDEX(properties!A$1:CB$87,'Fórmula'!D22,56)&lt;&gt;"",INDEX(properties!A$1:CB$87,'Fórmula'!D22,56)),IF(INDEX(properties!A$1:CB$87,'Fórmula'!F22,56)&lt;&gt;"",INDEX(properties!A$1:CB$87,'Fórmula'!F22,56)),IF(INDEX(properties!A$1:CB$87,'Fórmula'!H22,56)&lt;&gt;"",INDEX(properties!A$1:CB$87,'Fórmula'!H22,56)),IF(INDEX(properties!A$1:CB$87,'Fórmula'!J22,56)&lt;&gt;"",INDEX(properties!A$1:CB$87,'Fórmula'!J22,56)))</f>
        <v>0.049224</v>
      </c>
      <c r="FW22" s="119">
        <f t="array" ref="FW22">MAX(INDEX(properties!A$1:CB$87,'Fórmula'!B22,56),INDEX(properties!A$1:CB$87,'Fórmula'!D22,56),INDEX(properties!A$1:CB$87,'Fórmula'!F22,56),INDEX(properties!A$1:CB$87,'Fórmula'!H22,56),INDEX(properties!A$1:CB$87,'Fórmula'!J22,56))</f>
        <v>1.02</v>
      </c>
      <c r="FX22" s="119">
        <f t="array" ref="FX22">MIN(IF(INDEX(properties!A$1:CB$87,'Fórmula'!B22,56)=0,10^6,INDEX(properties!A$1:CB$87,'Fórmula'!B22,56)),IF(INDEX(properties!A$1:CB$87,'Fórmula'!D22,56)=0,10^6,INDEX(properties!A$1:CB$87,'Fórmula'!D22,56)),IF(INDEX(properties!A$1:CB$87,'Fórmula'!F22,56)=0,10^6,INDEX(properties!A$1:CB$87,'Fórmula'!F22,56)),IF(INDEX(properties!A$1:CB$87,'Fórmula'!H22,56)=0,10^6,INDEX(properties!A$1:CB$87,'Fórmula'!H22,56)),IF(INDEX(properties!A$1:CB$87,'Fórmula'!J22,56)=0,10^6,INDEX(properties!A$1:CB$87,'Fórmula'!J22,56)))</f>
        <v>0.39</v>
      </c>
      <c r="FY22" s="119">
        <f t="shared" si="30"/>
        <v>0.63</v>
      </c>
      <c r="FZ22" s="104">
        <f t="array" ref="FZ22">(('Fórmula'!C22)/('Fórmula'!C22+'Fórmula'!E22+'Fórmula'!G22+'Fórmula'!I22+'Fórmula'!K22))*(INDEX(properties!A$1:CB$87,'Fórmula'!B22,57))+(('Fórmula'!E22)/('Fórmula'!C22+'Fórmula'!E22+'Fórmula'!G22+'Fórmula'!I22+'Fórmula'!K22))*(INDEX(properties!A$1:CB$87,'Fórmula'!D22,57))+(('Fórmula'!G22)/('Fórmula'!C22+'Fórmula'!E22+'Fórmula'!G22+'Fórmula'!I22+'Fórmula'!K22))*(INDEX(properties!A$1:CB$87,'Fórmula'!F22,57))+(('Fórmula'!I22)/('Fórmula'!C22+'Fórmula'!E22+'Fórmula'!G22+'Fórmula'!I22+'Fórmula'!K22))*(INDEX(properties!A$1:CB$87,'Fórmula'!H22,57))+(('Fórmula'!K22)/('Fórmula'!C22+'Fórmula'!E22+'Fórmula'!G22+'Fórmula'!I22+'Fórmula'!K22))*(INDEX(properties!A$1:CB$87,'Fórmula'!J22,57))</f>
        <v>6.1984275</v>
      </c>
      <c r="GA22" s="104">
        <f t="array" ref="GA22">'Fórmula'!C22*(INDEX(properties!A$1:CB$87,'Fórmula'!B22,57))+'Fórmula'!E22*(INDEX(properties!A$1:CB$87,'Fórmula'!D22,57))+'Fórmula'!G22*(INDEX(properties!A$1:CB$87,'Fórmula'!F22,57))+'Fórmula'!I22*(INDEX(properties!A$1:CB$87,'Fórmula'!H22,57))+'Fórmula'!K22*(INDEX(properties!A$1:CB$87,'Fórmula'!J22,57))</f>
        <v>74.38113</v>
      </c>
      <c r="GB22" s="104">
        <f t="array" ref="GB22">VARP(IF(INDEX(properties!A$1:CB$87,'Fórmula'!B22,57)&lt;&gt;"",INDEX(properties!A$1:CB$87,'Fórmula'!B22,57)),IF(INDEX(properties!A$1:CB$87,'Fórmula'!D22,57)&lt;&gt;"",INDEX(properties!A$1:CB$87,'Fórmula'!D22,57)),IF(INDEX(properties!A$1:CB$87,'Fórmula'!F22,57)&lt;&gt;"",INDEX(properties!A$1:CB$87,'Fórmula'!F22,57)),IF(INDEX(properties!A$1:CB$87,'Fórmula'!H22,57)&lt;&gt;"",INDEX(properties!A$1:CB$87,'Fórmula'!H22,57)),IF(INDEX(properties!A$1:CB$87,'Fórmula'!J22,57)&lt;&gt;"",INDEX(properties!A$1:CB$87,'Fórmula'!J22,57)))</f>
        <v>377.3647059</v>
      </c>
      <c r="GC22" s="104">
        <f t="array" ref="GC22">MAX(INDEX(properties!A$1:CB$87,'Fórmula'!B22,57),INDEX(properties!A$1:CB$87,'Fórmula'!D22,57),INDEX(properties!A$1:CB$87,'Fórmula'!F22,57),INDEX(properties!A$1:CB$87,'Fórmula'!H22,57),INDEX(properties!A$1:CB$87,'Fórmula'!J22,57))</f>
        <v>50.2</v>
      </c>
      <c r="GD22" s="104">
        <f t="array" ref="GD22">MIN(IF(INDEX(properties!A$1:CB$87,'Fórmula'!B22,57)=0,10^6,INDEX(properties!A$1:CB$87,'Fórmula'!B22,57)),IF(INDEX(properties!A$1:CB$87,'Fórmula'!D22,57)=0,10^6,INDEX(properties!A$1:CB$87,'Fórmula'!D22,57)),IF(INDEX(properties!A$1:CB$87,'Fórmula'!F22,57)=0,10^6,INDEX(properties!A$1:CB$87,'Fórmula'!F22,57)),IF(INDEX(properties!A$1:CB$87,'Fórmula'!H22,57)=0,10^6,INDEX(properties!A$1:CB$87,'Fórmula'!H22,57)),IF(INDEX(properties!A$1:CB$87,'Fórmula'!J22,57)=0,10^6,INDEX(properties!A$1:CB$87,'Fórmula'!J22,57)))</f>
        <v>0.22259</v>
      </c>
      <c r="GE22" s="104">
        <f t="shared" si="31"/>
        <v>49.97741</v>
      </c>
      <c r="GF22" s="105">
        <f t="array" ref="GF22">(('Fórmula'!C22)/('Fórmula'!C22+'Fórmula'!E22+'Fórmula'!G22+'Fórmula'!I22+'Fórmula'!K22))*(INDEX(properties!A$1:CB$87,'Fórmula'!B22,60))+(('Fórmula'!E22)/('Fórmula'!C22+'Fórmula'!E22+'Fórmula'!G22+'Fórmula'!I22+'Fórmula'!K22))*(INDEX(properties!A$1:CB$87,'Fórmula'!D22,60))+(('Fórmula'!G22)/('Fórmula'!C22+'Fórmula'!E22+'Fórmula'!G22+'Fórmula'!I22+'Fórmula'!K22))*(INDEX(properties!A$1:CB$87,'Fórmula'!F22,60))+(('Fórmula'!I22)/('Fórmula'!C22+'Fórmula'!E22+'Fórmula'!G22+'Fórmula'!I22+'Fórmula'!K22))*(INDEX(properties!A$1:CB$87,'Fórmula'!H22,60))+(('Fórmula'!K22)/('Fórmula'!C22+'Fórmula'!E22+'Fórmula'!G22+'Fórmula'!I22+'Fórmula'!K22))*(INDEX(properties!A$1:CB$87,'Fórmula'!J22,60))</f>
        <v>31.28518167</v>
      </c>
      <c r="GG22" s="105">
        <f t="array" ref="GG22">'Fórmula'!C22*(INDEX(properties!A$1:CB$87,'Fórmula'!B22,60))+'Fórmula'!E22*(INDEX(properties!A$1:CB$87,'Fórmula'!D22,60))+'Fórmula'!G22*(INDEX(properties!A$1:CB$87,'Fórmula'!F22,60))+'Fórmula'!I22*(INDEX(properties!A$1:CB$87,'Fórmula'!H22,60))+'Fórmula'!K22*(INDEX(properties!A$1:CB$87,'Fórmula'!J22,60))</f>
        <v>375.42218</v>
      </c>
      <c r="GH22" s="105">
        <f t="array" ref="GH22">VARP(IF(INDEX(properties!A$1:CB$87,'Fórmula'!B22,60)&lt;&gt;"",INDEX(properties!A$1:CB$87,'Fórmula'!B22,60)),IF(INDEX(properties!A$1:CB$87,'Fórmula'!D22,60)&lt;&gt;"",INDEX(properties!A$1:CB$87,'Fórmula'!D22,60)),IF(INDEX(properties!A$1:CB$87,'Fórmula'!F22,60)&lt;&gt;"",INDEX(properties!A$1:CB$87,'Fórmula'!F22,60)),IF(INDEX(properties!A$1:CB$87,'Fórmula'!H22,60)&lt;&gt;"",INDEX(properties!A$1:CB$87,'Fórmula'!H22,60)),IF(INDEX(properties!A$1:CB$87,'Fórmula'!J22,60)&lt;&gt;"",INDEX(properties!A$1:CB$87,'Fórmula'!J22,60)))</f>
        <v>2015.747791</v>
      </c>
      <c r="GI22" s="105">
        <f t="array" ref="GI22">MAX(INDEX(properties!A$1:CB$87,'Fórmula'!B22,60),INDEX(properties!A$1:CB$87,'Fórmula'!D22,60),INDEX(properties!A$1:CB$87,'Fórmula'!F22,60),INDEX(properties!A$1:CB$87,'Fórmula'!H22,60),INDEX(properties!A$1:CB$87,'Fórmula'!J22,60))</f>
        <v>116</v>
      </c>
      <c r="GJ22" s="105">
        <f t="array" ref="GJ22">MIN(IF(INDEX(properties!A$1:CB$87,'Fórmula'!B22,60)=0,10^6,INDEX(properties!A$1:CB$87,'Fórmula'!B22,60)),IF(INDEX(properties!A$1:CB$87,'Fórmula'!D22,60)=0,10^6,INDEX(properties!A$1:CB$87,'Fórmula'!D22,60)),IF(INDEX(properties!A$1:CB$87,'Fórmula'!F22,60)=0,10^6,INDEX(properties!A$1:CB$87,'Fórmula'!F22,60)),IF(INDEX(properties!A$1:CB$87,'Fórmula'!H22,60)=0,10^6,INDEX(properties!A$1:CB$87,'Fórmula'!H22,60)),IF(INDEX(properties!A$1:CB$87,'Fórmula'!J22,60)=0,10^6,INDEX(properties!A$1:CB$87,'Fórmula'!J22,60)))</f>
        <v>0.02674</v>
      </c>
      <c r="GK22" s="105">
        <f t="shared" si="32"/>
        <v>115.97326</v>
      </c>
      <c r="GL22" s="106">
        <f t="array" ref="GL22">(('Fórmula'!C22)/('Fórmula'!C22+'Fórmula'!E22+'Fórmula'!G22+'Fórmula'!I22+'Fórmula'!K22))*(INDEX(properties!A$1:CB$87,'Fórmula'!B22,62))+(('Fórmula'!E22)/('Fórmula'!C22+'Fórmula'!E22+'Fórmula'!G22+'Fórmula'!I22+'Fórmula'!K22))*(INDEX(properties!A$1:CB$87,'Fórmula'!D22,62))+(('Fórmula'!G22)/('Fórmula'!C22+'Fórmula'!E22+'Fórmula'!G22+'Fórmula'!I22+'Fórmula'!K22))*(INDEX(properties!A$1:CB$87,'Fórmula'!F22,62))+(('Fórmula'!I22)/('Fórmula'!C22+'Fórmula'!E22+'Fórmula'!G22+'Fórmula'!I22+'Fórmula'!K22))*(INDEX(properties!A$1:CB$87,'Fórmula'!H22,62))+(('Fórmula'!K22)/('Fórmula'!C22+'Fórmula'!E22+'Fórmula'!G22+'Fórmula'!I22+'Fórmula'!K22))*(INDEX(properties!A$1:CB$87,'Fórmula'!J22,62))</f>
        <v>2.635833333</v>
      </c>
      <c r="GM22" s="106">
        <f t="array" ref="GM22">'Fórmula'!C22*(INDEX(properties!A$1:CB$87,'Fórmula'!B22,62))+'Fórmula'!E22*(INDEX(properties!A$1:CB$87,'Fórmula'!D22,62))+'Fórmula'!G22*(INDEX(properties!A$1:CB$87,'Fórmula'!F22,62))+'Fórmula'!I22*(INDEX(properties!A$1:CB$87,'Fórmula'!H22,62))+'Fórmula'!K22*(INDEX(properties!A$1:CB$87,'Fórmula'!J22,62))</f>
        <v>31.63</v>
      </c>
      <c r="GN22" s="106">
        <f t="array" ref="GN22">VARP(IF(INDEX(properties!A$1:CB$87,'Fórmula'!B22,62)&lt;&gt;"",INDEX(properties!A$1:CB$87,'Fórmula'!B22,62)),IF(INDEX(properties!A$1:CB$87,'Fórmula'!D22,62)&lt;&gt;"",INDEX(properties!A$1:CB$87,'Fórmula'!D22,62)),IF(INDEX(properties!A$1:CB$87,'Fórmula'!F22,62)&lt;&gt;"",INDEX(properties!A$1:CB$87,'Fórmula'!F22,62)),IF(INDEX(properties!A$1:CB$87,'Fórmula'!H22,62)&lt;&gt;"",INDEX(properties!A$1:CB$87,'Fórmula'!H22,62)),IF(INDEX(properties!A$1:CB$87,'Fórmula'!J22,62)&lt;&gt;"",INDEX(properties!A$1:CB$87,'Fórmula'!J22,62)))</f>
        <v>2.190904</v>
      </c>
      <c r="GO22" s="106">
        <f t="array" ref="GO22">MAX(INDEX(properties!A$1:CB$87,'Fórmula'!B22,62),INDEX(properties!A$1:CB$87,'Fórmula'!D22,62),INDEX(properties!A$1:CB$87,'Fórmula'!F22,62),INDEX(properties!A$1:CB$87,'Fórmula'!H22,62),INDEX(properties!A$1:CB$87,'Fórmula'!J22,62))</f>
        <v>5.81</v>
      </c>
      <c r="GP22" s="106">
        <f t="array" ref="GP22">MIN(IF(INDEX(properties!A$1:CB$87,'Fórmula'!B22,62)=0,10^6,INDEX(properties!A$1:CB$87,'Fórmula'!B22,62)),IF(INDEX(properties!A$1:CB$87,'Fórmula'!D22,62)=0,10^6,INDEX(properties!A$1:CB$87,'Fórmula'!D22,62)),IF(INDEX(properties!A$1:CB$87,'Fórmula'!F22,62)=0,10^6,INDEX(properties!A$1:CB$87,'Fórmula'!F22,62)),IF(INDEX(properties!A$1:CB$87,'Fórmula'!H22,62)=0,10^6,INDEX(properties!A$1:CB$87,'Fórmula'!H22,62)),IF(INDEX(properties!A$1:CB$87,'Fórmula'!J22,62)=0,10^6,INDEX(properties!A$1:CB$87,'Fórmula'!J22,62)))</f>
        <v>1.35</v>
      </c>
      <c r="GQ22" s="106">
        <f t="shared" si="33"/>
        <v>4.46</v>
      </c>
      <c r="GR22" s="106">
        <f>'Fórmula'!Q22</f>
        <v>174</v>
      </c>
      <c r="GS22" s="107">
        <f>'Fórmula'!P22</f>
        <v>5</v>
      </c>
      <c r="GT22" s="113">
        <f>'Fórmula'!O22</f>
        <v>4.3</v>
      </c>
      <c r="GU22" s="114">
        <f>AVERAGE('Fórmula'!R22/'Fórmula'!S22,'Fórmula'!S22/'Fórmula'!T22,'Fórmula'!T22/'Fórmula'!R22)</f>
        <v>1.063959321</v>
      </c>
      <c r="GV22" s="125">
        <f>'Fórmula'!U22</f>
        <v>810.51</v>
      </c>
      <c r="GW22" s="106">
        <f>'Fórmula'!N22</f>
        <v>0.12</v>
      </c>
    </row>
    <row r="23" ht="14.25" customHeight="1">
      <c r="A23" s="99" t="str">
        <f>'Fórmula'!A23</f>
        <v>YBO3</v>
      </c>
      <c r="B23" s="100">
        <f t="array" ref="B23">(('Fórmula'!C23)/('Fórmula'!C23+'Fórmula'!E23+'Fórmula'!G23+'Fórmula'!I23+'Fórmula'!K23))*(INDEX(properties!A$1:CB$87,'Fórmula'!B23,3))+(('Fórmula'!E23)/('Fórmula'!C23+'Fórmula'!E23+'Fórmula'!G23+'Fórmula'!I23+'Fórmula'!K23))*(INDEX(properties!A$1:CB$87,'Fórmula'!D23,3))+(('Fórmula'!G23)/('Fórmula'!C23+'Fórmula'!E23+'Fórmula'!G23+'Fórmula'!I23+'Fórmula'!K23))*(INDEX(properties!A$1:CB$87,'Fórmula'!F23,3))+(('Fórmula'!I23)/('Fórmula'!C23+'Fórmula'!E23+'Fórmula'!G23+'Fórmula'!I23+'Fórmula'!K23))*(INDEX(properties!A$1:CB$87,'Fórmula'!H23,3))+(('Fórmula'!K23)/('Fórmula'!C23+'Fórmula'!E23+'Fórmula'!G23+'Fórmula'!I23+'Fórmula'!K23))*(INDEX(properties!A$1:CB$87,'Fórmula'!J23,3))</f>
        <v>29.543008</v>
      </c>
      <c r="C23" s="101">
        <f t="array" ref="C23">'Fórmula'!C23*(INDEX(properties!A$1:CB$87,'Fórmula'!B23,3))+'Fórmula'!E23*(INDEX(properties!A$1:CB$87,'Fórmula'!D23,3))+'Fórmula'!G23*(INDEX(properties!A$1:CB$87,'Fórmula'!F23,3))+'Fórmula'!I23*(INDEX(properties!A$1:CB$87,'Fórmula'!H23,3))+'Fórmula'!K23*(INDEX(properties!A$1:CB$87,'Fórmula'!J23,3))</f>
        <v>147.71504</v>
      </c>
      <c r="D23" s="101">
        <f t="array" ref="D23">VARP(IF(INDEX(properties!A$1:CB$87,'Fórmula'!B23,3)&lt;&gt;"",INDEX(properties!A$1:CB$87,'Fórmula'!B23,3)),IF(INDEX(properties!A$1:CB$87,'Fórmula'!D23,3)&lt;&gt;"",INDEX(properties!A$1:CB$87,'Fórmula'!D23,3)),IF(INDEX(properties!A$1:CB$87,'Fórmula'!F23,3)&lt;&gt;"",INDEX(properties!A$1:CB$87,'Fórmula'!F23,3)),IF(INDEX(properties!A$1:CB$87,'Fórmula'!H23,3)&lt;&gt;"",INDEX(properties!A$1:CB$87,'Fórmula'!H23,3)),IF(INDEX(properties!A$1:CB$87,'Fórmula'!J23,3)&lt;&gt;"",INDEX(properties!A$1:CB$87,'Fórmula'!J23,3)))</f>
        <v>1119.811454</v>
      </c>
      <c r="E23" s="101">
        <f t="array" ref="E23">MAX(INDEX(properties!A$1:CB$87,'Fórmula'!B23,3),INDEX(properties!A$1:CB$87,'Fórmula'!D23,3),INDEX(properties!A$1:CB$87,'Fórmula'!F23,3),INDEX(properties!A$1:CB$87,'Fórmula'!H23,3),INDEX(properties!A$1:CB$87,'Fórmula'!J23,3))</f>
        <v>88.90584</v>
      </c>
      <c r="F23" s="101">
        <f t="array" ref="F23">MIN(IF(INDEX(properties!A$1:CB$87,'Fórmula'!B23,3)=0,10^6,INDEX(properties!A$1:CB$87,'Fórmula'!B23,3)),IF(INDEX(properties!A$1:CB$87,'Fórmula'!D23,3)=0,10^6,INDEX(properties!A$1:CB$87,'Fórmula'!D23,3)),IF(INDEX(properties!A$1:CB$87,'Fórmula'!F23,3)=0,10^6,INDEX(properties!A$1:CB$87,'Fórmula'!F23,3)),IF(INDEX(properties!A$1:CB$87,'Fórmula'!H23,3)=0,10^6,INDEX(properties!A$1:CB$87,'Fórmula'!H23,3)),IF(INDEX(properties!A$1:CB$87,'Fórmula'!J23,3)=0,10^6,INDEX(properties!A$1:CB$87,'Fórmula'!J23,3)))</f>
        <v>10.811</v>
      </c>
      <c r="G23" s="101">
        <f t="shared" si="1"/>
        <v>78.09484</v>
      </c>
      <c r="H23" s="102">
        <f t="array" ref="H23">(('Fórmula'!C23)/('Fórmula'!C23+'Fórmula'!E23+'Fórmula'!G23+'Fórmula'!I23+'Fórmula'!K23))*(INDEX(properties!A$1:CB$87,'Fórmula'!B23,4))+(('Fórmula'!E23)/('Fórmula'!C23+'Fórmula'!E23+'Fórmula'!G23+'Fórmula'!I23+'Fórmula'!K23))*(INDEX(properties!A$1:CB$87,'Fórmula'!D23,4))+(('Fórmula'!G23)/('Fórmula'!C23+'Fórmula'!E23+'Fórmula'!G23+'Fórmula'!I23+'Fórmula'!K23))*(INDEX(properties!A$1:CB$87,'Fórmula'!F23,4))+(('Fórmula'!I23)/('Fórmula'!C23+'Fórmula'!E23+'Fórmula'!G23+'Fórmula'!I23+'Fórmula'!K23))*(INDEX(properties!A$1:CB$87,'Fórmula'!H23,4))+(('Fórmula'!K23)/('Fórmula'!C23+'Fórmula'!E23+'Fórmula'!G23+'Fórmula'!I23+'Fórmula'!K23))*(INDEX(properties!A$1:CB$87,'Fórmula'!J23,4))</f>
        <v>13.6</v>
      </c>
      <c r="I23" s="102">
        <f t="array" ref="I23">'Fórmula'!C23*(INDEX(properties!A$1:CB$87,'Fórmula'!B23,4))+'Fórmula'!E23*(INDEX(properties!A$1:CB$87,'Fórmula'!D23,4))+'Fórmula'!G23*(INDEX(properties!A$1:CB$87,'Fórmula'!F23,4))+'Fórmula'!I23*(INDEX(properties!A$1:CB$87,'Fórmula'!H23,4))+'Fórmula'!K23*(INDEX(properties!A$1:CB$87,'Fórmula'!J23,4))</f>
        <v>68</v>
      </c>
      <c r="J23" s="102">
        <f t="array" ref="J23">VARP(IF(INDEX(properties!A$1:CB$87,'Fórmula'!B23,4)&lt;&gt;"",INDEX(properties!A$1:CB$87,'Fórmula'!B23,4)),IF(INDEX(properties!A$1:CB$87,'Fórmula'!D23,4)&lt;&gt;"",INDEX(properties!A$1:CB$87,'Fórmula'!D23,4)),IF(INDEX(properties!A$1:CB$87,'Fórmula'!F23,4)&lt;&gt;"",INDEX(properties!A$1:CB$87,'Fórmula'!F23,4)),IF(INDEX(properties!A$1:CB$87,'Fórmula'!H23,4)&lt;&gt;"",INDEX(properties!A$1:CB$87,'Fórmula'!H23,4)),IF(INDEX(properties!A$1:CB$87,'Fórmula'!J23,4)&lt;&gt;"",INDEX(properties!A$1:CB$87,'Fórmula'!J23,4)))</f>
        <v>213.84</v>
      </c>
      <c r="K23" s="102">
        <f t="array" ref="K23">MAX(INDEX(properties!A$1:CB$87,'Fórmula'!B23,4),INDEX(properties!A$1:CB$87,'Fórmula'!D23,4),INDEX(properties!A$1:CB$87,'Fórmula'!F23,4),INDEX(properties!A$1:CB$87,'Fórmula'!H23,4),INDEX(properties!A$1:CB$87,'Fórmula'!J23,4))</f>
        <v>39</v>
      </c>
      <c r="L23" s="102">
        <f t="array" ref="L23">MIN(IF(INDEX(properties!A$1:CB$87,'Fórmula'!B23,4)=0,10^6,INDEX(properties!A$1:CB$87,'Fórmula'!B23,4)),IF(INDEX(properties!A$1:CB$87,'Fórmula'!D23,4)=0,10^6,INDEX(properties!A$1:CB$87,'Fórmula'!D23,4)),IF(INDEX(properties!A$1:CB$87,'Fórmula'!F23,4)=0,10^6,INDEX(properties!A$1:CB$87,'Fórmula'!F23,4)),IF(INDEX(properties!A$1:CB$87,'Fórmula'!H23,4)=0,10^6,INDEX(properties!A$1:CB$87,'Fórmula'!H23,4)),IF(INDEX(properties!A$1:CB$87,'Fórmula'!J23,4)=0,10^6,INDEX(properties!A$1:CB$87,'Fórmula'!J23,4)))</f>
        <v>5</v>
      </c>
      <c r="M23" s="102">
        <f t="shared" si="2"/>
        <v>34</v>
      </c>
      <c r="N23" s="103">
        <f t="array" ref="N23">(('Fórmula'!C23)/('Fórmula'!C23+'Fórmula'!E23+'Fórmula'!G23+'Fórmula'!I23+'Fórmula'!K23))*(INDEX(properties!A$1:CB$87,'Fórmula'!B23,5))+(('Fórmula'!E23)/('Fórmula'!C23+'Fórmula'!E23+'Fórmula'!G23+'Fórmula'!I23+'Fórmula'!K23))*(INDEX(properties!A$1:CB$87,'Fórmula'!D23,5))+(('Fórmula'!G23)/('Fórmula'!C23+'Fórmula'!E23+'Fórmula'!G23+'Fórmula'!I23+'Fórmula'!K23))*(INDEX(properties!A$1:CB$87,'Fórmula'!F23,5))+(('Fórmula'!I23)/('Fórmula'!C23+'Fórmula'!E23+'Fórmula'!G23+'Fórmula'!I23+'Fórmula'!K23))*(INDEX(properties!A$1:CB$87,'Fórmula'!H23,5))+(('Fórmula'!K23)/('Fórmula'!C23+'Fórmula'!E23+'Fórmula'!G23+'Fórmula'!I23+'Fórmula'!K23))*(INDEX(properties!A$1:CB$87,'Fórmula'!J23,5))</f>
        <v>2.6</v>
      </c>
      <c r="O23" s="103">
        <f t="array" ref="O23">'Fórmula'!C23*(INDEX(properties!A$1:CB$87,'Fórmula'!B23,5))+'Fórmula'!E23*(INDEX(properties!A$1:CB$87,'Fórmula'!D23,5))+'Fórmula'!G23*(INDEX(properties!A$1:CB$87,'Fórmula'!F23,5))+'Fórmula'!I23*(INDEX(properties!A$1:CB$87,'Fórmula'!H23,5))+'Fórmula'!K23*(INDEX(properties!A$1:CB$87,'Fórmula'!J23,5))</f>
        <v>13</v>
      </c>
      <c r="P23" s="103">
        <f t="array" ref="P23">VARP(IF(INDEX(properties!A$1:CB$87,'Fórmula'!B23,5)&lt;&gt;"",INDEX(properties!A$1:CB$87,'Fórmula'!B23,5)),IF(INDEX(properties!A$1:CB$87,'Fórmula'!D23,5)&lt;&gt;"",INDEX(properties!A$1:CB$87,'Fórmula'!D23,5)),IF(INDEX(properties!A$1:CB$87,'Fórmula'!F23,5)&lt;&gt;"",INDEX(properties!A$1:CB$87,'Fórmula'!F23,5)),IF(INDEX(properties!A$1:CB$87,'Fórmula'!H23,5)&lt;&gt;"",INDEX(properties!A$1:CB$87,'Fórmula'!H23,5)),IF(INDEX(properties!A$1:CB$87,'Fórmula'!J23,5)&lt;&gt;"",INDEX(properties!A$1:CB$87,'Fórmula'!J23,5)))</f>
        <v>3.36</v>
      </c>
      <c r="Q23" s="103">
        <f t="array" ref="Q23">MAX(INDEX(properties!A$1:CB$87,'Fórmula'!B23,5),INDEX(properties!A$1:CB$87,'Fórmula'!D23,5),INDEX(properties!A$1:CB$87,'Fórmula'!F23,5),INDEX(properties!A$1:CB$87,'Fórmula'!H23,5),INDEX(properties!A$1:CB$87,'Fórmula'!J23,5))</f>
        <v>5</v>
      </c>
      <c r="R23" s="103">
        <f t="array" ref="R23">MIN(IF(INDEX(properties!A$1:CB$87,'Fórmula'!B23,5)=0,10^6,INDEX(properties!A$1:CB$87,'Fórmula'!B23,5)),IF(INDEX(properties!A$1:CB$87,'Fórmula'!D23,5)=0,10^6,INDEX(properties!A$1:CB$87,'Fórmula'!D23,5)),IF(INDEX(properties!A$1:CB$87,'Fórmula'!F23,5)=0,10^6,INDEX(properties!A$1:CB$87,'Fórmula'!F23,5)),IF(INDEX(properties!A$1:CB$87,'Fórmula'!H23,5)=0,10^6,INDEX(properties!A$1:CB$87,'Fórmula'!H23,5)),IF(INDEX(properties!A$1:CB$87,'Fórmula'!J23,5)=0,10^6,INDEX(properties!A$1:CB$87,'Fórmula'!J23,5)))</f>
        <v>2</v>
      </c>
      <c r="S23" s="103">
        <f t="shared" si="3"/>
        <v>3</v>
      </c>
      <c r="T23" s="104">
        <f t="array" ref="T23">(('Fórmula'!C23)/('Fórmula'!C23+'Fórmula'!E23+'Fórmula'!G23+'Fórmula'!I23+'Fórmula'!K23))*(INDEX(properties!A$1:CB$87,'Fórmula'!B23,6))+(('Fórmula'!E23)/('Fórmula'!C23+'Fórmula'!E23+'Fórmula'!G23+'Fórmula'!I23+'Fórmula'!K23))*(INDEX(properties!A$1:CB$87,'Fórmula'!D23,6))+(('Fórmula'!G23)/('Fórmula'!C23+'Fórmula'!E23+'Fórmula'!G23+'Fórmula'!I23+'Fórmula'!K23))*(INDEX(properties!A$1:CB$87,'Fórmula'!F23,6))+(('Fórmula'!I23)/('Fórmula'!C23+'Fórmula'!E23+'Fórmula'!G23+'Fórmula'!I23+'Fórmula'!K23))*(INDEX(properties!A$1:CB$87,'Fórmula'!H23,6))+(('Fórmula'!K23)/('Fórmula'!C23+'Fórmula'!E23+'Fórmula'!G23+'Fórmula'!I23+'Fórmula'!K23))*(INDEX(properties!A$1:CB$87,'Fórmula'!J23,6))</f>
        <v>12.8</v>
      </c>
      <c r="U23" s="104">
        <f t="array" ref="U23">'Fórmula'!C23*(INDEX(properties!A$1:CB$87,'Fórmula'!B23,6))+'Fórmula'!E23*(INDEX(properties!A$1:CB$87,'Fórmula'!D23,6))+'Fórmula'!G23*(INDEX(properties!A$1:CB$87,'Fórmula'!F23,6))+'Fórmula'!I23*(INDEX(properties!A$1:CB$87,'Fórmula'!H23,6))+'Fórmula'!K23*(INDEX(properties!A$1:CB$87,'Fórmula'!J23,6))</f>
        <v>64</v>
      </c>
      <c r="V23" s="103">
        <f t="array" ref="V23">VARP(IF(INDEX(properties!A$1:CB$87,'Fórmula'!B23,6)&lt;&gt;"",INDEX(properties!A$1:CB$87,'Fórmula'!B23,6)),IF(INDEX(properties!A$1:CB$87,'Fórmula'!D23,6)&lt;&gt;"",INDEX(properties!A$1:CB$87,'Fórmula'!D23,6)),IF(INDEX(properties!A$1:CB$87,'Fórmula'!F23,6)&lt;&gt;"",INDEX(properties!A$1:CB$87,'Fórmula'!F23,6)),IF(INDEX(properties!A$1:CB$87,'Fórmula'!H23,6)&lt;&gt;"",INDEX(properties!A$1:CB$87,'Fórmula'!H23,6)),IF(INDEX(properties!A$1:CB$87,'Fórmula'!J23,6)&lt;&gt;"",INDEX(properties!A$1:CB$87,'Fórmula'!J23,6)))</f>
        <v>45.84</v>
      </c>
      <c r="W23" s="104">
        <f t="array" ref="W23">MAX(INDEX(properties!A$1:CB$87,'Fórmula'!B23,6),INDEX(properties!A$1:CB$87,'Fórmula'!D23,6),INDEX(properties!A$1:CB$87,'Fórmula'!F23,6),INDEX(properties!A$1:CB$87,'Fórmula'!H23,4),INDEX(properties!A$1:CB$87,'Fórmula'!J23,6))</f>
        <v>16</v>
      </c>
      <c r="X23" s="104">
        <f t="array" ref="X23">MIN(IF(INDEX(properties!A$1:CB$87,'Fórmula'!B23,6)=0,10^6,INDEX(properties!A$1:CB$87,'Fórmula'!B23,6)),IF(INDEX(properties!A$1:CB$87,'Fórmula'!D23,6)=0,10^6,INDEX(properties!A$1:CB$87,'Fórmula'!D23,6)),IF(INDEX(properties!A$1:CB$87,'Fórmula'!F23,6)=0,10^6,INDEX(properties!A$1:CB$87,'Fórmula'!F23,6)),IF(INDEX(properties!A$1:CB$87,'Fórmula'!H23,6)=0,10^6,INDEX(properties!A$1:CB$87,'Fórmula'!H23,6)),IF(INDEX(properties!A$1:CB$87,'Fórmula'!J23,6)=0,10^6,INDEX(properties!A$1:CB$87,'Fórmula'!J23,6)))</f>
        <v>3</v>
      </c>
      <c r="Y23" s="104">
        <f t="shared" si="4"/>
        <v>13</v>
      </c>
      <c r="Z23" s="105">
        <f t="array" ref="Z23">(('Fórmula'!C23)/('Fórmula'!C23+'Fórmula'!E23+'Fórmula'!G23+'Fórmula'!I23+'Fórmula'!K23))*(INDEX(properties!A$1:CB$87,'Fórmula'!B23,9))+(('Fórmula'!E23)/('Fórmula'!C23+'Fórmula'!E23+'Fórmula'!G23+'Fórmula'!I23+'Fórmula'!K23))*(INDEX(properties!A$1:CB$87,'Fórmula'!D23,9))+(('Fórmula'!G23)/('Fórmula'!C23+'Fórmula'!E23+'Fórmula'!G23+'Fórmula'!I23+'Fórmula'!K23))*(INDEX(properties!A$1:CB$87,'Fórmula'!F23,9))+(('Fórmula'!I23)/('Fórmula'!C23+'Fórmula'!E23+'Fórmula'!G23+'Fórmula'!I23+'Fórmula'!K23))*(INDEX(properties!A$1:CB$87,'Fórmula'!H23,9))+(('Fórmula'!K23)/('Fórmula'!C23+'Fórmula'!E23+'Fórmula'!G23+'Fórmula'!I23+'Fórmula'!K23))*(INDEX(properties!A$1:CB$87,'Fórmula'!J23,9))</f>
        <v>69</v>
      </c>
      <c r="AA23" s="105">
        <f t="array" ref="AA23">'Fórmula'!C23*(INDEX(properties!A$1:CB$87,'Fórmula'!B23,9))+'Fórmula'!E23*(INDEX(properties!A$1:CB$87,'Fórmula'!D23,9))+'Fórmula'!G23*(INDEX(properties!A$1:CB$87,'Fórmula'!F23,9))+'Fórmula'!I23*(INDEX(properties!A$1:CB$87,'Fórmula'!H23,9))+'Fórmula'!K23*(INDEX(properties!A$1:CB$87,'Fórmula'!J23,9))</f>
        <v>345</v>
      </c>
      <c r="AB23" s="105">
        <f t="array" ref="AB23">VARP(IF(INDEX(properties!A$1:CB$87,'Fórmula'!B23,9)&lt;&gt;"",INDEX(properties!A$1:CB$87,'Fórmula'!B23,9)),IF(INDEX(properties!A$1:CB$87,'Fórmula'!D23,9)&lt;&gt;"",INDEX(properties!A$1:CB$87,'Fórmula'!D23,9)),IF(INDEX(properties!A$1:CB$87,'Fórmula'!F23,9)&lt;&gt;"",INDEX(properties!A$1:CB$87,'Fórmula'!F23,9)),IF(INDEX(properties!A$1:CB$87,'Fórmula'!H23,9)&lt;&gt;"",INDEX(properties!A$1:CB$87,'Fórmula'!H23,9)),IF(INDEX(properties!A$1:CB$87,'Fórmula'!J23,9)&lt;&gt;"",INDEX(properties!A$1:CB$87,'Fórmula'!J23,9)))</f>
        <v>1409.76</v>
      </c>
      <c r="AC23" s="105">
        <f t="array" ref="AC23">MAX(INDEX(properties!A$1:CB$87,'Fórmula'!B23,9),INDEX(properties!A$1:CB$87,'Fórmula'!D23,9),INDEX(properties!A$1:CB$87,'Fórmula'!F23,9),INDEX(properties!A$1:CB$87,'Fórmula'!H23,9),INDEX(properties!A$1:CB$87,'Fórmula'!J23,9))</f>
        <v>87</v>
      </c>
      <c r="AD23" s="105">
        <f t="array" ref="AD23">MIN(IF(INDEX(properties!A$1:CB$87,'Fórmula'!B23,9)=0,10^6,INDEX(properties!A$1:CB$87,'Fórmula'!B23,9)),IF(INDEX(properties!A$1:CB$87,'Fórmula'!D23,9)=0,10^6,INDEX(properties!A$1:CB$87,'Fórmula'!D23,9)),IF(INDEX(properties!A$1:CB$87,'Fórmula'!F23,9)=0,10^6,INDEX(properties!A$1:CB$87,'Fórmula'!F23,9)),IF(INDEX(properties!A$1:CB$87,'Fórmula'!H23,9)=0,10^6,INDEX(properties!A$1:CB$87,'Fórmula'!H23,9)),IF(INDEX(properties!A$1:CB$87,'Fórmula'!J23,9)=0,10^6,INDEX(properties!A$1:CB$87,'Fórmula'!J23,9)))</f>
        <v>12</v>
      </c>
      <c r="AE23" s="105">
        <f t="shared" si="5"/>
        <v>75</v>
      </c>
      <c r="AF23" s="106">
        <f t="array" ref="AF23">(('Fórmula'!C23)/('Fórmula'!C23+'Fórmula'!E23+'Fórmula'!G23+'Fórmula'!I23+'Fórmula'!K23))*(INDEX(properties!A$1:CB$87,'Fórmula'!B23,10))+(('Fórmula'!E23)/('Fórmula'!C23+'Fórmula'!E23+'Fórmula'!G23+'Fórmula'!I23+'Fórmula'!K23))*(INDEX(properties!A$1:CB$87,'Fórmula'!D23,10))+(('Fórmula'!G23)/('Fórmula'!C23+'Fórmula'!E23+'Fórmula'!G23+'Fórmula'!I23+'Fórmula'!K23))*(INDEX(properties!A$1:CB$87,'Fórmula'!F23,10))+(('Fórmula'!I23)/('Fórmula'!C23+'Fórmula'!E23+'Fórmula'!G23+'Fórmula'!I23+'Fórmula'!K23))*(INDEX(properties!A$1:CB$87,'Fórmula'!H23,10))+(('Fórmula'!K23)/('Fórmula'!C23+'Fórmula'!E23+'Fórmula'!G23+'Fórmula'!I23+'Fórmula'!K23))*(INDEX(properties!A$1:CB$87,'Fórmula'!J23,10))</f>
        <v>6</v>
      </c>
      <c r="AG23" s="106">
        <f t="array" ref="AG23">'Fórmula'!C23*(INDEX(properties!A$1:CB$87,'Fórmula'!B23,10))+'Fórmula'!E23*(INDEX(properties!A$1:CB$87,'Fórmula'!D23,10))+'Fórmula'!G23*(INDEX(properties!A$1:CB$87,'Fórmula'!F23,10))+'Fórmula'!I23*(INDEX(properties!A$1:CB$87,'Fórmula'!H23,10))+'Fórmula'!K23*(INDEX(properties!A$1:CB$87,'Fórmula'!J23,10))</f>
        <v>30</v>
      </c>
      <c r="AH23" s="106">
        <f t="array" ref="AH23">VARP(IF(INDEX(properties!A$1:CB$87,'Fórmula'!B23,10)&lt;&gt;"",INDEX(properties!A$1:CB$87,'Fórmula'!B23,10)),IF(INDEX(properties!A$1:CB$87,'Fórmula'!D23,10)&lt;&gt;"",INDEX(properties!A$1:CB$87,'Fórmula'!D23,10)),IF(INDEX(properties!A$1:CB$87,'Fórmula'!F23,10)&lt;&gt;"",INDEX(properties!A$1:CB$87,'Fórmula'!F23,10)),IF(INDEX(properties!A$1:CB$87,'Fórmula'!H23,10)&lt;&gt;"",INDEX(properties!A$1:CB$87,'Fórmula'!H23,10)),IF(INDEX(properties!A$1:CB$87,'Fórmula'!J23,10)&lt;&gt;"",INDEX(properties!A$1:CB$87,'Fórmula'!J23,10)))</f>
        <v>8.56</v>
      </c>
      <c r="AI23" s="106">
        <f t="array" ref="AI23">MAX(INDEX(properties!A$1:CB$87,'Fórmula'!B23,10),INDEX(properties!A$1:CB$87,'Fórmula'!D23,10),INDEX(properties!A$1:CB$87,'Fórmula'!F23,10),INDEX(properties!A$1:CB$87,'Fórmula'!H23,10),INDEX(properties!A$1:CB$87,'Fórmula'!J23,10))</f>
        <v>7</v>
      </c>
      <c r="AJ23" s="106">
        <f t="array" ref="AJ23">MIN(IF(INDEX(properties!A$1:CB$87,'Fórmula'!B23,10)=0,10^6,INDEX(properties!A$1:CB$87,'Fórmula'!B23,10)),IF(INDEX(properties!A$1:CB$87,'Fórmula'!D23,10)=0,10^6,INDEX(properties!A$1:CB$87,'Fórmula'!D23,10)),IF(INDEX(properties!A$1:CB$87,'Fórmula'!F23,10)=0,10^6,INDEX(properties!A$1:CB$87,'Fórmula'!F23,10)),IF(INDEX(properties!A$1:CB$87,'Fórmula'!H23,10)=0,10^6,INDEX(properties!A$1:CB$87,'Fórmula'!H23,10)),IF(INDEX(properties!A$1:CB$87,'Fórmula'!J23,10)=0,10^6,INDEX(properties!A$1:CB$87,'Fórmula'!J23,10)))</f>
        <v>3</v>
      </c>
      <c r="AK23" s="106">
        <f t="shared" si="6"/>
        <v>4</v>
      </c>
      <c r="AL23" s="107">
        <f t="array" ref="AL23">(('Fórmula'!C23)/('Fórmula'!C23+'Fórmula'!E23+'Fórmula'!G23+'Fórmula'!I23+'Fórmula'!K23))*(INDEX(properties!A$1:CB$87,'Fórmula'!B23,11))+(('Fórmula'!E23)/('Fórmula'!C23+'Fórmula'!E23+'Fórmula'!G23+'Fórmula'!I23+'Fórmula'!K23))*(INDEX(properties!A$1:CB$87,'Fórmula'!D23,11))+(('Fórmula'!G23)/('Fórmula'!C23+'Fórmula'!E23+'Fórmula'!G23+'Fórmula'!I23+'Fórmula'!K23))*(INDEX(properties!A$1:CB$87,'Fórmula'!F23,11))+(('Fórmula'!I23)/('Fórmula'!C23+'Fórmula'!E23+'Fórmula'!G23+'Fórmula'!I23+'Fórmula'!K23))*(INDEX(properties!A$1:CB$87,'Fórmula'!H23,11))+(('Fórmula'!K23)/('Fórmula'!C23+'Fórmula'!E23+'Fórmula'!G23+'Fórmula'!I23+'Fórmula'!K23))*(INDEX(properties!A$1:CB$87,'Fórmula'!J23,11))</f>
        <v>2</v>
      </c>
      <c r="AM23" s="107">
        <f t="array" ref="AM23">'Fórmula'!C23*(INDEX(properties!A$1:CB$87,'Fórmula'!B23,11))+'Fórmula'!E23*(INDEX(properties!A$1:CB$87,'Fórmula'!D23,11))+'Fórmula'!G23*(INDEX(properties!A$1:CB$87,'Fórmula'!F23,11))+'Fórmula'!I23*(INDEX(properties!A$1:CB$87,'Fórmula'!H23,11))+'Fórmula'!K23*(INDEX(properties!A$1:CB$87,'Fórmula'!J23,11))</f>
        <v>10</v>
      </c>
      <c r="AN23" s="107">
        <f t="array" ref="AN23">VARP(IF(INDEX(properties!A$1:CB$87,'Fórmula'!B23,11)&lt;&gt;"",INDEX(properties!A$1:CB$87,'Fórmula'!B23,11)),IF(INDEX(properties!A$1:CB$87,'Fórmula'!D23,11)&lt;&gt;"",INDEX(properties!A$1:CB$87,'Fórmula'!D23,11)),IF(INDEX(properties!A$1:CB$87,'Fórmula'!F23,11)&lt;&gt;"",INDEX(properties!A$1:CB$87,'Fórmula'!F23,11)),IF(INDEX(properties!A$1:CB$87,'Fórmula'!H23,11)&lt;&gt;"",INDEX(properties!A$1:CB$87,'Fórmula'!H23,11)),IF(INDEX(properties!A$1:CB$87,'Fórmula'!J23,11)&lt;&gt;"",INDEX(properties!A$1:CB$87,'Fórmula'!J23,11)))</f>
        <v>0.96</v>
      </c>
      <c r="AO23" s="107">
        <f t="array" ref="AO23">MAX(INDEX(properties!A$1:CB$87,'Fórmula'!B23,11),INDEX(properties!A$1:CB$87,'Fórmula'!D23,11),INDEX(properties!A$1:CB$87,'Fórmula'!F23,11),INDEX(properties!A$1:CB$87,'Fórmula'!H23,11),INDEX(properties!A$1:CB$87,'Fórmula'!J23,11))</f>
        <v>2</v>
      </c>
      <c r="AP23" s="107">
        <f t="array" ref="AP23">MIN(IF('Fórmula'!B23=87,10^6,INDEX(properties!A$1:CB$87,'Fórmula'!B23,11)),IF(('Fórmula'!D23)=87,10^6,INDEX(properties!A$1:CB$87,'Fórmula'!D23,11)),IF(('Fórmula'!F23)=87,10^6,INDEX(properties!A$1:CB$87,'Fórmula'!F23,11)),IF(('Fórmula'!H23)=87,10^6,INDEX(properties!A$1:CB$87,'Fórmula'!H23,11)),IF('Fórmula'!J23=87,10^6,INDEX(properties!A$1:CB$87,'Fórmula'!J23,11)))</f>
        <v>2</v>
      </c>
      <c r="AQ23" s="107">
        <f t="shared" si="7"/>
        <v>0</v>
      </c>
      <c r="AR23" s="108">
        <f t="array" ref="AR23">(('Fórmula'!C23)/('Fórmula'!C23+'Fórmula'!E23+'Fórmula'!G23+'Fórmula'!I23+'Fórmula'!K23))*(INDEX(properties!A$1:CB$87,'Fórmula'!B23,12))+(('Fórmula'!E23)/('Fórmula'!C23+'Fórmula'!E23+'Fórmula'!G23+'Fórmula'!I23+'Fórmula'!K23))*(INDEX(properties!A$1:CB$87,'Fórmula'!D23,12))+(('Fórmula'!G23)/('Fórmula'!C23+'Fórmula'!E23+'Fórmula'!G23+'Fórmula'!I23+'Fórmula'!K23))*(INDEX(properties!A$1:CB$87,'Fórmula'!F23,12))+(('Fórmula'!I23)/('Fórmula'!C23+'Fórmula'!E23+'Fórmula'!G23+'Fórmula'!I23+'Fórmula'!K23))*(INDEX(properties!A$1:CB$87,'Fórmula'!H23,12))+(('Fórmula'!K23)/('Fórmula'!C23+'Fórmula'!E23+'Fórmula'!G23+'Fórmula'!I23+'Fórmula'!K23))*(INDEX(properties!A$1:CB$87,'Fórmula'!J23,12))</f>
        <v>2.6</v>
      </c>
      <c r="AS23" s="108">
        <f t="array" ref="AS23">'Fórmula'!C23*(INDEX(properties!A$1:CB$87,'Fórmula'!B23,12))+'Fórmula'!E23*(INDEX(properties!A$1:CB$87,'Fórmula'!D23,12))+'Fórmula'!G23*(INDEX(properties!A$1:CB$87,'Fórmula'!F23,12))+'Fórmula'!I23*(INDEX(properties!A$1:CB$87,'Fórmula'!H23,12))+'Fórmula'!K23*(INDEX(properties!A$1:CB$87,'Fórmula'!J23,12))</f>
        <v>13</v>
      </c>
      <c r="AT23" s="108">
        <f t="array" ref="AT23">VARP(IF(INDEX(properties!A$1:CB$87,'Fórmula'!B23,12)&lt;&gt;"",INDEX(properties!A$1:CB$87,'Fórmula'!B23,12)),IF(INDEX(properties!A$1:CB$87,'Fórmula'!D23,12)&lt;&gt;"",INDEX(properties!A$1:CB$87,'Fórmula'!D23,12)),IF(INDEX(properties!A$1:CB$87,'Fórmula'!F23,12)&lt;&gt;"",INDEX(properties!A$1:CB$87,'Fórmula'!F23,12)),IF(INDEX(properties!A$1:CB$87,'Fórmula'!H23,12)&lt;&gt;"",INDEX(properties!A$1:CB$87,'Fórmula'!H23,12)),IF(INDEX(properties!A$1:CB$87,'Fórmula'!J23,12)&lt;&gt;"",INDEX(properties!A$1:CB$87,'Fórmula'!J23,12)))</f>
        <v>2.4</v>
      </c>
      <c r="AU23" s="108">
        <f t="array" ref="AU23">MAX(INDEX(properties!A$1:CB$87,'Fórmula'!B23,12),INDEX(properties!A$1:CB$87,'Fórmula'!D23,12),INDEX(properties!A$1:CB$87,'Fórmula'!F23,12),INDEX(properties!A$1:CB$87,'Fórmula'!H23,12),INDEX(properties!A$1:CB$87,'Fórmula'!J23,12))</f>
        <v>4</v>
      </c>
      <c r="AV23" s="108">
        <f t="array" ref="AV23">MIN(IF('Fórmula'!B23=87,10^6,INDEX(properties!A$1:CB$87,'Fórmula'!B23,12)),IF(('Fórmula'!D23)=87,10^6,INDEX(properties!A$1:CB$87,'Fórmula'!D23,12)),IF(('Fórmula'!F23)=87,10^6,INDEX(properties!A$1:CB$87,'Fórmula'!F23,12)),IF(('Fórmula'!H23)=87,10^6,INDEX(properties!A$1:CB$87,'Fórmula'!H23,12)),IF('Fórmula'!J23=87,10^6,INDEX(properties!A$1:CB$87,'Fórmula'!J23,12)))</f>
        <v>0</v>
      </c>
      <c r="AW23" s="108">
        <f t="shared" si="8"/>
        <v>4</v>
      </c>
      <c r="AX23" s="109">
        <f t="array" ref="AX23">(('Fórmula'!C23)/('Fórmula'!C23+'Fórmula'!E23+'Fórmula'!G23+'Fórmula'!I23+'Fórmula'!K23))*(INDEX(properties!A$1:CB$87,'Fórmula'!B23,13))+(('Fórmula'!E23)/('Fórmula'!C23+'Fórmula'!E23+'Fórmula'!G23+'Fórmula'!I23+'Fórmula'!K23))*(INDEX(properties!A$1:CB$87,'Fórmula'!D23,13))+(('Fórmula'!G23)/('Fórmula'!C23+'Fórmula'!E23+'Fórmula'!G23+'Fórmula'!I23+'Fórmula'!K23))*(INDEX(properties!A$1:CB$87,'Fórmula'!F23,13))+(('Fórmula'!I23)/('Fórmula'!C23+'Fórmula'!E23+'Fórmula'!G23+'Fórmula'!I23+'Fórmula'!K23))*(INDEX(properties!A$1:CB$87,'Fórmula'!H23,13))+(('Fórmula'!K23)/('Fórmula'!C23+'Fórmula'!E23+'Fórmula'!G23+'Fórmula'!I23+'Fórmula'!K23))*(INDEX(properties!A$1:CB$87,'Fórmula'!J23,13))</f>
        <v>0.2</v>
      </c>
      <c r="AY23" s="109">
        <f t="array" ref="AY23">'Fórmula'!C23*(INDEX(properties!A$1:CB$87,'Fórmula'!B23,13))+'Fórmula'!E23*(INDEX(properties!A$1:CB$87,'Fórmula'!D23,13))+'Fórmula'!G23*(INDEX(properties!A$1:CB$87,'Fórmula'!F23,13))+'Fórmula'!I23*(INDEX(properties!A$1:CB$87,'Fórmula'!H23,13))+'Fórmula'!K23*(INDEX(properties!A$1:CB$87,'Fórmula'!J23,13))</f>
        <v>1</v>
      </c>
      <c r="AZ23" s="109">
        <f t="array" ref="AZ23">VARP(IF(INDEX(properties!A$1:CB$87,'Fórmula'!B23,13)&lt;&gt;"",INDEX(properties!A$1:CB$87,'Fórmula'!B23,13)),IF(INDEX(properties!A$1:CB$87,'Fórmula'!D23,13)&lt;&gt;"",INDEX(properties!A$1:CB$87,'Fórmula'!D23,13)),IF(INDEX(properties!A$1:CB$87,'Fórmula'!F23,13)&lt;&gt;"",INDEX(properties!A$1:CB$87,'Fórmula'!F23,13)),IF(INDEX(properties!A$1:CB$87,'Fórmula'!H23,13)&lt;&gt;"",INDEX(properties!A$1:CB$87,'Fórmula'!H23,13)),IF(INDEX(properties!A$1:CB$87,'Fórmula'!J23,13)&lt;&gt;"",INDEX(properties!A$1:CB$87,'Fórmula'!J23,13)))</f>
        <v>0.16</v>
      </c>
      <c r="BA23" s="109">
        <f t="array" ref="BA23">MAX(INDEX(properties!A$1:CB$87,'Fórmula'!B23,13),INDEX(properties!A$1:CB$87,'Fórmula'!D23,13),INDEX(properties!A$1:CB$87,'Fórmula'!F23,13),INDEX(properties!A$1:CB$87,'Fórmula'!H23,13),INDEX(properties!A$1:CB$87,'Fórmula'!J23,13))</f>
        <v>1</v>
      </c>
      <c r="BB23" s="109">
        <f t="array" ref="BB23">MIN(IF('Fórmula'!B23=87,10^6,INDEX(properties!A$1:CB$87,'Fórmula'!B23,13)),IF(('Fórmula'!D23)=87,10^6,INDEX(properties!A$1:CB$87,'Fórmula'!D23,13)),IF(('Fórmula'!F23)=87,10^6,INDEX(properties!A$1:CB$87,'Fórmula'!F23,13)),IF(('Fórmula'!H23)=87,10^6,INDEX(properties!A$1:CB$87,'Fórmula'!H23,13)),IF('Fórmula'!J23=87,10^6,INDEX(properties!A$1:CB$87,'Fórmula'!J23,13)))</f>
        <v>0</v>
      </c>
      <c r="BC23" s="109">
        <f t="shared" si="9"/>
        <v>1</v>
      </c>
      <c r="BD23" s="110">
        <f t="array" ref="BD23">(('Fórmula'!C23)/('Fórmula'!C23+'Fórmula'!E23+'Fórmula'!G23+'Fórmula'!I23+'Fórmula'!K23))*(INDEX(properties!A$1:CB$87,'Fórmula'!B23,14))+(('Fórmula'!E23)/('Fórmula'!C23+'Fórmula'!E23+'Fórmula'!G23+'Fórmula'!I23+'Fórmula'!K23))*(INDEX(properties!A$1:CB$87,'Fórmula'!D23,14))+(('Fórmula'!G23)/('Fórmula'!C23+'Fórmula'!E23+'Fórmula'!G23+'Fórmula'!I23+'Fórmula'!K23))*(INDEX(properties!A$1:CB$87,'Fórmula'!F23,14))+(('Fórmula'!I23)/('Fórmula'!C23+'Fórmula'!E23+'Fórmula'!G23+'Fórmula'!I23+'Fórmula'!K23))*(INDEX(properties!A$1:CB$87,'Fórmula'!H23,14))+(('Fórmula'!K23)/('Fórmula'!C23+'Fórmula'!E23+'Fórmula'!G23+'Fórmula'!I23+'Fórmula'!K23))*(INDEX(properties!A$1:CB$87,'Fórmula'!J23,14))</f>
        <v>0</v>
      </c>
      <c r="BE23" s="110">
        <f t="array" ref="BE23">'Fórmula'!C23*(INDEX(properties!A$1:CB$87,'Fórmula'!B23,14))+'Fórmula'!E23*(INDEX(properties!A$1:CB$87,'Fórmula'!D23,14))+'Fórmula'!G23*(INDEX(properties!A$1:CB$87,'Fórmula'!F23,14))+'Fórmula'!I23*(INDEX(properties!A$1:CB$87,'Fórmula'!H23,14))+'Fórmula'!K23*(INDEX(properties!A$1:CB$87,'Fórmula'!J23,14))</f>
        <v>0</v>
      </c>
      <c r="BF23" s="110">
        <f t="array" ref="BF23">VARP(IF(INDEX(properties!A$1:CB$87,'Fórmula'!B23,14)&lt;&gt;"",INDEX(properties!A$1:CB$87,'Fórmula'!B23,14)),IF(INDEX(properties!A$1:CB$87,'Fórmula'!D23,14)&lt;&gt;"",INDEX(properties!A$1:CB$87,'Fórmula'!D23,14)),IF(INDEX(properties!A$1:CB$87,'Fórmula'!F23,14)&lt;&gt;"",INDEX(properties!A$1:CB$87,'Fórmula'!F23,14)),IF(INDEX(properties!A$1:CB$87,'Fórmula'!H23,14)&lt;&gt;"",INDEX(properties!A$1:CB$87,'Fórmula'!H23,14)),IF(INDEX(properties!A$1:CB$87,'Fórmula'!J23,14)&lt;&gt;"",INDEX(properties!A$1:CB$87,'Fórmula'!J23,14)))</f>
        <v>0</v>
      </c>
      <c r="BG23" s="110">
        <f t="array" ref="BG23">MAX(INDEX(properties!A$1:CB$87,'Fórmula'!B23,14),INDEX(properties!A$1:CB$87,'Fórmula'!D23,14),INDEX(properties!A$1:CB$87,'Fórmula'!F23,14),INDEX(properties!A$1:CB$87,'Fórmula'!H23,14),INDEX(properties!A$1:CB$87,'Fórmula'!J23,14))</f>
        <v>0</v>
      </c>
      <c r="BH23" s="110">
        <f t="array" ref="BH23">MIN(IF('Fórmula'!B23=87,10^6,INDEX(properties!A$1:CB$87,'Fórmula'!B23,14)),IF(('Fórmula'!D23)=87,10^6,INDEX(properties!A$1:CB$87,'Fórmula'!D23,14)),IF(('Fórmula'!F23)=87,10^6,INDEX(properties!A$1:CB$87,'Fórmula'!F23,14)),IF(('Fórmula'!H23)=87,10^6,INDEX(properties!A$1:CB$87,'Fórmula'!H23,14)),IF('Fórmula'!J23=87,10^6,INDEX(properties!A$1:CB$87,'Fórmula'!J23,14)))</f>
        <v>0</v>
      </c>
      <c r="BI23" s="110">
        <f t="shared" si="10"/>
        <v>0</v>
      </c>
      <c r="BJ23" s="111">
        <f t="array" ref="BJ23">(('Fórmula'!C23)/('Fórmula'!C23+'Fórmula'!E23+'Fórmula'!G23+'Fórmula'!I23+'Fórmula'!K23))*(INDEX(properties!A$1:CB$87,'Fórmula'!B23,19))+(('Fórmula'!E23)/('Fórmula'!C23+'Fórmula'!E23+'Fórmula'!G23+'Fórmula'!I23+'Fórmula'!K23))*(INDEX(properties!A$1:CB$87,'Fórmula'!D23,19))+(('Fórmula'!G23)/('Fórmula'!C23+'Fórmula'!E23+'Fórmula'!G23+'Fórmula'!I23+'Fórmula'!K23))*(INDEX(properties!A$1:CB$87,'Fórmula'!F23,19))+(('Fórmula'!I23)/('Fórmula'!C23+'Fórmula'!E23+'Fórmula'!G23+'Fórmula'!I23+'Fórmula'!K23))*(INDEX(properties!A$1:CB$87,'Fórmula'!H23,19))+(('Fórmula'!K23)/('Fórmula'!C23+'Fórmula'!E23+'Fórmula'!G23+'Fórmula'!I23+'Fórmula'!K23))*(INDEX(properties!A$1:CB$87,'Fórmula'!J23,19))</f>
        <v>4.8</v>
      </c>
      <c r="BK23" s="111">
        <f t="array" ref="BK23">'Fórmula'!C23*(INDEX(properties!A$1:CB$87,'Fórmula'!B23,19))+'Fórmula'!E23*(INDEX(properties!A$1:CB$87,'Fórmula'!D23,19))+'Fórmula'!G23*(INDEX(properties!A$1:CB$87,'Fórmula'!F23,19))+'Fórmula'!I23*(INDEX(properties!A$1:CB$87,'Fórmula'!H23,19))+'Fórmula'!K23*(INDEX(properties!A$1:CB$87,'Fórmula'!J23,19))</f>
        <v>24</v>
      </c>
      <c r="BL23" s="111">
        <f t="array" ref="BL23">VARP(IF(INDEX(properties!A$1:CB$87,'Fórmula'!B23,19)&lt;&gt;"",INDEX(properties!A$1:CB$87,'Fórmula'!B23,19)),IF(INDEX(properties!A$1:CB$87,'Fórmula'!D23,19)&lt;&gt;"",INDEX(properties!A$1:CB$87,'Fórmula'!D23,19)),IF(INDEX(properties!A$1:CB$87,'Fórmula'!F23,19)&lt;&gt;"",INDEX(properties!A$1:CB$87,'Fórmula'!F23,19)),IF(INDEX(properties!A$1:CB$87,'Fórmula'!H23,19)&lt;&gt;"",INDEX(properties!A$1:CB$87,'Fórmula'!H23,19)),IF(INDEX(properties!A$1:CB$87,'Fórmula'!J23,19)&lt;&gt;"",INDEX(properties!A$1:CB$87,'Fórmula'!J23,19)))</f>
        <v>5.04</v>
      </c>
      <c r="BM23" s="111">
        <f t="array" ref="BM23">MAX(INDEX(properties!A$1:CB$87,'Fórmula'!B23,19),INDEX(properties!A$1:CB$87,'Fórmula'!D23,19),INDEX(properties!A$1:CB$87,'Fórmula'!F23,19),INDEX(properties!A$1:CB$87,'Fórmula'!H23,19),INDEX(properties!A$1:CB$87,'Fórmula'!J23,19))</f>
        <v>6</v>
      </c>
      <c r="BN23" s="111">
        <f t="array" ref="BN23">MIN(IF(INDEX(properties!A$1:CB$87,'Fórmula'!B23,19)=0,10^6,INDEX(properties!A$1:CB$87,'Fórmula'!B23,19)),IF(INDEX(properties!A$1:CB$87,'Fórmula'!D23,19)=0,10^6,INDEX(properties!A$1:CB$87,'Fórmula'!D23,19)),IF(INDEX(properties!A$1:CB$87,'Fórmula'!F23,19)=0,10^6,INDEX(properties!A$1:CB$87,'Fórmula'!F23,19)),IF(INDEX(properties!A$1:CB$87,'Fórmula'!H23,19)=0,10^6,INDEX(properties!A$1:CB$87,'Fórmula'!H23,19)),IF(INDEX(properties!A$1:CB$87,'Fórmula'!J23,19)=0,10^6,INDEX(properties!A$1:CB$87,'Fórmula'!J23,19)))</f>
        <v>3</v>
      </c>
      <c r="BO23" s="111">
        <f t="shared" si="11"/>
        <v>3</v>
      </c>
      <c r="BP23" s="112">
        <f t="array" ref="BP23">(('Fórmula'!C23)/('Fórmula'!C23+'Fórmula'!E23+'Fórmula'!G23+'Fórmula'!I23+'Fórmula'!K23))*(INDEX(properties!A$1:CB$87,'Fórmula'!B23,20))+(('Fórmula'!E23)/('Fórmula'!C23+'Fórmula'!E23+'Fórmula'!G23+'Fórmula'!I23+'Fórmula'!K23))*(INDEX(properties!A$1:CB$87,'Fórmula'!D23,20))+(('Fórmula'!G23)/('Fórmula'!C23+'Fórmula'!E23+'Fórmula'!G23+'Fórmula'!I23+'Fórmula'!K23))*(INDEX(properties!A$1:CB$87,'Fórmula'!F23,20))+(('Fórmula'!I23)/('Fórmula'!C23+'Fórmula'!E23+'Fórmula'!G23+'Fórmula'!I23+'Fórmula'!K23))*(INDEX(properties!A$1:CB$87,'Fórmula'!H23,20))+(('Fórmula'!K23)/('Fórmula'!C23+'Fórmula'!E23+'Fórmula'!G23+'Fórmula'!I23+'Fórmula'!K23))*(INDEX(properties!A$1:CB$87,'Fórmula'!J23,20))</f>
        <v>4.6</v>
      </c>
      <c r="BQ23" s="112">
        <f t="array" ref="BQ23">'Fórmula'!C23*(INDEX(properties!A$1:CB$87,'Fórmula'!B23,20))+'Fórmula'!E23*(INDEX(properties!A$1:CB$87,'Fórmula'!D23,20))+'Fórmula'!G23*(INDEX(properties!A$1:CB$87,'Fórmula'!F23,20))+'Fórmula'!I23*(INDEX(properties!A$1:CB$87,'Fórmula'!H23,20))+'Fórmula'!K23*(INDEX(properties!A$1:CB$87,'Fórmula'!J23,20))</f>
        <v>23</v>
      </c>
      <c r="BR23" s="112">
        <f t="array" ref="BR23">VARP(IF(INDEX(properties!A$1:CB$87,'Fórmula'!B23,20)&lt;&gt;"",INDEX(properties!A$1:CB$87,'Fórmula'!B23,20)),IF(INDEX(properties!A$1:CB$87,'Fórmula'!D23,20)&lt;&gt;"",INDEX(properties!A$1:CB$87,'Fórmula'!D23,20)),IF(INDEX(properties!A$1:CB$87,'Fórmula'!F23,20)&lt;&gt;"",INDEX(properties!A$1:CB$87,'Fórmula'!F23,20)),IF(INDEX(properties!A$1:CB$87,'Fórmula'!H23,20)&lt;&gt;"",INDEX(properties!A$1:CB$87,'Fórmula'!H23,20)),IF(INDEX(properties!A$1:CB$87,'Fórmula'!J23,20)&lt;&gt;"",INDEX(properties!A$1:CB$87,'Fórmula'!J23,20)))</f>
        <v>4.96</v>
      </c>
      <c r="BS23" s="112">
        <f t="array" ref="BS23">MAX(INDEX(properties!A$1:CB$87,'Fórmula'!B23,20),INDEX(properties!A$1:CB$87,'Fórmula'!D23,20),INDEX(properties!A$1:CB$87,'Fórmula'!F23,20),INDEX(properties!A$1:CB$87,'Fórmula'!H23,20),INDEX(properties!A$1:CB$87,'Fórmula'!J23,20))</f>
        <v>6</v>
      </c>
      <c r="BT23" s="112">
        <f t="array" ref="BT23">MIN(IF(INDEX(properties!A$1:CB$87,'Fórmula'!B23,20)=0,10^6,INDEX(properties!A$1:CB$87,'Fórmula'!B23,20)),IF(INDEX(properties!A$1:CB$87,'Fórmula'!D23,20)=0,10^6,INDEX(properties!A$1:CB$87,'Fórmula'!D23,20)),IF(INDEX(properties!A$1:CB$87,'Fórmula'!F23,20)=0,10^6,INDEX(properties!A$1:CB$87,'Fórmula'!F23,20)),IF(INDEX(properties!A$1:CB$87,'Fórmula'!H23,20)=0,10^6,INDEX(properties!A$1:CB$87,'Fórmula'!H23,20)),IF(INDEX(properties!A$1:CB$87,'Fórmula'!J23,20)=0,10^6,INDEX(properties!A$1:CB$87,'Fórmula'!J23,20)))</f>
        <v>2</v>
      </c>
      <c r="BU23" s="112">
        <f t="shared" si="12"/>
        <v>4</v>
      </c>
      <c r="BV23" s="113">
        <f t="array" ref="BV23">(('Fórmula'!C23)/('Fórmula'!C23+'Fórmula'!E23+'Fórmula'!G23+'Fórmula'!I23+'Fórmula'!K23))*(INDEX(properties!A$1:CB$87,'Fórmula'!B23,21))+(('Fórmula'!E23)/('Fórmula'!C23+'Fórmula'!E23+'Fórmula'!G23+'Fórmula'!I23+'Fórmula'!K23))*(INDEX(properties!A$1:CB$87,'Fórmula'!D23,21))+(('Fórmula'!G23)/('Fórmula'!C23+'Fórmula'!E23+'Fórmula'!G23+'Fórmula'!I23+'Fórmula'!K23))*(INDEX(properties!A$1:CB$87,'Fórmula'!F23,21))+(('Fórmula'!I23)/('Fórmula'!C23+'Fórmula'!E23+'Fórmula'!G23+'Fórmula'!I23+'Fórmula'!K23))*(INDEX(properties!A$1:CB$87,'Fórmula'!H23,21))+(('Fórmula'!K23)/('Fórmula'!C23+'Fórmula'!E23+'Fórmula'!G23+'Fórmula'!I23+'Fórmula'!K23))*(INDEX(properties!A$1:CB$87,'Fórmula'!J23,21))</f>
        <v>4.4</v>
      </c>
      <c r="BW23" s="113">
        <f t="array" ref="BW23">'Fórmula'!C23*(INDEX(properties!A$1:CB$87,'Fórmula'!B23,21))+'Fórmula'!E23*(INDEX(properties!A$1:CB$87,'Fórmula'!D23,21))+'Fórmula'!G23*(INDEX(properties!A$1:CB$87,'Fórmula'!F23,21))+'Fórmula'!I23*(INDEX(properties!A$1:CB$87,'Fórmula'!H23,21))+'Fórmula'!K23*(INDEX(properties!A$1:CB$87,'Fórmula'!J23,21))</f>
        <v>22</v>
      </c>
      <c r="BX23" s="113">
        <f t="array" ref="BX23">VARP(IF(INDEX(properties!A$1:CB$87,'Fórmula'!B23,21)&lt;&gt;"",INDEX(properties!A$1:CB$87,'Fórmula'!B23,21)),IF(INDEX(properties!A$1:CB$87,'Fórmula'!D23,21)&lt;&gt;"",INDEX(properties!A$1:CB$87,'Fórmula'!D23,21)),IF(INDEX(properties!A$1:CB$87,'Fórmula'!F23,21)&lt;&gt;"",INDEX(properties!A$1:CB$87,'Fórmula'!F23,21)),IF(INDEX(properties!A$1:CB$87,'Fórmula'!H23,21)&lt;&gt;"",INDEX(properties!A$1:CB$87,'Fórmula'!H23,21)),IF(INDEX(properties!A$1:CB$87,'Fórmula'!J23,21)&lt;&gt;"",INDEX(properties!A$1:CB$87,'Fórmula'!J23,21)))</f>
        <v>5.2</v>
      </c>
      <c r="BY23" s="113">
        <f t="array" ref="BY23">MAX(INDEX(properties!A$1:CB$87,'Fórmula'!B23,21),INDEX(properties!A$1:CB$87,'Fórmula'!D23,21),INDEX(properties!A$1:CB$87,'Fórmula'!F23,21),INDEX(properties!A$1:CB$87,'Fórmula'!H23,21),INDEX(properties!A$1:CB$87,'Fórmula'!J23,21))</f>
        <v>6</v>
      </c>
      <c r="BZ23" s="113">
        <f t="array" ref="BZ23">MIN(IF(INDEX(properties!A$1:CB$87,'Fórmula'!B23,21)=0,10^6,INDEX(properties!A$1:CB$87,'Fórmula'!B23,21)),IF(INDEX(properties!A$1:CB$87,'Fórmula'!D23,21)=0,10^6,INDEX(properties!A$1:CB$87,'Fórmula'!D23,21)),IF(INDEX(properties!A$1:CB$87,'Fórmula'!F23,21)=0,10^6,INDEX(properties!A$1:CB$87,'Fórmula'!F23,21)),IF(INDEX(properties!A$1:CB$87,'Fórmula'!H23,21)=0,10^6,INDEX(properties!A$1:CB$87,'Fórmula'!H23,21)),IF(INDEX(properties!A$1:CB$87,'Fórmula'!J23,21)=0,10^6,INDEX(properties!A$1:CB$87,'Fórmula'!J23,21)))</f>
        <v>1</v>
      </c>
      <c r="CA23" s="113">
        <f t="shared" si="13"/>
        <v>5</v>
      </c>
      <c r="CB23" s="114">
        <f t="array" ref="CB23">(('Fórmula'!C23)/('Fórmula'!C23+'Fórmula'!E23+'Fórmula'!G23+'Fórmula'!I23+'Fórmula'!K23))*(INDEX(properties!A$1:CB$87,'Fórmula'!B23,23))+(('Fórmula'!E23)/('Fórmula'!C23+'Fórmula'!E23+'Fórmula'!G23+'Fórmula'!I23+'Fórmula'!K23))*(INDEX(properties!A$1:CB$87,'Fórmula'!D23,23))+(('Fórmula'!G23)/('Fórmula'!C23+'Fórmula'!E23+'Fórmula'!G23+'Fórmula'!I23+'Fórmula'!K23))*(INDEX(properties!A$1:CB$87,'Fórmula'!F23,23))+(('Fórmula'!I23)/('Fórmula'!C23+'Fórmula'!E23+'Fórmula'!G23+'Fórmula'!I23+'Fórmula'!K23))*(INDEX(properties!A$1:CB$87,'Fórmula'!H23,23))+(('Fórmula'!K23)/('Fórmula'!C23+'Fórmula'!E23+'Fórmula'!G23+'Fórmula'!I23+'Fórmula'!K23))*(INDEX(properties!A$1:CB$87,'Fórmula'!J23,23))</f>
        <v>1.2</v>
      </c>
      <c r="CC23" s="114">
        <f t="array" ref="CC23">'Fórmula'!C23*(INDEX(properties!A$1:CB$87,'Fórmula'!B23,23))+'Fórmula'!E23*(INDEX(properties!A$1:CB$87,'Fórmula'!D23,23))+'Fórmula'!G23*(INDEX(properties!A$1:CB$87,'Fórmula'!F23,23))+'Fórmula'!I23*(INDEX(properties!A$1:CB$87,'Fórmula'!H23,23))+'Fórmula'!K23*(INDEX(properties!A$1:CB$87,'Fórmula'!J23,23))</f>
        <v>6</v>
      </c>
      <c r="CD23" s="114">
        <f t="array" ref="CD23">VARP(IF(INDEX(properties!A$1:CB$87,'Fórmula'!B23,23)&lt;&gt;"",INDEX(properties!A$1:CB$87,'Fórmula'!B23,23)),IF(INDEX(properties!A$1:CB$87,'Fórmula'!D23,23)&lt;&gt;"",INDEX(properties!A$1:CB$87,'Fórmula'!D23,23)),IF(INDEX(properties!A$1:CB$87,'Fórmula'!F23,23)&lt;&gt;"",INDEX(properties!A$1:CB$87,'Fórmula'!F23,23)),IF(INDEX(properties!A$1:CB$87,'Fórmula'!H23,23)&lt;&gt;"",INDEX(properties!A$1:CB$87,'Fórmula'!H23,23)),IF(INDEX(properties!A$1:CB$87,'Fórmula'!J23,23)&lt;&gt;"",INDEX(properties!A$1:CB$87,'Fórmula'!J23,23)))</f>
        <v>2.16</v>
      </c>
      <c r="CE23" s="114">
        <f t="array" ref="CE23">MAX(INDEX(properties!A$1:CB$87,'Fórmula'!B23,23),INDEX(properties!A$1:CB$87,'Fórmula'!D23,23),INDEX(properties!A$1:CB$87,'Fórmula'!F23,23),INDEX(properties!A$1:CB$87,'Fórmula'!H23,23),INDEX(properties!A$1:CB$87,'Fórmula'!J23,23))</f>
        <v>3</v>
      </c>
      <c r="CF23" s="114">
        <f t="array" ref="CF23">MIN(IF('Fórmula'!B23=87,10^6,INDEX(properties!A$1:CB$87,'Fórmula'!B23,23)),IF(('Fórmula'!D23)=87,10^6,INDEX(properties!A$1:CB$87,'Fórmula'!D23,23)),IF(('Fórmula'!F23)=87,10^6,INDEX(properties!A$1:CB$87,'Fórmula'!F23,23)),IF(('Fórmula'!H23)=87,10^6,INDEX(properties!A$1:CB$87,'Fórmula'!H23,23)),IF('Fórmula'!J23=87,10^6,INDEX(properties!A$1:CB$87,'Fórmula'!J23,23)))</f>
        <v>0</v>
      </c>
      <c r="CG23" s="114">
        <f t="shared" si="14"/>
        <v>3</v>
      </c>
      <c r="CH23" s="115">
        <f t="array" ref="CH23">(('Fórmula'!C23)/('Fórmula'!C23+'Fórmula'!E23+'Fórmula'!G23+'Fórmula'!I23+'Fórmula'!K23))*(INDEX(properties!A$1:CB$87,'Fórmula'!B23,26))+(('Fórmula'!E23)/('Fórmula'!C23+'Fórmula'!E23+'Fórmula'!G23+'Fórmula'!I23+'Fórmula'!K23))*(INDEX(properties!A$1:CB$87,'Fórmula'!D23,26))+(('Fórmula'!G23)/('Fórmula'!C23+'Fórmula'!E23+'Fórmula'!G23+'Fórmula'!I23+'Fórmula'!K23))*(INDEX(properties!A$1:CB$87,'Fórmula'!F23,26))+(('Fórmula'!I23)/('Fórmula'!C23+'Fórmula'!E23+'Fórmula'!G23+'Fórmula'!I23+'Fórmula'!K23))*(INDEX(properties!A$1:CB$87,'Fórmula'!H23,26))+(('Fórmula'!K23)/('Fórmula'!C23+'Fórmula'!E23+'Fórmula'!G23+'Fórmula'!I23+'Fórmula'!K23))*(INDEX(properties!A$1:CB$87,'Fórmula'!J23,26))</f>
        <v>11.07392</v>
      </c>
      <c r="CI23" s="115">
        <f t="array" ref="CI23">'Fórmula'!C23*(INDEX(properties!A$1:CB$87,'Fórmula'!B23,26))+'Fórmula'!E23*(INDEX(properties!A$1:CB$87,'Fórmula'!D23,26))+'Fórmula'!G23*(INDEX(properties!A$1:CB$87,'Fórmula'!F23,26))+'Fórmula'!I23*(INDEX(properties!A$1:CB$87,'Fórmula'!H23,26))+'Fórmula'!K23*(INDEX(properties!A$1:CB$87,'Fórmula'!J23,26))</f>
        <v>55.3696</v>
      </c>
      <c r="CJ23" s="115">
        <f t="array" ref="CJ23">VARP(IF(INDEX(properties!A$1:CB$87,'Fórmula'!B23,26)&lt;&gt;"",INDEX(properties!A$1:CB$87,'Fórmula'!B23,26)),IF(INDEX(properties!A$1:CB$87,'Fórmula'!D23,26)&lt;&gt;"",INDEX(properties!A$1:CB$87,'Fórmula'!D23,26)),IF(INDEX(properties!A$1:CB$87,'Fórmula'!F23,26)&lt;&gt;"",INDEX(properties!A$1:CB$87,'Fórmula'!F23,26)),IF(INDEX(properties!A$1:CB$87,'Fórmula'!H23,26)&lt;&gt;"",INDEX(properties!A$1:CB$87,'Fórmula'!H23,26)),IF(INDEX(properties!A$1:CB$87,'Fórmula'!J23,26)&lt;&gt;"",INDEX(properties!A$1:CB$87,'Fórmula'!J23,26)))</f>
        <v>26.93332636</v>
      </c>
      <c r="CK23" s="116">
        <f t="array" ref="CK23">MAX(INDEX(properties!A$1:CB$87,'Fórmula'!B23,26),INDEX(properties!A$1:CB$87,'Fórmula'!D23,26),INDEX(properties!A$1:CB$87,'Fórmula'!F23,26),INDEX(properties!A$1:CB$87,'Fórmula'!H23,26),INDEX(properties!A$1:CB$87,'Fórmula'!J23,26))</f>
        <v>13.6181</v>
      </c>
      <c r="CL23" s="116">
        <f t="array" ref="CL23">MIN(IF(INDEX(properties!A$1:CB$87,'Fórmula'!B23,26)=0,10^6,INDEX(properties!A$1:CB$87,'Fórmula'!B23,26)),IF(INDEX(properties!A$1:CB$87,'Fórmula'!D23,26)=0,10^6,INDEX(properties!A$1:CB$87,'Fórmula'!D23,26)),IF(INDEX(properties!A$1:CB$87,'Fórmula'!F23,26)=0,10^6,INDEX(properties!A$1:CB$87,'Fórmula'!F23,26)),IF(INDEX(properties!A$1:CB$87,'Fórmula'!H23,26)=0,10^6,INDEX(properties!A$1:CB$87,'Fórmula'!H23,26)),IF(INDEX(properties!A$1:CB$87,'Fórmula'!J23,26)=0,10^6,INDEX(properties!A$1:CB$87,'Fórmula'!J23,26)))</f>
        <v>6.2173</v>
      </c>
      <c r="CM23" s="115">
        <f t="shared" si="15"/>
        <v>7.4008</v>
      </c>
      <c r="CN23" s="117">
        <f t="array" ref="CN23">(('Fórmula'!C23)/('Fórmula'!C23+'Fórmula'!E23+'Fórmula'!G23+'Fórmula'!I23+'Fórmula'!K23))*(INDEX(properties!A$1:CB$87,'Fórmula'!B23,30))+(('Fórmula'!E23)/('Fórmula'!C23+'Fórmula'!E23+'Fórmula'!G23+'Fórmula'!I23+'Fórmula'!K23))*(INDEX(properties!A$1:CB$87,'Fórmula'!D23,30))+(('Fórmula'!G23)/('Fórmula'!C23+'Fórmula'!E23+'Fórmula'!G23+'Fórmula'!I23+'Fórmula'!K23))*(INDEX(properties!A$1:CB$87,'Fórmula'!F23,30))+(('Fórmula'!I23)/('Fórmula'!C23+'Fórmula'!E23+'Fórmula'!G23+'Fórmula'!I23+'Fórmula'!K23))*(INDEX(properties!A$1:CB$87,'Fórmula'!H23,30))+(('Fórmula'!K23)/('Fórmula'!C23+'Fórmula'!E23+'Fórmula'!G23+'Fórmula'!I23+'Fórmula'!K23))*(INDEX(properties!A$1:CB$87,'Fórmula'!J23,30))</f>
        <v>2.716</v>
      </c>
      <c r="CO23" s="117">
        <f t="array" ref="CO23">'Fórmula'!C23*(INDEX(properties!A$1:CB$87,'Fórmula'!B23,30))+'Fórmula'!E23*(INDEX(properties!A$1:CB$87,'Fórmula'!D23,30))+'Fórmula'!G23*(INDEX(properties!A$1:CB$87,'Fórmula'!F23,30))+'Fórmula'!I23*(INDEX(properties!A$1:CB$87,'Fórmula'!H23,30))+'Fórmula'!K23*(INDEX(properties!A$1:CB$87,'Fórmula'!J23,30))</f>
        <v>13.58</v>
      </c>
      <c r="CP23" s="117">
        <f t="array" ref="CP23">VARP(IF(INDEX(properties!A$1:CB$87,'Fórmula'!B23,30)&lt;&gt;"",INDEX(properties!A$1:CB$87,'Fórmula'!B23,30)),IF(INDEX(properties!A$1:CB$87,'Fórmula'!D23,30)&lt;&gt;"",INDEX(properties!A$1:CB$87,'Fórmula'!D23,30)),IF(INDEX(properties!A$1:CB$87,'Fórmula'!F23,30)&lt;&gt;"",INDEX(properties!A$1:CB$87,'Fórmula'!F23,30)),IF(INDEX(properties!A$1:CB$87,'Fórmula'!H23,30)&lt;&gt;"",INDEX(properties!A$1:CB$87,'Fórmula'!H23,30)),IF(INDEX(properties!A$1:CB$87,'Fórmula'!J23,30)&lt;&gt;"",INDEX(properties!A$1:CB$87,'Fórmula'!J23,30)))</f>
        <v>1.70112</v>
      </c>
      <c r="CQ23" s="117">
        <f t="array" ref="CQ23">MAX(INDEX(properties!A$1:CB$87,'Fórmula'!B23,30),INDEX(properties!A$1:CB$87,'Fórmula'!D23,30),INDEX(properties!A$1:CB$87,'Fórmula'!F23,30),INDEX(properties!A$1:CB$87,'Fórmula'!H23,30),INDEX(properties!A$1:CB$87,'Fórmula'!J23,30))</f>
        <v>3.44</v>
      </c>
      <c r="CR23" s="117">
        <f t="array" ref="CR23">MIN(IF(INDEX(properties!A$1:CB$87,'Fórmula'!B23,30)=0,10^6,INDEX(properties!A$1:CB$87,'Fórmula'!B23,30)),IF(INDEX(properties!A$1:CB$87,'Fórmula'!D23,30)=0,10^6,INDEX(properties!A$1:CB$87,'Fórmula'!D23,30)),IF(INDEX(properties!A$1:CB$87,'Fórmula'!F23,30)=0,10^6,INDEX(properties!A$1:CB$87,'Fórmula'!F23,30)),IF(INDEX(properties!A$1:CB$87,'Fórmula'!H23,30)=0,10^6,INDEX(properties!A$1:CB$87,'Fórmula'!H23,30)),IF(INDEX(properties!A$1:CB$87,'Fórmula'!J23,30)=0,10^6,INDEX(properties!A$1:CB$87,'Fórmula'!J23,30)))</f>
        <v>1.22</v>
      </c>
      <c r="CS23" s="117">
        <f t="shared" si="16"/>
        <v>2.22</v>
      </c>
      <c r="CT23" s="118">
        <f t="array" ref="CT23">(('Fórmula'!C23)/('Fórmula'!C23+'Fórmula'!E23+'Fórmula'!G23+'Fórmula'!I23+'Fórmula'!K23))*(INDEX(properties!A$1:CB$87,'Fórmula'!B23,31))+(('Fórmula'!E23)/('Fórmula'!C23+'Fórmula'!E23+'Fórmula'!G23+'Fórmula'!I23+'Fórmula'!K23))*(INDEX(properties!A$1:CB$87,'Fórmula'!D23,31))+(('Fórmula'!G23)/('Fórmula'!C23+'Fórmula'!E23+'Fórmula'!G23+'Fórmula'!I23+'Fórmula'!K23))*(INDEX(properties!A$1:CB$87,'Fórmula'!F23,31))+(('Fórmula'!I23)/('Fórmula'!C23+'Fórmula'!E23+'Fórmula'!G23+'Fórmula'!I23+'Fórmula'!K23))*(INDEX(properties!A$1:CB$87,'Fórmula'!H23,31))+(('Fórmula'!K23)/('Fórmula'!C23+'Fórmula'!E23+'Fórmula'!G23+'Fórmula'!I23+'Fórmula'!K23))*(INDEX(properties!A$1:CB$87,'Fórmula'!J23,31))</f>
        <v>2.654</v>
      </c>
      <c r="CU23" s="118">
        <f t="array" ref="CU23">'Fórmula'!C23*(INDEX(properties!A$1:CB$87,'Fórmula'!B23,31))+'Fórmula'!E23*(INDEX(properties!A$1:CB$87,'Fórmula'!D23,31))+'Fórmula'!G23*(INDEX(properties!A$1:CB$87,'Fórmula'!F23,31))+'Fórmula'!I23*(INDEX(properties!A$1:CB$87,'Fórmula'!H23,31))+'Fórmula'!K23*(INDEX(properties!A$1:CB$87,'Fórmula'!J23,31))</f>
        <v>13.27</v>
      </c>
      <c r="CV23" s="118">
        <f t="array" ref="CV23">VARP(IF(INDEX(properties!A$1:CB$87,'Fórmula'!B23,31)&lt;&gt;"",INDEX(properties!A$1:CB$87,'Fórmula'!B23,31)),IF(INDEX(properties!A$1:CB$87,'Fórmula'!D23,31)&lt;&gt;"",INDEX(properties!A$1:CB$87,'Fórmula'!D23,31)),IF(INDEX(properties!A$1:CB$87,'Fórmula'!F23,31)&lt;&gt;"",INDEX(properties!A$1:CB$87,'Fórmula'!F23,31)),IF(INDEX(properties!A$1:CB$87,'Fórmula'!H23,31)&lt;&gt;"",INDEX(properties!A$1:CB$87,'Fórmula'!H23,31)),IF(INDEX(properties!A$1:CB$87,'Fórmula'!J23,31)&lt;&gt;"",INDEX(properties!A$1:CB$87,'Fórmula'!J23,31)))</f>
        <v>1.565824</v>
      </c>
      <c r="CW23" s="118">
        <f t="array" ref="CW23">MAX(INDEX(properties!A$1:CB$87,'Fórmula'!B23,31),INDEX(properties!A$1:CB$87,'Fórmula'!D23,31),INDEX(properties!A$1:CB$87,'Fórmula'!F23,31),INDEX(properties!A$1:CB$87,'Fórmula'!H23,31),INDEX(properties!A$1:CB$87,'Fórmula'!J23,31))</f>
        <v>3.32</v>
      </c>
      <c r="CX23" s="118">
        <f t="array" ref="CX23">MIN(IF(INDEX(properties!A$1:CB$87,'Fórmula'!B23,31)=0,10^6,INDEX(properties!A$1:CB$87,'Fórmula'!B23,31)),IF(INDEX(properties!A$1:CB$87,'Fórmula'!D23,31)=0,10^6,INDEX(properties!A$1:CB$87,'Fórmula'!D23,31)),IF(INDEX(properties!A$1:CB$87,'Fórmula'!F23,31)=0,10^6,INDEX(properties!A$1:CB$87,'Fórmula'!F23,31)),IF(INDEX(properties!A$1:CB$87,'Fórmula'!H23,31)=0,10^6,INDEX(properties!A$1:CB$87,'Fórmula'!H23,31)),IF(INDEX(properties!A$1:CB$87,'Fórmula'!J23,31)=0,10^6,INDEX(properties!A$1:CB$87,'Fórmula'!J23,31)))</f>
        <v>1.41</v>
      </c>
      <c r="CY23" s="118">
        <f t="shared" si="17"/>
        <v>1.91</v>
      </c>
      <c r="CZ23" s="119">
        <f t="array" ref="CZ23">(('Fórmula'!C23)/('Fórmula'!C23+'Fórmula'!E23+'Fórmula'!G23+'Fórmula'!I23+'Fórmula'!K23))*(INDEX(properties!A$1:CB$87,'Fórmula'!B23,32))+(('Fórmula'!E23)/('Fórmula'!C23+'Fórmula'!E23+'Fórmula'!G23+'Fórmula'!I23+'Fórmula'!K23))*(INDEX(properties!A$1:CB$87,'Fórmula'!D23,32))+(('Fórmula'!G23)/('Fórmula'!C23+'Fórmula'!E23+'Fórmula'!G23+'Fórmula'!I23+'Fórmula'!K23))*(INDEX(properties!A$1:CB$87,'Fórmula'!F23,32))+(('Fórmula'!I23)/('Fórmula'!C23+'Fórmula'!E23+'Fórmula'!G23+'Fórmula'!I23+'Fórmula'!K23))*(INDEX(properties!A$1:CB$87,'Fórmula'!H23,32))+(('Fórmula'!K23)/('Fórmula'!C23+'Fórmula'!E23+'Fórmula'!G23+'Fórmula'!I23+'Fórmula'!K23))*(INDEX(properties!A$1:CB$87,'Fórmula'!J23,32))</f>
        <v>6.02</v>
      </c>
      <c r="DA23" s="119">
        <f t="array" ref="DA23">'Fórmula'!C23*(INDEX(properties!A$1:CB$87,'Fórmula'!B23,32))+'Fórmula'!E23*(INDEX(properties!A$1:CB$87,'Fórmula'!D23,32))+'Fórmula'!G23*(INDEX(properties!A$1:CB$87,'Fórmula'!F23,32))+'Fórmula'!I23*(INDEX(properties!A$1:CB$87,'Fórmula'!H23,32))+'Fórmula'!K23*(INDEX(properties!A$1:CB$87,'Fórmula'!J23,32))</f>
        <v>30.1</v>
      </c>
      <c r="DB23" s="119">
        <f t="array" ref="DB23">VARP(IF(INDEX(properties!A$1:CB$87,'Fórmula'!B23,32)&lt;&gt;"",INDEX(properties!A$1:CB$87,'Fórmula'!B23,32)),IF(INDEX(properties!A$1:CB$87,'Fórmula'!D23,32)&lt;&gt;"",INDEX(properties!A$1:CB$87,'Fórmula'!D23,32)),IF(INDEX(properties!A$1:CB$87,'Fórmula'!F23,32)&lt;&gt;"",INDEX(properties!A$1:CB$87,'Fórmula'!F23,32)),IF(INDEX(properties!A$1:CB$87,'Fórmula'!H23,32)&lt;&gt;"",INDEX(properties!A$1:CB$87,'Fórmula'!H23,32)),IF(INDEX(properties!A$1:CB$87,'Fórmula'!J23,32)&lt;&gt;"",INDEX(properties!A$1:CB$87,'Fórmula'!J23,32)))</f>
        <v>8.062344</v>
      </c>
      <c r="DC23" s="119">
        <f t="array" ref="DC23">MAX(INDEX(properties!A$1:CB$87,'Fórmula'!B23,32),INDEX(properties!A$1:CB$87,'Fórmula'!D23,32),INDEX(properties!A$1:CB$87,'Fórmula'!F23,32),INDEX(properties!A$1:CB$87,'Fórmula'!H23,32),INDEX(properties!A$1:CB$87,'Fórmula'!J23,32))</f>
        <v>7.54</v>
      </c>
      <c r="DD23" s="119">
        <f t="array" ref="DD23">MIN(IF(INDEX(properties!A$1:CB$87,'Fórmula'!B23,32)=0,10^6,INDEX(properties!A$1:CB$87,'Fórmula'!B23,32)),IF(INDEX(properties!A$1:CB$87,'Fórmula'!D23,32)=0,10^6,INDEX(properties!A$1:CB$87,'Fórmula'!D23,32)),IF(INDEX(properties!A$1:CB$87,'Fórmula'!F23,32)=0,10^6,INDEX(properties!A$1:CB$87,'Fórmula'!F23,32)),IF(INDEX(properties!A$1:CB$87,'Fórmula'!H23,32)=0,10^6,INDEX(properties!A$1:CB$87,'Fórmula'!H23,32)),IF(INDEX(properties!A$1:CB$87,'Fórmula'!J23,32)=0,10^6,INDEX(properties!A$1:CB$87,'Fórmula'!J23,32)))</f>
        <v>3.19</v>
      </c>
      <c r="DE23" s="119">
        <f t="shared" si="18"/>
        <v>4.35</v>
      </c>
      <c r="DF23" s="104">
        <f t="array" ref="DF23">(('Fórmula'!C23)/('Fórmula'!C23+'Fórmula'!E23+'Fórmula'!G23+'Fórmula'!I23+'Fórmula'!K23))*(INDEX(properties!A$1:CB$87,'Fórmula'!B23,34))+(('Fórmula'!E23)/('Fórmula'!C23+'Fórmula'!E23+'Fórmula'!G23+'Fórmula'!I23+'Fórmula'!K23))*(INDEX(properties!A$1:CB$87,'Fórmula'!D23,34))+(('Fórmula'!G23)/('Fórmula'!C23+'Fórmula'!E23+'Fórmula'!G23+'Fórmula'!I23+'Fórmula'!K23))*(INDEX(properties!A$1:CB$87,'Fórmula'!F23,34))+(('Fórmula'!I23)/('Fórmula'!C23+'Fórmula'!E23+'Fórmula'!G23+'Fórmula'!I23+'Fórmula'!K23))*(INDEX(properties!A$1:CB$87,'Fórmula'!H23,34))+(('Fórmula'!K23)/('Fórmula'!C23+'Fórmula'!E23+'Fórmula'!G23+'Fórmula'!I23+'Fórmula'!K23))*(INDEX(properties!A$1:CB$87,'Fórmula'!J23,34))</f>
        <v>2.8002</v>
      </c>
      <c r="DG23" s="104">
        <f t="array" ref="DG23">'Fórmula'!C23*(INDEX(properties!A$1:CB$87,'Fórmula'!B23,34))+'Fórmula'!E23*(INDEX(properties!A$1:CB$87,'Fórmula'!D23,34))+'Fórmula'!G23*(INDEX(properties!A$1:CB$87,'Fórmula'!F23,34))+'Fórmula'!I23*(INDEX(properties!A$1:CB$87,'Fórmula'!H23,34))+'Fórmula'!K23*(INDEX(properties!A$1:CB$87,'Fórmula'!J23,34))</f>
        <v>14.001</v>
      </c>
      <c r="DH23" s="104">
        <f t="array" ref="DH23">VARP(IF(INDEX(properties!A$1:CB$87,'Fórmula'!B23,34)&lt;&gt;"",INDEX(properties!A$1:CB$87,'Fórmula'!B23,34)),IF(INDEX(properties!A$1:CB$87,'Fórmula'!D23,34)&lt;&gt;"",INDEX(properties!A$1:CB$87,'Fórmula'!D23,34)),IF(INDEX(properties!A$1:CB$87,'Fórmula'!F23,34)&lt;&gt;"",INDEX(properties!A$1:CB$87,'Fórmula'!F23,34)),IF(INDEX(properties!A$1:CB$87,'Fórmula'!H23,34)&lt;&gt;"",INDEX(properties!A$1:CB$87,'Fórmula'!H23,34)),IF(INDEX(properties!A$1:CB$87,'Fórmula'!J23,34)&lt;&gt;"",INDEX(properties!A$1:CB$87,'Fórmula'!J23,34)))</f>
        <v>1.85934176</v>
      </c>
      <c r="DI23" s="104">
        <f t="array" ref="DI23">MAX(INDEX(properties!A$1:CB$87,'Fórmula'!B23,34),INDEX(properties!A$1:CB$87,'Fórmula'!D23,34),INDEX(properties!A$1:CB$87,'Fórmula'!F23,34),INDEX(properties!A$1:CB$87,'Fórmula'!H23,34),INDEX(properties!A$1:CB$87,'Fórmula'!J23,34))</f>
        <v>3.61</v>
      </c>
      <c r="DJ23" s="104">
        <f t="array" ref="DJ23">MIN(IF(INDEX(properties!A$1:CB$87,'Fórmula'!B23,34)=0,10^6,INDEX(properties!A$1:CB$87,'Fórmula'!B23,34)),IF(INDEX(properties!A$1:CB$87,'Fórmula'!D23,34)=0,10^6,INDEX(properties!A$1:CB$87,'Fórmula'!D23,34)),IF(INDEX(properties!A$1:CB$87,'Fórmula'!F23,34)=0,10^6,INDEX(properties!A$1:CB$87,'Fórmula'!F23,34)),IF(INDEX(properties!A$1:CB$87,'Fórmula'!H23,34)=0,10^6,INDEX(properties!A$1:CB$87,'Fórmula'!H23,34)),IF(INDEX(properties!A$1:CB$87,'Fórmula'!J23,34)=0,10^6,INDEX(properties!A$1:CB$87,'Fórmula'!J23,34)))</f>
        <v>1.12</v>
      </c>
      <c r="DK23" s="104">
        <f t="shared" si="19"/>
        <v>2.49</v>
      </c>
      <c r="DL23" s="105">
        <f t="array" ref="DL23">(('Fórmula'!C23)/('Fórmula'!C23+'Fórmula'!E23+'Fórmula'!G23+'Fórmula'!I23+'Fórmula'!K23))*(INDEX(properties!A$1:CB$87,'Fórmula'!B23,37))+(('Fórmula'!E23)/('Fórmula'!C23+'Fórmula'!E23+'Fórmula'!G23+'Fórmula'!I23+'Fórmula'!K23))*(INDEX(properties!A$1:CB$87,'Fórmula'!D23,37))+(('Fórmula'!G23)/('Fórmula'!C23+'Fórmula'!E23+'Fórmula'!G23+'Fórmula'!I23+'Fórmula'!K23))*(INDEX(properties!A$1:CB$87,'Fórmula'!F23,37))+(('Fórmula'!I23)/('Fórmula'!C23+'Fórmula'!E23+'Fórmula'!G23+'Fórmula'!I23+'Fórmula'!K23))*(INDEX(properties!A$1:CB$87,'Fórmula'!H23,37))+(('Fórmula'!K23)/('Fórmula'!C23+'Fórmula'!E23+'Fórmula'!G23+'Fórmula'!I23+'Fórmula'!K23))*(INDEX(properties!A$1:CB$87,'Fórmula'!J23,37))</f>
        <v>2.71</v>
      </c>
      <c r="DM23" s="105">
        <f t="array" ref="DM23">'Fórmula'!C23*(INDEX(properties!A$1:CB$87,'Fórmula'!B23,37))+'Fórmula'!E23*(INDEX(properties!A$1:CB$87,'Fórmula'!D23,37))+'Fórmula'!G23*(INDEX(properties!A$1:CB$87,'Fórmula'!F23,37))+'Fórmula'!I23*(INDEX(properties!A$1:CB$87,'Fórmula'!H23,37))+'Fórmula'!K23*(INDEX(properties!A$1:CB$87,'Fórmula'!J23,37))</f>
        <v>13.55</v>
      </c>
      <c r="DN23" s="105">
        <f t="array" ref="DN23">VARP(IF(INDEX(properties!A$1:CB$87,'Fórmula'!B23,37)&lt;&gt;"",INDEX(properties!A$1:CB$87,'Fórmula'!B23,37)),IF(INDEX(properties!A$1:CB$87,'Fórmula'!D23,37)&lt;&gt;"",INDEX(properties!A$1:CB$87,'Fórmula'!D23,37)),IF(INDEX(properties!A$1:CB$87,'Fórmula'!F23,37)&lt;&gt;"",INDEX(properties!A$1:CB$87,'Fórmula'!F23,37)),IF(INDEX(properties!A$1:CB$87,'Fórmula'!H23,37)&lt;&gt;"",INDEX(properties!A$1:CB$87,'Fórmula'!H23,37)),IF(INDEX(properties!A$1:CB$87,'Fórmula'!J23,37)&lt;&gt;"",INDEX(properties!A$1:CB$87,'Fórmula'!J23,37)))</f>
        <v>1.6716</v>
      </c>
      <c r="DO23" s="105">
        <f t="array" ref="DO23">MAX(INDEX(properties!A$1:CB$87,'Fórmula'!B23,37),INDEX(properties!A$1:CB$87,'Fórmula'!D23,37),INDEX(properties!A$1:CB$87,'Fórmula'!F23,37),INDEX(properties!A$1:CB$87,'Fórmula'!H23,37),INDEX(properties!A$1:CB$87,'Fórmula'!J23,37))</f>
        <v>3.45</v>
      </c>
      <c r="DP23" s="105">
        <f t="array" ref="DP23">MIN(IF(INDEX(properties!A$1:CB$87,'Fórmula'!B23,37)=0,10^6,INDEX(properties!A$1:CB$87,'Fórmula'!B23,37)),IF(INDEX(properties!A$1:CB$87,'Fórmula'!D23,37)=0,10^6,INDEX(properties!A$1:CB$87,'Fórmula'!D23,37)),IF(INDEX(properties!A$1:CB$87,'Fórmula'!F23,37)=0,10^6,INDEX(properties!A$1:CB$87,'Fórmula'!F23,37)),IF(INDEX(properties!A$1:CB$87,'Fórmula'!H23,37)=0,10^6,INDEX(properties!A$1:CB$87,'Fórmula'!H23,37)),IF(INDEX(properties!A$1:CB$87,'Fórmula'!J23,37)=0,10^6,INDEX(properties!A$1:CB$87,'Fórmula'!J23,37)))</f>
        <v>1.3</v>
      </c>
      <c r="DQ23" s="105">
        <f t="shared" si="20"/>
        <v>2.15</v>
      </c>
      <c r="DR23" s="109">
        <f t="array" ref="DR23">(('Fórmula'!C23)/('Fórmula'!C23+'Fórmula'!E23+'Fórmula'!G23+'Fórmula'!I23+'Fórmula'!K23))*(INDEX(properties!A$1:CB$87,'Fórmula'!B23,39))+(('Fórmula'!E23)/('Fórmula'!C23+'Fórmula'!E23+'Fórmula'!G23+'Fórmula'!I23+'Fórmula'!K23))*(INDEX(properties!A$1:CB$87,'Fórmula'!D23,39))+(('Fórmula'!G23)/('Fórmula'!C23+'Fórmula'!E23+'Fórmula'!G23+'Fórmula'!I23+'Fórmula'!K23))*(INDEX(properties!A$1:CB$87,'Fórmula'!F23,39))+(('Fórmula'!I23)/('Fórmula'!C23+'Fórmula'!E23+'Fórmula'!G23+'Fórmula'!I23+'Fórmula'!K23))*(INDEX(properties!A$1:CB$87,'Fórmula'!H23,39))+(('Fórmula'!K23)/('Fórmula'!C23+'Fórmula'!E23+'Fórmula'!G23+'Fórmula'!I23+'Fórmula'!K23))*(INDEX(properties!A$1:CB$87,'Fórmula'!J23,39))</f>
        <v>0.886</v>
      </c>
      <c r="DS23" s="109">
        <f t="array" ref="DS23">'Fórmula'!C23*(INDEX(properties!A$1:CB$87,'Fórmula'!B23,39))+'Fórmula'!E23*(INDEX(properties!A$1:CB$87,'Fórmula'!D23,39))+'Fórmula'!G23*(INDEX(properties!A$1:CB$87,'Fórmula'!F23,39))+'Fórmula'!I23*(INDEX(properties!A$1:CB$87,'Fórmula'!H23,39))+'Fórmula'!K23*(INDEX(properties!A$1:CB$87,'Fórmula'!J23,39))</f>
        <v>4.43</v>
      </c>
      <c r="DT23" s="109">
        <f t="array" ref="DT23">VARP(IF(INDEX(properties!A$1:CB$87,'Fórmula'!B23,39)&lt;&gt;"",INDEX(properties!A$1:CB$87,'Fórmula'!B23,39)),IF(INDEX(properties!A$1:CB$87,'Fórmula'!D23,39)&lt;&gt;"",INDEX(properties!A$1:CB$87,'Fórmula'!D23,39)),IF(INDEX(properties!A$1:CB$87,'Fórmula'!F23,39)&lt;&gt;"",INDEX(properties!A$1:CB$87,'Fórmula'!F23,39)),IF(INDEX(properties!A$1:CB$87,'Fórmula'!H23,39)&lt;&gt;"",INDEX(properties!A$1:CB$87,'Fórmula'!H23,39)),IF(INDEX(properties!A$1:CB$87,'Fórmula'!J23,39)&lt;&gt;"",INDEX(properties!A$1:CB$87,'Fórmula'!J23,39)))</f>
        <v>0.614704</v>
      </c>
      <c r="DU23" s="120">
        <f t="array" ref="DU23">MAX(INDEX(properties!A$1:CB$87,'Fórmula'!B23,39),INDEX(properties!A$1:CB$87,'Fórmula'!D23,39),INDEX(properties!A$1:CB$87,'Fórmula'!F23,39),INDEX(properties!A$1:CB$87,'Fórmula'!H23,39),INDEX(properties!A$1:CB$87,'Fórmula'!J23,39))</f>
        <v>2.12</v>
      </c>
      <c r="DV23" s="120">
        <f t="array" ref="DV23">MIN(IF(INDEX(properties!A$1:CB$87,'Fórmula'!B23,39)=0,10^6,INDEX(properties!A$1:CB$87,'Fórmula'!B23,39)),IF(INDEX(properties!A$1:CB$87,'Fórmula'!D23,39)=0,10^6,INDEX(properties!A$1:CB$87,'Fórmula'!D23,39)),IF(INDEX(properties!A$1:CB$87,'Fórmula'!F23,39)=0,10^6,INDEX(properties!A$1:CB$87,'Fórmula'!F23,39)),IF(INDEX(properties!A$1:CB$87,'Fórmula'!H23,39)=0,10^6,INDEX(properties!A$1:CB$87,'Fórmula'!H23,39)),IF(INDEX(properties!A$1:CB$87,'Fórmula'!J23,39)=0,10^6,INDEX(properties!A$1:CB$87,'Fórmula'!J23,39)))</f>
        <v>0.48</v>
      </c>
      <c r="DW23" s="109">
        <f t="shared" si="21"/>
        <v>1.64</v>
      </c>
      <c r="DX23" s="110">
        <f t="array" ref="DX23">(('Fórmula'!C23)/('Fórmula'!C23+'Fórmula'!E23+'Fórmula'!G23+'Fórmula'!I23+'Fórmula'!K23))*(INDEX(properties!A$1:CB$87,'Fórmula'!B23,40))+(('Fórmula'!E23)/('Fórmula'!C23+'Fórmula'!E23+'Fórmula'!G23+'Fórmula'!I23+'Fórmula'!K23))*(INDEX(properties!A$1:CB$87,'Fórmula'!D23,40))+(('Fórmula'!G23)/('Fórmula'!C23+'Fórmula'!E23+'Fórmula'!G23+'Fórmula'!I23+'Fórmula'!K23))*(INDEX(properties!A$1:CB$87,'Fórmula'!F23,40))+(('Fórmula'!I23)/('Fórmula'!C23+'Fórmula'!E23+'Fórmula'!G23+'Fórmula'!I23+'Fórmula'!K23))*(INDEX(properties!A$1:CB$87,'Fórmula'!H23,40))+(('Fórmula'!K23)/('Fórmula'!C23+'Fórmula'!E23+'Fórmula'!G23+'Fórmula'!I23+'Fórmula'!K23))*(INDEX(properties!A$1:CB$87,'Fórmula'!J23,40))</f>
        <v>0.926</v>
      </c>
      <c r="DY23" s="110">
        <f t="array" ref="DY23">'Fórmula'!C23*(INDEX(properties!A$1:CB$87,'Fórmula'!B23,40))+'Fórmula'!E23*(INDEX(properties!A$1:CB$87,'Fórmula'!D23,40))+'Fórmula'!G23*(INDEX(properties!A$1:CB$87,'Fórmula'!F23,40))+'Fórmula'!I23*(INDEX(properties!A$1:CB$87,'Fórmula'!H23,40))+'Fórmula'!K23*(INDEX(properties!A$1:CB$87,'Fórmula'!J23,40))</f>
        <v>4.63</v>
      </c>
      <c r="DZ23" s="110">
        <f t="array" ref="DZ23">VARP(IF(INDEX(properties!A$1:CB$87,'Fórmula'!B23,40)&lt;&gt;"",INDEX(properties!A$1:CB$87,'Fórmula'!B23,40)),IF(INDEX(properties!A$1:CB$87,'Fórmula'!D23,40)&lt;&gt;"",INDEX(properties!A$1:CB$87,'Fórmula'!D23,40)),IF(INDEX(properties!A$1:CB$87,'Fórmula'!F23,40)&lt;&gt;"",INDEX(properties!A$1:CB$87,'Fórmula'!F23,40)),IF(INDEX(properties!A$1:CB$87,'Fórmula'!H23,40)&lt;&gt;"",INDEX(properties!A$1:CB$87,'Fórmula'!H23,40)),IF(INDEX(properties!A$1:CB$87,'Fórmula'!J23,40)&lt;&gt;"",INDEX(properties!A$1:CB$87,'Fórmula'!J23,40)))</f>
        <v>0.363984</v>
      </c>
      <c r="EA23" s="121">
        <f t="array" ref="EA23">MAX(INDEX(properties!A$1:CB$87,'Fórmula'!B23,40),INDEX(properties!A$1:CB$87,'Fórmula'!D23,40),INDEX(properties!A$1:CB$87,'Fórmula'!F23,40),INDEX(properties!A$1:CB$87,'Fórmula'!H23,40),INDEX(properties!A$1:CB$87,'Fórmula'!J23,40))</f>
        <v>1.62</v>
      </c>
      <c r="EB23" s="121">
        <f t="array" ref="EB23">MIN(IF(INDEX(properties!A$1:CB$87,'Fórmula'!B23,40)=0,10^6,INDEX(properties!A$1:CB$87,'Fórmula'!B23,40)),IF(INDEX(properties!A$1:CB$87,'Fórmula'!D23,40)=0,10^6,INDEX(properties!A$1:CB$87,'Fórmula'!D23,40)),IF(INDEX(properties!A$1:CB$87,'Fórmula'!F23,40)=0,10^6,INDEX(properties!A$1:CB$87,'Fórmula'!F23,40)),IF(INDEX(properties!A$1:CB$87,'Fórmula'!H23,40)=0,10^6,INDEX(properties!A$1:CB$87,'Fórmula'!H23,40)),IF(INDEX(properties!A$1:CB$87,'Fórmula'!J23,40)=0,10^6,INDEX(properties!A$1:CB$87,'Fórmula'!J23,40)))</f>
        <v>0.73</v>
      </c>
      <c r="EC23" s="110">
        <f t="shared" si="22"/>
        <v>0.89</v>
      </c>
      <c r="ED23" s="111">
        <f t="array" ref="ED23">(('Fórmula'!C23)/('Fórmula'!C23+'Fórmula'!E23+'Fórmula'!G23+'Fórmula'!I23+'Fórmula'!K23))*(INDEX(properties!A$1:CB$87,'Fórmula'!B23,41))+(('Fórmula'!E23)/('Fórmula'!C23+'Fórmula'!E23+'Fórmula'!G23+'Fórmula'!I23+'Fórmula'!K23))*(INDEX(properties!A$1:CB$87,'Fórmula'!D23,41))+(('Fórmula'!G23)/('Fórmula'!C23+'Fórmula'!E23+'Fórmula'!G23+'Fórmula'!I23+'Fórmula'!K23))*(INDEX(properties!A$1:CB$87,'Fórmula'!F23,41))+(('Fórmula'!I23)/('Fórmula'!C23+'Fórmula'!E23+'Fórmula'!G23+'Fórmula'!I23+'Fórmula'!K23))*(INDEX(properties!A$1:CB$87,'Fórmula'!H23,41))+(('Fórmula'!K23)/('Fórmula'!C23+'Fórmula'!E23+'Fórmula'!G23+'Fórmula'!I23+'Fórmula'!K23))*(INDEX(properties!A$1:CB$87,'Fórmula'!J23,41))</f>
        <v>1.046</v>
      </c>
      <c r="EE23" s="111">
        <f t="array" ref="EE23">'Fórmula'!C23*(INDEX(properties!A$1:CB$87,'Fórmula'!B23,41))+'Fórmula'!E23*(INDEX(properties!A$1:CB$87,'Fórmula'!D23,41))+'Fórmula'!G23*(INDEX(properties!A$1:CB$87,'Fórmula'!F23,41))+'Fórmula'!I23*(INDEX(properties!A$1:CB$87,'Fórmula'!H23,41))+'Fórmula'!K23*(INDEX(properties!A$1:CB$87,'Fórmula'!J23,41))</f>
        <v>5.23</v>
      </c>
      <c r="EF23" s="111">
        <f t="array" ref="EF23">VARP(IF(INDEX(properties!A$1:CB$87,'Fórmula'!B23,41)&lt;&gt;"",INDEX(properties!A$1:CB$87,'Fórmula'!B23,41)),IF(INDEX(properties!A$1:CB$87,'Fórmula'!D23,41)&lt;&gt;"",INDEX(properties!A$1:CB$87,'Fórmula'!D23,41)),IF(INDEX(properties!A$1:CB$87,'Fórmula'!F23,41)&lt;&gt;"",INDEX(properties!A$1:CB$87,'Fórmula'!F23,41)),IF(INDEX(properties!A$1:CB$87,'Fórmula'!H23,41)&lt;&gt;"",INDEX(properties!A$1:CB$87,'Fórmula'!H23,41)),IF(INDEX(properties!A$1:CB$87,'Fórmula'!J23,41)&lt;&gt;"",INDEX(properties!A$1:CB$87,'Fórmula'!J23,41)))</f>
        <v>0.273696</v>
      </c>
      <c r="EG23" s="122">
        <f t="array" ref="EG23">MAX(INDEX(properties!A$1:CB$87,'Fórmula'!B23,41),INDEX(properties!A$1:CB$87,'Fórmula'!D23,41),INDEX(properties!A$1:CB$87,'Fórmula'!F23,41),INDEX(properties!A$1:CB$87,'Fórmula'!H23,41),INDEX(properties!A$1:CB$87,'Fórmula'!J23,41))</f>
        <v>1.26</v>
      </c>
      <c r="EH23" s="122">
        <f t="array" ref="EH23">MIN(IF(INDEX(properties!A$1:CB$87,'Fórmula'!B23,41)=0,10^6,INDEX(properties!A$1:CB$87,'Fórmula'!B23,41)),IF(INDEX(properties!A$1:CB$87,'Fórmula'!D23,41)=0,10^6,INDEX(properties!A$1:CB$87,'Fórmula'!D23,41)),IF(INDEX(properties!A$1:CB$87,'Fórmula'!F23,41)=0,10^6,INDEX(properties!A$1:CB$87,'Fórmula'!F23,41)),IF(INDEX(properties!A$1:CB$87,'Fórmula'!H23,41)=0,10^6,INDEX(properties!A$1:CB$87,'Fórmula'!H23,41)),IF(INDEX(properties!A$1:CB$87,'Fórmula'!J23,41)=0,10^6,INDEX(properties!A$1:CB$87,'Fórmula'!J23,41)))</f>
        <v>0.41</v>
      </c>
      <c r="EI23" s="111">
        <f t="shared" si="23"/>
        <v>0.85</v>
      </c>
      <c r="EJ23" s="112">
        <f t="array" ref="EJ23">(('Fórmula'!C23)/('Fórmula'!C23+'Fórmula'!E23+'Fórmula'!G23+'Fórmula'!I23+'Fórmula'!K23))*(INDEX(properties!A$1:CB$87,'Fórmula'!B23,45))+(('Fórmula'!E23)/('Fórmula'!C23+'Fórmula'!E23+'Fórmula'!G23+'Fórmula'!I23+'Fórmula'!K23))*(INDEX(properties!A$1:CB$87,'Fórmula'!D23,45))+(('Fórmula'!G23)/('Fórmula'!C23+'Fórmula'!E23+'Fórmula'!G23+'Fórmula'!I23+'Fórmula'!K23))*(INDEX(properties!A$1:CB$87,'Fórmula'!F23,45))+(('Fórmula'!I23)/('Fórmula'!C23+'Fórmula'!E23+'Fórmula'!G23+'Fórmula'!I23+'Fórmula'!K23))*(INDEX(properties!A$1:CB$87,'Fórmula'!H23,45))+(('Fórmula'!K23)/('Fórmula'!C23+'Fórmula'!E23+'Fórmula'!G23+'Fórmula'!I23+'Fórmula'!K23))*(INDEX(properties!A$1:CB$87,'Fórmula'!J23,45))</f>
        <v>1.03</v>
      </c>
      <c r="EK23" s="112">
        <f t="array" ref="EK23">'Fórmula'!C23*(INDEX(properties!A$1:CB$87,'Fórmula'!B23,45))+'Fórmula'!E23*(INDEX(properties!A$1:CB$87,'Fórmula'!D23,45))+'Fórmula'!G23*(INDEX(properties!A$1:CB$87,'Fórmula'!F23,45))+'Fórmula'!I23*(INDEX(properties!A$1:CB$87,'Fórmula'!H23,45))+'Fórmula'!K23*(INDEX(properties!A$1:CB$87,'Fórmula'!J23,45))</f>
        <v>5.15</v>
      </c>
      <c r="EL23" s="112">
        <f t="array" ref="EL23">VARP(IF(INDEX(properties!A$1:CB$87,'Fórmula'!B23,45)&lt;&gt;"",INDEX(properties!A$1:CB$87,'Fórmula'!B23,45)),IF(INDEX(properties!A$1:CB$87,'Fórmula'!D23,45)&lt;&gt;"",INDEX(properties!A$1:CB$87,'Fórmula'!D23,45)),IF(INDEX(properties!A$1:CB$87,'Fórmula'!F23,45)&lt;&gt;"",INDEX(properties!A$1:CB$87,'Fórmula'!F23,45)),IF(INDEX(properties!A$1:CB$87,'Fórmula'!H23,45)&lt;&gt;"",INDEX(properties!A$1:CB$87,'Fórmula'!H23,45)),IF(INDEX(properties!A$1:CB$87,'Fórmula'!J23,45)&lt;&gt;"",INDEX(properties!A$1:CB$87,'Fórmula'!J23,45)))</f>
        <v>1.191936</v>
      </c>
      <c r="EM23" s="123">
        <f t="array" ref="EM23">MAX(INDEX(properties!A$1:CB$87,'Fórmula'!B23,45),INDEX(properties!A$1:CB$87,'Fórmula'!D23,45),INDEX(properties!A$1:CB$87,'Fórmula'!F23,45),INDEX(properties!A$1:CB$87,'Fórmula'!H23,45),INDEX(properties!A$1:CB$87,'Fórmula'!J23,45))</f>
        <v>2.94</v>
      </c>
      <c r="EN23" s="123">
        <f t="array" ref="EN23">MIN(IF(INDEX(properties!A$1:CB$87,'Fórmula'!B23,45)=0,10^6,INDEX(properties!A$1:CB$87,'Fórmula'!B23,45)),IF(INDEX(properties!A$1:CB$87,'Fórmula'!D23,45)=0,10^6,INDEX(properties!A$1:CB$87,'Fórmula'!D23,45)),IF(INDEX(properties!A$1:CB$87,'Fórmula'!F23,45)=0,10^6,INDEX(properties!A$1:CB$87,'Fórmula'!F23,45)),IF(INDEX(properties!A$1:CB$87,'Fórmula'!H23,45)=0,10^6,INDEX(properties!A$1:CB$87,'Fórmula'!H23,45)),IF(INDEX(properties!A$1:CB$87,'Fórmula'!J23,45)=0,10^6,INDEX(properties!A$1:CB$87,'Fórmula'!J23,45)))</f>
        <v>0.47</v>
      </c>
      <c r="EO23" s="112">
        <f t="shared" si="24"/>
        <v>2.47</v>
      </c>
      <c r="EP23" s="113">
        <f t="array" ref="EP23">(('Fórmula'!C23)/('Fórmula'!C23+'Fórmula'!E23+'Fórmula'!G23+'Fórmula'!I23+'Fórmula'!K23))*(INDEX(properties!A$1:CB$87,'Fórmula'!B23,46))+(('Fórmula'!E23)/('Fórmula'!C23+'Fórmula'!E23+'Fórmula'!G23+'Fórmula'!I23+'Fórmula'!K23))*(INDEX(properties!A$1:CB$87,'Fórmula'!D23,46))+(('Fórmula'!G23)/('Fórmula'!C23+'Fórmula'!E23+'Fórmula'!G23+'Fórmula'!I23+'Fórmula'!K23))*(INDEX(properties!A$1:CB$87,'Fórmula'!F23,46))+(('Fórmula'!I23)/('Fórmula'!C23+'Fórmula'!E23+'Fórmula'!G23+'Fórmula'!I23+'Fórmula'!K23))*(INDEX(properties!A$1:CB$87,'Fórmula'!H23,46))+(('Fórmula'!K23)/('Fórmula'!C23+'Fórmula'!E23+'Fórmula'!G23+'Fórmula'!I23+'Fórmula'!K23))*(INDEX(properties!A$1:CB$87,'Fórmula'!J23,46))</f>
        <v>0.984</v>
      </c>
      <c r="EQ23" s="113">
        <f t="array" ref="EQ23">'Fórmula'!C23*(INDEX(properties!A$1:CB$87,'Fórmula'!B23,46))+'Fórmula'!E23*(INDEX(properties!A$1:CB$87,'Fórmula'!D23,46))+'Fórmula'!G23*(INDEX(properties!A$1:CB$87,'Fórmula'!F23,46))+'Fórmula'!I23*(INDEX(properties!A$1:CB$87,'Fórmula'!H23,46))+'Fórmula'!K23*(INDEX(properties!A$1:CB$87,'Fórmula'!J23,46))</f>
        <v>4.92</v>
      </c>
      <c r="ER23" s="113">
        <f t="array" ref="ER23">VARP(IF(INDEX(properties!A$1:CB$87,'Fórmula'!B23,46)&lt;&gt;"",INDEX(properties!A$1:CB$87,'Fórmula'!B23,46)),IF(INDEX(properties!A$1:CB$87,'Fórmula'!D23,46)&lt;&gt;"",INDEX(properties!A$1:CB$87,'Fórmula'!D23,46)),IF(INDEX(properties!A$1:CB$87,'Fórmula'!F23,46)&lt;&gt;"",INDEX(properties!A$1:CB$87,'Fórmula'!F23,46)),IF(INDEX(properties!A$1:CB$87,'Fórmula'!H23,46)&lt;&gt;"",INDEX(properties!A$1:CB$87,'Fórmula'!H23,46)),IF(INDEX(properties!A$1:CB$87,'Fórmula'!J23,46)&lt;&gt;"",INDEX(properties!A$1:CB$87,'Fórmula'!J23,46)))</f>
        <v>0.27164</v>
      </c>
      <c r="ES23" s="124">
        <f t="array" ref="ES23">MAX(INDEX(properties!A$1:CB$87,'Fórmula'!B23,46),INDEX(properties!A$1:CB$87,'Fórmula'!D23,46),INDEX(properties!A$1:CB$87,'Fórmula'!F23,46),INDEX(properties!A$1:CB$87,'Fórmula'!H23,46),INDEX(properties!A$1:CB$87,'Fórmula'!J23,46))</f>
        <v>1.21</v>
      </c>
      <c r="ET23" s="124">
        <f t="array" ref="ET23">MIN(IF(INDEX(properties!A$1:CB$87,'Fórmula'!B23,46)=0,10^6,INDEX(properties!A$1:CB$87,'Fórmula'!B23,46)),IF(INDEX(properties!A$1:CB$87,'Fórmula'!D23,46)=0,10^6,INDEX(properties!A$1:CB$87,'Fórmula'!D23,46)),IF(INDEX(properties!A$1:CB$87,'Fórmula'!F23,46)=0,10^6,INDEX(properties!A$1:CB$87,'Fórmula'!F23,46)),IF(INDEX(properties!A$1:CB$87,'Fórmula'!H23,46)=0,10^6,INDEX(properties!A$1:CB$87,'Fórmula'!H23,46)),IF(INDEX(properties!A$1:CB$87,'Fórmula'!J23,46)=0,10^6,INDEX(properties!A$1:CB$87,'Fórmula'!J23,46)))</f>
        <v>0.25</v>
      </c>
      <c r="EU23" s="113">
        <f t="shared" si="25"/>
        <v>0.96</v>
      </c>
      <c r="EV23" s="114">
        <f t="array" ref="EV23">(('Fórmula'!C23)/('Fórmula'!C23+'Fórmula'!E23+'Fórmula'!G23+'Fórmula'!I23+'Fórmula'!K23))*(INDEX(properties!A$1:CB$87,'Fórmula'!B23,52))+(('Fórmula'!E23)/('Fórmula'!C23+'Fórmula'!E23+'Fórmula'!G23+'Fórmula'!I23+'Fórmula'!K23))*(INDEX(properties!A$1:CB$87,'Fórmula'!D23,52))+(('Fórmula'!G23)/('Fórmula'!C23+'Fórmula'!E23+'Fórmula'!G23+'Fórmula'!I23+'Fórmula'!K23))*(INDEX(properties!A$1:CB$87,'Fórmula'!F23,52))+(('Fórmula'!I23)/('Fórmula'!C23+'Fórmula'!E23+'Fórmula'!G23+'Fórmula'!I23+'Fórmula'!K23))*(INDEX(properties!A$1:CB$87,'Fórmula'!H23,52))+(('Fórmula'!K23)/('Fórmula'!C23+'Fórmula'!E23+'Fórmula'!G23+'Fórmula'!I23+'Fórmula'!K23))*(INDEX(properties!A$1:CB$87,'Fórmula'!J23,52))</f>
        <v>5.6158</v>
      </c>
      <c r="EW23" s="114">
        <f t="array" ref="EW23">'Fórmula'!C23*(INDEX(properties!A$1:CB$87,'Fórmula'!B23,52))+'Fórmula'!E23*(INDEX(properties!A$1:CB$87,'Fórmula'!D23,52))+'Fórmula'!G23*(INDEX(properties!A$1:CB$87,'Fórmula'!F23,52))+'Fórmula'!I23*(INDEX(properties!A$1:CB$87,'Fórmula'!H23,52))+'Fórmula'!K23*(INDEX(properties!A$1:CB$87,'Fórmula'!J23,52))</f>
        <v>28.079</v>
      </c>
      <c r="EX23" s="114">
        <f t="array" ref="EX23">VARP(IF(INDEX(properties!A$1:CB$87,'Fórmula'!B23,52)&lt;&gt;"",INDEX(properties!A$1:CB$87,'Fórmula'!B23,52)),IF(INDEX(properties!A$1:CB$87,'Fórmula'!D23,52)&lt;&gt;"",INDEX(properties!A$1:CB$87,'Fórmula'!D23,52)),IF(INDEX(properties!A$1:CB$87,'Fórmula'!F23,52)&lt;&gt;"",INDEX(properties!A$1:CB$87,'Fórmula'!F23,52)),IF(INDEX(properties!A$1:CB$87,'Fórmula'!H23,52)&lt;&gt;"",INDEX(properties!A$1:CB$87,'Fórmula'!H23,52)),IF(INDEX(properties!A$1:CB$87,'Fórmula'!J23,52)&lt;&gt;"",INDEX(properties!A$1:CB$87,'Fórmula'!J23,52)))</f>
        <v>76.90860784</v>
      </c>
      <c r="EY23" s="114">
        <f t="array" ref="EY23">MAX(INDEX(properties!A$1:CB$87,'Fórmula'!B23,52),INDEX(properties!A$1:CB$87,'Fórmula'!D23,52),INDEX(properties!A$1:CB$87,'Fórmula'!F23,52),INDEX(properties!A$1:CB$87,'Fórmula'!H23,52),INDEX(properties!A$1:CB$87,'Fórmula'!J23,52))</f>
        <v>22.7</v>
      </c>
      <c r="EZ23" s="114">
        <f t="array" ref="EZ23">MIN(IF(INDEX(properties!A$1:CB$87,'Fórmula'!B23,52)=0,10^6,INDEX(properties!A$1:CB$87,'Fórmula'!B23,52)),IF(INDEX(properties!A$1:CB$87,'Fórmula'!D23,52)=0,10^6,INDEX(properties!A$1:CB$87,'Fórmula'!D23,52)),IF(INDEX(properties!A$1:CB$87,'Fórmula'!F23,52)=0,10^6,INDEX(properties!A$1:CB$87,'Fórmula'!F23,52)),IF(INDEX(properties!A$1:CB$87,'Fórmula'!H23,52)=0,10^6,INDEX(properties!A$1:CB$87,'Fórmula'!H23,52)),IF(INDEX(properties!A$1:CB$87,'Fórmula'!J23,52)=0,10^6,INDEX(properties!A$1:CB$87,'Fórmula'!J23,52)))</f>
        <v>0.793</v>
      </c>
      <c r="FA23" s="114">
        <f t="shared" si="26"/>
        <v>21.907</v>
      </c>
      <c r="FB23" s="115">
        <f t="array" ref="FB23">(('Fórmula'!C23)/('Fórmula'!C23+'Fórmula'!E23+'Fórmula'!G23+'Fórmula'!I23+'Fórmula'!K23))*(INDEX(properties!A$1:CB$87,'Fórmula'!B23,53))+(('Fórmula'!E23)/('Fórmula'!C23+'Fórmula'!E23+'Fórmula'!G23+'Fórmula'!I23+'Fórmula'!K23))*(INDEX(properties!A$1:CB$87,'Fórmula'!D23,53))+(('Fórmula'!G23)/('Fórmula'!C23+'Fórmula'!E23+'Fórmula'!G23+'Fórmula'!I23+'Fórmula'!K23))*(INDEX(properties!A$1:CB$87,'Fórmula'!F23,53))+(('Fórmula'!I23)/('Fórmula'!C23+'Fórmula'!E23+'Fórmula'!G23+'Fórmula'!I23+'Fórmula'!K23))*(INDEX(properties!A$1:CB$87,'Fórmula'!H23,53))+(('Fórmula'!K23)/('Fórmula'!C23+'Fórmula'!E23+'Fórmula'!G23+'Fórmula'!I23+'Fórmula'!K23))*(INDEX(properties!A$1:CB$87,'Fórmula'!J23,53))</f>
        <v>862.51</v>
      </c>
      <c r="FC23" s="115">
        <f t="array" ref="FC23">'Fórmula'!C23*(INDEX(properties!A$1:CB$87,'Fórmula'!B23,53))+'Fórmula'!E23*(INDEX(properties!A$1:CB$87,'Fórmula'!D23,53))+'Fórmula'!G23*(INDEX(properties!A$1:CB$87,'Fórmula'!F23,53))+'Fórmula'!I23*(INDEX(properties!A$1:CB$87,'Fórmula'!H23,53))+'Fórmula'!K23*(INDEX(properties!A$1:CB$87,'Fórmula'!J23,53))</f>
        <v>4312.55</v>
      </c>
      <c r="FD23" s="115">
        <f t="array" ref="FD23">VARP(IF(INDEX(properties!A$1:CB$87,'Fórmula'!B23,53)&lt;&gt;"",INDEX(properties!A$1:CB$87,'Fórmula'!B23,53)),IF(INDEX(properties!A$1:CB$87,'Fórmula'!D23,53)&lt;&gt;"",INDEX(properties!A$1:CB$87,'Fórmula'!D23,53)),IF(INDEX(properties!A$1:CB$87,'Fórmula'!F23,53)&lt;&gt;"",INDEX(properties!A$1:CB$87,'Fórmula'!F23,53)),IF(INDEX(properties!A$1:CB$87,'Fórmula'!H23,53)&lt;&gt;"",INDEX(properties!A$1:CB$87,'Fórmula'!H23,53)),IF(INDEX(properties!A$1:CB$87,'Fórmula'!J23,53)&lt;&gt;"",INDEX(properties!A$1:CB$87,'Fórmula'!J23,53)))</f>
        <v>1045727.229</v>
      </c>
      <c r="FE23" s="115">
        <f t="array" ref="FE23">MAX(INDEX(properties!A$1:CB$87,'Fórmula'!B23,53),INDEX(properties!A$1:CB$87,'Fórmula'!D23,53),INDEX(properties!A$1:CB$87,'Fórmula'!F23,53),INDEX(properties!A$1:CB$87,'Fórmula'!H23,53),INDEX(properties!A$1:CB$87,'Fórmula'!J23,53))</f>
        <v>2352.15</v>
      </c>
      <c r="FF23" s="115">
        <f t="array" ref="FF23">MIN(IF(INDEX(properties!A$1:CB$87,'Fórmula'!B23,53)=0,10^6,INDEX(properties!A$1:CB$87,'Fórmula'!B23,53)),IF(INDEX(properties!A$1:CB$87,'Fórmula'!D23,53)=0,10^6,INDEX(properties!A$1:CB$87,'Fórmula'!D23,53)),IF(INDEX(properties!A$1:CB$87,'Fórmula'!F23,53)=0,10^6,INDEX(properties!A$1:CB$87,'Fórmula'!F23,53)),IF(INDEX(properties!A$1:CB$87,'Fórmula'!H23,53)=0,10^6,INDEX(properties!A$1:CB$87,'Fórmula'!H23,53)),IF(INDEX(properties!A$1:CB$87,'Fórmula'!J23,53)=0,10^6,INDEX(properties!A$1:CB$87,'Fórmula'!J23,53)))</f>
        <v>54.75</v>
      </c>
      <c r="FG23" s="115">
        <f t="shared" si="27"/>
        <v>2297.4</v>
      </c>
      <c r="FH23" s="117">
        <f t="array" ref="FH23">(('Fórmula'!C23)/('Fórmula'!C23+'Fórmula'!E23+'Fórmula'!G23+'Fórmula'!I23+'Fórmula'!K23))*(INDEX(properties!A$1:CB$87,'Fórmula'!B23,54))+(('Fórmula'!E23)/('Fórmula'!C23+'Fórmula'!E23+'Fórmula'!G23+'Fórmula'!I23+'Fórmula'!K23))*(INDEX(properties!A$1:CB$87,'Fórmula'!D23,54))+(('Fórmula'!G23)/('Fórmula'!C23+'Fórmula'!E23+'Fórmula'!G23+'Fórmula'!I23+'Fórmula'!K23))*(INDEX(properties!A$1:CB$87,'Fórmula'!F23,54))+(('Fórmula'!I23)/('Fórmula'!C23+'Fórmula'!E23+'Fórmula'!G23+'Fórmula'!I23+'Fórmula'!K23))*(INDEX(properties!A$1:CB$87,'Fórmula'!H23,54))+(('Fórmula'!K23)/('Fórmula'!C23+'Fórmula'!E23+'Fórmula'!G23+'Fórmula'!I23+'Fórmula'!K23))*(INDEX(properties!A$1:CB$87,'Fórmula'!J23,54))</f>
        <v>1631.12</v>
      </c>
      <c r="FI23" s="117">
        <f t="array" ref="FI23">'Fórmula'!C23*(INDEX(properties!A$1:CB$87,'Fórmula'!B23,54))+'Fórmula'!E23*(INDEX(properties!A$1:CB$87,'Fórmula'!D23,54))+'Fórmula'!G23*(INDEX(properties!A$1:CB$87,'Fórmula'!F23,54))+'Fórmula'!I23*(INDEX(properties!A$1:CB$87,'Fórmula'!H23,54))+'Fórmula'!K23*(INDEX(properties!A$1:CB$87,'Fórmula'!J23,54))</f>
        <v>8155.6</v>
      </c>
      <c r="FJ23" s="117">
        <f t="array" ref="FJ23">VARP(IF(INDEX(properties!A$1:CB$87,'Fórmula'!B23,54)&lt;&gt;"",INDEX(properties!A$1:CB$87,'Fórmula'!B23,54)),IF(INDEX(properties!A$1:CB$87,'Fórmula'!D23,54)&lt;&gt;"",INDEX(properties!A$1:CB$87,'Fórmula'!D23,54)),IF(INDEX(properties!A$1:CB$87,'Fórmula'!F23,54)&lt;&gt;"",INDEX(properties!A$1:CB$87,'Fórmula'!F23,54)),IF(INDEX(properties!A$1:CB$87,'Fórmula'!H23,54)&lt;&gt;"",INDEX(properties!A$1:CB$87,'Fórmula'!H23,54)),IF(INDEX(properties!A$1:CB$87,'Fórmula'!J23,54)&lt;&gt;"",INDEX(properties!A$1:CB$87,'Fórmula'!J23,54)))</f>
        <v>3719170.605</v>
      </c>
      <c r="FK23" s="117">
        <f t="array" ref="FK23">MAX(INDEX(properties!A$1:CB$87,'Fórmula'!B23,54),INDEX(properties!A$1:CB$87,'Fórmula'!D23,54),INDEX(properties!A$1:CB$87,'Fórmula'!F23,54),INDEX(properties!A$1:CB$87,'Fórmula'!H23,54),INDEX(properties!A$1:CB$87,'Fórmula'!J23,54))</f>
        <v>4275</v>
      </c>
      <c r="FL23" s="117">
        <f t="array" ref="FL23">MIN(IF(INDEX(properties!A$1:CB$87,'Fórmula'!B23,54)=0,10^6,INDEX(properties!A$1:CB$87,'Fórmula'!B23,54)),IF(INDEX(properties!A$1:CB$87,'Fórmula'!D23,54)=0,10^6,INDEX(properties!A$1:CB$87,'Fórmula'!D23,54)),IF(INDEX(properties!A$1:CB$87,'Fórmula'!F23,54)=0,10^6,INDEX(properties!A$1:CB$87,'Fórmula'!F23,54)),IF(INDEX(properties!A$1:CB$87,'Fórmula'!H23,54)=0,10^6,INDEX(properties!A$1:CB$87,'Fórmula'!H23,54)),IF(INDEX(properties!A$1:CB$87,'Fórmula'!J23,54)=0,10^6,INDEX(properties!A$1:CB$87,'Fórmula'!J23,54)))</f>
        <v>90.15</v>
      </c>
      <c r="FM23" s="117">
        <f t="shared" si="28"/>
        <v>4184.85</v>
      </c>
      <c r="FN23" s="118">
        <f t="array" ref="FN23">(('Fórmula'!C23)/('Fórmula'!C23+'Fórmula'!E23+'Fórmula'!G23+'Fórmula'!I23+'Fórmula'!K23))*(INDEX(properties!A$1:CB$87,'Fórmula'!B23,55))+(('Fórmula'!E23)/('Fórmula'!C23+'Fórmula'!E23+'Fórmula'!G23+'Fórmula'!I23+'Fórmula'!K23))*(INDEX(properties!A$1:CB$87,'Fórmula'!D23,55))+(('Fórmula'!G23)/('Fórmula'!C23+'Fórmula'!E23+'Fórmula'!G23+'Fórmula'!I23+'Fórmula'!K23))*(INDEX(properties!A$1:CB$87,'Fórmula'!F23,55))+(('Fórmula'!I23)/('Fórmula'!C23+'Fórmula'!E23+'Fórmula'!G23+'Fórmula'!I23+'Fórmula'!K23))*(INDEX(properties!A$1:CB$87,'Fórmula'!H23,55))+(('Fórmula'!K23)/('Fórmula'!C23+'Fórmula'!E23+'Fórmula'!G23+'Fórmula'!I23+'Fórmula'!K23))*(INDEX(properties!A$1:CB$87,'Fórmula'!J23,55))</f>
        <v>1.362858</v>
      </c>
      <c r="FO23" s="118">
        <f t="array" ref="FO23">'Fórmula'!C23*(INDEX(properties!A$1:CB$87,'Fórmula'!B23,55))+'Fórmula'!E23*(INDEX(properties!A$1:CB$87,'Fórmula'!D23,54))+'Fórmula'!G23*(INDEX(properties!A$1:CB$87,'Fórmula'!F23,55))+'Fórmula'!I23*(INDEX(properties!A$1:CB$87,'Fórmula'!H23,55))+'Fórmula'!K23*(INDEX(properties!A$1:CB$87,'Fórmula'!J23,55))</f>
        <v>4279.47429</v>
      </c>
      <c r="FP23" s="118">
        <f t="array" ref="FP23">VARP(IF(INDEX(properties!A$1:CB$87,'Fórmula'!B23,55)&lt;&gt;"",INDEX(properties!A$1:CB$87,'Fórmula'!B23,55)),IF(INDEX(properties!A$1:CB$87,'Fórmula'!D23,55)&lt;&gt;"",INDEX(properties!A$1:CB$87,'Fórmula'!D23,55)),IF(INDEX(properties!A$1:CB$87,'Fórmula'!F23,55)&lt;&gt;"",INDEX(properties!A$1:CB$87,'Fórmula'!F23,55)),IF(INDEX(properties!A$1:CB$87,'Fórmula'!H23,55)&lt;&gt;"",INDEX(properties!A$1:CB$87,'Fórmula'!H23,55)),IF(INDEX(properties!A$1:CB$87,'Fórmula'!J23,55)&lt;&gt;"",INDEX(properties!A$1:CB$87,'Fórmula'!J23,55)))</f>
        <v>3.235477263</v>
      </c>
      <c r="FQ23" s="118">
        <f t="array" ref="FQ23">MAX(INDEX(properties!A$1:CB$87,'Fórmula'!B23,55),INDEX(properties!A$1:CB$87,'Fórmula'!D23,55),INDEX(properties!A$1:CB$87,'Fórmula'!F23,55),INDEX(properties!A$1:CB$87,'Fórmula'!H23,55),INDEX(properties!A$1:CB$87,'Fórmula'!J23,55))</f>
        <v>4.47</v>
      </c>
      <c r="FR23" s="118">
        <f t="array" ref="FR23">MIN(IF(INDEX(properties!A$1:CB$87,'Fórmula'!B23,55)=0,10^6,INDEX(properties!A$1:CB$87,'Fórmula'!B23,55)),IF(INDEX(properties!A$1:CB$87,'Fórmula'!D23,55)=0,10^6,INDEX(properties!A$1:CB$87,'Fórmula'!D23,55)),IF(INDEX(properties!A$1:CB$87,'Fórmula'!F23,55)=0,10^6,INDEX(properties!A$1:CB$87,'Fórmula'!F23,55)),IF(INDEX(properties!A$1:CB$87,'Fórmula'!H23,55)=0,10^6,INDEX(properties!A$1:CB$87,'Fórmula'!H23,55)),IF(INDEX(properties!A$1:CB$87,'Fórmula'!J23,55)=0,10^6,INDEX(properties!A$1:CB$87,'Fórmula'!J23,55)))</f>
        <v>0.00143</v>
      </c>
      <c r="FS23" s="118">
        <f t="shared" si="29"/>
        <v>4.46857</v>
      </c>
      <c r="FT23" s="119">
        <f t="array" ref="FT23">(('Fórmula'!C23)/('Fórmula'!C23+'Fórmula'!E23+'Fórmula'!G23+'Fórmula'!I23+'Fórmula'!K23))*(INDEX(properties!A$1:CB$87,'Fórmula'!B23,56))+(('Fórmula'!E23)/('Fórmula'!C23+'Fórmula'!E23+'Fórmula'!G23+'Fórmula'!I23+'Fórmula'!K23))*(INDEX(properties!A$1:CB$87,'Fórmula'!D23,56))+(('Fórmula'!G23)/('Fórmula'!C23+'Fórmula'!E23+'Fórmula'!G23+'Fórmula'!I23+'Fórmula'!K23))*(INDEX(properties!A$1:CB$87,'Fórmula'!F23,56))+(('Fórmula'!I23)/('Fórmula'!C23+'Fórmula'!E23+'Fórmula'!G23+'Fórmula'!I23+'Fórmula'!K23))*(INDEX(properties!A$1:CB$87,'Fórmula'!H23,56))+(('Fórmula'!K23)/('Fórmula'!C23+'Fórmula'!E23+'Fórmula'!G23+'Fórmula'!I23+'Fórmula'!K23))*(INDEX(properties!A$1:CB$87,'Fórmula'!J23,56))</f>
        <v>0.816</v>
      </c>
      <c r="FU23" s="119">
        <f t="array" ref="FU23">'Fórmula'!C23*(INDEX(properties!A$1:CB$87,'Fórmula'!B23,56))+'Fórmula'!E23*(INDEX(properties!A$1:CB$87,'Fórmula'!D23,56))+'Fórmula'!G23*(INDEX(properties!A$1:CB$87,'Fórmula'!F23,56))+'Fórmula'!I23*(INDEX(properties!A$1:CB$87,'Fórmula'!H23,56))+'Fórmula'!K23*(INDEX(properties!A$1:CB$87,'Fórmula'!J23,56))</f>
        <v>4.08</v>
      </c>
      <c r="FV23" s="119">
        <f t="array" ref="FV23">VARP(IF(INDEX(properties!A$1:CB$87,'Fórmula'!B23,56)&lt;&gt;"",INDEX(properties!A$1:CB$87,'Fórmula'!B23,56)),IF(INDEX(properties!A$1:CB$87,'Fórmula'!D23,56)&lt;&gt;"",INDEX(properties!A$1:CB$87,'Fórmula'!D23,56)),IF(INDEX(properties!A$1:CB$87,'Fórmula'!F23,56)&lt;&gt;"",INDEX(properties!A$1:CB$87,'Fórmula'!F23,56)),IF(INDEX(properties!A$1:CB$87,'Fórmula'!H23,56)&lt;&gt;"",INDEX(properties!A$1:CB$87,'Fórmula'!H23,56)),IF(INDEX(properties!A$1:CB$87,'Fórmula'!J23,56)&lt;&gt;"",INDEX(properties!A$1:CB$87,'Fórmula'!J23,56)))</f>
        <v>0.194656</v>
      </c>
      <c r="FW23" s="119">
        <f t="array" ref="FW23">MAX(INDEX(properties!A$1:CB$87,'Fórmula'!B23,56),INDEX(properties!A$1:CB$87,'Fórmula'!D23,56),INDEX(properties!A$1:CB$87,'Fórmula'!F23,56),INDEX(properties!A$1:CB$87,'Fórmula'!H23,56),INDEX(properties!A$1:CB$87,'Fórmula'!J23,56))</f>
        <v>1.02</v>
      </c>
      <c r="FX23" s="119">
        <f t="array" ref="FX23">MIN(IF(INDEX(properties!A$1:CB$87,'Fórmula'!B23,56)=0,10^6,INDEX(properties!A$1:CB$87,'Fórmula'!B23,56)),IF(INDEX(properties!A$1:CB$87,'Fórmula'!D23,56)=0,10^6,INDEX(properties!A$1:CB$87,'Fórmula'!D23,56)),IF(INDEX(properties!A$1:CB$87,'Fórmula'!F23,56)=0,10^6,INDEX(properties!A$1:CB$87,'Fórmula'!F23,56)),IF(INDEX(properties!A$1:CB$87,'Fórmula'!H23,56)=0,10^6,INDEX(properties!A$1:CB$87,'Fórmula'!H23,56)),IF(INDEX(properties!A$1:CB$87,'Fórmula'!J23,56)=0,10^6,INDEX(properties!A$1:CB$87,'Fórmula'!J23,56)))</f>
        <v>0.3</v>
      </c>
      <c r="FY23" s="119">
        <f t="shared" si="30"/>
        <v>0.72</v>
      </c>
      <c r="FZ23" s="104">
        <f t="array" ref="FZ23">(('Fórmula'!C23)/('Fórmula'!C23+'Fórmula'!E23+'Fórmula'!G23+'Fórmula'!I23+'Fórmula'!K23))*(INDEX(properties!A$1:CB$87,'Fórmula'!B23,57))+(('Fórmula'!E23)/('Fórmula'!C23+'Fórmula'!E23+'Fórmula'!G23+'Fórmula'!I23+'Fórmula'!K23))*(INDEX(properties!A$1:CB$87,'Fórmula'!D23,57))+(('Fórmula'!G23)/('Fórmula'!C23+'Fórmula'!E23+'Fórmula'!G23+'Fórmula'!I23+'Fórmula'!K23))*(INDEX(properties!A$1:CB$87,'Fórmula'!F23,57))+(('Fórmula'!I23)/('Fórmula'!C23+'Fórmula'!E23+'Fórmula'!G23+'Fórmula'!I23+'Fórmula'!K23))*(INDEX(properties!A$1:CB$87,'Fórmula'!H23,57))+(('Fórmula'!K23)/('Fórmula'!C23+'Fórmula'!E23+'Fórmula'!G23+'Fórmula'!I23+'Fórmula'!K23))*(INDEX(properties!A$1:CB$87,'Fórmula'!J23,57))</f>
        <v>12.453554</v>
      </c>
      <c r="GA23" s="104">
        <f t="array" ref="GA23">'Fórmula'!C23*(INDEX(properties!A$1:CB$87,'Fórmula'!B23,57))+'Fórmula'!E23*(INDEX(properties!A$1:CB$87,'Fórmula'!D23,57))+'Fórmula'!G23*(INDEX(properties!A$1:CB$87,'Fórmula'!F23,57))+'Fórmula'!I23*(INDEX(properties!A$1:CB$87,'Fórmula'!H23,57))+'Fórmula'!K23*(INDEX(properties!A$1:CB$87,'Fórmula'!J23,57))</f>
        <v>62.26777</v>
      </c>
      <c r="GB23" s="104">
        <f t="array" ref="GB23">VARP(IF(INDEX(properties!A$1:CB$87,'Fórmula'!B23,57)&lt;&gt;"",INDEX(properties!A$1:CB$87,'Fórmula'!B23,57)),IF(INDEX(properties!A$1:CB$87,'Fórmula'!D23,57)&lt;&gt;"",INDEX(properties!A$1:CB$87,'Fórmula'!D23,57)),IF(INDEX(properties!A$1:CB$87,'Fórmula'!F23,57)&lt;&gt;"",INDEX(properties!A$1:CB$87,'Fórmula'!F23,57)),IF(INDEX(properties!A$1:CB$87,'Fórmula'!H23,57)&lt;&gt;"",INDEX(properties!A$1:CB$87,'Fórmula'!H23,57)),IF(INDEX(properties!A$1:CB$87,'Fórmula'!J23,57)&lt;&gt;"",INDEX(properties!A$1:CB$87,'Fórmula'!J23,57)))</f>
        <v>377.1286039</v>
      </c>
      <c r="GC23" s="104">
        <f t="array" ref="GC23">MAX(INDEX(properties!A$1:CB$87,'Fórmula'!B23,57),INDEX(properties!A$1:CB$87,'Fórmula'!D23,57),INDEX(properties!A$1:CB$87,'Fórmula'!F23,57),INDEX(properties!A$1:CB$87,'Fórmula'!H23,57),INDEX(properties!A$1:CB$87,'Fórmula'!J23,57))</f>
        <v>50.2</v>
      </c>
      <c r="GD23" s="104">
        <f t="array" ref="GD23">MIN(IF(INDEX(properties!A$1:CB$87,'Fórmula'!B23,57)=0,10^6,INDEX(properties!A$1:CB$87,'Fórmula'!B23,57)),IF(INDEX(properties!A$1:CB$87,'Fórmula'!D23,57)=0,10^6,INDEX(properties!A$1:CB$87,'Fórmula'!D23,57)),IF(INDEX(properties!A$1:CB$87,'Fórmula'!F23,57)=0,10^6,INDEX(properties!A$1:CB$87,'Fórmula'!F23,57)),IF(INDEX(properties!A$1:CB$87,'Fórmula'!H23,57)=0,10^6,INDEX(properties!A$1:CB$87,'Fórmula'!H23,57)),IF(INDEX(properties!A$1:CB$87,'Fórmula'!J23,57)=0,10^6,INDEX(properties!A$1:CB$87,'Fórmula'!J23,57)))</f>
        <v>0.22259</v>
      </c>
      <c r="GE23" s="104">
        <f t="shared" si="31"/>
        <v>49.97741</v>
      </c>
      <c r="GF23" s="105">
        <f t="array" ref="GF23">(('Fórmula'!C23)/('Fórmula'!C23+'Fórmula'!E23+'Fórmula'!G23+'Fórmula'!I23+'Fórmula'!K23))*(INDEX(properties!A$1:CB$87,'Fórmula'!B23,60))+(('Fórmula'!E23)/('Fórmula'!C23+'Fórmula'!E23+'Fórmula'!G23+'Fórmula'!I23+'Fórmula'!K23))*(INDEX(properties!A$1:CB$87,'Fórmula'!D23,60))+(('Fórmula'!G23)/('Fórmula'!C23+'Fórmula'!E23+'Fórmula'!G23+'Fórmula'!I23+'Fórmula'!K23))*(INDEX(properties!A$1:CB$87,'Fórmula'!F23,60))+(('Fórmula'!I23)/('Fórmula'!C23+'Fórmula'!E23+'Fórmula'!G23+'Fórmula'!I23+'Fórmula'!K23))*(INDEX(properties!A$1:CB$87,'Fórmula'!H23,60))+(('Fórmula'!K23)/('Fórmula'!C23+'Fórmula'!E23+'Fórmula'!G23+'Fórmula'!I23+'Fórmula'!K23))*(INDEX(properties!A$1:CB$87,'Fórmula'!J23,60))</f>
        <v>8.856044</v>
      </c>
      <c r="GG23" s="105">
        <f t="array" ref="GG23">'Fórmula'!C23*(INDEX(properties!A$1:CB$87,'Fórmula'!B23,60))+'Fórmula'!E23*(INDEX(properties!A$1:CB$87,'Fórmula'!D23,60))+'Fórmula'!G23*(INDEX(properties!A$1:CB$87,'Fórmula'!F23,60))+'Fórmula'!I23*(INDEX(properties!A$1:CB$87,'Fórmula'!H23,60))+'Fórmula'!K23*(INDEX(properties!A$1:CB$87,'Fórmula'!J23,60))</f>
        <v>44.28022</v>
      </c>
      <c r="GH23" s="105">
        <f t="array" ref="GH23">VARP(IF(INDEX(properties!A$1:CB$87,'Fórmula'!B23,60)&lt;&gt;"",INDEX(properties!A$1:CB$87,'Fórmula'!B23,60)),IF(INDEX(properties!A$1:CB$87,'Fórmula'!D23,60)&lt;&gt;"",INDEX(properties!A$1:CB$87,'Fórmula'!D23,60)),IF(INDEX(properties!A$1:CB$87,'Fórmula'!F23,60)&lt;&gt;"",INDEX(properties!A$1:CB$87,'Fórmula'!F23,60)),IF(INDEX(properties!A$1:CB$87,'Fórmula'!H23,60)&lt;&gt;"",INDEX(properties!A$1:CB$87,'Fórmula'!H23,60)),IF(INDEX(properties!A$1:CB$87,'Fórmula'!J23,60)&lt;&gt;"",INDEX(properties!A$1:CB$87,'Fórmula'!J23,60)))</f>
        <v>126.7279618</v>
      </c>
      <c r="GI23" s="105">
        <f t="array" ref="GI23">MAX(INDEX(properties!A$1:CB$87,'Fórmula'!B23,60),INDEX(properties!A$1:CB$87,'Fórmula'!D23,60),INDEX(properties!A$1:CB$87,'Fórmula'!F23,60),INDEX(properties!A$1:CB$87,'Fórmula'!H23,60),INDEX(properties!A$1:CB$87,'Fórmula'!J23,60))</f>
        <v>27</v>
      </c>
      <c r="GJ23" s="105">
        <f t="array" ref="GJ23">MIN(IF(INDEX(properties!A$1:CB$87,'Fórmula'!B23,60)=0,10^6,INDEX(properties!A$1:CB$87,'Fórmula'!B23,60)),IF(INDEX(properties!A$1:CB$87,'Fórmula'!D23,60)=0,10^6,INDEX(properties!A$1:CB$87,'Fórmula'!D23,60)),IF(INDEX(properties!A$1:CB$87,'Fórmula'!F23,60)=0,10^6,INDEX(properties!A$1:CB$87,'Fórmula'!F23,60)),IF(INDEX(properties!A$1:CB$87,'Fórmula'!H23,60)=0,10^6,INDEX(properties!A$1:CB$87,'Fórmula'!H23,60)),IF(INDEX(properties!A$1:CB$87,'Fórmula'!J23,60)=0,10^6,INDEX(properties!A$1:CB$87,'Fórmula'!J23,60)))</f>
        <v>0.02674</v>
      </c>
      <c r="GK23" s="105">
        <f t="shared" si="32"/>
        <v>26.97326</v>
      </c>
      <c r="GL23" s="106">
        <f t="array" ref="GL23">(('Fórmula'!C23)/('Fórmula'!C23+'Fórmula'!E23+'Fórmula'!G23+'Fórmula'!I23+'Fórmula'!K23))*(INDEX(properties!A$1:CB$87,'Fórmula'!B23,62))+(('Fórmula'!E23)/('Fórmula'!C23+'Fórmula'!E23+'Fórmula'!G23+'Fórmula'!I23+'Fórmula'!K23))*(INDEX(properties!A$1:CB$87,'Fórmula'!D23,62))+(('Fórmula'!G23)/('Fórmula'!C23+'Fórmula'!E23+'Fórmula'!G23+'Fórmula'!I23+'Fórmula'!K23))*(INDEX(properties!A$1:CB$87,'Fórmula'!F23,62))+(('Fórmula'!I23)/('Fórmula'!C23+'Fórmula'!E23+'Fórmula'!G23+'Fórmula'!I23+'Fórmula'!K23))*(INDEX(properties!A$1:CB$87,'Fórmula'!H23,62))+(('Fórmula'!K23)/('Fórmula'!C23+'Fórmula'!E23+'Fórmula'!G23+'Fórmula'!I23+'Fórmula'!K23))*(INDEX(properties!A$1:CB$87,'Fórmula'!J23,62))</f>
        <v>3.608</v>
      </c>
      <c r="GM23" s="106">
        <f t="array" ref="GM23">'Fórmula'!C23*(INDEX(properties!A$1:CB$87,'Fórmula'!B23,62))+'Fórmula'!E23*(INDEX(properties!A$1:CB$87,'Fórmula'!D23,62))+'Fórmula'!G23*(INDEX(properties!A$1:CB$87,'Fórmula'!F23,62))+'Fórmula'!I23*(INDEX(properties!A$1:CB$87,'Fórmula'!H23,62))+'Fórmula'!K23*(INDEX(properties!A$1:CB$87,'Fórmula'!J23,62))</f>
        <v>18.04</v>
      </c>
      <c r="GN23" s="106">
        <f t="array" ref="GN23">VARP(IF(INDEX(properties!A$1:CB$87,'Fórmula'!B23,62)&lt;&gt;"",INDEX(properties!A$1:CB$87,'Fórmula'!B23,62)),IF(INDEX(properties!A$1:CB$87,'Fórmula'!D23,62)&lt;&gt;"",INDEX(properties!A$1:CB$87,'Fórmula'!D23,62)),IF(INDEX(properties!A$1:CB$87,'Fórmula'!F23,62)&lt;&gt;"",INDEX(properties!A$1:CB$87,'Fórmula'!F23,62)),IF(INDEX(properties!A$1:CB$87,'Fórmula'!H23,62)&lt;&gt;"",INDEX(properties!A$1:CB$87,'Fórmula'!H23,62)),IF(INDEX(properties!A$1:CB$87,'Fórmula'!J23,62)&lt;&gt;"",INDEX(properties!A$1:CB$87,'Fórmula'!J23,62)))</f>
        <v>5.38988</v>
      </c>
      <c r="GO23" s="106">
        <f t="array" ref="GO23">MAX(INDEX(properties!A$1:CB$87,'Fórmula'!B23,62),INDEX(properties!A$1:CB$87,'Fórmula'!D23,62),INDEX(properties!A$1:CB$87,'Fórmula'!F23,62),INDEX(properties!A$1:CB$87,'Fórmula'!H23,62),INDEX(properties!A$1:CB$87,'Fórmula'!J23,62))</f>
        <v>5.81</v>
      </c>
      <c r="GP23" s="106">
        <f t="array" ref="GP23">MIN(IF(INDEX(properties!A$1:CB$87,'Fórmula'!B23,62)=0,10^6,INDEX(properties!A$1:CB$87,'Fórmula'!B23,62)),IF(INDEX(properties!A$1:CB$87,'Fórmula'!D23,62)=0,10^6,INDEX(properties!A$1:CB$87,'Fórmula'!D23,62)),IF(INDEX(properties!A$1:CB$87,'Fórmula'!F23,62)=0,10^6,INDEX(properties!A$1:CB$87,'Fórmula'!F23,62)),IF(INDEX(properties!A$1:CB$87,'Fórmula'!H23,62)=0,10^6,INDEX(properties!A$1:CB$87,'Fórmula'!H23,62)),IF(INDEX(properties!A$1:CB$87,'Fórmula'!J23,62)=0,10^6,INDEX(properties!A$1:CB$87,'Fórmula'!J23,62)))</f>
        <v>2.62</v>
      </c>
      <c r="GQ23" s="106">
        <f t="shared" si="33"/>
        <v>3.19</v>
      </c>
      <c r="GR23" s="106">
        <f>'Fórmula'!Q23</f>
        <v>15</v>
      </c>
      <c r="GS23" s="107">
        <f>'Fórmula'!P23</f>
        <v>6</v>
      </c>
      <c r="GT23" s="113">
        <f>'Fórmula'!O23</f>
        <v>4.51</v>
      </c>
      <c r="GU23" s="114">
        <f>AVERAGE('Fórmula'!R23/'Fórmula'!S23,'Fórmula'!S23/'Fórmula'!T23,'Fórmula'!T23/'Fórmula'!R23)</f>
        <v>1.085688745</v>
      </c>
      <c r="GV23" s="125">
        <f>'Fórmula'!U23</f>
        <v>653.07</v>
      </c>
      <c r="GW23" s="106">
        <f>'Fórmula'!N23</f>
        <v>0.0257</v>
      </c>
    </row>
    <row r="24" ht="14.25" customHeight="1">
      <c r="A24" s="99" t="str">
        <f>'Fórmula'!A24</f>
        <v>CsAlSi2O6</v>
      </c>
      <c r="B24" s="101">
        <f t="array" ref="B24">(('Fórmula'!C24)/('Fórmula'!C24+'Fórmula'!E24+'Fórmula'!G24+'Fórmula'!I24+'Fórmula'!K24))*(INDEX(properties!A$1:CB$87,'Fórmula'!B24,3))+(('Fórmula'!E24)/('Fórmula'!C24+'Fórmula'!E24+'Fórmula'!G24+'Fórmula'!I24+'Fórmula'!K24))*(INDEX(properties!A$1:CB$87,'Fórmula'!D24,3))+(('Fórmula'!G24)/('Fórmula'!C24+'Fórmula'!E24+'Fórmula'!G24+'Fórmula'!I24+'Fórmula'!K24))*(INDEX(properties!A$1:CB$87,'Fórmula'!F24,3))+(('Fórmula'!I24)/('Fórmula'!C24+'Fórmula'!E24+'Fórmula'!G24+'Fórmula'!I24+'Fórmula'!K24))*(INDEX(properties!A$1:CB$87,'Fórmula'!H24,3))+(('Fórmula'!K24)/('Fórmula'!C24+'Fórmula'!E24+'Fórmula'!G24+'Fórmula'!I24+'Fórmula'!K24))*(INDEX(properties!A$1:CB$87,'Fórmula'!J24,3))</f>
        <v>31.2054369</v>
      </c>
      <c r="C24" s="101">
        <f t="array" ref="C24">'Fórmula'!C24*(INDEX(properties!A$1:CB$87,'Fórmula'!B24,3))+'Fórmula'!E24*(INDEX(properties!A$1:CB$87,'Fórmula'!D24,3))+'Fórmula'!G24*(INDEX(properties!A$1:CB$87,'Fórmula'!F24,3))+'Fórmula'!I24*(INDEX(properties!A$1:CB$87,'Fórmula'!H24,3))+'Fórmula'!K24*(INDEX(properties!A$1:CB$87,'Fórmula'!J24,3))</f>
        <v>312.054369</v>
      </c>
      <c r="D24" s="101">
        <f t="array" ref="D24">VARP(IF(INDEX(properties!A$1:CB$87,'Fórmula'!B24,3)&lt;&gt;"",INDEX(properties!A$1:CB$87,'Fórmula'!B24,3)),IF(INDEX(properties!A$1:CB$87,'Fórmula'!D24,3)&lt;&gt;"",INDEX(properties!A$1:CB$87,'Fórmula'!D24,3)),IF(INDEX(properties!A$1:CB$87,'Fórmula'!F24,3)&lt;&gt;"",INDEX(properties!A$1:CB$87,'Fórmula'!F24,3)),IF(INDEX(properties!A$1:CB$87,'Fórmula'!H24,3)&lt;&gt;"",INDEX(properties!A$1:CB$87,'Fórmula'!H24,3)),IF(INDEX(properties!A$1:CB$87,'Fórmula'!J24,3)&lt;&gt;"",INDEX(properties!A$1:CB$87,'Fórmula'!J24,3)))</f>
        <v>2223.145642</v>
      </c>
      <c r="E24" s="101">
        <f t="array" ref="E24">MAX(INDEX(properties!A$1:CB$87,'Fórmula'!B24,3),INDEX(properties!A$1:CB$87,'Fórmula'!D24,3),INDEX(properties!A$1:CB$87,'Fórmula'!F24,3),INDEX(properties!A$1:CB$87,'Fórmula'!H24,3),INDEX(properties!A$1:CB$87,'Fórmula'!J24,3))</f>
        <v>132.90543</v>
      </c>
      <c r="F24" s="101">
        <f t="array" ref="F24">MIN(IF(INDEX(properties!A$1:CB$87,'Fórmula'!B24,3)=0,10^6,INDEX(properties!A$1:CB$87,'Fórmula'!B24,3)),IF(INDEX(properties!A$1:CB$87,'Fórmula'!D24,3)=0,10^6,INDEX(properties!A$1:CB$87,'Fórmula'!D24,3)),IF(INDEX(properties!A$1:CB$87,'Fórmula'!F24,3)=0,10^6,INDEX(properties!A$1:CB$87,'Fórmula'!F24,3)),IF(INDEX(properties!A$1:CB$87,'Fórmula'!H24,3)=0,10^6,INDEX(properties!A$1:CB$87,'Fórmula'!H24,3)),IF(INDEX(properties!A$1:CB$87,'Fórmula'!J24,3)=0,10^6,INDEX(properties!A$1:CB$87,'Fórmula'!J24,3)))</f>
        <v>15.9994</v>
      </c>
      <c r="G24" s="101">
        <f t="shared" si="1"/>
        <v>116.90603</v>
      </c>
      <c r="H24" s="102">
        <f t="array" ref="H24">(('Fórmula'!C24)/('Fórmula'!C24+'Fórmula'!E24+'Fórmula'!G24+'Fórmula'!I24+'Fórmula'!K24))*(INDEX(properties!A$1:CB$87,'Fórmula'!B24,4))+(('Fórmula'!E24)/('Fórmula'!C24+'Fórmula'!E24+'Fórmula'!G24+'Fórmula'!I24+'Fórmula'!K24))*(INDEX(properties!A$1:CB$87,'Fórmula'!D24,4))+(('Fórmula'!G24)/('Fórmula'!C24+'Fórmula'!E24+'Fórmula'!G24+'Fórmula'!I24+'Fórmula'!K24))*(INDEX(properties!A$1:CB$87,'Fórmula'!F24,4))+(('Fórmula'!I24)/('Fórmula'!C24+'Fórmula'!E24+'Fórmula'!G24+'Fórmula'!I24+'Fórmula'!K24))*(INDEX(properties!A$1:CB$87,'Fórmula'!H24,4))+(('Fórmula'!K24)/('Fórmula'!C24+'Fórmula'!E24+'Fórmula'!G24+'Fórmula'!I24+'Fórmula'!K24))*(INDEX(properties!A$1:CB$87,'Fórmula'!J24,4))</f>
        <v>14.4</v>
      </c>
      <c r="I24" s="102">
        <f t="array" ref="I24">'Fórmula'!C24*(INDEX(properties!A$1:CB$87,'Fórmula'!B24,4))+'Fórmula'!E24*(INDEX(properties!A$1:CB$87,'Fórmula'!D24,4))+'Fórmula'!G24*(INDEX(properties!A$1:CB$87,'Fórmula'!F24,4))+'Fórmula'!I24*(INDEX(properties!A$1:CB$87,'Fórmula'!H24,4))+'Fórmula'!K24*(INDEX(properties!A$1:CB$87,'Fórmula'!J24,4))</f>
        <v>144</v>
      </c>
      <c r="J24" s="102">
        <f t="array" ref="J24">VARP(IF(INDEX(properties!A$1:CB$87,'Fórmula'!B24,4)&lt;&gt;"",INDEX(properties!A$1:CB$87,'Fórmula'!B24,4)),IF(INDEX(properties!A$1:CB$87,'Fórmula'!D24,4)&lt;&gt;"",INDEX(properties!A$1:CB$87,'Fórmula'!D24,4)),IF(INDEX(properties!A$1:CB$87,'Fórmula'!F24,4)&lt;&gt;"",INDEX(properties!A$1:CB$87,'Fórmula'!F24,4)),IF(INDEX(properties!A$1:CB$87,'Fórmula'!H24,4)&lt;&gt;"",INDEX(properties!A$1:CB$87,'Fórmula'!H24,4)),IF(INDEX(properties!A$1:CB$87,'Fórmula'!J24,4)&lt;&gt;"",INDEX(properties!A$1:CB$87,'Fórmula'!J24,4)))</f>
        <v>366.8</v>
      </c>
      <c r="K24" s="102">
        <f t="array" ref="K24">MAX(INDEX(properties!A$1:CB$87,'Fórmula'!B24,4),INDEX(properties!A$1:CB$87,'Fórmula'!D24,4),INDEX(properties!A$1:CB$87,'Fórmula'!F24,4),INDEX(properties!A$1:CB$87,'Fórmula'!H24,4),INDEX(properties!A$1:CB$87,'Fórmula'!J24,4))</f>
        <v>55</v>
      </c>
      <c r="L24" s="102">
        <f t="array" ref="L24">MIN(IF(INDEX(properties!A$1:CB$87,'Fórmula'!B24,4)=0,10^6,INDEX(properties!A$1:CB$87,'Fórmula'!B24,4)),IF(INDEX(properties!A$1:CB$87,'Fórmula'!D24,4)=0,10^6,INDEX(properties!A$1:CB$87,'Fórmula'!D24,4)),IF(INDEX(properties!A$1:CB$87,'Fórmula'!F24,4)=0,10^6,INDEX(properties!A$1:CB$87,'Fórmula'!F24,4)),IF(INDEX(properties!A$1:CB$87,'Fórmula'!H24,4)=0,10^6,INDEX(properties!A$1:CB$87,'Fórmula'!H24,4)),IF(INDEX(properties!A$1:CB$87,'Fórmula'!J24,4)=0,10^6,INDEX(properties!A$1:CB$87,'Fórmula'!J24,4)))</f>
        <v>8</v>
      </c>
      <c r="M24" s="102">
        <f t="shared" si="2"/>
        <v>47</v>
      </c>
      <c r="N24" s="103">
        <f t="array" ref="N24">(('Fórmula'!C24)/('Fórmula'!C24+'Fórmula'!E24+'Fórmula'!G24+'Fórmula'!I24+'Fórmula'!K24))*(INDEX(properties!A$1:CB$87,'Fórmula'!B24,5))+(('Fórmula'!E24)/('Fórmula'!C24+'Fórmula'!E24+'Fórmula'!G24+'Fórmula'!I24+'Fórmula'!K24))*(INDEX(properties!A$1:CB$87,'Fórmula'!D24,5))+(('Fórmula'!G24)/('Fórmula'!C24+'Fórmula'!E24+'Fórmula'!G24+'Fórmula'!I24+'Fórmula'!K24))*(INDEX(properties!A$1:CB$87,'Fórmula'!F24,5))+(('Fórmula'!I24)/('Fórmula'!C24+'Fórmula'!E24+'Fórmula'!G24+'Fórmula'!I24+'Fórmula'!K24))*(INDEX(properties!A$1:CB$87,'Fórmula'!H24,5))+(('Fórmula'!K24)/('Fórmula'!C24+'Fórmula'!E24+'Fórmula'!G24+'Fórmula'!I24+'Fórmula'!K24))*(INDEX(properties!A$1:CB$87,'Fórmula'!J24,5))</f>
        <v>2.7</v>
      </c>
      <c r="O24" s="103">
        <f t="array" ref="O24">'Fórmula'!C24*(INDEX(properties!A$1:CB$87,'Fórmula'!B24,5))+'Fórmula'!E24*(INDEX(properties!A$1:CB$87,'Fórmula'!D24,5))+'Fórmula'!G24*(INDEX(properties!A$1:CB$87,'Fórmula'!F24,5))+'Fórmula'!I24*(INDEX(properties!A$1:CB$87,'Fórmula'!H24,5))+'Fórmula'!K24*(INDEX(properties!A$1:CB$87,'Fórmula'!J24,5))</f>
        <v>27</v>
      </c>
      <c r="P24" s="103">
        <f t="array" ref="P24">VARP(IF(INDEX(properties!A$1:CB$87,'Fórmula'!B24,5)&lt;&gt;"",INDEX(properties!A$1:CB$87,'Fórmula'!B24,5)),IF(INDEX(properties!A$1:CB$87,'Fórmula'!D24,5)&lt;&gt;"",INDEX(properties!A$1:CB$87,'Fórmula'!D24,5)),IF(INDEX(properties!A$1:CB$87,'Fórmula'!F24,5)&lt;&gt;"",INDEX(properties!A$1:CB$87,'Fórmula'!F24,5)),IF(INDEX(properties!A$1:CB$87,'Fórmula'!H24,5)&lt;&gt;"",INDEX(properties!A$1:CB$87,'Fórmula'!H24,5)),IF(INDEX(properties!A$1:CB$87,'Fórmula'!J24,5)&lt;&gt;"",INDEX(properties!A$1:CB$87,'Fórmula'!J24,5)))</f>
        <v>3.76</v>
      </c>
      <c r="Q24" s="103">
        <f t="array" ref="Q24">MAX(INDEX(properties!A$1:CB$87,'Fórmula'!B24,5),INDEX(properties!A$1:CB$87,'Fórmula'!D24,5),INDEX(properties!A$1:CB$87,'Fórmula'!F24,5),INDEX(properties!A$1:CB$87,'Fórmula'!H24,5),INDEX(properties!A$1:CB$87,'Fórmula'!J24,5))</f>
        <v>6</v>
      </c>
      <c r="R24" s="103">
        <f t="array" ref="R24">MIN(IF(INDEX(properties!A$1:CB$87,'Fórmula'!B24,5)=0,10^6,INDEX(properties!A$1:CB$87,'Fórmula'!B24,5)),IF(INDEX(properties!A$1:CB$87,'Fórmula'!D24,5)=0,10^6,INDEX(properties!A$1:CB$87,'Fórmula'!D24,5)),IF(INDEX(properties!A$1:CB$87,'Fórmula'!F24,5)=0,10^6,INDEX(properties!A$1:CB$87,'Fórmula'!F24,5)),IF(INDEX(properties!A$1:CB$87,'Fórmula'!H24,5)=0,10^6,INDEX(properties!A$1:CB$87,'Fórmula'!H24,5)),IF(INDEX(properties!A$1:CB$87,'Fórmula'!J24,5)=0,10^6,INDEX(properties!A$1:CB$87,'Fórmula'!J24,5)))</f>
        <v>2</v>
      </c>
      <c r="S24" s="103">
        <f t="shared" si="3"/>
        <v>4</v>
      </c>
      <c r="T24" s="104">
        <f t="array" ref="T24">(('Fórmula'!C24)/('Fórmula'!C24+'Fórmula'!E24+'Fórmula'!G24+'Fórmula'!I24+'Fórmula'!K24))*(INDEX(properties!A$1:CB$87,'Fórmula'!B24,6))+(('Fórmula'!E24)/('Fórmula'!C24+'Fórmula'!E24+'Fórmula'!G24+'Fórmula'!I24+'Fórmula'!K24))*(INDEX(properties!A$1:CB$87,'Fórmula'!D24,6))+(('Fórmula'!G24)/('Fórmula'!C24+'Fórmula'!E24+'Fórmula'!G24+'Fórmula'!I24+'Fórmula'!K24))*(INDEX(properties!A$1:CB$87,'Fórmula'!F24,6))+(('Fórmula'!I24)/('Fórmula'!C24+'Fórmula'!E24+'Fórmula'!G24+'Fórmula'!I24+'Fórmula'!K24))*(INDEX(properties!A$1:CB$87,'Fórmula'!H24,6))+(('Fórmula'!K24)/('Fórmula'!C24+'Fórmula'!E24+'Fórmula'!G24+'Fórmula'!I24+'Fórmula'!K24))*(INDEX(properties!A$1:CB$87,'Fórmula'!J24,6))</f>
        <v>13.8</v>
      </c>
      <c r="U24" s="104">
        <f t="array" ref="U24">'Fórmula'!C24*(INDEX(properties!A$1:CB$87,'Fórmula'!B24,6))+'Fórmula'!E24*(INDEX(properties!A$1:CB$87,'Fórmula'!D24,6))+'Fórmula'!G24*(INDEX(properties!A$1:CB$87,'Fórmula'!F24,6))+'Fórmula'!I24*(INDEX(properties!A$1:CB$87,'Fórmula'!H24,6))+'Fórmula'!K24*(INDEX(properties!A$1:CB$87,'Fórmula'!J24,6))</f>
        <v>138</v>
      </c>
      <c r="V24" s="103">
        <f t="array" ref="V24">VARP(IF(INDEX(properties!A$1:CB$87,'Fórmula'!B24,6)&lt;&gt;"",INDEX(properties!A$1:CB$87,'Fórmula'!B24,6)),IF(INDEX(properties!A$1:CB$87,'Fórmula'!D24,6)&lt;&gt;"",INDEX(properties!A$1:CB$87,'Fórmula'!D24,6)),IF(INDEX(properties!A$1:CB$87,'Fórmula'!F24,6)&lt;&gt;"",INDEX(properties!A$1:CB$87,'Fórmula'!F24,6)),IF(INDEX(properties!A$1:CB$87,'Fórmula'!H24,6)&lt;&gt;"",INDEX(properties!A$1:CB$87,'Fórmula'!H24,6)),IF(INDEX(properties!A$1:CB$87,'Fórmula'!J24,6)&lt;&gt;"",INDEX(properties!A$1:CB$87,'Fórmula'!J24,6)))</f>
        <v>46.96</v>
      </c>
      <c r="W24" s="104">
        <f t="array" ref="W24">MAX(INDEX(properties!A$1:CB$87,'Fórmula'!B24,6),INDEX(properties!A$1:CB$87,'Fórmula'!D24,6),INDEX(properties!A$1:CB$87,'Fórmula'!F24,6),INDEX(properties!A$1:CB$87,'Fórmula'!H24,4),INDEX(properties!A$1:CB$87,'Fórmula'!J24,6))</f>
        <v>14</v>
      </c>
      <c r="X24" s="104">
        <f t="array" ref="X24">MIN(IF(INDEX(properties!A$1:CB$87,'Fórmula'!B24,6)=0,10^6,INDEX(properties!A$1:CB$87,'Fórmula'!B24,6)),IF(INDEX(properties!A$1:CB$87,'Fórmula'!D24,6)=0,10^6,INDEX(properties!A$1:CB$87,'Fórmula'!D24,6)),IF(INDEX(properties!A$1:CB$87,'Fórmula'!F24,6)=0,10^6,INDEX(properties!A$1:CB$87,'Fórmula'!F24,6)),IF(INDEX(properties!A$1:CB$87,'Fórmula'!H24,6)=0,10^6,INDEX(properties!A$1:CB$87,'Fórmula'!H24,6)),IF(INDEX(properties!A$1:CB$87,'Fórmula'!J24,6)=0,10^6,INDEX(properties!A$1:CB$87,'Fórmula'!J24,6)))</f>
        <v>1</v>
      </c>
      <c r="Y24" s="104">
        <f t="shared" si="4"/>
        <v>13</v>
      </c>
      <c r="Z24" s="105">
        <f t="array" ref="Z24">(('Fórmula'!C24)/('Fórmula'!C24+'Fórmula'!E24+'Fórmula'!G24+'Fórmula'!I24+'Fórmula'!K24))*(INDEX(properties!A$1:CB$87,'Fórmula'!B24,9))+(('Fórmula'!E24)/('Fórmula'!C24+'Fórmula'!E24+'Fórmula'!G24+'Fórmula'!I24+'Fórmula'!K24))*(INDEX(properties!A$1:CB$87,'Fórmula'!D24,9))+(('Fórmula'!G24)/('Fórmula'!C24+'Fórmula'!E24+'Fórmula'!G24+'Fórmula'!I24+'Fórmula'!K24))*(INDEX(properties!A$1:CB$87,'Fórmula'!F24,9))+(('Fórmula'!I24)/('Fórmula'!C24+'Fórmula'!E24+'Fórmula'!G24+'Fórmula'!I24+'Fórmula'!K24))*(INDEX(properties!A$1:CB$87,'Fórmula'!H24,9))+(('Fórmula'!K24)/('Fórmula'!C24+'Fórmula'!E24+'Fórmula'!G24+'Fórmula'!I24+'Fórmula'!K24))*(INDEX(properties!A$1:CB$87,'Fórmula'!J24,9))</f>
        <v>75.6</v>
      </c>
      <c r="AA24" s="105">
        <f t="array" ref="AA24">'Fórmula'!C24*(INDEX(properties!A$1:CB$87,'Fórmula'!B24,9))+'Fórmula'!E24*(INDEX(properties!A$1:CB$87,'Fórmula'!D24,9))+'Fórmula'!G24*(INDEX(properties!A$1:CB$87,'Fórmula'!F24,9))+'Fórmula'!I24*(INDEX(properties!A$1:CB$87,'Fórmula'!H24,9))+'Fórmula'!K24*(INDEX(properties!A$1:CB$87,'Fórmula'!J24,9))</f>
        <v>756</v>
      </c>
      <c r="AB24" s="105">
        <f t="array" ref="AB24">VARP(IF(INDEX(properties!A$1:CB$87,'Fórmula'!B24,9)&lt;&gt;"",INDEX(properties!A$1:CB$87,'Fórmula'!B24,9)),IF(INDEX(properties!A$1:CB$87,'Fórmula'!D24,9)&lt;&gt;"",INDEX(properties!A$1:CB$87,'Fórmula'!D24,9)),IF(INDEX(properties!A$1:CB$87,'Fórmula'!F24,9)&lt;&gt;"",INDEX(properties!A$1:CB$87,'Fórmula'!F24,9)),IF(INDEX(properties!A$1:CB$87,'Fórmula'!H24,9)&lt;&gt;"",INDEX(properties!A$1:CB$87,'Fórmula'!H24,9)),IF(INDEX(properties!A$1:CB$87,'Fórmula'!J24,9)&lt;&gt;"",INDEX(properties!A$1:CB$87,'Fórmula'!J24,9)))</f>
        <v>1439.44</v>
      </c>
      <c r="AC24" s="105">
        <f t="array" ref="AC24">MAX(INDEX(properties!A$1:CB$87,'Fórmula'!B24,9),INDEX(properties!A$1:CB$87,'Fórmula'!D24,9),INDEX(properties!A$1:CB$87,'Fórmula'!F24,9),INDEX(properties!A$1:CB$87,'Fórmula'!H24,9),INDEX(properties!A$1:CB$87,'Fórmula'!J24,9))</f>
        <v>87</v>
      </c>
      <c r="AD24" s="105">
        <f t="array" ref="AD24">MIN(IF(INDEX(properties!A$1:CB$87,'Fórmula'!B24,9)=0,10^6,INDEX(properties!A$1:CB$87,'Fórmula'!B24,9)),IF(INDEX(properties!A$1:CB$87,'Fórmula'!D24,9)=0,10^6,INDEX(properties!A$1:CB$87,'Fórmula'!D24,9)),IF(INDEX(properties!A$1:CB$87,'Fórmula'!F24,9)=0,10^6,INDEX(properties!A$1:CB$87,'Fórmula'!F24,9)),IF(INDEX(properties!A$1:CB$87,'Fórmula'!H24,9)=0,10^6,INDEX(properties!A$1:CB$87,'Fórmula'!H24,9)),IF(INDEX(properties!A$1:CB$87,'Fórmula'!J24,9)=0,10^6,INDEX(properties!A$1:CB$87,'Fórmula'!J24,9)))</f>
        <v>5</v>
      </c>
      <c r="AE24" s="105">
        <f t="shared" si="5"/>
        <v>82</v>
      </c>
      <c r="AF24" s="106">
        <f t="array" ref="AF24">(('Fórmula'!C24)/('Fórmula'!C24+'Fórmula'!E24+'Fórmula'!G24+'Fórmula'!I24+'Fórmula'!K24))*(INDEX(properties!A$1:CB$87,'Fórmula'!B24,10))+(('Fórmula'!E24)/('Fórmula'!C24+'Fórmula'!E24+'Fórmula'!G24+'Fórmula'!I24+'Fórmula'!K24))*(INDEX(properties!A$1:CB$87,'Fórmula'!D24,10))+(('Fórmula'!G24)/('Fórmula'!C24+'Fórmula'!E24+'Fórmula'!G24+'Fórmula'!I24+'Fórmula'!K24))*(INDEX(properties!A$1:CB$87,'Fórmula'!F24,10))+(('Fórmula'!I24)/('Fórmula'!C24+'Fórmula'!E24+'Fórmula'!G24+'Fórmula'!I24+'Fórmula'!K24))*(INDEX(properties!A$1:CB$87,'Fórmula'!H24,10))+(('Fórmula'!K24)/('Fórmula'!C24+'Fórmula'!E24+'Fórmula'!G24+'Fórmula'!I24+'Fórmula'!K24))*(INDEX(properties!A$1:CB$87,'Fórmula'!J24,10))</f>
        <v>6</v>
      </c>
      <c r="AG24" s="106">
        <f t="array" ref="AG24">'Fórmula'!C24*(INDEX(properties!A$1:CB$87,'Fórmula'!B24,10))+'Fórmula'!E24*(INDEX(properties!A$1:CB$87,'Fórmula'!D24,10))+'Fórmula'!G24*(INDEX(properties!A$1:CB$87,'Fórmula'!F24,10))+'Fórmula'!I24*(INDEX(properties!A$1:CB$87,'Fórmula'!H24,10))+'Fórmula'!K24*(INDEX(properties!A$1:CB$87,'Fórmula'!J24,10))</f>
        <v>60</v>
      </c>
      <c r="AH24" s="106">
        <f t="array" ref="AH24">VARP(IF(INDEX(properties!A$1:CB$87,'Fórmula'!B24,10)&lt;&gt;"",INDEX(properties!A$1:CB$87,'Fórmula'!B24,10)),IF(INDEX(properties!A$1:CB$87,'Fórmula'!D24,10)&lt;&gt;"",INDEX(properties!A$1:CB$87,'Fórmula'!D24,10)),IF(INDEX(properties!A$1:CB$87,'Fórmula'!F24,10)&lt;&gt;"",INDEX(properties!A$1:CB$87,'Fórmula'!F24,10)),IF(INDEX(properties!A$1:CB$87,'Fórmula'!H24,10)&lt;&gt;"",INDEX(properties!A$1:CB$87,'Fórmula'!H24,10)),IF(INDEX(properties!A$1:CB$87,'Fórmula'!J24,10)&lt;&gt;"",INDEX(properties!A$1:CB$87,'Fórmula'!J24,10)))</f>
        <v>7.76</v>
      </c>
      <c r="AI24" s="106">
        <f t="array" ref="AI24">MAX(INDEX(properties!A$1:CB$87,'Fórmula'!B24,10),INDEX(properties!A$1:CB$87,'Fórmula'!D24,10),INDEX(properties!A$1:CB$87,'Fórmula'!F24,10),INDEX(properties!A$1:CB$87,'Fórmula'!H24,10),INDEX(properties!A$1:CB$87,'Fórmula'!J24,10))</f>
        <v>7</v>
      </c>
      <c r="AJ24" s="106">
        <f t="array" ref="AJ24">MIN(IF(INDEX(properties!A$1:CB$87,'Fórmula'!B24,10)=0,10^6,INDEX(properties!A$1:CB$87,'Fórmula'!B24,10)),IF(INDEX(properties!A$1:CB$87,'Fórmula'!D24,10)=0,10^6,INDEX(properties!A$1:CB$87,'Fórmula'!D24,10)),IF(INDEX(properties!A$1:CB$87,'Fórmula'!F24,10)=0,10^6,INDEX(properties!A$1:CB$87,'Fórmula'!F24,10)),IF(INDEX(properties!A$1:CB$87,'Fórmula'!H24,10)=0,10^6,INDEX(properties!A$1:CB$87,'Fórmula'!H24,10)),IF(INDEX(properties!A$1:CB$87,'Fórmula'!J24,10)=0,10^6,INDEX(properties!A$1:CB$87,'Fórmula'!J24,10)))</f>
        <v>1</v>
      </c>
      <c r="AK24" s="106">
        <f t="shared" si="6"/>
        <v>6</v>
      </c>
      <c r="AL24" s="107">
        <f t="array" ref="AL24">(('Fórmula'!C24)/('Fórmula'!C24+'Fórmula'!E24+'Fórmula'!G24+'Fórmula'!I24+'Fórmula'!K24))*(INDEX(properties!A$1:CB$87,'Fórmula'!B24,11))+(('Fórmula'!E24)/('Fórmula'!C24+'Fórmula'!E24+'Fórmula'!G24+'Fórmula'!I24+'Fórmula'!K24))*(INDEX(properties!A$1:CB$87,'Fórmula'!D24,11))+(('Fórmula'!G24)/('Fórmula'!C24+'Fórmula'!E24+'Fórmula'!G24+'Fórmula'!I24+'Fórmula'!K24))*(INDEX(properties!A$1:CB$87,'Fórmula'!F24,11))+(('Fórmula'!I24)/('Fórmula'!C24+'Fórmula'!E24+'Fórmula'!G24+'Fórmula'!I24+'Fórmula'!K24))*(INDEX(properties!A$1:CB$87,'Fórmula'!H24,11))+(('Fórmula'!K24)/('Fórmula'!C24+'Fórmula'!E24+'Fórmula'!G24+'Fórmula'!I24+'Fórmula'!K24))*(INDEX(properties!A$1:CB$87,'Fórmula'!J24,11))</f>
        <v>1.9</v>
      </c>
      <c r="AM24" s="107">
        <f t="array" ref="AM24">'Fórmula'!C24*(INDEX(properties!A$1:CB$87,'Fórmula'!B24,11))+'Fórmula'!E24*(INDEX(properties!A$1:CB$87,'Fórmula'!D24,11))+'Fórmula'!G24*(INDEX(properties!A$1:CB$87,'Fórmula'!F24,11))+'Fórmula'!I24*(INDEX(properties!A$1:CB$87,'Fórmula'!H24,11))+'Fórmula'!K24*(INDEX(properties!A$1:CB$87,'Fórmula'!J24,11))</f>
        <v>19</v>
      </c>
      <c r="AN24" s="107">
        <f t="array" ref="AN24">VARP(IF(INDEX(properties!A$1:CB$87,'Fórmula'!B24,11)&lt;&gt;"",INDEX(properties!A$1:CB$87,'Fórmula'!B24,11)),IF(INDEX(properties!A$1:CB$87,'Fórmula'!D24,11)&lt;&gt;"",INDEX(properties!A$1:CB$87,'Fórmula'!D24,11)),IF(INDEX(properties!A$1:CB$87,'Fórmula'!F24,11)&lt;&gt;"",INDEX(properties!A$1:CB$87,'Fórmula'!F24,11)),IF(INDEX(properties!A$1:CB$87,'Fórmula'!H24,11)&lt;&gt;"",INDEX(properties!A$1:CB$87,'Fórmula'!H24,11)),IF(INDEX(properties!A$1:CB$87,'Fórmula'!J24,11)&lt;&gt;"",INDEX(properties!A$1:CB$87,'Fórmula'!J24,11)))</f>
        <v>0.64</v>
      </c>
      <c r="AO24" s="107">
        <f t="array" ref="AO24">MAX(INDEX(properties!A$1:CB$87,'Fórmula'!B24,11),INDEX(properties!A$1:CB$87,'Fórmula'!D24,11),INDEX(properties!A$1:CB$87,'Fórmula'!F24,11),INDEX(properties!A$1:CB$87,'Fórmula'!H24,11),INDEX(properties!A$1:CB$87,'Fórmula'!J24,11))</f>
        <v>2</v>
      </c>
      <c r="AP24" s="107">
        <f t="array" ref="AP24">MIN(IF('Fórmula'!B24=87,10^6,INDEX(properties!A$1:CB$87,'Fórmula'!B24,11)),IF(('Fórmula'!D24)=87,10^6,INDEX(properties!A$1:CB$87,'Fórmula'!D24,11)),IF(('Fórmula'!F24)=87,10^6,INDEX(properties!A$1:CB$87,'Fórmula'!F24,11)),IF(('Fórmula'!H24)=87,10^6,INDEX(properties!A$1:CB$87,'Fórmula'!H24,11)),IF('Fórmula'!J24=87,10^6,INDEX(properties!A$1:CB$87,'Fórmula'!J24,11)))</f>
        <v>1</v>
      </c>
      <c r="AQ24" s="107">
        <f t="shared" si="7"/>
        <v>1</v>
      </c>
      <c r="AR24" s="108">
        <f t="array" ref="AR24">(('Fórmula'!C24)/('Fórmula'!C24+'Fórmula'!E24+'Fórmula'!G24+'Fórmula'!I24+'Fórmula'!K24))*(INDEX(properties!A$1:CB$87,'Fórmula'!B24,12))+(('Fórmula'!E24)/('Fórmula'!C24+'Fórmula'!E24+'Fórmula'!G24+'Fórmula'!I24+'Fórmula'!K24))*(INDEX(properties!A$1:CB$87,'Fórmula'!D24,12))+(('Fórmula'!G24)/('Fórmula'!C24+'Fórmula'!E24+'Fórmula'!G24+'Fórmula'!I24+'Fórmula'!K24))*(INDEX(properties!A$1:CB$87,'Fórmula'!F24,12))+(('Fórmula'!I24)/('Fórmula'!C24+'Fórmula'!E24+'Fórmula'!G24+'Fórmula'!I24+'Fórmula'!K24))*(INDEX(properties!A$1:CB$87,'Fórmula'!H24,12))+(('Fórmula'!K24)/('Fórmula'!C24+'Fórmula'!E24+'Fórmula'!G24+'Fórmula'!I24+'Fórmula'!K24))*(INDEX(properties!A$1:CB$87,'Fórmula'!J24,12))</f>
        <v>2.9</v>
      </c>
      <c r="AS24" s="108">
        <f t="array" ref="AS24">'Fórmula'!C24*(INDEX(properties!A$1:CB$87,'Fórmula'!B24,12))+'Fórmula'!E24*(INDEX(properties!A$1:CB$87,'Fórmula'!D24,12))+'Fórmula'!G24*(INDEX(properties!A$1:CB$87,'Fórmula'!F24,12))+'Fórmula'!I24*(INDEX(properties!A$1:CB$87,'Fórmula'!H24,12))+'Fórmula'!K24*(INDEX(properties!A$1:CB$87,'Fórmula'!J24,12))</f>
        <v>29</v>
      </c>
      <c r="AT24" s="108">
        <f t="array" ref="AT24">VARP(IF(INDEX(properties!A$1:CB$87,'Fórmula'!B24,12)&lt;&gt;"",INDEX(properties!A$1:CB$87,'Fórmula'!B24,12)),IF(INDEX(properties!A$1:CB$87,'Fórmula'!D24,12)&lt;&gt;"",INDEX(properties!A$1:CB$87,'Fórmula'!D24,12)),IF(INDEX(properties!A$1:CB$87,'Fórmula'!F24,12)&lt;&gt;"",INDEX(properties!A$1:CB$87,'Fórmula'!F24,12)),IF(INDEX(properties!A$1:CB$87,'Fórmula'!H24,12)&lt;&gt;"",INDEX(properties!A$1:CB$87,'Fórmula'!H24,12)),IF(INDEX(properties!A$1:CB$87,'Fórmula'!J24,12)&lt;&gt;"",INDEX(properties!A$1:CB$87,'Fórmula'!J24,12)))</f>
        <v>2.24</v>
      </c>
      <c r="AU24" s="108">
        <f t="array" ref="AU24">MAX(INDEX(properties!A$1:CB$87,'Fórmula'!B24,12),INDEX(properties!A$1:CB$87,'Fórmula'!D24,12),INDEX(properties!A$1:CB$87,'Fórmula'!F24,12),INDEX(properties!A$1:CB$87,'Fórmula'!H24,12),INDEX(properties!A$1:CB$87,'Fórmula'!J24,12))</f>
        <v>4</v>
      </c>
      <c r="AV24" s="108">
        <f t="array" ref="AV24">MIN(IF('Fórmula'!B24=87,10^6,INDEX(properties!A$1:CB$87,'Fórmula'!B24,12)),IF(('Fórmula'!D24)=87,10^6,INDEX(properties!A$1:CB$87,'Fórmula'!D24,12)),IF(('Fórmula'!F24)=87,10^6,INDEX(properties!A$1:CB$87,'Fórmula'!F24,12)),IF(('Fórmula'!H24)=87,10^6,INDEX(properties!A$1:CB$87,'Fórmula'!H24,12)),IF('Fórmula'!J24=87,10^6,INDEX(properties!A$1:CB$87,'Fórmula'!J24,12)))</f>
        <v>0</v>
      </c>
      <c r="AW24" s="108">
        <f t="shared" si="8"/>
        <v>4</v>
      </c>
      <c r="AX24" s="109">
        <f t="array" ref="AX24">(('Fórmula'!C24)/('Fórmula'!C24+'Fórmula'!E24+'Fórmula'!G24+'Fórmula'!I24+'Fórmula'!K24))*(INDEX(properties!A$1:CB$87,'Fórmula'!B24,13))+(('Fórmula'!E24)/('Fórmula'!C24+'Fórmula'!E24+'Fórmula'!G24+'Fórmula'!I24+'Fórmula'!K24))*(INDEX(properties!A$1:CB$87,'Fórmula'!D24,13))+(('Fórmula'!G24)/('Fórmula'!C24+'Fórmula'!E24+'Fórmula'!G24+'Fórmula'!I24+'Fórmula'!K24))*(INDEX(properties!A$1:CB$87,'Fórmula'!F24,13))+(('Fórmula'!I24)/('Fórmula'!C24+'Fórmula'!E24+'Fórmula'!G24+'Fórmula'!I24+'Fórmula'!K24))*(INDEX(properties!A$1:CB$87,'Fórmula'!H24,13))+(('Fórmula'!K24)/('Fórmula'!C24+'Fórmula'!E24+'Fórmula'!G24+'Fórmula'!I24+'Fórmula'!K24))*(INDEX(properties!A$1:CB$87,'Fórmula'!J24,13))</f>
        <v>0</v>
      </c>
      <c r="AY24" s="109">
        <f t="array" ref="AY24">'Fórmula'!C24*(INDEX(properties!A$1:CB$87,'Fórmula'!B24,13))+'Fórmula'!E24*(INDEX(properties!A$1:CB$87,'Fórmula'!D24,13))+'Fórmula'!G24*(INDEX(properties!A$1:CB$87,'Fórmula'!F24,13))+'Fórmula'!I24*(INDEX(properties!A$1:CB$87,'Fórmula'!H24,13))+'Fórmula'!K24*(INDEX(properties!A$1:CB$87,'Fórmula'!J24,13))</f>
        <v>0</v>
      </c>
      <c r="AZ24" s="109">
        <f t="array" ref="AZ24">VARP(IF(INDEX(properties!A$1:CB$87,'Fórmula'!B24,13)&lt;&gt;"",INDEX(properties!A$1:CB$87,'Fórmula'!B24,13)),IF(INDEX(properties!A$1:CB$87,'Fórmula'!D24,13)&lt;&gt;"",INDEX(properties!A$1:CB$87,'Fórmula'!D24,13)),IF(INDEX(properties!A$1:CB$87,'Fórmula'!F24,13)&lt;&gt;"",INDEX(properties!A$1:CB$87,'Fórmula'!F24,13)),IF(INDEX(properties!A$1:CB$87,'Fórmula'!H24,13)&lt;&gt;"",INDEX(properties!A$1:CB$87,'Fórmula'!H24,13)),IF(INDEX(properties!A$1:CB$87,'Fórmula'!J24,13)&lt;&gt;"",INDEX(properties!A$1:CB$87,'Fórmula'!J24,13)))</f>
        <v>0</v>
      </c>
      <c r="BA24" s="109">
        <f t="array" ref="BA24">MAX(INDEX(properties!A$1:CB$87,'Fórmula'!B24,13),INDEX(properties!A$1:CB$87,'Fórmula'!D24,13),INDEX(properties!A$1:CB$87,'Fórmula'!F24,13),INDEX(properties!A$1:CB$87,'Fórmula'!H24,13),INDEX(properties!A$1:CB$87,'Fórmula'!J24,13))</f>
        <v>0</v>
      </c>
      <c r="BB24" s="109">
        <f t="array" ref="BB24">MIN(IF('Fórmula'!B24=87,10^6,INDEX(properties!A$1:CB$87,'Fórmula'!B24,13)),IF(('Fórmula'!D24)=87,10^6,INDEX(properties!A$1:CB$87,'Fórmula'!D24,13)),IF(('Fórmula'!F24)=87,10^6,INDEX(properties!A$1:CB$87,'Fórmula'!F24,13)),IF(('Fórmula'!H24)=87,10^6,INDEX(properties!A$1:CB$87,'Fórmula'!H24,13)),IF('Fórmula'!J24=87,10^6,INDEX(properties!A$1:CB$87,'Fórmula'!J24,13)))</f>
        <v>0</v>
      </c>
      <c r="BC24" s="109">
        <f t="shared" si="9"/>
        <v>0</v>
      </c>
      <c r="BD24" s="110">
        <f t="array" ref="BD24">(('Fórmula'!C24)/('Fórmula'!C24+'Fórmula'!E24+'Fórmula'!G24+'Fórmula'!I24+'Fórmula'!K24))*(INDEX(properties!A$1:CB$87,'Fórmula'!B24,14))+(('Fórmula'!E24)/('Fórmula'!C24+'Fórmula'!E24+'Fórmula'!G24+'Fórmula'!I24+'Fórmula'!K24))*(INDEX(properties!A$1:CB$87,'Fórmula'!D24,14))+(('Fórmula'!G24)/('Fórmula'!C24+'Fórmula'!E24+'Fórmula'!G24+'Fórmula'!I24+'Fórmula'!K24))*(INDEX(properties!A$1:CB$87,'Fórmula'!F24,14))+(('Fórmula'!I24)/('Fórmula'!C24+'Fórmula'!E24+'Fórmula'!G24+'Fórmula'!I24+'Fórmula'!K24))*(INDEX(properties!A$1:CB$87,'Fórmula'!H24,14))+(('Fórmula'!K24)/('Fórmula'!C24+'Fórmula'!E24+'Fórmula'!G24+'Fórmula'!I24+'Fórmula'!K24))*(INDEX(properties!A$1:CB$87,'Fórmula'!J24,14))</f>
        <v>0</v>
      </c>
      <c r="BE24" s="110">
        <f t="array" ref="BE24">'Fórmula'!C24*(INDEX(properties!A$1:CB$87,'Fórmula'!B24,14))+'Fórmula'!E24*(INDEX(properties!A$1:CB$87,'Fórmula'!D24,14))+'Fórmula'!G24*(INDEX(properties!A$1:CB$87,'Fórmula'!F24,14))+'Fórmula'!I24*(INDEX(properties!A$1:CB$87,'Fórmula'!H24,14))+'Fórmula'!K24*(INDEX(properties!A$1:CB$87,'Fórmula'!J24,14))</f>
        <v>0</v>
      </c>
      <c r="BF24" s="110">
        <f t="array" ref="BF24">VARP(IF(INDEX(properties!A$1:CB$87,'Fórmula'!B24,14)&lt;&gt;"",INDEX(properties!A$1:CB$87,'Fórmula'!B24,14)),IF(INDEX(properties!A$1:CB$87,'Fórmula'!D24,14)&lt;&gt;"",INDEX(properties!A$1:CB$87,'Fórmula'!D24,14)),IF(INDEX(properties!A$1:CB$87,'Fórmula'!F24,14)&lt;&gt;"",INDEX(properties!A$1:CB$87,'Fórmula'!F24,14)),IF(INDEX(properties!A$1:CB$87,'Fórmula'!H24,14)&lt;&gt;"",INDEX(properties!A$1:CB$87,'Fórmula'!H24,14)),IF(INDEX(properties!A$1:CB$87,'Fórmula'!J24,14)&lt;&gt;"",INDEX(properties!A$1:CB$87,'Fórmula'!J24,14)))</f>
        <v>0</v>
      </c>
      <c r="BG24" s="110">
        <f t="array" ref="BG24">MAX(INDEX(properties!A$1:CB$87,'Fórmula'!B24,14),INDEX(properties!A$1:CB$87,'Fórmula'!D24,14),INDEX(properties!A$1:CB$87,'Fórmula'!F24,14),INDEX(properties!A$1:CB$87,'Fórmula'!H24,14),INDEX(properties!A$1:CB$87,'Fórmula'!J24,14))</f>
        <v>0</v>
      </c>
      <c r="BH24" s="110">
        <f t="array" ref="BH24">MIN(IF('Fórmula'!B24=87,10^6,INDEX(properties!A$1:CB$87,'Fórmula'!B24,14)),IF(('Fórmula'!D24)=87,10^6,INDEX(properties!A$1:CB$87,'Fórmula'!D24,14)),IF(('Fórmula'!F24)=87,10^6,INDEX(properties!A$1:CB$87,'Fórmula'!F24,14)),IF(('Fórmula'!H24)=87,10^6,INDEX(properties!A$1:CB$87,'Fórmula'!H24,14)),IF('Fórmula'!J24=87,10^6,INDEX(properties!A$1:CB$87,'Fórmula'!J24,14)))</f>
        <v>0</v>
      </c>
      <c r="BI24" s="110">
        <f t="shared" si="10"/>
        <v>0</v>
      </c>
      <c r="BJ24" s="111">
        <f t="array" ref="BJ24">(('Fórmula'!C24)/('Fórmula'!C24+'Fórmula'!E24+'Fórmula'!G24+'Fórmula'!I24+'Fórmula'!K24))*(INDEX(properties!A$1:CB$87,'Fórmula'!B24,19))+(('Fórmula'!E24)/('Fórmula'!C24+'Fórmula'!E24+'Fórmula'!G24+'Fórmula'!I24+'Fórmula'!K24))*(INDEX(properties!A$1:CB$87,'Fórmula'!D24,19))+(('Fórmula'!G24)/('Fórmula'!C24+'Fórmula'!E24+'Fórmula'!G24+'Fórmula'!I24+'Fórmula'!K24))*(INDEX(properties!A$1:CB$87,'Fórmula'!F24,19))+(('Fórmula'!I24)/('Fórmula'!C24+'Fórmula'!E24+'Fórmula'!G24+'Fórmula'!I24+'Fórmula'!K24))*(INDEX(properties!A$1:CB$87,'Fórmula'!H24,19))+(('Fórmula'!K24)/('Fórmula'!C24+'Fórmula'!E24+'Fórmula'!G24+'Fórmula'!I24+'Fórmula'!K24))*(INDEX(properties!A$1:CB$87,'Fórmula'!J24,19))</f>
        <v>4.8</v>
      </c>
      <c r="BK24" s="111">
        <f t="array" ref="BK24">'Fórmula'!C24*(INDEX(properties!A$1:CB$87,'Fórmula'!B24,19))+'Fórmula'!E24*(INDEX(properties!A$1:CB$87,'Fórmula'!D24,19))+'Fórmula'!G24*(INDEX(properties!A$1:CB$87,'Fórmula'!F24,19))+'Fórmula'!I24*(INDEX(properties!A$1:CB$87,'Fórmula'!H24,19))+'Fórmula'!K24*(INDEX(properties!A$1:CB$87,'Fórmula'!J24,19))</f>
        <v>48</v>
      </c>
      <c r="BL24" s="111">
        <f t="array" ref="BL24">VARP(IF(INDEX(properties!A$1:CB$87,'Fórmula'!B24,19)&lt;&gt;"",INDEX(properties!A$1:CB$87,'Fórmula'!B24,19)),IF(INDEX(properties!A$1:CB$87,'Fórmula'!D24,19)&lt;&gt;"",INDEX(properties!A$1:CB$87,'Fórmula'!D24,19)),IF(INDEX(properties!A$1:CB$87,'Fórmula'!F24,19)&lt;&gt;"",INDEX(properties!A$1:CB$87,'Fórmula'!F24,19)),IF(INDEX(properties!A$1:CB$87,'Fórmula'!H24,19)&lt;&gt;"",INDEX(properties!A$1:CB$87,'Fórmula'!H24,19)),IF(INDEX(properties!A$1:CB$87,'Fórmula'!J24,19)&lt;&gt;"",INDEX(properties!A$1:CB$87,'Fórmula'!J24,19)))</f>
        <v>4.56</v>
      </c>
      <c r="BM24" s="111">
        <f t="array" ref="BM24">MAX(INDEX(properties!A$1:CB$87,'Fórmula'!B24,19),INDEX(properties!A$1:CB$87,'Fórmula'!D24,19),INDEX(properties!A$1:CB$87,'Fórmula'!F24,19),INDEX(properties!A$1:CB$87,'Fórmula'!H24,19),INDEX(properties!A$1:CB$87,'Fórmula'!J24,19))</f>
        <v>6</v>
      </c>
      <c r="BN24" s="111">
        <f t="array" ref="BN24">MIN(IF(INDEX(properties!A$1:CB$87,'Fórmula'!B24,19)=0,10^6,INDEX(properties!A$1:CB$87,'Fórmula'!B24,19)),IF(INDEX(properties!A$1:CB$87,'Fórmula'!D24,19)=0,10^6,INDEX(properties!A$1:CB$87,'Fórmula'!D24,19)),IF(INDEX(properties!A$1:CB$87,'Fórmula'!F24,19)=0,10^6,INDEX(properties!A$1:CB$87,'Fórmula'!F24,19)),IF(INDEX(properties!A$1:CB$87,'Fórmula'!H24,19)=0,10^6,INDEX(properties!A$1:CB$87,'Fórmula'!H24,19)),IF(INDEX(properties!A$1:CB$87,'Fórmula'!J24,19)=0,10^6,INDEX(properties!A$1:CB$87,'Fórmula'!J24,19)))</f>
        <v>1</v>
      </c>
      <c r="BO24" s="111">
        <f t="shared" si="11"/>
        <v>5</v>
      </c>
      <c r="BP24" s="112">
        <f t="array" ref="BP24">(('Fórmula'!C24)/('Fórmula'!C24+'Fórmula'!E24+'Fórmula'!G24+'Fórmula'!I24+'Fórmula'!K24))*(INDEX(properties!A$1:CB$87,'Fórmula'!B24,20))+(('Fórmula'!E24)/('Fórmula'!C24+'Fórmula'!E24+'Fórmula'!G24+'Fórmula'!I24+'Fórmula'!K24))*(INDEX(properties!A$1:CB$87,'Fórmula'!D24,20))+(('Fórmula'!G24)/('Fórmula'!C24+'Fórmula'!E24+'Fórmula'!G24+'Fórmula'!I24+'Fórmula'!K24))*(INDEX(properties!A$1:CB$87,'Fórmula'!F24,20))+(('Fórmula'!I24)/('Fórmula'!C24+'Fórmula'!E24+'Fórmula'!G24+'Fórmula'!I24+'Fórmula'!K24))*(INDEX(properties!A$1:CB$87,'Fórmula'!H24,20))+(('Fórmula'!K24)/('Fórmula'!C24+'Fórmula'!E24+'Fórmula'!G24+'Fórmula'!I24+'Fórmula'!K24))*(INDEX(properties!A$1:CB$87,'Fórmula'!J24,20))</f>
        <v>4.8</v>
      </c>
      <c r="BQ24" s="112">
        <f t="array" ref="BQ24">'Fórmula'!C24*(INDEX(properties!A$1:CB$87,'Fórmula'!B24,20))+'Fórmula'!E24*(INDEX(properties!A$1:CB$87,'Fórmula'!D24,20))+'Fórmula'!G24*(INDEX(properties!A$1:CB$87,'Fórmula'!F24,20))+'Fórmula'!I24*(INDEX(properties!A$1:CB$87,'Fórmula'!H24,20))+'Fórmula'!K24*(INDEX(properties!A$1:CB$87,'Fórmula'!J24,20))</f>
        <v>48</v>
      </c>
      <c r="BR24" s="112">
        <f t="array" ref="BR24">VARP(IF(INDEX(properties!A$1:CB$87,'Fórmula'!B24,20)&lt;&gt;"",INDEX(properties!A$1:CB$87,'Fórmula'!B24,20)),IF(INDEX(properties!A$1:CB$87,'Fórmula'!D24,20)&lt;&gt;"",INDEX(properties!A$1:CB$87,'Fórmula'!D24,20)),IF(INDEX(properties!A$1:CB$87,'Fórmula'!F24,20)&lt;&gt;"",INDEX(properties!A$1:CB$87,'Fórmula'!F24,20)),IF(INDEX(properties!A$1:CB$87,'Fórmula'!H24,20)&lt;&gt;"",INDEX(properties!A$1:CB$87,'Fórmula'!H24,20)),IF(INDEX(properties!A$1:CB$87,'Fórmula'!J24,20)&lt;&gt;"",INDEX(properties!A$1:CB$87,'Fórmula'!J24,20)))</f>
        <v>4.56</v>
      </c>
      <c r="BS24" s="112">
        <f t="array" ref="BS24">MAX(INDEX(properties!A$1:CB$87,'Fórmula'!B24,20),INDEX(properties!A$1:CB$87,'Fórmula'!D24,20),INDEX(properties!A$1:CB$87,'Fórmula'!F24,20),INDEX(properties!A$1:CB$87,'Fórmula'!H24,20),INDEX(properties!A$1:CB$87,'Fórmula'!J24,20))</f>
        <v>6</v>
      </c>
      <c r="BT24" s="112">
        <f t="array" ref="BT24">MIN(IF(INDEX(properties!A$1:CB$87,'Fórmula'!B24,20)=0,10^6,INDEX(properties!A$1:CB$87,'Fórmula'!B24,20)),IF(INDEX(properties!A$1:CB$87,'Fórmula'!D24,20)=0,10^6,INDEX(properties!A$1:CB$87,'Fórmula'!D24,20)),IF(INDEX(properties!A$1:CB$87,'Fórmula'!F24,20)=0,10^6,INDEX(properties!A$1:CB$87,'Fórmula'!F24,20)),IF(INDEX(properties!A$1:CB$87,'Fórmula'!H24,20)=0,10^6,INDEX(properties!A$1:CB$87,'Fórmula'!H24,20)),IF(INDEX(properties!A$1:CB$87,'Fórmula'!J24,20)=0,10^6,INDEX(properties!A$1:CB$87,'Fórmula'!J24,20)))</f>
        <v>1</v>
      </c>
      <c r="BU24" s="112">
        <f t="shared" si="12"/>
        <v>5</v>
      </c>
      <c r="BV24" s="113">
        <f t="array" ref="BV24">(('Fórmula'!C24)/('Fórmula'!C24+'Fórmula'!E24+'Fórmula'!G24+'Fórmula'!I24+'Fórmula'!K24))*(INDEX(properties!A$1:CB$87,'Fórmula'!B24,21))+(('Fórmula'!E24)/('Fórmula'!C24+'Fórmula'!E24+'Fórmula'!G24+'Fórmula'!I24+'Fórmula'!K24))*(INDEX(properties!A$1:CB$87,'Fórmula'!D24,21))+(('Fórmula'!G24)/('Fórmula'!C24+'Fórmula'!E24+'Fórmula'!G24+'Fórmula'!I24+'Fórmula'!K24))*(INDEX(properties!A$1:CB$87,'Fórmula'!F24,21))+(('Fórmula'!I24)/('Fórmula'!C24+'Fórmula'!E24+'Fórmula'!G24+'Fórmula'!I24+'Fórmula'!K24))*(INDEX(properties!A$1:CB$87,'Fórmula'!H24,21))+(('Fórmula'!K24)/('Fórmula'!C24+'Fórmula'!E24+'Fórmula'!G24+'Fórmula'!I24+'Fórmula'!K24))*(INDEX(properties!A$1:CB$87,'Fórmula'!J24,21))</f>
        <v>4.8</v>
      </c>
      <c r="BW24" s="113">
        <f t="array" ref="BW24">'Fórmula'!C24*(INDEX(properties!A$1:CB$87,'Fórmula'!B24,21))+'Fórmula'!E24*(INDEX(properties!A$1:CB$87,'Fórmula'!D24,21))+'Fórmula'!G24*(INDEX(properties!A$1:CB$87,'Fórmula'!F24,21))+'Fórmula'!I24*(INDEX(properties!A$1:CB$87,'Fórmula'!H24,21))+'Fórmula'!K24*(INDEX(properties!A$1:CB$87,'Fórmula'!J24,21))</f>
        <v>48</v>
      </c>
      <c r="BX24" s="113">
        <f t="array" ref="BX24">VARP(IF(INDEX(properties!A$1:CB$87,'Fórmula'!B24,21)&lt;&gt;"",INDEX(properties!A$1:CB$87,'Fórmula'!B24,21)),IF(INDEX(properties!A$1:CB$87,'Fórmula'!D24,21)&lt;&gt;"",INDEX(properties!A$1:CB$87,'Fórmula'!D24,21)),IF(INDEX(properties!A$1:CB$87,'Fórmula'!F24,21)&lt;&gt;"",INDEX(properties!A$1:CB$87,'Fórmula'!F24,21)),IF(INDEX(properties!A$1:CB$87,'Fórmula'!H24,21)&lt;&gt;"",INDEX(properties!A$1:CB$87,'Fórmula'!H24,21)),IF(INDEX(properties!A$1:CB$87,'Fórmula'!J24,21)&lt;&gt;"",INDEX(properties!A$1:CB$87,'Fórmula'!J24,21)))</f>
        <v>4.56</v>
      </c>
      <c r="BY24" s="113">
        <f t="array" ref="BY24">MAX(INDEX(properties!A$1:CB$87,'Fórmula'!B24,21),INDEX(properties!A$1:CB$87,'Fórmula'!D24,21),INDEX(properties!A$1:CB$87,'Fórmula'!F24,21),INDEX(properties!A$1:CB$87,'Fórmula'!H24,21),INDEX(properties!A$1:CB$87,'Fórmula'!J24,21))</f>
        <v>6</v>
      </c>
      <c r="BZ24" s="113">
        <f t="array" ref="BZ24">MIN(IF(INDEX(properties!A$1:CB$87,'Fórmula'!B24,21)=0,10^6,INDEX(properties!A$1:CB$87,'Fórmula'!B24,21)),IF(INDEX(properties!A$1:CB$87,'Fórmula'!D24,21)=0,10^6,INDEX(properties!A$1:CB$87,'Fórmula'!D24,21)),IF(INDEX(properties!A$1:CB$87,'Fórmula'!F24,21)=0,10^6,INDEX(properties!A$1:CB$87,'Fórmula'!F24,21)),IF(INDEX(properties!A$1:CB$87,'Fórmula'!H24,21)=0,10^6,INDEX(properties!A$1:CB$87,'Fórmula'!H24,21)),IF(INDEX(properties!A$1:CB$87,'Fórmula'!J24,21)=0,10^6,INDEX(properties!A$1:CB$87,'Fórmula'!J24,21)))</f>
        <v>1</v>
      </c>
      <c r="CA24" s="113">
        <f t="shared" si="13"/>
        <v>5</v>
      </c>
      <c r="CB24" s="114">
        <f t="array" ref="CB24">(('Fórmula'!C24)/('Fórmula'!C24+'Fórmula'!E24+'Fórmula'!G24+'Fórmula'!I24+'Fórmula'!K24))*(INDEX(properties!A$1:CB$87,'Fórmula'!B24,23))+(('Fórmula'!E24)/('Fórmula'!C24+'Fórmula'!E24+'Fórmula'!G24+'Fórmula'!I24+'Fórmula'!K24))*(INDEX(properties!A$1:CB$87,'Fórmula'!D24,23))+(('Fórmula'!G24)/('Fórmula'!C24+'Fórmula'!E24+'Fórmula'!G24+'Fórmula'!I24+'Fórmula'!K24))*(INDEX(properties!A$1:CB$87,'Fórmula'!F24,23))+(('Fórmula'!I24)/('Fórmula'!C24+'Fórmula'!E24+'Fórmula'!G24+'Fórmula'!I24+'Fórmula'!K24))*(INDEX(properties!A$1:CB$87,'Fórmula'!H24,23))+(('Fórmula'!K24)/('Fórmula'!C24+'Fórmula'!E24+'Fórmula'!G24+'Fórmula'!I24+'Fórmula'!K24))*(INDEX(properties!A$1:CB$87,'Fórmula'!J24,23))</f>
        <v>1.2</v>
      </c>
      <c r="CC24" s="114">
        <f t="array" ref="CC24">'Fórmula'!C24*(INDEX(properties!A$1:CB$87,'Fórmula'!B24,23))+'Fórmula'!E24*(INDEX(properties!A$1:CB$87,'Fórmula'!D24,23))+'Fórmula'!G24*(INDEX(properties!A$1:CB$87,'Fórmula'!F24,23))+'Fórmula'!I24*(INDEX(properties!A$1:CB$87,'Fórmula'!H24,23))+'Fórmula'!K24*(INDEX(properties!A$1:CB$87,'Fórmula'!J24,23))</f>
        <v>12</v>
      </c>
      <c r="CD24" s="114">
        <f t="array" ref="CD24">VARP(IF(INDEX(properties!A$1:CB$87,'Fórmula'!B24,23)&lt;&gt;"",INDEX(properties!A$1:CB$87,'Fórmula'!B24,23)),IF(INDEX(properties!A$1:CB$87,'Fórmula'!D24,23)&lt;&gt;"",INDEX(properties!A$1:CB$87,'Fórmula'!D24,23)),IF(INDEX(properties!A$1:CB$87,'Fórmula'!F24,23)&lt;&gt;"",INDEX(properties!A$1:CB$87,'Fórmula'!F24,23)),IF(INDEX(properties!A$1:CB$87,'Fórmula'!H24,23)&lt;&gt;"",INDEX(properties!A$1:CB$87,'Fórmula'!H24,23)),IF(INDEX(properties!A$1:CB$87,'Fórmula'!J24,23)&lt;&gt;"",INDEX(properties!A$1:CB$87,'Fórmula'!J24,23)))</f>
        <v>2.64</v>
      </c>
      <c r="CE24" s="114">
        <f t="array" ref="CE24">MAX(INDEX(properties!A$1:CB$87,'Fórmula'!B24,23),INDEX(properties!A$1:CB$87,'Fórmula'!D24,23),INDEX(properties!A$1:CB$87,'Fórmula'!F24,23),INDEX(properties!A$1:CB$87,'Fórmula'!H24,23),INDEX(properties!A$1:CB$87,'Fórmula'!J24,23))</f>
        <v>4</v>
      </c>
      <c r="CF24" s="114">
        <f t="array" ref="CF24">MIN(IF('Fórmula'!B24=87,10^6,INDEX(properties!A$1:CB$87,'Fórmula'!B24,23)),IF(('Fórmula'!D24)=87,10^6,INDEX(properties!A$1:CB$87,'Fórmula'!D24,23)),IF(('Fórmula'!F24)=87,10^6,INDEX(properties!A$1:CB$87,'Fórmula'!F24,23)),IF(('Fórmula'!H24)=87,10^6,INDEX(properties!A$1:CB$87,'Fórmula'!H24,23)),IF('Fórmula'!J24=87,10^6,INDEX(properties!A$1:CB$87,'Fórmula'!J24,23)))</f>
        <v>0</v>
      </c>
      <c r="CG24" s="114">
        <f t="shared" si="14"/>
        <v>4</v>
      </c>
      <c r="CH24" s="115">
        <f t="array" ref="CH24">(('Fórmula'!C24)/('Fórmula'!C24+'Fórmula'!E24+'Fórmula'!G24+'Fórmula'!I24+'Fórmula'!K24))*(INDEX(properties!A$1:CB$87,'Fórmula'!B24,26))+(('Fórmula'!E24)/('Fórmula'!C24+'Fórmula'!E24+'Fórmula'!G24+'Fórmula'!I24+'Fórmula'!K24))*(INDEX(properties!A$1:CB$87,'Fórmula'!D24,26))+(('Fórmula'!G24)/('Fórmula'!C24+'Fórmula'!E24+'Fórmula'!G24+'Fórmula'!I24+'Fórmula'!K24))*(INDEX(properties!A$1:CB$87,'Fórmula'!F24,26))+(('Fórmula'!I24)/('Fórmula'!C24+'Fórmula'!E24+'Fórmula'!G24+'Fórmula'!I24+'Fórmula'!K24))*(INDEX(properties!A$1:CB$87,'Fórmula'!H24,26))+(('Fórmula'!K24)/('Fórmula'!C24+'Fórmula'!E24+'Fórmula'!G24+'Fórmula'!I24+'Fórmula'!K24))*(INDEX(properties!A$1:CB$87,'Fórmula'!J24,26))</f>
        <v>10.78917</v>
      </c>
      <c r="CI24" s="115">
        <f t="array" ref="CI24">'Fórmula'!C24*(INDEX(properties!A$1:CB$87,'Fórmula'!B24,26))+'Fórmula'!E24*(INDEX(properties!A$1:CB$87,'Fórmula'!D24,26))+'Fórmula'!G24*(INDEX(properties!A$1:CB$87,'Fórmula'!F24,26))+'Fórmula'!I24*(INDEX(properties!A$1:CB$87,'Fórmula'!H24,26))+'Fórmula'!K24*(INDEX(properties!A$1:CB$87,'Fórmula'!J24,26))</f>
        <v>107.8917</v>
      </c>
      <c r="CJ24" s="115">
        <f t="array" ref="CJ24">VARP(IF(INDEX(properties!A$1:CB$87,'Fórmula'!B24,26)&lt;&gt;"",INDEX(properties!A$1:CB$87,'Fórmula'!B24,26)),IF(INDEX(properties!A$1:CB$87,'Fórmula'!D24,26)&lt;&gt;"",INDEX(properties!A$1:CB$87,'Fórmula'!D24,26)),IF(INDEX(properties!A$1:CB$87,'Fórmula'!F24,26)&lt;&gt;"",INDEX(properties!A$1:CB$87,'Fórmula'!F24,26)),IF(INDEX(properties!A$1:CB$87,'Fórmula'!H24,26)&lt;&gt;"",INDEX(properties!A$1:CB$87,'Fórmula'!H24,26)),IF(INDEX(properties!A$1:CB$87,'Fórmula'!J24,26)&lt;&gt;"",INDEX(properties!A$1:CB$87,'Fórmula'!J24,26)))</f>
        <v>20.51138986</v>
      </c>
      <c r="CK24" s="116">
        <f t="array" ref="CK24">MAX(INDEX(properties!A$1:CB$87,'Fórmula'!B24,26),INDEX(properties!A$1:CB$87,'Fórmula'!D24,26),INDEX(properties!A$1:CB$87,'Fórmula'!F24,26),INDEX(properties!A$1:CB$87,'Fórmula'!H24,26),INDEX(properties!A$1:CB$87,'Fórmula'!J24,26))</f>
        <v>13.6181</v>
      </c>
      <c r="CL24" s="116">
        <f t="array" ref="CL24">MIN(IF(INDEX(properties!A$1:CB$87,'Fórmula'!B24,26)=0,10^6,INDEX(properties!A$1:CB$87,'Fórmula'!B24,26)),IF(INDEX(properties!A$1:CB$87,'Fórmula'!D24,26)=0,10^6,INDEX(properties!A$1:CB$87,'Fórmula'!D24,26)),IF(INDEX(properties!A$1:CB$87,'Fórmula'!F24,26)=0,10^6,INDEX(properties!A$1:CB$87,'Fórmula'!F24,26)),IF(INDEX(properties!A$1:CB$87,'Fórmula'!H24,26)=0,10^6,INDEX(properties!A$1:CB$87,'Fórmula'!H24,26)),IF(INDEX(properties!A$1:CB$87,'Fórmula'!J24,26)=0,10^6,INDEX(properties!A$1:CB$87,'Fórmula'!J24,26)))</f>
        <v>3.8939</v>
      </c>
      <c r="CM24" s="115">
        <f t="shared" si="15"/>
        <v>9.7242</v>
      </c>
      <c r="CN24" s="117">
        <f t="array" ref="CN24">(('Fórmula'!C24)/('Fórmula'!C24+'Fórmula'!E24+'Fórmula'!G24+'Fórmula'!I24+'Fórmula'!K24))*(INDEX(properties!A$1:CB$87,'Fórmula'!B24,30))+(('Fórmula'!E24)/('Fórmula'!C24+'Fórmula'!E24+'Fórmula'!G24+'Fórmula'!I24+'Fórmula'!K24))*(INDEX(properties!A$1:CB$87,'Fórmula'!D24,30))+(('Fórmula'!G24)/('Fórmula'!C24+'Fórmula'!E24+'Fórmula'!G24+'Fórmula'!I24+'Fórmula'!K24))*(INDEX(properties!A$1:CB$87,'Fórmula'!F24,30))+(('Fórmula'!I24)/('Fórmula'!C24+'Fórmula'!E24+'Fórmula'!G24+'Fórmula'!I24+'Fórmula'!K24))*(INDEX(properties!A$1:CB$87,'Fórmula'!H24,30))+(('Fórmula'!K24)/('Fórmula'!C24+'Fórmula'!E24+'Fórmula'!G24+'Fórmula'!I24+'Fórmula'!K24))*(INDEX(properties!A$1:CB$87,'Fórmula'!J24,30))</f>
        <v>2.684</v>
      </c>
      <c r="CO24" s="117">
        <f t="array" ref="CO24">'Fórmula'!C24*(INDEX(properties!A$1:CB$87,'Fórmula'!B24,30))+'Fórmula'!E24*(INDEX(properties!A$1:CB$87,'Fórmula'!D24,30))+'Fórmula'!G24*(INDEX(properties!A$1:CB$87,'Fórmula'!F24,30))+'Fórmula'!I24*(INDEX(properties!A$1:CB$87,'Fórmula'!H24,30))+'Fórmula'!K24*(INDEX(properties!A$1:CB$87,'Fórmula'!J24,30))</f>
        <v>26.84</v>
      </c>
      <c r="CP24" s="117">
        <f t="array" ref="CP24">VARP(IF(INDEX(properties!A$1:CB$87,'Fórmula'!B24,30)&lt;&gt;"",INDEX(properties!A$1:CB$87,'Fórmula'!B24,30)),IF(INDEX(properties!A$1:CB$87,'Fórmula'!D24,30)&lt;&gt;"",INDEX(properties!A$1:CB$87,'Fórmula'!D24,30)),IF(INDEX(properties!A$1:CB$87,'Fórmula'!F24,30)&lt;&gt;"",INDEX(properties!A$1:CB$87,'Fórmula'!F24,30)),IF(INDEX(properties!A$1:CB$87,'Fórmula'!H24,30)&lt;&gt;"",INDEX(properties!A$1:CB$87,'Fórmula'!H24,30)),IF(INDEX(properties!A$1:CB$87,'Fórmula'!J24,30)&lt;&gt;"",INDEX(properties!A$1:CB$87,'Fórmula'!J24,30)))</f>
        <v>1.335656</v>
      </c>
      <c r="CQ24" s="117">
        <f t="array" ref="CQ24">MAX(INDEX(properties!A$1:CB$87,'Fórmula'!B24,30),INDEX(properties!A$1:CB$87,'Fórmula'!D24,30),INDEX(properties!A$1:CB$87,'Fórmula'!F24,30),INDEX(properties!A$1:CB$87,'Fórmula'!H24,30),INDEX(properties!A$1:CB$87,'Fórmula'!J24,30))</f>
        <v>3.44</v>
      </c>
      <c r="CR24" s="117">
        <f t="array" ref="CR24">MIN(IF(INDEX(properties!A$1:CB$87,'Fórmula'!B24,30)=0,10^6,INDEX(properties!A$1:CB$87,'Fórmula'!B24,30)),IF(INDEX(properties!A$1:CB$87,'Fórmula'!D24,30)=0,10^6,INDEX(properties!A$1:CB$87,'Fórmula'!D24,30)),IF(INDEX(properties!A$1:CB$87,'Fórmula'!F24,30)=0,10^6,INDEX(properties!A$1:CB$87,'Fórmula'!F24,30)),IF(INDEX(properties!A$1:CB$87,'Fórmula'!H24,30)=0,10^6,INDEX(properties!A$1:CB$87,'Fórmula'!H24,30)),IF(INDEX(properties!A$1:CB$87,'Fórmula'!J24,30)=0,10^6,INDEX(properties!A$1:CB$87,'Fórmula'!J24,30)))</f>
        <v>0.79</v>
      </c>
      <c r="CS24" s="117">
        <f t="shared" si="16"/>
        <v>2.65</v>
      </c>
      <c r="CT24" s="118">
        <f t="array" ref="CT24">(('Fórmula'!C24)/('Fórmula'!C24+'Fórmula'!E24+'Fórmula'!G24+'Fórmula'!I24+'Fórmula'!K24))*(INDEX(properties!A$1:CB$87,'Fórmula'!B24,31))+(('Fórmula'!E24)/('Fórmula'!C24+'Fórmula'!E24+'Fórmula'!G24+'Fórmula'!I24+'Fórmula'!K24))*(INDEX(properties!A$1:CB$87,'Fórmula'!D24,31))+(('Fórmula'!G24)/('Fórmula'!C24+'Fórmula'!E24+'Fórmula'!G24+'Fórmula'!I24+'Fórmula'!K24))*(INDEX(properties!A$1:CB$87,'Fórmula'!F24,31))+(('Fórmula'!I24)/('Fórmula'!C24+'Fórmula'!E24+'Fórmula'!G24+'Fórmula'!I24+'Fórmula'!K24))*(INDEX(properties!A$1:CB$87,'Fórmula'!H24,31))+(('Fórmula'!K24)/('Fórmula'!C24+'Fórmula'!E24+'Fórmula'!G24+'Fórmula'!I24+'Fórmula'!K24))*(INDEX(properties!A$1:CB$87,'Fórmula'!J24,31))</f>
        <v>2.629</v>
      </c>
      <c r="CU24" s="118">
        <f t="array" ref="CU24">'Fórmula'!C24*(INDEX(properties!A$1:CB$87,'Fórmula'!B24,31))+'Fórmula'!E24*(INDEX(properties!A$1:CB$87,'Fórmula'!D24,31))+'Fórmula'!G24*(INDEX(properties!A$1:CB$87,'Fórmula'!F24,31))+'Fórmula'!I24*(INDEX(properties!A$1:CB$87,'Fórmula'!H24,31))+'Fórmula'!K24*(INDEX(properties!A$1:CB$87,'Fórmula'!J24,31))</f>
        <v>26.29</v>
      </c>
      <c r="CV24" s="118">
        <f t="array" ref="CV24">VARP(IF(INDEX(properties!A$1:CB$87,'Fórmula'!B24,31)&lt;&gt;"",INDEX(properties!A$1:CB$87,'Fórmula'!B24,31)),IF(INDEX(properties!A$1:CB$87,'Fórmula'!D24,31)&lt;&gt;"",INDEX(properties!A$1:CB$87,'Fórmula'!D24,31)),IF(INDEX(properties!A$1:CB$87,'Fórmula'!F24,31)&lt;&gt;"",INDEX(properties!A$1:CB$87,'Fórmula'!F24,31)),IF(INDEX(properties!A$1:CB$87,'Fórmula'!H24,31)&lt;&gt;"",INDEX(properties!A$1:CB$87,'Fórmula'!H24,31)),IF(INDEX(properties!A$1:CB$87,'Fórmula'!J24,31)&lt;&gt;"",INDEX(properties!A$1:CB$87,'Fórmula'!J24,31)))</f>
        <v>1.267296</v>
      </c>
      <c r="CW24" s="118">
        <f t="array" ref="CW24">MAX(INDEX(properties!A$1:CB$87,'Fórmula'!B24,31),INDEX(properties!A$1:CB$87,'Fórmula'!D24,31),INDEX(properties!A$1:CB$87,'Fórmula'!F24,31),INDEX(properties!A$1:CB$87,'Fórmula'!H24,31),INDEX(properties!A$1:CB$87,'Fórmula'!J24,31))</f>
        <v>3.32</v>
      </c>
      <c r="CX24" s="118">
        <f t="array" ref="CX24">MIN(IF(INDEX(properties!A$1:CB$87,'Fórmula'!B24,31)=0,10^6,INDEX(properties!A$1:CB$87,'Fórmula'!B24,31)),IF(INDEX(properties!A$1:CB$87,'Fórmula'!D24,31)=0,10^6,INDEX(properties!A$1:CB$87,'Fórmula'!D24,31)),IF(INDEX(properties!A$1:CB$87,'Fórmula'!F24,31)=0,10^6,INDEX(properties!A$1:CB$87,'Fórmula'!F24,31)),IF(INDEX(properties!A$1:CB$87,'Fórmula'!H24,31)=0,10^6,INDEX(properties!A$1:CB$87,'Fórmula'!H24,31)),IF(INDEX(properties!A$1:CB$87,'Fórmula'!J24,31)=0,10^6,INDEX(properties!A$1:CB$87,'Fórmula'!J24,31)))</f>
        <v>0.77</v>
      </c>
      <c r="CY24" s="118">
        <f t="shared" si="17"/>
        <v>2.55</v>
      </c>
      <c r="CZ24" s="119">
        <f t="array" ref="CZ24">(('Fórmula'!C24)/('Fórmula'!C24+'Fórmula'!E24+'Fórmula'!G24+'Fórmula'!I24+'Fórmula'!K24))*(INDEX(properties!A$1:CB$87,'Fórmula'!B24,32))+(('Fórmula'!E24)/('Fórmula'!C24+'Fórmula'!E24+'Fórmula'!G24+'Fórmula'!I24+'Fórmula'!K24))*(INDEX(properties!A$1:CB$87,'Fórmula'!D24,32))+(('Fórmula'!G24)/('Fórmula'!C24+'Fórmula'!E24+'Fórmula'!G24+'Fórmula'!I24+'Fórmula'!K24))*(INDEX(properties!A$1:CB$87,'Fórmula'!F24,32))+(('Fórmula'!I24)/('Fórmula'!C24+'Fórmula'!E24+'Fórmula'!G24+'Fórmula'!I24+'Fórmula'!K24))*(INDEX(properties!A$1:CB$87,'Fórmula'!H24,32))+(('Fórmula'!K24)/('Fórmula'!C24+'Fórmula'!E24+'Fórmula'!G24+'Fórmula'!I24+'Fórmula'!K24))*(INDEX(properties!A$1:CB$87,'Fórmula'!J24,32))</f>
        <v>6.019</v>
      </c>
      <c r="DA24" s="119">
        <f t="array" ref="DA24">'Fórmula'!C24*(INDEX(properties!A$1:CB$87,'Fórmula'!B24,32))+'Fórmula'!E24*(INDEX(properties!A$1:CB$87,'Fórmula'!D24,32))+'Fórmula'!G24*(INDEX(properties!A$1:CB$87,'Fórmula'!F24,32))+'Fórmula'!I24*(INDEX(properties!A$1:CB$87,'Fórmula'!H24,32))+'Fórmula'!K24*(INDEX(properties!A$1:CB$87,'Fórmula'!J24,32))</f>
        <v>60.19</v>
      </c>
      <c r="DB24" s="119">
        <f t="array" ref="DB24">VARP(IF(INDEX(properties!A$1:CB$87,'Fórmula'!B24,32)&lt;&gt;"",INDEX(properties!A$1:CB$87,'Fórmula'!B24,32)),IF(INDEX(properties!A$1:CB$87,'Fórmula'!D24,32)&lt;&gt;"",INDEX(properties!A$1:CB$87,'Fórmula'!D24,32)),IF(INDEX(properties!A$1:CB$87,'Fórmula'!F24,32)&lt;&gt;"",INDEX(properties!A$1:CB$87,'Fórmula'!F24,32)),IF(INDEX(properties!A$1:CB$87,'Fórmula'!H24,32)&lt;&gt;"",INDEX(properties!A$1:CB$87,'Fórmula'!H24,32)),IF(INDEX(properties!A$1:CB$87,'Fórmula'!J24,32)&lt;&gt;"",INDEX(properties!A$1:CB$87,'Fórmula'!J24,32)))</f>
        <v>6.398024</v>
      </c>
      <c r="DC24" s="119">
        <f t="array" ref="DC24">MAX(INDEX(properties!A$1:CB$87,'Fórmula'!B24,32),INDEX(properties!A$1:CB$87,'Fórmula'!D24,32),INDEX(properties!A$1:CB$87,'Fórmula'!F24,32),INDEX(properties!A$1:CB$87,'Fórmula'!H24,32),INDEX(properties!A$1:CB$87,'Fórmula'!J24,32))</f>
        <v>7.54</v>
      </c>
      <c r="DD24" s="119">
        <f t="array" ref="DD24">MIN(IF(INDEX(properties!A$1:CB$87,'Fórmula'!B24,32)=0,10^6,INDEX(properties!A$1:CB$87,'Fórmula'!B24,32)),IF(INDEX(properties!A$1:CB$87,'Fórmula'!D24,32)=0,10^6,INDEX(properties!A$1:CB$87,'Fórmula'!D24,32)),IF(INDEX(properties!A$1:CB$87,'Fórmula'!F24,32)=0,10^6,INDEX(properties!A$1:CB$87,'Fórmula'!F24,32)),IF(INDEX(properties!A$1:CB$87,'Fórmula'!H24,32)=0,10^6,INDEX(properties!A$1:CB$87,'Fórmula'!H24,32)),IF(INDEX(properties!A$1:CB$87,'Fórmula'!J24,32)=0,10^6,INDEX(properties!A$1:CB$87,'Fórmula'!J24,32)))</f>
        <v>2.18</v>
      </c>
      <c r="DE24" s="119">
        <f t="shared" si="18"/>
        <v>5.36</v>
      </c>
      <c r="DF24" s="104">
        <f t="array" ref="DF24">(('Fórmula'!C24)/('Fórmula'!C24+'Fórmula'!E24+'Fórmula'!G24+'Fórmula'!I24+'Fórmula'!K24))*(INDEX(properties!A$1:CB$87,'Fórmula'!B24,34))+(('Fórmula'!E24)/('Fórmula'!C24+'Fórmula'!E24+'Fórmula'!G24+'Fórmula'!I24+'Fórmula'!K24))*(INDEX(properties!A$1:CB$87,'Fórmula'!D24,34))+(('Fórmula'!G24)/('Fórmula'!C24+'Fórmula'!E24+'Fórmula'!G24+'Fórmula'!I24+'Fórmula'!K24))*(INDEX(properties!A$1:CB$87,'Fórmula'!F24,34))+(('Fórmula'!I24)/('Fórmula'!C24+'Fórmula'!E24+'Fórmula'!G24+'Fórmula'!I24+'Fórmula'!K24))*(INDEX(properties!A$1:CB$87,'Fórmula'!H24,34))+(('Fórmula'!K24)/('Fórmula'!C24+'Fórmula'!E24+'Fórmula'!G24+'Fórmula'!I24+'Fórmula'!K24))*(INDEX(properties!A$1:CB$87,'Fórmula'!J24,34))</f>
        <v>2.7764</v>
      </c>
      <c r="DG24" s="104">
        <f t="array" ref="DG24">'Fórmula'!C24*(INDEX(properties!A$1:CB$87,'Fórmula'!B24,34))+'Fórmula'!E24*(INDEX(properties!A$1:CB$87,'Fórmula'!D24,34))+'Fórmula'!G24*(INDEX(properties!A$1:CB$87,'Fórmula'!F24,34))+'Fórmula'!I24*(INDEX(properties!A$1:CB$87,'Fórmula'!H24,34))+'Fórmula'!K24*(INDEX(properties!A$1:CB$87,'Fórmula'!J24,34))</f>
        <v>27.764</v>
      </c>
      <c r="DH24" s="104">
        <f t="array" ref="DH24">VARP(IF(INDEX(properties!A$1:CB$87,'Fórmula'!B24,34)&lt;&gt;"",INDEX(properties!A$1:CB$87,'Fórmula'!B24,34)),IF(INDEX(properties!A$1:CB$87,'Fórmula'!D24,34)&lt;&gt;"",INDEX(properties!A$1:CB$87,'Fórmula'!D24,34)),IF(INDEX(properties!A$1:CB$87,'Fórmula'!F24,34)&lt;&gt;"",INDEX(properties!A$1:CB$87,'Fórmula'!F24,34)),IF(INDEX(properties!A$1:CB$87,'Fórmula'!H24,34)&lt;&gt;"",INDEX(properties!A$1:CB$87,'Fórmula'!H24,34)),IF(INDEX(properties!A$1:CB$87,'Fórmula'!J24,34)&lt;&gt;"",INDEX(properties!A$1:CB$87,'Fórmula'!J24,34)))</f>
        <v>1.51548904</v>
      </c>
      <c r="DI24" s="104">
        <f t="array" ref="DI24">MAX(INDEX(properties!A$1:CB$87,'Fórmula'!B24,34),INDEX(properties!A$1:CB$87,'Fórmula'!D24,34),INDEX(properties!A$1:CB$87,'Fórmula'!F24,34),INDEX(properties!A$1:CB$87,'Fórmula'!H24,34),INDEX(properties!A$1:CB$87,'Fórmula'!J24,34))</f>
        <v>3.61</v>
      </c>
      <c r="DJ24" s="104">
        <f t="array" ref="DJ24">MIN(IF(INDEX(properties!A$1:CB$87,'Fórmula'!B24,34)=0,10^6,INDEX(properties!A$1:CB$87,'Fórmula'!B24,34)),IF(INDEX(properties!A$1:CB$87,'Fórmula'!D24,34)=0,10^6,INDEX(properties!A$1:CB$87,'Fórmula'!D24,34)),IF(INDEX(properties!A$1:CB$87,'Fórmula'!F24,34)=0,10^6,INDEX(properties!A$1:CB$87,'Fórmula'!F24,34)),IF(INDEX(properties!A$1:CB$87,'Fórmula'!H24,34)=0,10^6,INDEX(properties!A$1:CB$87,'Fórmula'!H24,34)),IF(INDEX(properties!A$1:CB$87,'Fórmula'!J24,34)=0,10^6,INDEX(properties!A$1:CB$87,'Fórmula'!J24,34)))</f>
        <v>0.659</v>
      </c>
      <c r="DK24" s="104">
        <f t="shared" si="19"/>
        <v>2.951</v>
      </c>
      <c r="DL24" s="105">
        <f t="array" ref="DL24">(('Fórmula'!C24)/('Fórmula'!C24+'Fórmula'!E24+'Fórmula'!G24+'Fórmula'!I24+'Fórmula'!K24))*(INDEX(properties!A$1:CB$87,'Fórmula'!B24,37))+(('Fórmula'!E24)/('Fórmula'!C24+'Fórmula'!E24+'Fórmula'!G24+'Fórmula'!I24+'Fórmula'!K24))*(INDEX(properties!A$1:CB$87,'Fórmula'!D24,37))+(('Fórmula'!G24)/('Fórmula'!C24+'Fórmula'!E24+'Fórmula'!G24+'Fórmula'!I24+'Fórmula'!K24))*(INDEX(properties!A$1:CB$87,'Fórmula'!F24,37))+(('Fórmula'!I24)/('Fórmula'!C24+'Fórmula'!E24+'Fórmula'!G24+'Fórmula'!I24+'Fórmula'!K24))*(INDEX(properties!A$1:CB$87,'Fórmula'!H24,37))+(('Fórmula'!K24)/('Fórmula'!C24+'Fórmula'!E24+'Fórmula'!G24+'Fórmula'!I24+'Fórmula'!K24))*(INDEX(properties!A$1:CB$87,'Fórmula'!J24,37))</f>
        <v>2.655</v>
      </c>
      <c r="DM24" s="105">
        <f t="array" ref="DM24">'Fórmula'!C24*(INDEX(properties!A$1:CB$87,'Fórmula'!B24,37))+'Fórmula'!E24*(INDEX(properties!A$1:CB$87,'Fórmula'!D24,37))+'Fórmula'!G24*(INDEX(properties!A$1:CB$87,'Fórmula'!F24,37))+'Fórmula'!I24*(INDEX(properties!A$1:CB$87,'Fórmula'!H24,37))+'Fórmula'!K24*(INDEX(properties!A$1:CB$87,'Fórmula'!J24,37))</f>
        <v>26.55</v>
      </c>
      <c r="DN24" s="105">
        <f t="array" ref="DN24">VARP(IF(INDEX(properties!A$1:CB$87,'Fórmula'!B24,37)&lt;&gt;"",INDEX(properties!A$1:CB$87,'Fórmula'!B24,37)),IF(INDEX(properties!A$1:CB$87,'Fórmula'!D24,37)&lt;&gt;"",INDEX(properties!A$1:CB$87,'Fórmula'!D24,37)),IF(INDEX(properties!A$1:CB$87,'Fórmula'!F24,37)&lt;&gt;"",INDEX(properties!A$1:CB$87,'Fórmula'!F24,37)),IF(INDEX(properties!A$1:CB$87,'Fórmula'!H24,37)&lt;&gt;"",INDEX(properties!A$1:CB$87,'Fórmula'!H24,37)),IF(INDEX(properties!A$1:CB$87,'Fórmula'!J24,37)&lt;&gt;"",INDEX(properties!A$1:CB$87,'Fórmula'!J24,37)))</f>
        <v>1.341</v>
      </c>
      <c r="DO24" s="105">
        <f t="array" ref="DO24">MAX(INDEX(properties!A$1:CB$87,'Fórmula'!B24,37),INDEX(properties!A$1:CB$87,'Fórmula'!D24,37),INDEX(properties!A$1:CB$87,'Fórmula'!F24,37),INDEX(properties!A$1:CB$87,'Fórmula'!H24,37),INDEX(properties!A$1:CB$87,'Fórmula'!J24,37))</f>
        <v>3.45</v>
      </c>
      <c r="DP24" s="105">
        <f t="array" ref="DP24">MIN(IF(INDEX(properties!A$1:CB$87,'Fórmula'!B24,37)=0,10^6,INDEX(properties!A$1:CB$87,'Fórmula'!B24,37)),IF(INDEX(properties!A$1:CB$87,'Fórmula'!D24,37)=0,10^6,INDEX(properties!A$1:CB$87,'Fórmula'!D24,37)),IF(INDEX(properties!A$1:CB$87,'Fórmula'!F24,37)=0,10^6,INDEX(properties!A$1:CB$87,'Fórmula'!F24,37)),IF(INDEX(properties!A$1:CB$87,'Fórmula'!H24,37)=0,10^6,INDEX(properties!A$1:CB$87,'Fórmula'!H24,37)),IF(INDEX(properties!A$1:CB$87,'Fórmula'!J24,37)=0,10^6,INDEX(properties!A$1:CB$87,'Fórmula'!J24,37)))</f>
        <v>0.75</v>
      </c>
      <c r="DQ24" s="105">
        <f t="shared" si="20"/>
        <v>2.7</v>
      </c>
      <c r="DR24" s="109">
        <f t="array" ref="DR24">(('Fórmula'!C24)/('Fórmula'!C24+'Fórmula'!E24+'Fórmula'!G24+'Fórmula'!I24+'Fórmula'!K24))*(INDEX(properties!A$1:CB$87,'Fórmula'!B24,39))+(('Fórmula'!E24)/('Fórmula'!C24+'Fórmula'!E24+'Fórmula'!G24+'Fórmula'!I24+'Fórmula'!K24))*(INDEX(properties!A$1:CB$87,'Fórmula'!D24,39))+(('Fórmula'!G24)/('Fórmula'!C24+'Fórmula'!E24+'Fórmula'!G24+'Fórmula'!I24+'Fórmula'!K24))*(INDEX(properties!A$1:CB$87,'Fórmula'!F24,39))+(('Fórmula'!I24)/('Fórmula'!C24+'Fórmula'!E24+'Fórmula'!G24+'Fórmula'!I24+'Fórmula'!K24))*(INDEX(properties!A$1:CB$87,'Fórmula'!H24,39))+(('Fórmula'!K24)/('Fórmula'!C24+'Fórmula'!E24+'Fórmula'!G24+'Fórmula'!I24+'Fórmula'!K24))*(INDEX(properties!A$1:CB$87,'Fórmula'!J24,39))</f>
        <v>0.926</v>
      </c>
      <c r="DS24" s="109">
        <f t="array" ref="DS24">'Fórmula'!C24*(INDEX(properties!A$1:CB$87,'Fórmula'!B24,39))+'Fórmula'!E24*(INDEX(properties!A$1:CB$87,'Fórmula'!D24,39))+'Fórmula'!G24*(INDEX(properties!A$1:CB$87,'Fórmula'!F24,39))+'Fórmula'!I24*(INDEX(properties!A$1:CB$87,'Fórmula'!H24,39))+'Fórmula'!K24*(INDEX(properties!A$1:CB$87,'Fórmula'!J24,39))</f>
        <v>9.26</v>
      </c>
      <c r="DT24" s="109">
        <f t="array" ref="DT24">VARP(IF(INDEX(properties!A$1:CB$87,'Fórmula'!B24,39)&lt;&gt;"",INDEX(properties!A$1:CB$87,'Fórmula'!B24,39)),IF(INDEX(properties!A$1:CB$87,'Fórmula'!D24,39)&lt;&gt;"",INDEX(properties!A$1:CB$87,'Fórmula'!D24,39)),IF(INDEX(properties!A$1:CB$87,'Fórmula'!F24,39)&lt;&gt;"",INDEX(properties!A$1:CB$87,'Fórmula'!F24,39)),IF(INDEX(properties!A$1:CB$87,'Fórmula'!H24,39)&lt;&gt;"",INDEX(properties!A$1:CB$87,'Fórmula'!H24,39)),IF(INDEX(properties!A$1:CB$87,'Fórmula'!J24,39)&lt;&gt;"",INDEX(properties!A$1:CB$87,'Fórmula'!J24,39)))</f>
        <v>1.02456</v>
      </c>
      <c r="DU24" s="120">
        <f t="array" ref="DU24">MAX(INDEX(properties!A$1:CB$87,'Fórmula'!B24,39),INDEX(properties!A$1:CB$87,'Fórmula'!D24,39),INDEX(properties!A$1:CB$87,'Fórmula'!F24,39),INDEX(properties!A$1:CB$87,'Fórmula'!H24,39),INDEX(properties!A$1:CB$87,'Fórmula'!J24,39))</f>
        <v>2.98</v>
      </c>
      <c r="DV24" s="120">
        <f t="array" ref="DV24">MIN(IF(INDEX(properties!A$1:CB$87,'Fórmula'!B24,39)=0,10^6,INDEX(properties!A$1:CB$87,'Fórmula'!B24,39)),IF(INDEX(properties!A$1:CB$87,'Fórmula'!D24,39)=0,10^6,INDEX(properties!A$1:CB$87,'Fórmula'!D24,39)),IF(INDEX(properties!A$1:CB$87,'Fórmula'!F24,39)=0,10^6,INDEX(properties!A$1:CB$87,'Fórmula'!F24,39)),IF(INDEX(properties!A$1:CB$87,'Fórmula'!H24,39)=0,10^6,INDEX(properties!A$1:CB$87,'Fórmula'!H24,39)),IF(INDEX(properties!A$1:CB$87,'Fórmula'!J24,39)=0,10^6,INDEX(properties!A$1:CB$87,'Fórmula'!J24,39)))</f>
        <v>0.48</v>
      </c>
      <c r="DW24" s="109">
        <f t="shared" si="21"/>
        <v>2.5</v>
      </c>
      <c r="DX24" s="110">
        <f t="array" ref="DX24">(('Fórmula'!C24)/('Fórmula'!C24+'Fórmula'!E24+'Fórmula'!G24+'Fórmula'!I24+'Fórmula'!K24))*(INDEX(properties!A$1:CB$87,'Fórmula'!B24,40))+(('Fórmula'!E24)/('Fórmula'!C24+'Fórmula'!E24+'Fórmula'!G24+'Fórmula'!I24+'Fórmula'!K24))*(INDEX(properties!A$1:CB$87,'Fórmula'!D24,40))+(('Fórmula'!G24)/('Fórmula'!C24+'Fórmula'!E24+'Fórmula'!G24+'Fórmula'!I24+'Fórmula'!K24))*(INDEX(properties!A$1:CB$87,'Fórmula'!F24,40))+(('Fórmula'!I24)/('Fórmula'!C24+'Fórmula'!E24+'Fórmula'!G24+'Fórmula'!I24+'Fórmula'!K24))*(INDEX(properties!A$1:CB$87,'Fórmula'!H24,40))+(('Fórmula'!K24)/('Fórmula'!C24+'Fórmula'!E24+'Fórmula'!G24+'Fórmula'!I24+'Fórmula'!K24))*(INDEX(properties!A$1:CB$87,'Fórmula'!J24,40))</f>
        <v>1.003</v>
      </c>
      <c r="DY24" s="110">
        <f t="array" ref="DY24">'Fórmula'!C24*(INDEX(properties!A$1:CB$87,'Fórmula'!B24,40))+'Fórmula'!E24*(INDEX(properties!A$1:CB$87,'Fórmula'!D24,40))+'Fórmula'!G24*(INDEX(properties!A$1:CB$87,'Fórmula'!F24,40))+'Fórmula'!I24*(INDEX(properties!A$1:CB$87,'Fórmula'!H24,40))+'Fórmula'!K24*(INDEX(properties!A$1:CB$87,'Fórmula'!J24,40))</f>
        <v>10.03</v>
      </c>
      <c r="DZ24" s="110">
        <f t="array" ref="DZ24">VARP(IF(INDEX(properties!A$1:CB$87,'Fórmula'!B24,40)&lt;&gt;"",INDEX(properties!A$1:CB$87,'Fórmula'!B24,40)),IF(INDEX(properties!A$1:CB$87,'Fórmula'!D24,40)&lt;&gt;"",INDEX(properties!A$1:CB$87,'Fórmula'!D24,40)),IF(INDEX(properties!A$1:CB$87,'Fórmula'!F24,40)&lt;&gt;"",INDEX(properties!A$1:CB$87,'Fórmula'!F24,40)),IF(INDEX(properties!A$1:CB$87,'Fórmula'!H24,40)&lt;&gt;"",INDEX(properties!A$1:CB$87,'Fórmula'!H24,40)),IF(INDEX(properties!A$1:CB$87,'Fórmula'!J24,40)&lt;&gt;"",INDEX(properties!A$1:CB$87,'Fórmula'!J24,40)))</f>
        <v>0.533064</v>
      </c>
      <c r="EA24" s="121">
        <f t="array" ref="EA24">MAX(INDEX(properties!A$1:CB$87,'Fórmula'!B24,40),INDEX(properties!A$1:CB$87,'Fórmula'!D24,40),INDEX(properties!A$1:CB$87,'Fórmula'!F24,40),INDEX(properties!A$1:CB$87,'Fórmula'!H24,40),INDEX(properties!A$1:CB$87,'Fórmula'!J24,40))</f>
        <v>2.25</v>
      </c>
      <c r="EB24" s="121">
        <f t="array" ref="EB24">MIN(IF(INDEX(properties!A$1:CB$87,'Fórmula'!B24,40)=0,10^6,INDEX(properties!A$1:CB$87,'Fórmula'!B24,40)),IF(INDEX(properties!A$1:CB$87,'Fórmula'!D24,40)=0,10^6,INDEX(properties!A$1:CB$87,'Fórmula'!D24,40)),IF(INDEX(properties!A$1:CB$87,'Fórmula'!F24,40)=0,10^6,INDEX(properties!A$1:CB$87,'Fórmula'!F24,40)),IF(INDEX(properties!A$1:CB$87,'Fórmula'!H24,40)=0,10^6,INDEX(properties!A$1:CB$87,'Fórmula'!H24,40)),IF(INDEX(properties!A$1:CB$87,'Fórmula'!J24,40)=0,10^6,INDEX(properties!A$1:CB$87,'Fórmula'!J24,40)))</f>
        <v>0.73</v>
      </c>
      <c r="EC24" s="110">
        <f t="shared" si="22"/>
        <v>1.52</v>
      </c>
      <c r="ED24" s="111">
        <f t="array" ref="ED24">(('Fórmula'!C24)/('Fórmula'!C24+'Fórmula'!E24+'Fórmula'!G24+'Fórmula'!I24+'Fórmula'!K24))*(INDEX(properties!A$1:CB$87,'Fórmula'!B24,41))+(('Fórmula'!E24)/('Fórmula'!C24+'Fórmula'!E24+'Fórmula'!G24+'Fórmula'!I24+'Fórmula'!K24))*(INDEX(properties!A$1:CB$87,'Fórmula'!D24,41))+(('Fórmula'!G24)/('Fórmula'!C24+'Fórmula'!E24+'Fórmula'!G24+'Fórmula'!I24+'Fórmula'!K24))*(INDEX(properties!A$1:CB$87,'Fórmula'!F24,41))+(('Fórmula'!I24)/('Fórmula'!C24+'Fórmula'!E24+'Fórmula'!G24+'Fórmula'!I24+'Fórmula'!K24))*(INDEX(properties!A$1:CB$87,'Fórmula'!H24,41))+(('Fórmula'!K24)/('Fórmula'!C24+'Fórmula'!E24+'Fórmula'!G24+'Fórmula'!I24+'Fórmula'!K24))*(INDEX(properties!A$1:CB$87,'Fórmula'!J24,41))</f>
        <v>1.113</v>
      </c>
      <c r="EE24" s="111">
        <f t="array" ref="EE24">'Fórmula'!C24*(INDEX(properties!A$1:CB$87,'Fórmula'!B24,41))+'Fórmula'!E24*(INDEX(properties!A$1:CB$87,'Fórmula'!D24,41))+'Fórmula'!G24*(INDEX(properties!A$1:CB$87,'Fórmula'!F24,41))+'Fórmula'!I24*(INDEX(properties!A$1:CB$87,'Fórmula'!H24,41))+'Fórmula'!K24*(INDEX(properties!A$1:CB$87,'Fórmula'!J24,41))</f>
        <v>11.13</v>
      </c>
      <c r="EF24" s="111">
        <f t="array" ref="EF24">VARP(IF(INDEX(properties!A$1:CB$87,'Fórmula'!B24,41)&lt;&gt;"",INDEX(properties!A$1:CB$87,'Fórmula'!B24,41)),IF(INDEX(properties!A$1:CB$87,'Fórmula'!D24,41)&lt;&gt;"",INDEX(properties!A$1:CB$87,'Fórmula'!D24,41)),IF(INDEX(properties!A$1:CB$87,'Fórmula'!F24,41)&lt;&gt;"",INDEX(properties!A$1:CB$87,'Fórmula'!F24,41)),IF(INDEX(properties!A$1:CB$87,'Fórmula'!H24,41)&lt;&gt;"",INDEX(properties!A$1:CB$87,'Fórmula'!H24,41)),IF(INDEX(properties!A$1:CB$87,'Fórmula'!J24,41)&lt;&gt;"",INDEX(properties!A$1:CB$87,'Fórmula'!J24,41)))</f>
        <v>0.387376</v>
      </c>
      <c r="EG24" s="122">
        <f t="array" ref="EG24">MAX(INDEX(properties!A$1:CB$87,'Fórmula'!B24,41),INDEX(properties!A$1:CB$87,'Fórmula'!D24,41),INDEX(properties!A$1:CB$87,'Fórmula'!F24,41),INDEX(properties!A$1:CB$87,'Fórmula'!H24,41),INDEX(properties!A$1:CB$87,'Fórmula'!J24,41))</f>
        <v>1.81</v>
      </c>
      <c r="EH24" s="122">
        <f t="array" ref="EH24">MIN(IF(INDEX(properties!A$1:CB$87,'Fórmula'!B24,41)=0,10^6,INDEX(properties!A$1:CB$87,'Fórmula'!B24,41)),IF(INDEX(properties!A$1:CB$87,'Fórmula'!D24,41)=0,10^6,INDEX(properties!A$1:CB$87,'Fórmula'!D24,41)),IF(INDEX(properties!A$1:CB$87,'Fórmula'!F24,41)=0,10^6,INDEX(properties!A$1:CB$87,'Fórmula'!F24,41)),IF(INDEX(properties!A$1:CB$87,'Fórmula'!H24,41)=0,10^6,INDEX(properties!A$1:CB$87,'Fórmula'!H24,41)),IF(INDEX(properties!A$1:CB$87,'Fórmula'!J24,41)=0,10^6,INDEX(properties!A$1:CB$87,'Fórmula'!J24,41)))</f>
        <v>0.54</v>
      </c>
      <c r="EI24" s="111">
        <f t="shared" si="23"/>
        <v>1.27</v>
      </c>
      <c r="EJ24" s="112">
        <f t="array" ref="EJ24">(('Fórmula'!C24)/('Fórmula'!C24+'Fórmula'!E24+'Fórmula'!G24+'Fórmula'!I24+'Fórmula'!K24))*(INDEX(properties!A$1:CB$87,'Fórmula'!B24,45))+(('Fórmula'!E24)/('Fórmula'!C24+'Fórmula'!E24+'Fórmula'!G24+'Fórmula'!I24+'Fórmula'!K24))*(INDEX(properties!A$1:CB$87,'Fórmula'!D24,45))+(('Fórmula'!G24)/('Fórmula'!C24+'Fórmula'!E24+'Fórmula'!G24+'Fórmula'!I24+'Fórmula'!K24))*(INDEX(properties!A$1:CB$87,'Fórmula'!F24,45))+(('Fórmula'!I24)/('Fórmula'!C24+'Fórmula'!E24+'Fórmula'!G24+'Fórmula'!I24+'Fórmula'!K24))*(INDEX(properties!A$1:CB$87,'Fórmula'!H24,45))+(('Fórmula'!K24)/('Fórmula'!C24+'Fórmula'!E24+'Fórmula'!G24+'Fórmula'!I24+'Fórmula'!K24))*(INDEX(properties!A$1:CB$87,'Fórmula'!J24,45))</f>
        <v>1.165</v>
      </c>
      <c r="EK24" s="112">
        <f t="array" ref="EK24">'Fórmula'!C24*(INDEX(properties!A$1:CB$87,'Fórmula'!B24,45))+'Fórmula'!E24*(INDEX(properties!A$1:CB$87,'Fórmula'!D24,45))+'Fórmula'!G24*(INDEX(properties!A$1:CB$87,'Fórmula'!F24,45))+'Fórmula'!I24*(INDEX(properties!A$1:CB$87,'Fórmula'!H24,45))+'Fórmula'!K24*(INDEX(properties!A$1:CB$87,'Fórmula'!J24,45))</f>
        <v>11.65</v>
      </c>
      <c r="EL24" s="112">
        <f t="array" ref="EL24">VARP(IF(INDEX(properties!A$1:CB$87,'Fórmula'!B24,45)&lt;&gt;"",INDEX(properties!A$1:CB$87,'Fórmula'!B24,45)),IF(INDEX(properties!A$1:CB$87,'Fórmula'!D24,45)&lt;&gt;"",INDEX(properties!A$1:CB$87,'Fórmula'!D24,45)),IF(INDEX(properties!A$1:CB$87,'Fórmula'!F24,45)&lt;&gt;"",INDEX(properties!A$1:CB$87,'Fórmula'!F24,45)),IF(INDEX(properties!A$1:CB$87,'Fórmula'!H24,45)&lt;&gt;"",INDEX(properties!A$1:CB$87,'Fórmula'!H24,45)),IF(INDEX(properties!A$1:CB$87,'Fórmula'!J24,45)&lt;&gt;"",INDEX(properties!A$1:CB$87,'Fórmula'!J24,45)))</f>
        <v>2.243384</v>
      </c>
      <c r="EM24" s="123">
        <f t="array" ref="EM24">MAX(INDEX(properties!A$1:CB$87,'Fórmula'!B24,45),INDEX(properties!A$1:CB$87,'Fórmula'!D24,45),INDEX(properties!A$1:CB$87,'Fórmula'!F24,45),INDEX(properties!A$1:CB$87,'Fórmula'!H24,45),INDEX(properties!A$1:CB$87,'Fórmula'!J24,45))</f>
        <v>4.31</v>
      </c>
      <c r="EN24" s="123">
        <f t="array" ref="EN24">MIN(IF(INDEX(properties!A$1:CB$87,'Fórmula'!B24,45)=0,10^6,INDEX(properties!A$1:CB$87,'Fórmula'!B24,45)),IF(INDEX(properties!A$1:CB$87,'Fórmula'!D24,45)=0,10^6,INDEX(properties!A$1:CB$87,'Fórmula'!D24,45)),IF(INDEX(properties!A$1:CB$87,'Fórmula'!F24,45)=0,10^6,INDEX(properties!A$1:CB$87,'Fórmula'!F24,45)),IF(INDEX(properties!A$1:CB$87,'Fórmula'!H24,45)=0,10^6,INDEX(properties!A$1:CB$87,'Fórmula'!H24,45)),IF(INDEX(properties!A$1:CB$87,'Fórmula'!J24,45)=0,10^6,INDEX(properties!A$1:CB$87,'Fórmula'!J24,45)))</f>
        <v>0.47</v>
      </c>
      <c r="EO24" s="112">
        <f t="shared" si="24"/>
        <v>3.84</v>
      </c>
      <c r="EP24" s="113">
        <f t="array" ref="EP24">(('Fórmula'!C24)/('Fórmula'!C24+'Fórmula'!E24+'Fórmula'!G24+'Fórmula'!I24+'Fórmula'!K24))*(INDEX(properties!A$1:CB$87,'Fórmula'!B24,46))+(('Fórmula'!E24)/('Fórmula'!C24+'Fórmula'!E24+'Fórmula'!G24+'Fórmula'!I24+'Fórmula'!K24))*(INDEX(properties!A$1:CB$87,'Fórmula'!D24,46))+(('Fórmula'!G24)/('Fórmula'!C24+'Fórmula'!E24+'Fórmula'!G24+'Fórmula'!I24+'Fórmula'!K24))*(INDEX(properties!A$1:CB$87,'Fórmula'!F24,46))+(('Fórmula'!I24)/('Fórmula'!C24+'Fórmula'!E24+'Fórmula'!G24+'Fórmula'!I24+'Fórmula'!K24))*(INDEX(properties!A$1:CB$87,'Fórmula'!H24,46))+(('Fórmula'!K24)/('Fórmula'!C24+'Fórmula'!E24+'Fórmula'!G24+'Fórmula'!I24+'Fórmula'!K24))*(INDEX(properties!A$1:CB$87,'Fórmula'!J24,46))</f>
        <v>1.04</v>
      </c>
      <c r="EQ24" s="113">
        <f t="array" ref="EQ24">'Fórmula'!C24*(INDEX(properties!A$1:CB$87,'Fórmula'!B24,46))+'Fórmula'!E24*(INDEX(properties!A$1:CB$87,'Fórmula'!D24,46))+'Fórmula'!G24*(INDEX(properties!A$1:CB$87,'Fórmula'!F24,46))+'Fórmula'!I24*(INDEX(properties!A$1:CB$87,'Fórmula'!H24,46))+'Fórmula'!K24*(INDEX(properties!A$1:CB$87,'Fórmula'!J24,46))</f>
        <v>10.4</v>
      </c>
      <c r="ER24" s="113">
        <f t="array" ref="ER24">VARP(IF(INDEX(properties!A$1:CB$87,'Fórmula'!B24,46)&lt;&gt;"",INDEX(properties!A$1:CB$87,'Fórmula'!B24,46)),IF(INDEX(properties!A$1:CB$87,'Fórmula'!D24,46)&lt;&gt;"",INDEX(properties!A$1:CB$87,'Fórmula'!D24,46)),IF(INDEX(properties!A$1:CB$87,'Fórmula'!F24,46)&lt;&gt;"",INDEX(properties!A$1:CB$87,'Fórmula'!F24,46)),IF(INDEX(properties!A$1:CB$87,'Fórmula'!H24,46)&lt;&gt;"",INDEX(properties!A$1:CB$87,'Fórmula'!H24,46)),IF(INDEX(properties!A$1:CB$87,'Fórmula'!J24,46)&lt;&gt;"",INDEX(properties!A$1:CB$87,'Fórmula'!J24,46)))</f>
        <v>0.41212</v>
      </c>
      <c r="ES24" s="124">
        <f t="array" ref="ES24">MAX(INDEX(properties!A$1:CB$87,'Fórmula'!B24,46),INDEX(properties!A$1:CB$87,'Fórmula'!D24,46),INDEX(properties!A$1:CB$87,'Fórmula'!F24,46),INDEX(properties!A$1:CB$87,'Fórmula'!H24,46),INDEX(properties!A$1:CB$87,'Fórmula'!J24,46))</f>
        <v>1.81</v>
      </c>
      <c r="ET24" s="124">
        <f t="array" ref="ET24">MIN(IF(INDEX(properties!A$1:CB$87,'Fórmula'!B24,46)=0,10^6,INDEX(properties!A$1:CB$87,'Fórmula'!B24,46)),IF(INDEX(properties!A$1:CB$87,'Fórmula'!D24,46)=0,10^6,INDEX(properties!A$1:CB$87,'Fórmula'!D24,46)),IF(INDEX(properties!A$1:CB$87,'Fórmula'!F24,46)=0,10^6,INDEX(properties!A$1:CB$87,'Fórmula'!F24,46)),IF(INDEX(properties!A$1:CB$87,'Fórmula'!H24,46)=0,10^6,INDEX(properties!A$1:CB$87,'Fórmula'!H24,46)),IF(INDEX(properties!A$1:CB$87,'Fórmula'!J24,46)=0,10^6,INDEX(properties!A$1:CB$87,'Fórmula'!J24,46)))</f>
        <v>0.4</v>
      </c>
      <c r="EU24" s="113">
        <f t="shared" si="25"/>
        <v>1.41</v>
      </c>
      <c r="EV24" s="114">
        <f t="array" ref="EV24">(('Fórmula'!C24)/('Fórmula'!C24+'Fórmula'!E24+'Fórmula'!G24+'Fórmula'!I24+'Fórmula'!K24))*(INDEX(properties!A$1:CB$87,'Fórmula'!B24,52))+(('Fórmula'!E24)/('Fórmula'!C24+'Fórmula'!E24+'Fórmula'!G24+'Fórmula'!I24+'Fórmula'!K24))*(INDEX(properties!A$1:CB$87,'Fórmula'!D24,52))+(('Fórmula'!G24)/('Fórmula'!C24+'Fórmula'!E24+'Fórmula'!G24+'Fórmula'!I24+'Fórmula'!K24))*(INDEX(properties!A$1:CB$87,'Fórmula'!F24,52))+(('Fórmula'!I24)/('Fórmula'!C24+'Fórmula'!E24+'Fórmula'!G24+'Fórmula'!I24+'Fórmula'!K24))*(INDEX(properties!A$1:CB$87,'Fórmula'!H24,52))+(('Fórmula'!K24)/('Fórmula'!C24+'Fórmula'!E24+'Fórmula'!G24+'Fórmula'!I24+'Fórmula'!K24))*(INDEX(properties!A$1:CB$87,'Fórmula'!J24,52))</f>
        <v>8.3458</v>
      </c>
      <c r="EW24" s="114">
        <f t="array" ref="EW24">'Fórmula'!C24*(INDEX(properties!A$1:CB$87,'Fórmula'!B24,52))+'Fórmula'!E24*(INDEX(properties!A$1:CB$87,'Fórmula'!D24,52))+'Fórmula'!G24*(INDEX(properties!A$1:CB$87,'Fórmula'!F24,52))+'Fórmula'!I24*(INDEX(properties!A$1:CB$87,'Fórmula'!H24,52))+'Fórmula'!K24*(INDEX(properties!A$1:CB$87,'Fórmula'!J24,52))</f>
        <v>83.458</v>
      </c>
      <c r="EX24" s="114">
        <f t="array" ref="EX24">VARP(IF(INDEX(properties!A$1:CB$87,'Fórmula'!B24,52)&lt;&gt;"",INDEX(properties!A$1:CB$87,'Fórmula'!B24,52)),IF(INDEX(properties!A$1:CB$87,'Fórmula'!D24,52)&lt;&gt;"",INDEX(properties!A$1:CB$87,'Fórmula'!D24,52)),IF(INDEX(properties!A$1:CB$87,'Fórmula'!F24,52)&lt;&gt;"",INDEX(properties!A$1:CB$87,'Fórmula'!F24,52)),IF(INDEX(properties!A$1:CB$87,'Fórmula'!H24,52)&lt;&gt;"",INDEX(properties!A$1:CB$87,'Fórmula'!H24,52)),IF(INDEX(properties!A$1:CB$87,'Fórmula'!J24,52)&lt;&gt;"",INDEX(properties!A$1:CB$87,'Fórmula'!J24,52)))</f>
        <v>510.5768638</v>
      </c>
      <c r="EY24" s="114">
        <f t="array" ref="EY24">MAX(INDEX(properties!A$1:CB$87,'Fórmula'!B24,52),INDEX(properties!A$1:CB$87,'Fórmula'!D24,52),INDEX(properties!A$1:CB$87,'Fórmula'!F24,52),INDEX(properties!A$1:CB$87,'Fórmula'!H24,52),INDEX(properties!A$1:CB$87,'Fórmula'!J24,52))</f>
        <v>59.6</v>
      </c>
      <c r="EZ24" s="114">
        <f t="array" ref="EZ24">MIN(IF(INDEX(properties!A$1:CB$87,'Fórmula'!B24,52)=0,10^6,INDEX(properties!A$1:CB$87,'Fórmula'!B24,52)),IF(INDEX(properties!A$1:CB$87,'Fórmula'!D24,52)=0,10^6,INDEX(properties!A$1:CB$87,'Fórmula'!D24,52)),IF(INDEX(properties!A$1:CB$87,'Fórmula'!F24,52)=0,10^6,INDEX(properties!A$1:CB$87,'Fórmula'!F24,52)),IF(INDEX(properties!A$1:CB$87,'Fórmula'!H24,52)=0,10^6,INDEX(properties!A$1:CB$87,'Fórmula'!H24,52)),IF(INDEX(properties!A$1:CB$87,'Fórmula'!J24,52)=0,10^6,INDEX(properties!A$1:CB$87,'Fórmula'!J24,52)))</f>
        <v>0.793</v>
      </c>
      <c r="FA24" s="114">
        <f t="shared" si="26"/>
        <v>58.807</v>
      </c>
      <c r="FB24" s="115">
        <f t="array" ref="FB24">(('Fórmula'!C24)/('Fórmula'!C24+'Fórmula'!E24+'Fórmula'!G24+'Fórmula'!I24+'Fórmula'!K24))*(INDEX(properties!A$1:CB$87,'Fórmula'!B24,53))+(('Fórmula'!E24)/('Fórmula'!C24+'Fórmula'!E24+'Fórmula'!G24+'Fórmula'!I24+'Fórmula'!K24))*(INDEX(properties!A$1:CB$87,'Fórmula'!D24,53))+(('Fórmula'!G24)/('Fórmula'!C24+'Fórmula'!E24+'Fórmula'!G24+'Fórmula'!I24+'Fórmula'!K24))*(INDEX(properties!A$1:CB$87,'Fórmula'!F24,53))+(('Fórmula'!I24)/('Fórmula'!C24+'Fórmula'!E24+'Fórmula'!G24+'Fórmula'!I24+'Fórmula'!K24))*(INDEX(properties!A$1:CB$87,'Fórmula'!H24,53))+(('Fórmula'!K24)/('Fórmula'!C24+'Fórmula'!E24+'Fórmula'!G24+'Fórmula'!I24+'Fórmula'!K24))*(INDEX(properties!A$1:CB$87,'Fórmula'!J24,53))</f>
        <v>492.95</v>
      </c>
      <c r="FC24" s="115">
        <f t="array" ref="FC24">'Fórmula'!C24*(INDEX(properties!A$1:CB$87,'Fórmula'!B24,53))+'Fórmula'!E24*(INDEX(properties!A$1:CB$87,'Fórmula'!D24,53))+'Fórmula'!G24*(INDEX(properties!A$1:CB$87,'Fórmula'!F24,53))+'Fórmula'!I24*(INDEX(properties!A$1:CB$87,'Fórmula'!H24,53))+'Fórmula'!K24*(INDEX(properties!A$1:CB$87,'Fórmula'!J24,53))</f>
        <v>4929.5</v>
      </c>
      <c r="FD24" s="115">
        <f t="array" ref="FD24">VARP(IF(INDEX(properties!A$1:CB$87,'Fórmula'!B24,53)&lt;&gt;"",INDEX(properties!A$1:CB$87,'Fórmula'!B24,53)),IF(INDEX(properties!A$1:CB$87,'Fórmula'!D24,53)&lt;&gt;"",INDEX(properties!A$1:CB$87,'Fórmula'!D24,53)),IF(INDEX(properties!A$1:CB$87,'Fórmula'!F24,53)&lt;&gt;"",INDEX(properties!A$1:CB$87,'Fórmula'!F24,53)),IF(INDEX(properties!A$1:CB$87,'Fórmula'!H24,53)&lt;&gt;"",INDEX(properties!A$1:CB$87,'Fórmula'!H24,53)),IF(INDEX(properties!A$1:CB$87,'Fórmula'!J24,53)&lt;&gt;"",INDEX(properties!A$1:CB$87,'Fórmula'!J24,53)))</f>
        <v>406084.5316</v>
      </c>
      <c r="FE24" s="115">
        <f t="array" ref="FE24">MAX(INDEX(properties!A$1:CB$87,'Fórmula'!B24,53),INDEX(properties!A$1:CB$87,'Fórmula'!D24,53),INDEX(properties!A$1:CB$87,'Fórmula'!F24,53),INDEX(properties!A$1:CB$87,'Fórmula'!H24,53),INDEX(properties!A$1:CB$87,'Fórmula'!J24,53))</f>
        <v>1683.15</v>
      </c>
      <c r="FF24" s="115">
        <f t="array" ref="FF24">MIN(IF(INDEX(properties!A$1:CB$87,'Fórmula'!B24,53)=0,10^6,INDEX(properties!A$1:CB$87,'Fórmula'!B24,53)),IF(INDEX(properties!A$1:CB$87,'Fórmula'!D24,53)=0,10^6,INDEX(properties!A$1:CB$87,'Fórmula'!D24,53)),IF(INDEX(properties!A$1:CB$87,'Fórmula'!F24,53)=0,10^6,INDEX(properties!A$1:CB$87,'Fórmula'!F24,53)),IF(INDEX(properties!A$1:CB$87,'Fórmula'!H24,53)=0,10^6,INDEX(properties!A$1:CB$87,'Fórmula'!H24,53)),IF(INDEX(properties!A$1:CB$87,'Fórmula'!J24,53)=0,10^6,INDEX(properties!A$1:CB$87,'Fórmula'!J24,53)))</f>
        <v>54.75</v>
      </c>
      <c r="FG24" s="115">
        <f t="shared" si="27"/>
        <v>1628.4</v>
      </c>
      <c r="FH24" s="117">
        <f t="array" ref="FH24">(('Fórmula'!C24)/('Fórmula'!C24+'Fórmula'!E24+'Fórmula'!G24+'Fórmula'!I24+'Fórmula'!K24))*(INDEX(properties!A$1:CB$87,'Fórmula'!B24,54))+(('Fórmula'!E24)/('Fórmula'!C24+'Fórmula'!E24+'Fórmula'!G24+'Fórmula'!I24+'Fórmula'!K24))*(INDEX(properties!A$1:CB$87,'Fórmula'!D24,54))+(('Fórmula'!G24)/('Fórmula'!C24+'Fórmula'!E24+'Fórmula'!G24+'Fórmula'!I24+'Fórmula'!K24))*(INDEX(properties!A$1:CB$87,'Fórmula'!F24,54))+(('Fórmula'!I24)/('Fórmula'!C24+'Fórmula'!E24+'Fórmula'!G24+'Fórmula'!I24+'Fórmula'!K24))*(INDEX(properties!A$1:CB$87,'Fórmula'!H24,54))+(('Fórmula'!K24)/('Fórmula'!C24+'Fórmula'!E24+'Fórmula'!G24+'Fórmula'!I24+'Fórmula'!K24))*(INDEX(properties!A$1:CB$87,'Fórmula'!J24,54))</f>
        <v>947.95</v>
      </c>
      <c r="FI24" s="117">
        <f t="array" ref="FI24">'Fórmula'!C24*(INDEX(properties!A$1:CB$87,'Fórmula'!B24,54))+'Fórmula'!E24*(INDEX(properties!A$1:CB$87,'Fórmula'!D24,54))+'Fórmula'!G24*(INDEX(properties!A$1:CB$87,'Fórmula'!F24,54))+'Fórmula'!I24*(INDEX(properties!A$1:CB$87,'Fórmula'!H24,54))+'Fórmula'!K24*(INDEX(properties!A$1:CB$87,'Fórmula'!J24,54))</f>
        <v>9479.5</v>
      </c>
      <c r="FJ24" s="117">
        <f t="array" ref="FJ24">VARP(IF(INDEX(properties!A$1:CB$87,'Fórmula'!B24,54)&lt;&gt;"",INDEX(properties!A$1:CB$87,'Fórmula'!B24,54)),IF(INDEX(properties!A$1:CB$87,'Fórmula'!D24,54)&lt;&gt;"",INDEX(properties!A$1:CB$87,'Fórmula'!D24,54)),IF(INDEX(properties!A$1:CB$87,'Fórmula'!F24,54)&lt;&gt;"",INDEX(properties!A$1:CB$87,'Fórmula'!F24,54)),IF(INDEX(properties!A$1:CB$87,'Fórmula'!H24,54)&lt;&gt;"",INDEX(properties!A$1:CB$87,'Fórmula'!H24,54)),IF(INDEX(properties!A$1:CB$87,'Fórmula'!J24,54)&lt;&gt;"",INDEX(properties!A$1:CB$87,'Fórmula'!J24,54)))</f>
        <v>1423566.404</v>
      </c>
      <c r="FK24" s="117">
        <f t="array" ref="FK24">MAX(INDEX(properties!A$1:CB$87,'Fórmula'!B24,54),INDEX(properties!A$1:CB$87,'Fórmula'!D24,54),INDEX(properties!A$1:CB$87,'Fórmula'!F24,54),INDEX(properties!A$1:CB$87,'Fórmula'!H24,54),INDEX(properties!A$1:CB$87,'Fórmula'!J24,54))</f>
        <v>2740.15</v>
      </c>
      <c r="FL24" s="117">
        <f t="array" ref="FL24">MIN(IF(INDEX(properties!A$1:CB$87,'Fórmula'!B24,54)=0,10^6,INDEX(properties!A$1:CB$87,'Fórmula'!B24,54)),IF(INDEX(properties!A$1:CB$87,'Fórmula'!D24,54)=0,10^6,INDEX(properties!A$1:CB$87,'Fórmula'!D24,54)),IF(INDEX(properties!A$1:CB$87,'Fórmula'!F24,54)=0,10^6,INDEX(properties!A$1:CB$87,'Fórmula'!F24,54)),IF(INDEX(properties!A$1:CB$87,'Fórmula'!H24,54)=0,10^6,INDEX(properties!A$1:CB$87,'Fórmula'!H24,54)),IF(INDEX(properties!A$1:CB$87,'Fórmula'!J24,54)=0,10^6,INDEX(properties!A$1:CB$87,'Fórmula'!J24,54)))</f>
        <v>90.15</v>
      </c>
      <c r="FM24" s="117">
        <f t="shared" si="28"/>
        <v>2650</v>
      </c>
      <c r="FN24" s="118">
        <f t="array" ref="FN24">(('Fórmula'!C24)/('Fórmula'!C24+'Fórmula'!E24+'Fórmula'!G24+'Fórmula'!I24+'Fórmula'!K24))*(INDEX(properties!A$1:CB$87,'Fórmula'!B24,55))+(('Fórmula'!E24)/('Fórmula'!C24+'Fórmula'!E24+'Fórmula'!G24+'Fórmula'!I24+'Fórmula'!K24))*(INDEX(properties!A$1:CB$87,'Fórmula'!D24,55))+(('Fórmula'!G24)/('Fórmula'!C24+'Fórmula'!E24+'Fórmula'!G24+'Fórmula'!I24+'Fórmula'!K24))*(INDEX(properties!A$1:CB$87,'Fórmula'!F24,55))+(('Fórmula'!I24)/('Fórmula'!C24+'Fórmula'!E24+'Fórmula'!G24+'Fórmula'!I24+'Fórmula'!K24))*(INDEX(properties!A$1:CB$87,'Fórmula'!H24,55))+(('Fórmula'!K24)/('Fórmula'!C24+'Fórmula'!E24+'Fórmula'!G24+'Fórmula'!I24+'Fórmula'!K24))*(INDEX(properties!A$1:CB$87,'Fórmula'!J24,55))</f>
        <v>0.923858</v>
      </c>
      <c r="FO24" s="118">
        <f t="array" ref="FO24">'Fórmula'!C24*(INDEX(properties!A$1:CB$87,'Fórmula'!B24,55))+'Fórmula'!E24*(INDEX(properties!A$1:CB$87,'Fórmula'!D24,54))+'Fórmula'!G24*(INDEX(properties!A$1:CB$87,'Fórmula'!F24,55))+'Fórmula'!I24*(INDEX(properties!A$1:CB$87,'Fórmula'!H24,55))+'Fórmula'!K24*(INDEX(properties!A$1:CB$87,'Fórmula'!J24,55))</f>
        <v>2746.68858</v>
      </c>
      <c r="FP24" s="118">
        <f t="array" ref="FP24">VARP(IF(INDEX(properties!A$1:CB$87,'Fórmula'!B24,55)&lt;&gt;"",INDEX(properties!A$1:CB$87,'Fórmula'!B24,55)),IF(INDEX(properties!A$1:CB$87,'Fórmula'!D24,55)&lt;&gt;"",INDEX(properties!A$1:CB$87,'Fórmula'!D24,55)),IF(INDEX(properties!A$1:CB$87,'Fórmula'!F24,55)&lt;&gt;"",INDEX(properties!A$1:CB$87,'Fórmula'!F24,55)),IF(INDEX(properties!A$1:CB$87,'Fórmula'!H24,55)&lt;&gt;"",INDEX(properties!A$1:CB$87,'Fórmula'!H24,55)),IF(INDEX(properties!A$1:CB$87,'Fórmula'!J24,55)&lt;&gt;"",INDEX(properties!A$1:CB$87,'Fórmula'!J24,55)))</f>
        <v>1.337970967</v>
      </c>
      <c r="FQ24" s="118">
        <f t="array" ref="FQ24">MAX(INDEX(properties!A$1:CB$87,'Fórmula'!B24,55),INDEX(properties!A$1:CB$87,'Fórmula'!D24,55),INDEX(properties!A$1:CB$87,'Fórmula'!F24,55),INDEX(properties!A$1:CB$87,'Fórmula'!H24,55),INDEX(properties!A$1:CB$87,'Fórmula'!J24,55))</f>
        <v>2.7</v>
      </c>
      <c r="FR24" s="118">
        <f t="array" ref="FR24">MIN(IF(INDEX(properties!A$1:CB$87,'Fórmula'!B24,55)=0,10^6,INDEX(properties!A$1:CB$87,'Fórmula'!B24,55)),IF(INDEX(properties!A$1:CB$87,'Fórmula'!D24,55)=0,10^6,INDEX(properties!A$1:CB$87,'Fórmula'!D24,55)),IF(INDEX(properties!A$1:CB$87,'Fórmula'!F24,55)=0,10^6,INDEX(properties!A$1:CB$87,'Fórmula'!F24,55)),IF(INDEX(properties!A$1:CB$87,'Fórmula'!H24,55)=0,10^6,INDEX(properties!A$1:CB$87,'Fórmula'!H24,55)),IF(INDEX(properties!A$1:CB$87,'Fórmula'!J24,55)=0,10^6,INDEX(properties!A$1:CB$87,'Fórmula'!J24,55)))</f>
        <v>0.00143</v>
      </c>
      <c r="FS24" s="118">
        <f t="shared" si="29"/>
        <v>2.69857</v>
      </c>
      <c r="FT24" s="119">
        <f t="array" ref="FT24">(('Fórmula'!C24)/('Fórmula'!C24+'Fórmula'!E24+'Fórmula'!G24+'Fórmula'!I24+'Fórmula'!K24))*(INDEX(properties!A$1:CB$87,'Fórmula'!B24,56))+(('Fórmula'!E24)/('Fórmula'!C24+'Fórmula'!E24+'Fórmula'!G24+'Fórmula'!I24+'Fórmula'!K24))*(INDEX(properties!A$1:CB$87,'Fórmula'!D24,56))+(('Fórmula'!G24)/('Fórmula'!C24+'Fórmula'!E24+'Fórmula'!G24+'Fórmula'!I24+'Fórmula'!K24))*(INDEX(properties!A$1:CB$87,'Fórmula'!F24,56))+(('Fórmula'!I24)/('Fórmula'!C24+'Fórmula'!E24+'Fórmula'!G24+'Fórmula'!I24+'Fórmula'!K24))*(INDEX(properties!A$1:CB$87,'Fórmula'!H24,56))+(('Fórmula'!K24)/('Fórmula'!C24+'Fórmula'!E24+'Fórmula'!G24+'Fórmula'!I24+'Fórmula'!K24))*(INDEX(properties!A$1:CB$87,'Fórmula'!J24,56))</f>
        <v>0.808</v>
      </c>
      <c r="FU24" s="119">
        <f t="array" ref="FU24">'Fórmula'!C24*(INDEX(properties!A$1:CB$87,'Fórmula'!B24,56))+'Fórmula'!E24*(INDEX(properties!A$1:CB$87,'Fórmula'!D24,56))+'Fórmula'!G24*(INDEX(properties!A$1:CB$87,'Fórmula'!F24,56))+'Fórmula'!I24*(INDEX(properties!A$1:CB$87,'Fórmula'!H24,56))+'Fórmula'!K24*(INDEX(properties!A$1:CB$87,'Fórmula'!J24,56))</f>
        <v>8.08</v>
      </c>
      <c r="FV24" s="119">
        <f t="array" ref="FV24">VARP(IF(INDEX(properties!A$1:CB$87,'Fórmula'!B24,56)&lt;&gt;"",INDEX(properties!A$1:CB$87,'Fórmula'!B24,56)),IF(INDEX(properties!A$1:CB$87,'Fórmula'!D24,56)&lt;&gt;"",INDEX(properties!A$1:CB$87,'Fórmula'!D24,56)),IF(INDEX(properties!A$1:CB$87,'Fórmula'!F24,56)&lt;&gt;"",INDEX(properties!A$1:CB$87,'Fórmula'!F24,56)),IF(INDEX(properties!A$1:CB$87,'Fórmula'!H24,56)&lt;&gt;"",INDEX(properties!A$1:CB$87,'Fórmula'!H24,56)),IF(INDEX(properties!A$1:CB$87,'Fórmula'!J24,56)&lt;&gt;"",INDEX(properties!A$1:CB$87,'Fórmula'!J24,56)))</f>
        <v>0.136704</v>
      </c>
      <c r="FW24" s="119">
        <f t="array" ref="FW24">MAX(INDEX(properties!A$1:CB$87,'Fórmula'!B24,56),INDEX(properties!A$1:CB$87,'Fórmula'!D24,56),INDEX(properties!A$1:CB$87,'Fórmula'!F24,56),INDEX(properties!A$1:CB$87,'Fórmula'!H24,56),INDEX(properties!A$1:CB$87,'Fórmula'!J24,56))</f>
        <v>0.92</v>
      </c>
      <c r="FX24" s="119">
        <f t="array" ref="FX24">MIN(IF(INDEX(properties!A$1:CB$87,'Fórmula'!B24,56)=0,10^6,INDEX(properties!A$1:CB$87,'Fórmula'!B24,56)),IF(INDEX(properties!A$1:CB$87,'Fórmula'!D24,56)=0,10^6,INDEX(properties!A$1:CB$87,'Fórmula'!D24,56)),IF(INDEX(properties!A$1:CB$87,'Fórmula'!F24,56)=0,10^6,INDEX(properties!A$1:CB$87,'Fórmula'!F24,56)),IF(INDEX(properties!A$1:CB$87,'Fórmula'!H24,56)=0,10^6,INDEX(properties!A$1:CB$87,'Fórmula'!H24,56)),IF(INDEX(properties!A$1:CB$87,'Fórmula'!J24,56)=0,10^6,INDEX(properties!A$1:CB$87,'Fórmula'!J24,56)))</f>
        <v>0.24</v>
      </c>
      <c r="FY24" s="119">
        <f t="shared" si="30"/>
        <v>0.68</v>
      </c>
      <c r="FZ24" s="104">
        <f t="array" ref="FZ24">(('Fórmula'!C24)/('Fórmula'!C24+'Fórmula'!E24+'Fórmula'!G24+'Fórmula'!I24+'Fórmula'!K24))*(INDEX(properties!A$1:CB$87,'Fórmula'!B24,57))+(('Fórmula'!E24)/('Fórmula'!C24+'Fórmula'!E24+'Fórmula'!G24+'Fórmula'!I24+'Fórmula'!K24))*(INDEX(properties!A$1:CB$87,'Fórmula'!D24,57))+(('Fórmula'!G24)/('Fórmula'!C24+'Fórmula'!E24+'Fórmula'!G24+'Fórmula'!I24+'Fórmula'!K24))*(INDEX(properties!A$1:CB$87,'Fórmula'!F24,57))+(('Fórmula'!I24)/('Fórmula'!C24+'Fórmula'!E24+'Fórmula'!G24+'Fórmula'!I24+'Fórmula'!K24))*(INDEX(properties!A$1:CB$87,'Fórmula'!H24,57))+(('Fórmula'!K24)/('Fórmula'!C24+'Fórmula'!E24+'Fórmula'!G24+'Fórmula'!I24+'Fórmula'!K24))*(INDEX(properties!A$1:CB$87,'Fórmula'!J24,57))</f>
        <v>11.531754</v>
      </c>
      <c r="GA24" s="104">
        <f t="array" ref="GA24">'Fórmula'!C24*(INDEX(properties!A$1:CB$87,'Fórmula'!B24,57))+'Fórmula'!E24*(INDEX(properties!A$1:CB$87,'Fórmula'!D24,57))+'Fórmula'!G24*(INDEX(properties!A$1:CB$87,'Fórmula'!F24,57))+'Fórmula'!I24*(INDEX(properties!A$1:CB$87,'Fórmula'!H24,57))+'Fórmula'!K24*(INDEX(properties!A$1:CB$87,'Fórmula'!J24,57))</f>
        <v>115.31754</v>
      </c>
      <c r="GB24" s="104">
        <f t="array" ref="GB24">VARP(IF(INDEX(properties!A$1:CB$87,'Fórmula'!B24,57)&lt;&gt;"",INDEX(properties!A$1:CB$87,'Fórmula'!B24,57)),IF(INDEX(properties!A$1:CB$87,'Fórmula'!D24,57)&lt;&gt;"",INDEX(properties!A$1:CB$87,'Fórmula'!D24,57)),IF(INDEX(properties!A$1:CB$87,'Fórmula'!F24,57)&lt;&gt;"",INDEX(properties!A$1:CB$87,'Fórmula'!F24,57)),IF(INDEX(properties!A$1:CB$87,'Fórmula'!H24,57)&lt;&gt;"",INDEX(properties!A$1:CB$87,'Fórmula'!H24,57)),IF(INDEX(properties!A$1:CB$87,'Fórmula'!J24,57)&lt;&gt;"",INDEX(properties!A$1:CB$87,'Fórmula'!J24,57)))</f>
        <v>373.1542489</v>
      </c>
      <c r="GC24" s="104">
        <f t="array" ref="GC24">MAX(INDEX(properties!A$1:CB$87,'Fórmula'!B24,57),INDEX(properties!A$1:CB$87,'Fórmula'!D24,57),INDEX(properties!A$1:CB$87,'Fórmula'!F24,57),INDEX(properties!A$1:CB$87,'Fórmula'!H24,57),INDEX(properties!A$1:CB$87,'Fórmula'!J24,57))</f>
        <v>50.55</v>
      </c>
      <c r="GD24" s="104">
        <f t="array" ref="GD24">MIN(IF(INDEX(properties!A$1:CB$87,'Fórmula'!B24,57)=0,10^6,INDEX(properties!A$1:CB$87,'Fórmula'!B24,57)),IF(INDEX(properties!A$1:CB$87,'Fórmula'!D24,57)=0,10^6,INDEX(properties!A$1:CB$87,'Fórmula'!D24,57)),IF(INDEX(properties!A$1:CB$87,'Fórmula'!F24,57)=0,10^6,INDEX(properties!A$1:CB$87,'Fórmula'!F24,57)),IF(INDEX(properties!A$1:CB$87,'Fórmula'!H24,57)=0,10^6,INDEX(properties!A$1:CB$87,'Fórmula'!H24,57)),IF(INDEX(properties!A$1:CB$87,'Fórmula'!J24,57)=0,10^6,INDEX(properties!A$1:CB$87,'Fórmula'!J24,57)))</f>
        <v>0.22259</v>
      </c>
      <c r="GE24" s="104">
        <f t="shared" si="31"/>
        <v>50.32741</v>
      </c>
      <c r="GF24" s="105">
        <f t="array" ref="GF24">(('Fórmula'!C24)/('Fórmula'!C24+'Fórmula'!E24+'Fórmula'!G24+'Fórmula'!I24+'Fórmula'!K24))*(INDEX(properties!A$1:CB$87,'Fórmula'!B24,60))+(('Fórmula'!E24)/('Fórmula'!C24+'Fórmula'!E24+'Fórmula'!G24+'Fórmula'!I24+'Fórmula'!K24))*(INDEX(properties!A$1:CB$87,'Fórmula'!D24,60))+(('Fórmula'!G24)/('Fórmula'!C24+'Fórmula'!E24+'Fórmula'!G24+'Fórmula'!I24+'Fórmula'!K24))*(INDEX(properties!A$1:CB$87,'Fórmula'!F24,60))+(('Fórmula'!I24)/('Fórmula'!C24+'Fórmula'!E24+'Fórmula'!G24+'Fórmula'!I24+'Fórmula'!K24))*(INDEX(properties!A$1:CB$87,'Fórmula'!H24,60))+(('Fórmula'!K24)/('Fórmula'!C24+'Fórmula'!E24+'Fórmula'!G24+'Fórmula'!I24+'Fórmula'!K24))*(INDEX(properties!A$1:CB$87,'Fórmula'!J24,60))</f>
        <v>56.906044</v>
      </c>
      <c r="GG24" s="105">
        <f t="array" ref="GG24">'Fórmula'!C24*(INDEX(properties!A$1:CB$87,'Fórmula'!B24,60))+'Fórmula'!E24*(INDEX(properties!A$1:CB$87,'Fórmula'!D24,60))+'Fórmula'!G24*(INDEX(properties!A$1:CB$87,'Fórmula'!F24,60))+'Fórmula'!I24*(INDEX(properties!A$1:CB$87,'Fórmula'!H24,60))+'Fórmula'!K24*(INDEX(properties!A$1:CB$87,'Fórmula'!J24,60))</f>
        <v>569.06044</v>
      </c>
      <c r="GH24" s="105">
        <f t="array" ref="GH24">VARP(IF(INDEX(properties!A$1:CB$87,'Fórmula'!B24,60)&lt;&gt;"",INDEX(properties!A$1:CB$87,'Fórmula'!B24,60)),IF(INDEX(properties!A$1:CB$87,'Fórmula'!D24,60)&lt;&gt;"",INDEX(properties!A$1:CB$87,'Fórmula'!D24,60)),IF(INDEX(properties!A$1:CB$87,'Fórmula'!F24,60)&lt;&gt;"",INDEX(properties!A$1:CB$87,'Fórmula'!F24,60)),IF(INDEX(properties!A$1:CB$87,'Fórmula'!H24,60)&lt;&gt;"",INDEX(properties!A$1:CB$87,'Fórmula'!H24,60)),IF(INDEX(properties!A$1:CB$87,'Fórmula'!J24,60)&lt;&gt;"",INDEX(properties!A$1:CB$87,'Fórmula'!J24,60)))</f>
        <v>8785.189325</v>
      </c>
      <c r="GI24" s="105">
        <f t="array" ref="GI24">MAX(INDEX(properties!A$1:CB$87,'Fórmula'!B24,60),INDEX(properties!A$1:CB$87,'Fórmula'!D24,60),INDEX(properties!A$1:CB$87,'Fórmula'!F24,60),INDEX(properties!A$1:CB$87,'Fórmula'!H24,60),INDEX(properties!A$1:CB$87,'Fórmula'!J24,60))</f>
        <v>237</v>
      </c>
      <c r="GJ24" s="105">
        <f t="array" ref="GJ24">MIN(IF(INDEX(properties!A$1:CB$87,'Fórmula'!B24,60)=0,10^6,INDEX(properties!A$1:CB$87,'Fórmula'!B24,60)),IF(INDEX(properties!A$1:CB$87,'Fórmula'!D24,60)=0,10^6,INDEX(properties!A$1:CB$87,'Fórmula'!D24,60)),IF(INDEX(properties!A$1:CB$87,'Fórmula'!F24,60)=0,10^6,INDEX(properties!A$1:CB$87,'Fórmula'!F24,60)),IF(INDEX(properties!A$1:CB$87,'Fórmula'!H24,60)=0,10^6,INDEX(properties!A$1:CB$87,'Fórmula'!H24,60)),IF(INDEX(properties!A$1:CB$87,'Fórmula'!J24,60)=0,10^6,INDEX(properties!A$1:CB$87,'Fórmula'!J24,60)))</f>
        <v>0.02674</v>
      </c>
      <c r="GK24" s="105">
        <f t="shared" si="32"/>
        <v>236.97326</v>
      </c>
      <c r="GL24" s="106">
        <f t="array" ref="GL24">(('Fórmula'!C24)/('Fórmula'!C24+'Fórmula'!E24+'Fórmula'!G24+'Fórmula'!I24+'Fórmula'!K24))*(INDEX(properties!A$1:CB$87,'Fórmula'!B24,62))+(('Fórmula'!E24)/('Fórmula'!C24+'Fórmula'!E24+'Fórmula'!G24+'Fórmula'!I24+'Fórmula'!K24))*(INDEX(properties!A$1:CB$87,'Fórmula'!D24,62))+(('Fórmula'!G24)/('Fórmula'!C24+'Fórmula'!E24+'Fórmula'!G24+'Fórmula'!I24+'Fórmula'!K24))*(INDEX(properties!A$1:CB$87,'Fórmula'!F24,62))+(('Fórmula'!I24)/('Fórmula'!C24+'Fórmula'!E24+'Fórmula'!G24+'Fórmula'!I24+'Fórmula'!K24))*(INDEX(properties!A$1:CB$87,'Fórmula'!H24,62))+(('Fórmula'!K24)/('Fórmula'!C24+'Fórmula'!E24+'Fórmula'!G24+'Fórmula'!I24+'Fórmula'!K24))*(INDEX(properties!A$1:CB$87,'Fórmula'!J24,62))</f>
        <v>2.9174</v>
      </c>
      <c r="GM24" s="106">
        <f t="array" ref="GM24">'Fórmula'!C24*(INDEX(properties!A$1:CB$87,'Fórmula'!B24,62))+'Fórmula'!E24*(INDEX(properties!A$1:CB$87,'Fórmula'!D24,62))+'Fórmula'!G24*(INDEX(properties!A$1:CB$87,'Fórmula'!F24,62))+'Fórmula'!I24*(INDEX(properties!A$1:CB$87,'Fórmula'!H24,62))+'Fórmula'!K24*(INDEX(properties!A$1:CB$87,'Fórmula'!J24,62))</f>
        <v>29.174</v>
      </c>
      <c r="GN24" s="106">
        <f t="array" ref="GN24">VARP(IF(INDEX(properties!A$1:CB$87,'Fórmula'!B24,62)&lt;&gt;"",INDEX(properties!A$1:CB$87,'Fórmula'!B24,62)),IF(INDEX(properties!A$1:CB$87,'Fórmula'!D24,62)&lt;&gt;"",INDEX(properties!A$1:CB$87,'Fórmula'!D24,62)),IF(INDEX(properties!A$1:CB$87,'Fórmula'!F24,62)&lt;&gt;"",INDEX(properties!A$1:CB$87,'Fórmula'!F24,62)),IF(INDEX(properties!A$1:CB$87,'Fórmula'!H24,62)&lt;&gt;"",INDEX(properties!A$1:CB$87,'Fórmula'!H24,62)),IF(INDEX(properties!A$1:CB$87,'Fórmula'!J24,62)&lt;&gt;"",INDEX(properties!A$1:CB$87,'Fórmula'!J24,62)))</f>
        <v>2.84935776</v>
      </c>
      <c r="GO24" s="106">
        <f t="array" ref="GO24">MAX(INDEX(properties!A$1:CB$87,'Fórmula'!B24,62),INDEX(properties!A$1:CB$87,'Fórmula'!D24,62),INDEX(properties!A$1:CB$87,'Fórmula'!F24,62),INDEX(properties!A$1:CB$87,'Fórmula'!H24,62),INDEX(properties!A$1:CB$87,'Fórmula'!J24,62))</f>
        <v>4.63</v>
      </c>
      <c r="GP24" s="106">
        <f t="array" ref="GP24">MIN(IF(INDEX(properties!A$1:CB$87,'Fórmula'!B24,62)=0,10^6,INDEX(properties!A$1:CB$87,'Fórmula'!B24,62)),IF(INDEX(properties!A$1:CB$87,'Fórmula'!D24,62)=0,10^6,INDEX(properties!A$1:CB$87,'Fórmula'!D24,62)),IF(INDEX(properties!A$1:CB$87,'Fórmula'!F24,62)=0,10^6,INDEX(properties!A$1:CB$87,'Fórmula'!F24,62)),IF(INDEX(properties!A$1:CB$87,'Fórmula'!H24,62)=0,10^6,INDEX(properties!A$1:CB$87,'Fórmula'!H24,62)),IF(INDEX(properties!A$1:CB$87,'Fórmula'!J24,62)=0,10^6,INDEX(properties!A$1:CB$87,'Fórmula'!J24,62)))</f>
        <v>0.804</v>
      </c>
      <c r="GQ24" s="106">
        <f t="shared" si="33"/>
        <v>3.826</v>
      </c>
      <c r="GR24" s="106">
        <f>'Fórmula'!Q24</f>
        <v>230</v>
      </c>
      <c r="GS24" s="107">
        <f>'Fórmula'!P24</f>
        <v>1</v>
      </c>
      <c r="GT24" s="113">
        <f>'Fórmula'!O24</f>
        <v>3.25</v>
      </c>
      <c r="GU24" s="114">
        <f>AVERAGE('Fórmula'!R24/'Fórmula'!S24,'Fórmula'!S24/'Fórmula'!T24,'Fórmula'!T24/'Fórmula'!R24)</f>
        <v>1</v>
      </c>
      <c r="GV24" s="125">
        <f>'Fórmula'!U24</f>
        <v>2551.42</v>
      </c>
      <c r="GW24" s="106">
        <f>'Fórmula'!N24</f>
        <v>0.07</v>
      </c>
    </row>
    <row r="25" ht="14.25" customHeight="1">
      <c r="A25" s="99" t="str">
        <f>'Fórmula'!A25</f>
        <v>SrZn2P2O8</v>
      </c>
      <c r="B25" s="101">
        <f t="array" ref="B25">(('Fórmula'!C25)/('Fórmula'!C25+'Fórmula'!E25+'Fórmula'!G25+'Fórmula'!I25+'Fórmula'!K25))*(INDEX(properties!A$1:CB$87,'Fórmula'!B25,3))+(('Fórmula'!E25)/('Fórmula'!C25+'Fórmula'!E25+'Fórmula'!G25+'Fórmula'!I25+'Fórmula'!K25))*(INDEX(properties!A$1:CB$87,'Fórmula'!D25,3))+(('Fórmula'!G25)/('Fórmula'!C25+'Fórmula'!E25+'Fórmula'!G25+'Fórmula'!I25+'Fórmula'!K25))*(INDEX(properties!A$1:CB$87,'Fórmula'!F25,3))+(('Fórmula'!I25)/('Fórmula'!C25+'Fórmula'!E25+'Fórmula'!G25+'Fórmula'!I25+'Fórmula'!K25))*(INDEX(properties!A$1:CB$87,'Fórmula'!H25,3))+(('Fórmula'!K25)/('Fórmula'!C25+'Fórmula'!E25+'Fórmula'!G25+'Fórmula'!I25+'Fórmula'!K25))*(INDEX(properties!A$1:CB$87,'Fórmula'!J25,3))</f>
        <v>31.40944031</v>
      </c>
      <c r="C25" s="101">
        <f t="array" ref="C25">'Fórmula'!C25*(INDEX(properties!A$1:CB$87,'Fórmula'!B25,3))+'Fórmula'!E25*(INDEX(properties!A$1:CB$87,'Fórmula'!D25,3))+'Fórmula'!G25*(INDEX(properties!A$1:CB$87,'Fórmula'!F25,3))+'Fórmula'!I25*(INDEX(properties!A$1:CB$87,'Fórmula'!H25,3))+'Fórmula'!K25*(INDEX(properties!A$1:CB$87,'Fórmula'!J25,3))</f>
        <v>408.322724</v>
      </c>
      <c r="D25" s="101">
        <f t="array" ref="D25">VARP(IF(INDEX(properties!A$1:CB$87,'Fórmula'!B25,3)&lt;&gt;"",INDEX(properties!A$1:CB$87,'Fórmula'!B25,3)),IF(INDEX(properties!A$1:CB$87,'Fórmula'!D25,3)&lt;&gt;"",INDEX(properties!A$1:CB$87,'Fórmula'!D25,3)),IF(INDEX(properties!A$1:CB$87,'Fórmula'!F25,3)&lt;&gt;"",INDEX(properties!A$1:CB$87,'Fórmula'!F25,3)),IF(INDEX(properties!A$1:CB$87,'Fórmula'!H25,3)&lt;&gt;"",INDEX(properties!A$1:CB$87,'Fórmula'!H25,3)),IF(INDEX(properties!A$1:CB$87,'Fórmula'!J25,3)&lt;&gt;"",INDEX(properties!A$1:CB$87,'Fórmula'!J25,3)))</f>
        <v>1033.862086</v>
      </c>
      <c r="E25" s="101">
        <f t="array" ref="E25">MAX(INDEX(properties!A$1:CB$87,'Fórmula'!B25,3),INDEX(properties!A$1:CB$87,'Fórmula'!D25,3),INDEX(properties!A$1:CB$87,'Fórmula'!F25,3),INDEX(properties!A$1:CB$87,'Fórmula'!H25,3),INDEX(properties!A$1:CB$87,'Fórmula'!J25,3))</f>
        <v>87.62</v>
      </c>
      <c r="F25" s="101">
        <f t="array" ref="F25">MIN(IF(INDEX(properties!A$1:CB$87,'Fórmula'!B25,3)=0,10^6,INDEX(properties!A$1:CB$87,'Fórmula'!B25,3)),IF(INDEX(properties!A$1:CB$87,'Fórmula'!D25,3)=0,10^6,INDEX(properties!A$1:CB$87,'Fórmula'!D25,3)),IF(INDEX(properties!A$1:CB$87,'Fórmula'!F25,3)=0,10^6,INDEX(properties!A$1:CB$87,'Fórmula'!F25,3)),IF(INDEX(properties!A$1:CB$87,'Fórmula'!H25,3)=0,10^6,INDEX(properties!A$1:CB$87,'Fórmula'!H25,3)),IF(INDEX(properties!A$1:CB$87,'Fórmula'!J25,3)=0,10^6,INDEX(properties!A$1:CB$87,'Fórmula'!J25,3)))</f>
        <v>15.9994</v>
      </c>
      <c r="G25" s="101">
        <f t="shared" si="1"/>
        <v>71.6206</v>
      </c>
      <c r="H25" s="102">
        <f t="array" ref="H25">(('Fórmula'!C25)/('Fórmula'!C25+'Fórmula'!E25+'Fórmula'!G25+'Fórmula'!I25+'Fórmula'!K25))*(INDEX(properties!A$1:CB$87,'Fórmula'!B25,4))+(('Fórmula'!E25)/('Fórmula'!C25+'Fórmula'!E25+'Fórmula'!G25+'Fórmula'!I25+'Fórmula'!K25))*(INDEX(properties!A$1:CB$87,'Fórmula'!D25,4))+(('Fórmula'!G25)/('Fórmula'!C25+'Fórmula'!E25+'Fórmula'!G25+'Fórmula'!I25+'Fórmula'!K25))*(INDEX(properties!A$1:CB$87,'Fórmula'!F25,4))+(('Fórmula'!I25)/('Fórmula'!C25+'Fórmula'!E25+'Fórmula'!G25+'Fórmula'!I25+'Fórmula'!K25))*(INDEX(properties!A$1:CB$87,'Fórmula'!H25,4))+(('Fórmula'!K25)/('Fórmula'!C25+'Fórmula'!E25+'Fórmula'!G25+'Fórmula'!I25+'Fórmula'!K25))*(INDEX(properties!A$1:CB$87,'Fórmula'!J25,4))</f>
        <v>14.76923077</v>
      </c>
      <c r="I25" s="102">
        <f t="array" ref="I25">'Fórmula'!C25*(INDEX(properties!A$1:CB$87,'Fórmula'!B25,4))+'Fórmula'!E25*(INDEX(properties!A$1:CB$87,'Fórmula'!D25,4))+'Fórmula'!G25*(INDEX(properties!A$1:CB$87,'Fórmula'!F25,4))+'Fórmula'!I25*(INDEX(properties!A$1:CB$87,'Fórmula'!H25,4))+'Fórmula'!K25*(INDEX(properties!A$1:CB$87,'Fórmula'!J25,4))</f>
        <v>192</v>
      </c>
      <c r="J25" s="102">
        <f t="array" ref="J25">VARP(IF(INDEX(properties!A$1:CB$87,'Fórmula'!B25,4)&lt;&gt;"",INDEX(properties!A$1:CB$87,'Fórmula'!B25,4)),IF(INDEX(properties!A$1:CB$87,'Fórmula'!D25,4)&lt;&gt;"",INDEX(properties!A$1:CB$87,'Fórmula'!D25,4)),IF(INDEX(properties!A$1:CB$87,'Fórmula'!F25,4)&lt;&gt;"",INDEX(properties!A$1:CB$87,'Fórmula'!F25,4)),IF(INDEX(properties!A$1:CB$87,'Fórmula'!H25,4)&lt;&gt;"",INDEX(properties!A$1:CB$87,'Fórmula'!H25,4)),IF(INDEX(properties!A$1:CB$87,'Fórmula'!J25,4)&lt;&gt;"",INDEX(properties!A$1:CB$87,'Fórmula'!J25,4)))</f>
        <v>195.36</v>
      </c>
      <c r="K25" s="102">
        <f t="array" ref="K25">MAX(INDEX(properties!A$1:CB$87,'Fórmula'!B25,4),INDEX(properties!A$1:CB$87,'Fórmula'!D25,4),INDEX(properties!A$1:CB$87,'Fórmula'!F25,4),INDEX(properties!A$1:CB$87,'Fórmula'!H25,4),INDEX(properties!A$1:CB$87,'Fórmula'!J25,4))</f>
        <v>38</v>
      </c>
      <c r="L25" s="102">
        <f t="array" ref="L25">MIN(IF(INDEX(properties!A$1:CB$87,'Fórmula'!B25,4)=0,10^6,INDEX(properties!A$1:CB$87,'Fórmula'!B25,4)),IF(INDEX(properties!A$1:CB$87,'Fórmula'!D25,4)=0,10^6,INDEX(properties!A$1:CB$87,'Fórmula'!D25,4)),IF(INDEX(properties!A$1:CB$87,'Fórmula'!F25,4)=0,10^6,INDEX(properties!A$1:CB$87,'Fórmula'!F25,4)),IF(INDEX(properties!A$1:CB$87,'Fórmula'!H25,4)=0,10^6,INDEX(properties!A$1:CB$87,'Fórmula'!H25,4)),IF(INDEX(properties!A$1:CB$87,'Fórmula'!J25,4)=0,10^6,INDEX(properties!A$1:CB$87,'Fórmula'!J25,4)))</f>
        <v>8</v>
      </c>
      <c r="M25" s="102">
        <f t="shared" si="2"/>
        <v>30</v>
      </c>
      <c r="N25" s="103">
        <f t="array" ref="N25">(('Fórmula'!C25)/('Fórmula'!C25+'Fórmula'!E25+'Fórmula'!G25+'Fórmula'!I25+'Fórmula'!K25))*(INDEX(properties!A$1:CB$87,'Fórmula'!B25,5))+(('Fórmula'!E25)/('Fórmula'!C25+'Fórmula'!E25+'Fórmula'!G25+'Fórmula'!I25+'Fórmula'!K25))*(INDEX(properties!A$1:CB$87,'Fórmula'!D25,5))+(('Fórmula'!G25)/('Fórmula'!C25+'Fórmula'!E25+'Fórmula'!G25+'Fórmula'!I25+'Fórmula'!K25))*(INDEX(properties!A$1:CB$87,'Fórmula'!F25,5))+(('Fórmula'!I25)/('Fórmula'!C25+'Fórmula'!E25+'Fórmula'!G25+'Fórmula'!I25+'Fórmula'!K25))*(INDEX(properties!A$1:CB$87,'Fórmula'!H25,5))+(('Fórmula'!K25)/('Fórmula'!C25+'Fórmula'!E25+'Fórmula'!G25+'Fórmula'!I25+'Fórmula'!K25))*(INDEX(properties!A$1:CB$87,'Fórmula'!J25,5))</f>
        <v>2.692307692</v>
      </c>
      <c r="O25" s="103">
        <f t="array" ref="O25">'Fórmula'!C25*(INDEX(properties!A$1:CB$87,'Fórmula'!B25,5))+'Fórmula'!E25*(INDEX(properties!A$1:CB$87,'Fórmula'!D25,5))+'Fórmula'!G25*(INDEX(properties!A$1:CB$87,'Fórmula'!F25,5))+'Fórmula'!I25*(INDEX(properties!A$1:CB$87,'Fórmula'!H25,5))+'Fórmula'!K25*(INDEX(properties!A$1:CB$87,'Fórmula'!J25,5))</f>
        <v>35</v>
      </c>
      <c r="P25" s="103">
        <f t="array" ref="P25">VARP(IF(INDEX(properties!A$1:CB$87,'Fórmula'!B25,5)&lt;&gt;"",INDEX(properties!A$1:CB$87,'Fórmula'!B25,5)),IF(INDEX(properties!A$1:CB$87,'Fórmula'!D25,5)&lt;&gt;"",INDEX(properties!A$1:CB$87,'Fórmula'!D25,5)),IF(INDEX(properties!A$1:CB$87,'Fórmula'!F25,5)&lt;&gt;"",INDEX(properties!A$1:CB$87,'Fórmula'!F25,5)),IF(INDEX(properties!A$1:CB$87,'Fórmula'!H25,5)&lt;&gt;"",INDEX(properties!A$1:CB$87,'Fórmula'!H25,5)),IF(INDEX(properties!A$1:CB$87,'Fórmula'!J25,5)&lt;&gt;"",INDEX(properties!A$1:CB$87,'Fórmula'!J25,5)))</f>
        <v>2.96</v>
      </c>
      <c r="Q25" s="103">
        <f t="array" ref="Q25">MAX(INDEX(properties!A$1:CB$87,'Fórmula'!B25,5),INDEX(properties!A$1:CB$87,'Fórmula'!D25,5),INDEX(properties!A$1:CB$87,'Fórmula'!F25,5),INDEX(properties!A$1:CB$87,'Fórmula'!H25,5),INDEX(properties!A$1:CB$87,'Fórmula'!J25,5))</f>
        <v>5</v>
      </c>
      <c r="R25" s="103">
        <f t="array" ref="R25">MIN(IF(INDEX(properties!A$1:CB$87,'Fórmula'!B25,5)=0,10^6,INDEX(properties!A$1:CB$87,'Fórmula'!B25,5)),IF(INDEX(properties!A$1:CB$87,'Fórmula'!D25,5)=0,10^6,INDEX(properties!A$1:CB$87,'Fórmula'!D25,5)),IF(INDEX(properties!A$1:CB$87,'Fórmula'!F25,5)=0,10^6,INDEX(properties!A$1:CB$87,'Fórmula'!F25,5)),IF(INDEX(properties!A$1:CB$87,'Fórmula'!H25,5)=0,10^6,INDEX(properties!A$1:CB$87,'Fórmula'!H25,5)),IF(INDEX(properties!A$1:CB$87,'Fórmula'!J25,5)=0,10^6,INDEX(properties!A$1:CB$87,'Fórmula'!J25,5)))</f>
        <v>2</v>
      </c>
      <c r="S25" s="103">
        <f t="shared" si="3"/>
        <v>3</v>
      </c>
      <c r="T25" s="104">
        <f t="array" ref="T25">(('Fórmula'!C25)/('Fórmula'!C25+'Fórmula'!E25+'Fórmula'!G25+'Fórmula'!I25+'Fórmula'!K25))*(INDEX(properties!A$1:CB$87,'Fórmula'!B25,6))+(('Fórmula'!E25)/('Fórmula'!C25+'Fórmula'!E25+'Fórmula'!G25+'Fórmula'!I25+'Fórmula'!K25))*(INDEX(properties!A$1:CB$87,'Fórmula'!D25,6))+(('Fórmula'!G25)/('Fórmula'!C25+'Fórmula'!E25+'Fórmula'!G25+'Fórmula'!I25+'Fórmula'!K25))*(INDEX(properties!A$1:CB$87,'Fórmula'!F25,6))+(('Fórmula'!I25)/('Fórmula'!C25+'Fórmula'!E25+'Fórmula'!G25+'Fórmula'!I25+'Fórmula'!K25))*(INDEX(properties!A$1:CB$87,'Fórmula'!H25,6))+(('Fórmula'!K25)/('Fórmula'!C25+'Fórmula'!E25+'Fórmula'!G25+'Fórmula'!I25+'Fórmula'!K25))*(INDEX(properties!A$1:CB$87,'Fórmula'!J25,6))</f>
        <v>14.15384615</v>
      </c>
      <c r="U25" s="104">
        <f t="array" ref="U25">'Fórmula'!C25*(INDEX(properties!A$1:CB$87,'Fórmula'!B25,6))+'Fórmula'!E25*(INDEX(properties!A$1:CB$87,'Fórmula'!D25,6))+'Fórmula'!G25*(INDEX(properties!A$1:CB$87,'Fórmula'!F25,6))+'Fórmula'!I25*(INDEX(properties!A$1:CB$87,'Fórmula'!H25,6))+'Fórmula'!K25*(INDEX(properties!A$1:CB$87,'Fórmula'!J25,6))</f>
        <v>184</v>
      </c>
      <c r="V25" s="103">
        <f t="array" ref="V25">VARP(IF(INDEX(properties!A$1:CB$87,'Fórmula'!B25,6)&lt;&gt;"",INDEX(properties!A$1:CB$87,'Fórmula'!B25,6)),IF(INDEX(properties!A$1:CB$87,'Fórmula'!D25,6)&lt;&gt;"",INDEX(properties!A$1:CB$87,'Fórmula'!D25,6)),IF(INDEX(properties!A$1:CB$87,'Fórmula'!F25,6)&lt;&gt;"",INDEX(properties!A$1:CB$87,'Fórmula'!F25,6)),IF(INDEX(properties!A$1:CB$87,'Fórmula'!H25,6)&lt;&gt;"",INDEX(properties!A$1:CB$87,'Fórmula'!H25,6)),IF(INDEX(properties!A$1:CB$87,'Fórmula'!J25,6)&lt;&gt;"",INDEX(properties!A$1:CB$87,'Fórmula'!J25,6)))</f>
        <v>44.8</v>
      </c>
      <c r="W25" s="104">
        <f t="array" ref="W25">MAX(INDEX(properties!A$1:CB$87,'Fórmula'!B25,6),INDEX(properties!A$1:CB$87,'Fórmula'!D25,6),INDEX(properties!A$1:CB$87,'Fórmula'!F25,6),INDEX(properties!A$1:CB$87,'Fórmula'!H25,4),INDEX(properties!A$1:CB$87,'Fórmula'!J25,6))</f>
        <v>15</v>
      </c>
      <c r="X25" s="104">
        <f t="array" ref="X25">MIN(IF(INDEX(properties!A$1:CB$87,'Fórmula'!B25,6)=0,10^6,INDEX(properties!A$1:CB$87,'Fórmula'!B25,6)),IF(INDEX(properties!A$1:CB$87,'Fórmula'!D25,6)=0,10^6,INDEX(properties!A$1:CB$87,'Fórmula'!D25,6)),IF(INDEX(properties!A$1:CB$87,'Fórmula'!F25,6)=0,10^6,INDEX(properties!A$1:CB$87,'Fórmula'!F25,6)),IF(INDEX(properties!A$1:CB$87,'Fórmula'!H25,6)=0,10^6,INDEX(properties!A$1:CB$87,'Fórmula'!H25,6)),IF(INDEX(properties!A$1:CB$87,'Fórmula'!J25,6)=0,10^6,INDEX(properties!A$1:CB$87,'Fórmula'!J25,6)))</f>
        <v>2</v>
      </c>
      <c r="Y25" s="104">
        <f t="shared" si="4"/>
        <v>13</v>
      </c>
      <c r="Z25" s="105">
        <f t="array" ref="Z25">(('Fórmula'!C25)/('Fórmula'!C25+'Fórmula'!E25+'Fórmula'!G25+'Fórmula'!I25+'Fórmula'!K25))*(INDEX(properties!A$1:CB$87,'Fórmula'!B25,9))+(('Fórmula'!E25)/('Fórmula'!C25+'Fórmula'!E25+'Fórmula'!G25+'Fórmula'!I25+'Fórmula'!K25))*(INDEX(properties!A$1:CB$87,'Fórmula'!D25,9))+(('Fórmula'!G25)/('Fórmula'!C25+'Fórmula'!E25+'Fórmula'!G25+'Fórmula'!I25+'Fórmula'!K25))*(INDEX(properties!A$1:CB$87,'Fórmula'!F25,9))+(('Fórmula'!I25)/('Fórmula'!C25+'Fórmula'!E25+'Fórmula'!G25+'Fórmula'!I25+'Fórmula'!K25))*(INDEX(properties!A$1:CB$87,'Fórmula'!H25,9))+(('Fórmula'!K25)/('Fórmula'!C25+'Fórmula'!E25+'Fórmula'!G25+'Fórmula'!I25+'Fórmula'!K25))*(INDEX(properties!A$1:CB$87,'Fórmula'!J25,9))</f>
        <v>77.53846154</v>
      </c>
      <c r="AA25" s="105">
        <f t="array" ref="AA25">'Fórmula'!C25*(INDEX(properties!A$1:CB$87,'Fórmula'!B25,9))+'Fórmula'!E25*(INDEX(properties!A$1:CB$87,'Fórmula'!D25,9))+'Fórmula'!G25*(INDEX(properties!A$1:CB$87,'Fórmula'!F25,9))+'Fórmula'!I25*(INDEX(properties!A$1:CB$87,'Fórmula'!H25,9))+'Fórmula'!K25*(INDEX(properties!A$1:CB$87,'Fórmula'!J25,9))</f>
        <v>1008</v>
      </c>
      <c r="AB25" s="105">
        <f t="array" ref="AB25">VARP(IF(INDEX(properties!A$1:CB$87,'Fórmula'!B25,9)&lt;&gt;"",INDEX(properties!A$1:CB$87,'Fórmula'!B25,9)),IF(INDEX(properties!A$1:CB$87,'Fórmula'!D25,9)&lt;&gt;"",INDEX(properties!A$1:CB$87,'Fórmula'!D25,9)),IF(INDEX(properties!A$1:CB$87,'Fórmula'!F25,9)&lt;&gt;"",INDEX(properties!A$1:CB$87,'Fórmula'!F25,9)),IF(INDEX(properties!A$1:CB$87,'Fórmula'!H25,9)&lt;&gt;"",INDEX(properties!A$1:CB$87,'Fórmula'!H25,9)),IF(INDEX(properties!A$1:CB$87,'Fórmula'!J25,9)&lt;&gt;"",INDEX(properties!A$1:CB$87,'Fórmula'!J25,9)))</f>
        <v>1416.24</v>
      </c>
      <c r="AC25" s="105">
        <f t="array" ref="AC25">MAX(INDEX(properties!A$1:CB$87,'Fórmula'!B25,9),INDEX(properties!A$1:CB$87,'Fórmula'!D25,9),INDEX(properties!A$1:CB$87,'Fórmula'!F25,9),INDEX(properties!A$1:CB$87,'Fórmula'!H25,9),INDEX(properties!A$1:CB$87,'Fórmula'!J25,9))</f>
        <v>87</v>
      </c>
      <c r="AD25" s="105">
        <f t="array" ref="AD25">MIN(IF(INDEX(properties!A$1:CB$87,'Fórmula'!B25,9)=0,10^6,INDEX(properties!A$1:CB$87,'Fórmula'!B25,9)),IF(INDEX(properties!A$1:CB$87,'Fórmula'!D25,9)=0,10^6,INDEX(properties!A$1:CB$87,'Fórmula'!D25,9)),IF(INDEX(properties!A$1:CB$87,'Fórmula'!F25,9)=0,10^6,INDEX(properties!A$1:CB$87,'Fórmula'!F25,9)),IF(INDEX(properties!A$1:CB$87,'Fórmula'!H25,9)=0,10^6,INDEX(properties!A$1:CB$87,'Fórmula'!H25,9)),IF(INDEX(properties!A$1:CB$87,'Fórmula'!J25,9)=0,10^6,INDEX(properties!A$1:CB$87,'Fórmula'!J25,9)))</f>
        <v>8</v>
      </c>
      <c r="AE25" s="105">
        <f t="shared" si="5"/>
        <v>79</v>
      </c>
      <c r="AF25" s="106">
        <f t="array" ref="AF25">(('Fórmula'!C25)/('Fórmula'!C25+'Fórmula'!E25+'Fórmula'!G25+'Fórmula'!I25+'Fórmula'!K25))*(INDEX(properties!A$1:CB$87,'Fórmula'!B25,10))+(('Fórmula'!E25)/('Fórmula'!C25+'Fórmula'!E25+'Fórmula'!G25+'Fórmula'!I25+'Fórmula'!K25))*(INDEX(properties!A$1:CB$87,'Fórmula'!D25,10))+(('Fórmula'!G25)/('Fórmula'!C25+'Fórmula'!E25+'Fórmula'!G25+'Fórmula'!I25+'Fórmula'!K25))*(INDEX(properties!A$1:CB$87,'Fórmula'!F25,10))+(('Fórmula'!I25)/('Fórmula'!C25+'Fórmula'!E25+'Fórmula'!G25+'Fórmula'!I25+'Fórmula'!K25))*(INDEX(properties!A$1:CB$87,'Fórmula'!H25,10))+(('Fórmula'!K25)/('Fórmula'!C25+'Fórmula'!E25+'Fórmula'!G25+'Fórmula'!I25+'Fórmula'!K25))*(INDEX(properties!A$1:CB$87,'Fórmula'!J25,10))</f>
        <v>6.153846154</v>
      </c>
      <c r="AG25" s="106">
        <f t="array" ref="AG25">'Fórmula'!C25*(INDEX(properties!A$1:CB$87,'Fórmula'!B25,10))+'Fórmula'!E25*(INDEX(properties!A$1:CB$87,'Fórmula'!D25,10))+'Fórmula'!G25*(INDEX(properties!A$1:CB$87,'Fórmula'!F25,10))+'Fórmula'!I25*(INDEX(properties!A$1:CB$87,'Fórmula'!H25,10))+'Fórmula'!K25*(INDEX(properties!A$1:CB$87,'Fórmula'!J25,10))</f>
        <v>80</v>
      </c>
      <c r="AH25" s="106">
        <f t="array" ref="AH25">VARP(IF(INDEX(properties!A$1:CB$87,'Fórmula'!B25,10)&lt;&gt;"",INDEX(properties!A$1:CB$87,'Fórmula'!B25,10)),IF(INDEX(properties!A$1:CB$87,'Fórmula'!D25,10)&lt;&gt;"",INDEX(properties!A$1:CB$87,'Fórmula'!D25,10)),IF(INDEX(properties!A$1:CB$87,'Fórmula'!F25,10)&lt;&gt;"",INDEX(properties!A$1:CB$87,'Fórmula'!F25,10)),IF(INDEX(properties!A$1:CB$87,'Fórmula'!H25,10)&lt;&gt;"",INDEX(properties!A$1:CB$87,'Fórmula'!H25,10)),IF(INDEX(properties!A$1:CB$87,'Fórmula'!J25,10)&lt;&gt;"",INDEX(properties!A$1:CB$87,'Fórmula'!J25,10)))</f>
        <v>7.6</v>
      </c>
      <c r="AI25" s="106">
        <f t="array" ref="AI25">MAX(INDEX(properties!A$1:CB$87,'Fórmula'!B25,10),INDEX(properties!A$1:CB$87,'Fórmula'!D25,10),INDEX(properties!A$1:CB$87,'Fórmula'!F25,10),INDEX(properties!A$1:CB$87,'Fórmula'!H25,10),INDEX(properties!A$1:CB$87,'Fórmula'!J25,10))</f>
        <v>7</v>
      </c>
      <c r="AJ25" s="106">
        <f t="array" ref="AJ25">MIN(IF(INDEX(properties!A$1:CB$87,'Fórmula'!B25,10)=0,10^6,INDEX(properties!A$1:CB$87,'Fórmula'!B25,10)),IF(INDEX(properties!A$1:CB$87,'Fórmula'!D25,10)=0,10^6,INDEX(properties!A$1:CB$87,'Fórmula'!D25,10)),IF(INDEX(properties!A$1:CB$87,'Fórmula'!F25,10)=0,10^6,INDEX(properties!A$1:CB$87,'Fórmula'!F25,10)),IF(INDEX(properties!A$1:CB$87,'Fórmula'!H25,10)=0,10^6,INDEX(properties!A$1:CB$87,'Fórmula'!H25,10)),IF(INDEX(properties!A$1:CB$87,'Fórmula'!J25,10)=0,10^6,INDEX(properties!A$1:CB$87,'Fórmula'!J25,10)))</f>
        <v>2</v>
      </c>
      <c r="AK25" s="106">
        <f t="shared" si="6"/>
        <v>5</v>
      </c>
      <c r="AL25" s="107">
        <f t="array" ref="AL25">(('Fórmula'!C25)/('Fórmula'!C25+'Fórmula'!E25+'Fórmula'!G25+'Fórmula'!I25+'Fórmula'!K25))*(INDEX(properties!A$1:CB$87,'Fórmula'!B25,11))+(('Fórmula'!E25)/('Fórmula'!C25+'Fórmula'!E25+'Fórmula'!G25+'Fórmula'!I25+'Fórmula'!K25))*(INDEX(properties!A$1:CB$87,'Fórmula'!D25,11))+(('Fórmula'!G25)/('Fórmula'!C25+'Fórmula'!E25+'Fórmula'!G25+'Fórmula'!I25+'Fórmula'!K25))*(INDEX(properties!A$1:CB$87,'Fórmula'!F25,11))+(('Fórmula'!I25)/('Fórmula'!C25+'Fórmula'!E25+'Fórmula'!G25+'Fórmula'!I25+'Fórmula'!K25))*(INDEX(properties!A$1:CB$87,'Fórmula'!H25,11))+(('Fórmula'!K25)/('Fórmula'!C25+'Fórmula'!E25+'Fórmula'!G25+'Fórmula'!I25+'Fórmula'!K25))*(INDEX(properties!A$1:CB$87,'Fórmula'!J25,11))</f>
        <v>2</v>
      </c>
      <c r="AM25" s="107">
        <f t="array" ref="AM25">'Fórmula'!C25*(INDEX(properties!A$1:CB$87,'Fórmula'!B25,11))+'Fórmula'!E25*(INDEX(properties!A$1:CB$87,'Fórmula'!D25,11))+'Fórmula'!G25*(INDEX(properties!A$1:CB$87,'Fórmula'!F25,11))+'Fórmula'!I25*(INDEX(properties!A$1:CB$87,'Fórmula'!H25,11))+'Fórmula'!K25*(INDEX(properties!A$1:CB$87,'Fórmula'!J25,11))</f>
        <v>26</v>
      </c>
      <c r="AN25" s="107">
        <f t="array" ref="AN25">VARP(IF(INDEX(properties!A$1:CB$87,'Fórmula'!B25,11)&lt;&gt;"",INDEX(properties!A$1:CB$87,'Fórmula'!B25,11)),IF(INDEX(properties!A$1:CB$87,'Fórmula'!D25,11)&lt;&gt;"",INDEX(properties!A$1:CB$87,'Fórmula'!D25,11)),IF(INDEX(properties!A$1:CB$87,'Fórmula'!F25,11)&lt;&gt;"",INDEX(properties!A$1:CB$87,'Fórmula'!F25,11)),IF(INDEX(properties!A$1:CB$87,'Fórmula'!H25,11)&lt;&gt;"",INDEX(properties!A$1:CB$87,'Fórmula'!H25,11)),IF(INDEX(properties!A$1:CB$87,'Fórmula'!J25,11)&lt;&gt;"",INDEX(properties!A$1:CB$87,'Fórmula'!J25,11)))</f>
        <v>0.64</v>
      </c>
      <c r="AO25" s="107">
        <f t="array" ref="AO25">MAX(INDEX(properties!A$1:CB$87,'Fórmula'!B25,11),INDEX(properties!A$1:CB$87,'Fórmula'!D25,11),INDEX(properties!A$1:CB$87,'Fórmula'!F25,11),INDEX(properties!A$1:CB$87,'Fórmula'!H25,11),INDEX(properties!A$1:CB$87,'Fórmula'!J25,11))</f>
        <v>2</v>
      </c>
      <c r="AP25" s="107">
        <f t="array" ref="AP25">MIN(IF('Fórmula'!B25=87,10^6,INDEX(properties!A$1:CB$87,'Fórmula'!B25,11)),IF(('Fórmula'!D25)=87,10^6,INDEX(properties!A$1:CB$87,'Fórmula'!D25,11)),IF(('Fórmula'!F25)=87,10^6,INDEX(properties!A$1:CB$87,'Fórmula'!F25,11)),IF(('Fórmula'!H25)=87,10^6,INDEX(properties!A$1:CB$87,'Fórmula'!H25,11)),IF('Fórmula'!J25=87,10^6,INDEX(properties!A$1:CB$87,'Fórmula'!J25,11)))</f>
        <v>2</v>
      </c>
      <c r="AQ25" s="107">
        <f t="shared" si="7"/>
        <v>0</v>
      </c>
      <c r="AR25" s="108">
        <f t="array" ref="AR25">(('Fórmula'!C25)/('Fórmula'!C25+'Fórmula'!E25+'Fórmula'!G25+'Fórmula'!I25+'Fórmula'!K25))*(INDEX(properties!A$1:CB$87,'Fórmula'!B25,12))+(('Fórmula'!E25)/('Fórmula'!C25+'Fórmula'!E25+'Fórmula'!G25+'Fórmula'!I25+'Fórmula'!K25))*(INDEX(properties!A$1:CB$87,'Fórmula'!D25,12))+(('Fórmula'!G25)/('Fórmula'!C25+'Fórmula'!E25+'Fórmula'!G25+'Fórmula'!I25+'Fórmula'!K25))*(INDEX(properties!A$1:CB$87,'Fórmula'!F25,12))+(('Fórmula'!I25)/('Fórmula'!C25+'Fórmula'!E25+'Fórmula'!G25+'Fórmula'!I25+'Fórmula'!K25))*(INDEX(properties!A$1:CB$87,'Fórmula'!H25,12))+(('Fórmula'!K25)/('Fórmula'!C25+'Fórmula'!E25+'Fórmula'!G25+'Fórmula'!I25+'Fórmula'!K25))*(INDEX(properties!A$1:CB$87,'Fórmula'!J25,12))</f>
        <v>2.923076923</v>
      </c>
      <c r="AS25" s="108">
        <f t="array" ref="AS25">'Fórmula'!C25*(INDEX(properties!A$1:CB$87,'Fórmula'!B25,12))+'Fórmula'!E25*(INDEX(properties!A$1:CB$87,'Fórmula'!D25,12))+'Fórmula'!G25*(INDEX(properties!A$1:CB$87,'Fórmula'!F25,12))+'Fórmula'!I25*(INDEX(properties!A$1:CB$87,'Fórmula'!H25,12))+'Fórmula'!K25*(INDEX(properties!A$1:CB$87,'Fórmula'!J25,12))</f>
        <v>38</v>
      </c>
      <c r="AT25" s="108">
        <f t="array" ref="AT25">VARP(IF(INDEX(properties!A$1:CB$87,'Fórmula'!B25,12)&lt;&gt;"",INDEX(properties!A$1:CB$87,'Fórmula'!B25,12)),IF(INDEX(properties!A$1:CB$87,'Fórmula'!D25,12)&lt;&gt;"",INDEX(properties!A$1:CB$87,'Fórmula'!D25,12)),IF(INDEX(properties!A$1:CB$87,'Fórmula'!F25,12)&lt;&gt;"",INDEX(properties!A$1:CB$87,'Fórmula'!F25,12)),IF(INDEX(properties!A$1:CB$87,'Fórmula'!H25,12)&lt;&gt;"",INDEX(properties!A$1:CB$87,'Fórmula'!H25,12)),IF(INDEX(properties!A$1:CB$87,'Fórmula'!J25,12)&lt;&gt;"",INDEX(properties!A$1:CB$87,'Fórmula'!J25,12)))</f>
        <v>3.04</v>
      </c>
      <c r="AU25" s="108">
        <f t="array" ref="AU25">MAX(INDEX(properties!A$1:CB$87,'Fórmula'!B25,12),INDEX(properties!A$1:CB$87,'Fórmula'!D25,12),INDEX(properties!A$1:CB$87,'Fórmula'!F25,12),INDEX(properties!A$1:CB$87,'Fórmula'!H25,12),INDEX(properties!A$1:CB$87,'Fórmula'!J25,12))</f>
        <v>4</v>
      </c>
      <c r="AV25" s="108">
        <f t="array" ref="AV25">MIN(IF('Fórmula'!B25=87,10^6,INDEX(properties!A$1:CB$87,'Fórmula'!B25,12)),IF(('Fórmula'!D25)=87,10^6,INDEX(properties!A$1:CB$87,'Fórmula'!D25,12)),IF(('Fórmula'!F25)=87,10^6,INDEX(properties!A$1:CB$87,'Fórmula'!F25,12)),IF(('Fórmula'!H25)=87,10^6,INDEX(properties!A$1:CB$87,'Fórmula'!H25,12)),IF('Fórmula'!J25=87,10^6,INDEX(properties!A$1:CB$87,'Fórmula'!J25,12)))</f>
        <v>0</v>
      </c>
      <c r="AW25" s="108">
        <f t="shared" si="8"/>
        <v>4</v>
      </c>
      <c r="AX25" s="109">
        <f t="array" ref="AX25">(('Fórmula'!C25)/('Fórmula'!C25+'Fórmula'!E25+'Fórmula'!G25+'Fórmula'!I25+'Fórmula'!K25))*(INDEX(properties!A$1:CB$87,'Fórmula'!B25,13))+(('Fórmula'!E25)/('Fórmula'!C25+'Fórmula'!E25+'Fórmula'!G25+'Fórmula'!I25+'Fórmula'!K25))*(INDEX(properties!A$1:CB$87,'Fórmula'!D25,13))+(('Fórmula'!G25)/('Fórmula'!C25+'Fórmula'!E25+'Fórmula'!G25+'Fórmula'!I25+'Fórmula'!K25))*(INDEX(properties!A$1:CB$87,'Fórmula'!F25,13))+(('Fórmula'!I25)/('Fórmula'!C25+'Fórmula'!E25+'Fórmula'!G25+'Fórmula'!I25+'Fórmula'!K25))*(INDEX(properties!A$1:CB$87,'Fórmula'!H25,13))+(('Fórmula'!K25)/('Fórmula'!C25+'Fórmula'!E25+'Fórmula'!G25+'Fórmula'!I25+'Fórmula'!K25))*(INDEX(properties!A$1:CB$87,'Fórmula'!J25,13))</f>
        <v>1.538461538</v>
      </c>
      <c r="AY25" s="109">
        <f t="array" ref="AY25">'Fórmula'!C25*(INDEX(properties!A$1:CB$87,'Fórmula'!B25,13))+'Fórmula'!E25*(INDEX(properties!A$1:CB$87,'Fórmula'!D25,13))+'Fórmula'!G25*(INDEX(properties!A$1:CB$87,'Fórmula'!F25,13))+'Fórmula'!I25*(INDEX(properties!A$1:CB$87,'Fórmula'!H25,13))+'Fórmula'!K25*(INDEX(properties!A$1:CB$87,'Fórmula'!J25,13))</f>
        <v>20</v>
      </c>
      <c r="AZ25" s="109">
        <f t="array" ref="AZ25">VARP(IF(INDEX(properties!A$1:CB$87,'Fórmula'!B25,13)&lt;&gt;"",INDEX(properties!A$1:CB$87,'Fórmula'!B25,13)),IF(INDEX(properties!A$1:CB$87,'Fórmula'!D25,13)&lt;&gt;"",INDEX(properties!A$1:CB$87,'Fórmula'!D25,13)),IF(INDEX(properties!A$1:CB$87,'Fórmula'!F25,13)&lt;&gt;"",INDEX(properties!A$1:CB$87,'Fórmula'!F25,13)),IF(INDEX(properties!A$1:CB$87,'Fórmula'!H25,13)&lt;&gt;"",INDEX(properties!A$1:CB$87,'Fórmula'!H25,13)),IF(INDEX(properties!A$1:CB$87,'Fórmula'!J25,13)&lt;&gt;"",INDEX(properties!A$1:CB$87,'Fórmula'!J25,13)))</f>
        <v>16</v>
      </c>
      <c r="BA25" s="109">
        <f t="array" ref="BA25">MAX(INDEX(properties!A$1:CB$87,'Fórmula'!B25,13),INDEX(properties!A$1:CB$87,'Fórmula'!D25,13),INDEX(properties!A$1:CB$87,'Fórmula'!F25,13),INDEX(properties!A$1:CB$87,'Fórmula'!H25,13),INDEX(properties!A$1:CB$87,'Fórmula'!J25,13))</f>
        <v>10</v>
      </c>
      <c r="BB25" s="109">
        <f t="array" ref="BB25">MIN(IF('Fórmula'!B25=87,10^6,INDEX(properties!A$1:CB$87,'Fórmula'!B25,13)),IF(('Fórmula'!D25)=87,10^6,INDEX(properties!A$1:CB$87,'Fórmula'!D25,13)),IF(('Fórmula'!F25)=87,10^6,INDEX(properties!A$1:CB$87,'Fórmula'!F25,13)),IF(('Fórmula'!H25)=87,10^6,INDEX(properties!A$1:CB$87,'Fórmula'!H25,13)),IF('Fórmula'!J25=87,10^6,INDEX(properties!A$1:CB$87,'Fórmula'!J25,13)))</f>
        <v>0</v>
      </c>
      <c r="BC25" s="109">
        <f t="shared" si="9"/>
        <v>10</v>
      </c>
      <c r="BD25" s="110">
        <f t="array" ref="BD25">(('Fórmula'!C25)/('Fórmula'!C25+'Fórmula'!E25+'Fórmula'!G25+'Fórmula'!I25+'Fórmula'!K25))*(INDEX(properties!A$1:CB$87,'Fórmula'!B25,14))+(('Fórmula'!E25)/('Fórmula'!C25+'Fórmula'!E25+'Fórmula'!G25+'Fórmula'!I25+'Fórmula'!K25))*(INDEX(properties!A$1:CB$87,'Fórmula'!D25,14))+(('Fórmula'!G25)/('Fórmula'!C25+'Fórmula'!E25+'Fórmula'!G25+'Fórmula'!I25+'Fórmula'!K25))*(INDEX(properties!A$1:CB$87,'Fórmula'!F25,14))+(('Fórmula'!I25)/('Fórmula'!C25+'Fórmula'!E25+'Fórmula'!G25+'Fórmula'!I25+'Fórmula'!K25))*(INDEX(properties!A$1:CB$87,'Fórmula'!H25,14))+(('Fórmula'!K25)/('Fórmula'!C25+'Fórmula'!E25+'Fórmula'!G25+'Fórmula'!I25+'Fórmula'!K25))*(INDEX(properties!A$1:CB$87,'Fórmula'!J25,14))</f>
        <v>0</v>
      </c>
      <c r="BE25" s="110">
        <f t="array" ref="BE25">'Fórmula'!C25*(INDEX(properties!A$1:CB$87,'Fórmula'!B25,14))+'Fórmula'!E25*(INDEX(properties!A$1:CB$87,'Fórmula'!D25,14))+'Fórmula'!G25*(INDEX(properties!A$1:CB$87,'Fórmula'!F25,14))+'Fórmula'!I25*(INDEX(properties!A$1:CB$87,'Fórmula'!H25,14))+'Fórmula'!K25*(INDEX(properties!A$1:CB$87,'Fórmula'!J25,14))</f>
        <v>0</v>
      </c>
      <c r="BF25" s="110">
        <f t="array" ref="BF25">VARP(IF(INDEX(properties!A$1:CB$87,'Fórmula'!B25,14)&lt;&gt;"",INDEX(properties!A$1:CB$87,'Fórmula'!B25,14)),IF(INDEX(properties!A$1:CB$87,'Fórmula'!D25,14)&lt;&gt;"",INDEX(properties!A$1:CB$87,'Fórmula'!D25,14)),IF(INDEX(properties!A$1:CB$87,'Fórmula'!F25,14)&lt;&gt;"",INDEX(properties!A$1:CB$87,'Fórmula'!F25,14)),IF(INDEX(properties!A$1:CB$87,'Fórmula'!H25,14)&lt;&gt;"",INDEX(properties!A$1:CB$87,'Fórmula'!H25,14)),IF(INDEX(properties!A$1:CB$87,'Fórmula'!J25,14)&lt;&gt;"",INDEX(properties!A$1:CB$87,'Fórmula'!J25,14)))</f>
        <v>0</v>
      </c>
      <c r="BG25" s="110">
        <f t="array" ref="BG25">MAX(INDEX(properties!A$1:CB$87,'Fórmula'!B25,14),INDEX(properties!A$1:CB$87,'Fórmula'!D25,14),INDEX(properties!A$1:CB$87,'Fórmula'!F25,14),INDEX(properties!A$1:CB$87,'Fórmula'!H25,14),INDEX(properties!A$1:CB$87,'Fórmula'!J25,14))</f>
        <v>0</v>
      </c>
      <c r="BH25" s="110">
        <f t="array" ref="BH25">MIN(IF('Fórmula'!B25=87,10^6,INDEX(properties!A$1:CB$87,'Fórmula'!B25,14)),IF(('Fórmula'!D25)=87,10^6,INDEX(properties!A$1:CB$87,'Fórmula'!D25,14)),IF(('Fórmula'!F25)=87,10^6,INDEX(properties!A$1:CB$87,'Fórmula'!F25,14)),IF(('Fórmula'!H25)=87,10^6,INDEX(properties!A$1:CB$87,'Fórmula'!H25,14)),IF('Fórmula'!J25=87,10^6,INDEX(properties!A$1:CB$87,'Fórmula'!J25,14)))</f>
        <v>0</v>
      </c>
      <c r="BI25" s="110">
        <f t="shared" si="10"/>
        <v>0</v>
      </c>
      <c r="BJ25" s="111">
        <f t="array" ref="BJ25">(('Fórmula'!C25)/('Fórmula'!C25+'Fórmula'!E25+'Fórmula'!G25+'Fórmula'!I25+'Fórmula'!K25))*(INDEX(properties!A$1:CB$87,'Fórmula'!B25,19))+(('Fórmula'!E25)/('Fórmula'!C25+'Fórmula'!E25+'Fórmula'!G25+'Fórmula'!I25+'Fórmula'!K25))*(INDEX(properties!A$1:CB$87,'Fórmula'!D25,19))+(('Fórmula'!G25)/('Fórmula'!C25+'Fórmula'!E25+'Fórmula'!G25+'Fórmula'!I25+'Fórmula'!K25))*(INDEX(properties!A$1:CB$87,'Fórmula'!F25,19))+(('Fórmula'!I25)/('Fórmula'!C25+'Fórmula'!E25+'Fórmula'!G25+'Fórmula'!I25+'Fórmula'!K25))*(INDEX(properties!A$1:CB$87,'Fórmula'!H25,19))+(('Fórmula'!K25)/('Fórmula'!C25+'Fórmula'!E25+'Fórmula'!G25+'Fórmula'!I25+'Fórmula'!K25))*(INDEX(properties!A$1:CB$87,'Fórmula'!J25,19))</f>
        <v>6.461538462</v>
      </c>
      <c r="BK25" s="111">
        <f t="array" ref="BK25">'Fórmula'!C25*(INDEX(properties!A$1:CB$87,'Fórmula'!B25,19))+'Fórmula'!E25*(INDEX(properties!A$1:CB$87,'Fórmula'!D25,19))+'Fórmula'!G25*(INDEX(properties!A$1:CB$87,'Fórmula'!F25,19))+'Fórmula'!I25*(INDEX(properties!A$1:CB$87,'Fórmula'!H25,19))+'Fórmula'!K25*(INDEX(properties!A$1:CB$87,'Fórmula'!J25,19))</f>
        <v>84</v>
      </c>
      <c r="BL25" s="111">
        <f t="array" ref="BL25">VARP(IF(INDEX(properties!A$1:CB$87,'Fórmula'!B25,19)&lt;&gt;"",INDEX(properties!A$1:CB$87,'Fórmula'!B25,19)),IF(INDEX(properties!A$1:CB$87,'Fórmula'!D25,19)&lt;&gt;"",INDEX(properties!A$1:CB$87,'Fórmula'!D25,19)),IF(INDEX(properties!A$1:CB$87,'Fórmula'!F25,19)&lt;&gt;"",INDEX(properties!A$1:CB$87,'Fórmula'!F25,19)),IF(INDEX(properties!A$1:CB$87,'Fórmula'!H25,19)&lt;&gt;"",INDEX(properties!A$1:CB$87,'Fórmula'!H25,19)),IF(INDEX(properties!A$1:CB$87,'Fórmula'!J25,19)&lt;&gt;"",INDEX(properties!A$1:CB$87,'Fórmula'!J25,19)))</f>
        <v>16.8</v>
      </c>
      <c r="BM25" s="111">
        <f t="array" ref="BM25">MAX(INDEX(properties!A$1:CB$87,'Fórmula'!B25,19),INDEX(properties!A$1:CB$87,'Fórmula'!D25,19),INDEX(properties!A$1:CB$87,'Fórmula'!F25,19),INDEX(properties!A$1:CB$87,'Fórmula'!H25,19),INDEX(properties!A$1:CB$87,'Fórmula'!J25,19))</f>
        <v>12</v>
      </c>
      <c r="BN25" s="111">
        <f t="array" ref="BN25">MIN(IF(INDEX(properties!A$1:CB$87,'Fórmula'!B25,19)=0,10^6,INDEX(properties!A$1:CB$87,'Fórmula'!B25,19)),IF(INDEX(properties!A$1:CB$87,'Fórmula'!D25,19)=0,10^6,INDEX(properties!A$1:CB$87,'Fórmula'!D25,19)),IF(INDEX(properties!A$1:CB$87,'Fórmula'!F25,19)=0,10^6,INDEX(properties!A$1:CB$87,'Fórmula'!F25,19)),IF(INDEX(properties!A$1:CB$87,'Fórmula'!H25,19)=0,10^6,INDEX(properties!A$1:CB$87,'Fórmula'!H25,19)),IF(INDEX(properties!A$1:CB$87,'Fórmula'!J25,19)=0,10^6,INDEX(properties!A$1:CB$87,'Fórmula'!J25,19)))</f>
        <v>2</v>
      </c>
      <c r="BO25" s="111">
        <f t="shared" si="11"/>
        <v>10</v>
      </c>
      <c r="BP25" s="112">
        <f t="array" ref="BP25">(('Fórmula'!C25)/('Fórmula'!C25+'Fórmula'!E25+'Fórmula'!G25+'Fórmula'!I25+'Fórmula'!K25))*(INDEX(properties!A$1:CB$87,'Fórmula'!B25,20))+(('Fórmula'!E25)/('Fórmula'!C25+'Fórmula'!E25+'Fórmula'!G25+'Fórmula'!I25+'Fórmula'!K25))*(INDEX(properties!A$1:CB$87,'Fórmula'!D25,20))+(('Fórmula'!G25)/('Fórmula'!C25+'Fórmula'!E25+'Fórmula'!G25+'Fórmula'!I25+'Fórmula'!K25))*(INDEX(properties!A$1:CB$87,'Fórmula'!F25,20))+(('Fórmula'!I25)/('Fórmula'!C25+'Fórmula'!E25+'Fórmula'!G25+'Fórmula'!I25+'Fórmula'!K25))*(INDEX(properties!A$1:CB$87,'Fórmula'!H25,20))+(('Fórmula'!K25)/('Fórmula'!C25+'Fórmula'!E25+'Fórmula'!G25+'Fórmula'!I25+'Fórmula'!K25))*(INDEX(properties!A$1:CB$87,'Fórmula'!J25,20))</f>
        <v>4.923076923</v>
      </c>
      <c r="BQ25" s="112">
        <f t="array" ref="BQ25">'Fórmula'!C25*(INDEX(properties!A$1:CB$87,'Fórmula'!B25,20))+'Fórmula'!E25*(INDEX(properties!A$1:CB$87,'Fórmula'!D25,20))+'Fórmula'!G25*(INDEX(properties!A$1:CB$87,'Fórmula'!F25,20))+'Fórmula'!I25*(INDEX(properties!A$1:CB$87,'Fórmula'!H25,20))+'Fórmula'!K25*(INDEX(properties!A$1:CB$87,'Fórmula'!J25,20))</f>
        <v>64</v>
      </c>
      <c r="BR25" s="112">
        <f t="array" ref="BR25">VARP(IF(INDEX(properties!A$1:CB$87,'Fórmula'!B25,20)&lt;&gt;"",INDEX(properties!A$1:CB$87,'Fórmula'!B25,20)),IF(INDEX(properties!A$1:CB$87,'Fórmula'!D25,20)&lt;&gt;"",INDEX(properties!A$1:CB$87,'Fórmula'!D25,20)),IF(INDEX(properties!A$1:CB$87,'Fórmula'!F25,20)&lt;&gt;"",INDEX(properties!A$1:CB$87,'Fórmula'!F25,20)),IF(INDEX(properties!A$1:CB$87,'Fórmula'!H25,20)&lt;&gt;"",INDEX(properties!A$1:CB$87,'Fórmula'!H25,20)),IF(INDEX(properties!A$1:CB$87,'Fórmula'!J25,20)&lt;&gt;"",INDEX(properties!A$1:CB$87,'Fórmula'!J25,20)))</f>
        <v>4.8</v>
      </c>
      <c r="BS25" s="112">
        <f t="array" ref="BS25">MAX(INDEX(properties!A$1:CB$87,'Fórmula'!B25,20),INDEX(properties!A$1:CB$87,'Fórmula'!D25,20),INDEX(properties!A$1:CB$87,'Fórmula'!F25,20),INDEX(properties!A$1:CB$87,'Fórmula'!H25,20),INDEX(properties!A$1:CB$87,'Fórmula'!J25,20))</f>
        <v>6</v>
      </c>
      <c r="BT25" s="112">
        <f t="array" ref="BT25">MIN(IF(INDEX(properties!A$1:CB$87,'Fórmula'!B25,20)=0,10^6,INDEX(properties!A$1:CB$87,'Fórmula'!B25,20)),IF(INDEX(properties!A$1:CB$87,'Fórmula'!D25,20)=0,10^6,INDEX(properties!A$1:CB$87,'Fórmula'!D25,20)),IF(INDEX(properties!A$1:CB$87,'Fórmula'!F25,20)=0,10^6,INDEX(properties!A$1:CB$87,'Fórmula'!F25,20)),IF(INDEX(properties!A$1:CB$87,'Fórmula'!H25,20)=0,10^6,INDEX(properties!A$1:CB$87,'Fórmula'!H25,20)),IF(INDEX(properties!A$1:CB$87,'Fórmula'!J25,20)=0,10^6,INDEX(properties!A$1:CB$87,'Fórmula'!J25,20)))</f>
        <v>2</v>
      </c>
      <c r="BU25" s="112">
        <f t="shared" si="12"/>
        <v>4</v>
      </c>
      <c r="BV25" s="113">
        <f t="array" ref="BV25">(('Fórmula'!C25)/('Fórmula'!C25+'Fórmula'!E25+'Fórmula'!G25+'Fórmula'!I25+'Fórmula'!K25))*(INDEX(properties!A$1:CB$87,'Fórmula'!B25,21))+(('Fórmula'!E25)/('Fórmula'!C25+'Fórmula'!E25+'Fórmula'!G25+'Fórmula'!I25+'Fórmula'!K25))*(INDEX(properties!A$1:CB$87,'Fórmula'!D25,21))+(('Fórmula'!G25)/('Fórmula'!C25+'Fórmula'!E25+'Fórmula'!G25+'Fórmula'!I25+'Fórmula'!K25))*(INDEX(properties!A$1:CB$87,'Fórmula'!F25,21))+(('Fórmula'!I25)/('Fórmula'!C25+'Fórmula'!E25+'Fórmula'!G25+'Fórmula'!I25+'Fórmula'!K25))*(INDEX(properties!A$1:CB$87,'Fórmula'!H25,21))+(('Fórmula'!K25)/('Fórmula'!C25+'Fórmula'!E25+'Fórmula'!G25+'Fórmula'!I25+'Fórmula'!K25))*(INDEX(properties!A$1:CB$87,'Fórmula'!J25,21))</f>
        <v>4.769230769</v>
      </c>
      <c r="BW25" s="113">
        <f t="array" ref="BW25">'Fórmula'!C25*(INDEX(properties!A$1:CB$87,'Fórmula'!B25,21))+'Fórmula'!E25*(INDEX(properties!A$1:CB$87,'Fórmula'!D25,21))+'Fórmula'!G25*(INDEX(properties!A$1:CB$87,'Fórmula'!F25,21))+'Fórmula'!I25*(INDEX(properties!A$1:CB$87,'Fórmula'!H25,21))+'Fórmula'!K25*(INDEX(properties!A$1:CB$87,'Fórmula'!J25,21))</f>
        <v>62</v>
      </c>
      <c r="BX25" s="113">
        <f t="array" ref="BX25">VARP(IF(INDEX(properties!A$1:CB$87,'Fórmula'!B25,21)&lt;&gt;"",INDEX(properties!A$1:CB$87,'Fórmula'!B25,21)),IF(INDEX(properties!A$1:CB$87,'Fórmula'!D25,21)&lt;&gt;"",INDEX(properties!A$1:CB$87,'Fórmula'!D25,21)),IF(INDEX(properties!A$1:CB$87,'Fórmula'!F25,21)&lt;&gt;"",INDEX(properties!A$1:CB$87,'Fórmula'!F25,21)),IF(INDEX(properties!A$1:CB$87,'Fórmula'!H25,21)&lt;&gt;"",INDEX(properties!A$1:CB$87,'Fórmula'!H25,21)),IF(INDEX(properties!A$1:CB$87,'Fórmula'!J25,21)&lt;&gt;"",INDEX(properties!A$1:CB$87,'Fórmula'!J25,21)))</f>
        <v>5.36</v>
      </c>
      <c r="BY25" s="113">
        <f t="array" ref="BY25">MAX(INDEX(properties!A$1:CB$87,'Fórmula'!B25,21),INDEX(properties!A$1:CB$87,'Fórmula'!D25,21),INDEX(properties!A$1:CB$87,'Fórmula'!F25,21),INDEX(properties!A$1:CB$87,'Fórmula'!H25,21),INDEX(properties!A$1:CB$87,'Fórmula'!J25,21))</f>
        <v>6</v>
      </c>
      <c r="BZ25" s="113">
        <f t="array" ref="BZ25">MIN(IF(INDEX(properties!A$1:CB$87,'Fórmula'!B25,21)=0,10^6,INDEX(properties!A$1:CB$87,'Fórmula'!B25,21)),IF(INDEX(properties!A$1:CB$87,'Fórmula'!D25,21)=0,10^6,INDEX(properties!A$1:CB$87,'Fórmula'!D25,21)),IF(INDEX(properties!A$1:CB$87,'Fórmula'!F25,21)=0,10^6,INDEX(properties!A$1:CB$87,'Fórmula'!F25,21)),IF(INDEX(properties!A$1:CB$87,'Fórmula'!H25,21)=0,10^6,INDEX(properties!A$1:CB$87,'Fórmula'!H25,21)),IF(INDEX(properties!A$1:CB$87,'Fórmula'!J25,21)=0,10^6,INDEX(properties!A$1:CB$87,'Fórmula'!J25,21)))</f>
        <v>1</v>
      </c>
      <c r="CA25" s="113">
        <f t="shared" si="13"/>
        <v>5</v>
      </c>
      <c r="CB25" s="114">
        <f t="array" ref="CB25">(('Fórmula'!C25)/('Fórmula'!C25+'Fórmula'!E25+'Fórmula'!G25+'Fórmula'!I25+'Fórmula'!K25))*(INDEX(properties!A$1:CB$87,'Fórmula'!B25,23))+(('Fórmula'!E25)/('Fórmula'!C25+'Fórmula'!E25+'Fórmula'!G25+'Fórmula'!I25+'Fórmula'!K25))*(INDEX(properties!A$1:CB$87,'Fórmula'!D25,23))+(('Fórmula'!G25)/('Fórmula'!C25+'Fórmula'!E25+'Fórmula'!G25+'Fórmula'!I25+'Fórmula'!K25))*(INDEX(properties!A$1:CB$87,'Fórmula'!F25,23))+(('Fórmula'!I25)/('Fórmula'!C25+'Fórmula'!E25+'Fórmula'!G25+'Fórmula'!I25+'Fórmula'!K25))*(INDEX(properties!A$1:CB$87,'Fórmula'!H25,23))+(('Fórmula'!K25)/('Fórmula'!C25+'Fórmula'!E25+'Fórmula'!G25+'Fórmula'!I25+'Fórmula'!K25))*(INDEX(properties!A$1:CB$87,'Fórmula'!J25,23))</f>
        <v>1.298461538</v>
      </c>
      <c r="CC25" s="114">
        <f t="array" ref="CC25">'Fórmula'!C25*(INDEX(properties!A$1:CB$87,'Fórmula'!B25,23))+'Fórmula'!E25*(INDEX(properties!A$1:CB$87,'Fórmula'!D25,23))+'Fórmula'!G25*(INDEX(properties!A$1:CB$87,'Fórmula'!F25,23))+'Fórmula'!I25*(INDEX(properties!A$1:CB$87,'Fórmula'!H25,23))+'Fórmula'!K25*(INDEX(properties!A$1:CB$87,'Fórmula'!J25,23))</f>
        <v>16.88</v>
      </c>
      <c r="CD25" s="114">
        <f t="array" ref="CD25">VARP(IF(INDEX(properties!A$1:CB$87,'Fórmula'!B25,23)&lt;&gt;"",INDEX(properties!A$1:CB$87,'Fórmula'!B25,23)),IF(INDEX(properties!A$1:CB$87,'Fórmula'!D25,23)&lt;&gt;"",INDEX(properties!A$1:CB$87,'Fórmula'!D25,23)),IF(INDEX(properties!A$1:CB$87,'Fórmula'!F25,23)&lt;&gt;"",INDEX(properties!A$1:CB$87,'Fórmula'!F25,23)),IF(INDEX(properties!A$1:CB$87,'Fórmula'!H25,23)&lt;&gt;"",INDEX(properties!A$1:CB$87,'Fórmula'!H25,23)),IF(INDEX(properties!A$1:CB$87,'Fórmula'!J25,23)&lt;&gt;"",INDEX(properties!A$1:CB$87,'Fórmula'!J25,23)))</f>
        <v>2.978176</v>
      </c>
      <c r="CE25" s="114">
        <f t="array" ref="CE25">MAX(INDEX(properties!A$1:CB$87,'Fórmula'!B25,23),INDEX(properties!A$1:CB$87,'Fórmula'!D25,23),INDEX(properties!A$1:CB$87,'Fórmula'!F25,23),INDEX(properties!A$1:CB$87,'Fórmula'!H25,23),INDEX(properties!A$1:CB$87,'Fórmula'!J25,23))</f>
        <v>4.44</v>
      </c>
      <c r="CF25" s="114">
        <f t="array" ref="CF25">MIN(IF('Fórmula'!B25=87,10^6,INDEX(properties!A$1:CB$87,'Fórmula'!B25,23)),IF(('Fórmula'!D25)=87,10^6,INDEX(properties!A$1:CB$87,'Fórmula'!D25,23)),IF(('Fórmula'!F25)=87,10^6,INDEX(properties!A$1:CB$87,'Fórmula'!F25,23)),IF(('Fórmula'!H25)=87,10^6,INDEX(properties!A$1:CB$87,'Fórmula'!H25,23)),IF('Fórmula'!J25=87,10^6,INDEX(properties!A$1:CB$87,'Fórmula'!J25,23)))</f>
        <v>0</v>
      </c>
      <c r="CG25" s="114">
        <f t="shared" si="14"/>
        <v>4.44</v>
      </c>
      <c r="CH25" s="115">
        <f t="array" ref="CH25">(('Fórmula'!C25)/('Fórmula'!C25+'Fórmula'!E25+'Fórmula'!G25+'Fórmula'!I25+'Fórmula'!K25))*(INDEX(properties!A$1:CB$87,'Fórmula'!B25,26))+(('Fórmula'!E25)/('Fórmula'!C25+'Fórmula'!E25+'Fórmula'!G25+'Fórmula'!I25+'Fórmula'!K25))*(INDEX(properties!A$1:CB$87,'Fórmula'!D25,26))+(('Fórmula'!G25)/('Fórmula'!C25+'Fórmula'!E25+'Fórmula'!G25+'Fórmula'!I25+'Fórmula'!K25))*(INDEX(properties!A$1:CB$87,'Fórmula'!F25,26))+(('Fórmula'!I25)/('Fórmula'!C25+'Fórmula'!E25+'Fórmula'!G25+'Fórmula'!I25+'Fórmula'!K25))*(INDEX(properties!A$1:CB$87,'Fórmula'!H25,26))+(('Fórmula'!K25)/('Fórmula'!C25+'Fórmula'!E25+'Fórmula'!G25+'Fórmula'!I25+'Fórmula'!K25))*(INDEX(properties!A$1:CB$87,'Fórmula'!J25,26))</f>
        <v>11.87703846</v>
      </c>
      <c r="CI25" s="115">
        <f t="array" ref="CI25">'Fórmula'!C25*(INDEX(properties!A$1:CB$87,'Fórmula'!B25,26))+'Fórmula'!E25*(INDEX(properties!A$1:CB$87,'Fórmula'!D25,26))+'Fórmula'!G25*(INDEX(properties!A$1:CB$87,'Fórmula'!F25,26))+'Fórmula'!I25*(INDEX(properties!A$1:CB$87,'Fórmula'!H25,26))+'Fórmula'!K25*(INDEX(properties!A$1:CB$87,'Fórmula'!J25,26))</f>
        <v>154.4015</v>
      </c>
      <c r="CJ25" s="115">
        <f t="array" ref="CJ25">VARP(IF(INDEX(properties!A$1:CB$87,'Fórmula'!B25,26)&lt;&gt;"",INDEX(properties!A$1:CB$87,'Fórmula'!B25,26)),IF(INDEX(properties!A$1:CB$87,'Fórmula'!D25,26)&lt;&gt;"",INDEX(properties!A$1:CB$87,'Fórmula'!D25,26)),IF(INDEX(properties!A$1:CB$87,'Fórmula'!F25,26)&lt;&gt;"",INDEX(properties!A$1:CB$87,'Fórmula'!F25,26)),IF(INDEX(properties!A$1:CB$87,'Fórmula'!H25,26)&lt;&gt;"",INDEX(properties!A$1:CB$87,'Fórmula'!H25,26)),IF(INDEX(properties!A$1:CB$87,'Fórmula'!J25,26)&lt;&gt;"",INDEX(properties!A$1:CB$87,'Fórmula'!J25,26)))</f>
        <v>21.77480894</v>
      </c>
      <c r="CK25" s="116">
        <f t="array" ref="CK25">MAX(INDEX(properties!A$1:CB$87,'Fórmula'!B25,26),INDEX(properties!A$1:CB$87,'Fórmula'!D25,26),INDEX(properties!A$1:CB$87,'Fórmula'!F25,26),INDEX(properties!A$1:CB$87,'Fórmula'!H25,26),INDEX(properties!A$1:CB$87,'Fórmula'!J25,26))</f>
        <v>13.6181</v>
      </c>
      <c r="CL25" s="116">
        <f t="array" ref="CL25">MIN(IF(INDEX(properties!A$1:CB$87,'Fórmula'!B25,26)=0,10^6,INDEX(properties!A$1:CB$87,'Fórmula'!B25,26)),IF(INDEX(properties!A$1:CB$87,'Fórmula'!D25,26)=0,10^6,INDEX(properties!A$1:CB$87,'Fórmula'!D25,26)),IF(INDEX(properties!A$1:CB$87,'Fórmula'!F25,26)=0,10^6,INDEX(properties!A$1:CB$87,'Fórmula'!F25,26)),IF(INDEX(properties!A$1:CB$87,'Fórmula'!H25,26)=0,10^6,INDEX(properties!A$1:CB$87,'Fórmula'!H25,26)),IF(INDEX(properties!A$1:CB$87,'Fórmula'!J25,26)=0,10^6,INDEX(properties!A$1:CB$87,'Fórmula'!J25,26)))</f>
        <v>5.6949</v>
      </c>
      <c r="CM25" s="115">
        <f t="shared" si="15"/>
        <v>7.9232</v>
      </c>
      <c r="CN25" s="117">
        <f t="array" ref="CN25">(('Fórmula'!C25)/('Fórmula'!C25+'Fórmula'!E25+'Fórmula'!G25+'Fórmula'!I25+'Fórmula'!K25))*(INDEX(properties!A$1:CB$87,'Fórmula'!B25,30))+(('Fórmula'!E25)/('Fórmula'!C25+'Fórmula'!E25+'Fórmula'!G25+'Fórmula'!I25+'Fórmula'!K25))*(INDEX(properties!A$1:CB$87,'Fórmula'!D25,30))+(('Fórmula'!G25)/('Fórmula'!C25+'Fórmula'!E25+'Fórmula'!G25+'Fórmula'!I25+'Fórmula'!K25))*(INDEX(properties!A$1:CB$87,'Fórmula'!F25,30))+(('Fórmula'!I25)/('Fórmula'!C25+'Fórmula'!E25+'Fórmula'!G25+'Fórmula'!I25+'Fórmula'!K25))*(INDEX(properties!A$1:CB$87,'Fórmula'!H25,30))+(('Fórmula'!K25)/('Fórmula'!C25+'Fórmula'!E25+'Fórmula'!G25+'Fórmula'!I25+'Fórmula'!K25))*(INDEX(properties!A$1:CB$87,'Fórmula'!J25,30))</f>
        <v>2.780769231</v>
      </c>
      <c r="CO25" s="117">
        <f t="array" ref="CO25">'Fórmula'!C25*(INDEX(properties!A$1:CB$87,'Fórmula'!B25,30))+'Fórmula'!E25*(INDEX(properties!A$1:CB$87,'Fórmula'!D25,30))+'Fórmula'!G25*(INDEX(properties!A$1:CB$87,'Fórmula'!F25,30))+'Fórmula'!I25*(INDEX(properties!A$1:CB$87,'Fórmula'!H25,30))+'Fórmula'!K25*(INDEX(properties!A$1:CB$87,'Fórmula'!J25,30))</f>
        <v>36.15</v>
      </c>
      <c r="CP25" s="117">
        <f t="array" ref="CP25">VARP(IF(INDEX(properties!A$1:CB$87,'Fórmula'!B25,30)&lt;&gt;"",INDEX(properties!A$1:CB$87,'Fórmula'!B25,30)),IF(INDEX(properties!A$1:CB$87,'Fórmula'!D25,30)&lt;&gt;"",INDEX(properties!A$1:CB$87,'Fórmula'!D25,30)),IF(INDEX(properties!A$1:CB$87,'Fórmula'!F25,30)&lt;&gt;"",INDEX(properties!A$1:CB$87,'Fórmula'!F25,30)),IF(INDEX(properties!A$1:CB$87,'Fórmula'!H25,30)&lt;&gt;"",INDEX(properties!A$1:CB$87,'Fórmula'!H25,30)),IF(INDEX(properties!A$1:CB$87,'Fórmula'!J25,30)&lt;&gt;"",INDEX(properties!A$1:CB$87,'Fórmula'!J25,30)))</f>
        <v>1.341624</v>
      </c>
      <c r="CQ25" s="117">
        <f t="array" ref="CQ25">MAX(INDEX(properties!A$1:CB$87,'Fórmula'!B25,30),INDEX(properties!A$1:CB$87,'Fórmula'!D25,30),INDEX(properties!A$1:CB$87,'Fórmula'!F25,30),INDEX(properties!A$1:CB$87,'Fórmula'!H25,30),INDEX(properties!A$1:CB$87,'Fórmula'!J25,30))</f>
        <v>3.44</v>
      </c>
      <c r="CR25" s="117">
        <f t="array" ref="CR25">MIN(IF(INDEX(properties!A$1:CB$87,'Fórmula'!B25,30)=0,10^6,INDEX(properties!A$1:CB$87,'Fórmula'!B25,30)),IF(INDEX(properties!A$1:CB$87,'Fórmula'!D25,30)=0,10^6,INDEX(properties!A$1:CB$87,'Fórmula'!D25,30)),IF(INDEX(properties!A$1:CB$87,'Fórmula'!F25,30)=0,10^6,INDEX(properties!A$1:CB$87,'Fórmula'!F25,30)),IF(INDEX(properties!A$1:CB$87,'Fórmula'!H25,30)=0,10^6,INDEX(properties!A$1:CB$87,'Fórmula'!H25,30)),IF(INDEX(properties!A$1:CB$87,'Fórmula'!J25,30)=0,10^6,INDEX(properties!A$1:CB$87,'Fórmula'!J25,30)))</f>
        <v>0.95</v>
      </c>
      <c r="CS25" s="117">
        <f t="shared" si="16"/>
        <v>2.49</v>
      </c>
      <c r="CT25" s="118">
        <f t="array" ref="CT25">(('Fórmula'!C25)/('Fórmula'!C25+'Fórmula'!E25+'Fórmula'!G25+'Fórmula'!I25+'Fórmula'!K25))*(INDEX(properties!A$1:CB$87,'Fórmula'!B25,31))+(('Fórmula'!E25)/('Fórmula'!C25+'Fórmula'!E25+'Fórmula'!G25+'Fórmula'!I25+'Fórmula'!K25))*(INDEX(properties!A$1:CB$87,'Fórmula'!D25,31))+(('Fórmula'!G25)/('Fórmula'!C25+'Fórmula'!E25+'Fórmula'!G25+'Fórmula'!I25+'Fórmula'!K25))*(INDEX(properties!A$1:CB$87,'Fórmula'!F25,31))+(('Fórmula'!I25)/('Fórmula'!C25+'Fórmula'!E25+'Fórmula'!G25+'Fórmula'!I25+'Fórmula'!K25))*(INDEX(properties!A$1:CB$87,'Fórmula'!H25,31))+(('Fórmula'!K25)/('Fórmula'!C25+'Fórmula'!E25+'Fórmula'!G25+'Fórmula'!I25+'Fórmula'!K25))*(INDEX(properties!A$1:CB$87,'Fórmula'!J25,31))</f>
        <v>2.708461538</v>
      </c>
      <c r="CU25" s="118">
        <f t="array" ref="CU25">'Fórmula'!C25*(INDEX(properties!A$1:CB$87,'Fórmula'!B25,31))+'Fórmula'!E25*(INDEX(properties!A$1:CB$87,'Fórmula'!D25,31))+'Fórmula'!G25*(INDEX(properties!A$1:CB$87,'Fórmula'!F25,31))+'Fórmula'!I25*(INDEX(properties!A$1:CB$87,'Fórmula'!H25,31))+'Fórmula'!K25*(INDEX(properties!A$1:CB$87,'Fórmula'!J25,31))</f>
        <v>35.21</v>
      </c>
      <c r="CV25" s="118">
        <f t="array" ref="CV25">VARP(IF(INDEX(properties!A$1:CB$87,'Fórmula'!B25,31)&lt;&gt;"",INDEX(properties!A$1:CB$87,'Fórmula'!B25,31)),IF(INDEX(properties!A$1:CB$87,'Fórmula'!D25,31)&lt;&gt;"",INDEX(properties!A$1:CB$87,'Fórmula'!D25,31)),IF(INDEX(properties!A$1:CB$87,'Fórmula'!F25,31)&lt;&gt;"",INDEX(properties!A$1:CB$87,'Fórmula'!F25,31)),IF(INDEX(properties!A$1:CB$87,'Fórmula'!H25,31)&lt;&gt;"",INDEX(properties!A$1:CB$87,'Fórmula'!H25,31)),IF(INDEX(properties!A$1:CB$87,'Fórmula'!J25,31)&lt;&gt;"",INDEX(properties!A$1:CB$87,'Fórmula'!J25,31)))</f>
        <v>1.254896</v>
      </c>
      <c r="CW25" s="118">
        <f t="array" ref="CW25">MAX(INDEX(properties!A$1:CB$87,'Fórmula'!B25,31),INDEX(properties!A$1:CB$87,'Fórmula'!D25,31),INDEX(properties!A$1:CB$87,'Fórmula'!F25,31),INDEX(properties!A$1:CB$87,'Fórmula'!H25,31),INDEX(properties!A$1:CB$87,'Fórmula'!J25,31))</f>
        <v>3.32</v>
      </c>
      <c r="CX25" s="118">
        <f t="array" ref="CX25">MIN(IF(INDEX(properties!A$1:CB$87,'Fórmula'!B25,31)=0,10^6,INDEX(properties!A$1:CB$87,'Fórmula'!B25,31)),IF(INDEX(properties!A$1:CB$87,'Fórmula'!D25,31)=0,10^6,INDEX(properties!A$1:CB$87,'Fórmula'!D25,31)),IF(INDEX(properties!A$1:CB$87,'Fórmula'!F25,31)=0,10^6,INDEX(properties!A$1:CB$87,'Fórmula'!F25,31)),IF(INDEX(properties!A$1:CB$87,'Fórmula'!H25,31)=0,10^6,INDEX(properties!A$1:CB$87,'Fórmula'!H25,31)),IF(INDEX(properties!A$1:CB$87,'Fórmula'!J25,31)=0,10^6,INDEX(properties!A$1:CB$87,'Fórmula'!J25,31)))</f>
        <v>1.13</v>
      </c>
      <c r="CY25" s="118">
        <f t="shared" si="17"/>
        <v>2.19</v>
      </c>
      <c r="CZ25" s="119">
        <f t="array" ref="CZ25">(('Fórmula'!C25)/('Fórmula'!C25+'Fórmula'!E25+'Fórmula'!G25+'Fórmula'!I25+'Fórmula'!K25))*(INDEX(properties!A$1:CB$87,'Fórmula'!B25,32))+(('Fórmula'!E25)/('Fórmula'!C25+'Fórmula'!E25+'Fórmula'!G25+'Fórmula'!I25+'Fórmula'!K25))*(INDEX(properties!A$1:CB$87,'Fórmula'!D25,32))+(('Fórmula'!G25)/('Fórmula'!C25+'Fórmula'!E25+'Fórmula'!G25+'Fórmula'!I25+'Fórmula'!K25))*(INDEX(properties!A$1:CB$87,'Fórmula'!F25,32))+(('Fórmula'!I25)/('Fórmula'!C25+'Fórmula'!E25+'Fórmula'!G25+'Fórmula'!I25+'Fórmula'!K25))*(INDEX(properties!A$1:CB$87,'Fórmula'!H25,32))+(('Fórmula'!K25)/('Fórmula'!C25+'Fórmula'!E25+'Fórmula'!G25+'Fórmula'!I25+'Fórmula'!K25))*(INDEX(properties!A$1:CB$87,'Fórmula'!J25,32))</f>
        <v>6.343076923</v>
      </c>
      <c r="DA25" s="119">
        <f t="array" ref="DA25">'Fórmula'!C25*(INDEX(properties!A$1:CB$87,'Fórmula'!B25,32))+'Fórmula'!E25*(INDEX(properties!A$1:CB$87,'Fórmula'!D25,32))+'Fórmula'!G25*(INDEX(properties!A$1:CB$87,'Fórmula'!F25,32))+'Fórmula'!I25*(INDEX(properties!A$1:CB$87,'Fórmula'!H25,32))+'Fórmula'!K25*(INDEX(properties!A$1:CB$87,'Fórmula'!J25,32))</f>
        <v>82.46</v>
      </c>
      <c r="DB25" s="119">
        <f t="array" ref="DB25">VARP(IF(INDEX(properties!A$1:CB$87,'Fórmula'!B25,32)&lt;&gt;"",INDEX(properties!A$1:CB$87,'Fórmula'!B25,32)),IF(INDEX(properties!A$1:CB$87,'Fórmula'!D25,32)&lt;&gt;"",INDEX(properties!A$1:CB$87,'Fórmula'!D25,32)),IF(INDEX(properties!A$1:CB$87,'Fórmula'!F25,32)&lt;&gt;"",INDEX(properties!A$1:CB$87,'Fórmula'!F25,32)),IF(INDEX(properties!A$1:CB$87,'Fórmula'!H25,32)&lt;&gt;"",INDEX(properties!A$1:CB$87,'Fórmula'!H25,32)),IF(INDEX(properties!A$1:CB$87,'Fórmula'!J25,32)&lt;&gt;"",INDEX(properties!A$1:CB$87,'Fórmula'!J25,32)))</f>
        <v>7.065616</v>
      </c>
      <c r="DC25" s="119">
        <f t="array" ref="DC25">MAX(INDEX(properties!A$1:CB$87,'Fórmula'!B25,32),INDEX(properties!A$1:CB$87,'Fórmula'!D25,32),INDEX(properties!A$1:CB$87,'Fórmula'!F25,32),INDEX(properties!A$1:CB$87,'Fórmula'!H25,32),INDEX(properties!A$1:CB$87,'Fórmula'!J25,32))</f>
        <v>7.54</v>
      </c>
      <c r="DD25" s="119">
        <f t="array" ref="DD25">MIN(IF(INDEX(properties!A$1:CB$87,'Fórmula'!B25,32)=0,10^6,INDEX(properties!A$1:CB$87,'Fórmula'!B25,32)),IF(INDEX(properties!A$1:CB$87,'Fórmula'!D25,32)=0,10^6,INDEX(properties!A$1:CB$87,'Fórmula'!D25,32)),IF(INDEX(properties!A$1:CB$87,'Fórmula'!F25,32)=0,10^6,INDEX(properties!A$1:CB$87,'Fórmula'!F25,32)),IF(INDEX(properties!A$1:CB$87,'Fórmula'!H25,32)=0,10^6,INDEX(properties!A$1:CB$87,'Fórmula'!H25,32)),IF(INDEX(properties!A$1:CB$87,'Fórmula'!J25,32)=0,10^6,INDEX(properties!A$1:CB$87,'Fórmula'!J25,32)))</f>
        <v>2</v>
      </c>
      <c r="DE25" s="119">
        <f t="shared" si="18"/>
        <v>5.54</v>
      </c>
      <c r="DF25" s="104">
        <f t="array" ref="DF25">(('Fórmula'!C25)/('Fórmula'!C25+'Fórmula'!E25+'Fórmula'!G25+'Fórmula'!I25+'Fórmula'!K25))*(INDEX(properties!A$1:CB$87,'Fórmula'!B25,34))+(('Fórmula'!E25)/('Fórmula'!C25+'Fórmula'!E25+'Fórmula'!G25+'Fórmula'!I25+'Fórmula'!K25))*(INDEX(properties!A$1:CB$87,'Fórmula'!D25,34))+(('Fórmula'!G25)/('Fórmula'!C25+'Fórmula'!E25+'Fórmula'!G25+'Fórmula'!I25+'Fórmula'!K25))*(INDEX(properties!A$1:CB$87,'Fórmula'!F25,34))+(('Fórmula'!I25)/('Fórmula'!C25+'Fórmula'!E25+'Fórmula'!G25+'Fórmula'!I25+'Fórmula'!K25))*(INDEX(properties!A$1:CB$87,'Fórmula'!H25,34))+(('Fórmula'!K25)/('Fórmula'!C25+'Fórmula'!E25+'Fórmula'!G25+'Fórmula'!I25+'Fórmula'!K25))*(INDEX(properties!A$1:CB$87,'Fórmula'!J25,34))</f>
        <v>2.886846154</v>
      </c>
      <c r="DG25" s="104">
        <f t="array" ref="DG25">'Fórmula'!C25*(INDEX(properties!A$1:CB$87,'Fórmula'!B25,34))+'Fórmula'!E25*(INDEX(properties!A$1:CB$87,'Fórmula'!D25,34))+'Fórmula'!G25*(INDEX(properties!A$1:CB$87,'Fórmula'!F25,34))+'Fórmula'!I25*(INDEX(properties!A$1:CB$87,'Fórmula'!H25,34))+'Fórmula'!K25*(INDEX(properties!A$1:CB$87,'Fórmula'!J25,34))</f>
        <v>37.529</v>
      </c>
      <c r="DH25" s="104">
        <f t="array" ref="DH25">VARP(IF(INDEX(properties!A$1:CB$87,'Fórmula'!B25,34)&lt;&gt;"",INDEX(properties!A$1:CB$87,'Fórmula'!B25,34)),IF(INDEX(properties!A$1:CB$87,'Fórmula'!D25,34)&lt;&gt;"",INDEX(properties!A$1:CB$87,'Fórmula'!D25,34)),IF(INDEX(properties!A$1:CB$87,'Fórmula'!F25,34)&lt;&gt;"",INDEX(properties!A$1:CB$87,'Fórmula'!F25,34)),IF(INDEX(properties!A$1:CB$87,'Fórmula'!H25,34)&lt;&gt;"",INDEX(properties!A$1:CB$87,'Fórmula'!H25,34)),IF(INDEX(properties!A$1:CB$87,'Fórmula'!J25,34)&lt;&gt;"",INDEX(properties!A$1:CB$87,'Fórmula'!J25,34)))</f>
        <v>1.47955336</v>
      </c>
      <c r="DI25" s="104">
        <f t="array" ref="DI25">MAX(INDEX(properties!A$1:CB$87,'Fórmula'!B25,34),INDEX(properties!A$1:CB$87,'Fórmula'!D25,34),INDEX(properties!A$1:CB$87,'Fórmula'!F25,34),INDEX(properties!A$1:CB$87,'Fórmula'!H25,34),INDEX(properties!A$1:CB$87,'Fórmula'!J25,34))</f>
        <v>3.61</v>
      </c>
      <c r="DJ25" s="104">
        <f t="array" ref="DJ25">MIN(IF(INDEX(properties!A$1:CB$87,'Fórmula'!B25,34)=0,10^6,INDEX(properties!A$1:CB$87,'Fórmula'!B25,34)),IF(INDEX(properties!A$1:CB$87,'Fórmula'!D25,34)=0,10^6,INDEX(properties!A$1:CB$87,'Fórmula'!D25,34)),IF(INDEX(properties!A$1:CB$87,'Fórmula'!F25,34)=0,10^6,INDEX(properties!A$1:CB$87,'Fórmula'!F25,34)),IF(INDEX(properties!A$1:CB$87,'Fórmula'!H25,34)=0,10^6,INDEX(properties!A$1:CB$87,'Fórmula'!H25,34)),IF(INDEX(properties!A$1:CB$87,'Fórmula'!J25,34)=0,10^6,INDEX(properties!A$1:CB$87,'Fórmula'!J25,34)))</f>
        <v>0.963</v>
      </c>
      <c r="DK25" s="104">
        <f t="shared" si="19"/>
        <v>2.647</v>
      </c>
      <c r="DL25" s="105">
        <f t="array" ref="DL25">(('Fórmula'!C25)/('Fórmula'!C25+'Fórmula'!E25+'Fórmula'!G25+'Fórmula'!I25+'Fórmula'!K25))*(INDEX(properties!A$1:CB$87,'Fórmula'!B25,37))+(('Fórmula'!E25)/('Fórmula'!C25+'Fórmula'!E25+'Fórmula'!G25+'Fórmula'!I25+'Fórmula'!K25))*(INDEX(properties!A$1:CB$87,'Fórmula'!D25,37))+(('Fórmula'!G25)/('Fórmula'!C25+'Fórmula'!E25+'Fórmula'!G25+'Fórmula'!I25+'Fórmula'!K25))*(INDEX(properties!A$1:CB$87,'Fórmula'!F25,37))+(('Fórmula'!I25)/('Fórmula'!C25+'Fórmula'!E25+'Fórmula'!G25+'Fórmula'!I25+'Fórmula'!K25))*(INDEX(properties!A$1:CB$87,'Fórmula'!H25,37))+(('Fórmula'!K25)/('Fórmula'!C25+'Fórmula'!E25+'Fórmula'!G25+'Fórmula'!I25+'Fórmula'!K25))*(INDEX(properties!A$1:CB$87,'Fórmula'!J25,37))</f>
        <v>2.707692308</v>
      </c>
      <c r="DM25" s="105">
        <f t="array" ref="DM25">'Fórmula'!C25*(INDEX(properties!A$1:CB$87,'Fórmula'!B25,37))+'Fórmula'!E25*(INDEX(properties!A$1:CB$87,'Fórmula'!D25,37))+'Fórmula'!G25*(INDEX(properties!A$1:CB$87,'Fórmula'!F25,37))+'Fórmula'!I25*(INDEX(properties!A$1:CB$87,'Fórmula'!H25,37))+'Fórmula'!K25*(INDEX(properties!A$1:CB$87,'Fórmula'!J25,37))</f>
        <v>35.2</v>
      </c>
      <c r="DN25" s="105">
        <f t="array" ref="DN25">VARP(IF(INDEX(properties!A$1:CB$87,'Fórmula'!B25,37)&lt;&gt;"",INDEX(properties!A$1:CB$87,'Fórmula'!B25,37)),IF(INDEX(properties!A$1:CB$87,'Fórmula'!D25,37)&lt;&gt;"",INDEX(properties!A$1:CB$87,'Fórmula'!D25,37)),IF(INDEX(properties!A$1:CB$87,'Fórmula'!F25,37)&lt;&gt;"",INDEX(properties!A$1:CB$87,'Fórmula'!F25,37)),IF(INDEX(properties!A$1:CB$87,'Fórmula'!H25,37)&lt;&gt;"",INDEX(properties!A$1:CB$87,'Fórmula'!H25,37)),IF(INDEX(properties!A$1:CB$87,'Fórmula'!J25,37)&lt;&gt;"",INDEX(properties!A$1:CB$87,'Fórmula'!J25,37)))</f>
        <v>1.348</v>
      </c>
      <c r="DO25" s="105">
        <f t="array" ref="DO25">MAX(INDEX(properties!A$1:CB$87,'Fórmula'!B25,37),INDEX(properties!A$1:CB$87,'Fórmula'!D25,37),INDEX(properties!A$1:CB$87,'Fórmula'!F25,37),INDEX(properties!A$1:CB$87,'Fórmula'!H25,37),INDEX(properties!A$1:CB$87,'Fórmula'!J25,37))</f>
        <v>3.45</v>
      </c>
      <c r="DP25" s="105">
        <f t="array" ref="DP25">MIN(IF(INDEX(properties!A$1:CB$87,'Fórmula'!B25,37)=0,10^6,INDEX(properties!A$1:CB$87,'Fórmula'!B25,37)),IF(INDEX(properties!A$1:CB$87,'Fórmula'!D25,37)=0,10^6,INDEX(properties!A$1:CB$87,'Fórmula'!D25,37)),IF(INDEX(properties!A$1:CB$87,'Fórmula'!F25,37)=0,10^6,INDEX(properties!A$1:CB$87,'Fórmula'!F25,37)),IF(INDEX(properties!A$1:CB$87,'Fórmula'!H25,37)=0,10^6,INDEX(properties!A$1:CB$87,'Fórmula'!H25,37)),IF(INDEX(properties!A$1:CB$87,'Fórmula'!J25,37)=0,10^6,INDEX(properties!A$1:CB$87,'Fórmula'!J25,37)))</f>
        <v>1</v>
      </c>
      <c r="DQ25" s="105">
        <f t="shared" si="20"/>
        <v>2.45</v>
      </c>
      <c r="DR25" s="109">
        <f t="array" ref="DR25">(('Fórmula'!C25)/('Fórmula'!C25+'Fórmula'!E25+'Fórmula'!G25+'Fórmula'!I25+'Fórmula'!K25))*(INDEX(properties!A$1:CB$87,'Fórmula'!B25,39))+(('Fórmula'!E25)/('Fórmula'!C25+'Fórmula'!E25+'Fórmula'!G25+'Fórmula'!I25+'Fórmula'!K25))*(INDEX(properties!A$1:CB$87,'Fórmula'!D25,39))+(('Fórmula'!G25)/('Fórmula'!C25+'Fórmula'!E25+'Fórmula'!G25+'Fórmula'!I25+'Fórmula'!K25))*(INDEX(properties!A$1:CB$87,'Fórmula'!F25,39))+(('Fórmula'!I25)/('Fórmula'!C25+'Fórmula'!E25+'Fórmula'!G25+'Fórmula'!I25+'Fórmula'!K25))*(INDEX(properties!A$1:CB$87,'Fórmula'!H25,39))+(('Fórmula'!K25)/('Fórmula'!C25+'Fórmula'!E25+'Fórmula'!G25+'Fórmula'!I25+'Fórmula'!K25))*(INDEX(properties!A$1:CB$87,'Fórmula'!J25,39))</f>
        <v>0.8330769231</v>
      </c>
      <c r="DS25" s="109">
        <f t="array" ref="DS25">'Fórmula'!C25*(INDEX(properties!A$1:CB$87,'Fórmula'!B25,39))+'Fórmula'!E25*(INDEX(properties!A$1:CB$87,'Fórmula'!D25,39))+'Fórmula'!G25*(INDEX(properties!A$1:CB$87,'Fórmula'!F25,39))+'Fórmula'!I25*(INDEX(properties!A$1:CB$87,'Fórmula'!H25,39))+'Fórmula'!K25*(INDEX(properties!A$1:CB$87,'Fórmula'!J25,39))</f>
        <v>10.83</v>
      </c>
      <c r="DT25" s="109">
        <f t="array" ref="DT25">VARP(IF(INDEX(properties!A$1:CB$87,'Fórmula'!B25,39)&lt;&gt;"",INDEX(properties!A$1:CB$87,'Fórmula'!B25,39)),IF(INDEX(properties!A$1:CB$87,'Fórmula'!D25,39)&lt;&gt;"",INDEX(properties!A$1:CB$87,'Fórmula'!D25,39)),IF(INDEX(properties!A$1:CB$87,'Fórmula'!F25,39)&lt;&gt;"",INDEX(properties!A$1:CB$87,'Fórmula'!F25,39)),IF(INDEX(properties!A$1:CB$87,'Fórmula'!H25,39)&lt;&gt;"",INDEX(properties!A$1:CB$87,'Fórmula'!H25,39)),IF(INDEX(properties!A$1:CB$87,'Fórmula'!J25,39)&lt;&gt;"",INDEX(properties!A$1:CB$87,'Fórmula'!J25,39)))</f>
        <v>0.572464</v>
      </c>
      <c r="DU25" s="120">
        <f t="array" ref="DU25">MAX(INDEX(properties!A$1:CB$87,'Fórmula'!B25,39),INDEX(properties!A$1:CB$87,'Fórmula'!D25,39),INDEX(properties!A$1:CB$87,'Fórmula'!F25,39),INDEX(properties!A$1:CB$87,'Fórmula'!H25,39),INDEX(properties!A$1:CB$87,'Fórmula'!J25,39))</f>
        <v>2.19</v>
      </c>
      <c r="DV25" s="120">
        <f t="array" ref="DV25">MIN(IF(INDEX(properties!A$1:CB$87,'Fórmula'!B25,39)=0,10^6,INDEX(properties!A$1:CB$87,'Fórmula'!B25,39)),IF(INDEX(properties!A$1:CB$87,'Fórmula'!D25,39)=0,10^6,INDEX(properties!A$1:CB$87,'Fórmula'!D25,39)),IF(INDEX(properties!A$1:CB$87,'Fórmula'!F25,39)=0,10^6,INDEX(properties!A$1:CB$87,'Fórmula'!F25,39)),IF(INDEX(properties!A$1:CB$87,'Fórmula'!H25,39)=0,10^6,INDEX(properties!A$1:CB$87,'Fórmula'!H25,39)),IF(INDEX(properties!A$1:CB$87,'Fórmula'!J25,39)=0,10^6,INDEX(properties!A$1:CB$87,'Fórmula'!J25,39)))</f>
        <v>0.48</v>
      </c>
      <c r="DW25" s="109">
        <f t="shared" si="21"/>
        <v>1.71</v>
      </c>
      <c r="DX25" s="110">
        <f t="array" ref="DX25">(('Fórmula'!C25)/('Fórmula'!C25+'Fórmula'!E25+'Fórmula'!G25+'Fórmula'!I25+'Fórmula'!K25))*(INDEX(properties!A$1:CB$87,'Fórmula'!B25,40))+(('Fórmula'!E25)/('Fórmula'!C25+'Fórmula'!E25+'Fórmula'!G25+'Fórmula'!I25+'Fórmula'!K25))*(INDEX(properties!A$1:CB$87,'Fórmula'!D25,40))+(('Fórmula'!G25)/('Fórmula'!C25+'Fórmula'!E25+'Fórmula'!G25+'Fórmula'!I25+'Fórmula'!K25))*(INDEX(properties!A$1:CB$87,'Fórmula'!F25,40))+(('Fórmula'!I25)/('Fórmula'!C25+'Fórmula'!E25+'Fórmula'!G25+'Fórmula'!I25+'Fórmula'!K25))*(INDEX(properties!A$1:CB$87,'Fórmula'!H25,40))+(('Fórmula'!K25)/('Fórmula'!C25+'Fórmula'!E25+'Fórmula'!G25+'Fórmula'!I25+'Fórmula'!K25))*(INDEX(properties!A$1:CB$87,'Fórmula'!J25,40))</f>
        <v>0.9615384615</v>
      </c>
      <c r="DY25" s="110">
        <f t="array" ref="DY25">'Fórmula'!C25*(INDEX(properties!A$1:CB$87,'Fórmula'!B25,40))+'Fórmula'!E25*(INDEX(properties!A$1:CB$87,'Fórmula'!D25,40))+'Fórmula'!G25*(INDEX(properties!A$1:CB$87,'Fórmula'!F25,40))+'Fórmula'!I25*(INDEX(properties!A$1:CB$87,'Fórmula'!H25,40))+'Fórmula'!K25*(INDEX(properties!A$1:CB$87,'Fórmula'!J25,40))</f>
        <v>12.5</v>
      </c>
      <c r="DZ25" s="110">
        <f t="array" ref="DZ25">VARP(IF(INDEX(properties!A$1:CB$87,'Fórmula'!B25,40)&lt;&gt;"",INDEX(properties!A$1:CB$87,'Fórmula'!B25,40)),IF(INDEX(properties!A$1:CB$87,'Fórmula'!D25,40)&lt;&gt;"",INDEX(properties!A$1:CB$87,'Fórmula'!D25,40)),IF(INDEX(properties!A$1:CB$87,'Fórmula'!F25,40)&lt;&gt;"",INDEX(properties!A$1:CB$87,'Fórmula'!F25,40)),IF(INDEX(properties!A$1:CB$87,'Fórmula'!H25,40)&lt;&gt;"",INDEX(properties!A$1:CB$87,'Fórmula'!H25,40)),IF(INDEX(properties!A$1:CB$87,'Fórmula'!J25,40)&lt;&gt;"",INDEX(properties!A$1:CB$87,'Fórmula'!J25,40)))</f>
        <v>0.403784</v>
      </c>
      <c r="EA25" s="121">
        <f t="array" ref="EA25">MAX(INDEX(properties!A$1:CB$87,'Fórmula'!B25,40),INDEX(properties!A$1:CB$87,'Fórmula'!D25,40),INDEX(properties!A$1:CB$87,'Fórmula'!F25,40),INDEX(properties!A$1:CB$87,'Fórmula'!H25,40),INDEX(properties!A$1:CB$87,'Fórmula'!J25,40))</f>
        <v>1.92</v>
      </c>
      <c r="EB25" s="121">
        <f t="array" ref="EB25">MIN(IF(INDEX(properties!A$1:CB$87,'Fórmula'!B25,40)=0,10^6,INDEX(properties!A$1:CB$87,'Fórmula'!B25,40)),IF(INDEX(properties!A$1:CB$87,'Fórmula'!D25,40)=0,10^6,INDEX(properties!A$1:CB$87,'Fórmula'!D25,40)),IF(INDEX(properties!A$1:CB$87,'Fórmula'!F25,40)=0,10^6,INDEX(properties!A$1:CB$87,'Fórmula'!F25,40)),IF(INDEX(properties!A$1:CB$87,'Fórmula'!H25,40)=0,10^6,INDEX(properties!A$1:CB$87,'Fórmula'!H25,40)),IF(INDEX(properties!A$1:CB$87,'Fórmula'!J25,40)=0,10^6,INDEX(properties!A$1:CB$87,'Fórmula'!J25,40)))</f>
        <v>0.73</v>
      </c>
      <c r="EC25" s="110">
        <f t="shared" si="22"/>
        <v>1.19</v>
      </c>
      <c r="ED25" s="111">
        <f t="array" ref="ED25">(('Fórmula'!C25)/('Fórmula'!C25+'Fórmula'!E25+'Fórmula'!G25+'Fórmula'!I25+'Fórmula'!K25))*(INDEX(properties!A$1:CB$87,'Fórmula'!B25,41))+(('Fórmula'!E25)/('Fórmula'!C25+'Fórmula'!E25+'Fórmula'!G25+'Fórmula'!I25+'Fórmula'!K25))*(INDEX(properties!A$1:CB$87,'Fórmula'!D25,41))+(('Fórmula'!G25)/('Fórmula'!C25+'Fórmula'!E25+'Fórmula'!G25+'Fórmula'!I25+'Fórmula'!K25))*(INDEX(properties!A$1:CB$87,'Fórmula'!F25,41))+(('Fórmula'!I25)/('Fórmula'!C25+'Fórmula'!E25+'Fórmula'!G25+'Fórmula'!I25+'Fórmula'!K25))*(INDEX(properties!A$1:CB$87,'Fórmula'!H25,41))+(('Fórmula'!K25)/('Fórmula'!C25+'Fórmula'!E25+'Fórmula'!G25+'Fórmula'!I25+'Fórmula'!K25))*(INDEX(properties!A$1:CB$87,'Fórmula'!J25,41))</f>
        <v>1.101538462</v>
      </c>
      <c r="EE25" s="111">
        <f t="array" ref="EE25">'Fórmula'!C25*(INDEX(properties!A$1:CB$87,'Fórmula'!B25,41))+'Fórmula'!E25*(INDEX(properties!A$1:CB$87,'Fórmula'!D25,41))+'Fórmula'!G25*(INDEX(properties!A$1:CB$87,'Fórmula'!F25,41))+'Fórmula'!I25*(INDEX(properties!A$1:CB$87,'Fórmula'!H25,41))+'Fórmula'!K25*(INDEX(properties!A$1:CB$87,'Fórmula'!J25,41))</f>
        <v>14.32</v>
      </c>
      <c r="EF25" s="111">
        <f t="array" ref="EF25">VARP(IF(INDEX(properties!A$1:CB$87,'Fórmula'!B25,41)&lt;&gt;"",INDEX(properties!A$1:CB$87,'Fórmula'!B25,41)),IF(INDEX(properties!A$1:CB$87,'Fórmula'!D25,41)&lt;&gt;"",INDEX(properties!A$1:CB$87,'Fórmula'!D25,41)),IF(INDEX(properties!A$1:CB$87,'Fórmula'!F25,41)&lt;&gt;"",INDEX(properties!A$1:CB$87,'Fórmula'!F25,41)),IF(INDEX(properties!A$1:CB$87,'Fórmula'!H25,41)&lt;&gt;"",INDEX(properties!A$1:CB$87,'Fórmula'!H25,41)),IF(INDEX(properties!A$1:CB$87,'Fórmula'!J25,41)&lt;&gt;"",INDEX(properties!A$1:CB$87,'Fórmula'!J25,41)))</f>
        <v>0.235296</v>
      </c>
      <c r="EG25" s="122">
        <f t="array" ref="EG25">MAX(INDEX(properties!A$1:CB$87,'Fórmula'!B25,41),INDEX(properties!A$1:CB$87,'Fórmula'!D25,41),INDEX(properties!A$1:CB$87,'Fórmula'!F25,41),INDEX(properties!A$1:CB$87,'Fórmula'!H25,41),INDEX(properties!A$1:CB$87,'Fórmula'!J25,41))</f>
        <v>1.32</v>
      </c>
      <c r="EH25" s="122">
        <f t="array" ref="EH25">MIN(IF(INDEX(properties!A$1:CB$87,'Fórmula'!B25,41)=0,10^6,INDEX(properties!A$1:CB$87,'Fórmula'!B25,41)),IF(INDEX(properties!A$1:CB$87,'Fórmula'!D25,41)=0,10^6,INDEX(properties!A$1:CB$87,'Fórmula'!D25,41)),IF(INDEX(properties!A$1:CB$87,'Fórmula'!F25,41)=0,10^6,INDEX(properties!A$1:CB$87,'Fórmula'!F25,41)),IF(INDEX(properties!A$1:CB$87,'Fórmula'!H25,41)=0,10^6,INDEX(properties!A$1:CB$87,'Fórmula'!H25,41)),IF(INDEX(properties!A$1:CB$87,'Fórmula'!J25,41)=0,10^6,INDEX(properties!A$1:CB$87,'Fórmula'!J25,41)))</f>
        <v>0.58</v>
      </c>
      <c r="EI25" s="111">
        <f t="shared" si="23"/>
        <v>0.74</v>
      </c>
      <c r="EJ25" s="112">
        <f t="array" ref="EJ25">(('Fórmula'!C25)/('Fórmula'!C25+'Fórmula'!E25+'Fórmula'!G25+'Fórmula'!I25+'Fórmula'!K25))*(INDEX(properties!A$1:CB$87,'Fórmula'!B25,45))+(('Fórmula'!E25)/('Fórmula'!C25+'Fórmula'!E25+'Fórmula'!G25+'Fórmula'!I25+'Fórmula'!K25))*(INDEX(properties!A$1:CB$87,'Fórmula'!D25,45))+(('Fórmula'!G25)/('Fórmula'!C25+'Fórmula'!E25+'Fórmula'!G25+'Fórmula'!I25+'Fórmula'!K25))*(INDEX(properties!A$1:CB$87,'Fórmula'!F25,45))+(('Fórmula'!I25)/('Fórmula'!C25+'Fórmula'!E25+'Fórmula'!G25+'Fórmula'!I25+'Fórmula'!K25))*(INDEX(properties!A$1:CB$87,'Fórmula'!H25,45))+(('Fórmula'!K25)/('Fórmula'!C25+'Fórmula'!E25+'Fórmula'!G25+'Fórmula'!I25+'Fórmula'!K25))*(INDEX(properties!A$1:CB$87,'Fórmula'!J25,45))</f>
        <v>1.016153846</v>
      </c>
      <c r="EK25" s="112">
        <f t="array" ref="EK25">'Fórmula'!C25*(INDEX(properties!A$1:CB$87,'Fórmula'!B25,45))+'Fórmula'!E25*(INDEX(properties!A$1:CB$87,'Fórmula'!D25,45))+'Fórmula'!G25*(INDEX(properties!A$1:CB$87,'Fórmula'!F25,45))+'Fórmula'!I25*(INDEX(properties!A$1:CB$87,'Fórmula'!H25,45))+'Fórmula'!K25*(INDEX(properties!A$1:CB$87,'Fórmula'!J25,45))</f>
        <v>13.21</v>
      </c>
      <c r="EL25" s="112">
        <f t="array" ref="EL25">VARP(IF(INDEX(properties!A$1:CB$87,'Fórmula'!B25,45)&lt;&gt;"",INDEX(properties!A$1:CB$87,'Fórmula'!B25,45)),IF(INDEX(properties!A$1:CB$87,'Fórmula'!D25,45)&lt;&gt;"",INDEX(properties!A$1:CB$87,'Fórmula'!D25,45)),IF(INDEX(properties!A$1:CB$87,'Fórmula'!F25,45)&lt;&gt;"",INDEX(properties!A$1:CB$87,'Fórmula'!F25,45)),IF(INDEX(properties!A$1:CB$87,'Fórmula'!H25,45)&lt;&gt;"",INDEX(properties!A$1:CB$87,'Fórmula'!H25,45)),IF(INDEX(properties!A$1:CB$87,'Fórmula'!J25,45)&lt;&gt;"",INDEX(properties!A$1:CB$87,'Fórmula'!J25,45)))</f>
        <v>1.2698</v>
      </c>
      <c r="EM25" s="123">
        <f t="array" ref="EM25">MAX(INDEX(properties!A$1:CB$87,'Fórmula'!B25,45),INDEX(properties!A$1:CB$87,'Fórmula'!D25,45),INDEX(properties!A$1:CB$87,'Fórmula'!F25,45),INDEX(properties!A$1:CB$87,'Fórmula'!H25,45),INDEX(properties!A$1:CB$87,'Fórmula'!J25,45))</f>
        <v>3.21</v>
      </c>
      <c r="EN25" s="123">
        <f t="array" ref="EN25">MIN(IF(INDEX(properties!A$1:CB$87,'Fórmula'!B25,45)=0,10^6,INDEX(properties!A$1:CB$87,'Fórmula'!B25,45)),IF(INDEX(properties!A$1:CB$87,'Fórmula'!D25,45)=0,10^6,INDEX(properties!A$1:CB$87,'Fórmula'!D25,45)),IF(INDEX(properties!A$1:CB$87,'Fórmula'!F25,45)=0,10^6,INDEX(properties!A$1:CB$87,'Fórmula'!F25,45)),IF(INDEX(properties!A$1:CB$87,'Fórmula'!H25,45)=0,10^6,INDEX(properties!A$1:CB$87,'Fórmula'!H25,45)),IF(INDEX(properties!A$1:CB$87,'Fórmula'!J25,45)=0,10^6,INDEX(properties!A$1:CB$87,'Fórmula'!J25,45)))</f>
        <v>0.47</v>
      </c>
      <c r="EO25" s="112">
        <f t="shared" si="24"/>
        <v>2.74</v>
      </c>
      <c r="EP25" s="113">
        <f t="array" ref="EP25">(('Fórmula'!C25)/('Fórmula'!C25+'Fórmula'!E25+'Fórmula'!G25+'Fórmula'!I25+'Fórmula'!K25))*(INDEX(properties!A$1:CB$87,'Fórmula'!B25,46))+(('Fórmula'!E25)/('Fórmula'!C25+'Fórmula'!E25+'Fórmula'!G25+'Fórmula'!I25+'Fórmula'!K25))*(INDEX(properties!A$1:CB$87,'Fórmula'!D25,46))+(('Fórmula'!G25)/('Fórmula'!C25+'Fórmula'!E25+'Fórmula'!G25+'Fórmula'!I25+'Fórmula'!K25))*(INDEX(properties!A$1:CB$87,'Fórmula'!F25,46))+(('Fórmula'!I25)/('Fórmula'!C25+'Fórmula'!E25+'Fórmula'!G25+'Fórmula'!I25+'Fórmula'!K25))*(INDEX(properties!A$1:CB$87,'Fórmula'!H25,46))+(('Fórmula'!K25)/('Fórmula'!C25+'Fórmula'!E25+'Fórmula'!G25+'Fórmula'!I25+'Fórmula'!K25))*(INDEX(properties!A$1:CB$87,'Fórmula'!J25,46))</f>
        <v>1.007692308</v>
      </c>
      <c r="EQ25" s="113">
        <f t="array" ref="EQ25">'Fórmula'!C25*(INDEX(properties!A$1:CB$87,'Fórmula'!B25,46))+'Fórmula'!E25*(INDEX(properties!A$1:CB$87,'Fórmula'!D25,46))+'Fórmula'!G25*(INDEX(properties!A$1:CB$87,'Fórmula'!F25,46))+'Fórmula'!I25*(INDEX(properties!A$1:CB$87,'Fórmula'!H25,46))+'Fórmula'!K25*(INDEX(properties!A$1:CB$87,'Fórmula'!J25,46))</f>
        <v>13.1</v>
      </c>
      <c r="ER25" s="113">
        <f t="array" ref="ER25">VARP(IF(INDEX(properties!A$1:CB$87,'Fórmula'!B25,46)&lt;&gt;"",INDEX(properties!A$1:CB$87,'Fórmula'!B25,46)),IF(INDEX(properties!A$1:CB$87,'Fórmula'!D25,46)&lt;&gt;"",INDEX(properties!A$1:CB$87,'Fórmula'!D25,46)),IF(INDEX(properties!A$1:CB$87,'Fórmula'!F25,46)&lt;&gt;"",INDEX(properties!A$1:CB$87,'Fórmula'!F25,46)),IF(INDEX(properties!A$1:CB$87,'Fórmula'!H25,46)&lt;&gt;"",INDEX(properties!A$1:CB$87,'Fórmula'!H25,46)),IF(INDEX(properties!A$1:CB$87,'Fórmula'!J25,46)&lt;&gt;"",INDEX(properties!A$1:CB$87,'Fórmula'!J25,46)))</f>
        <v>0.257384</v>
      </c>
      <c r="ES25" s="124">
        <f t="array" ref="ES25">MAX(INDEX(properties!A$1:CB$87,'Fórmula'!B25,46),INDEX(properties!A$1:CB$87,'Fórmula'!D25,46),INDEX(properties!A$1:CB$87,'Fórmula'!F25,46),INDEX(properties!A$1:CB$87,'Fórmula'!H25,46),INDEX(properties!A$1:CB$87,'Fórmula'!J25,46))</f>
        <v>1.32</v>
      </c>
      <c r="ET25" s="124">
        <f t="array" ref="ET25">MIN(IF(INDEX(properties!A$1:CB$87,'Fórmula'!B25,46)=0,10^6,INDEX(properties!A$1:CB$87,'Fórmula'!B25,46)),IF(INDEX(properties!A$1:CB$87,'Fórmula'!D25,46)=0,10^6,INDEX(properties!A$1:CB$87,'Fórmula'!D25,46)),IF(INDEX(properties!A$1:CB$87,'Fórmula'!F25,46)=0,10^6,INDEX(properties!A$1:CB$87,'Fórmula'!F25,46)),IF(INDEX(properties!A$1:CB$87,'Fórmula'!H25,46)=0,10^6,INDEX(properties!A$1:CB$87,'Fórmula'!H25,46)),IF(INDEX(properties!A$1:CB$87,'Fórmula'!J25,46)=0,10^6,INDEX(properties!A$1:CB$87,'Fórmula'!J25,46)))</f>
        <v>0.31</v>
      </c>
      <c r="EU25" s="113">
        <f t="shared" si="25"/>
        <v>1.01</v>
      </c>
      <c r="EV25" s="114">
        <f t="array" ref="EV25">(('Fórmula'!C25)/('Fórmula'!C25+'Fórmula'!E25+'Fórmula'!G25+'Fórmula'!I25+'Fórmula'!K25))*(INDEX(properties!A$1:CB$87,'Fórmula'!B25,52))+(('Fórmula'!E25)/('Fórmula'!C25+'Fórmula'!E25+'Fórmula'!G25+'Fórmula'!I25+'Fórmula'!K25))*(INDEX(properties!A$1:CB$87,'Fórmula'!D25,52))+(('Fórmula'!G25)/('Fórmula'!C25+'Fórmula'!E25+'Fórmula'!G25+'Fórmula'!I25+'Fórmula'!K25))*(INDEX(properties!A$1:CB$87,'Fórmula'!F25,52))+(('Fórmula'!I25)/('Fórmula'!C25+'Fórmula'!E25+'Fórmula'!G25+'Fórmula'!I25+'Fórmula'!K25))*(INDEX(properties!A$1:CB$87,'Fórmula'!H25,52))+(('Fórmula'!K25)/('Fórmula'!C25+'Fórmula'!E25+'Fórmula'!G25+'Fórmula'!I25+'Fórmula'!K25))*(INDEX(properties!A$1:CB$87,'Fórmula'!J25,52))</f>
        <v>4.149538462</v>
      </c>
      <c r="EW25" s="114">
        <f t="array" ref="EW25">'Fórmula'!C25*(INDEX(properties!A$1:CB$87,'Fórmula'!B25,52))+'Fórmula'!E25*(INDEX(properties!A$1:CB$87,'Fórmula'!D25,52))+'Fórmula'!G25*(INDEX(properties!A$1:CB$87,'Fórmula'!F25,52))+'Fórmula'!I25*(INDEX(properties!A$1:CB$87,'Fórmula'!H25,52))+'Fórmula'!K25*(INDEX(properties!A$1:CB$87,'Fórmula'!J25,52))</f>
        <v>53.944</v>
      </c>
      <c r="EX25" s="114">
        <f t="array" ref="EX25">VARP(IF(INDEX(properties!A$1:CB$87,'Fórmula'!B25,52)&lt;&gt;"",INDEX(properties!A$1:CB$87,'Fórmula'!B25,52)),IF(INDEX(properties!A$1:CB$87,'Fórmula'!D25,52)&lt;&gt;"",INDEX(properties!A$1:CB$87,'Fórmula'!D25,52)),IF(INDEX(properties!A$1:CB$87,'Fórmula'!F25,52)&lt;&gt;"",INDEX(properties!A$1:CB$87,'Fórmula'!F25,52)),IF(INDEX(properties!A$1:CB$87,'Fórmula'!H25,52)&lt;&gt;"",INDEX(properties!A$1:CB$87,'Fórmula'!H25,52)),IF(INDEX(properties!A$1:CB$87,'Fórmula'!J25,52)&lt;&gt;"",INDEX(properties!A$1:CB$87,'Fórmula'!J25,52)))</f>
        <v>104.3008718</v>
      </c>
      <c r="EY25" s="114">
        <f t="array" ref="EY25">MAX(INDEX(properties!A$1:CB$87,'Fórmula'!B25,52),INDEX(properties!A$1:CB$87,'Fórmula'!D25,52),INDEX(properties!A$1:CB$87,'Fórmula'!F25,52),INDEX(properties!A$1:CB$87,'Fórmula'!H25,52),INDEX(properties!A$1:CB$87,'Fórmula'!J25,52))</f>
        <v>27.6</v>
      </c>
      <c r="EZ25" s="114">
        <f t="array" ref="EZ25">MIN(IF(INDEX(properties!A$1:CB$87,'Fórmula'!B25,52)=0,10^6,INDEX(properties!A$1:CB$87,'Fórmula'!B25,52)),IF(INDEX(properties!A$1:CB$87,'Fórmula'!D25,52)=0,10^6,INDEX(properties!A$1:CB$87,'Fórmula'!D25,52)),IF(INDEX(properties!A$1:CB$87,'Fórmula'!F25,52)=0,10^6,INDEX(properties!A$1:CB$87,'Fórmula'!F25,52)),IF(INDEX(properties!A$1:CB$87,'Fórmula'!H25,52)=0,10^6,INDEX(properties!A$1:CB$87,'Fórmula'!H25,52)),IF(INDEX(properties!A$1:CB$87,'Fórmula'!J25,52)=0,10^6,INDEX(properties!A$1:CB$87,'Fórmula'!J25,52)))</f>
        <v>0.793</v>
      </c>
      <c r="FA25" s="114">
        <f t="shared" si="26"/>
        <v>26.807</v>
      </c>
      <c r="FB25" s="115">
        <f t="array" ref="FB25">(('Fórmula'!C25)/('Fórmula'!C25+'Fórmula'!E25+'Fórmula'!G25+'Fórmula'!I25+'Fórmula'!K25))*(INDEX(properties!A$1:CB$87,'Fórmula'!B25,53))+(('Fórmula'!E25)/('Fórmula'!C25+'Fórmula'!E25+'Fórmula'!G25+'Fórmula'!I25+'Fórmula'!K25))*(INDEX(properties!A$1:CB$87,'Fórmula'!D25,53))+(('Fórmula'!G25)/('Fórmula'!C25+'Fórmula'!E25+'Fórmula'!G25+'Fórmula'!I25+'Fórmula'!K25))*(INDEX(properties!A$1:CB$87,'Fórmula'!F25,53))+(('Fórmula'!I25)/('Fórmula'!C25+'Fórmula'!E25+'Fórmula'!G25+'Fórmula'!I25+'Fórmula'!K25))*(INDEX(properties!A$1:CB$87,'Fórmula'!H25,53))+(('Fórmula'!K25)/('Fórmula'!C25+'Fórmula'!E25+'Fórmula'!G25+'Fórmula'!I25+'Fórmula'!K25))*(INDEX(properties!A$1:CB$87,'Fórmula'!J25,53))</f>
        <v>269.2423077</v>
      </c>
      <c r="FC25" s="115">
        <f t="array" ref="FC25">'Fórmula'!C25*(INDEX(properties!A$1:CB$87,'Fórmula'!B25,53))+'Fórmula'!E25*(INDEX(properties!A$1:CB$87,'Fórmula'!D25,53))+'Fórmula'!G25*(INDEX(properties!A$1:CB$87,'Fórmula'!F25,53))+'Fórmula'!I25*(INDEX(properties!A$1:CB$87,'Fórmula'!H25,53))+'Fórmula'!K25*(INDEX(properties!A$1:CB$87,'Fórmula'!J25,53))</f>
        <v>3500.15</v>
      </c>
      <c r="FD25" s="115">
        <f t="array" ref="FD25">VARP(IF(INDEX(properties!A$1:CB$87,'Fórmula'!B25,53)&lt;&gt;"",INDEX(properties!A$1:CB$87,'Fórmula'!B25,53)),IF(INDEX(properties!A$1:CB$87,'Fórmula'!D25,53)&lt;&gt;"",INDEX(properties!A$1:CB$87,'Fórmula'!D25,53)),IF(INDEX(properties!A$1:CB$87,'Fórmula'!F25,53)&lt;&gt;"",INDEX(properties!A$1:CB$87,'Fórmula'!F25,53)),IF(INDEX(properties!A$1:CB$87,'Fórmula'!H25,53)&lt;&gt;"",INDEX(properties!A$1:CB$87,'Fórmula'!H25,53)),IF(INDEX(properties!A$1:CB$87,'Fórmula'!J25,53)&lt;&gt;"",INDEX(properties!A$1:CB$87,'Fórmula'!J25,53)))</f>
        <v>156363.7576</v>
      </c>
      <c r="FE25" s="115">
        <f t="array" ref="FE25">MAX(INDEX(properties!A$1:CB$87,'Fórmula'!B25,53),INDEX(properties!A$1:CB$87,'Fórmula'!D25,53),INDEX(properties!A$1:CB$87,'Fórmula'!F25,53),INDEX(properties!A$1:CB$87,'Fórmula'!H25,53),INDEX(properties!A$1:CB$87,'Fórmula'!J25,53))</f>
        <v>1042.15</v>
      </c>
      <c r="FF25" s="115">
        <f t="array" ref="FF25">MIN(IF(INDEX(properties!A$1:CB$87,'Fórmula'!B25,53)=0,10^6,INDEX(properties!A$1:CB$87,'Fórmula'!B25,53)),IF(INDEX(properties!A$1:CB$87,'Fórmula'!D25,53)=0,10^6,INDEX(properties!A$1:CB$87,'Fórmula'!D25,53)),IF(INDEX(properties!A$1:CB$87,'Fórmula'!F25,53)=0,10^6,INDEX(properties!A$1:CB$87,'Fórmula'!F25,53)),IF(INDEX(properties!A$1:CB$87,'Fórmula'!H25,53)=0,10^6,INDEX(properties!A$1:CB$87,'Fórmula'!H25,53)),IF(INDEX(properties!A$1:CB$87,'Fórmula'!J25,53)=0,10^6,INDEX(properties!A$1:CB$87,'Fórmula'!J25,53)))</f>
        <v>54.75</v>
      </c>
      <c r="FG25" s="115">
        <f t="shared" si="27"/>
        <v>987.4</v>
      </c>
      <c r="FH25" s="117">
        <f t="array" ref="FH25">(('Fórmula'!C25)/('Fórmula'!C25+'Fórmula'!E25+'Fórmula'!G25+'Fórmula'!I25+'Fórmula'!K25))*(INDEX(properties!A$1:CB$87,'Fórmula'!B25,54))+(('Fórmula'!E25)/('Fórmula'!C25+'Fórmula'!E25+'Fórmula'!G25+'Fórmula'!I25+'Fórmula'!K25))*(INDEX(properties!A$1:CB$87,'Fórmula'!D25,54))+(('Fórmula'!G25)/('Fórmula'!C25+'Fórmula'!E25+'Fórmula'!G25+'Fórmula'!I25+'Fórmula'!K25))*(INDEX(properties!A$1:CB$87,'Fórmula'!F25,54))+(('Fórmula'!I25)/('Fórmula'!C25+'Fórmula'!E25+'Fórmula'!G25+'Fórmula'!I25+'Fórmula'!K25))*(INDEX(properties!A$1:CB$87,'Fórmula'!H25,54))+(('Fórmula'!K25)/('Fórmula'!C25+'Fórmula'!E25+'Fórmula'!G25+'Fórmula'!I25+'Fórmula'!K25))*(INDEX(properties!A$1:CB$87,'Fórmula'!J25,54))</f>
        <v>449.4576923</v>
      </c>
      <c r="FI25" s="117">
        <f t="array" ref="FI25">'Fórmula'!C25*(INDEX(properties!A$1:CB$87,'Fórmula'!B25,54))+'Fórmula'!E25*(INDEX(properties!A$1:CB$87,'Fórmula'!D25,54))+'Fórmula'!G25*(INDEX(properties!A$1:CB$87,'Fórmula'!F25,54))+'Fórmula'!I25*(INDEX(properties!A$1:CB$87,'Fórmula'!H25,54))+'Fórmula'!K25*(INDEX(properties!A$1:CB$87,'Fórmula'!J25,54))</f>
        <v>5842.95</v>
      </c>
      <c r="FJ25" s="117">
        <f t="array" ref="FJ25">VARP(IF(INDEX(properties!A$1:CB$87,'Fórmula'!B25,54)&lt;&gt;"",INDEX(properties!A$1:CB$87,'Fórmula'!B25,54)),IF(INDEX(properties!A$1:CB$87,'Fórmula'!D25,54)&lt;&gt;"",INDEX(properties!A$1:CB$87,'Fórmula'!D25,54)),IF(INDEX(properties!A$1:CB$87,'Fórmula'!F25,54)&lt;&gt;"",INDEX(properties!A$1:CB$87,'Fórmula'!F25,54)),IF(INDEX(properties!A$1:CB$87,'Fórmula'!H25,54)&lt;&gt;"",INDEX(properties!A$1:CB$87,'Fórmula'!H25,54)),IF(INDEX(properties!A$1:CB$87,'Fórmula'!J25,54)&lt;&gt;"",INDEX(properties!A$1:CB$87,'Fórmula'!J25,54)))</f>
        <v>405823.9116</v>
      </c>
      <c r="FK25" s="117">
        <f t="array" ref="FK25">MAX(INDEX(properties!A$1:CB$87,'Fórmula'!B25,54),INDEX(properties!A$1:CB$87,'Fórmula'!D25,54),INDEX(properties!A$1:CB$87,'Fórmula'!F25,54),INDEX(properties!A$1:CB$87,'Fórmula'!H25,54),INDEX(properties!A$1:CB$87,'Fórmula'!J25,54))</f>
        <v>1657.15</v>
      </c>
      <c r="FL25" s="117">
        <f t="array" ref="FL25">MIN(IF(INDEX(properties!A$1:CB$87,'Fórmula'!B25,54)=0,10^6,INDEX(properties!A$1:CB$87,'Fórmula'!B25,54)),IF(INDEX(properties!A$1:CB$87,'Fórmula'!D25,54)=0,10^6,INDEX(properties!A$1:CB$87,'Fórmula'!D25,54)),IF(INDEX(properties!A$1:CB$87,'Fórmula'!F25,54)=0,10^6,INDEX(properties!A$1:CB$87,'Fórmula'!F25,54)),IF(INDEX(properties!A$1:CB$87,'Fórmula'!H25,54)=0,10^6,INDEX(properties!A$1:CB$87,'Fórmula'!H25,54)),IF(INDEX(properties!A$1:CB$87,'Fórmula'!J25,54)=0,10^6,INDEX(properties!A$1:CB$87,'Fórmula'!J25,54)))</f>
        <v>90.15</v>
      </c>
      <c r="FM25" s="117">
        <f t="shared" si="28"/>
        <v>1567</v>
      </c>
      <c r="FN25" s="118">
        <f t="array" ref="FN25">(('Fórmula'!C25)/('Fórmula'!C25+'Fórmula'!E25+'Fórmula'!G25+'Fórmula'!I25+'Fórmula'!K25))*(INDEX(properties!A$1:CB$87,'Fórmula'!B25,55))+(('Fórmula'!E25)/('Fórmula'!C25+'Fórmula'!E25+'Fórmula'!G25+'Fórmula'!I25+'Fórmula'!K25))*(INDEX(properties!A$1:CB$87,'Fórmula'!D25,55))+(('Fórmula'!G25)/('Fórmula'!C25+'Fórmula'!E25+'Fórmula'!G25+'Fórmula'!I25+'Fórmula'!K25))*(INDEX(properties!A$1:CB$87,'Fórmula'!F25,55))+(('Fórmula'!I25)/('Fórmula'!C25+'Fórmula'!E25+'Fórmula'!G25+'Fórmula'!I25+'Fórmula'!K25))*(INDEX(properties!A$1:CB$87,'Fórmula'!H25,55))+(('Fórmula'!K25)/('Fórmula'!C25+'Fórmula'!E25+'Fórmula'!G25+'Fórmula'!I25+'Fórmula'!K25))*(INDEX(properties!A$1:CB$87,'Fórmula'!J25,55))</f>
        <v>1.580110769</v>
      </c>
      <c r="FO25" s="118">
        <f t="array" ref="FO25">'Fórmula'!C25*(INDEX(properties!A$1:CB$87,'Fórmula'!B25,55))+'Fórmula'!E25*(INDEX(properties!A$1:CB$87,'Fórmula'!D25,54))+'Fórmula'!G25*(INDEX(properties!A$1:CB$87,'Fórmula'!F25,55))+'Fórmula'!I25*(INDEX(properties!A$1:CB$87,'Fórmula'!H25,55))+'Fórmula'!K25*(INDEX(properties!A$1:CB$87,'Fórmula'!J25,55))</f>
        <v>2364.58144</v>
      </c>
      <c r="FP25" s="118">
        <f t="array" ref="FP25">VARP(IF(INDEX(properties!A$1:CB$87,'Fórmula'!B25,55)&lt;&gt;"",INDEX(properties!A$1:CB$87,'Fórmula'!B25,55)),IF(INDEX(properties!A$1:CB$87,'Fórmula'!D25,55)&lt;&gt;"",INDEX(properties!A$1:CB$87,'Fórmula'!D25,55)),IF(INDEX(properties!A$1:CB$87,'Fórmula'!F25,55)&lt;&gt;"",INDEX(properties!A$1:CB$87,'Fórmula'!F25,55)),IF(INDEX(properties!A$1:CB$87,'Fórmula'!H25,55)&lt;&gt;"",INDEX(properties!A$1:CB$87,'Fórmula'!H25,55)),IF(INDEX(properties!A$1:CB$87,'Fórmula'!J25,55)&lt;&gt;"",INDEX(properties!A$1:CB$87,'Fórmula'!J25,55)))</f>
        <v>6.848059575</v>
      </c>
      <c r="FQ25" s="118">
        <f t="array" ref="FQ25">MAX(INDEX(properties!A$1:CB$87,'Fórmula'!B25,55),INDEX(properties!A$1:CB$87,'Fórmula'!D25,55),INDEX(properties!A$1:CB$87,'Fórmula'!F25,55),INDEX(properties!A$1:CB$87,'Fórmula'!H25,55),INDEX(properties!A$1:CB$87,'Fórmula'!J25,55))</f>
        <v>7.13</v>
      </c>
      <c r="FR25" s="118">
        <f t="array" ref="FR25">MIN(IF(INDEX(properties!A$1:CB$87,'Fórmula'!B25,55)=0,10^6,INDEX(properties!A$1:CB$87,'Fórmula'!B25,55)),IF(INDEX(properties!A$1:CB$87,'Fórmula'!D25,55)=0,10^6,INDEX(properties!A$1:CB$87,'Fórmula'!D25,55)),IF(INDEX(properties!A$1:CB$87,'Fórmula'!F25,55)=0,10^6,INDEX(properties!A$1:CB$87,'Fórmula'!F25,55)),IF(INDEX(properties!A$1:CB$87,'Fórmula'!H25,55)=0,10^6,INDEX(properties!A$1:CB$87,'Fórmula'!H25,55)),IF(INDEX(properties!A$1:CB$87,'Fórmula'!J25,55)=0,10^6,INDEX(properties!A$1:CB$87,'Fórmula'!J25,55)))</f>
        <v>0.00143</v>
      </c>
      <c r="FS25" s="118">
        <f t="shared" si="29"/>
        <v>7.12857</v>
      </c>
      <c r="FT25" s="119">
        <f t="array" ref="FT25">(('Fórmula'!C25)/('Fórmula'!C25+'Fórmula'!E25+'Fórmula'!G25+'Fórmula'!I25+'Fórmula'!K25))*(INDEX(properties!A$1:CB$87,'Fórmula'!B25,56))+(('Fórmula'!E25)/('Fórmula'!C25+'Fórmula'!E25+'Fórmula'!G25+'Fórmula'!I25+'Fórmula'!K25))*(INDEX(properties!A$1:CB$87,'Fórmula'!D25,56))+(('Fórmula'!G25)/('Fórmula'!C25+'Fórmula'!E25+'Fórmula'!G25+'Fórmula'!I25+'Fórmula'!K25))*(INDEX(properties!A$1:CB$87,'Fórmula'!F25,56))+(('Fórmula'!I25)/('Fórmula'!C25+'Fórmula'!E25+'Fórmula'!G25+'Fórmula'!I25+'Fórmula'!K25))*(INDEX(properties!A$1:CB$87,'Fórmula'!H25,56))+(('Fórmula'!K25)/('Fórmula'!C25+'Fórmula'!E25+'Fórmula'!G25+'Fórmula'!I25+'Fórmula'!K25))*(INDEX(properties!A$1:CB$87,'Fórmula'!J25,56))</f>
        <v>0.7676923077</v>
      </c>
      <c r="FU25" s="119">
        <f t="array" ref="FU25">'Fórmula'!C25*(INDEX(properties!A$1:CB$87,'Fórmula'!B25,56))+'Fórmula'!E25*(INDEX(properties!A$1:CB$87,'Fórmula'!D25,56))+'Fórmula'!G25*(INDEX(properties!A$1:CB$87,'Fórmula'!F25,56))+'Fórmula'!I25*(INDEX(properties!A$1:CB$87,'Fórmula'!H25,56))+'Fórmula'!K25*(INDEX(properties!A$1:CB$87,'Fórmula'!J25,56))</f>
        <v>9.98</v>
      </c>
      <c r="FV25" s="119">
        <f t="array" ref="FV25">VARP(IF(INDEX(properties!A$1:CB$87,'Fórmula'!B25,56)&lt;&gt;"",INDEX(properties!A$1:CB$87,'Fórmula'!B25,56)),IF(INDEX(properties!A$1:CB$87,'Fórmula'!D25,56)&lt;&gt;"",INDEX(properties!A$1:CB$87,'Fórmula'!D25,56)),IF(INDEX(properties!A$1:CB$87,'Fórmula'!F25,56)&lt;&gt;"",INDEX(properties!A$1:CB$87,'Fórmula'!F25,56)),IF(INDEX(properties!A$1:CB$87,'Fórmula'!H25,56)&lt;&gt;"",INDEX(properties!A$1:CB$87,'Fórmula'!H25,56)),IF(INDEX(properties!A$1:CB$87,'Fórmula'!J25,56)&lt;&gt;"",INDEX(properties!A$1:CB$87,'Fórmula'!J25,56)))</f>
        <v>0.109704</v>
      </c>
      <c r="FW25" s="119">
        <f t="array" ref="FW25">MAX(INDEX(properties!A$1:CB$87,'Fórmula'!B25,56),INDEX(properties!A$1:CB$87,'Fórmula'!D25,56),INDEX(properties!A$1:CB$87,'Fórmula'!F25,56),INDEX(properties!A$1:CB$87,'Fórmula'!H25,56),INDEX(properties!A$1:CB$87,'Fórmula'!J25,56))</f>
        <v>0.92</v>
      </c>
      <c r="FX25" s="119">
        <f t="array" ref="FX25">MIN(IF(INDEX(properties!A$1:CB$87,'Fórmula'!B25,56)=0,10^6,INDEX(properties!A$1:CB$87,'Fórmula'!B25,56)),IF(INDEX(properties!A$1:CB$87,'Fórmula'!D25,56)=0,10^6,INDEX(properties!A$1:CB$87,'Fórmula'!D25,56)),IF(INDEX(properties!A$1:CB$87,'Fórmula'!F25,56)=0,10^6,INDEX(properties!A$1:CB$87,'Fórmula'!F25,56)),IF(INDEX(properties!A$1:CB$87,'Fórmula'!H25,56)=0,10^6,INDEX(properties!A$1:CB$87,'Fórmula'!H25,56)),IF(INDEX(properties!A$1:CB$87,'Fórmula'!J25,56)=0,10^6,INDEX(properties!A$1:CB$87,'Fórmula'!J25,56)))</f>
        <v>0.3</v>
      </c>
      <c r="FY25" s="119">
        <f t="shared" si="30"/>
        <v>0.62</v>
      </c>
      <c r="FZ25" s="104">
        <f t="array" ref="FZ25">(('Fórmula'!C25)/('Fórmula'!C25+'Fórmula'!E25+'Fórmula'!G25+'Fórmula'!I25+'Fórmula'!K25))*(INDEX(properties!A$1:CB$87,'Fórmula'!B25,57))+(('Fórmula'!E25)/('Fórmula'!C25+'Fórmula'!E25+'Fórmula'!G25+'Fórmula'!I25+'Fórmula'!K25))*(INDEX(properties!A$1:CB$87,'Fórmula'!D25,57))+(('Fórmula'!G25)/('Fórmula'!C25+'Fórmula'!E25+'Fórmula'!G25+'Fórmula'!I25+'Fórmula'!K25))*(INDEX(properties!A$1:CB$87,'Fórmula'!F25,57))+(('Fórmula'!I25)/('Fórmula'!C25+'Fórmula'!E25+'Fórmula'!G25+'Fórmula'!I25+'Fórmula'!K25))*(INDEX(properties!A$1:CB$87,'Fórmula'!H25,57))+(('Fórmula'!K25)/('Fórmula'!C25+'Fórmula'!E25+'Fórmula'!G25+'Fórmula'!I25+'Fórmula'!K25))*(INDEX(properties!A$1:CB$87,'Fórmula'!J25,57))</f>
        <v>2.002978462</v>
      </c>
      <c r="GA25" s="104">
        <f t="array" ref="GA25">'Fórmula'!C25*(INDEX(properties!A$1:CB$87,'Fórmula'!B25,57))+'Fórmula'!E25*(INDEX(properties!A$1:CB$87,'Fórmula'!D25,57))+'Fórmula'!G25*(INDEX(properties!A$1:CB$87,'Fórmula'!F25,57))+'Fórmula'!I25*(INDEX(properties!A$1:CB$87,'Fórmula'!H25,57))+'Fórmula'!K25*(INDEX(properties!A$1:CB$87,'Fórmula'!J25,57))</f>
        <v>26.03872</v>
      </c>
      <c r="GB25" s="104">
        <f t="array" ref="GB25">VARP(IF(INDEX(properties!A$1:CB$87,'Fórmula'!B25,57)&lt;&gt;"",INDEX(properties!A$1:CB$87,'Fórmula'!B25,57)),IF(INDEX(properties!A$1:CB$87,'Fórmula'!D25,57)&lt;&gt;"",INDEX(properties!A$1:CB$87,'Fórmula'!D25,57)),IF(INDEX(properties!A$1:CB$87,'Fórmula'!F25,57)&lt;&gt;"",INDEX(properties!A$1:CB$87,'Fórmula'!F25,57)),IF(INDEX(properties!A$1:CB$87,'Fórmula'!H25,57)&lt;&gt;"",INDEX(properties!A$1:CB$87,'Fórmula'!H25,57)),IF(INDEX(properties!A$1:CB$87,'Fórmula'!J25,57)&lt;&gt;"",INDEX(properties!A$1:CB$87,'Fórmula'!J25,57)))</f>
        <v>13.70447696</v>
      </c>
      <c r="GC25" s="104">
        <f t="array" ref="GC25">MAX(INDEX(properties!A$1:CB$87,'Fórmula'!B25,57),INDEX(properties!A$1:CB$87,'Fórmula'!D25,57),INDEX(properties!A$1:CB$87,'Fórmula'!F25,57),INDEX(properties!A$1:CB$87,'Fórmula'!H25,57),INDEX(properties!A$1:CB$87,'Fórmula'!J25,57))</f>
        <v>8.3</v>
      </c>
      <c r="GD25" s="104">
        <f t="array" ref="GD25">MIN(IF(INDEX(properties!A$1:CB$87,'Fórmula'!B25,57)=0,10^6,INDEX(properties!A$1:CB$87,'Fórmula'!B25,57)),IF(INDEX(properties!A$1:CB$87,'Fórmula'!D25,57)=0,10^6,INDEX(properties!A$1:CB$87,'Fórmula'!D25,57)),IF(INDEX(properties!A$1:CB$87,'Fórmula'!F25,57)=0,10^6,INDEX(properties!A$1:CB$87,'Fórmula'!F25,57)),IF(INDEX(properties!A$1:CB$87,'Fórmula'!H25,57)=0,10^6,INDEX(properties!A$1:CB$87,'Fórmula'!H25,57)),IF(INDEX(properties!A$1:CB$87,'Fórmula'!J25,57)=0,10^6,INDEX(properties!A$1:CB$87,'Fórmula'!J25,57)))</f>
        <v>0.22259</v>
      </c>
      <c r="GE25" s="104">
        <f t="shared" si="31"/>
        <v>8.07741</v>
      </c>
      <c r="GF25" s="105">
        <f t="array" ref="GF25">(('Fórmula'!C25)/('Fórmula'!C25+'Fórmula'!E25+'Fórmula'!G25+'Fórmula'!I25+'Fórmula'!K25))*(INDEX(properties!A$1:CB$87,'Fórmula'!B25,60))+(('Fórmula'!E25)/('Fórmula'!C25+'Fórmula'!E25+'Fórmula'!G25+'Fórmula'!I25+'Fórmula'!K25))*(INDEX(properties!A$1:CB$87,'Fórmula'!D25,60))+(('Fórmula'!G25)/('Fórmula'!C25+'Fórmula'!E25+'Fórmula'!G25+'Fórmula'!I25+'Fórmula'!K25))*(INDEX(properties!A$1:CB$87,'Fórmula'!F25,60))+(('Fórmula'!I25)/('Fórmula'!C25+'Fórmula'!E25+'Fórmula'!G25+'Fórmula'!I25+'Fórmula'!K25))*(INDEX(properties!A$1:CB$87,'Fórmula'!H25,60))+(('Fórmula'!K25)/('Fórmula'!C25+'Fórmula'!E25+'Fórmula'!G25+'Fórmula'!I25+'Fórmula'!K25))*(INDEX(properties!A$1:CB$87,'Fórmula'!J25,60))</f>
        <v>20.61414769</v>
      </c>
      <c r="GG25" s="105">
        <f t="array" ref="GG25">'Fórmula'!C25*(INDEX(properties!A$1:CB$87,'Fórmula'!B25,60))+'Fórmula'!E25*(INDEX(properties!A$1:CB$87,'Fórmula'!D25,60))+'Fórmula'!G25*(INDEX(properties!A$1:CB$87,'Fórmula'!F25,60))+'Fórmula'!I25*(INDEX(properties!A$1:CB$87,'Fórmula'!H25,60))+'Fórmula'!K25*(INDEX(properties!A$1:CB$87,'Fórmula'!J25,60))</f>
        <v>267.98392</v>
      </c>
      <c r="GH25" s="105">
        <f t="array" ref="GH25">VARP(IF(INDEX(properties!A$1:CB$87,'Fórmula'!B25,60)&lt;&gt;"",INDEX(properties!A$1:CB$87,'Fórmula'!B25,60)),IF(INDEX(properties!A$1:CB$87,'Fórmula'!D25,60)&lt;&gt;"",INDEX(properties!A$1:CB$87,'Fórmula'!D25,60)),IF(INDEX(properties!A$1:CB$87,'Fórmula'!F25,60)&lt;&gt;"",INDEX(properties!A$1:CB$87,'Fórmula'!F25,60)),IF(INDEX(properties!A$1:CB$87,'Fórmula'!H25,60)&lt;&gt;"",INDEX(properties!A$1:CB$87,'Fórmula'!H25,60)),IF(INDEX(properties!A$1:CB$87,'Fórmula'!J25,60)&lt;&gt;"",INDEX(properties!A$1:CB$87,'Fórmula'!J25,60)))</f>
        <v>2021.590747</v>
      </c>
      <c r="GI25" s="105">
        <f t="array" ref="GI25">MAX(INDEX(properties!A$1:CB$87,'Fórmula'!B25,60),INDEX(properties!A$1:CB$87,'Fórmula'!D25,60),INDEX(properties!A$1:CB$87,'Fórmula'!F25,60),INDEX(properties!A$1:CB$87,'Fórmula'!H25,60),INDEX(properties!A$1:CB$87,'Fórmula'!J25,60))</f>
        <v>116</v>
      </c>
      <c r="GJ25" s="105">
        <f t="array" ref="GJ25">MIN(IF(INDEX(properties!A$1:CB$87,'Fórmula'!B25,60)=0,10^6,INDEX(properties!A$1:CB$87,'Fórmula'!B25,60)),IF(INDEX(properties!A$1:CB$87,'Fórmula'!D25,60)=0,10^6,INDEX(properties!A$1:CB$87,'Fórmula'!D25,60)),IF(INDEX(properties!A$1:CB$87,'Fórmula'!F25,60)=0,10^6,INDEX(properties!A$1:CB$87,'Fórmula'!F25,60)),IF(INDEX(properties!A$1:CB$87,'Fórmula'!H25,60)=0,10^6,INDEX(properties!A$1:CB$87,'Fórmula'!H25,60)),IF(INDEX(properties!A$1:CB$87,'Fórmula'!J25,60)=0,10^6,INDEX(properties!A$1:CB$87,'Fórmula'!J25,60)))</f>
        <v>0.02674</v>
      </c>
      <c r="GK25" s="105">
        <f t="shared" si="32"/>
        <v>115.97326</v>
      </c>
      <c r="GL25" s="106">
        <f t="array" ref="GL25">(('Fórmula'!C25)/('Fórmula'!C25+'Fórmula'!E25+'Fórmula'!G25+'Fórmula'!I25+'Fórmula'!K25))*(INDEX(properties!A$1:CB$87,'Fórmula'!B25,62))+(('Fórmula'!E25)/('Fórmula'!C25+'Fórmula'!E25+'Fórmula'!G25+'Fórmula'!I25+'Fórmula'!K25))*(INDEX(properties!A$1:CB$87,'Fórmula'!D25,62))+(('Fórmula'!G25)/('Fórmula'!C25+'Fórmula'!E25+'Fórmula'!G25+'Fórmula'!I25+'Fórmula'!K25))*(INDEX(properties!A$1:CB$87,'Fórmula'!F25,62))+(('Fórmula'!I25)/('Fórmula'!C25+'Fórmula'!E25+'Fórmula'!G25+'Fórmula'!I25+'Fórmula'!K25))*(INDEX(properties!A$1:CB$87,'Fórmula'!H25,62))+(('Fórmula'!K25)/('Fórmula'!C25+'Fórmula'!E25+'Fórmula'!G25+'Fórmula'!I25+'Fórmula'!K25))*(INDEX(properties!A$1:CB$87,'Fórmula'!J25,62))</f>
        <v>2.48</v>
      </c>
      <c r="GM25" s="106">
        <f t="array" ref="GM25">'Fórmula'!C25*(INDEX(properties!A$1:CB$87,'Fórmula'!B25,62))+'Fórmula'!E25*(INDEX(properties!A$1:CB$87,'Fórmula'!D25,62))+'Fórmula'!G25*(INDEX(properties!A$1:CB$87,'Fórmula'!F25,62))+'Fórmula'!I25*(INDEX(properties!A$1:CB$87,'Fórmula'!H25,62))+'Fórmula'!K25*(INDEX(properties!A$1:CB$87,'Fórmula'!J25,62))</f>
        <v>32.24</v>
      </c>
      <c r="GN25" s="106">
        <f t="array" ref="GN25">VARP(IF(INDEX(properties!A$1:CB$87,'Fórmula'!B25,62)&lt;&gt;"",INDEX(properties!A$1:CB$87,'Fórmula'!B25,62)),IF(INDEX(properties!A$1:CB$87,'Fórmula'!D25,62)&lt;&gt;"",INDEX(properties!A$1:CB$87,'Fórmula'!D25,62)),IF(INDEX(properties!A$1:CB$87,'Fórmula'!F25,62)&lt;&gt;"",INDEX(properties!A$1:CB$87,'Fórmula'!F25,62)),IF(INDEX(properties!A$1:CB$87,'Fórmula'!H25,62)&lt;&gt;"",INDEX(properties!A$1:CB$87,'Fórmula'!H25,62)),IF(INDEX(properties!A$1:CB$87,'Fórmula'!J25,62)&lt;&gt;"",INDEX(properties!A$1:CB$87,'Fórmula'!J25,62)))</f>
        <v>1.355064</v>
      </c>
      <c r="GO25" s="106">
        <f t="array" ref="GO25">MAX(INDEX(properties!A$1:CB$87,'Fórmula'!B25,62),INDEX(properties!A$1:CB$87,'Fórmula'!D25,62),INDEX(properties!A$1:CB$87,'Fórmula'!F25,62),INDEX(properties!A$1:CB$87,'Fórmula'!H25,62),INDEX(properties!A$1:CB$87,'Fórmula'!J25,62))</f>
        <v>3.43</v>
      </c>
      <c r="GP25" s="106">
        <f t="array" ref="GP25">MIN(IF(INDEX(properties!A$1:CB$87,'Fórmula'!B25,62)=0,10^6,INDEX(properties!A$1:CB$87,'Fórmula'!B25,62)),IF(INDEX(properties!A$1:CB$87,'Fórmula'!D25,62)=0,10^6,INDEX(properties!A$1:CB$87,'Fórmula'!D25,62)),IF(INDEX(properties!A$1:CB$87,'Fórmula'!F25,62)=0,10^6,INDEX(properties!A$1:CB$87,'Fórmula'!F25,62)),IF(INDEX(properties!A$1:CB$87,'Fórmula'!H25,62)=0,10^6,INDEX(properties!A$1:CB$87,'Fórmula'!H25,62)),IF(INDEX(properties!A$1:CB$87,'Fórmula'!J25,62)=0,10^6,INDEX(properties!A$1:CB$87,'Fórmula'!J25,62)))</f>
        <v>1.35</v>
      </c>
      <c r="GQ25" s="106">
        <f t="shared" si="33"/>
        <v>2.08</v>
      </c>
      <c r="GR25" s="106">
        <f>'Fórmula'!Q25</f>
        <v>14</v>
      </c>
      <c r="GS25" s="107">
        <f>'Fórmula'!P25</f>
        <v>6</v>
      </c>
      <c r="GT25" s="113">
        <f>'Fórmula'!O25</f>
        <v>3.8</v>
      </c>
      <c r="GU25" s="114">
        <f>AVERAGE('Fórmula'!R25/'Fórmula'!S25,'Fórmula'!S25/'Fórmula'!T25,'Fórmula'!T25/'Fórmula'!R25)</f>
        <v>1.004429447</v>
      </c>
      <c r="GV25" s="125">
        <f>'Fórmula'!U25</f>
        <v>714.33</v>
      </c>
      <c r="GW25" s="106">
        <f>'Fórmula'!N25</f>
        <v>0.03</v>
      </c>
    </row>
    <row r="26" ht="14.25" customHeight="1">
      <c r="A26" s="99" t="str">
        <f>'Fórmula'!A26</f>
        <v>Na2MgSiO4</v>
      </c>
      <c r="B26" s="101">
        <f t="array" ref="B26">(('Fórmula'!C26)/('Fórmula'!C26+'Fórmula'!E26+'Fórmula'!G26+'Fórmula'!I26+'Fórmula'!K26))*(INDEX(properties!A$1:CB$87,'Fórmula'!B26,3))+(('Fórmula'!E26)/('Fórmula'!C26+'Fórmula'!E26+'Fórmula'!G26+'Fórmula'!I26+'Fórmula'!K26))*(INDEX(properties!A$1:CB$87,'Fórmula'!D26,3))+(('Fórmula'!G26)/('Fórmula'!C26+'Fórmula'!E26+'Fórmula'!G26+'Fórmula'!I26+'Fórmula'!K26))*(INDEX(properties!A$1:CB$87,'Fórmula'!F26,3))+(('Fórmula'!I26)/('Fórmula'!C26+'Fórmula'!E26+'Fórmula'!G26+'Fórmula'!I26+'Fórmula'!K26))*(INDEX(properties!A$1:CB$87,'Fórmula'!H26,3))+(('Fórmula'!K26)/('Fórmula'!C26+'Fórmula'!E26+'Fórmula'!G26+'Fórmula'!I26+'Fórmula'!K26))*(INDEX(properties!A$1:CB$87,'Fórmula'!J26,3))</f>
        <v>20.2959545</v>
      </c>
      <c r="C26" s="101">
        <f t="array" ref="C26">'Fórmula'!C26*(INDEX(properties!A$1:CB$87,'Fórmula'!B26,3))+'Fórmula'!E26*(INDEX(properties!A$1:CB$87,'Fórmula'!D26,3))+'Fórmula'!G26*(INDEX(properties!A$1:CB$87,'Fórmula'!F26,3))+'Fórmula'!I26*(INDEX(properties!A$1:CB$87,'Fórmula'!H26,3))+'Fórmula'!K26*(INDEX(properties!A$1:CB$87,'Fórmula'!J26,3))</f>
        <v>162.367636</v>
      </c>
      <c r="D26" s="101">
        <f t="array" ref="D26">VARP(IF(INDEX(properties!A$1:CB$87,'Fórmula'!B26,3)&lt;&gt;"",INDEX(properties!A$1:CB$87,'Fórmula'!B26,3)),IF(INDEX(properties!A$1:CB$87,'Fórmula'!D26,3)&lt;&gt;"",INDEX(properties!A$1:CB$87,'Fórmula'!D26,3)),IF(INDEX(properties!A$1:CB$87,'Fórmula'!F26,3)&lt;&gt;"",INDEX(properties!A$1:CB$87,'Fórmula'!F26,3)),IF(INDEX(properties!A$1:CB$87,'Fórmula'!H26,3)&lt;&gt;"",INDEX(properties!A$1:CB$87,'Fórmula'!H26,3)),IF(INDEX(properties!A$1:CB$87,'Fórmula'!J26,3)&lt;&gt;"",INDEX(properties!A$1:CB$87,'Fórmula'!J26,3)))</f>
        <v>98.79796471</v>
      </c>
      <c r="E26" s="101">
        <f t="array" ref="E26">MAX(INDEX(properties!A$1:CB$87,'Fórmula'!B26,3),INDEX(properties!A$1:CB$87,'Fórmula'!D26,3),INDEX(properties!A$1:CB$87,'Fórmula'!F26,3),INDEX(properties!A$1:CB$87,'Fórmula'!H26,3),INDEX(properties!A$1:CB$87,'Fórmula'!J26,3))</f>
        <v>28.0855</v>
      </c>
      <c r="F26" s="101">
        <f t="array" ref="F26">MIN(IF(INDEX(properties!A$1:CB$87,'Fórmula'!B26,3)=0,10^6,INDEX(properties!A$1:CB$87,'Fórmula'!B26,3)),IF(INDEX(properties!A$1:CB$87,'Fórmula'!D26,3)=0,10^6,INDEX(properties!A$1:CB$87,'Fórmula'!D26,3)),IF(INDEX(properties!A$1:CB$87,'Fórmula'!F26,3)=0,10^6,INDEX(properties!A$1:CB$87,'Fórmula'!F26,3)),IF(INDEX(properties!A$1:CB$87,'Fórmula'!H26,3)=0,10^6,INDEX(properties!A$1:CB$87,'Fórmula'!H26,3)),IF(INDEX(properties!A$1:CB$87,'Fórmula'!J26,3)=0,10^6,INDEX(properties!A$1:CB$87,'Fórmula'!J26,3)))</f>
        <v>15.9994</v>
      </c>
      <c r="G26" s="101">
        <f t="shared" si="1"/>
        <v>12.0861</v>
      </c>
      <c r="H26" s="102">
        <f t="array" ref="H26">(('Fórmula'!C26)/('Fórmula'!C26+'Fórmula'!E26+'Fórmula'!G26+'Fórmula'!I26+'Fórmula'!K26))*(INDEX(properties!A$1:CB$87,'Fórmula'!B26,4))+(('Fórmula'!E26)/('Fórmula'!C26+'Fórmula'!E26+'Fórmula'!G26+'Fórmula'!I26+'Fórmula'!K26))*(INDEX(properties!A$1:CB$87,'Fórmula'!D26,4))+(('Fórmula'!G26)/('Fórmula'!C26+'Fórmula'!E26+'Fórmula'!G26+'Fórmula'!I26+'Fórmula'!K26))*(INDEX(properties!A$1:CB$87,'Fórmula'!F26,4))+(('Fórmula'!I26)/('Fórmula'!C26+'Fórmula'!E26+'Fórmula'!G26+'Fórmula'!I26+'Fórmula'!K26))*(INDEX(properties!A$1:CB$87,'Fórmula'!H26,4))+(('Fórmula'!K26)/('Fórmula'!C26+'Fórmula'!E26+'Fórmula'!G26+'Fórmula'!I26+'Fórmula'!K26))*(INDEX(properties!A$1:CB$87,'Fórmula'!J26,4))</f>
        <v>10</v>
      </c>
      <c r="I26" s="102">
        <f t="array" ref="I26">'Fórmula'!C26*(INDEX(properties!A$1:CB$87,'Fórmula'!B26,4))+'Fórmula'!E26*(INDEX(properties!A$1:CB$87,'Fórmula'!D26,4))+'Fórmula'!G26*(INDEX(properties!A$1:CB$87,'Fórmula'!F26,4))+'Fórmula'!I26*(INDEX(properties!A$1:CB$87,'Fórmula'!H26,4))+'Fórmula'!K26*(INDEX(properties!A$1:CB$87,'Fórmula'!J26,4))</f>
        <v>80</v>
      </c>
      <c r="J26" s="102">
        <f t="array" ref="J26">VARP(IF(INDEX(properties!A$1:CB$87,'Fórmula'!B26,4)&lt;&gt;"",INDEX(properties!A$1:CB$87,'Fórmula'!B26,4)),IF(INDEX(properties!A$1:CB$87,'Fórmula'!D26,4)&lt;&gt;"",INDEX(properties!A$1:CB$87,'Fórmula'!D26,4)),IF(INDEX(properties!A$1:CB$87,'Fórmula'!F26,4)&lt;&gt;"",INDEX(properties!A$1:CB$87,'Fórmula'!F26,4)),IF(INDEX(properties!A$1:CB$87,'Fórmula'!H26,4)&lt;&gt;"",INDEX(properties!A$1:CB$87,'Fórmula'!H26,4)),IF(INDEX(properties!A$1:CB$87,'Fórmula'!J26,4)&lt;&gt;"",INDEX(properties!A$1:CB$87,'Fórmula'!J26,4)))</f>
        <v>24</v>
      </c>
      <c r="K26" s="102">
        <f t="array" ref="K26">MAX(INDEX(properties!A$1:CB$87,'Fórmula'!B26,4),INDEX(properties!A$1:CB$87,'Fórmula'!D26,4),INDEX(properties!A$1:CB$87,'Fórmula'!F26,4),INDEX(properties!A$1:CB$87,'Fórmula'!H26,4),INDEX(properties!A$1:CB$87,'Fórmula'!J26,4))</f>
        <v>14</v>
      </c>
      <c r="L26" s="102">
        <f t="array" ref="L26">MIN(IF(INDEX(properties!A$1:CB$87,'Fórmula'!B26,4)=0,10^6,INDEX(properties!A$1:CB$87,'Fórmula'!B26,4)),IF(INDEX(properties!A$1:CB$87,'Fórmula'!D26,4)=0,10^6,INDEX(properties!A$1:CB$87,'Fórmula'!D26,4)),IF(INDEX(properties!A$1:CB$87,'Fórmula'!F26,4)=0,10^6,INDEX(properties!A$1:CB$87,'Fórmula'!F26,4)),IF(INDEX(properties!A$1:CB$87,'Fórmula'!H26,4)=0,10^6,INDEX(properties!A$1:CB$87,'Fórmula'!H26,4)),IF(INDEX(properties!A$1:CB$87,'Fórmula'!J26,4)=0,10^6,INDEX(properties!A$1:CB$87,'Fórmula'!J26,4)))</f>
        <v>8</v>
      </c>
      <c r="M26" s="102">
        <f t="shared" si="2"/>
        <v>6</v>
      </c>
      <c r="N26" s="103">
        <f t="array" ref="N26">(('Fórmula'!C26)/('Fórmula'!C26+'Fórmula'!E26+'Fórmula'!G26+'Fórmula'!I26+'Fórmula'!K26))*(INDEX(properties!A$1:CB$87,'Fórmula'!B26,5))+(('Fórmula'!E26)/('Fórmula'!C26+'Fórmula'!E26+'Fórmula'!G26+'Fórmula'!I26+'Fórmula'!K26))*(INDEX(properties!A$1:CB$87,'Fórmula'!D26,5))+(('Fórmula'!G26)/('Fórmula'!C26+'Fórmula'!E26+'Fórmula'!G26+'Fórmula'!I26+'Fórmula'!K26))*(INDEX(properties!A$1:CB$87,'Fórmula'!F26,5))+(('Fórmula'!I26)/('Fórmula'!C26+'Fórmula'!E26+'Fórmula'!G26+'Fórmula'!I26+'Fórmula'!K26))*(INDEX(properties!A$1:CB$87,'Fórmula'!H26,5))+(('Fórmula'!K26)/('Fórmula'!C26+'Fórmula'!E26+'Fórmula'!G26+'Fórmula'!I26+'Fórmula'!K26))*(INDEX(properties!A$1:CB$87,'Fórmula'!J26,5))</f>
        <v>2.5</v>
      </c>
      <c r="O26" s="103">
        <f t="array" ref="O26">'Fórmula'!C26*(INDEX(properties!A$1:CB$87,'Fórmula'!B26,5))+'Fórmula'!E26*(INDEX(properties!A$1:CB$87,'Fórmula'!D26,5))+'Fórmula'!G26*(INDEX(properties!A$1:CB$87,'Fórmula'!F26,5))+'Fórmula'!I26*(INDEX(properties!A$1:CB$87,'Fórmula'!H26,5))+'Fórmula'!K26*(INDEX(properties!A$1:CB$87,'Fórmula'!J26,5))</f>
        <v>20</v>
      </c>
      <c r="P26" s="103">
        <f t="array" ref="P26">VARP(IF(INDEX(properties!A$1:CB$87,'Fórmula'!B26,5)&lt;&gt;"",INDEX(properties!A$1:CB$87,'Fórmula'!B26,5)),IF(INDEX(properties!A$1:CB$87,'Fórmula'!D26,5)&lt;&gt;"",INDEX(properties!A$1:CB$87,'Fórmula'!D26,5)),IF(INDEX(properties!A$1:CB$87,'Fórmula'!F26,5)&lt;&gt;"",INDEX(properties!A$1:CB$87,'Fórmula'!F26,5)),IF(INDEX(properties!A$1:CB$87,'Fórmula'!H26,5)&lt;&gt;"",INDEX(properties!A$1:CB$87,'Fórmula'!H26,5)),IF(INDEX(properties!A$1:CB$87,'Fórmula'!J26,5)&lt;&gt;"",INDEX(properties!A$1:CB$87,'Fórmula'!J26,5)))</f>
        <v>1.36</v>
      </c>
      <c r="Q26" s="103">
        <f t="array" ref="Q26">MAX(INDEX(properties!A$1:CB$87,'Fórmula'!B26,5),INDEX(properties!A$1:CB$87,'Fórmula'!D26,5),INDEX(properties!A$1:CB$87,'Fórmula'!F26,5),INDEX(properties!A$1:CB$87,'Fórmula'!H26,5),INDEX(properties!A$1:CB$87,'Fórmula'!J26,5))</f>
        <v>3</v>
      </c>
      <c r="R26" s="103">
        <f t="array" ref="R26">MIN(IF(INDEX(properties!A$1:CB$87,'Fórmula'!B26,5)=0,10^6,INDEX(properties!A$1:CB$87,'Fórmula'!B26,5)),IF(INDEX(properties!A$1:CB$87,'Fórmula'!D26,5)=0,10^6,INDEX(properties!A$1:CB$87,'Fórmula'!D26,5)),IF(INDEX(properties!A$1:CB$87,'Fórmula'!F26,5)=0,10^6,INDEX(properties!A$1:CB$87,'Fórmula'!F26,5)),IF(INDEX(properties!A$1:CB$87,'Fórmula'!H26,5)=0,10^6,INDEX(properties!A$1:CB$87,'Fórmula'!H26,5)),IF(INDEX(properties!A$1:CB$87,'Fórmula'!J26,5)=0,10^6,INDEX(properties!A$1:CB$87,'Fórmula'!J26,5)))</f>
        <v>2</v>
      </c>
      <c r="S26" s="103">
        <f t="shared" si="3"/>
        <v>1</v>
      </c>
      <c r="T26" s="104">
        <f t="array" ref="T26">(('Fórmula'!C26)/('Fórmula'!C26+'Fórmula'!E26+'Fórmula'!G26+'Fórmula'!I26+'Fórmula'!K26))*(INDEX(properties!A$1:CB$87,'Fórmula'!B26,6))+(('Fórmula'!E26)/('Fórmula'!C26+'Fórmula'!E26+'Fórmula'!G26+'Fórmula'!I26+'Fórmula'!K26))*(INDEX(properties!A$1:CB$87,'Fórmula'!D26,6))+(('Fórmula'!G26)/('Fórmula'!C26+'Fórmula'!E26+'Fórmula'!G26+'Fórmula'!I26+'Fórmula'!K26))*(INDEX(properties!A$1:CB$87,'Fórmula'!F26,6))+(('Fórmula'!I26)/('Fórmula'!C26+'Fórmula'!E26+'Fórmula'!G26+'Fórmula'!I26+'Fórmula'!K26))*(INDEX(properties!A$1:CB$87,'Fórmula'!H26,6))+(('Fórmula'!K26)/('Fórmula'!C26+'Fórmula'!E26+'Fórmula'!G26+'Fórmula'!I26+'Fórmula'!K26))*(INDEX(properties!A$1:CB$87,'Fórmula'!J26,6))</f>
        <v>10.25</v>
      </c>
      <c r="U26" s="104">
        <f t="array" ref="U26">'Fórmula'!C26*(INDEX(properties!A$1:CB$87,'Fórmula'!B26,6))+'Fórmula'!E26*(INDEX(properties!A$1:CB$87,'Fórmula'!D26,6))+'Fórmula'!G26*(INDEX(properties!A$1:CB$87,'Fórmula'!F26,6))+'Fórmula'!I26*(INDEX(properties!A$1:CB$87,'Fórmula'!H26,6))+'Fórmula'!K26*(INDEX(properties!A$1:CB$87,'Fórmula'!J26,6))</f>
        <v>82</v>
      </c>
      <c r="V26" s="103">
        <f t="array" ref="V26">VARP(IF(INDEX(properties!A$1:CB$87,'Fórmula'!B26,6)&lt;&gt;"",INDEX(properties!A$1:CB$87,'Fórmula'!B26,6)),IF(INDEX(properties!A$1:CB$87,'Fórmula'!D26,6)&lt;&gt;"",INDEX(properties!A$1:CB$87,'Fórmula'!D26,6)),IF(INDEX(properties!A$1:CB$87,'Fórmula'!F26,6)&lt;&gt;"",INDEX(properties!A$1:CB$87,'Fórmula'!F26,6)),IF(INDEX(properties!A$1:CB$87,'Fórmula'!H26,6)&lt;&gt;"",INDEX(properties!A$1:CB$87,'Fórmula'!H26,6)),IF(INDEX(properties!A$1:CB$87,'Fórmula'!J26,6)&lt;&gt;"",INDEX(properties!A$1:CB$87,'Fórmula'!J26,6)))</f>
        <v>47.84</v>
      </c>
      <c r="W26" s="104">
        <f t="array" ref="W26">MAX(INDEX(properties!A$1:CB$87,'Fórmula'!B26,6),INDEX(properties!A$1:CB$87,'Fórmula'!D26,6),INDEX(properties!A$1:CB$87,'Fórmula'!F26,6),INDEX(properties!A$1:CB$87,'Fórmula'!H26,4),INDEX(properties!A$1:CB$87,'Fórmula'!J26,6))</f>
        <v>14</v>
      </c>
      <c r="X26" s="104">
        <f t="array" ref="X26">MIN(IF(INDEX(properties!A$1:CB$87,'Fórmula'!B26,6)=0,10^6,INDEX(properties!A$1:CB$87,'Fórmula'!B26,6)),IF(INDEX(properties!A$1:CB$87,'Fórmula'!D26,6)=0,10^6,INDEX(properties!A$1:CB$87,'Fórmula'!D26,6)),IF(INDEX(properties!A$1:CB$87,'Fórmula'!F26,6)=0,10^6,INDEX(properties!A$1:CB$87,'Fórmula'!F26,6)),IF(INDEX(properties!A$1:CB$87,'Fórmula'!H26,6)=0,10^6,INDEX(properties!A$1:CB$87,'Fórmula'!H26,6)),IF(INDEX(properties!A$1:CB$87,'Fórmula'!J26,6)=0,10^6,INDEX(properties!A$1:CB$87,'Fórmula'!J26,6)))</f>
        <v>1</v>
      </c>
      <c r="Y26" s="104">
        <f t="shared" si="4"/>
        <v>13</v>
      </c>
      <c r="Z26" s="105">
        <f t="array" ref="Z26">(('Fórmula'!C26)/('Fórmula'!C26+'Fórmula'!E26+'Fórmula'!G26+'Fórmula'!I26+'Fórmula'!K26))*(INDEX(properties!A$1:CB$87,'Fórmula'!B26,9))+(('Fórmula'!E26)/('Fórmula'!C26+'Fórmula'!E26+'Fórmula'!G26+'Fórmula'!I26+'Fórmula'!K26))*(INDEX(properties!A$1:CB$87,'Fórmula'!D26,9))+(('Fórmula'!G26)/('Fórmula'!C26+'Fórmula'!E26+'Fórmula'!G26+'Fórmula'!I26+'Fórmula'!K26))*(INDEX(properties!A$1:CB$87,'Fórmula'!F26,9))+(('Fórmula'!I26)/('Fórmula'!C26+'Fórmula'!E26+'Fórmula'!G26+'Fórmula'!I26+'Fórmula'!K26))*(INDEX(properties!A$1:CB$87,'Fórmula'!H26,9))+(('Fórmula'!K26)/('Fórmula'!C26+'Fórmula'!E26+'Fórmula'!G26+'Fórmula'!I26+'Fórmula'!K26))*(INDEX(properties!A$1:CB$87,'Fórmula'!J26,9))</f>
        <v>62.25</v>
      </c>
      <c r="AA26" s="105">
        <f t="array" ref="AA26">'Fórmula'!C26*(INDEX(properties!A$1:CB$87,'Fórmula'!B26,9))+'Fórmula'!E26*(INDEX(properties!A$1:CB$87,'Fórmula'!D26,9))+'Fórmula'!G26*(INDEX(properties!A$1:CB$87,'Fórmula'!F26,9))+'Fórmula'!I26*(INDEX(properties!A$1:CB$87,'Fórmula'!H26,9))+'Fórmula'!K26*(INDEX(properties!A$1:CB$87,'Fórmula'!J26,9))</f>
        <v>498</v>
      </c>
      <c r="AB26" s="105">
        <f t="array" ref="AB26">VARP(IF(INDEX(properties!A$1:CB$87,'Fórmula'!B26,9)&lt;&gt;"",INDEX(properties!A$1:CB$87,'Fórmula'!B26,9)),IF(INDEX(properties!A$1:CB$87,'Fórmula'!D26,9)&lt;&gt;"",INDEX(properties!A$1:CB$87,'Fórmula'!D26,9)),IF(INDEX(properties!A$1:CB$87,'Fórmula'!F26,9)&lt;&gt;"",INDEX(properties!A$1:CB$87,'Fórmula'!F26,9)),IF(INDEX(properties!A$1:CB$87,'Fórmula'!H26,9)&lt;&gt;"",INDEX(properties!A$1:CB$87,'Fórmula'!H26,9)),IF(INDEX(properties!A$1:CB$87,'Fórmula'!J26,9)&lt;&gt;"",INDEX(properties!A$1:CB$87,'Fórmula'!J26,9)))</f>
        <v>1447.2</v>
      </c>
      <c r="AC26" s="105">
        <f t="array" ref="AC26">MAX(INDEX(properties!A$1:CB$87,'Fórmula'!B26,9),INDEX(properties!A$1:CB$87,'Fórmula'!D26,9),INDEX(properties!A$1:CB$87,'Fórmula'!F26,9),INDEX(properties!A$1:CB$87,'Fórmula'!H26,9),INDEX(properties!A$1:CB$87,'Fórmula'!J26,9))</f>
        <v>87</v>
      </c>
      <c r="AD26" s="105">
        <f t="array" ref="AD26">MIN(IF(INDEX(properties!A$1:CB$87,'Fórmula'!B26,9)=0,10^6,INDEX(properties!A$1:CB$87,'Fórmula'!B26,9)),IF(INDEX(properties!A$1:CB$87,'Fórmula'!D26,9)=0,10^6,INDEX(properties!A$1:CB$87,'Fórmula'!D26,9)),IF(INDEX(properties!A$1:CB$87,'Fórmula'!F26,9)=0,10^6,INDEX(properties!A$1:CB$87,'Fórmula'!F26,9)),IF(INDEX(properties!A$1:CB$87,'Fórmula'!H26,9)=0,10^6,INDEX(properties!A$1:CB$87,'Fórmula'!H26,9)),IF(INDEX(properties!A$1:CB$87,'Fórmula'!J26,9)=0,10^6,INDEX(properties!A$1:CB$87,'Fórmula'!J26,9)))</f>
        <v>2</v>
      </c>
      <c r="AE26" s="105">
        <f t="shared" si="5"/>
        <v>85</v>
      </c>
      <c r="AF26" s="106">
        <f t="array" ref="AF26">(('Fórmula'!C26)/('Fórmula'!C26+'Fórmula'!E26+'Fórmula'!G26+'Fórmula'!I26+'Fórmula'!K26))*(INDEX(properties!A$1:CB$87,'Fórmula'!B26,10))+(('Fórmula'!E26)/('Fórmula'!C26+'Fórmula'!E26+'Fórmula'!G26+'Fórmula'!I26+'Fórmula'!K26))*(INDEX(properties!A$1:CB$87,'Fórmula'!D26,10))+(('Fórmula'!G26)/('Fórmula'!C26+'Fórmula'!E26+'Fórmula'!G26+'Fórmula'!I26+'Fórmula'!K26))*(INDEX(properties!A$1:CB$87,'Fórmula'!F26,10))+(('Fórmula'!I26)/('Fórmula'!C26+'Fórmula'!E26+'Fórmula'!G26+'Fórmula'!I26+'Fórmula'!K26))*(INDEX(properties!A$1:CB$87,'Fórmula'!H26,10))+(('Fórmula'!K26)/('Fórmula'!C26+'Fórmula'!E26+'Fórmula'!G26+'Fórmula'!I26+'Fórmula'!K26))*(INDEX(properties!A$1:CB$87,'Fórmula'!J26,10))</f>
        <v>4.75</v>
      </c>
      <c r="AG26" s="106">
        <f t="array" ref="AG26">'Fórmula'!C26*(INDEX(properties!A$1:CB$87,'Fórmula'!B26,10))+'Fórmula'!E26*(INDEX(properties!A$1:CB$87,'Fórmula'!D26,10))+'Fórmula'!G26*(INDEX(properties!A$1:CB$87,'Fórmula'!F26,10))+'Fórmula'!I26*(INDEX(properties!A$1:CB$87,'Fórmula'!H26,10))+'Fórmula'!K26*(INDEX(properties!A$1:CB$87,'Fórmula'!J26,10))</f>
        <v>38</v>
      </c>
      <c r="AH26" s="106">
        <f t="array" ref="AH26">VARP(IF(INDEX(properties!A$1:CB$87,'Fórmula'!B26,10)&lt;&gt;"",INDEX(properties!A$1:CB$87,'Fórmula'!B26,10)),IF(INDEX(properties!A$1:CB$87,'Fórmula'!D26,10)&lt;&gt;"",INDEX(properties!A$1:CB$87,'Fórmula'!D26,10)),IF(INDEX(properties!A$1:CB$87,'Fórmula'!F26,10)&lt;&gt;"",INDEX(properties!A$1:CB$87,'Fórmula'!F26,10)),IF(INDEX(properties!A$1:CB$87,'Fórmula'!H26,10)&lt;&gt;"",INDEX(properties!A$1:CB$87,'Fórmula'!H26,10)),IF(INDEX(properties!A$1:CB$87,'Fórmula'!J26,10)&lt;&gt;"",INDEX(properties!A$1:CB$87,'Fórmula'!J26,10)))</f>
        <v>7.76</v>
      </c>
      <c r="AI26" s="106">
        <f t="array" ref="AI26">MAX(INDEX(properties!A$1:CB$87,'Fórmula'!B26,10),INDEX(properties!A$1:CB$87,'Fórmula'!D26,10),INDEX(properties!A$1:CB$87,'Fórmula'!F26,10),INDEX(properties!A$1:CB$87,'Fórmula'!H26,10),INDEX(properties!A$1:CB$87,'Fórmula'!J26,10))</f>
        <v>7</v>
      </c>
      <c r="AJ26" s="106">
        <f t="array" ref="AJ26">MIN(IF(INDEX(properties!A$1:CB$87,'Fórmula'!B26,10)=0,10^6,INDEX(properties!A$1:CB$87,'Fórmula'!B26,10)),IF(INDEX(properties!A$1:CB$87,'Fórmula'!D26,10)=0,10^6,INDEX(properties!A$1:CB$87,'Fórmula'!D26,10)),IF(INDEX(properties!A$1:CB$87,'Fórmula'!F26,10)=0,10^6,INDEX(properties!A$1:CB$87,'Fórmula'!F26,10)),IF(INDEX(properties!A$1:CB$87,'Fórmula'!H26,10)=0,10^6,INDEX(properties!A$1:CB$87,'Fórmula'!H26,10)),IF(INDEX(properties!A$1:CB$87,'Fórmula'!J26,10)=0,10^6,INDEX(properties!A$1:CB$87,'Fórmula'!J26,10)))</f>
        <v>1</v>
      </c>
      <c r="AK26" s="106">
        <f t="shared" si="6"/>
        <v>6</v>
      </c>
      <c r="AL26" s="107">
        <f t="array" ref="AL26">(('Fórmula'!C26)/('Fórmula'!C26+'Fórmula'!E26+'Fórmula'!G26+'Fórmula'!I26+'Fórmula'!K26))*(INDEX(properties!A$1:CB$87,'Fórmula'!B26,11))+(('Fórmula'!E26)/('Fórmula'!C26+'Fórmula'!E26+'Fórmula'!G26+'Fórmula'!I26+'Fórmula'!K26))*(INDEX(properties!A$1:CB$87,'Fórmula'!D26,11))+(('Fórmula'!G26)/('Fórmula'!C26+'Fórmula'!E26+'Fórmula'!G26+'Fórmula'!I26+'Fórmula'!K26))*(INDEX(properties!A$1:CB$87,'Fórmula'!F26,11))+(('Fórmula'!I26)/('Fórmula'!C26+'Fórmula'!E26+'Fórmula'!G26+'Fórmula'!I26+'Fórmula'!K26))*(INDEX(properties!A$1:CB$87,'Fórmula'!H26,11))+(('Fórmula'!K26)/('Fórmula'!C26+'Fórmula'!E26+'Fórmula'!G26+'Fórmula'!I26+'Fórmula'!K26))*(INDEX(properties!A$1:CB$87,'Fórmula'!J26,11))</f>
        <v>1.75</v>
      </c>
      <c r="AM26" s="107">
        <f t="array" ref="AM26">'Fórmula'!C26*(INDEX(properties!A$1:CB$87,'Fórmula'!B26,11))+'Fórmula'!E26*(INDEX(properties!A$1:CB$87,'Fórmula'!D26,11))+'Fórmula'!G26*(INDEX(properties!A$1:CB$87,'Fórmula'!F26,11))+'Fórmula'!I26*(INDEX(properties!A$1:CB$87,'Fórmula'!H26,11))+'Fórmula'!K26*(INDEX(properties!A$1:CB$87,'Fórmula'!J26,11))</f>
        <v>14</v>
      </c>
      <c r="AN26" s="107">
        <f t="array" ref="AN26">VARP(IF(INDEX(properties!A$1:CB$87,'Fórmula'!B26,11)&lt;&gt;"",INDEX(properties!A$1:CB$87,'Fórmula'!B26,11)),IF(INDEX(properties!A$1:CB$87,'Fórmula'!D26,11)&lt;&gt;"",INDEX(properties!A$1:CB$87,'Fórmula'!D26,11)),IF(INDEX(properties!A$1:CB$87,'Fórmula'!F26,11)&lt;&gt;"",INDEX(properties!A$1:CB$87,'Fórmula'!F26,11)),IF(INDEX(properties!A$1:CB$87,'Fórmula'!H26,11)&lt;&gt;"",INDEX(properties!A$1:CB$87,'Fórmula'!H26,11)),IF(INDEX(properties!A$1:CB$87,'Fórmula'!J26,11)&lt;&gt;"",INDEX(properties!A$1:CB$87,'Fórmula'!J26,11)))</f>
        <v>0.64</v>
      </c>
      <c r="AO26" s="107">
        <f t="array" ref="AO26">MAX(INDEX(properties!A$1:CB$87,'Fórmula'!B26,11),INDEX(properties!A$1:CB$87,'Fórmula'!D26,11),INDEX(properties!A$1:CB$87,'Fórmula'!F26,11),INDEX(properties!A$1:CB$87,'Fórmula'!H26,11),INDEX(properties!A$1:CB$87,'Fórmula'!J26,11))</f>
        <v>2</v>
      </c>
      <c r="AP26" s="107">
        <f t="array" ref="AP26">MIN(IF('Fórmula'!B26=87,10^6,INDEX(properties!A$1:CB$87,'Fórmula'!B26,11)),IF(('Fórmula'!D26)=87,10^6,INDEX(properties!A$1:CB$87,'Fórmula'!D26,11)),IF(('Fórmula'!F26)=87,10^6,INDEX(properties!A$1:CB$87,'Fórmula'!F26,11)),IF(('Fórmula'!H26)=87,10^6,INDEX(properties!A$1:CB$87,'Fórmula'!H26,11)),IF('Fórmula'!J26=87,10^6,INDEX(properties!A$1:CB$87,'Fórmula'!J26,11)))</f>
        <v>1</v>
      </c>
      <c r="AQ26" s="107">
        <f t="shared" si="7"/>
        <v>1</v>
      </c>
      <c r="AR26" s="108">
        <f t="array" ref="AR26">(('Fórmula'!C26)/('Fórmula'!C26+'Fórmula'!E26+'Fórmula'!G26+'Fórmula'!I26+'Fórmula'!K26))*(INDEX(properties!A$1:CB$87,'Fórmula'!B26,12))+(('Fórmula'!E26)/('Fórmula'!C26+'Fórmula'!E26+'Fórmula'!G26+'Fórmula'!I26+'Fórmula'!K26))*(INDEX(properties!A$1:CB$87,'Fórmula'!D26,12))+(('Fórmula'!G26)/('Fórmula'!C26+'Fórmula'!E26+'Fórmula'!G26+'Fórmula'!I26+'Fórmula'!K26))*(INDEX(properties!A$1:CB$87,'Fórmula'!F26,12))+(('Fórmula'!I26)/('Fórmula'!C26+'Fórmula'!E26+'Fórmula'!G26+'Fórmula'!I26+'Fórmula'!K26))*(INDEX(properties!A$1:CB$87,'Fórmula'!H26,12))+(('Fórmula'!K26)/('Fórmula'!C26+'Fórmula'!E26+'Fórmula'!G26+'Fórmula'!I26+'Fórmula'!K26))*(INDEX(properties!A$1:CB$87,'Fórmula'!J26,12))</f>
        <v>2.25</v>
      </c>
      <c r="AS26" s="108">
        <f t="array" ref="AS26">'Fórmula'!C26*(INDEX(properties!A$1:CB$87,'Fórmula'!B26,12))+'Fórmula'!E26*(INDEX(properties!A$1:CB$87,'Fórmula'!D26,12))+'Fórmula'!G26*(INDEX(properties!A$1:CB$87,'Fórmula'!F26,12))+'Fórmula'!I26*(INDEX(properties!A$1:CB$87,'Fórmula'!H26,12))+'Fórmula'!K26*(INDEX(properties!A$1:CB$87,'Fórmula'!J26,12))</f>
        <v>18</v>
      </c>
      <c r="AT26" s="108">
        <f t="array" ref="AT26">VARP(IF(INDEX(properties!A$1:CB$87,'Fórmula'!B26,12)&lt;&gt;"",INDEX(properties!A$1:CB$87,'Fórmula'!B26,12)),IF(INDEX(properties!A$1:CB$87,'Fórmula'!D26,12)&lt;&gt;"",INDEX(properties!A$1:CB$87,'Fórmula'!D26,12)),IF(INDEX(properties!A$1:CB$87,'Fórmula'!F26,12)&lt;&gt;"",INDEX(properties!A$1:CB$87,'Fórmula'!F26,12)),IF(INDEX(properties!A$1:CB$87,'Fórmula'!H26,12)&lt;&gt;"",INDEX(properties!A$1:CB$87,'Fórmula'!H26,12)),IF(INDEX(properties!A$1:CB$87,'Fórmula'!J26,12)&lt;&gt;"",INDEX(properties!A$1:CB$87,'Fórmula'!J26,12)))</f>
        <v>2.56</v>
      </c>
      <c r="AU26" s="108">
        <f t="array" ref="AU26">MAX(INDEX(properties!A$1:CB$87,'Fórmula'!B26,12),INDEX(properties!A$1:CB$87,'Fórmula'!D26,12),INDEX(properties!A$1:CB$87,'Fórmula'!F26,12),INDEX(properties!A$1:CB$87,'Fórmula'!H26,12),INDEX(properties!A$1:CB$87,'Fórmula'!J26,12))</f>
        <v>4</v>
      </c>
      <c r="AV26" s="108">
        <f t="array" ref="AV26">MIN(IF('Fórmula'!B26=87,10^6,INDEX(properties!A$1:CB$87,'Fórmula'!B26,12)),IF(('Fórmula'!D26)=87,10^6,INDEX(properties!A$1:CB$87,'Fórmula'!D26,12)),IF(('Fórmula'!F26)=87,10^6,INDEX(properties!A$1:CB$87,'Fórmula'!F26,12)),IF(('Fórmula'!H26)=87,10^6,INDEX(properties!A$1:CB$87,'Fórmula'!H26,12)),IF('Fórmula'!J26=87,10^6,INDEX(properties!A$1:CB$87,'Fórmula'!J26,12)))</f>
        <v>0</v>
      </c>
      <c r="AW26" s="108">
        <f t="shared" si="8"/>
        <v>4</v>
      </c>
      <c r="AX26" s="109">
        <f t="array" ref="AX26">(('Fórmula'!C26)/('Fórmula'!C26+'Fórmula'!E26+'Fórmula'!G26+'Fórmula'!I26+'Fórmula'!K26))*(INDEX(properties!A$1:CB$87,'Fórmula'!B26,13))+(('Fórmula'!E26)/('Fórmula'!C26+'Fórmula'!E26+'Fórmula'!G26+'Fórmula'!I26+'Fórmula'!K26))*(INDEX(properties!A$1:CB$87,'Fórmula'!D26,13))+(('Fórmula'!G26)/('Fórmula'!C26+'Fórmula'!E26+'Fórmula'!G26+'Fórmula'!I26+'Fórmula'!K26))*(INDEX(properties!A$1:CB$87,'Fórmula'!F26,13))+(('Fórmula'!I26)/('Fórmula'!C26+'Fórmula'!E26+'Fórmula'!G26+'Fórmula'!I26+'Fórmula'!K26))*(INDEX(properties!A$1:CB$87,'Fórmula'!H26,13))+(('Fórmula'!K26)/('Fórmula'!C26+'Fórmula'!E26+'Fórmula'!G26+'Fórmula'!I26+'Fórmula'!K26))*(INDEX(properties!A$1:CB$87,'Fórmula'!J26,13))</f>
        <v>0</v>
      </c>
      <c r="AY26" s="109">
        <f t="array" ref="AY26">'Fórmula'!C26*(INDEX(properties!A$1:CB$87,'Fórmula'!B26,13))+'Fórmula'!E26*(INDEX(properties!A$1:CB$87,'Fórmula'!D26,13))+'Fórmula'!G26*(INDEX(properties!A$1:CB$87,'Fórmula'!F26,13))+'Fórmula'!I26*(INDEX(properties!A$1:CB$87,'Fórmula'!H26,13))+'Fórmula'!K26*(INDEX(properties!A$1:CB$87,'Fórmula'!J26,13))</f>
        <v>0</v>
      </c>
      <c r="AZ26" s="109">
        <f t="array" ref="AZ26">VARP(IF(INDEX(properties!A$1:CB$87,'Fórmula'!B26,13)&lt;&gt;"",INDEX(properties!A$1:CB$87,'Fórmula'!B26,13)),IF(INDEX(properties!A$1:CB$87,'Fórmula'!D26,13)&lt;&gt;"",INDEX(properties!A$1:CB$87,'Fórmula'!D26,13)),IF(INDEX(properties!A$1:CB$87,'Fórmula'!F26,13)&lt;&gt;"",INDEX(properties!A$1:CB$87,'Fórmula'!F26,13)),IF(INDEX(properties!A$1:CB$87,'Fórmula'!H26,13)&lt;&gt;"",INDEX(properties!A$1:CB$87,'Fórmula'!H26,13)),IF(INDEX(properties!A$1:CB$87,'Fórmula'!J26,13)&lt;&gt;"",INDEX(properties!A$1:CB$87,'Fórmula'!J26,13)))</f>
        <v>0</v>
      </c>
      <c r="BA26" s="109">
        <f t="array" ref="BA26">MAX(INDEX(properties!A$1:CB$87,'Fórmula'!B26,13),INDEX(properties!A$1:CB$87,'Fórmula'!D26,13),INDEX(properties!A$1:CB$87,'Fórmula'!F26,13),INDEX(properties!A$1:CB$87,'Fórmula'!H26,13),INDEX(properties!A$1:CB$87,'Fórmula'!J26,13))</f>
        <v>0</v>
      </c>
      <c r="BB26" s="109">
        <f t="array" ref="BB26">MIN(IF('Fórmula'!B26=87,10^6,INDEX(properties!A$1:CB$87,'Fórmula'!B26,13)),IF(('Fórmula'!D26)=87,10^6,INDEX(properties!A$1:CB$87,'Fórmula'!D26,13)),IF(('Fórmula'!F26)=87,10^6,INDEX(properties!A$1:CB$87,'Fórmula'!F26,13)),IF(('Fórmula'!H26)=87,10^6,INDEX(properties!A$1:CB$87,'Fórmula'!H26,13)),IF('Fórmula'!J26=87,10^6,INDEX(properties!A$1:CB$87,'Fórmula'!J26,13)))</f>
        <v>0</v>
      </c>
      <c r="BC26" s="109">
        <f t="shared" si="9"/>
        <v>0</v>
      </c>
      <c r="BD26" s="110">
        <f t="array" ref="BD26">(('Fórmula'!C26)/('Fórmula'!C26+'Fórmula'!E26+'Fórmula'!G26+'Fórmula'!I26+'Fórmula'!K26))*(INDEX(properties!A$1:CB$87,'Fórmula'!B26,14))+(('Fórmula'!E26)/('Fórmula'!C26+'Fórmula'!E26+'Fórmula'!G26+'Fórmula'!I26+'Fórmula'!K26))*(INDEX(properties!A$1:CB$87,'Fórmula'!D26,14))+(('Fórmula'!G26)/('Fórmula'!C26+'Fórmula'!E26+'Fórmula'!G26+'Fórmula'!I26+'Fórmula'!K26))*(INDEX(properties!A$1:CB$87,'Fórmula'!F26,14))+(('Fórmula'!I26)/('Fórmula'!C26+'Fórmula'!E26+'Fórmula'!G26+'Fórmula'!I26+'Fórmula'!K26))*(INDEX(properties!A$1:CB$87,'Fórmula'!H26,14))+(('Fórmula'!K26)/('Fórmula'!C26+'Fórmula'!E26+'Fórmula'!G26+'Fórmula'!I26+'Fórmula'!K26))*(INDEX(properties!A$1:CB$87,'Fórmula'!J26,14))</f>
        <v>0</v>
      </c>
      <c r="BE26" s="110">
        <f t="array" ref="BE26">'Fórmula'!C26*(INDEX(properties!A$1:CB$87,'Fórmula'!B26,14))+'Fórmula'!E26*(INDEX(properties!A$1:CB$87,'Fórmula'!D26,14))+'Fórmula'!G26*(INDEX(properties!A$1:CB$87,'Fórmula'!F26,14))+'Fórmula'!I26*(INDEX(properties!A$1:CB$87,'Fórmula'!H26,14))+'Fórmula'!K26*(INDEX(properties!A$1:CB$87,'Fórmula'!J26,14))</f>
        <v>0</v>
      </c>
      <c r="BF26" s="110">
        <f t="array" ref="BF26">VARP(IF(INDEX(properties!A$1:CB$87,'Fórmula'!B26,14)&lt;&gt;"",INDEX(properties!A$1:CB$87,'Fórmula'!B26,14)),IF(INDEX(properties!A$1:CB$87,'Fórmula'!D26,14)&lt;&gt;"",INDEX(properties!A$1:CB$87,'Fórmula'!D26,14)),IF(INDEX(properties!A$1:CB$87,'Fórmula'!F26,14)&lt;&gt;"",INDEX(properties!A$1:CB$87,'Fórmula'!F26,14)),IF(INDEX(properties!A$1:CB$87,'Fórmula'!H26,14)&lt;&gt;"",INDEX(properties!A$1:CB$87,'Fórmula'!H26,14)),IF(INDEX(properties!A$1:CB$87,'Fórmula'!J26,14)&lt;&gt;"",INDEX(properties!A$1:CB$87,'Fórmula'!J26,14)))</f>
        <v>0</v>
      </c>
      <c r="BG26" s="110">
        <f t="array" ref="BG26">MAX(INDEX(properties!A$1:CB$87,'Fórmula'!B26,14),INDEX(properties!A$1:CB$87,'Fórmula'!D26,14),INDEX(properties!A$1:CB$87,'Fórmula'!F26,14),INDEX(properties!A$1:CB$87,'Fórmula'!H26,14),INDEX(properties!A$1:CB$87,'Fórmula'!J26,14))</f>
        <v>0</v>
      </c>
      <c r="BH26" s="110">
        <f t="array" ref="BH26">MIN(IF('Fórmula'!B26=87,10^6,INDEX(properties!A$1:CB$87,'Fórmula'!B26,14)),IF(('Fórmula'!D26)=87,10^6,INDEX(properties!A$1:CB$87,'Fórmula'!D26,14)),IF(('Fórmula'!F26)=87,10^6,INDEX(properties!A$1:CB$87,'Fórmula'!F26,14)),IF(('Fórmula'!H26)=87,10^6,INDEX(properties!A$1:CB$87,'Fórmula'!H26,14)),IF('Fórmula'!J26=87,10^6,INDEX(properties!A$1:CB$87,'Fórmula'!J26,14)))</f>
        <v>0</v>
      </c>
      <c r="BI26" s="110">
        <f t="shared" si="10"/>
        <v>0</v>
      </c>
      <c r="BJ26" s="111">
        <f t="array" ref="BJ26">(('Fórmula'!C26)/('Fórmula'!C26+'Fórmula'!E26+'Fórmula'!G26+'Fórmula'!I26+'Fórmula'!K26))*(INDEX(properties!A$1:CB$87,'Fórmula'!B26,19))+(('Fórmula'!E26)/('Fórmula'!C26+'Fórmula'!E26+'Fórmula'!G26+'Fórmula'!I26+'Fórmula'!K26))*(INDEX(properties!A$1:CB$87,'Fórmula'!D26,19))+(('Fórmula'!G26)/('Fórmula'!C26+'Fórmula'!E26+'Fórmula'!G26+'Fórmula'!I26+'Fórmula'!K26))*(INDEX(properties!A$1:CB$87,'Fórmula'!F26,19))+(('Fórmula'!I26)/('Fórmula'!C26+'Fórmula'!E26+'Fórmula'!G26+'Fórmula'!I26+'Fórmula'!K26))*(INDEX(properties!A$1:CB$87,'Fórmula'!H26,19))+(('Fórmula'!K26)/('Fórmula'!C26+'Fórmula'!E26+'Fórmula'!G26+'Fórmula'!I26+'Fórmula'!K26))*(INDEX(properties!A$1:CB$87,'Fórmula'!J26,19))</f>
        <v>4</v>
      </c>
      <c r="BK26" s="111">
        <f t="array" ref="BK26">'Fórmula'!C26*(INDEX(properties!A$1:CB$87,'Fórmula'!B26,19))+'Fórmula'!E26*(INDEX(properties!A$1:CB$87,'Fórmula'!D26,19))+'Fórmula'!G26*(INDEX(properties!A$1:CB$87,'Fórmula'!F26,19))+'Fórmula'!I26*(INDEX(properties!A$1:CB$87,'Fórmula'!H26,19))+'Fórmula'!K26*(INDEX(properties!A$1:CB$87,'Fórmula'!J26,19))</f>
        <v>32</v>
      </c>
      <c r="BL26" s="111">
        <f t="array" ref="BL26">VARP(IF(INDEX(properties!A$1:CB$87,'Fórmula'!B26,19)&lt;&gt;"",INDEX(properties!A$1:CB$87,'Fórmula'!B26,19)),IF(INDEX(properties!A$1:CB$87,'Fórmula'!D26,19)&lt;&gt;"",INDEX(properties!A$1:CB$87,'Fórmula'!D26,19)),IF(INDEX(properties!A$1:CB$87,'Fórmula'!F26,19)&lt;&gt;"",INDEX(properties!A$1:CB$87,'Fórmula'!F26,19)),IF(INDEX(properties!A$1:CB$87,'Fórmula'!H26,19)&lt;&gt;"",INDEX(properties!A$1:CB$87,'Fórmula'!H26,19)),IF(INDEX(properties!A$1:CB$87,'Fórmula'!J26,19)&lt;&gt;"",INDEX(properties!A$1:CB$87,'Fórmula'!J26,19)))</f>
        <v>4.64</v>
      </c>
      <c r="BM26" s="111">
        <f t="array" ref="BM26">MAX(INDEX(properties!A$1:CB$87,'Fórmula'!B26,19),INDEX(properties!A$1:CB$87,'Fórmula'!D26,19),INDEX(properties!A$1:CB$87,'Fórmula'!F26,19),INDEX(properties!A$1:CB$87,'Fórmula'!H26,19),INDEX(properties!A$1:CB$87,'Fórmula'!J26,19))</f>
        <v>6</v>
      </c>
      <c r="BN26" s="111">
        <f t="array" ref="BN26">MIN(IF(INDEX(properties!A$1:CB$87,'Fórmula'!B26,19)=0,10^6,INDEX(properties!A$1:CB$87,'Fórmula'!B26,19)),IF(INDEX(properties!A$1:CB$87,'Fórmula'!D26,19)=0,10^6,INDEX(properties!A$1:CB$87,'Fórmula'!D26,19)),IF(INDEX(properties!A$1:CB$87,'Fórmula'!F26,19)=0,10^6,INDEX(properties!A$1:CB$87,'Fórmula'!F26,19)),IF(INDEX(properties!A$1:CB$87,'Fórmula'!H26,19)=0,10^6,INDEX(properties!A$1:CB$87,'Fórmula'!H26,19)),IF(INDEX(properties!A$1:CB$87,'Fórmula'!J26,19)=0,10^6,INDEX(properties!A$1:CB$87,'Fórmula'!J26,19)))</f>
        <v>1</v>
      </c>
      <c r="BO26" s="111">
        <f t="shared" si="11"/>
        <v>5</v>
      </c>
      <c r="BP26" s="112">
        <f t="array" ref="BP26">(('Fórmula'!C26)/('Fórmula'!C26+'Fórmula'!E26+'Fórmula'!G26+'Fórmula'!I26+'Fórmula'!K26))*(INDEX(properties!A$1:CB$87,'Fórmula'!B26,20))+(('Fórmula'!E26)/('Fórmula'!C26+'Fórmula'!E26+'Fórmula'!G26+'Fórmula'!I26+'Fórmula'!K26))*(INDEX(properties!A$1:CB$87,'Fórmula'!D26,20))+(('Fórmula'!G26)/('Fórmula'!C26+'Fórmula'!E26+'Fórmula'!G26+'Fórmula'!I26+'Fórmula'!K26))*(INDEX(properties!A$1:CB$87,'Fórmula'!F26,20))+(('Fórmula'!I26)/('Fórmula'!C26+'Fórmula'!E26+'Fórmula'!G26+'Fórmula'!I26+'Fórmula'!K26))*(INDEX(properties!A$1:CB$87,'Fórmula'!H26,20))+(('Fórmula'!K26)/('Fórmula'!C26+'Fórmula'!E26+'Fórmula'!G26+'Fórmula'!I26+'Fórmula'!K26))*(INDEX(properties!A$1:CB$87,'Fórmula'!J26,20))</f>
        <v>4</v>
      </c>
      <c r="BQ26" s="112">
        <f t="array" ref="BQ26">'Fórmula'!C26*(INDEX(properties!A$1:CB$87,'Fórmula'!B26,20))+'Fórmula'!E26*(INDEX(properties!A$1:CB$87,'Fórmula'!D26,20))+'Fórmula'!G26*(INDEX(properties!A$1:CB$87,'Fórmula'!F26,20))+'Fórmula'!I26*(INDEX(properties!A$1:CB$87,'Fórmula'!H26,20))+'Fórmula'!K26*(INDEX(properties!A$1:CB$87,'Fórmula'!J26,20))</f>
        <v>32</v>
      </c>
      <c r="BR26" s="112">
        <f t="array" ref="BR26">VARP(IF(INDEX(properties!A$1:CB$87,'Fórmula'!B26,20)&lt;&gt;"",INDEX(properties!A$1:CB$87,'Fórmula'!B26,20)),IF(INDEX(properties!A$1:CB$87,'Fórmula'!D26,20)&lt;&gt;"",INDEX(properties!A$1:CB$87,'Fórmula'!D26,20)),IF(INDEX(properties!A$1:CB$87,'Fórmula'!F26,20)&lt;&gt;"",INDEX(properties!A$1:CB$87,'Fórmula'!F26,20)),IF(INDEX(properties!A$1:CB$87,'Fórmula'!H26,20)&lt;&gt;"",INDEX(properties!A$1:CB$87,'Fórmula'!H26,20)),IF(INDEX(properties!A$1:CB$87,'Fórmula'!J26,20)&lt;&gt;"",INDEX(properties!A$1:CB$87,'Fórmula'!J26,20)))</f>
        <v>4.64</v>
      </c>
      <c r="BS26" s="112">
        <f t="array" ref="BS26">MAX(INDEX(properties!A$1:CB$87,'Fórmula'!B26,20),INDEX(properties!A$1:CB$87,'Fórmula'!D26,20),INDEX(properties!A$1:CB$87,'Fórmula'!F26,20),INDEX(properties!A$1:CB$87,'Fórmula'!H26,20),INDEX(properties!A$1:CB$87,'Fórmula'!J26,20))</f>
        <v>6</v>
      </c>
      <c r="BT26" s="112">
        <f t="array" ref="BT26">MIN(IF(INDEX(properties!A$1:CB$87,'Fórmula'!B26,20)=0,10^6,INDEX(properties!A$1:CB$87,'Fórmula'!B26,20)),IF(INDEX(properties!A$1:CB$87,'Fórmula'!D26,20)=0,10^6,INDEX(properties!A$1:CB$87,'Fórmula'!D26,20)),IF(INDEX(properties!A$1:CB$87,'Fórmula'!F26,20)=0,10^6,INDEX(properties!A$1:CB$87,'Fórmula'!F26,20)),IF(INDEX(properties!A$1:CB$87,'Fórmula'!H26,20)=0,10^6,INDEX(properties!A$1:CB$87,'Fórmula'!H26,20)),IF(INDEX(properties!A$1:CB$87,'Fórmula'!J26,20)=0,10^6,INDEX(properties!A$1:CB$87,'Fórmula'!J26,20)))</f>
        <v>1</v>
      </c>
      <c r="BU26" s="112">
        <f t="shared" si="12"/>
        <v>5</v>
      </c>
      <c r="BV26" s="113">
        <f t="array" ref="BV26">(('Fórmula'!C26)/('Fórmula'!C26+'Fórmula'!E26+'Fórmula'!G26+'Fórmula'!I26+'Fórmula'!K26))*(INDEX(properties!A$1:CB$87,'Fórmula'!B26,21))+(('Fórmula'!E26)/('Fórmula'!C26+'Fórmula'!E26+'Fórmula'!G26+'Fórmula'!I26+'Fórmula'!K26))*(INDEX(properties!A$1:CB$87,'Fórmula'!D26,21))+(('Fórmula'!G26)/('Fórmula'!C26+'Fórmula'!E26+'Fórmula'!G26+'Fórmula'!I26+'Fórmula'!K26))*(INDEX(properties!A$1:CB$87,'Fórmula'!F26,21))+(('Fórmula'!I26)/('Fórmula'!C26+'Fórmula'!E26+'Fórmula'!G26+'Fórmula'!I26+'Fórmula'!K26))*(INDEX(properties!A$1:CB$87,'Fórmula'!H26,21))+(('Fórmula'!K26)/('Fórmula'!C26+'Fórmula'!E26+'Fórmula'!G26+'Fórmula'!I26+'Fórmula'!K26))*(INDEX(properties!A$1:CB$87,'Fórmula'!J26,21))</f>
        <v>4</v>
      </c>
      <c r="BW26" s="113">
        <f t="array" ref="BW26">'Fórmula'!C26*(INDEX(properties!A$1:CB$87,'Fórmula'!B26,21))+'Fórmula'!E26*(INDEX(properties!A$1:CB$87,'Fórmula'!D26,21))+'Fórmula'!G26*(INDEX(properties!A$1:CB$87,'Fórmula'!F26,21))+'Fórmula'!I26*(INDEX(properties!A$1:CB$87,'Fórmula'!H26,21))+'Fórmula'!K26*(INDEX(properties!A$1:CB$87,'Fórmula'!J26,21))</f>
        <v>32</v>
      </c>
      <c r="BX26" s="113">
        <f t="array" ref="BX26">VARP(IF(INDEX(properties!A$1:CB$87,'Fórmula'!B26,21)&lt;&gt;"",INDEX(properties!A$1:CB$87,'Fórmula'!B26,21)),IF(INDEX(properties!A$1:CB$87,'Fórmula'!D26,21)&lt;&gt;"",INDEX(properties!A$1:CB$87,'Fórmula'!D26,21)),IF(INDEX(properties!A$1:CB$87,'Fórmula'!F26,21)&lt;&gt;"",INDEX(properties!A$1:CB$87,'Fórmula'!F26,21)),IF(INDEX(properties!A$1:CB$87,'Fórmula'!H26,21)&lt;&gt;"",INDEX(properties!A$1:CB$87,'Fórmula'!H26,21)),IF(INDEX(properties!A$1:CB$87,'Fórmula'!J26,21)&lt;&gt;"",INDEX(properties!A$1:CB$87,'Fórmula'!J26,21)))</f>
        <v>4.64</v>
      </c>
      <c r="BY26" s="113">
        <f t="array" ref="BY26">MAX(INDEX(properties!A$1:CB$87,'Fórmula'!B26,21),INDEX(properties!A$1:CB$87,'Fórmula'!D26,21),INDEX(properties!A$1:CB$87,'Fórmula'!F26,21),INDEX(properties!A$1:CB$87,'Fórmula'!H26,21),INDEX(properties!A$1:CB$87,'Fórmula'!J26,21))</f>
        <v>6</v>
      </c>
      <c r="BZ26" s="113">
        <f t="array" ref="BZ26">MIN(IF(INDEX(properties!A$1:CB$87,'Fórmula'!B26,21)=0,10^6,INDEX(properties!A$1:CB$87,'Fórmula'!B26,21)),IF(INDEX(properties!A$1:CB$87,'Fórmula'!D26,21)=0,10^6,INDEX(properties!A$1:CB$87,'Fórmula'!D26,21)),IF(INDEX(properties!A$1:CB$87,'Fórmula'!F26,21)=0,10^6,INDEX(properties!A$1:CB$87,'Fórmula'!F26,21)),IF(INDEX(properties!A$1:CB$87,'Fórmula'!H26,21)=0,10^6,INDEX(properties!A$1:CB$87,'Fórmula'!H26,21)),IF(INDEX(properties!A$1:CB$87,'Fórmula'!J26,21)=0,10^6,INDEX(properties!A$1:CB$87,'Fórmula'!J26,21)))</f>
        <v>1</v>
      </c>
      <c r="CA26" s="113">
        <f t="shared" si="13"/>
        <v>5</v>
      </c>
      <c r="CB26" s="114">
        <f t="array" ref="CB26">(('Fórmula'!C26)/('Fórmula'!C26+'Fórmula'!E26+'Fórmula'!G26+'Fórmula'!I26+'Fórmula'!K26))*(INDEX(properties!A$1:CB$87,'Fórmula'!B26,23))+(('Fórmula'!E26)/('Fórmula'!C26+'Fórmula'!E26+'Fórmula'!G26+'Fórmula'!I26+'Fórmula'!K26))*(INDEX(properties!A$1:CB$87,'Fórmula'!D26,23))+(('Fórmula'!G26)/('Fórmula'!C26+'Fórmula'!E26+'Fórmula'!G26+'Fórmula'!I26+'Fórmula'!K26))*(INDEX(properties!A$1:CB$87,'Fórmula'!F26,23))+(('Fórmula'!I26)/('Fórmula'!C26+'Fórmula'!E26+'Fórmula'!G26+'Fórmula'!I26+'Fórmula'!K26))*(INDEX(properties!A$1:CB$87,'Fórmula'!H26,23))+(('Fórmula'!K26)/('Fórmula'!C26+'Fórmula'!E26+'Fórmula'!G26+'Fórmula'!I26+'Fórmula'!K26))*(INDEX(properties!A$1:CB$87,'Fórmula'!J26,23))</f>
        <v>1</v>
      </c>
      <c r="CC26" s="114">
        <f t="array" ref="CC26">'Fórmula'!C26*(INDEX(properties!A$1:CB$87,'Fórmula'!B26,23))+'Fórmula'!E26*(INDEX(properties!A$1:CB$87,'Fórmula'!D26,23))+'Fórmula'!G26*(INDEX(properties!A$1:CB$87,'Fórmula'!F26,23))+'Fórmula'!I26*(INDEX(properties!A$1:CB$87,'Fórmula'!H26,23))+'Fórmula'!K26*(INDEX(properties!A$1:CB$87,'Fórmula'!J26,23))</f>
        <v>8</v>
      </c>
      <c r="CD26" s="114">
        <f t="array" ref="CD26">VARP(IF(INDEX(properties!A$1:CB$87,'Fórmula'!B26,23)&lt;&gt;"",INDEX(properties!A$1:CB$87,'Fórmula'!B26,23)),IF(INDEX(properties!A$1:CB$87,'Fórmula'!D26,23)&lt;&gt;"",INDEX(properties!A$1:CB$87,'Fórmula'!D26,23)),IF(INDEX(properties!A$1:CB$87,'Fórmula'!F26,23)&lt;&gt;"",INDEX(properties!A$1:CB$87,'Fórmula'!F26,23)),IF(INDEX(properties!A$1:CB$87,'Fórmula'!H26,23)&lt;&gt;"",INDEX(properties!A$1:CB$87,'Fórmula'!H26,23)),IF(INDEX(properties!A$1:CB$87,'Fórmula'!J26,23)&lt;&gt;"",INDEX(properties!A$1:CB$87,'Fórmula'!J26,23)))</f>
        <v>2.24</v>
      </c>
      <c r="CE26" s="114">
        <f t="array" ref="CE26">MAX(INDEX(properties!A$1:CB$87,'Fórmula'!B26,23),INDEX(properties!A$1:CB$87,'Fórmula'!D26,23),INDEX(properties!A$1:CB$87,'Fórmula'!F26,23),INDEX(properties!A$1:CB$87,'Fórmula'!H26,23),INDEX(properties!A$1:CB$87,'Fórmula'!J26,23))</f>
        <v>4</v>
      </c>
      <c r="CF26" s="114">
        <f t="array" ref="CF26">MIN(IF('Fórmula'!B26=87,10^6,INDEX(properties!A$1:CB$87,'Fórmula'!B26,23)),IF(('Fórmula'!D26)=87,10^6,INDEX(properties!A$1:CB$87,'Fórmula'!D26,23)),IF(('Fórmula'!F26)=87,10^6,INDEX(properties!A$1:CB$87,'Fórmula'!F26,23)),IF(('Fórmula'!H26)=87,10^6,INDEX(properties!A$1:CB$87,'Fórmula'!H26,23)),IF('Fórmula'!J26=87,10^6,INDEX(properties!A$1:CB$87,'Fórmula'!J26,23)))</f>
        <v>0</v>
      </c>
      <c r="CG26" s="114">
        <f t="shared" si="14"/>
        <v>4</v>
      </c>
      <c r="CH26" s="115">
        <f t="array" ref="CH26">(('Fórmula'!C26)/('Fórmula'!C26+'Fórmula'!E26+'Fórmula'!G26+'Fórmula'!I26+'Fórmula'!K26))*(INDEX(properties!A$1:CB$87,'Fórmula'!B26,26))+(('Fórmula'!E26)/('Fórmula'!C26+'Fórmula'!E26+'Fórmula'!G26+'Fórmula'!I26+'Fórmula'!K26))*(INDEX(properties!A$1:CB$87,'Fórmula'!D26,26))+(('Fórmula'!G26)/('Fórmula'!C26+'Fórmula'!E26+'Fórmula'!G26+'Fórmula'!I26+'Fórmula'!K26))*(INDEX(properties!A$1:CB$87,'Fórmula'!F26,26))+(('Fórmula'!I26)/('Fórmula'!C26+'Fórmula'!E26+'Fórmula'!G26+'Fórmula'!I26+'Fórmula'!K26))*(INDEX(properties!A$1:CB$87,'Fórmula'!H26,26))+(('Fórmula'!K26)/('Fórmula'!C26+'Fórmula'!E26+'Fórmula'!G26+'Fórmula'!I26+'Fórmula'!K26))*(INDEX(properties!A$1:CB$87,'Fórmula'!J26,26))</f>
        <v>10.0685625</v>
      </c>
      <c r="CI26" s="115">
        <f t="array" ref="CI26">'Fórmula'!C26*(INDEX(properties!A$1:CB$87,'Fórmula'!B26,26))+'Fórmula'!E26*(INDEX(properties!A$1:CB$87,'Fórmula'!D26,26))+'Fórmula'!G26*(INDEX(properties!A$1:CB$87,'Fórmula'!F26,26))+'Fórmula'!I26*(INDEX(properties!A$1:CB$87,'Fórmula'!H26,26))+'Fórmula'!K26*(INDEX(properties!A$1:CB$87,'Fórmula'!J26,26))</f>
        <v>80.5485</v>
      </c>
      <c r="CJ26" s="115">
        <f t="array" ref="CJ26">VARP(IF(INDEX(properties!A$1:CB$87,'Fórmula'!B26,26)&lt;&gt;"",INDEX(properties!A$1:CB$87,'Fórmula'!B26,26)),IF(INDEX(properties!A$1:CB$87,'Fórmula'!D26,26)&lt;&gt;"",INDEX(properties!A$1:CB$87,'Fórmula'!D26,26)),IF(INDEX(properties!A$1:CB$87,'Fórmula'!F26,26)&lt;&gt;"",INDEX(properties!A$1:CB$87,'Fórmula'!F26,26)),IF(INDEX(properties!A$1:CB$87,'Fórmula'!H26,26)&lt;&gt;"",INDEX(properties!A$1:CB$87,'Fórmula'!H26,26)),IF(INDEX(properties!A$1:CB$87,'Fórmula'!J26,26)&lt;&gt;"",INDEX(properties!A$1:CB$87,'Fórmula'!J26,26)))</f>
        <v>19.59331931</v>
      </c>
      <c r="CK26" s="116">
        <f t="array" ref="CK26">MAX(INDEX(properties!A$1:CB$87,'Fórmula'!B26,26),INDEX(properties!A$1:CB$87,'Fórmula'!D26,26),INDEX(properties!A$1:CB$87,'Fórmula'!F26,26),INDEX(properties!A$1:CB$87,'Fórmula'!H26,26),INDEX(properties!A$1:CB$87,'Fórmula'!J26,26))</f>
        <v>13.6181</v>
      </c>
      <c r="CL26" s="116">
        <f t="array" ref="CL26">MIN(IF(INDEX(properties!A$1:CB$87,'Fórmula'!B26,26)=0,10^6,INDEX(properties!A$1:CB$87,'Fórmula'!B26,26)),IF(INDEX(properties!A$1:CB$87,'Fórmula'!D26,26)=0,10^6,INDEX(properties!A$1:CB$87,'Fórmula'!D26,26)),IF(INDEX(properties!A$1:CB$87,'Fórmula'!F26,26)=0,10^6,INDEX(properties!A$1:CB$87,'Fórmula'!F26,26)),IF(INDEX(properties!A$1:CB$87,'Fórmula'!H26,26)=0,10^6,INDEX(properties!A$1:CB$87,'Fórmula'!H26,26)),IF(INDEX(properties!A$1:CB$87,'Fórmula'!J26,26)=0,10^6,INDEX(properties!A$1:CB$87,'Fórmula'!J26,26)))</f>
        <v>5.1391</v>
      </c>
      <c r="CM26" s="115">
        <f t="shared" si="15"/>
        <v>8.479</v>
      </c>
      <c r="CN26" s="117">
        <f t="array" ref="CN26">(('Fórmula'!C26)/('Fórmula'!C26+'Fórmula'!E26+'Fórmula'!G26+'Fórmula'!I26+'Fórmula'!K26))*(INDEX(properties!A$1:CB$87,'Fórmula'!B26,30))+(('Fórmula'!E26)/('Fórmula'!C26+'Fórmula'!E26+'Fórmula'!G26+'Fórmula'!I26+'Fórmula'!K26))*(INDEX(properties!A$1:CB$87,'Fórmula'!D26,30))+(('Fórmula'!G26)/('Fórmula'!C26+'Fórmula'!E26+'Fórmula'!G26+'Fórmula'!I26+'Fórmula'!K26))*(INDEX(properties!A$1:CB$87,'Fórmula'!F26,30))+(('Fórmula'!I26)/('Fórmula'!C26+'Fórmula'!E26+'Fórmula'!G26+'Fórmula'!I26+'Fórmula'!K26))*(INDEX(properties!A$1:CB$87,'Fórmula'!H26,30))+(('Fórmula'!K26)/('Fórmula'!C26+'Fórmula'!E26+'Fórmula'!G26+'Fórmula'!I26+'Fórmula'!K26))*(INDEX(properties!A$1:CB$87,'Fórmula'!J26,30))</f>
        <v>2.35375</v>
      </c>
      <c r="CO26" s="117">
        <f t="array" ref="CO26">'Fórmula'!C26*(INDEX(properties!A$1:CB$87,'Fórmula'!B26,30))+'Fórmula'!E26*(INDEX(properties!A$1:CB$87,'Fórmula'!D26,30))+'Fórmula'!G26*(INDEX(properties!A$1:CB$87,'Fórmula'!F26,30))+'Fórmula'!I26*(INDEX(properties!A$1:CB$87,'Fórmula'!H26,30))+'Fórmula'!K26*(INDEX(properties!A$1:CB$87,'Fórmula'!J26,30))</f>
        <v>18.83</v>
      </c>
      <c r="CP26" s="117">
        <f t="array" ref="CP26">VARP(IF(INDEX(properties!A$1:CB$87,'Fórmula'!B26,30)&lt;&gt;"",INDEX(properties!A$1:CB$87,'Fórmula'!B26,30)),IF(INDEX(properties!A$1:CB$87,'Fórmula'!D26,30)&lt;&gt;"",INDEX(properties!A$1:CB$87,'Fórmula'!D26,30)),IF(INDEX(properties!A$1:CB$87,'Fórmula'!F26,30)&lt;&gt;"",INDEX(properties!A$1:CB$87,'Fórmula'!F26,30)),IF(INDEX(properties!A$1:CB$87,'Fórmula'!H26,30)&lt;&gt;"",INDEX(properties!A$1:CB$87,'Fórmula'!H26,30)),IF(INDEX(properties!A$1:CB$87,'Fórmula'!J26,30)&lt;&gt;"",INDEX(properties!A$1:CB$87,'Fórmula'!J26,30)))</f>
        <v>1.306664</v>
      </c>
      <c r="CQ26" s="117">
        <f t="array" ref="CQ26">MAX(INDEX(properties!A$1:CB$87,'Fórmula'!B26,30),INDEX(properties!A$1:CB$87,'Fórmula'!D26,30),INDEX(properties!A$1:CB$87,'Fórmula'!F26,30),INDEX(properties!A$1:CB$87,'Fórmula'!H26,30),INDEX(properties!A$1:CB$87,'Fórmula'!J26,30))</f>
        <v>3.44</v>
      </c>
      <c r="CR26" s="117">
        <f t="array" ref="CR26">MIN(IF(INDEX(properties!A$1:CB$87,'Fórmula'!B26,30)=0,10^6,INDEX(properties!A$1:CB$87,'Fórmula'!B26,30)),IF(INDEX(properties!A$1:CB$87,'Fórmula'!D26,30)=0,10^6,INDEX(properties!A$1:CB$87,'Fórmula'!D26,30)),IF(INDEX(properties!A$1:CB$87,'Fórmula'!F26,30)=0,10^6,INDEX(properties!A$1:CB$87,'Fórmula'!F26,30)),IF(INDEX(properties!A$1:CB$87,'Fórmula'!H26,30)=0,10^6,INDEX(properties!A$1:CB$87,'Fórmula'!H26,30)),IF(INDEX(properties!A$1:CB$87,'Fórmula'!J26,30)=0,10^6,INDEX(properties!A$1:CB$87,'Fórmula'!J26,30)))</f>
        <v>0.93</v>
      </c>
      <c r="CS26" s="117">
        <f t="shared" si="16"/>
        <v>2.51</v>
      </c>
      <c r="CT26" s="118">
        <f t="array" ref="CT26">(('Fórmula'!C26)/('Fórmula'!C26+'Fórmula'!E26+'Fórmula'!G26+'Fórmula'!I26+'Fórmula'!K26))*(INDEX(properties!A$1:CB$87,'Fórmula'!B26,31))+(('Fórmula'!E26)/('Fórmula'!C26+'Fórmula'!E26+'Fórmula'!G26+'Fórmula'!I26+'Fórmula'!K26))*(INDEX(properties!A$1:CB$87,'Fórmula'!D26,31))+(('Fórmula'!G26)/('Fórmula'!C26+'Fórmula'!E26+'Fórmula'!G26+'Fórmula'!I26+'Fórmula'!K26))*(INDEX(properties!A$1:CB$87,'Fórmula'!F26,31))+(('Fórmula'!I26)/('Fórmula'!C26+'Fórmula'!E26+'Fórmula'!G26+'Fórmula'!I26+'Fórmula'!K26))*(INDEX(properties!A$1:CB$87,'Fórmula'!H26,31))+(('Fórmula'!K26)/('Fórmula'!C26+'Fórmula'!E26+'Fórmula'!G26+'Fórmula'!I26+'Fórmula'!K26))*(INDEX(properties!A$1:CB$87,'Fórmula'!J26,31))</f>
        <v>2.29375</v>
      </c>
      <c r="CU26" s="118">
        <f t="array" ref="CU26">'Fórmula'!C26*(INDEX(properties!A$1:CB$87,'Fórmula'!B26,31))+'Fórmula'!E26*(INDEX(properties!A$1:CB$87,'Fórmula'!D26,31))+'Fórmula'!G26*(INDEX(properties!A$1:CB$87,'Fórmula'!F26,31))+'Fórmula'!I26*(INDEX(properties!A$1:CB$87,'Fórmula'!H26,31))+'Fórmula'!K26*(INDEX(properties!A$1:CB$87,'Fórmula'!J26,31))</f>
        <v>18.35</v>
      </c>
      <c r="CV26" s="118">
        <f t="array" ref="CV26">VARP(IF(INDEX(properties!A$1:CB$87,'Fórmula'!B26,31)&lt;&gt;"",INDEX(properties!A$1:CB$87,'Fórmula'!B26,31)),IF(INDEX(properties!A$1:CB$87,'Fórmula'!D26,31)&lt;&gt;"",INDEX(properties!A$1:CB$87,'Fórmula'!D26,31)),IF(INDEX(properties!A$1:CB$87,'Fórmula'!F26,31)&lt;&gt;"",INDEX(properties!A$1:CB$87,'Fórmula'!F26,31)),IF(INDEX(properties!A$1:CB$87,'Fórmula'!H26,31)&lt;&gt;"",INDEX(properties!A$1:CB$87,'Fórmula'!H26,31)),IF(INDEX(properties!A$1:CB$87,'Fórmula'!J26,31)&lt;&gt;"",INDEX(properties!A$1:CB$87,'Fórmula'!J26,31)))</f>
        <v>1.2402</v>
      </c>
      <c r="CW26" s="118">
        <f t="array" ref="CW26">MAX(INDEX(properties!A$1:CB$87,'Fórmula'!B26,31),INDEX(properties!A$1:CB$87,'Fórmula'!D26,31),INDEX(properties!A$1:CB$87,'Fórmula'!F26,31),INDEX(properties!A$1:CB$87,'Fórmula'!H26,31),INDEX(properties!A$1:CB$87,'Fórmula'!J26,31))</f>
        <v>3.32</v>
      </c>
      <c r="CX26" s="118">
        <f t="array" ref="CX26">MIN(IF(INDEX(properties!A$1:CB$87,'Fórmula'!B26,31)=0,10^6,INDEX(properties!A$1:CB$87,'Fórmula'!B26,31)),IF(INDEX(properties!A$1:CB$87,'Fórmula'!D26,31)=0,10^6,INDEX(properties!A$1:CB$87,'Fórmula'!D26,31)),IF(INDEX(properties!A$1:CB$87,'Fórmula'!F26,31)=0,10^6,INDEX(properties!A$1:CB$87,'Fórmula'!F26,31)),IF(INDEX(properties!A$1:CB$87,'Fórmula'!H26,31)=0,10^6,INDEX(properties!A$1:CB$87,'Fórmula'!H26,31)),IF(INDEX(properties!A$1:CB$87,'Fórmula'!J26,31)=0,10^6,INDEX(properties!A$1:CB$87,'Fórmula'!J26,31)))</f>
        <v>0.89</v>
      </c>
      <c r="CY26" s="118">
        <f t="shared" si="17"/>
        <v>2.43</v>
      </c>
      <c r="CZ26" s="119">
        <f t="array" ref="CZ26">(('Fórmula'!C26)/('Fórmula'!C26+'Fórmula'!E26+'Fórmula'!G26+'Fórmula'!I26+'Fórmula'!K26))*(INDEX(properties!A$1:CB$87,'Fórmula'!B26,32))+(('Fórmula'!E26)/('Fórmula'!C26+'Fórmula'!E26+'Fórmula'!G26+'Fórmula'!I26+'Fórmula'!K26))*(INDEX(properties!A$1:CB$87,'Fórmula'!D26,32))+(('Fórmula'!G26)/('Fórmula'!C26+'Fórmula'!E26+'Fórmula'!G26+'Fórmula'!I26+'Fórmula'!K26))*(INDEX(properties!A$1:CB$87,'Fórmula'!F26,32))+(('Fórmula'!I26)/('Fórmula'!C26+'Fórmula'!E26+'Fórmula'!G26+'Fórmula'!I26+'Fórmula'!K26))*(INDEX(properties!A$1:CB$87,'Fórmula'!H26,32))+(('Fórmula'!K26)/('Fórmula'!C26+'Fórmula'!E26+'Fórmula'!G26+'Fórmula'!I26+'Fórmula'!K26))*(INDEX(properties!A$1:CB$87,'Fórmula'!J26,32))</f>
        <v>5.5475</v>
      </c>
      <c r="DA26" s="119">
        <f t="array" ref="DA26">'Fórmula'!C26*(INDEX(properties!A$1:CB$87,'Fórmula'!B26,32))+'Fórmula'!E26*(INDEX(properties!A$1:CB$87,'Fórmula'!D26,32))+'Fórmula'!G26*(INDEX(properties!A$1:CB$87,'Fórmula'!F26,32))+'Fórmula'!I26*(INDEX(properties!A$1:CB$87,'Fórmula'!H26,32))+'Fórmula'!K26*(INDEX(properties!A$1:CB$87,'Fórmula'!J26,32))</f>
        <v>44.38</v>
      </c>
      <c r="DB26" s="119">
        <f t="array" ref="DB26">VARP(IF(INDEX(properties!A$1:CB$87,'Fórmula'!B26,32)&lt;&gt;"",INDEX(properties!A$1:CB$87,'Fórmula'!B26,32)),IF(INDEX(properties!A$1:CB$87,'Fórmula'!D26,32)&lt;&gt;"",INDEX(properties!A$1:CB$87,'Fórmula'!D26,32)),IF(INDEX(properties!A$1:CB$87,'Fórmula'!F26,32)&lt;&gt;"",INDEX(properties!A$1:CB$87,'Fórmula'!F26,32)),IF(INDEX(properties!A$1:CB$87,'Fórmula'!H26,32)&lt;&gt;"",INDEX(properties!A$1:CB$87,'Fórmula'!H26,32)),IF(INDEX(properties!A$1:CB$87,'Fórmula'!J26,32)&lt;&gt;"",INDEX(properties!A$1:CB$87,'Fórmula'!J26,32)))</f>
        <v>6.054376</v>
      </c>
      <c r="DC26" s="119">
        <f t="array" ref="DC26">MAX(INDEX(properties!A$1:CB$87,'Fórmula'!B26,32),INDEX(properties!A$1:CB$87,'Fórmula'!D26,32),INDEX(properties!A$1:CB$87,'Fórmula'!F26,32),INDEX(properties!A$1:CB$87,'Fórmula'!H26,32),INDEX(properties!A$1:CB$87,'Fórmula'!J26,32))</f>
        <v>7.54</v>
      </c>
      <c r="DD26" s="119">
        <f t="array" ref="DD26">MIN(IF(INDEX(properties!A$1:CB$87,'Fórmula'!B26,32)=0,10^6,INDEX(properties!A$1:CB$87,'Fórmula'!B26,32)),IF(INDEX(properties!A$1:CB$87,'Fórmula'!D26,32)=0,10^6,INDEX(properties!A$1:CB$87,'Fórmula'!D26,32)),IF(INDEX(properties!A$1:CB$87,'Fórmula'!F26,32)=0,10^6,INDEX(properties!A$1:CB$87,'Fórmula'!F26,32)),IF(INDEX(properties!A$1:CB$87,'Fórmula'!H26,32)=0,10^6,INDEX(properties!A$1:CB$87,'Fórmula'!H26,32)),IF(INDEX(properties!A$1:CB$87,'Fórmula'!J26,32)=0,10^6,INDEX(properties!A$1:CB$87,'Fórmula'!J26,32)))</f>
        <v>2.85</v>
      </c>
      <c r="DE26" s="119">
        <f t="shared" si="18"/>
        <v>4.69</v>
      </c>
      <c r="DF26" s="104">
        <f t="array" ref="DF26">(('Fórmula'!C26)/('Fórmula'!C26+'Fórmula'!E26+'Fórmula'!G26+'Fórmula'!I26+'Fórmula'!K26))*(INDEX(properties!A$1:CB$87,'Fórmula'!B26,34))+(('Fórmula'!E26)/('Fórmula'!C26+'Fórmula'!E26+'Fórmula'!G26+'Fórmula'!I26+'Fórmula'!K26))*(INDEX(properties!A$1:CB$87,'Fórmula'!D26,34))+(('Fórmula'!G26)/('Fórmula'!C26+'Fórmula'!E26+'Fórmula'!G26+'Fórmula'!I26+'Fórmula'!K26))*(INDEX(properties!A$1:CB$87,'Fórmula'!F26,34))+(('Fórmula'!I26)/('Fórmula'!C26+'Fórmula'!E26+'Fórmula'!G26+'Fórmula'!I26+'Fórmula'!K26))*(INDEX(properties!A$1:CB$87,'Fórmula'!H26,34))+(('Fórmula'!K26)/('Fórmula'!C26+'Fórmula'!E26+'Fórmula'!G26+'Fórmula'!I26+'Fórmula'!K26))*(INDEX(properties!A$1:CB$87,'Fórmula'!J26,34))</f>
        <v>2.423375</v>
      </c>
      <c r="DG26" s="104">
        <f t="array" ref="DG26">'Fórmula'!C26*(INDEX(properties!A$1:CB$87,'Fórmula'!B26,34))+'Fórmula'!E26*(INDEX(properties!A$1:CB$87,'Fórmula'!D26,34))+'Fórmula'!G26*(INDEX(properties!A$1:CB$87,'Fórmula'!F26,34))+'Fórmula'!I26*(INDEX(properties!A$1:CB$87,'Fórmula'!H26,34))+'Fórmula'!K26*(INDEX(properties!A$1:CB$87,'Fórmula'!J26,34))</f>
        <v>19.387</v>
      </c>
      <c r="DH26" s="104">
        <f t="array" ref="DH26">VARP(IF(INDEX(properties!A$1:CB$87,'Fórmula'!B26,34)&lt;&gt;"",INDEX(properties!A$1:CB$87,'Fórmula'!B26,34)),IF(INDEX(properties!A$1:CB$87,'Fórmula'!D26,34)&lt;&gt;"",INDEX(properties!A$1:CB$87,'Fórmula'!D26,34)),IF(INDEX(properties!A$1:CB$87,'Fórmula'!F26,34)&lt;&gt;"",INDEX(properties!A$1:CB$87,'Fórmula'!F26,34)),IF(INDEX(properties!A$1:CB$87,'Fórmula'!H26,34)&lt;&gt;"",INDEX(properties!A$1:CB$87,'Fórmula'!H26,34)),IF(INDEX(properties!A$1:CB$87,'Fórmula'!J26,34)&lt;&gt;"",INDEX(properties!A$1:CB$87,'Fórmula'!J26,34)))</f>
        <v>1.46181944</v>
      </c>
      <c r="DI26" s="104">
        <f t="array" ref="DI26">MAX(INDEX(properties!A$1:CB$87,'Fórmula'!B26,34),INDEX(properties!A$1:CB$87,'Fórmula'!D26,34),INDEX(properties!A$1:CB$87,'Fórmula'!F26,34),INDEX(properties!A$1:CB$87,'Fórmula'!H26,34),INDEX(properties!A$1:CB$87,'Fórmula'!J26,34))</f>
        <v>3.61</v>
      </c>
      <c r="DJ26" s="104">
        <f t="array" ref="DJ26">MIN(IF(INDEX(properties!A$1:CB$87,'Fórmula'!B26,34)=0,10^6,INDEX(properties!A$1:CB$87,'Fórmula'!B26,34)),IF(INDEX(properties!A$1:CB$87,'Fórmula'!D26,34)=0,10^6,INDEX(properties!A$1:CB$87,'Fórmula'!D26,34)),IF(INDEX(properties!A$1:CB$87,'Fórmula'!F26,34)=0,10^6,INDEX(properties!A$1:CB$87,'Fórmula'!F26,34)),IF(INDEX(properties!A$1:CB$87,'Fórmula'!H26,34)=0,10^6,INDEX(properties!A$1:CB$87,'Fórmula'!H26,34)),IF(INDEX(properties!A$1:CB$87,'Fórmula'!J26,34)=0,10^6,INDEX(properties!A$1:CB$87,'Fórmula'!J26,34)))</f>
        <v>0.869</v>
      </c>
      <c r="DK26" s="104">
        <f t="shared" si="19"/>
        <v>2.741</v>
      </c>
      <c r="DL26" s="105">
        <f t="array" ref="DL26">(('Fórmula'!C26)/('Fórmula'!C26+'Fórmula'!E26+'Fórmula'!G26+'Fórmula'!I26+'Fórmula'!K26))*(INDEX(properties!A$1:CB$87,'Fórmula'!B26,37))+(('Fórmula'!E26)/('Fórmula'!C26+'Fórmula'!E26+'Fórmula'!G26+'Fórmula'!I26+'Fórmula'!K26))*(INDEX(properties!A$1:CB$87,'Fórmula'!D26,37))+(('Fórmula'!G26)/('Fórmula'!C26+'Fórmula'!E26+'Fórmula'!G26+'Fórmula'!I26+'Fórmula'!K26))*(INDEX(properties!A$1:CB$87,'Fórmula'!F26,37))+(('Fórmula'!I26)/('Fórmula'!C26+'Fórmula'!E26+'Fórmula'!G26+'Fórmula'!I26+'Fórmula'!K26))*(INDEX(properties!A$1:CB$87,'Fórmula'!H26,37))+(('Fórmula'!K26)/('Fórmula'!C26+'Fórmula'!E26+'Fórmula'!G26+'Fórmula'!I26+'Fórmula'!K26))*(INDEX(properties!A$1:CB$87,'Fórmula'!J26,37))</f>
        <v>2.325</v>
      </c>
      <c r="DM26" s="105">
        <f t="array" ref="DM26">'Fórmula'!C26*(INDEX(properties!A$1:CB$87,'Fórmula'!B26,37))+'Fórmula'!E26*(INDEX(properties!A$1:CB$87,'Fórmula'!D26,37))+'Fórmula'!G26*(INDEX(properties!A$1:CB$87,'Fórmula'!F26,37))+'Fórmula'!I26*(INDEX(properties!A$1:CB$87,'Fórmula'!H26,37))+'Fórmula'!K26*(INDEX(properties!A$1:CB$87,'Fórmula'!J26,37))</f>
        <v>18.6</v>
      </c>
      <c r="DN26" s="105">
        <f t="array" ref="DN26">VARP(IF(INDEX(properties!A$1:CB$87,'Fórmula'!B26,37)&lt;&gt;"",INDEX(properties!A$1:CB$87,'Fórmula'!B26,37)),IF(INDEX(properties!A$1:CB$87,'Fórmula'!D26,37)&lt;&gt;"",INDEX(properties!A$1:CB$87,'Fórmula'!D26,37)),IF(INDEX(properties!A$1:CB$87,'Fórmula'!F26,37)&lt;&gt;"",INDEX(properties!A$1:CB$87,'Fórmula'!F26,37)),IF(INDEX(properties!A$1:CB$87,'Fórmula'!H26,37)&lt;&gt;"",INDEX(properties!A$1:CB$87,'Fórmula'!H26,37)),IF(INDEX(properties!A$1:CB$87,'Fórmula'!J26,37)&lt;&gt;"",INDEX(properties!A$1:CB$87,'Fórmula'!J26,37)))</f>
        <v>1.3176</v>
      </c>
      <c r="DO26" s="105">
        <f t="array" ref="DO26">MAX(INDEX(properties!A$1:CB$87,'Fórmula'!B26,37),INDEX(properties!A$1:CB$87,'Fórmula'!D26,37),INDEX(properties!A$1:CB$87,'Fórmula'!F26,37),INDEX(properties!A$1:CB$87,'Fórmula'!H26,37),INDEX(properties!A$1:CB$87,'Fórmula'!J26,37))</f>
        <v>3.45</v>
      </c>
      <c r="DP26" s="105">
        <f t="array" ref="DP26">MIN(IF(INDEX(properties!A$1:CB$87,'Fórmula'!B26,37)=0,10^6,INDEX(properties!A$1:CB$87,'Fórmula'!B26,37)),IF(INDEX(properties!A$1:CB$87,'Fórmula'!D26,37)=0,10^6,INDEX(properties!A$1:CB$87,'Fórmula'!D26,37)),IF(INDEX(properties!A$1:CB$87,'Fórmula'!F26,37)=0,10^6,INDEX(properties!A$1:CB$87,'Fórmula'!F26,37)),IF(INDEX(properties!A$1:CB$87,'Fórmula'!H26,37)=0,10^6,INDEX(properties!A$1:CB$87,'Fórmula'!H26,37)),IF(INDEX(properties!A$1:CB$87,'Fórmula'!J26,37)=0,10^6,INDEX(properties!A$1:CB$87,'Fórmula'!J26,37)))</f>
        <v>0.9</v>
      </c>
      <c r="DQ26" s="105">
        <f t="shared" si="20"/>
        <v>2.55</v>
      </c>
      <c r="DR26" s="109">
        <f t="array" ref="DR26">(('Fórmula'!C26)/('Fórmula'!C26+'Fórmula'!E26+'Fórmula'!G26+'Fórmula'!I26+'Fórmula'!K26))*(INDEX(properties!A$1:CB$87,'Fórmula'!B26,39))+(('Fórmula'!E26)/('Fórmula'!C26+'Fórmula'!E26+'Fórmula'!G26+'Fórmula'!I26+'Fórmula'!K26))*(INDEX(properties!A$1:CB$87,'Fórmula'!D26,39))+(('Fórmula'!G26)/('Fórmula'!C26+'Fórmula'!E26+'Fórmula'!G26+'Fórmula'!I26+'Fórmula'!K26))*(INDEX(properties!A$1:CB$87,'Fórmula'!F26,39))+(('Fórmula'!I26)/('Fórmula'!C26+'Fórmula'!E26+'Fórmula'!G26+'Fórmula'!I26+'Fórmula'!K26))*(INDEX(properties!A$1:CB$87,'Fórmula'!H26,39))+(('Fórmula'!K26)/('Fórmula'!C26+'Fórmula'!E26+'Fórmula'!G26+'Fórmula'!I26+'Fórmula'!K26))*(INDEX(properties!A$1:CB$87,'Fórmula'!J26,39))</f>
        <v>1.035</v>
      </c>
      <c r="DS26" s="109">
        <f t="array" ref="DS26">'Fórmula'!C26*(INDEX(properties!A$1:CB$87,'Fórmula'!B26,39))+'Fórmula'!E26*(INDEX(properties!A$1:CB$87,'Fórmula'!D26,39))+'Fórmula'!G26*(INDEX(properties!A$1:CB$87,'Fórmula'!F26,39))+'Fórmula'!I26*(INDEX(properties!A$1:CB$87,'Fórmula'!H26,39))+'Fórmula'!K26*(INDEX(properties!A$1:CB$87,'Fórmula'!J26,39))</f>
        <v>8.28</v>
      </c>
      <c r="DT26" s="109">
        <f t="array" ref="DT26">VARP(IF(INDEX(properties!A$1:CB$87,'Fórmula'!B26,39)&lt;&gt;"",INDEX(properties!A$1:CB$87,'Fórmula'!B26,39)),IF(INDEX(properties!A$1:CB$87,'Fórmula'!D26,39)&lt;&gt;"",INDEX(properties!A$1:CB$87,'Fórmula'!D26,39)),IF(INDEX(properties!A$1:CB$87,'Fórmula'!F26,39)&lt;&gt;"",INDEX(properties!A$1:CB$87,'Fórmula'!F26,39)),IF(INDEX(properties!A$1:CB$87,'Fórmula'!H26,39)&lt;&gt;"",INDEX(properties!A$1:CB$87,'Fórmula'!H26,39)),IF(INDEX(properties!A$1:CB$87,'Fórmula'!J26,39)&lt;&gt;"",INDEX(properties!A$1:CB$87,'Fórmula'!J26,39)))</f>
        <v>0.458856</v>
      </c>
      <c r="DU26" s="120">
        <f t="array" ref="DU26">MAX(INDEX(properties!A$1:CB$87,'Fórmula'!B26,39),INDEX(properties!A$1:CB$87,'Fórmula'!D26,39),INDEX(properties!A$1:CB$87,'Fórmula'!F26,39),INDEX(properties!A$1:CB$87,'Fórmula'!H26,39),INDEX(properties!A$1:CB$87,'Fórmula'!J26,39))</f>
        <v>1.9</v>
      </c>
      <c r="DV26" s="120">
        <f t="array" ref="DV26">MIN(IF(INDEX(properties!A$1:CB$87,'Fórmula'!B26,39)=0,10^6,INDEX(properties!A$1:CB$87,'Fórmula'!B26,39)),IF(INDEX(properties!A$1:CB$87,'Fórmula'!D26,39)=0,10^6,INDEX(properties!A$1:CB$87,'Fórmula'!D26,39)),IF(INDEX(properties!A$1:CB$87,'Fórmula'!F26,39)=0,10^6,INDEX(properties!A$1:CB$87,'Fórmula'!F26,39)),IF(INDEX(properties!A$1:CB$87,'Fórmula'!H26,39)=0,10^6,INDEX(properties!A$1:CB$87,'Fórmula'!H26,39)),IF(INDEX(properties!A$1:CB$87,'Fórmula'!J26,39)=0,10^6,INDEX(properties!A$1:CB$87,'Fórmula'!J26,39)))</f>
        <v>0.48</v>
      </c>
      <c r="DW26" s="109">
        <f t="shared" si="21"/>
        <v>1.42</v>
      </c>
      <c r="DX26" s="110">
        <f t="array" ref="DX26">(('Fórmula'!C26)/('Fórmula'!C26+'Fórmula'!E26+'Fórmula'!G26+'Fórmula'!I26+'Fórmula'!K26))*(INDEX(properties!A$1:CB$87,'Fórmula'!B26,40))+(('Fórmula'!E26)/('Fórmula'!C26+'Fórmula'!E26+'Fórmula'!G26+'Fórmula'!I26+'Fórmula'!K26))*(INDEX(properties!A$1:CB$87,'Fórmula'!D26,40))+(('Fórmula'!G26)/('Fórmula'!C26+'Fórmula'!E26+'Fórmula'!G26+'Fórmula'!I26+'Fórmula'!K26))*(INDEX(properties!A$1:CB$87,'Fórmula'!F26,40))+(('Fórmula'!I26)/('Fórmula'!C26+'Fórmula'!E26+'Fórmula'!G26+'Fórmula'!I26+'Fórmula'!K26))*(INDEX(properties!A$1:CB$87,'Fórmula'!H26,40))+(('Fórmula'!K26)/('Fórmula'!C26+'Fórmula'!E26+'Fórmula'!G26+'Fórmula'!I26+'Fórmula'!K26))*(INDEX(properties!A$1:CB$87,'Fórmula'!J26,40))</f>
        <v>1.05125</v>
      </c>
      <c r="DY26" s="110">
        <f t="array" ref="DY26">'Fórmula'!C26*(INDEX(properties!A$1:CB$87,'Fórmula'!B26,40))+'Fórmula'!E26*(INDEX(properties!A$1:CB$87,'Fórmula'!D26,40))+'Fórmula'!G26*(INDEX(properties!A$1:CB$87,'Fórmula'!F26,40))+'Fórmula'!I26*(INDEX(properties!A$1:CB$87,'Fórmula'!H26,40))+'Fórmula'!K26*(INDEX(properties!A$1:CB$87,'Fórmula'!J26,40))</f>
        <v>8.41</v>
      </c>
      <c r="DZ26" s="110">
        <f t="array" ref="DZ26">VARP(IF(INDEX(properties!A$1:CB$87,'Fórmula'!B26,40)&lt;&gt;"",INDEX(properties!A$1:CB$87,'Fórmula'!B26,40)),IF(INDEX(properties!A$1:CB$87,'Fórmula'!D26,40)&lt;&gt;"",INDEX(properties!A$1:CB$87,'Fórmula'!D26,40)),IF(INDEX(properties!A$1:CB$87,'Fórmula'!F26,40)&lt;&gt;"",INDEX(properties!A$1:CB$87,'Fórmula'!F26,40)),IF(INDEX(properties!A$1:CB$87,'Fórmula'!H26,40)&lt;&gt;"",INDEX(properties!A$1:CB$87,'Fórmula'!H26,40)),IF(INDEX(properties!A$1:CB$87,'Fórmula'!J26,40)&lt;&gt;"",INDEX(properties!A$1:CB$87,'Fórmula'!J26,40)))</f>
        <v>0.289224</v>
      </c>
      <c r="EA26" s="121">
        <f t="array" ref="EA26">MAX(INDEX(properties!A$1:CB$87,'Fórmula'!B26,40),INDEX(properties!A$1:CB$87,'Fórmula'!D26,40),INDEX(properties!A$1:CB$87,'Fórmula'!F26,40),INDEX(properties!A$1:CB$87,'Fórmula'!H26,40),INDEX(properties!A$1:CB$87,'Fórmula'!J26,40))</f>
        <v>1.54</v>
      </c>
      <c r="EB26" s="121">
        <f t="array" ref="EB26">MIN(IF(INDEX(properties!A$1:CB$87,'Fórmula'!B26,40)=0,10^6,INDEX(properties!A$1:CB$87,'Fórmula'!B26,40)),IF(INDEX(properties!A$1:CB$87,'Fórmula'!D26,40)=0,10^6,INDEX(properties!A$1:CB$87,'Fórmula'!D26,40)),IF(INDEX(properties!A$1:CB$87,'Fórmula'!F26,40)=0,10^6,INDEX(properties!A$1:CB$87,'Fórmula'!F26,40)),IF(INDEX(properties!A$1:CB$87,'Fórmula'!H26,40)=0,10^6,INDEX(properties!A$1:CB$87,'Fórmula'!H26,40)),IF(INDEX(properties!A$1:CB$87,'Fórmula'!J26,40)=0,10^6,INDEX(properties!A$1:CB$87,'Fórmula'!J26,40)))</f>
        <v>0.73</v>
      </c>
      <c r="EC26" s="110">
        <f t="shared" si="22"/>
        <v>0.81</v>
      </c>
      <c r="ED26" s="111">
        <f t="array" ref="ED26">(('Fórmula'!C26)/('Fórmula'!C26+'Fórmula'!E26+'Fórmula'!G26+'Fórmula'!I26+'Fórmula'!K26))*(INDEX(properties!A$1:CB$87,'Fórmula'!B26,41))+(('Fórmula'!E26)/('Fórmula'!C26+'Fórmula'!E26+'Fórmula'!G26+'Fórmula'!I26+'Fórmula'!K26))*(INDEX(properties!A$1:CB$87,'Fórmula'!D26,41))+(('Fórmula'!G26)/('Fórmula'!C26+'Fórmula'!E26+'Fórmula'!G26+'Fórmula'!I26+'Fórmula'!K26))*(INDEX(properties!A$1:CB$87,'Fórmula'!F26,41))+(('Fórmula'!I26)/('Fórmula'!C26+'Fórmula'!E26+'Fórmula'!G26+'Fórmula'!I26+'Fórmula'!K26))*(INDEX(properties!A$1:CB$87,'Fórmula'!H26,41))+(('Fórmula'!K26)/('Fórmula'!C26+'Fórmula'!E26+'Fórmula'!G26+'Fórmula'!I26+'Fórmula'!K26))*(INDEX(properties!A$1:CB$87,'Fórmula'!J26,41))</f>
        <v>1.095</v>
      </c>
      <c r="EE26" s="111">
        <f t="array" ref="EE26">'Fórmula'!C26*(INDEX(properties!A$1:CB$87,'Fórmula'!B26,41))+'Fórmula'!E26*(INDEX(properties!A$1:CB$87,'Fórmula'!D26,41))+'Fórmula'!G26*(INDEX(properties!A$1:CB$87,'Fórmula'!F26,41))+'Fórmula'!I26*(INDEX(properties!A$1:CB$87,'Fórmula'!H26,41))+'Fórmula'!K26*(INDEX(properties!A$1:CB$87,'Fórmula'!J26,41))</f>
        <v>8.76</v>
      </c>
      <c r="EF26" s="111">
        <f t="array" ref="EF26">VARP(IF(INDEX(properties!A$1:CB$87,'Fórmula'!B26,41)&lt;&gt;"",INDEX(properties!A$1:CB$87,'Fórmula'!B26,41)),IF(INDEX(properties!A$1:CB$87,'Fórmula'!D26,41)&lt;&gt;"",INDEX(properties!A$1:CB$87,'Fórmula'!D26,41)),IF(INDEX(properties!A$1:CB$87,'Fórmula'!F26,41)&lt;&gt;"",INDEX(properties!A$1:CB$87,'Fórmula'!F26,41)),IF(INDEX(properties!A$1:CB$87,'Fórmula'!H26,41)&lt;&gt;"",INDEX(properties!A$1:CB$87,'Fórmula'!H26,41)),IF(INDEX(properties!A$1:CB$87,'Fórmula'!J26,41)&lt;&gt;"",INDEX(properties!A$1:CB$87,'Fórmula'!J26,41)))</f>
        <v>0.209184</v>
      </c>
      <c r="EG26" s="122">
        <f t="array" ref="EG26">MAX(INDEX(properties!A$1:CB$87,'Fórmula'!B26,41),INDEX(properties!A$1:CB$87,'Fórmula'!D26,41),INDEX(properties!A$1:CB$87,'Fórmula'!F26,41),INDEX(properties!A$1:CB$87,'Fórmula'!H26,41),INDEX(properties!A$1:CB$87,'Fórmula'!J26,41))</f>
        <v>1.26</v>
      </c>
      <c r="EH26" s="122">
        <f t="array" ref="EH26">MIN(IF(INDEX(properties!A$1:CB$87,'Fórmula'!B26,41)=0,10^6,INDEX(properties!A$1:CB$87,'Fórmula'!B26,41)),IF(INDEX(properties!A$1:CB$87,'Fórmula'!D26,41)=0,10^6,INDEX(properties!A$1:CB$87,'Fórmula'!D26,41)),IF(INDEX(properties!A$1:CB$87,'Fórmula'!F26,41)=0,10^6,INDEX(properties!A$1:CB$87,'Fórmula'!F26,41)),IF(INDEX(properties!A$1:CB$87,'Fórmula'!H26,41)=0,10^6,INDEX(properties!A$1:CB$87,'Fórmula'!H26,41)),IF(INDEX(properties!A$1:CB$87,'Fórmula'!J26,41)=0,10^6,INDEX(properties!A$1:CB$87,'Fórmula'!J26,41)))</f>
        <v>0.54</v>
      </c>
      <c r="EI26" s="111">
        <f t="shared" si="23"/>
        <v>0.72</v>
      </c>
      <c r="EJ26" s="112">
        <f t="array" ref="EJ26">(('Fórmula'!C26)/('Fórmula'!C26+'Fórmula'!E26+'Fórmula'!G26+'Fórmula'!I26+'Fórmula'!K26))*(INDEX(properties!A$1:CB$87,'Fórmula'!B26,45))+(('Fórmula'!E26)/('Fórmula'!C26+'Fórmula'!E26+'Fórmula'!G26+'Fórmula'!I26+'Fórmula'!K26))*(INDEX(properties!A$1:CB$87,'Fórmula'!D26,45))+(('Fórmula'!G26)/('Fórmula'!C26+'Fórmula'!E26+'Fórmula'!G26+'Fórmula'!I26+'Fórmula'!K26))*(INDEX(properties!A$1:CB$87,'Fórmula'!F26,45))+(('Fórmula'!I26)/('Fórmula'!C26+'Fórmula'!E26+'Fórmula'!G26+'Fórmula'!I26+'Fórmula'!K26))*(INDEX(properties!A$1:CB$87,'Fórmula'!H26,45))+(('Fórmula'!K26)/('Fórmula'!C26+'Fórmula'!E26+'Fórmula'!G26+'Fórmula'!I26+'Fórmula'!K26))*(INDEX(properties!A$1:CB$87,'Fórmula'!J26,45))</f>
        <v>1.32875</v>
      </c>
      <c r="EK26" s="112">
        <f t="array" ref="EK26">'Fórmula'!C26*(INDEX(properties!A$1:CB$87,'Fórmula'!B26,45))+'Fórmula'!E26*(INDEX(properties!A$1:CB$87,'Fórmula'!D26,45))+'Fórmula'!G26*(INDEX(properties!A$1:CB$87,'Fórmula'!F26,45))+'Fórmula'!I26*(INDEX(properties!A$1:CB$87,'Fórmula'!H26,45))+'Fórmula'!K26*(INDEX(properties!A$1:CB$87,'Fórmula'!J26,45))</f>
        <v>10.63</v>
      </c>
      <c r="EL26" s="112">
        <f t="array" ref="EL26">VARP(IF(INDEX(properties!A$1:CB$87,'Fórmula'!B26,45)&lt;&gt;"",INDEX(properties!A$1:CB$87,'Fórmula'!B26,45)),IF(INDEX(properties!A$1:CB$87,'Fórmula'!D26,45)&lt;&gt;"",INDEX(properties!A$1:CB$87,'Fórmula'!D26,45)),IF(INDEX(properties!A$1:CB$87,'Fórmula'!F26,45)&lt;&gt;"",INDEX(properties!A$1:CB$87,'Fórmula'!F26,45)),IF(INDEX(properties!A$1:CB$87,'Fórmula'!H26,45)&lt;&gt;"",INDEX(properties!A$1:CB$87,'Fórmula'!H26,45)),IF(INDEX(properties!A$1:CB$87,'Fórmula'!J26,45)&lt;&gt;"",INDEX(properties!A$1:CB$87,'Fórmula'!J26,45)))</f>
        <v>0.949544</v>
      </c>
      <c r="EM26" s="123">
        <f t="array" ref="EM26">MAX(INDEX(properties!A$1:CB$87,'Fórmula'!B26,45),INDEX(properties!A$1:CB$87,'Fórmula'!D26,45),INDEX(properties!A$1:CB$87,'Fórmula'!F26,45),INDEX(properties!A$1:CB$87,'Fórmula'!H26,45),INDEX(properties!A$1:CB$87,'Fórmula'!J26,45))</f>
        <v>2.65</v>
      </c>
      <c r="EN26" s="123">
        <f t="array" ref="EN26">MIN(IF(INDEX(properties!A$1:CB$87,'Fórmula'!B26,45)=0,10^6,INDEX(properties!A$1:CB$87,'Fórmula'!B26,45)),IF(INDEX(properties!A$1:CB$87,'Fórmula'!D26,45)=0,10^6,INDEX(properties!A$1:CB$87,'Fórmula'!D26,45)),IF(INDEX(properties!A$1:CB$87,'Fórmula'!F26,45)=0,10^6,INDEX(properties!A$1:CB$87,'Fórmula'!F26,45)),IF(INDEX(properties!A$1:CB$87,'Fórmula'!H26,45)=0,10^6,INDEX(properties!A$1:CB$87,'Fórmula'!H26,45)),IF(INDEX(properties!A$1:CB$87,'Fórmula'!J26,45)=0,10^6,INDEX(properties!A$1:CB$87,'Fórmula'!J26,45)))</f>
        <v>0.47</v>
      </c>
      <c r="EO26" s="112">
        <f t="shared" si="24"/>
        <v>2.18</v>
      </c>
      <c r="EP26" s="113">
        <f t="array" ref="EP26">(('Fórmula'!C26)/('Fórmula'!C26+'Fórmula'!E26+'Fórmula'!G26+'Fórmula'!I26+'Fórmula'!K26))*(INDEX(properties!A$1:CB$87,'Fórmula'!B26,46))+(('Fórmula'!E26)/('Fórmula'!C26+'Fórmula'!E26+'Fórmula'!G26+'Fórmula'!I26+'Fórmula'!K26))*(INDEX(properties!A$1:CB$87,'Fórmula'!D26,46))+(('Fórmula'!G26)/('Fórmula'!C26+'Fórmula'!E26+'Fórmula'!G26+'Fórmula'!I26+'Fórmula'!K26))*(INDEX(properties!A$1:CB$87,'Fórmula'!F26,46))+(('Fórmula'!I26)/('Fórmula'!C26+'Fórmula'!E26+'Fórmula'!G26+'Fórmula'!I26+'Fórmula'!K26))*(INDEX(properties!A$1:CB$87,'Fórmula'!H26,46))+(('Fórmula'!K26)/('Fórmula'!C26+'Fórmula'!E26+'Fórmula'!G26+'Fórmula'!I26+'Fórmula'!K26))*(INDEX(properties!A$1:CB$87,'Fórmula'!J26,46))</f>
        <v>1.0525</v>
      </c>
      <c r="EQ26" s="113">
        <f t="array" ref="EQ26">'Fórmula'!C26*(INDEX(properties!A$1:CB$87,'Fórmula'!B26,46))+'Fórmula'!E26*(INDEX(properties!A$1:CB$87,'Fórmula'!D26,46))+'Fórmula'!G26*(INDEX(properties!A$1:CB$87,'Fórmula'!F26,46))+'Fórmula'!I26*(INDEX(properties!A$1:CB$87,'Fórmula'!H26,46))+'Fórmula'!K26*(INDEX(properties!A$1:CB$87,'Fórmula'!J26,46))</f>
        <v>8.42</v>
      </c>
      <c r="ER26" s="113">
        <f t="array" ref="ER26">VARP(IF(INDEX(properties!A$1:CB$87,'Fórmula'!B26,46)&lt;&gt;"",INDEX(properties!A$1:CB$87,'Fórmula'!B26,46)),IF(INDEX(properties!A$1:CB$87,'Fórmula'!D26,46)&lt;&gt;"",INDEX(properties!A$1:CB$87,'Fórmula'!D26,46)),IF(INDEX(properties!A$1:CB$87,'Fórmula'!F26,46)&lt;&gt;"",INDEX(properties!A$1:CB$87,'Fórmula'!F26,46)),IF(INDEX(properties!A$1:CB$87,'Fórmula'!H26,46)&lt;&gt;"",INDEX(properties!A$1:CB$87,'Fórmula'!H26,46)),IF(INDEX(properties!A$1:CB$87,'Fórmula'!J26,46)&lt;&gt;"",INDEX(properties!A$1:CB$87,'Fórmula'!J26,46)))</f>
        <v>0.214784</v>
      </c>
      <c r="ES26" s="124">
        <f t="array" ref="ES26">MAX(INDEX(properties!A$1:CB$87,'Fórmula'!B26,46),INDEX(properties!A$1:CB$87,'Fórmula'!D26,46),INDEX(properties!A$1:CB$87,'Fórmula'!F26,46),INDEX(properties!A$1:CB$87,'Fórmula'!H26,46),INDEX(properties!A$1:CB$87,'Fórmula'!J26,46))</f>
        <v>1.21</v>
      </c>
      <c r="ET26" s="124">
        <f t="array" ref="ET26">MIN(IF(INDEX(properties!A$1:CB$87,'Fórmula'!B26,46)=0,10^6,INDEX(properties!A$1:CB$87,'Fórmula'!B26,46)),IF(INDEX(properties!A$1:CB$87,'Fórmula'!D26,46)=0,10^6,INDEX(properties!A$1:CB$87,'Fórmula'!D26,46)),IF(INDEX(properties!A$1:CB$87,'Fórmula'!F26,46)=0,10^6,INDEX(properties!A$1:CB$87,'Fórmula'!F26,46)),IF(INDEX(properties!A$1:CB$87,'Fórmula'!H26,46)=0,10^6,INDEX(properties!A$1:CB$87,'Fórmula'!H26,46)),IF(INDEX(properties!A$1:CB$87,'Fórmula'!J26,46)=0,10^6,INDEX(properties!A$1:CB$87,'Fórmula'!J26,46)))</f>
        <v>0.4</v>
      </c>
      <c r="EU26" s="113">
        <f t="shared" si="25"/>
        <v>0.81</v>
      </c>
      <c r="EV26" s="114">
        <f t="array" ref="EV26">(('Fórmula'!C26)/('Fórmula'!C26+'Fórmula'!E26+'Fórmula'!G26+'Fórmula'!I26+'Fórmula'!K26))*(INDEX(properties!A$1:CB$87,'Fórmula'!B26,52))+(('Fórmula'!E26)/('Fórmula'!C26+'Fórmula'!E26+'Fórmula'!G26+'Fórmula'!I26+'Fórmula'!K26))*(INDEX(properties!A$1:CB$87,'Fórmula'!D26,52))+(('Fórmula'!G26)/('Fórmula'!C26+'Fórmula'!E26+'Fórmula'!G26+'Fórmula'!I26+'Fórmula'!K26))*(INDEX(properties!A$1:CB$87,'Fórmula'!F26,52))+(('Fórmula'!I26)/('Fórmula'!C26+'Fórmula'!E26+'Fórmula'!G26+'Fórmula'!I26+'Fórmula'!K26))*(INDEX(properties!A$1:CB$87,'Fórmula'!H26,52))+(('Fórmula'!K26)/('Fórmula'!C26+'Fórmula'!E26+'Fórmula'!G26+'Fórmula'!I26+'Fórmula'!K26))*(INDEX(properties!A$1:CB$87,'Fórmula'!J26,52))</f>
        <v>8.2965</v>
      </c>
      <c r="EW26" s="114">
        <f t="array" ref="EW26">'Fórmula'!C26*(INDEX(properties!A$1:CB$87,'Fórmula'!B26,52))+'Fórmula'!E26*(INDEX(properties!A$1:CB$87,'Fórmula'!D26,52))+'Fórmula'!G26*(INDEX(properties!A$1:CB$87,'Fórmula'!F26,52))+'Fórmula'!I26*(INDEX(properties!A$1:CB$87,'Fórmula'!H26,52))+'Fórmula'!K26*(INDEX(properties!A$1:CB$87,'Fórmula'!J26,52))</f>
        <v>66.372</v>
      </c>
      <c r="EX26" s="114">
        <f t="array" ref="EX26">VARP(IF(INDEX(properties!A$1:CB$87,'Fórmula'!B26,52)&lt;&gt;"",INDEX(properties!A$1:CB$87,'Fórmula'!B26,52)),IF(INDEX(properties!A$1:CB$87,'Fórmula'!D26,52)&lt;&gt;"",INDEX(properties!A$1:CB$87,'Fórmula'!D26,52)),IF(INDEX(properties!A$1:CB$87,'Fórmula'!F26,52)&lt;&gt;"",INDEX(properties!A$1:CB$87,'Fórmula'!F26,52)),IF(INDEX(properties!A$1:CB$87,'Fórmula'!H26,52)&lt;&gt;"",INDEX(properties!A$1:CB$87,'Fórmula'!H26,52)),IF(INDEX(properties!A$1:CB$87,'Fórmula'!J26,52)&lt;&gt;"",INDEX(properties!A$1:CB$87,'Fórmula'!J26,52)))</f>
        <v>74.55799184</v>
      </c>
      <c r="EY26" s="114">
        <f t="array" ref="EY26">MAX(INDEX(properties!A$1:CB$87,'Fórmula'!B26,52),INDEX(properties!A$1:CB$87,'Fórmula'!D26,52),INDEX(properties!A$1:CB$87,'Fórmula'!F26,52),INDEX(properties!A$1:CB$87,'Fórmula'!H26,52),INDEX(properties!A$1:CB$87,'Fórmula'!J26,52))</f>
        <v>23.6</v>
      </c>
      <c r="EZ26" s="114">
        <f t="array" ref="EZ26">MIN(IF(INDEX(properties!A$1:CB$87,'Fórmula'!B26,52)=0,10^6,INDEX(properties!A$1:CB$87,'Fórmula'!B26,52)),IF(INDEX(properties!A$1:CB$87,'Fórmula'!D26,52)=0,10^6,INDEX(properties!A$1:CB$87,'Fórmula'!D26,52)),IF(INDEX(properties!A$1:CB$87,'Fórmula'!F26,52)=0,10^6,INDEX(properties!A$1:CB$87,'Fórmula'!F26,52)),IF(INDEX(properties!A$1:CB$87,'Fórmula'!H26,52)=0,10^6,INDEX(properties!A$1:CB$87,'Fórmula'!H26,52)),IF(INDEX(properties!A$1:CB$87,'Fórmula'!J26,52)=0,10^6,INDEX(properties!A$1:CB$87,'Fórmula'!J26,52)))</f>
        <v>0.793</v>
      </c>
      <c r="FA26" s="114">
        <f t="shared" si="26"/>
        <v>22.807</v>
      </c>
      <c r="FB26" s="115">
        <f t="array" ref="FB26">(('Fórmula'!C26)/('Fórmula'!C26+'Fórmula'!E26+'Fórmula'!G26+'Fórmula'!I26+'Fórmula'!K26))*(INDEX(properties!A$1:CB$87,'Fórmula'!B26,53))+(('Fórmula'!E26)/('Fórmula'!C26+'Fórmula'!E26+'Fórmula'!G26+'Fórmula'!I26+'Fórmula'!K26))*(INDEX(properties!A$1:CB$87,'Fórmula'!D26,53))+(('Fórmula'!G26)/('Fórmula'!C26+'Fórmula'!E26+'Fórmula'!G26+'Fórmula'!I26+'Fórmula'!K26))*(INDEX(properties!A$1:CB$87,'Fórmula'!F26,53))+(('Fórmula'!I26)/('Fórmula'!C26+'Fórmula'!E26+'Fórmula'!G26+'Fórmula'!I26+'Fórmula'!K26))*(INDEX(properties!A$1:CB$87,'Fórmula'!H26,53))+(('Fórmula'!K26)/('Fórmula'!C26+'Fórmula'!E26+'Fórmula'!G26+'Fórmula'!I26+'Fórmula'!K26))*(INDEX(properties!A$1:CB$87,'Fórmula'!J26,53))</f>
        <v>445.775</v>
      </c>
      <c r="FC26" s="115">
        <f t="array" ref="FC26">'Fórmula'!C26*(INDEX(properties!A$1:CB$87,'Fórmula'!B26,53))+'Fórmula'!E26*(INDEX(properties!A$1:CB$87,'Fórmula'!D26,53))+'Fórmula'!G26*(INDEX(properties!A$1:CB$87,'Fórmula'!F26,53))+'Fórmula'!I26*(INDEX(properties!A$1:CB$87,'Fórmula'!H26,53))+'Fórmula'!K26*(INDEX(properties!A$1:CB$87,'Fórmula'!J26,53))</f>
        <v>3566.2</v>
      </c>
      <c r="FD26" s="115">
        <f t="array" ref="FD26">VARP(IF(INDEX(properties!A$1:CB$87,'Fórmula'!B26,53)&lt;&gt;"",INDEX(properties!A$1:CB$87,'Fórmula'!B26,53)),IF(INDEX(properties!A$1:CB$87,'Fórmula'!D26,53)&lt;&gt;"",INDEX(properties!A$1:CB$87,'Fórmula'!D26,53)),IF(INDEX(properties!A$1:CB$87,'Fórmula'!F26,53)&lt;&gt;"",INDEX(properties!A$1:CB$87,'Fórmula'!F26,53)),IF(INDEX(properties!A$1:CB$87,'Fórmula'!H26,53)&lt;&gt;"",INDEX(properties!A$1:CB$87,'Fórmula'!H26,53)),IF(INDEX(properties!A$1:CB$87,'Fórmula'!J26,53)&lt;&gt;"",INDEX(properties!A$1:CB$87,'Fórmula'!J26,53)))</f>
        <v>397312.762</v>
      </c>
      <c r="FE26" s="115">
        <f t="array" ref="FE26">MAX(INDEX(properties!A$1:CB$87,'Fórmula'!B26,53),INDEX(properties!A$1:CB$87,'Fórmula'!D26,53),INDEX(properties!A$1:CB$87,'Fórmula'!F26,53),INDEX(properties!A$1:CB$87,'Fórmula'!H26,53),INDEX(properties!A$1:CB$87,'Fórmula'!J26,53))</f>
        <v>1683.15</v>
      </c>
      <c r="FF26" s="115">
        <f t="array" ref="FF26">MIN(IF(INDEX(properties!A$1:CB$87,'Fórmula'!B26,53)=0,10^6,INDEX(properties!A$1:CB$87,'Fórmula'!B26,53)),IF(INDEX(properties!A$1:CB$87,'Fórmula'!D26,53)=0,10^6,INDEX(properties!A$1:CB$87,'Fórmula'!D26,53)),IF(INDEX(properties!A$1:CB$87,'Fórmula'!F26,53)=0,10^6,INDEX(properties!A$1:CB$87,'Fórmula'!F26,53)),IF(INDEX(properties!A$1:CB$87,'Fórmula'!H26,53)=0,10^6,INDEX(properties!A$1:CB$87,'Fórmula'!H26,53)),IF(INDEX(properties!A$1:CB$87,'Fórmula'!J26,53)=0,10^6,INDEX(properties!A$1:CB$87,'Fórmula'!J26,53)))</f>
        <v>54.75</v>
      </c>
      <c r="FG26" s="115">
        <f t="shared" si="27"/>
        <v>1628.4</v>
      </c>
      <c r="FH26" s="117">
        <f t="array" ref="FH26">(('Fórmula'!C26)/('Fórmula'!C26+'Fórmula'!E26+'Fórmula'!G26+'Fórmula'!I26+'Fórmula'!K26))*(INDEX(properties!A$1:CB$87,'Fórmula'!B26,54))+(('Fórmula'!E26)/('Fórmula'!C26+'Fórmula'!E26+'Fórmula'!G26+'Fórmula'!I26+'Fórmula'!K26))*(INDEX(properties!A$1:CB$87,'Fórmula'!D26,54))+(('Fórmula'!G26)/('Fórmula'!C26+'Fórmula'!E26+'Fórmula'!G26+'Fórmula'!I26+'Fórmula'!K26))*(INDEX(properties!A$1:CB$87,'Fórmula'!F26,54))+(('Fórmula'!I26)/('Fórmula'!C26+'Fórmula'!E26+'Fórmula'!G26+'Fórmula'!I26+'Fórmula'!K26))*(INDEX(properties!A$1:CB$87,'Fórmula'!H26,54))+(('Fórmula'!K26)/('Fórmula'!C26+'Fórmula'!E26+'Fórmula'!G26+'Fórmula'!I26+'Fórmula'!K26))*(INDEX(properties!A$1:CB$87,'Fórmula'!J26,54))</f>
        <v>833.025</v>
      </c>
      <c r="FI26" s="117">
        <f t="array" ref="FI26">'Fórmula'!C26*(INDEX(properties!A$1:CB$87,'Fórmula'!B26,54))+'Fórmula'!E26*(INDEX(properties!A$1:CB$87,'Fórmula'!D26,54))+'Fórmula'!G26*(INDEX(properties!A$1:CB$87,'Fórmula'!F26,54))+'Fórmula'!I26*(INDEX(properties!A$1:CB$87,'Fórmula'!H26,54))+'Fórmula'!K26*(INDEX(properties!A$1:CB$87,'Fórmula'!J26,54))</f>
        <v>6664.2</v>
      </c>
      <c r="FJ26" s="117">
        <f t="array" ref="FJ26">VARP(IF(INDEX(properties!A$1:CB$87,'Fórmula'!B26,54)&lt;&gt;"",INDEX(properties!A$1:CB$87,'Fórmula'!B26,54)),IF(INDEX(properties!A$1:CB$87,'Fórmula'!D26,54)&lt;&gt;"",INDEX(properties!A$1:CB$87,'Fórmula'!D26,54)),IF(INDEX(properties!A$1:CB$87,'Fórmula'!F26,54)&lt;&gt;"",INDEX(properties!A$1:CB$87,'Fórmula'!F26,54)),IF(INDEX(properties!A$1:CB$87,'Fórmula'!H26,54)&lt;&gt;"",INDEX(properties!A$1:CB$87,'Fórmula'!H26,54)),IF(INDEX(properties!A$1:CB$87,'Fórmula'!J26,54)&lt;&gt;"",INDEX(properties!A$1:CB$87,'Fórmula'!J26,54)))</f>
        <v>924733.8876</v>
      </c>
      <c r="FK26" s="117">
        <f t="array" ref="FK26">MAX(INDEX(properties!A$1:CB$87,'Fórmula'!B26,54),INDEX(properties!A$1:CB$87,'Fórmula'!D26,54),INDEX(properties!A$1:CB$87,'Fórmula'!F26,54),INDEX(properties!A$1:CB$87,'Fórmula'!H26,54),INDEX(properties!A$1:CB$87,'Fórmula'!J26,54))</f>
        <v>2628.15</v>
      </c>
      <c r="FL26" s="117">
        <f t="array" ref="FL26">MIN(IF(INDEX(properties!A$1:CB$87,'Fórmula'!B26,54)=0,10^6,INDEX(properties!A$1:CB$87,'Fórmula'!B26,54)),IF(INDEX(properties!A$1:CB$87,'Fórmula'!D26,54)=0,10^6,INDEX(properties!A$1:CB$87,'Fórmula'!D26,54)),IF(INDEX(properties!A$1:CB$87,'Fórmula'!F26,54)=0,10^6,INDEX(properties!A$1:CB$87,'Fórmula'!F26,54)),IF(INDEX(properties!A$1:CB$87,'Fórmula'!H26,54)=0,10^6,INDEX(properties!A$1:CB$87,'Fórmula'!H26,54)),IF(INDEX(properties!A$1:CB$87,'Fórmula'!J26,54)=0,10^6,INDEX(properties!A$1:CB$87,'Fórmula'!J26,54)))</f>
        <v>90.15</v>
      </c>
      <c r="FM26" s="117">
        <f t="shared" si="28"/>
        <v>2538</v>
      </c>
      <c r="FN26" s="118">
        <f t="array" ref="FN26">(('Fórmula'!C26)/('Fórmula'!C26+'Fórmula'!E26+'Fórmula'!G26+'Fórmula'!I26+'Fórmula'!K26))*(INDEX(properties!A$1:CB$87,'Fórmula'!B26,55))+(('Fórmula'!E26)/('Fórmula'!C26+'Fórmula'!E26+'Fórmula'!G26+'Fórmula'!I26+'Fórmula'!K26))*(INDEX(properties!A$1:CB$87,'Fórmula'!D26,55))+(('Fórmula'!G26)/('Fórmula'!C26+'Fórmula'!E26+'Fórmula'!G26+'Fórmula'!I26+'Fórmula'!K26))*(INDEX(properties!A$1:CB$87,'Fórmula'!F26,55))+(('Fórmula'!I26)/('Fórmula'!C26+'Fórmula'!E26+'Fórmula'!G26+'Fórmula'!I26+'Fórmula'!K26))*(INDEX(properties!A$1:CB$87,'Fórmula'!H26,55))+(('Fórmula'!K26)/('Fórmula'!C26+'Fórmula'!E26+'Fórmula'!G26+'Fórmula'!I26+'Fórmula'!K26))*(INDEX(properties!A$1:CB$87,'Fórmula'!J26,55))</f>
        <v>0.752215</v>
      </c>
      <c r="FO26" s="118">
        <f t="array" ref="FO26">'Fórmula'!C26*(INDEX(properties!A$1:CB$87,'Fórmula'!B26,55))+'Fórmula'!E26*(INDEX(properties!A$1:CB$87,'Fórmula'!D26,54))+'Fórmula'!G26*(INDEX(properties!A$1:CB$87,'Fórmula'!F26,55))+'Fórmula'!I26*(INDEX(properties!A$1:CB$87,'Fórmula'!H26,55))+'Fórmula'!K26*(INDEX(properties!A$1:CB$87,'Fórmula'!J26,55))</f>
        <v>1367.42772</v>
      </c>
      <c r="FP26" s="118">
        <f t="array" ref="FP26">VARP(IF(INDEX(properties!A$1:CB$87,'Fórmula'!B26,55)&lt;&gt;"",INDEX(properties!A$1:CB$87,'Fórmula'!B26,55)),IF(INDEX(properties!A$1:CB$87,'Fórmula'!D26,55)&lt;&gt;"",INDEX(properties!A$1:CB$87,'Fórmula'!D26,55)),IF(INDEX(properties!A$1:CB$87,'Fórmula'!F26,55)&lt;&gt;"",INDEX(properties!A$1:CB$87,'Fórmula'!F26,55)),IF(INDEX(properties!A$1:CB$87,'Fórmula'!H26,55)&lt;&gt;"",INDEX(properties!A$1:CB$87,'Fórmula'!H26,55)),IF(INDEX(properties!A$1:CB$87,'Fórmula'!J26,55)&lt;&gt;"",INDEX(properties!A$1:CB$87,'Fórmula'!J26,55)))</f>
        <v>0.8628245968</v>
      </c>
      <c r="FQ26" s="118">
        <f t="array" ref="FQ26">MAX(INDEX(properties!A$1:CB$87,'Fórmula'!B26,55),INDEX(properties!A$1:CB$87,'Fórmula'!D26,55),INDEX(properties!A$1:CB$87,'Fórmula'!F26,55),INDEX(properties!A$1:CB$87,'Fórmula'!H26,55),INDEX(properties!A$1:CB$87,'Fórmula'!J26,55))</f>
        <v>2.33</v>
      </c>
      <c r="FR26" s="118">
        <f t="array" ref="FR26">MIN(IF(INDEX(properties!A$1:CB$87,'Fórmula'!B26,55)=0,10^6,INDEX(properties!A$1:CB$87,'Fórmula'!B26,55)),IF(INDEX(properties!A$1:CB$87,'Fórmula'!D26,55)=0,10^6,INDEX(properties!A$1:CB$87,'Fórmula'!D26,55)),IF(INDEX(properties!A$1:CB$87,'Fórmula'!F26,55)=0,10^6,INDEX(properties!A$1:CB$87,'Fórmula'!F26,55)),IF(INDEX(properties!A$1:CB$87,'Fórmula'!H26,55)=0,10^6,INDEX(properties!A$1:CB$87,'Fórmula'!H26,55)),IF(INDEX(properties!A$1:CB$87,'Fórmula'!J26,55)=0,10^6,INDEX(properties!A$1:CB$87,'Fórmula'!J26,55)))</f>
        <v>0.00143</v>
      </c>
      <c r="FS26" s="118">
        <f t="shared" si="29"/>
        <v>2.32857</v>
      </c>
      <c r="FT26" s="119">
        <f t="array" ref="FT26">(('Fórmula'!C26)/('Fórmula'!C26+'Fórmula'!E26+'Fórmula'!G26+'Fórmula'!I26+'Fórmula'!K26))*(INDEX(properties!A$1:CB$87,'Fórmula'!B26,56))+(('Fórmula'!E26)/('Fórmula'!C26+'Fórmula'!E26+'Fórmula'!G26+'Fórmula'!I26+'Fórmula'!K26))*(INDEX(properties!A$1:CB$87,'Fórmula'!D26,56))+(('Fórmula'!G26)/('Fórmula'!C26+'Fórmula'!E26+'Fórmula'!G26+'Fórmula'!I26+'Fórmula'!K26))*(INDEX(properties!A$1:CB$87,'Fórmula'!F26,56))+(('Fórmula'!I26)/('Fórmula'!C26+'Fórmula'!E26+'Fórmula'!G26+'Fórmula'!I26+'Fórmula'!K26))*(INDEX(properties!A$1:CB$87,'Fórmula'!H26,56))+(('Fórmula'!K26)/('Fórmula'!C26+'Fórmula'!E26+'Fórmula'!G26+'Fórmula'!I26+'Fórmula'!K26))*(INDEX(properties!A$1:CB$87,'Fórmula'!J26,56))</f>
        <v>0.98375</v>
      </c>
      <c r="FU26" s="119">
        <f t="array" ref="FU26">'Fórmula'!C26*(INDEX(properties!A$1:CB$87,'Fórmula'!B26,56))+'Fórmula'!E26*(INDEX(properties!A$1:CB$87,'Fórmula'!D26,56))+'Fórmula'!G26*(INDEX(properties!A$1:CB$87,'Fórmula'!F26,56))+'Fórmula'!I26*(INDEX(properties!A$1:CB$87,'Fórmula'!H26,56))+'Fórmula'!K26*(INDEX(properties!A$1:CB$87,'Fórmula'!J26,56))</f>
        <v>7.87</v>
      </c>
      <c r="FV26" s="119">
        <f t="array" ref="FV26">VARP(IF(INDEX(properties!A$1:CB$87,'Fórmula'!B26,56)&lt;&gt;"",INDEX(properties!A$1:CB$87,'Fórmula'!B26,56)),IF(INDEX(properties!A$1:CB$87,'Fórmula'!D26,56)&lt;&gt;"",INDEX(properties!A$1:CB$87,'Fórmula'!D26,56)),IF(INDEX(properties!A$1:CB$87,'Fórmula'!F26,56)&lt;&gt;"",INDEX(properties!A$1:CB$87,'Fórmula'!F26,56)),IF(INDEX(properties!A$1:CB$87,'Fórmula'!H26,56)&lt;&gt;"",INDEX(properties!A$1:CB$87,'Fórmula'!H26,56)),IF(INDEX(properties!A$1:CB$87,'Fórmula'!J26,56)&lt;&gt;"",INDEX(properties!A$1:CB$87,'Fórmula'!J26,56)))</f>
        <v>0.178584</v>
      </c>
      <c r="FW26" s="119">
        <f t="array" ref="FW26">MAX(INDEX(properties!A$1:CB$87,'Fórmula'!B26,56),INDEX(properties!A$1:CB$87,'Fórmula'!D26,56),INDEX(properties!A$1:CB$87,'Fórmula'!F26,56),INDEX(properties!A$1:CB$87,'Fórmula'!H26,56),INDEX(properties!A$1:CB$87,'Fórmula'!J26,56))</f>
        <v>1.23</v>
      </c>
      <c r="FX26" s="119">
        <f t="array" ref="FX26">MIN(IF(INDEX(properties!A$1:CB$87,'Fórmula'!B26,56)=0,10^6,INDEX(properties!A$1:CB$87,'Fórmula'!B26,56)),IF(INDEX(properties!A$1:CB$87,'Fórmula'!D26,56)=0,10^6,INDEX(properties!A$1:CB$87,'Fórmula'!D26,56)),IF(INDEX(properties!A$1:CB$87,'Fórmula'!F26,56)=0,10^6,INDEX(properties!A$1:CB$87,'Fórmula'!F26,56)),IF(INDEX(properties!A$1:CB$87,'Fórmula'!H26,56)=0,10^6,INDEX(properties!A$1:CB$87,'Fórmula'!H26,56)),IF(INDEX(properties!A$1:CB$87,'Fórmula'!J26,56)=0,10^6,INDEX(properties!A$1:CB$87,'Fórmula'!J26,56)))</f>
        <v>0.71</v>
      </c>
      <c r="FY26" s="119">
        <f t="shared" si="30"/>
        <v>0.52</v>
      </c>
      <c r="FZ26" s="104">
        <f t="array" ref="FZ26">(('Fórmula'!C26)/('Fórmula'!C26+'Fórmula'!E26+'Fórmula'!G26+'Fórmula'!I26+'Fórmula'!K26))*(INDEX(properties!A$1:CB$87,'Fórmula'!B26,57))+(('Fórmula'!E26)/('Fórmula'!C26+'Fórmula'!E26+'Fórmula'!G26+'Fórmula'!I26+'Fórmula'!K26))*(INDEX(properties!A$1:CB$87,'Fórmula'!D26,57))+(('Fórmula'!G26)/('Fórmula'!C26+'Fórmula'!E26+'Fórmula'!G26+'Fórmula'!I26+'Fórmula'!K26))*(INDEX(properties!A$1:CB$87,'Fórmula'!F26,57))+(('Fórmula'!I26)/('Fórmula'!C26+'Fórmula'!E26+'Fórmula'!G26+'Fórmula'!I26+'Fórmula'!K26))*(INDEX(properties!A$1:CB$87,'Fórmula'!H26,57))+(('Fórmula'!K26)/('Fórmula'!C26+'Fórmula'!E26+'Fórmula'!G26+'Fórmula'!I26+'Fórmula'!K26))*(INDEX(properties!A$1:CB$87,'Fórmula'!J26,57))</f>
        <v>8.198795</v>
      </c>
      <c r="GA26" s="104">
        <f t="array" ref="GA26">'Fórmula'!C26*(INDEX(properties!A$1:CB$87,'Fórmula'!B26,57))+'Fórmula'!E26*(INDEX(properties!A$1:CB$87,'Fórmula'!D26,57))+'Fórmula'!G26*(INDEX(properties!A$1:CB$87,'Fórmula'!F26,57))+'Fórmula'!I26*(INDEX(properties!A$1:CB$87,'Fórmula'!H26,57))+'Fórmula'!K26*(INDEX(properties!A$1:CB$87,'Fórmula'!J26,57))</f>
        <v>65.59036</v>
      </c>
      <c r="GB26" s="104">
        <f t="array" ref="GB26">VARP(IF(INDEX(properties!A$1:CB$87,'Fórmula'!B26,57)&lt;&gt;"",INDEX(properties!A$1:CB$87,'Fórmula'!B26,57)),IF(INDEX(properties!A$1:CB$87,'Fórmula'!D26,57)&lt;&gt;"",INDEX(properties!A$1:CB$87,'Fórmula'!D26,57)),IF(INDEX(properties!A$1:CB$87,'Fórmula'!F26,57)&lt;&gt;"",INDEX(properties!A$1:CB$87,'Fórmula'!F26,57)),IF(INDEX(properties!A$1:CB$87,'Fórmula'!H26,57)&lt;&gt;"",INDEX(properties!A$1:CB$87,'Fórmula'!H26,57)),IF(INDEX(properties!A$1:CB$87,'Fórmula'!J26,57)&lt;&gt;"",INDEX(properties!A$1:CB$87,'Fórmula'!J26,57)))</f>
        <v>373.0809725</v>
      </c>
      <c r="GC26" s="104">
        <f t="array" ref="GC26">MAX(INDEX(properties!A$1:CB$87,'Fórmula'!B26,57),INDEX(properties!A$1:CB$87,'Fórmula'!D26,57),INDEX(properties!A$1:CB$87,'Fórmula'!F26,57),INDEX(properties!A$1:CB$87,'Fórmula'!H26,57),INDEX(properties!A$1:CB$87,'Fórmula'!J26,57))</f>
        <v>50.55</v>
      </c>
      <c r="GD26" s="104">
        <f t="array" ref="GD26">MIN(IF(INDEX(properties!A$1:CB$87,'Fórmula'!B26,57)=0,10^6,INDEX(properties!A$1:CB$87,'Fórmula'!B26,57)),IF(INDEX(properties!A$1:CB$87,'Fórmula'!D26,57)=0,10^6,INDEX(properties!A$1:CB$87,'Fórmula'!D26,57)),IF(INDEX(properties!A$1:CB$87,'Fórmula'!F26,57)=0,10^6,INDEX(properties!A$1:CB$87,'Fórmula'!F26,57)),IF(INDEX(properties!A$1:CB$87,'Fórmula'!H26,57)=0,10^6,INDEX(properties!A$1:CB$87,'Fórmula'!H26,57)),IF(INDEX(properties!A$1:CB$87,'Fórmula'!J26,57)=0,10^6,INDEX(properties!A$1:CB$87,'Fórmula'!J26,57)))</f>
        <v>0.22259</v>
      </c>
      <c r="GE26" s="104">
        <f t="shared" si="31"/>
        <v>50.32741</v>
      </c>
      <c r="GF26" s="105">
        <f t="array" ref="GF26">(('Fórmula'!C26)/('Fórmula'!C26+'Fórmula'!E26+'Fórmula'!G26+'Fórmula'!I26+'Fórmula'!K26))*(INDEX(properties!A$1:CB$87,'Fórmula'!B26,60))+(('Fórmula'!E26)/('Fórmula'!C26+'Fórmula'!E26+'Fórmula'!G26+'Fórmula'!I26+'Fórmula'!K26))*(INDEX(properties!A$1:CB$87,'Fórmula'!D26,60))+(('Fórmula'!G26)/('Fórmula'!C26+'Fórmula'!E26+'Fórmula'!G26+'Fórmula'!I26+'Fórmula'!K26))*(INDEX(properties!A$1:CB$87,'Fórmula'!F26,60))+(('Fórmula'!I26)/('Fórmula'!C26+'Fórmula'!E26+'Fórmula'!G26+'Fórmula'!I26+'Fórmula'!K26))*(INDEX(properties!A$1:CB$87,'Fórmula'!H26,60))+(('Fórmula'!K26)/('Fórmula'!C26+'Fórmula'!E26+'Fórmula'!G26+'Fórmula'!I26+'Fórmula'!K26))*(INDEX(properties!A$1:CB$87,'Fórmula'!J26,60))</f>
        <v>73.26337</v>
      </c>
      <c r="GG26" s="105">
        <f t="array" ref="GG26">'Fórmula'!C26*(INDEX(properties!A$1:CB$87,'Fórmula'!B26,60))+'Fórmula'!E26*(INDEX(properties!A$1:CB$87,'Fórmula'!D26,60))+'Fórmula'!G26*(INDEX(properties!A$1:CB$87,'Fórmula'!F26,60))+'Fórmula'!I26*(INDEX(properties!A$1:CB$87,'Fórmula'!H26,60))+'Fórmula'!K26*(INDEX(properties!A$1:CB$87,'Fórmula'!J26,60))</f>
        <v>586.10696</v>
      </c>
      <c r="GH26" s="105">
        <f t="array" ref="GH26">VARP(IF(INDEX(properties!A$1:CB$87,'Fórmula'!B26,60)&lt;&gt;"",INDEX(properties!A$1:CB$87,'Fórmula'!B26,60)),IF(INDEX(properties!A$1:CB$87,'Fórmula'!D26,60)&lt;&gt;"",INDEX(properties!A$1:CB$87,'Fórmula'!D26,60)),IF(INDEX(properties!A$1:CB$87,'Fórmula'!F26,60)&lt;&gt;"",INDEX(properties!A$1:CB$87,'Fórmula'!F26,60)),IF(INDEX(properties!A$1:CB$87,'Fórmula'!H26,60)&lt;&gt;"",INDEX(properties!A$1:CB$87,'Fórmula'!H26,60)),IF(INDEX(properties!A$1:CB$87,'Fórmula'!J26,60)&lt;&gt;"",INDEX(properties!A$1:CB$87,'Fórmula'!J26,60)))</f>
        <v>5302.24817</v>
      </c>
      <c r="GI26" s="105">
        <f t="array" ref="GI26">MAX(INDEX(properties!A$1:CB$87,'Fórmula'!B26,60),INDEX(properties!A$1:CB$87,'Fórmula'!D26,60),INDEX(properties!A$1:CB$87,'Fórmula'!F26,60),INDEX(properties!A$1:CB$87,'Fórmula'!H26,60),INDEX(properties!A$1:CB$87,'Fórmula'!J26,60))</f>
        <v>156</v>
      </c>
      <c r="GJ26" s="105">
        <f t="array" ref="GJ26">MIN(IF(INDEX(properties!A$1:CB$87,'Fórmula'!B26,60)=0,10^6,INDEX(properties!A$1:CB$87,'Fórmula'!B26,60)),IF(INDEX(properties!A$1:CB$87,'Fórmula'!D26,60)=0,10^6,INDEX(properties!A$1:CB$87,'Fórmula'!D26,60)),IF(INDEX(properties!A$1:CB$87,'Fórmula'!F26,60)=0,10^6,INDEX(properties!A$1:CB$87,'Fórmula'!F26,60)),IF(INDEX(properties!A$1:CB$87,'Fórmula'!H26,60)=0,10^6,INDEX(properties!A$1:CB$87,'Fórmula'!H26,60)),IF(INDEX(properties!A$1:CB$87,'Fórmula'!J26,60)=0,10^6,INDEX(properties!A$1:CB$87,'Fórmula'!J26,60)))</f>
        <v>0.02674</v>
      </c>
      <c r="GK26" s="105">
        <f t="shared" si="32"/>
        <v>155.97326</v>
      </c>
      <c r="GL26" s="106">
        <f t="array" ref="GL26">(('Fórmula'!C26)/('Fórmula'!C26+'Fórmula'!E26+'Fórmula'!G26+'Fórmula'!I26+'Fórmula'!K26))*(INDEX(properties!A$1:CB$87,'Fórmula'!B26,62))+(('Fórmula'!E26)/('Fórmula'!C26+'Fórmula'!E26+'Fórmula'!G26+'Fórmula'!I26+'Fórmula'!K26))*(INDEX(properties!A$1:CB$87,'Fórmula'!D26,62))+(('Fórmula'!G26)/('Fórmula'!C26+'Fórmula'!E26+'Fórmula'!G26+'Fórmula'!I26+'Fórmula'!K26))*(INDEX(properties!A$1:CB$87,'Fórmula'!F26,62))+(('Fórmula'!I26)/('Fórmula'!C26+'Fórmula'!E26+'Fórmula'!G26+'Fórmula'!I26+'Fórmula'!K26))*(INDEX(properties!A$1:CB$87,'Fórmula'!H26,62))+(('Fórmula'!K26)/('Fórmula'!C26+'Fórmula'!E26+'Fórmula'!G26+'Fórmula'!I26+'Fórmula'!K26))*(INDEX(properties!A$1:CB$87,'Fórmula'!J26,62))</f>
        <v>2.35575</v>
      </c>
      <c r="GM26" s="106">
        <f t="array" ref="GM26">'Fórmula'!C26*(INDEX(properties!A$1:CB$87,'Fórmula'!B26,62))+'Fórmula'!E26*(INDEX(properties!A$1:CB$87,'Fórmula'!D26,62))+'Fórmula'!G26*(INDEX(properties!A$1:CB$87,'Fórmula'!F26,62))+'Fórmula'!I26*(INDEX(properties!A$1:CB$87,'Fórmula'!H26,62))+'Fórmula'!K26*(INDEX(properties!A$1:CB$87,'Fórmula'!J26,62))</f>
        <v>18.846</v>
      </c>
      <c r="GN26" s="106">
        <f t="array" ref="GN26">VARP(IF(INDEX(properties!A$1:CB$87,'Fórmula'!B26,62)&lt;&gt;"",INDEX(properties!A$1:CB$87,'Fórmula'!B26,62)),IF(INDEX(properties!A$1:CB$87,'Fórmula'!D26,62)&lt;&gt;"",INDEX(properties!A$1:CB$87,'Fórmula'!D26,62)),IF(INDEX(properties!A$1:CB$87,'Fórmula'!F26,62)&lt;&gt;"",INDEX(properties!A$1:CB$87,'Fórmula'!F26,62)),IF(INDEX(properties!A$1:CB$87,'Fórmula'!H26,62)&lt;&gt;"",INDEX(properties!A$1:CB$87,'Fórmula'!H26,62)),IF(INDEX(properties!A$1:CB$87,'Fórmula'!J26,62)&lt;&gt;"",INDEX(properties!A$1:CB$87,'Fórmula'!J26,62)))</f>
        <v>2.46498864</v>
      </c>
      <c r="GO26" s="106">
        <f t="array" ref="GO26">MAX(INDEX(properties!A$1:CB$87,'Fórmula'!B26,62),INDEX(properties!A$1:CB$87,'Fórmula'!D26,62),INDEX(properties!A$1:CB$87,'Fórmula'!F26,62),INDEX(properties!A$1:CB$87,'Fórmula'!H26,62),INDEX(properties!A$1:CB$87,'Fórmula'!J26,62))</f>
        <v>4.63</v>
      </c>
      <c r="GP26" s="106">
        <f t="array" ref="GP26">MIN(IF(INDEX(properties!A$1:CB$87,'Fórmula'!B26,62)=0,10^6,INDEX(properties!A$1:CB$87,'Fórmula'!B26,62)),IF(INDEX(properties!A$1:CB$87,'Fórmula'!D26,62)=0,10^6,INDEX(properties!A$1:CB$87,'Fórmula'!D26,62)),IF(INDEX(properties!A$1:CB$87,'Fórmula'!F26,62)=0,10^6,INDEX(properties!A$1:CB$87,'Fórmula'!F26,62)),IF(INDEX(properties!A$1:CB$87,'Fórmula'!H26,62)=0,10^6,INDEX(properties!A$1:CB$87,'Fórmula'!H26,62)),IF(INDEX(properties!A$1:CB$87,'Fórmula'!J26,62)=0,10^6,INDEX(properties!A$1:CB$87,'Fórmula'!J26,62)))</f>
        <v>1.113</v>
      </c>
      <c r="GQ26" s="106">
        <f t="shared" si="33"/>
        <v>3.517</v>
      </c>
      <c r="GR26" s="106">
        <f>'Fórmula'!Q26</f>
        <v>33</v>
      </c>
      <c r="GS26" s="107">
        <f>'Fórmula'!P26</f>
        <v>3</v>
      </c>
      <c r="GT26" s="113">
        <f>'Fórmula'!O26</f>
        <v>2.65</v>
      </c>
      <c r="GU26" s="114">
        <f>AVERAGE('Fórmula'!R26/'Fórmula'!S26,'Fórmula'!S26/'Fórmula'!T26,'Fórmula'!T26/'Fórmula'!R26)</f>
        <v>1.15201243</v>
      </c>
      <c r="GV26" s="125">
        <f>'Fórmula'!U26</f>
        <v>406.71</v>
      </c>
      <c r="GW26" s="106">
        <f>'Fórmula'!N26</f>
        <v>0.04</v>
      </c>
    </row>
    <row r="27" ht="14.25" customHeight="1">
      <c r="A27" s="99" t="str">
        <f>'Fórmula'!A27</f>
        <v>Ca3P2O8</v>
      </c>
      <c r="B27" s="100">
        <f t="array" ref="B27">(('Fórmula'!C27)/('Fórmula'!C27+'Fórmula'!E27+'Fórmula'!G27+'Fórmula'!I27+'Fórmula'!K27))*(INDEX(properties!A$1:CB$87,'Fórmula'!B27,3))+(('Fórmula'!E27)/('Fórmula'!C27+'Fórmula'!E27+'Fórmula'!G27+'Fórmula'!I27+'Fórmula'!K27))*(INDEX(properties!A$1:CB$87,'Fórmula'!D27,3))+(('Fórmula'!G27)/('Fórmula'!C27+'Fórmula'!E27+'Fórmula'!G27+'Fórmula'!I27+'Fórmula'!K27))*(INDEX(properties!A$1:CB$87,'Fórmula'!F27,3))+(('Fórmula'!I27)/('Fórmula'!C27+'Fórmula'!E27+'Fórmula'!G27+'Fórmula'!I27+'Fórmula'!K27))*(INDEX(properties!A$1:CB$87,'Fórmula'!H27,3))+(('Fórmula'!K27)/('Fórmula'!C27+'Fórmula'!E27+'Fórmula'!G27+'Fórmula'!I27+'Fórmula'!K27))*(INDEX(properties!A$1:CB$87,'Fórmula'!J27,3))</f>
        <v>23.859748</v>
      </c>
      <c r="C27" s="101">
        <f t="array" ref="C27">'Fórmula'!C27*(INDEX(properties!A$1:CB$87,'Fórmula'!B27,3))+'Fórmula'!E27*(INDEX(properties!A$1:CB$87,'Fórmula'!D27,3))+'Fórmula'!G27*(INDEX(properties!A$1:CB$87,'Fórmula'!F27,3))+'Fórmula'!I27*(INDEX(properties!A$1:CB$87,'Fórmula'!H27,3))+'Fórmula'!K27*(INDEX(properties!A$1:CB$87,'Fórmula'!J27,3))</f>
        <v>310.176724</v>
      </c>
      <c r="D27" s="101">
        <f t="array" ref="D27">VARP(IF(INDEX(properties!A$1:CB$87,'Fórmula'!B27,3)&lt;&gt;"",INDEX(properties!A$1:CB$87,'Fórmula'!B27,3)),IF(INDEX(properties!A$1:CB$87,'Fórmula'!D27,3)&lt;&gt;"",INDEX(properties!A$1:CB$87,'Fórmula'!D27,3)),IF(INDEX(properties!A$1:CB$87,'Fórmula'!F27,3)&lt;&gt;"",INDEX(properties!A$1:CB$87,'Fórmula'!F27,3)),IF(INDEX(properties!A$1:CB$87,'Fórmula'!H27,3)&lt;&gt;"",INDEX(properties!A$1:CB$87,'Fórmula'!H27,3)),IF(INDEX(properties!A$1:CB$87,'Fórmula'!J27,3)&lt;&gt;"",INDEX(properties!A$1:CB$87,'Fórmula'!J27,3)))</f>
        <v>261.2039711</v>
      </c>
      <c r="E27" s="101">
        <f t="array" ref="E27">MAX(INDEX(properties!A$1:CB$87,'Fórmula'!B27,3),INDEX(properties!A$1:CB$87,'Fórmula'!D27,3),INDEX(properties!A$1:CB$87,'Fórmula'!F27,3),INDEX(properties!A$1:CB$87,'Fórmula'!H27,3),INDEX(properties!A$1:CB$87,'Fórmula'!J27,3))</f>
        <v>40.078</v>
      </c>
      <c r="F27" s="101">
        <f t="array" ref="F27">MIN(IF(INDEX(properties!A$1:CB$87,'Fórmula'!B27,3)=0,10^6,INDEX(properties!A$1:CB$87,'Fórmula'!B27,3)),IF(INDEX(properties!A$1:CB$87,'Fórmula'!D27,3)=0,10^6,INDEX(properties!A$1:CB$87,'Fórmula'!D27,3)),IF(INDEX(properties!A$1:CB$87,'Fórmula'!F27,3)=0,10^6,INDEX(properties!A$1:CB$87,'Fórmula'!F27,3)),IF(INDEX(properties!A$1:CB$87,'Fórmula'!H27,3)=0,10^6,INDEX(properties!A$1:CB$87,'Fórmula'!H27,3)),IF(INDEX(properties!A$1:CB$87,'Fórmula'!J27,3)=0,10^6,INDEX(properties!A$1:CB$87,'Fórmula'!J27,3)))</f>
        <v>15.9994</v>
      </c>
      <c r="G27" s="101">
        <f t="shared" si="1"/>
        <v>24.0786</v>
      </c>
      <c r="H27" s="102">
        <f t="array" ref="H27">(('Fórmula'!C27)/('Fórmula'!C27+'Fórmula'!E27+'Fórmula'!G27+'Fórmula'!I27+'Fórmula'!K27))*(INDEX(properties!A$1:CB$87,'Fórmula'!B27,4))+(('Fórmula'!E27)/('Fórmula'!C27+'Fórmula'!E27+'Fórmula'!G27+'Fórmula'!I27+'Fórmula'!K27))*(INDEX(properties!A$1:CB$87,'Fórmula'!D27,4))+(('Fórmula'!G27)/('Fórmula'!C27+'Fórmula'!E27+'Fórmula'!G27+'Fórmula'!I27+'Fórmula'!K27))*(INDEX(properties!A$1:CB$87,'Fórmula'!F27,4))+(('Fórmula'!I27)/('Fórmula'!C27+'Fórmula'!E27+'Fórmula'!G27+'Fórmula'!I27+'Fórmula'!K27))*(INDEX(properties!A$1:CB$87,'Fórmula'!H27,4))+(('Fórmula'!K27)/('Fórmula'!C27+'Fórmula'!E27+'Fórmula'!G27+'Fórmula'!I27+'Fórmula'!K27))*(INDEX(properties!A$1:CB$87,'Fórmula'!J27,4))</f>
        <v>11.84615385</v>
      </c>
      <c r="I27" s="102">
        <f t="array" ref="I27">'Fórmula'!C27*(INDEX(properties!A$1:CB$87,'Fórmula'!B27,4))+'Fórmula'!E27*(INDEX(properties!A$1:CB$87,'Fórmula'!D27,4))+'Fórmula'!G27*(INDEX(properties!A$1:CB$87,'Fórmula'!F27,4))+'Fórmula'!I27*(INDEX(properties!A$1:CB$87,'Fórmula'!H27,4))+'Fórmula'!K27*(INDEX(properties!A$1:CB$87,'Fórmula'!J27,4))</f>
        <v>154</v>
      </c>
      <c r="J27" s="102">
        <f t="array" ref="J27">VARP(IF(INDEX(properties!A$1:CB$87,'Fórmula'!B27,4)&lt;&gt;"",INDEX(properties!A$1:CB$87,'Fórmula'!B27,4)),IF(INDEX(properties!A$1:CB$87,'Fórmula'!D27,4)&lt;&gt;"",INDEX(properties!A$1:CB$87,'Fórmula'!D27,4)),IF(INDEX(properties!A$1:CB$87,'Fórmula'!F27,4)&lt;&gt;"",INDEX(properties!A$1:CB$87,'Fórmula'!F27,4)),IF(INDEX(properties!A$1:CB$87,'Fórmula'!H27,4)&lt;&gt;"",INDEX(properties!A$1:CB$87,'Fórmula'!H27,4)),IF(INDEX(properties!A$1:CB$87,'Fórmula'!J27,4)&lt;&gt;"",INDEX(properties!A$1:CB$87,'Fórmula'!J27,4)))</f>
        <v>63.84</v>
      </c>
      <c r="K27" s="102">
        <f t="array" ref="K27">MAX(INDEX(properties!A$1:CB$87,'Fórmula'!B27,4),INDEX(properties!A$1:CB$87,'Fórmula'!D27,4),INDEX(properties!A$1:CB$87,'Fórmula'!F27,4),INDEX(properties!A$1:CB$87,'Fórmula'!H27,4),INDEX(properties!A$1:CB$87,'Fórmula'!J27,4))</f>
        <v>20</v>
      </c>
      <c r="L27" s="102">
        <f t="array" ref="L27">MIN(IF(INDEX(properties!A$1:CB$87,'Fórmula'!B27,4)=0,10^6,INDEX(properties!A$1:CB$87,'Fórmula'!B27,4)),IF(INDEX(properties!A$1:CB$87,'Fórmula'!D27,4)=0,10^6,INDEX(properties!A$1:CB$87,'Fórmula'!D27,4)),IF(INDEX(properties!A$1:CB$87,'Fórmula'!F27,4)=0,10^6,INDEX(properties!A$1:CB$87,'Fórmula'!F27,4)),IF(INDEX(properties!A$1:CB$87,'Fórmula'!H27,4)=0,10^6,INDEX(properties!A$1:CB$87,'Fórmula'!H27,4)),IF(INDEX(properties!A$1:CB$87,'Fórmula'!J27,4)=0,10^6,INDEX(properties!A$1:CB$87,'Fórmula'!J27,4)))</f>
        <v>8</v>
      </c>
      <c r="M27" s="102">
        <f t="shared" si="2"/>
        <v>12</v>
      </c>
      <c r="N27" s="103">
        <f t="array" ref="N27">(('Fórmula'!C27)/('Fórmula'!C27+'Fórmula'!E27+'Fórmula'!G27+'Fórmula'!I27+'Fórmula'!K27))*(INDEX(properties!A$1:CB$87,'Fórmula'!B27,5))+(('Fórmula'!E27)/('Fórmula'!C27+'Fórmula'!E27+'Fórmula'!G27+'Fórmula'!I27+'Fórmula'!K27))*(INDEX(properties!A$1:CB$87,'Fórmula'!D27,5))+(('Fórmula'!G27)/('Fórmula'!C27+'Fórmula'!E27+'Fórmula'!G27+'Fórmula'!I27+'Fórmula'!K27))*(INDEX(properties!A$1:CB$87,'Fórmula'!F27,5))+(('Fórmula'!I27)/('Fórmula'!C27+'Fórmula'!E27+'Fórmula'!G27+'Fórmula'!I27+'Fórmula'!K27))*(INDEX(properties!A$1:CB$87,'Fórmula'!H27,5))+(('Fórmula'!K27)/('Fórmula'!C27+'Fórmula'!E27+'Fórmula'!G27+'Fórmula'!I27+'Fórmula'!K27))*(INDEX(properties!A$1:CB$87,'Fórmula'!J27,5))</f>
        <v>2.615384615</v>
      </c>
      <c r="O27" s="103">
        <f t="array" ref="O27">'Fórmula'!C27*(INDEX(properties!A$1:CB$87,'Fórmula'!B27,5))+'Fórmula'!E27*(INDEX(properties!A$1:CB$87,'Fórmula'!D27,5))+'Fórmula'!G27*(INDEX(properties!A$1:CB$87,'Fórmula'!F27,5))+'Fórmula'!I27*(INDEX(properties!A$1:CB$87,'Fórmula'!H27,5))+'Fórmula'!K27*(INDEX(properties!A$1:CB$87,'Fórmula'!J27,5))</f>
        <v>34</v>
      </c>
      <c r="P27" s="103">
        <f t="array" ref="P27">VARP(IF(INDEX(properties!A$1:CB$87,'Fórmula'!B27,5)&lt;&gt;"",INDEX(properties!A$1:CB$87,'Fórmula'!B27,5)),IF(INDEX(properties!A$1:CB$87,'Fórmula'!D27,5)&lt;&gt;"",INDEX(properties!A$1:CB$87,'Fórmula'!D27,5)),IF(INDEX(properties!A$1:CB$87,'Fórmula'!F27,5)&lt;&gt;"",INDEX(properties!A$1:CB$87,'Fórmula'!F27,5)),IF(INDEX(properties!A$1:CB$87,'Fórmula'!H27,5)&lt;&gt;"",INDEX(properties!A$1:CB$87,'Fórmula'!H27,5)),IF(INDEX(properties!A$1:CB$87,'Fórmula'!J27,5)&lt;&gt;"",INDEX(properties!A$1:CB$87,'Fórmula'!J27,5)))</f>
        <v>2.56</v>
      </c>
      <c r="Q27" s="103">
        <f t="array" ref="Q27">MAX(INDEX(properties!A$1:CB$87,'Fórmula'!B27,5),INDEX(properties!A$1:CB$87,'Fórmula'!D27,5),INDEX(properties!A$1:CB$87,'Fórmula'!F27,5),INDEX(properties!A$1:CB$87,'Fórmula'!H27,5),INDEX(properties!A$1:CB$87,'Fórmula'!J27,5))</f>
        <v>4</v>
      </c>
      <c r="R27" s="103">
        <f t="array" ref="R27">MIN(IF(INDEX(properties!A$1:CB$87,'Fórmula'!B27,5)=0,10^6,INDEX(properties!A$1:CB$87,'Fórmula'!B27,5)),IF(INDEX(properties!A$1:CB$87,'Fórmula'!D27,5)=0,10^6,INDEX(properties!A$1:CB$87,'Fórmula'!D27,5)),IF(INDEX(properties!A$1:CB$87,'Fórmula'!F27,5)=0,10^6,INDEX(properties!A$1:CB$87,'Fórmula'!F27,5)),IF(INDEX(properties!A$1:CB$87,'Fórmula'!H27,5)=0,10^6,INDEX(properties!A$1:CB$87,'Fórmula'!H27,5)),IF(INDEX(properties!A$1:CB$87,'Fórmula'!J27,5)=0,10^6,INDEX(properties!A$1:CB$87,'Fórmula'!J27,5)))</f>
        <v>2</v>
      </c>
      <c r="S27" s="103">
        <f t="shared" si="3"/>
        <v>2</v>
      </c>
      <c r="T27" s="104">
        <f t="array" ref="T27">(('Fórmula'!C27)/('Fórmula'!C27+'Fórmula'!E27+'Fórmula'!G27+'Fórmula'!I27+'Fórmula'!K27))*(INDEX(properties!A$1:CB$87,'Fórmula'!B27,6))+(('Fórmula'!E27)/('Fórmula'!C27+'Fórmula'!E27+'Fórmula'!G27+'Fórmula'!I27+'Fórmula'!K27))*(INDEX(properties!A$1:CB$87,'Fórmula'!D27,6))+(('Fórmula'!G27)/('Fórmula'!C27+'Fórmula'!E27+'Fórmula'!G27+'Fórmula'!I27+'Fórmula'!K27))*(INDEX(properties!A$1:CB$87,'Fórmula'!F27,6))+(('Fórmula'!I27)/('Fórmula'!C27+'Fórmula'!E27+'Fórmula'!G27+'Fórmula'!I27+'Fórmula'!K27))*(INDEX(properties!A$1:CB$87,'Fórmula'!H27,6))+(('Fórmula'!K27)/('Fórmula'!C27+'Fórmula'!E27+'Fórmula'!G27+'Fórmula'!I27+'Fórmula'!K27))*(INDEX(properties!A$1:CB$87,'Fórmula'!J27,6))</f>
        <v>12.61538462</v>
      </c>
      <c r="U27" s="104">
        <f t="array" ref="U27">'Fórmula'!C27*(INDEX(properties!A$1:CB$87,'Fórmula'!B27,6))+'Fórmula'!E27*(INDEX(properties!A$1:CB$87,'Fórmula'!D27,6))+'Fórmula'!G27*(INDEX(properties!A$1:CB$87,'Fórmula'!F27,6))+'Fórmula'!I27*(INDEX(properties!A$1:CB$87,'Fórmula'!H27,6))+'Fórmula'!K27*(INDEX(properties!A$1:CB$87,'Fórmula'!J27,6))</f>
        <v>164</v>
      </c>
      <c r="V27" s="103">
        <f t="array" ref="V27">VARP(IF(INDEX(properties!A$1:CB$87,'Fórmula'!B27,6)&lt;&gt;"",INDEX(properties!A$1:CB$87,'Fórmula'!B27,6)),IF(INDEX(properties!A$1:CB$87,'Fórmula'!D27,6)&lt;&gt;"",INDEX(properties!A$1:CB$87,'Fórmula'!D27,6)),IF(INDEX(properties!A$1:CB$87,'Fórmula'!F27,6)&lt;&gt;"",INDEX(properties!A$1:CB$87,'Fórmula'!F27,6)),IF(INDEX(properties!A$1:CB$87,'Fórmula'!H27,6)&lt;&gt;"",INDEX(properties!A$1:CB$87,'Fórmula'!H27,6)),IF(INDEX(properties!A$1:CB$87,'Fórmula'!J27,6)&lt;&gt;"",INDEX(properties!A$1:CB$87,'Fórmula'!J27,6)))</f>
        <v>53.44</v>
      </c>
      <c r="W27" s="104">
        <f t="array" ref="W27">MAX(INDEX(properties!A$1:CB$87,'Fórmula'!B27,6),INDEX(properties!A$1:CB$87,'Fórmula'!D27,6),INDEX(properties!A$1:CB$87,'Fórmula'!F27,6),INDEX(properties!A$1:CB$87,'Fórmula'!H27,4),INDEX(properties!A$1:CB$87,'Fórmula'!J27,6))</f>
        <v>16</v>
      </c>
      <c r="X27" s="104">
        <f t="array" ref="X27">MIN(IF(INDEX(properties!A$1:CB$87,'Fórmula'!B27,6)=0,10^6,INDEX(properties!A$1:CB$87,'Fórmula'!B27,6)),IF(INDEX(properties!A$1:CB$87,'Fórmula'!D27,6)=0,10^6,INDEX(properties!A$1:CB$87,'Fórmula'!D27,6)),IF(INDEX(properties!A$1:CB$87,'Fórmula'!F27,6)=0,10^6,INDEX(properties!A$1:CB$87,'Fórmula'!F27,6)),IF(INDEX(properties!A$1:CB$87,'Fórmula'!H27,6)=0,10^6,INDEX(properties!A$1:CB$87,'Fórmula'!H27,6)),IF(INDEX(properties!A$1:CB$87,'Fórmula'!J27,6)=0,10^6,INDEX(properties!A$1:CB$87,'Fórmula'!J27,6)))</f>
        <v>2</v>
      </c>
      <c r="Y27" s="104">
        <f t="shared" si="4"/>
        <v>14</v>
      </c>
      <c r="Z27" s="105">
        <f t="array" ref="Z27">(('Fórmula'!C27)/('Fórmula'!C27+'Fórmula'!E27+'Fórmula'!G27+'Fórmula'!I27+'Fórmula'!K27))*(INDEX(properties!A$1:CB$87,'Fórmula'!B27,9))+(('Fórmula'!E27)/('Fórmula'!C27+'Fórmula'!E27+'Fórmula'!G27+'Fórmula'!I27+'Fórmula'!K27))*(INDEX(properties!A$1:CB$87,'Fórmula'!D27,9))+(('Fórmula'!G27)/('Fórmula'!C27+'Fórmula'!E27+'Fórmula'!G27+'Fórmula'!I27+'Fórmula'!K27))*(INDEX(properties!A$1:CB$87,'Fórmula'!F27,9))+(('Fórmula'!I27)/('Fórmula'!C27+'Fórmula'!E27+'Fórmula'!G27+'Fórmula'!I27+'Fórmula'!K27))*(INDEX(properties!A$1:CB$87,'Fórmula'!H27,9))+(('Fórmula'!K27)/('Fórmula'!C27+'Fórmula'!E27+'Fórmula'!G27+'Fórmula'!I27+'Fórmula'!K27))*(INDEX(properties!A$1:CB$87,'Fórmula'!J27,9))</f>
        <v>67.92307692</v>
      </c>
      <c r="AA27" s="105">
        <f t="array" ref="AA27">'Fórmula'!C27*(INDEX(properties!A$1:CB$87,'Fórmula'!B27,9))+'Fórmula'!E27*(INDEX(properties!A$1:CB$87,'Fórmula'!D27,9))+'Fórmula'!G27*(INDEX(properties!A$1:CB$87,'Fórmula'!F27,9))+'Fórmula'!I27*(INDEX(properties!A$1:CB$87,'Fórmula'!H27,9))+'Fórmula'!K27*(INDEX(properties!A$1:CB$87,'Fórmula'!J27,9))</f>
        <v>883</v>
      </c>
      <c r="AB27" s="105">
        <f t="array" ref="AB27">VARP(IF(INDEX(properties!A$1:CB$87,'Fórmula'!B27,9)&lt;&gt;"",INDEX(properties!A$1:CB$87,'Fórmula'!B27,9)),IF(INDEX(properties!A$1:CB$87,'Fórmula'!D27,9)&lt;&gt;"",INDEX(properties!A$1:CB$87,'Fórmula'!D27,9)),IF(INDEX(properties!A$1:CB$87,'Fórmula'!F27,9)&lt;&gt;"",INDEX(properties!A$1:CB$87,'Fórmula'!F27,9)),IF(INDEX(properties!A$1:CB$87,'Fórmula'!H27,9)&lt;&gt;"",INDEX(properties!A$1:CB$87,'Fórmula'!H27,9)),IF(INDEX(properties!A$1:CB$87,'Fórmula'!J27,9)&lt;&gt;"",INDEX(properties!A$1:CB$87,'Fórmula'!J27,9)))</f>
        <v>1648.24</v>
      </c>
      <c r="AC27" s="105">
        <f t="array" ref="AC27">MAX(INDEX(properties!A$1:CB$87,'Fórmula'!B27,9),INDEX(properties!A$1:CB$87,'Fórmula'!D27,9),INDEX(properties!A$1:CB$87,'Fórmula'!F27,9),INDEX(properties!A$1:CB$87,'Fórmula'!H27,9),INDEX(properties!A$1:CB$87,'Fórmula'!J27,9))</f>
        <v>87</v>
      </c>
      <c r="AD27" s="105">
        <f t="array" ref="AD27">MIN(IF(INDEX(properties!A$1:CB$87,'Fórmula'!B27,9)=0,10^6,INDEX(properties!A$1:CB$87,'Fórmula'!B27,9)),IF(INDEX(properties!A$1:CB$87,'Fórmula'!D27,9)=0,10^6,INDEX(properties!A$1:CB$87,'Fórmula'!D27,9)),IF(INDEX(properties!A$1:CB$87,'Fórmula'!F27,9)=0,10^6,INDEX(properties!A$1:CB$87,'Fórmula'!F27,9)),IF(INDEX(properties!A$1:CB$87,'Fórmula'!H27,9)=0,10^6,INDEX(properties!A$1:CB$87,'Fórmula'!H27,9)),IF(INDEX(properties!A$1:CB$87,'Fórmula'!J27,9)=0,10^6,INDEX(properties!A$1:CB$87,'Fórmula'!J27,9)))</f>
        <v>7</v>
      </c>
      <c r="AE27" s="105">
        <f t="shared" si="5"/>
        <v>80</v>
      </c>
      <c r="AF27" s="106">
        <f t="array" ref="AF27">(('Fórmula'!C27)/('Fórmula'!C27+'Fórmula'!E27+'Fórmula'!G27+'Fórmula'!I27+'Fórmula'!K27))*(INDEX(properties!A$1:CB$87,'Fórmula'!B27,10))+(('Fórmula'!E27)/('Fórmula'!C27+'Fórmula'!E27+'Fórmula'!G27+'Fórmula'!I27+'Fórmula'!K27))*(INDEX(properties!A$1:CB$87,'Fórmula'!D27,10))+(('Fórmula'!G27)/('Fórmula'!C27+'Fórmula'!E27+'Fórmula'!G27+'Fórmula'!I27+'Fórmula'!K27))*(INDEX(properties!A$1:CB$87,'Fórmula'!F27,10))+(('Fórmula'!I27)/('Fórmula'!C27+'Fórmula'!E27+'Fórmula'!G27+'Fórmula'!I27+'Fórmula'!K27))*(INDEX(properties!A$1:CB$87,'Fórmula'!H27,10))+(('Fórmula'!K27)/('Fórmula'!C27+'Fórmula'!E27+'Fórmula'!G27+'Fórmula'!I27+'Fórmula'!K27))*(INDEX(properties!A$1:CB$87,'Fórmula'!J27,10))</f>
        <v>5.846153846</v>
      </c>
      <c r="AG27" s="106">
        <f t="array" ref="AG27">'Fórmula'!C27*(INDEX(properties!A$1:CB$87,'Fórmula'!B27,10))+'Fórmula'!E27*(INDEX(properties!A$1:CB$87,'Fórmula'!D27,10))+'Fórmula'!G27*(INDEX(properties!A$1:CB$87,'Fórmula'!F27,10))+'Fórmula'!I27*(INDEX(properties!A$1:CB$87,'Fórmula'!H27,10))+'Fórmula'!K27*(INDEX(properties!A$1:CB$87,'Fórmula'!J27,10))</f>
        <v>76</v>
      </c>
      <c r="AH27" s="106">
        <f t="array" ref="AH27">VARP(IF(INDEX(properties!A$1:CB$87,'Fórmula'!B27,10)&lt;&gt;"",INDEX(properties!A$1:CB$87,'Fórmula'!B27,10)),IF(INDEX(properties!A$1:CB$87,'Fórmula'!D27,10)&lt;&gt;"",INDEX(properties!A$1:CB$87,'Fórmula'!D27,10)),IF(INDEX(properties!A$1:CB$87,'Fórmula'!F27,10)&lt;&gt;"",INDEX(properties!A$1:CB$87,'Fórmula'!F27,10)),IF(INDEX(properties!A$1:CB$87,'Fórmula'!H27,10)&lt;&gt;"",INDEX(properties!A$1:CB$87,'Fórmula'!H27,10)),IF(INDEX(properties!A$1:CB$87,'Fórmula'!J27,10)&lt;&gt;"",INDEX(properties!A$1:CB$87,'Fórmula'!J27,10)))</f>
        <v>10.16</v>
      </c>
      <c r="AI27" s="106">
        <f t="array" ref="AI27">MAX(INDEX(properties!A$1:CB$87,'Fórmula'!B27,10),INDEX(properties!A$1:CB$87,'Fórmula'!D27,10),INDEX(properties!A$1:CB$87,'Fórmula'!F27,10),INDEX(properties!A$1:CB$87,'Fórmula'!H27,10),INDEX(properties!A$1:CB$87,'Fórmula'!J27,10))</f>
        <v>7</v>
      </c>
      <c r="AJ27" s="106">
        <f t="array" ref="AJ27">MIN(IF(INDEX(properties!A$1:CB$87,'Fórmula'!B27,10)=0,10^6,INDEX(properties!A$1:CB$87,'Fórmula'!B27,10)),IF(INDEX(properties!A$1:CB$87,'Fórmula'!D27,10)=0,10^6,INDEX(properties!A$1:CB$87,'Fórmula'!D27,10)),IF(INDEX(properties!A$1:CB$87,'Fórmula'!F27,10)=0,10^6,INDEX(properties!A$1:CB$87,'Fórmula'!F27,10)),IF(INDEX(properties!A$1:CB$87,'Fórmula'!H27,10)=0,10^6,INDEX(properties!A$1:CB$87,'Fórmula'!H27,10)),IF(INDEX(properties!A$1:CB$87,'Fórmula'!J27,10)=0,10^6,INDEX(properties!A$1:CB$87,'Fórmula'!J27,10)))</f>
        <v>2</v>
      </c>
      <c r="AK27" s="106">
        <f t="shared" si="6"/>
        <v>5</v>
      </c>
      <c r="AL27" s="107">
        <f t="array" ref="AL27">(('Fórmula'!C27)/('Fórmula'!C27+'Fórmula'!E27+'Fórmula'!G27+'Fórmula'!I27+'Fórmula'!K27))*(INDEX(properties!A$1:CB$87,'Fórmula'!B27,11))+(('Fórmula'!E27)/('Fórmula'!C27+'Fórmula'!E27+'Fórmula'!G27+'Fórmula'!I27+'Fórmula'!K27))*(INDEX(properties!A$1:CB$87,'Fórmula'!D27,11))+(('Fórmula'!G27)/('Fórmula'!C27+'Fórmula'!E27+'Fórmula'!G27+'Fórmula'!I27+'Fórmula'!K27))*(INDEX(properties!A$1:CB$87,'Fórmula'!F27,11))+(('Fórmula'!I27)/('Fórmula'!C27+'Fórmula'!E27+'Fórmula'!G27+'Fórmula'!I27+'Fórmula'!K27))*(INDEX(properties!A$1:CB$87,'Fórmula'!H27,11))+(('Fórmula'!K27)/('Fórmula'!C27+'Fórmula'!E27+'Fórmula'!G27+'Fórmula'!I27+'Fórmula'!K27))*(INDEX(properties!A$1:CB$87,'Fórmula'!J27,11))</f>
        <v>2</v>
      </c>
      <c r="AM27" s="107">
        <f t="array" ref="AM27">'Fórmula'!C27*(INDEX(properties!A$1:CB$87,'Fórmula'!B27,11))+'Fórmula'!E27*(INDEX(properties!A$1:CB$87,'Fórmula'!D27,11))+'Fórmula'!G27*(INDEX(properties!A$1:CB$87,'Fórmula'!F27,11))+'Fórmula'!I27*(INDEX(properties!A$1:CB$87,'Fórmula'!H27,11))+'Fórmula'!K27*(INDEX(properties!A$1:CB$87,'Fórmula'!J27,11))</f>
        <v>26</v>
      </c>
      <c r="AN27" s="107">
        <f t="array" ref="AN27">VARP(IF(INDEX(properties!A$1:CB$87,'Fórmula'!B27,11)&lt;&gt;"",INDEX(properties!A$1:CB$87,'Fórmula'!B27,11)),IF(INDEX(properties!A$1:CB$87,'Fórmula'!D27,11)&lt;&gt;"",INDEX(properties!A$1:CB$87,'Fórmula'!D27,11)),IF(INDEX(properties!A$1:CB$87,'Fórmula'!F27,11)&lt;&gt;"",INDEX(properties!A$1:CB$87,'Fórmula'!F27,11)),IF(INDEX(properties!A$1:CB$87,'Fórmula'!H27,11)&lt;&gt;"",INDEX(properties!A$1:CB$87,'Fórmula'!H27,11)),IF(INDEX(properties!A$1:CB$87,'Fórmula'!J27,11)&lt;&gt;"",INDEX(properties!A$1:CB$87,'Fórmula'!J27,11)))</f>
        <v>0.96</v>
      </c>
      <c r="AO27" s="107">
        <f t="array" ref="AO27">MAX(INDEX(properties!A$1:CB$87,'Fórmula'!B27,11),INDEX(properties!A$1:CB$87,'Fórmula'!D27,11),INDEX(properties!A$1:CB$87,'Fórmula'!F27,11),INDEX(properties!A$1:CB$87,'Fórmula'!H27,11),INDEX(properties!A$1:CB$87,'Fórmula'!J27,11))</f>
        <v>2</v>
      </c>
      <c r="AP27" s="107">
        <f t="array" ref="AP27">MIN(IF('Fórmula'!B27=87,10^6,INDEX(properties!A$1:CB$87,'Fórmula'!B27,11)),IF(('Fórmula'!D27)=87,10^6,INDEX(properties!A$1:CB$87,'Fórmula'!D27,11)),IF(('Fórmula'!F27)=87,10^6,INDEX(properties!A$1:CB$87,'Fórmula'!F27,11)),IF(('Fórmula'!H27)=87,10^6,INDEX(properties!A$1:CB$87,'Fórmula'!H27,11)),IF('Fórmula'!J27=87,10^6,INDEX(properties!A$1:CB$87,'Fórmula'!J27,11)))</f>
        <v>2</v>
      </c>
      <c r="AQ27" s="107">
        <f t="shared" si="7"/>
        <v>0</v>
      </c>
      <c r="AR27" s="108">
        <f t="array" ref="AR27">(('Fórmula'!C27)/('Fórmula'!C27+'Fórmula'!E27+'Fórmula'!G27+'Fórmula'!I27+'Fórmula'!K27))*(INDEX(properties!A$1:CB$87,'Fórmula'!B27,12))+(('Fórmula'!E27)/('Fórmula'!C27+'Fórmula'!E27+'Fórmula'!G27+'Fórmula'!I27+'Fórmula'!K27))*(INDEX(properties!A$1:CB$87,'Fórmula'!D27,12))+(('Fórmula'!G27)/('Fórmula'!C27+'Fórmula'!E27+'Fórmula'!G27+'Fórmula'!I27+'Fórmula'!K27))*(INDEX(properties!A$1:CB$87,'Fórmula'!F27,12))+(('Fórmula'!I27)/('Fórmula'!C27+'Fórmula'!E27+'Fórmula'!G27+'Fórmula'!I27+'Fórmula'!K27))*(INDEX(properties!A$1:CB$87,'Fórmula'!H27,12))+(('Fórmula'!K27)/('Fórmula'!C27+'Fórmula'!E27+'Fórmula'!G27+'Fórmula'!I27+'Fórmula'!K27))*(INDEX(properties!A$1:CB$87,'Fórmula'!J27,12))</f>
        <v>2.923076923</v>
      </c>
      <c r="AS27" s="108">
        <f t="array" ref="AS27">'Fórmula'!C27*(INDEX(properties!A$1:CB$87,'Fórmula'!B27,12))+'Fórmula'!E27*(INDEX(properties!A$1:CB$87,'Fórmula'!D27,12))+'Fórmula'!G27*(INDEX(properties!A$1:CB$87,'Fórmula'!F27,12))+'Fórmula'!I27*(INDEX(properties!A$1:CB$87,'Fórmula'!H27,12))+'Fórmula'!K27*(INDEX(properties!A$1:CB$87,'Fórmula'!J27,12))</f>
        <v>38</v>
      </c>
      <c r="AT27" s="108">
        <f t="array" ref="AT27">VARP(IF(INDEX(properties!A$1:CB$87,'Fórmula'!B27,12)&lt;&gt;"",INDEX(properties!A$1:CB$87,'Fórmula'!B27,12)),IF(INDEX(properties!A$1:CB$87,'Fórmula'!D27,12)&lt;&gt;"",INDEX(properties!A$1:CB$87,'Fórmula'!D27,12)),IF(INDEX(properties!A$1:CB$87,'Fórmula'!F27,12)&lt;&gt;"",INDEX(properties!A$1:CB$87,'Fórmula'!F27,12)),IF(INDEX(properties!A$1:CB$87,'Fórmula'!H27,12)&lt;&gt;"",INDEX(properties!A$1:CB$87,'Fórmula'!H27,12)),IF(INDEX(properties!A$1:CB$87,'Fórmula'!J27,12)&lt;&gt;"",INDEX(properties!A$1:CB$87,'Fórmula'!J27,12)))</f>
        <v>3.04</v>
      </c>
      <c r="AU27" s="108">
        <f t="array" ref="AU27">MAX(INDEX(properties!A$1:CB$87,'Fórmula'!B27,12),INDEX(properties!A$1:CB$87,'Fórmula'!D27,12),INDEX(properties!A$1:CB$87,'Fórmula'!F27,12),INDEX(properties!A$1:CB$87,'Fórmula'!H27,12),INDEX(properties!A$1:CB$87,'Fórmula'!J27,12))</f>
        <v>4</v>
      </c>
      <c r="AV27" s="108">
        <f t="array" ref="AV27">MIN(IF('Fórmula'!B27=87,10^6,INDEX(properties!A$1:CB$87,'Fórmula'!B27,12)),IF(('Fórmula'!D27)=87,10^6,INDEX(properties!A$1:CB$87,'Fórmula'!D27,12)),IF(('Fórmula'!F27)=87,10^6,INDEX(properties!A$1:CB$87,'Fórmula'!F27,12)),IF(('Fórmula'!H27)=87,10^6,INDEX(properties!A$1:CB$87,'Fórmula'!H27,12)),IF('Fórmula'!J27=87,10^6,INDEX(properties!A$1:CB$87,'Fórmula'!J27,12)))</f>
        <v>0</v>
      </c>
      <c r="AW27" s="108">
        <f t="shared" si="8"/>
        <v>4</v>
      </c>
      <c r="AX27" s="109">
        <f t="array" ref="AX27">(('Fórmula'!C27)/('Fórmula'!C27+'Fórmula'!E27+'Fórmula'!G27+'Fórmula'!I27+'Fórmula'!K27))*(INDEX(properties!A$1:CB$87,'Fórmula'!B27,13))+(('Fórmula'!E27)/('Fórmula'!C27+'Fórmula'!E27+'Fórmula'!G27+'Fórmula'!I27+'Fórmula'!K27))*(INDEX(properties!A$1:CB$87,'Fórmula'!D27,13))+(('Fórmula'!G27)/('Fórmula'!C27+'Fórmula'!E27+'Fórmula'!G27+'Fórmula'!I27+'Fórmula'!K27))*(INDEX(properties!A$1:CB$87,'Fórmula'!F27,13))+(('Fórmula'!I27)/('Fórmula'!C27+'Fórmula'!E27+'Fórmula'!G27+'Fórmula'!I27+'Fórmula'!K27))*(INDEX(properties!A$1:CB$87,'Fórmula'!H27,13))+(('Fórmula'!K27)/('Fórmula'!C27+'Fórmula'!E27+'Fórmula'!G27+'Fórmula'!I27+'Fórmula'!K27))*(INDEX(properties!A$1:CB$87,'Fórmula'!J27,13))</f>
        <v>0</v>
      </c>
      <c r="AY27" s="109">
        <f t="array" ref="AY27">'Fórmula'!C27*(INDEX(properties!A$1:CB$87,'Fórmula'!B27,13))+'Fórmula'!E27*(INDEX(properties!A$1:CB$87,'Fórmula'!D27,13))+'Fórmula'!G27*(INDEX(properties!A$1:CB$87,'Fórmula'!F27,13))+'Fórmula'!I27*(INDEX(properties!A$1:CB$87,'Fórmula'!H27,13))+'Fórmula'!K27*(INDEX(properties!A$1:CB$87,'Fórmula'!J27,13))</f>
        <v>0</v>
      </c>
      <c r="AZ27" s="109">
        <f t="array" ref="AZ27">VARP(IF(INDEX(properties!A$1:CB$87,'Fórmula'!B27,13)&lt;&gt;"",INDEX(properties!A$1:CB$87,'Fórmula'!B27,13)),IF(INDEX(properties!A$1:CB$87,'Fórmula'!D27,13)&lt;&gt;"",INDEX(properties!A$1:CB$87,'Fórmula'!D27,13)),IF(INDEX(properties!A$1:CB$87,'Fórmula'!F27,13)&lt;&gt;"",INDEX(properties!A$1:CB$87,'Fórmula'!F27,13)),IF(INDEX(properties!A$1:CB$87,'Fórmula'!H27,13)&lt;&gt;"",INDEX(properties!A$1:CB$87,'Fórmula'!H27,13)),IF(INDEX(properties!A$1:CB$87,'Fórmula'!J27,13)&lt;&gt;"",INDEX(properties!A$1:CB$87,'Fórmula'!J27,13)))</f>
        <v>0</v>
      </c>
      <c r="BA27" s="109">
        <f t="array" ref="BA27">MAX(INDEX(properties!A$1:CB$87,'Fórmula'!B27,13),INDEX(properties!A$1:CB$87,'Fórmula'!D27,13),INDEX(properties!A$1:CB$87,'Fórmula'!F27,13),INDEX(properties!A$1:CB$87,'Fórmula'!H27,13),INDEX(properties!A$1:CB$87,'Fórmula'!J27,13))</f>
        <v>0</v>
      </c>
      <c r="BB27" s="109">
        <f t="array" ref="BB27">MIN(IF('Fórmula'!B27=87,10^6,INDEX(properties!A$1:CB$87,'Fórmula'!B27,13)),IF(('Fórmula'!D27)=87,10^6,INDEX(properties!A$1:CB$87,'Fórmula'!D27,13)),IF(('Fórmula'!F27)=87,10^6,INDEX(properties!A$1:CB$87,'Fórmula'!F27,13)),IF(('Fórmula'!H27)=87,10^6,INDEX(properties!A$1:CB$87,'Fórmula'!H27,13)),IF('Fórmula'!J27=87,10^6,INDEX(properties!A$1:CB$87,'Fórmula'!J27,13)))</f>
        <v>0</v>
      </c>
      <c r="BC27" s="109">
        <f t="shared" si="9"/>
        <v>0</v>
      </c>
      <c r="BD27" s="110">
        <f t="array" ref="BD27">(('Fórmula'!C27)/('Fórmula'!C27+'Fórmula'!E27+'Fórmula'!G27+'Fórmula'!I27+'Fórmula'!K27))*(INDEX(properties!A$1:CB$87,'Fórmula'!B27,14))+(('Fórmula'!E27)/('Fórmula'!C27+'Fórmula'!E27+'Fórmula'!G27+'Fórmula'!I27+'Fórmula'!K27))*(INDEX(properties!A$1:CB$87,'Fórmula'!D27,14))+(('Fórmula'!G27)/('Fórmula'!C27+'Fórmula'!E27+'Fórmula'!G27+'Fórmula'!I27+'Fórmula'!K27))*(INDEX(properties!A$1:CB$87,'Fórmula'!F27,14))+(('Fórmula'!I27)/('Fórmula'!C27+'Fórmula'!E27+'Fórmula'!G27+'Fórmula'!I27+'Fórmula'!K27))*(INDEX(properties!A$1:CB$87,'Fórmula'!H27,14))+(('Fórmula'!K27)/('Fórmula'!C27+'Fórmula'!E27+'Fórmula'!G27+'Fórmula'!I27+'Fórmula'!K27))*(INDEX(properties!A$1:CB$87,'Fórmula'!J27,14))</f>
        <v>0</v>
      </c>
      <c r="BE27" s="110">
        <f t="array" ref="BE27">'Fórmula'!C27*(INDEX(properties!A$1:CB$87,'Fórmula'!B27,14))+'Fórmula'!E27*(INDEX(properties!A$1:CB$87,'Fórmula'!D27,14))+'Fórmula'!G27*(INDEX(properties!A$1:CB$87,'Fórmula'!F27,14))+'Fórmula'!I27*(INDEX(properties!A$1:CB$87,'Fórmula'!H27,14))+'Fórmula'!K27*(INDEX(properties!A$1:CB$87,'Fórmula'!J27,14))</f>
        <v>0</v>
      </c>
      <c r="BF27" s="110">
        <f t="array" ref="BF27">VARP(IF(INDEX(properties!A$1:CB$87,'Fórmula'!B27,14)&lt;&gt;"",INDEX(properties!A$1:CB$87,'Fórmula'!B27,14)),IF(INDEX(properties!A$1:CB$87,'Fórmula'!D27,14)&lt;&gt;"",INDEX(properties!A$1:CB$87,'Fórmula'!D27,14)),IF(INDEX(properties!A$1:CB$87,'Fórmula'!F27,14)&lt;&gt;"",INDEX(properties!A$1:CB$87,'Fórmula'!F27,14)),IF(INDEX(properties!A$1:CB$87,'Fórmula'!H27,14)&lt;&gt;"",INDEX(properties!A$1:CB$87,'Fórmula'!H27,14)),IF(INDEX(properties!A$1:CB$87,'Fórmula'!J27,14)&lt;&gt;"",INDEX(properties!A$1:CB$87,'Fórmula'!J27,14)))</f>
        <v>0</v>
      </c>
      <c r="BG27" s="110">
        <f t="array" ref="BG27">MAX(INDEX(properties!A$1:CB$87,'Fórmula'!B27,14),INDEX(properties!A$1:CB$87,'Fórmula'!D27,14),INDEX(properties!A$1:CB$87,'Fórmula'!F27,14),INDEX(properties!A$1:CB$87,'Fórmula'!H27,14),INDEX(properties!A$1:CB$87,'Fórmula'!J27,14))</f>
        <v>0</v>
      </c>
      <c r="BH27" s="110">
        <f t="array" ref="BH27">MIN(IF('Fórmula'!B27=87,10^6,INDEX(properties!A$1:CB$87,'Fórmula'!B27,14)),IF(('Fórmula'!D27)=87,10^6,INDEX(properties!A$1:CB$87,'Fórmula'!D27,14)),IF(('Fórmula'!F27)=87,10^6,INDEX(properties!A$1:CB$87,'Fórmula'!F27,14)),IF(('Fórmula'!H27)=87,10^6,INDEX(properties!A$1:CB$87,'Fórmula'!H27,14)),IF('Fórmula'!J27=87,10^6,INDEX(properties!A$1:CB$87,'Fórmula'!J27,14)))</f>
        <v>0</v>
      </c>
      <c r="BI27" s="110">
        <f t="shared" si="10"/>
        <v>0</v>
      </c>
      <c r="BJ27" s="111">
        <f t="array" ref="BJ27">(('Fórmula'!C27)/('Fórmula'!C27+'Fórmula'!E27+'Fórmula'!G27+'Fórmula'!I27+'Fórmula'!K27))*(INDEX(properties!A$1:CB$87,'Fórmula'!B27,19))+(('Fórmula'!E27)/('Fórmula'!C27+'Fórmula'!E27+'Fórmula'!G27+'Fórmula'!I27+'Fórmula'!K27))*(INDEX(properties!A$1:CB$87,'Fórmula'!D27,19))+(('Fórmula'!G27)/('Fórmula'!C27+'Fórmula'!E27+'Fórmula'!G27+'Fórmula'!I27+'Fórmula'!K27))*(INDEX(properties!A$1:CB$87,'Fórmula'!F27,19))+(('Fórmula'!I27)/('Fórmula'!C27+'Fórmula'!E27+'Fórmula'!G27+'Fórmula'!I27+'Fórmula'!K27))*(INDEX(properties!A$1:CB$87,'Fórmula'!H27,19))+(('Fórmula'!K27)/('Fórmula'!C27+'Fórmula'!E27+'Fórmula'!G27+'Fórmula'!I27+'Fórmula'!K27))*(INDEX(properties!A$1:CB$87,'Fórmula'!J27,19))</f>
        <v>4.923076923</v>
      </c>
      <c r="BK27" s="111">
        <f t="array" ref="BK27">'Fórmula'!C27*(INDEX(properties!A$1:CB$87,'Fórmula'!B27,19))+'Fórmula'!E27*(INDEX(properties!A$1:CB$87,'Fórmula'!D27,19))+'Fórmula'!G27*(INDEX(properties!A$1:CB$87,'Fórmula'!F27,19))+'Fórmula'!I27*(INDEX(properties!A$1:CB$87,'Fórmula'!H27,19))+'Fórmula'!K27*(INDEX(properties!A$1:CB$87,'Fórmula'!J27,19))</f>
        <v>64</v>
      </c>
      <c r="BL27" s="111">
        <f t="array" ref="BL27">VARP(IF(INDEX(properties!A$1:CB$87,'Fórmula'!B27,19)&lt;&gt;"",INDEX(properties!A$1:CB$87,'Fórmula'!B27,19)),IF(INDEX(properties!A$1:CB$87,'Fórmula'!D27,19)&lt;&gt;"",INDEX(properties!A$1:CB$87,'Fórmula'!D27,19)),IF(INDEX(properties!A$1:CB$87,'Fórmula'!F27,19)&lt;&gt;"",INDEX(properties!A$1:CB$87,'Fórmula'!F27,19)),IF(INDEX(properties!A$1:CB$87,'Fórmula'!H27,19)&lt;&gt;"",INDEX(properties!A$1:CB$87,'Fórmula'!H27,19)),IF(INDEX(properties!A$1:CB$87,'Fórmula'!J27,19)&lt;&gt;"",INDEX(properties!A$1:CB$87,'Fórmula'!J27,19)))</f>
        <v>6.24</v>
      </c>
      <c r="BM27" s="111">
        <f t="array" ref="BM27">MAX(INDEX(properties!A$1:CB$87,'Fórmula'!B27,19),INDEX(properties!A$1:CB$87,'Fórmula'!D27,19),INDEX(properties!A$1:CB$87,'Fórmula'!F27,19),INDEX(properties!A$1:CB$87,'Fórmula'!H27,19),INDEX(properties!A$1:CB$87,'Fórmula'!J27,19))</f>
        <v>6</v>
      </c>
      <c r="BN27" s="111">
        <f t="array" ref="BN27">MIN(IF(INDEX(properties!A$1:CB$87,'Fórmula'!B27,19)=0,10^6,INDEX(properties!A$1:CB$87,'Fórmula'!B27,19)),IF(INDEX(properties!A$1:CB$87,'Fórmula'!D27,19)=0,10^6,INDEX(properties!A$1:CB$87,'Fórmula'!D27,19)),IF(INDEX(properties!A$1:CB$87,'Fórmula'!F27,19)=0,10^6,INDEX(properties!A$1:CB$87,'Fórmula'!F27,19)),IF(INDEX(properties!A$1:CB$87,'Fórmula'!H27,19)=0,10^6,INDEX(properties!A$1:CB$87,'Fórmula'!H27,19)),IF(INDEX(properties!A$1:CB$87,'Fórmula'!J27,19)=0,10^6,INDEX(properties!A$1:CB$87,'Fórmula'!J27,19)))</f>
        <v>2</v>
      </c>
      <c r="BO27" s="111">
        <f t="shared" si="11"/>
        <v>4</v>
      </c>
      <c r="BP27" s="112">
        <f t="array" ref="BP27">(('Fórmula'!C27)/('Fórmula'!C27+'Fórmula'!E27+'Fórmula'!G27+'Fórmula'!I27+'Fórmula'!K27))*(INDEX(properties!A$1:CB$87,'Fórmula'!B27,20))+(('Fórmula'!E27)/('Fórmula'!C27+'Fórmula'!E27+'Fórmula'!G27+'Fórmula'!I27+'Fórmula'!K27))*(INDEX(properties!A$1:CB$87,'Fórmula'!D27,20))+(('Fórmula'!G27)/('Fórmula'!C27+'Fórmula'!E27+'Fórmula'!G27+'Fórmula'!I27+'Fórmula'!K27))*(INDEX(properties!A$1:CB$87,'Fórmula'!F27,20))+(('Fórmula'!I27)/('Fórmula'!C27+'Fórmula'!E27+'Fórmula'!G27+'Fórmula'!I27+'Fórmula'!K27))*(INDEX(properties!A$1:CB$87,'Fórmula'!H27,20))+(('Fórmula'!K27)/('Fórmula'!C27+'Fórmula'!E27+'Fórmula'!G27+'Fórmula'!I27+'Fórmula'!K27))*(INDEX(properties!A$1:CB$87,'Fórmula'!J27,20))</f>
        <v>4.923076923</v>
      </c>
      <c r="BQ27" s="112">
        <f t="array" ref="BQ27">'Fórmula'!C27*(INDEX(properties!A$1:CB$87,'Fórmula'!B27,20))+'Fórmula'!E27*(INDEX(properties!A$1:CB$87,'Fórmula'!D27,20))+'Fórmula'!G27*(INDEX(properties!A$1:CB$87,'Fórmula'!F27,20))+'Fórmula'!I27*(INDEX(properties!A$1:CB$87,'Fórmula'!H27,20))+'Fórmula'!K27*(INDEX(properties!A$1:CB$87,'Fórmula'!J27,20))</f>
        <v>64</v>
      </c>
      <c r="BR27" s="112">
        <f t="array" ref="BR27">VARP(IF(INDEX(properties!A$1:CB$87,'Fórmula'!B27,20)&lt;&gt;"",INDEX(properties!A$1:CB$87,'Fórmula'!B27,20)),IF(INDEX(properties!A$1:CB$87,'Fórmula'!D27,20)&lt;&gt;"",INDEX(properties!A$1:CB$87,'Fórmula'!D27,20)),IF(INDEX(properties!A$1:CB$87,'Fórmula'!F27,20)&lt;&gt;"",INDEX(properties!A$1:CB$87,'Fórmula'!F27,20)),IF(INDEX(properties!A$1:CB$87,'Fórmula'!H27,20)&lt;&gt;"",INDEX(properties!A$1:CB$87,'Fórmula'!H27,20)),IF(INDEX(properties!A$1:CB$87,'Fórmula'!J27,20)&lt;&gt;"",INDEX(properties!A$1:CB$87,'Fórmula'!J27,20)))</f>
        <v>6.24</v>
      </c>
      <c r="BS27" s="112">
        <f t="array" ref="BS27">MAX(INDEX(properties!A$1:CB$87,'Fórmula'!B27,20),INDEX(properties!A$1:CB$87,'Fórmula'!D27,20),INDEX(properties!A$1:CB$87,'Fórmula'!F27,20),INDEX(properties!A$1:CB$87,'Fórmula'!H27,20),INDEX(properties!A$1:CB$87,'Fórmula'!J27,20))</f>
        <v>6</v>
      </c>
      <c r="BT27" s="112">
        <f t="array" ref="BT27">MIN(IF(INDEX(properties!A$1:CB$87,'Fórmula'!B27,20)=0,10^6,INDEX(properties!A$1:CB$87,'Fórmula'!B27,20)),IF(INDEX(properties!A$1:CB$87,'Fórmula'!D27,20)=0,10^6,INDEX(properties!A$1:CB$87,'Fórmula'!D27,20)),IF(INDEX(properties!A$1:CB$87,'Fórmula'!F27,20)=0,10^6,INDEX(properties!A$1:CB$87,'Fórmula'!F27,20)),IF(INDEX(properties!A$1:CB$87,'Fórmula'!H27,20)=0,10^6,INDEX(properties!A$1:CB$87,'Fórmula'!H27,20)),IF(INDEX(properties!A$1:CB$87,'Fórmula'!J27,20)=0,10^6,INDEX(properties!A$1:CB$87,'Fórmula'!J27,20)))</f>
        <v>2</v>
      </c>
      <c r="BU27" s="112">
        <f t="shared" si="12"/>
        <v>4</v>
      </c>
      <c r="BV27" s="113">
        <f t="array" ref="BV27">(('Fórmula'!C27)/('Fórmula'!C27+'Fórmula'!E27+'Fórmula'!G27+'Fórmula'!I27+'Fórmula'!K27))*(INDEX(properties!A$1:CB$87,'Fórmula'!B27,21))+(('Fórmula'!E27)/('Fórmula'!C27+'Fórmula'!E27+'Fórmula'!G27+'Fórmula'!I27+'Fórmula'!K27))*(INDEX(properties!A$1:CB$87,'Fórmula'!D27,21))+(('Fórmula'!G27)/('Fórmula'!C27+'Fórmula'!E27+'Fórmula'!G27+'Fórmula'!I27+'Fórmula'!K27))*(INDEX(properties!A$1:CB$87,'Fórmula'!F27,21))+(('Fórmula'!I27)/('Fórmula'!C27+'Fórmula'!E27+'Fórmula'!G27+'Fórmula'!I27+'Fórmula'!K27))*(INDEX(properties!A$1:CB$87,'Fórmula'!H27,21))+(('Fórmula'!K27)/('Fórmula'!C27+'Fórmula'!E27+'Fórmula'!G27+'Fórmula'!I27+'Fórmula'!K27))*(INDEX(properties!A$1:CB$87,'Fórmula'!J27,21))</f>
        <v>4.923076923</v>
      </c>
      <c r="BW27" s="113">
        <f t="array" ref="BW27">'Fórmula'!C27*(INDEX(properties!A$1:CB$87,'Fórmula'!B27,21))+'Fórmula'!E27*(INDEX(properties!A$1:CB$87,'Fórmula'!D27,21))+'Fórmula'!G27*(INDEX(properties!A$1:CB$87,'Fórmula'!F27,21))+'Fórmula'!I27*(INDEX(properties!A$1:CB$87,'Fórmula'!H27,21))+'Fórmula'!K27*(INDEX(properties!A$1:CB$87,'Fórmula'!J27,21))</f>
        <v>64</v>
      </c>
      <c r="BX27" s="113">
        <f t="array" ref="BX27">VARP(IF(INDEX(properties!A$1:CB$87,'Fórmula'!B27,21)&lt;&gt;"",INDEX(properties!A$1:CB$87,'Fórmula'!B27,21)),IF(INDEX(properties!A$1:CB$87,'Fórmula'!D27,21)&lt;&gt;"",INDEX(properties!A$1:CB$87,'Fórmula'!D27,21)),IF(INDEX(properties!A$1:CB$87,'Fórmula'!F27,21)&lt;&gt;"",INDEX(properties!A$1:CB$87,'Fórmula'!F27,21)),IF(INDEX(properties!A$1:CB$87,'Fórmula'!H27,21)&lt;&gt;"",INDEX(properties!A$1:CB$87,'Fórmula'!H27,21)),IF(INDEX(properties!A$1:CB$87,'Fórmula'!J27,21)&lt;&gt;"",INDEX(properties!A$1:CB$87,'Fórmula'!J27,21)))</f>
        <v>6.24</v>
      </c>
      <c r="BY27" s="113">
        <f t="array" ref="BY27">MAX(INDEX(properties!A$1:CB$87,'Fórmula'!B27,21),INDEX(properties!A$1:CB$87,'Fórmula'!D27,21),INDEX(properties!A$1:CB$87,'Fórmula'!F27,21),INDEX(properties!A$1:CB$87,'Fórmula'!H27,21),INDEX(properties!A$1:CB$87,'Fórmula'!J27,21))</f>
        <v>6</v>
      </c>
      <c r="BZ27" s="113">
        <f t="array" ref="BZ27">MIN(IF(INDEX(properties!A$1:CB$87,'Fórmula'!B27,21)=0,10^6,INDEX(properties!A$1:CB$87,'Fórmula'!B27,21)),IF(INDEX(properties!A$1:CB$87,'Fórmula'!D27,21)=0,10^6,INDEX(properties!A$1:CB$87,'Fórmula'!D27,21)),IF(INDEX(properties!A$1:CB$87,'Fórmula'!F27,21)=0,10^6,INDEX(properties!A$1:CB$87,'Fórmula'!F27,21)),IF(INDEX(properties!A$1:CB$87,'Fórmula'!H27,21)=0,10^6,INDEX(properties!A$1:CB$87,'Fórmula'!H27,21)),IF(INDEX(properties!A$1:CB$87,'Fórmula'!J27,21)=0,10^6,INDEX(properties!A$1:CB$87,'Fórmula'!J27,21)))</f>
        <v>2</v>
      </c>
      <c r="CA27" s="113">
        <f t="shared" si="13"/>
        <v>4</v>
      </c>
      <c r="CB27" s="114">
        <f t="array" ref="CB27">(('Fórmula'!C27)/('Fórmula'!C27+'Fórmula'!E27+'Fórmula'!G27+'Fórmula'!I27+'Fórmula'!K27))*(INDEX(properties!A$1:CB$87,'Fórmula'!B27,23))+(('Fórmula'!E27)/('Fórmula'!C27+'Fórmula'!E27+'Fórmula'!G27+'Fórmula'!I27+'Fórmula'!K27))*(INDEX(properties!A$1:CB$87,'Fórmula'!D27,23))+(('Fórmula'!G27)/('Fórmula'!C27+'Fórmula'!E27+'Fórmula'!G27+'Fórmula'!I27+'Fórmula'!K27))*(INDEX(properties!A$1:CB$87,'Fórmula'!F27,23))+(('Fórmula'!I27)/('Fórmula'!C27+'Fórmula'!E27+'Fórmula'!G27+'Fórmula'!I27+'Fórmula'!K27))*(INDEX(properties!A$1:CB$87,'Fórmula'!H27,23))+(('Fórmula'!K27)/('Fórmula'!C27+'Fórmula'!E27+'Fórmula'!G27+'Fórmula'!I27+'Fórmula'!K27))*(INDEX(properties!A$1:CB$87,'Fórmula'!J27,23))</f>
        <v>0.9230769231</v>
      </c>
      <c r="CC27" s="114">
        <f t="array" ref="CC27">'Fórmula'!C27*(INDEX(properties!A$1:CB$87,'Fórmula'!B27,23))+'Fórmula'!E27*(INDEX(properties!A$1:CB$87,'Fórmula'!D27,23))+'Fórmula'!G27*(INDEX(properties!A$1:CB$87,'Fórmula'!F27,23))+'Fórmula'!I27*(INDEX(properties!A$1:CB$87,'Fórmula'!H27,23))+'Fórmula'!K27*(INDEX(properties!A$1:CB$87,'Fórmula'!J27,23))</f>
        <v>12</v>
      </c>
      <c r="CD27" s="114">
        <f t="array" ref="CD27">VARP(IF(INDEX(properties!A$1:CB$87,'Fórmula'!B27,23)&lt;&gt;"",INDEX(properties!A$1:CB$87,'Fórmula'!B27,23)),IF(INDEX(properties!A$1:CB$87,'Fórmula'!D27,23)&lt;&gt;"",INDEX(properties!A$1:CB$87,'Fórmula'!D27,23)),IF(INDEX(properties!A$1:CB$87,'Fórmula'!F27,23)&lt;&gt;"",INDEX(properties!A$1:CB$87,'Fórmula'!F27,23)),IF(INDEX(properties!A$1:CB$87,'Fórmula'!H27,23)&lt;&gt;"",INDEX(properties!A$1:CB$87,'Fórmula'!H27,23)),IF(INDEX(properties!A$1:CB$87,'Fórmula'!J27,23)&lt;&gt;"",INDEX(properties!A$1:CB$87,'Fórmula'!J27,23)))</f>
        <v>1.6</v>
      </c>
      <c r="CE27" s="114">
        <f t="array" ref="CE27">MAX(INDEX(properties!A$1:CB$87,'Fórmula'!B27,23),INDEX(properties!A$1:CB$87,'Fórmula'!D27,23),INDEX(properties!A$1:CB$87,'Fórmula'!F27,23),INDEX(properties!A$1:CB$87,'Fórmula'!H27,23),INDEX(properties!A$1:CB$87,'Fórmula'!J27,23))</f>
        <v>3</v>
      </c>
      <c r="CF27" s="114">
        <f t="array" ref="CF27">MIN(IF('Fórmula'!B27=87,10^6,INDEX(properties!A$1:CB$87,'Fórmula'!B27,23)),IF(('Fórmula'!D27)=87,10^6,INDEX(properties!A$1:CB$87,'Fórmula'!D27,23)),IF(('Fórmula'!F27)=87,10^6,INDEX(properties!A$1:CB$87,'Fórmula'!F27,23)),IF(('Fórmula'!H27)=87,10^6,INDEX(properties!A$1:CB$87,'Fórmula'!H27,23)),IF('Fórmula'!J27=87,10^6,INDEX(properties!A$1:CB$87,'Fórmula'!J27,23)))</f>
        <v>0</v>
      </c>
      <c r="CG27" s="114">
        <f t="shared" si="14"/>
        <v>3</v>
      </c>
      <c r="CH27" s="115">
        <f t="array" ref="CH27">(('Fórmula'!C27)/('Fórmula'!C27+'Fórmula'!E27+'Fórmula'!G27+'Fórmula'!I27+'Fórmula'!K27))*(INDEX(properties!A$1:CB$87,'Fórmula'!B27,26))+(('Fórmula'!E27)/('Fórmula'!C27+'Fórmula'!E27+'Fórmula'!G27+'Fórmula'!I27+'Fórmula'!K27))*(INDEX(properties!A$1:CB$87,'Fórmula'!D27,26))+(('Fórmula'!G27)/('Fórmula'!C27+'Fórmula'!E27+'Fórmula'!G27+'Fórmula'!I27+'Fórmula'!K27))*(INDEX(properties!A$1:CB$87,'Fórmula'!F27,26))+(('Fórmula'!I27)/('Fórmula'!C27+'Fórmula'!E27+'Fórmula'!G27+'Fórmula'!I27+'Fórmula'!K27))*(INDEX(properties!A$1:CB$87,'Fórmula'!H27,26))+(('Fórmula'!K27)/('Fórmula'!C27+'Fórmula'!E27+'Fórmula'!G27+'Fórmula'!I27+'Fórmula'!K27))*(INDEX(properties!A$1:CB$87,'Fórmula'!J27,26))</f>
        <v>11.40444615</v>
      </c>
      <c r="CI27" s="115">
        <f t="array" ref="CI27">'Fórmula'!C27*(INDEX(properties!A$1:CB$87,'Fórmula'!B27,26))+'Fórmula'!E27*(INDEX(properties!A$1:CB$87,'Fórmula'!D27,26))+'Fórmula'!G27*(INDEX(properties!A$1:CB$87,'Fórmula'!F27,26))+'Fórmula'!I27*(INDEX(properties!A$1:CB$87,'Fórmula'!H27,26))+'Fórmula'!K27*(INDEX(properties!A$1:CB$87,'Fórmula'!J27,26))</f>
        <v>148.2578</v>
      </c>
      <c r="CJ27" s="115">
        <f t="array" ref="CJ27">VARP(IF(INDEX(properties!A$1:CB$87,'Fórmula'!B27,26)&lt;&gt;"",INDEX(properties!A$1:CB$87,'Fórmula'!B27,26)),IF(INDEX(properties!A$1:CB$87,'Fórmula'!D27,26)&lt;&gt;"",INDEX(properties!A$1:CB$87,'Fórmula'!D27,26)),IF(INDEX(properties!A$1:CB$87,'Fórmula'!F27,26)&lt;&gt;"",INDEX(properties!A$1:CB$87,'Fórmula'!F27,26)),IF(INDEX(properties!A$1:CB$87,'Fórmula'!H27,26)&lt;&gt;"",INDEX(properties!A$1:CB$87,'Fórmula'!H27,26)),IF(INDEX(properties!A$1:CB$87,'Fórmula'!J27,26)&lt;&gt;"",INDEX(properties!A$1:CB$87,'Fórmula'!J27,26)))</f>
        <v>30.03384679</v>
      </c>
      <c r="CK27" s="116">
        <f t="array" ref="CK27">MAX(INDEX(properties!A$1:CB$87,'Fórmula'!B27,26),INDEX(properties!A$1:CB$87,'Fórmula'!D27,26),INDEX(properties!A$1:CB$87,'Fórmula'!F27,26),INDEX(properties!A$1:CB$87,'Fórmula'!H27,26),INDEX(properties!A$1:CB$87,'Fórmula'!J27,26))</f>
        <v>13.6181</v>
      </c>
      <c r="CL27" s="116">
        <f t="array" ref="CL27">MIN(IF(INDEX(properties!A$1:CB$87,'Fórmula'!B27,26)=0,10^6,INDEX(properties!A$1:CB$87,'Fórmula'!B27,26)),IF(INDEX(properties!A$1:CB$87,'Fórmula'!D27,26)=0,10^6,INDEX(properties!A$1:CB$87,'Fórmula'!D27,26)),IF(INDEX(properties!A$1:CB$87,'Fórmula'!F27,26)=0,10^6,INDEX(properties!A$1:CB$87,'Fórmula'!F27,26)),IF(INDEX(properties!A$1:CB$87,'Fórmula'!H27,26)=0,10^6,INDEX(properties!A$1:CB$87,'Fórmula'!H27,26)),IF(INDEX(properties!A$1:CB$87,'Fórmula'!J27,26)=0,10^6,INDEX(properties!A$1:CB$87,'Fórmula'!J27,26)))</f>
        <v>6.1132</v>
      </c>
      <c r="CM27" s="115">
        <f t="shared" si="15"/>
        <v>7.5049</v>
      </c>
      <c r="CN27" s="117">
        <f t="array" ref="CN27">(('Fórmula'!C27)/('Fórmula'!C27+'Fórmula'!E27+'Fórmula'!G27+'Fórmula'!I27+'Fórmula'!K27))*(INDEX(properties!A$1:CB$87,'Fórmula'!B27,30))+(('Fórmula'!E27)/('Fórmula'!C27+'Fórmula'!E27+'Fórmula'!G27+'Fórmula'!I27+'Fórmula'!K27))*(INDEX(properties!A$1:CB$87,'Fórmula'!D27,30))+(('Fórmula'!G27)/('Fórmula'!C27+'Fórmula'!E27+'Fórmula'!G27+'Fórmula'!I27+'Fórmula'!K27))*(INDEX(properties!A$1:CB$87,'Fórmula'!F27,30))+(('Fórmula'!I27)/('Fórmula'!C27+'Fórmula'!E27+'Fórmula'!G27+'Fórmula'!I27+'Fórmula'!K27))*(INDEX(properties!A$1:CB$87,'Fórmula'!H27,30))+(('Fórmula'!K27)/('Fórmula'!C27+'Fórmula'!E27+'Fórmula'!G27+'Fórmula'!I27+'Fórmula'!K27))*(INDEX(properties!A$1:CB$87,'Fórmula'!J27,30))</f>
        <v>2.684615385</v>
      </c>
      <c r="CO27" s="117">
        <f t="array" ref="CO27">'Fórmula'!C27*(INDEX(properties!A$1:CB$87,'Fórmula'!B27,30))+'Fórmula'!E27*(INDEX(properties!A$1:CB$87,'Fórmula'!D27,30))+'Fórmula'!G27*(INDEX(properties!A$1:CB$87,'Fórmula'!F27,30))+'Fórmula'!I27*(INDEX(properties!A$1:CB$87,'Fórmula'!H27,30))+'Fórmula'!K27*(INDEX(properties!A$1:CB$87,'Fórmula'!J27,30))</f>
        <v>34.9</v>
      </c>
      <c r="CP27" s="117">
        <f t="array" ref="CP27">VARP(IF(INDEX(properties!A$1:CB$87,'Fórmula'!B27,30)&lt;&gt;"",INDEX(properties!A$1:CB$87,'Fórmula'!B27,30)),IF(INDEX(properties!A$1:CB$87,'Fórmula'!D27,30)&lt;&gt;"",INDEX(properties!A$1:CB$87,'Fórmula'!D27,30)),IF(INDEX(properties!A$1:CB$87,'Fórmula'!F27,30)&lt;&gt;"",INDEX(properties!A$1:CB$87,'Fórmula'!F27,30)),IF(INDEX(properties!A$1:CB$87,'Fórmula'!H27,30)&lt;&gt;"",INDEX(properties!A$1:CB$87,'Fórmula'!H27,30)),IF(INDEX(properties!A$1:CB$87,'Fórmula'!J27,30)&lt;&gt;"",INDEX(properties!A$1:CB$87,'Fórmula'!J27,30)))</f>
        <v>1.767664</v>
      </c>
      <c r="CQ27" s="117">
        <f t="array" ref="CQ27">MAX(INDEX(properties!A$1:CB$87,'Fórmula'!B27,30),INDEX(properties!A$1:CB$87,'Fórmula'!D27,30),INDEX(properties!A$1:CB$87,'Fórmula'!F27,30),INDEX(properties!A$1:CB$87,'Fórmula'!H27,30),INDEX(properties!A$1:CB$87,'Fórmula'!J27,30))</f>
        <v>3.44</v>
      </c>
      <c r="CR27" s="117">
        <f t="array" ref="CR27">MIN(IF(INDEX(properties!A$1:CB$87,'Fórmula'!B27,30)=0,10^6,INDEX(properties!A$1:CB$87,'Fórmula'!B27,30)),IF(INDEX(properties!A$1:CB$87,'Fórmula'!D27,30)=0,10^6,INDEX(properties!A$1:CB$87,'Fórmula'!D27,30)),IF(INDEX(properties!A$1:CB$87,'Fórmula'!F27,30)=0,10^6,INDEX(properties!A$1:CB$87,'Fórmula'!F27,30)),IF(INDEX(properties!A$1:CB$87,'Fórmula'!H27,30)=0,10^6,INDEX(properties!A$1:CB$87,'Fórmula'!H27,30)),IF(INDEX(properties!A$1:CB$87,'Fórmula'!J27,30)=0,10^6,INDEX(properties!A$1:CB$87,'Fórmula'!J27,30)))</f>
        <v>1</v>
      </c>
      <c r="CS27" s="117">
        <f t="shared" si="16"/>
        <v>2.44</v>
      </c>
      <c r="CT27" s="118">
        <f t="array" ref="CT27">(('Fórmula'!C27)/('Fórmula'!C27+'Fórmula'!E27+'Fórmula'!G27+'Fórmula'!I27+'Fórmula'!K27))*(INDEX(properties!A$1:CB$87,'Fórmula'!B27,31))+(('Fórmula'!E27)/('Fórmula'!C27+'Fórmula'!E27+'Fórmula'!G27+'Fórmula'!I27+'Fórmula'!K27))*(INDEX(properties!A$1:CB$87,'Fórmula'!D27,31))+(('Fórmula'!G27)/('Fórmula'!C27+'Fórmula'!E27+'Fórmula'!G27+'Fórmula'!I27+'Fórmula'!K27))*(INDEX(properties!A$1:CB$87,'Fórmula'!F27,31))+(('Fórmula'!I27)/('Fórmula'!C27+'Fórmula'!E27+'Fórmula'!G27+'Fórmula'!I27+'Fórmula'!K27))*(INDEX(properties!A$1:CB$87,'Fórmula'!H27,31))+(('Fórmula'!K27)/('Fórmula'!C27+'Fórmula'!E27+'Fórmula'!G27+'Fórmula'!I27+'Fórmula'!K27))*(INDEX(properties!A$1:CB$87,'Fórmula'!J27,31))</f>
        <v>2.67</v>
      </c>
      <c r="CU27" s="118">
        <f t="array" ref="CU27">'Fórmula'!C27*(INDEX(properties!A$1:CB$87,'Fórmula'!B27,31))+'Fórmula'!E27*(INDEX(properties!A$1:CB$87,'Fórmula'!D27,31))+'Fórmula'!G27*(INDEX(properties!A$1:CB$87,'Fórmula'!F27,31))+'Fórmula'!I27*(INDEX(properties!A$1:CB$87,'Fórmula'!H27,31))+'Fórmula'!K27*(INDEX(properties!A$1:CB$87,'Fórmula'!J27,31))</f>
        <v>34.71</v>
      </c>
      <c r="CV27" s="118">
        <f t="array" ref="CV27">VARP(IF(INDEX(properties!A$1:CB$87,'Fórmula'!B27,31)&lt;&gt;"",INDEX(properties!A$1:CB$87,'Fórmula'!B27,31)),IF(INDEX(properties!A$1:CB$87,'Fórmula'!D27,31)&lt;&gt;"",INDEX(properties!A$1:CB$87,'Fórmula'!D27,31)),IF(INDEX(properties!A$1:CB$87,'Fórmula'!F27,31)&lt;&gt;"",INDEX(properties!A$1:CB$87,'Fórmula'!F27,31)),IF(INDEX(properties!A$1:CB$87,'Fórmula'!H27,31)&lt;&gt;"",INDEX(properties!A$1:CB$87,'Fórmula'!H27,31)),IF(INDEX(properties!A$1:CB$87,'Fórmula'!J27,31)&lt;&gt;"",INDEX(properties!A$1:CB$87,'Fórmula'!J27,31)))</f>
        <v>1.699696</v>
      </c>
      <c r="CW27" s="118">
        <f t="array" ref="CW27">MAX(INDEX(properties!A$1:CB$87,'Fórmula'!B27,31),INDEX(properties!A$1:CB$87,'Fórmula'!D27,31),INDEX(properties!A$1:CB$87,'Fórmula'!F27,31),INDEX(properties!A$1:CB$87,'Fórmula'!H27,31),INDEX(properties!A$1:CB$87,'Fórmula'!J27,31))</f>
        <v>3.32</v>
      </c>
      <c r="CX27" s="118">
        <f t="array" ref="CX27">MIN(IF(INDEX(properties!A$1:CB$87,'Fórmula'!B27,31)=0,10^6,INDEX(properties!A$1:CB$87,'Fórmula'!B27,31)),IF(INDEX(properties!A$1:CB$87,'Fórmula'!D27,31)=0,10^6,INDEX(properties!A$1:CB$87,'Fórmula'!D27,31)),IF(INDEX(properties!A$1:CB$87,'Fórmula'!F27,31)=0,10^6,INDEX(properties!A$1:CB$87,'Fórmula'!F27,31)),IF(INDEX(properties!A$1:CB$87,'Fórmula'!H27,31)=0,10^6,INDEX(properties!A$1:CB$87,'Fórmula'!H27,31)),IF(INDEX(properties!A$1:CB$87,'Fórmula'!J27,31)=0,10^6,INDEX(properties!A$1:CB$87,'Fórmula'!J27,31)))</f>
        <v>1.17</v>
      </c>
      <c r="CY27" s="118">
        <f t="shared" si="17"/>
        <v>2.15</v>
      </c>
      <c r="CZ27" s="119">
        <f t="array" ref="CZ27">(('Fórmula'!C27)/('Fórmula'!C27+'Fórmula'!E27+'Fórmula'!G27+'Fórmula'!I27+'Fórmula'!K27))*(INDEX(properties!A$1:CB$87,'Fórmula'!B27,32))+(('Fórmula'!E27)/('Fórmula'!C27+'Fórmula'!E27+'Fórmula'!G27+'Fórmula'!I27+'Fórmula'!K27))*(INDEX(properties!A$1:CB$87,'Fórmula'!D27,32))+(('Fórmula'!G27)/('Fórmula'!C27+'Fórmula'!E27+'Fórmula'!G27+'Fórmula'!I27+'Fórmula'!K27))*(INDEX(properties!A$1:CB$87,'Fórmula'!F27,32))+(('Fórmula'!I27)/('Fórmula'!C27+'Fórmula'!E27+'Fórmula'!G27+'Fórmula'!I27+'Fórmula'!K27))*(INDEX(properties!A$1:CB$87,'Fórmula'!H27,32))+(('Fórmula'!K27)/('Fórmula'!C27+'Fórmula'!E27+'Fórmula'!G27+'Fórmula'!I27+'Fórmula'!K27))*(INDEX(properties!A$1:CB$87,'Fórmula'!J27,32))</f>
        <v>6.012307692</v>
      </c>
      <c r="DA27" s="119">
        <f t="array" ref="DA27">'Fórmula'!C27*(INDEX(properties!A$1:CB$87,'Fórmula'!B27,32))+'Fórmula'!E27*(INDEX(properties!A$1:CB$87,'Fórmula'!D27,32))+'Fórmula'!G27*(INDEX(properties!A$1:CB$87,'Fórmula'!F27,32))+'Fórmula'!I27*(INDEX(properties!A$1:CB$87,'Fórmula'!H27,32))+'Fórmula'!K27*(INDEX(properties!A$1:CB$87,'Fórmula'!J27,32))</f>
        <v>78.16</v>
      </c>
      <c r="DB27" s="119">
        <f t="array" ref="DB27">VARP(IF(INDEX(properties!A$1:CB$87,'Fórmula'!B27,32)&lt;&gt;"",INDEX(properties!A$1:CB$87,'Fórmula'!B27,32)),IF(INDEX(properties!A$1:CB$87,'Fórmula'!D27,32)&lt;&gt;"",INDEX(properties!A$1:CB$87,'Fórmula'!D27,32)),IF(INDEX(properties!A$1:CB$87,'Fórmula'!F27,32)&lt;&gt;"",INDEX(properties!A$1:CB$87,'Fórmula'!F27,32)),IF(INDEX(properties!A$1:CB$87,'Fórmula'!H27,32)&lt;&gt;"",INDEX(properties!A$1:CB$87,'Fórmula'!H27,32)),IF(INDEX(properties!A$1:CB$87,'Fórmula'!J27,32)&lt;&gt;"",INDEX(properties!A$1:CB$87,'Fórmula'!J27,32)))</f>
        <v>9.218016</v>
      </c>
      <c r="DC27" s="119">
        <f t="array" ref="DC27">MAX(INDEX(properties!A$1:CB$87,'Fórmula'!B27,32),INDEX(properties!A$1:CB$87,'Fórmula'!D27,32),INDEX(properties!A$1:CB$87,'Fórmula'!F27,32),INDEX(properties!A$1:CB$87,'Fórmula'!H27,32),INDEX(properties!A$1:CB$87,'Fórmula'!J27,32))</f>
        <v>7.54</v>
      </c>
      <c r="DD27" s="119">
        <f t="array" ref="DD27">MIN(IF(INDEX(properties!A$1:CB$87,'Fórmula'!B27,32)=0,10^6,INDEX(properties!A$1:CB$87,'Fórmula'!B27,32)),IF(INDEX(properties!A$1:CB$87,'Fórmula'!D27,32)=0,10^6,INDEX(properties!A$1:CB$87,'Fórmula'!D27,32)),IF(INDEX(properties!A$1:CB$87,'Fórmula'!F27,32)=0,10^6,INDEX(properties!A$1:CB$87,'Fórmula'!F27,32)),IF(INDEX(properties!A$1:CB$87,'Fórmula'!H27,32)=0,10^6,INDEX(properties!A$1:CB$87,'Fórmula'!H27,32)),IF(INDEX(properties!A$1:CB$87,'Fórmula'!J27,32)=0,10^6,INDEX(properties!A$1:CB$87,'Fórmula'!J27,32)))</f>
        <v>2.2</v>
      </c>
      <c r="DE27" s="119">
        <f t="shared" si="18"/>
        <v>5.34</v>
      </c>
      <c r="DF27" s="104">
        <f t="array" ref="DF27">(('Fórmula'!C27)/('Fórmula'!C27+'Fórmula'!E27+'Fórmula'!G27+'Fórmula'!I27+'Fórmula'!K27))*(INDEX(properties!A$1:CB$87,'Fórmula'!B27,34))+(('Fórmula'!E27)/('Fórmula'!C27+'Fórmula'!E27+'Fórmula'!G27+'Fórmula'!I27+'Fórmula'!K27))*(INDEX(properties!A$1:CB$87,'Fórmula'!D27,34))+(('Fórmula'!G27)/('Fórmula'!C27+'Fórmula'!E27+'Fórmula'!G27+'Fórmula'!I27+'Fórmula'!K27))*(INDEX(properties!A$1:CB$87,'Fórmula'!F27,34))+(('Fórmula'!I27)/('Fórmula'!C27+'Fórmula'!E27+'Fórmula'!G27+'Fórmula'!I27+'Fórmula'!K27))*(INDEX(properties!A$1:CB$87,'Fórmula'!H27,34))+(('Fórmula'!K27)/('Fórmula'!C27+'Fórmula'!E27+'Fórmula'!G27+'Fórmula'!I27+'Fórmula'!K27))*(INDEX(properties!A$1:CB$87,'Fórmula'!J27,34))</f>
        <v>2.806769231</v>
      </c>
      <c r="DG27" s="104">
        <f t="array" ref="DG27">'Fórmula'!C27*(INDEX(properties!A$1:CB$87,'Fórmula'!B27,34))+'Fórmula'!E27*(INDEX(properties!A$1:CB$87,'Fórmula'!D27,34))+'Fórmula'!G27*(INDEX(properties!A$1:CB$87,'Fórmula'!F27,34))+'Fórmula'!I27*(INDEX(properties!A$1:CB$87,'Fórmula'!H27,34))+'Fórmula'!K27*(INDEX(properties!A$1:CB$87,'Fórmula'!J27,34))</f>
        <v>36.488</v>
      </c>
      <c r="DH27" s="104">
        <f t="array" ref="DH27">VARP(IF(INDEX(properties!A$1:CB$87,'Fórmula'!B27,34)&lt;&gt;"",INDEX(properties!A$1:CB$87,'Fórmula'!B27,34)),IF(INDEX(properties!A$1:CB$87,'Fórmula'!D27,34)&lt;&gt;"",INDEX(properties!A$1:CB$87,'Fórmula'!D27,34)),IF(INDEX(properties!A$1:CB$87,'Fórmula'!F27,34)&lt;&gt;"",INDEX(properties!A$1:CB$87,'Fórmula'!F27,34)),IF(INDEX(properties!A$1:CB$87,'Fórmula'!H27,34)&lt;&gt;"",INDEX(properties!A$1:CB$87,'Fórmula'!H27,34)),IF(INDEX(properties!A$1:CB$87,'Fórmula'!J27,34)&lt;&gt;"",INDEX(properties!A$1:CB$87,'Fórmula'!J27,34)))</f>
        <v>1.93270864</v>
      </c>
      <c r="DI27" s="104">
        <f t="array" ref="DI27">MAX(INDEX(properties!A$1:CB$87,'Fórmula'!B27,34),INDEX(properties!A$1:CB$87,'Fórmula'!D27,34),INDEX(properties!A$1:CB$87,'Fórmula'!F27,34),INDEX(properties!A$1:CB$87,'Fórmula'!H27,34),INDEX(properties!A$1:CB$87,'Fórmula'!J27,34))</f>
        <v>3.61</v>
      </c>
      <c r="DJ27" s="104">
        <f t="array" ref="DJ27">MIN(IF(INDEX(properties!A$1:CB$87,'Fórmula'!B27,34)=0,10^6,INDEX(properties!A$1:CB$87,'Fórmula'!B27,34)),IF(INDEX(properties!A$1:CB$87,'Fórmula'!D27,34)=0,10^6,INDEX(properties!A$1:CB$87,'Fórmula'!D27,34)),IF(INDEX(properties!A$1:CB$87,'Fórmula'!F27,34)=0,10^6,INDEX(properties!A$1:CB$87,'Fórmula'!F27,34)),IF(INDEX(properties!A$1:CB$87,'Fórmula'!H27,34)=0,10^6,INDEX(properties!A$1:CB$87,'Fórmula'!H27,34)),IF(INDEX(properties!A$1:CB$87,'Fórmula'!J27,34)=0,10^6,INDEX(properties!A$1:CB$87,'Fórmula'!J27,34)))</f>
        <v>1.034</v>
      </c>
      <c r="DK27" s="104">
        <f t="shared" si="19"/>
        <v>2.576</v>
      </c>
      <c r="DL27" s="105">
        <f t="array" ref="DL27">(('Fórmula'!C27)/('Fórmula'!C27+'Fórmula'!E27+'Fórmula'!G27+'Fórmula'!I27+'Fórmula'!K27))*(INDEX(properties!A$1:CB$87,'Fórmula'!B27,37))+(('Fórmula'!E27)/('Fórmula'!C27+'Fórmula'!E27+'Fórmula'!G27+'Fórmula'!I27+'Fórmula'!K27))*(INDEX(properties!A$1:CB$87,'Fórmula'!D27,37))+(('Fórmula'!G27)/('Fórmula'!C27+'Fórmula'!E27+'Fórmula'!G27+'Fórmula'!I27+'Fórmula'!K27))*(INDEX(properties!A$1:CB$87,'Fórmula'!F27,37))+(('Fórmula'!I27)/('Fórmula'!C27+'Fórmula'!E27+'Fórmula'!G27+'Fórmula'!I27+'Fórmula'!K27))*(INDEX(properties!A$1:CB$87,'Fórmula'!H27,37))+(('Fórmula'!K27)/('Fórmula'!C27+'Fórmula'!E27+'Fórmula'!G27+'Fórmula'!I27+'Fórmula'!K27))*(INDEX(properties!A$1:CB$87,'Fórmula'!J27,37))</f>
        <v>2.676923077</v>
      </c>
      <c r="DM27" s="105">
        <f t="array" ref="DM27">'Fórmula'!C27*(INDEX(properties!A$1:CB$87,'Fórmula'!B27,37))+'Fórmula'!E27*(INDEX(properties!A$1:CB$87,'Fórmula'!D27,37))+'Fórmula'!G27*(INDEX(properties!A$1:CB$87,'Fórmula'!F27,37))+'Fórmula'!I27*(INDEX(properties!A$1:CB$87,'Fórmula'!H27,37))+'Fórmula'!K27*(INDEX(properties!A$1:CB$87,'Fórmula'!J27,37))</f>
        <v>34.8</v>
      </c>
      <c r="DN27" s="105">
        <f t="array" ref="DN27">VARP(IF(INDEX(properties!A$1:CB$87,'Fórmula'!B27,37)&lt;&gt;"",INDEX(properties!A$1:CB$87,'Fórmula'!B27,37)),IF(INDEX(properties!A$1:CB$87,'Fórmula'!D27,37)&lt;&gt;"",INDEX(properties!A$1:CB$87,'Fórmula'!D27,37)),IF(INDEX(properties!A$1:CB$87,'Fórmula'!F27,37)&lt;&gt;"",INDEX(properties!A$1:CB$87,'Fórmula'!F27,37)),IF(INDEX(properties!A$1:CB$87,'Fórmula'!H27,37)&lt;&gt;"",INDEX(properties!A$1:CB$87,'Fórmula'!H27,37)),IF(INDEX(properties!A$1:CB$87,'Fórmula'!J27,37)&lt;&gt;"",INDEX(properties!A$1:CB$87,'Fórmula'!J27,37)))</f>
        <v>1.7464</v>
      </c>
      <c r="DO27" s="105">
        <f t="array" ref="DO27">MAX(INDEX(properties!A$1:CB$87,'Fórmula'!B27,37),INDEX(properties!A$1:CB$87,'Fórmula'!D27,37),INDEX(properties!A$1:CB$87,'Fórmula'!F27,37),INDEX(properties!A$1:CB$87,'Fórmula'!H27,37),INDEX(properties!A$1:CB$87,'Fórmula'!J27,37))</f>
        <v>3.45</v>
      </c>
      <c r="DP27" s="105">
        <f t="array" ref="DP27">MIN(IF(INDEX(properties!A$1:CB$87,'Fórmula'!B27,37)=0,10^6,INDEX(properties!A$1:CB$87,'Fórmula'!B27,37)),IF(INDEX(properties!A$1:CB$87,'Fórmula'!D27,37)=0,10^6,INDEX(properties!A$1:CB$87,'Fórmula'!D27,37)),IF(INDEX(properties!A$1:CB$87,'Fórmula'!F27,37)=0,10^6,INDEX(properties!A$1:CB$87,'Fórmula'!F27,37)),IF(INDEX(properties!A$1:CB$87,'Fórmula'!H27,37)=0,10^6,INDEX(properties!A$1:CB$87,'Fórmula'!H27,37)),IF(INDEX(properties!A$1:CB$87,'Fórmula'!J27,37)=0,10^6,INDEX(properties!A$1:CB$87,'Fórmula'!J27,37)))</f>
        <v>1</v>
      </c>
      <c r="DQ27" s="105">
        <f t="shared" si="20"/>
        <v>2.45</v>
      </c>
      <c r="DR27" s="109">
        <f t="array" ref="DR27">(('Fórmula'!C27)/('Fórmula'!C27+'Fórmula'!E27+'Fórmula'!G27+'Fórmula'!I27+'Fórmula'!K27))*(INDEX(properties!A$1:CB$87,'Fórmula'!B27,39))+(('Fórmula'!E27)/('Fórmula'!C27+'Fórmula'!E27+'Fórmula'!G27+'Fórmula'!I27+'Fórmula'!K27))*(INDEX(properties!A$1:CB$87,'Fórmula'!D27,39))+(('Fórmula'!G27)/('Fórmula'!C27+'Fórmula'!E27+'Fórmula'!G27+'Fórmula'!I27+'Fórmula'!K27))*(INDEX(properties!A$1:CB$87,'Fórmula'!F27,39))+(('Fórmula'!I27)/('Fórmula'!C27+'Fórmula'!E27+'Fórmula'!G27+'Fórmula'!I27+'Fórmula'!K27))*(INDEX(properties!A$1:CB$87,'Fórmula'!H27,39))+(('Fórmula'!K27)/('Fórmula'!C27+'Fórmula'!E27+'Fórmula'!G27+'Fórmula'!I27+'Fórmula'!K27))*(INDEX(properties!A$1:CB$87,'Fórmula'!J27,39))</f>
        <v>0.8938461538</v>
      </c>
      <c r="DS27" s="109">
        <f t="array" ref="DS27">'Fórmula'!C27*(INDEX(properties!A$1:CB$87,'Fórmula'!B27,39))+'Fórmula'!E27*(INDEX(properties!A$1:CB$87,'Fórmula'!D27,39))+'Fórmula'!G27*(INDEX(properties!A$1:CB$87,'Fórmula'!F27,39))+'Fórmula'!I27*(INDEX(properties!A$1:CB$87,'Fórmula'!H27,39))+'Fórmula'!K27*(INDEX(properties!A$1:CB$87,'Fórmula'!J27,39))</f>
        <v>11.62</v>
      </c>
      <c r="DT27" s="109">
        <f t="array" ref="DT27">VARP(IF(INDEX(properties!A$1:CB$87,'Fórmula'!B27,39)&lt;&gt;"",INDEX(properties!A$1:CB$87,'Fórmula'!B27,39)),IF(INDEX(properties!A$1:CB$87,'Fórmula'!D27,39)&lt;&gt;"",INDEX(properties!A$1:CB$87,'Fórmula'!D27,39)),IF(INDEX(properties!A$1:CB$87,'Fórmula'!F27,39)&lt;&gt;"",INDEX(properties!A$1:CB$87,'Fórmula'!F27,39)),IF(INDEX(properties!A$1:CB$87,'Fórmula'!H27,39)&lt;&gt;"",INDEX(properties!A$1:CB$87,'Fórmula'!H27,39)),IF(INDEX(properties!A$1:CB$87,'Fórmula'!J27,39)&lt;&gt;"",INDEX(properties!A$1:CB$87,'Fórmula'!J27,39)))</f>
        <v>0.52848</v>
      </c>
      <c r="DU27" s="120">
        <f t="array" ref="DU27">MAX(INDEX(properties!A$1:CB$87,'Fórmula'!B27,39),INDEX(properties!A$1:CB$87,'Fórmula'!D27,39),INDEX(properties!A$1:CB$87,'Fórmula'!F27,39),INDEX(properties!A$1:CB$87,'Fórmula'!H27,39),INDEX(properties!A$1:CB$87,'Fórmula'!J27,39))</f>
        <v>1.94</v>
      </c>
      <c r="DV27" s="120">
        <f t="array" ref="DV27">MIN(IF(INDEX(properties!A$1:CB$87,'Fórmula'!B27,39)=0,10^6,INDEX(properties!A$1:CB$87,'Fórmula'!B27,39)),IF(INDEX(properties!A$1:CB$87,'Fórmula'!D27,39)=0,10^6,INDEX(properties!A$1:CB$87,'Fórmula'!D27,39)),IF(INDEX(properties!A$1:CB$87,'Fórmula'!F27,39)=0,10^6,INDEX(properties!A$1:CB$87,'Fórmula'!F27,39)),IF(INDEX(properties!A$1:CB$87,'Fórmula'!H27,39)=0,10^6,INDEX(properties!A$1:CB$87,'Fórmula'!H27,39)),IF(INDEX(properties!A$1:CB$87,'Fórmula'!J27,39)=0,10^6,INDEX(properties!A$1:CB$87,'Fórmula'!J27,39)))</f>
        <v>0.48</v>
      </c>
      <c r="DW27" s="109">
        <f t="shared" si="21"/>
        <v>1.46</v>
      </c>
      <c r="DX27" s="110">
        <f t="array" ref="DX27">(('Fórmula'!C27)/('Fórmula'!C27+'Fórmula'!E27+'Fórmula'!G27+'Fórmula'!I27+'Fórmula'!K27))*(INDEX(properties!A$1:CB$87,'Fórmula'!B27,40))+(('Fórmula'!E27)/('Fórmula'!C27+'Fórmula'!E27+'Fórmula'!G27+'Fórmula'!I27+'Fórmula'!K27))*(INDEX(properties!A$1:CB$87,'Fórmula'!D27,40))+(('Fórmula'!G27)/('Fórmula'!C27+'Fórmula'!E27+'Fórmula'!G27+'Fórmula'!I27+'Fórmula'!K27))*(INDEX(properties!A$1:CB$87,'Fórmula'!F27,40))+(('Fórmula'!I27)/('Fórmula'!C27+'Fórmula'!E27+'Fórmula'!G27+'Fórmula'!I27+'Fórmula'!K27))*(INDEX(properties!A$1:CB$87,'Fórmula'!H27,40))+(('Fórmula'!K27)/('Fórmula'!C27+'Fórmula'!E27+'Fórmula'!G27+'Fórmula'!I27+'Fórmula'!K27))*(INDEX(properties!A$1:CB$87,'Fórmula'!J27,40))</f>
        <v>1.013846154</v>
      </c>
      <c r="DY27" s="110">
        <f t="array" ref="DY27">'Fórmula'!C27*(INDEX(properties!A$1:CB$87,'Fórmula'!B27,40))+'Fórmula'!E27*(INDEX(properties!A$1:CB$87,'Fórmula'!D27,40))+'Fórmula'!G27*(INDEX(properties!A$1:CB$87,'Fórmula'!F27,40))+'Fórmula'!I27*(INDEX(properties!A$1:CB$87,'Fórmula'!H27,40))+'Fórmula'!K27*(INDEX(properties!A$1:CB$87,'Fórmula'!J27,40))</f>
        <v>13.18</v>
      </c>
      <c r="DZ27" s="110">
        <f t="array" ref="DZ27">VARP(IF(INDEX(properties!A$1:CB$87,'Fórmula'!B27,40)&lt;&gt;"",INDEX(properties!A$1:CB$87,'Fórmula'!B27,40)),IF(INDEX(properties!A$1:CB$87,'Fórmula'!D27,40)&lt;&gt;"",INDEX(properties!A$1:CB$87,'Fórmula'!D27,40)),IF(INDEX(properties!A$1:CB$87,'Fórmula'!F27,40)&lt;&gt;"",INDEX(properties!A$1:CB$87,'Fórmula'!F27,40)),IF(INDEX(properties!A$1:CB$87,'Fórmula'!H27,40)&lt;&gt;"",INDEX(properties!A$1:CB$87,'Fórmula'!H27,40)),IF(INDEX(properties!A$1:CB$87,'Fórmula'!J27,40)&lt;&gt;"",INDEX(properties!A$1:CB$87,'Fórmula'!J27,40)))</f>
        <v>0.438384</v>
      </c>
      <c r="EA27" s="121">
        <f t="array" ref="EA27">MAX(INDEX(properties!A$1:CB$87,'Fórmula'!B27,40),INDEX(properties!A$1:CB$87,'Fórmula'!D27,40),INDEX(properties!A$1:CB$87,'Fórmula'!F27,40),INDEX(properties!A$1:CB$87,'Fórmula'!H27,40),INDEX(properties!A$1:CB$87,'Fórmula'!J27,40))</f>
        <v>1.74</v>
      </c>
      <c r="EB27" s="121">
        <f t="array" ref="EB27">MIN(IF(INDEX(properties!A$1:CB$87,'Fórmula'!B27,40)=0,10^6,INDEX(properties!A$1:CB$87,'Fórmula'!B27,40)),IF(INDEX(properties!A$1:CB$87,'Fórmula'!D27,40)=0,10^6,INDEX(properties!A$1:CB$87,'Fórmula'!D27,40)),IF(INDEX(properties!A$1:CB$87,'Fórmula'!F27,40)=0,10^6,INDEX(properties!A$1:CB$87,'Fórmula'!F27,40)),IF(INDEX(properties!A$1:CB$87,'Fórmula'!H27,40)=0,10^6,INDEX(properties!A$1:CB$87,'Fórmula'!H27,40)),IF(INDEX(properties!A$1:CB$87,'Fórmula'!J27,40)=0,10^6,INDEX(properties!A$1:CB$87,'Fórmula'!J27,40)))</f>
        <v>0.73</v>
      </c>
      <c r="EC27" s="110">
        <f t="shared" si="22"/>
        <v>1.01</v>
      </c>
      <c r="ED27" s="111">
        <f t="array" ref="ED27">(('Fórmula'!C27)/('Fórmula'!C27+'Fórmula'!E27+'Fórmula'!G27+'Fórmula'!I27+'Fórmula'!K27))*(INDEX(properties!A$1:CB$87,'Fórmula'!B27,41))+(('Fórmula'!E27)/('Fórmula'!C27+'Fórmula'!E27+'Fórmula'!G27+'Fórmula'!I27+'Fórmula'!K27))*(INDEX(properties!A$1:CB$87,'Fórmula'!D27,41))+(('Fórmula'!G27)/('Fórmula'!C27+'Fórmula'!E27+'Fórmula'!G27+'Fórmula'!I27+'Fórmula'!K27))*(INDEX(properties!A$1:CB$87,'Fórmula'!F27,41))+(('Fórmula'!I27)/('Fórmula'!C27+'Fórmula'!E27+'Fórmula'!G27+'Fórmula'!I27+'Fórmula'!K27))*(INDEX(properties!A$1:CB$87,'Fórmula'!H27,41))+(('Fórmula'!K27)/('Fórmula'!C27+'Fórmula'!E27+'Fórmula'!G27+'Fórmula'!I27+'Fórmula'!K27))*(INDEX(properties!A$1:CB$87,'Fórmula'!J27,41))</f>
        <v>1.127692308</v>
      </c>
      <c r="EE27" s="111">
        <f t="array" ref="EE27">'Fórmula'!C27*(INDEX(properties!A$1:CB$87,'Fórmula'!B27,41))+'Fórmula'!E27*(INDEX(properties!A$1:CB$87,'Fórmula'!D27,41))+'Fórmula'!G27*(INDEX(properties!A$1:CB$87,'Fórmula'!F27,41))+'Fórmula'!I27*(INDEX(properties!A$1:CB$87,'Fórmula'!H27,41))+'Fórmula'!K27*(INDEX(properties!A$1:CB$87,'Fórmula'!J27,41))</f>
        <v>14.66</v>
      </c>
      <c r="EF27" s="111">
        <f t="array" ref="EF27">VARP(IF(INDEX(properties!A$1:CB$87,'Fórmula'!B27,41)&lt;&gt;"",INDEX(properties!A$1:CB$87,'Fórmula'!B27,41)),IF(INDEX(properties!A$1:CB$87,'Fórmula'!D27,41)&lt;&gt;"",INDEX(properties!A$1:CB$87,'Fórmula'!D27,41)),IF(INDEX(properties!A$1:CB$87,'Fórmula'!F27,41)&lt;&gt;"",INDEX(properties!A$1:CB$87,'Fórmula'!F27,41)),IF(INDEX(properties!A$1:CB$87,'Fórmula'!H27,41)&lt;&gt;"",INDEX(properties!A$1:CB$87,'Fórmula'!H27,41)),IF(INDEX(properties!A$1:CB$87,'Fórmula'!J27,41)&lt;&gt;"",INDEX(properties!A$1:CB$87,'Fórmula'!J27,41)))</f>
        <v>0.289504</v>
      </c>
      <c r="EG27" s="122">
        <f t="array" ref="EG27">MAX(INDEX(properties!A$1:CB$87,'Fórmula'!B27,41),INDEX(properties!A$1:CB$87,'Fórmula'!D27,41),INDEX(properties!A$1:CB$87,'Fórmula'!F27,41),INDEX(properties!A$1:CB$87,'Fórmula'!H27,41),INDEX(properties!A$1:CB$87,'Fórmula'!J27,41))</f>
        <v>1.26</v>
      </c>
      <c r="EH27" s="122">
        <f t="array" ref="EH27">MIN(IF(INDEX(properties!A$1:CB$87,'Fórmula'!B27,41)=0,10^6,INDEX(properties!A$1:CB$87,'Fórmula'!B27,41)),IF(INDEX(properties!A$1:CB$87,'Fórmula'!D27,41)=0,10^6,INDEX(properties!A$1:CB$87,'Fórmula'!D27,41)),IF(INDEX(properties!A$1:CB$87,'Fórmula'!F27,41)=0,10^6,INDEX(properties!A$1:CB$87,'Fórmula'!F27,41)),IF(INDEX(properties!A$1:CB$87,'Fórmula'!H27,41)=0,10^6,INDEX(properties!A$1:CB$87,'Fórmula'!H27,41)),IF(INDEX(properties!A$1:CB$87,'Fórmula'!J27,41)=0,10^6,INDEX(properties!A$1:CB$87,'Fórmula'!J27,41)))</f>
        <v>0.58</v>
      </c>
      <c r="EI27" s="111">
        <f t="shared" si="23"/>
        <v>0.68</v>
      </c>
      <c r="EJ27" s="112">
        <f t="array" ref="EJ27">(('Fórmula'!C27)/('Fórmula'!C27+'Fórmula'!E27+'Fórmula'!G27+'Fórmula'!I27+'Fórmula'!K27))*(INDEX(properties!A$1:CB$87,'Fórmula'!B27,45))+(('Fórmula'!E27)/('Fórmula'!C27+'Fórmula'!E27+'Fórmula'!G27+'Fórmula'!I27+'Fórmula'!K27))*(INDEX(properties!A$1:CB$87,'Fórmula'!D27,45))+(('Fórmula'!G27)/('Fórmula'!C27+'Fórmula'!E27+'Fórmula'!G27+'Fórmula'!I27+'Fórmula'!K27))*(INDEX(properties!A$1:CB$87,'Fórmula'!F27,45))+(('Fórmula'!I27)/('Fórmula'!C27+'Fórmula'!E27+'Fórmula'!G27+'Fórmula'!I27+'Fórmula'!K27))*(INDEX(properties!A$1:CB$87,'Fórmula'!H27,45))+(('Fórmula'!K27)/('Fórmula'!C27+'Fórmula'!E27+'Fórmula'!G27+'Fórmula'!I27+'Fórmula'!K27))*(INDEX(properties!A$1:CB$87,'Fórmula'!J27,45))</f>
        <v>1.172307692</v>
      </c>
      <c r="EK27" s="112">
        <f t="array" ref="EK27">'Fórmula'!C27*(INDEX(properties!A$1:CB$87,'Fórmula'!B27,45))+'Fórmula'!E27*(INDEX(properties!A$1:CB$87,'Fórmula'!D27,45))+'Fórmula'!G27*(INDEX(properties!A$1:CB$87,'Fórmula'!F27,45))+'Fórmula'!I27*(INDEX(properties!A$1:CB$87,'Fórmula'!H27,45))+'Fórmula'!K27*(INDEX(properties!A$1:CB$87,'Fórmula'!J27,45))</f>
        <v>15.24</v>
      </c>
      <c r="EL27" s="112">
        <f t="array" ref="EL27">VARP(IF(INDEX(properties!A$1:CB$87,'Fórmula'!B27,45)&lt;&gt;"",INDEX(properties!A$1:CB$87,'Fórmula'!B27,45)),IF(INDEX(properties!A$1:CB$87,'Fórmula'!D27,45)&lt;&gt;"",INDEX(properties!A$1:CB$87,'Fórmula'!D27,45)),IF(INDEX(properties!A$1:CB$87,'Fórmula'!F27,45)&lt;&gt;"",INDEX(properties!A$1:CB$87,'Fórmula'!F27,45)),IF(INDEX(properties!A$1:CB$87,'Fórmula'!H27,45)&lt;&gt;"",INDEX(properties!A$1:CB$87,'Fórmula'!H27,45)),IF(INDEX(properties!A$1:CB$87,'Fórmula'!J27,45)&lt;&gt;"",INDEX(properties!A$1:CB$87,'Fórmula'!J27,45)))</f>
        <v>1.264336</v>
      </c>
      <c r="EM27" s="123">
        <f t="array" ref="EM27">MAX(INDEX(properties!A$1:CB$87,'Fórmula'!B27,45),INDEX(properties!A$1:CB$87,'Fórmula'!D27,45),INDEX(properties!A$1:CB$87,'Fórmula'!F27,45),INDEX(properties!A$1:CB$87,'Fórmula'!H27,45),INDEX(properties!A$1:CB$87,'Fórmula'!J27,45))</f>
        <v>3</v>
      </c>
      <c r="EN27" s="123">
        <f t="array" ref="EN27">MIN(IF(INDEX(properties!A$1:CB$87,'Fórmula'!B27,45)=0,10^6,INDEX(properties!A$1:CB$87,'Fórmula'!B27,45)),IF(INDEX(properties!A$1:CB$87,'Fórmula'!D27,45)=0,10^6,INDEX(properties!A$1:CB$87,'Fórmula'!D27,45)),IF(INDEX(properties!A$1:CB$87,'Fórmula'!F27,45)=0,10^6,INDEX(properties!A$1:CB$87,'Fórmula'!F27,45)),IF(INDEX(properties!A$1:CB$87,'Fórmula'!H27,45)=0,10^6,INDEX(properties!A$1:CB$87,'Fórmula'!H27,45)),IF(INDEX(properties!A$1:CB$87,'Fórmula'!J27,45)=0,10^6,INDEX(properties!A$1:CB$87,'Fórmula'!J27,45)))</f>
        <v>0.47</v>
      </c>
      <c r="EO27" s="112">
        <f t="shared" si="24"/>
        <v>2.53</v>
      </c>
      <c r="EP27" s="113">
        <f t="array" ref="EP27">(('Fórmula'!C27)/('Fórmula'!C27+'Fórmula'!E27+'Fórmula'!G27+'Fórmula'!I27+'Fórmula'!K27))*(INDEX(properties!A$1:CB$87,'Fórmula'!B27,46))+(('Fórmula'!E27)/('Fórmula'!C27+'Fórmula'!E27+'Fórmula'!G27+'Fórmula'!I27+'Fórmula'!K27))*(INDEX(properties!A$1:CB$87,'Fórmula'!D27,46))+(('Fórmula'!G27)/('Fórmula'!C27+'Fórmula'!E27+'Fórmula'!G27+'Fórmula'!I27+'Fórmula'!K27))*(INDEX(properties!A$1:CB$87,'Fórmula'!F27,46))+(('Fórmula'!I27)/('Fórmula'!C27+'Fórmula'!E27+'Fórmula'!G27+'Fórmula'!I27+'Fórmula'!K27))*(INDEX(properties!A$1:CB$87,'Fórmula'!H27,46))+(('Fórmula'!K27)/('Fórmula'!C27+'Fórmula'!E27+'Fórmula'!G27+'Fórmula'!I27+'Fórmula'!K27))*(INDEX(properties!A$1:CB$87,'Fórmula'!J27,46))</f>
        <v>1.055384615</v>
      </c>
      <c r="EQ27" s="113">
        <f t="array" ref="EQ27">'Fórmula'!C27*(INDEX(properties!A$1:CB$87,'Fórmula'!B27,46))+'Fórmula'!E27*(INDEX(properties!A$1:CB$87,'Fórmula'!D27,46))+'Fórmula'!G27*(INDEX(properties!A$1:CB$87,'Fórmula'!F27,46))+'Fórmula'!I27*(INDEX(properties!A$1:CB$87,'Fórmula'!H27,46))+'Fórmula'!K27*(INDEX(properties!A$1:CB$87,'Fórmula'!J27,46))</f>
        <v>13.72</v>
      </c>
      <c r="ER27" s="113">
        <f t="array" ref="ER27">VARP(IF(INDEX(properties!A$1:CB$87,'Fórmula'!B27,46)&lt;&gt;"",INDEX(properties!A$1:CB$87,'Fórmula'!B27,46)),IF(INDEX(properties!A$1:CB$87,'Fórmula'!D27,46)&lt;&gt;"",INDEX(properties!A$1:CB$87,'Fórmula'!D27,46)),IF(INDEX(properties!A$1:CB$87,'Fórmula'!F27,46)&lt;&gt;"",INDEX(properties!A$1:CB$87,'Fórmula'!F27,46)),IF(INDEX(properties!A$1:CB$87,'Fórmula'!H27,46)&lt;&gt;"",INDEX(properties!A$1:CB$87,'Fórmula'!H27,46)),IF(INDEX(properties!A$1:CB$87,'Fórmula'!J27,46)&lt;&gt;"",INDEX(properties!A$1:CB$87,'Fórmula'!J27,46)))</f>
        <v>0.288936</v>
      </c>
      <c r="ES27" s="124">
        <f t="array" ref="ES27">MAX(INDEX(properties!A$1:CB$87,'Fórmula'!B27,46),INDEX(properties!A$1:CB$87,'Fórmula'!D27,46),INDEX(properties!A$1:CB$87,'Fórmula'!F27,46),INDEX(properties!A$1:CB$87,'Fórmula'!H27,46),INDEX(properties!A$1:CB$87,'Fórmula'!J27,46))</f>
        <v>1.21</v>
      </c>
      <c r="ET27" s="124">
        <f t="array" ref="ET27">MIN(IF(INDEX(properties!A$1:CB$87,'Fórmula'!B27,46)=0,10^6,INDEX(properties!A$1:CB$87,'Fórmula'!B27,46)),IF(INDEX(properties!A$1:CB$87,'Fórmula'!D27,46)=0,10^6,INDEX(properties!A$1:CB$87,'Fórmula'!D27,46)),IF(INDEX(properties!A$1:CB$87,'Fórmula'!F27,46)=0,10^6,INDEX(properties!A$1:CB$87,'Fórmula'!F27,46)),IF(INDEX(properties!A$1:CB$87,'Fórmula'!H27,46)=0,10^6,INDEX(properties!A$1:CB$87,'Fórmula'!H27,46)),IF(INDEX(properties!A$1:CB$87,'Fórmula'!J27,46)=0,10^6,INDEX(properties!A$1:CB$87,'Fórmula'!J27,46)))</f>
        <v>0.31</v>
      </c>
      <c r="EU27" s="113">
        <f t="shared" si="25"/>
        <v>0.9</v>
      </c>
      <c r="EV27" s="114">
        <f t="array" ref="EV27">(('Fórmula'!C27)/('Fórmula'!C27+'Fórmula'!E27+'Fórmula'!G27+'Fórmula'!I27+'Fórmula'!K27))*(INDEX(properties!A$1:CB$87,'Fórmula'!B27,52))+(('Fórmula'!E27)/('Fórmula'!C27+'Fórmula'!E27+'Fórmula'!G27+'Fórmula'!I27+'Fórmula'!K27))*(INDEX(properties!A$1:CB$87,'Fórmula'!D27,52))+(('Fórmula'!G27)/('Fórmula'!C27+'Fórmula'!E27+'Fórmula'!G27+'Fórmula'!I27+'Fórmula'!K27))*(INDEX(properties!A$1:CB$87,'Fórmula'!F27,52))+(('Fórmula'!I27)/('Fórmula'!C27+'Fórmula'!E27+'Fórmula'!G27+'Fórmula'!I27+'Fórmula'!K27))*(INDEX(properties!A$1:CB$87,'Fórmula'!H27,52))+(('Fórmula'!K27)/('Fórmula'!C27+'Fórmula'!E27+'Fórmula'!G27+'Fórmula'!I27+'Fórmula'!K27))*(INDEX(properties!A$1:CB$87,'Fórmula'!J27,52))</f>
        <v>6.303384615</v>
      </c>
      <c r="EW27" s="114">
        <f t="array" ref="EW27">'Fórmula'!C27*(INDEX(properties!A$1:CB$87,'Fórmula'!B27,52))+'Fórmula'!E27*(INDEX(properties!A$1:CB$87,'Fórmula'!D27,52))+'Fórmula'!G27*(INDEX(properties!A$1:CB$87,'Fórmula'!F27,52))+'Fórmula'!I27*(INDEX(properties!A$1:CB$87,'Fórmula'!H27,52))+'Fórmula'!K27*(INDEX(properties!A$1:CB$87,'Fórmula'!J27,52))</f>
        <v>81.944</v>
      </c>
      <c r="EX27" s="114">
        <f t="array" ref="EX27">VARP(IF(INDEX(properties!A$1:CB$87,'Fórmula'!B27,52)&lt;&gt;"",INDEX(properties!A$1:CB$87,'Fórmula'!B27,52)),IF(INDEX(properties!A$1:CB$87,'Fórmula'!D27,52)&lt;&gt;"",INDEX(properties!A$1:CB$87,'Fórmula'!D27,52)),IF(INDEX(properties!A$1:CB$87,'Fórmula'!F27,52)&lt;&gt;"",INDEX(properties!A$1:CB$87,'Fórmula'!F27,52)),IF(INDEX(properties!A$1:CB$87,'Fórmula'!H27,52)&lt;&gt;"",INDEX(properties!A$1:CB$87,'Fórmula'!H27,52)),IF(INDEX(properties!A$1:CB$87,'Fórmula'!J27,52)&lt;&gt;"",INDEX(properties!A$1:CB$87,'Fórmula'!J27,52)))</f>
        <v>77.10739984</v>
      </c>
      <c r="EY27" s="114">
        <f t="array" ref="EY27">MAX(INDEX(properties!A$1:CB$87,'Fórmula'!B27,52),INDEX(properties!A$1:CB$87,'Fórmula'!D27,52),INDEX(properties!A$1:CB$87,'Fórmula'!F27,52),INDEX(properties!A$1:CB$87,'Fórmula'!H27,52),INDEX(properties!A$1:CB$87,'Fórmula'!J27,52))</f>
        <v>22.8</v>
      </c>
      <c r="EZ27" s="114">
        <f t="array" ref="EZ27">MIN(IF(INDEX(properties!A$1:CB$87,'Fórmula'!B27,52)=0,10^6,INDEX(properties!A$1:CB$87,'Fórmula'!B27,52)),IF(INDEX(properties!A$1:CB$87,'Fórmula'!D27,52)=0,10^6,INDEX(properties!A$1:CB$87,'Fórmula'!D27,52)),IF(INDEX(properties!A$1:CB$87,'Fórmula'!F27,52)=0,10^6,INDEX(properties!A$1:CB$87,'Fórmula'!F27,52)),IF(INDEX(properties!A$1:CB$87,'Fórmula'!H27,52)=0,10^6,INDEX(properties!A$1:CB$87,'Fórmula'!H27,52)),IF(INDEX(properties!A$1:CB$87,'Fórmula'!J27,52)=0,10^6,INDEX(properties!A$1:CB$87,'Fórmula'!J27,52)))</f>
        <v>0.793</v>
      </c>
      <c r="FA27" s="114">
        <f t="shared" si="26"/>
        <v>22.007</v>
      </c>
      <c r="FB27" s="115">
        <f t="array" ref="FB27">(('Fórmula'!C27)/('Fórmula'!C27+'Fórmula'!E27+'Fórmula'!G27+'Fórmula'!I27+'Fórmula'!K27))*(INDEX(properties!A$1:CB$87,'Fórmula'!B27,53))+(('Fórmula'!E27)/('Fórmula'!C27+'Fórmula'!E27+'Fórmula'!G27+'Fórmula'!I27+'Fórmula'!K27))*(INDEX(properties!A$1:CB$87,'Fórmula'!D27,53))+(('Fórmula'!G27)/('Fórmula'!C27+'Fórmula'!E27+'Fórmula'!G27+'Fórmula'!I27+'Fórmula'!K27))*(INDEX(properties!A$1:CB$87,'Fórmula'!F27,53))+(('Fórmula'!I27)/('Fórmula'!C27+'Fórmula'!E27+'Fórmula'!G27+'Fórmula'!I27+'Fórmula'!K27))*(INDEX(properties!A$1:CB$87,'Fórmula'!H27,53))+(('Fórmula'!K27)/('Fórmula'!C27+'Fórmula'!E27+'Fórmula'!G27+'Fórmula'!I27+'Fórmula'!K27))*(INDEX(properties!A$1:CB$87,'Fórmula'!J27,53))</f>
        <v>339.15</v>
      </c>
      <c r="FC27" s="115">
        <f t="array" ref="FC27">'Fórmula'!C27*(INDEX(properties!A$1:CB$87,'Fórmula'!B27,53))+'Fórmula'!E27*(INDEX(properties!A$1:CB$87,'Fórmula'!D27,53))+'Fórmula'!G27*(INDEX(properties!A$1:CB$87,'Fórmula'!F27,53))+'Fórmula'!I27*(INDEX(properties!A$1:CB$87,'Fórmula'!H27,53))+'Fórmula'!K27*(INDEX(properties!A$1:CB$87,'Fórmula'!J27,53))</f>
        <v>4408.95</v>
      </c>
      <c r="FD27" s="115">
        <f t="array" ref="FD27">VARP(IF(INDEX(properties!A$1:CB$87,'Fórmula'!B27,53)&lt;&gt;"",INDEX(properties!A$1:CB$87,'Fórmula'!B27,53)),IF(INDEX(properties!A$1:CB$87,'Fórmula'!D27,53)&lt;&gt;"",INDEX(properties!A$1:CB$87,'Fórmula'!D27,53)),IF(INDEX(properties!A$1:CB$87,'Fórmula'!F27,53)&lt;&gt;"",INDEX(properties!A$1:CB$87,'Fórmula'!F27,53)),IF(INDEX(properties!A$1:CB$87,'Fórmula'!H27,53)&lt;&gt;"",INDEX(properties!A$1:CB$87,'Fórmula'!H27,53)),IF(INDEX(properties!A$1:CB$87,'Fórmula'!J27,53)&lt;&gt;"",INDEX(properties!A$1:CB$87,'Fórmula'!J27,53)))</f>
        <v>179996.5006</v>
      </c>
      <c r="FE27" s="115">
        <f t="array" ref="FE27">MAX(INDEX(properties!A$1:CB$87,'Fórmula'!B27,53),INDEX(properties!A$1:CB$87,'Fórmula'!D27,53),INDEX(properties!A$1:CB$87,'Fórmula'!F27,53),INDEX(properties!A$1:CB$87,'Fórmula'!H27,53),INDEX(properties!A$1:CB$87,'Fórmula'!J27,53))</f>
        <v>1112.15</v>
      </c>
      <c r="FF27" s="115">
        <f t="array" ref="FF27">MIN(IF(INDEX(properties!A$1:CB$87,'Fórmula'!B27,53)=0,10^6,INDEX(properties!A$1:CB$87,'Fórmula'!B27,53)),IF(INDEX(properties!A$1:CB$87,'Fórmula'!D27,53)=0,10^6,INDEX(properties!A$1:CB$87,'Fórmula'!D27,53)),IF(INDEX(properties!A$1:CB$87,'Fórmula'!F27,53)=0,10^6,INDEX(properties!A$1:CB$87,'Fórmula'!F27,53)),IF(INDEX(properties!A$1:CB$87,'Fórmula'!H27,53)=0,10^6,INDEX(properties!A$1:CB$87,'Fórmula'!H27,53)),IF(INDEX(properties!A$1:CB$87,'Fórmula'!J27,53)=0,10^6,INDEX(properties!A$1:CB$87,'Fórmula'!J27,53)))</f>
        <v>54.75</v>
      </c>
      <c r="FG27" s="115">
        <f t="shared" si="27"/>
        <v>1057.4</v>
      </c>
      <c r="FH27" s="117">
        <f t="array" ref="FH27">(('Fórmula'!C27)/('Fórmula'!C27+'Fórmula'!E27+'Fórmula'!G27+'Fórmula'!I27+'Fórmula'!K27))*(INDEX(properties!A$1:CB$87,'Fórmula'!B27,54))+(('Fórmula'!E27)/('Fórmula'!C27+'Fórmula'!E27+'Fórmula'!G27+'Fórmula'!I27+'Fórmula'!K27))*(INDEX(properties!A$1:CB$87,'Fórmula'!D27,54))+(('Fórmula'!G27)/('Fórmula'!C27+'Fórmula'!E27+'Fórmula'!G27+'Fórmula'!I27+'Fórmula'!K27))*(INDEX(properties!A$1:CB$87,'Fórmula'!F27,54))+(('Fórmula'!I27)/('Fórmula'!C27+'Fórmula'!E27+'Fórmula'!G27+'Fórmula'!I27+'Fórmula'!K27))*(INDEX(properties!A$1:CB$87,'Fórmula'!H27,54))+(('Fórmula'!K27)/('Fórmula'!C27+'Fórmula'!E27+'Fórmula'!G27+'Fórmula'!I27+'Fórmula'!K27))*(INDEX(properties!A$1:CB$87,'Fórmula'!J27,54))</f>
        <v>546.0730769</v>
      </c>
      <c r="FI27" s="117">
        <f t="array" ref="FI27">'Fórmula'!C27*(INDEX(properties!A$1:CB$87,'Fórmula'!B27,54))+'Fórmula'!E27*(INDEX(properties!A$1:CB$87,'Fórmula'!D27,54))+'Fórmula'!G27*(INDEX(properties!A$1:CB$87,'Fórmula'!F27,54))+'Fórmula'!I27*(INDEX(properties!A$1:CB$87,'Fórmula'!H27,54))+'Fórmula'!K27*(INDEX(properties!A$1:CB$87,'Fórmula'!J27,54))</f>
        <v>7098.95</v>
      </c>
      <c r="FJ27" s="117">
        <f t="array" ref="FJ27">VARP(IF(INDEX(properties!A$1:CB$87,'Fórmula'!B27,54)&lt;&gt;"",INDEX(properties!A$1:CB$87,'Fórmula'!B27,54)),IF(INDEX(properties!A$1:CB$87,'Fórmula'!D27,54)&lt;&gt;"",INDEX(properties!A$1:CB$87,'Fórmula'!D27,54)),IF(INDEX(properties!A$1:CB$87,'Fórmula'!F27,54)&lt;&gt;"",INDEX(properties!A$1:CB$87,'Fórmula'!F27,54)),IF(INDEX(properties!A$1:CB$87,'Fórmula'!H27,54)&lt;&gt;"",INDEX(properties!A$1:CB$87,'Fórmula'!H27,54)),IF(INDEX(properties!A$1:CB$87,'Fórmula'!J27,54)&lt;&gt;"",INDEX(properties!A$1:CB$87,'Fórmula'!J27,54)))</f>
        <v>449849.2054</v>
      </c>
      <c r="FK27" s="117">
        <f t="array" ref="FK27">MAX(INDEX(properties!A$1:CB$87,'Fórmula'!B27,54),INDEX(properties!A$1:CB$87,'Fórmula'!D27,54),INDEX(properties!A$1:CB$87,'Fórmula'!F27,54),INDEX(properties!A$1:CB$87,'Fórmula'!H27,54),INDEX(properties!A$1:CB$87,'Fórmula'!J27,54))</f>
        <v>1757.15</v>
      </c>
      <c r="FL27" s="117">
        <f t="array" ref="FL27">MIN(IF(INDEX(properties!A$1:CB$87,'Fórmula'!B27,54)=0,10^6,INDEX(properties!A$1:CB$87,'Fórmula'!B27,54)),IF(INDEX(properties!A$1:CB$87,'Fórmula'!D27,54)=0,10^6,INDEX(properties!A$1:CB$87,'Fórmula'!D27,54)),IF(INDEX(properties!A$1:CB$87,'Fórmula'!F27,54)=0,10^6,INDEX(properties!A$1:CB$87,'Fórmula'!F27,54)),IF(INDEX(properties!A$1:CB$87,'Fórmula'!H27,54)=0,10^6,INDEX(properties!A$1:CB$87,'Fórmula'!H27,54)),IF(INDEX(properties!A$1:CB$87,'Fórmula'!J27,54)=0,10^6,INDEX(properties!A$1:CB$87,'Fórmula'!J27,54)))</f>
        <v>90.15</v>
      </c>
      <c r="FM27" s="117">
        <f t="shared" si="28"/>
        <v>1667</v>
      </c>
      <c r="FN27" s="118">
        <f t="array" ref="FN27">(('Fórmula'!C27)/('Fórmula'!C27+'Fórmula'!E27+'Fórmula'!G27+'Fórmula'!I27+'Fórmula'!K27))*(INDEX(properties!A$1:CB$87,'Fórmula'!B27,55))+(('Fórmula'!E27)/('Fórmula'!C27+'Fórmula'!E27+'Fórmula'!G27+'Fórmula'!I27+'Fórmula'!K27))*(INDEX(properties!A$1:CB$87,'Fórmula'!D27,55))+(('Fórmula'!G27)/('Fórmula'!C27+'Fórmula'!E27+'Fórmula'!G27+'Fórmula'!I27+'Fórmula'!K27))*(INDEX(properties!A$1:CB$87,'Fórmula'!F27,55))+(('Fórmula'!I27)/('Fórmula'!C27+'Fórmula'!E27+'Fórmula'!G27+'Fórmula'!I27+'Fórmula'!K27))*(INDEX(properties!A$1:CB$87,'Fórmula'!H27,55))+(('Fórmula'!K27)/('Fórmula'!C27+'Fórmula'!E27+'Fórmula'!G27+'Fórmula'!I27+'Fórmula'!K27))*(INDEX(properties!A$1:CB$87,'Fórmula'!J27,55))</f>
        <v>0.6385723077</v>
      </c>
      <c r="FO27" s="118">
        <f t="array" ref="FO27">'Fórmula'!C27*(INDEX(properties!A$1:CB$87,'Fórmula'!B27,55))+'Fórmula'!E27*(INDEX(properties!A$1:CB$87,'Fórmula'!D27,54))+'Fórmula'!G27*(INDEX(properties!A$1:CB$87,'Fórmula'!F27,55))+'Fórmula'!I27*(INDEX(properties!A$1:CB$87,'Fórmula'!H27,55))+'Fórmula'!K27*(INDEX(properties!A$1:CB$87,'Fórmula'!J27,55))</f>
        <v>1110.96144</v>
      </c>
      <c r="FP27" s="118">
        <f t="array" ref="FP27">VARP(IF(INDEX(properties!A$1:CB$87,'Fórmula'!B27,55)&lt;&gt;"",INDEX(properties!A$1:CB$87,'Fórmula'!B27,55)),IF(INDEX(properties!A$1:CB$87,'Fórmula'!D27,55)&lt;&gt;"",INDEX(properties!A$1:CB$87,'Fórmula'!D27,55)),IF(INDEX(properties!A$1:CB$87,'Fórmula'!F27,55)&lt;&gt;"",INDEX(properties!A$1:CB$87,'Fórmula'!F27,55)),IF(INDEX(properties!A$1:CB$87,'Fórmula'!H27,55)&lt;&gt;"",INDEX(properties!A$1:CB$87,'Fórmula'!H27,55)),IF(INDEX(properties!A$1:CB$87,'Fórmula'!J27,55)&lt;&gt;"",INDEX(properties!A$1:CB$87,'Fórmula'!J27,55)))</f>
        <v>0.6883187992</v>
      </c>
      <c r="FQ27" s="118">
        <f t="array" ref="FQ27">MAX(INDEX(properties!A$1:CB$87,'Fórmula'!B27,55),INDEX(properties!A$1:CB$87,'Fórmula'!D27,55),INDEX(properties!A$1:CB$87,'Fórmula'!F27,55),INDEX(properties!A$1:CB$87,'Fórmula'!H27,55),INDEX(properties!A$1:CB$87,'Fórmula'!J27,55))</f>
        <v>1.82</v>
      </c>
      <c r="FR27" s="118">
        <f t="array" ref="FR27">MIN(IF(INDEX(properties!A$1:CB$87,'Fórmula'!B27,55)=0,10^6,INDEX(properties!A$1:CB$87,'Fórmula'!B27,55)),IF(INDEX(properties!A$1:CB$87,'Fórmula'!D27,55)=0,10^6,INDEX(properties!A$1:CB$87,'Fórmula'!D27,55)),IF(INDEX(properties!A$1:CB$87,'Fórmula'!F27,55)=0,10^6,INDEX(properties!A$1:CB$87,'Fórmula'!F27,55)),IF(INDEX(properties!A$1:CB$87,'Fórmula'!H27,55)=0,10^6,INDEX(properties!A$1:CB$87,'Fórmula'!H27,55)),IF(INDEX(properties!A$1:CB$87,'Fórmula'!J27,55)=0,10^6,INDEX(properties!A$1:CB$87,'Fórmula'!J27,55)))</f>
        <v>0.00143</v>
      </c>
      <c r="FS27" s="118">
        <f t="shared" si="29"/>
        <v>1.81857</v>
      </c>
      <c r="FT27" s="119">
        <f t="array" ref="FT27">(('Fórmula'!C27)/('Fórmula'!C27+'Fórmula'!E27+'Fórmula'!G27+'Fórmula'!I27+'Fórmula'!K27))*(INDEX(properties!A$1:CB$87,'Fórmula'!B27,56))+(('Fórmula'!E27)/('Fórmula'!C27+'Fórmula'!E27+'Fórmula'!G27+'Fórmula'!I27+'Fórmula'!K27))*(INDEX(properties!A$1:CB$87,'Fórmula'!D27,56))+(('Fórmula'!G27)/('Fórmula'!C27+'Fórmula'!E27+'Fórmula'!G27+'Fórmula'!I27+'Fórmula'!K27))*(INDEX(properties!A$1:CB$87,'Fórmula'!F27,56))+(('Fórmula'!I27)/('Fórmula'!C27+'Fórmula'!E27+'Fórmula'!G27+'Fórmula'!I27+'Fórmula'!K27))*(INDEX(properties!A$1:CB$87,'Fórmula'!H27,56))+(('Fórmula'!K27)/('Fórmula'!C27+'Fórmula'!E27+'Fórmula'!G27+'Fórmula'!I27+'Fórmula'!K27))*(INDEX(properties!A$1:CB$87,'Fórmula'!J27,56))</f>
        <v>0.83</v>
      </c>
      <c r="FU27" s="119">
        <f t="array" ref="FU27">'Fórmula'!C27*(INDEX(properties!A$1:CB$87,'Fórmula'!B27,56))+'Fórmula'!E27*(INDEX(properties!A$1:CB$87,'Fórmula'!D27,56))+'Fórmula'!G27*(INDEX(properties!A$1:CB$87,'Fórmula'!F27,56))+'Fórmula'!I27*(INDEX(properties!A$1:CB$87,'Fórmula'!H27,56))+'Fórmula'!K27*(INDEX(properties!A$1:CB$87,'Fórmula'!J27,56))</f>
        <v>10.79</v>
      </c>
      <c r="FV27" s="119">
        <f t="array" ref="FV27">VARP(IF(INDEX(properties!A$1:CB$87,'Fórmula'!B27,56)&lt;&gt;"",INDEX(properties!A$1:CB$87,'Fórmula'!B27,56)),IF(INDEX(properties!A$1:CB$87,'Fórmula'!D27,56)&lt;&gt;"",INDEX(properties!A$1:CB$87,'Fórmula'!D27,56)),IF(INDEX(properties!A$1:CB$87,'Fórmula'!F27,56)&lt;&gt;"",INDEX(properties!A$1:CB$87,'Fórmula'!F27,56)),IF(INDEX(properties!A$1:CB$87,'Fórmula'!H27,56)&lt;&gt;"",INDEX(properties!A$1:CB$87,'Fórmula'!H27,56)),IF(INDEX(properties!A$1:CB$87,'Fórmula'!J27,56)&lt;&gt;"",INDEX(properties!A$1:CB$87,'Fórmula'!J27,56)))</f>
        <v>0.151944</v>
      </c>
      <c r="FW27" s="119">
        <f t="array" ref="FW27">MAX(INDEX(properties!A$1:CB$87,'Fórmula'!B27,56),INDEX(properties!A$1:CB$87,'Fórmula'!D27,56),INDEX(properties!A$1:CB$87,'Fórmula'!F27,56),INDEX(properties!A$1:CB$87,'Fórmula'!H27,56),INDEX(properties!A$1:CB$87,'Fórmula'!J27,56))</f>
        <v>0.92</v>
      </c>
      <c r="FX27" s="119">
        <f t="array" ref="FX27">MIN(IF(INDEX(properties!A$1:CB$87,'Fórmula'!B27,56)=0,10^6,INDEX(properties!A$1:CB$87,'Fórmula'!B27,56)),IF(INDEX(properties!A$1:CB$87,'Fórmula'!D27,56)=0,10^6,INDEX(properties!A$1:CB$87,'Fórmula'!D27,56)),IF(INDEX(properties!A$1:CB$87,'Fórmula'!F27,56)=0,10^6,INDEX(properties!A$1:CB$87,'Fórmula'!F27,56)),IF(INDEX(properties!A$1:CB$87,'Fórmula'!H27,56)=0,10^6,INDEX(properties!A$1:CB$87,'Fórmula'!H27,56)),IF(INDEX(properties!A$1:CB$87,'Fórmula'!J27,56)=0,10^6,INDEX(properties!A$1:CB$87,'Fórmula'!J27,56)))</f>
        <v>0.63</v>
      </c>
      <c r="FY27" s="119">
        <f t="shared" si="30"/>
        <v>0.29</v>
      </c>
      <c r="FZ27" s="104">
        <f t="array" ref="FZ27">(('Fórmula'!C27)/('Fórmula'!C27+'Fórmula'!E27+'Fórmula'!G27+'Fórmula'!I27+'Fórmula'!K27))*(INDEX(properties!A$1:CB$87,'Fórmula'!B27,57))+(('Fórmula'!E27)/('Fórmula'!C27+'Fórmula'!E27+'Fórmula'!G27+'Fórmula'!I27+'Fórmula'!K27))*(INDEX(properties!A$1:CB$87,'Fórmula'!D27,57))+(('Fórmula'!G27)/('Fórmula'!C27+'Fórmula'!E27+'Fórmula'!G27+'Fórmula'!I27+'Fórmula'!K27))*(INDEX(properties!A$1:CB$87,'Fórmula'!F27,57))+(('Fórmula'!I27)/('Fórmula'!C27+'Fórmula'!E27+'Fórmula'!G27+'Fórmula'!I27+'Fórmula'!K27))*(INDEX(properties!A$1:CB$87,'Fórmula'!H27,57))+(('Fórmula'!K27)/('Fórmula'!C27+'Fórmula'!E27+'Fórmula'!G27+'Fórmula'!I27+'Fórmula'!K27))*(INDEX(properties!A$1:CB$87,'Fórmula'!J27,57))</f>
        <v>2.208824615</v>
      </c>
      <c r="GA27" s="104">
        <f t="array" ref="GA27">'Fórmula'!C27*(INDEX(properties!A$1:CB$87,'Fórmula'!B27,57))+'Fórmula'!E27*(INDEX(properties!A$1:CB$87,'Fórmula'!D27,57))+'Fórmula'!G27*(INDEX(properties!A$1:CB$87,'Fórmula'!F27,57))+'Fórmula'!I27*(INDEX(properties!A$1:CB$87,'Fórmula'!H27,57))+'Fórmula'!K27*(INDEX(properties!A$1:CB$87,'Fórmula'!J27,57))</f>
        <v>28.71472</v>
      </c>
      <c r="GB27" s="104">
        <f t="array" ref="GB27">VARP(IF(INDEX(properties!A$1:CB$87,'Fórmula'!B27,57)&lt;&gt;"",INDEX(properties!A$1:CB$87,'Fórmula'!B27,57)),IF(INDEX(properties!A$1:CB$87,'Fórmula'!D27,57)&lt;&gt;"",INDEX(properties!A$1:CB$87,'Fórmula'!D27,57)),IF(INDEX(properties!A$1:CB$87,'Fórmula'!F27,57)&lt;&gt;"",INDEX(properties!A$1:CB$87,'Fórmula'!F27,57)),IF(INDEX(properties!A$1:CB$87,'Fórmula'!H27,57)&lt;&gt;"",INDEX(properties!A$1:CB$87,'Fórmula'!H27,57)),IF(INDEX(properties!A$1:CB$87,'Fórmula'!J27,57)&lt;&gt;"",INDEX(properties!A$1:CB$87,'Fórmula'!J27,57)))</f>
        <v>11.13341203</v>
      </c>
      <c r="GC27" s="104">
        <f t="array" ref="GC27">MAX(INDEX(properties!A$1:CB$87,'Fórmula'!B27,57),INDEX(properties!A$1:CB$87,'Fórmula'!D27,57),INDEX(properties!A$1:CB$87,'Fórmula'!F27,57),INDEX(properties!A$1:CB$87,'Fórmula'!H27,57),INDEX(properties!A$1:CB$87,'Fórmula'!J27,57))</f>
        <v>8.54</v>
      </c>
      <c r="GD27" s="104">
        <f t="array" ref="GD27">MIN(IF(INDEX(properties!A$1:CB$87,'Fórmula'!B27,57)=0,10^6,INDEX(properties!A$1:CB$87,'Fórmula'!B27,57)),IF(INDEX(properties!A$1:CB$87,'Fórmula'!D27,57)=0,10^6,INDEX(properties!A$1:CB$87,'Fórmula'!D27,57)),IF(INDEX(properties!A$1:CB$87,'Fórmula'!F27,57)=0,10^6,INDEX(properties!A$1:CB$87,'Fórmula'!F27,57)),IF(INDEX(properties!A$1:CB$87,'Fórmula'!H27,57)=0,10^6,INDEX(properties!A$1:CB$87,'Fórmula'!H27,57)),IF(INDEX(properties!A$1:CB$87,'Fórmula'!J27,57)=0,10^6,INDEX(properties!A$1:CB$87,'Fórmula'!J27,57)))</f>
        <v>0.22259</v>
      </c>
      <c r="GE27" s="104">
        <f t="shared" si="31"/>
        <v>8.31741</v>
      </c>
      <c r="GF27" s="105">
        <f t="array" ref="GF27">(('Fórmula'!C27)/('Fórmula'!C27+'Fórmula'!E27+'Fórmula'!G27+'Fórmula'!I27+'Fórmula'!K27))*(INDEX(properties!A$1:CB$87,'Fórmula'!B27,60))+(('Fórmula'!E27)/('Fórmula'!C27+'Fórmula'!E27+'Fórmula'!G27+'Fórmula'!I27+'Fórmula'!K27))*(INDEX(properties!A$1:CB$87,'Fórmula'!D27,60))+(('Fórmula'!G27)/('Fórmula'!C27+'Fórmula'!E27+'Fórmula'!G27+'Fórmula'!I27+'Fórmula'!K27))*(INDEX(properties!A$1:CB$87,'Fórmula'!F27,60))+(('Fórmula'!I27)/('Fórmula'!C27+'Fórmula'!E27+'Fórmula'!G27+'Fórmula'!I27+'Fórmula'!K27))*(INDEX(properties!A$1:CB$87,'Fórmula'!H27,60))+(('Fórmula'!K27)/('Fórmula'!C27+'Fórmula'!E27+'Fórmula'!G27+'Fórmula'!I27+'Fórmula'!K27))*(INDEX(properties!A$1:CB$87,'Fórmula'!J27,60))</f>
        <v>46.20645538</v>
      </c>
      <c r="GG27" s="105">
        <f t="array" ref="GG27">'Fórmula'!C27*(INDEX(properties!A$1:CB$87,'Fórmula'!B27,60))+'Fórmula'!E27*(INDEX(properties!A$1:CB$87,'Fórmula'!D27,60))+'Fórmula'!G27*(INDEX(properties!A$1:CB$87,'Fórmula'!F27,60))+'Fórmula'!I27*(INDEX(properties!A$1:CB$87,'Fórmula'!H27,60))+'Fórmula'!K27*(INDEX(properties!A$1:CB$87,'Fórmula'!J27,60))</f>
        <v>600.68392</v>
      </c>
      <c r="GH27" s="105">
        <f t="array" ref="GH27">VARP(IF(INDEX(properties!A$1:CB$87,'Fórmula'!B27,60)&lt;&gt;"",INDEX(properties!A$1:CB$87,'Fórmula'!B27,60)),IF(INDEX(properties!A$1:CB$87,'Fórmula'!D27,60)&lt;&gt;"",INDEX(properties!A$1:CB$87,'Fórmula'!D27,60)),IF(INDEX(properties!A$1:CB$87,'Fórmula'!F27,60)&lt;&gt;"",INDEX(properties!A$1:CB$87,'Fórmula'!F27,60)),IF(INDEX(properties!A$1:CB$87,'Fórmula'!H27,60)&lt;&gt;"",INDEX(properties!A$1:CB$87,'Fórmula'!H27,60)),IF(INDEX(properties!A$1:CB$87,'Fórmula'!J27,60)&lt;&gt;"",INDEX(properties!A$1:CB$87,'Fórmula'!J27,60)))</f>
        <v>6395.820608</v>
      </c>
      <c r="GI27" s="105">
        <f t="array" ref="GI27">MAX(INDEX(properties!A$1:CB$87,'Fórmula'!B27,60),INDEX(properties!A$1:CB$87,'Fórmula'!D27,60),INDEX(properties!A$1:CB$87,'Fórmula'!F27,60),INDEX(properties!A$1:CB$87,'Fórmula'!H27,60),INDEX(properties!A$1:CB$87,'Fórmula'!J27,60))</f>
        <v>200</v>
      </c>
      <c r="GJ27" s="105">
        <f t="array" ref="GJ27">MIN(IF(INDEX(properties!A$1:CB$87,'Fórmula'!B27,60)=0,10^6,INDEX(properties!A$1:CB$87,'Fórmula'!B27,60)),IF(INDEX(properties!A$1:CB$87,'Fórmula'!D27,60)=0,10^6,INDEX(properties!A$1:CB$87,'Fórmula'!D27,60)),IF(INDEX(properties!A$1:CB$87,'Fórmula'!F27,60)=0,10^6,INDEX(properties!A$1:CB$87,'Fórmula'!F27,60)),IF(INDEX(properties!A$1:CB$87,'Fórmula'!H27,60)=0,10^6,INDEX(properties!A$1:CB$87,'Fórmula'!H27,60)),IF(INDEX(properties!A$1:CB$87,'Fórmula'!J27,60)=0,10^6,INDEX(properties!A$1:CB$87,'Fórmula'!J27,60)))</f>
        <v>0.02674</v>
      </c>
      <c r="GK27" s="105">
        <f t="shared" si="32"/>
        <v>199.97326</v>
      </c>
      <c r="GL27" s="106">
        <f t="array" ref="GL27">(('Fórmula'!C27)/('Fórmula'!C27+'Fórmula'!E27+'Fórmula'!G27+'Fórmula'!I27+'Fórmula'!K27))*(INDEX(properties!A$1:CB$87,'Fórmula'!B27,62))+(('Fórmula'!E27)/('Fórmula'!C27+'Fórmula'!E27+'Fórmula'!G27+'Fórmula'!I27+'Fórmula'!K27))*(INDEX(properties!A$1:CB$87,'Fórmula'!D27,62))+(('Fórmula'!G27)/('Fórmula'!C27+'Fórmula'!E27+'Fórmula'!G27+'Fórmula'!I27+'Fórmula'!K27))*(INDEX(properties!A$1:CB$87,'Fórmula'!F27,62))+(('Fórmula'!I27)/('Fórmula'!C27+'Fórmula'!E27+'Fórmula'!G27+'Fórmula'!I27+'Fórmula'!K27))*(INDEX(properties!A$1:CB$87,'Fórmula'!H27,62))+(('Fórmula'!K27)/('Fórmula'!C27+'Fórmula'!E27+'Fórmula'!G27+'Fórmula'!I27+'Fórmula'!K27))*(INDEX(properties!A$1:CB$87,'Fórmula'!J27,62))</f>
        <v>2.564615385</v>
      </c>
      <c r="GM27" s="106">
        <f t="array" ref="GM27">'Fórmula'!C27*(INDEX(properties!A$1:CB$87,'Fórmula'!B27,62))+'Fórmula'!E27*(INDEX(properties!A$1:CB$87,'Fórmula'!D27,62))+'Fórmula'!G27*(INDEX(properties!A$1:CB$87,'Fórmula'!F27,62))+'Fórmula'!I27*(INDEX(properties!A$1:CB$87,'Fórmula'!H27,62))+'Fórmula'!K27*(INDEX(properties!A$1:CB$87,'Fórmula'!J27,62))</f>
        <v>33.34</v>
      </c>
      <c r="GN27" s="106">
        <f t="array" ref="GN27">VARP(IF(INDEX(properties!A$1:CB$87,'Fórmula'!B27,62)&lt;&gt;"",INDEX(properties!A$1:CB$87,'Fórmula'!B27,62)),IF(INDEX(properties!A$1:CB$87,'Fórmula'!D27,62)&lt;&gt;"",INDEX(properties!A$1:CB$87,'Fórmula'!D27,62)),IF(INDEX(properties!A$1:CB$87,'Fórmula'!F27,62)&lt;&gt;"",INDEX(properties!A$1:CB$87,'Fórmula'!F27,62)),IF(INDEX(properties!A$1:CB$87,'Fórmula'!H27,62)&lt;&gt;"",INDEX(properties!A$1:CB$87,'Fórmula'!H27,62)),IF(INDEX(properties!A$1:CB$87,'Fórmula'!J27,62)&lt;&gt;"",INDEX(properties!A$1:CB$87,'Fórmula'!J27,62)))</f>
        <v>1.912896</v>
      </c>
      <c r="GO27" s="106">
        <f t="array" ref="GO27">MAX(INDEX(properties!A$1:CB$87,'Fórmula'!B27,62),INDEX(properties!A$1:CB$87,'Fórmula'!D27,62),INDEX(properties!A$1:CB$87,'Fórmula'!F27,62),INDEX(properties!A$1:CB$87,'Fórmula'!H27,62),INDEX(properties!A$1:CB$87,'Fórmula'!J27,62))</f>
        <v>3.43</v>
      </c>
      <c r="GP27" s="106">
        <f t="array" ref="GP27">MIN(IF(INDEX(properties!A$1:CB$87,'Fórmula'!B27,62)=0,10^6,INDEX(properties!A$1:CB$87,'Fórmula'!B27,62)),IF(INDEX(properties!A$1:CB$87,'Fórmula'!D27,62)=0,10^6,INDEX(properties!A$1:CB$87,'Fórmula'!D27,62)),IF(INDEX(properties!A$1:CB$87,'Fórmula'!F27,62)=0,10^6,INDEX(properties!A$1:CB$87,'Fórmula'!F27,62)),IF(INDEX(properties!A$1:CB$87,'Fórmula'!H27,62)=0,10^6,INDEX(properties!A$1:CB$87,'Fórmula'!H27,62)),IF(INDEX(properties!A$1:CB$87,'Fórmula'!J27,62)=0,10^6,INDEX(properties!A$1:CB$87,'Fórmula'!J27,62)))</f>
        <v>1.84</v>
      </c>
      <c r="GQ27" s="106">
        <f t="shared" si="33"/>
        <v>1.59</v>
      </c>
      <c r="GR27" s="106">
        <f>'Fórmula'!Q27</f>
        <v>161</v>
      </c>
      <c r="GS27" s="107">
        <f>'Fórmula'!P27</f>
        <v>4</v>
      </c>
      <c r="GT27" s="113">
        <f>'Fórmula'!O27</f>
        <v>3.07</v>
      </c>
      <c r="GU27" s="114">
        <f>AVERAGE('Fórmula'!R27/'Fórmula'!S27,'Fórmula'!S27/'Fórmula'!T27,'Fórmula'!T27/'Fórmula'!R27)</f>
        <v>1.62109854</v>
      </c>
      <c r="GV27" s="125">
        <f>'Fórmula'!U27</f>
        <v>3527.26</v>
      </c>
      <c r="GW27" s="106">
        <f>'Fórmula'!N27</f>
        <v>0.35</v>
      </c>
    </row>
    <row r="28" ht="14.25" customHeight="1">
      <c r="A28" s="99" t="str">
        <f>'Fórmula'!A28</f>
        <v>Li6GdB3O9</v>
      </c>
      <c r="B28" s="101">
        <f t="array" ref="B28">(('Fórmula'!C28)/('Fórmula'!C28+'Fórmula'!E28+'Fórmula'!G28+'Fórmula'!I28+'Fórmula'!K28))*(INDEX(properties!A$1:CB$87,'Fórmula'!B28,3))+(('Fórmula'!E28)/('Fórmula'!C28+'Fórmula'!E28+'Fórmula'!G28+'Fórmula'!I28+'Fórmula'!K28))*(INDEX(properties!A$1:CB$87,'Fórmula'!D28,3))+(('Fórmula'!G28)/('Fórmula'!C28+'Fórmula'!E28+'Fórmula'!G28+'Fórmula'!I28+'Fórmula'!K28))*(INDEX(properties!A$1:CB$87,'Fórmula'!F28,3))+(('Fórmula'!I28)/('Fórmula'!C28+'Fórmula'!E28+'Fórmula'!G28+'Fórmula'!I28+'Fórmula'!K28))*(INDEX(properties!A$1:CB$87,'Fórmula'!H28,3))+(('Fórmula'!K28)/('Fórmula'!C28+'Fórmula'!E28+'Fórmula'!G28+'Fórmula'!I28+'Fórmula'!K28))*(INDEX(properties!A$1:CB$87,'Fórmula'!J28,3))</f>
        <v>19.75387368</v>
      </c>
      <c r="C28" s="101">
        <f t="array" ref="C28">'Fórmula'!C28*(INDEX(properties!A$1:CB$87,'Fórmula'!B28,3))+'Fórmula'!E28*(INDEX(properties!A$1:CB$87,'Fórmula'!D28,3))+'Fórmula'!G28*(INDEX(properties!A$1:CB$87,'Fórmula'!F28,3))+'Fórmula'!I28*(INDEX(properties!A$1:CB$87,'Fórmula'!H28,3))+'Fórmula'!K28*(INDEX(properties!A$1:CB$87,'Fórmula'!J28,3))</f>
        <v>375.3236</v>
      </c>
      <c r="D28" s="101">
        <f t="array" ref="D28">VARP(IF(INDEX(properties!A$1:CB$87,'Fórmula'!B28,3)&lt;&gt;"",INDEX(properties!A$1:CB$87,'Fórmula'!B28,3)),IF(INDEX(properties!A$1:CB$87,'Fórmula'!D28,3)&lt;&gt;"",INDEX(properties!A$1:CB$87,'Fórmula'!D28,3)),IF(INDEX(properties!A$1:CB$87,'Fórmula'!F28,3)&lt;&gt;"",INDEX(properties!A$1:CB$87,'Fórmula'!F28,3)),IF(INDEX(properties!A$1:CB$87,'Fórmula'!H28,3)&lt;&gt;"",INDEX(properties!A$1:CB$87,'Fórmula'!H28,3)),IF(INDEX(properties!A$1:CB$87,'Fórmula'!J28,3)&lt;&gt;"",INDEX(properties!A$1:CB$87,'Fórmula'!J28,3)))</f>
        <v>3570.458308</v>
      </c>
      <c r="E28" s="101">
        <f t="array" ref="E28">MAX(INDEX(properties!A$1:CB$87,'Fórmula'!B28,3),INDEX(properties!A$1:CB$87,'Fórmula'!D28,3),INDEX(properties!A$1:CB$87,'Fórmula'!F28,3),INDEX(properties!A$1:CB$87,'Fórmula'!H28,3),INDEX(properties!A$1:CB$87,'Fórmula'!J28,3))</f>
        <v>157.25</v>
      </c>
      <c r="F28" s="101">
        <f t="array" ref="F28">MIN(IF(INDEX(properties!A$1:CB$87,'Fórmula'!B28,3)=0,10^6,INDEX(properties!A$1:CB$87,'Fórmula'!B28,3)),IF(INDEX(properties!A$1:CB$87,'Fórmula'!D28,3)=0,10^6,INDEX(properties!A$1:CB$87,'Fórmula'!D28,3)),IF(INDEX(properties!A$1:CB$87,'Fórmula'!F28,3)=0,10^6,INDEX(properties!A$1:CB$87,'Fórmula'!F28,3)),IF(INDEX(properties!A$1:CB$87,'Fórmula'!H28,3)=0,10^6,INDEX(properties!A$1:CB$87,'Fórmula'!H28,3)),IF(INDEX(properties!A$1:CB$87,'Fórmula'!J28,3)=0,10^6,INDEX(properties!A$1:CB$87,'Fórmula'!J28,3)))</f>
        <v>6.941</v>
      </c>
      <c r="G28" s="101">
        <f t="shared" si="1"/>
        <v>150.309</v>
      </c>
      <c r="H28" s="102">
        <f t="array" ref="H28">(('Fórmula'!C28)/('Fórmula'!C28+'Fórmula'!E28+'Fórmula'!G28+'Fórmula'!I28+'Fórmula'!K28))*(INDEX(properties!A$1:CB$87,'Fórmula'!B28,4))+(('Fórmula'!E28)/('Fórmula'!C28+'Fórmula'!E28+'Fórmula'!G28+'Fórmula'!I28+'Fórmula'!K28))*(INDEX(properties!A$1:CB$87,'Fórmula'!D28,4))+(('Fórmula'!G28)/('Fórmula'!C28+'Fórmula'!E28+'Fórmula'!G28+'Fórmula'!I28+'Fórmula'!K28))*(INDEX(properties!A$1:CB$87,'Fórmula'!F28,4))+(('Fórmula'!I28)/('Fórmula'!C28+'Fórmula'!E28+'Fórmula'!G28+'Fórmula'!I28+'Fórmula'!K28))*(INDEX(properties!A$1:CB$87,'Fórmula'!H28,4))+(('Fórmula'!K28)/('Fórmula'!C28+'Fórmula'!E28+'Fórmula'!G28+'Fórmula'!I28+'Fórmula'!K28))*(INDEX(properties!A$1:CB$87,'Fórmula'!J28,4))</f>
        <v>8.894736842</v>
      </c>
      <c r="I28" s="102">
        <f t="array" ref="I28">'Fórmula'!C28*(INDEX(properties!A$1:CB$87,'Fórmula'!B28,4))+'Fórmula'!E28*(INDEX(properties!A$1:CB$87,'Fórmula'!D28,4))+'Fórmula'!G28*(INDEX(properties!A$1:CB$87,'Fórmula'!F28,4))+'Fórmula'!I28*(INDEX(properties!A$1:CB$87,'Fórmula'!H28,4))+'Fórmula'!K28*(INDEX(properties!A$1:CB$87,'Fórmula'!J28,4))</f>
        <v>169</v>
      </c>
      <c r="J28" s="102">
        <f t="array" ref="J28">VARP(IF(INDEX(properties!A$1:CB$87,'Fórmula'!B28,4)&lt;&gt;"",INDEX(properties!A$1:CB$87,'Fórmula'!B28,4)),IF(INDEX(properties!A$1:CB$87,'Fórmula'!D28,4)&lt;&gt;"",INDEX(properties!A$1:CB$87,'Fórmula'!D28,4)),IF(INDEX(properties!A$1:CB$87,'Fórmula'!F28,4)&lt;&gt;"",INDEX(properties!A$1:CB$87,'Fórmula'!F28,4)),IF(INDEX(properties!A$1:CB$87,'Fórmula'!H28,4)&lt;&gt;"",INDEX(properties!A$1:CB$87,'Fórmula'!H28,4)),IF(INDEX(properties!A$1:CB$87,'Fórmula'!J28,4)&lt;&gt;"",INDEX(properties!A$1:CB$87,'Fórmula'!J28,4)))</f>
        <v>582.8</v>
      </c>
      <c r="K28" s="102">
        <f t="array" ref="K28">MAX(INDEX(properties!A$1:CB$87,'Fórmula'!B28,4),INDEX(properties!A$1:CB$87,'Fórmula'!D28,4),INDEX(properties!A$1:CB$87,'Fórmula'!F28,4),INDEX(properties!A$1:CB$87,'Fórmula'!H28,4),INDEX(properties!A$1:CB$87,'Fórmula'!J28,4))</f>
        <v>64</v>
      </c>
      <c r="L28" s="102">
        <f t="array" ref="L28">MIN(IF(INDEX(properties!A$1:CB$87,'Fórmula'!B28,4)=0,10^6,INDEX(properties!A$1:CB$87,'Fórmula'!B28,4)),IF(INDEX(properties!A$1:CB$87,'Fórmula'!D28,4)=0,10^6,INDEX(properties!A$1:CB$87,'Fórmula'!D28,4)),IF(INDEX(properties!A$1:CB$87,'Fórmula'!F28,4)=0,10^6,INDEX(properties!A$1:CB$87,'Fórmula'!F28,4)),IF(INDEX(properties!A$1:CB$87,'Fórmula'!H28,4)=0,10^6,INDEX(properties!A$1:CB$87,'Fórmula'!H28,4)),IF(INDEX(properties!A$1:CB$87,'Fórmula'!J28,4)=0,10^6,INDEX(properties!A$1:CB$87,'Fórmula'!J28,4)))</f>
        <v>3</v>
      </c>
      <c r="M28" s="102">
        <f t="shared" si="2"/>
        <v>61</v>
      </c>
      <c r="N28" s="103">
        <f t="array" ref="N28">(('Fórmula'!C28)/('Fórmula'!C28+'Fórmula'!E28+'Fórmula'!G28+'Fórmula'!I28+'Fórmula'!K28))*(INDEX(properties!A$1:CB$87,'Fórmula'!B28,5))+(('Fórmula'!E28)/('Fórmula'!C28+'Fórmula'!E28+'Fórmula'!G28+'Fórmula'!I28+'Fórmula'!K28))*(INDEX(properties!A$1:CB$87,'Fórmula'!D28,5))+(('Fórmula'!G28)/('Fórmula'!C28+'Fórmula'!E28+'Fórmula'!G28+'Fórmula'!I28+'Fórmula'!K28))*(INDEX(properties!A$1:CB$87,'Fórmula'!F28,5))+(('Fórmula'!I28)/('Fórmula'!C28+'Fórmula'!E28+'Fórmula'!G28+'Fórmula'!I28+'Fórmula'!K28))*(INDEX(properties!A$1:CB$87,'Fórmula'!H28,5))+(('Fórmula'!K28)/('Fórmula'!C28+'Fórmula'!E28+'Fórmula'!G28+'Fórmula'!I28+'Fórmula'!K28))*(INDEX(properties!A$1:CB$87,'Fórmula'!J28,5))</f>
        <v>2.210526316</v>
      </c>
      <c r="O28" s="103">
        <f t="array" ref="O28">'Fórmula'!C28*(INDEX(properties!A$1:CB$87,'Fórmula'!B28,5))+'Fórmula'!E28*(INDEX(properties!A$1:CB$87,'Fórmula'!D28,5))+'Fórmula'!G28*(INDEX(properties!A$1:CB$87,'Fórmula'!F28,5))+'Fórmula'!I28*(INDEX(properties!A$1:CB$87,'Fórmula'!H28,5))+'Fórmula'!K28*(INDEX(properties!A$1:CB$87,'Fórmula'!J28,5))</f>
        <v>42</v>
      </c>
      <c r="P28" s="103">
        <f t="array" ref="P28">VARP(IF(INDEX(properties!A$1:CB$87,'Fórmula'!B28,5)&lt;&gt;"",INDEX(properties!A$1:CB$87,'Fórmula'!B28,5)),IF(INDEX(properties!A$1:CB$87,'Fórmula'!D28,5)&lt;&gt;"",INDEX(properties!A$1:CB$87,'Fórmula'!D28,5)),IF(INDEX(properties!A$1:CB$87,'Fórmula'!F28,5)&lt;&gt;"",INDEX(properties!A$1:CB$87,'Fórmula'!F28,5)),IF(INDEX(properties!A$1:CB$87,'Fórmula'!H28,5)&lt;&gt;"",INDEX(properties!A$1:CB$87,'Fórmula'!H28,5)),IF(INDEX(properties!A$1:CB$87,'Fórmula'!J28,5)&lt;&gt;"",INDEX(properties!A$1:CB$87,'Fórmula'!J28,5)))</f>
        <v>3.84</v>
      </c>
      <c r="Q28" s="103">
        <f t="array" ref="Q28">MAX(INDEX(properties!A$1:CB$87,'Fórmula'!B28,5),INDEX(properties!A$1:CB$87,'Fórmula'!D28,5),INDEX(properties!A$1:CB$87,'Fórmula'!F28,5),INDEX(properties!A$1:CB$87,'Fórmula'!H28,5),INDEX(properties!A$1:CB$87,'Fórmula'!J28,5))</f>
        <v>6</v>
      </c>
      <c r="R28" s="103">
        <f t="array" ref="R28">MIN(IF(INDEX(properties!A$1:CB$87,'Fórmula'!B28,5)=0,10^6,INDEX(properties!A$1:CB$87,'Fórmula'!B28,5)),IF(INDEX(properties!A$1:CB$87,'Fórmula'!D28,5)=0,10^6,INDEX(properties!A$1:CB$87,'Fórmula'!D28,5)),IF(INDEX(properties!A$1:CB$87,'Fórmula'!F28,5)=0,10^6,INDEX(properties!A$1:CB$87,'Fórmula'!F28,5)),IF(INDEX(properties!A$1:CB$87,'Fórmula'!H28,5)=0,10^6,INDEX(properties!A$1:CB$87,'Fórmula'!H28,5)),IF(INDEX(properties!A$1:CB$87,'Fórmula'!J28,5)=0,10^6,INDEX(properties!A$1:CB$87,'Fórmula'!J28,5)))</f>
        <v>2</v>
      </c>
      <c r="S28" s="103">
        <f t="shared" si="3"/>
        <v>4</v>
      </c>
      <c r="T28" s="104">
        <f t="array" ref="T28">(('Fórmula'!C28)/('Fórmula'!C28+'Fórmula'!E28+'Fórmula'!G28+'Fórmula'!I28+'Fórmula'!K28))*(INDEX(properties!A$1:CB$87,'Fórmula'!B28,6))+(('Fórmula'!E28)/('Fórmula'!C28+'Fórmula'!E28+'Fórmula'!G28+'Fórmula'!I28+'Fórmula'!K28))*(INDEX(properties!A$1:CB$87,'Fórmula'!D28,6))+(('Fórmula'!G28)/('Fórmula'!C28+'Fórmula'!E28+'Fórmula'!G28+'Fórmula'!I28+'Fórmula'!K28))*(INDEX(properties!A$1:CB$87,'Fórmula'!F28,6))+(('Fórmula'!I28)/('Fórmula'!C28+'Fórmula'!E28+'Fórmula'!G28+'Fórmula'!I28+'Fórmula'!K28))*(INDEX(properties!A$1:CB$87,'Fórmula'!H28,6))+(('Fórmula'!K28)/('Fórmula'!C28+'Fórmula'!E28+'Fórmula'!G28+'Fórmula'!I28+'Fórmula'!K28))*(INDEX(properties!A$1:CB$87,'Fórmula'!J28,6))</f>
        <v>10.10526316</v>
      </c>
      <c r="U28" s="104">
        <f t="array" ref="U28">'Fórmula'!C28*(INDEX(properties!A$1:CB$87,'Fórmula'!B28,6))+'Fórmula'!E28*(INDEX(properties!A$1:CB$87,'Fórmula'!D28,6))+'Fórmula'!G28*(INDEX(properties!A$1:CB$87,'Fórmula'!F28,6))+'Fórmula'!I28*(INDEX(properties!A$1:CB$87,'Fórmula'!H28,6))+'Fórmula'!K28*(INDEX(properties!A$1:CB$87,'Fórmula'!J28,6))</f>
        <v>192</v>
      </c>
      <c r="V28" s="103">
        <f t="array" ref="V28">VARP(IF(INDEX(properties!A$1:CB$87,'Fórmula'!B28,6)&lt;&gt;"",INDEX(properties!A$1:CB$87,'Fórmula'!B28,6)),IF(INDEX(properties!A$1:CB$87,'Fórmula'!D28,6)&lt;&gt;"",INDEX(properties!A$1:CB$87,'Fórmula'!D28,6)),IF(INDEX(properties!A$1:CB$87,'Fórmula'!F28,6)&lt;&gt;"",INDEX(properties!A$1:CB$87,'Fórmula'!F28,6)),IF(INDEX(properties!A$1:CB$87,'Fórmula'!H28,6)&lt;&gt;"",INDEX(properties!A$1:CB$87,'Fórmula'!H28,6)),IF(INDEX(properties!A$1:CB$87,'Fórmula'!J28,6)&lt;&gt;"",INDEX(properties!A$1:CB$87,'Fórmula'!J28,6)))</f>
        <v>43.44</v>
      </c>
      <c r="W28" s="104">
        <f t="array" ref="W28">MAX(INDEX(properties!A$1:CB$87,'Fórmula'!B28,6),INDEX(properties!A$1:CB$87,'Fórmula'!D28,6),INDEX(properties!A$1:CB$87,'Fórmula'!F28,6),INDEX(properties!A$1:CB$87,'Fórmula'!H28,4),INDEX(properties!A$1:CB$87,'Fórmula'!J28,6))</f>
        <v>13</v>
      </c>
      <c r="X28" s="104">
        <f t="array" ref="X28">MIN(IF(INDEX(properties!A$1:CB$87,'Fórmula'!B28,6)=0,10^6,INDEX(properties!A$1:CB$87,'Fórmula'!B28,6)),IF(INDEX(properties!A$1:CB$87,'Fórmula'!D28,6)=0,10^6,INDEX(properties!A$1:CB$87,'Fórmula'!D28,6)),IF(INDEX(properties!A$1:CB$87,'Fórmula'!F28,6)=0,10^6,INDEX(properties!A$1:CB$87,'Fórmula'!F28,6)),IF(INDEX(properties!A$1:CB$87,'Fórmula'!H28,6)=0,10^6,INDEX(properties!A$1:CB$87,'Fórmula'!H28,6)),IF(INDEX(properties!A$1:CB$87,'Fórmula'!J28,6)=0,10^6,INDEX(properties!A$1:CB$87,'Fórmula'!J28,6)))</f>
        <v>1</v>
      </c>
      <c r="Y28" s="104">
        <f t="shared" si="4"/>
        <v>12</v>
      </c>
      <c r="Z28" s="105">
        <f t="array" ref="Z28">(('Fórmula'!C28)/('Fórmula'!C28+'Fórmula'!E28+'Fórmula'!G28+'Fórmula'!I28+'Fórmula'!K28))*(INDEX(properties!A$1:CB$87,'Fórmula'!B28,9))+(('Fórmula'!E28)/('Fórmula'!C28+'Fórmula'!E28+'Fórmula'!G28+'Fórmula'!I28+'Fórmula'!K28))*(INDEX(properties!A$1:CB$87,'Fórmula'!D28,9))+(('Fórmula'!G28)/('Fórmula'!C28+'Fórmula'!E28+'Fórmula'!G28+'Fórmula'!I28+'Fórmula'!K28))*(INDEX(properties!A$1:CB$87,'Fórmula'!F28,9))+(('Fórmula'!I28)/('Fórmula'!C28+'Fórmula'!E28+'Fórmula'!G28+'Fórmula'!I28+'Fórmula'!K28))*(INDEX(properties!A$1:CB$87,'Fórmula'!H28,9))+(('Fórmula'!K28)/('Fórmula'!C28+'Fórmula'!E28+'Fórmula'!G28+'Fórmula'!I28+'Fórmula'!K28))*(INDEX(properties!A$1:CB$87,'Fórmula'!J28,9))</f>
        <v>54.31578947</v>
      </c>
      <c r="AA28" s="105">
        <f t="array" ref="AA28">'Fórmula'!C28*(INDEX(properties!A$1:CB$87,'Fórmula'!B28,9))+'Fórmula'!E28*(INDEX(properties!A$1:CB$87,'Fórmula'!D28,9))+'Fórmula'!G28*(INDEX(properties!A$1:CB$87,'Fórmula'!F28,9))+'Fórmula'!I28*(INDEX(properties!A$1:CB$87,'Fórmula'!H28,9))+'Fórmula'!K28*(INDEX(properties!A$1:CB$87,'Fórmula'!J28,9))</f>
        <v>1032</v>
      </c>
      <c r="AB28" s="105">
        <f t="array" ref="AB28">VARP(IF(INDEX(properties!A$1:CB$87,'Fórmula'!B28,9)&lt;&gt;"",INDEX(properties!A$1:CB$87,'Fórmula'!B28,9)),IF(INDEX(properties!A$1:CB$87,'Fórmula'!D28,9)&lt;&gt;"",INDEX(properties!A$1:CB$87,'Fórmula'!D28,9)),IF(INDEX(properties!A$1:CB$87,'Fórmula'!F28,9)&lt;&gt;"",INDEX(properties!A$1:CB$87,'Fórmula'!F28,9)),IF(INDEX(properties!A$1:CB$87,'Fórmula'!H28,9)&lt;&gt;"",INDEX(properties!A$1:CB$87,'Fórmula'!H28,9)),IF(INDEX(properties!A$1:CB$87,'Fórmula'!J28,9)&lt;&gt;"",INDEX(properties!A$1:CB$87,'Fórmula'!J28,9)))</f>
        <v>1297.84</v>
      </c>
      <c r="AC28" s="105">
        <f t="array" ref="AC28">MAX(INDEX(properties!A$1:CB$87,'Fórmula'!B28,9),INDEX(properties!A$1:CB$87,'Fórmula'!D28,9),INDEX(properties!A$1:CB$87,'Fórmula'!F28,9),INDEX(properties!A$1:CB$87,'Fórmula'!H28,9),INDEX(properties!A$1:CB$87,'Fórmula'!J28,9))</f>
        <v>87</v>
      </c>
      <c r="AD28" s="105">
        <f t="array" ref="AD28">MIN(IF(INDEX(properties!A$1:CB$87,'Fórmula'!B28,9)=0,10^6,INDEX(properties!A$1:CB$87,'Fórmula'!B28,9)),IF(INDEX(properties!A$1:CB$87,'Fórmula'!D28,9)=0,10^6,INDEX(properties!A$1:CB$87,'Fórmula'!D28,9)),IF(INDEX(properties!A$1:CB$87,'Fórmula'!F28,9)=0,10^6,INDEX(properties!A$1:CB$87,'Fórmula'!F28,9)),IF(INDEX(properties!A$1:CB$87,'Fórmula'!H28,9)=0,10^6,INDEX(properties!A$1:CB$87,'Fórmula'!H28,9)),IF(INDEX(properties!A$1:CB$87,'Fórmula'!J28,9)=0,10^6,INDEX(properties!A$1:CB$87,'Fórmula'!J28,9)))</f>
        <v>1</v>
      </c>
      <c r="AE28" s="105">
        <f t="shared" si="5"/>
        <v>86</v>
      </c>
      <c r="AF28" s="106">
        <f t="array" ref="AF28">(('Fórmula'!C28)/('Fórmula'!C28+'Fórmula'!E28+'Fórmula'!G28+'Fórmula'!I28+'Fórmula'!K28))*(INDEX(properties!A$1:CB$87,'Fórmula'!B28,10))+(('Fórmula'!E28)/('Fórmula'!C28+'Fórmula'!E28+'Fórmula'!G28+'Fórmula'!I28+'Fórmula'!K28))*(INDEX(properties!A$1:CB$87,'Fórmula'!D28,10))+(('Fórmula'!G28)/('Fórmula'!C28+'Fórmula'!E28+'Fórmula'!G28+'Fórmula'!I28+'Fórmula'!K28))*(INDEX(properties!A$1:CB$87,'Fórmula'!F28,10))+(('Fórmula'!I28)/('Fórmula'!C28+'Fórmula'!E28+'Fórmula'!G28+'Fórmula'!I28+'Fórmula'!K28))*(INDEX(properties!A$1:CB$87,'Fórmula'!H28,10))+(('Fórmula'!K28)/('Fórmula'!C28+'Fórmula'!E28+'Fórmula'!G28+'Fórmula'!I28+'Fórmula'!K28))*(INDEX(properties!A$1:CB$87,'Fórmula'!J28,10))</f>
        <v>4.736842105</v>
      </c>
      <c r="AG28" s="106">
        <f t="array" ref="AG28">'Fórmula'!C28*(INDEX(properties!A$1:CB$87,'Fórmula'!B28,10))+'Fórmula'!E28*(INDEX(properties!A$1:CB$87,'Fórmula'!D28,10))+'Fórmula'!G28*(INDEX(properties!A$1:CB$87,'Fórmula'!F28,10))+'Fórmula'!I28*(INDEX(properties!A$1:CB$87,'Fórmula'!H28,10))+'Fórmula'!K28*(INDEX(properties!A$1:CB$87,'Fórmula'!J28,10))</f>
        <v>90</v>
      </c>
      <c r="AH28" s="106">
        <f t="array" ref="AH28">VARP(IF(INDEX(properties!A$1:CB$87,'Fórmula'!B28,10)&lt;&gt;"",INDEX(properties!A$1:CB$87,'Fórmula'!B28,10)),IF(INDEX(properties!A$1:CB$87,'Fórmula'!D28,10)&lt;&gt;"",INDEX(properties!A$1:CB$87,'Fórmula'!D28,10)),IF(INDEX(properties!A$1:CB$87,'Fórmula'!F28,10)&lt;&gt;"",INDEX(properties!A$1:CB$87,'Fórmula'!F28,10)),IF(INDEX(properties!A$1:CB$87,'Fórmula'!H28,10)&lt;&gt;"",INDEX(properties!A$1:CB$87,'Fórmula'!H28,10)),IF(INDEX(properties!A$1:CB$87,'Fórmula'!J28,10)&lt;&gt;"",INDEX(properties!A$1:CB$87,'Fórmula'!J28,10)))</f>
        <v>7.44</v>
      </c>
      <c r="AI28" s="106">
        <f t="array" ref="AI28">MAX(INDEX(properties!A$1:CB$87,'Fórmula'!B28,10),INDEX(properties!A$1:CB$87,'Fórmula'!D28,10),INDEX(properties!A$1:CB$87,'Fórmula'!F28,10),INDEX(properties!A$1:CB$87,'Fórmula'!H28,10),INDEX(properties!A$1:CB$87,'Fórmula'!J28,10))</f>
        <v>7</v>
      </c>
      <c r="AJ28" s="106">
        <f t="array" ref="AJ28">MIN(IF(INDEX(properties!A$1:CB$87,'Fórmula'!B28,10)=0,10^6,INDEX(properties!A$1:CB$87,'Fórmula'!B28,10)),IF(INDEX(properties!A$1:CB$87,'Fórmula'!D28,10)=0,10^6,INDEX(properties!A$1:CB$87,'Fórmula'!D28,10)),IF(INDEX(properties!A$1:CB$87,'Fórmula'!F28,10)=0,10^6,INDEX(properties!A$1:CB$87,'Fórmula'!F28,10)),IF(INDEX(properties!A$1:CB$87,'Fórmula'!H28,10)=0,10^6,INDEX(properties!A$1:CB$87,'Fórmula'!H28,10)),IF(INDEX(properties!A$1:CB$87,'Fórmula'!J28,10)=0,10^6,INDEX(properties!A$1:CB$87,'Fórmula'!J28,10)))</f>
        <v>1</v>
      </c>
      <c r="AK28" s="106">
        <f t="shared" si="6"/>
        <v>6</v>
      </c>
      <c r="AL28" s="107">
        <f t="array" ref="AL28">(('Fórmula'!C28)/('Fórmula'!C28+'Fórmula'!E28+'Fórmula'!G28+'Fórmula'!I28+'Fórmula'!K28))*(INDEX(properties!A$1:CB$87,'Fórmula'!B28,11))+(('Fórmula'!E28)/('Fórmula'!C28+'Fórmula'!E28+'Fórmula'!G28+'Fórmula'!I28+'Fórmula'!K28))*(INDEX(properties!A$1:CB$87,'Fórmula'!D28,11))+(('Fórmula'!G28)/('Fórmula'!C28+'Fórmula'!E28+'Fórmula'!G28+'Fórmula'!I28+'Fórmula'!K28))*(INDEX(properties!A$1:CB$87,'Fórmula'!F28,11))+(('Fórmula'!I28)/('Fórmula'!C28+'Fórmula'!E28+'Fórmula'!G28+'Fórmula'!I28+'Fórmula'!K28))*(INDEX(properties!A$1:CB$87,'Fórmula'!H28,11))+(('Fórmula'!K28)/('Fórmula'!C28+'Fórmula'!E28+'Fórmula'!G28+'Fórmula'!I28+'Fórmula'!K28))*(INDEX(properties!A$1:CB$87,'Fórmula'!J28,11))</f>
        <v>1.684210526</v>
      </c>
      <c r="AM28" s="107">
        <f t="array" ref="AM28">'Fórmula'!C28*(INDEX(properties!A$1:CB$87,'Fórmula'!B28,11))+'Fórmula'!E28*(INDEX(properties!A$1:CB$87,'Fórmula'!D28,11))+'Fórmula'!G28*(INDEX(properties!A$1:CB$87,'Fórmula'!F28,11))+'Fórmula'!I28*(INDEX(properties!A$1:CB$87,'Fórmula'!H28,11))+'Fórmula'!K28*(INDEX(properties!A$1:CB$87,'Fórmula'!J28,11))</f>
        <v>32</v>
      </c>
      <c r="AN28" s="107">
        <f t="array" ref="AN28">VARP(IF(INDEX(properties!A$1:CB$87,'Fórmula'!B28,11)&lt;&gt;"",INDEX(properties!A$1:CB$87,'Fórmula'!B28,11)),IF(INDEX(properties!A$1:CB$87,'Fórmula'!D28,11)&lt;&gt;"",INDEX(properties!A$1:CB$87,'Fórmula'!D28,11)),IF(INDEX(properties!A$1:CB$87,'Fórmula'!F28,11)&lt;&gt;"",INDEX(properties!A$1:CB$87,'Fórmula'!F28,11)),IF(INDEX(properties!A$1:CB$87,'Fórmula'!H28,11)&lt;&gt;"",INDEX(properties!A$1:CB$87,'Fórmula'!H28,11)),IF(INDEX(properties!A$1:CB$87,'Fórmula'!J28,11)&lt;&gt;"",INDEX(properties!A$1:CB$87,'Fórmula'!J28,11)))</f>
        <v>0.64</v>
      </c>
      <c r="AO28" s="107">
        <f t="array" ref="AO28">MAX(INDEX(properties!A$1:CB$87,'Fórmula'!B28,11),INDEX(properties!A$1:CB$87,'Fórmula'!D28,11),INDEX(properties!A$1:CB$87,'Fórmula'!F28,11),INDEX(properties!A$1:CB$87,'Fórmula'!H28,11),INDEX(properties!A$1:CB$87,'Fórmula'!J28,11))</f>
        <v>2</v>
      </c>
      <c r="AP28" s="107">
        <f t="array" ref="AP28">MIN(IF('Fórmula'!B28=87,10^6,INDEX(properties!A$1:CB$87,'Fórmula'!B28,11)),IF(('Fórmula'!D28)=87,10^6,INDEX(properties!A$1:CB$87,'Fórmula'!D28,11)),IF(('Fórmula'!F28)=87,10^6,INDEX(properties!A$1:CB$87,'Fórmula'!F28,11)),IF(('Fórmula'!H28)=87,10^6,INDEX(properties!A$1:CB$87,'Fórmula'!H28,11)),IF('Fórmula'!J28=87,10^6,INDEX(properties!A$1:CB$87,'Fórmula'!J28,11)))</f>
        <v>1</v>
      </c>
      <c r="AQ28" s="107">
        <f t="shared" si="7"/>
        <v>1</v>
      </c>
      <c r="AR28" s="108">
        <f t="array" ref="AR28">(('Fórmula'!C28)/('Fórmula'!C28+'Fórmula'!E28+'Fórmula'!G28+'Fórmula'!I28+'Fórmula'!K28))*(INDEX(properties!A$1:CB$87,'Fórmula'!B28,12))+(('Fórmula'!E28)/('Fórmula'!C28+'Fórmula'!E28+'Fórmula'!G28+'Fórmula'!I28+'Fórmula'!K28))*(INDEX(properties!A$1:CB$87,'Fórmula'!D28,12))+(('Fórmula'!G28)/('Fórmula'!C28+'Fórmula'!E28+'Fórmula'!G28+'Fórmula'!I28+'Fórmula'!K28))*(INDEX(properties!A$1:CB$87,'Fórmula'!F28,12))+(('Fórmula'!I28)/('Fórmula'!C28+'Fórmula'!E28+'Fórmula'!G28+'Fórmula'!I28+'Fórmula'!K28))*(INDEX(properties!A$1:CB$87,'Fórmula'!H28,12))+(('Fórmula'!K28)/('Fórmula'!C28+'Fórmula'!E28+'Fórmula'!G28+'Fórmula'!I28+'Fórmula'!K28))*(INDEX(properties!A$1:CB$87,'Fórmula'!J28,12))</f>
        <v>2.052631579</v>
      </c>
      <c r="AS28" s="108">
        <f t="array" ref="AS28">'Fórmula'!C28*(INDEX(properties!A$1:CB$87,'Fórmula'!B28,12))+'Fórmula'!E28*(INDEX(properties!A$1:CB$87,'Fórmula'!D28,12))+'Fórmula'!G28*(INDEX(properties!A$1:CB$87,'Fórmula'!F28,12))+'Fórmula'!I28*(INDEX(properties!A$1:CB$87,'Fórmula'!H28,12))+'Fórmula'!K28*(INDEX(properties!A$1:CB$87,'Fórmula'!J28,12))</f>
        <v>39</v>
      </c>
      <c r="AT28" s="108">
        <f t="array" ref="AT28">VARP(IF(INDEX(properties!A$1:CB$87,'Fórmula'!B28,12)&lt;&gt;"",INDEX(properties!A$1:CB$87,'Fórmula'!B28,12)),IF(INDEX(properties!A$1:CB$87,'Fórmula'!D28,12)&lt;&gt;"",INDEX(properties!A$1:CB$87,'Fórmula'!D28,12)),IF(INDEX(properties!A$1:CB$87,'Fórmula'!F28,12)&lt;&gt;"",INDEX(properties!A$1:CB$87,'Fórmula'!F28,12)),IF(INDEX(properties!A$1:CB$87,'Fórmula'!H28,12)&lt;&gt;"",INDEX(properties!A$1:CB$87,'Fórmula'!H28,12)),IF(INDEX(properties!A$1:CB$87,'Fórmula'!J28,12)&lt;&gt;"",INDEX(properties!A$1:CB$87,'Fórmula'!J28,12)))</f>
        <v>2.4</v>
      </c>
      <c r="AU28" s="108">
        <f t="array" ref="AU28">MAX(INDEX(properties!A$1:CB$87,'Fórmula'!B28,12),INDEX(properties!A$1:CB$87,'Fórmula'!D28,12),INDEX(properties!A$1:CB$87,'Fórmula'!F28,12),INDEX(properties!A$1:CB$87,'Fórmula'!H28,12),INDEX(properties!A$1:CB$87,'Fórmula'!J28,12))</f>
        <v>4</v>
      </c>
      <c r="AV28" s="108">
        <f t="array" ref="AV28">MIN(IF('Fórmula'!B28=87,10^6,INDEX(properties!A$1:CB$87,'Fórmula'!B28,12)),IF(('Fórmula'!D28)=87,10^6,INDEX(properties!A$1:CB$87,'Fórmula'!D28,12)),IF(('Fórmula'!F28)=87,10^6,INDEX(properties!A$1:CB$87,'Fórmula'!F28,12)),IF(('Fórmula'!H28)=87,10^6,INDEX(properties!A$1:CB$87,'Fórmula'!H28,12)),IF('Fórmula'!J28=87,10^6,INDEX(properties!A$1:CB$87,'Fórmula'!J28,12)))</f>
        <v>0</v>
      </c>
      <c r="AW28" s="108">
        <f t="shared" si="8"/>
        <v>4</v>
      </c>
      <c r="AX28" s="109">
        <f t="array" ref="AX28">(('Fórmula'!C28)/('Fórmula'!C28+'Fórmula'!E28+'Fórmula'!G28+'Fórmula'!I28+'Fórmula'!K28))*(INDEX(properties!A$1:CB$87,'Fórmula'!B28,13))+(('Fórmula'!E28)/('Fórmula'!C28+'Fórmula'!E28+'Fórmula'!G28+'Fórmula'!I28+'Fórmula'!K28))*(INDEX(properties!A$1:CB$87,'Fórmula'!D28,13))+(('Fórmula'!G28)/('Fórmula'!C28+'Fórmula'!E28+'Fórmula'!G28+'Fórmula'!I28+'Fórmula'!K28))*(INDEX(properties!A$1:CB$87,'Fórmula'!F28,13))+(('Fórmula'!I28)/('Fórmula'!C28+'Fórmula'!E28+'Fórmula'!G28+'Fórmula'!I28+'Fórmula'!K28))*(INDEX(properties!A$1:CB$87,'Fórmula'!H28,13))+(('Fórmula'!K28)/('Fórmula'!C28+'Fórmula'!E28+'Fórmula'!G28+'Fórmula'!I28+'Fórmula'!K28))*(INDEX(properties!A$1:CB$87,'Fórmula'!J28,13))</f>
        <v>0.05263157895</v>
      </c>
      <c r="AY28" s="109">
        <f t="array" ref="AY28">'Fórmula'!C28*(INDEX(properties!A$1:CB$87,'Fórmula'!B28,13))+'Fórmula'!E28*(INDEX(properties!A$1:CB$87,'Fórmula'!D28,13))+'Fórmula'!G28*(INDEX(properties!A$1:CB$87,'Fórmula'!F28,13))+'Fórmula'!I28*(INDEX(properties!A$1:CB$87,'Fórmula'!H28,13))+'Fórmula'!K28*(INDEX(properties!A$1:CB$87,'Fórmula'!J28,13))</f>
        <v>1</v>
      </c>
      <c r="AZ28" s="109">
        <f t="array" ref="AZ28">VARP(IF(INDEX(properties!A$1:CB$87,'Fórmula'!B28,13)&lt;&gt;"",INDEX(properties!A$1:CB$87,'Fórmula'!B28,13)),IF(INDEX(properties!A$1:CB$87,'Fórmula'!D28,13)&lt;&gt;"",INDEX(properties!A$1:CB$87,'Fórmula'!D28,13)),IF(INDEX(properties!A$1:CB$87,'Fórmula'!F28,13)&lt;&gt;"",INDEX(properties!A$1:CB$87,'Fórmula'!F28,13)),IF(INDEX(properties!A$1:CB$87,'Fórmula'!H28,13)&lt;&gt;"",INDEX(properties!A$1:CB$87,'Fórmula'!H28,13)),IF(INDEX(properties!A$1:CB$87,'Fórmula'!J28,13)&lt;&gt;"",INDEX(properties!A$1:CB$87,'Fórmula'!J28,13)))</f>
        <v>0.16</v>
      </c>
      <c r="BA28" s="109">
        <f t="array" ref="BA28">MAX(INDEX(properties!A$1:CB$87,'Fórmula'!B28,13),INDEX(properties!A$1:CB$87,'Fórmula'!D28,13),INDEX(properties!A$1:CB$87,'Fórmula'!F28,13),INDEX(properties!A$1:CB$87,'Fórmula'!H28,13),INDEX(properties!A$1:CB$87,'Fórmula'!J28,13))</f>
        <v>1</v>
      </c>
      <c r="BB28" s="109">
        <f t="array" ref="BB28">MIN(IF('Fórmula'!B28=87,10^6,INDEX(properties!A$1:CB$87,'Fórmula'!B28,13)),IF(('Fórmula'!D28)=87,10^6,INDEX(properties!A$1:CB$87,'Fórmula'!D28,13)),IF(('Fórmula'!F28)=87,10^6,INDEX(properties!A$1:CB$87,'Fórmula'!F28,13)),IF(('Fórmula'!H28)=87,10^6,INDEX(properties!A$1:CB$87,'Fórmula'!H28,13)),IF('Fórmula'!J28=87,10^6,INDEX(properties!A$1:CB$87,'Fórmula'!J28,13)))</f>
        <v>0</v>
      </c>
      <c r="BC28" s="109">
        <f t="shared" si="9"/>
        <v>1</v>
      </c>
      <c r="BD28" s="110">
        <f t="array" ref="BD28">(('Fórmula'!C28)/('Fórmula'!C28+'Fórmula'!E28+'Fórmula'!G28+'Fórmula'!I28+'Fórmula'!K28))*(INDEX(properties!A$1:CB$87,'Fórmula'!B28,14))+(('Fórmula'!E28)/('Fórmula'!C28+'Fórmula'!E28+'Fórmula'!G28+'Fórmula'!I28+'Fórmula'!K28))*(INDEX(properties!A$1:CB$87,'Fórmula'!D28,14))+(('Fórmula'!G28)/('Fórmula'!C28+'Fórmula'!E28+'Fórmula'!G28+'Fórmula'!I28+'Fórmula'!K28))*(INDEX(properties!A$1:CB$87,'Fórmula'!F28,14))+(('Fórmula'!I28)/('Fórmula'!C28+'Fórmula'!E28+'Fórmula'!G28+'Fórmula'!I28+'Fórmula'!K28))*(INDEX(properties!A$1:CB$87,'Fórmula'!H28,14))+(('Fórmula'!K28)/('Fórmula'!C28+'Fórmula'!E28+'Fórmula'!G28+'Fórmula'!I28+'Fórmula'!K28))*(INDEX(properties!A$1:CB$87,'Fórmula'!J28,14))</f>
        <v>0.3684210526</v>
      </c>
      <c r="BE28" s="110">
        <f t="array" ref="BE28">'Fórmula'!C28*(INDEX(properties!A$1:CB$87,'Fórmula'!B28,14))+'Fórmula'!E28*(INDEX(properties!A$1:CB$87,'Fórmula'!D28,14))+'Fórmula'!G28*(INDEX(properties!A$1:CB$87,'Fórmula'!F28,14))+'Fórmula'!I28*(INDEX(properties!A$1:CB$87,'Fórmula'!H28,14))+'Fórmula'!K28*(INDEX(properties!A$1:CB$87,'Fórmula'!J28,14))</f>
        <v>7</v>
      </c>
      <c r="BF28" s="110">
        <f t="array" ref="BF28">VARP(IF(INDEX(properties!A$1:CB$87,'Fórmula'!B28,14)&lt;&gt;"",INDEX(properties!A$1:CB$87,'Fórmula'!B28,14)),IF(INDEX(properties!A$1:CB$87,'Fórmula'!D28,14)&lt;&gt;"",INDEX(properties!A$1:CB$87,'Fórmula'!D28,14)),IF(INDEX(properties!A$1:CB$87,'Fórmula'!F28,14)&lt;&gt;"",INDEX(properties!A$1:CB$87,'Fórmula'!F28,14)),IF(INDEX(properties!A$1:CB$87,'Fórmula'!H28,14)&lt;&gt;"",INDEX(properties!A$1:CB$87,'Fórmula'!H28,14)),IF(INDEX(properties!A$1:CB$87,'Fórmula'!J28,14)&lt;&gt;"",INDEX(properties!A$1:CB$87,'Fórmula'!J28,14)))</f>
        <v>7.84</v>
      </c>
      <c r="BG28" s="110">
        <f t="array" ref="BG28">MAX(INDEX(properties!A$1:CB$87,'Fórmula'!B28,14),INDEX(properties!A$1:CB$87,'Fórmula'!D28,14),INDEX(properties!A$1:CB$87,'Fórmula'!F28,14),INDEX(properties!A$1:CB$87,'Fórmula'!H28,14),INDEX(properties!A$1:CB$87,'Fórmula'!J28,14))</f>
        <v>7</v>
      </c>
      <c r="BH28" s="110">
        <f t="array" ref="BH28">MIN(IF('Fórmula'!B28=87,10^6,INDEX(properties!A$1:CB$87,'Fórmula'!B28,14)),IF(('Fórmula'!D28)=87,10^6,INDEX(properties!A$1:CB$87,'Fórmula'!D28,14)),IF(('Fórmula'!F28)=87,10^6,INDEX(properties!A$1:CB$87,'Fórmula'!F28,14)),IF(('Fórmula'!H28)=87,10^6,INDEX(properties!A$1:CB$87,'Fórmula'!H28,14)),IF('Fórmula'!J28=87,10^6,INDEX(properties!A$1:CB$87,'Fórmula'!J28,14)))</f>
        <v>0</v>
      </c>
      <c r="BI28" s="110">
        <f t="shared" si="10"/>
        <v>7</v>
      </c>
      <c r="BJ28" s="111">
        <f t="array" ref="BJ28">(('Fórmula'!C28)/('Fórmula'!C28+'Fórmula'!E28+'Fórmula'!G28+'Fórmula'!I28+'Fórmula'!K28))*(INDEX(properties!A$1:CB$87,'Fórmula'!B28,19))+(('Fórmula'!E28)/('Fórmula'!C28+'Fórmula'!E28+'Fórmula'!G28+'Fórmula'!I28+'Fórmula'!K28))*(INDEX(properties!A$1:CB$87,'Fórmula'!D28,19))+(('Fórmula'!G28)/('Fórmula'!C28+'Fórmula'!E28+'Fórmula'!G28+'Fórmula'!I28+'Fórmula'!K28))*(INDEX(properties!A$1:CB$87,'Fórmula'!F28,19))+(('Fórmula'!I28)/('Fórmula'!C28+'Fórmula'!E28+'Fórmula'!G28+'Fórmula'!I28+'Fórmula'!K28))*(INDEX(properties!A$1:CB$87,'Fórmula'!H28,19))+(('Fórmula'!K28)/('Fórmula'!C28+'Fórmula'!E28+'Fórmula'!G28+'Fórmula'!I28+'Fórmula'!K28))*(INDEX(properties!A$1:CB$87,'Fórmula'!J28,19))</f>
        <v>4.157894737</v>
      </c>
      <c r="BK28" s="111">
        <f t="array" ref="BK28">'Fórmula'!C28*(INDEX(properties!A$1:CB$87,'Fórmula'!B28,19))+'Fórmula'!E28*(INDEX(properties!A$1:CB$87,'Fórmula'!D28,19))+'Fórmula'!G28*(INDEX(properties!A$1:CB$87,'Fórmula'!F28,19))+'Fórmula'!I28*(INDEX(properties!A$1:CB$87,'Fórmula'!H28,19))+'Fórmula'!K28*(INDEX(properties!A$1:CB$87,'Fórmula'!J28,19))</f>
        <v>79</v>
      </c>
      <c r="BL28" s="111">
        <f t="array" ref="BL28">VARP(IF(INDEX(properties!A$1:CB$87,'Fórmula'!B28,19)&lt;&gt;"",INDEX(properties!A$1:CB$87,'Fórmula'!B28,19)),IF(INDEX(properties!A$1:CB$87,'Fórmula'!D28,19)&lt;&gt;"",INDEX(properties!A$1:CB$87,'Fórmula'!D28,19)),IF(INDEX(properties!A$1:CB$87,'Fórmula'!F28,19)&lt;&gt;"",INDEX(properties!A$1:CB$87,'Fórmula'!F28,19)),IF(INDEX(properties!A$1:CB$87,'Fórmula'!H28,19)&lt;&gt;"",INDEX(properties!A$1:CB$87,'Fórmula'!H28,19)),IF(INDEX(properties!A$1:CB$87,'Fórmula'!J28,19)&lt;&gt;"",INDEX(properties!A$1:CB$87,'Fórmula'!J28,19)))</f>
        <v>13.2</v>
      </c>
      <c r="BM28" s="111">
        <f t="array" ref="BM28">MAX(INDEX(properties!A$1:CB$87,'Fórmula'!B28,19),INDEX(properties!A$1:CB$87,'Fórmula'!D28,19),INDEX(properties!A$1:CB$87,'Fórmula'!F28,19),INDEX(properties!A$1:CB$87,'Fórmula'!H28,19),INDEX(properties!A$1:CB$87,'Fórmula'!J28,19))</f>
        <v>10</v>
      </c>
      <c r="BN28" s="111">
        <f t="array" ref="BN28">MIN(IF(INDEX(properties!A$1:CB$87,'Fórmula'!B28,19)=0,10^6,INDEX(properties!A$1:CB$87,'Fórmula'!B28,19)),IF(INDEX(properties!A$1:CB$87,'Fórmula'!D28,19)=0,10^6,INDEX(properties!A$1:CB$87,'Fórmula'!D28,19)),IF(INDEX(properties!A$1:CB$87,'Fórmula'!F28,19)=0,10^6,INDEX(properties!A$1:CB$87,'Fórmula'!F28,19)),IF(INDEX(properties!A$1:CB$87,'Fórmula'!H28,19)=0,10^6,INDEX(properties!A$1:CB$87,'Fórmula'!H28,19)),IF(INDEX(properties!A$1:CB$87,'Fórmula'!J28,19)=0,10^6,INDEX(properties!A$1:CB$87,'Fórmula'!J28,19)))</f>
        <v>1</v>
      </c>
      <c r="BO28" s="111">
        <f t="shared" si="11"/>
        <v>9</v>
      </c>
      <c r="BP28" s="112">
        <f t="array" ref="BP28">(('Fórmula'!C28)/('Fórmula'!C28+'Fórmula'!E28+'Fórmula'!G28+'Fórmula'!I28+'Fórmula'!K28))*(INDEX(properties!A$1:CB$87,'Fórmula'!B28,20))+(('Fórmula'!E28)/('Fórmula'!C28+'Fórmula'!E28+'Fórmula'!G28+'Fórmula'!I28+'Fórmula'!K28))*(INDEX(properties!A$1:CB$87,'Fórmula'!D28,20))+(('Fórmula'!G28)/('Fórmula'!C28+'Fórmula'!E28+'Fórmula'!G28+'Fórmula'!I28+'Fórmula'!K28))*(INDEX(properties!A$1:CB$87,'Fórmula'!F28,20))+(('Fórmula'!I28)/('Fórmula'!C28+'Fórmula'!E28+'Fórmula'!G28+'Fórmula'!I28+'Fórmula'!K28))*(INDEX(properties!A$1:CB$87,'Fórmula'!H28,20))+(('Fórmula'!K28)/('Fórmula'!C28+'Fórmula'!E28+'Fórmula'!G28+'Fórmula'!I28+'Fórmula'!K28))*(INDEX(properties!A$1:CB$87,'Fórmula'!J28,20))</f>
        <v>3.736842105</v>
      </c>
      <c r="BQ28" s="112">
        <f t="array" ref="BQ28">'Fórmula'!C28*(INDEX(properties!A$1:CB$87,'Fórmula'!B28,20))+'Fórmula'!E28*(INDEX(properties!A$1:CB$87,'Fórmula'!D28,20))+'Fórmula'!G28*(INDEX(properties!A$1:CB$87,'Fórmula'!F28,20))+'Fórmula'!I28*(INDEX(properties!A$1:CB$87,'Fórmula'!H28,20))+'Fórmula'!K28*(INDEX(properties!A$1:CB$87,'Fórmula'!J28,20))</f>
        <v>71</v>
      </c>
      <c r="BR28" s="112">
        <f t="array" ref="BR28">VARP(IF(INDEX(properties!A$1:CB$87,'Fórmula'!B28,20)&lt;&gt;"",INDEX(properties!A$1:CB$87,'Fórmula'!B28,20)),IF(INDEX(properties!A$1:CB$87,'Fórmula'!D28,20)&lt;&gt;"",INDEX(properties!A$1:CB$87,'Fórmula'!D28,20)),IF(INDEX(properties!A$1:CB$87,'Fórmula'!F28,20)&lt;&gt;"",INDEX(properties!A$1:CB$87,'Fórmula'!F28,20)),IF(INDEX(properties!A$1:CB$87,'Fórmula'!H28,20)&lt;&gt;"",INDEX(properties!A$1:CB$87,'Fórmula'!H28,20)),IF(INDEX(properties!A$1:CB$87,'Fórmula'!J28,20)&lt;&gt;"",INDEX(properties!A$1:CB$87,'Fórmula'!J28,20)))</f>
        <v>4.24</v>
      </c>
      <c r="BS28" s="112">
        <f t="array" ref="BS28">MAX(INDEX(properties!A$1:CB$87,'Fórmula'!B28,20),INDEX(properties!A$1:CB$87,'Fórmula'!D28,20),INDEX(properties!A$1:CB$87,'Fórmula'!F28,20),INDEX(properties!A$1:CB$87,'Fórmula'!H28,20),INDEX(properties!A$1:CB$87,'Fórmula'!J28,20))</f>
        <v>6</v>
      </c>
      <c r="BT28" s="112">
        <f t="array" ref="BT28">MIN(IF(INDEX(properties!A$1:CB$87,'Fórmula'!B28,20)=0,10^6,INDEX(properties!A$1:CB$87,'Fórmula'!B28,20)),IF(INDEX(properties!A$1:CB$87,'Fórmula'!D28,20)=0,10^6,INDEX(properties!A$1:CB$87,'Fórmula'!D28,20)),IF(INDEX(properties!A$1:CB$87,'Fórmula'!F28,20)=0,10^6,INDEX(properties!A$1:CB$87,'Fórmula'!F28,20)),IF(INDEX(properties!A$1:CB$87,'Fórmula'!H28,20)=0,10^6,INDEX(properties!A$1:CB$87,'Fórmula'!H28,20)),IF(INDEX(properties!A$1:CB$87,'Fórmula'!J28,20)=0,10^6,INDEX(properties!A$1:CB$87,'Fórmula'!J28,20)))</f>
        <v>1</v>
      </c>
      <c r="BU28" s="112">
        <f t="shared" si="12"/>
        <v>5</v>
      </c>
      <c r="BV28" s="113">
        <f t="array" ref="BV28">(('Fórmula'!C28)/('Fórmula'!C28+'Fórmula'!E28+'Fórmula'!G28+'Fórmula'!I28+'Fórmula'!K28))*(INDEX(properties!A$1:CB$87,'Fórmula'!B28,21))+(('Fórmula'!E28)/('Fórmula'!C28+'Fórmula'!E28+'Fórmula'!G28+'Fórmula'!I28+'Fórmula'!K28))*(INDEX(properties!A$1:CB$87,'Fórmula'!D28,21))+(('Fórmula'!G28)/('Fórmula'!C28+'Fórmula'!E28+'Fórmula'!G28+'Fórmula'!I28+'Fórmula'!K28))*(INDEX(properties!A$1:CB$87,'Fórmula'!F28,21))+(('Fórmula'!I28)/('Fórmula'!C28+'Fórmula'!E28+'Fórmula'!G28+'Fórmula'!I28+'Fórmula'!K28))*(INDEX(properties!A$1:CB$87,'Fórmula'!H28,21))+(('Fórmula'!K28)/('Fórmula'!C28+'Fórmula'!E28+'Fórmula'!G28+'Fórmula'!I28+'Fórmula'!K28))*(INDEX(properties!A$1:CB$87,'Fórmula'!J28,21))</f>
        <v>3.789473684</v>
      </c>
      <c r="BW28" s="113">
        <f t="array" ref="BW28">'Fórmula'!C28*(INDEX(properties!A$1:CB$87,'Fórmula'!B28,21))+'Fórmula'!E28*(INDEX(properties!A$1:CB$87,'Fórmula'!D28,21))+'Fórmula'!G28*(INDEX(properties!A$1:CB$87,'Fórmula'!F28,21))+'Fórmula'!I28*(INDEX(properties!A$1:CB$87,'Fórmula'!H28,21))+'Fórmula'!K28*(INDEX(properties!A$1:CB$87,'Fórmula'!J28,21))</f>
        <v>72</v>
      </c>
      <c r="BX28" s="113">
        <f t="array" ref="BX28">VARP(IF(INDEX(properties!A$1:CB$87,'Fórmula'!B28,21)&lt;&gt;"",INDEX(properties!A$1:CB$87,'Fórmula'!B28,21)),IF(INDEX(properties!A$1:CB$87,'Fórmula'!D28,21)&lt;&gt;"",INDEX(properties!A$1:CB$87,'Fórmula'!D28,21)),IF(INDEX(properties!A$1:CB$87,'Fórmula'!F28,21)&lt;&gt;"",INDEX(properties!A$1:CB$87,'Fórmula'!F28,21)),IF(INDEX(properties!A$1:CB$87,'Fórmula'!H28,21)&lt;&gt;"",INDEX(properties!A$1:CB$87,'Fórmula'!H28,21)),IF(INDEX(properties!A$1:CB$87,'Fórmula'!J28,21)&lt;&gt;"",INDEX(properties!A$1:CB$87,'Fórmula'!J28,21)))</f>
        <v>4.24</v>
      </c>
      <c r="BY28" s="113">
        <f t="array" ref="BY28">MAX(INDEX(properties!A$1:CB$87,'Fórmula'!B28,21),INDEX(properties!A$1:CB$87,'Fórmula'!D28,21),INDEX(properties!A$1:CB$87,'Fórmula'!F28,21),INDEX(properties!A$1:CB$87,'Fórmula'!H28,21),INDEX(properties!A$1:CB$87,'Fórmula'!J28,21))</f>
        <v>6</v>
      </c>
      <c r="BZ28" s="113">
        <f t="array" ref="BZ28">MIN(IF(INDEX(properties!A$1:CB$87,'Fórmula'!B28,21)=0,10^6,INDEX(properties!A$1:CB$87,'Fórmula'!B28,21)),IF(INDEX(properties!A$1:CB$87,'Fórmula'!D28,21)=0,10^6,INDEX(properties!A$1:CB$87,'Fórmula'!D28,21)),IF(INDEX(properties!A$1:CB$87,'Fórmula'!F28,21)=0,10^6,INDEX(properties!A$1:CB$87,'Fórmula'!F28,21)),IF(INDEX(properties!A$1:CB$87,'Fórmula'!H28,21)=0,10^6,INDEX(properties!A$1:CB$87,'Fórmula'!H28,21)),IF(INDEX(properties!A$1:CB$87,'Fórmula'!J28,21)=0,10^6,INDEX(properties!A$1:CB$87,'Fórmula'!J28,21)))</f>
        <v>1</v>
      </c>
      <c r="CA28" s="113">
        <f t="shared" si="13"/>
        <v>5</v>
      </c>
      <c r="CB28" s="114">
        <f t="array" ref="CB28">(('Fórmula'!C28)/('Fórmula'!C28+'Fórmula'!E28+'Fórmula'!G28+'Fórmula'!I28+'Fórmula'!K28))*(INDEX(properties!A$1:CB$87,'Fórmula'!B28,23))+(('Fórmula'!E28)/('Fórmula'!C28+'Fórmula'!E28+'Fórmula'!G28+'Fórmula'!I28+'Fórmula'!K28))*(INDEX(properties!A$1:CB$87,'Fórmula'!D28,23))+(('Fórmula'!G28)/('Fórmula'!C28+'Fórmula'!E28+'Fórmula'!G28+'Fórmula'!I28+'Fórmula'!K28))*(INDEX(properties!A$1:CB$87,'Fórmula'!F28,23))+(('Fórmula'!I28)/('Fórmula'!C28+'Fórmula'!E28+'Fórmula'!G28+'Fórmula'!I28+'Fórmula'!K28))*(INDEX(properties!A$1:CB$87,'Fórmula'!H28,23))+(('Fórmula'!K28)/('Fórmula'!C28+'Fórmula'!E28+'Fórmula'!G28+'Fórmula'!I28+'Fórmula'!K28))*(INDEX(properties!A$1:CB$87,'Fórmula'!J28,23))</f>
        <v>0.9473684211</v>
      </c>
      <c r="CC28" s="114">
        <f t="array" ref="CC28">'Fórmula'!C28*(INDEX(properties!A$1:CB$87,'Fórmula'!B28,23))+'Fórmula'!E28*(INDEX(properties!A$1:CB$87,'Fórmula'!D28,23))+'Fórmula'!G28*(INDEX(properties!A$1:CB$87,'Fórmula'!F28,23))+'Fórmula'!I28*(INDEX(properties!A$1:CB$87,'Fórmula'!H28,23))+'Fórmula'!K28*(INDEX(properties!A$1:CB$87,'Fórmula'!J28,23))</f>
        <v>18</v>
      </c>
      <c r="CD28" s="114">
        <f t="array" ref="CD28">VARP(IF(INDEX(properties!A$1:CB$87,'Fórmula'!B28,23)&lt;&gt;"",INDEX(properties!A$1:CB$87,'Fórmula'!B28,23)),IF(INDEX(properties!A$1:CB$87,'Fórmula'!D28,23)&lt;&gt;"",INDEX(properties!A$1:CB$87,'Fórmula'!D28,23)),IF(INDEX(properties!A$1:CB$87,'Fórmula'!F28,23)&lt;&gt;"",INDEX(properties!A$1:CB$87,'Fórmula'!F28,23)),IF(INDEX(properties!A$1:CB$87,'Fórmula'!H28,23)&lt;&gt;"",INDEX(properties!A$1:CB$87,'Fórmula'!H28,23)),IF(INDEX(properties!A$1:CB$87,'Fórmula'!J28,23)&lt;&gt;"",INDEX(properties!A$1:CB$87,'Fórmula'!J28,23)))</f>
        <v>1.84</v>
      </c>
      <c r="CE28" s="114">
        <f t="array" ref="CE28">MAX(INDEX(properties!A$1:CB$87,'Fórmula'!B28,23),INDEX(properties!A$1:CB$87,'Fórmula'!D28,23),INDEX(properties!A$1:CB$87,'Fórmula'!F28,23),INDEX(properties!A$1:CB$87,'Fórmula'!H28,23),INDEX(properties!A$1:CB$87,'Fórmula'!J28,23))</f>
        <v>3</v>
      </c>
      <c r="CF28" s="114">
        <f t="array" ref="CF28">MIN(IF('Fórmula'!B28=87,10^6,INDEX(properties!A$1:CB$87,'Fórmula'!B28,23)),IF(('Fórmula'!D28)=87,10^6,INDEX(properties!A$1:CB$87,'Fórmula'!D28,23)),IF(('Fórmula'!F28)=87,10^6,INDEX(properties!A$1:CB$87,'Fórmula'!F28,23)),IF(('Fórmula'!H28)=87,10^6,INDEX(properties!A$1:CB$87,'Fórmula'!H28,23)),IF('Fórmula'!J28=87,10^6,INDEX(properties!A$1:CB$87,'Fórmula'!J28,23)))</f>
        <v>0</v>
      </c>
      <c r="CG28" s="114">
        <f t="shared" si="14"/>
        <v>3</v>
      </c>
      <c r="CH28" s="115">
        <f t="array" ref="CH28">(('Fórmula'!C28)/('Fórmula'!C28+'Fórmula'!E28+'Fórmula'!G28+'Fórmula'!I28+'Fórmula'!K28))*(INDEX(properties!A$1:CB$87,'Fórmula'!B28,26))+(('Fórmula'!E28)/('Fórmula'!C28+'Fórmula'!E28+'Fórmula'!G28+'Fórmula'!I28+'Fórmula'!K28))*(INDEX(properties!A$1:CB$87,'Fórmula'!D28,26))+(('Fórmula'!G28)/('Fórmula'!C28+'Fórmula'!E28+'Fórmula'!G28+'Fórmula'!I28+'Fórmula'!K28))*(INDEX(properties!A$1:CB$87,'Fórmula'!F28,26))+(('Fórmula'!I28)/('Fórmula'!C28+'Fórmula'!E28+'Fórmula'!G28+'Fórmula'!I28+'Fórmula'!K28))*(INDEX(properties!A$1:CB$87,'Fórmula'!H28,26))+(('Fórmula'!K28)/('Fórmula'!C28+'Fórmula'!E28+'Fórmula'!G28+'Fórmula'!I28+'Fórmula'!K28))*(INDEX(properties!A$1:CB$87,'Fórmula'!J28,26))</f>
        <v>9.787205263</v>
      </c>
      <c r="CI28" s="115">
        <f t="array" ref="CI28">'Fórmula'!C28*(INDEX(properties!A$1:CB$87,'Fórmula'!B28,26))+'Fórmula'!E28*(INDEX(properties!A$1:CB$87,'Fórmula'!D28,26))+'Fórmula'!G28*(INDEX(properties!A$1:CB$87,'Fórmula'!F28,26))+'Fórmula'!I28*(INDEX(properties!A$1:CB$87,'Fórmula'!H28,26))+'Fórmula'!K28*(INDEX(properties!A$1:CB$87,'Fórmula'!J28,26))</f>
        <v>185.9569</v>
      </c>
      <c r="CJ28" s="115">
        <f t="array" ref="CJ28">VARP(IF(INDEX(properties!A$1:CB$87,'Fórmula'!B28,26)&lt;&gt;"",INDEX(properties!A$1:CB$87,'Fórmula'!B28,26)),IF(INDEX(properties!A$1:CB$87,'Fórmula'!D28,26)&lt;&gt;"",INDEX(properties!A$1:CB$87,'Fórmula'!D28,26)),IF(INDEX(properties!A$1:CB$87,'Fórmula'!F28,26)&lt;&gt;"",INDEX(properties!A$1:CB$87,'Fórmula'!F28,26)),IF(INDEX(properties!A$1:CB$87,'Fórmula'!H28,26)&lt;&gt;"",INDEX(properties!A$1:CB$87,'Fórmula'!H28,26)),IF(INDEX(properties!A$1:CB$87,'Fórmula'!J28,26)&lt;&gt;"",INDEX(properties!A$1:CB$87,'Fórmula'!J28,26)))</f>
        <v>19.4635442</v>
      </c>
      <c r="CK28" s="116">
        <f t="array" ref="CK28">MAX(INDEX(properties!A$1:CB$87,'Fórmula'!B28,26),INDEX(properties!A$1:CB$87,'Fórmula'!D28,26),INDEX(properties!A$1:CB$87,'Fórmula'!F28,26),INDEX(properties!A$1:CB$87,'Fórmula'!H28,26),INDEX(properties!A$1:CB$87,'Fórmula'!J28,26))</f>
        <v>13.6181</v>
      </c>
      <c r="CL28" s="116">
        <f t="array" ref="CL28">MIN(IF(INDEX(properties!A$1:CB$87,'Fórmula'!B28,26)=0,10^6,INDEX(properties!A$1:CB$87,'Fórmula'!B28,26)),IF(INDEX(properties!A$1:CB$87,'Fórmula'!D28,26)=0,10^6,INDEX(properties!A$1:CB$87,'Fórmula'!D28,26)),IF(INDEX(properties!A$1:CB$87,'Fórmula'!F28,26)=0,10^6,INDEX(properties!A$1:CB$87,'Fórmula'!F28,26)),IF(INDEX(properties!A$1:CB$87,'Fórmula'!H28,26)=0,10^6,INDEX(properties!A$1:CB$87,'Fórmula'!H28,26)),IF(INDEX(properties!A$1:CB$87,'Fórmula'!J28,26)=0,10^6,INDEX(properties!A$1:CB$87,'Fórmula'!J28,26)))</f>
        <v>5.3917</v>
      </c>
      <c r="CM28" s="115">
        <f t="shared" si="15"/>
        <v>8.2264</v>
      </c>
      <c r="CN28" s="117">
        <f t="array" ref="CN28">(('Fórmula'!C28)/('Fórmula'!C28+'Fórmula'!E28+'Fórmula'!G28+'Fórmula'!I28+'Fórmula'!K28))*(INDEX(properties!A$1:CB$87,'Fórmula'!B28,30))+(('Fórmula'!E28)/('Fórmula'!C28+'Fórmula'!E28+'Fórmula'!G28+'Fórmula'!I28+'Fórmula'!K28))*(INDEX(properties!A$1:CB$87,'Fórmula'!D28,30))+(('Fórmula'!G28)/('Fórmula'!C28+'Fórmula'!E28+'Fórmula'!G28+'Fórmula'!I28+'Fórmula'!K28))*(INDEX(properties!A$1:CB$87,'Fórmula'!F28,30))+(('Fórmula'!I28)/('Fórmula'!C28+'Fórmula'!E28+'Fórmula'!G28+'Fórmula'!I28+'Fórmula'!K28))*(INDEX(properties!A$1:CB$87,'Fórmula'!H28,30))+(('Fórmula'!K28)/('Fórmula'!C28+'Fórmula'!E28+'Fórmula'!G28+'Fórmula'!I28+'Fórmula'!K28))*(INDEX(properties!A$1:CB$87,'Fórmula'!J28,30))</f>
        <v>2.324210526</v>
      </c>
      <c r="CO28" s="117">
        <f t="array" ref="CO28">'Fórmula'!C28*(INDEX(properties!A$1:CB$87,'Fórmula'!B28,30))+'Fórmula'!E28*(INDEX(properties!A$1:CB$87,'Fórmula'!D28,30))+'Fórmula'!G28*(INDEX(properties!A$1:CB$87,'Fórmula'!F28,30))+'Fórmula'!I28*(INDEX(properties!A$1:CB$87,'Fórmula'!H28,30))+'Fórmula'!K28*(INDEX(properties!A$1:CB$87,'Fórmula'!J28,30))</f>
        <v>44.16</v>
      </c>
      <c r="CP28" s="117">
        <f t="array" ref="CP28">VARP(IF(INDEX(properties!A$1:CB$87,'Fórmula'!B28,30)&lt;&gt;"",INDEX(properties!A$1:CB$87,'Fórmula'!B28,30)),IF(INDEX(properties!A$1:CB$87,'Fórmula'!D28,30)&lt;&gt;"",INDEX(properties!A$1:CB$87,'Fórmula'!D28,30)),IF(INDEX(properties!A$1:CB$87,'Fórmula'!F28,30)&lt;&gt;"",INDEX(properties!A$1:CB$87,'Fórmula'!F28,30)),IF(INDEX(properties!A$1:CB$87,'Fórmula'!H28,30)&lt;&gt;"",INDEX(properties!A$1:CB$87,'Fórmula'!H28,30)),IF(INDEX(properties!A$1:CB$87,'Fórmula'!J28,30)&lt;&gt;"",INDEX(properties!A$1:CB$87,'Fórmula'!J28,30)))</f>
        <v>1.332096</v>
      </c>
      <c r="CQ28" s="117">
        <f t="array" ref="CQ28">MAX(INDEX(properties!A$1:CB$87,'Fórmula'!B28,30),INDEX(properties!A$1:CB$87,'Fórmula'!D28,30),INDEX(properties!A$1:CB$87,'Fórmula'!F28,30),INDEX(properties!A$1:CB$87,'Fórmula'!H28,30),INDEX(properties!A$1:CB$87,'Fórmula'!J28,30))</f>
        <v>3.44</v>
      </c>
      <c r="CR28" s="117">
        <f t="array" ref="CR28">MIN(IF(INDEX(properties!A$1:CB$87,'Fórmula'!B28,30)=0,10^6,INDEX(properties!A$1:CB$87,'Fórmula'!B28,30)),IF(INDEX(properties!A$1:CB$87,'Fórmula'!D28,30)=0,10^6,INDEX(properties!A$1:CB$87,'Fórmula'!D28,30)),IF(INDEX(properties!A$1:CB$87,'Fórmula'!F28,30)=0,10^6,INDEX(properties!A$1:CB$87,'Fórmula'!F28,30)),IF(INDEX(properties!A$1:CB$87,'Fórmula'!H28,30)=0,10^6,INDEX(properties!A$1:CB$87,'Fórmula'!H28,30)),IF(INDEX(properties!A$1:CB$87,'Fórmula'!J28,30)=0,10^6,INDEX(properties!A$1:CB$87,'Fórmula'!J28,30)))</f>
        <v>0.98</v>
      </c>
      <c r="CS28" s="117">
        <f t="shared" si="16"/>
        <v>2.46</v>
      </c>
      <c r="CT28" s="118">
        <f t="array" ref="CT28">(('Fórmula'!C28)/('Fórmula'!C28+'Fórmula'!E28+'Fórmula'!G28+'Fórmula'!I28+'Fórmula'!K28))*(INDEX(properties!A$1:CB$87,'Fórmula'!B28,31))+(('Fórmula'!E28)/('Fórmula'!C28+'Fórmula'!E28+'Fórmula'!G28+'Fórmula'!I28+'Fórmula'!K28))*(INDEX(properties!A$1:CB$87,'Fórmula'!D28,31))+(('Fórmula'!G28)/('Fórmula'!C28+'Fórmula'!E28+'Fórmula'!G28+'Fórmula'!I28+'Fórmula'!K28))*(INDEX(properties!A$1:CB$87,'Fórmula'!F28,31))+(('Fórmula'!I28)/('Fórmula'!C28+'Fórmula'!E28+'Fórmula'!G28+'Fórmula'!I28+'Fórmula'!K28))*(INDEX(properties!A$1:CB$87,'Fórmula'!H28,31))+(('Fórmula'!K28)/('Fórmula'!C28+'Fórmula'!E28+'Fórmula'!G28+'Fórmula'!I28+'Fórmula'!K28))*(INDEX(properties!A$1:CB$87,'Fórmula'!J28,31))</f>
        <v>2.214736842</v>
      </c>
      <c r="CU28" s="118">
        <f t="array" ref="CU28">'Fórmula'!C28*(INDEX(properties!A$1:CB$87,'Fórmula'!B28,31))+'Fórmula'!E28*(INDEX(properties!A$1:CB$87,'Fórmula'!D28,31))+'Fórmula'!G28*(INDEX(properties!A$1:CB$87,'Fórmula'!F28,31))+'Fórmula'!I28*(INDEX(properties!A$1:CB$87,'Fórmula'!H28,31))+'Fórmula'!K28*(INDEX(properties!A$1:CB$87,'Fórmula'!J28,31))</f>
        <v>42.08</v>
      </c>
      <c r="CV28" s="118">
        <f t="array" ref="CV28">VARP(IF(INDEX(properties!A$1:CB$87,'Fórmula'!B28,31)&lt;&gt;"",INDEX(properties!A$1:CB$87,'Fórmula'!B28,31)),IF(INDEX(properties!A$1:CB$87,'Fórmula'!D28,31)&lt;&gt;"",INDEX(properties!A$1:CB$87,'Fórmula'!D28,31)),IF(INDEX(properties!A$1:CB$87,'Fórmula'!F28,31)&lt;&gt;"",INDEX(properties!A$1:CB$87,'Fórmula'!F28,31)),IF(INDEX(properties!A$1:CB$87,'Fórmula'!H28,31)&lt;&gt;"",INDEX(properties!A$1:CB$87,'Fórmula'!H28,31)),IF(INDEX(properties!A$1:CB$87,'Fórmula'!J28,31)&lt;&gt;"",INDEX(properties!A$1:CB$87,'Fórmula'!J28,31)))</f>
        <v>1.245344</v>
      </c>
      <c r="CW28" s="118">
        <f t="array" ref="CW28">MAX(INDEX(properties!A$1:CB$87,'Fórmula'!B28,31),INDEX(properties!A$1:CB$87,'Fórmula'!D28,31),INDEX(properties!A$1:CB$87,'Fórmula'!F28,31),INDEX(properties!A$1:CB$87,'Fórmula'!H28,31),INDEX(properties!A$1:CB$87,'Fórmula'!J28,31))</f>
        <v>3.32</v>
      </c>
      <c r="CX28" s="118">
        <f t="array" ref="CX28">MIN(IF(INDEX(properties!A$1:CB$87,'Fórmula'!B28,31)=0,10^6,INDEX(properties!A$1:CB$87,'Fórmula'!B28,31)),IF(INDEX(properties!A$1:CB$87,'Fórmula'!D28,31)=0,10^6,INDEX(properties!A$1:CB$87,'Fórmula'!D28,31)),IF(INDEX(properties!A$1:CB$87,'Fórmula'!F28,31)=0,10^6,INDEX(properties!A$1:CB$87,'Fórmula'!F28,31)),IF(INDEX(properties!A$1:CB$87,'Fórmula'!H28,31)=0,10^6,INDEX(properties!A$1:CB$87,'Fórmula'!H28,31)),IF(INDEX(properties!A$1:CB$87,'Fórmula'!J28,31)=0,10^6,INDEX(properties!A$1:CB$87,'Fórmula'!J28,31)))</f>
        <v>0.9</v>
      </c>
      <c r="CY28" s="118">
        <f t="shared" si="17"/>
        <v>2.42</v>
      </c>
      <c r="CZ28" s="119">
        <f t="array" ref="CZ28">(('Fórmula'!C28)/('Fórmula'!C28+'Fórmula'!E28+'Fórmula'!G28+'Fórmula'!I28+'Fórmula'!K28))*(INDEX(properties!A$1:CB$87,'Fórmula'!B28,32))+(('Fórmula'!E28)/('Fórmula'!C28+'Fórmula'!E28+'Fórmula'!G28+'Fórmula'!I28+'Fórmula'!K28))*(INDEX(properties!A$1:CB$87,'Fórmula'!D28,32))+(('Fórmula'!G28)/('Fórmula'!C28+'Fórmula'!E28+'Fórmula'!G28+'Fórmula'!I28+'Fórmula'!K28))*(INDEX(properties!A$1:CB$87,'Fórmula'!F28,32))+(('Fórmula'!I28)/('Fórmula'!C28+'Fórmula'!E28+'Fórmula'!G28+'Fórmula'!I28+'Fórmula'!K28))*(INDEX(properties!A$1:CB$87,'Fórmula'!H28,32))+(('Fórmula'!K28)/('Fórmula'!C28+'Fórmula'!E28+'Fórmula'!G28+'Fórmula'!I28+'Fórmula'!K28))*(INDEX(properties!A$1:CB$87,'Fórmula'!J28,32))</f>
        <v>5.362631579</v>
      </c>
      <c r="DA28" s="119">
        <f t="array" ref="DA28">'Fórmula'!C28*(INDEX(properties!A$1:CB$87,'Fórmula'!B28,32))+'Fórmula'!E28*(INDEX(properties!A$1:CB$87,'Fórmula'!D28,32))+'Fórmula'!G28*(INDEX(properties!A$1:CB$87,'Fórmula'!F28,32))+'Fórmula'!I28*(INDEX(properties!A$1:CB$87,'Fórmula'!H28,32))+'Fórmula'!K28*(INDEX(properties!A$1:CB$87,'Fórmula'!J28,32))</f>
        <v>101.89</v>
      </c>
      <c r="DB28" s="119">
        <f t="array" ref="DB28">VARP(IF(INDEX(properties!A$1:CB$87,'Fórmula'!B28,32)&lt;&gt;"",INDEX(properties!A$1:CB$87,'Fórmula'!B28,32)),IF(INDEX(properties!A$1:CB$87,'Fórmula'!D28,32)&lt;&gt;"",INDEX(properties!A$1:CB$87,'Fórmula'!D28,32)),IF(INDEX(properties!A$1:CB$87,'Fórmula'!F28,32)&lt;&gt;"",INDEX(properties!A$1:CB$87,'Fórmula'!F28,32)),IF(INDEX(properties!A$1:CB$87,'Fórmula'!H28,32)&lt;&gt;"",INDEX(properties!A$1:CB$87,'Fórmula'!H28,32)),IF(INDEX(properties!A$1:CB$87,'Fórmula'!J28,32)&lt;&gt;"",INDEX(properties!A$1:CB$87,'Fórmula'!J28,32)))</f>
        <v>5.911416</v>
      </c>
      <c r="DC28" s="119">
        <f t="array" ref="DC28">MAX(INDEX(properties!A$1:CB$87,'Fórmula'!B28,32),INDEX(properties!A$1:CB$87,'Fórmula'!D28,32),INDEX(properties!A$1:CB$87,'Fórmula'!F28,32),INDEX(properties!A$1:CB$87,'Fórmula'!H28,32),INDEX(properties!A$1:CB$87,'Fórmula'!J28,32))</f>
        <v>7.54</v>
      </c>
      <c r="DD28" s="119">
        <f t="array" ref="DD28">MIN(IF(INDEX(properties!A$1:CB$87,'Fórmula'!B28,32)=0,10^6,INDEX(properties!A$1:CB$87,'Fórmula'!B28,32)),IF(INDEX(properties!A$1:CB$87,'Fórmula'!D28,32)=0,10^6,INDEX(properties!A$1:CB$87,'Fórmula'!D28,32)),IF(INDEX(properties!A$1:CB$87,'Fórmula'!F28,32)=0,10^6,INDEX(properties!A$1:CB$87,'Fórmula'!F28,32)),IF(INDEX(properties!A$1:CB$87,'Fórmula'!H28,32)=0,10^6,INDEX(properties!A$1:CB$87,'Fórmula'!H28,32)),IF(INDEX(properties!A$1:CB$87,'Fórmula'!J28,32)=0,10^6,INDEX(properties!A$1:CB$87,'Fórmula'!J28,32)))</f>
        <v>3.01</v>
      </c>
      <c r="DE28" s="119">
        <f t="shared" si="18"/>
        <v>4.53</v>
      </c>
      <c r="DF28" s="104">
        <f t="array" ref="DF28">(('Fórmula'!C28)/('Fórmula'!C28+'Fórmula'!E28+'Fórmula'!G28+'Fórmula'!I28+'Fórmula'!K28))*(INDEX(properties!A$1:CB$87,'Fórmula'!B28,34))+(('Fórmula'!E28)/('Fórmula'!C28+'Fórmula'!E28+'Fórmula'!G28+'Fórmula'!I28+'Fórmula'!K28))*(INDEX(properties!A$1:CB$87,'Fórmula'!D28,34))+(('Fórmula'!G28)/('Fórmula'!C28+'Fórmula'!E28+'Fórmula'!G28+'Fórmula'!I28+'Fórmula'!K28))*(INDEX(properties!A$1:CB$87,'Fórmula'!F28,34))+(('Fórmula'!I28)/('Fórmula'!C28+'Fórmula'!E28+'Fórmula'!G28+'Fórmula'!I28+'Fórmula'!K28))*(INDEX(properties!A$1:CB$87,'Fórmula'!H28,34))+(('Fórmula'!K28)/('Fórmula'!C28+'Fórmula'!E28+'Fórmula'!G28+'Fórmula'!I28+'Fórmula'!K28))*(INDEX(properties!A$1:CB$87,'Fórmula'!J28,34))</f>
        <v>2.379210526</v>
      </c>
      <c r="DG28" s="104">
        <f t="array" ref="DG28">'Fórmula'!C28*(INDEX(properties!A$1:CB$87,'Fórmula'!B28,34))+'Fórmula'!E28*(INDEX(properties!A$1:CB$87,'Fórmula'!D28,34))+'Fórmula'!G28*(INDEX(properties!A$1:CB$87,'Fórmula'!F28,34))+'Fórmula'!I28*(INDEX(properties!A$1:CB$87,'Fórmula'!H28,34))+'Fórmula'!K28*(INDEX(properties!A$1:CB$87,'Fórmula'!J28,34))</f>
        <v>45.205</v>
      </c>
      <c r="DH28" s="104">
        <f t="array" ref="DH28">VARP(IF(INDEX(properties!A$1:CB$87,'Fórmula'!B28,34)&lt;&gt;"",INDEX(properties!A$1:CB$87,'Fórmula'!B28,34)),IF(INDEX(properties!A$1:CB$87,'Fórmula'!D28,34)&lt;&gt;"",INDEX(properties!A$1:CB$87,'Fórmula'!D28,34)),IF(INDEX(properties!A$1:CB$87,'Fórmula'!F28,34)&lt;&gt;"",INDEX(properties!A$1:CB$87,'Fórmula'!F28,34)),IF(INDEX(properties!A$1:CB$87,'Fórmula'!H28,34)&lt;&gt;"",INDEX(properties!A$1:CB$87,'Fórmula'!H28,34)),IF(INDEX(properties!A$1:CB$87,'Fórmula'!J28,34)&lt;&gt;"",INDEX(properties!A$1:CB$87,'Fórmula'!J28,34)))</f>
        <v>1.50284624</v>
      </c>
      <c r="DI28" s="104">
        <f t="array" ref="DI28">MAX(INDEX(properties!A$1:CB$87,'Fórmula'!B28,34),INDEX(properties!A$1:CB$87,'Fórmula'!D28,34),INDEX(properties!A$1:CB$87,'Fórmula'!F28,34),INDEX(properties!A$1:CB$87,'Fórmula'!H28,34),INDEX(properties!A$1:CB$87,'Fórmula'!J28,34))</f>
        <v>3.61</v>
      </c>
      <c r="DJ28" s="104">
        <f t="array" ref="DJ28">MIN(IF(INDEX(properties!A$1:CB$87,'Fórmula'!B28,34)=0,10^6,INDEX(properties!A$1:CB$87,'Fórmula'!B28,34)),IF(INDEX(properties!A$1:CB$87,'Fórmula'!D28,34)=0,10^6,INDEX(properties!A$1:CB$87,'Fórmula'!D28,34)),IF(INDEX(properties!A$1:CB$87,'Fórmula'!F28,34)=0,10^6,INDEX(properties!A$1:CB$87,'Fórmula'!F28,34)),IF(INDEX(properties!A$1:CB$87,'Fórmula'!H28,34)=0,10^6,INDEX(properties!A$1:CB$87,'Fórmula'!H28,34)),IF(INDEX(properties!A$1:CB$87,'Fórmula'!J28,34)=0,10^6,INDEX(properties!A$1:CB$87,'Fórmula'!J28,34)))</f>
        <v>0.912</v>
      </c>
      <c r="DK28" s="104">
        <f t="shared" si="19"/>
        <v>2.698</v>
      </c>
      <c r="DL28" s="105" t="str">
        <f t="array" ref="DL28">(('Fórmula'!C28)/('Fórmula'!C28+'Fórmula'!E28+'Fórmula'!G28+'Fórmula'!I28+'Fórmula'!K28))*(INDEX(properties!A$1:CB$87,'Fórmula'!B28,37))+(('Fórmula'!E28)/('Fórmula'!C28+'Fórmula'!E28+'Fórmula'!G28+'Fórmula'!I28+'Fórmula'!K28))*(INDEX(properties!A$1:CB$87,'Fórmula'!D28,37))+(('Fórmula'!G28)/('Fórmula'!C28+'Fórmula'!E28+'Fórmula'!G28+'Fórmula'!I28+'Fórmula'!K28))*(INDEX(properties!A$1:CB$87,'Fórmula'!F28,37))+(('Fórmula'!I28)/('Fórmula'!C28+'Fórmula'!E28+'Fórmula'!G28+'Fórmula'!I28+'Fórmula'!K28))*(INDEX(properties!A$1:CB$87,'Fórmula'!H28,37))+(('Fórmula'!K28)/('Fórmula'!C28+'Fórmula'!E28+'Fórmula'!G28+'Fórmula'!I28+'Fórmula'!K28))*(INDEX(properties!A$1:CB$87,'Fórmula'!J28,37))</f>
        <v>#VALUE!</v>
      </c>
      <c r="DM28" s="105" t="str">
        <f t="array" ref="DM28">'Fórmula'!C28*(INDEX(properties!A$1:CB$87,'Fórmula'!B28,37))+'Fórmula'!E28*(INDEX(properties!A$1:CB$87,'Fórmula'!D28,37))+'Fórmula'!G28*(INDEX(properties!A$1:CB$87,'Fórmula'!F28,37))+'Fórmula'!I28*(INDEX(properties!A$1:CB$87,'Fórmula'!H28,37))+'Fórmula'!K28*(INDEX(properties!A$1:CB$87,'Fórmula'!J28,37))</f>
        <v>#VALUE!</v>
      </c>
      <c r="DN28" s="105">
        <f t="array" ref="DN28">VARP(IF(INDEX(properties!A$1:CB$87,'Fórmula'!B28,37)&lt;&gt;"",INDEX(properties!A$1:CB$87,'Fórmula'!B28,37)),IF(INDEX(properties!A$1:CB$87,'Fórmula'!D28,37)&lt;&gt;"",INDEX(properties!A$1:CB$87,'Fórmula'!D28,37)),IF(INDEX(properties!A$1:CB$87,'Fórmula'!F28,37)&lt;&gt;"",INDEX(properties!A$1:CB$87,'Fórmula'!F28,37)),IF(INDEX(properties!A$1:CB$87,'Fórmula'!H28,37)&lt;&gt;"",INDEX(properties!A$1:CB$87,'Fórmula'!H28,37)),IF(INDEX(properties!A$1:CB$87,'Fórmula'!J28,37)&lt;&gt;"",INDEX(properties!A$1:CB$87,'Fórmula'!J28,37)))</f>
        <v>1.623125</v>
      </c>
      <c r="DO28" s="105">
        <f t="array" ref="DO28">MAX(INDEX(properties!A$1:CB$87,'Fórmula'!B28,37),INDEX(properties!A$1:CB$87,'Fórmula'!D28,37),INDEX(properties!A$1:CB$87,'Fórmula'!F28,37),INDEX(properties!A$1:CB$87,'Fórmula'!H28,37),INDEX(properties!A$1:CB$87,'Fórmula'!J28,37))</f>
        <v>3.45</v>
      </c>
      <c r="DP28" s="105">
        <f t="array" ref="DP28">MIN(IF(INDEX(properties!A$1:CB$87,'Fórmula'!B28,37)=0,10^6,INDEX(properties!A$1:CB$87,'Fórmula'!B28,37)),IF(INDEX(properties!A$1:CB$87,'Fórmula'!D28,37)=0,10^6,INDEX(properties!A$1:CB$87,'Fórmula'!D28,37)),IF(INDEX(properties!A$1:CB$87,'Fórmula'!F28,37)=0,10^6,INDEX(properties!A$1:CB$87,'Fórmula'!F28,37)),IF(INDEX(properties!A$1:CB$87,'Fórmula'!H28,37)=0,10^6,INDEX(properties!A$1:CB$87,'Fórmula'!H28,37)),IF(INDEX(properties!A$1:CB$87,'Fórmula'!J28,37)=0,10^6,INDEX(properties!A$1:CB$87,'Fórmula'!J28,37)))</f>
        <v>0.95</v>
      </c>
      <c r="DQ28" s="105">
        <f t="shared" si="20"/>
        <v>2.5</v>
      </c>
      <c r="DR28" s="109">
        <f t="array" ref="DR28">(('Fórmula'!C28)/('Fórmula'!C28+'Fórmula'!E28+'Fórmula'!G28+'Fórmula'!I28+'Fórmula'!K28))*(INDEX(properties!A$1:CB$87,'Fórmula'!B28,39))+(('Fórmula'!E28)/('Fórmula'!C28+'Fórmula'!E28+'Fórmula'!G28+'Fórmula'!I28+'Fórmula'!K28))*(INDEX(properties!A$1:CB$87,'Fórmula'!D28,39))+(('Fórmula'!G28)/('Fórmula'!C28+'Fórmula'!E28+'Fórmula'!G28+'Fórmula'!I28+'Fórmula'!K28))*(INDEX(properties!A$1:CB$87,'Fórmula'!F28,39))+(('Fórmula'!I28)/('Fórmula'!C28+'Fórmula'!E28+'Fórmula'!G28+'Fórmula'!I28+'Fórmula'!K28))*(INDEX(properties!A$1:CB$87,'Fórmula'!H28,39))+(('Fórmula'!K28)/('Fórmula'!C28+'Fórmula'!E28+'Fórmula'!G28+'Fórmula'!I28+'Fórmula'!K28))*(INDEX(properties!A$1:CB$87,'Fórmula'!J28,39))</f>
        <v>1.014736842</v>
      </c>
      <c r="DS28" s="109">
        <f t="array" ref="DS28">'Fórmula'!C28*(INDEX(properties!A$1:CB$87,'Fórmula'!B28,39))+'Fórmula'!E28*(INDEX(properties!A$1:CB$87,'Fórmula'!D28,39))+'Fórmula'!G28*(INDEX(properties!A$1:CB$87,'Fórmula'!F28,39))+'Fórmula'!I28*(INDEX(properties!A$1:CB$87,'Fórmula'!H28,39))+'Fórmula'!K28*(INDEX(properties!A$1:CB$87,'Fórmula'!J28,39))</f>
        <v>19.28</v>
      </c>
      <c r="DT28" s="109">
        <f t="array" ref="DT28">VARP(IF(INDEX(properties!A$1:CB$87,'Fórmula'!B28,39)&lt;&gt;"",INDEX(properties!A$1:CB$87,'Fórmula'!B28,39)),IF(INDEX(properties!A$1:CB$87,'Fórmula'!D28,39)&lt;&gt;"",INDEX(properties!A$1:CB$87,'Fórmula'!D28,39)),IF(INDEX(properties!A$1:CB$87,'Fórmula'!F28,39)&lt;&gt;"",INDEX(properties!A$1:CB$87,'Fórmula'!F28,39)),IF(INDEX(properties!A$1:CB$87,'Fórmula'!H28,39)&lt;&gt;"",INDEX(properties!A$1:CB$87,'Fórmula'!H28,39)),IF(INDEX(properties!A$1:CB$87,'Fórmula'!J28,39)&lt;&gt;"",INDEX(properties!A$1:CB$87,'Fórmula'!J28,39)))</f>
        <v>0.69612</v>
      </c>
      <c r="DU28" s="120">
        <f t="array" ref="DU28">MAX(INDEX(properties!A$1:CB$87,'Fórmula'!B28,39),INDEX(properties!A$1:CB$87,'Fórmula'!D28,39),INDEX(properties!A$1:CB$87,'Fórmula'!F28,39),INDEX(properties!A$1:CB$87,'Fórmula'!H28,39),INDEX(properties!A$1:CB$87,'Fórmula'!J28,39))</f>
        <v>2.33</v>
      </c>
      <c r="DV28" s="120">
        <f t="array" ref="DV28">MIN(IF(INDEX(properties!A$1:CB$87,'Fórmula'!B28,39)=0,10^6,INDEX(properties!A$1:CB$87,'Fórmula'!B28,39)),IF(INDEX(properties!A$1:CB$87,'Fórmula'!D28,39)=0,10^6,INDEX(properties!A$1:CB$87,'Fórmula'!D28,39)),IF(INDEX(properties!A$1:CB$87,'Fórmula'!F28,39)=0,10^6,INDEX(properties!A$1:CB$87,'Fórmula'!F28,39)),IF(INDEX(properties!A$1:CB$87,'Fórmula'!H28,39)=0,10^6,INDEX(properties!A$1:CB$87,'Fórmula'!H28,39)),IF(INDEX(properties!A$1:CB$87,'Fórmula'!J28,39)=0,10^6,INDEX(properties!A$1:CB$87,'Fórmula'!J28,39)))</f>
        <v>0.48</v>
      </c>
      <c r="DW28" s="109">
        <f t="shared" si="21"/>
        <v>1.85</v>
      </c>
      <c r="DX28" s="110">
        <f t="array" ref="DX28">(('Fórmula'!C28)/('Fórmula'!C28+'Fórmula'!E28+'Fórmula'!G28+'Fórmula'!I28+'Fórmula'!K28))*(INDEX(properties!A$1:CB$87,'Fórmula'!B28,40))+(('Fórmula'!E28)/('Fórmula'!C28+'Fórmula'!E28+'Fórmula'!G28+'Fórmula'!I28+'Fórmula'!K28))*(INDEX(properties!A$1:CB$87,'Fórmula'!D28,40))+(('Fórmula'!G28)/('Fórmula'!C28+'Fórmula'!E28+'Fórmula'!G28+'Fórmula'!I28+'Fórmula'!K28))*(INDEX(properties!A$1:CB$87,'Fórmula'!F28,40))+(('Fórmula'!I28)/('Fórmula'!C28+'Fórmula'!E28+'Fórmula'!G28+'Fórmula'!I28+'Fórmula'!K28))*(INDEX(properties!A$1:CB$87,'Fórmula'!H28,40))+(('Fórmula'!K28)/('Fórmula'!C28+'Fórmula'!E28+'Fórmula'!G28+'Fórmula'!I28+'Fórmula'!K28))*(INDEX(properties!A$1:CB$87,'Fórmula'!J28,40))</f>
        <v>0.9831578947</v>
      </c>
      <c r="DY28" s="110">
        <f t="array" ref="DY28">'Fórmula'!C28*(INDEX(properties!A$1:CB$87,'Fórmula'!B28,40))+'Fórmula'!E28*(INDEX(properties!A$1:CB$87,'Fórmula'!D28,40))+'Fórmula'!G28*(INDEX(properties!A$1:CB$87,'Fórmula'!F28,40))+'Fórmula'!I28*(INDEX(properties!A$1:CB$87,'Fórmula'!H28,40))+'Fórmula'!K28*(INDEX(properties!A$1:CB$87,'Fórmula'!J28,40))</f>
        <v>18.68</v>
      </c>
      <c r="DZ28" s="110">
        <f t="array" ref="DZ28">VARP(IF(INDEX(properties!A$1:CB$87,'Fórmula'!B28,40)&lt;&gt;"",INDEX(properties!A$1:CB$87,'Fórmula'!B28,40)),IF(INDEX(properties!A$1:CB$87,'Fórmula'!D28,40)&lt;&gt;"",INDEX(properties!A$1:CB$87,'Fórmula'!D28,40)),IF(INDEX(properties!A$1:CB$87,'Fórmula'!F28,40)&lt;&gt;"",INDEX(properties!A$1:CB$87,'Fórmula'!F28,40)),IF(INDEX(properties!A$1:CB$87,'Fórmula'!H28,40)&lt;&gt;"",INDEX(properties!A$1:CB$87,'Fórmula'!H28,40)),IF(INDEX(properties!A$1:CB$87,'Fórmula'!J28,40)&lt;&gt;"",INDEX(properties!A$1:CB$87,'Fórmula'!J28,40)))</f>
        <v>0.3086</v>
      </c>
      <c r="EA28" s="121">
        <f t="array" ref="EA28">MAX(INDEX(properties!A$1:CB$87,'Fórmula'!B28,40),INDEX(properties!A$1:CB$87,'Fórmula'!D28,40),INDEX(properties!A$1:CB$87,'Fórmula'!F28,40),INDEX(properties!A$1:CB$87,'Fórmula'!H28,40),INDEX(properties!A$1:CB$87,'Fórmula'!J28,40))</f>
        <v>1.61</v>
      </c>
      <c r="EB28" s="121">
        <f t="array" ref="EB28">MIN(IF(INDEX(properties!A$1:CB$87,'Fórmula'!B28,40)=0,10^6,INDEX(properties!A$1:CB$87,'Fórmula'!B28,40)),IF(INDEX(properties!A$1:CB$87,'Fórmula'!D28,40)=0,10^6,INDEX(properties!A$1:CB$87,'Fórmula'!D28,40)),IF(INDEX(properties!A$1:CB$87,'Fórmula'!F28,40)=0,10^6,INDEX(properties!A$1:CB$87,'Fórmula'!F28,40)),IF(INDEX(properties!A$1:CB$87,'Fórmula'!H28,40)=0,10^6,INDEX(properties!A$1:CB$87,'Fórmula'!H28,40)),IF(INDEX(properties!A$1:CB$87,'Fórmula'!J28,40)=0,10^6,INDEX(properties!A$1:CB$87,'Fórmula'!J28,40)))</f>
        <v>0.73</v>
      </c>
      <c r="EC28" s="110">
        <f t="shared" si="22"/>
        <v>0.88</v>
      </c>
      <c r="ED28" s="111">
        <f t="array" ref="ED28">(('Fórmula'!C28)/('Fórmula'!C28+'Fórmula'!E28+'Fórmula'!G28+'Fórmula'!I28+'Fórmula'!K28))*(INDEX(properties!A$1:CB$87,'Fórmula'!B28,41))+(('Fórmula'!E28)/('Fórmula'!C28+'Fórmula'!E28+'Fórmula'!G28+'Fórmula'!I28+'Fórmula'!K28))*(INDEX(properties!A$1:CB$87,'Fórmula'!D28,41))+(('Fórmula'!G28)/('Fórmula'!C28+'Fórmula'!E28+'Fórmula'!G28+'Fórmula'!I28+'Fórmula'!K28))*(INDEX(properties!A$1:CB$87,'Fórmula'!F28,41))+(('Fórmula'!I28)/('Fórmula'!C28+'Fórmula'!E28+'Fórmula'!G28+'Fórmula'!I28+'Fórmula'!K28))*(INDEX(properties!A$1:CB$87,'Fórmula'!H28,41))+(('Fórmula'!K28)/('Fórmula'!C28+'Fórmula'!E28+'Fórmula'!G28+'Fórmula'!I28+'Fórmula'!K28))*(INDEX(properties!A$1:CB$87,'Fórmula'!J28,41))</f>
        <v>1.002631579</v>
      </c>
      <c r="EE28" s="111">
        <f t="array" ref="EE28">'Fórmula'!C28*(INDEX(properties!A$1:CB$87,'Fórmula'!B28,41))+'Fórmula'!E28*(INDEX(properties!A$1:CB$87,'Fórmula'!D28,41))+'Fórmula'!G28*(INDEX(properties!A$1:CB$87,'Fórmula'!F28,41))+'Fórmula'!I28*(INDEX(properties!A$1:CB$87,'Fórmula'!H28,41))+'Fórmula'!K28*(INDEX(properties!A$1:CB$87,'Fórmula'!J28,41))</f>
        <v>19.05</v>
      </c>
      <c r="EF28" s="111">
        <f t="array" ref="EF28">VARP(IF(INDEX(properties!A$1:CB$87,'Fórmula'!B28,41)&lt;&gt;"",INDEX(properties!A$1:CB$87,'Fórmula'!B28,41)),IF(INDEX(properties!A$1:CB$87,'Fórmula'!D28,41)&lt;&gt;"",INDEX(properties!A$1:CB$87,'Fórmula'!D28,41)),IF(INDEX(properties!A$1:CB$87,'Fórmula'!F28,41)&lt;&gt;"",INDEX(properties!A$1:CB$87,'Fórmula'!F28,41)),IF(INDEX(properties!A$1:CB$87,'Fórmula'!H28,41)&lt;&gt;"",INDEX(properties!A$1:CB$87,'Fórmula'!H28,41)),IF(INDEX(properties!A$1:CB$87,'Fórmula'!J28,41)&lt;&gt;"",INDEX(properties!A$1:CB$87,'Fórmula'!J28,41)))</f>
        <v>0.21352</v>
      </c>
      <c r="EG28" s="122">
        <f t="array" ref="EG28">MAX(INDEX(properties!A$1:CB$87,'Fórmula'!B28,41),INDEX(properties!A$1:CB$87,'Fórmula'!D28,41),INDEX(properties!A$1:CB$87,'Fórmula'!F28,41),INDEX(properties!A$1:CB$87,'Fórmula'!H28,41),INDEX(properties!A$1:CB$87,'Fórmula'!J28,41))</f>
        <v>1.26</v>
      </c>
      <c r="EH28" s="122">
        <f t="array" ref="EH28">MIN(IF(INDEX(properties!A$1:CB$87,'Fórmula'!B28,41)=0,10^6,INDEX(properties!A$1:CB$87,'Fórmula'!B28,41)),IF(INDEX(properties!A$1:CB$87,'Fórmula'!D28,41)=0,10^6,INDEX(properties!A$1:CB$87,'Fórmula'!D28,41)),IF(INDEX(properties!A$1:CB$87,'Fórmula'!F28,41)=0,10^6,INDEX(properties!A$1:CB$87,'Fórmula'!F28,41)),IF(INDEX(properties!A$1:CB$87,'Fórmula'!H28,41)=0,10^6,INDEX(properties!A$1:CB$87,'Fórmula'!H28,41)),IF(INDEX(properties!A$1:CB$87,'Fórmula'!J28,41)=0,10^6,INDEX(properties!A$1:CB$87,'Fórmula'!J28,41)))</f>
        <v>0.41</v>
      </c>
      <c r="EI28" s="111">
        <f t="shared" si="23"/>
        <v>0.85</v>
      </c>
      <c r="EJ28" s="112">
        <f t="array" ref="EJ28">(('Fórmula'!C28)/('Fórmula'!C28+'Fórmula'!E28+'Fórmula'!G28+'Fórmula'!I28+'Fórmula'!K28))*(INDEX(properties!A$1:CB$87,'Fórmula'!B28,45))+(('Fórmula'!E28)/('Fórmula'!C28+'Fórmula'!E28+'Fórmula'!G28+'Fórmula'!I28+'Fórmula'!K28))*(INDEX(properties!A$1:CB$87,'Fórmula'!D28,45))+(('Fórmula'!G28)/('Fórmula'!C28+'Fórmula'!E28+'Fórmula'!G28+'Fórmula'!I28+'Fórmula'!K28))*(INDEX(properties!A$1:CB$87,'Fórmula'!F28,45))+(('Fórmula'!I28)/('Fórmula'!C28+'Fórmula'!E28+'Fórmula'!G28+'Fórmula'!I28+'Fórmula'!K28))*(INDEX(properties!A$1:CB$87,'Fórmula'!H28,45))+(('Fórmula'!K28)/('Fórmula'!C28+'Fórmula'!E28+'Fórmula'!G28+'Fórmula'!I28+'Fórmula'!K28))*(INDEX(properties!A$1:CB$87,'Fórmula'!J28,45))</f>
        <v>1.063157895</v>
      </c>
      <c r="EK28" s="112">
        <f t="array" ref="EK28">'Fórmula'!C28*(INDEX(properties!A$1:CB$87,'Fórmula'!B28,45))+'Fórmula'!E28*(INDEX(properties!A$1:CB$87,'Fórmula'!D28,45))+'Fórmula'!G28*(INDEX(properties!A$1:CB$87,'Fórmula'!F28,45))+'Fórmula'!I28*(INDEX(properties!A$1:CB$87,'Fórmula'!H28,45))+'Fórmula'!K28*(INDEX(properties!A$1:CB$87,'Fórmula'!J28,45))</f>
        <v>20.2</v>
      </c>
      <c r="EL28" s="112">
        <f t="array" ref="EL28">VARP(IF(INDEX(properties!A$1:CB$87,'Fórmula'!B28,45)&lt;&gt;"",INDEX(properties!A$1:CB$87,'Fórmula'!B28,45)),IF(INDEX(properties!A$1:CB$87,'Fórmula'!D28,45)&lt;&gt;"",INDEX(properties!A$1:CB$87,'Fórmula'!D28,45)),IF(INDEX(properties!A$1:CB$87,'Fórmula'!F28,45)&lt;&gt;"",INDEX(properties!A$1:CB$87,'Fórmula'!F28,45)),IF(INDEX(properties!A$1:CB$87,'Fórmula'!H28,45)&lt;&gt;"",INDEX(properties!A$1:CB$87,'Fórmula'!H28,45)),IF(INDEX(properties!A$1:CB$87,'Fórmula'!J28,45)&lt;&gt;"",INDEX(properties!A$1:CB$87,'Fórmula'!J28,45)))</f>
        <v>1.904056</v>
      </c>
      <c r="EM28" s="123">
        <f t="array" ref="EM28">MAX(INDEX(properties!A$1:CB$87,'Fórmula'!B28,45),INDEX(properties!A$1:CB$87,'Fórmula'!D28,45),INDEX(properties!A$1:CB$87,'Fórmula'!F28,45),INDEX(properties!A$1:CB$87,'Fórmula'!H28,45),INDEX(properties!A$1:CB$87,'Fórmula'!J28,45))</f>
        <v>3.91</v>
      </c>
      <c r="EN28" s="123">
        <f t="array" ref="EN28">MIN(IF(INDEX(properties!A$1:CB$87,'Fórmula'!B28,45)=0,10^6,INDEX(properties!A$1:CB$87,'Fórmula'!B28,45)),IF(INDEX(properties!A$1:CB$87,'Fórmula'!D28,45)=0,10^6,INDEX(properties!A$1:CB$87,'Fórmula'!D28,45)),IF(INDEX(properties!A$1:CB$87,'Fórmula'!F28,45)=0,10^6,INDEX(properties!A$1:CB$87,'Fórmula'!F28,45)),IF(INDEX(properties!A$1:CB$87,'Fórmula'!H28,45)=0,10^6,INDEX(properties!A$1:CB$87,'Fórmula'!H28,45)),IF(INDEX(properties!A$1:CB$87,'Fórmula'!J28,45)=0,10^6,INDEX(properties!A$1:CB$87,'Fórmula'!J28,45)))</f>
        <v>0.47</v>
      </c>
      <c r="EO28" s="112">
        <f t="shared" si="24"/>
        <v>3.44</v>
      </c>
      <c r="EP28" s="113">
        <f t="array" ref="EP28">(('Fórmula'!C28)/('Fórmula'!C28+'Fórmula'!E28+'Fórmula'!G28+'Fórmula'!I28+'Fórmula'!K28))*(INDEX(properties!A$1:CB$87,'Fórmula'!B28,46))+(('Fórmula'!E28)/('Fórmula'!C28+'Fórmula'!E28+'Fórmula'!G28+'Fórmula'!I28+'Fórmula'!K28))*(INDEX(properties!A$1:CB$87,'Fórmula'!D28,46))+(('Fórmula'!G28)/('Fórmula'!C28+'Fórmula'!E28+'Fórmula'!G28+'Fórmula'!I28+'Fórmula'!K28))*(INDEX(properties!A$1:CB$87,'Fórmula'!F28,46))+(('Fórmula'!I28)/('Fórmula'!C28+'Fórmula'!E28+'Fórmula'!G28+'Fórmula'!I28+'Fórmula'!K28))*(INDEX(properties!A$1:CB$87,'Fórmula'!H28,46))+(('Fórmula'!K28)/('Fórmula'!C28+'Fórmula'!E28+'Fórmula'!G28+'Fórmula'!I28+'Fórmula'!K28))*(INDEX(properties!A$1:CB$87,'Fórmula'!J28,46))</f>
        <v>0.9536842105</v>
      </c>
      <c r="EQ28" s="113">
        <f t="array" ref="EQ28">'Fórmula'!C28*(INDEX(properties!A$1:CB$87,'Fórmula'!B28,46))+'Fórmula'!E28*(INDEX(properties!A$1:CB$87,'Fórmula'!D28,46))+'Fórmula'!G28*(INDEX(properties!A$1:CB$87,'Fórmula'!F28,46))+'Fórmula'!I28*(INDEX(properties!A$1:CB$87,'Fórmula'!H28,46))+'Fórmula'!K28*(INDEX(properties!A$1:CB$87,'Fórmula'!J28,46))</f>
        <v>18.12</v>
      </c>
      <c r="ER28" s="113">
        <f t="array" ref="ER28">VARP(IF(INDEX(properties!A$1:CB$87,'Fórmula'!B28,46)&lt;&gt;"",INDEX(properties!A$1:CB$87,'Fórmula'!B28,46)),IF(INDEX(properties!A$1:CB$87,'Fórmula'!D28,46)&lt;&gt;"",INDEX(properties!A$1:CB$87,'Fórmula'!D28,46)),IF(INDEX(properties!A$1:CB$87,'Fórmula'!F28,46)&lt;&gt;"",INDEX(properties!A$1:CB$87,'Fórmula'!F28,46)),IF(INDEX(properties!A$1:CB$87,'Fórmula'!H28,46)&lt;&gt;"",INDEX(properties!A$1:CB$87,'Fórmula'!H28,46)),IF(INDEX(properties!A$1:CB$87,'Fórmula'!J28,46)&lt;&gt;"",INDEX(properties!A$1:CB$87,'Fórmula'!J28,46)))</f>
        <v>0.227256</v>
      </c>
      <c r="ES28" s="124">
        <f t="array" ref="ES28">MAX(INDEX(properties!A$1:CB$87,'Fórmula'!B28,46),INDEX(properties!A$1:CB$87,'Fórmula'!D28,46),INDEX(properties!A$1:CB$87,'Fórmula'!F28,46),INDEX(properties!A$1:CB$87,'Fórmula'!H28,46),INDEX(properties!A$1:CB$87,'Fórmula'!J28,46))</f>
        <v>1.21</v>
      </c>
      <c r="ET28" s="124">
        <f t="array" ref="ET28">MIN(IF(INDEX(properties!A$1:CB$87,'Fórmula'!B28,46)=0,10^6,INDEX(properties!A$1:CB$87,'Fórmula'!B28,46)),IF(INDEX(properties!A$1:CB$87,'Fórmula'!D28,46)=0,10^6,INDEX(properties!A$1:CB$87,'Fórmula'!D28,46)),IF(INDEX(properties!A$1:CB$87,'Fórmula'!F28,46)=0,10^6,INDEX(properties!A$1:CB$87,'Fórmula'!F28,46)),IF(INDEX(properties!A$1:CB$87,'Fórmula'!H28,46)=0,10^6,INDEX(properties!A$1:CB$87,'Fórmula'!H28,46)),IF(INDEX(properties!A$1:CB$87,'Fórmula'!J28,46)=0,10^6,INDEX(properties!A$1:CB$87,'Fórmula'!J28,46)))</f>
        <v>0.25</v>
      </c>
      <c r="EU28" s="113">
        <f t="shared" si="25"/>
        <v>0.96</v>
      </c>
      <c r="EV28" s="114">
        <f t="array" ref="EV28">(('Fórmula'!C28)/('Fórmula'!C28+'Fórmula'!E28+'Fórmula'!G28+'Fórmula'!I28+'Fórmula'!K28))*(INDEX(properties!A$1:CB$87,'Fórmula'!B28,52))+(('Fórmula'!E28)/('Fórmula'!C28+'Fórmula'!E28+'Fórmula'!G28+'Fórmula'!I28+'Fórmula'!K28))*(INDEX(properties!A$1:CB$87,'Fórmula'!D28,52))+(('Fórmula'!G28)/('Fórmula'!C28+'Fórmula'!E28+'Fórmula'!G28+'Fórmula'!I28+'Fórmula'!K28))*(INDEX(properties!A$1:CB$87,'Fórmula'!F28,52))+(('Fórmula'!I28)/('Fórmula'!C28+'Fórmula'!E28+'Fórmula'!G28+'Fórmula'!I28+'Fórmula'!K28))*(INDEX(properties!A$1:CB$87,'Fórmula'!H28,52))+(('Fórmula'!K28)/('Fórmula'!C28+'Fórmula'!E28+'Fórmula'!G28+'Fórmula'!I28+'Fórmula'!K28))*(INDEX(properties!A$1:CB$87,'Fórmula'!J28,52))</f>
        <v>9.759842105</v>
      </c>
      <c r="EW28" s="114">
        <f t="array" ref="EW28">'Fórmula'!C28*(INDEX(properties!A$1:CB$87,'Fórmula'!B28,52))+'Fórmula'!E28*(INDEX(properties!A$1:CB$87,'Fórmula'!D28,52))+'Fórmula'!G28*(INDEX(properties!A$1:CB$87,'Fórmula'!F28,52))+'Fórmula'!I28*(INDEX(properties!A$1:CB$87,'Fórmula'!H28,52))+'Fórmula'!K28*(INDEX(properties!A$1:CB$87,'Fórmula'!J28,52))</f>
        <v>185.437</v>
      </c>
      <c r="EX28" s="114">
        <f t="array" ref="EX28">VARP(IF(INDEX(properties!A$1:CB$87,'Fórmula'!B28,52)&lt;&gt;"",INDEX(properties!A$1:CB$87,'Fórmula'!B28,52)),IF(INDEX(properties!A$1:CB$87,'Fórmula'!D28,52)&lt;&gt;"",INDEX(properties!A$1:CB$87,'Fórmula'!D28,52)),IF(INDEX(properties!A$1:CB$87,'Fórmula'!F28,52)&lt;&gt;"",INDEX(properties!A$1:CB$87,'Fórmula'!F28,52)),IF(INDEX(properties!A$1:CB$87,'Fórmula'!H28,52)&lt;&gt;"",INDEX(properties!A$1:CB$87,'Fórmula'!H28,52)),IF(INDEX(properties!A$1:CB$87,'Fórmula'!J28,52)&lt;&gt;"",INDEX(properties!A$1:CB$87,'Fórmula'!J28,52)))</f>
        <v>124.0002638</v>
      </c>
      <c r="EY28" s="114">
        <f t="array" ref="EY28">MAX(INDEX(properties!A$1:CB$87,'Fórmula'!B28,52),INDEX(properties!A$1:CB$87,'Fórmula'!D28,52),INDEX(properties!A$1:CB$87,'Fórmula'!F28,52),INDEX(properties!A$1:CB$87,'Fórmula'!H28,52),INDEX(properties!A$1:CB$87,'Fórmula'!J28,52))</f>
        <v>24.3</v>
      </c>
      <c r="EZ28" s="114">
        <f t="array" ref="EZ28">MIN(IF(INDEX(properties!A$1:CB$87,'Fórmula'!B28,52)=0,10^6,INDEX(properties!A$1:CB$87,'Fórmula'!B28,52)),IF(INDEX(properties!A$1:CB$87,'Fórmula'!D28,52)=0,10^6,INDEX(properties!A$1:CB$87,'Fórmula'!D28,52)),IF(INDEX(properties!A$1:CB$87,'Fórmula'!F28,52)=0,10^6,INDEX(properties!A$1:CB$87,'Fórmula'!F28,52)),IF(INDEX(properties!A$1:CB$87,'Fórmula'!H28,52)=0,10^6,INDEX(properties!A$1:CB$87,'Fórmula'!H28,52)),IF(INDEX(properties!A$1:CB$87,'Fórmula'!J28,52)=0,10^6,INDEX(properties!A$1:CB$87,'Fórmula'!J28,52)))</f>
        <v>0.793</v>
      </c>
      <c r="FA28" s="114">
        <f t="shared" si="26"/>
        <v>23.507</v>
      </c>
      <c r="FB28" s="115">
        <f t="array" ref="FB28">(('Fórmula'!C28)/('Fórmula'!C28+'Fórmula'!E28+'Fórmula'!G28+'Fórmula'!I28+'Fórmula'!K28))*(INDEX(properties!A$1:CB$87,'Fórmula'!B28,53))+(('Fórmula'!E28)/('Fórmula'!C28+'Fórmula'!E28+'Fórmula'!G28+'Fórmula'!I28+'Fórmula'!K28))*(INDEX(properties!A$1:CB$87,'Fórmula'!D28,53))+(('Fórmula'!G28)/('Fórmula'!C28+'Fórmula'!E28+'Fórmula'!G28+'Fórmula'!I28+'Fórmula'!K28))*(INDEX(properties!A$1:CB$87,'Fórmula'!F28,53))+(('Fórmula'!I28)/('Fórmula'!C28+'Fórmula'!E28+'Fórmula'!G28+'Fórmula'!I28+'Fórmula'!K28))*(INDEX(properties!A$1:CB$87,'Fórmula'!H28,53))+(('Fórmula'!K28)/('Fórmula'!C28+'Fórmula'!E28+'Fórmula'!G28+'Fórmula'!I28+'Fórmula'!K28))*(INDEX(properties!A$1:CB$87,'Fórmula'!J28,53))</f>
        <v>624.0657895</v>
      </c>
      <c r="FC28" s="115">
        <f t="array" ref="FC28">'Fórmula'!C28*(INDEX(properties!A$1:CB$87,'Fórmula'!B28,53))+'Fórmula'!E28*(INDEX(properties!A$1:CB$87,'Fórmula'!D28,53))+'Fórmula'!G28*(INDEX(properties!A$1:CB$87,'Fórmula'!F28,53))+'Fórmula'!I28*(INDEX(properties!A$1:CB$87,'Fórmula'!H28,53))+'Fórmula'!K28*(INDEX(properties!A$1:CB$87,'Fórmula'!J28,53))</f>
        <v>11857.25</v>
      </c>
      <c r="FD28" s="115">
        <f t="array" ref="FD28">VARP(IF(INDEX(properties!A$1:CB$87,'Fórmula'!B28,53)&lt;&gt;"",INDEX(properties!A$1:CB$87,'Fórmula'!B28,53)),IF(INDEX(properties!A$1:CB$87,'Fórmula'!D28,53)&lt;&gt;"",INDEX(properties!A$1:CB$87,'Fórmula'!D28,53)),IF(INDEX(properties!A$1:CB$87,'Fórmula'!F28,53)&lt;&gt;"",INDEX(properties!A$1:CB$87,'Fórmula'!F28,53)),IF(INDEX(properties!A$1:CB$87,'Fórmula'!H28,53)&lt;&gt;"",INDEX(properties!A$1:CB$87,'Fórmula'!H28,53)),IF(INDEX(properties!A$1:CB$87,'Fórmula'!J28,53)&lt;&gt;"",INDEX(properties!A$1:CB$87,'Fórmula'!J28,53)))</f>
        <v>860529.8304</v>
      </c>
      <c r="FE28" s="115">
        <f t="array" ref="FE28">MAX(INDEX(properties!A$1:CB$87,'Fórmula'!B28,53),INDEX(properties!A$1:CB$87,'Fórmula'!D28,53),INDEX(properties!A$1:CB$87,'Fórmula'!F28,53),INDEX(properties!A$1:CB$87,'Fórmula'!H28,53),INDEX(properties!A$1:CB$87,'Fórmula'!J28,53))</f>
        <v>2352.15</v>
      </c>
      <c r="FF28" s="115">
        <f t="array" ref="FF28">MIN(IF(INDEX(properties!A$1:CB$87,'Fórmula'!B28,53)=0,10^6,INDEX(properties!A$1:CB$87,'Fórmula'!B28,53)),IF(INDEX(properties!A$1:CB$87,'Fórmula'!D28,53)=0,10^6,INDEX(properties!A$1:CB$87,'Fórmula'!D28,53)),IF(INDEX(properties!A$1:CB$87,'Fórmula'!F28,53)=0,10^6,INDEX(properties!A$1:CB$87,'Fórmula'!F28,53)),IF(INDEX(properties!A$1:CB$87,'Fórmula'!H28,53)=0,10^6,INDEX(properties!A$1:CB$87,'Fórmula'!H28,53)),IF(INDEX(properties!A$1:CB$87,'Fórmula'!J28,53)=0,10^6,INDEX(properties!A$1:CB$87,'Fórmula'!J28,53)))</f>
        <v>54.75</v>
      </c>
      <c r="FG28" s="115">
        <f t="shared" si="27"/>
        <v>2297.4</v>
      </c>
      <c r="FH28" s="117">
        <f t="array" ref="FH28">(('Fórmula'!C28)/('Fórmula'!C28+'Fórmula'!E28+'Fórmula'!G28+'Fórmula'!I28+'Fórmula'!K28))*(INDEX(properties!A$1:CB$87,'Fórmula'!B28,54))+(('Fórmula'!E28)/('Fórmula'!C28+'Fórmula'!E28+'Fórmula'!G28+'Fórmula'!I28+'Fórmula'!K28))*(INDEX(properties!A$1:CB$87,'Fórmula'!D28,54))+(('Fórmula'!G28)/('Fórmula'!C28+'Fórmula'!E28+'Fórmula'!G28+'Fórmula'!I28+'Fórmula'!K28))*(INDEX(properties!A$1:CB$87,'Fórmula'!F28,54))+(('Fórmula'!I28)/('Fórmula'!C28+'Fórmula'!E28+'Fórmula'!G28+'Fórmula'!I28+'Fórmula'!K28))*(INDEX(properties!A$1:CB$87,'Fórmula'!H28,54))+(('Fórmula'!K28)/('Fórmula'!C28+'Fórmula'!E28+'Fórmula'!G28+'Fórmula'!I28+'Fórmula'!K28))*(INDEX(properties!A$1:CB$87,'Fórmula'!J28,54))</f>
        <v>1414.389474</v>
      </c>
      <c r="FI28" s="117">
        <f t="array" ref="FI28">'Fórmula'!C28*(INDEX(properties!A$1:CB$87,'Fórmula'!B28,54))+'Fórmula'!E28*(INDEX(properties!A$1:CB$87,'Fórmula'!D28,54))+'Fórmula'!G28*(INDEX(properties!A$1:CB$87,'Fórmula'!F28,54))+'Fórmula'!I28*(INDEX(properties!A$1:CB$87,'Fórmula'!H28,54))+'Fórmula'!K28*(INDEX(properties!A$1:CB$87,'Fórmula'!J28,54))</f>
        <v>26873.4</v>
      </c>
      <c r="FJ28" s="117">
        <f t="array" ref="FJ28">VARP(IF(INDEX(properties!A$1:CB$87,'Fórmula'!B28,54)&lt;&gt;"",INDEX(properties!A$1:CB$87,'Fórmula'!B28,54)),IF(INDEX(properties!A$1:CB$87,'Fórmula'!D28,54)&lt;&gt;"",INDEX(properties!A$1:CB$87,'Fórmula'!D28,54)),IF(INDEX(properties!A$1:CB$87,'Fórmula'!F28,54)&lt;&gt;"",INDEX(properties!A$1:CB$87,'Fórmula'!F28,54)),IF(INDEX(properties!A$1:CB$87,'Fórmula'!H28,54)&lt;&gt;"",INDEX(properties!A$1:CB$87,'Fórmula'!H28,54)),IF(INDEX(properties!A$1:CB$87,'Fórmula'!J28,54)&lt;&gt;"",INDEX(properties!A$1:CB$87,'Fórmula'!J28,54)))</f>
        <v>3063398.289</v>
      </c>
      <c r="FK28" s="117">
        <f t="array" ref="FK28">MAX(INDEX(properties!A$1:CB$87,'Fórmula'!B28,54),INDEX(properties!A$1:CB$87,'Fórmula'!D28,54),INDEX(properties!A$1:CB$87,'Fórmula'!F28,54),INDEX(properties!A$1:CB$87,'Fórmula'!H28,54),INDEX(properties!A$1:CB$87,'Fórmula'!J28,54))</f>
        <v>4275</v>
      </c>
      <c r="FL28" s="117">
        <f t="array" ref="FL28">MIN(IF(INDEX(properties!A$1:CB$87,'Fórmula'!B28,54)=0,10^6,INDEX(properties!A$1:CB$87,'Fórmula'!B28,54)),IF(INDEX(properties!A$1:CB$87,'Fórmula'!D28,54)=0,10^6,INDEX(properties!A$1:CB$87,'Fórmula'!D28,54)),IF(INDEX(properties!A$1:CB$87,'Fórmula'!F28,54)=0,10^6,INDEX(properties!A$1:CB$87,'Fórmula'!F28,54)),IF(INDEX(properties!A$1:CB$87,'Fórmula'!H28,54)=0,10^6,INDEX(properties!A$1:CB$87,'Fórmula'!H28,54)),IF(INDEX(properties!A$1:CB$87,'Fórmula'!J28,54)=0,10^6,INDEX(properties!A$1:CB$87,'Fórmula'!J28,54)))</f>
        <v>90.15</v>
      </c>
      <c r="FM28" s="117">
        <f t="shared" si="28"/>
        <v>4184.85</v>
      </c>
      <c r="FN28" s="118">
        <f t="array" ref="FN28">(('Fórmula'!C28)/('Fórmula'!C28+'Fórmula'!E28+'Fórmula'!G28+'Fórmula'!I28+'Fórmula'!K28))*(INDEX(properties!A$1:CB$87,'Fórmula'!B28,55))+(('Fórmula'!E28)/('Fórmula'!C28+'Fórmula'!E28+'Fórmula'!G28+'Fórmula'!I28+'Fórmula'!K28))*(INDEX(properties!A$1:CB$87,'Fórmula'!D28,55))+(('Fórmula'!G28)/('Fórmula'!C28+'Fórmula'!E28+'Fórmula'!G28+'Fórmula'!I28+'Fórmula'!K28))*(INDEX(properties!A$1:CB$87,'Fórmula'!F28,55))+(('Fórmula'!I28)/('Fórmula'!C28+'Fórmula'!E28+'Fórmula'!G28+'Fórmula'!I28+'Fórmula'!K28))*(INDEX(properties!A$1:CB$87,'Fórmula'!H28,55))+(('Fórmula'!K28)/('Fórmula'!C28+'Fórmula'!E28+'Fórmula'!G28+'Fórmula'!I28+'Fórmula'!K28))*(INDEX(properties!A$1:CB$87,'Fórmula'!J28,55))</f>
        <v>0.9548878947</v>
      </c>
      <c r="FO28" s="118">
        <f t="array" ref="FO28">'Fórmula'!C28*(INDEX(properties!A$1:CB$87,'Fórmula'!B28,55))+'Fórmula'!E28*(INDEX(properties!A$1:CB$87,'Fórmula'!D28,54))+'Fórmula'!G28*(INDEX(properties!A$1:CB$87,'Fórmula'!F28,55))+'Fórmula'!I28*(INDEX(properties!A$1:CB$87,'Fórmula'!H28,55))+'Fórmula'!K28*(INDEX(properties!A$1:CB$87,'Fórmula'!J28,55))</f>
        <v>3556.39287</v>
      </c>
      <c r="FP28" s="118">
        <f t="array" ref="FP28">VARP(IF(INDEX(properties!A$1:CB$87,'Fórmula'!B28,55)&lt;&gt;"",INDEX(properties!A$1:CB$87,'Fórmula'!B28,55)),IF(INDEX(properties!A$1:CB$87,'Fórmula'!D28,55)&lt;&gt;"",INDEX(properties!A$1:CB$87,'Fórmula'!D28,55)),IF(INDEX(properties!A$1:CB$87,'Fórmula'!F28,55)&lt;&gt;"",INDEX(properties!A$1:CB$87,'Fórmula'!F28,55)),IF(INDEX(properties!A$1:CB$87,'Fórmula'!H28,55)&lt;&gt;"",INDEX(properties!A$1:CB$87,'Fórmula'!H28,55)),IF(INDEX(properties!A$1:CB$87,'Fórmula'!J28,55)&lt;&gt;"",INDEX(properties!A$1:CB$87,'Fórmula'!J28,55)))</f>
        <v>8.989107667</v>
      </c>
      <c r="FQ28" s="118">
        <f t="array" ref="FQ28">MAX(INDEX(properties!A$1:CB$87,'Fórmula'!B28,55),INDEX(properties!A$1:CB$87,'Fórmula'!D28,55),INDEX(properties!A$1:CB$87,'Fórmula'!F28,55),INDEX(properties!A$1:CB$87,'Fórmula'!H28,55),INDEX(properties!A$1:CB$87,'Fórmula'!J28,55))</f>
        <v>7.9</v>
      </c>
      <c r="FR28" s="118">
        <f t="array" ref="FR28">MIN(IF(INDEX(properties!A$1:CB$87,'Fórmula'!B28,55)=0,10^6,INDEX(properties!A$1:CB$87,'Fórmula'!B28,55)),IF(INDEX(properties!A$1:CB$87,'Fórmula'!D28,55)=0,10^6,INDEX(properties!A$1:CB$87,'Fórmula'!D28,55)),IF(INDEX(properties!A$1:CB$87,'Fórmula'!F28,55)=0,10^6,INDEX(properties!A$1:CB$87,'Fórmula'!F28,55)),IF(INDEX(properties!A$1:CB$87,'Fórmula'!H28,55)=0,10^6,INDEX(properties!A$1:CB$87,'Fórmula'!H28,55)),IF(INDEX(properties!A$1:CB$87,'Fórmula'!J28,55)=0,10^6,INDEX(properties!A$1:CB$87,'Fórmula'!J28,55)))</f>
        <v>0.00143</v>
      </c>
      <c r="FS28" s="118">
        <f t="shared" si="29"/>
        <v>7.89857</v>
      </c>
      <c r="FT28" s="119">
        <f t="array" ref="FT28">(('Fórmula'!C28)/('Fórmula'!C28+'Fórmula'!E28+'Fórmula'!G28+'Fórmula'!I28+'Fórmula'!K28))*(INDEX(properties!A$1:CB$87,'Fórmula'!B28,56))+(('Fórmula'!E28)/('Fórmula'!C28+'Fórmula'!E28+'Fórmula'!G28+'Fórmula'!I28+'Fórmula'!K28))*(INDEX(properties!A$1:CB$87,'Fórmula'!D28,56))+(('Fórmula'!G28)/('Fórmula'!C28+'Fórmula'!E28+'Fórmula'!G28+'Fórmula'!I28+'Fórmula'!K28))*(INDEX(properties!A$1:CB$87,'Fórmula'!F28,56))+(('Fórmula'!I28)/('Fórmula'!C28+'Fórmula'!E28+'Fórmula'!G28+'Fórmula'!I28+'Fórmula'!K28))*(INDEX(properties!A$1:CB$87,'Fórmula'!H28,56))+(('Fórmula'!K28)/('Fórmula'!C28+'Fórmula'!E28+'Fórmula'!G28+'Fórmula'!I28+'Fórmula'!K28))*(INDEX(properties!A$1:CB$87,'Fórmula'!J28,56))</f>
        <v>1.745789474</v>
      </c>
      <c r="FU28" s="119">
        <f t="array" ref="FU28">'Fórmula'!C28*(INDEX(properties!A$1:CB$87,'Fórmula'!B28,56))+'Fórmula'!E28*(INDEX(properties!A$1:CB$87,'Fórmula'!D28,56))+'Fórmula'!G28*(INDEX(properties!A$1:CB$87,'Fórmula'!F28,56))+'Fórmula'!I28*(INDEX(properties!A$1:CB$87,'Fórmula'!H28,56))+'Fórmula'!K28*(INDEX(properties!A$1:CB$87,'Fórmula'!J28,56))</f>
        <v>33.17</v>
      </c>
      <c r="FV28" s="119">
        <f t="array" ref="FV28">VARP(IF(INDEX(properties!A$1:CB$87,'Fórmula'!B28,56)&lt;&gt;"",INDEX(properties!A$1:CB$87,'Fórmula'!B28,56)),IF(INDEX(properties!A$1:CB$87,'Fórmula'!D28,56)&lt;&gt;"",INDEX(properties!A$1:CB$87,'Fórmula'!D28,56)),IF(INDEX(properties!A$1:CB$87,'Fórmula'!F28,56)&lt;&gt;"",INDEX(properties!A$1:CB$87,'Fórmula'!F28,56)),IF(INDEX(properties!A$1:CB$87,'Fórmula'!H28,56)&lt;&gt;"",INDEX(properties!A$1:CB$87,'Fórmula'!H28,56)),IF(INDEX(properties!A$1:CB$87,'Fórmula'!J28,56)&lt;&gt;"",INDEX(properties!A$1:CB$87,'Fórmula'!J28,56)))</f>
        <v>1.648224</v>
      </c>
      <c r="FW28" s="119">
        <f t="array" ref="FW28">MAX(INDEX(properties!A$1:CB$87,'Fórmula'!B28,56),INDEX(properties!A$1:CB$87,'Fórmula'!D28,56),INDEX(properties!A$1:CB$87,'Fórmula'!F28,56),INDEX(properties!A$1:CB$87,'Fórmula'!H28,56),INDEX(properties!A$1:CB$87,'Fórmula'!J28,56))</f>
        <v>3.6</v>
      </c>
      <c r="FX28" s="119">
        <f t="array" ref="FX28">MIN(IF(INDEX(properties!A$1:CB$87,'Fórmula'!B28,56)=0,10^6,INDEX(properties!A$1:CB$87,'Fórmula'!B28,56)),IF(INDEX(properties!A$1:CB$87,'Fórmula'!D28,56)=0,10^6,INDEX(properties!A$1:CB$87,'Fórmula'!D28,56)),IF(INDEX(properties!A$1:CB$87,'Fórmula'!F28,56)=0,10^6,INDEX(properties!A$1:CB$87,'Fórmula'!F28,56)),IF(INDEX(properties!A$1:CB$87,'Fórmula'!H28,56)=0,10^6,INDEX(properties!A$1:CB$87,'Fórmula'!H28,56)),IF(INDEX(properties!A$1:CB$87,'Fórmula'!J28,56)=0,10^6,INDEX(properties!A$1:CB$87,'Fórmula'!J28,56)))</f>
        <v>0.23</v>
      </c>
      <c r="FY28" s="119">
        <f t="shared" si="30"/>
        <v>3.37</v>
      </c>
      <c r="FZ28" s="104">
        <f t="array" ref="FZ28">(('Fórmula'!C28)/('Fórmula'!C28+'Fórmula'!E28+'Fórmula'!G28+'Fórmula'!I28+'Fórmula'!K28))*(INDEX(properties!A$1:CB$87,'Fórmula'!B28,57))+(('Fórmula'!E28)/('Fórmula'!C28+'Fórmula'!E28+'Fórmula'!G28+'Fórmula'!I28+'Fórmula'!K28))*(INDEX(properties!A$1:CB$87,'Fórmula'!D28,57))+(('Fórmula'!G28)/('Fórmula'!C28+'Fórmula'!E28+'Fórmula'!G28+'Fórmula'!I28+'Fórmula'!K28))*(INDEX(properties!A$1:CB$87,'Fórmula'!F28,57))+(('Fórmula'!I28)/('Fórmula'!C28+'Fórmula'!E28+'Fórmula'!G28+'Fórmula'!I28+'Fórmula'!K28))*(INDEX(properties!A$1:CB$87,'Fórmula'!H28,57))+(('Fórmula'!K28)/('Fórmula'!C28+'Fórmula'!E28+'Fórmula'!G28+'Fórmula'!I28+'Fórmula'!K28))*(INDEX(properties!A$1:CB$87,'Fórmula'!J28,57))</f>
        <v>9.508068947</v>
      </c>
      <c r="GA28" s="104">
        <f t="array" ref="GA28">'Fórmula'!C28*(INDEX(properties!A$1:CB$87,'Fórmula'!B28,57))+'Fórmula'!E28*(INDEX(properties!A$1:CB$87,'Fórmula'!D28,57))+'Fórmula'!G28*(INDEX(properties!A$1:CB$87,'Fórmula'!F28,57))+'Fórmula'!I28*(INDEX(properties!A$1:CB$87,'Fórmula'!H28,57))+'Fórmula'!K28*(INDEX(properties!A$1:CB$87,'Fórmula'!J28,57))</f>
        <v>180.65331</v>
      </c>
      <c r="GB28" s="104">
        <f t="array" ref="GB28">VARP(IF(INDEX(properties!A$1:CB$87,'Fórmula'!B28,57)&lt;&gt;"",INDEX(properties!A$1:CB$87,'Fórmula'!B28,57)),IF(INDEX(properties!A$1:CB$87,'Fórmula'!D28,57)&lt;&gt;"",INDEX(properties!A$1:CB$87,'Fórmula'!D28,57)),IF(INDEX(properties!A$1:CB$87,'Fórmula'!F28,57)&lt;&gt;"",INDEX(properties!A$1:CB$87,'Fórmula'!F28,57)),IF(INDEX(properties!A$1:CB$87,'Fórmula'!H28,57)&lt;&gt;"",INDEX(properties!A$1:CB$87,'Fórmula'!H28,57)),IF(INDEX(properties!A$1:CB$87,'Fórmula'!J28,57)&lt;&gt;"",INDEX(properties!A$1:CB$87,'Fórmula'!J28,57)))</f>
        <v>364.867622</v>
      </c>
      <c r="GC28" s="104">
        <f t="array" ref="GC28">MAX(INDEX(properties!A$1:CB$87,'Fórmula'!B28,57),INDEX(properties!A$1:CB$87,'Fórmula'!D28,57),INDEX(properties!A$1:CB$87,'Fórmula'!F28,57),INDEX(properties!A$1:CB$87,'Fórmula'!H28,57),INDEX(properties!A$1:CB$87,'Fórmula'!J28,57))</f>
        <v>50.2</v>
      </c>
      <c r="GD28" s="104">
        <f t="array" ref="GD28">MIN(IF(INDEX(properties!A$1:CB$87,'Fórmula'!B28,57)=0,10^6,INDEX(properties!A$1:CB$87,'Fórmula'!B28,57)),IF(INDEX(properties!A$1:CB$87,'Fórmula'!D28,57)=0,10^6,INDEX(properties!A$1:CB$87,'Fórmula'!D28,57)),IF(INDEX(properties!A$1:CB$87,'Fórmula'!F28,57)=0,10^6,INDEX(properties!A$1:CB$87,'Fórmula'!F28,57)),IF(INDEX(properties!A$1:CB$87,'Fórmula'!H28,57)=0,10^6,INDEX(properties!A$1:CB$87,'Fórmula'!H28,57)),IF(INDEX(properties!A$1:CB$87,'Fórmula'!J28,57)=0,10^6,INDEX(properties!A$1:CB$87,'Fórmula'!J28,57)))</f>
        <v>0.22259</v>
      </c>
      <c r="GE28" s="104">
        <f t="shared" si="31"/>
        <v>49.97741</v>
      </c>
      <c r="GF28" s="105">
        <f t="array" ref="GF28">(('Fórmula'!C28)/('Fórmula'!C28+'Fórmula'!E28+'Fórmula'!G28+'Fórmula'!I28+'Fórmula'!K28))*(INDEX(properties!A$1:CB$87,'Fórmula'!B28,60))+(('Fórmula'!E28)/('Fórmula'!C28+'Fórmula'!E28+'Fórmula'!G28+'Fórmula'!I28+'Fórmula'!K28))*(INDEX(properties!A$1:CB$87,'Fórmula'!D28,60))+(('Fórmula'!G28)/('Fórmula'!C28+'Fórmula'!E28+'Fórmula'!G28+'Fórmula'!I28+'Fórmula'!K28))*(INDEX(properties!A$1:CB$87,'Fórmula'!F28,60))+(('Fórmula'!I28)/('Fórmula'!C28+'Fórmula'!E28+'Fórmula'!G28+'Fórmula'!I28+'Fórmula'!K28))*(INDEX(properties!A$1:CB$87,'Fórmula'!H28,60))+(('Fórmula'!K28)/('Fórmula'!C28+'Fórmula'!E28+'Fórmula'!G28+'Fórmula'!I28+'Fórmula'!K28))*(INDEX(properties!A$1:CB$87,'Fórmula'!J28,60))</f>
        <v>31.58108737</v>
      </c>
      <c r="GG28" s="105">
        <f t="array" ref="GG28">'Fórmula'!C28*(INDEX(properties!A$1:CB$87,'Fórmula'!B28,60))+'Fórmula'!E28*(INDEX(properties!A$1:CB$87,'Fórmula'!D28,60))+'Fórmula'!G28*(INDEX(properties!A$1:CB$87,'Fórmula'!F28,60))+'Fórmula'!I28*(INDEX(properties!A$1:CB$87,'Fórmula'!H28,60))+'Fórmula'!K28*(INDEX(properties!A$1:CB$87,'Fórmula'!J28,60))</f>
        <v>600.04066</v>
      </c>
      <c r="GH28" s="105">
        <f t="array" ref="GH28">VARP(IF(INDEX(properties!A$1:CB$87,'Fórmula'!B28,60)&lt;&gt;"",INDEX(properties!A$1:CB$87,'Fórmula'!B28,60)),IF(INDEX(properties!A$1:CB$87,'Fórmula'!D28,60)&lt;&gt;"",INDEX(properties!A$1:CB$87,'Fórmula'!D28,60)),IF(INDEX(properties!A$1:CB$87,'Fórmula'!F28,60)&lt;&gt;"",INDEX(properties!A$1:CB$87,'Fórmula'!F28,60)),IF(INDEX(properties!A$1:CB$87,'Fórmula'!H28,60)&lt;&gt;"",INDEX(properties!A$1:CB$87,'Fórmula'!H28,60)),IF(INDEX(properties!A$1:CB$87,'Fórmula'!J28,60)&lt;&gt;"",INDEX(properties!A$1:CB$87,'Fórmula'!J28,60)))</f>
        <v>1004.53689</v>
      </c>
      <c r="GI28" s="105">
        <f t="array" ref="GI28">MAX(INDEX(properties!A$1:CB$87,'Fórmula'!B28,60),INDEX(properties!A$1:CB$87,'Fórmula'!D28,60),INDEX(properties!A$1:CB$87,'Fórmula'!F28,60),INDEX(properties!A$1:CB$87,'Fórmula'!H28,60),INDEX(properties!A$1:CB$87,'Fórmula'!J28,60))</f>
        <v>84.7</v>
      </c>
      <c r="GJ28" s="105">
        <f t="array" ref="GJ28">MIN(IF(INDEX(properties!A$1:CB$87,'Fórmula'!B28,60)=0,10^6,INDEX(properties!A$1:CB$87,'Fórmula'!B28,60)),IF(INDEX(properties!A$1:CB$87,'Fórmula'!D28,60)=0,10^6,INDEX(properties!A$1:CB$87,'Fórmula'!D28,60)),IF(INDEX(properties!A$1:CB$87,'Fórmula'!F28,60)=0,10^6,INDEX(properties!A$1:CB$87,'Fórmula'!F28,60)),IF(INDEX(properties!A$1:CB$87,'Fórmula'!H28,60)=0,10^6,INDEX(properties!A$1:CB$87,'Fórmula'!H28,60)),IF(INDEX(properties!A$1:CB$87,'Fórmula'!J28,60)=0,10^6,INDEX(properties!A$1:CB$87,'Fórmula'!J28,60)))</f>
        <v>0.02674</v>
      </c>
      <c r="GK28" s="105">
        <f t="shared" si="32"/>
        <v>84.67326</v>
      </c>
      <c r="GL28" s="106">
        <f t="array" ref="GL28">(('Fórmula'!C28)/('Fórmula'!C28+'Fórmula'!E28+'Fórmula'!G28+'Fórmula'!I28+'Fórmula'!K28))*(INDEX(properties!A$1:CB$87,'Fórmula'!B28,62))+(('Fórmula'!E28)/('Fórmula'!C28+'Fórmula'!E28+'Fórmula'!G28+'Fórmula'!I28+'Fórmula'!K28))*(INDEX(properties!A$1:CB$87,'Fórmula'!D28,62))+(('Fórmula'!G28)/('Fórmula'!C28+'Fórmula'!E28+'Fórmula'!G28+'Fórmula'!I28+'Fórmula'!K28))*(INDEX(properties!A$1:CB$87,'Fórmula'!F28,62))+(('Fórmula'!I28)/('Fórmula'!C28+'Fórmula'!E28+'Fórmula'!G28+'Fórmula'!I28+'Fórmula'!K28))*(INDEX(properties!A$1:CB$87,'Fórmula'!H28,62))+(('Fórmula'!K28)/('Fórmula'!C28+'Fórmula'!E28+'Fórmula'!G28+'Fórmula'!I28+'Fórmula'!K28))*(INDEX(properties!A$1:CB$87,'Fórmula'!J28,62))</f>
        <v>2.891052632</v>
      </c>
      <c r="GM28" s="106">
        <f t="array" ref="GM28">'Fórmula'!C28*(INDEX(properties!A$1:CB$87,'Fórmula'!B28,62))+'Fórmula'!E28*(INDEX(properties!A$1:CB$87,'Fórmula'!D28,62))+'Fórmula'!G28*(INDEX(properties!A$1:CB$87,'Fórmula'!F28,62))+'Fórmula'!I28*(INDEX(properties!A$1:CB$87,'Fórmula'!H28,62))+'Fórmula'!K28*(INDEX(properties!A$1:CB$87,'Fórmula'!J28,62))</f>
        <v>54.93</v>
      </c>
      <c r="GN28" s="106">
        <f t="array" ref="GN28">VARP(IF(INDEX(properties!A$1:CB$87,'Fórmula'!B28,62)&lt;&gt;"",INDEX(properties!A$1:CB$87,'Fórmula'!B28,62)),IF(INDEX(properties!A$1:CB$87,'Fórmula'!D28,62)&lt;&gt;"",INDEX(properties!A$1:CB$87,'Fórmula'!D28,62)),IF(INDEX(properties!A$1:CB$87,'Fórmula'!F28,62)&lt;&gt;"",INDEX(properties!A$1:CB$87,'Fórmula'!F28,62)),IF(INDEX(properties!A$1:CB$87,'Fórmula'!H28,62)&lt;&gt;"",INDEX(properties!A$1:CB$87,'Fórmula'!H28,62)),IF(INDEX(properties!A$1:CB$87,'Fórmula'!J28,62)&lt;&gt;"",INDEX(properties!A$1:CB$87,'Fórmula'!J28,62)))</f>
        <v>4.0178</v>
      </c>
      <c r="GO28" s="106">
        <f t="array" ref="GO28">MAX(INDEX(properties!A$1:CB$87,'Fórmula'!B28,62),INDEX(properties!A$1:CB$87,'Fórmula'!D28,62),INDEX(properties!A$1:CB$87,'Fórmula'!F28,62),INDEX(properties!A$1:CB$87,'Fórmula'!H28,62),INDEX(properties!A$1:CB$87,'Fórmula'!J28,62))</f>
        <v>5.81</v>
      </c>
      <c r="GP28" s="106">
        <f t="array" ref="GP28">MIN(IF(INDEX(properties!A$1:CB$87,'Fórmula'!B28,62)=0,10^6,INDEX(properties!A$1:CB$87,'Fórmula'!B28,62)),IF(INDEX(properties!A$1:CB$87,'Fórmula'!D28,62)=0,10^6,INDEX(properties!A$1:CB$87,'Fórmula'!D28,62)),IF(INDEX(properties!A$1:CB$87,'Fórmula'!F28,62)=0,10^6,INDEX(properties!A$1:CB$87,'Fórmula'!F28,62)),IF(INDEX(properties!A$1:CB$87,'Fórmula'!H28,62)=0,10^6,INDEX(properties!A$1:CB$87,'Fórmula'!H28,62)),IF(INDEX(properties!A$1:CB$87,'Fórmula'!J28,62)=0,10^6,INDEX(properties!A$1:CB$87,'Fórmula'!J28,62)))</f>
        <v>1.63</v>
      </c>
      <c r="GQ28" s="106">
        <f t="shared" si="33"/>
        <v>4.18</v>
      </c>
      <c r="GR28" s="106">
        <f>'Fórmula'!Q28</f>
        <v>14</v>
      </c>
      <c r="GS28" s="107">
        <f>'Fórmula'!P28</f>
        <v>6</v>
      </c>
      <c r="GT28" s="113">
        <f>'Fórmula'!O28</f>
        <v>3.24</v>
      </c>
      <c r="GU28" s="114">
        <f>AVERAGE('Fórmula'!R28/'Fórmula'!S28,'Fórmula'!S28/'Fórmula'!T28,'Fórmula'!T28/'Fórmula'!R28)</f>
        <v>1.276652234</v>
      </c>
      <c r="GV28" s="125">
        <f>'Fórmula'!U28</f>
        <v>769.93</v>
      </c>
      <c r="GW28" s="106">
        <f>'Fórmula'!N28</f>
        <v>0.3</v>
      </c>
    </row>
    <row r="29" ht="14.25" customHeight="1">
      <c r="A29" s="99" t="str">
        <f>'Fórmula'!A29</f>
        <v>La2W3O12</v>
      </c>
      <c r="B29" s="100">
        <f t="array" ref="B29">(('Fórmula'!C29)/('Fórmula'!C29+'Fórmula'!E29+'Fórmula'!G29+'Fórmula'!I29+'Fórmula'!K29))*(INDEX(properties!A$1:CB$87,'Fórmula'!B29,3))+(('Fórmula'!E29)/('Fórmula'!C29+'Fórmula'!E29+'Fórmula'!G29+'Fórmula'!I29+'Fórmula'!K29))*(INDEX(properties!A$1:CB$87,'Fórmula'!D29,3))+(('Fórmula'!G29)/('Fórmula'!C29+'Fórmula'!E29+'Fórmula'!G29+'Fórmula'!I29+'Fórmula'!K29))*(INDEX(properties!A$1:CB$87,'Fórmula'!F29,3))+(('Fórmula'!I29)/('Fórmula'!C29+'Fórmula'!E29+'Fórmula'!G29+'Fórmula'!I29+'Fórmula'!K29))*(INDEX(properties!A$1:CB$87,'Fórmula'!H29,3))+(('Fórmula'!K29)/('Fórmula'!C29+'Fórmula'!E29+'Fórmula'!G29+'Fórmula'!I29+'Fórmula'!K29))*(INDEX(properties!A$1:CB$87,'Fórmula'!J29,3))</f>
        <v>60.07787059</v>
      </c>
      <c r="C29" s="101">
        <f t="array" ref="C29">'Fórmula'!C29*(INDEX(properties!A$1:CB$87,'Fórmula'!B29,3))+'Fórmula'!E29*(INDEX(properties!A$1:CB$87,'Fórmula'!D29,3))+'Fórmula'!G29*(INDEX(properties!A$1:CB$87,'Fórmula'!F29,3))+'Fórmula'!I29*(INDEX(properties!A$1:CB$87,'Fórmula'!H29,3))+'Fórmula'!K29*(INDEX(properties!A$1:CB$87,'Fórmula'!J29,3))</f>
        <v>1021.3238</v>
      </c>
      <c r="D29" s="101">
        <f t="array" ref="D29">VARP(IF(INDEX(properties!A$1:CB$87,'Fórmula'!B29,3)&lt;&gt;"",INDEX(properties!A$1:CB$87,'Fórmula'!B29,3)),IF(INDEX(properties!A$1:CB$87,'Fórmula'!D29,3)&lt;&gt;"",INDEX(properties!A$1:CB$87,'Fórmula'!D29,3)),IF(INDEX(properties!A$1:CB$87,'Fórmula'!F29,3)&lt;&gt;"",INDEX(properties!A$1:CB$87,'Fórmula'!F29,3)),IF(INDEX(properties!A$1:CB$87,'Fórmula'!H29,3)&lt;&gt;"",INDEX(properties!A$1:CB$87,'Fórmula'!H29,3)),IF(INDEX(properties!A$1:CB$87,'Fórmula'!J29,3)&lt;&gt;"",INDEX(properties!A$1:CB$87,'Fórmula'!J29,3)))</f>
        <v>6079.648575</v>
      </c>
      <c r="E29" s="101">
        <f t="array" ref="E29">MAX(INDEX(properties!A$1:CB$87,'Fórmula'!B29,3),INDEX(properties!A$1:CB$87,'Fórmula'!D29,3),INDEX(properties!A$1:CB$87,'Fórmula'!F29,3),INDEX(properties!A$1:CB$87,'Fórmula'!H29,3),INDEX(properties!A$1:CB$87,'Fórmula'!J29,3))</f>
        <v>183.84</v>
      </c>
      <c r="F29" s="101">
        <f t="array" ref="F29">MIN(IF(INDEX(properties!A$1:CB$87,'Fórmula'!B29,3)=0,10^6,INDEX(properties!A$1:CB$87,'Fórmula'!B29,3)),IF(INDEX(properties!A$1:CB$87,'Fórmula'!D29,3)=0,10^6,INDEX(properties!A$1:CB$87,'Fórmula'!D29,3)),IF(INDEX(properties!A$1:CB$87,'Fórmula'!F29,3)=0,10^6,INDEX(properties!A$1:CB$87,'Fórmula'!F29,3)),IF(INDEX(properties!A$1:CB$87,'Fórmula'!H29,3)=0,10^6,INDEX(properties!A$1:CB$87,'Fórmula'!H29,3)),IF(INDEX(properties!A$1:CB$87,'Fórmula'!J29,3)=0,10^6,INDEX(properties!A$1:CB$87,'Fórmula'!J29,3)))</f>
        <v>15.9994</v>
      </c>
      <c r="G29" s="101">
        <f t="shared" si="1"/>
        <v>167.8406</v>
      </c>
      <c r="H29" s="102">
        <f t="array" ref="H29">(('Fórmula'!C29)/('Fórmula'!C29+'Fórmula'!E29+'Fórmula'!G29+'Fórmula'!I29+'Fórmula'!K29))*(INDEX(properties!A$1:CB$87,'Fórmula'!B29,4))+(('Fórmula'!E29)/('Fórmula'!C29+'Fórmula'!E29+'Fórmula'!G29+'Fórmula'!I29+'Fórmula'!K29))*(INDEX(properties!A$1:CB$87,'Fórmula'!D29,4))+(('Fórmula'!G29)/('Fórmula'!C29+'Fórmula'!E29+'Fórmula'!G29+'Fórmula'!I29+'Fórmula'!K29))*(INDEX(properties!A$1:CB$87,'Fórmula'!F29,4))+(('Fórmula'!I29)/('Fórmula'!C29+'Fórmula'!E29+'Fórmula'!G29+'Fórmula'!I29+'Fórmula'!K29))*(INDEX(properties!A$1:CB$87,'Fórmula'!H29,4))+(('Fórmula'!K29)/('Fórmula'!C29+'Fórmula'!E29+'Fórmula'!G29+'Fórmula'!I29+'Fórmula'!K29))*(INDEX(properties!A$1:CB$87,'Fórmula'!J29,4))</f>
        <v>25.41176471</v>
      </c>
      <c r="I29" s="102">
        <f t="array" ref="I29">'Fórmula'!C29*(INDEX(properties!A$1:CB$87,'Fórmula'!B29,4))+'Fórmula'!E29*(INDEX(properties!A$1:CB$87,'Fórmula'!D29,4))+'Fórmula'!G29*(INDEX(properties!A$1:CB$87,'Fórmula'!F29,4))+'Fórmula'!I29*(INDEX(properties!A$1:CB$87,'Fórmula'!H29,4))+'Fórmula'!K29*(INDEX(properties!A$1:CB$87,'Fórmula'!J29,4))</f>
        <v>432</v>
      </c>
      <c r="J29" s="102">
        <f t="array" ref="J29">VARP(IF(INDEX(properties!A$1:CB$87,'Fórmula'!B29,4)&lt;&gt;"",INDEX(properties!A$1:CB$87,'Fórmula'!B29,4)),IF(INDEX(properties!A$1:CB$87,'Fórmula'!D29,4)&lt;&gt;"",INDEX(properties!A$1:CB$87,'Fórmula'!D29,4)),IF(INDEX(properties!A$1:CB$87,'Fórmula'!F29,4)&lt;&gt;"",INDEX(properties!A$1:CB$87,'Fórmula'!F29,4)),IF(INDEX(properties!A$1:CB$87,'Fórmula'!H29,4)&lt;&gt;"",INDEX(properties!A$1:CB$87,'Fórmula'!H29,4)),IF(INDEX(properties!A$1:CB$87,'Fórmula'!J29,4)&lt;&gt;"",INDEX(properties!A$1:CB$87,'Fórmula'!J29,4)))</f>
        <v>984.96</v>
      </c>
      <c r="K29" s="102">
        <f t="array" ref="K29">MAX(INDEX(properties!A$1:CB$87,'Fórmula'!B29,4),INDEX(properties!A$1:CB$87,'Fórmula'!D29,4),INDEX(properties!A$1:CB$87,'Fórmula'!F29,4),INDEX(properties!A$1:CB$87,'Fórmula'!H29,4),INDEX(properties!A$1:CB$87,'Fórmula'!J29,4))</f>
        <v>74</v>
      </c>
      <c r="L29" s="102">
        <f t="array" ref="L29">MIN(IF(INDEX(properties!A$1:CB$87,'Fórmula'!B29,4)=0,10^6,INDEX(properties!A$1:CB$87,'Fórmula'!B29,4)),IF(INDEX(properties!A$1:CB$87,'Fórmula'!D29,4)=0,10^6,INDEX(properties!A$1:CB$87,'Fórmula'!D29,4)),IF(INDEX(properties!A$1:CB$87,'Fórmula'!F29,4)=0,10^6,INDEX(properties!A$1:CB$87,'Fórmula'!F29,4)),IF(INDEX(properties!A$1:CB$87,'Fórmula'!H29,4)=0,10^6,INDEX(properties!A$1:CB$87,'Fórmula'!H29,4)),IF(INDEX(properties!A$1:CB$87,'Fórmula'!J29,4)=0,10^6,INDEX(properties!A$1:CB$87,'Fórmula'!J29,4)))</f>
        <v>8</v>
      </c>
      <c r="M29" s="102">
        <f t="shared" si="2"/>
        <v>66</v>
      </c>
      <c r="N29" s="103">
        <f t="array" ref="N29">(('Fórmula'!C29)/('Fórmula'!C29+'Fórmula'!E29+'Fórmula'!G29+'Fórmula'!I29+'Fórmula'!K29))*(INDEX(properties!A$1:CB$87,'Fórmula'!B29,5))+(('Fórmula'!E29)/('Fórmula'!C29+'Fórmula'!E29+'Fórmula'!G29+'Fórmula'!I29+'Fórmula'!K29))*(INDEX(properties!A$1:CB$87,'Fórmula'!D29,5))+(('Fórmula'!G29)/('Fórmula'!C29+'Fórmula'!E29+'Fórmula'!G29+'Fórmula'!I29+'Fórmula'!K29))*(INDEX(properties!A$1:CB$87,'Fórmula'!F29,5))+(('Fórmula'!I29)/('Fórmula'!C29+'Fórmula'!E29+'Fórmula'!G29+'Fórmula'!I29+'Fórmula'!K29))*(INDEX(properties!A$1:CB$87,'Fórmula'!H29,5))+(('Fórmula'!K29)/('Fórmula'!C29+'Fórmula'!E29+'Fórmula'!G29+'Fórmula'!I29+'Fórmula'!K29))*(INDEX(properties!A$1:CB$87,'Fórmula'!J29,5))</f>
        <v>3.176470588</v>
      </c>
      <c r="O29" s="103">
        <f t="array" ref="O29">'Fórmula'!C29*(INDEX(properties!A$1:CB$87,'Fórmula'!B29,5))+'Fórmula'!E29*(INDEX(properties!A$1:CB$87,'Fórmula'!D29,5))+'Fórmula'!G29*(INDEX(properties!A$1:CB$87,'Fórmula'!F29,5))+'Fórmula'!I29*(INDEX(properties!A$1:CB$87,'Fórmula'!H29,5))+'Fórmula'!K29*(INDEX(properties!A$1:CB$87,'Fórmula'!J29,5))</f>
        <v>54</v>
      </c>
      <c r="P29" s="103">
        <f t="array" ref="P29">VARP(IF(INDEX(properties!A$1:CB$87,'Fórmula'!B29,5)&lt;&gt;"",INDEX(properties!A$1:CB$87,'Fórmula'!B29,5)),IF(INDEX(properties!A$1:CB$87,'Fórmula'!D29,5)&lt;&gt;"",INDEX(properties!A$1:CB$87,'Fórmula'!D29,5)),IF(INDEX(properties!A$1:CB$87,'Fórmula'!F29,5)&lt;&gt;"",INDEX(properties!A$1:CB$87,'Fórmula'!F29,5)),IF(INDEX(properties!A$1:CB$87,'Fórmula'!H29,5)&lt;&gt;"",INDEX(properties!A$1:CB$87,'Fórmula'!H29,5)),IF(INDEX(properties!A$1:CB$87,'Fórmula'!J29,5)&lt;&gt;"",INDEX(properties!A$1:CB$87,'Fórmula'!J29,5)))</f>
        <v>7.36</v>
      </c>
      <c r="Q29" s="103">
        <f t="array" ref="Q29">MAX(INDEX(properties!A$1:CB$87,'Fórmula'!B29,5),INDEX(properties!A$1:CB$87,'Fórmula'!D29,5),INDEX(properties!A$1:CB$87,'Fórmula'!F29,5),INDEX(properties!A$1:CB$87,'Fórmula'!H29,5),INDEX(properties!A$1:CB$87,'Fórmula'!J29,5))</f>
        <v>6</v>
      </c>
      <c r="R29" s="103">
        <f t="array" ref="R29">MIN(IF(INDEX(properties!A$1:CB$87,'Fórmula'!B29,5)=0,10^6,INDEX(properties!A$1:CB$87,'Fórmula'!B29,5)),IF(INDEX(properties!A$1:CB$87,'Fórmula'!D29,5)=0,10^6,INDEX(properties!A$1:CB$87,'Fórmula'!D29,5)),IF(INDEX(properties!A$1:CB$87,'Fórmula'!F29,5)=0,10^6,INDEX(properties!A$1:CB$87,'Fórmula'!F29,5)),IF(INDEX(properties!A$1:CB$87,'Fórmula'!H29,5)=0,10^6,INDEX(properties!A$1:CB$87,'Fórmula'!H29,5)),IF(INDEX(properties!A$1:CB$87,'Fórmula'!J29,5)=0,10^6,INDEX(properties!A$1:CB$87,'Fórmula'!J29,5)))</f>
        <v>2</v>
      </c>
      <c r="S29" s="103">
        <f t="shared" si="3"/>
        <v>4</v>
      </c>
      <c r="T29" s="104">
        <f t="array" ref="T29">(('Fórmula'!C29)/('Fórmula'!C29+'Fórmula'!E29+'Fórmula'!G29+'Fórmula'!I29+'Fórmula'!K29))*(INDEX(properties!A$1:CB$87,'Fórmula'!B29,6))+(('Fórmula'!E29)/('Fórmula'!C29+'Fórmula'!E29+'Fórmula'!G29+'Fórmula'!I29+'Fórmula'!K29))*(INDEX(properties!A$1:CB$87,'Fórmula'!D29,6))+(('Fórmula'!G29)/('Fórmula'!C29+'Fórmula'!E29+'Fórmula'!G29+'Fórmula'!I29+'Fórmula'!K29))*(INDEX(properties!A$1:CB$87,'Fórmula'!F29,6))+(('Fórmula'!I29)/('Fórmula'!C29+'Fórmula'!E29+'Fórmula'!G29+'Fórmula'!I29+'Fórmula'!K29))*(INDEX(properties!A$1:CB$87,'Fórmula'!H29,6))+(('Fórmula'!K29)/('Fórmula'!C29+'Fórmula'!E29+'Fórmula'!G29+'Fórmula'!I29+'Fórmula'!K29))*(INDEX(properties!A$1:CB$87,'Fórmula'!J29,6))</f>
        <v>12.70588235</v>
      </c>
      <c r="U29" s="104">
        <f t="array" ref="U29">'Fórmula'!C29*(INDEX(properties!A$1:CB$87,'Fórmula'!B29,6))+'Fórmula'!E29*(INDEX(properties!A$1:CB$87,'Fórmula'!D29,6))+'Fórmula'!G29*(INDEX(properties!A$1:CB$87,'Fórmula'!F29,6))+'Fórmula'!I29*(INDEX(properties!A$1:CB$87,'Fórmula'!H29,6))+'Fórmula'!K29*(INDEX(properties!A$1:CB$87,'Fórmula'!J29,6))</f>
        <v>216</v>
      </c>
      <c r="V29" s="103">
        <f t="array" ref="V29">VARP(IF(INDEX(properties!A$1:CB$87,'Fórmula'!B29,6)&lt;&gt;"",INDEX(properties!A$1:CB$87,'Fórmula'!B29,6)),IF(INDEX(properties!A$1:CB$87,'Fórmula'!D29,6)&lt;&gt;"",INDEX(properties!A$1:CB$87,'Fórmula'!D29,6)),IF(INDEX(properties!A$1:CB$87,'Fórmula'!F29,6)&lt;&gt;"",INDEX(properties!A$1:CB$87,'Fórmula'!F29,6)),IF(INDEX(properties!A$1:CB$87,'Fórmula'!H29,6)&lt;&gt;"",INDEX(properties!A$1:CB$87,'Fórmula'!H29,6)),IF(INDEX(properties!A$1:CB$87,'Fórmula'!J29,6)&lt;&gt;"",INDEX(properties!A$1:CB$87,'Fórmula'!J29,6)))</f>
        <v>35.2</v>
      </c>
      <c r="W29" s="104">
        <f t="array" ref="W29">MAX(INDEX(properties!A$1:CB$87,'Fórmula'!B29,6),INDEX(properties!A$1:CB$87,'Fórmula'!D29,6),INDEX(properties!A$1:CB$87,'Fórmula'!F29,6),INDEX(properties!A$1:CB$87,'Fórmula'!H29,4),INDEX(properties!A$1:CB$87,'Fórmula'!J29,6))</f>
        <v>16</v>
      </c>
      <c r="X29" s="104">
        <f t="array" ref="X29">MIN(IF(INDEX(properties!A$1:CB$87,'Fórmula'!B29,6)=0,10^6,INDEX(properties!A$1:CB$87,'Fórmula'!B29,6)),IF(INDEX(properties!A$1:CB$87,'Fórmula'!D29,6)=0,10^6,INDEX(properties!A$1:CB$87,'Fórmula'!D29,6)),IF(INDEX(properties!A$1:CB$87,'Fórmula'!F29,6)=0,10^6,INDEX(properties!A$1:CB$87,'Fórmula'!F29,6)),IF(INDEX(properties!A$1:CB$87,'Fórmula'!H29,6)=0,10^6,INDEX(properties!A$1:CB$87,'Fórmula'!H29,6)),IF(INDEX(properties!A$1:CB$87,'Fórmula'!J29,6)=0,10^6,INDEX(properties!A$1:CB$87,'Fórmula'!J29,6)))</f>
        <v>3</v>
      </c>
      <c r="Y29" s="104">
        <f t="shared" si="4"/>
        <v>13</v>
      </c>
      <c r="Z29" s="105">
        <f t="array" ref="Z29">(('Fórmula'!C29)/('Fórmula'!C29+'Fórmula'!E29+'Fórmula'!G29+'Fórmula'!I29+'Fórmula'!K29))*(INDEX(properties!A$1:CB$87,'Fórmula'!B29,9))+(('Fórmula'!E29)/('Fórmula'!C29+'Fórmula'!E29+'Fórmula'!G29+'Fórmula'!I29+'Fórmula'!K29))*(INDEX(properties!A$1:CB$87,'Fórmula'!D29,9))+(('Fórmula'!G29)/('Fórmula'!C29+'Fórmula'!E29+'Fórmula'!G29+'Fórmula'!I29+'Fórmula'!K29))*(INDEX(properties!A$1:CB$87,'Fórmula'!F29,9))+(('Fórmula'!I29)/('Fórmula'!C29+'Fórmula'!E29+'Fórmula'!G29+'Fórmula'!I29+'Fórmula'!K29))*(INDEX(properties!A$1:CB$87,'Fórmula'!H29,9))+(('Fórmula'!K29)/('Fórmula'!C29+'Fórmula'!E29+'Fórmula'!G29+'Fórmula'!I29+'Fórmula'!K29))*(INDEX(properties!A$1:CB$87,'Fórmula'!J29,9))</f>
        <v>71.94117647</v>
      </c>
      <c r="AA29" s="105">
        <f t="array" ref="AA29">'Fórmula'!C29*(INDEX(properties!A$1:CB$87,'Fórmula'!B29,9))+'Fórmula'!E29*(INDEX(properties!A$1:CB$87,'Fórmula'!D29,9))+'Fórmula'!G29*(INDEX(properties!A$1:CB$87,'Fórmula'!F29,9))+'Fórmula'!I29*(INDEX(properties!A$1:CB$87,'Fórmula'!H29,9))+'Fórmula'!K29*(INDEX(properties!A$1:CB$87,'Fórmula'!J29,9))</f>
        <v>1223</v>
      </c>
      <c r="AB29" s="105">
        <f t="array" ref="AB29">VARP(IF(INDEX(properties!A$1:CB$87,'Fórmula'!B29,9)&lt;&gt;"",INDEX(properties!A$1:CB$87,'Fórmula'!B29,9)),IF(INDEX(properties!A$1:CB$87,'Fórmula'!D29,9)&lt;&gt;"",INDEX(properties!A$1:CB$87,'Fórmula'!D29,9)),IF(INDEX(properties!A$1:CB$87,'Fórmula'!F29,9)&lt;&gt;"",INDEX(properties!A$1:CB$87,'Fórmula'!F29,9)),IF(INDEX(properties!A$1:CB$87,'Fórmula'!H29,9)&lt;&gt;"",INDEX(properties!A$1:CB$87,'Fórmula'!H29,9)),IF(INDEX(properties!A$1:CB$87,'Fórmula'!J29,9)&lt;&gt;"",INDEX(properties!A$1:CB$87,'Fórmula'!J29,9)))</f>
        <v>1155.76</v>
      </c>
      <c r="AC29" s="105">
        <f t="array" ref="AC29">MAX(INDEX(properties!A$1:CB$87,'Fórmula'!B29,9),INDEX(properties!A$1:CB$87,'Fórmula'!D29,9),INDEX(properties!A$1:CB$87,'Fórmula'!F29,9),INDEX(properties!A$1:CB$87,'Fórmula'!H29,9),INDEX(properties!A$1:CB$87,'Fórmula'!J29,9))</f>
        <v>87</v>
      </c>
      <c r="AD29" s="105">
        <f t="array" ref="AD29">MIN(IF(INDEX(properties!A$1:CB$87,'Fórmula'!B29,9)=0,10^6,INDEX(properties!A$1:CB$87,'Fórmula'!B29,9)),IF(INDEX(properties!A$1:CB$87,'Fórmula'!D29,9)=0,10^6,INDEX(properties!A$1:CB$87,'Fórmula'!D29,9)),IF(INDEX(properties!A$1:CB$87,'Fórmula'!F29,9)=0,10^6,INDEX(properties!A$1:CB$87,'Fórmula'!F29,9)),IF(INDEX(properties!A$1:CB$87,'Fórmula'!H29,9)=0,10^6,INDEX(properties!A$1:CB$87,'Fórmula'!H29,9)),IF(INDEX(properties!A$1:CB$87,'Fórmula'!J29,9)=0,10^6,INDEX(properties!A$1:CB$87,'Fórmula'!J29,9)))</f>
        <v>13</v>
      </c>
      <c r="AE29" s="105">
        <f t="shared" si="5"/>
        <v>74</v>
      </c>
      <c r="AF29" s="106">
        <f t="array" ref="AF29">(('Fórmula'!C29)/('Fórmula'!C29+'Fórmula'!E29+'Fórmula'!G29+'Fórmula'!I29+'Fórmula'!K29))*(INDEX(properties!A$1:CB$87,'Fórmula'!B29,10))+(('Fórmula'!E29)/('Fórmula'!C29+'Fórmula'!E29+'Fórmula'!G29+'Fórmula'!I29+'Fórmula'!K29))*(INDEX(properties!A$1:CB$87,'Fórmula'!D29,10))+(('Fórmula'!G29)/('Fórmula'!C29+'Fórmula'!E29+'Fórmula'!G29+'Fórmula'!I29+'Fórmula'!K29))*(INDEX(properties!A$1:CB$87,'Fórmula'!F29,10))+(('Fórmula'!I29)/('Fórmula'!C29+'Fórmula'!E29+'Fórmula'!G29+'Fórmula'!I29+'Fórmula'!K29))*(INDEX(properties!A$1:CB$87,'Fórmula'!H29,10))+(('Fórmula'!K29)/('Fórmula'!C29+'Fórmula'!E29+'Fórmula'!G29+'Fórmula'!I29+'Fórmula'!K29))*(INDEX(properties!A$1:CB$87,'Fórmula'!J29,10))</f>
        <v>6</v>
      </c>
      <c r="AG29" s="106">
        <f t="array" ref="AG29">'Fórmula'!C29*(INDEX(properties!A$1:CB$87,'Fórmula'!B29,10))+'Fórmula'!E29*(INDEX(properties!A$1:CB$87,'Fórmula'!D29,10))+'Fórmula'!G29*(INDEX(properties!A$1:CB$87,'Fórmula'!F29,10))+'Fórmula'!I29*(INDEX(properties!A$1:CB$87,'Fórmula'!H29,10))+'Fórmula'!K29*(INDEX(properties!A$1:CB$87,'Fórmula'!J29,10))</f>
        <v>102</v>
      </c>
      <c r="AH29" s="106">
        <f t="array" ref="AH29">VARP(IF(INDEX(properties!A$1:CB$87,'Fórmula'!B29,10)&lt;&gt;"",INDEX(properties!A$1:CB$87,'Fórmula'!B29,10)),IF(INDEX(properties!A$1:CB$87,'Fórmula'!D29,10)&lt;&gt;"",INDEX(properties!A$1:CB$87,'Fórmula'!D29,10)),IF(INDEX(properties!A$1:CB$87,'Fórmula'!F29,10)&lt;&gt;"",INDEX(properties!A$1:CB$87,'Fórmula'!F29,10)),IF(INDEX(properties!A$1:CB$87,'Fórmula'!H29,10)&lt;&gt;"",INDEX(properties!A$1:CB$87,'Fórmula'!H29,10)),IF(INDEX(properties!A$1:CB$87,'Fórmula'!J29,10)&lt;&gt;"",INDEX(properties!A$1:CB$87,'Fórmula'!J29,10)))</f>
        <v>6.96</v>
      </c>
      <c r="AI29" s="106">
        <f t="array" ref="AI29">MAX(INDEX(properties!A$1:CB$87,'Fórmula'!B29,10),INDEX(properties!A$1:CB$87,'Fórmula'!D29,10),INDEX(properties!A$1:CB$87,'Fórmula'!F29,10),INDEX(properties!A$1:CB$87,'Fórmula'!H29,10),INDEX(properties!A$1:CB$87,'Fórmula'!J29,10))</f>
        <v>7</v>
      </c>
      <c r="AJ29" s="106">
        <f t="array" ref="AJ29">MIN(IF(INDEX(properties!A$1:CB$87,'Fórmula'!B29,10)=0,10^6,INDEX(properties!A$1:CB$87,'Fórmula'!B29,10)),IF(INDEX(properties!A$1:CB$87,'Fórmula'!D29,10)=0,10^6,INDEX(properties!A$1:CB$87,'Fórmula'!D29,10)),IF(INDEX(properties!A$1:CB$87,'Fórmula'!F29,10)=0,10^6,INDEX(properties!A$1:CB$87,'Fórmula'!F29,10)),IF(INDEX(properties!A$1:CB$87,'Fórmula'!H29,10)=0,10^6,INDEX(properties!A$1:CB$87,'Fórmula'!H29,10)),IF(INDEX(properties!A$1:CB$87,'Fórmula'!J29,10)=0,10^6,INDEX(properties!A$1:CB$87,'Fórmula'!J29,10)))</f>
        <v>3</v>
      </c>
      <c r="AK29" s="106">
        <f t="shared" si="6"/>
        <v>4</v>
      </c>
      <c r="AL29" s="107">
        <f t="array" ref="AL29">(('Fórmula'!C29)/('Fórmula'!C29+'Fórmula'!E29+'Fórmula'!G29+'Fórmula'!I29+'Fórmula'!K29))*(INDEX(properties!A$1:CB$87,'Fórmula'!B29,11))+(('Fórmula'!E29)/('Fórmula'!C29+'Fórmula'!E29+'Fórmula'!G29+'Fórmula'!I29+'Fórmula'!K29))*(INDEX(properties!A$1:CB$87,'Fórmula'!D29,11))+(('Fórmula'!G29)/('Fórmula'!C29+'Fórmula'!E29+'Fórmula'!G29+'Fórmula'!I29+'Fórmula'!K29))*(INDEX(properties!A$1:CB$87,'Fórmula'!F29,11))+(('Fórmula'!I29)/('Fórmula'!C29+'Fórmula'!E29+'Fórmula'!G29+'Fórmula'!I29+'Fórmula'!K29))*(INDEX(properties!A$1:CB$87,'Fórmula'!H29,11))+(('Fórmula'!K29)/('Fórmula'!C29+'Fórmula'!E29+'Fórmula'!G29+'Fórmula'!I29+'Fórmula'!K29))*(INDEX(properties!A$1:CB$87,'Fórmula'!J29,11))</f>
        <v>2</v>
      </c>
      <c r="AM29" s="107">
        <f t="array" ref="AM29">'Fórmula'!C29*(INDEX(properties!A$1:CB$87,'Fórmula'!B29,11))+'Fórmula'!E29*(INDEX(properties!A$1:CB$87,'Fórmula'!D29,11))+'Fórmula'!G29*(INDEX(properties!A$1:CB$87,'Fórmula'!F29,11))+'Fórmula'!I29*(INDEX(properties!A$1:CB$87,'Fórmula'!H29,11))+'Fórmula'!K29*(INDEX(properties!A$1:CB$87,'Fórmula'!J29,11))</f>
        <v>34</v>
      </c>
      <c r="AN29" s="107">
        <f t="array" ref="AN29">VARP(IF(INDEX(properties!A$1:CB$87,'Fórmula'!B29,11)&lt;&gt;"",INDEX(properties!A$1:CB$87,'Fórmula'!B29,11)),IF(INDEX(properties!A$1:CB$87,'Fórmula'!D29,11)&lt;&gt;"",INDEX(properties!A$1:CB$87,'Fórmula'!D29,11)),IF(INDEX(properties!A$1:CB$87,'Fórmula'!F29,11)&lt;&gt;"",INDEX(properties!A$1:CB$87,'Fórmula'!F29,11)),IF(INDEX(properties!A$1:CB$87,'Fórmula'!H29,11)&lt;&gt;"",INDEX(properties!A$1:CB$87,'Fórmula'!H29,11)),IF(INDEX(properties!A$1:CB$87,'Fórmula'!J29,11)&lt;&gt;"",INDEX(properties!A$1:CB$87,'Fórmula'!J29,11)))</f>
        <v>0.96</v>
      </c>
      <c r="AO29" s="107">
        <f t="array" ref="AO29">MAX(INDEX(properties!A$1:CB$87,'Fórmula'!B29,11),INDEX(properties!A$1:CB$87,'Fórmula'!D29,11),INDEX(properties!A$1:CB$87,'Fórmula'!F29,11),INDEX(properties!A$1:CB$87,'Fórmula'!H29,11),INDEX(properties!A$1:CB$87,'Fórmula'!J29,11))</f>
        <v>2</v>
      </c>
      <c r="AP29" s="107">
        <f t="array" ref="AP29">MIN(IF('Fórmula'!B29=87,10^6,INDEX(properties!A$1:CB$87,'Fórmula'!B29,11)),IF(('Fórmula'!D29)=87,10^6,INDEX(properties!A$1:CB$87,'Fórmula'!D29,11)),IF(('Fórmula'!F29)=87,10^6,INDEX(properties!A$1:CB$87,'Fórmula'!F29,11)),IF(('Fórmula'!H29)=87,10^6,INDEX(properties!A$1:CB$87,'Fórmula'!H29,11)),IF('Fórmula'!J29=87,10^6,INDEX(properties!A$1:CB$87,'Fórmula'!J29,11)))</f>
        <v>2</v>
      </c>
      <c r="AQ29" s="107">
        <f t="shared" si="7"/>
        <v>0</v>
      </c>
      <c r="AR29" s="108">
        <f t="array" ref="AR29">(('Fórmula'!C29)/('Fórmula'!C29+'Fórmula'!E29+'Fórmula'!G29+'Fórmula'!I29+'Fórmula'!K29))*(INDEX(properties!A$1:CB$87,'Fórmula'!B29,12))+(('Fórmula'!E29)/('Fórmula'!C29+'Fórmula'!E29+'Fórmula'!G29+'Fórmula'!I29+'Fórmula'!K29))*(INDEX(properties!A$1:CB$87,'Fórmula'!D29,12))+(('Fórmula'!G29)/('Fórmula'!C29+'Fórmula'!E29+'Fórmula'!G29+'Fórmula'!I29+'Fórmula'!K29))*(INDEX(properties!A$1:CB$87,'Fórmula'!F29,12))+(('Fórmula'!I29)/('Fórmula'!C29+'Fórmula'!E29+'Fórmula'!G29+'Fórmula'!I29+'Fórmula'!K29))*(INDEX(properties!A$1:CB$87,'Fórmula'!H29,12))+(('Fórmula'!K29)/('Fórmula'!C29+'Fórmula'!E29+'Fórmula'!G29+'Fórmula'!I29+'Fórmula'!K29))*(INDEX(properties!A$1:CB$87,'Fórmula'!J29,12))</f>
        <v>2.823529412</v>
      </c>
      <c r="AS29" s="108">
        <f t="array" ref="AS29">'Fórmula'!C29*(INDEX(properties!A$1:CB$87,'Fórmula'!B29,12))+'Fórmula'!E29*(INDEX(properties!A$1:CB$87,'Fórmula'!D29,12))+'Fórmula'!G29*(INDEX(properties!A$1:CB$87,'Fórmula'!F29,12))+'Fórmula'!I29*(INDEX(properties!A$1:CB$87,'Fórmula'!H29,12))+'Fórmula'!K29*(INDEX(properties!A$1:CB$87,'Fórmula'!J29,12))</f>
        <v>48</v>
      </c>
      <c r="AT29" s="108">
        <f t="array" ref="AT29">VARP(IF(INDEX(properties!A$1:CB$87,'Fórmula'!B29,12)&lt;&gt;"",INDEX(properties!A$1:CB$87,'Fórmula'!B29,12)),IF(INDEX(properties!A$1:CB$87,'Fórmula'!D29,12)&lt;&gt;"",INDEX(properties!A$1:CB$87,'Fórmula'!D29,12)),IF(INDEX(properties!A$1:CB$87,'Fórmula'!F29,12)&lt;&gt;"",INDEX(properties!A$1:CB$87,'Fórmula'!F29,12)),IF(INDEX(properties!A$1:CB$87,'Fórmula'!H29,12)&lt;&gt;"",INDEX(properties!A$1:CB$87,'Fórmula'!H29,12)),IF(INDEX(properties!A$1:CB$87,'Fórmula'!J29,12)&lt;&gt;"",INDEX(properties!A$1:CB$87,'Fórmula'!J29,12)))</f>
        <v>2.56</v>
      </c>
      <c r="AU29" s="108">
        <f t="array" ref="AU29">MAX(INDEX(properties!A$1:CB$87,'Fórmula'!B29,12),INDEX(properties!A$1:CB$87,'Fórmula'!D29,12),INDEX(properties!A$1:CB$87,'Fórmula'!F29,12),INDEX(properties!A$1:CB$87,'Fórmula'!H29,12),INDEX(properties!A$1:CB$87,'Fórmula'!J29,12))</f>
        <v>4</v>
      </c>
      <c r="AV29" s="108">
        <f t="array" ref="AV29">MIN(IF('Fórmula'!B29=87,10^6,INDEX(properties!A$1:CB$87,'Fórmula'!B29,12)),IF(('Fórmula'!D29)=87,10^6,INDEX(properties!A$1:CB$87,'Fórmula'!D29,12)),IF(('Fórmula'!F29)=87,10^6,INDEX(properties!A$1:CB$87,'Fórmula'!F29,12)),IF(('Fórmula'!H29)=87,10^6,INDEX(properties!A$1:CB$87,'Fórmula'!H29,12)),IF('Fórmula'!J29=87,10^6,INDEX(properties!A$1:CB$87,'Fórmula'!J29,12)))</f>
        <v>0</v>
      </c>
      <c r="AW29" s="108">
        <f t="shared" si="8"/>
        <v>4</v>
      </c>
      <c r="AX29" s="109">
        <f t="array" ref="AX29">(('Fórmula'!C29)/('Fórmula'!C29+'Fórmula'!E29+'Fórmula'!G29+'Fórmula'!I29+'Fórmula'!K29))*(INDEX(properties!A$1:CB$87,'Fórmula'!B29,13))+(('Fórmula'!E29)/('Fórmula'!C29+'Fórmula'!E29+'Fórmula'!G29+'Fórmula'!I29+'Fórmula'!K29))*(INDEX(properties!A$1:CB$87,'Fórmula'!D29,13))+(('Fórmula'!G29)/('Fórmula'!C29+'Fórmula'!E29+'Fórmula'!G29+'Fórmula'!I29+'Fórmula'!K29))*(INDEX(properties!A$1:CB$87,'Fórmula'!F29,13))+(('Fórmula'!I29)/('Fórmula'!C29+'Fórmula'!E29+'Fórmula'!G29+'Fórmula'!I29+'Fórmula'!K29))*(INDEX(properties!A$1:CB$87,'Fórmula'!H29,13))+(('Fórmula'!K29)/('Fórmula'!C29+'Fórmula'!E29+'Fórmula'!G29+'Fórmula'!I29+'Fórmula'!K29))*(INDEX(properties!A$1:CB$87,'Fórmula'!J29,13))</f>
        <v>0.8235294118</v>
      </c>
      <c r="AY29" s="109">
        <f t="array" ref="AY29">'Fórmula'!C29*(INDEX(properties!A$1:CB$87,'Fórmula'!B29,13))+'Fórmula'!E29*(INDEX(properties!A$1:CB$87,'Fórmula'!D29,13))+'Fórmula'!G29*(INDEX(properties!A$1:CB$87,'Fórmula'!F29,13))+'Fórmula'!I29*(INDEX(properties!A$1:CB$87,'Fórmula'!H29,13))+'Fórmula'!K29*(INDEX(properties!A$1:CB$87,'Fórmula'!J29,13))</f>
        <v>14</v>
      </c>
      <c r="AZ29" s="109">
        <f t="array" ref="AZ29">VARP(IF(INDEX(properties!A$1:CB$87,'Fórmula'!B29,13)&lt;&gt;"",INDEX(properties!A$1:CB$87,'Fórmula'!B29,13)),IF(INDEX(properties!A$1:CB$87,'Fórmula'!D29,13)&lt;&gt;"",INDEX(properties!A$1:CB$87,'Fórmula'!D29,13)),IF(INDEX(properties!A$1:CB$87,'Fórmula'!F29,13)&lt;&gt;"",INDEX(properties!A$1:CB$87,'Fórmula'!F29,13)),IF(INDEX(properties!A$1:CB$87,'Fórmula'!H29,13)&lt;&gt;"",INDEX(properties!A$1:CB$87,'Fórmula'!H29,13)),IF(INDEX(properties!A$1:CB$87,'Fórmula'!J29,13)&lt;&gt;"",INDEX(properties!A$1:CB$87,'Fórmula'!J29,13)))</f>
        <v>2.4</v>
      </c>
      <c r="BA29" s="109">
        <f t="array" ref="BA29">MAX(INDEX(properties!A$1:CB$87,'Fórmula'!B29,13),INDEX(properties!A$1:CB$87,'Fórmula'!D29,13),INDEX(properties!A$1:CB$87,'Fórmula'!F29,13),INDEX(properties!A$1:CB$87,'Fórmula'!H29,13),INDEX(properties!A$1:CB$87,'Fórmula'!J29,13))</f>
        <v>4</v>
      </c>
      <c r="BB29" s="109">
        <f t="array" ref="BB29">MIN(IF('Fórmula'!B29=87,10^6,INDEX(properties!A$1:CB$87,'Fórmula'!B29,13)),IF(('Fórmula'!D29)=87,10^6,INDEX(properties!A$1:CB$87,'Fórmula'!D29,13)),IF(('Fórmula'!F29)=87,10^6,INDEX(properties!A$1:CB$87,'Fórmula'!F29,13)),IF(('Fórmula'!H29)=87,10^6,INDEX(properties!A$1:CB$87,'Fórmula'!H29,13)),IF('Fórmula'!J29=87,10^6,INDEX(properties!A$1:CB$87,'Fórmula'!J29,13)))</f>
        <v>0</v>
      </c>
      <c r="BC29" s="109">
        <f t="shared" si="9"/>
        <v>4</v>
      </c>
      <c r="BD29" s="110">
        <f t="array" ref="BD29">(('Fórmula'!C29)/('Fórmula'!C29+'Fórmula'!E29+'Fórmula'!G29+'Fórmula'!I29+'Fórmula'!K29))*(INDEX(properties!A$1:CB$87,'Fórmula'!B29,14))+(('Fórmula'!E29)/('Fórmula'!C29+'Fórmula'!E29+'Fórmula'!G29+'Fórmula'!I29+'Fórmula'!K29))*(INDEX(properties!A$1:CB$87,'Fórmula'!D29,14))+(('Fórmula'!G29)/('Fórmula'!C29+'Fórmula'!E29+'Fórmula'!G29+'Fórmula'!I29+'Fórmula'!K29))*(INDEX(properties!A$1:CB$87,'Fórmula'!F29,14))+(('Fórmula'!I29)/('Fórmula'!C29+'Fórmula'!E29+'Fórmula'!G29+'Fórmula'!I29+'Fórmula'!K29))*(INDEX(properties!A$1:CB$87,'Fórmula'!H29,14))+(('Fórmula'!K29)/('Fórmula'!C29+'Fórmula'!E29+'Fórmula'!G29+'Fórmula'!I29+'Fórmula'!K29))*(INDEX(properties!A$1:CB$87,'Fórmula'!J29,14))</f>
        <v>2.470588235</v>
      </c>
      <c r="BE29" s="110">
        <f t="array" ref="BE29">'Fórmula'!C29*(INDEX(properties!A$1:CB$87,'Fórmula'!B29,14))+'Fórmula'!E29*(INDEX(properties!A$1:CB$87,'Fórmula'!D29,14))+'Fórmula'!G29*(INDEX(properties!A$1:CB$87,'Fórmula'!F29,14))+'Fórmula'!I29*(INDEX(properties!A$1:CB$87,'Fórmula'!H29,14))+'Fórmula'!K29*(INDEX(properties!A$1:CB$87,'Fórmula'!J29,14))</f>
        <v>42</v>
      </c>
      <c r="BF29" s="110">
        <f t="array" ref="BF29">VARP(IF(INDEX(properties!A$1:CB$87,'Fórmula'!B29,14)&lt;&gt;"",INDEX(properties!A$1:CB$87,'Fórmula'!B29,14)),IF(INDEX(properties!A$1:CB$87,'Fórmula'!D29,14)&lt;&gt;"",INDEX(properties!A$1:CB$87,'Fórmula'!D29,14)),IF(INDEX(properties!A$1:CB$87,'Fórmula'!F29,14)&lt;&gt;"",INDEX(properties!A$1:CB$87,'Fórmula'!F29,14)),IF(INDEX(properties!A$1:CB$87,'Fórmula'!H29,14)&lt;&gt;"",INDEX(properties!A$1:CB$87,'Fórmula'!H29,14)),IF(INDEX(properties!A$1:CB$87,'Fórmula'!J29,14)&lt;&gt;"",INDEX(properties!A$1:CB$87,'Fórmula'!J29,14)))</f>
        <v>31.36</v>
      </c>
      <c r="BG29" s="110">
        <f t="array" ref="BG29">MAX(INDEX(properties!A$1:CB$87,'Fórmula'!B29,14),INDEX(properties!A$1:CB$87,'Fórmula'!D29,14),INDEX(properties!A$1:CB$87,'Fórmula'!F29,14),INDEX(properties!A$1:CB$87,'Fórmula'!H29,14),INDEX(properties!A$1:CB$87,'Fórmula'!J29,14))</f>
        <v>14</v>
      </c>
      <c r="BH29" s="110">
        <f t="array" ref="BH29">MIN(IF('Fórmula'!B29=87,10^6,INDEX(properties!A$1:CB$87,'Fórmula'!B29,14)),IF(('Fórmula'!D29)=87,10^6,INDEX(properties!A$1:CB$87,'Fórmula'!D29,14)),IF(('Fórmula'!F29)=87,10^6,INDEX(properties!A$1:CB$87,'Fórmula'!F29,14)),IF(('Fórmula'!H29)=87,10^6,INDEX(properties!A$1:CB$87,'Fórmula'!H29,14)),IF('Fórmula'!J29=87,10^6,INDEX(properties!A$1:CB$87,'Fórmula'!J29,14)))</f>
        <v>0</v>
      </c>
      <c r="BI29" s="110">
        <f t="shared" si="10"/>
        <v>14</v>
      </c>
      <c r="BJ29" s="111">
        <f t="array" ref="BJ29">(('Fórmula'!C29)/('Fórmula'!C29+'Fórmula'!E29+'Fórmula'!G29+'Fórmula'!I29+'Fórmula'!K29))*(INDEX(properties!A$1:CB$87,'Fórmula'!B29,19))+(('Fórmula'!E29)/('Fórmula'!C29+'Fórmula'!E29+'Fórmula'!G29+'Fórmula'!I29+'Fórmula'!K29))*(INDEX(properties!A$1:CB$87,'Fórmula'!D29,19))+(('Fórmula'!G29)/('Fórmula'!C29+'Fórmula'!E29+'Fórmula'!G29+'Fórmula'!I29+'Fórmula'!K29))*(INDEX(properties!A$1:CB$87,'Fórmula'!F29,19))+(('Fórmula'!I29)/('Fórmula'!C29+'Fórmula'!E29+'Fórmula'!G29+'Fórmula'!I29+'Fórmula'!K29))*(INDEX(properties!A$1:CB$87,'Fórmula'!H29,19))+(('Fórmula'!K29)/('Fórmula'!C29+'Fórmula'!E29+'Fórmula'!G29+'Fórmula'!I29+'Fórmula'!K29))*(INDEX(properties!A$1:CB$87,'Fórmula'!J29,19))</f>
        <v>8.117647059</v>
      </c>
      <c r="BK29" s="111">
        <f t="array" ref="BK29">'Fórmula'!C29*(INDEX(properties!A$1:CB$87,'Fórmula'!B29,19))+'Fórmula'!E29*(INDEX(properties!A$1:CB$87,'Fórmula'!D29,19))+'Fórmula'!G29*(INDEX(properties!A$1:CB$87,'Fórmula'!F29,19))+'Fórmula'!I29*(INDEX(properties!A$1:CB$87,'Fórmula'!H29,19))+'Fórmula'!K29*(INDEX(properties!A$1:CB$87,'Fórmula'!J29,19))</f>
        <v>138</v>
      </c>
      <c r="BL29" s="111">
        <f t="array" ref="BL29">VARP(IF(INDEX(properties!A$1:CB$87,'Fórmula'!B29,19)&lt;&gt;"",INDEX(properties!A$1:CB$87,'Fórmula'!B29,19)),IF(INDEX(properties!A$1:CB$87,'Fórmula'!D29,19)&lt;&gt;"",INDEX(properties!A$1:CB$87,'Fórmula'!D29,19)),IF(INDEX(properties!A$1:CB$87,'Fórmula'!F29,19)&lt;&gt;"",INDEX(properties!A$1:CB$87,'Fórmula'!F29,19)),IF(INDEX(properties!A$1:CB$87,'Fórmula'!H29,19)&lt;&gt;"",INDEX(properties!A$1:CB$87,'Fórmula'!H29,19)),IF(INDEX(properties!A$1:CB$87,'Fórmula'!J29,19)&lt;&gt;"",INDEX(properties!A$1:CB$87,'Fórmula'!J29,19)))</f>
        <v>55.36</v>
      </c>
      <c r="BM29" s="111">
        <f t="array" ref="BM29">MAX(INDEX(properties!A$1:CB$87,'Fórmula'!B29,19),INDEX(properties!A$1:CB$87,'Fórmula'!D29,19),INDEX(properties!A$1:CB$87,'Fórmula'!F29,19),INDEX(properties!A$1:CB$87,'Fórmula'!H29,19),INDEX(properties!A$1:CB$87,'Fórmula'!J29,19))</f>
        <v>20</v>
      </c>
      <c r="BN29" s="111">
        <f t="array" ref="BN29">MIN(IF(INDEX(properties!A$1:CB$87,'Fórmula'!B29,19)=0,10^6,INDEX(properties!A$1:CB$87,'Fórmula'!B29,19)),IF(INDEX(properties!A$1:CB$87,'Fórmula'!D29,19)=0,10^6,INDEX(properties!A$1:CB$87,'Fórmula'!D29,19)),IF(INDEX(properties!A$1:CB$87,'Fórmula'!F29,19)=0,10^6,INDEX(properties!A$1:CB$87,'Fórmula'!F29,19)),IF(INDEX(properties!A$1:CB$87,'Fórmula'!H29,19)=0,10^6,INDEX(properties!A$1:CB$87,'Fórmula'!H29,19)),IF(INDEX(properties!A$1:CB$87,'Fórmula'!J29,19)=0,10^6,INDEX(properties!A$1:CB$87,'Fórmula'!J29,19)))</f>
        <v>3</v>
      </c>
      <c r="BO29" s="111">
        <f t="shared" si="11"/>
        <v>17</v>
      </c>
      <c r="BP29" s="112">
        <f t="array" ref="BP29">(('Fórmula'!C29)/('Fórmula'!C29+'Fórmula'!E29+'Fórmula'!G29+'Fórmula'!I29+'Fórmula'!K29))*(INDEX(properties!A$1:CB$87,'Fórmula'!B29,20))+(('Fórmula'!E29)/('Fórmula'!C29+'Fórmula'!E29+'Fórmula'!G29+'Fórmula'!I29+'Fórmula'!K29))*(INDEX(properties!A$1:CB$87,'Fórmula'!D29,20))+(('Fórmula'!G29)/('Fórmula'!C29+'Fórmula'!E29+'Fórmula'!G29+'Fórmula'!I29+'Fórmula'!K29))*(INDEX(properties!A$1:CB$87,'Fórmula'!F29,20))+(('Fórmula'!I29)/('Fórmula'!C29+'Fórmula'!E29+'Fórmula'!G29+'Fórmula'!I29+'Fórmula'!K29))*(INDEX(properties!A$1:CB$87,'Fórmula'!H29,20))+(('Fórmula'!K29)/('Fórmula'!C29+'Fórmula'!E29+'Fórmula'!G29+'Fórmula'!I29+'Fórmula'!K29))*(INDEX(properties!A$1:CB$87,'Fórmula'!J29,20))</f>
        <v>4.823529412</v>
      </c>
      <c r="BQ29" s="112">
        <f t="array" ref="BQ29">'Fórmula'!C29*(INDEX(properties!A$1:CB$87,'Fórmula'!B29,20))+'Fórmula'!E29*(INDEX(properties!A$1:CB$87,'Fórmula'!D29,20))+'Fórmula'!G29*(INDEX(properties!A$1:CB$87,'Fórmula'!F29,20))+'Fórmula'!I29*(INDEX(properties!A$1:CB$87,'Fórmula'!H29,20))+'Fórmula'!K29*(INDEX(properties!A$1:CB$87,'Fórmula'!J29,20))</f>
        <v>82</v>
      </c>
      <c r="BR29" s="112">
        <f t="array" ref="BR29">VARP(IF(INDEX(properties!A$1:CB$87,'Fórmula'!B29,20)&lt;&gt;"",INDEX(properties!A$1:CB$87,'Fórmula'!B29,20)),IF(INDEX(properties!A$1:CB$87,'Fórmula'!D29,20)&lt;&gt;"",INDEX(properties!A$1:CB$87,'Fórmula'!D29,20)),IF(INDEX(properties!A$1:CB$87,'Fórmula'!F29,20)&lt;&gt;"",INDEX(properties!A$1:CB$87,'Fórmula'!F29,20)),IF(INDEX(properties!A$1:CB$87,'Fórmula'!H29,20)&lt;&gt;"",INDEX(properties!A$1:CB$87,'Fórmula'!H29,20)),IF(INDEX(properties!A$1:CB$87,'Fórmula'!J29,20)&lt;&gt;"",INDEX(properties!A$1:CB$87,'Fórmula'!J29,20)))</f>
        <v>4.8</v>
      </c>
      <c r="BS29" s="112">
        <f t="array" ref="BS29">MAX(INDEX(properties!A$1:CB$87,'Fórmula'!B29,20),INDEX(properties!A$1:CB$87,'Fórmula'!D29,20),INDEX(properties!A$1:CB$87,'Fórmula'!F29,20),INDEX(properties!A$1:CB$87,'Fórmula'!H29,20),INDEX(properties!A$1:CB$87,'Fórmula'!J29,20))</f>
        <v>6</v>
      </c>
      <c r="BT29" s="112">
        <f t="array" ref="BT29">MIN(IF(INDEX(properties!A$1:CB$87,'Fórmula'!B29,20)=0,10^6,INDEX(properties!A$1:CB$87,'Fórmula'!B29,20)),IF(INDEX(properties!A$1:CB$87,'Fórmula'!D29,20)=0,10^6,INDEX(properties!A$1:CB$87,'Fórmula'!D29,20)),IF(INDEX(properties!A$1:CB$87,'Fórmula'!F29,20)=0,10^6,INDEX(properties!A$1:CB$87,'Fórmula'!F29,20)),IF(INDEX(properties!A$1:CB$87,'Fórmula'!H29,20)=0,10^6,INDEX(properties!A$1:CB$87,'Fórmula'!H29,20)),IF(INDEX(properties!A$1:CB$87,'Fórmula'!J29,20)=0,10^6,INDEX(properties!A$1:CB$87,'Fórmula'!J29,20)))</f>
        <v>2</v>
      </c>
      <c r="BU29" s="112">
        <f t="shared" si="12"/>
        <v>4</v>
      </c>
      <c r="BV29" s="113">
        <f t="array" ref="BV29">(('Fórmula'!C29)/('Fórmula'!C29+'Fórmula'!E29+'Fórmula'!G29+'Fórmula'!I29+'Fórmula'!K29))*(INDEX(properties!A$1:CB$87,'Fórmula'!B29,21))+(('Fórmula'!E29)/('Fórmula'!C29+'Fórmula'!E29+'Fórmula'!G29+'Fórmula'!I29+'Fórmula'!K29))*(INDEX(properties!A$1:CB$87,'Fórmula'!D29,21))+(('Fórmula'!G29)/('Fórmula'!C29+'Fórmula'!E29+'Fórmula'!G29+'Fórmula'!I29+'Fórmula'!K29))*(INDEX(properties!A$1:CB$87,'Fórmula'!F29,21))+(('Fórmula'!I29)/('Fórmula'!C29+'Fórmula'!E29+'Fórmula'!G29+'Fórmula'!I29+'Fórmula'!K29))*(INDEX(properties!A$1:CB$87,'Fórmula'!H29,21))+(('Fórmula'!K29)/('Fórmula'!C29+'Fórmula'!E29+'Fórmula'!G29+'Fórmula'!I29+'Fórmula'!K29))*(INDEX(properties!A$1:CB$87,'Fórmula'!J29,21))</f>
        <v>5.058823529</v>
      </c>
      <c r="BW29" s="113">
        <f t="array" ref="BW29">'Fórmula'!C29*(INDEX(properties!A$1:CB$87,'Fórmula'!B29,21))+'Fórmula'!E29*(INDEX(properties!A$1:CB$87,'Fórmula'!D29,21))+'Fórmula'!G29*(INDEX(properties!A$1:CB$87,'Fórmula'!F29,21))+'Fórmula'!I29*(INDEX(properties!A$1:CB$87,'Fórmula'!H29,21))+'Fórmula'!K29*(INDEX(properties!A$1:CB$87,'Fórmula'!J29,21))</f>
        <v>86</v>
      </c>
      <c r="BX29" s="113">
        <f t="array" ref="BX29">VARP(IF(INDEX(properties!A$1:CB$87,'Fórmula'!B29,21)&lt;&gt;"",INDEX(properties!A$1:CB$87,'Fórmula'!B29,21)),IF(INDEX(properties!A$1:CB$87,'Fórmula'!D29,21)&lt;&gt;"",INDEX(properties!A$1:CB$87,'Fórmula'!D29,21)),IF(INDEX(properties!A$1:CB$87,'Fórmula'!F29,21)&lt;&gt;"",INDEX(properties!A$1:CB$87,'Fórmula'!F29,21)),IF(INDEX(properties!A$1:CB$87,'Fórmula'!H29,21)&lt;&gt;"",INDEX(properties!A$1:CB$87,'Fórmula'!H29,21)),IF(INDEX(properties!A$1:CB$87,'Fórmula'!J29,21)&lt;&gt;"",INDEX(properties!A$1:CB$87,'Fórmula'!J29,21)))</f>
        <v>5.76</v>
      </c>
      <c r="BY29" s="113">
        <f t="array" ref="BY29">MAX(INDEX(properties!A$1:CB$87,'Fórmula'!B29,21),INDEX(properties!A$1:CB$87,'Fórmula'!D29,21),INDEX(properties!A$1:CB$87,'Fórmula'!F29,21),INDEX(properties!A$1:CB$87,'Fórmula'!H29,21),INDEX(properties!A$1:CB$87,'Fórmula'!J29,21))</f>
        <v>6</v>
      </c>
      <c r="BZ29" s="113">
        <f t="array" ref="BZ29">MIN(IF(INDEX(properties!A$1:CB$87,'Fórmula'!B29,21)=0,10^6,INDEX(properties!A$1:CB$87,'Fórmula'!B29,21)),IF(INDEX(properties!A$1:CB$87,'Fórmula'!D29,21)=0,10^6,INDEX(properties!A$1:CB$87,'Fórmula'!D29,21)),IF(INDEX(properties!A$1:CB$87,'Fórmula'!F29,21)=0,10^6,INDEX(properties!A$1:CB$87,'Fórmula'!F29,21)),IF(INDEX(properties!A$1:CB$87,'Fórmula'!H29,21)=0,10^6,INDEX(properties!A$1:CB$87,'Fórmula'!H29,21)),IF(INDEX(properties!A$1:CB$87,'Fórmula'!J29,21)=0,10^6,INDEX(properties!A$1:CB$87,'Fórmula'!J29,21)))</f>
        <v>1</v>
      </c>
      <c r="CA29" s="113">
        <f t="shared" si="13"/>
        <v>5</v>
      </c>
      <c r="CB29" s="114">
        <f t="array" ref="CB29">(('Fórmula'!C29)/('Fórmula'!C29+'Fórmula'!E29+'Fórmula'!G29+'Fórmula'!I29+'Fórmula'!K29))*(INDEX(properties!A$1:CB$87,'Fórmula'!B29,23))+(('Fórmula'!E29)/('Fórmula'!C29+'Fórmula'!E29+'Fórmula'!G29+'Fórmula'!I29+'Fórmula'!K29))*(INDEX(properties!A$1:CB$87,'Fórmula'!D29,23))+(('Fórmula'!G29)/('Fórmula'!C29+'Fórmula'!E29+'Fórmula'!G29+'Fórmula'!I29+'Fórmula'!K29))*(INDEX(properties!A$1:CB$87,'Fórmula'!F29,23))+(('Fórmula'!I29)/('Fórmula'!C29+'Fórmula'!E29+'Fórmula'!G29+'Fórmula'!I29+'Fórmula'!K29))*(INDEX(properties!A$1:CB$87,'Fórmula'!H29,23))+(('Fórmula'!K29)/('Fórmula'!C29+'Fórmula'!E29+'Fórmula'!G29+'Fórmula'!I29+'Fórmula'!K29))*(INDEX(properties!A$1:CB$87,'Fórmula'!J29,23))</f>
        <v>1.372941176</v>
      </c>
      <c r="CC29" s="114">
        <f t="array" ref="CC29">'Fórmula'!C29*(INDEX(properties!A$1:CB$87,'Fórmula'!B29,23))+'Fórmula'!E29*(INDEX(properties!A$1:CB$87,'Fórmula'!D29,23))+'Fórmula'!G29*(INDEX(properties!A$1:CB$87,'Fórmula'!F29,23))+'Fórmula'!I29*(INDEX(properties!A$1:CB$87,'Fórmula'!H29,23))+'Fórmula'!K29*(INDEX(properties!A$1:CB$87,'Fórmula'!J29,23))</f>
        <v>23.34</v>
      </c>
      <c r="CD29" s="114">
        <f t="array" ref="CD29">VARP(IF(INDEX(properties!A$1:CB$87,'Fórmula'!B29,23)&lt;&gt;"",INDEX(properties!A$1:CB$87,'Fórmula'!B29,23)),IF(INDEX(properties!A$1:CB$87,'Fórmula'!D29,23)&lt;&gt;"",INDEX(properties!A$1:CB$87,'Fórmula'!D29,23)),IF(INDEX(properties!A$1:CB$87,'Fórmula'!F29,23)&lt;&gt;"",INDEX(properties!A$1:CB$87,'Fórmula'!F29,23)),IF(INDEX(properties!A$1:CB$87,'Fórmula'!H29,23)&lt;&gt;"",INDEX(properties!A$1:CB$87,'Fórmula'!H29,23)),IF(INDEX(properties!A$1:CB$87,'Fórmula'!J29,23)&lt;&gt;"",INDEX(properties!A$1:CB$87,'Fórmula'!J29,23)))</f>
        <v>5.398144</v>
      </c>
      <c r="CE29" s="114">
        <f t="array" ref="CE29">MAX(INDEX(properties!A$1:CB$87,'Fórmula'!B29,23),INDEX(properties!A$1:CB$87,'Fórmula'!D29,23),INDEX(properties!A$1:CB$87,'Fórmula'!F29,23),INDEX(properties!A$1:CB$87,'Fórmula'!H29,23),INDEX(properties!A$1:CB$87,'Fórmula'!J29,23))</f>
        <v>5.78</v>
      </c>
      <c r="CF29" s="114">
        <f t="array" ref="CF29">MIN(IF('Fórmula'!B29=87,10^6,INDEX(properties!A$1:CB$87,'Fórmula'!B29,23)),IF(('Fórmula'!D29)=87,10^6,INDEX(properties!A$1:CB$87,'Fórmula'!D29,23)),IF(('Fórmula'!F29)=87,10^6,INDEX(properties!A$1:CB$87,'Fórmula'!F29,23)),IF(('Fórmula'!H29)=87,10^6,INDEX(properties!A$1:CB$87,'Fórmula'!H29,23)),IF('Fórmula'!J29=87,10^6,INDEX(properties!A$1:CB$87,'Fórmula'!J29,23)))</f>
        <v>0</v>
      </c>
      <c r="CG29" s="114">
        <f t="shared" si="14"/>
        <v>5.78</v>
      </c>
      <c r="CH29" s="115">
        <f t="array" ref="CH29">(('Fórmula'!C29)/('Fórmula'!C29+'Fórmula'!E29+'Fórmula'!G29+'Fórmula'!I29+'Fórmula'!K29))*(INDEX(properties!A$1:CB$87,'Fórmula'!B29,26))+(('Fórmula'!E29)/('Fórmula'!C29+'Fórmula'!E29+'Fórmula'!G29+'Fórmula'!I29+'Fórmula'!K29))*(INDEX(properties!A$1:CB$87,'Fórmula'!D29,26))+(('Fórmula'!G29)/('Fórmula'!C29+'Fórmula'!E29+'Fórmula'!G29+'Fórmula'!I29+'Fórmula'!K29))*(INDEX(properties!A$1:CB$87,'Fórmula'!F29,26))+(('Fórmula'!I29)/('Fórmula'!C29+'Fórmula'!E29+'Fórmula'!G29+'Fórmula'!I29+'Fórmula'!K29))*(INDEX(properties!A$1:CB$87,'Fórmula'!H29,26))+(('Fórmula'!K29)/('Fórmula'!C29+'Fórmula'!E29+'Fórmula'!G29+'Fórmula'!I29+'Fórmula'!K29))*(INDEX(properties!A$1:CB$87,'Fórmula'!J29,26))</f>
        <v>11.65664706</v>
      </c>
      <c r="CI29" s="115">
        <f t="array" ref="CI29">'Fórmula'!C29*(INDEX(properties!A$1:CB$87,'Fórmula'!B29,26))+'Fórmula'!E29*(INDEX(properties!A$1:CB$87,'Fórmula'!D29,26))+'Fórmula'!G29*(INDEX(properties!A$1:CB$87,'Fórmula'!F29,26))+'Fórmula'!I29*(INDEX(properties!A$1:CB$87,'Fórmula'!H29,26))+'Fórmula'!K29*(INDEX(properties!A$1:CB$87,'Fórmula'!J29,26))</f>
        <v>198.163</v>
      </c>
      <c r="CJ29" s="115">
        <f t="array" ref="CJ29">VARP(IF(INDEX(properties!A$1:CB$87,'Fórmula'!B29,26)&lt;&gt;"",INDEX(properties!A$1:CB$87,'Fórmula'!B29,26)),IF(INDEX(properties!A$1:CB$87,'Fórmula'!D29,26)&lt;&gt;"",INDEX(properties!A$1:CB$87,'Fórmula'!D29,26)),IF(INDEX(properties!A$1:CB$87,'Fórmula'!F29,26)&lt;&gt;"",INDEX(properties!A$1:CB$87,'Fórmula'!F29,26)),IF(INDEX(properties!A$1:CB$87,'Fórmula'!H29,26)&lt;&gt;"",INDEX(properties!A$1:CB$87,'Fórmula'!H29,26)),IF(INDEX(properties!A$1:CB$87,'Fórmula'!J29,26)&lt;&gt;"",INDEX(properties!A$1:CB$87,'Fórmula'!J29,26)))</f>
        <v>26.3918122</v>
      </c>
      <c r="CK29" s="116">
        <f t="array" ref="CK29">MAX(INDEX(properties!A$1:CB$87,'Fórmula'!B29,26),INDEX(properties!A$1:CB$87,'Fórmula'!D29,26),INDEX(properties!A$1:CB$87,'Fórmula'!F29,26),INDEX(properties!A$1:CB$87,'Fórmula'!H29,26),INDEX(properties!A$1:CB$87,'Fórmula'!J29,26))</f>
        <v>13.6181</v>
      </c>
      <c r="CL29" s="116">
        <f t="array" ref="CL29">MIN(IF(INDEX(properties!A$1:CB$87,'Fórmula'!B29,26)=0,10^6,INDEX(properties!A$1:CB$87,'Fórmula'!B29,26)),IF(INDEX(properties!A$1:CB$87,'Fórmula'!D29,26)=0,10^6,INDEX(properties!A$1:CB$87,'Fórmula'!D29,26)),IF(INDEX(properties!A$1:CB$87,'Fórmula'!F29,26)=0,10^6,INDEX(properties!A$1:CB$87,'Fórmula'!F29,26)),IF(INDEX(properties!A$1:CB$87,'Fórmula'!H29,26)=0,10^6,INDEX(properties!A$1:CB$87,'Fórmula'!H29,26)),IF(INDEX(properties!A$1:CB$87,'Fórmula'!J29,26)=0,10^6,INDEX(properties!A$1:CB$87,'Fórmula'!J29,26)))</f>
        <v>5.5769</v>
      </c>
      <c r="CM29" s="115">
        <f t="shared" si="15"/>
        <v>8.0412</v>
      </c>
      <c r="CN29" s="117">
        <f t="array" ref="CN29">(('Fórmula'!C29)/('Fórmula'!C29+'Fórmula'!E29+'Fórmula'!G29+'Fórmula'!I29+'Fórmula'!K29))*(INDEX(properties!A$1:CB$87,'Fórmula'!B29,30))+(('Fórmula'!E29)/('Fórmula'!C29+'Fórmula'!E29+'Fórmula'!G29+'Fórmula'!I29+'Fórmula'!K29))*(INDEX(properties!A$1:CB$87,'Fórmula'!D29,30))+(('Fórmula'!G29)/('Fórmula'!C29+'Fórmula'!E29+'Fórmula'!G29+'Fórmula'!I29+'Fórmula'!K29))*(INDEX(properties!A$1:CB$87,'Fórmula'!F29,30))+(('Fórmula'!I29)/('Fórmula'!C29+'Fórmula'!E29+'Fórmula'!G29+'Fórmula'!I29+'Fórmula'!K29))*(INDEX(properties!A$1:CB$87,'Fórmula'!H29,30))+(('Fórmula'!K29)/('Fórmula'!C29+'Fórmula'!E29+'Fórmula'!G29+'Fórmula'!I29+'Fórmula'!K29))*(INDEX(properties!A$1:CB$87,'Fórmula'!J29,30))</f>
        <v>2.974117647</v>
      </c>
      <c r="CO29" s="117">
        <f t="array" ref="CO29">'Fórmula'!C29*(INDEX(properties!A$1:CB$87,'Fórmula'!B29,30))+'Fórmula'!E29*(INDEX(properties!A$1:CB$87,'Fórmula'!D29,30))+'Fórmula'!G29*(INDEX(properties!A$1:CB$87,'Fórmula'!F29,30))+'Fórmula'!I29*(INDEX(properties!A$1:CB$87,'Fórmula'!H29,30))+'Fórmula'!K29*(INDEX(properties!A$1:CB$87,'Fórmula'!J29,30))</f>
        <v>50.56</v>
      </c>
      <c r="CP29" s="117">
        <f t="array" ref="CP29">VARP(IF(INDEX(properties!A$1:CB$87,'Fórmula'!B29,30)&lt;&gt;"",INDEX(properties!A$1:CB$87,'Fórmula'!B29,30)),IF(INDEX(properties!A$1:CB$87,'Fórmula'!D29,30)&lt;&gt;"",INDEX(properties!A$1:CB$87,'Fórmula'!D29,30)),IF(INDEX(properties!A$1:CB$87,'Fórmula'!F29,30)&lt;&gt;"",INDEX(properties!A$1:CB$87,'Fórmula'!F29,30)),IF(INDEX(properties!A$1:CB$87,'Fórmula'!H29,30)&lt;&gt;"",INDEX(properties!A$1:CB$87,'Fórmula'!H29,30)),IF(INDEX(properties!A$1:CB$87,'Fórmula'!J29,30)&lt;&gt;"",INDEX(properties!A$1:CB$87,'Fórmula'!J29,30)))</f>
        <v>1.81824</v>
      </c>
      <c r="CQ29" s="117">
        <f t="array" ref="CQ29">MAX(INDEX(properties!A$1:CB$87,'Fórmula'!B29,30),INDEX(properties!A$1:CB$87,'Fórmula'!D29,30),INDEX(properties!A$1:CB$87,'Fórmula'!F29,30),INDEX(properties!A$1:CB$87,'Fórmula'!H29,30),INDEX(properties!A$1:CB$87,'Fórmula'!J29,30))</f>
        <v>3.44</v>
      </c>
      <c r="CR29" s="117">
        <f t="array" ref="CR29">MIN(IF(INDEX(properties!A$1:CB$87,'Fórmula'!B29,30)=0,10^6,INDEX(properties!A$1:CB$87,'Fórmula'!B29,30)),IF(INDEX(properties!A$1:CB$87,'Fórmula'!D29,30)=0,10^6,INDEX(properties!A$1:CB$87,'Fórmula'!D29,30)),IF(INDEX(properties!A$1:CB$87,'Fórmula'!F29,30)=0,10^6,INDEX(properties!A$1:CB$87,'Fórmula'!F29,30)),IF(INDEX(properties!A$1:CB$87,'Fórmula'!H29,30)=0,10^6,INDEX(properties!A$1:CB$87,'Fórmula'!H29,30)),IF(INDEX(properties!A$1:CB$87,'Fórmula'!J29,30)=0,10^6,INDEX(properties!A$1:CB$87,'Fórmula'!J29,30)))</f>
        <v>1.1</v>
      </c>
      <c r="CS29" s="117">
        <f t="shared" si="16"/>
        <v>2.34</v>
      </c>
      <c r="CT29" s="118">
        <f t="array" ref="CT29">(('Fórmula'!C29)/('Fórmula'!C29+'Fórmula'!E29+'Fórmula'!G29+'Fórmula'!I29+'Fórmula'!K29))*(INDEX(properties!A$1:CB$87,'Fórmula'!B29,31))+(('Fórmula'!E29)/('Fórmula'!C29+'Fórmula'!E29+'Fórmula'!G29+'Fórmula'!I29+'Fórmula'!K29))*(INDEX(properties!A$1:CB$87,'Fórmula'!D29,31))+(('Fórmula'!G29)/('Fórmula'!C29+'Fórmula'!E29+'Fórmula'!G29+'Fórmula'!I29+'Fórmula'!K29))*(INDEX(properties!A$1:CB$87,'Fórmula'!F29,31))+(('Fórmula'!I29)/('Fórmula'!C29+'Fórmula'!E29+'Fórmula'!G29+'Fórmula'!I29+'Fórmula'!K29))*(INDEX(properties!A$1:CB$87,'Fórmula'!H29,31))+(('Fórmula'!K29)/('Fórmula'!C29+'Fórmula'!E29+'Fórmula'!G29+'Fórmula'!I29+'Fórmula'!K29))*(INDEX(properties!A$1:CB$87,'Fórmula'!J29,31))</f>
        <v>2.818235294</v>
      </c>
      <c r="CU29" s="118">
        <f t="array" ref="CU29">'Fórmula'!C29*(INDEX(properties!A$1:CB$87,'Fórmula'!B29,31))+'Fórmula'!E29*(INDEX(properties!A$1:CB$87,'Fórmula'!D29,31))+'Fórmula'!G29*(INDEX(properties!A$1:CB$87,'Fórmula'!F29,31))+'Fórmula'!I29*(INDEX(properties!A$1:CB$87,'Fórmula'!H29,31))+'Fórmula'!K29*(INDEX(properties!A$1:CB$87,'Fórmula'!J29,31))</f>
        <v>47.91</v>
      </c>
      <c r="CV29" s="118">
        <f t="array" ref="CV29">VARP(IF(INDEX(properties!A$1:CB$87,'Fórmula'!B29,31)&lt;&gt;"",INDEX(properties!A$1:CB$87,'Fórmula'!B29,31)),IF(INDEX(properties!A$1:CB$87,'Fórmula'!D29,31)&lt;&gt;"",INDEX(properties!A$1:CB$87,'Fórmula'!D29,31)),IF(INDEX(properties!A$1:CB$87,'Fórmula'!F29,31)&lt;&gt;"",INDEX(properties!A$1:CB$87,'Fórmula'!F29,31)),IF(INDEX(properties!A$1:CB$87,'Fórmula'!H29,31)&lt;&gt;"",INDEX(properties!A$1:CB$87,'Fórmula'!H29,31)),IF(INDEX(properties!A$1:CB$87,'Fórmula'!J29,31)&lt;&gt;"",INDEX(properties!A$1:CB$87,'Fórmula'!J29,31)))</f>
        <v>1.540536</v>
      </c>
      <c r="CW29" s="118">
        <f t="array" ref="CW29">MAX(INDEX(properties!A$1:CB$87,'Fórmula'!B29,31),INDEX(properties!A$1:CB$87,'Fórmula'!D29,31),INDEX(properties!A$1:CB$87,'Fórmula'!F29,31),INDEX(properties!A$1:CB$87,'Fórmula'!H29,31),INDEX(properties!A$1:CB$87,'Fórmula'!J29,31))</f>
        <v>3.32</v>
      </c>
      <c r="CX29" s="118">
        <f t="array" ref="CX29">MIN(IF(INDEX(properties!A$1:CB$87,'Fórmula'!B29,31)=0,10^6,INDEX(properties!A$1:CB$87,'Fórmula'!B29,31)),IF(INDEX(properties!A$1:CB$87,'Fórmula'!D29,31)=0,10^6,INDEX(properties!A$1:CB$87,'Fórmula'!D29,31)),IF(INDEX(properties!A$1:CB$87,'Fórmula'!F29,31)=0,10^6,INDEX(properties!A$1:CB$87,'Fórmula'!F29,31)),IF(INDEX(properties!A$1:CB$87,'Fórmula'!H29,31)=0,10^6,INDEX(properties!A$1:CB$87,'Fórmula'!H29,31)),IF(INDEX(properties!A$1:CB$87,'Fórmula'!J29,31)=0,10^6,INDEX(properties!A$1:CB$87,'Fórmula'!J29,31)))</f>
        <v>1.35</v>
      </c>
      <c r="CY29" s="118">
        <f t="shared" si="17"/>
        <v>1.97</v>
      </c>
      <c r="CZ29" s="119">
        <f t="array" ref="CZ29">(('Fórmula'!C29)/('Fórmula'!C29+'Fórmula'!E29+'Fórmula'!G29+'Fórmula'!I29+'Fórmula'!K29))*(INDEX(properties!A$1:CB$87,'Fórmula'!B29,32))+(('Fórmula'!E29)/('Fórmula'!C29+'Fórmula'!E29+'Fórmula'!G29+'Fórmula'!I29+'Fórmula'!K29))*(INDEX(properties!A$1:CB$87,'Fórmula'!D29,32))+(('Fórmula'!G29)/('Fórmula'!C29+'Fórmula'!E29+'Fórmula'!G29+'Fórmula'!I29+'Fórmula'!K29))*(INDEX(properties!A$1:CB$87,'Fórmula'!F29,32))+(('Fórmula'!I29)/('Fórmula'!C29+'Fórmula'!E29+'Fórmula'!G29+'Fórmula'!I29+'Fórmula'!K29))*(INDEX(properties!A$1:CB$87,'Fórmula'!H29,32))+(('Fórmula'!K29)/('Fórmula'!C29+'Fórmula'!E29+'Fórmula'!G29+'Fórmula'!I29+'Fórmula'!K29))*(INDEX(properties!A$1:CB$87,'Fórmula'!J29,32))</f>
        <v>6.463529412</v>
      </c>
      <c r="DA29" s="119">
        <f t="array" ref="DA29">'Fórmula'!C29*(INDEX(properties!A$1:CB$87,'Fórmula'!B29,32))+'Fórmula'!E29*(INDEX(properties!A$1:CB$87,'Fórmula'!D29,32))+'Fórmula'!G29*(INDEX(properties!A$1:CB$87,'Fórmula'!F29,32))+'Fórmula'!I29*(INDEX(properties!A$1:CB$87,'Fórmula'!H29,32))+'Fórmula'!K29*(INDEX(properties!A$1:CB$87,'Fórmula'!J29,32))</f>
        <v>109.88</v>
      </c>
      <c r="DB29" s="119">
        <f t="array" ref="DB29">VARP(IF(INDEX(properties!A$1:CB$87,'Fórmula'!B29,32)&lt;&gt;"",INDEX(properties!A$1:CB$87,'Fórmula'!B29,32)),IF(INDEX(properties!A$1:CB$87,'Fórmula'!D29,32)&lt;&gt;"",INDEX(properties!A$1:CB$87,'Fórmula'!D29,32)),IF(INDEX(properties!A$1:CB$87,'Fórmula'!F29,32)&lt;&gt;"",INDEX(properties!A$1:CB$87,'Fórmula'!F29,32)),IF(INDEX(properties!A$1:CB$87,'Fórmula'!H29,32)&lt;&gt;"",INDEX(properties!A$1:CB$87,'Fórmula'!H29,32)),IF(INDEX(properties!A$1:CB$87,'Fórmula'!J29,32)&lt;&gt;"",INDEX(properties!A$1:CB$87,'Fórmula'!J29,32)))</f>
        <v>8.116256</v>
      </c>
      <c r="DC29" s="119">
        <f t="array" ref="DC29">MAX(INDEX(properties!A$1:CB$87,'Fórmula'!B29,32),INDEX(properties!A$1:CB$87,'Fórmula'!D29,32),INDEX(properties!A$1:CB$87,'Fórmula'!F29,32),INDEX(properties!A$1:CB$87,'Fórmula'!H29,32),INDEX(properties!A$1:CB$87,'Fórmula'!J29,32))</f>
        <v>7.54</v>
      </c>
      <c r="DD29" s="119">
        <f t="array" ref="DD29">MIN(IF(INDEX(properties!A$1:CB$87,'Fórmula'!B29,32)=0,10^6,INDEX(properties!A$1:CB$87,'Fórmula'!B29,32)),IF(INDEX(properties!A$1:CB$87,'Fórmula'!D29,32)=0,10^6,INDEX(properties!A$1:CB$87,'Fórmula'!D29,32)),IF(INDEX(properties!A$1:CB$87,'Fórmula'!F29,32)=0,10^6,INDEX(properties!A$1:CB$87,'Fórmula'!F29,32)),IF(INDEX(properties!A$1:CB$87,'Fórmula'!H29,32)=0,10^6,INDEX(properties!A$1:CB$87,'Fórmula'!H29,32)),IF(INDEX(properties!A$1:CB$87,'Fórmula'!J29,32)=0,10^6,INDEX(properties!A$1:CB$87,'Fórmula'!J29,32)))</f>
        <v>3.1</v>
      </c>
      <c r="DE29" s="119">
        <f t="shared" si="18"/>
        <v>4.44</v>
      </c>
      <c r="DF29" s="104">
        <f t="array" ref="DF29">(('Fórmula'!C29)/('Fórmula'!C29+'Fórmula'!E29+'Fórmula'!G29+'Fórmula'!I29+'Fórmula'!K29))*(INDEX(properties!A$1:CB$87,'Fórmula'!B29,34))+(('Fórmula'!E29)/('Fórmula'!C29+'Fórmula'!E29+'Fórmula'!G29+'Fórmula'!I29+'Fórmula'!K29))*(INDEX(properties!A$1:CB$87,'Fórmula'!D29,34))+(('Fórmula'!G29)/('Fórmula'!C29+'Fórmula'!E29+'Fórmula'!G29+'Fórmula'!I29+'Fórmula'!K29))*(INDEX(properties!A$1:CB$87,'Fórmula'!F29,34))+(('Fórmula'!I29)/('Fórmula'!C29+'Fórmula'!E29+'Fórmula'!G29+'Fórmula'!I29+'Fórmula'!K29))*(INDEX(properties!A$1:CB$87,'Fórmula'!H29,34))+(('Fórmula'!K29)/('Fórmula'!C29+'Fórmula'!E29+'Fórmula'!G29+'Fórmula'!I29+'Fórmula'!K29))*(INDEX(properties!A$1:CB$87,'Fórmula'!J29,34))</f>
        <v>2.935882353</v>
      </c>
      <c r="DG29" s="104">
        <f t="array" ref="DG29">'Fórmula'!C29*(INDEX(properties!A$1:CB$87,'Fórmula'!B29,34))+'Fórmula'!E29*(INDEX(properties!A$1:CB$87,'Fórmula'!D29,34))+'Fórmula'!G29*(INDEX(properties!A$1:CB$87,'Fórmula'!F29,34))+'Fórmula'!I29*(INDEX(properties!A$1:CB$87,'Fórmula'!H29,34))+'Fórmula'!K29*(INDEX(properties!A$1:CB$87,'Fórmula'!J29,34))</f>
        <v>49.91</v>
      </c>
      <c r="DH29" s="104">
        <f t="array" ref="DH29">VARP(IF(INDEX(properties!A$1:CB$87,'Fórmula'!B29,34)&lt;&gt;"",INDEX(properties!A$1:CB$87,'Fórmula'!B29,34)),IF(INDEX(properties!A$1:CB$87,'Fórmula'!D29,34)&lt;&gt;"",INDEX(properties!A$1:CB$87,'Fórmula'!D29,34)),IF(INDEX(properties!A$1:CB$87,'Fórmula'!F29,34)&lt;&gt;"",INDEX(properties!A$1:CB$87,'Fórmula'!F29,34)),IF(INDEX(properties!A$1:CB$87,'Fórmula'!H29,34)&lt;&gt;"",INDEX(properties!A$1:CB$87,'Fórmula'!H29,34)),IF(INDEX(properties!A$1:CB$87,'Fórmula'!J29,34)&lt;&gt;"",INDEX(properties!A$1:CB$87,'Fórmula'!J29,34)))</f>
        <v>1.753464</v>
      </c>
      <c r="DI29" s="104">
        <f t="array" ref="DI29">MAX(INDEX(properties!A$1:CB$87,'Fórmula'!B29,34),INDEX(properties!A$1:CB$87,'Fórmula'!D29,34),INDEX(properties!A$1:CB$87,'Fórmula'!F29,34),INDEX(properties!A$1:CB$87,'Fórmula'!H29,34),INDEX(properties!A$1:CB$87,'Fórmula'!J29,34))</f>
        <v>3.61</v>
      </c>
      <c r="DJ29" s="104">
        <f t="array" ref="DJ29">MIN(IF(INDEX(properties!A$1:CB$87,'Fórmula'!B29,34)=0,10^6,INDEX(properties!A$1:CB$87,'Fórmula'!B29,34)),IF(INDEX(properties!A$1:CB$87,'Fórmula'!D29,34)=0,10^6,INDEX(properties!A$1:CB$87,'Fórmula'!D29,34)),IF(INDEX(properties!A$1:CB$87,'Fórmula'!F29,34)=0,10^6,INDEX(properties!A$1:CB$87,'Fórmula'!F29,34)),IF(INDEX(properties!A$1:CB$87,'Fórmula'!H29,34)=0,10^6,INDEX(properties!A$1:CB$87,'Fórmula'!H29,34)),IF(INDEX(properties!A$1:CB$87,'Fórmula'!J29,34)=0,10^6,INDEX(properties!A$1:CB$87,'Fórmula'!J29,34)))</f>
        <v>1.09</v>
      </c>
      <c r="DK29" s="104">
        <f t="shared" si="19"/>
        <v>2.52</v>
      </c>
      <c r="DL29" s="105" t="str">
        <f t="array" ref="DL29">(('Fórmula'!C29)/('Fórmula'!C29+'Fórmula'!E29+'Fórmula'!G29+'Fórmula'!I29+'Fórmula'!K29))*(INDEX(properties!A$1:CB$87,'Fórmula'!B29,37))+(('Fórmula'!E29)/('Fórmula'!C29+'Fórmula'!E29+'Fórmula'!G29+'Fórmula'!I29+'Fórmula'!K29))*(INDEX(properties!A$1:CB$87,'Fórmula'!D29,37))+(('Fórmula'!G29)/('Fórmula'!C29+'Fórmula'!E29+'Fórmula'!G29+'Fórmula'!I29+'Fórmula'!K29))*(INDEX(properties!A$1:CB$87,'Fórmula'!F29,37))+(('Fórmula'!I29)/('Fórmula'!C29+'Fórmula'!E29+'Fórmula'!G29+'Fórmula'!I29+'Fórmula'!K29))*(INDEX(properties!A$1:CB$87,'Fórmula'!H29,37))+(('Fórmula'!K29)/('Fórmula'!C29+'Fórmula'!E29+'Fórmula'!G29+'Fórmula'!I29+'Fórmula'!K29))*(INDEX(properties!A$1:CB$87,'Fórmula'!J29,37))</f>
        <v>#VALUE!</v>
      </c>
      <c r="DM29" s="105" t="str">
        <f t="array" ref="DM29">'Fórmula'!C29*(INDEX(properties!A$1:CB$87,'Fórmula'!B29,37))+'Fórmula'!E29*(INDEX(properties!A$1:CB$87,'Fórmula'!D29,37))+'Fórmula'!G29*(INDEX(properties!A$1:CB$87,'Fórmula'!F29,37))+'Fórmula'!I29*(INDEX(properties!A$1:CB$87,'Fórmula'!H29,37))+'Fórmula'!K29*(INDEX(properties!A$1:CB$87,'Fórmula'!J29,37))</f>
        <v>#VALUE!</v>
      </c>
      <c r="DN29" s="105">
        <f t="array" ref="DN29">VARP(IF(INDEX(properties!A$1:CB$87,'Fórmula'!B29,37)&lt;&gt;"",INDEX(properties!A$1:CB$87,'Fórmula'!B29,37)),IF(INDEX(properties!A$1:CB$87,'Fórmula'!D29,37)&lt;&gt;"",INDEX(properties!A$1:CB$87,'Fórmula'!D29,37)),IF(INDEX(properties!A$1:CB$87,'Fórmula'!F29,37)&lt;&gt;"",INDEX(properties!A$1:CB$87,'Fórmula'!F29,37)),IF(INDEX(properties!A$1:CB$87,'Fórmula'!H29,37)&lt;&gt;"",INDEX(properties!A$1:CB$87,'Fórmula'!H29,37)),IF(INDEX(properties!A$1:CB$87,'Fórmula'!J29,37)&lt;&gt;"",INDEX(properties!A$1:CB$87,'Fórmula'!J29,37)))</f>
        <v>1.98421875</v>
      </c>
      <c r="DO29" s="105">
        <f t="array" ref="DO29">MAX(INDEX(properties!A$1:CB$87,'Fórmula'!B29,37),INDEX(properties!A$1:CB$87,'Fórmula'!D29,37),INDEX(properties!A$1:CB$87,'Fórmula'!F29,37),INDEX(properties!A$1:CB$87,'Fórmula'!H29,37),INDEX(properties!A$1:CB$87,'Fórmula'!J29,37))</f>
        <v>3.45</v>
      </c>
      <c r="DP29" s="105">
        <f t="array" ref="DP29">MIN(IF(INDEX(properties!A$1:CB$87,'Fórmula'!B29,37)=0,10^6,INDEX(properties!A$1:CB$87,'Fórmula'!B29,37)),IF(INDEX(properties!A$1:CB$87,'Fórmula'!D29,37)=0,10^6,INDEX(properties!A$1:CB$87,'Fórmula'!D29,37)),IF(INDEX(properties!A$1:CB$87,'Fórmula'!F29,37)=0,10^6,INDEX(properties!A$1:CB$87,'Fórmula'!F29,37)),IF(INDEX(properties!A$1:CB$87,'Fórmula'!H29,37)=0,10^6,INDEX(properties!A$1:CB$87,'Fórmula'!H29,37)),IF(INDEX(properties!A$1:CB$87,'Fórmula'!J29,37)=0,10^6,INDEX(properties!A$1:CB$87,'Fórmula'!J29,37)))</f>
        <v>1.2</v>
      </c>
      <c r="DQ29" s="105">
        <f t="shared" si="20"/>
        <v>2.25</v>
      </c>
      <c r="DR29" s="109">
        <f t="array" ref="DR29">(('Fórmula'!C29)/('Fórmula'!C29+'Fórmula'!E29+'Fórmula'!G29+'Fórmula'!I29+'Fórmula'!K29))*(INDEX(properties!A$1:CB$87,'Fórmula'!B29,39))+(('Fórmula'!E29)/('Fórmula'!C29+'Fórmula'!E29+'Fórmula'!G29+'Fórmula'!I29+'Fórmula'!K29))*(INDEX(properties!A$1:CB$87,'Fórmula'!D29,39))+(('Fórmula'!G29)/('Fórmula'!C29+'Fórmula'!E29+'Fórmula'!G29+'Fórmula'!I29+'Fórmula'!K29))*(INDEX(properties!A$1:CB$87,'Fórmula'!F29,39))+(('Fórmula'!I29)/('Fórmula'!C29+'Fórmula'!E29+'Fórmula'!G29+'Fórmula'!I29+'Fórmula'!K29))*(INDEX(properties!A$1:CB$87,'Fórmula'!H29,39))+(('Fórmula'!K29)/('Fórmula'!C29+'Fórmula'!E29+'Fórmula'!G29+'Fórmula'!I29+'Fórmula'!K29))*(INDEX(properties!A$1:CB$87,'Fórmula'!J29,39))</f>
        <v>0.9088235294</v>
      </c>
      <c r="DS29" s="109">
        <f t="array" ref="DS29">'Fórmula'!C29*(INDEX(properties!A$1:CB$87,'Fórmula'!B29,39))+'Fórmula'!E29*(INDEX(properties!A$1:CB$87,'Fórmula'!D29,39))+'Fórmula'!G29*(INDEX(properties!A$1:CB$87,'Fórmula'!F29,39))+'Fórmula'!I29*(INDEX(properties!A$1:CB$87,'Fórmula'!H29,39))+'Fórmula'!K29*(INDEX(properties!A$1:CB$87,'Fórmula'!J29,39))</f>
        <v>15.45</v>
      </c>
      <c r="DT29" s="109">
        <f t="array" ref="DT29">VARP(IF(INDEX(properties!A$1:CB$87,'Fórmula'!B29,39)&lt;&gt;"",INDEX(properties!A$1:CB$87,'Fórmula'!B29,39)),IF(INDEX(properties!A$1:CB$87,'Fórmula'!D29,39)&lt;&gt;"",INDEX(properties!A$1:CB$87,'Fórmula'!D29,39)),IF(INDEX(properties!A$1:CB$87,'Fórmula'!F29,39)&lt;&gt;"",INDEX(properties!A$1:CB$87,'Fórmula'!F29,39)),IF(INDEX(properties!A$1:CB$87,'Fórmula'!H29,39)&lt;&gt;"",INDEX(properties!A$1:CB$87,'Fórmula'!H29,39)),IF(INDEX(properties!A$1:CB$87,'Fórmula'!J29,39)&lt;&gt;"",INDEX(properties!A$1:CB$87,'Fórmula'!J29,39)))</f>
        <v>0.791176</v>
      </c>
      <c r="DU29" s="120">
        <f t="array" ref="DU29">MAX(INDEX(properties!A$1:CB$87,'Fórmula'!B29,39),INDEX(properties!A$1:CB$87,'Fórmula'!D29,39),INDEX(properties!A$1:CB$87,'Fórmula'!F29,39),INDEX(properties!A$1:CB$87,'Fórmula'!H29,39),INDEX(properties!A$1:CB$87,'Fórmula'!J29,39))</f>
        <v>1.95</v>
      </c>
      <c r="DV29" s="120">
        <f t="array" ref="DV29">MIN(IF(INDEX(properties!A$1:CB$87,'Fórmula'!B29,39)=0,10^6,INDEX(properties!A$1:CB$87,'Fórmula'!B29,39)),IF(INDEX(properties!A$1:CB$87,'Fórmula'!D29,39)=0,10^6,INDEX(properties!A$1:CB$87,'Fórmula'!D29,39)),IF(INDEX(properties!A$1:CB$87,'Fórmula'!F29,39)=0,10^6,INDEX(properties!A$1:CB$87,'Fórmula'!F29,39)),IF(INDEX(properties!A$1:CB$87,'Fórmula'!H29,39)=0,10^6,INDEX(properties!A$1:CB$87,'Fórmula'!H29,39)),IF(INDEX(properties!A$1:CB$87,'Fórmula'!J29,39)=0,10^6,INDEX(properties!A$1:CB$87,'Fórmula'!J29,39)))</f>
        <v>0.48</v>
      </c>
      <c r="DW29" s="109">
        <f t="shared" si="21"/>
        <v>1.47</v>
      </c>
      <c r="DX29" s="110">
        <f t="array" ref="DX29">(('Fórmula'!C29)/('Fórmula'!C29+'Fórmula'!E29+'Fórmula'!G29+'Fórmula'!I29+'Fórmula'!K29))*(INDEX(properties!A$1:CB$87,'Fórmula'!B29,40))+(('Fórmula'!E29)/('Fórmula'!C29+'Fórmula'!E29+'Fórmula'!G29+'Fórmula'!I29+'Fórmula'!K29))*(INDEX(properties!A$1:CB$87,'Fórmula'!D29,40))+(('Fórmula'!G29)/('Fórmula'!C29+'Fórmula'!E29+'Fórmula'!G29+'Fórmula'!I29+'Fórmula'!K29))*(INDEX(properties!A$1:CB$87,'Fórmula'!F29,40))+(('Fórmula'!I29)/('Fórmula'!C29+'Fórmula'!E29+'Fórmula'!G29+'Fórmula'!I29+'Fórmula'!K29))*(INDEX(properties!A$1:CB$87,'Fórmula'!H29,40))+(('Fórmula'!K29)/('Fórmula'!C29+'Fórmula'!E29+'Fórmula'!G29+'Fórmula'!I29+'Fórmula'!K29))*(INDEX(properties!A$1:CB$87,'Fórmula'!J29,40))</f>
        <v>0.9717647059</v>
      </c>
      <c r="DY29" s="110">
        <f t="array" ref="DY29">'Fórmula'!C29*(INDEX(properties!A$1:CB$87,'Fórmula'!B29,40))+'Fórmula'!E29*(INDEX(properties!A$1:CB$87,'Fórmula'!D29,40))+'Fórmula'!G29*(INDEX(properties!A$1:CB$87,'Fórmula'!F29,40))+'Fórmula'!I29*(INDEX(properties!A$1:CB$87,'Fórmula'!H29,40))+'Fórmula'!K29*(INDEX(properties!A$1:CB$87,'Fórmula'!J29,40))</f>
        <v>16.52</v>
      </c>
      <c r="DZ29" s="110">
        <f t="array" ref="DZ29">VARP(IF(INDEX(properties!A$1:CB$87,'Fórmula'!B29,40)&lt;&gt;"",INDEX(properties!A$1:CB$87,'Fórmula'!B29,40)),IF(INDEX(properties!A$1:CB$87,'Fórmula'!D29,40)&lt;&gt;"",INDEX(properties!A$1:CB$87,'Fórmula'!D29,40)),IF(INDEX(properties!A$1:CB$87,'Fórmula'!F29,40)&lt;&gt;"",INDEX(properties!A$1:CB$87,'Fórmula'!F29,40)),IF(INDEX(properties!A$1:CB$87,'Fórmula'!H29,40)&lt;&gt;"",INDEX(properties!A$1:CB$87,'Fórmula'!H29,40)),IF(INDEX(properties!A$1:CB$87,'Fórmula'!J29,40)&lt;&gt;"",INDEX(properties!A$1:CB$87,'Fórmula'!J29,40)))</f>
        <v>0.501944</v>
      </c>
      <c r="EA29" s="121">
        <f t="array" ref="EA29">MAX(INDEX(properties!A$1:CB$87,'Fórmula'!B29,40),INDEX(properties!A$1:CB$87,'Fórmula'!D29,40),INDEX(properties!A$1:CB$87,'Fórmula'!F29,40),INDEX(properties!A$1:CB$87,'Fórmula'!H29,40),INDEX(properties!A$1:CB$87,'Fórmula'!J29,40))</f>
        <v>1.69</v>
      </c>
      <c r="EB29" s="121">
        <f t="array" ref="EB29">MIN(IF(INDEX(properties!A$1:CB$87,'Fórmula'!B29,40)=0,10^6,INDEX(properties!A$1:CB$87,'Fórmula'!B29,40)),IF(INDEX(properties!A$1:CB$87,'Fórmula'!D29,40)=0,10^6,INDEX(properties!A$1:CB$87,'Fórmula'!D29,40)),IF(INDEX(properties!A$1:CB$87,'Fórmula'!F29,40)=0,10^6,INDEX(properties!A$1:CB$87,'Fórmula'!F29,40)),IF(INDEX(properties!A$1:CB$87,'Fórmula'!H29,40)=0,10^6,INDEX(properties!A$1:CB$87,'Fórmula'!H29,40)),IF(INDEX(properties!A$1:CB$87,'Fórmula'!J29,40)=0,10^6,INDEX(properties!A$1:CB$87,'Fórmula'!J29,40)))</f>
        <v>0.73</v>
      </c>
      <c r="EC29" s="110">
        <f t="shared" si="22"/>
        <v>0.96</v>
      </c>
      <c r="ED29" s="111">
        <f t="array" ref="ED29">(('Fórmula'!C29)/('Fórmula'!C29+'Fórmula'!E29+'Fórmula'!G29+'Fórmula'!I29+'Fórmula'!K29))*(INDEX(properties!A$1:CB$87,'Fórmula'!B29,41))+(('Fórmula'!E29)/('Fórmula'!C29+'Fórmula'!E29+'Fórmula'!G29+'Fórmula'!I29+'Fórmula'!K29))*(INDEX(properties!A$1:CB$87,'Fórmula'!D29,41))+(('Fórmula'!G29)/('Fórmula'!C29+'Fórmula'!E29+'Fórmula'!G29+'Fórmula'!I29+'Fórmula'!K29))*(INDEX(properties!A$1:CB$87,'Fórmula'!F29,41))+(('Fórmula'!I29)/('Fórmula'!C29+'Fórmula'!E29+'Fórmula'!G29+'Fórmula'!I29+'Fórmula'!K29))*(INDEX(properties!A$1:CB$87,'Fórmula'!H29,41))+(('Fórmula'!K29)/('Fórmula'!C29+'Fórmula'!E29+'Fórmula'!G29+'Fórmula'!I29+'Fórmula'!K29))*(INDEX(properties!A$1:CB$87,'Fórmula'!J29,41))</f>
        <v>1.168235294</v>
      </c>
      <c r="EE29" s="111">
        <f t="array" ref="EE29">'Fórmula'!C29*(INDEX(properties!A$1:CB$87,'Fórmula'!B29,41))+'Fórmula'!E29*(INDEX(properties!A$1:CB$87,'Fórmula'!D29,41))+'Fórmula'!G29*(INDEX(properties!A$1:CB$87,'Fórmula'!F29,41))+'Fórmula'!I29*(INDEX(properties!A$1:CB$87,'Fórmula'!H29,41))+'Fórmula'!K29*(INDEX(properties!A$1:CB$87,'Fórmula'!J29,41))</f>
        <v>19.86</v>
      </c>
      <c r="EF29" s="111">
        <f t="array" ref="EF29">VARP(IF(INDEX(properties!A$1:CB$87,'Fórmula'!B29,41)&lt;&gt;"",INDEX(properties!A$1:CB$87,'Fórmula'!B29,41)),IF(INDEX(properties!A$1:CB$87,'Fórmula'!D29,41)&lt;&gt;"",INDEX(properties!A$1:CB$87,'Fórmula'!D29,41)),IF(INDEX(properties!A$1:CB$87,'Fórmula'!F29,41)&lt;&gt;"",INDEX(properties!A$1:CB$87,'Fórmula'!F29,41)),IF(INDEX(properties!A$1:CB$87,'Fórmula'!H29,41)&lt;&gt;"",INDEX(properties!A$1:CB$87,'Fórmula'!H29,41)),IF(INDEX(properties!A$1:CB$87,'Fórmula'!J29,41)&lt;&gt;"",INDEX(properties!A$1:CB$87,'Fórmula'!J29,41)))</f>
        <v>0.301984</v>
      </c>
      <c r="EG29" s="122">
        <f t="array" ref="EG29">MAX(INDEX(properties!A$1:CB$87,'Fórmula'!B29,41),INDEX(properties!A$1:CB$87,'Fórmula'!D29,41),INDEX(properties!A$1:CB$87,'Fórmula'!F29,41),INDEX(properties!A$1:CB$87,'Fórmula'!H29,41),INDEX(properties!A$1:CB$87,'Fórmula'!J29,41))</f>
        <v>1.26</v>
      </c>
      <c r="EH29" s="122">
        <f t="array" ref="EH29">MIN(IF(INDEX(properties!A$1:CB$87,'Fórmula'!B29,41)=0,10^6,INDEX(properties!A$1:CB$87,'Fórmula'!B29,41)),IF(INDEX(properties!A$1:CB$87,'Fórmula'!D29,41)=0,10^6,INDEX(properties!A$1:CB$87,'Fórmula'!D29,41)),IF(INDEX(properties!A$1:CB$87,'Fórmula'!F29,41)=0,10^6,INDEX(properties!A$1:CB$87,'Fórmula'!F29,41)),IF(INDEX(properties!A$1:CB$87,'Fórmula'!H29,41)=0,10^6,INDEX(properties!A$1:CB$87,'Fórmula'!H29,41)),IF(INDEX(properties!A$1:CB$87,'Fórmula'!J29,41)=0,10^6,INDEX(properties!A$1:CB$87,'Fórmula'!J29,41)))</f>
        <v>0.8</v>
      </c>
      <c r="EI29" s="111">
        <f t="shared" si="23"/>
        <v>0.46</v>
      </c>
      <c r="EJ29" s="112">
        <f t="array" ref="EJ29">(('Fórmula'!C29)/('Fórmula'!C29+'Fórmula'!E29+'Fórmula'!G29+'Fórmula'!I29+'Fórmula'!K29))*(INDEX(properties!A$1:CB$87,'Fórmula'!B29,45))+(('Fórmula'!E29)/('Fórmula'!C29+'Fórmula'!E29+'Fórmula'!G29+'Fórmula'!I29+'Fórmula'!K29))*(INDEX(properties!A$1:CB$87,'Fórmula'!D29,45))+(('Fórmula'!G29)/('Fórmula'!C29+'Fórmula'!E29+'Fórmula'!G29+'Fórmula'!I29+'Fórmula'!K29))*(INDEX(properties!A$1:CB$87,'Fórmula'!F29,45))+(('Fórmula'!I29)/('Fórmula'!C29+'Fórmula'!E29+'Fórmula'!G29+'Fórmula'!I29+'Fórmula'!K29))*(INDEX(properties!A$1:CB$87,'Fórmula'!H29,45))+(('Fórmula'!K29)/('Fórmula'!C29+'Fórmula'!E29+'Fórmula'!G29+'Fórmula'!I29+'Fórmula'!K29))*(INDEX(properties!A$1:CB$87,'Fórmula'!J29,45))</f>
        <v>1.177647059</v>
      </c>
      <c r="EK29" s="112">
        <f t="array" ref="EK29">'Fórmula'!C29*(INDEX(properties!A$1:CB$87,'Fórmula'!B29,45))+'Fórmula'!E29*(INDEX(properties!A$1:CB$87,'Fórmula'!D29,45))+'Fórmula'!G29*(INDEX(properties!A$1:CB$87,'Fórmula'!F29,45))+'Fórmula'!I29*(INDEX(properties!A$1:CB$87,'Fórmula'!H29,45))+'Fórmula'!K29*(INDEX(properties!A$1:CB$87,'Fórmula'!J29,45))</f>
        <v>20.02</v>
      </c>
      <c r="EL29" s="112">
        <f t="array" ref="EL29">VARP(IF(INDEX(properties!A$1:CB$87,'Fórmula'!B29,45)&lt;&gt;"",INDEX(properties!A$1:CB$87,'Fórmula'!B29,45)),IF(INDEX(properties!A$1:CB$87,'Fórmula'!D29,45)&lt;&gt;"",INDEX(properties!A$1:CB$87,'Fórmula'!D29,45)),IF(INDEX(properties!A$1:CB$87,'Fórmula'!F29,45)&lt;&gt;"",INDEX(properties!A$1:CB$87,'Fórmula'!F29,45)),IF(INDEX(properties!A$1:CB$87,'Fórmula'!H29,45)&lt;&gt;"",INDEX(properties!A$1:CB$87,'Fórmula'!H29,45)),IF(INDEX(properties!A$1:CB$87,'Fórmula'!J29,45)&lt;&gt;"",INDEX(properties!A$1:CB$87,'Fórmula'!J29,45)))</f>
        <v>1.860416</v>
      </c>
      <c r="EM29" s="123">
        <f t="array" ref="EM29">MAX(INDEX(properties!A$1:CB$87,'Fórmula'!B29,45),INDEX(properties!A$1:CB$87,'Fórmula'!D29,45),INDEX(properties!A$1:CB$87,'Fórmula'!F29,45),INDEX(properties!A$1:CB$87,'Fórmula'!H29,45),INDEX(properties!A$1:CB$87,'Fórmula'!J29,45))</f>
        <v>3.08</v>
      </c>
      <c r="EN29" s="123">
        <f t="array" ref="EN29">MIN(IF(INDEX(properties!A$1:CB$87,'Fórmula'!B29,45)=0,10^6,INDEX(properties!A$1:CB$87,'Fórmula'!B29,45)),IF(INDEX(properties!A$1:CB$87,'Fórmula'!D29,45)=0,10^6,INDEX(properties!A$1:CB$87,'Fórmula'!D29,45)),IF(INDEX(properties!A$1:CB$87,'Fórmula'!F29,45)=0,10^6,INDEX(properties!A$1:CB$87,'Fórmula'!F29,45)),IF(INDEX(properties!A$1:CB$87,'Fórmula'!H29,45)=0,10^6,INDEX(properties!A$1:CB$87,'Fórmula'!H29,45)),IF(INDEX(properties!A$1:CB$87,'Fórmula'!J29,45)=0,10^6,INDEX(properties!A$1:CB$87,'Fórmula'!J29,45)))</f>
        <v>0.47</v>
      </c>
      <c r="EO29" s="112">
        <f t="shared" si="24"/>
        <v>2.61</v>
      </c>
      <c r="EP29" s="113">
        <f t="array" ref="EP29">(('Fórmula'!C29)/('Fórmula'!C29+'Fórmula'!E29+'Fórmula'!G29+'Fórmula'!I29+'Fórmula'!K29))*(INDEX(properties!A$1:CB$87,'Fórmula'!B29,46))+(('Fórmula'!E29)/('Fórmula'!C29+'Fórmula'!E29+'Fórmula'!G29+'Fórmula'!I29+'Fórmula'!K29))*(INDEX(properties!A$1:CB$87,'Fórmula'!D29,46))+(('Fórmula'!G29)/('Fórmula'!C29+'Fórmula'!E29+'Fórmula'!G29+'Fórmula'!I29+'Fórmula'!K29))*(INDEX(properties!A$1:CB$87,'Fórmula'!F29,46))+(('Fórmula'!I29)/('Fórmula'!C29+'Fórmula'!E29+'Fórmula'!G29+'Fórmula'!I29+'Fórmula'!K29))*(INDEX(properties!A$1:CB$87,'Fórmula'!H29,46))+(('Fórmula'!K29)/('Fórmula'!C29+'Fórmula'!E29+'Fórmula'!G29+'Fórmula'!I29+'Fórmula'!K29))*(INDEX(properties!A$1:CB$87,'Fórmula'!J29,46))</f>
        <v>1.144705882</v>
      </c>
      <c r="EQ29" s="113">
        <f t="array" ref="EQ29">'Fórmula'!C29*(INDEX(properties!A$1:CB$87,'Fórmula'!B29,46))+'Fórmula'!E29*(INDEX(properties!A$1:CB$87,'Fórmula'!D29,46))+'Fórmula'!G29*(INDEX(properties!A$1:CB$87,'Fórmula'!F29,46))+'Fórmula'!I29*(INDEX(properties!A$1:CB$87,'Fórmula'!H29,46))+'Fórmula'!K29*(INDEX(properties!A$1:CB$87,'Fórmula'!J29,46))</f>
        <v>19.46</v>
      </c>
      <c r="ER29" s="113">
        <f t="array" ref="ER29">VARP(IF(INDEX(properties!A$1:CB$87,'Fórmula'!B29,46)&lt;&gt;"",INDEX(properties!A$1:CB$87,'Fórmula'!B29,46)),IF(INDEX(properties!A$1:CB$87,'Fórmula'!D29,46)&lt;&gt;"",INDEX(properties!A$1:CB$87,'Fórmula'!D29,46)),IF(INDEX(properties!A$1:CB$87,'Fórmula'!F29,46)&lt;&gt;"",INDEX(properties!A$1:CB$87,'Fórmula'!F29,46)),IF(INDEX(properties!A$1:CB$87,'Fórmula'!H29,46)&lt;&gt;"",INDEX(properties!A$1:CB$87,'Fórmula'!H29,46)),IF(INDEX(properties!A$1:CB$87,'Fórmula'!J29,46)&lt;&gt;"",INDEX(properties!A$1:CB$87,'Fórmula'!J29,46)))</f>
        <v>0.334016</v>
      </c>
      <c r="ES29" s="124">
        <f t="array" ref="ES29">MAX(INDEX(properties!A$1:CB$87,'Fórmula'!B29,46),INDEX(properties!A$1:CB$87,'Fórmula'!D29,46),INDEX(properties!A$1:CB$87,'Fórmula'!F29,46),INDEX(properties!A$1:CB$87,'Fórmula'!H29,46),INDEX(properties!A$1:CB$87,'Fórmula'!J29,46))</f>
        <v>1.36</v>
      </c>
      <c r="ET29" s="124">
        <f t="array" ref="ET29">MIN(IF(INDEX(properties!A$1:CB$87,'Fórmula'!B29,46)=0,10^6,INDEX(properties!A$1:CB$87,'Fórmula'!B29,46)),IF(INDEX(properties!A$1:CB$87,'Fórmula'!D29,46)=0,10^6,INDEX(properties!A$1:CB$87,'Fórmula'!D29,46)),IF(INDEX(properties!A$1:CB$87,'Fórmula'!F29,46)=0,10^6,INDEX(properties!A$1:CB$87,'Fórmula'!F29,46)),IF(INDEX(properties!A$1:CB$87,'Fórmula'!H29,46)=0,10^6,INDEX(properties!A$1:CB$87,'Fórmula'!H29,46)),IF(INDEX(properties!A$1:CB$87,'Fórmula'!J29,46)=0,10^6,INDEX(properties!A$1:CB$87,'Fórmula'!J29,46)))</f>
        <v>0.74</v>
      </c>
      <c r="EU29" s="113">
        <f t="shared" si="25"/>
        <v>0.62</v>
      </c>
      <c r="EV29" s="114">
        <f t="array" ref="EV29">(('Fórmula'!C29)/('Fórmula'!C29+'Fórmula'!E29+'Fórmula'!G29+'Fórmula'!I29+'Fórmula'!K29))*(INDEX(properties!A$1:CB$87,'Fórmula'!B29,52))+(('Fórmula'!E29)/('Fórmula'!C29+'Fórmula'!E29+'Fórmula'!G29+'Fórmula'!I29+'Fórmula'!K29))*(INDEX(properties!A$1:CB$87,'Fórmula'!D29,52))+(('Fórmula'!G29)/('Fórmula'!C29+'Fórmula'!E29+'Fórmula'!G29+'Fórmula'!I29+'Fórmula'!K29))*(INDEX(properties!A$1:CB$87,'Fórmula'!F29,52))+(('Fórmula'!I29)/('Fórmula'!C29+'Fórmula'!E29+'Fórmula'!G29+'Fórmula'!I29+'Fórmula'!K29))*(INDEX(properties!A$1:CB$87,'Fórmula'!H29,52))+(('Fórmula'!K29)/('Fórmula'!C29+'Fórmula'!E29+'Fórmula'!G29+'Fórmula'!I29+'Fórmula'!K29))*(INDEX(properties!A$1:CB$87,'Fórmula'!J29,52))</f>
        <v>6.177411765</v>
      </c>
      <c r="EW29" s="114">
        <f t="array" ref="EW29">'Fórmula'!C29*(INDEX(properties!A$1:CB$87,'Fórmula'!B29,52))+'Fórmula'!E29*(INDEX(properties!A$1:CB$87,'Fórmula'!D29,52))+'Fórmula'!G29*(INDEX(properties!A$1:CB$87,'Fórmula'!F29,52))+'Fórmula'!I29*(INDEX(properties!A$1:CB$87,'Fórmula'!H29,52))+'Fórmula'!K29*(INDEX(properties!A$1:CB$87,'Fórmula'!J29,52))</f>
        <v>105.016</v>
      </c>
      <c r="EX29" s="114">
        <f t="array" ref="EX29">VARP(IF(INDEX(properties!A$1:CB$87,'Fórmula'!B29,52)&lt;&gt;"",INDEX(properties!A$1:CB$87,'Fórmula'!B29,52)),IF(INDEX(properties!A$1:CB$87,'Fórmula'!D29,52)&lt;&gt;"",INDEX(properties!A$1:CB$87,'Fórmula'!D29,52)),IF(INDEX(properties!A$1:CB$87,'Fórmula'!F29,52)&lt;&gt;"",INDEX(properties!A$1:CB$87,'Fórmula'!F29,52)),IF(INDEX(properties!A$1:CB$87,'Fórmula'!H29,52)&lt;&gt;"",INDEX(properties!A$1:CB$87,'Fórmula'!H29,52)),IF(INDEX(properties!A$1:CB$87,'Fórmula'!J29,52)&lt;&gt;"",INDEX(properties!A$1:CB$87,'Fórmula'!J29,52)))</f>
        <v>144.2738478</v>
      </c>
      <c r="EY29" s="114">
        <f t="array" ref="EY29">MAX(INDEX(properties!A$1:CB$87,'Fórmula'!B29,52),INDEX(properties!A$1:CB$87,'Fórmula'!D29,52),INDEX(properties!A$1:CB$87,'Fórmula'!F29,52),INDEX(properties!A$1:CB$87,'Fórmula'!H29,52),INDEX(properties!A$1:CB$87,'Fórmula'!J29,52))</f>
        <v>31.1</v>
      </c>
      <c r="EZ29" s="114">
        <f t="array" ref="EZ29">MIN(IF(INDEX(properties!A$1:CB$87,'Fórmula'!B29,52)=0,10^6,INDEX(properties!A$1:CB$87,'Fórmula'!B29,52)),IF(INDEX(properties!A$1:CB$87,'Fórmula'!D29,52)=0,10^6,INDEX(properties!A$1:CB$87,'Fórmula'!D29,52)),IF(INDEX(properties!A$1:CB$87,'Fórmula'!F29,52)=0,10^6,INDEX(properties!A$1:CB$87,'Fórmula'!F29,52)),IF(INDEX(properties!A$1:CB$87,'Fórmula'!H29,52)=0,10^6,INDEX(properties!A$1:CB$87,'Fórmula'!H29,52)),IF(INDEX(properties!A$1:CB$87,'Fórmula'!J29,52)=0,10^6,INDEX(properties!A$1:CB$87,'Fórmula'!J29,52)))</f>
        <v>0.793</v>
      </c>
      <c r="FA29" s="114">
        <f t="shared" si="26"/>
        <v>30.307</v>
      </c>
      <c r="FB29" s="115">
        <f t="array" ref="FB29">(('Fórmula'!C29)/('Fórmula'!C29+'Fórmula'!E29+'Fórmula'!G29+'Fórmula'!I29+'Fórmula'!K29))*(INDEX(properties!A$1:CB$87,'Fórmula'!B29,53))+(('Fórmula'!E29)/('Fórmula'!C29+'Fórmula'!E29+'Fórmula'!G29+'Fórmula'!I29+'Fórmula'!K29))*(INDEX(properties!A$1:CB$87,'Fórmula'!D29,53))+(('Fórmula'!G29)/('Fórmula'!C29+'Fórmula'!E29+'Fórmula'!G29+'Fórmula'!I29+'Fórmula'!K29))*(INDEX(properties!A$1:CB$87,'Fórmula'!F29,53))+(('Fórmula'!I29)/('Fórmula'!C29+'Fórmula'!E29+'Fórmula'!G29+'Fórmula'!I29+'Fórmula'!K29))*(INDEX(properties!A$1:CB$87,'Fórmula'!H29,53))+(('Fórmula'!K29)/('Fórmula'!C29+'Fórmula'!E29+'Fórmula'!G29+'Fórmula'!I29+'Fórmula'!K29))*(INDEX(properties!A$1:CB$87,'Fórmula'!J29,53))</f>
        <v>828.9852941</v>
      </c>
      <c r="FC29" s="115">
        <f t="array" ref="FC29">'Fórmula'!C29*(INDEX(properties!A$1:CB$87,'Fórmula'!B29,53))+'Fórmula'!E29*(INDEX(properties!A$1:CB$87,'Fórmula'!D29,53))+'Fórmula'!G29*(INDEX(properties!A$1:CB$87,'Fórmula'!F29,53))+'Fórmula'!I29*(INDEX(properties!A$1:CB$87,'Fórmula'!H29,53))+'Fórmula'!K29*(INDEX(properties!A$1:CB$87,'Fórmula'!J29,53))</f>
        <v>14092.75</v>
      </c>
      <c r="FD29" s="115">
        <f t="array" ref="FD29">VARP(IF(INDEX(properties!A$1:CB$87,'Fórmula'!B29,53)&lt;&gt;"",INDEX(properties!A$1:CB$87,'Fórmula'!B29,53)),IF(INDEX(properties!A$1:CB$87,'Fórmula'!D29,53)&lt;&gt;"",INDEX(properties!A$1:CB$87,'Fórmula'!D29,53)),IF(INDEX(properties!A$1:CB$87,'Fórmula'!F29,53)&lt;&gt;"",INDEX(properties!A$1:CB$87,'Fórmula'!F29,53)),IF(INDEX(properties!A$1:CB$87,'Fórmula'!H29,53)&lt;&gt;"",INDEX(properties!A$1:CB$87,'Fórmula'!H29,53)),IF(INDEX(properties!A$1:CB$87,'Fórmula'!J29,53)&lt;&gt;"",INDEX(properties!A$1:CB$87,'Fórmula'!J29,53)))</f>
        <v>2025829.517</v>
      </c>
      <c r="FE29" s="115">
        <f t="array" ref="FE29">MAX(INDEX(properties!A$1:CB$87,'Fórmula'!B29,53),INDEX(properties!A$1:CB$87,'Fórmula'!D29,53),INDEX(properties!A$1:CB$87,'Fórmula'!F29,53),INDEX(properties!A$1:CB$87,'Fórmula'!H29,53),INDEX(properties!A$1:CB$87,'Fórmula'!J29,53))</f>
        <v>3683.15</v>
      </c>
      <c r="FF29" s="115">
        <f t="array" ref="FF29">MIN(IF(INDEX(properties!A$1:CB$87,'Fórmula'!B29,53)=0,10^6,INDEX(properties!A$1:CB$87,'Fórmula'!B29,53)),IF(INDEX(properties!A$1:CB$87,'Fórmula'!D29,53)=0,10^6,INDEX(properties!A$1:CB$87,'Fórmula'!D29,53)),IF(INDEX(properties!A$1:CB$87,'Fórmula'!F29,53)=0,10^6,INDEX(properties!A$1:CB$87,'Fórmula'!F29,53)),IF(INDEX(properties!A$1:CB$87,'Fórmula'!H29,53)=0,10^6,INDEX(properties!A$1:CB$87,'Fórmula'!H29,53)),IF(INDEX(properties!A$1:CB$87,'Fórmula'!J29,53)=0,10^6,INDEX(properties!A$1:CB$87,'Fórmula'!J29,53)))</f>
        <v>54.75</v>
      </c>
      <c r="FG29" s="115">
        <f t="shared" si="27"/>
        <v>3628.4</v>
      </c>
      <c r="FH29" s="117">
        <f t="array" ref="FH29">(('Fórmula'!C29)/('Fórmula'!C29+'Fórmula'!E29+'Fórmula'!G29+'Fórmula'!I29+'Fórmula'!K29))*(INDEX(properties!A$1:CB$87,'Fórmula'!B29,54))+(('Fórmula'!E29)/('Fórmula'!C29+'Fórmula'!E29+'Fórmula'!G29+'Fórmula'!I29+'Fórmula'!K29))*(INDEX(properties!A$1:CB$87,'Fórmula'!D29,54))+(('Fórmula'!G29)/('Fórmula'!C29+'Fórmula'!E29+'Fórmula'!G29+'Fórmula'!I29+'Fórmula'!K29))*(INDEX(properties!A$1:CB$87,'Fórmula'!F29,54))+(('Fórmula'!I29)/('Fórmula'!C29+'Fórmula'!E29+'Fórmula'!G29+'Fórmula'!I29+'Fórmula'!K29))*(INDEX(properties!A$1:CB$87,'Fórmula'!H29,54))+(('Fórmula'!K29)/('Fórmula'!C29+'Fórmula'!E29+'Fórmula'!G29+'Fórmula'!I29+'Fórmula'!K29))*(INDEX(properties!A$1:CB$87,'Fórmula'!J29,54))</f>
        <v>1549.15</v>
      </c>
      <c r="FI29" s="117">
        <f t="array" ref="FI29">'Fórmula'!C29*(INDEX(properties!A$1:CB$87,'Fórmula'!B29,54))+'Fórmula'!E29*(INDEX(properties!A$1:CB$87,'Fórmula'!D29,54))+'Fórmula'!G29*(INDEX(properties!A$1:CB$87,'Fórmula'!F29,54))+'Fórmula'!I29*(INDEX(properties!A$1:CB$87,'Fórmula'!H29,54))+'Fórmula'!K29*(INDEX(properties!A$1:CB$87,'Fórmula'!J29,54))</f>
        <v>26335.55</v>
      </c>
      <c r="FJ29" s="117">
        <f t="array" ref="FJ29">VARP(IF(INDEX(properties!A$1:CB$87,'Fórmula'!B29,54)&lt;&gt;"",INDEX(properties!A$1:CB$87,'Fórmula'!B29,54)),IF(INDEX(properties!A$1:CB$87,'Fórmula'!D29,54)&lt;&gt;"",INDEX(properties!A$1:CB$87,'Fórmula'!D29,54)),IF(INDEX(properties!A$1:CB$87,'Fórmula'!F29,54)&lt;&gt;"",INDEX(properties!A$1:CB$87,'Fórmula'!F29,54)),IF(INDEX(properties!A$1:CB$87,'Fórmula'!H29,54)&lt;&gt;"",INDEX(properties!A$1:CB$87,'Fórmula'!H29,54)),IF(INDEX(properties!A$1:CB$87,'Fórmula'!J29,54)&lt;&gt;"",INDEX(properties!A$1:CB$87,'Fórmula'!J29,54)))</f>
        <v>6017557.605</v>
      </c>
      <c r="FK29" s="117">
        <f t="array" ref="FK29">MAX(INDEX(properties!A$1:CB$87,'Fórmula'!B29,54),INDEX(properties!A$1:CB$87,'Fórmula'!D29,54),INDEX(properties!A$1:CB$87,'Fórmula'!F29,54),INDEX(properties!A$1:CB$87,'Fórmula'!H29,54),INDEX(properties!A$1:CB$87,'Fórmula'!J29,54))</f>
        <v>5933.15</v>
      </c>
      <c r="FL29" s="117">
        <f t="array" ref="FL29">MIN(IF(INDEX(properties!A$1:CB$87,'Fórmula'!B29,54)=0,10^6,INDEX(properties!A$1:CB$87,'Fórmula'!B29,54)),IF(INDEX(properties!A$1:CB$87,'Fórmula'!D29,54)=0,10^6,INDEX(properties!A$1:CB$87,'Fórmula'!D29,54)),IF(INDEX(properties!A$1:CB$87,'Fórmula'!F29,54)=0,10^6,INDEX(properties!A$1:CB$87,'Fórmula'!F29,54)),IF(INDEX(properties!A$1:CB$87,'Fórmula'!H29,54)=0,10^6,INDEX(properties!A$1:CB$87,'Fórmula'!H29,54)),IF(INDEX(properties!A$1:CB$87,'Fórmula'!J29,54)=0,10^6,INDEX(properties!A$1:CB$87,'Fórmula'!J29,54)))</f>
        <v>90.15</v>
      </c>
      <c r="FM29" s="117">
        <f t="shared" si="28"/>
        <v>5843</v>
      </c>
      <c r="FN29" s="118">
        <f t="array" ref="FN29">(('Fórmula'!C29)/('Fórmula'!C29+'Fórmula'!E29+'Fórmula'!G29+'Fórmula'!I29+'Fórmula'!K29))*(INDEX(properties!A$1:CB$87,'Fórmula'!B29,55))+(('Fórmula'!E29)/('Fórmula'!C29+'Fórmula'!E29+'Fórmula'!G29+'Fórmula'!I29+'Fórmula'!K29))*(INDEX(properties!A$1:CB$87,'Fórmula'!D29,55))+(('Fórmula'!G29)/('Fórmula'!C29+'Fórmula'!E29+'Fórmula'!G29+'Fórmula'!I29+'Fórmula'!K29))*(INDEX(properties!A$1:CB$87,'Fórmula'!F29,55))+(('Fórmula'!I29)/('Fórmula'!C29+'Fórmula'!E29+'Fórmula'!G29+'Fórmula'!I29+'Fórmula'!K29))*(INDEX(properties!A$1:CB$87,'Fórmula'!H29,55))+(('Fórmula'!K29)/('Fórmula'!C29+'Fórmula'!E29+'Fórmula'!G29+'Fórmula'!I29+'Fórmula'!K29))*(INDEX(properties!A$1:CB$87,'Fórmula'!J29,55))</f>
        <v>4.130421176</v>
      </c>
      <c r="FO29" s="118">
        <f t="array" ref="FO29">'Fórmula'!C29*(INDEX(properties!A$1:CB$87,'Fórmula'!B29,55))+'Fórmula'!E29*(INDEX(properties!A$1:CB$87,'Fórmula'!D29,54))+'Fórmula'!G29*(INDEX(properties!A$1:CB$87,'Fórmula'!F29,55))+'Fórmula'!I29*(INDEX(properties!A$1:CB$87,'Fórmula'!H29,55))+'Fórmula'!K29*(INDEX(properties!A$1:CB$87,'Fórmula'!J29,55))</f>
        <v>17811.76716</v>
      </c>
      <c r="FP29" s="118">
        <f t="array" ref="FP29">VARP(IF(INDEX(properties!A$1:CB$87,'Fórmula'!B29,55)&lt;&gt;"",INDEX(properties!A$1:CB$87,'Fórmula'!B29,55)),IF(INDEX(properties!A$1:CB$87,'Fórmula'!D29,55)&lt;&gt;"",INDEX(properties!A$1:CB$87,'Fórmula'!D29,55)),IF(INDEX(properties!A$1:CB$87,'Fórmula'!F29,55)&lt;&gt;"",INDEX(properties!A$1:CB$87,'Fórmula'!F29,55)),IF(INDEX(properties!A$1:CB$87,'Fórmula'!H29,55)&lt;&gt;"",INDEX(properties!A$1:CB$87,'Fórmula'!H29,55)),IF(INDEX(properties!A$1:CB$87,'Fórmula'!J29,55)&lt;&gt;"",INDEX(properties!A$1:CB$87,'Fórmula'!J29,55)))</f>
        <v>56.15148885</v>
      </c>
      <c r="FQ29" s="118">
        <f t="array" ref="FQ29">MAX(INDEX(properties!A$1:CB$87,'Fórmula'!B29,55),INDEX(properties!A$1:CB$87,'Fórmula'!D29,55),INDEX(properties!A$1:CB$87,'Fórmula'!F29,55),INDEX(properties!A$1:CB$87,'Fórmula'!H29,55),INDEX(properties!A$1:CB$87,'Fórmula'!J29,55))</f>
        <v>19.3</v>
      </c>
      <c r="FR29" s="118">
        <f t="array" ref="FR29">MIN(IF(INDEX(properties!A$1:CB$87,'Fórmula'!B29,55)=0,10^6,INDEX(properties!A$1:CB$87,'Fórmula'!B29,55)),IF(INDEX(properties!A$1:CB$87,'Fórmula'!D29,55)=0,10^6,INDEX(properties!A$1:CB$87,'Fórmula'!D29,55)),IF(INDEX(properties!A$1:CB$87,'Fórmula'!F29,55)=0,10^6,INDEX(properties!A$1:CB$87,'Fórmula'!F29,55)),IF(INDEX(properties!A$1:CB$87,'Fórmula'!H29,55)=0,10^6,INDEX(properties!A$1:CB$87,'Fórmula'!H29,55)),IF(INDEX(properties!A$1:CB$87,'Fórmula'!J29,55)=0,10^6,INDEX(properties!A$1:CB$87,'Fórmula'!J29,55)))</f>
        <v>0.00143</v>
      </c>
      <c r="FS29" s="118">
        <f t="shared" si="29"/>
        <v>19.29857</v>
      </c>
      <c r="FT29" s="119">
        <f t="array" ref="FT29">(('Fórmula'!C29)/('Fórmula'!C29+'Fórmula'!E29+'Fórmula'!G29+'Fórmula'!I29+'Fórmula'!K29))*(INDEX(properties!A$1:CB$87,'Fórmula'!B29,56))+(('Fórmula'!E29)/('Fórmula'!C29+'Fórmula'!E29+'Fórmula'!G29+'Fórmula'!I29+'Fórmula'!K29))*(INDEX(properties!A$1:CB$87,'Fórmula'!D29,56))+(('Fórmula'!G29)/('Fórmula'!C29+'Fórmula'!E29+'Fórmula'!G29+'Fórmula'!I29+'Fórmula'!K29))*(INDEX(properties!A$1:CB$87,'Fórmula'!F29,56))+(('Fórmula'!I29)/('Fórmula'!C29+'Fórmula'!E29+'Fórmula'!G29+'Fórmula'!I29+'Fórmula'!K29))*(INDEX(properties!A$1:CB$87,'Fórmula'!H29,56))+(('Fórmula'!K29)/('Fórmula'!C29+'Fórmula'!E29+'Fórmula'!G29+'Fórmula'!I29+'Fórmula'!K29))*(INDEX(properties!A$1:CB$87,'Fórmula'!J29,56))</f>
        <v>0.6947058824</v>
      </c>
      <c r="FU29" s="119">
        <f t="array" ref="FU29">'Fórmula'!C29*(INDEX(properties!A$1:CB$87,'Fórmula'!B29,56))+'Fórmula'!E29*(INDEX(properties!A$1:CB$87,'Fórmula'!D29,56))+'Fórmula'!G29*(INDEX(properties!A$1:CB$87,'Fórmula'!F29,56))+'Fórmula'!I29*(INDEX(properties!A$1:CB$87,'Fórmula'!H29,56))+'Fórmula'!K29*(INDEX(properties!A$1:CB$87,'Fórmula'!J29,56))</f>
        <v>11.81</v>
      </c>
      <c r="FV29" s="119">
        <f t="array" ref="FV29">VARP(IF(INDEX(properties!A$1:CB$87,'Fórmula'!B29,56)&lt;&gt;"",INDEX(properties!A$1:CB$87,'Fórmula'!B29,56)),IF(INDEX(properties!A$1:CB$87,'Fórmula'!D29,56)&lt;&gt;"",INDEX(properties!A$1:CB$87,'Fórmula'!D29,56)),IF(INDEX(properties!A$1:CB$87,'Fórmula'!F29,56)&lt;&gt;"",INDEX(properties!A$1:CB$87,'Fórmula'!F29,56)),IF(INDEX(properties!A$1:CB$87,'Fórmula'!H29,56)&lt;&gt;"",INDEX(properties!A$1:CB$87,'Fórmula'!H29,56)),IF(INDEX(properties!A$1:CB$87,'Fórmula'!J29,56)&lt;&gt;"",INDEX(properties!A$1:CB$87,'Fórmula'!J29,56)))</f>
        <v>0.118376</v>
      </c>
      <c r="FW29" s="119">
        <f t="array" ref="FW29">MAX(INDEX(properties!A$1:CB$87,'Fórmula'!B29,56),INDEX(properties!A$1:CB$87,'Fórmula'!D29,56),INDEX(properties!A$1:CB$87,'Fórmula'!F29,56),INDEX(properties!A$1:CB$87,'Fórmula'!H29,56),INDEX(properties!A$1:CB$87,'Fórmula'!J29,56))</f>
        <v>0.92</v>
      </c>
      <c r="FX29" s="119">
        <f t="array" ref="FX29">MIN(IF(INDEX(properties!A$1:CB$87,'Fórmula'!B29,56)=0,10^6,INDEX(properties!A$1:CB$87,'Fórmula'!B29,56)),IF(INDEX(properties!A$1:CB$87,'Fórmula'!D29,56)=0,10^6,INDEX(properties!A$1:CB$87,'Fórmula'!D29,56)),IF(INDEX(properties!A$1:CB$87,'Fórmula'!F29,56)=0,10^6,INDEX(properties!A$1:CB$87,'Fórmula'!F29,56)),IF(INDEX(properties!A$1:CB$87,'Fórmula'!H29,56)=0,10^6,INDEX(properties!A$1:CB$87,'Fórmula'!H29,56)),IF(INDEX(properties!A$1:CB$87,'Fórmula'!J29,56)=0,10^6,INDEX(properties!A$1:CB$87,'Fórmula'!J29,56)))</f>
        <v>0.13</v>
      </c>
      <c r="FY29" s="119">
        <f t="shared" si="30"/>
        <v>0.79</v>
      </c>
      <c r="FZ29" s="104">
        <f t="array" ref="FZ29">(('Fórmula'!C29)/('Fórmula'!C29+'Fórmula'!E29+'Fórmula'!G29+'Fórmula'!I29+'Fórmula'!K29))*(INDEX(properties!A$1:CB$87,'Fórmula'!B29,57))+(('Fórmula'!E29)/('Fórmula'!C29+'Fórmula'!E29+'Fórmula'!G29+'Fórmula'!I29+'Fórmula'!K29))*(INDEX(properties!A$1:CB$87,'Fórmula'!D29,57))+(('Fórmula'!G29)/('Fórmula'!C29+'Fórmula'!E29+'Fórmula'!G29+'Fórmula'!I29+'Fórmula'!K29))*(INDEX(properties!A$1:CB$87,'Fórmula'!F29,57))+(('Fórmula'!I29)/('Fórmula'!C29+'Fórmula'!E29+'Fórmula'!G29+'Fórmula'!I29+'Fórmula'!K29))*(INDEX(properties!A$1:CB$87,'Fórmula'!H29,57))+(('Fórmula'!K29)/('Fórmula'!C29+'Fórmula'!E29+'Fórmula'!G29+'Fórmula'!I29+'Fórmula'!K29))*(INDEX(properties!A$1:CB$87,'Fórmula'!J29,57))</f>
        <v>7.133592941</v>
      </c>
      <c r="GA29" s="104">
        <f t="array" ref="GA29">'Fórmula'!C29*(INDEX(properties!A$1:CB$87,'Fórmula'!B29,57))+'Fórmula'!E29*(INDEX(properties!A$1:CB$87,'Fórmula'!D29,57))+'Fórmula'!G29*(INDEX(properties!A$1:CB$87,'Fórmula'!F29,57))+'Fórmula'!I29*(INDEX(properties!A$1:CB$87,'Fórmula'!H29,57))+'Fórmula'!K29*(INDEX(properties!A$1:CB$87,'Fórmula'!J29,57))</f>
        <v>121.27108</v>
      </c>
      <c r="GB29" s="104">
        <f t="array" ref="GB29">VARP(IF(INDEX(properties!A$1:CB$87,'Fórmula'!B29,57)&lt;&gt;"",INDEX(properties!A$1:CB$87,'Fórmula'!B29,57)),IF(INDEX(properties!A$1:CB$87,'Fórmula'!D29,57)&lt;&gt;"",INDEX(properties!A$1:CB$87,'Fórmula'!D29,57)),IF(INDEX(properties!A$1:CB$87,'Fórmula'!F29,57)&lt;&gt;"",INDEX(properties!A$1:CB$87,'Fórmula'!F29,57)),IF(INDEX(properties!A$1:CB$87,'Fórmula'!H29,57)&lt;&gt;"",INDEX(properties!A$1:CB$87,'Fórmula'!H29,57)),IF(INDEX(properties!A$1:CB$87,'Fórmula'!J29,57)&lt;&gt;"",INDEX(properties!A$1:CB$87,'Fórmula'!J29,57)))</f>
        <v>188.3647479</v>
      </c>
      <c r="GC29" s="104">
        <f t="array" ref="GC29">MAX(INDEX(properties!A$1:CB$87,'Fórmula'!B29,57),INDEX(properties!A$1:CB$87,'Fórmula'!D29,57),INDEX(properties!A$1:CB$87,'Fórmula'!F29,57),INDEX(properties!A$1:CB$87,'Fórmula'!H29,57),INDEX(properties!A$1:CB$87,'Fórmula'!J29,57))</f>
        <v>35.4</v>
      </c>
      <c r="GD29" s="104">
        <f t="array" ref="GD29">MIN(IF(INDEX(properties!A$1:CB$87,'Fórmula'!B29,57)=0,10^6,INDEX(properties!A$1:CB$87,'Fórmula'!B29,57)),IF(INDEX(properties!A$1:CB$87,'Fórmula'!D29,57)=0,10^6,INDEX(properties!A$1:CB$87,'Fórmula'!D29,57)),IF(INDEX(properties!A$1:CB$87,'Fórmula'!F29,57)=0,10^6,INDEX(properties!A$1:CB$87,'Fórmula'!F29,57)),IF(INDEX(properties!A$1:CB$87,'Fórmula'!H29,57)=0,10^6,INDEX(properties!A$1:CB$87,'Fórmula'!H29,57)),IF(INDEX(properties!A$1:CB$87,'Fórmula'!J29,57)=0,10^6,INDEX(properties!A$1:CB$87,'Fórmula'!J29,57)))</f>
        <v>0.22259</v>
      </c>
      <c r="GE29" s="104">
        <f t="shared" si="31"/>
        <v>35.17741</v>
      </c>
      <c r="GF29" s="105">
        <f t="array" ref="GF29">(('Fórmula'!C29)/('Fórmula'!C29+'Fórmula'!E29+'Fórmula'!G29+'Fórmula'!I29+'Fórmula'!K29))*(INDEX(properties!A$1:CB$87,'Fórmula'!B29,60))+(('Fórmula'!E29)/('Fórmula'!C29+'Fórmula'!E29+'Fórmula'!G29+'Fórmula'!I29+'Fórmula'!K29))*(INDEX(properties!A$1:CB$87,'Fórmula'!D29,60))+(('Fórmula'!G29)/('Fórmula'!C29+'Fórmula'!E29+'Fórmula'!G29+'Fórmula'!I29+'Fórmula'!K29))*(INDEX(properties!A$1:CB$87,'Fórmula'!F29,60))+(('Fórmula'!I29)/('Fórmula'!C29+'Fórmula'!E29+'Fórmula'!G29+'Fórmula'!I29+'Fórmula'!K29))*(INDEX(properties!A$1:CB$87,'Fórmula'!H29,60))+(('Fórmula'!K29)/('Fórmula'!C29+'Fórmula'!E29+'Fórmula'!G29+'Fórmula'!I29+'Fórmula'!K29))*(INDEX(properties!A$1:CB$87,'Fórmula'!J29,60))</f>
        <v>32.31299294</v>
      </c>
      <c r="GG29" s="105">
        <f t="array" ref="GG29">'Fórmula'!C29*(INDEX(properties!A$1:CB$87,'Fórmula'!B29,60))+'Fórmula'!E29*(INDEX(properties!A$1:CB$87,'Fórmula'!D29,60))+'Fórmula'!G29*(INDEX(properties!A$1:CB$87,'Fórmula'!F29,60))+'Fórmula'!I29*(INDEX(properties!A$1:CB$87,'Fórmula'!H29,60))+'Fórmula'!K29*(INDEX(properties!A$1:CB$87,'Fórmula'!J29,60))</f>
        <v>549.32088</v>
      </c>
      <c r="GH29" s="105">
        <f t="array" ref="GH29">VARP(IF(INDEX(properties!A$1:CB$87,'Fórmula'!B29,60)&lt;&gt;"",INDEX(properties!A$1:CB$87,'Fórmula'!B29,60)),IF(INDEX(properties!A$1:CB$87,'Fórmula'!D29,60)&lt;&gt;"",INDEX(properties!A$1:CB$87,'Fórmula'!D29,60)),IF(INDEX(properties!A$1:CB$87,'Fórmula'!F29,60)&lt;&gt;"",INDEX(properties!A$1:CB$87,'Fórmula'!F29,60)),IF(INDEX(properties!A$1:CB$87,'Fórmula'!H29,60)&lt;&gt;"",INDEX(properties!A$1:CB$87,'Fórmula'!H29,60)),IF(INDEX(properties!A$1:CB$87,'Fórmula'!J29,60)&lt;&gt;"",INDEX(properties!A$1:CB$87,'Fórmula'!J29,60)))</f>
        <v>4684.999014</v>
      </c>
      <c r="GI29" s="105">
        <f t="array" ref="GI29">MAX(INDEX(properties!A$1:CB$87,'Fórmula'!B29,60),INDEX(properties!A$1:CB$87,'Fórmula'!D29,60),INDEX(properties!A$1:CB$87,'Fórmula'!F29,60),INDEX(properties!A$1:CB$87,'Fórmula'!H29,60),INDEX(properties!A$1:CB$87,'Fórmula'!J29,60))</f>
        <v>174</v>
      </c>
      <c r="GJ29" s="105">
        <f t="array" ref="GJ29">MIN(IF(INDEX(properties!A$1:CB$87,'Fórmula'!B29,60)=0,10^6,INDEX(properties!A$1:CB$87,'Fórmula'!B29,60)),IF(INDEX(properties!A$1:CB$87,'Fórmula'!D29,60)=0,10^6,INDEX(properties!A$1:CB$87,'Fórmula'!D29,60)),IF(INDEX(properties!A$1:CB$87,'Fórmula'!F29,60)=0,10^6,INDEX(properties!A$1:CB$87,'Fórmula'!F29,60)),IF(INDEX(properties!A$1:CB$87,'Fórmula'!H29,60)=0,10^6,INDEX(properties!A$1:CB$87,'Fórmula'!H29,60)),IF(INDEX(properties!A$1:CB$87,'Fórmula'!J29,60)=0,10^6,INDEX(properties!A$1:CB$87,'Fórmula'!J29,60)))</f>
        <v>0.02674</v>
      </c>
      <c r="GK29" s="105">
        <f t="shared" si="32"/>
        <v>173.97326</v>
      </c>
      <c r="GL29" s="106">
        <f t="array" ref="GL29">(('Fórmula'!C29)/('Fórmula'!C29+'Fórmula'!E29+'Fórmula'!G29+'Fórmula'!I29+'Fórmula'!K29))*(INDEX(properties!A$1:CB$87,'Fórmula'!B29,62))+(('Fórmula'!E29)/('Fórmula'!C29+'Fórmula'!E29+'Fórmula'!G29+'Fórmula'!I29+'Fórmula'!K29))*(INDEX(properties!A$1:CB$87,'Fórmula'!D29,62))+(('Fórmula'!G29)/('Fórmula'!C29+'Fórmula'!E29+'Fórmula'!G29+'Fórmula'!I29+'Fórmula'!K29))*(INDEX(properties!A$1:CB$87,'Fórmula'!F29,62))+(('Fórmula'!I29)/('Fórmula'!C29+'Fórmula'!E29+'Fórmula'!G29+'Fórmula'!I29+'Fórmula'!K29))*(INDEX(properties!A$1:CB$87,'Fórmula'!H29,62))+(('Fórmula'!K29)/('Fórmula'!C29+'Fórmula'!E29+'Fórmula'!G29+'Fórmula'!I29+'Fórmula'!K29))*(INDEX(properties!A$1:CB$87,'Fórmula'!J29,62))</f>
        <v>3.945882353</v>
      </c>
      <c r="GM29" s="106">
        <f t="array" ref="GM29">'Fórmula'!C29*(INDEX(properties!A$1:CB$87,'Fórmula'!B29,62))+'Fórmula'!E29*(INDEX(properties!A$1:CB$87,'Fórmula'!D29,62))+'Fórmula'!G29*(INDEX(properties!A$1:CB$87,'Fórmula'!F29,62))+'Fórmula'!I29*(INDEX(properties!A$1:CB$87,'Fórmula'!H29,62))+'Fórmula'!K29*(INDEX(properties!A$1:CB$87,'Fórmula'!J29,62))</f>
        <v>67.08</v>
      </c>
      <c r="GN29" s="106">
        <f t="array" ref="GN29">VARP(IF(INDEX(properties!A$1:CB$87,'Fórmula'!B29,62)&lt;&gt;"",INDEX(properties!A$1:CB$87,'Fórmula'!B29,62)),IF(INDEX(properties!A$1:CB$87,'Fórmula'!D29,62)&lt;&gt;"",INDEX(properties!A$1:CB$87,'Fórmula'!D29,62)),IF(INDEX(properties!A$1:CB$87,'Fórmula'!F29,62)&lt;&gt;"",INDEX(properties!A$1:CB$87,'Fórmula'!F29,62)),IF(INDEX(properties!A$1:CB$87,'Fórmula'!H29,62)&lt;&gt;"",INDEX(properties!A$1:CB$87,'Fórmula'!H29,62)),IF(INDEX(properties!A$1:CB$87,'Fórmula'!J29,62)&lt;&gt;"",INDEX(properties!A$1:CB$87,'Fórmula'!J29,62)))</f>
        <v>10.983856</v>
      </c>
      <c r="GO29" s="106">
        <f t="array" ref="GO29">MAX(INDEX(properties!A$1:CB$87,'Fórmula'!B29,62),INDEX(properties!A$1:CB$87,'Fórmula'!D29,62),INDEX(properties!A$1:CB$87,'Fórmula'!F29,62),INDEX(properties!A$1:CB$87,'Fórmula'!H29,62),INDEX(properties!A$1:CB$87,'Fórmula'!J29,62))</f>
        <v>8.9</v>
      </c>
      <c r="GP29" s="106">
        <f t="array" ref="GP29">MIN(IF(INDEX(properties!A$1:CB$87,'Fórmula'!B29,62)=0,10^6,INDEX(properties!A$1:CB$87,'Fórmula'!B29,62)),IF(INDEX(properties!A$1:CB$87,'Fórmula'!D29,62)=0,10^6,INDEX(properties!A$1:CB$87,'Fórmula'!D29,62)),IF(INDEX(properties!A$1:CB$87,'Fórmula'!F29,62)=0,10^6,INDEX(properties!A$1:CB$87,'Fórmula'!F29,62)),IF(INDEX(properties!A$1:CB$87,'Fórmula'!H29,62)=0,10^6,INDEX(properties!A$1:CB$87,'Fórmula'!H29,62)),IF(INDEX(properties!A$1:CB$87,'Fórmula'!J29,62)=0,10^6,INDEX(properties!A$1:CB$87,'Fórmula'!J29,62)))</f>
        <v>2.62</v>
      </c>
      <c r="GQ29" s="106">
        <f t="shared" si="33"/>
        <v>6.28</v>
      </c>
      <c r="GR29" s="106">
        <f>'Fórmula'!Q29</f>
        <v>15</v>
      </c>
      <c r="GS29" s="107">
        <f>'Fórmula'!P29</f>
        <v>6</v>
      </c>
      <c r="GT29" s="113">
        <f>'Fórmula'!O29</f>
        <v>6.61</v>
      </c>
      <c r="GU29" s="114">
        <f>AVERAGE('Fórmula'!R29/'Fórmula'!S29,'Fórmula'!S29/'Fórmula'!T29,'Fórmula'!T29/'Fórmula'!R29)</f>
        <v>1.053744895</v>
      </c>
      <c r="GV29" s="125">
        <f>'Fórmula'!U29</f>
        <v>1026.77</v>
      </c>
      <c r="GW29" s="106">
        <f>'Fórmula'!N29</f>
        <v>0.05</v>
      </c>
    </row>
    <row r="30" ht="14.25" customHeight="1">
      <c r="A30" s="99" t="str">
        <f>'Fórmula'!A30</f>
        <v>ZnGa2O4</v>
      </c>
      <c r="B30" s="101">
        <f t="array" ref="B30">(('Fórmula'!C30)/('Fórmula'!C30+'Fórmula'!E30+'Fórmula'!G30+'Fórmula'!I30+'Fórmula'!K30))*(INDEX(properties!A$1:CB$87,'Fórmula'!B30,3))+(('Fórmula'!E30)/('Fórmula'!C30+'Fórmula'!E30+'Fórmula'!G30+'Fórmula'!I30+'Fórmula'!K30))*(INDEX(properties!A$1:CB$87,'Fórmula'!D30,3))+(('Fórmula'!G30)/('Fórmula'!C30+'Fórmula'!E30+'Fórmula'!G30+'Fórmula'!I30+'Fórmula'!K30))*(INDEX(properties!A$1:CB$87,'Fórmula'!F30,3))+(('Fórmula'!I30)/('Fórmula'!C30+'Fórmula'!E30+'Fórmula'!G30+'Fórmula'!I30+'Fórmula'!K30))*(INDEX(properties!A$1:CB$87,'Fórmula'!H30,3))+(('Fórmula'!K30)/('Fórmula'!C30+'Fórmula'!E30+'Fórmula'!G30+'Fórmula'!I30+'Fórmula'!K30))*(INDEX(properties!A$1:CB$87,'Fórmula'!J30,3))</f>
        <v>38.40337143</v>
      </c>
      <c r="C30" s="101">
        <f t="array" ref="C30">'Fórmula'!C30*(INDEX(properties!A$1:CB$87,'Fórmula'!B30,3))+'Fórmula'!E30*(INDEX(properties!A$1:CB$87,'Fórmula'!D30,3))+'Fórmula'!G30*(INDEX(properties!A$1:CB$87,'Fórmula'!F30,3))+'Fórmula'!I30*(INDEX(properties!A$1:CB$87,'Fórmula'!H30,3))+'Fórmula'!K30*(INDEX(properties!A$1:CB$87,'Fórmula'!J30,3))</f>
        <v>268.8236</v>
      </c>
      <c r="D30" s="101">
        <f t="array" ref="D30">VARP(IF(INDEX(properties!A$1:CB$87,'Fórmula'!B30,3)&lt;&gt;"",INDEX(properties!A$1:CB$87,'Fórmula'!B30,3)),IF(INDEX(properties!A$1:CB$87,'Fórmula'!D30,3)&lt;&gt;"",INDEX(properties!A$1:CB$87,'Fórmula'!D30,3)),IF(INDEX(properties!A$1:CB$87,'Fórmula'!F30,3)&lt;&gt;"",INDEX(properties!A$1:CB$87,'Fórmula'!F30,3)),IF(INDEX(properties!A$1:CB$87,'Fórmula'!H30,3)&lt;&gt;"",INDEX(properties!A$1:CB$87,'Fórmula'!H30,3)),IF(INDEX(properties!A$1:CB$87,'Fórmula'!J30,3)&lt;&gt;"",INDEX(properties!A$1:CB$87,'Fórmula'!J30,3)))</f>
        <v>965.0869744</v>
      </c>
      <c r="E30" s="101">
        <f t="array" ref="E30">MAX(INDEX(properties!A$1:CB$87,'Fórmula'!B30,3),INDEX(properties!A$1:CB$87,'Fórmula'!D30,3),INDEX(properties!A$1:CB$87,'Fórmula'!F30,3),INDEX(properties!A$1:CB$87,'Fórmula'!H30,3),INDEX(properties!A$1:CB$87,'Fórmula'!J30,3))</f>
        <v>69.723</v>
      </c>
      <c r="F30" s="101">
        <f t="array" ref="F30">MIN(IF(INDEX(properties!A$1:CB$87,'Fórmula'!B30,3)=0,10^6,INDEX(properties!A$1:CB$87,'Fórmula'!B30,3)),IF(INDEX(properties!A$1:CB$87,'Fórmula'!D30,3)=0,10^6,INDEX(properties!A$1:CB$87,'Fórmula'!D30,3)),IF(INDEX(properties!A$1:CB$87,'Fórmula'!F30,3)=0,10^6,INDEX(properties!A$1:CB$87,'Fórmula'!F30,3)),IF(INDEX(properties!A$1:CB$87,'Fórmula'!H30,3)=0,10^6,INDEX(properties!A$1:CB$87,'Fórmula'!H30,3)),IF(INDEX(properties!A$1:CB$87,'Fórmula'!J30,3)=0,10^6,INDEX(properties!A$1:CB$87,'Fórmula'!J30,3)))</f>
        <v>15.9994</v>
      </c>
      <c r="G30" s="101">
        <f t="shared" si="1"/>
        <v>53.7236</v>
      </c>
      <c r="H30" s="102">
        <f t="array" ref="H30">(('Fórmula'!C30)/('Fórmula'!C30+'Fórmula'!E30+'Fórmula'!G30+'Fórmula'!I30+'Fórmula'!K30))*(INDEX(properties!A$1:CB$87,'Fórmula'!B30,4))+(('Fórmula'!E30)/('Fórmula'!C30+'Fórmula'!E30+'Fórmula'!G30+'Fórmula'!I30+'Fórmula'!K30))*(INDEX(properties!A$1:CB$87,'Fórmula'!D30,4))+(('Fórmula'!G30)/('Fórmula'!C30+'Fórmula'!E30+'Fórmula'!G30+'Fórmula'!I30+'Fórmula'!K30))*(INDEX(properties!A$1:CB$87,'Fórmula'!F30,4))+(('Fórmula'!I30)/('Fórmula'!C30+'Fórmula'!E30+'Fórmula'!G30+'Fórmula'!I30+'Fórmula'!K30))*(INDEX(properties!A$1:CB$87,'Fórmula'!H30,4))+(('Fórmula'!K30)/('Fórmula'!C30+'Fórmula'!E30+'Fórmula'!G30+'Fórmula'!I30+'Fórmula'!K30))*(INDEX(properties!A$1:CB$87,'Fórmula'!J30,4))</f>
        <v>17.71428571</v>
      </c>
      <c r="I30" s="102">
        <f t="array" ref="I30">'Fórmula'!C30*(INDEX(properties!A$1:CB$87,'Fórmula'!B30,4))+'Fórmula'!E30*(INDEX(properties!A$1:CB$87,'Fórmula'!D30,4))+'Fórmula'!G30*(INDEX(properties!A$1:CB$87,'Fórmula'!F30,4))+'Fórmula'!I30*(INDEX(properties!A$1:CB$87,'Fórmula'!H30,4))+'Fórmula'!K30*(INDEX(properties!A$1:CB$87,'Fórmula'!J30,4))</f>
        <v>124</v>
      </c>
      <c r="J30" s="102">
        <f t="array" ref="J30">VARP(IF(INDEX(properties!A$1:CB$87,'Fórmula'!B30,4)&lt;&gt;"",INDEX(properties!A$1:CB$87,'Fórmula'!B30,4)),IF(INDEX(properties!A$1:CB$87,'Fórmula'!D30,4)&lt;&gt;"",INDEX(properties!A$1:CB$87,'Fórmula'!D30,4)),IF(INDEX(properties!A$1:CB$87,'Fórmula'!F30,4)&lt;&gt;"",INDEX(properties!A$1:CB$87,'Fórmula'!F30,4)),IF(INDEX(properties!A$1:CB$87,'Fórmula'!H30,4)&lt;&gt;"",INDEX(properties!A$1:CB$87,'Fórmula'!H30,4)),IF(INDEX(properties!A$1:CB$87,'Fórmula'!J30,4)&lt;&gt;"",INDEX(properties!A$1:CB$87,'Fórmula'!J30,4)))</f>
        <v>194.56</v>
      </c>
      <c r="K30" s="102">
        <f t="array" ref="K30">MAX(INDEX(properties!A$1:CB$87,'Fórmula'!B30,4),INDEX(properties!A$1:CB$87,'Fórmula'!D30,4),INDEX(properties!A$1:CB$87,'Fórmula'!F30,4),INDEX(properties!A$1:CB$87,'Fórmula'!H30,4),INDEX(properties!A$1:CB$87,'Fórmula'!J30,4))</f>
        <v>31</v>
      </c>
      <c r="L30" s="102">
        <f t="array" ref="L30">MIN(IF(INDEX(properties!A$1:CB$87,'Fórmula'!B30,4)=0,10^6,INDEX(properties!A$1:CB$87,'Fórmula'!B30,4)),IF(INDEX(properties!A$1:CB$87,'Fórmula'!D30,4)=0,10^6,INDEX(properties!A$1:CB$87,'Fórmula'!D30,4)),IF(INDEX(properties!A$1:CB$87,'Fórmula'!F30,4)=0,10^6,INDEX(properties!A$1:CB$87,'Fórmula'!F30,4)),IF(INDEX(properties!A$1:CB$87,'Fórmula'!H30,4)=0,10^6,INDEX(properties!A$1:CB$87,'Fórmula'!H30,4)),IF(INDEX(properties!A$1:CB$87,'Fórmula'!J30,4)=0,10^6,INDEX(properties!A$1:CB$87,'Fórmula'!J30,4)))</f>
        <v>8</v>
      </c>
      <c r="M30" s="102">
        <f t="shared" si="2"/>
        <v>23</v>
      </c>
      <c r="N30" s="103">
        <f t="array" ref="N30">(('Fórmula'!C30)/('Fórmula'!C30+'Fórmula'!E30+'Fórmula'!G30+'Fórmula'!I30+'Fórmula'!K30))*(INDEX(properties!A$1:CB$87,'Fórmula'!B30,5))+(('Fórmula'!E30)/('Fórmula'!C30+'Fórmula'!E30+'Fórmula'!G30+'Fórmula'!I30+'Fórmula'!K30))*(INDEX(properties!A$1:CB$87,'Fórmula'!D30,5))+(('Fórmula'!G30)/('Fórmula'!C30+'Fórmula'!E30+'Fórmula'!G30+'Fórmula'!I30+'Fórmula'!K30))*(INDEX(properties!A$1:CB$87,'Fórmula'!F30,5))+(('Fórmula'!I30)/('Fórmula'!C30+'Fórmula'!E30+'Fórmula'!G30+'Fórmula'!I30+'Fórmula'!K30))*(INDEX(properties!A$1:CB$87,'Fórmula'!H30,5))+(('Fórmula'!K30)/('Fórmula'!C30+'Fórmula'!E30+'Fórmula'!G30+'Fórmula'!I30+'Fórmula'!K30))*(INDEX(properties!A$1:CB$87,'Fórmula'!J30,5))</f>
        <v>2.857142857</v>
      </c>
      <c r="O30" s="103">
        <f t="array" ref="O30">'Fórmula'!C30*(INDEX(properties!A$1:CB$87,'Fórmula'!B30,5))+'Fórmula'!E30*(INDEX(properties!A$1:CB$87,'Fórmula'!D30,5))+'Fórmula'!G30*(INDEX(properties!A$1:CB$87,'Fórmula'!F30,5))+'Fórmula'!I30*(INDEX(properties!A$1:CB$87,'Fórmula'!H30,5))+'Fórmula'!K30*(INDEX(properties!A$1:CB$87,'Fórmula'!J30,5))</f>
        <v>20</v>
      </c>
      <c r="P30" s="103">
        <f t="array" ref="P30">VARP(IF(INDEX(properties!A$1:CB$87,'Fórmula'!B30,5)&lt;&gt;"",INDEX(properties!A$1:CB$87,'Fórmula'!B30,5)),IF(INDEX(properties!A$1:CB$87,'Fórmula'!D30,5)&lt;&gt;"",INDEX(properties!A$1:CB$87,'Fórmula'!D30,5)),IF(INDEX(properties!A$1:CB$87,'Fórmula'!F30,5)&lt;&gt;"",INDEX(properties!A$1:CB$87,'Fórmula'!F30,5)),IF(INDEX(properties!A$1:CB$87,'Fórmula'!H30,5)&lt;&gt;"",INDEX(properties!A$1:CB$87,'Fórmula'!H30,5)),IF(INDEX(properties!A$1:CB$87,'Fórmula'!J30,5)&lt;&gt;"",INDEX(properties!A$1:CB$87,'Fórmula'!J30,5)))</f>
        <v>3.2</v>
      </c>
      <c r="Q30" s="103">
        <f t="array" ref="Q30">MAX(INDEX(properties!A$1:CB$87,'Fórmula'!B30,5),INDEX(properties!A$1:CB$87,'Fórmula'!D30,5),INDEX(properties!A$1:CB$87,'Fórmula'!F30,5),INDEX(properties!A$1:CB$87,'Fórmula'!H30,5),INDEX(properties!A$1:CB$87,'Fórmula'!J30,5))</f>
        <v>4</v>
      </c>
      <c r="R30" s="103">
        <f t="array" ref="R30">MIN(IF(INDEX(properties!A$1:CB$87,'Fórmula'!B30,5)=0,10^6,INDEX(properties!A$1:CB$87,'Fórmula'!B30,5)),IF(INDEX(properties!A$1:CB$87,'Fórmula'!D30,5)=0,10^6,INDEX(properties!A$1:CB$87,'Fórmula'!D30,5)),IF(INDEX(properties!A$1:CB$87,'Fórmula'!F30,5)=0,10^6,INDEX(properties!A$1:CB$87,'Fórmula'!F30,5)),IF(INDEX(properties!A$1:CB$87,'Fórmula'!H30,5)=0,10^6,INDEX(properties!A$1:CB$87,'Fórmula'!H30,5)),IF(INDEX(properties!A$1:CB$87,'Fórmula'!J30,5)=0,10^6,INDEX(properties!A$1:CB$87,'Fórmula'!J30,5)))</f>
        <v>2</v>
      </c>
      <c r="S30" s="103">
        <f t="shared" si="3"/>
        <v>2</v>
      </c>
      <c r="T30" s="104">
        <f t="array" ref="T30">(('Fórmula'!C30)/('Fórmula'!C30+'Fórmula'!E30+'Fórmula'!G30+'Fórmula'!I30+'Fórmula'!K30))*(INDEX(properties!A$1:CB$87,'Fórmula'!B30,6))+(('Fórmula'!E30)/('Fórmula'!C30+'Fórmula'!E30+'Fórmula'!G30+'Fórmula'!I30+'Fórmula'!K30))*(INDEX(properties!A$1:CB$87,'Fórmula'!D30,6))+(('Fórmula'!G30)/('Fórmula'!C30+'Fórmula'!E30+'Fórmula'!G30+'Fórmula'!I30+'Fórmula'!K30))*(INDEX(properties!A$1:CB$87,'Fórmula'!F30,6))+(('Fórmula'!I30)/('Fórmula'!C30+'Fórmula'!E30+'Fórmula'!G30+'Fórmula'!I30+'Fórmula'!K30))*(INDEX(properties!A$1:CB$87,'Fórmula'!H30,6))+(('Fórmula'!K30)/('Fórmula'!C30+'Fórmula'!E30+'Fórmula'!G30+'Fórmula'!I30+'Fórmula'!K30))*(INDEX(properties!A$1:CB$87,'Fórmula'!J30,6))</f>
        <v>14.57142857</v>
      </c>
      <c r="U30" s="104">
        <f t="array" ref="U30">'Fórmula'!C30*(INDEX(properties!A$1:CB$87,'Fórmula'!B30,6))+'Fórmula'!E30*(INDEX(properties!A$1:CB$87,'Fórmula'!D30,6))+'Fórmula'!G30*(INDEX(properties!A$1:CB$87,'Fórmula'!F30,6))+'Fórmula'!I30*(INDEX(properties!A$1:CB$87,'Fórmula'!H30,6))+'Fórmula'!K30*(INDEX(properties!A$1:CB$87,'Fórmula'!J30,6))</f>
        <v>102</v>
      </c>
      <c r="V30" s="103">
        <f t="array" ref="V30">VARP(IF(INDEX(properties!A$1:CB$87,'Fórmula'!B30,6)&lt;&gt;"",INDEX(properties!A$1:CB$87,'Fórmula'!B30,6)),IF(INDEX(properties!A$1:CB$87,'Fórmula'!D30,6)&lt;&gt;"",INDEX(properties!A$1:CB$87,'Fórmula'!D30,6)),IF(INDEX(properties!A$1:CB$87,'Fórmula'!F30,6)&lt;&gt;"",INDEX(properties!A$1:CB$87,'Fórmula'!F30,6)),IF(INDEX(properties!A$1:CB$87,'Fórmula'!H30,6)&lt;&gt;"",INDEX(properties!A$1:CB$87,'Fórmula'!H30,6)),IF(INDEX(properties!A$1:CB$87,'Fórmula'!J30,6)&lt;&gt;"",INDEX(properties!A$1:CB$87,'Fórmula'!J30,6)))</f>
        <v>46.56</v>
      </c>
      <c r="W30" s="104">
        <f t="array" ref="W30">MAX(INDEX(properties!A$1:CB$87,'Fórmula'!B30,6),INDEX(properties!A$1:CB$87,'Fórmula'!D30,6),INDEX(properties!A$1:CB$87,'Fórmula'!F30,6),INDEX(properties!A$1:CB$87,'Fórmula'!H30,4),INDEX(properties!A$1:CB$87,'Fórmula'!J30,6))</f>
        <v>16</v>
      </c>
      <c r="X30" s="104">
        <f t="array" ref="X30">MIN(IF(INDEX(properties!A$1:CB$87,'Fórmula'!B30,6)=0,10^6,INDEX(properties!A$1:CB$87,'Fórmula'!B30,6)),IF(INDEX(properties!A$1:CB$87,'Fórmula'!D30,6)=0,10^6,INDEX(properties!A$1:CB$87,'Fórmula'!D30,6)),IF(INDEX(properties!A$1:CB$87,'Fórmula'!F30,6)=0,10^6,INDEX(properties!A$1:CB$87,'Fórmula'!F30,6)),IF(INDEX(properties!A$1:CB$87,'Fórmula'!H30,6)=0,10^6,INDEX(properties!A$1:CB$87,'Fórmula'!H30,6)),IF(INDEX(properties!A$1:CB$87,'Fórmula'!J30,6)=0,10^6,INDEX(properties!A$1:CB$87,'Fórmula'!J30,6)))</f>
        <v>12</v>
      </c>
      <c r="Y30" s="104">
        <f t="shared" si="4"/>
        <v>4</v>
      </c>
      <c r="Z30" s="105">
        <f t="array" ref="Z30">(('Fórmula'!C30)/('Fórmula'!C30+'Fórmula'!E30+'Fórmula'!G30+'Fórmula'!I30+'Fórmula'!K30))*(INDEX(properties!A$1:CB$87,'Fórmula'!B30,9))+(('Fórmula'!E30)/('Fórmula'!C30+'Fórmula'!E30+'Fórmula'!G30+'Fórmula'!I30+'Fórmula'!K30))*(INDEX(properties!A$1:CB$87,'Fórmula'!D30,9))+(('Fórmula'!G30)/('Fórmula'!C30+'Fórmula'!E30+'Fórmula'!G30+'Fórmula'!I30+'Fórmula'!K30))*(INDEX(properties!A$1:CB$87,'Fórmula'!F30,9))+(('Fórmula'!I30)/('Fórmula'!C30+'Fórmula'!E30+'Fórmula'!G30+'Fórmula'!I30+'Fórmula'!K30))*(INDEX(properties!A$1:CB$87,'Fórmula'!H30,9))+(('Fórmula'!K30)/('Fórmula'!C30+'Fórmula'!E30+'Fórmula'!G30+'Fórmula'!I30+'Fórmula'!K30))*(INDEX(properties!A$1:CB$87,'Fórmula'!J30,9))</f>
        <v>80.71428571</v>
      </c>
      <c r="AA30" s="105">
        <f t="array" ref="AA30">'Fórmula'!C30*(INDEX(properties!A$1:CB$87,'Fórmula'!B30,9))+'Fórmula'!E30*(INDEX(properties!A$1:CB$87,'Fórmula'!D30,9))+'Fórmula'!G30*(INDEX(properties!A$1:CB$87,'Fórmula'!F30,9))+'Fórmula'!I30*(INDEX(properties!A$1:CB$87,'Fórmula'!H30,9))+'Fórmula'!K30*(INDEX(properties!A$1:CB$87,'Fórmula'!J30,9))</f>
        <v>565</v>
      </c>
      <c r="AB30" s="105">
        <f t="array" ref="AB30">VARP(IF(INDEX(properties!A$1:CB$87,'Fórmula'!B30,9)&lt;&gt;"",INDEX(properties!A$1:CB$87,'Fórmula'!B30,9)),IF(INDEX(properties!A$1:CB$87,'Fórmula'!D30,9)&lt;&gt;"",INDEX(properties!A$1:CB$87,'Fórmula'!D30,9)),IF(INDEX(properties!A$1:CB$87,'Fórmula'!F30,9)&lt;&gt;"",INDEX(properties!A$1:CB$87,'Fórmula'!F30,9)),IF(INDEX(properties!A$1:CB$87,'Fórmula'!H30,9)&lt;&gt;"",INDEX(properties!A$1:CB$87,'Fórmula'!H30,9)),IF(INDEX(properties!A$1:CB$87,'Fórmula'!J30,9)&lt;&gt;"",INDEX(properties!A$1:CB$87,'Fórmula'!J30,9)))</f>
        <v>1445.2</v>
      </c>
      <c r="AC30" s="105">
        <f t="array" ref="AC30">MAX(INDEX(properties!A$1:CB$87,'Fórmula'!B30,9),INDEX(properties!A$1:CB$87,'Fórmula'!D30,9),INDEX(properties!A$1:CB$87,'Fórmula'!F30,9),INDEX(properties!A$1:CB$87,'Fórmula'!H30,9),INDEX(properties!A$1:CB$87,'Fórmula'!J30,9))</f>
        <v>87</v>
      </c>
      <c r="AD30" s="105">
        <f t="array" ref="AD30">MIN(IF(INDEX(properties!A$1:CB$87,'Fórmula'!B30,9)=0,10^6,INDEX(properties!A$1:CB$87,'Fórmula'!B30,9)),IF(INDEX(properties!A$1:CB$87,'Fórmula'!D30,9)=0,10^6,INDEX(properties!A$1:CB$87,'Fórmula'!D30,9)),IF(INDEX(properties!A$1:CB$87,'Fórmula'!F30,9)=0,10^6,INDEX(properties!A$1:CB$87,'Fórmula'!F30,9)),IF(INDEX(properties!A$1:CB$87,'Fórmula'!H30,9)=0,10^6,INDEX(properties!A$1:CB$87,'Fórmula'!H30,9)),IF(INDEX(properties!A$1:CB$87,'Fórmula'!J30,9)=0,10^6,INDEX(properties!A$1:CB$87,'Fórmula'!J30,9)))</f>
        <v>69</v>
      </c>
      <c r="AE30" s="105">
        <f t="shared" si="5"/>
        <v>18</v>
      </c>
      <c r="AF30" s="106">
        <f t="array" ref="AF30">(('Fórmula'!C30)/('Fórmula'!C30+'Fórmula'!E30+'Fórmula'!G30+'Fórmula'!I30+'Fórmula'!K30))*(INDEX(properties!A$1:CB$87,'Fórmula'!B30,10))+(('Fórmula'!E30)/('Fórmula'!C30+'Fórmula'!E30+'Fórmula'!G30+'Fórmula'!I30+'Fórmula'!K30))*(INDEX(properties!A$1:CB$87,'Fórmula'!D30,10))+(('Fórmula'!G30)/('Fórmula'!C30+'Fórmula'!E30+'Fórmula'!G30+'Fórmula'!I30+'Fórmula'!K30))*(INDEX(properties!A$1:CB$87,'Fórmula'!F30,10))+(('Fórmula'!I30)/('Fórmula'!C30+'Fórmula'!E30+'Fórmula'!G30+'Fórmula'!I30+'Fórmula'!K30))*(INDEX(properties!A$1:CB$87,'Fórmula'!H30,10))+(('Fórmula'!K30)/('Fórmula'!C30+'Fórmula'!E30+'Fórmula'!G30+'Fórmula'!I30+'Fórmula'!K30))*(INDEX(properties!A$1:CB$87,'Fórmula'!J30,10))</f>
        <v>6</v>
      </c>
      <c r="AG30" s="106">
        <f t="array" ref="AG30">'Fórmula'!C30*(INDEX(properties!A$1:CB$87,'Fórmula'!B30,10))+'Fórmula'!E30*(INDEX(properties!A$1:CB$87,'Fórmula'!D30,10))+'Fórmula'!G30*(INDEX(properties!A$1:CB$87,'Fórmula'!F30,10))+'Fórmula'!I30*(INDEX(properties!A$1:CB$87,'Fórmula'!H30,10))+'Fórmula'!K30*(INDEX(properties!A$1:CB$87,'Fórmula'!J30,10))</f>
        <v>42</v>
      </c>
      <c r="AH30" s="106">
        <f t="array" ref="AH30">VARP(IF(INDEX(properties!A$1:CB$87,'Fórmula'!B30,10)&lt;&gt;"",INDEX(properties!A$1:CB$87,'Fórmula'!B30,10)),IF(INDEX(properties!A$1:CB$87,'Fórmula'!D30,10)&lt;&gt;"",INDEX(properties!A$1:CB$87,'Fórmula'!D30,10)),IF(INDEX(properties!A$1:CB$87,'Fórmula'!F30,10)&lt;&gt;"",INDEX(properties!A$1:CB$87,'Fórmula'!F30,10)),IF(INDEX(properties!A$1:CB$87,'Fórmula'!H30,10)&lt;&gt;"",INDEX(properties!A$1:CB$87,'Fórmula'!H30,10)),IF(INDEX(properties!A$1:CB$87,'Fórmula'!J30,10)&lt;&gt;"",INDEX(properties!A$1:CB$87,'Fórmula'!J30,10)))</f>
        <v>7.76</v>
      </c>
      <c r="AI30" s="106">
        <f t="array" ref="AI30">MAX(INDEX(properties!A$1:CB$87,'Fórmula'!B30,10),INDEX(properties!A$1:CB$87,'Fórmula'!D30,10),INDEX(properties!A$1:CB$87,'Fórmula'!F30,10),INDEX(properties!A$1:CB$87,'Fórmula'!H30,10),INDEX(properties!A$1:CB$87,'Fórmula'!J30,10))</f>
        <v>7</v>
      </c>
      <c r="AJ30" s="106">
        <f t="array" ref="AJ30">MIN(IF(INDEX(properties!A$1:CB$87,'Fórmula'!B30,10)=0,10^6,INDEX(properties!A$1:CB$87,'Fórmula'!B30,10)),IF(INDEX(properties!A$1:CB$87,'Fórmula'!D30,10)=0,10^6,INDEX(properties!A$1:CB$87,'Fórmula'!D30,10)),IF(INDEX(properties!A$1:CB$87,'Fórmula'!F30,10)=0,10^6,INDEX(properties!A$1:CB$87,'Fórmula'!F30,10)),IF(INDEX(properties!A$1:CB$87,'Fórmula'!H30,10)=0,10^6,INDEX(properties!A$1:CB$87,'Fórmula'!H30,10)),IF(INDEX(properties!A$1:CB$87,'Fórmula'!J30,10)=0,10^6,INDEX(properties!A$1:CB$87,'Fórmula'!J30,10)))</f>
        <v>4</v>
      </c>
      <c r="AK30" s="106">
        <f t="shared" si="6"/>
        <v>3</v>
      </c>
      <c r="AL30" s="107">
        <f t="array" ref="AL30">(('Fórmula'!C30)/('Fórmula'!C30+'Fórmula'!E30+'Fórmula'!G30+'Fórmula'!I30+'Fórmula'!K30))*(INDEX(properties!A$1:CB$87,'Fórmula'!B30,11))+(('Fórmula'!E30)/('Fórmula'!C30+'Fórmula'!E30+'Fórmula'!G30+'Fórmula'!I30+'Fórmula'!K30))*(INDEX(properties!A$1:CB$87,'Fórmula'!D30,11))+(('Fórmula'!G30)/('Fórmula'!C30+'Fórmula'!E30+'Fórmula'!G30+'Fórmula'!I30+'Fórmula'!K30))*(INDEX(properties!A$1:CB$87,'Fórmula'!F30,11))+(('Fórmula'!I30)/('Fórmula'!C30+'Fórmula'!E30+'Fórmula'!G30+'Fórmula'!I30+'Fórmula'!K30))*(INDEX(properties!A$1:CB$87,'Fórmula'!H30,11))+(('Fórmula'!K30)/('Fórmula'!C30+'Fórmula'!E30+'Fórmula'!G30+'Fórmula'!I30+'Fórmula'!K30))*(INDEX(properties!A$1:CB$87,'Fórmula'!J30,11))</f>
        <v>2</v>
      </c>
      <c r="AM30" s="107">
        <f t="array" ref="AM30">'Fórmula'!C30*(INDEX(properties!A$1:CB$87,'Fórmula'!B30,11))+'Fórmula'!E30*(INDEX(properties!A$1:CB$87,'Fórmula'!D30,11))+'Fórmula'!G30*(INDEX(properties!A$1:CB$87,'Fórmula'!F30,11))+'Fórmula'!I30*(INDEX(properties!A$1:CB$87,'Fórmula'!H30,11))+'Fórmula'!K30*(INDEX(properties!A$1:CB$87,'Fórmula'!J30,11))</f>
        <v>14</v>
      </c>
      <c r="AN30" s="107">
        <f t="array" ref="AN30">VARP(IF(INDEX(properties!A$1:CB$87,'Fórmula'!B30,11)&lt;&gt;"",INDEX(properties!A$1:CB$87,'Fórmula'!B30,11)),IF(INDEX(properties!A$1:CB$87,'Fórmula'!D30,11)&lt;&gt;"",INDEX(properties!A$1:CB$87,'Fórmula'!D30,11)),IF(INDEX(properties!A$1:CB$87,'Fórmula'!F30,11)&lt;&gt;"",INDEX(properties!A$1:CB$87,'Fórmula'!F30,11)),IF(INDEX(properties!A$1:CB$87,'Fórmula'!H30,11)&lt;&gt;"",INDEX(properties!A$1:CB$87,'Fórmula'!H30,11)),IF(INDEX(properties!A$1:CB$87,'Fórmula'!J30,11)&lt;&gt;"",INDEX(properties!A$1:CB$87,'Fórmula'!J30,11)))</f>
        <v>0.96</v>
      </c>
      <c r="AO30" s="107">
        <f t="array" ref="AO30">MAX(INDEX(properties!A$1:CB$87,'Fórmula'!B30,11),INDEX(properties!A$1:CB$87,'Fórmula'!D30,11),INDEX(properties!A$1:CB$87,'Fórmula'!F30,11),INDEX(properties!A$1:CB$87,'Fórmula'!H30,11),INDEX(properties!A$1:CB$87,'Fórmula'!J30,11))</f>
        <v>2</v>
      </c>
      <c r="AP30" s="107">
        <f t="array" ref="AP30">MIN(IF('Fórmula'!B30=87,10^6,INDEX(properties!A$1:CB$87,'Fórmula'!B30,11)),IF(('Fórmula'!D30)=87,10^6,INDEX(properties!A$1:CB$87,'Fórmula'!D30,11)),IF(('Fórmula'!F30)=87,10^6,INDEX(properties!A$1:CB$87,'Fórmula'!F30,11)),IF(('Fórmula'!H30)=87,10^6,INDEX(properties!A$1:CB$87,'Fórmula'!H30,11)),IF('Fórmula'!J30=87,10^6,INDEX(properties!A$1:CB$87,'Fórmula'!J30,11)))</f>
        <v>2</v>
      </c>
      <c r="AQ30" s="107">
        <f t="shared" si="7"/>
        <v>0</v>
      </c>
      <c r="AR30" s="108">
        <f t="array" ref="AR30">(('Fórmula'!C30)/('Fórmula'!C30+'Fórmula'!E30+'Fórmula'!G30+'Fórmula'!I30+'Fórmula'!K30))*(INDEX(properties!A$1:CB$87,'Fórmula'!B30,12))+(('Fórmula'!E30)/('Fórmula'!C30+'Fórmula'!E30+'Fórmula'!G30+'Fórmula'!I30+'Fórmula'!K30))*(INDEX(properties!A$1:CB$87,'Fórmula'!D30,12))+(('Fórmula'!G30)/('Fórmula'!C30+'Fórmula'!E30+'Fórmula'!G30+'Fórmula'!I30+'Fórmula'!K30))*(INDEX(properties!A$1:CB$87,'Fórmula'!F30,12))+(('Fórmula'!I30)/('Fórmula'!C30+'Fórmula'!E30+'Fórmula'!G30+'Fórmula'!I30+'Fórmula'!K30))*(INDEX(properties!A$1:CB$87,'Fórmula'!H30,12))+(('Fórmula'!K30)/('Fórmula'!C30+'Fórmula'!E30+'Fórmula'!G30+'Fórmula'!I30+'Fórmula'!K30))*(INDEX(properties!A$1:CB$87,'Fórmula'!J30,12))</f>
        <v>2.571428571</v>
      </c>
      <c r="AS30" s="108">
        <f t="array" ref="AS30">'Fórmula'!C30*(INDEX(properties!A$1:CB$87,'Fórmula'!B30,12))+'Fórmula'!E30*(INDEX(properties!A$1:CB$87,'Fórmula'!D30,12))+'Fórmula'!G30*(INDEX(properties!A$1:CB$87,'Fórmula'!F30,12))+'Fórmula'!I30*(INDEX(properties!A$1:CB$87,'Fórmula'!H30,12))+'Fórmula'!K30*(INDEX(properties!A$1:CB$87,'Fórmula'!J30,12))</f>
        <v>18</v>
      </c>
      <c r="AT30" s="108">
        <f t="array" ref="AT30">VARP(IF(INDEX(properties!A$1:CB$87,'Fórmula'!B30,12)&lt;&gt;"",INDEX(properties!A$1:CB$87,'Fórmula'!B30,12)),IF(INDEX(properties!A$1:CB$87,'Fórmula'!D30,12)&lt;&gt;"",INDEX(properties!A$1:CB$87,'Fórmula'!D30,12)),IF(INDEX(properties!A$1:CB$87,'Fórmula'!F30,12)&lt;&gt;"",INDEX(properties!A$1:CB$87,'Fórmula'!F30,12)),IF(INDEX(properties!A$1:CB$87,'Fórmula'!H30,12)&lt;&gt;"",INDEX(properties!A$1:CB$87,'Fórmula'!H30,12)),IF(INDEX(properties!A$1:CB$87,'Fórmula'!J30,12)&lt;&gt;"",INDEX(properties!A$1:CB$87,'Fórmula'!J30,12)))</f>
        <v>2.4</v>
      </c>
      <c r="AU30" s="108">
        <f t="array" ref="AU30">MAX(INDEX(properties!A$1:CB$87,'Fórmula'!B30,12),INDEX(properties!A$1:CB$87,'Fórmula'!D30,12),INDEX(properties!A$1:CB$87,'Fórmula'!F30,12),INDEX(properties!A$1:CB$87,'Fórmula'!H30,12),INDEX(properties!A$1:CB$87,'Fórmula'!J30,12))</f>
        <v>4</v>
      </c>
      <c r="AV30" s="108">
        <f t="array" ref="AV30">MIN(IF('Fórmula'!B30=87,10^6,INDEX(properties!A$1:CB$87,'Fórmula'!B30,12)),IF(('Fórmula'!D30)=87,10^6,INDEX(properties!A$1:CB$87,'Fórmula'!D30,12)),IF(('Fórmula'!F30)=87,10^6,INDEX(properties!A$1:CB$87,'Fórmula'!F30,12)),IF(('Fórmula'!H30)=87,10^6,INDEX(properties!A$1:CB$87,'Fórmula'!H30,12)),IF('Fórmula'!J30=87,10^6,INDEX(properties!A$1:CB$87,'Fórmula'!J30,12)))</f>
        <v>0</v>
      </c>
      <c r="AW30" s="108">
        <f t="shared" si="8"/>
        <v>4</v>
      </c>
      <c r="AX30" s="109">
        <f t="array" ref="AX30">(('Fórmula'!C30)/('Fórmula'!C30+'Fórmula'!E30+'Fórmula'!G30+'Fórmula'!I30+'Fórmula'!K30))*(INDEX(properties!A$1:CB$87,'Fórmula'!B30,13))+(('Fórmula'!E30)/('Fórmula'!C30+'Fórmula'!E30+'Fórmula'!G30+'Fórmula'!I30+'Fórmula'!K30))*(INDEX(properties!A$1:CB$87,'Fórmula'!D30,13))+(('Fórmula'!G30)/('Fórmula'!C30+'Fórmula'!E30+'Fórmula'!G30+'Fórmula'!I30+'Fórmula'!K30))*(INDEX(properties!A$1:CB$87,'Fórmula'!F30,13))+(('Fórmula'!I30)/('Fórmula'!C30+'Fórmula'!E30+'Fórmula'!G30+'Fórmula'!I30+'Fórmula'!K30))*(INDEX(properties!A$1:CB$87,'Fórmula'!H30,13))+(('Fórmula'!K30)/('Fórmula'!C30+'Fórmula'!E30+'Fórmula'!G30+'Fórmula'!I30+'Fórmula'!K30))*(INDEX(properties!A$1:CB$87,'Fórmula'!J30,13))</f>
        <v>4.285714286</v>
      </c>
      <c r="AY30" s="109">
        <f t="array" ref="AY30">'Fórmula'!C30*(INDEX(properties!A$1:CB$87,'Fórmula'!B30,13))+'Fórmula'!E30*(INDEX(properties!A$1:CB$87,'Fórmula'!D30,13))+'Fórmula'!G30*(INDEX(properties!A$1:CB$87,'Fórmula'!F30,13))+'Fórmula'!I30*(INDEX(properties!A$1:CB$87,'Fórmula'!H30,13))+'Fórmula'!K30*(INDEX(properties!A$1:CB$87,'Fórmula'!J30,13))</f>
        <v>30</v>
      </c>
      <c r="AZ30" s="109">
        <f t="array" ref="AZ30">VARP(IF(INDEX(properties!A$1:CB$87,'Fórmula'!B30,13)&lt;&gt;"",INDEX(properties!A$1:CB$87,'Fórmula'!B30,13)),IF(INDEX(properties!A$1:CB$87,'Fórmula'!D30,13)&lt;&gt;"",INDEX(properties!A$1:CB$87,'Fórmula'!D30,13)),IF(INDEX(properties!A$1:CB$87,'Fórmula'!F30,13)&lt;&gt;"",INDEX(properties!A$1:CB$87,'Fórmula'!F30,13)),IF(INDEX(properties!A$1:CB$87,'Fórmula'!H30,13)&lt;&gt;"",INDEX(properties!A$1:CB$87,'Fórmula'!H30,13)),IF(INDEX(properties!A$1:CB$87,'Fórmula'!J30,13)&lt;&gt;"",INDEX(properties!A$1:CB$87,'Fórmula'!J30,13)))</f>
        <v>24</v>
      </c>
      <c r="BA30" s="109">
        <f t="array" ref="BA30">MAX(INDEX(properties!A$1:CB$87,'Fórmula'!B30,13),INDEX(properties!A$1:CB$87,'Fórmula'!D30,13),INDEX(properties!A$1:CB$87,'Fórmula'!F30,13),INDEX(properties!A$1:CB$87,'Fórmula'!H30,13),INDEX(properties!A$1:CB$87,'Fórmula'!J30,13))</f>
        <v>10</v>
      </c>
      <c r="BB30" s="109">
        <f t="array" ref="BB30">MIN(IF('Fórmula'!B30=87,10^6,INDEX(properties!A$1:CB$87,'Fórmula'!B30,13)),IF(('Fórmula'!D30)=87,10^6,INDEX(properties!A$1:CB$87,'Fórmula'!D30,13)),IF(('Fórmula'!F30)=87,10^6,INDEX(properties!A$1:CB$87,'Fórmula'!F30,13)),IF(('Fórmula'!H30)=87,10^6,INDEX(properties!A$1:CB$87,'Fórmula'!H30,13)),IF('Fórmula'!J30=87,10^6,INDEX(properties!A$1:CB$87,'Fórmula'!J30,13)))</f>
        <v>0</v>
      </c>
      <c r="BC30" s="109">
        <f t="shared" si="9"/>
        <v>10</v>
      </c>
      <c r="BD30" s="110">
        <f t="array" ref="BD30">(('Fórmula'!C30)/('Fórmula'!C30+'Fórmula'!E30+'Fórmula'!G30+'Fórmula'!I30+'Fórmula'!K30))*(INDEX(properties!A$1:CB$87,'Fórmula'!B30,14))+(('Fórmula'!E30)/('Fórmula'!C30+'Fórmula'!E30+'Fórmula'!G30+'Fórmula'!I30+'Fórmula'!K30))*(INDEX(properties!A$1:CB$87,'Fórmula'!D30,14))+(('Fórmula'!G30)/('Fórmula'!C30+'Fórmula'!E30+'Fórmula'!G30+'Fórmula'!I30+'Fórmula'!K30))*(INDEX(properties!A$1:CB$87,'Fórmula'!F30,14))+(('Fórmula'!I30)/('Fórmula'!C30+'Fórmula'!E30+'Fórmula'!G30+'Fórmula'!I30+'Fórmula'!K30))*(INDEX(properties!A$1:CB$87,'Fórmula'!H30,14))+(('Fórmula'!K30)/('Fórmula'!C30+'Fórmula'!E30+'Fórmula'!G30+'Fórmula'!I30+'Fórmula'!K30))*(INDEX(properties!A$1:CB$87,'Fórmula'!J30,14))</f>
        <v>0</v>
      </c>
      <c r="BE30" s="110">
        <f t="array" ref="BE30">'Fórmula'!C30*(INDEX(properties!A$1:CB$87,'Fórmula'!B30,14))+'Fórmula'!E30*(INDEX(properties!A$1:CB$87,'Fórmula'!D30,14))+'Fórmula'!G30*(INDEX(properties!A$1:CB$87,'Fórmula'!F30,14))+'Fórmula'!I30*(INDEX(properties!A$1:CB$87,'Fórmula'!H30,14))+'Fórmula'!K30*(INDEX(properties!A$1:CB$87,'Fórmula'!J30,14))</f>
        <v>0</v>
      </c>
      <c r="BF30" s="110">
        <f t="array" ref="BF30">VARP(IF(INDEX(properties!A$1:CB$87,'Fórmula'!B30,14)&lt;&gt;"",INDEX(properties!A$1:CB$87,'Fórmula'!B30,14)),IF(INDEX(properties!A$1:CB$87,'Fórmula'!D30,14)&lt;&gt;"",INDEX(properties!A$1:CB$87,'Fórmula'!D30,14)),IF(INDEX(properties!A$1:CB$87,'Fórmula'!F30,14)&lt;&gt;"",INDEX(properties!A$1:CB$87,'Fórmula'!F30,14)),IF(INDEX(properties!A$1:CB$87,'Fórmula'!H30,14)&lt;&gt;"",INDEX(properties!A$1:CB$87,'Fórmula'!H30,14)),IF(INDEX(properties!A$1:CB$87,'Fórmula'!J30,14)&lt;&gt;"",INDEX(properties!A$1:CB$87,'Fórmula'!J30,14)))</f>
        <v>0</v>
      </c>
      <c r="BG30" s="110">
        <f t="array" ref="BG30">MAX(INDEX(properties!A$1:CB$87,'Fórmula'!B30,14),INDEX(properties!A$1:CB$87,'Fórmula'!D30,14),INDEX(properties!A$1:CB$87,'Fórmula'!F30,14),INDEX(properties!A$1:CB$87,'Fórmula'!H30,14),INDEX(properties!A$1:CB$87,'Fórmula'!J30,14))</f>
        <v>0</v>
      </c>
      <c r="BH30" s="110">
        <f t="array" ref="BH30">MIN(IF('Fórmula'!B30=87,10^6,INDEX(properties!A$1:CB$87,'Fórmula'!B30,14)),IF(('Fórmula'!D30)=87,10^6,INDEX(properties!A$1:CB$87,'Fórmula'!D30,14)),IF(('Fórmula'!F30)=87,10^6,INDEX(properties!A$1:CB$87,'Fórmula'!F30,14)),IF(('Fórmula'!H30)=87,10^6,INDEX(properties!A$1:CB$87,'Fórmula'!H30,14)),IF('Fórmula'!J30=87,10^6,INDEX(properties!A$1:CB$87,'Fórmula'!J30,14)))</f>
        <v>0</v>
      </c>
      <c r="BI30" s="110">
        <f t="shared" si="10"/>
        <v>0</v>
      </c>
      <c r="BJ30" s="111">
        <f t="array" ref="BJ30">(('Fórmula'!C30)/('Fórmula'!C30+'Fórmula'!E30+'Fórmula'!G30+'Fórmula'!I30+'Fórmula'!K30))*(INDEX(properties!A$1:CB$87,'Fórmula'!B30,19))+(('Fórmula'!E30)/('Fórmula'!C30+'Fórmula'!E30+'Fórmula'!G30+'Fórmula'!I30+'Fórmula'!K30))*(INDEX(properties!A$1:CB$87,'Fórmula'!D30,19))+(('Fórmula'!G30)/('Fórmula'!C30+'Fórmula'!E30+'Fórmula'!G30+'Fórmula'!I30+'Fórmula'!K30))*(INDEX(properties!A$1:CB$87,'Fórmula'!F30,19))+(('Fórmula'!I30)/('Fórmula'!C30+'Fórmula'!E30+'Fórmula'!G30+'Fórmula'!I30+'Fórmula'!K30))*(INDEX(properties!A$1:CB$87,'Fórmula'!H30,19))+(('Fórmula'!K30)/('Fórmula'!C30+'Fórmula'!E30+'Fórmula'!G30+'Fórmula'!I30+'Fórmula'!K30))*(INDEX(properties!A$1:CB$87,'Fórmula'!J30,19))</f>
        <v>8.857142857</v>
      </c>
      <c r="BK30" s="111">
        <f t="array" ref="BK30">'Fórmula'!C30*(INDEX(properties!A$1:CB$87,'Fórmula'!B30,19))+'Fórmula'!E30*(INDEX(properties!A$1:CB$87,'Fórmula'!D30,19))+'Fórmula'!G30*(INDEX(properties!A$1:CB$87,'Fórmula'!F30,19))+'Fórmula'!I30*(INDEX(properties!A$1:CB$87,'Fórmula'!H30,19))+'Fórmula'!K30*(INDEX(properties!A$1:CB$87,'Fórmula'!J30,19))</f>
        <v>62</v>
      </c>
      <c r="BL30" s="111">
        <f t="array" ref="BL30">VARP(IF(INDEX(properties!A$1:CB$87,'Fórmula'!B30,19)&lt;&gt;"",INDEX(properties!A$1:CB$87,'Fórmula'!B30,19)),IF(INDEX(properties!A$1:CB$87,'Fórmula'!D30,19)&lt;&gt;"",INDEX(properties!A$1:CB$87,'Fórmula'!D30,19)),IF(INDEX(properties!A$1:CB$87,'Fórmula'!F30,19)&lt;&gt;"",INDEX(properties!A$1:CB$87,'Fórmula'!F30,19)),IF(INDEX(properties!A$1:CB$87,'Fórmula'!H30,19)&lt;&gt;"",INDEX(properties!A$1:CB$87,'Fórmula'!H30,19)),IF(INDEX(properties!A$1:CB$87,'Fórmula'!J30,19)&lt;&gt;"",INDEX(properties!A$1:CB$87,'Fórmula'!J30,19)))</f>
        <v>31.36</v>
      </c>
      <c r="BM30" s="111">
        <f t="array" ref="BM30">MAX(INDEX(properties!A$1:CB$87,'Fórmula'!B30,19),INDEX(properties!A$1:CB$87,'Fórmula'!D30,19),INDEX(properties!A$1:CB$87,'Fórmula'!F30,19),INDEX(properties!A$1:CB$87,'Fórmula'!H30,19),INDEX(properties!A$1:CB$87,'Fórmula'!J30,19))</f>
        <v>13</v>
      </c>
      <c r="BN30" s="111">
        <f t="array" ref="BN30">MIN(IF(INDEX(properties!A$1:CB$87,'Fórmula'!B30,19)=0,10^6,INDEX(properties!A$1:CB$87,'Fórmula'!B30,19)),IF(INDEX(properties!A$1:CB$87,'Fórmula'!D30,19)=0,10^6,INDEX(properties!A$1:CB$87,'Fórmula'!D30,19)),IF(INDEX(properties!A$1:CB$87,'Fórmula'!F30,19)=0,10^6,INDEX(properties!A$1:CB$87,'Fórmula'!F30,19)),IF(INDEX(properties!A$1:CB$87,'Fórmula'!H30,19)=0,10^6,INDEX(properties!A$1:CB$87,'Fórmula'!H30,19)),IF(INDEX(properties!A$1:CB$87,'Fórmula'!J30,19)=0,10^6,INDEX(properties!A$1:CB$87,'Fórmula'!J30,19)))</f>
        <v>6</v>
      </c>
      <c r="BO30" s="111">
        <f t="shared" si="11"/>
        <v>7</v>
      </c>
      <c r="BP30" s="112">
        <f t="array" ref="BP30">(('Fórmula'!C30)/('Fórmula'!C30+'Fórmula'!E30+'Fórmula'!G30+'Fórmula'!I30+'Fórmula'!K30))*(INDEX(properties!A$1:CB$87,'Fórmula'!B30,20))+(('Fórmula'!E30)/('Fórmula'!C30+'Fórmula'!E30+'Fórmula'!G30+'Fórmula'!I30+'Fórmula'!K30))*(INDEX(properties!A$1:CB$87,'Fórmula'!D30,20))+(('Fórmula'!G30)/('Fórmula'!C30+'Fórmula'!E30+'Fórmula'!G30+'Fórmula'!I30+'Fórmula'!K30))*(INDEX(properties!A$1:CB$87,'Fórmula'!F30,20))+(('Fórmula'!I30)/('Fórmula'!C30+'Fórmula'!E30+'Fórmula'!G30+'Fórmula'!I30+'Fórmula'!K30))*(INDEX(properties!A$1:CB$87,'Fórmula'!H30,20))+(('Fórmula'!K30)/('Fórmula'!C30+'Fórmula'!E30+'Fórmula'!G30+'Fórmula'!I30+'Fórmula'!K30))*(INDEX(properties!A$1:CB$87,'Fórmula'!J30,20))</f>
        <v>4.571428571</v>
      </c>
      <c r="BQ30" s="112">
        <f t="array" ref="BQ30">'Fórmula'!C30*(INDEX(properties!A$1:CB$87,'Fórmula'!B30,20))+'Fórmula'!E30*(INDEX(properties!A$1:CB$87,'Fórmula'!D30,20))+'Fórmula'!G30*(INDEX(properties!A$1:CB$87,'Fórmula'!F30,20))+'Fórmula'!I30*(INDEX(properties!A$1:CB$87,'Fórmula'!H30,20))+'Fórmula'!K30*(INDEX(properties!A$1:CB$87,'Fórmula'!J30,20))</f>
        <v>32</v>
      </c>
      <c r="BR30" s="112">
        <f t="array" ref="BR30">VARP(IF(INDEX(properties!A$1:CB$87,'Fórmula'!B30,20)&lt;&gt;"",INDEX(properties!A$1:CB$87,'Fórmula'!B30,20)),IF(INDEX(properties!A$1:CB$87,'Fórmula'!D30,20)&lt;&gt;"",INDEX(properties!A$1:CB$87,'Fórmula'!D30,20)),IF(INDEX(properties!A$1:CB$87,'Fórmula'!F30,20)&lt;&gt;"",INDEX(properties!A$1:CB$87,'Fórmula'!F30,20)),IF(INDEX(properties!A$1:CB$87,'Fórmula'!H30,20)&lt;&gt;"",INDEX(properties!A$1:CB$87,'Fórmula'!H30,20)),IF(INDEX(properties!A$1:CB$87,'Fórmula'!J30,20)&lt;&gt;"",INDEX(properties!A$1:CB$87,'Fórmula'!J30,20)))</f>
        <v>4.96</v>
      </c>
      <c r="BS30" s="112">
        <f t="array" ref="BS30">MAX(INDEX(properties!A$1:CB$87,'Fórmula'!B30,20),INDEX(properties!A$1:CB$87,'Fórmula'!D30,20),INDEX(properties!A$1:CB$87,'Fórmula'!F30,20),INDEX(properties!A$1:CB$87,'Fórmula'!H30,20),INDEX(properties!A$1:CB$87,'Fórmula'!J30,20))</f>
        <v>6</v>
      </c>
      <c r="BT30" s="112">
        <f t="array" ref="BT30">MIN(IF(INDEX(properties!A$1:CB$87,'Fórmula'!B30,20)=0,10^6,INDEX(properties!A$1:CB$87,'Fórmula'!B30,20)),IF(INDEX(properties!A$1:CB$87,'Fórmula'!D30,20)=0,10^6,INDEX(properties!A$1:CB$87,'Fórmula'!D30,20)),IF(INDEX(properties!A$1:CB$87,'Fórmula'!F30,20)=0,10^6,INDEX(properties!A$1:CB$87,'Fórmula'!F30,20)),IF(INDEX(properties!A$1:CB$87,'Fórmula'!H30,20)=0,10^6,INDEX(properties!A$1:CB$87,'Fórmula'!H30,20)),IF(INDEX(properties!A$1:CB$87,'Fórmula'!J30,20)=0,10^6,INDEX(properties!A$1:CB$87,'Fórmula'!J30,20)))</f>
        <v>2</v>
      </c>
      <c r="BU30" s="112">
        <f t="shared" si="12"/>
        <v>4</v>
      </c>
      <c r="BV30" s="113">
        <f t="array" ref="BV30">(('Fórmula'!C30)/('Fórmula'!C30+'Fórmula'!E30+'Fórmula'!G30+'Fórmula'!I30+'Fórmula'!K30))*(INDEX(properties!A$1:CB$87,'Fórmula'!B30,21))+(('Fórmula'!E30)/('Fórmula'!C30+'Fórmula'!E30+'Fórmula'!G30+'Fórmula'!I30+'Fórmula'!K30))*(INDEX(properties!A$1:CB$87,'Fórmula'!D30,21))+(('Fórmula'!G30)/('Fórmula'!C30+'Fórmula'!E30+'Fórmula'!G30+'Fórmula'!I30+'Fórmula'!K30))*(INDEX(properties!A$1:CB$87,'Fórmula'!F30,21))+(('Fórmula'!I30)/('Fórmula'!C30+'Fórmula'!E30+'Fórmula'!G30+'Fórmula'!I30+'Fórmula'!K30))*(INDEX(properties!A$1:CB$87,'Fórmula'!H30,21))+(('Fórmula'!K30)/('Fórmula'!C30+'Fórmula'!E30+'Fórmula'!G30+'Fórmula'!I30+'Fórmula'!K30))*(INDEX(properties!A$1:CB$87,'Fórmula'!J30,21))</f>
        <v>4.428571429</v>
      </c>
      <c r="BW30" s="113">
        <f t="array" ref="BW30">'Fórmula'!C30*(INDEX(properties!A$1:CB$87,'Fórmula'!B30,21))+'Fórmula'!E30*(INDEX(properties!A$1:CB$87,'Fórmula'!D30,21))+'Fórmula'!G30*(INDEX(properties!A$1:CB$87,'Fórmula'!F30,21))+'Fórmula'!I30*(INDEX(properties!A$1:CB$87,'Fórmula'!H30,21))+'Fórmula'!K30*(INDEX(properties!A$1:CB$87,'Fórmula'!J30,21))</f>
        <v>31</v>
      </c>
      <c r="BX30" s="113">
        <f t="array" ref="BX30">VARP(IF(INDEX(properties!A$1:CB$87,'Fórmula'!B30,21)&lt;&gt;"",INDEX(properties!A$1:CB$87,'Fórmula'!B30,21)),IF(INDEX(properties!A$1:CB$87,'Fórmula'!D30,21)&lt;&gt;"",INDEX(properties!A$1:CB$87,'Fórmula'!D30,21)),IF(INDEX(properties!A$1:CB$87,'Fórmula'!F30,21)&lt;&gt;"",INDEX(properties!A$1:CB$87,'Fórmula'!F30,21)),IF(INDEX(properties!A$1:CB$87,'Fórmula'!H30,21)&lt;&gt;"",INDEX(properties!A$1:CB$87,'Fórmula'!H30,21)),IF(INDEX(properties!A$1:CB$87,'Fórmula'!J30,21)&lt;&gt;"",INDEX(properties!A$1:CB$87,'Fórmula'!J30,21)))</f>
        <v>5.2</v>
      </c>
      <c r="BY30" s="113">
        <f t="array" ref="BY30">MAX(INDEX(properties!A$1:CB$87,'Fórmula'!B30,21),INDEX(properties!A$1:CB$87,'Fórmula'!D30,21),INDEX(properties!A$1:CB$87,'Fórmula'!F30,21),INDEX(properties!A$1:CB$87,'Fórmula'!H30,21),INDEX(properties!A$1:CB$87,'Fórmula'!J30,21))</f>
        <v>6</v>
      </c>
      <c r="BZ30" s="113">
        <f t="array" ref="BZ30">MIN(IF(INDEX(properties!A$1:CB$87,'Fórmula'!B30,21)=0,10^6,INDEX(properties!A$1:CB$87,'Fórmula'!B30,21)),IF(INDEX(properties!A$1:CB$87,'Fórmula'!D30,21)=0,10^6,INDEX(properties!A$1:CB$87,'Fórmula'!D30,21)),IF(INDEX(properties!A$1:CB$87,'Fórmula'!F30,21)=0,10^6,INDEX(properties!A$1:CB$87,'Fórmula'!F30,21)),IF(INDEX(properties!A$1:CB$87,'Fórmula'!H30,21)=0,10^6,INDEX(properties!A$1:CB$87,'Fórmula'!H30,21)),IF(INDEX(properties!A$1:CB$87,'Fórmula'!J30,21)=0,10^6,INDEX(properties!A$1:CB$87,'Fórmula'!J30,21)))</f>
        <v>1</v>
      </c>
      <c r="CA30" s="113">
        <f t="shared" si="13"/>
        <v>5</v>
      </c>
      <c r="CB30" s="114">
        <f t="array" ref="CB30">(('Fórmula'!C30)/('Fórmula'!C30+'Fórmula'!E30+'Fórmula'!G30+'Fórmula'!I30+'Fórmula'!K30))*(INDEX(properties!A$1:CB$87,'Fórmula'!B30,23))+(('Fórmula'!E30)/('Fórmula'!C30+'Fórmula'!E30+'Fórmula'!G30+'Fórmula'!I30+'Fórmula'!K30))*(INDEX(properties!A$1:CB$87,'Fórmula'!D30,23))+(('Fórmula'!G30)/('Fórmula'!C30+'Fórmula'!E30+'Fórmula'!G30+'Fórmula'!I30+'Fórmula'!K30))*(INDEX(properties!A$1:CB$87,'Fórmula'!F30,23))+(('Fórmula'!I30)/('Fórmula'!C30+'Fórmula'!E30+'Fórmula'!G30+'Fórmula'!I30+'Fórmula'!K30))*(INDEX(properties!A$1:CB$87,'Fórmula'!H30,23))+(('Fórmula'!K30)/('Fórmula'!C30+'Fórmula'!E30+'Fórmula'!G30+'Fórmula'!I30+'Fórmula'!K30))*(INDEX(properties!A$1:CB$87,'Fórmula'!J30,23))</f>
        <v>1.617142857</v>
      </c>
      <c r="CC30" s="114">
        <f t="array" ref="CC30">'Fórmula'!C30*(INDEX(properties!A$1:CB$87,'Fórmula'!B30,23))+'Fórmula'!E30*(INDEX(properties!A$1:CB$87,'Fórmula'!D30,23))+'Fórmula'!G30*(INDEX(properties!A$1:CB$87,'Fórmula'!F30,23))+'Fórmula'!I30*(INDEX(properties!A$1:CB$87,'Fórmula'!H30,23))+'Fórmula'!K30*(INDEX(properties!A$1:CB$87,'Fórmula'!J30,23))</f>
        <v>11.32</v>
      </c>
      <c r="CD30" s="114">
        <f t="array" ref="CD30">VARP(IF(INDEX(properties!A$1:CB$87,'Fórmula'!B30,23)&lt;&gt;"",INDEX(properties!A$1:CB$87,'Fórmula'!B30,23)),IF(INDEX(properties!A$1:CB$87,'Fórmula'!D30,23)&lt;&gt;"",INDEX(properties!A$1:CB$87,'Fórmula'!D30,23)),IF(INDEX(properties!A$1:CB$87,'Fórmula'!F30,23)&lt;&gt;"",INDEX(properties!A$1:CB$87,'Fórmula'!F30,23)),IF(INDEX(properties!A$1:CB$87,'Fórmula'!H30,23)&lt;&gt;"",INDEX(properties!A$1:CB$87,'Fórmula'!H30,23)),IF(INDEX(properties!A$1:CB$87,'Fórmula'!J30,23)&lt;&gt;"",INDEX(properties!A$1:CB$87,'Fórmula'!J30,23)))</f>
        <v>3.825664</v>
      </c>
      <c r="CE30" s="114">
        <f t="array" ref="CE30">MAX(INDEX(properties!A$1:CB$87,'Fórmula'!B30,23),INDEX(properties!A$1:CB$87,'Fórmula'!D30,23),INDEX(properties!A$1:CB$87,'Fórmula'!F30,23),INDEX(properties!A$1:CB$87,'Fórmula'!H30,23),INDEX(properties!A$1:CB$87,'Fórmula'!J30,23))</f>
        <v>4.44</v>
      </c>
      <c r="CF30" s="114">
        <f t="array" ref="CF30">MIN(IF('Fórmula'!B30=87,10^6,INDEX(properties!A$1:CB$87,'Fórmula'!B30,23)),IF(('Fórmula'!D30)=87,10^6,INDEX(properties!A$1:CB$87,'Fórmula'!D30,23)),IF(('Fórmula'!F30)=87,10^6,INDEX(properties!A$1:CB$87,'Fórmula'!F30,23)),IF(('Fórmula'!H30)=87,10^6,INDEX(properties!A$1:CB$87,'Fórmula'!H30,23)),IF('Fórmula'!J30=87,10^6,INDEX(properties!A$1:CB$87,'Fórmula'!J30,23)))</f>
        <v>0</v>
      </c>
      <c r="CG30" s="114">
        <f t="shared" si="14"/>
        <v>4.44</v>
      </c>
      <c r="CH30" s="115">
        <f t="array" ref="CH30">(('Fórmula'!C30)/('Fórmula'!C30+'Fórmula'!E30+'Fórmula'!G30+'Fórmula'!I30+'Fórmula'!K30))*(INDEX(properties!A$1:CB$87,'Fórmula'!B30,26))+(('Fórmula'!E30)/('Fórmula'!C30+'Fórmula'!E30+'Fórmula'!G30+'Fórmula'!I30+'Fórmula'!K30))*(INDEX(properties!A$1:CB$87,'Fórmula'!D30,26))+(('Fórmula'!G30)/('Fórmula'!C30+'Fórmula'!E30+'Fórmula'!G30+'Fórmula'!I30+'Fórmula'!K30))*(INDEX(properties!A$1:CB$87,'Fórmula'!F30,26))+(('Fórmula'!I30)/('Fórmula'!C30+'Fórmula'!E30+'Fórmula'!G30+'Fórmula'!I30+'Fórmula'!K30))*(INDEX(properties!A$1:CB$87,'Fórmula'!H30,26))+(('Fórmula'!K30)/('Fórmula'!C30+'Fórmula'!E30+'Fórmula'!G30+'Fórmula'!I30+'Fórmula'!K30))*(INDEX(properties!A$1:CB$87,'Fórmula'!J30,26))</f>
        <v>10.83788571</v>
      </c>
      <c r="CI30" s="115">
        <f t="array" ref="CI30">'Fórmula'!C30*(INDEX(properties!A$1:CB$87,'Fórmula'!B30,26))+'Fórmula'!E30*(INDEX(properties!A$1:CB$87,'Fórmula'!D30,26))+'Fórmula'!G30*(INDEX(properties!A$1:CB$87,'Fórmula'!F30,26))+'Fórmula'!I30*(INDEX(properties!A$1:CB$87,'Fórmula'!H30,26))+'Fórmula'!K30*(INDEX(properties!A$1:CB$87,'Fórmula'!J30,26))</f>
        <v>75.8652</v>
      </c>
      <c r="CJ30" s="115">
        <f t="array" ref="CJ30">VARP(IF(INDEX(properties!A$1:CB$87,'Fórmula'!B30,26)&lt;&gt;"",INDEX(properties!A$1:CB$87,'Fórmula'!B30,26)),IF(INDEX(properties!A$1:CB$87,'Fórmula'!D30,26)&lt;&gt;"",INDEX(properties!A$1:CB$87,'Fórmula'!D30,26)),IF(INDEX(properties!A$1:CB$87,'Fórmula'!F30,26)&lt;&gt;"",INDEX(properties!A$1:CB$87,'Fórmula'!F30,26)),IF(INDEX(properties!A$1:CB$87,'Fórmula'!H30,26)&lt;&gt;"",INDEX(properties!A$1:CB$87,'Fórmula'!H30,26)),IF(INDEX(properties!A$1:CB$87,'Fórmula'!J30,26)&lt;&gt;"",INDEX(properties!A$1:CB$87,'Fórmula'!J30,26)))</f>
        <v>28.27213097</v>
      </c>
      <c r="CK30" s="116">
        <f t="array" ref="CK30">MAX(INDEX(properties!A$1:CB$87,'Fórmula'!B30,26),INDEX(properties!A$1:CB$87,'Fórmula'!D30,26),INDEX(properties!A$1:CB$87,'Fórmula'!F30,26),INDEX(properties!A$1:CB$87,'Fórmula'!H30,26),INDEX(properties!A$1:CB$87,'Fórmula'!J30,26))</f>
        <v>13.6181</v>
      </c>
      <c r="CL30" s="116">
        <f t="array" ref="CL30">MIN(IF(INDEX(properties!A$1:CB$87,'Fórmula'!B30,26)=0,10^6,INDEX(properties!A$1:CB$87,'Fórmula'!B30,26)),IF(INDEX(properties!A$1:CB$87,'Fórmula'!D30,26)=0,10^6,INDEX(properties!A$1:CB$87,'Fórmula'!D30,26)),IF(INDEX(properties!A$1:CB$87,'Fórmula'!F30,26)=0,10^6,INDEX(properties!A$1:CB$87,'Fórmula'!F30,26)),IF(INDEX(properties!A$1:CB$87,'Fórmula'!H30,26)=0,10^6,INDEX(properties!A$1:CB$87,'Fórmula'!H30,26)),IF(INDEX(properties!A$1:CB$87,'Fórmula'!J30,26)=0,10^6,INDEX(properties!A$1:CB$87,'Fórmula'!J30,26)))</f>
        <v>5.9993</v>
      </c>
      <c r="CM30" s="115">
        <f t="shared" si="15"/>
        <v>7.6188</v>
      </c>
      <c r="CN30" s="117">
        <f t="array" ref="CN30">(('Fórmula'!C30)/('Fórmula'!C30+'Fórmula'!E30+'Fórmula'!G30+'Fórmula'!I30+'Fórmula'!K30))*(INDEX(properties!A$1:CB$87,'Fórmula'!B30,30))+(('Fórmula'!E30)/('Fórmula'!C30+'Fórmula'!E30+'Fórmula'!G30+'Fórmula'!I30+'Fórmula'!K30))*(INDEX(properties!A$1:CB$87,'Fórmula'!D30,30))+(('Fórmula'!G30)/('Fórmula'!C30+'Fórmula'!E30+'Fórmula'!G30+'Fórmula'!I30+'Fórmula'!K30))*(INDEX(properties!A$1:CB$87,'Fórmula'!F30,30))+(('Fórmula'!I30)/('Fórmula'!C30+'Fórmula'!E30+'Fórmula'!G30+'Fórmula'!I30+'Fórmula'!K30))*(INDEX(properties!A$1:CB$87,'Fórmula'!H30,30))+(('Fórmula'!K30)/('Fórmula'!C30+'Fórmula'!E30+'Fórmula'!G30+'Fórmula'!I30+'Fórmula'!K30))*(INDEX(properties!A$1:CB$87,'Fórmula'!J30,30))</f>
        <v>2.718571429</v>
      </c>
      <c r="CO30" s="117">
        <f t="array" ref="CO30">'Fórmula'!C30*(INDEX(properties!A$1:CB$87,'Fórmula'!B30,30))+'Fórmula'!E30*(INDEX(properties!A$1:CB$87,'Fórmula'!D30,30))+'Fórmula'!G30*(INDEX(properties!A$1:CB$87,'Fórmula'!F30,30))+'Fórmula'!I30*(INDEX(properties!A$1:CB$87,'Fórmula'!H30,30))+'Fórmula'!K30*(INDEX(properties!A$1:CB$87,'Fórmula'!J30,30))</f>
        <v>19.03</v>
      </c>
      <c r="CP30" s="117">
        <f t="array" ref="CP30">VARP(IF(INDEX(properties!A$1:CB$87,'Fórmula'!B30,30)&lt;&gt;"",INDEX(properties!A$1:CB$87,'Fórmula'!B30,30)),IF(INDEX(properties!A$1:CB$87,'Fórmula'!D30,30)&lt;&gt;"",INDEX(properties!A$1:CB$87,'Fórmula'!D30,30)),IF(INDEX(properties!A$1:CB$87,'Fórmula'!F30,30)&lt;&gt;"",INDEX(properties!A$1:CB$87,'Fórmula'!F30,30)),IF(INDEX(properties!A$1:CB$87,'Fórmula'!H30,30)&lt;&gt;"",INDEX(properties!A$1:CB$87,'Fórmula'!H30,30)),IF(INDEX(properties!A$1:CB$87,'Fórmula'!J30,30)&lt;&gt;"",INDEX(properties!A$1:CB$87,'Fórmula'!J30,30)))</f>
        <v>1.66204</v>
      </c>
      <c r="CQ30" s="117">
        <f t="array" ref="CQ30">MAX(INDEX(properties!A$1:CB$87,'Fórmula'!B30,30),INDEX(properties!A$1:CB$87,'Fórmula'!D30,30),INDEX(properties!A$1:CB$87,'Fórmula'!F30,30),INDEX(properties!A$1:CB$87,'Fórmula'!H30,30),INDEX(properties!A$1:CB$87,'Fórmula'!J30,30))</f>
        <v>3.44</v>
      </c>
      <c r="CR30" s="117">
        <f t="array" ref="CR30">MIN(IF(INDEX(properties!A$1:CB$87,'Fórmula'!B30,30)=0,10^6,INDEX(properties!A$1:CB$87,'Fórmula'!B30,30)),IF(INDEX(properties!A$1:CB$87,'Fórmula'!D30,30)=0,10^6,INDEX(properties!A$1:CB$87,'Fórmula'!D30,30)),IF(INDEX(properties!A$1:CB$87,'Fórmula'!F30,30)=0,10^6,INDEX(properties!A$1:CB$87,'Fórmula'!F30,30)),IF(INDEX(properties!A$1:CB$87,'Fórmula'!H30,30)=0,10^6,INDEX(properties!A$1:CB$87,'Fórmula'!H30,30)),IF(INDEX(properties!A$1:CB$87,'Fórmula'!J30,30)=0,10^6,INDEX(properties!A$1:CB$87,'Fórmula'!J30,30)))</f>
        <v>1.65</v>
      </c>
      <c r="CS30" s="117">
        <f t="shared" si="16"/>
        <v>1.79</v>
      </c>
      <c r="CT30" s="118">
        <f t="array" ref="CT30">(('Fórmula'!C30)/('Fórmula'!C30+'Fórmula'!E30+'Fórmula'!G30+'Fórmula'!I30+'Fórmula'!K30))*(INDEX(properties!A$1:CB$87,'Fórmula'!B30,31))+(('Fórmula'!E30)/('Fórmula'!C30+'Fórmula'!E30+'Fórmula'!G30+'Fórmula'!I30+'Fórmula'!K30))*(INDEX(properties!A$1:CB$87,'Fórmula'!D30,31))+(('Fórmula'!G30)/('Fórmula'!C30+'Fórmula'!E30+'Fórmula'!G30+'Fórmula'!I30+'Fórmula'!K30))*(INDEX(properties!A$1:CB$87,'Fórmula'!F30,31))+(('Fórmula'!I30)/('Fórmula'!C30+'Fórmula'!E30+'Fórmula'!G30+'Fórmula'!I30+'Fórmula'!K30))*(INDEX(properties!A$1:CB$87,'Fórmula'!H30,31))+(('Fórmula'!K30)/('Fórmula'!C30+'Fórmula'!E30+'Fórmula'!G30+'Fórmula'!I30+'Fórmula'!K30))*(INDEX(properties!A$1:CB$87,'Fórmula'!J30,31))</f>
        <v>2.588571429</v>
      </c>
      <c r="CU30" s="118">
        <f t="array" ref="CU30">'Fórmula'!C30*(INDEX(properties!A$1:CB$87,'Fórmula'!B30,31))+'Fórmula'!E30*(INDEX(properties!A$1:CB$87,'Fórmula'!D30,31))+'Fórmula'!G30*(INDEX(properties!A$1:CB$87,'Fórmula'!F30,31))+'Fórmula'!I30*(INDEX(properties!A$1:CB$87,'Fórmula'!H30,31))+'Fórmula'!K30*(INDEX(properties!A$1:CB$87,'Fórmula'!J30,31))</f>
        <v>18.12</v>
      </c>
      <c r="CV30" s="118">
        <f t="array" ref="CV30">VARP(IF(INDEX(properties!A$1:CB$87,'Fórmula'!B30,31)&lt;&gt;"",INDEX(properties!A$1:CB$87,'Fórmula'!B30,31)),IF(INDEX(properties!A$1:CB$87,'Fórmula'!D30,31)&lt;&gt;"",INDEX(properties!A$1:CB$87,'Fórmula'!D30,31)),IF(INDEX(properties!A$1:CB$87,'Fórmula'!F30,31)&lt;&gt;"",INDEX(properties!A$1:CB$87,'Fórmula'!F30,31)),IF(INDEX(properties!A$1:CB$87,'Fórmula'!H30,31)&lt;&gt;"",INDEX(properties!A$1:CB$87,'Fórmula'!H30,31)),IF(INDEX(properties!A$1:CB$87,'Fórmula'!J30,31)&lt;&gt;"",INDEX(properties!A$1:CB$87,'Fórmula'!J30,31)))</f>
        <v>1.527936</v>
      </c>
      <c r="CW30" s="118">
        <f t="array" ref="CW30">MAX(INDEX(properties!A$1:CB$87,'Fórmula'!B30,31),INDEX(properties!A$1:CB$87,'Fórmula'!D30,31),INDEX(properties!A$1:CB$87,'Fórmula'!F30,31),INDEX(properties!A$1:CB$87,'Fórmula'!H30,31),INDEX(properties!A$1:CB$87,'Fórmula'!J30,31))</f>
        <v>3.32</v>
      </c>
      <c r="CX30" s="118">
        <f t="array" ref="CX30">MIN(IF(INDEX(properties!A$1:CB$87,'Fórmula'!B30,31)=0,10^6,INDEX(properties!A$1:CB$87,'Fórmula'!B30,31)),IF(INDEX(properties!A$1:CB$87,'Fórmula'!D30,31)=0,10^6,INDEX(properties!A$1:CB$87,'Fórmula'!D30,31)),IF(INDEX(properties!A$1:CB$87,'Fórmula'!F30,31)=0,10^6,INDEX(properties!A$1:CB$87,'Fórmula'!F30,31)),IF(INDEX(properties!A$1:CB$87,'Fórmula'!H30,31)=0,10^6,INDEX(properties!A$1:CB$87,'Fórmula'!H30,31)),IF(INDEX(properties!A$1:CB$87,'Fórmula'!J30,31)=0,10^6,INDEX(properties!A$1:CB$87,'Fórmula'!J30,31)))</f>
        <v>1.44</v>
      </c>
      <c r="CY30" s="118">
        <f t="shared" si="17"/>
        <v>1.88</v>
      </c>
      <c r="CZ30" s="119">
        <f t="array" ref="CZ30">(('Fórmula'!C30)/('Fórmula'!C30+'Fórmula'!E30+'Fórmula'!G30+'Fórmula'!I30+'Fórmula'!K30))*(INDEX(properties!A$1:CB$87,'Fórmula'!B30,32))+(('Fórmula'!E30)/('Fórmula'!C30+'Fórmula'!E30+'Fórmula'!G30+'Fórmula'!I30+'Fórmula'!K30))*(INDEX(properties!A$1:CB$87,'Fórmula'!D30,32))+(('Fórmula'!G30)/('Fórmula'!C30+'Fórmula'!E30+'Fórmula'!G30+'Fórmula'!I30+'Fórmula'!K30))*(INDEX(properties!A$1:CB$87,'Fórmula'!F30,32))+(('Fórmula'!I30)/('Fórmula'!C30+'Fórmula'!E30+'Fórmula'!G30+'Fórmula'!I30+'Fórmula'!K30))*(INDEX(properties!A$1:CB$87,'Fórmula'!H30,32))+(('Fórmula'!K30)/('Fórmula'!C30+'Fórmula'!E30+'Fórmula'!G30+'Fórmula'!I30+'Fórmula'!K30))*(INDEX(properties!A$1:CB$87,'Fórmula'!J30,32))</f>
        <v>5.858571429</v>
      </c>
      <c r="DA30" s="119">
        <f t="array" ref="DA30">'Fórmula'!C30*(INDEX(properties!A$1:CB$87,'Fórmula'!B30,32))+'Fórmula'!E30*(INDEX(properties!A$1:CB$87,'Fórmula'!D30,32))+'Fórmula'!G30*(INDEX(properties!A$1:CB$87,'Fórmula'!F30,32))+'Fórmula'!I30*(INDEX(properties!A$1:CB$87,'Fórmula'!H30,32))+'Fórmula'!K30*(INDEX(properties!A$1:CB$87,'Fórmula'!J30,32))</f>
        <v>41.01</v>
      </c>
      <c r="DB30" s="119">
        <f t="array" ref="DB30">VARP(IF(INDEX(properties!A$1:CB$87,'Fórmula'!B30,32)&lt;&gt;"",INDEX(properties!A$1:CB$87,'Fórmula'!B30,32)),IF(INDEX(properties!A$1:CB$87,'Fórmula'!D30,32)&lt;&gt;"",INDEX(properties!A$1:CB$87,'Fórmula'!D30,32)),IF(INDEX(properties!A$1:CB$87,'Fórmula'!F30,32)&lt;&gt;"",INDEX(properties!A$1:CB$87,'Fórmula'!F30,32)),IF(INDEX(properties!A$1:CB$87,'Fórmula'!H30,32)&lt;&gt;"",INDEX(properties!A$1:CB$87,'Fórmula'!H30,32)),IF(INDEX(properties!A$1:CB$87,'Fórmula'!J30,32)&lt;&gt;"",INDEX(properties!A$1:CB$87,'Fórmula'!J30,32)))</f>
        <v>8.149376</v>
      </c>
      <c r="DC30" s="119">
        <f t="array" ref="DC30">MAX(INDEX(properties!A$1:CB$87,'Fórmula'!B30,32),INDEX(properties!A$1:CB$87,'Fórmula'!D30,32),INDEX(properties!A$1:CB$87,'Fórmula'!F30,32),INDEX(properties!A$1:CB$87,'Fórmula'!H30,32),INDEX(properties!A$1:CB$87,'Fórmula'!J30,32))</f>
        <v>7.54</v>
      </c>
      <c r="DD30" s="119">
        <f t="array" ref="DD30">MIN(IF(INDEX(properties!A$1:CB$87,'Fórmula'!B30,32)=0,10^6,INDEX(properties!A$1:CB$87,'Fórmula'!B30,32)),IF(INDEX(properties!A$1:CB$87,'Fórmula'!D30,32)=0,10^6,INDEX(properties!A$1:CB$87,'Fórmula'!D30,32)),IF(INDEX(properties!A$1:CB$87,'Fórmula'!F30,32)=0,10^6,INDEX(properties!A$1:CB$87,'Fórmula'!F30,32)),IF(INDEX(properties!A$1:CB$87,'Fórmula'!H30,32)=0,10^6,INDEX(properties!A$1:CB$87,'Fórmula'!H30,32)),IF(INDEX(properties!A$1:CB$87,'Fórmula'!J30,32)=0,10^6,INDEX(properties!A$1:CB$87,'Fórmula'!J30,32)))</f>
        <v>3.2</v>
      </c>
      <c r="DE30" s="119">
        <f t="shared" si="18"/>
        <v>4.34</v>
      </c>
      <c r="DF30" s="104">
        <f t="array" ref="DF30">(('Fórmula'!C30)/('Fórmula'!C30+'Fórmula'!E30+'Fórmula'!G30+'Fórmula'!I30+'Fórmula'!K30))*(INDEX(properties!A$1:CB$87,'Fórmula'!B30,34))+(('Fórmula'!E30)/('Fórmula'!C30+'Fórmula'!E30+'Fórmula'!G30+'Fórmula'!I30+'Fórmula'!K30))*(INDEX(properties!A$1:CB$87,'Fórmula'!D30,34))+(('Fórmula'!G30)/('Fórmula'!C30+'Fórmula'!E30+'Fórmula'!G30+'Fórmula'!I30+'Fórmula'!K30))*(INDEX(properties!A$1:CB$87,'Fórmula'!F30,34))+(('Fórmula'!I30)/('Fórmula'!C30+'Fórmula'!E30+'Fórmula'!G30+'Fórmula'!I30+'Fórmula'!K30))*(INDEX(properties!A$1:CB$87,'Fórmula'!H30,34))+(('Fórmula'!K30)/('Fórmula'!C30+'Fórmula'!E30+'Fórmula'!G30+'Fórmula'!I30+'Fórmula'!K30))*(INDEX(properties!A$1:CB$87,'Fórmula'!J30,34))</f>
        <v>2.791714286</v>
      </c>
      <c r="DG30" s="104">
        <f t="array" ref="DG30">'Fórmula'!C30*(INDEX(properties!A$1:CB$87,'Fórmula'!B30,34))+'Fórmula'!E30*(INDEX(properties!A$1:CB$87,'Fórmula'!D30,34))+'Fórmula'!G30*(INDEX(properties!A$1:CB$87,'Fórmula'!F30,34))+'Fórmula'!I30*(INDEX(properties!A$1:CB$87,'Fórmula'!H30,34))+'Fórmula'!K30*(INDEX(properties!A$1:CB$87,'Fórmula'!J30,34))</f>
        <v>19.542</v>
      </c>
      <c r="DH30" s="104">
        <f t="array" ref="DH30">VARP(IF(INDEX(properties!A$1:CB$87,'Fórmula'!B30,34)&lt;&gt;"",INDEX(properties!A$1:CB$87,'Fórmula'!B30,34)),IF(INDEX(properties!A$1:CB$87,'Fórmula'!D30,34)&lt;&gt;"",INDEX(properties!A$1:CB$87,'Fórmula'!D30,34)),IF(INDEX(properties!A$1:CB$87,'Fórmula'!F30,34)&lt;&gt;"",INDEX(properties!A$1:CB$87,'Fórmula'!F30,34)),IF(INDEX(properties!A$1:CB$87,'Fórmula'!H30,34)&lt;&gt;"",INDEX(properties!A$1:CB$87,'Fórmula'!H30,34)),IF(INDEX(properties!A$1:CB$87,'Fórmula'!J30,34)&lt;&gt;"",INDEX(properties!A$1:CB$87,'Fórmula'!J30,34)))</f>
        <v>1.79330976</v>
      </c>
      <c r="DI30" s="104">
        <f t="array" ref="DI30">MAX(INDEX(properties!A$1:CB$87,'Fórmula'!B30,34),INDEX(properties!A$1:CB$87,'Fórmula'!D30,34),INDEX(properties!A$1:CB$87,'Fórmula'!F30,34),INDEX(properties!A$1:CB$87,'Fórmula'!H30,34),INDEX(properties!A$1:CB$87,'Fórmula'!J30,34))</f>
        <v>3.61</v>
      </c>
      <c r="DJ30" s="104">
        <f t="array" ref="DJ30">MIN(IF(INDEX(properties!A$1:CB$87,'Fórmula'!B30,34)=0,10^6,INDEX(properties!A$1:CB$87,'Fórmula'!B30,34)),IF(INDEX(properties!A$1:CB$87,'Fórmula'!D30,34)=0,10^6,INDEX(properties!A$1:CB$87,'Fórmula'!D30,34)),IF(INDEX(properties!A$1:CB$87,'Fórmula'!F30,34)=0,10^6,INDEX(properties!A$1:CB$87,'Fórmula'!F30,34)),IF(INDEX(properties!A$1:CB$87,'Fórmula'!H30,34)=0,10^6,INDEX(properties!A$1:CB$87,'Fórmula'!H30,34)),IF(INDEX(properties!A$1:CB$87,'Fórmula'!J30,34)=0,10^6,INDEX(properties!A$1:CB$87,'Fórmula'!J30,34)))</f>
        <v>1.59</v>
      </c>
      <c r="DK30" s="104">
        <f t="shared" si="19"/>
        <v>2.02</v>
      </c>
      <c r="DL30" s="105">
        <f t="array" ref="DL30">(('Fórmula'!C30)/('Fórmula'!C30+'Fórmula'!E30+'Fórmula'!G30+'Fórmula'!I30+'Fórmula'!K30))*(INDEX(properties!A$1:CB$87,'Fórmula'!B30,37))+(('Fórmula'!E30)/('Fórmula'!C30+'Fórmula'!E30+'Fórmula'!G30+'Fórmula'!I30+'Fórmula'!K30))*(INDEX(properties!A$1:CB$87,'Fórmula'!D30,37))+(('Fórmula'!G30)/('Fórmula'!C30+'Fórmula'!E30+'Fórmula'!G30+'Fórmula'!I30+'Fórmula'!K30))*(INDEX(properties!A$1:CB$87,'Fórmula'!F30,37))+(('Fórmula'!I30)/('Fórmula'!C30+'Fórmula'!E30+'Fórmula'!G30+'Fórmula'!I30+'Fórmula'!K30))*(INDEX(properties!A$1:CB$87,'Fórmula'!H30,37))+(('Fórmula'!K30)/('Fórmula'!C30+'Fórmula'!E30+'Fórmula'!G30+'Fórmula'!I30+'Fórmula'!K30))*(INDEX(properties!A$1:CB$87,'Fórmula'!J30,37))</f>
        <v>2.542857143</v>
      </c>
      <c r="DM30" s="105">
        <f t="array" ref="DM30">'Fórmula'!C30*(INDEX(properties!A$1:CB$87,'Fórmula'!B30,37))+'Fórmula'!E30*(INDEX(properties!A$1:CB$87,'Fórmula'!D30,37))+'Fórmula'!G30*(INDEX(properties!A$1:CB$87,'Fórmula'!F30,37))+'Fórmula'!I30*(INDEX(properties!A$1:CB$87,'Fórmula'!H30,37))+'Fórmula'!K30*(INDEX(properties!A$1:CB$87,'Fórmula'!J30,37))</f>
        <v>17.8</v>
      </c>
      <c r="DN30" s="105">
        <f t="array" ref="DN30">VARP(IF(INDEX(properties!A$1:CB$87,'Fórmula'!B30,37)&lt;&gt;"",INDEX(properties!A$1:CB$87,'Fórmula'!B30,37)),IF(INDEX(properties!A$1:CB$87,'Fórmula'!D30,37)&lt;&gt;"",INDEX(properties!A$1:CB$87,'Fórmula'!D30,37)),IF(INDEX(properties!A$1:CB$87,'Fórmula'!F30,37)&lt;&gt;"",INDEX(properties!A$1:CB$87,'Fórmula'!F30,37)),IF(INDEX(properties!A$1:CB$87,'Fórmula'!H30,37)&lt;&gt;"",INDEX(properties!A$1:CB$87,'Fórmula'!H30,37)),IF(INDEX(properties!A$1:CB$87,'Fórmula'!J30,37)&lt;&gt;"",INDEX(properties!A$1:CB$87,'Fórmula'!J30,37)))</f>
        <v>1.5964</v>
      </c>
      <c r="DO30" s="105">
        <f t="array" ref="DO30">MAX(INDEX(properties!A$1:CB$87,'Fórmula'!B30,37),INDEX(properties!A$1:CB$87,'Fórmula'!D30,37),INDEX(properties!A$1:CB$87,'Fórmula'!F30,37),INDEX(properties!A$1:CB$87,'Fórmula'!H30,37),INDEX(properties!A$1:CB$87,'Fórmula'!J30,37))</f>
        <v>3.45</v>
      </c>
      <c r="DP30" s="105">
        <f t="array" ref="DP30">MIN(IF(INDEX(properties!A$1:CB$87,'Fórmula'!B30,37)=0,10^6,INDEX(properties!A$1:CB$87,'Fórmula'!B30,37)),IF(INDEX(properties!A$1:CB$87,'Fórmula'!D30,37)=0,10^6,INDEX(properties!A$1:CB$87,'Fórmula'!D30,37)),IF(INDEX(properties!A$1:CB$87,'Fórmula'!F30,37)=0,10^6,INDEX(properties!A$1:CB$87,'Fórmula'!F30,37)),IF(INDEX(properties!A$1:CB$87,'Fórmula'!H30,37)=0,10^6,INDEX(properties!A$1:CB$87,'Fórmula'!H30,37)),IF(INDEX(properties!A$1:CB$87,'Fórmula'!J30,37)=0,10^6,INDEX(properties!A$1:CB$87,'Fórmula'!J30,37)))</f>
        <v>1.2</v>
      </c>
      <c r="DQ30" s="105">
        <f t="shared" si="20"/>
        <v>2.25</v>
      </c>
      <c r="DR30" s="109">
        <f t="array" ref="DR30">(('Fórmula'!C30)/('Fórmula'!C30+'Fórmula'!E30+'Fórmula'!G30+'Fórmula'!I30+'Fórmula'!K30))*(INDEX(properties!A$1:CB$87,'Fórmula'!B30,39))+(('Fórmula'!E30)/('Fórmula'!C30+'Fórmula'!E30+'Fórmula'!G30+'Fórmula'!I30+'Fórmula'!K30))*(INDEX(properties!A$1:CB$87,'Fórmula'!D30,39))+(('Fórmula'!G30)/('Fórmula'!C30+'Fórmula'!E30+'Fórmula'!G30+'Fórmula'!I30+'Fórmula'!K30))*(INDEX(properties!A$1:CB$87,'Fórmula'!F30,39))+(('Fórmula'!I30)/('Fórmula'!C30+'Fórmula'!E30+'Fórmula'!G30+'Fórmula'!I30+'Fórmula'!K30))*(INDEX(properties!A$1:CB$87,'Fórmula'!H30,39))+(('Fórmula'!K30)/('Fórmula'!C30+'Fórmula'!E30+'Fórmula'!G30+'Fórmula'!I30+'Fórmula'!K30))*(INDEX(properties!A$1:CB$87,'Fórmula'!J30,39))</f>
        <v>0.8657142857</v>
      </c>
      <c r="DS30" s="109">
        <f t="array" ref="DS30">'Fórmula'!C30*(INDEX(properties!A$1:CB$87,'Fórmula'!B30,39))+'Fórmula'!E30*(INDEX(properties!A$1:CB$87,'Fórmula'!D30,39))+'Fórmula'!G30*(INDEX(properties!A$1:CB$87,'Fórmula'!F30,39))+'Fórmula'!I30*(INDEX(properties!A$1:CB$87,'Fórmula'!H30,39))+'Fórmula'!K30*(INDEX(properties!A$1:CB$87,'Fórmula'!J30,39))</f>
        <v>6.06</v>
      </c>
      <c r="DT30" s="109">
        <f t="array" ref="DT30">VARP(IF(INDEX(properties!A$1:CB$87,'Fórmula'!B30,39)&lt;&gt;"",INDEX(properties!A$1:CB$87,'Fórmula'!B30,39)),IF(INDEX(properties!A$1:CB$87,'Fórmula'!D30,39)&lt;&gt;"",INDEX(properties!A$1:CB$87,'Fórmula'!D30,39)),IF(INDEX(properties!A$1:CB$87,'Fórmula'!F30,39)&lt;&gt;"",INDEX(properties!A$1:CB$87,'Fórmula'!F30,39)),IF(INDEX(properties!A$1:CB$87,'Fórmula'!H30,39)&lt;&gt;"",INDEX(properties!A$1:CB$87,'Fórmula'!H30,39)),IF(INDEX(properties!A$1:CB$87,'Fórmula'!J30,39)&lt;&gt;"",INDEX(properties!A$1:CB$87,'Fórmula'!J30,39)))</f>
        <v>0.394176</v>
      </c>
      <c r="DU30" s="120">
        <f t="array" ref="DU30">MAX(INDEX(properties!A$1:CB$87,'Fórmula'!B30,39),INDEX(properties!A$1:CB$87,'Fórmula'!D30,39),INDEX(properties!A$1:CB$87,'Fórmula'!F30,39),INDEX(properties!A$1:CB$87,'Fórmula'!H30,39),INDEX(properties!A$1:CB$87,'Fórmula'!J30,39))</f>
        <v>1.42</v>
      </c>
      <c r="DV30" s="120">
        <f t="array" ref="DV30">MIN(IF(INDEX(properties!A$1:CB$87,'Fórmula'!B30,39)=0,10^6,INDEX(properties!A$1:CB$87,'Fórmula'!B30,39)),IF(INDEX(properties!A$1:CB$87,'Fórmula'!D30,39)=0,10^6,INDEX(properties!A$1:CB$87,'Fórmula'!D30,39)),IF(INDEX(properties!A$1:CB$87,'Fórmula'!F30,39)=0,10^6,INDEX(properties!A$1:CB$87,'Fórmula'!F30,39)),IF(INDEX(properties!A$1:CB$87,'Fórmula'!H30,39)=0,10^6,INDEX(properties!A$1:CB$87,'Fórmula'!H30,39)),IF(INDEX(properties!A$1:CB$87,'Fórmula'!J30,39)=0,10^6,INDEX(properties!A$1:CB$87,'Fórmula'!J30,39)))</f>
        <v>0.48</v>
      </c>
      <c r="DW30" s="109">
        <f t="shared" si="21"/>
        <v>0.94</v>
      </c>
      <c r="DX30" s="110">
        <f t="array" ref="DX30">(('Fórmula'!C30)/('Fórmula'!C30+'Fórmula'!E30+'Fórmula'!G30+'Fórmula'!I30+'Fórmula'!K30))*(INDEX(properties!A$1:CB$87,'Fórmula'!B30,40))+(('Fórmula'!E30)/('Fórmula'!C30+'Fórmula'!E30+'Fórmula'!G30+'Fórmula'!I30+'Fórmula'!K30))*(INDEX(properties!A$1:CB$87,'Fórmula'!D30,40))+(('Fórmula'!G30)/('Fórmula'!C30+'Fórmula'!E30+'Fórmula'!G30+'Fórmula'!I30+'Fórmula'!K30))*(INDEX(properties!A$1:CB$87,'Fórmula'!F30,40))+(('Fórmula'!I30)/('Fórmula'!C30+'Fórmula'!E30+'Fórmula'!G30+'Fórmula'!I30+'Fórmula'!K30))*(INDEX(properties!A$1:CB$87,'Fórmula'!H30,40))+(('Fórmula'!K30)/('Fórmula'!C30+'Fórmula'!E30+'Fórmula'!G30+'Fórmula'!I30+'Fórmula'!K30))*(INDEX(properties!A$1:CB$87,'Fórmula'!J30,40))</f>
        <v>0.9642857143</v>
      </c>
      <c r="DY30" s="110">
        <f t="array" ref="DY30">'Fórmula'!C30*(INDEX(properties!A$1:CB$87,'Fórmula'!B30,40))+'Fórmula'!E30*(INDEX(properties!A$1:CB$87,'Fórmula'!D30,40))+'Fórmula'!G30*(INDEX(properties!A$1:CB$87,'Fórmula'!F30,40))+'Fórmula'!I30*(INDEX(properties!A$1:CB$87,'Fórmula'!H30,40))+'Fórmula'!K30*(INDEX(properties!A$1:CB$87,'Fórmula'!J30,40))</f>
        <v>6.75</v>
      </c>
      <c r="DZ30" s="110">
        <f t="array" ref="DZ30">VARP(IF(INDEX(properties!A$1:CB$87,'Fórmula'!B30,40)&lt;&gt;"",INDEX(properties!A$1:CB$87,'Fórmula'!B30,40)),IF(INDEX(properties!A$1:CB$87,'Fórmula'!D30,40)&lt;&gt;"",INDEX(properties!A$1:CB$87,'Fórmula'!D30,40)),IF(INDEX(properties!A$1:CB$87,'Fórmula'!F30,40)&lt;&gt;"",INDEX(properties!A$1:CB$87,'Fórmula'!F30,40)),IF(INDEX(properties!A$1:CB$87,'Fórmula'!H30,40)&lt;&gt;"",INDEX(properties!A$1:CB$87,'Fórmula'!H30,40)),IF(INDEX(properties!A$1:CB$87,'Fórmula'!J30,40)&lt;&gt;"",INDEX(properties!A$1:CB$87,'Fórmula'!J30,40)))</f>
        <v>0.33172</v>
      </c>
      <c r="EA30" s="121">
        <f t="array" ref="EA30">MAX(INDEX(properties!A$1:CB$87,'Fórmula'!B30,40),INDEX(properties!A$1:CB$87,'Fórmula'!D30,40),INDEX(properties!A$1:CB$87,'Fórmula'!F30,40),INDEX(properties!A$1:CB$87,'Fórmula'!H30,40),INDEX(properties!A$1:CB$87,'Fórmula'!J30,40))</f>
        <v>1.31</v>
      </c>
      <c r="EB30" s="121">
        <f t="array" ref="EB30">MIN(IF(INDEX(properties!A$1:CB$87,'Fórmula'!B30,40)=0,10^6,INDEX(properties!A$1:CB$87,'Fórmula'!B30,40)),IF(INDEX(properties!A$1:CB$87,'Fórmula'!D30,40)=0,10^6,INDEX(properties!A$1:CB$87,'Fórmula'!D30,40)),IF(INDEX(properties!A$1:CB$87,'Fórmula'!F30,40)=0,10^6,INDEX(properties!A$1:CB$87,'Fórmula'!F30,40)),IF(INDEX(properties!A$1:CB$87,'Fórmula'!H30,40)=0,10^6,INDEX(properties!A$1:CB$87,'Fórmula'!H30,40)),IF(INDEX(properties!A$1:CB$87,'Fórmula'!J30,40)=0,10^6,INDEX(properties!A$1:CB$87,'Fórmula'!J30,40)))</f>
        <v>0.73</v>
      </c>
      <c r="EC30" s="110">
        <f t="shared" si="22"/>
        <v>0.58</v>
      </c>
      <c r="ED30" s="111">
        <f t="array" ref="ED30">(('Fórmula'!C30)/('Fórmula'!C30+'Fórmula'!E30+'Fórmula'!G30+'Fórmula'!I30+'Fórmula'!K30))*(INDEX(properties!A$1:CB$87,'Fórmula'!B30,41))+(('Fórmula'!E30)/('Fórmula'!C30+'Fórmula'!E30+'Fórmula'!G30+'Fórmula'!I30+'Fórmula'!K30))*(INDEX(properties!A$1:CB$87,'Fórmula'!D30,41))+(('Fórmula'!G30)/('Fórmula'!C30+'Fórmula'!E30+'Fórmula'!G30+'Fórmula'!I30+'Fórmula'!K30))*(INDEX(properties!A$1:CB$87,'Fórmula'!F30,41))+(('Fórmula'!I30)/('Fórmula'!C30+'Fórmula'!E30+'Fórmula'!G30+'Fórmula'!I30+'Fórmula'!K30))*(INDEX(properties!A$1:CB$87,'Fórmula'!H30,41))+(('Fórmula'!K30)/('Fórmula'!C30+'Fórmula'!E30+'Fórmula'!G30+'Fórmula'!I30+'Fórmula'!K30))*(INDEX(properties!A$1:CB$87,'Fórmula'!J30,41))</f>
        <v>1.062857143</v>
      </c>
      <c r="EE30" s="111">
        <f t="array" ref="EE30">'Fórmula'!C30*(INDEX(properties!A$1:CB$87,'Fórmula'!B30,41))+'Fórmula'!E30*(INDEX(properties!A$1:CB$87,'Fórmula'!D30,41))+'Fórmula'!G30*(INDEX(properties!A$1:CB$87,'Fórmula'!F30,41))+'Fórmula'!I30*(INDEX(properties!A$1:CB$87,'Fórmula'!H30,41))+'Fórmula'!K30*(INDEX(properties!A$1:CB$87,'Fórmula'!J30,41))</f>
        <v>7.44</v>
      </c>
      <c r="EF30" s="111">
        <f t="array" ref="EF30">VARP(IF(INDEX(properties!A$1:CB$87,'Fórmula'!B30,41)&lt;&gt;"",INDEX(properties!A$1:CB$87,'Fórmula'!B30,41)),IF(INDEX(properties!A$1:CB$87,'Fórmula'!D30,41)&lt;&gt;"",INDEX(properties!A$1:CB$87,'Fórmula'!D30,41)),IF(INDEX(properties!A$1:CB$87,'Fórmula'!F30,41)&lt;&gt;"",INDEX(properties!A$1:CB$87,'Fórmula'!F30,41)),IF(INDEX(properties!A$1:CB$87,'Fórmula'!H30,41)&lt;&gt;"",INDEX(properties!A$1:CB$87,'Fórmula'!H30,41)),IF(INDEX(properties!A$1:CB$87,'Fórmula'!J30,41)&lt;&gt;"",INDEX(properties!A$1:CB$87,'Fórmula'!J30,41)))</f>
        <v>0.25152</v>
      </c>
      <c r="EG30" s="122">
        <f t="array" ref="EG30">MAX(INDEX(properties!A$1:CB$87,'Fórmula'!B30,41),INDEX(properties!A$1:CB$87,'Fórmula'!D30,41),INDEX(properties!A$1:CB$87,'Fórmula'!F30,41),INDEX(properties!A$1:CB$87,'Fórmula'!H30,41),INDEX(properties!A$1:CB$87,'Fórmula'!J30,41))</f>
        <v>1.26</v>
      </c>
      <c r="EH30" s="122">
        <f t="array" ref="EH30">MIN(IF(INDEX(properties!A$1:CB$87,'Fórmula'!B30,41)=0,10^6,INDEX(properties!A$1:CB$87,'Fórmula'!B30,41)),IF(INDEX(properties!A$1:CB$87,'Fórmula'!D30,41)=0,10^6,INDEX(properties!A$1:CB$87,'Fórmula'!D30,41)),IF(INDEX(properties!A$1:CB$87,'Fórmula'!F30,41)=0,10^6,INDEX(properties!A$1:CB$87,'Fórmula'!F30,41)),IF(INDEX(properties!A$1:CB$87,'Fórmula'!H30,41)=0,10^6,INDEX(properties!A$1:CB$87,'Fórmula'!H30,41)),IF(INDEX(properties!A$1:CB$87,'Fórmula'!J30,41)=0,10^6,INDEX(properties!A$1:CB$87,'Fórmula'!J30,41)))</f>
        <v>0.76</v>
      </c>
      <c r="EI30" s="111">
        <f t="shared" si="23"/>
        <v>0.5</v>
      </c>
      <c r="EJ30" s="112">
        <f t="array" ref="EJ30">(('Fórmula'!C30)/('Fórmula'!C30+'Fórmula'!E30+'Fórmula'!G30+'Fórmula'!I30+'Fórmula'!K30))*(INDEX(properties!A$1:CB$87,'Fórmula'!B30,45))+(('Fórmula'!E30)/('Fórmula'!C30+'Fórmula'!E30+'Fórmula'!G30+'Fórmula'!I30+'Fórmula'!K30))*(INDEX(properties!A$1:CB$87,'Fórmula'!D30,45))+(('Fórmula'!G30)/('Fórmula'!C30+'Fórmula'!E30+'Fórmula'!G30+'Fórmula'!I30+'Fórmula'!K30))*(INDEX(properties!A$1:CB$87,'Fórmula'!F30,45))+(('Fórmula'!I30)/('Fórmula'!C30+'Fórmula'!E30+'Fórmula'!G30+'Fórmula'!I30+'Fórmula'!K30))*(INDEX(properties!A$1:CB$87,'Fórmula'!H30,45))+(('Fórmula'!K30)/('Fórmula'!C30+'Fórmula'!E30+'Fórmula'!G30+'Fórmula'!I30+'Fórmula'!K30))*(INDEX(properties!A$1:CB$87,'Fórmula'!J30,45))</f>
        <v>1.022857143</v>
      </c>
      <c r="EK30" s="112">
        <f t="array" ref="EK30">'Fórmula'!C30*(INDEX(properties!A$1:CB$87,'Fórmula'!B30,45))+'Fórmula'!E30*(INDEX(properties!A$1:CB$87,'Fórmula'!D30,45))+'Fórmula'!G30*(INDEX(properties!A$1:CB$87,'Fórmula'!F30,45))+'Fórmula'!I30*(INDEX(properties!A$1:CB$87,'Fórmula'!H30,45))+'Fórmula'!K30*(INDEX(properties!A$1:CB$87,'Fórmula'!J30,45))</f>
        <v>7.16</v>
      </c>
      <c r="EL30" s="112">
        <f t="array" ref="EL30">VARP(IF(INDEX(properties!A$1:CB$87,'Fórmula'!B30,45)&lt;&gt;"",INDEX(properties!A$1:CB$87,'Fórmula'!B30,45)),IF(INDEX(properties!A$1:CB$87,'Fórmula'!D30,45)&lt;&gt;"",INDEX(properties!A$1:CB$87,'Fórmula'!D30,45)),IF(INDEX(properties!A$1:CB$87,'Fórmula'!F30,45)&lt;&gt;"",INDEX(properties!A$1:CB$87,'Fórmula'!F30,45)),IF(INDEX(properties!A$1:CB$87,'Fórmula'!H30,45)&lt;&gt;"",INDEX(properties!A$1:CB$87,'Fórmula'!H30,45)),IF(INDEX(properties!A$1:CB$87,'Fórmula'!J30,45)&lt;&gt;"",INDEX(properties!A$1:CB$87,'Fórmula'!J30,45)))</f>
        <v>0.67296</v>
      </c>
      <c r="EM30" s="123">
        <f t="array" ref="EM30">MAX(INDEX(properties!A$1:CB$87,'Fórmula'!B30,45),INDEX(properties!A$1:CB$87,'Fórmula'!D30,45),INDEX(properties!A$1:CB$87,'Fórmula'!F30,45),INDEX(properties!A$1:CB$87,'Fórmula'!H30,45),INDEX(properties!A$1:CB$87,'Fórmula'!J30,45))</f>
        <v>1.88</v>
      </c>
      <c r="EN30" s="123">
        <f t="array" ref="EN30">MIN(IF(INDEX(properties!A$1:CB$87,'Fórmula'!B30,45)=0,10^6,INDEX(properties!A$1:CB$87,'Fórmula'!B30,45)),IF(INDEX(properties!A$1:CB$87,'Fórmula'!D30,45)=0,10^6,INDEX(properties!A$1:CB$87,'Fórmula'!D30,45)),IF(INDEX(properties!A$1:CB$87,'Fórmula'!F30,45)=0,10^6,INDEX(properties!A$1:CB$87,'Fórmula'!F30,45)),IF(INDEX(properties!A$1:CB$87,'Fórmula'!H30,45)=0,10^6,INDEX(properties!A$1:CB$87,'Fórmula'!H30,45)),IF(INDEX(properties!A$1:CB$87,'Fórmula'!J30,45)=0,10^6,INDEX(properties!A$1:CB$87,'Fórmula'!J30,45)))</f>
        <v>0.47</v>
      </c>
      <c r="EO30" s="112">
        <f t="shared" si="24"/>
        <v>1.41</v>
      </c>
      <c r="EP30" s="113">
        <f t="array" ref="EP30">(('Fórmula'!C30)/('Fórmula'!C30+'Fórmula'!E30+'Fórmula'!G30+'Fórmula'!I30+'Fórmula'!K30))*(INDEX(properties!A$1:CB$87,'Fórmula'!B30,46))+(('Fórmula'!E30)/('Fórmula'!C30+'Fórmula'!E30+'Fórmula'!G30+'Fórmula'!I30+'Fórmula'!K30))*(INDEX(properties!A$1:CB$87,'Fórmula'!D30,46))+(('Fórmula'!G30)/('Fórmula'!C30+'Fórmula'!E30+'Fórmula'!G30+'Fórmula'!I30+'Fórmula'!K30))*(INDEX(properties!A$1:CB$87,'Fórmula'!F30,46))+(('Fórmula'!I30)/('Fórmula'!C30+'Fórmula'!E30+'Fórmula'!G30+'Fórmula'!I30+'Fórmula'!K30))*(INDEX(properties!A$1:CB$87,'Fórmula'!H30,46))+(('Fórmula'!K30)/('Fórmula'!C30+'Fórmula'!E30+'Fórmula'!G30+'Fórmula'!I30+'Fórmula'!K30))*(INDEX(properties!A$1:CB$87,'Fórmula'!J30,46))</f>
        <v>1.014285714</v>
      </c>
      <c r="EQ30" s="113">
        <f t="array" ref="EQ30">'Fórmula'!C30*(INDEX(properties!A$1:CB$87,'Fórmula'!B30,46))+'Fórmula'!E30*(INDEX(properties!A$1:CB$87,'Fórmula'!D30,46))+'Fórmula'!G30*(INDEX(properties!A$1:CB$87,'Fórmula'!F30,46))+'Fórmula'!I30*(INDEX(properties!A$1:CB$87,'Fórmula'!H30,46))+'Fórmula'!K30*(INDEX(properties!A$1:CB$87,'Fórmula'!J30,46))</f>
        <v>7.1</v>
      </c>
      <c r="ER30" s="113">
        <f t="array" ref="ER30">VARP(IF(INDEX(properties!A$1:CB$87,'Fórmula'!B30,46)&lt;&gt;"",INDEX(properties!A$1:CB$87,'Fórmula'!B30,46)),IF(INDEX(properties!A$1:CB$87,'Fórmula'!D30,46)&lt;&gt;"",INDEX(properties!A$1:CB$87,'Fórmula'!D30,46)),IF(INDEX(properties!A$1:CB$87,'Fórmula'!F30,46)&lt;&gt;"",INDEX(properties!A$1:CB$87,'Fórmula'!F30,46)),IF(INDEX(properties!A$1:CB$87,'Fórmula'!H30,46)&lt;&gt;"",INDEX(properties!A$1:CB$87,'Fórmula'!H30,46)),IF(INDEX(properties!A$1:CB$87,'Fórmula'!J30,46)&lt;&gt;"",INDEX(properties!A$1:CB$87,'Fórmula'!J30,46)))</f>
        <v>0.224096</v>
      </c>
      <c r="ES30" s="124">
        <f t="array" ref="ES30">MAX(INDEX(properties!A$1:CB$87,'Fórmula'!B30,46),INDEX(properties!A$1:CB$87,'Fórmula'!D30,46),INDEX(properties!A$1:CB$87,'Fórmula'!F30,46),INDEX(properties!A$1:CB$87,'Fórmula'!H30,46),INDEX(properties!A$1:CB$87,'Fórmula'!J30,46))</f>
        <v>1.21</v>
      </c>
      <c r="ET30" s="124">
        <f t="array" ref="ET30">MIN(IF(INDEX(properties!A$1:CB$87,'Fórmula'!B30,46)=0,10^6,INDEX(properties!A$1:CB$87,'Fórmula'!B30,46)),IF(INDEX(properties!A$1:CB$87,'Fórmula'!D30,46)=0,10^6,INDEX(properties!A$1:CB$87,'Fórmula'!D30,46)),IF(INDEX(properties!A$1:CB$87,'Fórmula'!F30,46)=0,10^6,INDEX(properties!A$1:CB$87,'Fórmula'!F30,46)),IF(INDEX(properties!A$1:CB$87,'Fórmula'!H30,46)=0,10^6,INDEX(properties!A$1:CB$87,'Fórmula'!H30,46)),IF(INDEX(properties!A$1:CB$87,'Fórmula'!J30,46)=0,10^6,INDEX(properties!A$1:CB$87,'Fórmula'!J30,46)))</f>
        <v>0.74</v>
      </c>
      <c r="EU30" s="113">
        <f t="shared" si="25"/>
        <v>0.47</v>
      </c>
      <c r="EV30" s="114">
        <f t="array" ref="EV30">(('Fórmula'!C30)/('Fórmula'!C30+'Fórmula'!E30+'Fórmula'!G30+'Fórmula'!I30+'Fórmula'!K30))*(INDEX(properties!A$1:CB$87,'Fórmula'!B30,52))+(('Fórmula'!E30)/('Fórmula'!C30+'Fórmula'!E30+'Fórmula'!G30+'Fórmula'!I30+'Fórmula'!K30))*(INDEX(properties!A$1:CB$87,'Fórmula'!D30,52))+(('Fórmula'!G30)/('Fórmula'!C30+'Fórmula'!E30+'Fórmula'!G30+'Fórmula'!I30+'Fórmula'!K30))*(INDEX(properties!A$1:CB$87,'Fórmula'!F30,52))+(('Fórmula'!I30)/('Fórmula'!C30+'Fórmula'!E30+'Fórmula'!G30+'Fórmula'!I30+'Fórmula'!K30))*(INDEX(properties!A$1:CB$87,'Fórmula'!H30,52))+(('Fórmula'!K30)/('Fórmula'!C30+'Fórmula'!E30+'Fórmula'!G30+'Fórmula'!I30+'Fórmula'!K30))*(INDEX(properties!A$1:CB$87,'Fórmula'!J30,52))</f>
        <v>3.681714286</v>
      </c>
      <c r="EW30" s="114">
        <f t="array" ref="EW30">'Fórmula'!C30*(INDEX(properties!A$1:CB$87,'Fórmula'!B30,52))+'Fórmula'!E30*(INDEX(properties!A$1:CB$87,'Fórmula'!D30,52))+'Fórmula'!G30*(INDEX(properties!A$1:CB$87,'Fórmula'!F30,52))+'Fórmula'!I30*(INDEX(properties!A$1:CB$87,'Fórmula'!H30,52))+'Fórmula'!K30*(INDEX(properties!A$1:CB$87,'Fórmula'!J30,52))</f>
        <v>25.772</v>
      </c>
      <c r="EX30" s="114">
        <f t="array" ref="EX30">VARP(IF(INDEX(properties!A$1:CB$87,'Fórmula'!B30,52)&lt;&gt;"",INDEX(properties!A$1:CB$87,'Fórmula'!B30,52)),IF(INDEX(properties!A$1:CB$87,'Fórmula'!D30,52)&lt;&gt;"",INDEX(properties!A$1:CB$87,'Fórmula'!D30,52)),IF(INDEX(properties!A$1:CB$87,'Fórmula'!F30,52)&lt;&gt;"",INDEX(properties!A$1:CB$87,'Fórmula'!F30,52)),IF(INDEX(properties!A$1:CB$87,'Fórmula'!H30,52)&lt;&gt;"",INDEX(properties!A$1:CB$87,'Fórmula'!H30,52)),IF(INDEX(properties!A$1:CB$87,'Fórmula'!J30,52)&lt;&gt;"",INDEX(properties!A$1:CB$87,'Fórmula'!J30,52)))</f>
        <v>12.08473584</v>
      </c>
      <c r="EY30" s="114">
        <f t="array" ref="EY30">MAX(INDEX(properties!A$1:CB$87,'Fórmula'!B30,52),INDEX(properties!A$1:CB$87,'Fórmula'!D30,52),INDEX(properties!A$1:CB$87,'Fórmula'!F30,52),INDEX(properties!A$1:CB$87,'Fórmula'!H30,52),INDEX(properties!A$1:CB$87,'Fórmula'!J30,52))</f>
        <v>8.1</v>
      </c>
      <c r="EZ30" s="114">
        <f t="array" ref="EZ30">MIN(IF(INDEX(properties!A$1:CB$87,'Fórmula'!B30,52)=0,10^6,INDEX(properties!A$1:CB$87,'Fórmula'!B30,52)),IF(INDEX(properties!A$1:CB$87,'Fórmula'!D30,52)=0,10^6,INDEX(properties!A$1:CB$87,'Fórmula'!D30,52)),IF(INDEX(properties!A$1:CB$87,'Fórmula'!F30,52)=0,10^6,INDEX(properties!A$1:CB$87,'Fórmula'!F30,52)),IF(INDEX(properties!A$1:CB$87,'Fórmula'!H30,52)=0,10^6,INDEX(properties!A$1:CB$87,'Fórmula'!H30,52)),IF(INDEX(properties!A$1:CB$87,'Fórmula'!J30,52)=0,10^6,INDEX(properties!A$1:CB$87,'Fórmula'!J30,52)))</f>
        <v>0.793</v>
      </c>
      <c r="FA30" s="114">
        <f t="shared" si="26"/>
        <v>7.307</v>
      </c>
      <c r="FB30" s="115">
        <f t="array" ref="FB30">(('Fórmula'!C30)/('Fórmula'!C30+'Fórmula'!E30+'Fórmula'!G30+'Fórmula'!I30+'Fórmula'!K30))*(INDEX(properties!A$1:CB$87,'Fórmula'!B30,53))+(('Fórmula'!E30)/('Fórmula'!C30+'Fórmula'!E30+'Fórmula'!G30+'Fórmula'!I30+'Fórmula'!K30))*(INDEX(properties!A$1:CB$87,'Fórmula'!D30,53))+(('Fórmula'!G30)/('Fórmula'!C30+'Fórmula'!E30+'Fórmula'!G30+'Fórmula'!I30+'Fórmula'!K30))*(INDEX(properties!A$1:CB$87,'Fórmula'!F30,53))+(('Fórmula'!I30)/('Fórmula'!C30+'Fórmula'!E30+'Fórmula'!G30+'Fórmula'!I30+'Fórmula'!K30))*(INDEX(properties!A$1:CB$87,'Fórmula'!H30,53))+(('Fórmula'!K30)/('Fórmula'!C30+'Fórmula'!E30+'Fórmula'!G30+'Fórmula'!I30+'Fórmula'!K30))*(INDEX(properties!A$1:CB$87,'Fórmula'!J30,53))</f>
        <v>216.8071429</v>
      </c>
      <c r="FC30" s="115">
        <f t="array" ref="FC30">'Fórmula'!C30*(INDEX(properties!A$1:CB$87,'Fórmula'!B30,53))+'Fórmula'!E30*(INDEX(properties!A$1:CB$87,'Fórmula'!D30,53))+'Fórmula'!G30*(INDEX(properties!A$1:CB$87,'Fórmula'!F30,53))+'Fórmula'!I30*(INDEX(properties!A$1:CB$87,'Fórmula'!H30,53))+'Fórmula'!K30*(INDEX(properties!A$1:CB$87,'Fórmula'!J30,53))</f>
        <v>1517.65</v>
      </c>
      <c r="FD30" s="115">
        <f t="array" ref="FD30">VARP(IF(INDEX(properties!A$1:CB$87,'Fórmula'!B30,53)&lt;&gt;"",INDEX(properties!A$1:CB$87,'Fórmula'!B30,53)),IF(INDEX(properties!A$1:CB$87,'Fórmula'!D30,53)&lt;&gt;"",INDEX(properties!A$1:CB$87,'Fórmula'!D30,53)),IF(INDEX(properties!A$1:CB$87,'Fórmula'!F30,53)&lt;&gt;"",INDEX(properties!A$1:CB$87,'Fórmula'!F30,53)),IF(INDEX(properties!A$1:CB$87,'Fórmula'!H30,53)&lt;&gt;"",INDEX(properties!A$1:CB$87,'Fórmula'!H30,53)),IF(INDEX(properties!A$1:CB$87,'Fórmula'!J30,53)&lt;&gt;"",INDEX(properties!A$1:CB$87,'Fórmula'!J30,53)))</f>
        <v>70797.9574</v>
      </c>
      <c r="FE30" s="115">
        <f t="array" ref="FE30">MAX(INDEX(properties!A$1:CB$87,'Fórmula'!B30,53),INDEX(properties!A$1:CB$87,'Fórmula'!D30,53),INDEX(properties!A$1:CB$87,'Fórmula'!F30,53),INDEX(properties!A$1:CB$87,'Fórmula'!H30,53),INDEX(properties!A$1:CB$87,'Fórmula'!J30,53))</f>
        <v>692.75</v>
      </c>
      <c r="FF30" s="115">
        <f t="array" ref="FF30">MIN(IF(INDEX(properties!A$1:CB$87,'Fórmula'!B30,53)=0,10^6,INDEX(properties!A$1:CB$87,'Fórmula'!B30,53)),IF(INDEX(properties!A$1:CB$87,'Fórmula'!D30,53)=0,10^6,INDEX(properties!A$1:CB$87,'Fórmula'!D30,53)),IF(INDEX(properties!A$1:CB$87,'Fórmula'!F30,53)=0,10^6,INDEX(properties!A$1:CB$87,'Fórmula'!F30,53)),IF(INDEX(properties!A$1:CB$87,'Fórmula'!H30,53)=0,10^6,INDEX(properties!A$1:CB$87,'Fórmula'!H30,53)),IF(INDEX(properties!A$1:CB$87,'Fórmula'!J30,53)=0,10^6,INDEX(properties!A$1:CB$87,'Fórmula'!J30,53)))</f>
        <v>54.75</v>
      </c>
      <c r="FG30" s="115">
        <f t="shared" si="27"/>
        <v>638</v>
      </c>
      <c r="FH30" s="117">
        <f t="array" ref="FH30">(('Fórmula'!C30)/('Fórmula'!C30+'Fórmula'!E30+'Fórmula'!G30+'Fórmula'!I30+'Fórmula'!K30))*(INDEX(properties!A$1:CB$87,'Fórmula'!B30,54))+(('Fórmula'!E30)/('Fórmula'!C30+'Fórmula'!E30+'Fórmula'!G30+'Fórmula'!I30+'Fórmula'!K30))*(INDEX(properties!A$1:CB$87,'Fórmula'!D30,54))+(('Fórmula'!G30)/('Fórmula'!C30+'Fórmula'!E30+'Fórmula'!G30+'Fórmula'!I30+'Fórmula'!K30))*(INDEX(properties!A$1:CB$87,'Fórmula'!F30,54))+(('Fórmula'!I30)/('Fórmula'!C30+'Fórmula'!E30+'Fórmula'!G30+'Fórmula'!I30+'Fórmula'!K30))*(INDEX(properties!A$1:CB$87,'Fórmula'!H30,54))+(('Fórmula'!K30)/('Fórmula'!C30+'Fórmula'!E30+'Fórmula'!G30+'Fórmula'!I30+'Fórmula'!K30))*(INDEX(properties!A$1:CB$87,'Fórmula'!J30,54))</f>
        <v>984.5785714</v>
      </c>
      <c r="FI30" s="117">
        <f t="array" ref="FI30">'Fórmula'!C30*(INDEX(properties!A$1:CB$87,'Fórmula'!B30,54))+'Fórmula'!E30*(INDEX(properties!A$1:CB$87,'Fórmula'!D30,54))+'Fórmula'!G30*(INDEX(properties!A$1:CB$87,'Fórmula'!F30,54))+'Fórmula'!I30*(INDEX(properties!A$1:CB$87,'Fórmula'!H30,54))+'Fórmula'!K30*(INDEX(properties!A$1:CB$87,'Fórmula'!J30,54))</f>
        <v>6892.05</v>
      </c>
      <c r="FJ30" s="117">
        <f t="array" ref="FJ30">VARP(IF(INDEX(properties!A$1:CB$87,'Fórmula'!B30,54)&lt;&gt;"",INDEX(properties!A$1:CB$87,'Fórmula'!B30,54)),IF(INDEX(properties!A$1:CB$87,'Fórmula'!D30,54)&lt;&gt;"",INDEX(properties!A$1:CB$87,'Fórmula'!D30,54)),IF(INDEX(properties!A$1:CB$87,'Fórmula'!F30,54)&lt;&gt;"",INDEX(properties!A$1:CB$87,'Fórmula'!F30,54)),IF(INDEX(properties!A$1:CB$87,'Fórmula'!H30,54)&lt;&gt;"",INDEX(properties!A$1:CB$87,'Fórmula'!H30,54)),IF(INDEX(properties!A$1:CB$87,'Fórmula'!J30,54)&lt;&gt;"",INDEX(properties!A$1:CB$87,'Fórmula'!J30,54)))</f>
        <v>1089397.085</v>
      </c>
      <c r="FK30" s="117">
        <f t="array" ref="FK30">MAX(INDEX(properties!A$1:CB$87,'Fórmula'!B30,54),INDEX(properties!A$1:CB$87,'Fórmula'!D30,54),INDEX(properties!A$1:CB$87,'Fórmula'!F30,54),INDEX(properties!A$1:CB$87,'Fórmula'!H30,54),INDEX(properties!A$1:CB$87,'Fórmula'!J30,54))</f>
        <v>2676.15</v>
      </c>
      <c r="FL30" s="117">
        <f t="array" ref="FL30">MIN(IF(INDEX(properties!A$1:CB$87,'Fórmula'!B30,54)=0,10^6,INDEX(properties!A$1:CB$87,'Fórmula'!B30,54)),IF(INDEX(properties!A$1:CB$87,'Fórmula'!D30,54)=0,10^6,INDEX(properties!A$1:CB$87,'Fórmula'!D30,54)),IF(INDEX(properties!A$1:CB$87,'Fórmula'!F30,54)=0,10^6,INDEX(properties!A$1:CB$87,'Fórmula'!F30,54)),IF(INDEX(properties!A$1:CB$87,'Fórmula'!H30,54)=0,10^6,INDEX(properties!A$1:CB$87,'Fórmula'!H30,54)),IF(INDEX(properties!A$1:CB$87,'Fórmula'!J30,54)=0,10^6,INDEX(properties!A$1:CB$87,'Fórmula'!J30,54)))</f>
        <v>90.15</v>
      </c>
      <c r="FM30" s="117">
        <f t="shared" si="28"/>
        <v>2586</v>
      </c>
      <c r="FN30" s="118">
        <f t="array" ref="FN30">(('Fórmula'!C30)/('Fórmula'!C30+'Fórmula'!E30+'Fórmula'!G30+'Fórmula'!I30+'Fórmula'!K30))*(INDEX(properties!A$1:CB$87,'Fórmula'!B30,55))+(('Fórmula'!E30)/('Fórmula'!C30+'Fórmula'!E30+'Fórmula'!G30+'Fórmula'!I30+'Fórmula'!K30))*(INDEX(properties!A$1:CB$87,'Fórmula'!D30,55))+(('Fórmula'!G30)/('Fórmula'!C30+'Fórmula'!E30+'Fórmula'!G30+'Fórmula'!I30+'Fórmula'!K30))*(INDEX(properties!A$1:CB$87,'Fórmula'!F30,55))+(('Fórmula'!I30)/('Fórmula'!C30+'Fórmula'!E30+'Fórmula'!G30+'Fórmula'!I30+'Fórmula'!K30))*(INDEX(properties!A$1:CB$87,'Fórmula'!H30,55))+(('Fórmula'!K30)/('Fórmula'!C30+'Fórmula'!E30+'Fórmula'!G30+'Fórmula'!I30+'Fórmula'!K30))*(INDEX(properties!A$1:CB$87,'Fórmula'!J30,55))</f>
        <v>2.705102857</v>
      </c>
      <c r="FO30" s="118">
        <f t="array" ref="FO30">'Fórmula'!C30*(INDEX(properties!A$1:CB$87,'Fórmula'!B30,55))+'Fórmula'!E30*(INDEX(properties!A$1:CB$87,'Fórmula'!D30,54))+'Fórmula'!G30*(INDEX(properties!A$1:CB$87,'Fórmula'!F30,55))+'Fórmula'!I30*(INDEX(properties!A$1:CB$87,'Fórmula'!H30,55))+'Fórmula'!K30*(INDEX(properties!A$1:CB$87,'Fórmula'!J30,55))</f>
        <v>5359.43572</v>
      </c>
      <c r="FP30" s="118">
        <f t="array" ref="FP30">VARP(IF(INDEX(properties!A$1:CB$87,'Fórmula'!B30,55)&lt;&gt;"",INDEX(properties!A$1:CB$87,'Fórmula'!B30,55)),IF(INDEX(properties!A$1:CB$87,'Fórmula'!D30,55)&lt;&gt;"",INDEX(properties!A$1:CB$87,'Fórmula'!D30,55)),IF(INDEX(properties!A$1:CB$87,'Fórmula'!F30,55)&lt;&gt;"",INDEX(properties!A$1:CB$87,'Fórmula'!F30,55)),IF(INDEX(properties!A$1:CB$87,'Fórmula'!H30,55)&lt;&gt;"",INDEX(properties!A$1:CB$87,'Fórmula'!H30,55)),IF(INDEX(properties!A$1:CB$87,'Fórmula'!J30,55)&lt;&gt;"",INDEX(properties!A$1:CB$87,'Fórmula'!J30,55)))</f>
        <v>10.3366537</v>
      </c>
      <c r="FQ30" s="118">
        <f t="array" ref="FQ30">MAX(INDEX(properties!A$1:CB$87,'Fórmula'!B30,55),INDEX(properties!A$1:CB$87,'Fórmula'!D30,55),INDEX(properties!A$1:CB$87,'Fórmula'!F30,55),INDEX(properties!A$1:CB$87,'Fórmula'!H30,55),INDEX(properties!A$1:CB$87,'Fórmula'!J30,55))</f>
        <v>7.13</v>
      </c>
      <c r="FR30" s="118">
        <f t="array" ref="FR30">MIN(IF(INDEX(properties!A$1:CB$87,'Fórmula'!B30,55)=0,10^6,INDEX(properties!A$1:CB$87,'Fórmula'!B30,55)),IF(INDEX(properties!A$1:CB$87,'Fórmula'!D30,55)=0,10^6,INDEX(properties!A$1:CB$87,'Fórmula'!D30,55)),IF(INDEX(properties!A$1:CB$87,'Fórmula'!F30,55)=0,10^6,INDEX(properties!A$1:CB$87,'Fórmula'!F30,55)),IF(INDEX(properties!A$1:CB$87,'Fórmula'!H30,55)=0,10^6,INDEX(properties!A$1:CB$87,'Fórmula'!H30,55)),IF(INDEX(properties!A$1:CB$87,'Fórmula'!J30,55)=0,10^6,INDEX(properties!A$1:CB$87,'Fórmula'!J30,55)))</f>
        <v>0.00143</v>
      </c>
      <c r="FS30" s="118">
        <f t="shared" si="29"/>
        <v>7.12857</v>
      </c>
      <c r="FT30" s="119">
        <f t="array" ref="FT30">(('Fórmula'!C30)/('Fórmula'!C30+'Fórmula'!E30+'Fórmula'!G30+'Fórmula'!I30+'Fórmula'!K30))*(INDEX(properties!A$1:CB$87,'Fórmula'!B30,56))+(('Fórmula'!E30)/('Fórmula'!C30+'Fórmula'!E30+'Fórmula'!G30+'Fórmula'!I30+'Fórmula'!K30))*(INDEX(properties!A$1:CB$87,'Fórmula'!D30,56))+(('Fórmula'!G30)/('Fórmula'!C30+'Fórmula'!E30+'Fórmula'!G30+'Fórmula'!I30+'Fórmula'!K30))*(INDEX(properties!A$1:CB$87,'Fórmula'!F30,56))+(('Fórmula'!I30)/('Fórmula'!C30+'Fórmula'!E30+'Fórmula'!G30+'Fórmula'!I30+'Fórmula'!K30))*(INDEX(properties!A$1:CB$87,'Fórmula'!H30,56))+(('Fórmula'!K30)/('Fórmula'!C30+'Fórmula'!E30+'Fórmula'!G30+'Fórmula'!I30+'Fórmula'!K30))*(INDEX(properties!A$1:CB$87,'Fórmula'!J30,56))</f>
        <v>0.6871428571</v>
      </c>
      <c r="FU30" s="119">
        <f t="array" ref="FU30">'Fórmula'!C30*(INDEX(properties!A$1:CB$87,'Fórmula'!B30,56))+'Fórmula'!E30*(INDEX(properties!A$1:CB$87,'Fórmula'!D30,56))+'Fórmula'!G30*(INDEX(properties!A$1:CB$87,'Fórmula'!F30,56))+'Fórmula'!I30*(INDEX(properties!A$1:CB$87,'Fórmula'!H30,56))+'Fórmula'!K30*(INDEX(properties!A$1:CB$87,'Fórmula'!J30,56))</f>
        <v>4.81</v>
      </c>
      <c r="FV30" s="119">
        <f t="array" ref="FV30">VARP(IF(INDEX(properties!A$1:CB$87,'Fórmula'!B30,56)&lt;&gt;"",INDEX(properties!A$1:CB$87,'Fórmula'!B30,56)),IF(INDEX(properties!A$1:CB$87,'Fórmula'!D30,56)&lt;&gt;"",INDEX(properties!A$1:CB$87,'Fórmula'!D30,56)),IF(INDEX(properties!A$1:CB$87,'Fórmula'!F30,56)&lt;&gt;"",INDEX(properties!A$1:CB$87,'Fórmula'!F30,56)),IF(INDEX(properties!A$1:CB$87,'Fórmula'!H30,56)&lt;&gt;"",INDEX(properties!A$1:CB$87,'Fórmula'!H30,56)),IF(INDEX(properties!A$1:CB$87,'Fórmula'!J30,56)&lt;&gt;"",INDEX(properties!A$1:CB$87,'Fórmula'!J30,56)))</f>
        <v>0.114184</v>
      </c>
      <c r="FW30" s="119">
        <f t="array" ref="FW30">MAX(INDEX(properties!A$1:CB$87,'Fórmula'!B30,56),INDEX(properties!A$1:CB$87,'Fórmula'!D30,56),INDEX(properties!A$1:CB$87,'Fórmula'!F30,56),INDEX(properties!A$1:CB$87,'Fórmula'!H30,56),INDEX(properties!A$1:CB$87,'Fórmula'!J30,56))</f>
        <v>0.92</v>
      </c>
      <c r="FX30" s="119">
        <f t="array" ref="FX30">MIN(IF(INDEX(properties!A$1:CB$87,'Fórmula'!B30,56)=0,10^6,INDEX(properties!A$1:CB$87,'Fórmula'!B30,56)),IF(INDEX(properties!A$1:CB$87,'Fórmula'!D30,56)=0,10^6,INDEX(properties!A$1:CB$87,'Fórmula'!D30,56)),IF(INDEX(properties!A$1:CB$87,'Fórmula'!F30,56)=0,10^6,INDEX(properties!A$1:CB$87,'Fórmula'!F30,56)),IF(INDEX(properties!A$1:CB$87,'Fórmula'!H30,56)=0,10^6,INDEX(properties!A$1:CB$87,'Fórmula'!H30,56)),IF(INDEX(properties!A$1:CB$87,'Fórmula'!J30,56)=0,10^6,INDEX(properties!A$1:CB$87,'Fórmula'!J30,56)))</f>
        <v>0.37</v>
      </c>
      <c r="FY30" s="119">
        <f t="shared" si="30"/>
        <v>0.55</v>
      </c>
      <c r="FZ30" s="104">
        <f t="array" ref="FZ30">(('Fórmula'!C30)/('Fórmula'!C30+'Fórmula'!E30+'Fórmula'!G30+'Fórmula'!I30+'Fórmula'!K30))*(INDEX(properties!A$1:CB$87,'Fórmula'!B30,57))+(('Fórmula'!E30)/('Fórmula'!C30+'Fórmula'!E30+'Fórmula'!G30+'Fórmula'!I30+'Fórmula'!K30))*(INDEX(properties!A$1:CB$87,'Fórmula'!D30,57))+(('Fórmula'!G30)/('Fórmula'!C30+'Fórmula'!E30+'Fórmula'!G30+'Fórmula'!I30+'Fórmula'!K30))*(INDEX(properties!A$1:CB$87,'Fórmula'!F30,57))+(('Fórmula'!I30)/('Fórmula'!C30+'Fórmula'!E30+'Fórmula'!G30+'Fórmula'!I30+'Fórmula'!K30))*(INDEX(properties!A$1:CB$87,'Fórmula'!H30,57))+(('Fórmula'!K30)/('Fórmula'!C30+'Fórmula'!E30+'Fórmula'!G30+'Fórmula'!I30+'Fórmula'!K30))*(INDEX(properties!A$1:CB$87,'Fórmula'!J30,57))</f>
        <v>2.770337143</v>
      </c>
      <c r="GA30" s="104">
        <f t="array" ref="GA30">'Fórmula'!C30*(INDEX(properties!A$1:CB$87,'Fórmula'!B30,57))+'Fórmula'!E30*(INDEX(properties!A$1:CB$87,'Fórmula'!D30,57))+'Fórmula'!G30*(INDEX(properties!A$1:CB$87,'Fórmula'!F30,57))+'Fórmula'!I30*(INDEX(properties!A$1:CB$87,'Fórmula'!H30,57))+'Fórmula'!K30*(INDEX(properties!A$1:CB$87,'Fórmula'!J30,57))</f>
        <v>19.39236</v>
      </c>
      <c r="GB30" s="104">
        <f t="array" ref="GB30">VARP(IF(INDEX(properties!A$1:CB$87,'Fórmula'!B30,57)&lt;&gt;"",INDEX(properties!A$1:CB$87,'Fórmula'!B30,57)),IF(INDEX(properties!A$1:CB$87,'Fórmula'!D30,57)&lt;&gt;"",INDEX(properties!A$1:CB$87,'Fórmula'!D30,57)),IF(INDEX(properties!A$1:CB$87,'Fórmula'!F30,57)&lt;&gt;"",INDEX(properties!A$1:CB$87,'Fórmula'!F30,57)),IF(INDEX(properties!A$1:CB$87,'Fórmula'!H30,57)&lt;&gt;"",INDEX(properties!A$1:CB$87,'Fórmula'!H30,57)),IF(INDEX(properties!A$1:CB$87,'Fórmula'!J30,57)&lt;&gt;"",INDEX(properties!A$1:CB$87,'Fórmula'!J30,57)))</f>
        <v>10.08116788</v>
      </c>
      <c r="GC30" s="104">
        <f t="array" ref="GC30">MAX(INDEX(properties!A$1:CB$87,'Fórmula'!B30,57),INDEX(properties!A$1:CB$87,'Fórmula'!D30,57),INDEX(properties!A$1:CB$87,'Fórmula'!F30,57),INDEX(properties!A$1:CB$87,'Fórmula'!H30,57),INDEX(properties!A$1:CB$87,'Fórmula'!J30,57))</f>
        <v>7.322</v>
      </c>
      <c r="GD30" s="104">
        <f t="array" ref="GD30">MIN(IF(INDEX(properties!A$1:CB$87,'Fórmula'!B30,57)=0,10^6,INDEX(properties!A$1:CB$87,'Fórmula'!B30,57)),IF(INDEX(properties!A$1:CB$87,'Fórmula'!D30,57)=0,10^6,INDEX(properties!A$1:CB$87,'Fórmula'!D30,57)),IF(INDEX(properties!A$1:CB$87,'Fórmula'!F30,57)=0,10^6,INDEX(properties!A$1:CB$87,'Fórmula'!F30,57)),IF(INDEX(properties!A$1:CB$87,'Fórmula'!H30,57)=0,10^6,INDEX(properties!A$1:CB$87,'Fórmula'!H30,57)),IF(INDEX(properties!A$1:CB$87,'Fórmula'!J30,57)=0,10^6,INDEX(properties!A$1:CB$87,'Fórmula'!J30,57)))</f>
        <v>0.22259</v>
      </c>
      <c r="GE30" s="104">
        <f t="shared" si="31"/>
        <v>7.09941</v>
      </c>
      <c r="GF30" s="105">
        <f t="array" ref="GF30">(('Fórmula'!C30)/('Fórmula'!C30+'Fórmula'!E30+'Fórmula'!G30+'Fórmula'!I30+'Fórmula'!K30))*(INDEX(properties!A$1:CB$87,'Fórmula'!B30,60))+(('Fórmula'!E30)/('Fórmula'!C30+'Fórmula'!E30+'Fórmula'!G30+'Fórmula'!I30+'Fórmula'!K30))*(INDEX(properties!A$1:CB$87,'Fórmula'!D30,60))+(('Fórmula'!G30)/('Fórmula'!C30+'Fórmula'!E30+'Fórmula'!G30+'Fórmula'!I30+'Fórmula'!K30))*(INDEX(properties!A$1:CB$87,'Fórmula'!F30,60))+(('Fórmula'!I30)/('Fórmula'!C30+'Fórmula'!E30+'Fórmula'!G30+'Fórmula'!I30+'Fórmula'!K30))*(INDEX(properties!A$1:CB$87,'Fórmula'!H30,60))+(('Fórmula'!K30)/('Fórmula'!C30+'Fórmula'!E30+'Fórmula'!G30+'Fórmula'!I30+'Fórmula'!K30))*(INDEX(properties!A$1:CB$87,'Fórmula'!J30,60))</f>
        <v>28.18670857</v>
      </c>
      <c r="GG30" s="105">
        <f t="array" ref="GG30">'Fórmula'!C30*(INDEX(properties!A$1:CB$87,'Fórmula'!B30,60))+'Fórmula'!E30*(INDEX(properties!A$1:CB$87,'Fórmula'!D30,60))+'Fórmula'!G30*(INDEX(properties!A$1:CB$87,'Fórmula'!F30,60))+'Fórmula'!I30*(INDEX(properties!A$1:CB$87,'Fórmula'!H30,60))+'Fórmula'!K30*(INDEX(properties!A$1:CB$87,'Fórmula'!J30,60))</f>
        <v>197.30696</v>
      </c>
      <c r="GH30" s="105">
        <f t="array" ref="GH30">VARP(IF(INDEX(properties!A$1:CB$87,'Fórmula'!B30,60)&lt;&gt;"",INDEX(properties!A$1:CB$87,'Fórmula'!B30,60)),IF(INDEX(properties!A$1:CB$87,'Fórmula'!D30,60)&lt;&gt;"",INDEX(properties!A$1:CB$87,'Fórmula'!D30,60)),IF(INDEX(properties!A$1:CB$87,'Fórmula'!F30,60)&lt;&gt;"",INDEX(properties!A$1:CB$87,'Fórmula'!F30,60)),IF(INDEX(properties!A$1:CB$87,'Fórmula'!H30,60)&lt;&gt;"",INDEX(properties!A$1:CB$87,'Fórmula'!H30,60)),IF(INDEX(properties!A$1:CB$87,'Fórmula'!J30,60)&lt;&gt;"",INDEX(properties!A$1:CB$87,'Fórmula'!J30,60)))</f>
        <v>2039.594716</v>
      </c>
      <c r="GI30" s="105">
        <f t="array" ref="GI30">MAX(INDEX(properties!A$1:CB$87,'Fórmula'!B30,60),INDEX(properties!A$1:CB$87,'Fórmula'!D30,60),INDEX(properties!A$1:CB$87,'Fórmula'!F30,60),INDEX(properties!A$1:CB$87,'Fórmula'!H30,60),INDEX(properties!A$1:CB$87,'Fórmula'!J30,60))</f>
        <v>116</v>
      </c>
      <c r="GJ30" s="105">
        <f t="array" ref="GJ30">MIN(IF(INDEX(properties!A$1:CB$87,'Fórmula'!B30,60)=0,10^6,INDEX(properties!A$1:CB$87,'Fórmula'!B30,60)),IF(INDEX(properties!A$1:CB$87,'Fórmula'!D30,60)=0,10^6,INDEX(properties!A$1:CB$87,'Fórmula'!D30,60)),IF(INDEX(properties!A$1:CB$87,'Fórmula'!F30,60)=0,10^6,INDEX(properties!A$1:CB$87,'Fórmula'!F30,60)),IF(INDEX(properties!A$1:CB$87,'Fórmula'!H30,60)=0,10^6,INDEX(properties!A$1:CB$87,'Fórmula'!H30,60)),IF(INDEX(properties!A$1:CB$87,'Fórmula'!J30,60)=0,10^6,INDEX(properties!A$1:CB$87,'Fórmula'!J30,60)))</f>
        <v>0.02674</v>
      </c>
      <c r="GK30" s="105">
        <f t="shared" si="32"/>
        <v>115.97326</v>
      </c>
      <c r="GL30" s="106">
        <f t="array" ref="GL30">(('Fórmula'!C30)/('Fórmula'!C30+'Fórmula'!E30+'Fórmula'!G30+'Fórmula'!I30+'Fórmula'!K30))*(INDEX(properties!A$1:CB$87,'Fórmula'!B30,62))+(('Fórmula'!E30)/('Fórmula'!C30+'Fórmula'!E30+'Fórmula'!G30+'Fórmula'!I30+'Fórmula'!K30))*(INDEX(properties!A$1:CB$87,'Fórmula'!D30,62))+(('Fórmula'!G30)/('Fórmula'!C30+'Fórmula'!E30+'Fórmula'!G30+'Fórmula'!I30+'Fórmula'!K30))*(INDEX(properties!A$1:CB$87,'Fórmula'!F30,62))+(('Fórmula'!I30)/('Fórmula'!C30+'Fórmula'!E30+'Fórmula'!G30+'Fórmula'!I30+'Fórmula'!K30))*(INDEX(properties!A$1:CB$87,'Fórmula'!H30,62))+(('Fórmula'!K30)/('Fórmula'!C30+'Fórmula'!E30+'Fórmula'!G30+'Fórmula'!I30+'Fórmula'!K30))*(INDEX(properties!A$1:CB$87,'Fórmula'!J30,62))</f>
        <v>2.492857143</v>
      </c>
      <c r="GM30" s="106">
        <f t="array" ref="GM30">'Fórmula'!C30*(INDEX(properties!A$1:CB$87,'Fórmula'!B30,62))+'Fórmula'!E30*(INDEX(properties!A$1:CB$87,'Fórmula'!D30,62))+'Fórmula'!G30*(INDEX(properties!A$1:CB$87,'Fórmula'!F30,62))+'Fórmula'!I30*(INDEX(properties!A$1:CB$87,'Fórmula'!H30,62))+'Fórmula'!K30*(INDEX(properties!A$1:CB$87,'Fórmula'!J30,62))</f>
        <v>17.45</v>
      </c>
      <c r="GN30" s="106">
        <f t="array" ref="GN30">VARP(IF(INDEX(properties!A$1:CB$87,'Fórmula'!B30,62)&lt;&gt;"",INDEX(properties!A$1:CB$87,'Fórmula'!B30,62)),IF(INDEX(properties!A$1:CB$87,'Fórmula'!D30,62)&lt;&gt;"",INDEX(properties!A$1:CB$87,'Fórmula'!D30,62)),IF(INDEX(properties!A$1:CB$87,'Fórmula'!F30,62)&lt;&gt;"",INDEX(properties!A$1:CB$87,'Fórmula'!F30,62)),IF(INDEX(properties!A$1:CB$87,'Fórmula'!H30,62)&lt;&gt;"",INDEX(properties!A$1:CB$87,'Fórmula'!H30,62)),IF(INDEX(properties!A$1:CB$87,'Fórmula'!J30,62)&lt;&gt;"",INDEX(properties!A$1:CB$87,'Fórmula'!J30,62)))</f>
        <v>1.477864</v>
      </c>
      <c r="GO30" s="106">
        <f t="array" ref="GO30">MAX(INDEX(properties!A$1:CB$87,'Fórmula'!B30,62),INDEX(properties!A$1:CB$87,'Fórmula'!D30,62),INDEX(properties!A$1:CB$87,'Fórmula'!F30,62),INDEX(properties!A$1:CB$87,'Fórmula'!H30,62),INDEX(properties!A$1:CB$87,'Fórmula'!J30,62))</f>
        <v>2.81</v>
      </c>
      <c r="GP30" s="106">
        <f t="array" ref="GP30">MIN(IF(INDEX(properties!A$1:CB$87,'Fórmula'!B30,62)=0,10^6,INDEX(properties!A$1:CB$87,'Fórmula'!B30,62)),IF(INDEX(properties!A$1:CB$87,'Fórmula'!D30,62)=0,10^6,INDEX(properties!A$1:CB$87,'Fórmula'!D30,62)),IF(INDEX(properties!A$1:CB$87,'Fórmula'!F30,62)=0,10^6,INDEX(properties!A$1:CB$87,'Fórmula'!F30,62)),IF(INDEX(properties!A$1:CB$87,'Fórmula'!H30,62)=0,10^6,INDEX(properties!A$1:CB$87,'Fórmula'!H30,62)),IF(INDEX(properties!A$1:CB$87,'Fórmula'!J30,62)=0,10^6,INDEX(properties!A$1:CB$87,'Fórmula'!J30,62)))</f>
        <v>1.35</v>
      </c>
      <c r="GQ30" s="106">
        <f t="shared" si="33"/>
        <v>1.46</v>
      </c>
      <c r="GR30" s="106">
        <f>'Fórmula'!Q30</f>
        <v>227</v>
      </c>
      <c r="GS30" s="107">
        <f>'Fórmula'!P30</f>
        <v>1</v>
      </c>
      <c r="GT30" s="113">
        <f>'Fórmula'!O30</f>
        <v>6.17</v>
      </c>
      <c r="GU30" s="114">
        <f>AVERAGE('Fórmula'!R30/'Fórmula'!S30,'Fórmula'!S30/'Fórmula'!T30,'Fórmula'!T30/'Fórmula'!R30)</f>
        <v>1</v>
      </c>
      <c r="GV30" s="125">
        <f>'Fórmula'!U30</f>
        <v>579.09</v>
      </c>
      <c r="GW30" s="106">
        <f>'Fórmula'!N30</f>
        <v>0.025</v>
      </c>
    </row>
    <row r="31" ht="14.25" customHeight="1">
      <c r="A31" s="99" t="str">
        <f>'Fórmula'!A31</f>
        <v>SrAl2Si2O8</v>
      </c>
      <c r="B31" s="101">
        <f t="array" ref="B31">(('Fórmula'!C31)/('Fórmula'!C31+'Fórmula'!E31+'Fórmula'!G31+'Fórmula'!I31+'Fórmula'!K31))*(INDEX(properties!A$1:CB$87,'Fórmula'!B31,3))+(('Fórmula'!E31)/('Fórmula'!C31+'Fórmula'!E31+'Fórmula'!G31+'Fórmula'!I31+'Fórmula'!K31))*(INDEX(properties!A$1:CB$87,'Fórmula'!D31,3))+(('Fórmula'!G31)/('Fórmula'!C31+'Fórmula'!E31+'Fórmula'!G31+'Fórmula'!I31+'Fórmula'!K31))*(INDEX(properties!A$1:CB$87,'Fórmula'!F31,3))+(('Fórmula'!I31)/('Fórmula'!C31+'Fórmula'!E31+'Fórmula'!G31+'Fórmula'!I31+'Fórmula'!K31))*(INDEX(properties!A$1:CB$87,'Fórmula'!H31,3))+(('Fórmula'!K31)/('Fórmula'!C31+'Fórmula'!E31+'Fórmula'!G31+'Fórmula'!I31+'Fórmula'!K31))*(INDEX(properties!A$1:CB$87,'Fórmula'!J31,3))</f>
        <v>25.05763677</v>
      </c>
      <c r="C31" s="101">
        <f t="array" ref="C31">'Fórmula'!C31*(INDEX(properties!A$1:CB$87,'Fórmula'!B31,3))+'Fórmula'!E31*(INDEX(properties!A$1:CB$87,'Fórmula'!D31,3))+'Fórmula'!G31*(INDEX(properties!A$1:CB$87,'Fórmula'!F31,3))+'Fórmula'!I31*(INDEX(properties!A$1:CB$87,'Fórmula'!H31,3))+'Fórmula'!K31*(INDEX(properties!A$1:CB$87,'Fórmula'!J31,3))</f>
        <v>325.749278</v>
      </c>
      <c r="D31" s="101">
        <f t="array" ref="D31">VARP(IF(INDEX(properties!A$1:CB$87,'Fórmula'!B31,3)&lt;&gt;"",INDEX(properties!A$1:CB$87,'Fórmula'!B31,3)),IF(INDEX(properties!A$1:CB$87,'Fórmula'!D31,3)&lt;&gt;"",INDEX(properties!A$1:CB$87,'Fórmula'!D31,3)),IF(INDEX(properties!A$1:CB$87,'Fórmula'!F31,3)&lt;&gt;"",INDEX(properties!A$1:CB$87,'Fórmula'!F31,3)),IF(INDEX(properties!A$1:CB$87,'Fórmula'!H31,3)&lt;&gt;"",INDEX(properties!A$1:CB$87,'Fórmula'!H31,3)),IF(INDEX(properties!A$1:CB$87,'Fórmula'!J31,3)&lt;&gt;"",INDEX(properties!A$1:CB$87,'Fórmula'!J31,3)))</f>
        <v>882.7533546</v>
      </c>
      <c r="E31" s="101">
        <f t="array" ref="E31">MAX(INDEX(properties!A$1:CB$87,'Fórmula'!B31,3),INDEX(properties!A$1:CB$87,'Fórmula'!D31,3),INDEX(properties!A$1:CB$87,'Fórmula'!F31,3),INDEX(properties!A$1:CB$87,'Fórmula'!H31,3),INDEX(properties!A$1:CB$87,'Fórmula'!J31,3))</f>
        <v>87.62</v>
      </c>
      <c r="F31" s="101">
        <f t="array" ref="F31">MIN(IF(INDEX(properties!A$1:CB$87,'Fórmula'!B31,3)=0,10^6,INDEX(properties!A$1:CB$87,'Fórmula'!B31,3)),IF(INDEX(properties!A$1:CB$87,'Fórmula'!D31,3)=0,10^6,INDEX(properties!A$1:CB$87,'Fórmula'!D31,3)),IF(INDEX(properties!A$1:CB$87,'Fórmula'!F31,3)=0,10^6,INDEX(properties!A$1:CB$87,'Fórmula'!F31,3)),IF(INDEX(properties!A$1:CB$87,'Fórmula'!H31,3)=0,10^6,INDEX(properties!A$1:CB$87,'Fórmula'!H31,3)),IF(INDEX(properties!A$1:CB$87,'Fórmula'!J31,3)=0,10^6,INDEX(properties!A$1:CB$87,'Fórmula'!J31,3)))</f>
        <v>15.9994</v>
      </c>
      <c r="G31" s="101">
        <f t="shared" si="1"/>
        <v>71.6206</v>
      </c>
      <c r="H31" s="102">
        <f t="array" ref="H31">(('Fórmula'!C31)/('Fórmula'!C31+'Fórmula'!E31+'Fórmula'!G31+'Fórmula'!I31+'Fórmula'!K31))*(INDEX(properties!A$1:CB$87,'Fórmula'!B31,4))+(('Fórmula'!E31)/('Fórmula'!C31+'Fórmula'!E31+'Fórmula'!G31+'Fórmula'!I31+'Fórmula'!K31))*(INDEX(properties!A$1:CB$87,'Fórmula'!D31,4))+(('Fórmula'!G31)/('Fórmula'!C31+'Fórmula'!E31+'Fórmula'!G31+'Fórmula'!I31+'Fórmula'!K31))*(INDEX(properties!A$1:CB$87,'Fórmula'!F31,4))+(('Fórmula'!I31)/('Fórmula'!C31+'Fórmula'!E31+'Fórmula'!G31+'Fórmula'!I31+'Fórmula'!K31))*(INDEX(properties!A$1:CB$87,'Fórmula'!H31,4))+(('Fórmula'!K31)/('Fórmula'!C31+'Fórmula'!E31+'Fórmula'!G31+'Fórmula'!I31+'Fórmula'!K31))*(INDEX(properties!A$1:CB$87,'Fórmula'!J31,4))</f>
        <v>12</v>
      </c>
      <c r="I31" s="102">
        <f t="array" ref="I31">'Fórmula'!C31*(INDEX(properties!A$1:CB$87,'Fórmula'!B31,4))+'Fórmula'!E31*(INDEX(properties!A$1:CB$87,'Fórmula'!D31,4))+'Fórmula'!G31*(INDEX(properties!A$1:CB$87,'Fórmula'!F31,4))+'Fórmula'!I31*(INDEX(properties!A$1:CB$87,'Fórmula'!H31,4))+'Fórmula'!K31*(INDEX(properties!A$1:CB$87,'Fórmula'!J31,4))</f>
        <v>156</v>
      </c>
      <c r="J31" s="102">
        <f t="array" ref="J31">VARP(IF(INDEX(properties!A$1:CB$87,'Fórmula'!B31,4)&lt;&gt;"",INDEX(properties!A$1:CB$87,'Fórmula'!B31,4)),IF(INDEX(properties!A$1:CB$87,'Fórmula'!D31,4)&lt;&gt;"",INDEX(properties!A$1:CB$87,'Fórmula'!D31,4)),IF(INDEX(properties!A$1:CB$87,'Fórmula'!F31,4)&lt;&gt;"",INDEX(properties!A$1:CB$87,'Fórmula'!F31,4)),IF(INDEX(properties!A$1:CB$87,'Fórmula'!H31,4)&lt;&gt;"",INDEX(properties!A$1:CB$87,'Fórmula'!H31,4)),IF(INDEX(properties!A$1:CB$87,'Fórmula'!J31,4)&lt;&gt;"",INDEX(properties!A$1:CB$87,'Fórmula'!J31,4)))</f>
        <v>161.44</v>
      </c>
      <c r="K31" s="102">
        <f t="array" ref="K31">MAX(INDEX(properties!A$1:CB$87,'Fórmula'!B31,4),INDEX(properties!A$1:CB$87,'Fórmula'!D31,4),INDEX(properties!A$1:CB$87,'Fórmula'!F31,4),INDEX(properties!A$1:CB$87,'Fórmula'!H31,4),INDEX(properties!A$1:CB$87,'Fórmula'!J31,4))</f>
        <v>38</v>
      </c>
      <c r="L31" s="102">
        <f t="array" ref="L31">MIN(IF(INDEX(properties!A$1:CB$87,'Fórmula'!B31,4)=0,10^6,INDEX(properties!A$1:CB$87,'Fórmula'!B31,4)),IF(INDEX(properties!A$1:CB$87,'Fórmula'!D31,4)=0,10^6,INDEX(properties!A$1:CB$87,'Fórmula'!D31,4)),IF(INDEX(properties!A$1:CB$87,'Fórmula'!F31,4)=0,10^6,INDEX(properties!A$1:CB$87,'Fórmula'!F31,4)),IF(INDEX(properties!A$1:CB$87,'Fórmula'!H31,4)=0,10^6,INDEX(properties!A$1:CB$87,'Fórmula'!H31,4)),IF(INDEX(properties!A$1:CB$87,'Fórmula'!J31,4)=0,10^6,INDEX(properties!A$1:CB$87,'Fórmula'!J31,4)))</f>
        <v>8</v>
      </c>
      <c r="M31" s="102">
        <f t="shared" si="2"/>
        <v>30</v>
      </c>
      <c r="N31" s="103">
        <f t="array" ref="N31">(('Fórmula'!C31)/('Fórmula'!C31+'Fórmula'!E31+'Fórmula'!G31+'Fórmula'!I31+'Fórmula'!K31))*(INDEX(properties!A$1:CB$87,'Fórmula'!B31,5))+(('Fórmula'!E31)/('Fórmula'!C31+'Fórmula'!E31+'Fórmula'!G31+'Fórmula'!I31+'Fórmula'!K31))*(INDEX(properties!A$1:CB$87,'Fórmula'!D31,5))+(('Fórmula'!G31)/('Fórmula'!C31+'Fórmula'!E31+'Fórmula'!G31+'Fórmula'!I31+'Fórmula'!K31))*(INDEX(properties!A$1:CB$87,'Fórmula'!F31,5))+(('Fórmula'!I31)/('Fórmula'!C31+'Fórmula'!E31+'Fórmula'!G31+'Fórmula'!I31+'Fórmula'!K31))*(INDEX(properties!A$1:CB$87,'Fórmula'!H31,5))+(('Fórmula'!K31)/('Fórmula'!C31+'Fórmula'!E31+'Fórmula'!G31+'Fórmula'!I31+'Fórmula'!K31))*(INDEX(properties!A$1:CB$87,'Fórmula'!J31,5))</f>
        <v>2.538461538</v>
      </c>
      <c r="O31" s="103">
        <f t="array" ref="O31">'Fórmula'!C31*(INDEX(properties!A$1:CB$87,'Fórmula'!B31,5))+'Fórmula'!E31*(INDEX(properties!A$1:CB$87,'Fórmula'!D31,5))+'Fórmula'!G31*(INDEX(properties!A$1:CB$87,'Fórmula'!F31,5))+'Fórmula'!I31*(INDEX(properties!A$1:CB$87,'Fórmula'!H31,5))+'Fórmula'!K31*(INDEX(properties!A$1:CB$87,'Fórmula'!J31,5))</f>
        <v>33</v>
      </c>
      <c r="P31" s="103">
        <f t="array" ref="P31">VARP(IF(INDEX(properties!A$1:CB$87,'Fórmula'!B31,5)&lt;&gt;"",INDEX(properties!A$1:CB$87,'Fórmula'!B31,5)),IF(INDEX(properties!A$1:CB$87,'Fórmula'!D31,5)&lt;&gt;"",INDEX(properties!A$1:CB$87,'Fórmula'!D31,5)),IF(INDEX(properties!A$1:CB$87,'Fórmula'!F31,5)&lt;&gt;"",INDEX(properties!A$1:CB$87,'Fórmula'!F31,5)),IF(INDEX(properties!A$1:CB$87,'Fórmula'!H31,5)&lt;&gt;"",INDEX(properties!A$1:CB$87,'Fórmula'!H31,5)),IF(INDEX(properties!A$1:CB$87,'Fórmula'!J31,5)&lt;&gt;"",INDEX(properties!A$1:CB$87,'Fórmula'!J31,5)))</f>
        <v>2.64</v>
      </c>
      <c r="Q31" s="103">
        <f t="array" ref="Q31">MAX(INDEX(properties!A$1:CB$87,'Fórmula'!B31,5),INDEX(properties!A$1:CB$87,'Fórmula'!D31,5),INDEX(properties!A$1:CB$87,'Fórmula'!F31,5),INDEX(properties!A$1:CB$87,'Fórmula'!H31,5),INDEX(properties!A$1:CB$87,'Fórmula'!J31,5))</f>
        <v>5</v>
      </c>
      <c r="R31" s="103">
        <f t="array" ref="R31">MIN(IF(INDEX(properties!A$1:CB$87,'Fórmula'!B31,5)=0,10^6,INDEX(properties!A$1:CB$87,'Fórmula'!B31,5)),IF(INDEX(properties!A$1:CB$87,'Fórmula'!D31,5)=0,10^6,INDEX(properties!A$1:CB$87,'Fórmula'!D31,5)),IF(INDEX(properties!A$1:CB$87,'Fórmula'!F31,5)=0,10^6,INDEX(properties!A$1:CB$87,'Fórmula'!F31,5)),IF(INDEX(properties!A$1:CB$87,'Fórmula'!H31,5)=0,10^6,INDEX(properties!A$1:CB$87,'Fórmula'!H31,5)),IF(INDEX(properties!A$1:CB$87,'Fórmula'!J31,5)=0,10^6,INDEX(properties!A$1:CB$87,'Fórmula'!J31,5)))</f>
        <v>2</v>
      </c>
      <c r="S31" s="103">
        <f t="shared" si="3"/>
        <v>3</v>
      </c>
      <c r="T31" s="104">
        <f t="array" ref="T31">(('Fórmula'!C31)/('Fórmula'!C31+'Fórmula'!E31+'Fórmula'!G31+'Fórmula'!I31+'Fórmula'!K31))*(INDEX(properties!A$1:CB$87,'Fórmula'!B31,6))+(('Fórmula'!E31)/('Fórmula'!C31+'Fórmula'!E31+'Fórmula'!G31+'Fórmula'!I31+'Fórmula'!K31))*(INDEX(properties!A$1:CB$87,'Fórmula'!D31,6))+(('Fórmula'!G31)/('Fórmula'!C31+'Fórmula'!E31+'Fórmula'!G31+'Fórmula'!I31+'Fórmula'!K31))*(INDEX(properties!A$1:CB$87,'Fórmula'!F31,6))+(('Fórmula'!I31)/('Fórmula'!C31+'Fórmula'!E31+'Fórmula'!G31+'Fórmula'!I31+'Fórmula'!K31))*(INDEX(properties!A$1:CB$87,'Fórmula'!H31,6))+(('Fórmula'!K31)/('Fórmula'!C31+'Fórmula'!E31+'Fórmula'!G31+'Fórmula'!I31+'Fórmula'!K31))*(INDEX(properties!A$1:CB$87,'Fórmula'!J31,6))</f>
        <v>14.15384615</v>
      </c>
      <c r="U31" s="104">
        <f t="array" ref="U31">'Fórmula'!C31*(INDEX(properties!A$1:CB$87,'Fórmula'!B31,6))+'Fórmula'!E31*(INDEX(properties!A$1:CB$87,'Fórmula'!D31,6))+'Fórmula'!G31*(INDEX(properties!A$1:CB$87,'Fórmula'!F31,6))+'Fórmula'!I31*(INDEX(properties!A$1:CB$87,'Fórmula'!H31,6))+'Fórmula'!K31*(INDEX(properties!A$1:CB$87,'Fórmula'!J31,6))</f>
        <v>184</v>
      </c>
      <c r="V31" s="103">
        <f t="array" ref="V31">VARP(IF(INDEX(properties!A$1:CB$87,'Fórmula'!B31,6)&lt;&gt;"",INDEX(properties!A$1:CB$87,'Fórmula'!B31,6)),IF(INDEX(properties!A$1:CB$87,'Fórmula'!D31,6)&lt;&gt;"",INDEX(properties!A$1:CB$87,'Fórmula'!D31,6)),IF(INDEX(properties!A$1:CB$87,'Fórmula'!F31,6)&lt;&gt;"",INDEX(properties!A$1:CB$87,'Fórmula'!F31,6)),IF(INDEX(properties!A$1:CB$87,'Fórmula'!H31,6)&lt;&gt;"",INDEX(properties!A$1:CB$87,'Fórmula'!H31,6)),IF(INDEX(properties!A$1:CB$87,'Fórmula'!J31,6)&lt;&gt;"",INDEX(properties!A$1:CB$87,'Fórmula'!J31,6)))</f>
        <v>44</v>
      </c>
      <c r="W31" s="104">
        <f t="array" ref="W31">MAX(INDEX(properties!A$1:CB$87,'Fórmula'!B31,6),INDEX(properties!A$1:CB$87,'Fórmula'!D31,6),INDEX(properties!A$1:CB$87,'Fórmula'!F31,6),INDEX(properties!A$1:CB$87,'Fórmula'!H31,4),INDEX(properties!A$1:CB$87,'Fórmula'!J31,6))</f>
        <v>14</v>
      </c>
      <c r="X31" s="104">
        <f t="array" ref="X31">MIN(IF(INDEX(properties!A$1:CB$87,'Fórmula'!B31,6)=0,10^6,INDEX(properties!A$1:CB$87,'Fórmula'!B31,6)),IF(INDEX(properties!A$1:CB$87,'Fórmula'!D31,6)=0,10^6,INDEX(properties!A$1:CB$87,'Fórmula'!D31,6)),IF(INDEX(properties!A$1:CB$87,'Fórmula'!F31,6)=0,10^6,INDEX(properties!A$1:CB$87,'Fórmula'!F31,6)),IF(INDEX(properties!A$1:CB$87,'Fórmula'!H31,6)=0,10^6,INDEX(properties!A$1:CB$87,'Fórmula'!H31,6)),IF(INDEX(properties!A$1:CB$87,'Fórmula'!J31,6)=0,10^6,INDEX(properties!A$1:CB$87,'Fórmula'!J31,6)))</f>
        <v>2</v>
      </c>
      <c r="Y31" s="104">
        <f t="shared" si="4"/>
        <v>12</v>
      </c>
      <c r="Z31" s="105">
        <f t="array" ref="Z31">(('Fórmula'!C31)/('Fórmula'!C31+'Fórmula'!E31+'Fórmula'!G31+'Fórmula'!I31+'Fórmula'!K31))*(INDEX(properties!A$1:CB$87,'Fórmula'!B31,9))+(('Fórmula'!E31)/('Fórmula'!C31+'Fórmula'!E31+'Fórmula'!G31+'Fórmula'!I31+'Fórmula'!K31))*(INDEX(properties!A$1:CB$87,'Fórmula'!D31,9))+(('Fórmula'!G31)/('Fórmula'!C31+'Fórmula'!E31+'Fórmula'!G31+'Fórmula'!I31+'Fórmula'!K31))*(INDEX(properties!A$1:CB$87,'Fórmula'!F31,9))+(('Fórmula'!I31)/('Fórmula'!C31+'Fórmula'!E31+'Fórmula'!G31+'Fórmula'!I31+'Fórmula'!K31))*(INDEX(properties!A$1:CB$87,'Fórmula'!H31,9))+(('Fórmula'!K31)/('Fórmula'!C31+'Fórmula'!E31+'Fórmula'!G31+'Fórmula'!I31+'Fórmula'!K31))*(INDEX(properties!A$1:CB$87,'Fórmula'!J31,9))</f>
        <v>77.38461538</v>
      </c>
      <c r="AA31" s="105">
        <f t="array" ref="AA31">'Fórmula'!C31*(INDEX(properties!A$1:CB$87,'Fórmula'!B31,9))+'Fórmula'!E31*(INDEX(properties!A$1:CB$87,'Fórmula'!D31,9))+'Fórmula'!G31*(INDEX(properties!A$1:CB$87,'Fórmula'!F31,9))+'Fórmula'!I31*(INDEX(properties!A$1:CB$87,'Fórmula'!H31,9))+'Fórmula'!K31*(INDEX(properties!A$1:CB$87,'Fórmula'!J31,9))</f>
        <v>1006</v>
      </c>
      <c r="AB31" s="105">
        <f t="array" ref="AB31">VARP(IF(INDEX(properties!A$1:CB$87,'Fórmula'!B31,9)&lt;&gt;"",INDEX(properties!A$1:CB$87,'Fórmula'!B31,9)),IF(INDEX(properties!A$1:CB$87,'Fórmula'!D31,9)&lt;&gt;"",INDEX(properties!A$1:CB$87,'Fórmula'!D31,9)),IF(INDEX(properties!A$1:CB$87,'Fórmula'!F31,9)&lt;&gt;"",INDEX(properties!A$1:CB$87,'Fórmula'!F31,9)),IF(INDEX(properties!A$1:CB$87,'Fórmula'!H31,9)&lt;&gt;"",INDEX(properties!A$1:CB$87,'Fórmula'!H31,9)),IF(INDEX(properties!A$1:CB$87,'Fórmula'!J31,9)&lt;&gt;"",INDEX(properties!A$1:CB$87,'Fórmula'!J31,9)))</f>
        <v>1388.56</v>
      </c>
      <c r="AC31" s="105">
        <f t="array" ref="AC31">MAX(INDEX(properties!A$1:CB$87,'Fórmula'!B31,9),INDEX(properties!A$1:CB$87,'Fórmula'!D31,9),INDEX(properties!A$1:CB$87,'Fórmula'!F31,9),INDEX(properties!A$1:CB$87,'Fórmula'!H31,9),INDEX(properties!A$1:CB$87,'Fórmula'!J31,9))</f>
        <v>87</v>
      </c>
      <c r="AD31" s="105">
        <f t="array" ref="AD31">MIN(IF(INDEX(properties!A$1:CB$87,'Fórmula'!B31,9)=0,10^6,INDEX(properties!A$1:CB$87,'Fórmula'!B31,9)),IF(INDEX(properties!A$1:CB$87,'Fórmula'!D31,9)=0,10^6,INDEX(properties!A$1:CB$87,'Fórmula'!D31,9)),IF(INDEX(properties!A$1:CB$87,'Fórmula'!F31,9)=0,10^6,INDEX(properties!A$1:CB$87,'Fórmula'!F31,9)),IF(INDEX(properties!A$1:CB$87,'Fórmula'!H31,9)=0,10^6,INDEX(properties!A$1:CB$87,'Fórmula'!H31,9)),IF(INDEX(properties!A$1:CB$87,'Fórmula'!J31,9)=0,10^6,INDEX(properties!A$1:CB$87,'Fórmula'!J31,9)))</f>
        <v>8</v>
      </c>
      <c r="AE31" s="105">
        <f t="shared" si="5"/>
        <v>79</v>
      </c>
      <c r="AF31" s="106">
        <f t="array" ref="AF31">(('Fórmula'!C31)/('Fórmula'!C31+'Fórmula'!E31+'Fórmula'!G31+'Fórmula'!I31+'Fórmula'!K31))*(INDEX(properties!A$1:CB$87,'Fórmula'!B31,10))+(('Fórmula'!E31)/('Fórmula'!C31+'Fórmula'!E31+'Fórmula'!G31+'Fórmula'!I31+'Fórmula'!K31))*(INDEX(properties!A$1:CB$87,'Fórmula'!D31,10))+(('Fórmula'!G31)/('Fórmula'!C31+'Fórmula'!E31+'Fórmula'!G31+'Fórmula'!I31+'Fórmula'!K31))*(INDEX(properties!A$1:CB$87,'Fórmula'!F31,10))+(('Fórmula'!I31)/('Fórmula'!C31+'Fórmula'!E31+'Fórmula'!G31+'Fórmula'!I31+'Fórmula'!K31))*(INDEX(properties!A$1:CB$87,'Fórmula'!H31,10))+(('Fórmula'!K31)/('Fórmula'!C31+'Fórmula'!E31+'Fórmula'!G31+'Fórmula'!I31+'Fórmula'!K31))*(INDEX(properties!A$1:CB$87,'Fórmula'!J31,10))</f>
        <v>6.153846154</v>
      </c>
      <c r="AG31" s="106">
        <f t="array" ref="AG31">'Fórmula'!C31*(INDEX(properties!A$1:CB$87,'Fórmula'!B31,10))+'Fórmula'!E31*(INDEX(properties!A$1:CB$87,'Fórmula'!D31,10))+'Fórmula'!G31*(INDEX(properties!A$1:CB$87,'Fórmula'!F31,10))+'Fórmula'!I31*(INDEX(properties!A$1:CB$87,'Fórmula'!H31,10))+'Fórmula'!K31*(INDEX(properties!A$1:CB$87,'Fórmula'!J31,10))</f>
        <v>80</v>
      </c>
      <c r="AH31" s="106">
        <f t="array" ref="AH31">VARP(IF(INDEX(properties!A$1:CB$87,'Fórmula'!B31,10)&lt;&gt;"",INDEX(properties!A$1:CB$87,'Fórmula'!B31,10)),IF(INDEX(properties!A$1:CB$87,'Fórmula'!D31,10)&lt;&gt;"",INDEX(properties!A$1:CB$87,'Fórmula'!D31,10)),IF(INDEX(properties!A$1:CB$87,'Fórmula'!F31,10)&lt;&gt;"",INDEX(properties!A$1:CB$87,'Fórmula'!F31,10)),IF(INDEX(properties!A$1:CB$87,'Fórmula'!H31,10)&lt;&gt;"",INDEX(properties!A$1:CB$87,'Fórmula'!H31,10)),IF(INDEX(properties!A$1:CB$87,'Fórmula'!J31,10)&lt;&gt;"",INDEX(properties!A$1:CB$87,'Fórmula'!J31,10)))</f>
        <v>6.8</v>
      </c>
      <c r="AI31" s="106">
        <f t="array" ref="AI31">MAX(INDEX(properties!A$1:CB$87,'Fórmula'!B31,10),INDEX(properties!A$1:CB$87,'Fórmula'!D31,10),INDEX(properties!A$1:CB$87,'Fórmula'!F31,10),INDEX(properties!A$1:CB$87,'Fórmula'!H31,10),INDEX(properties!A$1:CB$87,'Fórmula'!J31,10))</f>
        <v>7</v>
      </c>
      <c r="AJ31" s="106">
        <f t="array" ref="AJ31">MIN(IF(INDEX(properties!A$1:CB$87,'Fórmula'!B31,10)=0,10^6,INDEX(properties!A$1:CB$87,'Fórmula'!B31,10)),IF(INDEX(properties!A$1:CB$87,'Fórmula'!D31,10)=0,10^6,INDEX(properties!A$1:CB$87,'Fórmula'!D31,10)),IF(INDEX(properties!A$1:CB$87,'Fórmula'!F31,10)=0,10^6,INDEX(properties!A$1:CB$87,'Fórmula'!F31,10)),IF(INDEX(properties!A$1:CB$87,'Fórmula'!H31,10)=0,10^6,INDEX(properties!A$1:CB$87,'Fórmula'!H31,10)),IF(INDEX(properties!A$1:CB$87,'Fórmula'!J31,10)=0,10^6,INDEX(properties!A$1:CB$87,'Fórmula'!J31,10)))</f>
        <v>2</v>
      </c>
      <c r="AK31" s="106">
        <f t="shared" si="6"/>
        <v>5</v>
      </c>
      <c r="AL31" s="107">
        <f t="array" ref="AL31">(('Fórmula'!C31)/('Fórmula'!C31+'Fórmula'!E31+'Fórmula'!G31+'Fórmula'!I31+'Fórmula'!K31))*(INDEX(properties!A$1:CB$87,'Fórmula'!B31,11))+(('Fórmula'!E31)/('Fórmula'!C31+'Fórmula'!E31+'Fórmula'!G31+'Fórmula'!I31+'Fórmula'!K31))*(INDEX(properties!A$1:CB$87,'Fórmula'!D31,11))+(('Fórmula'!G31)/('Fórmula'!C31+'Fórmula'!E31+'Fórmula'!G31+'Fórmula'!I31+'Fórmula'!K31))*(INDEX(properties!A$1:CB$87,'Fórmula'!F31,11))+(('Fórmula'!I31)/('Fórmula'!C31+'Fórmula'!E31+'Fórmula'!G31+'Fórmula'!I31+'Fórmula'!K31))*(INDEX(properties!A$1:CB$87,'Fórmula'!H31,11))+(('Fórmula'!K31)/('Fórmula'!C31+'Fórmula'!E31+'Fórmula'!G31+'Fórmula'!I31+'Fórmula'!K31))*(INDEX(properties!A$1:CB$87,'Fórmula'!J31,11))</f>
        <v>2</v>
      </c>
      <c r="AM31" s="107">
        <f t="array" ref="AM31">'Fórmula'!C31*(INDEX(properties!A$1:CB$87,'Fórmula'!B31,11))+'Fórmula'!E31*(INDEX(properties!A$1:CB$87,'Fórmula'!D31,11))+'Fórmula'!G31*(INDEX(properties!A$1:CB$87,'Fórmula'!F31,11))+'Fórmula'!I31*(INDEX(properties!A$1:CB$87,'Fórmula'!H31,11))+'Fórmula'!K31*(INDEX(properties!A$1:CB$87,'Fórmula'!J31,11))</f>
        <v>26</v>
      </c>
      <c r="AN31" s="107">
        <f t="array" ref="AN31">VARP(IF(INDEX(properties!A$1:CB$87,'Fórmula'!B31,11)&lt;&gt;"",INDEX(properties!A$1:CB$87,'Fórmula'!B31,11)),IF(INDEX(properties!A$1:CB$87,'Fórmula'!D31,11)&lt;&gt;"",INDEX(properties!A$1:CB$87,'Fórmula'!D31,11)),IF(INDEX(properties!A$1:CB$87,'Fórmula'!F31,11)&lt;&gt;"",INDEX(properties!A$1:CB$87,'Fórmula'!F31,11)),IF(INDEX(properties!A$1:CB$87,'Fórmula'!H31,11)&lt;&gt;"",INDEX(properties!A$1:CB$87,'Fórmula'!H31,11)),IF(INDEX(properties!A$1:CB$87,'Fórmula'!J31,11)&lt;&gt;"",INDEX(properties!A$1:CB$87,'Fórmula'!J31,11)))</f>
        <v>0.64</v>
      </c>
      <c r="AO31" s="107">
        <f t="array" ref="AO31">MAX(INDEX(properties!A$1:CB$87,'Fórmula'!B31,11),INDEX(properties!A$1:CB$87,'Fórmula'!D31,11),INDEX(properties!A$1:CB$87,'Fórmula'!F31,11),INDEX(properties!A$1:CB$87,'Fórmula'!H31,11),INDEX(properties!A$1:CB$87,'Fórmula'!J31,11))</f>
        <v>2</v>
      </c>
      <c r="AP31" s="107">
        <f t="array" ref="AP31">MIN(IF('Fórmula'!B31=87,10^6,INDEX(properties!A$1:CB$87,'Fórmula'!B31,11)),IF(('Fórmula'!D31)=87,10^6,INDEX(properties!A$1:CB$87,'Fórmula'!D31,11)),IF(('Fórmula'!F31)=87,10^6,INDEX(properties!A$1:CB$87,'Fórmula'!F31,11)),IF(('Fórmula'!H31)=87,10^6,INDEX(properties!A$1:CB$87,'Fórmula'!H31,11)),IF('Fórmula'!J31=87,10^6,INDEX(properties!A$1:CB$87,'Fórmula'!J31,11)))</f>
        <v>2</v>
      </c>
      <c r="AQ31" s="107">
        <f t="shared" si="7"/>
        <v>0</v>
      </c>
      <c r="AR31" s="108">
        <f t="array" ref="AR31">(('Fórmula'!C31)/('Fórmula'!C31+'Fórmula'!E31+'Fórmula'!G31+'Fórmula'!I31+'Fórmula'!K31))*(INDEX(properties!A$1:CB$87,'Fórmula'!B31,12))+(('Fórmula'!E31)/('Fórmula'!C31+'Fórmula'!E31+'Fórmula'!G31+'Fórmula'!I31+'Fórmula'!K31))*(INDEX(properties!A$1:CB$87,'Fórmula'!D31,12))+(('Fórmula'!G31)/('Fórmula'!C31+'Fórmula'!E31+'Fórmula'!G31+'Fórmula'!I31+'Fórmula'!K31))*(INDEX(properties!A$1:CB$87,'Fórmula'!F31,12))+(('Fórmula'!I31)/('Fórmula'!C31+'Fórmula'!E31+'Fórmula'!G31+'Fórmula'!I31+'Fórmula'!K31))*(INDEX(properties!A$1:CB$87,'Fórmula'!H31,12))+(('Fórmula'!K31)/('Fórmula'!C31+'Fórmula'!E31+'Fórmula'!G31+'Fórmula'!I31+'Fórmula'!K31))*(INDEX(properties!A$1:CB$87,'Fórmula'!J31,12))</f>
        <v>2.923076923</v>
      </c>
      <c r="AS31" s="108">
        <f t="array" ref="AS31">'Fórmula'!C31*(INDEX(properties!A$1:CB$87,'Fórmula'!B31,12))+'Fórmula'!E31*(INDEX(properties!A$1:CB$87,'Fórmula'!D31,12))+'Fórmula'!G31*(INDEX(properties!A$1:CB$87,'Fórmula'!F31,12))+'Fórmula'!I31*(INDEX(properties!A$1:CB$87,'Fórmula'!H31,12))+'Fórmula'!K31*(INDEX(properties!A$1:CB$87,'Fórmula'!J31,12))</f>
        <v>38</v>
      </c>
      <c r="AT31" s="108">
        <f t="array" ref="AT31">VARP(IF(INDEX(properties!A$1:CB$87,'Fórmula'!B31,12)&lt;&gt;"",INDEX(properties!A$1:CB$87,'Fórmula'!B31,12)),IF(INDEX(properties!A$1:CB$87,'Fórmula'!D31,12)&lt;&gt;"",INDEX(properties!A$1:CB$87,'Fórmula'!D31,12)),IF(INDEX(properties!A$1:CB$87,'Fórmula'!F31,12)&lt;&gt;"",INDEX(properties!A$1:CB$87,'Fórmula'!F31,12)),IF(INDEX(properties!A$1:CB$87,'Fórmula'!H31,12)&lt;&gt;"",INDEX(properties!A$1:CB$87,'Fórmula'!H31,12)),IF(INDEX(properties!A$1:CB$87,'Fórmula'!J31,12)&lt;&gt;"",INDEX(properties!A$1:CB$87,'Fórmula'!J31,12)))</f>
        <v>2.24</v>
      </c>
      <c r="AU31" s="108">
        <f t="array" ref="AU31">MAX(INDEX(properties!A$1:CB$87,'Fórmula'!B31,12),INDEX(properties!A$1:CB$87,'Fórmula'!D31,12),INDEX(properties!A$1:CB$87,'Fórmula'!F31,12),INDEX(properties!A$1:CB$87,'Fórmula'!H31,12),INDEX(properties!A$1:CB$87,'Fórmula'!J31,12))</f>
        <v>4</v>
      </c>
      <c r="AV31" s="108">
        <f t="array" ref="AV31">MIN(IF('Fórmula'!B31=87,10^6,INDEX(properties!A$1:CB$87,'Fórmula'!B31,12)),IF(('Fórmula'!D31)=87,10^6,INDEX(properties!A$1:CB$87,'Fórmula'!D31,12)),IF(('Fórmula'!F31)=87,10^6,INDEX(properties!A$1:CB$87,'Fórmula'!F31,12)),IF(('Fórmula'!H31)=87,10^6,INDEX(properties!A$1:CB$87,'Fórmula'!H31,12)),IF('Fórmula'!J31=87,10^6,INDEX(properties!A$1:CB$87,'Fórmula'!J31,12)))</f>
        <v>0</v>
      </c>
      <c r="AW31" s="108">
        <f t="shared" si="8"/>
        <v>4</v>
      </c>
      <c r="AX31" s="109">
        <f t="array" ref="AX31">(('Fórmula'!C31)/('Fórmula'!C31+'Fórmula'!E31+'Fórmula'!G31+'Fórmula'!I31+'Fórmula'!K31))*(INDEX(properties!A$1:CB$87,'Fórmula'!B31,13))+(('Fórmula'!E31)/('Fórmula'!C31+'Fórmula'!E31+'Fórmula'!G31+'Fórmula'!I31+'Fórmula'!K31))*(INDEX(properties!A$1:CB$87,'Fórmula'!D31,13))+(('Fórmula'!G31)/('Fórmula'!C31+'Fórmula'!E31+'Fórmula'!G31+'Fórmula'!I31+'Fórmula'!K31))*(INDEX(properties!A$1:CB$87,'Fórmula'!F31,13))+(('Fórmula'!I31)/('Fórmula'!C31+'Fórmula'!E31+'Fórmula'!G31+'Fórmula'!I31+'Fórmula'!K31))*(INDEX(properties!A$1:CB$87,'Fórmula'!H31,13))+(('Fórmula'!K31)/('Fórmula'!C31+'Fórmula'!E31+'Fórmula'!G31+'Fórmula'!I31+'Fórmula'!K31))*(INDEX(properties!A$1:CB$87,'Fórmula'!J31,13))</f>
        <v>0</v>
      </c>
      <c r="AY31" s="109">
        <f t="array" ref="AY31">'Fórmula'!C31*(INDEX(properties!A$1:CB$87,'Fórmula'!B31,13))+'Fórmula'!E31*(INDEX(properties!A$1:CB$87,'Fórmula'!D31,13))+'Fórmula'!G31*(INDEX(properties!A$1:CB$87,'Fórmula'!F31,13))+'Fórmula'!I31*(INDEX(properties!A$1:CB$87,'Fórmula'!H31,13))+'Fórmula'!K31*(INDEX(properties!A$1:CB$87,'Fórmula'!J31,13))</f>
        <v>0</v>
      </c>
      <c r="AZ31" s="109">
        <f t="array" ref="AZ31">VARP(IF(INDEX(properties!A$1:CB$87,'Fórmula'!B31,13)&lt;&gt;"",INDEX(properties!A$1:CB$87,'Fórmula'!B31,13)),IF(INDEX(properties!A$1:CB$87,'Fórmula'!D31,13)&lt;&gt;"",INDEX(properties!A$1:CB$87,'Fórmula'!D31,13)),IF(INDEX(properties!A$1:CB$87,'Fórmula'!F31,13)&lt;&gt;"",INDEX(properties!A$1:CB$87,'Fórmula'!F31,13)),IF(INDEX(properties!A$1:CB$87,'Fórmula'!H31,13)&lt;&gt;"",INDEX(properties!A$1:CB$87,'Fórmula'!H31,13)),IF(INDEX(properties!A$1:CB$87,'Fórmula'!J31,13)&lt;&gt;"",INDEX(properties!A$1:CB$87,'Fórmula'!J31,13)))</f>
        <v>0</v>
      </c>
      <c r="BA31" s="109">
        <f t="array" ref="BA31">MAX(INDEX(properties!A$1:CB$87,'Fórmula'!B31,13),INDEX(properties!A$1:CB$87,'Fórmula'!D31,13),INDEX(properties!A$1:CB$87,'Fórmula'!F31,13),INDEX(properties!A$1:CB$87,'Fórmula'!H31,13),INDEX(properties!A$1:CB$87,'Fórmula'!J31,13))</f>
        <v>0</v>
      </c>
      <c r="BB31" s="109">
        <f t="array" ref="BB31">MIN(IF('Fórmula'!B31=87,10^6,INDEX(properties!A$1:CB$87,'Fórmula'!B31,13)),IF(('Fórmula'!D31)=87,10^6,INDEX(properties!A$1:CB$87,'Fórmula'!D31,13)),IF(('Fórmula'!F31)=87,10^6,INDEX(properties!A$1:CB$87,'Fórmula'!F31,13)),IF(('Fórmula'!H31)=87,10^6,INDEX(properties!A$1:CB$87,'Fórmula'!H31,13)),IF('Fórmula'!J31=87,10^6,INDEX(properties!A$1:CB$87,'Fórmula'!J31,13)))</f>
        <v>0</v>
      </c>
      <c r="BC31" s="109">
        <f t="shared" si="9"/>
        <v>0</v>
      </c>
      <c r="BD31" s="110">
        <f t="array" ref="BD31">(('Fórmula'!C31)/('Fórmula'!C31+'Fórmula'!E31+'Fórmula'!G31+'Fórmula'!I31+'Fórmula'!K31))*(INDEX(properties!A$1:CB$87,'Fórmula'!B31,14))+(('Fórmula'!E31)/('Fórmula'!C31+'Fórmula'!E31+'Fórmula'!G31+'Fórmula'!I31+'Fórmula'!K31))*(INDEX(properties!A$1:CB$87,'Fórmula'!D31,14))+(('Fórmula'!G31)/('Fórmula'!C31+'Fórmula'!E31+'Fórmula'!G31+'Fórmula'!I31+'Fórmula'!K31))*(INDEX(properties!A$1:CB$87,'Fórmula'!F31,14))+(('Fórmula'!I31)/('Fórmula'!C31+'Fórmula'!E31+'Fórmula'!G31+'Fórmula'!I31+'Fórmula'!K31))*(INDEX(properties!A$1:CB$87,'Fórmula'!H31,14))+(('Fórmula'!K31)/('Fórmula'!C31+'Fórmula'!E31+'Fórmula'!G31+'Fórmula'!I31+'Fórmula'!K31))*(INDEX(properties!A$1:CB$87,'Fórmula'!J31,14))</f>
        <v>0</v>
      </c>
      <c r="BE31" s="110">
        <f t="array" ref="BE31">'Fórmula'!C31*(INDEX(properties!A$1:CB$87,'Fórmula'!B31,14))+'Fórmula'!E31*(INDEX(properties!A$1:CB$87,'Fórmula'!D31,14))+'Fórmula'!G31*(INDEX(properties!A$1:CB$87,'Fórmula'!F31,14))+'Fórmula'!I31*(INDEX(properties!A$1:CB$87,'Fórmula'!H31,14))+'Fórmula'!K31*(INDEX(properties!A$1:CB$87,'Fórmula'!J31,14))</f>
        <v>0</v>
      </c>
      <c r="BF31" s="110">
        <f t="array" ref="BF31">VARP(IF(INDEX(properties!A$1:CB$87,'Fórmula'!B31,14)&lt;&gt;"",INDEX(properties!A$1:CB$87,'Fórmula'!B31,14)),IF(INDEX(properties!A$1:CB$87,'Fórmula'!D31,14)&lt;&gt;"",INDEX(properties!A$1:CB$87,'Fórmula'!D31,14)),IF(INDEX(properties!A$1:CB$87,'Fórmula'!F31,14)&lt;&gt;"",INDEX(properties!A$1:CB$87,'Fórmula'!F31,14)),IF(INDEX(properties!A$1:CB$87,'Fórmula'!H31,14)&lt;&gt;"",INDEX(properties!A$1:CB$87,'Fórmula'!H31,14)),IF(INDEX(properties!A$1:CB$87,'Fórmula'!J31,14)&lt;&gt;"",INDEX(properties!A$1:CB$87,'Fórmula'!J31,14)))</f>
        <v>0</v>
      </c>
      <c r="BG31" s="110">
        <f t="array" ref="BG31">MAX(INDEX(properties!A$1:CB$87,'Fórmula'!B31,14),INDEX(properties!A$1:CB$87,'Fórmula'!D31,14),INDEX(properties!A$1:CB$87,'Fórmula'!F31,14),INDEX(properties!A$1:CB$87,'Fórmula'!H31,14),INDEX(properties!A$1:CB$87,'Fórmula'!J31,14))</f>
        <v>0</v>
      </c>
      <c r="BH31" s="110">
        <f t="array" ref="BH31">MIN(IF('Fórmula'!B31=87,10^6,INDEX(properties!A$1:CB$87,'Fórmula'!B31,14)),IF(('Fórmula'!D31)=87,10^6,INDEX(properties!A$1:CB$87,'Fórmula'!D31,14)),IF(('Fórmula'!F31)=87,10^6,INDEX(properties!A$1:CB$87,'Fórmula'!F31,14)),IF(('Fórmula'!H31)=87,10^6,INDEX(properties!A$1:CB$87,'Fórmula'!H31,14)),IF('Fórmula'!J31=87,10^6,INDEX(properties!A$1:CB$87,'Fórmula'!J31,14)))</f>
        <v>0</v>
      </c>
      <c r="BI31" s="110">
        <f t="shared" si="10"/>
        <v>0</v>
      </c>
      <c r="BJ31" s="111">
        <f t="array" ref="BJ31">(('Fórmula'!C31)/('Fórmula'!C31+'Fórmula'!E31+'Fórmula'!G31+'Fórmula'!I31+'Fórmula'!K31))*(INDEX(properties!A$1:CB$87,'Fórmula'!B31,19))+(('Fórmula'!E31)/('Fórmula'!C31+'Fórmula'!E31+'Fórmula'!G31+'Fórmula'!I31+'Fórmula'!K31))*(INDEX(properties!A$1:CB$87,'Fórmula'!D31,19))+(('Fórmula'!G31)/('Fórmula'!C31+'Fórmula'!E31+'Fórmula'!G31+'Fórmula'!I31+'Fórmula'!K31))*(INDEX(properties!A$1:CB$87,'Fórmula'!F31,19))+(('Fórmula'!I31)/('Fórmula'!C31+'Fórmula'!E31+'Fórmula'!G31+'Fórmula'!I31+'Fórmula'!K31))*(INDEX(properties!A$1:CB$87,'Fórmula'!H31,19))+(('Fórmula'!K31)/('Fórmula'!C31+'Fórmula'!E31+'Fórmula'!G31+'Fórmula'!I31+'Fórmula'!K31))*(INDEX(properties!A$1:CB$87,'Fórmula'!J31,19))</f>
        <v>4.923076923</v>
      </c>
      <c r="BK31" s="111">
        <f t="array" ref="BK31">'Fórmula'!C31*(INDEX(properties!A$1:CB$87,'Fórmula'!B31,19))+'Fórmula'!E31*(INDEX(properties!A$1:CB$87,'Fórmula'!D31,19))+'Fórmula'!G31*(INDEX(properties!A$1:CB$87,'Fórmula'!F31,19))+'Fórmula'!I31*(INDEX(properties!A$1:CB$87,'Fórmula'!H31,19))+'Fórmula'!K31*(INDEX(properties!A$1:CB$87,'Fórmula'!J31,19))</f>
        <v>64</v>
      </c>
      <c r="BL31" s="111">
        <f t="array" ref="BL31">VARP(IF(INDEX(properties!A$1:CB$87,'Fórmula'!B31,19)&lt;&gt;"",INDEX(properties!A$1:CB$87,'Fórmula'!B31,19)),IF(INDEX(properties!A$1:CB$87,'Fórmula'!D31,19)&lt;&gt;"",INDEX(properties!A$1:CB$87,'Fórmula'!D31,19)),IF(INDEX(properties!A$1:CB$87,'Fórmula'!F31,19)&lt;&gt;"",INDEX(properties!A$1:CB$87,'Fórmula'!F31,19)),IF(INDEX(properties!A$1:CB$87,'Fórmula'!H31,19)&lt;&gt;"",INDEX(properties!A$1:CB$87,'Fórmula'!H31,19)),IF(INDEX(properties!A$1:CB$87,'Fórmula'!J31,19)&lt;&gt;"",INDEX(properties!A$1:CB$87,'Fórmula'!J31,19)))</f>
        <v>4</v>
      </c>
      <c r="BM31" s="111">
        <f t="array" ref="BM31">MAX(INDEX(properties!A$1:CB$87,'Fórmula'!B31,19),INDEX(properties!A$1:CB$87,'Fórmula'!D31,19),INDEX(properties!A$1:CB$87,'Fórmula'!F31,19),INDEX(properties!A$1:CB$87,'Fórmula'!H31,19),INDEX(properties!A$1:CB$87,'Fórmula'!J31,19))</f>
        <v>6</v>
      </c>
      <c r="BN31" s="111">
        <f t="array" ref="BN31">MIN(IF(INDEX(properties!A$1:CB$87,'Fórmula'!B31,19)=0,10^6,INDEX(properties!A$1:CB$87,'Fórmula'!B31,19)),IF(INDEX(properties!A$1:CB$87,'Fórmula'!D31,19)=0,10^6,INDEX(properties!A$1:CB$87,'Fórmula'!D31,19)),IF(INDEX(properties!A$1:CB$87,'Fórmula'!F31,19)=0,10^6,INDEX(properties!A$1:CB$87,'Fórmula'!F31,19)),IF(INDEX(properties!A$1:CB$87,'Fórmula'!H31,19)=0,10^6,INDEX(properties!A$1:CB$87,'Fórmula'!H31,19)),IF(INDEX(properties!A$1:CB$87,'Fórmula'!J31,19)=0,10^6,INDEX(properties!A$1:CB$87,'Fórmula'!J31,19)))</f>
        <v>2</v>
      </c>
      <c r="BO31" s="111">
        <f t="shared" si="11"/>
        <v>4</v>
      </c>
      <c r="BP31" s="112">
        <f t="array" ref="BP31">(('Fórmula'!C31)/('Fórmula'!C31+'Fórmula'!E31+'Fórmula'!G31+'Fórmula'!I31+'Fórmula'!K31))*(INDEX(properties!A$1:CB$87,'Fórmula'!B31,20))+(('Fórmula'!E31)/('Fórmula'!C31+'Fórmula'!E31+'Fórmula'!G31+'Fórmula'!I31+'Fórmula'!K31))*(INDEX(properties!A$1:CB$87,'Fórmula'!D31,20))+(('Fórmula'!G31)/('Fórmula'!C31+'Fórmula'!E31+'Fórmula'!G31+'Fórmula'!I31+'Fórmula'!K31))*(INDEX(properties!A$1:CB$87,'Fórmula'!F31,20))+(('Fórmula'!I31)/('Fórmula'!C31+'Fórmula'!E31+'Fórmula'!G31+'Fórmula'!I31+'Fórmula'!K31))*(INDEX(properties!A$1:CB$87,'Fórmula'!H31,20))+(('Fórmula'!K31)/('Fórmula'!C31+'Fórmula'!E31+'Fórmula'!G31+'Fórmula'!I31+'Fórmula'!K31))*(INDEX(properties!A$1:CB$87,'Fórmula'!J31,20))</f>
        <v>4.923076923</v>
      </c>
      <c r="BQ31" s="112">
        <f t="array" ref="BQ31">'Fórmula'!C31*(INDEX(properties!A$1:CB$87,'Fórmula'!B31,20))+'Fórmula'!E31*(INDEX(properties!A$1:CB$87,'Fórmula'!D31,20))+'Fórmula'!G31*(INDEX(properties!A$1:CB$87,'Fórmula'!F31,20))+'Fórmula'!I31*(INDEX(properties!A$1:CB$87,'Fórmula'!H31,20))+'Fórmula'!K31*(INDEX(properties!A$1:CB$87,'Fórmula'!J31,20))</f>
        <v>64</v>
      </c>
      <c r="BR31" s="112">
        <f t="array" ref="BR31">VARP(IF(INDEX(properties!A$1:CB$87,'Fórmula'!B31,20)&lt;&gt;"",INDEX(properties!A$1:CB$87,'Fórmula'!B31,20)),IF(INDEX(properties!A$1:CB$87,'Fórmula'!D31,20)&lt;&gt;"",INDEX(properties!A$1:CB$87,'Fórmula'!D31,20)),IF(INDEX(properties!A$1:CB$87,'Fórmula'!F31,20)&lt;&gt;"",INDEX(properties!A$1:CB$87,'Fórmula'!F31,20)),IF(INDEX(properties!A$1:CB$87,'Fórmula'!H31,20)&lt;&gt;"",INDEX(properties!A$1:CB$87,'Fórmula'!H31,20)),IF(INDEX(properties!A$1:CB$87,'Fórmula'!J31,20)&lt;&gt;"",INDEX(properties!A$1:CB$87,'Fórmula'!J31,20)))</f>
        <v>4</v>
      </c>
      <c r="BS31" s="112">
        <f t="array" ref="BS31">MAX(INDEX(properties!A$1:CB$87,'Fórmula'!B31,20),INDEX(properties!A$1:CB$87,'Fórmula'!D31,20),INDEX(properties!A$1:CB$87,'Fórmula'!F31,20),INDEX(properties!A$1:CB$87,'Fórmula'!H31,20),INDEX(properties!A$1:CB$87,'Fórmula'!J31,20))</f>
        <v>6</v>
      </c>
      <c r="BT31" s="112">
        <f t="array" ref="BT31">MIN(IF(INDEX(properties!A$1:CB$87,'Fórmula'!B31,20)=0,10^6,INDEX(properties!A$1:CB$87,'Fórmula'!B31,20)),IF(INDEX(properties!A$1:CB$87,'Fórmula'!D31,20)=0,10^6,INDEX(properties!A$1:CB$87,'Fórmula'!D31,20)),IF(INDEX(properties!A$1:CB$87,'Fórmula'!F31,20)=0,10^6,INDEX(properties!A$1:CB$87,'Fórmula'!F31,20)),IF(INDEX(properties!A$1:CB$87,'Fórmula'!H31,20)=0,10^6,INDEX(properties!A$1:CB$87,'Fórmula'!H31,20)),IF(INDEX(properties!A$1:CB$87,'Fórmula'!J31,20)=0,10^6,INDEX(properties!A$1:CB$87,'Fórmula'!J31,20)))</f>
        <v>2</v>
      </c>
      <c r="BU31" s="112">
        <f t="shared" si="12"/>
        <v>4</v>
      </c>
      <c r="BV31" s="113">
        <f t="array" ref="BV31">(('Fórmula'!C31)/('Fórmula'!C31+'Fórmula'!E31+'Fórmula'!G31+'Fórmula'!I31+'Fórmula'!K31))*(INDEX(properties!A$1:CB$87,'Fórmula'!B31,21))+(('Fórmula'!E31)/('Fórmula'!C31+'Fórmula'!E31+'Fórmula'!G31+'Fórmula'!I31+'Fórmula'!K31))*(INDEX(properties!A$1:CB$87,'Fórmula'!D31,21))+(('Fórmula'!G31)/('Fórmula'!C31+'Fórmula'!E31+'Fórmula'!G31+'Fórmula'!I31+'Fórmula'!K31))*(INDEX(properties!A$1:CB$87,'Fórmula'!F31,21))+(('Fórmula'!I31)/('Fórmula'!C31+'Fórmula'!E31+'Fórmula'!G31+'Fórmula'!I31+'Fórmula'!K31))*(INDEX(properties!A$1:CB$87,'Fórmula'!H31,21))+(('Fórmula'!K31)/('Fórmula'!C31+'Fórmula'!E31+'Fórmula'!G31+'Fórmula'!I31+'Fórmula'!K31))*(INDEX(properties!A$1:CB$87,'Fórmula'!J31,21))</f>
        <v>4.923076923</v>
      </c>
      <c r="BW31" s="113">
        <f t="array" ref="BW31">'Fórmula'!C31*(INDEX(properties!A$1:CB$87,'Fórmula'!B31,21))+'Fórmula'!E31*(INDEX(properties!A$1:CB$87,'Fórmula'!D31,21))+'Fórmula'!G31*(INDEX(properties!A$1:CB$87,'Fórmula'!F31,21))+'Fórmula'!I31*(INDEX(properties!A$1:CB$87,'Fórmula'!H31,21))+'Fórmula'!K31*(INDEX(properties!A$1:CB$87,'Fórmula'!J31,21))</f>
        <v>64</v>
      </c>
      <c r="BX31" s="113">
        <f t="array" ref="BX31">VARP(IF(INDEX(properties!A$1:CB$87,'Fórmula'!B31,21)&lt;&gt;"",INDEX(properties!A$1:CB$87,'Fórmula'!B31,21)),IF(INDEX(properties!A$1:CB$87,'Fórmula'!D31,21)&lt;&gt;"",INDEX(properties!A$1:CB$87,'Fórmula'!D31,21)),IF(INDEX(properties!A$1:CB$87,'Fórmula'!F31,21)&lt;&gt;"",INDEX(properties!A$1:CB$87,'Fórmula'!F31,21)),IF(INDEX(properties!A$1:CB$87,'Fórmula'!H31,21)&lt;&gt;"",INDEX(properties!A$1:CB$87,'Fórmula'!H31,21)),IF(INDEX(properties!A$1:CB$87,'Fórmula'!J31,21)&lt;&gt;"",INDEX(properties!A$1:CB$87,'Fórmula'!J31,21)))</f>
        <v>4</v>
      </c>
      <c r="BY31" s="113">
        <f t="array" ref="BY31">MAX(INDEX(properties!A$1:CB$87,'Fórmula'!B31,21),INDEX(properties!A$1:CB$87,'Fórmula'!D31,21),INDEX(properties!A$1:CB$87,'Fórmula'!F31,21),INDEX(properties!A$1:CB$87,'Fórmula'!H31,21),INDEX(properties!A$1:CB$87,'Fórmula'!J31,21))</f>
        <v>6</v>
      </c>
      <c r="BZ31" s="113">
        <f t="array" ref="BZ31">MIN(IF(INDEX(properties!A$1:CB$87,'Fórmula'!B31,21)=0,10^6,INDEX(properties!A$1:CB$87,'Fórmula'!B31,21)),IF(INDEX(properties!A$1:CB$87,'Fórmula'!D31,21)=0,10^6,INDEX(properties!A$1:CB$87,'Fórmula'!D31,21)),IF(INDEX(properties!A$1:CB$87,'Fórmula'!F31,21)=0,10^6,INDEX(properties!A$1:CB$87,'Fórmula'!F31,21)),IF(INDEX(properties!A$1:CB$87,'Fórmula'!H31,21)=0,10^6,INDEX(properties!A$1:CB$87,'Fórmula'!H31,21)),IF(INDEX(properties!A$1:CB$87,'Fórmula'!J31,21)=0,10^6,INDEX(properties!A$1:CB$87,'Fórmula'!J31,21)))</f>
        <v>2</v>
      </c>
      <c r="CA31" s="113">
        <f t="shared" si="13"/>
        <v>4</v>
      </c>
      <c r="CB31" s="114">
        <f t="array" ref="CB31">(('Fórmula'!C31)/('Fórmula'!C31+'Fórmula'!E31+'Fórmula'!G31+'Fórmula'!I31+'Fórmula'!K31))*(INDEX(properties!A$1:CB$87,'Fórmula'!B31,23))+(('Fórmula'!E31)/('Fórmula'!C31+'Fórmula'!E31+'Fórmula'!G31+'Fórmula'!I31+'Fórmula'!K31))*(INDEX(properties!A$1:CB$87,'Fórmula'!D31,23))+(('Fórmula'!G31)/('Fórmula'!C31+'Fórmula'!E31+'Fórmula'!G31+'Fórmula'!I31+'Fórmula'!K31))*(INDEX(properties!A$1:CB$87,'Fórmula'!F31,23))+(('Fórmula'!I31)/('Fórmula'!C31+'Fórmula'!E31+'Fórmula'!G31+'Fórmula'!I31+'Fórmula'!K31))*(INDEX(properties!A$1:CB$87,'Fórmula'!H31,23))+(('Fórmula'!K31)/('Fórmula'!C31+'Fórmula'!E31+'Fórmula'!G31+'Fórmula'!I31+'Fórmula'!K31))*(INDEX(properties!A$1:CB$87,'Fórmula'!J31,23))</f>
        <v>1.230769231</v>
      </c>
      <c r="CC31" s="114">
        <f t="array" ref="CC31">'Fórmula'!C31*(INDEX(properties!A$1:CB$87,'Fórmula'!B31,23))+'Fórmula'!E31*(INDEX(properties!A$1:CB$87,'Fórmula'!D31,23))+'Fórmula'!G31*(INDEX(properties!A$1:CB$87,'Fórmula'!F31,23))+'Fórmula'!I31*(INDEX(properties!A$1:CB$87,'Fórmula'!H31,23))+'Fórmula'!K31*(INDEX(properties!A$1:CB$87,'Fórmula'!J31,23))</f>
        <v>16</v>
      </c>
      <c r="CD31" s="114">
        <f t="array" ref="CD31">VARP(IF(INDEX(properties!A$1:CB$87,'Fórmula'!B31,23)&lt;&gt;"",INDEX(properties!A$1:CB$87,'Fórmula'!B31,23)),IF(INDEX(properties!A$1:CB$87,'Fórmula'!D31,23)&lt;&gt;"",INDEX(properties!A$1:CB$87,'Fórmula'!D31,23)),IF(INDEX(properties!A$1:CB$87,'Fórmula'!F31,23)&lt;&gt;"",INDEX(properties!A$1:CB$87,'Fórmula'!F31,23)),IF(INDEX(properties!A$1:CB$87,'Fórmula'!H31,23)&lt;&gt;"",INDEX(properties!A$1:CB$87,'Fórmula'!H31,23)),IF(INDEX(properties!A$1:CB$87,'Fórmula'!J31,23)&lt;&gt;"",INDEX(properties!A$1:CB$87,'Fórmula'!J31,23)))</f>
        <v>2.56</v>
      </c>
      <c r="CE31" s="114">
        <f t="array" ref="CE31">MAX(INDEX(properties!A$1:CB$87,'Fórmula'!B31,23),INDEX(properties!A$1:CB$87,'Fórmula'!D31,23),INDEX(properties!A$1:CB$87,'Fórmula'!F31,23),INDEX(properties!A$1:CB$87,'Fórmula'!H31,23),INDEX(properties!A$1:CB$87,'Fórmula'!J31,23))</f>
        <v>4</v>
      </c>
      <c r="CF31" s="114">
        <f t="array" ref="CF31">MIN(IF('Fórmula'!B31=87,10^6,INDEX(properties!A$1:CB$87,'Fórmula'!B31,23)),IF(('Fórmula'!D31)=87,10^6,INDEX(properties!A$1:CB$87,'Fórmula'!D31,23)),IF(('Fórmula'!F31)=87,10^6,INDEX(properties!A$1:CB$87,'Fórmula'!F31,23)),IF(('Fórmula'!H31)=87,10^6,INDEX(properties!A$1:CB$87,'Fórmula'!H31,23)),IF('Fórmula'!J31=87,10^6,INDEX(properties!A$1:CB$87,'Fórmula'!J31,23)))</f>
        <v>0</v>
      </c>
      <c r="CG31" s="114">
        <f t="shared" si="14"/>
        <v>4</v>
      </c>
      <c r="CH31" s="115">
        <f t="array" ref="CH31">(('Fórmula'!C31)/('Fórmula'!C31+'Fórmula'!E31+'Fórmula'!G31+'Fórmula'!I31+'Fórmula'!K31))*(INDEX(properties!A$1:CB$87,'Fórmula'!B31,26))+(('Fórmula'!E31)/('Fórmula'!C31+'Fórmula'!E31+'Fórmula'!G31+'Fórmula'!I31+'Fórmula'!K31))*(INDEX(properties!A$1:CB$87,'Fórmula'!D31,26))+(('Fórmula'!G31)/('Fórmula'!C31+'Fórmula'!E31+'Fórmula'!G31+'Fórmula'!I31+'Fórmula'!K31))*(INDEX(properties!A$1:CB$87,'Fórmula'!F31,26))+(('Fórmula'!I31)/('Fórmula'!C31+'Fórmula'!E31+'Fórmula'!G31+'Fórmula'!I31+'Fórmula'!K31))*(INDEX(properties!A$1:CB$87,'Fórmula'!H31,26))+(('Fórmula'!K31)/('Fórmula'!C31+'Fórmula'!E31+'Fórmula'!G31+'Fórmula'!I31+'Fórmula'!K31))*(INDEX(properties!A$1:CB$87,'Fórmula'!J31,26))</f>
        <v>10.99343846</v>
      </c>
      <c r="CI31" s="115">
        <f t="array" ref="CI31">'Fórmula'!C31*(INDEX(properties!A$1:CB$87,'Fórmula'!B31,26))+'Fórmula'!E31*(INDEX(properties!A$1:CB$87,'Fórmula'!D31,26))+'Fórmula'!G31*(INDEX(properties!A$1:CB$87,'Fórmula'!F31,26))+'Fórmula'!I31*(INDEX(properties!A$1:CB$87,'Fórmula'!H31,26))+'Fórmula'!K31*(INDEX(properties!A$1:CB$87,'Fórmula'!J31,26))</f>
        <v>142.9147</v>
      </c>
      <c r="CJ31" s="115">
        <f t="array" ref="CJ31">VARP(IF(INDEX(properties!A$1:CB$87,'Fórmula'!B31,26)&lt;&gt;"",INDEX(properties!A$1:CB$87,'Fórmula'!B31,26)),IF(INDEX(properties!A$1:CB$87,'Fórmula'!D31,26)&lt;&gt;"",INDEX(properties!A$1:CB$87,'Fórmula'!D31,26)),IF(INDEX(properties!A$1:CB$87,'Fórmula'!F31,26)&lt;&gt;"",INDEX(properties!A$1:CB$87,'Fórmula'!F31,26)),IF(INDEX(properties!A$1:CB$87,'Fórmula'!H31,26)&lt;&gt;"",INDEX(properties!A$1:CB$87,'Fórmula'!H31,26)),IF(INDEX(properties!A$1:CB$87,'Fórmula'!J31,26)&lt;&gt;"",INDEX(properties!A$1:CB$87,'Fórmula'!J31,26)))</f>
        <v>19.27547162</v>
      </c>
      <c r="CK31" s="116">
        <f t="array" ref="CK31">MAX(INDEX(properties!A$1:CB$87,'Fórmula'!B31,26),INDEX(properties!A$1:CB$87,'Fórmula'!D31,26),INDEX(properties!A$1:CB$87,'Fórmula'!F31,26),INDEX(properties!A$1:CB$87,'Fórmula'!H31,26),INDEX(properties!A$1:CB$87,'Fórmula'!J31,26))</f>
        <v>13.6181</v>
      </c>
      <c r="CL31" s="116">
        <f t="array" ref="CL31">MIN(IF(INDEX(properties!A$1:CB$87,'Fórmula'!B31,26)=0,10^6,INDEX(properties!A$1:CB$87,'Fórmula'!B31,26)),IF(INDEX(properties!A$1:CB$87,'Fórmula'!D31,26)=0,10^6,INDEX(properties!A$1:CB$87,'Fórmula'!D31,26)),IF(INDEX(properties!A$1:CB$87,'Fórmula'!F31,26)=0,10^6,INDEX(properties!A$1:CB$87,'Fórmula'!F31,26)),IF(INDEX(properties!A$1:CB$87,'Fórmula'!H31,26)=0,10^6,INDEX(properties!A$1:CB$87,'Fórmula'!H31,26)),IF(INDEX(properties!A$1:CB$87,'Fórmula'!J31,26)=0,10^6,INDEX(properties!A$1:CB$87,'Fórmula'!J31,26)))</f>
        <v>5.6949</v>
      </c>
      <c r="CM31" s="115">
        <f t="shared" si="15"/>
        <v>7.9232</v>
      </c>
      <c r="CN31" s="117">
        <f t="array" ref="CN31">(('Fórmula'!C31)/('Fórmula'!C31+'Fórmula'!E31+'Fórmula'!G31+'Fórmula'!I31+'Fórmula'!K31))*(INDEX(properties!A$1:CB$87,'Fórmula'!B31,30))+(('Fórmula'!E31)/('Fórmula'!C31+'Fórmula'!E31+'Fórmula'!G31+'Fórmula'!I31+'Fórmula'!K31))*(INDEX(properties!A$1:CB$87,'Fórmula'!D31,30))+(('Fórmula'!G31)/('Fórmula'!C31+'Fórmula'!E31+'Fórmula'!G31+'Fórmula'!I31+'Fórmula'!K31))*(INDEX(properties!A$1:CB$87,'Fórmula'!F31,30))+(('Fórmula'!I31)/('Fórmula'!C31+'Fórmula'!E31+'Fórmula'!G31+'Fórmula'!I31+'Fórmula'!K31))*(INDEX(properties!A$1:CB$87,'Fórmula'!H31,30))+(('Fórmula'!K31)/('Fórmula'!C31+'Fórmula'!E31+'Fórmula'!G31+'Fórmula'!I31+'Fórmula'!K31))*(INDEX(properties!A$1:CB$87,'Fórmula'!J31,30))</f>
        <v>2.73</v>
      </c>
      <c r="CO31" s="117">
        <f t="array" ref="CO31">'Fórmula'!C31*(INDEX(properties!A$1:CB$87,'Fórmula'!B31,30))+'Fórmula'!E31*(INDEX(properties!A$1:CB$87,'Fórmula'!D31,30))+'Fórmula'!G31*(INDEX(properties!A$1:CB$87,'Fórmula'!F31,30))+'Fórmula'!I31*(INDEX(properties!A$1:CB$87,'Fórmula'!H31,30))+'Fórmula'!K31*(INDEX(properties!A$1:CB$87,'Fórmula'!J31,30))</f>
        <v>35.49</v>
      </c>
      <c r="CP31" s="117">
        <f t="array" ref="CP31">VARP(IF(INDEX(properties!A$1:CB$87,'Fórmula'!B31,30)&lt;&gt;"",INDEX(properties!A$1:CB$87,'Fórmula'!B31,30)),IF(INDEX(properties!A$1:CB$87,'Fórmula'!D31,30)&lt;&gt;"",INDEX(properties!A$1:CB$87,'Fórmula'!D31,30)),IF(INDEX(properties!A$1:CB$87,'Fórmula'!F31,30)&lt;&gt;"",INDEX(properties!A$1:CB$87,'Fórmula'!F31,30)),IF(INDEX(properties!A$1:CB$87,'Fórmula'!H31,30)&lt;&gt;"",INDEX(properties!A$1:CB$87,'Fórmula'!H31,30)),IF(INDEX(properties!A$1:CB$87,'Fórmula'!J31,30)&lt;&gt;"",INDEX(properties!A$1:CB$87,'Fórmula'!J31,30)))</f>
        <v>1.29124</v>
      </c>
      <c r="CQ31" s="117">
        <f t="array" ref="CQ31">MAX(INDEX(properties!A$1:CB$87,'Fórmula'!B31,30),INDEX(properties!A$1:CB$87,'Fórmula'!D31,30),INDEX(properties!A$1:CB$87,'Fórmula'!F31,30),INDEX(properties!A$1:CB$87,'Fórmula'!H31,30),INDEX(properties!A$1:CB$87,'Fórmula'!J31,30))</f>
        <v>3.44</v>
      </c>
      <c r="CR31" s="117">
        <f t="array" ref="CR31">MIN(IF(INDEX(properties!A$1:CB$87,'Fórmula'!B31,30)=0,10^6,INDEX(properties!A$1:CB$87,'Fórmula'!B31,30)),IF(INDEX(properties!A$1:CB$87,'Fórmula'!D31,30)=0,10^6,INDEX(properties!A$1:CB$87,'Fórmula'!D31,30)),IF(INDEX(properties!A$1:CB$87,'Fórmula'!F31,30)=0,10^6,INDEX(properties!A$1:CB$87,'Fórmula'!F31,30)),IF(INDEX(properties!A$1:CB$87,'Fórmula'!H31,30)=0,10^6,INDEX(properties!A$1:CB$87,'Fórmula'!H31,30)),IF(INDEX(properties!A$1:CB$87,'Fórmula'!J31,30)=0,10^6,INDEX(properties!A$1:CB$87,'Fórmula'!J31,30)))</f>
        <v>0.95</v>
      </c>
      <c r="CS31" s="117">
        <f t="shared" si="16"/>
        <v>2.49</v>
      </c>
      <c r="CT31" s="118">
        <f t="array" ref="CT31">(('Fórmula'!C31)/('Fórmula'!C31+'Fórmula'!E31+'Fórmula'!G31+'Fórmula'!I31+'Fórmula'!K31))*(INDEX(properties!A$1:CB$87,'Fórmula'!B31,31))+(('Fórmula'!E31)/('Fórmula'!C31+'Fórmula'!E31+'Fórmula'!G31+'Fórmula'!I31+'Fórmula'!K31))*(INDEX(properties!A$1:CB$87,'Fórmula'!D31,31))+(('Fórmula'!G31)/('Fórmula'!C31+'Fórmula'!E31+'Fórmula'!G31+'Fórmula'!I31+'Fórmula'!K31))*(INDEX(properties!A$1:CB$87,'Fórmula'!F31,31))+(('Fórmula'!I31)/('Fórmula'!C31+'Fórmula'!E31+'Fórmula'!G31+'Fórmula'!I31+'Fórmula'!K31))*(INDEX(properties!A$1:CB$87,'Fórmula'!H31,31))+(('Fórmula'!K31)/('Fórmula'!C31+'Fórmula'!E31+'Fórmula'!G31+'Fórmula'!I31+'Fórmula'!K31))*(INDEX(properties!A$1:CB$87,'Fórmula'!J31,31))</f>
        <v>2.686923077</v>
      </c>
      <c r="CU31" s="118">
        <f t="array" ref="CU31">'Fórmula'!C31*(INDEX(properties!A$1:CB$87,'Fórmula'!B31,31))+'Fórmula'!E31*(INDEX(properties!A$1:CB$87,'Fórmula'!D31,31))+'Fórmula'!G31*(INDEX(properties!A$1:CB$87,'Fórmula'!F31,31))+'Fórmula'!I31*(INDEX(properties!A$1:CB$87,'Fórmula'!H31,31))+'Fórmula'!K31*(INDEX(properties!A$1:CB$87,'Fórmula'!J31,31))</f>
        <v>34.93</v>
      </c>
      <c r="CV31" s="118">
        <f t="array" ref="CV31">VARP(IF(INDEX(properties!A$1:CB$87,'Fórmula'!B31,31)&lt;&gt;"",INDEX(properties!A$1:CB$87,'Fórmula'!B31,31)),IF(INDEX(properties!A$1:CB$87,'Fórmula'!D31,31)&lt;&gt;"",INDEX(properties!A$1:CB$87,'Fórmula'!D31,31)),IF(INDEX(properties!A$1:CB$87,'Fórmula'!F31,31)&lt;&gt;"",INDEX(properties!A$1:CB$87,'Fórmula'!F31,31)),IF(INDEX(properties!A$1:CB$87,'Fórmula'!H31,31)&lt;&gt;"",INDEX(properties!A$1:CB$87,'Fórmula'!H31,31)),IF(INDEX(properties!A$1:CB$87,'Fórmula'!J31,31)&lt;&gt;"",INDEX(properties!A$1:CB$87,'Fórmula'!J31,31)))</f>
        <v>1.176864</v>
      </c>
      <c r="CW31" s="118">
        <f t="array" ref="CW31">MAX(INDEX(properties!A$1:CB$87,'Fórmula'!B31,31),INDEX(properties!A$1:CB$87,'Fórmula'!D31,31),INDEX(properties!A$1:CB$87,'Fórmula'!F31,31),INDEX(properties!A$1:CB$87,'Fórmula'!H31,31),INDEX(properties!A$1:CB$87,'Fórmula'!J31,31))</f>
        <v>3.32</v>
      </c>
      <c r="CX31" s="118">
        <f t="array" ref="CX31">MIN(IF(INDEX(properties!A$1:CB$87,'Fórmula'!B31,31)=0,10^6,INDEX(properties!A$1:CB$87,'Fórmula'!B31,31)),IF(INDEX(properties!A$1:CB$87,'Fórmula'!D31,31)=0,10^6,INDEX(properties!A$1:CB$87,'Fórmula'!D31,31)),IF(INDEX(properties!A$1:CB$87,'Fórmula'!F31,31)=0,10^6,INDEX(properties!A$1:CB$87,'Fórmula'!F31,31)),IF(INDEX(properties!A$1:CB$87,'Fórmula'!H31,31)=0,10^6,INDEX(properties!A$1:CB$87,'Fórmula'!H31,31)),IF(INDEX(properties!A$1:CB$87,'Fórmula'!J31,31)=0,10^6,INDEX(properties!A$1:CB$87,'Fórmula'!J31,31)))</f>
        <v>1.13</v>
      </c>
      <c r="CY31" s="118">
        <f t="shared" si="17"/>
        <v>2.19</v>
      </c>
      <c r="CZ31" s="119">
        <f t="array" ref="CZ31">(('Fórmula'!C31)/('Fórmula'!C31+'Fórmula'!E31+'Fórmula'!G31+'Fórmula'!I31+'Fórmula'!K31))*(INDEX(properties!A$1:CB$87,'Fórmula'!B31,32))+(('Fórmula'!E31)/('Fórmula'!C31+'Fórmula'!E31+'Fórmula'!G31+'Fórmula'!I31+'Fórmula'!K31))*(INDEX(properties!A$1:CB$87,'Fórmula'!D31,32))+(('Fórmula'!G31)/('Fórmula'!C31+'Fórmula'!E31+'Fórmula'!G31+'Fórmula'!I31+'Fórmula'!K31))*(INDEX(properties!A$1:CB$87,'Fórmula'!F31,32))+(('Fórmula'!I31)/('Fórmula'!C31+'Fórmula'!E31+'Fórmula'!G31+'Fórmula'!I31+'Fórmula'!K31))*(INDEX(properties!A$1:CB$87,'Fórmula'!H31,32))+(('Fórmula'!K31)/('Fórmula'!C31+'Fórmula'!E31+'Fórmula'!G31+'Fórmula'!I31+'Fórmula'!K31))*(INDEX(properties!A$1:CB$87,'Fórmula'!J31,32))</f>
        <v>6.024615385</v>
      </c>
      <c r="DA31" s="119">
        <f t="array" ref="DA31">'Fórmula'!C31*(INDEX(properties!A$1:CB$87,'Fórmula'!B31,32))+'Fórmula'!E31*(INDEX(properties!A$1:CB$87,'Fórmula'!D31,32))+'Fórmula'!G31*(INDEX(properties!A$1:CB$87,'Fórmula'!F31,32))+'Fórmula'!I31*(INDEX(properties!A$1:CB$87,'Fórmula'!H31,32))+'Fórmula'!K31*(INDEX(properties!A$1:CB$87,'Fórmula'!J31,32))</f>
        <v>78.32</v>
      </c>
      <c r="DB31" s="119">
        <f t="array" ref="DB31">VARP(IF(INDEX(properties!A$1:CB$87,'Fórmula'!B31,32)&lt;&gt;"",INDEX(properties!A$1:CB$87,'Fórmula'!B31,32)),IF(INDEX(properties!A$1:CB$87,'Fórmula'!D31,32)&lt;&gt;"",INDEX(properties!A$1:CB$87,'Fórmula'!D31,32)),IF(INDEX(properties!A$1:CB$87,'Fórmula'!F31,32)&lt;&gt;"",INDEX(properties!A$1:CB$87,'Fórmula'!F31,32)),IF(INDEX(properties!A$1:CB$87,'Fórmula'!H31,32)&lt;&gt;"",INDEX(properties!A$1:CB$87,'Fórmula'!H31,32)),IF(INDEX(properties!A$1:CB$87,'Fórmula'!J31,32)&lt;&gt;"",INDEX(properties!A$1:CB$87,'Fórmula'!J31,32)))</f>
        <v>6.501416</v>
      </c>
      <c r="DC31" s="119">
        <f t="array" ref="DC31">MAX(INDEX(properties!A$1:CB$87,'Fórmula'!B31,32),INDEX(properties!A$1:CB$87,'Fórmula'!D31,32),INDEX(properties!A$1:CB$87,'Fórmula'!F31,32),INDEX(properties!A$1:CB$87,'Fórmula'!H31,32),INDEX(properties!A$1:CB$87,'Fórmula'!J31,32))</f>
        <v>7.54</v>
      </c>
      <c r="DD31" s="119">
        <f t="array" ref="DD31">MIN(IF(INDEX(properties!A$1:CB$87,'Fórmula'!B31,32)=0,10^6,INDEX(properties!A$1:CB$87,'Fórmula'!B31,32)),IF(INDEX(properties!A$1:CB$87,'Fórmula'!D31,32)=0,10^6,INDEX(properties!A$1:CB$87,'Fórmula'!D31,32)),IF(INDEX(properties!A$1:CB$87,'Fórmula'!F31,32)=0,10^6,INDEX(properties!A$1:CB$87,'Fórmula'!F31,32)),IF(INDEX(properties!A$1:CB$87,'Fórmula'!H31,32)=0,10^6,INDEX(properties!A$1:CB$87,'Fórmula'!H31,32)),IF(INDEX(properties!A$1:CB$87,'Fórmula'!J31,32)=0,10^6,INDEX(properties!A$1:CB$87,'Fórmula'!J31,32)))</f>
        <v>2</v>
      </c>
      <c r="DE31" s="119">
        <f t="shared" si="18"/>
        <v>5.54</v>
      </c>
      <c r="DF31" s="104">
        <f t="array" ref="DF31">(('Fórmula'!C31)/('Fórmula'!C31+'Fórmula'!E31+'Fórmula'!G31+'Fórmula'!I31+'Fórmula'!K31))*(INDEX(properties!A$1:CB$87,'Fórmula'!B31,34))+(('Fórmula'!E31)/('Fórmula'!C31+'Fórmula'!E31+'Fórmula'!G31+'Fórmula'!I31+'Fórmula'!K31))*(INDEX(properties!A$1:CB$87,'Fórmula'!D31,34))+(('Fórmula'!G31)/('Fórmula'!C31+'Fórmula'!E31+'Fórmula'!G31+'Fórmula'!I31+'Fórmula'!K31))*(INDEX(properties!A$1:CB$87,'Fórmula'!F31,34))+(('Fórmula'!I31)/('Fórmula'!C31+'Fórmula'!E31+'Fórmula'!G31+'Fórmula'!I31+'Fórmula'!K31))*(INDEX(properties!A$1:CB$87,'Fórmula'!H31,34))+(('Fórmula'!K31)/('Fórmula'!C31+'Fórmula'!E31+'Fórmula'!G31+'Fórmula'!I31+'Fórmula'!K31))*(INDEX(properties!A$1:CB$87,'Fórmula'!J31,34))</f>
        <v>2.838538462</v>
      </c>
      <c r="DG31" s="104">
        <f t="array" ref="DG31">'Fórmula'!C31*(INDEX(properties!A$1:CB$87,'Fórmula'!B31,34))+'Fórmula'!E31*(INDEX(properties!A$1:CB$87,'Fórmula'!D31,34))+'Fórmula'!G31*(INDEX(properties!A$1:CB$87,'Fórmula'!F31,34))+'Fórmula'!I31*(INDEX(properties!A$1:CB$87,'Fórmula'!H31,34))+'Fórmula'!K31*(INDEX(properties!A$1:CB$87,'Fórmula'!J31,34))</f>
        <v>36.901</v>
      </c>
      <c r="DH31" s="104">
        <f t="array" ref="DH31">VARP(IF(INDEX(properties!A$1:CB$87,'Fórmula'!B31,34)&lt;&gt;"",INDEX(properties!A$1:CB$87,'Fórmula'!B31,34)),IF(INDEX(properties!A$1:CB$87,'Fórmula'!D31,34)&lt;&gt;"",INDEX(properties!A$1:CB$87,'Fórmula'!D31,34)),IF(INDEX(properties!A$1:CB$87,'Fórmula'!F31,34)&lt;&gt;"",INDEX(properties!A$1:CB$87,'Fórmula'!F31,34)),IF(INDEX(properties!A$1:CB$87,'Fórmula'!H31,34)&lt;&gt;"",INDEX(properties!A$1:CB$87,'Fórmula'!H31,34)),IF(INDEX(properties!A$1:CB$87,'Fórmula'!J31,34)&lt;&gt;"",INDEX(properties!A$1:CB$87,'Fórmula'!J31,34)))</f>
        <v>1.42076264</v>
      </c>
      <c r="DI31" s="104">
        <f t="array" ref="DI31">MAX(INDEX(properties!A$1:CB$87,'Fórmula'!B31,34),INDEX(properties!A$1:CB$87,'Fórmula'!D31,34),INDEX(properties!A$1:CB$87,'Fórmula'!F31,34),INDEX(properties!A$1:CB$87,'Fórmula'!H31,34),INDEX(properties!A$1:CB$87,'Fórmula'!J31,34))</f>
        <v>3.61</v>
      </c>
      <c r="DJ31" s="104">
        <f t="array" ref="DJ31">MIN(IF(INDEX(properties!A$1:CB$87,'Fórmula'!B31,34)=0,10^6,INDEX(properties!A$1:CB$87,'Fórmula'!B31,34)),IF(INDEX(properties!A$1:CB$87,'Fórmula'!D31,34)=0,10^6,INDEX(properties!A$1:CB$87,'Fórmula'!D31,34)),IF(INDEX(properties!A$1:CB$87,'Fórmula'!F31,34)=0,10^6,INDEX(properties!A$1:CB$87,'Fórmula'!F31,34)),IF(INDEX(properties!A$1:CB$87,'Fórmula'!H31,34)=0,10^6,INDEX(properties!A$1:CB$87,'Fórmula'!H31,34)),IF(INDEX(properties!A$1:CB$87,'Fórmula'!J31,34)=0,10^6,INDEX(properties!A$1:CB$87,'Fórmula'!J31,34)))</f>
        <v>0.963</v>
      </c>
      <c r="DK31" s="104">
        <f t="shared" si="19"/>
        <v>2.647</v>
      </c>
      <c r="DL31" s="105">
        <f t="array" ref="DL31">(('Fórmula'!C31)/('Fórmula'!C31+'Fórmula'!E31+'Fórmula'!G31+'Fórmula'!I31+'Fórmula'!K31))*(INDEX(properties!A$1:CB$87,'Fórmula'!B31,37))+(('Fórmula'!E31)/('Fórmula'!C31+'Fórmula'!E31+'Fórmula'!G31+'Fórmula'!I31+'Fórmula'!K31))*(INDEX(properties!A$1:CB$87,'Fórmula'!D31,37))+(('Fórmula'!G31)/('Fórmula'!C31+'Fórmula'!E31+'Fórmula'!G31+'Fórmula'!I31+'Fórmula'!K31))*(INDEX(properties!A$1:CB$87,'Fórmula'!F31,37))+(('Fórmula'!I31)/('Fórmula'!C31+'Fórmula'!E31+'Fórmula'!G31+'Fórmula'!I31+'Fórmula'!K31))*(INDEX(properties!A$1:CB$87,'Fórmula'!H31,37))+(('Fórmula'!K31)/('Fórmula'!C31+'Fórmula'!E31+'Fórmula'!G31+'Fórmula'!I31+'Fórmula'!K31))*(INDEX(properties!A$1:CB$87,'Fórmula'!J31,37))</f>
        <v>2.707692308</v>
      </c>
      <c r="DM31" s="105">
        <f t="array" ref="DM31">'Fórmula'!C31*(INDEX(properties!A$1:CB$87,'Fórmula'!B31,37))+'Fórmula'!E31*(INDEX(properties!A$1:CB$87,'Fórmula'!D31,37))+'Fórmula'!G31*(INDEX(properties!A$1:CB$87,'Fórmula'!F31,37))+'Fórmula'!I31*(INDEX(properties!A$1:CB$87,'Fórmula'!H31,37))+'Fórmula'!K31*(INDEX(properties!A$1:CB$87,'Fórmula'!J31,37))</f>
        <v>35.2</v>
      </c>
      <c r="DN31" s="105">
        <f t="array" ref="DN31">VARP(IF(INDEX(properties!A$1:CB$87,'Fórmula'!B31,37)&lt;&gt;"",INDEX(properties!A$1:CB$87,'Fórmula'!B31,37)),IF(INDEX(properties!A$1:CB$87,'Fórmula'!D31,37)&lt;&gt;"",INDEX(properties!A$1:CB$87,'Fórmula'!D31,37)),IF(INDEX(properties!A$1:CB$87,'Fórmula'!F31,37)&lt;&gt;"",INDEX(properties!A$1:CB$87,'Fórmula'!F31,37)),IF(INDEX(properties!A$1:CB$87,'Fórmula'!H31,37)&lt;&gt;"",INDEX(properties!A$1:CB$87,'Fórmula'!H31,37)),IF(INDEX(properties!A$1:CB$87,'Fórmula'!J31,37)&lt;&gt;"",INDEX(properties!A$1:CB$87,'Fórmula'!J31,37)))</f>
        <v>1.276</v>
      </c>
      <c r="DO31" s="105">
        <f t="array" ref="DO31">MAX(INDEX(properties!A$1:CB$87,'Fórmula'!B31,37),INDEX(properties!A$1:CB$87,'Fórmula'!D31,37),INDEX(properties!A$1:CB$87,'Fórmula'!F31,37),INDEX(properties!A$1:CB$87,'Fórmula'!H31,37),INDEX(properties!A$1:CB$87,'Fórmula'!J31,37))</f>
        <v>3.45</v>
      </c>
      <c r="DP31" s="105">
        <f t="array" ref="DP31">MIN(IF(INDEX(properties!A$1:CB$87,'Fórmula'!B31,37)=0,10^6,INDEX(properties!A$1:CB$87,'Fórmula'!B31,37)),IF(INDEX(properties!A$1:CB$87,'Fórmula'!D31,37)=0,10^6,INDEX(properties!A$1:CB$87,'Fórmula'!D31,37)),IF(INDEX(properties!A$1:CB$87,'Fórmula'!F31,37)=0,10^6,INDEX(properties!A$1:CB$87,'Fórmula'!F31,37)),IF(INDEX(properties!A$1:CB$87,'Fórmula'!H31,37)=0,10^6,INDEX(properties!A$1:CB$87,'Fórmula'!H31,37)),IF(INDEX(properties!A$1:CB$87,'Fórmula'!J31,37)=0,10^6,INDEX(properties!A$1:CB$87,'Fórmula'!J31,37)))</f>
        <v>1</v>
      </c>
      <c r="DQ31" s="105">
        <f t="shared" si="20"/>
        <v>2.45</v>
      </c>
      <c r="DR31" s="109">
        <f t="array" ref="DR31">(('Fórmula'!C31)/('Fórmula'!C31+'Fórmula'!E31+'Fórmula'!G31+'Fórmula'!I31+'Fórmula'!K31))*(INDEX(properties!A$1:CB$87,'Fórmula'!B31,39))+(('Fórmula'!E31)/('Fórmula'!C31+'Fórmula'!E31+'Fórmula'!G31+'Fórmula'!I31+'Fórmula'!K31))*(INDEX(properties!A$1:CB$87,'Fórmula'!D31,39))+(('Fórmula'!G31)/('Fórmula'!C31+'Fórmula'!E31+'Fórmula'!G31+'Fórmula'!I31+'Fórmula'!K31))*(INDEX(properties!A$1:CB$87,'Fórmula'!F31,39))+(('Fórmula'!I31)/('Fórmula'!C31+'Fórmula'!E31+'Fórmula'!G31+'Fórmula'!I31+'Fórmula'!K31))*(INDEX(properties!A$1:CB$87,'Fórmula'!H31,39))+(('Fórmula'!K31)/('Fórmula'!C31+'Fórmula'!E31+'Fórmula'!G31+'Fórmula'!I31+'Fórmula'!K31))*(INDEX(properties!A$1:CB$87,'Fórmula'!J31,39))</f>
        <v>0.8161538462</v>
      </c>
      <c r="DS31" s="109">
        <f t="array" ref="DS31">'Fórmula'!C31*(INDEX(properties!A$1:CB$87,'Fórmula'!B31,39))+'Fórmula'!E31*(INDEX(properties!A$1:CB$87,'Fórmula'!D31,39))+'Fórmula'!G31*(INDEX(properties!A$1:CB$87,'Fórmula'!F31,39))+'Fórmula'!I31*(INDEX(properties!A$1:CB$87,'Fórmula'!H31,39))+'Fórmula'!K31*(INDEX(properties!A$1:CB$87,'Fórmula'!J31,39))</f>
        <v>10.61</v>
      </c>
      <c r="DT31" s="109">
        <f t="array" ref="DT31">VARP(IF(INDEX(properties!A$1:CB$87,'Fórmula'!B31,39)&lt;&gt;"",INDEX(properties!A$1:CB$87,'Fórmula'!B31,39)),IF(INDEX(properties!A$1:CB$87,'Fórmula'!D31,39)&lt;&gt;"",INDEX(properties!A$1:CB$87,'Fórmula'!D31,39)),IF(INDEX(properties!A$1:CB$87,'Fórmula'!F31,39)&lt;&gt;"",INDEX(properties!A$1:CB$87,'Fórmula'!F31,39)),IF(INDEX(properties!A$1:CB$87,'Fórmula'!H31,39)&lt;&gt;"",INDEX(properties!A$1:CB$87,'Fórmula'!H31,39)),IF(INDEX(properties!A$1:CB$87,'Fórmula'!J31,39)&lt;&gt;"",INDEX(properties!A$1:CB$87,'Fórmula'!J31,39)))</f>
        <v>0.546136</v>
      </c>
      <c r="DU31" s="120">
        <f t="array" ref="DU31">MAX(INDEX(properties!A$1:CB$87,'Fórmula'!B31,39),INDEX(properties!A$1:CB$87,'Fórmula'!D31,39),INDEX(properties!A$1:CB$87,'Fórmula'!F31,39),INDEX(properties!A$1:CB$87,'Fórmula'!H31,39),INDEX(properties!A$1:CB$87,'Fórmula'!J31,39))</f>
        <v>2.19</v>
      </c>
      <c r="DV31" s="120">
        <f t="array" ref="DV31">MIN(IF(INDEX(properties!A$1:CB$87,'Fórmula'!B31,39)=0,10^6,INDEX(properties!A$1:CB$87,'Fórmula'!B31,39)),IF(INDEX(properties!A$1:CB$87,'Fórmula'!D31,39)=0,10^6,INDEX(properties!A$1:CB$87,'Fórmula'!D31,39)),IF(INDEX(properties!A$1:CB$87,'Fórmula'!F31,39)=0,10^6,INDEX(properties!A$1:CB$87,'Fórmula'!F31,39)),IF(INDEX(properties!A$1:CB$87,'Fórmula'!H31,39)=0,10^6,INDEX(properties!A$1:CB$87,'Fórmula'!H31,39)),IF(INDEX(properties!A$1:CB$87,'Fórmula'!J31,39)=0,10^6,INDEX(properties!A$1:CB$87,'Fórmula'!J31,39)))</f>
        <v>0.48</v>
      </c>
      <c r="DW31" s="109">
        <f t="shared" si="21"/>
        <v>1.71</v>
      </c>
      <c r="DX31" s="110">
        <f t="array" ref="DX31">(('Fórmula'!C31)/('Fórmula'!C31+'Fórmula'!E31+'Fórmula'!G31+'Fórmula'!I31+'Fórmula'!K31))*(INDEX(properties!A$1:CB$87,'Fórmula'!B31,40))+(('Fórmula'!E31)/('Fórmula'!C31+'Fórmula'!E31+'Fórmula'!G31+'Fórmula'!I31+'Fórmula'!K31))*(INDEX(properties!A$1:CB$87,'Fórmula'!D31,40))+(('Fórmula'!G31)/('Fórmula'!C31+'Fórmula'!E31+'Fórmula'!G31+'Fórmula'!I31+'Fórmula'!K31))*(INDEX(properties!A$1:CB$87,'Fórmula'!F31,40))+(('Fórmula'!I31)/('Fórmula'!C31+'Fórmula'!E31+'Fórmula'!G31+'Fórmula'!I31+'Fórmula'!K31))*(INDEX(properties!A$1:CB$87,'Fórmula'!H31,40))+(('Fórmula'!K31)/('Fórmula'!C31+'Fórmula'!E31+'Fórmula'!G31+'Fórmula'!I31+'Fórmula'!K31))*(INDEX(properties!A$1:CB$87,'Fórmula'!J31,40))</f>
        <v>0.9492307692</v>
      </c>
      <c r="DY31" s="110">
        <f t="array" ref="DY31">'Fórmula'!C31*(INDEX(properties!A$1:CB$87,'Fórmula'!B31,40))+'Fórmula'!E31*(INDEX(properties!A$1:CB$87,'Fórmula'!D31,40))+'Fórmula'!G31*(INDEX(properties!A$1:CB$87,'Fórmula'!F31,40))+'Fórmula'!I31*(INDEX(properties!A$1:CB$87,'Fórmula'!H31,40))+'Fórmula'!K31*(INDEX(properties!A$1:CB$87,'Fórmula'!J31,40))</f>
        <v>12.34</v>
      </c>
      <c r="DZ31" s="110">
        <f t="array" ref="DZ31">VARP(IF(INDEX(properties!A$1:CB$87,'Fórmula'!B31,40)&lt;&gt;"",INDEX(properties!A$1:CB$87,'Fórmula'!B31,40)),IF(INDEX(properties!A$1:CB$87,'Fórmula'!D31,40)&lt;&gt;"",INDEX(properties!A$1:CB$87,'Fórmula'!D31,40)),IF(INDEX(properties!A$1:CB$87,'Fórmula'!F31,40)&lt;&gt;"",INDEX(properties!A$1:CB$87,'Fórmula'!F31,40)),IF(INDEX(properties!A$1:CB$87,'Fórmula'!H31,40)&lt;&gt;"",INDEX(properties!A$1:CB$87,'Fórmula'!H31,40)),IF(INDEX(properties!A$1:CB$87,'Fórmula'!J31,40)&lt;&gt;"",INDEX(properties!A$1:CB$87,'Fórmula'!J31,40)))</f>
        <v>0.392616</v>
      </c>
      <c r="EA31" s="121">
        <f t="array" ref="EA31">MAX(INDEX(properties!A$1:CB$87,'Fórmula'!B31,40),INDEX(properties!A$1:CB$87,'Fórmula'!D31,40),INDEX(properties!A$1:CB$87,'Fórmula'!F31,40),INDEX(properties!A$1:CB$87,'Fórmula'!H31,40),INDEX(properties!A$1:CB$87,'Fórmula'!J31,40))</f>
        <v>1.92</v>
      </c>
      <c r="EB31" s="121">
        <f t="array" ref="EB31">MIN(IF(INDEX(properties!A$1:CB$87,'Fórmula'!B31,40)=0,10^6,INDEX(properties!A$1:CB$87,'Fórmula'!B31,40)),IF(INDEX(properties!A$1:CB$87,'Fórmula'!D31,40)=0,10^6,INDEX(properties!A$1:CB$87,'Fórmula'!D31,40)),IF(INDEX(properties!A$1:CB$87,'Fórmula'!F31,40)=0,10^6,INDEX(properties!A$1:CB$87,'Fórmula'!F31,40)),IF(INDEX(properties!A$1:CB$87,'Fórmula'!H31,40)=0,10^6,INDEX(properties!A$1:CB$87,'Fórmula'!H31,40)),IF(INDEX(properties!A$1:CB$87,'Fórmula'!J31,40)=0,10^6,INDEX(properties!A$1:CB$87,'Fórmula'!J31,40)))</f>
        <v>0.73</v>
      </c>
      <c r="EC31" s="110">
        <f t="shared" si="22"/>
        <v>1.19</v>
      </c>
      <c r="ED31" s="111">
        <f t="array" ref="ED31">(('Fórmula'!C31)/('Fórmula'!C31+'Fórmula'!E31+'Fórmula'!G31+'Fórmula'!I31+'Fórmula'!K31))*(INDEX(properties!A$1:CB$87,'Fórmula'!B31,41))+(('Fórmula'!E31)/('Fórmula'!C31+'Fórmula'!E31+'Fórmula'!G31+'Fórmula'!I31+'Fórmula'!K31))*(INDEX(properties!A$1:CB$87,'Fórmula'!D31,41))+(('Fórmula'!G31)/('Fórmula'!C31+'Fórmula'!E31+'Fórmula'!G31+'Fórmula'!I31+'Fórmula'!K31))*(INDEX(properties!A$1:CB$87,'Fórmula'!F31,41))+(('Fórmula'!I31)/('Fórmula'!C31+'Fórmula'!E31+'Fórmula'!G31+'Fórmula'!I31+'Fórmula'!K31))*(INDEX(properties!A$1:CB$87,'Fórmula'!H31,41))+(('Fórmula'!K31)/('Fórmula'!C31+'Fórmula'!E31+'Fórmula'!G31+'Fórmula'!I31+'Fórmula'!K31))*(INDEX(properties!A$1:CB$87,'Fórmula'!J31,41))</f>
        <v>1.064615385</v>
      </c>
      <c r="EE31" s="111">
        <f t="array" ref="EE31">'Fórmula'!C31*(INDEX(properties!A$1:CB$87,'Fórmula'!B31,41))+'Fórmula'!E31*(INDEX(properties!A$1:CB$87,'Fórmula'!D31,41))+'Fórmula'!G31*(INDEX(properties!A$1:CB$87,'Fórmula'!F31,41))+'Fórmula'!I31*(INDEX(properties!A$1:CB$87,'Fórmula'!H31,41))+'Fórmula'!K31*(INDEX(properties!A$1:CB$87,'Fórmula'!J31,41))</f>
        <v>13.84</v>
      </c>
      <c r="EF31" s="111">
        <f t="array" ref="EF31">VARP(IF(INDEX(properties!A$1:CB$87,'Fórmula'!B31,41)&lt;&gt;"",INDEX(properties!A$1:CB$87,'Fórmula'!B31,41)),IF(INDEX(properties!A$1:CB$87,'Fórmula'!D31,41)&lt;&gt;"",INDEX(properties!A$1:CB$87,'Fórmula'!D31,41)),IF(INDEX(properties!A$1:CB$87,'Fórmula'!F31,41)&lt;&gt;"",INDEX(properties!A$1:CB$87,'Fórmula'!F31,41)),IF(INDEX(properties!A$1:CB$87,'Fórmula'!H31,41)&lt;&gt;"",INDEX(properties!A$1:CB$87,'Fórmula'!H31,41)),IF(INDEX(properties!A$1:CB$87,'Fórmula'!J31,41)&lt;&gt;"",INDEX(properties!A$1:CB$87,'Fórmula'!J31,41)))</f>
        <v>0.2392</v>
      </c>
      <c r="EG31" s="122">
        <f t="array" ref="EG31">MAX(INDEX(properties!A$1:CB$87,'Fórmula'!B31,41),INDEX(properties!A$1:CB$87,'Fórmula'!D31,41),INDEX(properties!A$1:CB$87,'Fórmula'!F31,41),INDEX(properties!A$1:CB$87,'Fórmula'!H31,41),INDEX(properties!A$1:CB$87,'Fórmula'!J31,41))</f>
        <v>1.32</v>
      </c>
      <c r="EH31" s="122">
        <f t="array" ref="EH31">MIN(IF(INDEX(properties!A$1:CB$87,'Fórmula'!B31,41)=0,10^6,INDEX(properties!A$1:CB$87,'Fórmula'!B31,41)),IF(INDEX(properties!A$1:CB$87,'Fórmula'!D31,41)=0,10^6,INDEX(properties!A$1:CB$87,'Fórmula'!D31,41)),IF(INDEX(properties!A$1:CB$87,'Fórmula'!F31,41)=0,10^6,INDEX(properties!A$1:CB$87,'Fórmula'!F31,41)),IF(INDEX(properties!A$1:CB$87,'Fórmula'!H31,41)=0,10^6,INDEX(properties!A$1:CB$87,'Fórmula'!H31,41)),IF(INDEX(properties!A$1:CB$87,'Fórmula'!J31,41)=0,10^6,INDEX(properties!A$1:CB$87,'Fórmula'!J31,41)))</f>
        <v>0.54</v>
      </c>
      <c r="EI31" s="111">
        <f t="shared" si="23"/>
        <v>0.78</v>
      </c>
      <c r="EJ31" s="112">
        <f t="array" ref="EJ31">(('Fórmula'!C31)/('Fórmula'!C31+'Fórmula'!E31+'Fórmula'!G31+'Fórmula'!I31+'Fórmula'!K31))*(INDEX(properties!A$1:CB$87,'Fórmula'!B31,45))+(('Fórmula'!E31)/('Fórmula'!C31+'Fórmula'!E31+'Fórmula'!G31+'Fórmula'!I31+'Fórmula'!K31))*(INDEX(properties!A$1:CB$87,'Fórmula'!D31,45))+(('Fórmula'!G31)/('Fórmula'!C31+'Fórmula'!E31+'Fórmula'!G31+'Fórmula'!I31+'Fórmula'!K31))*(INDEX(properties!A$1:CB$87,'Fórmula'!F31,45))+(('Fórmula'!I31)/('Fórmula'!C31+'Fórmula'!E31+'Fórmula'!G31+'Fórmula'!I31+'Fórmula'!K31))*(INDEX(properties!A$1:CB$87,'Fórmula'!H31,45))+(('Fórmula'!K31)/('Fórmula'!C31+'Fórmula'!E31+'Fórmula'!G31+'Fórmula'!I31+'Fórmula'!K31))*(INDEX(properties!A$1:CB$87,'Fórmula'!J31,45))</f>
        <v>1.013076923</v>
      </c>
      <c r="EK31" s="112">
        <f t="array" ref="EK31">'Fórmula'!C31*(INDEX(properties!A$1:CB$87,'Fórmula'!B31,45))+'Fórmula'!E31*(INDEX(properties!A$1:CB$87,'Fórmula'!D31,45))+'Fórmula'!G31*(INDEX(properties!A$1:CB$87,'Fórmula'!F31,45))+'Fórmula'!I31*(INDEX(properties!A$1:CB$87,'Fórmula'!H31,45))+'Fórmula'!K31*(INDEX(properties!A$1:CB$87,'Fórmula'!J31,45))</f>
        <v>13.17</v>
      </c>
      <c r="EL31" s="112">
        <f t="array" ref="EL31">VARP(IF(INDEX(properties!A$1:CB$87,'Fórmula'!B31,45)&lt;&gt;"",INDEX(properties!A$1:CB$87,'Fórmula'!B31,45)),IF(INDEX(properties!A$1:CB$87,'Fórmula'!D31,45)&lt;&gt;"",INDEX(properties!A$1:CB$87,'Fórmula'!D31,45)),IF(INDEX(properties!A$1:CB$87,'Fórmula'!F31,45)&lt;&gt;"",INDEX(properties!A$1:CB$87,'Fórmula'!F31,45)),IF(INDEX(properties!A$1:CB$87,'Fórmula'!H31,45)&lt;&gt;"",INDEX(properties!A$1:CB$87,'Fórmula'!H31,45)),IF(INDEX(properties!A$1:CB$87,'Fórmula'!J31,45)&lt;&gt;"",INDEX(properties!A$1:CB$87,'Fórmula'!J31,45)))</f>
        <v>1.234024</v>
      </c>
      <c r="EM31" s="123">
        <f t="array" ref="EM31">MAX(INDEX(properties!A$1:CB$87,'Fórmula'!B31,45),INDEX(properties!A$1:CB$87,'Fórmula'!D31,45),INDEX(properties!A$1:CB$87,'Fórmula'!F31,45),INDEX(properties!A$1:CB$87,'Fórmula'!H31,45),INDEX(properties!A$1:CB$87,'Fórmula'!J31,45))</f>
        <v>3.21</v>
      </c>
      <c r="EN31" s="123">
        <f t="array" ref="EN31">MIN(IF(INDEX(properties!A$1:CB$87,'Fórmula'!B31,45)=0,10^6,INDEX(properties!A$1:CB$87,'Fórmula'!B31,45)),IF(INDEX(properties!A$1:CB$87,'Fórmula'!D31,45)=0,10^6,INDEX(properties!A$1:CB$87,'Fórmula'!D31,45)),IF(INDEX(properties!A$1:CB$87,'Fórmula'!F31,45)=0,10^6,INDEX(properties!A$1:CB$87,'Fórmula'!F31,45)),IF(INDEX(properties!A$1:CB$87,'Fórmula'!H31,45)=0,10^6,INDEX(properties!A$1:CB$87,'Fórmula'!H31,45)),IF(INDEX(properties!A$1:CB$87,'Fórmula'!J31,45)=0,10^6,INDEX(properties!A$1:CB$87,'Fórmula'!J31,45)))</f>
        <v>0.47</v>
      </c>
      <c r="EO31" s="112">
        <f t="shared" si="24"/>
        <v>2.74</v>
      </c>
      <c r="EP31" s="113">
        <f t="array" ref="EP31">(('Fórmula'!C31)/('Fórmula'!C31+'Fórmula'!E31+'Fórmula'!G31+'Fórmula'!I31+'Fórmula'!K31))*(INDEX(properties!A$1:CB$87,'Fórmula'!B31,46))+(('Fórmula'!E31)/('Fórmula'!C31+'Fórmula'!E31+'Fórmula'!G31+'Fórmula'!I31+'Fórmula'!K31))*(INDEX(properties!A$1:CB$87,'Fórmula'!D31,46))+(('Fórmula'!G31)/('Fórmula'!C31+'Fórmula'!E31+'Fórmula'!G31+'Fórmula'!I31+'Fórmula'!K31))*(INDEX(properties!A$1:CB$87,'Fórmula'!F31,46))+(('Fórmula'!I31)/('Fórmula'!C31+'Fórmula'!E31+'Fórmula'!G31+'Fórmula'!I31+'Fórmula'!K31))*(INDEX(properties!A$1:CB$87,'Fórmula'!H31,46))+(('Fórmula'!K31)/('Fórmula'!C31+'Fórmula'!E31+'Fórmula'!G31+'Fórmula'!I31+'Fórmula'!K31))*(INDEX(properties!A$1:CB$87,'Fórmula'!J31,46))</f>
        <v>0.9892307692</v>
      </c>
      <c r="EQ31" s="113">
        <f t="array" ref="EQ31">'Fórmula'!C31*(INDEX(properties!A$1:CB$87,'Fórmula'!B31,46))+'Fórmula'!E31*(INDEX(properties!A$1:CB$87,'Fórmula'!D31,46))+'Fórmula'!G31*(INDEX(properties!A$1:CB$87,'Fórmula'!F31,46))+'Fórmula'!I31*(INDEX(properties!A$1:CB$87,'Fórmula'!H31,46))+'Fórmula'!K31*(INDEX(properties!A$1:CB$87,'Fórmula'!J31,46))</f>
        <v>12.86</v>
      </c>
      <c r="ER31" s="113">
        <f t="array" ref="ER31">VARP(IF(INDEX(properties!A$1:CB$87,'Fórmula'!B31,46)&lt;&gt;"",INDEX(properties!A$1:CB$87,'Fórmula'!B31,46)),IF(INDEX(properties!A$1:CB$87,'Fórmula'!D31,46)&lt;&gt;"",INDEX(properties!A$1:CB$87,'Fórmula'!D31,46)),IF(INDEX(properties!A$1:CB$87,'Fórmula'!F31,46)&lt;&gt;"",INDEX(properties!A$1:CB$87,'Fórmula'!F31,46)),IF(INDEX(properties!A$1:CB$87,'Fórmula'!H31,46)&lt;&gt;"",INDEX(properties!A$1:CB$87,'Fórmula'!H31,46)),IF(INDEX(properties!A$1:CB$87,'Fórmula'!J31,46)&lt;&gt;"",INDEX(properties!A$1:CB$87,'Fórmula'!J31,46)))</f>
        <v>0.250616</v>
      </c>
      <c r="ES31" s="124">
        <f t="array" ref="ES31">MAX(INDEX(properties!A$1:CB$87,'Fórmula'!B31,46),INDEX(properties!A$1:CB$87,'Fórmula'!D31,46),INDEX(properties!A$1:CB$87,'Fórmula'!F31,46),INDEX(properties!A$1:CB$87,'Fórmula'!H31,46),INDEX(properties!A$1:CB$87,'Fórmula'!J31,46))</f>
        <v>1.32</v>
      </c>
      <c r="ET31" s="124">
        <f t="array" ref="ET31">MIN(IF(INDEX(properties!A$1:CB$87,'Fórmula'!B31,46)=0,10^6,INDEX(properties!A$1:CB$87,'Fórmula'!B31,46)),IF(INDEX(properties!A$1:CB$87,'Fórmula'!D31,46)=0,10^6,INDEX(properties!A$1:CB$87,'Fórmula'!D31,46)),IF(INDEX(properties!A$1:CB$87,'Fórmula'!F31,46)=0,10^6,INDEX(properties!A$1:CB$87,'Fórmula'!F31,46)),IF(INDEX(properties!A$1:CB$87,'Fórmula'!H31,46)=0,10^6,INDEX(properties!A$1:CB$87,'Fórmula'!H31,46)),IF(INDEX(properties!A$1:CB$87,'Fórmula'!J31,46)=0,10^6,INDEX(properties!A$1:CB$87,'Fórmula'!J31,46)))</f>
        <v>0.4</v>
      </c>
      <c r="EU31" s="113">
        <f t="shared" si="25"/>
        <v>0.92</v>
      </c>
      <c r="EV31" s="114">
        <f t="array" ref="EV31">(('Fórmula'!C31)/('Fórmula'!C31+'Fórmula'!E31+'Fórmula'!G31+'Fórmula'!I31+'Fórmula'!K31))*(INDEX(properties!A$1:CB$87,'Fórmula'!B31,52))+(('Fórmula'!E31)/('Fórmula'!C31+'Fórmula'!E31+'Fórmula'!G31+'Fórmula'!I31+'Fórmula'!K31))*(INDEX(properties!A$1:CB$87,'Fórmula'!D31,52))+(('Fórmula'!G31)/('Fórmula'!C31+'Fórmula'!E31+'Fórmula'!G31+'Fórmula'!I31+'Fórmula'!K31))*(INDEX(properties!A$1:CB$87,'Fórmula'!F31,52))+(('Fórmula'!I31)/('Fórmula'!C31+'Fórmula'!E31+'Fórmula'!G31+'Fórmula'!I31+'Fórmula'!K31))*(INDEX(properties!A$1:CB$87,'Fórmula'!H31,52))+(('Fórmula'!K31)/('Fórmula'!C31+'Fórmula'!E31+'Fórmula'!G31+'Fórmula'!I31+'Fórmula'!K31))*(INDEX(properties!A$1:CB$87,'Fórmula'!J31,52))</f>
        <v>4.718769231</v>
      </c>
      <c r="EW31" s="114">
        <f t="array" ref="EW31">'Fórmula'!C31*(INDEX(properties!A$1:CB$87,'Fórmula'!B31,52))+'Fórmula'!E31*(INDEX(properties!A$1:CB$87,'Fórmula'!D31,52))+'Fórmula'!G31*(INDEX(properties!A$1:CB$87,'Fórmula'!F31,52))+'Fórmula'!I31*(INDEX(properties!A$1:CB$87,'Fórmula'!H31,52))+'Fórmula'!K31*(INDEX(properties!A$1:CB$87,'Fórmula'!J31,52))</f>
        <v>61.344</v>
      </c>
      <c r="EX31" s="114">
        <f t="array" ref="EX31">VARP(IF(INDEX(properties!A$1:CB$87,'Fórmula'!B31,52)&lt;&gt;"",INDEX(properties!A$1:CB$87,'Fórmula'!B31,52)),IF(INDEX(properties!A$1:CB$87,'Fórmula'!D31,52)&lt;&gt;"",INDEX(properties!A$1:CB$87,'Fórmula'!D31,52)),IF(INDEX(properties!A$1:CB$87,'Fórmula'!F31,52)&lt;&gt;"",INDEX(properties!A$1:CB$87,'Fórmula'!F31,52)),IF(INDEX(properties!A$1:CB$87,'Fórmula'!H31,52)&lt;&gt;"",INDEX(properties!A$1:CB$87,'Fórmula'!H31,52)),IF(INDEX(properties!A$1:CB$87,'Fórmula'!J31,52)&lt;&gt;"",INDEX(properties!A$1:CB$87,'Fórmula'!J31,52)))</f>
        <v>101.2149438</v>
      </c>
      <c r="EY31" s="114">
        <f t="array" ref="EY31">MAX(INDEX(properties!A$1:CB$87,'Fórmula'!B31,52),INDEX(properties!A$1:CB$87,'Fórmula'!D31,52),INDEX(properties!A$1:CB$87,'Fórmula'!F31,52),INDEX(properties!A$1:CB$87,'Fórmula'!H31,52),INDEX(properties!A$1:CB$87,'Fórmula'!J31,52))</f>
        <v>27.6</v>
      </c>
      <c r="EZ31" s="114">
        <f t="array" ref="EZ31">MIN(IF(INDEX(properties!A$1:CB$87,'Fórmula'!B31,52)=0,10^6,INDEX(properties!A$1:CB$87,'Fórmula'!B31,52)),IF(INDEX(properties!A$1:CB$87,'Fórmula'!D31,52)=0,10^6,INDEX(properties!A$1:CB$87,'Fórmula'!D31,52)),IF(INDEX(properties!A$1:CB$87,'Fórmula'!F31,52)=0,10^6,INDEX(properties!A$1:CB$87,'Fórmula'!F31,52)),IF(INDEX(properties!A$1:CB$87,'Fórmula'!H31,52)=0,10^6,INDEX(properties!A$1:CB$87,'Fórmula'!H31,52)),IF(INDEX(properties!A$1:CB$87,'Fórmula'!J31,52)=0,10^6,INDEX(properties!A$1:CB$87,'Fórmula'!J31,52)))</f>
        <v>0.793</v>
      </c>
      <c r="FA31" s="114">
        <f t="shared" si="26"/>
        <v>26.807</v>
      </c>
      <c r="FB31" s="115">
        <f t="array" ref="FB31">(('Fórmula'!C31)/('Fórmula'!C31+'Fórmula'!E31+'Fórmula'!G31+'Fórmula'!I31+'Fórmula'!K31))*(INDEX(properties!A$1:CB$87,'Fórmula'!B31,53))+(('Fórmula'!E31)/('Fórmula'!C31+'Fórmula'!E31+'Fórmula'!G31+'Fórmula'!I31+'Fórmula'!K31))*(INDEX(properties!A$1:CB$87,'Fórmula'!D31,53))+(('Fórmula'!G31)/('Fórmula'!C31+'Fórmula'!E31+'Fórmula'!G31+'Fórmula'!I31+'Fórmula'!K31))*(INDEX(properties!A$1:CB$87,'Fórmula'!F31,53))+(('Fórmula'!I31)/('Fórmula'!C31+'Fórmula'!E31+'Fórmula'!G31+'Fórmula'!I31+'Fórmula'!K31))*(INDEX(properties!A$1:CB$87,'Fórmula'!H31,53))+(('Fórmula'!K31)/('Fórmula'!C31+'Fórmula'!E31+'Fórmula'!G31+'Fórmula'!I31+'Fórmula'!K31))*(INDEX(properties!A$1:CB$87,'Fórmula'!J31,53))</f>
        <v>516.3653846</v>
      </c>
      <c r="FC31" s="115">
        <f t="array" ref="FC31">'Fórmula'!C31*(INDEX(properties!A$1:CB$87,'Fórmula'!B31,53))+'Fórmula'!E31*(INDEX(properties!A$1:CB$87,'Fórmula'!D31,53))+'Fórmula'!G31*(INDEX(properties!A$1:CB$87,'Fórmula'!F31,53))+'Fórmula'!I31*(INDEX(properties!A$1:CB$87,'Fórmula'!H31,53))+'Fórmula'!K31*(INDEX(properties!A$1:CB$87,'Fórmula'!J31,53))</f>
        <v>6712.75</v>
      </c>
      <c r="FD31" s="115">
        <f t="array" ref="FD31">VARP(IF(INDEX(properties!A$1:CB$87,'Fórmula'!B31,53)&lt;&gt;"",INDEX(properties!A$1:CB$87,'Fórmula'!B31,53)),IF(INDEX(properties!A$1:CB$87,'Fórmula'!D31,53)&lt;&gt;"",INDEX(properties!A$1:CB$87,'Fórmula'!D31,53)),IF(INDEX(properties!A$1:CB$87,'Fórmula'!F31,53)&lt;&gt;"",INDEX(properties!A$1:CB$87,'Fórmula'!F31,53)),IF(INDEX(properties!A$1:CB$87,'Fórmula'!H31,53)&lt;&gt;"",INDEX(properties!A$1:CB$87,'Fórmula'!H31,53)),IF(INDEX(properties!A$1:CB$87,'Fórmula'!J31,53)&lt;&gt;"",INDEX(properties!A$1:CB$87,'Fórmula'!J31,53)))</f>
        <v>407053.2364</v>
      </c>
      <c r="FE31" s="115">
        <f t="array" ref="FE31">MAX(INDEX(properties!A$1:CB$87,'Fórmula'!B31,53),INDEX(properties!A$1:CB$87,'Fórmula'!D31,53),INDEX(properties!A$1:CB$87,'Fórmula'!F31,53),INDEX(properties!A$1:CB$87,'Fórmula'!H31,53),INDEX(properties!A$1:CB$87,'Fórmula'!J31,53))</f>
        <v>1683.15</v>
      </c>
      <c r="FF31" s="115">
        <f t="array" ref="FF31">MIN(IF(INDEX(properties!A$1:CB$87,'Fórmula'!B31,53)=0,10^6,INDEX(properties!A$1:CB$87,'Fórmula'!B31,53)),IF(INDEX(properties!A$1:CB$87,'Fórmula'!D31,53)=0,10^6,INDEX(properties!A$1:CB$87,'Fórmula'!D31,53)),IF(INDEX(properties!A$1:CB$87,'Fórmula'!F31,53)=0,10^6,INDEX(properties!A$1:CB$87,'Fórmula'!F31,53)),IF(INDEX(properties!A$1:CB$87,'Fórmula'!H31,53)=0,10^6,INDEX(properties!A$1:CB$87,'Fórmula'!H31,53)),IF(INDEX(properties!A$1:CB$87,'Fórmula'!J31,53)=0,10^6,INDEX(properties!A$1:CB$87,'Fórmula'!J31,53)))</f>
        <v>54.75</v>
      </c>
      <c r="FG31" s="115">
        <f t="shared" si="27"/>
        <v>1628.4</v>
      </c>
      <c r="FH31" s="117">
        <f t="array" ref="FH31">(('Fórmula'!C31)/('Fórmula'!C31+'Fórmula'!E31+'Fórmula'!G31+'Fórmula'!I31+'Fórmula'!K31))*(INDEX(properties!A$1:CB$87,'Fórmula'!B31,54))+(('Fórmula'!E31)/('Fórmula'!C31+'Fórmula'!E31+'Fórmula'!G31+'Fórmula'!I31+'Fórmula'!K31))*(INDEX(properties!A$1:CB$87,'Fórmula'!D31,54))+(('Fórmula'!G31)/('Fórmula'!C31+'Fórmula'!E31+'Fórmula'!G31+'Fórmula'!I31+'Fórmula'!K31))*(INDEX(properties!A$1:CB$87,'Fórmula'!F31,54))+(('Fórmula'!I31)/('Fórmula'!C31+'Fórmula'!E31+'Fórmula'!G31+'Fórmula'!I31+'Fórmula'!K31))*(INDEX(properties!A$1:CB$87,'Fórmula'!H31,54))+(('Fórmula'!K31)/('Fórmula'!C31+'Fórmula'!E31+'Fórmula'!G31+'Fórmula'!I31+'Fórmula'!K31))*(INDEX(properties!A$1:CB$87,'Fórmula'!J31,54))</f>
        <v>1008.842308</v>
      </c>
      <c r="FI31" s="117">
        <f t="array" ref="FI31">'Fórmula'!C31*(INDEX(properties!A$1:CB$87,'Fórmula'!B31,54))+'Fórmula'!E31*(INDEX(properties!A$1:CB$87,'Fórmula'!D31,54))+'Fórmula'!G31*(INDEX(properties!A$1:CB$87,'Fórmula'!F31,54))+'Fórmula'!I31*(INDEX(properties!A$1:CB$87,'Fórmula'!H31,54))+'Fórmula'!K31*(INDEX(properties!A$1:CB$87,'Fórmula'!J31,54))</f>
        <v>13114.95</v>
      </c>
      <c r="FJ31" s="117">
        <f t="array" ref="FJ31">VARP(IF(INDEX(properties!A$1:CB$87,'Fórmula'!B31,54)&lt;&gt;"",INDEX(properties!A$1:CB$87,'Fórmula'!B31,54)),IF(INDEX(properties!A$1:CB$87,'Fórmula'!D31,54)&lt;&gt;"",INDEX(properties!A$1:CB$87,'Fórmula'!D31,54)),IF(INDEX(properties!A$1:CB$87,'Fórmula'!F31,54)&lt;&gt;"",INDEX(properties!A$1:CB$87,'Fórmula'!F31,54)),IF(INDEX(properties!A$1:CB$87,'Fórmula'!H31,54)&lt;&gt;"",INDEX(properties!A$1:CB$87,'Fórmula'!H31,54)),IF(INDEX(properties!A$1:CB$87,'Fórmula'!J31,54)&lt;&gt;"",INDEX(properties!A$1:CB$87,'Fórmula'!J31,54)))</f>
        <v>1408702.984</v>
      </c>
      <c r="FK31" s="117">
        <f t="array" ref="FK31">MAX(INDEX(properties!A$1:CB$87,'Fórmula'!B31,54),INDEX(properties!A$1:CB$87,'Fórmula'!D31,54),INDEX(properties!A$1:CB$87,'Fórmula'!F31,54),INDEX(properties!A$1:CB$87,'Fórmula'!H31,54),INDEX(properties!A$1:CB$87,'Fórmula'!J31,54))</f>
        <v>2740.15</v>
      </c>
      <c r="FL31" s="117">
        <f t="array" ref="FL31">MIN(IF(INDEX(properties!A$1:CB$87,'Fórmula'!B31,54)=0,10^6,INDEX(properties!A$1:CB$87,'Fórmula'!B31,54)),IF(INDEX(properties!A$1:CB$87,'Fórmula'!D31,54)=0,10^6,INDEX(properties!A$1:CB$87,'Fórmula'!D31,54)),IF(INDEX(properties!A$1:CB$87,'Fórmula'!F31,54)=0,10^6,INDEX(properties!A$1:CB$87,'Fórmula'!F31,54)),IF(INDEX(properties!A$1:CB$87,'Fórmula'!H31,54)=0,10^6,INDEX(properties!A$1:CB$87,'Fórmula'!H31,54)),IF(INDEX(properties!A$1:CB$87,'Fórmula'!J31,54)=0,10^6,INDEX(properties!A$1:CB$87,'Fórmula'!J31,54)))</f>
        <v>90.15</v>
      </c>
      <c r="FM31" s="117">
        <f t="shared" si="28"/>
        <v>2650</v>
      </c>
      <c r="FN31" s="118">
        <f t="array" ref="FN31">(('Fórmula'!C31)/('Fórmula'!C31+'Fórmula'!E31+'Fórmula'!G31+'Fórmula'!I31+'Fórmula'!K31))*(INDEX(properties!A$1:CB$87,'Fórmula'!B31,55))+(('Fórmula'!E31)/('Fórmula'!C31+'Fórmula'!E31+'Fórmula'!G31+'Fórmula'!I31+'Fórmula'!K31))*(INDEX(properties!A$1:CB$87,'Fórmula'!D31,55))+(('Fórmula'!G31)/('Fórmula'!C31+'Fórmula'!E31+'Fórmula'!G31+'Fórmula'!I31+'Fórmula'!K31))*(INDEX(properties!A$1:CB$87,'Fórmula'!F31,55))+(('Fórmula'!I31)/('Fórmula'!C31+'Fórmula'!E31+'Fórmula'!G31+'Fórmula'!I31+'Fórmula'!K31))*(INDEX(properties!A$1:CB$87,'Fórmula'!H31,55))+(('Fórmula'!K31)/('Fórmula'!C31+'Fórmula'!E31+'Fórmula'!G31+'Fórmula'!I31+'Fórmula'!K31))*(INDEX(properties!A$1:CB$87,'Fórmula'!J31,55))</f>
        <v>0.9770338462</v>
      </c>
      <c r="FO31" s="118">
        <f t="array" ref="FO31">'Fórmula'!C31*(INDEX(properties!A$1:CB$87,'Fórmula'!B31,55))+'Fórmula'!E31*(INDEX(properties!A$1:CB$87,'Fórmula'!D31,54))+'Fórmula'!G31*(INDEX(properties!A$1:CB$87,'Fórmula'!F31,55))+'Fórmula'!I31*(INDEX(properties!A$1:CB$87,'Fórmula'!H31,55))+'Fórmula'!K31*(INDEX(properties!A$1:CB$87,'Fórmula'!J31,55))</f>
        <v>5487.60144</v>
      </c>
      <c r="FP31" s="118">
        <f t="array" ref="FP31">VARP(IF(INDEX(properties!A$1:CB$87,'Fórmula'!B31,55)&lt;&gt;"",INDEX(properties!A$1:CB$87,'Fórmula'!B31,55)),IF(INDEX(properties!A$1:CB$87,'Fórmula'!D31,55)&lt;&gt;"",INDEX(properties!A$1:CB$87,'Fórmula'!D31,55)),IF(INDEX(properties!A$1:CB$87,'Fórmula'!F31,55)&lt;&gt;"",INDEX(properties!A$1:CB$87,'Fórmula'!F31,55)),IF(INDEX(properties!A$1:CB$87,'Fórmula'!H31,55)&lt;&gt;"",INDEX(properties!A$1:CB$87,'Fórmula'!H31,55)),IF(INDEX(properties!A$1:CB$87,'Fórmula'!J31,55)&lt;&gt;"",INDEX(properties!A$1:CB$87,'Fórmula'!J31,55)))</f>
        <v>1.579260023</v>
      </c>
      <c r="FQ31" s="118">
        <f t="array" ref="FQ31">MAX(INDEX(properties!A$1:CB$87,'Fórmula'!B31,55),INDEX(properties!A$1:CB$87,'Fórmula'!D31,55),INDEX(properties!A$1:CB$87,'Fórmula'!F31,55),INDEX(properties!A$1:CB$87,'Fórmula'!H31,55),INDEX(properties!A$1:CB$87,'Fórmula'!J31,55))</f>
        <v>2.7</v>
      </c>
      <c r="FR31" s="118">
        <f t="array" ref="FR31">MIN(IF(INDEX(properties!A$1:CB$87,'Fórmula'!B31,55)=0,10^6,INDEX(properties!A$1:CB$87,'Fórmula'!B31,55)),IF(INDEX(properties!A$1:CB$87,'Fórmula'!D31,55)=0,10^6,INDEX(properties!A$1:CB$87,'Fórmula'!D31,55)),IF(INDEX(properties!A$1:CB$87,'Fórmula'!F31,55)=0,10^6,INDEX(properties!A$1:CB$87,'Fórmula'!F31,55)),IF(INDEX(properties!A$1:CB$87,'Fórmula'!H31,55)=0,10^6,INDEX(properties!A$1:CB$87,'Fórmula'!H31,55)),IF(INDEX(properties!A$1:CB$87,'Fórmula'!J31,55)=0,10^6,INDEX(properties!A$1:CB$87,'Fórmula'!J31,55)))</f>
        <v>0.00143</v>
      </c>
      <c r="FS31" s="118">
        <f t="shared" si="29"/>
        <v>2.69857</v>
      </c>
      <c r="FT31" s="119">
        <f t="array" ref="FT31">(('Fórmula'!C31)/('Fórmula'!C31+'Fórmula'!E31+'Fórmula'!G31+'Fórmula'!I31+'Fórmula'!K31))*(INDEX(properties!A$1:CB$87,'Fórmula'!B31,56))+(('Fórmula'!E31)/('Fórmula'!C31+'Fórmula'!E31+'Fórmula'!G31+'Fórmula'!I31+'Fórmula'!K31))*(INDEX(properties!A$1:CB$87,'Fórmula'!D31,56))+(('Fórmula'!G31)/('Fórmula'!C31+'Fórmula'!E31+'Fórmula'!G31+'Fórmula'!I31+'Fórmula'!K31))*(INDEX(properties!A$1:CB$87,'Fórmula'!F31,56))+(('Fórmula'!I31)/('Fórmula'!C31+'Fórmula'!E31+'Fórmula'!G31+'Fórmula'!I31+'Fórmula'!K31))*(INDEX(properties!A$1:CB$87,'Fórmula'!H31,56))+(('Fórmula'!K31)/('Fórmula'!C31+'Fórmula'!E31+'Fórmula'!G31+'Fórmula'!I31+'Fórmula'!K31))*(INDEX(properties!A$1:CB$87,'Fórmula'!J31,56))</f>
        <v>0.8369230769</v>
      </c>
      <c r="FU31" s="119">
        <f t="array" ref="FU31">'Fórmula'!C31*(INDEX(properties!A$1:CB$87,'Fórmula'!B31,56))+'Fórmula'!E31*(INDEX(properties!A$1:CB$87,'Fórmula'!D31,56))+'Fórmula'!G31*(INDEX(properties!A$1:CB$87,'Fórmula'!F31,56))+'Fórmula'!I31*(INDEX(properties!A$1:CB$87,'Fórmula'!H31,56))+'Fórmula'!K31*(INDEX(properties!A$1:CB$87,'Fórmula'!J31,56))</f>
        <v>10.88</v>
      </c>
      <c r="FV31" s="119">
        <f t="array" ref="FV31">VARP(IF(INDEX(properties!A$1:CB$87,'Fórmula'!B31,56)&lt;&gt;"",INDEX(properties!A$1:CB$87,'Fórmula'!B31,56)),IF(INDEX(properties!A$1:CB$87,'Fórmula'!D31,56)&lt;&gt;"",INDEX(properties!A$1:CB$87,'Fórmula'!D31,56)),IF(INDEX(properties!A$1:CB$87,'Fórmula'!F31,56)&lt;&gt;"",INDEX(properties!A$1:CB$87,'Fórmula'!F31,56)),IF(INDEX(properties!A$1:CB$87,'Fórmula'!H31,56)&lt;&gt;"",INDEX(properties!A$1:CB$87,'Fórmula'!H31,56)),IF(INDEX(properties!A$1:CB$87,'Fórmula'!J31,56)&lt;&gt;"",INDEX(properties!A$1:CB$87,'Fórmula'!J31,56)))</f>
        <v>0.129744</v>
      </c>
      <c r="FW31" s="119">
        <f t="array" ref="FW31">MAX(INDEX(properties!A$1:CB$87,'Fórmula'!B31,56),INDEX(properties!A$1:CB$87,'Fórmula'!D31,56),INDEX(properties!A$1:CB$87,'Fórmula'!F31,56),INDEX(properties!A$1:CB$87,'Fórmula'!H31,56),INDEX(properties!A$1:CB$87,'Fórmula'!J31,56))</f>
        <v>0.92</v>
      </c>
      <c r="FX31" s="119">
        <f t="array" ref="FX31">MIN(IF(INDEX(properties!A$1:CB$87,'Fórmula'!B31,56)=0,10^6,INDEX(properties!A$1:CB$87,'Fórmula'!B31,56)),IF(INDEX(properties!A$1:CB$87,'Fórmula'!D31,56)=0,10^6,INDEX(properties!A$1:CB$87,'Fórmula'!D31,56)),IF(INDEX(properties!A$1:CB$87,'Fórmula'!F31,56)=0,10^6,INDEX(properties!A$1:CB$87,'Fórmula'!F31,56)),IF(INDEX(properties!A$1:CB$87,'Fórmula'!H31,56)=0,10^6,INDEX(properties!A$1:CB$87,'Fórmula'!H31,56)),IF(INDEX(properties!A$1:CB$87,'Fórmula'!J31,56)=0,10^6,INDEX(properties!A$1:CB$87,'Fórmula'!J31,56)))</f>
        <v>0.3</v>
      </c>
      <c r="FY31" s="119">
        <f t="shared" si="30"/>
        <v>0.62</v>
      </c>
      <c r="FZ31" s="104">
        <f t="array" ref="FZ31">(('Fórmula'!C31)/('Fórmula'!C31+'Fórmula'!E31+'Fórmula'!G31+'Fórmula'!I31+'Fórmula'!K31))*(INDEX(properties!A$1:CB$87,'Fórmula'!B31,57))+(('Fórmula'!E31)/('Fórmula'!C31+'Fórmula'!E31+'Fórmula'!G31+'Fórmula'!I31+'Fórmula'!K31))*(INDEX(properties!A$1:CB$87,'Fórmula'!D31,57))+(('Fórmula'!G31)/('Fórmula'!C31+'Fórmula'!E31+'Fórmula'!G31+'Fórmula'!I31+'Fórmula'!K31))*(INDEX(properties!A$1:CB$87,'Fórmula'!F31,57))+(('Fórmula'!I31)/('Fórmula'!C31+'Fórmula'!E31+'Fórmula'!G31+'Fórmula'!I31+'Fórmula'!K31))*(INDEX(properties!A$1:CB$87,'Fórmula'!H31,57))+(('Fórmula'!K31)/('Fórmula'!C31+'Fórmula'!E31+'Fórmula'!G31+'Fórmula'!I31+'Fórmula'!K31))*(INDEX(properties!A$1:CB$87,'Fórmula'!J31,57))</f>
        <v>10.21236308</v>
      </c>
      <c r="GA31" s="104">
        <f t="array" ref="GA31">'Fórmula'!C31*(INDEX(properties!A$1:CB$87,'Fórmula'!B31,57))+'Fórmula'!E31*(INDEX(properties!A$1:CB$87,'Fórmula'!D31,57))+'Fórmula'!G31*(INDEX(properties!A$1:CB$87,'Fórmula'!F31,57))+'Fórmula'!I31*(INDEX(properties!A$1:CB$87,'Fórmula'!H31,57))+'Fórmula'!K31*(INDEX(properties!A$1:CB$87,'Fórmula'!J31,57))</f>
        <v>132.76072</v>
      </c>
      <c r="GB31" s="104">
        <f t="array" ref="GB31">VARP(IF(INDEX(properties!A$1:CB$87,'Fórmula'!B31,57)&lt;&gt;"",INDEX(properties!A$1:CB$87,'Fórmula'!B31,57)),IF(INDEX(properties!A$1:CB$87,'Fórmula'!D31,57)&lt;&gt;"",INDEX(properties!A$1:CB$87,'Fórmula'!D31,57)),IF(INDEX(properties!A$1:CB$87,'Fórmula'!F31,57)&lt;&gt;"",INDEX(properties!A$1:CB$87,'Fórmula'!F31,57)),IF(INDEX(properties!A$1:CB$87,'Fórmula'!H31,57)&lt;&gt;"",INDEX(properties!A$1:CB$87,'Fórmula'!H31,57)),IF(INDEX(properties!A$1:CB$87,'Fórmula'!J31,57)&lt;&gt;"",INDEX(properties!A$1:CB$87,'Fórmula'!J31,57)))</f>
        <v>352.90197</v>
      </c>
      <c r="GC31" s="104">
        <f t="array" ref="GC31">MAX(INDEX(properties!A$1:CB$87,'Fórmula'!B31,57),INDEX(properties!A$1:CB$87,'Fórmula'!D31,57),INDEX(properties!A$1:CB$87,'Fórmula'!F31,57),INDEX(properties!A$1:CB$87,'Fórmula'!H31,57),INDEX(properties!A$1:CB$87,'Fórmula'!J31,57))</f>
        <v>50.55</v>
      </c>
      <c r="GD31" s="104">
        <f t="array" ref="GD31">MIN(IF(INDEX(properties!A$1:CB$87,'Fórmula'!B31,57)=0,10^6,INDEX(properties!A$1:CB$87,'Fórmula'!B31,57)),IF(INDEX(properties!A$1:CB$87,'Fórmula'!D31,57)=0,10^6,INDEX(properties!A$1:CB$87,'Fórmula'!D31,57)),IF(INDEX(properties!A$1:CB$87,'Fórmula'!F31,57)=0,10^6,INDEX(properties!A$1:CB$87,'Fórmula'!F31,57)),IF(INDEX(properties!A$1:CB$87,'Fórmula'!H31,57)=0,10^6,INDEX(properties!A$1:CB$87,'Fórmula'!H31,57)),IF(INDEX(properties!A$1:CB$87,'Fórmula'!J31,57)=0,10^6,INDEX(properties!A$1:CB$87,'Fórmula'!J31,57)))</f>
        <v>0.22259</v>
      </c>
      <c r="GE31" s="104">
        <f t="shared" si="31"/>
        <v>50.32741</v>
      </c>
      <c r="GF31" s="105">
        <f t="array" ref="GF31">(('Fórmula'!C31)/('Fórmula'!C31+'Fórmula'!E31+'Fórmula'!G31+'Fórmula'!I31+'Fórmula'!K31))*(INDEX(properties!A$1:CB$87,'Fórmula'!B31,60))+(('Fórmula'!E31)/('Fórmula'!C31+'Fórmula'!E31+'Fórmula'!G31+'Fórmula'!I31+'Fórmula'!K31))*(INDEX(properties!A$1:CB$87,'Fórmula'!D31,60))+(('Fórmula'!G31)/('Fórmula'!C31+'Fórmula'!E31+'Fórmula'!G31+'Fórmula'!I31+'Fórmula'!K31))*(INDEX(properties!A$1:CB$87,'Fórmula'!F31,60))+(('Fórmula'!I31)/('Fórmula'!C31+'Fórmula'!E31+'Fórmula'!G31+'Fórmula'!I31+'Fórmula'!K31))*(INDEX(properties!A$1:CB$87,'Fórmula'!H31,60))+(('Fórmula'!K31)/('Fórmula'!C31+'Fórmula'!E31+'Fórmula'!G31+'Fórmula'!I31+'Fórmula'!K31))*(INDEX(properties!A$1:CB$87,'Fórmula'!J31,60))</f>
        <v>61.96260923</v>
      </c>
      <c r="GG31" s="105">
        <f t="array" ref="GG31">'Fórmula'!C31*(INDEX(properties!A$1:CB$87,'Fórmula'!B31,60))+'Fórmula'!E31*(INDEX(properties!A$1:CB$87,'Fórmula'!D31,60))+'Fórmula'!G31*(INDEX(properties!A$1:CB$87,'Fórmula'!F31,60))+'Fórmula'!I31*(INDEX(properties!A$1:CB$87,'Fórmula'!H31,60))+'Fórmula'!K31*(INDEX(properties!A$1:CB$87,'Fórmula'!J31,60))</f>
        <v>805.51392</v>
      </c>
      <c r="GH31" s="105">
        <f t="array" ref="GH31">VARP(IF(INDEX(properties!A$1:CB$87,'Fórmula'!B31,60)&lt;&gt;"",INDEX(properties!A$1:CB$87,'Fórmula'!B31,60)),IF(INDEX(properties!A$1:CB$87,'Fórmula'!D31,60)&lt;&gt;"",INDEX(properties!A$1:CB$87,'Fórmula'!D31,60)),IF(INDEX(properties!A$1:CB$87,'Fórmula'!F31,60)&lt;&gt;"",INDEX(properties!A$1:CB$87,'Fórmula'!F31,60)),IF(INDEX(properties!A$1:CB$87,'Fórmula'!H31,60)&lt;&gt;"",INDEX(properties!A$1:CB$87,'Fórmula'!H31,60)),IF(INDEX(properties!A$1:CB$87,'Fórmula'!J31,60)&lt;&gt;"",INDEX(properties!A$1:CB$87,'Fórmula'!J31,60)))</f>
        <v>8796.835409</v>
      </c>
      <c r="GI31" s="105">
        <f t="array" ref="GI31">MAX(INDEX(properties!A$1:CB$87,'Fórmula'!B31,60),INDEX(properties!A$1:CB$87,'Fórmula'!D31,60),INDEX(properties!A$1:CB$87,'Fórmula'!F31,60),INDEX(properties!A$1:CB$87,'Fórmula'!H31,60),INDEX(properties!A$1:CB$87,'Fórmula'!J31,60))</f>
        <v>237</v>
      </c>
      <c r="GJ31" s="105">
        <f t="array" ref="GJ31">MIN(IF(INDEX(properties!A$1:CB$87,'Fórmula'!B31,60)=0,10^6,INDEX(properties!A$1:CB$87,'Fórmula'!B31,60)),IF(INDEX(properties!A$1:CB$87,'Fórmula'!D31,60)=0,10^6,INDEX(properties!A$1:CB$87,'Fórmula'!D31,60)),IF(INDEX(properties!A$1:CB$87,'Fórmula'!F31,60)=0,10^6,INDEX(properties!A$1:CB$87,'Fórmula'!F31,60)),IF(INDEX(properties!A$1:CB$87,'Fórmula'!H31,60)=0,10^6,INDEX(properties!A$1:CB$87,'Fórmula'!H31,60)),IF(INDEX(properties!A$1:CB$87,'Fórmula'!J31,60)=0,10^6,INDEX(properties!A$1:CB$87,'Fórmula'!J31,60)))</f>
        <v>0.02674</v>
      </c>
      <c r="GK31" s="105">
        <f t="shared" si="32"/>
        <v>236.97326</v>
      </c>
      <c r="GL31" s="106">
        <f t="array" ref="GL31">(('Fórmula'!C31)/('Fórmula'!C31+'Fórmula'!E31+'Fórmula'!G31+'Fórmula'!I31+'Fórmula'!K31))*(INDEX(properties!A$1:CB$87,'Fórmula'!B31,62))+(('Fórmula'!E31)/('Fórmula'!C31+'Fórmula'!E31+'Fórmula'!G31+'Fórmula'!I31+'Fórmula'!K31))*(INDEX(properties!A$1:CB$87,'Fórmula'!D31,62))+(('Fórmula'!G31)/('Fórmula'!C31+'Fórmula'!E31+'Fórmula'!G31+'Fórmula'!I31+'Fórmula'!K31))*(INDEX(properties!A$1:CB$87,'Fórmula'!F31,62))+(('Fórmula'!I31)/('Fórmula'!C31+'Fórmula'!E31+'Fórmula'!G31+'Fórmula'!I31+'Fórmula'!K31))*(INDEX(properties!A$1:CB$87,'Fórmula'!H31,62))+(('Fórmula'!K31)/('Fórmula'!C31+'Fórmula'!E31+'Fórmula'!G31+'Fórmula'!I31+'Fórmula'!K31))*(INDEX(properties!A$1:CB$87,'Fórmula'!J31,62))</f>
        <v>2.978461538</v>
      </c>
      <c r="GM31" s="106">
        <f t="array" ref="GM31">'Fórmula'!C31*(INDEX(properties!A$1:CB$87,'Fórmula'!B31,62))+'Fórmula'!E31*(INDEX(properties!A$1:CB$87,'Fórmula'!D31,62))+'Fórmula'!G31*(INDEX(properties!A$1:CB$87,'Fórmula'!F31,62))+'Fórmula'!I31*(INDEX(properties!A$1:CB$87,'Fórmula'!H31,62))+'Fórmula'!K31*(INDEX(properties!A$1:CB$87,'Fórmula'!J31,62))</f>
        <v>38.72</v>
      </c>
      <c r="GN31" s="106">
        <f t="array" ref="GN31">VARP(IF(INDEX(properties!A$1:CB$87,'Fórmula'!B31,62)&lt;&gt;"",INDEX(properties!A$1:CB$87,'Fórmula'!B31,62)),IF(INDEX(properties!A$1:CB$87,'Fórmula'!D31,62)&lt;&gt;"",INDEX(properties!A$1:CB$87,'Fórmula'!D31,62)),IF(INDEX(properties!A$1:CB$87,'Fórmula'!F31,62)&lt;&gt;"",INDEX(properties!A$1:CB$87,'Fórmula'!F31,62)),IF(INDEX(properties!A$1:CB$87,'Fórmula'!H31,62)&lt;&gt;"",INDEX(properties!A$1:CB$87,'Fórmula'!H31,62)),IF(INDEX(properties!A$1:CB$87,'Fórmula'!J31,62)&lt;&gt;"",INDEX(properties!A$1:CB$87,'Fórmula'!J31,62)))</f>
        <v>2.439576</v>
      </c>
      <c r="GO31" s="106">
        <f t="array" ref="GO31">MAX(INDEX(properties!A$1:CB$87,'Fórmula'!B31,62),INDEX(properties!A$1:CB$87,'Fórmula'!D31,62),INDEX(properties!A$1:CB$87,'Fórmula'!F31,62),INDEX(properties!A$1:CB$87,'Fórmula'!H31,62),INDEX(properties!A$1:CB$87,'Fórmula'!J31,62))</f>
        <v>4.63</v>
      </c>
      <c r="GP31" s="106">
        <f t="array" ref="GP31">MIN(IF(INDEX(properties!A$1:CB$87,'Fórmula'!B31,62)=0,10^6,INDEX(properties!A$1:CB$87,'Fórmula'!B31,62)),IF(INDEX(properties!A$1:CB$87,'Fórmula'!D31,62)=0,10^6,INDEX(properties!A$1:CB$87,'Fórmula'!D31,62)),IF(INDEX(properties!A$1:CB$87,'Fórmula'!F31,62)=0,10^6,INDEX(properties!A$1:CB$87,'Fórmula'!F31,62)),IF(INDEX(properties!A$1:CB$87,'Fórmula'!H31,62)=0,10^6,INDEX(properties!A$1:CB$87,'Fórmula'!H31,62)),IF(INDEX(properties!A$1:CB$87,'Fórmula'!J31,62)=0,10^6,INDEX(properties!A$1:CB$87,'Fórmula'!J31,62)))</f>
        <v>1.72</v>
      </c>
      <c r="GQ31" s="106">
        <f t="shared" si="33"/>
        <v>2.91</v>
      </c>
      <c r="GR31" s="106">
        <f>'Fórmula'!Q31</f>
        <v>14</v>
      </c>
      <c r="GS31" s="107">
        <f>'Fórmula'!P31</f>
        <v>6</v>
      </c>
      <c r="GT31" s="113">
        <f>'Fórmula'!O31</f>
        <v>3.12</v>
      </c>
      <c r="GU31" s="114">
        <f>AVERAGE('Fórmula'!R31/'Fórmula'!S31,'Fórmula'!S31/'Fórmula'!T31,'Fórmula'!T31/'Fórmula'!R31)</f>
        <v>1.003380268</v>
      </c>
      <c r="GV31" s="125">
        <f>'Fórmula'!U31</f>
        <v>693.71</v>
      </c>
      <c r="GW31" s="106">
        <f>'Fórmula'!N31</f>
        <v>0.04</v>
      </c>
    </row>
    <row r="32" ht="14.25" customHeight="1">
      <c r="A32" s="99" t="str">
        <f>'Fórmula'!A32</f>
        <v>Y4Al2O9</v>
      </c>
      <c r="B32" s="100">
        <f t="array" ref="B32">(('Fórmula'!C32)/('Fórmula'!C32+'Fórmula'!E32+'Fórmula'!G32+'Fórmula'!I32+'Fórmula'!K32))*(INDEX(properties!A$1:CB$87,'Fórmula'!B32,3))+(('Fórmula'!E32)/('Fórmula'!C32+'Fórmula'!E32+'Fórmula'!G32+'Fórmula'!I32+'Fórmula'!K32))*(INDEX(properties!A$1:CB$87,'Fórmula'!D32,3))+(('Fórmula'!G32)/('Fórmula'!C32+'Fórmula'!E32+'Fórmula'!G32+'Fórmula'!I32+'Fórmula'!K32))*(INDEX(properties!A$1:CB$87,'Fórmula'!F32,3))+(('Fórmula'!I32)/('Fórmula'!C32+'Fórmula'!E32+'Fórmula'!G32+'Fórmula'!I32+'Fórmula'!K32))*(INDEX(properties!A$1:CB$87,'Fórmula'!H32,3))+(('Fórmula'!K32)/('Fórmula'!C32+'Fórmula'!E32+'Fórmula'!G32+'Fórmula'!I32+'Fórmula'!K32))*(INDEX(properties!A$1:CB$87,'Fórmula'!J32,3))</f>
        <v>36.90540253</v>
      </c>
      <c r="C32" s="101">
        <f t="array" ref="C32">'Fórmula'!C32*(INDEX(properties!A$1:CB$87,'Fórmula'!B32,3))+'Fórmula'!E32*(INDEX(properties!A$1:CB$87,'Fórmula'!D32,3))+'Fórmula'!G32*(INDEX(properties!A$1:CB$87,'Fórmula'!F32,3))+'Fórmula'!I32*(INDEX(properties!A$1:CB$87,'Fórmula'!H32,3))+'Fórmula'!K32*(INDEX(properties!A$1:CB$87,'Fórmula'!J32,3))</f>
        <v>553.581038</v>
      </c>
      <c r="D32" s="101">
        <f t="array" ref="D32">VARP(IF(INDEX(properties!A$1:CB$87,'Fórmula'!B32,3)&lt;&gt;"",INDEX(properties!A$1:CB$87,'Fórmula'!B32,3)),IF(INDEX(properties!A$1:CB$87,'Fórmula'!D32,3)&lt;&gt;"",INDEX(properties!A$1:CB$87,'Fórmula'!D32,3)),IF(INDEX(properties!A$1:CB$87,'Fórmula'!F32,3)&lt;&gt;"",INDEX(properties!A$1:CB$87,'Fórmula'!F32,3)),IF(INDEX(properties!A$1:CB$87,'Fórmula'!H32,3)&lt;&gt;"",INDEX(properties!A$1:CB$87,'Fórmula'!H32,3)),IF(INDEX(properties!A$1:CB$87,'Fórmula'!J32,3)&lt;&gt;"",INDEX(properties!A$1:CB$87,'Fórmula'!J32,3)))</f>
        <v>1081.881628</v>
      </c>
      <c r="E32" s="101">
        <f t="array" ref="E32">MAX(INDEX(properties!A$1:CB$87,'Fórmula'!B32,3),INDEX(properties!A$1:CB$87,'Fórmula'!D32,3),INDEX(properties!A$1:CB$87,'Fórmula'!F32,3),INDEX(properties!A$1:CB$87,'Fórmula'!H32,3),INDEX(properties!A$1:CB$87,'Fórmula'!J32,3))</f>
        <v>88.90584</v>
      </c>
      <c r="F32" s="101">
        <f t="array" ref="F32">MIN(IF(INDEX(properties!A$1:CB$87,'Fórmula'!B32,3)=0,10^6,INDEX(properties!A$1:CB$87,'Fórmula'!B32,3)),IF(INDEX(properties!A$1:CB$87,'Fórmula'!D32,3)=0,10^6,INDEX(properties!A$1:CB$87,'Fórmula'!D32,3)),IF(INDEX(properties!A$1:CB$87,'Fórmula'!F32,3)=0,10^6,INDEX(properties!A$1:CB$87,'Fórmula'!F32,3)),IF(INDEX(properties!A$1:CB$87,'Fórmula'!H32,3)=0,10^6,INDEX(properties!A$1:CB$87,'Fórmula'!H32,3)),IF(INDEX(properties!A$1:CB$87,'Fórmula'!J32,3)=0,10^6,INDEX(properties!A$1:CB$87,'Fórmula'!J32,3)))</f>
        <v>15.9994</v>
      </c>
      <c r="G32" s="101">
        <f t="shared" si="1"/>
        <v>72.90644</v>
      </c>
      <c r="H32" s="102">
        <f t="array" ref="H32">(('Fórmula'!C32)/('Fórmula'!C32+'Fórmula'!E32+'Fórmula'!G32+'Fórmula'!I32+'Fórmula'!K32))*(INDEX(properties!A$1:CB$87,'Fórmula'!B32,4))+(('Fórmula'!E32)/('Fórmula'!C32+'Fórmula'!E32+'Fórmula'!G32+'Fórmula'!I32+'Fórmula'!K32))*(INDEX(properties!A$1:CB$87,'Fórmula'!D32,4))+(('Fórmula'!G32)/('Fórmula'!C32+'Fórmula'!E32+'Fórmula'!G32+'Fórmula'!I32+'Fórmula'!K32))*(INDEX(properties!A$1:CB$87,'Fórmula'!F32,4))+(('Fórmula'!I32)/('Fórmula'!C32+'Fórmula'!E32+'Fórmula'!G32+'Fórmula'!I32+'Fórmula'!K32))*(INDEX(properties!A$1:CB$87,'Fórmula'!H32,4))+(('Fórmula'!K32)/('Fórmula'!C32+'Fórmula'!E32+'Fórmula'!G32+'Fórmula'!I32+'Fórmula'!K32))*(INDEX(properties!A$1:CB$87,'Fórmula'!J32,4))</f>
        <v>16.93333333</v>
      </c>
      <c r="I32" s="102">
        <f t="array" ref="I32">'Fórmula'!C32*(INDEX(properties!A$1:CB$87,'Fórmula'!B32,4))+'Fórmula'!E32*(INDEX(properties!A$1:CB$87,'Fórmula'!D32,4))+'Fórmula'!G32*(INDEX(properties!A$1:CB$87,'Fórmula'!F32,4))+'Fórmula'!I32*(INDEX(properties!A$1:CB$87,'Fórmula'!H32,4))+'Fórmula'!K32*(INDEX(properties!A$1:CB$87,'Fórmula'!J32,4))</f>
        <v>254</v>
      </c>
      <c r="J32" s="102">
        <f t="array" ref="J32">VARP(IF(INDEX(properties!A$1:CB$87,'Fórmula'!B32,4)&lt;&gt;"",INDEX(properties!A$1:CB$87,'Fórmula'!B32,4)),IF(INDEX(properties!A$1:CB$87,'Fórmula'!D32,4)&lt;&gt;"",INDEX(properties!A$1:CB$87,'Fórmula'!D32,4)),IF(INDEX(properties!A$1:CB$87,'Fórmula'!F32,4)&lt;&gt;"",INDEX(properties!A$1:CB$87,'Fórmula'!F32,4)),IF(INDEX(properties!A$1:CB$87,'Fórmula'!H32,4)&lt;&gt;"",INDEX(properties!A$1:CB$87,'Fórmula'!H32,4)),IF(INDEX(properties!A$1:CB$87,'Fórmula'!J32,4)&lt;&gt;"",INDEX(properties!A$1:CB$87,'Fórmula'!J32,4)))</f>
        <v>206.8</v>
      </c>
      <c r="K32" s="102">
        <f t="array" ref="K32">MAX(INDEX(properties!A$1:CB$87,'Fórmula'!B32,4),INDEX(properties!A$1:CB$87,'Fórmula'!D32,4),INDEX(properties!A$1:CB$87,'Fórmula'!F32,4),INDEX(properties!A$1:CB$87,'Fórmula'!H32,4),INDEX(properties!A$1:CB$87,'Fórmula'!J32,4))</f>
        <v>39</v>
      </c>
      <c r="L32" s="102">
        <f t="array" ref="L32">MIN(IF(INDEX(properties!A$1:CB$87,'Fórmula'!B32,4)=0,10^6,INDEX(properties!A$1:CB$87,'Fórmula'!B32,4)),IF(INDEX(properties!A$1:CB$87,'Fórmula'!D32,4)=0,10^6,INDEX(properties!A$1:CB$87,'Fórmula'!D32,4)),IF(INDEX(properties!A$1:CB$87,'Fórmula'!F32,4)=0,10^6,INDEX(properties!A$1:CB$87,'Fórmula'!F32,4)),IF(INDEX(properties!A$1:CB$87,'Fórmula'!H32,4)=0,10^6,INDEX(properties!A$1:CB$87,'Fórmula'!H32,4)),IF(INDEX(properties!A$1:CB$87,'Fórmula'!J32,4)=0,10^6,INDEX(properties!A$1:CB$87,'Fórmula'!J32,4)))</f>
        <v>8</v>
      </c>
      <c r="M32" s="102">
        <f t="shared" si="2"/>
        <v>31</v>
      </c>
      <c r="N32" s="103">
        <f t="array" ref="N32">(('Fórmula'!C32)/('Fórmula'!C32+'Fórmula'!E32+'Fórmula'!G32+'Fórmula'!I32+'Fórmula'!K32))*(INDEX(properties!A$1:CB$87,'Fórmula'!B32,5))+(('Fórmula'!E32)/('Fórmula'!C32+'Fórmula'!E32+'Fórmula'!G32+'Fórmula'!I32+'Fórmula'!K32))*(INDEX(properties!A$1:CB$87,'Fórmula'!D32,5))+(('Fórmula'!G32)/('Fórmula'!C32+'Fórmula'!E32+'Fórmula'!G32+'Fórmula'!I32+'Fórmula'!K32))*(INDEX(properties!A$1:CB$87,'Fórmula'!F32,5))+(('Fórmula'!I32)/('Fórmula'!C32+'Fórmula'!E32+'Fórmula'!G32+'Fórmula'!I32+'Fórmula'!K32))*(INDEX(properties!A$1:CB$87,'Fórmula'!H32,5))+(('Fórmula'!K32)/('Fórmula'!C32+'Fórmula'!E32+'Fórmula'!G32+'Fórmula'!I32+'Fórmula'!K32))*(INDEX(properties!A$1:CB$87,'Fórmula'!J32,5))</f>
        <v>2.933333333</v>
      </c>
      <c r="O32" s="103">
        <f t="array" ref="O32">'Fórmula'!C32*(INDEX(properties!A$1:CB$87,'Fórmula'!B32,5))+'Fórmula'!E32*(INDEX(properties!A$1:CB$87,'Fórmula'!D32,5))+'Fórmula'!G32*(INDEX(properties!A$1:CB$87,'Fórmula'!F32,5))+'Fórmula'!I32*(INDEX(properties!A$1:CB$87,'Fórmula'!H32,5))+'Fórmula'!K32*(INDEX(properties!A$1:CB$87,'Fórmula'!J32,5))</f>
        <v>44</v>
      </c>
      <c r="P32" s="103">
        <f t="array" ref="P32">VARP(IF(INDEX(properties!A$1:CB$87,'Fórmula'!B32,5)&lt;&gt;"",INDEX(properties!A$1:CB$87,'Fórmula'!B32,5)),IF(INDEX(properties!A$1:CB$87,'Fórmula'!D32,5)&lt;&gt;"",INDEX(properties!A$1:CB$87,'Fórmula'!D32,5)),IF(INDEX(properties!A$1:CB$87,'Fórmula'!F32,5)&lt;&gt;"",INDEX(properties!A$1:CB$87,'Fórmula'!F32,5)),IF(INDEX(properties!A$1:CB$87,'Fórmula'!H32,5)&lt;&gt;"",INDEX(properties!A$1:CB$87,'Fórmula'!H32,5)),IF(INDEX(properties!A$1:CB$87,'Fórmula'!J32,5)&lt;&gt;"",INDEX(properties!A$1:CB$87,'Fórmula'!J32,5)))</f>
        <v>3.6</v>
      </c>
      <c r="Q32" s="103">
        <f t="array" ref="Q32">MAX(INDEX(properties!A$1:CB$87,'Fórmula'!B32,5),INDEX(properties!A$1:CB$87,'Fórmula'!D32,5),INDEX(properties!A$1:CB$87,'Fórmula'!F32,5),INDEX(properties!A$1:CB$87,'Fórmula'!H32,5),INDEX(properties!A$1:CB$87,'Fórmula'!J32,5))</f>
        <v>5</v>
      </c>
      <c r="R32" s="103">
        <f t="array" ref="R32">MIN(IF(INDEX(properties!A$1:CB$87,'Fórmula'!B32,5)=0,10^6,INDEX(properties!A$1:CB$87,'Fórmula'!B32,5)),IF(INDEX(properties!A$1:CB$87,'Fórmula'!D32,5)=0,10^6,INDEX(properties!A$1:CB$87,'Fórmula'!D32,5)),IF(INDEX(properties!A$1:CB$87,'Fórmula'!F32,5)=0,10^6,INDEX(properties!A$1:CB$87,'Fórmula'!F32,5)),IF(INDEX(properties!A$1:CB$87,'Fórmula'!H32,5)=0,10^6,INDEX(properties!A$1:CB$87,'Fórmula'!H32,5)),IF(INDEX(properties!A$1:CB$87,'Fórmula'!J32,5)=0,10^6,INDEX(properties!A$1:CB$87,'Fórmula'!J32,5)))</f>
        <v>2</v>
      </c>
      <c r="S32" s="103">
        <f t="shared" si="3"/>
        <v>3</v>
      </c>
      <c r="T32" s="104">
        <f t="array" ref="T32">(('Fórmula'!C32)/('Fórmula'!C32+'Fórmula'!E32+'Fórmula'!G32+'Fórmula'!I32+'Fórmula'!K32))*(INDEX(properties!A$1:CB$87,'Fórmula'!B32,6))+(('Fórmula'!E32)/('Fórmula'!C32+'Fórmula'!E32+'Fórmula'!G32+'Fórmula'!I32+'Fórmula'!K32))*(INDEX(properties!A$1:CB$87,'Fórmula'!D32,6))+(('Fórmula'!G32)/('Fórmula'!C32+'Fórmula'!E32+'Fórmula'!G32+'Fórmula'!I32+'Fórmula'!K32))*(INDEX(properties!A$1:CB$87,'Fórmula'!F32,6))+(('Fórmula'!I32)/('Fórmula'!C32+'Fórmula'!E32+'Fórmula'!G32+'Fórmula'!I32+'Fórmula'!K32))*(INDEX(properties!A$1:CB$87,'Fórmula'!H32,6))+(('Fórmula'!K32)/('Fórmula'!C32+'Fórmula'!E32+'Fórmula'!G32+'Fórmula'!I32+'Fórmula'!K32))*(INDEX(properties!A$1:CB$87,'Fórmula'!J32,6))</f>
        <v>12.13333333</v>
      </c>
      <c r="U32" s="104">
        <f t="array" ref="U32">'Fórmula'!C32*(INDEX(properties!A$1:CB$87,'Fórmula'!B32,6))+'Fórmula'!E32*(INDEX(properties!A$1:CB$87,'Fórmula'!D32,6))+'Fórmula'!G32*(INDEX(properties!A$1:CB$87,'Fórmula'!F32,6))+'Fórmula'!I32*(INDEX(properties!A$1:CB$87,'Fórmula'!H32,6))+'Fórmula'!K32*(INDEX(properties!A$1:CB$87,'Fórmula'!J32,6))</f>
        <v>182</v>
      </c>
      <c r="V32" s="103">
        <f t="array" ref="V32">VARP(IF(INDEX(properties!A$1:CB$87,'Fórmula'!B32,6)&lt;&gt;"",INDEX(properties!A$1:CB$87,'Fórmula'!B32,6)),IF(INDEX(properties!A$1:CB$87,'Fórmula'!D32,6)&lt;&gt;"",INDEX(properties!A$1:CB$87,'Fórmula'!D32,6)),IF(INDEX(properties!A$1:CB$87,'Fórmula'!F32,6)&lt;&gt;"",INDEX(properties!A$1:CB$87,'Fórmula'!F32,6)),IF(INDEX(properties!A$1:CB$87,'Fórmula'!H32,6)&lt;&gt;"",INDEX(properties!A$1:CB$87,'Fórmula'!H32,6)),IF(INDEX(properties!A$1:CB$87,'Fórmula'!J32,6)&lt;&gt;"",INDEX(properties!A$1:CB$87,'Fórmula'!J32,6)))</f>
        <v>45.84</v>
      </c>
      <c r="W32" s="104">
        <f t="array" ref="W32">MAX(INDEX(properties!A$1:CB$87,'Fórmula'!B32,6),INDEX(properties!A$1:CB$87,'Fórmula'!D32,6),INDEX(properties!A$1:CB$87,'Fórmula'!F32,6),INDEX(properties!A$1:CB$87,'Fórmula'!H32,4),INDEX(properties!A$1:CB$87,'Fórmula'!J32,6))</f>
        <v>16</v>
      </c>
      <c r="X32" s="104">
        <f t="array" ref="X32">MIN(IF(INDEX(properties!A$1:CB$87,'Fórmula'!B32,6)=0,10^6,INDEX(properties!A$1:CB$87,'Fórmula'!B32,6)),IF(INDEX(properties!A$1:CB$87,'Fórmula'!D32,6)=0,10^6,INDEX(properties!A$1:CB$87,'Fórmula'!D32,6)),IF(INDEX(properties!A$1:CB$87,'Fórmula'!F32,6)=0,10^6,INDEX(properties!A$1:CB$87,'Fórmula'!F32,6)),IF(INDEX(properties!A$1:CB$87,'Fórmula'!H32,6)=0,10^6,INDEX(properties!A$1:CB$87,'Fórmula'!H32,6)),IF(INDEX(properties!A$1:CB$87,'Fórmula'!J32,6)=0,10^6,INDEX(properties!A$1:CB$87,'Fórmula'!J32,6)))</f>
        <v>3</v>
      </c>
      <c r="Y32" s="104">
        <f t="shared" si="4"/>
        <v>13</v>
      </c>
      <c r="Z32" s="105">
        <f t="array" ref="Z32">(('Fórmula'!C32)/('Fórmula'!C32+'Fórmula'!E32+'Fórmula'!G32+'Fórmula'!I32+'Fórmula'!K32))*(INDEX(properties!A$1:CB$87,'Fórmula'!B32,9))+(('Fórmula'!E32)/('Fórmula'!C32+'Fórmula'!E32+'Fórmula'!G32+'Fórmula'!I32+'Fórmula'!K32))*(INDEX(properties!A$1:CB$87,'Fórmula'!D32,9))+(('Fórmula'!G32)/('Fórmula'!C32+'Fórmula'!E32+'Fórmula'!G32+'Fórmula'!I32+'Fórmula'!K32))*(INDEX(properties!A$1:CB$87,'Fórmula'!F32,9))+(('Fórmula'!I32)/('Fórmula'!C32+'Fórmula'!E32+'Fórmula'!G32+'Fórmula'!I32+'Fórmula'!K32))*(INDEX(properties!A$1:CB$87,'Fórmula'!H32,9))+(('Fórmula'!K32)/('Fórmula'!C32+'Fórmula'!E32+'Fórmula'!G32+'Fórmula'!I32+'Fórmula'!K32))*(INDEX(properties!A$1:CB$87,'Fórmula'!J32,9))</f>
        <v>65.13333333</v>
      </c>
      <c r="AA32" s="105">
        <f t="array" ref="AA32">'Fórmula'!C32*(INDEX(properties!A$1:CB$87,'Fórmula'!B32,9))+'Fórmula'!E32*(INDEX(properties!A$1:CB$87,'Fórmula'!D32,9))+'Fórmula'!G32*(INDEX(properties!A$1:CB$87,'Fórmula'!F32,9))+'Fórmula'!I32*(INDEX(properties!A$1:CB$87,'Fórmula'!H32,9))+'Fórmula'!K32*(INDEX(properties!A$1:CB$87,'Fórmula'!J32,9))</f>
        <v>977</v>
      </c>
      <c r="AB32" s="105">
        <f t="array" ref="AB32">VARP(IF(INDEX(properties!A$1:CB$87,'Fórmula'!B32,9)&lt;&gt;"",INDEX(properties!A$1:CB$87,'Fórmula'!B32,9)),IF(INDEX(properties!A$1:CB$87,'Fórmula'!D32,9)&lt;&gt;"",INDEX(properties!A$1:CB$87,'Fórmula'!D32,9)),IF(INDEX(properties!A$1:CB$87,'Fórmula'!F32,9)&lt;&gt;"",INDEX(properties!A$1:CB$87,'Fórmula'!F32,9)),IF(INDEX(properties!A$1:CB$87,'Fórmula'!H32,9)&lt;&gt;"",INDEX(properties!A$1:CB$87,'Fórmula'!H32,9)),IF(INDEX(properties!A$1:CB$87,'Fórmula'!J32,9)&lt;&gt;"",INDEX(properties!A$1:CB$87,'Fórmula'!J32,9)))</f>
        <v>1425.04</v>
      </c>
      <c r="AC32" s="105">
        <f t="array" ref="AC32">MAX(INDEX(properties!A$1:CB$87,'Fórmula'!B32,9),INDEX(properties!A$1:CB$87,'Fórmula'!D32,9),INDEX(properties!A$1:CB$87,'Fórmula'!F32,9),INDEX(properties!A$1:CB$87,'Fórmula'!H32,9),INDEX(properties!A$1:CB$87,'Fórmula'!J32,9))</f>
        <v>87</v>
      </c>
      <c r="AD32" s="105">
        <f t="array" ref="AD32">MIN(IF(INDEX(properties!A$1:CB$87,'Fórmula'!B32,9)=0,10^6,INDEX(properties!A$1:CB$87,'Fórmula'!B32,9)),IF(INDEX(properties!A$1:CB$87,'Fórmula'!D32,9)=0,10^6,INDEX(properties!A$1:CB$87,'Fórmula'!D32,9)),IF(INDEX(properties!A$1:CB$87,'Fórmula'!F32,9)=0,10^6,INDEX(properties!A$1:CB$87,'Fórmula'!F32,9)),IF(INDEX(properties!A$1:CB$87,'Fórmula'!H32,9)=0,10^6,INDEX(properties!A$1:CB$87,'Fórmula'!H32,9)),IF(INDEX(properties!A$1:CB$87,'Fórmula'!J32,9)=0,10^6,INDEX(properties!A$1:CB$87,'Fórmula'!J32,9)))</f>
        <v>12</v>
      </c>
      <c r="AE32" s="105">
        <f t="shared" si="5"/>
        <v>75</v>
      </c>
      <c r="AF32" s="106">
        <f t="array" ref="AF32">(('Fórmula'!C32)/('Fórmula'!C32+'Fórmula'!E32+'Fórmula'!G32+'Fórmula'!I32+'Fórmula'!K32))*(INDEX(properties!A$1:CB$87,'Fórmula'!B32,10))+(('Fórmula'!E32)/('Fórmula'!C32+'Fórmula'!E32+'Fórmula'!G32+'Fórmula'!I32+'Fórmula'!K32))*(INDEX(properties!A$1:CB$87,'Fórmula'!D32,10))+(('Fórmula'!G32)/('Fórmula'!C32+'Fórmula'!E32+'Fórmula'!G32+'Fórmula'!I32+'Fórmula'!K32))*(INDEX(properties!A$1:CB$87,'Fórmula'!F32,10))+(('Fórmula'!I32)/('Fórmula'!C32+'Fórmula'!E32+'Fórmula'!G32+'Fórmula'!I32+'Fórmula'!K32))*(INDEX(properties!A$1:CB$87,'Fórmula'!H32,10))+(('Fórmula'!K32)/('Fórmula'!C32+'Fórmula'!E32+'Fórmula'!G32+'Fórmula'!I32+'Fórmula'!K32))*(INDEX(properties!A$1:CB$87,'Fórmula'!J32,10))</f>
        <v>5.666666667</v>
      </c>
      <c r="AG32" s="106">
        <f t="array" ref="AG32">'Fórmula'!C32*(INDEX(properties!A$1:CB$87,'Fórmula'!B32,10))+'Fórmula'!E32*(INDEX(properties!A$1:CB$87,'Fórmula'!D32,10))+'Fórmula'!G32*(INDEX(properties!A$1:CB$87,'Fórmula'!F32,10))+'Fórmula'!I32*(INDEX(properties!A$1:CB$87,'Fórmula'!H32,10))+'Fórmula'!K32*(INDEX(properties!A$1:CB$87,'Fórmula'!J32,10))</f>
        <v>85</v>
      </c>
      <c r="AH32" s="106">
        <f t="array" ref="AH32">VARP(IF(INDEX(properties!A$1:CB$87,'Fórmula'!B32,10)&lt;&gt;"",INDEX(properties!A$1:CB$87,'Fórmula'!B32,10)),IF(INDEX(properties!A$1:CB$87,'Fórmula'!D32,10)&lt;&gt;"",INDEX(properties!A$1:CB$87,'Fórmula'!D32,10)),IF(INDEX(properties!A$1:CB$87,'Fórmula'!F32,10)&lt;&gt;"",INDEX(properties!A$1:CB$87,'Fórmula'!F32,10)),IF(INDEX(properties!A$1:CB$87,'Fórmula'!H32,10)&lt;&gt;"",INDEX(properties!A$1:CB$87,'Fórmula'!H32,10)),IF(INDEX(properties!A$1:CB$87,'Fórmula'!J32,10)&lt;&gt;"",INDEX(properties!A$1:CB$87,'Fórmula'!J32,10)))</f>
        <v>7.6</v>
      </c>
      <c r="AI32" s="106">
        <f t="array" ref="AI32">MAX(INDEX(properties!A$1:CB$87,'Fórmula'!B32,10),INDEX(properties!A$1:CB$87,'Fórmula'!D32,10),INDEX(properties!A$1:CB$87,'Fórmula'!F32,10),INDEX(properties!A$1:CB$87,'Fórmula'!H32,10),INDEX(properties!A$1:CB$87,'Fórmula'!J32,10))</f>
        <v>7</v>
      </c>
      <c r="AJ32" s="106">
        <f t="array" ref="AJ32">MIN(IF(INDEX(properties!A$1:CB$87,'Fórmula'!B32,10)=0,10^6,INDEX(properties!A$1:CB$87,'Fórmula'!B32,10)),IF(INDEX(properties!A$1:CB$87,'Fórmula'!D32,10)=0,10^6,INDEX(properties!A$1:CB$87,'Fórmula'!D32,10)),IF(INDEX(properties!A$1:CB$87,'Fórmula'!F32,10)=0,10^6,INDEX(properties!A$1:CB$87,'Fórmula'!F32,10)),IF(INDEX(properties!A$1:CB$87,'Fórmula'!H32,10)=0,10^6,INDEX(properties!A$1:CB$87,'Fórmula'!H32,10)),IF(INDEX(properties!A$1:CB$87,'Fórmula'!J32,10)=0,10^6,INDEX(properties!A$1:CB$87,'Fórmula'!J32,10)))</f>
        <v>3</v>
      </c>
      <c r="AK32" s="106">
        <f t="shared" si="6"/>
        <v>4</v>
      </c>
      <c r="AL32" s="107">
        <f t="array" ref="AL32">(('Fórmula'!C32)/('Fórmula'!C32+'Fórmula'!E32+'Fórmula'!G32+'Fórmula'!I32+'Fórmula'!K32))*(INDEX(properties!A$1:CB$87,'Fórmula'!B32,11))+(('Fórmula'!E32)/('Fórmula'!C32+'Fórmula'!E32+'Fórmula'!G32+'Fórmula'!I32+'Fórmula'!K32))*(INDEX(properties!A$1:CB$87,'Fórmula'!D32,11))+(('Fórmula'!G32)/('Fórmula'!C32+'Fórmula'!E32+'Fórmula'!G32+'Fórmula'!I32+'Fórmula'!K32))*(INDEX(properties!A$1:CB$87,'Fórmula'!F32,11))+(('Fórmula'!I32)/('Fórmula'!C32+'Fórmula'!E32+'Fórmula'!G32+'Fórmula'!I32+'Fórmula'!K32))*(INDEX(properties!A$1:CB$87,'Fórmula'!H32,11))+(('Fórmula'!K32)/('Fórmula'!C32+'Fórmula'!E32+'Fórmula'!G32+'Fórmula'!I32+'Fórmula'!K32))*(INDEX(properties!A$1:CB$87,'Fórmula'!J32,11))</f>
        <v>2</v>
      </c>
      <c r="AM32" s="107">
        <f t="array" ref="AM32">'Fórmula'!C32*(INDEX(properties!A$1:CB$87,'Fórmula'!B32,11))+'Fórmula'!E32*(INDEX(properties!A$1:CB$87,'Fórmula'!D32,11))+'Fórmula'!G32*(INDEX(properties!A$1:CB$87,'Fórmula'!F32,11))+'Fórmula'!I32*(INDEX(properties!A$1:CB$87,'Fórmula'!H32,11))+'Fórmula'!K32*(INDEX(properties!A$1:CB$87,'Fórmula'!J32,11))</f>
        <v>30</v>
      </c>
      <c r="AN32" s="107">
        <f t="array" ref="AN32">VARP(IF(INDEX(properties!A$1:CB$87,'Fórmula'!B32,11)&lt;&gt;"",INDEX(properties!A$1:CB$87,'Fórmula'!B32,11)),IF(INDEX(properties!A$1:CB$87,'Fórmula'!D32,11)&lt;&gt;"",INDEX(properties!A$1:CB$87,'Fórmula'!D32,11)),IF(INDEX(properties!A$1:CB$87,'Fórmula'!F32,11)&lt;&gt;"",INDEX(properties!A$1:CB$87,'Fórmula'!F32,11)),IF(INDEX(properties!A$1:CB$87,'Fórmula'!H32,11)&lt;&gt;"",INDEX(properties!A$1:CB$87,'Fórmula'!H32,11)),IF(INDEX(properties!A$1:CB$87,'Fórmula'!J32,11)&lt;&gt;"",INDEX(properties!A$1:CB$87,'Fórmula'!J32,11)))</f>
        <v>0.96</v>
      </c>
      <c r="AO32" s="107">
        <f t="array" ref="AO32">MAX(INDEX(properties!A$1:CB$87,'Fórmula'!B32,11),INDEX(properties!A$1:CB$87,'Fórmula'!D32,11),INDEX(properties!A$1:CB$87,'Fórmula'!F32,11),INDEX(properties!A$1:CB$87,'Fórmula'!H32,11),INDEX(properties!A$1:CB$87,'Fórmula'!J32,11))</f>
        <v>2</v>
      </c>
      <c r="AP32" s="107">
        <f t="array" ref="AP32">MIN(IF('Fórmula'!B32=87,10^6,INDEX(properties!A$1:CB$87,'Fórmula'!B32,11)),IF(('Fórmula'!D32)=87,10^6,INDEX(properties!A$1:CB$87,'Fórmula'!D32,11)),IF(('Fórmula'!F32)=87,10^6,INDEX(properties!A$1:CB$87,'Fórmula'!F32,11)),IF(('Fórmula'!H32)=87,10^6,INDEX(properties!A$1:CB$87,'Fórmula'!H32,11)),IF('Fórmula'!J32=87,10^6,INDEX(properties!A$1:CB$87,'Fórmula'!J32,11)))</f>
        <v>2</v>
      </c>
      <c r="AQ32" s="107">
        <f t="shared" si="7"/>
        <v>0</v>
      </c>
      <c r="AR32" s="108">
        <f t="array" ref="AR32">(('Fórmula'!C32)/('Fórmula'!C32+'Fórmula'!E32+'Fórmula'!G32+'Fórmula'!I32+'Fórmula'!K32))*(INDEX(properties!A$1:CB$87,'Fórmula'!B32,12))+(('Fórmula'!E32)/('Fórmula'!C32+'Fórmula'!E32+'Fórmula'!G32+'Fórmula'!I32+'Fórmula'!K32))*(INDEX(properties!A$1:CB$87,'Fórmula'!D32,12))+(('Fórmula'!G32)/('Fórmula'!C32+'Fórmula'!E32+'Fórmula'!G32+'Fórmula'!I32+'Fórmula'!K32))*(INDEX(properties!A$1:CB$87,'Fórmula'!F32,12))+(('Fórmula'!I32)/('Fórmula'!C32+'Fórmula'!E32+'Fórmula'!G32+'Fórmula'!I32+'Fórmula'!K32))*(INDEX(properties!A$1:CB$87,'Fórmula'!H32,12))+(('Fórmula'!K32)/('Fórmula'!C32+'Fórmula'!E32+'Fórmula'!G32+'Fórmula'!I32+'Fórmula'!K32))*(INDEX(properties!A$1:CB$87,'Fórmula'!J32,12))</f>
        <v>2.533333333</v>
      </c>
      <c r="AS32" s="108">
        <f t="array" ref="AS32">'Fórmula'!C32*(INDEX(properties!A$1:CB$87,'Fórmula'!B32,12))+'Fórmula'!E32*(INDEX(properties!A$1:CB$87,'Fórmula'!D32,12))+'Fórmula'!G32*(INDEX(properties!A$1:CB$87,'Fórmula'!F32,12))+'Fórmula'!I32*(INDEX(properties!A$1:CB$87,'Fórmula'!H32,12))+'Fórmula'!K32*(INDEX(properties!A$1:CB$87,'Fórmula'!J32,12))</f>
        <v>38</v>
      </c>
      <c r="AT32" s="108">
        <f t="array" ref="AT32">VARP(IF(INDEX(properties!A$1:CB$87,'Fórmula'!B32,12)&lt;&gt;"",INDEX(properties!A$1:CB$87,'Fórmula'!B32,12)),IF(INDEX(properties!A$1:CB$87,'Fórmula'!D32,12)&lt;&gt;"",INDEX(properties!A$1:CB$87,'Fórmula'!D32,12)),IF(INDEX(properties!A$1:CB$87,'Fórmula'!F32,12)&lt;&gt;"",INDEX(properties!A$1:CB$87,'Fórmula'!F32,12)),IF(INDEX(properties!A$1:CB$87,'Fórmula'!H32,12)&lt;&gt;"",INDEX(properties!A$1:CB$87,'Fórmula'!H32,12)),IF(INDEX(properties!A$1:CB$87,'Fórmula'!J32,12)&lt;&gt;"",INDEX(properties!A$1:CB$87,'Fórmula'!J32,12)))</f>
        <v>2.4</v>
      </c>
      <c r="AU32" s="108">
        <f t="array" ref="AU32">MAX(INDEX(properties!A$1:CB$87,'Fórmula'!B32,12),INDEX(properties!A$1:CB$87,'Fórmula'!D32,12),INDEX(properties!A$1:CB$87,'Fórmula'!F32,12),INDEX(properties!A$1:CB$87,'Fórmula'!H32,12),INDEX(properties!A$1:CB$87,'Fórmula'!J32,12))</f>
        <v>4</v>
      </c>
      <c r="AV32" s="108">
        <f t="array" ref="AV32">MIN(IF('Fórmula'!B32=87,10^6,INDEX(properties!A$1:CB$87,'Fórmula'!B32,12)),IF(('Fórmula'!D32)=87,10^6,INDEX(properties!A$1:CB$87,'Fórmula'!D32,12)),IF(('Fórmula'!F32)=87,10^6,INDEX(properties!A$1:CB$87,'Fórmula'!F32,12)),IF(('Fórmula'!H32)=87,10^6,INDEX(properties!A$1:CB$87,'Fórmula'!H32,12)),IF('Fórmula'!J32=87,10^6,INDEX(properties!A$1:CB$87,'Fórmula'!J32,12)))</f>
        <v>0</v>
      </c>
      <c r="AW32" s="108">
        <f t="shared" si="8"/>
        <v>4</v>
      </c>
      <c r="AX32" s="109">
        <f t="array" ref="AX32">(('Fórmula'!C32)/('Fórmula'!C32+'Fórmula'!E32+'Fórmula'!G32+'Fórmula'!I32+'Fórmula'!K32))*(INDEX(properties!A$1:CB$87,'Fórmula'!B32,13))+(('Fórmula'!E32)/('Fórmula'!C32+'Fórmula'!E32+'Fórmula'!G32+'Fórmula'!I32+'Fórmula'!K32))*(INDEX(properties!A$1:CB$87,'Fórmula'!D32,13))+(('Fórmula'!G32)/('Fórmula'!C32+'Fórmula'!E32+'Fórmula'!G32+'Fórmula'!I32+'Fórmula'!K32))*(INDEX(properties!A$1:CB$87,'Fórmula'!F32,13))+(('Fórmula'!I32)/('Fórmula'!C32+'Fórmula'!E32+'Fórmula'!G32+'Fórmula'!I32+'Fórmula'!K32))*(INDEX(properties!A$1:CB$87,'Fórmula'!H32,13))+(('Fórmula'!K32)/('Fórmula'!C32+'Fórmula'!E32+'Fórmula'!G32+'Fórmula'!I32+'Fórmula'!K32))*(INDEX(properties!A$1:CB$87,'Fórmula'!J32,13))</f>
        <v>0.2666666667</v>
      </c>
      <c r="AY32" s="109">
        <f t="array" ref="AY32">'Fórmula'!C32*(INDEX(properties!A$1:CB$87,'Fórmula'!B32,13))+'Fórmula'!E32*(INDEX(properties!A$1:CB$87,'Fórmula'!D32,13))+'Fórmula'!G32*(INDEX(properties!A$1:CB$87,'Fórmula'!F32,13))+'Fórmula'!I32*(INDEX(properties!A$1:CB$87,'Fórmula'!H32,13))+'Fórmula'!K32*(INDEX(properties!A$1:CB$87,'Fórmula'!J32,13))</f>
        <v>4</v>
      </c>
      <c r="AZ32" s="109">
        <f t="array" ref="AZ32">VARP(IF(INDEX(properties!A$1:CB$87,'Fórmula'!B32,13)&lt;&gt;"",INDEX(properties!A$1:CB$87,'Fórmula'!B32,13)),IF(INDEX(properties!A$1:CB$87,'Fórmula'!D32,13)&lt;&gt;"",INDEX(properties!A$1:CB$87,'Fórmula'!D32,13)),IF(INDEX(properties!A$1:CB$87,'Fórmula'!F32,13)&lt;&gt;"",INDEX(properties!A$1:CB$87,'Fórmula'!F32,13)),IF(INDEX(properties!A$1:CB$87,'Fórmula'!H32,13)&lt;&gt;"",INDEX(properties!A$1:CB$87,'Fórmula'!H32,13)),IF(INDEX(properties!A$1:CB$87,'Fórmula'!J32,13)&lt;&gt;"",INDEX(properties!A$1:CB$87,'Fórmula'!J32,13)))</f>
        <v>0.16</v>
      </c>
      <c r="BA32" s="109">
        <f t="array" ref="BA32">MAX(INDEX(properties!A$1:CB$87,'Fórmula'!B32,13),INDEX(properties!A$1:CB$87,'Fórmula'!D32,13),INDEX(properties!A$1:CB$87,'Fórmula'!F32,13),INDEX(properties!A$1:CB$87,'Fórmula'!H32,13),INDEX(properties!A$1:CB$87,'Fórmula'!J32,13))</f>
        <v>1</v>
      </c>
      <c r="BB32" s="109">
        <f t="array" ref="BB32">MIN(IF('Fórmula'!B32=87,10^6,INDEX(properties!A$1:CB$87,'Fórmula'!B32,13)),IF(('Fórmula'!D32)=87,10^6,INDEX(properties!A$1:CB$87,'Fórmula'!D32,13)),IF(('Fórmula'!F32)=87,10^6,INDEX(properties!A$1:CB$87,'Fórmula'!F32,13)),IF(('Fórmula'!H32)=87,10^6,INDEX(properties!A$1:CB$87,'Fórmula'!H32,13)),IF('Fórmula'!J32=87,10^6,INDEX(properties!A$1:CB$87,'Fórmula'!J32,13)))</f>
        <v>0</v>
      </c>
      <c r="BC32" s="109">
        <f t="shared" si="9"/>
        <v>1</v>
      </c>
      <c r="BD32" s="110">
        <f t="array" ref="BD32">(('Fórmula'!C32)/('Fórmula'!C32+'Fórmula'!E32+'Fórmula'!G32+'Fórmula'!I32+'Fórmula'!K32))*(INDEX(properties!A$1:CB$87,'Fórmula'!B32,14))+(('Fórmula'!E32)/('Fórmula'!C32+'Fórmula'!E32+'Fórmula'!G32+'Fórmula'!I32+'Fórmula'!K32))*(INDEX(properties!A$1:CB$87,'Fórmula'!D32,14))+(('Fórmula'!G32)/('Fórmula'!C32+'Fórmula'!E32+'Fórmula'!G32+'Fórmula'!I32+'Fórmula'!K32))*(INDEX(properties!A$1:CB$87,'Fórmula'!F32,14))+(('Fórmula'!I32)/('Fórmula'!C32+'Fórmula'!E32+'Fórmula'!G32+'Fórmula'!I32+'Fórmula'!K32))*(INDEX(properties!A$1:CB$87,'Fórmula'!H32,14))+(('Fórmula'!K32)/('Fórmula'!C32+'Fórmula'!E32+'Fórmula'!G32+'Fórmula'!I32+'Fórmula'!K32))*(INDEX(properties!A$1:CB$87,'Fórmula'!J32,14))</f>
        <v>0</v>
      </c>
      <c r="BE32" s="110">
        <f t="array" ref="BE32">'Fórmula'!C32*(INDEX(properties!A$1:CB$87,'Fórmula'!B32,14))+'Fórmula'!E32*(INDEX(properties!A$1:CB$87,'Fórmula'!D32,14))+'Fórmula'!G32*(INDEX(properties!A$1:CB$87,'Fórmula'!F32,14))+'Fórmula'!I32*(INDEX(properties!A$1:CB$87,'Fórmula'!H32,14))+'Fórmula'!K32*(INDEX(properties!A$1:CB$87,'Fórmula'!J32,14))</f>
        <v>0</v>
      </c>
      <c r="BF32" s="110">
        <f t="array" ref="BF32">VARP(IF(INDEX(properties!A$1:CB$87,'Fórmula'!B32,14)&lt;&gt;"",INDEX(properties!A$1:CB$87,'Fórmula'!B32,14)),IF(INDEX(properties!A$1:CB$87,'Fórmula'!D32,14)&lt;&gt;"",INDEX(properties!A$1:CB$87,'Fórmula'!D32,14)),IF(INDEX(properties!A$1:CB$87,'Fórmula'!F32,14)&lt;&gt;"",INDEX(properties!A$1:CB$87,'Fórmula'!F32,14)),IF(INDEX(properties!A$1:CB$87,'Fórmula'!H32,14)&lt;&gt;"",INDEX(properties!A$1:CB$87,'Fórmula'!H32,14)),IF(INDEX(properties!A$1:CB$87,'Fórmula'!J32,14)&lt;&gt;"",INDEX(properties!A$1:CB$87,'Fórmula'!J32,14)))</f>
        <v>0</v>
      </c>
      <c r="BG32" s="110">
        <f t="array" ref="BG32">MAX(INDEX(properties!A$1:CB$87,'Fórmula'!B32,14),INDEX(properties!A$1:CB$87,'Fórmula'!D32,14),INDEX(properties!A$1:CB$87,'Fórmula'!F32,14),INDEX(properties!A$1:CB$87,'Fórmula'!H32,14),INDEX(properties!A$1:CB$87,'Fórmula'!J32,14))</f>
        <v>0</v>
      </c>
      <c r="BH32" s="110">
        <f t="array" ref="BH32">MIN(IF('Fórmula'!B32=87,10^6,INDEX(properties!A$1:CB$87,'Fórmula'!B32,14)),IF(('Fórmula'!D32)=87,10^6,INDEX(properties!A$1:CB$87,'Fórmula'!D32,14)),IF(('Fórmula'!F32)=87,10^6,INDEX(properties!A$1:CB$87,'Fórmula'!F32,14)),IF(('Fórmula'!H32)=87,10^6,INDEX(properties!A$1:CB$87,'Fórmula'!H32,14)),IF('Fórmula'!J32=87,10^6,INDEX(properties!A$1:CB$87,'Fórmula'!J32,14)))</f>
        <v>0</v>
      </c>
      <c r="BI32" s="110">
        <f t="shared" si="10"/>
        <v>0</v>
      </c>
      <c r="BJ32" s="111">
        <f t="array" ref="BJ32">(('Fórmula'!C32)/('Fórmula'!C32+'Fórmula'!E32+'Fórmula'!G32+'Fórmula'!I32+'Fórmula'!K32))*(INDEX(properties!A$1:CB$87,'Fórmula'!B32,19))+(('Fórmula'!E32)/('Fórmula'!C32+'Fórmula'!E32+'Fórmula'!G32+'Fórmula'!I32+'Fórmula'!K32))*(INDEX(properties!A$1:CB$87,'Fórmula'!D32,19))+(('Fórmula'!G32)/('Fórmula'!C32+'Fórmula'!E32+'Fórmula'!G32+'Fórmula'!I32+'Fórmula'!K32))*(INDEX(properties!A$1:CB$87,'Fórmula'!F32,19))+(('Fórmula'!I32)/('Fórmula'!C32+'Fórmula'!E32+'Fórmula'!G32+'Fórmula'!I32+'Fórmula'!K32))*(INDEX(properties!A$1:CB$87,'Fórmula'!H32,19))+(('Fórmula'!K32)/('Fórmula'!C32+'Fórmula'!E32+'Fórmula'!G32+'Fórmula'!I32+'Fórmula'!K32))*(INDEX(properties!A$1:CB$87,'Fórmula'!J32,19))</f>
        <v>4.8</v>
      </c>
      <c r="BK32" s="111">
        <f t="array" ref="BK32">'Fórmula'!C32*(INDEX(properties!A$1:CB$87,'Fórmula'!B32,19))+'Fórmula'!E32*(INDEX(properties!A$1:CB$87,'Fórmula'!D32,19))+'Fórmula'!G32*(INDEX(properties!A$1:CB$87,'Fórmula'!F32,19))+'Fórmula'!I32*(INDEX(properties!A$1:CB$87,'Fórmula'!H32,19))+'Fórmula'!K32*(INDEX(properties!A$1:CB$87,'Fórmula'!J32,19))</f>
        <v>72</v>
      </c>
      <c r="BL32" s="111">
        <f t="array" ref="BL32">VARP(IF(INDEX(properties!A$1:CB$87,'Fórmula'!B32,19)&lt;&gt;"",INDEX(properties!A$1:CB$87,'Fórmula'!B32,19)),IF(INDEX(properties!A$1:CB$87,'Fórmula'!D32,19)&lt;&gt;"",INDEX(properties!A$1:CB$87,'Fórmula'!D32,19)),IF(INDEX(properties!A$1:CB$87,'Fórmula'!F32,19)&lt;&gt;"",INDEX(properties!A$1:CB$87,'Fórmula'!F32,19)),IF(INDEX(properties!A$1:CB$87,'Fórmula'!H32,19)&lt;&gt;"",INDEX(properties!A$1:CB$87,'Fórmula'!H32,19)),IF(INDEX(properties!A$1:CB$87,'Fórmula'!J32,19)&lt;&gt;"",INDEX(properties!A$1:CB$87,'Fórmula'!J32,19)))</f>
        <v>5.04</v>
      </c>
      <c r="BM32" s="111">
        <f t="array" ref="BM32">MAX(INDEX(properties!A$1:CB$87,'Fórmula'!B32,19),INDEX(properties!A$1:CB$87,'Fórmula'!D32,19),INDEX(properties!A$1:CB$87,'Fórmula'!F32,19),INDEX(properties!A$1:CB$87,'Fórmula'!H32,19),INDEX(properties!A$1:CB$87,'Fórmula'!J32,19))</f>
        <v>6</v>
      </c>
      <c r="BN32" s="111">
        <f t="array" ref="BN32">MIN(IF(INDEX(properties!A$1:CB$87,'Fórmula'!B32,19)=0,10^6,INDEX(properties!A$1:CB$87,'Fórmula'!B32,19)),IF(INDEX(properties!A$1:CB$87,'Fórmula'!D32,19)=0,10^6,INDEX(properties!A$1:CB$87,'Fórmula'!D32,19)),IF(INDEX(properties!A$1:CB$87,'Fórmula'!F32,19)=0,10^6,INDEX(properties!A$1:CB$87,'Fórmula'!F32,19)),IF(INDEX(properties!A$1:CB$87,'Fórmula'!H32,19)=0,10^6,INDEX(properties!A$1:CB$87,'Fórmula'!H32,19)),IF(INDEX(properties!A$1:CB$87,'Fórmula'!J32,19)=0,10^6,INDEX(properties!A$1:CB$87,'Fórmula'!J32,19)))</f>
        <v>3</v>
      </c>
      <c r="BO32" s="111">
        <f t="shared" si="11"/>
        <v>3</v>
      </c>
      <c r="BP32" s="112">
        <f t="array" ref="BP32">(('Fórmula'!C32)/('Fórmula'!C32+'Fórmula'!E32+'Fórmula'!G32+'Fórmula'!I32+'Fórmula'!K32))*(INDEX(properties!A$1:CB$87,'Fórmula'!B32,20))+(('Fórmula'!E32)/('Fórmula'!C32+'Fórmula'!E32+'Fórmula'!G32+'Fórmula'!I32+'Fórmula'!K32))*(INDEX(properties!A$1:CB$87,'Fórmula'!D32,20))+(('Fórmula'!G32)/('Fórmula'!C32+'Fórmula'!E32+'Fórmula'!G32+'Fórmula'!I32+'Fórmula'!K32))*(INDEX(properties!A$1:CB$87,'Fórmula'!F32,20))+(('Fórmula'!I32)/('Fórmula'!C32+'Fórmula'!E32+'Fórmula'!G32+'Fórmula'!I32+'Fórmula'!K32))*(INDEX(properties!A$1:CB$87,'Fórmula'!H32,20))+(('Fórmula'!K32)/('Fórmula'!C32+'Fórmula'!E32+'Fórmula'!G32+'Fórmula'!I32+'Fórmula'!K32))*(INDEX(properties!A$1:CB$87,'Fórmula'!J32,20))</f>
        <v>4.533333333</v>
      </c>
      <c r="BQ32" s="112">
        <f t="array" ref="BQ32">'Fórmula'!C32*(INDEX(properties!A$1:CB$87,'Fórmula'!B32,20))+'Fórmula'!E32*(INDEX(properties!A$1:CB$87,'Fórmula'!D32,20))+'Fórmula'!G32*(INDEX(properties!A$1:CB$87,'Fórmula'!F32,20))+'Fórmula'!I32*(INDEX(properties!A$1:CB$87,'Fórmula'!H32,20))+'Fórmula'!K32*(INDEX(properties!A$1:CB$87,'Fórmula'!J32,20))</f>
        <v>68</v>
      </c>
      <c r="BR32" s="112">
        <f t="array" ref="BR32">VARP(IF(INDEX(properties!A$1:CB$87,'Fórmula'!B32,20)&lt;&gt;"",INDEX(properties!A$1:CB$87,'Fórmula'!B32,20)),IF(INDEX(properties!A$1:CB$87,'Fórmula'!D32,20)&lt;&gt;"",INDEX(properties!A$1:CB$87,'Fórmula'!D32,20)),IF(INDEX(properties!A$1:CB$87,'Fórmula'!F32,20)&lt;&gt;"",INDEX(properties!A$1:CB$87,'Fórmula'!F32,20)),IF(INDEX(properties!A$1:CB$87,'Fórmula'!H32,20)&lt;&gt;"",INDEX(properties!A$1:CB$87,'Fórmula'!H32,20)),IF(INDEX(properties!A$1:CB$87,'Fórmula'!J32,20)&lt;&gt;"",INDEX(properties!A$1:CB$87,'Fórmula'!J32,20)))</f>
        <v>4.96</v>
      </c>
      <c r="BS32" s="112">
        <f t="array" ref="BS32">MAX(INDEX(properties!A$1:CB$87,'Fórmula'!B32,20),INDEX(properties!A$1:CB$87,'Fórmula'!D32,20),INDEX(properties!A$1:CB$87,'Fórmula'!F32,20),INDEX(properties!A$1:CB$87,'Fórmula'!H32,20),INDEX(properties!A$1:CB$87,'Fórmula'!J32,20))</f>
        <v>6</v>
      </c>
      <c r="BT32" s="112">
        <f t="array" ref="BT32">MIN(IF(INDEX(properties!A$1:CB$87,'Fórmula'!B32,20)=0,10^6,INDEX(properties!A$1:CB$87,'Fórmula'!B32,20)),IF(INDEX(properties!A$1:CB$87,'Fórmula'!D32,20)=0,10^6,INDEX(properties!A$1:CB$87,'Fórmula'!D32,20)),IF(INDEX(properties!A$1:CB$87,'Fórmula'!F32,20)=0,10^6,INDEX(properties!A$1:CB$87,'Fórmula'!F32,20)),IF(INDEX(properties!A$1:CB$87,'Fórmula'!H32,20)=0,10^6,INDEX(properties!A$1:CB$87,'Fórmula'!H32,20)),IF(INDEX(properties!A$1:CB$87,'Fórmula'!J32,20)=0,10^6,INDEX(properties!A$1:CB$87,'Fórmula'!J32,20)))</f>
        <v>2</v>
      </c>
      <c r="BU32" s="112">
        <f t="shared" si="12"/>
        <v>4</v>
      </c>
      <c r="BV32" s="113">
        <f t="array" ref="BV32">(('Fórmula'!C32)/('Fórmula'!C32+'Fórmula'!E32+'Fórmula'!G32+'Fórmula'!I32+'Fórmula'!K32))*(INDEX(properties!A$1:CB$87,'Fórmula'!B32,21))+(('Fórmula'!E32)/('Fórmula'!C32+'Fórmula'!E32+'Fórmula'!G32+'Fórmula'!I32+'Fórmula'!K32))*(INDEX(properties!A$1:CB$87,'Fórmula'!D32,21))+(('Fórmula'!G32)/('Fórmula'!C32+'Fórmula'!E32+'Fórmula'!G32+'Fórmula'!I32+'Fórmula'!K32))*(INDEX(properties!A$1:CB$87,'Fórmula'!F32,21))+(('Fórmula'!I32)/('Fórmula'!C32+'Fórmula'!E32+'Fórmula'!G32+'Fórmula'!I32+'Fórmula'!K32))*(INDEX(properties!A$1:CB$87,'Fórmula'!H32,21))+(('Fórmula'!K32)/('Fórmula'!C32+'Fórmula'!E32+'Fórmula'!G32+'Fórmula'!I32+'Fórmula'!K32))*(INDEX(properties!A$1:CB$87,'Fórmula'!J32,21))</f>
        <v>4.266666667</v>
      </c>
      <c r="BW32" s="113">
        <f t="array" ref="BW32">'Fórmula'!C32*(INDEX(properties!A$1:CB$87,'Fórmula'!B32,21))+'Fórmula'!E32*(INDEX(properties!A$1:CB$87,'Fórmula'!D32,21))+'Fórmula'!G32*(INDEX(properties!A$1:CB$87,'Fórmula'!F32,21))+'Fórmula'!I32*(INDEX(properties!A$1:CB$87,'Fórmula'!H32,21))+'Fórmula'!K32*(INDEX(properties!A$1:CB$87,'Fórmula'!J32,21))</f>
        <v>64</v>
      </c>
      <c r="BX32" s="113">
        <f t="array" ref="BX32">VARP(IF(INDEX(properties!A$1:CB$87,'Fórmula'!B32,21)&lt;&gt;"",INDEX(properties!A$1:CB$87,'Fórmula'!B32,21)),IF(INDEX(properties!A$1:CB$87,'Fórmula'!D32,21)&lt;&gt;"",INDEX(properties!A$1:CB$87,'Fórmula'!D32,21)),IF(INDEX(properties!A$1:CB$87,'Fórmula'!F32,21)&lt;&gt;"",INDEX(properties!A$1:CB$87,'Fórmula'!F32,21)),IF(INDEX(properties!A$1:CB$87,'Fórmula'!H32,21)&lt;&gt;"",INDEX(properties!A$1:CB$87,'Fórmula'!H32,21)),IF(INDEX(properties!A$1:CB$87,'Fórmula'!J32,21)&lt;&gt;"",INDEX(properties!A$1:CB$87,'Fórmula'!J32,21)))</f>
        <v>5.2</v>
      </c>
      <c r="BY32" s="113">
        <f t="array" ref="BY32">MAX(INDEX(properties!A$1:CB$87,'Fórmula'!B32,21),INDEX(properties!A$1:CB$87,'Fórmula'!D32,21),INDEX(properties!A$1:CB$87,'Fórmula'!F32,21),INDEX(properties!A$1:CB$87,'Fórmula'!H32,21),INDEX(properties!A$1:CB$87,'Fórmula'!J32,21))</f>
        <v>6</v>
      </c>
      <c r="BZ32" s="113">
        <f t="array" ref="BZ32">MIN(IF(INDEX(properties!A$1:CB$87,'Fórmula'!B32,21)=0,10^6,INDEX(properties!A$1:CB$87,'Fórmula'!B32,21)),IF(INDEX(properties!A$1:CB$87,'Fórmula'!D32,21)=0,10^6,INDEX(properties!A$1:CB$87,'Fórmula'!D32,21)),IF(INDEX(properties!A$1:CB$87,'Fórmula'!F32,21)=0,10^6,INDEX(properties!A$1:CB$87,'Fórmula'!F32,21)),IF(INDEX(properties!A$1:CB$87,'Fórmula'!H32,21)=0,10^6,INDEX(properties!A$1:CB$87,'Fórmula'!H32,21)),IF(INDEX(properties!A$1:CB$87,'Fórmula'!J32,21)=0,10^6,INDEX(properties!A$1:CB$87,'Fórmula'!J32,21)))</f>
        <v>1</v>
      </c>
      <c r="CA32" s="113">
        <f t="shared" si="13"/>
        <v>5</v>
      </c>
      <c r="CB32" s="114">
        <f t="array" ref="CB32">(('Fórmula'!C32)/('Fórmula'!C32+'Fórmula'!E32+'Fórmula'!G32+'Fórmula'!I32+'Fórmula'!K32))*(INDEX(properties!A$1:CB$87,'Fórmula'!B32,23))+(('Fórmula'!E32)/('Fórmula'!C32+'Fórmula'!E32+'Fórmula'!G32+'Fórmula'!I32+'Fórmula'!K32))*(INDEX(properties!A$1:CB$87,'Fórmula'!D32,23))+(('Fórmula'!G32)/('Fórmula'!C32+'Fórmula'!E32+'Fórmula'!G32+'Fórmula'!I32+'Fórmula'!K32))*(INDEX(properties!A$1:CB$87,'Fórmula'!F32,23))+(('Fórmula'!I32)/('Fórmula'!C32+'Fórmula'!E32+'Fórmula'!G32+'Fórmula'!I32+'Fórmula'!K32))*(INDEX(properties!A$1:CB$87,'Fórmula'!H32,23))+(('Fórmula'!K32)/('Fórmula'!C32+'Fórmula'!E32+'Fórmula'!G32+'Fórmula'!I32+'Fórmula'!K32))*(INDEX(properties!A$1:CB$87,'Fórmula'!J32,23))</f>
        <v>1.2</v>
      </c>
      <c r="CC32" s="114">
        <f t="array" ref="CC32">'Fórmula'!C32*(INDEX(properties!A$1:CB$87,'Fórmula'!B32,23))+'Fórmula'!E32*(INDEX(properties!A$1:CB$87,'Fórmula'!D32,23))+'Fórmula'!G32*(INDEX(properties!A$1:CB$87,'Fórmula'!F32,23))+'Fórmula'!I32*(INDEX(properties!A$1:CB$87,'Fórmula'!H32,23))+'Fórmula'!K32*(INDEX(properties!A$1:CB$87,'Fórmula'!J32,23))</f>
        <v>18</v>
      </c>
      <c r="CD32" s="114">
        <f t="array" ref="CD32">VARP(IF(INDEX(properties!A$1:CB$87,'Fórmula'!B32,23)&lt;&gt;"",INDEX(properties!A$1:CB$87,'Fórmula'!B32,23)),IF(INDEX(properties!A$1:CB$87,'Fórmula'!D32,23)&lt;&gt;"",INDEX(properties!A$1:CB$87,'Fórmula'!D32,23)),IF(INDEX(properties!A$1:CB$87,'Fórmula'!F32,23)&lt;&gt;"",INDEX(properties!A$1:CB$87,'Fórmula'!F32,23)),IF(INDEX(properties!A$1:CB$87,'Fórmula'!H32,23)&lt;&gt;"",INDEX(properties!A$1:CB$87,'Fórmula'!H32,23)),IF(INDEX(properties!A$1:CB$87,'Fórmula'!J32,23)&lt;&gt;"",INDEX(properties!A$1:CB$87,'Fórmula'!J32,23)))</f>
        <v>2.16</v>
      </c>
      <c r="CE32" s="114">
        <f t="array" ref="CE32">MAX(INDEX(properties!A$1:CB$87,'Fórmula'!B32,23),INDEX(properties!A$1:CB$87,'Fórmula'!D32,23),INDEX(properties!A$1:CB$87,'Fórmula'!F32,23),INDEX(properties!A$1:CB$87,'Fórmula'!H32,23),INDEX(properties!A$1:CB$87,'Fórmula'!J32,23))</f>
        <v>3</v>
      </c>
      <c r="CF32" s="114">
        <f t="array" ref="CF32">MIN(IF('Fórmula'!B32=87,10^6,INDEX(properties!A$1:CB$87,'Fórmula'!B32,23)),IF(('Fórmula'!D32)=87,10^6,INDEX(properties!A$1:CB$87,'Fórmula'!D32,23)),IF(('Fórmula'!F32)=87,10^6,INDEX(properties!A$1:CB$87,'Fórmula'!F32,23)),IF(('Fórmula'!H32)=87,10^6,INDEX(properties!A$1:CB$87,'Fórmula'!H32,23)),IF('Fórmula'!J32=87,10^6,INDEX(properties!A$1:CB$87,'Fórmula'!J32,23)))</f>
        <v>0</v>
      </c>
      <c r="CG32" s="114">
        <f t="shared" si="14"/>
        <v>3</v>
      </c>
      <c r="CH32" s="115">
        <f t="array" ref="CH32">(('Fórmula'!C32)/('Fórmula'!C32+'Fórmula'!E32+'Fórmula'!G32+'Fórmula'!I32+'Fórmula'!K32))*(INDEX(properties!A$1:CB$87,'Fórmula'!B32,26))+(('Fórmula'!E32)/('Fórmula'!C32+'Fórmula'!E32+'Fórmula'!G32+'Fórmula'!I32+'Fórmula'!K32))*(INDEX(properties!A$1:CB$87,'Fórmula'!D32,26))+(('Fórmula'!G32)/('Fórmula'!C32+'Fórmula'!E32+'Fórmula'!G32+'Fórmula'!I32+'Fórmula'!K32))*(INDEX(properties!A$1:CB$87,'Fórmula'!F32,26))+(('Fórmula'!I32)/('Fórmula'!C32+'Fórmula'!E32+'Fórmula'!G32+'Fórmula'!I32+'Fórmula'!K32))*(INDEX(properties!A$1:CB$87,'Fórmula'!H32,26))+(('Fórmula'!K32)/('Fórmula'!C32+'Fórmula'!E32+'Fórmula'!G32+'Fórmula'!I32+'Fórmula'!K32))*(INDEX(properties!A$1:CB$87,'Fórmula'!J32,26))</f>
        <v>10.62691333</v>
      </c>
      <c r="CI32" s="115">
        <f t="array" ref="CI32">'Fórmula'!C32*(INDEX(properties!A$1:CB$87,'Fórmula'!B32,26))+'Fórmula'!E32*(INDEX(properties!A$1:CB$87,'Fórmula'!D32,26))+'Fórmula'!G32*(INDEX(properties!A$1:CB$87,'Fórmula'!F32,26))+'Fórmula'!I32*(INDEX(properties!A$1:CB$87,'Fórmula'!H32,26))+'Fórmula'!K32*(INDEX(properties!A$1:CB$87,'Fórmula'!J32,26))</f>
        <v>159.4037</v>
      </c>
      <c r="CJ32" s="115">
        <f t="array" ref="CJ32">VARP(IF(INDEX(properties!A$1:CB$87,'Fórmula'!B32,26)&lt;&gt;"",INDEX(properties!A$1:CB$87,'Fórmula'!B32,26)),IF(INDEX(properties!A$1:CB$87,'Fórmula'!D32,26)&lt;&gt;"",INDEX(properties!A$1:CB$87,'Fórmula'!D32,26)),IF(INDEX(properties!A$1:CB$87,'Fórmula'!F32,26)&lt;&gt;"",INDEX(properties!A$1:CB$87,'Fórmula'!F32,26)),IF(INDEX(properties!A$1:CB$87,'Fórmula'!H32,26)&lt;&gt;"",INDEX(properties!A$1:CB$87,'Fórmula'!H32,26)),IF(INDEX(properties!A$1:CB$87,'Fórmula'!J32,26)&lt;&gt;"",INDEX(properties!A$1:CB$87,'Fórmula'!J32,26)))</f>
        <v>25.31807893</v>
      </c>
      <c r="CK32" s="116">
        <f t="array" ref="CK32">MAX(INDEX(properties!A$1:CB$87,'Fórmula'!B32,26),INDEX(properties!A$1:CB$87,'Fórmula'!D32,26),INDEX(properties!A$1:CB$87,'Fórmula'!F32,26),INDEX(properties!A$1:CB$87,'Fórmula'!H32,26),INDEX(properties!A$1:CB$87,'Fórmula'!J32,26))</f>
        <v>13.6181</v>
      </c>
      <c r="CL32" s="116">
        <f t="array" ref="CL32">MIN(IF(INDEX(properties!A$1:CB$87,'Fórmula'!B32,26)=0,10^6,INDEX(properties!A$1:CB$87,'Fórmula'!B32,26)),IF(INDEX(properties!A$1:CB$87,'Fórmula'!D32,26)=0,10^6,INDEX(properties!A$1:CB$87,'Fórmula'!D32,26)),IF(INDEX(properties!A$1:CB$87,'Fórmula'!F32,26)=0,10^6,INDEX(properties!A$1:CB$87,'Fórmula'!F32,26)),IF(INDEX(properties!A$1:CB$87,'Fórmula'!H32,26)=0,10^6,INDEX(properties!A$1:CB$87,'Fórmula'!H32,26)),IF(INDEX(properties!A$1:CB$87,'Fórmula'!J32,26)=0,10^6,INDEX(properties!A$1:CB$87,'Fórmula'!J32,26)))</f>
        <v>5.9858</v>
      </c>
      <c r="CM32" s="115">
        <f t="shared" si="15"/>
        <v>7.6323</v>
      </c>
      <c r="CN32" s="117">
        <f t="array" ref="CN32">(('Fórmula'!C32)/('Fórmula'!C32+'Fórmula'!E32+'Fórmula'!G32+'Fórmula'!I32+'Fórmula'!K32))*(INDEX(properties!A$1:CB$87,'Fórmula'!B32,30))+(('Fórmula'!E32)/('Fórmula'!C32+'Fórmula'!E32+'Fórmula'!G32+'Fórmula'!I32+'Fórmula'!K32))*(INDEX(properties!A$1:CB$87,'Fórmula'!D32,30))+(('Fórmula'!G32)/('Fórmula'!C32+'Fórmula'!E32+'Fórmula'!G32+'Fórmula'!I32+'Fórmula'!K32))*(INDEX(properties!A$1:CB$87,'Fórmula'!F32,30))+(('Fórmula'!I32)/('Fórmula'!C32+'Fórmula'!E32+'Fórmula'!G32+'Fórmula'!I32+'Fórmula'!K32))*(INDEX(properties!A$1:CB$87,'Fórmula'!H32,30))+(('Fórmula'!K32)/('Fórmula'!C32+'Fórmula'!E32+'Fórmula'!G32+'Fórmula'!I32+'Fórmula'!K32))*(INDEX(properties!A$1:CB$87,'Fórmula'!J32,30))</f>
        <v>2.604</v>
      </c>
      <c r="CO32" s="117">
        <f t="array" ref="CO32">'Fórmula'!C32*(INDEX(properties!A$1:CB$87,'Fórmula'!B32,30))+'Fórmula'!E32*(INDEX(properties!A$1:CB$87,'Fórmula'!D32,30))+'Fórmula'!G32*(INDEX(properties!A$1:CB$87,'Fórmula'!F32,30))+'Fórmula'!I32*(INDEX(properties!A$1:CB$87,'Fórmula'!H32,30))+'Fórmula'!K32*(INDEX(properties!A$1:CB$87,'Fórmula'!J32,30))</f>
        <v>39.06</v>
      </c>
      <c r="CP32" s="117">
        <f t="array" ref="CP32">VARP(IF(INDEX(properties!A$1:CB$87,'Fórmula'!B32,30)&lt;&gt;"",INDEX(properties!A$1:CB$87,'Fórmula'!B32,30)),IF(INDEX(properties!A$1:CB$87,'Fórmula'!D32,30)&lt;&gt;"",INDEX(properties!A$1:CB$87,'Fórmula'!D32,30)),IF(INDEX(properties!A$1:CB$87,'Fórmula'!F32,30)&lt;&gt;"",INDEX(properties!A$1:CB$87,'Fórmula'!F32,30)),IF(INDEX(properties!A$1:CB$87,'Fórmula'!H32,30)&lt;&gt;"",INDEX(properties!A$1:CB$87,'Fórmula'!H32,30)),IF(INDEX(properties!A$1:CB$87,'Fórmula'!J32,30)&lt;&gt;"",INDEX(properties!A$1:CB$87,'Fórmula'!J32,30)))</f>
        <v>1.610304</v>
      </c>
      <c r="CQ32" s="117">
        <f t="array" ref="CQ32">MAX(INDEX(properties!A$1:CB$87,'Fórmula'!B32,30),INDEX(properties!A$1:CB$87,'Fórmula'!D32,30),INDEX(properties!A$1:CB$87,'Fórmula'!F32,30),INDEX(properties!A$1:CB$87,'Fórmula'!H32,30),INDEX(properties!A$1:CB$87,'Fórmula'!J32,30))</f>
        <v>3.44</v>
      </c>
      <c r="CR32" s="117">
        <f t="array" ref="CR32">MIN(IF(INDEX(properties!A$1:CB$87,'Fórmula'!B32,30)=0,10^6,INDEX(properties!A$1:CB$87,'Fórmula'!B32,30)),IF(INDEX(properties!A$1:CB$87,'Fórmula'!D32,30)=0,10^6,INDEX(properties!A$1:CB$87,'Fórmula'!D32,30)),IF(INDEX(properties!A$1:CB$87,'Fórmula'!F32,30)=0,10^6,INDEX(properties!A$1:CB$87,'Fórmula'!F32,30)),IF(INDEX(properties!A$1:CB$87,'Fórmula'!H32,30)=0,10^6,INDEX(properties!A$1:CB$87,'Fórmula'!H32,30)),IF(INDEX(properties!A$1:CB$87,'Fórmula'!J32,30)=0,10^6,INDEX(properties!A$1:CB$87,'Fórmula'!J32,30)))</f>
        <v>1.22</v>
      </c>
      <c r="CS32" s="117">
        <f t="shared" si="16"/>
        <v>2.22</v>
      </c>
      <c r="CT32" s="118">
        <f t="array" ref="CT32">(('Fórmula'!C32)/('Fórmula'!C32+'Fórmula'!E32+'Fórmula'!G32+'Fórmula'!I32+'Fórmula'!K32))*(INDEX(properties!A$1:CB$87,'Fórmula'!B32,31))+(('Fórmula'!E32)/('Fórmula'!C32+'Fórmula'!E32+'Fórmula'!G32+'Fórmula'!I32+'Fórmula'!K32))*(INDEX(properties!A$1:CB$87,'Fórmula'!D32,31))+(('Fórmula'!G32)/('Fórmula'!C32+'Fórmula'!E32+'Fórmula'!G32+'Fórmula'!I32+'Fórmula'!K32))*(INDEX(properties!A$1:CB$87,'Fórmula'!F32,31))+(('Fórmula'!I32)/('Fórmula'!C32+'Fórmula'!E32+'Fórmula'!G32+'Fórmula'!I32+'Fórmula'!K32))*(INDEX(properties!A$1:CB$87,'Fórmula'!H32,31))+(('Fórmula'!K32)/('Fórmula'!C32+'Fórmula'!E32+'Fórmula'!G32+'Fórmula'!I32+'Fórmula'!K32))*(INDEX(properties!A$1:CB$87,'Fórmula'!J32,31))</f>
        <v>2.586666667</v>
      </c>
      <c r="CU32" s="118">
        <f t="array" ref="CU32">'Fórmula'!C32*(INDEX(properties!A$1:CB$87,'Fórmula'!B32,31))+'Fórmula'!E32*(INDEX(properties!A$1:CB$87,'Fórmula'!D32,31))+'Fórmula'!G32*(INDEX(properties!A$1:CB$87,'Fórmula'!F32,31))+'Fórmula'!I32*(INDEX(properties!A$1:CB$87,'Fórmula'!H32,31))+'Fórmula'!K32*(INDEX(properties!A$1:CB$87,'Fórmula'!J32,31))</f>
        <v>38.8</v>
      </c>
      <c r="CV32" s="118">
        <f t="array" ref="CV32">VARP(IF(INDEX(properties!A$1:CB$87,'Fórmula'!B32,31)&lt;&gt;"",INDEX(properties!A$1:CB$87,'Fórmula'!B32,31)),IF(INDEX(properties!A$1:CB$87,'Fórmula'!D32,31)&lt;&gt;"",INDEX(properties!A$1:CB$87,'Fórmula'!D32,31)),IF(INDEX(properties!A$1:CB$87,'Fórmula'!F32,31)&lt;&gt;"",INDEX(properties!A$1:CB$87,'Fórmula'!F32,31)),IF(INDEX(properties!A$1:CB$87,'Fórmula'!H32,31)&lt;&gt;"",INDEX(properties!A$1:CB$87,'Fórmula'!H32,31)),IF(INDEX(properties!A$1:CB$87,'Fórmula'!J32,31)&lt;&gt;"",INDEX(properties!A$1:CB$87,'Fórmula'!J32,31)))</f>
        <v>1.516944</v>
      </c>
      <c r="CW32" s="118">
        <f t="array" ref="CW32">MAX(INDEX(properties!A$1:CB$87,'Fórmula'!B32,31),INDEX(properties!A$1:CB$87,'Fórmula'!D32,31),INDEX(properties!A$1:CB$87,'Fórmula'!F32,31),INDEX(properties!A$1:CB$87,'Fórmula'!H32,31),INDEX(properties!A$1:CB$87,'Fórmula'!J32,31))</f>
        <v>3.32</v>
      </c>
      <c r="CX32" s="118">
        <f t="array" ref="CX32">MIN(IF(INDEX(properties!A$1:CB$87,'Fórmula'!B32,31)=0,10^6,INDEX(properties!A$1:CB$87,'Fórmula'!B32,31)),IF(INDEX(properties!A$1:CB$87,'Fórmula'!D32,31)=0,10^6,INDEX(properties!A$1:CB$87,'Fórmula'!D32,31)),IF(INDEX(properties!A$1:CB$87,'Fórmula'!F32,31)=0,10^6,INDEX(properties!A$1:CB$87,'Fórmula'!F32,31)),IF(INDEX(properties!A$1:CB$87,'Fórmula'!H32,31)=0,10^6,INDEX(properties!A$1:CB$87,'Fórmula'!H32,31)),IF(INDEX(properties!A$1:CB$87,'Fórmula'!J32,31)=0,10^6,INDEX(properties!A$1:CB$87,'Fórmula'!J32,31)))</f>
        <v>1.41</v>
      </c>
      <c r="CY32" s="118">
        <f t="shared" si="17"/>
        <v>1.91</v>
      </c>
      <c r="CZ32" s="119">
        <f t="array" ref="CZ32">(('Fórmula'!C32)/('Fórmula'!C32+'Fórmula'!E32+'Fórmula'!G32+'Fórmula'!I32+'Fórmula'!K32))*(INDEX(properties!A$1:CB$87,'Fórmula'!B32,32))+(('Fórmula'!E32)/('Fórmula'!C32+'Fórmula'!E32+'Fórmula'!G32+'Fórmula'!I32+'Fórmula'!K32))*(INDEX(properties!A$1:CB$87,'Fórmula'!D32,32))+(('Fórmula'!G32)/('Fórmula'!C32+'Fórmula'!E32+'Fórmula'!G32+'Fórmula'!I32+'Fórmula'!K32))*(INDEX(properties!A$1:CB$87,'Fórmula'!F32,32))+(('Fórmula'!I32)/('Fórmula'!C32+'Fórmula'!E32+'Fórmula'!G32+'Fórmula'!I32+'Fórmula'!K32))*(INDEX(properties!A$1:CB$87,'Fórmula'!H32,32))+(('Fórmula'!K32)/('Fórmula'!C32+'Fórmula'!E32+'Fórmula'!G32+'Fórmula'!I32+'Fórmula'!K32))*(INDEX(properties!A$1:CB$87,'Fórmula'!J32,32))</f>
        <v>5.805333333</v>
      </c>
      <c r="DA32" s="119">
        <f t="array" ref="DA32">'Fórmula'!C32*(INDEX(properties!A$1:CB$87,'Fórmula'!B32,32))+'Fórmula'!E32*(INDEX(properties!A$1:CB$87,'Fórmula'!D32,32))+'Fórmula'!G32*(INDEX(properties!A$1:CB$87,'Fórmula'!F32,32))+'Fórmula'!I32*(INDEX(properties!A$1:CB$87,'Fórmula'!H32,32))+'Fórmula'!K32*(INDEX(properties!A$1:CB$87,'Fórmula'!J32,32))</f>
        <v>87.08</v>
      </c>
      <c r="DB32" s="119">
        <f t="array" ref="DB32">VARP(IF(INDEX(properties!A$1:CB$87,'Fórmula'!B32,32)&lt;&gt;"",INDEX(properties!A$1:CB$87,'Fórmula'!B32,32)),IF(INDEX(properties!A$1:CB$87,'Fórmula'!D32,32)&lt;&gt;"",INDEX(properties!A$1:CB$87,'Fórmula'!D32,32)),IF(INDEX(properties!A$1:CB$87,'Fórmula'!F32,32)&lt;&gt;"",INDEX(properties!A$1:CB$87,'Fórmula'!F32,32)),IF(INDEX(properties!A$1:CB$87,'Fórmula'!H32,32)&lt;&gt;"",INDEX(properties!A$1:CB$87,'Fórmula'!H32,32)),IF(INDEX(properties!A$1:CB$87,'Fórmula'!J32,32)&lt;&gt;"",INDEX(properties!A$1:CB$87,'Fórmula'!J32,32)))</f>
        <v>7.696856</v>
      </c>
      <c r="DC32" s="119">
        <f t="array" ref="DC32">MAX(INDEX(properties!A$1:CB$87,'Fórmula'!B32,32),INDEX(properties!A$1:CB$87,'Fórmula'!D32,32),INDEX(properties!A$1:CB$87,'Fórmula'!F32,32),INDEX(properties!A$1:CB$87,'Fórmula'!H32,32),INDEX(properties!A$1:CB$87,'Fórmula'!J32,32))</f>
        <v>7.54</v>
      </c>
      <c r="DD32" s="119">
        <f t="array" ref="DD32">MIN(IF(INDEX(properties!A$1:CB$87,'Fórmula'!B32,32)=0,10^6,INDEX(properties!A$1:CB$87,'Fórmula'!B32,32)),IF(INDEX(properties!A$1:CB$87,'Fórmula'!D32,32)=0,10^6,INDEX(properties!A$1:CB$87,'Fórmula'!D32,32)),IF(INDEX(properties!A$1:CB$87,'Fórmula'!F32,32)=0,10^6,INDEX(properties!A$1:CB$87,'Fórmula'!F32,32)),IF(INDEX(properties!A$1:CB$87,'Fórmula'!H32,32)=0,10^6,INDEX(properties!A$1:CB$87,'Fórmula'!H32,32)),IF(INDEX(properties!A$1:CB$87,'Fórmula'!J32,32)=0,10^6,INDEX(properties!A$1:CB$87,'Fórmula'!J32,32)))</f>
        <v>3.19</v>
      </c>
      <c r="DE32" s="119">
        <f t="shared" si="18"/>
        <v>4.35</v>
      </c>
      <c r="DF32" s="104">
        <f t="array" ref="DF32">(('Fórmula'!C32)/('Fórmula'!C32+'Fórmula'!E32+'Fórmula'!G32+'Fórmula'!I32+'Fórmula'!K32))*(INDEX(properties!A$1:CB$87,'Fórmula'!B32,34))+(('Fórmula'!E32)/('Fórmula'!C32+'Fórmula'!E32+'Fórmula'!G32+'Fórmula'!I32+'Fórmula'!K32))*(INDEX(properties!A$1:CB$87,'Fórmula'!D32,34))+(('Fórmula'!G32)/('Fórmula'!C32+'Fórmula'!E32+'Fórmula'!G32+'Fórmula'!I32+'Fórmula'!K32))*(INDEX(properties!A$1:CB$87,'Fórmula'!F32,34))+(('Fórmula'!I32)/('Fórmula'!C32+'Fórmula'!E32+'Fórmula'!G32+'Fórmula'!I32+'Fórmula'!K32))*(INDEX(properties!A$1:CB$87,'Fórmula'!H32,34))+(('Fórmula'!K32)/('Fórmula'!C32+'Fórmula'!E32+'Fórmula'!G32+'Fórmula'!I32+'Fórmula'!K32))*(INDEX(properties!A$1:CB$87,'Fórmula'!J32,34))</f>
        <v>2.679733333</v>
      </c>
      <c r="DG32" s="104">
        <f t="array" ref="DG32">'Fórmula'!C32*(INDEX(properties!A$1:CB$87,'Fórmula'!B32,34))+'Fórmula'!E32*(INDEX(properties!A$1:CB$87,'Fórmula'!D32,34))+'Fórmula'!G32*(INDEX(properties!A$1:CB$87,'Fórmula'!F32,34))+'Fórmula'!I32*(INDEX(properties!A$1:CB$87,'Fórmula'!H32,34))+'Fórmula'!K32*(INDEX(properties!A$1:CB$87,'Fórmula'!J32,34))</f>
        <v>40.196</v>
      </c>
      <c r="DH32" s="104">
        <f t="array" ref="DH32">VARP(IF(INDEX(properties!A$1:CB$87,'Fórmula'!B32,34)&lt;&gt;"",INDEX(properties!A$1:CB$87,'Fórmula'!B32,34)),IF(INDEX(properties!A$1:CB$87,'Fórmula'!D32,34)&lt;&gt;"",INDEX(properties!A$1:CB$87,'Fórmula'!D32,34)),IF(INDEX(properties!A$1:CB$87,'Fórmula'!F32,34)&lt;&gt;"",INDEX(properties!A$1:CB$87,'Fórmula'!F32,34)),IF(INDEX(properties!A$1:CB$87,'Fórmula'!H32,34)&lt;&gt;"",INDEX(properties!A$1:CB$87,'Fórmula'!H32,34)),IF(INDEX(properties!A$1:CB$87,'Fórmula'!J32,34)&lt;&gt;"",INDEX(properties!A$1:CB$87,'Fórmula'!J32,34)))</f>
        <v>1.76830784</v>
      </c>
      <c r="DI32" s="104">
        <f t="array" ref="DI32">MAX(INDEX(properties!A$1:CB$87,'Fórmula'!B32,34),INDEX(properties!A$1:CB$87,'Fórmula'!D32,34),INDEX(properties!A$1:CB$87,'Fórmula'!F32,34),INDEX(properties!A$1:CB$87,'Fórmula'!H32,34),INDEX(properties!A$1:CB$87,'Fórmula'!J32,34))</f>
        <v>3.61</v>
      </c>
      <c r="DJ32" s="104">
        <f t="array" ref="DJ32">MIN(IF(INDEX(properties!A$1:CB$87,'Fórmula'!B32,34)=0,10^6,INDEX(properties!A$1:CB$87,'Fórmula'!B32,34)),IF(INDEX(properties!A$1:CB$87,'Fórmula'!D32,34)=0,10^6,INDEX(properties!A$1:CB$87,'Fórmula'!D32,34)),IF(INDEX(properties!A$1:CB$87,'Fórmula'!F32,34)=0,10^6,INDEX(properties!A$1:CB$87,'Fórmula'!F32,34)),IF(INDEX(properties!A$1:CB$87,'Fórmula'!H32,34)=0,10^6,INDEX(properties!A$1:CB$87,'Fórmula'!H32,34)),IF(INDEX(properties!A$1:CB$87,'Fórmula'!J32,34)=0,10^6,INDEX(properties!A$1:CB$87,'Fórmula'!J32,34)))</f>
        <v>1.12</v>
      </c>
      <c r="DK32" s="104">
        <f t="shared" si="19"/>
        <v>2.49</v>
      </c>
      <c r="DL32" s="105">
        <f t="array" ref="DL32">(('Fórmula'!C32)/('Fórmula'!C32+'Fórmula'!E32+'Fórmula'!G32+'Fórmula'!I32+'Fórmula'!K32))*(INDEX(properties!A$1:CB$87,'Fórmula'!B32,37))+(('Fórmula'!E32)/('Fórmula'!C32+'Fórmula'!E32+'Fórmula'!G32+'Fórmula'!I32+'Fórmula'!K32))*(INDEX(properties!A$1:CB$87,'Fórmula'!D32,37))+(('Fórmula'!G32)/('Fórmula'!C32+'Fórmula'!E32+'Fórmula'!G32+'Fórmula'!I32+'Fórmula'!K32))*(INDEX(properties!A$1:CB$87,'Fórmula'!F32,37))+(('Fórmula'!I32)/('Fórmula'!C32+'Fórmula'!E32+'Fórmula'!G32+'Fórmula'!I32+'Fórmula'!K32))*(INDEX(properties!A$1:CB$87,'Fórmula'!H32,37))+(('Fórmula'!K32)/('Fórmula'!C32+'Fórmula'!E32+'Fórmula'!G32+'Fórmula'!I32+'Fórmula'!K32))*(INDEX(properties!A$1:CB$87,'Fórmula'!J32,37))</f>
        <v>2.616666667</v>
      </c>
      <c r="DM32" s="105">
        <f t="array" ref="DM32">'Fórmula'!C32*(INDEX(properties!A$1:CB$87,'Fórmula'!B32,37))+'Fórmula'!E32*(INDEX(properties!A$1:CB$87,'Fórmula'!D32,37))+'Fórmula'!G32*(INDEX(properties!A$1:CB$87,'Fórmula'!F32,37))+'Fórmula'!I32*(INDEX(properties!A$1:CB$87,'Fórmula'!H32,37))+'Fórmula'!K32*(INDEX(properties!A$1:CB$87,'Fórmula'!J32,37))</f>
        <v>39.25</v>
      </c>
      <c r="DN32" s="105">
        <f t="array" ref="DN32">VARP(IF(INDEX(properties!A$1:CB$87,'Fórmula'!B32,37)&lt;&gt;"",INDEX(properties!A$1:CB$87,'Fórmula'!B32,37)),IF(INDEX(properties!A$1:CB$87,'Fórmula'!D32,37)&lt;&gt;"",INDEX(properties!A$1:CB$87,'Fórmula'!D32,37)),IF(INDEX(properties!A$1:CB$87,'Fórmula'!F32,37)&lt;&gt;"",INDEX(properties!A$1:CB$87,'Fórmula'!F32,37)),IF(INDEX(properties!A$1:CB$87,'Fórmula'!H32,37)&lt;&gt;"",INDEX(properties!A$1:CB$87,'Fórmula'!H32,37)),IF(INDEX(properties!A$1:CB$87,'Fórmula'!J32,37)&lt;&gt;"",INDEX(properties!A$1:CB$87,'Fórmula'!J32,37)))</f>
        <v>1.606</v>
      </c>
      <c r="DO32" s="105">
        <f t="array" ref="DO32">MAX(INDEX(properties!A$1:CB$87,'Fórmula'!B32,37),INDEX(properties!A$1:CB$87,'Fórmula'!D32,37),INDEX(properties!A$1:CB$87,'Fórmula'!F32,37),INDEX(properties!A$1:CB$87,'Fórmula'!H32,37),INDEX(properties!A$1:CB$87,'Fórmula'!J32,37))</f>
        <v>3.45</v>
      </c>
      <c r="DP32" s="105">
        <f t="array" ref="DP32">MIN(IF(INDEX(properties!A$1:CB$87,'Fórmula'!B32,37)=0,10^6,INDEX(properties!A$1:CB$87,'Fórmula'!B32,37)),IF(INDEX(properties!A$1:CB$87,'Fórmula'!D32,37)=0,10^6,INDEX(properties!A$1:CB$87,'Fórmula'!D32,37)),IF(INDEX(properties!A$1:CB$87,'Fórmula'!F32,37)=0,10^6,INDEX(properties!A$1:CB$87,'Fórmula'!F32,37)),IF(INDEX(properties!A$1:CB$87,'Fórmula'!H32,37)=0,10^6,INDEX(properties!A$1:CB$87,'Fórmula'!H32,37)),IF(INDEX(properties!A$1:CB$87,'Fórmula'!J32,37)=0,10^6,INDEX(properties!A$1:CB$87,'Fórmula'!J32,37)))</f>
        <v>1.3</v>
      </c>
      <c r="DQ32" s="105">
        <f t="shared" si="20"/>
        <v>2.15</v>
      </c>
      <c r="DR32" s="109">
        <f t="array" ref="DR32">(('Fórmula'!C32)/('Fórmula'!C32+'Fórmula'!E32+'Fórmula'!G32+'Fórmula'!I32+'Fórmula'!K32))*(INDEX(properties!A$1:CB$87,'Fórmula'!B32,39))+(('Fórmula'!E32)/('Fórmula'!C32+'Fórmula'!E32+'Fórmula'!G32+'Fórmula'!I32+'Fórmula'!K32))*(INDEX(properties!A$1:CB$87,'Fórmula'!D32,39))+(('Fórmula'!G32)/('Fórmula'!C32+'Fórmula'!E32+'Fórmula'!G32+'Fórmula'!I32+'Fórmula'!K32))*(INDEX(properties!A$1:CB$87,'Fórmula'!F32,39))+(('Fórmula'!I32)/('Fórmula'!C32+'Fórmula'!E32+'Fórmula'!G32+'Fórmula'!I32+'Fórmula'!K32))*(INDEX(properties!A$1:CB$87,'Fórmula'!H32,39))+(('Fórmula'!K32)/('Fórmula'!C32+'Fórmula'!E32+'Fórmula'!G32+'Fórmula'!I32+'Fórmula'!K32))*(INDEX(properties!A$1:CB$87,'Fórmula'!J32,39))</f>
        <v>1.010666667</v>
      </c>
      <c r="DS32" s="109">
        <f t="array" ref="DS32">'Fórmula'!C32*(INDEX(properties!A$1:CB$87,'Fórmula'!B32,39))+'Fórmula'!E32*(INDEX(properties!A$1:CB$87,'Fórmula'!D32,39))+'Fórmula'!G32*(INDEX(properties!A$1:CB$87,'Fórmula'!F32,39))+'Fórmula'!I32*(INDEX(properties!A$1:CB$87,'Fórmula'!H32,39))+'Fórmula'!K32*(INDEX(properties!A$1:CB$87,'Fórmula'!J32,39))</f>
        <v>15.16</v>
      </c>
      <c r="DT32" s="109">
        <f t="array" ref="DT32">VARP(IF(INDEX(properties!A$1:CB$87,'Fórmula'!B32,39)&lt;&gt;"",INDEX(properties!A$1:CB$87,'Fórmula'!B32,39)),IF(INDEX(properties!A$1:CB$87,'Fórmula'!D32,39)&lt;&gt;"",INDEX(properties!A$1:CB$87,'Fórmula'!D32,39)),IF(INDEX(properties!A$1:CB$87,'Fórmula'!F32,39)&lt;&gt;"",INDEX(properties!A$1:CB$87,'Fórmula'!F32,39)),IF(INDEX(properties!A$1:CB$87,'Fórmula'!H32,39)&lt;&gt;"",INDEX(properties!A$1:CB$87,'Fórmula'!H32,39)),IF(INDEX(properties!A$1:CB$87,'Fórmula'!J32,39)&lt;&gt;"",INDEX(properties!A$1:CB$87,'Fórmula'!J32,39)))</f>
        <v>0.651904</v>
      </c>
      <c r="DU32" s="120">
        <f t="array" ref="DU32">MAX(INDEX(properties!A$1:CB$87,'Fórmula'!B32,39),INDEX(properties!A$1:CB$87,'Fórmula'!D32,39),INDEX(properties!A$1:CB$87,'Fórmula'!F32,39),INDEX(properties!A$1:CB$87,'Fórmula'!H32,39),INDEX(properties!A$1:CB$87,'Fórmula'!J32,39))</f>
        <v>2.12</v>
      </c>
      <c r="DV32" s="120">
        <f t="array" ref="DV32">MIN(IF(INDEX(properties!A$1:CB$87,'Fórmula'!B32,39)=0,10^6,INDEX(properties!A$1:CB$87,'Fórmula'!B32,39)),IF(INDEX(properties!A$1:CB$87,'Fórmula'!D32,39)=0,10^6,INDEX(properties!A$1:CB$87,'Fórmula'!D32,39)),IF(INDEX(properties!A$1:CB$87,'Fórmula'!F32,39)=0,10^6,INDEX(properties!A$1:CB$87,'Fórmula'!F32,39)),IF(INDEX(properties!A$1:CB$87,'Fórmula'!H32,39)=0,10^6,INDEX(properties!A$1:CB$87,'Fórmula'!H32,39)),IF(INDEX(properties!A$1:CB$87,'Fórmula'!J32,39)=0,10^6,INDEX(properties!A$1:CB$87,'Fórmula'!J32,39)))</f>
        <v>0.48</v>
      </c>
      <c r="DW32" s="109">
        <f t="shared" si="21"/>
        <v>1.64</v>
      </c>
      <c r="DX32" s="110">
        <f t="array" ref="DX32">(('Fórmula'!C32)/('Fórmula'!C32+'Fórmula'!E32+'Fórmula'!G32+'Fórmula'!I32+'Fórmula'!K32))*(INDEX(properties!A$1:CB$87,'Fórmula'!B32,40))+(('Fórmula'!E32)/('Fórmula'!C32+'Fórmula'!E32+'Fórmula'!G32+'Fórmula'!I32+'Fórmula'!K32))*(INDEX(properties!A$1:CB$87,'Fórmula'!D32,40))+(('Fórmula'!G32)/('Fórmula'!C32+'Fórmula'!E32+'Fórmula'!G32+'Fórmula'!I32+'Fórmula'!K32))*(INDEX(properties!A$1:CB$87,'Fórmula'!F32,40))+(('Fórmula'!I32)/('Fórmula'!C32+'Fórmula'!E32+'Fórmula'!G32+'Fórmula'!I32+'Fórmula'!K32))*(INDEX(properties!A$1:CB$87,'Fórmula'!H32,40))+(('Fórmula'!K32)/('Fórmula'!C32+'Fórmula'!E32+'Fórmula'!G32+'Fórmula'!I32+'Fórmula'!K32))*(INDEX(properties!A$1:CB$87,'Fórmula'!J32,40))</f>
        <v>1.027333333</v>
      </c>
      <c r="DY32" s="110">
        <f t="array" ref="DY32">'Fórmula'!C32*(INDEX(properties!A$1:CB$87,'Fórmula'!B32,40))+'Fórmula'!E32*(INDEX(properties!A$1:CB$87,'Fórmula'!D32,40))+'Fórmula'!G32*(INDEX(properties!A$1:CB$87,'Fórmula'!F32,40))+'Fórmula'!I32*(INDEX(properties!A$1:CB$87,'Fórmula'!H32,40))+'Fórmula'!K32*(INDEX(properties!A$1:CB$87,'Fórmula'!J32,40))</f>
        <v>15.41</v>
      </c>
      <c r="DZ32" s="110">
        <f t="array" ref="DZ32">VARP(IF(INDEX(properties!A$1:CB$87,'Fórmula'!B32,40)&lt;&gt;"",INDEX(properties!A$1:CB$87,'Fórmula'!B32,40)),IF(INDEX(properties!A$1:CB$87,'Fórmula'!D32,40)&lt;&gt;"",INDEX(properties!A$1:CB$87,'Fórmula'!D32,40)),IF(INDEX(properties!A$1:CB$87,'Fórmula'!F32,40)&lt;&gt;"",INDEX(properties!A$1:CB$87,'Fórmula'!F32,40)),IF(INDEX(properties!A$1:CB$87,'Fórmula'!H32,40)&lt;&gt;"",INDEX(properties!A$1:CB$87,'Fórmula'!H32,40)),IF(INDEX(properties!A$1:CB$87,'Fórmula'!J32,40)&lt;&gt;"",INDEX(properties!A$1:CB$87,'Fórmula'!J32,40)))</f>
        <v>0.411504</v>
      </c>
      <c r="EA32" s="121">
        <f t="array" ref="EA32">MAX(INDEX(properties!A$1:CB$87,'Fórmula'!B32,40),INDEX(properties!A$1:CB$87,'Fórmula'!D32,40),INDEX(properties!A$1:CB$87,'Fórmula'!F32,40),INDEX(properties!A$1:CB$87,'Fórmula'!H32,40),INDEX(properties!A$1:CB$87,'Fórmula'!J32,40))</f>
        <v>1.62</v>
      </c>
      <c r="EB32" s="121">
        <f t="array" ref="EB32">MIN(IF(INDEX(properties!A$1:CB$87,'Fórmula'!B32,40)=0,10^6,INDEX(properties!A$1:CB$87,'Fórmula'!B32,40)),IF(INDEX(properties!A$1:CB$87,'Fórmula'!D32,40)=0,10^6,INDEX(properties!A$1:CB$87,'Fórmula'!D32,40)),IF(INDEX(properties!A$1:CB$87,'Fórmula'!F32,40)=0,10^6,INDEX(properties!A$1:CB$87,'Fórmula'!F32,40)),IF(INDEX(properties!A$1:CB$87,'Fórmula'!H32,40)=0,10^6,INDEX(properties!A$1:CB$87,'Fórmula'!H32,40)),IF(INDEX(properties!A$1:CB$87,'Fórmula'!J32,40)=0,10^6,INDEX(properties!A$1:CB$87,'Fórmula'!J32,40)))</f>
        <v>0.73</v>
      </c>
      <c r="EC32" s="110">
        <f t="shared" si="22"/>
        <v>0.89</v>
      </c>
      <c r="ED32" s="111">
        <f t="array" ref="ED32">(('Fórmula'!C32)/('Fórmula'!C32+'Fórmula'!E32+'Fórmula'!G32+'Fórmula'!I32+'Fórmula'!K32))*(INDEX(properties!A$1:CB$87,'Fórmula'!B32,41))+(('Fórmula'!E32)/('Fórmula'!C32+'Fórmula'!E32+'Fórmula'!G32+'Fórmula'!I32+'Fórmula'!K32))*(INDEX(properties!A$1:CB$87,'Fórmula'!D32,41))+(('Fórmula'!G32)/('Fórmula'!C32+'Fórmula'!E32+'Fórmula'!G32+'Fórmula'!I32+'Fórmula'!K32))*(INDEX(properties!A$1:CB$87,'Fórmula'!F32,41))+(('Fórmula'!I32)/('Fórmula'!C32+'Fórmula'!E32+'Fórmula'!G32+'Fórmula'!I32+'Fórmula'!K32))*(INDEX(properties!A$1:CB$87,'Fórmula'!H32,41))+(('Fórmula'!K32)/('Fórmula'!C32+'Fórmula'!E32+'Fórmula'!G32+'Fórmula'!I32+'Fórmula'!K32))*(INDEX(properties!A$1:CB$87,'Fórmula'!J32,41))</f>
        <v>1.124</v>
      </c>
      <c r="EE32" s="111">
        <f t="array" ref="EE32">'Fórmula'!C32*(INDEX(properties!A$1:CB$87,'Fórmula'!B32,41))+'Fórmula'!E32*(INDEX(properties!A$1:CB$87,'Fórmula'!D32,41))+'Fórmula'!G32*(INDEX(properties!A$1:CB$87,'Fórmula'!F32,41))+'Fórmula'!I32*(INDEX(properties!A$1:CB$87,'Fórmula'!H32,41))+'Fórmula'!K32*(INDEX(properties!A$1:CB$87,'Fórmula'!J32,41))</f>
        <v>16.86</v>
      </c>
      <c r="EF32" s="111">
        <f t="array" ref="EF32">VARP(IF(INDEX(properties!A$1:CB$87,'Fórmula'!B32,41)&lt;&gt;"",INDEX(properties!A$1:CB$87,'Fórmula'!B32,41)),IF(INDEX(properties!A$1:CB$87,'Fórmula'!D32,41)&lt;&gt;"",INDEX(properties!A$1:CB$87,'Fórmula'!D32,41)),IF(INDEX(properties!A$1:CB$87,'Fórmula'!F32,41)&lt;&gt;"",INDEX(properties!A$1:CB$87,'Fórmula'!F32,41)),IF(INDEX(properties!A$1:CB$87,'Fórmula'!H32,41)&lt;&gt;"",INDEX(properties!A$1:CB$87,'Fórmula'!H32,41)),IF(INDEX(properties!A$1:CB$87,'Fórmula'!J32,41)&lt;&gt;"",INDEX(properties!A$1:CB$87,'Fórmula'!J32,41)))</f>
        <v>0.271104</v>
      </c>
      <c r="EG32" s="122">
        <f t="array" ref="EG32">MAX(INDEX(properties!A$1:CB$87,'Fórmula'!B32,41),INDEX(properties!A$1:CB$87,'Fórmula'!D32,41),INDEX(properties!A$1:CB$87,'Fórmula'!F32,41),INDEX(properties!A$1:CB$87,'Fórmula'!H32,41),INDEX(properties!A$1:CB$87,'Fórmula'!J32,41))</f>
        <v>1.26</v>
      </c>
      <c r="EH32" s="122">
        <f t="array" ref="EH32">MIN(IF(INDEX(properties!A$1:CB$87,'Fórmula'!B32,41)=0,10^6,INDEX(properties!A$1:CB$87,'Fórmula'!B32,41)),IF(INDEX(properties!A$1:CB$87,'Fórmula'!D32,41)=0,10^6,INDEX(properties!A$1:CB$87,'Fórmula'!D32,41)),IF(INDEX(properties!A$1:CB$87,'Fórmula'!F32,41)=0,10^6,INDEX(properties!A$1:CB$87,'Fórmula'!F32,41)),IF(INDEX(properties!A$1:CB$87,'Fórmula'!H32,41)=0,10^6,INDEX(properties!A$1:CB$87,'Fórmula'!H32,41)),IF(INDEX(properties!A$1:CB$87,'Fórmula'!J32,41)=0,10^6,INDEX(properties!A$1:CB$87,'Fórmula'!J32,41)))</f>
        <v>0.68</v>
      </c>
      <c r="EI32" s="111">
        <f t="shared" si="23"/>
        <v>0.58</v>
      </c>
      <c r="EJ32" s="112">
        <f t="array" ref="EJ32">(('Fórmula'!C32)/('Fórmula'!C32+'Fórmula'!E32+'Fórmula'!G32+'Fórmula'!I32+'Fórmula'!K32))*(INDEX(properties!A$1:CB$87,'Fórmula'!B32,45))+(('Fórmula'!E32)/('Fórmula'!C32+'Fórmula'!E32+'Fórmula'!G32+'Fórmula'!I32+'Fórmula'!K32))*(INDEX(properties!A$1:CB$87,'Fórmula'!D32,45))+(('Fórmula'!G32)/('Fórmula'!C32+'Fórmula'!E32+'Fórmula'!G32+'Fórmula'!I32+'Fórmula'!K32))*(INDEX(properties!A$1:CB$87,'Fórmula'!F32,45))+(('Fórmula'!I32)/('Fórmula'!C32+'Fórmula'!E32+'Fórmula'!G32+'Fórmula'!I32+'Fórmula'!K32))*(INDEX(properties!A$1:CB$87,'Fórmula'!H32,45))+(('Fórmula'!K32)/('Fórmula'!C32+'Fórmula'!E32+'Fórmula'!G32+'Fórmula'!I32+'Fórmula'!K32))*(INDEX(properties!A$1:CB$87,'Fórmula'!J32,45))</f>
        <v>1.29</v>
      </c>
      <c r="EK32" s="112">
        <f t="array" ref="EK32">'Fórmula'!C32*(INDEX(properties!A$1:CB$87,'Fórmula'!B32,45))+'Fórmula'!E32*(INDEX(properties!A$1:CB$87,'Fórmula'!D32,45))+'Fórmula'!G32*(INDEX(properties!A$1:CB$87,'Fórmula'!F32,45))+'Fórmula'!I32*(INDEX(properties!A$1:CB$87,'Fórmula'!H32,45))+'Fórmula'!K32*(INDEX(properties!A$1:CB$87,'Fórmula'!J32,45))</f>
        <v>19.35</v>
      </c>
      <c r="EL32" s="112">
        <f t="array" ref="EL32">VARP(IF(INDEX(properties!A$1:CB$87,'Fórmula'!B32,45)&lt;&gt;"",INDEX(properties!A$1:CB$87,'Fórmula'!B32,45)),IF(INDEX(properties!A$1:CB$87,'Fórmula'!D32,45)&lt;&gt;"",INDEX(properties!A$1:CB$87,'Fórmula'!D32,45)),IF(INDEX(properties!A$1:CB$87,'Fórmula'!F32,45)&lt;&gt;"",INDEX(properties!A$1:CB$87,'Fórmula'!F32,45)),IF(INDEX(properties!A$1:CB$87,'Fórmula'!H32,45)&lt;&gt;"",INDEX(properties!A$1:CB$87,'Fórmula'!H32,45)),IF(INDEX(properties!A$1:CB$87,'Fórmula'!J32,45)&lt;&gt;"",INDEX(properties!A$1:CB$87,'Fórmula'!J32,45)))</f>
        <v>1.301056</v>
      </c>
      <c r="EM32" s="123">
        <f t="array" ref="EM32">MAX(INDEX(properties!A$1:CB$87,'Fórmula'!B32,45),INDEX(properties!A$1:CB$87,'Fórmula'!D32,45),INDEX(properties!A$1:CB$87,'Fórmula'!F32,45),INDEX(properties!A$1:CB$87,'Fórmula'!H32,45),INDEX(properties!A$1:CB$87,'Fórmula'!J32,45))</f>
        <v>2.94</v>
      </c>
      <c r="EN32" s="123">
        <f t="array" ref="EN32">MIN(IF(INDEX(properties!A$1:CB$87,'Fórmula'!B32,45)=0,10^6,INDEX(properties!A$1:CB$87,'Fórmula'!B32,45)),IF(INDEX(properties!A$1:CB$87,'Fórmula'!D32,45)=0,10^6,INDEX(properties!A$1:CB$87,'Fórmula'!D32,45)),IF(INDEX(properties!A$1:CB$87,'Fórmula'!F32,45)=0,10^6,INDEX(properties!A$1:CB$87,'Fórmula'!F32,45)),IF(INDEX(properties!A$1:CB$87,'Fórmula'!H32,45)=0,10^6,INDEX(properties!A$1:CB$87,'Fórmula'!H32,45)),IF(INDEX(properties!A$1:CB$87,'Fórmula'!J32,45)=0,10^6,INDEX(properties!A$1:CB$87,'Fórmula'!J32,45)))</f>
        <v>0.47</v>
      </c>
      <c r="EO32" s="112">
        <f t="shared" si="24"/>
        <v>2.47</v>
      </c>
      <c r="EP32" s="113">
        <f t="array" ref="EP32">(('Fórmula'!C32)/('Fórmula'!C32+'Fórmula'!E32+'Fórmula'!G32+'Fórmula'!I32+'Fórmula'!K32))*(INDEX(properties!A$1:CB$87,'Fórmula'!B32,46))+(('Fórmula'!E32)/('Fórmula'!C32+'Fórmula'!E32+'Fórmula'!G32+'Fórmula'!I32+'Fórmula'!K32))*(INDEX(properties!A$1:CB$87,'Fórmula'!D32,46))+(('Fórmula'!G32)/('Fórmula'!C32+'Fórmula'!E32+'Fórmula'!G32+'Fórmula'!I32+'Fórmula'!K32))*(INDEX(properties!A$1:CB$87,'Fórmula'!F32,46))+(('Fórmula'!I32)/('Fórmula'!C32+'Fórmula'!E32+'Fórmula'!G32+'Fórmula'!I32+'Fórmula'!K32))*(INDEX(properties!A$1:CB$87,'Fórmula'!H32,46))+(('Fórmula'!K32)/('Fórmula'!C32+'Fórmula'!E32+'Fórmula'!G32+'Fórmula'!I32+'Fórmula'!K32))*(INDEX(properties!A$1:CB$87,'Fórmula'!J32,46))</f>
        <v>1.074</v>
      </c>
      <c r="EQ32" s="113">
        <f t="array" ref="EQ32">'Fórmula'!C32*(INDEX(properties!A$1:CB$87,'Fórmula'!B32,46))+'Fórmula'!E32*(INDEX(properties!A$1:CB$87,'Fórmula'!D32,46))+'Fórmula'!G32*(INDEX(properties!A$1:CB$87,'Fórmula'!F32,46))+'Fórmula'!I32*(INDEX(properties!A$1:CB$87,'Fórmula'!H32,46))+'Fórmula'!K32*(INDEX(properties!A$1:CB$87,'Fórmula'!J32,46))</f>
        <v>16.11</v>
      </c>
      <c r="ER32" s="113">
        <f t="array" ref="ER32">VARP(IF(INDEX(properties!A$1:CB$87,'Fórmula'!B32,46)&lt;&gt;"",INDEX(properties!A$1:CB$87,'Fórmula'!B32,46)),IF(INDEX(properties!A$1:CB$87,'Fórmula'!D32,46)&lt;&gt;"",INDEX(properties!A$1:CB$87,'Fórmula'!D32,46)),IF(INDEX(properties!A$1:CB$87,'Fórmula'!F32,46)&lt;&gt;"",INDEX(properties!A$1:CB$87,'Fórmula'!F32,46)),IF(INDEX(properties!A$1:CB$87,'Fórmula'!H32,46)&lt;&gt;"",INDEX(properties!A$1:CB$87,'Fórmula'!H32,46)),IF(INDEX(properties!A$1:CB$87,'Fórmula'!J32,46)&lt;&gt;"",INDEX(properties!A$1:CB$87,'Fórmula'!J32,46)))</f>
        <v>0.256184</v>
      </c>
      <c r="ES32" s="124">
        <f t="array" ref="ES32">MAX(INDEX(properties!A$1:CB$87,'Fórmula'!B32,46),INDEX(properties!A$1:CB$87,'Fórmula'!D32,46),INDEX(properties!A$1:CB$87,'Fórmula'!F32,46),INDEX(properties!A$1:CB$87,'Fórmula'!H32,46),INDEX(properties!A$1:CB$87,'Fórmula'!J32,46))</f>
        <v>1.21</v>
      </c>
      <c r="ET32" s="124">
        <f t="array" ref="ET32">MIN(IF(INDEX(properties!A$1:CB$87,'Fórmula'!B32,46)=0,10^6,INDEX(properties!A$1:CB$87,'Fórmula'!B32,46)),IF(INDEX(properties!A$1:CB$87,'Fórmula'!D32,46)=0,10^6,INDEX(properties!A$1:CB$87,'Fórmula'!D32,46)),IF(INDEX(properties!A$1:CB$87,'Fórmula'!F32,46)=0,10^6,INDEX(properties!A$1:CB$87,'Fórmula'!F32,46)),IF(INDEX(properties!A$1:CB$87,'Fórmula'!H32,46)=0,10^6,INDEX(properties!A$1:CB$87,'Fórmula'!H32,46)),IF(INDEX(properties!A$1:CB$87,'Fórmula'!J32,46)=0,10^6,INDEX(properties!A$1:CB$87,'Fórmula'!J32,46)))</f>
        <v>0.53</v>
      </c>
      <c r="EU32" s="113">
        <f t="shared" si="25"/>
        <v>0.68</v>
      </c>
      <c r="EV32" s="114">
        <f t="array" ref="EV32">(('Fórmula'!C32)/('Fórmula'!C32+'Fórmula'!E32+'Fórmula'!G32+'Fórmula'!I32+'Fórmula'!K32))*(INDEX(properties!A$1:CB$87,'Fórmula'!B32,52))+(('Fórmula'!E32)/('Fórmula'!C32+'Fórmula'!E32+'Fórmula'!G32+'Fórmula'!I32+'Fórmula'!K32))*(INDEX(properties!A$1:CB$87,'Fórmula'!D32,52))+(('Fórmula'!G32)/('Fórmula'!C32+'Fórmula'!E32+'Fórmula'!G32+'Fórmula'!I32+'Fórmula'!K32))*(INDEX(properties!A$1:CB$87,'Fórmula'!F32,52))+(('Fórmula'!I32)/('Fórmula'!C32+'Fórmula'!E32+'Fórmula'!G32+'Fórmula'!I32+'Fórmula'!K32))*(INDEX(properties!A$1:CB$87,'Fórmula'!H32,52))+(('Fórmula'!K32)/('Fórmula'!C32+'Fórmula'!E32+'Fórmula'!G32+'Fórmula'!I32+'Fórmula'!K32))*(INDEX(properties!A$1:CB$87,'Fórmula'!J32,52))</f>
        <v>7.6358</v>
      </c>
      <c r="EW32" s="114">
        <f t="array" ref="EW32">'Fórmula'!C32*(INDEX(properties!A$1:CB$87,'Fórmula'!B32,52))+'Fórmula'!E32*(INDEX(properties!A$1:CB$87,'Fórmula'!D32,52))+'Fórmula'!G32*(INDEX(properties!A$1:CB$87,'Fórmula'!F32,52))+'Fórmula'!I32*(INDEX(properties!A$1:CB$87,'Fórmula'!H32,52))+'Fórmula'!K32*(INDEX(properties!A$1:CB$87,'Fórmula'!J32,52))</f>
        <v>114.537</v>
      </c>
      <c r="EX32" s="114">
        <f t="array" ref="EX32">VARP(IF(INDEX(properties!A$1:CB$87,'Fórmula'!B32,52)&lt;&gt;"",INDEX(properties!A$1:CB$87,'Fórmula'!B32,52)),IF(INDEX(properties!A$1:CB$87,'Fórmula'!D32,52)&lt;&gt;"",INDEX(properties!A$1:CB$87,'Fórmula'!D32,52)),IF(INDEX(properties!A$1:CB$87,'Fórmula'!F32,52)&lt;&gt;"",INDEX(properties!A$1:CB$87,'Fórmula'!F32,52)),IF(INDEX(properties!A$1:CB$87,'Fórmula'!H32,52)&lt;&gt;"",INDEX(properties!A$1:CB$87,'Fórmula'!H32,52)),IF(INDEX(properties!A$1:CB$87,'Fórmula'!J32,52)&lt;&gt;"",INDEX(properties!A$1:CB$87,'Fórmula'!J32,52)))</f>
        <v>76.52997584</v>
      </c>
      <c r="EY32" s="114">
        <f t="array" ref="EY32">MAX(INDEX(properties!A$1:CB$87,'Fórmula'!B32,52),INDEX(properties!A$1:CB$87,'Fórmula'!D32,52),INDEX(properties!A$1:CB$87,'Fórmula'!F32,52),INDEX(properties!A$1:CB$87,'Fórmula'!H32,52),INDEX(properties!A$1:CB$87,'Fórmula'!J32,52))</f>
        <v>22.7</v>
      </c>
      <c r="EZ32" s="114">
        <f t="array" ref="EZ32">MIN(IF(INDEX(properties!A$1:CB$87,'Fórmula'!B32,52)=0,10^6,INDEX(properties!A$1:CB$87,'Fórmula'!B32,52)),IF(INDEX(properties!A$1:CB$87,'Fórmula'!D32,52)=0,10^6,INDEX(properties!A$1:CB$87,'Fórmula'!D32,52)),IF(INDEX(properties!A$1:CB$87,'Fórmula'!F32,52)=0,10^6,INDEX(properties!A$1:CB$87,'Fórmula'!F32,52)),IF(INDEX(properties!A$1:CB$87,'Fórmula'!H32,52)=0,10^6,INDEX(properties!A$1:CB$87,'Fórmula'!H32,52)),IF(INDEX(properties!A$1:CB$87,'Fórmula'!J32,52)=0,10^6,INDEX(properties!A$1:CB$87,'Fórmula'!J32,52)))</f>
        <v>0.793</v>
      </c>
      <c r="FA32" s="114">
        <f t="shared" si="26"/>
        <v>21.907</v>
      </c>
      <c r="FB32" s="115">
        <f t="array" ref="FB32">(('Fórmula'!C32)/('Fórmula'!C32+'Fórmula'!E32+'Fórmula'!G32+'Fórmula'!I32+'Fórmula'!K32))*(INDEX(properties!A$1:CB$87,'Fórmula'!B32,53))+(('Fórmula'!E32)/('Fórmula'!C32+'Fórmula'!E32+'Fórmula'!G32+'Fórmula'!I32+'Fórmula'!K32))*(INDEX(properties!A$1:CB$87,'Fórmula'!D32,53))+(('Fórmula'!G32)/('Fórmula'!C32+'Fórmula'!E32+'Fórmula'!G32+'Fórmula'!I32+'Fórmula'!K32))*(INDEX(properties!A$1:CB$87,'Fórmula'!F32,53))+(('Fórmula'!I32)/('Fórmula'!C32+'Fórmula'!E32+'Fórmula'!G32+'Fórmula'!I32+'Fórmula'!K32))*(INDEX(properties!A$1:CB$87,'Fórmula'!H32,53))+(('Fórmula'!K32)/('Fórmula'!C32+'Fórmula'!E32+'Fórmula'!G32+'Fórmula'!I32+'Fórmula'!K32))*(INDEX(properties!A$1:CB$87,'Fórmula'!J32,53))</f>
        <v>636.2433333</v>
      </c>
      <c r="FC32" s="115">
        <f t="array" ref="FC32">'Fórmula'!C32*(INDEX(properties!A$1:CB$87,'Fórmula'!B32,53))+'Fórmula'!E32*(INDEX(properties!A$1:CB$87,'Fórmula'!D32,53))+'Fórmula'!G32*(INDEX(properties!A$1:CB$87,'Fórmula'!F32,53))+'Fórmula'!I32*(INDEX(properties!A$1:CB$87,'Fórmula'!H32,53))+'Fórmula'!K32*(INDEX(properties!A$1:CB$87,'Fórmula'!J32,53))</f>
        <v>9543.65</v>
      </c>
      <c r="FD32" s="115">
        <f t="array" ref="FD32">VARP(IF(INDEX(properties!A$1:CB$87,'Fórmula'!B32,53)&lt;&gt;"",INDEX(properties!A$1:CB$87,'Fórmula'!B32,53)),IF(INDEX(properties!A$1:CB$87,'Fórmula'!D32,53)&lt;&gt;"",INDEX(properties!A$1:CB$87,'Fórmula'!D32,53)),IF(INDEX(properties!A$1:CB$87,'Fórmula'!F32,53)&lt;&gt;"",INDEX(properties!A$1:CB$87,'Fórmula'!F32,53)),IF(INDEX(properties!A$1:CB$87,'Fórmula'!H32,53)&lt;&gt;"",INDEX(properties!A$1:CB$87,'Fórmula'!H32,53)),IF(INDEX(properties!A$1:CB$87,'Fórmula'!J32,53)&lt;&gt;"",INDEX(properties!A$1:CB$87,'Fórmula'!J32,53)))</f>
        <v>509946.8854</v>
      </c>
      <c r="FE32" s="115">
        <f t="array" ref="FE32">MAX(INDEX(properties!A$1:CB$87,'Fórmula'!B32,53),INDEX(properties!A$1:CB$87,'Fórmula'!D32,53),INDEX(properties!A$1:CB$87,'Fórmula'!F32,53),INDEX(properties!A$1:CB$87,'Fórmula'!H32,53),INDEX(properties!A$1:CB$87,'Fórmula'!J32,53))</f>
        <v>1796.15</v>
      </c>
      <c r="FF32" s="115">
        <f t="array" ref="FF32">MIN(IF(INDEX(properties!A$1:CB$87,'Fórmula'!B32,53)=0,10^6,INDEX(properties!A$1:CB$87,'Fórmula'!B32,53)),IF(INDEX(properties!A$1:CB$87,'Fórmula'!D32,53)=0,10^6,INDEX(properties!A$1:CB$87,'Fórmula'!D32,53)),IF(INDEX(properties!A$1:CB$87,'Fórmula'!F32,53)=0,10^6,INDEX(properties!A$1:CB$87,'Fórmula'!F32,53)),IF(INDEX(properties!A$1:CB$87,'Fórmula'!H32,53)=0,10^6,INDEX(properties!A$1:CB$87,'Fórmula'!H32,53)),IF(INDEX(properties!A$1:CB$87,'Fórmula'!J32,53)=0,10^6,INDEX(properties!A$1:CB$87,'Fórmula'!J32,53)))</f>
        <v>54.75</v>
      </c>
      <c r="FG32" s="115">
        <f t="shared" si="27"/>
        <v>1741.4</v>
      </c>
      <c r="FH32" s="117">
        <f t="array" ref="FH32">(('Fórmula'!C32)/('Fórmula'!C32+'Fórmula'!E32+'Fórmula'!G32+'Fórmula'!I32+'Fórmula'!K32))*(INDEX(properties!A$1:CB$87,'Fórmula'!B32,54))+(('Fórmula'!E32)/('Fórmula'!C32+'Fórmula'!E32+'Fórmula'!G32+'Fórmula'!I32+'Fórmula'!K32))*(INDEX(properties!A$1:CB$87,'Fórmula'!D32,54))+(('Fórmula'!G32)/('Fórmula'!C32+'Fórmula'!E32+'Fórmula'!G32+'Fórmula'!I32+'Fórmula'!K32))*(INDEX(properties!A$1:CB$87,'Fórmula'!F32,54))+(('Fórmula'!I32)/('Fórmula'!C32+'Fórmula'!E32+'Fórmula'!G32+'Fórmula'!I32+'Fórmula'!K32))*(INDEX(properties!A$1:CB$87,'Fórmula'!H32,54))+(('Fórmula'!K32)/('Fórmula'!C32+'Fórmula'!E32+'Fórmula'!G32+'Fórmula'!I32+'Fórmula'!K32))*(INDEX(properties!A$1:CB$87,'Fórmula'!J32,54))</f>
        <v>1382.15</v>
      </c>
      <c r="FI32" s="117">
        <f t="array" ref="FI32">'Fórmula'!C32*(INDEX(properties!A$1:CB$87,'Fórmula'!B32,54))+'Fórmula'!E32*(INDEX(properties!A$1:CB$87,'Fórmula'!D32,54))+'Fórmula'!G32*(INDEX(properties!A$1:CB$87,'Fórmula'!F32,54))+'Fórmula'!I32*(INDEX(properties!A$1:CB$87,'Fórmula'!H32,54))+'Fórmula'!K32*(INDEX(properties!A$1:CB$87,'Fórmula'!J32,54))</f>
        <v>20732.25</v>
      </c>
      <c r="FJ32" s="117">
        <f t="array" ref="FJ32">VARP(IF(INDEX(properties!A$1:CB$87,'Fórmula'!B32,54)&lt;&gt;"",INDEX(properties!A$1:CB$87,'Fórmula'!B32,54)),IF(INDEX(properties!A$1:CB$87,'Fórmula'!D32,54)&lt;&gt;"",INDEX(properties!A$1:CB$87,'Fórmula'!D32,54)),IF(INDEX(properties!A$1:CB$87,'Fórmula'!F32,54)&lt;&gt;"",INDEX(properties!A$1:CB$87,'Fórmula'!F32,54)),IF(INDEX(properties!A$1:CB$87,'Fórmula'!H32,54)&lt;&gt;"",INDEX(properties!A$1:CB$87,'Fórmula'!H32,54)),IF(INDEX(properties!A$1:CB$87,'Fórmula'!J32,54)&lt;&gt;"",INDEX(properties!A$1:CB$87,'Fórmula'!J32,54)))</f>
        <v>2450770.565</v>
      </c>
      <c r="FK32" s="117">
        <f t="array" ref="FK32">MAX(INDEX(properties!A$1:CB$87,'Fórmula'!B32,54),INDEX(properties!A$1:CB$87,'Fórmula'!D32,54),INDEX(properties!A$1:CB$87,'Fórmula'!F32,54),INDEX(properties!A$1:CB$87,'Fórmula'!H32,54),INDEX(properties!A$1:CB$87,'Fórmula'!J32,54))</f>
        <v>3610.15</v>
      </c>
      <c r="FL32" s="117">
        <f t="array" ref="FL32">MIN(IF(INDEX(properties!A$1:CB$87,'Fórmula'!B32,54)=0,10^6,INDEX(properties!A$1:CB$87,'Fórmula'!B32,54)),IF(INDEX(properties!A$1:CB$87,'Fórmula'!D32,54)=0,10^6,INDEX(properties!A$1:CB$87,'Fórmula'!D32,54)),IF(INDEX(properties!A$1:CB$87,'Fórmula'!F32,54)=0,10^6,INDEX(properties!A$1:CB$87,'Fórmula'!F32,54)),IF(INDEX(properties!A$1:CB$87,'Fórmula'!H32,54)=0,10^6,INDEX(properties!A$1:CB$87,'Fórmula'!H32,54)),IF(INDEX(properties!A$1:CB$87,'Fórmula'!J32,54)=0,10^6,INDEX(properties!A$1:CB$87,'Fórmula'!J32,54)))</f>
        <v>90.15</v>
      </c>
      <c r="FM32" s="117">
        <f t="shared" si="28"/>
        <v>3520</v>
      </c>
      <c r="FN32" s="118">
        <f t="array" ref="FN32">(('Fórmula'!C32)/('Fórmula'!C32+'Fórmula'!E32+'Fórmula'!G32+'Fórmula'!I32+'Fórmula'!K32))*(INDEX(properties!A$1:CB$87,'Fórmula'!B32,55))+(('Fórmula'!E32)/('Fórmula'!C32+'Fórmula'!E32+'Fórmula'!G32+'Fórmula'!I32+'Fórmula'!K32))*(INDEX(properties!A$1:CB$87,'Fórmula'!D32,55))+(('Fórmula'!G32)/('Fórmula'!C32+'Fórmula'!E32+'Fórmula'!G32+'Fórmula'!I32+'Fórmula'!K32))*(INDEX(properties!A$1:CB$87,'Fórmula'!F32,55))+(('Fórmula'!I32)/('Fórmula'!C32+'Fórmula'!E32+'Fórmula'!G32+'Fórmula'!I32+'Fórmula'!K32))*(INDEX(properties!A$1:CB$87,'Fórmula'!H32,55))+(('Fórmula'!K32)/('Fórmula'!C32+'Fórmula'!E32+'Fórmula'!G32+'Fórmula'!I32+'Fórmula'!K32))*(INDEX(properties!A$1:CB$87,'Fórmula'!J32,55))</f>
        <v>1.552858</v>
      </c>
      <c r="FO32" s="118">
        <f t="array" ref="FO32">'Fórmula'!C32*(INDEX(properties!A$1:CB$87,'Fórmula'!B32,55))+'Fórmula'!E32*(INDEX(properties!A$1:CB$87,'Fórmula'!D32,54))+'Fórmula'!G32*(INDEX(properties!A$1:CB$87,'Fórmula'!F32,55))+'Fórmula'!I32*(INDEX(properties!A$1:CB$87,'Fórmula'!H32,55))+'Fórmula'!K32*(INDEX(properties!A$1:CB$87,'Fórmula'!J32,55))</f>
        <v>5498.19287</v>
      </c>
      <c r="FP32" s="118">
        <f t="array" ref="FP32">VARP(IF(INDEX(properties!A$1:CB$87,'Fórmula'!B32,55)&lt;&gt;"",INDEX(properties!A$1:CB$87,'Fórmula'!B32,55)),IF(INDEX(properties!A$1:CB$87,'Fórmula'!D32,55)&lt;&gt;"",INDEX(properties!A$1:CB$87,'Fórmula'!D32,55)),IF(INDEX(properties!A$1:CB$87,'Fórmula'!F32,55)&lt;&gt;"",INDEX(properties!A$1:CB$87,'Fórmula'!F32,55)),IF(INDEX(properties!A$1:CB$87,'Fórmula'!H32,55)&lt;&gt;"",INDEX(properties!A$1:CB$87,'Fórmula'!H32,55)),IF(INDEX(properties!A$1:CB$87,'Fórmula'!J32,55)&lt;&gt;"",INDEX(properties!A$1:CB$87,'Fórmula'!J32,55)))</f>
        <v>3.397004079</v>
      </c>
      <c r="FQ32" s="118">
        <f t="array" ref="FQ32">MAX(INDEX(properties!A$1:CB$87,'Fórmula'!B32,55),INDEX(properties!A$1:CB$87,'Fórmula'!D32,55),INDEX(properties!A$1:CB$87,'Fórmula'!F32,55),INDEX(properties!A$1:CB$87,'Fórmula'!H32,55),INDEX(properties!A$1:CB$87,'Fórmula'!J32,55))</f>
        <v>4.47</v>
      </c>
      <c r="FR32" s="118">
        <f t="array" ref="FR32">MIN(IF(INDEX(properties!A$1:CB$87,'Fórmula'!B32,55)=0,10^6,INDEX(properties!A$1:CB$87,'Fórmula'!B32,55)),IF(INDEX(properties!A$1:CB$87,'Fórmula'!D32,55)=0,10^6,INDEX(properties!A$1:CB$87,'Fórmula'!D32,55)),IF(INDEX(properties!A$1:CB$87,'Fórmula'!F32,55)=0,10^6,INDEX(properties!A$1:CB$87,'Fórmula'!F32,55)),IF(INDEX(properties!A$1:CB$87,'Fórmula'!H32,55)=0,10^6,INDEX(properties!A$1:CB$87,'Fórmula'!H32,55)),IF(INDEX(properties!A$1:CB$87,'Fórmula'!J32,55)=0,10^6,INDEX(properties!A$1:CB$87,'Fórmula'!J32,55)))</f>
        <v>0.00143</v>
      </c>
      <c r="FS32" s="118">
        <f t="shared" si="29"/>
        <v>4.46857</v>
      </c>
      <c r="FT32" s="119">
        <f t="array" ref="FT32">(('Fórmula'!C32)/('Fórmula'!C32+'Fórmula'!E32+'Fórmula'!G32+'Fórmula'!I32+'Fórmula'!K32))*(INDEX(properties!A$1:CB$87,'Fórmula'!B32,56))+(('Fórmula'!E32)/('Fórmula'!C32+'Fórmula'!E32+'Fórmula'!G32+'Fórmula'!I32+'Fórmula'!K32))*(INDEX(properties!A$1:CB$87,'Fórmula'!D32,56))+(('Fórmula'!G32)/('Fórmula'!C32+'Fórmula'!E32+'Fórmula'!G32+'Fórmula'!I32+'Fórmula'!K32))*(INDEX(properties!A$1:CB$87,'Fórmula'!F32,56))+(('Fórmula'!I32)/('Fórmula'!C32+'Fórmula'!E32+'Fórmula'!G32+'Fórmula'!I32+'Fórmula'!K32))*(INDEX(properties!A$1:CB$87,'Fórmula'!H32,56))+(('Fórmula'!K32)/('Fórmula'!C32+'Fórmula'!E32+'Fórmula'!G32+'Fórmula'!I32+'Fórmula'!K32))*(INDEX(properties!A$1:CB$87,'Fórmula'!J32,56))</f>
        <v>0.752</v>
      </c>
      <c r="FU32" s="119">
        <f t="array" ref="FU32">'Fórmula'!C32*(INDEX(properties!A$1:CB$87,'Fórmula'!B32,56))+'Fórmula'!E32*(INDEX(properties!A$1:CB$87,'Fórmula'!D32,56))+'Fórmula'!G32*(INDEX(properties!A$1:CB$87,'Fórmula'!F32,56))+'Fórmula'!I32*(INDEX(properties!A$1:CB$87,'Fórmula'!H32,56))+'Fórmula'!K32*(INDEX(properties!A$1:CB$87,'Fórmula'!J32,56))</f>
        <v>11.28</v>
      </c>
      <c r="FV32" s="119">
        <f t="array" ref="FV32">VARP(IF(INDEX(properties!A$1:CB$87,'Fórmula'!B32,56)&lt;&gt;"",INDEX(properties!A$1:CB$87,'Fórmula'!B32,56)),IF(INDEX(properties!A$1:CB$87,'Fórmula'!D32,56)&lt;&gt;"",INDEX(properties!A$1:CB$87,'Fórmula'!D32,56)),IF(INDEX(properties!A$1:CB$87,'Fórmula'!F32,56)&lt;&gt;"",INDEX(properties!A$1:CB$87,'Fórmula'!F32,56)),IF(INDEX(properties!A$1:CB$87,'Fórmula'!H32,56)&lt;&gt;"",INDEX(properties!A$1:CB$87,'Fórmula'!H32,56)),IF(INDEX(properties!A$1:CB$87,'Fórmula'!J32,56)&lt;&gt;"",INDEX(properties!A$1:CB$87,'Fórmula'!J32,56)))</f>
        <v>0.169504</v>
      </c>
      <c r="FW32" s="119">
        <f t="array" ref="FW32">MAX(INDEX(properties!A$1:CB$87,'Fórmula'!B32,56),INDEX(properties!A$1:CB$87,'Fórmula'!D32,56),INDEX(properties!A$1:CB$87,'Fórmula'!F32,56),INDEX(properties!A$1:CB$87,'Fórmula'!H32,56),INDEX(properties!A$1:CB$87,'Fórmula'!J32,56))</f>
        <v>0.92</v>
      </c>
      <c r="FX32" s="119">
        <f t="array" ref="FX32">MIN(IF(INDEX(properties!A$1:CB$87,'Fórmula'!B32,56)=0,10^6,INDEX(properties!A$1:CB$87,'Fórmula'!B32,56)),IF(INDEX(properties!A$1:CB$87,'Fórmula'!D32,56)=0,10^6,INDEX(properties!A$1:CB$87,'Fórmula'!D32,56)),IF(INDEX(properties!A$1:CB$87,'Fórmula'!F32,56)=0,10^6,INDEX(properties!A$1:CB$87,'Fórmula'!F32,56)),IF(INDEX(properties!A$1:CB$87,'Fórmula'!H32,56)=0,10^6,INDEX(properties!A$1:CB$87,'Fórmula'!H32,56)),IF(INDEX(properties!A$1:CB$87,'Fórmula'!J32,56)=0,10^6,INDEX(properties!A$1:CB$87,'Fórmula'!J32,56)))</f>
        <v>0.3</v>
      </c>
      <c r="FY32" s="119">
        <f t="shared" si="30"/>
        <v>0.62</v>
      </c>
      <c r="FZ32" s="104">
        <f t="array" ref="FZ32">(('Fórmula'!C32)/('Fórmula'!C32+'Fórmula'!E32+'Fórmula'!G32+'Fórmula'!I32+'Fórmula'!K32))*(INDEX(properties!A$1:CB$87,'Fórmula'!B32,57))+(('Fórmula'!E32)/('Fórmula'!C32+'Fórmula'!E32+'Fórmula'!G32+'Fórmula'!I32+'Fórmula'!K32))*(INDEX(properties!A$1:CB$87,'Fórmula'!D32,57))+(('Fórmula'!G32)/('Fórmula'!C32+'Fórmula'!E32+'Fórmula'!G32+'Fórmula'!I32+'Fórmula'!K32))*(INDEX(properties!A$1:CB$87,'Fórmula'!F32,57))+(('Fórmula'!I32)/('Fórmula'!C32+'Fórmula'!E32+'Fórmula'!G32+'Fórmula'!I32+'Fórmula'!K32))*(INDEX(properties!A$1:CB$87,'Fórmula'!H32,57))+(('Fórmula'!K32)/('Fórmula'!C32+'Fórmula'!E32+'Fórmula'!G32+'Fórmula'!I32+'Fórmula'!K32))*(INDEX(properties!A$1:CB$87,'Fórmula'!J32,57))</f>
        <v>4.612220667</v>
      </c>
      <c r="GA32" s="104">
        <f t="array" ref="GA32">'Fórmula'!C32*(INDEX(properties!A$1:CB$87,'Fórmula'!B32,57))+'Fórmula'!E32*(INDEX(properties!A$1:CB$87,'Fórmula'!D32,57))+'Fórmula'!G32*(INDEX(properties!A$1:CB$87,'Fórmula'!F32,57))+'Fórmula'!I32*(INDEX(properties!A$1:CB$87,'Fórmula'!H32,57))+'Fórmula'!K32*(INDEX(properties!A$1:CB$87,'Fórmula'!J32,57))</f>
        <v>69.18331</v>
      </c>
      <c r="GB32" s="104">
        <f t="array" ref="GB32">VARP(IF(INDEX(properties!A$1:CB$87,'Fórmula'!B32,57)&lt;&gt;"",INDEX(properties!A$1:CB$87,'Fórmula'!B32,57)),IF(INDEX(properties!A$1:CB$87,'Fórmula'!D32,57)&lt;&gt;"",INDEX(properties!A$1:CB$87,'Fórmula'!D32,57)),IF(INDEX(properties!A$1:CB$87,'Fórmula'!F32,57)&lt;&gt;"",INDEX(properties!A$1:CB$87,'Fórmula'!F32,57)),IF(INDEX(properties!A$1:CB$87,'Fórmula'!H32,57)&lt;&gt;"",INDEX(properties!A$1:CB$87,'Fórmula'!H32,57)),IF(INDEX(properties!A$1:CB$87,'Fórmula'!J32,57)&lt;&gt;"",INDEX(properties!A$1:CB$87,'Fórmula'!J32,57)))</f>
        <v>29.19376164</v>
      </c>
      <c r="GC32" s="104">
        <f t="array" ref="GC32">MAX(INDEX(properties!A$1:CB$87,'Fórmula'!B32,57),INDEX(properties!A$1:CB$87,'Fórmula'!D32,57),INDEX(properties!A$1:CB$87,'Fórmula'!F32,57),INDEX(properties!A$1:CB$87,'Fórmula'!H32,57),INDEX(properties!A$1:CB$87,'Fórmula'!J32,57))</f>
        <v>11.4</v>
      </c>
      <c r="GD32" s="104">
        <f t="array" ref="GD32">MIN(IF(INDEX(properties!A$1:CB$87,'Fórmula'!B32,57)=0,10^6,INDEX(properties!A$1:CB$87,'Fórmula'!B32,57)),IF(INDEX(properties!A$1:CB$87,'Fórmula'!D32,57)=0,10^6,INDEX(properties!A$1:CB$87,'Fórmula'!D32,57)),IF(INDEX(properties!A$1:CB$87,'Fórmula'!F32,57)=0,10^6,INDEX(properties!A$1:CB$87,'Fórmula'!F32,57)),IF(INDEX(properties!A$1:CB$87,'Fórmula'!H32,57)=0,10^6,INDEX(properties!A$1:CB$87,'Fórmula'!H32,57)),IF(INDEX(properties!A$1:CB$87,'Fórmula'!J32,57)=0,10^6,INDEX(properties!A$1:CB$87,'Fórmula'!J32,57)))</f>
        <v>0.22259</v>
      </c>
      <c r="GE32" s="104">
        <f t="shared" si="31"/>
        <v>11.17741</v>
      </c>
      <c r="GF32" s="105">
        <f t="array" ref="GF32">(('Fórmula'!C32)/('Fórmula'!C32+'Fórmula'!E32+'Fórmula'!G32+'Fórmula'!I32+'Fórmula'!K32))*(INDEX(properties!A$1:CB$87,'Fórmula'!B32,60))+(('Fórmula'!E32)/('Fórmula'!C32+'Fórmula'!E32+'Fórmula'!G32+'Fórmula'!I32+'Fórmula'!K32))*(INDEX(properties!A$1:CB$87,'Fórmula'!D32,60))+(('Fórmula'!G32)/('Fórmula'!C32+'Fórmula'!E32+'Fórmula'!G32+'Fórmula'!I32+'Fórmula'!K32))*(INDEX(properties!A$1:CB$87,'Fórmula'!F32,60))+(('Fórmula'!I32)/('Fórmula'!C32+'Fórmula'!E32+'Fórmula'!G32+'Fórmula'!I32+'Fórmula'!K32))*(INDEX(properties!A$1:CB$87,'Fórmula'!H32,60))+(('Fórmula'!K32)/('Fórmula'!C32+'Fórmula'!E32+'Fórmula'!G32+'Fórmula'!I32+'Fórmula'!K32))*(INDEX(properties!A$1:CB$87,'Fórmula'!J32,60))</f>
        <v>36.20271067</v>
      </c>
      <c r="GG32" s="105">
        <f t="array" ref="GG32">'Fórmula'!C32*(INDEX(properties!A$1:CB$87,'Fórmula'!B32,60))+'Fórmula'!E32*(INDEX(properties!A$1:CB$87,'Fórmula'!D32,60))+'Fórmula'!G32*(INDEX(properties!A$1:CB$87,'Fórmula'!F32,60))+'Fórmula'!I32*(INDEX(properties!A$1:CB$87,'Fórmula'!H32,60))+'Fórmula'!K32*(INDEX(properties!A$1:CB$87,'Fórmula'!J32,60))</f>
        <v>543.04066</v>
      </c>
      <c r="GH32" s="105">
        <f t="array" ref="GH32">VARP(IF(INDEX(properties!A$1:CB$87,'Fórmula'!B32,60)&lt;&gt;"",INDEX(properties!A$1:CB$87,'Fórmula'!B32,60)),IF(INDEX(properties!A$1:CB$87,'Fórmula'!D32,60)&lt;&gt;"",INDEX(properties!A$1:CB$87,'Fórmula'!D32,60)),IF(INDEX(properties!A$1:CB$87,'Fórmula'!F32,60)&lt;&gt;"",INDEX(properties!A$1:CB$87,'Fórmula'!F32,60)),IF(INDEX(properties!A$1:CB$87,'Fórmula'!H32,60)&lt;&gt;"",INDEX(properties!A$1:CB$87,'Fórmula'!H32,60)),IF(INDEX(properties!A$1:CB$87,'Fórmula'!J32,60)&lt;&gt;"",INDEX(properties!A$1:CB$87,'Fórmula'!J32,60)))</f>
        <v>8707.71873</v>
      </c>
      <c r="GI32" s="105">
        <f t="array" ref="GI32">MAX(INDEX(properties!A$1:CB$87,'Fórmula'!B32,60),INDEX(properties!A$1:CB$87,'Fórmula'!D32,60),INDEX(properties!A$1:CB$87,'Fórmula'!F32,60),INDEX(properties!A$1:CB$87,'Fórmula'!H32,60),INDEX(properties!A$1:CB$87,'Fórmula'!J32,60))</f>
        <v>237</v>
      </c>
      <c r="GJ32" s="105">
        <f t="array" ref="GJ32">MIN(IF(INDEX(properties!A$1:CB$87,'Fórmula'!B32,60)=0,10^6,INDEX(properties!A$1:CB$87,'Fórmula'!B32,60)),IF(INDEX(properties!A$1:CB$87,'Fórmula'!D32,60)=0,10^6,INDEX(properties!A$1:CB$87,'Fórmula'!D32,60)),IF(INDEX(properties!A$1:CB$87,'Fórmula'!F32,60)=0,10^6,INDEX(properties!A$1:CB$87,'Fórmula'!F32,60)),IF(INDEX(properties!A$1:CB$87,'Fórmula'!H32,60)=0,10^6,INDEX(properties!A$1:CB$87,'Fórmula'!H32,60)),IF(INDEX(properties!A$1:CB$87,'Fórmula'!J32,60)=0,10^6,INDEX(properties!A$1:CB$87,'Fórmula'!J32,60)))</f>
        <v>0.02674</v>
      </c>
      <c r="GK32" s="105">
        <f t="shared" si="32"/>
        <v>236.97326</v>
      </c>
      <c r="GL32" s="106">
        <f t="array" ref="GL32">(('Fórmula'!C32)/('Fórmula'!C32+'Fórmula'!E32+'Fórmula'!G32+'Fórmula'!I32+'Fórmula'!K32))*(INDEX(properties!A$1:CB$87,'Fórmula'!B32,62))+(('Fórmula'!E32)/('Fórmula'!C32+'Fórmula'!E32+'Fórmula'!G32+'Fórmula'!I32+'Fórmula'!K32))*(INDEX(properties!A$1:CB$87,'Fórmula'!D32,62))+(('Fórmula'!G32)/('Fórmula'!C32+'Fórmula'!E32+'Fórmula'!G32+'Fórmula'!I32+'Fórmula'!K32))*(INDEX(properties!A$1:CB$87,'Fórmula'!F32,62))+(('Fórmula'!I32)/('Fórmula'!C32+'Fórmula'!E32+'Fórmula'!G32+'Fórmula'!I32+'Fórmula'!K32))*(INDEX(properties!A$1:CB$87,'Fórmula'!H32,62))+(('Fórmula'!K32)/('Fórmula'!C32+'Fórmula'!E32+'Fórmula'!G32+'Fórmula'!I32+'Fórmula'!K32))*(INDEX(properties!A$1:CB$87,'Fórmula'!J32,62))</f>
        <v>3.189333333</v>
      </c>
      <c r="GM32" s="106">
        <f t="array" ref="GM32">'Fórmula'!C32*(INDEX(properties!A$1:CB$87,'Fórmula'!B32,62))+'Fórmula'!E32*(INDEX(properties!A$1:CB$87,'Fórmula'!D32,62))+'Fórmula'!G32*(INDEX(properties!A$1:CB$87,'Fórmula'!F32,62))+'Fórmula'!I32*(INDEX(properties!A$1:CB$87,'Fórmula'!H32,62))+'Fórmula'!K32*(INDEX(properties!A$1:CB$87,'Fórmula'!J32,62))</f>
        <v>47.84</v>
      </c>
      <c r="GN32" s="106">
        <f t="array" ref="GN32">VARP(IF(INDEX(properties!A$1:CB$87,'Fórmula'!B32,62)&lt;&gt;"",INDEX(properties!A$1:CB$87,'Fórmula'!B32,62)),IF(INDEX(properties!A$1:CB$87,'Fórmula'!D32,62)&lt;&gt;"",INDEX(properties!A$1:CB$87,'Fórmula'!D32,62)),IF(INDEX(properties!A$1:CB$87,'Fórmula'!F32,62)&lt;&gt;"",INDEX(properties!A$1:CB$87,'Fórmula'!F32,62)),IF(INDEX(properties!A$1:CB$87,'Fórmula'!H32,62)&lt;&gt;"",INDEX(properties!A$1:CB$87,'Fórmula'!H32,62)),IF(INDEX(properties!A$1:CB$87,'Fórmula'!J32,62)&lt;&gt;"",INDEX(properties!A$1:CB$87,'Fórmula'!J32,62)))</f>
        <v>3.180904</v>
      </c>
      <c r="GO32" s="106">
        <f t="array" ref="GO32">MAX(INDEX(properties!A$1:CB$87,'Fórmula'!B32,62),INDEX(properties!A$1:CB$87,'Fórmula'!D32,62),INDEX(properties!A$1:CB$87,'Fórmula'!F32,62),INDEX(properties!A$1:CB$87,'Fórmula'!H32,62),INDEX(properties!A$1:CB$87,'Fórmula'!J32,62))</f>
        <v>4.37</v>
      </c>
      <c r="GP32" s="106">
        <f t="array" ref="GP32">MIN(IF(INDEX(properties!A$1:CB$87,'Fórmula'!B32,62)=0,10^6,INDEX(properties!A$1:CB$87,'Fórmula'!B32,62)),IF(INDEX(properties!A$1:CB$87,'Fórmula'!D32,62)=0,10^6,INDEX(properties!A$1:CB$87,'Fórmula'!D32,62)),IF(INDEX(properties!A$1:CB$87,'Fórmula'!F32,62)=0,10^6,INDEX(properties!A$1:CB$87,'Fórmula'!F32,62)),IF(INDEX(properties!A$1:CB$87,'Fórmula'!H32,62)=0,10^6,INDEX(properties!A$1:CB$87,'Fórmula'!H32,62)),IF(INDEX(properties!A$1:CB$87,'Fórmula'!J32,62)=0,10^6,INDEX(properties!A$1:CB$87,'Fórmula'!J32,62)))</f>
        <v>2.62</v>
      </c>
      <c r="GQ32" s="106">
        <f t="shared" si="33"/>
        <v>1.75</v>
      </c>
      <c r="GR32" s="106">
        <f>'Fórmula'!Q32</f>
        <v>14</v>
      </c>
      <c r="GS32" s="107">
        <f>'Fórmula'!P32</f>
        <v>6</v>
      </c>
      <c r="GT32" s="113">
        <f>'Fórmula'!O32</f>
        <v>4.52</v>
      </c>
      <c r="GU32" s="114">
        <f>AVERAGE('Fórmula'!R32/'Fórmula'!S32,'Fórmula'!S32/'Fórmula'!T32,'Fórmula'!T32/'Fórmula'!R32)</f>
        <v>1.05081998</v>
      </c>
      <c r="GV32" s="125">
        <f>'Fórmula'!U32</f>
        <v>813.93</v>
      </c>
      <c r="GW32" s="106">
        <f>'Fórmula'!N32</f>
        <v>0.02</v>
      </c>
    </row>
    <row r="33" ht="14.25" customHeight="1">
      <c r="A33" s="99" t="str">
        <f>'Fórmula'!A33</f>
        <v>Ba3MgSi2O8</v>
      </c>
      <c r="B33" s="101">
        <f t="array" ref="B33">(('Fórmula'!C33)/('Fórmula'!C33+'Fórmula'!E33+'Fórmula'!G33+'Fórmula'!I33+'Fórmula'!K33))*(INDEX(properties!A$1:CB$87,'Fórmula'!B33,3))+(('Fórmula'!E33)/('Fórmula'!C33+'Fórmula'!E33+'Fórmula'!G33+'Fórmula'!I33+'Fórmula'!K33))*(INDEX(properties!A$1:CB$87,'Fórmula'!D33,3))+(('Fórmula'!G33)/('Fórmula'!C33+'Fórmula'!E33+'Fórmula'!G33+'Fórmula'!I33+'Fórmula'!K33))*(INDEX(properties!A$1:CB$87,'Fórmula'!F33,3))+(('Fórmula'!I33)/('Fórmula'!C33+'Fórmula'!E33+'Fórmula'!G33+'Fórmula'!I33+'Fórmula'!K33))*(INDEX(properties!A$1:CB$87,'Fórmula'!H33,3))+(('Fórmula'!K33)/('Fórmula'!C33+'Fórmula'!E33+'Fórmula'!G33+'Fórmula'!I33+'Fórmula'!K33))*(INDEX(properties!A$1:CB$87,'Fórmula'!J33,3))</f>
        <v>44.31801429</v>
      </c>
      <c r="C33" s="101">
        <f t="array" ref="C33">'Fórmula'!C33*(INDEX(properties!A$1:CB$87,'Fórmula'!B33,3))+'Fórmula'!E33*(INDEX(properties!A$1:CB$87,'Fórmula'!D33,3))+'Fórmula'!G33*(INDEX(properties!A$1:CB$87,'Fórmula'!F33,3))+'Fórmula'!I33*(INDEX(properties!A$1:CB$87,'Fórmula'!H33,3))+'Fórmula'!K33*(INDEX(properties!A$1:CB$87,'Fórmula'!J33,3))</f>
        <v>620.4522</v>
      </c>
      <c r="D33" s="101">
        <f t="array" ref="D33">VARP(IF(INDEX(properties!A$1:CB$87,'Fórmula'!B33,3)&lt;&gt;"",INDEX(properties!A$1:CB$87,'Fórmula'!B33,3)),IF(INDEX(properties!A$1:CB$87,'Fórmula'!D33,3)&lt;&gt;"",INDEX(properties!A$1:CB$87,'Fórmula'!D33,3)),IF(INDEX(properties!A$1:CB$87,'Fórmula'!F33,3)&lt;&gt;"",INDEX(properties!A$1:CB$87,'Fórmula'!F33,3)),IF(INDEX(properties!A$1:CB$87,'Fórmula'!H33,3)&lt;&gt;"",INDEX(properties!A$1:CB$87,'Fórmula'!H33,3)),IF(INDEX(properties!A$1:CB$87,'Fórmula'!J33,3)&lt;&gt;"",INDEX(properties!A$1:CB$87,'Fórmula'!J33,3)))</f>
        <v>2406.065095</v>
      </c>
      <c r="E33" s="101">
        <f t="array" ref="E33">MAX(INDEX(properties!A$1:CB$87,'Fórmula'!B33,3),INDEX(properties!A$1:CB$87,'Fórmula'!D33,3),INDEX(properties!A$1:CB$87,'Fórmula'!F33,3),INDEX(properties!A$1:CB$87,'Fórmula'!H33,3),INDEX(properties!A$1:CB$87,'Fórmula'!J33,3))</f>
        <v>137.327</v>
      </c>
      <c r="F33" s="101">
        <f t="array" ref="F33">MIN(IF(INDEX(properties!A$1:CB$87,'Fórmula'!B33,3)=0,10^6,INDEX(properties!A$1:CB$87,'Fórmula'!B33,3)),IF(INDEX(properties!A$1:CB$87,'Fórmula'!D33,3)=0,10^6,INDEX(properties!A$1:CB$87,'Fórmula'!D33,3)),IF(INDEX(properties!A$1:CB$87,'Fórmula'!F33,3)=0,10^6,INDEX(properties!A$1:CB$87,'Fórmula'!F33,3)),IF(INDEX(properties!A$1:CB$87,'Fórmula'!H33,3)=0,10^6,INDEX(properties!A$1:CB$87,'Fórmula'!H33,3)),IF(INDEX(properties!A$1:CB$87,'Fórmula'!J33,3)=0,10^6,INDEX(properties!A$1:CB$87,'Fórmula'!J33,3)))</f>
        <v>15.9994</v>
      </c>
      <c r="G33" s="101">
        <f t="shared" si="1"/>
        <v>121.3276</v>
      </c>
      <c r="H33" s="102">
        <f t="array" ref="H33">(('Fórmula'!C33)/('Fórmula'!C33+'Fórmula'!E33+'Fórmula'!G33+'Fórmula'!I33+'Fórmula'!K33))*(INDEX(properties!A$1:CB$87,'Fórmula'!B33,4))+(('Fórmula'!E33)/('Fórmula'!C33+'Fórmula'!E33+'Fórmula'!G33+'Fórmula'!I33+'Fórmula'!K33))*(INDEX(properties!A$1:CB$87,'Fórmula'!D33,4))+(('Fórmula'!G33)/('Fórmula'!C33+'Fórmula'!E33+'Fórmula'!G33+'Fórmula'!I33+'Fórmula'!K33))*(INDEX(properties!A$1:CB$87,'Fórmula'!F33,4))+(('Fórmula'!I33)/('Fórmula'!C33+'Fórmula'!E33+'Fórmula'!G33+'Fórmula'!I33+'Fórmula'!K33))*(INDEX(properties!A$1:CB$87,'Fórmula'!H33,4))+(('Fórmula'!K33)/('Fórmula'!C33+'Fórmula'!E33+'Fórmula'!G33+'Fórmula'!I33+'Fórmula'!K33))*(INDEX(properties!A$1:CB$87,'Fórmula'!J33,4))</f>
        <v>19.42857143</v>
      </c>
      <c r="I33" s="102">
        <f t="array" ref="I33">'Fórmula'!C33*(INDEX(properties!A$1:CB$87,'Fórmula'!B33,4))+'Fórmula'!E33*(INDEX(properties!A$1:CB$87,'Fórmula'!D33,4))+'Fórmula'!G33*(INDEX(properties!A$1:CB$87,'Fórmula'!F33,4))+'Fórmula'!I33*(INDEX(properties!A$1:CB$87,'Fórmula'!H33,4))+'Fórmula'!K33*(INDEX(properties!A$1:CB$87,'Fórmula'!J33,4))</f>
        <v>272</v>
      </c>
      <c r="J33" s="102">
        <f t="array" ref="J33">VARP(IF(INDEX(properties!A$1:CB$87,'Fórmula'!B33,4)&lt;&gt;"",INDEX(properties!A$1:CB$87,'Fórmula'!B33,4)),IF(INDEX(properties!A$1:CB$87,'Fórmula'!D33,4)&lt;&gt;"",INDEX(properties!A$1:CB$87,'Fórmula'!D33,4)),IF(INDEX(properties!A$1:CB$87,'Fórmula'!F33,4)&lt;&gt;"",INDEX(properties!A$1:CB$87,'Fórmula'!F33,4)),IF(INDEX(properties!A$1:CB$87,'Fórmula'!H33,4)&lt;&gt;"",INDEX(properties!A$1:CB$87,'Fórmula'!H33,4)),IF(INDEX(properties!A$1:CB$87,'Fórmula'!J33,4)&lt;&gt;"",INDEX(properties!A$1:CB$87,'Fórmula'!J33,4)))</f>
        <v>384</v>
      </c>
      <c r="K33" s="102">
        <f t="array" ref="K33">MAX(INDEX(properties!A$1:CB$87,'Fórmula'!B33,4),INDEX(properties!A$1:CB$87,'Fórmula'!D33,4),INDEX(properties!A$1:CB$87,'Fórmula'!F33,4),INDEX(properties!A$1:CB$87,'Fórmula'!H33,4),INDEX(properties!A$1:CB$87,'Fórmula'!J33,4))</f>
        <v>56</v>
      </c>
      <c r="L33" s="102">
        <f t="array" ref="L33">MIN(IF(INDEX(properties!A$1:CB$87,'Fórmula'!B33,4)=0,10^6,INDEX(properties!A$1:CB$87,'Fórmula'!B33,4)),IF(INDEX(properties!A$1:CB$87,'Fórmula'!D33,4)=0,10^6,INDEX(properties!A$1:CB$87,'Fórmula'!D33,4)),IF(INDEX(properties!A$1:CB$87,'Fórmula'!F33,4)=0,10^6,INDEX(properties!A$1:CB$87,'Fórmula'!F33,4)),IF(INDEX(properties!A$1:CB$87,'Fórmula'!H33,4)=0,10^6,INDEX(properties!A$1:CB$87,'Fórmula'!H33,4)),IF(INDEX(properties!A$1:CB$87,'Fórmula'!J33,4)=0,10^6,INDEX(properties!A$1:CB$87,'Fórmula'!J33,4)))</f>
        <v>8</v>
      </c>
      <c r="M33" s="102">
        <f t="shared" si="2"/>
        <v>48</v>
      </c>
      <c r="N33" s="103">
        <f t="array" ref="N33">(('Fórmula'!C33)/('Fórmula'!C33+'Fórmula'!E33+'Fórmula'!G33+'Fórmula'!I33+'Fórmula'!K33))*(INDEX(properties!A$1:CB$87,'Fórmula'!B33,5))+(('Fórmula'!E33)/('Fórmula'!C33+'Fórmula'!E33+'Fórmula'!G33+'Fórmula'!I33+'Fórmula'!K33))*(INDEX(properties!A$1:CB$87,'Fórmula'!D33,5))+(('Fórmula'!G33)/('Fórmula'!C33+'Fórmula'!E33+'Fórmula'!G33+'Fórmula'!I33+'Fórmula'!K33))*(INDEX(properties!A$1:CB$87,'Fórmula'!F33,5))+(('Fórmula'!I33)/('Fórmula'!C33+'Fórmula'!E33+'Fórmula'!G33+'Fórmula'!I33+'Fórmula'!K33))*(INDEX(properties!A$1:CB$87,'Fórmula'!H33,5))+(('Fórmula'!K33)/('Fórmula'!C33+'Fórmula'!E33+'Fórmula'!G33+'Fórmula'!I33+'Fórmula'!K33))*(INDEX(properties!A$1:CB$87,'Fórmula'!J33,5))</f>
        <v>3.071428571</v>
      </c>
      <c r="O33" s="103">
        <f t="array" ref="O33">'Fórmula'!C33*(INDEX(properties!A$1:CB$87,'Fórmula'!B33,5))+'Fórmula'!E33*(INDEX(properties!A$1:CB$87,'Fórmula'!D33,5))+'Fórmula'!G33*(INDEX(properties!A$1:CB$87,'Fórmula'!F33,5))+'Fórmula'!I33*(INDEX(properties!A$1:CB$87,'Fórmula'!H33,5))+'Fórmula'!K33*(INDEX(properties!A$1:CB$87,'Fórmula'!J33,5))</f>
        <v>43</v>
      </c>
      <c r="P33" s="103">
        <f t="array" ref="P33">VARP(IF(INDEX(properties!A$1:CB$87,'Fórmula'!B33,5)&lt;&gt;"",INDEX(properties!A$1:CB$87,'Fórmula'!B33,5)),IF(INDEX(properties!A$1:CB$87,'Fórmula'!D33,5)&lt;&gt;"",INDEX(properties!A$1:CB$87,'Fórmula'!D33,5)),IF(INDEX(properties!A$1:CB$87,'Fórmula'!F33,5)&lt;&gt;"",INDEX(properties!A$1:CB$87,'Fórmula'!F33,5)),IF(INDEX(properties!A$1:CB$87,'Fórmula'!H33,5)&lt;&gt;"",INDEX(properties!A$1:CB$87,'Fórmula'!H33,5)),IF(INDEX(properties!A$1:CB$87,'Fórmula'!J33,5)&lt;&gt;"",INDEX(properties!A$1:CB$87,'Fórmula'!J33,5)))</f>
        <v>3.76</v>
      </c>
      <c r="Q33" s="103">
        <f t="array" ref="Q33">MAX(INDEX(properties!A$1:CB$87,'Fórmula'!B33,5),INDEX(properties!A$1:CB$87,'Fórmula'!D33,5),INDEX(properties!A$1:CB$87,'Fórmula'!F33,5),INDEX(properties!A$1:CB$87,'Fórmula'!H33,5),INDEX(properties!A$1:CB$87,'Fórmula'!J33,5))</f>
        <v>6</v>
      </c>
      <c r="R33" s="103">
        <f t="array" ref="R33">MIN(IF(INDEX(properties!A$1:CB$87,'Fórmula'!B33,5)=0,10^6,INDEX(properties!A$1:CB$87,'Fórmula'!B33,5)),IF(INDEX(properties!A$1:CB$87,'Fórmula'!D33,5)=0,10^6,INDEX(properties!A$1:CB$87,'Fórmula'!D33,5)),IF(INDEX(properties!A$1:CB$87,'Fórmula'!F33,5)=0,10^6,INDEX(properties!A$1:CB$87,'Fórmula'!F33,5)),IF(INDEX(properties!A$1:CB$87,'Fórmula'!H33,5)=0,10^6,INDEX(properties!A$1:CB$87,'Fórmula'!H33,5)),IF(INDEX(properties!A$1:CB$87,'Fórmula'!J33,5)=0,10^6,INDEX(properties!A$1:CB$87,'Fórmula'!J33,5)))</f>
        <v>2</v>
      </c>
      <c r="S33" s="103">
        <f t="shared" si="3"/>
        <v>4</v>
      </c>
      <c r="T33" s="104">
        <f t="array" ref="T33">(('Fórmula'!C33)/('Fórmula'!C33+'Fórmula'!E33+'Fórmula'!G33+'Fórmula'!I33+'Fórmula'!K33))*(INDEX(properties!A$1:CB$87,'Fórmula'!B33,6))+(('Fórmula'!E33)/('Fórmula'!C33+'Fórmula'!E33+'Fórmula'!G33+'Fórmula'!I33+'Fórmula'!K33))*(INDEX(properties!A$1:CB$87,'Fórmula'!D33,6))+(('Fórmula'!G33)/('Fórmula'!C33+'Fórmula'!E33+'Fórmula'!G33+'Fórmula'!I33+'Fórmula'!K33))*(INDEX(properties!A$1:CB$87,'Fórmula'!F33,6))+(('Fórmula'!I33)/('Fórmula'!C33+'Fórmula'!E33+'Fórmula'!G33+'Fórmula'!I33+'Fórmula'!K33))*(INDEX(properties!A$1:CB$87,'Fórmula'!H33,6))+(('Fórmula'!K33)/('Fórmula'!C33+'Fórmula'!E33+'Fórmula'!G33+'Fórmula'!I33+'Fórmula'!K33))*(INDEX(properties!A$1:CB$87,'Fórmula'!J33,6))</f>
        <v>11.71428571</v>
      </c>
      <c r="U33" s="104">
        <f t="array" ref="U33">'Fórmula'!C33*(INDEX(properties!A$1:CB$87,'Fórmula'!B33,6))+'Fórmula'!E33*(INDEX(properties!A$1:CB$87,'Fórmula'!D33,6))+'Fórmula'!G33*(INDEX(properties!A$1:CB$87,'Fórmula'!F33,6))+'Fórmula'!I33*(INDEX(properties!A$1:CB$87,'Fórmula'!H33,6))+'Fórmula'!K33*(INDEX(properties!A$1:CB$87,'Fórmula'!J33,6))</f>
        <v>164</v>
      </c>
      <c r="V33" s="103">
        <f t="array" ref="V33">VARP(IF(INDEX(properties!A$1:CB$87,'Fórmula'!B33,6)&lt;&gt;"",INDEX(properties!A$1:CB$87,'Fórmula'!B33,6)),IF(INDEX(properties!A$1:CB$87,'Fórmula'!D33,6)&lt;&gt;"",INDEX(properties!A$1:CB$87,'Fórmula'!D33,6)),IF(INDEX(properties!A$1:CB$87,'Fórmula'!F33,6)&lt;&gt;"",INDEX(properties!A$1:CB$87,'Fórmula'!F33,6)),IF(INDEX(properties!A$1:CB$87,'Fórmula'!H33,6)&lt;&gt;"",INDEX(properties!A$1:CB$87,'Fórmula'!H33,6)),IF(INDEX(properties!A$1:CB$87,'Fórmula'!J33,6)&lt;&gt;"",INDEX(properties!A$1:CB$87,'Fórmula'!J33,6)))</f>
        <v>45.76</v>
      </c>
      <c r="W33" s="104">
        <f t="array" ref="W33">MAX(INDEX(properties!A$1:CB$87,'Fórmula'!B33,6),INDEX(properties!A$1:CB$87,'Fórmula'!D33,6),INDEX(properties!A$1:CB$87,'Fórmula'!F33,6),INDEX(properties!A$1:CB$87,'Fórmula'!H33,4),INDEX(properties!A$1:CB$87,'Fórmula'!J33,6))</f>
        <v>14</v>
      </c>
      <c r="X33" s="104">
        <f t="array" ref="X33">MIN(IF(INDEX(properties!A$1:CB$87,'Fórmula'!B33,6)=0,10^6,INDEX(properties!A$1:CB$87,'Fórmula'!B33,6)),IF(INDEX(properties!A$1:CB$87,'Fórmula'!D33,6)=0,10^6,INDEX(properties!A$1:CB$87,'Fórmula'!D33,6)),IF(INDEX(properties!A$1:CB$87,'Fórmula'!F33,6)=0,10^6,INDEX(properties!A$1:CB$87,'Fórmula'!F33,6)),IF(INDEX(properties!A$1:CB$87,'Fórmula'!H33,6)=0,10^6,INDEX(properties!A$1:CB$87,'Fórmula'!H33,6)),IF(INDEX(properties!A$1:CB$87,'Fórmula'!J33,6)=0,10^6,INDEX(properties!A$1:CB$87,'Fórmula'!J33,6)))</f>
        <v>2</v>
      </c>
      <c r="Y33" s="104">
        <f t="shared" si="4"/>
        <v>12</v>
      </c>
      <c r="Z33" s="105">
        <f t="array" ref="Z33">(('Fórmula'!C33)/('Fórmula'!C33+'Fórmula'!E33+'Fórmula'!G33+'Fórmula'!I33+'Fórmula'!K33))*(INDEX(properties!A$1:CB$87,'Fórmula'!B33,9))+(('Fórmula'!E33)/('Fórmula'!C33+'Fórmula'!E33+'Fórmula'!G33+'Fórmula'!I33+'Fórmula'!K33))*(INDEX(properties!A$1:CB$87,'Fórmula'!D33,9))+(('Fórmula'!G33)/('Fórmula'!C33+'Fórmula'!E33+'Fórmula'!G33+'Fórmula'!I33+'Fórmula'!K33))*(INDEX(properties!A$1:CB$87,'Fórmula'!F33,9))+(('Fórmula'!I33)/('Fórmula'!C33+'Fórmula'!E33+'Fórmula'!G33+'Fórmula'!I33+'Fórmula'!K33))*(INDEX(properties!A$1:CB$87,'Fórmula'!H33,9))+(('Fórmula'!K33)/('Fórmula'!C33+'Fórmula'!E33+'Fórmula'!G33+'Fórmula'!I33+'Fórmula'!K33))*(INDEX(properties!A$1:CB$87,'Fórmula'!J33,9))</f>
        <v>67.64285714</v>
      </c>
      <c r="AA33" s="105">
        <f t="array" ref="AA33">'Fórmula'!C33*(INDEX(properties!A$1:CB$87,'Fórmula'!B33,9))+'Fórmula'!E33*(INDEX(properties!A$1:CB$87,'Fórmula'!D33,9))+'Fórmula'!G33*(INDEX(properties!A$1:CB$87,'Fórmula'!F33,9))+'Fórmula'!I33*(INDEX(properties!A$1:CB$87,'Fórmula'!H33,9))+'Fórmula'!K33*(INDEX(properties!A$1:CB$87,'Fórmula'!J33,9))</f>
        <v>947</v>
      </c>
      <c r="AB33" s="105">
        <f t="array" ref="AB33">VARP(IF(INDEX(properties!A$1:CB$87,'Fórmula'!B33,9)&lt;&gt;"",INDEX(properties!A$1:CB$87,'Fórmula'!B33,9)),IF(INDEX(properties!A$1:CB$87,'Fórmula'!D33,9)&lt;&gt;"",INDEX(properties!A$1:CB$87,'Fórmula'!D33,9)),IF(INDEX(properties!A$1:CB$87,'Fórmula'!F33,9)&lt;&gt;"",INDEX(properties!A$1:CB$87,'Fórmula'!F33,9)),IF(INDEX(properties!A$1:CB$87,'Fórmula'!H33,9)&lt;&gt;"",INDEX(properties!A$1:CB$87,'Fórmula'!H33,9)),IF(INDEX(properties!A$1:CB$87,'Fórmula'!J33,9)&lt;&gt;"",INDEX(properties!A$1:CB$87,'Fórmula'!J33,9)))</f>
        <v>1329.04</v>
      </c>
      <c r="AC33" s="105">
        <f t="array" ref="AC33">MAX(INDEX(properties!A$1:CB$87,'Fórmula'!B33,9),INDEX(properties!A$1:CB$87,'Fórmula'!D33,9),INDEX(properties!A$1:CB$87,'Fórmula'!F33,9),INDEX(properties!A$1:CB$87,'Fórmula'!H33,9),INDEX(properties!A$1:CB$87,'Fórmula'!J33,9))</f>
        <v>87</v>
      </c>
      <c r="AD33" s="105">
        <f t="array" ref="AD33">MIN(IF(INDEX(properties!A$1:CB$87,'Fórmula'!B33,9)=0,10^6,INDEX(properties!A$1:CB$87,'Fórmula'!B33,9)),IF(INDEX(properties!A$1:CB$87,'Fórmula'!D33,9)=0,10^6,INDEX(properties!A$1:CB$87,'Fórmula'!D33,9)),IF(INDEX(properties!A$1:CB$87,'Fórmula'!F33,9)=0,10^6,INDEX(properties!A$1:CB$87,'Fórmula'!F33,9)),IF(INDEX(properties!A$1:CB$87,'Fórmula'!H33,9)=0,10^6,INDEX(properties!A$1:CB$87,'Fórmula'!H33,9)),IF(INDEX(properties!A$1:CB$87,'Fórmula'!J33,9)=0,10^6,INDEX(properties!A$1:CB$87,'Fórmula'!J33,9)))</f>
        <v>9</v>
      </c>
      <c r="AE33" s="105">
        <f t="shared" si="5"/>
        <v>78</v>
      </c>
      <c r="AF33" s="106">
        <f t="array" ref="AF33">(('Fórmula'!C33)/('Fórmula'!C33+'Fórmula'!E33+'Fórmula'!G33+'Fórmula'!I33+'Fórmula'!K33))*(INDEX(properties!A$1:CB$87,'Fórmula'!B33,10))+(('Fórmula'!E33)/('Fórmula'!C33+'Fórmula'!E33+'Fórmula'!G33+'Fórmula'!I33+'Fórmula'!K33))*(INDEX(properties!A$1:CB$87,'Fórmula'!D33,10))+(('Fórmula'!G33)/('Fórmula'!C33+'Fórmula'!E33+'Fórmula'!G33+'Fórmula'!I33+'Fórmula'!K33))*(INDEX(properties!A$1:CB$87,'Fórmula'!F33,10))+(('Fórmula'!I33)/('Fórmula'!C33+'Fórmula'!E33+'Fórmula'!G33+'Fórmula'!I33+'Fórmula'!K33))*(INDEX(properties!A$1:CB$87,'Fórmula'!H33,10))+(('Fórmula'!K33)/('Fórmula'!C33+'Fórmula'!E33+'Fórmula'!G33+'Fórmula'!I33+'Fórmula'!K33))*(INDEX(properties!A$1:CB$87,'Fórmula'!J33,10))</f>
        <v>5.428571429</v>
      </c>
      <c r="AG33" s="106">
        <f t="array" ref="AG33">'Fórmula'!C33*(INDEX(properties!A$1:CB$87,'Fórmula'!B33,10))+'Fórmula'!E33*(INDEX(properties!A$1:CB$87,'Fórmula'!D33,10))+'Fórmula'!G33*(INDEX(properties!A$1:CB$87,'Fórmula'!F33,10))+'Fórmula'!I33*(INDEX(properties!A$1:CB$87,'Fórmula'!H33,10))+'Fórmula'!K33*(INDEX(properties!A$1:CB$87,'Fórmula'!J33,10))</f>
        <v>76</v>
      </c>
      <c r="AH33" s="106">
        <f t="array" ref="AH33">VARP(IF(INDEX(properties!A$1:CB$87,'Fórmula'!B33,10)&lt;&gt;"",INDEX(properties!A$1:CB$87,'Fórmula'!B33,10)),IF(INDEX(properties!A$1:CB$87,'Fórmula'!D33,10)&lt;&gt;"",INDEX(properties!A$1:CB$87,'Fórmula'!D33,10)),IF(INDEX(properties!A$1:CB$87,'Fórmula'!F33,10)&lt;&gt;"",INDEX(properties!A$1:CB$87,'Fórmula'!F33,10)),IF(INDEX(properties!A$1:CB$87,'Fórmula'!H33,10)&lt;&gt;"",INDEX(properties!A$1:CB$87,'Fórmula'!H33,10)),IF(INDEX(properties!A$1:CB$87,'Fórmula'!J33,10)&lt;&gt;"",INDEX(properties!A$1:CB$87,'Fórmula'!J33,10)))</f>
        <v>7.04</v>
      </c>
      <c r="AI33" s="106">
        <f t="array" ref="AI33">MAX(INDEX(properties!A$1:CB$87,'Fórmula'!B33,10),INDEX(properties!A$1:CB$87,'Fórmula'!D33,10),INDEX(properties!A$1:CB$87,'Fórmula'!F33,10),INDEX(properties!A$1:CB$87,'Fórmula'!H33,10),INDEX(properties!A$1:CB$87,'Fórmula'!J33,10))</f>
        <v>7</v>
      </c>
      <c r="AJ33" s="106">
        <f t="array" ref="AJ33">MIN(IF(INDEX(properties!A$1:CB$87,'Fórmula'!B33,10)=0,10^6,INDEX(properties!A$1:CB$87,'Fórmula'!B33,10)),IF(INDEX(properties!A$1:CB$87,'Fórmula'!D33,10)=0,10^6,INDEX(properties!A$1:CB$87,'Fórmula'!D33,10)),IF(INDEX(properties!A$1:CB$87,'Fórmula'!F33,10)=0,10^6,INDEX(properties!A$1:CB$87,'Fórmula'!F33,10)),IF(INDEX(properties!A$1:CB$87,'Fórmula'!H33,10)=0,10^6,INDEX(properties!A$1:CB$87,'Fórmula'!H33,10)),IF(INDEX(properties!A$1:CB$87,'Fórmula'!J33,10)=0,10^6,INDEX(properties!A$1:CB$87,'Fórmula'!J33,10)))</f>
        <v>2</v>
      </c>
      <c r="AK33" s="106">
        <f t="shared" si="6"/>
        <v>5</v>
      </c>
      <c r="AL33" s="107">
        <f t="array" ref="AL33">(('Fórmula'!C33)/('Fórmula'!C33+'Fórmula'!E33+'Fórmula'!G33+'Fórmula'!I33+'Fórmula'!K33))*(INDEX(properties!A$1:CB$87,'Fórmula'!B33,11))+(('Fórmula'!E33)/('Fórmula'!C33+'Fórmula'!E33+'Fórmula'!G33+'Fórmula'!I33+'Fórmula'!K33))*(INDEX(properties!A$1:CB$87,'Fórmula'!D33,11))+(('Fórmula'!G33)/('Fórmula'!C33+'Fórmula'!E33+'Fórmula'!G33+'Fórmula'!I33+'Fórmula'!K33))*(INDEX(properties!A$1:CB$87,'Fórmula'!F33,11))+(('Fórmula'!I33)/('Fórmula'!C33+'Fórmula'!E33+'Fórmula'!G33+'Fórmula'!I33+'Fórmula'!K33))*(INDEX(properties!A$1:CB$87,'Fórmula'!H33,11))+(('Fórmula'!K33)/('Fórmula'!C33+'Fórmula'!E33+'Fórmula'!G33+'Fórmula'!I33+'Fórmula'!K33))*(INDEX(properties!A$1:CB$87,'Fórmula'!J33,11))</f>
        <v>2</v>
      </c>
      <c r="AM33" s="107">
        <f t="array" ref="AM33">'Fórmula'!C33*(INDEX(properties!A$1:CB$87,'Fórmula'!B33,11))+'Fórmula'!E33*(INDEX(properties!A$1:CB$87,'Fórmula'!D33,11))+'Fórmula'!G33*(INDEX(properties!A$1:CB$87,'Fórmula'!F33,11))+'Fórmula'!I33*(INDEX(properties!A$1:CB$87,'Fórmula'!H33,11))+'Fórmula'!K33*(INDEX(properties!A$1:CB$87,'Fórmula'!J33,11))</f>
        <v>28</v>
      </c>
      <c r="AN33" s="107">
        <f t="array" ref="AN33">VARP(IF(INDEX(properties!A$1:CB$87,'Fórmula'!B33,11)&lt;&gt;"",INDEX(properties!A$1:CB$87,'Fórmula'!B33,11)),IF(INDEX(properties!A$1:CB$87,'Fórmula'!D33,11)&lt;&gt;"",INDEX(properties!A$1:CB$87,'Fórmula'!D33,11)),IF(INDEX(properties!A$1:CB$87,'Fórmula'!F33,11)&lt;&gt;"",INDEX(properties!A$1:CB$87,'Fórmula'!F33,11)),IF(INDEX(properties!A$1:CB$87,'Fórmula'!H33,11)&lt;&gt;"",INDEX(properties!A$1:CB$87,'Fórmula'!H33,11)),IF(INDEX(properties!A$1:CB$87,'Fórmula'!J33,11)&lt;&gt;"",INDEX(properties!A$1:CB$87,'Fórmula'!J33,11)))</f>
        <v>0.64</v>
      </c>
      <c r="AO33" s="107">
        <f t="array" ref="AO33">MAX(INDEX(properties!A$1:CB$87,'Fórmula'!B33,11),INDEX(properties!A$1:CB$87,'Fórmula'!D33,11),INDEX(properties!A$1:CB$87,'Fórmula'!F33,11),INDEX(properties!A$1:CB$87,'Fórmula'!H33,11),INDEX(properties!A$1:CB$87,'Fórmula'!J33,11))</f>
        <v>2</v>
      </c>
      <c r="AP33" s="107">
        <f t="array" ref="AP33">MIN(IF('Fórmula'!B33=87,10^6,INDEX(properties!A$1:CB$87,'Fórmula'!B33,11)),IF(('Fórmula'!D33)=87,10^6,INDEX(properties!A$1:CB$87,'Fórmula'!D33,11)),IF(('Fórmula'!F33)=87,10^6,INDEX(properties!A$1:CB$87,'Fórmula'!F33,11)),IF(('Fórmula'!H33)=87,10^6,INDEX(properties!A$1:CB$87,'Fórmula'!H33,11)),IF('Fórmula'!J33=87,10^6,INDEX(properties!A$1:CB$87,'Fórmula'!J33,11)))</f>
        <v>2</v>
      </c>
      <c r="AQ33" s="107">
        <f t="shared" si="7"/>
        <v>0</v>
      </c>
      <c r="AR33" s="108">
        <f t="array" ref="AR33">(('Fórmula'!C33)/('Fórmula'!C33+'Fórmula'!E33+'Fórmula'!G33+'Fórmula'!I33+'Fórmula'!K33))*(INDEX(properties!A$1:CB$87,'Fórmula'!B33,12))+(('Fórmula'!E33)/('Fórmula'!C33+'Fórmula'!E33+'Fórmula'!G33+'Fórmula'!I33+'Fórmula'!K33))*(INDEX(properties!A$1:CB$87,'Fórmula'!D33,12))+(('Fórmula'!G33)/('Fórmula'!C33+'Fórmula'!E33+'Fórmula'!G33+'Fórmula'!I33+'Fórmula'!K33))*(INDEX(properties!A$1:CB$87,'Fórmula'!F33,12))+(('Fórmula'!I33)/('Fórmula'!C33+'Fórmula'!E33+'Fórmula'!G33+'Fórmula'!I33+'Fórmula'!K33))*(INDEX(properties!A$1:CB$87,'Fórmula'!H33,12))+(('Fórmula'!K33)/('Fórmula'!C33+'Fórmula'!E33+'Fórmula'!G33+'Fórmula'!I33+'Fórmula'!K33))*(INDEX(properties!A$1:CB$87,'Fórmula'!J33,12))</f>
        <v>2.571428571</v>
      </c>
      <c r="AS33" s="108">
        <f t="array" ref="AS33">'Fórmula'!C33*(INDEX(properties!A$1:CB$87,'Fórmula'!B33,12))+'Fórmula'!E33*(INDEX(properties!A$1:CB$87,'Fórmula'!D33,12))+'Fórmula'!G33*(INDEX(properties!A$1:CB$87,'Fórmula'!F33,12))+'Fórmula'!I33*(INDEX(properties!A$1:CB$87,'Fórmula'!H33,12))+'Fórmula'!K33*(INDEX(properties!A$1:CB$87,'Fórmula'!J33,12))</f>
        <v>36</v>
      </c>
      <c r="AT33" s="108">
        <f t="array" ref="AT33">VARP(IF(INDEX(properties!A$1:CB$87,'Fórmula'!B33,12)&lt;&gt;"",INDEX(properties!A$1:CB$87,'Fórmula'!B33,12)),IF(INDEX(properties!A$1:CB$87,'Fórmula'!D33,12)&lt;&gt;"",INDEX(properties!A$1:CB$87,'Fórmula'!D33,12)),IF(INDEX(properties!A$1:CB$87,'Fórmula'!F33,12)&lt;&gt;"",INDEX(properties!A$1:CB$87,'Fórmula'!F33,12)),IF(INDEX(properties!A$1:CB$87,'Fórmula'!H33,12)&lt;&gt;"",INDEX(properties!A$1:CB$87,'Fórmula'!H33,12)),IF(INDEX(properties!A$1:CB$87,'Fórmula'!J33,12)&lt;&gt;"",INDEX(properties!A$1:CB$87,'Fórmula'!J33,12)))</f>
        <v>2.56</v>
      </c>
      <c r="AU33" s="108">
        <f t="array" ref="AU33">MAX(INDEX(properties!A$1:CB$87,'Fórmula'!B33,12),INDEX(properties!A$1:CB$87,'Fórmula'!D33,12),INDEX(properties!A$1:CB$87,'Fórmula'!F33,12),INDEX(properties!A$1:CB$87,'Fórmula'!H33,12),INDEX(properties!A$1:CB$87,'Fórmula'!J33,12))</f>
        <v>4</v>
      </c>
      <c r="AV33" s="108">
        <f t="array" ref="AV33">MIN(IF('Fórmula'!B33=87,10^6,INDEX(properties!A$1:CB$87,'Fórmula'!B33,12)),IF(('Fórmula'!D33)=87,10^6,INDEX(properties!A$1:CB$87,'Fórmula'!D33,12)),IF(('Fórmula'!F33)=87,10^6,INDEX(properties!A$1:CB$87,'Fórmula'!F33,12)),IF(('Fórmula'!H33)=87,10^6,INDEX(properties!A$1:CB$87,'Fórmula'!H33,12)),IF('Fórmula'!J33=87,10^6,INDEX(properties!A$1:CB$87,'Fórmula'!J33,12)))</f>
        <v>0</v>
      </c>
      <c r="AW33" s="108">
        <f t="shared" si="8"/>
        <v>4</v>
      </c>
      <c r="AX33" s="109">
        <f t="array" ref="AX33">(('Fórmula'!C33)/('Fórmula'!C33+'Fórmula'!E33+'Fórmula'!G33+'Fórmula'!I33+'Fórmula'!K33))*(INDEX(properties!A$1:CB$87,'Fórmula'!B33,13))+(('Fórmula'!E33)/('Fórmula'!C33+'Fórmula'!E33+'Fórmula'!G33+'Fórmula'!I33+'Fórmula'!K33))*(INDEX(properties!A$1:CB$87,'Fórmula'!D33,13))+(('Fórmula'!G33)/('Fórmula'!C33+'Fórmula'!E33+'Fórmula'!G33+'Fórmula'!I33+'Fórmula'!K33))*(INDEX(properties!A$1:CB$87,'Fórmula'!F33,13))+(('Fórmula'!I33)/('Fórmula'!C33+'Fórmula'!E33+'Fórmula'!G33+'Fórmula'!I33+'Fórmula'!K33))*(INDEX(properties!A$1:CB$87,'Fórmula'!H33,13))+(('Fórmula'!K33)/('Fórmula'!C33+'Fórmula'!E33+'Fórmula'!G33+'Fórmula'!I33+'Fórmula'!K33))*(INDEX(properties!A$1:CB$87,'Fórmula'!J33,13))</f>
        <v>0</v>
      </c>
      <c r="AY33" s="109">
        <f t="array" ref="AY33">'Fórmula'!C33*(INDEX(properties!A$1:CB$87,'Fórmula'!B33,13))+'Fórmula'!E33*(INDEX(properties!A$1:CB$87,'Fórmula'!D33,13))+'Fórmula'!G33*(INDEX(properties!A$1:CB$87,'Fórmula'!F33,13))+'Fórmula'!I33*(INDEX(properties!A$1:CB$87,'Fórmula'!H33,13))+'Fórmula'!K33*(INDEX(properties!A$1:CB$87,'Fórmula'!J33,13))</f>
        <v>0</v>
      </c>
      <c r="AZ33" s="109">
        <f t="array" ref="AZ33">VARP(IF(INDEX(properties!A$1:CB$87,'Fórmula'!B33,13)&lt;&gt;"",INDEX(properties!A$1:CB$87,'Fórmula'!B33,13)),IF(INDEX(properties!A$1:CB$87,'Fórmula'!D33,13)&lt;&gt;"",INDEX(properties!A$1:CB$87,'Fórmula'!D33,13)),IF(INDEX(properties!A$1:CB$87,'Fórmula'!F33,13)&lt;&gt;"",INDEX(properties!A$1:CB$87,'Fórmula'!F33,13)),IF(INDEX(properties!A$1:CB$87,'Fórmula'!H33,13)&lt;&gt;"",INDEX(properties!A$1:CB$87,'Fórmula'!H33,13)),IF(INDEX(properties!A$1:CB$87,'Fórmula'!J33,13)&lt;&gt;"",INDEX(properties!A$1:CB$87,'Fórmula'!J33,13)))</f>
        <v>0</v>
      </c>
      <c r="BA33" s="109">
        <f t="array" ref="BA33">MAX(INDEX(properties!A$1:CB$87,'Fórmula'!B33,13),INDEX(properties!A$1:CB$87,'Fórmula'!D33,13),INDEX(properties!A$1:CB$87,'Fórmula'!F33,13),INDEX(properties!A$1:CB$87,'Fórmula'!H33,13),INDEX(properties!A$1:CB$87,'Fórmula'!J33,13))</f>
        <v>0</v>
      </c>
      <c r="BB33" s="109">
        <f t="array" ref="BB33">MIN(IF('Fórmula'!B33=87,10^6,INDEX(properties!A$1:CB$87,'Fórmula'!B33,13)),IF(('Fórmula'!D33)=87,10^6,INDEX(properties!A$1:CB$87,'Fórmula'!D33,13)),IF(('Fórmula'!F33)=87,10^6,INDEX(properties!A$1:CB$87,'Fórmula'!F33,13)),IF(('Fórmula'!H33)=87,10^6,INDEX(properties!A$1:CB$87,'Fórmula'!H33,13)),IF('Fórmula'!J33=87,10^6,INDEX(properties!A$1:CB$87,'Fórmula'!J33,13)))</f>
        <v>0</v>
      </c>
      <c r="BC33" s="109">
        <f t="shared" si="9"/>
        <v>0</v>
      </c>
      <c r="BD33" s="110">
        <f t="array" ref="BD33">(('Fórmula'!C33)/('Fórmula'!C33+'Fórmula'!E33+'Fórmula'!G33+'Fórmula'!I33+'Fórmula'!K33))*(INDEX(properties!A$1:CB$87,'Fórmula'!B33,14))+(('Fórmula'!E33)/('Fórmula'!C33+'Fórmula'!E33+'Fórmula'!G33+'Fórmula'!I33+'Fórmula'!K33))*(INDEX(properties!A$1:CB$87,'Fórmula'!D33,14))+(('Fórmula'!G33)/('Fórmula'!C33+'Fórmula'!E33+'Fórmula'!G33+'Fórmula'!I33+'Fórmula'!K33))*(INDEX(properties!A$1:CB$87,'Fórmula'!F33,14))+(('Fórmula'!I33)/('Fórmula'!C33+'Fórmula'!E33+'Fórmula'!G33+'Fórmula'!I33+'Fórmula'!K33))*(INDEX(properties!A$1:CB$87,'Fórmula'!H33,14))+(('Fórmula'!K33)/('Fórmula'!C33+'Fórmula'!E33+'Fórmula'!G33+'Fórmula'!I33+'Fórmula'!K33))*(INDEX(properties!A$1:CB$87,'Fórmula'!J33,14))</f>
        <v>0</v>
      </c>
      <c r="BE33" s="110">
        <f t="array" ref="BE33">'Fórmula'!C33*(INDEX(properties!A$1:CB$87,'Fórmula'!B33,14))+'Fórmula'!E33*(INDEX(properties!A$1:CB$87,'Fórmula'!D33,14))+'Fórmula'!G33*(INDEX(properties!A$1:CB$87,'Fórmula'!F33,14))+'Fórmula'!I33*(INDEX(properties!A$1:CB$87,'Fórmula'!H33,14))+'Fórmula'!K33*(INDEX(properties!A$1:CB$87,'Fórmula'!J33,14))</f>
        <v>0</v>
      </c>
      <c r="BF33" s="110">
        <f t="array" ref="BF33">VARP(IF(INDEX(properties!A$1:CB$87,'Fórmula'!B33,14)&lt;&gt;"",INDEX(properties!A$1:CB$87,'Fórmula'!B33,14)),IF(INDEX(properties!A$1:CB$87,'Fórmula'!D33,14)&lt;&gt;"",INDEX(properties!A$1:CB$87,'Fórmula'!D33,14)),IF(INDEX(properties!A$1:CB$87,'Fórmula'!F33,14)&lt;&gt;"",INDEX(properties!A$1:CB$87,'Fórmula'!F33,14)),IF(INDEX(properties!A$1:CB$87,'Fórmula'!H33,14)&lt;&gt;"",INDEX(properties!A$1:CB$87,'Fórmula'!H33,14)),IF(INDEX(properties!A$1:CB$87,'Fórmula'!J33,14)&lt;&gt;"",INDEX(properties!A$1:CB$87,'Fórmula'!J33,14)))</f>
        <v>0</v>
      </c>
      <c r="BG33" s="110">
        <f t="array" ref="BG33">MAX(INDEX(properties!A$1:CB$87,'Fórmula'!B33,14),INDEX(properties!A$1:CB$87,'Fórmula'!D33,14),INDEX(properties!A$1:CB$87,'Fórmula'!F33,14),INDEX(properties!A$1:CB$87,'Fórmula'!H33,14),INDEX(properties!A$1:CB$87,'Fórmula'!J33,14))</f>
        <v>0</v>
      </c>
      <c r="BH33" s="110">
        <f t="array" ref="BH33">MIN(IF('Fórmula'!B33=87,10^6,INDEX(properties!A$1:CB$87,'Fórmula'!B33,14)),IF(('Fórmula'!D33)=87,10^6,INDEX(properties!A$1:CB$87,'Fórmula'!D33,14)),IF(('Fórmula'!F33)=87,10^6,INDEX(properties!A$1:CB$87,'Fórmula'!F33,14)),IF(('Fórmula'!H33)=87,10^6,INDEX(properties!A$1:CB$87,'Fórmula'!H33,14)),IF('Fórmula'!J33=87,10^6,INDEX(properties!A$1:CB$87,'Fórmula'!J33,14)))</f>
        <v>0</v>
      </c>
      <c r="BI33" s="110">
        <f t="shared" si="10"/>
        <v>0</v>
      </c>
      <c r="BJ33" s="111">
        <f t="array" ref="BJ33">(('Fórmula'!C33)/('Fórmula'!C33+'Fórmula'!E33+'Fórmula'!G33+'Fórmula'!I33+'Fórmula'!K33))*(INDEX(properties!A$1:CB$87,'Fórmula'!B33,19))+(('Fórmula'!E33)/('Fórmula'!C33+'Fórmula'!E33+'Fórmula'!G33+'Fórmula'!I33+'Fórmula'!K33))*(INDEX(properties!A$1:CB$87,'Fórmula'!D33,19))+(('Fórmula'!G33)/('Fórmula'!C33+'Fórmula'!E33+'Fórmula'!G33+'Fórmula'!I33+'Fórmula'!K33))*(INDEX(properties!A$1:CB$87,'Fórmula'!F33,19))+(('Fórmula'!I33)/('Fórmula'!C33+'Fórmula'!E33+'Fórmula'!G33+'Fórmula'!I33+'Fórmula'!K33))*(INDEX(properties!A$1:CB$87,'Fórmula'!H33,19))+(('Fórmula'!K33)/('Fórmula'!C33+'Fórmula'!E33+'Fórmula'!G33+'Fórmula'!I33+'Fórmula'!K33))*(INDEX(properties!A$1:CB$87,'Fórmula'!J33,19))</f>
        <v>4.571428571</v>
      </c>
      <c r="BK33" s="111">
        <f t="array" ref="BK33">'Fórmula'!C33*(INDEX(properties!A$1:CB$87,'Fórmula'!B33,19))+'Fórmula'!E33*(INDEX(properties!A$1:CB$87,'Fórmula'!D33,19))+'Fórmula'!G33*(INDEX(properties!A$1:CB$87,'Fórmula'!F33,19))+'Fórmula'!I33*(INDEX(properties!A$1:CB$87,'Fórmula'!H33,19))+'Fórmula'!K33*(INDEX(properties!A$1:CB$87,'Fórmula'!J33,19))</f>
        <v>64</v>
      </c>
      <c r="BL33" s="111">
        <f t="array" ref="BL33">VARP(IF(INDEX(properties!A$1:CB$87,'Fórmula'!B33,19)&lt;&gt;"",INDEX(properties!A$1:CB$87,'Fórmula'!B33,19)),IF(INDEX(properties!A$1:CB$87,'Fórmula'!D33,19)&lt;&gt;"",INDEX(properties!A$1:CB$87,'Fórmula'!D33,19)),IF(INDEX(properties!A$1:CB$87,'Fórmula'!F33,19)&lt;&gt;"",INDEX(properties!A$1:CB$87,'Fórmula'!F33,19)),IF(INDEX(properties!A$1:CB$87,'Fórmula'!H33,19)&lt;&gt;"",INDEX(properties!A$1:CB$87,'Fórmula'!H33,19)),IF(INDEX(properties!A$1:CB$87,'Fórmula'!J33,19)&lt;&gt;"",INDEX(properties!A$1:CB$87,'Fórmula'!J33,19)))</f>
        <v>4.16</v>
      </c>
      <c r="BM33" s="111">
        <f t="array" ref="BM33">MAX(INDEX(properties!A$1:CB$87,'Fórmula'!B33,19),INDEX(properties!A$1:CB$87,'Fórmula'!D33,19),INDEX(properties!A$1:CB$87,'Fórmula'!F33,19),INDEX(properties!A$1:CB$87,'Fórmula'!H33,19),INDEX(properties!A$1:CB$87,'Fórmula'!J33,19))</f>
        <v>6</v>
      </c>
      <c r="BN33" s="111">
        <f t="array" ref="BN33">MIN(IF(INDEX(properties!A$1:CB$87,'Fórmula'!B33,19)=0,10^6,INDEX(properties!A$1:CB$87,'Fórmula'!B33,19)),IF(INDEX(properties!A$1:CB$87,'Fórmula'!D33,19)=0,10^6,INDEX(properties!A$1:CB$87,'Fórmula'!D33,19)),IF(INDEX(properties!A$1:CB$87,'Fórmula'!F33,19)=0,10^6,INDEX(properties!A$1:CB$87,'Fórmula'!F33,19)),IF(INDEX(properties!A$1:CB$87,'Fórmula'!H33,19)=0,10^6,INDEX(properties!A$1:CB$87,'Fórmula'!H33,19)),IF(INDEX(properties!A$1:CB$87,'Fórmula'!J33,19)=0,10^6,INDEX(properties!A$1:CB$87,'Fórmula'!J33,19)))</f>
        <v>2</v>
      </c>
      <c r="BO33" s="111">
        <f t="shared" si="11"/>
        <v>4</v>
      </c>
      <c r="BP33" s="112">
        <f t="array" ref="BP33">(('Fórmula'!C33)/('Fórmula'!C33+'Fórmula'!E33+'Fórmula'!G33+'Fórmula'!I33+'Fórmula'!K33))*(INDEX(properties!A$1:CB$87,'Fórmula'!B33,20))+(('Fórmula'!E33)/('Fórmula'!C33+'Fórmula'!E33+'Fórmula'!G33+'Fórmula'!I33+'Fórmula'!K33))*(INDEX(properties!A$1:CB$87,'Fórmula'!D33,20))+(('Fórmula'!G33)/('Fórmula'!C33+'Fórmula'!E33+'Fórmula'!G33+'Fórmula'!I33+'Fórmula'!K33))*(INDEX(properties!A$1:CB$87,'Fórmula'!F33,20))+(('Fórmula'!I33)/('Fórmula'!C33+'Fórmula'!E33+'Fórmula'!G33+'Fórmula'!I33+'Fórmula'!K33))*(INDEX(properties!A$1:CB$87,'Fórmula'!H33,20))+(('Fórmula'!K33)/('Fórmula'!C33+'Fórmula'!E33+'Fórmula'!G33+'Fórmula'!I33+'Fórmula'!K33))*(INDEX(properties!A$1:CB$87,'Fórmula'!J33,20))</f>
        <v>4.571428571</v>
      </c>
      <c r="BQ33" s="112">
        <f t="array" ref="BQ33">'Fórmula'!C33*(INDEX(properties!A$1:CB$87,'Fórmula'!B33,20))+'Fórmula'!E33*(INDEX(properties!A$1:CB$87,'Fórmula'!D33,20))+'Fórmula'!G33*(INDEX(properties!A$1:CB$87,'Fórmula'!F33,20))+'Fórmula'!I33*(INDEX(properties!A$1:CB$87,'Fórmula'!H33,20))+'Fórmula'!K33*(INDEX(properties!A$1:CB$87,'Fórmula'!J33,20))</f>
        <v>64</v>
      </c>
      <c r="BR33" s="112">
        <f t="array" ref="BR33">VARP(IF(INDEX(properties!A$1:CB$87,'Fórmula'!B33,20)&lt;&gt;"",INDEX(properties!A$1:CB$87,'Fórmula'!B33,20)),IF(INDEX(properties!A$1:CB$87,'Fórmula'!D33,20)&lt;&gt;"",INDEX(properties!A$1:CB$87,'Fórmula'!D33,20)),IF(INDEX(properties!A$1:CB$87,'Fórmula'!F33,20)&lt;&gt;"",INDEX(properties!A$1:CB$87,'Fórmula'!F33,20)),IF(INDEX(properties!A$1:CB$87,'Fórmula'!H33,20)&lt;&gt;"",INDEX(properties!A$1:CB$87,'Fórmula'!H33,20)),IF(INDEX(properties!A$1:CB$87,'Fórmula'!J33,20)&lt;&gt;"",INDEX(properties!A$1:CB$87,'Fórmula'!J33,20)))</f>
        <v>4.16</v>
      </c>
      <c r="BS33" s="112">
        <f t="array" ref="BS33">MAX(INDEX(properties!A$1:CB$87,'Fórmula'!B33,20),INDEX(properties!A$1:CB$87,'Fórmula'!D33,20),INDEX(properties!A$1:CB$87,'Fórmula'!F33,20),INDEX(properties!A$1:CB$87,'Fórmula'!H33,20),INDEX(properties!A$1:CB$87,'Fórmula'!J33,20))</f>
        <v>6</v>
      </c>
      <c r="BT33" s="112">
        <f t="array" ref="BT33">MIN(IF(INDEX(properties!A$1:CB$87,'Fórmula'!B33,20)=0,10^6,INDEX(properties!A$1:CB$87,'Fórmula'!B33,20)),IF(INDEX(properties!A$1:CB$87,'Fórmula'!D33,20)=0,10^6,INDEX(properties!A$1:CB$87,'Fórmula'!D33,20)),IF(INDEX(properties!A$1:CB$87,'Fórmula'!F33,20)=0,10^6,INDEX(properties!A$1:CB$87,'Fórmula'!F33,20)),IF(INDEX(properties!A$1:CB$87,'Fórmula'!H33,20)=0,10^6,INDEX(properties!A$1:CB$87,'Fórmula'!H33,20)),IF(INDEX(properties!A$1:CB$87,'Fórmula'!J33,20)=0,10^6,INDEX(properties!A$1:CB$87,'Fórmula'!J33,20)))</f>
        <v>2</v>
      </c>
      <c r="BU33" s="112">
        <f t="shared" si="12"/>
        <v>4</v>
      </c>
      <c r="BV33" s="113">
        <f t="array" ref="BV33">(('Fórmula'!C33)/('Fórmula'!C33+'Fórmula'!E33+'Fórmula'!G33+'Fórmula'!I33+'Fórmula'!K33))*(INDEX(properties!A$1:CB$87,'Fórmula'!B33,21))+(('Fórmula'!E33)/('Fórmula'!C33+'Fórmula'!E33+'Fórmula'!G33+'Fórmula'!I33+'Fórmula'!K33))*(INDEX(properties!A$1:CB$87,'Fórmula'!D33,21))+(('Fórmula'!G33)/('Fórmula'!C33+'Fórmula'!E33+'Fórmula'!G33+'Fórmula'!I33+'Fórmula'!K33))*(INDEX(properties!A$1:CB$87,'Fórmula'!F33,21))+(('Fórmula'!I33)/('Fórmula'!C33+'Fórmula'!E33+'Fórmula'!G33+'Fórmula'!I33+'Fórmula'!K33))*(INDEX(properties!A$1:CB$87,'Fórmula'!H33,21))+(('Fórmula'!K33)/('Fórmula'!C33+'Fórmula'!E33+'Fórmula'!G33+'Fórmula'!I33+'Fórmula'!K33))*(INDEX(properties!A$1:CB$87,'Fórmula'!J33,21))</f>
        <v>4.571428571</v>
      </c>
      <c r="BW33" s="113">
        <f t="array" ref="BW33">'Fórmula'!C33*(INDEX(properties!A$1:CB$87,'Fórmula'!B33,21))+'Fórmula'!E33*(INDEX(properties!A$1:CB$87,'Fórmula'!D33,21))+'Fórmula'!G33*(INDEX(properties!A$1:CB$87,'Fórmula'!F33,21))+'Fórmula'!I33*(INDEX(properties!A$1:CB$87,'Fórmula'!H33,21))+'Fórmula'!K33*(INDEX(properties!A$1:CB$87,'Fórmula'!J33,21))</f>
        <v>64</v>
      </c>
      <c r="BX33" s="113">
        <f t="array" ref="BX33">VARP(IF(INDEX(properties!A$1:CB$87,'Fórmula'!B33,21)&lt;&gt;"",INDEX(properties!A$1:CB$87,'Fórmula'!B33,21)),IF(INDEX(properties!A$1:CB$87,'Fórmula'!D33,21)&lt;&gt;"",INDEX(properties!A$1:CB$87,'Fórmula'!D33,21)),IF(INDEX(properties!A$1:CB$87,'Fórmula'!F33,21)&lt;&gt;"",INDEX(properties!A$1:CB$87,'Fórmula'!F33,21)),IF(INDEX(properties!A$1:CB$87,'Fórmula'!H33,21)&lt;&gt;"",INDEX(properties!A$1:CB$87,'Fórmula'!H33,21)),IF(INDEX(properties!A$1:CB$87,'Fórmula'!J33,21)&lt;&gt;"",INDEX(properties!A$1:CB$87,'Fórmula'!J33,21)))</f>
        <v>4.16</v>
      </c>
      <c r="BY33" s="113">
        <f t="array" ref="BY33">MAX(INDEX(properties!A$1:CB$87,'Fórmula'!B33,21),INDEX(properties!A$1:CB$87,'Fórmula'!D33,21),INDEX(properties!A$1:CB$87,'Fórmula'!F33,21),INDEX(properties!A$1:CB$87,'Fórmula'!H33,21),INDEX(properties!A$1:CB$87,'Fórmula'!J33,21))</f>
        <v>6</v>
      </c>
      <c r="BZ33" s="113">
        <f t="array" ref="BZ33">MIN(IF(INDEX(properties!A$1:CB$87,'Fórmula'!B33,21)=0,10^6,INDEX(properties!A$1:CB$87,'Fórmula'!B33,21)),IF(INDEX(properties!A$1:CB$87,'Fórmula'!D33,21)=0,10^6,INDEX(properties!A$1:CB$87,'Fórmula'!D33,21)),IF(INDEX(properties!A$1:CB$87,'Fórmula'!F33,21)=0,10^6,INDEX(properties!A$1:CB$87,'Fórmula'!F33,21)),IF(INDEX(properties!A$1:CB$87,'Fórmula'!H33,21)=0,10^6,INDEX(properties!A$1:CB$87,'Fórmula'!H33,21)),IF(INDEX(properties!A$1:CB$87,'Fórmula'!J33,21)=0,10^6,INDEX(properties!A$1:CB$87,'Fórmula'!J33,21)))</f>
        <v>2</v>
      </c>
      <c r="CA33" s="113">
        <f t="shared" si="13"/>
        <v>4</v>
      </c>
      <c r="CB33" s="114">
        <f t="array" ref="CB33">(('Fórmula'!C33)/('Fórmula'!C33+'Fórmula'!E33+'Fórmula'!G33+'Fórmula'!I33+'Fórmula'!K33))*(INDEX(properties!A$1:CB$87,'Fórmula'!B33,23))+(('Fórmula'!E33)/('Fórmula'!C33+'Fórmula'!E33+'Fórmula'!G33+'Fórmula'!I33+'Fórmula'!K33))*(INDEX(properties!A$1:CB$87,'Fórmula'!D33,23))+(('Fórmula'!G33)/('Fórmula'!C33+'Fórmula'!E33+'Fórmula'!G33+'Fórmula'!I33+'Fórmula'!K33))*(INDEX(properties!A$1:CB$87,'Fórmula'!F33,23))+(('Fórmula'!I33)/('Fórmula'!C33+'Fórmula'!E33+'Fórmula'!G33+'Fórmula'!I33+'Fórmula'!K33))*(INDEX(properties!A$1:CB$87,'Fórmula'!H33,23))+(('Fórmula'!K33)/('Fórmula'!C33+'Fórmula'!E33+'Fórmula'!G33+'Fórmula'!I33+'Fórmula'!K33))*(INDEX(properties!A$1:CB$87,'Fórmula'!J33,23))</f>
        <v>1.142857143</v>
      </c>
      <c r="CC33" s="114">
        <f t="array" ref="CC33">'Fórmula'!C33*(INDEX(properties!A$1:CB$87,'Fórmula'!B33,23))+'Fórmula'!E33*(INDEX(properties!A$1:CB$87,'Fórmula'!D33,23))+'Fórmula'!G33*(INDEX(properties!A$1:CB$87,'Fórmula'!F33,23))+'Fórmula'!I33*(INDEX(properties!A$1:CB$87,'Fórmula'!H33,23))+'Fórmula'!K33*(INDEX(properties!A$1:CB$87,'Fórmula'!J33,23))</f>
        <v>16</v>
      </c>
      <c r="CD33" s="114">
        <f t="array" ref="CD33">VARP(IF(INDEX(properties!A$1:CB$87,'Fórmula'!B33,23)&lt;&gt;"",INDEX(properties!A$1:CB$87,'Fórmula'!B33,23)),IF(INDEX(properties!A$1:CB$87,'Fórmula'!D33,23)&lt;&gt;"",INDEX(properties!A$1:CB$87,'Fórmula'!D33,23)),IF(INDEX(properties!A$1:CB$87,'Fórmula'!F33,23)&lt;&gt;"",INDEX(properties!A$1:CB$87,'Fórmula'!F33,23)),IF(INDEX(properties!A$1:CB$87,'Fórmula'!H33,23)&lt;&gt;"",INDEX(properties!A$1:CB$87,'Fórmula'!H33,23)),IF(INDEX(properties!A$1:CB$87,'Fórmula'!J33,23)&lt;&gt;"",INDEX(properties!A$1:CB$87,'Fórmula'!J33,23)))</f>
        <v>2.24</v>
      </c>
      <c r="CE33" s="114">
        <f t="array" ref="CE33">MAX(INDEX(properties!A$1:CB$87,'Fórmula'!B33,23),INDEX(properties!A$1:CB$87,'Fórmula'!D33,23),INDEX(properties!A$1:CB$87,'Fórmula'!F33,23),INDEX(properties!A$1:CB$87,'Fórmula'!H33,23),INDEX(properties!A$1:CB$87,'Fórmula'!J33,23))</f>
        <v>4</v>
      </c>
      <c r="CF33" s="114">
        <f t="array" ref="CF33">MIN(IF('Fórmula'!B33=87,10^6,INDEX(properties!A$1:CB$87,'Fórmula'!B33,23)),IF(('Fórmula'!D33)=87,10^6,INDEX(properties!A$1:CB$87,'Fórmula'!D33,23)),IF(('Fórmula'!F33)=87,10^6,INDEX(properties!A$1:CB$87,'Fórmula'!F33,23)),IF(('Fórmula'!H33)=87,10^6,INDEX(properties!A$1:CB$87,'Fórmula'!H33,23)),IF('Fórmula'!J33=87,10^6,INDEX(properties!A$1:CB$87,'Fórmula'!J33,23)))</f>
        <v>0</v>
      </c>
      <c r="CG33" s="114">
        <f t="shared" si="14"/>
        <v>4</v>
      </c>
      <c r="CH33" s="115">
        <f t="array" ref="CH33">(('Fórmula'!C33)/('Fórmula'!C33+'Fórmula'!E33+'Fórmula'!G33+'Fórmula'!I33+'Fórmula'!K33))*(INDEX(properties!A$1:CB$87,'Fórmula'!B33,26))+(('Fórmula'!E33)/('Fórmula'!C33+'Fórmula'!E33+'Fórmula'!G33+'Fórmula'!I33+'Fórmula'!K33))*(INDEX(properties!A$1:CB$87,'Fórmula'!D33,26))+(('Fórmula'!G33)/('Fórmula'!C33+'Fórmula'!E33+'Fórmula'!G33+'Fórmula'!I33+'Fórmula'!K33))*(INDEX(properties!A$1:CB$87,'Fórmula'!F33,26))+(('Fórmula'!I33)/('Fórmula'!C33+'Fórmula'!E33+'Fórmula'!G33+'Fórmula'!I33+'Fórmula'!K33))*(INDEX(properties!A$1:CB$87,'Fórmula'!H33,26))+(('Fórmula'!K33)/('Fórmula'!C33+'Fórmula'!E33+'Fórmula'!G33+'Fórmula'!I33+'Fórmula'!K33))*(INDEX(properties!A$1:CB$87,'Fórmula'!J33,26))</f>
        <v>10.60925</v>
      </c>
      <c r="CI33" s="115">
        <f t="array" ref="CI33">'Fórmula'!C33*(INDEX(properties!A$1:CB$87,'Fórmula'!B33,26))+'Fórmula'!E33*(INDEX(properties!A$1:CB$87,'Fórmula'!D33,26))+'Fórmula'!G33*(INDEX(properties!A$1:CB$87,'Fórmula'!F33,26))+'Fórmula'!I33*(INDEX(properties!A$1:CB$87,'Fórmula'!H33,26))+'Fórmula'!K33*(INDEX(properties!A$1:CB$87,'Fórmula'!J33,26))</f>
        <v>148.5295</v>
      </c>
      <c r="CJ33" s="115">
        <f t="array" ref="CJ33">VARP(IF(INDEX(properties!A$1:CB$87,'Fórmula'!B33,26)&lt;&gt;"",INDEX(properties!A$1:CB$87,'Fórmula'!B33,26)),IF(INDEX(properties!A$1:CB$87,'Fórmula'!D33,26)&lt;&gt;"",INDEX(properties!A$1:CB$87,'Fórmula'!D33,26)),IF(INDEX(properties!A$1:CB$87,'Fórmula'!F33,26)&lt;&gt;"",INDEX(properties!A$1:CB$87,'Fórmula'!F33,26)),IF(INDEX(properties!A$1:CB$87,'Fórmula'!H33,26)&lt;&gt;"",INDEX(properties!A$1:CB$87,'Fórmula'!H33,26)),IF(INDEX(properties!A$1:CB$87,'Fórmula'!J33,26)&lt;&gt;"",INDEX(properties!A$1:CB$87,'Fórmula'!J33,26)))</f>
        <v>19.54270607</v>
      </c>
      <c r="CK33" s="116">
        <f t="array" ref="CK33">MAX(INDEX(properties!A$1:CB$87,'Fórmula'!B33,26),INDEX(properties!A$1:CB$87,'Fórmula'!D33,26),INDEX(properties!A$1:CB$87,'Fórmula'!F33,26),INDEX(properties!A$1:CB$87,'Fórmula'!H33,26),INDEX(properties!A$1:CB$87,'Fórmula'!J33,26))</f>
        <v>13.6181</v>
      </c>
      <c r="CL33" s="116">
        <f t="array" ref="CL33">MIN(IF(INDEX(properties!A$1:CB$87,'Fórmula'!B33,26)=0,10^6,INDEX(properties!A$1:CB$87,'Fórmula'!B33,26)),IF(INDEX(properties!A$1:CB$87,'Fórmula'!D33,26)=0,10^6,INDEX(properties!A$1:CB$87,'Fórmula'!D33,26)),IF(INDEX(properties!A$1:CB$87,'Fórmula'!F33,26)=0,10^6,INDEX(properties!A$1:CB$87,'Fórmula'!F33,26)),IF(INDEX(properties!A$1:CB$87,'Fórmula'!H33,26)=0,10^6,INDEX(properties!A$1:CB$87,'Fórmula'!H33,26)),IF(INDEX(properties!A$1:CB$87,'Fórmula'!J33,26)=0,10^6,INDEX(properties!A$1:CB$87,'Fórmula'!J33,26)))</f>
        <v>5.2117</v>
      </c>
      <c r="CM33" s="115">
        <f t="shared" si="15"/>
        <v>8.4064</v>
      </c>
      <c r="CN33" s="117">
        <f t="array" ref="CN33">(('Fórmula'!C33)/('Fórmula'!C33+'Fórmula'!E33+'Fórmula'!G33+'Fórmula'!I33+'Fórmula'!K33))*(INDEX(properties!A$1:CB$87,'Fórmula'!B33,30))+(('Fórmula'!E33)/('Fórmula'!C33+'Fórmula'!E33+'Fórmula'!G33+'Fórmula'!I33+'Fórmula'!K33))*(INDEX(properties!A$1:CB$87,'Fórmula'!D33,30))+(('Fórmula'!G33)/('Fórmula'!C33+'Fórmula'!E33+'Fórmula'!G33+'Fórmula'!I33+'Fórmula'!K33))*(INDEX(properties!A$1:CB$87,'Fórmula'!F33,30))+(('Fórmula'!I33)/('Fórmula'!C33+'Fórmula'!E33+'Fórmula'!G33+'Fórmula'!I33+'Fórmula'!K33))*(INDEX(properties!A$1:CB$87,'Fórmula'!H33,30))+(('Fórmula'!K33)/('Fórmula'!C33+'Fórmula'!E33+'Fórmula'!G33+'Fórmula'!I33+'Fórmula'!K33))*(INDEX(properties!A$1:CB$87,'Fórmula'!J33,30))</f>
        <v>2.521428571</v>
      </c>
      <c r="CO33" s="117">
        <f t="array" ref="CO33">'Fórmula'!C33*(INDEX(properties!A$1:CB$87,'Fórmula'!B33,30))+'Fórmula'!E33*(INDEX(properties!A$1:CB$87,'Fórmula'!D33,30))+'Fórmula'!G33*(INDEX(properties!A$1:CB$87,'Fórmula'!F33,30))+'Fórmula'!I33*(INDEX(properties!A$1:CB$87,'Fórmula'!H33,30))+'Fórmula'!K33*(INDEX(properties!A$1:CB$87,'Fórmula'!J33,30))</f>
        <v>35.3</v>
      </c>
      <c r="CP33" s="117">
        <f t="array" ref="CP33">VARP(IF(INDEX(properties!A$1:CB$87,'Fórmula'!B33,30)&lt;&gt;"",INDEX(properties!A$1:CB$87,'Fórmula'!B33,30)),IF(INDEX(properties!A$1:CB$87,'Fórmula'!D33,30)&lt;&gt;"",INDEX(properties!A$1:CB$87,'Fórmula'!D33,30)),IF(INDEX(properties!A$1:CB$87,'Fórmula'!F33,30)&lt;&gt;"",INDEX(properties!A$1:CB$87,'Fórmula'!F33,30)),IF(INDEX(properties!A$1:CB$87,'Fórmula'!H33,30)&lt;&gt;"",INDEX(properties!A$1:CB$87,'Fórmula'!H33,30)),IF(INDEX(properties!A$1:CB$87,'Fórmula'!J33,30)&lt;&gt;"",INDEX(properties!A$1:CB$87,'Fórmula'!J33,30)))</f>
        <v>1.316296</v>
      </c>
      <c r="CQ33" s="117">
        <f t="array" ref="CQ33">MAX(INDEX(properties!A$1:CB$87,'Fórmula'!B33,30),INDEX(properties!A$1:CB$87,'Fórmula'!D33,30),INDEX(properties!A$1:CB$87,'Fórmula'!F33,30),INDEX(properties!A$1:CB$87,'Fórmula'!H33,30),INDEX(properties!A$1:CB$87,'Fórmula'!J33,30))</f>
        <v>3.44</v>
      </c>
      <c r="CR33" s="117">
        <f t="array" ref="CR33">MIN(IF(INDEX(properties!A$1:CB$87,'Fórmula'!B33,30)=0,10^6,INDEX(properties!A$1:CB$87,'Fórmula'!B33,30)),IF(INDEX(properties!A$1:CB$87,'Fórmula'!D33,30)=0,10^6,INDEX(properties!A$1:CB$87,'Fórmula'!D33,30)),IF(INDEX(properties!A$1:CB$87,'Fórmula'!F33,30)=0,10^6,INDEX(properties!A$1:CB$87,'Fórmula'!F33,30)),IF(INDEX(properties!A$1:CB$87,'Fórmula'!H33,30)=0,10^6,INDEX(properties!A$1:CB$87,'Fórmula'!H33,30)),IF(INDEX(properties!A$1:CB$87,'Fórmula'!J33,30)=0,10^6,INDEX(properties!A$1:CB$87,'Fórmula'!J33,30)))</f>
        <v>0.89</v>
      </c>
      <c r="CS33" s="117">
        <f t="shared" si="16"/>
        <v>2.55</v>
      </c>
      <c r="CT33" s="118">
        <f t="array" ref="CT33">(('Fórmula'!C33)/('Fórmula'!C33+'Fórmula'!E33+'Fórmula'!G33+'Fórmula'!I33+'Fórmula'!K33))*(INDEX(properties!A$1:CB$87,'Fórmula'!B33,31))+(('Fórmula'!E33)/('Fórmula'!C33+'Fórmula'!E33+'Fórmula'!G33+'Fórmula'!I33+'Fórmula'!K33))*(INDEX(properties!A$1:CB$87,'Fórmula'!D33,31))+(('Fórmula'!G33)/('Fórmula'!C33+'Fórmula'!E33+'Fórmula'!G33+'Fórmula'!I33+'Fórmula'!K33))*(INDEX(properties!A$1:CB$87,'Fórmula'!F33,31))+(('Fórmula'!I33)/('Fórmula'!C33+'Fórmula'!E33+'Fórmula'!G33+'Fórmula'!I33+'Fórmula'!K33))*(INDEX(properties!A$1:CB$87,'Fórmula'!H33,31))+(('Fórmula'!K33)/('Fórmula'!C33+'Fórmula'!E33+'Fórmula'!G33+'Fórmula'!I33+'Fórmula'!K33))*(INDEX(properties!A$1:CB$87,'Fórmula'!J33,31))</f>
        <v>2.505</v>
      </c>
      <c r="CU33" s="118">
        <f t="array" ref="CU33">'Fórmula'!C33*(INDEX(properties!A$1:CB$87,'Fórmula'!B33,31))+'Fórmula'!E33*(INDEX(properties!A$1:CB$87,'Fórmula'!D33,31))+'Fórmula'!G33*(INDEX(properties!A$1:CB$87,'Fórmula'!F33,31))+'Fórmula'!I33*(INDEX(properties!A$1:CB$87,'Fórmula'!H33,31))+'Fórmula'!K33*(INDEX(properties!A$1:CB$87,'Fórmula'!J33,31))</f>
        <v>35.07</v>
      </c>
      <c r="CV33" s="118">
        <f t="array" ref="CV33">VARP(IF(INDEX(properties!A$1:CB$87,'Fórmula'!B33,31)&lt;&gt;"",INDEX(properties!A$1:CB$87,'Fórmula'!B33,31)),IF(INDEX(properties!A$1:CB$87,'Fórmula'!D33,31)&lt;&gt;"",INDEX(properties!A$1:CB$87,'Fórmula'!D33,31)),IF(INDEX(properties!A$1:CB$87,'Fórmula'!F33,31)&lt;&gt;"",INDEX(properties!A$1:CB$87,'Fórmula'!F33,31)),IF(INDEX(properties!A$1:CB$87,'Fórmula'!H33,31)&lt;&gt;"",INDEX(properties!A$1:CB$87,'Fórmula'!H33,31)),IF(INDEX(properties!A$1:CB$87,'Fórmula'!J33,31)&lt;&gt;"",INDEX(properties!A$1:CB$87,'Fórmula'!J33,31)))</f>
        <v>1.199616</v>
      </c>
      <c r="CW33" s="118">
        <f t="array" ref="CW33">MAX(INDEX(properties!A$1:CB$87,'Fórmula'!B33,31),INDEX(properties!A$1:CB$87,'Fórmula'!D33,31),INDEX(properties!A$1:CB$87,'Fórmula'!F33,31),INDEX(properties!A$1:CB$87,'Fórmula'!H33,31),INDEX(properties!A$1:CB$87,'Fórmula'!J33,31))</f>
        <v>3.32</v>
      </c>
      <c r="CX33" s="118">
        <f t="array" ref="CX33">MIN(IF(INDEX(properties!A$1:CB$87,'Fórmula'!B33,31)=0,10^6,INDEX(properties!A$1:CB$87,'Fórmula'!B33,31)),IF(INDEX(properties!A$1:CB$87,'Fórmula'!D33,31)=0,10^6,INDEX(properties!A$1:CB$87,'Fórmula'!D33,31)),IF(INDEX(properties!A$1:CB$87,'Fórmula'!F33,31)=0,10^6,INDEX(properties!A$1:CB$87,'Fórmula'!F33,31)),IF(INDEX(properties!A$1:CB$87,'Fórmula'!H33,31)=0,10^6,INDEX(properties!A$1:CB$87,'Fórmula'!H33,31)),IF(INDEX(properties!A$1:CB$87,'Fórmula'!J33,31)=0,10^6,INDEX(properties!A$1:CB$87,'Fórmula'!J33,31)))</f>
        <v>1.08</v>
      </c>
      <c r="CY33" s="118">
        <f t="shared" si="17"/>
        <v>2.24</v>
      </c>
      <c r="CZ33" s="119">
        <f t="array" ref="CZ33">(('Fórmula'!C33)/('Fórmula'!C33+'Fórmula'!E33+'Fórmula'!G33+'Fórmula'!I33+'Fórmula'!K33))*(INDEX(properties!A$1:CB$87,'Fórmula'!B33,32))+(('Fórmula'!E33)/('Fórmula'!C33+'Fórmula'!E33+'Fórmula'!G33+'Fórmula'!I33+'Fórmula'!K33))*(INDEX(properties!A$1:CB$87,'Fórmula'!D33,32))+(('Fórmula'!G33)/('Fórmula'!C33+'Fórmula'!E33+'Fórmula'!G33+'Fórmula'!I33+'Fórmula'!K33))*(INDEX(properties!A$1:CB$87,'Fórmula'!F33,32))+(('Fórmula'!I33)/('Fórmula'!C33+'Fórmula'!E33+'Fórmula'!G33+'Fórmula'!I33+'Fórmula'!K33))*(INDEX(properties!A$1:CB$87,'Fórmula'!H33,32))+(('Fórmula'!K33)/('Fórmula'!C33+'Fórmula'!E33+'Fórmula'!G33+'Fórmula'!I33+'Fórmula'!K33))*(INDEX(properties!A$1:CB$87,'Fórmula'!J33,32))</f>
        <v>5.772142857</v>
      </c>
      <c r="DA33" s="119">
        <f t="array" ref="DA33">'Fórmula'!C33*(INDEX(properties!A$1:CB$87,'Fórmula'!B33,32))+'Fórmula'!E33*(INDEX(properties!A$1:CB$87,'Fórmula'!D33,32))+'Fórmula'!G33*(INDEX(properties!A$1:CB$87,'Fórmula'!F33,32))+'Fórmula'!I33*(INDEX(properties!A$1:CB$87,'Fórmula'!H33,32))+'Fórmula'!K33*(INDEX(properties!A$1:CB$87,'Fórmula'!J33,32))</f>
        <v>80.81</v>
      </c>
      <c r="DB33" s="119">
        <f t="array" ref="DB33">VARP(IF(INDEX(properties!A$1:CB$87,'Fórmula'!B33,32)&lt;&gt;"",INDEX(properties!A$1:CB$87,'Fórmula'!B33,32)),IF(INDEX(properties!A$1:CB$87,'Fórmula'!D33,32)&lt;&gt;"",INDEX(properties!A$1:CB$87,'Fórmula'!D33,32)),IF(INDEX(properties!A$1:CB$87,'Fórmula'!F33,32)&lt;&gt;"",INDEX(properties!A$1:CB$87,'Fórmula'!F33,32)),IF(INDEX(properties!A$1:CB$87,'Fórmula'!H33,32)&lt;&gt;"",INDEX(properties!A$1:CB$87,'Fórmula'!H33,32)),IF(INDEX(properties!A$1:CB$87,'Fórmula'!J33,32)&lt;&gt;"",INDEX(properties!A$1:CB$87,'Fórmula'!J33,32)))</f>
        <v>6.254536</v>
      </c>
      <c r="DC33" s="119">
        <f t="array" ref="DC33">MAX(INDEX(properties!A$1:CB$87,'Fórmula'!B33,32),INDEX(properties!A$1:CB$87,'Fórmula'!D33,32),INDEX(properties!A$1:CB$87,'Fórmula'!F33,32),INDEX(properties!A$1:CB$87,'Fórmula'!H33,32),INDEX(properties!A$1:CB$87,'Fórmula'!J33,32))</f>
        <v>7.54</v>
      </c>
      <c r="DD33" s="119">
        <f t="array" ref="DD33">MIN(IF(INDEX(properties!A$1:CB$87,'Fórmula'!B33,32)=0,10^6,INDEX(properties!A$1:CB$87,'Fórmula'!B33,32)),IF(INDEX(properties!A$1:CB$87,'Fórmula'!D33,32)=0,10^6,INDEX(properties!A$1:CB$87,'Fórmula'!D33,32)),IF(INDEX(properties!A$1:CB$87,'Fórmula'!F33,32)=0,10^6,INDEX(properties!A$1:CB$87,'Fórmula'!F33,32)),IF(INDEX(properties!A$1:CB$87,'Fórmula'!H33,32)=0,10^6,INDEX(properties!A$1:CB$87,'Fórmula'!H33,32)),IF(INDEX(properties!A$1:CB$87,'Fórmula'!J33,32)=0,10^6,INDEX(properties!A$1:CB$87,'Fórmula'!J33,32)))</f>
        <v>2.4</v>
      </c>
      <c r="DE33" s="119">
        <f t="shared" si="18"/>
        <v>5.14</v>
      </c>
      <c r="DF33" s="104">
        <f t="array" ref="DF33">(('Fórmula'!C33)/('Fórmula'!C33+'Fórmula'!E33+'Fórmula'!G33+'Fórmula'!I33+'Fórmula'!K33))*(INDEX(properties!A$1:CB$87,'Fórmula'!B33,34))+(('Fórmula'!E33)/('Fórmula'!C33+'Fórmula'!E33+'Fórmula'!G33+'Fórmula'!I33+'Fórmula'!K33))*(INDEX(properties!A$1:CB$87,'Fórmula'!D33,34))+(('Fórmula'!G33)/('Fórmula'!C33+'Fórmula'!E33+'Fórmula'!G33+'Fórmula'!I33+'Fórmula'!K33))*(INDEX(properties!A$1:CB$87,'Fórmula'!F33,34))+(('Fórmula'!I33)/('Fórmula'!C33+'Fórmula'!E33+'Fórmula'!G33+'Fórmula'!I33+'Fórmula'!K33))*(INDEX(properties!A$1:CB$87,'Fórmula'!H33,34))+(('Fórmula'!K33)/('Fórmula'!C33+'Fórmula'!E33+'Fórmula'!G33+'Fórmula'!I33+'Fórmula'!K33))*(INDEX(properties!A$1:CB$87,'Fórmula'!J33,34))</f>
        <v>2.617714286</v>
      </c>
      <c r="DG33" s="104">
        <f t="array" ref="DG33">'Fórmula'!C33*(INDEX(properties!A$1:CB$87,'Fórmula'!B33,34))+'Fórmula'!E33*(INDEX(properties!A$1:CB$87,'Fórmula'!D33,34))+'Fórmula'!G33*(INDEX(properties!A$1:CB$87,'Fórmula'!F33,34))+'Fórmula'!I33*(INDEX(properties!A$1:CB$87,'Fórmula'!H33,34))+'Fórmula'!K33*(INDEX(properties!A$1:CB$87,'Fórmula'!J33,34))</f>
        <v>36.648</v>
      </c>
      <c r="DH33" s="104">
        <f t="array" ref="DH33">VARP(IF(INDEX(properties!A$1:CB$87,'Fórmula'!B33,34)&lt;&gt;"",INDEX(properties!A$1:CB$87,'Fórmula'!B33,34)),IF(INDEX(properties!A$1:CB$87,'Fórmula'!D33,34)&lt;&gt;"",INDEX(properties!A$1:CB$87,'Fórmula'!D33,34)),IF(INDEX(properties!A$1:CB$87,'Fórmula'!F33,34)&lt;&gt;"",INDEX(properties!A$1:CB$87,'Fórmula'!F33,34)),IF(INDEX(properties!A$1:CB$87,'Fórmula'!H33,34)&lt;&gt;"",INDEX(properties!A$1:CB$87,'Fórmula'!H33,34)),IF(INDEX(properties!A$1:CB$87,'Fórmula'!J33,34)&lt;&gt;"",INDEX(properties!A$1:CB$87,'Fórmula'!J33,34)))</f>
        <v>1.4586332</v>
      </c>
      <c r="DI33" s="104">
        <f t="array" ref="DI33">MAX(INDEX(properties!A$1:CB$87,'Fórmula'!B33,34),INDEX(properties!A$1:CB$87,'Fórmula'!D33,34),INDEX(properties!A$1:CB$87,'Fórmula'!F33,34),INDEX(properties!A$1:CB$87,'Fórmula'!H33,34),INDEX(properties!A$1:CB$87,'Fórmula'!J33,34))</f>
        <v>3.61</v>
      </c>
      <c r="DJ33" s="104">
        <f t="array" ref="DJ33">MIN(IF(INDEX(properties!A$1:CB$87,'Fórmula'!B33,34)=0,10^6,INDEX(properties!A$1:CB$87,'Fórmula'!B33,34)),IF(INDEX(properties!A$1:CB$87,'Fórmula'!D33,34)=0,10^6,INDEX(properties!A$1:CB$87,'Fórmula'!D33,34)),IF(INDEX(properties!A$1:CB$87,'Fórmula'!F33,34)=0,10^6,INDEX(properties!A$1:CB$87,'Fórmula'!F33,34)),IF(INDEX(properties!A$1:CB$87,'Fórmula'!H33,34)=0,10^6,INDEX(properties!A$1:CB$87,'Fórmula'!H33,34)),IF(INDEX(properties!A$1:CB$87,'Fórmula'!J33,34)=0,10^6,INDEX(properties!A$1:CB$87,'Fórmula'!J33,34)))</f>
        <v>0.881</v>
      </c>
      <c r="DK33" s="104">
        <f t="shared" si="19"/>
        <v>2.729</v>
      </c>
      <c r="DL33" s="105">
        <f t="array" ref="DL33">(('Fórmula'!C33)/('Fórmula'!C33+'Fórmula'!E33+'Fórmula'!G33+'Fórmula'!I33+'Fórmula'!K33))*(INDEX(properties!A$1:CB$87,'Fórmula'!B33,37))+(('Fórmula'!E33)/('Fórmula'!C33+'Fórmula'!E33+'Fórmula'!G33+'Fórmula'!I33+'Fórmula'!K33))*(INDEX(properties!A$1:CB$87,'Fórmula'!D33,37))+(('Fórmula'!G33)/('Fórmula'!C33+'Fórmula'!E33+'Fórmula'!G33+'Fórmula'!I33+'Fórmula'!K33))*(INDEX(properties!A$1:CB$87,'Fórmula'!F33,37))+(('Fórmula'!I33)/('Fórmula'!C33+'Fórmula'!E33+'Fórmula'!G33+'Fórmula'!I33+'Fórmula'!K33))*(INDEX(properties!A$1:CB$87,'Fórmula'!H33,37))+(('Fórmula'!K33)/('Fórmula'!C33+'Fórmula'!E33+'Fórmula'!G33+'Fórmula'!I33+'Fórmula'!K33))*(INDEX(properties!A$1:CB$87,'Fórmula'!J33,37))</f>
        <v>2.507142857</v>
      </c>
      <c r="DM33" s="105">
        <f t="array" ref="DM33">'Fórmula'!C33*(INDEX(properties!A$1:CB$87,'Fórmula'!B33,37))+'Fórmula'!E33*(INDEX(properties!A$1:CB$87,'Fórmula'!D33,37))+'Fórmula'!G33*(INDEX(properties!A$1:CB$87,'Fórmula'!F33,37))+'Fórmula'!I33*(INDEX(properties!A$1:CB$87,'Fórmula'!H33,37))+'Fórmula'!K33*(INDEX(properties!A$1:CB$87,'Fórmula'!J33,37))</f>
        <v>35.1</v>
      </c>
      <c r="DN33" s="105">
        <f t="array" ref="DN33">VARP(IF(INDEX(properties!A$1:CB$87,'Fórmula'!B33,37)&lt;&gt;"",INDEX(properties!A$1:CB$87,'Fórmula'!B33,37)),IF(INDEX(properties!A$1:CB$87,'Fórmula'!D33,37)&lt;&gt;"",INDEX(properties!A$1:CB$87,'Fórmula'!D33,37)),IF(INDEX(properties!A$1:CB$87,'Fórmula'!F33,37)&lt;&gt;"",INDEX(properties!A$1:CB$87,'Fórmula'!F33,37)),IF(INDEX(properties!A$1:CB$87,'Fórmula'!H33,37)&lt;&gt;"",INDEX(properties!A$1:CB$87,'Fórmula'!H33,37)),IF(INDEX(properties!A$1:CB$87,'Fórmula'!J33,37)&lt;&gt;"",INDEX(properties!A$1:CB$87,'Fórmula'!J33,37)))</f>
        <v>1.3176</v>
      </c>
      <c r="DO33" s="105">
        <f t="array" ref="DO33">MAX(INDEX(properties!A$1:CB$87,'Fórmula'!B33,37),INDEX(properties!A$1:CB$87,'Fórmula'!D33,37),INDEX(properties!A$1:CB$87,'Fórmula'!F33,37),INDEX(properties!A$1:CB$87,'Fórmula'!H33,37),INDEX(properties!A$1:CB$87,'Fórmula'!J33,37))</f>
        <v>3.45</v>
      </c>
      <c r="DP33" s="105">
        <f t="array" ref="DP33">MIN(IF(INDEX(properties!A$1:CB$87,'Fórmula'!B33,37)=0,10^6,INDEX(properties!A$1:CB$87,'Fórmula'!B33,37)),IF(INDEX(properties!A$1:CB$87,'Fórmula'!D33,37)=0,10^6,INDEX(properties!A$1:CB$87,'Fórmula'!D33,37)),IF(INDEX(properties!A$1:CB$87,'Fórmula'!F33,37)=0,10^6,INDEX(properties!A$1:CB$87,'Fórmula'!F33,37)),IF(INDEX(properties!A$1:CB$87,'Fórmula'!H33,37)=0,10^6,INDEX(properties!A$1:CB$87,'Fórmula'!H33,37)),IF(INDEX(properties!A$1:CB$87,'Fórmula'!J33,37)=0,10^6,INDEX(properties!A$1:CB$87,'Fórmula'!J33,37)))</f>
        <v>0.9</v>
      </c>
      <c r="DQ33" s="105">
        <f t="shared" si="20"/>
        <v>2.55</v>
      </c>
      <c r="DR33" s="109">
        <f t="array" ref="DR33">(('Fórmula'!C33)/('Fórmula'!C33+'Fórmula'!E33+'Fórmula'!G33+'Fórmula'!I33+'Fórmula'!K33))*(INDEX(properties!A$1:CB$87,'Fórmula'!B33,39))+(('Fórmula'!E33)/('Fórmula'!C33+'Fórmula'!E33+'Fórmula'!G33+'Fórmula'!I33+'Fórmula'!K33))*(INDEX(properties!A$1:CB$87,'Fórmula'!D33,39))+(('Fórmula'!G33)/('Fórmula'!C33+'Fórmula'!E33+'Fórmula'!G33+'Fórmula'!I33+'Fórmula'!K33))*(INDEX(properties!A$1:CB$87,'Fórmula'!F33,39))+(('Fórmula'!I33)/('Fórmula'!C33+'Fórmula'!E33+'Fórmula'!G33+'Fórmula'!I33+'Fórmula'!K33))*(INDEX(properties!A$1:CB$87,'Fórmula'!H33,39))+(('Fórmula'!K33)/('Fórmula'!C33+'Fórmula'!E33+'Fórmula'!G33+'Fórmula'!I33+'Fórmula'!K33))*(INDEX(properties!A$1:CB$87,'Fórmula'!J33,39))</f>
        <v>1.078571429</v>
      </c>
      <c r="DS33" s="109">
        <f t="array" ref="DS33">'Fórmula'!C33*(INDEX(properties!A$1:CB$87,'Fórmula'!B33,39))+'Fórmula'!E33*(INDEX(properties!A$1:CB$87,'Fórmula'!D33,39))+'Fórmula'!G33*(INDEX(properties!A$1:CB$87,'Fórmula'!F33,39))+'Fórmula'!I33*(INDEX(properties!A$1:CB$87,'Fórmula'!H33,39))+'Fórmula'!K33*(INDEX(properties!A$1:CB$87,'Fórmula'!J33,39))</f>
        <v>15.1</v>
      </c>
      <c r="DT33" s="109">
        <f t="array" ref="DT33">VARP(IF(INDEX(properties!A$1:CB$87,'Fórmula'!B33,39)&lt;&gt;"",INDEX(properties!A$1:CB$87,'Fórmula'!B33,39)),IF(INDEX(properties!A$1:CB$87,'Fórmula'!D33,39)&lt;&gt;"",INDEX(properties!A$1:CB$87,'Fórmula'!D33,39)),IF(INDEX(properties!A$1:CB$87,'Fórmula'!F33,39)&lt;&gt;"",INDEX(properties!A$1:CB$87,'Fórmula'!F33,39)),IF(INDEX(properties!A$1:CB$87,'Fórmula'!H33,39)&lt;&gt;"",INDEX(properties!A$1:CB$87,'Fórmula'!H33,39)),IF(INDEX(properties!A$1:CB$87,'Fórmula'!J33,39)&lt;&gt;"",INDEX(properties!A$1:CB$87,'Fórmula'!J33,39)))</f>
        <v>0.752184</v>
      </c>
      <c r="DU33" s="120">
        <f t="array" ref="DU33">MAX(INDEX(properties!A$1:CB$87,'Fórmula'!B33,39),INDEX(properties!A$1:CB$87,'Fórmula'!D33,39),INDEX(properties!A$1:CB$87,'Fórmula'!F33,39),INDEX(properties!A$1:CB$87,'Fórmula'!H33,39),INDEX(properties!A$1:CB$87,'Fórmula'!J33,39))</f>
        <v>2.53</v>
      </c>
      <c r="DV33" s="120">
        <f t="array" ref="DV33">MIN(IF(INDEX(properties!A$1:CB$87,'Fórmula'!B33,39)=0,10^6,INDEX(properties!A$1:CB$87,'Fórmula'!B33,39)),IF(INDEX(properties!A$1:CB$87,'Fórmula'!D33,39)=0,10^6,INDEX(properties!A$1:CB$87,'Fórmula'!D33,39)),IF(INDEX(properties!A$1:CB$87,'Fórmula'!F33,39)=0,10^6,INDEX(properties!A$1:CB$87,'Fórmula'!F33,39)),IF(INDEX(properties!A$1:CB$87,'Fórmula'!H33,39)=0,10^6,INDEX(properties!A$1:CB$87,'Fórmula'!H33,39)),IF(INDEX(properties!A$1:CB$87,'Fórmula'!J33,39)=0,10^6,INDEX(properties!A$1:CB$87,'Fórmula'!J33,39)))</f>
        <v>0.48</v>
      </c>
      <c r="DW33" s="109">
        <f t="shared" si="21"/>
        <v>2.05</v>
      </c>
      <c r="DX33" s="110">
        <f t="array" ref="DX33">(('Fórmula'!C33)/('Fórmula'!C33+'Fórmula'!E33+'Fórmula'!G33+'Fórmula'!I33+'Fórmula'!K33))*(INDEX(properties!A$1:CB$87,'Fórmula'!B33,40))+(('Fórmula'!E33)/('Fórmula'!C33+'Fórmula'!E33+'Fórmula'!G33+'Fórmula'!I33+'Fórmula'!K33))*(INDEX(properties!A$1:CB$87,'Fórmula'!D33,40))+(('Fórmula'!G33)/('Fórmula'!C33+'Fórmula'!E33+'Fórmula'!G33+'Fórmula'!I33+'Fórmula'!K33))*(INDEX(properties!A$1:CB$87,'Fórmula'!F33,40))+(('Fórmula'!I33)/('Fórmula'!C33+'Fórmula'!E33+'Fórmula'!G33+'Fórmula'!I33+'Fórmula'!K33))*(INDEX(properties!A$1:CB$87,'Fórmula'!H33,40))+(('Fórmula'!K33)/('Fórmula'!C33+'Fórmula'!E33+'Fórmula'!G33+'Fórmula'!I33+'Fórmula'!K33))*(INDEX(properties!A$1:CB$87,'Fórmula'!J33,40))</f>
        <v>1.092857143</v>
      </c>
      <c r="DY33" s="110">
        <f t="array" ref="DY33">'Fórmula'!C33*(INDEX(properties!A$1:CB$87,'Fórmula'!B33,40))+'Fórmula'!E33*(INDEX(properties!A$1:CB$87,'Fórmula'!D33,40))+'Fórmula'!G33*(INDEX(properties!A$1:CB$87,'Fórmula'!F33,40))+'Fórmula'!I33*(INDEX(properties!A$1:CB$87,'Fórmula'!H33,40))+'Fórmula'!K33*(INDEX(properties!A$1:CB$87,'Fórmula'!J33,40))</f>
        <v>15.3</v>
      </c>
      <c r="DZ33" s="110">
        <f t="array" ref="DZ33">VARP(IF(INDEX(properties!A$1:CB$87,'Fórmula'!B33,40)&lt;&gt;"",INDEX(properties!A$1:CB$87,'Fórmula'!B33,40)),IF(INDEX(properties!A$1:CB$87,'Fórmula'!D33,40)&lt;&gt;"",INDEX(properties!A$1:CB$87,'Fórmula'!D33,40)),IF(INDEX(properties!A$1:CB$87,'Fórmula'!F33,40)&lt;&gt;"",INDEX(properties!A$1:CB$87,'Fórmula'!F33,40)),IF(INDEX(properties!A$1:CB$87,'Fórmula'!H33,40)&lt;&gt;"",INDEX(properties!A$1:CB$87,'Fórmula'!H33,40)),IF(INDEX(properties!A$1:CB$87,'Fórmula'!J33,40)&lt;&gt;"",INDEX(properties!A$1:CB$87,'Fórmula'!J33,40)))</f>
        <v>0.426504</v>
      </c>
      <c r="EA33" s="121">
        <f t="array" ref="EA33">MAX(INDEX(properties!A$1:CB$87,'Fórmula'!B33,40),INDEX(properties!A$1:CB$87,'Fórmula'!D33,40),INDEX(properties!A$1:CB$87,'Fórmula'!F33,40),INDEX(properties!A$1:CB$87,'Fórmula'!H33,40),INDEX(properties!A$1:CB$87,'Fórmula'!J33,40))</f>
        <v>1.98</v>
      </c>
      <c r="EB33" s="121">
        <f t="array" ref="EB33">MIN(IF(INDEX(properties!A$1:CB$87,'Fórmula'!B33,40)=0,10^6,INDEX(properties!A$1:CB$87,'Fórmula'!B33,40)),IF(INDEX(properties!A$1:CB$87,'Fórmula'!D33,40)=0,10^6,INDEX(properties!A$1:CB$87,'Fórmula'!D33,40)),IF(INDEX(properties!A$1:CB$87,'Fórmula'!F33,40)=0,10^6,INDEX(properties!A$1:CB$87,'Fórmula'!F33,40)),IF(INDEX(properties!A$1:CB$87,'Fórmula'!H33,40)=0,10^6,INDEX(properties!A$1:CB$87,'Fórmula'!H33,40)),IF(INDEX(properties!A$1:CB$87,'Fórmula'!J33,40)=0,10^6,INDEX(properties!A$1:CB$87,'Fórmula'!J33,40)))</f>
        <v>0.73</v>
      </c>
      <c r="EC33" s="110">
        <f t="shared" si="22"/>
        <v>1.25</v>
      </c>
      <c r="ED33" s="111">
        <f t="array" ref="ED33">(('Fórmula'!C33)/('Fórmula'!C33+'Fórmula'!E33+'Fórmula'!G33+'Fórmula'!I33+'Fórmula'!K33))*(INDEX(properties!A$1:CB$87,'Fórmula'!B33,41))+(('Fórmula'!E33)/('Fórmula'!C33+'Fórmula'!E33+'Fórmula'!G33+'Fórmula'!I33+'Fórmula'!K33))*(INDEX(properties!A$1:CB$87,'Fórmula'!D33,41))+(('Fórmula'!G33)/('Fórmula'!C33+'Fórmula'!E33+'Fórmula'!G33+'Fórmula'!I33+'Fórmula'!K33))*(INDEX(properties!A$1:CB$87,'Fórmula'!F33,41))+(('Fórmula'!I33)/('Fórmula'!C33+'Fórmula'!E33+'Fórmula'!G33+'Fórmula'!I33+'Fórmula'!K33))*(INDEX(properties!A$1:CB$87,'Fórmula'!H33,41))+(('Fórmula'!K33)/('Fórmula'!C33+'Fórmula'!E33+'Fórmula'!G33+'Fórmula'!I33+'Fórmula'!K33))*(INDEX(properties!A$1:CB$87,'Fórmula'!J33,41))</f>
        <v>1.177857143</v>
      </c>
      <c r="EE33" s="111">
        <f t="array" ref="EE33">'Fórmula'!C33*(INDEX(properties!A$1:CB$87,'Fórmula'!B33,41))+'Fórmula'!E33*(INDEX(properties!A$1:CB$87,'Fórmula'!D33,41))+'Fórmula'!G33*(INDEX(properties!A$1:CB$87,'Fórmula'!F33,41))+'Fórmula'!I33*(INDEX(properties!A$1:CB$87,'Fórmula'!H33,41))+'Fórmula'!K33*(INDEX(properties!A$1:CB$87,'Fórmula'!J33,41))</f>
        <v>16.49</v>
      </c>
      <c r="EF33" s="111">
        <f t="array" ref="EF33">VARP(IF(INDEX(properties!A$1:CB$87,'Fórmula'!B33,41)&lt;&gt;"",INDEX(properties!A$1:CB$87,'Fórmula'!B33,41)),IF(INDEX(properties!A$1:CB$87,'Fórmula'!D33,41)&lt;&gt;"",INDEX(properties!A$1:CB$87,'Fórmula'!D33,41)),IF(INDEX(properties!A$1:CB$87,'Fórmula'!F33,41)&lt;&gt;"",INDEX(properties!A$1:CB$87,'Fórmula'!F33,41)),IF(INDEX(properties!A$1:CB$87,'Fórmula'!H33,41)&lt;&gt;"",INDEX(properties!A$1:CB$87,'Fórmula'!H33,41)),IF(INDEX(properties!A$1:CB$87,'Fórmula'!J33,41)&lt;&gt;"",INDEX(properties!A$1:CB$87,'Fórmula'!J33,41)))</f>
        <v>0.27888</v>
      </c>
      <c r="EG33" s="122">
        <f t="array" ref="EG33">MAX(INDEX(properties!A$1:CB$87,'Fórmula'!B33,41),INDEX(properties!A$1:CB$87,'Fórmula'!D33,41),INDEX(properties!A$1:CB$87,'Fórmula'!F33,41),INDEX(properties!A$1:CB$87,'Fórmula'!H33,41),INDEX(properties!A$1:CB$87,'Fórmula'!J33,41))</f>
        <v>1.49</v>
      </c>
      <c r="EH33" s="122">
        <f t="array" ref="EH33">MIN(IF(INDEX(properties!A$1:CB$87,'Fórmula'!B33,41)=0,10^6,INDEX(properties!A$1:CB$87,'Fórmula'!B33,41)),IF(INDEX(properties!A$1:CB$87,'Fórmula'!D33,41)=0,10^6,INDEX(properties!A$1:CB$87,'Fórmula'!D33,41)),IF(INDEX(properties!A$1:CB$87,'Fórmula'!F33,41)=0,10^6,INDEX(properties!A$1:CB$87,'Fórmula'!F33,41)),IF(INDEX(properties!A$1:CB$87,'Fórmula'!H33,41)=0,10^6,INDEX(properties!A$1:CB$87,'Fórmula'!H33,41)),IF(INDEX(properties!A$1:CB$87,'Fórmula'!J33,41)=0,10^6,INDEX(properties!A$1:CB$87,'Fórmula'!J33,41)))</f>
        <v>0.54</v>
      </c>
      <c r="EI33" s="111">
        <f t="shared" si="23"/>
        <v>0.95</v>
      </c>
      <c r="EJ33" s="112">
        <f t="array" ref="EJ33">(('Fórmula'!C33)/('Fórmula'!C33+'Fórmula'!E33+'Fórmula'!G33+'Fórmula'!I33+'Fórmula'!K33))*(INDEX(properties!A$1:CB$87,'Fórmula'!B33,45))+(('Fórmula'!E33)/('Fórmula'!C33+'Fórmula'!E33+'Fórmula'!G33+'Fórmula'!I33+'Fórmula'!K33))*(INDEX(properties!A$1:CB$87,'Fórmula'!D33,45))+(('Fórmula'!G33)/('Fórmula'!C33+'Fórmula'!E33+'Fórmula'!G33+'Fórmula'!I33+'Fórmula'!K33))*(INDEX(properties!A$1:CB$87,'Fórmula'!F33,45))+(('Fórmula'!I33)/('Fórmula'!C33+'Fórmula'!E33+'Fórmula'!G33+'Fórmula'!I33+'Fórmula'!K33))*(INDEX(properties!A$1:CB$87,'Fórmula'!H33,45))+(('Fórmula'!K33)/('Fórmula'!C33+'Fórmula'!E33+'Fórmula'!G33+'Fórmula'!I33+'Fórmula'!K33))*(INDEX(properties!A$1:CB$87,'Fórmula'!J33,45))</f>
        <v>1.345</v>
      </c>
      <c r="EK33" s="112">
        <f t="array" ref="EK33">'Fórmula'!C33*(INDEX(properties!A$1:CB$87,'Fórmula'!B33,45))+'Fórmula'!E33*(INDEX(properties!A$1:CB$87,'Fórmula'!D33,45))+'Fórmula'!G33*(INDEX(properties!A$1:CB$87,'Fórmula'!F33,45))+'Fórmula'!I33*(INDEX(properties!A$1:CB$87,'Fórmula'!H33,45))+'Fórmula'!K33*(INDEX(properties!A$1:CB$87,'Fórmula'!J33,45))</f>
        <v>18.83</v>
      </c>
      <c r="EL33" s="112">
        <f t="array" ref="EL33">VARP(IF(INDEX(properties!A$1:CB$87,'Fórmula'!B33,45)&lt;&gt;"",INDEX(properties!A$1:CB$87,'Fórmula'!B33,45)),IF(INDEX(properties!A$1:CB$87,'Fórmula'!D33,45)&lt;&gt;"",INDEX(properties!A$1:CB$87,'Fórmula'!D33,45)),IF(INDEX(properties!A$1:CB$87,'Fórmula'!F33,45)&lt;&gt;"",INDEX(properties!A$1:CB$87,'Fórmula'!F33,45)),IF(INDEX(properties!A$1:CB$87,'Fórmula'!H33,45)&lt;&gt;"",INDEX(properties!A$1:CB$87,'Fórmula'!H33,45)),IF(INDEX(properties!A$1:CB$87,'Fórmula'!J33,45)&lt;&gt;"",INDEX(properties!A$1:CB$87,'Fórmula'!J33,45)))</f>
        <v>1.440344</v>
      </c>
      <c r="EM33" s="123">
        <f t="array" ref="EM33">MAX(INDEX(properties!A$1:CB$87,'Fórmula'!B33,45),INDEX(properties!A$1:CB$87,'Fórmula'!D33,45),INDEX(properties!A$1:CB$87,'Fórmula'!F33,45),INDEX(properties!A$1:CB$87,'Fórmula'!H33,45),INDEX(properties!A$1:CB$87,'Fórmula'!J33,45))</f>
        <v>3.4</v>
      </c>
      <c r="EN33" s="123">
        <f t="array" ref="EN33">MIN(IF(INDEX(properties!A$1:CB$87,'Fórmula'!B33,45)=0,10^6,INDEX(properties!A$1:CB$87,'Fórmula'!B33,45)),IF(INDEX(properties!A$1:CB$87,'Fórmula'!D33,45)=0,10^6,INDEX(properties!A$1:CB$87,'Fórmula'!D33,45)),IF(INDEX(properties!A$1:CB$87,'Fórmula'!F33,45)=0,10^6,INDEX(properties!A$1:CB$87,'Fórmula'!F33,45)),IF(INDEX(properties!A$1:CB$87,'Fórmula'!H33,45)=0,10^6,INDEX(properties!A$1:CB$87,'Fórmula'!H33,45)),IF(INDEX(properties!A$1:CB$87,'Fórmula'!J33,45)=0,10^6,INDEX(properties!A$1:CB$87,'Fórmula'!J33,45)))</f>
        <v>0.47</v>
      </c>
      <c r="EO33" s="112">
        <f t="shared" si="24"/>
        <v>2.93</v>
      </c>
      <c r="EP33" s="113">
        <f t="array" ref="EP33">(('Fórmula'!C33)/('Fórmula'!C33+'Fórmula'!E33+'Fórmula'!G33+'Fórmula'!I33+'Fórmula'!K33))*(INDEX(properties!A$1:CB$87,'Fórmula'!B33,46))+(('Fórmula'!E33)/('Fórmula'!C33+'Fórmula'!E33+'Fórmula'!G33+'Fórmula'!I33+'Fórmula'!K33))*(INDEX(properties!A$1:CB$87,'Fórmula'!D33,46))+(('Fórmula'!G33)/('Fórmula'!C33+'Fórmula'!E33+'Fórmula'!G33+'Fórmula'!I33+'Fórmula'!K33))*(INDEX(properties!A$1:CB$87,'Fórmula'!F33,46))+(('Fórmula'!I33)/('Fórmula'!C33+'Fórmula'!E33+'Fórmula'!G33+'Fórmula'!I33+'Fórmula'!K33))*(INDEX(properties!A$1:CB$87,'Fórmula'!H33,46))+(('Fórmula'!K33)/('Fórmula'!C33+'Fórmula'!E33+'Fórmula'!G33+'Fórmula'!I33+'Fórmula'!K33))*(INDEX(properties!A$1:CB$87,'Fórmula'!J33,46))</f>
        <v>1.129285714</v>
      </c>
      <c r="EQ33" s="113">
        <f t="array" ref="EQ33">'Fórmula'!C33*(INDEX(properties!A$1:CB$87,'Fórmula'!B33,46))+'Fórmula'!E33*(INDEX(properties!A$1:CB$87,'Fórmula'!D33,46))+'Fórmula'!G33*(INDEX(properties!A$1:CB$87,'Fórmula'!F33,46))+'Fórmula'!I33*(INDEX(properties!A$1:CB$87,'Fórmula'!H33,46))+'Fórmula'!K33*(INDEX(properties!A$1:CB$87,'Fórmula'!J33,46))</f>
        <v>15.81</v>
      </c>
      <c r="ER33" s="113">
        <f t="array" ref="ER33">VARP(IF(INDEX(properties!A$1:CB$87,'Fórmula'!B33,46)&lt;&gt;"",INDEX(properties!A$1:CB$87,'Fórmula'!B33,46)),IF(INDEX(properties!A$1:CB$87,'Fórmula'!D33,46)&lt;&gt;"",INDEX(properties!A$1:CB$87,'Fórmula'!D33,46)),IF(INDEX(properties!A$1:CB$87,'Fórmula'!F33,46)&lt;&gt;"",INDEX(properties!A$1:CB$87,'Fórmula'!F33,46)),IF(INDEX(properties!A$1:CB$87,'Fórmula'!H33,46)&lt;&gt;"",INDEX(properties!A$1:CB$87,'Fórmula'!H33,46)),IF(INDEX(properties!A$1:CB$87,'Fórmula'!J33,46)&lt;&gt;"",INDEX(properties!A$1:CB$87,'Fórmula'!J33,46)))</f>
        <v>0.289496</v>
      </c>
      <c r="ES33" s="124">
        <f t="array" ref="ES33">MAX(INDEX(properties!A$1:CB$87,'Fórmula'!B33,46),INDEX(properties!A$1:CB$87,'Fórmula'!D33,46),INDEX(properties!A$1:CB$87,'Fórmula'!F33,46),INDEX(properties!A$1:CB$87,'Fórmula'!H33,46),INDEX(properties!A$1:CB$87,'Fórmula'!J33,46))</f>
        <v>1.49</v>
      </c>
      <c r="ET33" s="124">
        <f t="array" ref="ET33">MIN(IF(INDEX(properties!A$1:CB$87,'Fórmula'!B33,46)=0,10^6,INDEX(properties!A$1:CB$87,'Fórmula'!B33,46)),IF(INDEX(properties!A$1:CB$87,'Fórmula'!D33,46)=0,10^6,INDEX(properties!A$1:CB$87,'Fórmula'!D33,46)),IF(INDEX(properties!A$1:CB$87,'Fórmula'!F33,46)=0,10^6,INDEX(properties!A$1:CB$87,'Fórmula'!F33,46)),IF(INDEX(properties!A$1:CB$87,'Fórmula'!H33,46)=0,10^6,INDEX(properties!A$1:CB$87,'Fórmula'!H33,46)),IF(INDEX(properties!A$1:CB$87,'Fórmula'!J33,46)=0,10^6,INDEX(properties!A$1:CB$87,'Fórmula'!J33,46)))</f>
        <v>0.4</v>
      </c>
      <c r="EU33" s="113">
        <f t="shared" si="25"/>
        <v>1.09</v>
      </c>
      <c r="EV33" s="114">
        <f t="array" ref="EV33">(('Fórmula'!C33)/('Fórmula'!C33+'Fórmula'!E33+'Fórmula'!G33+'Fórmula'!I33+'Fórmula'!K33))*(INDEX(properties!A$1:CB$87,'Fórmula'!B33,52))+(('Fórmula'!E33)/('Fórmula'!C33+'Fórmula'!E33+'Fórmula'!G33+'Fórmula'!I33+'Fórmula'!K33))*(INDEX(properties!A$1:CB$87,'Fórmula'!D33,52))+(('Fórmula'!G33)/('Fórmula'!C33+'Fórmula'!E33+'Fórmula'!G33+'Fórmula'!I33+'Fórmula'!K33))*(INDEX(properties!A$1:CB$87,'Fórmula'!F33,52))+(('Fórmula'!I33)/('Fórmula'!C33+'Fórmula'!E33+'Fórmula'!G33+'Fórmula'!I33+'Fórmula'!K33))*(INDEX(properties!A$1:CB$87,'Fórmula'!H33,52))+(('Fórmula'!K33)/('Fórmula'!C33+'Fórmula'!E33+'Fórmula'!G33+'Fórmula'!I33+'Fórmula'!K33))*(INDEX(properties!A$1:CB$87,'Fórmula'!J33,52))</f>
        <v>10.48885714</v>
      </c>
      <c r="EW33" s="114">
        <f t="array" ref="EW33">'Fórmula'!C33*(INDEX(properties!A$1:CB$87,'Fórmula'!B33,52))+'Fórmula'!E33*(INDEX(properties!A$1:CB$87,'Fórmula'!D33,52))+'Fórmula'!G33*(INDEX(properties!A$1:CB$87,'Fórmula'!F33,52))+'Fórmula'!I33*(INDEX(properties!A$1:CB$87,'Fórmula'!H33,52))+'Fórmula'!K33*(INDEX(properties!A$1:CB$87,'Fórmula'!J33,52))</f>
        <v>146.844</v>
      </c>
      <c r="EX33" s="114">
        <f t="array" ref="EX33">VARP(IF(INDEX(properties!A$1:CB$87,'Fórmula'!B33,52)&lt;&gt;"",INDEX(properties!A$1:CB$87,'Fórmula'!B33,52)),IF(INDEX(properties!A$1:CB$87,'Fórmula'!D33,52)&lt;&gt;"",INDEX(properties!A$1:CB$87,'Fórmula'!D33,52)),IF(INDEX(properties!A$1:CB$87,'Fórmula'!F33,52)&lt;&gt;"",INDEX(properties!A$1:CB$87,'Fórmula'!F33,52)),IF(INDEX(properties!A$1:CB$87,'Fórmula'!H33,52)&lt;&gt;"",INDEX(properties!A$1:CB$87,'Fórmula'!H33,52)),IF(INDEX(properties!A$1:CB$87,'Fórmula'!J33,52)&lt;&gt;"",INDEX(properties!A$1:CB$87,'Fórmula'!J33,52)))</f>
        <v>215.9894078</v>
      </c>
      <c r="EY33" s="114">
        <f t="array" ref="EY33">MAX(INDEX(properties!A$1:CB$87,'Fórmula'!B33,52),INDEX(properties!A$1:CB$87,'Fórmula'!D33,52),INDEX(properties!A$1:CB$87,'Fórmula'!F33,52),INDEX(properties!A$1:CB$87,'Fórmula'!H33,52),INDEX(properties!A$1:CB$87,'Fórmula'!J33,52))</f>
        <v>39.7</v>
      </c>
      <c r="EZ33" s="114">
        <f t="array" ref="EZ33">MIN(IF(INDEX(properties!A$1:CB$87,'Fórmula'!B33,52)=0,10^6,INDEX(properties!A$1:CB$87,'Fórmula'!B33,52)),IF(INDEX(properties!A$1:CB$87,'Fórmula'!D33,52)=0,10^6,INDEX(properties!A$1:CB$87,'Fórmula'!D33,52)),IF(INDEX(properties!A$1:CB$87,'Fórmula'!F33,52)=0,10^6,INDEX(properties!A$1:CB$87,'Fórmula'!F33,52)),IF(INDEX(properties!A$1:CB$87,'Fórmula'!H33,52)=0,10^6,INDEX(properties!A$1:CB$87,'Fórmula'!H33,52)),IF(INDEX(properties!A$1:CB$87,'Fórmula'!J33,52)=0,10^6,INDEX(properties!A$1:CB$87,'Fórmula'!J33,52)))</f>
        <v>0.793</v>
      </c>
      <c r="FA33" s="114">
        <f t="shared" si="26"/>
        <v>38.907</v>
      </c>
      <c r="FB33" s="115">
        <f t="array" ref="FB33">(('Fórmula'!C33)/('Fórmula'!C33+'Fórmula'!E33+'Fórmula'!G33+'Fórmula'!I33+'Fórmula'!K33))*(INDEX(properties!A$1:CB$87,'Fórmula'!B33,53))+(('Fórmula'!E33)/('Fórmula'!C33+'Fórmula'!E33+'Fórmula'!G33+'Fórmula'!I33+'Fórmula'!K33))*(INDEX(properties!A$1:CB$87,'Fórmula'!D33,53))+(('Fórmula'!G33)/('Fórmula'!C33+'Fórmula'!E33+'Fórmula'!G33+'Fórmula'!I33+'Fórmula'!K33))*(INDEX(properties!A$1:CB$87,'Fórmula'!F33,53))+(('Fórmula'!I33)/('Fórmula'!C33+'Fórmula'!E33+'Fórmula'!G33+'Fórmula'!I33+'Fórmula'!K33))*(INDEX(properties!A$1:CB$87,'Fórmula'!H33,53))+(('Fórmula'!K33)/('Fórmula'!C33+'Fórmula'!E33+'Fórmula'!G33+'Fórmula'!I33+'Fórmula'!K33))*(INDEX(properties!A$1:CB$87,'Fórmula'!J33,53))</f>
        <v>551.4928571</v>
      </c>
      <c r="FC33" s="115">
        <f t="array" ref="FC33">'Fórmula'!C33*(INDEX(properties!A$1:CB$87,'Fórmula'!B33,53))+'Fórmula'!E33*(INDEX(properties!A$1:CB$87,'Fórmula'!D33,53))+'Fórmula'!G33*(INDEX(properties!A$1:CB$87,'Fórmula'!F33,53))+'Fórmula'!I33*(INDEX(properties!A$1:CB$87,'Fórmula'!H33,53))+'Fórmula'!K33*(INDEX(properties!A$1:CB$87,'Fórmula'!J33,53))</f>
        <v>7720.9</v>
      </c>
      <c r="FD33" s="115">
        <f t="array" ref="FD33">VARP(IF(INDEX(properties!A$1:CB$87,'Fórmula'!B33,53)&lt;&gt;"",INDEX(properties!A$1:CB$87,'Fórmula'!B33,53)),IF(INDEX(properties!A$1:CB$87,'Fórmula'!D33,53)&lt;&gt;"",INDEX(properties!A$1:CB$87,'Fórmula'!D33,53)),IF(INDEX(properties!A$1:CB$87,'Fórmula'!F33,53)&lt;&gt;"",INDEX(properties!A$1:CB$87,'Fórmula'!F33,53)),IF(INDEX(properties!A$1:CB$87,'Fórmula'!H33,53)&lt;&gt;"",INDEX(properties!A$1:CB$87,'Fórmula'!H33,53)),IF(INDEX(properties!A$1:CB$87,'Fórmula'!J33,53)&lt;&gt;"",INDEX(properties!A$1:CB$87,'Fórmula'!J33,53)))</f>
        <v>401234.0164</v>
      </c>
      <c r="FE33" s="115">
        <f t="array" ref="FE33">MAX(INDEX(properties!A$1:CB$87,'Fórmula'!B33,53),INDEX(properties!A$1:CB$87,'Fórmula'!D33,53),INDEX(properties!A$1:CB$87,'Fórmula'!F33,53),INDEX(properties!A$1:CB$87,'Fórmula'!H33,53),INDEX(properties!A$1:CB$87,'Fórmula'!J33,53))</f>
        <v>1683.15</v>
      </c>
      <c r="FF33" s="115">
        <f t="array" ref="FF33">MIN(IF(INDEX(properties!A$1:CB$87,'Fórmula'!B33,53)=0,10^6,INDEX(properties!A$1:CB$87,'Fórmula'!B33,53)),IF(INDEX(properties!A$1:CB$87,'Fórmula'!D33,53)=0,10^6,INDEX(properties!A$1:CB$87,'Fórmula'!D33,53)),IF(INDEX(properties!A$1:CB$87,'Fórmula'!F33,53)=0,10^6,INDEX(properties!A$1:CB$87,'Fórmula'!F33,53)),IF(INDEX(properties!A$1:CB$87,'Fórmula'!H33,53)=0,10^6,INDEX(properties!A$1:CB$87,'Fórmula'!H33,53)),IF(INDEX(properties!A$1:CB$87,'Fórmula'!J33,53)=0,10^6,INDEX(properties!A$1:CB$87,'Fórmula'!J33,53)))</f>
        <v>54.75</v>
      </c>
      <c r="FG33" s="115">
        <f t="shared" si="27"/>
        <v>1628.4</v>
      </c>
      <c r="FH33" s="117">
        <f t="array" ref="FH33">(('Fórmula'!C33)/('Fórmula'!C33+'Fórmula'!E33+'Fórmula'!G33+'Fórmula'!I33+'Fórmula'!K33))*(INDEX(properties!A$1:CB$87,'Fórmula'!B33,54))+(('Fórmula'!E33)/('Fórmula'!C33+'Fórmula'!E33+'Fórmula'!G33+'Fórmula'!I33+'Fórmula'!K33))*(INDEX(properties!A$1:CB$87,'Fórmula'!D33,54))+(('Fórmula'!G33)/('Fórmula'!C33+'Fórmula'!E33+'Fórmula'!G33+'Fórmula'!I33+'Fórmula'!K33))*(INDEX(properties!A$1:CB$87,'Fórmula'!F33,54))+(('Fórmula'!I33)/('Fórmula'!C33+'Fórmula'!E33+'Fórmula'!G33+'Fórmula'!I33+'Fórmula'!K33))*(INDEX(properties!A$1:CB$87,'Fórmula'!H33,54))+(('Fórmula'!K33)/('Fórmula'!C33+'Fórmula'!E33+'Fórmula'!G33+'Fórmula'!I33+'Fórmula'!K33))*(INDEX(properties!A$1:CB$87,'Fórmula'!J33,54))</f>
        <v>934.2928571</v>
      </c>
      <c r="FI33" s="117">
        <f t="array" ref="FI33">'Fórmula'!C33*(INDEX(properties!A$1:CB$87,'Fórmula'!B33,54))+'Fórmula'!E33*(INDEX(properties!A$1:CB$87,'Fórmula'!D33,54))+'Fórmula'!G33*(INDEX(properties!A$1:CB$87,'Fórmula'!F33,54))+'Fórmula'!I33*(INDEX(properties!A$1:CB$87,'Fórmula'!H33,54))+'Fórmula'!K33*(INDEX(properties!A$1:CB$87,'Fórmula'!J33,54))</f>
        <v>13080.1</v>
      </c>
      <c r="FJ33" s="117">
        <f t="array" ref="FJ33">VARP(IF(INDEX(properties!A$1:CB$87,'Fórmula'!B33,54)&lt;&gt;"",INDEX(properties!A$1:CB$87,'Fórmula'!B33,54)),IF(INDEX(properties!A$1:CB$87,'Fórmula'!D33,54)&lt;&gt;"",INDEX(properties!A$1:CB$87,'Fórmula'!D33,54)),IF(INDEX(properties!A$1:CB$87,'Fórmula'!F33,54)&lt;&gt;"",INDEX(properties!A$1:CB$87,'Fórmula'!F33,54)),IF(INDEX(properties!A$1:CB$87,'Fórmula'!H33,54)&lt;&gt;"",INDEX(properties!A$1:CB$87,'Fórmula'!H33,54)),IF(INDEX(properties!A$1:CB$87,'Fórmula'!J33,54)&lt;&gt;"",INDEX(properties!A$1:CB$87,'Fórmula'!J33,54)))</f>
        <v>1049314.892</v>
      </c>
      <c r="FK33" s="117">
        <f t="array" ref="FK33">MAX(INDEX(properties!A$1:CB$87,'Fórmula'!B33,54),INDEX(properties!A$1:CB$87,'Fórmula'!D33,54),INDEX(properties!A$1:CB$87,'Fórmula'!F33,54),INDEX(properties!A$1:CB$87,'Fórmula'!H33,54),INDEX(properties!A$1:CB$87,'Fórmula'!J33,54))</f>
        <v>2628.15</v>
      </c>
      <c r="FL33" s="117">
        <f t="array" ref="FL33">MIN(IF(INDEX(properties!A$1:CB$87,'Fórmula'!B33,54)=0,10^6,INDEX(properties!A$1:CB$87,'Fórmula'!B33,54)),IF(INDEX(properties!A$1:CB$87,'Fórmula'!D33,54)=0,10^6,INDEX(properties!A$1:CB$87,'Fórmula'!D33,54)),IF(INDEX(properties!A$1:CB$87,'Fórmula'!F33,54)=0,10^6,INDEX(properties!A$1:CB$87,'Fórmula'!F33,54)),IF(INDEX(properties!A$1:CB$87,'Fórmula'!H33,54)=0,10^6,INDEX(properties!A$1:CB$87,'Fórmula'!H33,54)),IF(INDEX(properties!A$1:CB$87,'Fórmula'!J33,54)=0,10^6,INDEX(properties!A$1:CB$87,'Fórmula'!J33,54)))</f>
        <v>90.15</v>
      </c>
      <c r="FM33" s="117">
        <f t="shared" si="28"/>
        <v>2538</v>
      </c>
      <c r="FN33" s="118">
        <f t="array" ref="FN33">(('Fórmula'!C33)/('Fórmula'!C33+'Fórmula'!E33+'Fórmula'!G33+'Fórmula'!I33+'Fórmula'!K33))*(INDEX(properties!A$1:CB$87,'Fórmula'!B33,55))+(('Fórmula'!E33)/('Fórmula'!C33+'Fórmula'!E33+'Fórmula'!G33+'Fórmula'!I33+'Fórmula'!K33))*(INDEX(properties!A$1:CB$87,'Fórmula'!D33,55))+(('Fórmula'!G33)/('Fórmula'!C33+'Fórmula'!E33+'Fórmula'!G33+'Fórmula'!I33+'Fórmula'!K33))*(INDEX(properties!A$1:CB$87,'Fórmula'!F33,55))+(('Fórmula'!I33)/('Fórmula'!C33+'Fórmula'!E33+'Fórmula'!G33+'Fórmula'!I33+'Fórmula'!K33))*(INDEX(properties!A$1:CB$87,'Fórmula'!H33,55))+(('Fórmula'!K33)/('Fórmula'!C33+'Fórmula'!E33+'Fórmula'!G33+'Fórmula'!I33+'Fórmula'!K33))*(INDEX(properties!A$1:CB$87,'Fórmula'!J33,55))</f>
        <v>1.20796</v>
      </c>
      <c r="FO33" s="118">
        <f t="array" ref="FO33">'Fórmula'!C33*(INDEX(properties!A$1:CB$87,'Fórmula'!B33,55))+'Fórmula'!E33*(INDEX(properties!A$1:CB$87,'Fórmula'!D33,54))+'Fórmula'!G33*(INDEX(properties!A$1:CB$87,'Fórmula'!F33,55))+'Fórmula'!I33*(INDEX(properties!A$1:CB$87,'Fórmula'!H33,55))+'Fórmula'!K33*(INDEX(properties!A$1:CB$87,'Fórmula'!J33,55))</f>
        <v>1378.32144</v>
      </c>
      <c r="FP33" s="118">
        <f t="array" ref="FP33">VARP(IF(INDEX(properties!A$1:CB$87,'Fórmula'!B33,55)&lt;&gt;"",INDEX(properties!A$1:CB$87,'Fórmula'!B33,55)),IF(INDEX(properties!A$1:CB$87,'Fórmula'!D33,55)&lt;&gt;"",INDEX(properties!A$1:CB$87,'Fórmula'!D33,55)),IF(INDEX(properties!A$1:CB$87,'Fórmula'!F33,55)&lt;&gt;"",INDEX(properties!A$1:CB$87,'Fórmula'!F33,55)),IF(INDEX(properties!A$1:CB$87,'Fórmula'!H33,55)&lt;&gt;"",INDEX(properties!A$1:CB$87,'Fórmula'!H33,55)),IF(INDEX(properties!A$1:CB$87,'Fórmula'!J33,55)&lt;&gt;"",INDEX(properties!A$1:CB$87,'Fórmula'!J33,55)))</f>
        <v>1.848238319</v>
      </c>
      <c r="FQ33" s="118">
        <f t="array" ref="FQ33">MAX(INDEX(properties!A$1:CB$87,'Fórmula'!B33,55),INDEX(properties!A$1:CB$87,'Fórmula'!D33,55),INDEX(properties!A$1:CB$87,'Fórmula'!F33,55),INDEX(properties!A$1:CB$87,'Fórmula'!H33,55),INDEX(properties!A$1:CB$87,'Fórmula'!J33,55))</f>
        <v>3.5</v>
      </c>
      <c r="FR33" s="118">
        <f t="array" ref="FR33">MIN(IF(INDEX(properties!A$1:CB$87,'Fórmula'!B33,55)=0,10^6,INDEX(properties!A$1:CB$87,'Fórmula'!B33,55)),IF(INDEX(properties!A$1:CB$87,'Fórmula'!D33,55)=0,10^6,INDEX(properties!A$1:CB$87,'Fórmula'!D33,55)),IF(INDEX(properties!A$1:CB$87,'Fórmula'!F33,55)=0,10^6,INDEX(properties!A$1:CB$87,'Fórmula'!F33,55)),IF(INDEX(properties!A$1:CB$87,'Fórmula'!H33,55)=0,10^6,INDEX(properties!A$1:CB$87,'Fórmula'!H33,55)),IF(INDEX(properties!A$1:CB$87,'Fórmula'!J33,55)=0,10^6,INDEX(properties!A$1:CB$87,'Fórmula'!J33,55)))</f>
        <v>0.00143</v>
      </c>
      <c r="FS33" s="118">
        <f t="shared" si="29"/>
        <v>3.49857</v>
      </c>
      <c r="FT33" s="119">
        <f t="array" ref="FT33">(('Fórmula'!C33)/('Fórmula'!C33+'Fórmula'!E33+'Fórmula'!G33+'Fórmula'!I33+'Fórmula'!K33))*(INDEX(properties!A$1:CB$87,'Fórmula'!B33,56))+(('Fórmula'!E33)/('Fórmula'!C33+'Fórmula'!E33+'Fórmula'!G33+'Fórmula'!I33+'Fórmula'!K33))*(INDEX(properties!A$1:CB$87,'Fórmula'!D33,56))+(('Fórmula'!G33)/('Fórmula'!C33+'Fórmula'!E33+'Fórmula'!G33+'Fórmula'!I33+'Fórmula'!K33))*(INDEX(properties!A$1:CB$87,'Fórmula'!F33,56))+(('Fórmula'!I33)/('Fórmula'!C33+'Fórmula'!E33+'Fórmula'!G33+'Fórmula'!I33+'Fórmula'!K33))*(INDEX(properties!A$1:CB$87,'Fórmula'!H33,56))+(('Fórmula'!K33)/('Fórmula'!C33+'Fórmula'!E33+'Fórmula'!G33+'Fórmula'!I33+'Fórmula'!K33))*(INDEX(properties!A$1:CB$87,'Fórmula'!J33,56))</f>
        <v>0.7437142857</v>
      </c>
      <c r="FU33" s="119">
        <f t="array" ref="FU33">'Fórmula'!C33*(INDEX(properties!A$1:CB$87,'Fórmula'!B33,56))+'Fórmula'!E33*(INDEX(properties!A$1:CB$87,'Fórmula'!D33,56))+'Fórmula'!G33*(INDEX(properties!A$1:CB$87,'Fórmula'!F33,56))+'Fórmula'!I33*(INDEX(properties!A$1:CB$87,'Fórmula'!H33,56))+'Fórmula'!K33*(INDEX(properties!A$1:CB$87,'Fórmula'!J33,56))</f>
        <v>10.412</v>
      </c>
      <c r="FV33" s="119">
        <f t="array" ref="FV33">VARP(IF(INDEX(properties!A$1:CB$87,'Fórmula'!B33,56)&lt;&gt;"",INDEX(properties!A$1:CB$87,'Fórmula'!B33,56)),IF(INDEX(properties!A$1:CB$87,'Fórmula'!D33,56)&lt;&gt;"",INDEX(properties!A$1:CB$87,'Fórmula'!D33,56)),IF(INDEX(properties!A$1:CB$87,'Fórmula'!F33,56)&lt;&gt;"",INDEX(properties!A$1:CB$87,'Fórmula'!F33,56)),IF(INDEX(properties!A$1:CB$87,'Fórmula'!H33,56)&lt;&gt;"",INDEX(properties!A$1:CB$87,'Fórmula'!H33,56)),IF(INDEX(properties!A$1:CB$87,'Fórmula'!J33,56)&lt;&gt;"",INDEX(properties!A$1:CB$87,'Fórmula'!J33,56)))</f>
        <v>0.16069056</v>
      </c>
      <c r="FW33" s="119">
        <f t="array" ref="FW33">MAX(INDEX(properties!A$1:CB$87,'Fórmula'!B33,56),INDEX(properties!A$1:CB$87,'Fórmula'!D33,56),INDEX(properties!A$1:CB$87,'Fórmula'!F33,56),INDEX(properties!A$1:CB$87,'Fórmula'!H33,56),INDEX(properties!A$1:CB$87,'Fórmula'!J33,56))</f>
        <v>1.02</v>
      </c>
      <c r="FX33" s="119">
        <f t="array" ref="FX33">MIN(IF(INDEX(properties!A$1:CB$87,'Fórmula'!B33,56)=0,10^6,INDEX(properties!A$1:CB$87,'Fórmula'!B33,56)),IF(INDEX(properties!A$1:CB$87,'Fórmula'!D33,56)=0,10^6,INDEX(properties!A$1:CB$87,'Fórmula'!D33,56)),IF(INDEX(properties!A$1:CB$87,'Fórmula'!F33,56)=0,10^6,INDEX(properties!A$1:CB$87,'Fórmula'!F33,56)),IF(INDEX(properties!A$1:CB$87,'Fórmula'!H33,56)=0,10^6,INDEX(properties!A$1:CB$87,'Fórmula'!H33,56)),IF(INDEX(properties!A$1:CB$87,'Fórmula'!J33,56)=0,10^6,INDEX(properties!A$1:CB$87,'Fórmula'!J33,56)))</f>
        <v>0.204</v>
      </c>
      <c r="FY33" s="119">
        <f t="shared" si="30"/>
        <v>0.816</v>
      </c>
      <c r="FZ33" s="104">
        <f t="array" ref="FZ33">(('Fórmula'!C33)/('Fórmula'!C33+'Fórmula'!E33+'Fórmula'!G33+'Fórmula'!I33+'Fórmula'!K33))*(INDEX(properties!A$1:CB$87,'Fórmula'!B33,57))+(('Fórmula'!E33)/('Fórmula'!C33+'Fórmula'!E33+'Fórmula'!G33+'Fórmula'!I33+'Fórmula'!K33))*(INDEX(properties!A$1:CB$87,'Fórmula'!D33,57))+(('Fórmula'!G33)/('Fórmula'!C33+'Fórmula'!E33+'Fórmula'!G33+'Fórmula'!I33+'Fórmula'!K33))*(INDEX(properties!A$1:CB$87,'Fórmula'!F33,57))+(('Fórmula'!I33)/('Fórmula'!C33+'Fórmula'!E33+'Fórmula'!G33+'Fórmula'!I33+'Fórmula'!K33))*(INDEX(properties!A$1:CB$87,'Fórmula'!H33,57))+(('Fórmula'!K33)/('Fórmula'!C33+'Fórmula'!E33+'Fórmula'!G33+'Fórmula'!I33+'Fórmula'!K33))*(INDEX(properties!A$1:CB$87,'Fórmula'!J33,57))</f>
        <v>9.648908571</v>
      </c>
      <c r="GA33" s="104">
        <f t="array" ref="GA33">'Fórmula'!C33*(INDEX(properties!A$1:CB$87,'Fórmula'!B33,57))+'Fórmula'!E33*(INDEX(properties!A$1:CB$87,'Fórmula'!D33,57))+'Fórmula'!G33*(INDEX(properties!A$1:CB$87,'Fórmula'!F33,57))+'Fórmula'!I33*(INDEX(properties!A$1:CB$87,'Fórmula'!H33,57))+'Fórmula'!K33*(INDEX(properties!A$1:CB$87,'Fórmula'!J33,57))</f>
        <v>135.08472</v>
      </c>
      <c r="GB33" s="104">
        <f t="array" ref="GB33">VARP(IF(INDEX(properties!A$1:CB$87,'Fórmula'!B33,57)&lt;&gt;"",INDEX(properties!A$1:CB$87,'Fórmula'!B33,57)),IF(INDEX(properties!A$1:CB$87,'Fórmula'!D33,57)&lt;&gt;"",INDEX(properties!A$1:CB$87,'Fórmula'!D33,57)),IF(INDEX(properties!A$1:CB$87,'Fórmula'!F33,57)&lt;&gt;"",INDEX(properties!A$1:CB$87,'Fórmula'!F33,57)),IF(INDEX(properties!A$1:CB$87,'Fórmula'!H33,57)&lt;&gt;"",INDEX(properties!A$1:CB$87,'Fórmula'!H33,57)),IF(INDEX(properties!A$1:CB$87,'Fórmula'!J33,57)&lt;&gt;"",INDEX(properties!A$1:CB$87,'Fórmula'!J33,57)))</f>
        <v>356.9941245</v>
      </c>
      <c r="GC33" s="104">
        <f t="array" ref="GC33">MAX(INDEX(properties!A$1:CB$87,'Fórmula'!B33,57),INDEX(properties!A$1:CB$87,'Fórmula'!D33,57),INDEX(properties!A$1:CB$87,'Fórmula'!F33,57),INDEX(properties!A$1:CB$87,'Fórmula'!H33,57),INDEX(properties!A$1:CB$87,'Fórmula'!J33,57))</f>
        <v>50.55</v>
      </c>
      <c r="GD33" s="104">
        <f t="array" ref="GD33">MIN(IF(INDEX(properties!A$1:CB$87,'Fórmula'!B33,57)=0,10^6,INDEX(properties!A$1:CB$87,'Fórmula'!B33,57)),IF(INDEX(properties!A$1:CB$87,'Fórmula'!D33,57)=0,10^6,INDEX(properties!A$1:CB$87,'Fórmula'!D33,57)),IF(INDEX(properties!A$1:CB$87,'Fórmula'!F33,57)=0,10^6,INDEX(properties!A$1:CB$87,'Fórmula'!F33,57)),IF(INDEX(properties!A$1:CB$87,'Fórmula'!H33,57)=0,10^6,INDEX(properties!A$1:CB$87,'Fórmula'!H33,57)),IF(INDEX(properties!A$1:CB$87,'Fórmula'!J33,57)=0,10^6,INDEX(properties!A$1:CB$87,'Fórmula'!J33,57)))</f>
        <v>0.22259</v>
      </c>
      <c r="GE33" s="104">
        <f t="shared" si="31"/>
        <v>50.32741</v>
      </c>
      <c r="GF33" s="105">
        <f t="array" ref="GF33">(('Fórmula'!C33)/('Fórmula'!C33+'Fórmula'!E33+'Fórmula'!G33+'Fórmula'!I33+'Fórmula'!K33))*(INDEX(properties!A$1:CB$87,'Fórmula'!B33,60))+(('Fórmula'!E33)/('Fórmula'!C33+'Fórmula'!E33+'Fórmula'!G33+'Fórmula'!I33+'Fórmula'!K33))*(INDEX(properties!A$1:CB$87,'Fórmula'!D33,60))+(('Fórmula'!G33)/('Fórmula'!C33+'Fórmula'!E33+'Fórmula'!G33+'Fórmula'!I33+'Fórmula'!K33))*(INDEX(properties!A$1:CB$87,'Fórmula'!F33,60))+(('Fórmula'!I33)/('Fórmula'!C33+'Fórmula'!E33+'Fórmula'!G33+'Fórmula'!I33+'Fórmula'!K33))*(INDEX(properties!A$1:CB$87,'Fórmula'!H33,60))+(('Fórmula'!K33)/('Fórmula'!C33+'Fórmula'!E33+'Fórmula'!G33+'Fórmula'!I33+'Fórmula'!K33))*(INDEX(properties!A$1:CB$87,'Fórmula'!J33,60))</f>
        <v>36.24385143</v>
      </c>
      <c r="GG33" s="105">
        <f t="array" ref="GG33">'Fórmula'!C33*(INDEX(properties!A$1:CB$87,'Fórmula'!B33,60))+'Fórmula'!E33*(INDEX(properties!A$1:CB$87,'Fórmula'!D33,60))+'Fórmula'!G33*(INDEX(properties!A$1:CB$87,'Fórmula'!F33,60))+'Fórmula'!I33*(INDEX(properties!A$1:CB$87,'Fórmula'!H33,60))+'Fórmula'!K33*(INDEX(properties!A$1:CB$87,'Fórmula'!J33,60))</f>
        <v>507.41392</v>
      </c>
      <c r="GH33" s="105">
        <f t="array" ref="GH33">VARP(IF(INDEX(properties!A$1:CB$87,'Fórmula'!B33,60)&lt;&gt;"",INDEX(properties!A$1:CB$87,'Fórmula'!B33,60)),IF(INDEX(properties!A$1:CB$87,'Fórmula'!D33,60)&lt;&gt;"",INDEX(properties!A$1:CB$87,'Fórmula'!D33,60)),IF(INDEX(properties!A$1:CB$87,'Fórmula'!F33,60)&lt;&gt;"",INDEX(properties!A$1:CB$87,'Fórmula'!F33,60)),IF(INDEX(properties!A$1:CB$87,'Fórmula'!H33,60)&lt;&gt;"",INDEX(properties!A$1:CB$87,'Fórmula'!H33,60)),IF(INDEX(properties!A$1:CB$87,'Fórmula'!J33,60)&lt;&gt;"",INDEX(properties!A$1:CB$87,'Fórmula'!J33,60)))</f>
        <v>5157.352036</v>
      </c>
      <c r="GI33" s="105">
        <f t="array" ref="GI33">MAX(INDEX(properties!A$1:CB$87,'Fórmula'!B33,60),INDEX(properties!A$1:CB$87,'Fórmula'!D33,60),INDEX(properties!A$1:CB$87,'Fórmula'!F33,60),INDEX(properties!A$1:CB$87,'Fórmula'!H33,60),INDEX(properties!A$1:CB$87,'Fórmula'!J33,60))</f>
        <v>156</v>
      </c>
      <c r="GJ33" s="105">
        <f t="array" ref="GJ33">MIN(IF(INDEX(properties!A$1:CB$87,'Fórmula'!B33,60)=0,10^6,INDEX(properties!A$1:CB$87,'Fórmula'!B33,60)),IF(INDEX(properties!A$1:CB$87,'Fórmula'!D33,60)=0,10^6,INDEX(properties!A$1:CB$87,'Fórmula'!D33,60)),IF(INDEX(properties!A$1:CB$87,'Fórmula'!F33,60)=0,10^6,INDEX(properties!A$1:CB$87,'Fórmula'!F33,60)),IF(INDEX(properties!A$1:CB$87,'Fórmula'!H33,60)=0,10^6,INDEX(properties!A$1:CB$87,'Fórmula'!H33,60)),IF(INDEX(properties!A$1:CB$87,'Fórmula'!J33,60)=0,10^6,INDEX(properties!A$1:CB$87,'Fórmula'!J33,60)))</f>
        <v>0.02674</v>
      </c>
      <c r="GK33" s="105">
        <f t="shared" si="32"/>
        <v>155.97326</v>
      </c>
      <c r="GL33" s="106">
        <f t="array" ref="GL33">(('Fórmula'!C33)/('Fórmula'!C33+'Fórmula'!E33+'Fórmula'!G33+'Fórmula'!I33+'Fórmula'!K33))*(INDEX(properties!A$1:CB$87,'Fórmula'!B33,62))+(('Fórmula'!E33)/('Fórmula'!C33+'Fórmula'!E33+'Fórmula'!G33+'Fórmula'!I33+'Fórmula'!K33))*(INDEX(properties!A$1:CB$87,'Fórmula'!D33,62))+(('Fórmula'!G33)/('Fórmula'!C33+'Fórmula'!E33+'Fórmula'!G33+'Fórmula'!I33+'Fórmula'!K33))*(INDEX(properties!A$1:CB$87,'Fórmula'!F33,62))+(('Fórmula'!I33)/('Fórmula'!C33+'Fórmula'!E33+'Fórmula'!G33+'Fórmula'!I33+'Fórmula'!K33))*(INDEX(properties!A$1:CB$87,'Fórmula'!H33,62))+(('Fórmula'!K33)/('Fórmula'!C33+'Fórmula'!E33+'Fórmula'!G33+'Fórmula'!I33+'Fórmula'!K33))*(INDEX(properties!A$1:CB$87,'Fórmula'!J33,62))</f>
        <v>2.673571429</v>
      </c>
      <c r="GM33" s="106">
        <f t="array" ref="GM33">'Fórmula'!C33*(INDEX(properties!A$1:CB$87,'Fórmula'!B33,62))+'Fórmula'!E33*(INDEX(properties!A$1:CB$87,'Fórmula'!D33,62))+'Fórmula'!G33*(INDEX(properties!A$1:CB$87,'Fórmula'!F33,62))+'Fórmula'!I33*(INDEX(properties!A$1:CB$87,'Fórmula'!H33,62))+'Fórmula'!K33*(INDEX(properties!A$1:CB$87,'Fórmula'!J33,62))</f>
        <v>37.43</v>
      </c>
      <c r="GN33" s="106">
        <f t="array" ref="GN33">VARP(IF(INDEX(properties!A$1:CB$87,'Fórmula'!B33,62)&lt;&gt;"",INDEX(properties!A$1:CB$87,'Fórmula'!B33,62)),IF(INDEX(properties!A$1:CB$87,'Fórmula'!D33,62)&lt;&gt;"",INDEX(properties!A$1:CB$87,'Fórmula'!D33,62)),IF(INDEX(properties!A$1:CB$87,'Fórmula'!F33,62)&lt;&gt;"",INDEX(properties!A$1:CB$87,'Fórmula'!F33,62)),IF(INDEX(properties!A$1:CB$87,'Fórmula'!H33,62)&lt;&gt;"",INDEX(properties!A$1:CB$87,'Fórmula'!H33,62)),IF(INDEX(properties!A$1:CB$87,'Fórmula'!J33,62)&lt;&gt;"",INDEX(properties!A$1:CB$87,'Fórmula'!J33,62)))</f>
        <v>2.292856</v>
      </c>
      <c r="GO33" s="106">
        <f t="array" ref="GO33">MAX(INDEX(properties!A$1:CB$87,'Fórmula'!B33,62),INDEX(properties!A$1:CB$87,'Fórmula'!D33,62),INDEX(properties!A$1:CB$87,'Fórmula'!F33,62),INDEX(properties!A$1:CB$87,'Fórmula'!H33,62),INDEX(properties!A$1:CB$87,'Fórmula'!J33,62))</f>
        <v>4.63</v>
      </c>
      <c r="GP33" s="106">
        <f t="array" ref="GP33">MIN(IF(INDEX(properties!A$1:CB$87,'Fórmula'!B33,62)=0,10^6,INDEX(properties!A$1:CB$87,'Fórmula'!B33,62)),IF(INDEX(properties!A$1:CB$87,'Fórmula'!D33,62)=0,10^6,INDEX(properties!A$1:CB$87,'Fórmula'!D33,62)),IF(INDEX(properties!A$1:CB$87,'Fórmula'!F33,62)=0,10^6,INDEX(properties!A$1:CB$87,'Fórmula'!F33,62)),IF(INDEX(properties!A$1:CB$87,'Fórmula'!H33,62)=0,10^6,INDEX(properties!A$1:CB$87,'Fórmula'!H33,62)),IF(INDEX(properties!A$1:CB$87,'Fórmula'!J33,62)=0,10^6,INDEX(properties!A$1:CB$87,'Fórmula'!J33,62)))</f>
        <v>1.51</v>
      </c>
      <c r="GQ33" s="106">
        <f t="shared" si="33"/>
        <v>3.12</v>
      </c>
      <c r="GR33" s="106">
        <f>'Fórmula'!Q33</f>
        <v>147</v>
      </c>
      <c r="GS33" s="107">
        <f>'Fórmula'!P33</f>
        <v>4</v>
      </c>
      <c r="GT33" s="113">
        <f>'Fórmula'!O33</f>
        <v>5.2</v>
      </c>
      <c r="GU33" s="114">
        <f>AVERAGE('Fórmula'!R33/'Fórmula'!S33,'Fórmula'!S33/'Fórmula'!T33,'Fórmula'!T33/'Fórmula'!R33)</f>
        <v>1.028233732</v>
      </c>
      <c r="GV33" s="125">
        <f>'Fórmula'!U33</f>
        <v>594.71</v>
      </c>
      <c r="GW33" s="106">
        <f>'Fórmula'!N33</f>
        <v>0.12</v>
      </c>
    </row>
    <row r="34" ht="14.25" customHeight="1">
      <c r="A34" s="99" t="str">
        <f>'Fórmula'!A34</f>
        <v>BiPO4</v>
      </c>
      <c r="B34" s="100">
        <f t="array" ref="B34">(('Fórmula'!C34)/('Fórmula'!C34+'Fórmula'!E34+'Fórmula'!G34+'Fórmula'!I34+'Fórmula'!K34))*(INDEX(properties!A$1:CB$87,'Fórmula'!B34,3))+(('Fórmula'!E34)/('Fórmula'!C34+'Fórmula'!E34+'Fórmula'!G34+'Fórmula'!I34+'Fórmula'!K34))*(INDEX(properties!A$1:CB$87,'Fórmula'!D34,3))+(('Fórmula'!G34)/('Fórmula'!C34+'Fórmula'!E34+'Fórmula'!G34+'Fórmula'!I34+'Fórmula'!K34))*(INDEX(properties!A$1:CB$87,'Fórmula'!F34,3))+(('Fórmula'!I34)/('Fórmula'!C34+'Fórmula'!E34+'Fórmula'!G34+'Fórmula'!I34+'Fórmula'!K34))*(INDEX(properties!A$1:CB$87,'Fórmula'!H34,3))+(('Fórmula'!K34)/('Fórmula'!C34+'Fórmula'!E34+'Fórmula'!G34+'Fórmula'!I34+'Fórmula'!K34))*(INDEX(properties!A$1:CB$87,'Fórmula'!J34,3))</f>
        <v>50.658622</v>
      </c>
      <c r="C34" s="101">
        <f t="array" ref="C34">'Fórmula'!C34*(INDEX(properties!A$1:CB$87,'Fórmula'!B34,3))+'Fórmula'!E34*(INDEX(properties!A$1:CB$87,'Fórmula'!D34,3))+'Fórmula'!G34*(INDEX(properties!A$1:CB$87,'Fórmula'!F34,3))+'Fórmula'!I34*(INDEX(properties!A$1:CB$87,'Fórmula'!H34,3))+'Fórmula'!K34*(INDEX(properties!A$1:CB$87,'Fórmula'!J34,3))</f>
        <v>303.951732</v>
      </c>
      <c r="D34" s="101">
        <f t="array" ref="D34">VARP(IF(INDEX(properties!A$1:CB$87,'Fórmula'!B34,3)&lt;&gt;"",INDEX(properties!A$1:CB$87,'Fórmula'!B34,3)),IF(INDEX(properties!A$1:CB$87,'Fórmula'!D34,3)&lt;&gt;"",INDEX(properties!A$1:CB$87,'Fórmula'!D34,3)),IF(INDEX(properties!A$1:CB$87,'Fórmula'!F34,3)&lt;&gt;"",INDEX(properties!A$1:CB$87,'Fórmula'!F34,3)),IF(INDEX(properties!A$1:CB$87,'Fórmula'!H34,3)&lt;&gt;"",INDEX(properties!A$1:CB$87,'Fórmula'!H34,3)),IF(INDEX(properties!A$1:CB$87,'Fórmula'!J34,3)&lt;&gt;"",INDEX(properties!A$1:CB$87,'Fórmula'!J34,3)))</f>
        <v>6357.141534</v>
      </c>
      <c r="E34" s="101">
        <f t="array" ref="E34">MAX(INDEX(properties!A$1:CB$87,'Fórmula'!B34,3),INDEX(properties!A$1:CB$87,'Fórmula'!D34,3),INDEX(properties!A$1:CB$87,'Fórmula'!F34,3),INDEX(properties!A$1:CB$87,'Fórmula'!H34,3),INDEX(properties!A$1:CB$87,'Fórmula'!J34,3))</f>
        <v>208.98037</v>
      </c>
      <c r="F34" s="101">
        <f t="array" ref="F34">MIN(IF(INDEX(properties!A$1:CB$87,'Fórmula'!B34,3)=0,10^6,INDEX(properties!A$1:CB$87,'Fórmula'!B34,3)),IF(INDEX(properties!A$1:CB$87,'Fórmula'!D34,3)=0,10^6,INDEX(properties!A$1:CB$87,'Fórmula'!D34,3)),IF(INDEX(properties!A$1:CB$87,'Fórmula'!F34,3)=0,10^6,INDEX(properties!A$1:CB$87,'Fórmula'!F34,3)),IF(INDEX(properties!A$1:CB$87,'Fórmula'!H34,3)=0,10^6,INDEX(properties!A$1:CB$87,'Fórmula'!H34,3)),IF(INDEX(properties!A$1:CB$87,'Fórmula'!J34,3)=0,10^6,INDEX(properties!A$1:CB$87,'Fórmula'!J34,3)))</f>
        <v>15.9994</v>
      </c>
      <c r="G34" s="101">
        <f t="shared" si="1"/>
        <v>192.98097</v>
      </c>
      <c r="H34" s="102">
        <f t="array" ref="H34">(('Fórmula'!C34)/('Fórmula'!C34+'Fórmula'!E34+'Fórmula'!G34+'Fórmula'!I34+'Fórmula'!K34))*(INDEX(properties!A$1:CB$87,'Fórmula'!B34,4))+(('Fórmula'!E34)/('Fórmula'!C34+'Fórmula'!E34+'Fórmula'!G34+'Fórmula'!I34+'Fórmula'!K34))*(INDEX(properties!A$1:CB$87,'Fórmula'!D34,4))+(('Fórmula'!G34)/('Fórmula'!C34+'Fórmula'!E34+'Fórmula'!G34+'Fórmula'!I34+'Fórmula'!K34))*(INDEX(properties!A$1:CB$87,'Fórmula'!F34,4))+(('Fórmula'!I34)/('Fórmula'!C34+'Fórmula'!E34+'Fórmula'!G34+'Fórmula'!I34+'Fórmula'!K34))*(INDEX(properties!A$1:CB$87,'Fórmula'!H34,4))+(('Fórmula'!K34)/('Fórmula'!C34+'Fórmula'!E34+'Fórmula'!G34+'Fórmula'!I34+'Fórmula'!K34))*(INDEX(properties!A$1:CB$87,'Fórmula'!J34,4))</f>
        <v>21.66666667</v>
      </c>
      <c r="I34" s="102">
        <f t="array" ref="I34">'Fórmula'!C34*(INDEX(properties!A$1:CB$87,'Fórmula'!B34,4))+'Fórmula'!E34*(INDEX(properties!A$1:CB$87,'Fórmula'!D34,4))+'Fórmula'!G34*(INDEX(properties!A$1:CB$87,'Fórmula'!F34,4))+'Fórmula'!I34*(INDEX(properties!A$1:CB$87,'Fórmula'!H34,4))+'Fórmula'!K34*(INDEX(properties!A$1:CB$87,'Fórmula'!J34,4))</f>
        <v>130</v>
      </c>
      <c r="J34" s="102">
        <f t="array" ref="J34">VARP(IF(INDEX(properties!A$1:CB$87,'Fórmula'!B34,4)&lt;&gt;"",INDEX(properties!A$1:CB$87,'Fórmula'!B34,4)),IF(INDEX(properties!A$1:CB$87,'Fórmula'!D34,4)&lt;&gt;"",INDEX(properties!A$1:CB$87,'Fórmula'!D34,4)),IF(INDEX(properties!A$1:CB$87,'Fórmula'!F34,4)&lt;&gt;"",INDEX(properties!A$1:CB$87,'Fórmula'!F34,4)),IF(INDEX(properties!A$1:CB$87,'Fórmula'!H34,4)&lt;&gt;"",INDEX(properties!A$1:CB$87,'Fórmula'!H34,4)),IF(INDEX(properties!A$1:CB$87,'Fórmula'!J34,4)&lt;&gt;"",INDEX(properties!A$1:CB$87,'Fórmula'!J34,4)))</f>
        <v>986.16</v>
      </c>
      <c r="K34" s="102">
        <f t="array" ref="K34">MAX(INDEX(properties!A$1:CB$87,'Fórmula'!B34,4),INDEX(properties!A$1:CB$87,'Fórmula'!D34,4),INDEX(properties!A$1:CB$87,'Fórmula'!F34,4),INDEX(properties!A$1:CB$87,'Fórmula'!H34,4),INDEX(properties!A$1:CB$87,'Fórmula'!J34,4))</f>
        <v>83</v>
      </c>
      <c r="L34" s="102">
        <f t="array" ref="L34">MIN(IF(INDEX(properties!A$1:CB$87,'Fórmula'!B34,4)=0,10^6,INDEX(properties!A$1:CB$87,'Fórmula'!B34,4)),IF(INDEX(properties!A$1:CB$87,'Fórmula'!D34,4)=0,10^6,INDEX(properties!A$1:CB$87,'Fórmula'!D34,4)),IF(INDEX(properties!A$1:CB$87,'Fórmula'!F34,4)=0,10^6,INDEX(properties!A$1:CB$87,'Fórmula'!F34,4)),IF(INDEX(properties!A$1:CB$87,'Fórmula'!H34,4)=0,10^6,INDEX(properties!A$1:CB$87,'Fórmula'!H34,4)),IF(INDEX(properties!A$1:CB$87,'Fórmula'!J34,4)=0,10^6,INDEX(properties!A$1:CB$87,'Fórmula'!J34,4)))</f>
        <v>8</v>
      </c>
      <c r="M34" s="102">
        <f t="shared" si="2"/>
        <v>75</v>
      </c>
      <c r="N34" s="103">
        <f t="array" ref="N34">(('Fórmula'!C34)/('Fórmula'!C34+'Fórmula'!E34+'Fórmula'!G34+'Fórmula'!I34+'Fórmula'!K34))*(INDEX(properties!A$1:CB$87,'Fórmula'!B34,5))+(('Fórmula'!E34)/('Fórmula'!C34+'Fórmula'!E34+'Fórmula'!G34+'Fórmula'!I34+'Fórmula'!K34))*(INDEX(properties!A$1:CB$87,'Fórmula'!D34,5))+(('Fórmula'!G34)/('Fórmula'!C34+'Fórmula'!E34+'Fórmula'!G34+'Fórmula'!I34+'Fórmula'!K34))*(INDEX(properties!A$1:CB$87,'Fórmula'!F34,5))+(('Fórmula'!I34)/('Fórmula'!C34+'Fórmula'!E34+'Fórmula'!G34+'Fórmula'!I34+'Fórmula'!K34))*(INDEX(properties!A$1:CB$87,'Fórmula'!H34,5))+(('Fórmula'!K34)/('Fórmula'!C34+'Fórmula'!E34+'Fórmula'!G34+'Fórmula'!I34+'Fórmula'!K34))*(INDEX(properties!A$1:CB$87,'Fórmula'!J34,5))</f>
        <v>2.833333333</v>
      </c>
      <c r="O34" s="103">
        <f t="array" ref="O34">'Fórmula'!C34*(INDEX(properties!A$1:CB$87,'Fórmula'!B34,5))+'Fórmula'!E34*(INDEX(properties!A$1:CB$87,'Fórmula'!D34,5))+'Fórmula'!G34*(INDEX(properties!A$1:CB$87,'Fórmula'!F34,5))+'Fórmula'!I34*(INDEX(properties!A$1:CB$87,'Fórmula'!H34,5))+'Fórmula'!K34*(INDEX(properties!A$1:CB$87,'Fórmula'!J34,5))</f>
        <v>17</v>
      </c>
      <c r="P34" s="103">
        <f t="array" ref="P34">VARP(IF(INDEX(properties!A$1:CB$87,'Fórmula'!B34,5)&lt;&gt;"",INDEX(properties!A$1:CB$87,'Fórmula'!B34,5)),IF(INDEX(properties!A$1:CB$87,'Fórmula'!D34,5)&lt;&gt;"",INDEX(properties!A$1:CB$87,'Fórmula'!D34,5)),IF(INDEX(properties!A$1:CB$87,'Fórmula'!F34,5)&lt;&gt;"",INDEX(properties!A$1:CB$87,'Fórmula'!F34,5)),IF(INDEX(properties!A$1:CB$87,'Fórmula'!H34,5)&lt;&gt;"",INDEX(properties!A$1:CB$87,'Fórmula'!H34,5)),IF(INDEX(properties!A$1:CB$87,'Fórmula'!J34,5)&lt;&gt;"",INDEX(properties!A$1:CB$87,'Fórmula'!J34,5)))</f>
        <v>4.96</v>
      </c>
      <c r="Q34" s="103">
        <f t="array" ref="Q34">MAX(INDEX(properties!A$1:CB$87,'Fórmula'!B34,5),INDEX(properties!A$1:CB$87,'Fórmula'!D34,5),INDEX(properties!A$1:CB$87,'Fórmula'!F34,5),INDEX(properties!A$1:CB$87,'Fórmula'!H34,5),INDEX(properties!A$1:CB$87,'Fórmula'!J34,5))</f>
        <v>6</v>
      </c>
      <c r="R34" s="103">
        <f t="array" ref="R34">MIN(IF(INDEX(properties!A$1:CB$87,'Fórmula'!B34,5)=0,10^6,INDEX(properties!A$1:CB$87,'Fórmula'!B34,5)),IF(INDEX(properties!A$1:CB$87,'Fórmula'!D34,5)=0,10^6,INDEX(properties!A$1:CB$87,'Fórmula'!D34,5)),IF(INDEX(properties!A$1:CB$87,'Fórmula'!F34,5)=0,10^6,INDEX(properties!A$1:CB$87,'Fórmula'!F34,5)),IF(INDEX(properties!A$1:CB$87,'Fórmula'!H34,5)=0,10^6,INDEX(properties!A$1:CB$87,'Fórmula'!H34,5)),IF(INDEX(properties!A$1:CB$87,'Fórmula'!J34,5)=0,10^6,INDEX(properties!A$1:CB$87,'Fórmula'!J34,5)))</f>
        <v>2</v>
      </c>
      <c r="S34" s="103">
        <f t="shared" si="3"/>
        <v>4</v>
      </c>
      <c r="T34" s="104">
        <f t="array" ref="T34">(('Fórmula'!C34)/('Fórmula'!C34+'Fórmula'!E34+'Fórmula'!G34+'Fórmula'!I34+'Fórmula'!K34))*(INDEX(properties!A$1:CB$87,'Fórmula'!B34,6))+(('Fórmula'!E34)/('Fórmula'!C34+'Fórmula'!E34+'Fórmula'!G34+'Fórmula'!I34+'Fórmula'!K34))*(INDEX(properties!A$1:CB$87,'Fórmula'!D34,6))+(('Fórmula'!G34)/('Fórmula'!C34+'Fórmula'!E34+'Fórmula'!G34+'Fórmula'!I34+'Fórmula'!K34))*(INDEX(properties!A$1:CB$87,'Fórmula'!F34,6))+(('Fórmula'!I34)/('Fórmula'!C34+'Fórmula'!E34+'Fórmula'!G34+'Fórmula'!I34+'Fórmula'!K34))*(INDEX(properties!A$1:CB$87,'Fórmula'!H34,6))+(('Fórmula'!K34)/('Fórmula'!C34+'Fórmula'!E34+'Fórmula'!G34+'Fórmula'!I34+'Fórmula'!K34))*(INDEX(properties!A$1:CB$87,'Fórmula'!J34,6))</f>
        <v>15.66666667</v>
      </c>
      <c r="U34" s="104">
        <f t="array" ref="U34">'Fórmula'!C34*(INDEX(properties!A$1:CB$87,'Fórmula'!B34,6))+'Fórmula'!E34*(INDEX(properties!A$1:CB$87,'Fórmula'!D34,6))+'Fórmula'!G34*(INDEX(properties!A$1:CB$87,'Fórmula'!F34,6))+'Fórmula'!I34*(INDEX(properties!A$1:CB$87,'Fórmula'!H34,6))+'Fórmula'!K34*(INDEX(properties!A$1:CB$87,'Fórmula'!J34,6))</f>
        <v>94</v>
      </c>
      <c r="V34" s="103">
        <f t="array" ref="V34">VARP(IF(INDEX(properties!A$1:CB$87,'Fórmula'!B34,6)&lt;&gt;"",INDEX(properties!A$1:CB$87,'Fórmula'!B34,6)),IF(INDEX(properties!A$1:CB$87,'Fórmula'!D34,6)&lt;&gt;"",INDEX(properties!A$1:CB$87,'Fórmula'!D34,6)),IF(INDEX(properties!A$1:CB$87,'Fórmula'!F34,6)&lt;&gt;"",INDEX(properties!A$1:CB$87,'Fórmula'!F34,6)),IF(INDEX(properties!A$1:CB$87,'Fórmula'!H34,6)&lt;&gt;"",INDEX(properties!A$1:CB$87,'Fórmula'!H34,6)),IF(INDEX(properties!A$1:CB$87,'Fórmula'!J34,6)&lt;&gt;"",INDEX(properties!A$1:CB$87,'Fórmula'!J34,6)))</f>
        <v>56.56</v>
      </c>
      <c r="W34" s="104">
        <f t="array" ref="W34">MAX(INDEX(properties!A$1:CB$87,'Fórmula'!B34,6),INDEX(properties!A$1:CB$87,'Fórmula'!D34,6),INDEX(properties!A$1:CB$87,'Fórmula'!F34,6),INDEX(properties!A$1:CB$87,'Fórmula'!H34,4),INDEX(properties!A$1:CB$87,'Fórmula'!J34,6))</f>
        <v>16</v>
      </c>
      <c r="X34" s="104">
        <f t="array" ref="X34">MIN(IF(INDEX(properties!A$1:CB$87,'Fórmula'!B34,6)=0,10^6,INDEX(properties!A$1:CB$87,'Fórmula'!B34,6)),IF(INDEX(properties!A$1:CB$87,'Fórmula'!D34,6)=0,10^6,INDEX(properties!A$1:CB$87,'Fórmula'!D34,6)),IF(INDEX(properties!A$1:CB$87,'Fórmula'!F34,6)=0,10^6,INDEX(properties!A$1:CB$87,'Fórmula'!F34,6)),IF(INDEX(properties!A$1:CB$87,'Fórmula'!H34,6)=0,10^6,INDEX(properties!A$1:CB$87,'Fórmula'!H34,6)),IF(INDEX(properties!A$1:CB$87,'Fórmula'!J34,6)=0,10^6,INDEX(properties!A$1:CB$87,'Fórmula'!J34,6)))</f>
        <v>15</v>
      </c>
      <c r="Y34" s="104">
        <f t="shared" si="4"/>
        <v>1</v>
      </c>
      <c r="Z34" s="105">
        <f t="array" ref="Z34">(('Fórmula'!C34)/('Fórmula'!C34+'Fórmula'!E34+'Fórmula'!G34+'Fórmula'!I34+'Fórmula'!K34))*(INDEX(properties!A$1:CB$87,'Fórmula'!B34,9))+(('Fórmula'!E34)/('Fórmula'!C34+'Fórmula'!E34+'Fórmula'!G34+'Fórmula'!I34+'Fórmula'!K34))*(INDEX(properties!A$1:CB$87,'Fórmula'!D34,9))+(('Fórmula'!G34)/('Fórmula'!C34+'Fórmula'!E34+'Fórmula'!G34+'Fórmula'!I34+'Fórmula'!K34))*(INDEX(properties!A$1:CB$87,'Fórmula'!F34,9))+(('Fórmula'!I34)/('Fórmula'!C34+'Fórmula'!E34+'Fórmula'!G34+'Fórmula'!I34+'Fórmula'!K34))*(INDEX(properties!A$1:CB$87,'Fórmula'!H34,9))+(('Fórmula'!K34)/('Fórmula'!C34+'Fórmula'!E34+'Fórmula'!G34+'Fórmula'!I34+'Fórmula'!K34))*(INDEX(properties!A$1:CB$87,'Fórmula'!J34,9))</f>
        <v>86.16666667</v>
      </c>
      <c r="AA34" s="105">
        <f t="array" ref="AA34">'Fórmula'!C34*(INDEX(properties!A$1:CB$87,'Fórmula'!B34,9))+'Fórmula'!E34*(INDEX(properties!A$1:CB$87,'Fórmula'!D34,9))+'Fórmula'!G34*(INDEX(properties!A$1:CB$87,'Fórmula'!F34,9))+'Fórmula'!I34*(INDEX(properties!A$1:CB$87,'Fórmula'!H34,9))+'Fórmula'!K34*(INDEX(properties!A$1:CB$87,'Fórmula'!J34,9))</f>
        <v>517</v>
      </c>
      <c r="AB34" s="105">
        <f t="array" ref="AB34">VARP(IF(INDEX(properties!A$1:CB$87,'Fórmula'!B34,9)&lt;&gt;"",INDEX(properties!A$1:CB$87,'Fórmula'!B34,9)),IF(INDEX(properties!A$1:CB$87,'Fórmula'!D34,9)&lt;&gt;"",INDEX(properties!A$1:CB$87,'Fórmula'!D34,9)),IF(INDEX(properties!A$1:CB$87,'Fórmula'!F34,9)&lt;&gt;"",INDEX(properties!A$1:CB$87,'Fórmula'!F34,9)),IF(INDEX(properties!A$1:CB$87,'Fórmula'!H34,9)&lt;&gt;"",INDEX(properties!A$1:CB$87,'Fórmula'!H34,9)),IF(INDEX(properties!A$1:CB$87,'Fórmula'!J34,9)&lt;&gt;"",INDEX(properties!A$1:CB$87,'Fórmula'!J34,9)))</f>
        <v>1749.36</v>
      </c>
      <c r="AC34" s="105">
        <f t="array" ref="AC34">MAX(INDEX(properties!A$1:CB$87,'Fórmula'!B34,9),INDEX(properties!A$1:CB$87,'Fórmula'!D34,9),INDEX(properties!A$1:CB$87,'Fórmula'!F34,9),INDEX(properties!A$1:CB$87,'Fórmula'!H34,9),INDEX(properties!A$1:CB$87,'Fórmula'!J34,9))</f>
        <v>87</v>
      </c>
      <c r="AD34" s="105">
        <f t="array" ref="AD34">MIN(IF(INDEX(properties!A$1:CB$87,'Fórmula'!B34,9)=0,10^6,INDEX(properties!A$1:CB$87,'Fórmula'!B34,9)),IF(INDEX(properties!A$1:CB$87,'Fórmula'!D34,9)=0,10^6,INDEX(properties!A$1:CB$87,'Fórmula'!D34,9)),IF(INDEX(properties!A$1:CB$87,'Fórmula'!F34,9)=0,10^6,INDEX(properties!A$1:CB$87,'Fórmula'!F34,9)),IF(INDEX(properties!A$1:CB$87,'Fórmula'!H34,9)=0,10^6,INDEX(properties!A$1:CB$87,'Fórmula'!H34,9)),IF(INDEX(properties!A$1:CB$87,'Fórmula'!J34,9)=0,10^6,INDEX(properties!A$1:CB$87,'Fórmula'!J34,9)))</f>
        <v>83</v>
      </c>
      <c r="AE34" s="105">
        <f t="shared" si="5"/>
        <v>4</v>
      </c>
      <c r="AF34" s="106">
        <f t="array" ref="AF34">(('Fórmula'!C34)/('Fórmula'!C34+'Fórmula'!E34+'Fórmula'!G34+'Fórmula'!I34+'Fórmula'!K34))*(INDEX(properties!A$1:CB$87,'Fórmula'!B34,10))+(('Fórmula'!E34)/('Fórmula'!C34+'Fórmula'!E34+'Fórmula'!G34+'Fórmula'!I34+'Fórmula'!K34))*(INDEX(properties!A$1:CB$87,'Fórmula'!D34,10))+(('Fórmula'!G34)/('Fórmula'!C34+'Fórmula'!E34+'Fórmula'!G34+'Fórmula'!I34+'Fórmula'!K34))*(INDEX(properties!A$1:CB$87,'Fórmula'!F34,10))+(('Fórmula'!I34)/('Fórmula'!C34+'Fórmula'!E34+'Fórmula'!G34+'Fórmula'!I34+'Fórmula'!K34))*(INDEX(properties!A$1:CB$87,'Fórmula'!H34,10))+(('Fórmula'!K34)/('Fórmula'!C34+'Fórmula'!E34+'Fórmula'!G34+'Fórmula'!I34+'Fórmula'!K34))*(INDEX(properties!A$1:CB$87,'Fórmula'!J34,10))</f>
        <v>6.666666667</v>
      </c>
      <c r="AG34" s="106">
        <f t="array" ref="AG34">'Fórmula'!C34*(INDEX(properties!A$1:CB$87,'Fórmula'!B34,10))+'Fórmula'!E34*(INDEX(properties!A$1:CB$87,'Fórmula'!D34,10))+'Fórmula'!G34*(INDEX(properties!A$1:CB$87,'Fórmula'!F34,10))+'Fórmula'!I34*(INDEX(properties!A$1:CB$87,'Fórmula'!H34,10))+'Fórmula'!K34*(INDEX(properties!A$1:CB$87,'Fórmula'!J34,10))</f>
        <v>40</v>
      </c>
      <c r="AH34" s="106">
        <f t="array" ref="AH34">VARP(IF(INDEX(properties!A$1:CB$87,'Fórmula'!B34,10)&lt;&gt;"",INDEX(properties!A$1:CB$87,'Fórmula'!B34,10)),IF(INDEX(properties!A$1:CB$87,'Fórmula'!D34,10)&lt;&gt;"",INDEX(properties!A$1:CB$87,'Fórmula'!D34,10)),IF(INDEX(properties!A$1:CB$87,'Fórmula'!F34,10)&lt;&gt;"",INDEX(properties!A$1:CB$87,'Fórmula'!F34,10)),IF(INDEX(properties!A$1:CB$87,'Fórmula'!H34,10)&lt;&gt;"",INDEX(properties!A$1:CB$87,'Fórmula'!H34,10)),IF(INDEX(properties!A$1:CB$87,'Fórmula'!J34,10)&lt;&gt;"",INDEX(properties!A$1:CB$87,'Fórmula'!J34,10)))</f>
        <v>10.16</v>
      </c>
      <c r="AI34" s="106">
        <f t="array" ref="AI34">MAX(INDEX(properties!A$1:CB$87,'Fórmula'!B34,10),INDEX(properties!A$1:CB$87,'Fórmula'!D34,10),INDEX(properties!A$1:CB$87,'Fórmula'!F34,10),INDEX(properties!A$1:CB$87,'Fórmula'!H34,10),INDEX(properties!A$1:CB$87,'Fórmula'!J34,10))</f>
        <v>7</v>
      </c>
      <c r="AJ34" s="106">
        <f t="array" ref="AJ34">MIN(IF(INDEX(properties!A$1:CB$87,'Fórmula'!B34,10)=0,10^6,INDEX(properties!A$1:CB$87,'Fórmula'!B34,10)),IF(INDEX(properties!A$1:CB$87,'Fórmula'!D34,10)=0,10^6,INDEX(properties!A$1:CB$87,'Fórmula'!D34,10)),IF(INDEX(properties!A$1:CB$87,'Fórmula'!F34,10)=0,10^6,INDEX(properties!A$1:CB$87,'Fórmula'!F34,10)),IF(INDEX(properties!A$1:CB$87,'Fórmula'!H34,10)=0,10^6,INDEX(properties!A$1:CB$87,'Fórmula'!H34,10)),IF(INDEX(properties!A$1:CB$87,'Fórmula'!J34,10)=0,10^6,INDEX(properties!A$1:CB$87,'Fórmula'!J34,10)))</f>
        <v>5</v>
      </c>
      <c r="AK34" s="106">
        <f t="shared" si="6"/>
        <v>2</v>
      </c>
      <c r="AL34" s="107">
        <f t="array" ref="AL34">(('Fórmula'!C34)/('Fórmula'!C34+'Fórmula'!E34+'Fórmula'!G34+'Fórmula'!I34+'Fórmula'!K34))*(INDEX(properties!A$1:CB$87,'Fórmula'!B34,11))+(('Fórmula'!E34)/('Fórmula'!C34+'Fórmula'!E34+'Fórmula'!G34+'Fórmula'!I34+'Fórmula'!K34))*(INDEX(properties!A$1:CB$87,'Fórmula'!D34,11))+(('Fórmula'!G34)/('Fórmula'!C34+'Fórmula'!E34+'Fórmula'!G34+'Fórmula'!I34+'Fórmula'!K34))*(INDEX(properties!A$1:CB$87,'Fórmula'!F34,11))+(('Fórmula'!I34)/('Fórmula'!C34+'Fórmula'!E34+'Fórmula'!G34+'Fórmula'!I34+'Fórmula'!K34))*(INDEX(properties!A$1:CB$87,'Fórmula'!H34,11))+(('Fórmula'!K34)/('Fórmula'!C34+'Fórmula'!E34+'Fórmula'!G34+'Fórmula'!I34+'Fórmula'!K34))*(INDEX(properties!A$1:CB$87,'Fórmula'!J34,11))</f>
        <v>2</v>
      </c>
      <c r="AM34" s="107">
        <f t="array" ref="AM34">'Fórmula'!C34*(INDEX(properties!A$1:CB$87,'Fórmula'!B34,11))+'Fórmula'!E34*(INDEX(properties!A$1:CB$87,'Fórmula'!D34,11))+'Fórmula'!G34*(INDEX(properties!A$1:CB$87,'Fórmula'!F34,11))+'Fórmula'!I34*(INDEX(properties!A$1:CB$87,'Fórmula'!H34,11))+'Fórmula'!K34*(INDEX(properties!A$1:CB$87,'Fórmula'!J34,11))</f>
        <v>12</v>
      </c>
      <c r="AN34" s="107">
        <f t="array" ref="AN34">VARP(IF(INDEX(properties!A$1:CB$87,'Fórmula'!B34,11)&lt;&gt;"",INDEX(properties!A$1:CB$87,'Fórmula'!B34,11)),IF(INDEX(properties!A$1:CB$87,'Fórmula'!D34,11)&lt;&gt;"",INDEX(properties!A$1:CB$87,'Fórmula'!D34,11)),IF(INDEX(properties!A$1:CB$87,'Fórmula'!F34,11)&lt;&gt;"",INDEX(properties!A$1:CB$87,'Fórmula'!F34,11)),IF(INDEX(properties!A$1:CB$87,'Fórmula'!H34,11)&lt;&gt;"",INDEX(properties!A$1:CB$87,'Fórmula'!H34,11)),IF(INDEX(properties!A$1:CB$87,'Fórmula'!J34,11)&lt;&gt;"",INDEX(properties!A$1:CB$87,'Fórmula'!J34,11)))</f>
        <v>0.96</v>
      </c>
      <c r="AO34" s="107">
        <f t="array" ref="AO34">MAX(INDEX(properties!A$1:CB$87,'Fórmula'!B34,11),INDEX(properties!A$1:CB$87,'Fórmula'!D34,11),INDEX(properties!A$1:CB$87,'Fórmula'!F34,11),INDEX(properties!A$1:CB$87,'Fórmula'!H34,11),INDEX(properties!A$1:CB$87,'Fórmula'!J34,11))</f>
        <v>2</v>
      </c>
      <c r="AP34" s="107">
        <f t="array" ref="AP34">MIN(IF('Fórmula'!B34=87,10^6,INDEX(properties!A$1:CB$87,'Fórmula'!B34,11)),IF(('Fórmula'!D34)=87,10^6,INDEX(properties!A$1:CB$87,'Fórmula'!D34,11)),IF(('Fórmula'!F34)=87,10^6,INDEX(properties!A$1:CB$87,'Fórmula'!F34,11)),IF(('Fórmula'!H34)=87,10^6,INDEX(properties!A$1:CB$87,'Fórmula'!H34,11)),IF('Fórmula'!J34=87,10^6,INDEX(properties!A$1:CB$87,'Fórmula'!J34,11)))</f>
        <v>2</v>
      </c>
      <c r="AQ34" s="107">
        <f t="shared" si="7"/>
        <v>0</v>
      </c>
      <c r="AR34" s="108">
        <f t="array" ref="AR34">(('Fórmula'!C34)/('Fórmula'!C34+'Fórmula'!E34+'Fórmula'!G34+'Fórmula'!I34+'Fórmula'!K34))*(INDEX(properties!A$1:CB$87,'Fórmula'!B34,12))+(('Fórmula'!E34)/('Fórmula'!C34+'Fórmula'!E34+'Fórmula'!G34+'Fórmula'!I34+'Fórmula'!K34))*(INDEX(properties!A$1:CB$87,'Fórmula'!D34,12))+(('Fórmula'!G34)/('Fórmula'!C34+'Fórmula'!E34+'Fórmula'!G34+'Fórmula'!I34+'Fórmula'!K34))*(INDEX(properties!A$1:CB$87,'Fórmula'!F34,12))+(('Fórmula'!I34)/('Fórmula'!C34+'Fórmula'!E34+'Fórmula'!G34+'Fórmula'!I34+'Fórmula'!K34))*(INDEX(properties!A$1:CB$87,'Fórmula'!H34,12))+(('Fórmula'!K34)/('Fórmula'!C34+'Fórmula'!E34+'Fórmula'!G34+'Fórmula'!I34+'Fórmula'!K34))*(INDEX(properties!A$1:CB$87,'Fórmula'!J34,12))</f>
        <v>3.666666667</v>
      </c>
      <c r="AS34" s="108">
        <f t="array" ref="AS34">'Fórmula'!C34*(INDEX(properties!A$1:CB$87,'Fórmula'!B34,12))+'Fórmula'!E34*(INDEX(properties!A$1:CB$87,'Fórmula'!D34,12))+'Fórmula'!G34*(INDEX(properties!A$1:CB$87,'Fórmula'!F34,12))+'Fórmula'!I34*(INDEX(properties!A$1:CB$87,'Fórmula'!H34,12))+'Fórmula'!K34*(INDEX(properties!A$1:CB$87,'Fórmula'!J34,12))</f>
        <v>22</v>
      </c>
      <c r="AT34" s="108">
        <f t="array" ref="AT34">VARP(IF(INDEX(properties!A$1:CB$87,'Fórmula'!B34,12)&lt;&gt;"",INDEX(properties!A$1:CB$87,'Fórmula'!B34,12)),IF(INDEX(properties!A$1:CB$87,'Fórmula'!D34,12)&lt;&gt;"",INDEX(properties!A$1:CB$87,'Fórmula'!D34,12)),IF(INDEX(properties!A$1:CB$87,'Fórmula'!F34,12)&lt;&gt;"",INDEX(properties!A$1:CB$87,'Fórmula'!F34,12)),IF(INDEX(properties!A$1:CB$87,'Fórmula'!H34,12)&lt;&gt;"",INDEX(properties!A$1:CB$87,'Fórmula'!H34,12)),IF(INDEX(properties!A$1:CB$87,'Fórmula'!J34,12)&lt;&gt;"",INDEX(properties!A$1:CB$87,'Fórmula'!J34,12)))</f>
        <v>2.8</v>
      </c>
      <c r="AU34" s="108">
        <f t="array" ref="AU34">MAX(INDEX(properties!A$1:CB$87,'Fórmula'!B34,12),INDEX(properties!A$1:CB$87,'Fórmula'!D34,12),INDEX(properties!A$1:CB$87,'Fórmula'!F34,12),INDEX(properties!A$1:CB$87,'Fórmula'!H34,12),INDEX(properties!A$1:CB$87,'Fórmula'!J34,12))</f>
        <v>4</v>
      </c>
      <c r="AV34" s="108">
        <f t="array" ref="AV34">MIN(IF('Fórmula'!B34=87,10^6,INDEX(properties!A$1:CB$87,'Fórmula'!B34,12)),IF(('Fórmula'!D34)=87,10^6,INDEX(properties!A$1:CB$87,'Fórmula'!D34,12)),IF(('Fórmula'!F34)=87,10^6,INDEX(properties!A$1:CB$87,'Fórmula'!F34,12)),IF(('Fórmula'!H34)=87,10^6,INDEX(properties!A$1:CB$87,'Fórmula'!H34,12)),IF('Fórmula'!J34=87,10^6,INDEX(properties!A$1:CB$87,'Fórmula'!J34,12)))</f>
        <v>3</v>
      </c>
      <c r="AW34" s="108">
        <f t="shared" si="8"/>
        <v>1</v>
      </c>
      <c r="AX34" s="109">
        <f t="array" ref="AX34">(('Fórmula'!C34)/('Fórmula'!C34+'Fórmula'!E34+'Fórmula'!G34+'Fórmula'!I34+'Fórmula'!K34))*(INDEX(properties!A$1:CB$87,'Fórmula'!B34,13))+(('Fórmula'!E34)/('Fórmula'!C34+'Fórmula'!E34+'Fórmula'!G34+'Fórmula'!I34+'Fórmula'!K34))*(INDEX(properties!A$1:CB$87,'Fórmula'!D34,13))+(('Fórmula'!G34)/('Fórmula'!C34+'Fórmula'!E34+'Fórmula'!G34+'Fórmula'!I34+'Fórmula'!K34))*(INDEX(properties!A$1:CB$87,'Fórmula'!F34,13))+(('Fórmula'!I34)/('Fórmula'!C34+'Fórmula'!E34+'Fórmula'!G34+'Fórmula'!I34+'Fórmula'!K34))*(INDEX(properties!A$1:CB$87,'Fórmula'!H34,13))+(('Fórmula'!K34)/('Fórmula'!C34+'Fórmula'!E34+'Fórmula'!G34+'Fórmula'!I34+'Fórmula'!K34))*(INDEX(properties!A$1:CB$87,'Fórmula'!J34,13))</f>
        <v>1.666666667</v>
      </c>
      <c r="AY34" s="109">
        <f t="array" ref="AY34">'Fórmula'!C34*(INDEX(properties!A$1:CB$87,'Fórmula'!B34,13))+'Fórmula'!E34*(INDEX(properties!A$1:CB$87,'Fórmula'!D34,13))+'Fórmula'!G34*(INDEX(properties!A$1:CB$87,'Fórmula'!F34,13))+'Fórmula'!I34*(INDEX(properties!A$1:CB$87,'Fórmula'!H34,13))+'Fórmula'!K34*(INDEX(properties!A$1:CB$87,'Fórmula'!J34,13))</f>
        <v>10</v>
      </c>
      <c r="AZ34" s="109">
        <f t="array" ref="AZ34">VARP(IF(INDEX(properties!A$1:CB$87,'Fórmula'!B34,13)&lt;&gt;"",INDEX(properties!A$1:CB$87,'Fórmula'!B34,13)),IF(INDEX(properties!A$1:CB$87,'Fórmula'!D34,13)&lt;&gt;"",INDEX(properties!A$1:CB$87,'Fórmula'!D34,13)),IF(INDEX(properties!A$1:CB$87,'Fórmula'!F34,13)&lt;&gt;"",INDEX(properties!A$1:CB$87,'Fórmula'!F34,13)),IF(INDEX(properties!A$1:CB$87,'Fórmula'!H34,13)&lt;&gt;"",INDEX(properties!A$1:CB$87,'Fórmula'!H34,13)),IF(INDEX(properties!A$1:CB$87,'Fórmula'!J34,13)&lt;&gt;"",INDEX(properties!A$1:CB$87,'Fórmula'!J34,13)))</f>
        <v>16</v>
      </c>
      <c r="BA34" s="109">
        <f t="array" ref="BA34">MAX(INDEX(properties!A$1:CB$87,'Fórmula'!B34,13),INDEX(properties!A$1:CB$87,'Fórmula'!D34,13),INDEX(properties!A$1:CB$87,'Fórmula'!F34,13),INDEX(properties!A$1:CB$87,'Fórmula'!H34,13),INDEX(properties!A$1:CB$87,'Fórmula'!J34,13))</f>
        <v>10</v>
      </c>
      <c r="BB34" s="109">
        <f t="array" ref="BB34">MIN(IF('Fórmula'!B34=87,10^6,INDEX(properties!A$1:CB$87,'Fórmula'!B34,13)),IF(('Fórmula'!D34)=87,10^6,INDEX(properties!A$1:CB$87,'Fórmula'!D34,13)),IF(('Fórmula'!F34)=87,10^6,INDEX(properties!A$1:CB$87,'Fórmula'!F34,13)),IF(('Fórmula'!H34)=87,10^6,INDEX(properties!A$1:CB$87,'Fórmula'!H34,13)),IF('Fórmula'!J34=87,10^6,INDEX(properties!A$1:CB$87,'Fórmula'!J34,13)))</f>
        <v>0</v>
      </c>
      <c r="BC34" s="109">
        <f t="shared" si="9"/>
        <v>10</v>
      </c>
      <c r="BD34" s="110">
        <f t="array" ref="BD34">(('Fórmula'!C34)/('Fórmula'!C34+'Fórmula'!E34+'Fórmula'!G34+'Fórmula'!I34+'Fórmula'!K34))*(INDEX(properties!A$1:CB$87,'Fórmula'!B34,14))+(('Fórmula'!E34)/('Fórmula'!C34+'Fórmula'!E34+'Fórmula'!G34+'Fórmula'!I34+'Fórmula'!K34))*(INDEX(properties!A$1:CB$87,'Fórmula'!D34,14))+(('Fórmula'!G34)/('Fórmula'!C34+'Fórmula'!E34+'Fórmula'!G34+'Fórmula'!I34+'Fórmula'!K34))*(INDEX(properties!A$1:CB$87,'Fórmula'!F34,14))+(('Fórmula'!I34)/('Fórmula'!C34+'Fórmula'!E34+'Fórmula'!G34+'Fórmula'!I34+'Fórmula'!K34))*(INDEX(properties!A$1:CB$87,'Fórmula'!H34,14))+(('Fórmula'!K34)/('Fórmula'!C34+'Fórmula'!E34+'Fórmula'!G34+'Fórmula'!I34+'Fórmula'!K34))*(INDEX(properties!A$1:CB$87,'Fórmula'!J34,14))</f>
        <v>2.333333333</v>
      </c>
      <c r="BE34" s="110">
        <f t="array" ref="BE34">'Fórmula'!C34*(INDEX(properties!A$1:CB$87,'Fórmula'!B34,14))+'Fórmula'!E34*(INDEX(properties!A$1:CB$87,'Fórmula'!D34,14))+'Fórmula'!G34*(INDEX(properties!A$1:CB$87,'Fórmula'!F34,14))+'Fórmula'!I34*(INDEX(properties!A$1:CB$87,'Fórmula'!H34,14))+'Fórmula'!K34*(INDEX(properties!A$1:CB$87,'Fórmula'!J34,14))</f>
        <v>14</v>
      </c>
      <c r="BF34" s="110">
        <f t="array" ref="BF34">VARP(IF(INDEX(properties!A$1:CB$87,'Fórmula'!B34,14)&lt;&gt;"",INDEX(properties!A$1:CB$87,'Fórmula'!B34,14)),IF(INDEX(properties!A$1:CB$87,'Fórmula'!D34,14)&lt;&gt;"",INDEX(properties!A$1:CB$87,'Fórmula'!D34,14)),IF(INDEX(properties!A$1:CB$87,'Fórmula'!F34,14)&lt;&gt;"",INDEX(properties!A$1:CB$87,'Fórmula'!F34,14)),IF(INDEX(properties!A$1:CB$87,'Fórmula'!H34,14)&lt;&gt;"",INDEX(properties!A$1:CB$87,'Fórmula'!H34,14)),IF(INDEX(properties!A$1:CB$87,'Fórmula'!J34,14)&lt;&gt;"",INDEX(properties!A$1:CB$87,'Fórmula'!J34,14)))</f>
        <v>31.36</v>
      </c>
      <c r="BG34" s="110">
        <f t="array" ref="BG34">MAX(INDEX(properties!A$1:CB$87,'Fórmula'!B34,14),INDEX(properties!A$1:CB$87,'Fórmula'!D34,14),INDEX(properties!A$1:CB$87,'Fórmula'!F34,14),INDEX(properties!A$1:CB$87,'Fórmula'!H34,14),INDEX(properties!A$1:CB$87,'Fórmula'!J34,14))</f>
        <v>14</v>
      </c>
      <c r="BH34" s="110">
        <f t="array" ref="BH34">MIN(IF('Fórmula'!B34=87,10^6,INDEX(properties!A$1:CB$87,'Fórmula'!B34,14)),IF(('Fórmula'!D34)=87,10^6,INDEX(properties!A$1:CB$87,'Fórmula'!D34,14)),IF(('Fórmula'!F34)=87,10^6,INDEX(properties!A$1:CB$87,'Fórmula'!F34,14)),IF(('Fórmula'!H34)=87,10^6,INDEX(properties!A$1:CB$87,'Fórmula'!H34,14)),IF('Fórmula'!J34=87,10^6,INDEX(properties!A$1:CB$87,'Fórmula'!J34,14)))</f>
        <v>0</v>
      </c>
      <c r="BI34" s="110">
        <f t="shared" si="10"/>
        <v>14</v>
      </c>
      <c r="BJ34" s="111">
        <f t="array" ref="BJ34">(('Fórmula'!C34)/('Fórmula'!C34+'Fórmula'!E34+'Fórmula'!G34+'Fórmula'!I34+'Fórmula'!K34))*(INDEX(properties!A$1:CB$87,'Fórmula'!B34,19))+(('Fórmula'!E34)/('Fórmula'!C34+'Fórmula'!E34+'Fórmula'!G34+'Fórmula'!I34+'Fórmula'!K34))*(INDEX(properties!A$1:CB$87,'Fórmula'!D34,19))+(('Fórmula'!G34)/('Fórmula'!C34+'Fórmula'!E34+'Fórmula'!G34+'Fórmula'!I34+'Fórmula'!K34))*(INDEX(properties!A$1:CB$87,'Fórmula'!F34,19))+(('Fórmula'!I34)/('Fórmula'!C34+'Fórmula'!E34+'Fórmula'!G34+'Fórmula'!I34+'Fórmula'!K34))*(INDEX(properties!A$1:CB$87,'Fórmula'!H34,19))+(('Fórmula'!K34)/('Fórmula'!C34+'Fórmula'!E34+'Fórmula'!G34+'Fórmula'!I34+'Fórmula'!K34))*(INDEX(properties!A$1:CB$87,'Fórmula'!J34,19))</f>
        <v>9.666666667</v>
      </c>
      <c r="BK34" s="111">
        <f t="array" ref="BK34">'Fórmula'!C34*(INDEX(properties!A$1:CB$87,'Fórmula'!B34,19))+'Fórmula'!E34*(INDEX(properties!A$1:CB$87,'Fórmula'!D34,19))+'Fórmula'!G34*(INDEX(properties!A$1:CB$87,'Fórmula'!F34,19))+'Fórmula'!I34*(INDEX(properties!A$1:CB$87,'Fórmula'!H34,19))+'Fórmula'!K34*(INDEX(properties!A$1:CB$87,'Fórmula'!J34,19))</f>
        <v>58</v>
      </c>
      <c r="BL34" s="111">
        <f t="array" ref="BL34">VARP(IF(INDEX(properties!A$1:CB$87,'Fórmula'!B34,19)&lt;&gt;"",INDEX(properties!A$1:CB$87,'Fórmula'!B34,19)),IF(INDEX(properties!A$1:CB$87,'Fórmula'!D34,19)&lt;&gt;"",INDEX(properties!A$1:CB$87,'Fórmula'!D34,19)),IF(INDEX(properties!A$1:CB$87,'Fórmula'!F34,19)&lt;&gt;"",INDEX(properties!A$1:CB$87,'Fórmula'!F34,19)),IF(INDEX(properties!A$1:CB$87,'Fórmula'!H34,19)&lt;&gt;"",INDEX(properties!A$1:CB$87,'Fórmula'!H34,19)),IF(INDEX(properties!A$1:CB$87,'Fórmula'!J34,19)&lt;&gt;"",INDEX(properties!A$1:CB$87,'Fórmula'!J34,19)))</f>
        <v>116.4</v>
      </c>
      <c r="BM34" s="111">
        <f t="array" ref="BM34">MAX(INDEX(properties!A$1:CB$87,'Fórmula'!B34,19),INDEX(properties!A$1:CB$87,'Fórmula'!D34,19),INDEX(properties!A$1:CB$87,'Fórmula'!F34,19),INDEX(properties!A$1:CB$87,'Fórmula'!H34,19),INDEX(properties!A$1:CB$87,'Fórmula'!J34,19))</f>
        <v>29</v>
      </c>
      <c r="BN34" s="111">
        <f t="array" ref="BN34">MIN(IF(INDEX(properties!A$1:CB$87,'Fórmula'!B34,19)=0,10^6,INDEX(properties!A$1:CB$87,'Fórmula'!B34,19)),IF(INDEX(properties!A$1:CB$87,'Fórmula'!D34,19)=0,10^6,INDEX(properties!A$1:CB$87,'Fórmula'!D34,19)),IF(INDEX(properties!A$1:CB$87,'Fórmula'!F34,19)=0,10^6,INDEX(properties!A$1:CB$87,'Fórmula'!F34,19)),IF(INDEX(properties!A$1:CB$87,'Fórmula'!H34,19)=0,10^6,INDEX(properties!A$1:CB$87,'Fórmula'!H34,19)),IF(INDEX(properties!A$1:CB$87,'Fórmula'!J34,19)=0,10^6,INDEX(properties!A$1:CB$87,'Fórmula'!J34,19)))</f>
        <v>5</v>
      </c>
      <c r="BO34" s="111">
        <f t="shared" si="11"/>
        <v>24</v>
      </c>
      <c r="BP34" s="112">
        <f t="array" ref="BP34">(('Fórmula'!C34)/('Fórmula'!C34+'Fórmula'!E34+'Fórmula'!G34+'Fórmula'!I34+'Fórmula'!K34))*(INDEX(properties!A$1:CB$87,'Fórmula'!B34,20))+(('Fórmula'!E34)/('Fórmula'!C34+'Fórmula'!E34+'Fórmula'!G34+'Fórmula'!I34+'Fórmula'!K34))*(INDEX(properties!A$1:CB$87,'Fórmula'!D34,20))+(('Fórmula'!G34)/('Fórmula'!C34+'Fórmula'!E34+'Fórmula'!G34+'Fórmula'!I34+'Fórmula'!K34))*(INDEX(properties!A$1:CB$87,'Fórmula'!F34,20))+(('Fórmula'!I34)/('Fórmula'!C34+'Fórmula'!E34+'Fórmula'!G34+'Fórmula'!I34+'Fórmula'!K34))*(INDEX(properties!A$1:CB$87,'Fórmula'!H34,20))+(('Fórmula'!K34)/('Fórmula'!C34+'Fórmula'!E34+'Fórmula'!G34+'Fórmula'!I34+'Fórmula'!K34))*(INDEX(properties!A$1:CB$87,'Fórmula'!J34,20))</f>
        <v>5.666666667</v>
      </c>
      <c r="BQ34" s="112">
        <f t="array" ref="BQ34">'Fórmula'!C34*(INDEX(properties!A$1:CB$87,'Fórmula'!B34,20))+'Fórmula'!E34*(INDEX(properties!A$1:CB$87,'Fórmula'!D34,20))+'Fórmula'!G34*(INDEX(properties!A$1:CB$87,'Fórmula'!F34,20))+'Fórmula'!I34*(INDEX(properties!A$1:CB$87,'Fórmula'!H34,20))+'Fórmula'!K34*(INDEX(properties!A$1:CB$87,'Fórmula'!J34,20))</f>
        <v>34</v>
      </c>
      <c r="BR34" s="112">
        <f t="array" ref="BR34">VARP(IF(INDEX(properties!A$1:CB$87,'Fórmula'!B34,20)&lt;&gt;"",INDEX(properties!A$1:CB$87,'Fórmula'!B34,20)),IF(INDEX(properties!A$1:CB$87,'Fórmula'!D34,20)&lt;&gt;"",INDEX(properties!A$1:CB$87,'Fórmula'!D34,20)),IF(INDEX(properties!A$1:CB$87,'Fórmula'!F34,20)&lt;&gt;"",INDEX(properties!A$1:CB$87,'Fórmula'!F34,20)),IF(INDEX(properties!A$1:CB$87,'Fórmula'!H34,20)&lt;&gt;"",INDEX(properties!A$1:CB$87,'Fórmula'!H34,20)),IF(INDEX(properties!A$1:CB$87,'Fórmula'!J34,20)&lt;&gt;"",INDEX(properties!A$1:CB$87,'Fórmula'!J34,20)))</f>
        <v>6.96</v>
      </c>
      <c r="BS34" s="112">
        <f t="array" ref="BS34">MAX(INDEX(properties!A$1:CB$87,'Fórmula'!B34,20),INDEX(properties!A$1:CB$87,'Fórmula'!D34,20),INDEX(properties!A$1:CB$87,'Fórmula'!F34,20),INDEX(properties!A$1:CB$87,'Fórmula'!H34,20),INDEX(properties!A$1:CB$87,'Fórmula'!J34,20))</f>
        <v>6</v>
      </c>
      <c r="BT34" s="112">
        <f t="array" ref="BT34">MIN(IF(INDEX(properties!A$1:CB$87,'Fórmula'!B34,20)=0,10^6,INDEX(properties!A$1:CB$87,'Fórmula'!B34,20)),IF(INDEX(properties!A$1:CB$87,'Fórmula'!D34,20)=0,10^6,INDEX(properties!A$1:CB$87,'Fórmula'!D34,20)),IF(INDEX(properties!A$1:CB$87,'Fórmula'!F34,20)=0,10^6,INDEX(properties!A$1:CB$87,'Fórmula'!F34,20)),IF(INDEX(properties!A$1:CB$87,'Fórmula'!H34,20)=0,10^6,INDEX(properties!A$1:CB$87,'Fórmula'!H34,20)),IF(INDEX(properties!A$1:CB$87,'Fórmula'!J34,20)=0,10^6,INDEX(properties!A$1:CB$87,'Fórmula'!J34,20)))</f>
        <v>5</v>
      </c>
      <c r="BU34" s="112">
        <f t="shared" si="12"/>
        <v>1</v>
      </c>
      <c r="BV34" s="113">
        <f t="array" ref="BV34">(('Fórmula'!C34)/('Fórmula'!C34+'Fórmula'!E34+'Fórmula'!G34+'Fórmula'!I34+'Fórmula'!K34))*(INDEX(properties!A$1:CB$87,'Fórmula'!B34,21))+(('Fórmula'!E34)/('Fórmula'!C34+'Fórmula'!E34+'Fórmula'!G34+'Fórmula'!I34+'Fórmula'!K34))*(INDEX(properties!A$1:CB$87,'Fórmula'!D34,21))+(('Fórmula'!G34)/('Fórmula'!C34+'Fórmula'!E34+'Fórmula'!G34+'Fórmula'!I34+'Fórmula'!K34))*(INDEX(properties!A$1:CB$87,'Fórmula'!F34,21))+(('Fórmula'!I34)/('Fórmula'!C34+'Fórmula'!E34+'Fórmula'!G34+'Fórmula'!I34+'Fórmula'!K34))*(INDEX(properties!A$1:CB$87,'Fórmula'!H34,21))+(('Fórmula'!K34)/('Fórmula'!C34+'Fórmula'!E34+'Fórmula'!G34+'Fórmula'!I34+'Fórmula'!K34))*(INDEX(properties!A$1:CB$87,'Fórmula'!J34,21))</f>
        <v>5.666666667</v>
      </c>
      <c r="BW34" s="113">
        <f t="array" ref="BW34">'Fórmula'!C34*(INDEX(properties!A$1:CB$87,'Fórmula'!B34,21))+'Fórmula'!E34*(INDEX(properties!A$1:CB$87,'Fórmula'!D34,21))+'Fórmula'!G34*(INDEX(properties!A$1:CB$87,'Fórmula'!F34,21))+'Fórmula'!I34*(INDEX(properties!A$1:CB$87,'Fórmula'!H34,21))+'Fórmula'!K34*(INDEX(properties!A$1:CB$87,'Fórmula'!J34,21))</f>
        <v>34</v>
      </c>
      <c r="BX34" s="113">
        <f t="array" ref="BX34">VARP(IF(INDEX(properties!A$1:CB$87,'Fórmula'!B34,21)&lt;&gt;"",INDEX(properties!A$1:CB$87,'Fórmula'!B34,21)),IF(INDEX(properties!A$1:CB$87,'Fórmula'!D34,21)&lt;&gt;"",INDEX(properties!A$1:CB$87,'Fórmula'!D34,21)),IF(INDEX(properties!A$1:CB$87,'Fórmula'!F34,21)&lt;&gt;"",INDEX(properties!A$1:CB$87,'Fórmula'!F34,21)),IF(INDEX(properties!A$1:CB$87,'Fórmula'!H34,21)&lt;&gt;"",INDEX(properties!A$1:CB$87,'Fórmula'!H34,21)),IF(INDEX(properties!A$1:CB$87,'Fórmula'!J34,21)&lt;&gt;"",INDEX(properties!A$1:CB$87,'Fórmula'!J34,21)))</f>
        <v>6.96</v>
      </c>
      <c r="BY34" s="113">
        <f t="array" ref="BY34">MAX(INDEX(properties!A$1:CB$87,'Fórmula'!B34,21),INDEX(properties!A$1:CB$87,'Fórmula'!D34,21),INDEX(properties!A$1:CB$87,'Fórmula'!F34,21),INDEX(properties!A$1:CB$87,'Fórmula'!H34,21),INDEX(properties!A$1:CB$87,'Fórmula'!J34,21))</f>
        <v>6</v>
      </c>
      <c r="BZ34" s="113">
        <f t="array" ref="BZ34">MIN(IF(INDEX(properties!A$1:CB$87,'Fórmula'!B34,21)=0,10^6,INDEX(properties!A$1:CB$87,'Fórmula'!B34,21)),IF(INDEX(properties!A$1:CB$87,'Fórmula'!D34,21)=0,10^6,INDEX(properties!A$1:CB$87,'Fórmula'!D34,21)),IF(INDEX(properties!A$1:CB$87,'Fórmula'!F34,21)=0,10^6,INDEX(properties!A$1:CB$87,'Fórmula'!F34,21)),IF(INDEX(properties!A$1:CB$87,'Fórmula'!H34,21)=0,10^6,INDEX(properties!A$1:CB$87,'Fórmula'!H34,21)),IF(INDEX(properties!A$1:CB$87,'Fórmula'!J34,21)=0,10^6,INDEX(properties!A$1:CB$87,'Fórmula'!J34,21)))</f>
        <v>5</v>
      </c>
      <c r="CA34" s="113">
        <f t="shared" si="13"/>
        <v>1</v>
      </c>
      <c r="CB34" s="114">
        <f t="array" ref="CB34">(('Fórmula'!C34)/('Fórmula'!C34+'Fórmula'!E34+'Fórmula'!G34+'Fórmula'!I34+'Fórmula'!K34))*(INDEX(properties!A$1:CB$87,'Fórmula'!B34,23))+(('Fórmula'!E34)/('Fórmula'!C34+'Fórmula'!E34+'Fórmula'!G34+'Fórmula'!I34+'Fórmula'!K34))*(INDEX(properties!A$1:CB$87,'Fórmula'!D34,23))+(('Fórmula'!G34)/('Fórmula'!C34+'Fórmula'!E34+'Fórmula'!G34+'Fórmula'!I34+'Fórmula'!K34))*(INDEX(properties!A$1:CB$87,'Fórmula'!F34,23))+(('Fórmula'!I34)/('Fórmula'!C34+'Fórmula'!E34+'Fórmula'!G34+'Fórmula'!I34+'Fórmula'!K34))*(INDEX(properties!A$1:CB$87,'Fórmula'!H34,23))+(('Fórmula'!K34)/('Fórmula'!C34+'Fórmula'!E34+'Fórmula'!G34+'Fórmula'!I34+'Fórmula'!K34))*(INDEX(properties!A$1:CB$87,'Fórmula'!J34,23))</f>
        <v>1</v>
      </c>
      <c r="CC34" s="114">
        <f t="array" ref="CC34">'Fórmula'!C34*(INDEX(properties!A$1:CB$87,'Fórmula'!B34,23))+'Fórmula'!E34*(INDEX(properties!A$1:CB$87,'Fórmula'!D34,23))+'Fórmula'!G34*(INDEX(properties!A$1:CB$87,'Fórmula'!F34,23))+'Fórmula'!I34*(INDEX(properties!A$1:CB$87,'Fórmula'!H34,23))+'Fórmula'!K34*(INDEX(properties!A$1:CB$87,'Fórmula'!J34,23))</f>
        <v>6</v>
      </c>
      <c r="CD34" s="114">
        <f t="array" ref="CD34">VARP(IF(INDEX(properties!A$1:CB$87,'Fórmula'!B34,23)&lt;&gt;"",INDEX(properties!A$1:CB$87,'Fórmula'!B34,23)),IF(INDEX(properties!A$1:CB$87,'Fórmula'!D34,23)&lt;&gt;"",INDEX(properties!A$1:CB$87,'Fórmula'!D34,23)),IF(INDEX(properties!A$1:CB$87,'Fórmula'!F34,23)&lt;&gt;"",INDEX(properties!A$1:CB$87,'Fórmula'!F34,23)),IF(INDEX(properties!A$1:CB$87,'Fórmula'!H34,23)&lt;&gt;"",INDEX(properties!A$1:CB$87,'Fórmula'!H34,23)),IF(INDEX(properties!A$1:CB$87,'Fórmula'!J34,23)&lt;&gt;"",INDEX(properties!A$1:CB$87,'Fórmula'!J34,23)))</f>
        <v>2.16</v>
      </c>
      <c r="CE34" s="114">
        <f t="array" ref="CE34">MAX(INDEX(properties!A$1:CB$87,'Fórmula'!B34,23),INDEX(properties!A$1:CB$87,'Fórmula'!D34,23),INDEX(properties!A$1:CB$87,'Fórmula'!F34,23),INDEX(properties!A$1:CB$87,'Fórmula'!H34,23),INDEX(properties!A$1:CB$87,'Fórmula'!J34,23))</f>
        <v>3</v>
      </c>
      <c r="CF34" s="114">
        <f t="array" ref="CF34">MIN(IF('Fórmula'!B34=87,10^6,INDEX(properties!A$1:CB$87,'Fórmula'!B34,23)),IF(('Fórmula'!D34)=87,10^6,INDEX(properties!A$1:CB$87,'Fórmula'!D34,23)),IF(('Fórmula'!F34)=87,10^6,INDEX(properties!A$1:CB$87,'Fórmula'!F34,23)),IF(('Fórmula'!H34)=87,10^6,INDEX(properties!A$1:CB$87,'Fórmula'!H34,23)),IF('Fórmula'!J34=87,10^6,INDEX(properties!A$1:CB$87,'Fórmula'!J34,23)))</f>
        <v>0</v>
      </c>
      <c r="CG34" s="114">
        <f t="shared" si="14"/>
        <v>3</v>
      </c>
      <c r="CH34" s="115">
        <f t="array" ref="CH34">(('Fórmula'!C34)/('Fórmula'!C34+'Fórmula'!E34+'Fórmula'!G34+'Fórmula'!I34+'Fórmula'!K34))*(INDEX(properties!A$1:CB$87,'Fórmula'!B34,26))+(('Fórmula'!E34)/('Fórmula'!C34+'Fórmula'!E34+'Fórmula'!G34+'Fórmula'!I34+'Fórmula'!K34))*(INDEX(properties!A$1:CB$87,'Fórmula'!D34,26))+(('Fórmula'!G34)/('Fórmula'!C34+'Fórmula'!E34+'Fórmula'!G34+'Fórmula'!I34+'Fórmula'!K34))*(INDEX(properties!A$1:CB$87,'Fórmula'!F34,26))+(('Fórmula'!I34)/('Fórmula'!C34+'Fórmula'!E34+'Fórmula'!G34+'Fórmula'!I34+'Fórmula'!K34))*(INDEX(properties!A$1:CB$87,'Fórmula'!H34,26))+(('Fórmula'!K34)/('Fórmula'!C34+'Fórmula'!E34+'Fórmula'!G34+'Fórmula'!I34+'Fórmula'!K34))*(INDEX(properties!A$1:CB$87,'Fórmula'!J34,26))</f>
        <v>12.04076667</v>
      </c>
      <c r="CI34" s="115">
        <f t="array" ref="CI34">'Fórmula'!C34*(INDEX(properties!A$1:CB$87,'Fórmula'!B34,26))+'Fórmula'!E34*(INDEX(properties!A$1:CB$87,'Fórmula'!D34,26))+'Fórmula'!G34*(INDEX(properties!A$1:CB$87,'Fórmula'!F34,26))+'Fórmula'!I34*(INDEX(properties!A$1:CB$87,'Fórmula'!H34,26))+'Fórmula'!K34*(INDEX(properties!A$1:CB$87,'Fórmula'!J34,26))</f>
        <v>72.2446</v>
      </c>
      <c r="CJ34" s="115">
        <f t="array" ref="CJ34">VARP(IF(INDEX(properties!A$1:CB$87,'Fórmula'!B34,26)&lt;&gt;"",INDEX(properties!A$1:CB$87,'Fórmula'!B34,26)),IF(INDEX(properties!A$1:CB$87,'Fórmula'!D34,26)&lt;&gt;"",INDEX(properties!A$1:CB$87,'Fórmula'!D34,26)),IF(INDEX(properties!A$1:CB$87,'Fórmula'!F34,26)&lt;&gt;"",INDEX(properties!A$1:CB$87,'Fórmula'!F34,26)),IF(INDEX(properties!A$1:CB$87,'Fórmula'!H34,26)&lt;&gt;"",INDEX(properties!A$1:CB$87,'Fórmula'!H34,26)),IF(INDEX(properties!A$1:CB$87,'Fórmula'!J34,26)&lt;&gt;"",INDEX(properties!A$1:CB$87,'Fórmula'!J34,26)))</f>
        <v>30.28636959</v>
      </c>
      <c r="CK34" s="116">
        <f t="array" ref="CK34">MAX(INDEX(properties!A$1:CB$87,'Fórmula'!B34,26),INDEX(properties!A$1:CB$87,'Fórmula'!D34,26),INDEX(properties!A$1:CB$87,'Fórmula'!F34,26),INDEX(properties!A$1:CB$87,'Fórmula'!H34,26),INDEX(properties!A$1:CB$87,'Fórmula'!J34,26))</f>
        <v>13.6181</v>
      </c>
      <c r="CL34" s="116">
        <f t="array" ref="CL34">MIN(IF(INDEX(properties!A$1:CB$87,'Fórmula'!B34,26)=0,10^6,INDEX(properties!A$1:CB$87,'Fórmula'!B34,26)),IF(INDEX(properties!A$1:CB$87,'Fórmula'!D34,26)=0,10^6,INDEX(properties!A$1:CB$87,'Fórmula'!D34,26)),IF(INDEX(properties!A$1:CB$87,'Fórmula'!F34,26)=0,10^6,INDEX(properties!A$1:CB$87,'Fórmula'!F34,26)),IF(INDEX(properties!A$1:CB$87,'Fórmula'!H34,26)=0,10^6,INDEX(properties!A$1:CB$87,'Fórmula'!H34,26)),IF(INDEX(properties!A$1:CB$87,'Fórmula'!J34,26)=0,10^6,INDEX(properties!A$1:CB$87,'Fórmula'!J34,26)))</f>
        <v>7.2855</v>
      </c>
      <c r="CM34" s="115">
        <f t="shared" si="15"/>
        <v>6.3326</v>
      </c>
      <c r="CN34" s="117">
        <f t="array" ref="CN34">(('Fórmula'!C34)/('Fórmula'!C34+'Fórmula'!E34+'Fórmula'!G34+'Fórmula'!I34+'Fórmula'!K34))*(INDEX(properties!A$1:CB$87,'Fórmula'!B34,30))+(('Fórmula'!E34)/('Fórmula'!C34+'Fórmula'!E34+'Fórmula'!G34+'Fórmula'!I34+'Fórmula'!K34))*(INDEX(properties!A$1:CB$87,'Fórmula'!D34,30))+(('Fórmula'!G34)/('Fórmula'!C34+'Fórmula'!E34+'Fórmula'!G34+'Fórmula'!I34+'Fórmula'!K34))*(INDEX(properties!A$1:CB$87,'Fórmula'!F34,30))+(('Fórmula'!I34)/('Fórmula'!C34+'Fórmula'!E34+'Fórmula'!G34+'Fórmula'!I34+'Fórmula'!K34))*(INDEX(properties!A$1:CB$87,'Fórmula'!H34,30))+(('Fórmula'!K34)/('Fórmula'!C34+'Fórmula'!E34+'Fórmula'!G34+'Fórmula'!I34+'Fórmula'!K34))*(INDEX(properties!A$1:CB$87,'Fórmula'!J34,30))</f>
        <v>2.995</v>
      </c>
      <c r="CO34" s="117">
        <f t="array" ref="CO34">'Fórmula'!C34*(INDEX(properties!A$1:CB$87,'Fórmula'!B34,30))+'Fórmula'!E34*(INDEX(properties!A$1:CB$87,'Fórmula'!D34,30))+'Fórmula'!G34*(INDEX(properties!A$1:CB$87,'Fórmula'!F34,30))+'Fórmula'!I34*(INDEX(properties!A$1:CB$87,'Fórmula'!H34,30))+'Fórmula'!K34*(INDEX(properties!A$1:CB$87,'Fórmula'!J34,30))</f>
        <v>17.97</v>
      </c>
      <c r="CP34" s="117">
        <f t="array" ref="CP34">VARP(IF(INDEX(properties!A$1:CB$87,'Fórmula'!B34,30)&lt;&gt;"",INDEX(properties!A$1:CB$87,'Fórmula'!B34,30)),IF(INDEX(properties!A$1:CB$87,'Fórmula'!D34,30)&lt;&gt;"",INDEX(properties!A$1:CB$87,'Fórmula'!D34,30)),IF(INDEX(properties!A$1:CB$87,'Fórmula'!F34,30)&lt;&gt;"",INDEX(properties!A$1:CB$87,'Fórmula'!F34,30)),IF(INDEX(properties!A$1:CB$87,'Fórmula'!H34,30)&lt;&gt;"",INDEX(properties!A$1:CB$87,'Fórmula'!H34,30)),IF(INDEX(properties!A$1:CB$87,'Fórmula'!J34,30)&lt;&gt;"",INDEX(properties!A$1:CB$87,'Fórmula'!J34,30)))</f>
        <v>1.80112</v>
      </c>
      <c r="CQ34" s="117">
        <f t="array" ref="CQ34">MAX(INDEX(properties!A$1:CB$87,'Fórmula'!B34,30),INDEX(properties!A$1:CB$87,'Fórmula'!D34,30),INDEX(properties!A$1:CB$87,'Fórmula'!F34,30),INDEX(properties!A$1:CB$87,'Fórmula'!H34,30),INDEX(properties!A$1:CB$87,'Fórmula'!J34,30))</f>
        <v>3.44</v>
      </c>
      <c r="CR34" s="117">
        <f t="array" ref="CR34">MIN(IF(INDEX(properties!A$1:CB$87,'Fórmula'!B34,30)=0,10^6,INDEX(properties!A$1:CB$87,'Fórmula'!B34,30)),IF(INDEX(properties!A$1:CB$87,'Fórmula'!D34,30)=0,10^6,INDEX(properties!A$1:CB$87,'Fórmula'!D34,30)),IF(INDEX(properties!A$1:CB$87,'Fórmula'!F34,30)=0,10^6,INDEX(properties!A$1:CB$87,'Fórmula'!F34,30)),IF(INDEX(properties!A$1:CB$87,'Fórmula'!H34,30)=0,10^6,INDEX(properties!A$1:CB$87,'Fórmula'!H34,30)),IF(INDEX(properties!A$1:CB$87,'Fórmula'!J34,30)=0,10^6,INDEX(properties!A$1:CB$87,'Fórmula'!J34,30)))</f>
        <v>2.02</v>
      </c>
      <c r="CS34" s="117">
        <f t="shared" si="16"/>
        <v>1.42</v>
      </c>
      <c r="CT34" s="118">
        <f t="array" ref="CT34">(('Fórmula'!C34)/('Fórmula'!C34+'Fórmula'!E34+'Fórmula'!G34+'Fórmula'!I34+'Fórmula'!K34))*(INDEX(properties!A$1:CB$87,'Fórmula'!B34,31))+(('Fórmula'!E34)/('Fórmula'!C34+'Fórmula'!E34+'Fórmula'!G34+'Fórmula'!I34+'Fórmula'!K34))*(INDEX(properties!A$1:CB$87,'Fórmula'!D34,31))+(('Fórmula'!G34)/('Fórmula'!C34+'Fórmula'!E34+'Fórmula'!G34+'Fórmula'!I34+'Fórmula'!K34))*(INDEX(properties!A$1:CB$87,'Fórmula'!F34,31))+(('Fórmula'!I34)/('Fórmula'!C34+'Fórmula'!E34+'Fórmula'!G34+'Fórmula'!I34+'Fórmula'!K34))*(INDEX(properties!A$1:CB$87,'Fórmula'!H34,31))+(('Fórmula'!K34)/('Fórmula'!C34+'Fórmula'!E34+'Fórmula'!G34+'Fórmula'!I34+'Fórmula'!K34))*(INDEX(properties!A$1:CB$87,'Fórmula'!J34,31))</f>
        <v>2.956666667</v>
      </c>
      <c r="CU34" s="118">
        <f t="array" ref="CU34">'Fórmula'!C34*(INDEX(properties!A$1:CB$87,'Fórmula'!B34,31))+'Fórmula'!E34*(INDEX(properties!A$1:CB$87,'Fórmula'!D34,31))+'Fórmula'!G34*(INDEX(properties!A$1:CB$87,'Fórmula'!F34,31))+'Fórmula'!I34*(INDEX(properties!A$1:CB$87,'Fórmula'!H34,31))+'Fórmula'!K34*(INDEX(properties!A$1:CB$87,'Fórmula'!J34,31))</f>
        <v>17.74</v>
      </c>
      <c r="CV34" s="118">
        <f t="array" ref="CV34">VARP(IF(INDEX(properties!A$1:CB$87,'Fórmula'!B34,31)&lt;&gt;"",INDEX(properties!A$1:CB$87,'Fórmula'!B34,31)),IF(INDEX(properties!A$1:CB$87,'Fórmula'!D34,31)&lt;&gt;"",INDEX(properties!A$1:CB$87,'Fórmula'!D34,31)),IF(INDEX(properties!A$1:CB$87,'Fórmula'!F34,31)&lt;&gt;"",INDEX(properties!A$1:CB$87,'Fórmula'!F34,31)),IF(INDEX(properties!A$1:CB$87,'Fórmula'!H34,31)&lt;&gt;"",INDEX(properties!A$1:CB$87,'Fórmula'!H34,31)),IF(INDEX(properties!A$1:CB$87,'Fórmula'!J34,31)&lt;&gt;"",INDEX(properties!A$1:CB$87,'Fórmula'!J34,31)))</f>
        <v>1.775744</v>
      </c>
      <c r="CW34" s="118">
        <f t="array" ref="CW34">MAX(INDEX(properties!A$1:CB$87,'Fórmula'!B34,31),INDEX(properties!A$1:CB$87,'Fórmula'!D34,31),INDEX(properties!A$1:CB$87,'Fórmula'!F34,31),INDEX(properties!A$1:CB$87,'Fórmula'!H34,31),INDEX(properties!A$1:CB$87,'Fórmula'!J34,31))</f>
        <v>3.32</v>
      </c>
      <c r="CX34" s="118">
        <f t="array" ref="CX34">MIN(IF(INDEX(properties!A$1:CB$87,'Fórmula'!B34,31)=0,10^6,INDEX(properties!A$1:CB$87,'Fórmula'!B34,31)),IF(INDEX(properties!A$1:CB$87,'Fórmula'!D34,31)=0,10^6,INDEX(properties!A$1:CB$87,'Fórmula'!D34,31)),IF(INDEX(properties!A$1:CB$87,'Fórmula'!F34,31)=0,10^6,INDEX(properties!A$1:CB$87,'Fórmula'!F34,31)),IF(INDEX(properties!A$1:CB$87,'Fórmula'!H34,31)=0,10^6,INDEX(properties!A$1:CB$87,'Fórmula'!H34,31)),IF(INDEX(properties!A$1:CB$87,'Fórmula'!J34,31)=0,10^6,INDEX(properties!A$1:CB$87,'Fórmula'!J34,31)))</f>
        <v>2.14</v>
      </c>
      <c r="CY34" s="118">
        <f t="shared" si="17"/>
        <v>1.18</v>
      </c>
      <c r="CZ34" s="119">
        <f t="array" ref="CZ34">(('Fórmula'!C34)/('Fórmula'!C34+'Fórmula'!E34+'Fórmula'!G34+'Fórmula'!I34+'Fórmula'!K34))*(INDEX(properties!A$1:CB$87,'Fórmula'!B34,32))+(('Fórmula'!E34)/('Fórmula'!C34+'Fórmula'!E34+'Fórmula'!G34+'Fórmula'!I34+'Fórmula'!K34))*(INDEX(properties!A$1:CB$87,'Fórmula'!D34,32))+(('Fórmula'!G34)/('Fórmula'!C34+'Fórmula'!E34+'Fórmula'!G34+'Fórmula'!I34+'Fórmula'!K34))*(INDEX(properties!A$1:CB$87,'Fórmula'!F34,32))+(('Fórmula'!I34)/('Fórmula'!C34+'Fórmula'!E34+'Fórmula'!G34+'Fórmula'!I34+'Fórmula'!K34))*(INDEX(properties!A$1:CB$87,'Fórmula'!H34,32))+(('Fórmula'!K34)/('Fórmula'!C34+'Fórmula'!E34+'Fórmula'!G34+'Fórmula'!I34+'Fórmula'!K34))*(INDEX(properties!A$1:CB$87,'Fórmula'!J34,32))</f>
        <v>6.745</v>
      </c>
      <c r="DA34" s="119">
        <f t="array" ref="DA34">'Fórmula'!C34*(INDEX(properties!A$1:CB$87,'Fórmula'!B34,32))+'Fórmula'!E34*(INDEX(properties!A$1:CB$87,'Fórmula'!D34,32))+'Fórmula'!G34*(INDEX(properties!A$1:CB$87,'Fórmula'!F34,32))+'Fórmula'!I34*(INDEX(properties!A$1:CB$87,'Fórmula'!H34,32))+'Fórmula'!K34*(INDEX(properties!A$1:CB$87,'Fórmula'!J34,32))</f>
        <v>40.47</v>
      </c>
      <c r="DB34" s="119">
        <f t="array" ref="DB34">VARP(IF(INDEX(properties!A$1:CB$87,'Fórmula'!B34,32)&lt;&gt;"",INDEX(properties!A$1:CB$87,'Fórmula'!B34,32)),IF(INDEX(properties!A$1:CB$87,'Fórmula'!D34,32)&lt;&gt;"",INDEX(properties!A$1:CB$87,'Fórmula'!D34,32)),IF(INDEX(properties!A$1:CB$87,'Fórmula'!F34,32)&lt;&gt;"",INDEX(properties!A$1:CB$87,'Fórmula'!F34,32)),IF(INDEX(properties!A$1:CB$87,'Fórmula'!H34,32)&lt;&gt;"",INDEX(properties!A$1:CB$87,'Fórmula'!H34,32)),IF(INDEX(properties!A$1:CB$87,'Fórmula'!J34,32)&lt;&gt;"",INDEX(properties!A$1:CB$87,'Fórmula'!J34,32)))</f>
        <v>9.34152</v>
      </c>
      <c r="DC34" s="119">
        <f t="array" ref="DC34">MAX(INDEX(properties!A$1:CB$87,'Fórmula'!B34,32),INDEX(properties!A$1:CB$87,'Fórmula'!D34,32),INDEX(properties!A$1:CB$87,'Fórmula'!F34,32),INDEX(properties!A$1:CB$87,'Fórmula'!H34,32),INDEX(properties!A$1:CB$87,'Fórmula'!J34,32))</f>
        <v>7.54</v>
      </c>
      <c r="DD34" s="119">
        <f t="array" ref="DD34">MIN(IF(INDEX(properties!A$1:CB$87,'Fórmula'!B34,32)=0,10^6,INDEX(properties!A$1:CB$87,'Fórmula'!B34,32)),IF(INDEX(properties!A$1:CB$87,'Fórmula'!D34,32)=0,10^6,INDEX(properties!A$1:CB$87,'Fórmula'!D34,32)),IF(INDEX(properties!A$1:CB$87,'Fórmula'!F34,32)=0,10^6,INDEX(properties!A$1:CB$87,'Fórmula'!F34,32)),IF(INDEX(properties!A$1:CB$87,'Fórmula'!H34,32)=0,10^6,INDEX(properties!A$1:CB$87,'Fórmula'!H34,32)),IF(INDEX(properties!A$1:CB$87,'Fórmula'!J34,32)=0,10^6,INDEX(properties!A$1:CB$87,'Fórmula'!J34,32)))</f>
        <v>4.69</v>
      </c>
      <c r="DE34" s="119">
        <f t="shared" si="18"/>
        <v>2.85</v>
      </c>
      <c r="DF34" s="104">
        <f t="array" ref="DF34">(('Fórmula'!C34)/('Fórmula'!C34+'Fórmula'!E34+'Fórmula'!G34+'Fórmula'!I34+'Fórmula'!K34))*(INDEX(properties!A$1:CB$87,'Fórmula'!B34,34))+(('Fórmula'!E34)/('Fórmula'!C34+'Fórmula'!E34+'Fórmula'!G34+'Fórmula'!I34+'Fórmula'!K34))*(INDEX(properties!A$1:CB$87,'Fórmula'!D34,34))+(('Fórmula'!G34)/('Fórmula'!C34+'Fórmula'!E34+'Fórmula'!G34+'Fórmula'!I34+'Fórmula'!K34))*(INDEX(properties!A$1:CB$87,'Fórmula'!F34,34))+(('Fórmula'!I34)/('Fórmula'!C34+'Fórmula'!E34+'Fórmula'!G34+'Fórmula'!I34+'Fórmula'!K34))*(INDEX(properties!A$1:CB$87,'Fórmula'!H34,34))+(('Fórmula'!K34)/('Fórmula'!C34+'Fórmula'!E34+'Fórmula'!G34+'Fórmula'!I34+'Fórmula'!K34))*(INDEX(properties!A$1:CB$87,'Fórmula'!J34,34))</f>
        <v>3.117166667</v>
      </c>
      <c r="DG34" s="104">
        <f t="array" ref="DG34">'Fórmula'!C34*(INDEX(properties!A$1:CB$87,'Fórmula'!B34,34))+'Fórmula'!E34*(INDEX(properties!A$1:CB$87,'Fórmula'!D34,34))+'Fórmula'!G34*(INDEX(properties!A$1:CB$87,'Fórmula'!F34,34))+'Fórmula'!I34*(INDEX(properties!A$1:CB$87,'Fórmula'!H34,34))+'Fórmula'!K34*(INDEX(properties!A$1:CB$87,'Fórmula'!J34,34))</f>
        <v>18.703</v>
      </c>
      <c r="DH34" s="104">
        <f t="array" ref="DH34">VARP(IF(INDEX(properties!A$1:CB$87,'Fórmula'!B34,34)&lt;&gt;"",INDEX(properties!A$1:CB$87,'Fórmula'!B34,34)),IF(INDEX(properties!A$1:CB$87,'Fórmula'!D34,34)&lt;&gt;"",INDEX(properties!A$1:CB$87,'Fórmula'!D34,34)),IF(INDEX(properties!A$1:CB$87,'Fórmula'!F34,34)&lt;&gt;"",INDEX(properties!A$1:CB$87,'Fórmula'!F34,34)),IF(INDEX(properties!A$1:CB$87,'Fórmula'!H34,34)&lt;&gt;"",INDEX(properties!A$1:CB$87,'Fórmula'!H34,34)),IF(INDEX(properties!A$1:CB$87,'Fórmula'!J34,34)&lt;&gt;"",INDEX(properties!A$1:CB$87,'Fórmula'!J34,34)))</f>
        <v>1.95027664</v>
      </c>
      <c r="DI34" s="104">
        <f t="array" ref="DI34">MAX(INDEX(properties!A$1:CB$87,'Fórmula'!B34,34),INDEX(properties!A$1:CB$87,'Fórmula'!D34,34),INDEX(properties!A$1:CB$87,'Fórmula'!F34,34),INDEX(properties!A$1:CB$87,'Fórmula'!H34,34),INDEX(properties!A$1:CB$87,'Fórmula'!J34,34))</f>
        <v>3.61</v>
      </c>
      <c r="DJ34" s="104">
        <f t="array" ref="DJ34">MIN(IF(INDEX(properties!A$1:CB$87,'Fórmula'!B34,34)=0,10^6,INDEX(properties!A$1:CB$87,'Fórmula'!B34,34)),IF(INDEX(properties!A$1:CB$87,'Fórmula'!D34,34)=0,10^6,INDEX(properties!A$1:CB$87,'Fórmula'!D34,34)),IF(INDEX(properties!A$1:CB$87,'Fórmula'!F34,34)=0,10^6,INDEX(properties!A$1:CB$87,'Fórmula'!F34,34)),IF(INDEX(properties!A$1:CB$87,'Fórmula'!H34,34)=0,10^6,INDEX(properties!A$1:CB$87,'Fórmula'!H34,34)),IF(INDEX(properties!A$1:CB$87,'Fórmula'!J34,34)=0,10^6,INDEX(properties!A$1:CB$87,'Fórmula'!J34,34)))</f>
        <v>2.01</v>
      </c>
      <c r="DK34" s="104">
        <f t="shared" si="19"/>
        <v>1.6</v>
      </c>
      <c r="DL34" s="105">
        <f t="array" ref="DL34">(('Fórmula'!C34)/('Fórmula'!C34+'Fórmula'!E34+'Fórmula'!G34+'Fórmula'!I34+'Fórmula'!K34))*(INDEX(properties!A$1:CB$87,'Fórmula'!B34,37))+(('Fórmula'!E34)/('Fórmula'!C34+'Fórmula'!E34+'Fórmula'!G34+'Fórmula'!I34+'Fórmula'!K34))*(INDEX(properties!A$1:CB$87,'Fórmula'!D34,37))+(('Fórmula'!G34)/('Fórmula'!C34+'Fórmula'!E34+'Fórmula'!G34+'Fórmula'!I34+'Fórmula'!K34))*(INDEX(properties!A$1:CB$87,'Fórmula'!F34,37))+(('Fórmula'!I34)/('Fórmula'!C34+'Fórmula'!E34+'Fórmula'!G34+'Fórmula'!I34+'Fórmula'!K34))*(INDEX(properties!A$1:CB$87,'Fórmula'!H34,37))+(('Fórmula'!K34)/('Fórmula'!C34+'Fórmula'!E34+'Fórmula'!G34+'Fórmula'!I34+'Fórmula'!K34))*(INDEX(properties!A$1:CB$87,'Fórmula'!J34,37))</f>
        <v>2.95</v>
      </c>
      <c r="DM34" s="105">
        <f t="array" ref="DM34">'Fórmula'!C34*(INDEX(properties!A$1:CB$87,'Fórmula'!B34,37))+'Fórmula'!E34*(INDEX(properties!A$1:CB$87,'Fórmula'!D34,37))+'Fórmula'!G34*(INDEX(properties!A$1:CB$87,'Fórmula'!F34,37))+'Fórmula'!I34*(INDEX(properties!A$1:CB$87,'Fórmula'!H34,37))+'Fórmula'!K34*(INDEX(properties!A$1:CB$87,'Fórmula'!J34,37))</f>
        <v>17.7</v>
      </c>
      <c r="DN34" s="105">
        <f t="array" ref="DN34">VARP(IF(INDEX(properties!A$1:CB$87,'Fórmula'!B34,37)&lt;&gt;"",INDEX(properties!A$1:CB$87,'Fórmula'!B34,37)),IF(INDEX(properties!A$1:CB$87,'Fórmula'!D34,37)&lt;&gt;"",INDEX(properties!A$1:CB$87,'Fórmula'!D34,37)),IF(INDEX(properties!A$1:CB$87,'Fórmula'!F34,37)&lt;&gt;"",INDEX(properties!A$1:CB$87,'Fórmula'!F34,37)),IF(INDEX(properties!A$1:CB$87,'Fórmula'!H34,37)&lt;&gt;"",INDEX(properties!A$1:CB$87,'Fórmula'!H34,37)),IF(INDEX(properties!A$1:CB$87,'Fórmula'!J34,37)&lt;&gt;"",INDEX(properties!A$1:CB$87,'Fórmula'!J34,37)))</f>
        <v>1.7496</v>
      </c>
      <c r="DO34" s="105">
        <f t="array" ref="DO34">MAX(INDEX(properties!A$1:CB$87,'Fórmula'!B34,37),INDEX(properties!A$1:CB$87,'Fórmula'!D34,37),INDEX(properties!A$1:CB$87,'Fórmula'!F34,37),INDEX(properties!A$1:CB$87,'Fórmula'!H34,37),INDEX(properties!A$1:CB$87,'Fórmula'!J34,37))</f>
        <v>3.45</v>
      </c>
      <c r="DP34" s="105">
        <f t="array" ref="DP34">MIN(IF(INDEX(properties!A$1:CB$87,'Fórmula'!B34,37)=0,10^6,INDEX(properties!A$1:CB$87,'Fórmula'!B34,37)),IF(INDEX(properties!A$1:CB$87,'Fórmula'!D34,37)=0,10^6,INDEX(properties!A$1:CB$87,'Fórmula'!D34,37)),IF(INDEX(properties!A$1:CB$87,'Fórmula'!F34,37)=0,10^6,INDEX(properties!A$1:CB$87,'Fórmula'!F34,37)),IF(INDEX(properties!A$1:CB$87,'Fórmula'!H34,37)=0,10^6,INDEX(properties!A$1:CB$87,'Fórmula'!H34,37)),IF(INDEX(properties!A$1:CB$87,'Fórmula'!J34,37)=0,10^6,INDEX(properties!A$1:CB$87,'Fórmula'!J34,37)))</f>
        <v>1.8</v>
      </c>
      <c r="DQ34" s="105">
        <f t="shared" si="20"/>
        <v>1.65</v>
      </c>
      <c r="DR34" s="109">
        <f t="array" ref="DR34">(('Fórmula'!C34)/('Fórmula'!C34+'Fórmula'!E34+'Fórmula'!G34+'Fórmula'!I34+'Fórmula'!K34))*(INDEX(properties!A$1:CB$87,'Fórmula'!B34,39))+(('Fórmula'!E34)/('Fórmula'!C34+'Fórmula'!E34+'Fórmula'!G34+'Fórmula'!I34+'Fórmula'!K34))*(INDEX(properties!A$1:CB$87,'Fórmula'!D34,39))+(('Fórmula'!G34)/('Fórmula'!C34+'Fórmula'!E34+'Fórmula'!G34+'Fórmula'!I34+'Fórmula'!K34))*(INDEX(properties!A$1:CB$87,'Fórmula'!F34,39))+(('Fórmula'!I34)/('Fórmula'!C34+'Fórmula'!E34+'Fórmula'!G34+'Fórmula'!I34+'Fórmula'!K34))*(INDEX(properties!A$1:CB$87,'Fórmula'!H34,39))+(('Fórmula'!K34)/('Fórmula'!C34+'Fórmula'!E34+'Fórmula'!G34+'Fórmula'!I34+'Fórmula'!K34))*(INDEX(properties!A$1:CB$87,'Fórmula'!J34,39))</f>
        <v>0.7216666667</v>
      </c>
      <c r="DS34" s="109">
        <f t="array" ref="DS34">'Fórmula'!C34*(INDEX(properties!A$1:CB$87,'Fórmula'!B34,39))+'Fórmula'!E34*(INDEX(properties!A$1:CB$87,'Fórmula'!D34,39))+'Fórmula'!G34*(INDEX(properties!A$1:CB$87,'Fórmula'!F34,39))+'Fórmula'!I34*(INDEX(properties!A$1:CB$87,'Fórmula'!H34,39))+'Fórmula'!K34*(INDEX(properties!A$1:CB$87,'Fórmula'!J34,39))</f>
        <v>4.33</v>
      </c>
      <c r="DT34" s="109">
        <f t="array" ref="DT34">VARP(IF(INDEX(properties!A$1:CB$87,'Fórmula'!B34,39)&lt;&gt;"",INDEX(properties!A$1:CB$87,'Fórmula'!B34,39)),IF(INDEX(properties!A$1:CB$87,'Fórmula'!D34,39)&lt;&gt;"",INDEX(properties!A$1:CB$87,'Fórmula'!D34,39)),IF(INDEX(properties!A$1:CB$87,'Fórmula'!F34,39)&lt;&gt;"",INDEX(properties!A$1:CB$87,'Fórmula'!F34,39)),IF(INDEX(properties!A$1:CB$87,'Fórmula'!H34,39)&lt;&gt;"",INDEX(properties!A$1:CB$87,'Fórmula'!H34,39)),IF(INDEX(properties!A$1:CB$87,'Fórmula'!J34,39)&lt;&gt;"",INDEX(properties!A$1:CB$87,'Fórmula'!J34,39)))</f>
        <v>0.313056</v>
      </c>
      <c r="DU34" s="120">
        <f t="array" ref="DU34">MAX(INDEX(properties!A$1:CB$87,'Fórmula'!B34,39),INDEX(properties!A$1:CB$87,'Fórmula'!D34,39),INDEX(properties!A$1:CB$87,'Fórmula'!F34,39),INDEX(properties!A$1:CB$87,'Fórmula'!H34,39),INDEX(properties!A$1:CB$87,'Fórmula'!J34,39))</f>
        <v>1.43</v>
      </c>
      <c r="DV34" s="120">
        <f t="array" ref="DV34">MIN(IF(INDEX(properties!A$1:CB$87,'Fórmula'!B34,39)=0,10^6,INDEX(properties!A$1:CB$87,'Fórmula'!B34,39)),IF(INDEX(properties!A$1:CB$87,'Fórmula'!D34,39)=0,10^6,INDEX(properties!A$1:CB$87,'Fórmula'!D34,39)),IF(INDEX(properties!A$1:CB$87,'Fórmula'!F34,39)=0,10^6,INDEX(properties!A$1:CB$87,'Fórmula'!F34,39)),IF(INDEX(properties!A$1:CB$87,'Fórmula'!H34,39)=0,10^6,INDEX(properties!A$1:CB$87,'Fórmula'!H34,39)),IF(INDEX(properties!A$1:CB$87,'Fórmula'!J34,39)=0,10^6,INDEX(properties!A$1:CB$87,'Fórmula'!J34,39)))</f>
        <v>0.48</v>
      </c>
      <c r="DW34" s="109">
        <f t="shared" si="21"/>
        <v>0.95</v>
      </c>
      <c r="DX34" s="110">
        <f t="array" ref="DX34">(('Fórmula'!C34)/('Fórmula'!C34+'Fórmula'!E34+'Fórmula'!G34+'Fórmula'!I34+'Fórmula'!K34))*(INDEX(properties!A$1:CB$87,'Fórmula'!B34,40))+(('Fórmula'!E34)/('Fórmula'!C34+'Fórmula'!E34+'Fórmula'!G34+'Fórmula'!I34+'Fórmula'!K34))*(INDEX(properties!A$1:CB$87,'Fórmula'!D34,40))+(('Fórmula'!G34)/('Fórmula'!C34+'Fórmula'!E34+'Fórmula'!G34+'Fórmula'!I34+'Fórmula'!K34))*(INDEX(properties!A$1:CB$87,'Fórmula'!F34,40))+(('Fórmula'!I34)/('Fórmula'!C34+'Fórmula'!E34+'Fórmula'!G34+'Fórmula'!I34+'Fórmula'!K34))*(INDEX(properties!A$1:CB$87,'Fórmula'!H34,40))+(('Fórmula'!K34)/('Fórmula'!C34+'Fórmula'!E34+'Fórmula'!G34+'Fórmula'!I34+'Fórmula'!K34))*(INDEX(properties!A$1:CB$87,'Fórmula'!J34,40))</f>
        <v>0.9066666667</v>
      </c>
      <c r="DY34" s="110">
        <f t="array" ref="DY34">'Fórmula'!C34*(INDEX(properties!A$1:CB$87,'Fórmula'!B34,40))+'Fórmula'!E34*(INDEX(properties!A$1:CB$87,'Fórmula'!D34,40))+'Fórmula'!G34*(INDEX(properties!A$1:CB$87,'Fórmula'!F34,40))+'Fórmula'!I34*(INDEX(properties!A$1:CB$87,'Fórmula'!H34,40))+'Fórmula'!K34*(INDEX(properties!A$1:CB$87,'Fórmula'!J34,40))</f>
        <v>5.44</v>
      </c>
      <c r="DZ34" s="110">
        <f t="array" ref="DZ34">VARP(IF(INDEX(properties!A$1:CB$87,'Fórmula'!B34,40)&lt;&gt;"",INDEX(properties!A$1:CB$87,'Fórmula'!B34,40)),IF(INDEX(properties!A$1:CB$87,'Fórmula'!D34,40)&lt;&gt;"",INDEX(properties!A$1:CB$87,'Fórmula'!D34,40)),IF(INDEX(properties!A$1:CB$87,'Fórmula'!F34,40)&lt;&gt;"",INDEX(properties!A$1:CB$87,'Fórmula'!F34,40)),IF(INDEX(properties!A$1:CB$87,'Fórmula'!H34,40)&lt;&gt;"",INDEX(properties!A$1:CB$87,'Fórmula'!H34,40)),IF(INDEX(properties!A$1:CB$87,'Fórmula'!J34,40)&lt;&gt;"",INDEX(properties!A$1:CB$87,'Fórmula'!J34,40)))</f>
        <v>0.33512</v>
      </c>
      <c r="EA34" s="121">
        <f t="array" ref="EA34">MAX(INDEX(properties!A$1:CB$87,'Fórmula'!B34,40),INDEX(properties!A$1:CB$87,'Fórmula'!D34,40),INDEX(properties!A$1:CB$87,'Fórmula'!F34,40),INDEX(properties!A$1:CB$87,'Fórmula'!H34,40),INDEX(properties!A$1:CB$87,'Fórmula'!J34,40))</f>
        <v>1.46</v>
      </c>
      <c r="EB34" s="121">
        <f t="array" ref="EB34">MIN(IF(INDEX(properties!A$1:CB$87,'Fórmula'!B34,40)=0,10^6,INDEX(properties!A$1:CB$87,'Fórmula'!B34,40)),IF(INDEX(properties!A$1:CB$87,'Fórmula'!D34,40)=0,10^6,INDEX(properties!A$1:CB$87,'Fórmula'!D34,40)),IF(INDEX(properties!A$1:CB$87,'Fórmula'!F34,40)=0,10^6,INDEX(properties!A$1:CB$87,'Fórmula'!F34,40)),IF(INDEX(properties!A$1:CB$87,'Fórmula'!H34,40)=0,10^6,INDEX(properties!A$1:CB$87,'Fórmula'!H34,40)),IF(INDEX(properties!A$1:CB$87,'Fórmula'!J34,40)=0,10^6,INDEX(properties!A$1:CB$87,'Fórmula'!J34,40)))</f>
        <v>0.73</v>
      </c>
      <c r="EC34" s="110">
        <f t="shared" si="22"/>
        <v>0.73</v>
      </c>
      <c r="ED34" s="111">
        <f t="array" ref="ED34">(('Fórmula'!C34)/('Fórmula'!C34+'Fórmula'!E34+'Fórmula'!G34+'Fórmula'!I34+'Fórmula'!K34))*(INDEX(properties!A$1:CB$87,'Fórmula'!B34,41))+(('Fórmula'!E34)/('Fórmula'!C34+'Fórmula'!E34+'Fórmula'!G34+'Fórmula'!I34+'Fórmula'!K34))*(INDEX(properties!A$1:CB$87,'Fórmula'!D34,41))+(('Fórmula'!G34)/('Fórmula'!C34+'Fórmula'!E34+'Fórmula'!G34+'Fórmula'!I34+'Fórmula'!K34))*(INDEX(properties!A$1:CB$87,'Fórmula'!F34,41))+(('Fórmula'!I34)/('Fórmula'!C34+'Fórmula'!E34+'Fórmula'!G34+'Fórmula'!I34+'Fórmula'!K34))*(INDEX(properties!A$1:CB$87,'Fórmula'!H34,41))+(('Fórmula'!K34)/('Fórmula'!C34+'Fórmula'!E34+'Fórmula'!G34+'Fórmula'!I34+'Fórmula'!K34))*(INDEX(properties!A$1:CB$87,'Fórmula'!J34,41))</f>
        <v>1.131666667</v>
      </c>
      <c r="EE34" s="111">
        <f t="array" ref="EE34">'Fórmula'!C34*(INDEX(properties!A$1:CB$87,'Fórmula'!B34,41))+'Fórmula'!E34*(INDEX(properties!A$1:CB$87,'Fórmula'!D34,41))+'Fórmula'!G34*(INDEX(properties!A$1:CB$87,'Fórmula'!F34,41))+'Fórmula'!I34*(INDEX(properties!A$1:CB$87,'Fórmula'!H34,41))+'Fórmula'!K34*(INDEX(properties!A$1:CB$87,'Fórmula'!J34,41))</f>
        <v>6.79</v>
      </c>
      <c r="EF34" s="111">
        <f t="array" ref="EF34">VARP(IF(INDEX(properties!A$1:CB$87,'Fórmula'!B34,41)&lt;&gt;"",INDEX(properties!A$1:CB$87,'Fórmula'!B34,41)),IF(INDEX(properties!A$1:CB$87,'Fórmula'!D34,41)&lt;&gt;"",INDEX(properties!A$1:CB$87,'Fórmula'!D34,41)),IF(INDEX(properties!A$1:CB$87,'Fórmula'!F34,41)&lt;&gt;"",INDEX(properties!A$1:CB$87,'Fórmula'!F34,41)),IF(INDEX(properties!A$1:CB$87,'Fórmula'!H34,41)&lt;&gt;"",INDEX(properties!A$1:CB$87,'Fórmula'!H34,41)),IF(INDEX(properties!A$1:CB$87,'Fórmula'!J34,41)&lt;&gt;"",INDEX(properties!A$1:CB$87,'Fórmula'!J34,41)))</f>
        <v>0.296176</v>
      </c>
      <c r="EG34" s="122">
        <f t="array" ref="EG34">MAX(INDEX(properties!A$1:CB$87,'Fórmula'!B34,41),INDEX(properties!A$1:CB$87,'Fórmula'!D34,41),INDEX(properties!A$1:CB$87,'Fórmula'!F34,41),INDEX(properties!A$1:CB$87,'Fórmula'!H34,41),INDEX(properties!A$1:CB$87,'Fórmula'!J34,41))</f>
        <v>1.26</v>
      </c>
      <c r="EH34" s="122">
        <f t="array" ref="EH34">MIN(IF(INDEX(properties!A$1:CB$87,'Fórmula'!B34,41)=0,10^6,INDEX(properties!A$1:CB$87,'Fórmula'!B34,41)),IF(INDEX(properties!A$1:CB$87,'Fórmula'!D34,41)=0,10^6,INDEX(properties!A$1:CB$87,'Fórmula'!D34,41)),IF(INDEX(properties!A$1:CB$87,'Fórmula'!F34,41)=0,10^6,INDEX(properties!A$1:CB$87,'Fórmula'!F34,41)),IF(INDEX(properties!A$1:CB$87,'Fórmula'!H34,41)=0,10^6,INDEX(properties!A$1:CB$87,'Fórmula'!H34,41)),IF(INDEX(properties!A$1:CB$87,'Fórmula'!J34,41)=0,10^6,INDEX(properties!A$1:CB$87,'Fórmula'!J34,41)))</f>
        <v>0.58</v>
      </c>
      <c r="EI34" s="111">
        <f t="shared" si="23"/>
        <v>0.68</v>
      </c>
      <c r="EJ34" s="112">
        <f t="array" ref="EJ34">(('Fórmula'!C34)/('Fórmula'!C34+'Fórmula'!E34+'Fórmula'!G34+'Fórmula'!I34+'Fórmula'!K34))*(INDEX(properties!A$1:CB$87,'Fórmula'!B34,45))+(('Fórmula'!E34)/('Fórmula'!C34+'Fórmula'!E34+'Fórmula'!G34+'Fórmula'!I34+'Fórmula'!K34))*(INDEX(properties!A$1:CB$87,'Fórmula'!D34,45))+(('Fórmula'!G34)/('Fórmula'!C34+'Fórmula'!E34+'Fórmula'!G34+'Fórmula'!I34+'Fórmula'!K34))*(INDEX(properties!A$1:CB$87,'Fórmula'!F34,45))+(('Fórmula'!I34)/('Fórmula'!C34+'Fórmula'!E34+'Fórmula'!G34+'Fórmula'!I34+'Fórmula'!K34))*(INDEX(properties!A$1:CB$87,'Fórmula'!H34,45))+(('Fórmula'!K34)/('Fórmula'!C34+'Fórmula'!E34+'Fórmula'!G34+'Fórmula'!I34+'Fórmula'!K34))*(INDEX(properties!A$1:CB$87,'Fórmula'!J34,45))</f>
        <v>0.8533333333</v>
      </c>
      <c r="EK34" s="112">
        <f t="array" ref="EK34">'Fórmula'!C34*(INDEX(properties!A$1:CB$87,'Fórmula'!B34,45))+'Fórmula'!E34*(INDEX(properties!A$1:CB$87,'Fórmula'!D34,45))+'Fórmula'!G34*(INDEX(properties!A$1:CB$87,'Fórmula'!F34,45))+'Fórmula'!I34*(INDEX(properties!A$1:CB$87,'Fórmula'!H34,45))+'Fórmula'!K34*(INDEX(properties!A$1:CB$87,'Fórmula'!J34,45))</f>
        <v>5.12</v>
      </c>
      <c r="EL34" s="112">
        <f t="array" ref="EL34">VARP(IF(INDEX(properties!A$1:CB$87,'Fórmula'!B34,45)&lt;&gt;"",INDEX(properties!A$1:CB$87,'Fórmula'!B34,45)),IF(INDEX(properties!A$1:CB$87,'Fórmula'!D34,45)&lt;&gt;"",INDEX(properties!A$1:CB$87,'Fórmula'!D34,45)),IF(INDEX(properties!A$1:CB$87,'Fórmula'!F34,45)&lt;&gt;"",INDEX(properties!A$1:CB$87,'Fórmula'!F34,45)),IF(INDEX(properties!A$1:CB$87,'Fórmula'!H34,45)&lt;&gt;"",INDEX(properties!A$1:CB$87,'Fórmula'!H34,45)),IF(INDEX(properties!A$1:CB$87,'Fórmula'!J34,45)&lt;&gt;"",INDEX(properties!A$1:CB$87,'Fórmula'!J34,45)))</f>
        <v>0.601136</v>
      </c>
      <c r="EM34" s="123">
        <f t="array" ref="EM34">MAX(INDEX(properties!A$1:CB$87,'Fórmula'!B34,45),INDEX(properties!A$1:CB$87,'Fórmula'!D34,45),INDEX(properties!A$1:CB$87,'Fórmula'!F34,45),INDEX(properties!A$1:CB$87,'Fórmula'!H34,45),INDEX(properties!A$1:CB$87,'Fórmula'!J34,45))</f>
        <v>2</v>
      </c>
      <c r="EN34" s="123">
        <f t="array" ref="EN34">MIN(IF(INDEX(properties!A$1:CB$87,'Fórmula'!B34,45)=0,10^6,INDEX(properties!A$1:CB$87,'Fórmula'!B34,45)),IF(INDEX(properties!A$1:CB$87,'Fórmula'!D34,45)=0,10^6,INDEX(properties!A$1:CB$87,'Fórmula'!D34,45)),IF(INDEX(properties!A$1:CB$87,'Fórmula'!F34,45)=0,10^6,INDEX(properties!A$1:CB$87,'Fórmula'!F34,45)),IF(INDEX(properties!A$1:CB$87,'Fórmula'!H34,45)=0,10^6,INDEX(properties!A$1:CB$87,'Fórmula'!H34,45)),IF(INDEX(properties!A$1:CB$87,'Fórmula'!J34,45)=0,10^6,INDEX(properties!A$1:CB$87,'Fórmula'!J34,45)))</f>
        <v>0.47</v>
      </c>
      <c r="EO34" s="112">
        <f t="shared" si="24"/>
        <v>1.53</v>
      </c>
      <c r="EP34" s="113">
        <f t="array" ref="EP34">(('Fórmula'!C34)/('Fórmula'!C34+'Fórmula'!E34+'Fórmula'!G34+'Fórmula'!I34+'Fórmula'!K34))*(INDEX(properties!A$1:CB$87,'Fórmula'!B34,46))+(('Fórmula'!E34)/('Fórmula'!C34+'Fórmula'!E34+'Fórmula'!G34+'Fórmula'!I34+'Fórmula'!K34))*(INDEX(properties!A$1:CB$87,'Fórmula'!D34,46))+(('Fórmula'!G34)/('Fórmula'!C34+'Fórmula'!E34+'Fórmula'!G34+'Fórmula'!I34+'Fórmula'!K34))*(INDEX(properties!A$1:CB$87,'Fórmula'!F34,46))+(('Fórmula'!I34)/('Fórmula'!C34+'Fórmula'!E34+'Fórmula'!G34+'Fórmula'!I34+'Fórmula'!K34))*(INDEX(properties!A$1:CB$87,'Fórmula'!H34,46))+(('Fórmula'!K34)/('Fórmula'!C34+'Fórmula'!E34+'Fórmula'!G34+'Fórmula'!I34+'Fórmula'!K34))*(INDEX(properties!A$1:CB$87,'Fórmula'!J34,46))</f>
        <v>1.053333333</v>
      </c>
      <c r="EQ34" s="113">
        <f t="array" ref="EQ34">'Fórmula'!C34*(INDEX(properties!A$1:CB$87,'Fórmula'!B34,46))+'Fórmula'!E34*(INDEX(properties!A$1:CB$87,'Fórmula'!D34,46))+'Fórmula'!G34*(INDEX(properties!A$1:CB$87,'Fórmula'!F34,46))+'Fórmula'!I34*(INDEX(properties!A$1:CB$87,'Fórmula'!H34,46))+'Fórmula'!K34*(INDEX(properties!A$1:CB$87,'Fórmula'!J34,46))</f>
        <v>6.32</v>
      </c>
      <c r="ER34" s="113">
        <f t="array" ref="ER34">VARP(IF(INDEX(properties!A$1:CB$87,'Fórmula'!B34,46)&lt;&gt;"",INDEX(properties!A$1:CB$87,'Fórmula'!B34,46)),IF(INDEX(properties!A$1:CB$87,'Fórmula'!D34,46)&lt;&gt;"",INDEX(properties!A$1:CB$87,'Fórmula'!D34,46)),IF(INDEX(properties!A$1:CB$87,'Fórmula'!F34,46)&lt;&gt;"",INDEX(properties!A$1:CB$87,'Fórmula'!F34,46)),IF(INDEX(properties!A$1:CB$87,'Fórmula'!H34,46)&lt;&gt;"",INDEX(properties!A$1:CB$87,'Fórmula'!H34,46)),IF(INDEX(properties!A$1:CB$87,'Fórmula'!J34,46)&lt;&gt;"",INDEX(properties!A$1:CB$87,'Fórmula'!J34,46)))</f>
        <v>0.296376</v>
      </c>
      <c r="ES34" s="124">
        <f t="array" ref="ES34">MAX(INDEX(properties!A$1:CB$87,'Fórmula'!B34,46),INDEX(properties!A$1:CB$87,'Fórmula'!D34,46),INDEX(properties!A$1:CB$87,'Fórmula'!F34,46),INDEX(properties!A$1:CB$87,'Fórmula'!H34,46),INDEX(properties!A$1:CB$87,'Fórmula'!J34,46))</f>
        <v>1.21</v>
      </c>
      <c r="ET34" s="124">
        <f t="array" ref="ET34">MIN(IF(INDEX(properties!A$1:CB$87,'Fórmula'!B34,46)=0,10^6,INDEX(properties!A$1:CB$87,'Fórmula'!B34,46)),IF(INDEX(properties!A$1:CB$87,'Fórmula'!D34,46)=0,10^6,INDEX(properties!A$1:CB$87,'Fórmula'!D34,46)),IF(INDEX(properties!A$1:CB$87,'Fórmula'!F34,46)=0,10^6,INDEX(properties!A$1:CB$87,'Fórmula'!F34,46)),IF(INDEX(properties!A$1:CB$87,'Fórmula'!H34,46)=0,10^6,INDEX(properties!A$1:CB$87,'Fórmula'!H34,46)),IF(INDEX(properties!A$1:CB$87,'Fórmula'!J34,46)=0,10^6,INDEX(properties!A$1:CB$87,'Fórmula'!J34,46)))</f>
        <v>0.31</v>
      </c>
      <c r="EU34" s="113">
        <f t="shared" si="25"/>
        <v>0.9</v>
      </c>
      <c r="EV34" s="114">
        <f t="array" ref="EV34">(('Fórmula'!C34)/('Fórmula'!C34+'Fórmula'!E34+'Fórmula'!G34+'Fórmula'!I34+'Fórmula'!K34))*(INDEX(properties!A$1:CB$87,'Fórmula'!B34,52))+(('Fórmula'!E34)/('Fórmula'!C34+'Fórmula'!E34+'Fórmula'!G34+'Fórmula'!I34+'Fórmula'!K34))*(INDEX(properties!A$1:CB$87,'Fórmula'!D34,52))+(('Fórmula'!G34)/('Fórmula'!C34+'Fórmula'!E34+'Fórmula'!G34+'Fórmula'!I34+'Fórmula'!K34))*(INDEX(properties!A$1:CB$87,'Fórmula'!F34,52))+(('Fórmula'!I34)/('Fórmula'!C34+'Fórmula'!E34+'Fórmula'!G34+'Fórmula'!I34+'Fórmula'!K34))*(INDEX(properties!A$1:CB$87,'Fórmula'!H34,52))+(('Fórmula'!K34)/('Fórmula'!C34+'Fórmula'!E34+'Fórmula'!G34+'Fórmula'!I34+'Fórmula'!K34))*(INDEX(properties!A$1:CB$87,'Fórmula'!J34,52))</f>
        <v>2.362</v>
      </c>
      <c r="EW34" s="114">
        <f t="array" ref="EW34">'Fórmula'!C34*(INDEX(properties!A$1:CB$87,'Fórmula'!B34,52))+'Fórmula'!E34*(INDEX(properties!A$1:CB$87,'Fórmula'!D34,52))+'Fórmula'!G34*(INDEX(properties!A$1:CB$87,'Fórmula'!F34,52))+'Fórmula'!I34*(INDEX(properties!A$1:CB$87,'Fórmula'!H34,52))+'Fórmula'!K34*(INDEX(properties!A$1:CB$87,'Fórmula'!J34,52))</f>
        <v>14.172</v>
      </c>
      <c r="EX34" s="114">
        <f t="array" ref="EX34">VARP(IF(INDEX(properties!A$1:CB$87,'Fórmula'!B34,52)&lt;&gt;"",INDEX(properties!A$1:CB$87,'Fórmula'!B34,52)),IF(INDEX(properties!A$1:CB$87,'Fórmula'!D34,52)&lt;&gt;"",INDEX(properties!A$1:CB$87,'Fórmula'!D34,52)),IF(INDEX(properties!A$1:CB$87,'Fórmula'!F34,52)&lt;&gt;"",INDEX(properties!A$1:CB$87,'Fórmula'!F34,52)),IF(INDEX(properties!A$1:CB$87,'Fórmula'!H34,52)&lt;&gt;"",INDEX(properties!A$1:CB$87,'Fórmula'!H34,52)),IF(INDEX(properties!A$1:CB$87,'Fórmula'!J34,52)&lt;&gt;"",INDEX(properties!A$1:CB$87,'Fórmula'!J34,52)))</f>
        <v>8.10677584</v>
      </c>
      <c r="EY34" s="114">
        <f t="array" ref="EY34">MAX(INDEX(properties!A$1:CB$87,'Fórmula'!B34,52),INDEX(properties!A$1:CB$87,'Fórmula'!D34,52),INDEX(properties!A$1:CB$87,'Fórmula'!F34,52),INDEX(properties!A$1:CB$87,'Fórmula'!H34,52),INDEX(properties!A$1:CB$87,'Fórmula'!J34,52))</f>
        <v>7.4</v>
      </c>
      <c r="EZ34" s="114">
        <f t="array" ref="EZ34">MIN(IF(INDEX(properties!A$1:CB$87,'Fórmula'!B34,52)=0,10^6,INDEX(properties!A$1:CB$87,'Fórmula'!B34,52)),IF(INDEX(properties!A$1:CB$87,'Fórmula'!D34,52)=0,10^6,INDEX(properties!A$1:CB$87,'Fórmula'!D34,52)),IF(INDEX(properties!A$1:CB$87,'Fórmula'!F34,52)=0,10^6,INDEX(properties!A$1:CB$87,'Fórmula'!F34,52)),IF(INDEX(properties!A$1:CB$87,'Fórmula'!H34,52)=0,10^6,INDEX(properties!A$1:CB$87,'Fórmula'!H34,52)),IF(INDEX(properties!A$1:CB$87,'Fórmula'!J34,52)=0,10^6,INDEX(properties!A$1:CB$87,'Fórmula'!J34,52)))</f>
        <v>0.793</v>
      </c>
      <c r="FA34" s="114">
        <f t="shared" si="26"/>
        <v>6.607</v>
      </c>
      <c r="FB34" s="115">
        <f t="array" ref="FB34">(('Fórmula'!C34)/('Fórmula'!C34+'Fórmula'!E34+'Fórmula'!G34+'Fórmula'!I34+'Fórmula'!K34))*(INDEX(properties!A$1:CB$87,'Fórmula'!B34,53))+(('Fórmula'!E34)/('Fórmula'!C34+'Fórmula'!E34+'Fórmula'!G34+'Fórmula'!I34+'Fórmula'!K34))*(INDEX(properties!A$1:CB$87,'Fórmula'!D34,53))+(('Fórmula'!G34)/('Fórmula'!C34+'Fórmula'!E34+'Fórmula'!G34+'Fórmula'!I34+'Fórmula'!K34))*(INDEX(properties!A$1:CB$87,'Fórmula'!F34,53))+(('Fórmula'!I34)/('Fórmula'!C34+'Fórmula'!E34+'Fórmula'!G34+'Fórmula'!I34+'Fórmula'!K34))*(INDEX(properties!A$1:CB$87,'Fórmula'!H34,53))+(('Fórmula'!K34)/('Fórmula'!C34+'Fórmula'!E34+'Fórmula'!G34+'Fórmula'!I34+'Fórmula'!K34))*(INDEX(properties!A$1:CB$87,'Fórmula'!J34,53))</f>
        <v>180.0666667</v>
      </c>
      <c r="FC34" s="115">
        <f t="array" ref="FC34">'Fórmula'!C34*(INDEX(properties!A$1:CB$87,'Fórmula'!B34,53))+'Fórmula'!E34*(INDEX(properties!A$1:CB$87,'Fórmula'!D34,53))+'Fórmula'!G34*(INDEX(properties!A$1:CB$87,'Fórmula'!F34,53))+'Fórmula'!I34*(INDEX(properties!A$1:CB$87,'Fórmula'!H34,53))+'Fórmula'!K34*(INDEX(properties!A$1:CB$87,'Fórmula'!J34,53))</f>
        <v>1080.4</v>
      </c>
      <c r="FD34" s="115">
        <f t="array" ref="FD34">VARP(IF(INDEX(properties!A$1:CB$87,'Fórmula'!B34,53)&lt;&gt;"",INDEX(properties!A$1:CB$87,'Fórmula'!B34,53)),IF(INDEX(properties!A$1:CB$87,'Fórmula'!D34,53)&lt;&gt;"",INDEX(properties!A$1:CB$87,'Fórmula'!D34,53)),IF(INDEX(properties!A$1:CB$87,'Fórmula'!F34,53)&lt;&gt;"",INDEX(properties!A$1:CB$87,'Fórmula'!F34,53)),IF(INDEX(properties!A$1:CB$87,'Fórmula'!H34,53)&lt;&gt;"",INDEX(properties!A$1:CB$87,'Fórmula'!H34,53)),IF(INDEX(properties!A$1:CB$87,'Fórmula'!J34,53)&lt;&gt;"",INDEX(properties!A$1:CB$87,'Fórmula'!J34,53)))</f>
        <v>46375.6366</v>
      </c>
      <c r="FE34" s="115">
        <f t="array" ref="FE34">MAX(INDEX(properties!A$1:CB$87,'Fórmula'!B34,53),INDEX(properties!A$1:CB$87,'Fórmula'!D34,53),INDEX(properties!A$1:CB$87,'Fórmula'!F34,53),INDEX(properties!A$1:CB$87,'Fórmula'!H34,53),INDEX(properties!A$1:CB$87,'Fórmula'!J34,53))</f>
        <v>544.15</v>
      </c>
      <c r="FF34" s="115">
        <f t="array" ref="FF34">MIN(IF(INDEX(properties!A$1:CB$87,'Fórmula'!B34,53)=0,10^6,INDEX(properties!A$1:CB$87,'Fórmula'!B34,53)),IF(INDEX(properties!A$1:CB$87,'Fórmula'!D34,53)=0,10^6,INDEX(properties!A$1:CB$87,'Fórmula'!D34,53)),IF(INDEX(properties!A$1:CB$87,'Fórmula'!F34,53)=0,10^6,INDEX(properties!A$1:CB$87,'Fórmula'!F34,53)),IF(INDEX(properties!A$1:CB$87,'Fórmula'!H34,53)=0,10^6,INDEX(properties!A$1:CB$87,'Fórmula'!H34,53)),IF(INDEX(properties!A$1:CB$87,'Fórmula'!J34,53)=0,10^6,INDEX(properties!A$1:CB$87,'Fórmula'!J34,53)))</f>
        <v>54.75</v>
      </c>
      <c r="FG34" s="115">
        <f t="shared" si="27"/>
        <v>489.4</v>
      </c>
      <c r="FH34" s="117">
        <f t="array" ref="FH34">(('Fórmula'!C34)/('Fórmula'!C34+'Fórmula'!E34+'Fórmula'!G34+'Fórmula'!I34+'Fórmula'!K34))*(INDEX(properties!A$1:CB$87,'Fórmula'!B34,54))+(('Fórmula'!E34)/('Fórmula'!C34+'Fórmula'!E34+'Fórmula'!G34+'Fórmula'!I34+'Fórmula'!K34))*(INDEX(properties!A$1:CB$87,'Fórmula'!D34,54))+(('Fórmula'!G34)/('Fórmula'!C34+'Fórmula'!E34+'Fórmula'!G34+'Fórmula'!I34+'Fórmula'!K34))*(INDEX(properties!A$1:CB$87,'Fórmula'!F34,54))+(('Fórmula'!I34)/('Fórmula'!C34+'Fórmula'!E34+'Fórmula'!G34+'Fórmula'!I34+'Fórmula'!K34))*(INDEX(properties!A$1:CB$87,'Fórmula'!H34,54))+(('Fórmula'!K34)/('Fórmula'!C34+'Fórmula'!E34+'Fórmula'!G34+'Fórmula'!I34+'Fórmula'!K34))*(INDEX(properties!A$1:CB$87,'Fórmula'!J34,54))</f>
        <v>457.8166667</v>
      </c>
      <c r="FI34" s="117">
        <f t="array" ref="FI34">'Fórmula'!C34*(INDEX(properties!A$1:CB$87,'Fórmula'!B34,54))+'Fórmula'!E34*(INDEX(properties!A$1:CB$87,'Fórmula'!D34,54))+'Fórmula'!G34*(INDEX(properties!A$1:CB$87,'Fórmula'!F34,54))+'Fórmula'!I34*(INDEX(properties!A$1:CB$87,'Fórmula'!H34,54))+'Fórmula'!K34*(INDEX(properties!A$1:CB$87,'Fórmula'!J34,54))</f>
        <v>2746.9</v>
      </c>
      <c r="FJ34" s="117">
        <f t="array" ref="FJ34">VARP(IF(INDEX(properties!A$1:CB$87,'Fórmula'!B34,54)&lt;&gt;"",INDEX(properties!A$1:CB$87,'Fórmula'!B34,54)),IF(INDEX(properties!A$1:CB$87,'Fórmula'!D34,54)&lt;&gt;"",INDEX(properties!A$1:CB$87,'Fórmula'!D34,54)),IF(INDEX(properties!A$1:CB$87,'Fórmula'!F34,54)&lt;&gt;"",INDEX(properties!A$1:CB$87,'Fórmula'!F34,54)),IF(INDEX(properties!A$1:CB$87,'Fórmula'!H34,54)&lt;&gt;"",INDEX(properties!A$1:CB$87,'Fórmula'!H34,54)),IF(INDEX(properties!A$1:CB$87,'Fórmula'!J34,54)&lt;&gt;"",INDEX(properties!A$1:CB$87,'Fórmula'!J34,54)))</f>
        <v>489595.9894</v>
      </c>
      <c r="FK34" s="117">
        <f t="array" ref="FK34">MAX(INDEX(properties!A$1:CB$87,'Fórmula'!B34,54),INDEX(properties!A$1:CB$87,'Fórmula'!D34,54),INDEX(properties!A$1:CB$87,'Fórmula'!F34,54),INDEX(properties!A$1:CB$87,'Fórmula'!H34,54),INDEX(properties!A$1:CB$87,'Fórmula'!J34,54))</f>
        <v>1833.15</v>
      </c>
      <c r="FL34" s="117">
        <f t="array" ref="FL34">MIN(IF(INDEX(properties!A$1:CB$87,'Fórmula'!B34,54)=0,10^6,INDEX(properties!A$1:CB$87,'Fórmula'!B34,54)),IF(INDEX(properties!A$1:CB$87,'Fórmula'!D34,54)=0,10^6,INDEX(properties!A$1:CB$87,'Fórmula'!D34,54)),IF(INDEX(properties!A$1:CB$87,'Fórmula'!F34,54)=0,10^6,INDEX(properties!A$1:CB$87,'Fórmula'!F34,54)),IF(INDEX(properties!A$1:CB$87,'Fórmula'!H34,54)=0,10^6,INDEX(properties!A$1:CB$87,'Fórmula'!H34,54)),IF(INDEX(properties!A$1:CB$87,'Fórmula'!J34,54)=0,10^6,INDEX(properties!A$1:CB$87,'Fórmula'!J34,54)))</f>
        <v>90.15</v>
      </c>
      <c r="FM34" s="117">
        <f t="shared" si="28"/>
        <v>1743</v>
      </c>
      <c r="FN34" s="118">
        <f t="array" ref="FN34">(('Fórmula'!C34)/('Fórmula'!C34+'Fórmula'!E34+'Fórmula'!G34+'Fórmula'!I34+'Fórmula'!K34))*(INDEX(properties!A$1:CB$87,'Fórmula'!B34,55))+(('Fórmula'!E34)/('Fórmula'!C34+'Fórmula'!E34+'Fórmula'!G34+'Fórmula'!I34+'Fórmula'!K34))*(INDEX(properties!A$1:CB$87,'Fórmula'!D34,55))+(('Fórmula'!G34)/('Fórmula'!C34+'Fórmula'!E34+'Fórmula'!G34+'Fórmula'!I34+'Fórmula'!K34))*(INDEX(properties!A$1:CB$87,'Fórmula'!F34,55))+(('Fórmula'!I34)/('Fórmula'!C34+'Fórmula'!E34+'Fórmula'!G34+'Fórmula'!I34+'Fórmula'!K34))*(INDEX(properties!A$1:CB$87,'Fórmula'!H34,55))+(('Fórmula'!K34)/('Fórmula'!C34+'Fórmula'!E34+'Fórmula'!G34+'Fórmula'!I34+'Fórmula'!K34))*(INDEX(properties!A$1:CB$87,'Fórmula'!J34,55))</f>
        <v>1.929286667</v>
      </c>
      <c r="FO34" s="118">
        <f t="array" ref="FO34">'Fórmula'!C34*(INDEX(properties!A$1:CB$87,'Fórmula'!B34,55))+'Fórmula'!E34*(INDEX(properties!A$1:CB$87,'Fórmula'!D34,54))+'Fórmula'!G34*(INDEX(properties!A$1:CB$87,'Fórmula'!F34,55))+'Fórmula'!I34*(INDEX(properties!A$1:CB$87,'Fórmula'!H34,55))+'Fórmula'!K34*(INDEX(properties!A$1:CB$87,'Fórmula'!J34,55))</f>
        <v>562.90572</v>
      </c>
      <c r="FP34" s="118">
        <f t="array" ref="FP34">VARP(IF(INDEX(properties!A$1:CB$87,'Fórmula'!B34,55)&lt;&gt;"",INDEX(properties!A$1:CB$87,'Fórmula'!B34,55)),IF(INDEX(properties!A$1:CB$87,'Fórmula'!D34,55)&lt;&gt;"",INDEX(properties!A$1:CB$87,'Fórmula'!D34,55)),IF(INDEX(properties!A$1:CB$87,'Fórmula'!F34,55)&lt;&gt;"",INDEX(properties!A$1:CB$87,'Fórmula'!F34,55)),IF(INDEX(properties!A$1:CB$87,'Fórmula'!H34,55)&lt;&gt;"",INDEX(properties!A$1:CB$87,'Fórmula'!H34,55)),IF(INDEX(properties!A$1:CB$87,'Fórmula'!J34,55)&lt;&gt;"",INDEX(properties!A$1:CB$87,'Fórmula'!J34,55)))</f>
        <v>14.31906072</v>
      </c>
      <c r="FQ34" s="118">
        <f t="array" ref="FQ34">MAX(INDEX(properties!A$1:CB$87,'Fórmula'!B34,55),INDEX(properties!A$1:CB$87,'Fórmula'!D34,55),INDEX(properties!A$1:CB$87,'Fórmula'!F34,55),INDEX(properties!A$1:CB$87,'Fórmula'!H34,55),INDEX(properties!A$1:CB$87,'Fórmula'!J34,55))</f>
        <v>9.75</v>
      </c>
      <c r="FR34" s="118">
        <f t="array" ref="FR34">MIN(IF(INDEX(properties!A$1:CB$87,'Fórmula'!B34,55)=0,10^6,INDEX(properties!A$1:CB$87,'Fórmula'!B34,55)),IF(INDEX(properties!A$1:CB$87,'Fórmula'!D34,55)=0,10^6,INDEX(properties!A$1:CB$87,'Fórmula'!D34,55)),IF(INDEX(properties!A$1:CB$87,'Fórmula'!F34,55)=0,10^6,INDEX(properties!A$1:CB$87,'Fórmula'!F34,55)),IF(INDEX(properties!A$1:CB$87,'Fórmula'!H34,55)=0,10^6,INDEX(properties!A$1:CB$87,'Fórmula'!H34,55)),IF(INDEX(properties!A$1:CB$87,'Fórmula'!J34,55)=0,10^6,INDEX(properties!A$1:CB$87,'Fórmula'!J34,55)))</f>
        <v>0.00143</v>
      </c>
      <c r="FS34" s="118">
        <f t="shared" si="29"/>
        <v>9.74857</v>
      </c>
      <c r="FT34" s="119">
        <f t="array" ref="FT34">(('Fórmula'!C34)/('Fórmula'!C34+'Fórmula'!E34+'Fórmula'!G34+'Fórmula'!I34+'Fórmula'!K34))*(INDEX(properties!A$1:CB$87,'Fórmula'!B34,56))+(('Fórmula'!E34)/('Fórmula'!C34+'Fórmula'!E34+'Fórmula'!G34+'Fórmula'!I34+'Fórmula'!K34))*(INDEX(properties!A$1:CB$87,'Fórmula'!D34,56))+(('Fórmula'!G34)/('Fórmula'!C34+'Fórmula'!E34+'Fórmula'!G34+'Fórmula'!I34+'Fórmula'!K34))*(INDEX(properties!A$1:CB$87,'Fórmula'!F34,56))+(('Fórmula'!I34)/('Fórmula'!C34+'Fórmula'!E34+'Fórmula'!G34+'Fórmula'!I34+'Fórmula'!K34))*(INDEX(properties!A$1:CB$87,'Fórmula'!H34,56))+(('Fórmula'!K34)/('Fórmula'!C34+'Fórmula'!E34+'Fórmula'!G34+'Fórmula'!I34+'Fórmula'!K34))*(INDEX(properties!A$1:CB$87,'Fórmula'!J34,56))</f>
        <v>0.7616666667</v>
      </c>
      <c r="FU34" s="119">
        <f t="array" ref="FU34">'Fórmula'!C34*(INDEX(properties!A$1:CB$87,'Fórmula'!B34,56))+'Fórmula'!E34*(INDEX(properties!A$1:CB$87,'Fórmula'!D34,56))+'Fórmula'!G34*(INDEX(properties!A$1:CB$87,'Fórmula'!F34,56))+'Fórmula'!I34*(INDEX(properties!A$1:CB$87,'Fórmula'!H34,56))+'Fórmula'!K34*(INDEX(properties!A$1:CB$87,'Fórmula'!J34,56))</f>
        <v>4.57</v>
      </c>
      <c r="FV34" s="119">
        <f t="array" ref="FV34">VARP(IF(INDEX(properties!A$1:CB$87,'Fórmula'!B34,56)&lt;&gt;"",INDEX(properties!A$1:CB$87,'Fórmula'!B34,56)),IF(INDEX(properties!A$1:CB$87,'Fórmula'!D34,56)&lt;&gt;"",INDEX(properties!A$1:CB$87,'Fórmula'!D34,56)),IF(INDEX(properties!A$1:CB$87,'Fórmula'!F34,56)&lt;&gt;"",INDEX(properties!A$1:CB$87,'Fórmula'!F34,56)),IF(INDEX(properties!A$1:CB$87,'Fórmula'!H34,56)&lt;&gt;"",INDEX(properties!A$1:CB$87,'Fórmula'!H34,56)),IF(INDEX(properties!A$1:CB$87,'Fórmula'!J34,56)&lt;&gt;"",INDEX(properties!A$1:CB$87,'Fórmula'!J34,56)))</f>
        <v>0.159696</v>
      </c>
      <c r="FW34" s="119">
        <f t="array" ref="FW34">MAX(INDEX(properties!A$1:CB$87,'Fórmula'!B34,56),INDEX(properties!A$1:CB$87,'Fórmula'!D34,56),INDEX(properties!A$1:CB$87,'Fórmula'!F34,56),INDEX(properties!A$1:CB$87,'Fórmula'!H34,56),INDEX(properties!A$1:CB$87,'Fórmula'!J34,56))</f>
        <v>0.92</v>
      </c>
      <c r="FX34" s="119">
        <f t="array" ref="FX34">MIN(IF(INDEX(properties!A$1:CB$87,'Fórmula'!B34,56)=0,10^6,INDEX(properties!A$1:CB$87,'Fórmula'!B34,56)),IF(INDEX(properties!A$1:CB$87,'Fórmula'!D34,56)=0,10^6,INDEX(properties!A$1:CB$87,'Fórmula'!D34,56)),IF(INDEX(properties!A$1:CB$87,'Fórmula'!F34,56)=0,10^6,INDEX(properties!A$1:CB$87,'Fórmula'!F34,56)),IF(INDEX(properties!A$1:CB$87,'Fórmula'!H34,56)=0,10^6,INDEX(properties!A$1:CB$87,'Fórmula'!H34,56)),IF(INDEX(properties!A$1:CB$87,'Fórmula'!J34,56)=0,10^6,INDEX(properties!A$1:CB$87,'Fórmula'!J34,56)))</f>
        <v>0.12</v>
      </c>
      <c r="FY34" s="119">
        <f t="shared" si="30"/>
        <v>0.8</v>
      </c>
      <c r="FZ34" s="104">
        <f t="array" ref="FZ34">(('Fórmula'!C34)/('Fórmula'!C34+'Fórmula'!E34+'Fórmula'!G34+'Fórmula'!I34+'Fórmula'!K34))*(INDEX(properties!A$1:CB$87,'Fórmula'!B34,57))+(('Fórmula'!E34)/('Fórmula'!C34+'Fórmula'!E34+'Fórmula'!G34+'Fórmula'!I34+'Fórmula'!K34))*(INDEX(properties!A$1:CB$87,'Fórmula'!D34,57))+(('Fórmula'!G34)/('Fórmula'!C34+'Fórmula'!E34+'Fórmula'!G34+'Fórmula'!I34+'Fórmula'!K34))*(INDEX(properties!A$1:CB$87,'Fórmula'!F34,57))+(('Fórmula'!I34)/('Fórmula'!C34+'Fórmula'!E34+'Fórmula'!G34+'Fórmula'!I34+'Fórmula'!K34))*(INDEX(properties!A$1:CB$87,'Fórmula'!H34,57))+(('Fórmula'!K34)/('Fórmula'!C34+'Fórmula'!E34+'Fórmula'!G34+'Fórmula'!I34+'Fórmula'!K34))*(INDEX(properties!A$1:CB$87,'Fórmula'!J34,57))</f>
        <v>2.141226667</v>
      </c>
      <c r="GA34" s="104">
        <f t="array" ref="GA34">'Fórmula'!C34*(INDEX(properties!A$1:CB$87,'Fórmula'!B34,57))+'Fórmula'!E34*(INDEX(properties!A$1:CB$87,'Fórmula'!D34,57))+'Fórmula'!G34*(INDEX(properties!A$1:CB$87,'Fórmula'!F34,57))+'Fórmula'!I34*(INDEX(properties!A$1:CB$87,'Fórmula'!H34,57))+'Fórmula'!K34*(INDEX(properties!A$1:CB$87,'Fórmula'!J34,57))</f>
        <v>12.84736</v>
      </c>
      <c r="GB34" s="104">
        <f t="array" ref="GB34">VARP(IF(INDEX(properties!A$1:CB$87,'Fórmula'!B34,57)&lt;&gt;"",INDEX(properties!A$1:CB$87,'Fórmula'!B34,57)),IF(INDEX(properties!A$1:CB$87,'Fórmula'!D34,57)&lt;&gt;"",INDEX(properties!A$1:CB$87,'Fórmula'!D34,57)),IF(INDEX(properties!A$1:CB$87,'Fórmula'!F34,57)&lt;&gt;"",INDEX(properties!A$1:CB$87,'Fórmula'!F34,57)),IF(INDEX(properties!A$1:CB$87,'Fórmula'!H34,57)&lt;&gt;"",INDEX(properties!A$1:CB$87,'Fórmula'!H34,57)),IF(INDEX(properties!A$1:CB$87,'Fórmula'!J34,57)&lt;&gt;"",INDEX(properties!A$1:CB$87,'Fórmula'!J34,57)))</f>
        <v>19.70054256</v>
      </c>
      <c r="GC34" s="104">
        <f t="array" ref="GC34">MAX(INDEX(properties!A$1:CB$87,'Fórmula'!B34,57),INDEX(properties!A$1:CB$87,'Fórmula'!D34,57),INDEX(properties!A$1:CB$87,'Fórmula'!F34,57),INDEX(properties!A$1:CB$87,'Fórmula'!H34,57),INDEX(properties!A$1:CB$87,'Fórmula'!J34,57))</f>
        <v>11.3</v>
      </c>
      <c r="GD34" s="104">
        <f t="array" ref="GD34">MIN(IF(INDEX(properties!A$1:CB$87,'Fórmula'!B34,57)=0,10^6,INDEX(properties!A$1:CB$87,'Fórmula'!B34,57)),IF(INDEX(properties!A$1:CB$87,'Fórmula'!D34,57)=0,10^6,INDEX(properties!A$1:CB$87,'Fórmula'!D34,57)),IF(INDEX(properties!A$1:CB$87,'Fórmula'!F34,57)=0,10^6,INDEX(properties!A$1:CB$87,'Fórmula'!F34,57)),IF(INDEX(properties!A$1:CB$87,'Fórmula'!H34,57)=0,10^6,INDEX(properties!A$1:CB$87,'Fórmula'!H34,57)),IF(INDEX(properties!A$1:CB$87,'Fórmula'!J34,57)=0,10^6,INDEX(properties!A$1:CB$87,'Fórmula'!J34,57)))</f>
        <v>0.22259</v>
      </c>
      <c r="GE34" s="104">
        <f t="shared" si="31"/>
        <v>11.07741</v>
      </c>
      <c r="GF34" s="105">
        <f t="array" ref="GF34">(('Fórmula'!C34)/('Fórmula'!C34+'Fórmula'!E34+'Fórmula'!G34+'Fórmula'!I34+'Fórmula'!K34))*(INDEX(properties!A$1:CB$87,'Fórmula'!B34,60))+(('Fórmula'!E34)/('Fórmula'!C34+'Fórmula'!E34+'Fórmula'!G34+'Fórmula'!I34+'Fórmula'!K34))*(INDEX(properties!A$1:CB$87,'Fórmula'!D34,60))+(('Fórmula'!G34)/('Fórmula'!C34+'Fórmula'!E34+'Fórmula'!G34+'Fórmula'!I34+'Fórmula'!K34))*(INDEX(properties!A$1:CB$87,'Fórmula'!F34,60))+(('Fórmula'!I34)/('Fórmula'!C34+'Fórmula'!E34+'Fórmula'!G34+'Fórmula'!I34+'Fórmula'!K34))*(INDEX(properties!A$1:CB$87,'Fórmula'!H34,60))+(('Fórmula'!K34)/('Fórmula'!C34+'Fórmula'!E34+'Fórmula'!G34+'Fórmula'!I34+'Fórmula'!K34))*(INDEX(properties!A$1:CB$87,'Fórmula'!J34,60))</f>
        <v>1.36866</v>
      </c>
      <c r="GG34" s="105">
        <f t="array" ref="GG34">'Fórmula'!C34*(INDEX(properties!A$1:CB$87,'Fórmula'!B34,60))+'Fórmula'!E34*(INDEX(properties!A$1:CB$87,'Fórmula'!D34,60))+'Fórmula'!G34*(INDEX(properties!A$1:CB$87,'Fórmula'!F34,60))+'Fórmula'!I34*(INDEX(properties!A$1:CB$87,'Fórmula'!H34,60))+'Fórmula'!K34*(INDEX(properties!A$1:CB$87,'Fórmula'!J34,60))</f>
        <v>8.21196</v>
      </c>
      <c r="GH34" s="105">
        <f t="array" ref="GH34">VARP(IF(INDEX(properties!A$1:CB$87,'Fórmula'!B34,60)&lt;&gt;"",INDEX(properties!A$1:CB$87,'Fórmula'!B34,60)),IF(INDEX(properties!A$1:CB$87,'Fórmula'!D34,60)&lt;&gt;"",INDEX(properties!A$1:CB$87,'Fórmula'!D34,60)),IF(INDEX(properties!A$1:CB$87,'Fórmula'!F34,60)&lt;&gt;"",INDEX(properties!A$1:CB$87,'Fórmula'!F34,60)),IF(INDEX(properties!A$1:CB$87,'Fórmula'!H34,60)&lt;&gt;"",INDEX(properties!A$1:CB$87,'Fórmula'!H34,60)),IF(INDEX(properties!A$1:CB$87,'Fórmula'!J34,60)&lt;&gt;"",INDEX(properties!A$1:CB$87,'Fórmula'!J34,60)))</f>
        <v>9.753560188</v>
      </c>
      <c r="GI34" s="105">
        <f t="array" ref="GI34">MAX(INDEX(properties!A$1:CB$87,'Fórmula'!B34,60),INDEX(properties!A$1:CB$87,'Fórmula'!D34,60),INDEX(properties!A$1:CB$87,'Fórmula'!F34,60),INDEX(properties!A$1:CB$87,'Fórmula'!H34,60),INDEX(properties!A$1:CB$87,'Fórmula'!J34,60))</f>
        <v>7.87</v>
      </c>
      <c r="GJ34" s="105">
        <f t="array" ref="GJ34">MIN(IF(INDEX(properties!A$1:CB$87,'Fórmula'!B34,60)=0,10^6,INDEX(properties!A$1:CB$87,'Fórmula'!B34,60)),IF(INDEX(properties!A$1:CB$87,'Fórmula'!D34,60)=0,10^6,INDEX(properties!A$1:CB$87,'Fórmula'!D34,60)),IF(INDEX(properties!A$1:CB$87,'Fórmula'!F34,60)=0,10^6,INDEX(properties!A$1:CB$87,'Fórmula'!F34,60)),IF(INDEX(properties!A$1:CB$87,'Fórmula'!H34,60)=0,10^6,INDEX(properties!A$1:CB$87,'Fórmula'!H34,60)),IF(INDEX(properties!A$1:CB$87,'Fórmula'!J34,60)=0,10^6,INDEX(properties!A$1:CB$87,'Fórmula'!J34,60)))</f>
        <v>0.02674</v>
      </c>
      <c r="GK34" s="105">
        <f t="shared" si="32"/>
        <v>7.84326</v>
      </c>
      <c r="GL34" s="106">
        <f t="array" ref="GL34">(('Fórmula'!C34)/('Fórmula'!C34+'Fórmula'!E34+'Fórmula'!G34+'Fórmula'!I34+'Fórmula'!K34))*(INDEX(properties!A$1:CB$87,'Fórmula'!B34,62))+(('Fórmula'!E34)/('Fórmula'!C34+'Fórmula'!E34+'Fórmula'!G34+'Fórmula'!I34+'Fórmula'!K34))*(INDEX(properties!A$1:CB$87,'Fórmula'!D34,62))+(('Fórmula'!G34)/('Fórmula'!C34+'Fórmula'!E34+'Fórmula'!G34+'Fórmula'!I34+'Fórmula'!K34))*(INDEX(properties!A$1:CB$87,'Fórmula'!F34,62))+(('Fórmula'!I34)/('Fórmula'!C34+'Fórmula'!E34+'Fórmula'!G34+'Fórmula'!I34+'Fórmula'!K34))*(INDEX(properties!A$1:CB$87,'Fórmula'!H34,62))+(('Fórmula'!K34)/('Fórmula'!C34+'Fórmula'!E34+'Fórmula'!G34+'Fórmula'!I34+'Fórmula'!K34))*(INDEX(properties!A$1:CB$87,'Fórmula'!J34,62))</f>
        <v>2.681666667</v>
      </c>
      <c r="GM34" s="106">
        <f t="array" ref="GM34">'Fórmula'!C34*(INDEX(properties!A$1:CB$87,'Fórmula'!B34,62))+'Fórmula'!E34*(INDEX(properties!A$1:CB$87,'Fórmula'!D34,62))+'Fórmula'!G34*(INDEX(properties!A$1:CB$87,'Fórmula'!F34,62))+'Fórmula'!I34*(INDEX(properties!A$1:CB$87,'Fórmula'!H34,62))+'Fórmula'!K34*(INDEX(properties!A$1:CB$87,'Fórmula'!J34,62))</f>
        <v>16.09</v>
      </c>
      <c r="GN34" s="106">
        <f t="array" ref="GN34">VARP(IF(INDEX(properties!A$1:CB$87,'Fórmula'!B34,62)&lt;&gt;"",INDEX(properties!A$1:CB$87,'Fórmula'!B34,62)),IF(INDEX(properties!A$1:CB$87,'Fórmula'!D34,62)&lt;&gt;"",INDEX(properties!A$1:CB$87,'Fórmula'!D34,62)),IF(INDEX(properties!A$1:CB$87,'Fórmula'!F34,62)&lt;&gt;"",INDEX(properties!A$1:CB$87,'Fórmula'!F34,62)),IF(INDEX(properties!A$1:CB$87,'Fórmula'!H34,62)&lt;&gt;"",INDEX(properties!A$1:CB$87,'Fórmula'!H34,62)),IF(INDEX(properties!A$1:CB$87,'Fórmula'!J34,62)&lt;&gt;"",INDEX(properties!A$1:CB$87,'Fórmula'!J34,62)))</f>
        <v>1.967024</v>
      </c>
      <c r="GO34" s="106">
        <f t="array" ref="GO34">MAX(INDEX(properties!A$1:CB$87,'Fórmula'!B34,62),INDEX(properties!A$1:CB$87,'Fórmula'!D34,62),INDEX(properties!A$1:CB$87,'Fórmula'!F34,62),INDEX(properties!A$1:CB$87,'Fórmula'!H34,62),INDEX(properties!A$1:CB$87,'Fórmula'!J34,62))</f>
        <v>3.43</v>
      </c>
      <c r="GP34" s="106">
        <f t="array" ref="GP34">MIN(IF(INDEX(properties!A$1:CB$87,'Fórmula'!B34,62)=0,10^6,INDEX(properties!A$1:CB$87,'Fórmula'!B34,62)),IF(INDEX(properties!A$1:CB$87,'Fórmula'!D34,62)=0,10^6,INDEX(properties!A$1:CB$87,'Fórmula'!D34,62)),IF(INDEX(properties!A$1:CB$87,'Fórmula'!F34,62)=0,10^6,INDEX(properties!A$1:CB$87,'Fórmula'!F34,62)),IF(INDEX(properties!A$1:CB$87,'Fórmula'!H34,62)=0,10^6,INDEX(properties!A$1:CB$87,'Fórmula'!H34,62)),IF(INDEX(properties!A$1:CB$87,'Fórmula'!J34,62)=0,10^6,INDEX(properties!A$1:CB$87,'Fórmula'!J34,62)))</f>
        <v>2.18</v>
      </c>
      <c r="GQ34" s="106">
        <f t="shared" si="33"/>
        <v>1.25</v>
      </c>
      <c r="GR34" s="106">
        <f>'Fórmula'!Q34</f>
        <v>11</v>
      </c>
      <c r="GS34" s="107">
        <f>'Fórmula'!P34</f>
        <v>6</v>
      </c>
      <c r="GT34" s="113">
        <f>'Fórmula'!O34</f>
        <v>6.33</v>
      </c>
      <c r="GU34" s="114">
        <f>AVERAGE('Fórmula'!R34/'Fórmula'!S34,'Fórmula'!S34/'Fórmula'!T34,'Fórmula'!T34/'Fórmula'!R34)</f>
        <v>1.05324475</v>
      </c>
      <c r="GV34" s="125">
        <f>'Fórmula'!U34</f>
        <v>159.42</v>
      </c>
      <c r="GW34" s="106">
        <f>'Fórmula'!N34</f>
        <v>0.15</v>
      </c>
    </row>
    <row r="35" ht="14.25" customHeight="1">
      <c r="A35" s="99" t="str">
        <f>'Fórmula'!A35</f>
        <v>CaWO4</v>
      </c>
      <c r="B35" s="101">
        <f t="array" ref="B35">(('Fórmula'!C35)/('Fórmula'!C35+'Fórmula'!E35+'Fórmula'!G35+'Fórmula'!I35+'Fórmula'!K35))*(INDEX(properties!A$1:CB$87,'Fórmula'!B35,3))+(('Fórmula'!E35)/('Fórmula'!C35+'Fórmula'!E35+'Fórmula'!G35+'Fórmula'!I35+'Fórmula'!K35))*(INDEX(properties!A$1:CB$87,'Fórmula'!D35,3))+(('Fórmula'!G35)/('Fórmula'!C35+'Fórmula'!E35+'Fórmula'!G35+'Fórmula'!I35+'Fórmula'!K35))*(INDEX(properties!A$1:CB$87,'Fórmula'!F35,3))+(('Fórmula'!I35)/('Fórmula'!C35+'Fórmula'!E35+'Fórmula'!G35+'Fórmula'!I35+'Fórmula'!K35))*(INDEX(properties!A$1:CB$87,'Fórmula'!H35,3))+(('Fórmula'!K35)/('Fórmula'!C35+'Fórmula'!E35+'Fórmula'!G35+'Fórmula'!I35+'Fórmula'!K35))*(INDEX(properties!A$1:CB$87,'Fórmula'!J35,3))</f>
        <v>47.98593333</v>
      </c>
      <c r="C35" s="101">
        <f t="array" ref="C35">'Fórmula'!C35*(INDEX(properties!A$1:CB$87,'Fórmula'!B35,3))+'Fórmula'!E35*(INDEX(properties!A$1:CB$87,'Fórmula'!D35,3))+'Fórmula'!G35*(INDEX(properties!A$1:CB$87,'Fórmula'!F35,3))+'Fórmula'!I35*(INDEX(properties!A$1:CB$87,'Fórmula'!H35,3))+'Fórmula'!K35*(INDEX(properties!A$1:CB$87,'Fórmula'!J35,3))</f>
        <v>287.9156</v>
      </c>
      <c r="D35" s="101">
        <f t="array" ref="D35">VARP(IF(INDEX(properties!A$1:CB$87,'Fórmula'!B35,3)&lt;&gt;"",INDEX(properties!A$1:CB$87,'Fórmula'!B35,3)),IF(INDEX(properties!A$1:CB$87,'Fórmula'!D35,3)&lt;&gt;"",INDEX(properties!A$1:CB$87,'Fórmula'!D35,3)),IF(INDEX(properties!A$1:CB$87,'Fórmula'!F35,3)&lt;&gt;"",INDEX(properties!A$1:CB$87,'Fórmula'!F35,3)),IF(INDEX(properties!A$1:CB$87,'Fórmula'!H35,3)&lt;&gt;"",INDEX(properties!A$1:CB$87,'Fórmula'!H35,3)),IF(INDEX(properties!A$1:CB$87,'Fórmula'!J35,3)&lt;&gt;"",INDEX(properties!A$1:CB$87,'Fórmula'!J35,3)))</f>
        <v>4829.460144</v>
      </c>
      <c r="E35" s="101">
        <f t="array" ref="E35">MAX(INDEX(properties!A$1:CB$87,'Fórmula'!B35,3),INDEX(properties!A$1:CB$87,'Fórmula'!D35,3),INDEX(properties!A$1:CB$87,'Fórmula'!F35,3),INDEX(properties!A$1:CB$87,'Fórmula'!H35,3),INDEX(properties!A$1:CB$87,'Fórmula'!J35,3))</f>
        <v>183.84</v>
      </c>
      <c r="F35" s="101">
        <f t="array" ref="F35">MIN(IF(INDEX(properties!A$1:CB$87,'Fórmula'!B35,3)=0,10^6,INDEX(properties!A$1:CB$87,'Fórmula'!B35,3)),IF(INDEX(properties!A$1:CB$87,'Fórmula'!D35,3)=0,10^6,INDEX(properties!A$1:CB$87,'Fórmula'!D35,3)),IF(INDEX(properties!A$1:CB$87,'Fórmula'!F35,3)=0,10^6,INDEX(properties!A$1:CB$87,'Fórmula'!F35,3)),IF(INDEX(properties!A$1:CB$87,'Fórmula'!H35,3)=0,10^6,INDEX(properties!A$1:CB$87,'Fórmula'!H35,3)),IF(INDEX(properties!A$1:CB$87,'Fórmula'!J35,3)=0,10^6,INDEX(properties!A$1:CB$87,'Fórmula'!J35,3)))</f>
        <v>15.9994</v>
      </c>
      <c r="G35" s="101">
        <f t="shared" si="1"/>
        <v>167.8406</v>
      </c>
      <c r="H35" s="102">
        <f t="array" ref="H35">(('Fórmula'!C35)/('Fórmula'!C35+'Fórmula'!E35+'Fórmula'!G35+'Fórmula'!I35+'Fórmula'!K35))*(INDEX(properties!A$1:CB$87,'Fórmula'!B35,4))+(('Fórmula'!E35)/('Fórmula'!C35+'Fórmula'!E35+'Fórmula'!G35+'Fórmula'!I35+'Fórmula'!K35))*(INDEX(properties!A$1:CB$87,'Fórmula'!D35,4))+(('Fórmula'!G35)/('Fórmula'!C35+'Fórmula'!E35+'Fórmula'!G35+'Fórmula'!I35+'Fórmula'!K35))*(INDEX(properties!A$1:CB$87,'Fórmula'!F35,4))+(('Fórmula'!I35)/('Fórmula'!C35+'Fórmula'!E35+'Fórmula'!G35+'Fórmula'!I35+'Fórmula'!K35))*(INDEX(properties!A$1:CB$87,'Fórmula'!H35,4))+(('Fórmula'!K35)/('Fórmula'!C35+'Fórmula'!E35+'Fórmula'!G35+'Fórmula'!I35+'Fórmula'!K35))*(INDEX(properties!A$1:CB$87,'Fórmula'!J35,4))</f>
        <v>21</v>
      </c>
      <c r="I35" s="102">
        <f t="array" ref="I35">'Fórmula'!C35*(INDEX(properties!A$1:CB$87,'Fórmula'!B35,4))+'Fórmula'!E35*(INDEX(properties!A$1:CB$87,'Fórmula'!D35,4))+'Fórmula'!G35*(INDEX(properties!A$1:CB$87,'Fórmula'!F35,4))+'Fórmula'!I35*(INDEX(properties!A$1:CB$87,'Fórmula'!H35,4))+'Fórmula'!K35*(INDEX(properties!A$1:CB$87,'Fórmula'!J35,4))</f>
        <v>126</v>
      </c>
      <c r="J35" s="102">
        <f t="array" ref="J35">VARP(IF(INDEX(properties!A$1:CB$87,'Fórmula'!B35,4)&lt;&gt;"",INDEX(properties!A$1:CB$87,'Fórmula'!B35,4)),IF(INDEX(properties!A$1:CB$87,'Fórmula'!D35,4)&lt;&gt;"",INDEX(properties!A$1:CB$87,'Fórmula'!D35,4)),IF(INDEX(properties!A$1:CB$87,'Fórmula'!F35,4)&lt;&gt;"",INDEX(properties!A$1:CB$87,'Fórmula'!F35,4)),IF(INDEX(properties!A$1:CB$87,'Fórmula'!H35,4)&lt;&gt;"",INDEX(properties!A$1:CB$87,'Fórmula'!H35,4)),IF(INDEX(properties!A$1:CB$87,'Fórmula'!J35,4)&lt;&gt;"",INDEX(properties!A$1:CB$87,'Fórmula'!J35,4)))</f>
        <v>771.84</v>
      </c>
      <c r="K35" s="102">
        <f t="array" ref="K35">MAX(INDEX(properties!A$1:CB$87,'Fórmula'!B35,4),INDEX(properties!A$1:CB$87,'Fórmula'!D35,4),INDEX(properties!A$1:CB$87,'Fórmula'!F35,4),INDEX(properties!A$1:CB$87,'Fórmula'!H35,4),INDEX(properties!A$1:CB$87,'Fórmula'!J35,4))</f>
        <v>74</v>
      </c>
      <c r="L35" s="102">
        <f t="array" ref="L35">MIN(IF(INDEX(properties!A$1:CB$87,'Fórmula'!B35,4)=0,10^6,INDEX(properties!A$1:CB$87,'Fórmula'!B35,4)),IF(INDEX(properties!A$1:CB$87,'Fórmula'!D35,4)=0,10^6,INDEX(properties!A$1:CB$87,'Fórmula'!D35,4)),IF(INDEX(properties!A$1:CB$87,'Fórmula'!F35,4)=0,10^6,INDEX(properties!A$1:CB$87,'Fórmula'!F35,4)),IF(INDEX(properties!A$1:CB$87,'Fórmula'!H35,4)=0,10^6,INDEX(properties!A$1:CB$87,'Fórmula'!H35,4)),IF(INDEX(properties!A$1:CB$87,'Fórmula'!J35,4)=0,10^6,INDEX(properties!A$1:CB$87,'Fórmula'!J35,4)))</f>
        <v>8</v>
      </c>
      <c r="M35" s="102">
        <f t="shared" si="2"/>
        <v>66</v>
      </c>
      <c r="N35" s="103">
        <f t="array" ref="N35">(('Fórmula'!C35)/('Fórmula'!C35+'Fórmula'!E35+'Fórmula'!G35+'Fórmula'!I35+'Fórmula'!K35))*(INDEX(properties!A$1:CB$87,'Fórmula'!B35,5))+(('Fórmula'!E35)/('Fórmula'!C35+'Fórmula'!E35+'Fórmula'!G35+'Fórmula'!I35+'Fórmula'!K35))*(INDEX(properties!A$1:CB$87,'Fórmula'!D35,5))+(('Fórmula'!G35)/('Fórmula'!C35+'Fórmula'!E35+'Fórmula'!G35+'Fórmula'!I35+'Fórmula'!K35))*(INDEX(properties!A$1:CB$87,'Fórmula'!F35,5))+(('Fórmula'!I35)/('Fórmula'!C35+'Fórmula'!E35+'Fórmula'!G35+'Fórmula'!I35+'Fórmula'!K35))*(INDEX(properties!A$1:CB$87,'Fórmula'!H35,5))+(('Fórmula'!K35)/('Fórmula'!C35+'Fórmula'!E35+'Fórmula'!G35+'Fórmula'!I35+'Fórmula'!K35))*(INDEX(properties!A$1:CB$87,'Fórmula'!J35,5))</f>
        <v>3</v>
      </c>
      <c r="O35" s="103">
        <f t="array" ref="O35">'Fórmula'!C35*(INDEX(properties!A$1:CB$87,'Fórmula'!B35,5))+'Fórmula'!E35*(INDEX(properties!A$1:CB$87,'Fórmula'!D35,5))+'Fórmula'!G35*(INDEX(properties!A$1:CB$87,'Fórmula'!F35,5))+'Fórmula'!I35*(INDEX(properties!A$1:CB$87,'Fórmula'!H35,5))+'Fórmula'!K35*(INDEX(properties!A$1:CB$87,'Fórmula'!J35,5))</f>
        <v>18</v>
      </c>
      <c r="P35" s="103">
        <f t="array" ref="P35">VARP(IF(INDEX(properties!A$1:CB$87,'Fórmula'!B35,5)&lt;&gt;"",INDEX(properties!A$1:CB$87,'Fórmula'!B35,5)),IF(INDEX(properties!A$1:CB$87,'Fórmula'!D35,5)&lt;&gt;"",INDEX(properties!A$1:CB$87,'Fórmula'!D35,5)),IF(INDEX(properties!A$1:CB$87,'Fórmula'!F35,5)&lt;&gt;"",INDEX(properties!A$1:CB$87,'Fórmula'!F35,5)),IF(INDEX(properties!A$1:CB$87,'Fórmula'!H35,5)&lt;&gt;"",INDEX(properties!A$1:CB$87,'Fórmula'!H35,5)),IF(INDEX(properties!A$1:CB$87,'Fórmula'!J35,5)&lt;&gt;"",INDEX(properties!A$1:CB$87,'Fórmula'!J35,5)))</f>
        <v>5.44</v>
      </c>
      <c r="Q35" s="103">
        <f t="array" ref="Q35">MAX(INDEX(properties!A$1:CB$87,'Fórmula'!B35,5),INDEX(properties!A$1:CB$87,'Fórmula'!D35,5),INDEX(properties!A$1:CB$87,'Fórmula'!F35,5),INDEX(properties!A$1:CB$87,'Fórmula'!H35,5),INDEX(properties!A$1:CB$87,'Fórmula'!J35,5))</f>
        <v>6</v>
      </c>
      <c r="R35" s="103">
        <f t="array" ref="R35">MIN(IF(INDEX(properties!A$1:CB$87,'Fórmula'!B35,5)=0,10^6,INDEX(properties!A$1:CB$87,'Fórmula'!B35,5)),IF(INDEX(properties!A$1:CB$87,'Fórmula'!D35,5)=0,10^6,INDEX(properties!A$1:CB$87,'Fórmula'!D35,5)),IF(INDEX(properties!A$1:CB$87,'Fórmula'!F35,5)=0,10^6,INDEX(properties!A$1:CB$87,'Fórmula'!F35,5)),IF(INDEX(properties!A$1:CB$87,'Fórmula'!H35,5)=0,10^6,INDEX(properties!A$1:CB$87,'Fórmula'!H35,5)),IF(INDEX(properties!A$1:CB$87,'Fórmula'!J35,5)=0,10^6,INDEX(properties!A$1:CB$87,'Fórmula'!J35,5)))</f>
        <v>2</v>
      </c>
      <c r="S35" s="103">
        <f t="shared" si="3"/>
        <v>4</v>
      </c>
      <c r="T35" s="104">
        <f t="array" ref="T35">(('Fórmula'!C35)/('Fórmula'!C35+'Fórmula'!E35+'Fórmula'!G35+'Fórmula'!I35+'Fórmula'!K35))*(INDEX(properties!A$1:CB$87,'Fórmula'!B35,6))+(('Fórmula'!E35)/('Fórmula'!C35+'Fórmula'!E35+'Fórmula'!G35+'Fórmula'!I35+'Fórmula'!K35))*(INDEX(properties!A$1:CB$87,'Fórmula'!D35,6))+(('Fórmula'!G35)/('Fórmula'!C35+'Fórmula'!E35+'Fórmula'!G35+'Fórmula'!I35+'Fórmula'!K35))*(INDEX(properties!A$1:CB$87,'Fórmula'!F35,6))+(('Fórmula'!I35)/('Fórmula'!C35+'Fórmula'!E35+'Fórmula'!G35+'Fórmula'!I35+'Fórmula'!K35))*(INDEX(properties!A$1:CB$87,'Fórmula'!H35,6))+(('Fórmula'!K35)/('Fórmula'!C35+'Fórmula'!E35+'Fórmula'!G35+'Fórmula'!I35+'Fórmula'!K35))*(INDEX(properties!A$1:CB$87,'Fórmula'!J35,6))</f>
        <v>12</v>
      </c>
      <c r="U35" s="104">
        <f t="array" ref="U35">'Fórmula'!C35*(INDEX(properties!A$1:CB$87,'Fórmula'!B35,6))+'Fórmula'!E35*(INDEX(properties!A$1:CB$87,'Fórmula'!D35,6))+'Fórmula'!G35*(INDEX(properties!A$1:CB$87,'Fórmula'!F35,6))+'Fórmula'!I35*(INDEX(properties!A$1:CB$87,'Fórmula'!H35,6))+'Fórmula'!K35*(INDEX(properties!A$1:CB$87,'Fórmula'!J35,6))</f>
        <v>72</v>
      </c>
      <c r="V35" s="103">
        <f t="array" ref="V35">VARP(IF(INDEX(properties!A$1:CB$87,'Fórmula'!B35,6)&lt;&gt;"",INDEX(properties!A$1:CB$87,'Fórmula'!B35,6)),IF(INDEX(properties!A$1:CB$87,'Fórmula'!D35,6)&lt;&gt;"",INDEX(properties!A$1:CB$87,'Fórmula'!D35,6)),IF(INDEX(properties!A$1:CB$87,'Fórmula'!F35,6)&lt;&gt;"",INDEX(properties!A$1:CB$87,'Fórmula'!F35,6)),IF(INDEX(properties!A$1:CB$87,'Fórmula'!H35,6)&lt;&gt;"",INDEX(properties!A$1:CB$87,'Fórmula'!H35,6)),IF(INDEX(properties!A$1:CB$87,'Fórmula'!J35,6)&lt;&gt;"",INDEX(properties!A$1:CB$87,'Fórmula'!J35,6)))</f>
        <v>36.16</v>
      </c>
      <c r="W35" s="104">
        <f t="array" ref="W35">MAX(INDEX(properties!A$1:CB$87,'Fórmula'!B35,6),INDEX(properties!A$1:CB$87,'Fórmula'!D35,6),INDEX(properties!A$1:CB$87,'Fórmula'!F35,6),INDEX(properties!A$1:CB$87,'Fórmula'!H35,4),INDEX(properties!A$1:CB$87,'Fórmula'!J35,6))</f>
        <v>16</v>
      </c>
      <c r="X35" s="104">
        <f t="array" ref="X35">MIN(IF(INDEX(properties!A$1:CB$87,'Fórmula'!B35,6)=0,10^6,INDEX(properties!A$1:CB$87,'Fórmula'!B35,6)),IF(INDEX(properties!A$1:CB$87,'Fórmula'!D35,6)=0,10^6,INDEX(properties!A$1:CB$87,'Fórmula'!D35,6)),IF(INDEX(properties!A$1:CB$87,'Fórmula'!F35,6)=0,10^6,INDEX(properties!A$1:CB$87,'Fórmula'!F35,6)),IF(INDEX(properties!A$1:CB$87,'Fórmula'!H35,6)=0,10^6,INDEX(properties!A$1:CB$87,'Fórmula'!H35,6)),IF(INDEX(properties!A$1:CB$87,'Fórmula'!J35,6)=0,10^6,INDEX(properties!A$1:CB$87,'Fórmula'!J35,6)))</f>
        <v>2</v>
      </c>
      <c r="Y35" s="104">
        <f t="shared" si="4"/>
        <v>14</v>
      </c>
      <c r="Z35" s="105">
        <f t="array" ref="Z35">(('Fórmula'!C35)/('Fórmula'!C35+'Fórmula'!E35+'Fórmula'!G35+'Fórmula'!I35+'Fórmula'!K35))*(INDEX(properties!A$1:CB$87,'Fórmula'!B35,9))+(('Fórmula'!E35)/('Fórmula'!C35+'Fórmula'!E35+'Fórmula'!G35+'Fórmula'!I35+'Fórmula'!K35))*(INDEX(properties!A$1:CB$87,'Fórmula'!D35,9))+(('Fórmula'!G35)/('Fórmula'!C35+'Fórmula'!E35+'Fórmula'!G35+'Fórmula'!I35+'Fórmula'!K35))*(INDEX(properties!A$1:CB$87,'Fórmula'!F35,9))+(('Fórmula'!I35)/('Fórmula'!C35+'Fórmula'!E35+'Fórmula'!G35+'Fórmula'!I35+'Fórmula'!K35))*(INDEX(properties!A$1:CB$87,'Fórmula'!H35,9))+(('Fórmula'!K35)/('Fórmula'!C35+'Fórmula'!E35+'Fórmula'!G35+'Fórmula'!I35+'Fórmula'!K35))*(INDEX(properties!A$1:CB$87,'Fórmula'!J35,9))</f>
        <v>67.66666667</v>
      </c>
      <c r="AA35" s="105">
        <f t="array" ref="AA35">'Fórmula'!C35*(INDEX(properties!A$1:CB$87,'Fórmula'!B35,9))+'Fórmula'!E35*(INDEX(properties!A$1:CB$87,'Fórmula'!D35,9))+'Fórmula'!G35*(INDEX(properties!A$1:CB$87,'Fórmula'!F35,9))+'Fórmula'!I35*(INDEX(properties!A$1:CB$87,'Fórmula'!H35,9))+'Fórmula'!K35*(INDEX(properties!A$1:CB$87,'Fórmula'!J35,9))</f>
        <v>406</v>
      </c>
      <c r="AB35" s="105">
        <f t="array" ref="AB35">VARP(IF(INDEX(properties!A$1:CB$87,'Fórmula'!B35,9)&lt;&gt;"",INDEX(properties!A$1:CB$87,'Fórmula'!B35,9)),IF(INDEX(properties!A$1:CB$87,'Fórmula'!D35,9)&lt;&gt;"",INDEX(properties!A$1:CB$87,'Fórmula'!D35,9)),IF(INDEX(properties!A$1:CB$87,'Fórmula'!F35,9)&lt;&gt;"",INDEX(properties!A$1:CB$87,'Fórmula'!F35,9)),IF(INDEX(properties!A$1:CB$87,'Fórmula'!H35,9)&lt;&gt;"",INDEX(properties!A$1:CB$87,'Fórmula'!H35,9)),IF(INDEX(properties!A$1:CB$87,'Fórmula'!J35,9)&lt;&gt;"",INDEX(properties!A$1:CB$87,'Fórmula'!J35,9)))</f>
        <v>1202.8</v>
      </c>
      <c r="AC35" s="105">
        <f t="array" ref="AC35">MAX(INDEX(properties!A$1:CB$87,'Fórmula'!B35,9),INDEX(properties!A$1:CB$87,'Fórmula'!D35,9),INDEX(properties!A$1:CB$87,'Fórmula'!F35,9),INDEX(properties!A$1:CB$87,'Fórmula'!H35,9),INDEX(properties!A$1:CB$87,'Fórmula'!J35,9))</f>
        <v>87</v>
      </c>
      <c r="AD35" s="105">
        <f t="array" ref="AD35">MIN(IF(INDEX(properties!A$1:CB$87,'Fórmula'!B35,9)=0,10^6,INDEX(properties!A$1:CB$87,'Fórmula'!B35,9)),IF(INDEX(properties!A$1:CB$87,'Fórmula'!D35,9)=0,10^6,INDEX(properties!A$1:CB$87,'Fórmula'!D35,9)),IF(INDEX(properties!A$1:CB$87,'Fórmula'!F35,9)=0,10^6,INDEX(properties!A$1:CB$87,'Fórmula'!F35,9)),IF(INDEX(properties!A$1:CB$87,'Fórmula'!H35,9)=0,10^6,INDEX(properties!A$1:CB$87,'Fórmula'!H35,9)),IF(INDEX(properties!A$1:CB$87,'Fórmula'!J35,9)=0,10^6,INDEX(properties!A$1:CB$87,'Fórmula'!J35,9)))</f>
        <v>7</v>
      </c>
      <c r="AE35" s="105">
        <f t="shared" si="5"/>
        <v>80</v>
      </c>
      <c r="AF35" s="106">
        <f t="array" ref="AF35">(('Fórmula'!C35)/('Fórmula'!C35+'Fórmula'!E35+'Fórmula'!G35+'Fórmula'!I35+'Fórmula'!K35))*(INDEX(properties!A$1:CB$87,'Fórmula'!B35,10))+(('Fórmula'!E35)/('Fórmula'!C35+'Fórmula'!E35+'Fórmula'!G35+'Fórmula'!I35+'Fórmula'!K35))*(INDEX(properties!A$1:CB$87,'Fórmula'!D35,10))+(('Fórmula'!G35)/('Fórmula'!C35+'Fórmula'!E35+'Fórmula'!G35+'Fórmula'!I35+'Fórmula'!K35))*(INDEX(properties!A$1:CB$87,'Fórmula'!F35,10))+(('Fórmula'!I35)/('Fórmula'!C35+'Fórmula'!E35+'Fórmula'!G35+'Fórmula'!I35+'Fórmula'!K35))*(INDEX(properties!A$1:CB$87,'Fórmula'!H35,10))+(('Fórmula'!K35)/('Fórmula'!C35+'Fórmula'!E35+'Fórmula'!G35+'Fórmula'!I35+'Fórmula'!K35))*(INDEX(properties!A$1:CB$87,'Fórmula'!J35,10))</f>
        <v>5.666666667</v>
      </c>
      <c r="AG35" s="106">
        <f t="array" ref="AG35">'Fórmula'!C35*(INDEX(properties!A$1:CB$87,'Fórmula'!B35,10))+'Fórmula'!E35*(INDEX(properties!A$1:CB$87,'Fórmula'!D35,10))+'Fórmula'!G35*(INDEX(properties!A$1:CB$87,'Fórmula'!F35,10))+'Fórmula'!I35*(INDEX(properties!A$1:CB$87,'Fórmula'!H35,10))+'Fórmula'!K35*(INDEX(properties!A$1:CB$87,'Fórmula'!J35,10))</f>
        <v>34</v>
      </c>
      <c r="AH35" s="106">
        <f t="array" ref="AH35">VARP(IF(INDEX(properties!A$1:CB$87,'Fórmula'!B35,10)&lt;&gt;"",INDEX(properties!A$1:CB$87,'Fórmula'!B35,10)),IF(INDEX(properties!A$1:CB$87,'Fórmula'!D35,10)&lt;&gt;"",INDEX(properties!A$1:CB$87,'Fórmula'!D35,10)),IF(INDEX(properties!A$1:CB$87,'Fórmula'!F35,10)&lt;&gt;"",INDEX(properties!A$1:CB$87,'Fórmula'!F35,10)),IF(INDEX(properties!A$1:CB$87,'Fórmula'!H35,10)&lt;&gt;"",INDEX(properties!A$1:CB$87,'Fórmula'!H35,10)),IF(INDEX(properties!A$1:CB$87,'Fórmula'!J35,10)&lt;&gt;"",INDEX(properties!A$1:CB$87,'Fórmula'!J35,10)))</f>
        <v>7.04</v>
      </c>
      <c r="AI35" s="106">
        <f t="array" ref="AI35">MAX(INDEX(properties!A$1:CB$87,'Fórmula'!B35,10),INDEX(properties!A$1:CB$87,'Fórmula'!D35,10),INDEX(properties!A$1:CB$87,'Fórmula'!F35,10),INDEX(properties!A$1:CB$87,'Fórmula'!H35,10),INDEX(properties!A$1:CB$87,'Fórmula'!J35,10))</f>
        <v>7</v>
      </c>
      <c r="AJ35" s="106">
        <f t="array" ref="AJ35">MIN(IF(INDEX(properties!A$1:CB$87,'Fórmula'!B35,10)=0,10^6,INDEX(properties!A$1:CB$87,'Fórmula'!B35,10)),IF(INDEX(properties!A$1:CB$87,'Fórmula'!D35,10)=0,10^6,INDEX(properties!A$1:CB$87,'Fórmula'!D35,10)),IF(INDEX(properties!A$1:CB$87,'Fórmula'!F35,10)=0,10^6,INDEX(properties!A$1:CB$87,'Fórmula'!F35,10)),IF(INDEX(properties!A$1:CB$87,'Fórmula'!H35,10)=0,10^6,INDEX(properties!A$1:CB$87,'Fórmula'!H35,10)),IF(INDEX(properties!A$1:CB$87,'Fórmula'!J35,10)=0,10^6,INDEX(properties!A$1:CB$87,'Fórmula'!J35,10)))</f>
        <v>2</v>
      </c>
      <c r="AK35" s="106">
        <f t="shared" si="6"/>
        <v>5</v>
      </c>
      <c r="AL35" s="107">
        <f t="array" ref="AL35">(('Fórmula'!C35)/('Fórmula'!C35+'Fórmula'!E35+'Fórmula'!G35+'Fórmula'!I35+'Fórmula'!K35))*(INDEX(properties!A$1:CB$87,'Fórmula'!B35,11))+(('Fórmula'!E35)/('Fórmula'!C35+'Fórmula'!E35+'Fórmula'!G35+'Fórmula'!I35+'Fórmula'!K35))*(INDEX(properties!A$1:CB$87,'Fórmula'!D35,11))+(('Fórmula'!G35)/('Fórmula'!C35+'Fórmula'!E35+'Fórmula'!G35+'Fórmula'!I35+'Fórmula'!K35))*(INDEX(properties!A$1:CB$87,'Fórmula'!F35,11))+(('Fórmula'!I35)/('Fórmula'!C35+'Fórmula'!E35+'Fórmula'!G35+'Fórmula'!I35+'Fórmula'!K35))*(INDEX(properties!A$1:CB$87,'Fórmula'!H35,11))+(('Fórmula'!K35)/('Fórmula'!C35+'Fórmula'!E35+'Fórmula'!G35+'Fórmula'!I35+'Fórmula'!K35))*(INDEX(properties!A$1:CB$87,'Fórmula'!J35,11))</f>
        <v>2</v>
      </c>
      <c r="AM35" s="107">
        <f t="array" ref="AM35">'Fórmula'!C35*(INDEX(properties!A$1:CB$87,'Fórmula'!B35,11))+'Fórmula'!E35*(INDEX(properties!A$1:CB$87,'Fórmula'!D35,11))+'Fórmula'!G35*(INDEX(properties!A$1:CB$87,'Fórmula'!F35,11))+'Fórmula'!I35*(INDEX(properties!A$1:CB$87,'Fórmula'!H35,11))+'Fórmula'!K35*(INDEX(properties!A$1:CB$87,'Fórmula'!J35,11))</f>
        <v>12</v>
      </c>
      <c r="AN35" s="107">
        <f t="array" ref="AN35">VARP(IF(INDEX(properties!A$1:CB$87,'Fórmula'!B35,11)&lt;&gt;"",INDEX(properties!A$1:CB$87,'Fórmula'!B35,11)),IF(INDEX(properties!A$1:CB$87,'Fórmula'!D35,11)&lt;&gt;"",INDEX(properties!A$1:CB$87,'Fórmula'!D35,11)),IF(INDEX(properties!A$1:CB$87,'Fórmula'!F35,11)&lt;&gt;"",INDEX(properties!A$1:CB$87,'Fórmula'!F35,11)),IF(INDEX(properties!A$1:CB$87,'Fórmula'!H35,11)&lt;&gt;"",INDEX(properties!A$1:CB$87,'Fórmula'!H35,11)),IF(INDEX(properties!A$1:CB$87,'Fórmula'!J35,11)&lt;&gt;"",INDEX(properties!A$1:CB$87,'Fórmula'!J35,11)))</f>
        <v>0.96</v>
      </c>
      <c r="AO35" s="107">
        <f t="array" ref="AO35">MAX(INDEX(properties!A$1:CB$87,'Fórmula'!B35,11),INDEX(properties!A$1:CB$87,'Fórmula'!D35,11),INDEX(properties!A$1:CB$87,'Fórmula'!F35,11),INDEX(properties!A$1:CB$87,'Fórmula'!H35,11),INDEX(properties!A$1:CB$87,'Fórmula'!J35,11))</f>
        <v>2</v>
      </c>
      <c r="AP35" s="107">
        <f t="array" ref="AP35">MIN(IF('Fórmula'!B35=87,10^6,INDEX(properties!A$1:CB$87,'Fórmula'!B35,11)),IF(('Fórmula'!D35)=87,10^6,INDEX(properties!A$1:CB$87,'Fórmula'!D35,11)),IF(('Fórmula'!F35)=87,10^6,INDEX(properties!A$1:CB$87,'Fórmula'!F35,11)),IF(('Fórmula'!H35)=87,10^6,INDEX(properties!A$1:CB$87,'Fórmula'!H35,11)),IF('Fórmula'!J35=87,10^6,INDEX(properties!A$1:CB$87,'Fórmula'!J35,11)))</f>
        <v>2</v>
      </c>
      <c r="AQ35" s="107">
        <f t="shared" si="7"/>
        <v>0</v>
      </c>
      <c r="AR35" s="108">
        <f t="array" ref="AR35">(('Fórmula'!C35)/('Fórmula'!C35+'Fórmula'!E35+'Fórmula'!G35+'Fórmula'!I35+'Fórmula'!K35))*(INDEX(properties!A$1:CB$87,'Fórmula'!B35,12))+(('Fórmula'!E35)/('Fórmula'!C35+'Fórmula'!E35+'Fórmula'!G35+'Fórmula'!I35+'Fórmula'!K35))*(INDEX(properties!A$1:CB$87,'Fórmula'!D35,12))+(('Fórmula'!G35)/('Fórmula'!C35+'Fórmula'!E35+'Fórmula'!G35+'Fórmula'!I35+'Fórmula'!K35))*(INDEX(properties!A$1:CB$87,'Fórmula'!F35,12))+(('Fórmula'!I35)/('Fórmula'!C35+'Fórmula'!E35+'Fórmula'!G35+'Fórmula'!I35+'Fórmula'!K35))*(INDEX(properties!A$1:CB$87,'Fórmula'!H35,12))+(('Fórmula'!K35)/('Fórmula'!C35+'Fórmula'!E35+'Fórmula'!G35+'Fórmula'!I35+'Fórmula'!K35))*(INDEX(properties!A$1:CB$87,'Fórmula'!J35,12))</f>
        <v>2.666666667</v>
      </c>
      <c r="AS35" s="108">
        <f t="array" ref="AS35">'Fórmula'!C35*(INDEX(properties!A$1:CB$87,'Fórmula'!B35,12))+'Fórmula'!E35*(INDEX(properties!A$1:CB$87,'Fórmula'!D35,12))+'Fórmula'!G35*(INDEX(properties!A$1:CB$87,'Fórmula'!F35,12))+'Fórmula'!I35*(INDEX(properties!A$1:CB$87,'Fórmula'!H35,12))+'Fórmula'!K35*(INDEX(properties!A$1:CB$87,'Fórmula'!J35,12))</f>
        <v>16</v>
      </c>
      <c r="AT35" s="108">
        <f t="array" ref="AT35">VARP(IF(INDEX(properties!A$1:CB$87,'Fórmula'!B35,12)&lt;&gt;"",INDEX(properties!A$1:CB$87,'Fórmula'!B35,12)),IF(INDEX(properties!A$1:CB$87,'Fórmula'!D35,12)&lt;&gt;"",INDEX(properties!A$1:CB$87,'Fórmula'!D35,12)),IF(INDEX(properties!A$1:CB$87,'Fórmula'!F35,12)&lt;&gt;"",INDEX(properties!A$1:CB$87,'Fórmula'!F35,12)),IF(INDEX(properties!A$1:CB$87,'Fórmula'!H35,12)&lt;&gt;"",INDEX(properties!A$1:CB$87,'Fórmula'!H35,12)),IF(INDEX(properties!A$1:CB$87,'Fórmula'!J35,12)&lt;&gt;"",INDEX(properties!A$1:CB$87,'Fórmula'!J35,12)))</f>
        <v>2.56</v>
      </c>
      <c r="AU35" s="108">
        <f t="array" ref="AU35">MAX(INDEX(properties!A$1:CB$87,'Fórmula'!B35,12),INDEX(properties!A$1:CB$87,'Fórmula'!D35,12),INDEX(properties!A$1:CB$87,'Fórmula'!F35,12),INDEX(properties!A$1:CB$87,'Fórmula'!H35,12),INDEX(properties!A$1:CB$87,'Fórmula'!J35,12))</f>
        <v>4</v>
      </c>
      <c r="AV35" s="108">
        <f t="array" ref="AV35">MIN(IF('Fórmula'!B35=87,10^6,INDEX(properties!A$1:CB$87,'Fórmula'!B35,12)),IF(('Fórmula'!D35)=87,10^6,INDEX(properties!A$1:CB$87,'Fórmula'!D35,12)),IF(('Fórmula'!F35)=87,10^6,INDEX(properties!A$1:CB$87,'Fórmula'!F35,12)),IF(('Fórmula'!H35)=87,10^6,INDEX(properties!A$1:CB$87,'Fórmula'!H35,12)),IF('Fórmula'!J35=87,10^6,INDEX(properties!A$1:CB$87,'Fórmula'!J35,12)))</f>
        <v>0</v>
      </c>
      <c r="AW35" s="108">
        <f t="shared" si="8"/>
        <v>4</v>
      </c>
      <c r="AX35" s="109">
        <f t="array" ref="AX35">(('Fórmula'!C35)/('Fórmula'!C35+'Fórmula'!E35+'Fórmula'!G35+'Fórmula'!I35+'Fórmula'!K35))*(INDEX(properties!A$1:CB$87,'Fórmula'!B35,13))+(('Fórmula'!E35)/('Fórmula'!C35+'Fórmula'!E35+'Fórmula'!G35+'Fórmula'!I35+'Fórmula'!K35))*(INDEX(properties!A$1:CB$87,'Fórmula'!D35,13))+(('Fórmula'!G35)/('Fórmula'!C35+'Fórmula'!E35+'Fórmula'!G35+'Fórmula'!I35+'Fórmula'!K35))*(INDEX(properties!A$1:CB$87,'Fórmula'!F35,13))+(('Fórmula'!I35)/('Fórmula'!C35+'Fórmula'!E35+'Fórmula'!G35+'Fórmula'!I35+'Fórmula'!K35))*(INDEX(properties!A$1:CB$87,'Fórmula'!H35,13))+(('Fórmula'!K35)/('Fórmula'!C35+'Fórmula'!E35+'Fórmula'!G35+'Fórmula'!I35+'Fórmula'!K35))*(INDEX(properties!A$1:CB$87,'Fórmula'!J35,13))</f>
        <v>0.6666666667</v>
      </c>
      <c r="AY35" s="109">
        <f t="array" ref="AY35">'Fórmula'!C35*(INDEX(properties!A$1:CB$87,'Fórmula'!B35,13))+'Fórmula'!E35*(INDEX(properties!A$1:CB$87,'Fórmula'!D35,13))+'Fórmula'!G35*(INDEX(properties!A$1:CB$87,'Fórmula'!F35,13))+'Fórmula'!I35*(INDEX(properties!A$1:CB$87,'Fórmula'!H35,13))+'Fórmula'!K35*(INDEX(properties!A$1:CB$87,'Fórmula'!J35,13))</f>
        <v>4</v>
      </c>
      <c r="AZ35" s="109">
        <f t="array" ref="AZ35">VARP(IF(INDEX(properties!A$1:CB$87,'Fórmula'!B35,13)&lt;&gt;"",INDEX(properties!A$1:CB$87,'Fórmula'!B35,13)),IF(INDEX(properties!A$1:CB$87,'Fórmula'!D35,13)&lt;&gt;"",INDEX(properties!A$1:CB$87,'Fórmula'!D35,13)),IF(INDEX(properties!A$1:CB$87,'Fórmula'!F35,13)&lt;&gt;"",INDEX(properties!A$1:CB$87,'Fórmula'!F35,13)),IF(INDEX(properties!A$1:CB$87,'Fórmula'!H35,13)&lt;&gt;"",INDEX(properties!A$1:CB$87,'Fórmula'!H35,13)),IF(INDEX(properties!A$1:CB$87,'Fórmula'!J35,13)&lt;&gt;"",INDEX(properties!A$1:CB$87,'Fórmula'!J35,13)))</f>
        <v>2.56</v>
      </c>
      <c r="BA35" s="109">
        <f t="array" ref="BA35">MAX(INDEX(properties!A$1:CB$87,'Fórmula'!B35,13),INDEX(properties!A$1:CB$87,'Fórmula'!D35,13),INDEX(properties!A$1:CB$87,'Fórmula'!F35,13),INDEX(properties!A$1:CB$87,'Fórmula'!H35,13),INDEX(properties!A$1:CB$87,'Fórmula'!J35,13))</f>
        <v>4</v>
      </c>
      <c r="BB35" s="109">
        <f t="array" ref="BB35">MIN(IF('Fórmula'!B35=87,10^6,INDEX(properties!A$1:CB$87,'Fórmula'!B35,13)),IF(('Fórmula'!D35)=87,10^6,INDEX(properties!A$1:CB$87,'Fórmula'!D35,13)),IF(('Fórmula'!F35)=87,10^6,INDEX(properties!A$1:CB$87,'Fórmula'!F35,13)),IF(('Fórmula'!H35)=87,10^6,INDEX(properties!A$1:CB$87,'Fórmula'!H35,13)),IF('Fórmula'!J35=87,10^6,INDEX(properties!A$1:CB$87,'Fórmula'!J35,13)))</f>
        <v>0</v>
      </c>
      <c r="BC35" s="109">
        <f t="shared" si="9"/>
        <v>4</v>
      </c>
      <c r="BD35" s="110">
        <f t="array" ref="BD35">(('Fórmula'!C35)/('Fórmula'!C35+'Fórmula'!E35+'Fórmula'!G35+'Fórmula'!I35+'Fórmula'!K35))*(INDEX(properties!A$1:CB$87,'Fórmula'!B35,14))+(('Fórmula'!E35)/('Fórmula'!C35+'Fórmula'!E35+'Fórmula'!G35+'Fórmula'!I35+'Fórmula'!K35))*(INDEX(properties!A$1:CB$87,'Fórmula'!D35,14))+(('Fórmula'!G35)/('Fórmula'!C35+'Fórmula'!E35+'Fórmula'!G35+'Fórmula'!I35+'Fórmula'!K35))*(INDEX(properties!A$1:CB$87,'Fórmula'!F35,14))+(('Fórmula'!I35)/('Fórmula'!C35+'Fórmula'!E35+'Fórmula'!G35+'Fórmula'!I35+'Fórmula'!K35))*(INDEX(properties!A$1:CB$87,'Fórmula'!H35,14))+(('Fórmula'!K35)/('Fórmula'!C35+'Fórmula'!E35+'Fórmula'!G35+'Fórmula'!I35+'Fórmula'!K35))*(INDEX(properties!A$1:CB$87,'Fórmula'!J35,14))</f>
        <v>2.333333333</v>
      </c>
      <c r="BE35" s="110">
        <f t="array" ref="BE35">'Fórmula'!C35*(INDEX(properties!A$1:CB$87,'Fórmula'!B35,14))+'Fórmula'!E35*(INDEX(properties!A$1:CB$87,'Fórmula'!D35,14))+'Fórmula'!G35*(INDEX(properties!A$1:CB$87,'Fórmula'!F35,14))+'Fórmula'!I35*(INDEX(properties!A$1:CB$87,'Fórmula'!H35,14))+'Fórmula'!K35*(INDEX(properties!A$1:CB$87,'Fórmula'!J35,14))</f>
        <v>14</v>
      </c>
      <c r="BF35" s="110">
        <f t="array" ref="BF35">VARP(IF(INDEX(properties!A$1:CB$87,'Fórmula'!B35,14)&lt;&gt;"",INDEX(properties!A$1:CB$87,'Fórmula'!B35,14)),IF(INDEX(properties!A$1:CB$87,'Fórmula'!D35,14)&lt;&gt;"",INDEX(properties!A$1:CB$87,'Fórmula'!D35,14)),IF(INDEX(properties!A$1:CB$87,'Fórmula'!F35,14)&lt;&gt;"",INDEX(properties!A$1:CB$87,'Fórmula'!F35,14)),IF(INDEX(properties!A$1:CB$87,'Fórmula'!H35,14)&lt;&gt;"",INDEX(properties!A$1:CB$87,'Fórmula'!H35,14)),IF(INDEX(properties!A$1:CB$87,'Fórmula'!J35,14)&lt;&gt;"",INDEX(properties!A$1:CB$87,'Fórmula'!J35,14)))</f>
        <v>31.36</v>
      </c>
      <c r="BG35" s="110">
        <f t="array" ref="BG35">MAX(INDEX(properties!A$1:CB$87,'Fórmula'!B35,14),INDEX(properties!A$1:CB$87,'Fórmula'!D35,14),INDEX(properties!A$1:CB$87,'Fórmula'!F35,14),INDEX(properties!A$1:CB$87,'Fórmula'!H35,14),INDEX(properties!A$1:CB$87,'Fórmula'!J35,14))</f>
        <v>14</v>
      </c>
      <c r="BH35" s="110">
        <f t="array" ref="BH35">MIN(IF('Fórmula'!B35=87,10^6,INDEX(properties!A$1:CB$87,'Fórmula'!B35,14)),IF(('Fórmula'!D35)=87,10^6,INDEX(properties!A$1:CB$87,'Fórmula'!D35,14)),IF(('Fórmula'!F35)=87,10^6,INDEX(properties!A$1:CB$87,'Fórmula'!F35,14)),IF(('Fórmula'!H35)=87,10^6,INDEX(properties!A$1:CB$87,'Fórmula'!H35,14)),IF('Fórmula'!J35=87,10^6,INDEX(properties!A$1:CB$87,'Fórmula'!J35,14)))</f>
        <v>0</v>
      </c>
      <c r="BI35" s="110">
        <f t="shared" si="10"/>
        <v>14</v>
      </c>
      <c r="BJ35" s="111">
        <f t="array" ref="BJ35">(('Fórmula'!C35)/('Fórmula'!C35+'Fórmula'!E35+'Fórmula'!G35+'Fórmula'!I35+'Fórmula'!K35))*(INDEX(properties!A$1:CB$87,'Fórmula'!B35,19))+(('Fórmula'!E35)/('Fórmula'!C35+'Fórmula'!E35+'Fórmula'!G35+'Fórmula'!I35+'Fórmula'!K35))*(INDEX(properties!A$1:CB$87,'Fórmula'!D35,19))+(('Fórmula'!G35)/('Fórmula'!C35+'Fórmula'!E35+'Fórmula'!G35+'Fórmula'!I35+'Fórmula'!K35))*(INDEX(properties!A$1:CB$87,'Fórmula'!F35,19))+(('Fórmula'!I35)/('Fórmula'!C35+'Fórmula'!E35+'Fórmula'!G35+'Fórmula'!I35+'Fórmula'!K35))*(INDEX(properties!A$1:CB$87,'Fórmula'!H35,19))+(('Fórmula'!K35)/('Fórmula'!C35+'Fórmula'!E35+'Fórmula'!G35+'Fórmula'!I35+'Fórmula'!K35))*(INDEX(properties!A$1:CB$87,'Fórmula'!J35,19))</f>
        <v>7.666666667</v>
      </c>
      <c r="BK35" s="111">
        <f t="array" ref="BK35">'Fórmula'!C35*(INDEX(properties!A$1:CB$87,'Fórmula'!B35,19))+'Fórmula'!E35*(INDEX(properties!A$1:CB$87,'Fórmula'!D35,19))+'Fórmula'!G35*(INDEX(properties!A$1:CB$87,'Fórmula'!F35,19))+'Fórmula'!I35*(INDEX(properties!A$1:CB$87,'Fórmula'!H35,19))+'Fórmula'!K35*(INDEX(properties!A$1:CB$87,'Fórmula'!J35,19))</f>
        <v>46</v>
      </c>
      <c r="BL35" s="111">
        <f t="array" ref="BL35">VARP(IF(INDEX(properties!A$1:CB$87,'Fórmula'!B35,19)&lt;&gt;"",INDEX(properties!A$1:CB$87,'Fórmula'!B35,19)),IF(INDEX(properties!A$1:CB$87,'Fórmula'!D35,19)&lt;&gt;"",INDEX(properties!A$1:CB$87,'Fórmula'!D35,19)),IF(INDEX(properties!A$1:CB$87,'Fórmula'!F35,19)&lt;&gt;"",INDEX(properties!A$1:CB$87,'Fórmula'!F35,19)),IF(INDEX(properties!A$1:CB$87,'Fórmula'!H35,19)&lt;&gt;"",INDEX(properties!A$1:CB$87,'Fórmula'!H35,19)),IF(INDEX(properties!A$1:CB$87,'Fórmula'!J35,19)&lt;&gt;"",INDEX(properties!A$1:CB$87,'Fórmula'!J35,19)))</f>
        <v>56.64</v>
      </c>
      <c r="BM35" s="111">
        <f t="array" ref="BM35">MAX(INDEX(properties!A$1:CB$87,'Fórmula'!B35,19),INDEX(properties!A$1:CB$87,'Fórmula'!D35,19),INDEX(properties!A$1:CB$87,'Fórmula'!F35,19),INDEX(properties!A$1:CB$87,'Fórmula'!H35,19),INDEX(properties!A$1:CB$87,'Fórmula'!J35,19))</f>
        <v>20</v>
      </c>
      <c r="BN35" s="111">
        <f t="array" ref="BN35">MIN(IF(INDEX(properties!A$1:CB$87,'Fórmula'!B35,19)=0,10^6,INDEX(properties!A$1:CB$87,'Fórmula'!B35,19)),IF(INDEX(properties!A$1:CB$87,'Fórmula'!D35,19)=0,10^6,INDEX(properties!A$1:CB$87,'Fórmula'!D35,19)),IF(INDEX(properties!A$1:CB$87,'Fórmula'!F35,19)=0,10^6,INDEX(properties!A$1:CB$87,'Fórmula'!F35,19)),IF(INDEX(properties!A$1:CB$87,'Fórmula'!H35,19)=0,10^6,INDEX(properties!A$1:CB$87,'Fórmula'!H35,19)),IF(INDEX(properties!A$1:CB$87,'Fórmula'!J35,19)=0,10^6,INDEX(properties!A$1:CB$87,'Fórmula'!J35,19)))</f>
        <v>2</v>
      </c>
      <c r="BO35" s="111">
        <f t="shared" si="11"/>
        <v>18</v>
      </c>
      <c r="BP35" s="112">
        <f t="array" ref="BP35">(('Fórmula'!C35)/('Fórmula'!C35+'Fórmula'!E35+'Fórmula'!G35+'Fórmula'!I35+'Fórmula'!K35))*(INDEX(properties!A$1:CB$87,'Fórmula'!B35,20))+(('Fórmula'!E35)/('Fórmula'!C35+'Fórmula'!E35+'Fórmula'!G35+'Fórmula'!I35+'Fórmula'!K35))*(INDEX(properties!A$1:CB$87,'Fórmula'!D35,20))+(('Fórmula'!G35)/('Fórmula'!C35+'Fórmula'!E35+'Fórmula'!G35+'Fórmula'!I35+'Fórmula'!K35))*(INDEX(properties!A$1:CB$87,'Fórmula'!F35,20))+(('Fórmula'!I35)/('Fórmula'!C35+'Fórmula'!E35+'Fórmula'!G35+'Fórmula'!I35+'Fórmula'!K35))*(INDEX(properties!A$1:CB$87,'Fórmula'!H35,20))+(('Fórmula'!K35)/('Fórmula'!C35+'Fórmula'!E35+'Fórmula'!G35+'Fórmula'!I35+'Fórmula'!K35))*(INDEX(properties!A$1:CB$87,'Fórmula'!J35,20))</f>
        <v>4.666666667</v>
      </c>
      <c r="BQ35" s="112">
        <f t="array" ref="BQ35">'Fórmula'!C35*(INDEX(properties!A$1:CB$87,'Fórmula'!B35,20))+'Fórmula'!E35*(INDEX(properties!A$1:CB$87,'Fórmula'!D35,20))+'Fórmula'!G35*(INDEX(properties!A$1:CB$87,'Fórmula'!F35,20))+'Fórmula'!I35*(INDEX(properties!A$1:CB$87,'Fórmula'!H35,20))+'Fórmula'!K35*(INDEX(properties!A$1:CB$87,'Fórmula'!J35,20))</f>
        <v>28</v>
      </c>
      <c r="BR35" s="112">
        <f t="array" ref="BR35">VARP(IF(INDEX(properties!A$1:CB$87,'Fórmula'!B35,20)&lt;&gt;"",INDEX(properties!A$1:CB$87,'Fórmula'!B35,20)),IF(INDEX(properties!A$1:CB$87,'Fórmula'!D35,20)&lt;&gt;"",INDEX(properties!A$1:CB$87,'Fórmula'!D35,20)),IF(INDEX(properties!A$1:CB$87,'Fórmula'!F35,20)&lt;&gt;"",INDEX(properties!A$1:CB$87,'Fórmula'!F35,20)),IF(INDEX(properties!A$1:CB$87,'Fórmula'!H35,20)&lt;&gt;"",INDEX(properties!A$1:CB$87,'Fórmula'!H35,20)),IF(INDEX(properties!A$1:CB$87,'Fórmula'!J35,20)&lt;&gt;"",INDEX(properties!A$1:CB$87,'Fórmula'!J35,20)))</f>
        <v>4.8</v>
      </c>
      <c r="BS35" s="112">
        <f t="array" ref="BS35">MAX(INDEX(properties!A$1:CB$87,'Fórmula'!B35,20),INDEX(properties!A$1:CB$87,'Fórmula'!D35,20),INDEX(properties!A$1:CB$87,'Fórmula'!F35,20),INDEX(properties!A$1:CB$87,'Fórmula'!H35,20),INDEX(properties!A$1:CB$87,'Fórmula'!J35,20))</f>
        <v>6</v>
      </c>
      <c r="BT35" s="112">
        <f t="array" ref="BT35">MIN(IF(INDEX(properties!A$1:CB$87,'Fórmula'!B35,20)=0,10^6,INDEX(properties!A$1:CB$87,'Fórmula'!B35,20)),IF(INDEX(properties!A$1:CB$87,'Fórmula'!D35,20)=0,10^6,INDEX(properties!A$1:CB$87,'Fórmula'!D35,20)),IF(INDEX(properties!A$1:CB$87,'Fórmula'!F35,20)=0,10^6,INDEX(properties!A$1:CB$87,'Fórmula'!F35,20)),IF(INDEX(properties!A$1:CB$87,'Fórmula'!H35,20)=0,10^6,INDEX(properties!A$1:CB$87,'Fórmula'!H35,20)),IF(INDEX(properties!A$1:CB$87,'Fórmula'!J35,20)=0,10^6,INDEX(properties!A$1:CB$87,'Fórmula'!J35,20)))</f>
        <v>2</v>
      </c>
      <c r="BU35" s="112">
        <f t="shared" si="12"/>
        <v>4</v>
      </c>
      <c r="BV35" s="113">
        <f t="array" ref="BV35">(('Fórmula'!C35)/('Fórmula'!C35+'Fórmula'!E35+'Fórmula'!G35+'Fórmula'!I35+'Fórmula'!K35))*(INDEX(properties!A$1:CB$87,'Fórmula'!B35,21))+(('Fórmula'!E35)/('Fórmula'!C35+'Fórmula'!E35+'Fórmula'!G35+'Fórmula'!I35+'Fórmula'!K35))*(INDEX(properties!A$1:CB$87,'Fórmula'!D35,21))+(('Fórmula'!G35)/('Fórmula'!C35+'Fórmula'!E35+'Fórmula'!G35+'Fórmula'!I35+'Fórmula'!K35))*(INDEX(properties!A$1:CB$87,'Fórmula'!F35,21))+(('Fórmula'!I35)/('Fórmula'!C35+'Fórmula'!E35+'Fórmula'!G35+'Fórmula'!I35+'Fórmula'!K35))*(INDEX(properties!A$1:CB$87,'Fórmula'!H35,21))+(('Fórmula'!K35)/('Fórmula'!C35+'Fórmula'!E35+'Fórmula'!G35+'Fórmula'!I35+'Fórmula'!K35))*(INDEX(properties!A$1:CB$87,'Fórmula'!J35,21))</f>
        <v>5</v>
      </c>
      <c r="BW35" s="113">
        <f t="array" ref="BW35">'Fórmula'!C35*(INDEX(properties!A$1:CB$87,'Fórmula'!B35,21))+'Fórmula'!E35*(INDEX(properties!A$1:CB$87,'Fórmula'!D35,21))+'Fórmula'!G35*(INDEX(properties!A$1:CB$87,'Fórmula'!F35,21))+'Fórmula'!I35*(INDEX(properties!A$1:CB$87,'Fórmula'!H35,21))+'Fórmula'!K35*(INDEX(properties!A$1:CB$87,'Fórmula'!J35,21))</f>
        <v>30</v>
      </c>
      <c r="BX35" s="113">
        <f t="array" ref="BX35">VARP(IF(INDEX(properties!A$1:CB$87,'Fórmula'!B35,21)&lt;&gt;"",INDEX(properties!A$1:CB$87,'Fórmula'!B35,21)),IF(INDEX(properties!A$1:CB$87,'Fórmula'!D35,21)&lt;&gt;"",INDEX(properties!A$1:CB$87,'Fórmula'!D35,21)),IF(INDEX(properties!A$1:CB$87,'Fórmula'!F35,21)&lt;&gt;"",INDEX(properties!A$1:CB$87,'Fórmula'!F35,21)),IF(INDEX(properties!A$1:CB$87,'Fórmula'!H35,21)&lt;&gt;"",INDEX(properties!A$1:CB$87,'Fórmula'!H35,21)),IF(INDEX(properties!A$1:CB$87,'Fórmula'!J35,21)&lt;&gt;"",INDEX(properties!A$1:CB$87,'Fórmula'!J35,21)))</f>
        <v>5.44</v>
      </c>
      <c r="BY35" s="113">
        <f t="array" ref="BY35">MAX(INDEX(properties!A$1:CB$87,'Fórmula'!B35,21),INDEX(properties!A$1:CB$87,'Fórmula'!D35,21),INDEX(properties!A$1:CB$87,'Fórmula'!F35,21),INDEX(properties!A$1:CB$87,'Fórmula'!H35,21),INDEX(properties!A$1:CB$87,'Fórmula'!J35,21))</f>
        <v>6</v>
      </c>
      <c r="BZ35" s="113">
        <f t="array" ref="BZ35">MIN(IF(INDEX(properties!A$1:CB$87,'Fórmula'!B35,21)=0,10^6,INDEX(properties!A$1:CB$87,'Fórmula'!B35,21)),IF(INDEX(properties!A$1:CB$87,'Fórmula'!D35,21)=0,10^6,INDEX(properties!A$1:CB$87,'Fórmula'!D35,21)),IF(INDEX(properties!A$1:CB$87,'Fórmula'!F35,21)=0,10^6,INDEX(properties!A$1:CB$87,'Fórmula'!F35,21)),IF(INDEX(properties!A$1:CB$87,'Fórmula'!H35,21)=0,10^6,INDEX(properties!A$1:CB$87,'Fórmula'!H35,21)),IF(INDEX(properties!A$1:CB$87,'Fórmula'!J35,21)=0,10^6,INDEX(properties!A$1:CB$87,'Fórmula'!J35,21)))</f>
        <v>2</v>
      </c>
      <c r="CA35" s="113">
        <f t="shared" si="13"/>
        <v>4</v>
      </c>
      <c r="CB35" s="114">
        <f t="array" ref="CB35">(('Fórmula'!C35)/('Fórmula'!C35+'Fórmula'!E35+'Fórmula'!G35+'Fórmula'!I35+'Fórmula'!K35))*(INDEX(properties!A$1:CB$87,'Fórmula'!B35,23))+(('Fórmula'!E35)/('Fórmula'!C35+'Fórmula'!E35+'Fórmula'!G35+'Fórmula'!I35+'Fórmula'!K35))*(INDEX(properties!A$1:CB$87,'Fórmula'!D35,23))+(('Fórmula'!G35)/('Fórmula'!C35+'Fórmula'!E35+'Fórmula'!G35+'Fórmula'!I35+'Fórmula'!K35))*(INDEX(properties!A$1:CB$87,'Fórmula'!F35,23))+(('Fórmula'!I35)/('Fórmula'!C35+'Fórmula'!E35+'Fórmula'!G35+'Fórmula'!I35+'Fórmula'!K35))*(INDEX(properties!A$1:CB$87,'Fórmula'!H35,23))+(('Fórmula'!K35)/('Fórmula'!C35+'Fórmula'!E35+'Fórmula'!G35+'Fórmula'!I35+'Fórmula'!K35))*(INDEX(properties!A$1:CB$87,'Fórmula'!J35,23))</f>
        <v>1.296666667</v>
      </c>
      <c r="CC35" s="114">
        <f t="array" ref="CC35">'Fórmula'!C35*(INDEX(properties!A$1:CB$87,'Fórmula'!B35,23))+'Fórmula'!E35*(INDEX(properties!A$1:CB$87,'Fórmula'!D35,23))+'Fórmula'!G35*(INDEX(properties!A$1:CB$87,'Fórmula'!F35,23))+'Fórmula'!I35*(INDEX(properties!A$1:CB$87,'Fórmula'!H35,23))+'Fórmula'!K35*(INDEX(properties!A$1:CB$87,'Fórmula'!J35,23))</f>
        <v>7.78</v>
      </c>
      <c r="CD35" s="114">
        <f t="array" ref="CD35">VARP(IF(INDEX(properties!A$1:CB$87,'Fórmula'!B35,23)&lt;&gt;"",INDEX(properties!A$1:CB$87,'Fórmula'!B35,23)),IF(INDEX(properties!A$1:CB$87,'Fórmula'!D35,23)&lt;&gt;"",INDEX(properties!A$1:CB$87,'Fórmula'!D35,23)),IF(INDEX(properties!A$1:CB$87,'Fórmula'!F35,23)&lt;&gt;"",INDEX(properties!A$1:CB$87,'Fórmula'!F35,23)),IF(INDEX(properties!A$1:CB$87,'Fórmula'!H35,23)&lt;&gt;"",INDEX(properties!A$1:CB$87,'Fórmula'!H35,23)),IF(INDEX(properties!A$1:CB$87,'Fórmula'!J35,23)&lt;&gt;"",INDEX(properties!A$1:CB$87,'Fórmula'!J35,23)))</f>
        <v>5.060544</v>
      </c>
      <c r="CE35" s="114">
        <f t="array" ref="CE35">MAX(INDEX(properties!A$1:CB$87,'Fórmula'!B35,23),INDEX(properties!A$1:CB$87,'Fórmula'!D35,23),INDEX(properties!A$1:CB$87,'Fórmula'!F35,23),INDEX(properties!A$1:CB$87,'Fórmula'!H35,23),INDEX(properties!A$1:CB$87,'Fórmula'!J35,23))</f>
        <v>5.78</v>
      </c>
      <c r="CF35" s="114">
        <f t="array" ref="CF35">MIN(IF('Fórmula'!B35=87,10^6,INDEX(properties!A$1:CB$87,'Fórmula'!B35,23)),IF(('Fórmula'!D35)=87,10^6,INDEX(properties!A$1:CB$87,'Fórmula'!D35,23)),IF(('Fórmula'!F35)=87,10^6,INDEX(properties!A$1:CB$87,'Fórmula'!F35,23)),IF(('Fórmula'!H35)=87,10^6,INDEX(properties!A$1:CB$87,'Fórmula'!H35,23)),IF('Fórmula'!J35=87,10^6,INDEX(properties!A$1:CB$87,'Fórmula'!J35,23)))</f>
        <v>0</v>
      </c>
      <c r="CG35" s="114">
        <f t="shared" si="14"/>
        <v>5.78</v>
      </c>
      <c r="CH35" s="115">
        <f t="array" ref="CH35">(('Fórmula'!C35)/('Fórmula'!C35+'Fórmula'!E35+'Fórmula'!G35+'Fórmula'!I35+'Fórmula'!K35))*(INDEX(properties!A$1:CB$87,'Fórmula'!B35,26))+(('Fórmula'!E35)/('Fórmula'!C35+'Fórmula'!E35+'Fórmula'!G35+'Fórmula'!I35+'Fórmula'!K35))*(INDEX(properties!A$1:CB$87,'Fórmula'!D35,26))+(('Fórmula'!G35)/('Fórmula'!C35+'Fórmula'!E35+'Fórmula'!G35+'Fórmula'!I35+'Fórmula'!K35))*(INDEX(properties!A$1:CB$87,'Fórmula'!F35,26))+(('Fórmula'!I35)/('Fórmula'!C35+'Fórmula'!E35+'Fórmula'!G35+'Fórmula'!I35+'Fórmula'!K35))*(INDEX(properties!A$1:CB$87,'Fórmula'!H35,26))+(('Fórmula'!K35)/('Fórmula'!C35+'Fórmula'!E35+'Fórmula'!G35+'Fórmula'!I35+'Fórmula'!K35))*(INDEX(properties!A$1:CB$87,'Fórmula'!J35,26))</f>
        <v>11.40826667</v>
      </c>
      <c r="CI35" s="115">
        <f t="array" ref="CI35">'Fórmula'!C35*(INDEX(properties!A$1:CB$87,'Fórmula'!B35,26))+'Fórmula'!E35*(INDEX(properties!A$1:CB$87,'Fórmula'!D35,26))+'Fórmula'!G35*(INDEX(properties!A$1:CB$87,'Fórmula'!F35,26))+'Fórmula'!I35*(INDEX(properties!A$1:CB$87,'Fórmula'!H35,26))+'Fórmula'!K35*(INDEX(properties!A$1:CB$87,'Fórmula'!J35,26))</f>
        <v>68.4496</v>
      </c>
      <c r="CJ35" s="115">
        <f t="array" ref="CJ35">VARP(IF(INDEX(properties!A$1:CB$87,'Fórmula'!B35,26)&lt;&gt;"",INDEX(properties!A$1:CB$87,'Fórmula'!B35,26)),IF(INDEX(properties!A$1:CB$87,'Fórmula'!D35,26)&lt;&gt;"",INDEX(properties!A$1:CB$87,'Fórmula'!D35,26)),IF(INDEX(properties!A$1:CB$87,'Fórmula'!F35,26)&lt;&gt;"",INDEX(properties!A$1:CB$87,'Fórmula'!F35,26)),IF(INDEX(properties!A$1:CB$87,'Fórmula'!H35,26)&lt;&gt;"",INDEX(properties!A$1:CB$87,'Fórmula'!H35,26)),IF(INDEX(properties!A$1:CB$87,'Fórmula'!J35,26)&lt;&gt;"",INDEX(properties!A$1:CB$87,'Fórmula'!J35,26)))</f>
        <v>26.47324829</v>
      </c>
      <c r="CK35" s="116">
        <f t="array" ref="CK35">MAX(INDEX(properties!A$1:CB$87,'Fórmula'!B35,26),INDEX(properties!A$1:CB$87,'Fórmula'!D35,26),INDEX(properties!A$1:CB$87,'Fórmula'!F35,26),INDEX(properties!A$1:CB$87,'Fórmula'!H35,26),INDEX(properties!A$1:CB$87,'Fórmula'!J35,26))</f>
        <v>13.6181</v>
      </c>
      <c r="CL35" s="116">
        <f t="array" ref="CL35">MIN(IF(INDEX(properties!A$1:CB$87,'Fórmula'!B35,26)=0,10^6,INDEX(properties!A$1:CB$87,'Fórmula'!B35,26)),IF(INDEX(properties!A$1:CB$87,'Fórmula'!D35,26)=0,10^6,INDEX(properties!A$1:CB$87,'Fórmula'!D35,26)),IF(INDEX(properties!A$1:CB$87,'Fórmula'!F35,26)=0,10^6,INDEX(properties!A$1:CB$87,'Fórmula'!F35,26)),IF(INDEX(properties!A$1:CB$87,'Fórmula'!H35,26)=0,10^6,INDEX(properties!A$1:CB$87,'Fórmula'!H35,26)),IF(INDEX(properties!A$1:CB$87,'Fórmula'!J35,26)=0,10^6,INDEX(properties!A$1:CB$87,'Fórmula'!J35,26)))</f>
        <v>6.1132</v>
      </c>
      <c r="CM35" s="115">
        <f t="shared" si="15"/>
        <v>7.5049</v>
      </c>
      <c r="CN35" s="117">
        <f t="array" ref="CN35">(('Fórmula'!C35)/('Fórmula'!C35+'Fórmula'!E35+'Fórmula'!G35+'Fórmula'!I35+'Fórmula'!K35))*(INDEX(properties!A$1:CB$87,'Fórmula'!B35,30))+(('Fórmula'!E35)/('Fórmula'!C35+'Fórmula'!E35+'Fórmula'!G35+'Fórmula'!I35+'Fórmula'!K35))*(INDEX(properties!A$1:CB$87,'Fórmula'!D35,30))+(('Fórmula'!G35)/('Fórmula'!C35+'Fórmula'!E35+'Fórmula'!G35+'Fórmula'!I35+'Fórmula'!K35))*(INDEX(properties!A$1:CB$87,'Fórmula'!F35,30))+(('Fórmula'!I35)/('Fórmula'!C35+'Fórmula'!E35+'Fórmula'!G35+'Fórmula'!I35+'Fórmula'!K35))*(INDEX(properties!A$1:CB$87,'Fórmula'!H35,30))+(('Fórmula'!K35)/('Fórmula'!C35+'Fórmula'!E35+'Fórmula'!G35+'Fórmula'!I35+'Fórmula'!K35))*(INDEX(properties!A$1:CB$87,'Fórmula'!J35,30))</f>
        <v>2.853333333</v>
      </c>
      <c r="CO35" s="117">
        <f t="array" ref="CO35">'Fórmula'!C35*(INDEX(properties!A$1:CB$87,'Fórmula'!B35,30))+'Fórmula'!E35*(INDEX(properties!A$1:CB$87,'Fórmula'!D35,30))+'Fórmula'!G35*(INDEX(properties!A$1:CB$87,'Fórmula'!F35,30))+'Fórmula'!I35*(INDEX(properties!A$1:CB$87,'Fórmula'!H35,30))+'Fórmula'!K35*(INDEX(properties!A$1:CB$87,'Fórmula'!J35,30))</f>
        <v>17.12</v>
      </c>
      <c r="CP35" s="117">
        <f t="array" ref="CP35">VARP(IF(INDEX(properties!A$1:CB$87,'Fórmula'!B35,30)&lt;&gt;"",INDEX(properties!A$1:CB$87,'Fórmula'!B35,30)),IF(INDEX(properties!A$1:CB$87,'Fórmula'!D35,30)&lt;&gt;"",INDEX(properties!A$1:CB$87,'Fórmula'!D35,30)),IF(INDEX(properties!A$1:CB$87,'Fórmula'!F35,30)&lt;&gt;"",INDEX(properties!A$1:CB$87,'Fórmula'!F35,30)),IF(INDEX(properties!A$1:CB$87,'Fórmula'!H35,30)&lt;&gt;"",INDEX(properties!A$1:CB$87,'Fórmula'!H35,30)),IF(INDEX(properties!A$1:CB$87,'Fórmula'!J35,30)&lt;&gt;"",INDEX(properties!A$1:CB$87,'Fórmula'!J35,30)))</f>
        <v>1.83104</v>
      </c>
      <c r="CQ35" s="117">
        <f t="array" ref="CQ35">MAX(INDEX(properties!A$1:CB$87,'Fórmula'!B35,30),INDEX(properties!A$1:CB$87,'Fórmula'!D35,30),INDEX(properties!A$1:CB$87,'Fórmula'!F35,30),INDEX(properties!A$1:CB$87,'Fórmula'!H35,30),INDEX(properties!A$1:CB$87,'Fórmula'!J35,30))</f>
        <v>3.44</v>
      </c>
      <c r="CR35" s="117">
        <f t="array" ref="CR35">MIN(IF(INDEX(properties!A$1:CB$87,'Fórmula'!B35,30)=0,10^6,INDEX(properties!A$1:CB$87,'Fórmula'!B35,30)),IF(INDEX(properties!A$1:CB$87,'Fórmula'!D35,30)=0,10^6,INDEX(properties!A$1:CB$87,'Fórmula'!D35,30)),IF(INDEX(properties!A$1:CB$87,'Fórmula'!F35,30)=0,10^6,INDEX(properties!A$1:CB$87,'Fórmula'!F35,30)),IF(INDEX(properties!A$1:CB$87,'Fórmula'!H35,30)=0,10^6,INDEX(properties!A$1:CB$87,'Fórmula'!H35,30)),IF(INDEX(properties!A$1:CB$87,'Fórmula'!J35,30)=0,10^6,INDEX(properties!A$1:CB$87,'Fórmula'!J35,30)))</f>
        <v>1</v>
      </c>
      <c r="CS35" s="117">
        <f t="shared" si="16"/>
        <v>2.44</v>
      </c>
      <c r="CT35" s="118">
        <f t="array" ref="CT35">(('Fórmula'!C35)/('Fórmula'!C35+'Fórmula'!E35+'Fórmula'!G35+'Fórmula'!I35+'Fórmula'!K35))*(INDEX(properties!A$1:CB$87,'Fórmula'!B35,31))+(('Fórmula'!E35)/('Fórmula'!C35+'Fórmula'!E35+'Fórmula'!G35+'Fórmula'!I35+'Fórmula'!K35))*(INDEX(properties!A$1:CB$87,'Fórmula'!D35,31))+(('Fórmula'!G35)/('Fórmula'!C35+'Fórmula'!E35+'Fórmula'!G35+'Fórmula'!I35+'Fórmula'!K35))*(INDEX(properties!A$1:CB$87,'Fórmula'!F35,31))+(('Fórmula'!I35)/('Fórmula'!C35+'Fórmula'!E35+'Fórmula'!G35+'Fórmula'!I35+'Fórmula'!K35))*(INDEX(properties!A$1:CB$87,'Fórmula'!H35,31))+(('Fórmula'!K35)/('Fórmula'!C35+'Fórmula'!E35+'Fórmula'!G35+'Fórmula'!I35+'Fórmula'!K35))*(INDEX(properties!A$1:CB$87,'Fórmula'!J35,31))</f>
        <v>2.706666667</v>
      </c>
      <c r="CU35" s="118">
        <f t="array" ref="CU35">'Fórmula'!C35*(INDEX(properties!A$1:CB$87,'Fórmula'!B35,31))+'Fórmula'!E35*(INDEX(properties!A$1:CB$87,'Fórmula'!D35,31))+'Fórmula'!G35*(INDEX(properties!A$1:CB$87,'Fórmula'!F35,31))+'Fórmula'!I35*(INDEX(properties!A$1:CB$87,'Fórmula'!H35,31))+'Fórmula'!K35*(INDEX(properties!A$1:CB$87,'Fórmula'!J35,31))</f>
        <v>16.24</v>
      </c>
      <c r="CV35" s="118">
        <f t="array" ref="CV35">VARP(IF(INDEX(properties!A$1:CB$87,'Fórmula'!B35,31)&lt;&gt;"",INDEX(properties!A$1:CB$87,'Fórmula'!B35,31)),IF(INDEX(properties!A$1:CB$87,'Fórmula'!D35,31)&lt;&gt;"",INDEX(properties!A$1:CB$87,'Fórmula'!D35,31)),IF(INDEX(properties!A$1:CB$87,'Fórmula'!F35,31)&lt;&gt;"",INDEX(properties!A$1:CB$87,'Fórmula'!F35,31)),IF(INDEX(properties!A$1:CB$87,'Fórmula'!H35,31)&lt;&gt;"",INDEX(properties!A$1:CB$87,'Fórmula'!H35,31)),IF(INDEX(properties!A$1:CB$87,'Fórmula'!J35,31)&lt;&gt;"",INDEX(properties!A$1:CB$87,'Fórmula'!J35,31)))</f>
        <v>1.541544</v>
      </c>
      <c r="CW35" s="118">
        <f t="array" ref="CW35">MAX(INDEX(properties!A$1:CB$87,'Fórmula'!B35,31),INDEX(properties!A$1:CB$87,'Fórmula'!D35,31),INDEX(properties!A$1:CB$87,'Fórmula'!F35,31),INDEX(properties!A$1:CB$87,'Fórmula'!H35,31),INDEX(properties!A$1:CB$87,'Fórmula'!J35,31))</f>
        <v>3.32</v>
      </c>
      <c r="CX35" s="118">
        <f t="array" ref="CX35">MIN(IF(INDEX(properties!A$1:CB$87,'Fórmula'!B35,31)=0,10^6,INDEX(properties!A$1:CB$87,'Fórmula'!B35,31)),IF(INDEX(properties!A$1:CB$87,'Fórmula'!D35,31)=0,10^6,INDEX(properties!A$1:CB$87,'Fórmula'!D35,31)),IF(INDEX(properties!A$1:CB$87,'Fórmula'!F35,31)=0,10^6,INDEX(properties!A$1:CB$87,'Fórmula'!F35,31)),IF(INDEX(properties!A$1:CB$87,'Fórmula'!H35,31)=0,10^6,INDEX(properties!A$1:CB$87,'Fórmula'!H35,31)),IF(INDEX(properties!A$1:CB$87,'Fórmula'!J35,31)=0,10^6,INDEX(properties!A$1:CB$87,'Fórmula'!J35,31)))</f>
        <v>1.17</v>
      </c>
      <c r="CY35" s="118">
        <f t="shared" si="17"/>
        <v>2.15</v>
      </c>
      <c r="CZ35" s="119">
        <f t="array" ref="CZ35">(('Fórmula'!C35)/('Fórmula'!C35+'Fórmula'!E35+'Fórmula'!G35+'Fórmula'!I35+'Fórmula'!K35))*(INDEX(properties!A$1:CB$87,'Fórmula'!B35,32))+(('Fórmula'!E35)/('Fórmula'!C35+'Fórmula'!E35+'Fórmula'!G35+'Fórmula'!I35+'Fórmula'!K35))*(INDEX(properties!A$1:CB$87,'Fórmula'!D35,32))+(('Fórmula'!G35)/('Fórmula'!C35+'Fórmula'!E35+'Fórmula'!G35+'Fórmula'!I35+'Fórmula'!K35))*(INDEX(properties!A$1:CB$87,'Fórmula'!F35,32))+(('Fórmula'!I35)/('Fórmula'!C35+'Fórmula'!E35+'Fórmula'!G35+'Fórmula'!I35+'Fórmula'!K35))*(INDEX(properties!A$1:CB$87,'Fórmula'!H35,32))+(('Fórmula'!K35)/('Fórmula'!C35+'Fórmula'!E35+'Fórmula'!G35+'Fórmula'!I35+'Fórmula'!K35))*(INDEX(properties!A$1:CB$87,'Fórmula'!J35,32))</f>
        <v>6.126666667</v>
      </c>
      <c r="DA35" s="119">
        <f t="array" ref="DA35">'Fórmula'!C35*(INDEX(properties!A$1:CB$87,'Fórmula'!B35,32))+'Fórmula'!E35*(INDEX(properties!A$1:CB$87,'Fórmula'!D35,32))+'Fórmula'!G35*(INDEX(properties!A$1:CB$87,'Fórmula'!F35,32))+'Fórmula'!I35*(INDEX(properties!A$1:CB$87,'Fórmula'!H35,32))+'Fórmula'!K35*(INDEX(properties!A$1:CB$87,'Fórmula'!J35,32))</f>
        <v>36.76</v>
      </c>
      <c r="DB35" s="119">
        <f t="array" ref="DB35">VARP(IF(INDEX(properties!A$1:CB$87,'Fórmula'!B35,32)&lt;&gt;"",INDEX(properties!A$1:CB$87,'Fórmula'!B35,32)),IF(INDEX(properties!A$1:CB$87,'Fórmula'!D35,32)&lt;&gt;"",INDEX(properties!A$1:CB$87,'Fórmula'!D35,32)),IF(INDEX(properties!A$1:CB$87,'Fórmula'!F35,32)&lt;&gt;"",INDEX(properties!A$1:CB$87,'Fórmula'!F35,32)),IF(INDEX(properties!A$1:CB$87,'Fórmula'!H35,32)&lt;&gt;"",INDEX(properties!A$1:CB$87,'Fórmula'!H35,32)),IF(INDEX(properties!A$1:CB$87,'Fórmula'!J35,32)&lt;&gt;"",INDEX(properties!A$1:CB$87,'Fórmula'!J35,32)))</f>
        <v>8.212736</v>
      </c>
      <c r="DC35" s="119">
        <f t="array" ref="DC35">MAX(INDEX(properties!A$1:CB$87,'Fórmula'!B35,32),INDEX(properties!A$1:CB$87,'Fórmula'!D35,32),INDEX(properties!A$1:CB$87,'Fórmula'!F35,32),INDEX(properties!A$1:CB$87,'Fórmula'!H35,32),INDEX(properties!A$1:CB$87,'Fórmula'!J35,32))</f>
        <v>7.54</v>
      </c>
      <c r="DD35" s="119">
        <f t="array" ref="DD35">MIN(IF(INDEX(properties!A$1:CB$87,'Fórmula'!B35,32)=0,10^6,INDEX(properties!A$1:CB$87,'Fórmula'!B35,32)),IF(INDEX(properties!A$1:CB$87,'Fórmula'!D35,32)=0,10^6,INDEX(properties!A$1:CB$87,'Fórmula'!D35,32)),IF(INDEX(properties!A$1:CB$87,'Fórmula'!F35,32)=0,10^6,INDEX(properties!A$1:CB$87,'Fórmula'!F35,32)),IF(INDEX(properties!A$1:CB$87,'Fórmula'!H35,32)=0,10^6,INDEX(properties!A$1:CB$87,'Fórmula'!H35,32)),IF(INDEX(properties!A$1:CB$87,'Fórmula'!J35,32)=0,10^6,INDEX(properties!A$1:CB$87,'Fórmula'!J35,32)))</f>
        <v>2.2</v>
      </c>
      <c r="DE35" s="119">
        <f t="shared" si="18"/>
        <v>5.34</v>
      </c>
      <c r="DF35" s="104">
        <f t="array" ref="DF35">(('Fórmula'!C35)/('Fórmula'!C35+'Fórmula'!E35+'Fórmula'!G35+'Fórmula'!I35+'Fórmula'!K35))*(INDEX(properties!A$1:CB$87,'Fórmula'!B35,34))+(('Fórmula'!E35)/('Fórmula'!C35+'Fórmula'!E35+'Fórmula'!G35+'Fórmula'!I35+'Fórmula'!K35))*(INDEX(properties!A$1:CB$87,'Fórmula'!D35,34))+(('Fórmula'!G35)/('Fórmula'!C35+'Fórmula'!E35+'Fórmula'!G35+'Fórmula'!I35+'Fórmula'!K35))*(INDEX(properties!A$1:CB$87,'Fórmula'!F35,34))+(('Fórmula'!I35)/('Fórmula'!C35+'Fórmula'!E35+'Fórmula'!G35+'Fórmula'!I35+'Fórmula'!K35))*(INDEX(properties!A$1:CB$87,'Fórmula'!H35,34))+(('Fórmula'!K35)/('Fórmula'!C35+'Fórmula'!E35+'Fórmula'!G35+'Fórmula'!I35+'Fórmula'!K35))*(INDEX(properties!A$1:CB$87,'Fórmula'!J35,34))</f>
        <v>2.824</v>
      </c>
      <c r="DG35" s="104">
        <f t="array" ref="DG35">'Fórmula'!C35*(INDEX(properties!A$1:CB$87,'Fórmula'!B35,34))+'Fórmula'!E35*(INDEX(properties!A$1:CB$87,'Fórmula'!D35,34))+'Fórmula'!G35*(INDEX(properties!A$1:CB$87,'Fórmula'!F35,34))+'Fórmula'!I35*(INDEX(properties!A$1:CB$87,'Fórmula'!H35,34))+'Fórmula'!K35*(INDEX(properties!A$1:CB$87,'Fórmula'!J35,34))</f>
        <v>16.944</v>
      </c>
      <c r="DH35" s="104">
        <f t="array" ref="DH35">VARP(IF(INDEX(properties!A$1:CB$87,'Fórmula'!B35,34)&lt;&gt;"",INDEX(properties!A$1:CB$87,'Fórmula'!B35,34)),IF(INDEX(properties!A$1:CB$87,'Fórmula'!D35,34)&lt;&gt;"",INDEX(properties!A$1:CB$87,'Fórmula'!D35,34)),IF(INDEX(properties!A$1:CB$87,'Fórmula'!F35,34)&lt;&gt;"",INDEX(properties!A$1:CB$87,'Fórmula'!F35,34)),IF(INDEX(properties!A$1:CB$87,'Fórmula'!H35,34)&lt;&gt;"",INDEX(properties!A$1:CB$87,'Fórmula'!H35,34)),IF(INDEX(properties!A$1:CB$87,'Fórmula'!J35,34)&lt;&gt;"",INDEX(properties!A$1:CB$87,'Fórmula'!J35,34)))</f>
        <v>1.75719136</v>
      </c>
      <c r="DI35" s="104">
        <f t="array" ref="DI35">MAX(INDEX(properties!A$1:CB$87,'Fórmula'!B35,34),INDEX(properties!A$1:CB$87,'Fórmula'!D35,34),INDEX(properties!A$1:CB$87,'Fórmula'!F35,34),INDEX(properties!A$1:CB$87,'Fórmula'!H35,34),INDEX(properties!A$1:CB$87,'Fórmula'!J35,34))</f>
        <v>3.61</v>
      </c>
      <c r="DJ35" s="104">
        <f t="array" ref="DJ35">MIN(IF(INDEX(properties!A$1:CB$87,'Fórmula'!B35,34)=0,10^6,INDEX(properties!A$1:CB$87,'Fórmula'!B35,34)),IF(INDEX(properties!A$1:CB$87,'Fórmula'!D35,34)=0,10^6,INDEX(properties!A$1:CB$87,'Fórmula'!D35,34)),IF(INDEX(properties!A$1:CB$87,'Fórmula'!F35,34)=0,10^6,INDEX(properties!A$1:CB$87,'Fórmula'!F35,34)),IF(INDEX(properties!A$1:CB$87,'Fórmula'!H35,34)=0,10^6,INDEX(properties!A$1:CB$87,'Fórmula'!H35,34)),IF(INDEX(properties!A$1:CB$87,'Fórmula'!J35,34)=0,10^6,INDEX(properties!A$1:CB$87,'Fórmula'!J35,34)))</f>
        <v>1.034</v>
      </c>
      <c r="DK35" s="104">
        <f t="shared" si="19"/>
        <v>2.576</v>
      </c>
      <c r="DL35" s="105" t="str">
        <f t="array" ref="DL35">(('Fórmula'!C35)/('Fórmula'!C35+'Fórmula'!E35+'Fórmula'!G35+'Fórmula'!I35+'Fórmula'!K35))*(INDEX(properties!A$1:CB$87,'Fórmula'!B35,37))+(('Fórmula'!E35)/('Fórmula'!C35+'Fórmula'!E35+'Fórmula'!G35+'Fórmula'!I35+'Fórmula'!K35))*(INDEX(properties!A$1:CB$87,'Fórmula'!D35,37))+(('Fórmula'!G35)/('Fórmula'!C35+'Fórmula'!E35+'Fórmula'!G35+'Fórmula'!I35+'Fórmula'!K35))*(INDEX(properties!A$1:CB$87,'Fórmula'!F35,37))+(('Fórmula'!I35)/('Fórmula'!C35+'Fórmula'!E35+'Fórmula'!G35+'Fórmula'!I35+'Fórmula'!K35))*(INDEX(properties!A$1:CB$87,'Fórmula'!H35,37))+(('Fórmula'!K35)/('Fórmula'!C35+'Fórmula'!E35+'Fórmula'!G35+'Fórmula'!I35+'Fórmula'!K35))*(INDEX(properties!A$1:CB$87,'Fórmula'!J35,37))</f>
        <v>#VALUE!</v>
      </c>
      <c r="DM35" s="105" t="str">
        <f t="array" ref="DM35">'Fórmula'!C35*(INDEX(properties!A$1:CB$87,'Fórmula'!B35,37))+'Fórmula'!E35*(INDEX(properties!A$1:CB$87,'Fórmula'!D35,37))+'Fórmula'!G35*(INDEX(properties!A$1:CB$87,'Fórmula'!F35,37))+'Fórmula'!I35*(INDEX(properties!A$1:CB$87,'Fórmula'!H35,37))+'Fórmula'!K35*(INDEX(properties!A$1:CB$87,'Fórmula'!J35,37))</f>
        <v>#VALUE!</v>
      </c>
      <c r="DN35" s="105">
        <f t="array" ref="DN35">VARP(IF(INDEX(properties!A$1:CB$87,'Fórmula'!B35,37)&lt;&gt;"",INDEX(properties!A$1:CB$87,'Fórmula'!B35,37)),IF(INDEX(properties!A$1:CB$87,'Fórmula'!D35,37)&lt;&gt;"",INDEX(properties!A$1:CB$87,'Fórmula'!D35,37)),IF(INDEX(properties!A$1:CB$87,'Fórmula'!F35,37)&lt;&gt;"",INDEX(properties!A$1:CB$87,'Fórmula'!F35,37)),IF(INDEX(properties!A$1:CB$87,'Fórmula'!H35,37)&lt;&gt;"",INDEX(properties!A$1:CB$87,'Fórmula'!H35,37)),IF(INDEX(properties!A$1:CB$87,'Fórmula'!J35,37)&lt;&gt;"",INDEX(properties!A$1:CB$87,'Fórmula'!J35,37)))</f>
        <v>1.98796875</v>
      </c>
      <c r="DO35" s="105">
        <f t="array" ref="DO35">MAX(INDEX(properties!A$1:CB$87,'Fórmula'!B35,37),INDEX(properties!A$1:CB$87,'Fórmula'!D35,37),INDEX(properties!A$1:CB$87,'Fórmula'!F35,37),INDEX(properties!A$1:CB$87,'Fórmula'!H35,37),INDEX(properties!A$1:CB$87,'Fórmula'!J35,37))</f>
        <v>3.45</v>
      </c>
      <c r="DP35" s="105">
        <f t="array" ref="DP35">MIN(IF(INDEX(properties!A$1:CB$87,'Fórmula'!B35,37)=0,10^6,INDEX(properties!A$1:CB$87,'Fórmula'!B35,37)),IF(INDEX(properties!A$1:CB$87,'Fórmula'!D35,37)=0,10^6,INDEX(properties!A$1:CB$87,'Fórmula'!D35,37)),IF(INDEX(properties!A$1:CB$87,'Fórmula'!F35,37)=0,10^6,INDEX(properties!A$1:CB$87,'Fórmula'!F35,37)),IF(INDEX(properties!A$1:CB$87,'Fórmula'!H35,37)=0,10^6,INDEX(properties!A$1:CB$87,'Fórmula'!H35,37)),IF(INDEX(properties!A$1:CB$87,'Fórmula'!J35,37)=0,10^6,INDEX(properties!A$1:CB$87,'Fórmula'!J35,37)))</f>
        <v>1</v>
      </c>
      <c r="DQ35" s="105">
        <f t="shared" si="20"/>
        <v>2.45</v>
      </c>
      <c r="DR35" s="109">
        <f t="array" ref="DR35">(('Fórmula'!C35)/('Fórmula'!C35+'Fórmula'!E35+'Fórmula'!G35+'Fórmula'!I35+'Fórmula'!K35))*(INDEX(properties!A$1:CB$87,'Fórmula'!B35,39))+(('Fórmula'!E35)/('Fórmula'!C35+'Fórmula'!E35+'Fórmula'!G35+'Fórmula'!I35+'Fórmula'!K35))*(INDEX(properties!A$1:CB$87,'Fórmula'!D35,39))+(('Fórmula'!G35)/('Fórmula'!C35+'Fórmula'!E35+'Fórmula'!G35+'Fórmula'!I35+'Fórmula'!K35))*(INDEX(properties!A$1:CB$87,'Fórmula'!F35,39))+(('Fórmula'!I35)/('Fórmula'!C35+'Fórmula'!E35+'Fórmula'!G35+'Fórmula'!I35+'Fórmula'!K35))*(INDEX(properties!A$1:CB$87,'Fórmula'!H35,39))+(('Fórmula'!K35)/('Fórmula'!C35+'Fórmula'!E35+'Fórmula'!G35+'Fórmula'!I35+'Fórmula'!K35))*(INDEX(properties!A$1:CB$87,'Fórmula'!J35,39))</f>
        <v>0.965</v>
      </c>
      <c r="DS35" s="109">
        <f t="array" ref="DS35">'Fórmula'!C35*(INDEX(properties!A$1:CB$87,'Fórmula'!B35,39))+'Fórmula'!E35*(INDEX(properties!A$1:CB$87,'Fórmula'!D35,39))+'Fórmula'!G35*(INDEX(properties!A$1:CB$87,'Fórmula'!F35,39))+'Fórmula'!I35*(INDEX(properties!A$1:CB$87,'Fórmula'!H35,39))+'Fórmula'!K35*(INDEX(properties!A$1:CB$87,'Fórmula'!J35,39))</f>
        <v>5.79</v>
      </c>
      <c r="DT35" s="109">
        <f t="array" ref="DT35">VARP(IF(INDEX(properties!A$1:CB$87,'Fórmula'!B35,39)&lt;&gt;"",INDEX(properties!A$1:CB$87,'Fórmula'!B35,39)),IF(INDEX(properties!A$1:CB$87,'Fórmula'!D35,39)&lt;&gt;"",INDEX(properties!A$1:CB$87,'Fórmula'!D35,39)),IF(INDEX(properties!A$1:CB$87,'Fórmula'!F35,39)&lt;&gt;"",INDEX(properties!A$1:CB$87,'Fórmula'!F35,39)),IF(INDEX(properties!A$1:CB$87,'Fórmula'!H35,39)&lt;&gt;"",INDEX(properties!A$1:CB$87,'Fórmula'!H35,39)),IF(INDEX(properties!A$1:CB$87,'Fórmula'!J35,39)&lt;&gt;"",INDEX(properties!A$1:CB$87,'Fórmula'!J35,39)))</f>
        <v>0.78688</v>
      </c>
      <c r="DU35" s="120">
        <f t="array" ref="DU35">MAX(INDEX(properties!A$1:CB$87,'Fórmula'!B35,39),INDEX(properties!A$1:CB$87,'Fórmula'!D35,39),INDEX(properties!A$1:CB$87,'Fórmula'!F35,39),INDEX(properties!A$1:CB$87,'Fórmula'!H35,39),INDEX(properties!A$1:CB$87,'Fórmula'!J35,39))</f>
        <v>1.94</v>
      </c>
      <c r="DV35" s="120">
        <f t="array" ref="DV35">MIN(IF(INDEX(properties!A$1:CB$87,'Fórmula'!B35,39)=0,10^6,INDEX(properties!A$1:CB$87,'Fórmula'!B35,39)),IF(INDEX(properties!A$1:CB$87,'Fórmula'!D35,39)=0,10^6,INDEX(properties!A$1:CB$87,'Fórmula'!D35,39)),IF(INDEX(properties!A$1:CB$87,'Fórmula'!F35,39)=0,10^6,INDEX(properties!A$1:CB$87,'Fórmula'!F35,39)),IF(INDEX(properties!A$1:CB$87,'Fórmula'!H35,39)=0,10^6,INDEX(properties!A$1:CB$87,'Fórmula'!H35,39)),IF(INDEX(properties!A$1:CB$87,'Fórmula'!J35,39)=0,10^6,INDEX(properties!A$1:CB$87,'Fórmula'!J35,39)))</f>
        <v>0.48</v>
      </c>
      <c r="DW35" s="109">
        <f t="shared" si="21"/>
        <v>1.46</v>
      </c>
      <c r="DX35" s="110">
        <f t="array" ref="DX35">(('Fórmula'!C35)/('Fórmula'!C35+'Fórmula'!E35+'Fórmula'!G35+'Fórmula'!I35+'Fórmula'!K35))*(INDEX(properties!A$1:CB$87,'Fórmula'!B35,40))+(('Fórmula'!E35)/('Fórmula'!C35+'Fórmula'!E35+'Fórmula'!G35+'Fórmula'!I35+'Fórmula'!K35))*(INDEX(properties!A$1:CB$87,'Fórmula'!D35,40))+(('Fórmula'!G35)/('Fórmula'!C35+'Fórmula'!E35+'Fórmula'!G35+'Fórmula'!I35+'Fórmula'!K35))*(INDEX(properties!A$1:CB$87,'Fórmula'!F35,40))+(('Fórmula'!I35)/('Fórmula'!C35+'Fórmula'!E35+'Fórmula'!G35+'Fórmula'!I35+'Fórmula'!K35))*(INDEX(properties!A$1:CB$87,'Fórmula'!H35,40))+(('Fórmula'!K35)/('Fórmula'!C35+'Fórmula'!E35+'Fórmula'!G35+'Fórmula'!I35+'Fórmula'!K35))*(INDEX(properties!A$1:CB$87,'Fórmula'!J35,40))</f>
        <v>1.02</v>
      </c>
      <c r="DY35" s="110">
        <f t="array" ref="DY35">'Fórmula'!C35*(INDEX(properties!A$1:CB$87,'Fórmula'!B35,40))+'Fórmula'!E35*(INDEX(properties!A$1:CB$87,'Fórmula'!D35,40))+'Fórmula'!G35*(INDEX(properties!A$1:CB$87,'Fórmula'!F35,40))+'Fórmula'!I35*(INDEX(properties!A$1:CB$87,'Fórmula'!H35,40))+'Fórmula'!K35*(INDEX(properties!A$1:CB$87,'Fórmula'!J35,40))</f>
        <v>6.12</v>
      </c>
      <c r="DZ35" s="110">
        <f t="array" ref="DZ35">VARP(IF(INDEX(properties!A$1:CB$87,'Fórmula'!B35,40)&lt;&gt;"",INDEX(properties!A$1:CB$87,'Fórmula'!B35,40)),IF(INDEX(properties!A$1:CB$87,'Fórmula'!D35,40)&lt;&gt;"",INDEX(properties!A$1:CB$87,'Fórmula'!D35,40)),IF(INDEX(properties!A$1:CB$87,'Fórmula'!F35,40)&lt;&gt;"",INDEX(properties!A$1:CB$87,'Fórmula'!F35,40)),IF(INDEX(properties!A$1:CB$87,'Fórmula'!H35,40)&lt;&gt;"",INDEX(properties!A$1:CB$87,'Fórmula'!H35,40)),IF(INDEX(properties!A$1:CB$87,'Fórmula'!J35,40)&lt;&gt;"",INDEX(properties!A$1:CB$87,'Fórmula'!J35,40)))</f>
        <v>0.520624</v>
      </c>
      <c r="EA35" s="121">
        <f t="array" ref="EA35">MAX(INDEX(properties!A$1:CB$87,'Fórmula'!B35,40),INDEX(properties!A$1:CB$87,'Fórmula'!D35,40),INDEX(properties!A$1:CB$87,'Fórmula'!F35,40),INDEX(properties!A$1:CB$87,'Fórmula'!H35,40),INDEX(properties!A$1:CB$87,'Fórmula'!J35,40))</f>
        <v>1.74</v>
      </c>
      <c r="EB35" s="121">
        <f t="array" ref="EB35">MIN(IF(INDEX(properties!A$1:CB$87,'Fórmula'!B35,40)=0,10^6,INDEX(properties!A$1:CB$87,'Fórmula'!B35,40)),IF(INDEX(properties!A$1:CB$87,'Fórmula'!D35,40)=0,10^6,INDEX(properties!A$1:CB$87,'Fórmula'!D35,40)),IF(INDEX(properties!A$1:CB$87,'Fórmula'!F35,40)=0,10^6,INDEX(properties!A$1:CB$87,'Fórmula'!F35,40)),IF(INDEX(properties!A$1:CB$87,'Fórmula'!H35,40)=0,10^6,INDEX(properties!A$1:CB$87,'Fórmula'!H35,40)),IF(INDEX(properties!A$1:CB$87,'Fórmula'!J35,40)=0,10^6,INDEX(properties!A$1:CB$87,'Fórmula'!J35,40)))</f>
        <v>0.73</v>
      </c>
      <c r="EC35" s="110">
        <f t="shared" si="22"/>
        <v>1.01</v>
      </c>
      <c r="ED35" s="111">
        <f t="array" ref="ED35">(('Fórmula'!C35)/('Fórmula'!C35+'Fórmula'!E35+'Fórmula'!G35+'Fórmula'!I35+'Fórmula'!K35))*(INDEX(properties!A$1:CB$87,'Fórmula'!B35,41))+(('Fórmula'!E35)/('Fórmula'!C35+'Fórmula'!E35+'Fórmula'!G35+'Fórmula'!I35+'Fórmula'!K35))*(INDEX(properties!A$1:CB$87,'Fórmula'!D35,41))+(('Fórmula'!G35)/('Fórmula'!C35+'Fórmula'!E35+'Fórmula'!G35+'Fórmula'!I35+'Fórmula'!K35))*(INDEX(properties!A$1:CB$87,'Fórmula'!F35,41))+(('Fórmula'!I35)/('Fórmula'!C35+'Fórmula'!E35+'Fórmula'!G35+'Fórmula'!I35+'Fórmula'!K35))*(INDEX(properties!A$1:CB$87,'Fórmula'!H35,41))+(('Fórmula'!K35)/('Fórmula'!C35+'Fórmula'!E35+'Fórmula'!G35+'Fórmula'!I35+'Fórmula'!K35))*(INDEX(properties!A$1:CB$87,'Fórmula'!J35,41))</f>
        <v>1.163333333</v>
      </c>
      <c r="EE35" s="111">
        <f t="array" ref="EE35">'Fórmula'!C35*(INDEX(properties!A$1:CB$87,'Fórmula'!B35,41))+'Fórmula'!E35*(INDEX(properties!A$1:CB$87,'Fórmula'!D35,41))+'Fórmula'!G35*(INDEX(properties!A$1:CB$87,'Fórmula'!F35,41))+'Fórmula'!I35*(INDEX(properties!A$1:CB$87,'Fórmula'!H35,41))+'Fórmula'!K35*(INDEX(properties!A$1:CB$87,'Fórmula'!J35,41))</f>
        <v>6.98</v>
      </c>
      <c r="EF35" s="111">
        <f t="array" ref="EF35">VARP(IF(INDEX(properties!A$1:CB$87,'Fórmula'!B35,41)&lt;&gt;"",INDEX(properties!A$1:CB$87,'Fórmula'!B35,41)),IF(INDEX(properties!A$1:CB$87,'Fórmula'!D35,41)&lt;&gt;"",INDEX(properties!A$1:CB$87,'Fórmula'!D35,41)),IF(INDEX(properties!A$1:CB$87,'Fórmula'!F35,41)&lt;&gt;"",INDEX(properties!A$1:CB$87,'Fórmula'!F35,41)),IF(INDEX(properties!A$1:CB$87,'Fórmula'!H35,41)&lt;&gt;"",INDEX(properties!A$1:CB$87,'Fórmula'!H35,41)),IF(INDEX(properties!A$1:CB$87,'Fórmula'!J35,41)&lt;&gt;"",INDEX(properties!A$1:CB$87,'Fórmula'!J35,41)))</f>
        <v>0.29584</v>
      </c>
      <c r="EG35" s="122">
        <f t="array" ref="EG35">MAX(INDEX(properties!A$1:CB$87,'Fórmula'!B35,41),INDEX(properties!A$1:CB$87,'Fórmula'!D35,41),INDEX(properties!A$1:CB$87,'Fórmula'!F35,41),INDEX(properties!A$1:CB$87,'Fórmula'!H35,41),INDEX(properties!A$1:CB$87,'Fórmula'!J35,41))</f>
        <v>1.26</v>
      </c>
      <c r="EH35" s="122">
        <f t="array" ref="EH35">MIN(IF(INDEX(properties!A$1:CB$87,'Fórmula'!B35,41)=0,10^6,INDEX(properties!A$1:CB$87,'Fórmula'!B35,41)),IF(INDEX(properties!A$1:CB$87,'Fórmula'!D35,41)=0,10^6,INDEX(properties!A$1:CB$87,'Fórmula'!D35,41)),IF(INDEX(properties!A$1:CB$87,'Fórmula'!F35,41)=0,10^6,INDEX(properties!A$1:CB$87,'Fórmula'!F35,41)),IF(INDEX(properties!A$1:CB$87,'Fórmula'!H35,41)=0,10^6,INDEX(properties!A$1:CB$87,'Fórmula'!H35,41)),IF(INDEX(properties!A$1:CB$87,'Fórmula'!J35,41)=0,10^6,INDEX(properties!A$1:CB$87,'Fórmula'!J35,41)))</f>
        <v>0.8</v>
      </c>
      <c r="EI35" s="111">
        <f t="shared" si="23"/>
        <v>0.46</v>
      </c>
      <c r="EJ35" s="112">
        <f t="array" ref="EJ35">(('Fórmula'!C35)/('Fórmula'!C35+'Fórmula'!E35+'Fórmula'!G35+'Fórmula'!I35+'Fórmula'!K35))*(INDEX(properties!A$1:CB$87,'Fórmula'!B35,45))+(('Fórmula'!E35)/('Fórmula'!C35+'Fórmula'!E35+'Fórmula'!G35+'Fórmula'!I35+'Fórmula'!K35))*(INDEX(properties!A$1:CB$87,'Fórmula'!D35,45))+(('Fórmula'!G35)/('Fórmula'!C35+'Fórmula'!E35+'Fórmula'!G35+'Fórmula'!I35+'Fórmula'!K35))*(INDEX(properties!A$1:CB$87,'Fórmula'!F35,45))+(('Fórmula'!I35)/('Fórmula'!C35+'Fórmula'!E35+'Fórmula'!G35+'Fórmula'!I35+'Fórmula'!K35))*(INDEX(properties!A$1:CB$87,'Fórmula'!H35,45))+(('Fórmula'!K35)/('Fórmula'!C35+'Fórmula'!E35+'Fórmula'!G35+'Fórmula'!I35+'Fórmula'!K35))*(INDEX(properties!A$1:CB$87,'Fórmula'!J35,45))</f>
        <v>1.27</v>
      </c>
      <c r="EK35" s="112">
        <f t="array" ref="EK35">'Fórmula'!C35*(INDEX(properties!A$1:CB$87,'Fórmula'!B35,45))+'Fórmula'!E35*(INDEX(properties!A$1:CB$87,'Fórmula'!D35,45))+'Fórmula'!G35*(INDEX(properties!A$1:CB$87,'Fórmula'!F35,45))+'Fórmula'!I35*(INDEX(properties!A$1:CB$87,'Fórmula'!H35,45))+'Fórmula'!K35*(INDEX(properties!A$1:CB$87,'Fórmula'!J35,45))</f>
        <v>7.62</v>
      </c>
      <c r="EL35" s="112">
        <f t="array" ref="EL35">VARP(IF(INDEX(properties!A$1:CB$87,'Fórmula'!B35,45)&lt;&gt;"",INDEX(properties!A$1:CB$87,'Fórmula'!B35,45)),IF(INDEX(properties!A$1:CB$87,'Fórmula'!D35,45)&lt;&gt;"",INDEX(properties!A$1:CB$87,'Fórmula'!D35,45)),IF(INDEX(properties!A$1:CB$87,'Fórmula'!F35,45)&lt;&gt;"",INDEX(properties!A$1:CB$87,'Fórmula'!F35,45)),IF(INDEX(properties!A$1:CB$87,'Fórmula'!H35,45)&lt;&gt;"",INDEX(properties!A$1:CB$87,'Fórmula'!H35,45)),IF(INDEX(properties!A$1:CB$87,'Fórmula'!J35,45)&lt;&gt;"",INDEX(properties!A$1:CB$87,'Fórmula'!J35,45)))</f>
        <v>1.803136</v>
      </c>
      <c r="EM35" s="123">
        <f t="array" ref="EM35">MAX(INDEX(properties!A$1:CB$87,'Fórmula'!B35,45),INDEX(properties!A$1:CB$87,'Fórmula'!D35,45),INDEX(properties!A$1:CB$87,'Fórmula'!F35,45),INDEX(properties!A$1:CB$87,'Fórmula'!H35,45),INDEX(properties!A$1:CB$87,'Fórmula'!J35,45))</f>
        <v>3</v>
      </c>
      <c r="EN35" s="123">
        <f t="array" ref="EN35">MIN(IF(INDEX(properties!A$1:CB$87,'Fórmula'!B35,45)=0,10^6,INDEX(properties!A$1:CB$87,'Fórmula'!B35,45)),IF(INDEX(properties!A$1:CB$87,'Fórmula'!D35,45)=0,10^6,INDEX(properties!A$1:CB$87,'Fórmula'!D35,45)),IF(INDEX(properties!A$1:CB$87,'Fórmula'!F35,45)=0,10^6,INDEX(properties!A$1:CB$87,'Fórmula'!F35,45)),IF(INDEX(properties!A$1:CB$87,'Fórmula'!H35,45)=0,10^6,INDEX(properties!A$1:CB$87,'Fórmula'!H35,45)),IF(INDEX(properties!A$1:CB$87,'Fórmula'!J35,45)=0,10^6,INDEX(properties!A$1:CB$87,'Fórmula'!J35,45)))</f>
        <v>0.47</v>
      </c>
      <c r="EO35" s="112">
        <f t="shared" si="24"/>
        <v>2.53</v>
      </c>
      <c r="EP35" s="113">
        <f t="array" ref="EP35">(('Fórmula'!C35)/('Fórmula'!C35+'Fórmula'!E35+'Fórmula'!G35+'Fórmula'!I35+'Fórmula'!K35))*(INDEX(properties!A$1:CB$87,'Fórmula'!B35,46))+(('Fórmula'!E35)/('Fórmula'!C35+'Fórmula'!E35+'Fórmula'!G35+'Fórmula'!I35+'Fórmula'!K35))*(INDEX(properties!A$1:CB$87,'Fórmula'!D35,46))+(('Fórmula'!G35)/('Fórmula'!C35+'Fórmula'!E35+'Fórmula'!G35+'Fórmula'!I35+'Fórmula'!K35))*(INDEX(properties!A$1:CB$87,'Fórmula'!F35,46))+(('Fórmula'!I35)/('Fórmula'!C35+'Fórmula'!E35+'Fórmula'!G35+'Fórmula'!I35+'Fórmula'!K35))*(INDEX(properties!A$1:CB$87,'Fórmula'!H35,46))+(('Fórmula'!K35)/('Fórmula'!C35+'Fórmula'!E35+'Fórmula'!G35+'Fórmula'!I35+'Fórmula'!K35))*(INDEX(properties!A$1:CB$87,'Fórmula'!J35,46))</f>
        <v>1.12</v>
      </c>
      <c r="EQ35" s="113">
        <f t="array" ref="EQ35">'Fórmula'!C35*(INDEX(properties!A$1:CB$87,'Fórmula'!B35,46))+'Fórmula'!E35*(INDEX(properties!A$1:CB$87,'Fórmula'!D35,46))+'Fórmula'!G35*(INDEX(properties!A$1:CB$87,'Fórmula'!F35,46))+'Fórmula'!I35*(INDEX(properties!A$1:CB$87,'Fórmula'!H35,46))+'Fórmula'!K35*(INDEX(properties!A$1:CB$87,'Fórmula'!J35,46))</f>
        <v>6.72</v>
      </c>
      <c r="ER35" s="113">
        <f t="array" ref="ER35">VARP(IF(INDEX(properties!A$1:CB$87,'Fórmula'!B35,46)&lt;&gt;"",INDEX(properties!A$1:CB$87,'Fórmula'!B35,46)),IF(INDEX(properties!A$1:CB$87,'Fórmula'!D35,46)&lt;&gt;"",INDEX(properties!A$1:CB$87,'Fórmula'!D35,46)),IF(INDEX(properties!A$1:CB$87,'Fórmula'!F35,46)&lt;&gt;"",INDEX(properties!A$1:CB$87,'Fórmula'!F35,46)),IF(INDEX(properties!A$1:CB$87,'Fórmula'!H35,46)&lt;&gt;"",INDEX(properties!A$1:CB$87,'Fórmula'!H35,46)),IF(INDEX(properties!A$1:CB$87,'Fórmula'!J35,46)&lt;&gt;"",INDEX(properties!A$1:CB$87,'Fórmula'!J35,46)))</f>
        <v>0.280336</v>
      </c>
      <c r="ES35" s="124">
        <f t="array" ref="ES35">MAX(INDEX(properties!A$1:CB$87,'Fórmula'!B35,46),INDEX(properties!A$1:CB$87,'Fórmula'!D35,46),INDEX(properties!A$1:CB$87,'Fórmula'!F35,46),INDEX(properties!A$1:CB$87,'Fórmula'!H35,46),INDEX(properties!A$1:CB$87,'Fórmula'!J35,46))</f>
        <v>1.21</v>
      </c>
      <c r="ET35" s="124">
        <f t="array" ref="ET35">MIN(IF(INDEX(properties!A$1:CB$87,'Fórmula'!B35,46)=0,10^6,INDEX(properties!A$1:CB$87,'Fórmula'!B35,46)),IF(INDEX(properties!A$1:CB$87,'Fórmula'!D35,46)=0,10^6,INDEX(properties!A$1:CB$87,'Fórmula'!D35,46)),IF(INDEX(properties!A$1:CB$87,'Fórmula'!F35,46)=0,10^6,INDEX(properties!A$1:CB$87,'Fórmula'!F35,46)),IF(INDEX(properties!A$1:CB$87,'Fórmula'!H35,46)=0,10^6,INDEX(properties!A$1:CB$87,'Fórmula'!H35,46)),IF(INDEX(properties!A$1:CB$87,'Fórmula'!J35,46)=0,10^6,INDEX(properties!A$1:CB$87,'Fórmula'!J35,46)))</f>
        <v>0.74</v>
      </c>
      <c r="EU35" s="113">
        <f t="shared" si="25"/>
        <v>0.47</v>
      </c>
      <c r="EV35" s="114">
        <f t="array" ref="EV35">(('Fórmula'!C35)/('Fórmula'!C35+'Fórmula'!E35+'Fórmula'!G35+'Fórmula'!I35+'Fórmula'!K35))*(INDEX(properties!A$1:CB$87,'Fórmula'!B35,52))+(('Fórmula'!E35)/('Fórmula'!C35+'Fórmula'!E35+'Fórmula'!G35+'Fórmula'!I35+'Fórmula'!K35))*(INDEX(properties!A$1:CB$87,'Fórmula'!D35,52))+(('Fórmula'!G35)/('Fórmula'!C35+'Fórmula'!E35+'Fórmula'!G35+'Fórmula'!I35+'Fórmula'!K35))*(INDEX(properties!A$1:CB$87,'Fórmula'!F35,52))+(('Fórmula'!I35)/('Fórmula'!C35+'Fórmula'!E35+'Fórmula'!G35+'Fórmula'!I35+'Fórmula'!K35))*(INDEX(properties!A$1:CB$87,'Fórmula'!H35,52))+(('Fórmula'!K35)/('Fórmula'!C35+'Fórmula'!E35+'Fórmula'!G35+'Fórmula'!I35+'Fórmula'!K35))*(INDEX(properties!A$1:CB$87,'Fórmula'!J35,52))</f>
        <v>6.178666667</v>
      </c>
      <c r="EW35" s="114">
        <f t="array" ref="EW35">'Fórmula'!C35*(INDEX(properties!A$1:CB$87,'Fórmula'!B35,52))+'Fórmula'!E35*(INDEX(properties!A$1:CB$87,'Fórmula'!D35,52))+'Fórmula'!G35*(INDEX(properties!A$1:CB$87,'Fórmula'!F35,52))+'Fórmula'!I35*(INDEX(properties!A$1:CB$87,'Fórmula'!H35,52))+'Fórmula'!K35*(INDEX(properties!A$1:CB$87,'Fórmula'!J35,52))</f>
        <v>37.072</v>
      </c>
      <c r="EX35" s="114">
        <f t="array" ref="EX35">VARP(IF(INDEX(properties!A$1:CB$87,'Fórmula'!B35,52)&lt;&gt;"",INDEX(properties!A$1:CB$87,'Fórmula'!B35,52)),IF(INDEX(properties!A$1:CB$87,'Fórmula'!D35,52)&lt;&gt;"",INDEX(properties!A$1:CB$87,'Fórmula'!D35,52)),IF(INDEX(properties!A$1:CB$87,'Fórmula'!F35,52)&lt;&gt;"",INDEX(properties!A$1:CB$87,'Fórmula'!F35,52)),IF(INDEX(properties!A$1:CB$87,'Fórmula'!H35,52)&lt;&gt;"",INDEX(properties!A$1:CB$87,'Fórmula'!H35,52)),IF(INDEX(properties!A$1:CB$87,'Fórmula'!J35,52)&lt;&gt;"",INDEX(properties!A$1:CB$87,'Fórmula'!J35,52)))</f>
        <v>80.59159984</v>
      </c>
      <c r="EY35" s="114">
        <f t="array" ref="EY35">MAX(INDEX(properties!A$1:CB$87,'Fórmula'!B35,52),INDEX(properties!A$1:CB$87,'Fórmula'!D35,52),INDEX(properties!A$1:CB$87,'Fórmula'!F35,52),INDEX(properties!A$1:CB$87,'Fórmula'!H35,52),INDEX(properties!A$1:CB$87,'Fórmula'!J35,52))</f>
        <v>22.8</v>
      </c>
      <c r="EZ35" s="114">
        <f t="array" ref="EZ35">MIN(IF(INDEX(properties!A$1:CB$87,'Fórmula'!B35,52)=0,10^6,INDEX(properties!A$1:CB$87,'Fórmula'!B35,52)),IF(INDEX(properties!A$1:CB$87,'Fórmula'!D35,52)=0,10^6,INDEX(properties!A$1:CB$87,'Fórmula'!D35,52)),IF(INDEX(properties!A$1:CB$87,'Fórmula'!F35,52)=0,10^6,INDEX(properties!A$1:CB$87,'Fórmula'!F35,52)),IF(INDEX(properties!A$1:CB$87,'Fórmula'!H35,52)=0,10^6,INDEX(properties!A$1:CB$87,'Fórmula'!H35,52)),IF(INDEX(properties!A$1:CB$87,'Fórmula'!J35,52)=0,10^6,INDEX(properties!A$1:CB$87,'Fórmula'!J35,52)))</f>
        <v>0.793</v>
      </c>
      <c r="FA35" s="114">
        <f t="shared" si="26"/>
        <v>22.007</v>
      </c>
      <c r="FB35" s="115">
        <f t="array" ref="FB35">(('Fórmula'!C35)/('Fórmula'!C35+'Fórmula'!E35+'Fórmula'!G35+'Fórmula'!I35+'Fórmula'!K35))*(INDEX(properties!A$1:CB$87,'Fórmula'!B35,53))+(('Fórmula'!E35)/('Fórmula'!C35+'Fórmula'!E35+'Fórmula'!G35+'Fórmula'!I35+'Fórmula'!K35))*(INDEX(properties!A$1:CB$87,'Fórmula'!D35,53))+(('Fórmula'!G35)/('Fórmula'!C35+'Fórmula'!E35+'Fórmula'!G35+'Fórmula'!I35+'Fórmula'!K35))*(INDEX(properties!A$1:CB$87,'Fórmula'!F35,53))+(('Fórmula'!I35)/('Fórmula'!C35+'Fórmula'!E35+'Fórmula'!G35+'Fórmula'!I35+'Fórmula'!K35))*(INDEX(properties!A$1:CB$87,'Fórmula'!H35,53))+(('Fórmula'!K35)/('Fórmula'!C35+'Fórmula'!E35+'Fórmula'!G35+'Fórmula'!I35+'Fórmula'!K35))*(INDEX(properties!A$1:CB$87,'Fórmula'!J35,53))</f>
        <v>835.7166667</v>
      </c>
      <c r="FC35" s="115">
        <f t="array" ref="FC35">'Fórmula'!C35*(INDEX(properties!A$1:CB$87,'Fórmula'!B35,53))+'Fórmula'!E35*(INDEX(properties!A$1:CB$87,'Fórmula'!D35,53))+'Fórmula'!G35*(INDEX(properties!A$1:CB$87,'Fórmula'!F35,53))+'Fórmula'!I35*(INDEX(properties!A$1:CB$87,'Fórmula'!H35,53))+'Fórmula'!K35*(INDEX(properties!A$1:CB$87,'Fórmula'!J35,53))</f>
        <v>5014.3</v>
      </c>
      <c r="FD35" s="115">
        <f t="array" ref="FD35">VARP(IF(INDEX(properties!A$1:CB$87,'Fórmula'!B35,53)&lt;&gt;"",INDEX(properties!A$1:CB$87,'Fórmula'!B35,53)),IF(INDEX(properties!A$1:CB$87,'Fórmula'!D35,53)&lt;&gt;"",INDEX(properties!A$1:CB$87,'Fórmula'!D35,53)),IF(INDEX(properties!A$1:CB$87,'Fórmula'!F35,53)&lt;&gt;"",INDEX(properties!A$1:CB$87,'Fórmula'!F35,53)),IF(INDEX(properties!A$1:CB$87,'Fórmula'!H35,53)&lt;&gt;"",INDEX(properties!A$1:CB$87,'Fórmula'!H35,53)),IF(INDEX(properties!A$1:CB$87,'Fórmula'!J35,53)&lt;&gt;"",INDEX(properties!A$1:CB$87,'Fórmula'!J35,53)))</f>
        <v>2020174.421</v>
      </c>
      <c r="FE35" s="115">
        <f t="array" ref="FE35">MAX(INDEX(properties!A$1:CB$87,'Fórmula'!B35,53),INDEX(properties!A$1:CB$87,'Fórmula'!D35,53),INDEX(properties!A$1:CB$87,'Fórmula'!F35,53),INDEX(properties!A$1:CB$87,'Fórmula'!H35,53),INDEX(properties!A$1:CB$87,'Fórmula'!J35,53))</f>
        <v>3683.15</v>
      </c>
      <c r="FF35" s="115">
        <f t="array" ref="FF35">MIN(IF(INDEX(properties!A$1:CB$87,'Fórmula'!B35,53)=0,10^6,INDEX(properties!A$1:CB$87,'Fórmula'!B35,53)),IF(INDEX(properties!A$1:CB$87,'Fórmula'!D35,53)=0,10^6,INDEX(properties!A$1:CB$87,'Fórmula'!D35,53)),IF(INDEX(properties!A$1:CB$87,'Fórmula'!F35,53)=0,10^6,INDEX(properties!A$1:CB$87,'Fórmula'!F35,53)),IF(INDEX(properties!A$1:CB$87,'Fórmula'!H35,53)=0,10^6,INDEX(properties!A$1:CB$87,'Fórmula'!H35,53)),IF(INDEX(properties!A$1:CB$87,'Fórmula'!J35,53)=0,10^6,INDEX(properties!A$1:CB$87,'Fórmula'!J35,53)))</f>
        <v>54.75</v>
      </c>
      <c r="FG35" s="115">
        <f t="shared" si="27"/>
        <v>3628.4</v>
      </c>
      <c r="FH35" s="117">
        <f t="array" ref="FH35">(('Fórmula'!C35)/('Fórmula'!C35+'Fórmula'!E35+'Fórmula'!G35+'Fórmula'!I35+'Fórmula'!K35))*(INDEX(properties!A$1:CB$87,'Fórmula'!B35,54))+(('Fórmula'!E35)/('Fórmula'!C35+'Fórmula'!E35+'Fórmula'!G35+'Fórmula'!I35+'Fórmula'!K35))*(INDEX(properties!A$1:CB$87,'Fórmula'!D35,54))+(('Fórmula'!G35)/('Fórmula'!C35+'Fórmula'!E35+'Fórmula'!G35+'Fórmula'!I35+'Fórmula'!K35))*(INDEX(properties!A$1:CB$87,'Fórmula'!F35,54))+(('Fórmula'!I35)/('Fórmula'!C35+'Fórmula'!E35+'Fórmula'!G35+'Fórmula'!I35+'Fórmula'!K35))*(INDEX(properties!A$1:CB$87,'Fórmula'!H35,54))+(('Fórmula'!K35)/('Fórmula'!C35+'Fórmula'!E35+'Fórmula'!G35+'Fórmula'!I35+'Fórmula'!K35))*(INDEX(properties!A$1:CB$87,'Fórmula'!J35,54))</f>
        <v>1341.816667</v>
      </c>
      <c r="FI35" s="117">
        <f t="array" ref="FI35">'Fórmula'!C35*(INDEX(properties!A$1:CB$87,'Fórmula'!B35,54))+'Fórmula'!E35*(INDEX(properties!A$1:CB$87,'Fórmula'!D35,54))+'Fórmula'!G35*(INDEX(properties!A$1:CB$87,'Fórmula'!F35,54))+'Fórmula'!I35*(INDEX(properties!A$1:CB$87,'Fórmula'!H35,54))+'Fórmula'!K35*(INDEX(properties!A$1:CB$87,'Fórmula'!J35,54))</f>
        <v>8050.9</v>
      </c>
      <c r="FJ35" s="117">
        <f t="array" ref="FJ35">VARP(IF(INDEX(properties!A$1:CB$87,'Fórmula'!B35,54)&lt;&gt;"",INDEX(properties!A$1:CB$87,'Fórmula'!B35,54)),IF(INDEX(properties!A$1:CB$87,'Fórmula'!D35,54)&lt;&gt;"",INDEX(properties!A$1:CB$87,'Fórmula'!D35,54)),IF(INDEX(properties!A$1:CB$87,'Fórmula'!F35,54)&lt;&gt;"",INDEX(properties!A$1:CB$87,'Fórmula'!F35,54)),IF(INDEX(properties!A$1:CB$87,'Fórmula'!H35,54)&lt;&gt;"",INDEX(properties!A$1:CB$87,'Fórmula'!H35,54)),IF(INDEX(properties!A$1:CB$87,'Fórmula'!J35,54)&lt;&gt;"",INDEX(properties!A$1:CB$87,'Fórmula'!J35,54)))</f>
        <v>5238178.325</v>
      </c>
      <c r="FK35" s="117">
        <f t="array" ref="FK35">MAX(INDEX(properties!A$1:CB$87,'Fórmula'!B35,54),INDEX(properties!A$1:CB$87,'Fórmula'!D35,54),INDEX(properties!A$1:CB$87,'Fórmula'!F35,54),INDEX(properties!A$1:CB$87,'Fórmula'!H35,54),INDEX(properties!A$1:CB$87,'Fórmula'!J35,54))</f>
        <v>5933.15</v>
      </c>
      <c r="FL35" s="117">
        <f t="array" ref="FL35">MIN(IF(INDEX(properties!A$1:CB$87,'Fórmula'!B35,54)=0,10^6,INDEX(properties!A$1:CB$87,'Fórmula'!B35,54)),IF(INDEX(properties!A$1:CB$87,'Fórmula'!D35,54)=0,10^6,INDEX(properties!A$1:CB$87,'Fórmula'!D35,54)),IF(INDEX(properties!A$1:CB$87,'Fórmula'!F35,54)=0,10^6,INDEX(properties!A$1:CB$87,'Fórmula'!F35,54)),IF(INDEX(properties!A$1:CB$87,'Fórmula'!H35,54)=0,10^6,INDEX(properties!A$1:CB$87,'Fórmula'!H35,54)),IF(INDEX(properties!A$1:CB$87,'Fórmula'!J35,54)=0,10^6,INDEX(properties!A$1:CB$87,'Fórmula'!J35,54)))</f>
        <v>90.15</v>
      </c>
      <c r="FM35" s="117">
        <f t="shared" si="28"/>
        <v>5843</v>
      </c>
      <c r="FN35" s="118">
        <f t="array" ref="FN35">(('Fórmula'!C35)/('Fórmula'!C35+'Fórmula'!E35+'Fórmula'!G35+'Fórmula'!I35+'Fórmula'!K35))*(INDEX(properties!A$1:CB$87,'Fórmula'!B35,55))+(('Fórmula'!E35)/('Fórmula'!C35+'Fórmula'!E35+'Fórmula'!G35+'Fórmula'!I35+'Fórmula'!K35))*(INDEX(properties!A$1:CB$87,'Fórmula'!D35,55))+(('Fórmula'!G35)/('Fórmula'!C35+'Fórmula'!E35+'Fórmula'!G35+'Fórmula'!I35+'Fórmula'!K35))*(INDEX(properties!A$1:CB$87,'Fórmula'!F35,55))+(('Fórmula'!I35)/('Fórmula'!C35+'Fórmula'!E35+'Fórmula'!G35+'Fórmula'!I35+'Fórmula'!K35))*(INDEX(properties!A$1:CB$87,'Fórmula'!H35,55))+(('Fórmula'!K35)/('Fórmula'!C35+'Fórmula'!E35+'Fórmula'!G35+'Fórmula'!I35+'Fórmula'!K35))*(INDEX(properties!A$1:CB$87,'Fórmula'!J35,55))</f>
        <v>3.475953333</v>
      </c>
      <c r="FO35" s="118">
        <f t="array" ref="FO35">'Fórmula'!C35*(INDEX(properties!A$1:CB$87,'Fórmula'!B35,55))+'Fórmula'!E35*(INDEX(properties!A$1:CB$87,'Fórmula'!D35,54))+'Fórmula'!G35*(INDEX(properties!A$1:CB$87,'Fórmula'!F35,55))+'Fórmula'!I35*(INDEX(properties!A$1:CB$87,'Fórmula'!H35,55))+'Fórmula'!K35*(INDEX(properties!A$1:CB$87,'Fórmula'!J35,55))</f>
        <v>5934.70572</v>
      </c>
      <c r="FP35" s="118">
        <f t="array" ref="FP35">VARP(IF(INDEX(properties!A$1:CB$87,'Fórmula'!B35,55)&lt;&gt;"",INDEX(properties!A$1:CB$87,'Fórmula'!B35,55)),IF(INDEX(properties!A$1:CB$87,'Fórmula'!D35,55)&lt;&gt;"",INDEX(properties!A$1:CB$87,'Fórmula'!D35,55)),IF(INDEX(properties!A$1:CB$87,'Fórmula'!F35,55)&lt;&gt;"",INDEX(properties!A$1:CB$87,'Fórmula'!F35,55)),IF(INDEX(properties!A$1:CB$87,'Fórmula'!H35,55)&lt;&gt;"",INDEX(properties!A$1:CB$87,'Fórmula'!H35,55)),IF(INDEX(properties!A$1:CB$87,'Fórmula'!J35,55)&lt;&gt;"",INDEX(properties!A$1:CB$87,'Fórmula'!J35,55)))</f>
        <v>57.58721509</v>
      </c>
      <c r="FQ35" s="118">
        <f t="array" ref="FQ35">MAX(INDEX(properties!A$1:CB$87,'Fórmula'!B35,55),INDEX(properties!A$1:CB$87,'Fórmula'!D35,55),INDEX(properties!A$1:CB$87,'Fórmula'!F35,55),INDEX(properties!A$1:CB$87,'Fórmula'!H35,55),INDEX(properties!A$1:CB$87,'Fórmula'!J35,55))</f>
        <v>19.3</v>
      </c>
      <c r="FR35" s="118">
        <f t="array" ref="FR35">MIN(IF(INDEX(properties!A$1:CB$87,'Fórmula'!B35,55)=0,10^6,INDEX(properties!A$1:CB$87,'Fórmula'!B35,55)),IF(INDEX(properties!A$1:CB$87,'Fórmula'!D35,55)=0,10^6,INDEX(properties!A$1:CB$87,'Fórmula'!D35,55)),IF(INDEX(properties!A$1:CB$87,'Fórmula'!F35,55)=0,10^6,INDEX(properties!A$1:CB$87,'Fórmula'!F35,55)),IF(INDEX(properties!A$1:CB$87,'Fórmula'!H35,55)=0,10^6,INDEX(properties!A$1:CB$87,'Fórmula'!H35,55)),IF(INDEX(properties!A$1:CB$87,'Fórmula'!J35,55)=0,10^6,INDEX(properties!A$1:CB$87,'Fórmula'!J35,55)))</f>
        <v>0.00143</v>
      </c>
      <c r="FS35" s="118">
        <f t="shared" si="29"/>
        <v>19.29857</v>
      </c>
      <c r="FT35" s="119">
        <f t="array" ref="FT35">(('Fórmula'!C35)/('Fórmula'!C35+'Fórmula'!E35+'Fórmula'!G35+'Fórmula'!I35+'Fórmula'!K35))*(INDEX(properties!A$1:CB$87,'Fórmula'!B35,56))+(('Fórmula'!E35)/('Fórmula'!C35+'Fórmula'!E35+'Fórmula'!G35+'Fórmula'!I35+'Fórmula'!K35))*(INDEX(properties!A$1:CB$87,'Fórmula'!D35,56))+(('Fórmula'!G35)/('Fórmula'!C35+'Fórmula'!E35+'Fórmula'!G35+'Fórmula'!I35+'Fórmula'!K35))*(INDEX(properties!A$1:CB$87,'Fórmula'!F35,56))+(('Fórmula'!I35)/('Fórmula'!C35+'Fórmula'!E35+'Fórmula'!G35+'Fórmula'!I35+'Fórmula'!K35))*(INDEX(properties!A$1:CB$87,'Fórmula'!H35,56))+(('Fórmula'!K35)/('Fórmula'!C35+'Fórmula'!E35+'Fórmula'!G35+'Fórmula'!I35+'Fórmula'!K35))*(INDEX(properties!A$1:CB$87,'Fórmula'!J35,56))</f>
        <v>0.74</v>
      </c>
      <c r="FU35" s="119">
        <f t="array" ref="FU35">'Fórmula'!C35*(INDEX(properties!A$1:CB$87,'Fórmula'!B35,56))+'Fórmula'!E35*(INDEX(properties!A$1:CB$87,'Fórmula'!D35,56))+'Fórmula'!G35*(INDEX(properties!A$1:CB$87,'Fórmula'!F35,56))+'Fórmula'!I35*(INDEX(properties!A$1:CB$87,'Fórmula'!H35,56))+'Fórmula'!K35*(INDEX(properties!A$1:CB$87,'Fórmula'!J35,56))</f>
        <v>4.44</v>
      </c>
      <c r="FV35" s="119">
        <f t="array" ref="FV35">VARP(IF(INDEX(properties!A$1:CB$87,'Fórmula'!B35,56)&lt;&gt;"",INDEX(properties!A$1:CB$87,'Fórmula'!B35,56)),IF(INDEX(properties!A$1:CB$87,'Fórmula'!D35,56)&lt;&gt;"",INDEX(properties!A$1:CB$87,'Fórmula'!D35,56)),IF(INDEX(properties!A$1:CB$87,'Fórmula'!F35,56)&lt;&gt;"",INDEX(properties!A$1:CB$87,'Fórmula'!F35,56)),IF(INDEX(properties!A$1:CB$87,'Fórmula'!H35,56)&lt;&gt;"",INDEX(properties!A$1:CB$87,'Fórmula'!H35,56)),IF(INDEX(properties!A$1:CB$87,'Fórmula'!J35,56)&lt;&gt;"",INDEX(properties!A$1:CB$87,'Fórmula'!J35,56)))</f>
        <v>0.139144</v>
      </c>
      <c r="FW35" s="119">
        <f t="array" ref="FW35">MAX(INDEX(properties!A$1:CB$87,'Fórmula'!B35,56),INDEX(properties!A$1:CB$87,'Fórmula'!D35,56),INDEX(properties!A$1:CB$87,'Fórmula'!F35,56),INDEX(properties!A$1:CB$87,'Fórmula'!H35,56),INDEX(properties!A$1:CB$87,'Fórmula'!J35,56))</f>
        <v>0.92</v>
      </c>
      <c r="FX35" s="119">
        <f t="array" ref="FX35">MIN(IF(INDEX(properties!A$1:CB$87,'Fórmula'!B35,56)=0,10^6,INDEX(properties!A$1:CB$87,'Fórmula'!B35,56)),IF(INDEX(properties!A$1:CB$87,'Fórmula'!D35,56)=0,10^6,INDEX(properties!A$1:CB$87,'Fórmula'!D35,56)),IF(INDEX(properties!A$1:CB$87,'Fórmula'!F35,56)=0,10^6,INDEX(properties!A$1:CB$87,'Fórmula'!F35,56)),IF(INDEX(properties!A$1:CB$87,'Fórmula'!H35,56)=0,10^6,INDEX(properties!A$1:CB$87,'Fórmula'!H35,56)),IF(INDEX(properties!A$1:CB$87,'Fórmula'!J35,56)=0,10^6,INDEX(properties!A$1:CB$87,'Fórmula'!J35,56)))</f>
        <v>0.13</v>
      </c>
      <c r="FY35" s="119">
        <f t="shared" si="30"/>
        <v>0.79</v>
      </c>
      <c r="FZ35" s="104">
        <f t="array" ref="FZ35">(('Fórmula'!C35)/('Fórmula'!C35+'Fórmula'!E35+'Fórmula'!G35+'Fórmula'!I35+'Fórmula'!K35))*(INDEX(properties!A$1:CB$87,'Fórmula'!B35,57))+(('Fórmula'!E35)/('Fórmula'!C35+'Fórmula'!E35+'Fórmula'!G35+'Fórmula'!I35+'Fórmula'!K35))*(INDEX(properties!A$1:CB$87,'Fórmula'!D35,57))+(('Fórmula'!G35)/('Fórmula'!C35+'Fórmula'!E35+'Fórmula'!G35+'Fórmula'!I35+'Fórmula'!K35))*(INDEX(properties!A$1:CB$87,'Fórmula'!F35,57))+(('Fórmula'!I35)/('Fórmula'!C35+'Fórmula'!E35+'Fórmula'!G35+'Fórmula'!I35+'Fórmula'!K35))*(INDEX(properties!A$1:CB$87,'Fórmula'!H35,57))+(('Fórmula'!K35)/('Fórmula'!C35+'Fórmula'!E35+'Fórmula'!G35+'Fórmula'!I35+'Fórmula'!K35))*(INDEX(properties!A$1:CB$87,'Fórmula'!J35,57))</f>
        <v>7.471726667</v>
      </c>
      <c r="GA35" s="104">
        <f t="array" ref="GA35">'Fórmula'!C35*(INDEX(properties!A$1:CB$87,'Fórmula'!B35,57))+'Fórmula'!E35*(INDEX(properties!A$1:CB$87,'Fórmula'!D35,57))+'Fórmula'!G35*(INDEX(properties!A$1:CB$87,'Fórmula'!F35,57))+'Fórmula'!I35*(INDEX(properties!A$1:CB$87,'Fórmula'!H35,57))+'Fórmula'!K35*(INDEX(properties!A$1:CB$87,'Fórmula'!J35,57))</f>
        <v>44.83036</v>
      </c>
      <c r="GB35" s="104">
        <f t="array" ref="GB35">VARP(IF(INDEX(properties!A$1:CB$87,'Fórmula'!B35,57)&lt;&gt;"",INDEX(properties!A$1:CB$87,'Fórmula'!B35,57)),IF(INDEX(properties!A$1:CB$87,'Fórmula'!D35,57)&lt;&gt;"",INDEX(properties!A$1:CB$87,'Fórmula'!D35,57)),IF(INDEX(properties!A$1:CB$87,'Fórmula'!F35,57)&lt;&gt;"",INDEX(properties!A$1:CB$87,'Fórmula'!F35,57)),IF(INDEX(properties!A$1:CB$87,'Fórmula'!H35,57)&lt;&gt;"",INDEX(properties!A$1:CB$87,'Fórmula'!H35,57)),IF(INDEX(properties!A$1:CB$87,'Fórmula'!J35,57)&lt;&gt;"",INDEX(properties!A$1:CB$87,'Fórmula'!J35,57)))</f>
        <v>187.214855</v>
      </c>
      <c r="GC35" s="104">
        <f t="array" ref="GC35">MAX(INDEX(properties!A$1:CB$87,'Fórmula'!B35,57),INDEX(properties!A$1:CB$87,'Fórmula'!D35,57),INDEX(properties!A$1:CB$87,'Fórmula'!F35,57),INDEX(properties!A$1:CB$87,'Fórmula'!H35,57),INDEX(properties!A$1:CB$87,'Fórmula'!J35,57))</f>
        <v>35.4</v>
      </c>
      <c r="GD35" s="104">
        <f t="array" ref="GD35">MIN(IF(INDEX(properties!A$1:CB$87,'Fórmula'!B35,57)=0,10^6,INDEX(properties!A$1:CB$87,'Fórmula'!B35,57)),IF(INDEX(properties!A$1:CB$87,'Fórmula'!D35,57)=0,10^6,INDEX(properties!A$1:CB$87,'Fórmula'!D35,57)),IF(INDEX(properties!A$1:CB$87,'Fórmula'!F35,57)=0,10^6,INDEX(properties!A$1:CB$87,'Fórmula'!F35,57)),IF(INDEX(properties!A$1:CB$87,'Fórmula'!H35,57)=0,10^6,INDEX(properties!A$1:CB$87,'Fórmula'!H35,57)),IF(INDEX(properties!A$1:CB$87,'Fórmula'!J35,57)=0,10^6,INDEX(properties!A$1:CB$87,'Fórmula'!J35,57)))</f>
        <v>0.22259</v>
      </c>
      <c r="GE35" s="104">
        <f t="shared" si="31"/>
        <v>35.17741</v>
      </c>
      <c r="GF35" s="105">
        <f t="array" ref="GF35">(('Fórmula'!C35)/('Fórmula'!C35+'Fórmula'!E35+'Fórmula'!G35+'Fórmula'!I35+'Fórmula'!K35))*(INDEX(properties!A$1:CB$87,'Fórmula'!B35,60))+(('Fórmula'!E35)/('Fórmula'!C35+'Fórmula'!E35+'Fórmula'!G35+'Fórmula'!I35+'Fórmula'!K35))*(INDEX(properties!A$1:CB$87,'Fórmula'!D35,60))+(('Fórmula'!G35)/('Fórmula'!C35+'Fórmula'!E35+'Fórmula'!G35+'Fórmula'!I35+'Fórmula'!K35))*(INDEX(properties!A$1:CB$87,'Fórmula'!F35,60))+(('Fórmula'!I35)/('Fórmula'!C35+'Fórmula'!E35+'Fórmula'!G35+'Fórmula'!I35+'Fórmula'!K35))*(INDEX(properties!A$1:CB$87,'Fórmula'!H35,60))+(('Fórmula'!K35)/('Fórmula'!C35+'Fórmula'!E35+'Fórmula'!G35+'Fórmula'!I35+'Fórmula'!K35))*(INDEX(properties!A$1:CB$87,'Fórmula'!J35,60))</f>
        <v>62.35116</v>
      </c>
      <c r="GG35" s="105">
        <f t="array" ref="GG35">'Fórmula'!C35*(INDEX(properties!A$1:CB$87,'Fórmula'!B35,60))+'Fórmula'!E35*(INDEX(properties!A$1:CB$87,'Fórmula'!D35,60))+'Fórmula'!G35*(INDEX(properties!A$1:CB$87,'Fórmula'!F35,60))+'Fórmula'!I35*(INDEX(properties!A$1:CB$87,'Fórmula'!H35,60))+'Fórmula'!K35*(INDEX(properties!A$1:CB$87,'Fórmula'!J35,60))</f>
        <v>374.10696</v>
      </c>
      <c r="GH35" s="105">
        <f t="array" ref="GH35">VARP(IF(INDEX(properties!A$1:CB$87,'Fórmula'!B35,60)&lt;&gt;"",INDEX(properties!A$1:CB$87,'Fórmula'!B35,60)),IF(INDEX(properties!A$1:CB$87,'Fórmula'!D35,60)&lt;&gt;"",INDEX(properties!A$1:CB$87,'Fórmula'!D35,60)),IF(INDEX(properties!A$1:CB$87,'Fórmula'!F35,60)&lt;&gt;"",INDEX(properties!A$1:CB$87,'Fórmula'!F35,60)),IF(INDEX(properties!A$1:CB$87,'Fórmula'!H35,60)&lt;&gt;"",INDEX(properties!A$1:CB$87,'Fórmula'!H35,60)),IF(INDEX(properties!A$1:CB$87,'Fórmula'!J35,60)&lt;&gt;"",INDEX(properties!A$1:CB$87,'Fórmula'!J35,60)))</f>
        <v>8459.360054</v>
      </c>
      <c r="GI35" s="105">
        <f t="array" ref="GI35">MAX(INDEX(properties!A$1:CB$87,'Fórmula'!B35,60),INDEX(properties!A$1:CB$87,'Fórmula'!D35,60),INDEX(properties!A$1:CB$87,'Fórmula'!F35,60),INDEX(properties!A$1:CB$87,'Fórmula'!H35,60),INDEX(properties!A$1:CB$87,'Fórmula'!J35,60))</f>
        <v>200</v>
      </c>
      <c r="GJ35" s="105">
        <f t="array" ref="GJ35">MIN(IF(INDEX(properties!A$1:CB$87,'Fórmula'!B35,60)=0,10^6,INDEX(properties!A$1:CB$87,'Fórmula'!B35,60)),IF(INDEX(properties!A$1:CB$87,'Fórmula'!D35,60)=0,10^6,INDEX(properties!A$1:CB$87,'Fórmula'!D35,60)),IF(INDEX(properties!A$1:CB$87,'Fórmula'!F35,60)=0,10^6,INDEX(properties!A$1:CB$87,'Fórmula'!F35,60)),IF(INDEX(properties!A$1:CB$87,'Fórmula'!H35,60)=0,10^6,INDEX(properties!A$1:CB$87,'Fórmula'!H35,60)),IF(INDEX(properties!A$1:CB$87,'Fórmula'!J35,60)=0,10^6,INDEX(properties!A$1:CB$87,'Fórmula'!J35,60)))</f>
        <v>0.02674</v>
      </c>
      <c r="GK35" s="105">
        <f t="shared" si="32"/>
        <v>199.97326</v>
      </c>
      <c r="GL35" s="106">
        <f t="array" ref="GL35">(('Fórmula'!C35)/('Fórmula'!C35+'Fórmula'!E35+'Fórmula'!G35+'Fórmula'!I35+'Fórmula'!K35))*(INDEX(properties!A$1:CB$87,'Fórmula'!B35,62))+(('Fórmula'!E35)/('Fórmula'!C35+'Fórmula'!E35+'Fórmula'!G35+'Fórmula'!I35+'Fórmula'!K35))*(INDEX(properties!A$1:CB$87,'Fórmula'!D35,62))+(('Fórmula'!G35)/('Fórmula'!C35+'Fórmula'!E35+'Fórmula'!G35+'Fórmula'!I35+'Fórmula'!K35))*(INDEX(properties!A$1:CB$87,'Fórmula'!F35,62))+(('Fórmula'!I35)/('Fórmula'!C35+'Fórmula'!E35+'Fórmula'!G35+'Fórmula'!I35+'Fórmula'!K35))*(INDEX(properties!A$1:CB$87,'Fórmula'!H35,62))+(('Fórmula'!K35)/('Fórmula'!C35+'Fórmula'!E35+'Fórmula'!G35+'Fórmula'!I35+'Fórmula'!K35))*(INDEX(properties!A$1:CB$87,'Fórmula'!J35,62))</f>
        <v>3.536666667</v>
      </c>
      <c r="GM35" s="106">
        <f t="array" ref="GM35">'Fórmula'!C35*(INDEX(properties!A$1:CB$87,'Fórmula'!B35,62))+'Fórmula'!E35*(INDEX(properties!A$1:CB$87,'Fórmula'!D35,62))+'Fórmula'!G35*(INDEX(properties!A$1:CB$87,'Fórmula'!F35,62))+'Fórmula'!I35*(INDEX(properties!A$1:CB$87,'Fórmula'!H35,62))+'Fórmula'!K35*(INDEX(properties!A$1:CB$87,'Fórmula'!J35,62))</f>
        <v>21.22</v>
      </c>
      <c r="GN35" s="106">
        <f t="array" ref="GN35">VARP(IF(INDEX(properties!A$1:CB$87,'Fórmula'!B35,62)&lt;&gt;"",INDEX(properties!A$1:CB$87,'Fórmula'!B35,62)),IF(INDEX(properties!A$1:CB$87,'Fórmula'!D35,62)&lt;&gt;"",INDEX(properties!A$1:CB$87,'Fórmula'!D35,62)),IF(INDEX(properties!A$1:CB$87,'Fórmula'!F35,62)&lt;&gt;"",INDEX(properties!A$1:CB$87,'Fórmula'!F35,62)),IF(INDEX(properties!A$1:CB$87,'Fórmula'!H35,62)&lt;&gt;"",INDEX(properties!A$1:CB$87,'Fórmula'!H35,62)),IF(INDEX(properties!A$1:CB$87,'Fórmula'!J35,62)&lt;&gt;"",INDEX(properties!A$1:CB$87,'Fórmula'!J35,62)))</f>
        <v>10.752416</v>
      </c>
      <c r="GO35" s="106">
        <f t="array" ref="GO35">MAX(INDEX(properties!A$1:CB$87,'Fórmula'!B35,62),INDEX(properties!A$1:CB$87,'Fórmula'!D35,62),INDEX(properties!A$1:CB$87,'Fórmula'!F35,62),INDEX(properties!A$1:CB$87,'Fórmula'!H35,62),INDEX(properties!A$1:CB$87,'Fórmula'!J35,62))</f>
        <v>8.9</v>
      </c>
      <c r="GP35" s="106">
        <f t="array" ref="GP35">MIN(IF(INDEX(properties!A$1:CB$87,'Fórmula'!B35,62)=0,10^6,INDEX(properties!A$1:CB$87,'Fórmula'!B35,62)),IF(INDEX(properties!A$1:CB$87,'Fórmula'!D35,62)=0,10^6,INDEX(properties!A$1:CB$87,'Fórmula'!D35,62)),IF(INDEX(properties!A$1:CB$87,'Fórmula'!F35,62)=0,10^6,INDEX(properties!A$1:CB$87,'Fórmula'!F35,62)),IF(INDEX(properties!A$1:CB$87,'Fórmula'!H35,62)=0,10^6,INDEX(properties!A$1:CB$87,'Fórmula'!H35,62)),IF(INDEX(properties!A$1:CB$87,'Fórmula'!J35,62)=0,10^6,INDEX(properties!A$1:CB$87,'Fórmula'!J35,62)))</f>
        <v>1.84</v>
      </c>
      <c r="GQ35" s="106">
        <f t="shared" si="33"/>
        <v>7.06</v>
      </c>
      <c r="GR35" s="106">
        <f>'Fórmula'!Q35</f>
        <v>88</v>
      </c>
      <c r="GS35" s="107">
        <f>'Fórmula'!P35</f>
        <v>2</v>
      </c>
      <c r="GT35" s="113">
        <f>'Fórmula'!O35</f>
        <v>6.15</v>
      </c>
      <c r="GU35" s="114">
        <f>AVERAGE('Fórmula'!R35/'Fórmula'!S35,'Fórmula'!S35/'Fórmula'!T35,'Fórmula'!T35/'Fórmula'!R35)</f>
        <v>1.209744794</v>
      </c>
      <c r="GV35" s="125">
        <f>'Fórmula'!U35</f>
        <v>310.74</v>
      </c>
      <c r="GW35" s="106">
        <f>'Fórmula'!N35</f>
        <v>0.1</v>
      </c>
    </row>
    <row r="36" ht="14.25" customHeight="1">
      <c r="A36" s="99" t="str">
        <f>'Fórmula'!A36</f>
        <v>BaAl2Si2O8</v>
      </c>
      <c r="B36" s="101">
        <f t="array" ref="B36">(('Fórmula'!C36)/('Fórmula'!C36+'Fórmula'!E36+'Fórmula'!G36+'Fórmula'!I36+'Fórmula'!K36))*(INDEX(properties!A$1:CB$87,'Fórmula'!B36,3))+(('Fórmula'!E36)/('Fórmula'!C36+'Fórmula'!E36+'Fórmula'!G36+'Fórmula'!I36+'Fórmula'!K36))*(INDEX(properties!A$1:CB$87,'Fórmula'!D36,3))+(('Fórmula'!G36)/('Fórmula'!C36+'Fórmula'!E36+'Fórmula'!G36+'Fórmula'!I36+'Fórmula'!K36))*(INDEX(properties!A$1:CB$87,'Fórmula'!F36,3))+(('Fórmula'!I36)/('Fórmula'!C36+'Fórmula'!E36+'Fórmula'!G36+'Fórmula'!I36+'Fórmula'!K36))*(INDEX(properties!A$1:CB$87,'Fórmula'!H36,3))+(('Fórmula'!K36)/('Fórmula'!C36+'Fórmula'!E36+'Fórmula'!G36+'Fórmula'!I36+'Fórmula'!K36))*(INDEX(properties!A$1:CB$87,'Fórmula'!J36,3))</f>
        <v>28.88125215</v>
      </c>
      <c r="C36" s="101">
        <f t="array" ref="C36">'Fórmula'!C36*(INDEX(properties!A$1:CB$87,'Fórmula'!B36,3))+'Fórmula'!E36*(INDEX(properties!A$1:CB$87,'Fórmula'!D36,3))+'Fórmula'!G36*(INDEX(properties!A$1:CB$87,'Fórmula'!F36,3))+'Fórmula'!I36*(INDEX(properties!A$1:CB$87,'Fórmula'!H36,3))+'Fórmula'!K36*(INDEX(properties!A$1:CB$87,'Fórmula'!J36,3))</f>
        <v>375.456278</v>
      </c>
      <c r="D36" s="101">
        <f t="array" ref="D36">VARP(IF(INDEX(properties!A$1:CB$87,'Fórmula'!B36,3)&lt;&gt;"",INDEX(properties!A$1:CB$87,'Fórmula'!B36,3)),IF(INDEX(properties!A$1:CB$87,'Fórmula'!D36,3)&lt;&gt;"",INDEX(properties!A$1:CB$87,'Fórmula'!D36,3)),IF(INDEX(properties!A$1:CB$87,'Fórmula'!F36,3)&lt;&gt;"",INDEX(properties!A$1:CB$87,'Fórmula'!F36,3)),IF(INDEX(properties!A$1:CB$87,'Fórmula'!H36,3)&lt;&gt;"",INDEX(properties!A$1:CB$87,'Fórmula'!H36,3)),IF(INDEX(properties!A$1:CB$87,'Fórmula'!J36,3)&lt;&gt;"",INDEX(properties!A$1:CB$87,'Fórmula'!J36,3)))</f>
        <v>2389.183881</v>
      </c>
      <c r="E36" s="101">
        <f t="array" ref="E36">MAX(INDEX(properties!A$1:CB$87,'Fórmula'!B36,3),INDEX(properties!A$1:CB$87,'Fórmula'!D36,3),INDEX(properties!A$1:CB$87,'Fórmula'!F36,3),INDEX(properties!A$1:CB$87,'Fórmula'!H36,3),INDEX(properties!A$1:CB$87,'Fórmula'!J36,3))</f>
        <v>137.327</v>
      </c>
      <c r="F36" s="101">
        <f t="array" ref="F36">MIN(IF(INDEX(properties!A$1:CB$87,'Fórmula'!B36,3)=0,10^6,INDEX(properties!A$1:CB$87,'Fórmula'!B36,3)),IF(INDEX(properties!A$1:CB$87,'Fórmula'!D36,3)=0,10^6,INDEX(properties!A$1:CB$87,'Fórmula'!D36,3)),IF(INDEX(properties!A$1:CB$87,'Fórmula'!F36,3)=0,10^6,INDEX(properties!A$1:CB$87,'Fórmula'!F36,3)),IF(INDEX(properties!A$1:CB$87,'Fórmula'!H36,3)=0,10^6,INDEX(properties!A$1:CB$87,'Fórmula'!H36,3)),IF(INDEX(properties!A$1:CB$87,'Fórmula'!J36,3)=0,10^6,INDEX(properties!A$1:CB$87,'Fórmula'!J36,3)))</f>
        <v>15.9994</v>
      </c>
      <c r="G36" s="101">
        <f t="shared" si="1"/>
        <v>121.3276</v>
      </c>
      <c r="H36" s="102">
        <f t="array" ref="H36">(('Fórmula'!C36)/('Fórmula'!C36+'Fórmula'!E36+'Fórmula'!G36+'Fórmula'!I36+'Fórmula'!K36))*(INDEX(properties!A$1:CB$87,'Fórmula'!B36,4))+(('Fórmula'!E36)/('Fórmula'!C36+'Fórmula'!E36+'Fórmula'!G36+'Fórmula'!I36+'Fórmula'!K36))*(INDEX(properties!A$1:CB$87,'Fórmula'!D36,4))+(('Fórmula'!G36)/('Fórmula'!C36+'Fórmula'!E36+'Fórmula'!G36+'Fórmula'!I36+'Fórmula'!K36))*(INDEX(properties!A$1:CB$87,'Fórmula'!F36,4))+(('Fórmula'!I36)/('Fórmula'!C36+'Fórmula'!E36+'Fórmula'!G36+'Fórmula'!I36+'Fórmula'!K36))*(INDEX(properties!A$1:CB$87,'Fórmula'!H36,4))+(('Fórmula'!K36)/('Fórmula'!C36+'Fórmula'!E36+'Fórmula'!G36+'Fórmula'!I36+'Fórmula'!K36))*(INDEX(properties!A$1:CB$87,'Fórmula'!J36,4))</f>
        <v>13.38461538</v>
      </c>
      <c r="I36" s="102">
        <f t="array" ref="I36">'Fórmula'!C36*(INDEX(properties!A$1:CB$87,'Fórmula'!B36,4))+'Fórmula'!E36*(INDEX(properties!A$1:CB$87,'Fórmula'!D36,4))+'Fórmula'!G36*(INDEX(properties!A$1:CB$87,'Fórmula'!F36,4))+'Fórmula'!I36*(INDEX(properties!A$1:CB$87,'Fórmula'!H36,4))+'Fórmula'!K36*(INDEX(properties!A$1:CB$87,'Fórmula'!J36,4))</f>
        <v>174</v>
      </c>
      <c r="J36" s="102">
        <f t="array" ref="J36">VARP(IF(INDEX(properties!A$1:CB$87,'Fórmula'!B36,4)&lt;&gt;"",INDEX(properties!A$1:CB$87,'Fórmula'!B36,4)),IF(INDEX(properties!A$1:CB$87,'Fórmula'!D36,4)&lt;&gt;"",INDEX(properties!A$1:CB$87,'Fórmula'!D36,4)),IF(INDEX(properties!A$1:CB$87,'Fórmula'!F36,4)&lt;&gt;"",INDEX(properties!A$1:CB$87,'Fórmula'!F36,4)),IF(INDEX(properties!A$1:CB$87,'Fórmula'!H36,4)&lt;&gt;"",INDEX(properties!A$1:CB$87,'Fórmula'!H36,4)),IF(INDEX(properties!A$1:CB$87,'Fórmula'!J36,4)&lt;&gt;"",INDEX(properties!A$1:CB$87,'Fórmula'!J36,4)))</f>
        <v>381.76</v>
      </c>
      <c r="K36" s="102">
        <f t="array" ref="K36">MAX(INDEX(properties!A$1:CB$87,'Fórmula'!B36,4),INDEX(properties!A$1:CB$87,'Fórmula'!D36,4),INDEX(properties!A$1:CB$87,'Fórmula'!F36,4),INDEX(properties!A$1:CB$87,'Fórmula'!H36,4),INDEX(properties!A$1:CB$87,'Fórmula'!J36,4))</f>
        <v>56</v>
      </c>
      <c r="L36" s="102">
        <f t="array" ref="L36">MIN(IF(INDEX(properties!A$1:CB$87,'Fórmula'!B36,4)=0,10^6,INDEX(properties!A$1:CB$87,'Fórmula'!B36,4)),IF(INDEX(properties!A$1:CB$87,'Fórmula'!D36,4)=0,10^6,INDEX(properties!A$1:CB$87,'Fórmula'!D36,4)),IF(INDEX(properties!A$1:CB$87,'Fórmula'!F36,4)=0,10^6,INDEX(properties!A$1:CB$87,'Fórmula'!F36,4)),IF(INDEX(properties!A$1:CB$87,'Fórmula'!H36,4)=0,10^6,INDEX(properties!A$1:CB$87,'Fórmula'!H36,4)),IF(INDEX(properties!A$1:CB$87,'Fórmula'!J36,4)=0,10^6,INDEX(properties!A$1:CB$87,'Fórmula'!J36,4)))</f>
        <v>8</v>
      </c>
      <c r="M36" s="102">
        <f t="shared" si="2"/>
        <v>48</v>
      </c>
      <c r="N36" s="103">
        <f t="array" ref="N36">(('Fórmula'!C36)/('Fórmula'!C36+'Fórmula'!E36+'Fórmula'!G36+'Fórmula'!I36+'Fórmula'!K36))*(INDEX(properties!A$1:CB$87,'Fórmula'!B36,5))+(('Fórmula'!E36)/('Fórmula'!C36+'Fórmula'!E36+'Fórmula'!G36+'Fórmula'!I36+'Fórmula'!K36))*(INDEX(properties!A$1:CB$87,'Fórmula'!D36,5))+(('Fórmula'!G36)/('Fórmula'!C36+'Fórmula'!E36+'Fórmula'!G36+'Fórmula'!I36+'Fórmula'!K36))*(INDEX(properties!A$1:CB$87,'Fórmula'!F36,5))+(('Fórmula'!I36)/('Fórmula'!C36+'Fórmula'!E36+'Fórmula'!G36+'Fórmula'!I36+'Fórmula'!K36))*(INDEX(properties!A$1:CB$87,'Fórmula'!H36,5))+(('Fórmula'!K36)/('Fórmula'!C36+'Fórmula'!E36+'Fórmula'!G36+'Fórmula'!I36+'Fórmula'!K36))*(INDEX(properties!A$1:CB$87,'Fórmula'!J36,5))</f>
        <v>2.615384615</v>
      </c>
      <c r="O36" s="103">
        <f t="array" ref="O36">'Fórmula'!C36*(INDEX(properties!A$1:CB$87,'Fórmula'!B36,5))+'Fórmula'!E36*(INDEX(properties!A$1:CB$87,'Fórmula'!D36,5))+'Fórmula'!G36*(INDEX(properties!A$1:CB$87,'Fórmula'!F36,5))+'Fórmula'!I36*(INDEX(properties!A$1:CB$87,'Fórmula'!H36,5))+'Fórmula'!K36*(INDEX(properties!A$1:CB$87,'Fórmula'!J36,5))</f>
        <v>34</v>
      </c>
      <c r="P36" s="103">
        <f t="array" ref="P36">VARP(IF(INDEX(properties!A$1:CB$87,'Fórmula'!B36,5)&lt;&gt;"",INDEX(properties!A$1:CB$87,'Fórmula'!B36,5)),IF(INDEX(properties!A$1:CB$87,'Fórmula'!D36,5)&lt;&gt;"",INDEX(properties!A$1:CB$87,'Fórmula'!D36,5)),IF(INDEX(properties!A$1:CB$87,'Fórmula'!F36,5)&lt;&gt;"",INDEX(properties!A$1:CB$87,'Fórmula'!F36,5)),IF(INDEX(properties!A$1:CB$87,'Fórmula'!H36,5)&lt;&gt;"",INDEX(properties!A$1:CB$87,'Fórmula'!H36,5)),IF(INDEX(properties!A$1:CB$87,'Fórmula'!J36,5)&lt;&gt;"",INDEX(properties!A$1:CB$87,'Fórmula'!J36,5)))</f>
        <v>3.76</v>
      </c>
      <c r="Q36" s="103">
        <f t="array" ref="Q36">MAX(INDEX(properties!A$1:CB$87,'Fórmula'!B36,5),INDEX(properties!A$1:CB$87,'Fórmula'!D36,5),INDEX(properties!A$1:CB$87,'Fórmula'!F36,5),INDEX(properties!A$1:CB$87,'Fórmula'!H36,5),INDEX(properties!A$1:CB$87,'Fórmula'!J36,5))</f>
        <v>6</v>
      </c>
      <c r="R36" s="103">
        <f t="array" ref="R36">MIN(IF(INDEX(properties!A$1:CB$87,'Fórmula'!B36,5)=0,10^6,INDEX(properties!A$1:CB$87,'Fórmula'!B36,5)),IF(INDEX(properties!A$1:CB$87,'Fórmula'!D36,5)=0,10^6,INDEX(properties!A$1:CB$87,'Fórmula'!D36,5)),IF(INDEX(properties!A$1:CB$87,'Fórmula'!F36,5)=0,10^6,INDEX(properties!A$1:CB$87,'Fórmula'!F36,5)),IF(INDEX(properties!A$1:CB$87,'Fórmula'!H36,5)=0,10^6,INDEX(properties!A$1:CB$87,'Fórmula'!H36,5)),IF(INDEX(properties!A$1:CB$87,'Fórmula'!J36,5)=0,10^6,INDEX(properties!A$1:CB$87,'Fórmula'!J36,5)))</f>
        <v>2</v>
      </c>
      <c r="S36" s="103">
        <f t="shared" si="3"/>
        <v>4</v>
      </c>
      <c r="T36" s="104">
        <f t="array" ref="T36">(('Fórmula'!C36)/('Fórmula'!C36+'Fórmula'!E36+'Fórmula'!G36+'Fórmula'!I36+'Fórmula'!K36))*(INDEX(properties!A$1:CB$87,'Fórmula'!B36,6))+(('Fórmula'!E36)/('Fórmula'!C36+'Fórmula'!E36+'Fórmula'!G36+'Fórmula'!I36+'Fórmula'!K36))*(INDEX(properties!A$1:CB$87,'Fórmula'!D36,6))+(('Fórmula'!G36)/('Fórmula'!C36+'Fórmula'!E36+'Fórmula'!G36+'Fórmula'!I36+'Fórmula'!K36))*(INDEX(properties!A$1:CB$87,'Fórmula'!F36,6))+(('Fórmula'!I36)/('Fórmula'!C36+'Fórmula'!E36+'Fórmula'!G36+'Fórmula'!I36+'Fórmula'!K36))*(INDEX(properties!A$1:CB$87,'Fórmula'!H36,6))+(('Fórmula'!K36)/('Fórmula'!C36+'Fórmula'!E36+'Fórmula'!G36+'Fórmula'!I36+'Fórmula'!K36))*(INDEX(properties!A$1:CB$87,'Fórmula'!J36,6))</f>
        <v>14.15384615</v>
      </c>
      <c r="U36" s="104">
        <f t="array" ref="U36">'Fórmula'!C36*(INDEX(properties!A$1:CB$87,'Fórmula'!B36,6))+'Fórmula'!E36*(INDEX(properties!A$1:CB$87,'Fórmula'!D36,6))+'Fórmula'!G36*(INDEX(properties!A$1:CB$87,'Fórmula'!F36,6))+'Fórmula'!I36*(INDEX(properties!A$1:CB$87,'Fórmula'!H36,6))+'Fórmula'!K36*(INDEX(properties!A$1:CB$87,'Fórmula'!J36,6))</f>
        <v>184</v>
      </c>
      <c r="V36" s="103">
        <f t="array" ref="V36">VARP(IF(INDEX(properties!A$1:CB$87,'Fórmula'!B36,6)&lt;&gt;"",INDEX(properties!A$1:CB$87,'Fórmula'!B36,6)),IF(INDEX(properties!A$1:CB$87,'Fórmula'!D36,6)&lt;&gt;"",INDEX(properties!A$1:CB$87,'Fórmula'!D36,6)),IF(INDEX(properties!A$1:CB$87,'Fórmula'!F36,6)&lt;&gt;"",INDEX(properties!A$1:CB$87,'Fórmula'!F36,6)),IF(INDEX(properties!A$1:CB$87,'Fórmula'!H36,6)&lt;&gt;"",INDEX(properties!A$1:CB$87,'Fórmula'!H36,6)),IF(INDEX(properties!A$1:CB$87,'Fórmula'!J36,6)&lt;&gt;"",INDEX(properties!A$1:CB$87,'Fórmula'!J36,6)))</f>
        <v>44</v>
      </c>
      <c r="W36" s="104">
        <f t="array" ref="W36">MAX(INDEX(properties!A$1:CB$87,'Fórmula'!B36,6),INDEX(properties!A$1:CB$87,'Fórmula'!D36,6),INDEX(properties!A$1:CB$87,'Fórmula'!F36,6),INDEX(properties!A$1:CB$87,'Fórmula'!H36,4),INDEX(properties!A$1:CB$87,'Fórmula'!J36,6))</f>
        <v>14</v>
      </c>
      <c r="X36" s="104">
        <f t="array" ref="X36">MIN(IF(INDEX(properties!A$1:CB$87,'Fórmula'!B36,6)=0,10^6,INDEX(properties!A$1:CB$87,'Fórmula'!B36,6)),IF(INDEX(properties!A$1:CB$87,'Fórmula'!D36,6)=0,10^6,INDEX(properties!A$1:CB$87,'Fórmula'!D36,6)),IF(INDEX(properties!A$1:CB$87,'Fórmula'!F36,6)=0,10^6,INDEX(properties!A$1:CB$87,'Fórmula'!F36,6)),IF(INDEX(properties!A$1:CB$87,'Fórmula'!H36,6)=0,10^6,INDEX(properties!A$1:CB$87,'Fórmula'!H36,6)),IF(INDEX(properties!A$1:CB$87,'Fórmula'!J36,6)=0,10^6,INDEX(properties!A$1:CB$87,'Fórmula'!J36,6)))</f>
        <v>2</v>
      </c>
      <c r="Y36" s="104">
        <f t="shared" si="4"/>
        <v>12</v>
      </c>
      <c r="Z36" s="105">
        <f t="array" ref="Z36">(('Fórmula'!C36)/('Fórmula'!C36+'Fórmula'!E36+'Fórmula'!G36+'Fórmula'!I36+'Fórmula'!K36))*(INDEX(properties!A$1:CB$87,'Fórmula'!B36,9))+(('Fórmula'!E36)/('Fórmula'!C36+'Fórmula'!E36+'Fórmula'!G36+'Fórmula'!I36+'Fórmula'!K36))*(INDEX(properties!A$1:CB$87,'Fórmula'!D36,9))+(('Fórmula'!G36)/('Fórmula'!C36+'Fórmula'!E36+'Fórmula'!G36+'Fórmula'!I36+'Fórmula'!K36))*(INDEX(properties!A$1:CB$87,'Fórmula'!F36,9))+(('Fórmula'!I36)/('Fórmula'!C36+'Fórmula'!E36+'Fórmula'!G36+'Fórmula'!I36+'Fórmula'!K36))*(INDEX(properties!A$1:CB$87,'Fórmula'!H36,9))+(('Fórmula'!K36)/('Fórmula'!C36+'Fórmula'!E36+'Fórmula'!G36+'Fórmula'!I36+'Fórmula'!K36))*(INDEX(properties!A$1:CB$87,'Fórmula'!J36,9))</f>
        <v>77.46153846</v>
      </c>
      <c r="AA36" s="105">
        <f t="array" ref="AA36">'Fórmula'!C36*(INDEX(properties!A$1:CB$87,'Fórmula'!B36,9))+'Fórmula'!E36*(INDEX(properties!A$1:CB$87,'Fórmula'!D36,9))+'Fórmula'!G36*(INDEX(properties!A$1:CB$87,'Fórmula'!F36,9))+'Fórmula'!I36*(INDEX(properties!A$1:CB$87,'Fórmula'!H36,9))+'Fórmula'!K36*(INDEX(properties!A$1:CB$87,'Fórmula'!J36,9))</f>
        <v>1007</v>
      </c>
      <c r="AB36" s="105">
        <f t="array" ref="AB36">VARP(IF(INDEX(properties!A$1:CB$87,'Fórmula'!B36,9)&lt;&gt;"",INDEX(properties!A$1:CB$87,'Fórmula'!B36,9)),IF(INDEX(properties!A$1:CB$87,'Fórmula'!D36,9)&lt;&gt;"",INDEX(properties!A$1:CB$87,'Fórmula'!D36,9)),IF(INDEX(properties!A$1:CB$87,'Fórmula'!F36,9)&lt;&gt;"",INDEX(properties!A$1:CB$87,'Fórmula'!F36,9)),IF(INDEX(properties!A$1:CB$87,'Fórmula'!H36,9)&lt;&gt;"",INDEX(properties!A$1:CB$87,'Fórmula'!H36,9)),IF(INDEX(properties!A$1:CB$87,'Fórmula'!J36,9)&lt;&gt;"",INDEX(properties!A$1:CB$87,'Fórmula'!J36,9)))</f>
        <v>1372.24</v>
      </c>
      <c r="AC36" s="105">
        <f t="array" ref="AC36">MAX(INDEX(properties!A$1:CB$87,'Fórmula'!B36,9),INDEX(properties!A$1:CB$87,'Fórmula'!D36,9),INDEX(properties!A$1:CB$87,'Fórmula'!F36,9),INDEX(properties!A$1:CB$87,'Fórmula'!H36,9),INDEX(properties!A$1:CB$87,'Fórmula'!J36,9))</f>
        <v>87</v>
      </c>
      <c r="AD36" s="105">
        <f t="array" ref="AD36">MIN(IF(INDEX(properties!A$1:CB$87,'Fórmula'!B36,9)=0,10^6,INDEX(properties!A$1:CB$87,'Fórmula'!B36,9)),IF(INDEX(properties!A$1:CB$87,'Fórmula'!D36,9)=0,10^6,INDEX(properties!A$1:CB$87,'Fórmula'!D36,9)),IF(INDEX(properties!A$1:CB$87,'Fórmula'!F36,9)=0,10^6,INDEX(properties!A$1:CB$87,'Fórmula'!F36,9)),IF(INDEX(properties!A$1:CB$87,'Fórmula'!H36,9)=0,10^6,INDEX(properties!A$1:CB$87,'Fórmula'!H36,9)),IF(INDEX(properties!A$1:CB$87,'Fórmula'!J36,9)=0,10^6,INDEX(properties!A$1:CB$87,'Fórmula'!J36,9)))</f>
        <v>9</v>
      </c>
      <c r="AE36" s="105">
        <f t="shared" si="5"/>
        <v>78</v>
      </c>
      <c r="AF36" s="106">
        <f t="array" ref="AF36">(('Fórmula'!C36)/('Fórmula'!C36+'Fórmula'!E36+'Fórmula'!G36+'Fórmula'!I36+'Fórmula'!K36))*(INDEX(properties!A$1:CB$87,'Fórmula'!B36,10))+(('Fórmula'!E36)/('Fórmula'!C36+'Fórmula'!E36+'Fórmula'!G36+'Fórmula'!I36+'Fórmula'!K36))*(INDEX(properties!A$1:CB$87,'Fórmula'!D36,10))+(('Fórmula'!G36)/('Fórmula'!C36+'Fórmula'!E36+'Fórmula'!G36+'Fórmula'!I36+'Fórmula'!K36))*(INDEX(properties!A$1:CB$87,'Fórmula'!F36,10))+(('Fórmula'!I36)/('Fórmula'!C36+'Fórmula'!E36+'Fórmula'!G36+'Fórmula'!I36+'Fórmula'!K36))*(INDEX(properties!A$1:CB$87,'Fórmula'!H36,10))+(('Fórmula'!K36)/('Fórmula'!C36+'Fórmula'!E36+'Fórmula'!G36+'Fórmula'!I36+'Fórmula'!K36))*(INDEX(properties!A$1:CB$87,'Fórmula'!J36,10))</f>
        <v>6.153846154</v>
      </c>
      <c r="AG36" s="106">
        <f t="array" ref="AG36">'Fórmula'!C36*(INDEX(properties!A$1:CB$87,'Fórmula'!B36,10))+'Fórmula'!E36*(INDEX(properties!A$1:CB$87,'Fórmula'!D36,10))+'Fórmula'!G36*(INDEX(properties!A$1:CB$87,'Fórmula'!F36,10))+'Fórmula'!I36*(INDEX(properties!A$1:CB$87,'Fórmula'!H36,10))+'Fórmula'!K36*(INDEX(properties!A$1:CB$87,'Fórmula'!J36,10))</f>
        <v>80</v>
      </c>
      <c r="AH36" s="106">
        <f t="array" ref="AH36">VARP(IF(INDEX(properties!A$1:CB$87,'Fórmula'!B36,10)&lt;&gt;"",INDEX(properties!A$1:CB$87,'Fórmula'!B36,10)),IF(INDEX(properties!A$1:CB$87,'Fórmula'!D36,10)&lt;&gt;"",INDEX(properties!A$1:CB$87,'Fórmula'!D36,10)),IF(INDEX(properties!A$1:CB$87,'Fórmula'!F36,10)&lt;&gt;"",INDEX(properties!A$1:CB$87,'Fórmula'!F36,10)),IF(INDEX(properties!A$1:CB$87,'Fórmula'!H36,10)&lt;&gt;"",INDEX(properties!A$1:CB$87,'Fórmula'!H36,10)),IF(INDEX(properties!A$1:CB$87,'Fórmula'!J36,10)&lt;&gt;"",INDEX(properties!A$1:CB$87,'Fórmula'!J36,10)))</f>
        <v>6.8</v>
      </c>
      <c r="AI36" s="106">
        <f t="array" ref="AI36">MAX(INDEX(properties!A$1:CB$87,'Fórmula'!B36,10),INDEX(properties!A$1:CB$87,'Fórmula'!D36,10),INDEX(properties!A$1:CB$87,'Fórmula'!F36,10),INDEX(properties!A$1:CB$87,'Fórmula'!H36,10),INDEX(properties!A$1:CB$87,'Fórmula'!J36,10))</f>
        <v>7</v>
      </c>
      <c r="AJ36" s="106">
        <f t="array" ref="AJ36">MIN(IF(INDEX(properties!A$1:CB$87,'Fórmula'!B36,10)=0,10^6,INDEX(properties!A$1:CB$87,'Fórmula'!B36,10)),IF(INDEX(properties!A$1:CB$87,'Fórmula'!D36,10)=0,10^6,INDEX(properties!A$1:CB$87,'Fórmula'!D36,10)),IF(INDEX(properties!A$1:CB$87,'Fórmula'!F36,10)=0,10^6,INDEX(properties!A$1:CB$87,'Fórmula'!F36,10)),IF(INDEX(properties!A$1:CB$87,'Fórmula'!H36,10)=0,10^6,INDEX(properties!A$1:CB$87,'Fórmula'!H36,10)),IF(INDEX(properties!A$1:CB$87,'Fórmula'!J36,10)=0,10^6,INDEX(properties!A$1:CB$87,'Fórmula'!J36,10)))</f>
        <v>2</v>
      </c>
      <c r="AK36" s="106">
        <f t="shared" si="6"/>
        <v>5</v>
      </c>
      <c r="AL36" s="107">
        <f t="array" ref="AL36">(('Fórmula'!C36)/('Fórmula'!C36+'Fórmula'!E36+'Fórmula'!G36+'Fórmula'!I36+'Fórmula'!K36))*(INDEX(properties!A$1:CB$87,'Fórmula'!B36,11))+(('Fórmula'!E36)/('Fórmula'!C36+'Fórmula'!E36+'Fórmula'!G36+'Fórmula'!I36+'Fórmula'!K36))*(INDEX(properties!A$1:CB$87,'Fórmula'!D36,11))+(('Fórmula'!G36)/('Fórmula'!C36+'Fórmula'!E36+'Fórmula'!G36+'Fórmula'!I36+'Fórmula'!K36))*(INDEX(properties!A$1:CB$87,'Fórmula'!F36,11))+(('Fórmula'!I36)/('Fórmula'!C36+'Fórmula'!E36+'Fórmula'!G36+'Fórmula'!I36+'Fórmula'!K36))*(INDEX(properties!A$1:CB$87,'Fórmula'!H36,11))+(('Fórmula'!K36)/('Fórmula'!C36+'Fórmula'!E36+'Fórmula'!G36+'Fórmula'!I36+'Fórmula'!K36))*(INDEX(properties!A$1:CB$87,'Fórmula'!J36,11))</f>
        <v>2</v>
      </c>
      <c r="AM36" s="107">
        <f t="array" ref="AM36">'Fórmula'!C36*(INDEX(properties!A$1:CB$87,'Fórmula'!B36,11))+'Fórmula'!E36*(INDEX(properties!A$1:CB$87,'Fórmula'!D36,11))+'Fórmula'!G36*(INDEX(properties!A$1:CB$87,'Fórmula'!F36,11))+'Fórmula'!I36*(INDEX(properties!A$1:CB$87,'Fórmula'!H36,11))+'Fórmula'!K36*(INDEX(properties!A$1:CB$87,'Fórmula'!J36,11))</f>
        <v>26</v>
      </c>
      <c r="AN36" s="107">
        <f t="array" ref="AN36">VARP(IF(INDEX(properties!A$1:CB$87,'Fórmula'!B36,11)&lt;&gt;"",INDEX(properties!A$1:CB$87,'Fórmula'!B36,11)),IF(INDEX(properties!A$1:CB$87,'Fórmula'!D36,11)&lt;&gt;"",INDEX(properties!A$1:CB$87,'Fórmula'!D36,11)),IF(INDEX(properties!A$1:CB$87,'Fórmula'!F36,11)&lt;&gt;"",INDEX(properties!A$1:CB$87,'Fórmula'!F36,11)),IF(INDEX(properties!A$1:CB$87,'Fórmula'!H36,11)&lt;&gt;"",INDEX(properties!A$1:CB$87,'Fórmula'!H36,11)),IF(INDEX(properties!A$1:CB$87,'Fórmula'!J36,11)&lt;&gt;"",INDEX(properties!A$1:CB$87,'Fórmula'!J36,11)))</f>
        <v>0.64</v>
      </c>
      <c r="AO36" s="107">
        <f t="array" ref="AO36">MAX(INDEX(properties!A$1:CB$87,'Fórmula'!B36,11),INDEX(properties!A$1:CB$87,'Fórmula'!D36,11),INDEX(properties!A$1:CB$87,'Fórmula'!F36,11),INDEX(properties!A$1:CB$87,'Fórmula'!H36,11),INDEX(properties!A$1:CB$87,'Fórmula'!J36,11))</f>
        <v>2</v>
      </c>
      <c r="AP36" s="107">
        <f t="array" ref="AP36">MIN(IF('Fórmula'!B36=87,10^6,INDEX(properties!A$1:CB$87,'Fórmula'!B36,11)),IF(('Fórmula'!D36)=87,10^6,INDEX(properties!A$1:CB$87,'Fórmula'!D36,11)),IF(('Fórmula'!F36)=87,10^6,INDEX(properties!A$1:CB$87,'Fórmula'!F36,11)),IF(('Fórmula'!H36)=87,10^6,INDEX(properties!A$1:CB$87,'Fórmula'!H36,11)),IF('Fórmula'!J36=87,10^6,INDEX(properties!A$1:CB$87,'Fórmula'!J36,11)))</f>
        <v>2</v>
      </c>
      <c r="AQ36" s="107">
        <f t="shared" si="7"/>
        <v>0</v>
      </c>
      <c r="AR36" s="108">
        <f t="array" ref="AR36">(('Fórmula'!C36)/('Fórmula'!C36+'Fórmula'!E36+'Fórmula'!G36+'Fórmula'!I36+'Fórmula'!K36))*(INDEX(properties!A$1:CB$87,'Fórmula'!B36,12))+(('Fórmula'!E36)/('Fórmula'!C36+'Fórmula'!E36+'Fórmula'!G36+'Fórmula'!I36+'Fórmula'!K36))*(INDEX(properties!A$1:CB$87,'Fórmula'!D36,12))+(('Fórmula'!G36)/('Fórmula'!C36+'Fórmula'!E36+'Fórmula'!G36+'Fórmula'!I36+'Fórmula'!K36))*(INDEX(properties!A$1:CB$87,'Fórmula'!F36,12))+(('Fórmula'!I36)/('Fórmula'!C36+'Fórmula'!E36+'Fórmula'!G36+'Fórmula'!I36+'Fórmula'!K36))*(INDEX(properties!A$1:CB$87,'Fórmula'!H36,12))+(('Fórmula'!K36)/('Fórmula'!C36+'Fórmula'!E36+'Fórmula'!G36+'Fórmula'!I36+'Fórmula'!K36))*(INDEX(properties!A$1:CB$87,'Fórmula'!J36,12))</f>
        <v>2.923076923</v>
      </c>
      <c r="AS36" s="108">
        <f t="array" ref="AS36">'Fórmula'!C36*(INDEX(properties!A$1:CB$87,'Fórmula'!B36,12))+'Fórmula'!E36*(INDEX(properties!A$1:CB$87,'Fórmula'!D36,12))+'Fórmula'!G36*(INDEX(properties!A$1:CB$87,'Fórmula'!F36,12))+'Fórmula'!I36*(INDEX(properties!A$1:CB$87,'Fórmula'!H36,12))+'Fórmula'!K36*(INDEX(properties!A$1:CB$87,'Fórmula'!J36,12))</f>
        <v>38</v>
      </c>
      <c r="AT36" s="108">
        <f t="array" ref="AT36">VARP(IF(INDEX(properties!A$1:CB$87,'Fórmula'!B36,12)&lt;&gt;"",INDEX(properties!A$1:CB$87,'Fórmula'!B36,12)),IF(INDEX(properties!A$1:CB$87,'Fórmula'!D36,12)&lt;&gt;"",INDEX(properties!A$1:CB$87,'Fórmula'!D36,12)),IF(INDEX(properties!A$1:CB$87,'Fórmula'!F36,12)&lt;&gt;"",INDEX(properties!A$1:CB$87,'Fórmula'!F36,12)),IF(INDEX(properties!A$1:CB$87,'Fórmula'!H36,12)&lt;&gt;"",INDEX(properties!A$1:CB$87,'Fórmula'!H36,12)),IF(INDEX(properties!A$1:CB$87,'Fórmula'!J36,12)&lt;&gt;"",INDEX(properties!A$1:CB$87,'Fórmula'!J36,12)))</f>
        <v>2.24</v>
      </c>
      <c r="AU36" s="108">
        <f t="array" ref="AU36">MAX(INDEX(properties!A$1:CB$87,'Fórmula'!B36,12),INDEX(properties!A$1:CB$87,'Fórmula'!D36,12),INDEX(properties!A$1:CB$87,'Fórmula'!F36,12),INDEX(properties!A$1:CB$87,'Fórmula'!H36,12),INDEX(properties!A$1:CB$87,'Fórmula'!J36,12))</f>
        <v>4</v>
      </c>
      <c r="AV36" s="108">
        <f t="array" ref="AV36">MIN(IF('Fórmula'!B36=87,10^6,INDEX(properties!A$1:CB$87,'Fórmula'!B36,12)),IF(('Fórmula'!D36)=87,10^6,INDEX(properties!A$1:CB$87,'Fórmula'!D36,12)),IF(('Fórmula'!F36)=87,10^6,INDEX(properties!A$1:CB$87,'Fórmula'!F36,12)),IF(('Fórmula'!H36)=87,10^6,INDEX(properties!A$1:CB$87,'Fórmula'!H36,12)),IF('Fórmula'!J36=87,10^6,INDEX(properties!A$1:CB$87,'Fórmula'!J36,12)))</f>
        <v>0</v>
      </c>
      <c r="AW36" s="108">
        <f t="shared" si="8"/>
        <v>4</v>
      </c>
      <c r="AX36" s="109">
        <f t="array" ref="AX36">(('Fórmula'!C36)/('Fórmula'!C36+'Fórmula'!E36+'Fórmula'!G36+'Fórmula'!I36+'Fórmula'!K36))*(INDEX(properties!A$1:CB$87,'Fórmula'!B36,13))+(('Fórmula'!E36)/('Fórmula'!C36+'Fórmula'!E36+'Fórmula'!G36+'Fórmula'!I36+'Fórmula'!K36))*(INDEX(properties!A$1:CB$87,'Fórmula'!D36,13))+(('Fórmula'!G36)/('Fórmula'!C36+'Fórmula'!E36+'Fórmula'!G36+'Fórmula'!I36+'Fórmula'!K36))*(INDEX(properties!A$1:CB$87,'Fórmula'!F36,13))+(('Fórmula'!I36)/('Fórmula'!C36+'Fórmula'!E36+'Fórmula'!G36+'Fórmula'!I36+'Fórmula'!K36))*(INDEX(properties!A$1:CB$87,'Fórmula'!H36,13))+(('Fórmula'!K36)/('Fórmula'!C36+'Fórmula'!E36+'Fórmula'!G36+'Fórmula'!I36+'Fórmula'!K36))*(INDEX(properties!A$1:CB$87,'Fórmula'!J36,13))</f>
        <v>0</v>
      </c>
      <c r="AY36" s="109">
        <f t="array" ref="AY36">'Fórmula'!C36*(INDEX(properties!A$1:CB$87,'Fórmula'!B36,13))+'Fórmula'!E36*(INDEX(properties!A$1:CB$87,'Fórmula'!D36,13))+'Fórmula'!G36*(INDEX(properties!A$1:CB$87,'Fórmula'!F36,13))+'Fórmula'!I36*(INDEX(properties!A$1:CB$87,'Fórmula'!H36,13))+'Fórmula'!K36*(INDEX(properties!A$1:CB$87,'Fórmula'!J36,13))</f>
        <v>0</v>
      </c>
      <c r="AZ36" s="109">
        <f t="array" ref="AZ36">VARP(IF(INDEX(properties!A$1:CB$87,'Fórmula'!B36,13)&lt;&gt;"",INDEX(properties!A$1:CB$87,'Fórmula'!B36,13)),IF(INDEX(properties!A$1:CB$87,'Fórmula'!D36,13)&lt;&gt;"",INDEX(properties!A$1:CB$87,'Fórmula'!D36,13)),IF(INDEX(properties!A$1:CB$87,'Fórmula'!F36,13)&lt;&gt;"",INDEX(properties!A$1:CB$87,'Fórmula'!F36,13)),IF(INDEX(properties!A$1:CB$87,'Fórmula'!H36,13)&lt;&gt;"",INDEX(properties!A$1:CB$87,'Fórmula'!H36,13)),IF(INDEX(properties!A$1:CB$87,'Fórmula'!J36,13)&lt;&gt;"",INDEX(properties!A$1:CB$87,'Fórmula'!J36,13)))</f>
        <v>0</v>
      </c>
      <c r="BA36" s="109">
        <f t="array" ref="BA36">MAX(INDEX(properties!A$1:CB$87,'Fórmula'!B36,13),INDEX(properties!A$1:CB$87,'Fórmula'!D36,13),INDEX(properties!A$1:CB$87,'Fórmula'!F36,13),INDEX(properties!A$1:CB$87,'Fórmula'!H36,13),INDEX(properties!A$1:CB$87,'Fórmula'!J36,13))</f>
        <v>0</v>
      </c>
      <c r="BB36" s="109">
        <f t="array" ref="BB36">MIN(IF('Fórmula'!B36=87,10^6,INDEX(properties!A$1:CB$87,'Fórmula'!B36,13)),IF(('Fórmula'!D36)=87,10^6,INDEX(properties!A$1:CB$87,'Fórmula'!D36,13)),IF(('Fórmula'!F36)=87,10^6,INDEX(properties!A$1:CB$87,'Fórmula'!F36,13)),IF(('Fórmula'!H36)=87,10^6,INDEX(properties!A$1:CB$87,'Fórmula'!H36,13)),IF('Fórmula'!J36=87,10^6,INDEX(properties!A$1:CB$87,'Fórmula'!J36,13)))</f>
        <v>0</v>
      </c>
      <c r="BC36" s="109">
        <f t="shared" si="9"/>
        <v>0</v>
      </c>
      <c r="BD36" s="110">
        <f t="array" ref="BD36">(('Fórmula'!C36)/('Fórmula'!C36+'Fórmula'!E36+'Fórmula'!G36+'Fórmula'!I36+'Fórmula'!K36))*(INDEX(properties!A$1:CB$87,'Fórmula'!B36,14))+(('Fórmula'!E36)/('Fórmula'!C36+'Fórmula'!E36+'Fórmula'!G36+'Fórmula'!I36+'Fórmula'!K36))*(INDEX(properties!A$1:CB$87,'Fórmula'!D36,14))+(('Fórmula'!G36)/('Fórmula'!C36+'Fórmula'!E36+'Fórmula'!G36+'Fórmula'!I36+'Fórmula'!K36))*(INDEX(properties!A$1:CB$87,'Fórmula'!F36,14))+(('Fórmula'!I36)/('Fórmula'!C36+'Fórmula'!E36+'Fórmula'!G36+'Fórmula'!I36+'Fórmula'!K36))*(INDEX(properties!A$1:CB$87,'Fórmula'!H36,14))+(('Fórmula'!K36)/('Fórmula'!C36+'Fórmula'!E36+'Fórmula'!G36+'Fórmula'!I36+'Fórmula'!K36))*(INDEX(properties!A$1:CB$87,'Fórmula'!J36,14))</f>
        <v>0</v>
      </c>
      <c r="BE36" s="110">
        <f t="array" ref="BE36">'Fórmula'!C36*(INDEX(properties!A$1:CB$87,'Fórmula'!B36,14))+'Fórmula'!E36*(INDEX(properties!A$1:CB$87,'Fórmula'!D36,14))+'Fórmula'!G36*(INDEX(properties!A$1:CB$87,'Fórmula'!F36,14))+'Fórmula'!I36*(INDEX(properties!A$1:CB$87,'Fórmula'!H36,14))+'Fórmula'!K36*(INDEX(properties!A$1:CB$87,'Fórmula'!J36,14))</f>
        <v>0</v>
      </c>
      <c r="BF36" s="110">
        <f t="array" ref="BF36">VARP(IF(INDEX(properties!A$1:CB$87,'Fórmula'!B36,14)&lt;&gt;"",INDEX(properties!A$1:CB$87,'Fórmula'!B36,14)),IF(INDEX(properties!A$1:CB$87,'Fórmula'!D36,14)&lt;&gt;"",INDEX(properties!A$1:CB$87,'Fórmula'!D36,14)),IF(INDEX(properties!A$1:CB$87,'Fórmula'!F36,14)&lt;&gt;"",INDEX(properties!A$1:CB$87,'Fórmula'!F36,14)),IF(INDEX(properties!A$1:CB$87,'Fórmula'!H36,14)&lt;&gt;"",INDEX(properties!A$1:CB$87,'Fórmula'!H36,14)),IF(INDEX(properties!A$1:CB$87,'Fórmula'!J36,14)&lt;&gt;"",INDEX(properties!A$1:CB$87,'Fórmula'!J36,14)))</f>
        <v>0</v>
      </c>
      <c r="BG36" s="110">
        <f t="array" ref="BG36">MAX(INDEX(properties!A$1:CB$87,'Fórmula'!B36,14),INDEX(properties!A$1:CB$87,'Fórmula'!D36,14),INDEX(properties!A$1:CB$87,'Fórmula'!F36,14),INDEX(properties!A$1:CB$87,'Fórmula'!H36,14),INDEX(properties!A$1:CB$87,'Fórmula'!J36,14))</f>
        <v>0</v>
      </c>
      <c r="BH36" s="110">
        <f t="array" ref="BH36">MIN(IF('Fórmula'!B36=87,10^6,INDEX(properties!A$1:CB$87,'Fórmula'!B36,14)),IF(('Fórmula'!D36)=87,10^6,INDEX(properties!A$1:CB$87,'Fórmula'!D36,14)),IF(('Fórmula'!F36)=87,10^6,INDEX(properties!A$1:CB$87,'Fórmula'!F36,14)),IF(('Fórmula'!H36)=87,10^6,INDEX(properties!A$1:CB$87,'Fórmula'!H36,14)),IF('Fórmula'!J36=87,10^6,INDEX(properties!A$1:CB$87,'Fórmula'!J36,14)))</f>
        <v>0</v>
      </c>
      <c r="BI36" s="110">
        <f t="shared" si="10"/>
        <v>0</v>
      </c>
      <c r="BJ36" s="111">
        <f t="array" ref="BJ36">(('Fórmula'!C36)/('Fórmula'!C36+'Fórmula'!E36+'Fórmula'!G36+'Fórmula'!I36+'Fórmula'!K36))*(INDEX(properties!A$1:CB$87,'Fórmula'!B36,19))+(('Fórmula'!E36)/('Fórmula'!C36+'Fórmula'!E36+'Fórmula'!G36+'Fórmula'!I36+'Fórmula'!K36))*(INDEX(properties!A$1:CB$87,'Fórmula'!D36,19))+(('Fórmula'!G36)/('Fórmula'!C36+'Fórmula'!E36+'Fórmula'!G36+'Fórmula'!I36+'Fórmula'!K36))*(INDEX(properties!A$1:CB$87,'Fórmula'!F36,19))+(('Fórmula'!I36)/('Fórmula'!C36+'Fórmula'!E36+'Fórmula'!G36+'Fórmula'!I36+'Fórmula'!K36))*(INDEX(properties!A$1:CB$87,'Fórmula'!H36,19))+(('Fórmula'!K36)/('Fórmula'!C36+'Fórmula'!E36+'Fórmula'!G36+'Fórmula'!I36+'Fórmula'!K36))*(INDEX(properties!A$1:CB$87,'Fórmula'!J36,19))</f>
        <v>4.923076923</v>
      </c>
      <c r="BK36" s="111">
        <f t="array" ref="BK36">'Fórmula'!C36*(INDEX(properties!A$1:CB$87,'Fórmula'!B36,19))+'Fórmula'!E36*(INDEX(properties!A$1:CB$87,'Fórmula'!D36,19))+'Fórmula'!G36*(INDEX(properties!A$1:CB$87,'Fórmula'!F36,19))+'Fórmula'!I36*(INDEX(properties!A$1:CB$87,'Fórmula'!H36,19))+'Fórmula'!K36*(INDEX(properties!A$1:CB$87,'Fórmula'!J36,19))</f>
        <v>64</v>
      </c>
      <c r="BL36" s="111">
        <f t="array" ref="BL36">VARP(IF(INDEX(properties!A$1:CB$87,'Fórmula'!B36,19)&lt;&gt;"",INDEX(properties!A$1:CB$87,'Fórmula'!B36,19)),IF(INDEX(properties!A$1:CB$87,'Fórmula'!D36,19)&lt;&gt;"",INDEX(properties!A$1:CB$87,'Fórmula'!D36,19)),IF(INDEX(properties!A$1:CB$87,'Fórmula'!F36,19)&lt;&gt;"",INDEX(properties!A$1:CB$87,'Fórmula'!F36,19)),IF(INDEX(properties!A$1:CB$87,'Fórmula'!H36,19)&lt;&gt;"",INDEX(properties!A$1:CB$87,'Fórmula'!H36,19)),IF(INDEX(properties!A$1:CB$87,'Fórmula'!J36,19)&lt;&gt;"",INDEX(properties!A$1:CB$87,'Fórmula'!J36,19)))</f>
        <v>4</v>
      </c>
      <c r="BM36" s="111">
        <f t="array" ref="BM36">MAX(INDEX(properties!A$1:CB$87,'Fórmula'!B36,19),INDEX(properties!A$1:CB$87,'Fórmula'!D36,19),INDEX(properties!A$1:CB$87,'Fórmula'!F36,19),INDEX(properties!A$1:CB$87,'Fórmula'!H36,19),INDEX(properties!A$1:CB$87,'Fórmula'!J36,19))</f>
        <v>6</v>
      </c>
      <c r="BN36" s="111">
        <f t="array" ref="BN36">MIN(IF(INDEX(properties!A$1:CB$87,'Fórmula'!B36,19)=0,10^6,INDEX(properties!A$1:CB$87,'Fórmula'!B36,19)),IF(INDEX(properties!A$1:CB$87,'Fórmula'!D36,19)=0,10^6,INDEX(properties!A$1:CB$87,'Fórmula'!D36,19)),IF(INDEX(properties!A$1:CB$87,'Fórmula'!F36,19)=0,10^6,INDEX(properties!A$1:CB$87,'Fórmula'!F36,19)),IF(INDEX(properties!A$1:CB$87,'Fórmula'!H36,19)=0,10^6,INDEX(properties!A$1:CB$87,'Fórmula'!H36,19)),IF(INDEX(properties!A$1:CB$87,'Fórmula'!J36,19)=0,10^6,INDEX(properties!A$1:CB$87,'Fórmula'!J36,19)))</f>
        <v>2</v>
      </c>
      <c r="BO36" s="111">
        <f t="shared" si="11"/>
        <v>4</v>
      </c>
      <c r="BP36" s="112">
        <f t="array" ref="BP36">(('Fórmula'!C36)/('Fórmula'!C36+'Fórmula'!E36+'Fórmula'!G36+'Fórmula'!I36+'Fórmula'!K36))*(INDEX(properties!A$1:CB$87,'Fórmula'!B36,20))+(('Fórmula'!E36)/('Fórmula'!C36+'Fórmula'!E36+'Fórmula'!G36+'Fórmula'!I36+'Fórmula'!K36))*(INDEX(properties!A$1:CB$87,'Fórmula'!D36,20))+(('Fórmula'!G36)/('Fórmula'!C36+'Fórmula'!E36+'Fórmula'!G36+'Fórmula'!I36+'Fórmula'!K36))*(INDEX(properties!A$1:CB$87,'Fórmula'!F36,20))+(('Fórmula'!I36)/('Fórmula'!C36+'Fórmula'!E36+'Fórmula'!G36+'Fórmula'!I36+'Fórmula'!K36))*(INDEX(properties!A$1:CB$87,'Fórmula'!H36,20))+(('Fórmula'!K36)/('Fórmula'!C36+'Fórmula'!E36+'Fórmula'!G36+'Fórmula'!I36+'Fórmula'!K36))*(INDEX(properties!A$1:CB$87,'Fórmula'!J36,20))</f>
        <v>4.923076923</v>
      </c>
      <c r="BQ36" s="112">
        <f t="array" ref="BQ36">'Fórmula'!C36*(INDEX(properties!A$1:CB$87,'Fórmula'!B36,20))+'Fórmula'!E36*(INDEX(properties!A$1:CB$87,'Fórmula'!D36,20))+'Fórmula'!G36*(INDEX(properties!A$1:CB$87,'Fórmula'!F36,20))+'Fórmula'!I36*(INDEX(properties!A$1:CB$87,'Fórmula'!H36,20))+'Fórmula'!K36*(INDEX(properties!A$1:CB$87,'Fórmula'!J36,20))</f>
        <v>64</v>
      </c>
      <c r="BR36" s="112">
        <f t="array" ref="BR36">VARP(IF(INDEX(properties!A$1:CB$87,'Fórmula'!B36,20)&lt;&gt;"",INDEX(properties!A$1:CB$87,'Fórmula'!B36,20)),IF(INDEX(properties!A$1:CB$87,'Fórmula'!D36,20)&lt;&gt;"",INDEX(properties!A$1:CB$87,'Fórmula'!D36,20)),IF(INDEX(properties!A$1:CB$87,'Fórmula'!F36,20)&lt;&gt;"",INDEX(properties!A$1:CB$87,'Fórmula'!F36,20)),IF(INDEX(properties!A$1:CB$87,'Fórmula'!H36,20)&lt;&gt;"",INDEX(properties!A$1:CB$87,'Fórmula'!H36,20)),IF(INDEX(properties!A$1:CB$87,'Fórmula'!J36,20)&lt;&gt;"",INDEX(properties!A$1:CB$87,'Fórmula'!J36,20)))</f>
        <v>4</v>
      </c>
      <c r="BS36" s="112">
        <f t="array" ref="BS36">MAX(INDEX(properties!A$1:CB$87,'Fórmula'!B36,20),INDEX(properties!A$1:CB$87,'Fórmula'!D36,20),INDEX(properties!A$1:CB$87,'Fórmula'!F36,20),INDEX(properties!A$1:CB$87,'Fórmula'!H36,20),INDEX(properties!A$1:CB$87,'Fórmula'!J36,20))</f>
        <v>6</v>
      </c>
      <c r="BT36" s="112">
        <f t="array" ref="BT36">MIN(IF(INDEX(properties!A$1:CB$87,'Fórmula'!B36,20)=0,10^6,INDEX(properties!A$1:CB$87,'Fórmula'!B36,20)),IF(INDEX(properties!A$1:CB$87,'Fórmula'!D36,20)=0,10^6,INDEX(properties!A$1:CB$87,'Fórmula'!D36,20)),IF(INDEX(properties!A$1:CB$87,'Fórmula'!F36,20)=0,10^6,INDEX(properties!A$1:CB$87,'Fórmula'!F36,20)),IF(INDEX(properties!A$1:CB$87,'Fórmula'!H36,20)=0,10^6,INDEX(properties!A$1:CB$87,'Fórmula'!H36,20)),IF(INDEX(properties!A$1:CB$87,'Fórmula'!J36,20)=0,10^6,INDEX(properties!A$1:CB$87,'Fórmula'!J36,20)))</f>
        <v>2</v>
      </c>
      <c r="BU36" s="112">
        <f t="shared" si="12"/>
        <v>4</v>
      </c>
      <c r="BV36" s="113">
        <f t="array" ref="BV36">(('Fórmula'!C36)/('Fórmula'!C36+'Fórmula'!E36+'Fórmula'!G36+'Fórmula'!I36+'Fórmula'!K36))*(INDEX(properties!A$1:CB$87,'Fórmula'!B36,21))+(('Fórmula'!E36)/('Fórmula'!C36+'Fórmula'!E36+'Fórmula'!G36+'Fórmula'!I36+'Fórmula'!K36))*(INDEX(properties!A$1:CB$87,'Fórmula'!D36,21))+(('Fórmula'!G36)/('Fórmula'!C36+'Fórmula'!E36+'Fórmula'!G36+'Fórmula'!I36+'Fórmula'!K36))*(INDEX(properties!A$1:CB$87,'Fórmula'!F36,21))+(('Fórmula'!I36)/('Fórmula'!C36+'Fórmula'!E36+'Fórmula'!G36+'Fórmula'!I36+'Fórmula'!K36))*(INDEX(properties!A$1:CB$87,'Fórmula'!H36,21))+(('Fórmula'!K36)/('Fórmula'!C36+'Fórmula'!E36+'Fórmula'!G36+'Fórmula'!I36+'Fórmula'!K36))*(INDEX(properties!A$1:CB$87,'Fórmula'!J36,21))</f>
        <v>4.923076923</v>
      </c>
      <c r="BW36" s="113">
        <f t="array" ref="BW36">'Fórmula'!C36*(INDEX(properties!A$1:CB$87,'Fórmula'!B36,21))+'Fórmula'!E36*(INDEX(properties!A$1:CB$87,'Fórmula'!D36,21))+'Fórmula'!G36*(INDEX(properties!A$1:CB$87,'Fórmula'!F36,21))+'Fórmula'!I36*(INDEX(properties!A$1:CB$87,'Fórmula'!H36,21))+'Fórmula'!K36*(INDEX(properties!A$1:CB$87,'Fórmula'!J36,21))</f>
        <v>64</v>
      </c>
      <c r="BX36" s="113">
        <f t="array" ref="BX36">VARP(IF(INDEX(properties!A$1:CB$87,'Fórmula'!B36,21)&lt;&gt;"",INDEX(properties!A$1:CB$87,'Fórmula'!B36,21)),IF(INDEX(properties!A$1:CB$87,'Fórmula'!D36,21)&lt;&gt;"",INDEX(properties!A$1:CB$87,'Fórmula'!D36,21)),IF(INDEX(properties!A$1:CB$87,'Fórmula'!F36,21)&lt;&gt;"",INDEX(properties!A$1:CB$87,'Fórmula'!F36,21)),IF(INDEX(properties!A$1:CB$87,'Fórmula'!H36,21)&lt;&gt;"",INDEX(properties!A$1:CB$87,'Fórmula'!H36,21)),IF(INDEX(properties!A$1:CB$87,'Fórmula'!J36,21)&lt;&gt;"",INDEX(properties!A$1:CB$87,'Fórmula'!J36,21)))</f>
        <v>4</v>
      </c>
      <c r="BY36" s="113">
        <f t="array" ref="BY36">MAX(INDEX(properties!A$1:CB$87,'Fórmula'!B36,21),INDEX(properties!A$1:CB$87,'Fórmula'!D36,21),INDEX(properties!A$1:CB$87,'Fórmula'!F36,21),INDEX(properties!A$1:CB$87,'Fórmula'!H36,21),INDEX(properties!A$1:CB$87,'Fórmula'!J36,21))</f>
        <v>6</v>
      </c>
      <c r="BZ36" s="113">
        <f t="array" ref="BZ36">MIN(IF(INDEX(properties!A$1:CB$87,'Fórmula'!B36,21)=0,10^6,INDEX(properties!A$1:CB$87,'Fórmula'!B36,21)),IF(INDEX(properties!A$1:CB$87,'Fórmula'!D36,21)=0,10^6,INDEX(properties!A$1:CB$87,'Fórmula'!D36,21)),IF(INDEX(properties!A$1:CB$87,'Fórmula'!F36,21)=0,10^6,INDEX(properties!A$1:CB$87,'Fórmula'!F36,21)),IF(INDEX(properties!A$1:CB$87,'Fórmula'!H36,21)=0,10^6,INDEX(properties!A$1:CB$87,'Fórmula'!H36,21)),IF(INDEX(properties!A$1:CB$87,'Fórmula'!J36,21)=0,10^6,INDEX(properties!A$1:CB$87,'Fórmula'!J36,21)))</f>
        <v>2</v>
      </c>
      <c r="CA36" s="113">
        <f t="shared" si="13"/>
        <v>4</v>
      </c>
      <c r="CB36" s="114">
        <f t="array" ref="CB36">(('Fórmula'!C36)/('Fórmula'!C36+'Fórmula'!E36+'Fórmula'!G36+'Fórmula'!I36+'Fórmula'!K36))*(INDEX(properties!A$1:CB$87,'Fórmula'!B36,23))+(('Fórmula'!E36)/('Fórmula'!C36+'Fórmula'!E36+'Fórmula'!G36+'Fórmula'!I36+'Fórmula'!K36))*(INDEX(properties!A$1:CB$87,'Fórmula'!D36,23))+(('Fórmula'!G36)/('Fórmula'!C36+'Fórmula'!E36+'Fórmula'!G36+'Fórmula'!I36+'Fórmula'!K36))*(INDEX(properties!A$1:CB$87,'Fórmula'!F36,23))+(('Fórmula'!I36)/('Fórmula'!C36+'Fórmula'!E36+'Fórmula'!G36+'Fórmula'!I36+'Fórmula'!K36))*(INDEX(properties!A$1:CB$87,'Fórmula'!H36,23))+(('Fórmula'!K36)/('Fórmula'!C36+'Fórmula'!E36+'Fórmula'!G36+'Fórmula'!I36+'Fórmula'!K36))*(INDEX(properties!A$1:CB$87,'Fórmula'!J36,23))</f>
        <v>1.230769231</v>
      </c>
      <c r="CC36" s="114">
        <f t="array" ref="CC36">'Fórmula'!C36*(INDEX(properties!A$1:CB$87,'Fórmula'!B36,23))+'Fórmula'!E36*(INDEX(properties!A$1:CB$87,'Fórmula'!D36,23))+'Fórmula'!G36*(INDEX(properties!A$1:CB$87,'Fórmula'!F36,23))+'Fórmula'!I36*(INDEX(properties!A$1:CB$87,'Fórmula'!H36,23))+'Fórmula'!K36*(INDEX(properties!A$1:CB$87,'Fórmula'!J36,23))</f>
        <v>16</v>
      </c>
      <c r="CD36" s="114">
        <f t="array" ref="CD36">VARP(IF(INDEX(properties!A$1:CB$87,'Fórmula'!B36,23)&lt;&gt;"",INDEX(properties!A$1:CB$87,'Fórmula'!B36,23)),IF(INDEX(properties!A$1:CB$87,'Fórmula'!D36,23)&lt;&gt;"",INDEX(properties!A$1:CB$87,'Fórmula'!D36,23)),IF(INDEX(properties!A$1:CB$87,'Fórmula'!F36,23)&lt;&gt;"",INDEX(properties!A$1:CB$87,'Fórmula'!F36,23)),IF(INDEX(properties!A$1:CB$87,'Fórmula'!H36,23)&lt;&gt;"",INDEX(properties!A$1:CB$87,'Fórmula'!H36,23)),IF(INDEX(properties!A$1:CB$87,'Fórmula'!J36,23)&lt;&gt;"",INDEX(properties!A$1:CB$87,'Fórmula'!J36,23)))</f>
        <v>2.56</v>
      </c>
      <c r="CE36" s="114">
        <f t="array" ref="CE36">MAX(INDEX(properties!A$1:CB$87,'Fórmula'!B36,23),INDEX(properties!A$1:CB$87,'Fórmula'!D36,23),INDEX(properties!A$1:CB$87,'Fórmula'!F36,23),INDEX(properties!A$1:CB$87,'Fórmula'!H36,23),INDEX(properties!A$1:CB$87,'Fórmula'!J36,23))</f>
        <v>4</v>
      </c>
      <c r="CF36" s="114">
        <f t="array" ref="CF36">MIN(IF('Fórmula'!B36=87,10^6,INDEX(properties!A$1:CB$87,'Fórmula'!B36,23)),IF(('Fórmula'!D36)=87,10^6,INDEX(properties!A$1:CB$87,'Fórmula'!D36,23)),IF(('Fórmula'!F36)=87,10^6,INDEX(properties!A$1:CB$87,'Fórmula'!F36,23)),IF(('Fórmula'!H36)=87,10^6,INDEX(properties!A$1:CB$87,'Fórmula'!H36,23)),IF('Fórmula'!J36=87,10^6,INDEX(properties!A$1:CB$87,'Fórmula'!J36,23)))</f>
        <v>0</v>
      </c>
      <c r="CG36" s="114">
        <f t="shared" si="14"/>
        <v>4</v>
      </c>
      <c r="CH36" s="115">
        <f t="array" ref="CH36">(('Fórmula'!C36)/('Fórmula'!C36+'Fórmula'!E36+'Fórmula'!G36+'Fórmula'!I36+'Fórmula'!K36))*(INDEX(properties!A$1:CB$87,'Fórmula'!B36,26))+(('Fórmula'!E36)/('Fórmula'!C36+'Fórmula'!E36+'Fórmula'!G36+'Fórmula'!I36+'Fórmula'!K36))*(INDEX(properties!A$1:CB$87,'Fórmula'!D36,26))+(('Fórmula'!G36)/('Fórmula'!C36+'Fórmula'!E36+'Fórmula'!G36+'Fórmula'!I36+'Fórmula'!K36))*(INDEX(properties!A$1:CB$87,'Fórmula'!F36,26))+(('Fórmula'!I36)/('Fórmula'!C36+'Fórmula'!E36+'Fórmula'!G36+'Fórmula'!I36+'Fórmula'!K36))*(INDEX(properties!A$1:CB$87,'Fórmula'!H36,26))+(('Fórmula'!K36)/('Fórmula'!C36+'Fórmula'!E36+'Fórmula'!G36+'Fórmula'!I36+'Fórmula'!K36))*(INDEX(properties!A$1:CB$87,'Fórmula'!J36,26))</f>
        <v>10.95626923</v>
      </c>
      <c r="CI36" s="115">
        <f t="array" ref="CI36">'Fórmula'!C36*(INDEX(properties!A$1:CB$87,'Fórmula'!B36,26))+'Fórmula'!E36*(INDEX(properties!A$1:CB$87,'Fórmula'!D36,26))+'Fórmula'!G36*(INDEX(properties!A$1:CB$87,'Fórmula'!F36,26))+'Fórmula'!I36*(INDEX(properties!A$1:CB$87,'Fórmula'!H36,26))+'Fórmula'!K36*(INDEX(properties!A$1:CB$87,'Fórmula'!J36,26))</f>
        <v>142.4315</v>
      </c>
      <c r="CJ36" s="115">
        <f t="array" ref="CJ36">VARP(IF(INDEX(properties!A$1:CB$87,'Fórmula'!B36,26)&lt;&gt;"",INDEX(properties!A$1:CB$87,'Fórmula'!B36,26)),IF(INDEX(properties!A$1:CB$87,'Fórmula'!D36,26)&lt;&gt;"",INDEX(properties!A$1:CB$87,'Fórmula'!D36,26)),IF(INDEX(properties!A$1:CB$87,'Fórmula'!F36,26)&lt;&gt;"",INDEX(properties!A$1:CB$87,'Fórmula'!F36,26)),IF(INDEX(properties!A$1:CB$87,'Fórmula'!H36,26)&lt;&gt;"",INDEX(properties!A$1:CB$87,'Fórmula'!H36,26)),IF(INDEX(properties!A$1:CB$87,'Fórmula'!J36,26)&lt;&gt;"",INDEX(properties!A$1:CB$87,'Fórmula'!J36,26)))</f>
        <v>19.50518103</v>
      </c>
      <c r="CK36" s="116">
        <f t="array" ref="CK36">MAX(INDEX(properties!A$1:CB$87,'Fórmula'!B36,26),INDEX(properties!A$1:CB$87,'Fórmula'!D36,26),INDEX(properties!A$1:CB$87,'Fórmula'!F36,26),INDEX(properties!A$1:CB$87,'Fórmula'!H36,26),INDEX(properties!A$1:CB$87,'Fórmula'!J36,26))</f>
        <v>13.6181</v>
      </c>
      <c r="CL36" s="116">
        <f t="array" ref="CL36">MIN(IF(INDEX(properties!A$1:CB$87,'Fórmula'!B36,26)=0,10^6,INDEX(properties!A$1:CB$87,'Fórmula'!B36,26)),IF(INDEX(properties!A$1:CB$87,'Fórmula'!D36,26)=0,10^6,INDEX(properties!A$1:CB$87,'Fórmula'!D36,26)),IF(INDEX(properties!A$1:CB$87,'Fórmula'!F36,26)=0,10^6,INDEX(properties!A$1:CB$87,'Fórmula'!F36,26)),IF(INDEX(properties!A$1:CB$87,'Fórmula'!H36,26)=0,10^6,INDEX(properties!A$1:CB$87,'Fórmula'!H36,26)),IF(INDEX(properties!A$1:CB$87,'Fórmula'!J36,26)=0,10^6,INDEX(properties!A$1:CB$87,'Fórmula'!J36,26)))</f>
        <v>5.2117</v>
      </c>
      <c r="CM36" s="115">
        <f t="shared" si="15"/>
        <v>8.4064</v>
      </c>
      <c r="CN36" s="117">
        <f t="array" ref="CN36">(('Fórmula'!C36)/('Fórmula'!C36+'Fórmula'!E36+'Fórmula'!G36+'Fórmula'!I36+'Fórmula'!K36))*(INDEX(properties!A$1:CB$87,'Fórmula'!B36,30))+(('Fórmula'!E36)/('Fórmula'!C36+'Fórmula'!E36+'Fórmula'!G36+'Fórmula'!I36+'Fórmula'!K36))*(INDEX(properties!A$1:CB$87,'Fórmula'!D36,30))+(('Fórmula'!G36)/('Fórmula'!C36+'Fórmula'!E36+'Fórmula'!G36+'Fórmula'!I36+'Fórmula'!K36))*(INDEX(properties!A$1:CB$87,'Fórmula'!F36,30))+(('Fórmula'!I36)/('Fórmula'!C36+'Fórmula'!E36+'Fórmula'!G36+'Fórmula'!I36+'Fórmula'!K36))*(INDEX(properties!A$1:CB$87,'Fórmula'!H36,30))+(('Fórmula'!K36)/('Fórmula'!C36+'Fórmula'!E36+'Fórmula'!G36+'Fórmula'!I36+'Fórmula'!K36))*(INDEX(properties!A$1:CB$87,'Fórmula'!J36,30))</f>
        <v>2.725384615</v>
      </c>
      <c r="CO36" s="117">
        <f t="array" ref="CO36">'Fórmula'!C36*(INDEX(properties!A$1:CB$87,'Fórmula'!B36,30))+'Fórmula'!E36*(INDEX(properties!A$1:CB$87,'Fórmula'!D36,30))+'Fórmula'!G36*(INDEX(properties!A$1:CB$87,'Fórmula'!F36,30))+'Fórmula'!I36*(INDEX(properties!A$1:CB$87,'Fórmula'!H36,30))+'Fórmula'!K36*(INDEX(properties!A$1:CB$87,'Fórmula'!J36,30))</f>
        <v>35.43</v>
      </c>
      <c r="CP36" s="117">
        <f t="array" ref="CP36">VARP(IF(INDEX(properties!A$1:CB$87,'Fórmula'!B36,30)&lt;&gt;"",INDEX(properties!A$1:CB$87,'Fórmula'!B36,30)),IF(INDEX(properties!A$1:CB$87,'Fórmula'!D36,30)&lt;&gt;"",INDEX(properties!A$1:CB$87,'Fórmula'!D36,30)),IF(INDEX(properties!A$1:CB$87,'Fórmula'!F36,30)&lt;&gt;"",INDEX(properties!A$1:CB$87,'Fórmula'!F36,30)),IF(INDEX(properties!A$1:CB$87,'Fórmula'!H36,30)&lt;&gt;"",INDEX(properties!A$1:CB$87,'Fórmula'!H36,30)),IF(INDEX(properties!A$1:CB$87,'Fórmula'!J36,30)&lt;&gt;"",INDEX(properties!A$1:CB$87,'Fórmula'!J36,30)))</f>
        <v>1.306936</v>
      </c>
      <c r="CQ36" s="117">
        <f t="array" ref="CQ36">MAX(INDEX(properties!A$1:CB$87,'Fórmula'!B36,30),INDEX(properties!A$1:CB$87,'Fórmula'!D36,30),INDEX(properties!A$1:CB$87,'Fórmula'!F36,30),INDEX(properties!A$1:CB$87,'Fórmula'!H36,30),INDEX(properties!A$1:CB$87,'Fórmula'!J36,30))</f>
        <v>3.44</v>
      </c>
      <c r="CR36" s="117">
        <f t="array" ref="CR36">MIN(IF(INDEX(properties!A$1:CB$87,'Fórmula'!B36,30)=0,10^6,INDEX(properties!A$1:CB$87,'Fórmula'!B36,30)),IF(INDEX(properties!A$1:CB$87,'Fórmula'!D36,30)=0,10^6,INDEX(properties!A$1:CB$87,'Fórmula'!D36,30)),IF(INDEX(properties!A$1:CB$87,'Fórmula'!F36,30)=0,10^6,INDEX(properties!A$1:CB$87,'Fórmula'!F36,30)),IF(INDEX(properties!A$1:CB$87,'Fórmula'!H36,30)=0,10^6,INDEX(properties!A$1:CB$87,'Fórmula'!H36,30)),IF(INDEX(properties!A$1:CB$87,'Fórmula'!J36,30)=0,10^6,INDEX(properties!A$1:CB$87,'Fórmula'!J36,30)))</f>
        <v>0.89</v>
      </c>
      <c r="CS36" s="117">
        <f t="shared" si="16"/>
        <v>2.55</v>
      </c>
      <c r="CT36" s="118">
        <f t="array" ref="CT36">(('Fórmula'!C36)/('Fórmula'!C36+'Fórmula'!E36+'Fórmula'!G36+'Fórmula'!I36+'Fórmula'!K36))*(INDEX(properties!A$1:CB$87,'Fórmula'!B36,31))+(('Fórmula'!E36)/('Fórmula'!C36+'Fórmula'!E36+'Fórmula'!G36+'Fórmula'!I36+'Fórmula'!K36))*(INDEX(properties!A$1:CB$87,'Fórmula'!D36,31))+(('Fórmula'!G36)/('Fórmula'!C36+'Fórmula'!E36+'Fórmula'!G36+'Fórmula'!I36+'Fórmula'!K36))*(INDEX(properties!A$1:CB$87,'Fórmula'!F36,31))+(('Fórmula'!I36)/('Fórmula'!C36+'Fórmula'!E36+'Fórmula'!G36+'Fórmula'!I36+'Fórmula'!K36))*(INDEX(properties!A$1:CB$87,'Fórmula'!H36,31))+(('Fórmula'!K36)/('Fórmula'!C36+'Fórmula'!E36+'Fórmula'!G36+'Fórmula'!I36+'Fórmula'!K36))*(INDEX(properties!A$1:CB$87,'Fórmula'!J36,31))</f>
        <v>2.683076923</v>
      </c>
      <c r="CU36" s="118">
        <f t="array" ref="CU36">'Fórmula'!C36*(INDEX(properties!A$1:CB$87,'Fórmula'!B36,31))+'Fórmula'!E36*(INDEX(properties!A$1:CB$87,'Fórmula'!D36,31))+'Fórmula'!G36*(INDEX(properties!A$1:CB$87,'Fórmula'!F36,31))+'Fórmula'!I36*(INDEX(properties!A$1:CB$87,'Fórmula'!H36,31))+'Fórmula'!K36*(INDEX(properties!A$1:CB$87,'Fórmula'!J36,31))</f>
        <v>34.88</v>
      </c>
      <c r="CV36" s="118">
        <f t="array" ref="CV36">VARP(IF(INDEX(properties!A$1:CB$87,'Fórmula'!B36,31)&lt;&gt;"",INDEX(properties!A$1:CB$87,'Fórmula'!B36,31)),IF(INDEX(properties!A$1:CB$87,'Fórmula'!D36,31)&lt;&gt;"",INDEX(properties!A$1:CB$87,'Fórmula'!D36,31)),IF(INDEX(properties!A$1:CB$87,'Fórmula'!F36,31)&lt;&gt;"",INDEX(properties!A$1:CB$87,'Fórmula'!F36,31)),IF(INDEX(properties!A$1:CB$87,'Fórmula'!H36,31)&lt;&gt;"",INDEX(properties!A$1:CB$87,'Fórmula'!H36,31)),IF(INDEX(properties!A$1:CB$87,'Fórmula'!J36,31)&lt;&gt;"",INDEX(properties!A$1:CB$87,'Fórmula'!J36,31)))</f>
        <v>1.186944</v>
      </c>
      <c r="CW36" s="118">
        <f t="array" ref="CW36">MAX(INDEX(properties!A$1:CB$87,'Fórmula'!B36,31),INDEX(properties!A$1:CB$87,'Fórmula'!D36,31),INDEX(properties!A$1:CB$87,'Fórmula'!F36,31),INDEX(properties!A$1:CB$87,'Fórmula'!H36,31),INDEX(properties!A$1:CB$87,'Fórmula'!J36,31))</f>
        <v>3.32</v>
      </c>
      <c r="CX36" s="118">
        <f t="array" ref="CX36">MIN(IF(INDEX(properties!A$1:CB$87,'Fórmula'!B36,31)=0,10^6,INDEX(properties!A$1:CB$87,'Fórmula'!B36,31)),IF(INDEX(properties!A$1:CB$87,'Fórmula'!D36,31)=0,10^6,INDEX(properties!A$1:CB$87,'Fórmula'!D36,31)),IF(INDEX(properties!A$1:CB$87,'Fórmula'!F36,31)=0,10^6,INDEX(properties!A$1:CB$87,'Fórmula'!F36,31)),IF(INDEX(properties!A$1:CB$87,'Fórmula'!H36,31)=0,10^6,INDEX(properties!A$1:CB$87,'Fórmula'!H36,31)),IF(INDEX(properties!A$1:CB$87,'Fórmula'!J36,31)=0,10^6,INDEX(properties!A$1:CB$87,'Fórmula'!J36,31)))</f>
        <v>1.08</v>
      </c>
      <c r="CY36" s="118">
        <f t="shared" si="17"/>
        <v>2.24</v>
      </c>
      <c r="CZ36" s="119">
        <f t="array" ref="CZ36">(('Fórmula'!C36)/('Fórmula'!C36+'Fórmula'!E36+'Fórmula'!G36+'Fórmula'!I36+'Fórmula'!K36))*(INDEX(properties!A$1:CB$87,'Fórmula'!B36,32))+(('Fórmula'!E36)/('Fórmula'!C36+'Fórmula'!E36+'Fórmula'!G36+'Fórmula'!I36+'Fórmula'!K36))*(INDEX(properties!A$1:CB$87,'Fórmula'!D36,32))+(('Fórmula'!G36)/('Fórmula'!C36+'Fórmula'!E36+'Fórmula'!G36+'Fórmula'!I36+'Fórmula'!K36))*(INDEX(properties!A$1:CB$87,'Fórmula'!F36,32))+(('Fórmula'!I36)/('Fórmula'!C36+'Fórmula'!E36+'Fórmula'!G36+'Fórmula'!I36+'Fórmula'!K36))*(INDEX(properties!A$1:CB$87,'Fórmula'!H36,32))+(('Fórmula'!K36)/('Fórmula'!C36+'Fórmula'!E36+'Fórmula'!G36+'Fórmula'!I36+'Fórmula'!K36))*(INDEX(properties!A$1:CB$87,'Fórmula'!J36,32))</f>
        <v>6.055384615</v>
      </c>
      <c r="DA36" s="119">
        <f t="array" ref="DA36">'Fórmula'!C36*(INDEX(properties!A$1:CB$87,'Fórmula'!B36,32))+'Fórmula'!E36*(INDEX(properties!A$1:CB$87,'Fórmula'!D36,32))+'Fórmula'!G36*(INDEX(properties!A$1:CB$87,'Fórmula'!F36,32))+'Fórmula'!I36*(INDEX(properties!A$1:CB$87,'Fórmula'!H36,32))+'Fórmula'!K36*(INDEX(properties!A$1:CB$87,'Fórmula'!J36,32))</f>
        <v>78.72</v>
      </c>
      <c r="DB36" s="119">
        <f t="array" ref="DB36">VARP(IF(INDEX(properties!A$1:CB$87,'Fórmula'!B36,32)&lt;&gt;"",INDEX(properties!A$1:CB$87,'Fórmula'!B36,32)),IF(INDEX(properties!A$1:CB$87,'Fórmula'!D36,32)&lt;&gt;"",INDEX(properties!A$1:CB$87,'Fórmula'!D36,32)),IF(INDEX(properties!A$1:CB$87,'Fórmula'!F36,32)&lt;&gt;"",INDEX(properties!A$1:CB$87,'Fórmula'!F36,32)),IF(INDEX(properties!A$1:CB$87,'Fórmula'!H36,32)&lt;&gt;"",INDEX(properties!A$1:CB$87,'Fórmula'!H36,32)),IF(INDEX(properties!A$1:CB$87,'Fórmula'!J36,32)&lt;&gt;"",INDEX(properties!A$1:CB$87,'Fórmula'!J36,32)))</f>
        <v>6.285736</v>
      </c>
      <c r="DC36" s="119">
        <f t="array" ref="DC36">MAX(INDEX(properties!A$1:CB$87,'Fórmula'!B36,32),INDEX(properties!A$1:CB$87,'Fórmula'!D36,32),INDEX(properties!A$1:CB$87,'Fórmula'!F36,32),INDEX(properties!A$1:CB$87,'Fórmula'!H36,32),INDEX(properties!A$1:CB$87,'Fórmula'!J36,32))</f>
        <v>7.54</v>
      </c>
      <c r="DD36" s="119">
        <f t="array" ref="DD36">MIN(IF(INDEX(properties!A$1:CB$87,'Fórmula'!B36,32)=0,10^6,INDEX(properties!A$1:CB$87,'Fórmula'!B36,32)),IF(INDEX(properties!A$1:CB$87,'Fórmula'!D36,32)=0,10^6,INDEX(properties!A$1:CB$87,'Fórmula'!D36,32)),IF(INDEX(properties!A$1:CB$87,'Fórmula'!F36,32)=0,10^6,INDEX(properties!A$1:CB$87,'Fórmula'!F36,32)),IF(INDEX(properties!A$1:CB$87,'Fórmula'!H36,32)=0,10^6,INDEX(properties!A$1:CB$87,'Fórmula'!H36,32)),IF(INDEX(properties!A$1:CB$87,'Fórmula'!J36,32)=0,10^6,INDEX(properties!A$1:CB$87,'Fórmula'!J36,32)))</f>
        <v>2.4</v>
      </c>
      <c r="DE36" s="119">
        <f t="shared" si="18"/>
        <v>5.14</v>
      </c>
      <c r="DF36" s="104">
        <f t="array" ref="DF36">(('Fórmula'!C36)/('Fórmula'!C36+'Fórmula'!E36+'Fórmula'!G36+'Fórmula'!I36+'Fórmula'!K36))*(INDEX(properties!A$1:CB$87,'Fórmula'!B36,34))+(('Fórmula'!E36)/('Fórmula'!C36+'Fórmula'!E36+'Fórmula'!G36+'Fórmula'!I36+'Fórmula'!K36))*(INDEX(properties!A$1:CB$87,'Fórmula'!D36,34))+(('Fórmula'!G36)/('Fórmula'!C36+'Fórmula'!E36+'Fórmula'!G36+'Fórmula'!I36+'Fórmula'!K36))*(INDEX(properties!A$1:CB$87,'Fórmula'!F36,34))+(('Fórmula'!I36)/('Fórmula'!C36+'Fórmula'!E36+'Fórmula'!G36+'Fórmula'!I36+'Fórmula'!K36))*(INDEX(properties!A$1:CB$87,'Fórmula'!H36,34))+(('Fórmula'!K36)/('Fórmula'!C36+'Fórmula'!E36+'Fórmula'!G36+'Fórmula'!I36+'Fórmula'!K36))*(INDEX(properties!A$1:CB$87,'Fórmula'!J36,34))</f>
        <v>2.832230769</v>
      </c>
      <c r="DG36" s="104">
        <f t="array" ref="DG36">'Fórmula'!C36*(INDEX(properties!A$1:CB$87,'Fórmula'!B36,34))+'Fórmula'!E36*(INDEX(properties!A$1:CB$87,'Fórmula'!D36,34))+'Fórmula'!G36*(INDEX(properties!A$1:CB$87,'Fórmula'!F36,34))+'Fórmula'!I36*(INDEX(properties!A$1:CB$87,'Fórmula'!H36,34))+'Fórmula'!K36*(INDEX(properties!A$1:CB$87,'Fórmula'!J36,34))</f>
        <v>36.819</v>
      </c>
      <c r="DH36" s="104">
        <f t="array" ref="DH36">VARP(IF(INDEX(properties!A$1:CB$87,'Fórmula'!B36,34)&lt;&gt;"",INDEX(properties!A$1:CB$87,'Fórmula'!B36,34)),IF(INDEX(properties!A$1:CB$87,'Fórmula'!D36,34)&lt;&gt;"",INDEX(properties!A$1:CB$87,'Fórmula'!D36,34)),IF(INDEX(properties!A$1:CB$87,'Fórmula'!F36,34)&lt;&gt;"",INDEX(properties!A$1:CB$87,'Fórmula'!F36,34)),IF(INDEX(properties!A$1:CB$87,'Fórmula'!H36,34)&lt;&gt;"",INDEX(properties!A$1:CB$87,'Fórmula'!H36,34)),IF(INDEX(properties!A$1:CB$87,'Fórmula'!J36,34)&lt;&gt;"",INDEX(properties!A$1:CB$87,'Fórmula'!J36,34)))</f>
        <v>1.4434012</v>
      </c>
      <c r="DI36" s="104">
        <f t="array" ref="DI36">MAX(INDEX(properties!A$1:CB$87,'Fórmula'!B36,34),INDEX(properties!A$1:CB$87,'Fórmula'!D36,34),INDEX(properties!A$1:CB$87,'Fórmula'!F36,34),INDEX(properties!A$1:CB$87,'Fórmula'!H36,34),INDEX(properties!A$1:CB$87,'Fórmula'!J36,34))</f>
        <v>3.61</v>
      </c>
      <c r="DJ36" s="104">
        <f t="array" ref="DJ36">MIN(IF(INDEX(properties!A$1:CB$87,'Fórmula'!B36,34)=0,10^6,INDEX(properties!A$1:CB$87,'Fórmula'!B36,34)),IF(INDEX(properties!A$1:CB$87,'Fórmula'!D36,34)=0,10^6,INDEX(properties!A$1:CB$87,'Fórmula'!D36,34)),IF(INDEX(properties!A$1:CB$87,'Fórmula'!F36,34)=0,10^6,INDEX(properties!A$1:CB$87,'Fórmula'!F36,34)),IF(INDEX(properties!A$1:CB$87,'Fórmula'!H36,34)=0,10^6,INDEX(properties!A$1:CB$87,'Fórmula'!H36,34)),IF(INDEX(properties!A$1:CB$87,'Fórmula'!J36,34)=0,10^6,INDEX(properties!A$1:CB$87,'Fórmula'!J36,34)))</f>
        <v>0.881</v>
      </c>
      <c r="DK36" s="104">
        <f t="shared" si="19"/>
        <v>2.729</v>
      </c>
      <c r="DL36" s="105">
        <f t="array" ref="DL36">(('Fórmula'!C36)/('Fórmula'!C36+'Fórmula'!E36+'Fórmula'!G36+'Fórmula'!I36+'Fórmula'!K36))*(INDEX(properties!A$1:CB$87,'Fórmula'!B36,37))+(('Fórmula'!E36)/('Fórmula'!C36+'Fórmula'!E36+'Fórmula'!G36+'Fórmula'!I36+'Fórmula'!K36))*(INDEX(properties!A$1:CB$87,'Fórmula'!D36,37))+(('Fórmula'!G36)/('Fórmula'!C36+'Fórmula'!E36+'Fórmula'!G36+'Fórmula'!I36+'Fórmula'!K36))*(INDEX(properties!A$1:CB$87,'Fórmula'!F36,37))+(('Fórmula'!I36)/('Fórmula'!C36+'Fórmula'!E36+'Fórmula'!G36+'Fórmula'!I36+'Fórmula'!K36))*(INDEX(properties!A$1:CB$87,'Fórmula'!H36,37))+(('Fórmula'!K36)/('Fórmula'!C36+'Fórmula'!E36+'Fórmula'!G36+'Fórmula'!I36+'Fórmula'!K36))*(INDEX(properties!A$1:CB$87,'Fórmula'!J36,37))</f>
        <v>2.7</v>
      </c>
      <c r="DM36" s="105">
        <f t="array" ref="DM36">'Fórmula'!C36*(INDEX(properties!A$1:CB$87,'Fórmula'!B36,37))+'Fórmula'!E36*(INDEX(properties!A$1:CB$87,'Fórmula'!D36,37))+'Fórmula'!G36*(INDEX(properties!A$1:CB$87,'Fórmula'!F36,37))+'Fórmula'!I36*(INDEX(properties!A$1:CB$87,'Fórmula'!H36,37))+'Fórmula'!K36*(INDEX(properties!A$1:CB$87,'Fórmula'!J36,37))</f>
        <v>35.1</v>
      </c>
      <c r="DN36" s="105">
        <f t="array" ref="DN36">VARP(IF(INDEX(properties!A$1:CB$87,'Fórmula'!B36,37)&lt;&gt;"",INDEX(properties!A$1:CB$87,'Fórmula'!B36,37)),IF(INDEX(properties!A$1:CB$87,'Fórmula'!D36,37)&lt;&gt;"",INDEX(properties!A$1:CB$87,'Fórmula'!D36,37)),IF(INDEX(properties!A$1:CB$87,'Fórmula'!F36,37)&lt;&gt;"",INDEX(properties!A$1:CB$87,'Fórmula'!F36,37)),IF(INDEX(properties!A$1:CB$87,'Fórmula'!H36,37)&lt;&gt;"",INDEX(properties!A$1:CB$87,'Fórmula'!H36,37)),IF(INDEX(properties!A$1:CB$87,'Fórmula'!J36,37)&lt;&gt;"",INDEX(properties!A$1:CB$87,'Fórmula'!J36,37)))</f>
        <v>1.2996</v>
      </c>
      <c r="DO36" s="105">
        <f t="array" ref="DO36">MAX(INDEX(properties!A$1:CB$87,'Fórmula'!B36,37),INDEX(properties!A$1:CB$87,'Fórmula'!D36,37),INDEX(properties!A$1:CB$87,'Fórmula'!F36,37),INDEX(properties!A$1:CB$87,'Fórmula'!H36,37),INDEX(properties!A$1:CB$87,'Fórmula'!J36,37))</f>
        <v>3.45</v>
      </c>
      <c r="DP36" s="105">
        <f t="array" ref="DP36">MIN(IF(INDEX(properties!A$1:CB$87,'Fórmula'!B36,37)=0,10^6,INDEX(properties!A$1:CB$87,'Fórmula'!B36,37)),IF(INDEX(properties!A$1:CB$87,'Fórmula'!D36,37)=0,10^6,INDEX(properties!A$1:CB$87,'Fórmula'!D36,37)),IF(INDEX(properties!A$1:CB$87,'Fórmula'!F36,37)=0,10^6,INDEX(properties!A$1:CB$87,'Fórmula'!F36,37)),IF(INDEX(properties!A$1:CB$87,'Fórmula'!H36,37)=0,10^6,INDEX(properties!A$1:CB$87,'Fórmula'!H36,37)),IF(INDEX(properties!A$1:CB$87,'Fórmula'!J36,37)=0,10^6,INDEX(properties!A$1:CB$87,'Fórmula'!J36,37)))</f>
        <v>0.9</v>
      </c>
      <c r="DQ36" s="105">
        <f t="shared" si="20"/>
        <v>2.55</v>
      </c>
      <c r="DR36" s="109">
        <f t="array" ref="DR36">(('Fórmula'!C36)/('Fórmula'!C36+'Fórmula'!E36+'Fórmula'!G36+'Fórmula'!I36+'Fórmula'!K36))*(INDEX(properties!A$1:CB$87,'Fórmula'!B36,39))+(('Fórmula'!E36)/('Fórmula'!C36+'Fórmula'!E36+'Fórmula'!G36+'Fórmula'!I36+'Fórmula'!K36))*(INDEX(properties!A$1:CB$87,'Fórmula'!D36,39))+(('Fórmula'!G36)/('Fórmula'!C36+'Fórmula'!E36+'Fórmula'!G36+'Fórmula'!I36+'Fórmula'!K36))*(INDEX(properties!A$1:CB$87,'Fórmula'!F36,39))+(('Fórmula'!I36)/('Fórmula'!C36+'Fórmula'!E36+'Fórmula'!G36+'Fórmula'!I36+'Fórmula'!K36))*(INDEX(properties!A$1:CB$87,'Fórmula'!H36,39))+(('Fórmula'!K36)/('Fórmula'!C36+'Fórmula'!E36+'Fórmula'!G36+'Fórmula'!I36+'Fórmula'!K36))*(INDEX(properties!A$1:CB$87,'Fórmula'!J36,39))</f>
        <v>0.8423076923</v>
      </c>
      <c r="DS36" s="109">
        <f t="array" ref="DS36">'Fórmula'!C36*(INDEX(properties!A$1:CB$87,'Fórmula'!B36,39))+'Fórmula'!E36*(INDEX(properties!A$1:CB$87,'Fórmula'!D36,39))+'Fórmula'!G36*(INDEX(properties!A$1:CB$87,'Fórmula'!F36,39))+'Fórmula'!I36*(INDEX(properties!A$1:CB$87,'Fórmula'!H36,39))+'Fórmula'!K36*(INDEX(properties!A$1:CB$87,'Fórmula'!J36,39))</f>
        <v>10.95</v>
      </c>
      <c r="DT36" s="109">
        <f t="array" ref="DT36">VARP(IF(INDEX(properties!A$1:CB$87,'Fórmula'!B36,39)&lt;&gt;"",INDEX(properties!A$1:CB$87,'Fórmula'!B36,39)),IF(INDEX(properties!A$1:CB$87,'Fórmula'!D36,39)&lt;&gt;"",INDEX(properties!A$1:CB$87,'Fórmula'!D36,39)),IF(INDEX(properties!A$1:CB$87,'Fórmula'!F36,39)&lt;&gt;"",INDEX(properties!A$1:CB$87,'Fórmula'!F36,39)),IF(INDEX(properties!A$1:CB$87,'Fórmula'!H36,39)&lt;&gt;"",INDEX(properties!A$1:CB$87,'Fórmula'!H36,39)),IF(INDEX(properties!A$1:CB$87,'Fórmula'!J36,39)&lt;&gt;"",INDEX(properties!A$1:CB$87,'Fórmula'!J36,39)))</f>
        <v>0.72756</v>
      </c>
      <c r="DU36" s="120">
        <f t="array" ref="DU36">MAX(INDEX(properties!A$1:CB$87,'Fórmula'!B36,39),INDEX(properties!A$1:CB$87,'Fórmula'!D36,39),INDEX(properties!A$1:CB$87,'Fórmula'!F36,39),INDEX(properties!A$1:CB$87,'Fórmula'!H36,39),INDEX(properties!A$1:CB$87,'Fórmula'!J36,39))</f>
        <v>2.53</v>
      </c>
      <c r="DV36" s="120">
        <f t="array" ref="DV36">MIN(IF(INDEX(properties!A$1:CB$87,'Fórmula'!B36,39)=0,10^6,INDEX(properties!A$1:CB$87,'Fórmula'!B36,39)),IF(INDEX(properties!A$1:CB$87,'Fórmula'!D36,39)=0,10^6,INDEX(properties!A$1:CB$87,'Fórmula'!D36,39)),IF(INDEX(properties!A$1:CB$87,'Fórmula'!F36,39)=0,10^6,INDEX(properties!A$1:CB$87,'Fórmula'!F36,39)),IF(INDEX(properties!A$1:CB$87,'Fórmula'!H36,39)=0,10^6,INDEX(properties!A$1:CB$87,'Fórmula'!H36,39)),IF(INDEX(properties!A$1:CB$87,'Fórmula'!J36,39)=0,10^6,INDEX(properties!A$1:CB$87,'Fórmula'!J36,39)))</f>
        <v>0.48</v>
      </c>
      <c r="DW36" s="109">
        <f t="shared" si="21"/>
        <v>2.05</v>
      </c>
      <c r="DX36" s="110">
        <f t="array" ref="DX36">(('Fórmula'!C36)/('Fórmula'!C36+'Fórmula'!E36+'Fórmula'!G36+'Fórmula'!I36+'Fórmula'!K36))*(INDEX(properties!A$1:CB$87,'Fórmula'!B36,40))+(('Fórmula'!E36)/('Fórmula'!C36+'Fórmula'!E36+'Fórmula'!G36+'Fórmula'!I36+'Fórmula'!K36))*(INDEX(properties!A$1:CB$87,'Fórmula'!D36,40))+(('Fórmula'!G36)/('Fórmula'!C36+'Fórmula'!E36+'Fórmula'!G36+'Fórmula'!I36+'Fórmula'!K36))*(INDEX(properties!A$1:CB$87,'Fórmula'!F36,40))+(('Fórmula'!I36)/('Fórmula'!C36+'Fórmula'!E36+'Fórmula'!G36+'Fórmula'!I36+'Fórmula'!K36))*(INDEX(properties!A$1:CB$87,'Fórmula'!H36,40))+(('Fórmula'!K36)/('Fórmula'!C36+'Fórmula'!E36+'Fórmula'!G36+'Fórmula'!I36+'Fórmula'!K36))*(INDEX(properties!A$1:CB$87,'Fórmula'!J36,40))</f>
        <v>0.9538461538</v>
      </c>
      <c r="DY36" s="110">
        <f t="array" ref="DY36">'Fórmula'!C36*(INDEX(properties!A$1:CB$87,'Fórmula'!B36,40))+'Fórmula'!E36*(INDEX(properties!A$1:CB$87,'Fórmula'!D36,40))+'Fórmula'!G36*(INDEX(properties!A$1:CB$87,'Fórmula'!F36,40))+'Fórmula'!I36*(INDEX(properties!A$1:CB$87,'Fórmula'!H36,40))+'Fórmula'!K36*(INDEX(properties!A$1:CB$87,'Fórmula'!J36,40))</f>
        <v>12.4</v>
      </c>
      <c r="DZ36" s="110">
        <f t="array" ref="DZ36">VARP(IF(INDEX(properties!A$1:CB$87,'Fórmula'!B36,40)&lt;&gt;"",INDEX(properties!A$1:CB$87,'Fórmula'!B36,40)),IF(INDEX(properties!A$1:CB$87,'Fórmula'!D36,40)&lt;&gt;"",INDEX(properties!A$1:CB$87,'Fórmula'!D36,40)),IF(INDEX(properties!A$1:CB$87,'Fórmula'!F36,40)&lt;&gt;"",INDEX(properties!A$1:CB$87,'Fórmula'!F36,40)),IF(INDEX(properties!A$1:CB$87,'Fórmula'!H36,40)&lt;&gt;"",INDEX(properties!A$1:CB$87,'Fórmula'!H36,40)),IF(INDEX(properties!A$1:CB$87,'Fórmula'!J36,40)&lt;&gt;"",INDEX(properties!A$1:CB$87,'Fórmula'!J36,40)))</f>
        <v>0.41556</v>
      </c>
      <c r="EA36" s="121">
        <f t="array" ref="EA36">MAX(INDEX(properties!A$1:CB$87,'Fórmula'!B36,40),INDEX(properties!A$1:CB$87,'Fórmula'!D36,40),INDEX(properties!A$1:CB$87,'Fórmula'!F36,40),INDEX(properties!A$1:CB$87,'Fórmula'!H36,40),INDEX(properties!A$1:CB$87,'Fórmula'!J36,40))</f>
        <v>1.98</v>
      </c>
      <c r="EB36" s="121">
        <f t="array" ref="EB36">MIN(IF(INDEX(properties!A$1:CB$87,'Fórmula'!B36,40)=0,10^6,INDEX(properties!A$1:CB$87,'Fórmula'!B36,40)),IF(INDEX(properties!A$1:CB$87,'Fórmula'!D36,40)=0,10^6,INDEX(properties!A$1:CB$87,'Fórmula'!D36,40)),IF(INDEX(properties!A$1:CB$87,'Fórmula'!F36,40)=0,10^6,INDEX(properties!A$1:CB$87,'Fórmula'!F36,40)),IF(INDEX(properties!A$1:CB$87,'Fórmula'!H36,40)=0,10^6,INDEX(properties!A$1:CB$87,'Fórmula'!H36,40)),IF(INDEX(properties!A$1:CB$87,'Fórmula'!J36,40)=0,10^6,INDEX(properties!A$1:CB$87,'Fórmula'!J36,40)))</f>
        <v>0.73</v>
      </c>
      <c r="EC36" s="110">
        <f t="shared" si="22"/>
        <v>1.25</v>
      </c>
      <c r="ED36" s="111">
        <f t="array" ref="ED36">(('Fórmula'!C36)/('Fórmula'!C36+'Fórmula'!E36+'Fórmula'!G36+'Fórmula'!I36+'Fórmula'!K36))*(INDEX(properties!A$1:CB$87,'Fórmula'!B36,41))+(('Fórmula'!E36)/('Fórmula'!C36+'Fórmula'!E36+'Fórmula'!G36+'Fórmula'!I36+'Fórmula'!K36))*(INDEX(properties!A$1:CB$87,'Fórmula'!D36,41))+(('Fórmula'!G36)/('Fórmula'!C36+'Fórmula'!E36+'Fórmula'!G36+'Fórmula'!I36+'Fórmula'!K36))*(INDEX(properties!A$1:CB$87,'Fórmula'!F36,41))+(('Fórmula'!I36)/('Fórmula'!C36+'Fórmula'!E36+'Fórmula'!G36+'Fórmula'!I36+'Fórmula'!K36))*(INDEX(properties!A$1:CB$87,'Fórmula'!H36,41))+(('Fórmula'!K36)/('Fórmula'!C36+'Fórmula'!E36+'Fórmula'!G36+'Fórmula'!I36+'Fórmula'!K36))*(INDEX(properties!A$1:CB$87,'Fórmula'!J36,41))</f>
        <v>1.077692308</v>
      </c>
      <c r="EE36" s="111">
        <f t="array" ref="EE36">'Fórmula'!C36*(INDEX(properties!A$1:CB$87,'Fórmula'!B36,41))+'Fórmula'!E36*(INDEX(properties!A$1:CB$87,'Fórmula'!D36,41))+'Fórmula'!G36*(INDEX(properties!A$1:CB$87,'Fórmula'!F36,41))+'Fórmula'!I36*(INDEX(properties!A$1:CB$87,'Fórmula'!H36,41))+'Fórmula'!K36*(INDEX(properties!A$1:CB$87,'Fórmula'!J36,41))</f>
        <v>14.01</v>
      </c>
      <c r="EF36" s="111">
        <f t="array" ref="EF36">VARP(IF(INDEX(properties!A$1:CB$87,'Fórmula'!B36,41)&lt;&gt;"",INDEX(properties!A$1:CB$87,'Fórmula'!B36,41)),IF(INDEX(properties!A$1:CB$87,'Fórmula'!D36,41)&lt;&gt;"",INDEX(properties!A$1:CB$87,'Fórmula'!D36,41)),IF(INDEX(properties!A$1:CB$87,'Fórmula'!F36,41)&lt;&gt;"",INDEX(properties!A$1:CB$87,'Fórmula'!F36,41)),IF(INDEX(properties!A$1:CB$87,'Fórmula'!H36,41)&lt;&gt;"",INDEX(properties!A$1:CB$87,'Fórmula'!H36,41)),IF(INDEX(properties!A$1:CB$87,'Fórmula'!J36,41)&lt;&gt;"",INDEX(properties!A$1:CB$87,'Fórmula'!J36,41)))</f>
        <v>0.281904</v>
      </c>
      <c r="EG36" s="122">
        <f t="array" ref="EG36">MAX(INDEX(properties!A$1:CB$87,'Fórmula'!B36,41),INDEX(properties!A$1:CB$87,'Fórmula'!D36,41),INDEX(properties!A$1:CB$87,'Fórmula'!F36,41),INDEX(properties!A$1:CB$87,'Fórmula'!H36,41),INDEX(properties!A$1:CB$87,'Fórmula'!J36,41))</f>
        <v>1.49</v>
      </c>
      <c r="EH36" s="122">
        <f t="array" ref="EH36">MIN(IF(INDEX(properties!A$1:CB$87,'Fórmula'!B36,41)=0,10^6,INDEX(properties!A$1:CB$87,'Fórmula'!B36,41)),IF(INDEX(properties!A$1:CB$87,'Fórmula'!D36,41)=0,10^6,INDEX(properties!A$1:CB$87,'Fórmula'!D36,41)),IF(INDEX(properties!A$1:CB$87,'Fórmula'!F36,41)=0,10^6,INDEX(properties!A$1:CB$87,'Fórmula'!F36,41)),IF(INDEX(properties!A$1:CB$87,'Fórmula'!H36,41)=0,10^6,INDEX(properties!A$1:CB$87,'Fórmula'!H36,41)),IF(INDEX(properties!A$1:CB$87,'Fórmula'!J36,41)=0,10^6,INDEX(properties!A$1:CB$87,'Fórmula'!J36,41)))</f>
        <v>0.54</v>
      </c>
      <c r="EI36" s="111">
        <f t="shared" si="23"/>
        <v>0.95</v>
      </c>
      <c r="EJ36" s="112">
        <f t="array" ref="EJ36">(('Fórmula'!C36)/('Fórmula'!C36+'Fórmula'!E36+'Fórmula'!G36+'Fórmula'!I36+'Fórmula'!K36))*(INDEX(properties!A$1:CB$87,'Fórmula'!B36,45))+(('Fórmula'!E36)/('Fórmula'!C36+'Fórmula'!E36+'Fórmula'!G36+'Fórmula'!I36+'Fórmula'!K36))*(INDEX(properties!A$1:CB$87,'Fórmula'!D36,45))+(('Fórmula'!G36)/('Fórmula'!C36+'Fórmula'!E36+'Fórmula'!G36+'Fórmula'!I36+'Fórmula'!K36))*(INDEX(properties!A$1:CB$87,'Fórmula'!F36,45))+(('Fórmula'!I36)/('Fórmula'!C36+'Fórmula'!E36+'Fórmula'!G36+'Fórmula'!I36+'Fórmula'!K36))*(INDEX(properties!A$1:CB$87,'Fórmula'!H36,45))+(('Fórmula'!K36)/('Fórmula'!C36+'Fórmula'!E36+'Fórmula'!G36+'Fórmula'!I36+'Fórmula'!K36))*(INDEX(properties!A$1:CB$87,'Fórmula'!J36,45))</f>
        <v>1.027692308</v>
      </c>
      <c r="EK36" s="112">
        <f t="array" ref="EK36">'Fórmula'!C36*(INDEX(properties!A$1:CB$87,'Fórmula'!B36,45))+'Fórmula'!E36*(INDEX(properties!A$1:CB$87,'Fórmula'!D36,45))+'Fórmula'!G36*(INDEX(properties!A$1:CB$87,'Fórmula'!F36,45))+'Fórmula'!I36*(INDEX(properties!A$1:CB$87,'Fórmula'!H36,45))+'Fórmula'!K36*(INDEX(properties!A$1:CB$87,'Fórmula'!J36,45))</f>
        <v>13.36</v>
      </c>
      <c r="EL36" s="112">
        <f t="array" ref="EL36">VARP(IF(INDEX(properties!A$1:CB$87,'Fórmula'!B36,45)&lt;&gt;"",INDEX(properties!A$1:CB$87,'Fórmula'!B36,45)),IF(INDEX(properties!A$1:CB$87,'Fórmula'!D36,45)&lt;&gt;"",INDEX(properties!A$1:CB$87,'Fórmula'!D36,45)),IF(INDEX(properties!A$1:CB$87,'Fórmula'!F36,45)&lt;&gt;"",INDEX(properties!A$1:CB$87,'Fórmula'!F36,45)),IF(INDEX(properties!A$1:CB$87,'Fórmula'!H36,45)&lt;&gt;"",INDEX(properties!A$1:CB$87,'Fórmula'!H36,45)),IF(INDEX(properties!A$1:CB$87,'Fórmula'!J36,45)&lt;&gt;"",INDEX(properties!A$1:CB$87,'Fórmula'!J36,45)))</f>
        <v>1.380704</v>
      </c>
      <c r="EM36" s="123">
        <f t="array" ref="EM36">MAX(INDEX(properties!A$1:CB$87,'Fórmula'!B36,45),INDEX(properties!A$1:CB$87,'Fórmula'!D36,45),INDEX(properties!A$1:CB$87,'Fórmula'!F36,45),INDEX(properties!A$1:CB$87,'Fórmula'!H36,45),INDEX(properties!A$1:CB$87,'Fórmula'!J36,45))</f>
        <v>3.4</v>
      </c>
      <c r="EN36" s="123">
        <f t="array" ref="EN36">MIN(IF(INDEX(properties!A$1:CB$87,'Fórmula'!B36,45)=0,10^6,INDEX(properties!A$1:CB$87,'Fórmula'!B36,45)),IF(INDEX(properties!A$1:CB$87,'Fórmula'!D36,45)=0,10^6,INDEX(properties!A$1:CB$87,'Fórmula'!D36,45)),IF(INDEX(properties!A$1:CB$87,'Fórmula'!F36,45)=0,10^6,INDEX(properties!A$1:CB$87,'Fórmula'!F36,45)),IF(INDEX(properties!A$1:CB$87,'Fórmula'!H36,45)=0,10^6,INDEX(properties!A$1:CB$87,'Fórmula'!H36,45)),IF(INDEX(properties!A$1:CB$87,'Fórmula'!J36,45)=0,10^6,INDEX(properties!A$1:CB$87,'Fórmula'!J36,45)))</f>
        <v>0.47</v>
      </c>
      <c r="EO36" s="112">
        <f t="shared" si="24"/>
        <v>2.93</v>
      </c>
      <c r="EP36" s="113">
        <f t="array" ref="EP36">(('Fórmula'!C36)/('Fórmula'!C36+'Fórmula'!E36+'Fórmula'!G36+'Fórmula'!I36+'Fórmula'!K36))*(INDEX(properties!A$1:CB$87,'Fórmula'!B36,46))+(('Fórmula'!E36)/('Fórmula'!C36+'Fórmula'!E36+'Fórmula'!G36+'Fórmula'!I36+'Fórmula'!K36))*(INDEX(properties!A$1:CB$87,'Fórmula'!D36,46))+(('Fórmula'!G36)/('Fórmula'!C36+'Fórmula'!E36+'Fórmula'!G36+'Fórmula'!I36+'Fórmula'!K36))*(INDEX(properties!A$1:CB$87,'Fórmula'!F36,46))+(('Fórmula'!I36)/('Fórmula'!C36+'Fórmula'!E36+'Fórmula'!G36+'Fórmula'!I36+'Fórmula'!K36))*(INDEX(properties!A$1:CB$87,'Fórmula'!H36,46))+(('Fórmula'!K36)/('Fórmula'!C36+'Fórmula'!E36+'Fórmula'!G36+'Fórmula'!I36+'Fórmula'!K36))*(INDEX(properties!A$1:CB$87,'Fórmula'!J36,46))</f>
        <v>1.002307692</v>
      </c>
      <c r="EQ36" s="113">
        <f t="array" ref="EQ36">'Fórmula'!C36*(INDEX(properties!A$1:CB$87,'Fórmula'!B36,46))+'Fórmula'!E36*(INDEX(properties!A$1:CB$87,'Fórmula'!D36,46))+'Fórmula'!G36*(INDEX(properties!A$1:CB$87,'Fórmula'!F36,46))+'Fórmula'!I36*(INDEX(properties!A$1:CB$87,'Fórmula'!H36,46))+'Fórmula'!K36*(INDEX(properties!A$1:CB$87,'Fórmula'!J36,46))</f>
        <v>13.03</v>
      </c>
      <c r="ER36" s="113">
        <f t="array" ref="ER36">VARP(IF(INDEX(properties!A$1:CB$87,'Fórmula'!B36,46)&lt;&gt;"",INDEX(properties!A$1:CB$87,'Fórmula'!B36,46)),IF(INDEX(properties!A$1:CB$87,'Fórmula'!D36,46)&lt;&gt;"",INDEX(properties!A$1:CB$87,'Fórmula'!D36,46)),IF(INDEX(properties!A$1:CB$87,'Fórmula'!F36,46)&lt;&gt;"",INDEX(properties!A$1:CB$87,'Fórmula'!F36,46)),IF(INDEX(properties!A$1:CB$87,'Fórmula'!H36,46)&lt;&gt;"",INDEX(properties!A$1:CB$87,'Fórmula'!H36,46)),IF(INDEX(properties!A$1:CB$87,'Fórmula'!J36,46)&lt;&gt;"",INDEX(properties!A$1:CB$87,'Fórmula'!J36,46)))</f>
        <v>0.297944</v>
      </c>
      <c r="ES36" s="124">
        <f t="array" ref="ES36">MAX(INDEX(properties!A$1:CB$87,'Fórmula'!B36,46),INDEX(properties!A$1:CB$87,'Fórmula'!D36,46),INDEX(properties!A$1:CB$87,'Fórmula'!F36,46),INDEX(properties!A$1:CB$87,'Fórmula'!H36,46),INDEX(properties!A$1:CB$87,'Fórmula'!J36,46))</f>
        <v>1.49</v>
      </c>
      <c r="ET36" s="124">
        <f t="array" ref="ET36">MIN(IF(INDEX(properties!A$1:CB$87,'Fórmula'!B36,46)=0,10^6,INDEX(properties!A$1:CB$87,'Fórmula'!B36,46)),IF(INDEX(properties!A$1:CB$87,'Fórmula'!D36,46)=0,10^6,INDEX(properties!A$1:CB$87,'Fórmula'!D36,46)),IF(INDEX(properties!A$1:CB$87,'Fórmula'!F36,46)=0,10^6,INDEX(properties!A$1:CB$87,'Fórmula'!F36,46)),IF(INDEX(properties!A$1:CB$87,'Fórmula'!H36,46)=0,10^6,INDEX(properties!A$1:CB$87,'Fórmula'!H36,46)),IF(INDEX(properties!A$1:CB$87,'Fórmula'!J36,46)=0,10^6,INDEX(properties!A$1:CB$87,'Fórmula'!J36,46)))</f>
        <v>0.4</v>
      </c>
      <c r="EU36" s="113">
        <f t="shared" si="25"/>
        <v>1.09</v>
      </c>
      <c r="EV36" s="114">
        <f t="array" ref="EV36">(('Fórmula'!C36)/('Fórmula'!C36+'Fórmula'!E36+'Fórmula'!G36+'Fórmula'!I36+'Fórmula'!K36))*(INDEX(properties!A$1:CB$87,'Fórmula'!B36,52))+(('Fórmula'!E36)/('Fórmula'!C36+'Fórmula'!E36+'Fórmula'!G36+'Fórmula'!I36+'Fórmula'!K36))*(INDEX(properties!A$1:CB$87,'Fórmula'!D36,52))+(('Fórmula'!G36)/('Fórmula'!C36+'Fórmula'!E36+'Fórmula'!G36+'Fórmula'!I36+'Fórmula'!K36))*(INDEX(properties!A$1:CB$87,'Fórmula'!F36,52))+(('Fórmula'!I36)/('Fórmula'!C36+'Fórmula'!E36+'Fórmula'!G36+'Fórmula'!I36+'Fórmula'!K36))*(INDEX(properties!A$1:CB$87,'Fórmula'!H36,52))+(('Fórmula'!K36)/('Fórmula'!C36+'Fórmula'!E36+'Fórmula'!G36+'Fórmula'!I36+'Fórmula'!K36))*(INDEX(properties!A$1:CB$87,'Fórmula'!J36,52))</f>
        <v>5.649538462</v>
      </c>
      <c r="EW36" s="114">
        <f t="array" ref="EW36">'Fórmula'!C36*(INDEX(properties!A$1:CB$87,'Fórmula'!B36,52))+'Fórmula'!E36*(INDEX(properties!A$1:CB$87,'Fórmula'!D36,52))+'Fórmula'!G36*(INDEX(properties!A$1:CB$87,'Fórmula'!F36,52))+'Fórmula'!I36*(INDEX(properties!A$1:CB$87,'Fórmula'!H36,52))+'Fórmula'!K36*(INDEX(properties!A$1:CB$87,'Fórmula'!J36,52))</f>
        <v>73.444</v>
      </c>
      <c r="EX36" s="114">
        <f t="array" ref="EX36">VARP(IF(INDEX(properties!A$1:CB$87,'Fórmula'!B36,52)&lt;&gt;"",INDEX(properties!A$1:CB$87,'Fórmula'!B36,52)),IF(INDEX(properties!A$1:CB$87,'Fórmula'!D36,52)&lt;&gt;"",INDEX(properties!A$1:CB$87,'Fórmula'!D36,52)),IF(INDEX(properties!A$1:CB$87,'Fórmula'!F36,52)&lt;&gt;"",INDEX(properties!A$1:CB$87,'Fórmula'!F36,52)),IF(INDEX(properties!A$1:CB$87,'Fórmula'!H36,52)&lt;&gt;"",INDEX(properties!A$1:CB$87,'Fórmula'!H36,52)),IF(INDEX(properties!A$1:CB$87,'Fórmula'!J36,52)&lt;&gt;"",INDEX(properties!A$1:CB$87,'Fórmula'!J36,52)))</f>
        <v>217.4785198</v>
      </c>
      <c r="EY36" s="114">
        <f t="array" ref="EY36">MAX(INDEX(properties!A$1:CB$87,'Fórmula'!B36,52),INDEX(properties!A$1:CB$87,'Fórmula'!D36,52),INDEX(properties!A$1:CB$87,'Fórmula'!F36,52),INDEX(properties!A$1:CB$87,'Fórmula'!H36,52),INDEX(properties!A$1:CB$87,'Fórmula'!J36,52))</f>
        <v>39.7</v>
      </c>
      <c r="EZ36" s="114">
        <f t="array" ref="EZ36">MIN(IF(INDEX(properties!A$1:CB$87,'Fórmula'!B36,52)=0,10^6,INDEX(properties!A$1:CB$87,'Fórmula'!B36,52)),IF(INDEX(properties!A$1:CB$87,'Fórmula'!D36,52)=0,10^6,INDEX(properties!A$1:CB$87,'Fórmula'!D36,52)),IF(INDEX(properties!A$1:CB$87,'Fórmula'!F36,52)=0,10^6,INDEX(properties!A$1:CB$87,'Fórmula'!F36,52)),IF(INDEX(properties!A$1:CB$87,'Fórmula'!H36,52)=0,10^6,INDEX(properties!A$1:CB$87,'Fórmula'!H36,52)),IF(INDEX(properties!A$1:CB$87,'Fórmula'!J36,52)=0,10^6,INDEX(properties!A$1:CB$87,'Fórmula'!J36,52)))</f>
        <v>0.793</v>
      </c>
      <c r="FA36" s="114">
        <f t="shared" si="26"/>
        <v>38.907</v>
      </c>
      <c r="FB36" s="115">
        <f t="array" ref="FB36">(('Fórmula'!C36)/('Fórmula'!C36+'Fórmula'!E36+'Fórmula'!G36+'Fórmula'!I36+'Fórmula'!K36))*(INDEX(properties!A$1:CB$87,'Fórmula'!B36,53))+(('Fórmula'!E36)/('Fórmula'!C36+'Fórmula'!E36+'Fórmula'!G36+'Fórmula'!I36+'Fórmula'!K36))*(INDEX(properties!A$1:CB$87,'Fórmula'!D36,53))+(('Fórmula'!G36)/('Fórmula'!C36+'Fórmula'!E36+'Fórmula'!G36+'Fórmula'!I36+'Fórmula'!K36))*(INDEX(properties!A$1:CB$87,'Fórmula'!F36,53))+(('Fórmula'!I36)/('Fórmula'!C36+'Fórmula'!E36+'Fórmula'!G36+'Fórmula'!I36+'Fórmula'!K36))*(INDEX(properties!A$1:CB$87,'Fórmula'!H36,53))+(('Fórmula'!K36)/('Fórmula'!C36+'Fórmula'!E36+'Fórmula'!G36+'Fórmula'!I36+'Fórmula'!K36))*(INDEX(properties!A$1:CB$87,'Fórmula'!J36,53))</f>
        <v>512.9807692</v>
      </c>
      <c r="FC36" s="115">
        <f t="array" ref="FC36">'Fórmula'!C36*(INDEX(properties!A$1:CB$87,'Fórmula'!B36,53))+'Fórmula'!E36*(INDEX(properties!A$1:CB$87,'Fórmula'!D36,53))+'Fórmula'!G36*(INDEX(properties!A$1:CB$87,'Fórmula'!F36,53))+'Fórmula'!I36*(INDEX(properties!A$1:CB$87,'Fórmula'!H36,53))+'Fórmula'!K36*(INDEX(properties!A$1:CB$87,'Fórmula'!J36,53))</f>
        <v>6668.75</v>
      </c>
      <c r="FD36" s="115">
        <f t="array" ref="FD36">VARP(IF(INDEX(properties!A$1:CB$87,'Fórmula'!B36,53)&lt;&gt;"",INDEX(properties!A$1:CB$87,'Fórmula'!B36,53)),IF(INDEX(properties!A$1:CB$87,'Fórmula'!D36,53)&lt;&gt;"",INDEX(properties!A$1:CB$87,'Fórmula'!D36,53)),IF(INDEX(properties!A$1:CB$87,'Fórmula'!F36,53)&lt;&gt;"",INDEX(properties!A$1:CB$87,'Fórmula'!F36,53)),IF(INDEX(properties!A$1:CB$87,'Fórmula'!H36,53)&lt;&gt;"",INDEX(properties!A$1:CB$87,'Fórmula'!H36,53)),IF(INDEX(properties!A$1:CB$87,'Fórmula'!J36,53)&lt;&gt;"",INDEX(properties!A$1:CB$87,'Fórmula'!J36,53)))</f>
        <v>402091.6204</v>
      </c>
      <c r="FE36" s="115">
        <f t="array" ref="FE36">MAX(INDEX(properties!A$1:CB$87,'Fórmula'!B36,53),INDEX(properties!A$1:CB$87,'Fórmula'!D36,53),INDEX(properties!A$1:CB$87,'Fórmula'!F36,53),INDEX(properties!A$1:CB$87,'Fórmula'!H36,53),INDEX(properties!A$1:CB$87,'Fórmula'!J36,53))</f>
        <v>1683.15</v>
      </c>
      <c r="FF36" s="115">
        <f t="array" ref="FF36">MIN(IF(INDEX(properties!A$1:CB$87,'Fórmula'!B36,53)=0,10^6,INDEX(properties!A$1:CB$87,'Fórmula'!B36,53)),IF(INDEX(properties!A$1:CB$87,'Fórmula'!D36,53)=0,10^6,INDEX(properties!A$1:CB$87,'Fórmula'!D36,53)),IF(INDEX(properties!A$1:CB$87,'Fórmula'!F36,53)=0,10^6,INDEX(properties!A$1:CB$87,'Fórmula'!F36,53)),IF(INDEX(properties!A$1:CB$87,'Fórmula'!H36,53)=0,10^6,INDEX(properties!A$1:CB$87,'Fórmula'!H36,53)),IF(INDEX(properties!A$1:CB$87,'Fórmula'!J36,53)=0,10^6,INDEX(properties!A$1:CB$87,'Fórmula'!J36,53)))</f>
        <v>54.75</v>
      </c>
      <c r="FG36" s="115">
        <f t="shared" si="27"/>
        <v>1628.4</v>
      </c>
      <c r="FH36" s="117">
        <f t="array" ref="FH36">(('Fórmula'!C36)/('Fórmula'!C36+'Fórmula'!E36+'Fórmula'!G36+'Fórmula'!I36+'Fórmula'!K36))*(INDEX(properties!A$1:CB$87,'Fórmula'!B36,54))+(('Fórmula'!E36)/('Fórmula'!C36+'Fórmula'!E36+'Fórmula'!G36+'Fórmula'!I36+'Fórmula'!K36))*(INDEX(properties!A$1:CB$87,'Fórmula'!D36,54))+(('Fórmula'!G36)/('Fórmula'!C36+'Fórmula'!E36+'Fórmula'!G36+'Fórmula'!I36+'Fórmula'!K36))*(INDEX(properties!A$1:CB$87,'Fórmula'!F36,54))+(('Fórmula'!I36)/('Fórmula'!C36+'Fórmula'!E36+'Fórmula'!G36+'Fórmula'!I36+'Fórmula'!K36))*(INDEX(properties!A$1:CB$87,'Fórmula'!H36,54))+(('Fórmula'!K36)/('Fórmula'!C36+'Fórmula'!E36+'Fórmula'!G36+'Fórmula'!I36+'Fórmula'!K36))*(INDEX(properties!A$1:CB$87,'Fórmula'!J36,54))</f>
        <v>1028.534615</v>
      </c>
      <c r="FI36" s="117">
        <f t="array" ref="FI36">'Fórmula'!C36*(INDEX(properties!A$1:CB$87,'Fórmula'!B36,54))+'Fórmula'!E36*(INDEX(properties!A$1:CB$87,'Fórmula'!D36,54))+'Fórmula'!G36*(INDEX(properties!A$1:CB$87,'Fórmula'!F36,54))+'Fórmula'!I36*(INDEX(properties!A$1:CB$87,'Fórmula'!H36,54))+'Fórmula'!K36*(INDEX(properties!A$1:CB$87,'Fórmula'!J36,54))</f>
        <v>13370.95</v>
      </c>
      <c r="FJ36" s="117">
        <f t="array" ref="FJ36">VARP(IF(INDEX(properties!A$1:CB$87,'Fórmula'!B36,54)&lt;&gt;"",INDEX(properties!A$1:CB$87,'Fórmula'!B36,54)),IF(INDEX(properties!A$1:CB$87,'Fórmula'!D36,54)&lt;&gt;"",INDEX(properties!A$1:CB$87,'Fórmula'!D36,54)),IF(INDEX(properties!A$1:CB$87,'Fórmula'!F36,54)&lt;&gt;"",INDEX(properties!A$1:CB$87,'Fórmula'!F36,54)),IF(INDEX(properties!A$1:CB$87,'Fórmula'!H36,54)&lt;&gt;"",INDEX(properties!A$1:CB$87,'Fórmula'!H36,54)),IF(INDEX(properties!A$1:CB$87,'Fórmula'!J36,54)&lt;&gt;"",INDEX(properties!A$1:CB$87,'Fórmula'!J36,54)))</f>
        <v>1443153.416</v>
      </c>
      <c r="FK36" s="117">
        <f t="array" ref="FK36">MAX(INDEX(properties!A$1:CB$87,'Fórmula'!B36,54),INDEX(properties!A$1:CB$87,'Fórmula'!D36,54),INDEX(properties!A$1:CB$87,'Fórmula'!F36,54),INDEX(properties!A$1:CB$87,'Fórmula'!H36,54),INDEX(properties!A$1:CB$87,'Fórmula'!J36,54))</f>
        <v>2740.15</v>
      </c>
      <c r="FL36" s="117">
        <f t="array" ref="FL36">MIN(IF(INDEX(properties!A$1:CB$87,'Fórmula'!B36,54)=0,10^6,INDEX(properties!A$1:CB$87,'Fórmula'!B36,54)),IF(INDEX(properties!A$1:CB$87,'Fórmula'!D36,54)=0,10^6,INDEX(properties!A$1:CB$87,'Fórmula'!D36,54)),IF(INDEX(properties!A$1:CB$87,'Fórmula'!F36,54)=0,10^6,INDEX(properties!A$1:CB$87,'Fórmula'!F36,54)),IF(INDEX(properties!A$1:CB$87,'Fórmula'!H36,54)=0,10^6,INDEX(properties!A$1:CB$87,'Fórmula'!H36,54)),IF(INDEX(properties!A$1:CB$87,'Fórmula'!J36,54)=0,10^6,INDEX(properties!A$1:CB$87,'Fórmula'!J36,54)))</f>
        <v>90.15</v>
      </c>
      <c r="FM36" s="117">
        <f t="shared" si="28"/>
        <v>2650</v>
      </c>
      <c r="FN36" s="118">
        <f t="array" ref="FN36">(('Fórmula'!C36)/('Fórmula'!C36+'Fórmula'!E36+'Fórmula'!G36+'Fórmula'!I36+'Fórmula'!K36))*(INDEX(properties!A$1:CB$87,'Fórmula'!B36,55))+(('Fórmula'!E36)/('Fórmula'!C36+'Fórmula'!E36+'Fórmula'!G36+'Fórmula'!I36+'Fórmula'!K36))*(INDEX(properties!A$1:CB$87,'Fórmula'!D36,55))+(('Fórmula'!G36)/('Fórmula'!C36+'Fórmula'!E36+'Fórmula'!G36+'Fórmula'!I36+'Fórmula'!K36))*(INDEX(properties!A$1:CB$87,'Fórmula'!F36,55))+(('Fórmula'!I36)/('Fórmula'!C36+'Fórmula'!E36+'Fórmula'!G36+'Fórmula'!I36+'Fórmula'!K36))*(INDEX(properties!A$1:CB$87,'Fórmula'!H36,55))+(('Fórmula'!K36)/('Fórmula'!C36+'Fórmula'!E36+'Fórmula'!G36+'Fórmula'!I36+'Fórmula'!K36))*(INDEX(properties!A$1:CB$87,'Fórmula'!J36,55))</f>
        <v>1.043956923</v>
      </c>
      <c r="FO36" s="118">
        <f t="array" ref="FO36">'Fórmula'!C36*(INDEX(properties!A$1:CB$87,'Fórmula'!B36,55))+'Fórmula'!E36*(INDEX(properties!A$1:CB$87,'Fórmula'!D36,54))+'Fórmula'!G36*(INDEX(properties!A$1:CB$87,'Fórmula'!F36,55))+'Fórmula'!I36*(INDEX(properties!A$1:CB$87,'Fórmula'!H36,55))+'Fórmula'!K36*(INDEX(properties!A$1:CB$87,'Fórmula'!J36,55))</f>
        <v>5488.47144</v>
      </c>
      <c r="FP36" s="118">
        <f t="array" ref="FP36">VARP(IF(INDEX(properties!A$1:CB$87,'Fórmula'!B36,55)&lt;&gt;"",INDEX(properties!A$1:CB$87,'Fórmula'!B36,55)),IF(INDEX(properties!A$1:CB$87,'Fórmula'!D36,55)&lt;&gt;"",INDEX(properties!A$1:CB$87,'Fórmula'!D36,55)),IF(INDEX(properties!A$1:CB$87,'Fórmula'!F36,55)&lt;&gt;"",INDEX(properties!A$1:CB$87,'Fórmula'!F36,55)),IF(INDEX(properties!A$1:CB$87,'Fórmula'!H36,55)&lt;&gt;"",INDEX(properties!A$1:CB$87,'Fórmula'!H36,55)),IF(INDEX(properties!A$1:CB$87,'Fórmula'!J36,55)&lt;&gt;"",INDEX(properties!A$1:CB$87,'Fórmula'!J36,55)))</f>
        <v>2.082368495</v>
      </c>
      <c r="FQ36" s="118">
        <f t="array" ref="FQ36">MAX(INDEX(properties!A$1:CB$87,'Fórmula'!B36,55),INDEX(properties!A$1:CB$87,'Fórmula'!D36,55),INDEX(properties!A$1:CB$87,'Fórmula'!F36,55),INDEX(properties!A$1:CB$87,'Fórmula'!H36,55),INDEX(properties!A$1:CB$87,'Fórmula'!J36,55))</f>
        <v>3.5</v>
      </c>
      <c r="FR36" s="118">
        <f t="array" ref="FR36">MIN(IF(INDEX(properties!A$1:CB$87,'Fórmula'!B36,55)=0,10^6,INDEX(properties!A$1:CB$87,'Fórmula'!B36,55)),IF(INDEX(properties!A$1:CB$87,'Fórmula'!D36,55)=0,10^6,INDEX(properties!A$1:CB$87,'Fórmula'!D36,55)),IF(INDEX(properties!A$1:CB$87,'Fórmula'!F36,55)=0,10^6,INDEX(properties!A$1:CB$87,'Fórmula'!F36,55)),IF(INDEX(properties!A$1:CB$87,'Fórmula'!H36,55)=0,10^6,INDEX(properties!A$1:CB$87,'Fórmula'!H36,55)),IF(INDEX(properties!A$1:CB$87,'Fórmula'!J36,55)=0,10^6,INDEX(properties!A$1:CB$87,'Fórmula'!J36,55)))</f>
        <v>0.00143</v>
      </c>
      <c r="FS36" s="118">
        <f t="shared" si="29"/>
        <v>3.49857</v>
      </c>
      <c r="FT36" s="119">
        <f t="array" ref="FT36">(('Fórmula'!C36)/('Fórmula'!C36+'Fórmula'!E36+'Fórmula'!G36+'Fórmula'!I36+'Fórmula'!K36))*(INDEX(properties!A$1:CB$87,'Fórmula'!B36,56))+(('Fórmula'!E36)/('Fórmula'!C36+'Fórmula'!E36+'Fórmula'!G36+'Fórmula'!I36+'Fórmula'!K36))*(INDEX(properties!A$1:CB$87,'Fórmula'!D36,56))+(('Fórmula'!G36)/('Fórmula'!C36+'Fórmula'!E36+'Fórmula'!G36+'Fórmula'!I36+'Fórmula'!K36))*(INDEX(properties!A$1:CB$87,'Fórmula'!F36,56))+(('Fórmula'!I36)/('Fórmula'!C36+'Fórmula'!E36+'Fórmula'!G36+'Fórmula'!I36+'Fórmula'!K36))*(INDEX(properties!A$1:CB$87,'Fórmula'!H36,56))+(('Fórmula'!K36)/('Fórmula'!C36+'Fórmula'!E36+'Fórmula'!G36+'Fórmula'!I36+'Fórmula'!K36))*(INDEX(properties!A$1:CB$87,'Fórmula'!J36,56))</f>
        <v>0.8295384615</v>
      </c>
      <c r="FU36" s="119">
        <f t="array" ref="FU36">'Fórmula'!C36*(INDEX(properties!A$1:CB$87,'Fórmula'!B36,56))+'Fórmula'!E36*(INDEX(properties!A$1:CB$87,'Fórmula'!D36,56))+'Fórmula'!G36*(INDEX(properties!A$1:CB$87,'Fórmula'!F36,56))+'Fórmula'!I36*(INDEX(properties!A$1:CB$87,'Fórmula'!H36,56))+'Fórmula'!K36*(INDEX(properties!A$1:CB$87,'Fórmula'!J36,56))</f>
        <v>10.784</v>
      </c>
      <c r="FV36" s="119">
        <f t="array" ref="FV36">VARP(IF(INDEX(properties!A$1:CB$87,'Fórmula'!B36,56)&lt;&gt;"",INDEX(properties!A$1:CB$87,'Fórmula'!B36,56)),IF(INDEX(properties!A$1:CB$87,'Fórmula'!D36,56)&lt;&gt;"",INDEX(properties!A$1:CB$87,'Fórmula'!D36,56)),IF(INDEX(properties!A$1:CB$87,'Fórmula'!F36,56)&lt;&gt;"",INDEX(properties!A$1:CB$87,'Fórmula'!F36,56)),IF(INDEX(properties!A$1:CB$87,'Fórmula'!H36,56)&lt;&gt;"",INDEX(properties!A$1:CB$87,'Fórmula'!H36,56)),IF(INDEX(properties!A$1:CB$87,'Fórmula'!J36,56)&lt;&gt;"",INDEX(properties!A$1:CB$87,'Fórmula'!J36,56)))</f>
        <v>0.14143296</v>
      </c>
      <c r="FW36" s="119">
        <f t="array" ref="FW36">MAX(INDEX(properties!A$1:CB$87,'Fórmula'!B36,56),INDEX(properties!A$1:CB$87,'Fórmula'!D36,56),INDEX(properties!A$1:CB$87,'Fórmula'!F36,56),INDEX(properties!A$1:CB$87,'Fórmula'!H36,56),INDEX(properties!A$1:CB$87,'Fórmula'!J36,56))</f>
        <v>0.92</v>
      </c>
      <c r="FX36" s="119">
        <f t="array" ref="FX36">MIN(IF(INDEX(properties!A$1:CB$87,'Fórmula'!B36,56)=0,10^6,INDEX(properties!A$1:CB$87,'Fórmula'!B36,56)),IF(INDEX(properties!A$1:CB$87,'Fórmula'!D36,56)=0,10^6,INDEX(properties!A$1:CB$87,'Fórmula'!D36,56)),IF(INDEX(properties!A$1:CB$87,'Fórmula'!F36,56)=0,10^6,INDEX(properties!A$1:CB$87,'Fórmula'!F36,56)),IF(INDEX(properties!A$1:CB$87,'Fórmula'!H36,56)=0,10^6,INDEX(properties!A$1:CB$87,'Fórmula'!H36,56)),IF(INDEX(properties!A$1:CB$87,'Fórmula'!J36,56)=0,10^6,INDEX(properties!A$1:CB$87,'Fórmula'!J36,56)))</f>
        <v>0.204</v>
      </c>
      <c r="FY36" s="119">
        <f t="shared" si="30"/>
        <v>0.716</v>
      </c>
      <c r="FZ36" s="104">
        <f t="array" ref="FZ36">(('Fórmula'!C36)/('Fórmula'!C36+'Fórmula'!E36+'Fórmula'!G36+'Fórmula'!I36+'Fórmula'!K36))*(INDEX(properties!A$1:CB$87,'Fórmula'!B36,57))+(('Fórmula'!E36)/('Fórmula'!C36+'Fórmula'!E36+'Fórmula'!G36+'Fórmula'!I36+'Fórmula'!K36))*(INDEX(properties!A$1:CB$87,'Fórmula'!D36,57))+(('Fórmula'!G36)/('Fórmula'!C36+'Fórmula'!E36+'Fórmula'!G36+'Fórmula'!I36+'Fórmula'!K36))*(INDEX(properties!A$1:CB$87,'Fórmula'!F36,57))+(('Fórmula'!I36)/('Fórmula'!C36+'Fórmula'!E36+'Fórmula'!G36+'Fórmula'!I36+'Fórmula'!K36))*(INDEX(properties!A$1:CB$87,'Fórmula'!H36,57))+(('Fórmula'!K36)/('Fórmula'!C36+'Fórmula'!E36+'Fórmula'!G36+'Fórmula'!I36+'Fórmula'!K36))*(INDEX(properties!A$1:CB$87,'Fórmula'!J36,57))</f>
        <v>10.17005538</v>
      </c>
      <c r="GA36" s="104">
        <f t="array" ref="GA36">'Fórmula'!C36*(INDEX(properties!A$1:CB$87,'Fórmula'!B36,57))+'Fórmula'!E36*(INDEX(properties!A$1:CB$87,'Fórmula'!D36,57))+'Fórmula'!G36*(INDEX(properties!A$1:CB$87,'Fórmula'!F36,57))+'Fórmula'!I36*(INDEX(properties!A$1:CB$87,'Fórmula'!H36,57))+'Fórmula'!K36*(INDEX(properties!A$1:CB$87,'Fórmula'!J36,57))</f>
        <v>132.21072</v>
      </c>
      <c r="GB36" s="104">
        <f t="array" ref="GB36">VARP(IF(INDEX(properties!A$1:CB$87,'Fórmula'!B36,57)&lt;&gt;"",INDEX(properties!A$1:CB$87,'Fórmula'!B36,57)),IF(INDEX(properties!A$1:CB$87,'Fórmula'!D36,57)&lt;&gt;"",INDEX(properties!A$1:CB$87,'Fórmula'!D36,57)),IF(INDEX(properties!A$1:CB$87,'Fórmula'!F36,57)&lt;&gt;"",INDEX(properties!A$1:CB$87,'Fórmula'!F36,57)),IF(INDEX(properties!A$1:CB$87,'Fórmula'!H36,57)&lt;&gt;"",INDEX(properties!A$1:CB$87,'Fórmula'!H36,57)),IF(INDEX(properties!A$1:CB$87,'Fórmula'!J36,57)&lt;&gt;"",INDEX(properties!A$1:CB$87,'Fórmula'!J36,57)))</f>
        <v>354.198324</v>
      </c>
      <c r="GC36" s="104">
        <f t="array" ref="GC36">MAX(INDEX(properties!A$1:CB$87,'Fórmula'!B36,57),INDEX(properties!A$1:CB$87,'Fórmula'!D36,57),INDEX(properties!A$1:CB$87,'Fórmula'!F36,57),INDEX(properties!A$1:CB$87,'Fórmula'!H36,57),INDEX(properties!A$1:CB$87,'Fórmula'!J36,57))</f>
        <v>50.55</v>
      </c>
      <c r="GD36" s="104">
        <f t="array" ref="GD36">MIN(IF(INDEX(properties!A$1:CB$87,'Fórmula'!B36,57)=0,10^6,INDEX(properties!A$1:CB$87,'Fórmula'!B36,57)),IF(INDEX(properties!A$1:CB$87,'Fórmula'!D36,57)=0,10^6,INDEX(properties!A$1:CB$87,'Fórmula'!D36,57)),IF(INDEX(properties!A$1:CB$87,'Fórmula'!F36,57)=0,10^6,INDEX(properties!A$1:CB$87,'Fórmula'!F36,57)),IF(INDEX(properties!A$1:CB$87,'Fórmula'!H36,57)=0,10^6,INDEX(properties!A$1:CB$87,'Fórmula'!H36,57)),IF(INDEX(properties!A$1:CB$87,'Fórmula'!J36,57)=0,10^6,INDEX(properties!A$1:CB$87,'Fórmula'!J36,57)))</f>
        <v>0.22259</v>
      </c>
      <c r="GE36" s="104">
        <f t="shared" si="31"/>
        <v>50.32741</v>
      </c>
      <c r="GF36" s="105">
        <f t="array" ref="GF36">(('Fórmula'!C36)/('Fórmula'!C36+'Fórmula'!E36+'Fórmula'!G36+'Fórmula'!I36+'Fórmula'!K36))*(INDEX(properties!A$1:CB$87,'Fórmula'!B36,60))+(('Fórmula'!E36)/('Fórmula'!C36+'Fórmula'!E36+'Fórmula'!G36+'Fórmula'!I36+'Fórmula'!K36))*(INDEX(properties!A$1:CB$87,'Fórmula'!D36,60))+(('Fórmula'!G36)/('Fórmula'!C36+'Fórmula'!E36+'Fórmula'!G36+'Fórmula'!I36+'Fórmula'!K36))*(INDEX(properties!A$1:CB$87,'Fórmula'!F36,60))+(('Fórmula'!I36)/('Fórmula'!C36+'Fórmula'!E36+'Fórmula'!G36+'Fórmula'!I36+'Fórmula'!K36))*(INDEX(properties!A$1:CB$87,'Fórmula'!H36,60))+(('Fórmula'!K36)/('Fórmula'!C36+'Fórmula'!E36+'Fórmula'!G36+'Fórmula'!I36+'Fórmula'!K36))*(INDEX(properties!A$1:CB$87,'Fórmula'!J36,60))</f>
        <v>60.66260923</v>
      </c>
      <c r="GG36" s="105">
        <f t="array" ref="GG36">'Fórmula'!C36*(INDEX(properties!A$1:CB$87,'Fórmula'!B36,60))+'Fórmula'!E36*(INDEX(properties!A$1:CB$87,'Fórmula'!D36,60))+'Fórmula'!G36*(INDEX(properties!A$1:CB$87,'Fórmula'!F36,60))+'Fórmula'!I36*(INDEX(properties!A$1:CB$87,'Fórmula'!H36,60))+'Fórmula'!K36*(INDEX(properties!A$1:CB$87,'Fórmula'!J36,60))</f>
        <v>788.61392</v>
      </c>
      <c r="GH36" s="105">
        <f t="array" ref="GH36">VARP(IF(INDEX(properties!A$1:CB$87,'Fórmula'!B36,60)&lt;&gt;"",INDEX(properties!A$1:CB$87,'Fórmula'!B36,60)),IF(INDEX(properties!A$1:CB$87,'Fórmula'!D36,60)&lt;&gt;"",INDEX(properties!A$1:CB$87,'Fórmula'!D36,60)),IF(INDEX(properties!A$1:CB$87,'Fórmula'!F36,60)&lt;&gt;"",INDEX(properties!A$1:CB$87,'Fórmula'!F36,60)),IF(INDEX(properties!A$1:CB$87,'Fórmula'!H36,60)&lt;&gt;"",INDEX(properties!A$1:CB$87,'Fórmula'!H36,60)),IF(INDEX(properties!A$1:CB$87,'Fórmula'!J36,60)&lt;&gt;"",INDEX(properties!A$1:CB$87,'Fórmula'!J36,60)))</f>
        <v>9172.186761</v>
      </c>
      <c r="GI36" s="105">
        <f t="array" ref="GI36">MAX(INDEX(properties!A$1:CB$87,'Fórmula'!B36,60),INDEX(properties!A$1:CB$87,'Fórmula'!D36,60),INDEX(properties!A$1:CB$87,'Fórmula'!F36,60),INDEX(properties!A$1:CB$87,'Fórmula'!H36,60),INDEX(properties!A$1:CB$87,'Fórmula'!J36,60))</f>
        <v>237</v>
      </c>
      <c r="GJ36" s="105">
        <f t="array" ref="GJ36">MIN(IF(INDEX(properties!A$1:CB$87,'Fórmula'!B36,60)=0,10^6,INDEX(properties!A$1:CB$87,'Fórmula'!B36,60)),IF(INDEX(properties!A$1:CB$87,'Fórmula'!D36,60)=0,10^6,INDEX(properties!A$1:CB$87,'Fórmula'!D36,60)),IF(INDEX(properties!A$1:CB$87,'Fórmula'!F36,60)=0,10^6,INDEX(properties!A$1:CB$87,'Fórmula'!F36,60)),IF(INDEX(properties!A$1:CB$87,'Fórmula'!H36,60)=0,10^6,INDEX(properties!A$1:CB$87,'Fórmula'!H36,60)),IF(INDEX(properties!A$1:CB$87,'Fórmula'!J36,60)=0,10^6,INDEX(properties!A$1:CB$87,'Fórmula'!J36,60)))</f>
        <v>0.02674</v>
      </c>
      <c r="GK36" s="105">
        <f t="shared" si="32"/>
        <v>236.97326</v>
      </c>
      <c r="GL36" s="106">
        <f t="array" ref="GL36">(('Fórmula'!C36)/('Fórmula'!C36+'Fórmula'!E36+'Fórmula'!G36+'Fórmula'!I36+'Fórmula'!K36))*(INDEX(properties!A$1:CB$87,'Fórmula'!B36,62))+(('Fórmula'!E36)/('Fórmula'!C36+'Fórmula'!E36+'Fórmula'!G36+'Fórmula'!I36+'Fórmula'!K36))*(INDEX(properties!A$1:CB$87,'Fórmula'!D36,62))+(('Fórmula'!G36)/('Fórmula'!C36+'Fórmula'!E36+'Fórmula'!G36+'Fórmula'!I36+'Fórmula'!K36))*(INDEX(properties!A$1:CB$87,'Fórmula'!F36,62))+(('Fórmula'!I36)/('Fórmula'!C36+'Fórmula'!E36+'Fórmula'!G36+'Fórmula'!I36+'Fórmula'!K36))*(INDEX(properties!A$1:CB$87,'Fórmula'!H36,62))+(('Fórmula'!K36)/('Fórmula'!C36+'Fórmula'!E36+'Fórmula'!G36+'Fórmula'!I36+'Fórmula'!K36))*(INDEX(properties!A$1:CB$87,'Fórmula'!J36,62))</f>
        <v>2.992307692</v>
      </c>
      <c r="GM36" s="106">
        <f t="array" ref="GM36">'Fórmula'!C36*(INDEX(properties!A$1:CB$87,'Fórmula'!B36,62))+'Fórmula'!E36*(INDEX(properties!A$1:CB$87,'Fórmula'!D36,62))+'Fórmula'!G36*(INDEX(properties!A$1:CB$87,'Fórmula'!F36,62))+'Fórmula'!I36*(INDEX(properties!A$1:CB$87,'Fórmula'!H36,62))+'Fórmula'!K36*(INDEX(properties!A$1:CB$87,'Fórmula'!J36,62))</f>
        <v>38.9</v>
      </c>
      <c r="GN36" s="106">
        <f t="array" ref="GN36">VARP(IF(INDEX(properties!A$1:CB$87,'Fórmula'!B36,62)&lt;&gt;"",INDEX(properties!A$1:CB$87,'Fórmula'!B36,62)),IF(INDEX(properties!A$1:CB$87,'Fórmula'!D36,62)&lt;&gt;"",INDEX(properties!A$1:CB$87,'Fórmula'!D36,62)),IF(INDEX(properties!A$1:CB$87,'Fórmula'!F36,62)&lt;&gt;"",INDEX(properties!A$1:CB$87,'Fórmula'!F36,62)),IF(INDEX(properties!A$1:CB$87,'Fórmula'!H36,62)&lt;&gt;"",INDEX(properties!A$1:CB$87,'Fórmula'!H36,62)),IF(INDEX(properties!A$1:CB$87,'Fórmula'!J36,62)&lt;&gt;"",INDEX(properties!A$1:CB$87,'Fórmula'!J36,62)))</f>
        <v>2.390616</v>
      </c>
      <c r="GO36" s="106">
        <f t="array" ref="GO36">MAX(INDEX(properties!A$1:CB$87,'Fórmula'!B36,62),INDEX(properties!A$1:CB$87,'Fórmula'!D36,62),INDEX(properties!A$1:CB$87,'Fórmula'!F36,62),INDEX(properties!A$1:CB$87,'Fórmula'!H36,62),INDEX(properties!A$1:CB$87,'Fórmula'!J36,62))</f>
        <v>4.63</v>
      </c>
      <c r="GP36" s="106">
        <f t="array" ref="GP36">MIN(IF(INDEX(properties!A$1:CB$87,'Fórmula'!B36,62)=0,10^6,INDEX(properties!A$1:CB$87,'Fórmula'!B36,62)),IF(INDEX(properties!A$1:CB$87,'Fórmula'!D36,62)=0,10^6,INDEX(properties!A$1:CB$87,'Fórmula'!D36,62)),IF(INDEX(properties!A$1:CB$87,'Fórmula'!F36,62)=0,10^6,INDEX(properties!A$1:CB$87,'Fórmula'!F36,62)),IF(INDEX(properties!A$1:CB$87,'Fórmula'!H36,62)=0,10^6,INDEX(properties!A$1:CB$87,'Fórmula'!H36,62)),IF(INDEX(properties!A$1:CB$87,'Fórmula'!J36,62)=0,10^6,INDEX(properties!A$1:CB$87,'Fórmula'!J36,62)))</f>
        <v>1.9</v>
      </c>
      <c r="GQ36" s="106">
        <f t="shared" si="33"/>
        <v>2.73</v>
      </c>
      <c r="GR36" s="106">
        <f>'Fórmula'!Q36</f>
        <v>14</v>
      </c>
      <c r="GS36" s="107">
        <f>'Fórmula'!P36</f>
        <v>6</v>
      </c>
      <c r="GT36" s="113">
        <f>'Fórmula'!O36</f>
        <v>3.35</v>
      </c>
      <c r="GU36" s="114">
        <f>AVERAGE('Fórmula'!R36/'Fórmula'!S36,'Fórmula'!S36/'Fórmula'!T36,'Fórmula'!T36/'Fórmula'!R36)</f>
        <v>1.002974151</v>
      </c>
      <c r="GV36" s="125">
        <f>'Fórmula'!U36</f>
        <v>744.44</v>
      </c>
      <c r="GW36" s="106">
        <f>'Fórmula'!N36</f>
        <v>0.07</v>
      </c>
    </row>
    <row r="37" ht="14.25" customHeight="1">
      <c r="A37" s="99" t="str">
        <f>'Fórmula'!A37</f>
        <v>KSrLuP2O8</v>
      </c>
      <c r="B37" s="100">
        <f t="array" ref="B37">(('Fórmula'!C37)/('Fórmula'!C37+'Fórmula'!E37+'Fórmula'!G37+'Fórmula'!I37+'Fórmula'!K37))*(INDEX(properties!A$1:CB$87,'Fórmula'!B37,3))+(('Fórmula'!E37)/('Fórmula'!C37+'Fórmula'!E37+'Fórmula'!G37+'Fórmula'!I37+'Fórmula'!K37))*(INDEX(properties!A$1:CB$87,'Fórmula'!D37,3))+(('Fórmula'!G37)/('Fórmula'!C37+'Fórmula'!E37+'Fórmula'!G37+'Fórmula'!I37+'Fórmula'!K37))*(INDEX(properties!A$1:CB$87,'Fórmula'!F37,3))+(('Fórmula'!I37)/('Fórmula'!C37+'Fórmula'!E37+'Fórmula'!G37+'Fórmula'!I37+'Fórmula'!K37))*(INDEX(properties!A$1:CB$87,'Fórmula'!H37,3))+(('Fórmula'!K37)/('Fórmula'!C37+'Fórmula'!E37+'Fórmula'!G37+'Fórmula'!I37+'Fórmula'!K37))*(INDEX(properties!A$1:CB$87,'Fórmula'!J37,3))</f>
        <v>37.81754031</v>
      </c>
      <c r="C37" s="101">
        <f t="array" ref="C37">'Fórmula'!C37*(INDEX(properties!A$1:CB$87,'Fórmula'!B37,3))+'Fórmula'!E37*(INDEX(properties!A$1:CB$87,'Fórmula'!D37,3))+'Fórmula'!G37*(INDEX(properties!A$1:CB$87,'Fórmula'!F37,3))+'Fórmula'!I37*(INDEX(properties!A$1:CB$87,'Fórmula'!H37,3))+'Fórmula'!K37*(INDEX(properties!A$1:CB$87,'Fórmula'!J37,3))</f>
        <v>491.628024</v>
      </c>
      <c r="D37" s="101">
        <f t="array" ref="D37">VARP(IF(INDEX(properties!A$1:CB$87,'Fórmula'!B37,3)&lt;&gt;"",INDEX(properties!A$1:CB$87,'Fórmula'!B37,3)),IF(INDEX(properties!A$1:CB$87,'Fórmula'!D37,3)&lt;&gt;"",INDEX(properties!A$1:CB$87,'Fórmula'!D37,3)),IF(INDEX(properties!A$1:CB$87,'Fórmula'!F37,3)&lt;&gt;"",INDEX(properties!A$1:CB$87,'Fórmula'!F37,3)),IF(INDEX(properties!A$1:CB$87,'Fórmula'!H37,3)&lt;&gt;"",INDEX(properties!A$1:CB$87,'Fórmula'!H37,3)),IF(INDEX(properties!A$1:CB$87,'Fórmula'!J37,3)&lt;&gt;"",INDEX(properties!A$1:CB$87,'Fórmula'!J37,3)))</f>
        <v>3344.440532</v>
      </c>
      <c r="E37" s="101">
        <f t="array" ref="E37">MAX(INDEX(properties!A$1:CB$87,'Fórmula'!B37,3),INDEX(properties!A$1:CB$87,'Fórmula'!D37,3),INDEX(properties!A$1:CB$87,'Fórmula'!F37,3),INDEX(properties!A$1:CB$87,'Fórmula'!H37,3),INDEX(properties!A$1:CB$87,'Fórmula'!J37,3))</f>
        <v>174.967</v>
      </c>
      <c r="F37" s="101">
        <f t="array" ref="F37">MIN(IF(INDEX(properties!A$1:CB$87,'Fórmula'!B37,3)=0,10^6,INDEX(properties!A$1:CB$87,'Fórmula'!B37,3)),IF(INDEX(properties!A$1:CB$87,'Fórmula'!D37,3)=0,10^6,INDEX(properties!A$1:CB$87,'Fórmula'!D37,3)),IF(INDEX(properties!A$1:CB$87,'Fórmula'!F37,3)=0,10^6,INDEX(properties!A$1:CB$87,'Fórmula'!F37,3)),IF(INDEX(properties!A$1:CB$87,'Fórmula'!H37,3)=0,10^6,INDEX(properties!A$1:CB$87,'Fórmula'!H37,3)),IF(INDEX(properties!A$1:CB$87,'Fórmula'!J37,3)=0,10^6,INDEX(properties!A$1:CB$87,'Fórmula'!J37,3)))</f>
        <v>15.9994</v>
      </c>
      <c r="G37" s="101">
        <f t="shared" si="1"/>
        <v>158.9676</v>
      </c>
      <c r="H37" s="102">
        <f t="array" ref="H37">(('Fórmula'!C37)/('Fórmula'!C37+'Fórmula'!E37+'Fórmula'!G37+'Fórmula'!I37+'Fórmula'!K37))*(INDEX(properties!A$1:CB$87,'Fórmula'!B37,4))+(('Fórmula'!E37)/('Fórmula'!C37+'Fórmula'!E37+'Fórmula'!G37+'Fórmula'!I37+'Fórmula'!K37))*(INDEX(properties!A$1:CB$87,'Fórmula'!D37,4))+(('Fórmula'!G37)/('Fórmula'!C37+'Fórmula'!E37+'Fórmula'!G37+'Fórmula'!I37+'Fórmula'!K37))*(INDEX(properties!A$1:CB$87,'Fórmula'!F37,4))+(('Fórmula'!I37)/('Fórmula'!C37+'Fórmula'!E37+'Fórmula'!G37+'Fórmula'!I37+'Fórmula'!K37))*(INDEX(properties!A$1:CB$87,'Fórmula'!H37,4))+(('Fórmula'!K37)/('Fórmula'!C37+'Fórmula'!E37+'Fórmula'!G37+'Fórmula'!I37+'Fórmula'!K37))*(INDEX(properties!A$1:CB$87,'Fórmula'!J37,4))</f>
        <v>17.07692308</v>
      </c>
      <c r="I37" s="102">
        <f t="array" ref="I37">'Fórmula'!C37*(INDEX(properties!A$1:CB$87,'Fórmula'!B37,4))+'Fórmula'!E37*(INDEX(properties!A$1:CB$87,'Fórmula'!D37,4))+'Fórmula'!G37*(INDEX(properties!A$1:CB$87,'Fórmula'!F37,4))+'Fórmula'!I37*(INDEX(properties!A$1:CB$87,'Fórmula'!H37,4))+'Fórmula'!K37*(INDEX(properties!A$1:CB$87,'Fórmula'!J37,4))</f>
        <v>222</v>
      </c>
      <c r="J37" s="102">
        <f t="array" ref="J37">VARP(IF(INDEX(properties!A$1:CB$87,'Fórmula'!B37,4)&lt;&gt;"",INDEX(properties!A$1:CB$87,'Fórmula'!B37,4)),IF(INDEX(properties!A$1:CB$87,'Fórmula'!D37,4)&lt;&gt;"",INDEX(properties!A$1:CB$87,'Fórmula'!D37,4)),IF(INDEX(properties!A$1:CB$87,'Fórmula'!F37,4)&lt;&gt;"",INDEX(properties!A$1:CB$87,'Fórmula'!F37,4)),IF(INDEX(properties!A$1:CB$87,'Fórmula'!H37,4)&lt;&gt;"",INDEX(properties!A$1:CB$87,'Fórmula'!H37,4)),IF(INDEX(properties!A$1:CB$87,'Fórmula'!J37,4)&lt;&gt;"",INDEX(properties!A$1:CB$87,'Fórmula'!J37,4)))</f>
        <v>514.96</v>
      </c>
      <c r="K37" s="102">
        <f t="array" ref="K37">MAX(INDEX(properties!A$1:CB$87,'Fórmula'!B37,4),INDEX(properties!A$1:CB$87,'Fórmula'!D37,4),INDEX(properties!A$1:CB$87,'Fórmula'!F37,4),INDEX(properties!A$1:CB$87,'Fórmula'!H37,4),INDEX(properties!A$1:CB$87,'Fórmula'!J37,4))</f>
        <v>71</v>
      </c>
      <c r="L37" s="102">
        <f t="array" ref="L37">MIN(IF(INDEX(properties!A$1:CB$87,'Fórmula'!B37,4)=0,10^6,INDEX(properties!A$1:CB$87,'Fórmula'!B37,4)),IF(INDEX(properties!A$1:CB$87,'Fórmula'!D37,4)=0,10^6,INDEX(properties!A$1:CB$87,'Fórmula'!D37,4)),IF(INDEX(properties!A$1:CB$87,'Fórmula'!F37,4)=0,10^6,INDEX(properties!A$1:CB$87,'Fórmula'!F37,4)),IF(INDEX(properties!A$1:CB$87,'Fórmula'!H37,4)=0,10^6,INDEX(properties!A$1:CB$87,'Fórmula'!H37,4)),IF(INDEX(properties!A$1:CB$87,'Fórmula'!J37,4)=0,10^6,INDEX(properties!A$1:CB$87,'Fórmula'!J37,4)))</f>
        <v>8</v>
      </c>
      <c r="M37" s="102">
        <f t="shared" si="2"/>
        <v>63</v>
      </c>
      <c r="N37" s="103">
        <f t="array" ref="N37">(('Fórmula'!C37)/('Fórmula'!C37+'Fórmula'!E37+'Fórmula'!G37+'Fórmula'!I37+'Fórmula'!K37))*(INDEX(properties!A$1:CB$87,'Fórmula'!B37,5))+(('Fórmula'!E37)/('Fórmula'!C37+'Fórmula'!E37+'Fórmula'!G37+'Fórmula'!I37+'Fórmula'!K37))*(INDEX(properties!A$1:CB$87,'Fórmula'!D37,5))+(('Fórmula'!G37)/('Fórmula'!C37+'Fórmula'!E37+'Fórmula'!G37+'Fórmula'!I37+'Fórmula'!K37))*(INDEX(properties!A$1:CB$87,'Fórmula'!F37,5))+(('Fórmula'!I37)/('Fórmula'!C37+'Fórmula'!E37+'Fórmula'!G37+'Fórmula'!I37+'Fórmula'!K37))*(INDEX(properties!A$1:CB$87,'Fórmula'!H37,5))+(('Fórmula'!K37)/('Fórmula'!C37+'Fórmula'!E37+'Fórmula'!G37+'Fórmula'!I37+'Fórmula'!K37))*(INDEX(properties!A$1:CB$87,'Fórmula'!J37,5))</f>
        <v>2.846153846</v>
      </c>
      <c r="O37" s="103">
        <f t="array" ref="O37">'Fórmula'!C37*(INDEX(properties!A$1:CB$87,'Fórmula'!B37,5))+'Fórmula'!E37*(INDEX(properties!A$1:CB$87,'Fórmula'!D37,5))+'Fórmula'!G37*(INDEX(properties!A$1:CB$87,'Fórmula'!F37,5))+'Fórmula'!I37*(INDEX(properties!A$1:CB$87,'Fórmula'!H37,5))+'Fórmula'!K37*(INDEX(properties!A$1:CB$87,'Fórmula'!J37,5))</f>
        <v>37</v>
      </c>
      <c r="P37" s="103">
        <f t="array" ref="P37">VARP(IF(INDEX(properties!A$1:CB$87,'Fórmula'!B37,5)&lt;&gt;"",INDEX(properties!A$1:CB$87,'Fórmula'!B37,5)),IF(INDEX(properties!A$1:CB$87,'Fórmula'!D37,5)&lt;&gt;"",INDEX(properties!A$1:CB$87,'Fórmula'!D37,5)),IF(INDEX(properties!A$1:CB$87,'Fórmula'!F37,5)&lt;&gt;"",INDEX(properties!A$1:CB$87,'Fórmula'!F37,5)),IF(INDEX(properties!A$1:CB$87,'Fórmula'!H37,5)&lt;&gt;"",INDEX(properties!A$1:CB$87,'Fórmula'!H37,5)),IF(INDEX(properties!A$1:CB$87,'Fórmula'!J37,5)&lt;&gt;"",INDEX(properties!A$1:CB$87,'Fórmula'!J37,5)))</f>
        <v>2</v>
      </c>
      <c r="Q37" s="103">
        <f t="array" ref="Q37">MAX(INDEX(properties!A$1:CB$87,'Fórmula'!B37,5),INDEX(properties!A$1:CB$87,'Fórmula'!D37,5),INDEX(properties!A$1:CB$87,'Fórmula'!F37,5),INDEX(properties!A$1:CB$87,'Fórmula'!H37,5),INDEX(properties!A$1:CB$87,'Fórmula'!J37,5))</f>
        <v>6</v>
      </c>
      <c r="R37" s="103">
        <f t="array" ref="R37">MIN(IF(INDEX(properties!A$1:CB$87,'Fórmula'!B37,5)=0,10^6,INDEX(properties!A$1:CB$87,'Fórmula'!B37,5)),IF(INDEX(properties!A$1:CB$87,'Fórmula'!D37,5)=0,10^6,INDEX(properties!A$1:CB$87,'Fórmula'!D37,5)),IF(INDEX(properties!A$1:CB$87,'Fórmula'!F37,5)=0,10^6,INDEX(properties!A$1:CB$87,'Fórmula'!F37,5)),IF(INDEX(properties!A$1:CB$87,'Fórmula'!H37,5)=0,10^6,INDEX(properties!A$1:CB$87,'Fórmula'!H37,5)),IF(INDEX(properties!A$1:CB$87,'Fórmula'!J37,5)=0,10^6,INDEX(properties!A$1:CB$87,'Fórmula'!J37,5)))</f>
        <v>2</v>
      </c>
      <c r="S37" s="103">
        <f t="shared" si="3"/>
        <v>4</v>
      </c>
      <c r="T37" s="104">
        <f t="array" ref="T37">(('Fórmula'!C37)/('Fórmula'!C37+'Fórmula'!E37+'Fórmula'!G37+'Fórmula'!I37+'Fórmula'!K37))*(INDEX(properties!A$1:CB$87,'Fórmula'!B37,6))+(('Fórmula'!E37)/('Fórmula'!C37+'Fórmula'!E37+'Fórmula'!G37+'Fórmula'!I37+'Fórmula'!K37))*(INDEX(properties!A$1:CB$87,'Fórmula'!D37,6))+(('Fórmula'!G37)/('Fórmula'!C37+'Fórmula'!E37+'Fórmula'!G37+'Fórmula'!I37+'Fórmula'!K37))*(INDEX(properties!A$1:CB$87,'Fórmula'!F37,6))+(('Fórmula'!I37)/('Fórmula'!C37+'Fórmula'!E37+'Fórmula'!G37+'Fórmula'!I37+'Fórmula'!K37))*(INDEX(properties!A$1:CB$87,'Fórmula'!H37,6))+(('Fórmula'!K37)/('Fórmula'!C37+'Fórmula'!E37+'Fórmula'!G37+'Fórmula'!I37+'Fórmula'!K37))*(INDEX(properties!A$1:CB$87,'Fórmula'!J37,6))</f>
        <v>12.61538462</v>
      </c>
      <c r="U37" s="104">
        <f t="array" ref="U37">'Fórmula'!C37*(INDEX(properties!A$1:CB$87,'Fórmula'!B37,6))+'Fórmula'!E37*(INDEX(properties!A$1:CB$87,'Fórmula'!D37,6))+'Fórmula'!G37*(INDEX(properties!A$1:CB$87,'Fórmula'!F37,6))+'Fórmula'!I37*(INDEX(properties!A$1:CB$87,'Fórmula'!H37,6))+'Fórmula'!K37*(INDEX(properties!A$1:CB$87,'Fórmula'!J37,6))</f>
        <v>164</v>
      </c>
      <c r="V37" s="103">
        <f t="array" ref="V37">VARP(IF(INDEX(properties!A$1:CB$87,'Fórmula'!B37,6)&lt;&gt;"",INDEX(properties!A$1:CB$87,'Fórmula'!B37,6)),IF(INDEX(properties!A$1:CB$87,'Fórmula'!D37,6)&lt;&gt;"",INDEX(properties!A$1:CB$87,'Fórmula'!D37,6)),IF(INDEX(properties!A$1:CB$87,'Fórmula'!F37,6)&lt;&gt;"",INDEX(properties!A$1:CB$87,'Fórmula'!F37,6)),IF(INDEX(properties!A$1:CB$87,'Fórmula'!H37,6)&lt;&gt;"",INDEX(properties!A$1:CB$87,'Fórmula'!H37,6)),IF(INDEX(properties!A$1:CB$87,'Fórmula'!J37,6)&lt;&gt;"",INDEX(properties!A$1:CB$87,'Fórmula'!J37,6)))</f>
        <v>44.24</v>
      </c>
      <c r="W37" s="104">
        <f t="array" ref="W37">MAX(INDEX(properties!A$1:CB$87,'Fórmula'!B37,6),INDEX(properties!A$1:CB$87,'Fórmula'!D37,6),INDEX(properties!A$1:CB$87,'Fórmula'!F37,6),INDEX(properties!A$1:CB$87,'Fórmula'!H37,4),INDEX(properties!A$1:CB$87,'Fórmula'!J37,6))</f>
        <v>16</v>
      </c>
      <c r="X37" s="104">
        <f t="array" ref="X37">MIN(IF(INDEX(properties!A$1:CB$87,'Fórmula'!B37,6)=0,10^6,INDEX(properties!A$1:CB$87,'Fórmula'!B37,6)),IF(INDEX(properties!A$1:CB$87,'Fórmula'!D37,6)=0,10^6,INDEX(properties!A$1:CB$87,'Fórmula'!D37,6)),IF(INDEX(properties!A$1:CB$87,'Fórmula'!F37,6)=0,10^6,INDEX(properties!A$1:CB$87,'Fórmula'!F37,6)),IF(INDEX(properties!A$1:CB$87,'Fórmula'!H37,6)=0,10^6,INDEX(properties!A$1:CB$87,'Fórmula'!H37,6)),IF(INDEX(properties!A$1:CB$87,'Fórmula'!J37,6)=0,10^6,INDEX(properties!A$1:CB$87,'Fórmula'!J37,6)))</f>
        <v>1</v>
      </c>
      <c r="Y37" s="104">
        <f t="shared" si="4"/>
        <v>15</v>
      </c>
      <c r="Z37" s="105">
        <f t="array" ref="Z37">(('Fórmula'!C37)/('Fórmula'!C37+'Fórmula'!E37+'Fórmula'!G37+'Fórmula'!I37+'Fórmula'!K37))*(INDEX(properties!A$1:CB$87,'Fórmula'!B37,9))+(('Fórmula'!E37)/('Fórmula'!C37+'Fórmula'!E37+'Fórmula'!G37+'Fórmula'!I37+'Fórmula'!K37))*(INDEX(properties!A$1:CB$87,'Fórmula'!D37,9))+(('Fórmula'!G37)/('Fórmula'!C37+'Fórmula'!E37+'Fórmula'!G37+'Fórmula'!I37+'Fórmula'!K37))*(INDEX(properties!A$1:CB$87,'Fórmula'!F37,9))+(('Fórmula'!I37)/('Fórmula'!C37+'Fórmula'!E37+'Fórmula'!G37+'Fórmula'!I37+'Fórmula'!K37))*(INDEX(properties!A$1:CB$87,'Fórmula'!H37,9))+(('Fórmula'!K37)/('Fórmula'!C37+'Fórmula'!E37+'Fórmula'!G37+'Fórmula'!I37+'Fórmula'!K37))*(INDEX(properties!A$1:CB$87,'Fórmula'!J37,9))</f>
        <v>70.30769231</v>
      </c>
      <c r="AA37" s="105">
        <f t="array" ref="AA37">'Fórmula'!C37*(INDEX(properties!A$1:CB$87,'Fórmula'!B37,9))+'Fórmula'!E37*(INDEX(properties!A$1:CB$87,'Fórmula'!D37,9))+'Fórmula'!G37*(INDEX(properties!A$1:CB$87,'Fórmula'!F37,9))+'Fórmula'!I37*(INDEX(properties!A$1:CB$87,'Fórmula'!H37,9))+'Fórmula'!K37*(INDEX(properties!A$1:CB$87,'Fórmula'!J37,9))</f>
        <v>914</v>
      </c>
      <c r="AB37" s="105">
        <f t="array" ref="AB37">VARP(IF(INDEX(properties!A$1:CB$87,'Fórmula'!B37,9)&lt;&gt;"",INDEX(properties!A$1:CB$87,'Fórmula'!B37,9)),IF(INDEX(properties!A$1:CB$87,'Fórmula'!D37,9)&lt;&gt;"",INDEX(properties!A$1:CB$87,'Fórmula'!D37,9)),IF(INDEX(properties!A$1:CB$87,'Fórmula'!F37,9)&lt;&gt;"",INDEX(properties!A$1:CB$87,'Fórmula'!F37,9)),IF(INDEX(properties!A$1:CB$87,'Fórmula'!H37,9)&lt;&gt;"",INDEX(properties!A$1:CB$87,'Fórmula'!H37,9)),IF(INDEX(properties!A$1:CB$87,'Fórmula'!J37,9)&lt;&gt;"",INDEX(properties!A$1:CB$87,'Fórmula'!J37,9)))</f>
        <v>1271.04</v>
      </c>
      <c r="AC37" s="105">
        <f t="array" ref="AC37">MAX(INDEX(properties!A$1:CB$87,'Fórmula'!B37,9),INDEX(properties!A$1:CB$87,'Fórmula'!D37,9),INDEX(properties!A$1:CB$87,'Fórmula'!F37,9),INDEX(properties!A$1:CB$87,'Fórmula'!H37,9),INDEX(properties!A$1:CB$87,'Fórmula'!J37,9))</f>
        <v>87</v>
      </c>
      <c r="AD37" s="105">
        <f t="array" ref="AD37">MIN(IF(INDEX(properties!A$1:CB$87,'Fórmula'!B37,9)=0,10^6,INDEX(properties!A$1:CB$87,'Fórmula'!B37,9)),IF(INDEX(properties!A$1:CB$87,'Fórmula'!D37,9)=0,10^6,INDEX(properties!A$1:CB$87,'Fórmula'!D37,9)),IF(INDEX(properties!A$1:CB$87,'Fórmula'!F37,9)=0,10^6,INDEX(properties!A$1:CB$87,'Fórmula'!F37,9)),IF(INDEX(properties!A$1:CB$87,'Fórmula'!H37,9)=0,10^6,INDEX(properties!A$1:CB$87,'Fórmula'!H37,9)),IF(INDEX(properties!A$1:CB$87,'Fórmula'!J37,9)=0,10^6,INDEX(properties!A$1:CB$87,'Fórmula'!J37,9)))</f>
        <v>3</v>
      </c>
      <c r="AE37" s="105">
        <f t="shared" si="5"/>
        <v>84</v>
      </c>
      <c r="AF37" s="106">
        <f t="array" ref="AF37">(('Fórmula'!C37)/('Fórmula'!C37+'Fórmula'!E37+'Fórmula'!G37+'Fórmula'!I37+'Fórmula'!K37))*(INDEX(properties!A$1:CB$87,'Fórmula'!B37,10))+(('Fórmula'!E37)/('Fórmula'!C37+'Fórmula'!E37+'Fórmula'!G37+'Fórmula'!I37+'Fórmula'!K37))*(INDEX(properties!A$1:CB$87,'Fórmula'!D37,10))+(('Fórmula'!G37)/('Fórmula'!C37+'Fórmula'!E37+'Fórmula'!G37+'Fórmula'!I37+'Fórmula'!K37))*(INDEX(properties!A$1:CB$87,'Fórmula'!F37,10))+(('Fórmula'!I37)/('Fórmula'!C37+'Fórmula'!E37+'Fórmula'!G37+'Fórmula'!I37+'Fórmula'!K37))*(INDEX(properties!A$1:CB$87,'Fórmula'!H37,10))+(('Fórmula'!K37)/('Fórmula'!C37+'Fórmula'!E37+'Fórmula'!G37+'Fórmula'!I37+'Fórmula'!K37))*(INDEX(properties!A$1:CB$87,'Fórmula'!J37,10))</f>
        <v>5.846153846</v>
      </c>
      <c r="AG37" s="106">
        <f t="array" ref="AG37">'Fórmula'!C37*(INDEX(properties!A$1:CB$87,'Fórmula'!B37,10))+'Fórmula'!E37*(INDEX(properties!A$1:CB$87,'Fórmula'!D37,10))+'Fórmula'!G37*(INDEX(properties!A$1:CB$87,'Fórmula'!F37,10))+'Fórmula'!I37*(INDEX(properties!A$1:CB$87,'Fórmula'!H37,10))+'Fórmula'!K37*(INDEX(properties!A$1:CB$87,'Fórmula'!J37,10))</f>
        <v>76</v>
      </c>
      <c r="AH37" s="106">
        <f t="array" ref="AH37">VARP(IF(INDEX(properties!A$1:CB$87,'Fórmula'!B37,10)&lt;&gt;"",INDEX(properties!A$1:CB$87,'Fórmula'!B37,10)),IF(INDEX(properties!A$1:CB$87,'Fórmula'!D37,10)&lt;&gt;"",INDEX(properties!A$1:CB$87,'Fórmula'!D37,10)),IF(INDEX(properties!A$1:CB$87,'Fórmula'!F37,10)&lt;&gt;"",INDEX(properties!A$1:CB$87,'Fórmula'!F37,10)),IF(INDEX(properties!A$1:CB$87,'Fórmula'!H37,10)&lt;&gt;"",INDEX(properties!A$1:CB$87,'Fórmula'!H37,10)),IF(INDEX(properties!A$1:CB$87,'Fórmula'!J37,10)&lt;&gt;"",INDEX(properties!A$1:CB$87,'Fórmula'!J37,10)))</f>
        <v>6.4</v>
      </c>
      <c r="AI37" s="106">
        <f t="array" ref="AI37">MAX(INDEX(properties!A$1:CB$87,'Fórmula'!B37,10),INDEX(properties!A$1:CB$87,'Fórmula'!D37,10),INDEX(properties!A$1:CB$87,'Fórmula'!F37,10),INDEX(properties!A$1:CB$87,'Fórmula'!H37,10),INDEX(properties!A$1:CB$87,'Fórmula'!J37,10))</f>
        <v>7</v>
      </c>
      <c r="AJ37" s="106">
        <f t="array" ref="AJ37">MIN(IF(INDEX(properties!A$1:CB$87,'Fórmula'!B37,10)=0,10^6,INDEX(properties!A$1:CB$87,'Fórmula'!B37,10)),IF(INDEX(properties!A$1:CB$87,'Fórmula'!D37,10)=0,10^6,INDEX(properties!A$1:CB$87,'Fórmula'!D37,10)),IF(INDEX(properties!A$1:CB$87,'Fórmula'!F37,10)=0,10^6,INDEX(properties!A$1:CB$87,'Fórmula'!F37,10)),IF(INDEX(properties!A$1:CB$87,'Fórmula'!H37,10)=0,10^6,INDEX(properties!A$1:CB$87,'Fórmula'!H37,10)),IF(INDEX(properties!A$1:CB$87,'Fórmula'!J37,10)=0,10^6,INDEX(properties!A$1:CB$87,'Fórmula'!J37,10)))</f>
        <v>1</v>
      </c>
      <c r="AK37" s="106">
        <f t="shared" si="6"/>
        <v>6</v>
      </c>
      <c r="AL37" s="107">
        <f t="array" ref="AL37">(('Fórmula'!C37)/('Fórmula'!C37+'Fórmula'!E37+'Fórmula'!G37+'Fórmula'!I37+'Fórmula'!K37))*(INDEX(properties!A$1:CB$87,'Fórmula'!B37,11))+(('Fórmula'!E37)/('Fórmula'!C37+'Fórmula'!E37+'Fórmula'!G37+'Fórmula'!I37+'Fórmula'!K37))*(INDEX(properties!A$1:CB$87,'Fórmula'!D37,11))+(('Fórmula'!G37)/('Fórmula'!C37+'Fórmula'!E37+'Fórmula'!G37+'Fórmula'!I37+'Fórmula'!K37))*(INDEX(properties!A$1:CB$87,'Fórmula'!F37,11))+(('Fórmula'!I37)/('Fórmula'!C37+'Fórmula'!E37+'Fórmula'!G37+'Fórmula'!I37+'Fórmula'!K37))*(INDEX(properties!A$1:CB$87,'Fórmula'!H37,11))+(('Fórmula'!K37)/('Fórmula'!C37+'Fórmula'!E37+'Fórmula'!G37+'Fórmula'!I37+'Fórmula'!K37))*(INDEX(properties!A$1:CB$87,'Fórmula'!J37,11))</f>
        <v>1.923076923</v>
      </c>
      <c r="AM37" s="107">
        <f t="array" ref="AM37">'Fórmula'!C37*(INDEX(properties!A$1:CB$87,'Fórmula'!B37,11))+'Fórmula'!E37*(INDEX(properties!A$1:CB$87,'Fórmula'!D37,11))+'Fórmula'!G37*(INDEX(properties!A$1:CB$87,'Fórmula'!F37,11))+'Fórmula'!I37*(INDEX(properties!A$1:CB$87,'Fórmula'!H37,11))+'Fórmula'!K37*(INDEX(properties!A$1:CB$87,'Fórmula'!J37,11))</f>
        <v>25</v>
      </c>
      <c r="AN37" s="107">
        <f t="array" ref="AN37">VARP(IF(INDEX(properties!A$1:CB$87,'Fórmula'!B37,11)&lt;&gt;"",INDEX(properties!A$1:CB$87,'Fórmula'!B37,11)),IF(INDEX(properties!A$1:CB$87,'Fórmula'!D37,11)&lt;&gt;"",INDEX(properties!A$1:CB$87,'Fórmula'!D37,11)),IF(INDEX(properties!A$1:CB$87,'Fórmula'!F37,11)&lt;&gt;"",INDEX(properties!A$1:CB$87,'Fórmula'!F37,11)),IF(INDEX(properties!A$1:CB$87,'Fórmula'!H37,11)&lt;&gt;"",INDEX(properties!A$1:CB$87,'Fórmula'!H37,11)),IF(INDEX(properties!A$1:CB$87,'Fórmula'!J37,11)&lt;&gt;"",INDEX(properties!A$1:CB$87,'Fórmula'!J37,11)))</f>
        <v>0.16</v>
      </c>
      <c r="AO37" s="107">
        <f t="array" ref="AO37">MAX(INDEX(properties!A$1:CB$87,'Fórmula'!B37,11),INDEX(properties!A$1:CB$87,'Fórmula'!D37,11),INDEX(properties!A$1:CB$87,'Fórmula'!F37,11),INDEX(properties!A$1:CB$87,'Fórmula'!H37,11),INDEX(properties!A$1:CB$87,'Fórmula'!J37,11))</f>
        <v>2</v>
      </c>
      <c r="AP37" s="107">
        <f t="array" ref="AP37">MIN(IF('Fórmula'!B37=87,10^6,INDEX(properties!A$1:CB$87,'Fórmula'!B37,11)),IF(('Fórmula'!D37)=87,10^6,INDEX(properties!A$1:CB$87,'Fórmula'!D37,11)),IF(('Fórmula'!F37)=87,10^6,INDEX(properties!A$1:CB$87,'Fórmula'!F37,11)),IF(('Fórmula'!H37)=87,10^6,INDEX(properties!A$1:CB$87,'Fórmula'!H37,11)),IF('Fórmula'!J37=87,10^6,INDEX(properties!A$1:CB$87,'Fórmula'!J37,11)))</f>
        <v>1</v>
      </c>
      <c r="AQ37" s="107">
        <f t="shared" si="7"/>
        <v>1</v>
      </c>
      <c r="AR37" s="108">
        <f t="array" ref="AR37">(('Fórmula'!C37)/('Fórmula'!C37+'Fórmula'!E37+'Fórmula'!G37+'Fórmula'!I37+'Fórmula'!K37))*(INDEX(properties!A$1:CB$87,'Fórmula'!B37,12))+(('Fórmula'!E37)/('Fórmula'!C37+'Fórmula'!E37+'Fórmula'!G37+'Fórmula'!I37+'Fórmula'!K37))*(INDEX(properties!A$1:CB$87,'Fórmula'!D37,12))+(('Fórmula'!G37)/('Fórmula'!C37+'Fórmula'!E37+'Fórmula'!G37+'Fórmula'!I37+'Fórmula'!K37))*(INDEX(properties!A$1:CB$87,'Fórmula'!F37,12))+(('Fórmula'!I37)/('Fórmula'!C37+'Fórmula'!E37+'Fórmula'!G37+'Fórmula'!I37+'Fórmula'!K37))*(INDEX(properties!A$1:CB$87,'Fórmula'!H37,12))+(('Fórmula'!K37)/('Fórmula'!C37+'Fórmula'!E37+'Fórmula'!G37+'Fórmula'!I37+'Fórmula'!K37))*(INDEX(properties!A$1:CB$87,'Fórmula'!J37,12))</f>
        <v>2.923076923</v>
      </c>
      <c r="AS37" s="108">
        <f t="array" ref="AS37">'Fórmula'!C37*(INDEX(properties!A$1:CB$87,'Fórmula'!B37,12))+'Fórmula'!E37*(INDEX(properties!A$1:CB$87,'Fórmula'!D37,12))+'Fórmula'!G37*(INDEX(properties!A$1:CB$87,'Fórmula'!F37,12))+'Fórmula'!I37*(INDEX(properties!A$1:CB$87,'Fórmula'!H37,12))+'Fórmula'!K37*(INDEX(properties!A$1:CB$87,'Fórmula'!J37,12))</f>
        <v>38</v>
      </c>
      <c r="AT37" s="108">
        <f t="array" ref="AT37">VARP(IF(INDEX(properties!A$1:CB$87,'Fórmula'!B37,12)&lt;&gt;"",INDEX(properties!A$1:CB$87,'Fórmula'!B37,12)),IF(INDEX(properties!A$1:CB$87,'Fórmula'!D37,12)&lt;&gt;"",INDEX(properties!A$1:CB$87,'Fórmula'!D37,12)),IF(INDEX(properties!A$1:CB$87,'Fórmula'!F37,12)&lt;&gt;"",INDEX(properties!A$1:CB$87,'Fórmula'!F37,12)),IF(INDEX(properties!A$1:CB$87,'Fórmula'!H37,12)&lt;&gt;"",INDEX(properties!A$1:CB$87,'Fórmula'!H37,12)),IF(INDEX(properties!A$1:CB$87,'Fórmula'!J37,12)&lt;&gt;"",INDEX(properties!A$1:CB$87,'Fórmula'!J37,12)))</f>
        <v>3.04</v>
      </c>
      <c r="AU37" s="108">
        <f t="array" ref="AU37">MAX(INDEX(properties!A$1:CB$87,'Fórmula'!B37,12),INDEX(properties!A$1:CB$87,'Fórmula'!D37,12),INDEX(properties!A$1:CB$87,'Fórmula'!F37,12),INDEX(properties!A$1:CB$87,'Fórmula'!H37,12),INDEX(properties!A$1:CB$87,'Fórmula'!J37,12))</f>
        <v>4</v>
      </c>
      <c r="AV37" s="108">
        <f t="array" ref="AV37">MIN(IF('Fórmula'!B37=87,10^6,INDEX(properties!A$1:CB$87,'Fórmula'!B37,12)),IF(('Fórmula'!D37)=87,10^6,INDEX(properties!A$1:CB$87,'Fórmula'!D37,12)),IF(('Fórmula'!F37)=87,10^6,INDEX(properties!A$1:CB$87,'Fórmula'!F37,12)),IF(('Fórmula'!H37)=87,10^6,INDEX(properties!A$1:CB$87,'Fórmula'!H37,12)),IF('Fórmula'!J37=87,10^6,INDEX(properties!A$1:CB$87,'Fórmula'!J37,12)))</f>
        <v>0</v>
      </c>
      <c r="AW37" s="108">
        <f t="shared" si="8"/>
        <v>4</v>
      </c>
      <c r="AX37" s="109">
        <f t="array" ref="AX37">(('Fórmula'!C37)/('Fórmula'!C37+'Fórmula'!E37+'Fórmula'!G37+'Fórmula'!I37+'Fórmula'!K37))*(INDEX(properties!A$1:CB$87,'Fórmula'!B37,13))+(('Fórmula'!E37)/('Fórmula'!C37+'Fórmula'!E37+'Fórmula'!G37+'Fórmula'!I37+'Fórmula'!K37))*(INDEX(properties!A$1:CB$87,'Fórmula'!D37,13))+(('Fórmula'!G37)/('Fórmula'!C37+'Fórmula'!E37+'Fórmula'!G37+'Fórmula'!I37+'Fórmula'!K37))*(INDEX(properties!A$1:CB$87,'Fórmula'!F37,13))+(('Fórmula'!I37)/('Fórmula'!C37+'Fórmula'!E37+'Fórmula'!G37+'Fórmula'!I37+'Fórmula'!K37))*(INDEX(properties!A$1:CB$87,'Fórmula'!H37,13))+(('Fórmula'!K37)/('Fórmula'!C37+'Fórmula'!E37+'Fórmula'!G37+'Fórmula'!I37+'Fórmula'!K37))*(INDEX(properties!A$1:CB$87,'Fórmula'!J37,13))</f>
        <v>0.07692307692</v>
      </c>
      <c r="AY37" s="109">
        <f t="array" ref="AY37">'Fórmula'!C37*(INDEX(properties!A$1:CB$87,'Fórmula'!B37,13))+'Fórmula'!E37*(INDEX(properties!A$1:CB$87,'Fórmula'!D37,13))+'Fórmula'!G37*(INDEX(properties!A$1:CB$87,'Fórmula'!F37,13))+'Fórmula'!I37*(INDEX(properties!A$1:CB$87,'Fórmula'!H37,13))+'Fórmula'!K37*(INDEX(properties!A$1:CB$87,'Fórmula'!J37,13))</f>
        <v>1</v>
      </c>
      <c r="AZ37" s="109">
        <f t="array" ref="AZ37">VARP(IF(INDEX(properties!A$1:CB$87,'Fórmula'!B37,13)&lt;&gt;"",INDEX(properties!A$1:CB$87,'Fórmula'!B37,13)),IF(INDEX(properties!A$1:CB$87,'Fórmula'!D37,13)&lt;&gt;"",INDEX(properties!A$1:CB$87,'Fórmula'!D37,13)),IF(INDEX(properties!A$1:CB$87,'Fórmula'!F37,13)&lt;&gt;"",INDEX(properties!A$1:CB$87,'Fórmula'!F37,13)),IF(INDEX(properties!A$1:CB$87,'Fórmula'!H37,13)&lt;&gt;"",INDEX(properties!A$1:CB$87,'Fórmula'!H37,13)),IF(INDEX(properties!A$1:CB$87,'Fórmula'!J37,13)&lt;&gt;"",INDEX(properties!A$1:CB$87,'Fórmula'!J37,13)))</f>
        <v>0.16</v>
      </c>
      <c r="BA37" s="109">
        <f t="array" ref="BA37">MAX(INDEX(properties!A$1:CB$87,'Fórmula'!B37,13),INDEX(properties!A$1:CB$87,'Fórmula'!D37,13),INDEX(properties!A$1:CB$87,'Fórmula'!F37,13),INDEX(properties!A$1:CB$87,'Fórmula'!H37,13),INDEX(properties!A$1:CB$87,'Fórmula'!J37,13))</f>
        <v>1</v>
      </c>
      <c r="BB37" s="109">
        <f t="array" ref="BB37">MIN(IF('Fórmula'!B37=87,10^6,INDEX(properties!A$1:CB$87,'Fórmula'!B37,13)),IF(('Fórmula'!D37)=87,10^6,INDEX(properties!A$1:CB$87,'Fórmula'!D37,13)),IF(('Fórmula'!F37)=87,10^6,INDEX(properties!A$1:CB$87,'Fórmula'!F37,13)),IF(('Fórmula'!H37)=87,10^6,INDEX(properties!A$1:CB$87,'Fórmula'!H37,13)),IF('Fórmula'!J37=87,10^6,INDEX(properties!A$1:CB$87,'Fórmula'!J37,13)))</f>
        <v>0</v>
      </c>
      <c r="BC37" s="109">
        <f t="shared" si="9"/>
        <v>1</v>
      </c>
      <c r="BD37" s="110">
        <f t="array" ref="BD37">(('Fórmula'!C37)/('Fórmula'!C37+'Fórmula'!E37+'Fórmula'!G37+'Fórmula'!I37+'Fórmula'!K37))*(INDEX(properties!A$1:CB$87,'Fórmula'!B37,14))+(('Fórmula'!E37)/('Fórmula'!C37+'Fórmula'!E37+'Fórmula'!G37+'Fórmula'!I37+'Fórmula'!K37))*(INDEX(properties!A$1:CB$87,'Fórmula'!D37,14))+(('Fórmula'!G37)/('Fórmula'!C37+'Fórmula'!E37+'Fórmula'!G37+'Fórmula'!I37+'Fórmula'!K37))*(INDEX(properties!A$1:CB$87,'Fórmula'!F37,14))+(('Fórmula'!I37)/('Fórmula'!C37+'Fórmula'!E37+'Fórmula'!G37+'Fórmula'!I37+'Fórmula'!K37))*(INDEX(properties!A$1:CB$87,'Fórmula'!H37,14))+(('Fórmula'!K37)/('Fórmula'!C37+'Fórmula'!E37+'Fórmula'!G37+'Fórmula'!I37+'Fórmula'!K37))*(INDEX(properties!A$1:CB$87,'Fórmula'!J37,14))</f>
        <v>1.076923077</v>
      </c>
      <c r="BE37" s="110">
        <f t="array" ref="BE37">'Fórmula'!C37*(INDEX(properties!A$1:CB$87,'Fórmula'!B37,14))+'Fórmula'!E37*(INDEX(properties!A$1:CB$87,'Fórmula'!D37,14))+'Fórmula'!G37*(INDEX(properties!A$1:CB$87,'Fórmula'!F37,14))+'Fórmula'!I37*(INDEX(properties!A$1:CB$87,'Fórmula'!H37,14))+'Fórmula'!K37*(INDEX(properties!A$1:CB$87,'Fórmula'!J37,14))</f>
        <v>14</v>
      </c>
      <c r="BF37" s="110">
        <f t="array" ref="BF37">VARP(IF(INDEX(properties!A$1:CB$87,'Fórmula'!B37,14)&lt;&gt;"",INDEX(properties!A$1:CB$87,'Fórmula'!B37,14)),IF(INDEX(properties!A$1:CB$87,'Fórmula'!D37,14)&lt;&gt;"",INDEX(properties!A$1:CB$87,'Fórmula'!D37,14)),IF(INDEX(properties!A$1:CB$87,'Fórmula'!F37,14)&lt;&gt;"",INDEX(properties!A$1:CB$87,'Fórmula'!F37,14)),IF(INDEX(properties!A$1:CB$87,'Fórmula'!H37,14)&lt;&gt;"",INDEX(properties!A$1:CB$87,'Fórmula'!H37,14)),IF(INDEX(properties!A$1:CB$87,'Fórmula'!J37,14)&lt;&gt;"",INDEX(properties!A$1:CB$87,'Fórmula'!J37,14)))</f>
        <v>31.36</v>
      </c>
      <c r="BG37" s="110">
        <f t="array" ref="BG37">MAX(INDEX(properties!A$1:CB$87,'Fórmula'!B37,14),INDEX(properties!A$1:CB$87,'Fórmula'!D37,14),INDEX(properties!A$1:CB$87,'Fórmula'!F37,14),INDEX(properties!A$1:CB$87,'Fórmula'!H37,14),INDEX(properties!A$1:CB$87,'Fórmula'!J37,14))</f>
        <v>14</v>
      </c>
      <c r="BH37" s="110">
        <f t="array" ref="BH37">MIN(IF('Fórmula'!B37=87,10^6,INDEX(properties!A$1:CB$87,'Fórmula'!B37,14)),IF(('Fórmula'!D37)=87,10^6,INDEX(properties!A$1:CB$87,'Fórmula'!D37,14)),IF(('Fórmula'!F37)=87,10^6,INDEX(properties!A$1:CB$87,'Fórmula'!F37,14)),IF(('Fórmula'!H37)=87,10^6,INDEX(properties!A$1:CB$87,'Fórmula'!H37,14)),IF('Fórmula'!J37=87,10^6,INDEX(properties!A$1:CB$87,'Fórmula'!J37,14)))</f>
        <v>0</v>
      </c>
      <c r="BI37" s="110">
        <f t="shared" si="10"/>
        <v>14</v>
      </c>
      <c r="BJ37" s="111">
        <f t="array" ref="BJ37">(('Fórmula'!C37)/('Fórmula'!C37+'Fórmula'!E37+'Fórmula'!G37+'Fórmula'!I37+'Fórmula'!K37))*(INDEX(properties!A$1:CB$87,'Fórmula'!B37,19))+(('Fórmula'!E37)/('Fórmula'!C37+'Fórmula'!E37+'Fórmula'!G37+'Fórmula'!I37+'Fórmula'!K37))*(INDEX(properties!A$1:CB$87,'Fórmula'!D37,19))+(('Fórmula'!G37)/('Fórmula'!C37+'Fórmula'!E37+'Fórmula'!G37+'Fórmula'!I37+'Fórmula'!K37))*(INDEX(properties!A$1:CB$87,'Fórmula'!F37,19))+(('Fórmula'!I37)/('Fórmula'!C37+'Fórmula'!E37+'Fórmula'!G37+'Fórmula'!I37+'Fórmula'!K37))*(INDEX(properties!A$1:CB$87,'Fórmula'!H37,19))+(('Fórmula'!K37)/('Fórmula'!C37+'Fórmula'!E37+'Fórmula'!G37+'Fórmula'!I37+'Fórmula'!K37))*(INDEX(properties!A$1:CB$87,'Fórmula'!J37,19))</f>
        <v>6</v>
      </c>
      <c r="BK37" s="111">
        <f t="array" ref="BK37">'Fórmula'!C37*(INDEX(properties!A$1:CB$87,'Fórmula'!B37,19))+'Fórmula'!E37*(INDEX(properties!A$1:CB$87,'Fórmula'!D37,19))+'Fórmula'!G37*(INDEX(properties!A$1:CB$87,'Fórmula'!F37,19))+'Fórmula'!I37*(INDEX(properties!A$1:CB$87,'Fórmula'!H37,19))+'Fórmula'!K37*(INDEX(properties!A$1:CB$87,'Fórmula'!J37,19))</f>
        <v>78</v>
      </c>
      <c r="BL37" s="111">
        <f t="array" ref="BL37">VARP(IF(INDEX(properties!A$1:CB$87,'Fórmula'!B37,19)&lt;&gt;"",INDEX(properties!A$1:CB$87,'Fórmula'!B37,19)),IF(INDEX(properties!A$1:CB$87,'Fórmula'!D37,19)&lt;&gt;"",INDEX(properties!A$1:CB$87,'Fórmula'!D37,19)),IF(INDEX(properties!A$1:CB$87,'Fórmula'!F37,19)&lt;&gt;"",INDEX(properties!A$1:CB$87,'Fórmula'!F37,19)),IF(INDEX(properties!A$1:CB$87,'Fórmula'!H37,19)&lt;&gt;"",INDEX(properties!A$1:CB$87,'Fórmula'!H37,19)),IF(INDEX(properties!A$1:CB$87,'Fórmula'!J37,19)&lt;&gt;"",INDEX(properties!A$1:CB$87,'Fórmula'!J37,19)))</f>
        <v>32.56</v>
      </c>
      <c r="BM37" s="111">
        <f t="array" ref="BM37">MAX(INDEX(properties!A$1:CB$87,'Fórmula'!B37,19),INDEX(properties!A$1:CB$87,'Fórmula'!D37,19),INDEX(properties!A$1:CB$87,'Fórmula'!F37,19),INDEX(properties!A$1:CB$87,'Fórmula'!H37,19),INDEX(properties!A$1:CB$87,'Fórmula'!J37,19))</f>
        <v>17</v>
      </c>
      <c r="BN37" s="111">
        <f t="array" ref="BN37">MIN(IF(INDEX(properties!A$1:CB$87,'Fórmula'!B37,19)=0,10^6,INDEX(properties!A$1:CB$87,'Fórmula'!B37,19)),IF(INDEX(properties!A$1:CB$87,'Fórmula'!D37,19)=0,10^6,INDEX(properties!A$1:CB$87,'Fórmula'!D37,19)),IF(INDEX(properties!A$1:CB$87,'Fórmula'!F37,19)=0,10^6,INDEX(properties!A$1:CB$87,'Fórmula'!F37,19)),IF(INDEX(properties!A$1:CB$87,'Fórmula'!H37,19)=0,10^6,INDEX(properties!A$1:CB$87,'Fórmula'!H37,19)),IF(INDEX(properties!A$1:CB$87,'Fórmula'!J37,19)=0,10^6,INDEX(properties!A$1:CB$87,'Fórmula'!J37,19)))</f>
        <v>1</v>
      </c>
      <c r="BO37" s="111">
        <f t="shared" si="11"/>
        <v>16</v>
      </c>
      <c r="BP37" s="112">
        <f t="array" ref="BP37">(('Fórmula'!C37)/('Fórmula'!C37+'Fórmula'!E37+'Fórmula'!G37+'Fórmula'!I37+'Fórmula'!K37))*(INDEX(properties!A$1:CB$87,'Fórmula'!B37,20))+(('Fórmula'!E37)/('Fórmula'!C37+'Fórmula'!E37+'Fórmula'!G37+'Fórmula'!I37+'Fórmula'!K37))*(INDEX(properties!A$1:CB$87,'Fórmula'!D37,20))+(('Fórmula'!G37)/('Fórmula'!C37+'Fórmula'!E37+'Fórmula'!G37+'Fórmula'!I37+'Fórmula'!K37))*(INDEX(properties!A$1:CB$87,'Fórmula'!F37,20))+(('Fórmula'!I37)/('Fórmula'!C37+'Fórmula'!E37+'Fórmula'!G37+'Fórmula'!I37+'Fórmula'!K37))*(INDEX(properties!A$1:CB$87,'Fórmula'!H37,20))+(('Fórmula'!K37)/('Fórmula'!C37+'Fórmula'!E37+'Fórmula'!G37+'Fórmula'!I37+'Fórmula'!K37))*(INDEX(properties!A$1:CB$87,'Fórmula'!J37,20))</f>
        <v>4.846153846</v>
      </c>
      <c r="BQ37" s="112">
        <f t="array" ref="BQ37">'Fórmula'!C37*(INDEX(properties!A$1:CB$87,'Fórmula'!B37,20))+'Fórmula'!E37*(INDEX(properties!A$1:CB$87,'Fórmula'!D37,20))+'Fórmula'!G37*(INDEX(properties!A$1:CB$87,'Fórmula'!F37,20))+'Fórmula'!I37*(INDEX(properties!A$1:CB$87,'Fórmula'!H37,20))+'Fórmula'!K37*(INDEX(properties!A$1:CB$87,'Fórmula'!J37,20))</f>
        <v>63</v>
      </c>
      <c r="BR37" s="112">
        <f t="array" ref="BR37">VARP(IF(INDEX(properties!A$1:CB$87,'Fórmula'!B37,20)&lt;&gt;"",INDEX(properties!A$1:CB$87,'Fórmula'!B37,20)),IF(INDEX(properties!A$1:CB$87,'Fórmula'!D37,20)&lt;&gt;"",INDEX(properties!A$1:CB$87,'Fórmula'!D37,20)),IF(INDEX(properties!A$1:CB$87,'Fórmula'!F37,20)&lt;&gt;"",INDEX(properties!A$1:CB$87,'Fórmula'!F37,20)),IF(INDEX(properties!A$1:CB$87,'Fórmula'!H37,20)&lt;&gt;"",INDEX(properties!A$1:CB$87,'Fórmula'!H37,20)),IF(INDEX(properties!A$1:CB$87,'Fórmula'!J37,20)&lt;&gt;"",INDEX(properties!A$1:CB$87,'Fórmula'!J37,20)))</f>
        <v>3.76</v>
      </c>
      <c r="BS37" s="112">
        <f t="array" ref="BS37">MAX(INDEX(properties!A$1:CB$87,'Fórmula'!B37,20),INDEX(properties!A$1:CB$87,'Fórmula'!D37,20),INDEX(properties!A$1:CB$87,'Fórmula'!F37,20),INDEX(properties!A$1:CB$87,'Fórmula'!H37,20),INDEX(properties!A$1:CB$87,'Fórmula'!J37,20))</f>
        <v>6</v>
      </c>
      <c r="BT37" s="112">
        <f t="array" ref="BT37">MIN(IF(INDEX(properties!A$1:CB$87,'Fórmula'!B37,20)=0,10^6,INDEX(properties!A$1:CB$87,'Fórmula'!B37,20)),IF(INDEX(properties!A$1:CB$87,'Fórmula'!D37,20)=0,10^6,INDEX(properties!A$1:CB$87,'Fórmula'!D37,20)),IF(INDEX(properties!A$1:CB$87,'Fórmula'!F37,20)=0,10^6,INDEX(properties!A$1:CB$87,'Fórmula'!F37,20)),IF(INDEX(properties!A$1:CB$87,'Fórmula'!H37,20)=0,10^6,INDEX(properties!A$1:CB$87,'Fórmula'!H37,20)),IF(INDEX(properties!A$1:CB$87,'Fórmula'!J37,20)=0,10^6,INDEX(properties!A$1:CB$87,'Fórmula'!J37,20)))</f>
        <v>1</v>
      </c>
      <c r="BU37" s="112">
        <f t="shared" si="12"/>
        <v>5</v>
      </c>
      <c r="BV37" s="113">
        <f t="array" ref="BV37">(('Fórmula'!C37)/('Fórmula'!C37+'Fórmula'!E37+'Fórmula'!G37+'Fórmula'!I37+'Fórmula'!K37))*(INDEX(properties!A$1:CB$87,'Fórmula'!B37,21))+(('Fórmula'!E37)/('Fórmula'!C37+'Fórmula'!E37+'Fórmula'!G37+'Fórmula'!I37+'Fórmula'!K37))*(INDEX(properties!A$1:CB$87,'Fórmula'!D37,21))+(('Fórmula'!G37)/('Fórmula'!C37+'Fórmula'!E37+'Fórmula'!G37+'Fórmula'!I37+'Fórmula'!K37))*(INDEX(properties!A$1:CB$87,'Fórmula'!F37,21))+(('Fórmula'!I37)/('Fórmula'!C37+'Fórmula'!E37+'Fórmula'!G37+'Fórmula'!I37+'Fórmula'!K37))*(INDEX(properties!A$1:CB$87,'Fórmula'!H37,21))+(('Fórmula'!K37)/('Fórmula'!C37+'Fórmula'!E37+'Fórmula'!G37+'Fórmula'!I37+'Fórmula'!K37))*(INDEX(properties!A$1:CB$87,'Fórmula'!J37,21))</f>
        <v>4.769230769</v>
      </c>
      <c r="BW37" s="113">
        <f t="array" ref="BW37">'Fórmula'!C37*(INDEX(properties!A$1:CB$87,'Fórmula'!B37,21))+'Fórmula'!E37*(INDEX(properties!A$1:CB$87,'Fórmula'!D37,21))+'Fórmula'!G37*(INDEX(properties!A$1:CB$87,'Fórmula'!F37,21))+'Fórmula'!I37*(INDEX(properties!A$1:CB$87,'Fórmula'!H37,21))+'Fórmula'!K37*(INDEX(properties!A$1:CB$87,'Fórmula'!J37,21))</f>
        <v>62</v>
      </c>
      <c r="BX37" s="113">
        <f t="array" ref="BX37">VARP(IF(INDEX(properties!A$1:CB$87,'Fórmula'!B37,21)&lt;&gt;"",INDEX(properties!A$1:CB$87,'Fórmula'!B37,21)),IF(INDEX(properties!A$1:CB$87,'Fórmula'!D37,21)&lt;&gt;"",INDEX(properties!A$1:CB$87,'Fórmula'!D37,21)),IF(INDEX(properties!A$1:CB$87,'Fórmula'!F37,21)&lt;&gt;"",INDEX(properties!A$1:CB$87,'Fórmula'!F37,21)),IF(INDEX(properties!A$1:CB$87,'Fórmula'!H37,21)&lt;&gt;"",INDEX(properties!A$1:CB$87,'Fórmula'!H37,21)),IF(INDEX(properties!A$1:CB$87,'Fórmula'!J37,21)&lt;&gt;"",INDEX(properties!A$1:CB$87,'Fórmula'!J37,21)))</f>
        <v>4.4</v>
      </c>
      <c r="BY37" s="113">
        <f t="array" ref="BY37">MAX(INDEX(properties!A$1:CB$87,'Fórmula'!B37,21),INDEX(properties!A$1:CB$87,'Fórmula'!D37,21),INDEX(properties!A$1:CB$87,'Fórmula'!F37,21),INDEX(properties!A$1:CB$87,'Fórmula'!H37,21),INDEX(properties!A$1:CB$87,'Fórmula'!J37,21))</f>
        <v>6</v>
      </c>
      <c r="BZ37" s="113">
        <f t="array" ref="BZ37">MIN(IF(INDEX(properties!A$1:CB$87,'Fórmula'!B37,21)=0,10^6,INDEX(properties!A$1:CB$87,'Fórmula'!B37,21)),IF(INDEX(properties!A$1:CB$87,'Fórmula'!D37,21)=0,10^6,INDEX(properties!A$1:CB$87,'Fórmula'!D37,21)),IF(INDEX(properties!A$1:CB$87,'Fórmula'!F37,21)=0,10^6,INDEX(properties!A$1:CB$87,'Fórmula'!F37,21)),IF(INDEX(properties!A$1:CB$87,'Fórmula'!H37,21)=0,10^6,INDEX(properties!A$1:CB$87,'Fórmula'!H37,21)),IF(INDEX(properties!A$1:CB$87,'Fórmula'!J37,21)=0,10^6,INDEX(properties!A$1:CB$87,'Fórmula'!J37,21)))</f>
        <v>1</v>
      </c>
      <c r="CA37" s="113">
        <f t="shared" si="13"/>
        <v>5</v>
      </c>
      <c r="CB37" s="114">
        <f t="array" ref="CB37">(('Fórmula'!C37)/('Fórmula'!C37+'Fórmula'!E37+'Fórmula'!G37+'Fórmula'!I37+'Fórmula'!K37))*(INDEX(properties!A$1:CB$87,'Fórmula'!B37,23))+(('Fórmula'!E37)/('Fórmula'!C37+'Fórmula'!E37+'Fórmula'!G37+'Fórmula'!I37+'Fórmula'!K37))*(INDEX(properties!A$1:CB$87,'Fórmula'!D37,23))+(('Fórmula'!G37)/('Fórmula'!C37+'Fórmula'!E37+'Fórmula'!G37+'Fórmula'!I37+'Fórmula'!K37))*(INDEX(properties!A$1:CB$87,'Fórmula'!F37,23))+(('Fórmula'!I37)/('Fórmula'!C37+'Fórmula'!E37+'Fórmula'!G37+'Fórmula'!I37+'Fórmula'!K37))*(INDEX(properties!A$1:CB$87,'Fórmula'!H37,23))+(('Fórmula'!K37)/('Fórmula'!C37+'Fórmula'!E37+'Fórmula'!G37+'Fórmula'!I37+'Fórmula'!K37))*(INDEX(properties!A$1:CB$87,'Fórmula'!J37,23))</f>
        <v>0.9230769231</v>
      </c>
      <c r="CC37" s="114">
        <f t="array" ref="CC37">'Fórmula'!C37*(INDEX(properties!A$1:CB$87,'Fórmula'!B37,23))+'Fórmula'!E37*(INDEX(properties!A$1:CB$87,'Fórmula'!D37,23))+'Fórmula'!G37*(INDEX(properties!A$1:CB$87,'Fórmula'!F37,23))+'Fórmula'!I37*(INDEX(properties!A$1:CB$87,'Fórmula'!H37,23))+'Fórmula'!K37*(INDEX(properties!A$1:CB$87,'Fórmula'!J37,23))</f>
        <v>12</v>
      </c>
      <c r="CD37" s="114">
        <f t="array" ref="CD37">VARP(IF(INDEX(properties!A$1:CB$87,'Fórmula'!B37,23)&lt;&gt;"",INDEX(properties!A$1:CB$87,'Fórmula'!B37,23)),IF(INDEX(properties!A$1:CB$87,'Fórmula'!D37,23)&lt;&gt;"",INDEX(properties!A$1:CB$87,'Fórmula'!D37,23)),IF(INDEX(properties!A$1:CB$87,'Fórmula'!F37,23)&lt;&gt;"",INDEX(properties!A$1:CB$87,'Fórmula'!F37,23)),IF(INDEX(properties!A$1:CB$87,'Fórmula'!H37,23)&lt;&gt;"",INDEX(properties!A$1:CB$87,'Fórmula'!H37,23)),IF(INDEX(properties!A$1:CB$87,'Fórmula'!J37,23)&lt;&gt;"",INDEX(properties!A$1:CB$87,'Fórmula'!J37,23)))</f>
        <v>1.36</v>
      </c>
      <c r="CE37" s="114">
        <f t="array" ref="CE37">MAX(INDEX(properties!A$1:CB$87,'Fórmula'!B37,23),INDEX(properties!A$1:CB$87,'Fórmula'!D37,23),INDEX(properties!A$1:CB$87,'Fórmula'!F37,23),INDEX(properties!A$1:CB$87,'Fórmula'!H37,23),INDEX(properties!A$1:CB$87,'Fórmula'!J37,23))</f>
        <v>3</v>
      </c>
      <c r="CF37" s="114">
        <f t="array" ref="CF37">MIN(IF('Fórmula'!B37=87,10^6,INDEX(properties!A$1:CB$87,'Fórmula'!B37,23)),IF(('Fórmula'!D37)=87,10^6,INDEX(properties!A$1:CB$87,'Fórmula'!D37,23)),IF(('Fórmula'!F37)=87,10^6,INDEX(properties!A$1:CB$87,'Fórmula'!F37,23)),IF(('Fórmula'!H37)=87,10^6,INDEX(properties!A$1:CB$87,'Fórmula'!H37,23)),IF('Fórmula'!J37=87,10^6,INDEX(properties!A$1:CB$87,'Fórmula'!J37,23)))</f>
        <v>0</v>
      </c>
      <c r="CG37" s="114">
        <f t="shared" si="14"/>
        <v>3</v>
      </c>
      <c r="CH37" s="115">
        <f t="array" ref="CH37">(('Fórmula'!C37)/('Fórmula'!C37+'Fórmula'!E37+'Fórmula'!G37+'Fórmula'!I37+'Fórmula'!K37))*(INDEX(properties!A$1:CB$87,'Fórmula'!B37,26))+(('Fórmula'!E37)/('Fórmula'!C37+'Fórmula'!E37+'Fórmula'!G37+'Fórmula'!I37+'Fórmula'!K37))*(INDEX(properties!A$1:CB$87,'Fórmula'!D37,26))+(('Fórmula'!G37)/('Fórmula'!C37+'Fórmula'!E37+'Fórmula'!G37+'Fórmula'!I37+'Fórmula'!K37))*(INDEX(properties!A$1:CB$87,'Fórmula'!F37,26))+(('Fórmula'!I37)/('Fórmula'!C37+'Fórmula'!E37+'Fórmula'!G37+'Fórmula'!I37+'Fórmula'!K37))*(INDEX(properties!A$1:CB$87,'Fórmula'!H37,26))+(('Fórmula'!K37)/('Fórmula'!C37+'Fórmula'!E37+'Fórmula'!G37+'Fórmula'!I37+'Fórmula'!K37))*(INDEX(properties!A$1:CB$87,'Fórmula'!J37,26))</f>
        <v>11.18305385</v>
      </c>
      <c r="CI37" s="115">
        <f t="array" ref="CI37">'Fórmula'!C37*(INDEX(properties!A$1:CB$87,'Fórmula'!B37,26))+'Fórmula'!E37*(INDEX(properties!A$1:CB$87,'Fórmula'!D37,26))+'Fórmula'!G37*(INDEX(properties!A$1:CB$87,'Fórmula'!F37,26))+'Fórmula'!I37*(INDEX(properties!A$1:CB$87,'Fórmula'!H37,26))+'Fórmula'!K37*(INDEX(properties!A$1:CB$87,'Fórmula'!J37,26))</f>
        <v>145.3797</v>
      </c>
      <c r="CJ37" s="115">
        <f t="array" ref="CJ37">VARP(IF(INDEX(properties!A$1:CB$87,'Fórmula'!B37,26)&lt;&gt;"",INDEX(properties!A$1:CB$87,'Fórmula'!B37,26)),IF(INDEX(properties!A$1:CB$87,'Fórmula'!D37,26)&lt;&gt;"",INDEX(properties!A$1:CB$87,'Fórmula'!D37,26)),IF(INDEX(properties!A$1:CB$87,'Fórmula'!F37,26)&lt;&gt;"",INDEX(properties!A$1:CB$87,'Fórmula'!F37,26)),IF(INDEX(properties!A$1:CB$87,'Fórmula'!H37,26)&lt;&gt;"",INDEX(properties!A$1:CB$87,'Fórmula'!H37,26)),IF(INDEX(properties!A$1:CB$87,'Fórmula'!J37,26)&lt;&gt;"",INDEX(properties!A$1:CB$87,'Fórmula'!J37,26)))</f>
        <v>12.60781173</v>
      </c>
      <c r="CK37" s="116">
        <f t="array" ref="CK37">MAX(INDEX(properties!A$1:CB$87,'Fórmula'!B37,26),INDEX(properties!A$1:CB$87,'Fórmula'!D37,26),INDEX(properties!A$1:CB$87,'Fórmula'!F37,26),INDEX(properties!A$1:CB$87,'Fórmula'!H37,26),INDEX(properties!A$1:CB$87,'Fórmula'!J37,26))</f>
        <v>13.6181</v>
      </c>
      <c r="CL37" s="116">
        <f t="array" ref="CL37">MIN(IF(INDEX(properties!A$1:CB$87,'Fórmula'!B37,26)=0,10^6,INDEX(properties!A$1:CB$87,'Fórmula'!B37,26)),IF(INDEX(properties!A$1:CB$87,'Fórmula'!D37,26)=0,10^6,INDEX(properties!A$1:CB$87,'Fórmula'!D37,26)),IF(INDEX(properties!A$1:CB$87,'Fórmula'!F37,26)=0,10^6,INDEX(properties!A$1:CB$87,'Fórmula'!F37,26)),IF(INDEX(properties!A$1:CB$87,'Fórmula'!H37,26)=0,10^6,INDEX(properties!A$1:CB$87,'Fórmula'!H37,26)),IF(INDEX(properties!A$1:CB$87,'Fórmula'!J37,26)=0,10^6,INDEX(properties!A$1:CB$87,'Fórmula'!J37,26)))</f>
        <v>4.3407</v>
      </c>
      <c r="CM37" s="115">
        <f t="shared" si="15"/>
        <v>9.2774</v>
      </c>
      <c r="CN37" s="117">
        <f t="array" ref="CN37">(('Fórmula'!C37)/('Fórmula'!C37+'Fórmula'!E37+'Fórmula'!G37+'Fórmula'!I37+'Fórmula'!K37))*(INDEX(properties!A$1:CB$87,'Fórmula'!B37,30))+(('Fórmula'!E37)/('Fórmula'!C37+'Fórmula'!E37+'Fórmula'!G37+'Fórmula'!I37+'Fórmula'!K37))*(INDEX(properties!A$1:CB$87,'Fórmula'!D37,30))+(('Fórmula'!G37)/('Fórmula'!C37+'Fórmula'!E37+'Fórmula'!G37+'Fórmula'!I37+'Fórmula'!K37))*(INDEX(properties!A$1:CB$87,'Fórmula'!F37,30))+(('Fórmula'!I37)/('Fórmula'!C37+'Fórmula'!E37+'Fórmula'!G37+'Fórmula'!I37+'Fórmula'!K37))*(INDEX(properties!A$1:CB$87,'Fórmula'!H37,30))+(('Fórmula'!K37)/('Fórmula'!C37+'Fórmula'!E37+'Fórmula'!G37+'Fórmula'!I37+'Fórmula'!K37))*(INDEX(properties!A$1:CB$87,'Fórmula'!J37,30))</f>
        <v>2.687692308</v>
      </c>
      <c r="CO37" s="117">
        <f t="array" ref="CO37">'Fórmula'!C37*(INDEX(properties!A$1:CB$87,'Fórmula'!B37,30))+'Fórmula'!E37*(INDEX(properties!A$1:CB$87,'Fórmula'!D37,30))+'Fórmula'!G37*(INDEX(properties!A$1:CB$87,'Fórmula'!F37,30))+'Fórmula'!I37*(INDEX(properties!A$1:CB$87,'Fórmula'!H37,30))+'Fórmula'!K37*(INDEX(properties!A$1:CB$87,'Fórmula'!J37,30))</f>
        <v>34.94</v>
      </c>
      <c r="CP37" s="117">
        <f t="array" ref="CP37">VARP(IF(INDEX(properties!A$1:CB$87,'Fórmula'!B37,30)&lt;&gt;"",INDEX(properties!A$1:CB$87,'Fórmula'!B37,30)),IF(INDEX(properties!A$1:CB$87,'Fórmula'!D37,30)&lt;&gt;"",INDEX(properties!A$1:CB$87,'Fórmula'!D37,30)),IF(INDEX(properties!A$1:CB$87,'Fórmula'!F37,30)&lt;&gt;"",INDEX(properties!A$1:CB$87,'Fórmula'!F37,30)),IF(INDEX(properties!A$1:CB$87,'Fórmula'!H37,30)&lt;&gt;"",INDEX(properties!A$1:CB$87,'Fórmula'!H37,30)),IF(INDEX(properties!A$1:CB$87,'Fórmula'!J37,30)&lt;&gt;"",INDEX(properties!A$1:CB$87,'Fórmula'!J37,30)))</f>
        <v>0.956744</v>
      </c>
      <c r="CQ37" s="117">
        <f t="array" ref="CQ37">MAX(INDEX(properties!A$1:CB$87,'Fórmula'!B37,30),INDEX(properties!A$1:CB$87,'Fórmula'!D37,30),INDEX(properties!A$1:CB$87,'Fórmula'!F37,30),INDEX(properties!A$1:CB$87,'Fórmula'!H37,30),INDEX(properties!A$1:CB$87,'Fórmula'!J37,30))</f>
        <v>3.44</v>
      </c>
      <c r="CR37" s="117">
        <f t="array" ref="CR37">MIN(IF(INDEX(properties!A$1:CB$87,'Fórmula'!B37,30)=0,10^6,INDEX(properties!A$1:CB$87,'Fórmula'!B37,30)),IF(INDEX(properties!A$1:CB$87,'Fórmula'!D37,30)=0,10^6,INDEX(properties!A$1:CB$87,'Fórmula'!D37,30)),IF(INDEX(properties!A$1:CB$87,'Fórmula'!F37,30)=0,10^6,INDEX(properties!A$1:CB$87,'Fórmula'!F37,30)),IF(INDEX(properties!A$1:CB$87,'Fórmula'!H37,30)=0,10^6,INDEX(properties!A$1:CB$87,'Fórmula'!H37,30)),IF(INDEX(properties!A$1:CB$87,'Fórmula'!J37,30)=0,10^6,INDEX(properties!A$1:CB$87,'Fórmula'!J37,30)))</f>
        <v>0.82</v>
      </c>
      <c r="CS37" s="117">
        <f t="shared" si="16"/>
        <v>2.62</v>
      </c>
      <c r="CT37" s="118">
        <f t="array" ref="CT37">(('Fórmula'!C37)/('Fórmula'!C37+'Fórmula'!E37+'Fórmula'!G37+'Fórmula'!I37+'Fórmula'!K37))*(INDEX(properties!A$1:CB$87,'Fórmula'!B37,31))+(('Fórmula'!E37)/('Fórmula'!C37+'Fórmula'!E37+'Fórmula'!G37+'Fórmula'!I37+'Fórmula'!K37))*(INDEX(properties!A$1:CB$87,'Fórmula'!D37,31))+(('Fórmula'!G37)/('Fórmula'!C37+'Fórmula'!E37+'Fórmula'!G37+'Fórmula'!I37+'Fórmula'!K37))*(INDEX(properties!A$1:CB$87,'Fórmula'!F37,31))+(('Fórmula'!I37)/('Fórmula'!C37+'Fórmula'!E37+'Fórmula'!G37+'Fórmula'!I37+'Fórmula'!K37))*(INDEX(properties!A$1:CB$87,'Fórmula'!H37,31))+(('Fórmula'!K37)/('Fórmula'!C37+'Fórmula'!E37+'Fórmula'!G37+'Fórmula'!I37+'Fórmula'!K37))*(INDEX(properties!A$1:CB$87,'Fórmula'!J37,31))</f>
        <v>2.640769231</v>
      </c>
      <c r="CU37" s="118">
        <f t="array" ref="CU37">'Fórmula'!C37*(INDEX(properties!A$1:CB$87,'Fórmula'!B37,31))+'Fórmula'!E37*(INDEX(properties!A$1:CB$87,'Fórmula'!D37,31))+'Fórmula'!G37*(INDEX(properties!A$1:CB$87,'Fórmula'!F37,31))+'Fórmula'!I37*(INDEX(properties!A$1:CB$87,'Fórmula'!H37,31))+'Fórmula'!K37*(INDEX(properties!A$1:CB$87,'Fórmula'!J37,31))</f>
        <v>34.33</v>
      </c>
      <c r="CV37" s="118">
        <f t="array" ref="CV37">VARP(IF(INDEX(properties!A$1:CB$87,'Fórmula'!B37,31)&lt;&gt;"",INDEX(properties!A$1:CB$87,'Fórmula'!B37,31)),IF(INDEX(properties!A$1:CB$87,'Fórmula'!D37,31)&lt;&gt;"",INDEX(properties!A$1:CB$87,'Fórmula'!D37,31)),IF(INDEX(properties!A$1:CB$87,'Fórmula'!F37,31)&lt;&gt;"",INDEX(properties!A$1:CB$87,'Fórmula'!F37,31)),IF(INDEX(properties!A$1:CB$87,'Fórmula'!H37,31)&lt;&gt;"",INDEX(properties!A$1:CB$87,'Fórmula'!H37,31)),IF(INDEX(properties!A$1:CB$87,'Fórmula'!J37,31)&lt;&gt;"",INDEX(properties!A$1:CB$87,'Fórmula'!J37,31)))</f>
        <v>0.875824</v>
      </c>
      <c r="CW37" s="118">
        <f t="array" ref="CW37">MAX(INDEX(properties!A$1:CB$87,'Fórmula'!B37,31),INDEX(properties!A$1:CB$87,'Fórmula'!D37,31),INDEX(properties!A$1:CB$87,'Fórmula'!F37,31),INDEX(properties!A$1:CB$87,'Fórmula'!H37,31),INDEX(properties!A$1:CB$87,'Fórmula'!J37,31))</f>
        <v>3.32</v>
      </c>
      <c r="CX37" s="118">
        <f t="array" ref="CX37">MIN(IF(INDEX(properties!A$1:CB$87,'Fórmula'!B37,31)=0,10^6,INDEX(properties!A$1:CB$87,'Fórmula'!B37,31)),IF(INDEX(properties!A$1:CB$87,'Fórmula'!D37,31)=0,10^6,INDEX(properties!A$1:CB$87,'Fórmula'!D37,31)),IF(INDEX(properties!A$1:CB$87,'Fórmula'!F37,31)=0,10^6,INDEX(properties!A$1:CB$87,'Fórmula'!F37,31)),IF(INDEX(properties!A$1:CB$87,'Fórmula'!H37,31)=0,10^6,INDEX(properties!A$1:CB$87,'Fórmula'!H37,31)),IF(INDEX(properties!A$1:CB$87,'Fórmula'!J37,31)=0,10^6,INDEX(properties!A$1:CB$87,'Fórmula'!J37,31)))</f>
        <v>0.8</v>
      </c>
      <c r="CY37" s="118">
        <f t="shared" si="17"/>
        <v>2.52</v>
      </c>
      <c r="CZ37" s="119">
        <f t="array" ref="CZ37">(('Fórmula'!C37)/('Fórmula'!C37+'Fórmula'!E37+'Fórmula'!G37+'Fórmula'!I37+'Fórmula'!K37))*(INDEX(properties!A$1:CB$87,'Fórmula'!B37,32))+(('Fórmula'!E37)/('Fórmula'!C37+'Fórmula'!E37+'Fórmula'!G37+'Fórmula'!I37+'Fórmula'!K37))*(INDEX(properties!A$1:CB$87,'Fórmula'!D37,32))+(('Fórmula'!G37)/('Fórmula'!C37+'Fórmula'!E37+'Fórmula'!G37+'Fórmula'!I37+'Fórmula'!K37))*(INDEX(properties!A$1:CB$87,'Fórmula'!F37,32))+(('Fórmula'!I37)/('Fórmula'!C37+'Fórmula'!E37+'Fórmula'!G37+'Fórmula'!I37+'Fórmula'!K37))*(INDEX(properties!A$1:CB$87,'Fórmula'!H37,32))+(('Fórmula'!K37)/('Fórmula'!C37+'Fórmula'!E37+'Fórmula'!G37+'Fórmula'!I37+'Fórmula'!K37))*(INDEX(properties!A$1:CB$87,'Fórmula'!J37,32))</f>
        <v>6.083076923</v>
      </c>
      <c r="DA37" s="119">
        <f t="array" ref="DA37">'Fórmula'!C37*(INDEX(properties!A$1:CB$87,'Fórmula'!B37,32))+'Fórmula'!E37*(INDEX(properties!A$1:CB$87,'Fórmula'!D37,32))+'Fórmula'!G37*(INDEX(properties!A$1:CB$87,'Fórmula'!F37,32))+'Fórmula'!I37*(INDEX(properties!A$1:CB$87,'Fórmula'!H37,32))+'Fórmula'!K37*(INDEX(properties!A$1:CB$87,'Fórmula'!J37,32))</f>
        <v>79.08</v>
      </c>
      <c r="DB37" s="119">
        <f t="array" ref="DB37">VARP(IF(INDEX(properties!A$1:CB$87,'Fórmula'!B37,32)&lt;&gt;"",INDEX(properties!A$1:CB$87,'Fórmula'!B37,32)),IF(INDEX(properties!A$1:CB$87,'Fórmula'!D37,32)&lt;&gt;"",INDEX(properties!A$1:CB$87,'Fórmula'!D37,32)),IF(INDEX(properties!A$1:CB$87,'Fórmula'!F37,32)&lt;&gt;"",INDEX(properties!A$1:CB$87,'Fórmula'!F37,32)),IF(INDEX(properties!A$1:CB$87,'Fórmula'!H37,32)&lt;&gt;"",INDEX(properties!A$1:CB$87,'Fórmula'!H37,32)),IF(INDEX(properties!A$1:CB$87,'Fórmula'!J37,32)&lt;&gt;"",INDEX(properties!A$1:CB$87,'Fórmula'!J37,32)))</f>
        <v>4.473984</v>
      </c>
      <c r="DC37" s="119">
        <f t="array" ref="DC37">MAX(INDEX(properties!A$1:CB$87,'Fórmula'!B37,32),INDEX(properties!A$1:CB$87,'Fórmula'!D37,32),INDEX(properties!A$1:CB$87,'Fórmula'!F37,32),INDEX(properties!A$1:CB$87,'Fórmula'!H37,32),INDEX(properties!A$1:CB$87,'Fórmula'!J37,32))</f>
        <v>7.54</v>
      </c>
      <c r="DD37" s="119">
        <f t="array" ref="DD37">MIN(IF(INDEX(properties!A$1:CB$87,'Fórmula'!B37,32)=0,10^6,INDEX(properties!A$1:CB$87,'Fórmula'!B37,32)),IF(INDEX(properties!A$1:CB$87,'Fórmula'!D37,32)=0,10^6,INDEX(properties!A$1:CB$87,'Fórmula'!D37,32)),IF(INDEX(properties!A$1:CB$87,'Fórmula'!F37,32)=0,10^6,INDEX(properties!A$1:CB$87,'Fórmula'!F37,32)),IF(INDEX(properties!A$1:CB$87,'Fórmula'!H37,32)=0,10^6,INDEX(properties!A$1:CB$87,'Fórmula'!H37,32)),IF(INDEX(properties!A$1:CB$87,'Fórmula'!J37,32)=0,10^6,INDEX(properties!A$1:CB$87,'Fórmula'!J37,32)))</f>
        <v>2</v>
      </c>
      <c r="DE37" s="119">
        <f t="shared" si="18"/>
        <v>5.54</v>
      </c>
      <c r="DF37" s="104">
        <f t="array" ref="DF37">(('Fórmula'!C37)/('Fórmula'!C37+'Fórmula'!E37+'Fórmula'!G37+'Fórmula'!I37+'Fórmula'!K37))*(INDEX(properties!A$1:CB$87,'Fórmula'!B37,34))+(('Fórmula'!E37)/('Fórmula'!C37+'Fórmula'!E37+'Fórmula'!G37+'Fórmula'!I37+'Fórmula'!K37))*(INDEX(properties!A$1:CB$87,'Fórmula'!D37,34))+(('Fórmula'!G37)/('Fórmula'!C37+'Fórmula'!E37+'Fórmula'!G37+'Fórmula'!I37+'Fórmula'!K37))*(INDEX(properties!A$1:CB$87,'Fórmula'!F37,34))+(('Fórmula'!I37)/('Fórmula'!C37+'Fórmula'!E37+'Fórmula'!G37+'Fórmula'!I37+'Fórmula'!K37))*(INDEX(properties!A$1:CB$87,'Fórmula'!H37,34))+(('Fórmula'!K37)/('Fórmula'!C37+'Fórmula'!E37+'Fórmula'!G37+'Fórmula'!I37+'Fórmula'!K37))*(INDEX(properties!A$1:CB$87,'Fórmula'!J37,34))</f>
        <v>2.782538462</v>
      </c>
      <c r="DG37" s="104">
        <f t="array" ref="DG37">'Fórmula'!C37*(INDEX(properties!A$1:CB$87,'Fórmula'!B37,34))+'Fórmula'!E37*(INDEX(properties!A$1:CB$87,'Fórmula'!D37,34))+'Fórmula'!G37*(INDEX(properties!A$1:CB$87,'Fórmula'!F37,34))+'Fórmula'!I37*(INDEX(properties!A$1:CB$87,'Fórmula'!H37,34))+'Fórmula'!K37*(INDEX(properties!A$1:CB$87,'Fórmula'!J37,34))</f>
        <v>36.173</v>
      </c>
      <c r="DH37" s="104">
        <f t="array" ref="DH37">VARP(IF(INDEX(properties!A$1:CB$87,'Fórmula'!B37,34)&lt;&gt;"",INDEX(properties!A$1:CB$87,'Fórmula'!B37,34)),IF(INDEX(properties!A$1:CB$87,'Fórmula'!D37,34)&lt;&gt;"",INDEX(properties!A$1:CB$87,'Fórmula'!D37,34)),IF(INDEX(properties!A$1:CB$87,'Fórmula'!F37,34)&lt;&gt;"",INDEX(properties!A$1:CB$87,'Fórmula'!F37,34)),IF(INDEX(properties!A$1:CB$87,'Fórmula'!H37,34)&lt;&gt;"",INDEX(properties!A$1:CB$87,'Fórmula'!H37,34)),IF(INDEX(properties!A$1:CB$87,'Fórmula'!J37,34)&lt;&gt;"",INDEX(properties!A$1:CB$87,'Fórmula'!J37,34)))</f>
        <v>1.1595668</v>
      </c>
      <c r="DI37" s="104">
        <f t="array" ref="DI37">MAX(INDEX(properties!A$1:CB$87,'Fórmula'!B37,34),INDEX(properties!A$1:CB$87,'Fórmula'!D37,34),INDEX(properties!A$1:CB$87,'Fórmula'!F37,34),INDEX(properties!A$1:CB$87,'Fórmula'!H37,34),INDEX(properties!A$1:CB$87,'Fórmula'!J37,34))</f>
        <v>3.61</v>
      </c>
      <c r="DJ37" s="104">
        <f t="array" ref="DJ37">MIN(IF(INDEX(properties!A$1:CB$87,'Fórmula'!B37,34)=0,10^6,INDEX(properties!A$1:CB$87,'Fórmula'!B37,34)),IF(INDEX(properties!A$1:CB$87,'Fórmula'!D37,34)=0,10^6,INDEX(properties!A$1:CB$87,'Fórmula'!D37,34)),IF(INDEX(properties!A$1:CB$87,'Fórmula'!F37,34)=0,10^6,INDEX(properties!A$1:CB$87,'Fórmula'!F37,34)),IF(INDEX(properties!A$1:CB$87,'Fórmula'!H37,34)=0,10^6,INDEX(properties!A$1:CB$87,'Fórmula'!H37,34)),IF(INDEX(properties!A$1:CB$87,'Fórmula'!J37,34)=0,10^6,INDEX(properties!A$1:CB$87,'Fórmula'!J37,34)))</f>
        <v>0.734</v>
      </c>
      <c r="DK37" s="104">
        <f t="shared" si="19"/>
        <v>2.876</v>
      </c>
      <c r="DL37" s="105" t="str">
        <f t="array" ref="DL37">(('Fórmula'!C37)/('Fórmula'!C37+'Fórmula'!E37+'Fórmula'!G37+'Fórmula'!I37+'Fórmula'!K37))*(INDEX(properties!A$1:CB$87,'Fórmula'!B37,37))+(('Fórmula'!E37)/('Fórmula'!C37+'Fórmula'!E37+'Fórmula'!G37+'Fórmula'!I37+'Fórmula'!K37))*(INDEX(properties!A$1:CB$87,'Fórmula'!D37,37))+(('Fórmula'!G37)/('Fórmula'!C37+'Fórmula'!E37+'Fórmula'!G37+'Fórmula'!I37+'Fórmula'!K37))*(INDEX(properties!A$1:CB$87,'Fórmula'!F37,37))+(('Fórmula'!I37)/('Fórmula'!C37+'Fórmula'!E37+'Fórmula'!G37+'Fórmula'!I37+'Fórmula'!K37))*(INDEX(properties!A$1:CB$87,'Fórmula'!H37,37))+(('Fórmula'!K37)/('Fórmula'!C37+'Fórmula'!E37+'Fórmula'!G37+'Fórmula'!I37+'Fórmula'!K37))*(INDEX(properties!A$1:CB$87,'Fórmula'!J37,37))</f>
        <v>#VALUE!</v>
      </c>
      <c r="DM37" s="105" t="str">
        <f t="array" ref="DM37">'Fórmula'!C37*(INDEX(properties!A$1:CB$87,'Fórmula'!B37,37))+'Fórmula'!E37*(INDEX(properties!A$1:CB$87,'Fórmula'!D37,37))+'Fórmula'!G37*(INDEX(properties!A$1:CB$87,'Fórmula'!F37,37))+'Fórmula'!I37*(INDEX(properties!A$1:CB$87,'Fórmula'!H37,37))+'Fórmula'!K37*(INDEX(properties!A$1:CB$87,'Fórmula'!J37,37))</f>
        <v>#VALUE!</v>
      </c>
      <c r="DN37" s="105">
        <f t="array" ref="DN37">VARP(IF(INDEX(properties!A$1:CB$87,'Fórmula'!B37,37)&lt;&gt;"",INDEX(properties!A$1:CB$87,'Fórmula'!B37,37)),IF(INDEX(properties!A$1:CB$87,'Fórmula'!D37,37)&lt;&gt;"",INDEX(properties!A$1:CB$87,'Fórmula'!D37,37)),IF(INDEX(properties!A$1:CB$87,'Fórmula'!F37,37)&lt;&gt;"",INDEX(properties!A$1:CB$87,'Fórmula'!F37,37)),IF(INDEX(properties!A$1:CB$87,'Fórmula'!H37,37)&lt;&gt;"",INDEX(properties!A$1:CB$87,'Fórmula'!H37,37)),IF(INDEX(properties!A$1:CB$87,'Fórmula'!J37,37)&lt;&gt;"",INDEX(properties!A$1:CB$87,'Fórmula'!J37,37)))</f>
        <v>1.11171875</v>
      </c>
      <c r="DO37" s="105">
        <f t="array" ref="DO37">MAX(INDEX(properties!A$1:CB$87,'Fórmula'!B37,37),INDEX(properties!A$1:CB$87,'Fórmula'!D37,37),INDEX(properties!A$1:CB$87,'Fórmula'!F37,37),INDEX(properties!A$1:CB$87,'Fórmula'!H37,37),INDEX(properties!A$1:CB$87,'Fórmula'!J37,37))</f>
        <v>3.45</v>
      </c>
      <c r="DP37" s="105">
        <f t="array" ref="DP37">MIN(IF(INDEX(properties!A$1:CB$87,'Fórmula'!B37,37)=0,10^6,INDEX(properties!A$1:CB$87,'Fórmula'!B37,37)),IF(INDEX(properties!A$1:CB$87,'Fórmula'!D37,37)=0,10^6,INDEX(properties!A$1:CB$87,'Fórmula'!D37,37)),IF(INDEX(properties!A$1:CB$87,'Fórmula'!F37,37)=0,10^6,INDEX(properties!A$1:CB$87,'Fórmula'!F37,37)),IF(INDEX(properties!A$1:CB$87,'Fórmula'!H37,37)=0,10^6,INDEX(properties!A$1:CB$87,'Fórmula'!H37,37)),IF(INDEX(properties!A$1:CB$87,'Fórmula'!J37,37)=0,10^6,INDEX(properties!A$1:CB$87,'Fórmula'!J37,37)))</f>
        <v>0.8</v>
      </c>
      <c r="DQ37" s="105">
        <f t="shared" si="20"/>
        <v>2.65</v>
      </c>
      <c r="DR37" s="109">
        <f t="array" ref="DR37">(('Fórmula'!C37)/('Fórmula'!C37+'Fórmula'!E37+'Fórmula'!G37+'Fórmula'!I37+'Fórmula'!K37))*(INDEX(properties!A$1:CB$87,'Fórmula'!B37,39))+(('Fórmula'!E37)/('Fórmula'!C37+'Fórmula'!E37+'Fórmula'!G37+'Fórmula'!I37+'Fórmula'!K37))*(INDEX(properties!A$1:CB$87,'Fórmula'!D37,39))+(('Fórmula'!G37)/('Fórmula'!C37+'Fórmula'!E37+'Fórmula'!G37+'Fórmula'!I37+'Fórmula'!K37))*(INDEX(properties!A$1:CB$87,'Fórmula'!F37,39))+(('Fórmula'!I37)/('Fórmula'!C37+'Fórmula'!E37+'Fórmula'!G37+'Fórmula'!I37+'Fórmula'!K37))*(INDEX(properties!A$1:CB$87,'Fórmula'!H37,39))+(('Fórmula'!K37)/('Fórmula'!C37+'Fórmula'!E37+'Fórmula'!G37+'Fórmula'!I37+'Fórmula'!K37))*(INDEX(properties!A$1:CB$87,'Fórmula'!J37,39))</f>
        <v>0.9684615385</v>
      </c>
      <c r="DS37" s="109">
        <f t="array" ref="DS37">'Fórmula'!C37*(INDEX(properties!A$1:CB$87,'Fórmula'!B37,39))+'Fórmula'!E37*(INDEX(properties!A$1:CB$87,'Fórmula'!D37,39))+'Fórmula'!G37*(INDEX(properties!A$1:CB$87,'Fórmula'!F37,39))+'Fórmula'!I37*(INDEX(properties!A$1:CB$87,'Fórmula'!H37,39))+'Fórmula'!K37*(INDEX(properties!A$1:CB$87,'Fórmula'!J37,39))</f>
        <v>12.59</v>
      </c>
      <c r="DT37" s="109">
        <f t="array" ref="DT37">VARP(IF(INDEX(properties!A$1:CB$87,'Fórmula'!B37,39)&lt;&gt;"",INDEX(properties!A$1:CB$87,'Fórmula'!B37,39)),IF(INDEX(properties!A$1:CB$87,'Fórmula'!D37,39)&lt;&gt;"",INDEX(properties!A$1:CB$87,'Fórmula'!D37,39)),IF(INDEX(properties!A$1:CB$87,'Fórmula'!F37,39)&lt;&gt;"",INDEX(properties!A$1:CB$87,'Fórmula'!F37,39)),IF(INDEX(properties!A$1:CB$87,'Fórmula'!H37,39)&lt;&gt;"",INDEX(properties!A$1:CB$87,'Fórmula'!H37,39)),IF(INDEX(properties!A$1:CB$87,'Fórmula'!J37,39)&lt;&gt;"",INDEX(properties!A$1:CB$87,'Fórmula'!J37,39)))</f>
        <v>0.59764</v>
      </c>
      <c r="DU37" s="120">
        <f t="array" ref="DU37">MAX(INDEX(properties!A$1:CB$87,'Fórmula'!B37,39),INDEX(properties!A$1:CB$87,'Fórmula'!D37,39),INDEX(properties!A$1:CB$87,'Fórmula'!F37,39),INDEX(properties!A$1:CB$87,'Fórmula'!H37,39),INDEX(properties!A$1:CB$87,'Fórmula'!J37,39))</f>
        <v>2.43</v>
      </c>
      <c r="DV37" s="120">
        <f t="array" ref="DV37">MIN(IF(INDEX(properties!A$1:CB$87,'Fórmula'!B37,39)=0,10^6,INDEX(properties!A$1:CB$87,'Fórmula'!B37,39)),IF(INDEX(properties!A$1:CB$87,'Fórmula'!D37,39)=0,10^6,INDEX(properties!A$1:CB$87,'Fórmula'!D37,39)),IF(INDEX(properties!A$1:CB$87,'Fórmula'!F37,39)=0,10^6,INDEX(properties!A$1:CB$87,'Fórmula'!F37,39)),IF(INDEX(properties!A$1:CB$87,'Fórmula'!H37,39)=0,10^6,INDEX(properties!A$1:CB$87,'Fórmula'!H37,39)),IF(INDEX(properties!A$1:CB$87,'Fórmula'!J37,39)=0,10^6,INDEX(properties!A$1:CB$87,'Fórmula'!J37,39)))</f>
        <v>0.48</v>
      </c>
      <c r="DW37" s="109">
        <f t="shared" si="21"/>
        <v>1.95</v>
      </c>
      <c r="DX37" s="110">
        <f t="array" ref="DX37">(('Fórmula'!C37)/('Fórmula'!C37+'Fórmula'!E37+'Fórmula'!G37+'Fórmula'!I37+'Fórmula'!K37))*(INDEX(properties!A$1:CB$87,'Fórmula'!B37,40))+(('Fórmula'!E37)/('Fórmula'!C37+'Fórmula'!E37+'Fórmula'!G37+'Fórmula'!I37+'Fórmula'!K37))*(INDEX(properties!A$1:CB$87,'Fórmula'!D37,40))+(('Fórmula'!G37)/('Fórmula'!C37+'Fórmula'!E37+'Fórmula'!G37+'Fórmula'!I37+'Fórmula'!K37))*(INDEX(properties!A$1:CB$87,'Fórmula'!F37,40))+(('Fórmula'!I37)/('Fórmula'!C37+'Fórmula'!E37+'Fórmula'!G37+'Fórmula'!I37+'Fórmula'!K37))*(INDEX(properties!A$1:CB$87,'Fórmula'!H37,40))+(('Fórmula'!K37)/('Fórmula'!C37+'Fórmula'!E37+'Fórmula'!G37+'Fórmula'!I37+'Fórmula'!K37))*(INDEX(properties!A$1:CB$87,'Fórmula'!J37,40))</f>
        <v>1.033846154</v>
      </c>
      <c r="DY37" s="110">
        <f t="array" ref="DY37">'Fórmula'!C37*(INDEX(properties!A$1:CB$87,'Fórmula'!B37,40))+'Fórmula'!E37*(INDEX(properties!A$1:CB$87,'Fórmula'!D37,40))+'Fórmula'!G37*(INDEX(properties!A$1:CB$87,'Fórmula'!F37,40))+'Fórmula'!I37*(INDEX(properties!A$1:CB$87,'Fórmula'!H37,40))+'Fórmula'!K37*(INDEX(properties!A$1:CB$87,'Fórmula'!J37,40))</f>
        <v>13.44</v>
      </c>
      <c r="DZ37" s="110">
        <f t="array" ref="DZ37">VARP(IF(INDEX(properties!A$1:CB$87,'Fórmula'!B37,40)&lt;&gt;"",INDEX(properties!A$1:CB$87,'Fórmula'!B37,40)),IF(INDEX(properties!A$1:CB$87,'Fórmula'!D37,40)&lt;&gt;"",INDEX(properties!A$1:CB$87,'Fórmula'!D37,40)),IF(INDEX(properties!A$1:CB$87,'Fórmula'!F37,40)&lt;&gt;"",INDEX(properties!A$1:CB$87,'Fórmula'!F37,40)),IF(INDEX(properties!A$1:CB$87,'Fórmula'!H37,40)&lt;&gt;"",INDEX(properties!A$1:CB$87,'Fórmula'!H37,40)),IF(INDEX(properties!A$1:CB$87,'Fórmula'!J37,40)&lt;&gt;"",INDEX(properties!A$1:CB$87,'Fórmula'!J37,40)))</f>
        <v>0.234784</v>
      </c>
      <c r="EA37" s="121">
        <f t="array" ref="EA37">MAX(INDEX(properties!A$1:CB$87,'Fórmula'!B37,40),INDEX(properties!A$1:CB$87,'Fórmula'!D37,40),INDEX(properties!A$1:CB$87,'Fórmula'!F37,40),INDEX(properties!A$1:CB$87,'Fórmula'!H37,40),INDEX(properties!A$1:CB$87,'Fórmula'!J37,40))</f>
        <v>1.96</v>
      </c>
      <c r="EB37" s="121">
        <f t="array" ref="EB37">MIN(IF(INDEX(properties!A$1:CB$87,'Fórmula'!B37,40)=0,10^6,INDEX(properties!A$1:CB$87,'Fórmula'!B37,40)),IF(INDEX(properties!A$1:CB$87,'Fórmula'!D37,40)=0,10^6,INDEX(properties!A$1:CB$87,'Fórmula'!D37,40)),IF(INDEX(properties!A$1:CB$87,'Fórmula'!F37,40)=0,10^6,INDEX(properties!A$1:CB$87,'Fórmula'!F37,40)),IF(INDEX(properties!A$1:CB$87,'Fórmula'!H37,40)=0,10^6,INDEX(properties!A$1:CB$87,'Fórmula'!H37,40)),IF(INDEX(properties!A$1:CB$87,'Fórmula'!J37,40)=0,10^6,INDEX(properties!A$1:CB$87,'Fórmula'!J37,40)))</f>
        <v>0.73</v>
      </c>
      <c r="EC37" s="110">
        <f t="shared" si="22"/>
        <v>1.23</v>
      </c>
      <c r="ED37" s="111">
        <f t="array" ref="ED37">(('Fórmula'!C37)/('Fórmula'!C37+'Fórmula'!E37+'Fórmula'!G37+'Fórmula'!I37+'Fórmula'!K37))*(INDEX(properties!A$1:CB$87,'Fórmula'!B37,41))+(('Fórmula'!E37)/('Fórmula'!C37+'Fórmula'!E37+'Fórmula'!G37+'Fórmula'!I37+'Fórmula'!K37))*(INDEX(properties!A$1:CB$87,'Fórmula'!D37,41))+(('Fórmula'!G37)/('Fórmula'!C37+'Fórmula'!E37+'Fórmula'!G37+'Fórmula'!I37+'Fórmula'!K37))*(INDEX(properties!A$1:CB$87,'Fórmula'!F37,41))+(('Fórmula'!I37)/('Fórmula'!C37+'Fórmula'!E37+'Fórmula'!G37+'Fórmula'!I37+'Fórmula'!K37))*(INDEX(properties!A$1:CB$87,'Fórmula'!H37,41))+(('Fórmula'!K37)/('Fórmula'!C37+'Fórmula'!E37+'Fórmula'!G37+'Fórmula'!I37+'Fórmula'!K37))*(INDEX(properties!A$1:CB$87,'Fórmula'!J37,41))</f>
        <v>1.16</v>
      </c>
      <c r="EE37" s="111">
        <f t="array" ref="EE37">'Fórmula'!C37*(INDEX(properties!A$1:CB$87,'Fórmula'!B37,41))+'Fórmula'!E37*(INDEX(properties!A$1:CB$87,'Fórmula'!D37,41))+'Fórmula'!G37*(INDEX(properties!A$1:CB$87,'Fórmula'!F37,41))+'Fórmula'!I37*(INDEX(properties!A$1:CB$87,'Fórmula'!H37,41))+'Fórmula'!K37*(INDEX(properties!A$1:CB$87,'Fórmula'!J37,41))</f>
        <v>15.08</v>
      </c>
      <c r="EF37" s="111">
        <f t="array" ref="EF37">VARP(IF(INDEX(properties!A$1:CB$87,'Fórmula'!B37,41)&lt;&gt;"",INDEX(properties!A$1:CB$87,'Fórmula'!B37,41)),IF(INDEX(properties!A$1:CB$87,'Fórmula'!D37,41)&lt;&gt;"",INDEX(properties!A$1:CB$87,'Fórmula'!D37,41)),IF(INDEX(properties!A$1:CB$87,'Fórmula'!F37,41)&lt;&gt;"",INDEX(properties!A$1:CB$87,'Fórmula'!F37,41)),IF(INDEX(properties!A$1:CB$87,'Fórmula'!H37,41)&lt;&gt;"",INDEX(properties!A$1:CB$87,'Fórmula'!H37,41)),IF(INDEX(properties!A$1:CB$87,'Fórmula'!J37,41)&lt;&gt;"",INDEX(properties!A$1:CB$87,'Fórmula'!J37,41)))</f>
        <v>0.104864</v>
      </c>
      <c r="EG37" s="122">
        <f t="array" ref="EG37">MAX(INDEX(properties!A$1:CB$87,'Fórmula'!B37,41),INDEX(properties!A$1:CB$87,'Fórmula'!D37,41),INDEX(properties!A$1:CB$87,'Fórmula'!F37,41),INDEX(properties!A$1:CB$87,'Fórmula'!H37,41),INDEX(properties!A$1:CB$87,'Fórmula'!J37,41))</f>
        <v>1.52</v>
      </c>
      <c r="EH37" s="122">
        <f t="array" ref="EH37">MIN(IF(INDEX(properties!A$1:CB$87,'Fórmula'!B37,41)=0,10^6,INDEX(properties!A$1:CB$87,'Fórmula'!B37,41)),IF(INDEX(properties!A$1:CB$87,'Fórmula'!D37,41)=0,10^6,INDEX(properties!A$1:CB$87,'Fórmula'!D37,41)),IF(INDEX(properties!A$1:CB$87,'Fórmula'!F37,41)=0,10^6,INDEX(properties!A$1:CB$87,'Fórmula'!F37,41)),IF(INDEX(properties!A$1:CB$87,'Fórmula'!H37,41)=0,10^6,INDEX(properties!A$1:CB$87,'Fórmula'!H37,41)),IF(INDEX(properties!A$1:CB$87,'Fórmula'!J37,41)=0,10^6,INDEX(properties!A$1:CB$87,'Fórmula'!J37,41)))</f>
        <v>0.58</v>
      </c>
      <c r="EI37" s="111">
        <f t="shared" si="23"/>
        <v>0.94</v>
      </c>
      <c r="EJ37" s="112">
        <f t="array" ref="EJ37">(('Fórmula'!C37)/('Fórmula'!C37+'Fórmula'!E37+'Fórmula'!G37+'Fórmula'!I37+'Fórmula'!K37))*(INDEX(properties!A$1:CB$87,'Fórmula'!B37,45))+(('Fórmula'!E37)/('Fórmula'!C37+'Fórmula'!E37+'Fórmula'!G37+'Fórmula'!I37+'Fórmula'!K37))*(INDEX(properties!A$1:CB$87,'Fórmula'!D37,45))+(('Fórmula'!G37)/('Fórmula'!C37+'Fórmula'!E37+'Fórmula'!G37+'Fórmula'!I37+'Fórmula'!K37))*(INDEX(properties!A$1:CB$87,'Fórmula'!F37,45))+(('Fórmula'!I37)/('Fórmula'!C37+'Fórmula'!E37+'Fórmula'!G37+'Fórmula'!I37+'Fórmula'!K37))*(INDEX(properties!A$1:CB$87,'Fórmula'!H37,45))+(('Fórmula'!K37)/('Fórmula'!C37+'Fórmula'!E37+'Fórmula'!G37+'Fórmula'!I37+'Fórmula'!K37))*(INDEX(properties!A$1:CB$87,'Fórmula'!J37,45))</f>
        <v>1.27</v>
      </c>
      <c r="EK37" s="112">
        <f t="array" ref="EK37">'Fórmula'!C37*(INDEX(properties!A$1:CB$87,'Fórmula'!B37,45))+'Fórmula'!E37*(INDEX(properties!A$1:CB$87,'Fórmula'!D37,45))+'Fórmula'!G37*(INDEX(properties!A$1:CB$87,'Fórmula'!F37,45))+'Fórmula'!I37*(INDEX(properties!A$1:CB$87,'Fórmula'!H37,45))+'Fórmula'!K37*(INDEX(properties!A$1:CB$87,'Fórmula'!J37,45))</f>
        <v>16.51</v>
      </c>
      <c r="EL37" s="112">
        <f t="array" ref="EL37">VARP(IF(INDEX(properties!A$1:CB$87,'Fórmula'!B37,45)&lt;&gt;"",INDEX(properties!A$1:CB$87,'Fórmula'!B37,45)),IF(INDEX(properties!A$1:CB$87,'Fórmula'!D37,45)&lt;&gt;"",INDEX(properties!A$1:CB$87,'Fórmula'!D37,45)),IF(INDEX(properties!A$1:CB$87,'Fórmula'!F37,45)&lt;&gt;"",INDEX(properties!A$1:CB$87,'Fórmula'!F37,45)),IF(INDEX(properties!A$1:CB$87,'Fórmula'!H37,45)&lt;&gt;"",INDEX(properties!A$1:CB$87,'Fórmula'!H37,45)),IF(INDEX(properties!A$1:CB$87,'Fórmula'!J37,45)&lt;&gt;"",INDEX(properties!A$1:CB$87,'Fórmula'!J37,45)))</f>
        <v>1.666304</v>
      </c>
      <c r="EM37" s="123">
        <f t="array" ref="EM37">MAX(INDEX(properties!A$1:CB$87,'Fórmula'!B37,45),INDEX(properties!A$1:CB$87,'Fórmula'!D37,45),INDEX(properties!A$1:CB$87,'Fórmula'!F37,45),INDEX(properties!A$1:CB$87,'Fórmula'!H37,45),INDEX(properties!A$1:CB$87,'Fórmula'!J37,45))</f>
        <v>3.69</v>
      </c>
      <c r="EN37" s="123">
        <f t="array" ref="EN37">MIN(IF(INDEX(properties!A$1:CB$87,'Fórmula'!B37,45)=0,10^6,INDEX(properties!A$1:CB$87,'Fórmula'!B37,45)),IF(INDEX(properties!A$1:CB$87,'Fórmula'!D37,45)=0,10^6,INDEX(properties!A$1:CB$87,'Fórmula'!D37,45)),IF(INDEX(properties!A$1:CB$87,'Fórmula'!F37,45)=0,10^6,INDEX(properties!A$1:CB$87,'Fórmula'!F37,45)),IF(INDEX(properties!A$1:CB$87,'Fórmula'!H37,45)=0,10^6,INDEX(properties!A$1:CB$87,'Fórmula'!H37,45)),IF(INDEX(properties!A$1:CB$87,'Fórmula'!J37,45)=0,10^6,INDEX(properties!A$1:CB$87,'Fórmula'!J37,45)))</f>
        <v>0.47</v>
      </c>
      <c r="EO37" s="112">
        <f t="shared" si="24"/>
        <v>3.22</v>
      </c>
      <c r="EP37" s="113">
        <f t="array" ref="EP37">(('Fórmula'!C37)/('Fórmula'!C37+'Fórmula'!E37+'Fórmula'!G37+'Fórmula'!I37+'Fórmula'!K37))*(INDEX(properties!A$1:CB$87,'Fórmula'!B37,46))+(('Fórmula'!E37)/('Fórmula'!C37+'Fórmula'!E37+'Fórmula'!G37+'Fórmula'!I37+'Fórmula'!K37))*(INDEX(properties!A$1:CB$87,'Fórmula'!D37,46))+(('Fórmula'!G37)/('Fórmula'!C37+'Fórmula'!E37+'Fórmula'!G37+'Fórmula'!I37+'Fórmula'!K37))*(INDEX(properties!A$1:CB$87,'Fórmula'!F37,46))+(('Fórmula'!I37)/('Fórmula'!C37+'Fórmula'!E37+'Fórmula'!G37+'Fórmula'!I37+'Fórmula'!K37))*(INDEX(properties!A$1:CB$87,'Fórmula'!H37,46))+(('Fórmula'!K37)/('Fórmula'!C37+'Fórmula'!E37+'Fórmula'!G37+'Fórmula'!I37+'Fórmula'!K37))*(INDEX(properties!A$1:CB$87,'Fórmula'!J37,46))</f>
        <v>1.087692308</v>
      </c>
      <c r="EQ37" s="113">
        <f t="array" ref="EQ37">'Fórmula'!C37*(INDEX(properties!A$1:CB$87,'Fórmula'!B37,46))+'Fórmula'!E37*(INDEX(properties!A$1:CB$87,'Fórmula'!D37,46))+'Fórmula'!G37*(INDEX(properties!A$1:CB$87,'Fórmula'!F37,46))+'Fórmula'!I37*(INDEX(properties!A$1:CB$87,'Fórmula'!H37,46))+'Fórmula'!K37*(INDEX(properties!A$1:CB$87,'Fórmula'!J37,46))</f>
        <v>14.14</v>
      </c>
      <c r="ER37" s="113">
        <f t="array" ref="ER37">VARP(IF(INDEX(properties!A$1:CB$87,'Fórmula'!B37,46)&lt;&gt;"",INDEX(properties!A$1:CB$87,'Fórmula'!B37,46)),IF(INDEX(properties!A$1:CB$87,'Fórmula'!D37,46)&lt;&gt;"",INDEX(properties!A$1:CB$87,'Fórmula'!D37,46)),IF(INDEX(properties!A$1:CB$87,'Fórmula'!F37,46)&lt;&gt;"",INDEX(properties!A$1:CB$87,'Fórmula'!F37,46)),IF(INDEX(properties!A$1:CB$87,'Fórmula'!H37,46)&lt;&gt;"",INDEX(properties!A$1:CB$87,'Fórmula'!H37,46)),IF(INDEX(properties!A$1:CB$87,'Fórmula'!J37,46)&lt;&gt;"",INDEX(properties!A$1:CB$87,'Fórmula'!J37,46)))</f>
        <v>0.173416</v>
      </c>
      <c r="ES37" s="124">
        <f t="array" ref="ES37">MAX(INDEX(properties!A$1:CB$87,'Fórmula'!B37,46),INDEX(properties!A$1:CB$87,'Fórmula'!D37,46),INDEX(properties!A$1:CB$87,'Fórmula'!F37,46),INDEX(properties!A$1:CB$87,'Fórmula'!H37,46),INDEX(properties!A$1:CB$87,'Fórmula'!J37,46))</f>
        <v>1.52</v>
      </c>
      <c r="ET37" s="124">
        <f t="array" ref="ET37">MIN(IF(INDEX(properties!A$1:CB$87,'Fórmula'!B37,46)=0,10^6,INDEX(properties!A$1:CB$87,'Fórmula'!B37,46)),IF(INDEX(properties!A$1:CB$87,'Fórmula'!D37,46)=0,10^6,INDEX(properties!A$1:CB$87,'Fórmula'!D37,46)),IF(INDEX(properties!A$1:CB$87,'Fórmula'!F37,46)=0,10^6,INDEX(properties!A$1:CB$87,'Fórmula'!F37,46)),IF(INDEX(properties!A$1:CB$87,'Fórmula'!H37,46)=0,10^6,INDEX(properties!A$1:CB$87,'Fórmula'!H37,46)),IF(INDEX(properties!A$1:CB$87,'Fórmula'!J37,46)=0,10^6,INDEX(properties!A$1:CB$87,'Fórmula'!J37,46)))</f>
        <v>0.31</v>
      </c>
      <c r="EU37" s="113">
        <f t="shared" si="25"/>
        <v>1.21</v>
      </c>
      <c r="EV37" s="114">
        <f t="array" ref="EV37">(('Fórmula'!C37)/('Fórmula'!C37+'Fórmula'!E37+'Fórmula'!G37+'Fórmula'!I37+'Fórmula'!K37))*(INDEX(properties!A$1:CB$87,'Fórmula'!B37,52))+(('Fórmula'!E37)/('Fórmula'!C37+'Fórmula'!E37+'Fórmula'!G37+'Fórmula'!I37+'Fórmula'!K37))*(INDEX(properties!A$1:CB$87,'Fórmula'!D37,52))+(('Fórmula'!G37)/('Fórmula'!C37+'Fórmula'!E37+'Fórmula'!G37+'Fórmula'!I37+'Fórmula'!K37))*(INDEX(properties!A$1:CB$87,'Fórmula'!F37,52))+(('Fórmula'!I37)/('Fórmula'!C37+'Fórmula'!E37+'Fórmula'!G37+'Fórmula'!I37+'Fórmula'!K37))*(INDEX(properties!A$1:CB$87,'Fórmula'!H37,52))+(('Fórmula'!K37)/('Fórmula'!C37+'Fórmula'!E37+'Fórmula'!G37+'Fórmula'!I37+'Fórmula'!K37))*(INDEX(properties!A$1:CB$87,'Fórmula'!J37,52))</f>
        <v>8.188</v>
      </c>
      <c r="EW37" s="114">
        <f t="array" ref="EW37">'Fórmula'!C37*(INDEX(properties!A$1:CB$87,'Fórmula'!B37,52))+'Fórmula'!E37*(INDEX(properties!A$1:CB$87,'Fórmula'!D37,52))+'Fórmula'!G37*(INDEX(properties!A$1:CB$87,'Fórmula'!F37,52))+'Fórmula'!I37*(INDEX(properties!A$1:CB$87,'Fórmula'!H37,52))+'Fórmula'!K37*(INDEX(properties!A$1:CB$87,'Fórmula'!J37,52))</f>
        <v>106.444</v>
      </c>
      <c r="EX37" s="114">
        <f t="array" ref="EX37">VARP(IF(INDEX(properties!A$1:CB$87,'Fórmula'!B37,52)&lt;&gt;"",INDEX(properties!A$1:CB$87,'Fórmula'!B37,52)),IF(INDEX(properties!A$1:CB$87,'Fórmula'!D37,52)&lt;&gt;"",INDEX(properties!A$1:CB$87,'Fórmula'!D37,52)),IF(INDEX(properties!A$1:CB$87,'Fórmula'!F37,52)&lt;&gt;"",INDEX(properties!A$1:CB$87,'Fórmula'!F37,52)),IF(INDEX(properties!A$1:CB$87,'Fórmula'!H37,52)&lt;&gt;"",INDEX(properties!A$1:CB$87,'Fórmula'!H37,52)),IF(INDEX(properties!A$1:CB$87,'Fórmula'!J37,52)&lt;&gt;"",INDEX(properties!A$1:CB$87,'Fórmula'!J37,52)))</f>
        <v>249.0666558</v>
      </c>
      <c r="EY37" s="114">
        <f t="array" ref="EY37">MAX(INDEX(properties!A$1:CB$87,'Fórmula'!B37,52),INDEX(properties!A$1:CB$87,'Fórmula'!D37,52),INDEX(properties!A$1:CB$87,'Fórmula'!F37,52),INDEX(properties!A$1:CB$87,'Fórmula'!H37,52),INDEX(properties!A$1:CB$87,'Fórmula'!J37,52))</f>
        <v>43.4</v>
      </c>
      <c r="EZ37" s="114">
        <f t="array" ref="EZ37">MIN(IF(INDEX(properties!A$1:CB$87,'Fórmula'!B37,52)=0,10^6,INDEX(properties!A$1:CB$87,'Fórmula'!B37,52)),IF(INDEX(properties!A$1:CB$87,'Fórmula'!D37,52)=0,10^6,INDEX(properties!A$1:CB$87,'Fórmula'!D37,52)),IF(INDEX(properties!A$1:CB$87,'Fórmula'!F37,52)=0,10^6,INDEX(properties!A$1:CB$87,'Fórmula'!F37,52)),IF(INDEX(properties!A$1:CB$87,'Fórmula'!H37,52)=0,10^6,INDEX(properties!A$1:CB$87,'Fórmula'!H37,52)),IF(INDEX(properties!A$1:CB$87,'Fórmula'!J37,52)=0,10^6,INDEX(properties!A$1:CB$87,'Fórmula'!J37,52)))</f>
        <v>0.793</v>
      </c>
      <c r="FA37" s="114">
        <f t="shared" si="26"/>
        <v>42.607</v>
      </c>
      <c r="FB37" s="115">
        <f t="array" ref="FB37">(('Fórmula'!C37)/('Fórmula'!C37+'Fórmula'!E37+'Fórmula'!G37+'Fórmula'!I37+'Fórmula'!K37))*(INDEX(properties!A$1:CB$87,'Fórmula'!B37,53))+(('Fórmula'!E37)/('Fórmula'!C37+'Fórmula'!E37+'Fórmula'!G37+'Fórmula'!I37+'Fórmula'!K37))*(INDEX(properties!A$1:CB$87,'Fórmula'!D37,53))+(('Fórmula'!G37)/('Fórmula'!C37+'Fórmula'!E37+'Fórmula'!G37+'Fórmula'!I37+'Fórmula'!K37))*(INDEX(properties!A$1:CB$87,'Fórmula'!F37,53))+(('Fórmula'!I37)/('Fórmula'!C37+'Fórmula'!E37+'Fórmula'!G37+'Fórmula'!I37+'Fórmula'!K37))*(INDEX(properties!A$1:CB$87,'Fórmula'!H37,53))+(('Fórmula'!K37)/('Fórmula'!C37+'Fórmula'!E37+'Fórmula'!G37+'Fórmula'!I37+'Fórmula'!K37))*(INDEX(properties!A$1:CB$87,'Fórmula'!J37,53))</f>
        <v>337.4769231</v>
      </c>
      <c r="FC37" s="115">
        <f t="array" ref="FC37">'Fórmula'!C37*(INDEX(properties!A$1:CB$87,'Fórmula'!B37,53))+'Fórmula'!E37*(INDEX(properties!A$1:CB$87,'Fórmula'!D37,53))+'Fórmula'!G37*(INDEX(properties!A$1:CB$87,'Fórmula'!F37,53))+'Fórmula'!I37*(INDEX(properties!A$1:CB$87,'Fórmula'!H37,53))+'Fórmula'!K37*(INDEX(properties!A$1:CB$87,'Fórmula'!J37,53))</f>
        <v>4387.2</v>
      </c>
      <c r="FD37" s="115">
        <f t="array" ref="FD37">VARP(IF(INDEX(properties!A$1:CB$87,'Fórmula'!B37,53)&lt;&gt;"",INDEX(properties!A$1:CB$87,'Fórmula'!B37,53)),IF(INDEX(properties!A$1:CB$87,'Fórmula'!D37,53)&lt;&gt;"",INDEX(properties!A$1:CB$87,'Fórmula'!D37,53)),IF(INDEX(properties!A$1:CB$87,'Fórmula'!F37,53)&lt;&gt;"",INDEX(properties!A$1:CB$87,'Fórmula'!F37,53)),IF(INDEX(properties!A$1:CB$87,'Fórmula'!H37,53)&lt;&gt;"",INDEX(properties!A$1:CB$87,'Fórmula'!H37,53)),IF(INDEX(properties!A$1:CB$87,'Fórmula'!J37,53)&lt;&gt;"",INDEX(properties!A$1:CB$87,'Fórmula'!J37,53)))</f>
        <v>466642.4304</v>
      </c>
      <c r="FE37" s="115">
        <f t="array" ref="FE37">MAX(INDEX(properties!A$1:CB$87,'Fórmula'!B37,53),INDEX(properties!A$1:CB$87,'Fórmula'!D37,53),INDEX(properties!A$1:CB$87,'Fórmula'!F37,53),INDEX(properties!A$1:CB$87,'Fórmula'!H37,53),INDEX(properties!A$1:CB$87,'Fórmula'!J37,53))</f>
        <v>1936.15</v>
      </c>
      <c r="FF37" s="115">
        <f t="array" ref="FF37">MIN(IF(INDEX(properties!A$1:CB$87,'Fórmula'!B37,53)=0,10^6,INDEX(properties!A$1:CB$87,'Fórmula'!B37,53)),IF(INDEX(properties!A$1:CB$87,'Fórmula'!D37,53)=0,10^6,INDEX(properties!A$1:CB$87,'Fórmula'!D37,53)),IF(INDEX(properties!A$1:CB$87,'Fórmula'!F37,53)=0,10^6,INDEX(properties!A$1:CB$87,'Fórmula'!F37,53)),IF(INDEX(properties!A$1:CB$87,'Fórmula'!H37,53)=0,10^6,INDEX(properties!A$1:CB$87,'Fórmula'!H37,53)),IF(INDEX(properties!A$1:CB$87,'Fórmula'!J37,53)=0,10^6,INDEX(properties!A$1:CB$87,'Fórmula'!J37,53)))</f>
        <v>54.75</v>
      </c>
      <c r="FG37" s="115">
        <f t="shared" si="27"/>
        <v>1881.4</v>
      </c>
      <c r="FH37" s="117">
        <f t="array" ref="FH37">(('Fórmula'!C37)/('Fórmula'!C37+'Fórmula'!E37+'Fórmula'!G37+'Fórmula'!I37+'Fórmula'!K37))*(INDEX(properties!A$1:CB$87,'Fórmula'!B37,54))+(('Fórmula'!E37)/('Fórmula'!C37+'Fórmula'!E37+'Fórmula'!G37+'Fórmula'!I37+'Fórmula'!K37))*(INDEX(properties!A$1:CB$87,'Fórmula'!D37,54))+(('Fórmula'!G37)/('Fórmula'!C37+'Fórmula'!E37+'Fórmula'!G37+'Fórmula'!I37+'Fórmula'!K37))*(INDEX(properties!A$1:CB$87,'Fórmula'!F37,54))+(('Fórmula'!I37)/('Fórmula'!C37+'Fórmula'!E37+'Fórmula'!G37+'Fórmula'!I37+'Fórmula'!K37))*(INDEX(properties!A$1:CB$87,'Fórmula'!H37,54))+(('Fórmula'!K37)/('Fórmula'!C37+'Fórmula'!E37+'Fórmula'!G37+'Fórmula'!I37+'Fórmula'!K37))*(INDEX(properties!A$1:CB$87,'Fórmula'!J37,54))</f>
        <v>630.2269231</v>
      </c>
      <c r="FI37" s="117">
        <f t="array" ref="FI37">'Fórmula'!C37*(INDEX(properties!A$1:CB$87,'Fórmula'!B37,54))+'Fórmula'!E37*(INDEX(properties!A$1:CB$87,'Fórmula'!D37,54))+'Fórmula'!G37*(INDEX(properties!A$1:CB$87,'Fórmula'!F37,54))+'Fórmula'!I37*(INDEX(properties!A$1:CB$87,'Fórmula'!H37,54))+'Fórmula'!K37*(INDEX(properties!A$1:CB$87,'Fórmula'!J37,54))</f>
        <v>8192.95</v>
      </c>
      <c r="FJ37" s="117">
        <f t="array" ref="FJ37">VARP(IF(INDEX(properties!A$1:CB$87,'Fórmula'!B37,54)&lt;&gt;"",INDEX(properties!A$1:CB$87,'Fórmula'!B37,54)),IF(INDEX(properties!A$1:CB$87,'Fórmula'!D37,54)&lt;&gt;"",INDEX(properties!A$1:CB$87,'Fórmula'!D37,54)),IF(INDEX(properties!A$1:CB$87,'Fórmula'!F37,54)&lt;&gt;"",INDEX(properties!A$1:CB$87,'Fórmula'!F37,54)),IF(INDEX(properties!A$1:CB$87,'Fórmula'!H37,54)&lt;&gt;"",INDEX(properties!A$1:CB$87,'Fórmula'!H37,54)),IF(INDEX(properties!A$1:CB$87,'Fórmula'!J37,54)&lt;&gt;"",INDEX(properties!A$1:CB$87,'Fórmula'!J37,54)))</f>
        <v>1561971.84</v>
      </c>
      <c r="FK37" s="117">
        <f t="array" ref="FK37">MAX(INDEX(properties!A$1:CB$87,'Fórmula'!B37,54),INDEX(properties!A$1:CB$87,'Fórmula'!D37,54),INDEX(properties!A$1:CB$87,'Fórmula'!F37,54),INDEX(properties!A$1:CB$87,'Fórmula'!H37,54),INDEX(properties!A$1:CB$87,'Fórmula'!J37,54))</f>
        <v>3675.15</v>
      </c>
      <c r="FL37" s="117">
        <f t="array" ref="FL37">MIN(IF(INDEX(properties!A$1:CB$87,'Fórmula'!B37,54)=0,10^6,INDEX(properties!A$1:CB$87,'Fórmula'!B37,54)),IF(INDEX(properties!A$1:CB$87,'Fórmula'!D37,54)=0,10^6,INDEX(properties!A$1:CB$87,'Fórmula'!D37,54)),IF(INDEX(properties!A$1:CB$87,'Fórmula'!F37,54)=0,10^6,INDEX(properties!A$1:CB$87,'Fórmula'!F37,54)),IF(INDEX(properties!A$1:CB$87,'Fórmula'!H37,54)=0,10^6,INDEX(properties!A$1:CB$87,'Fórmula'!H37,54)),IF(INDEX(properties!A$1:CB$87,'Fórmula'!J37,54)=0,10^6,INDEX(properties!A$1:CB$87,'Fórmula'!J37,54)))</f>
        <v>90.15</v>
      </c>
      <c r="FM37" s="117">
        <f t="shared" si="28"/>
        <v>3585</v>
      </c>
      <c r="FN37" s="118">
        <f t="array" ref="FN37">(('Fórmula'!C37)/('Fórmula'!C37+'Fórmula'!E37+'Fórmula'!G37+'Fórmula'!I37+'Fórmula'!K37))*(INDEX(properties!A$1:CB$87,'Fórmula'!B37,55))+(('Fórmula'!E37)/('Fórmula'!C37+'Fórmula'!E37+'Fórmula'!G37+'Fórmula'!I37+'Fórmula'!K37))*(INDEX(properties!A$1:CB$87,'Fórmula'!D37,55))+(('Fórmula'!G37)/('Fórmula'!C37+'Fórmula'!E37+'Fórmula'!G37+'Fórmula'!I37+'Fórmula'!K37))*(INDEX(properties!A$1:CB$87,'Fórmula'!F37,55))+(('Fórmula'!I37)/('Fórmula'!C37+'Fórmula'!E37+'Fórmula'!G37+'Fórmula'!I37+'Fórmula'!K37))*(INDEX(properties!A$1:CB$87,'Fórmula'!H37,55))+(('Fórmula'!K37)/('Fórmula'!C37+'Fórmula'!E37+'Fórmula'!G37+'Fórmula'!I37+'Fórmula'!K37))*(INDEX(properties!A$1:CB$87,'Fórmula'!J37,55))</f>
        <v>1.306264615</v>
      </c>
      <c r="FO37" s="118">
        <f t="array" ref="FO37">'Fórmula'!C37*(INDEX(properties!A$1:CB$87,'Fórmula'!B37,55))+'Fórmula'!E37*(INDEX(properties!A$1:CB$87,'Fórmula'!D37,54))+'Fórmula'!G37*(INDEX(properties!A$1:CB$87,'Fórmula'!F37,55))+'Fórmula'!I37*(INDEX(properties!A$1:CB$87,'Fórmula'!H37,55))+'Fórmula'!K37*(INDEX(properties!A$1:CB$87,'Fórmula'!J37,55))</f>
        <v>1671.50144</v>
      </c>
      <c r="FP37" s="118">
        <f t="array" ref="FP37">VARP(IF(INDEX(properties!A$1:CB$87,'Fórmula'!B37,55)&lt;&gt;"",INDEX(properties!A$1:CB$87,'Fórmula'!B37,55)),IF(INDEX(properties!A$1:CB$87,'Fórmula'!D37,55)&lt;&gt;"",INDEX(properties!A$1:CB$87,'Fórmula'!D37,55)),IF(INDEX(properties!A$1:CB$87,'Fórmula'!F37,55)&lt;&gt;"",INDEX(properties!A$1:CB$87,'Fórmula'!F37,55)),IF(INDEX(properties!A$1:CB$87,'Fórmula'!H37,55)&lt;&gt;"",INDEX(properties!A$1:CB$87,'Fórmula'!H37,55)),IF(INDEX(properties!A$1:CB$87,'Fórmula'!J37,55)&lt;&gt;"",INDEX(properties!A$1:CB$87,'Fórmula'!J37,55)))</f>
        <v>12.37626717</v>
      </c>
      <c r="FQ37" s="118">
        <f t="array" ref="FQ37">MAX(INDEX(properties!A$1:CB$87,'Fórmula'!B37,55),INDEX(properties!A$1:CB$87,'Fórmula'!D37,55),INDEX(properties!A$1:CB$87,'Fórmula'!F37,55),INDEX(properties!A$1:CB$87,'Fórmula'!H37,55),INDEX(properties!A$1:CB$87,'Fórmula'!J37,55))</f>
        <v>9.84</v>
      </c>
      <c r="FR37" s="118">
        <f t="array" ref="FR37">MIN(IF(INDEX(properties!A$1:CB$87,'Fórmula'!B37,55)=0,10^6,INDEX(properties!A$1:CB$87,'Fórmula'!B37,55)),IF(INDEX(properties!A$1:CB$87,'Fórmula'!D37,55)=0,10^6,INDEX(properties!A$1:CB$87,'Fórmula'!D37,55)),IF(INDEX(properties!A$1:CB$87,'Fórmula'!F37,55)=0,10^6,INDEX(properties!A$1:CB$87,'Fórmula'!F37,55)),IF(INDEX(properties!A$1:CB$87,'Fórmula'!H37,55)=0,10^6,INDEX(properties!A$1:CB$87,'Fórmula'!H37,55)),IF(INDEX(properties!A$1:CB$87,'Fórmula'!J37,55)=0,10^6,INDEX(properties!A$1:CB$87,'Fórmula'!J37,55)))</f>
        <v>0.00143</v>
      </c>
      <c r="FS37" s="118">
        <f t="shared" si="29"/>
        <v>9.83857</v>
      </c>
      <c r="FT37" s="119">
        <f t="array" ref="FT37">(('Fórmula'!C37)/('Fórmula'!C37+'Fórmula'!E37+'Fórmula'!G37+'Fórmula'!I37+'Fórmula'!K37))*(INDEX(properties!A$1:CB$87,'Fórmula'!B37,56))+(('Fórmula'!E37)/('Fórmula'!C37+'Fórmula'!E37+'Fórmula'!G37+'Fórmula'!I37+'Fórmula'!K37))*(INDEX(properties!A$1:CB$87,'Fórmula'!D37,56))+(('Fórmula'!G37)/('Fórmula'!C37+'Fórmula'!E37+'Fórmula'!G37+'Fórmula'!I37+'Fórmula'!K37))*(INDEX(properties!A$1:CB$87,'Fórmula'!F37,56))+(('Fórmula'!I37)/('Fórmula'!C37+'Fórmula'!E37+'Fórmula'!G37+'Fórmula'!I37+'Fórmula'!K37))*(INDEX(properties!A$1:CB$87,'Fórmula'!H37,56))+(('Fórmula'!K37)/('Fórmula'!C37+'Fórmula'!E37+'Fórmula'!G37+'Fórmula'!I37+'Fórmula'!K37))*(INDEX(properties!A$1:CB$87,'Fórmula'!J37,56))</f>
        <v>0.7769230769</v>
      </c>
      <c r="FU37" s="119">
        <f t="array" ref="FU37">'Fórmula'!C37*(INDEX(properties!A$1:CB$87,'Fórmula'!B37,56))+'Fórmula'!E37*(INDEX(properties!A$1:CB$87,'Fórmula'!D37,56))+'Fórmula'!G37*(INDEX(properties!A$1:CB$87,'Fórmula'!F37,56))+'Fórmula'!I37*(INDEX(properties!A$1:CB$87,'Fórmula'!H37,56))+'Fórmula'!K37*(INDEX(properties!A$1:CB$87,'Fórmula'!J37,56))</f>
        <v>10.1</v>
      </c>
      <c r="FV37" s="119">
        <f t="array" ref="FV37">VARP(IF(INDEX(properties!A$1:CB$87,'Fórmula'!B37,56)&lt;&gt;"",INDEX(properties!A$1:CB$87,'Fórmula'!B37,56)),IF(INDEX(properties!A$1:CB$87,'Fórmula'!D37,56)&lt;&gt;"",INDEX(properties!A$1:CB$87,'Fórmula'!D37,56)),IF(INDEX(properties!A$1:CB$87,'Fórmula'!F37,56)&lt;&gt;"",INDEX(properties!A$1:CB$87,'Fórmula'!F37,56)),IF(INDEX(properties!A$1:CB$87,'Fórmula'!H37,56)&lt;&gt;"",INDEX(properties!A$1:CB$87,'Fórmula'!H37,56)),IF(INDEX(properties!A$1:CB$87,'Fórmula'!J37,56)&lt;&gt;"",INDEX(properties!A$1:CB$87,'Fórmula'!J37,56)))</f>
        <v>0.088776</v>
      </c>
      <c r="FW37" s="119">
        <f t="array" ref="FW37">MAX(INDEX(properties!A$1:CB$87,'Fórmula'!B37,56),INDEX(properties!A$1:CB$87,'Fórmula'!D37,56),INDEX(properties!A$1:CB$87,'Fórmula'!F37,56),INDEX(properties!A$1:CB$87,'Fórmula'!H37,56),INDEX(properties!A$1:CB$87,'Fórmula'!J37,56))</f>
        <v>0.92</v>
      </c>
      <c r="FX37" s="119">
        <f t="array" ref="FX37">MIN(IF(INDEX(properties!A$1:CB$87,'Fórmula'!B37,56)=0,10^6,INDEX(properties!A$1:CB$87,'Fórmula'!B37,56)),IF(INDEX(properties!A$1:CB$87,'Fórmula'!D37,56)=0,10^6,INDEX(properties!A$1:CB$87,'Fórmula'!D37,56)),IF(INDEX(properties!A$1:CB$87,'Fórmula'!F37,56)=0,10^6,INDEX(properties!A$1:CB$87,'Fórmula'!F37,56)),IF(INDEX(properties!A$1:CB$87,'Fórmula'!H37,56)=0,10^6,INDEX(properties!A$1:CB$87,'Fórmula'!H37,56)),IF(INDEX(properties!A$1:CB$87,'Fórmula'!J37,56)=0,10^6,INDEX(properties!A$1:CB$87,'Fórmula'!J37,56)))</f>
        <v>0.15</v>
      </c>
      <c r="FY37" s="119">
        <f t="shared" si="30"/>
        <v>0.77</v>
      </c>
      <c r="FZ37" s="104">
        <f t="array" ref="FZ37">(('Fórmula'!C37)/('Fórmula'!C37+'Fórmula'!E37+'Fórmula'!G37+'Fórmula'!I37+'Fórmula'!K37))*(INDEX(properties!A$1:CB$87,'Fórmula'!B37,57))+(('Fórmula'!E37)/('Fórmula'!C37+'Fórmula'!E37+'Fórmula'!G37+'Fórmula'!I37+'Fórmula'!K37))*(INDEX(properties!A$1:CB$87,'Fórmula'!D37,57))+(('Fórmula'!G37)/('Fórmula'!C37+'Fórmula'!E37+'Fórmula'!G37+'Fórmula'!I37+'Fórmula'!K37))*(INDEX(properties!A$1:CB$87,'Fórmula'!F37,57))+(('Fórmula'!I37)/('Fórmula'!C37+'Fórmula'!E37+'Fórmula'!G37+'Fórmula'!I37+'Fórmula'!K37))*(INDEX(properties!A$1:CB$87,'Fórmula'!H37,57))+(('Fórmula'!K37)/('Fórmula'!C37+'Fórmula'!E37+'Fórmula'!G37+'Fórmula'!I37+'Fórmula'!K37))*(INDEX(properties!A$1:CB$87,'Fórmula'!J37,57))</f>
        <v>2.486824615</v>
      </c>
      <c r="GA37" s="104">
        <f t="array" ref="GA37">'Fórmula'!C37*(INDEX(properties!A$1:CB$87,'Fórmula'!B37,57))+'Fórmula'!E37*(INDEX(properties!A$1:CB$87,'Fórmula'!D37,57))+'Fórmula'!G37*(INDEX(properties!A$1:CB$87,'Fórmula'!F37,57))+'Fórmula'!I37*(INDEX(properties!A$1:CB$87,'Fórmula'!H37,57))+'Fórmula'!K37*(INDEX(properties!A$1:CB$87,'Fórmula'!J37,57))</f>
        <v>32.32872</v>
      </c>
      <c r="GB37" s="104">
        <f t="array" ref="GB37">VARP(IF(INDEX(properties!A$1:CB$87,'Fórmula'!B37,57)&lt;&gt;"",INDEX(properties!A$1:CB$87,'Fórmula'!B37,57)),IF(INDEX(properties!A$1:CB$87,'Fórmula'!D37,57)&lt;&gt;"",INDEX(properties!A$1:CB$87,'Fórmula'!D37,57)),IF(INDEX(properties!A$1:CB$87,'Fórmula'!F37,57)&lt;&gt;"",INDEX(properties!A$1:CB$87,'Fórmula'!F37,57)),IF(INDEX(properties!A$1:CB$87,'Fórmula'!H37,57)&lt;&gt;"",INDEX(properties!A$1:CB$87,'Fórmula'!H37,57)),IF(INDEX(properties!A$1:CB$87,'Fórmula'!J37,57)&lt;&gt;"",INDEX(properties!A$1:CB$87,'Fórmula'!J37,57)))</f>
        <v>47.88261815</v>
      </c>
      <c r="GC37" s="104">
        <f t="array" ref="GC37">MAX(INDEX(properties!A$1:CB$87,'Fórmula'!B37,57),INDEX(properties!A$1:CB$87,'Fórmula'!D37,57),INDEX(properties!A$1:CB$87,'Fórmula'!F37,57),INDEX(properties!A$1:CB$87,'Fórmula'!H37,57),INDEX(properties!A$1:CB$87,'Fórmula'!J37,57))</f>
        <v>18.6</v>
      </c>
      <c r="GD37" s="104">
        <f t="array" ref="GD37">MIN(IF(INDEX(properties!A$1:CB$87,'Fórmula'!B37,57)=0,10^6,INDEX(properties!A$1:CB$87,'Fórmula'!B37,57)),IF(INDEX(properties!A$1:CB$87,'Fórmula'!D37,57)=0,10^6,INDEX(properties!A$1:CB$87,'Fórmula'!D37,57)),IF(INDEX(properties!A$1:CB$87,'Fórmula'!F37,57)=0,10^6,INDEX(properties!A$1:CB$87,'Fórmula'!F37,57)),IF(INDEX(properties!A$1:CB$87,'Fórmula'!H37,57)=0,10^6,INDEX(properties!A$1:CB$87,'Fórmula'!H37,57)),IF(INDEX(properties!A$1:CB$87,'Fórmula'!J37,57)=0,10^6,INDEX(properties!A$1:CB$87,'Fórmula'!J37,57)))</f>
        <v>0.22259</v>
      </c>
      <c r="GE37" s="104">
        <f t="shared" si="31"/>
        <v>18.37741</v>
      </c>
      <c r="GF37" s="105">
        <f t="array" ref="GF37">(('Fórmula'!C37)/('Fórmula'!C37+'Fórmula'!E37+'Fórmula'!G37+'Fórmula'!I37+'Fórmula'!K37))*(INDEX(properties!A$1:CB$87,'Fórmula'!B37,60))+(('Fórmula'!E37)/('Fórmula'!C37+'Fórmula'!E37+'Fórmula'!G37+'Fórmula'!I37+'Fórmula'!K37))*(INDEX(properties!A$1:CB$87,'Fórmula'!D37,60))+(('Fórmula'!G37)/('Fórmula'!C37+'Fórmula'!E37+'Fórmula'!G37+'Fórmula'!I37+'Fórmula'!K37))*(INDEX(properties!A$1:CB$87,'Fórmula'!F37,60))+(('Fórmula'!I37)/('Fórmula'!C37+'Fórmula'!E37+'Fórmula'!G37+'Fórmula'!I37+'Fórmula'!K37))*(INDEX(properties!A$1:CB$87,'Fórmula'!H37,60))+(('Fórmula'!K37)/('Fórmula'!C37+'Fórmula'!E37+'Fórmula'!G37+'Fórmula'!I37+'Fórmula'!K37))*(INDEX(properties!A$1:CB$87,'Fórmula'!J37,60))</f>
        <v>11.90645538</v>
      </c>
      <c r="GG37" s="105">
        <f t="array" ref="GG37">'Fórmula'!C37*(INDEX(properties!A$1:CB$87,'Fórmula'!B37,60))+'Fórmula'!E37*(INDEX(properties!A$1:CB$87,'Fórmula'!D37,60))+'Fórmula'!G37*(INDEX(properties!A$1:CB$87,'Fórmula'!F37,60))+'Fórmula'!I37*(INDEX(properties!A$1:CB$87,'Fórmula'!H37,60))+'Fórmula'!K37*(INDEX(properties!A$1:CB$87,'Fórmula'!J37,60))</f>
        <v>154.78392</v>
      </c>
      <c r="GH37" s="105">
        <f t="array" ref="GH37">VARP(IF(INDEX(properties!A$1:CB$87,'Fórmula'!B37,60)&lt;&gt;"",INDEX(properties!A$1:CB$87,'Fórmula'!B37,60)),IF(INDEX(properties!A$1:CB$87,'Fórmula'!D37,60)&lt;&gt;"",INDEX(properties!A$1:CB$87,'Fórmula'!D37,60)),IF(INDEX(properties!A$1:CB$87,'Fórmula'!F37,60)&lt;&gt;"",INDEX(properties!A$1:CB$87,'Fórmula'!F37,60)),IF(INDEX(properties!A$1:CB$87,'Fórmula'!H37,60)&lt;&gt;"",INDEX(properties!A$1:CB$87,'Fórmula'!H37,60)),IF(INDEX(properties!A$1:CB$87,'Fórmula'!J37,60)&lt;&gt;"",INDEX(properties!A$1:CB$87,'Fórmula'!J37,60)))</f>
        <v>1447.071317</v>
      </c>
      <c r="GI37" s="105">
        <f t="array" ref="GI37">MAX(INDEX(properties!A$1:CB$87,'Fórmula'!B37,60),INDEX(properties!A$1:CB$87,'Fórmula'!D37,60),INDEX(properties!A$1:CB$87,'Fórmula'!F37,60),INDEX(properties!A$1:CB$87,'Fórmula'!H37,60),INDEX(properties!A$1:CB$87,'Fórmula'!J37,60))</f>
        <v>102.4</v>
      </c>
      <c r="GJ37" s="105">
        <f t="array" ref="GJ37">MIN(IF(INDEX(properties!A$1:CB$87,'Fórmula'!B37,60)=0,10^6,INDEX(properties!A$1:CB$87,'Fórmula'!B37,60)),IF(INDEX(properties!A$1:CB$87,'Fórmula'!D37,60)=0,10^6,INDEX(properties!A$1:CB$87,'Fórmula'!D37,60)),IF(INDEX(properties!A$1:CB$87,'Fórmula'!F37,60)=0,10^6,INDEX(properties!A$1:CB$87,'Fórmula'!F37,60)),IF(INDEX(properties!A$1:CB$87,'Fórmula'!H37,60)=0,10^6,INDEX(properties!A$1:CB$87,'Fórmula'!H37,60)),IF(INDEX(properties!A$1:CB$87,'Fórmula'!J37,60)=0,10^6,INDEX(properties!A$1:CB$87,'Fórmula'!J37,60)))</f>
        <v>0.02674</v>
      </c>
      <c r="GK37" s="105">
        <f t="shared" si="32"/>
        <v>102.37326</v>
      </c>
      <c r="GL37" s="106">
        <f t="array" ref="GL37">(('Fórmula'!C37)/('Fórmula'!C37+'Fórmula'!E37+'Fórmula'!G37+'Fórmula'!I37+'Fórmula'!K37))*(INDEX(properties!A$1:CB$87,'Fórmula'!B37,62))+(('Fórmula'!E37)/('Fórmula'!C37+'Fórmula'!E37+'Fórmula'!G37+'Fórmula'!I37+'Fórmula'!K37))*(INDEX(properties!A$1:CB$87,'Fórmula'!D37,62))+(('Fórmula'!G37)/('Fórmula'!C37+'Fórmula'!E37+'Fórmula'!G37+'Fórmula'!I37+'Fórmula'!K37))*(INDEX(properties!A$1:CB$87,'Fórmula'!F37,62))+(('Fórmula'!I37)/('Fórmula'!C37+'Fórmula'!E37+'Fórmula'!G37+'Fórmula'!I37+'Fórmula'!K37))*(INDEX(properties!A$1:CB$87,'Fórmula'!H37,62))+(('Fórmula'!K37)/('Fórmula'!C37+'Fórmula'!E37+'Fórmula'!G37+'Fórmula'!I37+'Fórmula'!K37))*(INDEX(properties!A$1:CB$87,'Fórmula'!J37,62))</f>
        <v>2.684923077</v>
      </c>
      <c r="GM37" s="106">
        <f t="array" ref="GM37">'Fórmula'!C37*(INDEX(properties!A$1:CB$87,'Fórmula'!B37,62))+'Fórmula'!E37*(INDEX(properties!A$1:CB$87,'Fórmula'!D37,62))+'Fórmula'!G37*(INDEX(properties!A$1:CB$87,'Fórmula'!F37,62))+'Fórmula'!I37*(INDEX(properties!A$1:CB$87,'Fórmula'!H37,62))+'Fórmula'!K37*(INDEX(properties!A$1:CB$87,'Fórmula'!J37,62))</f>
        <v>34.904</v>
      </c>
      <c r="GN37" s="106">
        <f t="array" ref="GN37">VARP(IF(INDEX(properties!A$1:CB$87,'Fórmula'!B37,62)&lt;&gt;"",INDEX(properties!A$1:CB$87,'Fórmula'!B37,62)),IF(INDEX(properties!A$1:CB$87,'Fórmula'!D37,62)&lt;&gt;"",INDEX(properties!A$1:CB$87,'Fórmula'!D37,62)),IF(INDEX(properties!A$1:CB$87,'Fórmula'!F37,62)&lt;&gt;"",INDEX(properties!A$1:CB$87,'Fórmula'!F37,62)),IF(INDEX(properties!A$1:CB$87,'Fórmula'!H37,62)&lt;&gt;"",INDEX(properties!A$1:CB$87,'Fórmula'!H37,62)),IF(INDEX(properties!A$1:CB$87,'Fórmula'!J37,62)&lt;&gt;"",INDEX(properties!A$1:CB$87,'Fórmula'!J37,62)))</f>
        <v>1.51691296</v>
      </c>
      <c r="GO37" s="106">
        <f t="array" ref="GO37">MAX(INDEX(properties!A$1:CB$87,'Fórmula'!B37,62),INDEX(properties!A$1:CB$87,'Fórmula'!D37,62),INDEX(properties!A$1:CB$87,'Fórmula'!F37,62),INDEX(properties!A$1:CB$87,'Fórmula'!H37,62),INDEX(properties!A$1:CB$87,'Fórmula'!J37,62))</f>
        <v>4.43</v>
      </c>
      <c r="GP37" s="106">
        <f t="array" ref="GP37">MIN(IF(INDEX(properties!A$1:CB$87,'Fórmula'!B37,62)=0,10^6,INDEX(properties!A$1:CB$87,'Fórmula'!B37,62)),IF(INDEX(properties!A$1:CB$87,'Fórmula'!D37,62)=0,10^6,INDEX(properties!A$1:CB$87,'Fórmula'!D37,62)),IF(INDEX(properties!A$1:CB$87,'Fórmula'!F37,62)=0,10^6,INDEX(properties!A$1:CB$87,'Fórmula'!F37,62)),IF(INDEX(properties!A$1:CB$87,'Fórmula'!H37,62)=0,10^6,INDEX(properties!A$1:CB$87,'Fórmula'!H37,62)),IF(INDEX(properties!A$1:CB$87,'Fórmula'!J37,62)=0,10^6,INDEX(properties!A$1:CB$87,'Fórmula'!J37,62)))</f>
        <v>0.934</v>
      </c>
      <c r="GQ37" s="106">
        <f t="shared" si="33"/>
        <v>3.496</v>
      </c>
      <c r="GR37" s="106">
        <f>'Fórmula'!Q37</f>
        <v>180</v>
      </c>
      <c r="GS37" s="107">
        <f>'Fórmula'!P37</f>
        <v>5</v>
      </c>
      <c r="GT37" s="113">
        <f>'Fórmula'!O37</f>
        <v>2.98</v>
      </c>
      <c r="GU37" s="114">
        <f>AVERAGE('Fórmula'!R37/'Fórmula'!S37,'Fórmula'!S37/'Fórmula'!T37,'Fórmula'!T37/'Fórmula'!R37)</f>
        <v>1.002996926</v>
      </c>
      <c r="GV37" s="125">
        <f>'Fórmula'!U37</f>
        <v>274.024</v>
      </c>
      <c r="GW37" s="106">
        <f>'Fórmula'!N37</f>
        <v>0.3</v>
      </c>
    </row>
    <row r="38" ht="14.25" customHeight="1">
      <c r="A38" s="99" t="str">
        <f>'Fórmula'!A38</f>
        <v>Y2O3</v>
      </c>
      <c r="B38" s="101">
        <f t="array" ref="B38">(('Fórmula'!C38)/('Fórmula'!C38+'Fórmula'!E38+'Fórmula'!G38+'Fórmula'!I38+'Fórmula'!K38))*(INDEX(properties!A$1:CB$87,'Fórmula'!B38,3))+(('Fórmula'!E38)/('Fórmula'!C38+'Fórmula'!E38+'Fórmula'!G38+'Fórmula'!I38+'Fórmula'!K38))*(INDEX(properties!A$1:CB$87,'Fórmula'!D38,3))+(('Fórmula'!G38)/('Fórmula'!C38+'Fórmula'!E38+'Fórmula'!G38+'Fórmula'!I38+'Fórmula'!K38))*(INDEX(properties!A$1:CB$87,'Fórmula'!F38,3))+(('Fórmula'!I38)/('Fórmula'!C38+'Fórmula'!E38+'Fórmula'!G38+'Fórmula'!I38+'Fórmula'!K38))*(INDEX(properties!A$1:CB$87,'Fórmula'!H38,3))+(('Fórmula'!K38)/('Fórmula'!C38+'Fórmula'!E38+'Fórmula'!G38+'Fórmula'!I38+'Fórmula'!K38))*(INDEX(properties!A$1:CB$87,'Fórmula'!J38,3))</f>
        <v>45.161976</v>
      </c>
      <c r="C38" s="101">
        <f t="array" ref="C38">'Fórmula'!C38*(INDEX(properties!A$1:CB$87,'Fórmula'!B38,3))+'Fórmula'!E38*(INDEX(properties!A$1:CB$87,'Fórmula'!D38,3))+'Fórmula'!G38*(INDEX(properties!A$1:CB$87,'Fórmula'!F38,3))+'Fórmula'!I38*(INDEX(properties!A$1:CB$87,'Fórmula'!H38,3))+'Fórmula'!K38*(INDEX(properties!A$1:CB$87,'Fórmula'!J38,3))</f>
        <v>225.80988</v>
      </c>
      <c r="D38" s="101">
        <f t="array" ref="D38">VARP(IF(INDEX(properties!A$1:CB$87,'Fórmula'!B38,3)&lt;&gt;"",INDEX(properties!A$1:CB$87,'Fórmula'!B38,3)),IF(INDEX(properties!A$1:CB$87,'Fórmula'!D38,3)&lt;&gt;"",INDEX(properties!A$1:CB$87,'Fórmula'!D38,3)),IF(INDEX(properties!A$1:CB$87,'Fórmula'!F38,3)&lt;&gt;"",INDEX(properties!A$1:CB$87,'Fórmula'!F38,3)),IF(INDEX(properties!A$1:CB$87,'Fórmula'!H38,3)&lt;&gt;"",INDEX(properties!A$1:CB$87,'Fórmula'!H38,3)),IF(INDEX(properties!A$1:CB$87,'Fórmula'!J38,3)&lt;&gt;"",INDEX(properties!A$1:CB$87,'Fórmula'!J38,3)))</f>
        <v>1191.841462</v>
      </c>
      <c r="E38" s="101">
        <f t="array" ref="E38">MAX(INDEX(properties!A$1:CB$87,'Fórmula'!B38,3),INDEX(properties!A$1:CB$87,'Fórmula'!D38,3),INDEX(properties!A$1:CB$87,'Fórmula'!F38,3),INDEX(properties!A$1:CB$87,'Fórmula'!H38,3),INDEX(properties!A$1:CB$87,'Fórmula'!J38,3))</f>
        <v>88.90584</v>
      </c>
      <c r="F38" s="101">
        <f t="array" ref="F38">MIN(IF(INDEX(properties!A$1:CB$87,'Fórmula'!B38,3)=0,10^6,INDEX(properties!A$1:CB$87,'Fórmula'!B38,3)),IF(INDEX(properties!A$1:CB$87,'Fórmula'!D38,3)=0,10^6,INDEX(properties!A$1:CB$87,'Fórmula'!D38,3)),IF(INDEX(properties!A$1:CB$87,'Fórmula'!F38,3)=0,10^6,INDEX(properties!A$1:CB$87,'Fórmula'!F38,3)),IF(INDEX(properties!A$1:CB$87,'Fórmula'!H38,3)=0,10^6,INDEX(properties!A$1:CB$87,'Fórmula'!H38,3)),IF(INDEX(properties!A$1:CB$87,'Fórmula'!J38,3)=0,10^6,INDEX(properties!A$1:CB$87,'Fórmula'!J38,3)))</f>
        <v>15.9994</v>
      </c>
      <c r="G38" s="101">
        <f t="shared" si="1"/>
        <v>72.90644</v>
      </c>
      <c r="H38" s="102">
        <f t="array" ref="H38">(('Fórmula'!C38)/('Fórmula'!C38+'Fórmula'!E38+'Fórmula'!G38+'Fórmula'!I38+'Fórmula'!K38))*(INDEX(properties!A$1:CB$87,'Fórmula'!B38,4))+(('Fórmula'!E38)/('Fórmula'!C38+'Fórmula'!E38+'Fórmula'!G38+'Fórmula'!I38+'Fórmula'!K38))*(INDEX(properties!A$1:CB$87,'Fórmula'!D38,4))+(('Fórmula'!G38)/('Fórmula'!C38+'Fórmula'!E38+'Fórmula'!G38+'Fórmula'!I38+'Fórmula'!K38))*(INDEX(properties!A$1:CB$87,'Fórmula'!F38,4))+(('Fórmula'!I38)/('Fórmula'!C38+'Fórmula'!E38+'Fórmula'!G38+'Fórmula'!I38+'Fórmula'!K38))*(INDEX(properties!A$1:CB$87,'Fórmula'!H38,4))+(('Fórmula'!K38)/('Fórmula'!C38+'Fórmula'!E38+'Fórmula'!G38+'Fórmula'!I38+'Fórmula'!K38))*(INDEX(properties!A$1:CB$87,'Fórmula'!J38,4))</f>
        <v>20.4</v>
      </c>
      <c r="I38" s="102">
        <f t="array" ref="I38">'Fórmula'!C38*(INDEX(properties!A$1:CB$87,'Fórmula'!B38,4))+'Fórmula'!E38*(INDEX(properties!A$1:CB$87,'Fórmula'!D38,4))+'Fórmula'!G38*(INDEX(properties!A$1:CB$87,'Fórmula'!F38,4))+'Fórmula'!I38*(INDEX(properties!A$1:CB$87,'Fórmula'!H38,4))+'Fórmula'!K38*(INDEX(properties!A$1:CB$87,'Fórmula'!J38,4))</f>
        <v>102</v>
      </c>
      <c r="J38" s="102">
        <f t="array" ref="J38">VARP(IF(INDEX(properties!A$1:CB$87,'Fórmula'!B38,4)&lt;&gt;"",INDEX(properties!A$1:CB$87,'Fórmula'!B38,4)),IF(INDEX(properties!A$1:CB$87,'Fórmula'!D38,4)&lt;&gt;"",INDEX(properties!A$1:CB$87,'Fórmula'!D38,4)),IF(INDEX(properties!A$1:CB$87,'Fórmula'!F38,4)&lt;&gt;"",INDEX(properties!A$1:CB$87,'Fórmula'!F38,4)),IF(INDEX(properties!A$1:CB$87,'Fórmula'!H38,4)&lt;&gt;"",INDEX(properties!A$1:CB$87,'Fórmula'!H38,4)),IF(INDEX(properties!A$1:CB$87,'Fórmula'!J38,4)&lt;&gt;"",INDEX(properties!A$1:CB$87,'Fórmula'!J38,4)))</f>
        <v>228.64</v>
      </c>
      <c r="K38" s="102">
        <f t="array" ref="K38">MAX(INDEX(properties!A$1:CB$87,'Fórmula'!B38,4),INDEX(properties!A$1:CB$87,'Fórmula'!D38,4),INDEX(properties!A$1:CB$87,'Fórmula'!F38,4),INDEX(properties!A$1:CB$87,'Fórmula'!H38,4),INDEX(properties!A$1:CB$87,'Fórmula'!J38,4))</f>
        <v>39</v>
      </c>
      <c r="L38" s="102">
        <f t="array" ref="L38">MIN(IF(INDEX(properties!A$1:CB$87,'Fórmula'!B38,4)=0,10^6,INDEX(properties!A$1:CB$87,'Fórmula'!B38,4)),IF(INDEX(properties!A$1:CB$87,'Fórmula'!D38,4)=0,10^6,INDEX(properties!A$1:CB$87,'Fórmula'!D38,4)),IF(INDEX(properties!A$1:CB$87,'Fórmula'!F38,4)=0,10^6,INDEX(properties!A$1:CB$87,'Fórmula'!F38,4)),IF(INDEX(properties!A$1:CB$87,'Fórmula'!H38,4)=0,10^6,INDEX(properties!A$1:CB$87,'Fórmula'!H38,4)),IF(INDEX(properties!A$1:CB$87,'Fórmula'!J38,4)=0,10^6,INDEX(properties!A$1:CB$87,'Fórmula'!J38,4)))</f>
        <v>8</v>
      </c>
      <c r="M38" s="102">
        <f t="shared" si="2"/>
        <v>31</v>
      </c>
      <c r="N38" s="103">
        <f t="array" ref="N38">(('Fórmula'!C38)/('Fórmula'!C38+'Fórmula'!E38+'Fórmula'!G38+'Fórmula'!I38+'Fórmula'!K38))*(INDEX(properties!A$1:CB$87,'Fórmula'!B38,5))+(('Fórmula'!E38)/('Fórmula'!C38+'Fórmula'!E38+'Fórmula'!G38+'Fórmula'!I38+'Fórmula'!K38))*(INDEX(properties!A$1:CB$87,'Fórmula'!D38,5))+(('Fórmula'!G38)/('Fórmula'!C38+'Fórmula'!E38+'Fórmula'!G38+'Fórmula'!I38+'Fórmula'!K38))*(INDEX(properties!A$1:CB$87,'Fórmula'!F38,5))+(('Fórmula'!I38)/('Fórmula'!C38+'Fórmula'!E38+'Fórmula'!G38+'Fórmula'!I38+'Fórmula'!K38))*(INDEX(properties!A$1:CB$87,'Fórmula'!H38,5))+(('Fórmula'!K38)/('Fórmula'!C38+'Fórmula'!E38+'Fórmula'!G38+'Fórmula'!I38+'Fórmula'!K38))*(INDEX(properties!A$1:CB$87,'Fórmula'!J38,5))</f>
        <v>3.2</v>
      </c>
      <c r="O38" s="103">
        <f t="array" ref="O38">'Fórmula'!C38*(INDEX(properties!A$1:CB$87,'Fórmula'!B38,5))+'Fórmula'!E38*(INDEX(properties!A$1:CB$87,'Fórmula'!D38,5))+'Fórmula'!G38*(INDEX(properties!A$1:CB$87,'Fórmula'!F38,5))+'Fórmula'!I38*(INDEX(properties!A$1:CB$87,'Fórmula'!H38,5))+'Fórmula'!K38*(INDEX(properties!A$1:CB$87,'Fórmula'!J38,5))</f>
        <v>16</v>
      </c>
      <c r="P38" s="103">
        <f t="array" ref="P38">VARP(IF(INDEX(properties!A$1:CB$87,'Fórmula'!B38,5)&lt;&gt;"",INDEX(properties!A$1:CB$87,'Fórmula'!B38,5)),IF(INDEX(properties!A$1:CB$87,'Fórmula'!D38,5)&lt;&gt;"",INDEX(properties!A$1:CB$87,'Fórmula'!D38,5)),IF(INDEX(properties!A$1:CB$87,'Fórmula'!F38,5)&lt;&gt;"",INDEX(properties!A$1:CB$87,'Fórmula'!F38,5)),IF(INDEX(properties!A$1:CB$87,'Fórmula'!H38,5)&lt;&gt;"",INDEX(properties!A$1:CB$87,'Fórmula'!H38,5)),IF(INDEX(properties!A$1:CB$87,'Fórmula'!J38,5)&lt;&gt;"",INDEX(properties!A$1:CB$87,'Fórmula'!J38,5)))</f>
        <v>3.84</v>
      </c>
      <c r="Q38" s="103">
        <f t="array" ref="Q38">MAX(INDEX(properties!A$1:CB$87,'Fórmula'!B38,5),INDEX(properties!A$1:CB$87,'Fórmula'!D38,5),INDEX(properties!A$1:CB$87,'Fórmula'!F38,5),INDEX(properties!A$1:CB$87,'Fórmula'!H38,5),INDEX(properties!A$1:CB$87,'Fórmula'!J38,5))</f>
        <v>5</v>
      </c>
      <c r="R38" s="103">
        <f t="array" ref="R38">MIN(IF(INDEX(properties!A$1:CB$87,'Fórmula'!B38,5)=0,10^6,INDEX(properties!A$1:CB$87,'Fórmula'!B38,5)),IF(INDEX(properties!A$1:CB$87,'Fórmula'!D38,5)=0,10^6,INDEX(properties!A$1:CB$87,'Fórmula'!D38,5)),IF(INDEX(properties!A$1:CB$87,'Fórmula'!F38,5)=0,10^6,INDEX(properties!A$1:CB$87,'Fórmula'!F38,5)),IF(INDEX(properties!A$1:CB$87,'Fórmula'!H38,5)=0,10^6,INDEX(properties!A$1:CB$87,'Fórmula'!H38,5)),IF(INDEX(properties!A$1:CB$87,'Fórmula'!J38,5)=0,10^6,INDEX(properties!A$1:CB$87,'Fórmula'!J38,5)))</f>
        <v>2</v>
      </c>
      <c r="S38" s="103">
        <f t="shared" si="3"/>
        <v>3</v>
      </c>
      <c r="T38" s="104">
        <f t="array" ref="T38">(('Fórmula'!C38)/('Fórmula'!C38+'Fórmula'!E38+'Fórmula'!G38+'Fórmula'!I38+'Fórmula'!K38))*(INDEX(properties!A$1:CB$87,'Fórmula'!B38,6))+(('Fórmula'!E38)/('Fórmula'!C38+'Fórmula'!E38+'Fórmula'!G38+'Fórmula'!I38+'Fórmula'!K38))*(INDEX(properties!A$1:CB$87,'Fórmula'!D38,6))+(('Fórmula'!G38)/('Fórmula'!C38+'Fórmula'!E38+'Fórmula'!G38+'Fórmula'!I38+'Fórmula'!K38))*(INDEX(properties!A$1:CB$87,'Fórmula'!F38,6))+(('Fórmula'!I38)/('Fórmula'!C38+'Fórmula'!E38+'Fórmula'!G38+'Fórmula'!I38+'Fórmula'!K38))*(INDEX(properties!A$1:CB$87,'Fórmula'!H38,6))+(('Fórmula'!K38)/('Fórmula'!C38+'Fórmula'!E38+'Fórmula'!G38+'Fórmula'!I38+'Fórmula'!K38))*(INDEX(properties!A$1:CB$87,'Fórmula'!J38,6))</f>
        <v>10.8</v>
      </c>
      <c r="U38" s="104">
        <f t="array" ref="U38">'Fórmula'!C38*(INDEX(properties!A$1:CB$87,'Fórmula'!B38,6))+'Fórmula'!E38*(INDEX(properties!A$1:CB$87,'Fórmula'!D38,6))+'Fórmula'!G38*(INDEX(properties!A$1:CB$87,'Fórmula'!F38,6))+'Fórmula'!I38*(INDEX(properties!A$1:CB$87,'Fórmula'!H38,6))+'Fórmula'!K38*(INDEX(properties!A$1:CB$87,'Fórmula'!J38,6))</f>
        <v>54</v>
      </c>
      <c r="V38" s="103">
        <f t="array" ref="V38">VARP(IF(INDEX(properties!A$1:CB$87,'Fórmula'!B38,6)&lt;&gt;"",INDEX(properties!A$1:CB$87,'Fórmula'!B38,6)),IF(INDEX(properties!A$1:CB$87,'Fórmula'!D38,6)&lt;&gt;"",INDEX(properties!A$1:CB$87,'Fórmula'!D38,6)),IF(INDEX(properties!A$1:CB$87,'Fórmula'!F38,6)&lt;&gt;"",INDEX(properties!A$1:CB$87,'Fórmula'!F38,6)),IF(INDEX(properties!A$1:CB$87,'Fórmula'!H38,6)&lt;&gt;"",INDEX(properties!A$1:CB$87,'Fórmula'!H38,6)),IF(INDEX(properties!A$1:CB$87,'Fórmula'!J38,6)&lt;&gt;"",INDEX(properties!A$1:CB$87,'Fórmula'!J38,6)))</f>
        <v>38.56</v>
      </c>
      <c r="W38" s="104">
        <f t="array" ref="W38">MAX(INDEX(properties!A$1:CB$87,'Fórmula'!B38,6),INDEX(properties!A$1:CB$87,'Fórmula'!D38,6),INDEX(properties!A$1:CB$87,'Fórmula'!F38,6),INDEX(properties!A$1:CB$87,'Fórmula'!H38,4),INDEX(properties!A$1:CB$87,'Fórmula'!J38,6))</f>
        <v>16</v>
      </c>
      <c r="X38" s="104">
        <f t="array" ref="X38">MIN(IF(INDEX(properties!A$1:CB$87,'Fórmula'!B38,6)=0,10^6,INDEX(properties!A$1:CB$87,'Fórmula'!B38,6)),IF(INDEX(properties!A$1:CB$87,'Fórmula'!D38,6)=0,10^6,INDEX(properties!A$1:CB$87,'Fórmula'!D38,6)),IF(INDEX(properties!A$1:CB$87,'Fórmula'!F38,6)=0,10^6,INDEX(properties!A$1:CB$87,'Fórmula'!F38,6)),IF(INDEX(properties!A$1:CB$87,'Fórmula'!H38,6)=0,10^6,INDEX(properties!A$1:CB$87,'Fórmula'!H38,6)),IF(INDEX(properties!A$1:CB$87,'Fórmula'!J38,6)=0,10^6,INDEX(properties!A$1:CB$87,'Fórmula'!J38,6)))</f>
        <v>3</v>
      </c>
      <c r="Y38" s="104">
        <f t="shared" si="4"/>
        <v>13</v>
      </c>
      <c r="Z38" s="105">
        <f t="array" ref="Z38">(('Fórmula'!C38)/('Fórmula'!C38+'Fórmula'!E38+'Fórmula'!G38+'Fórmula'!I38+'Fórmula'!K38))*(INDEX(properties!A$1:CB$87,'Fórmula'!B38,9))+(('Fórmula'!E38)/('Fórmula'!C38+'Fórmula'!E38+'Fórmula'!G38+'Fórmula'!I38+'Fórmula'!K38))*(INDEX(properties!A$1:CB$87,'Fórmula'!D38,9))+(('Fórmula'!G38)/('Fórmula'!C38+'Fórmula'!E38+'Fórmula'!G38+'Fórmula'!I38+'Fórmula'!K38))*(INDEX(properties!A$1:CB$87,'Fórmula'!F38,9))+(('Fórmula'!I38)/('Fórmula'!C38+'Fórmula'!E38+'Fórmula'!G38+'Fórmula'!I38+'Fórmula'!K38))*(INDEX(properties!A$1:CB$87,'Fórmula'!H38,9))+(('Fórmula'!K38)/('Fórmula'!C38+'Fórmula'!E38+'Fórmula'!G38+'Fórmula'!I38+'Fórmula'!K38))*(INDEX(properties!A$1:CB$87,'Fórmula'!J38,9))</f>
        <v>57</v>
      </c>
      <c r="AA38" s="105">
        <f t="array" ref="AA38">'Fórmula'!C38*(INDEX(properties!A$1:CB$87,'Fórmula'!B38,9))+'Fórmula'!E38*(INDEX(properties!A$1:CB$87,'Fórmula'!D38,9))+'Fórmula'!G38*(INDEX(properties!A$1:CB$87,'Fórmula'!F38,9))+'Fórmula'!I38*(INDEX(properties!A$1:CB$87,'Fórmula'!H38,9))+'Fórmula'!K38*(INDEX(properties!A$1:CB$87,'Fórmula'!J38,9))</f>
        <v>285</v>
      </c>
      <c r="AB38" s="105">
        <f t="array" ref="AB38">VARP(IF(INDEX(properties!A$1:CB$87,'Fórmula'!B38,9)&lt;&gt;"",INDEX(properties!A$1:CB$87,'Fórmula'!B38,9)),IF(INDEX(properties!A$1:CB$87,'Fórmula'!D38,9)&lt;&gt;"",INDEX(properties!A$1:CB$87,'Fórmula'!D38,9)),IF(INDEX(properties!A$1:CB$87,'Fórmula'!F38,9)&lt;&gt;"",INDEX(properties!A$1:CB$87,'Fórmula'!F38,9)),IF(INDEX(properties!A$1:CB$87,'Fórmula'!H38,9)&lt;&gt;"",INDEX(properties!A$1:CB$87,'Fórmula'!H38,9)),IF(INDEX(properties!A$1:CB$87,'Fórmula'!J38,9)&lt;&gt;"",INDEX(properties!A$1:CB$87,'Fórmula'!J38,9)))</f>
        <v>1150.56</v>
      </c>
      <c r="AC38" s="105">
        <f t="array" ref="AC38">MAX(INDEX(properties!A$1:CB$87,'Fórmula'!B38,9),INDEX(properties!A$1:CB$87,'Fórmula'!D38,9),INDEX(properties!A$1:CB$87,'Fórmula'!F38,9),INDEX(properties!A$1:CB$87,'Fórmula'!H38,9),INDEX(properties!A$1:CB$87,'Fórmula'!J38,9))</f>
        <v>87</v>
      </c>
      <c r="AD38" s="105">
        <f t="array" ref="AD38">MIN(IF(INDEX(properties!A$1:CB$87,'Fórmula'!B38,9)=0,10^6,INDEX(properties!A$1:CB$87,'Fórmula'!B38,9)),IF(INDEX(properties!A$1:CB$87,'Fórmula'!D38,9)=0,10^6,INDEX(properties!A$1:CB$87,'Fórmula'!D38,9)),IF(INDEX(properties!A$1:CB$87,'Fórmula'!F38,9)=0,10^6,INDEX(properties!A$1:CB$87,'Fórmula'!F38,9)),IF(INDEX(properties!A$1:CB$87,'Fórmula'!H38,9)=0,10^6,INDEX(properties!A$1:CB$87,'Fórmula'!H38,9)),IF(INDEX(properties!A$1:CB$87,'Fórmula'!J38,9)=0,10^6,INDEX(properties!A$1:CB$87,'Fórmula'!J38,9)))</f>
        <v>12</v>
      </c>
      <c r="AE38" s="105">
        <f t="shared" si="5"/>
        <v>75</v>
      </c>
      <c r="AF38" s="106">
        <f t="array" ref="AF38">(('Fórmula'!C38)/('Fórmula'!C38+'Fórmula'!E38+'Fórmula'!G38+'Fórmula'!I38+'Fórmula'!K38))*(INDEX(properties!A$1:CB$87,'Fórmula'!B38,10))+(('Fórmula'!E38)/('Fórmula'!C38+'Fórmula'!E38+'Fórmula'!G38+'Fórmula'!I38+'Fórmula'!K38))*(INDEX(properties!A$1:CB$87,'Fórmula'!D38,10))+(('Fórmula'!G38)/('Fórmula'!C38+'Fórmula'!E38+'Fórmula'!G38+'Fórmula'!I38+'Fórmula'!K38))*(INDEX(properties!A$1:CB$87,'Fórmula'!F38,10))+(('Fórmula'!I38)/('Fórmula'!C38+'Fórmula'!E38+'Fórmula'!G38+'Fórmula'!I38+'Fórmula'!K38))*(INDEX(properties!A$1:CB$87,'Fórmula'!H38,10))+(('Fórmula'!K38)/('Fórmula'!C38+'Fórmula'!E38+'Fórmula'!G38+'Fórmula'!I38+'Fórmula'!K38))*(INDEX(properties!A$1:CB$87,'Fórmula'!J38,10))</f>
        <v>5.4</v>
      </c>
      <c r="AG38" s="106">
        <f t="array" ref="AG38">'Fórmula'!C38*(INDEX(properties!A$1:CB$87,'Fórmula'!B38,10))+'Fórmula'!E38*(INDEX(properties!A$1:CB$87,'Fórmula'!D38,10))+'Fórmula'!G38*(INDEX(properties!A$1:CB$87,'Fórmula'!F38,10))+'Fórmula'!I38*(INDEX(properties!A$1:CB$87,'Fórmula'!H38,10))+'Fórmula'!K38*(INDEX(properties!A$1:CB$87,'Fórmula'!J38,10))</f>
        <v>27</v>
      </c>
      <c r="AH38" s="106">
        <f t="array" ref="AH38">VARP(IF(INDEX(properties!A$1:CB$87,'Fórmula'!B38,10)&lt;&gt;"",INDEX(properties!A$1:CB$87,'Fórmula'!B38,10)),IF(INDEX(properties!A$1:CB$87,'Fórmula'!D38,10)&lt;&gt;"",INDEX(properties!A$1:CB$87,'Fórmula'!D38,10)),IF(INDEX(properties!A$1:CB$87,'Fórmula'!F38,10)&lt;&gt;"",INDEX(properties!A$1:CB$87,'Fórmula'!F38,10)),IF(INDEX(properties!A$1:CB$87,'Fórmula'!H38,10)&lt;&gt;"",INDEX(properties!A$1:CB$87,'Fórmula'!H38,10)),IF(INDEX(properties!A$1:CB$87,'Fórmula'!J38,10)&lt;&gt;"",INDEX(properties!A$1:CB$87,'Fórmula'!J38,10)))</f>
        <v>7.6</v>
      </c>
      <c r="AI38" s="106">
        <f t="array" ref="AI38">MAX(INDEX(properties!A$1:CB$87,'Fórmula'!B38,10),INDEX(properties!A$1:CB$87,'Fórmula'!D38,10),INDEX(properties!A$1:CB$87,'Fórmula'!F38,10),INDEX(properties!A$1:CB$87,'Fórmula'!H38,10),INDEX(properties!A$1:CB$87,'Fórmula'!J38,10))</f>
        <v>7</v>
      </c>
      <c r="AJ38" s="106">
        <f t="array" ref="AJ38">MIN(IF(INDEX(properties!A$1:CB$87,'Fórmula'!B38,10)=0,10^6,INDEX(properties!A$1:CB$87,'Fórmula'!B38,10)),IF(INDEX(properties!A$1:CB$87,'Fórmula'!D38,10)=0,10^6,INDEX(properties!A$1:CB$87,'Fórmula'!D38,10)),IF(INDEX(properties!A$1:CB$87,'Fórmula'!F38,10)=0,10^6,INDEX(properties!A$1:CB$87,'Fórmula'!F38,10)),IF(INDEX(properties!A$1:CB$87,'Fórmula'!H38,10)=0,10^6,INDEX(properties!A$1:CB$87,'Fórmula'!H38,10)),IF(INDEX(properties!A$1:CB$87,'Fórmula'!J38,10)=0,10^6,INDEX(properties!A$1:CB$87,'Fórmula'!J38,10)))</f>
        <v>3</v>
      </c>
      <c r="AK38" s="106">
        <f t="shared" si="6"/>
        <v>4</v>
      </c>
      <c r="AL38" s="107">
        <f t="array" ref="AL38">(('Fórmula'!C38)/('Fórmula'!C38+'Fórmula'!E38+'Fórmula'!G38+'Fórmula'!I38+'Fórmula'!K38))*(INDEX(properties!A$1:CB$87,'Fórmula'!B38,11))+(('Fórmula'!E38)/('Fórmula'!C38+'Fórmula'!E38+'Fórmula'!G38+'Fórmula'!I38+'Fórmula'!K38))*(INDEX(properties!A$1:CB$87,'Fórmula'!D38,11))+(('Fórmula'!G38)/('Fórmula'!C38+'Fórmula'!E38+'Fórmula'!G38+'Fórmula'!I38+'Fórmula'!K38))*(INDEX(properties!A$1:CB$87,'Fórmula'!F38,11))+(('Fórmula'!I38)/('Fórmula'!C38+'Fórmula'!E38+'Fórmula'!G38+'Fórmula'!I38+'Fórmula'!K38))*(INDEX(properties!A$1:CB$87,'Fórmula'!H38,11))+(('Fórmula'!K38)/('Fórmula'!C38+'Fórmula'!E38+'Fórmula'!G38+'Fórmula'!I38+'Fórmula'!K38))*(INDEX(properties!A$1:CB$87,'Fórmula'!J38,11))</f>
        <v>2</v>
      </c>
      <c r="AM38" s="107">
        <f t="array" ref="AM38">'Fórmula'!C38*(INDEX(properties!A$1:CB$87,'Fórmula'!B38,11))+'Fórmula'!E38*(INDEX(properties!A$1:CB$87,'Fórmula'!D38,11))+'Fórmula'!G38*(INDEX(properties!A$1:CB$87,'Fórmula'!F38,11))+'Fórmula'!I38*(INDEX(properties!A$1:CB$87,'Fórmula'!H38,11))+'Fórmula'!K38*(INDEX(properties!A$1:CB$87,'Fórmula'!J38,11))</f>
        <v>10</v>
      </c>
      <c r="AN38" s="107">
        <f t="array" ref="AN38">VARP(IF(INDEX(properties!A$1:CB$87,'Fórmula'!B38,11)&lt;&gt;"",INDEX(properties!A$1:CB$87,'Fórmula'!B38,11)),IF(INDEX(properties!A$1:CB$87,'Fórmula'!D38,11)&lt;&gt;"",INDEX(properties!A$1:CB$87,'Fórmula'!D38,11)),IF(INDEX(properties!A$1:CB$87,'Fórmula'!F38,11)&lt;&gt;"",INDEX(properties!A$1:CB$87,'Fórmula'!F38,11)),IF(INDEX(properties!A$1:CB$87,'Fórmula'!H38,11)&lt;&gt;"",INDEX(properties!A$1:CB$87,'Fórmula'!H38,11)),IF(INDEX(properties!A$1:CB$87,'Fórmula'!J38,11)&lt;&gt;"",INDEX(properties!A$1:CB$87,'Fórmula'!J38,11)))</f>
        <v>0.96</v>
      </c>
      <c r="AO38" s="107">
        <f t="array" ref="AO38">MAX(INDEX(properties!A$1:CB$87,'Fórmula'!B38,11),INDEX(properties!A$1:CB$87,'Fórmula'!D38,11),INDEX(properties!A$1:CB$87,'Fórmula'!F38,11),INDEX(properties!A$1:CB$87,'Fórmula'!H38,11),INDEX(properties!A$1:CB$87,'Fórmula'!J38,11))</f>
        <v>2</v>
      </c>
      <c r="AP38" s="107">
        <f t="array" ref="AP38">MIN(IF('Fórmula'!B38=87,10^6,INDEX(properties!A$1:CB$87,'Fórmula'!B38,11)),IF(('Fórmula'!D38)=87,10^6,INDEX(properties!A$1:CB$87,'Fórmula'!D38,11)),IF(('Fórmula'!F38)=87,10^6,INDEX(properties!A$1:CB$87,'Fórmula'!F38,11)),IF(('Fórmula'!H38)=87,10^6,INDEX(properties!A$1:CB$87,'Fórmula'!H38,11)),IF('Fórmula'!J38=87,10^6,INDEX(properties!A$1:CB$87,'Fórmula'!J38,11)))</f>
        <v>2</v>
      </c>
      <c r="AQ38" s="107">
        <f t="shared" si="7"/>
        <v>0</v>
      </c>
      <c r="AR38" s="108">
        <f t="array" ref="AR38">(('Fórmula'!C38)/('Fórmula'!C38+'Fórmula'!E38+'Fórmula'!G38+'Fórmula'!I38+'Fórmula'!K38))*(INDEX(properties!A$1:CB$87,'Fórmula'!B38,12))+(('Fórmula'!E38)/('Fórmula'!C38+'Fórmula'!E38+'Fórmula'!G38+'Fórmula'!I38+'Fórmula'!K38))*(INDEX(properties!A$1:CB$87,'Fórmula'!D38,12))+(('Fórmula'!G38)/('Fórmula'!C38+'Fórmula'!E38+'Fórmula'!G38+'Fórmula'!I38+'Fórmula'!K38))*(INDEX(properties!A$1:CB$87,'Fórmula'!F38,12))+(('Fórmula'!I38)/('Fórmula'!C38+'Fórmula'!E38+'Fórmula'!G38+'Fórmula'!I38+'Fórmula'!K38))*(INDEX(properties!A$1:CB$87,'Fórmula'!H38,12))+(('Fórmula'!K38)/('Fórmula'!C38+'Fórmula'!E38+'Fórmula'!G38+'Fórmula'!I38+'Fórmula'!K38))*(INDEX(properties!A$1:CB$87,'Fórmula'!J38,12))</f>
        <v>2.4</v>
      </c>
      <c r="AS38" s="108">
        <f t="array" ref="AS38">'Fórmula'!C38*(INDEX(properties!A$1:CB$87,'Fórmula'!B38,12))+'Fórmula'!E38*(INDEX(properties!A$1:CB$87,'Fórmula'!D38,12))+'Fórmula'!G38*(INDEX(properties!A$1:CB$87,'Fórmula'!F38,12))+'Fórmula'!I38*(INDEX(properties!A$1:CB$87,'Fórmula'!H38,12))+'Fórmula'!K38*(INDEX(properties!A$1:CB$87,'Fórmula'!J38,12))</f>
        <v>12</v>
      </c>
      <c r="AT38" s="108">
        <f t="array" ref="AT38">VARP(IF(INDEX(properties!A$1:CB$87,'Fórmula'!B38,12)&lt;&gt;"",INDEX(properties!A$1:CB$87,'Fórmula'!B38,12)),IF(INDEX(properties!A$1:CB$87,'Fórmula'!D38,12)&lt;&gt;"",INDEX(properties!A$1:CB$87,'Fórmula'!D38,12)),IF(INDEX(properties!A$1:CB$87,'Fórmula'!F38,12)&lt;&gt;"",INDEX(properties!A$1:CB$87,'Fórmula'!F38,12)),IF(INDEX(properties!A$1:CB$87,'Fórmula'!H38,12)&lt;&gt;"",INDEX(properties!A$1:CB$87,'Fórmula'!H38,12)),IF(INDEX(properties!A$1:CB$87,'Fórmula'!J38,12)&lt;&gt;"",INDEX(properties!A$1:CB$87,'Fórmula'!J38,12)))</f>
        <v>2.56</v>
      </c>
      <c r="AU38" s="108">
        <f t="array" ref="AU38">MAX(INDEX(properties!A$1:CB$87,'Fórmula'!B38,12),INDEX(properties!A$1:CB$87,'Fórmula'!D38,12),INDEX(properties!A$1:CB$87,'Fórmula'!F38,12),INDEX(properties!A$1:CB$87,'Fórmula'!H38,12),INDEX(properties!A$1:CB$87,'Fórmula'!J38,12))</f>
        <v>4</v>
      </c>
      <c r="AV38" s="108">
        <f t="array" ref="AV38">MIN(IF('Fórmula'!B38=87,10^6,INDEX(properties!A$1:CB$87,'Fórmula'!B38,12)),IF(('Fórmula'!D38)=87,10^6,INDEX(properties!A$1:CB$87,'Fórmula'!D38,12)),IF(('Fórmula'!F38)=87,10^6,INDEX(properties!A$1:CB$87,'Fórmula'!F38,12)),IF(('Fórmula'!H38)=87,10^6,INDEX(properties!A$1:CB$87,'Fórmula'!H38,12)),IF('Fórmula'!J38=87,10^6,INDEX(properties!A$1:CB$87,'Fórmula'!J38,12)))</f>
        <v>0</v>
      </c>
      <c r="AW38" s="108">
        <f t="shared" si="8"/>
        <v>4</v>
      </c>
      <c r="AX38" s="109">
        <f t="array" ref="AX38">(('Fórmula'!C38)/('Fórmula'!C38+'Fórmula'!E38+'Fórmula'!G38+'Fórmula'!I38+'Fórmula'!K38))*(INDEX(properties!A$1:CB$87,'Fórmula'!B38,13))+(('Fórmula'!E38)/('Fórmula'!C38+'Fórmula'!E38+'Fórmula'!G38+'Fórmula'!I38+'Fórmula'!K38))*(INDEX(properties!A$1:CB$87,'Fórmula'!D38,13))+(('Fórmula'!G38)/('Fórmula'!C38+'Fórmula'!E38+'Fórmula'!G38+'Fórmula'!I38+'Fórmula'!K38))*(INDEX(properties!A$1:CB$87,'Fórmula'!F38,13))+(('Fórmula'!I38)/('Fórmula'!C38+'Fórmula'!E38+'Fórmula'!G38+'Fórmula'!I38+'Fórmula'!K38))*(INDEX(properties!A$1:CB$87,'Fórmula'!H38,13))+(('Fórmula'!K38)/('Fórmula'!C38+'Fórmula'!E38+'Fórmula'!G38+'Fórmula'!I38+'Fórmula'!K38))*(INDEX(properties!A$1:CB$87,'Fórmula'!J38,13))</f>
        <v>0.4</v>
      </c>
      <c r="AY38" s="109">
        <f t="array" ref="AY38">'Fórmula'!C38*(INDEX(properties!A$1:CB$87,'Fórmula'!B38,13))+'Fórmula'!E38*(INDEX(properties!A$1:CB$87,'Fórmula'!D38,13))+'Fórmula'!G38*(INDEX(properties!A$1:CB$87,'Fórmula'!F38,13))+'Fórmula'!I38*(INDEX(properties!A$1:CB$87,'Fórmula'!H38,13))+'Fórmula'!K38*(INDEX(properties!A$1:CB$87,'Fórmula'!J38,13))</f>
        <v>2</v>
      </c>
      <c r="AZ38" s="109">
        <f t="array" ref="AZ38">VARP(IF(INDEX(properties!A$1:CB$87,'Fórmula'!B38,13)&lt;&gt;"",INDEX(properties!A$1:CB$87,'Fórmula'!B38,13)),IF(INDEX(properties!A$1:CB$87,'Fórmula'!D38,13)&lt;&gt;"",INDEX(properties!A$1:CB$87,'Fórmula'!D38,13)),IF(INDEX(properties!A$1:CB$87,'Fórmula'!F38,13)&lt;&gt;"",INDEX(properties!A$1:CB$87,'Fórmula'!F38,13)),IF(INDEX(properties!A$1:CB$87,'Fórmula'!H38,13)&lt;&gt;"",INDEX(properties!A$1:CB$87,'Fórmula'!H38,13)),IF(INDEX(properties!A$1:CB$87,'Fórmula'!J38,13)&lt;&gt;"",INDEX(properties!A$1:CB$87,'Fórmula'!J38,13)))</f>
        <v>0.16</v>
      </c>
      <c r="BA38" s="109">
        <f t="array" ref="BA38">MAX(INDEX(properties!A$1:CB$87,'Fórmula'!B38,13),INDEX(properties!A$1:CB$87,'Fórmula'!D38,13),INDEX(properties!A$1:CB$87,'Fórmula'!F38,13),INDEX(properties!A$1:CB$87,'Fórmula'!H38,13),INDEX(properties!A$1:CB$87,'Fórmula'!J38,13))</f>
        <v>1</v>
      </c>
      <c r="BB38" s="109">
        <f t="array" ref="BB38">MIN(IF('Fórmula'!B38=87,10^6,INDEX(properties!A$1:CB$87,'Fórmula'!B38,13)),IF(('Fórmula'!D38)=87,10^6,INDEX(properties!A$1:CB$87,'Fórmula'!D38,13)),IF(('Fórmula'!F38)=87,10^6,INDEX(properties!A$1:CB$87,'Fórmula'!F38,13)),IF(('Fórmula'!H38)=87,10^6,INDEX(properties!A$1:CB$87,'Fórmula'!H38,13)),IF('Fórmula'!J38=87,10^6,INDEX(properties!A$1:CB$87,'Fórmula'!J38,13)))</f>
        <v>0</v>
      </c>
      <c r="BC38" s="109">
        <f t="shared" si="9"/>
        <v>1</v>
      </c>
      <c r="BD38" s="110">
        <f t="array" ref="BD38">(('Fórmula'!C38)/('Fórmula'!C38+'Fórmula'!E38+'Fórmula'!G38+'Fórmula'!I38+'Fórmula'!K38))*(INDEX(properties!A$1:CB$87,'Fórmula'!B38,14))+(('Fórmula'!E38)/('Fórmula'!C38+'Fórmula'!E38+'Fórmula'!G38+'Fórmula'!I38+'Fórmula'!K38))*(INDEX(properties!A$1:CB$87,'Fórmula'!D38,14))+(('Fórmula'!G38)/('Fórmula'!C38+'Fórmula'!E38+'Fórmula'!G38+'Fórmula'!I38+'Fórmula'!K38))*(INDEX(properties!A$1:CB$87,'Fórmula'!F38,14))+(('Fórmula'!I38)/('Fórmula'!C38+'Fórmula'!E38+'Fórmula'!G38+'Fórmula'!I38+'Fórmula'!K38))*(INDEX(properties!A$1:CB$87,'Fórmula'!H38,14))+(('Fórmula'!K38)/('Fórmula'!C38+'Fórmula'!E38+'Fórmula'!G38+'Fórmula'!I38+'Fórmula'!K38))*(INDEX(properties!A$1:CB$87,'Fórmula'!J38,14))</f>
        <v>0</v>
      </c>
      <c r="BE38" s="110">
        <f t="array" ref="BE38">'Fórmula'!C38*(INDEX(properties!A$1:CB$87,'Fórmula'!B38,14))+'Fórmula'!E38*(INDEX(properties!A$1:CB$87,'Fórmula'!D38,14))+'Fórmula'!G38*(INDEX(properties!A$1:CB$87,'Fórmula'!F38,14))+'Fórmula'!I38*(INDEX(properties!A$1:CB$87,'Fórmula'!H38,14))+'Fórmula'!K38*(INDEX(properties!A$1:CB$87,'Fórmula'!J38,14))</f>
        <v>0</v>
      </c>
      <c r="BF38" s="110">
        <f t="array" ref="BF38">VARP(IF(INDEX(properties!A$1:CB$87,'Fórmula'!B38,14)&lt;&gt;"",INDEX(properties!A$1:CB$87,'Fórmula'!B38,14)),IF(INDEX(properties!A$1:CB$87,'Fórmula'!D38,14)&lt;&gt;"",INDEX(properties!A$1:CB$87,'Fórmula'!D38,14)),IF(INDEX(properties!A$1:CB$87,'Fórmula'!F38,14)&lt;&gt;"",INDEX(properties!A$1:CB$87,'Fórmula'!F38,14)),IF(INDEX(properties!A$1:CB$87,'Fórmula'!H38,14)&lt;&gt;"",INDEX(properties!A$1:CB$87,'Fórmula'!H38,14)),IF(INDEX(properties!A$1:CB$87,'Fórmula'!J38,14)&lt;&gt;"",INDEX(properties!A$1:CB$87,'Fórmula'!J38,14)))</f>
        <v>0</v>
      </c>
      <c r="BG38" s="110">
        <f t="array" ref="BG38">MAX(INDEX(properties!A$1:CB$87,'Fórmula'!B38,14),INDEX(properties!A$1:CB$87,'Fórmula'!D38,14),INDEX(properties!A$1:CB$87,'Fórmula'!F38,14),INDEX(properties!A$1:CB$87,'Fórmula'!H38,14),INDEX(properties!A$1:CB$87,'Fórmula'!J38,14))</f>
        <v>0</v>
      </c>
      <c r="BH38" s="110">
        <f t="array" ref="BH38">MIN(IF('Fórmula'!B38=87,10^6,INDEX(properties!A$1:CB$87,'Fórmula'!B38,14)),IF(('Fórmula'!D38)=87,10^6,INDEX(properties!A$1:CB$87,'Fórmula'!D38,14)),IF(('Fórmula'!F38)=87,10^6,INDEX(properties!A$1:CB$87,'Fórmula'!F38,14)),IF(('Fórmula'!H38)=87,10^6,INDEX(properties!A$1:CB$87,'Fórmula'!H38,14)),IF('Fórmula'!J38=87,10^6,INDEX(properties!A$1:CB$87,'Fórmula'!J38,14)))</f>
        <v>0</v>
      </c>
      <c r="BI38" s="110">
        <f t="shared" si="10"/>
        <v>0</v>
      </c>
      <c r="BJ38" s="111">
        <f t="array" ref="BJ38">(('Fórmula'!C38)/('Fórmula'!C38+'Fórmula'!E38+'Fórmula'!G38+'Fórmula'!I38+'Fórmula'!K38))*(INDEX(properties!A$1:CB$87,'Fórmula'!B38,19))+(('Fórmula'!E38)/('Fórmula'!C38+'Fórmula'!E38+'Fórmula'!G38+'Fórmula'!I38+'Fórmula'!K38))*(INDEX(properties!A$1:CB$87,'Fórmula'!D38,19))+(('Fórmula'!G38)/('Fórmula'!C38+'Fórmula'!E38+'Fórmula'!G38+'Fórmula'!I38+'Fórmula'!K38))*(INDEX(properties!A$1:CB$87,'Fórmula'!F38,19))+(('Fórmula'!I38)/('Fórmula'!C38+'Fórmula'!E38+'Fórmula'!G38+'Fórmula'!I38+'Fórmula'!K38))*(INDEX(properties!A$1:CB$87,'Fórmula'!H38,19))+(('Fórmula'!K38)/('Fórmula'!C38+'Fórmula'!E38+'Fórmula'!G38+'Fórmula'!I38+'Fórmula'!K38))*(INDEX(properties!A$1:CB$87,'Fórmula'!J38,19))</f>
        <v>4.8</v>
      </c>
      <c r="BK38" s="111">
        <f t="array" ref="BK38">'Fórmula'!C38*(INDEX(properties!A$1:CB$87,'Fórmula'!B38,19))+'Fórmula'!E38*(INDEX(properties!A$1:CB$87,'Fórmula'!D38,19))+'Fórmula'!G38*(INDEX(properties!A$1:CB$87,'Fórmula'!F38,19))+'Fórmula'!I38*(INDEX(properties!A$1:CB$87,'Fórmula'!H38,19))+'Fórmula'!K38*(INDEX(properties!A$1:CB$87,'Fórmula'!J38,19))</f>
        <v>24</v>
      </c>
      <c r="BL38" s="111">
        <f t="array" ref="BL38">VARP(IF(INDEX(properties!A$1:CB$87,'Fórmula'!B38,19)&lt;&gt;"",INDEX(properties!A$1:CB$87,'Fórmula'!B38,19)),IF(INDEX(properties!A$1:CB$87,'Fórmula'!D38,19)&lt;&gt;"",INDEX(properties!A$1:CB$87,'Fórmula'!D38,19)),IF(INDEX(properties!A$1:CB$87,'Fórmula'!F38,19)&lt;&gt;"",INDEX(properties!A$1:CB$87,'Fórmula'!F38,19)),IF(INDEX(properties!A$1:CB$87,'Fórmula'!H38,19)&lt;&gt;"",INDEX(properties!A$1:CB$87,'Fórmula'!H38,19)),IF(INDEX(properties!A$1:CB$87,'Fórmula'!J38,19)&lt;&gt;"",INDEX(properties!A$1:CB$87,'Fórmula'!J38,19)))</f>
        <v>5.76</v>
      </c>
      <c r="BM38" s="111">
        <f t="array" ref="BM38">MAX(INDEX(properties!A$1:CB$87,'Fórmula'!B38,19),INDEX(properties!A$1:CB$87,'Fórmula'!D38,19),INDEX(properties!A$1:CB$87,'Fórmula'!F38,19),INDEX(properties!A$1:CB$87,'Fórmula'!H38,19),INDEX(properties!A$1:CB$87,'Fórmula'!J38,19))</f>
        <v>6</v>
      </c>
      <c r="BN38" s="111">
        <f t="array" ref="BN38">MIN(IF(INDEX(properties!A$1:CB$87,'Fórmula'!B38,19)=0,10^6,INDEX(properties!A$1:CB$87,'Fórmula'!B38,19)),IF(INDEX(properties!A$1:CB$87,'Fórmula'!D38,19)=0,10^6,INDEX(properties!A$1:CB$87,'Fórmula'!D38,19)),IF(INDEX(properties!A$1:CB$87,'Fórmula'!F38,19)=0,10^6,INDEX(properties!A$1:CB$87,'Fórmula'!F38,19)),IF(INDEX(properties!A$1:CB$87,'Fórmula'!H38,19)=0,10^6,INDEX(properties!A$1:CB$87,'Fórmula'!H38,19)),IF(INDEX(properties!A$1:CB$87,'Fórmula'!J38,19)=0,10^6,INDEX(properties!A$1:CB$87,'Fórmula'!J38,19)))</f>
        <v>3</v>
      </c>
      <c r="BO38" s="111">
        <f t="shared" si="11"/>
        <v>3</v>
      </c>
      <c r="BP38" s="112">
        <f t="array" ref="BP38">(('Fórmula'!C38)/('Fórmula'!C38+'Fórmula'!E38+'Fórmula'!G38+'Fórmula'!I38+'Fórmula'!K38))*(INDEX(properties!A$1:CB$87,'Fórmula'!B38,20))+(('Fórmula'!E38)/('Fórmula'!C38+'Fórmula'!E38+'Fórmula'!G38+'Fórmula'!I38+'Fórmula'!K38))*(INDEX(properties!A$1:CB$87,'Fórmula'!D38,20))+(('Fórmula'!G38)/('Fórmula'!C38+'Fórmula'!E38+'Fórmula'!G38+'Fórmula'!I38+'Fórmula'!K38))*(INDEX(properties!A$1:CB$87,'Fórmula'!F38,20))+(('Fórmula'!I38)/('Fórmula'!C38+'Fórmula'!E38+'Fórmula'!G38+'Fórmula'!I38+'Fórmula'!K38))*(INDEX(properties!A$1:CB$87,'Fórmula'!H38,20))+(('Fórmula'!K38)/('Fórmula'!C38+'Fórmula'!E38+'Fórmula'!G38+'Fórmula'!I38+'Fórmula'!K38))*(INDEX(properties!A$1:CB$87,'Fórmula'!J38,20))</f>
        <v>4.4</v>
      </c>
      <c r="BQ38" s="112">
        <f t="array" ref="BQ38">'Fórmula'!C38*(INDEX(properties!A$1:CB$87,'Fórmula'!B38,20))+'Fórmula'!E38*(INDEX(properties!A$1:CB$87,'Fórmula'!D38,20))+'Fórmula'!G38*(INDEX(properties!A$1:CB$87,'Fórmula'!F38,20))+'Fórmula'!I38*(INDEX(properties!A$1:CB$87,'Fórmula'!H38,20))+'Fórmula'!K38*(INDEX(properties!A$1:CB$87,'Fórmula'!J38,20))</f>
        <v>22</v>
      </c>
      <c r="BR38" s="112">
        <f t="array" ref="BR38">VARP(IF(INDEX(properties!A$1:CB$87,'Fórmula'!B38,20)&lt;&gt;"",INDEX(properties!A$1:CB$87,'Fórmula'!B38,20)),IF(INDEX(properties!A$1:CB$87,'Fórmula'!D38,20)&lt;&gt;"",INDEX(properties!A$1:CB$87,'Fórmula'!D38,20)),IF(INDEX(properties!A$1:CB$87,'Fórmula'!F38,20)&lt;&gt;"",INDEX(properties!A$1:CB$87,'Fórmula'!F38,20)),IF(INDEX(properties!A$1:CB$87,'Fórmula'!H38,20)&lt;&gt;"",INDEX(properties!A$1:CB$87,'Fórmula'!H38,20)),IF(INDEX(properties!A$1:CB$87,'Fórmula'!J38,20)&lt;&gt;"",INDEX(properties!A$1:CB$87,'Fórmula'!J38,20)))</f>
        <v>5.44</v>
      </c>
      <c r="BS38" s="112">
        <f t="array" ref="BS38">MAX(INDEX(properties!A$1:CB$87,'Fórmula'!B38,20),INDEX(properties!A$1:CB$87,'Fórmula'!D38,20),INDEX(properties!A$1:CB$87,'Fórmula'!F38,20),INDEX(properties!A$1:CB$87,'Fórmula'!H38,20),INDEX(properties!A$1:CB$87,'Fórmula'!J38,20))</f>
        <v>6</v>
      </c>
      <c r="BT38" s="112">
        <f t="array" ref="BT38">MIN(IF(INDEX(properties!A$1:CB$87,'Fórmula'!B38,20)=0,10^6,INDEX(properties!A$1:CB$87,'Fórmula'!B38,20)),IF(INDEX(properties!A$1:CB$87,'Fórmula'!D38,20)=0,10^6,INDEX(properties!A$1:CB$87,'Fórmula'!D38,20)),IF(INDEX(properties!A$1:CB$87,'Fórmula'!F38,20)=0,10^6,INDEX(properties!A$1:CB$87,'Fórmula'!F38,20)),IF(INDEX(properties!A$1:CB$87,'Fórmula'!H38,20)=0,10^6,INDEX(properties!A$1:CB$87,'Fórmula'!H38,20)),IF(INDEX(properties!A$1:CB$87,'Fórmula'!J38,20)=0,10^6,INDEX(properties!A$1:CB$87,'Fórmula'!J38,20)))</f>
        <v>2</v>
      </c>
      <c r="BU38" s="112">
        <f t="shared" si="12"/>
        <v>4</v>
      </c>
      <c r="BV38" s="113">
        <f t="array" ref="BV38">(('Fórmula'!C38)/('Fórmula'!C38+'Fórmula'!E38+'Fórmula'!G38+'Fórmula'!I38+'Fórmula'!K38))*(INDEX(properties!A$1:CB$87,'Fórmula'!B38,21))+(('Fórmula'!E38)/('Fórmula'!C38+'Fórmula'!E38+'Fórmula'!G38+'Fórmula'!I38+'Fórmula'!K38))*(INDEX(properties!A$1:CB$87,'Fórmula'!D38,21))+(('Fórmula'!G38)/('Fórmula'!C38+'Fórmula'!E38+'Fórmula'!G38+'Fórmula'!I38+'Fórmula'!K38))*(INDEX(properties!A$1:CB$87,'Fórmula'!F38,21))+(('Fórmula'!I38)/('Fórmula'!C38+'Fórmula'!E38+'Fórmula'!G38+'Fórmula'!I38+'Fórmula'!K38))*(INDEX(properties!A$1:CB$87,'Fórmula'!H38,21))+(('Fórmula'!K38)/('Fórmula'!C38+'Fórmula'!E38+'Fórmula'!G38+'Fórmula'!I38+'Fórmula'!K38))*(INDEX(properties!A$1:CB$87,'Fórmula'!J38,21))</f>
        <v>4</v>
      </c>
      <c r="BW38" s="113">
        <f t="array" ref="BW38">'Fórmula'!C38*(INDEX(properties!A$1:CB$87,'Fórmula'!B38,21))+'Fórmula'!E38*(INDEX(properties!A$1:CB$87,'Fórmula'!D38,21))+'Fórmula'!G38*(INDEX(properties!A$1:CB$87,'Fórmula'!F38,21))+'Fórmula'!I38*(INDEX(properties!A$1:CB$87,'Fórmula'!H38,21))+'Fórmula'!K38*(INDEX(properties!A$1:CB$87,'Fórmula'!J38,21))</f>
        <v>20</v>
      </c>
      <c r="BX38" s="113">
        <f t="array" ref="BX38">VARP(IF(INDEX(properties!A$1:CB$87,'Fórmula'!B38,21)&lt;&gt;"",INDEX(properties!A$1:CB$87,'Fórmula'!B38,21)),IF(INDEX(properties!A$1:CB$87,'Fórmula'!D38,21)&lt;&gt;"",INDEX(properties!A$1:CB$87,'Fórmula'!D38,21)),IF(INDEX(properties!A$1:CB$87,'Fórmula'!F38,21)&lt;&gt;"",INDEX(properties!A$1:CB$87,'Fórmula'!F38,21)),IF(INDEX(properties!A$1:CB$87,'Fórmula'!H38,21)&lt;&gt;"",INDEX(properties!A$1:CB$87,'Fórmula'!H38,21)),IF(INDEX(properties!A$1:CB$87,'Fórmula'!J38,21)&lt;&gt;"",INDEX(properties!A$1:CB$87,'Fórmula'!J38,21)))</f>
        <v>5.44</v>
      </c>
      <c r="BY38" s="113">
        <f t="array" ref="BY38">MAX(INDEX(properties!A$1:CB$87,'Fórmula'!B38,21),INDEX(properties!A$1:CB$87,'Fórmula'!D38,21),INDEX(properties!A$1:CB$87,'Fórmula'!F38,21),INDEX(properties!A$1:CB$87,'Fórmula'!H38,21),INDEX(properties!A$1:CB$87,'Fórmula'!J38,21))</f>
        <v>6</v>
      </c>
      <c r="BZ38" s="113">
        <f t="array" ref="BZ38">MIN(IF(INDEX(properties!A$1:CB$87,'Fórmula'!B38,21)=0,10^6,INDEX(properties!A$1:CB$87,'Fórmula'!B38,21)),IF(INDEX(properties!A$1:CB$87,'Fórmula'!D38,21)=0,10^6,INDEX(properties!A$1:CB$87,'Fórmula'!D38,21)),IF(INDEX(properties!A$1:CB$87,'Fórmula'!F38,21)=0,10^6,INDEX(properties!A$1:CB$87,'Fórmula'!F38,21)),IF(INDEX(properties!A$1:CB$87,'Fórmula'!H38,21)=0,10^6,INDEX(properties!A$1:CB$87,'Fórmula'!H38,21)),IF(INDEX(properties!A$1:CB$87,'Fórmula'!J38,21)=0,10^6,INDEX(properties!A$1:CB$87,'Fórmula'!J38,21)))</f>
        <v>1</v>
      </c>
      <c r="CA38" s="113">
        <f t="shared" si="13"/>
        <v>5</v>
      </c>
      <c r="CB38" s="114">
        <f t="array" ref="CB38">(('Fórmula'!C38)/('Fórmula'!C38+'Fórmula'!E38+'Fórmula'!G38+'Fórmula'!I38+'Fórmula'!K38))*(INDEX(properties!A$1:CB$87,'Fórmula'!B38,23))+(('Fórmula'!E38)/('Fórmula'!C38+'Fórmula'!E38+'Fórmula'!G38+'Fórmula'!I38+'Fórmula'!K38))*(INDEX(properties!A$1:CB$87,'Fórmula'!D38,23))+(('Fórmula'!G38)/('Fórmula'!C38+'Fórmula'!E38+'Fórmula'!G38+'Fórmula'!I38+'Fórmula'!K38))*(INDEX(properties!A$1:CB$87,'Fórmula'!F38,23))+(('Fórmula'!I38)/('Fórmula'!C38+'Fórmula'!E38+'Fórmula'!G38+'Fórmula'!I38+'Fórmula'!K38))*(INDEX(properties!A$1:CB$87,'Fórmula'!H38,23))+(('Fórmula'!K38)/('Fórmula'!C38+'Fórmula'!E38+'Fórmula'!G38+'Fórmula'!I38+'Fórmula'!K38))*(INDEX(properties!A$1:CB$87,'Fórmula'!J38,23))</f>
        <v>1.2</v>
      </c>
      <c r="CC38" s="114">
        <f t="array" ref="CC38">'Fórmula'!C38*(INDEX(properties!A$1:CB$87,'Fórmula'!B38,23))+'Fórmula'!E38*(INDEX(properties!A$1:CB$87,'Fórmula'!D38,23))+'Fórmula'!G38*(INDEX(properties!A$1:CB$87,'Fórmula'!F38,23))+'Fórmula'!I38*(INDEX(properties!A$1:CB$87,'Fórmula'!H38,23))+'Fórmula'!K38*(INDEX(properties!A$1:CB$87,'Fórmula'!J38,23))</f>
        <v>6</v>
      </c>
      <c r="CD38" s="114">
        <f t="array" ref="CD38">VARP(IF(INDEX(properties!A$1:CB$87,'Fórmula'!B38,23)&lt;&gt;"",INDEX(properties!A$1:CB$87,'Fórmula'!B38,23)),IF(INDEX(properties!A$1:CB$87,'Fórmula'!D38,23)&lt;&gt;"",INDEX(properties!A$1:CB$87,'Fórmula'!D38,23)),IF(INDEX(properties!A$1:CB$87,'Fórmula'!F38,23)&lt;&gt;"",INDEX(properties!A$1:CB$87,'Fórmula'!F38,23)),IF(INDEX(properties!A$1:CB$87,'Fórmula'!H38,23)&lt;&gt;"",INDEX(properties!A$1:CB$87,'Fórmula'!H38,23)),IF(INDEX(properties!A$1:CB$87,'Fórmula'!J38,23)&lt;&gt;"",INDEX(properties!A$1:CB$87,'Fórmula'!J38,23)))</f>
        <v>1.44</v>
      </c>
      <c r="CE38" s="114">
        <f t="array" ref="CE38">MAX(INDEX(properties!A$1:CB$87,'Fórmula'!B38,23),INDEX(properties!A$1:CB$87,'Fórmula'!D38,23),INDEX(properties!A$1:CB$87,'Fórmula'!F38,23),INDEX(properties!A$1:CB$87,'Fórmula'!H38,23),INDEX(properties!A$1:CB$87,'Fórmula'!J38,23))</f>
        <v>3</v>
      </c>
      <c r="CF38" s="114">
        <f t="array" ref="CF38">MIN(IF('Fórmula'!B38=87,10^6,INDEX(properties!A$1:CB$87,'Fórmula'!B38,23)),IF(('Fórmula'!D38)=87,10^6,INDEX(properties!A$1:CB$87,'Fórmula'!D38,23)),IF(('Fórmula'!F38)=87,10^6,INDEX(properties!A$1:CB$87,'Fórmula'!F38,23)),IF(('Fórmula'!H38)=87,10^6,INDEX(properties!A$1:CB$87,'Fórmula'!H38,23)),IF('Fórmula'!J38=87,10^6,INDEX(properties!A$1:CB$87,'Fórmula'!J38,23)))</f>
        <v>0</v>
      </c>
      <c r="CG38" s="114">
        <f t="shared" si="14"/>
        <v>3</v>
      </c>
      <c r="CH38" s="115">
        <f t="array" ref="CH38">(('Fórmula'!C38)/('Fórmula'!C38+'Fórmula'!E38+'Fórmula'!G38+'Fórmula'!I38+'Fórmula'!K38))*(INDEX(properties!A$1:CB$87,'Fórmula'!B38,26))+(('Fórmula'!E38)/('Fórmula'!C38+'Fórmula'!E38+'Fórmula'!G38+'Fórmula'!I38+'Fórmula'!K38))*(INDEX(properties!A$1:CB$87,'Fórmula'!D38,26))+(('Fórmula'!G38)/('Fórmula'!C38+'Fórmula'!E38+'Fórmula'!G38+'Fórmula'!I38+'Fórmula'!K38))*(INDEX(properties!A$1:CB$87,'Fórmula'!F38,26))+(('Fórmula'!I38)/('Fórmula'!C38+'Fórmula'!E38+'Fórmula'!G38+'Fórmula'!I38+'Fórmula'!K38))*(INDEX(properties!A$1:CB$87,'Fórmula'!H38,26))+(('Fórmula'!K38)/('Fórmula'!C38+'Fórmula'!E38+'Fórmula'!G38+'Fórmula'!I38+'Fórmula'!K38))*(INDEX(properties!A$1:CB$87,'Fórmula'!J38,26))</f>
        <v>10.65778</v>
      </c>
      <c r="CI38" s="115">
        <f t="array" ref="CI38">'Fórmula'!C38*(INDEX(properties!A$1:CB$87,'Fórmula'!B38,26))+'Fórmula'!E38*(INDEX(properties!A$1:CB$87,'Fórmula'!D38,26))+'Fórmula'!G38*(INDEX(properties!A$1:CB$87,'Fórmula'!F38,26))+'Fórmula'!I38*(INDEX(properties!A$1:CB$87,'Fórmula'!H38,26))+'Fórmula'!K38*(INDEX(properties!A$1:CB$87,'Fórmula'!J38,26))</f>
        <v>53.2889</v>
      </c>
      <c r="CJ38" s="115">
        <f t="array" ref="CJ38">VARP(IF(INDEX(properties!A$1:CB$87,'Fórmula'!B38,26)&lt;&gt;"",INDEX(properties!A$1:CB$87,'Fórmula'!B38,26)),IF(INDEX(properties!A$1:CB$87,'Fórmula'!D38,26)&lt;&gt;"",INDEX(properties!A$1:CB$87,'Fórmula'!D38,26)),IF(INDEX(properties!A$1:CB$87,'Fórmula'!F38,26)&lt;&gt;"",INDEX(properties!A$1:CB$87,'Fórmula'!F38,26)),IF(INDEX(properties!A$1:CB$87,'Fórmula'!H38,26)&lt;&gt;"",INDEX(properties!A$1:CB$87,'Fórmula'!H38,26)),IF(INDEX(properties!A$1:CB$87,'Fórmula'!J38,26)&lt;&gt;"",INDEX(properties!A$1:CB$87,'Fórmula'!J38,26)))</f>
        <v>29.08376965</v>
      </c>
      <c r="CK38" s="116">
        <f t="array" ref="CK38">MAX(INDEX(properties!A$1:CB$87,'Fórmula'!B38,26),INDEX(properties!A$1:CB$87,'Fórmula'!D38,26),INDEX(properties!A$1:CB$87,'Fórmula'!F38,26),INDEX(properties!A$1:CB$87,'Fórmula'!H38,26),INDEX(properties!A$1:CB$87,'Fórmula'!J38,26))</f>
        <v>13.6181</v>
      </c>
      <c r="CL38" s="116">
        <f t="array" ref="CL38">MIN(IF(INDEX(properties!A$1:CB$87,'Fórmula'!B38,26)=0,10^6,INDEX(properties!A$1:CB$87,'Fórmula'!B38,26)),IF(INDEX(properties!A$1:CB$87,'Fórmula'!D38,26)=0,10^6,INDEX(properties!A$1:CB$87,'Fórmula'!D38,26)),IF(INDEX(properties!A$1:CB$87,'Fórmula'!F38,26)=0,10^6,INDEX(properties!A$1:CB$87,'Fórmula'!F38,26)),IF(INDEX(properties!A$1:CB$87,'Fórmula'!H38,26)=0,10^6,INDEX(properties!A$1:CB$87,'Fórmula'!H38,26)),IF(INDEX(properties!A$1:CB$87,'Fórmula'!J38,26)=0,10^6,INDEX(properties!A$1:CB$87,'Fórmula'!J38,26)))</f>
        <v>6.2173</v>
      </c>
      <c r="CM38" s="115">
        <f t="shared" si="15"/>
        <v>7.4008</v>
      </c>
      <c r="CN38" s="117">
        <f t="array" ref="CN38">(('Fórmula'!C38)/('Fórmula'!C38+'Fórmula'!E38+'Fórmula'!G38+'Fórmula'!I38+'Fórmula'!K38))*(INDEX(properties!A$1:CB$87,'Fórmula'!B38,30))+(('Fórmula'!E38)/('Fórmula'!C38+'Fórmula'!E38+'Fórmula'!G38+'Fórmula'!I38+'Fórmula'!K38))*(INDEX(properties!A$1:CB$87,'Fórmula'!D38,30))+(('Fórmula'!G38)/('Fórmula'!C38+'Fórmula'!E38+'Fórmula'!G38+'Fórmula'!I38+'Fórmula'!K38))*(INDEX(properties!A$1:CB$87,'Fórmula'!F38,30))+(('Fórmula'!I38)/('Fórmula'!C38+'Fórmula'!E38+'Fórmula'!G38+'Fórmula'!I38+'Fórmula'!K38))*(INDEX(properties!A$1:CB$87,'Fórmula'!H38,30))+(('Fórmula'!K38)/('Fórmula'!C38+'Fórmula'!E38+'Fórmula'!G38+'Fórmula'!I38+'Fórmula'!K38))*(INDEX(properties!A$1:CB$87,'Fórmula'!J38,30))</f>
        <v>2.552</v>
      </c>
      <c r="CO38" s="117">
        <f t="array" ref="CO38">'Fórmula'!C38*(INDEX(properties!A$1:CB$87,'Fórmula'!B38,30))+'Fórmula'!E38*(INDEX(properties!A$1:CB$87,'Fórmula'!D38,30))+'Fórmula'!G38*(INDEX(properties!A$1:CB$87,'Fórmula'!F38,30))+'Fórmula'!I38*(INDEX(properties!A$1:CB$87,'Fórmula'!H38,30))+'Fórmula'!K38*(INDEX(properties!A$1:CB$87,'Fórmula'!J38,30))</f>
        <v>12.76</v>
      </c>
      <c r="CP38" s="117">
        <f t="array" ref="CP38">VARP(IF(INDEX(properties!A$1:CB$87,'Fórmula'!B38,30)&lt;&gt;"",INDEX(properties!A$1:CB$87,'Fórmula'!B38,30)),IF(INDEX(properties!A$1:CB$87,'Fórmula'!D38,30)&lt;&gt;"",INDEX(properties!A$1:CB$87,'Fórmula'!D38,30)),IF(INDEX(properties!A$1:CB$87,'Fórmula'!F38,30)&lt;&gt;"",INDEX(properties!A$1:CB$87,'Fórmula'!F38,30)),IF(INDEX(properties!A$1:CB$87,'Fórmula'!H38,30)&lt;&gt;"",INDEX(properties!A$1:CB$87,'Fórmula'!H38,30)),IF(INDEX(properties!A$1:CB$87,'Fórmula'!J38,30)&lt;&gt;"",INDEX(properties!A$1:CB$87,'Fórmula'!J38,30)))</f>
        <v>1.795776</v>
      </c>
      <c r="CQ38" s="117">
        <f t="array" ref="CQ38">MAX(INDEX(properties!A$1:CB$87,'Fórmula'!B38,30),INDEX(properties!A$1:CB$87,'Fórmula'!D38,30),INDEX(properties!A$1:CB$87,'Fórmula'!F38,30),INDEX(properties!A$1:CB$87,'Fórmula'!H38,30),INDEX(properties!A$1:CB$87,'Fórmula'!J38,30))</f>
        <v>3.44</v>
      </c>
      <c r="CR38" s="117">
        <f t="array" ref="CR38">MIN(IF(INDEX(properties!A$1:CB$87,'Fórmula'!B38,30)=0,10^6,INDEX(properties!A$1:CB$87,'Fórmula'!B38,30)),IF(INDEX(properties!A$1:CB$87,'Fórmula'!D38,30)=0,10^6,INDEX(properties!A$1:CB$87,'Fórmula'!D38,30)),IF(INDEX(properties!A$1:CB$87,'Fórmula'!F38,30)=0,10^6,INDEX(properties!A$1:CB$87,'Fórmula'!F38,30)),IF(INDEX(properties!A$1:CB$87,'Fórmula'!H38,30)=0,10^6,INDEX(properties!A$1:CB$87,'Fórmula'!H38,30)),IF(INDEX(properties!A$1:CB$87,'Fórmula'!J38,30)=0,10^6,INDEX(properties!A$1:CB$87,'Fórmula'!J38,30)))</f>
        <v>1.22</v>
      </c>
      <c r="CS38" s="117">
        <f t="shared" si="16"/>
        <v>2.22</v>
      </c>
      <c r="CT38" s="118">
        <f t="array" ref="CT38">(('Fórmula'!C38)/('Fórmula'!C38+'Fórmula'!E38+'Fórmula'!G38+'Fórmula'!I38+'Fórmula'!K38))*(INDEX(properties!A$1:CB$87,'Fórmula'!B38,31))+(('Fórmula'!E38)/('Fórmula'!C38+'Fórmula'!E38+'Fórmula'!G38+'Fórmula'!I38+'Fórmula'!K38))*(INDEX(properties!A$1:CB$87,'Fórmula'!D38,31))+(('Fórmula'!G38)/('Fórmula'!C38+'Fórmula'!E38+'Fórmula'!G38+'Fórmula'!I38+'Fórmula'!K38))*(INDEX(properties!A$1:CB$87,'Fórmula'!F38,31))+(('Fórmula'!I38)/('Fórmula'!C38+'Fórmula'!E38+'Fórmula'!G38+'Fórmula'!I38+'Fórmula'!K38))*(INDEX(properties!A$1:CB$87,'Fórmula'!H38,31))+(('Fórmula'!K38)/('Fórmula'!C38+'Fórmula'!E38+'Fórmula'!G38+'Fórmula'!I38+'Fórmula'!K38))*(INDEX(properties!A$1:CB$87,'Fórmula'!J38,31))</f>
        <v>2.556</v>
      </c>
      <c r="CU38" s="118">
        <f t="array" ref="CU38">'Fórmula'!C38*(INDEX(properties!A$1:CB$87,'Fórmula'!B38,31))+'Fórmula'!E38*(INDEX(properties!A$1:CB$87,'Fórmula'!D38,31))+'Fórmula'!G38*(INDEX(properties!A$1:CB$87,'Fórmula'!F38,31))+'Fórmula'!I38*(INDEX(properties!A$1:CB$87,'Fórmula'!H38,31))+'Fórmula'!K38*(INDEX(properties!A$1:CB$87,'Fórmula'!J38,31))</f>
        <v>12.78</v>
      </c>
      <c r="CV38" s="118">
        <f t="array" ref="CV38">VARP(IF(INDEX(properties!A$1:CB$87,'Fórmula'!B38,31)&lt;&gt;"",INDEX(properties!A$1:CB$87,'Fórmula'!B38,31)),IF(INDEX(properties!A$1:CB$87,'Fórmula'!D38,31)&lt;&gt;"",INDEX(properties!A$1:CB$87,'Fórmula'!D38,31)),IF(INDEX(properties!A$1:CB$87,'Fórmula'!F38,31)&lt;&gt;"",INDEX(properties!A$1:CB$87,'Fórmula'!F38,31)),IF(INDEX(properties!A$1:CB$87,'Fórmula'!H38,31)&lt;&gt;"",INDEX(properties!A$1:CB$87,'Fórmula'!H38,31)),IF(INDEX(properties!A$1:CB$87,'Fórmula'!J38,31)&lt;&gt;"",INDEX(properties!A$1:CB$87,'Fórmula'!J38,31)))</f>
        <v>1.707184</v>
      </c>
      <c r="CW38" s="118">
        <f t="array" ref="CW38">MAX(INDEX(properties!A$1:CB$87,'Fórmula'!B38,31),INDEX(properties!A$1:CB$87,'Fórmula'!D38,31),INDEX(properties!A$1:CB$87,'Fórmula'!F38,31),INDEX(properties!A$1:CB$87,'Fórmula'!H38,31),INDEX(properties!A$1:CB$87,'Fórmula'!J38,31))</f>
        <v>3.32</v>
      </c>
      <c r="CX38" s="118">
        <f t="array" ref="CX38">MIN(IF(INDEX(properties!A$1:CB$87,'Fórmula'!B38,31)=0,10^6,INDEX(properties!A$1:CB$87,'Fórmula'!B38,31)),IF(INDEX(properties!A$1:CB$87,'Fórmula'!D38,31)=0,10^6,INDEX(properties!A$1:CB$87,'Fórmula'!D38,31)),IF(INDEX(properties!A$1:CB$87,'Fórmula'!F38,31)=0,10^6,INDEX(properties!A$1:CB$87,'Fórmula'!F38,31)),IF(INDEX(properties!A$1:CB$87,'Fórmula'!H38,31)=0,10^6,INDEX(properties!A$1:CB$87,'Fórmula'!H38,31)),IF(INDEX(properties!A$1:CB$87,'Fórmula'!J38,31)=0,10^6,INDEX(properties!A$1:CB$87,'Fórmula'!J38,31)))</f>
        <v>1.41</v>
      </c>
      <c r="CY38" s="118">
        <f t="shared" si="17"/>
        <v>1.91</v>
      </c>
      <c r="CZ38" s="119">
        <f t="array" ref="CZ38">(('Fórmula'!C38)/('Fórmula'!C38+'Fórmula'!E38+'Fórmula'!G38+'Fórmula'!I38+'Fórmula'!K38))*(INDEX(properties!A$1:CB$87,'Fórmula'!B38,32))+(('Fórmula'!E38)/('Fórmula'!C38+'Fórmula'!E38+'Fórmula'!G38+'Fórmula'!I38+'Fórmula'!K38))*(INDEX(properties!A$1:CB$87,'Fórmula'!D38,32))+(('Fórmula'!G38)/('Fórmula'!C38+'Fórmula'!E38+'Fórmula'!G38+'Fórmula'!I38+'Fórmula'!K38))*(INDEX(properties!A$1:CB$87,'Fórmula'!F38,32))+(('Fórmula'!I38)/('Fórmula'!C38+'Fórmula'!E38+'Fórmula'!G38+'Fórmula'!I38+'Fórmula'!K38))*(INDEX(properties!A$1:CB$87,'Fórmula'!H38,32))+(('Fórmula'!K38)/('Fórmula'!C38+'Fórmula'!E38+'Fórmula'!G38+'Fórmula'!I38+'Fórmula'!K38))*(INDEX(properties!A$1:CB$87,'Fórmula'!J38,32))</f>
        <v>5.8</v>
      </c>
      <c r="DA38" s="119">
        <f t="array" ref="DA38">'Fórmula'!C38*(INDEX(properties!A$1:CB$87,'Fórmula'!B38,32))+'Fórmula'!E38*(INDEX(properties!A$1:CB$87,'Fórmula'!D38,32))+'Fórmula'!G38*(INDEX(properties!A$1:CB$87,'Fórmula'!F38,32))+'Fórmula'!I38*(INDEX(properties!A$1:CB$87,'Fórmula'!H38,32))+'Fórmula'!K38*(INDEX(properties!A$1:CB$87,'Fórmula'!J38,32))</f>
        <v>29</v>
      </c>
      <c r="DB38" s="119">
        <f t="array" ref="DB38">VARP(IF(INDEX(properties!A$1:CB$87,'Fórmula'!B38,32)&lt;&gt;"",INDEX(properties!A$1:CB$87,'Fórmula'!B38,32)),IF(INDEX(properties!A$1:CB$87,'Fórmula'!D38,32)&lt;&gt;"",INDEX(properties!A$1:CB$87,'Fórmula'!D38,32)),IF(INDEX(properties!A$1:CB$87,'Fórmula'!F38,32)&lt;&gt;"",INDEX(properties!A$1:CB$87,'Fórmula'!F38,32)),IF(INDEX(properties!A$1:CB$87,'Fórmula'!H38,32)&lt;&gt;"",INDEX(properties!A$1:CB$87,'Fórmula'!H38,32)),IF(INDEX(properties!A$1:CB$87,'Fórmula'!J38,32)&lt;&gt;"",INDEX(properties!A$1:CB$87,'Fórmula'!J38,32)))</f>
        <v>8.800224</v>
      </c>
      <c r="DC38" s="119">
        <f t="array" ref="DC38">MAX(INDEX(properties!A$1:CB$87,'Fórmula'!B38,32),INDEX(properties!A$1:CB$87,'Fórmula'!D38,32),INDEX(properties!A$1:CB$87,'Fórmula'!F38,32),INDEX(properties!A$1:CB$87,'Fórmula'!H38,32),INDEX(properties!A$1:CB$87,'Fórmula'!J38,32))</f>
        <v>7.54</v>
      </c>
      <c r="DD38" s="119">
        <f t="array" ref="DD38">MIN(IF(INDEX(properties!A$1:CB$87,'Fórmula'!B38,32)=0,10^6,INDEX(properties!A$1:CB$87,'Fórmula'!B38,32)),IF(INDEX(properties!A$1:CB$87,'Fórmula'!D38,32)=0,10^6,INDEX(properties!A$1:CB$87,'Fórmula'!D38,32)),IF(INDEX(properties!A$1:CB$87,'Fórmula'!F38,32)=0,10^6,INDEX(properties!A$1:CB$87,'Fórmula'!F38,32)),IF(INDEX(properties!A$1:CB$87,'Fórmula'!H38,32)=0,10^6,INDEX(properties!A$1:CB$87,'Fórmula'!H38,32)),IF(INDEX(properties!A$1:CB$87,'Fórmula'!J38,32)=0,10^6,INDEX(properties!A$1:CB$87,'Fórmula'!J38,32)))</f>
        <v>3.19</v>
      </c>
      <c r="DE38" s="119">
        <f t="shared" si="18"/>
        <v>4.35</v>
      </c>
      <c r="DF38" s="104">
        <f t="array" ref="DF38">(('Fórmula'!C38)/('Fórmula'!C38+'Fórmula'!E38+'Fórmula'!G38+'Fórmula'!I38+'Fórmula'!K38))*(INDEX(properties!A$1:CB$87,'Fórmula'!B38,34))+(('Fórmula'!E38)/('Fórmula'!C38+'Fórmula'!E38+'Fórmula'!G38+'Fórmula'!I38+'Fórmula'!K38))*(INDEX(properties!A$1:CB$87,'Fórmula'!D38,34))+(('Fórmula'!G38)/('Fórmula'!C38+'Fórmula'!E38+'Fórmula'!G38+'Fórmula'!I38+'Fórmula'!K38))*(INDEX(properties!A$1:CB$87,'Fórmula'!F38,34))+(('Fórmula'!I38)/('Fórmula'!C38+'Fórmula'!E38+'Fórmula'!G38+'Fórmula'!I38+'Fórmula'!K38))*(INDEX(properties!A$1:CB$87,'Fórmula'!H38,34))+(('Fórmula'!K38)/('Fórmula'!C38+'Fórmula'!E38+'Fórmula'!G38+'Fórmula'!I38+'Fórmula'!K38))*(INDEX(properties!A$1:CB$87,'Fórmula'!J38,34))</f>
        <v>2.614</v>
      </c>
      <c r="DG38" s="104">
        <f t="array" ref="DG38">'Fórmula'!C38*(INDEX(properties!A$1:CB$87,'Fórmula'!B38,34))+'Fórmula'!E38*(INDEX(properties!A$1:CB$87,'Fórmula'!D38,34))+'Fórmula'!G38*(INDEX(properties!A$1:CB$87,'Fórmula'!F38,34))+'Fórmula'!I38*(INDEX(properties!A$1:CB$87,'Fórmula'!H38,34))+'Fórmula'!K38*(INDEX(properties!A$1:CB$87,'Fórmula'!J38,34))</f>
        <v>13.07</v>
      </c>
      <c r="DH38" s="104">
        <f t="array" ref="DH38">VARP(IF(INDEX(properties!A$1:CB$87,'Fórmula'!B38,34)&lt;&gt;"",INDEX(properties!A$1:CB$87,'Fórmula'!B38,34)),IF(INDEX(properties!A$1:CB$87,'Fórmula'!D38,34)&lt;&gt;"",INDEX(properties!A$1:CB$87,'Fórmula'!D38,34)),IF(INDEX(properties!A$1:CB$87,'Fórmula'!F38,34)&lt;&gt;"",INDEX(properties!A$1:CB$87,'Fórmula'!F38,34)),IF(INDEX(properties!A$1:CB$87,'Fórmula'!H38,34)&lt;&gt;"",INDEX(properties!A$1:CB$87,'Fórmula'!H38,34)),IF(INDEX(properties!A$1:CB$87,'Fórmula'!J38,34)&lt;&gt;"",INDEX(properties!A$1:CB$87,'Fórmula'!J38,34)))</f>
        <v>1.962384</v>
      </c>
      <c r="DI38" s="104">
        <f t="array" ref="DI38">MAX(INDEX(properties!A$1:CB$87,'Fórmula'!B38,34),INDEX(properties!A$1:CB$87,'Fórmula'!D38,34),INDEX(properties!A$1:CB$87,'Fórmula'!F38,34),INDEX(properties!A$1:CB$87,'Fórmula'!H38,34),INDEX(properties!A$1:CB$87,'Fórmula'!J38,34))</f>
        <v>3.61</v>
      </c>
      <c r="DJ38" s="104">
        <f t="array" ref="DJ38">MIN(IF(INDEX(properties!A$1:CB$87,'Fórmula'!B38,34)=0,10^6,INDEX(properties!A$1:CB$87,'Fórmula'!B38,34)),IF(INDEX(properties!A$1:CB$87,'Fórmula'!D38,34)=0,10^6,INDEX(properties!A$1:CB$87,'Fórmula'!D38,34)),IF(INDEX(properties!A$1:CB$87,'Fórmula'!F38,34)=0,10^6,INDEX(properties!A$1:CB$87,'Fórmula'!F38,34)),IF(INDEX(properties!A$1:CB$87,'Fórmula'!H38,34)=0,10^6,INDEX(properties!A$1:CB$87,'Fórmula'!H38,34)),IF(INDEX(properties!A$1:CB$87,'Fórmula'!J38,34)=0,10^6,INDEX(properties!A$1:CB$87,'Fórmula'!J38,34)))</f>
        <v>1.12</v>
      </c>
      <c r="DK38" s="104">
        <f t="shared" si="19"/>
        <v>2.49</v>
      </c>
      <c r="DL38" s="105">
        <f t="array" ref="DL38">(('Fórmula'!C38)/('Fórmula'!C38+'Fórmula'!E38+'Fórmula'!G38+'Fórmula'!I38+'Fórmula'!K38))*(INDEX(properties!A$1:CB$87,'Fórmula'!B38,37))+(('Fórmula'!E38)/('Fórmula'!C38+'Fórmula'!E38+'Fórmula'!G38+'Fórmula'!I38+'Fórmula'!K38))*(INDEX(properties!A$1:CB$87,'Fórmula'!D38,37))+(('Fórmula'!G38)/('Fórmula'!C38+'Fórmula'!E38+'Fórmula'!G38+'Fórmula'!I38+'Fórmula'!K38))*(INDEX(properties!A$1:CB$87,'Fórmula'!F38,37))+(('Fórmula'!I38)/('Fórmula'!C38+'Fórmula'!E38+'Fórmula'!G38+'Fórmula'!I38+'Fórmula'!K38))*(INDEX(properties!A$1:CB$87,'Fórmula'!H38,37))+(('Fórmula'!K38)/('Fórmula'!C38+'Fórmula'!E38+'Fórmula'!G38+'Fórmula'!I38+'Fórmula'!K38))*(INDEX(properties!A$1:CB$87,'Fórmula'!J38,37))</f>
        <v>2.59</v>
      </c>
      <c r="DM38" s="105">
        <f t="array" ref="DM38">'Fórmula'!C38*(INDEX(properties!A$1:CB$87,'Fórmula'!B38,37))+'Fórmula'!E38*(INDEX(properties!A$1:CB$87,'Fórmula'!D38,37))+'Fórmula'!G38*(INDEX(properties!A$1:CB$87,'Fórmula'!F38,37))+'Fórmula'!I38*(INDEX(properties!A$1:CB$87,'Fórmula'!H38,37))+'Fórmula'!K38*(INDEX(properties!A$1:CB$87,'Fórmula'!J38,37))</f>
        <v>12.95</v>
      </c>
      <c r="DN38" s="105">
        <f t="array" ref="DN38">VARP(IF(INDEX(properties!A$1:CB$87,'Fórmula'!B38,37)&lt;&gt;"",INDEX(properties!A$1:CB$87,'Fórmula'!B38,37)),IF(INDEX(properties!A$1:CB$87,'Fórmula'!D38,37)&lt;&gt;"",INDEX(properties!A$1:CB$87,'Fórmula'!D38,37)),IF(INDEX(properties!A$1:CB$87,'Fórmula'!F38,37)&lt;&gt;"",INDEX(properties!A$1:CB$87,'Fórmula'!F38,37)),IF(INDEX(properties!A$1:CB$87,'Fórmula'!H38,37)&lt;&gt;"",INDEX(properties!A$1:CB$87,'Fórmula'!H38,37)),IF(INDEX(properties!A$1:CB$87,'Fórmula'!J38,37)&lt;&gt;"",INDEX(properties!A$1:CB$87,'Fórmula'!J38,37)))</f>
        <v>1.816</v>
      </c>
      <c r="DO38" s="105">
        <f t="array" ref="DO38">MAX(INDEX(properties!A$1:CB$87,'Fórmula'!B38,37),INDEX(properties!A$1:CB$87,'Fórmula'!D38,37),INDEX(properties!A$1:CB$87,'Fórmula'!F38,37),INDEX(properties!A$1:CB$87,'Fórmula'!H38,37),INDEX(properties!A$1:CB$87,'Fórmula'!J38,37))</f>
        <v>3.45</v>
      </c>
      <c r="DP38" s="105">
        <f t="array" ref="DP38">MIN(IF(INDEX(properties!A$1:CB$87,'Fórmula'!B38,37)=0,10^6,INDEX(properties!A$1:CB$87,'Fórmula'!B38,37)),IF(INDEX(properties!A$1:CB$87,'Fórmula'!D38,37)=0,10^6,INDEX(properties!A$1:CB$87,'Fórmula'!D38,37)),IF(INDEX(properties!A$1:CB$87,'Fórmula'!F38,37)=0,10^6,INDEX(properties!A$1:CB$87,'Fórmula'!F38,37)),IF(INDEX(properties!A$1:CB$87,'Fórmula'!H38,37)=0,10^6,INDEX(properties!A$1:CB$87,'Fórmula'!H38,37)),IF(INDEX(properties!A$1:CB$87,'Fórmula'!J38,37)=0,10^6,INDEX(properties!A$1:CB$87,'Fórmula'!J38,37)))</f>
        <v>1.3</v>
      </c>
      <c r="DQ38" s="105">
        <f t="shared" si="20"/>
        <v>2.15</v>
      </c>
      <c r="DR38" s="109">
        <f t="array" ref="DR38">(('Fórmula'!C38)/('Fórmula'!C38+'Fórmula'!E38+'Fórmula'!G38+'Fórmula'!I38+'Fórmula'!K38))*(INDEX(properties!A$1:CB$87,'Fórmula'!B38,39))+(('Fórmula'!E38)/('Fórmula'!C38+'Fórmula'!E38+'Fórmula'!G38+'Fórmula'!I38+'Fórmula'!K38))*(INDEX(properties!A$1:CB$87,'Fórmula'!D38,39))+(('Fórmula'!G38)/('Fórmula'!C38+'Fórmula'!E38+'Fórmula'!G38+'Fórmula'!I38+'Fórmula'!K38))*(INDEX(properties!A$1:CB$87,'Fórmula'!F38,39))+(('Fórmula'!I38)/('Fórmula'!C38+'Fórmula'!E38+'Fórmula'!G38+'Fórmula'!I38+'Fórmula'!K38))*(INDEX(properties!A$1:CB$87,'Fórmula'!H38,39))+(('Fórmula'!K38)/('Fórmula'!C38+'Fórmula'!E38+'Fórmula'!G38+'Fórmula'!I38+'Fórmula'!K38))*(INDEX(properties!A$1:CB$87,'Fórmula'!J38,39))</f>
        <v>1.136</v>
      </c>
      <c r="DS38" s="109">
        <f t="array" ref="DS38">'Fórmula'!C38*(INDEX(properties!A$1:CB$87,'Fórmula'!B38,39))+'Fórmula'!E38*(INDEX(properties!A$1:CB$87,'Fórmula'!D38,39))+'Fórmula'!G38*(INDEX(properties!A$1:CB$87,'Fórmula'!F38,39))+'Fórmula'!I38*(INDEX(properties!A$1:CB$87,'Fórmula'!H38,39))+'Fórmula'!K38*(INDEX(properties!A$1:CB$87,'Fórmula'!J38,39))</f>
        <v>5.68</v>
      </c>
      <c r="DT38" s="109">
        <f t="array" ref="DT38">VARP(IF(INDEX(properties!A$1:CB$87,'Fórmula'!B38,39)&lt;&gt;"",INDEX(properties!A$1:CB$87,'Fórmula'!B38,39)),IF(INDEX(properties!A$1:CB$87,'Fórmula'!D38,39)&lt;&gt;"",INDEX(properties!A$1:CB$87,'Fórmula'!D38,39)),IF(INDEX(properties!A$1:CB$87,'Fórmula'!F38,39)&lt;&gt;"",INDEX(properties!A$1:CB$87,'Fórmula'!F38,39)),IF(INDEX(properties!A$1:CB$87,'Fórmula'!H38,39)&lt;&gt;"",INDEX(properties!A$1:CB$87,'Fórmula'!H38,39)),IF(INDEX(properties!A$1:CB$87,'Fórmula'!J38,39)&lt;&gt;"",INDEX(properties!A$1:CB$87,'Fórmula'!J38,39)))</f>
        <v>0.67456</v>
      </c>
      <c r="DU38" s="120">
        <f t="array" ref="DU38">MAX(INDEX(properties!A$1:CB$87,'Fórmula'!B38,39),INDEX(properties!A$1:CB$87,'Fórmula'!D38,39),INDEX(properties!A$1:CB$87,'Fórmula'!F38,39),INDEX(properties!A$1:CB$87,'Fórmula'!H38,39),INDEX(properties!A$1:CB$87,'Fórmula'!J38,39))</f>
        <v>2.12</v>
      </c>
      <c r="DV38" s="120">
        <f t="array" ref="DV38">MIN(IF(INDEX(properties!A$1:CB$87,'Fórmula'!B38,39)=0,10^6,INDEX(properties!A$1:CB$87,'Fórmula'!B38,39)),IF(INDEX(properties!A$1:CB$87,'Fórmula'!D38,39)=0,10^6,INDEX(properties!A$1:CB$87,'Fórmula'!D38,39)),IF(INDEX(properties!A$1:CB$87,'Fórmula'!F38,39)=0,10^6,INDEX(properties!A$1:CB$87,'Fórmula'!F38,39)),IF(INDEX(properties!A$1:CB$87,'Fórmula'!H38,39)=0,10^6,INDEX(properties!A$1:CB$87,'Fórmula'!H38,39)),IF(INDEX(properties!A$1:CB$87,'Fórmula'!J38,39)=0,10^6,INDEX(properties!A$1:CB$87,'Fórmula'!J38,39)))</f>
        <v>0.48</v>
      </c>
      <c r="DW38" s="109">
        <f t="shared" si="21"/>
        <v>1.64</v>
      </c>
      <c r="DX38" s="110">
        <f t="array" ref="DX38">(('Fórmula'!C38)/('Fórmula'!C38+'Fórmula'!E38+'Fórmula'!G38+'Fórmula'!I38+'Fórmula'!K38))*(INDEX(properties!A$1:CB$87,'Fórmula'!B38,40))+(('Fórmula'!E38)/('Fórmula'!C38+'Fórmula'!E38+'Fórmula'!G38+'Fórmula'!I38+'Fórmula'!K38))*(INDEX(properties!A$1:CB$87,'Fórmula'!D38,40))+(('Fórmula'!G38)/('Fórmula'!C38+'Fórmula'!E38+'Fórmula'!G38+'Fórmula'!I38+'Fórmula'!K38))*(INDEX(properties!A$1:CB$87,'Fórmula'!F38,40))+(('Fórmula'!I38)/('Fórmula'!C38+'Fórmula'!E38+'Fórmula'!G38+'Fórmula'!I38+'Fórmula'!K38))*(INDEX(properties!A$1:CB$87,'Fórmula'!H38,40))+(('Fórmula'!K38)/('Fórmula'!C38+'Fórmula'!E38+'Fórmula'!G38+'Fórmula'!I38+'Fórmula'!K38))*(INDEX(properties!A$1:CB$87,'Fórmula'!J38,40))</f>
        <v>1.086</v>
      </c>
      <c r="DY38" s="110">
        <f t="array" ref="DY38">'Fórmula'!C38*(INDEX(properties!A$1:CB$87,'Fórmula'!B38,40))+'Fórmula'!E38*(INDEX(properties!A$1:CB$87,'Fórmula'!D38,40))+'Fórmula'!G38*(INDEX(properties!A$1:CB$87,'Fórmula'!F38,40))+'Fórmula'!I38*(INDEX(properties!A$1:CB$87,'Fórmula'!H38,40))+'Fórmula'!K38*(INDEX(properties!A$1:CB$87,'Fórmula'!J38,40))</f>
        <v>5.43</v>
      </c>
      <c r="DZ38" s="110">
        <f t="array" ref="DZ38">VARP(IF(INDEX(properties!A$1:CB$87,'Fórmula'!B38,40)&lt;&gt;"",INDEX(properties!A$1:CB$87,'Fórmula'!B38,40)),IF(INDEX(properties!A$1:CB$87,'Fórmula'!D38,40)&lt;&gt;"",INDEX(properties!A$1:CB$87,'Fórmula'!D38,40)),IF(INDEX(properties!A$1:CB$87,'Fórmula'!F38,40)&lt;&gt;"",INDEX(properties!A$1:CB$87,'Fórmula'!F38,40)),IF(INDEX(properties!A$1:CB$87,'Fórmula'!H38,40)&lt;&gt;"",INDEX(properties!A$1:CB$87,'Fórmula'!H38,40)),IF(INDEX(properties!A$1:CB$87,'Fórmula'!J38,40)&lt;&gt;"",INDEX(properties!A$1:CB$87,'Fórmula'!J38,40)))</f>
        <v>0.41056</v>
      </c>
      <c r="EA38" s="121">
        <f t="array" ref="EA38">MAX(INDEX(properties!A$1:CB$87,'Fórmula'!B38,40),INDEX(properties!A$1:CB$87,'Fórmula'!D38,40),INDEX(properties!A$1:CB$87,'Fórmula'!F38,40),INDEX(properties!A$1:CB$87,'Fórmula'!H38,40),INDEX(properties!A$1:CB$87,'Fórmula'!J38,40))</f>
        <v>1.62</v>
      </c>
      <c r="EB38" s="121">
        <f t="array" ref="EB38">MIN(IF(INDEX(properties!A$1:CB$87,'Fórmula'!B38,40)=0,10^6,INDEX(properties!A$1:CB$87,'Fórmula'!B38,40)),IF(INDEX(properties!A$1:CB$87,'Fórmula'!D38,40)=0,10^6,INDEX(properties!A$1:CB$87,'Fórmula'!D38,40)),IF(INDEX(properties!A$1:CB$87,'Fórmula'!F38,40)=0,10^6,INDEX(properties!A$1:CB$87,'Fórmula'!F38,40)),IF(INDEX(properties!A$1:CB$87,'Fórmula'!H38,40)=0,10^6,INDEX(properties!A$1:CB$87,'Fórmula'!H38,40)),IF(INDEX(properties!A$1:CB$87,'Fórmula'!J38,40)=0,10^6,INDEX(properties!A$1:CB$87,'Fórmula'!J38,40)))</f>
        <v>0.73</v>
      </c>
      <c r="EC38" s="110">
        <f t="shared" si="22"/>
        <v>0.89</v>
      </c>
      <c r="ED38" s="111">
        <f t="array" ref="ED38">(('Fórmula'!C38)/('Fórmula'!C38+'Fórmula'!E38+'Fórmula'!G38+'Fórmula'!I38+'Fórmula'!K38))*(INDEX(properties!A$1:CB$87,'Fórmula'!B38,41))+(('Fórmula'!E38)/('Fórmula'!C38+'Fórmula'!E38+'Fórmula'!G38+'Fórmula'!I38+'Fórmula'!K38))*(INDEX(properties!A$1:CB$87,'Fórmula'!D38,41))+(('Fórmula'!G38)/('Fórmula'!C38+'Fórmula'!E38+'Fórmula'!G38+'Fórmula'!I38+'Fórmula'!K38))*(INDEX(properties!A$1:CB$87,'Fórmula'!F38,41))+(('Fórmula'!I38)/('Fórmula'!C38+'Fórmula'!E38+'Fórmula'!G38+'Fórmula'!I38+'Fórmula'!K38))*(INDEX(properties!A$1:CB$87,'Fórmula'!H38,41))+(('Fórmula'!K38)/('Fórmula'!C38+'Fórmula'!E38+'Fórmula'!G38+'Fórmula'!I38+'Fórmula'!K38))*(INDEX(properties!A$1:CB$87,'Fórmula'!J38,41))</f>
        <v>1.172</v>
      </c>
      <c r="EE38" s="111">
        <f t="array" ref="EE38">'Fórmula'!C38*(INDEX(properties!A$1:CB$87,'Fórmula'!B38,41))+'Fórmula'!E38*(INDEX(properties!A$1:CB$87,'Fórmula'!D38,41))+'Fórmula'!G38*(INDEX(properties!A$1:CB$87,'Fórmula'!F38,41))+'Fórmula'!I38*(INDEX(properties!A$1:CB$87,'Fórmula'!H38,41))+'Fórmula'!K38*(INDEX(properties!A$1:CB$87,'Fórmula'!J38,41))</f>
        <v>5.86</v>
      </c>
      <c r="EF38" s="111">
        <f t="array" ref="EF38">VARP(IF(INDEX(properties!A$1:CB$87,'Fórmula'!B38,41)&lt;&gt;"",INDEX(properties!A$1:CB$87,'Fórmula'!B38,41)),IF(INDEX(properties!A$1:CB$87,'Fórmula'!D38,41)&lt;&gt;"",INDEX(properties!A$1:CB$87,'Fórmula'!D38,41)),IF(INDEX(properties!A$1:CB$87,'Fórmula'!F38,41)&lt;&gt;"",INDEX(properties!A$1:CB$87,'Fórmula'!F38,41)),IF(INDEX(properties!A$1:CB$87,'Fórmula'!H38,41)&lt;&gt;"",INDEX(properties!A$1:CB$87,'Fórmula'!H38,41)),IF(INDEX(properties!A$1:CB$87,'Fórmula'!J38,41)&lt;&gt;"",INDEX(properties!A$1:CB$87,'Fórmula'!J38,41)))</f>
        <v>0.32224</v>
      </c>
      <c r="EG38" s="122">
        <f t="array" ref="EG38">MAX(INDEX(properties!A$1:CB$87,'Fórmula'!B38,41),INDEX(properties!A$1:CB$87,'Fórmula'!D38,41),INDEX(properties!A$1:CB$87,'Fórmula'!F38,41),INDEX(properties!A$1:CB$87,'Fórmula'!H38,41),INDEX(properties!A$1:CB$87,'Fórmula'!J38,41))</f>
        <v>1.26</v>
      </c>
      <c r="EH38" s="122">
        <f t="array" ref="EH38">MIN(IF(INDEX(properties!A$1:CB$87,'Fórmula'!B38,41)=0,10^6,INDEX(properties!A$1:CB$87,'Fórmula'!B38,41)),IF(INDEX(properties!A$1:CB$87,'Fórmula'!D38,41)=0,10^6,INDEX(properties!A$1:CB$87,'Fórmula'!D38,41)),IF(INDEX(properties!A$1:CB$87,'Fórmula'!F38,41)=0,10^6,INDEX(properties!A$1:CB$87,'Fórmula'!F38,41)),IF(INDEX(properties!A$1:CB$87,'Fórmula'!H38,41)=0,10^6,INDEX(properties!A$1:CB$87,'Fórmula'!H38,41)),IF(INDEX(properties!A$1:CB$87,'Fórmula'!J38,41)=0,10^6,INDEX(properties!A$1:CB$87,'Fórmula'!J38,41)))</f>
        <v>1.04</v>
      </c>
      <c r="EI38" s="111">
        <f t="shared" si="23"/>
        <v>0.22</v>
      </c>
      <c r="EJ38" s="112">
        <f t="array" ref="EJ38">(('Fórmula'!C38)/('Fórmula'!C38+'Fórmula'!E38+'Fórmula'!G38+'Fórmula'!I38+'Fórmula'!K38))*(INDEX(properties!A$1:CB$87,'Fórmula'!B38,45))+(('Fórmula'!E38)/('Fórmula'!C38+'Fórmula'!E38+'Fórmula'!G38+'Fórmula'!I38+'Fórmula'!K38))*(INDEX(properties!A$1:CB$87,'Fórmula'!D38,45))+(('Fórmula'!G38)/('Fórmula'!C38+'Fórmula'!E38+'Fórmula'!G38+'Fórmula'!I38+'Fórmula'!K38))*(INDEX(properties!A$1:CB$87,'Fórmula'!F38,45))+(('Fórmula'!I38)/('Fórmula'!C38+'Fórmula'!E38+'Fórmula'!G38+'Fórmula'!I38+'Fórmula'!K38))*(INDEX(properties!A$1:CB$87,'Fórmula'!H38,45))+(('Fórmula'!K38)/('Fórmula'!C38+'Fórmula'!E38+'Fórmula'!G38+'Fórmula'!I38+'Fórmula'!K38))*(INDEX(properties!A$1:CB$87,'Fórmula'!J38,45))</f>
        <v>1.458</v>
      </c>
      <c r="EK38" s="112">
        <f t="array" ref="EK38">'Fórmula'!C38*(INDEX(properties!A$1:CB$87,'Fórmula'!B38,45))+'Fórmula'!E38*(INDEX(properties!A$1:CB$87,'Fórmula'!D38,45))+'Fórmula'!G38*(INDEX(properties!A$1:CB$87,'Fórmula'!F38,45))+'Fórmula'!I38*(INDEX(properties!A$1:CB$87,'Fórmula'!H38,45))+'Fórmula'!K38*(INDEX(properties!A$1:CB$87,'Fórmula'!J38,45))</f>
        <v>7.29</v>
      </c>
      <c r="EL38" s="112">
        <f t="array" ref="EL38">VARP(IF(INDEX(properties!A$1:CB$87,'Fórmula'!B38,45)&lt;&gt;"",INDEX(properties!A$1:CB$87,'Fórmula'!B38,45)),IF(INDEX(properties!A$1:CB$87,'Fórmula'!D38,45)&lt;&gt;"",INDEX(properties!A$1:CB$87,'Fórmula'!D38,45)),IF(INDEX(properties!A$1:CB$87,'Fórmula'!F38,45)&lt;&gt;"",INDEX(properties!A$1:CB$87,'Fórmula'!F38,45)),IF(INDEX(properties!A$1:CB$87,'Fórmula'!H38,45)&lt;&gt;"",INDEX(properties!A$1:CB$87,'Fórmula'!H38,45)),IF(INDEX(properties!A$1:CB$87,'Fórmula'!J38,45)&lt;&gt;"",INDEX(properties!A$1:CB$87,'Fórmula'!J38,45)))</f>
        <v>1.307776</v>
      </c>
      <c r="EM38" s="123">
        <f t="array" ref="EM38">MAX(INDEX(properties!A$1:CB$87,'Fórmula'!B38,45),INDEX(properties!A$1:CB$87,'Fórmula'!D38,45),INDEX(properties!A$1:CB$87,'Fórmula'!F38,45),INDEX(properties!A$1:CB$87,'Fórmula'!H38,45),INDEX(properties!A$1:CB$87,'Fórmula'!J38,45))</f>
        <v>2.94</v>
      </c>
      <c r="EN38" s="123">
        <f t="array" ref="EN38">MIN(IF(INDEX(properties!A$1:CB$87,'Fórmula'!B38,45)=0,10^6,INDEX(properties!A$1:CB$87,'Fórmula'!B38,45)),IF(INDEX(properties!A$1:CB$87,'Fórmula'!D38,45)=0,10^6,INDEX(properties!A$1:CB$87,'Fórmula'!D38,45)),IF(INDEX(properties!A$1:CB$87,'Fórmula'!F38,45)=0,10^6,INDEX(properties!A$1:CB$87,'Fórmula'!F38,45)),IF(INDEX(properties!A$1:CB$87,'Fórmula'!H38,45)=0,10^6,INDEX(properties!A$1:CB$87,'Fórmula'!H38,45)),IF(INDEX(properties!A$1:CB$87,'Fórmula'!J38,45)=0,10^6,INDEX(properties!A$1:CB$87,'Fórmula'!J38,45)))</f>
        <v>0.47</v>
      </c>
      <c r="EO38" s="112">
        <f t="shared" si="24"/>
        <v>2.47</v>
      </c>
      <c r="EP38" s="113">
        <f t="array" ref="EP38">(('Fórmula'!C38)/('Fórmula'!C38+'Fórmula'!E38+'Fórmula'!G38+'Fórmula'!I38+'Fórmula'!K38))*(INDEX(properties!A$1:CB$87,'Fórmula'!B38,46))+(('Fórmula'!E38)/('Fórmula'!C38+'Fórmula'!E38+'Fórmula'!G38+'Fórmula'!I38+'Fórmula'!K38))*(INDEX(properties!A$1:CB$87,'Fórmula'!D38,46))+(('Fórmula'!G38)/('Fórmula'!C38+'Fórmula'!E38+'Fórmula'!G38+'Fórmula'!I38+'Fórmula'!K38))*(INDEX(properties!A$1:CB$87,'Fórmula'!F38,46))+(('Fórmula'!I38)/('Fórmula'!C38+'Fórmula'!E38+'Fórmula'!G38+'Fórmula'!I38+'Fórmula'!K38))*(INDEX(properties!A$1:CB$87,'Fórmula'!H38,46))+(('Fórmula'!K38)/('Fórmula'!C38+'Fórmula'!E38+'Fórmula'!G38+'Fórmula'!I38+'Fórmula'!K38))*(INDEX(properties!A$1:CB$87,'Fórmula'!J38,46))</f>
        <v>1.142</v>
      </c>
      <c r="EQ38" s="113">
        <f t="array" ref="EQ38">'Fórmula'!C38*(INDEX(properties!A$1:CB$87,'Fórmula'!B38,46))+'Fórmula'!E38*(INDEX(properties!A$1:CB$87,'Fórmula'!D38,46))+'Fórmula'!G38*(INDEX(properties!A$1:CB$87,'Fórmula'!F38,46))+'Fórmula'!I38*(INDEX(properties!A$1:CB$87,'Fórmula'!H38,46))+'Fórmula'!K38*(INDEX(properties!A$1:CB$87,'Fórmula'!J38,46))</f>
        <v>5.71</v>
      </c>
      <c r="ER38" s="113">
        <f t="array" ref="ER38">VARP(IF(INDEX(properties!A$1:CB$87,'Fórmula'!B38,46)&lt;&gt;"",INDEX(properties!A$1:CB$87,'Fórmula'!B38,46)),IF(INDEX(properties!A$1:CB$87,'Fórmula'!D38,46)&lt;&gt;"",INDEX(properties!A$1:CB$87,'Fórmula'!D38,46)),IF(INDEX(properties!A$1:CB$87,'Fórmula'!F38,46)&lt;&gt;"",INDEX(properties!A$1:CB$87,'Fórmula'!F38,46)),IF(INDEX(properties!A$1:CB$87,'Fórmula'!H38,46)&lt;&gt;"",INDEX(properties!A$1:CB$87,'Fórmula'!H38,46)),IF(INDEX(properties!A$1:CB$87,'Fórmula'!J38,46)&lt;&gt;"",INDEX(properties!A$1:CB$87,'Fórmula'!J38,46)))</f>
        <v>0.30664</v>
      </c>
      <c r="ES38" s="124">
        <f t="array" ref="ES38">MAX(INDEX(properties!A$1:CB$87,'Fórmula'!B38,46),INDEX(properties!A$1:CB$87,'Fórmula'!D38,46),INDEX(properties!A$1:CB$87,'Fórmula'!F38,46),INDEX(properties!A$1:CB$87,'Fórmula'!H38,46),INDEX(properties!A$1:CB$87,'Fórmula'!J38,46))</f>
        <v>1.21</v>
      </c>
      <c r="ET38" s="124">
        <f t="array" ref="ET38">MIN(IF(INDEX(properties!A$1:CB$87,'Fórmula'!B38,46)=0,10^6,INDEX(properties!A$1:CB$87,'Fórmula'!B38,46)),IF(INDEX(properties!A$1:CB$87,'Fórmula'!D38,46)=0,10^6,INDEX(properties!A$1:CB$87,'Fórmula'!D38,46)),IF(INDEX(properties!A$1:CB$87,'Fórmula'!F38,46)=0,10^6,INDEX(properties!A$1:CB$87,'Fórmula'!F38,46)),IF(INDEX(properties!A$1:CB$87,'Fórmula'!H38,46)=0,10^6,INDEX(properties!A$1:CB$87,'Fórmula'!H38,46)),IF(INDEX(properties!A$1:CB$87,'Fórmula'!J38,46)=0,10^6,INDEX(properties!A$1:CB$87,'Fórmula'!J38,46)))</f>
        <v>1.04</v>
      </c>
      <c r="EU38" s="113">
        <f t="shared" si="25"/>
        <v>0.17</v>
      </c>
      <c r="EV38" s="114">
        <f t="array" ref="EV38">(('Fórmula'!C38)/('Fórmula'!C38+'Fórmula'!E38+'Fórmula'!G38+'Fórmula'!I38+'Fórmula'!K38))*(INDEX(properties!A$1:CB$87,'Fórmula'!B38,52))+(('Fórmula'!E38)/('Fórmula'!C38+'Fórmula'!E38+'Fórmula'!G38+'Fórmula'!I38+'Fórmula'!K38))*(INDEX(properties!A$1:CB$87,'Fórmula'!D38,52))+(('Fórmula'!G38)/('Fórmula'!C38+'Fórmula'!E38+'Fórmula'!G38+'Fórmula'!I38+'Fórmula'!K38))*(INDEX(properties!A$1:CB$87,'Fórmula'!F38,52))+(('Fórmula'!I38)/('Fórmula'!C38+'Fórmula'!E38+'Fórmula'!G38+'Fórmula'!I38+'Fórmula'!K38))*(INDEX(properties!A$1:CB$87,'Fórmula'!H38,52))+(('Fórmula'!K38)/('Fórmula'!C38+'Fórmula'!E38+'Fórmula'!G38+'Fórmula'!I38+'Fórmula'!K38))*(INDEX(properties!A$1:CB$87,'Fórmula'!J38,52))</f>
        <v>9.5558</v>
      </c>
      <c r="EW38" s="114">
        <f t="array" ref="EW38">'Fórmula'!C38*(INDEX(properties!A$1:CB$87,'Fórmula'!B38,52))+'Fórmula'!E38*(INDEX(properties!A$1:CB$87,'Fórmula'!D38,52))+'Fórmula'!G38*(INDEX(properties!A$1:CB$87,'Fórmula'!F38,52))+'Fórmula'!I38*(INDEX(properties!A$1:CB$87,'Fórmula'!H38,52))+'Fórmula'!K38*(INDEX(properties!A$1:CB$87,'Fórmula'!J38,52))</f>
        <v>47.779</v>
      </c>
      <c r="EX38" s="114">
        <f t="array" ref="EX38">VARP(IF(INDEX(properties!A$1:CB$87,'Fórmula'!B38,52)&lt;&gt;"",INDEX(properties!A$1:CB$87,'Fórmula'!B38,52)),IF(INDEX(properties!A$1:CB$87,'Fórmula'!D38,52)&lt;&gt;"",INDEX(properties!A$1:CB$87,'Fórmula'!D38,52)),IF(INDEX(properties!A$1:CB$87,'Fórmula'!F38,52)&lt;&gt;"",INDEX(properties!A$1:CB$87,'Fórmula'!F38,52)),IF(INDEX(properties!A$1:CB$87,'Fórmula'!H38,52)&lt;&gt;"",INDEX(properties!A$1:CB$87,'Fórmula'!H38,52)),IF(INDEX(properties!A$1:CB$87,'Fórmula'!J38,52)&lt;&gt;"",INDEX(properties!A$1:CB$87,'Fórmula'!J38,52)))</f>
        <v>81.10692784</v>
      </c>
      <c r="EY38" s="114">
        <f t="array" ref="EY38">MAX(INDEX(properties!A$1:CB$87,'Fórmula'!B38,52),INDEX(properties!A$1:CB$87,'Fórmula'!D38,52),INDEX(properties!A$1:CB$87,'Fórmula'!F38,52),INDEX(properties!A$1:CB$87,'Fórmula'!H38,52),INDEX(properties!A$1:CB$87,'Fórmula'!J38,52))</f>
        <v>22.7</v>
      </c>
      <c r="EZ38" s="114">
        <f t="array" ref="EZ38">MIN(IF(INDEX(properties!A$1:CB$87,'Fórmula'!B38,52)=0,10^6,INDEX(properties!A$1:CB$87,'Fórmula'!B38,52)),IF(INDEX(properties!A$1:CB$87,'Fórmula'!D38,52)=0,10^6,INDEX(properties!A$1:CB$87,'Fórmula'!D38,52)),IF(INDEX(properties!A$1:CB$87,'Fórmula'!F38,52)=0,10^6,INDEX(properties!A$1:CB$87,'Fórmula'!F38,52)),IF(INDEX(properties!A$1:CB$87,'Fórmula'!H38,52)=0,10^6,INDEX(properties!A$1:CB$87,'Fórmula'!H38,52)),IF(INDEX(properties!A$1:CB$87,'Fórmula'!J38,52)=0,10^6,INDEX(properties!A$1:CB$87,'Fórmula'!J38,52)))</f>
        <v>0.793</v>
      </c>
      <c r="FA38" s="114">
        <f t="shared" si="26"/>
        <v>21.907</v>
      </c>
      <c r="FB38" s="115">
        <f t="array" ref="FB38">(('Fórmula'!C38)/('Fórmula'!C38+'Fórmula'!E38+'Fórmula'!G38+'Fórmula'!I38+'Fórmula'!K38))*(INDEX(properties!A$1:CB$87,'Fórmula'!B38,53))+(('Fórmula'!E38)/('Fórmula'!C38+'Fórmula'!E38+'Fórmula'!G38+'Fórmula'!I38+'Fórmula'!K38))*(INDEX(properties!A$1:CB$87,'Fórmula'!D38,53))+(('Fórmula'!G38)/('Fórmula'!C38+'Fórmula'!E38+'Fórmula'!G38+'Fórmula'!I38+'Fórmula'!K38))*(INDEX(properties!A$1:CB$87,'Fórmula'!F38,53))+(('Fórmula'!I38)/('Fórmula'!C38+'Fórmula'!E38+'Fórmula'!G38+'Fórmula'!I38+'Fórmula'!K38))*(INDEX(properties!A$1:CB$87,'Fórmula'!H38,53))+(('Fórmula'!K38)/('Fórmula'!C38+'Fórmula'!E38+'Fórmula'!G38+'Fórmula'!I38+'Fórmula'!K38))*(INDEX(properties!A$1:CB$87,'Fórmula'!J38,53))</f>
        <v>751.31</v>
      </c>
      <c r="FC38" s="115">
        <f t="array" ref="FC38">'Fórmula'!C38*(INDEX(properties!A$1:CB$87,'Fórmula'!B38,53))+'Fórmula'!E38*(INDEX(properties!A$1:CB$87,'Fórmula'!D38,53))+'Fórmula'!G38*(INDEX(properties!A$1:CB$87,'Fórmula'!F38,53))+'Fórmula'!I38*(INDEX(properties!A$1:CB$87,'Fórmula'!H38,53))+'Fórmula'!K38*(INDEX(properties!A$1:CB$87,'Fórmula'!J38,53))</f>
        <v>3756.55</v>
      </c>
      <c r="FD38" s="115">
        <f t="array" ref="FD38">VARP(IF(INDEX(properties!A$1:CB$87,'Fórmula'!B38,53)&lt;&gt;"",INDEX(properties!A$1:CB$87,'Fórmula'!B38,53)),IF(INDEX(properties!A$1:CB$87,'Fórmula'!D38,53)&lt;&gt;"",INDEX(properties!A$1:CB$87,'Fórmula'!D38,53)),IF(INDEX(properties!A$1:CB$87,'Fórmula'!F38,53)&lt;&gt;"",INDEX(properties!A$1:CB$87,'Fórmula'!F38,53)),IF(INDEX(properties!A$1:CB$87,'Fórmula'!H38,53)&lt;&gt;"",INDEX(properties!A$1:CB$87,'Fórmula'!H38,53)),IF(INDEX(properties!A$1:CB$87,'Fórmula'!J38,53)&lt;&gt;"",INDEX(properties!A$1:CB$87,'Fórmula'!J38,53)))</f>
        <v>508797.2446</v>
      </c>
      <c r="FE38" s="115">
        <f t="array" ref="FE38">MAX(INDEX(properties!A$1:CB$87,'Fórmula'!B38,53),INDEX(properties!A$1:CB$87,'Fórmula'!D38,53),INDEX(properties!A$1:CB$87,'Fórmula'!F38,53),INDEX(properties!A$1:CB$87,'Fórmula'!H38,53),INDEX(properties!A$1:CB$87,'Fórmula'!J38,53))</f>
        <v>1796.15</v>
      </c>
      <c r="FF38" s="115">
        <f t="array" ref="FF38">MIN(IF(INDEX(properties!A$1:CB$87,'Fórmula'!B38,53)=0,10^6,INDEX(properties!A$1:CB$87,'Fórmula'!B38,53)),IF(INDEX(properties!A$1:CB$87,'Fórmula'!D38,53)=0,10^6,INDEX(properties!A$1:CB$87,'Fórmula'!D38,53)),IF(INDEX(properties!A$1:CB$87,'Fórmula'!F38,53)=0,10^6,INDEX(properties!A$1:CB$87,'Fórmula'!F38,53)),IF(INDEX(properties!A$1:CB$87,'Fórmula'!H38,53)=0,10^6,INDEX(properties!A$1:CB$87,'Fórmula'!H38,53)),IF(INDEX(properties!A$1:CB$87,'Fórmula'!J38,53)=0,10^6,INDEX(properties!A$1:CB$87,'Fórmula'!J38,53)))</f>
        <v>54.75</v>
      </c>
      <c r="FG38" s="115">
        <f t="shared" si="27"/>
        <v>1741.4</v>
      </c>
      <c r="FH38" s="117">
        <f t="array" ref="FH38">(('Fórmula'!C38)/('Fórmula'!C38+'Fórmula'!E38+'Fórmula'!G38+'Fórmula'!I38+'Fórmula'!K38))*(INDEX(properties!A$1:CB$87,'Fórmula'!B38,54))+(('Fórmula'!E38)/('Fórmula'!C38+'Fórmula'!E38+'Fórmula'!G38+'Fórmula'!I38+'Fórmula'!K38))*(INDEX(properties!A$1:CB$87,'Fórmula'!D38,54))+(('Fórmula'!G38)/('Fórmula'!C38+'Fórmula'!E38+'Fórmula'!G38+'Fórmula'!I38+'Fórmula'!K38))*(INDEX(properties!A$1:CB$87,'Fórmula'!F38,54))+(('Fórmula'!I38)/('Fórmula'!C38+'Fórmula'!E38+'Fórmula'!G38+'Fórmula'!I38+'Fórmula'!K38))*(INDEX(properties!A$1:CB$87,'Fórmula'!H38,54))+(('Fórmula'!K38)/('Fórmula'!C38+'Fórmula'!E38+'Fórmula'!G38+'Fórmula'!I38+'Fórmula'!K38))*(INDEX(properties!A$1:CB$87,'Fórmula'!J38,54))</f>
        <v>1498.15</v>
      </c>
      <c r="FI38" s="117">
        <f t="array" ref="FI38">'Fórmula'!C38*(INDEX(properties!A$1:CB$87,'Fórmula'!B38,54))+'Fórmula'!E38*(INDEX(properties!A$1:CB$87,'Fórmula'!D38,54))+'Fórmula'!G38*(INDEX(properties!A$1:CB$87,'Fórmula'!F38,54))+'Fórmula'!I38*(INDEX(properties!A$1:CB$87,'Fórmula'!H38,54))+'Fórmula'!K38*(INDEX(properties!A$1:CB$87,'Fórmula'!J38,54))</f>
        <v>7490.75</v>
      </c>
      <c r="FJ38" s="117">
        <f t="array" ref="FJ38">VARP(IF(INDEX(properties!A$1:CB$87,'Fórmula'!B38,54)&lt;&gt;"",INDEX(properties!A$1:CB$87,'Fórmula'!B38,54)),IF(INDEX(properties!A$1:CB$87,'Fórmula'!D38,54)&lt;&gt;"",INDEX(properties!A$1:CB$87,'Fórmula'!D38,54)),IF(INDEX(properties!A$1:CB$87,'Fórmula'!F38,54)&lt;&gt;"",INDEX(properties!A$1:CB$87,'Fórmula'!F38,54)),IF(INDEX(properties!A$1:CB$87,'Fórmula'!H38,54)&lt;&gt;"",INDEX(properties!A$1:CB$87,'Fórmula'!H38,54)),IF(INDEX(properties!A$1:CB$87,'Fórmula'!J38,54)&lt;&gt;"",INDEX(properties!A$1:CB$87,'Fórmula'!J38,54)))</f>
        <v>2060573.205</v>
      </c>
      <c r="FK38" s="117">
        <f t="array" ref="FK38">MAX(INDEX(properties!A$1:CB$87,'Fórmula'!B38,54),INDEX(properties!A$1:CB$87,'Fórmula'!D38,54),INDEX(properties!A$1:CB$87,'Fórmula'!F38,54),INDEX(properties!A$1:CB$87,'Fórmula'!H38,54),INDEX(properties!A$1:CB$87,'Fórmula'!J38,54))</f>
        <v>3610.15</v>
      </c>
      <c r="FL38" s="117">
        <f t="array" ref="FL38">MIN(IF(INDEX(properties!A$1:CB$87,'Fórmula'!B38,54)=0,10^6,INDEX(properties!A$1:CB$87,'Fórmula'!B38,54)),IF(INDEX(properties!A$1:CB$87,'Fórmula'!D38,54)=0,10^6,INDEX(properties!A$1:CB$87,'Fórmula'!D38,54)),IF(INDEX(properties!A$1:CB$87,'Fórmula'!F38,54)=0,10^6,INDEX(properties!A$1:CB$87,'Fórmula'!F38,54)),IF(INDEX(properties!A$1:CB$87,'Fórmula'!H38,54)=0,10^6,INDEX(properties!A$1:CB$87,'Fórmula'!H38,54)),IF(INDEX(properties!A$1:CB$87,'Fórmula'!J38,54)=0,10^6,INDEX(properties!A$1:CB$87,'Fórmula'!J38,54)))</f>
        <v>90.15</v>
      </c>
      <c r="FM38" s="117">
        <f t="shared" si="28"/>
        <v>3520</v>
      </c>
      <c r="FN38" s="118">
        <f t="array" ref="FN38">(('Fórmula'!C38)/('Fórmula'!C38+'Fórmula'!E38+'Fórmula'!G38+'Fórmula'!I38+'Fórmula'!K38))*(INDEX(properties!A$1:CB$87,'Fórmula'!B38,55))+(('Fórmula'!E38)/('Fórmula'!C38+'Fórmula'!E38+'Fórmula'!G38+'Fórmula'!I38+'Fórmula'!K38))*(INDEX(properties!A$1:CB$87,'Fórmula'!D38,55))+(('Fórmula'!G38)/('Fórmula'!C38+'Fórmula'!E38+'Fórmula'!G38+'Fórmula'!I38+'Fórmula'!K38))*(INDEX(properties!A$1:CB$87,'Fórmula'!F38,55))+(('Fórmula'!I38)/('Fórmula'!C38+'Fórmula'!E38+'Fórmula'!G38+'Fórmula'!I38+'Fórmula'!K38))*(INDEX(properties!A$1:CB$87,'Fórmula'!H38,55))+(('Fórmula'!K38)/('Fórmula'!C38+'Fórmula'!E38+'Fórmula'!G38+'Fórmula'!I38+'Fórmula'!K38))*(INDEX(properties!A$1:CB$87,'Fórmula'!J38,55))</f>
        <v>1.788858</v>
      </c>
      <c r="FO38" s="118">
        <f t="array" ref="FO38">'Fórmula'!C38*(INDEX(properties!A$1:CB$87,'Fórmula'!B38,55))+'Fórmula'!E38*(INDEX(properties!A$1:CB$87,'Fórmula'!D38,54))+'Fórmula'!G38*(INDEX(properties!A$1:CB$87,'Fórmula'!F38,55))+'Fórmula'!I38*(INDEX(properties!A$1:CB$87,'Fórmula'!H38,55))+'Fórmula'!K38*(INDEX(properties!A$1:CB$87,'Fórmula'!J38,55))</f>
        <v>279.39</v>
      </c>
      <c r="FP38" s="118">
        <f t="array" ref="FP38">VARP(IF(INDEX(properties!A$1:CB$87,'Fórmula'!B38,55)&lt;&gt;"",INDEX(properties!A$1:CB$87,'Fórmula'!B38,55)),IF(INDEX(properties!A$1:CB$87,'Fórmula'!D38,55)&lt;&gt;"",INDEX(properties!A$1:CB$87,'Fórmula'!D38,55)),IF(INDEX(properties!A$1:CB$87,'Fórmula'!F38,55)&lt;&gt;"",INDEX(properties!A$1:CB$87,'Fórmula'!F38,55)),IF(INDEX(properties!A$1:CB$87,'Fórmula'!H38,55)&lt;&gt;"",INDEX(properties!A$1:CB$87,'Fórmula'!H38,55)),IF(INDEX(properties!A$1:CB$87,'Fórmula'!J38,55)&lt;&gt;"",INDEX(properties!A$1:CB$87,'Fórmula'!J38,55)))</f>
        <v>3.196432959</v>
      </c>
      <c r="FQ38" s="118">
        <f t="array" ref="FQ38">MAX(INDEX(properties!A$1:CB$87,'Fórmula'!B38,55),INDEX(properties!A$1:CB$87,'Fórmula'!D38,55),INDEX(properties!A$1:CB$87,'Fórmula'!F38,55),INDEX(properties!A$1:CB$87,'Fórmula'!H38,55),INDEX(properties!A$1:CB$87,'Fórmula'!J38,55))</f>
        <v>4.47</v>
      </c>
      <c r="FR38" s="118">
        <f t="array" ref="FR38">MIN(IF(INDEX(properties!A$1:CB$87,'Fórmula'!B38,55)=0,10^6,INDEX(properties!A$1:CB$87,'Fórmula'!B38,55)),IF(INDEX(properties!A$1:CB$87,'Fórmula'!D38,55)=0,10^6,INDEX(properties!A$1:CB$87,'Fórmula'!D38,55)),IF(INDEX(properties!A$1:CB$87,'Fórmula'!F38,55)=0,10^6,INDEX(properties!A$1:CB$87,'Fórmula'!F38,55)),IF(INDEX(properties!A$1:CB$87,'Fórmula'!H38,55)=0,10^6,INDEX(properties!A$1:CB$87,'Fórmula'!H38,55)),IF(INDEX(properties!A$1:CB$87,'Fórmula'!J38,55)=0,10^6,INDEX(properties!A$1:CB$87,'Fórmula'!J38,55)))</f>
        <v>0.00143</v>
      </c>
      <c r="FS38" s="118">
        <f t="shared" si="29"/>
        <v>4.46857</v>
      </c>
      <c r="FT38" s="119">
        <f t="array" ref="FT38">(('Fórmula'!C38)/('Fórmula'!C38+'Fórmula'!E38+'Fórmula'!G38+'Fórmula'!I38+'Fórmula'!K38))*(INDEX(properties!A$1:CB$87,'Fórmula'!B38,56))+(('Fórmula'!E38)/('Fórmula'!C38+'Fórmula'!E38+'Fórmula'!G38+'Fórmula'!I38+'Fórmula'!K38))*(INDEX(properties!A$1:CB$87,'Fórmula'!D38,56))+(('Fórmula'!G38)/('Fórmula'!C38+'Fórmula'!E38+'Fórmula'!G38+'Fórmula'!I38+'Fórmula'!K38))*(INDEX(properties!A$1:CB$87,'Fórmula'!F38,56))+(('Fórmula'!I38)/('Fórmula'!C38+'Fórmula'!E38+'Fórmula'!G38+'Fórmula'!I38+'Fórmula'!K38))*(INDEX(properties!A$1:CB$87,'Fórmula'!H38,56))+(('Fórmula'!K38)/('Fórmula'!C38+'Fórmula'!E38+'Fórmula'!G38+'Fórmula'!I38+'Fórmula'!K38))*(INDEX(properties!A$1:CB$87,'Fórmula'!J38,56))</f>
        <v>0.672</v>
      </c>
      <c r="FU38" s="119">
        <f t="array" ref="FU38">'Fórmula'!C38*(INDEX(properties!A$1:CB$87,'Fórmula'!B38,56))+'Fórmula'!E38*(INDEX(properties!A$1:CB$87,'Fórmula'!D38,56))+'Fórmula'!G38*(INDEX(properties!A$1:CB$87,'Fórmula'!F38,56))+'Fórmula'!I38*(INDEX(properties!A$1:CB$87,'Fórmula'!H38,56))+'Fórmula'!K38*(INDEX(properties!A$1:CB$87,'Fórmula'!J38,56))</f>
        <v>3.36</v>
      </c>
      <c r="FV38" s="119">
        <f t="array" ref="FV38">VARP(IF(INDEX(properties!A$1:CB$87,'Fórmula'!B38,56)&lt;&gt;"",INDEX(properties!A$1:CB$87,'Fórmula'!B38,56)),IF(INDEX(properties!A$1:CB$87,'Fórmula'!D38,56)&lt;&gt;"",INDEX(properties!A$1:CB$87,'Fórmula'!D38,56)),IF(INDEX(properties!A$1:CB$87,'Fórmula'!F38,56)&lt;&gt;"",INDEX(properties!A$1:CB$87,'Fórmula'!F38,56)),IF(INDEX(properties!A$1:CB$87,'Fórmula'!H38,56)&lt;&gt;"",INDEX(properties!A$1:CB$87,'Fórmula'!H38,56)),IF(INDEX(properties!A$1:CB$87,'Fórmula'!J38,56)&lt;&gt;"",INDEX(properties!A$1:CB$87,'Fórmula'!J38,56)))</f>
        <v>0.127744</v>
      </c>
      <c r="FW38" s="119">
        <f t="array" ref="FW38">MAX(INDEX(properties!A$1:CB$87,'Fórmula'!B38,56),INDEX(properties!A$1:CB$87,'Fórmula'!D38,56),INDEX(properties!A$1:CB$87,'Fórmula'!F38,56),INDEX(properties!A$1:CB$87,'Fórmula'!H38,56),INDEX(properties!A$1:CB$87,'Fórmula'!J38,56))</f>
        <v>0.92</v>
      </c>
      <c r="FX38" s="119">
        <f t="array" ref="FX38">MIN(IF(INDEX(properties!A$1:CB$87,'Fórmula'!B38,56)=0,10^6,INDEX(properties!A$1:CB$87,'Fórmula'!B38,56)),IF(INDEX(properties!A$1:CB$87,'Fórmula'!D38,56)=0,10^6,INDEX(properties!A$1:CB$87,'Fórmula'!D38,56)),IF(INDEX(properties!A$1:CB$87,'Fórmula'!F38,56)=0,10^6,INDEX(properties!A$1:CB$87,'Fórmula'!F38,56)),IF(INDEX(properties!A$1:CB$87,'Fórmula'!H38,56)=0,10^6,INDEX(properties!A$1:CB$87,'Fórmula'!H38,56)),IF(INDEX(properties!A$1:CB$87,'Fórmula'!J38,56)=0,10^6,INDEX(properties!A$1:CB$87,'Fórmula'!J38,56)))</f>
        <v>0.3</v>
      </c>
      <c r="FY38" s="119">
        <f t="shared" si="30"/>
        <v>0.62</v>
      </c>
      <c r="FZ38" s="104">
        <f t="array" ref="FZ38">(('Fórmula'!C38)/('Fórmula'!C38+'Fórmula'!E38+'Fórmula'!G38+'Fórmula'!I38+'Fórmula'!K38))*(INDEX(properties!A$1:CB$87,'Fórmula'!B38,57))+(('Fórmula'!E38)/('Fórmula'!C38+'Fórmula'!E38+'Fórmula'!G38+'Fórmula'!I38+'Fórmula'!K38))*(INDEX(properties!A$1:CB$87,'Fórmula'!D38,57))+(('Fórmula'!G38)/('Fórmula'!C38+'Fórmula'!E38+'Fórmula'!G38+'Fórmula'!I38+'Fórmula'!K38))*(INDEX(properties!A$1:CB$87,'Fórmula'!F38,57))+(('Fórmula'!I38)/('Fórmula'!C38+'Fórmula'!E38+'Fórmula'!G38+'Fórmula'!I38+'Fórmula'!K38))*(INDEX(properties!A$1:CB$87,'Fórmula'!H38,57))+(('Fórmula'!K38)/('Fórmula'!C38+'Fórmula'!E38+'Fórmula'!G38+'Fórmula'!I38+'Fórmula'!K38))*(INDEX(properties!A$1:CB$87,'Fórmula'!J38,57))</f>
        <v>4.693554</v>
      </c>
      <c r="GA38" s="104">
        <f t="array" ref="GA38">'Fórmula'!C38*(INDEX(properties!A$1:CB$87,'Fórmula'!B38,57))+'Fórmula'!E38*(INDEX(properties!A$1:CB$87,'Fórmula'!D38,57))+'Fórmula'!G38*(INDEX(properties!A$1:CB$87,'Fórmula'!F38,57))+'Fórmula'!I38*(INDEX(properties!A$1:CB$87,'Fórmula'!H38,57))+'Fórmula'!K38*(INDEX(properties!A$1:CB$87,'Fórmula'!J38,57))</f>
        <v>23.46777</v>
      </c>
      <c r="GB38" s="104">
        <f t="array" ref="GB38">VARP(IF(INDEX(properties!A$1:CB$87,'Fórmula'!B38,57)&lt;&gt;"",INDEX(properties!A$1:CB$87,'Fórmula'!B38,57)),IF(INDEX(properties!A$1:CB$87,'Fórmula'!D38,57)&lt;&gt;"",INDEX(properties!A$1:CB$87,'Fórmula'!D38,57)),IF(INDEX(properties!A$1:CB$87,'Fórmula'!F38,57)&lt;&gt;"",INDEX(properties!A$1:CB$87,'Fórmula'!F38,57)),IF(INDEX(properties!A$1:CB$87,'Fórmula'!H38,57)&lt;&gt;"",INDEX(properties!A$1:CB$87,'Fórmula'!H38,57)),IF(INDEX(properties!A$1:CB$87,'Fórmula'!J38,57)&lt;&gt;"",INDEX(properties!A$1:CB$87,'Fórmula'!J38,57)))</f>
        <v>20.59852533</v>
      </c>
      <c r="GC38" s="104">
        <f t="array" ref="GC38">MAX(INDEX(properties!A$1:CB$87,'Fórmula'!B38,57),INDEX(properties!A$1:CB$87,'Fórmula'!D38,57),INDEX(properties!A$1:CB$87,'Fórmula'!F38,57),INDEX(properties!A$1:CB$87,'Fórmula'!H38,57),INDEX(properties!A$1:CB$87,'Fórmula'!J38,57))</f>
        <v>11.4</v>
      </c>
      <c r="GD38" s="104">
        <f t="array" ref="GD38">MIN(IF(INDEX(properties!A$1:CB$87,'Fórmula'!B38,57)=0,10^6,INDEX(properties!A$1:CB$87,'Fórmula'!B38,57)),IF(INDEX(properties!A$1:CB$87,'Fórmula'!D38,57)=0,10^6,INDEX(properties!A$1:CB$87,'Fórmula'!D38,57)),IF(INDEX(properties!A$1:CB$87,'Fórmula'!F38,57)=0,10^6,INDEX(properties!A$1:CB$87,'Fórmula'!F38,57)),IF(INDEX(properties!A$1:CB$87,'Fórmula'!H38,57)=0,10^6,INDEX(properties!A$1:CB$87,'Fórmula'!H38,57)),IF(INDEX(properties!A$1:CB$87,'Fórmula'!J38,57)=0,10^6,INDEX(properties!A$1:CB$87,'Fórmula'!J38,57)))</f>
        <v>0.22259</v>
      </c>
      <c r="GE38" s="104">
        <f t="shared" si="31"/>
        <v>11.17741</v>
      </c>
      <c r="GF38" s="105">
        <f t="array" ref="GF38">(('Fórmula'!C38)/('Fórmula'!C38+'Fórmula'!E38+'Fórmula'!G38+'Fórmula'!I38+'Fórmula'!K38))*(INDEX(properties!A$1:CB$87,'Fórmula'!B38,60))+(('Fórmula'!E38)/('Fórmula'!C38+'Fórmula'!E38+'Fórmula'!G38+'Fórmula'!I38+'Fórmula'!K38))*(INDEX(properties!A$1:CB$87,'Fórmula'!D38,60))+(('Fórmula'!G38)/('Fórmula'!C38+'Fórmula'!E38+'Fórmula'!G38+'Fórmula'!I38+'Fórmula'!K38))*(INDEX(properties!A$1:CB$87,'Fórmula'!F38,60))+(('Fórmula'!I38)/('Fórmula'!C38+'Fórmula'!E38+'Fórmula'!G38+'Fórmula'!I38+'Fórmula'!K38))*(INDEX(properties!A$1:CB$87,'Fórmula'!H38,60))+(('Fórmula'!K38)/('Fórmula'!C38+'Fórmula'!E38+'Fórmula'!G38+'Fórmula'!I38+'Fórmula'!K38))*(INDEX(properties!A$1:CB$87,'Fórmula'!J38,60))</f>
        <v>6.896044</v>
      </c>
      <c r="GG38" s="105">
        <f t="array" ref="GG38">'Fórmula'!C38*(INDEX(properties!A$1:CB$87,'Fórmula'!B38,60))+'Fórmula'!E38*(INDEX(properties!A$1:CB$87,'Fórmula'!D38,60))+'Fórmula'!G38*(INDEX(properties!A$1:CB$87,'Fórmula'!F38,60))+'Fórmula'!I38*(INDEX(properties!A$1:CB$87,'Fórmula'!H38,60))+'Fórmula'!K38*(INDEX(properties!A$1:CB$87,'Fórmula'!J38,60))</f>
        <v>34.48022</v>
      </c>
      <c r="GH38" s="105">
        <f t="array" ref="GH38">VARP(IF(INDEX(properties!A$1:CB$87,'Fórmula'!B38,60)&lt;&gt;"",INDEX(properties!A$1:CB$87,'Fórmula'!B38,60)),IF(INDEX(properties!A$1:CB$87,'Fórmula'!D38,60)&lt;&gt;"",INDEX(properties!A$1:CB$87,'Fórmula'!D38,60)),IF(INDEX(properties!A$1:CB$87,'Fórmula'!F38,60)&lt;&gt;"",INDEX(properties!A$1:CB$87,'Fórmula'!F38,60)),IF(INDEX(properties!A$1:CB$87,'Fórmula'!H38,60)&lt;&gt;"",INDEX(properties!A$1:CB$87,'Fórmula'!H38,60)),IF(INDEX(properties!A$1:CB$87,'Fórmula'!J38,60)&lt;&gt;"",INDEX(properties!A$1:CB$87,'Fórmula'!J38,60)))</f>
        <v>47.29772016</v>
      </c>
      <c r="GI38" s="105">
        <f t="array" ref="GI38">MAX(INDEX(properties!A$1:CB$87,'Fórmula'!B38,60),INDEX(properties!A$1:CB$87,'Fórmula'!D38,60),INDEX(properties!A$1:CB$87,'Fórmula'!F38,60),INDEX(properties!A$1:CB$87,'Fórmula'!H38,60),INDEX(properties!A$1:CB$87,'Fórmula'!J38,60))</f>
        <v>17.2</v>
      </c>
      <c r="GJ38" s="105">
        <f t="array" ref="GJ38">MIN(IF(INDEX(properties!A$1:CB$87,'Fórmula'!B38,60)=0,10^6,INDEX(properties!A$1:CB$87,'Fórmula'!B38,60)),IF(INDEX(properties!A$1:CB$87,'Fórmula'!D38,60)=0,10^6,INDEX(properties!A$1:CB$87,'Fórmula'!D38,60)),IF(INDEX(properties!A$1:CB$87,'Fórmula'!F38,60)=0,10^6,INDEX(properties!A$1:CB$87,'Fórmula'!F38,60)),IF(INDEX(properties!A$1:CB$87,'Fórmula'!H38,60)=0,10^6,INDEX(properties!A$1:CB$87,'Fórmula'!H38,60)),IF(INDEX(properties!A$1:CB$87,'Fórmula'!J38,60)=0,10^6,INDEX(properties!A$1:CB$87,'Fórmula'!J38,60)))</f>
        <v>0.02674</v>
      </c>
      <c r="GK38" s="105">
        <f t="shared" si="32"/>
        <v>17.17326</v>
      </c>
      <c r="GL38" s="106">
        <f t="array" ref="GL38">(('Fórmula'!C38)/('Fórmula'!C38+'Fórmula'!E38+'Fórmula'!G38+'Fórmula'!I38+'Fórmula'!K38))*(INDEX(properties!A$1:CB$87,'Fórmula'!B38,62))+(('Fórmula'!E38)/('Fórmula'!C38+'Fórmula'!E38+'Fórmula'!G38+'Fórmula'!I38+'Fórmula'!K38))*(INDEX(properties!A$1:CB$87,'Fórmula'!D38,62))+(('Fórmula'!G38)/('Fórmula'!C38+'Fórmula'!E38+'Fórmula'!G38+'Fórmula'!I38+'Fórmula'!K38))*(INDEX(properties!A$1:CB$87,'Fórmula'!F38,62))+(('Fórmula'!I38)/('Fórmula'!C38+'Fórmula'!E38+'Fórmula'!G38+'Fórmula'!I38+'Fórmula'!K38))*(INDEX(properties!A$1:CB$87,'Fórmula'!H38,62))+(('Fórmula'!K38)/('Fórmula'!C38+'Fórmula'!E38+'Fórmula'!G38+'Fórmula'!I38+'Fórmula'!K38))*(INDEX(properties!A$1:CB$87,'Fórmula'!J38,62))</f>
        <v>3.32</v>
      </c>
      <c r="GM38" s="106">
        <f t="array" ref="GM38">'Fórmula'!C38*(INDEX(properties!A$1:CB$87,'Fórmula'!B38,62))+'Fórmula'!E38*(INDEX(properties!A$1:CB$87,'Fórmula'!D38,62))+'Fórmula'!G38*(INDEX(properties!A$1:CB$87,'Fórmula'!F38,62))+'Fórmula'!I38*(INDEX(properties!A$1:CB$87,'Fórmula'!H38,62))+'Fórmula'!K38*(INDEX(properties!A$1:CB$87,'Fórmula'!J38,62))</f>
        <v>16.6</v>
      </c>
      <c r="GN38" s="106">
        <f t="array" ref="GN38">VARP(IF(INDEX(properties!A$1:CB$87,'Fórmula'!B38,62)&lt;&gt;"",INDEX(properties!A$1:CB$87,'Fórmula'!B38,62)),IF(INDEX(properties!A$1:CB$87,'Fórmula'!D38,62)&lt;&gt;"",INDEX(properties!A$1:CB$87,'Fórmula'!D38,62)),IF(INDEX(properties!A$1:CB$87,'Fórmula'!F38,62)&lt;&gt;"",INDEX(properties!A$1:CB$87,'Fórmula'!F38,62)),IF(INDEX(properties!A$1:CB$87,'Fórmula'!H38,62)&lt;&gt;"",INDEX(properties!A$1:CB$87,'Fórmula'!H38,62)),IF(INDEX(properties!A$1:CB$87,'Fórmula'!J38,62)&lt;&gt;"",INDEX(properties!A$1:CB$87,'Fórmula'!J38,62)))</f>
        <v>3.237856</v>
      </c>
      <c r="GO38" s="106">
        <f t="array" ref="GO38">MAX(INDEX(properties!A$1:CB$87,'Fórmula'!B38,62),INDEX(properties!A$1:CB$87,'Fórmula'!D38,62),INDEX(properties!A$1:CB$87,'Fórmula'!F38,62),INDEX(properties!A$1:CB$87,'Fórmula'!H38,62),INDEX(properties!A$1:CB$87,'Fórmula'!J38,62))</f>
        <v>4.37</v>
      </c>
      <c r="GP38" s="106">
        <f t="array" ref="GP38">MIN(IF(INDEX(properties!A$1:CB$87,'Fórmula'!B38,62)=0,10^6,INDEX(properties!A$1:CB$87,'Fórmula'!B38,62)),IF(INDEX(properties!A$1:CB$87,'Fórmula'!D38,62)=0,10^6,INDEX(properties!A$1:CB$87,'Fórmula'!D38,62)),IF(INDEX(properties!A$1:CB$87,'Fórmula'!F38,62)=0,10^6,INDEX(properties!A$1:CB$87,'Fórmula'!F38,62)),IF(INDEX(properties!A$1:CB$87,'Fórmula'!H38,62)=0,10^6,INDEX(properties!A$1:CB$87,'Fórmula'!H38,62)),IF(INDEX(properties!A$1:CB$87,'Fórmula'!J38,62)=0,10^6,INDEX(properties!A$1:CB$87,'Fórmula'!J38,62)))</f>
        <v>2.62</v>
      </c>
      <c r="GQ38" s="106">
        <f t="shared" si="33"/>
        <v>1.75</v>
      </c>
      <c r="GR38" s="106">
        <f>'Fórmula'!Q38</f>
        <v>206</v>
      </c>
      <c r="GS38" s="107">
        <f>'Fórmula'!P38</f>
        <v>1</v>
      </c>
      <c r="GT38" s="113">
        <f>'Fórmula'!O38</f>
        <v>5.03</v>
      </c>
      <c r="GU38" s="114">
        <f>AVERAGE('Fórmula'!R38/'Fórmula'!S38,'Fórmula'!S38/'Fórmula'!T38,'Fórmula'!T38/'Fórmula'!R38)</f>
        <v>1</v>
      </c>
      <c r="GV38" s="125">
        <f>'Fórmula'!U38</f>
        <v>1193.37</v>
      </c>
      <c r="GW38" s="106">
        <f>'Fórmula'!N38</f>
        <v>0.01</v>
      </c>
    </row>
    <row r="39" ht="14.25" customHeight="1">
      <c r="A39" s="99" t="str">
        <f>'Fórmula'!A39</f>
        <v>KSrPO4</v>
      </c>
      <c r="B39" s="101">
        <f t="array" ref="B39">(('Fórmula'!C39)/('Fórmula'!C39+'Fórmula'!E39+'Fórmula'!G39+'Fórmula'!I39+'Fórmula'!K39))*(INDEX(properties!A$1:CB$87,'Fórmula'!B39,3))+(('Fórmula'!E39)/('Fórmula'!C39+'Fórmula'!E39+'Fórmula'!G39+'Fórmula'!I39+'Fórmula'!K39))*(INDEX(properties!A$1:CB$87,'Fórmula'!D39,3))+(('Fórmula'!G39)/('Fórmula'!C39+'Fórmula'!E39+'Fórmula'!G39+'Fórmula'!I39+'Fórmula'!K39))*(INDEX(properties!A$1:CB$87,'Fórmula'!F39,3))+(('Fórmula'!I39)/('Fórmula'!C39+'Fórmula'!E39+'Fórmula'!G39+'Fórmula'!I39+'Fórmula'!K39))*(INDEX(properties!A$1:CB$87,'Fórmula'!H39,3))+(('Fórmula'!K39)/('Fórmula'!C39+'Fórmula'!E39+'Fórmula'!G39+'Fórmula'!I39+'Fórmula'!K39))*(INDEX(properties!A$1:CB$87,'Fórmula'!J39,3))</f>
        <v>31.66995171</v>
      </c>
      <c r="C39" s="101">
        <f t="array" ref="C39">'Fórmula'!C39*(INDEX(properties!A$1:CB$87,'Fórmula'!B39,3))+'Fórmula'!E39*(INDEX(properties!A$1:CB$87,'Fórmula'!D39,3))+'Fórmula'!G39*(INDEX(properties!A$1:CB$87,'Fórmula'!F39,3))+'Fórmula'!I39*(INDEX(properties!A$1:CB$87,'Fórmula'!H39,3))+'Fórmula'!K39*(INDEX(properties!A$1:CB$87,'Fórmula'!J39,3))</f>
        <v>221.689662</v>
      </c>
      <c r="D39" s="101">
        <f t="array" ref="D39">VARP(IF(INDEX(properties!A$1:CB$87,'Fórmula'!B39,3)&lt;&gt;"",INDEX(properties!A$1:CB$87,'Fórmula'!B39,3)),IF(INDEX(properties!A$1:CB$87,'Fórmula'!D39,3)&lt;&gt;"",INDEX(properties!A$1:CB$87,'Fórmula'!D39,3)),IF(INDEX(properties!A$1:CB$87,'Fórmula'!F39,3)&lt;&gt;"",INDEX(properties!A$1:CB$87,'Fórmula'!F39,3)),IF(INDEX(properties!A$1:CB$87,'Fórmula'!H39,3)&lt;&gt;"",INDEX(properties!A$1:CB$87,'Fórmula'!H39,3)),IF(INDEX(properties!A$1:CB$87,'Fórmula'!J39,3)&lt;&gt;"",INDEX(properties!A$1:CB$87,'Fórmula'!J39,3)))</f>
        <v>877.5102803</v>
      </c>
      <c r="E39" s="101">
        <f t="array" ref="E39">MAX(INDEX(properties!A$1:CB$87,'Fórmula'!B39,3),INDEX(properties!A$1:CB$87,'Fórmula'!D39,3),INDEX(properties!A$1:CB$87,'Fórmula'!F39,3),INDEX(properties!A$1:CB$87,'Fórmula'!H39,3),INDEX(properties!A$1:CB$87,'Fórmula'!J39,3))</f>
        <v>87.62</v>
      </c>
      <c r="F39" s="101">
        <f t="array" ref="F39">MIN(IF(INDEX(properties!A$1:CB$87,'Fórmula'!B39,3)=0,10^6,INDEX(properties!A$1:CB$87,'Fórmula'!B39,3)),IF(INDEX(properties!A$1:CB$87,'Fórmula'!D39,3)=0,10^6,INDEX(properties!A$1:CB$87,'Fórmula'!D39,3)),IF(INDEX(properties!A$1:CB$87,'Fórmula'!F39,3)=0,10^6,INDEX(properties!A$1:CB$87,'Fórmula'!F39,3)),IF(INDEX(properties!A$1:CB$87,'Fórmula'!H39,3)=0,10^6,INDEX(properties!A$1:CB$87,'Fórmula'!H39,3)),IF(INDEX(properties!A$1:CB$87,'Fórmula'!J39,3)=0,10^6,INDEX(properties!A$1:CB$87,'Fórmula'!J39,3)))</f>
        <v>15.9994</v>
      </c>
      <c r="G39" s="101">
        <f t="shared" si="1"/>
        <v>71.6206</v>
      </c>
      <c r="H39" s="102">
        <f t="array" ref="H39">(('Fórmula'!C39)/('Fórmula'!C39+'Fórmula'!E39+'Fórmula'!G39+'Fórmula'!I39+'Fórmula'!K39))*(INDEX(properties!A$1:CB$87,'Fórmula'!B39,4))+(('Fórmula'!E39)/('Fórmula'!C39+'Fórmula'!E39+'Fórmula'!G39+'Fórmula'!I39+'Fórmula'!K39))*(INDEX(properties!A$1:CB$87,'Fórmula'!D39,4))+(('Fórmula'!G39)/('Fórmula'!C39+'Fórmula'!E39+'Fórmula'!G39+'Fórmula'!I39+'Fórmula'!K39))*(INDEX(properties!A$1:CB$87,'Fórmula'!F39,4))+(('Fórmula'!I39)/('Fórmula'!C39+'Fórmula'!E39+'Fórmula'!G39+'Fórmula'!I39+'Fórmula'!K39))*(INDEX(properties!A$1:CB$87,'Fórmula'!H39,4))+(('Fórmula'!K39)/('Fórmula'!C39+'Fórmula'!E39+'Fórmula'!G39+'Fórmula'!I39+'Fórmula'!K39))*(INDEX(properties!A$1:CB$87,'Fórmula'!J39,4))</f>
        <v>14.85714286</v>
      </c>
      <c r="I39" s="102">
        <f t="array" ref="I39">'Fórmula'!C39*(INDEX(properties!A$1:CB$87,'Fórmula'!B39,4))+'Fórmula'!E39*(INDEX(properties!A$1:CB$87,'Fórmula'!D39,4))+'Fórmula'!G39*(INDEX(properties!A$1:CB$87,'Fórmula'!F39,4))+'Fórmula'!I39*(INDEX(properties!A$1:CB$87,'Fórmula'!H39,4))+'Fórmula'!K39*(INDEX(properties!A$1:CB$87,'Fórmula'!J39,4))</f>
        <v>104</v>
      </c>
      <c r="J39" s="102">
        <f t="array" ref="J39">VARP(IF(INDEX(properties!A$1:CB$87,'Fórmula'!B39,4)&lt;&gt;"",INDEX(properties!A$1:CB$87,'Fórmula'!B39,4)),IF(INDEX(properties!A$1:CB$87,'Fórmula'!D39,4)&lt;&gt;"",INDEX(properties!A$1:CB$87,'Fórmula'!D39,4)),IF(INDEX(properties!A$1:CB$87,'Fórmula'!F39,4)&lt;&gt;"",INDEX(properties!A$1:CB$87,'Fórmula'!F39,4)),IF(INDEX(properties!A$1:CB$87,'Fórmula'!H39,4)&lt;&gt;"",INDEX(properties!A$1:CB$87,'Fórmula'!H39,4)),IF(INDEX(properties!A$1:CB$87,'Fórmula'!J39,4)&lt;&gt;"",INDEX(properties!A$1:CB$87,'Fórmula'!J39,4)))</f>
        <v>162.8</v>
      </c>
      <c r="K39" s="102">
        <f t="array" ref="K39">MAX(INDEX(properties!A$1:CB$87,'Fórmula'!B39,4),INDEX(properties!A$1:CB$87,'Fórmula'!D39,4),INDEX(properties!A$1:CB$87,'Fórmula'!F39,4),INDEX(properties!A$1:CB$87,'Fórmula'!H39,4),INDEX(properties!A$1:CB$87,'Fórmula'!J39,4))</f>
        <v>38</v>
      </c>
      <c r="L39" s="102">
        <f t="array" ref="L39">MIN(IF(INDEX(properties!A$1:CB$87,'Fórmula'!B39,4)=0,10^6,INDEX(properties!A$1:CB$87,'Fórmula'!B39,4)),IF(INDEX(properties!A$1:CB$87,'Fórmula'!D39,4)=0,10^6,INDEX(properties!A$1:CB$87,'Fórmula'!D39,4)),IF(INDEX(properties!A$1:CB$87,'Fórmula'!F39,4)=0,10^6,INDEX(properties!A$1:CB$87,'Fórmula'!F39,4)),IF(INDEX(properties!A$1:CB$87,'Fórmula'!H39,4)=0,10^6,INDEX(properties!A$1:CB$87,'Fórmula'!H39,4)),IF(INDEX(properties!A$1:CB$87,'Fórmula'!J39,4)=0,10^6,INDEX(properties!A$1:CB$87,'Fórmula'!J39,4)))</f>
        <v>8</v>
      </c>
      <c r="M39" s="102">
        <f t="shared" si="2"/>
        <v>30</v>
      </c>
      <c r="N39" s="103">
        <f t="array" ref="N39">(('Fórmula'!C39)/('Fórmula'!C39+'Fórmula'!E39+'Fórmula'!G39+'Fórmula'!I39+'Fórmula'!K39))*(INDEX(properties!A$1:CB$87,'Fórmula'!B39,5))+(('Fórmula'!E39)/('Fórmula'!C39+'Fórmula'!E39+'Fórmula'!G39+'Fórmula'!I39+'Fórmula'!K39))*(INDEX(properties!A$1:CB$87,'Fórmula'!D39,5))+(('Fórmula'!G39)/('Fórmula'!C39+'Fórmula'!E39+'Fórmula'!G39+'Fórmula'!I39+'Fórmula'!K39))*(INDEX(properties!A$1:CB$87,'Fórmula'!F39,5))+(('Fórmula'!I39)/('Fórmula'!C39+'Fórmula'!E39+'Fórmula'!G39+'Fórmula'!I39+'Fórmula'!K39))*(INDEX(properties!A$1:CB$87,'Fórmula'!H39,5))+(('Fórmula'!K39)/('Fórmula'!C39+'Fórmula'!E39+'Fórmula'!G39+'Fórmula'!I39+'Fórmula'!K39))*(INDEX(properties!A$1:CB$87,'Fórmula'!J39,5))</f>
        <v>2.857142857</v>
      </c>
      <c r="O39" s="103">
        <f t="array" ref="O39">'Fórmula'!C39*(INDEX(properties!A$1:CB$87,'Fórmula'!B39,5))+'Fórmula'!E39*(INDEX(properties!A$1:CB$87,'Fórmula'!D39,5))+'Fórmula'!G39*(INDEX(properties!A$1:CB$87,'Fórmula'!F39,5))+'Fórmula'!I39*(INDEX(properties!A$1:CB$87,'Fórmula'!H39,5))+'Fórmula'!K39*(INDEX(properties!A$1:CB$87,'Fórmula'!J39,5))</f>
        <v>20</v>
      </c>
      <c r="P39" s="103">
        <f t="array" ref="P39">VARP(IF(INDEX(properties!A$1:CB$87,'Fórmula'!B39,5)&lt;&gt;"",INDEX(properties!A$1:CB$87,'Fórmula'!B39,5)),IF(INDEX(properties!A$1:CB$87,'Fórmula'!D39,5)&lt;&gt;"",INDEX(properties!A$1:CB$87,'Fórmula'!D39,5)),IF(INDEX(properties!A$1:CB$87,'Fórmula'!F39,5)&lt;&gt;"",INDEX(properties!A$1:CB$87,'Fórmula'!F39,5)),IF(INDEX(properties!A$1:CB$87,'Fórmula'!H39,5)&lt;&gt;"",INDEX(properties!A$1:CB$87,'Fórmula'!H39,5)),IF(INDEX(properties!A$1:CB$87,'Fórmula'!J39,5)&lt;&gt;"",INDEX(properties!A$1:CB$87,'Fórmula'!J39,5)))</f>
        <v>2.96</v>
      </c>
      <c r="Q39" s="103">
        <f t="array" ref="Q39">MAX(INDEX(properties!A$1:CB$87,'Fórmula'!B39,5),INDEX(properties!A$1:CB$87,'Fórmula'!D39,5),INDEX(properties!A$1:CB$87,'Fórmula'!F39,5),INDEX(properties!A$1:CB$87,'Fórmula'!H39,5),INDEX(properties!A$1:CB$87,'Fórmula'!J39,5))</f>
        <v>5</v>
      </c>
      <c r="R39" s="103">
        <f t="array" ref="R39">MIN(IF(INDEX(properties!A$1:CB$87,'Fórmula'!B39,5)=0,10^6,INDEX(properties!A$1:CB$87,'Fórmula'!B39,5)),IF(INDEX(properties!A$1:CB$87,'Fórmula'!D39,5)=0,10^6,INDEX(properties!A$1:CB$87,'Fórmula'!D39,5)),IF(INDEX(properties!A$1:CB$87,'Fórmula'!F39,5)=0,10^6,INDEX(properties!A$1:CB$87,'Fórmula'!F39,5)),IF(INDEX(properties!A$1:CB$87,'Fórmula'!H39,5)=0,10^6,INDEX(properties!A$1:CB$87,'Fórmula'!H39,5)),IF(INDEX(properties!A$1:CB$87,'Fórmula'!J39,5)=0,10^6,INDEX(properties!A$1:CB$87,'Fórmula'!J39,5)))</f>
        <v>2</v>
      </c>
      <c r="S39" s="103">
        <f t="shared" si="3"/>
        <v>3</v>
      </c>
      <c r="T39" s="104">
        <f t="array" ref="T39">(('Fórmula'!C39)/('Fórmula'!C39+'Fórmula'!E39+'Fórmula'!G39+'Fórmula'!I39+'Fórmula'!K39))*(INDEX(properties!A$1:CB$87,'Fórmula'!B39,6))+(('Fórmula'!E39)/('Fórmula'!C39+'Fórmula'!E39+'Fórmula'!G39+'Fórmula'!I39+'Fórmula'!K39))*(INDEX(properties!A$1:CB$87,'Fórmula'!D39,6))+(('Fórmula'!G39)/('Fórmula'!C39+'Fórmula'!E39+'Fórmula'!G39+'Fórmula'!I39+'Fórmula'!K39))*(INDEX(properties!A$1:CB$87,'Fórmula'!F39,6))+(('Fórmula'!I39)/('Fórmula'!C39+'Fórmula'!E39+'Fórmula'!G39+'Fórmula'!I39+'Fórmula'!K39))*(INDEX(properties!A$1:CB$87,'Fórmula'!H39,6))+(('Fórmula'!K39)/('Fórmula'!C39+'Fórmula'!E39+'Fórmula'!G39+'Fórmula'!I39+'Fórmula'!K39))*(INDEX(properties!A$1:CB$87,'Fórmula'!J39,6))</f>
        <v>11.71428571</v>
      </c>
      <c r="U39" s="104">
        <f t="array" ref="U39">'Fórmula'!C39*(INDEX(properties!A$1:CB$87,'Fórmula'!B39,6))+'Fórmula'!E39*(INDEX(properties!A$1:CB$87,'Fórmula'!D39,6))+'Fórmula'!G39*(INDEX(properties!A$1:CB$87,'Fórmula'!F39,6))+'Fórmula'!I39*(INDEX(properties!A$1:CB$87,'Fórmula'!H39,6))+'Fórmula'!K39*(INDEX(properties!A$1:CB$87,'Fórmula'!J39,6))</f>
        <v>82</v>
      </c>
      <c r="V39" s="103">
        <f t="array" ref="V39">VARP(IF(INDEX(properties!A$1:CB$87,'Fórmula'!B39,6)&lt;&gt;"",INDEX(properties!A$1:CB$87,'Fórmula'!B39,6)),IF(INDEX(properties!A$1:CB$87,'Fórmula'!D39,6)&lt;&gt;"",INDEX(properties!A$1:CB$87,'Fórmula'!D39,6)),IF(INDEX(properties!A$1:CB$87,'Fórmula'!F39,6)&lt;&gt;"",INDEX(properties!A$1:CB$87,'Fórmula'!F39,6)),IF(INDEX(properties!A$1:CB$87,'Fórmula'!H39,6)&lt;&gt;"",INDEX(properties!A$1:CB$87,'Fórmula'!H39,6)),IF(INDEX(properties!A$1:CB$87,'Fórmula'!J39,6)&lt;&gt;"",INDEX(properties!A$1:CB$87,'Fórmula'!J39,6)))</f>
        <v>50.96</v>
      </c>
      <c r="W39" s="104">
        <f t="array" ref="W39">MAX(INDEX(properties!A$1:CB$87,'Fórmula'!B39,6),INDEX(properties!A$1:CB$87,'Fórmula'!D39,6),INDEX(properties!A$1:CB$87,'Fórmula'!F39,6),INDEX(properties!A$1:CB$87,'Fórmula'!H39,4),INDEX(properties!A$1:CB$87,'Fórmula'!J39,6))</f>
        <v>15</v>
      </c>
      <c r="X39" s="104">
        <f t="array" ref="X39">MIN(IF(INDEX(properties!A$1:CB$87,'Fórmula'!B39,6)=0,10^6,INDEX(properties!A$1:CB$87,'Fórmula'!B39,6)),IF(INDEX(properties!A$1:CB$87,'Fórmula'!D39,6)=0,10^6,INDEX(properties!A$1:CB$87,'Fórmula'!D39,6)),IF(INDEX(properties!A$1:CB$87,'Fórmula'!F39,6)=0,10^6,INDEX(properties!A$1:CB$87,'Fórmula'!F39,6)),IF(INDEX(properties!A$1:CB$87,'Fórmula'!H39,6)=0,10^6,INDEX(properties!A$1:CB$87,'Fórmula'!H39,6)),IF(INDEX(properties!A$1:CB$87,'Fórmula'!J39,6)=0,10^6,INDEX(properties!A$1:CB$87,'Fórmula'!J39,6)))</f>
        <v>1</v>
      </c>
      <c r="Y39" s="104">
        <f t="shared" si="4"/>
        <v>14</v>
      </c>
      <c r="Z39" s="105">
        <f t="array" ref="Z39">(('Fórmula'!C39)/('Fórmula'!C39+'Fórmula'!E39+'Fórmula'!G39+'Fórmula'!I39+'Fórmula'!K39))*(INDEX(properties!A$1:CB$87,'Fórmula'!B39,9))+(('Fórmula'!E39)/('Fórmula'!C39+'Fórmula'!E39+'Fórmula'!G39+'Fórmula'!I39+'Fórmula'!K39))*(INDEX(properties!A$1:CB$87,'Fórmula'!D39,9))+(('Fórmula'!G39)/('Fórmula'!C39+'Fórmula'!E39+'Fórmula'!G39+'Fórmula'!I39+'Fórmula'!K39))*(INDEX(properties!A$1:CB$87,'Fórmula'!F39,9))+(('Fórmula'!I39)/('Fórmula'!C39+'Fórmula'!E39+'Fórmula'!G39+'Fórmula'!I39+'Fórmula'!K39))*(INDEX(properties!A$1:CB$87,'Fórmula'!H39,9))+(('Fórmula'!K39)/('Fórmula'!C39+'Fórmula'!E39+'Fórmula'!G39+'Fórmula'!I39+'Fórmula'!K39))*(INDEX(properties!A$1:CB$87,'Fórmula'!J39,9))</f>
        <v>63.14285714</v>
      </c>
      <c r="AA39" s="105">
        <f t="array" ref="AA39">'Fórmula'!C39*(INDEX(properties!A$1:CB$87,'Fórmula'!B39,9))+'Fórmula'!E39*(INDEX(properties!A$1:CB$87,'Fórmula'!D39,9))+'Fórmula'!G39*(INDEX(properties!A$1:CB$87,'Fórmula'!F39,9))+'Fórmula'!I39*(INDEX(properties!A$1:CB$87,'Fórmula'!H39,9))+'Fórmula'!K39*(INDEX(properties!A$1:CB$87,'Fórmula'!J39,9))</f>
        <v>442</v>
      </c>
      <c r="AB39" s="105">
        <f t="array" ref="AB39">VARP(IF(INDEX(properties!A$1:CB$87,'Fórmula'!B39,9)&lt;&gt;"",INDEX(properties!A$1:CB$87,'Fórmula'!B39,9)),IF(INDEX(properties!A$1:CB$87,'Fórmula'!D39,9)&lt;&gt;"",INDEX(properties!A$1:CB$87,'Fórmula'!D39,9)),IF(INDEX(properties!A$1:CB$87,'Fórmula'!F39,9)&lt;&gt;"",INDEX(properties!A$1:CB$87,'Fórmula'!F39,9)),IF(INDEX(properties!A$1:CB$87,'Fórmula'!H39,9)&lt;&gt;"",INDEX(properties!A$1:CB$87,'Fórmula'!H39,9)),IF(INDEX(properties!A$1:CB$87,'Fórmula'!J39,9)&lt;&gt;"",INDEX(properties!A$1:CB$87,'Fórmula'!J39,9)))</f>
        <v>1595.76</v>
      </c>
      <c r="AC39" s="105">
        <f t="array" ref="AC39">MAX(INDEX(properties!A$1:CB$87,'Fórmula'!B39,9),INDEX(properties!A$1:CB$87,'Fórmula'!D39,9),INDEX(properties!A$1:CB$87,'Fórmula'!F39,9),INDEX(properties!A$1:CB$87,'Fórmula'!H39,9),INDEX(properties!A$1:CB$87,'Fórmula'!J39,9))</f>
        <v>87</v>
      </c>
      <c r="AD39" s="105">
        <f t="array" ref="AD39">MIN(IF(INDEX(properties!A$1:CB$87,'Fórmula'!B39,9)=0,10^6,INDEX(properties!A$1:CB$87,'Fórmula'!B39,9)),IF(INDEX(properties!A$1:CB$87,'Fórmula'!D39,9)=0,10^6,INDEX(properties!A$1:CB$87,'Fórmula'!D39,9)),IF(INDEX(properties!A$1:CB$87,'Fórmula'!F39,9)=0,10^6,INDEX(properties!A$1:CB$87,'Fórmula'!F39,9)),IF(INDEX(properties!A$1:CB$87,'Fórmula'!H39,9)=0,10^6,INDEX(properties!A$1:CB$87,'Fórmula'!H39,9)),IF(INDEX(properties!A$1:CB$87,'Fórmula'!J39,9)=0,10^6,INDEX(properties!A$1:CB$87,'Fórmula'!J39,9)))</f>
        <v>3</v>
      </c>
      <c r="AE39" s="105">
        <f t="shared" si="5"/>
        <v>84</v>
      </c>
      <c r="AF39" s="106">
        <f t="array" ref="AF39">(('Fórmula'!C39)/('Fórmula'!C39+'Fórmula'!E39+'Fórmula'!G39+'Fórmula'!I39+'Fórmula'!K39))*(INDEX(properties!A$1:CB$87,'Fórmula'!B39,10))+(('Fórmula'!E39)/('Fórmula'!C39+'Fórmula'!E39+'Fórmula'!G39+'Fórmula'!I39+'Fórmula'!K39))*(INDEX(properties!A$1:CB$87,'Fórmula'!D39,10))+(('Fórmula'!G39)/('Fórmula'!C39+'Fórmula'!E39+'Fórmula'!G39+'Fórmula'!I39+'Fórmula'!K39))*(INDEX(properties!A$1:CB$87,'Fórmula'!F39,10))+(('Fórmula'!I39)/('Fórmula'!C39+'Fórmula'!E39+'Fórmula'!G39+'Fórmula'!I39+'Fórmula'!K39))*(INDEX(properties!A$1:CB$87,'Fórmula'!H39,10))+(('Fórmula'!K39)/('Fórmula'!C39+'Fórmula'!E39+'Fórmula'!G39+'Fórmula'!I39+'Fórmula'!K39))*(INDEX(properties!A$1:CB$87,'Fórmula'!J39,10))</f>
        <v>5.428571429</v>
      </c>
      <c r="AG39" s="106">
        <f t="array" ref="AG39">'Fórmula'!C39*(INDEX(properties!A$1:CB$87,'Fórmula'!B39,10))+'Fórmula'!E39*(INDEX(properties!A$1:CB$87,'Fórmula'!D39,10))+'Fórmula'!G39*(INDEX(properties!A$1:CB$87,'Fórmula'!F39,10))+'Fórmula'!I39*(INDEX(properties!A$1:CB$87,'Fórmula'!H39,10))+'Fórmula'!K39*(INDEX(properties!A$1:CB$87,'Fórmula'!J39,10))</f>
        <v>38</v>
      </c>
      <c r="AH39" s="106">
        <f t="array" ref="AH39">VARP(IF(INDEX(properties!A$1:CB$87,'Fórmula'!B39,10)&lt;&gt;"",INDEX(properties!A$1:CB$87,'Fórmula'!B39,10)),IF(INDEX(properties!A$1:CB$87,'Fórmula'!D39,10)&lt;&gt;"",INDEX(properties!A$1:CB$87,'Fórmula'!D39,10)),IF(INDEX(properties!A$1:CB$87,'Fórmula'!F39,10)&lt;&gt;"",INDEX(properties!A$1:CB$87,'Fórmula'!F39,10)),IF(INDEX(properties!A$1:CB$87,'Fórmula'!H39,10)&lt;&gt;"",INDEX(properties!A$1:CB$87,'Fórmula'!H39,10)),IF(INDEX(properties!A$1:CB$87,'Fórmula'!J39,10)&lt;&gt;"",INDEX(properties!A$1:CB$87,'Fórmula'!J39,10)))</f>
        <v>9.04</v>
      </c>
      <c r="AI39" s="106">
        <f t="array" ref="AI39">MAX(INDEX(properties!A$1:CB$87,'Fórmula'!B39,10),INDEX(properties!A$1:CB$87,'Fórmula'!D39,10),INDEX(properties!A$1:CB$87,'Fórmula'!F39,10),INDEX(properties!A$1:CB$87,'Fórmula'!H39,10),INDEX(properties!A$1:CB$87,'Fórmula'!J39,10))</f>
        <v>7</v>
      </c>
      <c r="AJ39" s="106">
        <f t="array" ref="AJ39">MIN(IF(INDEX(properties!A$1:CB$87,'Fórmula'!B39,10)=0,10^6,INDEX(properties!A$1:CB$87,'Fórmula'!B39,10)),IF(INDEX(properties!A$1:CB$87,'Fórmula'!D39,10)=0,10^6,INDEX(properties!A$1:CB$87,'Fórmula'!D39,10)),IF(INDEX(properties!A$1:CB$87,'Fórmula'!F39,10)=0,10^6,INDEX(properties!A$1:CB$87,'Fórmula'!F39,10)),IF(INDEX(properties!A$1:CB$87,'Fórmula'!H39,10)=0,10^6,INDEX(properties!A$1:CB$87,'Fórmula'!H39,10)),IF(INDEX(properties!A$1:CB$87,'Fórmula'!J39,10)=0,10^6,INDEX(properties!A$1:CB$87,'Fórmula'!J39,10)))</f>
        <v>1</v>
      </c>
      <c r="AK39" s="106">
        <f t="shared" si="6"/>
        <v>6</v>
      </c>
      <c r="AL39" s="107">
        <f t="array" ref="AL39">(('Fórmula'!C39)/('Fórmula'!C39+'Fórmula'!E39+'Fórmula'!G39+'Fórmula'!I39+'Fórmula'!K39))*(INDEX(properties!A$1:CB$87,'Fórmula'!B39,11))+(('Fórmula'!E39)/('Fórmula'!C39+'Fórmula'!E39+'Fórmula'!G39+'Fórmula'!I39+'Fórmula'!K39))*(INDEX(properties!A$1:CB$87,'Fórmula'!D39,11))+(('Fórmula'!G39)/('Fórmula'!C39+'Fórmula'!E39+'Fórmula'!G39+'Fórmula'!I39+'Fórmula'!K39))*(INDEX(properties!A$1:CB$87,'Fórmula'!F39,11))+(('Fórmula'!I39)/('Fórmula'!C39+'Fórmula'!E39+'Fórmula'!G39+'Fórmula'!I39+'Fórmula'!K39))*(INDEX(properties!A$1:CB$87,'Fórmula'!H39,11))+(('Fórmula'!K39)/('Fórmula'!C39+'Fórmula'!E39+'Fórmula'!G39+'Fórmula'!I39+'Fórmula'!K39))*(INDEX(properties!A$1:CB$87,'Fórmula'!J39,11))</f>
        <v>1.857142857</v>
      </c>
      <c r="AM39" s="107">
        <f t="array" ref="AM39">'Fórmula'!C39*(INDEX(properties!A$1:CB$87,'Fórmula'!B39,11))+'Fórmula'!E39*(INDEX(properties!A$1:CB$87,'Fórmula'!D39,11))+'Fórmula'!G39*(INDEX(properties!A$1:CB$87,'Fórmula'!F39,11))+'Fórmula'!I39*(INDEX(properties!A$1:CB$87,'Fórmula'!H39,11))+'Fórmula'!K39*(INDEX(properties!A$1:CB$87,'Fórmula'!J39,11))</f>
        <v>13</v>
      </c>
      <c r="AN39" s="107">
        <f t="array" ref="AN39">VARP(IF(INDEX(properties!A$1:CB$87,'Fórmula'!B39,11)&lt;&gt;"",INDEX(properties!A$1:CB$87,'Fórmula'!B39,11)),IF(INDEX(properties!A$1:CB$87,'Fórmula'!D39,11)&lt;&gt;"",INDEX(properties!A$1:CB$87,'Fórmula'!D39,11)),IF(INDEX(properties!A$1:CB$87,'Fórmula'!F39,11)&lt;&gt;"",INDEX(properties!A$1:CB$87,'Fórmula'!F39,11)),IF(INDEX(properties!A$1:CB$87,'Fórmula'!H39,11)&lt;&gt;"",INDEX(properties!A$1:CB$87,'Fórmula'!H39,11)),IF(INDEX(properties!A$1:CB$87,'Fórmula'!J39,11)&lt;&gt;"",INDEX(properties!A$1:CB$87,'Fórmula'!J39,11)))</f>
        <v>0.64</v>
      </c>
      <c r="AO39" s="107">
        <f t="array" ref="AO39">MAX(INDEX(properties!A$1:CB$87,'Fórmula'!B39,11),INDEX(properties!A$1:CB$87,'Fórmula'!D39,11),INDEX(properties!A$1:CB$87,'Fórmula'!F39,11),INDEX(properties!A$1:CB$87,'Fórmula'!H39,11),INDEX(properties!A$1:CB$87,'Fórmula'!J39,11))</f>
        <v>2</v>
      </c>
      <c r="AP39" s="107">
        <f t="array" ref="AP39">MIN(IF('Fórmula'!B39=87,10^6,INDEX(properties!A$1:CB$87,'Fórmula'!B39,11)),IF(('Fórmula'!D39)=87,10^6,INDEX(properties!A$1:CB$87,'Fórmula'!D39,11)),IF(('Fórmula'!F39)=87,10^6,INDEX(properties!A$1:CB$87,'Fórmula'!F39,11)),IF(('Fórmula'!H39)=87,10^6,INDEX(properties!A$1:CB$87,'Fórmula'!H39,11)),IF('Fórmula'!J39=87,10^6,INDEX(properties!A$1:CB$87,'Fórmula'!J39,11)))</f>
        <v>1</v>
      </c>
      <c r="AQ39" s="107">
        <f t="shared" si="7"/>
        <v>1</v>
      </c>
      <c r="AR39" s="108">
        <f t="array" ref="AR39">(('Fórmula'!C39)/('Fórmula'!C39+'Fórmula'!E39+'Fórmula'!G39+'Fórmula'!I39+'Fórmula'!K39))*(INDEX(properties!A$1:CB$87,'Fórmula'!B39,12))+(('Fórmula'!E39)/('Fórmula'!C39+'Fórmula'!E39+'Fórmula'!G39+'Fórmula'!I39+'Fórmula'!K39))*(INDEX(properties!A$1:CB$87,'Fórmula'!D39,12))+(('Fórmula'!G39)/('Fórmula'!C39+'Fórmula'!E39+'Fórmula'!G39+'Fórmula'!I39+'Fórmula'!K39))*(INDEX(properties!A$1:CB$87,'Fórmula'!F39,12))+(('Fórmula'!I39)/('Fórmula'!C39+'Fórmula'!E39+'Fórmula'!G39+'Fórmula'!I39+'Fórmula'!K39))*(INDEX(properties!A$1:CB$87,'Fórmula'!H39,12))+(('Fórmula'!K39)/('Fórmula'!C39+'Fórmula'!E39+'Fórmula'!G39+'Fórmula'!I39+'Fórmula'!K39))*(INDEX(properties!A$1:CB$87,'Fórmula'!J39,12))</f>
        <v>2.714285714</v>
      </c>
      <c r="AS39" s="108">
        <f t="array" ref="AS39">'Fórmula'!C39*(INDEX(properties!A$1:CB$87,'Fórmula'!B39,12))+'Fórmula'!E39*(INDEX(properties!A$1:CB$87,'Fórmula'!D39,12))+'Fórmula'!G39*(INDEX(properties!A$1:CB$87,'Fórmula'!F39,12))+'Fórmula'!I39*(INDEX(properties!A$1:CB$87,'Fórmula'!H39,12))+'Fórmula'!K39*(INDEX(properties!A$1:CB$87,'Fórmula'!J39,12))</f>
        <v>19</v>
      </c>
      <c r="AT39" s="108">
        <f t="array" ref="AT39">VARP(IF(INDEX(properties!A$1:CB$87,'Fórmula'!B39,12)&lt;&gt;"",INDEX(properties!A$1:CB$87,'Fórmula'!B39,12)),IF(INDEX(properties!A$1:CB$87,'Fórmula'!D39,12)&lt;&gt;"",INDEX(properties!A$1:CB$87,'Fórmula'!D39,12)),IF(INDEX(properties!A$1:CB$87,'Fórmula'!F39,12)&lt;&gt;"",INDEX(properties!A$1:CB$87,'Fórmula'!F39,12)),IF(INDEX(properties!A$1:CB$87,'Fórmula'!H39,12)&lt;&gt;"",INDEX(properties!A$1:CB$87,'Fórmula'!H39,12)),IF(INDEX(properties!A$1:CB$87,'Fórmula'!J39,12)&lt;&gt;"",INDEX(properties!A$1:CB$87,'Fórmula'!J39,12)))</f>
        <v>3.04</v>
      </c>
      <c r="AU39" s="108">
        <f t="array" ref="AU39">MAX(INDEX(properties!A$1:CB$87,'Fórmula'!B39,12),INDEX(properties!A$1:CB$87,'Fórmula'!D39,12),INDEX(properties!A$1:CB$87,'Fórmula'!F39,12),INDEX(properties!A$1:CB$87,'Fórmula'!H39,12),INDEX(properties!A$1:CB$87,'Fórmula'!J39,12))</f>
        <v>4</v>
      </c>
      <c r="AV39" s="108">
        <f t="array" ref="AV39">MIN(IF('Fórmula'!B39=87,10^6,INDEX(properties!A$1:CB$87,'Fórmula'!B39,12)),IF(('Fórmula'!D39)=87,10^6,INDEX(properties!A$1:CB$87,'Fórmula'!D39,12)),IF(('Fórmula'!F39)=87,10^6,INDEX(properties!A$1:CB$87,'Fórmula'!F39,12)),IF(('Fórmula'!H39)=87,10^6,INDEX(properties!A$1:CB$87,'Fórmula'!H39,12)),IF('Fórmula'!J39=87,10^6,INDEX(properties!A$1:CB$87,'Fórmula'!J39,12)))</f>
        <v>0</v>
      </c>
      <c r="AW39" s="108">
        <f t="shared" si="8"/>
        <v>4</v>
      </c>
      <c r="AX39" s="109">
        <f t="array" ref="AX39">(('Fórmula'!C39)/('Fórmula'!C39+'Fórmula'!E39+'Fórmula'!G39+'Fórmula'!I39+'Fórmula'!K39))*(INDEX(properties!A$1:CB$87,'Fórmula'!B39,13))+(('Fórmula'!E39)/('Fórmula'!C39+'Fórmula'!E39+'Fórmula'!G39+'Fórmula'!I39+'Fórmula'!K39))*(INDEX(properties!A$1:CB$87,'Fórmula'!D39,13))+(('Fórmula'!G39)/('Fórmula'!C39+'Fórmula'!E39+'Fórmula'!G39+'Fórmula'!I39+'Fórmula'!K39))*(INDEX(properties!A$1:CB$87,'Fórmula'!F39,13))+(('Fórmula'!I39)/('Fórmula'!C39+'Fórmula'!E39+'Fórmula'!G39+'Fórmula'!I39+'Fórmula'!K39))*(INDEX(properties!A$1:CB$87,'Fórmula'!H39,13))+(('Fórmula'!K39)/('Fórmula'!C39+'Fórmula'!E39+'Fórmula'!G39+'Fórmula'!I39+'Fórmula'!K39))*(INDEX(properties!A$1:CB$87,'Fórmula'!J39,13))</f>
        <v>0</v>
      </c>
      <c r="AY39" s="109">
        <f t="array" ref="AY39">'Fórmula'!C39*(INDEX(properties!A$1:CB$87,'Fórmula'!B39,13))+'Fórmula'!E39*(INDEX(properties!A$1:CB$87,'Fórmula'!D39,13))+'Fórmula'!G39*(INDEX(properties!A$1:CB$87,'Fórmula'!F39,13))+'Fórmula'!I39*(INDEX(properties!A$1:CB$87,'Fórmula'!H39,13))+'Fórmula'!K39*(INDEX(properties!A$1:CB$87,'Fórmula'!J39,13))</f>
        <v>0</v>
      </c>
      <c r="AZ39" s="109">
        <f t="array" ref="AZ39">VARP(IF(INDEX(properties!A$1:CB$87,'Fórmula'!B39,13)&lt;&gt;"",INDEX(properties!A$1:CB$87,'Fórmula'!B39,13)),IF(INDEX(properties!A$1:CB$87,'Fórmula'!D39,13)&lt;&gt;"",INDEX(properties!A$1:CB$87,'Fórmula'!D39,13)),IF(INDEX(properties!A$1:CB$87,'Fórmula'!F39,13)&lt;&gt;"",INDEX(properties!A$1:CB$87,'Fórmula'!F39,13)),IF(INDEX(properties!A$1:CB$87,'Fórmula'!H39,13)&lt;&gt;"",INDEX(properties!A$1:CB$87,'Fórmula'!H39,13)),IF(INDEX(properties!A$1:CB$87,'Fórmula'!J39,13)&lt;&gt;"",INDEX(properties!A$1:CB$87,'Fórmula'!J39,13)))</f>
        <v>0</v>
      </c>
      <c r="BA39" s="109">
        <f t="array" ref="BA39">MAX(INDEX(properties!A$1:CB$87,'Fórmula'!B39,13),INDEX(properties!A$1:CB$87,'Fórmula'!D39,13),INDEX(properties!A$1:CB$87,'Fórmula'!F39,13),INDEX(properties!A$1:CB$87,'Fórmula'!H39,13),INDEX(properties!A$1:CB$87,'Fórmula'!J39,13))</f>
        <v>0</v>
      </c>
      <c r="BB39" s="109">
        <f t="array" ref="BB39">MIN(IF('Fórmula'!B39=87,10^6,INDEX(properties!A$1:CB$87,'Fórmula'!B39,13)),IF(('Fórmula'!D39)=87,10^6,INDEX(properties!A$1:CB$87,'Fórmula'!D39,13)),IF(('Fórmula'!F39)=87,10^6,INDEX(properties!A$1:CB$87,'Fórmula'!F39,13)),IF(('Fórmula'!H39)=87,10^6,INDEX(properties!A$1:CB$87,'Fórmula'!H39,13)),IF('Fórmula'!J39=87,10^6,INDEX(properties!A$1:CB$87,'Fórmula'!J39,13)))</f>
        <v>0</v>
      </c>
      <c r="BC39" s="109">
        <f t="shared" si="9"/>
        <v>0</v>
      </c>
      <c r="BD39" s="110">
        <f t="array" ref="BD39">(('Fórmula'!C39)/('Fórmula'!C39+'Fórmula'!E39+'Fórmula'!G39+'Fórmula'!I39+'Fórmula'!K39))*(INDEX(properties!A$1:CB$87,'Fórmula'!B39,14))+(('Fórmula'!E39)/('Fórmula'!C39+'Fórmula'!E39+'Fórmula'!G39+'Fórmula'!I39+'Fórmula'!K39))*(INDEX(properties!A$1:CB$87,'Fórmula'!D39,14))+(('Fórmula'!G39)/('Fórmula'!C39+'Fórmula'!E39+'Fórmula'!G39+'Fórmula'!I39+'Fórmula'!K39))*(INDEX(properties!A$1:CB$87,'Fórmula'!F39,14))+(('Fórmula'!I39)/('Fórmula'!C39+'Fórmula'!E39+'Fórmula'!G39+'Fórmula'!I39+'Fórmula'!K39))*(INDEX(properties!A$1:CB$87,'Fórmula'!H39,14))+(('Fórmula'!K39)/('Fórmula'!C39+'Fórmula'!E39+'Fórmula'!G39+'Fórmula'!I39+'Fórmula'!K39))*(INDEX(properties!A$1:CB$87,'Fórmula'!J39,14))</f>
        <v>0</v>
      </c>
      <c r="BE39" s="110">
        <f t="array" ref="BE39">'Fórmula'!C39*(INDEX(properties!A$1:CB$87,'Fórmula'!B39,14))+'Fórmula'!E39*(INDEX(properties!A$1:CB$87,'Fórmula'!D39,14))+'Fórmula'!G39*(INDEX(properties!A$1:CB$87,'Fórmula'!F39,14))+'Fórmula'!I39*(INDEX(properties!A$1:CB$87,'Fórmula'!H39,14))+'Fórmula'!K39*(INDEX(properties!A$1:CB$87,'Fórmula'!J39,14))</f>
        <v>0</v>
      </c>
      <c r="BF39" s="110">
        <f t="array" ref="BF39">VARP(IF(INDEX(properties!A$1:CB$87,'Fórmula'!B39,14)&lt;&gt;"",INDEX(properties!A$1:CB$87,'Fórmula'!B39,14)),IF(INDEX(properties!A$1:CB$87,'Fórmula'!D39,14)&lt;&gt;"",INDEX(properties!A$1:CB$87,'Fórmula'!D39,14)),IF(INDEX(properties!A$1:CB$87,'Fórmula'!F39,14)&lt;&gt;"",INDEX(properties!A$1:CB$87,'Fórmula'!F39,14)),IF(INDEX(properties!A$1:CB$87,'Fórmula'!H39,14)&lt;&gt;"",INDEX(properties!A$1:CB$87,'Fórmula'!H39,14)),IF(INDEX(properties!A$1:CB$87,'Fórmula'!J39,14)&lt;&gt;"",INDEX(properties!A$1:CB$87,'Fórmula'!J39,14)))</f>
        <v>0</v>
      </c>
      <c r="BG39" s="110">
        <f t="array" ref="BG39">MAX(INDEX(properties!A$1:CB$87,'Fórmula'!B39,14),INDEX(properties!A$1:CB$87,'Fórmula'!D39,14),INDEX(properties!A$1:CB$87,'Fórmula'!F39,14),INDEX(properties!A$1:CB$87,'Fórmula'!H39,14),INDEX(properties!A$1:CB$87,'Fórmula'!J39,14))</f>
        <v>0</v>
      </c>
      <c r="BH39" s="110">
        <f t="array" ref="BH39">MIN(IF('Fórmula'!B39=87,10^6,INDEX(properties!A$1:CB$87,'Fórmula'!B39,14)),IF(('Fórmula'!D39)=87,10^6,INDEX(properties!A$1:CB$87,'Fórmula'!D39,14)),IF(('Fórmula'!F39)=87,10^6,INDEX(properties!A$1:CB$87,'Fórmula'!F39,14)),IF(('Fórmula'!H39)=87,10^6,INDEX(properties!A$1:CB$87,'Fórmula'!H39,14)),IF('Fórmula'!J39=87,10^6,INDEX(properties!A$1:CB$87,'Fórmula'!J39,14)))</f>
        <v>0</v>
      </c>
      <c r="BI39" s="110">
        <f t="shared" si="10"/>
        <v>0</v>
      </c>
      <c r="BJ39" s="111">
        <f t="array" ref="BJ39">(('Fórmula'!C39)/('Fórmula'!C39+'Fórmula'!E39+'Fórmula'!G39+'Fórmula'!I39+'Fórmula'!K39))*(INDEX(properties!A$1:CB$87,'Fórmula'!B39,19))+(('Fórmula'!E39)/('Fórmula'!C39+'Fórmula'!E39+'Fórmula'!G39+'Fórmula'!I39+'Fórmula'!K39))*(INDEX(properties!A$1:CB$87,'Fórmula'!D39,19))+(('Fórmula'!G39)/('Fórmula'!C39+'Fórmula'!E39+'Fórmula'!G39+'Fórmula'!I39+'Fórmula'!K39))*(INDEX(properties!A$1:CB$87,'Fórmula'!F39,19))+(('Fórmula'!I39)/('Fórmula'!C39+'Fórmula'!E39+'Fórmula'!G39+'Fórmula'!I39+'Fórmula'!K39))*(INDEX(properties!A$1:CB$87,'Fórmula'!H39,19))+(('Fórmula'!K39)/('Fórmula'!C39+'Fórmula'!E39+'Fórmula'!G39+'Fórmula'!I39+'Fórmula'!K39))*(INDEX(properties!A$1:CB$87,'Fórmula'!J39,19))</f>
        <v>4.571428571</v>
      </c>
      <c r="BK39" s="111">
        <f t="array" ref="BK39">'Fórmula'!C39*(INDEX(properties!A$1:CB$87,'Fórmula'!B39,19))+'Fórmula'!E39*(INDEX(properties!A$1:CB$87,'Fórmula'!D39,19))+'Fórmula'!G39*(INDEX(properties!A$1:CB$87,'Fórmula'!F39,19))+'Fórmula'!I39*(INDEX(properties!A$1:CB$87,'Fórmula'!H39,19))+'Fórmula'!K39*(INDEX(properties!A$1:CB$87,'Fórmula'!J39,19))</f>
        <v>32</v>
      </c>
      <c r="BL39" s="111">
        <f t="array" ref="BL39">VARP(IF(INDEX(properties!A$1:CB$87,'Fórmula'!B39,19)&lt;&gt;"",INDEX(properties!A$1:CB$87,'Fórmula'!B39,19)),IF(INDEX(properties!A$1:CB$87,'Fórmula'!D39,19)&lt;&gt;"",INDEX(properties!A$1:CB$87,'Fórmula'!D39,19)),IF(INDEX(properties!A$1:CB$87,'Fórmula'!F39,19)&lt;&gt;"",INDEX(properties!A$1:CB$87,'Fórmula'!F39,19)),IF(INDEX(properties!A$1:CB$87,'Fórmula'!H39,19)&lt;&gt;"",INDEX(properties!A$1:CB$87,'Fórmula'!H39,19)),IF(INDEX(properties!A$1:CB$87,'Fórmula'!J39,19)&lt;&gt;"",INDEX(properties!A$1:CB$87,'Fórmula'!J39,19)))</f>
        <v>5.36</v>
      </c>
      <c r="BM39" s="111">
        <f t="array" ref="BM39">MAX(INDEX(properties!A$1:CB$87,'Fórmula'!B39,19),INDEX(properties!A$1:CB$87,'Fórmula'!D39,19),INDEX(properties!A$1:CB$87,'Fórmula'!F39,19),INDEX(properties!A$1:CB$87,'Fórmula'!H39,19),INDEX(properties!A$1:CB$87,'Fórmula'!J39,19))</f>
        <v>6</v>
      </c>
      <c r="BN39" s="111">
        <f t="array" ref="BN39">MIN(IF(INDEX(properties!A$1:CB$87,'Fórmula'!B39,19)=0,10^6,INDEX(properties!A$1:CB$87,'Fórmula'!B39,19)),IF(INDEX(properties!A$1:CB$87,'Fórmula'!D39,19)=0,10^6,INDEX(properties!A$1:CB$87,'Fórmula'!D39,19)),IF(INDEX(properties!A$1:CB$87,'Fórmula'!F39,19)=0,10^6,INDEX(properties!A$1:CB$87,'Fórmula'!F39,19)),IF(INDEX(properties!A$1:CB$87,'Fórmula'!H39,19)=0,10^6,INDEX(properties!A$1:CB$87,'Fórmula'!H39,19)),IF(INDEX(properties!A$1:CB$87,'Fórmula'!J39,19)=0,10^6,INDEX(properties!A$1:CB$87,'Fórmula'!J39,19)))</f>
        <v>1</v>
      </c>
      <c r="BO39" s="111">
        <f t="shared" si="11"/>
        <v>5</v>
      </c>
      <c r="BP39" s="112">
        <f t="array" ref="BP39">(('Fórmula'!C39)/('Fórmula'!C39+'Fórmula'!E39+'Fórmula'!G39+'Fórmula'!I39+'Fórmula'!K39))*(INDEX(properties!A$1:CB$87,'Fórmula'!B39,20))+(('Fórmula'!E39)/('Fórmula'!C39+'Fórmula'!E39+'Fórmula'!G39+'Fórmula'!I39+'Fórmula'!K39))*(INDEX(properties!A$1:CB$87,'Fórmula'!D39,20))+(('Fórmula'!G39)/('Fórmula'!C39+'Fórmula'!E39+'Fórmula'!G39+'Fórmula'!I39+'Fórmula'!K39))*(INDEX(properties!A$1:CB$87,'Fórmula'!F39,20))+(('Fórmula'!I39)/('Fórmula'!C39+'Fórmula'!E39+'Fórmula'!G39+'Fórmula'!I39+'Fórmula'!K39))*(INDEX(properties!A$1:CB$87,'Fórmula'!H39,20))+(('Fórmula'!K39)/('Fórmula'!C39+'Fórmula'!E39+'Fórmula'!G39+'Fórmula'!I39+'Fórmula'!K39))*(INDEX(properties!A$1:CB$87,'Fórmula'!J39,20))</f>
        <v>4.571428571</v>
      </c>
      <c r="BQ39" s="112">
        <f t="array" ref="BQ39">'Fórmula'!C39*(INDEX(properties!A$1:CB$87,'Fórmula'!B39,20))+'Fórmula'!E39*(INDEX(properties!A$1:CB$87,'Fórmula'!D39,20))+'Fórmula'!G39*(INDEX(properties!A$1:CB$87,'Fórmula'!F39,20))+'Fórmula'!I39*(INDEX(properties!A$1:CB$87,'Fórmula'!H39,20))+'Fórmula'!K39*(INDEX(properties!A$1:CB$87,'Fórmula'!J39,20))</f>
        <v>32</v>
      </c>
      <c r="BR39" s="112">
        <f t="array" ref="BR39">VARP(IF(INDEX(properties!A$1:CB$87,'Fórmula'!B39,20)&lt;&gt;"",INDEX(properties!A$1:CB$87,'Fórmula'!B39,20)),IF(INDEX(properties!A$1:CB$87,'Fórmula'!D39,20)&lt;&gt;"",INDEX(properties!A$1:CB$87,'Fórmula'!D39,20)),IF(INDEX(properties!A$1:CB$87,'Fórmula'!F39,20)&lt;&gt;"",INDEX(properties!A$1:CB$87,'Fórmula'!F39,20)),IF(INDEX(properties!A$1:CB$87,'Fórmula'!H39,20)&lt;&gt;"",INDEX(properties!A$1:CB$87,'Fórmula'!H39,20)),IF(INDEX(properties!A$1:CB$87,'Fórmula'!J39,20)&lt;&gt;"",INDEX(properties!A$1:CB$87,'Fórmula'!J39,20)))</f>
        <v>5.36</v>
      </c>
      <c r="BS39" s="112">
        <f t="array" ref="BS39">MAX(INDEX(properties!A$1:CB$87,'Fórmula'!B39,20),INDEX(properties!A$1:CB$87,'Fórmula'!D39,20),INDEX(properties!A$1:CB$87,'Fórmula'!F39,20),INDEX(properties!A$1:CB$87,'Fórmula'!H39,20),INDEX(properties!A$1:CB$87,'Fórmula'!J39,20))</f>
        <v>6</v>
      </c>
      <c r="BT39" s="112">
        <f t="array" ref="BT39">MIN(IF(INDEX(properties!A$1:CB$87,'Fórmula'!B39,20)=0,10^6,INDEX(properties!A$1:CB$87,'Fórmula'!B39,20)),IF(INDEX(properties!A$1:CB$87,'Fórmula'!D39,20)=0,10^6,INDEX(properties!A$1:CB$87,'Fórmula'!D39,20)),IF(INDEX(properties!A$1:CB$87,'Fórmula'!F39,20)=0,10^6,INDEX(properties!A$1:CB$87,'Fórmula'!F39,20)),IF(INDEX(properties!A$1:CB$87,'Fórmula'!H39,20)=0,10^6,INDEX(properties!A$1:CB$87,'Fórmula'!H39,20)),IF(INDEX(properties!A$1:CB$87,'Fórmula'!J39,20)=0,10^6,INDEX(properties!A$1:CB$87,'Fórmula'!J39,20)))</f>
        <v>1</v>
      </c>
      <c r="BU39" s="112">
        <f t="shared" si="12"/>
        <v>5</v>
      </c>
      <c r="BV39" s="113">
        <f t="array" ref="BV39">(('Fórmula'!C39)/('Fórmula'!C39+'Fórmula'!E39+'Fórmula'!G39+'Fórmula'!I39+'Fórmula'!K39))*(INDEX(properties!A$1:CB$87,'Fórmula'!B39,21))+(('Fórmula'!E39)/('Fórmula'!C39+'Fórmula'!E39+'Fórmula'!G39+'Fórmula'!I39+'Fórmula'!K39))*(INDEX(properties!A$1:CB$87,'Fórmula'!D39,21))+(('Fórmula'!G39)/('Fórmula'!C39+'Fórmula'!E39+'Fórmula'!G39+'Fórmula'!I39+'Fórmula'!K39))*(INDEX(properties!A$1:CB$87,'Fórmula'!F39,21))+(('Fórmula'!I39)/('Fórmula'!C39+'Fórmula'!E39+'Fórmula'!G39+'Fórmula'!I39+'Fórmula'!K39))*(INDEX(properties!A$1:CB$87,'Fórmula'!H39,21))+(('Fórmula'!K39)/('Fórmula'!C39+'Fórmula'!E39+'Fórmula'!G39+'Fórmula'!I39+'Fórmula'!K39))*(INDEX(properties!A$1:CB$87,'Fórmula'!J39,21))</f>
        <v>4.571428571</v>
      </c>
      <c r="BW39" s="113">
        <f t="array" ref="BW39">'Fórmula'!C39*(INDEX(properties!A$1:CB$87,'Fórmula'!B39,21))+'Fórmula'!E39*(INDEX(properties!A$1:CB$87,'Fórmula'!D39,21))+'Fórmula'!G39*(INDEX(properties!A$1:CB$87,'Fórmula'!F39,21))+'Fórmula'!I39*(INDEX(properties!A$1:CB$87,'Fórmula'!H39,21))+'Fórmula'!K39*(INDEX(properties!A$1:CB$87,'Fórmula'!J39,21))</f>
        <v>32</v>
      </c>
      <c r="BX39" s="113">
        <f t="array" ref="BX39">VARP(IF(INDEX(properties!A$1:CB$87,'Fórmula'!B39,21)&lt;&gt;"",INDEX(properties!A$1:CB$87,'Fórmula'!B39,21)),IF(INDEX(properties!A$1:CB$87,'Fórmula'!D39,21)&lt;&gt;"",INDEX(properties!A$1:CB$87,'Fórmula'!D39,21)),IF(INDEX(properties!A$1:CB$87,'Fórmula'!F39,21)&lt;&gt;"",INDEX(properties!A$1:CB$87,'Fórmula'!F39,21)),IF(INDEX(properties!A$1:CB$87,'Fórmula'!H39,21)&lt;&gt;"",INDEX(properties!A$1:CB$87,'Fórmula'!H39,21)),IF(INDEX(properties!A$1:CB$87,'Fórmula'!J39,21)&lt;&gt;"",INDEX(properties!A$1:CB$87,'Fórmula'!J39,21)))</f>
        <v>5.36</v>
      </c>
      <c r="BY39" s="113">
        <f t="array" ref="BY39">MAX(INDEX(properties!A$1:CB$87,'Fórmula'!B39,21),INDEX(properties!A$1:CB$87,'Fórmula'!D39,21),INDEX(properties!A$1:CB$87,'Fórmula'!F39,21),INDEX(properties!A$1:CB$87,'Fórmula'!H39,21),INDEX(properties!A$1:CB$87,'Fórmula'!J39,21))</f>
        <v>6</v>
      </c>
      <c r="BZ39" s="113">
        <f t="array" ref="BZ39">MIN(IF(INDEX(properties!A$1:CB$87,'Fórmula'!B39,21)=0,10^6,INDEX(properties!A$1:CB$87,'Fórmula'!B39,21)),IF(INDEX(properties!A$1:CB$87,'Fórmula'!D39,21)=0,10^6,INDEX(properties!A$1:CB$87,'Fórmula'!D39,21)),IF(INDEX(properties!A$1:CB$87,'Fórmula'!F39,21)=0,10^6,INDEX(properties!A$1:CB$87,'Fórmula'!F39,21)),IF(INDEX(properties!A$1:CB$87,'Fórmula'!H39,21)=0,10^6,INDEX(properties!A$1:CB$87,'Fórmula'!H39,21)),IF(INDEX(properties!A$1:CB$87,'Fórmula'!J39,21)=0,10^6,INDEX(properties!A$1:CB$87,'Fórmula'!J39,21)))</f>
        <v>1</v>
      </c>
      <c r="CA39" s="113">
        <f t="shared" si="13"/>
        <v>5</v>
      </c>
      <c r="CB39" s="114">
        <f t="array" ref="CB39">(('Fórmula'!C39)/('Fórmula'!C39+'Fórmula'!E39+'Fórmula'!G39+'Fórmula'!I39+'Fórmula'!K39))*(INDEX(properties!A$1:CB$87,'Fórmula'!B39,23))+(('Fórmula'!E39)/('Fórmula'!C39+'Fórmula'!E39+'Fórmula'!G39+'Fórmula'!I39+'Fórmula'!K39))*(INDEX(properties!A$1:CB$87,'Fórmula'!D39,23))+(('Fórmula'!G39)/('Fórmula'!C39+'Fórmula'!E39+'Fórmula'!G39+'Fórmula'!I39+'Fórmula'!K39))*(INDEX(properties!A$1:CB$87,'Fórmula'!F39,23))+(('Fórmula'!I39)/('Fórmula'!C39+'Fórmula'!E39+'Fórmula'!G39+'Fórmula'!I39+'Fórmula'!K39))*(INDEX(properties!A$1:CB$87,'Fórmula'!H39,23))+(('Fórmula'!K39)/('Fórmula'!C39+'Fórmula'!E39+'Fórmula'!G39+'Fórmula'!I39+'Fórmula'!K39))*(INDEX(properties!A$1:CB$87,'Fórmula'!J39,23))</f>
        <v>0.8571428571</v>
      </c>
      <c r="CC39" s="114">
        <f t="array" ref="CC39">'Fórmula'!C39*(INDEX(properties!A$1:CB$87,'Fórmula'!B39,23))+'Fórmula'!E39*(INDEX(properties!A$1:CB$87,'Fórmula'!D39,23))+'Fórmula'!G39*(INDEX(properties!A$1:CB$87,'Fórmula'!F39,23))+'Fórmula'!I39*(INDEX(properties!A$1:CB$87,'Fórmula'!H39,23))+'Fórmula'!K39*(INDEX(properties!A$1:CB$87,'Fórmula'!J39,23))</f>
        <v>6</v>
      </c>
      <c r="CD39" s="114">
        <f t="array" ref="CD39">VARP(IF(INDEX(properties!A$1:CB$87,'Fórmula'!B39,23)&lt;&gt;"",INDEX(properties!A$1:CB$87,'Fórmula'!B39,23)),IF(INDEX(properties!A$1:CB$87,'Fórmula'!D39,23)&lt;&gt;"",INDEX(properties!A$1:CB$87,'Fórmula'!D39,23)),IF(INDEX(properties!A$1:CB$87,'Fórmula'!F39,23)&lt;&gt;"",INDEX(properties!A$1:CB$87,'Fórmula'!F39,23)),IF(INDEX(properties!A$1:CB$87,'Fórmula'!H39,23)&lt;&gt;"",INDEX(properties!A$1:CB$87,'Fórmula'!H39,23)),IF(INDEX(properties!A$1:CB$87,'Fórmula'!J39,23)&lt;&gt;"",INDEX(properties!A$1:CB$87,'Fórmula'!J39,23)))</f>
        <v>1.36</v>
      </c>
      <c r="CE39" s="114">
        <f t="array" ref="CE39">MAX(INDEX(properties!A$1:CB$87,'Fórmula'!B39,23),INDEX(properties!A$1:CB$87,'Fórmula'!D39,23),INDEX(properties!A$1:CB$87,'Fórmula'!F39,23),INDEX(properties!A$1:CB$87,'Fórmula'!H39,23),INDEX(properties!A$1:CB$87,'Fórmula'!J39,23))</f>
        <v>3</v>
      </c>
      <c r="CF39" s="114">
        <f t="array" ref="CF39">MIN(IF('Fórmula'!B39=87,10^6,INDEX(properties!A$1:CB$87,'Fórmula'!B39,23)),IF(('Fórmula'!D39)=87,10^6,INDEX(properties!A$1:CB$87,'Fórmula'!D39,23)),IF(('Fórmula'!F39)=87,10^6,INDEX(properties!A$1:CB$87,'Fórmula'!F39,23)),IF(('Fórmula'!H39)=87,10^6,INDEX(properties!A$1:CB$87,'Fórmula'!H39,23)),IF('Fórmula'!J39=87,10^6,INDEX(properties!A$1:CB$87,'Fórmula'!J39,23)))</f>
        <v>0</v>
      </c>
      <c r="CG39" s="114">
        <f t="shared" si="14"/>
        <v>3</v>
      </c>
      <c r="CH39" s="115">
        <f t="array" ref="CH39">(('Fórmula'!C39)/('Fórmula'!C39+'Fórmula'!E39+'Fórmula'!G39+'Fórmula'!I39+'Fórmula'!K39))*(INDEX(properties!A$1:CB$87,'Fórmula'!B39,26))+(('Fórmula'!E39)/('Fórmula'!C39+'Fórmula'!E39+'Fórmula'!G39+'Fórmula'!I39+'Fórmula'!K39))*(INDEX(properties!A$1:CB$87,'Fórmula'!D39,26))+(('Fórmula'!G39)/('Fórmula'!C39+'Fórmula'!E39+'Fórmula'!G39+'Fórmula'!I39+'Fórmula'!K39))*(INDEX(properties!A$1:CB$87,'Fórmula'!F39,26))+(('Fórmula'!I39)/('Fórmula'!C39+'Fórmula'!E39+'Fórmula'!G39+'Fórmula'!I39+'Fórmula'!K39))*(INDEX(properties!A$1:CB$87,'Fórmula'!H39,26))+(('Fórmula'!K39)/('Fórmula'!C39+'Fórmula'!E39+'Fórmula'!G39+'Fórmula'!I39+'Fórmula'!K39))*(INDEX(properties!A$1:CB$87,'Fórmula'!J39,26))</f>
        <v>10.71352857</v>
      </c>
      <c r="CI39" s="115">
        <f t="array" ref="CI39">'Fórmula'!C39*(INDEX(properties!A$1:CB$87,'Fórmula'!B39,26))+'Fórmula'!E39*(INDEX(properties!A$1:CB$87,'Fórmula'!D39,26))+'Fórmula'!G39*(INDEX(properties!A$1:CB$87,'Fórmula'!F39,26))+'Fórmula'!I39*(INDEX(properties!A$1:CB$87,'Fórmula'!H39,26))+'Fórmula'!K39*(INDEX(properties!A$1:CB$87,'Fórmula'!J39,26))</f>
        <v>74.9947</v>
      </c>
      <c r="CJ39" s="115">
        <f t="array" ref="CJ39">VARP(IF(INDEX(properties!A$1:CB$87,'Fórmula'!B39,26)&lt;&gt;"",INDEX(properties!A$1:CB$87,'Fórmula'!B39,26)),IF(INDEX(properties!A$1:CB$87,'Fórmula'!D39,26)&lt;&gt;"",INDEX(properties!A$1:CB$87,'Fórmula'!D39,26)),IF(INDEX(properties!A$1:CB$87,'Fórmula'!F39,26)&lt;&gt;"",INDEX(properties!A$1:CB$87,'Fórmula'!F39,26)),IF(INDEX(properties!A$1:CB$87,'Fórmula'!H39,26)&lt;&gt;"",INDEX(properties!A$1:CB$87,'Fórmula'!H39,26)),IF(INDEX(properties!A$1:CB$87,'Fórmula'!J39,26)&lt;&gt;"",INDEX(properties!A$1:CB$87,'Fórmula'!J39,26)))</f>
        <v>22.71674091</v>
      </c>
      <c r="CK39" s="116">
        <f t="array" ref="CK39">MAX(INDEX(properties!A$1:CB$87,'Fórmula'!B39,26),INDEX(properties!A$1:CB$87,'Fórmula'!D39,26),INDEX(properties!A$1:CB$87,'Fórmula'!F39,26),INDEX(properties!A$1:CB$87,'Fórmula'!H39,26),INDEX(properties!A$1:CB$87,'Fórmula'!J39,26))</f>
        <v>13.6181</v>
      </c>
      <c r="CL39" s="116">
        <f t="array" ref="CL39">MIN(IF(INDEX(properties!A$1:CB$87,'Fórmula'!B39,26)=0,10^6,INDEX(properties!A$1:CB$87,'Fórmula'!B39,26)),IF(INDEX(properties!A$1:CB$87,'Fórmula'!D39,26)=0,10^6,INDEX(properties!A$1:CB$87,'Fórmula'!D39,26)),IF(INDEX(properties!A$1:CB$87,'Fórmula'!F39,26)=0,10^6,INDEX(properties!A$1:CB$87,'Fórmula'!F39,26)),IF(INDEX(properties!A$1:CB$87,'Fórmula'!H39,26)=0,10^6,INDEX(properties!A$1:CB$87,'Fórmula'!H39,26)),IF(INDEX(properties!A$1:CB$87,'Fórmula'!J39,26)=0,10^6,INDEX(properties!A$1:CB$87,'Fórmula'!J39,26)))</f>
        <v>4.3407</v>
      </c>
      <c r="CM39" s="115">
        <f t="shared" si="15"/>
        <v>9.2774</v>
      </c>
      <c r="CN39" s="117">
        <f t="array" ref="CN39">(('Fórmula'!C39)/('Fórmula'!C39+'Fórmula'!E39+'Fórmula'!G39+'Fórmula'!I39+'Fórmula'!K39))*(INDEX(properties!A$1:CB$87,'Fórmula'!B39,30))+(('Fórmula'!E39)/('Fórmula'!C39+'Fórmula'!E39+'Fórmula'!G39+'Fórmula'!I39+'Fórmula'!K39))*(INDEX(properties!A$1:CB$87,'Fórmula'!D39,30))+(('Fórmula'!G39)/('Fórmula'!C39+'Fórmula'!E39+'Fórmula'!G39+'Fórmula'!I39+'Fórmula'!K39))*(INDEX(properties!A$1:CB$87,'Fórmula'!F39,30))+(('Fórmula'!I39)/('Fórmula'!C39+'Fórmula'!E39+'Fórmula'!G39+'Fórmula'!I39+'Fórmula'!K39))*(INDEX(properties!A$1:CB$87,'Fórmula'!H39,30))+(('Fórmula'!K39)/('Fórmula'!C39+'Fórmula'!E39+'Fórmula'!G39+'Fórmula'!I39+'Fórmula'!K39))*(INDEX(properties!A$1:CB$87,'Fórmula'!J39,30))</f>
        <v>2.531428571</v>
      </c>
      <c r="CO39" s="117">
        <f t="array" ref="CO39">'Fórmula'!C39*(INDEX(properties!A$1:CB$87,'Fórmula'!B39,30))+'Fórmula'!E39*(INDEX(properties!A$1:CB$87,'Fórmula'!D39,30))+'Fórmula'!G39*(INDEX(properties!A$1:CB$87,'Fórmula'!F39,30))+'Fórmula'!I39*(INDEX(properties!A$1:CB$87,'Fórmula'!H39,30))+'Fórmula'!K39*(INDEX(properties!A$1:CB$87,'Fórmula'!J39,30))</f>
        <v>17.72</v>
      </c>
      <c r="CP39" s="117">
        <f t="array" ref="CP39">VARP(IF(INDEX(properties!A$1:CB$87,'Fórmula'!B39,30)&lt;&gt;"",INDEX(properties!A$1:CB$87,'Fórmula'!B39,30)),IF(INDEX(properties!A$1:CB$87,'Fórmula'!D39,30)&lt;&gt;"",INDEX(properties!A$1:CB$87,'Fórmula'!D39,30)),IF(INDEX(properties!A$1:CB$87,'Fórmula'!F39,30)&lt;&gt;"",INDEX(properties!A$1:CB$87,'Fórmula'!F39,30)),IF(INDEX(properties!A$1:CB$87,'Fórmula'!H39,30)&lt;&gt;"",INDEX(properties!A$1:CB$87,'Fórmula'!H39,30)),IF(INDEX(properties!A$1:CB$87,'Fórmula'!J39,30)&lt;&gt;"",INDEX(properties!A$1:CB$87,'Fórmula'!J39,30)))</f>
        <v>1.45052</v>
      </c>
      <c r="CQ39" s="117">
        <f t="array" ref="CQ39">MAX(INDEX(properties!A$1:CB$87,'Fórmula'!B39,30),INDEX(properties!A$1:CB$87,'Fórmula'!D39,30),INDEX(properties!A$1:CB$87,'Fórmula'!F39,30),INDEX(properties!A$1:CB$87,'Fórmula'!H39,30),INDEX(properties!A$1:CB$87,'Fórmula'!J39,30))</f>
        <v>3.44</v>
      </c>
      <c r="CR39" s="117">
        <f t="array" ref="CR39">MIN(IF(INDEX(properties!A$1:CB$87,'Fórmula'!B39,30)=0,10^6,INDEX(properties!A$1:CB$87,'Fórmula'!B39,30)),IF(INDEX(properties!A$1:CB$87,'Fórmula'!D39,30)=0,10^6,INDEX(properties!A$1:CB$87,'Fórmula'!D39,30)),IF(INDEX(properties!A$1:CB$87,'Fórmula'!F39,30)=0,10^6,INDEX(properties!A$1:CB$87,'Fórmula'!F39,30)),IF(INDEX(properties!A$1:CB$87,'Fórmula'!H39,30)=0,10^6,INDEX(properties!A$1:CB$87,'Fórmula'!H39,30)),IF(INDEX(properties!A$1:CB$87,'Fórmula'!J39,30)=0,10^6,INDEX(properties!A$1:CB$87,'Fórmula'!J39,30)))</f>
        <v>0.82</v>
      </c>
      <c r="CS39" s="117">
        <f t="shared" si="16"/>
        <v>2.62</v>
      </c>
      <c r="CT39" s="118">
        <f t="array" ref="CT39">(('Fórmula'!C39)/('Fórmula'!C39+'Fórmula'!E39+'Fórmula'!G39+'Fórmula'!I39+'Fórmula'!K39))*(INDEX(properties!A$1:CB$87,'Fórmula'!B39,31))+(('Fórmula'!E39)/('Fórmula'!C39+'Fórmula'!E39+'Fórmula'!G39+'Fórmula'!I39+'Fórmula'!K39))*(INDEX(properties!A$1:CB$87,'Fórmula'!D39,31))+(('Fórmula'!G39)/('Fórmula'!C39+'Fórmula'!E39+'Fórmula'!G39+'Fórmula'!I39+'Fórmula'!K39))*(INDEX(properties!A$1:CB$87,'Fórmula'!F39,31))+(('Fórmula'!I39)/('Fórmula'!C39+'Fórmula'!E39+'Fórmula'!G39+'Fórmula'!I39+'Fórmula'!K39))*(INDEX(properties!A$1:CB$87,'Fórmula'!H39,31))+(('Fórmula'!K39)/('Fórmula'!C39+'Fórmula'!E39+'Fórmula'!G39+'Fórmula'!I39+'Fórmula'!K39))*(INDEX(properties!A$1:CB$87,'Fórmula'!J39,31))</f>
        <v>2.504285714</v>
      </c>
      <c r="CU39" s="118">
        <f t="array" ref="CU39">'Fórmula'!C39*(INDEX(properties!A$1:CB$87,'Fórmula'!B39,31))+'Fórmula'!E39*(INDEX(properties!A$1:CB$87,'Fórmula'!D39,31))+'Fórmula'!G39*(INDEX(properties!A$1:CB$87,'Fórmula'!F39,31))+'Fórmula'!I39*(INDEX(properties!A$1:CB$87,'Fórmula'!H39,31))+'Fórmula'!K39*(INDEX(properties!A$1:CB$87,'Fórmula'!J39,31))</f>
        <v>17.53</v>
      </c>
      <c r="CV39" s="118">
        <f t="array" ref="CV39">VARP(IF(INDEX(properties!A$1:CB$87,'Fórmula'!B39,31)&lt;&gt;"",INDEX(properties!A$1:CB$87,'Fórmula'!B39,31)),IF(INDEX(properties!A$1:CB$87,'Fórmula'!D39,31)&lt;&gt;"",INDEX(properties!A$1:CB$87,'Fórmula'!D39,31)),IF(INDEX(properties!A$1:CB$87,'Fórmula'!F39,31)&lt;&gt;"",INDEX(properties!A$1:CB$87,'Fórmula'!F39,31)),IF(INDEX(properties!A$1:CB$87,'Fórmula'!H39,31)&lt;&gt;"",INDEX(properties!A$1:CB$87,'Fórmula'!H39,31)),IF(INDEX(properties!A$1:CB$87,'Fórmula'!J39,31)&lt;&gt;"",INDEX(properties!A$1:CB$87,'Fórmula'!J39,31)))</f>
        <v>1.372144</v>
      </c>
      <c r="CW39" s="118">
        <f t="array" ref="CW39">MAX(INDEX(properties!A$1:CB$87,'Fórmula'!B39,31),INDEX(properties!A$1:CB$87,'Fórmula'!D39,31),INDEX(properties!A$1:CB$87,'Fórmula'!F39,31),INDEX(properties!A$1:CB$87,'Fórmula'!H39,31),INDEX(properties!A$1:CB$87,'Fórmula'!J39,31))</f>
        <v>3.32</v>
      </c>
      <c r="CX39" s="118">
        <f t="array" ref="CX39">MIN(IF(INDEX(properties!A$1:CB$87,'Fórmula'!B39,31)=0,10^6,INDEX(properties!A$1:CB$87,'Fórmula'!B39,31)),IF(INDEX(properties!A$1:CB$87,'Fórmula'!D39,31)=0,10^6,INDEX(properties!A$1:CB$87,'Fórmula'!D39,31)),IF(INDEX(properties!A$1:CB$87,'Fórmula'!F39,31)=0,10^6,INDEX(properties!A$1:CB$87,'Fórmula'!F39,31)),IF(INDEX(properties!A$1:CB$87,'Fórmula'!H39,31)=0,10^6,INDEX(properties!A$1:CB$87,'Fórmula'!H39,31)),IF(INDEX(properties!A$1:CB$87,'Fórmula'!J39,31)=0,10^6,INDEX(properties!A$1:CB$87,'Fórmula'!J39,31)))</f>
        <v>0.8</v>
      </c>
      <c r="CY39" s="118">
        <f t="shared" si="17"/>
        <v>2.52</v>
      </c>
      <c r="CZ39" s="119">
        <f t="array" ref="CZ39">(('Fórmula'!C39)/('Fórmula'!C39+'Fórmula'!E39+'Fórmula'!G39+'Fórmula'!I39+'Fórmula'!K39))*(INDEX(properties!A$1:CB$87,'Fórmula'!B39,32))+(('Fórmula'!E39)/('Fórmula'!C39+'Fórmula'!E39+'Fórmula'!G39+'Fórmula'!I39+'Fórmula'!K39))*(INDEX(properties!A$1:CB$87,'Fórmula'!D39,32))+(('Fórmula'!G39)/('Fórmula'!C39+'Fórmula'!E39+'Fórmula'!G39+'Fórmula'!I39+'Fórmula'!K39))*(INDEX(properties!A$1:CB$87,'Fórmula'!F39,32))+(('Fórmula'!I39)/('Fórmula'!C39+'Fórmula'!E39+'Fórmula'!G39+'Fórmula'!I39+'Fórmula'!K39))*(INDEX(properties!A$1:CB$87,'Fórmula'!H39,32))+(('Fórmula'!K39)/('Fórmula'!C39+'Fórmula'!E39+'Fórmula'!G39+'Fórmula'!I39+'Fórmula'!K39))*(INDEX(properties!A$1:CB$87,'Fórmula'!J39,32))</f>
        <v>5.742857143</v>
      </c>
      <c r="DA39" s="119">
        <f t="array" ref="DA39">'Fórmula'!C39*(INDEX(properties!A$1:CB$87,'Fórmula'!B39,32))+'Fórmula'!E39*(INDEX(properties!A$1:CB$87,'Fórmula'!D39,32))+'Fórmula'!G39*(INDEX(properties!A$1:CB$87,'Fórmula'!F39,32))+'Fórmula'!I39*(INDEX(properties!A$1:CB$87,'Fórmula'!H39,32))+'Fórmula'!K39*(INDEX(properties!A$1:CB$87,'Fórmula'!J39,32))</f>
        <v>40.2</v>
      </c>
      <c r="DB39" s="119">
        <f t="array" ref="DB39">VARP(IF(INDEX(properties!A$1:CB$87,'Fórmula'!B39,32)&lt;&gt;"",INDEX(properties!A$1:CB$87,'Fórmula'!B39,32)),IF(INDEX(properties!A$1:CB$87,'Fórmula'!D39,32)&lt;&gt;"",INDEX(properties!A$1:CB$87,'Fórmula'!D39,32)),IF(INDEX(properties!A$1:CB$87,'Fórmula'!F39,32)&lt;&gt;"",INDEX(properties!A$1:CB$87,'Fórmula'!F39,32)),IF(INDEX(properties!A$1:CB$87,'Fórmula'!H39,32)&lt;&gt;"",INDEX(properties!A$1:CB$87,'Fórmula'!H39,32)),IF(INDEX(properties!A$1:CB$87,'Fórmula'!J39,32)&lt;&gt;"",INDEX(properties!A$1:CB$87,'Fórmula'!J39,32)))</f>
        <v>7.296224</v>
      </c>
      <c r="DC39" s="119">
        <f t="array" ref="DC39">MAX(INDEX(properties!A$1:CB$87,'Fórmula'!B39,32),INDEX(properties!A$1:CB$87,'Fórmula'!D39,32),INDEX(properties!A$1:CB$87,'Fórmula'!F39,32),INDEX(properties!A$1:CB$87,'Fórmula'!H39,32),INDEX(properties!A$1:CB$87,'Fórmula'!J39,32))</f>
        <v>7.54</v>
      </c>
      <c r="DD39" s="119">
        <f t="array" ref="DD39">MIN(IF(INDEX(properties!A$1:CB$87,'Fórmula'!B39,32)=0,10^6,INDEX(properties!A$1:CB$87,'Fórmula'!B39,32)),IF(INDEX(properties!A$1:CB$87,'Fórmula'!D39,32)=0,10^6,INDEX(properties!A$1:CB$87,'Fórmula'!D39,32)),IF(INDEX(properties!A$1:CB$87,'Fórmula'!F39,32)=0,10^6,INDEX(properties!A$1:CB$87,'Fórmula'!F39,32)),IF(INDEX(properties!A$1:CB$87,'Fórmula'!H39,32)=0,10^6,INDEX(properties!A$1:CB$87,'Fórmula'!H39,32)),IF(INDEX(properties!A$1:CB$87,'Fórmula'!J39,32)=0,10^6,INDEX(properties!A$1:CB$87,'Fórmula'!J39,32)))</f>
        <v>2</v>
      </c>
      <c r="DE39" s="119">
        <f t="shared" si="18"/>
        <v>5.54</v>
      </c>
      <c r="DF39" s="104">
        <f t="array" ref="DF39">(('Fórmula'!C39)/('Fórmula'!C39+'Fórmula'!E39+'Fórmula'!G39+'Fórmula'!I39+'Fórmula'!K39))*(INDEX(properties!A$1:CB$87,'Fórmula'!B39,34))+(('Fórmula'!E39)/('Fórmula'!C39+'Fórmula'!E39+'Fórmula'!G39+'Fórmula'!I39+'Fórmula'!K39))*(INDEX(properties!A$1:CB$87,'Fórmula'!D39,34))+(('Fórmula'!G39)/('Fórmula'!C39+'Fórmula'!E39+'Fórmula'!G39+'Fórmula'!I39+'Fórmula'!K39))*(INDEX(properties!A$1:CB$87,'Fórmula'!F39,34))+(('Fórmula'!I39)/('Fórmula'!C39+'Fórmula'!E39+'Fórmula'!G39+'Fórmula'!I39+'Fórmula'!K39))*(INDEX(properties!A$1:CB$87,'Fórmula'!H39,34))+(('Fórmula'!K39)/('Fórmula'!C39+'Fórmula'!E39+'Fórmula'!G39+'Fórmula'!I39+'Fórmula'!K39))*(INDEX(properties!A$1:CB$87,'Fórmula'!J39,34))</f>
        <v>2.627142857</v>
      </c>
      <c r="DG39" s="104">
        <f t="array" ref="DG39">'Fórmula'!C39*(INDEX(properties!A$1:CB$87,'Fórmula'!B39,34))+'Fórmula'!E39*(INDEX(properties!A$1:CB$87,'Fórmula'!D39,34))+'Fórmula'!G39*(INDEX(properties!A$1:CB$87,'Fórmula'!F39,34))+'Fórmula'!I39*(INDEX(properties!A$1:CB$87,'Fórmula'!H39,34))+'Fórmula'!K39*(INDEX(properties!A$1:CB$87,'Fórmula'!J39,34))</f>
        <v>18.39</v>
      </c>
      <c r="DH39" s="104">
        <f t="array" ref="DH39">VARP(IF(INDEX(properties!A$1:CB$87,'Fórmula'!B39,34)&lt;&gt;"",INDEX(properties!A$1:CB$87,'Fórmula'!B39,34)),IF(INDEX(properties!A$1:CB$87,'Fórmula'!D39,34)&lt;&gt;"",INDEX(properties!A$1:CB$87,'Fórmula'!D39,34)),IF(INDEX(properties!A$1:CB$87,'Fórmula'!F39,34)&lt;&gt;"",INDEX(properties!A$1:CB$87,'Fórmula'!F39,34)),IF(INDEX(properties!A$1:CB$87,'Fórmula'!H39,34)&lt;&gt;"",INDEX(properties!A$1:CB$87,'Fórmula'!H39,34)),IF(INDEX(properties!A$1:CB$87,'Fórmula'!J39,34)&lt;&gt;"",INDEX(properties!A$1:CB$87,'Fórmula'!J39,34)))</f>
        <v>1.6287028</v>
      </c>
      <c r="DI39" s="104">
        <f t="array" ref="DI39">MAX(INDEX(properties!A$1:CB$87,'Fórmula'!B39,34),INDEX(properties!A$1:CB$87,'Fórmula'!D39,34),INDEX(properties!A$1:CB$87,'Fórmula'!F39,34),INDEX(properties!A$1:CB$87,'Fórmula'!H39,34),INDEX(properties!A$1:CB$87,'Fórmula'!J39,34))</f>
        <v>3.61</v>
      </c>
      <c r="DJ39" s="104">
        <f t="array" ref="DJ39">MIN(IF(INDEX(properties!A$1:CB$87,'Fórmula'!B39,34)=0,10^6,INDEX(properties!A$1:CB$87,'Fórmula'!B39,34)),IF(INDEX(properties!A$1:CB$87,'Fórmula'!D39,34)=0,10^6,INDEX(properties!A$1:CB$87,'Fórmula'!D39,34)),IF(INDEX(properties!A$1:CB$87,'Fórmula'!F39,34)=0,10^6,INDEX(properties!A$1:CB$87,'Fórmula'!F39,34)),IF(INDEX(properties!A$1:CB$87,'Fórmula'!H39,34)=0,10^6,INDEX(properties!A$1:CB$87,'Fórmula'!H39,34)),IF(INDEX(properties!A$1:CB$87,'Fórmula'!J39,34)=0,10^6,INDEX(properties!A$1:CB$87,'Fórmula'!J39,34)))</f>
        <v>0.734</v>
      </c>
      <c r="DK39" s="104">
        <f t="shared" si="19"/>
        <v>2.876</v>
      </c>
      <c r="DL39" s="105">
        <f t="array" ref="DL39">(('Fórmula'!C39)/('Fórmula'!C39+'Fórmula'!E39+'Fórmula'!G39+'Fórmula'!I39+'Fórmula'!K39))*(INDEX(properties!A$1:CB$87,'Fórmula'!B39,37))+(('Fórmula'!E39)/('Fórmula'!C39+'Fórmula'!E39+'Fórmula'!G39+'Fórmula'!I39+'Fórmula'!K39))*(INDEX(properties!A$1:CB$87,'Fórmula'!D39,37))+(('Fórmula'!G39)/('Fórmula'!C39+'Fórmula'!E39+'Fórmula'!G39+'Fórmula'!I39+'Fórmula'!K39))*(INDEX(properties!A$1:CB$87,'Fórmula'!F39,37))+(('Fórmula'!I39)/('Fórmula'!C39+'Fórmula'!E39+'Fórmula'!G39+'Fórmula'!I39+'Fórmula'!K39))*(INDEX(properties!A$1:CB$87,'Fórmula'!H39,37))+(('Fórmula'!K39)/('Fórmula'!C39+'Fórmula'!E39+'Fórmula'!G39+'Fórmula'!I39+'Fórmula'!K39))*(INDEX(properties!A$1:CB$87,'Fórmula'!J39,37))</f>
        <v>2.528571429</v>
      </c>
      <c r="DM39" s="105">
        <f t="array" ref="DM39">'Fórmula'!C39*(INDEX(properties!A$1:CB$87,'Fórmula'!B39,37))+'Fórmula'!E39*(INDEX(properties!A$1:CB$87,'Fórmula'!D39,37))+'Fórmula'!G39*(INDEX(properties!A$1:CB$87,'Fórmula'!F39,37))+'Fórmula'!I39*(INDEX(properties!A$1:CB$87,'Fórmula'!H39,37))+'Fórmula'!K39*(INDEX(properties!A$1:CB$87,'Fórmula'!J39,37))</f>
        <v>17.7</v>
      </c>
      <c r="DN39" s="105">
        <f t="array" ref="DN39">VARP(IF(INDEX(properties!A$1:CB$87,'Fórmula'!B39,37)&lt;&gt;"",INDEX(properties!A$1:CB$87,'Fórmula'!B39,37)),IF(INDEX(properties!A$1:CB$87,'Fórmula'!D39,37)&lt;&gt;"",INDEX(properties!A$1:CB$87,'Fórmula'!D39,37)),IF(INDEX(properties!A$1:CB$87,'Fórmula'!F39,37)&lt;&gt;"",INDEX(properties!A$1:CB$87,'Fórmula'!F39,37)),IF(INDEX(properties!A$1:CB$87,'Fórmula'!H39,37)&lt;&gt;"",INDEX(properties!A$1:CB$87,'Fórmula'!H39,37)),IF(INDEX(properties!A$1:CB$87,'Fórmula'!J39,37)&lt;&gt;"",INDEX(properties!A$1:CB$87,'Fórmula'!J39,37)))</f>
        <v>1.4296</v>
      </c>
      <c r="DO39" s="105">
        <f t="array" ref="DO39">MAX(INDEX(properties!A$1:CB$87,'Fórmula'!B39,37),INDEX(properties!A$1:CB$87,'Fórmula'!D39,37),INDEX(properties!A$1:CB$87,'Fórmula'!F39,37),INDEX(properties!A$1:CB$87,'Fórmula'!H39,37),INDEX(properties!A$1:CB$87,'Fórmula'!J39,37))</f>
        <v>3.45</v>
      </c>
      <c r="DP39" s="105">
        <f t="array" ref="DP39">MIN(IF(INDEX(properties!A$1:CB$87,'Fórmula'!B39,37)=0,10^6,INDEX(properties!A$1:CB$87,'Fórmula'!B39,37)),IF(INDEX(properties!A$1:CB$87,'Fórmula'!D39,37)=0,10^6,INDEX(properties!A$1:CB$87,'Fórmula'!D39,37)),IF(INDEX(properties!A$1:CB$87,'Fórmula'!F39,37)=0,10^6,INDEX(properties!A$1:CB$87,'Fórmula'!F39,37)),IF(INDEX(properties!A$1:CB$87,'Fórmula'!H39,37)=0,10^6,INDEX(properties!A$1:CB$87,'Fórmula'!H39,37)),IF(INDEX(properties!A$1:CB$87,'Fórmula'!J39,37)=0,10^6,INDEX(properties!A$1:CB$87,'Fórmula'!J39,37)))</f>
        <v>0.8</v>
      </c>
      <c r="DQ39" s="105">
        <f t="shared" si="20"/>
        <v>2.65</v>
      </c>
      <c r="DR39" s="109">
        <f t="array" ref="DR39">(('Fórmula'!C39)/('Fórmula'!C39+'Fórmula'!E39+'Fórmula'!G39+'Fórmula'!I39+'Fórmula'!K39))*(INDEX(properties!A$1:CB$87,'Fórmula'!B39,39))+(('Fórmula'!E39)/('Fórmula'!C39+'Fórmula'!E39+'Fórmula'!G39+'Fórmula'!I39+'Fórmula'!K39))*(INDEX(properties!A$1:CB$87,'Fórmula'!D39,39))+(('Fórmula'!G39)/('Fórmula'!C39+'Fórmula'!E39+'Fórmula'!G39+'Fórmula'!I39+'Fórmula'!K39))*(INDEX(properties!A$1:CB$87,'Fórmula'!F39,39))+(('Fórmula'!I39)/('Fórmula'!C39+'Fórmula'!E39+'Fórmula'!G39+'Fórmula'!I39+'Fórmula'!K39))*(INDEX(properties!A$1:CB$87,'Fórmula'!H39,39))+(('Fórmula'!K39)/('Fórmula'!C39+'Fórmula'!E39+'Fórmula'!G39+'Fórmula'!I39+'Fórmula'!K39))*(INDEX(properties!A$1:CB$87,'Fórmula'!J39,39))</f>
        <v>1.074285714</v>
      </c>
      <c r="DS39" s="109">
        <f t="array" ref="DS39">'Fórmula'!C39*(INDEX(properties!A$1:CB$87,'Fórmula'!B39,39))+'Fórmula'!E39*(INDEX(properties!A$1:CB$87,'Fórmula'!D39,39))+'Fórmula'!G39*(INDEX(properties!A$1:CB$87,'Fórmula'!F39,39))+'Fórmula'!I39*(INDEX(properties!A$1:CB$87,'Fórmula'!H39,39))+'Fórmula'!K39*(INDEX(properties!A$1:CB$87,'Fórmula'!J39,39))</f>
        <v>7.52</v>
      </c>
      <c r="DT39" s="109">
        <f t="array" ref="DT39">VARP(IF(INDEX(properties!A$1:CB$87,'Fórmula'!B39,39)&lt;&gt;"",INDEX(properties!A$1:CB$87,'Fórmula'!B39,39)),IF(INDEX(properties!A$1:CB$87,'Fórmula'!D39,39)&lt;&gt;"",INDEX(properties!A$1:CB$87,'Fórmula'!D39,39)),IF(INDEX(properties!A$1:CB$87,'Fórmula'!F39,39)&lt;&gt;"",INDEX(properties!A$1:CB$87,'Fórmula'!F39,39)),IF(INDEX(properties!A$1:CB$87,'Fórmula'!H39,39)&lt;&gt;"",INDEX(properties!A$1:CB$87,'Fórmula'!H39,39)),IF(INDEX(properties!A$1:CB$87,'Fórmula'!J39,39)&lt;&gt;"",INDEX(properties!A$1:CB$87,'Fórmula'!J39,39)))</f>
        <v>0.899704</v>
      </c>
      <c r="DU39" s="120">
        <f t="array" ref="DU39">MAX(INDEX(properties!A$1:CB$87,'Fórmula'!B39,39),INDEX(properties!A$1:CB$87,'Fórmula'!D39,39),INDEX(properties!A$1:CB$87,'Fórmula'!F39,39),INDEX(properties!A$1:CB$87,'Fórmula'!H39,39),INDEX(properties!A$1:CB$87,'Fórmula'!J39,39))</f>
        <v>2.43</v>
      </c>
      <c r="DV39" s="120">
        <f t="array" ref="DV39">MIN(IF(INDEX(properties!A$1:CB$87,'Fórmula'!B39,39)=0,10^6,INDEX(properties!A$1:CB$87,'Fórmula'!B39,39)),IF(INDEX(properties!A$1:CB$87,'Fórmula'!D39,39)=0,10^6,INDEX(properties!A$1:CB$87,'Fórmula'!D39,39)),IF(INDEX(properties!A$1:CB$87,'Fórmula'!F39,39)=0,10^6,INDEX(properties!A$1:CB$87,'Fórmula'!F39,39)),IF(INDEX(properties!A$1:CB$87,'Fórmula'!H39,39)=0,10^6,INDEX(properties!A$1:CB$87,'Fórmula'!H39,39)),IF(INDEX(properties!A$1:CB$87,'Fórmula'!J39,39)=0,10^6,INDEX(properties!A$1:CB$87,'Fórmula'!J39,39)))</f>
        <v>0.48</v>
      </c>
      <c r="DW39" s="109">
        <f t="shared" si="21"/>
        <v>1.95</v>
      </c>
      <c r="DX39" s="110">
        <f t="array" ref="DX39">(('Fórmula'!C39)/('Fórmula'!C39+'Fórmula'!E39+'Fórmula'!G39+'Fórmula'!I39+'Fórmula'!K39))*(INDEX(properties!A$1:CB$87,'Fórmula'!B39,40))+(('Fórmula'!E39)/('Fórmula'!C39+'Fórmula'!E39+'Fórmula'!G39+'Fórmula'!I39+'Fórmula'!K39))*(INDEX(properties!A$1:CB$87,'Fórmula'!D39,40))+(('Fórmula'!G39)/('Fórmula'!C39+'Fórmula'!E39+'Fórmula'!G39+'Fórmula'!I39+'Fórmula'!K39))*(INDEX(properties!A$1:CB$87,'Fórmula'!F39,40))+(('Fórmula'!I39)/('Fórmula'!C39+'Fórmula'!E39+'Fórmula'!G39+'Fórmula'!I39+'Fórmula'!K39))*(INDEX(properties!A$1:CB$87,'Fórmula'!H39,40))+(('Fórmula'!K39)/('Fórmula'!C39+'Fórmula'!E39+'Fórmula'!G39+'Fórmula'!I39+'Fórmula'!K39))*(INDEX(properties!A$1:CB$87,'Fórmula'!J39,40))</f>
        <v>1.122857143</v>
      </c>
      <c r="DY39" s="110">
        <f t="array" ref="DY39">'Fórmula'!C39*(INDEX(properties!A$1:CB$87,'Fórmula'!B39,40))+'Fórmula'!E39*(INDEX(properties!A$1:CB$87,'Fórmula'!D39,40))+'Fórmula'!G39*(INDEX(properties!A$1:CB$87,'Fórmula'!F39,40))+'Fórmula'!I39*(INDEX(properties!A$1:CB$87,'Fórmula'!H39,40))+'Fórmula'!K39*(INDEX(properties!A$1:CB$87,'Fórmula'!J39,40))</f>
        <v>7.86</v>
      </c>
      <c r="DZ39" s="110">
        <f t="array" ref="DZ39">VARP(IF(INDEX(properties!A$1:CB$87,'Fórmula'!B39,40)&lt;&gt;"",INDEX(properties!A$1:CB$87,'Fórmula'!B39,40)),IF(INDEX(properties!A$1:CB$87,'Fórmula'!D39,40)&lt;&gt;"",INDEX(properties!A$1:CB$87,'Fórmula'!D39,40)),IF(INDEX(properties!A$1:CB$87,'Fórmula'!F39,40)&lt;&gt;"",INDEX(properties!A$1:CB$87,'Fórmula'!F39,40)),IF(INDEX(properties!A$1:CB$87,'Fórmula'!H39,40)&lt;&gt;"",INDEX(properties!A$1:CB$87,'Fórmula'!H39,40)),IF(INDEX(properties!A$1:CB$87,'Fórmula'!J39,40)&lt;&gt;"",INDEX(properties!A$1:CB$87,'Fórmula'!J39,40)))</f>
        <v>0.550944</v>
      </c>
      <c r="EA39" s="121">
        <f t="array" ref="EA39">MAX(INDEX(properties!A$1:CB$87,'Fórmula'!B39,40),INDEX(properties!A$1:CB$87,'Fórmula'!D39,40),INDEX(properties!A$1:CB$87,'Fórmula'!F39,40),INDEX(properties!A$1:CB$87,'Fórmula'!H39,40),INDEX(properties!A$1:CB$87,'Fórmula'!J39,40))</f>
        <v>1.96</v>
      </c>
      <c r="EB39" s="121">
        <f t="array" ref="EB39">MIN(IF(INDEX(properties!A$1:CB$87,'Fórmula'!B39,40)=0,10^6,INDEX(properties!A$1:CB$87,'Fórmula'!B39,40)),IF(INDEX(properties!A$1:CB$87,'Fórmula'!D39,40)=0,10^6,INDEX(properties!A$1:CB$87,'Fórmula'!D39,40)),IF(INDEX(properties!A$1:CB$87,'Fórmula'!F39,40)=0,10^6,INDEX(properties!A$1:CB$87,'Fórmula'!F39,40)),IF(INDEX(properties!A$1:CB$87,'Fórmula'!H39,40)=0,10^6,INDEX(properties!A$1:CB$87,'Fórmula'!H39,40)),IF(INDEX(properties!A$1:CB$87,'Fórmula'!J39,40)=0,10^6,INDEX(properties!A$1:CB$87,'Fórmula'!J39,40)))</f>
        <v>0.73</v>
      </c>
      <c r="EC39" s="110">
        <f t="shared" si="22"/>
        <v>1.23</v>
      </c>
      <c r="ED39" s="111">
        <f t="array" ref="ED39">(('Fórmula'!C39)/('Fórmula'!C39+'Fórmula'!E39+'Fórmula'!G39+'Fórmula'!I39+'Fórmula'!K39))*(INDEX(properties!A$1:CB$87,'Fórmula'!B39,41))+(('Fórmula'!E39)/('Fórmula'!C39+'Fórmula'!E39+'Fórmula'!G39+'Fórmula'!I39+'Fórmula'!K39))*(INDEX(properties!A$1:CB$87,'Fórmula'!D39,41))+(('Fórmula'!G39)/('Fórmula'!C39+'Fórmula'!E39+'Fórmula'!G39+'Fórmula'!I39+'Fórmula'!K39))*(INDEX(properties!A$1:CB$87,'Fórmula'!F39,41))+(('Fórmula'!I39)/('Fórmula'!C39+'Fórmula'!E39+'Fórmula'!G39+'Fórmula'!I39+'Fórmula'!K39))*(INDEX(properties!A$1:CB$87,'Fórmula'!H39,41))+(('Fórmula'!K39)/('Fórmula'!C39+'Fórmula'!E39+'Fórmula'!G39+'Fórmula'!I39+'Fórmula'!K39))*(INDEX(properties!A$1:CB$87,'Fórmula'!J39,41))</f>
        <v>1.208571429</v>
      </c>
      <c r="EE39" s="111">
        <f t="array" ref="EE39">'Fórmula'!C39*(INDEX(properties!A$1:CB$87,'Fórmula'!B39,41))+'Fórmula'!E39*(INDEX(properties!A$1:CB$87,'Fórmula'!D39,41))+'Fórmula'!G39*(INDEX(properties!A$1:CB$87,'Fórmula'!F39,41))+'Fórmula'!I39*(INDEX(properties!A$1:CB$87,'Fórmula'!H39,41))+'Fórmula'!K39*(INDEX(properties!A$1:CB$87,'Fórmula'!J39,41))</f>
        <v>8.46</v>
      </c>
      <c r="EF39" s="111">
        <f t="array" ref="EF39">VARP(IF(INDEX(properties!A$1:CB$87,'Fórmula'!B39,41)&lt;&gt;"",INDEX(properties!A$1:CB$87,'Fórmula'!B39,41)),IF(INDEX(properties!A$1:CB$87,'Fórmula'!D39,41)&lt;&gt;"",INDEX(properties!A$1:CB$87,'Fórmula'!D39,41)),IF(INDEX(properties!A$1:CB$87,'Fórmula'!F39,41)&lt;&gt;"",INDEX(properties!A$1:CB$87,'Fórmula'!F39,41)),IF(INDEX(properties!A$1:CB$87,'Fórmula'!H39,41)&lt;&gt;"",INDEX(properties!A$1:CB$87,'Fórmula'!H39,41)),IF(INDEX(properties!A$1:CB$87,'Fórmula'!J39,41)&lt;&gt;"",INDEX(properties!A$1:CB$87,'Fórmula'!J39,41)))</f>
        <v>0.319264</v>
      </c>
      <c r="EG39" s="122">
        <f t="array" ref="EG39">MAX(INDEX(properties!A$1:CB$87,'Fórmula'!B39,41),INDEX(properties!A$1:CB$87,'Fórmula'!D39,41),INDEX(properties!A$1:CB$87,'Fórmula'!F39,41),INDEX(properties!A$1:CB$87,'Fórmula'!H39,41),INDEX(properties!A$1:CB$87,'Fórmula'!J39,41))</f>
        <v>1.52</v>
      </c>
      <c r="EH39" s="122">
        <f t="array" ref="EH39">MIN(IF(INDEX(properties!A$1:CB$87,'Fórmula'!B39,41)=0,10^6,INDEX(properties!A$1:CB$87,'Fórmula'!B39,41)),IF(INDEX(properties!A$1:CB$87,'Fórmula'!D39,41)=0,10^6,INDEX(properties!A$1:CB$87,'Fórmula'!D39,41)),IF(INDEX(properties!A$1:CB$87,'Fórmula'!F39,41)=0,10^6,INDEX(properties!A$1:CB$87,'Fórmula'!F39,41)),IF(INDEX(properties!A$1:CB$87,'Fórmula'!H39,41)=0,10^6,INDEX(properties!A$1:CB$87,'Fórmula'!H39,41)),IF(INDEX(properties!A$1:CB$87,'Fórmula'!J39,41)=0,10^6,INDEX(properties!A$1:CB$87,'Fórmula'!J39,41)))</f>
        <v>0.58</v>
      </c>
      <c r="EI39" s="111">
        <f t="shared" si="23"/>
        <v>0.94</v>
      </c>
      <c r="EJ39" s="112">
        <f t="array" ref="EJ39">(('Fórmula'!C39)/('Fórmula'!C39+'Fórmula'!E39+'Fórmula'!G39+'Fórmula'!I39+'Fórmula'!K39))*(INDEX(properties!A$1:CB$87,'Fórmula'!B39,45))+(('Fórmula'!E39)/('Fórmula'!C39+'Fórmula'!E39+'Fórmula'!G39+'Fórmula'!I39+'Fórmula'!K39))*(INDEX(properties!A$1:CB$87,'Fórmula'!D39,45))+(('Fórmula'!G39)/('Fórmula'!C39+'Fórmula'!E39+'Fórmula'!G39+'Fórmula'!I39+'Fórmula'!K39))*(INDEX(properties!A$1:CB$87,'Fórmula'!F39,45))+(('Fórmula'!I39)/('Fórmula'!C39+'Fórmula'!E39+'Fórmula'!G39+'Fórmula'!I39+'Fórmula'!K39))*(INDEX(properties!A$1:CB$87,'Fórmula'!H39,45))+(('Fórmula'!K39)/('Fórmula'!C39+'Fórmula'!E39+'Fórmula'!G39+'Fórmula'!I39+'Fórmula'!K39))*(INDEX(properties!A$1:CB$87,'Fórmula'!J39,45))</f>
        <v>1.431428571</v>
      </c>
      <c r="EK39" s="112">
        <f t="array" ref="EK39">'Fórmula'!C39*(INDEX(properties!A$1:CB$87,'Fórmula'!B39,45))+'Fórmula'!E39*(INDEX(properties!A$1:CB$87,'Fórmula'!D39,45))+'Fórmula'!G39*(INDEX(properties!A$1:CB$87,'Fórmula'!F39,45))+'Fórmula'!I39*(INDEX(properties!A$1:CB$87,'Fórmula'!H39,45))+'Fórmula'!K39*(INDEX(properties!A$1:CB$87,'Fórmula'!J39,45))</f>
        <v>10.02</v>
      </c>
      <c r="EL39" s="112">
        <f t="array" ref="EL39">VARP(IF(INDEX(properties!A$1:CB$87,'Fórmula'!B39,45)&lt;&gt;"",INDEX(properties!A$1:CB$87,'Fórmula'!B39,45)),IF(INDEX(properties!A$1:CB$87,'Fórmula'!D39,45)&lt;&gt;"",INDEX(properties!A$1:CB$87,'Fórmula'!D39,45)),IF(INDEX(properties!A$1:CB$87,'Fórmula'!F39,45)&lt;&gt;"",INDEX(properties!A$1:CB$87,'Fórmula'!F39,45)),IF(INDEX(properties!A$1:CB$87,'Fórmula'!H39,45)&lt;&gt;"",INDEX(properties!A$1:CB$87,'Fórmula'!H39,45)),IF(INDEX(properties!A$1:CB$87,'Fórmula'!J39,45)&lt;&gt;"",INDEX(properties!A$1:CB$87,'Fórmula'!J39,45)))</f>
        <v>2.170456</v>
      </c>
      <c r="EM39" s="123">
        <f t="array" ref="EM39">MAX(INDEX(properties!A$1:CB$87,'Fórmula'!B39,45),INDEX(properties!A$1:CB$87,'Fórmula'!D39,45),INDEX(properties!A$1:CB$87,'Fórmula'!F39,45),INDEX(properties!A$1:CB$87,'Fórmula'!H39,45),INDEX(properties!A$1:CB$87,'Fórmula'!J39,45))</f>
        <v>3.69</v>
      </c>
      <c r="EN39" s="123">
        <f t="array" ref="EN39">MIN(IF(INDEX(properties!A$1:CB$87,'Fórmula'!B39,45)=0,10^6,INDEX(properties!A$1:CB$87,'Fórmula'!B39,45)),IF(INDEX(properties!A$1:CB$87,'Fórmula'!D39,45)=0,10^6,INDEX(properties!A$1:CB$87,'Fórmula'!D39,45)),IF(INDEX(properties!A$1:CB$87,'Fórmula'!F39,45)=0,10^6,INDEX(properties!A$1:CB$87,'Fórmula'!F39,45)),IF(INDEX(properties!A$1:CB$87,'Fórmula'!H39,45)=0,10^6,INDEX(properties!A$1:CB$87,'Fórmula'!H39,45)),IF(INDEX(properties!A$1:CB$87,'Fórmula'!J39,45)=0,10^6,INDEX(properties!A$1:CB$87,'Fórmula'!J39,45)))</f>
        <v>0.47</v>
      </c>
      <c r="EO39" s="112">
        <f t="shared" si="24"/>
        <v>3.22</v>
      </c>
      <c r="EP39" s="113">
        <f t="array" ref="EP39">(('Fórmula'!C39)/('Fórmula'!C39+'Fórmula'!E39+'Fórmula'!G39+'Fórmula'!I39+'Fórmula'!K39))*(INDEX(properties!A$1:CB$87,'Fórmula'!B39,46))+(('Fórmula'!E39)/('Fórmula'!C39+'Fórmula'!E39+'Fórmula'!G39+'Fórmula'!I39+'Fórmula'!K39))*(INDEX(properties!A$1:CB$87,'Fórmula'!D39,46))+(('Fórmula'!G39)/('Fórmula'!C39+'Fórmula'!E39+'Fórmula'!G39+'Fórmula'!I39+'Fórmula'!K39))*(INDEX(properties!A$1:CB$87,'Fórmula'!F39,46))+(('Fórmula'!I39)/('Fórmula'!C39+'Fórmula'!E39+'Fórmula'!G39+'Fórmula'!I39+'Fórmula'!K39))*(INDEX(properties!A$1:CB$87,'Fórmula'!H39,46))+(('Fórmula'!K39)/('Fórmula'!C39+'Fórmula'!E39+'Fórmula'!G39+'Fórmula'!I39+'Fórmula'!K39))*(INDEX(properties!A$1:CB$87,'Fórmula'!J39,46))</f>
        <v>1.141428571</v>
      </c>
      <c r="EQ39" s="113">
        <f t="array" ref="EQ39">'Fórmula'!C39*(INDEX(properties!A$1:CB$87,'Fórmula'!B39,46))+'Fórmula'!E39*(INDEX(properties!A$1:CB$87,'Fórmula'!D39,46))+'Fórmula'!G39*(INDEX(properties!A$1:CB$87,'Fórmula'!F39,46))+'Fórmula'!I39*(INDEX(properties!A$1:CB$87,'Fórmula'!H39,46))+'Fórmula'!K39*(INDEX(properties!A$1:CB$87,'Fórmula'!J39,46))</f>
        <v>7.99</v>
      </c>
      <c r="ER39" s="113">
        <f t="array" ref="ER39">VARP(IF(INDEX(properties!A$1:CB$87,'Fórmula'!B39,46)&lt;&gt;"",INDEX(properties!A$1:CB$87,'Fórmula'!B39,46)),IF(INDEX(properties!A$1:CB$87,'Fórmula'!D39,46)&lt;&gt;"",INDEX(properties!A$1:CB$87,'Fórmula'!D39,46)),IF(INDEX(properties!A$1:CB$87,'Fórmula'!F39,46)&lt;&gt;"",INDEX(properties!A$1:CB$87,'Fórmula'!F39,46)),IF(INDEX(properties!A$1:CB$87,'Fórmula'!H39,46)&lt;&gt;"",INDEX(properties!A$1:CB$87,'Fórmula'!H39,46)),IF(INDEX(properties!A$1:CB$87,'Fórmula'!J39,46)&lt;&gt;"",INDEX(properties!A$1:CB$87,'Fórmula'!J39,46)))</f>
        <v>0.362216</v>
      </c>
      <c r="ES39" s="124">
        <f t="array" ref="ES39">MAX(INDEX(properties!A$1:CB$87,'Fórmula'!B39,46),INDEX(properties!A$1:CB$87,'Fórmula'!D39,46),INDEX(properties!A$1:CB$87,'Fórmula'!F39,46),INDEX(properties!A$1:CB$87,'Fórmula'!H39,46),INDEX(properties!A$1:CB$87,'Fórmula'!J39,46))</f>
        <v>1.52</v>
      </c>
      <c r="ET39" s="124">
        <f t="array" ref="ET39">MIN(IF(INDEX(properties!A$1:CB$87,'Fórmula'!B39,46)=0,10^6,INDEX(properties!A$1:CB$87,'Fórmula'!B39,46)),IF(INDEX(properties!A$1:CB$87,'Fórmula'!D39,46)=0,10^6,INDEX(properties!A$1:CB$87,'Fórmula'!D39,46)),IF(INDEX(properties!A$1:CB$87,'Fórmula'!F39,46)=0,10^6,INDEX(properties!A$1:CB$87,'Fórmula'!F39,46)),IF(INDEX(properties!A$1:CB$87,'Fórmula'!H39,46)=0,10^6,INDEX(properties!A$1:CB$87,'Fórmula'!H39,46)),IF(INDEX(properties!A$1:CB$87,'Fórmula'!J39,46)=0,10^6,INDEX(properties!A$1:CB$87,'Fórmula'!J39,46)))</f>
        <v>0.31</v>
      </c>
      <c r="EU39" s="113">
        <f t="shared" si="25"/>
        <v>1.21</v>
      </c>
      <c r="EV39" s="114">
        <f t="array" ref="EV39">(('Fórmula'!C39)/('Fórmula'!C39+'Fórmula'!E39+'Fórmula'!G39+'Fórmula'!I39+'Fórmula'!K39))*(INDEX(properties!A$1:CB$87,'Fórmula'!B39,52))+(('Fórmula'!E39)/('Fórmula'!C39+'Fórmula'!E39+'Fórmula'!G39+'Fórmula'!I39+'Fórmula'!K39))*(INDEX(properties!A$1:CB$87,'Fórmula'!D39,52))+(('Fórmula'!G39)/('Fórmula'!C39+'Fórmula'!E39+'Fórmula'!G39+'Fórmula'!I39+'Fórmula'!K39))*(INDEX(properties!A$1:CB$87,'Fórmula'!F39,52))+(('Fórmula'!I39)/('Fórmula'!C39+'Fórmula'!E39+'Fórmula'!G39+'Fórmula'!I39+'Fórmula'!K39))*(INDEX(properties!A$1:CB$87,'Fórmula'!H39,52))+(('Fórmula'!K39)/('Fórmula'!C39+'Fórmula'!E39+'Fórmula'!G39+'Fórmula'!I39+'Fórmula'!K39))*(INDEX(properties!A$1:CB$87,'Fórmula'!J39,52))</f>
        <v>11.11028571</v>
      </c>
      <c r="EW39" s="114">
        <f t="array" ref="EW39">'Fórmula'!C39*(INDEX(properties!A$1:CB$87,'Fórmula'!B39,52))+'Fórmula'!E39*(INDEX(properties!A$1:CB$87,'Fórmula'!D39,52))+'Fórmula'!G39*(INDEX(properties!A$1:CB$87,'Fórmula'!F39,52))+'Fórmula'!I39*(INDEX(properties!A$1:CB$87,'Fórmula'!H39,52))+'Fórmula'!K39*(INDEX(properties!A$1:CB$87,'Fórmula'!J39,52))</f>
        <v>77.772</v>
      </c>
      <c r="EX39" s="114">
        <f t="array" ref="EX39">VARP(IF(INDEX(properties!A$1:CB$87,'Fórmula'!B39,52)&lt;&gt;"",INDEX(properties!A$1:CB$87,'Fórmula'!B39,52)),IF(INDEX(properties!A$1:CB$87,'Fórmula'!D39,52)&lt;&gt;"",INDEX(properties!A$1:CB$87,'Fórmula'!D39,52)),IF(INDEX(properties!A$1:CB$87,'Fórmula'!F39,52)&lt;&gt;"",INDEX(properties!A$1:CB$87,'Fórmula'!F39,52)),IF(INDEX(properties!A$1:CB$87,'Fórmula'!H39,52)&lt;&gt;"",INDEX(properties!A$1:CB$87,'Fórmula'!H39,52)),IF(INDEX(properties!A$1:CB$87,'Fórmula'!J39,52)&lt;&gt;"",INDEX(properties!A$1:CB$87,'Fórmula'!J39,52)))</f>
        <v>304.4175918</v>
      </c>
      <c r="EY39" s="114">
        <f t="array" ref="EY39">MAX(INDEX(properties!A$1:CB$87,'Fórmula'!B39,52),INDEX(properties!A$1:CB$87,'Fórmula'!D39,52),INDEX(properties!A$1:CB$87,'Fórmula'!F39,52),INDEX(properties!A$1:CB$87,'Fórmula'!H39,52),INDEX(properties!A$1:CB$87,'Fórmula'!J39,52))</f>
        <v>43.4</v>
      </c>
      <c r="EZ39" s="114">
        <f t="array" ref="EZ39">MIN(IF(INDEX(properties!A$1:CB$87,'Fórmula'!B39,52)=0,10^6,INDEX(properties!A$1:CB$87,'Fórmula'!B39,52)),IF(INDEX(properties!A$1:CB$87,'Fórmula'!D39,52)=0,10^6,INDEX(properties!A$1:CB$87,'Fórmula'!D39,52)),IF(INDEX(properties!A$1:CB$87,'Fórmula'!F39,52)=0,10^6,INDEX(properties!A$1:CB$87,'Fórmula'!F39,52)),IF(INDEX(properties!A$1:CB$87,'Fórmula'!H39,52)=0,10^6,INDEX(properties!A$1:CB$87,'Fórmula'!H39,52)),IF(INDEX(properties!A$1:CB$87,'Fórmula'!J39,52)=0,10^6,INDEX(properties!A$1:CB$87,'Fórmula'!J39,52)))</f>
        <v>0.793</v>
      </c>
      <c r="FA39" s="114">
        <f t="shared" si="26"/>
        <v>42.607</v>
      </c>
      <c r="FB39" s="115">
        <f t="array" ref="FB39">(('Fórmula'!C39)/('Fórmula'!C39+'Fórmula'!E39+'Fórmula'!G39+'Fórmula'!I39+'Fórmula'!K39))*(INDEX(properties!A$1:CB$87,'Fórmula'!B39,53))+(('Fórmula'!E39)/('Fórmula'!C39+'Fórmula'!E39+'Fórmula'!G39+'Fórmula'!I39+'Fórmula'!K39))*(INDEX(properties!A$1:CB$87,'Fórmula'!D39,53))+(('Fórmula'!G39)/('Fórmula'!C39+'Fórmula'!E39+'Fórmula'!G39+'Fórmula'!I39+'Fórmula'!K39))*(INDEX(properties!A$1:CB$87,'Fórmula'!F39,53))+(('Fórmula'!I39)/('Fórmula'!C39+'Fórmula'!E39+'Fórmula'!G39+'Fórmula'!I39+'Fórmula'!K39))*(INDEX(properties!A$1:CB$87,'Fórmula'!H39,53))+(('Fórmula'!K39)/('Fórmula'!C39+'Fórmula'!E39+'Fórmula'!G39+'Fórmula'!I39+'Fórmula'!K39))*(INDEX(properties!A$1:CB$87,'Fórmula'!J39,53))</f>
        <v>273.5428571</v>
      </c>
      <c r="FC39" s="115">
        <f t="array" ref="FC39">'Fórmula'!C39*(INDEX(properties!A$1:CB$87,'Fórmula'!B39,53))+'Fórmula'!E39*(INDEX(properties!A$1:CB$87,'Fórmula'!D39,53))+'Fórmula'!G39*(INDEX(properties!A$1:CB$87,'Fórmula'!F39,53))+'Fórmula'!I39*(INDEX(properties!A$1:CB$87,'Fórmula'!H39,53))+'Fórmula'!K39*(INDEX(properties!A$1:CB$87,'Fórmula'!J39,53))</f>
        <v>1914.8</v>
      </c>
      <c r="FD39" s="115">
        <f t="array" ref="FD39">VARP(IF(INDEX(properties!A$1:CB$87,'Fórmula'!B39,53)&lt;&gt;"",INDEX(properties!A$1:CB$87,'Fórmula'!B39,53)),IF(INDEX(properties!A$1:CB$87,'Fórmula'!D39,53)&lt;&gt;"",INDEX(properties!A$1:CB$87,'Fórmula'!D39,53)),IF(INDEX(properties!A$1:CB$87,'Fórmula'!F39,53)&lt;&gt;"",INDEX(properties!A$1:CB$87,'Fórmula'!F39,53)),IF(INDEX(properties!A$1:CB$87,'Fórmula'!H39,53)&lt;&gt;"",INDEX(properties!A$1:CB$87,'Fórmula'!H39,53)),IF(INDEX(properties!A$1:CB$87,'Fórmula'!J39,53)&lt;&gt;"",INDEX(properties!A$1:CB$87,'Fórmula'!J39,53)))</f>
        <v>138000.3294</v>
      </c>
      <c r="FE39" s="115">
        <f t="array" ref="FE39">MAX(INDEX(properties!A$1:CB$87,'Fórmula'!B39,53),INDEX(properties!A$1:CB$87,'Fórmula'!D39,53),INDEX(properties!A$1:CB$87,'Fórmula'!F39,53),INDEX(properties!A$1:CB$87,'Fórmula'!H39,53),INDEX(properties!A$1:CB$87,'Fórmula'!J39,53))</f>
        <v>1042.15</v>
      </c>
      <c r="FF39" s="115">
        <f t="array" ref="FF39">MIN(IF(INDEX(properties!A$1:CB$87,'Fórmula'!B39,53)=0,10^6,INDEX(properties!A$1:CB$87,'Fórmula'!B39,53)),IF(INDEX(properties!A$1:CB$87,'Fórmula'!D39,53)=0,10^6,INDEX(properties!A$1:CB$87,'Fórmula'!D39,53)),IF(INDEX(properties!A$1:CB$87,'Fórmula'!F39,53)=0,10^6,INDEX(properties!A$1:CB$87,'Fórmula'!F39,53)),IF(INDEX(properties!A$1:CB$87,'Fórmula'!H39,53)=0,10^6,INDEX(properties!A$1:CB$87,'Fórmula'!H39,53)),IF(INDEX(properties!A$1:CB$87,'Fórmula'!J39,53)=0,10^6,INDEX(properties!A$1:CB$87,'Fórmula'!J39,53)))</f>
        <v>54.75</v>
      </c>
      <c r="FG39" s="115">
        <f t="shared" si="27"/>
        <v>987.4</v>
      </c>
      <c r="FH39" s="117">
        <f t="array" ref="FH39">(('Fórmula'!C39)/('Fórmula'!C39+'Fórmula'!E39+'Fórmula'!G39+'Fórmula'!I39+'Fórmula'!K39))*(INDEX(properties!A$1:CB$87,'Fórmula'!B39,54))+(('Fórmula'!E39)/('Fórmula'!C39+'Fórmula'!E39+'Fórmula'!G39+'Fórmula'!I39+'Fórmula'!K39))*(INDEX(properties!A$1:CB$87,'Fórmula'!D39,54))+(('Fórmula'!G39)/('Fórmula'!C39+'Fórmula'!E39+'Fórmula'!G39+'Fórmula'!I39+'Fórmula'!K39))*(INDEX(properties!A$1:CB$87,'Fórmula'!F39,54))+(('Fórmula'!I39)/('Fórmula'!C39+'Fórmula'!E39+'Fórmula'!G39+'Fórmula'!I39+'Fórmula'!K39))*(INDEX(properties!A$1:CB$87,'Fórmula'!H39,54))+(('Fórmula'!K39)/('Fórmula'!C39+'Fórmula'!E39+'Fórmula'!G39+'Fórmula'!I39+'Fórmula'!K39))*(INDEX(properties!A$1:CB$87,'Fórmula'!J39,54))</f>
        <v>514.8642857</v>
      </c>
      <c r="FI39" s="117">
        <f t="array" ref="FI39">'Fórmula'!C39*(INDEX(properties!A$1:CB$87,'Fórmula'!B39,54))+'Fórmula'!E39*(INDEX(properties!A$1:CB$87,'Fórmula'!D39,54))+'Fórmula'!G39*(INDEX(properties!A$1:CB$87,'Fórmula'!F39,54))+'Fórmula'!I39*(INDEX(properties!A$1:CB$87,'Fórmula'!H39,54))+'Fórmula'!K39*(INDEX(properties!A$1:CB$87,'Fórmula'!J39,54))</f>
        <v>3604.05</v>
      </c>
      <c r="FJ39" s="117">
        <f t="array" ref="FJ39">VARP(IF(INDEX(properties!A$1:CB$87,'Fórmula'!B39,54)&lt;&gt;"",INDEX(properties!A$1:CB$87,'Fórmula'!B39,54)),IF(INDEX(properties!A$1:CB$87,'Fórmula'!D39,54)&lt;&gt;"",INDEX(properties!A$1:CB$87,'Fórmula'!D39,54)),IF(INDEX(properties!A$1:CB$87,'Fórmula'!F39,54)&lt;&gt;"",INDEX(properties!A$1:CB$87,'Fórmula'!F39,54)),IF(INDEX(properties!A$1:CB$87,'Fórmula'!H39,54)&lt;&gt;"",INDEX(properties!A$1:CB$87,'Fórmula'!H39,54)),IF(INDEX(properties!A$1:CB$87,'Fórmula'!J39,54)&lt;&gt;"",INDEX(properties!A$1:CB$87,'Fórmula'!J39,54)))</f>
        <v>381013.8396</v>
      </c>
      <c r="FK39" s="117">
        <f t="array" ref="FK39">MAX(INDEX(properties!A$1:CB$87,'Fórmula'!B39,54),INDEX(properties!A$1:CB$87,'Fórmula'!D39,54),INDEX(properties!A$1:CB$87,'Fórmula'!F39,54),INDEX(properties!A$1:CB$87,'Fórmula'!H39,54),INDEX(properties!A$1:CB$87,'Fórmula'!J39,54))</f>
        <v>1657.15</v>
      </c>
      <c r="FL39" s="117">
        <f t="array" ref="FL39">MIN(IF(INDEX(properties!A$1:CB$87,'Fórmula'!B39,54)=0,10^6,INDEX(properties!A$1:CB$87,'Fórmula'!B39,54)),IF(INDEX(properties!A$1:CB$87,'Fórmula'!D39,54)=0,10^6,INDEX(properties!A$1:CB$87,'Fórmula'!D39,54)),IF(INDEX(properties!A$1:CB$87,'Fórmula'!F39,54)=0,10^6,INDEX(properties!A$1:CB$87,'Fórmula'!F39,54)),IF(INDEX(properties!A$1:CB$87,'Fórmula'!H39,54)=0,10^6,INDEX(properties!A$1:CB$87,'Fórmula'!H39,54)),IF(INDEX(properties!A$1:CB$87,'Fórmula'!J39,54)=0,10^6,INDEX(properties!A$1:CB$87,'Fórmula'!J39,54)))</f>
        <v>90.15</v>
      </c>
      <c r="FM39" s="117">
        <f t="shared" si="28"/>
        <v>1567</v>
      </c>
      <c r="FN39" s="118">
        <f t="array" ref="FN39">(('Fórmula'!C39)/('Fórmula'!C39+'Fórmula'!E39+'Fórmula'!G39+'Fórmula'!I39+'Fórmula'!K39))*(INDEX(properties!A$1:CB$87,'Fórmula'!B39,55))+(('Fórmula'!E39)/('Fórmula'!C39+'Fórmula'!E39+'Fórmula'!G39+'Fórmula'!I39+'Fórmula'!K39))*(INDEX(properties!A$1:CB$87,'Fórmula'!D39,55))+(('Fórmula'!G39)/('Fórmula'!C39+'Fórmula'!E39+'Fórmula'!G39+'Fórmula'!I39+'Fórmula'!K39))*(INDEX(properties!A$1:CB$87,'Fórmula'!F39,55))+(('Fórmula'!I39)/('Fórmula'!C39+'Fórmula'!E39+'Fórmula'!G39+'Fórmula'!I39+'Fórmula'!K39))*(INDEX(properties!A$1:CB$87,'Fórmula'!H39,55))+(('Fórmula'!K39)/('Fórmula'!C39+'Fórmula'!E39+'Fórmula'!G39+'Fórmula'!I39+'Fórmula'!K39))*(INDEX(properties!A$1:CB$87,'Fórmula'!J39,55))</f>
        <v>0.7593885714</v>
      </c>
      <c r="FO39" s="118">
        <f t="array" ref="FO39">'Fórmula'!C39*(INDEX(properties!A$1:CB$87,'Fórmula'!B39,55))+'Fórmula'!E39*(INDEX(properties!A$1:CB$87,'Fórmula'!D39,54))+'Fórmula'!G39*(INDEX(properties!A$1:CB$87,'Fórmula'!F39,55))+'Fórmula'!I39*(INDEX(properties!A$1:CB$87,'Fórmula'!H39,55))+'Fórmula'!K39*(INDEX(properties!A$1:CB$87,'Fórmula'!J39,55))</f>
        <v>1659.83572</v>
      </c>
      <c r="FP39" s="118">
        <f t="array" ref="FP39">VARP(IF(INDEX(properties!A$1:CB$87,'Fórmula'!B39,55)&lt;&gt;"",INDEX(properties!A$1:CB$87,'Fórmula'!B39,55)),IF(INDEX(properties!A$1:CB$87,'Fórmula'!D39,55)&lt;&gt;"",INDEX(properties!A$1:CB$87,'Fórmula'!D39,55)),IF(INDEX(properties!A$1:CB$87,'Fórmula'!F39,55)&lt;&gt;"",INDEX(properties!A$1:CB$87,'Fórmula'!F39,55)),IF(INDEX(properties!A$1:CB$87,'Fórmula'!H39,55)&lt;&gt;"",INDEX(properties!A$1:CB$87,'Fórmula'!H39,55)),IF(INDEX(properties!A$1:CB$87,'Fórmula'!J39,55)&lt;&gt;"",INDEX(properties!A$1:CB$87,'Fórmula'!J39,55)))</f>
        <v>1.065328863</v>
      </c>
      <c r="FQ39" s="118">
        <f t="array" ref="FQ39">MAX(INDEX(properties!A$1:CB$87,'Fórmula'!B39,55),INDEX(properties!A$1:CB$87,'Fórmula'!D39,55),INDEX(properties!A$1:CB$87,'Fórmula'!F39,55),INDEX(properties!A$1:CB$87,'Fórmula'!H39,55),INDEX(properties!A$1:CB$87,'Fórmula'!J39,55))</f>
        <v>2.63</v>
      </c>
      <c r="FR39" s="118">
        <f t="array" ref="FR39">MIN(IF(INDEX(properties!A$1:CB$87,'Fórmula'!B39,55)=0,10^6,INDEX(properties!A$1:CB$87,'Fórmula'!B39,55)),IF(INDEX(properties!A$1:CB$87,'Fórmula'!D39,55)=0,10^6,INDEX(properties!A$1:CB$87,'Fórmula'!D39,55)),IF(INDEX(properties!A$1:CB$87,'Fórmula'!F39,55)=0,10^6,INDEX(properties!A$1:CB$87,'Fórmula'!F39,55)),IF(INDEX(properties!A$1:CB$87,'Fórmula'!H39,55)=0,10^6,INDEX(properties!A$1:CB$87,'Fórmula'!H39,55)),IF(INDEX(properties!A$1:CB$87,'Fórmula'!J39,55)=0,10^6,INDEX(properties!A$1:CB$87,'Fórmula'!J39,55)))</f>
        <v>0.00143</v>
      </c>
      <c r="FS39" s="118">
        <f t="shared" si="29"/>
        <v>2.62857</v>
      </c>
      <c r="FT39" s="119">
        <f t="array" ref="FT39">(('Fórmula'!C39)/('Fórmula'!C39+'Fórmula'!E39+'Fórmula'!G39+'Fórmula'!I39+'Fórmula'!K39))*(INDEX(properties!A$1:CB$87,'Fórmula'!B39,56))+(('Fórmula'!E39)/('Fórmula'!C39+'Fórmula'!E39+'Fórmula'!G39+'Fórmula'!I39+'Fórmula'!K39))*(INDEX(properties!A$1:CB$87,'Fórmula'!D39,56))+(('Fórmula'!G39)/('Fórmula'!C39+'Fórmula'!E39+'Fórmula'!G39+'Fórmula'!I39+'Fórmula'!K39))*(INDEX(properties!A$1:CB$87,'Fórmula'!F39,56))+(('Fórmula'!I39)/('Fórmula'!C39+'Fórmula'!E39+'Fórmula'!G39+'Fórmula'!I39+'Fórmula'!K39))*(INDEX(properties!A$1:CB$87,'Fórmula'!H39,56))+(('Fórmula'!K39)/('Fórmula'!C39+'Fórmula'!E39+'Fórmula'!G39+'Fórmula'!I39+'Fórmula'!K39))*(INDEX(properties!A$1:CB$87,'Fórmula'!J39,56))</f>
        <v>0.7857142857</v>
      </c>
      <c r="FU39" s="119">
        <f t="array" ref="FU39">'Fórmula'!C39*(INDEX(properties!A$1:CB$87,'Fórmula'!B39,56))+'Fórmula'!E39*(INDEX(properties!A$1:CB$87,'Fórmula'!D39,56))+'Fórmula'!G39*(INDEX(properties!A$1:CB$87,'Fórmula'!F39,56))+'Fórmula'!I39*(INDEX(properties!A$1:CB$87,'Fórmula'!H39,56))+'Fórmula'!K39*(INDEX(properties!A$1:CB$87,'Fórmula'!J39,56))</f>
        <v>5.5</v>
      </c>
      <c r="FV39" s="119">
        <f t="array" ref="FV39">VARP(IF(INDEX(properties!A$1:CB$87,'Fórmula'!B39,56)&lt;&gt;"",INDEX(properties!A$1:CB$87,'Fórmula'!B39,56)),IF(INDEX(properties!A$1:CB$87,'Fórmula'!D39,56)&lt;&gt;"",INDEX(properties!A$1:CB$87,'Fórmula'!D39,56)),IF(INDEX(properties!A$1:CB$87,'Fórmula'!F39,56)&lt;&gt;"",INDEX(properties!A$1:CB$87,'Fórmula'!F39,56)),IF(INDEX(properties!A$1:CB$87,'Fórmula'!H39,56)&lt;&gt;"",INDEX(properties!A$1:CB$87,'Fórmula'!H39,56)),IF(INDEX(properties!A$1:CB$87,'Fórmula'!J39,56)&lt;&gt;"",INDEX(properties!A$1:CB$87,'Fórmula'!J39,56)))</f>
        <v>0.118056</v>
      </c>
      <c r="FW39" s="119">
        <f t="array" ref="FW39">MAX(INDEX(properties!A$1:CB$87,'Fórmula'!B39,56),INDEX(properties!A$1:CB$87,'Fórmula'!D39,56),INDEX(properties!A$1:CB$87,'Fórmula'!F39,56),INDEX(properties!A$1:CB$87,'Fórmula'!H39,56),INDEX(properties!A$1:CB$87,'Fórmula'!J39,56))</f>
        <v>0.92</v>
      </c>
      <c r="FX39" s="119">
        <f t="array" ref="FX39">MIN(IF(INDEX(properties!A$1:CB$87,'Fórmula'!B39,56)=0,10^6,INDEX(properties!A$1:CB$87,'Fórmula'!B39,56)),IF(INDEX(properties!A$1:CB$87,'Fórmula'!D39,56)=0,10^6,INDEX(properties!A$1:CB$87,'Fórmula'!D39,56)),IF(INDEX(properties!A$1:CB$87,'Fórmula'!F39,56)=0,10^6,INDEX(properties!A$1:CB$87,'Fórmula'!F39,56)),IF(INDEX(properties!A$1:CB$87,'Fórmula'!H39,56)=0,10^6,INDEX(properties!A$1:CB$87,'Fórmula'!H39,56)),IF(INDEX(properties!A$1:CB$87,'Fórmula'!J39,56)=0,10^6,INDEX(properties!A$1:CB$87,'Fórmula'!J39,56)))</f>
        <v>0.3</v>
      </c>
      <c r="FY39" s="119">
        <f t="shared" si="30"/>
        <v>0.62</v>
      </c>
      <c r="FZ39" s="104">
        <f t="array" ref="FZ39">(('Fórmula'!C39)/('Fórmula'!C39+'Fórmula'!E39+'Fórmula'!G39+'Fórmula'!I39+'Fórmula'!K39))*(INDEX(properties!A$1:CB$87,'Fórmula'!B39,57))+(('Fórmula'!E39)/('Fórmula'!C39+'Fórmula'!E39+'Fórmula'!G39+'Fórmula'!I39+'Fórmula'!K39))*(INDEX(properties!A$1:CB$87,'Fórmula'!D39,57))+(('Fórmula'!G39)/('Fórmula'!C39+'Fórmula'!E39+'Fórmula'!G39+'Fórmula'!I39+'Fórmula'!K39))*(INDEX(properties!A$1:CB$87,'Fórmula'!F39,57))+(('Fórmula'!I39)/('Fórmula'!C39+'Fórmula'!E39+'Fórmula'!G39+'Fórmula'!I39+'Fórmula'!K39))*(INDEX(properties!A$1:CB$87,'Fórmula'!H39,57))+(('Fórmula'!K39)/('Fórmula'!C39+'Fórmula'!E39+'Fórmula'!G39+'Fórmula'!I39+'Fórmula'!K39))*(INDEX(properties!A$1:CB$87,'Fórmula'!J39,57))</f>
        <v>1.740194286</v>
      </c>
      <c r="GA39" s="104">
        <f t="array" ref="GA39">'Fórmula'!C39*(INDEX(properties!A$1:CB$87,'Fórmula'!B39,57))+'Fórmula'!E39*(INDEX(properties!A$1:CB$87,'Fórmula'!D39,57))+'Fórmula'!G39*(INDEX(properties!A$1:CB$87,'Fórmula'!F39,57))+'Fórmula'!I39*(INDEX(properties!A$1:CB$87,'Fórmula'!H39,57))+'Fórmula'!K39*(INDEX(properties!A$1:CB$87,'Fórmula'!J39,57))</f>
        <v>12.18136</v>
      </c>
      <c r="GB39" s="104">
        <f t="array" ref="GB39">VARP(IF(INDEX(properties!A$1:CB$87,'Fórmula'!B39,57)&lt;&gt;"",INDEX(properties!A$1:CB$87,'Fórmula'!B39,57)),IF(INDEX(properties!A$1:CB$87,'Fórmula'!D39,57)&lt;&gt;"",INDEX(properties!A$1:CB$87,'Fórmula'!D39,57)),IF(INDEX(properties!A$1:CB$87,'Fórmula'!F39,57)&lt;&gt;"",INDEX(properties!A$1:CB$87,'Fórmula'!F39,57)),IF(INDEX(properties!A$1:CB$87,'Fórmula'!H39,57)&lt;&gt;"",INDEX(properties!A$1:CB$87,'Fórmula'!H39,57)),IF(INDEX(properties!A$1:CB$87,'Fórmula'!J39,57)&lt;&gt;"",INDEX(properties!A$1:CB$87,'Fórmula'!J39,57)))</f>
        <v>9.661240074</v>
      </c>
      <c r="GC39" s="104">
        <f t="array" ref="GC39">MAX(INDEX(properties!A$1:CB$87,'Fórmula'!B39,57),INDEX(properties!A$1:CB$87,'Fórmula'!D39,57),INDEX(properties!A$1:CB$87,'Fórmula'!F39,57),INDEX(properties!A$1:CB$87,'Fórmula'!H39,57),INDEX(properties!A$1:CB$87,'Fórmula'!J39,57))</f>
        <v>8.3</v>
      </c>
      <c r="GD39" s="104">
        <f t="array" ref="GD39">MIN(IF(INDEX(properties!A$1:CB$87,'Fórmula'!B39,57)=0,10^6,INDEX(properties!A$1:CB$87,'Fórmula'!B39,57)),IF(INDEX(properties!A$1:CB$87,'Fórmula'!D39,57)=0,10^6,INDEX(properties!A$1:CB$87,'Fórmula'!D39,57)),IF(INDEX(properties!A$1:CB$87,'Fórmula'!F39,57)=0,10^6,INDEX(properties!A$1:CB$87,'Fórmula'!F39,57)),IF(INDEX(properties!A$1:CB$87,'Fórmula'!H39,57)=0,10^6,INDEX(properties!A$1:CB$87,'Fórmula'!H39,57)),IF(INDEX(properties!A$1:CB$87,'Fórmula'!J39,57)=0,10^6,INDEX(properties!A$1:CB$87,'Fórmula'!J39,57)))</f>
        <v>0.22259</v>
      </c>
      <c r="GE39" s="104">
        <f t="shared" si="31"/>
        <v>8.07741</v>
      </c>
      <c r="GF39" s="105">
        <f t="array" ref="GF39">(('Fórmula'!C39)/('Fórmula'!C39+'Fórmula'!E39+'Fórmula'!G39+'Fórmula'!I39+'Fórmula'!K39))*(INDEX(properties!A$1:CB$87,'Fórmula'!B39,60))+(('Fórmula'!E39)/('Fórmula'!C39+'Fórmula'!E39+'Fórmula'!G39+'Fórmula'!I39+'Fórmula'!K39))*(INDEX(properties!A$1:CB$87,'Fórmula'!D39,60))+(('Fórmula'!G39)/('Fórmula'!C39+'Fórmula'!E39+'Fórmula'!G39+'Fórmula'!I39+'Fórmula'!K39))*(INDEX(properties!A$1:CB$87,'Fórmula'!F39,60))+(('Fórmula'!I39)/('Fórmula'!C39+'Fórmula'!E39+'Fórmula'!G39+'Fórmula'!I39+'Fórmula'!K39))*(INDEX(properties!A$1:CB$87,'Fórmula'!H39,60))+(('Fórmula'!K39)/('Fórmula'!C39+'Fórmula'!E39+'Fórmula'!G39+'Fórmula'!I39+'Fórmula'!K39))*(INDEX(properties!A$1:CB$87,'Fórmula'!J39,60))</f>
        <v>19.72028</v>
      </c>
      <c r="GG39" s="105">
        <f t="array" ref="GG39">'Fórmula'!C39*(INDEX(properties!A$1:CB$87,'Fórmula'!B39,60))+'Fórmula'!E39*(INDEX(properties!A$1:CB$87,'Fórmula'!D39,60))+'Fórmula'!G39*(INDEX(properties!A$1:CB$87,'Fórmula'!F39,60))+'Fórmula'!I39*(INDEX(properties!A$1:CB$87,'Fórmula'!H39,60))+'Fórmula'!K39*(INDEX(properties!A$1:CB$87,'Fórmula'!J39,60))</f>
        <v>138.04196</v>
      </c>
      <c r="GH39" s="105">
        <f t="array" ref="GH39">VARP(IF(INDEX(properties!A$1:CB$87,'Fórmula'!B39,60)&lt;&gt;"",INDEX(properties!A$1:CB$87,'Fórmula'!B39,60)),IF(INDEX(properties!A$1:CB$87,'Fórmula'!D39,60)&lt;&gt;"",INDEX(properties!A$1:CB$87,'Fórmula'!D39,60)),IF(INDEX(properties!A$1:CB$87,'Fórmula'!F39,60)&lt;&gt;"",INDEX(properties!A$1:CB$87,'Fórmula'!F39,60)),IF(INDEX(properties!A$1:CB$87,'Fórmula'!H39,60)&lt;&gt;"",INDEX(properties!A$1:CB$87,'Fórmula'!H39,60)),IF(INDEX(properties!A$1:CB$87,'Fórmula'!J39,60)&lt;&gt;"",INDEX(properties!A$1:CB$87,'Fórmula'!J39,60)))</f>
        <v>1585.04352</v>
      </c>
      <c r="GI39" s="105">
        <f t="array" ref="GI39">MAX(INDEX(properties!A$1:CB$87,'Fórmula'!B39,60),INDEX(properties!A$1:CB$87,'Fórmula'!D39,60),INDEX(properties!A$1:CB$87,'Fórmula'!F39,60),INDEX(properties!A$1:CB$87,'Fórmula'!H39,60),INDEX(properties!A$1:CB$87,'Fórmula'!J39,60))</f>
        <v>102.4</v>
      </c>
      <c r="GJ39" s="105">
        <f t="array" ref="GJ39">MIN(IF(INDEX(properties!A$1:CB$87,'Fórmula'!B39,60)=0,10^6,INDEX(properties!A$1:CB$87,'Fórmula'!B39,60)),IF(INDEX(properties!A$1:CB$87,'Fórmula'!D39,60)=0,10^6,INDEX(properties!A$1:CB$87,'Fórmula'!D39,60)),IF(INDEX(properties!A$1:CB$87,'Fórmula'!F39,60)=0,10^6,INDEX(properties!A$1:CB$87,'Fórmula'!F39,60)),IF(INDEX(properties!A$1:CB$87,'Fórmula'!H39,60)=0,10^6,INDEX(properties!A$1:CB$87,'Fórmula'!H39,60)),IF(INDEX(properties!A$1:CB$87,'Fórmula'!J39,60)=0,10^6,INDEX(properties!A$1:CB$87,'Fórmula'!J39,60)))</f>
        <v>0.02674</v>
      </c>
      <c r="GK39" s="105">
        <f t="shared" si="32"/>
        <v>102.37326</v>
      </c>
      <c r="GL39" s="106">
        <f t="array" ref="GL39">(('Fórmula'!C39)/('Fórmula'!C39+'Fórmula'!E39+'Fórmula'!G39+'Fórmula'!I39+'Fórmula'!K39))*(INDEX(properties!A$1:CB$87,'Fórmula'!B39,62))+(('Fórmula'!E39)/('Fórmula'!C39+'Fórmula'!E39+'Fórmula'!G39+'Fórmula'!I39+'Fórmula'!K39))*(INDEX(properties!A$1:CB$87,'Fórmula'!D39,62))+(('Fórmula'!G39)/('Fórmula'!C39+'Fórmula'!E39+'Fórmula'!G39+'Fórmula'!I39+'Fórmula'!K39))*(INDEX(properties!A$1:CB$87,'Fórmula'!F39,62))+(('Fórmula'!I39)/('Fórmula'!C39+'Fórmula'!E39+'Fórmula'!G39+'Fórmula'!I39+'Fórmula'!K39))*(INDEX(properties!A$1:CB$87,'Fórmula'!H39,62))+(('Fórmula'!K39)/('Fórmula'!C39+'Fórmula'!E39+'Fórmula'!G39+'Fórmula'!I39+'Fórmula'!K39))*(INDEX(properties!A$1:CB$87,'Fórmula'!J39,62))</f>
        <v>2.366285714</v>
      </c>
      <c r="GM39" s="106">
        <f t="array" ref="GM39">'Fórmula'!C39*(INDEX(properties!A$1:CB$87,'Fórmula'!B39,62))+'Fórmula'!E39*(INDEX(properties!A$1:CB$87,'Fórmula'!D39,62))+'Fórmula'!G39*(INDEX(properties!A$1:CB$87,'Fórmula'!F39,62))+'Fórmula'!I39*(INDEX(properties!A$1:CB$87,'Fórmula'!H39,62))+'Fórmula'!K39*(INDEX(properties!A$1:CB$87,'Fórmula'!J39,62))</f>
        <v>16.564</v>
      </c>
      <c r="GN39" s="106">
        <f t="array" ref="GN39">VARP(IF(INDEX(properties!A$1:CB$87,'Fórmula'!B39,62)&lt;&gt;"",INDEX(properties!A$1:CB$87,'Fórmula'!B39,62)),IF(INDEX(properties!A$1:CB$87,'Fórmula'!D39,62)&lt;&gt;"",INDEX(properties!A$1:CB$87,'Fórmula'!D39,62)),IF(INDEX(properties!A$1:CB$87,'Fórmula'!F39,62)&lt;&gt;"",INDEX(properties!A$1:CB$87,'Fórmula'!F39,62)),IF(INDEX(properties!A$1:CB$87,'Fórmula'!H39,62)&lt;&gt;"",INDEX(properties!A$1:CB$87,'Fórmula'!H39,62)),IF(INDEX(properties!A$1:CB$87,'Fórmula'!J39,62)&lt;&gt;"",INDEX(properties!A$1:CB$87,'Fórmula'!J39,62)))</f>
        <v>1.46162656</v>
      </c>
      <c r="GO39" s="106">
        <f t="array" ref="GO39">MAX(INDEX(properties!A$1:CB$87,'Fórmula'!B39,62),INDEX(properties!A$1:CB$87,'Fórmula'!D39,62),INDEX(properties!A$1:CB$87,'Fórmula'!F39,62),INDEX(properties!A$1:CB$87,'Fórmula'!H39,62),INDEX(properties!A$1:CB$87,'Fórmula'!J39,62))</f>
        <v>3.43</v>
      </c>
      <c r="GP39" s="106">
        <f t="array" ref="GP39">MIN(IF(INDEX(properties!A$1:CB$87,'Fórmula'!B39,62)=0,10^6,INDEX(properties!A$1:CB$87,'Fórmula'!B39,62)),IF(INDEX(properties!A$1:CB$87,'Fórmula'!D39,62)=0,10^6,INDEX(properties!A$1:CB$87,'Fórmula'!D39,62)),IF(INDEX(properties!A$1:CB$87,'Fórmula'!F39,62)=0,10^6,INDEX(properties!A$1:CB$87,'Fórmula'!F39,62)),IF(INDEX(properties!A$1:CB$87,'Fórmula'!H39,62)=0,10^6,INDEX(properties!A$1:CB$87,'Fórmula'!H39,62)),IF(INDEX(properties!A$1:CB$87,'Fórmula'!J39,62)=0,10^6,INDEX(properties!A$1:CB$87,'Fórmula'!J39,62)))</f>
        <v>0.934</v>
      </c>
      <c r="GQ39" s="106">
        <f t="shared" si="33"/>
        <v>2.496</v>
      </c>
      <c r="GR39" s="106">
        <f>'Fórmula'!Q39</f>
        <v>62</v>
      </c>
      <c r="GS39" s="107">
        <f>'Fórmula'!P39</f>
        <v>3</v>
      </c>
      <c r="GT39" s="113">
        <f>'Fórmula'!O39</f>
        <v>3.74</v>
      </c>
      <c r="GU39" s="114">
        <f>AVERAGE('Fórmula'!R39/'Fórmula'!S39,'Fórmula'!S39/'Fórmula'!T39,'Fórmula'!T39/'Fórmula'!R39)</f>
        <v>1.07009727</v>
      </c>
      <c r="GV39" s="125">
        <f>'Fórmula'!U39</f>
        <v>394.21</v>
      </c>
      <c r="GW39" s="106">
        <f>'Fórmula'!N39</f>
        <v>0.06</v>
      </c>
    </row>
    <row r="40" ht="14.25" customHeight="1">
      <c r="A40" s="99" t="str">
        <f>'Fórmula'!A40</f>
        <v>Sr2ZnSi2O7</v>
      </c>
      <c r="B40" s="100">
        <f t="array" ref="B40">(('Fórmula'!C40)/('Fórmula'!C40+'Fórmula'!E40+'Fórmula'!G40+'Fórmula'!I40+'Fórmula'!K40))*(INDEX(properties!A$1:CB$87,'Fórmula'!B40,3))+(('Fórmula'!E40)/('Fórmula'!C40+'Fórmula'!E40+'Fórmula'!G40+'Fórmula'!I40+'Fórmula'!K40))*(INDEX(properties!A$1:CB$87,'Fórmula'!D40,3))+(('Fórmula'!G40)/('Fórmula'!C40+'Fórmula'!E40+'Fórmula'!G40+'Fórmula'!I40+'Fórmula'!K40))*(INDEX(properties!A$1:CB$87,'Fórmula'!F40,3))+(('Fórmula'!I40)/('Fórmula'!C40+'Fórmula'!E40+'Fórmula'!G40+'Fórmula'!I40+'Fórmula'!K40))*(INDEX(properties!A$1:CB$87,'Fórmula'!H40,3))+(('Fórmula'!K40)/('Fórmula'!C40+'Fórmula'!E40+'Fórmula'!G40+'Fórmula'!I40+'Fórmula'!K40))*(INDEX(properties!A$1:CB$87,'Fórmula'!J40,3))</f>
        <v>34.06556667</v>
      </c>
      <c r="C40" s="101">
        <f t="array" ref="C40">'Fórmula'!C40*(INDEX(properties!A$1:CB$87,'Fórmula'!B40,3))+'Fórmula'!E40*(INDEX(properties!A$1:CB$87,'Fórmula'!D40,3))+'Fórmula'!G40*(INDEX(properties!A$1:CB$87,'Fórmula'!F40,3))+'Fórmula'!I40*(INDEX(properties!A$1:CB$87,'Fórmula'!H40,3))+'Fórmula'!K40*(INDEX(properties!A$1:CB$87,'Fórmula'!J40,3))</f>
        <v>408.7868</v>
      </c>
      <c r="D40" s="101">
        <f t="array" ref="D40">VARP(IF(INDEX(properties!A$1:CB$87,'Fórmula'!B40,3)&lt;&gt;"",INDEX(properties!A$1:CB$87,'Fórmula'!B40,3)),IF(INDEX(properties!A$1:CB$87,'Fórmula'!D40,3)&lt;&gt;"",INDEX(properties!A$1:CB$87,'Fórmula'!D40,3)),IF(INDEX(properties!A$1:CB$87,'Fórmula'!F40,3)&lt;&gt;"",INDEX(properties!A$1:CB$87,'Fórmula'!F40,3)),IF(INDEX(properties!A$1:CB$87,'Fórmula'!H40,3)&lt;&gt;"",INDEX(properties!A$1:CB$87,'Fórmula'!H40,3)),IF(INDEX(properties!A$1:CB$87,'Fórmula'!J40,3)&lt;&gt;"",INDEX(properties!A$1:CB$87,'Fórmula'!J40,3)))</f>
        <v>1045.61867</v>
      </c>
      <c r="E40" s="101">
        <f t="array" ref="E40">MAX(INDEX(properties!A$1:CB$87,'Fórmula'!B40,3),INDEX(properties!A$1:CB$87,'Fórmula'!D40,3),INDEX(properties!A$1:CB$87,'Fórmula'!F40,3),INDEX(properties!A$1:CB$87,'Fórmula'!H40,3),INDEX(properties!A$1:CB$87,'Fórmula'!J40,3))</f>
        <v>87.62</v>
      </c>
      <c r="F40" s="101">
        <f t="array" ref="F40">MIN(IF(INDEX(properties!A$1:CB$87,'Fórmula'!B40,3)=0,10^6,INDEX(properties!A$1:CB$87,'Fórmula'!B40,3)),IF(INDEX(properties!A$1:CB$87,'Fórmula'!D40,3)=0,10^6,INDEX(properties!A$1:CB$87,'Fórmula'!D40,3)),IF(INDEX(properties!A$1:CB$87,'Fórmula'!F40,3)=0,10^6,INDEX(properties!A$1:CB$87,'Fórmula'!F40,3)),IF(INDEX(properties!A$1:CB$87,'Fórmula'!H40,3)=0,10^6,INDEX(properties!A$1:CB$87,'Fórmula'!H40,3)),IF(INDEX(properties!A$1:CB$87,'Fórmula'!J40,3)=0,10^6,INDEX(properties!A$1:CB$87,'Fórmula'!J40,3)))</f>
        <v>15.9994</v>
      </c>
      <c r="G40" s="101">
        <f t="shared" si="1"/>
        <v>71.6206</v>
      </c>
      <c r="H40" s="102">
        <f t="array" ref="H40">(('Fórmula'!C40)/('Fórmula'!C40+'Fórmula'!E40+'Fórmula'!G40+'Fórmula'!I40+'Fórmula'!K40))*(INDEX(properties!A$1:CB$87,'Fórmula'!B40,4))+(('Fórmula'!E40)/('Fórmula'!C40+'Fórmula'!E40+'Fórmula'!G40+'Fórmula'!I40+'Fórmula'!K40))*(INDEX(properties!A$1:CB$87,'Fórmula'!D40,4))+(('Fórmula'!G40)/('Fórmula'!C40+'Fórmula'!E40+'Fórmula'!G40+'Fórmula'!I40+'Fórmula'!K40))*(INDEX(properties!A$1:CB$87,'Fórmula'!F40,4))+(('Fórmula'!I40)/('Fórmula'!C40+'Fórmula'!E40+'Fórmula'!G40+'Fórmula'!I40+'Fórmula'!K40))*(INDEX(properties!A$1:CB$87,'Fórmula'!H40,4))+(('Fórmula'!K40)/('Fórmula'!C40+'Fórmula'!E40+'Fórmula'!G40+'Fórmula'!I40+'Fórmula'!K40))*(INDEX(properties!A$1:CB$87,'Fórmula'!J40,4))</f>
        <v>15.83333333</v>
      </c>
      <c r="I40" s="102">
        <f t="array" ref="I40">'Fórmula'!C40*(INDEX(properties!A$1:CB$87,'Fórmula'!B40,4))+'Fórmula'!E40*(INDEX(properties!A$1:CB$87,'Fórmula'!D40,4))+'Fórmula'!G40*(INDEX(properties!A$1:CB$87,'Fórmula'!F40,4))+'Fórmula'!I40*(INDEX(properties!A$1:CB$87,'Fórmula'!H40,4))+'Fórmula'!K40*(INDEX(properties!A$1:CB$87,'Fórmula'!J40,4))</f>
        <v>190</v>
      </c>
      <c r="J40" s="102">
        <f t="array" ref="J40">VARP(IF(INDEX(properties!A$1:CB$87,'Fórmula'!B40,4)&lt;&gt;"",INDEX(properties!A$1:CB$87,'Fórmula'!B40,4)),IF(INDEX(properties!A$1:CB$87,'Fórmula'!D40,4)&lt;&gt;"",INDEX(properties!A$1:CB$87,'Fórmula'!D40,4)),IF(INDEX(properties!A$1:CB$87,'Fórmula'!F40,4)&lt;&gt;"",INDEX(properties!A$1:CB$87,'Fórmula'!F40,4)),IF(INDEX(properties!A$1:CB$87,'Fórmula'!H40,4)&lt;&gt;"",INDEX(properties!A$1:CB$87,'Fórmula'!H40,4)),IF(INDEX(properties!A$1:CB$87,'Fórmula'!J40,4)&lt;&gt;"",INDEX(properties!A$1:CB$87,'Fórmula'!J40,4)))</f>
        <v>196.8</v>
      </c>
      <c r="K40" s="102">
        <f t="array" ref="K40">MAX(INDEX(properties!A$1:CB$87,'Fórmula'!B40,4),INDEX(properties!A$1:CB$87,'Fórmula'!D40,4),INDEX(properties!A$1:CB$87,'Fórmula'!F40,4),INDEX(properties!A$1:CB$87,'Fórmula'!H40,4),INDEX(properties!A$1:CB$87,'Fórmula'!J40,4))</f>
        <v>38</v>
      </c>
      <c r="L40" s="102">
        <f t="array" ref="L40">MIN(IF(INDEX(properties!A$1:CB$87,'Fórmula'!B40,4)=0,10^6,INDEX(properties!A$1:CB$87,'Fórmula'!B40,4)),IF(INDEX(properties!A$1:CB$87,'Fórmula'!D40,4)=0,10^6,INDEX(properties!A$1:CB$87,'Fórmula'!D40,4)),IF(INDEX(properties!A$1:CB$87,'Fórmula'!F40,4)=0,10^6,INDEX(properties!A$1:CB$87,'Fórmula'!F40,4)),IF(INDEX(properties!A$1:CB$87,'Fórmula'!H40,4)=0,10^6,INDEX(properties!A$1:CB$87,'Fórmula'!H40,4)),IF(INDEX(properties!A$1:CB$87,'Fórmula'!J40,4)=0,10^6,INDEX(properties!A$1:CB$87,'Fórmula'!J40,4)))</f>
        <v>8</v>
      </c>
      <c r="M40" s="102">
        <f t="shared" si="2"/>
        <v>30</v>
      </c>
      <c r="N40" s="103">
        <f t="array" ref="N40">(('Fórmula'!C40)/('Fórmula'!C40+'Fórmula'!E40+'Fórmula'!G40+'Fórmula'!I40+'Fórmula'!K40))*(INDEX(properties!A$1:CB$87,'Fórmula'!B40,5))+(('Fórmula'!E40)/('Fórmula'!C40+'Fórmula'!E40+'Fórmula'!G40+'Fórmula'!I40+'Fórmula'!K40))*(INDEX(properties!A$1:CB$87,'Fórmula'!D40,5))+(('Fórmula'!G40)/('Fórmula'!C40+'Fórmula'!E40+'Fórmula'!G40+'Fórmula'!I40+'Fórmula'!K40))*(INDEX(properties!A$1:CB$87,'Fórmula'!F40,5))+(('Fórmula'!I40)/('Fórmula'!C40+'Fórmula'!E40+'Fórmula'!G40+'Fórmula'!I40+'Fórmula'!K40))*(INDEX(properties!A$1:CB$87,'Fórmula'!H40,5))+(('Fórmula'!K40)/('Fórmula'!C40+'Fórmula'!E40+'Fórmula'!G40+'Fórmula'!I40+'Fórmula'!K40))*(INDEX(properties!A$1:CB$87,'Fórmula'!J40,5))</f>
        <v>2.833333333</v>
      </c>
      <c r="O40" s="103">
        <f t="array" ref="O40">'Fórmula'!C40*(INDEX(properties!A$1:CB$87,'Fórmula'!B40,5))+'Fórmula'!E40*(INDEX(properties!A$1:CB$87,'Fórmula'!D40,5))+'Fórmula'!G40*(INDEX(properties!A$1:CB$87,'Fórmula'!F40,5))+'Fórmula'!I40*(INDEX(properties!A$1:CB$87,'Fórmula'!H40,5))+'Fórmula'!K40*(INDEX(properties!A$1:CB$87,'Fórmula'!J40,5))</f>
        <v>34</v>
      </c>
      <c r="P40" s="103">
        <f t="array" ref="P40">VARP(IF(INDEX(properties!A$1:CB$87,'Fórmula'!B40,5)&lt;&gt;"",INDEX(properties!A$1:CB$87,'Fórmula'!B40,5)),IF(INDEX(properties!A$1:CB$87,'Fórmula'!D40,5)&lt;&gt;"",INDEX(properties!A$1:CB$87,'Fórmula'!D40,5)),IF(INDEX(properties!A$1:CB$87,'Fórmula'!F40,5)&lt;&gt;"",INDEX(properties!A$1:CB$87,'Fórmula'!F40,5)),IF(INDEX(properties!A$1:CB$87,'Fórmula'!H40,5)&lt;&gt;"",INDEX(properties!A$1:CB$87,'Fórmula'!H40,5)),IF(INDEX(properties!A$1:CB$87,'Fórmula'!J40,5)&lt;&gt;"",INDEX(properties!A$1:CB$87,'Fórmula'!J40,5)))</f>
        <v>2.96</v>
      </c>
      <c r="Q40" s="103">
        <f t="array" ref="Q40">MAX(INDEX(properties!A$1:CB$87,'Fórmula'!B40,5),INDEX(properties!A$1:CB$87,'Fórmula'!D40,5),INDEX(properties!A$1:CB$87,'Fórmula'!F40,5),INDEX(properties!A$1:CB$87,'Fórmula'!H40,5),INDEX(properties!A$1:CB$87,'Fórmula'!J40,5))</f>
        <v>5</v>
      </c>
      <c r="R40" s="103">
        <f t="array" ref="R40">MIN(IF(INDEX(properties!A$1:CB$87,'Fórmula'!B40,5)=0,10^6,INDEX(properties!A$1:CB$87,'Fórmula'!B40,5)),IF(INDEX(properties!A$1:CB$87,'Fórmula'!D40,5)=0,10^6,INDEX(properties!A$1:CB$87,'Fórmula'!D40,5)),IF(INDEX(properties!A$1:CB$87,'Fórmula'!F40,5)=0,10^6,INDEX(properties!A$1:CB$87,'Fórmula'!F40,5)),IF(INDEX(properties!A$1:CB$87,'Fórmula'!H40,5)=0,10^6,INDEX(properties!A$1:CB$87,'Fórmula'!H40,5)),IF(INDEX(properties!A$1:CB$87,'Fórmula'!J40,5)=0,10^6,INDEX(properties!A$1:CB$87,'Fórmula'!J40,5)))</f>
        <v>2</v>
      </c>
      <c r="S40" s="103">
        <f t="shared" si="3"/>
        <v>3</v>
      </c>
      <c r="T40" s="104">
        <f t="array" ref="T40">(('Fórmula'!C40)/('Fórmula'!C40+'Fórmula'!E40+'Fórmula'!G40+'Fórmula'!I40+'Fórmula'!K40))*(INDEX(properties!A$1:CB$87,'Fórmula'!B40,6))+(('Fórmula'!E40)/('Fórmula'!C40+'Fórmula'!E40+'Fórmula'!G40+'Fórmula'!I40+'Fórmula'!K40))*(INDEX(properties!A$1:CB$87,'Fórmula'!D40,6))+(('Fórmula'!G40)/('Fórmula'!C40+'Fórmula'!E40+'Fórmula'!G40+'Fórmula'!I40+'Fórmula'!K40))*(INDEX(properties!A$1:CB$87,'Fórmula'!F40,6))+(('Fórmula'!I40)/('Fórmula'!C40+'Fórmula'!E40+'Fórmula'!G40+'Fórmula'!I40+'Fórmula'!K40))*(INDEX(properties!A$1:CB$87,'Fórmula'!H40,6))+(('Fórmula'!K40)/('Fórmula'!C40+'Fórmula'!E40+'Fórmula'!G40+'Fórmula'!I40+'Fórmula'!K40))*(INDEX(properties!A$1:CB$87,'Fórmula'!J40,6))</f>
        <v>13</v>
      </c>
      <c r="U40" s="104">
        <f t="array" ref="U40">'Fórmula'!C40*(INDEX(properties!A$1:CB$87,'Fórmula'!B40,6))+'Fórmula'!E40*(INDEX(properties!A$1:CB$87,'Fórmula'!D40,6))+'Fórmula'!G40*(INDEX(properties!A$1:CB$87,'Fórmula'!F40,6))+'Fórmula'!I40*(INDEX(properties!A$1:CB$87,'Fórmula'!H40,6))+'Fórmula'!K40*(INDEX(properties!A$1:CB$87,'Fórmula'!J40,6))</f>
        <v>156</v>
      </c>
      <c r="V40" s="103">
        <f t="array" ref="V40">VARP(IF(INDEX(properties!A$1:CB$87,'Fórmula'!B40,6)&lt;&gt;"",INDEX(properties!A$1:CB$87,'Fórmula'!B40,6)),IF(INDEX(properties!A$1:CB$87,'Fórmula'!D40,6)&lt;&gt;"",INDEX(properties!A$1:CB$87,'Fórmula'!D40,6)),IF(INDEX(properties!A$1:CB$87,'Fórmula'!F40,6)&lt;&gt;"",INDEX(properties!A$1:CB$87,'Fórmula'!F40,6)),IF(INDEX(properties!A$1:CB$87,'Fórmula'!H40,6)&lt;&gt;"",INDEX(properties!A$1:CB$87,'Fórmula'!H40,6)),IF(INDEX(properties!A$1:CB$87,'Fórmula'!J40,6)&lt;&gt;"",INDEX(properties!A$1:CB$87,'Fórmula'!J40,6)))</f>
        <v>42.56</v>
      </c>
      <c r="W40" s="104">
        <f t="array" ref="W40">MAX(INDEX(properties!A$1:CB$87,'Fórmula'!B40,6),INDEX(properties!A$1:CB$87,'Fórmula'!D40,6),INDEX(properties!A$1:CB$87,'Fórmula'!F40,6),INDEX(properties!A$1:CB$87,'Fórmula'!H40,4),INDEX(properties!A$1:CB$87,'Fórmula'!J40,6))</f>
        <v>14</v>
      </c>
      <c r="X40" s="104">
        <f t="array" ref="X40">MIN(IF(INDEX(properties!A$1:CB$87,'Fórmula'!B40,6)=0,10^6,INDEX(properties!A$1:CB$87,'Fórmula'!B40,6)),IF(INDEX(properties!A$1:CB$87,'Fórmula'!D40,6)=0,10^6,INDEX(properties!A$1:CB$87,'Fórmula'!D40,6)),IF(INDEX(properties!A$1:CB$87,'Fórmula'!F40,6)=0,10^6,INDEX(properties!A$1:CB$87,'Fórmula'!F40,6)),IF(INDEX(properties!A$1:CB$87,'Fórmula'!H40,6)=0,10^6,INDEX(properties!A$1:CB$87,'Fórmula'!H40,6)),IF(INDEX(properties!A$1:CB$87,'Fórmula'!J40,6)=0,10^6,INDEX(properties!A$1:CB$87,'Fórmula'!J40,6)))</f>
        <v>2</v>
      </c>
      <c r="Y40" s="104">
        <f t="shared" si="4"/>
        <v>12</v>
      </c>
      <c r="Z40" s="105">
        <f t="array" ref="Z40">(('Fórmula'!C40)/('Fórmula'!C40+'Fórmula'!E40+'Fórmula'!G40+'Fórmula'!I40+'Fórmula'!K40))*(INDEX(properties!A$1:CB$87,'Fórmula'!B40,9))+(('Fórmula'!E40)/('Fórmula'!C40+'Fórmula'!E40+'Fórmula'!G40+'Fórmula'!I40+'Fórmula'!K40))*(INDEX(properties!A$1:CB$87,'Fórmula'!D40,9))+(('Fórmula'!G40)/('Fórmula'!C40+'Fórmula'!E40+'Fórmula'!G40+'Fórmula'!I40+'Fórmula'!K40))*(INDEX(properties!A$1:CB$87,'Fórmula'!F40,9))+(('Fórmula'!I40)/('Fórmula'!C40+'Fórmula'!E40+'Fórmula'!G40+'Fórmula'!I40+'Fórmula'!K40))*(INDEX(properties!A$1:CB$87,'Fórmula'!H40,9))+(('Fórmula'!K40)/('Fórmula'!C40+'Fórmula'!E40+'Fórmula'!G40+'Fórmula'!I40+'Fórmula'!K40))*(INDEX(properties!A$1:CB$87,'Fórmula'!J40,9))</f>
        <v>70.83333333</v>
      </c>
      <c r="AA40" s="105">
        <f t="array" ref="AA40">'Fórmula'!C40*(INDEX(properties!A$1:CB$87,'Fórmula'!B40,9))+'Fórmula'!E40*(INDEX(properties!A$1:CB$87,'Fórmula'!D40,9))+'Fórmula'!G40*(INDEX(properties!A$1:CB$87,'Fórmula'!F40,9))+'Fórmula'!I40*(INDEX(properties!A$1:CB$87,'Fórmula'!H40,9))+'Fórmula'!K40*(INDEX(properties!A$1:CB$87,'Fórmula'!J40,9))</f>
        <v>850</v>
      </c>
      <c r="AB40" s="105">
        <f t="array" ref="AB40">VARP(IF(INDEX(properties!A$1:CB$87,'Fórmula'!B40,9)&lt;&gt;"",INDEX(properties!A$1:CB$87,'Fórmula'!B40,9)),IF(INDEX(properties!A$1:CB$87,'Fórmula'!D40,9)&lt;&gt;"",INDEX(properties!A$1:CB$87,'Fórmula'!D40,9)),IF(INDEX(properties!A$1:CB$87,'Fórmula'!F40,9)&lt;&gt;"",INDEX(properties!A$1:CB$87,'Fórmula'!F40,9)),IF(INDEX(properties!A$1:CB$87,'Fórmula'!H40,9)&lt;&gt;"",INDEX(properties!A$1:CB$87,'Fórmula'!H40,9)),IF(INDEX(properties!A$1:CB$87,'Fórmula'!J40,9)&lt;&gt;"",INDEX(properties!A$1:CB$87,'Fórmula'!J40,9)))</f>
        <v>1353.04</v>
      </c>
      <c r="AC40" s="105">
        <f t="array" ref="AC40">MAX(INDEX(properties!A$1:CB$87,'Fórmula'!B40,9),INDEX(properties!A$1:CB$87,'Fórmula'!D40,9),INDEX(properties!A$1:CB$87,'Fórmula'!F40,9),INDEX(properties!A$1:CB$87,'Fórmula'!H40,9),INDEX(properties!A$1:CB$87,'Fórmula'!J40,9))</f>
        <v>87</v>
      </c>
      <c r="AD40" s="105">
        <f t="array" ref="AD40">MIN(IF(INDEX(properties!A$1:CB$87,'Fórmula'!B40,9)=0,10^6,INDEX(properties!A$1:CB$87,'Fórmula'!B40,9)),IF(INDEX(properties!A$1:CB$87,'Fórmula'!D40,9)=0,10^6,INDEX(properties!A$1:CB$87,'Fórmula'!D40,9)),IF(INDEX(properties!A$1:CB$87,'Fórmula'!F40,9)=0,10^6,INDEX(properties!A$1:CB$87,'Fórmula'!F40,9)),IF(INDEX(properties!A$1:CB$87,'Fórmula'!H40,9)=0,10^6,INDEX(properties!A$1:CB$87,'Fórmula'!H40,9)),IF(INDEX(properties!A$1:CB$87,'Fórmula'!J40,9)=0,10^6,INDEX(properties!A$1:CB$87,'Fórmula'!J40,9)))</f>
        <v>8</v>
      </c>
      <c r="AE40" s="105">
        <f t="shared" si="5"/>
        <v>79</v>
      </c>
      <c r="AF40" s="106">
        <f t="array" ref="AF40">(('Fórmula'!C40)/('Fórmula'!C40+'Fórmula'!E40+'Fórmula'!G40+'Fórmula'!I40+'Fórmula'!K40))*(INDEX(properties!A$1:CB$87,'Fórmula'!B40,10))+(('Fórmula'!E40)/('Fórmula'!C40+'Fórmula'!E40+'Fórmula'!G40+'Fórmula'!I40+'Fórmula'!K40))*(INDEX(properties!A$1:CB$87,'Fórmula'!D40,10))+(('Fórmula'!G40)/('Fórmula'!C40+'Fórmula'!E40+'Fórmula'!G40+'Fórmula'!I40+'Fórmula'!K40))*(INDEX(properties!A$1:CB$87,'Fórmula'!F40,10))+(('Fórmula'!I40)/('Fórmula'!C40+'Fórmula'!E40+'Fórmula'!G40+'Fórmula'!I40+'Fórmula'!K40))*(INDEX(properties!A$1:CB$87,'Fórmula'!H40,10))+(('Fórmula'!K40)/('Fórmula'!C40+'Fórmula'!E40+'Fórmula'!G40+'Fórmula'!I40+'Fórmula'!K40))*(INDEX(properties!A$1:CB$87,'Fórmula'!J40,10))</f>
        <v>5.75</v>
      </c>
      <c r="AG40" s="106">
        <f t="array" ref="AG40">'Fórmula'!C40*(INDEX(properties!A$1:CB$87,'Fórmula'!B40,10))+'Fórmula'!E40*(INDEX(properties!A$1:CB$87,'Fórmula'!D40,10))+'Fórmula'!G40*(INDEX(properties!A$1:CB$87,'Fórmula'!F40,10))+'Fórmula'!I40*(INDEX(properties!A$1:CB$87,'Fórmula'!H40,10))+'Fórmula'!K40*(INDEX(properties!A$1:CB$87,'Fórmula'!J40,10))</f>
        <v>69</v>
      </c>
      <c r="AH40" s="106">
        <f t="array" ref="AH40">VARP(IF(INDEX(properties!A$1:CB$87,'Fórmula'!B40,10)&lt;&gt;"",INDEX(properties!A$1:CB$87,'Fórmula'!B40,10)),IF(INDEX(properties!A$1:CB$87,'Fórmula'!D40,10)&lt;&gt;"",INDEX(properties!A$1:CB$87,'Fórmula'!D40,10)),IF(INDEX(properties!A$1:CB$87,'Fórmula'!F40,10)&lt;&gt;"",INDEX(properties!A$1:CB$87,'Fórmula'!F40,10)),IF(INDEX(properties!A$1:CB$87,'Fórmula'!H40,10)&lt;&gt;"",INDEX(properties!A$1:CB$87,'Fórmula'!H40,10)),IF(INDEX(properties!A$1:CB$87,'Fórmula'!J40,10)&lt;&gt;"",INDEX(properties!A$1:CB$87,'Fórmula'!J40,10)))</f>
        <v>6.56</v>
      </c>
      <c r="AI40" s="106">
        <f t="array" ref="AI40">MAX(INDEX(properties!A$1:CB$87,'Fórmula'!B40,10),INDEX(properties!A$1:CB$87,'Fórmula'!D40,10),INDEX(properties!A$1:CB$87,'Fórmula'!F40,10),INDEX(properties!A$1:CB$87,'Fórmula'!H40,10),INDEX(properties!A$1:CB$87,'Fórmula'!J40,10))</f>
        <v>7</v>
      </c>
      <c r="AJ40" s="106">
        <f t="array" ref="AJ40">MIN(IF(INDEX(properties!A$1:CB$87,'Fórmula'!B40,10)=0,10^6,INDEX(properties!A$1:CB$87,'Fórmula'!B40,10)),IF(INDEX(properties!A$1:CB$87,'Fórmula'!D40,10)=0,10^6,INDEX(properties!A$1:CB$87,'Fórmula'!D40,10)),IF(INDEX(properties!A$1:CB$87,'Fórmula'!F40,10)=0,10^6,INDEX(properties!A$1:CB$87,'Fórmula'!F40,10)),IF(INDEX(properties!A$1:CB$87,'Fórmula'!H40,10)=0,10^6,INDEX(properties!A$1:CB$87,'Fórmula'!H40,10)),IF(INDEX(properties!A$1:CB$87,'Fórmula'!J40,10)=0,10^6,INDEX(properties!A$1:CB$87,'Fórmula'!J40,10)))</f>
        <v>2</v>
      </c>
      <c r="AK40" s="106">
        <f t="shared" si="6"/>
        <v>5</v>
      </c>
      <c r="AL40" s="107">
        <f t="array" ref="AL40">(('Fórmula'!C40)/('Fórmula'!C40+'Fórmula'!E40+'Fórmula'!G40+'Fórmula'!I40+'Fórmula'!K40))*(INDEX(properties!A$1:CB$87,'Fórmula'!B40,11))+(('Fórmula'!E40)/('Fórmula'!C40+'Fórmula'!E40+'Fórmula'!G40+'Fórmula'!I40+'Fórmula'!K40))*(INDEX(properties!A$1:CB$87,'Fórmula'!D40,11))+(('Fórmula'!G40)/('Fórmula'!C40+'Fórmula'!E40+'Fórmula'!G40+'Fórmula'!I40+'Fórmula'!K40))*(INDEX(properties!A$1:CB$87,'Fórmula'!F40,11))+(('Fórmula'!I40)/('Fórmula'!C40+'Fórmula'!E40+'Fórmula'!G40+'Fórmula'!I40+'Fórmula'!K40))*(INDEX(properties!A$1:CB$87,'Fórmula'!H40,11))+(('Fórmula'!K40)/('Fórmula'!C40+'Fórmula'!E40+'Fórmula'!G40+'Fórmula'!I40+'Fórmula'!K40))*(INDEX(properties!A$1:CB$87,'Fórmula'!J40,11))</f>
        <v>2</v>
      </c>
      <c r="AM40" s="107">
        <f t="array" ref="AM40">'Fórmula'!C40*(INDEX(properties!A$1:CB$87,'Fórmula'!B40,11))+'Fórmula'!E40*(INDEX(properties!A$1:CB$87,'Fórmula'!D40,11))+'Fórmula'!G40*(INDEX(properties!A$1:CB$87,'Fórmula'!F40,11))+'Fórmula'!I40*(INDEX(properties!A$1:CB$87,'Fórmula'!H40,11))+'Fórmula'!K40*(INDEX(properties!A$1:CB$87,'Fórmula'!J40,11))</f>
        <v>24</v>
      </c>
      <c r="AN40" s="107">
        <f t="array" ref="AN40">VARP(IF(INDEX(properties!A$1:CB$87,'Fórmula'!B40,11)&lt;&gt;"",INDEX(properties!A$1:CB$87,'Fórmula'!B40,11)),IF(INDEX(properties!A$1:CB$87,'Fórmula'!D40,11)&lt;&gt;"",INDEX(properties!A$1:CB$87,'Fórmula'!D40,11)),IF(INDEX(properties!A$1:CB$87,'Fórmula'!F40,11)&lt;&gt;"",INDEX(properties!A$1:CB$87,'Fórmula'!F40,11)),IF(INDEX(properties!A$1:CB$87,'Fórmula'!H40,11)&lt;&gt;"",INDEX(properties!A$1:CB$87,'Fórmula'!H40,11)),IF(INDEX(properties!A$1:CB$87,'Fórmula'!J40,11)&lt;&gt;"",INDEX(properties!A$1:CB$87,'Fórmula'!J40,11)))</f>
        <v>0.64</v>
      </c>
      <c r="AO40" s="107">
        <f t="array" ref="AO40">MAX(INDEX(properties!A$1:CB$87,'Fórmula'!B40,11),INDEX(properties!A$1:CB$87,'Fórmula'!D40,11),INDEX(properties!A$1:CB$87,'Fórmula'!F40,11),INDEX(properties!A$1:CB$87,'Fórmula'!H40,11),INDEX(properties!A$1:CB$87,'Fórmula'!J40,11))</f>
        <v>2</v>
      </c>
      <c r="AP40" s="107">
        <f t="array" ref="AP40">MIN(IF('Fórmula'!B40=87,10^6,INDEX(properties!A$1:CB$87,'Fórmula'!B40,11)),IF(('Fórmula'!D40)=87,10^6,INDEX(properties!A$1:CB$87,'Fórmula'!D40,11)),IF(('Fórmula'!F40)=87,10^6,INDEX(properties!A$1:CB$87,'Fórmula'!F40,11)),IF(('Fórmula'!H40)=87,10^6,INDEX(properties!A$1:CB$87,'Fórmula'!H40,11)),IF('Fórmula'!J40=87,10^6,INDEX(properties!A$1:CB$87,'Fórmula'!J40,11)))</f>
        <v>2</v>
      </c>
      <c r="AQ40" s="107">
        <f t="shared" si="7"/>
        <v>0</v>
      </c>
      <c r="AR40" s="108">
        <f t="array" ref="AR40">(('Fórmula'!C40)/('Fórmula'!C40+'Fórmula'!E40+'Fórmula'!G40+'Fórmula'!I40+'Fórmula'!K40))*(INDEX(properties!A$1:CB$87,'Fórmula'!B40,12))+(('Fórmula'!E40)/('Fórmula'!C40+'Fórmula'!E40+'Fórmula'!G40+'Fórmula'!I40+'Fórmula'!K40))*(INDEX(properties!A$1:CB$87,'Fórmula'!D40,12))+(('Fórmula'!G40)/('Fórmula'!C40+'Fórmula'!E40+'Fórmula'!G40+'Fórmula'!I40+'Fórmula'!K40))*(INDEX(properties!A$1:CB$87,'Fórmula'!F40,12))+(('Fórmula'!I40)/('Fórmula'!C40+'Fórmula'!E40+'Fórmula'!G40+'Fórmula'!I40+'Fórmula'!K40))*(INDEX(properties!A$1:CB$87,'Fórmula'!H40,12))+(('Fórmula'!K40)/('Fórmula'!C40+'Fórmula'!E40+'Fórmula'!G40+'Fórmula'!I40+'Fórmula'!K40))*(INDEX(properties!A$1:CB$87,'Fórmula'!J40,12))</f>
        <v>2.666666667</v>
      </c>
      <c r="AS40" s="108">
        <f t="array" ref="AS40">'Fórmula'!C40*(INDEX(properties!A$1:CB$87,'Fórmula'!B40,12))+'Fórmula'!E40*(INDEX(properties!A$1:CB$87,'Fórmula'!D40,12))+'Fórmula'!G40*(INDEX(properties!A$1:CB$87,'Fórmula'!F40,12))+'Fórmula'!I40*(INDEX(properties!A$1:CB$87,'Fórmula'!H40,12))+'Fórmula'!K40*(INDEX(properties!A$1:CB$87,'Fórmula'!J40,12))</f>
        <v>32</v>
      </c>
      <c r="AT40" s="108">
        <f t="array" ref="AT40">VARP(IF(INDEX(properties!A$1:CB$87,'Fórmula'!B40,12)&lt;&gt;"",INDEX(properties!A$1:CB$87,'Fórmula'!B40,12)),IF(INDEX(properties!A$1:CB$87,'Fórmula'!D40,12)&lt;&gt;"",INDEX(properties!A$1:CB$87,'Fórmula'!D40,12)),IF(INDEX(properties!A$1:CB$87,'Fórmula'!F40,12)&lt;&gt;"",INDEX(properties!A$1:CB$87,'Fórmula'!F40,12)),IF(INDEX(properties!A$1:CB$87,'Fórmula'!H40,12)&lt;&gt;"",INDEX(properties!A$1:CB$87,'Fórmula'!H40,12)),IF(INDEX(properties!A$1:CB$87,'Fórmula'!J40,12)&lt;&gt;"",INDEX(properties!A$1:CB$87,'Fórmula'!J40,12)))</f>
        <v>2.56</v>
      </c>
      <c r="AU40" s="108">
        <f t="array" ref="AU40">MAX(INDEX(properties!A$1:CB$87,'Fórmula'!B40,12),INDEX(properties!A$1:CB$87,'Fórmula'!D40,12),INDEX(properties!A$1:CB$87,'Fórmula'!F40,12),INDEX(properties!A$1:CB$87,'Fórmula'!H40,12),INDEX(properties!A$1:CB$87,'Fórmula'!J40,12))</f>
        <v>4</v>
      </c>
      <c r="AV40" s="108">
        <f t="array" ref="AV40">MIN(IF('Fórmula'!B40=87,10^6,INDEX(properties!A$1:CB$87,'Fórmula'!B40,12)),IF(('Fórmula'!D40)=87,10^6,INDEX(properties!A$1:CB$87,'Fórmula'!D40,12)),IF(('Fórmula'!F40)=87,10^6,INDEX(properties!A$1:CB$87,'Fórmula'!F40,12)),IF(('Fórmula'!H40)=87,10^6,INDEX(properties!A$1:CB$87,'Fórmula'!H40,12)),IF('Fórmula'!J40=87,10^6,INDEX(properties!A$1:CB$87,'Fórmula'!J40,12)))</f>
        <v>0</v>
      </c>
      <c r="AW40" s="108">
        <f t="shared" si="8"/>
        <v>4</v>
      </c>
      <c r="AX40" s="109">
        <f t="array" ref="AX40">(('Fórmula'!C40)/('Fórmula'!C40+'Fórmula'!E40+'Fórmula'!G40+'Fórmula'!I40+'Fórmula'!K40))*(INDEX(properties!A$1:CB$87,'Fórmula'!B40,13))+(('Fórmula'!E40)/('Fórmula'!C40+'Fórmula'!E40+'Fórmula'!G40+'Fórmula'!I40+'Fórmula'!K40))*(INDEX(properties!A$1:CB$87,'Fórmula'!D40,13))+(('Fórmula'!G40)/('Fórmula'!C40+'Fórmula'!E40+'Fórmula'!G40+'Fórmula'!I40+'Fórmula'!K40))*(INDEX(properties!A$1:CB$87,'Fórmula'!F40,13))+(('Fórmula'!I40)/('Fórmula'!C40+'Fórmula'!E40+'Fórmula'!G40+'Fórmula'!I40+'Fórmula'!K40))*(INDEX(properties!A$1:CB$87,'Fórmula'!H40,13))+(('Fórmula'!K40)/('Fórmula'!C40+'Fórmula'!E40+'Fórmula'!G40+'Fórmula'!I40+'Fórmula'!K40))*(INDEX(properties!A$1:CB$87,'Fórmula'!J40,13))</f>
        <v>0.8333333333</v>
      </c>
      <c r="AY40" s="109">
        <f t="array" ref="AY40">'Fórmula'!C40*(INDEX(properties!A$1:CB$87,'Fórmula'!B40,13))+'Fórmula'!E40*(INDEX(properties!A$1:CB$87,'Fórmula'!D40,13))+'Fórmula'!G40*(INDEX(properties!A$1:CB$87,'Fórmula'!F40,13))+'Fórmula'!I40*(INDEX(properties!A$1:CB$87,'Fórmula'!H40,13))+'Fórmula'!K40*(INDEX(properties!A$1:CB$87,'Fórmula'!J40,13))</f>
        <v>10</v>
      </c>
      <c r="AZ40" s="109">
        <f t="array" ref="AZ40">VARP(IF(INDEX(properties!A$1:CB$87,'Fórmula'!B40,13)&lt;&gt;"",INDEX(properties!A$1:CB$87,'Fórmula'!B40,13)),IF(INDEX(properties!A$1:CB$87,'Fórmula'!D40,13)&lt;&gt;"",INDEX(properties!A$1:CB$87,'Fórmula'!D40,13)),IF(INDEX(properties!A$1:CB$87,'Fórmula'!F40,13)&lt;&gt;"",INDEX(properties!A$1:CB$87,'Fórmula'!F40,13)),IF(INDEX(properties!A$1:CB$87,'Fórmula'!H40,13)&lt;&gt;"",INDEX(properties!A$1:CB$87,'Fórmula'!H40,13)),IF(INDEX(properties!A$1:CB$87,'Fórmula'!J40,13)&lt;&gt;"",INDEX(properties!A$1:CB$87,'Fórmula'!J40,13)))</f>
        <v>16</v>
      </c>
      <c r="BA40" s="109">
        <f t="array" ref="BA40">MAX(INDEX(properties!A$1:CB$87,'Fórmula'!B40,13),INDEX(properties!A$1:CB$87,'Fórmula'!D40,13),INDEX(properties!A$1:CB$87,'Fórmula'!F40,13),INDEX(properties!A$1:CB$87,'Fórmula'!H40,13),INDEX(properties!A$1:CB$87,'Fórmula'!J40,13))</f>
        <v>10</v>
      </c>
      <c r="BB40" s="109">
        <f t="array" ref="BB40">MIN(IF('Fórmula'!B40=87,10^6,INDEX(properties!A$1:CB$87,'Fórmula'!B40,13)),IF(('Fórmula'!D40)=87,10^6,INDEX(properties!A$1:CB$87,'Fórmula'!D40,13)),IF(('Fórmula'!F40)=87,10^6,INDEX(properties!A$1:CB$87,'Fórmula'!F40,13)),IF(('Fórmula'!H40)=87,10^6,INDEX(properties!A$1:CB$87,'Fórmula'!H40,13)),IF('Fórmula'!J40=87,10^6,INDEX(properties!A$1:CB$87,'Fórmula'!J40,13)))</f>
        <v>0</v>
      </c>
      <c r="BC40" s="109">
        <f t="shared" si="9"/>
        <v>10</v>
      </c>
      <c r="BD40" s="110">
        <f t="array" ref="BD40">(('Fórmula'!C40)/('Fórmula'!C40+'Fórmula'!E40+'Fórmula'!G40+'Fórmula'!I40+'Fórmula'!K40))*(INDEX(properties!A$1:CB$87,'Fórmula'!B40,14))+(('Fórmula'!E40)/('Fórmula'!C40+'Fórmula'!E40+'Fórmula'!G40+'Fórmula'!I40+'Fórmula'!K40))*(INDEX(properties!A$1:CB$87,'Fórmula'!D40,14))+(('Fórmula'!G40)/('Fórmula'!C40+'Fórmula'!E40+'Fórmula'!G40+'Fórmula'!I40+'Fórmula'!K40))*(INDEX(properties!A$1:CB$87,'Fórmula'!F40,14))+(('Fórmula'!I40)/('Fórmula'!C40+'Fórmula'!E40+'Fórmula'!G40+'Fórmula'!I40+'Fórmula'!K40))*(INDEX(properties!A$1:CB$87,'Fórmula'!H40,14))+(('Fórmula'!K40)/('Fórmula'!C40+'Fórmula'!E40+'Fórmula'!G40+'Fórmula'!I40+'Fórmula'!K40))*(INDEX(properties!A$1:CB$87,'Fórmula'!J40,14))</f>
        <v>0</v>
      </c>
      <c r="BE40" s="110">
        <f t="array" ref="BE40">'Fórmula'!C40*(INDEX(properties!A$1:CB$87,'Fórmula'!B40,14))+'Fórmula'!E40*(INDEX(properties!A$1:CB$87,'Fórmula'!D40,14))+'Fórmula'!G40*(INDEX(properties!A$1:CB$87,'Fórmula'!F40,14))+'Fórmula'!I40*(INDEX(properties!A$1:CB$87,'Fórmula'!H40,14))+'Fórmula'!K40*(INDEX(properties!A$1:CB$87,'Fórmula'!J40,14))</f>
        <v>0</v>
      </c>
      <c r="BF40" s="110">
        <f t="array" ref="BF40">VARP(IF(INDEX(properties!A$1:CB$87,'Fórmula'!B40,14)&lt;&gt;"",INDEX(properties!A$1:CB$87,'Fórmula'!B40,14)),IF(INDEX(properties!A$1:CB$87,'Fórmula'!D40,14)&lt;&gt;"",INDEX(properties!A$1:CB$87,'Fórmula'!D40,14)),IF(INDEX(properties!A$1:CB$87,'Fórmula'!F40,14)&lt;&gt;"",INDEX(properties!A$1:CB$87,'Fórmula'!F40,14)),IF(INDEX(properties!A$1:CB$87,'Fórmula'!H40,14)&lt;&gt;"",INDEX(properties!A$1:CB$87,'Fórmula'!H40,14)),IF(INDEX(properties!A$1:CB$87,'Fórmula'!J40,14)&lt;&gt;"",INDEX(properties!A$1:CB$87,'Fórmula'!J40,14)))</f>
        <v>0</v>
      </c>
      <c r="BG40" s="110">
        <f t="array" ref="BG40">MAX(INDEX(properties!A$1:CB$87,'Fórmula'!B40,14),INDEX(properties!A$1:CB$87,'Fórmula'!D40,14),INDEX(properties!A$1:CB$87,'Fórmula'!F40,14),INDEX(properties!A$1:CB$87,'Fórmula'!H40,14),INDEX(properties!A$1:CB$87,'Fórmula'!J40,14))</f>
        <v>0</v>
      </c>
      <c r="BH40" s="110">
        <f t="array" ref="BH40">MIN(IF('Fórmula'!B40=87,10^6,INDEX(properties!A$1:CB$87,'Fórmula'!B40,14)),IF(('Fórmula'!D40)=87,10^6,INDEX(properties!A$1:CB$87,'Fórmula'!D40,14)),IF(('Fórmula'!F40)=87,10^6,INDEX(properties!A$1:CB$87,'Fórmula'!F40,14)),IF(('Fórmula'!H40)=87,10^6,INDEX(properties!A$1:CB$87,'Fórmula'!H40,14)),IF('Fórmula'!J40=87,10^6,INDEX(properties!A$1:CB$87,'Fórmula'!J40,14)))</f>
        <v>0</v>
      </c>
      <c r="BI40" s="110">
        <f t="shared" si="10"/>
        <v>0</v>
      </c>
      <c r="BJ40" s="111">
        <f t="array" ref="BJ40">(('Fórmula'!C40)/('Fórmula'!C40+'Fórmula'!E40+'Fórmula'!G40+'Fórmula'!I40+'Fórmula'!K40))*(INDEX(properties!A$1:CB$87,'Fórmula'!B40,19))+(('Fórmula'!E40)/('Fórmula'!C40+'Fórmula'!E40+'Fórmula'!G40+'Fórmula'!I40+'Fórmula'!K40))*(INDEX(properties!A$1:CB$87,'Fórmula'!D40,19))+(('Fórmula'!G40)/('Fórmula'!C40+'Fórmula'!E40+'Fórmula'!G40+'Fórmula'!I40+'Fórmula'!K40))*(INDEX(properties!A$1:CB$87,'Fórmula'!F40,19))+(('Fórmula'!I40)/('Fórmula'!C40+'Fórmula'!E40+'Fórmula'!G40+'Fórmula'!I40+'Fórmula'!K40))*(INDEX(properties!A$1:CB$87,'Fórmula'!H40,19))+(('Fórmula'!K40)/('Fórmula'!C40+'Fórmula'!E40+'Fórmula'!G40+'Fórmula'!I40+'Fórmula'!K40))*(INDEX(properties!A$1:CB$87,'Fórmula'!J40,19))</f>
        <v>5.5</v>
      </c>
      <c r="BK40" s="111">
        <f t="array" ref="BK40">'Fórmula'!C40*(INDEX(properties!A$1:CB$87,'Fórmula'!B40,19))+'Fórmula'!E40*(INDEX(properties!A$1:CB$87,'Fórmula'!D40,19))+'Fórmula'!G40*(INDEX(properties!A$1:CB$87,'Fórmula'!F40,19))+'Fórmula'!I40*(INDEX(properties!A$1:CB$87,'Fórmula'!H40,19))+'Fórmula'!K40*(INDEX(properties!A$1:CB$87,'Fórmula'!J40,19))</f>
        <v>66</v>
      </c>
      <c r="BL40" s="111">
        <f t="array" ref="BL40">VARP(IF(INDEX(properties!A$1:CB$87,'Fórmula'!B40,19)&lt;&gt;"",INDEX(properties!A$1:CB$87,'Fórmula'!B40,19)),IF(INDEX(properties!A$1:CB$87,'Fórmula'!D40,19)&lt;&gt;"",INDEX(properties!A$1:CB$87,'Fórmula'!D40,19)),IF(INDEX(properties!A$1:CB$87,'Fórmula'!F40,19)&lt;&gt;"",INDEX(properties!A$1:CB$87,'Fórmula'!F40,19)),IF(INDEX(properties!A$1:CB$87,'Fórmula'!H40,19)&lt;&gt;"",INDEX(properties!A$1:CB$87,'Fórmula'!H40,19)),IF(INDEX(properties!A$1:CB$87,'Fórmula'!J40,19)&lt;&gt;"",INDEX(properties!A$1:CB$87,'Fórmula'!J40,19)))</f>
        <v>16.96</v>
      </c>
      <c r="BM40" s="111">
        <f t="array" ref="BM40">MAX(INDEX(properties!A$1:CB$87,'Fórmula'!B40,19),INDEX(properties!A$1:CB$87,'Fórmula'!D40,19),INDEX(properties!A$1:CB$87,'Fórmula'!F40,19),INDEX(properties!A$1:CB$87,'Fórmula'!H40,19),INDEX(properties!A$1:CB$87,'Fórmula'!J40,19))</f>
        <v>12</v>
      </c>
      <c r="BN40" s="111">
        <f t="array" ref="BN40">MIN(IF(INDEX(properties!A$1:CB$87,'Fórmula'!B40,19)=0,10^6,INDEX(properties!A$1:CB$87,'Fórmula'!B40,19)),IF(INDEX(properties!A$1:CB$87,'Fórmula'!D40,19)=0,10^6,INDEX(properties!A$1:CB$87,'Fórmula'!D40,19)),IF(INDEX(properties!A$1:CB$87,'Fórmula'!F40,19)=0,10^6,INDEX(properties!A$1:CB$87,'Fórmula'!F40,19)),IF(INDEX(properties!A$1:CB$87,'Fórmula'!H40,19)=0,10^6,INDEX(properties!A$1:CB$87,'Fórmula'!H40,19)),IF(INDEX(properties!A$1:CB$87,'Fórmula'!J40,19)=0,10^6,INDEX(properties!A$1:CB$87,'Fórmula'!J40,19)))</f>
        <v>2</v>
      </c>
      <c r="BO40" s="111">
        <f t="shared" si="11"/>
        <v>10</v>
      </c>
      <c r="BP40" s="112">
        <f t="array" ref="BP40">(('Fórmula'!C40)/('Fórmula'!C40+'Fórmula'!E40+'Fórmula'!G40+'Fórmula'!I40+'Fórmula'!K40))*(INDEX(properties!A$1:CB$87,'Fórmula'!B40,20))+(('Fórmula'!E40)/('Fórmula'!C40+'Fórmula'!E40+'Fórmula'!G40+'Fórmula'!I40+'Fórmula'!K40))*(INDEX(properties!A$1:CB$87,'Fórmula'!D40,20))+(('Fórmula'!G40)/('Fórmula'!C40+'Fórmula'!E40+'Fórmula'!G40+'Fórmula'!I40+'Fórmula'!K40))*(INDEX(properties!A$1:CB$87,'Fórmula'!F40,20))+(('Fórmula'!I40)/('Fórmula'!C40+'Fórmula'!E40+'Fórmula'!G40+'Fórmula'!I40+'Fórmula'!K40))*(INDEX(properties!A$1:CB$87,'Fórmula'!H40,20))+(('Fórmula'!K40)/('Fórmula'!C40+'Fórmula'!E40+'Fórmula'!G40+'Fórmula'!I40+'Fórmula'!K40))*(INDEX(properties!A$1:CB$87,'Fórmula'!J40,20))</f>
        <v>4.666666667</v>
      </c>
      <c r="BQ40" s="112">
        <f t="array" ref="BQ40">'Fórmula'!C40*(INDEX(properties!A$1:CB$87,'Fórmula'!B40,20))+'Fórmula'!E40*(INDEX(properties!A$1:CB$87,'Fórmula'!D40,20))+'Fórmula'!G40*(INDEX(properties!A$1:CB$87,'Fórmula'!F40,20))+'Fórmula'!I40*(INDEX(properties!A$1:CB$87,'Fórmula'!H40,20))+'Fórmula'!K40*(INDEX(properties!A$1:CB$87,'Fórmula'!J40,20))</f>
        <v>56</v>
      </c>
      <c r="BR40" s="112">
        <f t="array" ref="BR40">VARP(IF(INDEX(properties!A$1:CB$87,'Fórmula'!B40,20)&lt;&gt;"",INDEX(properties!A$1:CB$87,'Fórmula'!B40,20)),IF(INDEX(properties!A$1:CB$87,'Fórmula'!D40,20)&lt;&gt;"",INDEX(properties!A$1:CB$87,'Fórmula'!D40,20)),IF(INDEX(properties!A$1:CB$87,'Fórmula'!F40,20)&lt;&gt;"",INDEX(properties!A$1:CB$87,'Fórmula'!F40,20)),IF(INDEX(properties!A$1:CB$87,'Fórmula'!H40,20)&lt;&gt;"",INDEX(properties!A$1:CB$87,'Fórmula'!H40,20)),IF(INDEX(properties!A$1:CB$87,'Fórmula'!J40,20)&lt;&gt;"",INDEX(properties!A$1:CB$87,'Fórmula'!J40,20)))</f>
        <v>4.16</v>
      </c>
      <c r="BS40" s="112">
        <f t="array" ref="BS40">MAX(INDEX(properties!A$1:CB$87,'Fórmula'!B40,20),INDEX(properties!A$1:CB$87,'Fórmula'!D40,20),INDEX(properties!A$1:CB$87,'Fórmula'!F40,20),INDEX(properties!A$1:CB$87,'Fórmula'!H40,20),INDEX(properties!A$1:CB$87,'Fórmula'!J40,20))</f>
        <v>6</v>
      </c>
      <c r="BT40" s="112">
        <f t="array" ref="BT40">MIN(IF(INDEX(properties!A$1:CB$87,'Fórmula'!B40,20)=0,10^6,INDEX(properties!A$1:CB$87,'Fórmula'!B40,20)),IF(INDEX(properties!A$1:CB$87,'Fórmula'!D40,20)=0,10^6,INDEX(properties!A$1:CB$87,'Fórmula'!D40,20)),IF(INDEX(properties!A$1:CB$87,'Fórmula'!F40,20)=0,10^6,INDEX(properties!A$1:CB$87,'Fórmula'!F40,20)),IF(INDEX(properties!A$1:CB$87,'Fórmula'!H40,20)=0,10^6,INDEX(properties!A$1:CB$87,'Fórmula'!H40,20)),IF(INDEX(properties!A$1:CB$87,'Fórmula'!J40,20)=0,10^6,INDEX(properties!A$1:CB$87,'Fórmula'!J40,20)))</f>
        <v>2</v>
      </c>
      <c r="BU40" s="112">
        <f t="shared" si="12"/>
        <v>4</v>
      </c>
      <c r="BV40" s="113">
        <f t="array" ref="BV40">(('Fórmula'!C40)/('Fórmula'!C40+'Fórmula'!E40+'Fórmula'!G40+'Fórmula'!I40+'Fórmula'!K40))*(INDEX(properties!A$1:CB$87,'Fórmula'!B40,21))+(('Fórmula'!E40)/('Fórmula'!C40+'Fórmula'!E40+'Fórmula'!G40+'Fórmula'!I40+'Fórmula'!K40))*(INDEX(properties!A$1:CB$87,'Fórmula'!D40,21))+(('Fórmula'!G40)/('Fórmula'!C40+'Fórmula'!E40+'Fórmula'!G40+'Fórmula'!I40+'Fórmula'!K40))*(INDEX(properties!A$1:CB$87,'Fórmula'!F40,21))+(('Fórmula'!I40)/('Fórmula'!C40+'Fórmula'!E40+'Fórmula'!G40+'Fórmula'!I40+'Fórmula'!K40))*(INDEX(properties!A$1:CB$87,'Fórmula'!H40,21))+(('Fórmula'!K40)/('Fórmula'!C40+'Fórmula'!E40+'Fórmula'!G40+'Fórmula'!I40+'Fórmula'!K40))*(INDEX(properties!A$1:CB$87,'Fórmula'!J40,21))</f>
        <v>4.583333333</v>
      </c>
      <c r="BW40" s="113">
        <f t="array" ref="BW40">'Fórmula'!C40*(INDEX(properties!A$1:CB$87,'Fórmula'!B40,21))+'Fórmula'!E40*(INDEX(properties!A$1:CB$87,'Fórmula'!D40,21))+'Fórmula'!G40*(INDEX(properties!A$1:CB$87,'Fórmula'!F40,21))+'Fórmula'!I40*(INDEX(properties!A$1:CB$87,'Fórmula'!H40,21))+'Fórmula'!K40*(INDEX(properties!A$1:CB$87,'Fórmula'!J40,21))</f>
        <v>55</v>
      </c>
      <c r="BX40" s="113">
        <f t="array" ref="BX40">VARP(IF(INDEX(properties!A$1:CB$87,'Fórmula'!B40,21)&lt;&gt;"",INDEX(properties!A$1:CB$87,'Fórmula'!B40,21)),IF(INDEX(properties!A$1:CB$87,'Fórmula'!D40,21)&lt;&gt;"",INDEX(properties!A$1:CB$87,'Fórmula'!D40,21)),IF(INDEX(properties!A$1:CB$87,'Fórmula'!F40,21)&lt;&gt;"",INDEX(properties!A$1:CB$87,'Fórmula'!F40,21)),IF(INDEX(properties!A$1:CB$87,'Fórmula'!H40,21)&lt;&gt;"",INDEX(properties!A$1:CB$87,'Fórmula'!H40,21)),IF(INDEX(properties!A$1:CB$87,'Fórmula'!J40,21)&lt;&gt;"",INDEX(properties!A$1:CB$87,'Fórmula'!J40,21)))</f>
        <v>4.64</v>
      </c>
      <c r="BY40" s="113">
        <f t="array" ref="BY40">MAX(INDEX(properties!A$1:CB$87,'Fórmula'!B40,21),INDEX(properties!A$1:CB$87,'Fórmula'!D40,21),INDEX(properties!A$1:CB$87,'Fórmula'!F40,21),INDEX(properties!A$1:CB$87,'Fórmula'!H40,21),INDEX(properties!A$1:CB$87,'Fórmula'!J40,21))</f>
        <v>6</v>
      </c>
      <c r="BZ40" s="113">
        <f t="array" ref="BZ40">MIN(IF(INDEX(properties!A$1:CB$87,'Fórmula'!B40,21)=0,10^6,INDEX(properties!A$1:CB$87,'Fórmula'!B40,21)),IF(INDEX(properties!A$1:CB$87,'Fórmula'!D40,21)=0,10^6,INDEX(properties!A$1:CB$87,'Fórmula'!D40,21)),IF(INDEX(properties!A$1:CB$87,'Fórmula'!F40,21)=0,10^6,INDEX(properties!A$1:CB$87,'Fórmula'!F40,21)),IF(INDEX(properties!A$1:CB$87,'Fórmula'!H40,21)=0,10^6,INDEX(properties!A$1:CB$87,'Fórmula'!H40,21)),IF(INDEX(properties!A$1:CB$87,'Fórmula'!J40,21)=0,10^6,INDEX(properties!A$1:CB$87,'Fórmula'!J40,21)))</f>
        <v>1</v>
      </c>
      <c r="CA40" s="113">
        <f t="shared" si="13"/>
        <v>5</v>
      </c>
      <c r="CB40" s="114">
        <f t="array" ref="CB40">(('Fórmula'!C40)/('Fórmula'!C40+'Fórmula'!E40+'Fórmula'!G40+'Fórmula'!I40+'Fórmula'!K40))*(INDEX(properties!A$1:CB$87,'Fórmula'!B40,23))+(('Fórmula'!E40)/('Fórmula'!C40+'Fórmula'!E40+'Fórmula'!G40+'Fórmula'!I40+'Fórmula'!K40))*(INDEX(properties!A$1:CB$87,'Fórmula'!D40,23))+(('Fórmula'!G40)/('Fórmula'!C40+'Fórmula'!E40+'Fórmula'!G40+'Fórmula'!I40+'Fórmula'!K40))*(INDEX(properties!A$1:CB$87,'Fórmula'!F40,23))+(('Fórmula'!I40)/('Fórmula'!C40+'Fórmula'!E40+'Fórmula'!G40+'Fórmula'!I40+'Fórmula'!K40))*(INDEX(properties!A$1:CB$87,'Fórmula'!H40,23))+(('Fórmula'!K40)/('Fórmula'!C40+'Fórmula'!E40+'Fórmula'!G40+'Fórmula'!I40+'Fórmula'!K40))*(INDEX(properties!A$1:CB$87,'Fórmula'!J40,23))</f>
        <v>1.37</v>
      </c>
      <c r="CC40" s="114">
        <f t="array" ref="CC40">'Fórmula'!C40*(INDEX(properties!A$1:CB$87,'Fórmula'!B40,23))+'Fórmula'!E40*(INDEX(properties!A$1:CB$87,'Fórmula'!D40,23))+'Fórmula'!G40*(INDEX(properties!A$1:CB$87,'Fórmula'!F40,23))+'Fórmula'!I40*(INDEX(properties!A$1:CB$87,'Fórmula'!H40,23))+'Fórmula'!K40*(INDEX(properties!A$1:CB$87,'Fórmula'!J40,23))</f>
        <v>16.44</v>
      </c>
      <c r="CD40" s="114">
        <f t="array" ref="CD40">VARP(IF(INDEX(properties!A$1:CB$87,'Fórmula'!B40,23)&lt;&gt;"",INDEX(properties!A$1:CB$87,'Fórmula'!B40,23)),IF(INDEX(properties!A$1:CB$87,'Fórmula'!D40,23)&lt;&gt;"",INDEX(properties!A$1:CB$87,'Fórmula'!D40,23)),IF(INDEX(properties!A$1:CB$87,'Fórmula'!F40,23)&lt;&gt;"",INDEX(properties!A$1:CB$87,'Fórmula'!F40,23)),IF(INDEX(properties!A$1:CB$87,'Fórmula'!H40,23)&lt;&gt;"",INDEX(properties!A$1:CB$87,'Fórmula'!H40,23)),IF(INDEX(properties!A$1:CB$87,'Fórmula'!J40,23)&lt;&gt;"",INDEX(properties!A$1:CB$87,'Fórmula'!J40,23)))</f>
        <v>3.582976</v>
      </c>
      <c r="CE40" s="114">
        <f t="array" ref="CE40">MAX(INDEX(properties!A$1:CB$87,'Fórmula'!B40,23),INDEX(properties!A$1:CB$87,'Fórmula'!D40,23),INDEX(properties!A$1:CB$87,'Fórmula'!F40,23),INDEX(properties!A$1:CB$87,'Fórmula'!H40,23),INDEX(properties!A$1:CB$87,'Fórmula'!J40,23))</f>
        <v>4.44</v>
      </c>
      <c r="CF40" s="114">
        <f t="array" ref="CF40">MIN(IF('Fórmula'!B40=87,10^6,INDEX(properties!A$1:CB$87,'Fórmula'!B40,23)),IF(('Fórmula'!D40)=87,10^6,INDEX(properties!A$1:CB$87,'Fórmula'!D40,23)),IF(('Fórmula'!F40)=87,10^6,INDEX(properties!A$1:CB$87,'Fórmula'!F40,23)),IF(('Fórmula'!H40)=87,10^6,INDEX(properties!A$1:CB$87,'Fórmula'!H40,23)),IF('Fórmula'!J40=87,10^6,INDEX(properties!A$1:CB$87,'Fórmula'!J40,23)))</f>
        <v>0</v>
      </c>
      <c r="CG40" s="114">
        <f t="shared" si="14"/>
        <v>4.44</v>
      </c>
      <c r="CH40" s="115">
        <f t="array" ref="CH40">(('Fórmula'!C40)/('Fórmula'!C40+'Fórmula'!E40+'Fórmula'!G40+'Fórmula'!I40+'Fórmula'!K40))*(INDEX(properties!A$1:CB$87,'Fórmula'!B40,26))+(('Fórmula'!E40)/('Fórmula'!C40+'Fórmula'!E40+'Fórmula'!G40+'Fórmula'!I40+'Fórmula'!K40))*(INDEX(properties!A$1:CB$87,'Fórmula'!D40,26))+(('Fórmula'!G40)/('Fórmula'!C40+'Fórmula'!E40+'Fórmula'!G40+'Fórmula'!I40+'Fórmula'!K40))*(INDEX(properties!A$1:CB$87,'Fórmula'!F40,26))+(('Fórmula'!I40)/('Fórmula'!C40+'Fórmula'!E40+'Fórmula'!G40+'Fórmula'!I40+'Fórmula'!K40))*(INDEX(properties!A$1:CB$87,'Fórmula'!H40,26))+(('Fórmula'!K40)/('Fórmula'!C40+'Fórmula'!E40+'Fórmula'!G40+'Fórmula'!I40+'Fórmula'!K40))*(INDEX(properties!A$1:CB$87,'Fórmula'!J40,26))</f>
        <v>11.03450833</v>
      </c>
      <c r="CI40" s="115">
        <f t="array" ref="CI40">'Fórmula'!C40*(INDEX(properties!A$1:CB$87,'Fórmula'!B40,26))+'Fórmula'!E40*(INDEX(properties!A$1:CB$87,'Fórmula'!D40,26))+'Fórmula'!G40*(INDEX(properties!A$1:CB$87,'Fórmula'!F40,26))+'Fórmula'!I40*(INDEX(properties!A$1:CB$87,'Fórmula'!H40,26))+'Fórmula'!K40*(INDEX(properties!A$1:CB$87,'Fórmula'!J40,26))</f>
        <v>132.4141</v>
      </c>
      <c r="CJ40" s="115">
        <f t="array" ref="CJ40">VARP(IF(INDEX(properties!A$1:CB$87,'Fórmula'!B40,26)&lt;&gt;"",INDEX(properties!A$1:CB$87,'Fórmula'!B40,26)),IF(INDEX(properties!A$1:CB$87,'Fórmula'!D40,26)&lt;&gt;"",INDEX(properties!A$1:CB$87,'Fórmula'!D40,26)),IF(INDEX(properties!A$1:CB$87,'Fórmula'!F40,26)&lt;&gt;"",INDEX(properties!A$1:CB$87,'Fórmula'!F40,26)),IF(INDEX(properties!A$1:CB$87,'Fórmula'!H40,26)&lt;&gt;"",INDEX(properties!A$1:CB$87,'Fórmula'!H40,26)),IF(INDEX(properties!A$1:CB$87,'Fórmula'!J40,26)&lt;&gt;"",INDEX(properties!A$1:CB$87,'Fórmula'!J40,26)))</f>
        <v>20.17400766</v>
      </c>
      <c r="CK40" s="116">
        <f t="array" ref="CK40">MAX(INDEX(properties!A$1:CB$87,'Fórmula'!B40,26),INDEX(properties!A$1:CB$87,'Fórmula'!D40,26),INDEX(properties!A$1:CB$87,'Fórmula'!F40,26),INDEX(properties!A$1:CB$87,'Fórmula'!H40,26),INDEX(properties!A$1:CB$87,'Fórmula'!J40,26))</f>
        <v>13.6181</v>
      </c>
      <c r="CL40" s="116">
        <f t="array" ref="CL40">MIN(IF(INDEX(properties!A$1:CB$87,'Fórmula'!B40,26)=0,10^6,INDEX(properties!A$1:CB$87,'Fórmula'!B40,26)),IF(INDEX(properties!A$1:CB$87,'Fórmula'!D40,26)=0,10^6,INDEX(properties!A$1:CB$87,'Fórmula'!D40,26)),IF(INDEX(properties!A$1:CB$87,'Fórmula'!F40,26)=0,10^6,INDEX(properties!A$1:CB$87,'Fórmula'!F40,26)),IF(INDEX(properties!A$1:CB$87,'Fórmula'!H40,26)=0,10^6,INDEX(properties!A$1:CB$87,'Fórmula'!H40,26)),IF(INDEX(properties!A$1:CB$87,'Fórmula'!J40,26)=0,10^6,INDEX(properties!A$1:CB$87,'Fórmula'!J40,26)))</f>
        <v>5.6949</v>
      </c>
      <c r="CM40" s="115">
        <f t="shared" si="15"/>
        <v>7.9232</v>
      </c>
      <c r="CN40" s="117">
        <f t="array" ref="CN40">(('Fórmula'!C40)/('Fórmula'!C40+'Fórmula'!E40+'Fórmula'!G40+'Fórmula'!I40+'Fórmula'!K40))*(INDEX(properties!A$1:CB$87,'Fórmula'!B40,30))+(('Fórmula'!E40)/('Fórmula'!C40+'Fórmula'!E40+'Fórmula'!G40+'Fórmula'!I40+'Fórmula'!K40))*(INDEX(properties!A$1:CB$87,'Fórmula'!D40,30))+(('Fórmula'!G40)/('Fórmula'!C40+'Fórmula'!E40+'Fórmula'!G40+'Fórmula'!I40+'Fórmula'!K40))*(INDEX(properties!A$1:CB$87,'Fórmula'!F40,30))+(('Fórmula'!I40)/('Fórmula'!C40+'Fórmula'!E40+'Fórmula'!G40+'Fórmula'!I40+'Fórmula'!K40))*(INDEX(properties!A$1:CB$87,'Fórmula'!H40,30))+(('Fórmula'!K40)/('Fórmula'!C40+'Fórmula'!E40+'Fórmula'!G40+'Fórmula'!I40+'Fórmula'!K40))*(INDEX(properties!A$1:CB$87,'Fórmula'!J40,30))</f>
        <v>2.619166667</v>
      </c>
      <c r="CO40" s="117">
        <f t="array" ref="CO40">'Fórmula'!C40*(INDEX(properties!A$1:CB$87,'Fórmula'!B40,30))+'Fórmula'!E40*(INDEX(properties!A$1:CB$87,'Fórmula'!D40,30))+'Fórmula'!G40*(INDEX(properties!A$1:CB$87,'Fórmula'!F40,30))+'Fórmula'!I40*(INDEX(properties!A$1:CB$87,'Fórmula'!H40,30))+'Fórmula'!K40*(INDEX(properties!A$1:CB$87,'Fórmula'!J40,30))</f>
        <v>31.43</v>
      </c>
      <c r="CP40" s="117">
        <f t="array" ref="CP40">VARP(IF(INDEX(properties!A$1:CB$87,'Fórmula'!B40,30)&lt;&gt;"",INDEX(properties!A$1:CB$87,'Fórmula'!B40,30)),IF(INDEX(properties!A$1:CB$87,'Fórmula'!D40,30)&lt;&gt;"",INDEX(properties!A$1:CB$87,'Fórmula'!D40,30)),IF(INDEX(properties!A$1:CB$87,'Fórmula'!F40,30)&lt;&gt;"",INDEX(properties!A$1:CB$87,'Fórmula'!F40,30)),IF(INDEX(properties!A$1:CB$87,'Fórmula'!H40,30)&lt;&gt;"",INDEX(properties!A$1:CB$87,'Fórmula'!H40,30)),IF(INDEX(properties!A$1:CB$87,'Fórmula'!J40,30)&lt;&gt;"",INDEX(properties!A$1:CB$87,'Fórmula'!J40,30)))</f>
        <v>1.291976</v>
      </c>
      <c r="CQ40" s="117">
        <f t="array" ref="CQ40">MAX(INDEX(properties!A$1:CB$87,'Fórmula'!B40,30),INDEX(properties!A$1:CB$87,'Fórmula'!D40,30),INDEX(properties!A$1:CB$87,'Fórmula'!F40,30),INDEX(properties!A$1:CB$87,'Fórmula'!H40,30),INDEX(properties!A$1:CB$87,'Fórmula'!J40,30))</f>
        <v>3.44</v>
      </c>
      <c r="CR40" s="117">
        <f t="array" ref="CR40">MIN(IF(INDEX(properties!A$1:CB$87,'Fórmula'!B40,30)=0,10^6,INDEX(properties!A$1:CB$87,'Fórmula'!B40,30)),IF(INDEX(properties!A$1:CB$87,'Fórmula'!D40,30)=0,10^6,INDEX(properties!A$1:CB$87,'Fórmula'!D40,30)),IF(INDEX(properties!A$1:CB$87,'Fórmula'!F40,30)=0,10^6,INDEX(properties!A$1:CB$87,'Fórmula'!F40,30)),IF(INDEX(properties!A$1:CB$87,'Fórmula'!H40,30)=0,10^6,INDEX(properties!A$1:CB$87,'Fórmula'!H40,30)),IF(INDEX(properties!A$1:CB$87,'Fórmula'!J40,30)=0,10^6,INDEX(properties!A$1:CB$87,'Fórmula'!J40,30)))</f>
        <v>0.95</v>
      </c>
      <c r="CS40" s="117">
        <f t="shared" si="16"/>
        <v>2.49</v>
      </c>
      <c r="CT40" s="118">
        <f t="array" ref="CT40">(('Fórmula'!C40)/('Fórmula'!C40+'Fórmula'!E40+'Fórmula'!G40+'Fórmula'!I40+'Fórmula'!K40))*(INDEX(properties!A$1:CB$87,'Fórmula'!B40,31))+(('Fórmula'!E40)/('Fórmula'!C40+'Fórmula'!E40+'Fórmula'!G40+'Fórmula'!I40+'Fórmula'!K40))*(INDEX(properties!A$1:CB$87,'Fórmula'!D40,31))+(('Fórmula'!G40)/('Fórmula'!C40+'Fórmula'!E40+'Fórmula'!G40+'Fórmula'!I40+'Fórmula'!K40))*(INDEX(properties!A$1:CB$87,'Fórmula'!F40,31))+(('Fórmula'!I40)/('Fórmula'!C40+'Fórmula'!E40+'Fórmula'!G40+'Fórmula'!I40+'Fórmula'!K40))*(INDEX(properties!A$1:CB$87,'Fórmula'!H40,31))+(('Fórmula'!K40)/('Fórmula'!C40+'Fórmula'!E40+'Fórmula'!G40+'Fórmula'!I40+'Fórmula'!K40))*(INDEX(properties!A$1:CB$87,'Fórmula'!J40,31))</f>
        <v>2.575</v>
      </c>
      <c r="CU40" s="118">
        <f t="array" ref="CU40">'Fórmula'!C40*(INDEX(properties!A$1:CB$87,'Fórmula'!B40,31))+'Fórmula'!E40*(INDEX(properties!A$1:CB$87,'Fórmula'!D40,31))+'Fórmula'!G40*(INDEX(properties!A$1:CB$87,'Fórmula'!F40,31))+'Fórmula'!I40*(INDEX(properties!A$1:CB$87,'Fórmula'!H40,31))+'Fórmula'!K40*(INDEX(properties!A$1:CB$87,'Fórmula'!J40,31))</f>
        <v>30.9</v>
      </c>
      <c r="CV40" s="118">
        <f t="array" ref="CV40">VARP(IF(INDEX(properties!A$1:CB$87,'Fórmula'!B40,31)&lt;&gt;"",INDEX(properties!A$1:CB$87,'Fórmula'!B40,31)),IF(INDEX(properties!A$1:CB$87,'Fórmula'!D40,31)&lt;&gt;"",INDEX(properties!A$1:CB$87,'Fórmula'!D40,31)),IF(INDEX(properties!A$1:CB$87,'Fórmula'!F40,31)&lt;&gt;"",INDEX(properties!A$1:CB$87,'Fórmula'!F40,31)),IF(INDEX(properties!A$1:CB$87,'Fórmula'!H40,31)&lt;&gt;"",INDEX(properties!A$1:CB$87,'Fórmula'!H40,31)),IF(INDEX(properties!A$1:CB$87,'Fórmula'!J40,31)&lt;&gt;"",INDEX(properties!A$1:CB$87,'Fórmula'!J40,31)))</f>
        <v>1.181184</v>
      </c>
      <c r="CW40" s="118">
        <f t="array" ref="CW40">MAX(INDEX(properties!A$1:CB$87,'Fórmula'!B40,31),INDEX(properties!A$1:CB$87,'Fórmula'!D40,31),INDEX(properties!A$1:CB$87,'Fórmula'!F40,31),INDEX(properties!A$1:CB$87,'Fórmula'!H40,31),INDEX(properties!A$1:CB$87,'Fórmula'!J40,31))</f>
        <v>3.32</v>
      </c>
      <c r="CX40" s="118">
        <f t="array" ref="CX40">MIN(IF(INDEX(properties!A$1:CB$87,'Fórmula'!B40,31)=0,10^6,INDEX(properties!A$1:CB$87,'Fórmula'!B40,31)),IF(INDEX(properties!A$1:CB$87,'Fórmula'!D40,31)=0,10^6,INDEX(properties!A$1:CB$87,'Fórmula'!D40,31)),IF(INDEX(properties!A$1:CB$87,'Fórmula'!F40,31)=0,10^6,INDEX(properties!A$1:CB$87,'Fórmula'!F40,31)),IF(INDEX(properties!A$1:CB$87,'Fórmula'!H40,31)=0,10^6,INDEX(properties!A$1:CB$87,'Fórmula'!H40,31)),IF(INDEX(properties!A$1:CB$87,'Fórmula'!J40,31)=0,10^6,INDEX(properties!A$1:CB$87,'Fórmula'!J40,31)))</f>
        <v>1.13</v>
      </c>
      <c r="CY40" s="118">
        <f t="shared" si="17"/>
        <v>2.19</v>
      </c>
      <c r="CZ40" s="119">
        <f t="array" ref="CZ40">(('Fórmula'!C40)/('Fórmula'!C40+'Fórmula'!E40+'Fórmula'!G40+'Fórmula'!I40+'Fórmula'!K40))*(INDEX(properties!A$1:CB$87,'Fórmula'!B40,32))+(('Fórmula'!E40)/('Fórmula'!C40+'Fórmula'!E40+'Fórmula'!G40+'Fórmula'!I40+'Fórmula'!K40))*(INDEX(properties!A$1:CB$87,'Fórmula'!D40,32))+(('Fórmula'!G40)/('Fórmula'!C40+'Fórmula'!E40+'Fórmula'!G40+'Fórmula'!I40+'Fórmula'!K40))*(INDEX(properties!A$1:CB$87,'Fórmula'!F40,32))+(('Fórmula'!I40)/('Fórmula'!C40+'Fórmula'!E40+'Fórmula'!G40+'Fórmula'!I40+'Fórmula'!K40))*(INDEX(properties!A$1:CB$87,'Fórmula'!H40,32))+(('Fórmula'!K40)/('Fórmula'!C40+'Fórmula'!E40+'Fórmula'!G40+'Fórmula'!I40+'Fórmula'!K40))*(INDEX(properties!A$1:CB$87,'Fórmula'!J40,32))</f>
        <v>5.8975</v>
      </c>
      <c r="DA40" s="119">
        <f t="array" ref="DA40">'Fórmula'!C40*(INDEX(properties!A$1:CB$87,'Fórmula'!B40,32))+'Fórmula'!E40*(INDEX(properties!A$1:CB$87,'Fórmula'!D40,32))+'Fórmula'!G40*(INDEX(properties!A$1:CB$87,'Fórmula'!F40,32))+'Fórmula'!I40*(INDEX(properties!A$1:CB$87,'Fórmula'!H40,32))+'Fórmula'!K40*(INDEX(properties!A$1:CB$87,'Fórmula'!J40,32))</f>
        <v>70.77</v>
      </c>
      <c r="DB40" s="119">
        <f t="array" ref="DB40">VARP(IF(INDEX(properties!A$1:CB$87,'Fórmula'!B40,32)&lt;&gt;"",INDEX(properties!A$1:CB$87,'Fórmula'!B40,32)),IF(INDEX(properties!A$1:CB$87,'Fórmula'!D40,32)&lt;&gt;"",INDEX(properties!A$1:CB$87,'Fórmula'!D40,32)),IF(INDEX(properties!A$1:CB$87,'Fórmula'!F40,32)&lt;&gt;"",INDEX(properties!A$1:CB$87,'Fórmula'!F40,32)),IF(INDEX(properties!A$1:CB$87,'Fórmula'!H40,32)&lt;&gt;"",INDEX(properties!A$1:CB$87,'Fórmula'!H40,32)),IF(INDEX(properties!A$1:CB$87,'Fórmula'!J40,32)&lt;&gt;"",INDEX(properties!A$1:CB$87,'Fórmula'!J40,32)))</f>
        <v>6.603896</v>
      </c>
      <c r="DC40" s="119">
        <f t="array" ref="DC40">MAX(INDEX(properties!A$1:CB$87,'Fórmula'!B40,32),INDEX(properties!A$1:CB$87,'Fórmula'!D40,32),INDEX(properties!A$1:CB$87,'Fórmula'!F40,32),INDEX(properties!A$1:CB$87,'Fórmula'!H40,32),INDEX(properties!A$1:CB$87,'Fórmula'!J40,32))</f>
        <v>7.54</v>
      </c>
      <c r="DD40" s="119">
        <f t="array" ref="DD40">MIN(IF(INDEX(properties!A$1:CB$87,'Fórmula'!B40,32)=0,10^6,INDEX(properties!A$1:CB$87,'Fórmula'!B40,32)),IF(INDEX(properties!A$1:CB$87,'Fórmula'!D40,32)=0,10^6,INDEX(properties!A$1:CB$87,'Fórmula'!D40,32)),IF(INDEX(properties!A$1:CB$87,'Fórmula'!F40,32)=0,10^6,INDEX(properties!A$1:CB$87,'Fórmula'!F40,32)),IF(INDEX(properties!A$1:CB$87,'Fórmula'!H40,32)=0,10^6,INDEX(properties!A$1:CB$87,'Fórmula'!H40,32)),IF(INDEX(properties!A$1:CB$87,'Fórmula'!J40,32)=0,10^6,INDEX(properties!A$1:CB$87,'Fórmula'!J40,32)))</f>
        <v>2</v>
      </c>
      <c r="DE40" s="119">
        <f t="shared" si="18"/>
        <v>5.54</v>
      </c>
      <c r="DF40" s="104">
        <f t="array" ref="DF40">(('Fórmula'!C40)/('Fórmula'!C40+'Fórmula'!E40+'Fórmula'!G40+'Fórmula'!I40+'Fórmula'!K40))*(INDEX(properties!A$1:CB$87,'Fórmula'!B40,34))+(('Fórmula'!E40)/('Fórmula'!C40+'Fórmula'!E40+'Fórmula'!G40+'Fórmula'!I40+'Fórmula'!K40))*(INDEX(properties!A$1:CB$87,'Fórmula'!D40,34))+(('Fórmula'!G40)/('Fórmula'!C40+'Fórmula'!E40+'Fórmula'!G40+'Fórmula'!I40+'Fórmula'!K40))*(INDEX(properties!A$1:CB$87,'Fórmula'!F40,34))+(('Fórmula'!I40)/('Fórmula'!C40+'Fórmula'!E40+'Fórmula'!G40+'Fórmula'!I40+'Fórmula'!K40))*(INDEX(properties!A$1:CB$87,'Fórmula'!H40,34))+(('Fórmula'!K40)/('Fórmula'!C40+'Fórmula'!E40+'Fórmula'!G40+'Fórmula'!I40+'Fórmula'!K40))*(INDEX(properties!A$1:CB$87,'Fórmula'!J40,34))</f>
        <v>2.718166667</v>
      </c>
      <c r="DG40" s="104">
        <f t="array" ref="DG40">'Fórmula'!C40*(INDEX(properties!A$1:CB$87,'Fórmula'!B40,34))+'Fórmula'!E40*(INDEX(properties!A$1:CB$87,'Fórmula'!D40,34))+'Fórmula'!G40*(INDEX(properties!A$1:CB$87,'Fórmula'!F40,34))+'Fórmula'!I40*(INDEX(properties!A$1:CB$87,'Fórmula'!H40,34))+'Fórmula'!K40*(INDEX(properties!A$1:CB$87,'Fórmula'!J40,34))</f>
        <v>32.618</v>
      </c>
      <c r="DH40" s="104">
        <f t="array" ref="DH40">VARP(IF(INDEX(properties!A$1:CB$87,'Fórmula'!B40,34)&lt;&gt;"",INDEX(properties!A$1:CB$87,'Fórmula'!B40,34)),IF(INDEX(properties!A$1:CB$87,'Fórmula'!D40,34)&lt;&gt;"",INDEX(properties!A$1:CB$87,'Fórmula'!D40,34)),IF(INDEX(properties!A$1:CB$87,'Fórmula'!F40,34)&lt;&gt;"",INDEX(properties!A$1:CB$87,'Fórmula'!F40,34)),IF(INDEX(properties!A$1:CB$87,'Fórmula'!H40,34)&lt;&gt;"",INDEX(properties!A$1:CB$87,'Fórmula'!H40,34)),IF(INDEX(properties!A$1:CB$87,'Fórmula'!J40,34)&lt;&gt;"",INDEX(properties!A$1:CB$87,'Fórmula'!J40,34)))</f>
        <v>1.42091536</v>
      </c>
      <c r="DI40" s="104">
        <f t="array" ref="DI40">MAX(INDEX(properties!A$1:CB$87,'Fórmula'!B40,34),INDEX(properties!A$1:CB$87,'Fórmula'!D40,34),INDEX(properties!A$1:CB$87,'Fórmula'!F40,34),INDEX(properties!A$1:CB$87,'Fórmula'!H40,34),INDEX(properties!A$1:CB$87,'Fórmula'!J40,34))</f>
        <v>3.61</v>
      </c>
      <c r="DJ40" s="104">
        <f t="array" ref="DJ40">MIN(IF(INDEX(properties!A$1:CB$87,'Fórmula'!B40,34)=0,10^6,INDEX(properties!A$1:CB$87,'Fórmula'!B40,34)),IF(INDEX(properties!A$1:CB$87,'Fórmula'!D40,34)=0,10^6,INDEX(properties!A$1:CB$87,'Fórmula'!D40,34)),IF(INDEX(properties!A$1:CB$87,'Fórmula'!F40,34)=0,10^6,INDEX(properties!A$1:CB$87,'Fórmula'!F40,34)),IF(INDEX(properties!A$1:CB$87,'Fórmula'!H40,34)=0,10^6,INDEX(properties!A$1:CB$87,'Fórmula'!H40,34)),IF(INDEX(properties!A$1:CB$87,'Fórmula'!J40,34)=0,10^6,INDEX(properties!A$1:CB$87,'Fórmula'!J40,34)))</f>
        <v>0.963</v>
      </c>
      <c r="DK40" s="104">
        <f t="shared" si="19"/>
        <v>2.647</v>
      </c>
      <c r="DL40" s="105">
        <f t="array" ref="DL40">(('Fórmula'!C40)/('Fórmula'!C40+'Fórmula'!E40+'Fórmula'!G40+'Fórmula'!I40+'Fórmula'!K40))*(INDEX(properties!A$1:CB$87,'Fórmula'!B40,37))+(('Fórmula'!E40)/('Fórmula'!C40+'Fórmula'!E40+'Fórmula'!G40+'Fórmula'!I40+'Fórmula'!K40))*(INDEX(properties!A$1:CB$87,'Fórmula'!D40,37))+(('Fórmula'!G40)/('Fórmula'!C40+'Fórmula'!E40+'Fórmula'!G40+'Fórmula'!I40+'Fórmula'!K40))*(INDEX(properties!A$1:CB$87,'Fórmula'!F40,37))+(('Fórmula'!I40)/('Fórmula'!C40+'Fórmula'!E40+'Fórmula'!G40+'Fórmula'!I40+'Fórmula'!K40))*(INDEX(properties!A$1:CB$87,'Fórmula'!H40,37))+(('Fórmula'!K40)/('Fórmula'!C40+'Fórmula'!E40+'Fórmula'!G40+'Fórmula'!I40+'Fórmula'!K40))*(INDEX(properties!A$1:CB$87,'Fórmula'!J40,37))</f>
        <v>2.579166667</v>
      </c>
      <c r="DM40" s="105">
        <f t="array" ref="DM40">'Fórmula'!C40*(INDEX(properties!A$1:CB$87,'Fórmula'!B40,37))+'Fórmula'!E40*(INDEX(properties!A$1:CB$87,'Fórmula'!D40,37))+'Fórmula'!G40*(INDEX(properties!A$1:CB$87,'Fórmula'!F40,37))+'Fórmula'!I40*(INDEX(properties!A$1:CB$87,'Fórmula'!H40,37))+'Fórmula'!K40*(INDEX(properties!A$1:CB$87,'Fórmula'!J40,37))</f>
        <v>30.95</v>
      </c>
      <c r="DN40" s="105">
        <f t="array" ref="DN40">VARP(IF(INDEX(properties!A$1:CB$87,'Fórmula'!B40,37)&lt;&gt;"",INDEX(properties!A$1:CB$87,'Fórmula'!B40,37)),IF(INDEX(properties!A$1:CB$87,'Fórmula'!D40,37)&lt;&gt;"",INDEX(properties!A$1:CB$87,'Fórmula'!D40,37)),IF(INDEX(properties!A$1:CB$87,'Fórmula'!F40,37)&lt;&gt;"",INDEX(properties!A$1:CB$87,'Fórmula'!F40,37)),IF(INDEX(properties!A$1:CB$87,'Fórmula'!H40,37)&lt;&gt;"",INDEX(properties!A$1:CB$87,'Fórmula'!H40,37)),IF(INDEX(properties!A$1:CB$87,'Fórmula'!J40,37)&lt;&gt;"",INDEX(properties!A$1:CB$87,'Fórmula'!J40,37)))</f>
        <v>1.2964</v>
      </c>
      <c r="DO40" s="105">
        <f t="array" ref="DO40">MAX(INDEX(properties!A$1:CB$87,'Fórmula'!B40,37),INDEX(properties!A$1:CB$87,'Fórmula'!D40,37),INDEX(properties!A$1:CB$87,'Fórmula'!F40,37),INDEX(properties!A$1:CB$87,'Fórmula'!H40,37),INDEX(properties!A$1:CB$87,'Fórmula'!J40,37))</f>
        <v>3.45</v>
      </c>
      <c r="DP40" s="105">
        <f t="array" ref="DP40">MIN(IF(INDEX(properties!A$1:CB$87,'Fórmula'!B40,37)=0,10^6,INDEX(properties!A$1:CB$87,'Fórmula'!B40,37)),IF(INDEX(properties!A$1:CB$87,'Fórmula'!D40,37)=0,10^6,INDEX(properties!A$1:CB$87,'Fórmula'!D40,37)),IF(INDEX(properties!A$1:CB$87,'Fórmula'!F40,37)=0,10^6,INDEX(properties!A$1:CB$87,'Fórmula'!F40,37)),IF(INDEX(properties!A$1:CB$87,'Fórmula'!H40,37)=0,10^6,INDEX(properties!A$1:CB$87,'Fórmula'!H40,37)),IF(INDEX(properties!A$1:CB$87,'Fórmula'!J40,37)=0,10^6,INDEX(properties!A$1:CB$87,'Fórmula'!J40,37)))</f>
        <v>1</v>
      </c>
      <c r="DQ40" s="105">
        <f t="shared" si="20"/>
        <v>2.45</v>
      </c>
      <c r="DR40" s="109">
        <f t="array" ref="DR40">(('Fórmula'!C40)/('Fórmula'!C40+'Fórmula'!E40+'Fórmula'!G40+'Fórmula'!I40+'Fórmula'!K40))*(INDEX(properties!A$1:CB$87,'Fórmula'!B40,39))+(('Fórmula'!E40)/('Fórmula'!C40+'Fórmula'!E40+'Fórmula'!G40+'Fórmula'!I40+'Fórmula'!K40))*(INDEX(properties!A$1:CB$87,'Fórmula'!D40,39))+(('Fórmula'!G40)/('Fórmula'!C40+'Fórmula'!E40+'Fórmula'!G40+'Fórmula'!I40+'Fórmula'!K40))*(INDEX(properties!A$1:CB$87,'Fórmula'!F40,39))+(('Fórmula'!I40)/('Fórmula'!C40+'Fórmula'!E40+'Fórmula'!G40+'Fórmula'!I40+'Fórmula'!K40))*(INDEX(properties!A$1:CB$87,'Fórmula'!H40,39))+(('Fórmula'!K40)/('Fórmula'!C40+'Fórmula'!E40+'Fórmula'!G40+'Fórmula'!I40+'Fórmula'!K40))*(INDEX(properties!A$1:CB$87,'Fórmula'!J40,39))</f>
        <v>0.9483333333</v>
      </c>
      <c r="DS40" s="109">
        <f t="array" ref="DS40">'Fórmula'!C40*(INDEX(properties!A$1:CB$87,'Fórmula'!B40,39))+'Fórmula'!E40*(INDEX(properties!A$1:CB$87,'Fórmula'!D40,39))+'Fórmula'!G40*(INDEX(properties!A$1:CB$87,'Fórmula'!F40,39))+'Fórmula'!I40*(INDEX(properties!A$1:CB$87,'Fórmula'!H40,39))+'Fórmula'!K40*(INDEX(properties!A$1:CB$87,'Fórmula'!J40,39))</f>
        <v>11.38</v>
      </c>
      <c r="DT40" s="109">
        <f t="array" ref="DT40">VARP(IF(INDEX(properties!A$1:CB$87,'Fórmula'!B40,39)&lt;&gt;"",INDEX(properties!A$1:CB$87,'Fórmula'!B40,39)),IF(INDEX(properties!A$1:CB$87,'Fórmula'!D40,39)&lt;&gt;"",INDEX(properties!A$1:CB$87,'Fórmula'!D40,39)),IF(INDEX(properties!A$1:CB$87,'Fórmula'!F40,39)&lt;&gt;"",INDEX(properties!A$1:CB$87,'Fórmula'!F40,39)),IF(INDEX(properties!A$1:CB$87,'Fórmula'!H40,39)&lt;&gt;"",INDEX(properties!A$1:CB$87,'Fórmula'!H40,39)),IF(INDEX(properties!A$1:CB$87,'Fórmula'!J40,39)&lt;&gt;"",INDEX(properties!A$1:CB$87,'Fórmula'!J40,39)))</f>
        <v>0.5734</v>
      </c>
      <c r="DU40" s="120">
        <f t="array" ref="DU40">MAX(INDEX(properties!A$1:CB$87,'Fórmula'!B40,39),INDEX(properties!A$1:CB$87,'Fórmula'!D40,39),INDEX(properties!A$1:CB$87,'Fórmula'!F40,39),INDEX(properties!A$1:CB$87,'Fórmula'!H40,39),INDEX(properties!A$1:CB$87,'Fórmula'!J40,39))</f>
        <v>2.19</v>
      </c>
      <c r="DV40" s="120">
        <f t="array" ref="DV40">MIN(IF(INDEX(properties!A$1:CB$87,'Fórmula'!B40,39)=0,10^6,INDEX(properties!A$1:CB$87,'Fórmula'!B40,39)),IF(INDEX(properties!A$1:CB$87,'Fórmula'!D40,39)=0,10^6,INDEX(properties!A$1:CB$87,'Fórmula'!D40,39)),IF(INDEX(properties!A$1:CB$87,'Fórmula'!F40,39)=0,10^6,INDEX(properties!A$1:CB$87,'Fórmula'!F40,39)),IF(INDEX(properties!A$1:CB$87,'Fórmula'!H40,39)=0,10^6,INDEX(properties!A$1:CB$87,'Fórmula'!H40,39)),IF(INDEX(properties!A$1:CB$87,'Fórmula'!J40,39)=0,10^6,INDEX(properties!A$1:CB$87,'Fórmula'!J40,39)))</f>
        <v>0.48</v>
      </c>
      <c r="DW40" s="109">
        <f t="shared" si="21"/>
        <v>1.71</v>
      </c>
      <c r="DX40" s="110">
        <f t="array" ref="DX40">(('Fórmula'!C40)/('Fórmula'!C40+'Fórmula'!E40+'Fórmula'!G40+'Fórmula'!I40+'Fórmula'!K40))*(INDEX(properties!A$1:CB$87,'Fórmula'!B40,40))+(('Fórmula'!E40)/('Fórmula'!C40+'Fórmula'!E40+'Fórmula'!G40+'Fórmula'!I40+'Fórmula'!K40))*(INDEX(properties!A$1:CB$87,'Fórmula'!D40,40))+(('Fórmula'!G40)/('Fórmula'!C40+'Fórmula'!E40+'Fórmula'!G40+'Fórmula'!I40+'Fórmula'!K40))*(INDEX(properties!A$1:CB$87,'Fórmula'!F40,40))+(('Fórmula'!I40)/('Fórmula'!C40+'Fórmula'!E40+'Fórmula'!G40+'Fórmula'!I40+'Fórmula'!K40))*(INDEX(properties!A$1:CB$87,'Fórmula'!H40,40))+(('Fórmula'!K40)/('Fórmula'!C40+'Fórmula'!E40+'Fórmula'!G40+'Fórmula'!I40+'Fórmula'!K40))*(INDEX(properties!A$1:CB$87,'Fórmula'!J40,40))</f>
        <v>1.04</v>
      </c>
      <c r="DY40" s="110">
        <f t="array" ref="DY40">'Fórmula'!C40*(INDEX(properties!A$1:CB$87,'Fórmula'!B40,40))+'Fórmula'!E40*(INDEX(properties!A$1:CB$87,'Fórmula'!D40,40))+'Fórmula'!G40*(INDEX(properties!A$1:CB$87,'Fórmula'!F40,40))+'Fórmula'!I40*(INDEX(properties!A$1:CB$87,'Fórmula'!H40,40))+'Fórmula'!K40*(INDEX(properties!A$1:CB$87,'Fórmula'!J40,40))</f>
        <v>12.48</v>
      </c>
      <c r="DZ40" s="110">
        <f t="array" ref="DZ40">VARP(IF(INDEX(properties!A$1:CB$87,'Fórmula'!B40,40)&lt;&gt;"",INDEX(properties!A$1:CB$87,'Fórmula'!B40,40)),IF(INDEX(properties!A$1:CB$87,'Fórmula'!D40,40)&lt;&gt;"",INDEX(properties!A$1:CB$87,'Fórmula'!D40,40)),IF(INDEX(properties!A$1:CB$87,'Fórmula'!F40,40)&lt;&gt;"",INDEX(properties!A$1:CB$87,'Fórmula'!F40,40)),IF(INDEX(properties!A$1:CB$87,'Fórmula'!H40,40)&lt;&gt;"",INDEX(properties!A$1:CB$87,'Fórmula'!H40,40)),IF(INDEX(properties!A$1:CB$87,'Fórmula'!J40,40)&lt;&gt;"",INDEX(properties!A$1:CB$87,'Fórmula'!J40,40)))</f>
        <v>0.405304</v>
      </c>
      <c r="EA40" s="121">
        <f t="array" ref="EA40">MAX(INDEX(properties!A$1:CB$87,'Fórmula'!B40,40),INDEX(properties!A$1:CB$87,'Fórmula'!D40,40),INDEX(properties!A$1:CB$87,'Fórmula'!F40,40),INDEX(properties!A$1:CB$87,'Fórmula'!H40,40),INDEX(properties!A$1:CB$87,'Fórmula'!J40,40))</f>
        <v>1.92</v>
      </c>
      <c r="EB40" s="121">
        <f t="array" ref="EB40">MIN(IF(INDEX(properties!A$1:CB$87,'Fórmula'!B40,40)=0,10^6,INDEX(properties!A$1:CB$87,'Fórmula'!B40,40)),IF(INDEX(properties!A$1:CB$87,'Fórmula'!D40,40)=0,10^6,INDEX(properties!A$1:CB$87,'Fórmula'!D40,40)),IF(INDEX(properties!A$1:CB$87,'Fórmula'!F40,40)=0,10^6,INDEX(properties!A$1:CB$87,'Fórmula'!F40,40)),IF(INDEX(properties!A$1:CB$87,'Fórmula'!H40,40)=0,10^6,INDEX(properties!A$1:CB$87,'Fórmula'!H40,40)),IF(INDEX(properties!A$1:CB$87,'Fórmula'!J40,40)=0,10^6,INDEX(properties!A$1:CB$87,'Fórmula'!J40,40)))</f>
        <v>0.73</v>
      </c>
      <c r="EC40" s="110">
        <f t="shared" si="22"/>
        <v>1.19</v>
      </c>
      <c r="ED40" s="111">
        <f t="array" ref="ED40">(('Fórmula'!C40)/('Fórmula'!C40+'Fórmula'!E40+'Fórmula'!G40+'Fórmula'!I40+'Fórmula'!K40))*(INDEX(properties!A$1:CB$87,'Fórmula'!B40,41))+(('Fórmula'!E40)/('Fórmula'!C40+'Fórmula'!E40+'Fórmula'!G40+'Fórmula'!I40+'Fórmula'!K40))*(INDEX(properties!A$1:CB$87,'Fórmula'!D40,41))+(('Fórmula'!G40)/('Fórmula'!C40+'Fórmula'!E40+'Fórmula'!G40+'Fórmula'!I40+'Fórmula'!K40))*(INDEX(properties!A$1:CB$87,'Fórmula'!F40,41))+(('Fórmula'!I40)/('Fórmula'!C40+'Fórmula'!E40+'Fórmula'!G40+'Fórmula'!I40+'Fórmula'!K40))*(INDEX(properties!A$1:CB$87,'Fórmula'!H40,41))+(('Fórmula'!K40)/('Fórmula'!C40+'Fórmula'!E40+'Fórmula'!G40+'Fórmula'!I40+'Fórmula'!K40))*(INDEX(properties!A$1:CB$87,'Fórmula'!J40,41))</f>
        <v>1.118333333</v>
      </c>
      <c r="EE40" s="111">
        <f t="array" ref="EE40">'Fórmula'!C40*(INDEX(properties!A$1:CB$87,'Fórmula'!B40,41))+'Fórmula'!E40*(INDEX(properties!A$1:CB$87,'Fórmula'!D40,41))+'Fórmula'!G40*(INDEX(properties!A$1:CB$87,'Fórmula'!F40,41))+'Fórmula'!I40*(INDEX(properties!A$1:CB$87,'Fórmula'!H40,41))+'Fórmula'!K40*(INDEX(properties!A$1:CB$87,'Fórmula'!J40,41))</f>
        <v>13.42</v>
      </c>
      <c r="EF40" s="111">
        <f t="array" ref="EF40">VARP(IF(INDEX(properties!A$1:CB$87,'Fórmula'!B40,41)&lt;&gt;"",INDEX(properties!A$1:CB$87,'Fórmula'!B40,41)),IF(INDEX(properties!A$1:CB$87,'Fórmula'!D40,41)&lt;&gt;"",INDEX(properties!A$1:CB$87,'Fórmula'!D40,41)),IF(INDEX(properties!A$1:CB$87,'Fórmula'!F40,41)&lt;&gt;"",INDEX(properties!A$1:CB$87,'Fórmula'!F40,41)),IF(INDEX(properties!A$1:CB$87,'Fórmula'!H40,41)&lt;&gt;"",INDEX(properties!A$1:CB$87,'Fórmula'!H40,41)),IF(INDEX(properties!A$1:CB$87,'Fórmula'!J40,41)&lt;&gt;"",INDEX(properties!A$1:CB$87,'Fórmula'!J40,41)))</f>
        <v>0.2392</v>
      </c>
      <c r="EG40" s="122">
        <f t="array" ref="EG40">MAX(INDEX(properties!A$1:CB$87,'Fórmula'!B40,41),INDEX(properties!A$1:CB$87,'Fórmula'!D40,41),INDEX(properties!A$1:CB$87,'Fórmula'!F40,41),INDEX(properties!A$1:CB$87,'Fórmula'!H40,41),INDEX(properties!A$1:CB$87,'Fórmula'!J40,41))</f>
        <v>1.32</v>
      </c>
      <c r="EH40" s="122">
        <f t="array" ref="EH40">MIN(IF(INDEX(properties!A$1:CB$87,'Fórmula'!B40,41)=0,10^6,INDEX(properties!A$1:CB$87,'Fórmula'!B40,41)),IF(INDEX(properties!A$1:CB$87,'Fórmula'!D40,41)=0,10^6,INDEX(properties!A$1:CB$87,'Fórmula'!D40,41)),IF(INDEX(properties!A$1:CB$87,'Fórmula'!F40,41)=0,10^6,INDEX(properties!A$1:CB$87,'Fórmula'!F40,41)),IF(INDEX(properties!A$1:CB$87,'Fórmula'!H40,41)=0,10^6,INDEX(properties!A$1:CB$87,'Fórmula'!H40,41)),IF(INDEX(properties!A$1:CB$87,'Fórmula'!J40,41)=0,10^6,INDEX(properties!A$1:CB$87,'Fórmula'!J40,41)))</f>
        <v>0.54</v>
      </c>
      <c r="EI40" s="111">
        <f t="shared" si="23"/>
        <v>0.78</v>
      </c>
      <c r="EJ40" s="112">
        <f t="array" ref="EJ40">(('Fórmula'!C40)/('Fórmula'!C40+'Fórmula'!E40+'Fórmula'!G40+'Fórmula'!I40+'Fórmula'!K40))*(INDEX(properties!A$1:CB$87,'Fórmula'!B40,45))+(('Fórmula'!E40)/('Fórmula'!C40+'Fórmula'!E40+'Fórmula'!G40+'Fórmula'!I40+'Fórmula'!K40))*(INDEX(properties!A$1:CB$87,'Fórmula'!D40,45))+(('Fórmula'!G40)/('Fórmula'!C40+'Fórmula'!E40+'Fórmula'!G40+'Fórmula'!I40+'Fórmula'!K40))*(INDEX(properties!A$1:CB$87,'Fórmula'!F40,45))+(('Fórmula'!I40)/('Fórmula'!C40+'Fórmula'!E40+'Fórmula'!G40+'Fórmula'!I40+'Fórmula'!K40))*(INDEX(properties!A$1:CB$87,'Fórmula'!H40,45))+(('Fórmula'!K40)/('Fórmula'!C40+'Fórmula'!E40+'Fórmula'!G40+'Fórmula'!I40+'Fórmula'!K40))*(INDEX(properties!A$1:CB$87,'Fórmula'!J40,45))</f>
        <v>1.2025</v>
      </c>
      <c r="EK40" s="112">
        <f t="array" ref="EK40">'Fórmula'!C40*(INDEX(properties!A$1:CB$87,'Fórmula'!B40,45))+'Fórmula'!E40*(INDEX(properties!A$1:CB$87,'Fórmula'!D40,45))+'Fórmula'!G40*(INDEX(properties!A$1:CB$87,'Fórmula'!F40,45))+'Fórmula'!I40*(INDEX(properties!A$1:CB$87,'Fórmula'!H40,45))+'Fórmula'!K40*(INDEX(properties!A$1:CB$87,'Fórmula'!J40,45))</f>
        <v>14.43</v>
      </c>
      <c r="EL40" s="112">
        <f t="array" ref="EL40">VARP(IF(INDEX(properties!A$1:CB$87,'Fórmula'!B40,45)&lt;&gt;"",INDEX(properties!A$1:CB$87,'Fórmula'!B40,45)),IF(INDEX(properties!A$1:CB$87,'Fórmula'!D40,45)&lt;&gt;"",INDEX(properties!A$1:CB$87,'Fórmula'!D40,45)),IF(INDEX(properties!A$1:CB$87,'Fórmula'!F40,45)&lt;&gt;"",INDEX(properties!A$1:CB$87,'Fórmula'!F40,45)),IF(INDEX(properties!A$1:CB$87,'Fórmula'!H40,45)&lt;&gt;"",INDEX(properties!A$1:CB$87,'Fórmula'!H40,45)),IF(INDEX(properties!A$1:CB$87,'Fórmula'!J40,45)&lt;&gt;"",INDEX(properties!A$1:CB$87,'Fórmula'!J40,45)))</f>
        <v>1.266344</v>
      </c>
      <c r="EM40" s="123">
        <f t="array" ref="EM40">MAX(INDEX(properties!A$1:CB$87,'Fórmula'!B40,45),INDEX(properties!A$1:CB$87,'Fórmula'!D40,45),INDEX(properties!A$1:CB$87,'Fórmula'!F40,45),INDEX(properties!A$1:CB$87,'Fórmula'!H40,45),INDEX(properties!A$1:CB$87,'Fórmula'!J40,45))</f>
        <v>3.21</v>
      </c>
      <c r="EN40" s="123">
        <f t="array" ref="EN40">MIN(IF(INDEX(properties!A$1:CB$87,'Fórmula'!B40,45)=0,10^6,INDEX(properties!A$1:CB$87,'Fórmula'!B40,45)),IF(INDEX(properties!A$1:CB$87,'Fórmula'!D40,45)=0,10^6,INDEX(properties!A$1:CB$87,'Fórmula'!D40,45)),IF(INDEX(properties!A$1:CB$87,'Fórmula'!F40,45)=0,10^6,INDEX(properties!A$1:CB$87,'Fórmula'!F40,45)),IF(INDEX(properties!A$1:CB$87,'Fórmula'!H40,45)=0,10^6,INDEX(properties!A$1:CB$87,'Fórmula'!H40,45)),IF(INDEX(properties!A$1:CB$87,'Fórmula'!J40,45)=0,10^6,INDEX(properties!A$1:CB$87,'Fórmula'!J40,45)))</f>
        <v>0.47</v>
      </c>
      <c r="EO40" s="112">
        <f t="shared" si="24"/>
        <v>2.74</v>
      </c>
      <c r="EP40" s="113">
        <f t="array" ref="EP40">(('Fórmula'!C40)/('Fórmula'!C40+'Fórmula'!E40+'Fórmula'!G40+'Fórmula'!I40+'Fórmula'!K40))*(INDEX(properties!A$1:CB$87,'Fórmula'!B40,46))+(('Fórmula'!E40)/('Fórmula'!C40+'Fórmula'!E40+'Fórmula'!G40+'Fórmula'!I40+'Fórmula'!K40))*(INDEX(properties!A$1:CB$87,'Fórmula'!D40,46))+(('Fórmula'!G40)/('Fórmula'!C40+'Fórmula'!E40+'Fórmula'!G40+'Fórmula'!I40+'Fórmula'!K40))*(INDEX(properties!A$1:CB$87,'Fórmula'!F40,46))+(('Fórmula'!I40)/('Fórmula'!C40+'Fórmula'!E40+'Fórmula'!G40+'Fórmula'!I40+'Fórmula'!K40))*(INDEX(properties!A$1:CB$87,'Fórmula'!H40,46))+(('Fórmula'!K40)/('Fórmula'!C40+'Fórmula'!E40+'Fórmula'!G40+'Fórmula'!I40+'Fórmula'!K40))*(INDEX(properties!A$1:CB$87,'Fórmula'!J40,46))</f>
        <v>1.054166667</v>
      </c>
      <c r="EQ40" s="113">
        <f t="array" ref="EQ40">'Fórmula'!C40*(INDEX(properties!A$1:CB$87,'Fórmula'!B40,46))+'Fórmula'!E40*(INDEX(properties!A$1:CB$87,'Fórmula'!D40,46))+'Fórmula'!G40*(INDEX(properties!A$1:CB$87,'Fórmula'!F40,46))+'Fórmula'!I40*(INDEX(properties!A$1:CB$87,'Fórmula'!H40,46))+'Fórmula'!K40*(INDEX(properties!A$1:CB$87,'Fórmula'!J40,46))</f>
        <v>12.65</v>
      </c>
      <c r="ER40" s="113">
        <f t="array" ref="ER40">VARP(IF(INDEX(properties!A$1:CB$87,'Fórmula'!B40,46)&lt;&gt;"",INDEX(properties!A$1:CB$87,'Fórmula'!B40,46)),IF(INDEX(properties!A$1:CB$87,'Fórmula'!D40,46)&lt;&gt;"",INDEX(properties!A$1:CB$87,'Fórmula'!D40,46)),IF(INDEX(properties!A$1:CB$87,'Fórmula'!F40,46)&lt;&gt;"",INDEX(properties!A$1:CB$87,'Fórmula'!F40,46)),IF(INDEX(properties!A$1:CB$87,'Fórmula'!H40,46)&lt;&gt;"",INDEX(properties!A$1:CB$87,'Fórmula'!H40,46)),IF(INDEX(properties!A$1:CB$87,'Fórmula'!J40,46)&lt;&gt;"",INDEX(properties!A$1:CB$87,'Fórmula'!J40,46)))</f>
        <v>0.244064</v>
      </c>
      <c r="ES40" s="124">
        <f t="array" ref="ES40">MAX(INDEX(properties!A$1:CB$87,'Fórmula'!B40,46),INDEX(properties!A$1:CB$87,'Fórmula'!D40,46),INDEX(properties!A$1:CB$87,'Fórmula'!F40,46),INDEX(properties!A$1:CB$87,'Fórmula'!H40,46),INDEX(properties!A$1:CB$87,'Fórmula'!J40,46))</f>
        <v>1.32</v>
      </c>
      <c r="ET40" s="124">
        <f t="array" ref="ET40">MIN(IF(INDEX(properties!A$1:CB$87,'Fórmula'!B40,46)=0,10^6,INDEX(properties!A$1:CB$87,'Fórmula'!B40,46)),IF(INDEX(properties!A$1:CB$87,'Fórmula'!D40,46)=0,10^6,INDEX(properties!A$1:CB$87,'Fórmula'!D40,46)),IF(INDEX(properties!A$1:CB$87,'Fórmula'!F40,46)=0,10^6,INDEX(properties!A$1:CB$87,'Fórmula'!F40,46)),IF(INDEX(properties!A$1:CB$87,'Fórmula'!H40,46)=0,10^6,INDEX(properties!A$1:CB$87,'Fórmula'!H40,46)),IF(INDEX(properties!A$1:CB$87,'Fórmula'!J40,46)=0,10^6,INDEX(properties!A$1:CB$87,'Fórmula'!J40,46)))</f>
        <v>0.4</v>
      </c>
      <c r="EU40" s="113">
        <f t="shared" si="25"/>
        <v>0.92</v>
      </c>
      <c r="EV40" s="114">
        <f t="array" ref="EV40">(('Fórmula'!C40)/('Fórmula'!C40+'Fórmula'!E40+'Fórmula'!G40+'Fórmula'!I40+'Fórmula'!K40))*(INDEX(properties!A$1:CB$87,'Fórmula'!B40,52))+(('Fórmula'!E40)/('Fórmula'!C40+'Fórmula'!E40+'Fórmula'!G40+'Fórmula'!I40+'Fórmula'!K40))*(INDEX(properties!A$1:CB$87,'Fórmula'!D40,52))+(('Fórmula'!G40)/('Fórmula'!C40+'Fórmula'!E40+'Fórmula'!G40+'Fórmula'!I40+'Fórmula'!K40))*(INDEX(properties!A$1:CB$87,'Fórmula'!F40,52))+(('Fórmula'!I40)/('Fórmula'!C40+'Fórmula'!E40+'Fórmula'!G40+'Fórmula'!I40+'Fórmula'!K40))*(INDEX(properties!A$1:CB$87,'Fórmula'!H40,52))+(('Fórmula'!K40)/('Fórmula'!C40+'Fórmula'!E40+'Fórmula'!G40+'Fórmula'!I40+'Fórmula'!K40))*(INDEX(properties!A$1:CB$87,'Fórmula'!J40,52))</f>
        <v>6.495916667</v>
      </c>
      <c r="EW40" s="114">
        <f t="array" ref="EW40">'Fórmula'!C40*(INDEX(properties!A$1:CB$87,'Fórmula'!B40,52))+'Fórmula'!E40*(INDEX(properties!A$1:CB$87,'Fórmula'!D40,52))+'Fórmula'!G40*(INDEX(properties!A$1:CB$87,'Fórmula'!F40,52))+'Fórmula'!I40*(INDEX(properties!A$1:CB$87,'Fórmula'!H40,52))+'Fórmula'!K40*(INDEX(properties!A$1:CB$87,'Fórmula'!J40,52))</f>
        <v>77.951</v>
      </c>
      <c r="EX40" s="114">
        <f t="array" ref="EX40">VARP(IF(INDEX(properties!A$1:CB$87,'Fórmula'!B40,52)&lt;&gt;"",INDEX(properties!A$1:CB$87,'Fórmula'!B40,52)),IF(INDEX(properties!A$1:CB$87,'Fórmula'!D40,52)&lt;&gt;"",INDEX(properties!A$1:CB$87,'Fórmula'!D40,52)),IF(INDEX(properties!A$1:CB$87,'Fórmula'!F40,52)&lt;&gt;"",INDEX(properties!A$1:CB$87,'Fórmula'!F40,52)),IF(INDEX(properties!A$1:CB$87,'Fórmula'!H40,52)&lt;&gt;"",INDEX(properties!A$1:CB$87,'Fórmula'!H40,52)),IF(INDEX(properties!A$1:CB$87,'Fórmula'!J40,52)&lt;&gt;"",INDEX(properties!A$1:CB$87,'Fórmula'!J40,52)))</f>
        <v>101.8826798</v>
      </c>
      <c r="EY40" s="114">
        <f t="array" ref="EY40">MAX(INDEX(properties!A$1:CB$87,'Fórmula'!B40,52),INDEX(properties!A$1:CB$87,'Fórmula'!D40,52),INDEX(properties!A$1:CB$87,'Fórmula'!F40,52),INDEX(properties!A$1:CB$87,'Fórmula'!H40,52),INDEX(properties!A$1:CB$87,'Fórmula'!J40,52))</f>
        <v>27.6</v>
      </c>
      <c r="EZ40" s="114">
        <f t="array" ref="EZ40">MIN(IF(INDEX(properties!A$1:CB$87,'Fórmula'!B40,52)=0,10^6,INDEX(properties!A$1:CB$87,'Fórmula'!B40,52)),IF(INDEX(properties!A$1:CB$87,'Fórmula'!D40,52)=0,10^6,INDEX(properties!A$1:CB$87,'Fórmula'!D40,52)),IF(INDEX(properties!A$1:CB$87,'Fórmula'!F40,52)=0,10^6,INDEX(properties!A$1:CB$87,'Fórmula'!F40,52)),IF(INDEX(properties!A$1:CB$87,'Fórmula'!H40,52)=0,10^6,INDEX(properties!A$1:CB$87,'Fórmula'!H40,52)),IF(INDEX(properties!A$1:CB$87,'Fórmula'!J40,52)=0,10^6,INDEX(properties!A$1:CB$87,'Fórmula'!J40,52)))</f>
        <v>0.793</v>
      </c>
      <c r="FA40" s="114">
        <f t="shared" si="26"/>
        <v>26.807</v>
      </c>
      <c r="FB40" s="115">
        <f t="array" ref="FB40">(('Fórmula'!C40)/('Fórmula'!C40+'Fórmula'!E40+'Fórmula'!G40+'Fórmula'!I40+'Fórmula'!K40))*(INDEX(properties!A$1:CB$87,'Fórmula'!B40,53))+(('Fórmula'!E40)/('Fórmula'!C40+'Fórmula'!E40+'Fórmula'!G40+'Fórmula'!I40+'Fórmula'!K40))*(INDEX(properties!A$1:CB$87,'Fórmula'!D40,53))+(('Fórmula'!G40)/('Fórmula'!C40+'Fórmula'!E40+'Fórmula'!G40+'Fórmula'!I40+'Fórmula'!K40))*(INDEX(properties!A$1:CB$87,'Fórmula'!F40,53))+(('Fórmula'!I40)/('Fórmula'!C40+'Fórmula'!E40+'Fórmula'!G40+'Fórmula'!I40+'Fórmula'!K40))*(INDEX(properties!A$1:CB$87,'Fórmula'!H40,53))+(('Fórmula'!K40)/('Fórmula'!C40+'Fórmula'!E40+'Fórmula'!G40+'Fórmula'!I40+'Fórmula'!K40))*(INDEX(properties!A$1:CB$87,'Fórmula'!J40,53))</f>
        <v>543.8833333</v>
      </c>
      <c r="FC40" s="115">
        <f t="array" ref="FC40">'Fórmula'!C40*(INDEX(properties!A$1:CB$87,'Fórmula'!B40,53))+'Fórmula'!E40*(INDEX(properties!A$1:CB$87,'Fórmula'!D40,53))+'Fórmula'!G40*(INDEX(properties!A$1:CB$87,'Fórmula'!F40,53))+'Fórmula'!I40*(INDEX(properties!A$1:CB$87,'Fórmula'!H40,53))+'Fórmula'!K40*(INDEX(properties!A$1:CB$87,'Fórmula'!J40,53))</f>
        <v>6526.6</v>
      </c>
      <c r="FD40" s="115">
        <f t="array" ref="FD40">VARP(IF(INDEX(properties!A$1:CB$87,'Fórmula'!B40,53)&lt;&gt;"",INDEX(properties!A$1:CB$87,'Fórmula'!B40,53)),IF(INDEX(properties!A$1:CB$87,'Fórmula'!D40,53)&lt;&gt;"",INDEX(properties!A$1:CB$87,'Fórmula'!D40,53)),IF(INDEX(properties!A$1:CB$87,'Fórmula'!F40,53)&lt;&gt;"",INDEX(properties!A$1:CB$87,'Fórmula'!F40,53)),IF(INDEX(properties!A$1:CB$87,'Fórmula'!H40,53)&lt;&gt;"",INDEX(properties!A$1:CB$87,'Fórmula'!H40,53)),IF(INDEX(properties!A$1:CB$87,'Fórmula'!J40,53)&lt;&gt;"",INDEX(properties!A$1:CB$87,'Fórmula'!J40,53)))</f>
        <v>397980.5404</v>
      </c>
      <c r="FE40" s="115">
        <f t="array" ref="FE40">MAX(INDEX(properties!A$1:CB$87,'Fórmula'!B40,53),INDEX(properties!A$1:CB$87,'Fórmula'!D40,53),INDEX(properties!A$1:CB$87,'Fórmula'!F40,53),INDEX(properties!A$1:CB$87,'Fórmula'!H40,53),INDEX(properties!A$1:CB$87,'Fórmula'!J40,53))</f>
        <v>1683.15</v>
      </c>
      <c r="FF40" s="115">
        <f t="array" ref="FF40">MIN(IF(INDEX(properties!A$1:CB$87,'Fórmula'!B40,53)=0,10^6,INDEX(properties!A$1:CB$87,'Fórmula'!B40,53)),IF(INDEX(properties!A$1:CB$87,'Fórmula'!D40,53)=0,10^6,INDEX(properties!A$1:CB$87,'Fórmula'!D40,53)),IF(INDEX(properties!A$1:CB$87,'Fórmula'!F40,53)=0,10^6,INDEX(properties!A$1:CB$87,'Fórmula'!F40,53)),IF(INDEX(properties!A$1:CB$87,'Fórmula'!H40,53)=0,10^6,INDEX(properties!A$1:CB$87,'Fórmula'!H40,53)),IF(INDEX(properties!A$1:CB$87,'Fórmula'!J40,53)=0,10^6,INDEX(properties!A$1:CB$87,'Fórmula'!J40,53)))</f>
        <v>54.75</v>
      </c>
      <c r="FG40" s="115">
        <f t="shared" si="27"/>
        <v>1628.4</v>
      </c>
      <c r="FH40" s="117">
        <f t="array" ref="FH40">(('Fórmula'!C40)/('Fórmula'!C40+'Fórmula'!E40+'Fórmula'!G40+'Fórmula'!I40+'Fórmula'!K40))*(INDEX(properties!A$1:CB$87,'Fórmula'!B40,54))+(('Fórmula'!E40)/('Fórmula'!C40+'Fórmula'!E40+'Fórmula'!G40+'Fórmula'!I40+'Fórmula'!K40))*(INDEX(properties!A$1:CB$87,'Fórmula'!D40,54))+(('Fórmula'!G40)/('Fórmula'!C40+'Fórmula'!E40+'Fórmula'!G40+'Fórmula'!I40+'Fórmula'!K40))*(INDEX(properties!A$1:CB$87,'Fórmula'!F40,54))+(('Fórmula'!I40)/('Fórmula'!C40+'Fórmula'!E40+'Fórmula'!G40+'Fórmula'!I40+'Fórmula'!K40))*(INDEX(properties!A$1:CB$87,'Fórmula'!H40,54))+(('Fórmula'!K40)/('Fórmula'!C40+'Fórmula'!E40+'Fórmula'!G40+'Fórmula'!I40+'Fórmula'!K40))*(INDEX(properties!A$1:CB$87,'Fórmula'!J40,54))</f>
        <v>865.0666667</v>
      </c>
      <c r="FI40" s="117">
        <f t="array" ref="FI40">'Fórmula'!C40*(INDEX(properties!A$1:CB$87,'Fórmula'!B40,54))+'Fórmula'!E40*(INDEX(properties!A$1:CB$87,'Fórmula'!D40,54))+'Fórmula'!G40*(INDEX(properties!A$1:CB$87,'Fórmula'!F40,54))+'Fórmula'!I40*(INDEX(properties!A$1:CB$87,'Fórmula'!H40,54))+'Fórmula'!K40*(INDEX(properties!A$1:CB$87,'Fórmula'!J40,54))</f>
        <v>10380.8</v>
      </c>
      <c r="FJ40" s="117">
        <f t="array" ref="FJ40">VARP(IF(INDEX(properties!A$1:CB$87,'Fórmula'!B40,54)&lt;&gt;"",INDEX(properties!A$1:CB$87,'Fórmula'!B40,54)),IF(INDEX(properties!A$1:CB$87,'Fórmula'!D40,54)&lt;&gt;"",INDEX(properties!A$1:CB$87,'Fórmula'!D40,54)),IF(INDEX(properties!A$1:CB$87,'Fórmula'!F40,54)&lt;&gt;"",INDEX(properties!A$1:CB$87,'Fórmula'!F40,54)),IF(INDEX(properties!A$1:CB$87,'Fórmula'!H40,54)&lt;&gt;"",INDEX(properties!A$1:CB$87,'Fórmula'!H40,54)),IF(INDEX(properties!A$1:CB$87,'Fórmula'!J40,54)&lt;&gt;"",INDEX(properties!A$1:CB$87,'Fórmula'!J40,54)))</f>
        <v>976224.8116</v>
      </c>
      <c r="FK40" s="117">
        <f t="array" ref="FK40">MAX(INDEX(properties!A$1:CB$87,'Fórmula'!B40,54),INDEX(properties!A$1:CB$87,'Fórmula'!D40,54),INDEX(properties!A$1:CB$87,'Fórmula'!F40,54),INDEX(properties!A$1:CB$87,'Fórmula'!H40,54),INDEX(properties!A$1:CB$87,'Fórmula'!J40,54))</f>
        <v>2628.15</v>
      </c>
      <c r="FL40" s="117">
        <f t="array" ref="FL40">MIN(IF(INDEX(properties!A$1:CB$87,'Fórmula'!B40,54)=0,10^6,INDEX(properties!A$1:CB$87,'Fórmula'!B40,54)),IF(INDEX(properties!A$1:CB$87,'Fórmula'!D40,54)=0,10^6,INDEX(properties!A$1:CB$87,'Fórmula'!D40,54)),IF(INDEX(properties!A$1:CB$87,'Fórmula'!F40,54)=0,10^6,INDEX(properties!A$1:CB$87,'Fórmula'!F40,54)),IF(INDEX(properties!A$1:CB$87,'Fórmula'!H40,54)=0,10^6,INDEX(properties!A$1:CB$87,'Fórmula'!H40,54)),IF(INDEX(properties!A$1:CB$87,'Fórmula'!J40,54)=0,10^6,INDEX(properties!A$1:CB$87,'Fórmula'!J40,54)))</f>
        <v>90.15</v>
      </c>
      <c r="FM40" s="117">
        <f t="shared" si="28"/>
        <v>2538</v>
      </c>
      <c r="FN40" s="118">
        <f t="array" ref="FN40">(('Fórmula'!C40)/('Fórmula'!C40+'Fórmula'!E40+'Fórmula'!G40+'Fórmula'!I40+'Fórmula'!K40))*(INDEX(properties!A$1:CB$87,'Fórmula'!B40,55))+(('Fórmula'!E40)/('Fórmula'!C40+'Fórmula'!E40+'Fórmula'!G40+'Fórmula'!I40+'Fórmula'!K40))*(INDEX(properties!A$1:CB$87,'Fórmula'!D40,55))+(('Fórmula'!G40)/('Fórmula'!C40+'Fórmula'!E40+'Fórmula'!G40+'Fórmula'!I40+'Fórmula'!K40))*(INDEX(properties!A$1:CB$87,'Fórmula'!F40,55))+(('Fórmula'!I40)/('Fórmula'!C40+'Fórmula'!E40+'Fórmula'!G40+'Fórmula'!I40+'Fórmula'!K40))*(INDEX(properties!A$1:CB$87,'Fórmula'!H40,55))+(('Fórmula'!K40)/('Fórmula'!C40+'Fórmula'!E40+'Fórmula'!G40+'Fórmula'!I40+'Fórmula'!K40))*(INDEX(properties!A$1:CB$87,'Fórmula'!J40,55))</f>
        <v>1.4216675</v>
      </c>
      <c r="FO40" s="118">
        <f t="array" ref="FO40">'Fórmula'!C40*(INDEX(properties!A$1:CB$87,'Fórmula'!B40,55))+'Fórmula'!E40*(INDEX(properties!A$1:CB$87,'Fórmula'!D40,54))+'Fórmula'!G40*(INDEX(properties!A$1:CB$87,'Fórmula'!F40,55))+'Fórmula'!I40*(INDEX(properties!A$1:CB$87,'Fórmula'!H40,55))+'Fórmula'!K40*(INDEX(properties!A$1:CB$87,'Fórmula'!J40,55))</f>
        <v>1189.08001</v>
      </c>
      <c r="FP40" s="118">
        <f t="array" ref="FP40">VARP(IF(INDEX(properties!A$1:CB$87,'Fórmula'!B40,55)&lt;&gt;"",INDEX(properties!A$1:CB$87,'Fórmula'!B40,55)),IF(INDEX(properties!A$1:CB$87,'Fórmula'!D40,55)&lt;&gt;"",INDEX(properties!A$1:CB$87,'Fórmula'!D40,55)),IF(INDEX(properties!A$1:CB$87,'Fórmula'!F40,55)&lt;&gt;"",INDEX(properties!A$1:CB$87,'Fórmula'!F40,55)),IF(INDEX(properties!A$1:CB$87,'Fórmula'!H40,55)&lt;&gt;"",INDEX(properties!A$1:CB$87,'Fórmula'!H40,55)),IF(INDEX(properties!A$1:CB$87,'Fórmula'!J40,55)&lt;&gt;"",INDEX(properties!A$1:CB$87,'Fórmula'!J40,55)))</f>
        <v>6.788433231</v>
      </c>
      <c r="FQ40" s="118">
        <f t="array" ref="FQ40">MAX(INDEX(properties!A$1:CB$87,'Fórmula'!B40,55),INDEX(properties!A$1:CB$87,'Fórmula'!D40,55),INDEX(properties!A$1:CB$87,'Fórmula'!F40,55),INDEX(properties!A$1:CB$87,'Fórmula'!H40,55),INDEX(properties!A$1:CB$87,'Fórmula'!J40,55))</f>
        <v>7.13</v>
      </c>
      <c r="FR40" s="118">
        <f t="array" ref="FR40">MIN(IF(INDEX(properties!A$1:CB$87,'Fórmula'!B40,55)=0,10^6,INDEX(properties!A$1:CB$87,'Fórmula'!B40,55)),IF(INDEX(properties!A$1:CB$87,'Fórmula'!D40,55)=0,10^6,INDEX(properties!A$1:CB$87,'Fórmula'!D40,55)),IF(INDEX(properties!A$1:CB$87,'Fórmula'!F40,55)=0,10^6,INDEX(properties!A$1:CB$87,'Fórmula'!F40,55)),IF(INDEX(properties!A$1:CB$87,'Fórmula'!H40,55)=0,10^6,INDEX(properties!A$1:CB$87,'Fórmula'!H40,55)),IF(INDEX(properties!A$1:CB$87,'Fórmula'!J40,55)=0,10^6,INDEX(properties!A$1:CB$87,'Fórmula'!J40,55)))</f>
        <v>0.00143</v>
      </c>
      <c r="FS40" s="118">
        <f t="shared" si="29"/>
        <v>7.12857</v>
      </c>
      <c r="FT40" s="119">
        <f t="array" ref="FT40">(('Fórmula'!C40)/('Fórmula'!C40+'Fórmula'!E40+'Fórmula'!G40+'Fórmula'!I40+'Fórmula'!K40))*(INDEX(properties!A$1:CB$87,'Fórmula'!B40,56))+(('Fórmula'!E40)/('Fórmula'!C40+'Fórmula'!E40+'Fórmula'!G40+'Fórmula'!I40+'Fórmula'!K40))*(INDEX(properties!A$1:CB$87,'Fórmula'!D40,56))+(('Fórmula'!G40)/('Fórmula'!C40+'Fórmula'!E40+'Fórmula'!G40+'Fórmula'!I40+'Fórmula'!K40))*(INDEX(properties!A$1:CB$87,'Fórmula'!F40,56))+(('Fórmula'!I40)/('Fórmula'!C40+'Fórmula'!E40+'Fórmula'!G40+'Fórmula'!I40+'Fórmula'!K40))*(INDEX(properties!A$1:CB$87,'Fórmula'!H40,56))+(('Fórmula'!K40)/('Fórmula'!C40+'Fórmula'!E40+'Fórmula'!G40+'Fórmula'!I40+'Fórmula'!K40))*(INDEX(properties!A$1:CB$87,'Fórmula'!J40,56))</f>
        <v>0.7375</v>
      </c>
      <c r="FU40" s="119">
        <f t="array" ref="FU40">'Fórmula'!C40*(INDEX(properties!A$1:CB$87,'Fórmula'!B40,56))+'Fórmula'!E40*(INDEX(properties!A$1:CB$87,'Fórmula'!D40,56))+'Fórmula'!G40*(INDEX(properties!A$1:CB$87,'Fórmula'!F40,56))+'Fórmula'!I40*(INDEX(properties!A$1:CB$87,'Fórmula'!H40,56))+'Fórmula'!K40*(INDEX(properties!A$1:CB$87,'Fórmula'!J40,56))</f>
        <v>8.85</v>
      </c>
      <c r="FV40" s="119">
        <f t="array" ref="FV40">VARP(IF(INDEX(properties!A$1:CB$87,'Fórmula'!B40,56)&lt;&gt;"",INDEX(properties!A$1:CB$87,'Fórmula'!B40,56)),IF(INDEX(properties!A$1:CB$87,'Fórmula'!D40,56)&lt;&gt;"",INDEX(properties!A$1:CB$87,'Fórmula'!D40,56)),IF(INDEX(properties!A$1:CB$87,'Fórmula'!F40,56)&lt;&gt;"",INDEX(properties!A$1:CB$87,'Fórmula'!F40,56)),IF(INDEX(properties!A$1:CB$87,'Fórmula'!H40,56)&lt;&gt;"",INDEX(properties!A$1:CB$87,'Fórmula'!H40,56)),IF(INDEX(properties!A$1:CB$87,'Fórmula'!J40,56)&lt;&gt;"",INDEX(properties!A$1:CB$87,'Fórmula'!J40,56)))</f>
        <v>0.103224</v>
      </c>
      <c r="FW40" s="119">
        <f t="array" ref="FW40">MAX(INDEX(properties!A$1:CB$87,'Fórmula'!B40,56),INDEX(properties!A$1:CB$87,'Fórmula'!D40,56),INDEX(properties!A$1:CB$87,'Fórmula'!F40,56),INDEX(properties!A$1:CB$87,'Fórmula'!H40,56),INDEX(properties!A$1:CB$87,'Fórmula'!J40,56))</f>
        <v>0.92</v>
      </c>
      <c r="FX40" s="119">
        <f t="array" ref="FX40">MIN(IF(INDEX(properties!A$1:CB$87,'Fórmula'!B40,56)=0,10^6,INDEX(properties!A$1:CB$87,'Fórmula'!B40,56)),IF(INDEX(properties!A$1:CB$87,'Fórmula'!D40,56)=0,10^6,INDEX(properties!A$1:CB$87,'Fórmula'!D40,56)),IF(INDEX(properties!A$1:CB$87,'Fórmula'!F40,56)=0,10^6,INDEX(properties!A$1:CB$87,'Fórmula'!F40,56)),IF(INDEX(properties!A$1:CB$87,'Fórmula'!H40,56)=0,10^6,INDEX(properties!A$1:CB$87,'Fórmula'!H40,56)),IF(INDEX(properties!A$1:CB$87,'Fórmula'!J40,56)=0,10^6,INDEX(properties!A$1:CB$87,'Fórmula'!J40,56)))</f>
        <v>0.3</v>
      </c>
      <c r="FY40" s="119">
        <f t="shared" si="30"/>
        <v>0.62</v>
      </c>
      <c r="FZ40" s="104">
        <f t="array" ref="FZ40">(('Fórmula'!C40)/('Fórmula'!C40+'Fórmula'!E40+'Fórmula'!G40+'Fórmula'!I40+'Fórmula'!K40))*(INDEX(properties!A$1:CB$87,'Fórmula'!B40,57))+(('Fórmula'!E40)/('Fórmula'!C40+'Fórmula'!E40+'Fórmula'!G40+'Fórmula'!I40+'Fórmula'!K40))*(INDEX(properties!A$1:CB$87,'Fórmula'!D40,57))+(('Fórmula'!G40)/('Fórmula'!C40+'Fórmula'!E40+'Fórmula'!G40+'Fórmula'!I40+'Fórmula'!K40))*(INDEX(properties!A$1:CB$87,'Fórmula'!F40,57))+(('Fórmula'!I40)/('Fórmula'!C40+'Fórmula'!E40+'Fórmula'!G40+'Fórmula'!I40+'Fórmula'!K40))*(INDEX(properties!A$1:CB$87,'Fórmula'!H40,57))+(('Fórmula'!K40)/('Fórmula'!C40+'Fórmula'!E40+'Fórmula'!G40+'Fórmula'!I40+'Fórmula'!K40))*(INDEX(properties!A$1:CB$87,'Fórmula'!J40,57))</f>
        <v>10.54834417</v>
      </c>
      <c r="GA40" s="104">
        <f t="array" ref="GA40">'Fórmula'!C40*(INDEX(properties!A$1:CB$87,'Fórmula'!B40,57))+'Fórmula'!E40*(INDEX(properties!A$1:CB$87,'Fórmula'!D40,57))+'Fórmula'!G40*(INDEX(properties!A$1:CB$87,'Fórmula'!F40,57))+'Fórmula'!I40*(INDEX(properties!A$1:CB$87,'Fórmula'!H40,57))+'Fórmula'!K40*(INDEX(properties!A$1:CB$87,'Fórmula'!J40,57))</f>
        <v>126.58013</v>
      </c>
      <c r="GB40" s="104">
        <f t="array" ref="GB40">VARP(IF(INDEX(properties!A$1:CB$87,'Fórmula'!B40,57)&lt;&gt;"",INDEX(properties!A$1:CB$87,'Fórmula'!B40,57)),IF(INDEX(properties!A$1:CB$87,'Fórmula'!D40,57)&lt;&gt;"",INDEX(properties!A$1:CB$87,'Fórmula'!D40,57)),IF(INDEX(properties!A$1:CB$87,'Fórmula'!F40,57)&lt;&gt;"",INDEX(properties!A$1:CB$87,'Fórmula'!F40,57)),IF(INDEX(properties!A$1:CB$87,'Fórmula'!H40,57)&lt;&gt;"",INDEX(properties!A$1:CB$87,'Fórmula'!H40,57)),IF(INDEX(properties!A$1:CB$87,'Fórmula'!J40,57)&lt;&gt;"",INDEX(properties!A$1:CB$87,'Fórmula'!J40,57)))</f>
        <v>359.2410828</v>
      </c>
      <c r="GC40" s="104">
        <f t="array" ref="GC40">MAX(INDEX(properties!A$1:CB$87,'Fórmula'!B40,57),INDEX(properties!A$1:CB$87,'Fórmula'!D40,57),INDEX(properties!A$1:CB$87,'Fórmula'!F40,57),INDEX(properties!A$1:CB$87,'Fórmula'!H40,57),INDEX(properties!A$1:CB$87,'Fórmula'!J40,57))</f>
        <v>50.55</v>
      </c>
      <c r="GD40" s="104">
        <f t="array" ref="GD40">MIN(IF(INDEX(properties!A$1:CB$87,'Fórmula'!B40,57)=0,10^6,INDEX(properties!A$1:CB$87,'Fórmula'!B40,57)),IF(INDEX(properties!A$1:CB$87,'Fórmula'!D40,57)=0,10^6,INDEX(properties!A$1:CB$87,'Fórmula'!D40,57)),IF(INDEX(properties!A$1:CB$87,'Fórmula'!F40,57)=0,10^6,INDEX(properties!A$1:CB$87,'Fórmula'!F40,57)),IF(INDEX(properties!A$1:CB$87,'Fórmula'!H40,57)=0,10^6,INDEX(properties!A$1:CB$87,'Fórmula'!H40,57)),IF(INDEX(properties!A$1:CB$87,'Fórmula'!J40,57)=0,10^6,INDEX(properties!A$1:CB$87,'Fórmula'!J40,57)))</f>
        <v>0.22259</v>
      </c>
      <c r="GE40" s="104">
        <f t="shared" si="31"/>
        <v>50.32741</v>
      </c>
      <c r="GF40" s="105">
        <f t="array" ref="GF40">(('Fórmula'!C40)/('Fórmula'!C40+'Fórmula'!E40+'Fórmula'!G40+'Fórmula'!I40+'Fórmula'!K40))*(INDEX(properties!A$1:CB$87,'Fórmula'!B40,60))+(('Fórmula'!E40)/('Fórmula'!C40+'Fórmula'!E40+'Fórmula'!G40+'Fórmula'!I40+'Fórmula'!K40))*(INDEX(properties!A$1:CB$87,'Fórmula'!D40,60))+(('Fórmula'!G40)/('Fórmula'!C40+'Fórmula'!E40+'Fórmula'!G40+'Fórmula'!I40+'Fórmula'!K40))*(INDEX(properties!A$1:CB$87,'Fórmula'!F40,60))+(('Fórmula'!I40)/('Fórmula'!C40+'Fórmula'!E40+'Fórmula'!G40+'Fórmula'!I40+'Fórmula'!K40))*(INDEX(properties!A$1:CB$87,'Fórmula'!H40,60))+(('Fórmula'!K40)/('Fórmula'!C40+'Fórmula'!E40+'Fórmula'!G40+'Fórmula'!I40+'Fórmula'!K40))*(INDEX(properties!A$1:CB$87,'Fórmula'!J40,60))</f>
        <v>40.232265</v>
      </c>
      <c r="GG40" s="105">
        <f t="array" ref="GG40">'Fórmula'!C40*(INDEX(properties!A$1:CB$87,'Fórmula'!B40,60))+'Fórmula'!E40*(INDEX(properties!A$1:CB$87,'Fórmula'!D40,60))+'Fórmula'!G40*(INDEX(properties!A$1:CB$87,'Fórmula'!F40,60))+'Fórmula'!I40*(INDEX(properties!A$1:CB$87,'Fórmula'!H40,60))+'Fórmula'!K40*(INDEX(properties!A$1:CB$87,'Fórmula'!J40,60))</f>
        <v>482.78718</v>
      </c>
      <c r="GH40" s="105">
        <f t="array" ref="GH40">VARP(IF(INDEX(properties!A$1:CB$87,'Fórmula'!B40,60)&lt;&gt;"",INDEX(properties!A$1:CB$87,'Fórmula'!B40,60)),IF(INDEX(properties!A$1:CB$87,'Fórmula'!D40,60)&lt;&gt;"",INDEX(properties!A$1:CB$87,'Fórmula'!D40,60)),IF(INDEX(properties!A$1:CB$87,'Fórmula'!F40,60)&lt;&gt;"",INDEX(properties!A$1:CB$87,'Fórmula'!F40,60)),IF(INDEX(properties!A$1:CB$87,'Fórmula'!H40,60)&lt;&gt;"",INDEX(properties!A$1:CB$87,'Fórmula'!H40,60)),IF(INDEX(properties!A$1:CB$87,'Fórmula'!J40,60)&lt;&gt;"",INDEX(properties!A$1:CB$87,'Fórmula'!J40,60)))</f>
        <v>3737.358252</v>
      </c>
      <c r="GI40" s="105">
        <f t="array" ref="GI40">MAX(INDEX(properties!A$1:CB$87,'Fórmula'!B40,60),INDEX(properties!A$1:CB$87,'Fórmula'!D40,60),INDEX(properties!A$1:CB$87,'Fórmula'!F40,60),INDEX(properties!A$1:CB$87,'Fórmula'!H40,60),INDEX(properties!A$1:CB$87,'Fórmula'!J40,60))</f>
        <v>148</v>
      </c>
      <c r="GJ40" s="105">
        <f t="array" ref="GJ40">MIN(IF(INDEX(properties!A$1:CB$87,'Fórmula'!B40,60)=0,10^6,INDEX(properties!A$1:CB$87,'Fórmula'!B40,60)),IF(INDEX(properties!A$1:CB$87,'Fórmula'!D40,60)=0,10^6,INDEX(properties!A$1:CB$87,'Fórmula'!D40,60)),IF(INDEX(properties!A$1:CB$87,'Fórmula'!F40,60)=0,10^6,INDEX(properties!A$1:CB$87,'Fórmula'!F40,60)),IF(INDEX(properties!A$1:CB$87,'Fórmula'!H40,60)=0,10^6,INDEX(properties!A$1:CB$87,'Fórmula'!H40,60)),IF(INDEX(properties!A$1:CB$87,'Fórmula'!J40,60)=0,10^6,INDEX(properties!A$1:CB$87,'Fórmula'!J40,60)))</f>
        <v>0.02674</v>
      </c>
      <c r="GK40" s="105">
        <f t="shared" si="32"/>
        <v>147.97326</v>
      </c>
      <c r="GL40" s="106">
        <f t="array" ref="GL40">(('Fórmula'!C40)/('Fórmula'!C40+'Fórmula'!E40+'Fórmula'!G40+'Fórmula'!I40+'Fórmula'!K40))*(INDEX(properties!A$1:CB$87,'Fórmula'!B40,62))+(('Fórmula'!E40)/('Fórmula'!C40+'Fórmula'!E40+'Fórmula'!G40+'Fórmula'!I40+'Fórmula'!K40))*(INDEX(properties!A$1:CB$87,'Fórmula'!D40,62))+(('Fórmula'!G40)/('Fórmula'!C40+'Fórmula'!E40+'Fórmula'!G40+'Fórmula'!I40+'Fórmula'!K40))*(INDEX(properties!A$1:CB$87,'Fórmula'!F40,62))+(('Fórmula'!I40)/('Fórmula'!C40+'Fórmula'!E40+'Fórmula'!G40+'Fórmula'!I40+'Fórmula'!K40))*(INDEX(properties!A$1:CB$87,'Fórmula'!H40,62))+(('Fórmula'!K40)/('Fórmula'!C40+'Fórmula'!E40+'Fórmula'!G40+'Fórmula'!I40+'Fórmula'!K40))*(INDEX(properties!A$1:CB$87,'Fórmula'!J40,62))</f>
        <v>2.699166667</v>
      </c>
      <c r="GM40" s="106">
        <f t="array" ref="GM40">'Fórmula'!C40*(INDEX(properties!A$1:CB$87,'Fórmula'!B40,62))+'Fórmula'!E40*(INDEX(properties!A$1:CB$87,'Fórmula'!D40,62))+'Fórmula'!G40*(INDEX(properties!A$1:CB$87,'Fórmula'!F40,62))+'Fórmula'!I40*(INDEX(properties!A$1:CB$87,'Fórmula'!H40,62))+'Fórmula'!K40*(INDEX(properties!A$1:CB$87,'Fórmula'!J40,62))</f>
        <v>32.39</v>
      </c>
      <c r="GN40" s="106">
        <f t="array" ref="GN40">VARP(IF(INDEX(properties!A$1:CB$87,'Fórmula'!B40,62)&lt;&gt;"",INDEX(properties!A$1:CB$87,'Fórmula'!B40,62)),IF(INDEX(properties!A$1:CB$87,'Fórmula'!D40,62)&lt;&gt;"",INDEX(properties!A$1:CB$87,'Fórmula'!D40,62)),IF(INDEX(properties!A$1:CB$87,'Fórmula'!F40,62)&lt;&gt;"",INDEX(properties!A$1:CB$87,'Fórmula'!F40,62)),IF(INDEX(properties!A$1:CB$87,'Fórmula'!H40,62)&lt;&gt;"",INDEX(properties!A$1:CB$87,'Fórmula'!H40,62)),IF(INDEX(properties!A$1:CB$87,'Fórmula'!J40,62)&lt;&gt;"",INDEX(properties!A$1:CB$87,'Fórmula'!J40,62)))</f>
        <v>2.356344</v>
      </c>
      <c r="GO40" s="106">
        <f t="array" ref="GO40">MAX(INDEX(properties!A$1:CB$87,'Fórmula'!B40,62),INDEX(properties!A$1:CB$87,'Fórmula'!D40,62),INDEX(properties!A$1:CB$87,'Fórmula'!F40,62),INDEX(properties!A$1:CB$87,'Fórmula'!H40,62),INDEX(properties!A$1:CB$87,'Fórmula'!J40,62))</f>
        <v>4.63</v>
      </c>
      <c r="GP40" s="106">
        <f t="array" ref="GP40">MIN(IF(INDEX(properties!A$1:CB$87,'Fórmula'!B40,62)=0,10^6,INDEX(properties!A$1:CB$87,'Fórmula'!B40,62)),IF(INDEX(properties!A$1:CB$87,'Fórmula'!D40,62)=0,10^6,INDEX(properties!A$1:CB$87,'Fórmula'!D40,62)),IF(INDEX(properties!A$1:CB$87,'Fórmula'!F40,62)=0,10^6,INDEX(properties!A$1:CB$87,'Fórmula'!F40,62)),IF(INDEX(properties!A$1:CB$87,'Fórmula'!H40,62)=0,10^6,INDEX(properties!A$1:CB$87,'Fórmula'!H40,62)),IF(INDEX(properties!A$1:CB$87,'Fórmula'!J40,62)=0,10^6,INDEX(properties!A$1:CB$87,'Fórmula'!J40,62)))</f>
        <v>1.35</v>
      </c>
      <c r="GQ40" s="106">
        <f t="shared" si="33"/>
        <v>3.28</v>
      </c>
      <c r="GR40" s="106">
        <f>'Fórmula'!Q40</f>
        <v>113</v>
      </c>
      <c r="GS40" s="107">
        <f>'Fórmula'!P40</f>
        <v>2</v>
      </c>
      <c r="GT40" s="113">
        <f>'Fórmula'!O40</f>
        <v>4.1</v>
      </c>
      <c r="GU40" s="114">
        <f>AVERAGE('Fórmula'!R40/'Fórmula'!S40,'Fórmula'!S40/'Fórmula'!T40,'Fórmula'!T40/'Fórmula'!R40)</f>
        <v>1.06444479</v>
      </c>
      <c r="GV40" s="125">
        <f>'Fórmula'!U40</f>
        <v>331.08</v>
      </c>
      <c r="GW40" s="106">
        <f>'Fórmula'!N40</f>
        <v>0.05</v>
      </c>
    </row>
    <row r="41" ht="14.25" customHeight="1">
      <c r="A41" s="99" t="str">
        <f>'Fórmula'!A41</f>
        <v>SrLaAlO4</v>
      </c>
      <c r="B41" s="101">
        <f t="array" ref="B41">(('Fórmula'!C41)/('Fórmula'!C41+'Fórmula'!E41+'Fórmula'!G41+'Fórmula'!I41+'Fórmula'!K41))*(INDEX(properties!A$1:CB$87,'Fórmula'!B41,3))+(('Fórmula'!E41)/('Fórmula'!C41+'Fórmula'!E41+'Fórmula'!G41+'Fórmula'!I41+'Fórmula'!K41))*(INDEX(properties!A$1:CB$87,'Fórmula'!D41,3))+(('Fórmula'!G41)/('Fórmula'!C41+'Fórmula'!E41+'Fórmula'!G41+'Fórmula'!I41+'Fórmula'!K41))*(INDEX(properties!A$1:CB$87,'Fórmula'!F41,3))+(('Fórmula'!I41)/('Fórmula'!C41+'Fórmula'!E41+'Fórmula'!G41+'Fórmula'!I41+'Fórmula'!K41))*(INDEX(properties!A$1:CB$87,'Fórmula'!H41,3))+(('Fórmula'!K41)/('Fórmula'!C41+'Fórmula'!E41+'Fórmula'!G41+'Fórmula'!I41+'Fórmula'!K41))*(INDEX(properties!A$1:CB$87,'Fórmula'!J41,3))</f>
        <v>45.35780557</v>
      </c>
      <c r="C41" s="101">
        <f t="array" ref="C41">'Fórmula'!C41*(INDEX(properties!A$1:CB$87,'Fórmula'!B41,3))+'Fórmula'!E41*(INDEX(properties!A$1:CB$87,'Fórmula'!D41,3))+'Fórmula'!G41*(INDEX(properties!A$1:CB$87,'Fórmula'!F41,3))+'Fórmula'!I41*(INDEX(properties!A$1:CB$87,'Fórmula'!H41,3))+'Fórmula'!K41*(INDEX(properties!A$1:CB$87,'Fórmula'!J41,3))</f>
        <v>317.504639</v>
      </c>
      <c r="D41" s="101">
        <f t="array" ref="D41">VARP(IF(INDEX(properties!A$1:CB$87,'Fórmula'!B41,3)&lt;&gt;"",INDEX(properties!A$1:CB$87,'Fórmula'!B41,3)),IF(INDEX(properties!A$1:CB$87,'Fórmula'!D41,3)&lt;&gt;"",INDEX(properties!A$1:CB$87,'Fórmula'!D41,3)),IF(INDEX(properties!A$1:CB$87,'Fórmula'!F41,3)&lt;&gt;"",INDEX(properties!A$1:CB$87,'Fórmula'!F41,3)),IF(INDEX(properties!A$1:CB$87,'Fórmula'!H41,3)&lt;&gt;"",INDEX(properties!A$1:CB$87,'Fórmula'!H41,3)),IF(INDEX(properties!A$1:CB$87,'Fórmula'!J41,3)&lt;&gt;"",INDEX(properties!A$1:CB$87,'Fórmula'!J41,3)))</f>
        <v>2685.848489</v>
      </c>
      <c r="E41" s="101">
        <f t="array" ref="E41">MAX(INDEX(properties!A$1:CB$87,'Fórmula'!B41,3),INDEX(properties!A$1:CB$87,'Fórmula'!D41,3),INDEX(properties!A$1:CB$87,'Fórmula'!F41,3),INDEX(properties!A$1:CB$87,'Fórmula'!H41,3),INDEX(properties!A$1:CB$87,'Fórmula'!J41,3))</f>
        <v>138.9055</v>
      </c>
      <c r="F41" s="101">
        <f t="array" ref="F41">MIN(IF(INDEX(properties!A$1:CB$87,'Fórmula'!B41,3)=0,10^6,INDEX(properties!A$1:CB$87,'Fórmula'!B41,3)),IF(INDEX(properties!A$1:CB$87,'Fórmula'!D41,3)=0,10^6,INDEX(properties!A$1:CB$87,'Fórmula'!D41,3)),IF(INDEX(properties!A$1:CB$87,'Fórmula'!F41,3)=0,10^6,INDEX(properties!A$1:CB$87,'Fórmula'!F41,3)),IF(INDEX(properties!A$1:CB$87,'Fórmula'!H41,3)=0,10^6,INDEX(properties!A$1:CB$87,'Fórmula'!H41,3)),IF(INDEX(properties!A$1:CB$87,'Fórmula'!J41,3)=0,10^6,INDEX(properties!A$1:CB$87,'Fórmula'!J41,3)))</f>
        <v>15.9994</v>
      </c>
      <c r="G41" s="101">
        <f t="shared" si="1"/>
        <v>122.9061</v>
      </c>
      <c r="H41" s="102">
        <f t="array" ref="H41">(('Fórmula'!C41)/('Fórmula'!C41+'Fórmula'!E41+'Fórmula'!G41+'Fórmula'!I41+'Fórmula'!K41))*(INDEX(properties!A$1:CB$87,'Fórmula'!B41,4))+(('Fórmula'!E41)/('Fórmula'!C41+'Fórmula'!E41+'Fórmula'!G41+'Fórmula'!I41+'Fórmula'!K41))*(INDEX(properties!A$1:CB$87,'Fórmula'!D41,4))+(('Fórmula'!G41)/('Fórmula'!C41+'Fórmula'!E41+'Fórmula'!G41+'Fórmula'!I41+'Fórmula'!K41))*(INDEX(properties!A$1:CB$87,'Fórmula'!F41,4))+(('Fórmula'!I41)/('Fórmula'!C41+'Fórmula'!E41+'Fórmula'!G41+'Fórmula'!I41+'Fórmula'!K41))*(INDEX(properties!A$1:CB$87,'Fórmula'!H41,4))+(('Fórmula'!K41)/('Fórmula'!C41+'Fórmula'!E41+'Fórmula'!G41+'Fórmula'!I41+'Fórmula'!K41))*(INDEX(properties!A$1:CB$87,'Fórmula'!J41,4))</f>
        <v>20</v>
      </c>
      <c r="I41" s="102">
        <f t="array" ref="I41">'Fórmula'!C41*(INDEX(properties!A$1:CB$87,'Fórmula'!B41,4))+'Fórmula'!E41*(INDEX(properties!A$1:CB$87,'Fórmula'!D41,4))+'Fórmula'!G41*(INDEX(properties!A$1:CB$87,'Fórmula'!F41,4))+'Fórmula'!I41*(INDEX(properties!A$1:CB$87,'Fórmula'!H41,4))+'Fórmula'!K41*(INDEX(properties!A$1:CB$87,'Fórmula'!J41,4))</f>
        <v>140</v>
      </c>
      <c r="J41" s="102">
        <f t="array" ref="J41">VARP(IF(INDEX(properties!A$1:CB$87,'Fórmula'!B41,4)&lt;&gt;"",INDEX(properties!A$1:CB$87,'Fórmula'!B41,4)),IF(INDEX(properties!A$1:CB$87,'Fórmula'!D41,4)&lt;&gt;"",INDEX(properties!A$1:CB$87,'Fórmula'!D41,4)),IF(INDEX(properties!A$1:CB$87,'Fórmula'!F41,4)&lt;&gt;"",INDEX(properties!A$1:CB$87,'Fórmula'!F41,4)),IF(INDEX(properties!A$1:CB$87,'Fórmula'!H41,4)&lt;&gt;"",INDEX(properties!A$1:CB$87,'Fórmula'!H41,4)),IF(INDEX(properties!A$1:CB$87,'Fórmula'!J41,4)&lt;&gt;"",INDEX(properties!A$1:CB$87,'Fórmula'!J41,4)))</f>
        <v>446.96</v>
      </c>
      <c r="K41" s="102">
        <f t="array" ref="K41">MAX(INDEX(properties!A$1:CB$87,'Fórmula'!B41,4),INDEX(properties!A$1:CB$87,'Fórmula'!D41,4),INDEX(properties!A$1:CB$87,'Fórmula'!F41,4),INDEX(properties!A$1:CB$87,'Fórmula'!H41,4),INDEX(properties!A$1:CB$87,'Fórmula'!J41,4))</f>
        <v>57</v>
      </c>
      <c r="L41" s="102">
        <f t="array" ref="L41">MIN(IF(INDEX(properties!A$1:CB$87,'Fórmula'!B41,4)=0,10^6,INDEX(properties!A$1:CB$87,'Fórmula'!B41,4)),IF(INDEX(properties!A$1:CB$87,'Fórmula'!D41,4)=0,10^6,INDEX(properties!A$1:CB$87,'Fórmula'!D41,4)),IF(INDEX(properties!A$1:CB$87,'Fórmula'!F41,4)=0,10^6,INDEX(properties!A$1:CB$87,'Fórmula'!F41,4)),IF(INDEX(properties!A$1:CB$87,'Fórmula'!H41,4)=0,10^6,INDEX(properties!A$1:CB$87,'Fórmula'!H41,4)),IF(INDEX(properties!A$1:CB$87,'Fórmula'!J41,4)=0,10^6,INDEX(properties!A$1:CB$87,'Fórmula'!J41,4)))</f>
        <v>8</v>
      </c>
      <c r="M41" s="102">
        <f t="shared" si="2"/>
        <v>49</v>
      </c>
      <c r="N41" s="103">
        <f t="array" ref="N41">(('Fórmula'!C41)/('Fórmula'!C41+'Fórmula'!E41+'Fórmula'!G41+'Fórmula'!I41+'Fórmula'!K41))*(INDEX(properties!A$1:CB$87,'Fórmula'!B41,5))+(('Fórmula'!E41)/('Fórmula'!C41+'Fórmula'!E41+'Fórmula'!G41+'Fórmula'!I41+'Fórmula'!K41))*(INDEX(properties!A$1:CB$87,'Fórmula'!D41,5))+(('Fórmula'!G41)/('Fórmula'!C41+'Fórmula'!E41+'Fórmula'!G41+'Fórmula'!I41+'Fórmula'!K41))*(INDEX(properties!A$1:CB$87,'Fórmula'!F41,5))+(('Fórmula'!I41)/('Fórmula'!C41+'Fórmula'!E41+'Fórmula'!G41+'Fórmula'!I41+'Fórmula'!K41))*(INDEX(properties!A$1:CB$87,'Fórmula'!H41,5))+(('Fórmula'!K41)/('Fórmula'!C41+'Fórmula'!E41+'Fórmula'!G41+'Fórmula'!I41+'Fórmula'!K41))*(INDEX(properties!A$1:CB$87,'Fórmula'!J41,5))</f>
        <v>3.142857143</v>
      </c>
      <c r="O41" s="103">
        <f t="array" ref="O41">'Fórmula'!C41*(INDEX(properties!A$1:CB$87,'Fórmula'!B41,5))+'Fórmula'!E41*(INDEX(properties!A$1:CB$87,'Fórmula'!D41,5))+'Fórmula'!G41*(INDEX(properties!A$1:CB$87,'Fórmula'!F41,5))+'Fórmula'!I41*(INDEX(properties!A$1:CB$87,'Fórmula'!H41,5))+'Fórmula'!K41*(INDEX(properties!A$1:CB$87,'Fórmula'!J41,5))</f>
        <v>22</v>
      </c>
      <c r="P41" s="103">
        <f t="array" ref="P41">VARP(IF(INDEX(properties!A$1:CB$87,'Fórmula'!B41,5)&lt;&gt;"",INDEX(properties!A$1:CB$87,'Fórmula'!B41,5)),IF(INDEX(properties!A$1:CB$87,'Fórmula'!D41,5)&lt;&gt;"",INDEX(properties!A$1:CB$87,'Fórmula'!D41,5)),IF(INDEX(properties!A$1:CB$87,'Fórmula'!F41,5)&lt;&gt;"",INDEX(properties!A$1:CB$87,'Fórmula'!F41,5)),IF(INDEX(properties!A$1:CB$87,'Fórmula'!H41,5)&lt;&gt;"",INDEX(properties!A$1:CB$87,'Fórmula'!H41,5)),IF(INDEX(properties!A$1:CB$87,'Fórmula'!J41,5)&lt;&gt;"",INDEX(properties!A$1:CB$87,'Fórmula'!J41,5)))</f>
        <v>4.56</v>
      </c>
      <c r="Q41" s="103">
        <f t="array" ref="Q41">MAX(INDEX(properties!A$1:CB$87,'Fórmula'!B41,5),INDEX(properties!A$1:CB$87,'Fórmula'!D41,5),INDEX(properties!A$1:CB$87,'Fórmula'!F41,5),INDEX(properties!A$1:CB$87,'Fórmula'!H41,5),INDEX(properties!A$1:CB$87,'Fórmula'!J41,5))</f>
        <v>6</v>
      </c>
      <c r="R41" s="103">
        <f t="array" ref="R41">MIN(IF(INDEX(properties!A$1:CB$87,'Fórmula'!B41,5)=0,10^6,INDEX(properties!A$1:CB$87,'Fórmula'!B41,5)),IF(INDEX(properties!A$1:CB$87,'Fórmula'!D41,5)=0,10^6,INDEX(properties!A$1:CB$87,'Fórmula'!D41,5)),IF(INDEX(properties!A$1:CB$87,'Fórmula'!F41,5)=0,10^6,INDEX(properties!A$1:CB$87,'Fórmula'!F41,5)),IF(INDEX(properties!A$1:CB$87,'Fórmula'!H41,5)=0,10^6,INDEX(properties!A$1:CB$87,'Fórmula'!H41,5)),IF(INDEX(properties!A$1:CB$87,'Fórmula'!J41,5)=0,10^6,INDEX(properties!A$1:CB$87,'Fórmula'!J41,5)))</f>
        <v>2</v>
      </c>
      <c r="S41" s="103">
        <f t="shared" si="3"/>
        <v>4</v>
      </c>
      <c r="T41" s="104">
        <f t="array" ref="T41">(('Fórmula'!C41)/('Fórmula'!C41+'Fórmula'!E41+'Fórmula'!G41+'Fórmula'!I41+'Fórmula'!K41))*(INDEX(properties!A$1:CB$87,'Fórmula'!B41,6))+(('Fórmula'!E41)/('Fórmula'!C41+'Fórmula'!E41+'Fórmula'!G41+'Fórmula'!I41+'Fórmula'!K41))*(INDEX(properties!A$1:CB$87,'Fórmula'!D41,6))+(('Fórmula'!G41)/('Fórmula'!C41+'Fórmula'!E41+'Fórmula'!G41+'Fórmula'!I41+'Fórmula'!K41))*(INDEX(properties!A$1:CB$87,'Fórmula'!F41,6))+(('Fórmula'!I41)/('Fórmula'!C41+'Fórmula'!E41+'Fórmula'!G41+'Fórmula'!I41+'Fórmula'!K41))*(INDEX(properties!A$1:CB$87,'Fórmula'!H41,6))+(('Fórmula'!K41)/('Fórmula'!C41+'Fórmula'!E41+'Fórmula'!G41+'Fórmula'!I41+'Fórmula'!K41))*(INDEX(properties!A$1:CB$87,'Fórmula'!J41,6))</f>
        <v>11.71428571</v>
      </c>
      <c r="U41" s="104">
        <f t="array" ref="U41">'Fórmula'!C41*(INDEX(properties!A$1:CB$87,'Fórmula'!B41,6))+'Fórmula'!E41*(INDEX(properties!A$1:CB$87,'Fórmula'!D41,6))+'Fórmula'!G41*(INDEX(properties!A$1:CB$87,'Fórmula'!F41,6))+'Fórmula'!I41*(INDEX(properties!A$1:CB$87,'Fórmula'!H41,6))+'Fórmula'!K41*(INDEX(properties!A$1:CB$87,'Fórmula'!J41,6))</f>
        <v>82</v>
      </c>
      <c r="V41" s="103">
        <f t="array" ref="V41">VARP(IF(INDEX(properties!A$1:CB$87,'Fórmula'!B41,6)&lt;&gt;"",INDEX(properties!A$1:CB$87,'Fórmula'!B41,6)),IF(INDEX(properties!A$1:CB$87,'Fórmula'!D41,6)&lt;&gt;"",INDEX(properties!A$1:CB$87,'Fórmula'!D41,6)),IF(INDEX(properties!A$1:CB$87,'Fórmula'!F41,6)&lt;&gt;"",INDEX(properties!A$1:CB$87,'Fórmula'!F41,6)),IF(INDEX(properties!A$1:CB$87,'Fórmula'!H41,6)&lt;&gt;"",INDEX(properties!A$1:CB$87,'Fórmula'!H41,6)),IF(INDEX(properties!A$1:CB$87,'Fórmula'!J41,6)&lt;&gt;"",INDEX(properties!A$1:CB$87,'Fórmula'!J41,6)))</f>
        <v>41.36</v>
      </c>
      <c r="W41" s="104">
        <f t="array" ref="W41">MAX(INDEX(properties!A$1:CB$87,'Fórmula'!B41,6),INDEX(properties!A$1:CB$87,'Fórmula'!D41,6),INDEX(properties!A$1:CB$87,'Fórmula'!F41,6),INDEX(properties!A$1:CB$87,'Fórmula'!H41,4),INDEX(properties!A$1:CB$87,'Fórmula'!J41,6))</f>
        <v>13</v>
      </c>
      <c r="X41" s="104">
        <f t="array" ref="X41">MIN(IF(INDEX(properties!A$1:CB$87,'Fórmula'!B41,6)=0,10^6,INDEX(properties!A$1:CB$87,'Fórmula'!B41,6)),IF(INDEX(properties!A$1:CB$87,'Fórmula'!D41,6)=0,10^6,INDEX(properties!A$1:CB$87,'Fórmula'!D41,6)),IF(INDEX(properties!A$1:CB$87,'Fórmula'!F41,6)=0,10^6,INDEX(properties!A$1:CB$87,'Fórmula'!F41,6)),IF(INDEX(properties!A$1:CB$87,'Fórmula'!H41,6)=0,10^6,INDEX(properties!A$1:CB$87,'Fórmula'!H41,6)),IF(INDEX(properties!A$1:CB$87,'Fórmula'!J41,6)=0,10^6,INDEX(properties!A$1:CB$87,'Fórmula'!J41,6)))</f>
        <v>2</v>
      </c>
      <c r="Y41" s="104">
        <f t="shared" si="4"/>
        <v>11</v>
      </c>
      <c r="Z41" s="105">
        <f t="array" ref="Z41">(('Fórmula'!C41)/('Fórmula'!C41+'Fórmula'!E41+'Fórmula'!G41+'Fórmula'!I41+'Fórmula'!K41))*(INDEX(properties!A$1:CB$87,'Fórmula'!B41,9))+(('Fórmula'!E41)/('Fórmula'!C41+'Fórmula'!E41+'Fórmula'!G41+'Fórmula'!I41+'Fórmula'!K41))*(INDEX(properties!A$1:CB$87,'Fórmula'!D41,9))+(('Fórmula'!G41)/('Fórmula'!C41+'Fórmula'!E41+'Fórmula'!G41+'Fórmula'!I41+'Fórmula'!K41))*(INDEX(properties!A$1:CB$87,'Fórmula'!F41,9))+(('Fórmula'!I41)/('Fórmula'!C41+'Fórmula'!E41+'Fórmula'!G41+'Fórmula'!I41+'Fórmula'!K41))*(INDEX(properties!A$1:CB$87,'Fórmula'!H41,9))+(('Fórmula'!K41)/('Fórmula'!C41+'Fórmula'!E41+'Fórmula'!G41+'Fórmula'!I41+'Fórmula'!K41))*(INDEX(properties!A$1:CB$87,'Fórmula'!J41,9))</f>
        <v>63.14285714</v>
      </c>
      <c r="AA41" s="105">
        <f t="array" ref="AA41">'Fórmula'!C41*(INDEX(properties!A$1:CB$87,'Fórmula'!B41,9))+'Fórmula'!E41*(INDEX(properties!A$1:CB$87,'Fórmula'!D41,9))+'Fórmula'!G41*(INDEX(properties!A$1:CB$87,'Fórmula'!F41,9))+'Fórmula'!I41*(INDEX(properties!A$1:CB$87,'Fórmula'!H41,9))+'Fórmula'!K41*(INDEX(properties!A$1:CB$87,'Fórmula'!J41,9))</f>
        <v>442</v>
      </c>
      <c r="AB41" s="105">
        <f t="array" ref="AB41">VARP(IF(INDEX(properties!A$1:CB$87,'Fórmula'!B41,9)&lt;&gt;"",INDEX(properties!A$1:CB$87,'Fórmula'!B41,9)),IF(INDEX(properties!A$1:CB$87,'Fórmula'!D41,9)&lt;&gt;"",INDEX(properties!A$1:CB$87,'Fórmula'!D41,9)),IF(INDEX(properties!A$1:CB$87,'Fórmula'!F41,9)&lt;&gt;"",INDEX(properties!A$1:CB$87,'Fórmula'!F41,9)),IF(INDEX(properties!A$1:CB$87,'Fórmula'!H41,9)&lt;&gt;"",INDEX(properties!A$1:CB$87,'Fórmula'!H41,9)),IF(INDEX(properties!A$1:CB$87,'Fórmula'!J41,9)&lt;&gt;"",INDEX(properties!A$1:CB$87,'Fórmula'!J41,9)))</f>
        <v>1315.76</v>
      </c>
      <c r="AC41" s="105">
        <f t="array" ref="AC41">MAX(INDEX(properties!A$1:CB$87,'Fórmula'!B41,9),INDEX(properties!A$1:CB$87,'Fórmula'!D41,9),INDEX(properties!A$1:CB$87,'Fórmula'!F41,9),INDEX(properties!A$1:CB$87,'Fórmula'!H41,9),INDEX(properties!A$1:CB$87,'Fórmula'!J41,9))</f>
        <v>87</v>
      </c>
      <c r="AD41" s="105">
        <f t="array" ref="AD41">MIN(IF(INDEX(properties!A$1:CB$87,'Fórmula'!B41,9)=0,10^6,INDEX(properties!A$1:CB$87,'Fórmula'!B41,9)),IF(INDEX(properties!A$1:CB$87,'Fórmula'!D41,9)=0,10^6,INDEX(properties!A$1:CB$87,'Fórmula'!D41,9)),IF(INDEX(properties!A$1:CB$87,'Fórmula'!F41,9)=0,10^6,INDEX(properties!A$1:CB$87,'Fórmula'!F41,9)),IF(INDEX(properties!A$1:CB$87,'Fórmula'!H41,9)=0,10^6,INDEX(properties!A$1:CB$87,'Fórmula'!H41,9)),IF(INDEX(properties!A$1:CB$87,'Fórmula'!J41,9)=0,10^6,INDEX(properties!A$1:CB$87,'Fórmula'!J41,9)))</f>
        <v>8</v>
      </c>
      <c r="AE41" s="105">
        <f t="shared" si="5"/>
        <v>79</v>
      </c>
      <c r="AF41" s="106">
        <f t="array" ref="AF41">(('Fórmula'!C41)/('Fórmula'!C41+'Fórmula'!E41+'Fórmula'!G41+'Fórmula'!I41+'Fórmula'!K41))*(INDEX(properties!A$1:CB$87,'Fórmula'!B41,10))+(('Fórmula'!E41)/('Fórmula'!C41+'Fórmula'!E41+'Fórmula'!G41+'Fórmula'!I41+'Fórmula'!K41))*(INDEX(properties!A$1:CB$87,'Fórmula'!D41,10))+(('Fórmula'!G41)/('Fórmula'!C41+'Fórmula'!E41+'Fórmula'!G41+'Fórmula'!I41+'Fórmula'!K41))*(INDEX(properties!A$1:CB$87,'Fórmula'!F41,10))+(('Fórmula'!I41)/('Fórmula'!C41+'Fórmula'!E41+'Fórmula'!G41+'Fórmula'!I41+'Fórmula'!K41))*(INDEX(properties!A$1:CB$87,'Fórmula'!H41,10))+(('Fórmula'!K41)/('Fórmula'!C41+'Fórmula'!E41+'Fórmula'!G41+'Fórmula'!I41+'Fórmula'!K41))*(INDEX(properties!A$1:CB$87,'Fórmula'!J41,10))</f>
        <v>5.428571429</v>
      </c>
      <c r="AG41" s="106">
        <f t="array" ref="AG41">'Fórmula'!C41*(INDEX(properties!A$1:CB$87,'Fórmula'!B41,10))+'Fórmula'!E41*(INDEX(properties!A$1:CB$87,'Fórmula'!D41,10))+'Fórmula'!G41*(INDEX(properties!A$1:CB$87,'Fórmula'!F41,10))+'Fórmula'!I41*(INDEX(properties!A$1:CB$87,'Fórmula'!H41,10))+'Fórmula'!K41*(INDEX(properties!A$1:CB$87,'Fórmula'!J41,10))</f>
        <v>38</v>
      </c>
      <c r="AH41" s="106">
        <f t="array" ref="AH41">VARP(IF(INDEX(properties!A$1:CB$87,'Fórmula'!B41,10)&lt;&gt;"",INDEX(properties!A$1:CB$87,'Fórmula'!B41,10)),IF(INDEX(properties!A$1:CB$87,'Fórmula'!D41,10)&lt;&gt;"",INDEX(properties!A$1:CB$87,'Fórmula'!D41,10)),IF(INDEX(properties!A$1:CB$87,'Fórmula'!F41,10)&lt;&gt;"",INDEX(properties!A$1:CB$87,'Fórmula'!F41,10)),IF(INDEX(properties!A$1:CB$87,'Fórmula'!H41,10)&lt;&gt;"",INDEX(properties!A$1:CB$87,'Fórmula'!H41,10)),IF(INDEX(properties!A$1:CB$87,'Fórmula'!J41,10)&lt;&gt;"",INDEX(properties!A$1:CB$87,'Fórmula'!J41,10)))</f>
        <v>5.84</v>
      </c>
      <c r="AI41" s="106">
        <f t="array" ref="AI41">MAX(INDEX(properties!A$1:CB$87,'Fórmula'!B41,10),INDEX(properties!A$1:CB$87,'Fórmula'!D41,10),INDEX(properties!A$1:CB$87,'Fórmula'!F41,10),INDEX(properties!A$1:CB$87,'Fórmula'!H41,10),INDEX(properties!A$1:CB$87,'Fórmula'!J41,10))</f>
        <v>7</v>
      </c>
      <c r="AJ41" s="106">
        <f t="array" ref="AJ41">MIN(IF(INDEX(properties!A$1:CB$87,'Fórmula'!B41,10)=0,10^6,INDEX(properties!A$1:CB$87,'Fórmula'!B41,10)),IF(INDEX(properties!A$1:CB$87,'Fórmula'!D41,10)=0,10^6,INDEX(properties!A$1:CB$87,'Fórmula'!D41,10)),IF(INDEX(properties!A$1:CB$87,'Fórmula'!F41,10)=0,10^6,INDEX(properties!A$1:CB$87,'Fórmula'!F41,10)),IF(INDEX(properties!A$1:CB$87,'Fórmula'!H41,10)=0,10^6,INDEX(properties!A$1:CB$87,'Fórmula'!H41,10)),IF(INDEX(properties!A$1:CB$87,'Fórmula'!J41,10)=0,10^6,INDEX(properties!A$1:CB$87,'Fórmula'!J41,10)))</f>
        <v>2</v>
      </c>
      <c r="AK41" s="106">
        <f t="shared" si="6"/>
        <v>5</v>
      </c>
      <c r="AL41" s="107">
        <f t="array" ref="AL41">(('Fórmula'!C41)/('Fórmula'!C41+'Fórmula'!E41+'Fórmula'!G41+'Fórmula'!I41+'Fórmula'!K41))*(INDEX(properties!A$1:CB$87,'Fórmula'!B41,11))+(('Fórmula'!E41)/('Fórmula'!C41+'Fórmula'!E41+'Fórmula'!G41+'Fórmula'!I41+'Fórmula'!K41))*(INDEX(properties!A$1:CB$87,'Fórmula'!D41,11))+(('Fórmula'!G41)/('Fórmula'!C41+'Fórmula'!E41+'Fórmula'!G41+'Fórmula'!I41+'Fórmula'!K41))*(INDEX(properties!A$1:CB$87,'Fórmula'!F41,11))+(('Fórmula'!I41)/('Fórmula'!C41+'Fórmula'!E41+'Fórmula'!G41+'Fórmula'!I41+'Fórmula'!K41))*(INDEX(properties!A$1:CB$87,'Fórmula'!H41,11))+(('Fórmula'!K41)/('Fórmula'!C41+'Fórmula'!E41+'Fórmula'!G41+'Fórmula'!I41+'Fórmula'!K41))*(INDEX(properties!A$1:CB$87,'Fórmula'!J41,11))</f>
        <v>2</v>
      </c>
      <c r="AM41" s="107">
        <f t="array" ref="AM41">'Fórmula'!C41*(INDEX(properties!A$1:CB$87,'Fórmula'!B41,11))+'Fórmula'!E41*(INDEX(properties!A$1:CB$87,'Fórmula'!D41,11))+'Fórmula'!G41*(INDEX(properties!A$1:CB$87,'Fórmula'!F41,11))+'Fórmula'!I41*(INDEX(properties!A$1:CB$87,'Fórmula'!H41,11))+'Fórmula'!K41*(INDEX(properties!A$1:CB$87,'Fórmula'!J41,11))</f>
        <v>14</v>
      </c>
      <c r="AN41" s="107">
        <f t="array" ref="AN41">VARP(IF(INDEX(properties!A$1:CB$87,'Fórmula'!B41,11)&lt;&gt;"",INDEX(properties!A$1:CB$87,'Fórmula'!B41,11)),IF(INDEX(properties!A$1:CB$87,'Fórmula'!D41,11)&lt;&gt;"",INDEX(properties!A$1:CB$87,'Fórmula'!D41,11)),IF(INDEX(properties!A$1:CB$87,'Fórmula'!F41,11)&lt;&gt;"",INDEX(properties!A$1:CB$87,'Fórmula'!F41,11)),IF(INDEX(properties!A$1:CB$87,'Fórmula'!H41,11)&lt;&gt;"",INDEX(properties!A$1:CB$87,'Fórmula'!H41,11)),IF(INDEX(properties!A$1:CB$87,'Fórmula'!J41,11)&lt;&gt;"",INDEX(properties!A$1:CB$87,'Fórmula'!J41,11)))</f>
        <v>0.64</v>
      </c>
      <c r="AO41" s="107">
        <f t="array" ref="AO41">MAX(INDEX(properties!A$1:CB$87,'Fórmula'!B41,11),INDEX(properties!A$1:CB$87,'Fórmula'!D41,11),INDEX(properties!A$1:CB$87,'Fórmula'!F41,11),INDEX(properties!A$1:CB$87,'Fórmula'!H41,11),INDEX(properties!A$1:CB$87,'Fórmula'!J41,11))</f>
        <v>2</v>
      </c>
      <c r="AP41" s="107">
        <f t="array" ref="AP41">MIN(IF('Fórmula'!B41=87,10^6,INDEX(properties!A$1:CB$87,'Fórmula'!B41,11)),IF(('Fórmula'!D41)=87,10^6,INDEX(properties!A$1:CB$87,'Fórmula'!D41,11)),IF(('Fórmula'!F41)=87,10^6,INDEX(properties!A$1:CB$87,'Fórmula'!F41,11)),IF(('Fórmula'!H41)=87,10^6,INDEX(properties!A$1:CB$87,'Fórmula'!H41,11)),IF('Fórmula'!J41=87,10^6,INDEX(properties!A$1:CB$87,'Fórmula'!J41,11)))</f>
        <v>2</v>
      </c>
      <c r="AQ41" s="107">
        <f t="shared" si="7"/>
        <v>0</v>
      </c>
      <c r="AR41" s="108">
        <f t="array" ref="AR41">(('Fórmula'!C41)/('Fórmula'!C41+'Fórmula'!E41+'Fórmula'!G41+'Fórmula'!I41+'Fórmula'!K41))*(INDEX(properties!A$1:CB$87,'Fórmula'!B41,12))+(('Fórmula'!E41)/('Fórmula'!C41+'Fórmula'!E41+'Fórmula'!G41+'Fórmula'!I41+'Fórmula'!K41))*(INDEX(properties!A$1:CB$87,'Fórmula'!D41,12))+(('Fórmula'!G41)/('Fórmula'!C41+'Fórmula'!E41+'Fórmula'!G41+'Fórmula'!I41+'Fórmula'!K41))*(INDEX(properties!A$1:CB$87,'Fórmula'!F41,12))+(('Fórmula'!I41)/('Fórmula'!C41+'Fórmula'!E41+'Fórmula'!G41+'Fórmula'!I41+'Fórmula'!K41))*(INDEX(properties!A$1:CB$87,'Fórmula'!H41,12))+(('Fórmula'!K41)/('Fórmula'!C41+'Fórmula'!E41+'Fórmula'!G41+'Fórmula'!I41+'Fórmula'!K41))*(INDEX(properties!A$1:CB$87,'Fórmula'!J41,12))</f>
        <v>2.428571429</v>
      </c>
      <c r="AS41" s="108">
        <f t="array" ref="AS41">'Fórmula'!C41*(INDEX(properties!A$1:CB$87,'Fórmula'!B41,12))+'Fórmula'!E41*(INDEX(properties!A$1:CB$87,'Fórmula'!D41,12))+'Fórmula'!G41*(INDEX(properties!A$1:CB$87,'Fórmula'!F41,12))+'Fórmula'!I41*(INDEX(properties!A$1:CB$87,'Fórmula'!H41,12))+'Fórmula'!K41*(INDEX(properties!A$1:CB$87,'Fórmula'!J41,12))</f>
        <v>17</v>
      </c>
      <c r="AT41" s="108">
        <f t="array" ref="AT41">VARP(IF(INDEX(properties!A$1:CB$87,'Fórmula'!B41,12)&lt;&gt;"",INDEX(properties!A$1:CB$87,'Fórmula'!B41,12)),IF(INDEX(properties!A$1:CB$87,'Fórmula'!D41,12)&lt;&gt;"",INDEX(properties!A$1:CB$87,'Fórmula'!D41,12)),IF(INDEX(properties!A$1:CB$87,'Fórmula'!F41,12)&lt;&gt;"",INDEX(properties!A$1:CB$87,'Fórmula'!F41,12)),IF(INDEX(properties!A$1:CB$87,'Fórmula'!H41,12)&lt;&gt;"",INDEX(properties!A$1:CB$87,'Fórmula'!H41,12)),IF(INDEX(properties!A$1:CB$87,'Fórmula'!J41,12)&lt;&gt;"",INDEX(properties!A$1:CB$87,'Fórmula'!J41,12)))</f>
        <v>2.4</v>
      </c>
      <c r="AU41" s="108">
        <f t="array" ref="AU41">MAX(INDEX(properties!A$1:CB$87,'Fórmula'!B41,12),INDEX(properties!A$1:CB$87,'Fórmula'!D41,12),INDEX(properties!A$1:CB$87,'Fórmula'!F41,12),INDEX(properties!A$1:CB$87,'Fórmula'!H41,12),INDEX(properties!A$1:CB$87,'Fórmula'!J41,12))</f>
        <v>4</v>
      </c>
      <c r="AV41" s="108">
        <f t="array" ref="AV41">MIN(IF('Fórmula'!B41=87,10^6,INDEX(properties!A$1:CB$87,'Fórmula'!B41,12)),IF(('Fórmula'!D41)=87,10^6,INDEX(properties!A$1:CB$87,'Fórmula'!D41,12)),IF(('Fórmula'!F41)=87,10^6,INDEX(properties!A$1:CB$87,'Fórmula'!F41,12)),IF(('Fórmula'!H41)=87,10^6,INDEX(properties!A$1:CB$87,'Fórmula'!H41,12)),IF('Fórmula'!J41=87,10^6,INDEX(properties!A$1:CB$87,'Fórmula'!J41,12)))</f>
        <v>0</v>
      </c>
      <c r="AW41" s="108">
        <f t="shared" si="8"/>
        <v>4</v>
      </c>
      <c r="AX41" s="109">
        <f t="array" ref="AX41">(('Fórmula'!C41)/('Fórmula'!C41+'Fórmula'!E41+'Fórmula'!G41+'Fórmula'!I41+'Fórmula'!K41))*(INDEX(properties!A$1:CB$87,'Fórmula'!B41,13))+(('Fórmula'!E41)/('Fórmula'!C41+'Fórmula'!E41+'Fórmula'!G41+'Fórmula'!I41+'Fórmula'!K41))*(INDEX(properties!A$1:CB$87,'Fórmula'!D41,13))+(('Fórmula'!G41)/('Fórmula'!C41+'Fórmula'!E41+'Fórmula'!G41+'Fórmula'!I41+'Fórmula'!K41))*(INDEX(properties!A$1:CB$87,'Fórmula'!F41,13))+(('Fórmula'!I41)/('Fórmula'!C41+'Fórmula'!E41+'Fórmula'!G41+'Fórmula'!I41+'Fórmula'!K41))*(INDEX(properties!A$1:CB$87,'Fórmula'!H41,13))+(('Fórmula'!K41)/('Fórmula'!C41+'Fórmula'!E41+'Fórmula'!G41+'Fórmula'!I41+'Fórmula'!K41))*(INDEX(properties!A$1:CB$87,'Fórmula'!J41,13))</f>
        <v>0.1428571429</v>
      </c>
      <c r="AY41" s="109">
        <f t="array" ref="AY41">'Fórmula'!C41*(INDEX(properties!A$1:CB$87,'Fórmula'!B41,13))+'Fórmula'!E41*(INDEX(properties!A$1:CB$87,'Fórmula'!D41,13))+'Fórmula'!G41*(INDEX(properties!A$1:CB$87,'Fórmula'!F41,13))+'Fórmula'!I41*(INDEX(properties!A$1:CB$87,'Fórmula'!H41,13))+'Fórmula'!K41*(INDEX(properties!A$1:CB$87,'Fórmula'!J41,13))</f>
        <v>1</v>
      </c>
      <c r="AZ41" s="109">
        <f t="array" ref="AZ41">VARP(IF(INDEX(properties!A$1:CB$87,'Fórmula'!B41,13)&lt;&gt;"",INDEX(properties!A$1:CB$87,'Fórmula'!B41,13)),IF(INDEX(properties!A$1:CB$87,'Fórmula'!D41,13)&lt;&gt;"",INDEX(properties!A$1:CB$87,'Fórmula'!D41,13)),IF(INDEX(properties!A$1:CB$87,'Fórmula'!F41,13)&lt;&gt;"",INDEX(properties!A$1:CB$87,'Fórmula'!F41,13)),IF(INDEX(properties!A$1:CB$87,'Fórmula'!H41,13)&lt;&gt;"",INDEX(properties!A$1:CB$87,'Fórmula'!H41,13)),IF(INDEX(properties!A$1:CB$87,'Fórmula'!J41,13)&lt;&gt;"",INDEX(properties!A$1:CB$87,'Fórmula'!J41,13)))</f>
        <v>0.16</v>
      </c>
      <c r="BA41" s="109">
        <f t="array" ref="BA41">MAX(INDEX(properties!A$1:CB$87,'Fórmula'!B41,13),INDEX(properties!A$1:CB$87,'Fórmula'!D41,13),INDEX(properties!A$1:CB$87,'Fórmula'!F41,13),INDEX(properties!A$1:CB$87,'Fórmula'!H41,13),INDEX(properties!A$1:CB$87,'Fórmula'!J41,13))</f>
        <v>1</v>
      </c>
      <c r="BB41" s="109">
        <f t="array" ref="BB41">MIN(IF('Fórmula'!B41=87,10^6,INDEX(properties!A$1:CB$87,'Fórmula'!B41,13)),IF(('Fórmula'!D41)=87,10^6,INDEX(properties!A$1:CB$87,'Fórmula'!D41,13)),IF(('Fórmula'!F41)=87,10^6,INDEX(properties!A$1:CB$87,'Fórmula'!F41,13)),IF(('Fórmula'!H41)=87,10^6,INDEX(properties!A$1:CB$87,'Fórmula'!H41,13)),IF('Fórmula'!J41=87,10^6,INDEX(properties!A$1:CB$87,'Fórmula'!J41,13)))</f>
        <v>0</v>
      </c>
      <c r="BC41" s="109">
        <f t="shared" si="9"/>
        <v>1</v>
      </c>
      <c r="BD41" s="110">
        <f t="array" ref="BD41">(('Fórmula'!C41)/('Fórmula'!C41+'Fórmula'!E41+'Fórmula'!G41+'Fórmula'!I41+'Fórmula'!K41))*(INDEX(properties!A$1:CB$87,'Fórmula'!B41,14))+(('Fórmula'!E41)/('Fórmula'!C41+'Fórmula'!E41+'Fórmula'!G41+'Fórmula'!I41+'Fórmula'!K41))*(INDEX(properties!A$1:CB$87,'Fórmula'!D41,14))+(('Fórmula'!G41)/('Fórmula'!C41+'Fórmula'!E41+'Fórmula'!G41+'Fórmula'!I41+'Fórmula'!K41))*(INDEX(properties!A$1:CB$87,'Fórmula'!F41,14))+(('Fórmula'!I41)/('Fórmula'!C41+'Fórmula'!E41+'Fórmula'!G41+'Fórmula'!I41+'Fórmula'!K41))*(INDEX(properties!A$1:CB$87,'Fórmula'!H41,14))+(('Fórmula'!K41)/('Fórmula'!C41+'Fórmula'!E41+'Fórmula'!G41+'Fórmula'!I41+'Fórmula'!K41))*(INDEX(properties!A$1:CB$87,'Fórmula'!J41,14))</f>
        <v>0</v>
      </c>
      <c r="BE41" s="110">
        <f t="array" ref="BE41">'Fórmula'!C41*(INDEX(properties!A$1:CB$87,'Fórmula'!B41,14))+'Fórmula'!E41*(INDEX(properties!A$1:CB$87,'Fórmula'!D41,14))+'Fórmula'!G41*(INDEX(properties!A$1:CB$87,'Fórmula'!F41,14))+'Fórmula'!I41*(INDEX(properties!A$1:CB$87,'Fórmula'!H41,14))+'Fórmula'!K41*(INDEX(properties!A$1:CB$87,'Fórmula'!J41,14))</f>
        <v>0</v>
      </c>
      <c r="BF41" s="110">
        <f t="array" ref="BF41">VARP(IF(INDEX(properties!A$1:CB$87,'Fórmula'!B41,14)&lt;&gt;"",INDEX(properties!A$1:CB$87,'Fórmula'!B41,14)),IF(INDEX(properties!A$1:CB$87,'Fórmula'!D41,14)&lt;&gt;"",INDEX(properties!A$1:CB$87,'Fórmula'!D41,14)),IF(INDEX(properties!A$1:CB$87,'Fórmula'!F41,14)&lt;&gt;"",INDEX(properties!A$1:CB$87,'Fórmula'!F41,14)),IF(INDEX(properties!A$1:CB$87,'Fórmula'!H41,14)&lt;&gt;"",INDEX(properties!A$1:CB$87,'Fórmula'!H41,14)),IF(INDEX(properties!A$1:CB$87,'Fórmula'!J41,14)&lt;&gt;"",INDEX(properties!A$1:CB$87,'Fórmula'!J41,14)))</f>
        <v>0</v>
      </c>
      <c r="BG41" s="110">
        <f t="array" ref="BG41">MAX(INDEX(properties!A$1:CB$87,'Fórmula'!B41,14),INDEX(properties!A$1:CB$87,'Fórmula'!D41,14),INDEX(properties!A$1:CB$87,'Fórmula'!F41,14),INDEX(properties!A$1:CB$87,'Fórmula'!H41,14),INDEX(properties!A$1:CB$87,'Fórmula'!J41,14))</f>
        <v>0</v>
      </c>
      <c r="BH41" s="110">
        <f t="array" ref="BH41">MIN(IF('Fórmula'!B41=87,10^6,INDEX(properties!A$1:CB$87,'Fórmula'!B41,14)),IF(('Fórmula'!D41)=87,10^6,INDEX(properties!A$1:CB$87,'Fórmula'!D41,14)),IF(('Fórmula'!F41)=87,10^6,INDEX(properties!A$1:CB$87,'Fórmula'!F41,14)),IF(('Fórmula'!H41)=87,10^6,INDEX(properties!A$1:CB$87,'Fórmula'!H41,14)),IF('Fórmula'!J41=87,10^6,INDEX(properties!A$1:CB$87,'Fórmula'!J41,14)))</f>
        <v>0</v>
      </c>
      <c r="BI41" s="110">
        <f t="shared" si="10"/>
        <v>0</v>
      </c>
      <c r="BJ41" s="111">
        <f t="array" ref="BJ41">(('Fórmula'!C41)/('Fórmula'!C41+'Fórmula'!E41+'Fórmula'!G41+'Fórmula'!I41+'Fórmula'!K41))*(INDEX(properties!A$1:CB$87,'Fórmula'!B41,19))+(('Fórmula'!E41)/('Fórmula'!C41+'Fórmula'!E41+'Fórmula'!G41+'Fórmula'!I41+'Fórmula'!K41))*(INDEX(properties!A$1:CB$87,'Fórmula'!D41,19))+(('Fórmula'!G41)/('Fórmula'!C41+'Fórmula'!E41+'Fórmula'!G41+'Fórmula'!I41+'Fórmula'!K41))*(INDEX(properties!A$1:CB$87,'Fórmula'!F41,19))+(('Fórmula'!I41)/('Fórmula'!C41+'Fórmula'!E41+'Fórmula'!G41+'Fórmula'!I41+'Fórmula'!K41))*(INDEX(properties!A$1:CB$87,'Fórmula'!H41,19))+(('Fórmula'!K41)/('Fórmula'!C41+'Fórmula'!E41+'Fórmula'!G41+'Fórmula'!I41+'Fórmula'!K41))*(INDEX(properties!A$1:CB$87,'Fórmula'!J41,19))</f>
        <v>4.571428571</v>
      </c>
      <c r="BK41" s="111">
        <f t="array" ref="BK41">'Fórmula'!C41*(INDEX(properties!A$1:CB$87,'Fórmula'!B41,19))+'Fórmula'!E41*(INDEX(properties!A$1:CB$87,'Fórmula'!D41,19))+'Fórmula'!G41*(INDEX(properties!A$1:CB$87,'Fórmula'!F41,19))+'Fórmula'!I41*(INDEX(properties!A$1:CB$87,'Fórmula'!H41,19))+'Fórmula'!K41*(INDEX(properties!A$1:CB$87,'Fórmula'!J41,19))</f>
        <v>32</v>
      </c>
      <c r="BL41" s="111">
        <f t="array" ref="BL41">VARP(IF(INDEX(properties!A$1:CB$87,'Fórmula'!B41,19)&lt;&gt;"",INDEX(properties!A$1:CB$87,'Fórmula'!B41,19)),IF(INDEX(properties!A$1:CB$87,'Fórmula'!D41,19)&lt;&gt;"",INDEX(properties!A$1:CB$87,'Fórmula'!D41,19)),IF(INDEX(properties!A$1:CB$87,'Fórmula'!F41,19)&lt;&gt;"",INDEX(properties!A$1:CB$87,'Fórmula'!F41,19)),IF(INDEX(properties!A$1:CB$87,'Fórmula'!H41,19)&lt;&gt;"",INDEX(properties!A$1:CB$87,'Fórmula'!H41,19)),IF(INDEX(properties!A$1:CB$87,'Fórmula'!J41,19)&lt;&gt;"",INDEX(properties!A$1:CB$87,'Fórmula'!J41,19)))</f>
        <v>3.76</v>
      </c>
      <c r="BM41" s="111">
        <f t="array" ref="BM41">MAX(INDEX(properties!A$1:CB$87,'Fórmula'!B41,19),INDEX(properties!A$1:CB$87,'Fórmula'!D41,19),INDEX(properties!A$1:CB$87,'Fórmula'!F41,19),INDEX(properties!A$1:CB$87,'Fórmula'!H41,19),INDEX(properties!A$1:CB$87,'Fórmula'!J41,19))</f>
        <v>6</v>
      </c>
      <c r="BN41" s="111">
        <f t="array" ref="BN41">MIN(IF(INDEX(properties!A$1:CB$87,'Fórmula'!B41,19)=0,10^6,INDEX(properties!A$1:CB$87,'Fórmula'!B41,19)),IF(INDEX(properties!A$1:CB$87,'Fórmula'!D41,19)=0,10^6,INDEX(properties!A$1:CB$87,'Fórmula'!D41,19)),IF(INDEX(properties!A$1:CB$87,'Fórmula'!F41,19)=0,10^6,INDEX(properties!A$1:CB$87,'Fórmula'!F41,19)),IF(INDEX(properties!A$1:CB$87,'Fórmula'!H41,19)=0,10^6,INDEX(properties!A$1:CB$87,'Fórmula'!H41,19)),IF(INDEX(properties!A$1:CB$87,'Fórmula'!J41,19)=0,10^6,INDEX(properties!A$1:CB$87,'Fórmula'!J41,19)))</f>
        <v>2</v>
      </c>
      <c r="BO41" s="111">
        <f t="shared" si="11"/>
        <v>4</v>
      </c>
      <c r="BP41" s="112">
        <f t="array" ref="BP41">(('Fórmula'!C41)/('Fórmula'!C41+'Fórmula'!E41+'Fórmula'!G41+'Fórmula'!I41+'Fórmula'!K41))*(INDEX(properties!A$1:CB$87,'Fórmula'!B41,20))+(('Fórmula'!E41)/('Fórmula'!C41+'Fórmula'!E41+'Fórmula'!G41+'Fórmula'!I41+'Fórmula'!K41))*(INDEX(properties!A$1:CB$87,'Fórmula'!D41,20))+(('Fórmula'!G41)/('Fórmula'!C41+'Fórmula'!E41+'Fórmula'!G41+'Fórmula'!I41+'Fórmula'!K41))*(INDEX(properties!A$1:CB$87,'Fórmula'!F41,20))+(('Fórmula'!I41)/('Fórmula'!C41+'Fórmula'!E41+'Fórmula'!G41+'Fórmula'!I41+'Fórmula'!K41))*(INDEX(properties!A$1:CB$87,'Fórmula'!H41,20))+(('Fórmula'!K41)/('Fórmula'!C41+'Fórmula'!E41+'Fórmula'!G41+'Fórmula'!I41+'Fórmula'!K41))*(INDEX(properties!A$1:CB$87,'Fórmula'!J41,20))</f>
        <v>4.428571429</v>
      </c>
      <c r="BQ41" s="112">
        <f t="array" ref="BQ41">'Fórmula'!C41*(INDEX(properties!A$1:CB$87,'Fórmula'!B41,20))+'Fórmula'!E41*(INDEX(properties!A$1:CB$87,'Fórmula'!D41,20))+'Fórmula'!G41*(INDEX(properties!A$1:CB$87,'Fórmula'!F41,20))+'Fórmula'!I41*(INDEX(properties!A$1:CB$87,'Fórmula'!H41,20))+'Fórmula'!K41*(INDEX(properties!A$1:CB$87,'Fórmula'!J41,20))</f>
        <v>31</v>
      </c>
      <c r="BR41" s="112">
        <f t="array" ref="BR41">VARP(IF(INDEX(properties!A$1:CB$87,'Fórmula'!B41,20)&lt;&gt;"",INDEX(properties!A$1:CB$87,'Fórmula'!B41,20)),IF(INDEX(properties!A$1:CB$87,'Fórmula'!D41,20)&lt;&gt;"",INDEX(properties!A$1:CB$87,'Fórmula'!D41,20)),IF(INDEX(properties!A$1:CB$87,'Fórmula'!F41,20)&lt;&gt;"",INDEX(properties!A$1:CB$87,'Fórmula'!F41,20)),IF(INDEX(properties!A$1:CB$87,'Fórmula'!H41,20)&lt;&gt;"",INDEX(properties!A$1:CB$87,'Fórmula'!H41,20)),IF(INDEX(properties!A$1:CB$87,'Fórmula'!J41,20)&lt;&gt;"",INDEX(properties!A$1:CB$87,'Fórmula'!J41,20)))</f>
        <v>3.84</v>
      </c>
      <c r="BS41" s="112">
        <f t="array" ref="BS41">MAX(INDEX(properties!A$1:CB$87,'Fórmula'!B41,20),INDEX(properties!A$1:CB$87,'Fórmula'!D41,20),INDEX(properties!A$1:CB$87,'Fórmula'!F41,20),INDEX(properties!A$1:CB$87,'Fórmula'!H41,20),INDEX(properties!A$1:CB$87,'Fórmula'!J41,20))</f>
        <v>6</v>
      </c>
      <c r="BT41" s="112">
        <f t="array" ref="BT41">MIN(IF(INDEX(properties!A$1:CB$87,'Fórmula'!B41,20)=0,10^6,INDEX(properties!A$1:CB$87,'Fórmula'!B41,20)),IF(INDEX(properties!A$1:CB$87,'Fórmula'!D41,20)=0,10^6,INDEX(properties!A$1:CB$87,'Fórmula'!D41,20)),IF(INDEX(properties!A$1:CB$87,'Fórmula'!F41,20)=0,10^6,INDEX(properties!A$1:CB$87,'Fórmula'!F41,20)),IF(INDEX(properties!A$1:CB$87,'Fórmula'!H41,20)=0,10^6,INDEX(properties!A$1:CB$87,'Fórmula'!H41,20)),IF(INDEX(properties!A$1:CB$87,'Fórmula'!J41,20)=0,10^6,INDEX(properties!A$1:CB$87,'Fórmula'!J41,20)))</f>
        <v>2</v>
      </c>
      <c r="BU41" s="112">
        <f t="shared" si="12"/>
        <v>4</v>
      </c>
      <c r="BV41" s="113">
        <f t="array" ref="BV41">(('Fórmula'!C41)/('Fórmula'!C41+'Fórmula'!E41+'Fórmula'!G41+'Fórmula'!I41+'Fórmula'!K41))*(INDEX(properties!A$1:CB$87,'Fórmula'!B41,21))+(('Fórmula'!E41)/('Fórmula'!C41+'Fórmula'!E41+'Fórmula'!G41+'Fórmula'!I41+'Fórmula'!K41))*(INDEX(properties!A$1:CB$87,'Fórmula'!D41,21))+(('Fórmula'!G41)/('Fórmula'!C41+'Fórmula'!E41+'Fórmula'!G41+'Fórmula'!I41+'Fórmula'!K41))*(INDEX(properties!A$1:CB$87,'Fórmula'!F41,21))+(('Fórmula'!I41)/('Fórmula'!C41+'Fórmula'!E41+'Fórmula'!G41+'Fórmula'!I41+'Fórmula'!K41))*(INDEX(properties!A$1:CB$87,'Fórmula'!H41,21))+(('Fórmula'!K41)/('Fórmula'!C41+'Fórmula'!E41+'Fórmula'!G41+'Fórmula'!I41+'Fórmula'!K41))*(INDEX(properties!A$1:CB$87,'Fórmula'!J41,21))</f>
        <v>4.285714286</v>
      </c>
      <c r="BW41" s="113">
        <f t="array" ref="BW41">'Fórmula'!C41*(INDEX(properties!A$1:CB$87,'Fórmula'!B41,21))+'Fórmula'!E41*(INDEX(properties!A$1:CB$87,'Fórmula'!D41,21))+'Fórmula'!G41*(INDEX(properties!A$1:CB$87,'Fórmula'!F41,21))+'Fórmula'!I41*(INDEX(properties!A$1:CB$87,'Fórmula'!H41,21))+'Fórmula'!K41*(INDEX(properties!A$1:CB$87,'Fórmula'!J41,21))</f>
        <v>30</v>
      </c>
      <c r="BX41" s="113">
        <f t="array" ref="BX41">VARP(IF(INDEX(properties!A$1:CB$87,'Fórmula'!B41,21)&lt;&gt;"",INDEX(properties!A$1:CB$87,'Fórmula'!B41,21)),IF(INDEX(properties!A$1:CB$87,'Fórmula'!D41,21)&lt;&gt;"",INDEX(properties!A$1:CB$87,'Fórmula'!D41,21)),IF(INDEX(properties!A$1:CB$87,'Fórmula'!F41,21)&lt;&gt;"",INDEX(properties!A$1:CB$87,'Fórmula'!F41,21)),IF(INDEX(properties!A$1:CB$87,'Fórmula'!H41,21)&lt;&gt;"",INDEX(properties!A$1:CB$87,'Fórmula'!H41,21)),IF(INDEX(properties!A$1:CB$87,'Fórmula'!J41,21)&lt;&gt;"",INDEX(properties!A$1:CB$87,'Fórmula'!J41,21)))</f>
        <v>4.24</v>
      </c>
      <c r="BY41" s="113">
        <f t="array" ref="BY41">MAX(INDEX(properties!A$1:CB$87,'Fórmula'!B41,21),INDEX(properties!A$1:CB$87,'Fórmula'!D41,21),INDEX(properties!A$1:CB$87,'Fórmula'!F41,21),INDEX(properties!A$1:CB$87,'Fórmula'!H41,21),INDEX(properties!A$1:CB$87,'Fórmula'!J41,21))</f>
        <v>6</v>
      </c>
      <c r="BZ41" s="113">
        <f t="array" ref="BZ41">MIN(IF(INDEX(properties!A$1:CB$87,'Fórmula'!B41,21)=0,10^6,INDEX(properties!A$1:CB$87,'Fórmula'!B41,21)),IF(INDEX(properties!A$1:CB$87,'Fórmula'!D41,21)=0,10^6,INDEX(properties!A$1:CB$87,'Fórmula'!D41,21)),IF(INDEX(properties!A$1:CB$87,'Fórmula'!F41,21)=0,10^6,INDEX(properties!A$1:CB$87,'Fórmula'!F41,21)),IF(INDEX(properties!A$1:CB$87,'Fórmula'!H41,21)=0,10^6,INDEX(properties!A$1:CB$87,'Fórmula'!H41,21)),IF(INDEX(properties!A$1:CB$87,'Fórmula'!J41,21)=0,10^6,INDEX(properties!A$1:CB$87,'Fórmula'!J41,21)))</f>
        <v>1</v>
      </c>
      <c r="CA41" s="113">
        <f t="shared" si="13"/>
        <v>5</v>
      </c>
      <c r="CB41" s="114">
        <f t="array" ref="CB41">(('Fórmula'!C41)/('Fórmula'!C41+'Fórmula'!E41+'Fórmula'!G41+'Fórmula'!I41+'Fórmula'!K41))*(INDEX(properties!A$1:CB$87,'Fórmula'!B41,23))+(('Fórmula'!E41)/('Fórmula'!C41+'Fórmula'!E41+'Fórmula'!G41+'Fórmula'!I41+'Fórmula'!K41))*(INDEX(properties!A$1:CB$87,'Fórmula'!D41,23))+(('Fórmula'!G41)/('Fórmula'!C41+'Fórmula'!E41+'Fórmula'!G41+'Fórmula'!I41+'Fórmula'!K41))*(INDEX(properties!A$1:CB$87,'Fórmula'!F41,23))+(('Fórmula'!I41)/('Fórmula'!C41+'Fórmula'!E41+'Fórmula'!G41+'Fórmula'!I41+'Fórmula'!K41))*(INDEX(properties!A$1:CB$87,'Fórmula'!H41,23))+(('Fórmula'!K41)/('Fórmula'!C41+'Fórmula'!E41+'Fórmula'!G41+'Fórmula'!I41+'Fórmula'!K41))*(INDEX(properties!A$1:CB$87,'Fórmula'!J41,23))</f>
        <v>1.142857143</v>
      </c>
      <c r="CC41" s="114">
        <f t="array" ref="CC41">'Fórmula'!C41*(INDEX(properties!A$1:CB$87,'Fórmula'!B41,23))+'Fórmula'!E41*(INDEX(properties!A$1:CB$87,'Fórmula'!D41,23))+'Fórmula'!G41*(INDEX(properties!A$1:CB$87,'Fórmula'!F41,23))+'Fórmula'!I41*(INDEX(properties!A$1:CB$87,'Fórmula'!H41,23))+'Fórmula'!K41*(INDEX(properties!A$1:CB$87,'Fórmula'!J41,23))</f>
        <v>8</v>
      </c>
      <c r="CD41" s="114">
        <f t="array" ref="CD41">VARP(IF(INDEX(properties!A$1:CB$87,'Fórmula'!B41,23)&lt;&gt;"",INDEX(properties!A$1:CB$87,'Fórmula'!B41,23)),IF(INDEX(properties!A$1:CB$87,'Fórmula'!D41,23)&lt;&gt;"",INDEX(properties!A$1:CB$87,'Fórmula'!D41,23)),IF(INDEX(properties!A$1:CB$87,'Fórmula'!F41,23)&lt;&gt;"",INDEX(properties!A$1:CB$87,'Fórmula'!F41,23)),IF(INDEX(properties!A$1:CB$87,'Fórmula'!H41,23)&lt;&gt;"",INDEX(properties!A$1:CB$87,'Fórmula'!H41,23)),IF(INDEX(properties!A$1:CB$87,'Fórmula'!J41,23)&lt;&gt;"",INDEX(properties!A$1:CB$87,'Fórmula'!J41,23)))</f>
        <v>1.84</v>
      </c>
      <c r="CE41" s="114">
        <f t="array" ref="CE41">MAX(INDEX(properties!A$1:CB$87,'Fórmula'!B41,23),INDEX(properties!A$1:CB$87,'Fórmula'!D41,23),INDEX(properties!A$1:CB$87,'Fórmula'!F41,23),INDEX(properties!A$1:CB$87,'Fórmula'!H41,23),INDEX(properties!A$1:CB$87,'Fórmula'!J41,23))</f>
        <v>3</v>
      </c>
      <c r="CF41" s="114">
        <f t="array" ref="CF41">MIN(IF('Fórmula'!B41=87,10^6,INDEX(properties!A$1:CB$87,'Fórmula'!B41,23)),IF(('Fórmula'!D41)=87,10^6,INDEX(properties!A$1:CB$87,'Fórmula'!D41,23)),IF(('Fórmula'!F41)=87,10^6,INDEX(properties!A$1:CB$87,'Fórmula'!F41,23)),IF(('Fórmula'!H41)=87,10^6,INDEX(properties!A$1:CB$87,'Fórmula'!H41,23)),IF('Fórmula'!J41=87,10^6,INDEX(properties!A$1:CB$87,'Fórmula'!J41,23)))</f>
        <v>0</v>
      </c>
      <c r="CG41" s="114">
        <f t="shared" si="14"/>
        <v>3</v>
      </c>
      <c r="CH41" s="115">
        <f t="array" ref="CH41">(('Fórmula'!C41)/('Fórmula'!C41+'Fórmula'!E41+'Fórmula'!G41+'Fórmula'!I41+'Fórmula'!K41))*(INDEX(properties!A$1:CB$87,'Fórmula'!B41,26))+(('Fórmula'!E41)/('Fórmula'!C41+'Fórmula'!E41+'Fórmula'!G41+'Fórmula'!I41+'Fórmula'!K41))*(INDEX(properties!A$1:CB$87,'Fórmula'!D41,26))+(('Fórmula'!G41)/('Fórmula'!C41+'Fórmula'!E41+'Fórmula'!G41+'Fórmula'!I41+'Fórmula'!K41))*(INDEX(properties!A$1:CB$87,'Fórmula'!F41,26))+(('Fórmula'!I41)/('Fórmula'!C41+'Fórmula'!E41+'Fórmula'!G41+'Fórmula'!I41+'Fórmula'!K41))*(INDEX(properties!A$1:CB$87,'Fórmula'!H41,26))+(('Fórmula'!K41)/('Fórmula'!C41+'Fórmula'!E41+'Fórmula'!G41+'Fórmula'!I41+'Fórmula'!K41))*(INDEX(properties!A$1:CB$87,'Fórmula'!J41,26))</f>
        <v>10.24714286</v>
      </c>
      <c r="CI41" s="115">
        <f t="array" ref="CI41">'Fórmula'!C41*(INDEX(properties!A$1:CB$87,'Fórmula'!B41,26))+'Fórmula'!E41*(INDEX(properties!A$1:CB$87,'Fórmula'!D41,26))+'Fórmula'!G41*(INDEX(properties!A$1:CB$87,'Fórmula'!F41,26))+'Fórmula'!I41*(INDEX(properties!A$1:CB$87,'Fórmula'!H41,26))+'Fórmula'!K41*(INDEX(properties!A$1:CB$87,'Fórmula'!J41,26))</f>
        <v>71.73</v>
      </c>
      <c r="CJ41" s="115">
        <f t="array" ref="CJ41">VARP(IF(INDEX(properties!A$1:CB$87,'Fórmula'!B41,26)&lt;&gt;"",INDEX(properties!A$1:CB$87,'Fórmula'!B41,26)),IF(INDEX(properties!A$1:CB$87,'Fórmula'!D41,26)&lt;&gt;"",INDEX(properties!A$1:CB$87,'Fórmula'!D41,26)),IF(INDEX(properties!A$1:CB$87,'Fórmula'!F41,26)&lt;&gt;"",INDEX(properties!A$1:CB$87,'Fórmula'!F41,26)),IF(INDEX(properties!A$1:CB$87,'Fórmula'!H41,26)&lt;&gt;"",INDEX(properties!A$1:CB$87,'Fórmula'!H41,26)),IF(INDEX(properties!A$1:CB$87,'Fórmula'!J41,26)&lt;&gt;"",INDEX(properties!A$1:CB$87,'Fórmula'!J41,26)))</f>
        <v>18.83087575</v>
      </c>
      <c r="CK41" s="116">
        <f t="array" ref="CK41">MAX(INDEX(properties!A$1:CB$87,'Fórmula'!B41,26),INDEX(properties!A$1:CB$87,'Fórmula'!D41,26),INDEX(properties!A$1:CB$87,'Fórmula'!F41,26),INDEX(properties!A$1:CB$87,'Fórmula'!H41,26),INDEX(properties!A$1:CB$87,'Fórmula'!J41,26))</f>
        <v>13.6181</v>
      </c>
      <c r="CL41" s="116">
        <f t="array" ref="CL41">MIN(IF(INDEX(properties!A$1:CB$87,'Fórmula'!B41,26)=0,10^6,INDEX(properties!A$1:CB$87,'Fórmula'!B41,26)),IF(INDEX(properties!A$1:CB$87,'Fórmula'!D41,26)=0,10^6,INDEX(properties!A$1:CB$87,'Fórmula'!D41,26)),IF(INDEX(properties!A$1:CB$87,'Fórmula'!F41,26)=0,10^6,INDEX(properties!A$1:CB$87,'Fórmula'!F41,26)),IF(INDEX(properties!A$1:CB$87,'Fórmula'!H41,26)=0,10^6,INDEX(properties!A$1:CB$87,'Fórmula'!H41,26)),IF(INDEX(properties!A$1:CB$87,'Fórmula'!J41,26)=0,10^6,INDEX(properties!A$1:CB$87,'Fórmula'!J41,26)))</f>
        <v>5.5769</v>
      </c>
      <c r="CM41" s="115">
        <f t="shared" si="15"/>
        <v>8.0412</v>
      </c>
      <c r="CN41" s="117">
        <f t="array" ref="CN41">(('Fórmula'!C41)/('Fórmula'!C41+'Fórmula'!E41+'Fórmula'!G41+'Fórmula'!I41+'Fórmula'!K41))*(INDEX(properties!A$1:CB$87,'Fórmula'!B41,30))+(('Fórmula'!E41)/('Fórmula'!C41+'Fórmula'!E41+'Fórmula'!G41+'Fórmula'!I41+'Fórmula'!K41))*(INDEX(properties!A$1:CB$87,'Fórmula'!D41,30))+(('Fórmula'!G41)/('Fórmula'!C41+'Fórmula'!E41+'Fórmula'!G41+'Fórmula'!I41+'Fórmula'!K41))*(INDEX(properties!A$1:CB$87,'Fórmula'!F41,30))+(('Fórmula'!I41)/('Fórmula'!C41+'Fórmula'!E41+'Fórmula'!G41+'Fórmula'!I41+'Fórmula'!K41))*(INDEX(properties!A$1:CB$87,'Fórmula'!H41,30))+(('Fórmula'!K41)/('Fórmula'!C41+'Fórmula'!E41+'Fórmula'!G41+'Fórmula'!I41+'Fórmula'!K41))*(INDEX(properties!A$1:CB$87,'Fórmula'!J41,30))</f>
        <v>2.488571429</v>
      </c>
      <c r="CO41" s="117">
        <f t="array" ref="CO41">'Fórmula'!C41*(INDEX(properties!A$1:CB$87,'Fórmula'!B41,30))+'Fórmula'!E41*(INDEX(properties!A$1:CB$87,'Fórmula'!D41,30))+'Fórmula'!G41*(INDEX(properties!A$1:CB$87,'Fórmula'!F41,30))+'Fórmula'!I41*(INDEX(properties!A$1:CB$87,'Fórmula'!H41,30))+'Fórmula'!K41*(INDEX(properties!A$1:CB$87,'Fórmula'!J41,30))</f>
        <v>17.42</v>
      </c>
      <c r="CP41" s="117">
        <f t="array" ref="CP41">VARP(IF(INDEX(properties!A$1:CB$87,'Fórmula'!B41,30)&lt;&gt;"",INDEX(properties!A$1:CB$87,'Fórmula'!B41,30)),IF(INDEX(properties!A$1:CB$87,'Fórmula'!D41,30)&lt;&gt;"",INDEX(properties!A$1:CB$87,'Fórmula'!D41,30)),IF(INDEX(properties!A$1:CB$87,'Fórmula'!F41,30)&lt;&gt;"",INDEX(properties!A$1:CB$87,'Fórmula'!F41,30)),IF(INDEX(properties!A$1:CB$87,'Fórmula'!H41,30)&lt;&gt;"",INDEX(properties!A$1:CB$87,'Fórmula'!H41,30)),IF(INDEX(properties!A$1:CB$87,'Fórmula'!J41,30)&lt;&gt;"",INDEX(properties!A$1:CB$87,'Fórmula'!J41,30)))</f>
        <v>1.29124</v>
      </c>
      <c r="CQ41" s="117">
        <f t="array" ref="CQ41">MAX(INDEX(properties!A$1:CB$87,'Fórmula'!B41,30),INDEX(properties!A$1:CB$87,'Fórmula'!D41,30),INDEX(properties!A$1:CB$87,'Fórmula'!F41,30),INDEX(properties!A$1:CB$87,'Fórmula'!H41,30),INDEX(properties!A$1:CB$87,'Fórmula'!J41,30))</f>
        <v>3.44</v>
      </c>
      <c r="CR41" s="117">
        <f t="array" ref="CR41">MIN(IF(INDEX(properties!A$1:CB$87,'Fórmula'!B41,30)=0,10^6,INDEX(properties!A$1:CB$87,'Fórmula'!B41,30)),IF(INDEX(properties!A$1:CB$87,'Fórmula'!D41,30)=0,10^6,INDEX(properties!A$1:CB$87,'Fórmula'!D41,30)),IF(INDEX(properties!A$1:CB$87,'Fórmula'!F41,30)=0,10^6,INDEX(properties!A$1:CB$87,'Fórmula'!F41,30)),IF(INDEX(properties!A$1:CB$87,'Fórmula'!H41,30)=0,10^6,INDEX(properties!A$1:CB$87,'Fórmula'!H41,30)),IF(INDEX(properties!A$1:CB$87,'Fórmula'!J41,30)=0,10^6,INDEX(properties!A$1:CB$87,'Fórmula'!J41,30)))</f>
        <v>0.95</v>
      </c>
      <c r="CS41" s="117">
        <f t="shared" si="16"/>
        <v>2.49</v>
      </c>
      <c r="CT41" s="118">
        <f t="array" ref="CT41">(('Fórmula'!C41)/('Fórmula'!C41+'Fórmula'!E41+'Fórmula'!G41+'Fórmula'!I41+'Fórmula'!K41))*(INDEX(properties!A$1:CB$87,'Fórmula'!B41,31))+(('Fórmula'!E41)/('Fórmula'!C41+'Fórmula'!E41+'Fórmula'!G41+'Fórmula'!I41+'Fórmula'!K41))*(INDEX(properties!A$1:CB$87,'Fórmula'!D41,31))+(('Fórmula'!G41)/('Fórmula'!C41+'Fórmula'!E41+'Fórmula'!G41+'Fórmula'!I41+'Fórmula'!K41))*(INDEX(properties!A$1:CB$87,'Fórmula'!F41,31))+(('Fórmula'!I41)/('Fórmula'!C41+'Fórmula'!E41+'Fórmula'!G41+'Fórmula'!I41+'Fórmula'!K41))*(INDEX(properties!A$1:CB$87,'Fórmula'!H41,31))+(('Fórmula'!K41)/('Fórmula'!C41+'Fórmula'!E41+'Fórmula'!G41+'Fórmula'!I41+'Fórmula'!K41))*(INDEX(properties!A$1:CB$87,'Fórmula'!J41,31))</f>
        <v>2.485714286</v>
      </c>
      <c r="CU41" s="118">
        <f t="array" ref="CU41">'Fórmula'!C41*(INDEX(properties!A$1:CB$87,'Fórmula'!B41,31))+'Fórmula'!E41*(INDEX(properties!A$1:CB$87,'Fórmula'!D41,31))+'Fórmula'!G41*(INDEX(properties!A$1:CB$87,'Fórmula'!F41,31))+'Fórmula'!I41*(INDEX(properties!A$1:CB$87,'Fórmula'!H41,31))+'Fórmula'!K41*(INDEX(properties!A$1:CB$87,'Fórmula'!J41,31))</f>
        <v>17.4</v>
      </c>
      <c r="CV41" s="118">
        <f t="array" ref="CV41">VARP(IF(INDEX(properties!A$1:CB$87,'Fórmula'!B41,31)&lt;&gt;"",INDEX(properties!A$1:CB$87,'Fórmula'!B41,31)),IF(INDEX(properties!A$1:CB$87,'Fórmula'!D41,31)&lt;&gt;"",INDEX(properties!A$1:CB$87,'Fórmula'!D41,31)),IF(INDEX(properties!A$1:CB$87,'Fórmula'!F41,31)&lt;&gt;"",INDEX(properties!A$1:CB$87,'Fórmula'!F41,31)),IF(INDEX(properties!A$1:CB$87,'Fórmula'!H41,31)&lt;&gt;"",INDEX(properties!A$1:CB$87,'Fórmula'!H41,31)),IF(INDEX(properties!A$1:CB$87,'Fórmula'!J41,31)&lt;&gt;"",INDEX(properties!A$1:CB$87,'Fórmula'!J41,31)))</f>
        <v>1.148136</v>
      </c>
      <c r="CW41" s="118">
        <f t="array" ref="CW41">MAX(INDEX(properties!A$1:CB$87,'Fórmula'!B41,31),INDEX(properties!A$1:CB$87,'Fórmula'!D41,31),INDEX(properties!A$1:CB$87,'Fórmula'!F41,31),INDEX(properties!A$1:CB$87,'Fórmula'!H41,31),INDEX(properties!A$1:CB$87,'Fórmula'!J41,31))</f>
        <v>3.32</v>
      </c>
      <c r="CX41" s="118">
        <f t="array" ref="CX41">MIN(IF(INDEX(properties!A$1:CB$87,'Fórmula'!B41,31)=0,10^6,INDEX(properties!A$1:CB$87,'Fórmula'!B41,31)),IF(INDEX(properties!A$1:CB$87,'Fórmula'!D41,31)=0,10^6,INDEX(properties!A$1:CB$87,'Fórmula'!D41,31)),IF(INDEX(properties!A$1:CB$87,'Fórmula'!F41,31)=0,10^6,INDEX(properties!A$1:CB$87,'Fórmula'!F41,31)),IF(INDEX(properties!A$1:CB$87,'Fórmula'!H41,31)=0,10^6,INDEX(properties!A$1:CB$87,'Fórmula'!H41,31)),IF(INDEX(properties!A$1:CB$87,'Fórmula'!J41,31)=0,10^6,INDEX(properties!A$1:CB$87,'Fórmula'!J41,31)))</f>
        <v>1.13</v>
      </c>
      <c r="CY41" s="118">
        <f t="shared" si="17"/>
        <v>2.19</v>
      </c>
      <c r="CZ41" s="119">
        <f t="array" ref="CZ41">(('Fórmula'!C41)/('Fórmula'!C41+'Fórmula'!E41+'Fórmula'!G41+'Fórmula'!I41+'Fórmula'!K41))*(INDEX(properties!A$1:CB$87,'Fórmula'!B41,32))+(('Fórmula'!E41)/('Fórmula'!C41+'Fórmula'!E41+'Fórmula'!G41+'Fórmula'!I41+'Fórmula'!K41))*(INDEX(properties!A$1:CB$87,'Fórmula'!D41,32))+(('Fórmula'!G41)/('Fórmula'!C41+'Fórmula'!E41+'Fórmula'!G41+'Fórmula'!I41+'Fórmula'!K41))*(INDEX(properties!A$1:CB$87,'Fórmula'!F41,32))+(('Fórmula'!I41)/('Fórmula'!C41+'Fórmula'!E41+'Fórmula'!G41+'Fórmula'!I41+'Fórmula'!K41))*(INDEX(properties!A$1:CB$87,'Fórmula'!H41,32))+(('Fórmula'!K41)/('Fórmula'!C41+'Fórmula'!E41+'Fórmula'!G41+'Fórmula'!I41+'Fórmula'!K41))*(INDEX(properties!A$1:CB$87,'Fórmula'!J41,32))</f>
        <v>5.498571429</v>
      </c>
      <c r="DA41" s="119">
        <f t="array" ref="DA41">'Fórmula'!C41*(INDEX(properties!A$1:CB$87,'Fórmula'!B41,32))+'Fórmula'!E41*(INDEX(properties!A$1:CB$87,'Fórmula'!D41,32))+'Fórmula'!G41*(INDEX(properties!A$1:CB$87,'Fórmula'!F41,32))+'Fórmula'!I41*(INDEX(properties!A$1:CB$87,'Fórmula'!H41,32))+'Fórmula'!K41*(INDEX(properties!A$1:CB$87,'Fórmula'!J41,32))</f>
        <v>38.49</v>
      </c>
      <c r="DB41" s="119">
        <f t="array" ref="DB41">VARP(IF(INDEX(properties!A$1:CB$87,'Fórmula'!B41,32)&lt;&gt;"",INDEX(properties!A$1:CB$87,'Fórmula'!B41,32)),IF(INDEX(properties!A$1:CB$87,'Fórmula'!D41,32)&lt;&gt;"",INDEX(properties!A$1:CB$87,'Fórmula'!D41,32)),IF(INDEX(properties!A$1:CB$87,'Fórmula'!F41,32)&lt;&gt;"",INDEX(properties!A$1:CB$87,'Fórmula'!F41,32)),IF(INDEX(properties!A$1:CB$87,'Fórmula'!H41,32)&lt;&gt;"",INDEX(properties!A$1:CB$87,'Fórmula'!H41,32)),IF(INDEX(properties!A$1:CB$87,'Fórmula'!J41,32)&lt;&gt;"",INDEX(properties!A$1:CB$87,'Fórmula'!J41,32)))</f>
        <v>6.104624</v>
      </c>
      <c r="DC41" s="119">
        <f t="array" ref="DC41">MAX(INDEX(properties!A$1:CB$87,'Fórmula'!B41,32),INDEX(properties!A$1:CB$87,'Fórmula'!D41,32),INDEX(properties!A$1:CB$87,'Fórmula'!F41,32),INDEX(properties!A$1:CB$87,'Fórmula'!H41,32),INDEX(properties!A$1:CB$87,'Fórmula'!J41,32))</f>
        <v>7.54</v>
      </c>
      <c r="DD41" s="119">
        <f t="array" ref="DD41">MIN(IF(INDEX(properties!A$1:CB$87,'Fórmula'!B41,32)=0,10^6,INDEX(properties!A$1:CB$87,'Fórmula'!B41,32)),IF(INDEX(properties!A$1:CB$87,'Fórmula'!D41,32)=0,10^6,INDEX(properties!A$1:CB$87,'Fórmula'!D41,32)),IF(INDEX(properties!A$1:CB$87,'Fórmula'!F41,32)=0,10^6,INDEX(properties!A$1:CB$87,'Fórmula'!F41,32)),IF(INDEX(properties!A$1:CB$87,'Fórmula'!H41,32)=0,10^6,INDEX(properties!A$1:CB$87,'Fórmula'!H41,32)),IF(INDEX(properties!A$1:CB$87,'Fórmula'!J41,32)=0,10^6,INDEX(properties!A$1:CB$87,'Fórmula'!J41,32)))</f>
        <v>2</v>
      </c>
      <c r="DE41" s="119">
        <f t="shared" si="18"/>
        <v>5.54</v>
      </c>
      <c r="DF41" s="104">
        <f t="array" ref="DF41">(('Fórmula'!C41)/('Fórmula'!C41+'Fórmula'!E41+'Fórmula'!G41+'Fórmula'!I41+'Fórmula'!K41))*(INDEX(properties!A$1:CB$87,'Fórmula'!B41,34))+(('Fórmula'!E41)/('Fórmula'!C41+'Fórmula'!E41+'Fórmula'!G41+'Fórmula'!I41+'Fórmula'!K41))*(INDEX(properties!A$1:CB$87,'Fórmula'!D41,34))+(('Fórmula'!G41)/('Fórmula'!C41+'Fórmula'!E41+'Fórmula'!G41+'Fórmula'!I41+'Fórmula'!K41))*(INDEX(properties!A$1:CB$87,'Fórmula'!F41,34))+(('Fórmula'!I41)/('Fórmula'!C41+'Fórmula'!E41+'Fórmula'!G41+'Fórmula'!I41+'Fórmula'!K41))*(INDEX(properties!A$1:CB$87,'Fórmula'!H41,34))+(('Fórmula'!K41)/('Fórmula'!C41+'Fórmula'!E41+'Fórmula'!G41+'Fórmula'!I41+'Fórmula'!K41))*(INDEX(properties!A$1:CB$87,'Fórmula'!J41,34))</f>
        <v>2.586571429</v>
      </c>
      <c r="DG41" s="104">
        <f t="array" ref="DG41">'Fórmula'!C41*(INDEX(properties!A$1:CB$87,'Fórmula'!B41,34))+'Fórmula'!E41*(INDEX(properties!A$1:CB$87,'Fórmula'!D41,34))+'Fórmula'!G41*(INDEX(properties!A$1:CB$87,'Fórmula'!F41,34))+'Fórmula'!I41*(INDEX(properties!A$1:CB$87,'Fórmula'!H41,34))+'Fórmula'!K41*(INDEX(properties!A$1:CB$87,'Fórmula'!J41,34))</f>
        <v>18.106</v>
      </c>
      <c r="DH41" s="104">
        <f t="array" ref="DH41">VARP(IF(INDEX(properties!A$1:CB$87,'Fórmula'!B41,34)&lt;&gt;"",INDEX(properties!A$1:CB$87,'Fórmula'!B41,34)),IF(INDEX(properties!A$1:CB$87,'Fórmula'!D41,34)&lt;&gt;"",INDEX(properties!A$1:CB$87,'Fórmula'!D41,34)),IF(INDEX(properties!A$1:CB$87,'Fórmula'!F41,34)&lt;&gt;"",INDEX(properties!A$1:CB$87,'Fórmula'!F41,34)),IF(INDEX(properties!A$1:CB$87,'Fórmula'!H41,34)&lt;&gt;"",INDEX(properties!A$1:CB$87,'Fórmula'!H41,34)),IF(INDEX(properties!A$1:CB$87,'Fórmula'!J41,34)&lt;&gt;"",INDEX(properties!A$1:CB$87,'Fórmula'!J41,34)))</f>
        <v>1.43226056</v>
      </c>
      <c r="DI41" s="104">
        <f t="array" ref="DI41">MAX(INDEX(properties!A$1:CB$87,'Fórmula'!B41,34),INDEX(properties!A$1:CB$87,'Fórmula'!D41,34),INDEX(properties!A$1:CB$87,'Fórmula'!F41,34),INDEX(properties!A$1:CB$87,'Fórmula'!H41,34),INDEX(properties!A$1:CB$87,'Fórmula'!J41,34))</f>
        <v>3.61</v>
      </c>
      <c r="DJ41" s="104">
        <f t="array" ref="DJ41">MIN(IF(INDEX(properties!A$1:CB$87,'Fórmula'!B41,34)=0,10^6,INDEX(properties!A$1:CB$87,'Fórmula'!B41,34)),IF(INDEX(properties!A$1:CB$87,'Fórmula'!D41,34)=0,10^6,INDEX(properties!A$1:CB$87,'Fórmula'!D41,34)),IF(INDEX(properties!A$1:CB$87,'Fórmula'!F41,34)=0,10^6,INDEX(properties!A$1:CB$87,'Fórmula'!F41,34)),IF(INDEX(properties!A$1:CB$87,'Fórmula'!H41,34)=0,10^6,INDEX(properties!A$1:CB$87,'Fórmula'!H41,34)),IF(INDEX(properties!A$1:CB$87,'Fórmula'!J41,34)=0,10^6,INDEX(properties!A$1:CB$87,'Fórmula'!J41,34)))</f>
        <v>0.963</v>
      </c>
      <c r="DK41" s="104">
        <f t="shared" si="19"/>
        <v>2.647</v>
      </c>
      <c r="DL41" s="105">
        <f t="array" ref="DL41">(('Fórmula'!C41)/('Fórmula'!C41+'Fórmula'!E41+'Fórmula'!G41+'Fórmula'!I41+'Fórmula'!K41))*(INDEX(properties!A$1:CB$87,'Fórmula'!B41,37))+(('Fórmula'!E41)/('Fórmula'!C41+'Fórmula'!E41+'Fórmula'!G41+'Fórmula'!I41+'Fórmula'!K41))*(INDEX(properties!A$1:CB$87,'Fórmula'!D41,37))+(('Fórmula'!G41)/('Fórmula'!C41+'Fórmula'!E41+'Fórmula'!G41+'Fórmula'!I41+'Fórmula'!K41))*(INDEX(properties!A$1:CB$87,'Fórmula'!F41,37))+(('Fórmula'!I41)/('Fórmula'!C41+'Fórmula'!E41+'Fórmula'!G41+'Fórmula'!I41+'Fórmula'!K41))*(INDEX(properties!A$1:CB$87,'Fórmula'!H41,37))+(('Fórmula'!K41)/('Fórmula'!C41+'Fórmula'!E41+'Fórmula'!G41+'Fórmula'!I41+'Fórmula'!K41))*(INDEX(properties!A$1:CB$87,'Fórmula'!J41,37))</f>
        <v>2.5</v>
      </c>
      <c r="DM41" s="105">
        <f t="array" ref="DM41">'Fórmula'!C41*(INDEX(properties!A$1:CB$87,'Fórmula'!B41,37))+'Fórmula'!E41*(INDEX(properties!A$1:CB$87,'Fórmula'!D41,37))+'Fórmula'!G41*(INDEX(properties!A$1:CB$87,'Fórmula'!F41,37))+'Fórmula'!I41*(INDEX(properties!A$1:CB$87,'Fórmula'!H41,37))+'Fórmula'!K41*(INDEX(properties!A$1:CB$87,'Fórmula'!J41,37))</f>
        <v>17.5</v>
      </c>
      <c r="DN41" s="105">
        <f t="array" ref="DN41">VARP(IF(INDEX(properties!A$1:CB$87,'Fórmula'!B41,37)&lt;&gt;"",INDEX(properties!A$1:CB$87,'Fórmula'!B41,37)),IF(INDEX(properties!A$1:CB$87,'Fórmula'!D41,37)&lt;&gt;"",INDEX(properties!A$1:CB$87,'Fórmula'!D41,37)),IF(INDEX(properties!A$1:CB$87,'Fórmula'!F41,37)&lt;&gt;"",INDEX(properties!A$1:CB$87,'Fórmula'!F41,37)),IF(INDEX(properties!A$1:CB$87,'Fórmula'!H41,37)&lt;&gt;"",INDEX(properties!A$1:CB$87,'Fórmula'!H41,37)),IF(INDEX(properties!A$1:CB$87,'Fórmula'!J41,37)&lt;&gt;"",INDEX(properties!A$1:CB$87,'Fórmula'!J41,37)))</f>
        <v>1.2736</v>
      </c>
      <c r="DO41" s="105">
        <f t="array" ref="DO41">MAX(INDEX(properties!A$1:CB$87,'Fórmula'!B41,37),INDEX(properties!A$1:CB$87,'Fórmula'!D41,37),INDEX(properties!A$1:CB$87,'Fórmula'!F41,37),INDEX(properties!A$1:CB$87,'Fórmula'!H41,37),INDEX(properties!A$1:CB$87,'Fórmula'!J41,37))</f>
        <v>3.45</v>
      </c>
      <c r="DP41" s="105">
        <f t="array" ref="DP41">MIN(IF(INDEX(properties!A$1:CB$87,'Fórmula'!B41,37)=0,10^6,INDEX(properties!A$1:CB$87,'Fórmula'!B41,37)),IF(INDEX(properties!A$1:CB$87,'Fórmula'!D41,37)=0,10^6,INDEX(properties!A$1:CB$87,'Fórmula'!D41,37)),IF(INDEX(properties!A$1:CB$87,'Fórmula'!F41,37)=0,10^6,INDEX(properties!A$1:CB$87,'Fórmula'!F41,37)),IF(INDEX(properties!A$1:CB$87,'Fórmula'!H41,37)=0,10^6,INDEX(properties!A$1:CB$87,'Fórmula'!H41,37)),IF(INDEX(properties!A$1:CB$87,'Fórmula'!J41,37)=0,10^6,INDEX(properties!A$1:CB$87,'Fórmula'!J41,37)))</f>
        <v>1</v>
      </c>
      <c r="DQ41" s="105">
        <f t="shared" si="20"/>
        <v>2.45</v>
      </c>
      <c r="DR41" s="109">
        <f t="array" ref="DR41">(('Fórmula'!C41)/('Fórmula'!C41+'Fórmula'!E41+'Fórmula'!G41+'Fórmula'!I41+'Fórmula'!K41))*(INDEX(properties!A$1:CB$87,'Fórmula'!B41,39))+(('Fórmula'!E41)/('Fórmula'!C41+'Fórmula'!E41+'Fórmula'!G41+'Fórmula'!I41+'Fórmula'!K41))*(INDEX(properties!A$1:CB$87,'Fórmula'!D41,39))+(('Fórmula'!G41)/('Fórmula'!C41+'Fórmula'!E41+'Fórmula'!G41+'Fórmula'!I41+'Fórmula'!K41))*(INDEX(properties!A$1:CB$87,'Fórmula'!F41,39))+(('Fórmula'!I41)/('Fórmula'!C41+'Fórmula'!E41+'Fórmula'!G41+'Fórmula'!I41+'Fórmula'!K41))*(INDEX(properties!A$1:CB$87,'Fórmula'!H41,39))+(('Fórmula'!K41)/('Fórmula'!C41+'Fórmula'!E41+'Fórmula'!G41+'Fórmula'!I41+'Fórmula'!K41))*(INDEX(properties!A$1:CB$87,'Fórmula'!J41,39))</f>
        <v>1.034285714</v>
      </c>
      <c r="DS41" s="109">
        <f t="array" ref="DS41">'Fórmula'!C41*(INDEX(properties!A$1:CB$87,'Fórmula'!B41,39))+'Fórmula'!E41*(INDEX(properties!A$1:CB$87,'Fórmula'!D41,39))+'Fórmula'!G41*(INDEX(properties!A$1:CB$87,'Fórmula'!F41,39))+'Fórmula'!I41*(INDEX(properties!A$1:CB$87,'Fórmula'!H41,39))+'Fórmula'!K41*(INDEX(properties!A$1:CB$87,'Fórmula'!J41,39))</f>
        <v>7.24</v>
      </c>
      <c r="DT41" s="109">
        <f t="array" ref="DT41">VARP(IF(INDEX(properties!A$1:CB$87,'Fórmula'!B41,39)&lt;&gt;"",INDEX(properties!A$1:CB$87,'Fórmula'!B41,39)),IF(INDEX(properties!A$1:CB$87,'Fórmula'!D41,39)&lt;&gt;"",INDEX(properties!A$1:CB$87,'Fórmula'!D41,39)),IF(INDEX(properties!A$1:CB$87,'Fórmula'!F41,39)&lt;&gt;"",INDEX(properties!A$1:CB$87,'Fórmula'!F41,39)),IF(INDEX(properties!A$1:CB$87,'Fórmula'!H41,39)&lt;&gt;"",INDEX(properties!A$1:CB$87,'Fórmula'!H41,39)),IF(INDEX(properties!A$1:CB$87,'Fórmula'!J41,39)&lt;&gt;"",INDEX(properties!A$1:CB$87,'Fórmula'!J41,39)))</f>
        <v>0.69868</v>
      </c>
      <c r="DU41" s="120">
        <f t="array" ref="DU41">MAX(INDEX(properties!A$1:CB$87,'Fórmula'!B41,39),INDEX(properties!A$1:CB$87,'Fórmula'!D41,39),INDEX(properties!A$1:CB$87,'Fórmula'!F41,39),INDEX(properties!A$1:CB$87,'Fórmula'!H41,39),INDEX(properties!A$1:CB$87,'Fórmula'!J41,39))</f>
        <v>2.19</v>
      </c>
      <c r="DV41" s="120">
        <f t="array" ref="DV41">MIN(IF(INDEX(properties!A$1:CB$87,'Fórmula'!B41,39)=0,10^6,INDEX(properties!A$1:CB$87,'Fórmula'!B41,39)),IF(INDEX(properties!A$1:CB$87,'Fórmula'!D41,39)=0,10^6,INDEX(properties!A$1:CB$87,'Fórmula'!D41,39)),IF(INDEX(properties!A$1:CB$87,'Fórmula'!F41,39)=0,10^6,INDEX(properties!A$1:CB$87,'Fórmula'!F41,39)),IF(INDEX(properties!A$1:CB$87,'Fórmula'!H41,39)=0,10^6,INDEX(properties!A$1:CB$87,'Fórmula'!H41,39)),IF(INDEX(properties!A$1:CB$87,'Fórmula'!J41,39)=0,10^6,INDEX(properties!A$1:CB$87,'Fórmula'!J41,39)))</f>
        <v>0.48</v>
      </c>
      <c r="DW41" s="109">
        <f t="shared" si="21"/>
        <v>1.71</v>
      </c>
      <c r="DX41" s="110">
        <f t="array" ref="DX41">(('Fórmula'!C41)/('Fórmula'!C41+'Fórmula'!E41+'Fórmula'!G41+'Fórmula'!I41+'Fórmula'!K41))*(INDEX(properties!A$1:CB$87,'Fórmula'!B41,40))+(('Fórmula'!E41)/('Fórmula'!C41+'Fórmula'!E41+'Fórmula'!G41+'Fórmula'!I41+'Fórmula'!K41))*(INDEX(properties!A$1:CB$87,'Fórmula'!D41,40))+(('Fórmula'!G41)/('Fórmula'!C41+'Fórmula'!E41+'Fórmula'!G41+'Fórmula'!I41+'Fórmula'!K41))*(INDEX(properties!A$1:CB$87,'Fórmula'!F41,40))+(('Fórmula'!I41)/('Fórmula'!C41+'Fórmula'!E41+'Fórmula'!G41+'Fórmula'!I41+'Fórmula'!K41))*(INDEX(properties!A$1:CB$87,'Fórmula'!H41,40))+(('Fórmula'!K41)/('Fórmula'!C41+'Fórmula'!E41+'Fórmula'!G41+'Fórmula'!I41+'Fórmula'!K41))*(INDEX(properties!A$1:CB$87,'Fórmula'!J41,40))</f>
        <v>1.101428571</v>
      </c>
      <c r="DY41" s="110">
        <f t="array" ref="DY41">'Fórmula'!C41*(INDEX(properties!A$1:CB$87,'Fórmula'!B41,40))+'Fórmula'!E41*(INDEX(properties!A$1:CB$87,'Fórmula'!D41,40))+'Fórmula'!G41*(INDEX(properties!A$1:CB$87,'Fórmula'!F41,40))+'Fórmula'!I41*(INDEX(properties!A$1:CB$87,'Fórmula'!H41,40))+'Fórmula'!K41*(INDEX(properties!A$1:CB$87,'Fórmula'!J41,40))</f>
        <v>7.71</v>
      </c>
      <c r="DZ41" s="110">
        <f t="array" ref="DZ41">VARP(IF(INDEX(properties!A$1:CB$87,'Fórmula'!B41,40)&lt;&gt;"",INDEX(properties!A$1:CB$87,'Fórmula'!B41,40)),IF(INDEX(properties!A$1:CB$87,'Fórmula'!D41,40)&lt;&gt;"",INDEX(properties!A$1:CB$87,'Fórmula'!D41,40)),IF(INDEX(properties!A$1:CB$87,'Fórmula'!F41,40)&lt;&gt;"",INDEX(properties!A$1:CB$87,'Fórmula'!F41,40)),IF(INDEX(properties!A$1:CB$87,'Fórmula'!H41,40)&lt;&gt;"",INDEX(properties!A$1:CB$87,'Fórmula'!H41,40)),IF(INDEX(properties!A$1:CB$87,'Fórmula'!J41,40)&lt;&gt;"",INDEX(properties!A$1:CB$87,'Fórmula'!J41,40)))</f>
        <v>0.474744</v>
      </c>
      <c r="EA41" s="121">
        <f t="array" ref="EA41">MAX(INDEX(properties!A$1:CB$87,'Fórmula'!B41,40),INDEX(properties!A$1:CB$87,'Fórmula'!D41,40),INDEX(properties!A$1:CB$87,'Fórmula'!F41,40),INDEX(properties!A$1:CB$87,'Fórmula'!H41,40),INDEX(properties!A$1:CB$87,'Fórmula'!J41,40))</f>
        <v>1.92</v>
      </c>
      <c r="EB41" s="121">
        <f t="array" ref="EB41">MIN(IF(INDEX(properties!A$1:CB$87,'Fórmula'!B41,40)=0,10^6,INDEX(properties!A$1:CB$87,'Fórmula'!B41,40)),IF(INDEX(properties!A$1:CB$87,'Fórmula'!D41,40)=0,10^6,INDEX(properties!A$1:CB$87,'Fórmula'!D41,40)),IF(INDEX(properties!A$1:CB$87,'Fórmula'!F41,40)=0,10^6,INDEX(properties!A$1:CB$87,'Fórmula'!F41,40)),IF(INDEX(properties!A$1:CB$87,'Fórmula'!H41,40)=0,10^6,INDEX(properties!A$1:CB$87,'Fórmula'!H41,40)),IF(INDEX(properties!A$1:CB$87,'Fórmula'!J41,40)=0,10^6,INDEX(properties!A$1:CB$87,'Fórmula'!J41,40)))</f>
        <v>0.73</v>
      </c>
      <c r="EC41" s="110">
        <f t="shared" si="22"/>
        <v>1.19</v>
      </c>
      <c r="ED41" s="111">
        <f t="array" ref="ED41">(('Fórmula'!C41)/('Fórmula'!C41+'Fórmula'!E41+'Fórmula'!G41+'Fórmula'!I41+'Fórmula'!K41))*(INDEX(properties!A$1:CB$87,'Fórmula'!B41,41))+(('Fórmula'!E41)/('Fórmula'!C41+'Fórmula'!E41+'Fórmula'!G41+'Fórmula'!I41+'Fórmula'!K41))*(INDEX(properties!A$1:CB$87,'Fórmula'!D41,41))+(('Fórmula'!G41)/('Fórmula'!C41+'Fórmula'!E41+'Fórmula'!G41+'Fórmula'!I41+'Fórmula'!K41))*(INDEX(properties!A$1:CB$87,'Fórmula'!F41,41))+(('Fórmula'!I41)/('Fórmula'!C41+'Fórmula'!E41+'Fórmula'!G41+'Fórmula'!I41+'Fórmula'!K41))*(INDEX(properties!A$1:CB$87,'Fórmula'!H41,41))+(('Fórmula'!K41)/('Fórmula'!C41+'Fórmula'!E41+'Fórmula'!G41+'Fórmula'!I41+'Fórmula'!K41))*(INDEX(properties!A$1:CB$87,'Fórmula'!J41,41))</f>
        <v>1.172857143</v>
      </c>
      <c r="EE41" s="111">
        <f t="array" ref="EE41">'Fórmula'!C41*(INDEX(properties!A$1:CB$87,'Fórmula'!B41,41))+'Fórmula'!E41*(INDEX(properties!A$1:CB$87,'Fórmula'!D41,41))+'Fórmula'!G41*(INDEX(properties!A$1:CB$87,'Fórmula'!F41,41))+'Fórmula'!I41*(INDEX(properties!A$1:CB$87,'Fórmula'!H41,41))+'Fórmula'!K41*(INDEX(properties!A$1:CB$87,'Fórmula'!J41,41))</f>
        <v>8.21</v>
      </c>
      <c r="EF41" s="111">
        <f t="array" ref="EF41">VARP(IF(INDEX(properties!A$1:CB$87,'Fórmula'!B41,41)&lt;&gt;"",INDEX(properties!A$1:CB$87,'Fórmula'!B41,41)),IF(INDEX(properties!A$1:CB$87,'Fórmula'!D41,41)&lt;&gt;"",INDEX(properties!A$1:CB$87,'Fórmula'!D41,41)),IF(INDEX(properties!A$1:CB$87,'Fórmula'!F41,41)&lt;&gt;"",INDEX(properties!A$1:CB$87,'Fórmula'!F41,41)),IF(INDEX(properties!A$1:CB$87,'Fórmula'!H41,41)&lt;&gt;"",INDEX(properties!A$1:CB$87,'Fórmula'!H41,41)),IF(INDEX(properties!A$1:CB$87,'Fórmula'!J41,41)&lt;&gt;"",INDEX(properties!A$1:CB$87,'Fórmula'!J41,41)))</f>
        <v>0.247264</v>
      </c>
      <c r="EG41" s="122">
        <f t="array" ref="EG41">MAX(INDEX(properties!A$1:CB$87,'Fórmula'!B41,41),INDEX(properties!A$1:CB$87,'Fórmula'!D41,41),INDEX(properties!A$1:CB$87,'Fórmula'!F41,41),INDEX(properties!A$1:CB$87,'Fórmula'!H41,41),INDEX(properties!A$1:CB$87,'Fórmula'!J41,41))</f>
        <v>1.32</v>
      </c>
      <c r="EH41" s="122">
        <f t="array" ref="EH41">MIN(IF(INDEX(properties!A$1:CB$87,'Fórmula'!B41,41)=0,10^6,INDEX(properties!A$1:CB$87,'Fórmula'!B41,41)),IF(INDEX(properties!A$1:CB$87,'Fórmula'!D41,41)=0,10^6,INDEX(properties!A$1:CB$87,'Fórmula'!D41,41)),IF(INDEX(properties!A$1:CB$87,'Fórmula'!F41,41)=0,10^6,INDEX(properties!A$1:CB$87,'Fórmula'!F41,41)),IF(INDEX(properties!A$1:CB$87,'Fórmula'!H41,41)=0,10^6,INDEX(properties!A$1:CB$87,'Fórmula'!H41,41)),IF(INDEX(properties!A$1:CB$87,'Fórmula'!J41,41)=0,10^6,INDEX(properties!A$1:CB$87,'Fórmula'!J41,41)))</f>
        <v>0.68</v>
      </c>
      <c r="EI41" s="111">
        <f t="shared" si="23"/>
        <v>0.64</v>
      </c>
      <c r="EJ41" s="112">
        <f t="array" ref="EJ41">(('Fórmula'!C41)/('Fórmula'!C41+'Fórmula'!E41+'Fórmula'!G41+'Fórmula'!I41+'Fórmula'!K41))*(INDEX(properties!A$1:CB$87,'Fórmula'!B41,45))+(('Fórmula'!E41)/('Fórmula'!C41+'Fórmula'!E41+'Fórmula'!G41+'Fórmula'!I41+'Fórmula'!K41))*(INDEX(properties!A$1:CB$87,'Fórmula'!D41,45))+(('Fórmula'!G41)/('Fórmula'!C41+'Fórmula'!E41+'Fórmula'!G41+'Fórmula'!I41+'Fórmula'!K41))*(INDEX(properties!A$1:CB$87,'Fórmula'!F41,45))+(('Fórmula'!I41)/('Fórmula'!C41+'Fórmula'!E41+'Fórmula'!G41+'Fórmula'!I41+'Fórmula'!K41))*(INDEX(properties!A$1:CB$87,'Fórmula'!H41,45))+(('Fórmula'!K41)/('Fórmula'!C41+'Fórmula'!E41+'Fórmula'!G41+'Fórmula'!I41+'Fórmula'!K41))*(INDEX(properties!A$1:CB$87,'Fórmula'!J41,45))</f>
        <v>1.407142857</v>
      </c>
      <c r="EK41" s="112">
        <f t="array" ref="EK41">'Fórmula'!C41*(INDEX(properties!A$1:CB$87,'Fórmula'!B41,45))+'Fórmula'!E41*(INDEX(properties!A$1:CB$87,'Fórmula'!D41,45))+'Fórmula'!G41*(INDEX(properties!A$1:CB$87,'Fórmula'!F41,45))+'Fórmula'!I41*(INDEX(properties!A$1:CB$87,'Fórmula'!H41,45))+'Fórmula'!K41*(INDEX(properties!A$1:CB$87,'Fórmula'!J41,45))</f>
        <v>9.85</v>
      </c>
      <c r="EL41" s="112">
        <f t="array" ref="EL41">VARP(IF(INDEX(properties!A$1:CB$87,'Fórmula'!B41,45)&lt;&gt;"",INDEX(properties!A$1:CB$87,'Fórmula'!B41,45)),IF(INDEX(properties!A$1:CB$87,'Fórmula'!D41,45)&lt;&gt;"",INDEX(properties!A$1:CB$87,'Fórmula'!D41,45)),IF(INDEX(properties!A$1:CB$87,'Fórmula'!F41,45)&lt;&gt;"",INDEX(properties!A$1:CB$87,'Fórmula'!F41,45)),IF(INDEX(properties!A$1:CB$87,'Fórmula'!H41,45)&lt;&gt;"",INDEX(properties!A$1:CB$87,'Fórmula'!H41,45)),IF(INDEX(properties!A$1:CB$87,'Fórmula'!J41,45)&lt;&gt;"",INDEX(properties!A$1:CB$87,'Fórmula'!J41,45)))</f>
        <v>1.717416</v>
      </c>
      <c r="EM41" s="123">
        <f t="array" ref="EM41">MAX(INDEX(properties!A$1:CB$87,'Fórmula'!B41,45),INDEX(properties!A$1:CB$87,'Fórmula'!D41,45),INDEX(properties!A$1:CB$87,'Fórmula'!F41,45),INDEX(properties!A$1:CB$87,'Fórmula'!H41,45),INDEX(properties!A$1:CB$87,'Fórmula'!J41,45))</f>
        <v>3.21</v>
      </c>
      <c r="EN41" s="123">
        <f t="array" ref="EN41">MIN(IF(INDEX(properties!A$1:CB$87,'Fórmula'!B41,45)=0,10^6,INDEX(properties!A$1:CB$87,'Fórmula'!B41,45)),IF(INDEX(properties!A$1:CB$87,'Fórmula'!D41,45)=0,10^6,INDEX(properties!A$1:CB$87,'Fórmula'!D41,45)),IF(INDEX(properties!A$1:CB$87,'Fórmula'!F41,45)=0,10^6,INDEX(properties!A$1:CB$87,'Fórmula'!F41,45)),IF(INDEX(properties!A$1:CB$87,'Fórmula'!H41,45)=0,10^6,INDEX(properties!A$1:CB$87,'Fórmula'!H41,45)),IF(INDEX(properties!A$1:CB$87,'Fórmula'!J41,45)=0,10^6,INDEX(properties!A$1:CB$87,'Fórmula'!J41,45)))</f>
        <v>0.47</v>
      </c>
      <c r="EO41" s="112">
        <f t="shared" si="24"/>
        <v>2.74</v>
      </c>
      <c r="EP41" s="113">
        <f t="array" ref="EP41">(('Fórmula'!C41)/('Fórmula'!C41+'Fórmula'!E41+'Fórmula'!G41+'Fórmula'!I41+'Fórmula'!K41))*(INDEX(properties!A$1:CB$87,'Fórmula'!B41,46))+(('Fórmula'!E41)/('Fórmula'!C41+'Fórmula'!E41+'Fórmula'!G41+'Fórmula'!I41+'Fórmula'!K41))*(INDEX(properties!A$1:CB$87,'Fórmula'!D41,46))+(('Fórmula'!G41)/('Fórmula'!C41+'Fórmula'!E41+'Fórmula'!G41+'Fórmula'!I41+'Fórmula'!K41))*(INDEX(properties!A$1:CB$87,'Fórmula'!F41,46))+(('Fórmula'!I41)/('Fórmula'!C41+'Fórmula'!E41+'Fórmula'!G41+'Fórmula'!I41+'Fórmula'!K41))*(INDEX(properties!A$1:CB$87,'Fórmula'!H41,46))+(('Fórmula'!K41)/('Fórmula'!C41+'Fórmula'!E41+'Fórmula'!G41+'Fórmula'!I41+'Fórmula'!K41))*(INDEX(properties!A$1:CB$87,'Fórmula'!J41,46))</f>
        <v>1.15</v>
      </c>
      <c r="EQ41" s="113">
        <f t="array" ref="EQ41">'Fórmula'!C41*(INDEX(properties!A$1:CB$87,'Fórmula'!B41,46))+'Fórmula'!E41*(INDEX(properties!A$1:CB$87,'Fórmula'!D41,46))+'Fórmula'!G41*(INDEX(properties!A$1:CB$87,'Fórmula'!F41,46))+'Fórmula'!I41*(INDEX(properties!A$1:CB$87,'Fórmula'!H41,46))+'Fórmula'!K41*(INDEX(properties!A$1:CB$87,'Fórmula'!J41,46))</f>
        <v>8.05</v>
      </c>
      <c r="ER41" s="113">
        <f t="array" ref="ER41">VARP(IF(INDEX(properties!A$1:CB$87,'Fórmula'!B41,46)&lt;&gt;"",INDEX(properties!A$1:CB$87,'Fórmula'!B41,46)),IF(INDEX(properties!A$1:CB$87,'Fórmula'!D41,46)&lt;&gt;"",INDEX(properties!A$1:CB$87,'Fórmula'!D41,46)),IF(INDEX(properties!A$1:CB$87,'Fórmula'!F41,46)&lt;&gt;"",INDEX(properties!A$1:CB$87,'Fórmula'!F41,46)),IF(INDEX(properties!A$1:CB$87,'Fórmula'!H41,46)&lt;&gt;"",INDEX(properties!A$1:CB$87,'Fórmula'!H41,46)),IF(INDEX(properties!A$1:CB$87,'Fórmula'!J41,46)&lt;&gt;"",INDEX(properties!A$1:CB$87,'Fórmula'!J41,46)))</f>
        <v>0.285944</v>
      </c>
      <c r="ES41" s="124">
        <f t="array" ref="ES41">MAX(INDEX(properties!A$1:CB$87,'Fórmula'!B41,46),INDEX(properties!A$1:CB$87,'Fórmula'!D41,46),INDEX(properties!A$1:CB$87,'Fórmula'!F41,46),INDEX(properties!A$1:CB$87,'Fórmula'!H41,46),INDEX(properties!A$1:CB$87,'Fórmula'!J41,46))</f>
        <v>1.36</v>
      </c>
      <c r="ET41" s="124">
        <f t="array" ref="ET41">MIN(IF(INDEX(properties!A$1:CB$87,'Fórmula'!B41,46)=0,10^6,INDEX(properties!A$1:CB$87,'Fórmula'!B41,46)),IF(INDEX(properties!A$1:CB$87,'Fórmula'!D41,46)=0,10^6,INDEX(properties!A$1:CB$87,'Fórmula'!D41,46)),IF(INDEX(properties!A$1:CB$87,'Fórmula'!F41,46)=0,10^6,INDEX(properties!A$1:CB$87,'Fórmula'!F41,46)),IF(INDEX(properties!A$1:CB$87,'Fórmula'!H41,46)=0,10^6,INDEX(properties!A$1:CB$87,'Fórmula'!H41,46)),IF(INDEX(properties!A$1:CB$87,'Fórmula'!J41,46)=0,10^6,INDEX(properties!A$1:CB$87,'Fórmula'!J41,46)))</f>
        <v>0.53</v>
      </c>
      <c r="EU41" s="113">
        <f t="shared" si="25"/>
        <v>0.83</v>
      </c>
      <c r="EV41" s="114">
        <f t="array" ref="EV41">(('Fórmula'!C41)/('Fórmula'!C41+'Fórmula'!E41+'Fórmula'!G41+'Fórmula'!I41+'Fórmula'!K41))*(INDEX(properties!A$1:CB$87,'Fórmula'!B41,52))+(('Fórmula'!E41)/('Fórmula'!C41+'Fórmula'!E41+'Fórmula'!G41+'Fórmula'!I41+'Fórmula'!K41))*(INDEX(properties!A$1:CB$87,'Fórmula'!D41,52))+(('Fórmula'!G41)/('Fórmula'!C41+'Fórmula'!E41+'Fórmula'!G41+'Fórmula'!I41+'Fórmula'!K41))*(INDEX(properties!A$1:CB$87,'Fórmula'!F41,52))+(('Fórmula'!I41)/('Fórmula'!C41+'Fórmula'!E41+'Fórmula'!G41+'Fórmula'!I41+'Fórmula'!K41))*(INDEX(properties!A$1:CB$87,'Fórmula'!H41,52))+(('Fórmula'!K41)/('Fórmula'!C41+'Fórmula'!E41+'Fórmula'!G41+'Fórmula'!I41+'Fórmula'!K41))*(INDEX(properties!A$1:CB$87,'Fórmula'!J41,52))</f>
        <v>10.02457143</v>
      </c>
      <c r="EW41" s="114">
        <f t="array" ref="EW41">'Fórmula'!C41*(INDEX(properties!A$1:CB$87,'Fórmula'!B41,52))+'Fórmula'!E41*(INDEX(properties!A$1:CB$87,'Fórmula'!D41,52))+'Fórmula'!G41*(INDEX(properties!A$1:CB$87,'Fórmula'!F41,52))+'Fórmula'!I41*(INDEX(properties!A$1:CB$87,'Fórmula'!H41,52))+'Fórmula'!K41*(INDEX(properties!A$1:CB$87,'Fórmula'!J41,52))</f>
        <v>70.172</v>
      </c>
      <c r="EX41" s="114">
        <f t="array" ref="EX41">VARP(IF(INDEX(properties!A$1:CB$87,'Fórmula'!B41,52)&lt;&gt;"",INDEX(properties!A$1:CB$87,'Fórmula'!B41,52)),IF(INDEX(properties!A$1:CB$87,'Fórmula'!D41,52)&lt;&gt;"",INDEX(properties!A$1:CB$87,'Fórmula'!D41,52)),IF(INDEX(properties!A$1:CB$87,'Fórmula'!F41,52)&lt;&gt;"",INDEX(properties!A$1:CB$87,'Fórmula'!F41,52)),IF(INDEX(properties!A$1:CB$87,'Fórmula'!H41,52)&lt;&gt;"",INDEX(properties!A$1:CB$87,'Fórmula'!H41,52)),IF(INDEX(properties!A$1:CB$87,'Fórmula'!J41,52)&lt;&gt;"",INDEX(properties!A$1:CB$87,'Fórmula'!J41,52)))</f>
        <v>175.8621358</v>
      </c>
      <c r="EY41" s="114">
        <f t="array" ref="EY41">MAX(INDEX(properties!A$1:CB$87,'Fórmula'!B41,52),INDEX(properties!A$1:CB$87,'Fórmula'!D41,52),INDEX(properties!A$1:CB$87,'Fórmula'!F41,52),INDEX(properties!A$1:CB$87,'Fórmula'!H41,52),INDEX(properties!A$1:CB$87,'Fórmula'!J41,52))</f>
        <v>31.1</v>
      </c>
      <c r="EZ41" s="114">
        <f t="array" ref="EZ41">MIN(IF(INDEX(properties!A$1:CB$87,'Fórmula'!B41,52)=0,10^6,INDEX(properties!A$1:CB$87,'Fórmula'!B41,52)),IF(INDEX(properties!A$1:CB$87,'Fórmula'!D41,52)=0,10^6,INDEX(properties!A$1:CB$87,'Fórmula'!D41,52)),IF(INDEX(properties!A$1:CB$87,'Fórmula'!F41,52)=0,10^6,INDEX(properties!A$1:CB$87,'Fórmula'!F41,52)),IF(INDEX(properties!A$1:CB$87,'Fórmula'!H41,52)=0,10^6,INDEX(properties!A$1:CB$87,'Fórmula'!H41,52)),IF(INDEX(properties!A$1:CB$87,'Fórmula'!J41,52)=0,10^6,INDEX(properties!A$1:CB$87,'Fórmula'!J41,52)))</f>
        <v>0.793</v>
      </c>
      <c r="FA41" s="114">
        <f t="shared" si="26"/>
        <v>30.307</v>
      </c>
      <c r="FB41" s="115">
        <f t="array" ref="FB41">(('Fórmula'!C41)/('Fórmula'!C41+'Fórmula'!E41+'Fórmula'!G41+'Fórmula'!I41+'Fórmula'!K41))*(INDEX(properties!A$1:CB$87,'Fórmula'!B41,53))+(('Fórmula'!E41)/('Fórmula'!C41+'Fórmula'!E41+'Fórmula'!G41+'Fórmula'!I41+'Fórmula'!K41))*(INDEX(properties!A$1:CB$87,'Fórmula'!D41,53))+(('Fórmula'!G41)/('Fórmula'!C41+'Fórmula'!E41+'Fórmula'!G41+'Fórmula'!I41+'Fórmula'!K41))*(INDEX(properties!A$1:CB$87,'Fórmula'!F41,53))+(('Fórmula'!I41)/('Fórmula'!C41+'Fórmula'!E41+'Fórmula'!G41+'Fórmula'!I41+'Fórmula'!K41))*(INDEX(properties!A$1:CB$87,'Fórmula'!H41,53))+(('Fórmula'!K41)/('Fórmula'!C41+'Fórmula'!E41+'Fórmula'!G41+'Fórmula'!I41+'Fórmula'!K41))*(INDEX(properties!A$1:CB$87,'Fórmula'!J41,53))</f>
        <v>483.9214286</v>
      </c>
      <c r="FC41" s="115">
        <f t="array" ref="FC41">'Fórmula'!C41*(INDEX(properties!A$1:CB$87,'Fórmula'!B41,53))+'Fórmula'!E41*(INDEX(properties!A$1:CB$87,'Fórmula'!D41,53))+'Fórmula'!G41*(INDEX(properties!A$1:CB$87,'Fórmula'!F41,53))+'Fórmula'!I41*(INDEX(properties!A$1:CB$87,'Fórmula'!H41,53))+'Fórmula'!K41*(INDEX(properties!A$1:CB$87,'Fórmula'!J41,53))</f>
        <v>3387.45</v>
      </c>
      <c r="FD41" s="115">
        <f t="array" ref="FD41">VARP(IF(INDEX(properties!A$1:CB$87,'Fórmula'!B41,53)&lt;&gt;"",INDEX(properties!A$1:CB$87,'Fórmula'!B41,53)),IF(INDEX(properties!A$1:CB$87,'Fórmula'!D41,53)&lt;&gt;"",INDEX(properties!A$1:CB$87,'Fórmula'!D41,53)),IF(INDEX(properties!A$1:CB$87,'Fórmula'!F41,53)&lt;&gt;"",INDEX(properties!A$1:CB$87,'Fórmula'!F41,53)),IF(INDEX(properties!A$1:CB$87,'Fórmula'!H41,53)&lt;&gt;"",INDEX(properties!A$1:CB$87,'Fórmula'!H41,53)),IF(INDEX(properties!A$1:CB$87,'Fórmula'!J41,53)&lt;&gt;"",INDEX(properties!A$1:CB$87,'Fórmula'!J41,53)))</f>
        <v>261129.2764</v>
      </c>
      <c r="FE41" s="115">
        <f t="array" ref="FE41">MAX(INDEX(properties!A$1:CB$87,'Fórmula'!B41,53),INDEX(properties!A$1:CB$87,'Fórmula'!D41,53),INDEX(properties!A$1:CB$87,'Fórmula'!F41,53),INDEX(properties!A$1:CB$87,'Fórmula'!H41,53),INDEX(properties!A$1:CB$87,'Fórmula'!J41,53))</f>
        <v>1193.15</v>
      </c>
      <c r="FF41" s="115">
        <f t="array" ref="FF41">MIN(IF(INDEX(properties!A$1:CB$87,'Fórmula'!B41,53)=0,10^6,INDEX(properties!A$1:CB$87,'Fórmula'!B41,53)),IF(INDEX(properties!A$1:CB$87,'Fórmula'!D41,53)=0,10^6,INDEX(properties!A$1:CB$87,'Fórmula'!D41,53)),IF(INDEX(properties!A$1:CB$87,'Fórmula'!F41,53)=0,10^6,INDEX(properties!A$1:CB$87,'Fórmula'!F41,53)),IF(INDEX(properties!A$1:CB$87,'Fórmula'!H41,53)=0,10^6,INDEX(properties!A$1:CB$87,'Fórmula'!H41,53)),IF(INDEX(properties!A$1:CB$87,'Fórmula'!J41,53)=0,10^6,INDEX(properties!A$1:CB$87,'Fórmula'!J41,53)))</f>
        <v>54.75</v>
      </c>
      <c r="FG41" s="115">
        <f t="shared" si="27"/>
        <v>1138.4</v>
      </c>
      <c r="FH41" s="117">
        <f t="array" ref="FH41">(('Fórmula'!C41)/('Fórmula'!C41+'Fórmula'!E41+'Fórmula'!G41+'Fórmula'!I41+'Fórmula'!K41))*(INDEX(properties!A$1:CB$87,'Fórmula'!B41,54))+(('Fórmula'!E41)/('Fórmula'!C41+'Fórmula'!E41+'Fórmula'!G41+'Fórmula'!I41+'Fórmula'!K41))*(INDEX(properties!A$1:CB$87,'Fórmula'!D41,54))+(('Fórmula'!G41)/('Fórmula'!C41+'Fórmula'!E41+'Fórmula'!G41+'Fórmula'!I41+'Fórmula'!K41))*(INDEX(properties!A$1:CB$87,'Fórmula'!F41,54))+(('Fórmula'!I41)/('Fórmula'!C41+'Fórmula'!E41+'Fórmula'!G41+'Fórmula'!I41+'Fórmula'!K41))*(INDEX(properties!A$1:CB$87,'Fórmula'!H41,54))+(('Fórmula'!K41)/('Fórmula'!C41+'Fórmula'!E41+'Fórmula'!G41+'Fórmula'!I41+'Fórmula'!K41))*(INDEX(properties!A$1:CB$87,'Fórmula'!J41,54))</f>
        <v>1212.15</v>
      </c>
      <c r="FI41" s="117">
        <f t="array" ref="FI41">'Fórmula'!C41*(INDEX(properties!A$1:CB$87,'Fórmula'!B41,54))+'Fórmula'!E41*(INDEX(properties!A$1:CB$87,'Fórmula'!D41,54))+'Fórmula'!G41*(INDEX(properties!A$1:CB$87,'Fórmula'!F41,54))+'Fórmula'!I41*(INDEX(properties!A$1:CB$87,'Fórmula'!H41,54))+'Fórmula'!K41*(INDEX(properties!A$1:CB$87,'Fórmula'!J41,54))</f>
        <v>8485.05</v>
      </c>
      <c r="FJ41" s="117">
        <f t="array" ref="FJ41">VARP(IF(INDEX(properties!A$1:CB$87,'Fórmula'!B41,54)&lt;&gt;"",INDEX(properties!A$1:CB$87,'Fórmula'!B41,54)),IF(INDEX(properties!A$1:CB$87,'Fórmula'!D41,54)&lt;&gt;"",INDEX(properties!A$1:CB$87,'Fórmula'!D41,54)),IF(INDEX(properties!A$1:CB$87,'Fórmula'!F41,54)&lt;&gt;"",INDEX(properties!A$1:CB$87,'Fórmula'!F41,54)),IF(INDEX(properties!A$1:CB$87,'Fórmula'!H41,54)&lt;&gt;"",INDEX(properties!A$1:CB$87,'Fórmula'!H41,54)),IF(INDEX(properties!A$1:CB$87,'Fórmula'!J41,54)&lt;&gt;"",INDEX(properties!A$1:CB$87,'Fórmula'!J41,54)))</f>
        <v>2131682.332</v>
      </c>
      <c r="FK41" s="117">
        <f t="array" ref="FK41">MAX(INDEX(properties!A$1:CB$87,'Fórmula'!B41,54),INDEX(properties!A$1:CB$87,'Fórmula'!D41,54),INDEX(properties!A$1:CB$87,'Fórmula'!F41,54),INDEX(properties!A$1:CB$87,'Fórmula'!H41,54),INDEX(properties!A$1:CB$87,'Fórmula'!J41,54))</f>
        <v>3727.15</v>
      </c>
      <c r="FL41" s="117">
        <f t="array" ref="FL41">MIN(IF(INDEX(properties!A$1:CB$87,'Fórmula'!B41,54)=0,10^6,INDEX(properties!A$1:CB$87,'Fórmula'!B41,54)),IF(INDEX(properties!A$1:CB$87,'Fórmula'!D41,54)=0,10^6,INDEX(properties!A$1:CB$87,'Fórmula'!D41,54)),IF(INDEX(properties!A$1:CB$87,'Fórmula'!F41,54)=0,10^6,INDEX(properties!A$1:CB$87,'Fórmula'!F41,54)),IF(INDEX(properties!A$1:CB$87,'Fórmula'!H41,54)=0,10^6,INDEX(properties!A$1:CB$87,'Fórmula'!H41,54)),IF(INDEX(properties!A$1:CB$87,'Fórmula'!J41,54)=0,10^6,INDEX(properties!A$1:CB$87,'Fórmula'!J41,54)))</f>
        <v>90.15</v>
      </c>
      <c r="FM41" s="117">
        <f t="shared" si="28"/>
        <v>3637</v>
      </c>
      <c r="FN41" s="118">
        <f t="array" ref="FN41">(('Fórmula'!C41)/('Fórmula'!C41+'Fórmula'!E41+'Fórmula'!G41+'Fórmula'!I41+'Fórmula'!K41))*(INDEX(properties!A$1:CB$87,'Fórmula'!B41,55))+(('Fórmula'!E41)/('Fórmula'!C41+'Fórmula'!E41+'Fórmula'!G41+'Fórmula'!I41+'Fórmula'!K41))*(INDEX(properties!A$1:CB$87,'Fórmula'!D41,55))+(('Fórmula'!G41)/('Fórmula'!C41+'Fórmula'!E41+'Fórmula'!G41+'Fórmula'!I41+'Fórmula'!K41))*(INDEX(properties!A$1:CB$87,'Fórmula'!F41,55))+(('Fórmula'!I41)/('Fórmula'!C41+'Fórmula'!E41+'Fórmula'!G41+'Fórmula'!I41+'Fórmula'!K41))*(INDEX(properties!A$1:CB$87,'Fórmula'!H41,55))+(('Fórmula'!K41)/('Fórmula'!C41+'Fórmula'!E41+'Fórmula'!G41+'Fórmula'!I41+'Fórmula'!K41))*(INDEX(properties!A$1:CB$87,'Fórmula'!J41,55))</f>
        <v>1.640817143</v>
      </c>
      <c r="FO41" s="118">
        <f t="array" ref="FO41">'Fórmula'!C41*(INDEX(properties!A$1:CB$87,'Fórmula'!B41,55))+'Fórmula'!E41*(INDEX(properties!A$1:CB$87,'Fórmula'!D41,54))+'Fórmula'!G41*(INDEX(properties!A$1:CB$87,'Fórmula'!F41,55))+'Fórmula'!I41*(INDEX(properties!A$1:CB$87,'Fórmula'!H41,55))+'Fórmula'!K41*(INDEX(properties!A$1:CB$87,'Fórmula'!J41,55))</f>
        <v>3732.48572</v>
      </c>
      <c r="FP41" s="118">
        <f t="array" ref="FP41">VARP(IF(INDEX(properties!A$1:CB$87,'Fórmula'!B41,55)&lt;&gt;"",INDEX(properties!A$1:CB$87,'Fórmula'!B41,55)),IF(INDEX(properties!A$1:CB$87,'Fórmula'!D41,55)&lt;&gt;"",INDEX(properties!A$1:CB$87,'Fórmula'!D41,55)),IF(INDEX(properties!A$1:CB$87,'Fórmula'!F41,55)&lt;&gt;"",INDEX(properties!A$1:CB$87,'Fórmula'!F41,55)),IF(INDEX(properties!A$1:CB$87,'Fórmula'!H41,55)&lt;&gt;"",INDEX(properties!A$1:CB$87,'Fórmula'!H41,55)),IF(INDEX(properties!A$1:CB$87,'Fórmula'!J41,55)&lt;&gt;"",INDEX(properties!A$1:CB$87,'Fórmula'!J41,55)))</f>
        <v>5.132951015</v>
      </c>
      <c r="FQ41" s="118">
        <f t="array" ref="FQ41">MAX(INDEX(properties!A$1:CB$87,'Fórmula'!B41,55),INDEX(properties!A$1:CB$87,'Fórmula'!D41,55),INDEX(properties!A$1:CB$87,'Fórmula'!F41,55),INDEX(properties!A$1:CB$87,'Fórmula'!H41,55),INDEX(properties!A$1:CB$87,'Fórmula'!J41,55))</f>
        <v>6.15</v>
      </c>
      <c r="FR41" s="118">
        <f t="array" ref="FR41">MIN(IF(INDEX(properties!A$1:CB$87,'Fórmula'!B41,55)=0,10^6,INDEX(properties!A$1:CB$87,'Fórmula'!B41,55)),IF(INDEX(properties!A$1:CB$87,'Fórmula'!D41,55)=0,10^6,INDEX(properties!A$1:CB$87,'Fórmula'!D41,55)),IF(INDEX(properties!A$1:CB$87,'Fórmula'!F41,55)=0,10^6,INDEX(properties!A$1:CB$87,'Fórmula'!F41,55)),IF(INDEX(properties!A$1:CB$87,'Fórmula'!H41,55)=0,10^6,INDEX(properties!A$1:CB$87,'Fórmula'!H41,55)),IF(INDEX(properties!A$1:CB$87,'Fórmula'!J41,55)=0,10^6,INDEX(properties!A$1:CB$87,'Fórmula'!J41,55)))</f>
        <v>0.00143</v>
      </c>
      <c r="FS41" s="118">
        <f t="shared" si="29"/>
        <v>6.14857</v>
      </c>
      <c r="FT41" s="119">
        <f t="array" ref="FT41">(('Fórmula'!C41)/('Fórmula'!C41+'Fórmula'!E41+'Fórmula'!G41+'Fórmula'!I41+'Fórmula'!K41))*(INDEX(properties!A$1:CB$87,'Fórmula'!B41,56))+(('Fórmula'!E41)/('Fórmula'!C41+'Fórmula'!E41+'Fórmula'!G41+'Fórmula'!I41+'Fórmula'!K41))*(INDEX(properties!A$1:CB$87,'Fórmula'!D41,56))+(('Fórmula'!G41)/('Fórmula'!C41+'Fórmula'!E41+'Fórmula'!G41+'Fórmula'!I41+'Fórmula'!K41))*(INDEX(properties!A$1:CB$87,'Fórmula'!F41,56))+(('Fórmula'!I41)/('Fórmula'!C41+'Fórmula'!E41+'Fórmula'!G41+'Fórmula'!I41+'Fórmula'!K41))*(INDEX(properties!A$1:CB$87,'Fórmula'!H41,56))+(('Fórmula'!K41)/('Fórmula'!C41+'Fórmula'!E41+'Fórmula'!G41+'Fórmula'!I41+'Fórmula'!K41))*(INDEX(properties!A$1:CB$87,'Fórmula'!J41,56))</f>
        <v>0.7242857143</v>
      </c>
      <c r="FU41" s="119">
        <f t="array" ref="FU41">'Fórmula'!C41*(INDEX(properties!A$1:CB$87,'Fórmula'!B41,56))+'Fórmula'!E41*(INDEX(properties!A$1:CB$87,'Fórmula'!D41,56))+'Fórmula'!G41*(INDEX(properties!A$1:CB$87,'Fórmula'!F41,56))+'Fórmula'!I41*(INDEX(properties!A$1:CB$87,'Fórmula'!H41,56))+'Fórmula'!K41*(INDEX(properties!A$1:CB$87,'Fórmula'!J41,56))</f>
        <v>5.07</v>
      </c>
      <c r="FV41" s="119">
        <f t="array" ref="FV41">VARP(IF(INDEX(properties!A$1:CB$87,'Fórmula'!B41,56)&lt;&gt;"",INDEX(properties!A$1:CB$87,'Fórmula'!B41,56)),IF(INDEX(properties!A$1:CB$87,'Fórmula'!D41,56)&lt;&gt;"",INDEX(properties!A$1:CB$87,'Fórmula'!D41,56)),IF(INDEX(properties!A$1:CB$87,'Fórmula'!F41,56)&lt;&gt;"",INDEX(properties!A$1:CB$87,'Fórmula'!F41,56)),IF(INDEX(properties!A$1:CB$87,'Fórmula'!H41,56)&lt;&gt;"",INDEX(properties!A$1:CB$87,'Fórmula'!H41,56)),IF(INDEX(properties!A$1:CB$87,'Fórmula'!J41,56)&lt;&gt;"",INDEX(properties!A$1:CB$87,'Fórmula'!J41,56)))</f>
        <v>0.143056</v>
      </c>
      <c r="FW41" s="119">
        <f t="array" ref="FW41">MAX(INDEX(properties!A$1:CB$87,'Fórmula'!B41,56),INDEX(properties!A$1:CB$87,'Fórmula'!D41,56),INDEX(properties!A$1:CB$87,'Fórmula'!F41,56),INDEX(properties!A$1:CB$87,'Fórmula'!H41,56),INDEX(properties!A$1:CB$87,'Fórmula'!J41,56))</f>
        <v>0.92</v>
      </c>
      <c r="FX41" s="119">
        <f t="array" ref="FX41">MIN(IF(INDEX(properties!A$1:CB$87,'Fórmula'!B41,56)=0,10^6,INDEX(properties!A$1:CB$87,'Fórmula'!B41,56)),IF(INDEX(properties!A$1:CB$87,'Fórmula'!D41,56)=0,10^6,INDEX(properties!A$1:CB$87,'Fórmula'!D41,56)),IF(INDEX(properties!A$1:CB$87,'Fórmula'!F41,56)=0,10^6,INDEX(properties!A$1:CB$87,'Fórmula'!F41,56)),IF(INDEX(properties!A$1:CB$87,'Fórmula'!H41,56)=0,10^6,INDEX(properties!A$1:CB$87,'Fórmula'!H41,56)),IF(INDEX(properties!A$1:CB$87,'Fórmula'!J41,56)=0,10^6,INDEX(properties!A$1:CB$87,'Fórmula'!J41,56)))</f>
        <v>0.19</v>
      </c>
      <c r="FY41" s="119">
        <f t="shared" si="30"/>
        <v>0.73</v>
      </c>
      <c r="FZ41" s="104">
        <f t="array" ref="FZ41">(('Fórmula'!C41)/('Fórmula'!C41+'Fórmula'!E41+'Fórmula'!G41+'Fórmula'!I41+'Fórmula'!K41))*(INDEX(properties!A$1:CB$87,'Fórmula'!B41,57))+(('Fórmula'!E41)/('Fórmula'!C41+'Fórmula'!E41+'Fórmula'!G41+'Fórmula'!I41+'Fórmula'!K41))*(INDEX(properties!A$1:CB$87,'Fórmula'!D41,57))+(('Fórmula'!G41)/('Fórmula'!C41+'Fórmula'!E41+'Fórmula'!G41+'Fórmula'!I41+'Fórmula'!K41))*(INDEX(properties!A$1:CB$87,'Fórmula'!F41,57))+(('Fórmula'!I41)/('Fórmula'!C41+'Fórmula'!E41+'Fórmula'!G41+'Fórmula'!I41+'Fórmula'!K41))*(INDEX(properties!A$1:CB$87,'Fórmula'!H41,57))+(('Fórmula'!K41)/('Fórmula'!C41+'Fórmula'!E41+'Fórmula'!G41+'Fórmula'!I41+'Fórmula'!K41))*(INDEX(properties!A$1:CB$87,'Fórmula'!J41,57))</f>
        <v>3.740051429</v>
      </c>
      <c r="GA41" s="104">
        <f t="array" ref="GA41">'Fórmula'!C41*(INDEX(properties!A$1:CB$87,'Fórmula'!B41,57))+'Fórmula'!E41*(INDEX(properties!A$1:CB$87,'Fórmula'!D41,57))+'Fórmula'!G41*(INDEX(properties!A$1:CB$87,'Fórmula'!F41,57))+'Fórmula'!I41*(INDEX(properties!A$1:CB$87,'Fórmula'!H41,57))+'Fórmula'!K41*(INDEX(properties!A$1:CB$87,'Fórmula'!J41,57))</f>
        <v>26.18036</v>
      </c>
      <c r="GB41" s="104">
        <f t="array" ref="GB41">VARP(IF(INDEX(properties!A$1:CB$87,'Fórmula'!B41,57)&lt;&gt;"",INDEX(properties!A$1:CB$87,'Fórmula'!B41,57)),IF(INDEX(properties!A$1:CB$87,'Fórmula'!D41,57)&lt;&gt;"",INDEX(properties!A$1:CB$87,'Fórmula'!D41,57)),IF(INDEX(properties!A$1:CB$87,'Fórmula'!F41,57)&lt;&gt;"",INDEX(properties!A$1:CB$87,'Fórmula'!F41,57)),IF(INDEX(properties!A$1:CB$87,'Fórmula'!H41,57)&lt;&gt;"",INDEX(properties!A$1:CB$87,'Fórmula'!H41,57)),IF(INDEX(properties!A$1:CB$87,'Fórmula'!J41,57)&lt;&gt;"",INDEX(properties!A$1:CB$87,'Fórmula'!J41,57)))</f>
        <v>18.72503932</v>
      </c>
      <c r="GC41" s="104">
        <f t="array" ref="GC41">MAX(INDEX(properties!A$1:CB$87,'Fórmula'!B41,57),INDEX(properties!A$1:CB$87,'Fórmula'!D41,57),INDEX(properties!A$1:CB$87,'Fórmula'!F41,57),INDEX(properties!A$1:CB$87,'Fórmula'!H41,57),INDEX(properties!A$1:CB$87,'Fórmula'!J41,57))</f>
        <v>10.79</v>
      </c>
      <c r="GD41" s="104">
        <f t="array" ref="GD41">MIN(IF(INDEX(properties!A$1:CB$87,'Fórmula'!B41,57)=0,10^6,INDEX(properties!A$1:CB$87,'Fórmula'!B41,57)),IF(INDEX(properties!A$1:CB$87,'Fórmula'!D41,57)=0,10^6,INDEX(properties!A$1:CB$87,'Fórmula'!D41,57)),IF(INDEX(properties!A$1:CB$87,'Fórmula'!F41,57)=0,10^6,INDEX(properties!A$1:CB$87,'Fórmula'!F41,57)),IF(INDEX(properties!A$1:CB$87,'Fórmula'!H41,57)=0,10^6,INDEX(properties!A$1:CB$87,'Fórmula'!H41,57)),IF(INDEX(properties!A$1:CB$87,'Fórmula'!J41,57)=0,10^6,INDEX(properties!A$1:CB$87,'Fórmula'!J41,57)))</f>
        <v>0.22259</v>
      </c>
      <c r="GE41" s="104">
        <f t="shared" si="31"/>
        <v>10.56741</v>
      </c>
      <c r="GF41" s="105">
        <f t="array" ref="GF41">(('Fórmula'!C41)/('Fórmula'!C41+'Fórmula'!E41+'Fórmula'!G41+'Fórmula'!I41+'Fórmula'!K41))*(INDEX(properties!A$1:CB$87,'Fórmula'!B41,60))+(('Fórmula'!E41)/('Fórmula'!C41+'Fórmula'!E41+'Fórmula'!G41+'Fórmula'!I41+'Fórmula'!K41))*(INDEX(properties!A$1:CB$87,'Fórmula'!D41,60))+(('Fórmula'!G41)/('Fórmula'!C41+'Fórmula'!E41+'Fórmula'!G41+'Fórmula'!I41+'Fórmula'!K41))*(INDEX(properties!A$1:CB$87,'Fórmula'!F41,60))+(('Fórmula'!I41)/('Fórmula'!C41+'Fórmula'!E41+'Fórmula'!G41+'Fórmula'!I41+'Fórmula'!K41))*(INDEX(properties!A$1:CB$87,'Fórmula'!H41,60))+(('Fórmula'!K41)/('Fórmula'!C41+'Fórmula'!E41+'Fórmula'!G41+'Fórmula'!I41+'Fórmula'!K41))*(INDEX(properties!A$1:CB$87,'Fórmula'!J41,60))</f>
        <v>40.84385143</v>
      </c>
      <c r="GG41" s="105">
        <f t="array" ref="GG41">'Fórmula'!C41*(INDEX(properties!A$1:CB$87,'Fórmula'!B41,60))+'Fórmula'!E41*(INDEX(properties!A$1:CB$87,'Fórmula'!D41,60))+'Fórmula'!G41*(INDEX(properties!A$1:CB$87,'Fórmula'!F41,60))+'Fórmula'!I41*(INDEX(properties!A$1:CB$87,'Fórmula'!H41,60))+'Fórmula'!K41*(INDEX(properties!A$1:CB$87,'Fórmula'!J41,60))</f>
        <v>285.90696</v>
      </c>
      <c r="GH41" s="105">
        <f t="array" ref="GH41">VARP(IF(INDEX(properties!A$1:CB$87,'Fórmula'!B41,60)&lt;&gt;"",INDEX(properties!A$1:CB$87,'Fórmula'!B41,60)),IF(INDEX(properties!A$1:CB$87,'Fórmula'!D41,60)&lt;&gt;"",INDEX(properties!A$1:CB$87,'Fórmula'!D41,60)),IF(INDEX(properties!A$1:CB$87,'Fórmula'!F41,60)&lt;&gt;"",INDEX(properties!A$1:CB$87,'Fórmula'!F41,60)),IF(INDEX(properties!A$1:CB$87,'Fórmula'!H41,60)&lt;&gt;"",INDEX(properties!A$1:CB$87,'Fórmula'!H41,60)),IF(INDEX(properties!A$1:CB$87,'Fórmula'!J41,60)&lt;&gt;"",INDEX(properties!A$1:CB$87,'Fórmula'!J41,60)))</f>
        <v>8251.591131</v>
      </c>
      <c r="GI41" s="105">
        <f t="array" ref="GI41">MAX(INDEX(properties!A$1:CB$87,'Fórmula'!B41,60),INDEX(properties!A$1:CB$87,'Fórmula'!D41,60),INDEX(properties!A$1:CB$87,'Fórmula'!F41,60),INDEX(properties!A$1:CB$87,'Fórmula'!H41,60),INDEX(properties!A$1:CB$87,'Fórmula'!J41,60))</f>
        <v>237</v>
      </c>
      <c r="GJ41" s="105">
        <f t="array" ref="GJ41">MIN(IF(INDEX(properties!A$1:CB$87,'Fórmula'!B41,60)=0,10^6,INDEX(properties!A$1:CB$87,'Fórmula'!B41,60)),IF(INDEX(properties!A$1:CB$87,'Fórmula'!D41,60)=0,10^6,INDEX(properties!A$1:CB$87,'Fórmula'!D41,60)),IF(INDEX(properties!A$1:CB$87,'Fórmula'!F41,60)=0,10^6,INDEX(properties!A$1:CB$87,'Fórmula'!F41,60)),IF(INDEX(properties!A$1:CB$87,'Fórmula'!H41,60)=0,10^6,INDEX(properties!A$1:CB$87,'Fórmula'!H41,60)),IF(INDEX(properties!A$1:CB$87,'Fórmula'!J41,60)=0,10^6,INDEX(properties!A$1:CB$87,'Fórmula'!J41,60)))</f>
        <v>0.02674</v>
      </c>
      <c r="GK41" s="105">
        <f t="shared" si="32"/>
        <v>236.97326</v>
      </c>
      <c r="GL41" s="106">
        <f t="array" ref="GL41">(('Fórmula'!C41)/('Fórmula'!C41+'Fórmula'!E41+'Fórmula'!G41+'Fórmula'!I41+'Fórmula'!K41))*(INDEX(properties!A$1:CB$87,'Fórmula'!B41,62))+(('Fórmula'!E41)/('Fórmula'!C41+'Fórmula'!E41+'Fórmula'!G41+'Fórmula'!I41+'Fórmula'!K41))*(INDEX(properties!A$1:CB$87,'Fórmula'!D41,62))+(('Fórmula'!G41)/('Fórmula'!C41+'Fórmula'!E41+'Fórmula'!G41+'Fórmula'!I41+'Fórmula'!K41))*(INDEX(properties!A$1:CB$87,'Fórmula'!F41,62))+(('Fórmula'!I41)/('Fórmula'!C41+'Fórmula'!E41+'Fórmula'!G41+'Fórmula'!I41+'Fórmula'!K41))*(INDEX(properties!A$1:CB$87,'Fórmula'!H41,62))+(('Fórmula'!K41)/('Fórmula'!C41+'Fórmula'!E41+'Fórmula'!G41+'Fórmula'!I41+'Fórmula'!K41))*(INDEX(properties!A$1:CB$87,'Fórmula'!J41,62))</f>
        <v>2.865714286</v>
      </c>
      <c r="GM41" s="106">
        <f t="array" ref="GM41">'Fórmula'!C41*(INDEX(properties!A$1:CB$87,'Fórmula'!B41,62))+'Fórmula'!E41*(INDEX(properties!A$1:CB$87,'Fórmula'!D41,62))+'Fórmula'!G41*(INDEX(properties!A$1:CB$87,'Fórmula'!F41,62))+'Fórmula'!I41*(INDEX(properties!A$1:CB$87,'Fórmula'!H41,62))+'Fórmula'!K41*(INDEX(properties!A$1:CB$87,'Fórmula'!J41,62))</f>
        <v>20.06</v>
      </c>
      <c r="GN41" s="106">
        <f t="array" ref="GN41">VARP(IF(INDEX(properties!A$1:CB$87,'Fórmula'!B41,62)&lt;&gt;"",INDEX(properties!A$1:CB$87,'Fórmula'!B41,62)),IF(INDEX(properties!A$1:CB$87,'Fórmula'!D41,62)&lt;&gt;"",INDEX(properties!A$1:CB$87,'Fórmula'!D41,62)),IF(INDEX(properties!A$1:CB$87,'Fórmula'!F41,62)&lt;&gt;"",INDEX(properties!A$1:CB$87,'Fórmula'!F41,62)),IF(INDEX(properties!A$1:CB$87,'Fórmula'!H41,62)&lt;&gt;"",INDEX(properties!A$1:CB$87,'Fórmula'!H41,62)),IF(INDEX(properties!A$1:CB$87,'Fórmula'!J41,62)&lt;&gt;"",INDEX(properties!A$1:CB$87,'Fórmula'!J41,62)))</f>
        <v>2.30556</v>
      </c>
      <c r="GO41" s="106">
        <f t="array" ref="GO41">MAX(INDEX(properties!A$1:CB$87,'Fórmula'!B41,62),INDEX(properties!A$1:CB$87,'Fórmula'!D41,62),INDEX(properties!A$1:CB$87,'Fórmula'!F41,62),INDEX(properties!A$1:CB$87,'Fórmula'!H41,62),INDEX(properties!A$1:CB$87,'Fórmula'!J41,62))</f>
        <v>4.47</v>
      </c>
      <c r="GP41" s="106">
        <f t="array" ref="GP41">MIN(IF(INDEX(properties!A$1:CB$87,'Fórmula'!B41,62)=0,10^6,INDEX(properties!A$1:CB$87,'Fórmula'!B41,62)),IF(INDEX(properties!A$1:CB$87,'Fórmula'!D41,62)=0,10^6,INDEX(properties!A$1:CB$87,'Fórmula'!D41,62)),IF(INDEX(properties!A$1:CB$87,'Fórmula'!F41,62)=0,10^6,INDEX(properties!A$1:CB$87,'Fórmula'!F41,62)),IF(INDEX(properties!A$1:CB$87,'Fórmula'!H41,62)=0,10^6,INDEX(properties!A$1:CB$87,'Fórmula'!H41,62)),IF(INDEX(properties!A$1:CB$87,'Fórmula'!J41,62)=0,10^6,INDEX(properties!A$1:CB$87,'Fórmula'!J41,62)))</f>
        <v>1.72</v>
      </c>
      <c r="GQ41" s="106">
        <f t="shared" si="33"/>
        <v>2.75</v>
      </c>
      <c r="GR41" s="106">
        <f>'Fórmula'!Q41</f>
        <v>139</v>
      </c>
      <c r="GS41" s="107">
        <f>'Fórmula'!P41</f>
        <v>2</v>
      </c>
      <c r="GT41" s="113">
        <f>'Fórmula'!O41</f>
        <v>5.91</v>
      </c>
      <c r="GU41" s="114">
        <f>AVERAGE('Fórmula'!R41/'Fórmula'!S41,'Fórmula'!S41/'Fórmula'!T41,'Fórmula'!T41/'Fórmula'!R41)</f>
        <v>1.55428597</v>
      </c>
      <c r="GV41" s="125">
        <f>'Fórmula'!U41</f>
        <v>178.43</v>
      </c>
      <c r="GW41" s="106">
        <f>'Fórmula'!N41</f>
        <v>0.02</v>
      </c>
    </row>
    <row r="42" ht="14.25" customHeight="1">
      <c r="A42" s="99" t="str">
        <f>'Fórmula'!A42</f>
        <v>Ba3La2B4O12</v>
      </c>
      <c r="B42" s="100">
        <f t="array" ref="B42">(('Fórmula'!C42)/('Fórmula'!C42+'Fórmula'!E42+'Fórmula'!G42+'Fórmula'!I42+'Fórmula'!K42))*(INDEX(properties!A$1:CB$87,'Fórmula'!B42,3))+(('Fórmula'!E42)/('Fórmula'!C42+'Fórmula'!E42+'Fórmula'!G42+'Fórmula'!I42+'Fórmula'!K42))*(INDEX(properties!A$1:CB$87,'Fórmula'!D42,3))+(('Fórmula'!G42)/('Fórmula'!C42+'Fórmula'!E42+'Fórmula'!G42+'Fórmula'!I42+'Fórmula'!K42))*(INDEX(properties!A$1:CB$87,'Fórmula'!F42,3))+(('Fórmula'!I42)/('Fórmula'!C42+'Fórmula'!E42+'Fórmula'!G42+'Fórmula'!I42+'Fórmula'!K42))*(INDEX(properties!A$1:CB$87,'Fórmula'!H42,3))+(('Fórmula'!K42)/('Fórmula'!C42+'Fórmula'!E42+'Fórmula'!G42+'Fórmula'!I42+'Fórmula'!K42))*(INDEX(properties!A$1:CB$87,'Fórmula'!J42,3))</f>
        <v>44.04899048</v>
      </c>
      <c r="C42" s="101">
        <f t="array" ref="C42">'Fórmula'!C42*(INDEX(properties!A$1:CB$87,'Fórmula'!B42,3))+'Fórmula'!E42*(INDEX(properties!A$1:CB$87,'Fórmula'!D42,3))+'Fórmula'!G42*(INDEX(properties!A$1:CB$87,'Fórmula'!F42,3))+'Fórmula'!I42*(INDEX(properties!A$1:CB$87,'Fórmula'!H42,3))+'Fórmula'!K42*(INDEX(properties!A$1:CB$87,'Fórmula'!J42,3))</f>
        <v>925.0288</v>
      </c>
      <c r="D42" s="101">
        <f t="array" ref="D42">VARP(IF(INDEX(properties!A$1:CB$87,'Fórmula'!B42,3)&lt;&gt;"",INDEX(properties!A$1:CB$87,'Fórmula'!B42,3)),IF(INDEX(properties!A$1:CB$87,'Fórmula'!D42,3)&lt;&gt;"",INDEX(properties!A$1:CB$87,'Fórmula'!D42,3)),IF(INDEX(properties!A$1:CB$87,'Fórmula'!F42,3)&lt;&gt;"",INDEX(properties!A$1:CB$87,'Fórmula'!F42,3)),IF(INDEX(properties!A$1:CB$87,'Fórmula'!H42,3)&lt;&gt;"",INDEX(properties!A$1:CB$87,'Fórmula'!H42,3)),IF(INDEX(properties!A$1:CB$87,'Fórmula'!J42,3)&lt;&gt;"",INDEX(properties!A$1:CB$87,'Fórmula'!J42,3)))</f>
        <v>4031.860307</v>
      </c>
      <c r="E42" s="101">
        <f t="array" ref="E42">MAX(INDEX(properties!A$1:CB$87,'Fórmula'!B42,3),INDEX(properties!A$1:CB$87,'Fórmula'!D42,3),INDEX(properties!A$1:CB$87,'Fórmula'!F42,3),INDEX(properties!A$1:CB$87,'Fórmula'!H42,3),INDEX(properties!A$1:CB$87,'Fórmula'!J42,3))</f>
        <v>138.9055</v>
      </c>
      <c r="F42" s="101">
        <f t="array" ref="F42">MIN(IF(INDEX(properties!A$1:CB$87,'Fórmula'!B42,3)=0,10^6,INDEX(properties!A$1:CB$87,'Fórmula'!B42,3)),IF(INDEX(properties!A$1:CB$87,'Fórmula'!D42,3)=0,10^6,INDEX(properties!A$1:CB$87,'Fórmula'!D42,3)),IF(INDEX(properties!A$1:CB$87,'Fórmula'!F42,3)=0,10^6,INDEX(properties!A$1:CB$87,'Fórmula'!F42,3)),IF(INDEX(properties!A$1:CB$87,'Fórmula'!H42,3)=0,10^6,INDEX(properties!A$1:CB$87,'Fórmula'!H42,3)),IF(INDEX(properties!A$1:CB$87,'Fórmula'!J42,3)=0,10^6,INDEX(properties!A$1:CB$87,'Fórmula'!J42,3)))</f>
        <v>10.811</v>
      </c>
      <c r="G42" s="101">
        <f t="shared" si="1"/>
        <v>128.0945</v>
      </c>
      <c r="H42" s="102">
        <f t="array" ref="H42">(('Fórmula'!C42)/('Fórmula'!C42+'Fórmula'!E42+'Fórmula'!G42+'Fórmula'!I42+'Fórmula'!K42))*(INDEX(properties!A$1:CB$87,'Fórmula'!B42,4))+(('Fórmula'!E42)/('Fórmula'!C42+'Fórmula'!E42+'Fórmula'!G42+'Fórmula'!I42+'Fórmula'!K42))*(INDEX(properties!A$1:CB$87,'Fórmula'!D42,4))+(('Fórmula'!G42)/('Fórmula'!C42+'Fórmula'!E42+'Fórmula'!G42+'Fórmula'!I42+'Fórmula'!K42))*(INDEX(properties!A$1:CB$87,'Fórmula'!F42,4))+(('Fórmula'!I42)/('Fórmula'!C42+'Fórmula'!E42+'Fórmula'!G42+'Fórmula'!I42+'Fórmula'!K42))*(INDEX(properties!A$1:CB$87,'Fórmula'!H42,4))+(('Fórmula'!K42)/('Fórmula'!C42+'Fórmula'!E42+'Fórmula'!G42+'Fórmula'!I42+'Fórmula'!K42))*(INDEX(properties!A$1:CB$87,'Fórmula'!J42,4))</f>
        <v>18.95238095</v>
      </c>
      <c r="I42" s="102">
        <f t="array" ref="I42">'Fórmula'!C42*(INDEX(properties!A$1:CB$87,'Fórmula'!B42,4))+'Fórmula'!E42*(INDEX(properties!A$1:CB$87,'Fórmula'!D42,4))+'Fórmula'!G42*(INDEX(properties!A$1:CB$87,'Fórmula'!F42,4))+'Fórmula'!I42*(INDEX(properties!A$1:CB$87,'Fórmula'!H42,4))+'Fórmula'!K42*(INDEX(properties!A$1:CB$87,'Fórmula'!J42,4))</f>
        <v>398</v>
      </c>
      <c r="J42" s="102">
        <f t="array" ref="J42">VARP(IF(INDEX(properties!A$1:CB$87,'Fórmula'!B42,4)&lt;&gt;"",INDEX(properties!A$1:CB$87,'Fórmula'!B42,4)),IF(INDEX(properties!A$1:CB$87,'Fórmula'!D42,4)&lt;&gt;"",INDEX(properties!A$1:CB$87,'Fórmula'!D42,4)),IF(INDEX(properties!A$1:CB$87,'Fórmula'!F42,4)&lt;&gt;"",INDEX(properties!A$1:CB$87,'Fórmula'!F42,4)),IF(INDEX(properties!A$1:CB$87,'Fórmula'!H42,4)&lt;&gt;"",INDEX(properties!A$1:CB$87,'Fórmula'!H42,4)),IF(INDEX(properties!A$1:CB$87,'Fórmula'!J42,4)&lt;&gt;"",INDEX(properties!A$1:CB$87,'Fórmula'!J42,4)))</f>
        <v>659.76</v>
      </c>
      <c r="K42" s="102">
        <f t="array" ref="K42">MAX(INDEX(properties!A$1:CB$87,'Fórmula'!B42,4),INDEX(properties!A$1:CB$87,'Fórmula'!D42,4),INDEX(properties!A$1:CB$87,'Fórmula'!F42,4),INDEX(properties!A$1:CB$87,'Fórmula'!H42,4),INDEX(properties!A$1:CB$87,'Fórmula'!J42,4))</f>
        <v>57</v>
      </c>
      <c r="L42" s="102">
        <f t="array" ref="L42">MIN(IF(INDEX(properties!A$1:CB$87,'Fórmula'!B42,4)=0,10^6,INDEX(properties!A$1:CB$87,'Fórmula'!B42,4)),IF(INDEX(properties!A$1:CB$87,'Fórmula'!D42,4)=0,10^6,INDEX(properties!A$1:CB$87,'Fórmula'!D42,4)),IF(INDEX(properties!A$1:CB$87,'Fórmula'!F42,4)=0,10^6,INDEX(properties!A$1:CB$87,'Fórmula'!F42,4)),IF(INDEX(properties!A$1:CB$87,'Fórmula'!H42,4)=0,10^6,INDEX(properties!A$1:CB$87,'Fórmula'!H42,4)),IF(INDEX(properties!A$1:CB$87,'Fórmula'!J42,4)=0,10^6,INDEX(properties!A$1:CB$87,'Fórmula'!J42,4)))</f>
        <v>5</v>
      </c>
      <c r="M42" s="102">
        <f t="shared" si="2"/>
        <v>52</v>
      </c>
      <c r="N42" s="103">
        <f t="array" ref="N42">(('Fórmula'!C42)/('Fórmula'!C42+'Fórmula'!E42+'Fórmula'!G42+'Fórmula'!I42+'Fórmula'!K42))*(INDEX(properties!A$1:CB$87,'Fórmula'!B42,5))+(('Fórmula'!E42)/('Fórmula'!C42+'Fórmula'!E42+'Fórmula'!G42+'Fórmula'!I42+'Fórmula'!K42))*(INDEX(properties!A$1:CB$87,'Fórmula'!D42,5))+(('Fórmula'!G42)/('Fórmula'!C42+'Fórmula'!E42+'Fórmula'!G42+'Fórmula'!I42+'Fórmula'!K42))*(INDEX(properties!A$1:CB$87,'Fórmula'!F42,5))+(('Fórmula'!I42)/('Fórmula'!C42+'Fórmula'!E42+'Fórmula'!G42+'Fórmula'!I42+'Fórmula'!K42))*(INDEX(properties!A$1:CB$87,'Fórmula'!H42,5))+(('Fórmula'!K42)/('Fórmula'!C42+'Fórmula'!E42+'Fórmula'!G42+'Fórmula'!I42+'Fórmula'!K42))*(INDEX(properties!A$1:CB$87,'Fórmula'!J42,5))</f>
        <v>2.952380952</v>
      </c>
      <c r="O42" s="103">
        <f t="array" ref="O42">'Fórmula'!C42*(INDEX(properties!A$1:CB$87,'Fórmula'!B42,5))+'Fórmula'!E42*(INDEX(properties!A$1:CB$87,'Fórmula'!D42,5))+'Fórmula'!G42*(INDEX(properties!A$1:CB$87,'Fórmula'!F42,5))+'Fórmula'!I42*(INDEX(properties!A$1:CB$87,'Fórmula'!H42,5))+'Fórmula'!K42*(INDEX(properties!A$1:CB$87,'Fórmula'!J42,5))</f>
        <v>62</v>
      </c>
      <c r="P42" s="103">
        <f t="array" ref="P42">VARP(IF(INDEX(properties!A$1:CB$87,'Fórmula'!B42,5)&lt;&gt;"",INDEX(properties!A$1:CB$87,'Fórmula'!B42,5)),IF(INDEX(properties!A$1:CB$87,'Fórmula'!D42,5)&lt;&gt;"",INDEX(properties!A$1:CB$87,'Fórmula'!D42,5)),IF(INDEX(properties!A$1:CB$87,'Fórmula'!F42,5)&lt;&gt;"",INDEX(properties!A$1:CB$87,'Fórmula'!F42,5)),IF(INDEX(properties!A$1:CB$87,'Fórmula'!H42,5)&lt;&gt;"",INDEX(properties!A$1:CB$87,'Fórmula'!H42,5)),IF(INDEX(properties!A$1:CB$87,'Fórmula'!J42,5)&lt;&gt;"",INDEX(properties!A$1:CB$87,'Fórmula'!J42,5)))</f>
        <v>5.76</v>
      </c>
      <c r="Q42" s="103">
        <f t="array" ref="Q42">MAX(INDEX(properties!A$1:CB$87,'Fórmula'!B42,5),INDEX(properties!A$1:CB$87,'Fórmula'!D42,5),INDEX(properties!A$1:CB$87,'Fórmula'!F42,5),INDEX(properties!A$1:CB$87,'Fórmula'!H42,5),INDEX(properties!A$1:CB$87,'Fórmula'!J42,5))</f>
        <v>6</v>
      </c>
      <c r="R42" s="103">
        <f t="array" ref="R42">MIN(IF(INDEX(properties!A$1:CB$87,'Fórmula'!B42,5)=0,10^6,INDEX(properties!A$1:CB$87,'Fórmula'!B42,5)),IF(INDEX(properties!A$1:CB$87,'Fórmula'!D42,5)=0,10^6,INDEX(properties!A$1:CB$87,'Fórmula'!D42,5)),IF(INDEX(properties!A$1:CB$87,'Fórmula'!F42,5)=0,10^6,INDEX(properties!A$1:CB$87,'Fórmula'!F42,5)),IF(INDEX(properties!A$1:CB$87,'Fórmula'!H42,5)=0,10^6,INDEX(properties!A$1:CB$87,'Fórmula'!H42,5)),IF(INDEX(properties!A$1:CB$87,'Fórmula'!J42,5)=0,10^6,INDEX(properties!A$1:CB$87,'Fórmula'!J42,5)))</f>
        <v>2</v>
      </c>
      <c r="S42" s="103">
        <f t="shared" si="3"/>
        <v>4</v>
      </c>
      <c r="T42" s="104">
        <f t="array" ref="T42">(('Fórmula'!C42)/('Fórmula'!C42+'Fórmula'!E42+'Fórmula'!G42+'Fórmula'!I42+'Fórmula'!K42))*(INDEX(properties!A$1:CB$87,'Fórmula'!B42,6))+(('Fórmula'!E42)/('Fórmula'!C42+'Fórmula'!E42+'Fórmula'!G42+'Fórmula'!I42+'Fórmula'!K42))*(INDEX(properties!A$1:CB$87,'Fórmula'!D42,6))+(('Fórmula'!G42)/('Fórmula'!C42+'Fórmula'!E42+'Fórmula'!G42+'Fórmula'!I42+'Fórmula'!K42))*(INDEX(properties!A$1:CB$87,'Fórmula'!F42,6))+(('Fórmula'!I42)/('Fórmula'!C42+'Fórmula'!E42+'Fórmula'!G42+'Fórmula'!I42+'Fórmula'!K42))*(INDEX(properties!A$1:CB$87,'Fórmula'!H42,6))+(('Fórmula'!K42)/('Fórmula'!C42+'Fórmula'!E42+'Fórmula'!G42+'Fórmula'!I42+'Fórmula'!K42))*(INDEX(properties!A$1:CB$87,'Fórmula'!J42,6))</f>
        <v>12.19047619</v>
      </c>
      <c r="U42" s="104">
        <f t="array" ref="U42">'Fórmula'!C42*(INDEX(properties!A$1:CB$87,'Fórmula'!B42,6))+'Fórmula'!E42*(INDEX(properties!A$1:CB$87,'Fórmula'!D42,6))+'Fórmula'!G42*(INDEX(properties!A$1:CB$87,'Fórmula'!F42,6))+'Fórmula'!I42*(INDEX(properties!A$1:CB$87,'Fórmula'!H42,6))+'Fórmula'!K42*(INDEX(properties!A$1:CB$87,'Fórmula'!J42,6))</f>
        <v>256</v>
      </c>
      <c r="V42" s="103">
        <f t="array" ref="V42">VARP(IF(INDEX(properties!A$1:CB$87,'Fórmula'!B42,6)&lt;&gt;"",INDEX(properties!A$1:CB$87,'Fórmula'!B42,6)),IF(INDEX(properties!A$1:CB$87,'Fórmula'!D42,6)&lt;&gt;"",INDEX(properties!A$1:CB$87,'Fórmula'!D42,6)),IF(INDEX(properties!A$1:CB$87,'Fórmula'!F42,6)&lt;&gt;"",INDEX(properties!A$1:CB$87,'Fórmula'!F42,6)),IF(INDEX(properties!A$1:CB$87,'Fórmula'!H42,6)&lt;&gt;"",INDEX(properties!A$1:CB$87,'Fórmula'!H42,6)),IF(INDEX(properties!A$1:CB$87,'Fórmula'!J42,6)&lt;&gt;"",INDEX(properties!A$1:CB$87,'Fórmula'!J42,6)))</f>
        <v>41.36</v>
      </c>
      <c r="W42" s="104">
        <f t="array" ref="W42">MAX(INDEX(properties!A$1:CB$87,'Fórmula'!B42,6),INDEX(properties!A$1:CB$87,'Fórmula'!D42,6),INDEX(properties!A$1:CB$87,'Fórmula'!F42,6),INDEX(properties!A$1:CB$87,'Fórmula'!H42,4),INDEX(properties!A$1:CB$87,'Fórmula'!J42,6))</f>
        <v>13</v>
      </c>
      <c r="X42" s="104">
        <f t="array" ref="X42">MIN(IF(INDEX(properties!A$1:CB$87,'Fórmula'!B42,6)=0,10^6,INDEX(properties!A$1:CB$87,'Fórmula'!B42,6)),IF(INDEX(properties!A$1:CB$87,'Fórmula'!D42,6)=0,10^6,INDEX(properties!A$1:CB$87,'Fórmula'!D42,6)),IF(INDEX(properties!A$1:CB$87,'Fórmula'!F42,6)=0,10^6,INDEX(properties!A$1:CB$87,'Fórmula'!F42,6)),IF(INDEX(properties!A$1:CB$87,'Fórmula'!H42,6)=0,10^6,INDEX(properties!A$1:CB$87,'Fórmula'!H42,6)),IF(INDEX(properties!A$1:CB$87,'Fórmula'!J42,6)=0,10^6,INDEX(properties!A$1:CB$87,'Fórmula'!J42,6)))</f>
        <v>2</v>
      </c>
      <c r="Y42" s="104">
        <f t="shared" si="4"/>
        <v>11</v>
      </c>
      <c r="Z42" s="105">
        <f t="array" ref="Z42">(('Fórmula'!C42)/('Fórmula'!C42+'Fórmula'!E42+'Fórmula'!G42+'Fórmula'!I42+'Fórmula'!K42))*(INDEX(properties!A$1:CB$87,'Fórmula'!B42,9))+(('Fórmula'!E42)/('Fórmula'!C42+'Fórmula'!E42+'Fórmula'!G42+'Fórmula'!I42+'Fórmula'!K42))*(INDEX(properties!A$1:CB$87,'Fórmula'!D42,9))+(('Fórmula'!G42)/('Fórmula'!C42+'Fórmula'!E42+'Fórmula'!G42+'Fórmula'!I42+'Fórmula'!K42))*(INDEX(properties!A$1:CB$87,'Fórmula'!F42,9))+(('Fórmula'!I42)/('Fórmula'!C42+'Fórmula'!E42+'Fórmula'!G42+'Fórmula'!I42+'Fórmula'!K42))*(INDEX(properties!A$1:CB$87,'Fórmula'!H42,9))+(('Fórmula'!K42)/('Fórmula'!C42+'Fórmula'!E42+'Fórmula'!G42+'Fórmula'!I42+'Fórmula'!K42))*(INDEX(properties!A$1:CB$87,'Fórmula'!J42,9))</f>
        <v>65.95238095</v>
      </c>
      <c r="AA42" s="105">
        <f t="array" ref="AA42">'Fórmula'!C42*(INDEX(properties!A$1:CB$87,'Fórmula'!B42,9))+'Fórmula'!E42*(INDEX(properties!A$1:CB$87,'Fórmula'!D42,9))+'Fórmula'!G42*(INDEX(properties!A$1:CB$87,'Fórmula'!F42,9))+'Fórmula'!I42*(INDEX(properties!A$1:CB$87,'Fórmula'!H42,9))+'Fórmula'!K42*(INDEX(properties!A$1:CB$87,'Fórmula'!J42,9))</f>
        <v>1385</v>
      </c>
      <c r="AB42" s="105">
        <f t="array" ref="AB42">VARP(IF(INDEX(properties!A$1:CB$87,'Fórmula'!B42,9)&lt;&gt;"",INDEX(properties!A$1:CB$87,'Fórmula'!B42,9)),IF(INDEX(properties!A$1:CB$87,'Fórmula'!D42,9)&lt;&gt;"",INDEX(properties!A$1:CB$87,'Fórmula'!D42,9)),IF(INDEX(properties!A$1:CB$87,'Fórmula'!F42,9)&lt;&gt;"",INDEX(properties!A$1:CB$87,'Fórmula'!F42,9)),IF(INDEX(properties!A$1:CB$87,'Fórmula'!H42,9)&lt;&gt;"",INDEX(properties!A$1:CB$87,'Fórmula'!H42,9)),IF(INDEX(properties!A$1:CB$87,'Fórmula'!J42,9)&lt;&gt;"",INDEX(properties!A$1:CB$87,'Fórmula'!J42,9)))</f>
        <v>1290.16</v>
      </c>
      <c r="AC42" s="105">
        <f t="array" ref="AC42">MAX(INDEX(properties!A$1:CB$87,'Fórmula'!B42,9),INDEX(properties!A$1:CB$87,'Fórmula'!D42,9),INDEX(properties!A$1:CB$87,'Fórmula'!F42,9),INDEX(properties!A$1:CB$87,'Fórmula'!H42,9),INDEX(properties!A$1:CB$87,'Fórmula'!J42,9))</f>
        <v>87</v>
      </c>
      <c r="AD42" s="105">
        <f t="array" ref="AD42">MIN(IF(INDEX(properties!A$1:CB$87,'Fórmula'!B42,9)=0,10^6,INDEX(properties!A$1:CB$87,'Fórmula'!B42,9)),IF(INDEX(properties!A$1:CB$87,'Fórmula'!D42,9)=0,10^6,INDEX(properties!A$1:CB$87,'Fórmula'!D42,9)),IF(INDEX(properties!A$1:CB$87,'Fórmula'!F42,9)=0,10^6,INDEX(properties!A$1:CB$87,'Fórmula'!F42,9)),IF(INDEX(properties!A$1:CB$87,'Fórmula'!H42,9)=0,10^6,INDEX(properties!A$1:CB$87,'Fórmula'!H42,9)),IF(INDEX(properties!A$1:CB$87,'Fórmula'!J42,9)=0,10^6,INDEX(properties!A$1:CB$87,'Fórmula'!J42,9)))</f>
        <v>9</v>
      </c>
      <c r="AE42" s="105">
        <f t="shared" si="5"/>
        <v>78</v>
      </c>
      <c r="AF42" s="106">
        <f t="array" ref="AF42">(('Fórmula'!C42)/('Fórmula'!C42+'Fórmula'!E42+'Fórmula'!G42+'Fórmula'!I42+'Fórmula'!K42))*(INDEX(properties!A$1:CB$87,'Fórmula'!B42,10))+(('Fórmula'!E42)/('Fórmula'!C42+'Fórmula'!E42+'Fórmula'!G42+'Fórmula'!I42+'Fórmula'!K42))*(INDEX(properties!A$1:CB$87,'Fórmula'!D42,10))+(('Fórmula'!G42)/('Fórmula'!C42+'Fórmula'!E42+'Fórmula'!G42+'Fórmula'!I42+'Fórmula'!K42))*(INDEX(properties!A$1:CB$87,'Fórmula'!F42,10))+(('Fórmula'!I42)/('Fórmula'!C42+'Fórmula'!E42+'Fórmula'!G42+'Fórmula'!I42+'Fórmula'!K42))*(INDEX(properties!A$1:CB$87,'Fórmula'!H42,10))+(('Fórmula'!K42)/('Fórmula'!C42+'Fórmula'!E42+'Fórmula'!G42+'Fórmula'!I42+'Fórmula'!K42))*(INDEX(properties!A$1:CB$87,'Fórmula'!J42,10))</f>
        <v>5.714285714</v>
      </c>
      <c r="AG42" s="106">
        <f t="array" ref="AG42">'Fórmula'!C42*(INDEX(properties!A$1:CB$87,'Fórmula'!B42,10))+'Fórmula'!E42*(INDEX(properties!A$1:CB$87,'Fórmula'!D42,10))+'Fórmula'!G42*(INDEX(properties!A$1:CB$87,'Fórmula'!F42,10))+'Fórmula'!I42*(INDEX(properties!A$1:CB$87,'Fórmula'!H42,10))+'Fórmula'!K42*(INDEX(properties!A$1:CB$87,'Fórmula'!J42,10))</f>
        <v>120</v>
      </c>
      <c r="AH42" s="106">
        <f t="array" ref="AH42">VARP(IF(INDEX(properties!A$1:CB$87,'Fórmula'!B42,10)&lt;&gt;"",INDEX(properties!A$1:CB$87,'Fórmula'!B42,10)),IF(INDEX(properties!A$1:CB$87,'Fórmula'!D42,10)&lt;&gt;"",INDEX(properties!A$1:CB$87,'Fórmula'!D42,10)),IF(INDEX(properties!A$1:CB$87,'Fórmula'!F42,10)&lt;&gt;"",INDEX(properties!A$1:CB$87,'Fórmula'!F42,10)),IF(INDEX(properties!A$1:CB$87,'Fórmula'!H42,10)&lt;&gt;"",INDEX(properties!A$1:CB$87,'Fórmula'!H42,10)),IF(INDEX(properties!A$1:CB$87,'Fórmula'!J42,10)&lt;&gt;"",INDEX(properties!A$1:CB$87,'Fórmula'!J42,10)))</f>
        <v>6.64</v>
      </c>
      <c r="AI42" s="106">
        <f t="array" ref="AI42">MAX(INDEX(properties!A$1:CB$87,'Fórmula'!B42,10),INDEX(properties!A$1:CB$87,'Fórmula'!D42,10),INDEX(properties!A$1:CB$87,'Fórmula'!F42,10),INDEX(properties!A$1:CB$87,'Fórmula'!H42,10),INDEX(properties!A$1:CB$87,'Fórmula'!J42,10))</f>
        <v>7</v>
      </c>
      <c r="AJ42" s="106">
        <f t="array" ref="AJ42">MIN(IF(INDEX(properties!A$1:CB$87,'Fórmula'!B42,10)=0,10^6,INDEX(properties!A$1:CB$87,'Fórmula'!B42,10)),IF(INDEX(properties!A$1:CB$87,'Fórmula'!D42,10)=0,10^6,INDEX(properties!A$1:CB$87,'Fórmula'!D42,10)),IF(INDEX(properties!A$1:CB$87,'Fórmula'!F42,10)=0,10^6,INDEX(properties!A$1:CB$87,'Fórmula'!F42,10)),IF(INDEX(properties!A$1:CB$87,'Fórmula'!H42,10)=0,10^6,INDEX(properties!A$1:CB$87,'Fórmula'!H42,10)),IF(INDEX(properties!A$1:CB$87,'Fórmula'!J42,10)=0,10^6,INDEX(properties!A$1:CB$87,'Fórmula'!J42,10)))</f>
        <v>2</v>
      </c>
      <c r="AK42" s="106">
        <f t="shared" si="6"/>
        <v>5</v>
      </c>
      <c r="AL42" s="107">
        <f t="array" ref="AL42">(('Fórmula'!C42)/('Fórmula'!C42+'Fórmula'!E42+'Fórmula'!G42+'Fórmula'!I42+'Fórmula'!K42))*(INDEX(properties!A$1:CB$87,'Fórmula'!B42,11))+(('Fórmula'!E42)/('Fórmula'!C42+'Fórmula'!E42+'Fórmula'!G42+'Fórmula'!I42+'Fórmula'!K42))*(INDEX(properties!A$1:CB$87,'Fórmula'!D42,11))+(('Fórmula'!G42)/('Fórmula'!C42+'Fórmula'!E42+'Fórmula'!G42+'Fórmula'!I42+'Fórmula'!K42))*(INDEX(properties!A$1:CB$87,'Fórmula'!F42,11))+(('Fórmula'!I42)/('Fórmula'!C42+'Fórmula'!E42+'Fórmula'!G42+'Fórmula'!I42+'Fórmula'!K42))*(INDEX(properties!A$1:CB$87,'Fórmula'!H42,11))+(('Fórmula'!K42)/('Fórmula'!C42+'Fórmula'!E42+'Fórmula'!G42+'Fórmula'!I42+'Fórmula'!K42))*(INDEX(properties!A$1:CB$87,'Fórmula'!J42,11))</f>
        <v>2</v>
      </c>
      <c r="AM42" s="107">
        <f t="array" ref="AM42">'Fórmula'!C42*(INDEX(properties!A$1:CB$87,'Fórmula'!B42,11))+'Fórmula'!E42*(INDEX(properties!A$1:CB$87,'Fórmula'!D42,11))+'Fórmula'!G42*(INDEX(properties!A$1:CB$87,'Fórmula'!F42,11))+'Fórmula'!I42*(INDEX(properties!A$1:CB$87,'Fórmula'!H42,11))+'Fórmula'!K42*(INDEX(properties!A$1:CB$87,'Fórmula'!J42,11))</f>
        <v>42</v>
      </c>
      <c r="AN42" s="107">
        <f t="array" ref="AN42">VARP(IF(INDEX(properties!A$1:CB$87,'Fórmula'!B42,11)&lt;&gt;"",INDEX(properties!A$1:CB$87,'Fórmula'!B42,11)),IF(INDEX(properties!A$1:CB$87,'Fórmula'!D42,11)&lt;&gt;"",INDEX(properties!A$1:CB$87,'Fórmula'!D42,11)),IF(INDEX(properties!A$1:CB$87,'Fórmula'!F42,11)&lt;&gt;"",INDEX(properties!A$1:CB$87,'Fórmula'!F42,11)),IF(INDEX(properties!A$1:CB$87,'Fórmula'!H42,11)&lt;&gt;"",INDEX(properties!A$1:CB$87,'Fórmula'!H42,11)),IF(INDEX(properties!A$1:CB$87,'Fórmula'!J42,11)&lt;&gt;"",INDEX(properties!A$1:CB$87,'Fórmula'!J42,11)))</f>
        <v>0.64</v>
      </c>
      <c r="AO42" s="107">
        <f t="array" ref="AO42">MAX(INDEX(properties!A$1:CB$87,'Fórmula'!B42,11),INDEX(properties!A$1:CB$87,'Fórmula'!D42,11),INDEX(properties!A$1:CB$87,'Fórmula'!F42,11),INDEX(properties!A$1:CB$87,'Fórmula'!H42,11),INDEX(properties!A$1:CB$87,'Fórmula'!J42,11))</f>
        <v>2</v>
      </c>
      <c r="AP42" s="107">
        <f t="array" ref="AP42">MIN(IF('Fórmula'!B42=87,10^6,INDEX(properties!A$1:CB$87,'Fórmula'!B42,11)),IF(('Fórmula'!D42)=87,10^6,INDEX(properties!A$1:CB$87,'Fórmula'!D42,11)),IF(('Fórmula'!F42)=87,10^6,INDEX(properties!A$1:CB$87,'Fórmula'!F42,11)),IF(('Fórmula'!H42)=87,10^6,INDEX(properties!A$1:CB$87,'Fórmula'!H42,11)),IF('Fórmula'!J42=87,10^6,INDEX(properties!A$1:CB$87,'Fórmula'!J42,11)))</f>
        <v>2</v>
      </c>
      <c r="AQ42" s="107">
        <f t="shared" si="7"/>
        <v>0</v>
      </c>
      <c r="AR42" s="108">
        <f t="array" ref="AR42">(('Fórmula'!C42)/('Fórmula'!C42+'Fórmula'!E42+'Fórmula'!G42+'Fórmula'!I42+'Fórmula'!K42))*(INDEX(properties!A$1:CB$87,'Fórmula'!B42,12))+(('Fórmula'!E42)/('Fórmula'!C42+'Fórmula'!E42+'Fórmula'!G42+'Fórmula'!I42+'Fórmula'!K42))*(INDEX(properties!A$1:CB$87,'Fórmula'!D42,12))+(('Fórmula'!G42)/('Fórmula'!C42+'Fórmula'!E42+'Fórmula'!G42+'Fórmula'!I42+'Fórmula'!K42))*(INDEX(properties!A$1:CB$87,'Fórmula'!F42,12))+(('Fórmula'!I42)/('Fórmula'!C42+'Fórmula'!E42+'Fórmula'!G42+'Fórmula'!I42+'Fórmula'!K42))*(INDEX(properties!A$1:CB$87,'Fórmula'!H42,12))+(('Fórmula'!K42)/('Fórmula'!C42+'Fórmula'!E42+'Fórmula'!G42+'Fórmula'!I42+'Fórmula'!K42))*(INDEX(properties!A$1:CB$87,'Fórmula'!J42,12))</f>
        <v>2.476190476</v>
      </c>
      <c r="AS42" s="108">
        <f t="array" ref="AS42">'Fórmula'!C42*(INDEX(properties!A$1:CB$87,'Fórmula'!B42,12))+'Fórmula'!E42*(INDEX(properties!A$1:CB$87,'Fórmula'!D42,12))+'Fórmula'!G42*(INDEX(properties!A$1:CB$87,'Fórmula'!F42,12))+'Fórmula'!I42*(INDEX(properties!A$1:CB$87,'Fórmula'!H42,12))+'Fórmula'!K42*(INDEX(properties!A$1:CB$87,'Fórmula'!J42,12))</f>
        <v>52</v>
      </c>
      <c r="AT42" s="108">
        <f t="array" ref="AT42">VARP(IF(INDEX(properties!A$1:CB$87,'Fórmula'!B42,12)&lt;&gt;"",INDEX(properties!A$1:CB$87,'Fórmula'!B42,12)),IF(INDEX(properties!A$1:CB$87,'Fórmula'!D42,12)&lt;&gt;"",INDEX(properties!A$1:CB$87,'Fórmula'!D42,12)),IF(INDEX(properties!A$1:CB$87,'Fórmula'!F42,12)&lt;&gt;"",INDEX(properties!A$1:CB$87,'Fórmula'!F42,12)),IF(INDEX(properties!A$1:CB$87,'Fórmula'!H42,12)&lt;&gt;"",INDEX(properties!A$1:CB$87,'Fórmula'!H42,12)),IF(INDEX(properties!A$1:CB$87,'Fórmula'!J42,12)&lt;&gt;"",INDEX(properties!A$1:CB$87,'Fórmula'!J42,12)))</f>
        <v>2.4</v>
      </c>
      <c r="AU42" s="108">
        <f t="array" ref="AU42">MAX(INDEX(properties!A$1:CB$87,'Fórmula'!B42,12),INDEX(properties!A$1:CB$87,'Fórmula'!D42,12),INDEX(properties!A$1:CB$87,'Fórmula'!F42,12),INDEX(properties!A$1:CB$87,'Fórmula'!H42,12),INDEX(properties!A$1:CB$87,'Fórmula'!J42,12))</f>
        <v>4</v>
      </c>
      <c r="AV42" s="108">
        <f t="array" ref="AV42">MIN(IF('Fórmula'!B42=87,10^6,INDEX(properties!A$1:CB$87,'Fórmula'!B42,12)),IF(('Fórmula'!D42)=87,10^6,INDEX(properties!A$1:CB$87,'Fórmula'!D42,12)),IF(('Fórmula'!F42)=87,10^6,INDEX(properties!A$1:CB$87,'Fórmula'!F42,12)),IF(('Fórmula'!H42)=87,10^6,INDEX(properties!A$1:CB$87,'Fórmula'!H42,12)),IF('Fórmula'!J42=87,10^6,INDEX(properties!A$1:CB$87,'Fórmula'!J42,12)))</f>
        <v>0</v>
      </c>
      <c r="AW42" s="108">
        <f t="shared" si="8"/>
        <v>4</v>
      </c>
      <c r="AX42" s="109">
        <f t="array" ref="AX42">(('Fórmula'!C42)/('Fórmula'!C42+'Fórmula'!E42+'Fórmula'!G42+'Fórmula'!I42+'Fórmula'!K42))*(INDEX(properties!A$1:CB$87,'Fórmula'!B42,13))+(('Fórmula'!E42)/('Fórmula'!C42+'Fórmula'!E42+'Fórmula'!G42+'Fórmula'!I42+'Fórmula'!K42))*(INDEX(properties!A$1:CB$87,'Fórmula'!D42,13))+(('Fórmula'!G42)/('Fórmula'!C42+'Fórmula'!E42+'Fórmula'!G42+'Fórmula'!I42+'Fórmula'!K42))*(INDEX(properties!A$1:CB$87,'Fórmula'!F42,13))+(('Fórmula'!I42)/('Fórmula'!C42+'Fórmula'!E42+'Fórmula'!G42+'Fórmula'!I42+'Fórmula'!K42))*(INDEX(properties!A$1:CB$87,'Fórmula'!H42,13))+(('Fórmula'!K42)/('Fórmula'!C42+'Fórmula'!E42+'Fórmula'!G42+'Fórmula'!I42+'Fórmula'!K42))*(INDEX(properties!A$1:CB$87,'Fórmula'!J42,13))</f>
        <v>0.09523809524</v>
      </c>
      <c r="AY42" s="109">
        <f t="array" ref="AY42">'Fórmula'!C42*(INDEX(properties!A$1:CB$87,'Fórmula'!B42,13))+'Fórmula'!E42*(INDEX(properties!A$1:CB$87,'Fórmula'!D42,13))+'Fórmula'!G42*(INDEX(properties!A$1:CB$87,'Fórmula'!F42,13))+'Fórmula'!I42*(INDEX(properties!A$1:CB$87,'Fórmula'!H42,13))+'Fórmula'!K42*(INDEX(properties!A$1:CB$87,'Fórmula'!J42,13))</f>
        <v>2</v>
      </c>
      <c r="AZ42" s="109">
        <f t="array" ref="AZ42">VARP(IF(INDEX(properties!A$1:CB$87,'Fórmula'!B42,13)&lt;&gt;"",INDEX(properties!A$1:CB$87,'Fórmula'!B42,13)),IF(INDEX(properties!A$1:CB$87,'Fórmula'!D42,13)&lt;&gt;"",INDEX(properties!A$1:CB$87,'Fórmula'!D42,13)),IF(INDEX(properties!A$1:CB$87,'Fórmula'!F42,13)&lt;&gt;"",INDEX(properties!A$1:CB$87,'Fórmula'!F42,13)),IF(INDEX(properties!A$1:CB$87,'Fórmula'!H42,13)&lt;&gt;"",INDEX(properties!A$1:CB$87,'Fórmula'!H42,13)),IF(INDEX(properties!A$1:CB$87,'Fórmula'!J42,13)&lt;&gt;"",INDEX(properties!A$1:CB$87,'Fórmula'!J42,13)))</f>
        <v>0.16</v>
      </c>
      <c r="BA42" s="109">
        <f t="array" ref="BA42">MAX(INDEX(properties!A$1:CB$87,'Fórmula'!B42,13),INDEX(properties!A$1:CB$87,'Fórmula'!D42,13),INDEX(properties!A$1:CB$87,'Fórmula'!F42,13),INDEX(properties!A$1:CB$87,'Fórmula'!H42,13),INDEX(properties!A$1:CB$87,'Fórmula'!J42,13))</f>
        <v>1</v>
      </c>
      <c r="BB42" s="109">
        <f t="array" ref="BB42">MIN(IF('Fórmula'!B42=87,10^6,INDEX(properties!A$1:CB$87,'Fórmula'!B42,13)),IF(('Fórmula'!D42)=87,10^6,INDEX(properties!A$1:CB$87,'Fórmula'!D42,13)),IF(('Fórmula'!F42)=87,10^6,INDEX(properties!A$1:CB$87,'Fórmula'!F42,13)),IF(('Fórmula'!H42)=87,10^6,INDEX(properties!A$1:CB$87,'Fórmula'!H42,13)),IF('Fórmula'!J42=87,10^6,INDEX(properties!A$1:CB$87,'Fórmula'!J42,13)))</f>
        <v>0</v>
      </c>
      <c r="BC42" s="109">
        <f t="shared" si="9"/>
        <v>1</v>
      </c>
      <c r="BD42" s="110">
        <f t="array" ref="BD42">(('Fórmula'!C42)/('Fórmula'!C42+'Fórmula'!E42+'Fórmula'!G42+'Fórmula'!I42+'Fórmula'!K42))*(INDEX(properties!A$1:CB$87,'Fórmula'!B42,14))+(('Fórmula'!E42)/('Fórmula'!C42+'Fórmula'!E42+'Fórmula'!G42+'Fórmula'!I42+'Fórmula'!K42))*(INDEX(properties!A$1:CB$87,'Fórmula'!D42,14))+(('Fórmula'!G42)/('Fórmula'!C42+'Fórmula'!E42+'Fórmula'!G42+'Fórmula'!I42+'Fórmula'!K42))*(INDEX(properties!A$1:CB$87,'Fórmula'!F42,14))+(('Fórmula'!I42)/('Fórmula'!C42+'Fórmula'!E42+'Fórmula'!G42+'Fórmula'!I42+'Fórmula'!K42))*(INDEX(properties!A$1:CB$87,'Fórmula'!H42,14))+(('Fórmula'!K42)/('Fórmula'!C42+'Fórmula'!E42+'Fórmula'!G42+'Fórmula'!I42+'Fórmula'!K42))*(INDEX(properties!A$1:CB$87,'Fórmula'!J42,14))</f>
        <v>0</v>
      </c>
      <c r="BE42" s="110">
        <f t="array" ref="BE42">'Fórmula'!C42*(INDEX(properties!A$1:CB$87,'Fórmula'!B42,14))+'Fórmula'!E42*(INDEX(properties!A$1:CB$87,'Fórmula'!D42,14))+'Fórmula'!G42*(INDEX(properties!A$1:CB$87,'Fórmula'!F42,14))+'Fórmula'!I42*(INDEX(properties!A$1:CB$87,'Fórmula'!H42,14))+'Fórmula'!K42*(INDEX(properties!A$1:CB$87,'Fórmula'!J42,14))</f>
        <v>0</v>
      </c>
      <c r="BF42" s="110">
        <f t="array" ref="BF42">VARP(IF(INDEX(properties!A$1:CB$87,'Fórmula'!B42,14)&lt;&gt;"",INDEX(properties!A$1:CB$87,'Fórmula'!B42,14)),IF(INDEX(properties!A$1:CB$87,'Fórmula'!D42,14)&lt;&gt;"",INDEX(properties!A$1:CB$87,'Fórmula'!D42,14)),IF(INDEX(properties!A$1:CB$87,'Fórmula'!F42,14)&lt;&gt;"",INDEX(properties!A$1:CB$87,'Fórmula'!F42,14)),IF(INDEX(properties!A$1:CB$87,'Fórmula'!H42,14)&lt;&gt;"",INDEX(properties!A$1:CB$87,'Fórmula'!H42,14)),IF(INDEX(properties!A$1:CB$87,'Fórmula'!J42,14)&lt;&gt;"",INDEX(properties!A$1:CB$87,'Fórmula'!J42,14)))</f>
        <v>0</v>
      </c>
      <c r="BG42" s="110">
        <f t="array" ref="BG42">MAX(INDEX(properties!A$1:CB$87,'Fórmula'!B42,14),INDEX(properties!A$1:CB$87,'Fórmula'!D42,14),INDEX(properties!A$1:CB$87,'Fórmula'!F42,14),INDEX(properties!A$1:CB$87,'Fórmula'!H42,14),INDEX(properties!A$1:CB$87,'Fórmula'!J42,14))</f>
        <v>0</v>
      </c>
      <c r="BH42" s="110">
        <f t="array" ref="BH42">MIN(IF('Fórmula'!B42=87,10^6,INDEX(properties!A$1:CB$87,'Fórmula'!B42,14)),IF(('Fórmula'!D42)=87,10^6,INDEX(properties!A$1:CB$87,'Fórmula'!D42,14)),IF(('Fórmula'!F42)=87,10^6,INDEX(properties!A$1:CB$87,'Fórmula'!F42,14)),IF(('Fórmula'!H42)=87,10^6,INDEX(properties!A$1:CB$87,'Fórmula'!H42,14)),IF('Fórmula'!J42=87,10^6,INDEX(properties!A$1:CB$87,'Fórmula'!J42,14)))</f>
        <v>0</v>
      </c>
      <c r="BI42" s="110">
        <f t="shared" si="10"/>
        <v>0</v>
      </c>
      <c r="BJ42" s="111">
        <f t="array" ref="BJ42">(('Fórmula'!C42)/('Fórmula'!C42+'Fórmula'!E42+'Fórmula'!G42+'Fórmula'!I42+'Fórmula'!K42))*(INDEX(properties!A$1:CB$87,'Fórmula'!B42,19))+(('Fórmula'!E42)/('Fórmula'!C42+'Fórmula'!E42+'Fórmula'!G42+'Fórmula'!I42+'Fórmula'!K42))*(INDEX(properties!A$1:CB$87,'Fórmula'!D42,19))+(('Fórmula'!G42)/('Fórmula'!C42+'Fórmula'!E42+'Fórmula'!G42+'Fórmula'!I42+'Fórmula'!K42))*(INDEX(properties!A$1:CB$87,'Fórmula'!F42,19))+(('Fórmula'!I42)/('Fórmula'!C42+'Fórmula'!E42+'Fórmula'!G42+'Fórmula'!I42+'Fórmula'!K42))*(INDEX(properties!A$1:CB$87,'Fórmula'!H42,19))+(('Fórmula'!K42)/('Fórmula'!C42+'Fórmula'!E42+'Fórmula'!G42+'Fórmula'!I42+'Fórmula'!K42))*(INDEX(properties!A$1:CB$87,'Fórmula'!J42,19))</f>
        <v>4.571428571</v>
      </c>
      <c r="BK42" s="111">
        <f t="array" ref="BK42">'Fórmula'!C42*(INDEX(properties!A$1:CB$87,'Fórmula'!B42,19))+'Fórmula'!E42*(INDEX(properties!A$1:CB$87,'Fórmula'!D42,19))+'Fórmula'!G42*(INDEX(properties!A$1:CB$87,'Fórmula'!F42,19))+'Fórmula'!I42*(INDEX(properties!A$1:CB$87,'Fórmula'!H42,19))+'Fórmula'!K42*(INDEX(properties!A$1:CB$87,'Fórmula'!J42,19))</f>
        <v>96</v>
      </c>
      <c r="BL42" s="111">
        <f t="array" ref="BL42">VARP(IF(INDEX(properties!A$1:CB$87,'Fórmula'!B42,19)&lt;&gt;"",INDEX(properties!A$1:CB$87,'Fórmula'!B42,19)),IF(INDEX(properties!A$1:CB$87,'Fórmula'!D42,19)&lt;&gt;"",INDEX(properties!A$1:CB$87,'Fórmula'!D42,19)),IF(INDEX(properties!A$1:CB$87,'Fórmula'!F42,19)&lt;&gt;"",INDEX(properties!A$1:CB$87,'Fórmula'!F42,19)),IF(INDEX(properties!A$1:CB$87,'Fórmula'!H42,19)&lt;&gt;"",INDEX(properties!A$1:CB$87,'Fórmula'!H42,19)),IF(INDEX(properties!A$1:CB$87,'Fórmula'!J42,19)&lt;&gt;"",INDEX(properties!A$1:CB$87,'Fórmula'!J42,19)))</f>
        <v>3.76</v>
      </c>
      <c r="BM42" s="111">
        <f t="array" ref="BM42">MAX(INDEX(properties!A$1:CB$87,'Fórmula'!B42,19),INDEX(properties!A$1:CB$87,'Fórmula'!D42,19),INDEX(properties!A$1:CB$87,'Fórmula'!F42,19),INDEX(properties!A$1:CB$87,'Fórmula'!H42,19),INDEX(properties!A$1:CB$87,'Fórmula'!J42,19))</f>
        <v>6</v>
      </c>
      <c r="BN42" s="111">
        <f t="array" ref="BN42">MIN(IF(INDEX(properties!A$1:CB$87,'Fórmula'!B42,19)=0,10^6,INDEX(properties!A$1:CB$87,'Fórmula'!B42,19)),IF(INDEX(properties!A$1:CB$87,'Fórmula'!D42,19)=0,10^6,INDEX(properties!A$1:CB$87,'Fórmula'!D42,19)),IF(INDEX(properties!A$1:CB$87,'Fórmula'!F42,19)=0,10^6,INDEX(properties!A$1:CB$87,'Fórmula'!F42,19)),IF(INDEX(properties!A$1:CB$87,'Fórmula'!H42,19)=0,10^6,INDEX(properties!A$1:CB$87,'Fórmula'!H42,19)),IF(INDEX(properties!A$1:CB$87,'Fórmula'!J42,19)=0,10^6,INDEX(properties!A$1:CB$87,'Fórmula'!J42,19)))</f>
        <v>2</v>
      </c>
      <c r="BO42" s="111">
        <f t="shared" si="11"/>
        <v>4</v>
      </c>
      <c r="BP42" s="112">
        <f t="array" ref="BP42">(('Fórmula'!C42)/('Fórmula'!C42+'Fórmula'!E42+'Fórmula'!G42+'Fórmula'!I42+'Fórmula'!K42))*(INDEX(properties!A$1:CB$87,'Fórmula'!B42,20))+(('Fórmula'!E42)/('Fórmula'!C42+'Fórmula'!E42+'Fórmula'!G42+'Fórmula'!I42+'Fórmula'!K42))*(INDEX(properties!A$1:CB$87,'Fórmula'!D42,20))+(('Fórmula'!G42)/('Fórmula'!C42+'Fórmula'!E42+'Fórmula'!G42+'Fórmula'!I42+'Fórmula'!K42))*(INDEX(properties!A$1:CB$87,'Fórmula'!F42,20))+(('Fórmula'!I42)/('Fórmula'!C42+'Fórmula'!E42+'Fórmula'!G42+'Fórmula'!I42+'Fórmula'!K42))*(INDEX(properties!A$1:CB$87,'Fórmula'!H42,20))+(('Fórmula'!K42)/('Fórmula'!C42+'Fórmula'!E42+'Fórmula'!G42+'Fórmula'!I42+'Fórmula'!K42))*(INDEX(properties!A$1:CB$87,'Fórmula'!J42,20))</f>
        <v>4.476190476</v>
      </c>
      <c r="BQ42" s="112">
        <f t="array" ref="BQ42">'Fórmula'!C42*(INDEX(properties!A$1:CB$87,'Fórmula'!B42,20))+'Fórmula'!E42*(INDEX(properties!A$1:CB$87,'Fórmula'!D42,20))+'Fórmula'!G42*(INDEX(properties!A$1:CB$87,'Fórmula'!F42,20))+'Fórmula'!I42*(INDEX(properties!A$1:CB$87,'Fórmula'!H42,20))+'Fórmula'!K42*(INDEX(properties!A$1:CB$87,'Fórmula'!J42,20))</f>
        <v>94</v>
      </c>
      <c r="BR42" s="112">
        <f t="array" ref="BR42">VARP(IF(INDEX(properties!A$1:CB$87,'Fórmula'!B42,20)&lt;&gt;"",INDEX(properties!A$1:CB$87,'Fórmula'!B42,20)),IF(INDEX(properties!A$1:CB$87,'Fórmula'!D42,20)&lt;&gt;"",INDEX(properties!A$1:CB$87,'Fórmula'!D42,20)),IF(INDEX(properties!A$1:CB$87,'Fórmula'!F42,20)&lt;&gt;"",INDEX(properties!A$1:CB$87,'Fórmula'!F42,20)),IF(INDEX(properties!A$1:CB$87,'Fórmula'!H42,20)&lt;&gt;"",INDEX(properties!A$1:CB$87,'Fórmula'!H42,20)),IF(INDEX(properties!A$1:CB$87,'Fórmula'!J42,20)&lt;&gt;"",INDEX(properties!A$1:CB$87,'Fórmula'!J42,20)))</f>
        <v>3.84</v>
      </c>
      <c r="BS42" s="112">
        <f t="array" ref="BS42">MAX(INDEX(properties!A$1:CB$87,'Fórmula'!B42,20),INDEX(properties!A$1:CB$87,'Fórmula'!D42,20),INDEX(properties!A$1:CB$87,'Fórmula'!F42,20),INDEX(properties!A$1:CB$87,'Fórmula'!H42,20),INDEX(properties!A$1:CB$87,'Fórmula'!J42,20))</f>
        <v>6</v>
      </c>
      <c r="BT42" s="112">
        <f t="array" ref="BT42">MIN(IF(INDEX(properties!A$1:CB$87,'Fórmula'!B42,20)=0,10^6,INDEX(properties!A$1:CB$87,'Fórmula'!B42,20)),IF(INDEX(properties!A$1:CB$87,'Fórmula'!D42,20)=0,10^6,INDEX(properties!A$1:CB$87,'Fórmula'!D42,20)),IF(INDEX(properties!A$1:CB$87,'Fórmula'!F42,20)=0,10^6,INDEX(properties!A$1:CB$87,'Fórmula'!F42,20)),IF(INDEX(properties!A$1:CB$87,'Fórmula'!H42,20)=0,10^6,INDEX(properties!A$1:CB$87,'Fórmula'!H42,20)),IF(INDEX(properties!A$1:CB$87,'Fórmula'!J42,20)=0,10^6,INDEX(properties!A$1:CB$87,'Fórmula'!J42,20)))</f>
        <v>2</v>
      </c>
      <c r="BU42" s="112">
        <f t="shared" si="12"/>
        <v>4</v>
      </c>
      <c r="BV42" s="113">
        <f t="array" ref="BV42">(('Fórmula'!C42)/('Fórmula'!C42+'Fórmula'!E42+'Fórmula'!G42+'Fórmula'!I42+'Fórmula'!K42))*(INDEX(properties!A$1:CB$87,'Fórmula'!B42,21))+(('Fórmula'!E42)/('Fórmula'!C42+'Fórmula'!E42+'Fórmula'!G42+'Fórmula'!I42+'Fórmula'!K42))*(INDEX(properties!A$1:CB$87,'Fórmula'!D42,21))+(('Fórmula'!G42)/('Fórmula'!C42+'Fórmula'!E42+'Fórmula'!G42+'Fórmula'!I42+'Fórmula'!K42))*(INDEX(properties!A$1:CB$87,'Fórmula'!F42,21))+(('Fórmula'!I42)/('Fórmula'!C42+'Fórmula'!E42+'Fórmula'!G42+'Fórmula'!I42+'Fórmula'!K42))*(INDEX(properties!A$1:CB$87,'Fórmula'!H42,21))+(('Fórmula'!K42)/('Fórmula'!C42+'Fórmula'!E42+'Fórmula'!G42+'Fórmula'!I42+'Fórmula'!K42))*(INDEX(properties!A$1:CB$87,'Fórmula'!J42,21))</f>
        <v>4.380952381</v>
      </c>
      <c r="BW42" s="113">
        <f t="array" ref="BW42">'Fórmula'!C42*(INDEX(properties!A$1:CB$87,'Fórmula'!B42,21))+'Fórmula'!E42*(INDEX(properties!A$1:CB$87,'Fórmula'!D42,21))+'Fórmula'!G42*(INDEX(properties!A$1:CB$87,'Fórmula'!F42,21))+'Fórmula'!I42*(INDEX(properties!A$1:CB$87,'Fórmula'!H42,21))+'Fórmula'!K42*(INDEX(properties!A$1:CB$87,'Fórmula'!J42,21))</f>
        <v>92</v>
      </c>
      <c r="BX42" s="113">
        <f t="array" ref="BX42">VARP(IF(INDEX(properties!A$1:CB$87,'Fórmula'!B42,21)&lt;&gt;"",INDEX(properties!A$1:CB$87,'Fórmula'!B42,21)),IF(INDEX(properties!A$1:CB$87,'Fórmula'!D42,21)&lt;&gt;"",INDEX(properties!A$1:CB$87,'Fórmula'!D42,21)),IF(INDEX(properties!A$1:CB$87,'Fórmula'!F42,21)&lt;&gt;"",INDEX(properties!A$1:CB$87,'Fórmula'!F42,21)),IF(INDEX(properties!A$1:CB$87,'Fórmula'!H42,21)&lt;&gt;"",INDEX(properties!A$1:CB$87,'Fórmula'!H42,21)),IF(INDEX(properties!A$1:CB$87,'Fórmula'!J42,21)&lt;&gt;"",INDEX(properties!A$1:CB$87,'Fórmula'!J42,21)))</f>
        <v>4.24</v>
      </c>
      <c r="BY42" s="113">
        <f t="array" ref="BY42">MAX(INDEX(properties!A$1:CB$87,'Fórmula'!B42,21),INDEX(properties!A$1:CB$87,'Fórmula'!D42,21),INDEX(properties!A$1:CB$87,'Fórmula'!F42,21),INDEX(properties!A$1:CB$87,'Fórmula'!H42,21),INDEX(properties!A$1:CB$87,'Fórmula'!J42,21))</f>
        <v>6</v>
      </c>
      <c r="BZ42" s="113">
        <f t="array" ref="BZ42">MIN(IF(INDEX(properties!A$1:CB$87,'Fórmula'!B42,21)=0,10^6,INDEX(properties!A$1:CB$87,'Fórmula'!B42,21)),IF(INDEX(properties!A$1:CB$87,'Fórmula'!D42,21)=0,10^6,INDEX(properties!A$1:CB$87,'Fórmula'!D42,21)),IF(INDEX(properties!A$1:CB$87,'Fórmula'!F42,21)=0,10^6,INDEX(properties!A$1:CB$87,'Fórmula'!F42,21)),IF(INDEX(properties!A$1:CB$87,'Fórmula'!H42,21)=0,10^6,INDEX(properties!A$1:CB$87,'Fórmula'!H42,21)),IF(INDEX(properties!A$1:CB$87,'Fórmula'!J42,21)=0,10^6,INDEX(properties!A$1:CB$87,'Fórmula'!J42,21)))</f>
        <v>1</v>
      </c>
      <c r="CA42" s="113">
        <f t="shared" si="13"/>
        <v>5</v>
      </c>
      <c r="CB42" s="114">
        <f t="array" ref="CB42">(('Fórmula'!C42)/('Fórmula'!C42+'Fórmula'!E42+'Fórmula'!G42+'Fórmula'!I42+'Fórmula'!K42))*(INDEX(properties!A$1:CB$87,'Fórmula'!B42,23))+(('Fórmula'!E42)/('Fórmula'!C42+'Fórmula'!E42+'Fórmula'!G42+'Fórmula'!I42+'Fórmula'!K42))*(INDEX(properties!A$1:CB$87,'Fórmula'!D42,23))+(('Fórmula'!G42)/('Fórmula'!C42+'Fórmula'!E42+'Fórmula'!G42+'Fórmula'!I42+'Fórmula'!K42))*(INDEX(properties!A$1:CB$87,'Fórmula'!F42,23))+(('Fórmula'!I42)/('Fórmula'!C42+'Fórmula'!E42+'Fórmula'!G42+'Fórmula'!I42+'Fórmula'!K42))*(INDEX(properties!A$1:CB$87,'Fórmula'!H42,23))+(('Fórmula'!K42)/('Fórmula'!C42+'Fórmula'!E42+'Fórmula'!G42+'Fórmula'!I42+'Fórmula'!K42))*(INDEX(properties!A$1:CB$87,'Fórmula'!J42,23))</f>
        <v>1.142857143</v>
      </c>
      <c r="CC42" s="114">
        <f t="array" ref="CC42">'Fórmula'!C42*(INDEX(properties!A$1:CB$87,'Fórmula'!B42,23))+'Fórmula'!E42*(INDEX(properties!A$1:CB$87,'Fórmula'!D42,23))+'Fórmula'!G42*(INDEX(properties!A$1:CB$87,'Fórmula'!F42,23))+'Fórmula'!I42*(INDEX(properties!A$1:CB$87,'Fórmula'!H42,23))+'Fórmula'!K42*(INDEX(properties!A$1:CB$87,'Fórmula'!J42,23))</f>
        <v>24</v>
      </c>
      <c r="CD42" s="114">
        <f t="array" ref="CD42">VARP(IF(INDEX(properties!A$1:CB$87,'Fórmula'!B42,23)&lt;&gt;"",INDEX(properties!A$1:CB$87,'Fórmula'!B42,23)),IF(INDEX(properties!A$1:CB$87,'Fórmula'!D42,23)&lt;&gt;"",INDEX(properties!A$1:CB$87,'Fórmula'!D42,23)),IF(INDEX(properties!A$1:CB$87,'Fórmula'!F42,23)&lt;&gt;"",INDEX(properties!A$1:CB$87,'Fórmula'!F42,23)),IF(INDEX(properties!A$1:CB$87,'Fórmula'!H42,23)&lt;&gt;"",INDEX(properties!A$1:CB$87,'Fórmula'!H42,23)),IF(INDEX(properties!A$1:CB$87,'Fórmula'!J42,23)&lt;&gt;"",INDEX(properties!A$1:CB$87,'Fórmula'!J42,23)))</f>
        <v>1.84</v>
      </c>
      <c r="CE42" s="114">
        <f t="array" ref="CE42">MAX(INDEX(properties!A$1:CB$87,'Fórmula'!B42,23),INDEX(properties!A$1:CB$87,'Fórmula'!D42,23),INDEX(properties!A$1:CB$87,'Fórmula'!F42,23),INDEX(properties!A$1:CB$87,'Fórmula'!H42,23),INDEX(properties!A$1:CB$87,'Fórmula'!J42,23))</f>
        <v>3</v>
      </c>
      <c r="CF42" s="114">
        <f t="array" ref="CF42">MIN(IF('Fórmula'!B42=87,10^6,INDEX(properties!A$1:CB$87,'Fórmula'!B42,23)),IF(('Fórmula'!D42)=87,10^6,INDEX(properties!A$1:CB$87,'Fórmula'!D42,23)),IF(('Fórmula'!F42)=87,10^6,INDEX(properties!A$1:CB$87,'Fórmula'!F42,23)),IF(('Fórmula'!H42)=87,10^6,INDEX(properties!A$1:CB$87,'Fórmula'!H42,23)),IF('Fórmula'!J42=87,10^6,INDEX(properties!A$1:CB$87,'Fórmula'!J42,23)))</f>
        <v>0</v>
      </c>
      <c r="CG42" s="114">
        <f t="shared" si="14"/>
        <v>3</v>
      </c>
      <c r="CH42" s="115">
        <f t="array" ref="CH42">(('Fórmula'!C42)/('Fórmula'!C42+'Fórmula'!E42+'Fórmula'!G42+'Fórmula'!I42+'Fórmula'!K42))*(INDEX(properties!A$1:CB$87,'Fórmula'!B42,26))+(('Fórmula'!E42)/('Fórmula'!C42+'Fórmula'!E42+'Fórmula'!G42+'Fórmula'!I42+'Fórmula'!K42))*(INDEX(properties!A$1:CB$87,'Fórmula'!D42,26))+(('Fórmula'!G42)/('Fórmula'!C42+'Fórmula'!E42+'Fórmula'!G42+'Fórmula'!I42+'Fórmula'!K42))*(INDEX(properties!A$1:CB$87,'Fórmula'!F42,26))+(('Fórmula'!I42)/('Fórmula'!C42+'Fórmula'!E42+'Fórmula'!G42+'Fórmula'!I42+'Fórmula'!K42))*(INDEX(properties!A$1:CB$87,'Fórmula'!H42,26))+(('Fórmula'!K42)/('Fórmula'!C42+'Fórmula'!E42+'Fórmula'!G42+'Fórmula'!I42+'Fórmula'!K42))*(INDEX(properties!A$1:CB$87,'Fórmula'!J42,26))</f>
        <v>10.63800476</v>
      </c>
      <c r="CI42" s="115">
        <f t="array" ref="CI42">'Fórmula'!C42*(INDEX(properties!A$1:CB$87,'Fórmula'!B42,26))+'Fórmula'!E42*(INDEX(properties!A$1:CB$87,'Fórmula'!D42,26))+'Fórmula'!G42*(INDEX(properties!A$1:CB$87,'Fórmula'!F42,26))+'Fórmula'!I42*(INDEX(properties!A$1:CB$87,'Fórmula'!H42,26))+'Fórmula'!K42*(INDEX(properties!A$1:CB$87,'Fórmula'!J42,26))</f>
        <v>223.3981</v>
      </c>
      <c r="CJ42" s="115">
        <f t="array" ref="CJ42">VARP(IF(INDEX(properties!A$1:CB$87,'Fórmula'!B42,26)&lt;&gt;"",INDEX(properties!A$1:CB$87,'Fórmula'!B42,26)),IF(INDEX(properties!A$1:CB$87,'Fórmula'!D42,26)&lt;&gt;"",INDEX(properties!A$1:CB$87,'Fórmula'!D42,26)),IF(INDEX(properties!A$1:CB$87,'Fórmula'!F42,26)&lt;&gt;"",INDEX(properties!A$1:CB$87,'Fórmula'!F42,26)),IF(INDEX(properties!A$1:CB$87,'Fórmula'!H42,26)&lt;&gt;"",INDEX(properties!A$1:CB$87,'Fórmula'!H42,26)),IF(INDEX(properties!A$1:CB$87,'Fórmula'!J42,26)&lt;&gt;"",INDEX(properties!A$1:CB$87,'Fórmula'!J42,26)))</f>
        <v>19.73072034</v>
      </c>
      <c r="CK42" s="116">
        <f t="array" ref="CK42">MAX(INDEX(properties!A$1:CB$87,'Fórmula'!B42,26),INDEX(properties!A$1:CB$87,'Fórmula'!D42,26),INDEX(properties!A$1:CB$87,'Fórmula'!F42,26),INDEX(properties!A$1:CB$87,'Fórmula'!H42,26),INDEX(properties!A$1:CB$87,'Fórmula'!J42,26))</f>
        <v>13.6181</v>
      </c>
      <c r="CL42" s="116">
        <f t="array" ref="CL42">MIN(IF(INDEX(properties!A$1:CB$87,'Fórmula'!B42,26)=0,10^6,INDEX(properties!A$1:CB$87,'Fórmula'!B42,26)),IF(INDEX(properties!A$1:CB$87,'Fórmula'!D42,26)=0,10^6,INDEX(properties!A$1:CB$87,'Fórmula'!D42,26)),IF(INDEX(properties!A$1:CB$87,'Fórmula'!F42,26)=0,10^6,INDEX(properties!A$1:CB$87,'Fórmula'!F42,26)),IF(INDEX(properties!A$1:CB$87,'Fórmula'!H42,26)=0,10^6,INDEX(properties!A$1:CB$87,'Fórmula'!H42,26)),IF(INDEX(properties!A$1:CB$87,'Fórmula'!J42,26)=0,10^6,INDEX(properties!A$1:CB$87,'Fórmula'!J42,26)))</f>
        <v>5.2117</v>
      </c>
      <c r="CM42" s="115">
        <f t="shared" si="15"/>
        <v>8.4064</v>
      </c>
      <c r="CN42" s="117">
        <f t="array" ref="CN42">(('Fórmula'!C42)/('Fórmula'!C42+'Fórmula'!E42+'Fórmula'!G42+'Fórmula'!I42+'Fórmula'!K42))*(INDEX(properties!A$1:CB$87,'Fórmula'!B42,30))+(('Fórmula'!E42)/('Fórmula'!C42+'Fórmula'!E42+'Fórmula'!G42+'Fórmula'!I42+'Fórmula'!K42))*(INDEX(properties!A$1:CB$87,'Fórmula'!D42,30))+(('Fórmula'!G42)/('Fórmula'!C42+'Fórmula'!E42+'Fórmula'!G42+'Fórmula'!I42+'Fórmula'!K42))*(INDEX(properties!A$1:CB$87,'Fórmula'!F42,30))+(('Fórmula'!I42)/('Fórmula'!C42+'Fórmula'!E42+'Fórmula'!G42+'Fórmula'!I42+'Fórmula'!K42))*(INDEX(properties!A$1:CB$87,'Fórmula'!H42,30))+(('Fórmula'!K42)/('Fórmula'!C42+'Fórmula'!E42+'Fórmula'!G42+'Fórmula'!I42+'Fórmula'!K42))*(INDEX(properties!A$1:CB$87,'Fórmula'!J42,30))</f>
        <v>2.586190476</v>
      </c>
      <c r="CO42" s="117">
        <f t="array" ref="CO42">'Fórmula'!C42*(INDEX(properties!A$1:CB$87,'Fórmula'!B42,30))+'Fórmula'!E42*(INDEX(properties!A$1:CB$87,'Fórmula'!D42,30))+'Fórmula'!G42*(INDEX(properties!A$1:CB$87,'Fórmula'!F42,30))+'Fórmula'!I42*(INDEX(properties!A$1:CB$87,'Fórmula'!H42,30))+'Fórmula'!K42*(INDEX(properties!A$1:CB$87,'Fórmula'!J42,30))</f>
        <v>54.31</v>
      </c>
      <c r="CP42" s="117">
        <f t="array" ref="CP42">VARP(IF(INDEX(properties!A$1:CB$87,'Fórmula'!B42,30)&lt;&gt;"",INDEX(properties!A$1:CB$87,'Fórmula'!B42,30)),IF(INDEX(properties!A$1:CB$87,'Fórmula'!D42,30)&lt;&gt;"",INDEX(properties!A$1:CB$87,'Fórmula'!D42,30)),IF(INDEX(properties!A$1:CB$87,'Fórmula'!F42,30)&lt;&gt;"",INDEX(properties!A$1:CB$87,'Fórmula'!F42,30)),IF(INDEX(properties!A$1:CB$87,'Fórmula'!H42,30)&lt;&gt;"",INDEX(properties!A$1:CB$87,'Fórmula'!H42,30)),IF(INDEX(properties!A$1:CB$87,'Fórmula'!J42,30)&lt;&gt;"",INDEX(properties!A$1:CB$87,'Fórmula'!J42,30)))</f>
        <v>1.367424</v>
      </c>
      <c r="CQ42" s="117">
        <f t="array" ref="CQ42">MAX(INDEX(properties!A$1:CB$87,'Fórmula'!B42,30),INDEX(properties!A$1:CB$87,'Fórmula'!D42,30),INDEX(properties!A$1:CB$87,'Fórmula'!F42,30),INDEX(properties!A$1:CB$87,'Fórmula'!H42,30),INDEX(properties!A$1:CB$87,'Fórmula'!J42,30))</f>
        <v>3.44</v>
      </c>
      <c r="CR42" s="117">
        <f t="array" ref="CR42">MIN(IF(INDEX(properties!A$1:CB$87,'Fórmula'!B42,30)=0,10^6,INDEX(properties!A$1:CB$87,'Fórmula'!B42,30)),IF(INDEX(properties!A$1:CB$87,'Fórmula'!D42,30)=0,10^6,INDEX(properties!A$1:CB$87,'Fórmula'!D42,30)),IF(INDEX(properties!A$1:CB$87,'Fórmula'!F42,30)=0,10^6,INDEX(properties!A$1:CB$87,'Fórmula'!F42,30)),IF(INDEX(properties!A$1:CB$87,'Fórmula'!H42,30)=0,10^6,INDEX(properties!A$1:CB$87,'Fórmula'!H42,30)),IF(INDEX(properties!A$1:CB$87,'Fórmula'!J42,30)=0,10^6,INDEX(properties!A$1:CB$87,'Fórmula'!J42,30)))</f>
        <v>0.89</v>
      </c>
      <c r="CS42" s="117">
        <f t="shared" si="16"/>
        <v>2.55</v>
      </c>
      <c r="CT42" s="118">
        <f t="array" ref="CT42">(('Fórmula'!C42)/('Fórmula'!C42+'Fórmula'!E42+'Fórmula'!G42+'Fórmula'!I42+'Fórmula'!K42))*(INDEX(properties!A$1:CB$87,'Fórmula'!B42,31))+(('Fórmula'!E42)/('Fórmula'!C42+'Fórmula'!E42+'Fórmula'!G42+'Fórmula'!I42+'Fórmula'!K42))*(INDEX(properties!A$1:CB$87,'Fórmula'!D42,31))+(('Fórmula'!G42)/('Fórmula'!C42+'Fórmula'!E42+'Fórmula'!G42+'Fórmula'!I42+'Fórmula'!K42))*(INDEX(properties!A$1:CB$87,'Fórmula'!F42,31))+(('Fórmula'!I42)/('Fórmula'!C42+'Fórmula'!E42+'Fórmula'!G42+'Fórmula'!I42+'Fórmula'!K42))*(INDEX(properties!A$1:CB$87,'Fórmula'!H42,31))+(('Fórmula'!K42)/('Fórmula'!C42+'Fórmula'!E42+'Fórmula'!G42+'Fórmula'!I42+'Fórmula'!K42))*(INDEX(properties!A$1:CB$87,'Fórmula'!J42,31))</f>
        <v>2.541904762</v>
      </c>
      <c r="CU42" s="118">
        <f t="array" ref="CU42">'Fórmula'!C42*(INDEX(properties!A$1:CB$87,'Fórmula'!B42,31))+'Fórmula'!E42*(INDEX(properties!A$1:CB$87,'Fórmula'!D42,31))+'Fórmula'!G42*(INDEX(properties!A$1:CB$87,'Fórmula'!F42,31))+'Fórmula'!I42*(INDEX(properties!A$1:CB$87,'Fórmula'!H42,31))+'Fórmula'!K42*(INDEX(properties!A$1:CB$87,'Fórmula'!J42,31))</f>
        <v>53.38</v>
      </c>
      <c r="CV42" s="118">
        <f t="array" ref="CV42">VARP(IF(INDEX(properties!A$1:CB$87,'Fórmula'!B42,31)&lt;&gt;"",INDEX(properties!A$1:CB$87,'Fórmula'!B42,31)),IF(INDEX(properties!A$1:CB$87,'Fórmula'!D42,31)&lt;&gt;"",INDEX(properties!A$1:CB$87,'Fórmula'!D42,31)),IF(INDEX(properties!A$1:CB$87,'Fórmula'!F42,31)&lt;&gt;"",INDEX(properties!A$1:CB$87,'Fórmula'!F42,31)),IF(INDEX(properties!A$1:CB$87,'Fórmula'!H42,31)&lt;&gt;"",INDEX(properties!A$1:CB$87,'Fórmula'!H42,31)),IF(INDEX(properties!A$1:CB$87,'Fórmula'!J42,31)&lt;&gt;"",INDEX(properties!A$1:CB$87,'Fórmula'!J42,31)))</f>
        <v>1.18336</v>
      </c>
      <c r="CW42" s="118">
        <f t="array" ref="CW42">MAX(INDEX(properties!A$1:CB$87,'Fórmula'!B42,31),INDEX(properties!A$1:CB$87,'Fórmula'!D42,31),INDEX(properties!A$1:CB$87,'Fórmula'!F42,31),INDEX(properties!A$1:CB$87,'Fórmula'!H42,31),INDEX(properties!A$1:CB$87,'Fórmula'!J42,31))</f>
        <v>3.32</v>
      </c>
      <c r="CX42" s="118">
        <f t="array" ref="CX42">MIN(IF(INDEX(properties!A$1:CB$87,'Fórmula'!B42,31)=0,10^6,INDEX(properties!A$1:CB$87,'Fórmula'!B42,31)),IF(INDEX(properties!A$1:CB$87,'Fórmula'!D42,31)=0,10^6,INDEX(properties!A$1:CB$87,'Fórmula'!D42,31)),IF(INDEX(properties!A$1:CB$87,'Fórmula'!F42,31)=0,10^6,INDEX(properties!A$1:CB$87,'Fórmula'!F42,31)),IF(INDEX(properties!A$1:CB$87,'Fórmula'!H42,31)=0,10^6,INDEX(properties!A$1:CB$87,'Fórmula'!H42,31)),IF(INDEX(properties!A$1:CB$87,'Fórmula'!J42,31)=0,10^6,INDEX(properties!A$1:CB$87,'Fórmula'!J42,31)))</f>
        <v>1.08</v>
      </c>
      <c r="CY42" s="118">
        <f t="shared" si="17"/>
        <v>2.24</v>
      </c>
      <c r="CZ42" s="119">
        <f t="array" ref="CZ42">(('Fórmula'!C42)/('Fórmula'!C42+'Fórmula'!E42+'Fórmula'!G42+'Fórmula'!I42+'Fórmula'!K42))*(INDEX(properties!A$1:CB$87,'Fórmula'!B42,32))+(('Fórmula'!E42)/('Fórmula'!C42+'Fórmula'!E42+'Fórmula'!G42+'Fórmula'!I42+'Fórmula'!K42))*(INDEX(properties!A$1:CB$87,'Fórmula'!D42,32))+(('Fórmula'!G42)/('Fórmula'!C42+'Fórmula'!E42+'Fórmula'!G42+'Fórmula'!I42+'Fórmula'!K42))*(INDEX(properties!A$1:CB$87,'Fórmula'!F42,32))+(('Fórmula'!I42)/('Fórmula'!C42+'Fórmula'!E42+'Fórmula'!G42+'Fórmula'!I42+'Fórmula'!K42))*(INDEX(properties!A$1:CB$87,'Fórmula'!H42,32))+(('Fórmula'!K42)/('Fórmula'!C42+'Fórmula'!E42+'Fórmula'!G42+'Fórmula'!I42+'Fórmula'!K42))*(INDEX(properties!A$1:CB$87,'Fórmula'!J42,32))</f>
        <v>5.763809524</v>
      </c>
      <c r="DA42" s="119">
        <f t="array" ref="DA42">'Fórmula'!C42*(INDEX(properties!A$1:CB$87,'Fórmula'!B42,32))+'Fórmula'!E42*(INDEX(properties!A$1:CB$87,'Fórmula'!D42,32))+'Fórmula'!G42*(INDEX(properties!A$1:CB$87,'Fórmula'!F42,32))+'Fórmula'!I42*(INDEX(properties!A$1:CB$87,'Fórmula'!H42,32))+'Fórmula'!K42*(INDEX(properties!A$1:CB$87,'Fórmula'!J42,32))</f>
        <v>121.04</v>
      </c>
      <c r="DB42" s="119">
        <f t="array" ref="DB42">VARP(IF(INDEX(properties!A$1:CB$87,'Fórmula'!B42,32)&lt;&gt;"",INDEX(properties!A$1:CB$87,'Fórmula'!B42,32)),IF(INDEX(properties!A$1:CB$87,'Fórmula'!D42,32)&lt;&gt;"",INDEX(properties!A$1:CB$87,'Fórmula'!D42,32)),IF(INDEX(properties!A$1:CB$87,'Fórmula'!F42,32)&lt;&gt;"",INDEX(properties!A$1:CB$87,'Fórmula'!F42,32)),IF(INDEX(properties!A$1:CB$87,'Fórmula'!H42,32)&lt;&gt;"",INDEX(properties!A$1:CB$87,'Fórmula'!H42,32)),IF(INDEX(properties!A$1:CB$87,'Fórmula'!J42,32)&lt;&gt;"",INDEX(properties!A$1:CB$87,'Fórmula'!J42,32)))</f>
        <v>6.111984</v>
      </c>
      <c r="DC42" s="119">
        <f t="array" ref="DC42">MAX(INDEX(properties!A$1:CB$87,'Fórmula'!B42,32),INDEX(properties!A$1:CB$87,'Fórmula'!D42,32),INDEX(properties!A$1:CB$87,'Fórmula'!F42,32),INDEX(properties!A$1:CB$87,'Fórmula'!H42,32),INDEX(properties!A$1:CB$87,'Fórmula'!J42,32))</f>
        <v>7.54</v>
      </c>
      <c r="DD42" s="119">
        <f t="array" ref="DD42">MIN(IF(INDEX(properties!A$1:CB$87,'Fórmula'!B42,32)=0,10^6,INDEX(properties!A$1:CB$87,'Fórmula'!B42,32)),IF(INDEX(properties!A$1:CB$87,'Fórmula'!D42,32)=0,10^6,INDEX(properties!A$1:CB$87,'Fórmula'!D42,32)),IF(INDEX(properties!A$1:CB$87,'Fórmula'!F42,32)=0,10^6,INDEX(properties!A$1:CB$87,'Fórmula'!F42,32)),IF(INDEX(properties!A$1:CB$87,'Fórmula'!H42,32)=0,10^6,INDEX(properties!A$1:CB$87,'Fórmula'!H42,32)),IF(INDEX(properties!A$1:CB$87,'Fórmula'!J42,32)=0,10^6,INDEX(properties!A$1:CB$87,'Fórmula'!J42,32)))</f>
        <v>2.4</v>
      </c>
      <c r="DE42" s="119">
        <f t="shared" si="18"/>
        <v>5.14</v>
      </c>
      <c r="DF42" s="104">
        <f t="array" ref="DF42">(('Fórmula'!C42)/('Fórmula'!C42+'Fórmula'!E42+'Fórmula'!G42+'Fórmula'!I42+'Fórmula'!K42))*(INDEX(properties!A$1:CB$87,'Fórmula'!B42,34))+(('Fórmula'!E42)/('Fórmula'!C42+'Fórmula'!E42+'Fórmula'!G42+'Fórmula'!I42+'Fórmula'!K42))*(INDEX(properties!A$1:CB$87,'Fórmula'!D42,34))+(('Fórmula'!G42)/('Fórmula'!C42+'Fórmula'!E42+'Fórmula'!G42+'Fórmula'!I42+'Fórmula'!K42))*(INDEX(properties!A$1:CB$87,'Fórmula'!F42,34))+(('Fórmula'!I42)/('Fórmula'!C42+'Fórmula'!E42+'Fórmula'!G42+'Fórmula'!I42+'Fórmula'!K42))*(INDEX(properties!A$1:CB$87,'Fórmula'!H42,34))+(('Fórmula'!K42)/('Fórmula'!C42+'Fórmula'!E42+'Fórmula'!G42+'Fórmula'!I42+'Fórmula'!K42))*(INDEX(properties!A$1:CB$87,'Fórmula'!J42,34))</f>
        <v>2.683190476</v>
      </c>
      <c r="DG42" s="104">
        <f t="array" ref="DG42">'Fórmula'!C42*(INDEX(properties!A$1:CB$87,'Fórmula'!B42,34))+'Fórmula'!E42*(INDEX(properties!A$1:CB$87,'Fórmula'!D42,34))+'Fórmula'!G42*(INDEX(properties!A$1:CB$87,'Fórmula'!F42,34))+'Fórmula'!I42*(INDEX(properties!A$1:CB$87,'Fórmula'!H42,34))+'Fórmula'!K42*(INDEX(properties!A$1:CB$87,'Fórmula'!J42,34))</f>
        <v>56.347</v>
      </c>
      <c r="DH42" s="104">
        <f t="array" ref="DH42">VARP(IF(INDEX(properties!A$1:CB$87,'Fórmula'!B42,34)&lt;&gt;"",INDEX(properties!A$1:CB$87,'Fórmula'!B42,34)),IF(INDEX(properties!A$1:CB$87,'Fórmula'!D42,34)&lt;&gt;"",INDEX(properties!A$1:CB$87,'Fórmula'!D42,34)),IF(INDEX(properties!A$1:CB$87,'Fórmula'!F42,34)&lt;&gt;"",INDEX(properties!A$1:CB$87,'Fórmula'!F42,34)),IF(INDEX(properties!A$1:CB$87,'Fórmula'!H42,34)&lt;&gt;"",INDEX(properties!A$1:CB$87,'Fórmula'!H42,34)),IF(INDEX(properties!A$1:CB$87,'Fórmula'!J42,34)&lt;&gt;"",INDEX(properties!A$1:CB$87,'Fórmula'!J42,34)))</f>
        <v>1.51069544</v>
      </c>
      <c r="DI42" s="104">
        <f t="array" ref="DI42">MAX(INDEX(properties!A$1:CB$87,'Fórmula'!B42,34),INDEX(properties!A$1:CB$87,'Fórmula'!D42,34),INDEX(properties!A$1:CB$87,'Fórmula'!F42,34),INDEX(properties!A$1:CB$87,'Fórmula'!H42,34),INDEX(properties!A$1:CB$87,'Fórmula'!J42,34))</f>
        <v>3.61</v>
      </c>
      <c r="DJ42" s="104">
        <f t="array" ref="DJ42">MIN(IF(INDEX(properties!A$1:CB$87,'Fórmula'!B42,34)=0,10^6,INDEX(properties!A$1:CB$87,'Fórmula'!B42,34)),IF(INDEX(properties!A$1:CB$87,'Fórmula'!D42,34)=0,10^6,INDEX(properties!A$1:CB$87,'Fórmula'!D42,34)),IF(INDEX(properties!A$1:CB$87,'Fórmula'!F42,34)=0,10^6,INDEX(properties!A$1:CB$87,'Fórmula'!F42,34)),IF(INDEX(properties!A$1:CB$87,'Fórmula'!H42,34)=0,10^6,INDEX(properties!A$1:CB$87,'Fórmula'!H42,34)),IF(INDEX(properties!A$1:CB$87,'Fórmula'!J42,34)=0,10^6,INDEX(properties!A$1:CB$87,'Fórmula'!J42,34)))</f>
        <v>0.881</v>
      </c>
      <c r="DK42" s="104">
        <f t="shared" si="19"/>
        <v>2.729</v>
      </c>
      <c r="DL42" s="105">
        <f t="array" ref="DL42">(('Fórmula'!C42)/('Fórmula'!C42+'Fórmula'!E42+'Fórmula'!G42+'Fórmula'!I42+'Fórmula'!K42))*(INDEX(properties!A$1:CB$87,'Fórmula'!B42,37))+(('Fórmula'!E42)/('Fórmula'!C42+'Fórmula'!E42+'Fórmula'!G42+'Fórmula'!I42+'Fórmula'!K42))*(INDEX(properties!A$1:CB$87,'Fórmula'!D42,37))+(('Fórmula'!G42)/('Fórmula'!C42+'Fórmula'!E42+'Fórmula'!G42+'Fórmula'!I42+'Fórmula'!K42))*(INDEX(properties!A$1:CB$87,'Fórmula'!F42,37))+(('Fórmula'!I42)/('Fórmula'!C42+'Fórmula'!E42+'Fórmula'!G42+'Fórmula'!I42+'Fórmula'!K42))*(INDEX(properties!A$1:CB$87,'Fórmula'!H42,37))+(('Fórmula'!K42)/('Fórmula'!C42+'Fórmula'!E42+'Fórmula'!G42+'Fórmula'!I42+'Fórmula'!K42))*(INDEX(properties!A$1:CB$87,'Fórmula'!J42,37))</f>
        <v>2.576190476</v>
      </c>
      <c r="DM42" s="105">
        <f t="array" ref="DM42">'Fórmula'!C42*(INDEX(properties!A$1:CB$87,'Fórmula'!B42,37))+'Fórmula'!E42*(INDEX(properties!A$1:CB$87,'Fórmula'!D42,37))+'Fórmula'!G42*(INDEX(properties!A$1:CB$87,'Fórmula'!F42,37))+'Fórmula'!I42*(INDEX(properties!A$1:CB$87,'Fórmula'!H42,37))+'Fórmula'!K42*(INDEX(properties!A$1:CB$87,'Fórmula'!J42,37))</f>
        <v>54.1</v>
      </c>
      <c r="DN42" s="105">
        <f t="array" ref="DN42">VARP(IF(INDEX(properties!A$1:CB$87,'Fórmula'!B42,37)&lt;&gt;"",INDEX(properties!A$1:CB$87,'Fórmula'!B42,37)),IF(INDEX(properties!A$1:CB$87,'Fórmula'!D42,37)&lt;&gt;"",INDEX(properties!A$1:CB$87,'Fórmula'!D42,37)),IF(INDEX(properties!A$1:CB$87,'Fórmula'!F42,37)&lt;&gt;"",INDEX(properties!A$1:CB$87,'Fórmula'!F42,37)),IF(INDEX(properties!A$1:CB$87,'Fórmula'!H42,37)&lt;&gt;"",INDEX(properties!A$1:CB$87,'Fórmula'!H42,37)),IF(INDEX(properties!A$1:CB$87,'Fórmula'!J42,37)&lt;&gt;"",INDEX(properties!A$1:CB$87,'Fórmula'!J42,37)))</f>
        <v>1.3324</v>
      </c>
      <c r="DO42" s="105">
        <f t="array" ref="DO42">MAX(INDEX(properties!A$1:CB$87,'Fórmula'!B42,37),INDEX(properties!A$1:CB$87,'Fórmula'!D42,37),INDEX(properties!A$1:CB$87,'Fórmula'!F42,37),INDEX(properties!A$1:CB$87,'Fórmula'!H42,37),INDEX(properties!A$1:CB$87,'Fórmula'!J42,37))</f>
        <v>3.45</v>
      </c>
      <c r="DP42" s="105">
        <f t="array" ref="DP42">MIN(IF(INDEX(properties!A$1:CB$87,'Fórmula'!B42,37)=0,10^6,INDEX(properties!A$1:CB$87,'Fórmula'!B42,37)),IF(INDEX(properties!A$1:CB$87,'Fórmula'!D42,37)=0,10^6,INDEX(properties!A$1:CB$87,'Fórmula'!D42,37)),IF(INDEX(properties!A$1:CB$87,'Fórmula'!F42,37)=0,10^6,INDEX(properties!A$1:CB$87,'Fórmula'!F42,37)),IF(INDEX(properties!A$1:CB$87,'Fórmula'!H42,37)=0,10^6,INDEX(properties!A$1:CB$87,'Fórmula'!H42,37)),IF(INDEX(properties!A$1:CB$87,'Fórmula'!J42,37)=0,10^6,INDEX(properties!A$1:CB$87,'Fórmula'!J42,37)))</f>
        <v>0.9</v>
      </c>
      <c r="DQ42" s="105">
        <f t="shared" si="20"/>
        <v>2.55</v>
      </c>
      <c r="DR42" s="109">
        <f t="array" ref="DR42">(('Fórmula'!C42)/('Fórmula'!C42+'Fórmula'!E42+'Fórmula'!G42+'Fórmula'!I42+'Fórmula'!K42))*(INDEX(properties!A$1:CB$87,'Fórmula'!B42,39))+(('Fórmula'!E42)/('Fórmula'!C42+'Fórmula'!E42+'Fórmula'!G42+'Fórmula'!I42+'Fórmula'!K42))*(INDEX(properties!A$1:CB$87,'Fórmula'!D42,39))+(('Fórmula'!G42)/('Fórmula'!C42+'Fórmula'!E42+'Fórmula'!G42+'Fórmula'!I42+'Fórmula'!K42))*(INDEX(properties!A$1:CB$87,'Fórmula'!F42,39))+(('Fórmula'!I42)/('Fórmula'!C42+'Fórmula'!E42+'Fórmula'!G42+'Fórmula'!I42+'Fórmula'!K42))*(INDEX(properties!A$1:CB$87,'Fórmula'!H42,39))+(('Fórmula'!K42)/('Fórmula'!C42+'Fórmula'!E42+'Fórmula'!G42+'Fórmula'!I42+'Fórmula'!K42))*(INDEX(properties!A$1:CB$87,'Fórmula'!J42,39))</f>
        <v>0.9871428571</v>
      </c>
      <c r="DS42" s="109">
        <f t="array" ref="DS42">'Fórmula'!C42*(INDEX(properties!A$1:CB$87,'Fórmula'!B42,39))+'Fórmula'!E42*(INDEX(properties!A$1:CB$87,'Fórmula'!D42,39))+'Fórmula'!G42*(INDEX(properties!A$1:CB$87,'Fórmula'!F42,39))+'Fórmula'!I42*(INDEX(properties!A$1:CB$87,'Fórmula'!H42,39))+'Fórmula'!K42*(INDEX(properties!A$1:CB$87,'Fórmula'!J42,39))</f>
        <v>20.73</v>
      </c>
      <c r="DT42" s="109">
        <f t="array" ref="DT42">VARP(IF(INDEX(properties!A$1:CB$87,'Fórmula'!B42,39)&lt;&gt;"",INDEX(properties!A$1:CB$87,'Fórmula'!B42,39)),IF(INDEX(properties!A$1:CB$87,'Fórmula'!D42,39)&lt;&gt;"",INDEX(properties!A$1:CB$87,'Fórmula'!D42,39)),IF(INDEX(properties!A$1:CB$87,'Fórmula'!F42,39)&lt;&gt;"",INDEX(properties!A$1:CB$87,'Fórmula'!F42,39)),IF(INDEX(properties!A$1:CB$87,'Fórmula'!H42,39)&lt;&gt;"",INDEX(properties!A$1:CB$87,'Fórmula'!H42,39)),IF(INDEX(properties!A$1:CB$87,'Fórmula'!J42,39)&lt;&gt;"",INDEX(properties!A$1:CB$87,'Fórmula'!J42,39)))</f>
        <v>0.878584</v>
      </c>
      <c r="DU42" s="120">
        <f t="array" ref="DU42">MAX(INDEX(properties!A$1:CB$87,'Fórmula'!B42,39),INDEX(properties!A$1:CB$87,'Fórmula'!D42,39),INDEX(properties!A$1:CB$87,'Fórmula'!F42,39),INDEX(properties!A$1:CB$87,'Fórmula'!H42,39),INDEX(properties!A$1:CB$87,'Fórmula'!J42,39))</f>
        <v>2.53</v>
      </c>
      <c r="DV42" s="120">
        <f t="array" ref="DV42">MIN(IF(INDEX(properties!A$1:CB$87,'Fórmula'!B42,39)=0,10^6,INDEX(properties!A$1:CB$87,'Fórmula'!B42,39)),IF(INDEX(properties!A$1:CB$87,'Fórmula'!D42,39)=0,10^6,INDEX(properties!A$1:CB$87,'Fórmula'!D42,39)),IF(INDEX(properties!A$1:CB$87,'Fórmula'!F42,39)=0,10^6,INDEX(properties!A$1:CB$87,'Fórmula'!F42,39)),IF(INDEX(properties!A$1:CB$87,'Fórmula'!H42,39)=0,10^6,INDEX(properties!A$1:CB$87,'Fórmula'!H42,39)),IF(INDEX(properties!A$1:CB$87,'Fórmula'!J42,39)=0,10^6,INDEX(properties!A$1:CB$87,'Fórmula'!J42,39)))</f>
        <v>0.48</v>
      </c>
      <c r="DW42" s="109">
        <f t="shared" si="21"/>
        <v>2.05</v>
      </c>
      <c r="DX42" s="110">
        <f t="array" ref="DX42">(('Fórmula'!C42)/('Fórmula'!C42+'Fórmula'!E42+'Fórmula'!G42+'Fórmula'!I42+'Fórmula'!K42))*(INDEX(properties!A$1:CB$87,'Fórmula'!B42,40))+(('Fórmula'!E42)/('Fórmula'!C42+'Fórmula'!E42+'Fórmula'!G42+'Fórmula'!I42+'Fórmula'!K42))*(INDEX(properties!A$1:CB$87,'Fórmula'!D42,40))+(('Fórmula'!G42)/('Fórmula'!C42+'Fórmula'!E42+'Fórmula'!G42+'Fórmula'!I42+'Fórmula'!K42))*(INDEX(properties!A$1:CB$87,'Fórmula'!F42,40))+(('Fórmula'!I42)/('Fórmula'!C42+'Fórmula'!E42+'Fórmula'!G42+'Fórmula'!I42+'Fórmula'!K42))*(INDEX(properties!A$1:CB$87,'Fórmula'!H42,40))+(('Fórmula'!K42)/('Fórmula'!C42+'Fórmula'!E42+'Fórmula'!G42+'Fórmula'!I42+'Fórmula'!K42))*(INDEX(properties!A$1:CB$87,'Fórmula'!J42,40))</f>
        <v>1.017142857</v>
      </c>
      <c r="DY42" s="110">
        <f t="array" ref="DY42">'Fórmula'!C42*(INDEX(properties!A$1:CB$87,'Fórmula'!B42,40))+'Fórmula'!E42*(INDEX(properties!A$1:CB$87,'Fórmula'!D42,40))+'Fórmula'!G42*(INDEX(properties!A$1:CB$87,'Fórmula'!F42,40))+'Fórmula'!I42*(INDEX(properties!A$1:CB$87,'Fórmula'!H42,40))+'Fórmula'!K42*(INDEX(properties!A$1:CB$87,'Fórmula'!J42,40))</f>
        <v>21.36</v>
      </c>
      <c r="DZ42" s="110">
        <f t="array" ref="DZ42">VARP(IF(INDEX(properties!A$1:CB$87,'Fórmula'!B42,40)&lt;&gt;"",INDEX(properties!A$1:CB$87,'Fórmula'!B42,40)),IF(INDEX(properties!A$1:CB$87,'Fórmula'!D42,40)&lt;&gt;"",INDEX(properties!A$1:CB$87,'Fórmula'!D42,40)),IF(INDEX(properties!A$1:CB$87,'Fórmula'!F42,40)&lt;&gt;"",INDEX(properties!A$1:CB$87,'Fórmula'!F42,40)),IF(INDEX(properties!A$1:CB$87,'Fórmula'!H42,40)&lt;&gt;"",INDEX(properties!A$1:CB$87,'Fórmula'!H42,40)),IF(INDEX(properties!A$1:CB$87,'Fórmula'!J42,40)&lt;&gt;"",INDEX(properties!A$1:CB$87,'Fórmula'!J42,40)))</f>
        <v>0.506424</v>
      </c>
      <c r="EA42" s="121">
        <f t="array" ref="EA42">MAX(INDEX(properties!A$1:CB$87,'Fórmula'!B42,40),INDEX(properties!A$1:CB$87,'Fórmula'!D42,40),INDEX(properties!A$1:CB$87,'Fórmula'!F42,40),INDEX(properties!A$1:CB$87,'Fórmula'!H42,40),INDEX(properties!A$1:CB$87,'Fórmula'!J42,40))</f>
        <v>1.98</v>
      </c>
      <c r="EB42" s="121">
        <f t="array" ref="EB42">MIN(IF(INDEX(properties!A$1:CB$87,'Fórmula'!B42,40)=0,10^6,INDEX(properties!A$1:CB$87,'Fórmula'!B42,40)),IF(INDEX(properties!A$1:CB$87,'Fórmula'!D42,40)=0,10^6,INDEX(properties!A$1:CB$87,'Fórmula'!D42,40)),IF(INDEX(properties!A$1:CB$87,'Fórmula'!F42,40)=0,10^6,INDEX(properties!A$1:CB$87,'Fórmula'!F42,40)),IF(INDEX(properties!A$1:CB$87,'Fórmula'!H42,40)=0,10^6,INDEX(properties!A$1:CB$87,'Fórmula'!H42,40)),IF(INDEX(properties!A$1:CB$87,'Fórmula'!J42,40)=0,10^6,INDEX(properties!A$1:CB$87,'Fórmula'!J42,40)))</f>
        <v>0.73</v>
      </c>
      <c r="EC42" s="110">
        <f t="shared" si="22"/>
        <v>1.25</v>
      </c>
      <c r="ED42" s="111">
        <f t="array" ref="ED42">(('Fórmula'!C42)/('Fórmula'!C42+'Fórmula'!E42+'Fórmula'!G42+'Fórmula'!I42+'Fórmula'!K42))*(INDEX(properties!A$1:CB$87,'Fórmula'!B42,41))+(('Fórmula'!E42)/('Fórmula'!C42+'Fórmula'!E42+'Fórmula'!G42+'Fórmula'!I42+'Fórmula'!K42))*(INDEX(properties!A$1:CB$87,'Fórmula'!D42,41))+(('Fórmula'!G42)/('Fórmula'!C42+'Fórmula'!E42+'Fórmula'!G42+'Fórmula'!I42+'Fórmula'!K42))*(INDEX(properties!A$1:CB$87,'Fórmula'!F42,41))+(('Fórmula'!I42)/('Fórmula'!C42+'Fórmula'!E42+'Fórmula'!G42+'Fórmula'!I42+'Fórmula'!K42))*(INDEX(properties!A$1:CB$87,'Fórmula'!H42,41))+(('Fórmula'!K42)/('Fórmula'!C42+'Fórmula'!E42+'Fórmula'!G42+'Fórmula'!I42+'Fórmula'!K42))*(INDEX(properties!A$1:CB$87,'Fórmula'!J42,41))</f>
        <v>1.122380952</v>
      </c>
      <c r="EE42" s="111">
        <f t="array" ref="EE42">'Fórmula'!C42*(INDEX(properties!A$1:CB$87,'Fórmula'!B42,41))+'Fórmula'!E42*(INDEX(properties!A$1:CB$87,'Fórmula'!D42,41))+'Fórmula'!G42*(INDEX(properties!A$1:CB$87,'Fórmula'!F42,41))+'Fórmula'!I42*(INDEX(properties!A$1:CB$87,'Fórmula'!H42,41))+'Fórmula'!K42*(INDEX(properties!A$1:CB$87,'Fórmula'!J42,41))</f>
        <v>23.57</v>
      </c>
      <c r="EF42" s="111">
        <f t="array" ref="EF42">VARP(IF(INDEX(properties!A$1:CB$87,'Fórmula'!B42,41)&lt;&gt;"",INDEX(properties!A$1:CB$87,'Fórmula'!B42,41)),IF(INDEX(properties!A$1:CB$87,'Fórmula'!D42,41)&lt;&gt;"",INDEX(properties!A$1:CB$87,'Fórmula'!D42,41)),IF(INDEX(properties!A$1:CB$87,'Fórmula'!F42,41)&lt;&gt;"",INDEX(properties!A$1:CB$87,'Fórmula'!F42,41)),IF(INDEX(properties!A$1:CB$87,'Fórmula'!H42,41)&lt;&gt;"",INDEX(properties!A$1:CB$87,'Fórmula'!H42,41)),IF(INDEX(properties!A$1:CB$87,'Fórmula'!J42,41)&lt;&gt;"",INDEX(properties!A$1:CB$87,'Fórmula'!J42,41)))</f>
        <v>0.318984</v>
      </c>
      <c r="EG42" s="122">
        <f t="array" ref="EG42">MAX(INDEX(properties!A$1:CB$87,'Fórmula'!B42,41),INDEX(properties!A$1:CB$87,'Fórmula'!D42,41),INDEX(properties!A$1:CB$87,'Fórmula'!F42,41),INDEX(properties!A$1:CB$87,'Fórmula'!H42,41),INDEX(properties!A$1:CB$87,'Fórmula'!J42,41))</f>
        <v>1.49</v>
      </c>
      <c r="EH42" s="122">
        <f t="array" ref="EH42">MIN(IF(INDEX(properties!A$1:CB$87,'Fórmula'!B42,41)=0,10^6,INDEX(properties!A$1:CB$87,'Fórmula'!B42,41)),IF(INDEX(properties!A$1:CB$87,'Fórmula'!D42,41)=0,10^6,INDEX(properties!A$1:CB$87,'Fórmula'!D42,41)),IF(INDEX(properties!A$1:CB$87,'Fórmula'!F42,41)=0,10^6,INDEX(properties!A$1:CB$87,'Fórmula'!F42,41)),IF(INDEX(properties!A$1:CB$87,'Fórmula'!H42,41)=0,10^6,INDEX(properties!A$1:CB$87,'Fórmula'!H42,41)),IF(INDEX(properties!A$1:CB$87,'Fórmula'!J42,41)=0,10^6,INDEX(properties!A$1:CB$87,'Fórmula'!J42,41)))</f>
        <v>0.41</v>
      </c>
      <c r="EI42" s="111">
        <f t="shared" si="23"/>
        <v>1.08</v>
      </c>
      <c r="EJ42" s="112">
        <f t="array" ref="EJ42">(('Fórmula'!C42)/('Fórmula'!C42+'Fórmula'!E42+'Fórmula'!G42+'Fórmula'!I42+'Fórmula'!K42))*(INDEX(properties!A$1:CB$87,'Fórmula'!B42,45))+(('Fórmula'!E42)/('Fórmula'!C42+'Fórmula'!E42+'Fórmula'!G42+'Fórmula'!I42+'Fórmula'!K42))*(INDEX(properties!A$1:CB$87,'Fórmula'!D42,45))+(('Fórmula'!G42)/('Fórmula'!C42+'Fórmula'!E42+'Fórmula'!G42+'Fórmula'!I42+'Fórmula'!K42))*(INDEX(properties!A$1:CB$87,'Fórmula'!F42,45))+(('Fórmula'!I42)/('Fórmula'!C42+'Fórmula'!E42+'Fórmula'!G42+'Fórmula'!I42+'Fórmula'!K42))*(INDEX(properties!A$1:CB$87,'Fórmula'!H42,45))+(('Fórmula'!K42)/('Fórmula'!C42+'Fórmula'!E42+'Fórmula'!G42+'Fórmula'!I42+'Fórmula'!K42))*(INDEX(properties!A$1:CB$87,'Fórmula'!J42,45))</f>
        <v>1.2</v>
      </c>
      <c r="EK42" s="112">
        <f t="array" ref="EK42">'Fórmula'!C42*(INDEX(properties!A$1:CB$87,'Fórmula'!B42,45))+'Fórmula'!E42*(INDEX(properties!A$1:CB$87,'Fórmula'!D42,45))+'Fórmula'!G42*(INDEX(properties!A$1:CB$87,'Fórmula'!F42,45))+'Fórmula'!I42*(INDEX(properties!A$1:CB$87,'Fórmula'!H42,45))+'Fórmula'!K42*(INDEX(properties!A$1:CB$87,'Fórmula'!J42,45))</f>
        <v>25.2</v>
      </c>
      <c r="EL42" s="112">
        <f t="array" ref="EL42">VARP(IF(INDEX(properties!A$1:CB$87,'Fórmula'!B42,45)&lt;&gt;"",INDEX(properties!A$1:CB$87,'Fórmula'!B42,45)),IF(INDEX(properties!A$1:CB$87,'Fórmula'!D42,45)&lt;&gt;"",INDEX(properties!A$1:CB$87,'Fórmula'!D42,45)),IF(INDEX(properties!A$1:CB$87,'Fórmula'!F42,45)&lt;&gt;"",INDEX(properties!A$1:CB$87,'Fórmula'!F42,45)),IF(INDEX(properties!A$1:CB$87,'Fórmula'!H42,45)&lt;&gt;"",INDEX(properties!A$1:CB$87,'Fórmula'!H42,45)),IF(INDEX(properties!A$1:CB$87,'Fórmula'!J42,45)&lt;&gt;"",INDEX(properties!A$1:CB$87,'Fórmula'!J42,45)))</f>
        <v>1.97896</v>
      </c>
      <c r="EM42" s="123">
        <f t="array" ref="EM42">MAX(INDEX(properties!A$1:CB$87,'Fórmula'!B42,45),INDEX(properties!A$1:CB$87,'Fórmula'!D42,45),INDEX(properties!A$1:CB$87,'Fórmula'!F42,45),INDEX(properties!A$1:CB$87,'Fórmula'!H42,45),INDEX(properties!A$1:CB$87,'Fórmula'!J42,45))</f>
        <v>3.4</v>
      </c>
      <c r="EN42" s="123">
        <f t="array" ref="EN42">MIN(IF(INDEX(properties!A$1:CB$87,'Fórmula'!B42,45)=0,10^6,INDEX(properties!A$1:CB$87,'Fórmula'!B42,45)),IF(INDEX(properties!A$1:CB$87,'Fórmula'!D42,45)=0,10^6,INDEX(properties!A$1:CB$87,'Fórmula'!D42,45)),IF(INDEX(properties!A$1:CB$87,'Fórmula'!F42,45)=0,10^6,INDEX(properties!A$1:CB$87,'Fórmula'!F42,45)),IF(INDEX(properties!A$1:CB$87,'Fórmula'!H42,45)=0,10^6,INDEX(properties!A$1:CB$87,'Fórmula'!H42,45)),IF(INDEX(properties!A$1:CB$87,'Fórmula'!J42,45)=0,10^6,INDEX(properties!A$1:CB$87,'Fórmula'!J42,45)))</f>
        <v>0.47</v>
      </c>
      <c r="EO42" s="112">
        <f t="shared" si="24"/>
        <v>2.93</v>
      </c>
      <c r="EP42" s="113">
        <f t="array" ref="EP42">(('Fórmula'!C42)/('Fórmula'!C42+'Fórmula'!E42+'Fórmula'!G42+'Fórmula'!I42+'Fórmula'!K42))*(INDEX(properties!A$1:CB$87,'Fórmula'!B42,46))+(('Fórmula'!E42)/('Fórmula'!C42+'Fórmula'!E42+'Fórmula'!G42+'Fórmula'!I42+'Fórmula'!K42))*(INDEX(properties!A$1:CB$87,'Fórmula'!D42,46))+(('Fórmula'!G42)/('Fórmula'!C42+'Fórmula'!E42+'Fórmula'!G42+'Fórmula'!I42+'Fórmula'!K42))*(INDEX(properties!A$1:CB$87,'Fórmula'!F42,46))+(('Fórmula'!I42)/('Fórmula'!C42+'Fórmula'!E42+'Fórmula'!G42+'Fórmula'!I42+'Fórmula'!K42))*(INDEX(properties!A$1:CB$87,'Fórmula'!H42,46))+(('Fórmula'!K42)/('Fórmula'!C42+'Fórmula'!E42+'Fórmula'!G42+'Fórmula'!I42+'Fórmula'!K42))*(INDEX(properties!A$1:CB$87,'Fórmula'!J42,46))</f>
        <v>1.081428571</v>
      </c>
      <c r="EQ42" s="113">
        <f t="array" ref="EQ42">'Fórmula'!C42*(INDEX(properties!A$1:CB$87,'Fórmula'!B42,46))+'Fórmula'!E42*(INDEX(properties!A$1:CB$87,'Fórmula'!D42,46))+'Fórmula'!G42*(INDEX(properties!A$1:CB$87,'Fórmula'!F42,46))+'Fórmula'!I42*(INDEX(properties!A$1:CB$87,'Fórmula'!H42,46))+'Fórmula'!K42*(INDEX(properties!A$1:CB$87,'Fórmula'!J42,46))</f>
        <v>22.71</v>
      </c>
      <c r="ER42" s="113">
        <f t="array" ref="ER42">VARP(IF(INDEX(properties!A$1:CB$87,'Fórmula'!B42,46)&lt;&gt;"",INDEX(properties!A$1:CB$87,'Fórmula'!B42,46)),IF(INDEX(properties!A$1:CB$87,'Fórmula'!D42,46)&lt;&gt;"",INDEX(properties!A$1:CB$87,'Fórmula'!D42,46)),IF(INDEX(properties!A$1:CB$87,'Fórmula'!F42,46)&lt;&gt;"",INDEX(properties!A$1:CB$87,'Fórmula'!F42,46)),IF(INDEX(properties!A$1:CB$87,'Fórmula'!H42,46)&lt;&gt;"",INDEX(properties!A$1:CB$87,'Fórmula'!H42,46)),IF(INDEX(properties!A$1:CB$87,'Fórmula'!J42,46)&lt;&gt;"",INDEX(properties!A$1:CB$87,'Fórmula'!J42,46)))</f>
        <v>0.376216</v>
      </c>
      <c r="ES42" s="124">
        <f t="array" ref="ES42">MAX(INDEX(properties!A$1:CB$87,'Fórmula'!B42,46),INDEX(properties!A$1:CB$87,'Fórmula'!D42,46),INDEX(properties!A$1:CB$87,'Fórmula'!F42,46),INDEX(properties!A$1:CB$87,'Fórmula'!H42,46),INDEX(properties!A$1:CB$87,'Fórmula'!J42,46))</f>
        <v>1.49</v>
      </c>
      <c r="ET42" s="124">
        <f t="array" ref="ET42">MIN(IF(INDEX(properties!A$1:CB$87,'Fórmula'!B42,46)=0,10^6,INDEX(properties!A$1:CB$87,'Fórmula'!B42,46)),IF(INDEX(properties!A$1:CB$87,'Fórmula'!D42,46)=0,10^6,INDEX(properties!A$1:CB$87,'Fórmula'!D42,46)),IF(INDEX(properties!A$1:CB$87,'Fórmula'!F42,46)=0,10^6,INDEX(properties!A$1:CB$87,'Fórmula'!F42,46)),IF(INDEX(properties!A$1:CB$87,'Fórmula'!H42,46)=0,10^6,INDEX(properties!A$1:CB$87,'Fórmula'!H42,46)),IF(INDEX(properties!A$1:CB$87,'Fórmula'!J42,46)=0,10^6,INDEX(properties!A$1:CB$87,'Fórmula'!J42,46)))</f>
        <v>0.25</v>
      </c>
      <c r="EU42" s="113">
        <f t="shared" si="25"/>
        <v>1.24</v>
      </c>
      <c r="EV42" s="114">
        <f t="array" ref="EV42">(('Fórmula'!C42)/('Fórmula'!C42+'Fórmula'!E42+'Fórmula'!G42+'Fórmula'!I42+'Fórmula'!K42))*(INDEX(properties!A$1:CB$87,'Fórmula'!B42,52))+(('Fórmula'!E42)/('Fórmula'!C42+'Fórmula'!E42+'Fórmula'!G42+'Fórmula'!I42+'Fórmula'!K42))*(INDEX(properties!A$1:CB$87,'Fórmula'!D42,52))+(('Fórmula'!G42)/('Fórmula'!C42+'Fórmula'!E42+'Fórmula'!G42+'Fórmula'!I42+'Fórmula'!K42))*(INDEX(properties!A$1:CB$87,'Fórmula'!F42,52))+(('Fórmula'!I42)/('Fórmula'!C42+'Fórmula'!E42+'Fórmula'!G42+'Fórmula'!I42+'Fórmula'!K42))*(INDEX(properties!A$1:CB$87,'Fórmula'!H42,52))+(('Fórmula'!K42)/('Fórmula'!C42+'Fórmula'!E42+'Fórmula'!G42+'Fórmula'!I42+'Fórmula'!K42))*(INDEX(properties!A$1:CB$87,'Fórmula'!J42,52))</f>
        <v>9.657904762</v>
      </c>
      <c r="EW42" s="114">
        <f t="array" ref="EW42">'Fórmula'!C42*(INDEX(properties!A$1:CB$87,'Fórmula'!B42,52))+'Fórmula'!E42*(INDEX(properties!A$1:CB$87,'Fórmula'!D42,52))+'Fórmula'!G42*(INDEX(properties!A$1:CB$87,'Fórmula'!F42,52))+'Fórmula'!I42*(INDEX(properties!A$1:CB$87,'Fórmula'!H42,52))+'Fórmula'!K42*(INDEX(properties!A$1:CB$87,'Fórmula'!J42,52))</f>
        <v>202.816</v>
      </c>
      <c r="EX42" s="114">
        <f t="array" ref="EX42">VARP(IF(INDEX(properties!A$1:CB$87,'Fórmula'!B42,52)&lt;&gt;"",INDEX(properties!A$1:CB$87,'Fórmula'!B42,52)),IF(INDEX(properties!A$1:CB$87,'Fórmula'!D42,52)&lt;&gt;"",INDEX(properties!A$1:CB$87,'Fórmula'!D42,52)),IF(INDEX(properties!A$1:CB$87,'Fórmula'!F42,52)&lt;&gt;"",INDEX(properties!A$1:CB$87,'Fórmula'!F42,52)),IF(INDEX(properties!A$1:CB$87,'Fórmula'!H42,52)&lt;&gt;"",INDEX(properties!A$1:CB$87,'Fórmula'!H42,52)),IF(INDEX(properties!A$1:CB$87,'Fórmula'!J42,52)&lt;&gt;"",INDEX(properties!A$1:CB$87,'Fórmula'!J42,52)))</f>
        <v>288.0211438</v>
      </c>
      <c r="EY42" s="114">
        <f t="array" ref="EY42">MAX(INDEX(properties!A$1:CB$87,'Fórmula'!B42,52),INDEX(properties!A$1:CB$87,'Fórmula'!D42,52),INDEX(properties!A$1:CB$87,'Fórmula'!F42,52),INDEX(properties!A$1:CB$87,'Fórmula'!H42,52),INDEX(properties!A$1:CB$87,'Fórmula'!J42,52))</f>
        <v>39.7</v>
      </c>
      <c r="EZ42" s="114">
        <f t="array" ref="EZ42">MIN(IF(INDEX(properties!A$1:CB$87,'Fórmula'!B42,52)=0,10^6,INDEX(properties!A$1:CB$87,'Fórmula'!B42,52)),IF(INDEX(properties!A$1:CB$87,'Fórmula'!D42,52)=0,10^6,INDEX(properties!A$1:CB$87,'Fórmula'!D42,52)),IF(INDEX(properties!A$1:CB$87,'Fórmula'!F42,52)=0,10^6,INDEX(properties!A$1:CB$87,'Fórmula'!F42,52)),IF(INDEX(properties!A$1:CB$87,'Fórmula'!H42,52)=0,10^6,INDEX(properties!A$1:CB$87,'Fórmula'!H42,52)),IF(INDEX(properties!A$1:CB$87,'Fórmula'!J42,52)=0,10^6,INDEX(properties!A$1:CB$87,'Fórmula'!J42,52)))</f>
        <v>0.793</v>
      </c>
      <c r="FA42" s="114">
        <f t="shared" si="26"/>
        <v>38.907</v>
      </c>
      <c r="FB42" s="115">
        <f t="array" ref="FB42">(('Fórmula'!C42)/('Fórmula'!C42+'Fórmula'!E42+'Fórmula'!G42+'Fórmula'!I42+'Fórmula'!K42))*(INDEX(properties!A$1:CB$87,'Fórmula'!B42,53))+(('Fórmula'!E42)/('Fórmula'!C42+'Fórmula'!E42+'Fórmula'!G42+'Fórmula'!I42+'Fórmula'!K42))*(INDEX(properties!A$1:CB$87,'Fórmula'!D42,53))+(('Fórmula'!G42)/('Fórmula'!C42+'Fórmula'!E42+'Fórmula'!G42+'Fórmula'!I42+'Fórmula'!K42))*(INDEX(properties!A$1:CB$87,'Fórmula'!F42,53))+(('Fórmula'!I42)/('Fórmula'!C42+'Fórmula'!E42+'Fórmula'!G42+'Fórmula'!I42+'Fórmula'!K42))*(INDEX(properties!A$1:CB$87,'Fórmula'!H42,53))+(('Fórmula'!K42)/('Fórmula'!C42+'Fórmula'!E42+'Fórmula'!G42+'Fórmula'!I42+'Fórmula'!K42))*(INDEX(properties!A$1:CB$87,'Fórmula'!J42,53))</f>
        <v>735.5404762</v>
      </c>
      <c r="FC42" s="115">
        <f t="array" ref="FC42">'Fórmula'!C42*(INDEX(properties!A$1:CB$87,'Fórmula'!B42,53))+'Fórmula'!E42*(INDEX(properties!A$1:CB$87,'Fórmula'!D42,53))+'Fórmula'!G42*(INDEX(properties!A$1:CB$87,'Fórmula'!F42,53))+'Fórmula'!I42*(INDEX(properties!A$1:CB$87,'Fórmula'!H42,53))+'Fórmula'!K42*(INDEX(properties!A$1:CB$87,'Fórmula'!J42,53))</f>
        <v>15446.35</v>
      </c>
      <c r="FD42" s="115">
        <f t="array" ref="FD42">VARP(IF(INDEX(properties!A$1:CB$87,'Fórmula'!B42,53)&lt;&gt;"",INDEX(properties!A$1:CB$87,'Fórmula'!B42,53)),IF(INDEX(properties!A$1:CB$87,'Fórmula'!D42,53)&lt;&gt;"",INDEX(properties!A$1:CB$87,'Fórmula'!D42,53)),IF(INDEX(properties!A$1:CB$87,'Fórmula'!F42,53)&lt;&gt;"",INDEX(properties!A$1:CB$87,'Fórmula'!F42,53)),IF(INDEX(properties!A$1:CB$87,'Fórmula'!H42,53)&lt;&gt;"",INDEX(properties!A$1:CB$87,'Fórmula'!H42,53)),IF(INDEX(properties!A$1:CB$87,'Fórmula'!J42,53)&lt;&gt;"",INDEX(properties!A$1:CB$87,'Fórmula'!J42,53)))</f>
        <v>745365.7764</v>
      </c>
      <c r="FE42" s="115">
        <f t="array" ref="FE42">MAX(INDEX(properties!A$1:CB$87,'Fórmula'!B42,53),INDEX(properties!A$1:CB$87,'Fórmula'!D42,53),INDEX(properties!A$1:CB$87,'Fórmula'!F42,53),INDEX(properties!A$1:CB$87,'Fórmula'!H42,53),INDEX(properties!A$1:CB$87,'Fórmula'!J42,53))</f>
        <v>2352.15</v>
      </c>
      <c r="FF42" s="115">
        <f t="array" ref="FF42">MIN(IF(INDEX(properties!A$1:CB$87,'Fórmula'!B42,53)=0,10^6,INDEX(properties!A$1:CB$87,'Fórmula'!B42,53)),IF(INDEX(properties!A$1:CB$87,'Fórmula'!D42,53)=0,10^6,INDEX(properties!A$1:CB$87,'Fórmula'!D42,53)),IF(INDEX(properties!A$1:CB$87,'Fórmula'!F42,53)=0,10^6,INDEX(properties!A$1:CB$87,'Fórmula'!F42,53)),IF(INDEX(properties!A$1:CB$87,'Fórmula'!H42,53)=0,10^6,INDEX(properties!A$1:CB$87,'Fórmula'!H42,53)),IF(INDEX(properties!A$1:CB$87,'Fórmula'!J42,53)=0,10^6,INDEX(properties!A$1:CB$87,'Fórmula'!J42,53)))</f>
        <v>54.75</v>
      </c>
      <c r="FG42" s="115">
        <f t="shared" si="27"/>
        <v>2297.4</v>
      </c>
      <c r="FH42" s="117">
        <f t="array" ref="FH42">(('Fórmula'!C42)/('Fórmula'!C42+'Fórmula'!E42+'Fórmula'!G42+'Fórmula'!I42+'Fórmula'!K42))*(INDEX(properties!A$1:CB$87,'Fórmula'!B42,54))+(('Fórmula'!E42)/('Fórmula'!C42+'Fórmula'!E42+'Fórmula'!G42+'Fórmula'!I42+'Fórmula'!K42))*(INDEX(properties!A$1:CB$87,'Fórmula'!D42,54))+(('Fórmula'!G42)/('Fórmula'!C42+'Fórmula'!E42+'Fórmula'!G42+'Fórmula'!I42+'Fórmula'!K42))*(INDEX(properties!A$1:CB$87,'Fórmula'!F42,54))+(('Fórmula'!I42)/('Fórmula'!C42+'Fórmula'!E42+'Fórmula'!G42+'Fórmula'!I42+'Fórmula'!K42))*(INDEX(properties!A$1:CB$87,'Fórmula'!H42,54))+(('Fórmula'!K42)/('Fórmula'!C42+'Fórmula'!E42+'Fórmula'!G42+'Fórmula'!I42+'Fórmula'!K42))*(INDEX(properties!A$1:CB$87,'Fórmula'!J42,54))</f>
        <v>1494.07381</v>
      </c>
      <c r="FI42" s="117">
        <f t="array" ref="FI42">'Fórmula'!C42*(INDEX(properties!A$1:CB$87,'Fórmula'!B42,54))+'Fórmula'!E42*(INDEX(properties!A$1:CB$87,'Fórmula'!D42,54))+'Fórmula'!G42*(INDEX(properties!A$1:CB$87,'Fórmula'!F42,54))+'Fórmula'!I42*(INDEX(properties!A$1:CB$87,'Fórmula'!H42,54))+'Fórmula'!K42*(INDEX(properties!A$1:CB$87,'Fórmula'!J42,54))</f>
        <v>31375.55</v>
      </c>
      <c r="FJ42" s="117">
        <f t="array" ref="FJ42">VARP(IF(INDEX(properties!A$1:CB$87,'Fórmula'!B42,54)&lt;&gt;"",INDEX(properties!A$1:CB$87,'Fórmula'!B42,54)),IF(INDEX(properties!A$1:CB$87,'Fórmula'!D42,54)&lt;&gt;"",INDEX(properties!A$1:CB$87,'Fórmula'!D42,54)),IF(INDEX(properties!A$1:CB$87,'Fórmula'!F42,54)&lt;&gt;"",INDEX(properties!A$1:CB$87,'Fórmula'!F42,54)),IF(INDEX(properties!A$1:CB$87,'Fórmula'!H42,54)&lt;&gt;"",INDEX(properties!A$1:CB$87,'Fórmula'!H42,54)),IF(INDEX(properties!A$1:CB$87,'Fórmula'!J42,54)&lt;&gt;"",INDEX(properties!A$1:CB$87,'Fórmula'!J42,54)))</f>
        <v>3162747.225</v>
      </c>
      <c r="FK42" s="117">
        <f t="array" ref="FK42">MAX(INDEX(properties!A$1:CB$87,'Fórmula'!B42,54),INDEX(properties!A$1:CB$87,'Fórmula'!D42,54),INDEX(properties!A$1:CB$87,'Fórmula'!F42,54),INDEX(properties!A$1:CB$87,'Fórmula'!H42,54),INDEX(properties!A$1:CB$87,'Fórmula'!J42,54))</f>
        <v>4275</v>
      </c>
      <c r="FL42" s="117">
        <f t="array" ref="FL42">MIN(IF(INDEX(properties!A$1:CB$87,'Fórmula'!B42,54)=0,10^6,INDEX(properties!A$1:CB$87,'Fórmula'!B42,54)),IF(INDEX(properties!A$1:CB$87,'Fórmula'!D42,54)=0,10^6,INDEX(properties!A$1:CB$87,'Fórmula'!D42,54)),IF(INDEX(properties!A$1:CB$87,'Fórmula'!F42,54)=0,10^6,INDEX(properties!A$1:CB$87,'Fórmula'!F42,54)),IF(INDEX(properties!A$1:CB$87,'Fórmula'!H42,54)=0,10^6,INDEX(properties!A$1:CB$87,'Fórmula'!H42,54)),IF(INDEX(properties!A$1:CB$87,'Fórmula'!J42,54)=0,10^6,INDEX(properties!A$1:CB$87,'Fórmula'!J42,54)))</f>
        <v>90.15</v>
      </c>
      <c r="FM42" s="117">
        <f t="shared" si="28"/>
        <v>4184.85</v>
      </c>
      <c r="FN42" s="118">
        <f t="array" ref="FN42">(('Fórmula'!C42)/('Fórmula'!C42+'Fórmula'!E42+'Fórmula'!G42+'Fórmula'!I42+'Fórmula'!K42))*(INDEX(properties!A$1:CB$87,'Fórmula'!B42,55))+(('Fórmula'!E42)/('Fórmula'!C42+'Fórmula'!E42+'Fórmula'!G42+'Fórmula'!I42+'Fórmula'!K42))*(INDEX(properties!A$1:CB$87,'Fórmula'!D42,55))+(('Fórmula'!G42)/('Fórmula'!C42+'Fórmula'!E42+'Fórmula'!G42+'Fórmula'!I42+'Fórmula'!K42))*(INDEX(properties!A$1:CB$87,'Fórmula'!F42,55))+(('Fórmula'!I42)/('Fórmula'!C42+'Fórmula'!E42+'Fórmula'!G42+'Fórmula'!I42+'Fórmula'!K42))*(INDEX(properties!A$1:CB$87,'Fórmula'!H42,55))+(('Fórmula'!K42)/('Fórmula'!C42+'Fórmula'!E42+'Fórmula'!G42+'Fórmula'!I42+'Fórmula'!K42))*(INDEX(properties!A$1:CB$87,'Fórmula'!J42,55))</f>
        <v>1.532245714</v>
      </c>
      <c r="FO42" s="118">
        <f t="array" ref="FO42">'Fórmula'!C42*(INDEX(properties!A$1:CB$87,'Fórmula'!B42,55))+'Fórmula'!E42*(INDEX(properties!A$1:CB$87,'Fórmula'!D42,54))+'Fórmula'!G42*(INDEX(properties!A$1:CB$87,'Fórmula'!F42,55))+'Fórmula'!I42*(INDEX(properties!A$1:CB$87,'Fórmula'!H42,55))+'Fórmula'!K42*(INDEX(properties!A$1:CB$87,'Fórmula'!J42,55))</f>
        <v>7474.17716</v>
      </c>
      <c r="FP42" s="118">
        <f t="array" ref="FP42">VARP(IF(INDEX(properties!A$1:CB$87,'Fórmula'!B42,55)&lt;&gt;"",INDEX(properties!A$1:CB$87,'Fórmula'!B42,55)),IF(INDEX(properties!A$1:CB$87,'Fórmula'!D42,55)&lt;&gt;"",INDEX(properties!A$1:CB$87,'Fórmula'!D42,55)),IF(INDEX(properties!A$1:CB$87,'Fórmula'!F42,55)&lt;&gt;"",INDEX(properties!A$1:CB$87,'Fórmula'!F42,55)),IF(INDEX(properties!A$1:CB$87,'Fórmula'!H42,55)&lt;&gt;"",INDEX(properties!A$1:CB$87,'Fórmula'!H42,55)),IF(INDEX(properties!A$1:CB$87,'Fórmula'!J42,55)&lt;&gt;"",INDEX(properties!A$1:CB$87,'Fórmula'!J42,55)))</f>
        <v>5.357844671</v>
      </c>
      <c r="FQ42" s="118">
        <f t="array" ref="FQ42">MAX(INDEX(properties!A$1:CB$87,'Fórmula'!B42,55),INDEX(properties!A$1:CB$87,'Fórmula'!D42,55),INDEX(properties!A$1:CB$87,'Fórmula'!F42,55),INDEX(properties!A$1:CB$87,'Fórmula'!H42,55),INDEX(properties!A$1:CB$87,'Fórmula'!J42,55))</f>
        <v>6.15</v>
      </c>
      <c r="FR42" s="118">
        <f t="array" ref="FR42">MIN(IF(INDEX(properties!A$1:CB$87,'Fórmula'!B42,55)=0,10^6,INDEX(properties!A$1:CB$87,'Fórmula'!B42,55)),IF(INDEX(properties!A$1:CB$87,'Fórmula'!D42,55)=0,10^6,INDEX(properties!A$1:CB$87,'Fórmula'!D42,55)),IF(INDEX(properties!A$1:CB$87,'Fórmula'!F42,55)=0,10^6,INDEX(properties!A$1:CB$87,'Fórmula'!F42,55)),IF(INDEX(properties!A$1:CB$87,'Fórmula'!H42,55)=0,10^6,INDEX(properties!A$1:CB$87,'Fórmula'!H42,55)),IF(INDEX(properties!A$1:CB$87,'Fórmula'!J42,55)=0,10^6,INDEX(properties!A$1:CB$87,'Fórmula'!J42,55)))</f>
        <v>0.00143</v>
      </c>
      <c r="FS42" s="118">
        <f t="shared" si="29"/>
        <v>6.14857</v>
      </c>
      <c r="FT42" s="119">
        <f t="array" ref="FT42">(('Fórmula'!C42)/('Fórmula'!C42+'Fórmula'!E42+'Fórmula'!G42+'Fórmula'!I42+'Fórmula'!K42))*(INDEX(properties!A$1:CB$87,'Fórmula'!B42,56))+(('Fórmula'!E42)/('Fórmula'!C42+'Fórmula'!E42+'Fórmula'!G42+'Fórmula'!I42+'Fórmula'!K42))*(INDEX(properties!A$1:CB$87,'Fórmula'!D42,56))+(('Fórmula'!G42)/('Fórmula'!C42+'Fórmula'!E42+'Fórmula'!G42+'Fórmula'!I42+'Fórmula'!K42))*(INDEX(properties!A$1:CB$87,'Fórmula'!F42,56))+(('Fórmula'!I42)/('Fórmula'!C42+'Fórmula'!E42+'Fórmula'!G42+'Fórmula'!I42+'Fórmula'!K42))*(INDEX(properties!A$1:CB$87,'Fórmula'!H42,56))+(('Fórmula'!K42)/('Fórmula'!C42+'Fórmula'!E42+'Fórmula'!G42+'Fórmula'!I42+'Fórmula'!K42))*(INDEX(properties!A$1:CB$87,'Fórmula'!J42,56))</f>
        <v>0.7672380952</v>
      </c>
      <c r="FU42" s="119">
        <f t="array" ref="FU42">'Fórmula'!C42*(INDEX(properties!A$1:CB$87,'Fórmula'!B42,56))+'Fórmula'!E42*(INDEX(properties!A$1:CB$87,'Fórmula'!D42,56))+'Fórmula'!G42*(INDEX(properties!A$1:CB$87,'Fórmula'!F42,56))+'Fórmula'!I42*(INDEX(properties!A$1:CB$87,'Fórmula'!H42,56))+'Fórmula'!K42*(INDEX(properties!A$1:CB$87,'Fórmula'!J42,56))</f>
        <v>16.112</v>
      </c>
      <c r="FV42" s="119">
        <f t="array" ref="FV42">VARP(IF(INDEX(properties!A$1:CB$87,'Fórmula'!B42,56)&lt;&gt;"",INDEX(properties!A$1:CB$87,'Fórmula'!B42,56)),IF(INDEX(properties!A$1:CB$87,'Fórmula'!D42,56)&lt;&gt;"",INDEX(properties!A$1:CB$87,'Fórmula'!D42,56)),IF(INDEX(properties!A$1:CB$87,'Fórmula'!F42,56)&lt;&gt;"",INDEX(properties!A$1:CB$87,'Fórmula'!F42,56)),IF(INDEX(properties!A$1:CB$87,'Fórmula'!H42,56)&lt;&gt;"",INDEX(properties!A$1:CB$87,'Fórmula'!H42,56)),IF(INDEX(properties!A$1:CB$87,'Fórmula'!J42,56)&lt;&gt;"",INDEX(properties!A$1:CB$87,'Fórmula'!J42,56)))</f>
        <v>0.17500096</v>
      </c>
      <c r="FW42" s="119">
        <f t="array" ref="FW42">MAX(INDEX(properties!A$1:CB$87,'Fórmula'!B42,56),INDEX(properties!A$1:CB$87,'Fórmula'!D42,56),INDEX(properties!A$1:CB$87,'Fórmula'!F42,56),INDEX(properties!A$1:CB$87,'Fórmula'!H42,56),INDEX(properties!A$1:CB$87,'Fórmula'!J42,56))</f>
        <v>1.02</v>
      </c>
      <c r="FX42" s="119">
        <f t="array" ref="FX42">MIN(IF(INDEX(properties!A$1:CB$87,'Fórmula'!B42,56)=0,10^6,INDEX(properties!A$1:CB$87,'Fórmula'!B42,56)),IF(INDEX(properties!A$1:CB$87,'Fórmula'!D42,56)=0,10^6,INDEX(properties!A$1:CB$87,'Fórmula'!D42,56)),IF(INDEX(properties!A$1:CB$87,'Fórmula'!F42,56)=0,10^6,INDEX(properties!A$1:CB$87,'Fórmula'!F42,56)),IF(INDEX(properties!A$1:CB$87,'Fórmula'!H42,56)=0,10^6,INDEX(properties!A$1:CB$87,'Fórmula'!H42,56)),IF(INDEX(properties!A$1:CB$87,'Fórmula'!J42,56)=0,10^6,INDEX(properties!A$1:CB$87,'Fórmula'!J42,56)))</f>
        <v>0.19</v>
      </c>
      <c r="FY42" s="119">
        <f t="shared" si="30"/>
        <v>0.83</v>
      </c>
      <c r="FZ42" s="104">
        <f t="array" ref="FZ42">(('Fórmula'!C42)/('Fórmula'!C42+'Fórmula'!E42+'Fórmula'!G42+'Fórmula'!I42+'Fórmula'!K42))*(INDEX(properties!A$1:CB$87,'Fórmula'!B42,57))+(('Fórmula'!E42)/('Fórmula'!C42+'Fórmula'!E42+'Fórmula'!G42+'Fórmula'!I42+'Fórmula'!K42))*(INDEX(properties!A$1:CB$87,'Fórmula'!D42,57))+(('Fórmula'!G42)/('Fórmula'!C42+'Fórmula'!E42+'Fórmula'!G42+'Fórmula'!I42+'Fórmula'!K42))*(INDEX(properties!A$1:CB$87,'Fórmula'!F42,57))+(('Fórmula'!I42)/('Fórmula'!C42+'Fórmula'!E42+'Fórmula'!G42+'Fórmula'!I42+'Fórmula'!K42))*(INDEX(properties!A$1:CB$87,'Fórmula'!H42,57))+(('Fórmula'!K42)/('Fórmula'!C42+'Fórmula'!E42+'Fórmula'!G42+'Fórmula'!I42+'Fórmula'!K42))*(INDEX(properties!A$1:CB$87,'Fórmula'!J42,57))</f>
        <v>11.3867181</v>
      </c>
      <c r="GA42" s="104">
        <f t="array" ref="GA42">'Fórmula'!C42*(INDEX(properties!A$1:CB$87,'Fórmula'!B42,57))+'Fórmula'!E42*(INDEX(properties!A$1:CB$87,'Fórmula'!D42,57))+'Fórmula'!G42*(INDEX(properties!A$1:CB$87,'Fórmula'!F42,57))+'Fórmula'!I42*(INDEX(properties!A$1:CB$87,'Fórmula'!H42,57))+'Fórmula'!K42*(INDEX(properties!A$1:CB$87,'Fórmula'!J42,57))</f>
        <v>239.12108</v>
      </c>
      <c r="GB42" s="104">
        <f t="array" ref="GB42">VARP(IF(INDEX(properties!A$1:CB$87,'Fórmula'!B42,57)&lt;&gt;"",INDEX(properties!A$1:CB$87,'Fórmula'!B42,57)),IF(INDEX(properties!A$1:CB$87,'Fórmula'!D42,57)&lt;&gt;"",INDEX(properties!A$1:CB$87,'Fórmula'!D42,57)),IF(INDEX(properties!A$1:CB$87,'Fórmula'!F42,57)&lt;&gt;"",INDEX(properties!A$1:CB$87,'Fórmula'!F42,57)),IF(INDEX(properties!A$1:CB$87,'Fórmula'!H42,57)&lt;&gt;"",INDEX(properties!A$1:CB$87,'Fórmula'!H42,57)),IF(INDEX(properties!A$1:CB$87,'Fórmula'!J42,57)&lt;&gt;"",INDEX(properties!A$1:CB$87,'Fórmula'!J42,57)))</f>
        <v>357.9651955</v>
      </c>
      <c r="GC42" s="104">
        <f t="array" ref="GC42">MAX(INDEX(properties!A$1:CB$87,'Fórmula'!B42,57),INDEX(properties!A$1:CB$87,'Fórmula'!D42,57),INDEX(properties!A$1:CB$87,'Fórmula'!F42,57),INDEX(properties!A$1:CB$87,'Fórmula'!H42,57),INDEX(properties!A$1:CB$87,'Fórmula'!J42,57))</f>
        <v>50.2</v>
      </c>
      <c r="GD42" s="104">
        <f t="array" ref="GD42">MIN(IF(INDEX(properties!A$1:CB$87,'Fórmula'!B42,57)=0,10^6,INDEX(properties!A$1:CB$87,'Fórmula'!B42,57)),IF(INDEX(properties!A$1:CB$87,'Fórmula'!D42,57)=0,10^6,INDEX(properties!A$1:CB$87,'Fórmula'!D42,57)),IF(INDEX(properties!A$1:CB$87,'Fórmula'!F42,57)=0,10^6,INDEX(properties!A$1:CB$87,'Fórmula'!F42,57)),IF(INDEX(properties!A$1:CB$87,'Fórmula'!H42,57)=0,10^6,INDEX(properties!A$1:CB$87,'Fórmula'!H42,57)),IF(INDEX(properties!A$1:CB$87,'Fórmula'!J42,57)=0,10^6,INDEX(properties!A$1:CB$87,'Fórmula'!J42,57)))</f>
        <v>0.22259</v>
      </c>
      <c r="GE42" s="104">
        <f t="shared" si="31"/>
        <v>49.97741</v>
      </c>
      <c r="GF42" s="105">
        <f t="array" ref="GF42">(('Fórmula'!C42)/('Fórmula'!C42+'Fórmula'!E42+'Fórmula'!G42+'Fórmula'!I42+'Fórmula'!K42))*(INDEX(properties!A$1:CB$87,'Fórmula'!B42,60))+(('Fórmula'!E42)/('Fórmula'!C42+'Fórmula'!E42+'Fórmula'!G42+'Fórmula'!I42+'Fórmula'!K42))*(INDEX(properties!A$1:CB$87,'Fórmula'!D42,60))+(('Fórmula'!G42)/('Fórmula'!C42+'Fórmula'!E42+'Fórmula'!G42+'Fórmula'!I42+'Fórmula'!K42))*(INDEX(properties!A$1:CB$87,'Fórmula'!F42,60))+(('Fórmula'!I42)/('Fórmula'!C42+'Fórmula'!E42+'Fórmula'!G42+'Fórmula'!I42+'Fórmula'!K42))*(INDEX(properties!A$1:CB$87,'Fórmula'!H42,60))+(('Fórmula'!K42)/('Fórmula'!C42+'Fórmula'!E42+'Fórmula'!G42+'Fórmula'!I42+'Fórmula'!K42))*(INDEX(properties!A$1:CB$87,'Fórmula'!J42,60))</f>
        <v>9.072422857</v>
      </c>
      <c r="GG42" s="105">
        <f t="array" ref="GG42">'Fórmula'!C42*(INDEX(properties!A$1:CB$87,'Fórmula'!B42,60))+'Fórmula'!E42*(INDEX(properties!A$1:CB$87,'Fórmula'!D42,60))+'Fórmula'!G42*(INDEX(properties!A$1:CB$87,'Fórmula'!F42,60))+'Fórmula'!I42*(INDEX(properties!A$1:CB$87,'Fórmula'!H42,60))+'Fórmula'!K42*(INDEX(properties!A$1:CB$87,'Fórmula'!J42,60))</f>
        <v>190.52088</v>
      </c>
      <c r="GH42" s="105">
        <f t="array" ref="GH42">VARP(IF(INDEX(properties!A$1:CB$87,'Fórmula'!B42,60)&lt;&gt;"",INDEX(properties!A$1:CB$87,'Fórmula'!B42,60)),IF(INDEX(properties!A$1:CB$87,'Fórmula'!D42,60)&lt;&gt;"",INDEX(properties!A$1:CB$87,'Fórmula'!D42,60)),IF(INDEX(properties!A$1:CB$87,'Fórmula'!F42,60)&lt;&gt;"",INDEX(properties!A$1:CB$87,'Fórmula'!F42,60)),IF(INDEX(properties!A$1:CB$87,'Fórmula'!H42,60)&lt;&gt;"",INDEX(properties!A$1:CB$87,'Fórmula'!H42,60)),IF(INDEX(properties!A$1:CB$87,'Fórmula'!J42,60)&lt;&gt;"",INDEX(properties!A$1:CB$87,'Fórmula'!J42,60)))</f>
        <v>111.0677155</v>
      </c>
      <c r="GI42" s="105">
        <f t="array" ref="GI42">MAX(INDEX(properties!A$1:CB$87,'Fórmula'!B42,60),INDEX(properties!A$1:CB$87,'Fórmula'!D42,60),INDEX(properties!A$1:CB$87,'Fórmula'!F42,60),INDEX(properties!A$1:CB$87,'Fórmula'!H42,60),INDEX(properties!A$1:CB$87,'Fórmula'!J42,60))</f>
        <v>27</v>
      </c>
      <c r="GJ42" s="105">
        <f t="array" ref="GJ42">MIN(IF(INDEX(properties!A$1:CB$87,'Fórmula'!B42,60)=0,10^6,INDEX(properties!A$1:CB$87,'Fórmula'!B42,60)),IF(INDEX(properties!A$1:CB$87,'Fórmula'!D42,60)=0,10^6,INDEX(properties!A$1:CB$87,'Fórmula'!D42,60)),IF(INDEX(properties!A$1:CB$87,'Fórmula'!F42,60)=0,10^6,INDEX(properties!A$1:CB$87,'Fórmula'!F42,60)),IF(INDEX(properties!A$1:CB$87,'Fórmula'!H42,60)=0,10^6,INDEX(properties!A$1:CB$87,'Fórmula'!H42,60)),IF(INDEX(properties!A$1:CB$87,'Fórmula'!J42,60)=0,10^6,INDEX(properties!A$1:CB$87,'Fórmula'!J42,60)))</f>
        <v>0.02674</v>
      </c>
      <c r="GK42" s="105">
        <f t="shared" si="32"/>
        <v>26.97326</v>
      </c>
      <c r="GL42" s="106">
        <f t="array" ref="GL42">(('Fórmula'!C42)/('Fórmula'!C42+'Fórmula'!E42+'Fórmula'!G42+'Fórmula'!I42+'Fórmula'!K42))*(INDEX(properties!A$1:CB$87,'Fórmula'!B42,62))+(('Fórmula'!E42)/('Fórmula'!C42+'Fórmula'!E42+'Fórmula'!G42+'Fórmula'!I42+'Fórmula'!K42))*(INDEX(properties!A$1:CB$87,'Fórmula'!D42,62))+(('Fórmula'!G42)/('Fórmula'!C42+'Fórmula'!E42+'Fórmula'!G42+'Fórmula'!I42+'Fórmula'!K42))*(INDEX(properties!A$1:CB$87,'Fórmula'!F42,62))+(('Fórmula'!I42)/('Fórmula'!C42+'Fórmula'!E42+'Fórmula'!G42+'Fórmula'!I42+'Fórmula'!K42))*(INDEX(properties!A$1:CB$87,'Fórmula'!H42,62))+(('Fórmula'!K42)/('Fórmula'!C42+'Fórmula'!E42+'Fórmula'!G42+'Fórmula'!I42+'Fórmula'!K42))*(INDEX(properties!A$1:CB$87,'Fórmula'!J42,62))</f>
        <v>3.300952381</v>
      </c>
      <c r="GM42" s="106">
        <f t="array" ref="GM42">'Fórmula'!C42*(INDEX(properties!A$1:CB$87,'Fórmula'!B42,62))+'Fórmula'!E42*(INDEX(properties!A$1:CB$87,'Fórmula'!D42,62))+'Fórmula'!G42*(INDEX(properties!A$1:CB$87,'Fórmula'!F42,62))+'Fórmula'!I42*(INDEX(properties!A$1:CB$87,'Fórmula'!H42,62))+'Fórmula'!K42*(INDEX(properties!A$1:CB$87,'Fórmula'!J42,62))</f>
        <v>69.32</v>
      </c>
      <c r="GN42" s="106">
        <f t="array" ref="GN42">VARP(IF(INDEX(properties!A$1:CB$87,'Fórmula'!B42,62)&lt;&gt;"",INDEX(properties!A$1:CB$87,'Fórmula'!B42,62)),IF(INDEX(properties!A$1:CB$87,'Fórmula'!D42,62)&lt;&gt;"",INDEX(properties!A$1:CB$87,'Fórmula'!D42,62)),IF(INDEX(properties!A$1:CB$87,'Fórmula'!F42,62)&lt;&gt;"",INDEX(properties!A$1:CB$87,'Fórmula'!F42,62)),IF(INDEX(properties!A$1:CB$87,'Fórmula'!H42,62)&lt;&gt;"",INDEX(properties!A$1:CB$87,'Fórmula'!H42,62)),IF(INDEX(properties!A$1:CB$87,'Fórmula'!J42,62)&lt;&gt;"",INDEX(properties!A$1:CB$87,'Fórmula'!J42,62)))</f>
        <v>4.08068</v>
      </c>
      <c r="GO42" s="106">
        <f t="array" ref="GO42">MAX(INDEX(properties!A$1:CB$87,'Fórmula'!B42,62),INDEX(properties!A$1:CB$87,'Fórmula'!D42,62),INDEX(properties!A$1:CB$87,'Fórmula'!F42,62),INDEX(properties!A$1:CB$87,'Fórmula'!H42,62),INDEX(properties!A$1:CB$87,'Fórmula'!J42,62))</f>
        <v>5.81</v>
      </c>
      <c r="GP42" s="106">
        <f t="array" ref="GP42">MIN(IF(INDEX(properties!A$1:CB$87,'Fórmula'!B42,62)=0,10^6,INDEX(properties!A$1:CB$87,'Fórmula'!B42,62)),IF(INDEX(properties!A$1:CB$87,'Fórmula'!D42,62)=0,10^6,INDEX(properties!A$1:CB$87,'Fórmula'!D42,62)),IF(INDEX(properties!A$1:CB$87,'Fórmula'!F42,62)=0,10^6,INDEX(properties!A$1:CB$87,'Fórmula'!F42,62)),IF(INDEX(properties!A$1:CB$87,'Fórmula'!H42,62)=0,10^6,INDEX(properties!A$1:CB$87,'Fórmula'!H42,62)),IF(INDEX(properties!A$1:CB$87,'Fórmula'!J42,62)=0,10^6,INDEX(properties!A$1:CB$87,'Fórmula'!J42,62)))</f>
        <v>1.9</v>
      </c>
      <c r="GQ42" s="106">
        <f t="shared" si="33"/>
        <v>3.91</v>
      </c>
      <c r="GR42" s="106">
        <f>'Fórmula'!Q42</f>
        <v>62</v>
      </c>
      <c r="GS42" s="107">
        <f>'Fórmula'!P42</f>
        <v>3</v>
      </c>
      <c r="GT42" s="113">
        <f>'Fórmula'!O42</f>
        <v>5.17</v>
      </c>
      <c r="GU42" s="114">
        <f>AVERAGE('Fórmula'!R42/'Fórmula'!S42,'Fórmula'!S42/'Fórmula'!T42,'Fórmula'!T42/'Fórmula'!R42)</f>
        <v>1.169965554</v>
      </c>
      <c r="GV42" s="125">
        <f>'Fórmula'!U42</f>
        <v>1188.34</v>
      </c>
      <c r="GW42" s="106">
        <f>'Fórmula'!N42</f>
        <v>0.1</v>
      </c>
    </row>
    <row r="43" ht="14.25" customHeight="1">
      <c r="A43" s="99" t="str">
        <f>'Fórmula'!A43</f>
        <v>Y2O3</v>
      </c>
      <c r="B43" s="100">
        <f t="array" ref="B43">(('Fórmula'!C43)/('Fórmula'!C43+'Fórmula'!E43+'Fórmula'!G43+'Fórmula'!I43+'Fórmula'!K43))*(INDEX(properties!A$1:CB$87,'Fórmula'!B43,3))+(('Fórmula'!E43)/('Fórmula'!C43+'Fórmula'!E43+'Fórmula'!G43+'Fórmula'!I43+'Fórmula'!K43))*(INDEX(properties!A$1:CB$87,'Fórmula'!D43,3))+(('Fórmula'!G43)/('Fórmula'!C43+'Fórmula'!E43+'Fórmula'!G43+'Fórmula'!I43+'Fórmula'!K43))*(INDEX(properties!A$1:CB$87,'Fórmula'!F43,3))+(('Fórmula'!I43)/('Fórmula'!C43+'Fórmula'!E43+'Fórmula'!G43+'Fórmula'!I43+'Fórmula'!K43))*(INDEX(properties!A$1:CB$87,'Fórmula'!H43,3))+(('Fórmula'!K43)/('Fórmula'!C43+'Fórmula'!E43+'Fórmula'!G43+'Fórmula'!I43+'Fórmula'!K43))*(INDEX(properties!A$1:CB$87,'Fórmula'!J43,3))</f>
        <v>45.161976</v>
      </c>
      <c r="C43" s="101">
        <f t="array" ref="C43">'Fórmula'!C43*(INDEX(properties!A$1:CB$87,'Fórmula'!B43,3))+'Fórmula'!E43*(INDEX(properties!A$1:CB$87,'Fórmula'!D43,3))+'Fórmula'!G43*(INDEX(properties!A$1:CB$87,'Fórmula'!F43,3))+'Fórmula'!I43*(INDEX(properties!A$1:CB$87,'Fórmula'!H43,3))+'Fórmula'!K43*(INDEX(properties!A$1:CB$87,'Fórmula'!J43,3))</f>
        <v>225.80988</v>
      </c>
      <c r="D43" s="101">
        <f t="array" ref="D43">VARP(IF(INDEX(properties!A$1:CB$87,'Fórmula'!B43,3)&lt;&gt;"",INDEX(properties!A$1:CB$87,'Fórmula'!B43,3)),IF(INDEX(properties!A$1:CB$87,'Fórmula'!D43,3)&lt;&gt;"",INDEX(properties!A$1:CB$87,'Fórmula'!D43,3)),IF(INDEX(properties!A$1:CB$87,'Fórmula'!F43,3)&lt;&gt;"",INDEX(properties!A$1:CB$87,'Fórmula'!F43,3)),IF(INDEX(properties!A$1:CB$87,'Fórmula'!H43,3)&lt;&gt;"",INDEX(properties!A$1:CB$87,'Fórmula'!H43,3)),IF(INDEX(properties!A$1:CB$87,'Fórmula'!J43,3)&lt;&gt;"",INDEX(properties!A$1:CB$87,'Fórmula'!J43,3)))</f>
        <v>1191.841462</v>
      </c>
      <c r="E43" s="101">
        <f t="array" ref="E43">MAX(INDEX(properties!A$1:CB$87,'Fórmula'!B43,3),INDEX(properties!A$1:CB$87,'Fórmula'!D43,3),INDEX(properties!A$1:CB$87,'Fórmula'!F43,3),INDEX(properties!A$1:CB$87,'Fórmula'!H43,3),INDEX(properties!A$1:CB$87,'Fórmula'!J43,3))</f>
        <v>88.90584</v>
      </c>
      <c r="F43" s="101">
        <f t="array" ref="F43">MIN(IF(INDEX(properties!A$1:CB$87,'Fórmula'!B43,3)=0,10^6,INDEX(properties!A$1:CB$87,'Fórmula'!B43,3)),IF(INDEX(properties!A$1:CB$87,'Fórmula'!D43,3)=0,10^6,INDEX(properties!A$1:CB$87,'Fórmula'!D43,3)),IF(INDEX(properties!A$1:CB$87,'Fórmula'!F43,3)=0,10^6,INDEX(properties!A$1:CB$87,'Fórmula'!F43,3)),IF(INDEX(properties!A$1:CB$87,'Fórmula'!H43,3)=0,10^6,INDEX(properties!A$1:CB$87,'Fórmula'!H43,3)),IF(INDEX(properties!A$1:CB$87,'Fórmula'!J43,3)=0,10^6,INDEX(properties!A$1:CB$87,'Fórmula'!J43,3)))</f>
        <v>15.9994</v>
      </c>
      <c r="G43" s="101">
        <f t="shared" si="1"/>
        <v>72.90644</v>
      </c>
      <c r="H43" s="102">
        <f t="array" ref="H43">(('Fórmula'!C43)/('Fórmula'!C43+'Fórmula'!E43+'Fórmula'!G43+'Fórmula'!I43+'Fórmula'!K43))*(INDEX(properties!A$1:CB$87,'Fórmula'!B43,4))+(('Fórmula'!E43)/('Fórmula'!C43+'Fórmula'!E43+'Fórmula'!G43+'Fórmula'!I43+'Fórmula'!K43))*(INDEX(properties!A$1:CB$87,'Fórmula'!D43,4))+(('Fórmula'!G43)/('Fórmula'!C43+'Fórmula'!E43+'Fórmula'!G43+'Fórmula'!I43+'Fórmula'!K43))*(INDEX(properties!A$1:CB$87,'Fórmula'!F43,4))+(('Fórmula'!I43)/('Fórmula'!C43+'Fórmula'!E43+'Fórmula'!G43+'Fórmula'!I43+'Fórmula'!K43))*(INDEX(properties!A$1:CB$87,'Fórmula'!H43,4))+(('Fórmula'!K43)/('Fórmula'!C43+'Fórmula'!E43+'Fórmula'!G43+'Fórmula'!I43+'Fórmula'!K43))*(INDEX(properties!A$1:CB$87,'Fórmula'!J43,4))</f>
        <v>20.4</v>
      </c>
      <c r="I43" s="102">
        <f t="array" ref="I43">'Fórmula'!C43*(INDEX(properties!A$1:CB$87,'Fórmula'!B43,4))+'Fórmula'!E43*(INDEX(properties!A$1:CB$87,'Fórmula'!D43,4))+'Fórmula'!G43*(INDEX(properties!A$1:CB$87,'Fórmula'!F43,4))+'Fórmula'!I43*(INDEX(properties!A$1:CB$87,'Fórmula'!H43,4))+'Fórmula'!K43*(INDEX(properties!A$1:CB$87,'Fórmula'!J43,4))</f>
        <v>102</v>
      </c>
      <c r="J43" s="102">
        <f t="array" ref="J43">VARP(IF(INDEX(properties!A$1:CB$87,'Fórmula'!B43,4)&lt;&gt;"",INDEX(properties!A$1:CB$87,'Fórmula'!B43,4)),IF(INDEX(properties!A$1:CB$87,'Fórmula'!D43,4)&lt;&gt;"",INDEX(properties!A$1:CB$87,'Fórmula'!D43,4)),IF(INDEX(properties!A$1:CB$87,'Fórmula'!F43,4)&lt;&gt;"",INDEX(properties!A$1:CB$87,'Fórmula'!F43,4)),IF(INDEX(properties!A$1:CB$87,'Fórmula'!H43,4)&lt;&gt;"",INDEX(properties!A$1:CB$87,'Fórmula'!H43,4)),IF(INDEX(properties!A$1:CB$87,'Fórmula'!J43,4)&lt;&gt;"",INDEX(properties!A$1:CB$87,'Fórmula'!J43,4)))</f>
        <v>228.64</v>
      </c>
      <c r="K43" s="102">
        <f t="array" ref="K43">MAX(INDEX(properties!A$1:CB$87,'Fórmula'!B43,4),INDEX(properties!A$1:CB$87,'Fórmula'!D43,4),INDEX(properties!A$1:CB$87,'Fórmula'!F43,4),INDEX(properties!A$1:CB$87,'Fórmula'!H43,4),INDEX(properties!A$1:CB$87,'Fórmula'!J43,4))</f>
        <v>39</v>
      </c>
      <c r="L43" s="102">
        <f t="array" ref="L43">MIN(IF(INDEX(properties!A$1:CB$87,'Fórmula'!B43,4)=0,10^6,INDEX(properties!A$1:CB$87,'Fórmula'!B43,4)),IF(INDEX(properties!A$1:CB$87,'Fórmula'!D43,4)=0,10^6,INDEX(properties!A$1:CB$87,'Fórmula'!D43,4)),IF(INDEX(properties!A$1:CB$87,'Fórmula'!F43,4)=0,10^6,INDEX(properties!A$1:CB$87,'Fórmula'!F43,4)),IF(INDEX(properties!A$1:CB$87,'Fórmula'!H43,4)=0,10^6,INDEX(properties!A$1:CB$87,'Fórmula'!H43,4)),IF(INDEX(properties!A$1:CB$87,'Fórmula'!J43,4)=0,10^6,INDEX(properties!A$1:CB$87,'Fórmula'!J43,4)))</f>
        <v>8</v>
      </c>
      <c r="M43" s="102">
        <f t="shared" si="2"/>
        <v>31</v>
      </c>
      <c r="N43" s="103">
        <f t="array" ref="N43">(('Fórmula'!C43)/('Fórmula'!C43+'Fórmula'!E43+'Fórmula'!G43+'Fórmula'!I43+'Fórmula'!K43))*(INDEX(properties!A$1:CB$87,'Fórmula'!B43,5))+(('Fórmula'!E43)/('Fórmula'!C43+'Fórmula'!E43+'Fórmula'!G43+'Fórmula'!I43+'Fórmula'!K43))*(INDEX(properties!A$1:CB$87,'Fórmula'!D43,5))+(('Fórmula'!G43)/('Fórmula'!C43+'Fórmula'!E43+'Fórmula'!G43+'Fórmula'!I43+'Fórmula'!K43))*(INDEX(properties!A$1:CB$87,'Fórmula'!F43,5))+(('Fórmula'!I43)/('Fórmula'!C43+'Fórmula'!E43+'Fórmula'!G43+'Fórmula'!I43+'Fórmula'!K43))*(INDEX(properties!A$1:CB$87,'Fórmula'!H43,5))+(('Fórmula'!K43)/('Fórmula'!C43+'Fórmula'!E43+'Fórmula'!G43+'Fórmula'!I43+'Fórmula'!K43))*(INDEX(properties!A$1:CB$87,'Fórmula'!J43,5))</f>
        <v>3.2</v>
      </c>
      <c r="O43" s="103">
        <f t="array" ref="O43">'Fórmula'!C43*(INDEX(properties!A$1:CB$87,'Fórmula'!B43,5))+'Fórmula'!E43*(INDEX(properties!A$1:CB$87,'Fórmula'!D43,5))+'Fórmula'!G43*(INDEX(properties!A$1:CB$87,'Fórmula'!F43,5))+'Fórmula'!I43*(INDEX(properties!A$1:CB$87,'Fórmula'!H43,5))+'Fórmula'!K43*(INDEX(properties!A$1:CB$87,'Fórmula'!J43,5))</f>
        <v>16</v>
      </c>
      <c r="P43" s="103">
        <f t="array" ref="P43">VARP(IF(INDEX(properties!A$1:CB$87,'Fórmula'!B43,5)&lt;&gt;"",INDEX(properties!A$1:CB$87,'Fórmula'!B43,5)),IF(INDEX(properties!A$1:CB$87,'Fórmula'!D43,5)&lt;&gt;"",INDEX(properties!A$1:CB$87,'Fórmula'!D43,5)),IF(INDEX(properties!A$1:CB$87,'Fórmula'!F43,5)&lt;&gt;"",INDEX(properties!A$1:CB$87,'Fórmula'!F43,5)),IF(INDEX(properties!A$1:CB$87,'Fórmula'!H43,5)&lt;&gt;"",INDEX(properties!A$1:CB$87,'Fórmula'!H43,5)),IF(INDEX(properties!A$1:CB$87,'Fórmula'!J43,5)&lt;&gt;"",INDEX(properties!A$1:CB$87,'Fórmula'!J43,5)))</f>
        <v>3.84</v>
      </c>
      <c r="Q43" s="103">
        <f t="array" ref="Q43">MAX(INDEX(properties!A$1:CB$87,'Fórmula'!B43,5),INDEX(properties!A$1:CB$87,'Fórmula'!D43,5),INDEX(properties!A$1:CB$87,'Fórmula'!F43,5),INDEX(properties!A$1:CB$87,'Fórmula'!H43,5),INDEX(properties!A$1:CB$87,'Fórmula'!J43,5))</f>
        <v>5</v>
      </c>
      <c r="R43" s="103">
        <f t="array" ref="R43">MIN(IF(INDEX(properties!A$1:CB$87,'Fórmula'!B43,5)=0,10^6,INDEX(properties!A$1:CB$87,'Fórmula'!B43,5)),IF(INDEX(properties!A$1:CB$87,'Fórmula'!D43,5)=0,10^6,INDEX(properties!A$1:CB$87,'Fórmula'!D43,5)),IF(INDEX(properties!A$1:CB$87,'Fórmula'!F43,5)=0,10^6,INDEX(properties!A$1:CB$87,'Fórmula'!F43,5)),IF(INDEX(properties!A$1:CB$87,'Fórmula'!H43,5)=0,10^6,INDEX(properties!A$1:CB$87,'Fórmula'!H43,5)),IF(INDEX(properties!A$1:CB$87,'Fórmula'!J43,5)=0,10^6,INDEX(properties!A$1:CB$87,'Fórmula'!J43,5)))</f>
        <v>2</v>
      </c>
      <c r="S43" s="103">
        <f t="shared" si="3"/>
        <v>3</v>
      </c>
      <c r="T43" s="104">
        <f t="array" ref="T43">(('Fórmula'!C43)/('Fórmula'!C43+'Fórmula'!E43+'Fórmula'!G43+'Fórmula'!I43+'Fórmula'!K43))*(INDEX(properties!A$1:CB$87,'Fórmula'!B43,6))+(('Fórmula'!E43)/('Fórmula'!C43+'Fórmula'!E43+'Fórmula'!G43+'Fórmula'!I43+'Fórmula'!K43))*(INDEX(properties!A$1:CB$87,'Fórmula'!D43,6))+(('Fórmula'!G43)/('Fórmula'!C43+'Fórmula'!E43+'Fórmula'!G43+'Fórmula'!I43+'Fórmula'!K43))*(INDEX(properties!A$1:CB$87,'Fórmula'!F43,6))+(('Fórmula'!I43)/('Fórmula'!C43+'Fórmula'!E43+'Fórmula'!G43+'Fórmula'!I43+'Fórmula'!K43))*(INDEX(properties!A$1:CB$87,'Fórmula'!H43,6))+(('Fórmula'!K43)/('Fórmula'!C43+'Fórmula'!E43+'Fórmula'!G43+'Fórmula'!I43+'Fórmula'!K43))*(INDEX(properties!A$1:CB$87,'Fórmula'!J43,6))</f>
        <v>10.8</v>
      </c>
      <c r="U43" s="104">
        <f t="array" ref="U43">'Fórmula'!C43*(INDEX(properties!A$1:CB$87,'Fórmula'!B43,6))+'Fórmula'!E43*(INDEX(properties!A$1:CB$87,'Fórmula'!D43,6))+'Fórmula'!G43*(INDEX(properties!A$1:CB$87,'Fórmula'!F43,6))+'Fórmula'!I43*(INDEX(properties!A$1:CB$87,'Fórmula'!H43,6))+'Fórmula'!K43*(INDEX(properties!A$1:CB$87,'Fórmula'!J43,6))</f>
        <v>54</v>
      </c>
      <c r="V43" s="103">
        <f t="array" ref="V43">VARP(IF(INDEX(properties!A$1:CB$87,'Fórmula'!B43,6)&lt;&gt;"",INDEX(properties!A$1:CB$87,'Fórmula'!B43,6)),IF(INDEX(properties!A$1:CB$87,'Fórmula'!D43,6)&lt;&gt;"",INDEX(properties!A$1:CB$87,'Fórmula'!D43,6)),IF(INDEX(properties!A$1:CB$87,'Fórmula'!F43,6)&lt;&gt;"",INDEX(properties!A$1:CB$87,'Fórmula'!F43,6)),IF(INDEX(properties!A$1:CB$87,'Fórmula'!H43,6)&lt;&gt;"",INDEX(properties!A$1:CB$87,'Fórmula'!H43,6)),IF(INDEX(properties!A$1:CB$87,'Fórmula'!J43,6)&lt;&gt;"",INDEX(properties!A$1:CB$87,'Fórmula'!J43,6)))</f>
        <v>38.56</v>
      </c>
      <c r="W43" s="104">
        <f t="array" ref="W43">MAX(INDEX(properties!A$1:CB$87,'Fórmula'!B43,6),INDEX(properties!A$1:CB$87,'Fórmula'!D43,6),INDEX(properties!A$1:CB$87,'Fórmula'!F43,6),INDEX(properties!A$1:CB$87,'Fórmula'!H43,4),INDEX(properties!A$1:CB$87,'Fórmula'!J43,6))</f>
        <v>16</v>
      </c>
      <c r="X43" s="104">
        <f t="array" ref="X43">MIN(IF(INDEX(properties!A$1:CB$87,'Fórmula'!B43,6)=0,10^6,INDEX(properties!A$1:CB$87,'Fórmula'!B43,6)),IF(INDEX(properties!A$1:CB$87,'Fórmula'!D43,6)=0,10^6,INDEX(properties!A$1:CB$87,'Fórmula'!D43,6)),IF(INDEX(properties!A$1:CB$87,'Fórmula'!F43,6)=0,10^6,INDEX(properties!A$1:CB$87,'Fórmula'!F43,6)),IF(INDEX(properties!A$1:CB$87,'Fórmula'!H43,6)=0,10^6,INDEX(properties!A$1:CB$87,'Fórmula'!H43,6)),IF(INDEX(properties!A$1:CB$87,'Fórmula'!J43,6)=0,10^6,INDEX(properties!A$1:CB$87,'Fórmula'!J43,6)))</f>
        <v>3</v>
      </c>
      <c r="Y43" s="104">
        <f t="shared" si="4"/>
        <v>13</v>
      </c>
      <c r="Z43" s="105">
        <f t="array" ref="Z43">(('Fórmula'!C43)/('Fórmula'!C43+'Fórmula'!E43+'Fórmula'!G43+'Fórmula'!I43+'Fórmula'!K43))*(INDEX(properties!A$1:CB$87,'Fórmula'!B43,9))+(('Fórmula'!E43)/('Fórmula'!C43+'Fórmula'!E43+'Fórmula'!G43+'Fórmula'!I43+'Fórmula'!K43))*(INDEX(properties!A$1:CB$87,'Fórmula'!D43,9))+(('Fórmula'!G43)/('Fórmula'!C43+'Fórmula'!E43+'Fórmula'!G43+'Fórmula'!I43+'Fórmula'!K43))*(INDEX(properties!A$1:CB$87,'Fórmula'!F43,9))+(('Fórmula'!I43)/('Fórmula'!C43+'Fórmula'!E43+'Fórmula'!G43+'Fórmula'!I43+'Fórmula'!K43))*(INDEX(properties!A$1:CB$87,'Fórmula'!H43,9))+(('Fórmula'!K43)/('Fórmula'!C43+'Fórmula'!E43+'Fórmula'!G43+'Fórmula'!I43+'Fórmula'!K43))*(INDEX(properties!A$1:CB$87,'Fórmula'!J43,9))</f>
        <v>57</v>
      </c>
      <c r="AA43" s="105">
        <f t="array" ref="AA43">'Fórmula'!C43*(INDEX(properties!A$1:CB$87,'Fórmula'!B43,9))+'Fórmula'!E43*(INDEX(properties!A$1:CB$87,'Fórmula'!D43,9))+'Fórmula'!G43*(INDEX(properties!A$1:CB$87,'Fórmula'!F43,9))+'Fórmula'!I43*(INDEX(properties!A$1:CB$87,'Fórmula'!H43,9))+'Fórmula'!K43*(INDEX(properties!A$1:CB$87,'Fórmula'!J43,9))</f>
        <v>285</v>
      </c>
      <c r="AB43" s="105">
        <f t="array" ref="AB43">VARP(IF(INDEX(properties!A$1:CB$87,'Fórmula'!B43,9)&lt;&gt;"",INDEX(properties!A$1:CB$87,'Fórmula'!B43,9)),IF(INDEX(properties!A$1:CB$87,'Fórmula'!D43,9)&lt;&gt;"",INDEX(properties!A$1:CB$87,'Fórmula'!D43,9)),IF(INDEX(properties!A$1:CB$87,'Fórmula'!F43,9)&lt;&gt;"",INDEX(properties!A$1:CB$87,'Fórmula'!F43,9)),IF(INDEX(properties!A$1:CB$87,'Fórmula'!H43,9)&lt;&gt;"",INDEX(properties!A$1:CB$87,'Fórmula'!H43,9)),IF(INDEX(properties!A$1:CB$87,'Fórmula'!J43,9)&lt;&gt;"",INDEX(properties!A$1:CB$87,'Fórmula'!J43,9)))</f>
        <v>1150.56</v>
      </c>
      <c r="AC43" s="105">
        <f t="array" ref="AC43">MAX(INDEX(properties!A$1:CB$87,'Fórmula'!B43,9),INDEX(properties!A$1:CB$87,'Fórmula'!D43,9),INDEX(properties!A$1:CB$87,'Fórmula'!F43,9),INDEX(properties!A$1:CB$87,'Fórmula'!H43,9),INDEX(properties!A$1:CB$87,'Fórmula'!J43,9))</f>
        <v>87</v>
      </c>
      <c r="AD43" s="105">
        <f t="array" ref="AD43">MIN(IF(INDEX(properties!A$1:CB$87,'Fórmula'!B43,9)=0,10^6,INDEX(properties!A$1:CB$87,'Fórmula'!B43,9)),IF(INDEX(properties!A$1:CB$87,'Fórmula'!D43,9)=0,10^6,INDEX(properties!A$1:CB$87,'Fórmula'!D43,9)),IF(INDEX(properties!A$1:CB$87,'Fórmula'!F43,9)=0,10^6,INDEX(properties!A$1:CB$87,'Fórmula'!F43,9)),IF(INDEX(properties!A$1:CB$87,'Fórmula'!H43,9)=0,10^6,INDEX(properties!A$1:CB$87,'Fórmula'!H43,9)),IF(INDEX(properties!A$1:CB$87,'Fórmula'!J43,9)=0,10^6,INDEX(properties!A$1:CB$87,'Fórmula'!J43,9)))</f>
        <v>12</v>
      </c>
      <c r="AE43" s="105">
        <f t="shared" si="5"/>
        <v>75</v>
      </c>
      <c r="AF43" s="106">
        <f t="array" ref="AF43">(('Fórmula'!C43)/('Fórmula'!C43+'Fórmula'!E43+'Fórmula'!G43+'Fórmula'!I43+'Fórmula'!K43))*(INDEX(properties!A$1:CB$87,'Fórmula'!B43,10))+(('Fórmula'!E43)/('Fórmula'!C43+'Fórmula'!E43+'Fórmula'!G43+'Fórmula'!I43+'Fórmula'!K43))*(INDEX(properties!A$1:CB$87,'Fórmula'!D43,10))+(('Fórmula'!G43)/('Fórmula'!C43+'Fórmula'!E43+'Fórmula'!G43+'Fórmula'!I43+'Fórmula'!K43))*(INDEX(properties!A$1:CB$87,'Fórmula'!F43,10))+(('Fórmula'!I43)/('Fórmula'!C43+'Fórmula'!E43+'Fórmula'!G43+'Fórmula'!I43+'Fórmula'!K43))*(INDEX(properties!A$1:CB$87,'Fórmula'!H43,10))+(('Fórmula'!K43)/('Fórmula'!C43+'Fórmula'!E43+'Fórmula'!G43+'Fórmula'!I43+'Fórmula'!K43))*(INDEX(properties!A$1:CB$87,'Fórmula'!J43,10))</f>
        <v>5.4</v>
      </c>
      <c r="AG43" s="106">
        <f t="array" ref="AG43">'Fórmula'!C43*(INDEX(properties!A$1:CB$87,'Fórmula'!B43,10))+'Fórmula'!E43*(INDEX(properties!A$1:CB$87,'Fórmula'!D43,10))+'Fórmula'!G43*(INDEX(properties!A$1:CB$87,'Fórmula'!F43,10))+'Fórmula'!I43*(INDEX(properties!A$1:CB$87,'Fórmula'!H43,10))+'Fórmula'!K43*(INDEX(properties!A$1:CB$87,'Fórmula'!J43,10))</f>
        <v>27</v>
      </c>
      <c r="AH43" s="106">
        <f t="array" ref="AH43">VARP(IF(INDEX(properties!A$1:CB$87,'Fórmula'!B43,10)&lt;&gt;"",INDEX(properties!A$1:CB$87,'Fórmula'!B43,10)),IF(INDEX(properties!A$1:CB$87,'Fórmula'!D43,10)&lt;&gt;"",INDEX(properties!A$1:CB$87,'Fórmula'!D43,10)),IF(INDEX(properties!A$1:CB$87,'Fórmula'!F43,10)&lt;&gt;"",INDEX(properties!A$1:CB$87,'Fórmula'!F43,10)),IF(INDEX(properties!A$1:CB$87,'Fórmula'!H43,10)&lt;&gt;"",INDEX(properties!A$1:CB$87,'Fórmula'!H43,10)),IF(INDEX(properties!A$1:CB$87,'Fórmula'!J43,10)&lt;&gt;"",INDEX(properties!A$1:CB$87,'Fórmula'!J43,10)))</f>
        <v>7.6</v>
      </c>
      <c r="AI43" s="106">
        <f t="array" ref="AI43">MAX(INDEX(properties!A$1:CB$87,'Fórmula'!B43,10),INDEX(properties!A$1:CB$87,'Fórmula'!D43,10),INDEX(properties!A$1:CB$87,'Fórmula'!F43,10),INDEX(properties!A$1:CB$87,'Fórmula'!H43,10),INDEX(properties!A$1:CB$87,'Fórmula'!J43,10))</f>
        <v>7</v>
      </c>
      <c r="AJ43" s="106">
        <f t="array" ref="AJ43">MIN(IF(INDEX(properties!A$1:CB$87,'Fórmula'!B43,10)=0,10^6,INDEX(properties!A$1:CB$87,'Fórmula'!B43,10)),IF(INDEX(properties!A$1:CB$87,'Fórmula'!D43,10)=0,10^6,INDEX(properties!A$1:CB$87,'Fórmula'!D43,10)),IF(INDEX(properties!A$1:CB$87,'Fórmula'!F43,10)=0,10^6,INDEX(properties!A$1:CB$87,'Fórmula'!F43,10)),IF(INDEX(properties!A$1:CB$87,'Fórmula'!H43,10)=0,10^6,INDEX(properties!A$1:CB$87,'Fórmula'!H43,10)),IF(INDEX(properties!A$1:CB$87,'Fórmula'!J43,10)=0,10^6,INDEX(properties!A$1:CB$87,'Fórmula'!J43,10)))</f>
        <v>3</v>
      </c>
      <c r="AK43" s="106">
        <f t="shared" si="6"/>
        <v>4</v>
      </c>
      <c r="AL43" s="107">
        <f t="array" ref="AL43">(('Fórmula'!C43)/('Fórmula'!C43+'Fórmula'!E43+'Fórmula'!G43+'Fórmula'!I43+'Fórmula'!K43))*(INDEX(properties!A$1:CB$87,'Fórmula'!B43,11))+(('Fórmula'!E43)/('Fórmula'!C43+'Fórmula'!E43+'Fórmula'!G43+'Fórmula'!I43+'Fórmula'!K43))*(INDEX(properties!A$1:CB$87,'Fórmula'!D43,11))+(('Fórmula'!G43)/('Fórmula'!C43+'Fórmula'!E43+'Fórmula'!G43+'Fórmula'!I43+'Fórmula'!K43))*(INDEX(properties!A$1:CB$87,'Fórmula'!F43,11))+(('Fórmula'!I43)/('Fórmula'!C43+'Fórmula'!E43+'Fórmula'!G43+'Fórmula'!I43+'Fórmula'!K43))*(INDEX(properties!A$1:CB$87,'Fórmula'!H43,11))+(('Fórmula'!K43)/('Fórmula'!C43+'Fórmula'!E43+'Fórmula'!G43+'Fórmula'!I43+'Fórmula'!K43))*(INDEX(properties!A$1:CB$87,'Fórmula'!J43,11))</f>
        <v>2</v>
      </c>
      <c r="AM43" s="107">
        <f t="array" ref="AM43">'Fórmula'!C43*(INDEX(properties!A$1:CB$87,'Fórmula'!B43,11))+'Fórmula'!E43*(INDEX(properties!A$1:CB$87,'Fórmula'!D43,11))+'Fórmula'!G43*(INDEX(properties!A$1:CB$87,'Fórmula'!F43,11))+'Fórmula'!I43*(INDEX(properties!A$1:CB$87,'Fórmula'!H43,11))+'Fórmula'!K43*(INDEX(properties!A$1:CB$87,'Fórmula'!J43,11))</f>
        <v>10</v>
      </c>
      <c r="AN43" s="107">
        <f t="array" ref="AN43">VARP(IF(INDEX(properties!A$1:CB$87,'Fórmula'!B43,11)&lt;&gt;"",INDEX(properties!A$1:CB$87,'Fórmula'!B43,11)),IF(INDEX(properties!A$1:CB$87,'Fórmula'!D43,11)&lt;&gt;"",INDEX(properties!A$1:CB$87,'Fórmula'!D43,11)),IF(INDEX(properties!A$1:CB$87,'Fórmula'!F43,11)&lt;&gt;"",INDEX(properties!A$1:CB$87,'Fórmula'!F43,11)),IF(INDEX(properties!A$1:CB$87,'Fórmula'!H43,11)&lt;&gt;"",INDEX(properties!A$1:CB$87,'Fórmula'!H43,11)),IF(INDEX(properties!A$1:CB$87,'Fórmula'!J43,11)&lt;&gt;"",INDEX(properties!A$1:CB$87,'Fórmula'!J43,11)))</f>
        <v>0.96</v>
      </c>
      <c r="AO43" s="107">
        <f t="array" ref="AO43">MAX(INDEX(properties!A$1:CB$87,'Fórmula'!B43,11),INDEX(properties!A$1:CB$87,'Fórmula'!D43,11),INDEX(properties!A$1:CB$87,'Fórmula'!F43,11),INDEX(properties!A$1:CB$87,'Fórmula'!H43,11),INDEX(properties!A$1:CB$87,'Fórmula'!J43,11))</f>
        <v>2</v>
      </c>
      <c r="AP43" s="107">
        <f t="array" ref="AP43">MIN(IF('Fórmula'!B43=87,10^6,INDEX(properties!A$1:CB$87,'Fórmula'!B43,11)),IF(('Fórmula'!D43)=87,10^6,INDEX(properties!A$1:CB$87,'Fórmula'!D43,11)),IF(('Fórmula'!F43)=87,10^6,INDEX(properties!A$1:CB$87,'Fórmula'!F43,11)),IF(('Fórmula'!H43)=87,10^6,INDEX(properties!A$1:CB$87,'Fórmula'!H43,11)),IF('Fórmula'!J43=87,10^6,INDEX(properties!A$1:CB$87,'Fórmula'!J43,11)))</f>
        <v>2</v>
      </c>
      <c r="AQ43" s="107">
        <f t="shared" si="7"/>
        <v>0</v>
      </c>
      <c r="AR43" s="108">
        <f t="array" ref="AR43">(('Fórmula'!C43)/('Fórmula'!C43+'Fórmula'!E43+'Fórmula'!G43+'Fórmula'!I43+'Fórmula'!K43))*(INDEX(properties!A$1:CB$87,'Fórmula'!B43,12))+(('Fórmula'!E43)/('Fórmula'!C43+'Fórmula'!E43+'Fórmula'!G43+'Fórmula'!I43+'Fórmula'!K43))*(INDEX(properties!A$1:CB$87,'Fórmula'!D43,12))+(('Fórmula'!G43)/('Fórmula'!C43+'Fórmula'!E43+'Fórmula'!G43+'Fórmula'!I43+'Fórmula'!K43))*(INDEX(properties!A$1:CB$87,'Fórmula'!F43,12))+(('Fórmula'!I43)/('Fórmula'!C43+'Fórmula'!E43+'Fórmula'!G43+'Fórmula'!I43+'Fórmula'!K43))*(INDEX(properties!A$1:CB$87,'Fórmula'!H43,12))+(('Fórmula'!K43)/('Fórmula'!C43+'Fórmula'!E43+'Fórmula'!G43+'Fórmula'!I43+'Fórmula'!K43))*(INDEX(properties!A$1:CB$87,'Fórmula'!J43,12))</f>
        <v>2.4</v>
      </c>
      <c r="AS43" s="108">
        <f t="array" ref="AS43">'Fórmula'!C43*(INDEX(properties!A$1:CB$87,'Fórmula'!B43,12))+'Fórmula'!E43*(INDEX(properties!A$1:CB$87,'Fórmula'!D43,12))+'Fórmula'!G43*(INDEX(properties!A$1:CB$87,'Fórmula'!F43,12))+'Fórmula'!I43*(INDEX(properties!A$1:CB$87,'Fórmula'!H43,12))+'Fórmula'!K43*(INDEX(properties!A$1:CB$87,'Fórmula'!J43,12))</f>
        <v>12</v>
      </c>
      <c r="AT43" s="108">
        <f t="array" ref="AT43">VARP(IF(INDEX(properties!A$1:CB$87,'Fórmula'!B43,12)&lt;&gt;"",INDEX(properties!A$1:CB$87,'Fórmula'!B43,12)),IF(INDEX(properties!A$1:CB$87,'Fórmula'!D43,12)&lt;&gt;"",INDEX(properties!A$1:CB$87,'Fórmula'!D43,12)),IF(INDEX(properties!A$1:CB$87,'Fórmula'!F43,12)&lt;&gt;"",INDEX(properties!A$1:CB$87,'Fórmula'!F43,12)),IF(INDEX(properties!A$1:CB$87,'Fórmula'!H43,12)&lt;&gt;"",INDEX(properties!A$1:CB$87,'Fórmula'!H43,12)),IF(INDEX(properties!A$1:CB$87,'Fórmula'!J43,12)&lt;&gt;"",INDEX(properties!A$1:CB$87,'Fórmula'!J43,12)))</f>
        <v>2.56</v>
      </c>
      <c r="AU43" s="108">
        <f t="array" ref="AU43">MAX(INDEX(properties!A$1:CB$87,'Fórmula'!B43,12),INDEX(properties!A$1:CB$87,'Fórmula'!D43,12),INDEX(properties!A$1:CB$87,'Fórmula'!F43,12),INDEX(properties!A$1:CB$87,'Fórmula'!H43,12),INDEX(properties!A$1:CB$87,'Fórmula'!J43,12))</f>
        <v>4</v>
      </c>
      <c r="AV43" s="108">
        <f t="array" ref="AV43">MIN(IF('Fórmula'!B43=87,10^6,INDEX(properties!A$1:CB$87,'Fórmula'!B43,12)),IF(('Fórmula'!D43)=87,10^6,INDEX(properties!A$1:CB$87,'Fórmula'!D43,12)),IF(('Fórmula'!F43)=87,10^6,INDEX(properties!A$1:CB$87,'Fórmula'!F43,12)),IF(('Fórmula'!H43)=87,10^6,INDEX(properties!A$1:CB$87,'Fórmula'!H43,12)),IF('Fórmula'!J43=87,10^6,INDEX(properties!A$1:CB$87,'Fórmula'!J43,12)))</f>
        <v>0</v>
      </c>
      <c r="AW43" s="108">
        <f t="shared" si="8"/>
        <v>4</v>
      </c>
      <c r="AX43" s="109">
        <f t="array" ref="AX43">(('Fórmula'!C43)/('Fórmula'!C43+'Fórmula'!E43+'Fórmula'!G43+'Fórmula'!I43+'Fórmula'!K43))*(INDEX(properties!A$1:CB$87,'Fórmula'!B43,13))+(('Fórmula'!E43)/('Fórmula'!C43+'Fórmula'!E43+'Fórmula'!G43+'Fórmula'!I43+'Fórmula'!K43))*(INDEX(properties!A$1:CB$87,'Fórmula'!D43,13))+(('Fórmula'!G43)/('Fórmula'!C43+'Fórmula'!E43+'Fórmula'!G43+'Fórmula'!I43+'Fórmula'!K43))*(INDEX(properties!A$1:CB$87,'Fórmula'!F43,13))+(('Fórmula'!I43)/('Fórmula'!C43+'Fórmula'!E43+'Fórmula'!G43+'Fórmula'!I43+'Fórmula'!K43))*(INDEX(properties!A$1:CB$87,'Fórmula'!H43,13))+(('Fórmula'!K43)/('Fórmula'!C43+'Fórmula'!E43+'Fórmula'!G43+'Fórmula'!I43+'Fórmula'!K43))*(INDEX(properties!A$1:CB$87,'Fórmula'!J43,13))</f>
        <v>0.4</v>
      </c>
      <c r="AY43" s="109">
        <f t="array" ref="AY43">'Fórmula'!C43*(INDEX(properties!A$1:CB$87,'Fórmula'!B43,13))+'Fórmula'!E43*(INDEX(properties!A$1:CB$87,'Fórmula'!D43,13))+'Fórmula'!G43*(INDEX(properties!A$1:CB$87,'Fórmula'!F43,13))+'Fórmula'!I43*(INDEX(properties!A$1:CB$87,'Fórmula'!H43,13))+'Fórmula'!K43*(INDEX(properties!A$1:CB$87,'Fórmula'!J43,13))</f>
        <v>2</v>
      </c>
      <c r="AZ43" s="109">
        <f t="array" ref="AZ43">VARP(IF(INDEX(properties!A$1:CB$87,'Fórmula'!B43,13)&lt;&gt;"",INDEX(properties!A$1:CB$87,'Fórmula'!B43,13)),IF(INDEX(properties!A$1:CB$87,'Fórmula'!D43,13)&lt;&gt;"",INDEX(properties!A$1:CB$87,'Fórmula'!D43,13)),IF(INDEX(properties!A$1:CB$87,'Fórmula'!F43,13)&lt;&gt;"",INDEX(properties!A$1:CB$87,'Fórmula'!F43,13)),IF(INDEX(properties!A$1:CB$87,'Fórmula'!H43,13)&lt;&gt;"",INDEX(properties!A$1:CB$87,'Fórmula'!H43,13)),IF(INDEX(properties!A$1:CB$87,'Fórmula'!J43,13)&lt;&gt;"",INDEX(properties!A$1:CB$87,'Fórmula'!J43,13)))</f>
        <v>0.16</v>
      </c>
      <c r="BA43" s="109">
        <f t="array" ref="BA43">MAX(INDEX(properties!A$1:CB$87,'Fórmula'!B43,13),INDEX(properties!A$1:CB$87,'Fórmula'!D43,13),INDEX(properties!A$1:CB$87,'Fórmula'!F43,13),INDEX(properties!A$1:CB$87,'Fórmula'!H43,13),INDEX(properties!A$1:CB$87,'Fórmula'!J43,13))</f>
        <v>1</v>
      </c>
      <c r="BB43" s="109">
        <f t="array" ref="BB43">MIN(IF('Fórmula'!B43=87,10^6,INDEX(properties!A$1:CB$87,'Fórmula'!B43,13)),IF(('Fórmula'!D43)=87,10^6,INDEX(properties!A$1:CB$87,'Fórmula'!D43,13)),IF(('Fórmula'!F43)=87,10^6,INDEX(properties!A$1:CB$87,'Fórmula'!F43,13)),IF(('Fórmula'!H43)=87,10^6,INDEX(properties!A$1:CB$87,'Fórmula'!H43,13)),IF('Fórmula'!J43=87,10^6,INDEX(properties!A$1:CB$87,'Fórmula'!J43,13)))</f>
        <v>0</v>
      </c>
      <c r="BC43" s="109">
        <f t="shared" si="9"/>
        <v>1</v>
      </c>
      <c r="BD43" s="110">
        <f t="array" ref="BD43">(('Fórmula'!C43)/('Fórmula'!C43+'Fórmula'!E43+'Fórmula'!G43+'Fórmula'!I43+'Fórmula'!K43))*(INDEX(properties!A$1:CB$87,'Fórmula'!B43,14))+(('Fórmula'!E43)/('Fórmula'!C43+'Fórmula'!E43+'Fórmula'!G43+'Fórmula'!I43+'Fórmula'!K43))*(INDEX(properties!A$1:CB$87,'Fórmula'!D43,14))+(('Fórmula'!G43)/('Fórmula'!C43+'Fórmula'!E43+'Fórmula'!G43+'Fórmula'!I43+'Fórmula'!K43))*(INDEX(properties!A$1:CB$87,'Fórmula'!F43,14))+(('Fórmula'!I43)/('Fórmula'!C43+'Fórmula'!E43+'Fórmula'!G43+'Fórmula'!I43+'Fórmula'!K43))*(INDEX(properties!A$1:CB$87,'Fórmula'!H43,14))+(('Fórmula'!K43)/('Fórmula'!C43+'Fórmula'!E43+'Fórmula'!G43+'Fórmula'!I43+'Fórmula'!K43))*(INDEX(properties!A$1:CB$87,'Fórmula'!J43,14))</f>
        <v>0</v>
      </c>
      <c r="BE43" s="110">
        <f t="array" ref="BE43">'Fórmula'!C43*(INDEX(properties!A$1:CB$87,'Fórmula'!B43,14))+'Fórmula'!E43*(INDEX(properties!A$1:CB$87,'Fórmula'!D43,14))+'Fórmula'!G43*(INDEX(properties!A$1:CB$87,'Fórmula'!F43,14))+'Fórmula'!I43*(INDEX(properties!A$1:CB$87,'Fórmula'!H43,14))+'Fórmula'!K43*(INDEX(properties!A$1:CB$87,'Fórmula'!J43,14))</f>
        <v>0</v>
      </c>
      <c r="BF43" s="110">
        <f t="array" ref="BF43">VARP(IF(INDEX(properties!A$1:CB$87,'Fórmula'!B43,14)&lt;&gt;"",INDEX(properties!A$1:CB$87,'Fórmula'!B43,14)),IF(INDEX(properties!A$1:CB$87,'Fórmula'!D43,14)&lt;&gt;"",INDEX(properties!A$1:CB$87,'Fórmula'!D43,14)),IF(INDEX(properties!A$1:CB$87,'Fórmula'!F43,14)&lt;&gt;"",INDEX(properties!A$1:CB$87,'Fórmula'!F43,14)),IF(INDEX(properties!A$1:CB$87,'Fórmula'!H43,14)&lt;&gt;"",INDEX(properties!A$1:CB$87,'Fórmula'!H43,14)),IF(INDEX(properties!A$1:CB$87,'Fórmula'!J43,14)&lt;&gt;"",INDEX(properties!A$1:CB$87,'Fórmula'!J43,14)))</f>
        <v>0</v>
      </c>
      <c r="BG43" s="110">
        <f t="array" ref="BG43">MAX(INDEX(properties!A$1:CB$87,'Fórmula'!B43,14),INDEX(properties!A$1:CB$87,'Fórmula'!D43,14),INDEX(properties!A$1:CB$87,'Fórmula'!F43,14),INDEX(properties!A$1:CB$87,'Fórmula'!H43,14),INDEX(properties!A$1:CB$87,'Fórmula'!J43,14))</f>
        <v>0</v>
      </c>
      <c r="BH43" s="110">
        <f t="array" ref="BH43">MIN(IF('Fórmula'!B43=87,10^6,INDEX(properties!A$1:CB$87,'Fórmula'!B43,14)),IF(('Fórmula'!D43)=87,10^6,INDEX(properties!A$1:CB$87,'Fórmula'!D43,14)),IF(('Fórmula'!F43)=87,10^6,INDEX(properties!A$1:CB$87,'Fórmula'!F43,14)),IF(('Fórmula'!H43)=87,10^6,INDEX(properties!A$1:CB$87,'Fórmula'!H43,14)),IF('Fórmula'!J43=87,10^6,INDEX(properties!A$1:CB$87,'Fórmula'!J43,14)))</f>
        <v>0</v>
      </c>
      <c r="BI43" s="110">
        <f t="shared" si="10"/>
        <v>0</v>
      </c>
      <c r="BJ43" s="111">
        <f t="array" ref="BJ43">(('Fórmula'!C43)/('Fórmula'!C43+'Fórmula'!E43+'Fórmula'!G43+'Fórmula'!I43+'Fórmula'!K43))*(INDEX(properties!A$1:CB$87,'Fórmula'!B43,19))+(('Fórmula'!E43)/('Fórmula'!C43+'Fórmula'!E43+'Fórmula'!G43+'Fórmula'!I43+'Fórmula'!K43))*(INDEX(properties!A$1:CB$87,'Fórmula'!D43,19))+(('Fórmula'!G43)/('Fórmula'!C43+'Fórmula'!E43+'Fórmula'!G43+'Fórmula'!I43+'Fórmula'!K43))*(INDEX(properties!A$1:CB$87,'Fórmula'!F43,19))+(('Fórmula'!I43)/('Fórmula'!C43+'Fórmula'!E43+'Fórmula'!G43+'Fórmula'!I43+'Fórmula'!K43))*(INDEX(properties!A$1:CB$87,'Fórmula'!H43,19))+(('Fórmula'!K43)/('Fórmula'!C43+'Fórmula'!E43+'Fórmula'!G43+'Fórmula'!I43+'Fórmula'!K43))*(INDEX(properties!A$1:CB$87,'Fórmula'!J43,19))</f>
        <v>4.8</v>
      </c>
      <c r="BK43" s="111">
        <f t="array" ref="BK43">'Fórmula'!C43*(INDEX(properties!A$1:CB$87,'Fórmula'!B43,19))+'Fórmula'!E43*(INDEX(properties!A$1:CB$87,'Fórmula'!D43,19))+'Fórmula'!G43*(INDEX(properties!A$1:CB$87,'Fórmula'!F43,19))+'Fórmula'!I43*(INDEX(properties!A$1:CB$87,'Fórmula'!H43,19))+'Fórmula'!K43*(INDEX(properties!A$1:CB$87,'Fórmula'!J43,19))</f>
        <v>24</v>
      </c>
      <c r="BL43" s="111">
        <f t="array" ref="BL43">VARP(IF(INDEX(properties!A$1:CB$87,'Fórmula'!B43,19)&lt;&gt;"",INDEX(properties!A$1:CB$87,'Fórmula'!B43,19)),IF(INDEX(properties!A$1:CB$87,'Fórmula'!D43,19)&lt;&gt;"",INDEX(properties!A$1:CB$87,'Fórmula'!D43,19)),IF(INDEX(properties!A$1:CB$87,'Fórmula'!F43,19)&lt;&gt;"",INDEX(properties!A$1:CB$87,'Fórmula'!F43,19)),IF(INDEX(properties!A$1:CB$87,'Fórmula'!H43,19)&lt;&gt;"",INDEX(properties!A$1:CB$87,'Fórmula'!H43,19)),IF(INDEX(properties!A$1:CB$87,'Fórmula'!J43,19)&lt;&gt;"",INDEX(properties!A$1:CB$87,'Fórmula'!J43,19)))</f>
        <v>5.76</v>
      </c>
      <c r="BM43" s="111">
        <f t="array" ref="BM43">MAX(INDEX(properties!A$1:CB$87,'Fórmula'!B43,19),INDEX(properties!A$1:CB$87,'Fórmula'!D43,19),INDEX(properties!A$1:CB$87,'Fórmula'!F43,19),INDEX(properties!A$1:CB$87,'Fórmula'!H43,19),INDEX(properties!A$1:CB$87,'Fórmula'!J43,19))</f>
        <v>6</v>
      </c>
      <c r="BN43" s="111">
        <f t="array" ref="BN43">MIN(IF(INDEX(properties!A$1:CB$87,'Fórmula'!B43,19)=0,10^6,INDEX(properties!A$1:CB$87,'Fórmula'!B43,19)),IF(INDEX(properties!A$1:CB$87,'Fórmula'!D43,19)=0,10^6,INDEX(properties!A$1:CB$87,'Fórmula'!D43,19)),IF(INDEX(properties!A$1:CB$87,'Fórmula'!F43,19)=0,10^6,INDEX(properties!A$1:CB$87,'Fórmula'!F43,19)),IF(INDEX(properties!A$1:CB$87,'Fórmula'!H43,19)=0,10^6,INDEX(properties!A$1:CB$87,'Fórmula'!H43,19)),IF(INDEX(properties!A$1:CB$87,'Fórmula'!J43,19)=0,10^6,INDEX(properties!A$1:CB$87,'Fórmula'!J43,19)))</f>
        <v>3</v>
      </c>
      <c r="BO43" s="111">
        <f t="shared" si="11"/>
        <v>3</v>
      </c>
      <c r="BP43" s="112">
        <f t="array" ref="BP43">(('Fórmula'!C43)/('Fórmula'!C43+'Fórmula'!E43+'Fórmula'!G43+'Fórmula'!I43+'Fórmula'!K43))*(INDEX(properties!A$1:CB$87,'Fórmula'!B43,20))+(('Fórmula'!E43)/('Fórmula'!C43+'Fórmula'!E43+'Fórmula'!G43+'Fórmula'!I43+'Fórmula'!K43))*(INDEX(properties!A$1:CB$87,'Fórmula'!D43,20))+(('Fórmula'!G43)/('Fórmula'!C43+'Fórmula'!E43+'Fórmula'!G43+'Fórmula'!I43+'Fórmula'!K43))*(INDEX(properties!A$1:CB$87,'Fórmula'!F43,20))+(('Fórmula'!I43)/('Fórmula'!C43+'Fórmula'!E43+'Fórmula'!G43+'Fórmula'!I43+'Fórmula'!K43))*(INDEX(properties!A$1:CB$87,'Fórmula'!H43,20))+(('Fórmula'!K43)/('Fórmula'!C43+'Fórmula'!E43+'Fórmula'!G43+'Fórmula'!I43+'Fórmula'!K43))*(INDEX(properties!A$1:CB$87,'Fórmula'!J43,20))</f>
        <v>4.4</v>
      </c>
      <c r="BQ43" s="112">
        <f t="array" ref="BQ43">'Fórmula'!C43*(INDEX(properties!A$1:CB$87,'Fórmula'!B43,20))+'Fórmula'!E43*(INDEX(properties!A$1:CB$87,'Fórmula'!D43,20))+'Fórmula'!G43*(INDEX(properties!A$1:CB$87,'Fórmula'!F43,20))+'Fórmula'!I43*(INDEX(properties!A$1:CB$87,'Fórmula'!H43,20))+'Fórmula'!K43*(INDEX(properties!A$1:CB$87,'Fórmula'!J43,20))</f>
        <v>22</v>
      </c>
      <c r="BR43" s="112">
        <f t="array" ref="BR43">VARP(IF(INDEX(properties!A$1:CB$87,'Fórmula'!B43,20)&lt;&gt;"",INDEX(properties!A$1:CB$87,'Fórmula'!B43,20)),IF(INDEX(properties!A$1:CB$87,'Fórmula'!D43,20)&lt;&gt;"",INDEX(properties!A$1:CB$87,'Fórmula'!D43,20)),IF(INDEX(properties!A$1:CB$87,'Fórmula'!F43,20)&lt;&gt;"",INDEX(properties!A$1:CB$87,'Fórmula'!F43,20)),IF(INDEX(properties!A$1:CB$87,'Fórmula'!H43,20)&lt;&gt;"",INDEX(properties!A$1:CB$87,'Fórmula'!H43,20)),IF(INDEX(properties!A$1:CB$87,'Fórmula'!J43,20)&lt;&gt;"",INDEX(properties!A$1:CB$87,'Fórmula'!J43,20)))</f>
        <v>5.44</v>
      </c>
      <c r="BS43" s="112">
        <f t="array" ref="BS43">MAX(INDEX(properties!A$1:CB$87,'Fórmula'!B43,20),INDEX(properties!A$1:CB$87,'Fórmula'!D43,20),INDEX(properties!A$1:CB$87,'Fórmula'!F43,20),INDEX(properties!A$1:CB$87,'Fórmula'!H43,20),INDEX(properties!A$1:CB$87,'Fórmula'!J43,20))</f>
        <v>6</v>
      </c>
      <c r="BT43" s="112">
        <f t="array" ref="BT43">MIN(IF(INDEX(properties!A$1:CB$87,'Fórmula'!B43,20)=0,10^6,INDEX(properties!A$1:CB$87,'Fórmula'!B43,20)),IF(INDEX(properties!A$1:CB$87,'Fórmula'!D43,20)=0,10^6,INDEX(properties!A$1:CB$87,'Fórmula'!D43,20)),IF(INDEX(properties!A$1:CB$87,'Fórmula'!F43,20)=0,10^6,INDEX(properties!A$1:CB$87,'Fórmula'!F43,20)),IF(INDEX(properties!A$1:CB$87,'Fórmula'!H43,20)=0,10^6,INDEX(properties!A$1:CB$87,'Fórmula'!H43,20)),IF(INDEX(properties!A$1:CB$87,'Fórmula'!J43,20)=0,10^6,INDEX(properties!A$1:CB$87,'Fórmula'!J43,20)))</f>
        <v>2</v>
      </c>
      <c r="BU43" s="112">
        <f t="shared" si="12"/>
        <v>4</v>
      </c>
      <c r="BV43" s="113">
        <f t="array" ref="BV43">(('Fórmula'!C43)/('Fórmula'!C43+'Fórmula'!E43+'Fórmula'!G43+'Fórmula'!I43+'Fórmula'!K43))*(INDEX(properties!A$1:CB$87,'Fórmula'!B43,21))+(('Fórmula'!E43)/('Fórmula'!C43+'Fórmula'!E43+'Fórmula'!G43+'Fórmula'!I43+'Fórmula'!K43))*(INDEX(properties!A$1:CB$87,'Fórmula'!D43,21))+(('Fórmula'!G43)/('Fórmula'!C43+'Fórmula'!E43+'Fórmula'!G43+'Fórmula'!I43+'Fórmula'!K43))*(INDEX(properties!A$1:CB$87,'Fórmula'!F43,21))+(('Fórmula'!I43)/('Fórmula'!C43+'Fórmula'!E43+'Fórmula'!G43+'Fórmula'!I43+'Fórmula'!K43))*(INDEX(properties!A$1:CB$87,'Fórmula'!H43,21))+(('Fórmula'!K43)/('Fórmula'!C43+'Fórmula'!E43+'Fórmula'!G43+'Fórmula'!I43+'Fórmula'!K43))*(INDEX(properties!A$1:CB$87,'Fórmula'!J43,21))</f>
        <v>4</v>
      </c>
      <c r="BW43" s="113">
        <f t="array" ref="BW43">'Fórmula'!C43*(INDEX(properties!A$1:CB$87,'Fórmula'!B43,21))+'Fórmula'!E43*(INDEX(properties!A$1:CB$87,'Fórmula'!D43,21))+'Fórmula'!G43*(INDEX(properties!A$1:CB$87,'Fórmula'!F43,21))+'Fórmula'!I43*(INDEX(properties!A$1:CB$87,'Fórmula'!H43,21))+'Fórmula'!K43*(INDEX(properties!A$1:CB$87,'Fórmula'!J43,21))</f>
        <v>20</v>
      </c>
      <c r="BX43" s="113">
        <f t="array" ref="BX43">VARP(IF(INDEX(properties!A$1:CB$87,'Fórmula'!B43,21)&lt;&gt;"",INDEX(properties!A$1:CB$87,'Fórmula'!B43,21)),IF(INDEX(properties!A$1:CB$87,'Fórmula'!D43,21)&lt;&gt;"",INDEX(properties!A$1:CB$87,'Fórmula'!D43,21)),IF(INDEX(properties!A$1:CB$87,'Fórmula'!F43,21)&lt;&gt;"",INDEX(properties!A$1:CB$87,'Fórmula'!F43,21)),IF(INDEX(properties!A$1:CB$87,'Fórmula'!H43,21)&lt;&gt;"",INDEX(properties!A$1:CB$87,'Fórmula'!H43,21)),IF(INDEX(properties!A$1:CB$87,'Fórmula'!J43,21)&lt;&gt;"",INDEX(properties!A$1:CB$87,'Fórmula'!J43,21)))</f>
        <v>5.44</v>
      </c>
      <c r="BY43" s="113">
        <f t="array" ref="BY43">MAX(INDEX(properties!A$1:CB$87,'Fórmula'!B43,21),INDEX(properties!A$1:CB$87,'Fórmula'!D43,21),INDEX(properties!A$1:CB$87,'Fórmula'!F43,21),INDEX(properties!A$1:CB$87,'Fórmula'!H43,21),INDEX(properties!A$1:CB$87,'Fórmula'!J43,21))</f>
        <v>6</v>
      </c>
      <c r="BZ43" s="113">
        <f t="array" ref="BZ43">MIN(IF(INDEX(properties!A$1:CB$87,'Fórmula'!B43,21)=0,10^6,INDEX(properties!A$1:CB$87,'Fórmula'!B43,21)),IF(INDEX(properties!A$1:CB$87,'Fórmula'!D43,21)=0,10^6,INDEX(properties!A$1:CB$87,'Fórmula'!D43,21)),IF(INDEX(properties!A$1:CB$87,'Fórmula'!F43,21)=0,10^6,INDEX(properties!A$1:CB$87,'Fórmula'!F43,21)),IF(INDEX(properties!A$1:CB$87,'Fórmula'!H43,21)=0,10^6,INDEX(properties!A$1:CB$87,'Fórmula'!H43,21)),IF(INDEX(properties!A$1:CB$87,'Fórmula'!J43,21)=0,10^6,INDEX(properties!A$1:CB$87,'Fórmula'!J43,21)))</f>
        <v>1</v>
      </c>
      <c r="CA43" s="113">
        <f t="shared" si="13"/>
        <v>5</v>
      </c>
      <c r="CB43" s="114">
        <f t="array" ref="CB43">(('Fórmula'!C43)/('Fórmula'!C43+'Fórmula'!E43+'Fórmula'!G43+'Fórmula'!I43+'Fórmula'!K43))*(INDEX(properties!A$1:CB$87,'Fórmula'!B43,23))+(('Fórmula'!E43)/('Fórmula'!C43+'Fórmula'!E43+'Fórmula'!G43+'Fórmula'!I43+'Fórmula'!K43))*(INDEX(properties!A$1:CB$87,'Fórmula'!D43,23))+(('Fórmula'!G43)/('Fórmula'!C43+'Fórmula'!E43+'Fórmula'!G43+'Fórmula'!I43+'Fórmula'!K43))*(INDEX(properties!A$1:CB$87,'Fórmula'!F43,23))+(('Fórmula'!I43)/('Fórmula'!C43+'Fórmula'!E43+'Fórmula'!G43+'Fórmula'!I43+'Fórmula'!K43))*(INDEX(properties!A$1:CB$87,'Fórmula'!H43,23))+(('Fórmula'!K43)/('Fórmula'!C43+'Fórmula'!E43+'Fórmula'!G43+'Fórmula'!I43+'Fórmula'!K43))*(INDEX(properties!A$1:CB$87,'Fórmula'!J43,23))</f>
        <v>1.2</v>
      </c>
      <c r="CC43" s="114">
        <f t="array" ref="CC43">'Fórmula'!C43*(INDEX(properties!A$1:CB$87,'Fórmula'!B43,23))+'Fórmula'!E43*(INDEX(properties!A$1:CB$87,'Fórmula'!D43,23))+'Fórmula'!G43*(INDEX(properties!A$1:CB$87,'Fórmula'!F43,23))+'Fórmula'!I43*(INDEX(properties!A$1:CB$87,'Fórmula'!H43,23))+'Fórmula'!K43*(INDEX(properties!A$1:CB$87,'Fórmula'!J43,23))</f>
        <v>6</v>
      </c>
      <c r="CD43" s="114">
        <f t="array" ref="CD43">VARP(IF(INDEX(properties!A$1:CB$87,'Fórmula'!B43,23)&lt;&gt;"",INDEX(properties!A$1:CB$87,'Fórmula'!B43,23)),IF(INDEX(properties!A$1:CB$87,'Fórmula'!D43,23)&lt;&gt;"",INDEX(properties!A$1:CB$87,'Fórmula'!D43,23)),IF(INDEX(properties!A$1:CB$87,'Fórmula'!F43,23)&lt;&gt;"",INDEX(properties!A$1:CB$87,'Fórmula'!F43,23)),IF(INDEX(properties!A$1:CB$87,'Fórmula'!H43,23)&lt;&gt;"",INDEX(properties!A$1:CB$87,'Fórmula'!H43,23)),IF(INDEX(properties!A$1:CB$87,'Fórmula'!J43,23)&lt;&gt;"",INDEX(properties!A$1:CB$87,'Fórmula'!J43,23)))</f>
        <v>1.44</v>
      </c>
      <c r="CE43" s="114">
        <f t="array" ref="CE43">MAX(INDEX(properties!A$1:CB$87,'Fórmula'!B43,23),INDEX(properties!A$1:CB$87,'Fórmula'!D43,23),INDEX(properties!A$1:CB$87,'Fórmula'!F43,23),INDEX(properties!A$1:CB$87,'Fórmula'!H43,23),INDEX(properties!A$1:CB$87,'Fórmula'!J43,23))</f>
        <v>3</v>
      </c>
      <c r="CF43" s="114">
        <f t="array" ref="CF43">MIN(IF('Fórmula'!B43=87,10^6,INDEX(properties!A$1:CB$87,'Fórmula'!B43,23)),IF(('Fórmula'!D43)=87,10^6,INDEX(properties!A$1:CB$87,'Fórmula'!D43,23)),IF(('Fórmula'!F43)=87,10^6,INDEX(properties!A$1:CB$87,'Fórmula'!F43,23)),IF(('Fórmula'!H43)=87,10^6,INDEX(properties!A$1:CB$87,'Fórmula'!H43,23)),IF('Fórmula'!J43=87,10^6,INDEX(properties!A$1:CB$87,'Fórmula'!J43,23)))</f>
        <v>0</v>
      </c>
      <c r="CG43" s="114">
        <f t="shared" si="14"/>
        <v>3</v>
      </c>
      <c r="CH43" s="115">
        <f t="array" ref="CH43">(('Fórmula'!C43)/('Fórmula'!C43+'Fórmula'!E43+'Fórmula'!G43+'Fórmula'!I43+'Fórmula'!K43))*(INDEX(properties!A$1:CB$87,'Fórmula'!B43,26))+(('Fórmula'!E43)/('Fórmula'!C43+'Fórmula'!E43+'Fórmula'!G43+'Fórmula'!I43+'Fórmula'!K43))*(INDEX(properties!A$1:CB$87,'Fórmula'!D43,26))+(('Fórmula'!G43)/('Fórmula'!C43+'Fórmula'!E43+'Fórmula'!G43+'Fórmula'!I43+'Fórmula'!K43))*(INDEX(properties!A$1:CB$87,'Fórmula'!F43,26))+(('Fórmula'!I43)/('Fórmula'!C43+'Fórmula'!E43+'Fórmula'!G43+'Fórmula'!I43+'Fórmula'!K43))*(INDEX(properties!A$1:CB$87,'Fórmula'!H43,26))+(('Fórmula'!K43)/('Fórmula'!C43+'Fórmula'!E43+'Fórmula'!G43+'Fórmula'!I43+'Fórmula'!K43))*(INDEX(properties!A$1:CB$87,'Fórmula'!J43,26))</f>
        <v>10.65778</v>
      </c>
      <c r="CI43" s="115">
        <f t="array" ref="CI43">'Fórmula'!C43*(INDEX(properties!A$1:CB$87,'Fórmula'!B43,26))+'Fórmula'!E43*(INDEX(properties!A$1:CB$87,'Fórmula'!D43,26))+'Fórmula'!G43*(INDEX(properties!A$1:CB$87,'Fórmula'!F43,26))+'Fórmula'!I43*(INDEX(properties!A$1:CB$87,'Fórmula'!H43,26))+'Fórmula'!K43*(INDEX(properties!A$1:CB$87,'Fórmula'!J43,26))</f>
        <v>53.2889</v>
      </c>
      <c r="CJ43" s="115">
        <f t="array" ref="CJ43">VARP(IF(INDEX(properties!A$1:CB$87,'Fórmula'!B43,26)&lt;&gt;"",INDEX(properties!A$1:CB$87,'Fórmula'!B43,26)),IF(INDEX(properties!A$1:CB$87,'Fórmula'!D43,26)&lt;&gt;"",INDEX(properties!A$1:CB$87,'Fórmula'!D43,26)),IF(INDEX(properties!A$1:CB$87,'Fórmula'!F43,26)&lt;&gt;"",INDEX(properties!A$1:CB$87,'Fórmula'!F43,26)),IF(INDEX(properties!A$1:CB$87,'Fórmula'!H43,26)&lt;&gt;"",INDEX(properties!A$1:CB$87,'Fórmula'!H43,26)),IF(INDEX(properties!A$1:CB$87,'Fórmula'!J43,26)&lt;&gt;"",INDEX(properties!A$1:CB$87,'Fórmula'!J43,26)))</f>
        <v>29.08376965</v>
      </c>
      <c r="CK43" s="116">
        <f t="array" ref="CK43">MAX(INDEX(properties!A$1:CB$87,'Fórmula'!B43,26),INDEX(properties!A$1:CB$87,'Fórmula'!D43,26),INDEX(properties!A$1:CB$87,'Fórmula'!F43,26),INDEX(properties!A$1:CB$87,'Fórmula'!H43,26),INDEX(properties!A$1:CB$87,'Fórmula'!J43,26))</f>
        <v>13.6181</v>
      </c>
      <c r="CL43" s="116">
        <f t="array" ref="CL43">MIN(IF(INDEX(properties!A$1:CB$87,'Fórmula'!B43,26)=0,10^6,INDEX(properties!A$1:CB$87,'Fórmula'!B43,26)),IF(INDEX(properties!A$1:CB$87,'Fórmula'!D43,26)=0,10^6,INDEX(properties!A$1:CB$87,'Fórmula'!D43,26)),IF(INDEX(properties!A$1:CB$87,'Fórmula'!F43,26)=0,10^6,INDEX(properties!A$1:CB$87,'Fórmula'!F43,26)),IF(INDEX(properties!A$1:CB$87,'Fórmula'!H43,26)=0,10^6,INDEX(properties!A$1:CB$87,'Fórmula'!H43,26)),IF(INDEX(properties!A$1:CB$87,'Fórmula'!J43,26)=0,10^6,INDEX(properties!A$1:CB$87,'Fórmula'!J43,26)))</f>
        <v>6.2173</v>
      </c>
      <c r="CM43" s="115">
        <f t="shared" si="15"/>
        <v>7.4008</v>
      </c>
      <c r="CN43" s="117">
        <f t="array" ref="CN43">(('Fórmula'!C43)/('Fórmula'!C43+'Fórmula'!E43+'Fórmula'!G43+'Fórmula'!I43+'Fórmula'!K43))*(INDEX(properties!A$1:CB$87,'Fórmula'!B43,30))+(('Fórmula'!E43)/('Fórmula'!C43+'Fórmula'!E43+'Fórmula'!G43+'Fórmula'!I43+'Fórmula'!K43))*(INDEX(properties!A$1:CB$87,'Fórmula'!D43,30))+(('Fórmula'!G43)/('Fórmula'!C43+'Fórmula'!E43+'Fórmula'!G43+'Fórmula'!I43+'Fórmula'!K43))*(INDEX(properties!A$1:CB$87,'Fórmula'!F43,30))+(('Fórmula'!I43)/('Fórmula'!C43+'Fórmula'!E43+'Fórmula'!G43+'Fórmula'!I43+'Fórmula'!K43))*(INDEX(properties!A$1:CB$87,'Fórmula'!H43,30))+(('Fórmula'!K43)/('Fórmula'!C43+'Fórmula'!E43+'Fórmula'!G43+'Fórmula'!I43+'Fórmula'!K43))*(INDEX(properties!A$1:CB$87,'Fórmula'!J43,30))</f>
        <v>2.552</v>
      </c>
      <c r="CO43" s="117">
        <f t="array" ref="CO43">'Fórmula'!C43*(INDEX(properties!A$1:CB$87,'Fórmula'!B43,30))+'Fórmula'!E43*(INDEX(properties!A$1:CB$87,'Fórmula'!D43,30))+'Fórmula'!G43*(INDEX(properties!A$1:CB$87,'Fórmula'!F43,30))+'Fórmula'!I43*(INDEX(properties!A$1:CB$87,'Fórmula'!H43,30))+'Fórmula'!K43*(INDEX(properties!A$1:CB$87,'Fórmula'!J43,30))</f>
        <v>12.76</v>
      </c>
      <c r="CP43" s="117">
        <f t="array" ref="CP43">VARP(IF(INDEX(properties!A$1:CB$87,'Fórmula'!B43,30)&lt;&gt;"",INDEX(properties!A$1:CB$87,'Fórmula'!B43,30)),IF(INDEX(properties!A$1:CB$87,'Fórmula'!D43,30)&lt;&gt;"",INDEX(properties!A$1:CB$87,'Fórmula'!D43,30)),IF(INDEX(properties!A$1:CB$87,'Fórmula'!F43,30)&lt;&gt;"",INDEX(properties!A$1:CB$87,'Fórmula'!F43,30)),IF(INDEX(properties!A$1:CB$87,'Fórmula'!H43,30)&lt;&gt;"",INDEX(properties!A$1:CB$87,'Fórmula'!H43,30)),IF(INDEX(properties!A$1:CB$87,'Fórmula'!J43,30)&lt;&gt;"",INDEX(properties!A$1:CB$87,'Fórmula'!J43,30)))</f>
        <v>1.795776</v>
      </c>
      <c r="CQ43" s="117">
        <f t="array" ref="CQ43">MAX(INDEX(properties!A$1:CB$87,'Fórmula'!B43,30),INDEX(properties!A$1:CB$87,'Fórmula'!D43,30),INDEX(properties!A$1:CB$87,'Fórmula'!F43,30),INDEX(properties!A$1:CB$87,'Fórmula'!H43,30),INDEX(properties!A$1:CB$87,'Fórmula'!J43,30))</f>
        <v>3.44</v>
      </c>
      <c r="CR43" s="117">
        <f t="array" ref="CR43">MIN(IF(INDEX(properties!A$1:CB$87,'Fórmula'!B43,30)=0,10^6,INDEX(properties!A$1:CB$87,'Fórmula'!B43,30)),IF(INDEX(properties!A$1:CB$87,'Fórmula'!D43,30)=0,10^6,INDEX(properties!A$1:CB$87,'Fórmula'!D43,30)),IF(INDEX(properties!A$1:CB$87,'Fórmula'!F43,30)=0,10^6,INDEX(properties!A$1:CB$87,'Fórmula'!F43,30)),IF(INDEX(properties!A$1:CB$87,'Fórmula'!H43,30)=0,10^6,INDEX(properties!A$1:CB$87,'Fórmula'!H43,30)),IF(INDEX(properties!A$1:CB$87,'Fórmula'!J43,30)=0,10^6,INDEX(properties!A$1:CB$87,'Fórmula'!J43,30)))</f>
        <v>1.22</v>
      </c>
      <c r="CS43" s="117">
        <f t="shared" si="16"/>
        <v>2.22</v>
      </c>
      <c r="CT43" s="118">
        <f t="array" ref="CT43">(('Fórmula'!C43)/('Fórmula'!C43+'Fórmula'!E43+'Fórmula'!G43+'Fórmula'!I43+'Fórmula'!K43))*(INDEX(properties!A$1:CB$87,'Fórmula'!B43,31))+(('Fórmula'!E43)/('Fórmula'!C43+'Fórmula'!E43+'Fórmula'!G43+'Fórmula'!I43+'Fórmula'!K43))*(INDEX(properties!A$1:CB$87,'Fórmula'!D43,31))+(('Fórmula'!G43)/('Fórmula'!C43+'Fórmula'!E43+'Fórmula'!G43+'Fórmula'!I43+'Fórmula'!K43))*(INDEX(properties!A$1:CB$87,'Fórmula'!F43,31))+(('Fórmula'!I43)/('Fórmula'!C43+'Fórmula'!E43+'Fórmula'!G43+'Fórmula'!I43+'Fórmula'!K43))*(INDEX(properties!A$1:CB$87,'Fórmula'!H43,31))+(('Fórmula'!K43)/('Fórmula'!C43+'Fórmula'!E43+'Fórmula'!G43+'Fórmula'!I43+'Fórmula'!K43))*(INDEX(properties!A$1:CB$87,'Fórmula'!J43,31))</f>
        <v>2.556</v>
      </c>
      <c r="CU43" s="118">
        <f t="array" ref="CU43">'Fórmula'!C43*(INDEX(properties!A$1:CB$87,'Fórmula'!B43,31))+'Fórmula'!E43*(INDEX(properties!A$1:CB$87,'Fórmula'!D43,31))+'Fórmula'!G43*(INDEX(properties!A$1:CB$87,'Fórmula'!F43,31))+'Fórmula'!I43*(INDEX(properties!A$1:CB$87,'Fórmula'!H43,31))+'Fórmula'!K43*(INDEX(properties!A$1:CB$87,'Fórmula'!J43,31))</f>
        <v>12.78</v>
      </c>
      <c r="CV43" s="118">
        <f t="array" ref="CV43">VARP(IF(INDEX(properties!A$1:CB$87,'Fórmula'!B43,31)&lt;&gt;"",INDEX(properties!A$1:CB$87,'Fórmula'!B43,31)),IF(INDEX(properties!A$1:CB$87,'Fórmula'!D43,31)&lt;&gt;"",INDEX(properties!A$1:CB$87,'Fórmula'!D43,31)),IF(INDEX(properties!A$1:CB$87,'Fórmula'!F43,31)&lt;&gt;"",INDEX(properties!A$1:CB$87,'Fórmula'!F43,31)),IF(INDEX(properties!A$1:CB$87,'Fórmula'!H43,31)&lt;&gt;"",INDEX(properties!A$1:CB$87,'Fórmula'!H43,31)),IF(INDEX(properties!A$1:CB$87,'Fórmula'!J43,31)&lt;&gt;"",INDEX(properties!A$1:CB$87,'Fórmula'!J43,31)))</f>
        <v>1.707184</v>
      </c>
      <c r="CW43" s="118">
        <f t="array" ref="CW43">MAX(INDEX(properties!A$1:CB$87,'Fórmula'!B43,31),INDEX(properties!A$1:CB$87,'Fórmula'!D43,31),INDEX(properties!A$1:CB$87,'Fórmula'!F43,31),INDEX(properties!A$1:CB$87,'Fórmula'!H43,31),INDEX(properties!A$1:CB$87,'Fórmula'!J43,31))</f>
        <v>3.32</v>
      </c>
      <c r="CX43" s="118">
        <f t="array" ref="CX43">MIN(IF(INDEX(properties!A$1:CB$87,'Fórmula'!B43,31)=0,10^6,INDEX(properties!A$1:CB$87,'Fórmula'!B43,31)),IF(INDEX(properties!A$1:CB$87,'Fórmula'!D43,31)=0,10^6,INDEX(properties!A$1:CB$87,'Fórmula'!D43,31)),IF(INDEX(properties!A$1:CB$87,'Fórmula'!F43,31)=0,10^6,INDEX(properties!A$1:CB$87,'Fórmula'!F43,31)),IF(INDEX(properties!A$1:CB$87,'Fórmula'!H43,31)=0,10^6,INDEX(properties!A$1:CB$87,'Fórmula'!H43,31)),IF(INDEX(properties!A$1:CB$87,'Fórmula'!J43,31)=0,10^6,INDEX(properties!A$1:CB$87,'Fórmula'!J43,31)))</f>
        <v>1.41</v>
      </c>
      <c r="CY43" s="118">
        <f t="shared" si="17"/>
        <v>1.91</v>
      </c>
      <c r="CZ43" s="119">
        <f t="array" ref="CZ43">(('Fórmula'!C43)/('Fórmula'!C43+'Fórmula'!E43+'Fórmula'!G43+'Fórmula'!I43+'Fórmula'!K43))*(INDEX(properties!A$1:CB$87,'Fórmula'!B43,32))+(('Fórmula'!E43)/('Fórmula'!C43+'Fórmula'!E43+'Fórmula'!G43+'Fórmula'!I43+'Fórmula'!K43))*(INDEX(properties!A$1:CB$87,'Fórmula'!D43,32))+(('Fórmula'!G43)/('Fórmula'!C43+'Fórmula'!E43+'Fórmula'!G43+'Fórmula'!I43+'Fórmula'!K43))*(INDEX(properties!A$1:CB$87,'Fórmula'!F43,32))+(('Fórmula'!I43)/('Fórmula'!C43+'Fórmula'!E43+'Fórmula'!G43+'Fórmula'!I43+'Fórmula'!K43))*(INDEX(properties!A$1:CB$87,'Fórmula'!H43,32))+(('Fórmula'!K43)/('Fórmula'!C43+'Fórmula'!E43+'Fórmula'!G43+'Fórmula'!I43+'Fórmula'!K43))*(INDEX(properties!A$1:CB$87,'Fórmula'!J43,32))</f>
        <v>5.8</v>
      </c>
      <c r="DA43" s="119">
        <f t="array" ref="DA43">'Fórmula'!C43*(INDEX(properties!A$1:CB$87,'Fórmula'!B43,32))+'Fórmula'!E43*(INDEX(properties!A$1:CB$87,'Fórmula'!D43,32))+'Fórmula'!G43*(INDEX(properties!A$1:CB$87,'Fórmula'!F43,32))+'Fórmula'!I43*(INDEX(properties!A$1:CB$87,'Fórmula'!H43,32))+'Fórmula'!K43*(INDEX(properties!A$1:CB$87,'Fórmula'!J43,32))</f>
        <v>29</v>
      </c>
      <c r="DB43" s="119">
        <f t="array" ref="DB43">VARP(IF(INDEX(properties!A$1:CB$87,'Fórmula'!B43,32)&lt;&gt;"",INDEX(properties!A$1:CB$87,'Fórmula'!B43,32)),IF(INDEX(properties!A$1:CB$87,'Fórmula'!D43,32)&lt;&gt;"",INDEX(properties!A$1:CB$87,'Fórmula'!D43,32)),IF(INDEX(properties!A$1:CB$87,'Fórmula'!F43,32)&lt;&gt;"",INDEX(properties!A$1:CB$87,'Fórmula'!F43,32)),IF(INDEX(properties!A$1:CB$87,'Fórmula'!H43,32)&lt;&gt;"",INDEX(properties!A$1:CB$87,'Fórmula'!H43,32)),IF(INDEX(properties!A$1:CB$87,'Fórmula'!J43,32)&lt;&gt;"",INDEX(properties!A$1:CB$87,'Fórmula'!J43,32)))</f>
        <v>8.800224</v>
      </c>
      <c r="DC43" s="119">
        <f t="array" ref="DC43">MAX(INDEX(properties!A$1:CB$87,'Fórmula'!B43,32),INDEX(properties!A$1:CB$87,'Fórmula'!D43,32),INDEX(properties!A$1:CB$87,'Fórmula'!F43,32),INDEX(properties!A$1:CB$87,'Fórmula'!H43,32),INDEX(properties!A$1:CB$87,'Fórmula'!J43,32))</f>
        <v>7.54</v>
      </c>
      <c r="DD43" s="119">
        <f t="array" ref="DD43">MIN(IF(INDEX(properties!A$1:CB$87,'Fórmula'!B43,32)=0,10^6,INDEX(properties!A$1:CB$87,'Fórmula'!B43,32)),IF(INDEX(properties!A$1:CB$87,'Fórmula'!D43,32)=0,10^6,INDEX(properties!A$1:CB$87,'Fórmula'!D43,32)),IF(INDEX(properties!A$1:CB$87,'Fórmula'!F43,32)=0,10^6,INDEX(properties!A$1:CB$87,'Fórmula'!F43,32)),IF(INDEX(properties!A$1:CB$87,'Fórmula'!H43,32)=0,10^6,INDEX(properties!A$1:CB$87,'Fórmula'!H43,32)),IF(INDEX(properties!A$1:CB$87,'Fórmula'!J43,32)=0,10^6,INDEX(properties!A$1:CB$87,'Fórmula'!J43,32)))</f>
        <v>3.19</v>
      </c>
      <c r="DE43" s="119">
        <f t="shared" si="18"/>
        <v>4.35</v>
      </c>
      <c r="DF43" s="104">
        <f t="array" ref="DF43">(('Fórmula'!C43)/('Fórmula'!C43+'Fórmula'!E43+'Fórmula'!G43+'Fórmula'!I43+'Fórmula'!K43))*(INDEX(properties!A$1:CB$87,'Fórmula'!B43,34))+(('Fórmula'!E43)/('Fórmula'!C43+'Fórmula'!E43+'Fórmula'!G43+'Fórmula'!I43+'Fórmula'!K43))*(INDEX(properties!A$1:CB$87,'Fórmula'!D43,34))+(('Fórmula'!G43)/('Fórmula'!C43+'Fórmula'!E43+'Fórmula'!G43+'Fórmula'!I43+'Fórmula'!K43))*(INDEX(properties!A$1:CB$87,'Fórmula'!F43,34))+(('Fórmula'!I43)/('Fórmula'!C43+'Fórmula'!E43+'Fórmula'!G43+'Fórmula'!I43+'Fórmula'!K43))*(INDEX(properties!A$1:CB$87,'Fórmula'!H43,34))+(('Fórmula'!K43)/('Fórmula'!C43+'Fórmula'!E43+'Fórmula'!G43+'Fórmula'!I43+'Fórmula'!K43))*(INDEX(properties!A$1:CB$87,'Fórmula'!J43,34))</f>
        <v>2.614</v>
      </c>
      <c r="DG43" s="104">
        <f t="array" ref="DG43">'Fórmula'!C43*(INDEX(properties!A$1:CB$87,'Fórmula'!B43,34))+'Fórmula'!E43*(INDEX(properties!A$1:CB$87,'Fórmula'!D43,34))+'Fórmula'!G43*(INDEX(properties!A$1:CB$87,'Fórmula'!F43,34))+'Fórmula'!I43*(INDEX(properties!A$1:CB$87,'Fórmula'!H43,34))+'Fórmula'!K43*(INDEX(properties!A$1:CB$87,'Fórmula'!J43,34))</f>
        <v>13.07</v>
      </c>
      <c r="DH43" s="104">
        <f t="array" ref="DH43">VARP(IF(INDEX(properties!A$1:CB$87,'Fórmula'!B43,34)&lt;&gt;"",INDEX(properties!A$1:CB$87,'Fórmula'!B43,34)),IF(INDEX(properties!A$1:CB$87,'Fórmula'!D43,34)&lt;&gt;"",INDEX(properties!A$1:CB$87,'Fórmula'!D43,34)),IF(INDEX(properties!A$1:CB$87,'Fórmula'!F43,34)&lt;&gt;"",INDEX(properties!A$1:CB$87,'Fórmula'!F43,34)),IF(INDEX(properties!A$1:CB$87,'Fórmula'!H43,34)&lt;&gt;"",INDEX(properties!A$1:CB$87,'Fórmula'!H43,34)),IF(INDEX(properties!A$1:CB$87,'Fórmula'!J43,34)&lt;&gt;"",INDEX(properties!A$1:CB$87,'Fórmula'!J43,34)))</f>
        <v>1.962384</v>
      </c>
      <c r="DI43" s="104">
        <f t="array" ref="DI43">MAX(INDEX(properties!A$1:CB$87,'Fórmula'!B43,34),INDEX(properties!A$1:CB$87,'Fórmula'!D43,34),INDEX(properties!A$1:CB$87,'Fórmula'!F43,34),INDEX(properties!A$1:CB$87,'Fórmula'!H43,34),INDEX(properties!A$1:CB$87,'Fórmula'!J43,34))</f>
        <v>3.61</v>
      </c>
      <c r="DJ43" s="104">
        <f t="array" ref="DJ43">MIN(IF(INDEX(properties!A$1:CB$87,'Fórmula'!B43,34)=0,10^6,INDEX(properties!A$1:CB$87,'Fórmula'!B43,34)),IF(INDEX(properties!A$1:CB$87,'Fórmula'!D43,34)=0,10^6,INDEX(properties!A$1:CB$87,'Fórmula'!D43,34)),IF(INDEX(properties!A$1:CB$87,'Fórmula'!F43,34)=0,10^6,INDEX(properties!A$1:CB$87,'Fórmula'!F43,34)),IF(INDEX(properties!A$1:CB$87,'Fórmula'!H43,34)=0,10^6,INDEX(properties!A$1:CB$87,'Fórmula'!H43,34)),IF(INDEX(properties!A$1:CB$87,'Fórmula'!J43,34)=0,10^6,INDEX(properties!A$1:CB$87,'Fórmula'!J43,34)))</f>
        <v>1.12</v>
      </c>
      <c r="DK43" s="104">
        <f t="shared" si="19"/>
        <v>2.49</v>
      </c>
      <c r="DL43" s="105">
        <f t="array" ref="DL43">(('Fórmula'!C43)/('Fórmula'!C43+'Fórmula'!E43+'Fórmula'!G43+'Fórmula'!I43+'Fórmula'!K43))*(INDEX(properties!A$1:CB$87,'Fórmula'!B43,37))+(('Fórmula'!E43)/('Fórmula'!C43+'Fórmula'!E43+'Fórmula'!G43+'Fórmula'!I43+'Fórmula'!K43))*(INDEX(properties!A$1:CB$87,'Fórmula'!D43,37))+(('Fórmula'!G43)/('Fórmula'!C43+'Fórmula'!E43+'Fórmula'!G43+'Fórmula'!I43+'Fórmula'!K43))*(INDEX(properties!A$1:CB$87,'Fórmula'!F43,37))+(('Fórmula'!I43)/('Fórmula'!C43+'Fórmula'!E43+'Fórmula'!G43+'Fórmula'!I43+'Fórmula'!K43))*(INDEX(properties!A$1:CB$87,'Fórmula'!H43,37))+(('Fórmula'!K43)/('Fórmula'!C43+'Fórmula'!E43+'Fórmula'!G43+'Fórmula'!I43+'Fórmula'!K43))*(INDEX(properties!A$1:CB$87,'Fórmula'!J43,37))</f>
        <v>2.59</v>
      </c>
      <c r="DM43" s="105">
        <f t="array" ref="DM43">'Fórmula'!C43*(INDEX(properties!A$1:CB$87,'Fórmula'!B43,37))+'Fórmula'!E43*(INDEX(properties!A$1:CB$87,'Fórmula'!D43,37))+'Fórmula'!G43*(INDEX(properties!A$1:CB$87,'Fórmula'!F43,37))+'Fórmula'!I43*(INDEX(properties!A$1:CB$87,'Fórmula'!H43,37))+'Fórmula'!K43*(INDEX(properties!A$1:CB$87,'Fórmula'!J43,37))</f>
        <v>12.95</v>
      </c>
      <c r="DN43" s="105">
        <f t="array" ref="DN43">VARP(IF(INDEX(properties!A$1:CB$87,'Fórmula'!B43,37)&lt;&gt;"",INDEX(properties!A$1:CB$87,'Fórmula'!B43,37)),IF(INDEX(properties!A$1:CB$87,'Fórmula'!D43,37)&lt;&gt;"",INDEX(properties!A$1:CB$87,'Fórmula'!D43,37)),IF(INDEX(properties!A$1:CB$87,'Fórmula'!F43,37)&lt;&gt;"",INDEX(properties!A$1:CB$87,'Fórmula'!F43,37)),IF(INDEX(properties!A$1:CB$87,'Fórmula'!H43,37)&lt;&gt;"",INDEX(properties!A$1:CB$87,'Fórmula'!H43,37)),IF(INDEX(properties!A$1:CB$87,'Fórmula'!J43,37)&lt;&gt;"",INDEX(properties!A$1:CB$87,'Fórmula'!J43,37)))</f>
        <v>1.816</v>
      </c>
      <c r="DO43" s="105">
        <f t="array" ref="DO43">MAX(INDEX(properties!A$1:CB$87,'Fórmula'!B43,37),INDEX(properties!A$1:CB$87,'Fórmula'!D43,37),INDEX(properties!A$1:CB$87,'Fórmula'!F43,37),INDEX(properties!A$1:CB$87,'Fórmula'!H43,37),INDEX(properties!A$1:CB$87,'Fórmula'!J43,37))</f>
        <v>3.45</v>
      </c>
      <c r="DP43" s="105">
        <f t="array" ref="DP43">MIN(IF(INDEX(properties!A$1:CB$87,'Fórmula'!B43,37)=0,10^6,INDEX(properties!A$1:CB$87,'Fórmula'!B43,37)),IF(INDEX(properties!A$1:CB$87,'Fórmula'!D43,37)=0,10^6,INDEX(properties!A$1:CB$87,'Fórmula'!D43,37)),IF(INDEX(properties!A$1:CB$87,'Fórmula'!F43,37)=0,10^6,INDEX(properties!A$1:CB$87,'Fórmula'!F43,37)),IF(INDEX(properties!A$1:CB$87,'Fórmula'!H43,37)=0,10^6,INDEX(properties!A$1:CB$87,'Fórmula'!H43,37)),IF(INDEX(properties!A$1:CB$87,'Fórmula'!J43,37)=0,10^6,INDEX(properties!A$1:CB$87,'Fórmula'!J43,37)))</f>
        <v>1.3</v>
      </c>
      <c r="DQ43" s="105">
        <f t="shared" si="20"/>
        <v>2.15</v>
      </c>
      <c r="DR43" s="109">
        <f t="array" ref="DR43">(('Fórmula'!C43)/('Fórmula'!C43+'Fórmula'!E43+'Fórmula'!G43+'Fórmula'!I43+'Fórmula'!K43))*(INDEX(properties!A$1:CB$87,'Fórmula'!B43,39))+(('Fórmula'!E43)/('Fórmula'!C43+'Fórmula'!E43+'Fórmula'!G43+'Fórmula'!I43+'Fórmula'!K43))*(INDEX(properties!A$1:CB$87,'Fórmula'!D43,39))+(('Fórmula'!G43)/('Fórmula'!C43+'Fórmula'!E43+'Fórmula'!G43+'Fórmula'!I43+'Fórmula'!K43))*(INDEX(properties!A$1:CB$87,'Fórmula'!F43,39))+(('Fórmula'!I43)/('Fórmula'!C43+'Fórmula'!E43+'Fórmula'!G43+'Fórmula'!I43+'Fórmula'!K43))*(INDEX(properties!A$1:CB$87,'Fórmula'!H43,39))+(('Fórmula'!K43)/('Fórmula'!C43+'Fórmula'!E43+'Fórmula'!G43+'Fórmula'!I43+'Fórmula'!K43))*(INDEX(properties!A$1:CB$87,'Fórmula'!J43,39))</f>
        <v>1.136</v>
      </c>
      <c r="DS43" s="109">
        <f t="array" ref="DS43">'Fórmula'!C43*(INDEX(properties!A$1:CB$87,'Fórmula'!B43,39))+'Fórmula'!E43*(INDEX(properties!A$1:CB$87,'Fórmula'!D43,39))+'Fórmula'!G43*(INDEX(properties!A$1:CB$87,'Fórmula'!F43,39))+'Fórmula'!I43*(INDEX(properties!A$1:CB$87,'Fórmula'!H43,39))+'Fórmula'!K43*(INDEX(properties!A$1:CB$87,'Fórmula'!J43,39))</f>
        <v>5.68</v>
      </c>
      <c r="DT43" s="109">
        <f t="array" ref="DT43">VARP(IF(INDEX(properties!A$1:CB$87,'Fórmula'!B43,39)&lt;&gt;"",INDEX(properties!A$1:CB$87,'Fórmula'!B43,39)),IF(INDEX(properties!A$1:CB$87,'Fórmula'!D43,39)&lt;&gt;"",INDEX(properties!A$1:CB$87,'Fórmula'!D43,39)),IF(INDEX(properties!A$1:CB$87,'Fórmula'!F43,39)&lt;&gt;"",INDEX(properties!A$1:CB$87,'Fórmula'!F43,39)),IF(INDEX(properties!A$1:CB$87,'Fórmula'!H43,39)&lt;&gt;"",INDEX(properties!A$1:CB$87,'Fórmula'!H43,39)),IF(INDEX(properties!A$1:CB$87,'Fórmula'!J43,39)&lt;&gt;"",INDEX(properties!A$1:CB$87,'Fórmula'!J43,39)))</f>
        <v>0.67456</v>
      </c>
      <c r="DU43" s="120">
        <f t="array" ref="DU43">MAX(INDEX(properties!A$1:CB$87,'Fórmula'!B43,39),INDEX(properties!A$1:CB$87,'Fórmula'!D43,39),INDEX(properties!A$1:CB$87,'Fórmula'!F43,39),INDEX(properties!A$1:CB$87,'Fórmula'!H43,39),INDEX(properties!A$1:CB$87,'Fórmula'!J43,39))</f>
        <v>2.12</v>
      </c>
      <c r="DV43" s="120">
        <f t="array" ref="DV43">MIN(IF(INDEX(properties!A$1:CB$87,'Fórmula'!B43,39)=0,10^6,INDEX(properties!A$1:CB$87,'Fórmula'!B43,39)),IF(INDEX(properties!A$1:CB$87,'Fórmula'!D43,39)=0,10^6,INDEX(properties!A$1:CB$87,'Fórmula'!D43,39)),IF(INDEX(properties!A$1:CB$87,'Fórmula'!F43,39)=0,10^6,INDEX(properties!A$1:CB$87,'Fórmula'!F43,39)),IF(INDEX(properties!A$1:CB$87,'Fórmula'!H43,39)=0,10^6,INDEX(properties!A$1:CB$87,'Fórmula'!H43,39)),IF(INDEX(properties!A$1:CB$87,'Fórmula'!J43,39)=0,10^6,INDEX(properties!A$1:CB$87,'Fórmula'!J43,39)))</f>
        <v>0.48</v>
      </c>
      <c r="DW43" s="109">
        <f t="shared" si="21"/>
        <v>1.64</v>
      </c>
      <c r="DX43" s="110">
        <f t="array" ref="DX43">(('Fórmula'!C43)/('Fórmula'!C43+'Fórmula'!E43+'Fórmula'!G43+'Fórmula'!I43+'Fórmula'!K43))*(INDEX(properties!A$1:CB$87,'Fórmula'!B43,40))+(('Fórmula'!E43)/('Fórmula'!C43+'Fórmula'!E43+'Fórmula'!G43+'Fórmula'!I43+'Fórmula'!K43))*(INDEX(properties!A$1:CB$87,'Fórmula'!D43,40))+(('Fórmula'!G43)/('Fórmula'!C43+'Fórmula'!E43+'Fórmula'!G43+'Fórmula'!I43+'Fórmula'!K43))*(INDEX(properties!A$1:CB$87,'Fórmula'!F43,40))+(('Fórmula'!I43)/('Fórmula'!C43+'Fórmula'!E43+'Fórmula'!G43+'Fórmula'!I43+'Fórmula'!K43))*(INDEX(properties!A$1:CB$87,'Fórmula'!H43,40))+(('Fórmula'!K43)/('Fórmula'!C43+'Fórmula'!E43+'Fórmula'!G43+'Fórmula'!I43+'Fórmula'!K43))*(INDEX(properties!A$1:CB$87,'Fórmula'!J43,40))</f>
        <v>1.086</v>
      </c>
      <c r="DY43" s="110">
        <f t="array" ref="DY43">'Fórmula'!C43*(INDEX(properties!A$1:CB$87,'Fórmula'!B43,40))+'Fórmula'!E43*(INDEX(properties!A$1:CB$87,'Fórmula'!D43,40))+'Fórmula'!G43*(INDEX(properties!A$1:CB$87,'Fórmula'!F43,40))+'Fórmula'!I43*(INDEX(properties!A$1:CB$87,'Fórmula'!H43,40))+'Fórmula'!K43*(INDEX(properties!A$1:CB$87,'Fórmula'!J43,40))</f>
        <v>5.43</v>
      </c>
      <c r="DZ43" s="110">
        <f t="array" ref="DZ43">VARP(IF(INDEX(properties!A$1:CB$87,'Fórmula'!B43,40)&lt;&gt;"",INDEX(properties!A$1:CB$87,'Fórmula'!B43,40)),IF(INDEX(properties!A$1:CB$87,'Fórmula'!D43,40)&lt;&gt;"",INDEX(properties!A$1:CB$87,'Fórmula'!D43,40)),IF(INDEX(properties!A$1:CB$87,'Fórmula'!F43,40)&lt;&gt;"",INDEX(properties!A$1:CB$87,'Fórmula'!F43,40)),IF(INDEX(properties!A$1:CB$87,'Fórmula'!H43,40)&lt;&gt;"",INDEX(properties!A$1:CB$87,'Fórmula'!H43,40)),IF(INDEX(properties!A$1:CB$87,'Fórmula'!J43,40)&lt;&gt;"",INDEX(properties!A$1:CB$87,'Fórmula'!J43,40)))</f>
        <v>0.41056</v>
      </c>
      <c r="EA43" s="121">
        <f t="array" ref="EA43">MAX(INDEX(properties!A$1:CB$87,'Fórmula'!B43,40),INDEX(properties!A$1:CB$87,'Fórmula'!D43,40),INDEX(properties!A$1:CB$87,'Fórmula'!F43,40),INDEX(properties!A$1:CB$87,'Fórmula'!H43,40),INDEX(properties!A$1:CB$87,'Fórmula'!J43,40))</f>
        <v>1.62</v>
      </c>
      <c r="EB43" s="121">
        <f t="array" ref="EB43">MIN(IF(INDEX(properties!A$1:CB$87,'Fórmula'!B43,40)=0,10^6,INDEX(properties!A$1:CB$87,'Fórmula'!B43,40)),IF(INDEX(properties!A$1:CB$87,'Fórmula'!D43,40)=0,10^6,INDEX(properties!A$1:CB$87,'Fórmula'!D43,40)),IF(INDEX(properties!A$1:CB$87,'Fórmula'!F43,40)=0,10^6,INDEX(properties!A$1:CB$87,'Fórmula'!F43,40)),IF(INDEX(properties!A$1:CB$87,'Fórmula'!H43,40)=0,10^6,INDEX(properties!A$1:CB$87,'Fórmula'!H43,40)),IF(INDEX(properties!A$1:CB$87,'Fórmula'!J43,40)=0,10^6,INDEX(properties!A$1:CB$87,'Fórmula'!J43,40)))</f>
        <v>0.73</v>
      </c>
      <c r="EC43" s="110">
        <f t="shared" si="22"/>
        <v>0.89</v>
      </c>
      <c r="ED43" s="111">
        <f t="array" ref="ED43">(('Fórmula'!C43)/('Fórmula'!C43+'Fórmula'!E43+'Fórmula'!G43+'Fórmula'!I43+'Fórmula'!K43))*(INDEX(properties!A$1:CB$87,'Fórmula'!B43,41))+(('Fórmula'!E43)/('Fórmula'!C43+'Fórmula'!E43+'Fórmula'!G43+'Fórmula'!I43+'Fórmula'!K43))*(INDEX(properties!A$1:CB$87,'Fórmula'!D43,41))+(('Fórmula'!G43)/('Fórmula'!C43+'Fórmula'!E43+'Fórmula'!G43+'Fórmula'!I43+'Fórmula'!K43))*(INDEX(properties!A$1:CB$87,'Fórmula'!F43,41))+(('Fórmula'!I43)/('Fórmula'!C43+'Fórmula'!E43+'Fórmula'!G43+'Fórmula'!I43+'Fórmula'!K43))*(INDEX(properties!A$1:CB$87,'Fórmula'!H43,41))+(('Fórmula'!K43)/('Fórmula'!C43+'Fórmula'!E43+'Fórmula'!G43+'Fórmula'!I43+'Fórmula'!K43))*(INDEX(properties!A$1:CB$87,'Fórmula'!J43,41))</f>
        <v>1.172</v>
      </c>
      <c r="EE43" s="111">
        <f t="array" ref="EE43">'Fórmula'!C43*(INDEX(properties!A$1:CB$87,'Fórmula'!B43,41))+'Fórmula'!E43*(INDEX(properties!A$1:CB$87,'Fórmula'!D43,41))+'Fórmula'!G43*(INDEX(properties!A$1:CB$87,'Fórmula'!F43,41))+'Fórmula'!I43*(INDEX(properties!A$1:CB$87,'Fórmula'!H43,41))+'Fórmula'!K43*(INDEX(properties!A$1:CB$87,'Fórmula'!J43,41))</f>
        <v>5.86</v>
      </c>
      <c r="EF43" s="111">
        <f t="array" ref="EF43">VARP(IF(INDEX(properties!A$1:CB$87,'Fórmula'!B43,41)&lt;&gt;"",INDEX(properties!A$1:CB$87,'Fórmula'!B43,41)),IF(INDEX(properties!A$1:CB$87,'Fórmula'!D43,41)&lt;&gt;"",INDEX(properties!A$1:CB$87,'Fórmula'!D43,41)),IF(INDEX(properties!A$1:CB$87,'Fórmula'!F43,41)&lt;&gt;"",INDEX(properties!A$1:CB$87,'Fórmula'!F43,41)),IF(INDEX(properties!A$1:CB$87,'Fórmula'!H43,41)&lt;&gt;"",INDEX(properties!A$1:CB$87,'Fórmula'!H43,41)),IF(INDEX(properties!A$1:CB$87,'Fórmula'!J43,41)&lt;&gt;"",INDEX(properties!A$1:CB$87,'Fórmula'!J43,41)))</f>
        <v>0.32224</v>
      </c>
      <c r="EG43" s="122">
        <f t="array" ref="EG43">MAX(INDEX(properties!A$1:CB$87,'Fórmula'!B43,41),INDEX(properties!A$1:CB$87,'Fórmula'!D43,41),INDEX(properties!A$1:CB$87,'Fórmula'!F43,41),INDEX(properties!A$1:CB$87,'Fórmula'!H43,41),INDEX(properties!A$1:CB$87,'Fórmula'!J43,41))</f>
        <v>1.26</v>
      </c>
      <c r="EH43" s="122">
        <f t="array" ref="EH43">MIN(IF(INDEX(properties!A$1:CB$87,'Fórmula'!B43,41)=0,10^6,INDEX(properties!A$1:CB$87,'Fórmula'!B43,41)),IF(INDEX(properties!A$1:CB$87,'Fórmula'!D43,41)=0,10^6,INDEX(properties!A$1:CB$87,'Fórmula'!D43,41)),IF(INDEX(properties!A$1:CB$87,'Fórmula'!F43,41)=0,10^6,INDEX(properties!A$1:CB$87,'Fórmula'!F43,41)),IF(INDEX(properties!A$1:CB$87,'Fórmula'!H43,41)=0,10^6,INDEX(properties!A$1:CB$87,'Fórmula'!H43,41)),IF(INDEX(properties!A$1:CB$87,'Fórmula'!J43,41)=0,10^6,INDEX(properties!A$1:CB$87,'Fórmula'!J43,41)))</f>
        <v>1.04</v>
      </c>
      <c r="EI43" s="111">
        <f t="shared" si="23"/>
        <v>0.22</v>
      </c>
      <c r="EJ43" s="112">
        <f t="array" ref="EJ43">(('Fórmula'!C43)/('Fórmula'!C43+'Fórmula'!E43+'Fórmula'!G43+'Fórmula'!I43+'Fórmula'!K43))*(INDEX(properties!A$1:CB$87,'Fórmula'!B43,45))+(('Fórmula'!E43)/('Fórmula'!C43+'Fórmula'!E43+'Fórmula'!G43+'Fórmula'!I43+'Fórmula'!K43))*(INDEX(properties!A$1:CB$87,'Fórmula'!D43,45))+(('Fórmula'!G43)/('Fórmula'!C43+'Fórmula'!E43+'Fórmula'!G43+'Fórmula'!I43+'Fórmula'!K43))*(INDEX(properties!A$1:CB$87,'Fórmula'!F43,45))+(('Fórmula'!I43)/('Fórmula'!C43+'Fórmula'!E43+'Fórmula'!G43+'Fórmula'!I43+'Fórmula'!K43))*(INDEX(properties!A$1:CB$87,'Fórmula'!H43,45))+(('Fórmula'!K43)/('Fórmula'!C43+'Fórmula'!E43+'Fórmula'!G43+'Fórmula'!I43+'Fórmula'!K43))*(INDEX(properties!A$1:CB$87,'Fórmula'!J43,45))</f>
        <v>1.458</v>
      </c>
      <c r="EK43" s="112">
        <f t="array" ref="EK43">'Fórmula'!C43*(INDEX(properties!A$1:CB$87,'Fórmula'!B43,45))+'Fórmula'!E43*(INDEX(properties!A$1:CB$87,'Fórmula'!D43,45))+'Fórmula'!G43*(INDEX(properties!A$1:CB$87,'Fórmula'!F43,45))+'Fórmula'!I43*(INDEX(properties!A$1:CB$87,'Fórmula'!H43,45))+'Fórmula'!K43*(INDEX(properties!A$1:CB$87,'Fórmula'!J43,45))</f>
        <v>7.29</v>
      </c>
      <c r="EL43" s="112">
        <f t="array" ref="EL43">VARP(IF(INDEX(properties!A$1:CB$87,'Fórmula'!B43,45)&lt;&gt;"",INDEX(properties!A$1:CB$87,'Fórmula'!B43,45)),IF(INDEX(properties!A$1:CB$87,'Fórmula'!D43,45)&lt;&gt;"",INDEX(properties!A$1:CB$87,'Fórmula'!D43,45)),IF(INDEX(properties!A$1:CB$87,'Fórmula'!F43,45)&lt;&gt;"",INDEX(properties!A$1:CB$87,'Fórmula'!F43,45)),IF(INDEX(properties!A$1:CB$87,'Fórmula'!H43,45)&lt;&gt;"",INDEX(properties!A$1:CB$87,'Fórmula'!H43,45)),IF(INDEX(properties!A$1:CB$87,'Fórmula'!J43,45)&lt;&gt;"",INDEX(properties!A$1:CB$87,'Fórmula'!J43,45)))</f>
        <v>1.307776</v>
      </c>
      <c r="EM43" s="123">
        <f t="array" ref="EM43">MAX(INDEX(properties!A$1:CB$87,'Fórmula'!B43,45),INDEX(properties!A$1:CB$87,'Fórmula'!D43,45),INDEX(properties!A$1:CB$87,'Fórmula'!F43,45),INDEX(properties!A$1:CB$87,'Fórmula'!H43,45),INDEX(properties!A$1:CB$87,'Fórmula'!J43,45))</f>
        <v>2.94</v>
      </c>
      <c r="EN43" s="123">
        <f t="array" ref="EN43">MIN(IF(INDEX(properties!A$1:CB$87,'Fórmula'!B43,45)=0,10^6,INDEX(properties!A$1:CB$87,'Fórmula'!B43,45)),IF(INDEX(properties!A$1:CB$87,'Fórmula'!D43,45)=0,10^6,INDEX(properties!A$1:CB$87,'Fórmula'!D43,45)),IF(INDEX(properties!A$1:CB$87,'Fórmula'!F43,45)=0,10^6,INDEX(properties!A$1:CB$87,'Fórmula'!F43,45)),IF(INDEX(properties!A$1:CB$87,'Fórmula'!H43,45)=0,10^6,INDEX(properties!A$1:CB$87,'Fórmula'!H43,45)),IF(INDEX(properties!A$1:CB$87,'Fórmula'!J43,45)=0,10^6,INDEX(properties!A$1:CB$87,'Fórmula'!J43,45)))</f>
        <v>0.47</v>
      </c>
      <c r="EO43" s="112">
        <f t="shared" si="24"/>
        <v>2.47</v>
      </c>
      <c r="EP43" s="113">
        <f t="array" ref="EP43">(('Fórmula'!C43)/('Fórmula'!C43+'Fórmula'!E43+'Fórmula'!G43+'Fórmula'!I43+'Fórmula'!K43))*(INDEX(properties!A$1:CB$87,'Fórmula'!B43,46))+(('Fórmula'!E43)/('Fórmula'!C43+'Fórmula'!E43+'Fórmula'!G43+'Fórmula'!I43+'Fórmula'!K43))*(INDEX(properties!A$1:CB$87,'Fórmula'!D43,46))+(('Fórmula'!G43)/('Fórmula'!C43+'Fórmula'!E43+'Fórmula'!G43+'Fórmula'!I43+'Fórmula'!K43))*(INDEX(properties!A$1:CB$87,'Fórmula'!F43,46))+(('Fórmula'!I43)/('Fórmula'!C43+'Fórmula'!E43+'Fórmula'!G43+'Fórmula'!I43+'Fórmula'!K43))*(INDEX(properties!A$1:CB$87,'Fórmula'!H43,46))+(('Fórmula'!K43)/('Fórmula'!C43+'Fórmula'!E43+'Fórmula'!G43+'Fórmula'!I43+'Fórmula'!K43))*(INDEX(properties!A$1:CB$87,'Fórmula'!J43,46))</f>
        <v>1.142</v>
      </c>
      <c r="EQ43" s="113">
        <f t="array" ref="EQ43">'Fórmula'!C43*(INDEX(properties!A$1:CB$87,'Fórmula'!B43,46))+'Fórmula'!E43*(INDEX(properties!A$1:CB$87,'Fórmula'!D43,46))+'Fórmula'!G43*(INDEX(properties!A$1:CB$87,'Fórmula'!F43,46))+'Fórmula'!I43*(INDEX(properties!A$1:CB$87,'Fórmula'!H43,46))+'Fórmula'!K43*(INDEX(properties!A$1:CB$87,'Fórmula'!J43,46))</f>
        <v>5.71</v>
      </c>
      <c r="ER43" s="113">
        <f t="array" ref="ER43">VARP(IF(INDEX(properties!A$1:CB$87,'Fórmula'!B43,46)&lt;&gt;"",INDEX(properties!A$1:CB$87,'Fórmula'!B43,46)),IF(INDEX(properties!A$1:CB$87,'Fórmula'!D43,46)&lt;&gt;"",INDEX(properties!A$1:CB$87,'Fórmula'!D43,46)),IF(INDEX(properties!A$1:CB$87,'Fórmula'!F43,46)&lt;&gt;"",INDEX(properties!A$1:CB$87,'Fórmula'!F43,46)),IF(INDEX(properties!A$1:CB$87,'Fórmula'!H43,46)&lt;&gt;"",INDEX(properties!A$1:CB$87,'Fórmula'!H43,46)),IF(INDEX(properties!A$1:CB$87,'Fórmula'!J43,46)&lt;&gt;"",INDEX(properties!A$1:CB$87,'Fórmula'!J43,46)))</f>
        <v>0.30664</v>
      </c>
      <c r="ES43" s="124">
        <f t="array" ref="ES43">MAX(INDEX(properties!A$1:CB$87,'Fórmula'!B43,46),INDEX(properties!A$1:CB$87,'Fórmula'!D43,46),INDEX(properties!A$1:CB$87,'Fórmula'!F43,46),INDEX(properties!A$1:CB$87,'Fórmula'!H43,46),INDEX(properties!A$1:CB$87,'Fórmula'!J43,46))</f>
        <v>1.21</v>
      </c>
      <c r="ET43" s="124">
        <f t="array" ref="ET43">MIN(IF(INDEX(properties!A$1:CB$87,'Fórmula'!B43,46)=0,10^6,INDEX(properties!A$1:CB$87,'Fórmula'!B43,46)),IF(INDEX(properties!A$1:CB$87,'Fórmula'!D43,46)=0,10^6,INDEX(properties!A$1:CB$87,'Fórmula'!D43,46)),IF(INDEX(properties!A$1:CB$87,'Fórmula'!F43,46)=0,10^6,INDEX(properties!A$1:CB$87,'Fórmula'!F43,46)),IF(INDEX(properties!A$1:CB$87,'Fórmula'!H43,46)=0,10^6,INDEX(properties!A$1:CB$87,'Fórmula'!H43,46)),IF(INDEX(properties!A$1:CB$87,'Fórmula'!J43,46)=0,10^6,INDEX(properties!A$1:CB$87,'Fórmula'!J43,46)))</f>
        <v>1.04</v>
      </c>
      <c r="EU43" s="113">
        <f t="shared" si="25"/>
        <v>0.17</v>
      </c>
      <c r="EV43" s="114">
        <f t="array" ref="EV43">(('Fórmula'!C43)/('Fórmula'!C43+'Fórmula'!E43+'Fórmula'!G43+'Fórmula'!I43+'Fórmula'!K43))*(INDEX(properties!A$1:CB$87,'Fórmula'!B43,52))+(('Fórmula'!E43)/('Fórmula'!C43+'Fórmula'!E43+'Fórmula'!G43+'Fórmula'!I43+'Fórmula'!K43))*(INDEX(properties!A$1:CB$87,'Fórmula'!D43,52))+(('Fórmula'!G43)/('Fórmula'!C43+'Fórmula'!E43+'Fórmula'!G43+'Fórmula'!I43+'Fórmula'!K43))*(INDEX(properties!A$1:CB$87,'Fórmula'!F43,52))+(('Fórmula'!I43)/('Fórmula'!C43+'Fórmula'!E43+'Fórmula'!G43+'Fórmula'!I43+'Fórmula'!K43))*(INDEX(properties!A$1:CB$87,'Fórmula'!H43,52))+(('Fórmula'!K43)/('Fórmula'!C43+'Fórmula'!E43+'Fórmula'!G43+'Fórmula'!I43+'Fórmula'!K43))*(INDEX(properties!A$1:CB$87,'Fórmula'!J43,52))</f>
        <v>9.5558</v>
      </c>
      <c r="EW43" s="114">
        <f t="array" ref="EW43">'Fórmula'!C43*(INDEX(properties!A$1:CB$87,'Fórmula'!B43,52))+'Fórmula'!E43*(INDEX(properties!A$1:CB$87,'Fórmula'!D43,52))+'Fórmula'!G43*(INDEX(properties!A$1:CB$87,'Fórmula'!F43,52))+'Fórmula'!I43*(INDEX(properties!A$1:CB$87,'Fórmula'!H43,52))+'Fórmula'!K43*(INDEX(properties!A$1:CB$87,'Fórmula'!J43,52))</f>
        <v>47.779</v>
      </c>
      <c r="EX43" s="114">
        <f t="array" ref="EX43">VARP(IF(INDEX(properties!A$1:CB$87,'Fórmula'!B43,52)&lt;&gt;"",INDEX(properties!A$1:CB$87,'Fórmula'!B43,52)),IF(INDEX(properties!A$1:CB$87,'Fórmula'!D43,52)&lt;&gt;"",INDEX(properties!A$1:CB$87,'Fórmula'!D43,52)),IF(INDEX(properties!A$1:CB$87,'Fórmula'!F43,52)&lt;&gt;"",INDEX(properties!A$1:CB$87,'Fórmula'!F43,52)),IF(INDEX(properties!A$1:CB$87,'Fórmula'!H43,52)&lt;&gt;"",INDEX(properties!A$1:CB$87,'Fórmula'!H43,52)),IF(INDEX(properties!A$1:CB$87,'Fórmula'!J43,52)&lt;&gt;"",INDEX(properties!A$1:CB$87,'Fórmula'!J43,52)))</f>
        <v>81.10692784</v>
      </c>
      <c r="EY43" s="114">
        <f t="array" ref="EY43">MAX(INDEX(properties!A$1:CB$87,'Fórmula'!B43,52),INDEX(properties!A$1:CB$87,'Fórmula'!D43,52),INDEX(properties!A$1:CB$87,'Fórmula'!F43,52),INDEX(properties!A$1:CB$87,'Fórmula'!H43,52),INDEX(properties!A$1:CB$87,'Fórmula'!J43,52))</f>
        <v>22.7</v>
      </c>
      <c r="EZ43" s="114">
        <f t="array" ref="EZ43">MIN(IF(INDEX(properties!A$1:CB$87,'Fórmula'!B43,52)=0,10^6,INDEX(properties!A$1:CB$87,'Fórmula'!B43,52)),IF(INDEX(properties!A$1:CB$87,'Fórmula'!D43,52)=0,10^6,INDEX(properties!A$1:CB$87,'Fórmula'!D43,52)),IF(INDEX(properties!A$1:CB$87,'Fórmula'!F43,52)=0,10^6,INDEX(properties!A$1:CB$87,'Fórmula'!F43,52)),IF(INDEX(properties!A$1:CB$87,'Fórmula'!H43,52)=0,10^6,INDEX(properties!A$1:CB$87,'Fórmula'!H43,52)),IF(INDEX(properties!A$1:CB$87,'Fórmula'!J43,52)=0,10^6,INDEX(properties!A$1:CB$87,'Fórmula'!J43,52)))</f>
        <v>0.793</v>
      </c>
      <c r="FA43" s="114">
        <f t="shared" si="26"/>
        <v>21.907</v>
      </c>
      <c r="FB43" s="115">
        <f t="array" ref="FB43">(('Fórmula'!C43)/('Fórmula'!C43+'Fórmula'!E43+'Fórmula'!G43+'Fórmula'!I43+'Fórmula'!K43))*(INDEX(properties!A$1:CB$87,'Fórmula'!B43,53))+(('Fórmula'!E43)/('Fórmula'!C43+'Fórmula'!E43+'Fórmula'!G43+'Fórmula'!I43+'Fórmula'!K43))*(INDEX(properties!A$1:CB$87,'Fórmula'!D43,53))+(('Fórmula'!G43)/('Fórmula'!C43+'Fórmula'!E43+'Fórmula'!G43+'Fórmula'!I43+'Fórmula'!K43))*(INDEX(properties!A$1:CB$87,'Fórmula'!F43,53))+(('Fórmula'!I43)/('Fórmula'!C43+'Fórmula'!E43+'Fórmula'!G43+'Fórmula'!I43+'Fórmula'!K43))*(INDEX(properties!A$1:CB$87,'Fórmula'!H43,53))+(('Fórmula'!K43)/('Fórmula'!C43+'Fórmula'!E43+'Fórmula'!G43+'Fórmula'!I43+'Fórmula'!K43))*(INDEX(properties!A$1:CB$87,'Fórmula'!J43,53))</f>
        <v>751.31</v>
      </c>
      <c r="FC43" s="115">
        <f t="array" ref="FC43">'Fórmula'!C43*(INDEX(properties!A$1:CB$87,'Fórmula'!B43,53))+'Fórmula'!E43*(INDEX(properties!A$1:CB$87,'Fórmula'!D43,53))+'Fórmula'!G43*(INDEX(properties!A$1:CB$87,'Fórmula'!F43,53))+'Fórmula'!I43*(INDEX(properties!A$1:CB$87,'Fórmula'!H43,53))+'Fórmula'!K43*(INDEX(properties!A$1:CB$87,'Fórmula'!J43,53))</f>
        <v>3756.55</v>
      </c>
      <c r="FD43" s="115">
        <f t="array" ref="FD43">VARP(IF(INDEX(properties!A$1:CB$87,'Fórmula'!B43,53)&lt;&gt;"",INDEX(properties!A$1:CB$87,'Fórmula'!B43,53)),IF(INDEX(properties!A$1:CB$87,'Fórmula'!D43,53)&lt;&gt;"",INDEX(properties!A$1:CB$87,'Fórmula'!D43,53)),IF(INDEX(properties!A$1:CB$87,'Fórmula'!F43,53)&lt;&gt;"",INDEX(properties!A$1:CB$87,'Fórmula'!F43,53)),IF(INDEX(properties!A$1:CB$87,'Fórmula'!H43,53)&lt;&gt;"",INDEX(properties!A$1:CB$87,'Fórmula'!H43,53)),IF(INDEX(properties!A$1:CB$87,'Fórmula'!J43,53)&lt;&gt;"",INDEX(properties!A$1:CB$87,'Fórmula'!J43,53)))</f>
        <v>508797.2446</v>
      </c>
      <c r="FE43" s="115">
        <f t="array" ref="FE43">MAX(INDEX(properties!A$1:CB$87,'Fórmula'!B43,53),INDEX(properties!A$1:CB$87,'Fórmula'!D43,53),INDEX(properties!A$1:CB$87,'Fórmula'!F43,53),INDEX(properties!A$1:CB$87,'Fórmula'!H43,53),INDEX(properties!A$1:CB$87,'Fórmula'!J43,53))</f>
        <v>1796.15</v>
      </c>
      <c r="FF43" s="115">
        <f t="array" ref="FF43">MIN(IF(INDEX(properties!A$1:CB$87,'Fórmula'!B43,53)=0,10^6,INDEX(properties!A$1:CB$87,'Fórmula'!B43,53)),IF(INDEX(properties!A$1:CB$87,'Fórmula'!D43,53)=0,10^6,INDEX(properties!A$1:CB$87,'Fórmula'!D43,53)),IF(INDEX(properties!A$1:CB$87,'Fórmula'!F43,53)=0,10^6,INDEX(properties!A$1:CB$87,'Fórmula'!F43,53)),IF(INDEX(properties!A$1:CB$87,'Fórmula'!H43,53)=0,10^6,INDEX(properties!A$1:CB$87,'Fórmula'!H43,53)),IF(INDEX(properties!A$1:CB$87,'Fórmula'!J43,53)=0,10^6,INDEX(properties!A$1:CB$87,'Fórmula'!J43,53)))</f>
        <v>54.75</v>
      </c>
      <c r="FG43" s="115">
        <f t="shared" si="27"/>
        <v>1741.4</v>
      </c>
      <c r="FH43" s="117">
        <f t="array" ref="FH43">(('Fórmula'!C43)/('Fórmula'!C43+'Fórmula'!E43+'Fórmula'!G43+'Fórmula'!I43+'Fórmula'!K43))*(INDEX(properties!A$1:CB$87,'Fórmula'!B43,54))+(('Fórmula'!E43)/('Fórmula'!C43+'Fórmula'!E43+'Fórmula'!G43+'Fórmula'!I43+'Fórmula'!K43))*(INDEX(properties!A$1:CB$87,'Fórmula'!D43,54))+(('Fórmula'!G43)/('Fórmula'!C43+'Fórmula'!E43+'Fórmula'!G43+'Fórmula'!I43+'Fórmula'!K43))*(INDEX(properties!A$1:CB$87,'Fórmula'!F43,54))+(('Fórmula'!I43)/('Fórmula'!C43+'Fórmula'!E43+'Fórmula'!G43+'Fórmula'!I43+'Fórmula'!K43))*(INDEX(properties!A$1:CB$87,'Fórmula'!H43,54))+(('Fórmula'!K43)/('Fórmula'!C43+'Fórmula'!E43+'Fórmula'!G43+'Fórmula'!I43+'Fórmula'!K43))*(INDEX(properties!A$1:CB$87,'Fórmula'!J43,54))</f>
        <v>1498.15</v>
      </c>
      <c r="FI43" s="117">
        <f t="array" ref="FI43">'Fórmula'!C43*(INDEX(properties!A$1:CB$87,'Fórmula'!B43,54))+'Fórmula'!E43*(INDEX(properties!A$1:CB$87,'Fórmula'!D43,54))+'Fórmula'!G43*(INDEX(properties!A$1:CB$87,'Fórmula'!F43,54))+'Fórmula'!I43*(INDEX(properties!A$1:CB$87,'Fórmula'!H43,54))+'Fórmula'!K43*(INDEX(properties!A$1:CB$87,'Fórmula'!J43,54))</f>
        <v>7490.75</v>
      </c>
      <c r="FJ43" s="117">
        <f t="array" ref="FJ43">VARP(IF(INDEX(properties!A$1:CB$87,'Fórmula'!B43,54)&lt;&gt;"",INDEX(properties!A$1:CB$87,'Fórmula'!B43,54)),IF(INDEX(properties!A$1:CB$87,'Fórmula'!D43,54)&lt;&gt;"",INDEX(properties!A$1:CB$87,'Fórmula'!D43,54)),IF(INDEX(properties!A$1:CB$87,'Fórmula'!F43,54)&lt;&gt;"",INDEX(properties!A$1:CB$87,'Fórmula'!F43,54)),IF(INDEX(properties!A$1:CB$87,'Fórmula'!H43,54)&lt;&gt;"",INDEX(properties!A$1:CB$87,'Fórmula'!H43,54)),IF(INDEX(properties!A$1:CB$87,'Fórmula'!J43,54)&lt;&gt;"",INDEX(properties!A$1:CB$87,'Fórmula'!J43,54)))</f>
        <v>2060573.205</v>
      </c>
      <c r="FK43" s="117">
        <f t="array" ref="FK43">MAX(INDEX(properties!A$1:CB$87,'Fórmula'!B43,54),INDEX(properties!A$1:CB$87,'Fórmula'!D43,54),INDEX(properties!A$1:CB$87,'Fórmula'!F43,54),INDEX(properties!A$1:CB$87,'Fórmula'!H43,54),INDEX(properties!A$1:CB$87,'Fórmula'!J43,54))</f>
        <v>3610.15</v>
      </c>
      <c r="FL43" s="117">
        <f t="array" ref="FL43">MIN(IF(INDEX(properties!A$1:CB$87,'Fórmula'!B43,54)=0,10^6,INDEX(properties!A$1:CB$87,'Fórmula'!B43,54)),IF(INDEX(properties!A$1:CB$87,'Fórmula'!D43,54)=0,10^6,INDEX(properties!A$1:CB$87,'Fórmula'!D43,54)),IF(INDEX(properties!A$1:CB$87,'Fórmula'!F43,54)=0,10^6,INDEX(properties!A$1:CB$87,'Fórmula'!F43,54)),IF(INDEX(properties!A$1:CB$87,'Fórmula'!H43,54)=0,10^6,INDEX(properties!A$1:CB$87,'Fórmula'!H43,54)),IF(INDEX(properties!A$1:CB$87,'Fórmula'!J43,54)=0,10^6,INDEX(properties!A$1:CB$87,'Fórmula'!J43,54)))</f>
        <v>90.15</v>
      </c>
      <c r="FM43" s="117">
        <f t="shared" si="28"/>
        <v>3520</v>
      </c>
      <c r="FN43" s="118">
        <f t="array" ref="FN43">(('Fórmula'!C43)/('Fórmula'!C43+'Fórmula'!E43+'Fórmula'!G43+'Fórmula'!I43+'Fórmula'!K43))*(INDEX(properties!A$1:CB$87,'Fórmula'!B43,55))+(('Fórmula'!E43)/('Fórmula'!C43+'Fórmula'!E43+'Fórmula'!G43+'Fórmula'!I43+'Fórmula'!K43))*(INDEX(properties!A$1:CB$87,'Fórmula'!D43,55))+(('Fórmula'!G43)/('Fórmula'!C43+'Fórmula'!E43+'Fórmula'!G43+'Fórmula'!I43+'Fórmula'!K43))*(INDEX(properties!A$1:CB$87,'Fórmula'!F43,55))+(('Fórmula'!I43)/('Fórmula'!C43+'Fórmula'!E43+'Fórmula'!G43+'Fórmula'!I43+'Fórmula'!K43))*(INDEX(properties!A$1:CB$87,'Fórmula'!H43,55))+(('Fórmula'!K43)/('Fórmula'!C43+'Fórmula'!E43+'Fórmula'!G43+'Fórmula'!I43+'Fórmula'!K43))*(INDEX(properties!A$1:CB$87,'Fórmula'!J43,55))</f>
        <v>1.788858</v>
      </c>
      <c r="FO43" s="118">
        <f t="array" ref="FO43">'Fórmula'!C43*(INDEX(properties!A$1:CB$87,'Fórmula'!B43,55))+'Fórmula'!E43*(INDEX(properties!A$1:CB$87,'Fórmula'!D43,54))+'Fórmula'!G43*(INDEX(properties!A$1:CB$87,'Fórmula'!F43,55))+'Fórmula'!I43*(INDEX(properties!A$1:CB$87,'Fórmula'!H43,55))+'Fórmula'!K43*(INDEX(properties!A$1:CB$87,'Fórmula'!J43,55))</f>
        <v>279.39</v>
      </c>
      <c r="FP43" s="118">
        <f t="array" ref="FP43">VARP(IF(INDEX(properties!A$1:CB$87,'Fórmula'!B43,55)&lt;&gt;"",INDEX(properties!A$1:CB$87,'Fórmula'!B43,55)),IF(INDEX(properties!A$1:CB$87,'Fórmula'!D43,55)&lt;&gt;"",INDEX(properties!A$1:CB$87,'Fórmula'!D43,55)),IF(INDEX(properties!A$1:CB$87,'Fórmula'!F43,55)&lt;&gt;"",INDEX(properties!A$1:CB$87,'Fórmula'!F43,55)),IF(INDEX(properties!A$1:CB$87,'Fórmula'!H43,55)&lt;&gt;"",INDEX(properties!A$1:CB$87,'Fórmula'!H43,55)),IF(INDEX(properties!A$1:CB$87,'Fórmula'!J43,55)&lt;&gt;"",INDEX(properties!A$1:CB$87,'Fórmula'!J43,55)))</f>
        <v>3.196432959</v>
      </c>
      <c r="FQ43" s="118">
        <f t="array" ref="FQ43">MAX(INDEX(properties!A$1:CB$87,'Fórmula'!B43,55),INDEX(properties!A$1:CB$87,'Fórmula'!D43,55),INDEX(properties!A$1:CB$87,'Fórmula'!F43,55),INDEX(properties!A$1:CB$87,'Fórmula'!H43,55),INDEX(properties!A$1:CB$87,'Fórmula'!J43,55))</f>
        <v>4.47</v>
      </c>
      <c r="FR43" s="118">
        <f t="array" ref="FR43">MIN(IF(INDEX(properties!A$1:CB$87,'Fórmula'!B43,55)=0,10^6,INDEX(properties!A$1:CB$87,'Fórmula'!B43,55)),IF(INDEX(properties!A$1:CB$87,'Fórmula'!D43,55)=0,10^6,INDEX(properties!A$1:CB$87,'Fórmula'!D43,55)),IF(INDEX(properties!A$1:CB$87,'Fórmula'!F43,55)=0,10^6,INDEX(properties!A$1:CB$87,'Fórmula'!F43,55)),IF(INDEX(properties!A$1:CB$87,'Fórmula'!H43,55)=0,10^6,INDEX(properties!A$1:CB$87,'Fórmula'!H43,55)),IF(INDEX(properties!A$1:CB$87,'Fórmula'!J43,55)=0,10^6,INDEX(properties!A$1:CB$87,'Fórmula'!J43,55)))</f>
        <v>0.00143</v>
      </c>
      <c r="FS43" s="118">
        <f t="shared" si="29"/>
        <v>4.46857</v>
      </c>
      <c r="FT43" s="119">
        <f t="array" ref="FT43">(('Fórmula'!C43)/('Fórmula'!C43+'Fórmula'!E43+'Fórmula'!G43+'Fórmula'!I43+'Fórmula'!K43))*(INDEX(properties!A$1:CB$87,'Fórmula'!B43,56))+(('Fórmula'!E43)/('Fórmula'!C43+'Fórmula'!E43+'Fórmula'!G43+'Fórmula'!I43+'Fórmula'!K43))*(INDEX(properties!A$1:CB$87,'Fórmula'!D43,56))+(('Fórmula'!G43)/('Fórmula'!C43+'Fórmula'!E43+'Fórmula'!G43+'Fórmula'!I43+'Fórmula'!K43))*(INDEX(properties!A$1:CB$87,'Fórmula'!F43,56))+(('Fórmula'!I43)/('Fórmula'!C43+'Fórmula'!E43+'Fórmula'!G43+'Fórmula'!I43+'Fórmula'!K43))*(INDEX(properties!A$1:CB$87,'Fórmula'!H43,56))+(('Fórmula'!K43)/('Fórmula'!C43+'Fórmula'!E43+'Fórmula'!G43+'Fórmula'!I43+'Fórmula'!K43))*(INDEX(properties!A$1:CB$87,'Fórmula'!J43,56))</f>
        <v>0.672</v>
      </c>
      <c r="FU43" s="119">
        <f t="array" ref="FU43">'Fórmula'!C43*(INDEX(properties!A$1:CB$87,'Fórmula'!B43,56))+'Fórmula'!E43*(INDEX(properties!A$1:CB$87,'Fórmula'!D43,56))+'Fórmula'!G43*(INDEX(properties!A$1:CB$87,'Fórmula'!F43,56))+'Fórmula'!I43*(INDEX(properties!A$1:CB$87,'Fórmula'!H43,56))+'Fórmula'!K43*(INDEX(properties!A$1:CB$87,'Fórmula'!J43,56))</f>
        <v>3.36</v>
      </c>
      <c r="FV43" s="119">
        <f t="array" ref="FV43">VARP(IF(INDEX(properties!A$1:CB$87,'Fórmula'!B43,56)&lt;&gt;"",INDEX(properties!A$1:CB$87,'Fórmula'!B43,56)),IF(INDEX(properties!A$1:CB$87,'Fórmula'!D43,56)&lt;&gt;"",INDEX(properties!A$1:CB$87,'Fórmula'!D43,56)),IF(INDEX(properties!A$1:CB$87,'Fórmula'!F43,56)&lt;&gt;"",INDEX(properties!A$1:CB$87,'Fórmula'!F43,56)),IF(INDEX(properties!A$1:CB$87,'Fórmula'!H43,56)&lt;&gt;"",INDEX(properties!A$1:CB$87,'Fórmula'!H43,56)),IF(INDEX(properties!A$1:CB$87,'Fórmula'!J43,56)&lt;&gt;"",INDEX(properties!A$1:CB$87,'Fórmula'!J43,56)))</f>
        <v>0.127744</v>
      </c>
      <c r="FW43" s="119">
        <f t="array" ref="FW43">MAX(INDEX(properties!A$1:CB$87,'Fórmula'!B43,56),INDEX(properties!A$1:CB$87,'Fórmula'!D43,56),INDEX(properties!A$1:CB$87,'Fórmula'!F43,56),INDEX(properties!A$1:CB$87,'Fórmula'!H43,56),INDEX(properties!A$1:CB$87,'Fórmula'!J43,56))</f>
        <v>0.92</v>
      </c>
      <c r="FX43" s="119">
        <f t="array" ref="FX43">MIN(IF(INDEX(properties!A$1:CB$87,'Fórmula'!B43,56)=0,10^6,INDEX(properties!A$1:CB$87,'Fórmula'!B43,56)),IF(INDEX(properties!A$1:CB$87,'Fórmula'!D43,56)=0,10^6,INDEX(properties!A$1:CB$87,'Fórmula'!D43,56)),IF(INDEX(properties!A$1:CB$87,'Fórmula'!F43,56)=0,10^6,INDEX(properties!A$1:CB$87,'Fórmula'!F43,56)),IF(INDEX(properties!A$1:CB$87,'Fórmula'!H43,56)=0,10^6,INDEX(properties!A$1:CB$87,'Fórmula'!H43,56)),IF(INDEX(properties!A$1:CB$87,'Fórmula'!J43,56)=0,10^6,INDEX(properties!A$1:CB$87,'Fórmula'!J43,56)))</f>
        <v>0.3</v>
      </c>
      <c r="FY43" s="119">
        <f t="shared" si="30"/>
        <v>0.62</v>
      </c>
      <c r="FZ43" s="104">
        <f t="array" ref="FZ43">(('Fórmula'!C43)/('Fórmula'!C43+'Fórmula'!E43+'Fórmula'!G43+'Fórmula'!I43+'Fórmula'!K43))*(INDEX(properties!A$1:CB$87,'Fórmula'!B43,57))+(('Fórmula'!E43)/('Fórmula'!C43+'Fórmula'!E43+'Fórmula'!G43+'Fórmula'!I43+'Fórmula'!K43))*(INDEX(properties!A$1:CB$87,'Fórmula'!D43,57))+(('Fórmula'!G43)/('Fórmula'!C43+'Fórmula'!E43+'Fórmula'!G43+'Fórmula'!I43+'Fórmula'!K43))*(INDEX(properties!A$1:CB$87,'Fórmula'!F43,57))+(('Fórmula'!I43)/('Fórmula'!C43+'Fórmula'!E43+'Fórmula'!G43+'Fórmula'!I43+'Fórmula'!K43))*(INDEX(properties!A$1:CB$87,'Fórmula'!H43,57))+(('Fórmula'!K43)/('Fórmula'!C43+'Fórmula'!E43+'Fórmula'!G43+'Fórmula'!I43+'Fórmula'!K43))*(INDEX(properties!A$1:CB$87,'Fórmula'!J43,57))</f>
        <v>4.693554</v>
      </c>
      <c r="GA43" s="104">
        <f t="array" ref="GA43">'Fórmula'!C43*(INDEX(properties!A$1:CB$87,'Fórmula'!B43,57))+'Fórmula'!E43*(INDEX(properties!A$1:CB$87,'Fórmula'!D43,57))+'Fórmula'!G43*(INDEX(properties!A$1:CB$87,'Fórmula'!F43,57))+'Fórmula'!I43*(INDEX(properties!A$1:CB$87,'Fórmula'!H43,57))+'Fórmula'!K43*(INDEX(properties!A$1:CB$87,'Fórmula'!J43,57))</f>
        <v>23.46777</v>
      </c>
      <c r="GB43" s="104">
        <f t="array" ref="GB43">VARP(IF(INDEX(properties!A$1:CB$87,'Fórmula'!B43,57)&lt;&gt;"",INDEX(properties!A$1:CB$87,'Fórmula'!B43,57)),IF(INDEX(properties!A$1:CB$87,'Fórmula'!D43,57)&lt;&gt;"",INDEX(properties!A$1:CB$87,'Fórmula'!D43,57)),IF(INDEX(properties!A$1:CB$87,'Fórmula'!F43,57)&lt;&gt;"",INDEX(properties!A$1:CB$87,'Fórmula'!F43,57)),IF(INDEX(properties!A$1:CB$87,'Fórmula'!H43,57)&lt;&gt;"",INDEX(properties!A$1:CB$87,'Fórmula'!H43,57)),IF(INDEX(properties!A$1:CB$87,'Fórmula'!J43,57)&lt;&gt;"",INDEX(properties!A$1:CB$87,'Fórmula'!J43,57)))</f>
        <v>20.59852533</v>
      </c>
      <c r="GC43" s="104">
        <f t="array" ref="GC43">MAX(INDEX(properties!A$1:CB$87,'Fórmula'!B43,57),INDEX(properties!A$1:CB$87,'Fórmula'!D43,57),INDEX(properties!A$1:CB$87,'Fórmula'!F43,57),INDEX(properties!A$1:CB$87,'Fórmula'!H43,57),INDEX(properties!A$1:CB$87,'Fórmula'!J43,57))</f>
        <v>11.4</v>
      </c>
      <c r="GD43" s="104">
        <f t="array" ref="GD43">MIN(IF(INDEX(properties!A$1:CB$87,'Fórmula'!B43,57)=0,10^6,INDEX(properties!A$1:CB$87,'Fórmula'!B43,57)),IF(INDEX(properties!A$1:CB$87,'Fórmula'!D43,57)=0,10^6,INDEX(properties!A$1:CB$87,'Fórmula'!D43,57)),IF(INDEX(properties!A$1:CB$87,'Fórmula'!F43,57)=0,10^6,INDEX(properties!A$1:CB$87,'Fórmula'!F43,57)),IF(INDEX(properties!A$1:CB$87,'Fórmula'!H43,57)=0,10^6,INDEX(properties!A$1:CB$87,'Fórmula'!H43,57)),IF(INDEX(properties!A$1:CB$87,'Fórmula'!J43,57)=0,10^6,INDEX(properties!A$1:CB$87,'Fórmula'!J43,57)))</f>
        <v>0.22259</v>
      </c>
      <c r="GE43" s="104">
        <f t="shared" si="31"/>
        <v>11.17741</v>
      </c>
      <c r="GF43" s="105">
        <f t="array" ref="GF43">(('Fórmula'!C43)/('Fórmula'!C43+'Fórmula'!E43+'Fórmula'!G43+'Fórmula'!I43+'Fórmula'!K43))*(INDEX(properties!A$1:CB$87,'Fórmula'!B43,60))+(('Fórmula'!E43)/('Fórmula'!C43+'Fórmula'!E43+'Fórmula'!G43+'Fórmula'!I43+'Fórmula'!K43))*(INDEX(properties!A$1:CB$87,'Fórmula'!D43,60))+(('Fórmula'!G43)/('Fórmula'!C43+'Fórmula'!E43+'Fórmula'!G43+'Fórmula'!I43+'Fórmula'!K43))*(INDEX(properties!A$1:CB$87,'Fórmula'!F43,60))+(('Fórmula'!I43)/('Fórmula'!C43+'Fórmula'!E43+'Fórmula'!G43+'Fórmula'!I43+'Fórmula'!K43))*(INDEX(properties!A$1:CB$87,'Fórmula'!H43,60))+(('Fórmula'!K43)/('Fórmula'!C43+'Fórmula'!E43+'Fórmula'!G43+'Fórmula'!I43+'Fórmula'!K43))*(INDEX(properties!A$1:CB$87,'Fórmula'!J43,60))</f>
        <v>6.896044</v>
      </c>
      <c r="GG43" s="105">
        <f t="array" ref="GG43">'Fórmula'!C43*(INDEX(properties!A$1:CB$87,'Fórmula'!B43,60))+'Fórmula'!E43*(INDEX(properties!A$1:CB$87,'Fórmula'!D43,60))+'Fórmula'!G43*(INDEX(properties!A$1:CB$87,'Fórmula'!F43,60))+'Fórmula'!I43*(INDEX(properties!A$1:CB$87,'Fórmula'!H43,60))+'Fórmula'!K43*(INDEX(properties!A$1:CB$87,'Fórmula'!J43,60))</f>
        <v>34.48022</v>
      </c>
      <c r="GH43" s="105">
        <f t="array" ref="GH43">VARP(IF(INDEX(properties!A$1:CB$87,'Fórmula'!B43,60)&lt;&gt;"",INDEX(properties!A$1:CB$87,'Fórmula'!B43,60)),IF(INDEX(properties!A$1:CB$87,'Fórmula'!D43,60)&lt;&gt;"",INDEX(properties!A$1:CB$87,'Fórmula'!D43,60)),IF(INDEX(properties!A$1:CB$87,'Fórmula'!F43,60)&lt;&gt;"",INDEX(properties!A$1:CB$87,'Fórmula'!F43,60)),IF(INDEX(properties!A$1:CB$87,'Fórmula'!H43,60)&lt;&gt;"",INDEX(properties!A$1:CB$87,'Fórmula'!H43,60)),IF(INDEX(properties!A$1:CB$87,'Fórmula'!J43,60)&lt;&gt;"",INDEX(properties!A$1:CB$87,'Fórmula'!J43,60)))</f>
        <v>47.29772016</v>
      </c>
      <c r="GI43" s="105">
        <f t="array" ref="GI43">MAX(INDEX(properties!A$1:CB$87,'Fórmula'!B43,60),INDEX(properties!A$1:CB$87,'Fórmula'!D43,60),INDEX(properties!A$1:CB$87,'Fórmula'!F43,60),INDEX(properties!A$1:CB$87,'Fórmula'!H43,60),INDEX(properties!A$1:CB$87,'Fórmula'!J43,60))</f>
        <v>17.2</v>
      </c>
      <c r="GJ43" s="105">
        <f t="array" ref="GJ43">MIN(IF(INDEX(properties!A$1:CB$87,'Fórmula'!B43,60)=0,10^6,INDEX(properties!A$1:CB$87,'Fórmula'!B43,60)),IF(INDEX(properties!A$1:CB$87,'Fórmula'!D43,60)=0,10^6,INDEX(properties!A$1:CB$87,'Fórmula'!D43,60)),IF(INDEX(properties!A$1:CB$87,'Fórmula'!F43,60)=0,10^6,INDEX(properties!A$1:CB$87,'Fórmula'!F43,60)),IF(INDEX(properties!A$1:CB$87,'Fórmula'!H43,60)=0,10^6,INDEX(properties!A$1:CB$87,'Fórmula'!H43,60)),IF(INDEX(properties!A$1:CB$87,'Fórmula'!J43,60)=0,10^6,INDEX(properties!A$1:CB$87,'Fórmula'!J43,60)))</f>
        <v>0.02674</v>
      </c>
      <c r="GK43" s="105">
        <f t="shared" si="32"/>
        <v>17.17326</v>
      </c>
      <c r="GL43" s="106">
        <f t="array" ref="GL43">(('Fórmula'!C43)/('Fórmula'!C43+'Fórmula'!E43+'Fórmula'!G43+'Fórmula'!I43+'Fórmula'!K43))*(INDEX(properties!A$1:CB$87,'Fórmula'!B43,62))+(('Fórmula'!E43)/('Fórmula'!C43+'Fórmula'!E43+'Fórmula'!G43+'Fórmula'!I43+'Fórmula'!K43))*(INDEX(properties!A$1:CB$87,'Fórmula'!D43,62))+(('Fórmula'!G43)/('Fórmula'!C43+'Fórmula'!E43+'Fórmula'!G43+'Fórmula'!I43+'Fórmula'!K43))*(INDEX(properties!A$1:CB$87,'Fórmula'!F43,62))+(('Fórmula'!I43)/('Fórmula'!C43+'Fórmula'!E43+'Fórmula'!G43+'Fórmula'!I43+'Fórmula'!K43))*(INDEX(properties!A$1:CB$87,'Fórmula'!H43,62))+(('Fórmula'!K43)/('Fórmula'!C43+'Fórmula'!E43+'Fórmula'!G43+'Fórmula'!I43+'Fórmula'!K43))*(INDEX(properties!A$1:CB$87,'Fórmula'!J43,62))</f>
        <v>3.32</v>
      </c>
      <c r="GM43" s="106">
        <f t="array" ref="GM43">'Fórmula'!C43*(INDEX(properties!A$1:CB$87,'Fórmula'!B43,62))+'Fórmula'!E43*(INDEX(properties!A$1:CB$87,'Fórmula'!D43,62))+'Fórmula'!G43*(INDEX(properties!A$1:CB$87,'Fórmula'!F43,62))+'Fórmula'!I43*(INDEX(properties!A$1:CB$87,'Fórmula'!H43,62))+'Fórmula'!K43*(INDEX(properties!A$1:CB$87,'Fórmula'!J43,62))</f>
        <v>16.6</v>
      </c>
      <c r="GN43" s="106">
        <f t="array" ref="GN43">VARP(IF(INDEX(properties!A$1:CB$87,'Fórmula'!B43,62)&lt;&gt;"",INDEX(properties!A$1:CB$87,'Fórmula'!B43,62)),IF(INDEX(properties!A$1:CB$87,'Fórmula'!D43,62)&lt;&gt;"",INDEX(properties!A$1:CB$87,'Fórmula'!D43,62)),IF(INDEX(properties!A$1:CB$87,'Fórmula'!F43,62)&lt;&gt;"",INDEX(properties!A$1:CB$87,'Fórmula'!F43,62)),IF(INDEX(properties!A$1:CB$87,'Fórmula'!H43,62)&lt;&gt;"",INDEX(properties!A$1:CB$87,'Fórmula'!H43,62)),IF(INDEX(properties!A$1:CB$87,'Fórmula'!J43,62)&lt;&gt;"",INDEX(properties!A$1:CB$87,'Fórmula'!J43,62)))</f>
        <v>3.237856</v>
      </c>
      <c r="GO43" s="106">
        <f t="array" ref="GO43">MAX(INDEX(properties!A$1:CB$87,'Fórmula'!B43,62),INDEX(properties!A$1:CB$87,'Fórmula'!D43,62),INDEX(properties!A$1:CB$87,'Fórmula'!F43,62),INDEX(properties!A$1:CB$87,'Fórmula'!H43,62),INDEX(properties!A$1:CB$87,'Fórmula'!J43,62))</f>
        <v>4.37</v>
      </c>
      <c r="GP43" s="106">
        <f t="array" ref="GP43">MIN(IF(INDEX(properties!A$1:CB$87,'Fórmula'!B43,62)=0,10^6,INDEX(properties!A$1:CB$87,'Fórmula'!B43,62)),IF(INDEX(properties!A$1:CB$87,'Fórmula'!D43,62)=0,10^6,INDEX(properties!A$1:CB$87,'Fórmula'!D43,62)),IF(INDEX(properties!A$1:CB$87,'Fórmula'!F43,62)=0,10^6,INDEX(properties!A$1:CB$87,'Fórmula'!F43,62)),IF(INDEX(properties!A$1:CB$87,'Fórmula'!H43,62)=0,10^6,INDEX(properties!A$1:CB$87,'Fórmula'!H43,62)),IF(INDEX(properties!A$1:CB$87,'Fórmula'!J43,62)=0,10^6,INDEX(properties!A$1:CB$87,'Fórmula'!J43,62)))</f>
        <v>2.62</v>
      </c>
      <c r="GQ43" s="106">
        <f t="shared" si="33"/>
        <v>1.75</v>
      </c>
      <c r="GR43" s="106">
        <f>'Fórmula'!Q43</f>
        <v>206</v>
      </c>
      <c r="GS43" s="107">
        <f>'Fórmula'!P43</f>
        <v>1</v>
      </c>
      <c r="GT43" s="113">
        <f>'Fórmula'!O43</f>
        <v>5.02</v>
      </c>
      <c r="GU43" s="114">
        <f>AVERAGE('Fórmula'!R43/'Fórmula'!S43,'Fórmula'!S43/'Fórmula'!T43,'Fórmula'!T43/'Fórmula'!R43)</f>
        <v>1</v>
      </c>
      <c r="GV43" s="125">
        <f>'Fórmula'!U43</f>
        <v>1194.22</v>
      </c>
      <c r="GW43" s="106">
        <f>'Fórmula'!N43</f>
        <v>0.03</v>
      </c>
    </row>
    <row r="44" ht="14.25" customHeight="1">
      <c r="A44" s="99" t="str">
        <f>'Fórmula'!A44</f>
        <v>SrAl2O4</v>
      </c>
      <c r="B44" s="101">
        <f t="array" ref="B44">(('Fórmula'!C44)/('Fórmula'!C44+'Fórmula'!E44+'Fórmula'!G44+'Fórmula'!I44+'Fórmula'!K44))*(INDEX(properties!A$1:CB$87,'Fórmula'!B44,3))+(('Fórmula'!E44)/('Fórmula'!C44+'Fórmula'!E44+'Fórmula'!G44+'Fórmula'!I44+'Fórmula'!K44))*(INDEX(properties!A$1:CB$87,'Fórmula'!D44,3))+(('Fórmula'!G44)/('Fórmula'!C44+'Fórmula'!E44+'Fórmula'!G44+'Fórmula'!I44+'Fórmula'!K44))*(INDEX(properties!A$1:CB$87,'Fórmula'!F44,3))+(('Fórmula'!I44)/('Fórmula'!C44+'Fórmula'!E44+'Fórmula'!G44+'Fórmula'!I44+'Fórmula'!K44))*(INDEX(properties!A$1:CB$87,'Fórmula'!H44,3))+(('Fórmula'!K44)/('Fórmula'!C44+'Fórmula'!E44+'Fórmula'!G44+'Fórmula'!I44+'Fórmula'!K44))*(INDEX(properties!A$1:CB$87,'Fórmula'!J44,3))</f>
        <v>29.36866829</v>
      </c>
      <c r="C44" s="101">
        <f t="array" ref="C44">'Fórmula'!C44*(INDEX(properties!A$1:CB$87,'Fórmula'!B44,3))+'Fórmula'!E44*(INDEX(properties!A$1:CB$87,'Fórmula'!D44,3))+'Fórmula'!G44*(INDEX(properties!A$1:CB$87,'Fórmula'!F44,3))+'Fórmula'!I44*(INDEX(properties!A$1:CB$87,'Fórmula'!H44,3))+'Fórmula'!K44*(INDEX(properties!A$1:CB$87,'Fórmula'!J44,3))</f>
        <v>205.580678</v>
      </c>
      <c r="D44" s="101">
        <f t="array" ref="D44">VARP(IF(INDEX(properties!A$1:CB$87,'Fórmula'!B44,3)&lt;&gt;"",INDEX(properties!A$1:CB$87,'Fórmula'!B44,3)),IF(INDEX(properties!A$1:CB$87,'Fórmula'!D44,3)&lt;&gt;"",INDEX(properties!A$1:CB$87,'Fórmula'!D44,3)),IF(INDEX(properties!A$1:CB$87,'Fórmula'!F44,3)&lt;&gt;"",INDEX(properties!A$1:CB$87,'Fórmula'!F44,3)),IF(INDEX(properties!A$1:CB$87,'Fórmula'!H44,3)&lt;&gt;"",INDEX(properties!A$1:CB$87,'Fórmula'!H44,3)),IF(INDEX(properties!A$1:CB$87,'Fórmula'!J44,3)&lt;&gt;"",INDEX(properties!A$1:CB$87,'Fórmula'!J44,3)))</f>
        <v>1049.985519</v>
      </c>
      <c r="E44" s="101">
        <f t="array" ref="E44">MAX(INDEX(properties!A$1:CB$87,'Fórmula'!B44,3),INDEX(properties!A$1:CB$87,'Fórmula'!D44,3),INDEX(properties!A$1:CB$87,'Fórmula'!F44,3),INDEX(properties!A$1:CB$87,'Fórmula'!H44,3),INDEX(properties!A$1:CB$87,'Fórmula'!J44,3))</f>
        <v>87.62</v>
      </c>
      <c r="F44" s="101">
        <f t="array" ref="F44">MIN(IF(INDEX(properties!A$1:CB$87,'Fórmula'!B44,3)=0,10^6,INDEX(properties!A$1:CB$87,'Fórmula'!B44,3)),IF(INDEX(properties!A$1:CB$87,'Fórmula'!D44,3)=0,10^6,INDEX(properties!A$1:CB$87,'Fórmula'!D44,3)),IF(INDEX(properties!A$1:CB$87,'Fórmula'!F44,3)=0,10^6,INDEX(properties!A$1:CB$87,'Fórmula'!F44,3)),IF(INDEX(properties!A$1:CB$87,'Fórmula'!H44,3)=0,10^6,INDEX(properties!A$1:CB$87,'Fórmula'!H44,3)),IF(INDEX(properties!A$1:CB$87,'Fórmula'!J44,3)=0,10^6,INDEX(properties!A$1:CB$87,'Fórmula'!J44,3)))</f>
        <v>15.9994</v>
      </c>
      <c r="G44" s="101">
        <f t="shared" si="1"/>
        <v>71.6206</v>
      </c>
      <c r="H44" s="102">
        <f t="array" ref="H44">(('Fórmula'!C44)/('Fórmula'!C44+'Fórmula'!E44+'Fórmula'!G44+'Fórmula'!I44+'Fórmula'!K44))*(INDEX(properties!A$1:CB$87,'Fórmula'!B44,4))+(('Fórmula'!E44)/('Fórmula'!C44+'Fórmula'!E44+'Fórmula'!G44+'Fórmula'!I44+'Fórmula'!K44))*(INDEX(properties!A$1:CB$87,'Fórmula'!D44,4))+(('Fórmula'!G44)/('Fórmula'!C44+'Fórmula'!E44+'Fórmula'!G44+'Fórmula'!I44+'Fórmula'!K44))*(INDEX(properties!A$1:CB$87,'Fórmula'!F44,4))+(('Fórmula'!I44)/('Fórmula'!C44+'Fórmula'!E44+'Fórmula'!G44+'Fórmula'!I44+'Fórmula'!K44))*(INDEX(properties!A$1:CB$87,'Fórmula'!H44,4))+(('Fórmula'!K44)/('Fórmula'!C44+'Fórmula'!E44+'Fórmula'!G44+'Fórmula'!I44+'Fórmula'!K44))*(INDEX(properties!A$1:CB$87,'Fórmula'!J44,4))</f>
        <v>13.71428571</v>
      </c>
      <c r="I44" s="102">
        <f t="array" ref="I44">'Fórmula'!C44*(INDEX(properties!A$1:CB$87,'Fórmula'!B44,4))+'Fórmula'!E44*(INDEX(properties!A$1:CB$87,'Fórmula'!D44,4))+'Fórmula'!G44*(INDEX(properties!A$1:CB$87,'Fórmula'!F44,4))+'Fórmula'!I44*(INDEX(properties!A$1:CB$87,'Fórmula'!H44,4))+'Fórmula'!K44*(INDEX(properties!A$1:CB$87,'Fórmula'!J44,4))</f>
        <v>96</v>
      </c>
      <c r="J44" s="102">
        <f t="array" ref="J44">VARP(IF(INDEX(properties!A$1:CB$87,'Fórmula'!B44,4)&lt;&gt;"",INDEX(properties!A$1:CB$87,'Fórmula'!B44,4)),IF(INDEX(properties!A$1:CB$87,'Fórmula'!D44,4)&lt;&gt;"",INDEX(properties!A$1:CB$87,'Fórmula'!D44,4)),IF(INDEX(properties!A$1:CB$87,'Fórmula'!F44,4)&lt;&gt;"",INDEX(properties!A$1:CB$87,'Fórmula'!F44,4)),IF(INDEX(properties!A$1:CB$87,'Fórmula'!H44,4)&lt;&gt;"",INDEX(properties!A$1:CB$87,'Fórmula'!H44,4)),IF(INDEX(properties!A$1:CB$87,'Fórmula'!J44,4)&lt;&gt;"",INDEX(properties!A$1:CB$87,'Fórmula'!J44,4)))</f>
        <v>196.16</v>
      </c>
      <c r="K44" s="102">
        <f t="array" ref="K44">MAX(INDEX(properties!A$1:CB$87,'Fórmula'!B44,4),INDEX(properties!A$1:CB$87,'Fórmula'!D44,4),INDEX(properties!A$1:CB$87,'Fórmula'!F44,4),INDEX(properties!A$1:CB$87,'Fórmula'!H44,4),INDEX(properties!A$1:CB$87,'Fórmula'!J44,4))</f>
        <v>38</v>
      </c>
      <c r="L44" s="102">
        <f t="array" ref="L44">MIN(IF(INDEX(properties!A$1:CB$87,'Fórmula'!B44,4)=0,10^6,INDEX(properties!A$1:CB$87,'Fórmula'!B44,4)),IF(INDEX(properties!A$1:CB$87,'Fórmula'!D44,4)=0,10^6,INDEX(properties!A$1:CB$87,'Fórmula'!D44,4)),IF(INDEX(properties!A$1:CB$87,'Fórmula'!F44,4)=0,10^6,INDEX(properties!A$1:CB$87,'Fórmula'!F44,4)),IF(INDEX(properties!A$1:CB$87,'Fórmula'!H44,4)=0,10^6,INDEX(properties!A$1:CB$87,'Fórmula'!H44,4)),IF(INDEX(properties!A$1:CB$87,'Fórmula'!J44,4)=0,10^6,INDEX(properties!A$1:CB$87,'Fórmula'!J44,4)))</f>
        <v>8</v>
      </c>
      <c r="M44" s="102">
        <f t="shared" si="2"/>
        <v>30</v>
      </c>
      <c r="N44" s="103">
        <f t="array" ref="N44">(('Fórmula'!C44)/('Fórmula'!C44+'Fórmula'!E44+'Fórmula'!G44+'Fórmula'!I44+'Fórmula'!K44))*(INDEX(properties!A$1:CB$87,'Fórmula'!B44,5))+(('Fórmula'!E44)/('Fórmula'!C44+'Fórmula'!E44+'Fórmula'!G44+'Fórmula'!I44+'Fórmula'!K44))*(INDEX(properties!A$1:CB$87,'Fórmula'!D44,5))+(('Fórmula'!G44)/('Fórmula'!C44+'Fórmula'!E44+'Fórmula'!G44+'Fórmula'!I44+'Fórmula'!K44))*(INDEX(properties!A$1:CB$87,'Fórmula'!F44,5))+(('Fórmula'!I44)/('Fórmula'!C44+'Fórmula'!E44+'Fórmula'!G44+'Fórmula'!I44+'Fórmula'!K44))*(INDEX(properties!A$1:CB$87,'Fórmula'!H44,5))+(('Fórmula'!K44)/('Fórmula'!C44+'Fórmula'!E44+'Fórmula'!G44+'Fórmula'!I44+'Fórmula'!K44))*(INDEX(properties!A$1:CB$87,'Fórmula'!J44,5))</f>
        <v>2.714285714</v>
      </c>
      <c r="O44" s="103">
        <f t="array" ref="O44">'Fórmula'!C44*(INDEX(properties!A$1:CB$87,'Fórmula'!B44,5))+'Fórmula'!E44*(INDEX(properties!A$1:CB$87,'Fórmula'!D44,5))+'Fórmula'!G44*(INDEX(properties!A$1:CB$87,'Fórmula'!F44,5))+'Fórmula'!I44*(INDEX(properties!A$1:CB$87,'Fórmula'!H44,5))+'Fórmula'!K44*(INDEX(properties!A$1:CB$87,'Fórmula'!J44,5))</f>
        <v>19</v>
      </c>
      <c r="P44" s="103">
        <f t="array" ref="P44">VARP(IF(INDEX(properties!A$1:CB$87,'Fórmula'!B44,5)&lt;&gt;"",INDEX(properties!A$1:CB$87,'Fórmula'!B44,5)),IF(INDEX(properties!A$1:CB$87,'Fórmula'!D44,5)&lt;&gt;"",INDEX(properties!A$1:CB$87,'Fórmula'!D44,5)),IF(INDEX(properties!A$1:CB$87,'Fórmula'!F44,5)&lt;&gt;"",INDEX(properties!A$1:CB$87,'Fórmula'!F44,5)),IF(INDEX(properties!A$1:CB$87,'Fórmula'!H44,5)&lt;&gt;"",INDEX(properties!A$1:CB$87,'Fórmula'!H44,5)),IF(INDEX(properties!A$1:CB$87,'Fórmula'!J44,5)&lt;&gt;"",INDEX(properties!A$1:CB$87,'Fórmula'!J44,5)))</f>
        <v>3.6</v>
      </c>
      <c r="Q44" s="103">
        <f t="array" ref="Q44">MAX(INDEX(properties!A$1:CB$87,'Fórmula'!B44,5),INDEX(properties!A$1:CB$87,'Fórmula'!D44,5),INDEX(properties!A$1:CB$87,'Fórmula'!F44,5),INDEX(properties!A$1:CB$87,'Fórmula'!H44,5),INDEX(properties!A$1:CB$87,'Fórmula'!J44,5))</f>
        <v>5</v>
      </c>
      <c r="R44" s="103">
        <f t="array" ref="R44">MIN(IF(INDEX(properties!A$1:CB$87,'Fórmula'!B44,5)=0,10^6,INDEX(properties!A$1:CB$87,'Fórmula'!B44,5)),IF(INDEX(properties!A$1:CB$87,'Fórmula'!D44,5)=0,10^6,INDEX(properties!A$1:CB$87,'Fórmula'!D44,5)),IF(INDEX(properties!A$1:CB$87,'Fórmula'!F44,5)=0,10^6,INDEX(properties!A$1:CB$87,'Fórmula'!F44,5)),IF(INDEX(properties!A$1:CB$87,'Fórmula'!H44,5)=0,10^6,INDEX(properties!A$1:CB$87,'Fórmula'!H44,5)),IF(INDEX(properties!A$1:CB$87,'Fórmula'!J44,5)=0,10^6,INDEX(properties!A$1:CB$87,'Fórmula'!J44,5)))</f>
        <v>2</v>
      </c>
      <c r="S44" s="103">
        <f t="shared" si="3"/>
        <v>3</v>
      </c>
      <c r="T44" s="104">
        <f t="array" ref="T44">(('Fórmula'!C44)/('Fórmula'!C44+'Fórmula'!E44+'Fórmula'!G44+'Fórmula'!I44+'Fórmula'!K44))*(INDEX(properties!A$1:CB$87,'Fórmula'!B44,6))+(('Fórmula'!E44)/('Fórmula'!C44+'Fórmula'!E44+'Fórmula'!G44+'Fórmula'!I44+'Fórmula'!K44))*(INDEX(properties!A$1:CB$87,'Fórmula'!D44,6))+(('Fórmula'!G44)/('Fórmula'!C44+'Fórmula'!E44+'Fórmula'!G44+'Fórmula'!I44+'Fórmula'!K44))*(INDEX(properties!A$1:CB$87,'Fórmula'!F44,6))+(('Fórmula'!I44)/('Fórmula'!C44+'Fórmula'!E44+'Fórmula'!G44+'Fórmula'!I44+'Fórmula'!K44))*(INDEX(properties!A$1:CB$87,'Fórmula'!H44,6))+(('Fórmula'!K44)/('Fórmula'!C44+'Fórmula'!E44+'Fórmula'!G44+'Fórmula'!I44+'Fórmula'!K44))*(INDEX(properties!A$1:CB$87,'Fórmula'!J44,6))</f>
        <v>13.14285714</v>
      </c>
      <c r="U44" s="104">
        <f t="array" ref="U44">'Fórmula'!C44*(INDEX(properties!A$1:CB$87,'Fórmula'!B44,6))+'Fórmula'!E44*(INDEX(properties!A$1:CB$87,'Fórmula'!D44,6))+'Fórmula'!G44*(INDEX(properties!A$1:CB$87,'Fórmula'!F44,6))+'Fórmula'!I44*(INDEX(properties!A$1:CB$87,'Fórmula'!H44,6))+'Fórmula'!K44*(INDEX(properties!A$1:CB$87,'Fórmula'!J44,6))</f>
        <v>92</v>
      </c>
      <c r="V44" s="103">
        <f t="array" ref="V44">VARP(IF(INDEX(properties!A$1:CB$87,'Fórmula'!B44,6)&lt;&gt;"",INDEX(properties!A$1:CB$87,'Fórmula'!B44,6)),IF(INDEX(properties!A$1:CB$87,'Fórmula'!D44,6)&lt;&gt;"",INDEX(properties!A$1:CB$87,'Fórmula'!D44,6)),IF(INDEX(properties!A$1:CB$87,'Fórmula'!F44,6)&lt;&gt;"",INDEX(properties!A$1:CB$87,'Fórmula'!F44,6)),IF(INDEX(properties!A$1:CB$87,'Fórmula'!H44,6)&lt;&gt;"",INDEX(properties!A$1:CB$87,'Fórmula'!H44,6)),IF(INDEX(properties!A$1:CB$87,'Fórmula'!J44,6)&lt;&gt;"",INDEX(properties!A$1:CB$87,'Fórmula'!J44,6)))</f>
        <v>47.36</v>
      </c>
      <c r="W44" s="104">
        <f t="array" ref="W44">MAX(INDEX(properties!A$1:CB$87,'Fórmula'!B44,6),INDEX(properties!A$1:CB$87,'Fórmula'!D44,6),INDEX(properties!A$1:CB$87,'Fórmula'!F44,6),INDEX(properties!A$1:CB$87,'Fórmula'!H44,4),INDEX(properties!A$1:CB$87,'Fórmula'!J44,6))</f>
        <v>16</v>
      </c>
      <c r="X44" s="104">
        <f t="array" ref="X44">MIN(IF(INDEX(properties!A$1:CB$87,'Fórmula'!B44,6)=0,10^6,INDEX(properties!A$1:CB$87,'Fórmula'!B44,6)),IF(INDEX(properties!A$1:CB$87,'Fórmula'!D44,6)=0,10^6,INDEX(properties!A$1:CB$87,'Fórmula'!D44,6)),IF(INDEX(properties!A$1:CB$87,'Fórmula'!F44,6)=0,10^6,INDEX(properties!A$1:CB$87,'Fórmula'!F44,6)),IF(INDEX(properties!A$1:CB$87,'Fórmula'!H44,6)=0,10^6,INDEX(properties!A$1:CB$87,'Fórmula'!H44,6)),IF(INDEX(properties!A$1:CB$87,'Fórmula'!J44,6)=0,10^6,INDEX(properties!A$1:CB$87,'Fórmula'!J44,6)))</f>
        <v>2</v>
      </c>
      <c r="Y44" s="104">
        <f t="shared" si="4"/>
        <v>14</v>
      </c>
      <c r="Z44" s="105">
        <f t="array" ref="Z44">(('Fórmula'!C44)/('Fórmula'!C44+'Fórmula'!E44+'Fórmula'!G44+'Fórmula'!I44+'Fórmula'!K44))*(INDEX(properties!A$1:CB$87,'Fórmula'!B44,9))+(('Fórmula'!E44)/('Fórmula'!C44+'Fórmula'!E44+'Fórmula'!G44+'Fórmula'!I44+'Fórmula'!K44))*(INDEX(properties!A$1:CB$87,'Fórmula'!D44,9))+(('Fórmula'!G44)/('Fórmula'!C44+'Fórmula'!E44+'Fórmula'!G44+'Fórmula'!I44+'Fórmula'!K44))*(INDEX(properties!A$1:CB$87,'Fórmula'!F44,9))+(('Fórmula'!I44)/('Fórmula'!C44+'Fórmula'!E44+'Fórmula'!G44+'Fórmula'!I44+'Fórmula'!K44))*(INDEX(properties!A$1:CB$87,'Fórmula'!H44,9))+(('Fórmula'!K44)/('Fórmula'!C44+'Fórmula'!E44+'Fórmula'!G44+'Fórmula'!I44+'Fórmula'!K44))*(INDEX(properties!A$1:CB$87,'Fórmula'!J44,9))</f>
        <v>71.71428571</v>
      </c>
      <c r="AA44" s="105">
        <f t="array" ref="AA44">'Fórmula'!C44*(INDEX(properties!A$1:CB$87,'Fórmula'!B44,9))+'Fórmula'!E44*(INDEX(properties!A$1:CB$87,'Fórmula'!D44,9))+'Fórmula'!G44*(INDEX(properties!A$1:CB$87,'Fórmula'!F44,9))+'Fórmula'!I44*(INDEX(properties!A$1:CB$87,'Fórmula'!H44,9))+'Fórmula'!K44*(INDEX(properties!A$1:CB$87,'Fórmula'!J44,9))</f>
        <v>502</v>
      </c>
      <c r="AB44" s="105">
        <f t="array" ref="AB44">VARP(IF(INDEX(properties!A$1:CB$87,'Fórmula'!B44,9)&lt;&gt;"",INDEX(properties!A$1:CB$87,'Fórmula'!B44,9)),IF(INDEX(properties!A$1:CB$87,'Fórmula'!D44,9)&lt;&gt;"",INDEX(properties!A$1:CB$87,'Fórmula'!D44,9)),IF(INDEX(properties!A$1:CB$87,'Fórmula'!F44,9)&lt;&gt;"",INDEX(properties!A$1:CB$87,'Fórmula'!F44,9)),IF(INDEX(properties!A$1:CB$87,'Fórmula'!H44,9)&lt;&gt;"",INDEX(properties!A$1:CB$87,'Fórmula'!H44,9)),IF(INDEX(properties!A$1:CB$87,'Fórmula'!J44,9)&lt;&gt;"",INDEX(properties!A$1:CB$87,'Fórmula'!J44,9)))</f>
        <v>1463.44</v>
      </c>
      <c r="AC44" s="105">
        <f t="array" ref="AC44">MAX(INDEX(properties!A$1:CB$87,'Fórmula'!B44,9),INDEX(properties!A$1:CB$87,'Fórmula'!D44,9),INDEX(properties!A$1:CB$87,'Fórmula'!F44,9),INDEX(properties!A$1:CB$87,'Fórmula'!H44,9),INDEX(properties!A$1:CB$87,'Fórmula'!J44,9))</f>
        <v>87</v>
      </c>
      <c r="AD44" s="105">
        <f t="array" ref="AD44">MIN(IF(INDEX(properties!A$1:CB$87,'Fórmula'!B44,9)=0,10^6,INDEX(properties!A$1:CB$87,'Fórmula'!B44,9)),IF(INDEX(properties!A$1:CB$87,'Fórmula'!D44,9)=0,10^6,INDEX(properties!A$1:CB$87,'Fórmula'!D44,9)),IF(INDEX(properties!A$1:CB$87,'Fórmula'!F44,9)=0,10^6,INDEX(properties!A$1:CB$87,'Fórmula'!F44,9)),IF(INDEX(properties!A$1:CB$87,'Fórmula'!H44,9)=0,10^6,INDEX(properties!A$1:CB$87,'Fórmula'!H44,9)),IF(INDEX(properties!A$1:CB$87,'Fórmula'!J44,9)=0,10^6,INDEX(properties!A$1:CB$87,'Fórmula'!J44,9)))</f>
        <v>8</v>
      </c>
      <c r="AE44" s="105">
        <f t="shared" si="5"/>
        <v>79</v>
      </c>
      <c r="AF44" s="106">
        <f t="array" ref="AF44">(('Fórmula'!C44)/('Fórmula'!C44+'Fórmula'!E44+'Fórmula'!G44+'Fórmula'!I44+'Fórmula'!K44))*(INDEX(properties!A$1:CB$87,'Fórmula'!B44,10))+(('Fórmula'!E44)/('Fórmula'!C44+'Fórmula'!E44+'Fórmula'!G44+'Fórmula'!I44+'Fórmula'!K44))*(INDEX(properties!A$1:CB$87,'Fórmula'!D44,10))+(('Fórmula'!G44)/('Fórmula'!C44+'Fórmula'!E44+'Fórmula'!G44+'Fórmula'!I44+'Fórmula'!K44))*(INDEX(properties!A$1:CB$87,'Fórmula'!F44,10))+(('Fórmula'!I44)/('Fórmula'!C44+'Fórmula'!E44+'Fórmula'!G44+'Fórmula'!I44+'Fórmula'!K44))*(INDEX(properties!A$1:CB$87,'Fórmula'!H44,10))+(('Fórmula'!K44)/('Fórmula'!C44+'Fórmula'!E44+'Fórmula'!G44+'Fórmula'!I44+'Fórmula'!K44))*(INDEX(properties!A$1:CB$87,'Fórmula'!J44,10))</f>
        <v>5.714285714</v>
      </c>
      <c r="AG44" s="106">
        <f t="array" ref="AG44">'Fórmula'!C44*(INDEX(properties!A$1:CB$87,'Fórmula'!B44,10))+'Fórmula'!E44*(INDEX(properties!A$1:CB$87,'Fórmula'!D44,10))+'Fórmula'!G44*(INDEX(properties!A$1:CB$87,'Fórmula'!F44,10))+'Fórmula'!I44*(INDEX(properties!A$1:CB$87,'Fórmula'!H44,10))+'Fórmula'!K44*(INDEX(properties!A$1:CB$87,'Fórmula'!J44,10))</f>
        <v>40</v>
      </c>
      <c r="AH44" s="106">
        <f t="array" ref="AH44">VARP(IF(INDEX(properties!A$1:CB$87,'Fórmula'!B44,10)&lt;&gt;"",INDEX(properties!A$1:CB$87,'Fórmula'!B44,10)),IF(INDEX(properties!A$1:CB$87,'Fórmula'!D44,10)&lt;&gt;"",INDEX(properties!A$1:CB$87,'Fórmula'!D44,10)),IF(INDEX(properties!A$1:CB$87,'Fórmula'!F44,10)&lt;&gt;"",INDEX(properties!A$1:CB$87,'Fórmula'!F44,10)),IF(INDEX(properties!A$1:CB$87,'Fórmula'!H44,10)&lt;&gt;"",INDEX(properties!A$1:CB$87,'Fórmula'!H44,10)),IF(INDEX(properties!A$1:CB$87,'Fórmula'!J44,10)&lt;&gt;"",INDEX(properties!A$1:CB$87,'Fórmula'!J44,10)))</f>
        <v>7.76</v>
      </c>
      <c r="AI44" s="106">
        <f t="array" ref="AI44">MAX(INDEX(properties!A$1:CB$87,'Fórmula'!B44,10),INDEX(properties!A$1:CB$87,'Fórmula'!D44,10),INDEX(properties!A$1:CB$87,'Fórmula'!F44,10),INDEX(properties!A$1:CB$87,'Fórmula'!H44,10),INDEX(properties!A$1:CB$87,'Fórmula'!J44,10))</f>
        <v>7</v>
      </c>
      <c r="AJ44" s="106">
        <f t="array" ref="AJ44">MIN(IF(INDEX(properties!A$1:CB$87,'Fórmula'!B44,10)=0,10^6,INDEX(properties!A$1:CB$87,'Fórmula'!B44,10)),IF(INDEX(properties!A$1:CB$87,'Fórmula'!D44,10)=0,10^6,INDEX(properties!A$1:CB$87,'Fórmula'!D44,10)),IF(INDEX(properties!A$1:CB$87,'Fórmula'!F44,10)=0,10^6,INDEX(properties!A$1:CB$87,'Fórmula'!F44,10)),IF(INDEX(properties!A$1:CB$87,'Fórmula'!H44,10)=0,10^6,INDEX(properties!A$1:CB$87,'Fórmula'!H44,10)),IF(INDEX(properties!A$1:CB$87,'Fórmula'!J44,10)=0,10^6,INDEX(properties!A$1:CB$87,'Fórmula'!J44,10)))</f>
        <v>2</v>
      </c>
      <c r="AK44" s="106">
        <f t="shared" si="6"/>
        <v>5</v>
      </c>
      <c r="AL44" s="107">
        <f t="array" ref="AL44">(('Fórmula'!C44)/('Fórmula'!C44+'Fórmula'!E44+'Fórmula'!G44+'Fórmula'!I44+'Fórmula'!K44))*(INDEX(properties!A$1:CB$87,'Fórmula'!B44,11))+(('Fórmula'!E44)/('Fórmula'!C44+'Fórmula'!E44+'Fórmula'!G44+'Fórmula'!I44+'Fórmula'!K44))*(INDEX(properties!A$1:CB$87,'Fórmula'!D44,11))+(('Fórmula'!G44)/('Fórmula'!C44+'Fórmula'!E44+'Fórmula'!G44+'Fórmula'!I44+'Fórmula'!K44))*(INDEX(properties!A$1:CB$87,'Fórmula'!F44,11))+(('Fórmula'!I44)/('Fórmula'!C44+'Fórmula'!E44+'Fórmula'!G44+'Fórmula'!I44+'Fórmula'!K44))*(INDEX(properties!A$1:CB$87,'Fórmula'!H44,11))+(('Fórmula'!K44)/('Fórmula'!C44+'Fórmula'!E44+'Fórmula'!G44+'Fórmula'!I44+'Fórmula'!K44))*(INDEX(properties!A$1:CB$87,'Fórmula'!J44,11))</f>
        <v>2</v>
      </c>
      <c r="AM44" s="107">
        <f t="array" ref="AM44">'Fórmula'!C44*(INDEX(properties!A$1:CB$87,'Fórmula'!B44,11))+'Fórmula'!E44*(INDEX(properties!A$1:CB$87,'Fórmula'!D44,11))+'Fórmula'!G44*(INDEX(properties!A$1:CB$87,'Fórmula'!F44,11))+'Fórmula'!I44*(INDEX(properties!A$1:CB$87,'Fórmula'!H44,11))+'Fórmula'!K44*(INDEX(properties!A$1:CB$87,'Fórmula'!J44,11))</f>
        <v>14</v>
      </c>
      <c r="AN44" s="107">
        <f t="array" ref="AN44">VARP(IF(INDEX(properties!A$1:CB$87,'Fórmula'!B44,11)&lt;&gt;"",INDEX(properties!A$1:CB$87,'Fórmula'!B44,11)),IF(INDEX(properties!A$1:CB$87,'Fórmula'!D44,11)&lt;&gt;"",INDEX(properties!A$1:CB$87,'Fórmula'!D44,11)),IF(INDEX(properties!A$1:CB$87,'Fórmula'!F44,11)&lt;&gt;"",INDEX(properties!A$1:CB$87,'Fórmula'!F44,11)),IF(INDEX(properties!A$1:CB$87,'Fórmula'!H44,11)&lt;&gt;"",INDEX(properties!A$1:CB$87,'Fórmula'!H44,11)),IF(INDEX(properties!A$1:CB$87,'Fórmula'!J44,11)&lt;&gt;"",INDEX(properties!A$1:CB$87,'Fórmula'!J44,11)))</f>
        <v>0.96</v>
      </c>
      <c r="AO44" s="107">
        <f t="array" ref="AO44">MAX(INDEX(properties!A$1:CB$87,'Fórmula'!B44,11),INDEX(properties!A$1:CB$87,'Fórmula'!D44,11),INDEX(properties!A$1:CB$87,'Fórmula'!F44,11),INDEX(properties!A$1:CB$87,'Fórmula'!H44,11),INDEX(properties!A$1:CB$87,'Fórmula'!J44,11))</f>
        <v>2</v>
      </c>
      <c r="AP44" s="107">
        <f t="array" ref="AP44">MIN(IF('Fórmula'!B44=87,10^6,INDEX(properties!A$1:CB$87,'Fórmula'!B44,11)),IF(('Fórmula'!D44)=87,10^6,INDEX(properties!A$1:CB$87,'Fórmula'!D44,11)),IF(('Fórmula'!F44)=87,10^6,INDEX(properties!A$1:CB$87,'Fórmula'!F44,11)),IF(('Fórmula'!H44)=87,10^6,INDEX(properties!A$1:CB$87,'Fórmula'!H44,11)),IF('Fórmula'!J44=87,10^6,INDEX(properties!A$1:CB$87,'Fórmula'!J44,11)))</f>
        <v>2</v>
      </c>
      <c r="AQ44" s="107">
        <f t="shared" si="7"/>
        <v>0</v>
      </c>
      <c r="AR44" s="108">
        <f t="array" ref="AR44">(('Fórmula'!C44)/('Fórmula'!C44+'Fórmula'!E44+'Fórmula'!G44+'Fórmula'!I44+'Fórmula'!K44))*(INDEX(properties!A$1:CB$87,'Fórmula'!B44,12))+(('Fórmula'!E44)/('Fórmula'!C44+'Fórmula'!E44+'Fórmula'!G44+'Fórmula'!I44+'Fórmula'!K44))*(INDEX(properties!A$1:CB$87,'Fórmula'!D44,12))+(('Fórmula'!G44)/('Fórmula'!C44+'Fórmula'!E44+'Fórmula'!G44+'Fórmula'!I44+'Fórmula'!K44))*(INDEX(properties!A$1:CB$87,'Fórmula'!F44,12))+(('Fórmula'!I44)/('Fórmula'!C44+'Fórmula'!E44+'Fórmula'!G44+'Fórmula'!I44+'Fórmula'!K44))*(INDEX(properties!A$1:CB$87,'Fórmula'!H44,12))+(('Fórmula'!K44)/('Fórmula'!C44+'Fórmula'!E44+'Fórmula'!G44+'Fórmula'!I44+'Fórmula'!K44))*(INDEX(properties!A$1:CB$87,'Fórmula'!J44,12))</f>
        <v>2.571428571</v>
      </c>
      <c r="AS44" s="108">
        <f t="array" ref="AS44">'Fórmula'!C44*(INDEX(properties!A$1:CB$87,'Fórmula'!B44,12))+'Fórmula'!E44*(INDEX(properties!A$1:CB$87,'Fórmula'!D44,12))+'Fórmula'!G44*(INDEX(properties!A$1:CB$87,'Fórmula'!F44,12))+'Fórmula'!I44*(INDEX(properties!A$1:CB$87,'Fórmula'!H44,12))+'Fórmula'!K44*(INDEX(properties!A$1:CB$87,'Fórmula'!J44,12))</f>
        <v>18</v>
      </c>
      <c r="AT44" s="108">
        <f t="array" ref="AT44">VARP(IF(INDEX(properties!A$1:CB$87,'Fórmula'!B44,12)&lt;&gt;"",INDEX(properties!A$1:CB$87,'Fórmula'!B44,12)),IF(INDEX(properties!A$1:CB$87,'Fórmula'!D44,12)&lt;&gt;"",INDEX(properties!A$1:CB$87,'Fórmula'!D44,12)),IF(INDEX(properties!A$1:CB$87,'Fórmula'!F44,12)&lt;&gt;"",INDEX(properties!A$1:CB$87,'Fórmula'!F44,12)),IF(INDEX(properties!A$1:CB$87,'Fórmula'!H44,12)&lt;&gt;"",INDEX(properties!A$1:CB$87,'Fórmula'!H44,12)),IF(INDEX(properties!A$1:CB$87,'Fórmula'!J44,12)&lt;&gt;"",INDEX(properties!A$1:CB$87,'Fórmula'!J44,12)))</f>
        <v>2.4</v>
      </c>
      <c r="AU44" s="108">
        <f t="array" ref="AU44">MAX(INDEX(properties!A$1:CB$87,'Fórmula'!B44,12),INDEX(properties!A$1:CB$87,'Fórmula'!D44,12),INDEX(properties!A$1:CB$87,'Fórmula'!F44,12),INDEX(properties!A$1:CB$87,'Fórmula'!H44,12),INDEX(properties!A$1:CB$87,'Fórmula'!J44,12))</f>
        <v>4</v>
      </c>
      <c r="AV44" s="108">
        <f t="array" ref="AV44">MIN(IF('Fórmula'!B44=87,10^6,INDEX(properties!A$1:CB$87,'Fórmula'!B44,12)),IF(('Fórmula'!D44)=87,10^6,INDEX(properties!A$1:CB$87,'Fórmula'!D44,12)),IF(('Fórmula'!F44)=87,10^6,INDEX(properties!A$1:CB$87,'Fórmula'!F44,12)),IF(('Fórmula'!H44)=87,10^6,INDEX(properties!A$1:CB$87,'Fórmula'!H44,12)),IF('Fórmula'!J44=87,10^6,INDEX(properties!A$1:CB$87,'Fórmula'!J44,12)))</f>
        <v>0</v>
      </c>
      <c r="AW44" s="108">
        <f t="shared" si="8"/>
        <v>4</v>
      </c>
      <c r="AX44" s="109">
        <f t="array" ref="AX44">(('Fórmula'!C44)/('Fórmula'!C44+'Fórmula'!E44+'Fórmula'!G44+'Fórmula'!I44+'Fórmula'!K44))*(INDEX(properties!A$1:CB$87,'Fórmula'!B44,13))+(('Fórmula'!E44)/('Fórmula'!C44+'Fórmula'!E44+'Fórmula'!G44+'Fórmula'!I44+'Fórmula'!K44))*(INDEX(properties!A$1:CB$87,'Fórmula'!D44,13))+(('Fórmula'!G44)/('Fórmula'!C44+'Fórmula'!E44+'Fórmula'!G44+'Fórmula'!I44+'Fórmula'!K44))*(INDEX(properties!A$1:CB$87,'Fórmula'!F44,13))+(('Fórmula'!I44)/('Fórmula'!C44+'Fórmula'!E44+'Fórmula'!G44+'Fórmula'!I44+'Fórmula'!K44))*(INDEX(properties!A$1:CB$87,'Fórmula'!H44,13))+(('Fórmula'!K44)/('Fórmula'!C44+'Fórmula'!E44+'Fórmula'!G44+'Fórmula'!I44+'Fórmula'!K44))*(INDEX(properties!A$1:CB$87,'Fórmula'!J44,13))</f>
        <v>0</v>
      </c>
      <c r="AY44" s="109">
        <f t="array" ref="AY44">'Fórmula'!C44*(INDEX(properties!A$1:CB$87,'Fórmula'!B44,13))+'Fórmula'!E44*(INDEX(properties!A$1:CB$87,'Fórmula'!D44,13))+'Fórmula'!G44*(INDEX(properties!A$1:CB$87,'Fórmula'!F44,13))+'Fórmula'!I44*(INDEX(properties!A$1:CB$87,'Fórmula'!H44,13))+'Fórmula'!K44*(INDEX(properties!A$1:CB$87,'Fórmula'!J44,13))</f>
        <v>0</v>
      </c>
      <c r="AZ44" s="109">
        <f t="array" ref="AZ44">VARP(IF(INDEX(properties!A$1:CB$87,'Fórmula'!B44,13)&lt;&gt;"",INDEX(properties!A$1:CB$87,'Fórmula'!B44,13)),IF(INDEX(properties!A$1:CB$87,'Fórmula'!D44,13)&lt;&gt;"",INDEX(properties!A$1:CB$87,'Fórmula'!D44,13)),IF(INDEX(properties!A$1:CB$87,'Fórmula'!F44,13)&lt;&gt;"",INDEX(properties!A$1:CB$87,'Fórmula'!F44,13)),IF(INDEX(properties!A$1:CB$87,'Fórmula'!H44,13)&lt;&gt;"",INDEX(properties!A$1:CB$87,'Fórmula'!H44,13)),IF(INDEX(properties!A$1:CB$87,'Fórmula'!J44,13)&lt;&gt;"",INDEX(properties!A$1:CB$87,'Fórmula'!J44,13)))</f>
        <v>0</v>
      </c>
      <c r="BA44" s="109">
        <f t="array" ref="BA44">MAX(INDEX(properties!A$1:CB$87,'Fórmula'!B44,13),INDEX(properties!A$1:CB$87,'Fórmula'!D44,13),INDEX(properties!A$1:CB$87,'Fórmula'!F44,13),INDEX(properties!A$1:CB$87,'Fórmula'!H44,13),INDEX(properties!A$1:CB$87,'Fórmula'!J44,13))</f>
        <v>0</v>
      </c>
      <c r="BB44" s="109">
        <f t="array" ref="BB44">MIN(IF('Fórmula'!B44=87,10^6,INDEX(properties!A$1:CB$87,'Fórmula'!B44,13)),IF(('Fórmula'!D44)=87,10^6,INDEX(properties!A$1:CB$87,'Fórmula'!D44,13)),IF(('Fórmula'!F44)=87,10^6,INDEX(properties!A$1:CB$87,'Fórmula'!F44,13)),IF(('Fórmula'!H44)=87,10^6,INDEX(properties!A$1:CB$87,'Fórmula'!H44,13)),IF('Fórmula'!J44=87,10^6,INDEX(properties!A$1:CB$87,'Fórmula'!J44,13)))</f>
        <v>0</v>
      </c>
      <c r="BC44" s="109">
        <f t="shared" si="9"/>
        <v>0</v>
      </c>
      <c r="BD44" s="110">
        <f t="array" ref="BD44">(('Fórmula'!C44)/('Fórmula'!C44+'Fórmula'!E44+'Fórmula'!G44+'Fórmula'!I44+'Fórmula'!K44))*(INDEX(properties!A$1:CB$87,'Fórmula'!B44,14))+(('Fórmula'!E44)/('Fórmula'!C44+'Fórmula'!E44+'Fórmula'!G44+'Fórmula'!I44+'Fórmula'!K44))*(INDEX(properties!A$1:CB$87,'Fórmula'!D44,14))+(('Fórmula'!G44)/('Fórmula'!C44+'Fórmula'!E44+'Fórmula'!G44+'Fórmula'!I44+'Fórmula'!K44))*(INDEX(properties!A$1:CB$87,'Fórmula'!F44,14))+(('Fórmula'!I44)/('Fórmula'!C44+'Fórmula'!E44+'Fórmula'!G44+'Fórmula'!I44+'Fórmula'!K44))*(INDEX(properties!A$1:CB$87,'Fórmula'!H44,14))+(('Fórmula'!K44)/('Fórmula'!C44+'Fórmula'!E44+'Fórmula'!G44+'Fórmula'!I44+'Fórmula'!K44))*(INDEX(properties!A$1:CB$87,'Fórmula'!J44,14))</f>
        <v>0</v>
      </c>
      <c r="BE44" s="110">
        <f t="array" ref="BE44">'Fórmula'!C44*(INDEX(properties!A$1:CB$87,'Fórmula'!B44,14))+'Fórmula'!E44*(INDEX(properties!A$1:CB$87,'Fórmula'!D44,14))+'Fórmula'!G44*(INDEX(properties!A$1:CB$87,'Fórmula'!F44,14))+'Fórmula'!I44*(INDEX(properties!A$1:CB$87,'Fórmula'!H44,14))+'Fórmula'!K44*(INDEX(properties!A$1:CB$87,'Fórmula'!J44,14))</f>
        <v>0</v>
      </c>
      <c r="BF44" s="110">
        <f t="array" ref="BF44">VARP(IF(INDEX(properties!A$1:CB$87,'Fórmula'!B44,14)&lt;&gt;"",INDEX(properties!A$1:CB$87,'Fórmula'!B44,14)),IF(INDEX(properties!A$1:CB$87,'Fórmula'!D44,14)&lt;&gt;"",INDEX(properties!A$1:CB$87,'Fórmula'!D44,14)),IF(INDEX(properties!A$1:CB$87,'Fórmula'!F44,14)&lt;&gt;"",INDEX(properties!A$1:CB$87,'Fórmula'!F44,14)),IF(INDEX(properties!A$1:CB$87,'Fórmula'!H44,14)&lt;&gt;"",INDEX(properties!A$1:CB$87,'Fórmula'!H44,14)),IF(INDEX(properties!A$1:CB$87,'Fórmula'!J44,14)&lt;&gt;"",INDEX(properties!A$1:CB$87,'Fórmula'!J44,14)))</f>
        <v>0</v>
      </c>
      <c r="BG44" s="110">
        <f t="array" ref="BG44">MAX(INDEX(properties!A$1:CB$87,'Fórmula'!B44,14),INDEX(properties!A$1:CB$87,'Fórmula'!D44,14),INDEX(properties!A$1:CB$87,'Fórmula'!F44,14),INDEX(properties!A$1:CB$87,'Fórmula'!H44,14),INDEX(properties!A$1:CB$87,'Fórmula'!J44,14))</f>
        <v>0</v>
      </c>
      <c r="BH44" s="110">
        <f t="array" ref="BH44">MIN(IF('Fórmula'!B44=87,10^6,INDEX(properties!A$1:CB$87,'Fórmula'!B44,14)),IF(('Fórmula'!D44)=87,10^6,INDEX(properties!A$1:CB$87,'Fórmula'!D44,14)),IF(('Fórmula'!F44)=87,10^6,INDEX(properties!A$1:CB$87,'Fórmula'!F44,14)),IF(('Fórmula'!H44)=87,10^6,INDEX(properties!A$1:CB$87,'Fórmula'!H44,14)),IF('Fórmula'!J44=87,10^6,INDEX(properties!A$1:CB$87,'Fórmula'!J44,14)))</f>
        <v>0</v>
      </c>
      <c r="BI44" s="110">
        <f t="shared" si="10"/>
        <v>0</v>
      </c>
      <c r="BJ44" s="111">
        <f t="array" ref="BJ44">(('Fórmula'!C44)/('Fórmula'!C44+'Fórmula'!E44+'Fórmula'!G44+'Fórmula'!I44+'Fórmula'!K44))*(INDEX(properties!A$1:CB$87,'Fórmula'!B44,19))+(('Fórmula'!E44)/('Fórmula'!C44+'Fórmula'!E44+'Fórmula'!G44+'Fórmula'!I44+'Fórmula'!K44))*(INDEX(properties!A$1:CB$87,'Fórmula'!D44,19))+(('Fórmula'!G44)/('Fórmula'!C44+'Fórmula'!E44+'Fórmula'!G44+'Fórmula'!I44+'Fórmula'!K44))*(INDEX(properties!A$1:CB$87,'Fórmula'!F44,19))+(('Fórmula'!I44)/('Fórmula'!C44+'Fórmula'!E44+'Fórmula'!G44+'Fórmula'!I44+'Fórmula'!K44))*(INDEX(properties!A$1:CB$87,'Fórmula'!H44,19))+(('Fórmula'!K44)/('Fórmula'!C44+'Fórmula'!E44+'Fórmula'!G44+'Fórmula'!I44+'Fórmula'!K44))*(INDEX(properties!A$1:CB$87,'Fórmula'!J44,19))</f>
        <v>4.571428571</v>
      </c>
      <c r="BK44" s="111">
        <f t="array" ref="BK44">'Fórmula'!C44*(INDEX(properties!A$1:CB$87,'Fórmula'!B44,19))+'Fórmula'!E44*(INDEX(properties!A$1:CB$87,'Fórmula'!D44,19))+'Fórmula'!G44*(INDEX(properties!A$1:CB$87,'Fórmula'!F44,19))+'Fórmula'!I44*(INDEX(properties!A$1:CB$87,'Fórmula'!H44,19))+'Fórmula'!K44*(INDEX(properties!A$1:CB$87,'Fórmula'!J44,19))</f>
        <v>32</v>
      </c>
      <c r="BL44" s="111">
        <f t="array" ref="BL44">VARP(IF(INDEX(properties!A$1:CB$87,'Fórmula'!B44,19)&lt;&gt;"",INDEX(properties!A$1:CB$87,'Fórmula'!B44,19)),IF(INDEX(properties!A$1:CB$87,'Fórmula'!D44,19)&lt;&gt;"",INDEX(properties!A$1:CB$87,'Fórmula'!D44,19)),IF(INDEX(properties!A$1:CB$87,'Fórmula'!F44,19)&lt;&gt;"",INDEX(properties!A$1:CB$87,'Fórmula'!F44,19)),IF(INDEX(properties!A$1:CB$87,'Fórmula'!H44,19)&lt;&gt;"",INDEX(properties!A$1:CB$87,'Fórmula'!H44,19)),IF(INDEX(properties!A$1:CB$87,'Fórmula'!J44,19)&lt;&gt;"",INDEX(properties!A$1:CB$87,'Fórmula'!J44,19)))</f>
        <v>4.96</v>
      </c>
      <c r="BM44" s="111">
        <f t="array" ref="BM44">MAX(INDEX(properties!A$1:CB$87,'Fórmula'!B44,19),INDEX(properties!A$1:CB$87,'Fórmula'!D44,19),INDEX(properties!A$1:CB$87,'Fórmula'!F44,19),INDEX(properties!A$1:CB$87,'Fórmula'!H44,19),INDEX(properties!A$1:CB$87,'Fórmula'!J44,19))</f>
        <v>6</v>
      </c>
      <c r="BN44" s="111">
        <f t="array" ref="BN44">MIN(IF(INDEX(properties!A$1:CB$87,'Fórmula'!B44,19)=0,10^6,INDEX(properties!A$1:CB$87,'Fórmula'!B44,19)),IF(INDEX(properties!A$1:CB$87,'Fórmula'!D44,19)=0,10^6,INDEX(properties!A$1:CB$87,'Fórmula'!D44,19)),IF(INDEX(properties!A$1:CB$87,'Fórmula'!F44,19)=0,10^6,INDEX(properties!A$1:CB$87,'Fórmula'!F44,19)),IF(INDEX(properties!A$1:CB$87,'Fórmula'!H44,19)=0,10^6,INDEX(properties!A$1:CB$87,'Fórmula'!H44,19)),IF(INDEX(properties!A$1:CB$87,'Fórmula'!J44,19)=0,10^6,INDEX(properties!A$1:CB$87,'Fórmula'!J44,19)))</f>
        <v>2</v>
      </c>
      <c r="BO44" s="111">
        <f t="shared" si="11"/>
        <v>4</v>
      </c>
      <c r="BP44" s="112">
        <f t="array" ref="BP44">(('Fórmula'!C44)/('Fórmula'!C44+'Fórmula'!E44+'Fórmula'!G44+'Fórmula'!I44+'Fórmula'!K44))*(INDEX(properties!A$1:CB$87,'Fórmula'!B44,20))+(('Fórmula'!E44)/('Fórmula'!C44+'Fórmula'!E44+'Fórmula'!G44+'Fórmula'!I44+'Fórmula'!K44))*(INDEX(properties!A$1:CB$87,'Fórmula'!D44,20))+(('Fórmula'!G44)/('Fórmula'!C44+'Fórmula'!E44+'Fórmula'!G44+'Fórmula'!I44+'Fórmula'!K44))*(INDEX(properties!A$1:CB$87,'Fórmula'!F44,20))+(('Fórmula'!I44)/('Fórmula'!C44+'Fórmula'!E44+'Fórmula'!G44+'Fórmula'!I44+'Fórmula'!K44))*(INDEX(properties!A$1:CB$87,'Fórmula'!H44,20))+(('Fórmula'!K44)/('Fórmula'!C44+'Fórmula'!E44+'Fórmula'!G44+'Fórmula'!I44+'Fórmula'!K44))*(INDEX(properties!A$1:CB$87,'Fórmula'!J44,20))</f>
        <v>4.571428571</v>
      </c>
      <c r="BQ44" s="112">
        <f t="array" ref="BQ44">'Fórmula'!C44*(INDEX(properties!A$1:CB$87,'Fórmula'!B44,20))+'Fórmula'!E44*(INDEX(properties!A$1:CB$87,'Fórmula'!D44,20))+'Fórmula'!G44*(INDEX(properties!A$1:CB$87,'Fórmula'!F44,20))+'Fórmula'!I44*(INDEX(properties!A$1:CB$87,'Fórmula'!H44,20))+'Fórmula'!K44*(INDEX(properties!A$1:CB$87,'Fórmula'!J44,20))</f>
        <v>32</v>
      </c>
      <c r="BR44" s="112">
        <f t="array" ref="BR44">VARP(IF(INDEX(properties!A$1:CB$87,'Fórmula'!B44,20)&lt;&gt;"",INDEX(properties!A$1:CB$87,'Fórmula'!B44,20)),IF(INDEX(properties!A$1:CB$87,'Fórmula'!D44,20)&lt;&gt;"",INDEX(properties!A$1:CB$87,'Fórmula'!D44,20)),IF(INDEX(properties!A$1:CB$87,'Fórmula'!F44,20)&lt;&gt;"",INDEX(properties!A$1:CB$87,'Fórmula'!F44,20)),IF(INDEX(properties!A$1:CB$87,'Fórmula'!H44,20)&lt;&gt;"",INDEX(properties!A$1:CB$87,'Fórmula'!H44,20)),IF(INDEX(properties!A$1:CB$87,'Fórmula'!J44,20)&lt;&gt;"",INDEX(properties!A$1:CB$87,'Fórmula'!J44,20)))</f>
        <v>4.96</v>
      </c>
      <c r="BS44" s="112">
        <f t="array" ref="BS44">MAX(INDEX(properties!A$1:CB$87,'Fórmula'!B44,20),INDEX(properties!A$1:CB$87,'Fórmula'!D44,20),INDEX(properties!A$1:CB$87,'Fórmula'!F44,20),INDEX(properties!A$1:CB$87,'Fórmula'!H44,20),INDEX(properties!A$1:CB$87,'Fórmula'!J44,20))</f>
        <v>6</v>
      </c>
      <c r="BT44" s="112">
        <f t="array" ref="BT44">MIN(IF(INDEX(properties!A$1:CB$87,'Fórmula'!B44,20)=0,10^6,INDEX(properties!A$1:CB$87,'Fórmula'!B44,20)),IF(INDEX(properties!A$1:CB$87,'Fórmula'!D44,20)=0,10^6,INDEX(properties!A$1:CB$87,'Fórmula'!D44,20)),IF(INDEX(properties!A$1:CB$87,'Fórmula'!F44,20)=0,10^6,INDEX(properties!A$1:CB$87,'Fórmula'!F44,20)),IF(INDEX(properties!A$1:CB$87,'Fórmula'!H44,20)=0,10^6,INDEX(properties!A$1:CB$87,'Fórmula'!H44,20)),IF(INDEX(properties!A$1:CB$87,'Fórmula'!J44,20)=0,10^6,INDEX(properties!A$1:CB$87,'Fórmula'!J44,20)))</f>
        <v>2</v>
      </c>
      <c r="BU44" s="112">
        <f t="shared" si="12"/>
        <v>4</v>
      </c>
      <c r="BV44" s="113">
        <f t="array" ref="BV44">(('Fórmula'!C44)/('Fórmula'!C44+'Fórmula'!E44+'Fórmula'!G44+'Fórmula'!I44+'Fórmula'!K44))*(INDEX(properties!A$1:CB$87,'Fórmula'!B44,21))+(('Fórmula'!E44)/('Fórmula'!C44+'Fórmula'!E44+'Fórmula'!G44+'Fórmula'!I44+'Fórmula'!K44))*(INDEX(properties!A$1:CB$87,'Fórmula'!D44,21))+(('Fórmula'!G44)/('Fórmula'!C44+'Fórmula'!E44+'Fórmula'!G44+'Fórmula'!I44+'Fórmula'!K44))*(INDEX(properties!A$1:CB$87,'Fórmula'!F44,21))+(('Fórmula'!I44)/('Fórmula'!C44+'Fórmula'!E44+'Fórmula'!G44+'Fórmula'!I44+'Fórmula'!K44))*(INDEX(properties!A$1:CB$87,'Fórmula'!H44,21))+(('Fórmula'!K44)/('Fórmula'!C44+'Fórmula'!E44+'Fórmula'!G44+'Fórmula'!I44+'Fórmula'!K44))*(INDEX(properties!A$1:CB$87,'Fórmula'!J44,21))</f>
        <v>4.571428571</v>
      </c>
      <c r="BW44" s="113">
        <f t="array" ref="BW44">'Fórmula'!C44*(INDEX(properties!A$1:CB$87,'Fórmula'!B44,21))+'Fórmula'!E44*(INDEX(properties!A$1:CB$87,'Fórmula'!D44,21))+'Fórmula'!G44*(INDEX(properties!A$1:CB$87,'Fórmula'!F44,21))+'Fórmula'!I44*(INDEX(properties!A$1:CB$87,'Fórmula'!H44,21))+'Fórmula'!K44*(INDEX(properties!A$1:CB$87,'Fórmula'!J44,21))</f>
        <v>32</v>
      </c>
      <c r="BX44" s="113">
        <f t="array" ref="BX44">VARP(IF(INDEX(properties!A$1:CB$87,'Fórmula'!B44,21)&lt;&gt;"",INDEX(properties!A$1:CB$87,'Fórmula'!B44,21)),IF(INDEX(properties!A$1:CB$87,'Fórmula'!D44,21)&lt;&gt;"",INDEX(properties!A$1:CB$87,'Fórmula'!D44,21)),IF(INDEX(properties!A$1:CB$87,'Fórmula'!F44,21)&lt;&gt;"",INDEX(properties!A$1:CB$87,'Fórmula'!F44,21)),IF(INDEX(properties!A$1:CB$87,'Fórmula'!H44,21)&lt;&gt;"",INDEX(properties!A$1:CB$87,'Fórmula'!H44,21)),IF(INDEX(properties!A$1:CB$87,'Fórmula'!J44,21)&lt;&gt;"",INDEX(properties!A$1:CB$87,'Fórmula'!J44,21)))</f>
        <v>4.96</v>
      </c>
      <c r="BY44" s="113">
        <f t="array" ref="BY44">MAX(INDEX(properties!A$1:CB$87,'Fórmula'!B44,21),INDEX(properties!A$1:CB$87,'Fórmula'!D44,21),INDEX(properties!A$1:CB$87,'Fórmula'!F44,21),INDEX(properties!A$1:CB$87,'Fórmula'!H44,21),INDEX(properties!A$1:CB$87,'Fórmula'!J44,21))</f>
        <v>6</v>
      </c>
      <c r="BZ44" s="113">
        <f t="array" ref="BZ44">MIN(IF(INDEX(properties!A$1:CB$87,'Fórmula'!B44,21)=0,10^6,INDEX(properties!A$1:CB$87,'Fórmula'!B44,21)),IF(INDEX(properties!A$1:CB$87,'Fórmula'!D44,21)=0,10^6,INDEX(properties!A$1:CB$87,'Fórmula'!D44,21)),IF(INDEX(properties!A$1:CB$87,'Fórmula'!F44,21)=0,10^6,INDEX(properties!A$1:CB$87,'Fórmula'!F44,21)),IF(INDEX(properties!A$1:CB$87,'Fórmula'!H44,21)=0,10^6,INDEX(properties!A$1:CB$87,'Fórmula'!H44,21)),IF(INDEX(properties!A$1:CB$87,'Fórmula'!J44,21)=0,10^6,INDEX(properties!A$1:CB$87,'Fórmula'!J44,21)))</f>
        <v>2</v>
      </c>
      <c r="CA44" s="113">
        <f t="shared" si="13"/>
        <v>4</v>
      </c>
      <c r="CB44" s="114">
        <f t="array" ref="CB44">(('Fórmula'!C44)/('Fórmula'!C44+'Fórmula'!E44+'Fórmula'!G44+'Fórmula'!I44+'Fórmula'!K44))*(INDEX(properties!A$1:CB$87,'Fórmula'!B44,23))+(('Fórmula'!E44)/('Fórmula'!C44+'Fórmula'!E44+'Fórmula'!G44+'Fórmula'!I44+'Fórmula'!K44))*(INDEX(properties!A$1:CB$87,'Fórmula'!D44,23))+(('Fórmula'!G44)/('Fórmula'!C44+'Fórmula'!E44+'Fórmula'!G44+'Fórmula'!I44+'Fórmula'!K44))*(INDEX(properties!A$1:CB$87,'Fórmula'!F44,23))+(('Fórmula'!I44)/('Fórmula'!C44+'Fórmula'!E44+'Fórmula'!G44+'Fórmula'!I44+'Fórmula'!K44))*(INDEX(properties!A$1:CB$87,'Fórmula'!H44,23))+(('Fórmula'!K44)/('Fórmula'!C44+'Fórmula'!E44+'Fórmula'!G44+'Fórmula'!I44+'Fórmula'!K44))*(INDEX(properties!A$1:CB$87,'Fórmula'!J44,23))</f>
        <v>1.142857143</v>
      </c>
      <c r="CC44" s="114">
        <f t="array" ref="CC44">'Fórmula'!C44*(INDEX(properties!A$1:CB$87,'Fórmula'!B44,23))+'Fórmula'!E44*(INDEX(properties!A$1:CB$87,'Fórmula'!D44,23))+'Fórmula'!G44*(INDEX(properties!A$1:CB$87,'Fórmula'!F44,23))+'Fórmula'!I44*(INDEX(properties!A$1:CB$87,'Fórmula'!H44,23))+'Fórmula'!K44*(INDEX(properties!A$1:CB$87,'Fórmula'!J44,23))</f>
        <v>8</v>
      </c>
      <c r="CD44" s="114">
        <f t="array" ref="CD44">VARP(IF(INDEX(properties!A$1:CB$87,'Fórmula'!B44,23)&lt;&gt;"",INDEX(properties!A$1:CB$87,'Fórmula'!B44,23)),IF(INDEX(properties!A$1:CB$87,'Fórmula'!D44,23)&lt;&gt;"",INDEX(properties!A$1:CB$87,'Fórmula'!D44,23)),IF(INDEX(properties!A$1:CB$87,'Fórmula'!F44,23)&lt;&gt;"",INDEX(properties!A$1:CB$87,'Fórmula'!F44,23)),IF(INDEX(properties!A$1:CB$87,'Fórmula'!H44,23)&lt;&gt;"",INDEX(properties!A$1:CB$87,'Fórmula'!H44,23)),IF(INDEX(properties!A$1:CB$87,'Fórmula'!J44,23)&lt;&gt;"",INDEX(properties!A$1:CB$87,'Fórmula'!J44,23)))</f>
        <v>1.6</v>
      </c>
      <c r="CE44" s="114">
        <f t="array" ref="CE44">MAX(INDEX(properties!A$1:CB$87,'Fórmula'!B44,23),INDEX(properties!A$1:CB$87,'Fórmula'!D44,23),INDEX(properties!A$1:CB$87,'Fórmula'!F44,23),INDEX(properties!A$1:CB$87,'Fórmula'!H44,23),INDEX(properties!A$1:CB$87,'Fórmula'!J44,23))</f>
        <v>3</v>
      </c>
      <c r="CF44" s="114">
        <f t="array" ref="CF44">MIN(IF('Fórmula'!B44=87,10^6,INDEX(properties!A$1:CB$87,'Fórmula'!B44,23)),IF(('Fórmula'!D44)=87,10^6,INDEX(properties!A$1:CB$87,'Fórmula'!D44,23)),IF(('Fórmula'!F44)=87,10^6,INDEX(properties!A$1:CB$87,'Fórmula'!F44,23)),IF(('Fórmula'!H44)=87,10^6,INDEX(properties!A$1:CB$87,'Fórmula'!H44,23)),IF('Fórmula'!J44=87,10^6,INDEX(properties!A$1:CB$87,'Fórmula'!J44,23)))</f>
        <v>0</v>
      </c>
      <c r="CG44" s="114">
        <f t="shared" si="14"/>
        <v>3</v>
      </c>
      <c r="CH44" s="115">
        <f t="array" ref="CH44">(('Fórmula'!C44)/('Fórmula'!C44+'Fórmula'!E44+'Fórmula'!G44+'Fórmula'!I44+'Fórmula'!K44))*(INDEX(properties!A$1:CB$87,'Fórmula'!B44,26))+(('Fórmula'!E44)/('Fórmula'!C44+'Fórmula'!E44+'Fórmula'!G44+'Fórmula'!I44+'Fórmula'!K44))*(INDEX(properties!A$1:CB$87,'Fórmula'!D44,26))+(('Fórmula'!G44)/('Fórmula'!C44+'Fórmula'!E44+'Fórmula'!G44+'Fórmula'!I44+'Fórmula'!K44))*(INDEX(properties!A$1:CB$87,'Fórmula'!F44,26))+(('Fórmula'!I44)/('Fórmula'!C44+'Fórmula'!E44+'Fórmula'!G44+'Fórmula'!I44+'Fórmula'!K44))*(INDEX(properties!A$1:CB$87,'Fórmula'!H44,26))+(('Fórmula'!K44)/('Fórmula'!C44+'Fórmula'!E44+'Fórmula'!G44+'Fórmula'!I44+'Fórmula'!K44))*(INDEX(properties!A$1:CB$87,'Fórmula'!J44,26))</f>
        <v>10.30555714</v>
      </c>
      <c r="CI44" s="115">
        <f t="array" ref="CI44">'Fórmula'!C44*(INDEX(properties!A$1:CB$87,'Fórmula'!B44,26))+'Fórmula'!E44*(INDEX(properties!A$1:CB$87,'Fórmula'!D44,26))+'Fórmula'!G44*(INDEX(properties!A$1:CB$87,'Fórmula'!F44,26))+'Fórmula'!I44*(INDEX(properties!A$1:CB$87,'Fórmula'!H44,26))+'Fórmula'!K44*(INDEX(properties!A$1:CB$87,'Fórmula'!J44,26))</f>
        <v>72.1389</v>
      </c>
      <c r="CJ44" s="115">
        <f t="array" ref="CJ44">VARP(IF(INDEX(properties!A$1:CB$87,'Fórmula'!B44,26)&lt;&gt;"",INDEX(properties!A$1:CB$87,'Fórmula'!B44,26)),IF(INDEX(properties!A$1:CB$87,'Fórmula'!D44,26)&lt;&gt;"",INDEX(properties!A$1:CB$87,'Fórmula'!D44,26)),IF(INDEX(properties!A$1:CB$87,'Fórmula'!F44,26)&lt;&gt;"",INDEX(properties!A$1:CB$87,'Fórmula'!F44,26)),IF(INDEX(properties!A$1:CB$87,'Fórmula'!H44,26)&lt;&gt;"",INDEX(properties!A$1:CB$87,'Fórmula'!H44,26)),IF(INDEX(properties!A$1:CB$87,'Fórmula'!J44,26)&lt;&gt;"",INDEX(properties!A$1:CB$87,'Fórmula'!J44,26)))</f>
        <v>25.14169579</v>
      </c>
      <c r="CK44" s="116">
        <f t="array" ref="CK44">MAX(INDEX(properties!A$1:CB$87,'Fórmula'!B44,26),INDEX(properties!A$1:CB$87,'Fórmula'!D44,26),INDEX(properties!A$1:CB$87,'Fórmula'!F44,26),INDEX(properties!A$1:CB$87,'Fórmula'!H44,26),INDEX(properties!A$1:CB$87,'Fórmula'!J44,26))</f>
        <v>13.6181</v>
      </c>
      <c r="CL44" s="116">
        <f t="array" ref="CL44">MIN(IF(INDEX(properties!A$1:CB$87,'Fórmula'!B44,26)=0,10^6,INDEX(properties!A$1:CB$87,'Fórmula'!B44,26)),IF(INDEX(properties!A$1:CB$87,'Fórmula'!D44,26)=0,10^6,INDEX(properties!A$1:CB$87,'Fórmula'!D44,26)),IF(INDEX(properties!A$1:CB$87,'Fórmula'!F44,26)=0,10^6,INDEX(properties!A$1:CB$87,'Fórmula'!F44,26)),IF(INDEX(properties!A$1:CB$87,'Fórmula'!H44,26)=0,10^6,INDEX(properties!A$1:CB$87,'Fórmula'!H44,26)),IF(INDEX(properties!A$1:CB$87,'Fórmula'!J44,26)=0,10^6,INDEX(properties!A$1:CB$87,'Fórmula'!J44,26)))</f>
        <v>5.6949</v>
      </c>
      <c r="CM44" s="115">
        <f t="shared" si="15"/>
        <v>7.9232</v>
      </c>
      <c r="CN44" s="117">
        <f t="array" ref="CN44">(('Fórmula'!C44)/('Fórmula'!C44+'Fórmula'!E44+'Fórmula'!G44+'Fórmula'!I44+'Fórmula'!K44))*(INDEX(properties!A$1:CB$87,'Fórmula'!B44,30))+(('Fórmula'!E44)/('Fórmula'!C44+'Fórmula'!E44+'Fórmula'!G44+'Fórmula'!I44+'Fórmula'!K44))*(INDEX(properties!A$1:CB$87,'Fórmula'!D44,30))+(('Fórmula'!G44)/('Fórmula'!C44+'Fórmula'!E44+'Fórmula'!G44+'Fórmula'!I44+'Fórmula'!K44))*(INDEX(properties!A$1:CB$87,'Fórmula'!F44,30))+(('Fórmula'!I44)/('Fórmula'!C44+'Fórmula'!E44+'Fórmula'!G44+'Fórmula'!I44+'Fórmula'!K44))*(INDEX(properties!A$1:CB$87,'Fórmula'!H44,30))+(('Fórmula'!K44)/('Fórmula'!C44+'Fórmula'!E44+'Fórmula'!G44+'Fórmula'!I44+'Fórmula'!K44))*(INDEX(properties!A$1:CB$87,'Fórmula'!J44,30))</f>
        <v>2.561428571</v>
      </c>
      <c r="CO44" s="117">
        <f t="array" ref="CO44">'Fórmula'!C44*(INDEX(properties!A$1:CB$87,'Fórmula'!B44,30))+'Fórmula'!E44*(INDEX(properties!A$1:CB$87,'Fórmula'!D44,30))+'Fórmula'!G44*(INDEX(properties!A$1:CB$87,'Fórmula'!F44,30))+'Fórmula'!I44*(INDEX(properties!A$1:CB$87,'Fórmula'!H44,30))+'Fórmula'!K44*(INDEX(properties!A$1:CB$87,'Fórmula'!J44,30))</f>
        <v>17.93</v>
      </c>
      <c r="CP44" s="117">
        <f t="array" ref="CP44">VARP(IF(INDEX(properties!A$1:CB$87,'Fórmula'!B44,30)&lt;&gt;"",INDEX(properties!A$1:CB$87,'Fórmula'!B44,30)),IF(INDEX(properties!A$1:CB$87,'Fórmula'!D44,30)&lt;&gt;"",INDEX(properties!A$1:CB$87,'Fórmula'!D44,30)),IF(INDEX(properties!A$1:CB$87,'Fórmula'!F44,30)&lt;&gt;"",INDEX(properties!A$1:CB$87,'Fórmula'!F44,30)),IF(INDEX(properties!A$1:CB$87,'Fórmula'!H44,30)&lt;&gt;"",INDEX(properties!A$1:CB$87,'Fórmula'!H44,30)),IF(INDEX(properties!A$1:CB$87,'Fórmula'!J44,30)&lt;&gt;"",INDEX(properties!A$1:CB$87,'Fórmula'!J44,30)))</f>
        <v>1.62564</v>
      </c>
      <c r="CQ44" s="117">
        <f t="array" ref="CQ44">MAX(INDEX(properties!A$1:CB$87,'Fórmula'!B44,30),INDEX(properties!A$1:CB$87,'Fórmula'!D44,30),INDEX(properties!A$1:CB$87,'Fórmula'!F44,30),INDEX(properties!A$1:CB$87,'Fórmula'!H44,30),INDEX(properties!A$1:CB$87,'Fórmula'!J44,30))</f>
        <v>3.44</v>
      </c>
      <c r="CR44" s="117">
        <f t="array" ref="CR44">MIN(IF(INDEX(properties!A$1:CB$87,'Fórmula'!B44,30)=0,10^6,INDEX(properties!A$1:CB$87,'Fórmula'!B44,30)),IF(INDEX(properties!A$1:CB$87,'Fórmula'!D44,30)=0,10^6,INDEX(properties!A$1:CB$87,'Fórmula'!D44,30)),IF(INDEX(properties!A$1:CB$87,'Fórmula'!F44,30)=0,10^6,INDEX(properties!A$1:CB$87,'Fórmula'!F44,30)),IF(INDEX(properties!A$1:CB$87,'Fórmula'!H44,30)=0,10^6,INDEX(properties!A$1:CB$87,'Fórmula'!H44,30)),IF(INDEX(properties!A$1:CB$87,'Fórmula'!J44,30)=0,10^6,INDEX(properties!A$1:CB$87,'Fórmula'!J44,30)))</f>
        <v>0.95</v>
      </c>
      <c r="CS44" s="117">
        <f t="shared" si="16"/>
        <v>2.49</v>
      </c>
      <c r="CT44" s="118">
        <f t="array" ref="CT44">(('Fórmula'!C44)/('Fórmula'!C44+'Fórmula'!E44+'Fórmula'!G44+'Fórmula'!I44+'Fórmula'!K44))*(INDEX(properties!A$1:CB$87,'Fórmula'!B44,31))+(('Fórmula'!E44)/('Fórmula'!C44+'Fórmula'!E44+'Fórmula'!G44+'Fórmula'!I44+'Fórmula'!K44))*(INDEX(properties!A$1:CB$87,'Fórmula'!D44,31))+(('Fórmula'!G44)/('Fórmula'!C44+'Fórmula'!E44+'Fórmula'!G44+'Fórmula'!I44+'Fórmula'!K44))*(INDEX(properties!A$1:CB$87,'Fórmula'!F44,31))+(('Fórmula'!I44)/('Fórmula'!C44+'Fórmula'!E44+'Fórmula'!G44+'Fórmula'!I44+'Fórmula'!K44))*(INDEX(properties!A$1:CB$87,'Fórmula'!H44,31))+(('Fórmula'!K44)/('Fórmula'!C44+'Fórmula'!E44+'Fórmula'!G44+'Fórmula'!I44+'Fórmula'!K44))*(INDEX(properties!A$1:CB$87,'Fórmula'!J44,31))</f>
        <v>2.527142857</v>
      </c>
      <c r="CU44" s="118">
        <f t="array" ref="CU44">'Fórmula'!C44*(INDEX(properties!A$1:CB$87,'Fórmula'!B44,31))+'Fórmula'!E44*(INDEX(properties!A$1:CB$87,'Fórmula'!D44,31))+'Fórmula'!G44*(INDEX(properties!A$1:CB$87,'Fórmula'!F44,31))+'Fórmula'!I44*(INDEX(properties!A$1:CB$87,'Fórmula'!H44,31))+'Fórmula'!K44*(INDEX(properties!A$1:CB$87,'Fórmula'!J44,31))</f>
        <v>17.69</v>
      </c>
      <c r="CV44" s="118">
        <f t="array" ref="CV44">VARP(IF(INDEX(properties!A$1:CB$87,'Fórmula'!B44,31)&lt;&gt;"",INDEX(properties!A$1:CB$87,'Fórmula'!B44,31)),IF(INDEX(properties!A$1:CB$87,'Fórmula'!D44,31)&lt;&gt;"",INDEX(properties!A$1:CB$87,'Fórmula'!D44,31)),IF(INDEX(properties!A$1:CB$87,'Fórmula'!F44,31)&lt;&gt;"",INDEX(properties!A$1:CB$87,'Fórmula'!F44,31)),IF(INDEX(properties!A$1:CB$87,'Fórmula'!H44,31)&lt;&gt;"",INDEX(properties!A$1:CB$87,'Fórmula'!H44,31)),IF(INDEX(properties!A$1:CB$87,'Fórmula'!J44,31)&lt;&gt;"",INDEX(properties!A$1:CB$87,'Fórmula'!J44,31)))</f>
        <v>1.514256</v>
      </c>
      <c r="CW44" s="118">
        <f t="array" ref="CW44">MAX(INDEX(properties!A$1:CB$87,'Fórmula'!B44,31),INDEX(properties!A$1:CB$87,'Fórmula'!D44,31),INDEX(properties!A$1:CB$87,'Fórmula'!F44,31),INDEX(properties!A$1:CB$87,'Fórmula'!H44,31),INDEX(properties!A$1:CB$87,'Fórmula'!J44,31))</f>
        <v>3.32</v>
      </c>
      <c r="CX44" s="118">
        <f t="array" ref="CX44">MIN(IF(INDEX(properties!A$1:CB$87,'Fórmula'!B44,31)=0,10^6,INDEX(properties!A$1:CB$87,'Fórmula'!B44,31)),IF(INDEX(properties!A$1:CB$87,'Fórmula'!D44,31)=0,10^6,INDEX(properties!A$1:CB$87,'Fórmula'!D44,31)),IF(INDEX(properties!A$1:CB$87,'Fórmula'!F44,31)=0,10^6,INDEX(properties!A$1:CB$87,'Fórmula'!F44,31)),IF(INDEX(properties!A$1:CB$87,'Fórmula'!H44,31)=0,10^6,INDEX(properties!A$1:CB$87,'Fórmula'!H44,31)),IF(INDEX(properties!A$1:CB$87,'Fórmula'!J44,31)=0,10^6,INDEX(properties!A$1:CB$87,'Fórmula'!J44,31)))</f>
        <v>1.13</v>
      </c>
      <c r="CY44" s="118">
        <f t="shared" si="17"/>
        <v>2.19</v>
      </c>
      <c r="CZ44" s="119">
        <f t="array" ref="CZ44">(('Fórmula'!C44)/('Fórmula'!C44+'Fórmula'!E44+'Fórmula'!G44+'Fórmula'!I44+'Fórmula'!K44))*(INDEX(properties!A$1:CB$87,'Fórmula'!B44,32))+(('Fórmula'!E44)/('Fórmula'!C44+'Fórmula'!E44+'Fórmula'!G44+'Fórmula'!I44+'Fórmula'!K44))*(INDEX(properties!A$1:CB$87,'Fórmula'!D44,32))+(('Fórmula'!G44)/('Fórmula'!C44+'Fórmula'!E44+'Fórmula'!G44+'Fórmula'!I44+'Fórmula'!K44))*(INDEX(properties!A$1:CB$87,'Fórmula'!F44,32))+(('Fórmula'!I44)/('Fórmula'!C44+'Fórmula'!E44+'Fórmula'!G44+'Fórmula'!I44+'Fórmula'!K44))*(INDEX(properties!A$1:CB$87,'Fórmula'!H44,32))+(('Fórmula'!K44)/('Fórmula'!C44+'Fórmula'!E44+'Fórmula'!G44+'Fórmula'!I44+'Fórmula'!K44))*(INDEX(properties!A$1:CB$87,'Fórmula'!J44,32))</f>
        <v>5.517142857</v>
      </c>
      <c r="DA44" s="119">
        <f t="array" ref="DA44">'Fórmula'!C44*(INDEX(properties!A$1:CB$87,'Fórmula'!B44,32))+'Fórmula'!E44*(INDEX(properties!A$1:CB$87,'Fórmula'!D44,32))+'Fórmula'!G44*(INDEX(properties!A$1:CB$87,'Fórmula'!F44,32))+'Fórmula'!I44*(INDEX(properties!A$1:CB$87,'Fórmula'!H44,32))+'Fórmula'!K44*(INDEX(properties!A$1:CB$87,'Fórmula'!J44,32))</f>
        <v>38.62</v>
      </c>
      <c r="DB44" s="119">
        <f t="array" ref="DB44">VARP(IF(INDEX(properties!A$1:CB$87,'Fórmula'!B44,32)&lt;&gt;"",INDEX(properties!A$1:CB$87,'Fórmula'!B44,32)),IF(INDEX(properties!A$1:CB$87,'Fórmula'!D44,32)&lt;&gt;"",INDEX(properties!A$1:CB$87,'Fórmula'!D44,32)),IF(INDEX(properties!A$1:CB$87,'Fórmula'!F44,32)&lt;&gt;"",INDEX(properties!A$1:CB$87,'Fórmula'!F44,32)),IF(INDEX(properties!A$1:CB$87,'Fórmula'!H44,32)&lt;&gt;"",INDEX(properties!A$1:CB$87,'Fórmula'!H44,32)),IF(INDEX(properties!A$1:CB$87,'Fórmula'!J44,32)&lt;&gt;"",INDEX(properties!A$1:CB$87,'Fórmula'!J44,32)))</f>
        <v>7.733984</v>
      </c>
      <c r="DC44" s="119">
        <f t="array" ref="DC44">MAX(INDEX(properties!A$1:CB$87,'Fórmula'!B44,32),INDEX(properties!A$1:CB$87,'Fórmula'!D44,32),INDEX(properties!A$1:CB$87,'Fórmula'!F44,32),INDEX(properties!A$1:CB$87,'Fórmula'!H44,32),INDEX(properties!A$1:CB$87,'Fórmula'!J44,32))</f>
        <v>7.54</v>
      </c>
      <c r="DD44" s="119">
        <f t="array" ref="DD44">MIN(IF(INDEX(properties!A$1:CB$87,'Fórmula'!B44,32)=0,10^6,INDEX(properties!A$1:CB$87,'Fórmula'!B44,32)),IF(INDEX(properties!A$1:CB$87,'Fórmula'!D44,32)=0,10^6,INDEX(properties!A$1:CB$87,'Fórmula'!D44,32)),IF(INDEX(properties!A$1:CB$87,'Fórmula'!F44,32)=0,10^6,INDEX(properties!A$1:CB$87,'Fórmula'!F44,32)),IF(INDEX(properties!A$1:CB$87,'Fórmula'!H44,32)=0,10^6,INDEX(properties!A$1:CB$87,'Fórmula'!H44,32)),IF(INDEX(properties!A$1:CB$87,'Fórmula'!J44,32)=0,10^6,INDEX(properties!A$1:CB$87,'Fórmula'!J44,32)))</f>
        <v>2</v>
      </c>
      <c r="DE44" s="119">
        <f t="shared" si="18"/>
        <v>5.54</v>
      </c>
      <c r="DF44" s="104">
        <f t="array" ref="DF44">(('Fórmula'!C44)/('Fórmula'!C44+'Fórmula'!E44+'Fórmula'!G44+'Fórmula'!I44+'Fórmula'!K44))*(INDEX(properties!A$1:CB$87,'Fórmula'!B44,34))+(('Fórmula'!E44)/('Fórmula'!C44+'Fórmula'!E44+'Fórmula'!G44+'Fórmula'!I44+'Fórmula'!K44))*(INDEX(properties!A$1:CB$87,'Fórmula'!D44,34))+(('Fórmula'!G44)/('Fórmula'!C44+'Fórmula'!E44+'Fórmula'!G44+'Fórmula'!I44+'Fórmula'!K44))*(INDEX(properties!A$1:CB$87,'Fórmula'!F44,34))+(('Fórmula'!I44)/('Fórmula'!C44+'Fórmula'!E44+'Fórmula'!G44+'Fórmula'!I44+'Fórmula'!K44))*(INDEX(properties!A$1:CB$87,'Fórmula'!H44,34))+(('Fórmula'!K44)/('Fórmula'!C44+'Fórmula'!E44+'Fórmula'!G44+'Fórmula'!I44+'Fórmula'!K44))*(INDEX(properties!A$1:CB$87,'Fórmula'!J44,34))</f>
        <v>2.661285714</v>
      </c>
      <c r="DG44" s="104">
        <f t="array" ref="DG44">'Fórmula'!C44*(INDEX(properties!A$1:CB$87,'Fórmula'!B44,34))+'Fórmula'!E44*(INDEX(properties!A$1:CB$87,'Fórmula'!D44,34))+'Fórmula'!G44*(INDEX(properties!A$1:CB$87,'Fórmula'!F44,34))+'Fórmula'!I44*(INDEX(properties!A$1:CB$87,'Fórmula'!H44,34))+'Fórmula'!K44*(INDEX(properties!A$1:CB$87,'Fórmula'!J44,34))</f>
        <v>18.629</v>
      </c>
      <c r="DH44" s="104">
        <f t="array" ref="DH44">VARP(IF(INDEX(properties!A$1:CB$87,'Fórmula'!B44,34)&lt;&gt;"",INDEX(properties!A$1:CB$87,'Fórmula'!B44,34)),IF(INDEX(properties!A$1:CB$87,'Fórmula'!D44,34)&lt;&gt;"",INDEX(properties!A$1:CB$87,'Fórmula'!D44,34)),IF(INDEX(properties!A$1:CB$87,'Fórmula'!F44,34)&lt;&gt;"",INDEX(properties!A$1:CB$87,'Fórmula'!F44,34)),IF(INDEX(properties!A$1:CB$87,'Fórmula'!H44,34)&lt;&gt;"",INDEX(properties!A$1:CB$87,'Fórmula'!H44,34)),IF(INDEX(properties!A$1:CB$87,'Fórmula'!J44,34)&lt;&gt;"",INDEX(properties!A$1:CB$87,'Fórmula'!J44,34)))</f>
        <v>1.78158376</v>
      </c>
      <c r="DI44" s="104">
        <f t="array" ref="DI44">MAX(INDEX(properties!A$1:CB$87,'Fórmula'!B44,34),INDEX(properties!A$1:CB$87,'Fórmula'!D44,34),INDEX(properties!A$1:CB$87,'Fórmula'!F44,34),INDEX(properties!A$1:CB$87,'Fórmula'!H44,34),INDEX(properties!A$1:CB$87,'Fórmula'!J44,34))</f>
        <v>3.61</v>
      </c>
      <c r="DJ44" s="104">
        <f t="array" ref="DJ44">MIN(IF(INDEX(properties!A$1:CB$87,'Fórmula'!B44,34)=0,10^6,INDEX(properties!A$1:CB$87,'Fórmula'!B44,34)),IF(INDEX(properties!A$1:CB$87,'Fórmula'!D44,34)=0,10^6,INDEX(properties!A$1:CB$87,'Fórmula'!D44,34)),IF(INDEX(properties!A$1:CB$87,'Fórmula'!F44,34)=0,10^6,INDEX(properties!A$1:CB$87,'Fórmula'!F44,34)),IF(INDEX(properties!A$1:CB$87,'Fórmula'!H44,34)=0,10^6,INDEX(properties!A$1:CB$87,'Fórmula'!H44,34)),IF(INDEX(properties!A$1:CB$87,'Fórmula'!J44,34)=0,10^6,INDEX(properties!A$1:CB$87,'Fórmula'!J44,34)))</f>
        <v>0.963</v>
      </c>
      <c r="DK44" s="104">
        <f t="shared" si="19"/>
        <v>2.647</v>
      </c>
      <c r="DL44" s="105">
        <f t="array" ref="DL44">(('Fórmula'!C44)/('Fórmula'!C44+'Fórmula'!E44+'Fórmula'!G44+'Fórmula'!I44+'Fórmula'!K44))*(INDEX(properties!A$1:CB$87,'Fórmula'!B44,37))+(('Fórmula'!E44)/('Fórmula'!C44+'Fórmula'!E44+'Fórmula'!G44+'Fórmula'!I44+'Fórmula'!K44))*(INDEX(properties!A$1:CB$87,'Fórmula'!D44,37))+(('Fórmula'!G44)/('Fórmula'!C44+'Fórmula'!E44+'Fórmula'!G44+'Fórmula'!I44+'Fórmula'!K44))*(INDEX(properties!A$1:CB$87,'Fórmula'!F44,37))+(('Fórmula'!I44)/('Fórmula'!C44+'Fórmula'!E44+'Fórmula'!G44+'Fórmula'!I44+'Fórmula'!K44))*(INDEX(properties!A$1:CB$87,'Fórmula'!H44,37))+(('Fórmula'!K44)/('Fórmula'!C44+'Fórmula'!E44+'Fórmula'!G44+'Fórmula'!I44+'Fórmula'!K44))*(INDEX(properties!A$1:CB$87,'Fórmula'!J44,37))</f>
        <v>2.542857143</v>
      </c>
      <c r="DM44" s="105">
        <f t="array" ref="DM44">'Fórmula'!C44*(INDEX(properties!A$1:CB$87,'Fórmula'!B44,37))+'Fórmula'!E44*(INDEX(properties!A$1:CB$87,'Fórmula'!D44,37))+'Fórmula'!G44*(INDEX(properties!A$1:CB$87,'Fórmula'!F44,37))+'Fórmula'!I44*(INDEX(properties!A$1:CB$87,'Fórmula'!H44,37))+'Fórmula'!K44*(INDEX(properties!A$1:CB$87,'Fórmula'!J44,37))</f>
        <v>17.8</v>
      </c>
      <c r="DN44" s="105">
        <f t="array" ref="DN44">VARP(IF(INDEX(properties!A$1:CB$87,'Fórmula'!B44,37)&lt;&gt;"",INDEX(properties!A$1:CB$87,'Fórmula'!B44,37)),IF(INDEX(properties!A$1:CB$87,'Fórmula'!D44,37)&lt;&gt;"",INDEX(properties!A$1:CB$87,'Fórmula'!D44,37)),IF(INDEX(properties!A$1:CB$87,'Fórmula'!F44,37)&lt;&gt;"",INDEX(properties!A$1:CB$87,'Fórmula'!F44,37)),IF(INDEX(properties!A$1:CB$87,'Fórmula'!H44,37)&lt;&gt;"",INDEX(properties!A$1:CB$87,'Fórmula'!H44,37)),IF(INDEX(properties!A$1:CB$87,'Fórmula'!J44,37)&lt;&gt;"",INDEX(properties!A$1:CB$87,'Fórmula'!J44,37)))</f>
        <v>1.6144</v>
      </c>
      <c r="DO44" s="105">
        <f t="array" ref="DO44">MAX(INDEX(properties!A$1:CB$87,'Fórmula'!B44,37),INDEX(properties!A$1:CB$87,'Fórmula'!D44,37),INDEX(properties!A$1:CB$87,'Fórmula'!F44,37),INDEX(properties!A$1:CB$87,'Fórmula'!H44,37),INDEX(properties!A$1:CB$87,'Fórmula'!J44,37))</f>
        <v>3.45</v>
      </c>
      <c r="DP44" s="105">
        <f t="array" ref="DP44">MIN(IF(INDEX(properties!A$1:CB$87,'Fórmula'!B44,37)=0,10^6,INDEX(properties!A$1:CB$87,'Fórmula'!B44,37)),IF(INDEX(properties!A$1:CB$87,'Fórmula'!D44,37)=0,10^6,INDEX(properties!A$1:CB$87,'Fórmula'!D44,37)),IF(INDEX(properties!A$1:CB$87,'Fórmula'!F44,37)=0,10^6,INDEX(properties!A$1:CB$87,'Fórmula'!F44,37)),IF(INDEX(properties!A$1:CB$87,'Fórmula'!H44,37)=0,10^6,INDEX(properties!A$1:CB$87,'Fórmula'!H44,37)),IF(INDEX(properties!A$1:CB$87,'Fórmula'!J44,37)=0,10^6,INDEX(properties!A$1:CB$87,'Fórmula'!J44,37)))</f>
        <v>1</v>
      </c>
      <c r="DQ44" s="105">
        <f t="shared" si="20"/>
        <v>2.45</v>
      </c>
      <c r="DR44" s="109">
        <f t="array" ref="DR44">(('Fórmula'!C44)/('Fórmula'!C44+'Fórmula'!E44+'Fórmula'!G44+'Fórmula'!I44+'Fórmula'!K44))*(INDEX(properties!A$1:CB$87,'Fórmula'!B44,39))+(('Fórmula'!E44)/('Fórmula'!C44+'Fórmula'!E44+'Fórmula'!G44+'Fórmula'!I44+'Fórmula'!K44))*(INDEX(properties!A$1:CB$87,'Fórmula'!D44,39))+(('Fórmula'!G44)/('Fórmula'!C44+'Fórmula'!E44+'Fórmula'!G44+'Fórmula'!I44+'Fórmula'!K44))*(INDEX(properties!A$1:CB$87,'Fórmula'!F44,39))+(('Fórmula'!I44)/('Fórmula'!C44+'Fórmula'!E44+'Fórmula'!G44+'Fórmula'!I44+'Fórmula'!K44))*(INDEX(properties!A$1:CB$87,'Fórmula'!H44,39))+(('Fórmula'!K44)/('Fórmula'!C44+'Fórmula'!E44+'Fórmula'!G44+'Fórmula'!I44+'Fórmula'!K44))*(INDEX(properties!A$1:CB$87,'Fórmula'!J44,39))</f>
        <v>0.9242857143</v>
      </c>
      <c r="DS44" s="109">
        <f t="array" ref="DS44">'Fórmula'!C44*(INDEX(properties!A$1:CB$87,'Fórmula'!B44,39))+'Fórmula'!E44*(INDEX(properties!A$1:CB$87,'Fórmula'!D44,39))+'Fórmula'!G44*(INDEX(properties!A$1:CB$87,'Fórmula'!F44,39))+'Fórmula'!I44*(INDEX(properties!A$1:CB$87,'Fórmula'!H44,39))+'Fórmula'!K44*(INDEX(properties!A$1:CB$87,'Fórmula'!J44,39))</f>
        <v>6.47</v>
      </c>
      <c r="DT44" s="109">
        <f t="array" ref="DT44">VARP(IF(INDEX(properties!A$1:CB$87,'Fórmula'!B44,39)&lt;&gt;"",INDEX(properties!A$1:CB$87,'Fórmula'!B44,39)),IF(INDEX(properties!A$1:CB$87,'Fórmula'!D44,39)&lt;&gt;"",INDEX(properties!A$1:CB$87,'Fórmula'!D44,39)),IF(INDEX(properties!A$1:CB$87,'Fórmula'!F44,39)&lt;&gt;"",INDEX(properties!A$1:CB$87,'Fórmula'!F44,39)),IF(INDEX(properties!A$1:CB$87,'Fórmula'!H44,39)&lt;&gt;"",INDEX(properties!A$1:CB$87,'Fórmula'!H44,39)),IF(INDEX(properties!A$1:CB$87,'Fórmula'!J44,39)&lt;&gt;"",INDEX(properties!A$1:CB$87,'Fórmula'!J44,39)))</f>
        <v>0.69088</v>
      </c>
      <c r="DU44" s="120">
        <f t="array" ref="DU44">MAX(INDEX(properties!A$1:CB$87,'Fórmula'!B44,39),INDEX(properties!A$1:CB$87,'Fórmula'!D44,39),INDEX(properties!A$1:CB$87,'Fórmula'!F44,39),INDEX(properties!A$1:CB$87,'Fórmula'!H44,39),INDEX(properties!A$1:CB$87,'Fórmula'!J44,39))</f>
        <v>2.19</v>
      </c>
      <c r="DV44" s="120">
        <f t="array" ref="DV44">MIN(IF(INDEX(properties!A$1:CB$87,'Fórmula'!B44,39)=0,10^6,INDEX(properties!A$1:CB$87,'Fórmula'!B44,39)),IF(INDEX(properties!A$1:CB$87,'Fórmula'!D44,39)=0,10^6,INDEX(properties!A$1:CB$87,'Fórmula'!D44,39)),IF(INDEX(properties!A$1:CB$87,'Fórmula'!F44,39)=0,10^6,INDEX(properties!A$1:CB$87,'Fórmula'!F44,39)),IF(INDEX(properties!A$1:CB$87,'Fórmula'!H44,39)=0,10^6,INDEX(properties!A$1:CB$87,'Fórmula'!H44,39)),IF(INDEX(properties!A$1:CB$87,'Fórmula'!J44,39)=0,10^6,INDEX(properties!A$1:CB$87,'Fórmula'!J44,39)))</f>
        <v>0.48</v>
      </c>
      <c r="DW44" s="109">
        <f t="shared" si="21"/>
        <v>1.71</v>
      </c>
      <c r="DX44" s="110">
        <f t="array" ref="DX44">(('Fórmula'!C44)/('Fórmula'!C44+'Fórmula'!E44+'Fórmula'!G44+'Fórmula'!I44+'Fórmula'!K44))*(INDEX(properties!A$1:CB$87,'Fórmula'!B44,40))+(('Fórmula'!E44)/('Fórmula'!C44+'Fórmula'!E44+'Fórmula'!G44+'Fórmula'!I44+'Fórmula'!K44))*(INDEX(properties!A$1:CB$87,'Fórmula'!D44,40))+(('Fórmula'!G44)/('Fórmula'!C44+'Fórmula'!E44+'Fórmula'!G44+'Fórmula'!I44+'Fórmula'!K44))*(INDEX(properties!A$1:CB$87,'Fórmula'!F44,40))+(('Fórmula'!I44)/('Fórmula'!C44+'Fórmula'!E44+'Fórmula'!G44+'Fórmula'!I44+'Fórmula'!K44))*(INDEX(properties!A$1:CB$87,'Fórmula'!H44,40))+(('Fórmula'!K44)/('Fórmula'!C44+'Fórmula'!E44+'Fórmula'!G44+'Fórmula'!I44+'Fórmula'!K44))*(INDEX(properties!A$1:CB$87,'Fórmula'!J44,40))</f>
        <v>1.028571429</v>
      </c>
      <c r="DY44" s="110">
        <f t="array" ref="DY44">'Fórmula'!C44*(INDEX(properties!A$1:CB$87,'Fórmula'!B44,40))+'Fórmula'!E44*(INDEX(properties!A$1:CB$87,'Fórmula'!D44,40))+'Fórmula'!G44*(INDEX(properties!A$1:CB$87,'Fórmula'!F44,40))+'Fórmula'!I44*(INDEX(properties!A$1:CB$87,'Fórmula'!H44,40))+'Fórmula'!K44*(INDEX(properties!A$1:CB$87,'Fórmula'!J44,40))</f>
        <v>7.2</v>
      </c>
      <c r="DZ44" s="110">
        <f t="array" ref="DZ44">VARP(IF(INDEX(properties!A$1:CB$87,'Fórmula'!B44,40)&lt;&gt;"",INDEX(properties!A$1:CB$87,'Fórmula'!B44,40)),IF(INDEX(properties!A$1:CB$87,'Fórmula'!D44,40)&lt;&gt;"",INDEX(properties!A$1:CB$87,'Fórmula'!D44,40)),IF(INDEX(properties!A$1:CB$87,'Fórmula'!F44,40)&lt;&gt;"",INDEX(properties!A$1:CB$87,'Fórmula'!F44,40)),IF(INDEX(properties!A$1:CB$87,'Fórmula'!H44,40)&lt;&gt;"",INDEX(properties!A$1:CB$87,'Fórmula'!H44,40)),IF(INDEX(properties!A$1:CB$87,'Fórmula'!J44,40)&lt;&gt;"",INDEX(properties!A$1:CB$87,'Fórmula'!J44,40)))</f>
        <v>0.535584</v>
      </c>
      <c r="EA44" s="121">
        <f t="array" ref="EA44">MAX(INDEX(properties!A$1:CB$87,'Fórmula'!B44,40),INDEX(properties!A$1:CB$87,'Fórmula'!D44,40),INDEX(properties!A$1:CB$87,'Fórmula'!F44,40),INDEX(properties!A$1:CB$87,'Fórmula'!H44,40),INDEX(properties!A$1:CB$87,'Fórmula'!J44,40))</f>
        <v>1.92</v>
      </c>
      <c r="EB44" s="121">
        <f t="array" ref="EB44">MIN(IF(INDEX(properties!A$1:CB$87,'Fórmula'!B44,40)=0,10^6,INDEX(properties!A$1:CB$87,'Fórmula'!B44,40)),IF(INDEX(properties!A$1:CB$87,'Fórmula'!D44,40)=0,10^6,INDEX(properties!A$1:CB$87,'Fórmula'!D44,40)),IF(INDEX(properties!A$1:CB$87,'Fórmula'!F44,40)=0,10^6,INDEX(properties!A$1:CB$87,'Fórmula'!F44,40)),IF(INDEX(properties!A$1:CB$87,'Fórmula'!H44,40)=0,10^6,INDEX(properties!A$1:CB$87,'Fórmula'!H44,40)),IF(INDEX(properties!A$1:CB$87,'Fórmula'!J44,40)=0,10^6,INDEX(properties!A$1:CB$87,'Fórmula'!J44,40)))</f>
        <v>0.73</v>
      </c>
      <c r="EC44" s="110">
        <f t="shared" si="22"/>
        <v>1.19</v>
      </c>
      <c r="ED44" s="111">
        <f t="array" ref="ED44">(('Fórmula'!C44)/('Fórmula'!C44+'Fórmula'!E44+'Fórmula'!G44+'Fórmula'!I44+'Fórmula'!K44))*(INDEX(properties!A$1:CB$87,'Fórmula'!B44,41))+(('Fórmula'!E44)/('Fórmula'!C44+'Fórmula'!E44+'Fórmula'!G44+'Fórmula'!I44+'Fórmula'!K44))*(INDEX(properties!A$1:CB$87,'Fórmula'!D44,41))+(('Fórmula'!G44)/('Fórmula'!C44+'Fórmula'!E44+'Fórmula'!G44+'Fórmula'!I44+'Fórmula'!K44))*(INDEX(properties!A$1:CB$87,'Fórmula'!F44,41))+(('Fórmula'!I44)/('Fórmula'!C44+'Fórmula'!E44+'Fórmula'!G44+'Fórmula'!I44+'Fórmula'!K44))*(INDEX(properties!A$1:CB$87,'Fórmula'!H44,41))+(('Fórmula'!K44)/('Fórmula'!C44+'Fórmula'!E44+'Fórmula'!G44+'Fórmula'!I44+'Fórmula'!K44))*(INDEX(properties!A$1:CB$87,'Fórmula'!J44,41))</f>
        <v>1.102857143</v>
      </c>
      <c r="EE44" s="111">
        <f t="array" ref="EE44">'Fórmula'!C44*(INDEX(properties!A$1:CB$87,'Fórmula'!B44,41))+'Fórmula'!E44*(INDEX(properties!A$1:CB$87,'Fórmula'!D44,41))+'Fórmula'!G44*(INDEX(properties!A$1:CB$87,'Fórmula'!F44,41))+'Fórmula'!I44*(INDEX(properties!A$1:CB$87,'Fórmula'!H44,41))+'Fórmula'!K44*(INDEX(properties!A$1:CB$87,'Fórmula'!J44,41))</f>
        <v>7.72</v>
      </c>
      <c r="EF44" s="111">
        <f t="array" ref="EF44">VARP(IF(INDEX(properties!A$1:CB$87,'Fórmula'!B44,41)&lt;&gt;"",INDEX(properties!A$1:CB$87,'Fórmula'!B44,41)),IF(INDEX(properties!A$1:CB$87,'Fórmula'!D44,41)&lt;&gt;"",INDEX(properties!A$1:CB$87,'Fórmula'!D44,41)),IF(INDEX(properties!A$1:CB$87,'Fórmula'!F44,41)&lt;&gt;"",INDEX(properties!A$1:CB$87,'Fórmula'!F44,41)),IF(INDEX(properties!A$1:CB$87,'Fórmula'!H44,41)&lt;&gt;"",INDEX(properties!A$1:CB$87,'Fórmula'!H44,41)),IF(INDEX(properties!A$1:CB$87,'Fórmula'!J44,41)&lt;&gt;"",INDEX(properties!A$1:CB$87,'Fórmula'!J44,41)))</f>
        <v>0.333376</v>
      </c>
      <c r="EG44" s="122">
        <f t="array" ref="EG44">MAX(INDEX(properties!A$1:CB$87,'Fórmula'!B44,41),INDEX(properties!A$1:CB$87,'Fórmula'!D44,41),INDEX(properties!A$1:CB$87,'Fórmula'!F44,41),INDEX(properties!A$1:CB$87,'Fórmula'!H44,41),INDEX(properties!A$1:CB$87,'Fórmula'!J44,41))</f>
        <v>1.32</v>
      </c>
      <c r="EH44" s="122">
        <f t="array" ref="EH44">MIN(IF(INDEX(properties!A$1:CB$87,'Fórmula'!B44,41)=0,10^6,INDEX(properties!A$1:CB$87,'Fórmula'!B44,41)),IF(INDEX(properties!A$1:CB$87,'Fórmula'!D44,41)=0,10^6,INDEX(properties!A$1:CB$87,'Fórmula'!D44,41)),IF(INDEX(properties!A$1:CB$87,'Fórmula'!F44,41)=0,10^6,INDEX(properties!A$1:CB$87,'Fórmula'!F44,41)),IF(INDEX(properties!A$1:CB$87,'Fórmula'!H44,41)=0,10^6,INDEX(properties!A$1:CB$87,'Fórmula'!H44,41)),IF(INDEX(properties!A$1:CB$87,'Fórmula'!J44,41)=0,10^6,INDEX(properties!A$1:CB$87,'Fórmula'!J44,41)))</f>
        <v>0.68</v>
      </c>
      <c r="EI44" s="111">
        <f t="shared" si="23"/>
        <v>0.64</v>
      </c>
      <c r="EJ44" s="112">
        <f t="array" ref="EJ44">(('Fórmula'!C44)/('Fórmula'!C44+'Fórmula'!E44+'Fórmula'!G44+'Fórmula'!I44+'Fórmula'!K44))*(INDEX(properties!A$1:CB$87,'Fórmula'!B44,45))+(('Fórmula'!E44)/('Fórmula'!C44+'Fórmula'!E44+'Fórmula'!G44+'Fórmula'!I44+'Fórmula'!K44))*(INDEX(properties!A$1:CB$87,'Fórmula'!D44,45))+(('Fórmula'!G44)/('Fórmula'!C44+'Fórmula'!E44+'Fórmula'!G44+'Fórmula'!I44+'Fórmula'!K44))*(INDEX(properties!A$1:CB$87,'Fórmula'!F44,45))+(('Fórmula'!I44)/('Fórmula'!C44+'Fórmula'!E44+'Fórmula'!G44+'Fórmula'!I44+'Fórmula'!K44))*(INDEX(properties!A$1:CB$87,'Fórmula'!H44,45))+(('Fórmula'!K44)/('Fórmula'!C44+'Fórmula'!E44+'Fórmula'!G44+'Fórmula'!I44+'Fórmula'!K44))*(INDEX(properties!A$1:CB$87,'Fórmula'!J44,45))</f>
        <v>1.207142857</v>
      </c>
      <c r="EK44" s="112">
        <f t="array" ref="EK44">'Fórmula'!C44*(INDEX(properties!A$1:CB$87,'Fórmula'!B44,45))+'Fórmula'!E44*(INDEX(properties!A$1:CB$87,'Fórmula'!D44,45))+'Fórmula'!G44*(INDEX(properties!A$1:CB$87,'Fórmula'!F44,45))+'Fórmula'!I44*(INDEX(properties!A$1:CB$87,'Fórmula'!H44,45))+'Fórmula'!K44*(INDEX(properties!A$1:CB$87,'Fórmula'!J44,45))</f>
        <v>8.45</v>
      </c>
      <c r="EL44" s="112">
        <f t="array" ref="EL44">VARP(IF(INDEX(properties!A$1:CB$87,'Fórmula'!B44,45)&lt;&gt;"",INDEX(properties!A$1:CB$87,'Fórmula'!B44,45)),IF(INDEX(properties!A$1:CB$87,'Fórmula'!D44,45)&lt;&gt;"",INDEX(properties!A$1:CB$87,'Fórmula'!D44,45)),IF(INDEX(properties!A$1:CB$87,'Fórmula'!F44,45)&lt;&gt;"",INDEX(properties!A$1:CB$87,'Fórmula'!F44,45)),IF(INDEX(properties!A$1:CB$87,'Fórmula'!H44,45)&lt;&gt;"",INDEX(properties!A$1:CB$87,'Fórmula'!H44,45)),IF(INDEX(properties!A$1:CB$87,'Fórmula'!J44,45)&lt;&gt;"",INDEX(properties!A$1:CB$87,'Fórmula'!J44,45)))</f>
        <v>1.520296</v>
      </c>
      <c r="EM44" s="123">
        <f t="array" ref="EM44">MAX(INDEX(properties!A$1:CB$87,'Fórmula'!B44,45),INDEX(properties!A$1:CB$87,'Fórmula'!D44,45),INDEX(properties!A$1:CB$87,'Fórmula'!F44,45),INDEX(properties!A$1:CB$87,'Fórmula'!H44,45),INDEX(properties!A$1:CB$87,'Fórmula'!J44,45))</f>
        <v>3.21</v>
      </c>
      <c r="EN44" s="123">
        <f t="array" ref="EN44">MIN(IF(INDEX(properties!A$1:CB$87,'Fórmula'!B44,45)=0,10^6,INDEX(properties!A$1:CB$87,'Fórmula'!B44,45)),IF(INDEX(properties!A$1:CB$87,'Fórmula'!D44,45)=0,10^6,INDEX(properties!A$1:CB$87,'Fórmula'!D44,45)),IF(INDEX(properties!A$1:CB$87,'Fórmula'!F44,45)=0,10^6,INDEX(properties!A$1:CB$87,'Fórmula'!F44,45)),IF(INDEX(properties!A$1:CB$87,'Fórmula'!H44,45)=0,10^6,INDEX(properties!A$1:CB$87,'Fórmula'!H44,45)),IF(INDEX(properties!A$1:CB$87,'Fórmula'!J44,45)=0,10^6,INDEX(properties!A$1:CB$87,'Fórmula'!J44,45)))</f>
        <v>0.47</v>
      </c>
      <c r="EO44" s="112">
        <f t="shared" si="24"/>
        <v>2.74</v>
      </c>
      <c r="EP44" s="113">
        <f t="array" ref="EP44">(('Fórmula'!C44)/('Fórmula'!C44+'Fórmula'!E44+'Fórmula'!G44+'Fórmula'!I44+'Fórmula'!K44))*(INDEX(properties!A$1:CB$87,'Fórmula'!B44,46))+(('Fórmula'!E44)/('Fórmula'!C44+'Fórmula'!E44+'Fórmula'!G44+'Fórmula'!I44+'Fórmula'!K44))*(INDEX(properties!A$1:CB$87,'Fórmula'!D44,46))+(('Fórmula'!G44)/('Fórmula'!C44+'Fórmula'!E44+'Fórmula'!G44+'Fórmula'!I44+'Fórmula'!K44))*(INDEX(properties!A$1:CB$87,'Fórmula'!F44,46))+(('Fórmula'!I44)/('Fórmula'!C44+'Fórmula'!E44+'Fórmula'!G44+'Fórmula'!I44+'Fórmula'!K44))*(INDEX(properties!A$1:CB$87,'Fórmula'!H44,46))+(('Fórmula'!K44)/('Fórmula'!C44+'Fórmula'!E44+'Fórmula'!G44+'Fórmula'!I44+'Fórmula'!K44))*(INDEX(properties!A$1:CB$87,'Fórmula'!J44,46))</f>
        <v>1.031428571</v>
      </c>
      <c r="EQ44" s="113">
        <f t="array" ref="EQ44">'Fórmula'!C44*(INDEX(properties!A$1:CB$87,'Fórmula'!B44,46))+'Fórmula'!E44*(INDEX(properties!A$1:CB$87,'Fórmula'!D44,46))+'Fórmula'!G44*(INDEX(properties!A$1:CB$87,'Fórmula'!F44,46))+'Fórmula'!I44*(INDEX(properties!A$1:CB$87,'Fórmula'!H44,46))+'Fórmula'!K44*(INDEX(properties!A$1:CB$87,'Fórmula'!J44,46))</f>
        <v>7.22</v>
      </c>
      <c r="ER44" s="113">
        <f t="array" ref="ER44">VARP(IF(INDEX(properties!A$1:CB$87,'Fórmula'!B44,46)&lt;&gt;"",INDEX(properties!A$1:CB$87,'Fórmula'!B44,46)),IF(INDEX(properties!A$1:CB$87,'Fórmula'!D44,46)&lt;&gt;"",INDEX(properties!A$1:CB$87,'Fórmula'!D44,46)),IF(INDEX(properties!A$1:CB$87,'Fórmula'!F44,46)&lt;&gt;"",INDEX(properties!A$1:CB$87,'Fórmula'!F44,46)),IF(INDEX(properties!A$1:CB$87,'Fórmula'!H44,46)&lt;&gt;"",INDEX(properties!A$1:CB$87,'Fórmula'!H44,46)),IF(INDEX(properties!A$1:CB$87,'Fórmula'!J44,46)&lt;&gt;"",INDEX(properties!A$1:CB$87,'Fórmula'!J44,46)))</f>
        <v>0.322936</v>
      </c>
      <c r="ES44" s="124">
        <f t="array" ref="ES44">MAX(INDEX(properties!A$1:CB$87,'Fórmula'!B44,46),INDEX(properties!A$1:CB$87,'Fórmula'!D44,46),INDEX(properties!A$1:CB$87,'Fórmula'!F44,46),INDEX(properties!A$1:CB$87,'Fórmula'!H44,46),INDEX(properties!A$1:CB$87,'Fórmula'!J44,46))</f>
        <v>1.32</v>
      </c>
      <c r="ET44" s="124">
        <f t="array" ref="ET44">MIN(IF(INDEX(properties!A$1:CB$87,'Fórmula'!B44,46)=0,10^6,INDEX(properties!A$1:CB$87,'Fórmula'!B44,46)),IF(INDEX(properties!A$1:CB$87,'Fórmula'!D44,46)=0,10^6,INDEX(properties!A$1:CB$87,'Fórmula'!D44,46)),IF(INDEX(properties!A$1:CB$87,'Fórmula'!F44,46)=0,10^6,INDEX(properties!A$1:CB$87,'Fórmula'!F44,46)),IF(INDEX(properties!A$1:CB$87,'Fórmula'!H44,46)=0,10^6,INDEX(properties!A$1:CB$87,'Fórmula'!H44,46)),IF(INDEX(properties!A$1:CB$87,'Fórmula'!J44,46)=0,10^6,INDEX(properties!A$1:CB$87,'Fórmula'!J44,46)))</f>
        <v>0.53</v>
      </c>
      <c r="EU44" s="113">
        <f t="shared" si="25"/>
        <v>0.79</v>
      </c>
      <c r="EV44" s="114">
        <f t="array" ref="EV44">(('Fórmula'!C44)/('Fórmula'!C44+'Fórmula'!E44+'Fórmula'!G44+'Fórmula'!I44+'Fórmula'!K44))*(INDEX(properties!A$1:CB$87,'Fórmula'!B44,52))+(('Fórmula'!E44)/('Fórmula'!C44+'Fórmula'!E44+'Fórmula'!G44+'Fórmula'!I44+'Fórmula'!K44))*(INDEX(properties!A$1:CB$87,'Fórmula'!D44,52))+(('Fórmula'!G44)/('Fórmula'!C44+'Fórmula'!E44+'Fórmula'!G44+'Fórmula'!I44+'Fórmula'!K44))*(INDEX(properties!A$1:CB$87,'Fórmula'!F44,52))+(('Fórmula'!I44)/('Fórmula'!C44+'Fórmula'!E44+'Fórmula'!G44+'Fórmula'!I44+'Fórmula'!K44))*(INDEX(properties!A$1:CB$87,'Fórmula'!H44,52))+(('Fórmula'!K44)/('Fórmula'!C44+'Fórmula'!E44+'Fórmula'!G44+'Fórmula'!I44+'Fórmula'!K44))*(INDEX(properties!A$1:CB$87,'Fórmula'!J44,52))</f>
        <v>6.767428571</v>
      </c>
      <c r="EW44" s="114">
        <f t="array" ref="EW44">'Fórmula'!C44*(INDEX(properties!A$1:CB$87,'Fórmula'!B44,52))+'Fórmula'!E44*(INDEX(properties!A$1:CB$87,'Fórmula'!D44,52))+'Fórmula'!G44*(INDEX(properties!A$1:CB$87,'Fórmula'!F44,52))+'Fórmula'!I44*(INDEX(properties!A$1:CB$87,'Fórmula'!H44,52))+'Fórmula'!K44*(INDEX(properties!A$1:CB$87,'Fórmula'!J44,52))</f>
        <v>47.372</v>
      </c>
      <c r="EX44" s="114">
        <f t="array" ref="EX44">VARP(IF(INDEX(properties!A$1:CB$87,'Fórmula'!B44,52)&lt;&gt;"",INDEX(properties!A$1:CB$87,'Fórmula'!B44,52)),IF(INDEX(properties!A$1:CB$87,'Fórmula'!D44,52)&lt;&gt;"",INDEX(properties!A$1:CB$87,'Fórmula'!D44,52)),IF(INDEX(properties!A$1:CB$87,'Fórmula'!F44,52)&lt;&gt;"",INDEX(properties!A$1:CB$87,'Fórmula'!F44,52)),IF(INDEX(properties!A$1:CB$87,'Fórmula'!H44,52)&lt;&gt;"",INDEX(properties!A$1:CB$87,'Fórmula'!H44,52)),IF(INDEX(properties!A$1:CB$87,'Fórmula'!J44,52)&lt;&gt;"",INDEX(properties!A$1:CB$87,'Fórmula'!J44,52)))</f>
        <v>112.4007198</v>
      </c>
      <c r="EY44" s="114">
        <f t="array" ref="EY44">MAX(INDEX(properties!A$1:CB$87,'Fórmula'!B44,52),INDEX(properties!A$1:CB$87,'Fórmula'!D44,52),INDEX(properties!A$1:CB$87,'Fórmula'!F44,52),INDEX(properties!A$1:CB$87,'Fórmula'!H44,52),INDEX(properties!A$1:CB$87,'Fórmula'!J44,52))</f>
        <v>27.6</v>
      </c>
      <c r="EZ44" s="114">
        <f t="array" ref="EZ44">MIN(IF(INDEX(properties!A$1:CB$87,'Fórmula'!B44,52)=0,10^6,INDEX(properties!A$1:CB$87,'Fórmula'!B44,52)),IF(INDEX(properties!A$1:CB$87,'Fórmula'!D44,52)=0,10^6,INDEX(properties!A$1:CB$87,'Fórmula'!D44,52)),IF(INDEX(properties!A$1:CB$87,'Fórmula'!F44,52)=0,10^6,INDEX(properties!A$1:CB$87,'Fórmula'!F44,52)),IF(INDEX(properties!A$1:CB$87,'Fórmula'!H44,52)=0,10^6,INDEX(properties!A$1:CB$87,'Fórmula'!H44,52)),IF(INDEX(properties!A$1:CB$87,'Fórmula'!J44,52)=0,10^6,INDEX(properties!A$1:CB$87,'Fórmula'!J44,52)))</f>
        <v>0.793</v>
      </c>
      <c r="FA44" s="114">
        <f t="shared" si="26"/>
        <v>26.807</v>
      </c>
      <c r="FB44" s="115">
        <f t="array" ref="FB44">(('Fórmula'!C44)/('Fórmula'!C44+'Fórmula'!E44+'Fórmula'!G44+'Fórmula'!I44+'Fórmula'!K44))*(INDEX(properties!A$1:CB$87,'Fórmula'!B44,53))+(('Fórmula'!E44)/('Fórmula'!C44+'Fórmula'!E44+'Fórmula'!G44+'Fórmula'!I44+'Fórmula'!K44))*(INDEX(properties!A$1:CB$87,'Fórmula'!D44,53))+(('Fórmula'!G44)/('Fórmula'!C44+'Fórmula'!E44+'Fórmula'!G44+'Fórmula'!I44+'Fórmula'!K44))*(INDEX(properties!A$1:CB$87,'Fórmula'!F44,53))+(('Fórmula'!I44)/('Fórmula'!C44+'Fórmula'!E44+'Fórmula'!G44+'Fórmula'!I44+'Fórmula'!K44))*(INDEX(properties!A$1:CB$87,'Fórmula'!H44,53))+(('Fórmula'!K44)/('Fórmula'!C44+'Fórmula'!E44+'Fórmula'!G44+'Fórmula'!I44+'Fórmula'!K44))*(INDEX(properties!A$1:CB$87,'Fórmula'!J44,53))</f>
        <v>446.7785714</v>
      </c>
      <c r="FC44" s="115">
        <f t="array" ref="FC44">'Fórmula'!C44*(INDEX(properties!A$1:CB$87,'Fórmula'!B44,53))+'Fórmula'!E44*(INDEX(properties!A$1:CB$87,'Fórmula'!D44,53))+'Fórmula'!G44*(INDEX(properties!A$1:CB$87,'Fórmula'!F44,53))+'Fórmula'!I44*(INDEX(properties!A$1:CB$87,'Fórmula'!H44,53))+'Fórmula'!K44*(INDEX(properties!A$1:CB$87,'Fórmula'!J44,53))</f>
        <v>3127.45</v>
      </c>
      <c r="FD44" s="115">
        <f t="array" ref="FD44">VARP(IF(INDEX(properties!A$1:CB$87,'Fórmula'!B44,53)&lt;&gt;"",INDEX(properties!A$1:CB$87,'Fórmula'!B44,53)),IF(INDEX(properties!A$1:CB$87,'Fórmula'!D44,53)&lt;&gt;"",INDEX(properties!A$1:CB$87,'Fórmula'!D44,53)),IF(INDEX(properties!A$1:CB$87,'Fórmula'!F44,53)&lt;&gt;"",INDEX(properties!A$1:CB$87,'Fórmula'!F44,53)),IF(INDEX(properties!A$1:CB$87,'Fórmula'!H44,53)&lt;&gt;"",INDEX(properties!A$1:CB$87,'Fórmula'!H44,53)),IF(INDEX(properties!A$1:CB$87,'Fórmula'!J44,53)&lt;&gt;"",INDEX(properties!A$1:CB$87,'Fórmula'!J44,53)))</f>
        <v>227124.5014</v>
      </c>
      <c r="FE44" s="115">
        <f t="array" ref="FE44">MAX(INDEX(properties!A$1:CB$87,'Fórmula'!B44,53),INDEX(properties!A$1:CB$87,'Fórmula'!D44,53),INDEX(properties!A$1:CB$87,'Fórmula'!F44,53),INDEX(properties!A$1:CB$87,'Fórmula'!H44,53),INDEX(properties!A$1:CB$87,'Fórmula'!J44,53))</f>
        <v>1042.15</v>
      </c>
      <c r="FF44" s="115">
        <f t="array" ref="FF44">MIN(IF(INDEX(properties!A$1:CB$87,'Fórmula'!B44,53)=0,10^6,INDEX(properties!A$1:CB$87,'Fórmula'!B44,53)),IF(INDEX(properties!A$1:CB$87,'Fórmula'!D44,53)=0,10^6,INDEX(properties!A$1:CB$87,'Fórmula'!D44,53)),IF(INDEX(properties!A$1:CB$87,'Fórmula'!F44,53)=0,10^6,INDEX(properties!A$1:CB$87,'Fórmula'!F44,53)),IF(INDEX(properties!A$1:CB$87,'Fórmula'!H44,53)=0,10^6,INDEX(properties!A$1:CB$87,'Fórmula'!H44,53)),IF(INDEX(properties!A$1:CB$87,'Fórmula'!J44,53)=0,10^6,INDEX(properties!A$1:CB$87,'Fórmula'!J44,53)))</f>
        <v>54.75</v>
      </c>
      <c r="FG44" s="115">
        <f t="shared" si="27"/>
        <v>987.4</v>
      </c>
      <c r="FH44" s="117">
        <f t="array" ref="FH44">(('Fórmula'!C44)/('Fórmula'!C44+'Fórmula'!E44+'Fórmula'!G44+'Fórmula'!I44+'Fórmula'!K44))*(INDEX(properties!A$1:CB$87,'Fórmula'!B44,54))+(('Fórmula'!E44)/('Fórmula'!C44+'Fórmula'!E44+'Fórmula'!G44+'Fórmula'!I44+'Fórmula'!K44))*(INDEX(properties!A$1:CB$87,'Fórmula'!D44,54))+(('Fórmula'!G44)/('Fórmula'!C44+'Fórmula'!E44+'Fórmula'!G44+'Fórmula'!I44+'Fórmula'!K44))*(INDEX(properties!A$1:CB$87,'Fórmula'!F44,54))+(('Fórmula'!I44)/('Fórmula'!C44+'Fórmula'!E44+'Fórmula'!G44+'Fórmula'!I44+'Fórmula'!K44))*(INDEX(properties!A$1:CB$87,'Fórmula'!H44,54))+(('Fórmula'!K44)/('Fórmula'!C44+'Fórmula'!E44+'Fórmula'!G44+'Fórmula'!I44+'Fórmula'!K44))*(INDEX(properties!A$1:CB$87,'Fórmula'!J44,54))</f>
        <v>1071.15</v>
      </c>
      <c r="FI44" s="117">
        <f t="array" ref="FI44">'Fórmula'!C44*(INDEX(properties!A$1:CB$87,'Fórmula'!B44,54))+'Fórmula'!E44*(INDEX(properties!A$1:CB$87,'Fórmula'!D44,54))+'Fórmula'!G44*(INDEX(properties!A$1:CB$87,'Fórmula'!F44,54))+'Fórmula'!I44*(INDEX(properties!A$1:CB$87,'Fórmula'!H44,54))+'Fórmula'!K44*(INDEX(properties!A$1:CB$87,'Fórmula'!J44,54))</f>
        <v>7498.05</v>
      </c>
      <c r="FJ44" s="117">
        <f t="array" ref="FJ44">VARP(IF(INDEX(properties!A$1:CB$87,'Fórmula'!B44,54)&lt;&gt;"",INDEX(properties!A$1:CB$87,'Fórmula'!B44,54)),IF(INDEX(properties!A$1:CB$87,'Fórmula'!D44,54)&lt;&gt;"",INDEX(properties!A$1:CB$87,'Fórmula'!D44,54)),IF(INDEX(properties!A$1:CB$87,'Fórmula'!F44,54)&lt;&gt;"",INDEX(properties!A$1:CB$87,'Fórmula'!F44,54)),IF(INDEX(properties!A$1:CB$87,'Fórmula'!H44,54)&lt;&gt;"",INDEX(properties!A$1:CB$87,'Fórmula'!H44,54)),IF(INDEX(properties!A$1:CB$87,'Fórmula'!J44,54)&lt;&gt;"",INDEX(properties!A$1:CB$87,'Fórmula'!J44,54)))</f>
        <v>1247050.733</v>
      </c>
      <c r="FK44" s="117">
        <f t="array" ref="FK44">MAX(INDEX(properties!A$1:CB$87,'Fórmula'!B44,54),INDEX(properties!A$1:CB$87,'Fórmula'!D44,54),INDEX(properties!A$1:CB$87,'Fórmula'!F44,54),INDEX(properties!A$1:CB$87,'Fórmula'!H44,54),INDEX(properties!A$1:CB$87,'Fórmula'!J44,54))</f>
        <v>2740.15</v>
      </c>
      <c r="FL44" s="117">
        <f t="array" ref="FL44">MIN(IF(INDEX(properties!A$1:CB$87,'Fórmula'!B44,54)=0,10^6,INDEX(properties!A$1:CB$87,'Fórmula'!B44,54)),IF(INDEX(properties!A$1:CB$87,'Fórmula'!D44,54)=0,10^6,INDEX(properties!A$1:CB$87,'Fórmula'!D44,54)),IF(INDEX(properties!A$1:CB$87,'Fórmula'!F44,54)=0,10^6,INDEX(properties!A$1:CB$87,'Fórmula'!F44,54)),IF(INDEX(properties!A$1:CB$87,'Fórmula'!H44,54)=0,10^6,INDEX(properties!A$1:CB$87,'Fórmula'!H44,54)),IF(INDEX(properties!A$1:CB$87,'Fórmula'!J44,54)=0,10^6,INDEX(properties!A$1:CB$87,'Fórmula'!J44,54)))</f>
        <v>90.15</v>
      </c>
      <c r="FM44" s="117">
        <f t="shared" si="28"/>
        <v>2650</v>
      </c>
      <c r="FN44" s="118">
        <f t="array" ref="FN44">(('Fórmula'!C44)/('Fórmula'!C44+'Fórmula'!E44+'Fórmula'!G44+'Fórmula'!I44+'Fórmula'!K44))*(INDEX(properties!A$1:CB$87,'Fórmula'!B44,55))+(('Fórmula'!E44)/('Fórmula'!C44+'Fórmula'!E44+'Fórmula'!G44+'Fórmula'!I44+'Fórmula'!K44))*(INDEX(properties!A$1:CB$87,'Fórmula'!D44,55))+(('Fórmula'!G44)/('Fórmula'!C44+'Fórmula'!E44+'Fórmula'!G44+'Fórmula'!I44+'Fórmula'!K44))*(INDEX(properties!A$1:CB$87,'Fórmula'!F44,55))+(('Fórmula'!I44)/('Fórmula'!C44+'Fórmula'!E44+'Fórmula'!G44+'Fórmula'!I44+'Fórmula'!K44))*(INDEX(properties!A$1:CB$87,'Fórmula'!H44,55))+(('Fórmula'!K44)/('Fórmula'!C44+'Fórmula'!E44+'Fórmula'!G44+'Fórmula'!I44+'Fórmula'!K44))*(INDEX(properties!A$1:CB$87,'Fórmula'!J44,55))</f>
        <v>1.14796</v>
      </c>
      <c r="FO44" s="118">
        <f t="array" ref="FO44">'Fórmula'!C44*(INDEX(properties!A$1:CB$87,'Fórmula'!B44,55))+'Fórmula'!E44*(INDEX(properties!A$1:CB$87,'Fórmula'!D44,54))+'Fórmula'!G44*(INDEX(properties!A$1:CB$87,'Fórmula'!F44,55))+'Fórmula'!I44*(INDEX(properties!A$1:CB$87,'Fórmula'!H44,55))+'Fórmula'!K44*(INDEX(properties!A$1:CB$87,'Fórmula'!J44,55))</f>
        <v>5482.93572</v>
      </c>
      <c r="FP44" s="118">
        <f t="array" ref="FP44">VARP(IF(INDEX(properties!A$1:CB$87,'Fórmula'!B44,55)&lt;&gt;"",INDEX(properties!A$1:CB$87,'Fórmula'!B44,55)),IF(INDEX(properties!A$1:CB$87,'Fórmula'!D44,55)&lt;&gt;"",INDEX(properties!A$1:CB$87,'Fórmula'!D44,55)),IF(INDEX(properties!A$1:CB$87,'Fórmula'!F44,55)&lt;&gt;"",INDEX(properties!A$1:CB$87,'Fórmula'!F44,55)),IF(INDEX(properties!A$1:CB$87,'Fórmula'!H44,55)&lt;&gt;"",INDEX(properties!A$1:CB$87,'Fórmula'!H44,55)),IF(INDEX(properties!A$1:CB$87,'Fórmula'!J44,55)&lt;&gt;"",INDEX(properties!A$1:CB$87,'Fórmula'!J44,55)))</f>
        <v>1.704414575</v>
      </c>
      <c r="FQ44" s="118">
        <f t="array" ref="FQ44">MAX(INDEX(properties!A$1:CB$87,'Fórmula'!B44,55),INDEX(properties!A$1:CB$87,'Fórmula'!D44,55),INDEX(properties!A$1:CB$87,'Fórmula'!F44,55),INDEX(properties!A$1:CB$87,'Fórmula'!H44,55),INDEX(properties!A$1:CB$87,'Fórmula'!J44,55))</f>
        <v>2.7</v>
      </c>
      <c r="FR44" s="118">
        <f t="array" ref="FR44">MIN(IF(INDEX(properties!A$1:CB$87,'Fórmula'!B44,55)=0,10^6,INDEX(properties!A$1:CB$87,'Fórmula'!B44,55)),IF(INDEX(properties!A$1:CB$87,'Fórmula'!D44,55)=0,10^6,INDEX(properties!A$1:CB$87,'Fórmula'!D44,55)),IF(INDEX(properties!A$1:CB$87,'Fórmula'!F44,55)=0,10^6,INDEX(properties!A$1:CB$87,'Fórmula'!F44,55)),IF(INDEX(properties!A$1:CB$87,'Fórmula'!H44,55)=0,10^6,INDEX(properties!A$1:CB$87,'Fórmula'!H44,55)),IF(INDEX(properties!A$1:CB$87,'Fórmula'!J44,55)=0,10^6,INDEX(properties!A$1:CB$87,'Fórmula'!J44,55)))</f>
        <v>0.00143</v>
      </c>
      <c r="FS44" s="118">
        <f t="shared" si="29"/>
        <v>2.69857</v>
      </c>
      <c r="FT44" s="119">
        <f t="array" ref="FT44">(('Fórmula'!C44)/('Fórmula'!C44+'Fórmula'!E44+'Fórmula'!G44+'Fórmula'!I44+'Fórmula'!K44))*(INDEX(properties!A$1:CB$87,'Fórmula'!B44,56))+(('Fórmula'!E44)/('Fórmula'!C44+'Fórmula'!E44+'Fórmula'!G44+'Fórmula'!I44+'Fórmula'!K44))*(INDEX(properties!A$1:CB$87,'Fórmula'!D44,56))+(('Fórmula'!G44)/('Fórmula'!C44+'Fórmula'!E44+'Fórmula'!G44+'Fórmula'!I44+'Fórmula'!K44))*(INDEX(properties!A$1:CB$87,'Fórmula'!F44,56))+(('Fórmula'!I44)/('Fórmula'!C44+'Fórmula'!E44+'Fórmula'!G44+'Fórmula'!I44+'Fórmula'!K44))*(INDEX(properties!A$1:CB$87,'Fórmula'!H44,56))+(('Fórmula'!K44)/('Fórmula'!C44+'Fórmula'!E44+'Fórmula'!G44+'Fórmula'!I44+'Fórmula'!K44))*(INDEX(properties!A$1:CB$87,'Fórmula'!J44,56))</f>
        <v>0.8257142857</v>
      </c>
      <c r="FU44" s="119">
        <f t="array" ref="FU44">'Fórmula'!C44*(INDEX(properties!A$1:CB$87,'Fórmula'!B44,56))+'Fórmula'!E44*(INDEX(properties!A$1:CB$87,'Fórmula'!D44,56))+'Fórmula'!G44*(INDEX(properties!A$1:CB$87,'Fórmula'!F44,56))+'Fórmula'!I44*(INDEX(properties!A$1:CB$87,'Fórmula'!H44,56))+'Fórmula'!K44*(INDEX(properties!A$1:CB$87,'Fórmula'!J44,56))</f>
        <v>5.78</v>
      </c>
      <c r="FV44" s="119">
        <f t="array" ref="FV44">VARP(IF(INDEX(properties!A$1:CB$87,'Fórmula'!B44,56)&lt;&gt;"",INDEX(properties!A$1:CB$87,'Fórmula'!B44,56)),IF(INDEX(properties!A$1:CB$87,'Fórmula'!D44,56)&lt;&gt;"",INDEX(properties!A$1:CB$87,'Fórmula'!D44,56)),IF(INDEX(properties!A$1:CB$87,'Fórmula'!F44,56)&lt;&gt;"",INDEX(properties!A$1:CB$87,'Fórmula'!F44,56)),IF(INDEX(properties!A$1:CB$87,'Fórmula'!H44,56)&lt;&gt;"",INDEX(properties!A$1:CB$87,'Fórmula'!H44,56)),IF(INDEX(properties!A$1:CB$87,'Fórmula'!J44,56)&lt;&gt;"",INDEX(properties!A$1:CB$87,'Fórmula'!J44,56)))</f>
        <v>0.169504</v>
      </c>
      <c r="FW44" s="119">
        <f t="array" ref="FW44">MAX(INDEX(properties!A$1:CB$87,'Fórmula'!B44,56),INDEX(properties!A$1:CB$87,'Fórmula'!D44,56),INDEX(properties!A$1:CB$87,'Fórmula'!F44,56),INDEX(properties!A$1:CB$87,'Fórmula'!H44,56),INDEX(properties!A$1:CB$87,'Fórmula'!J44,56))</f>
        <v>0.92</v>
      </c>
      <c r="FX44" s="119">
        <f t="array" ref="FX44">MIN(IF(INDEX(properties!A$1:CB$87,'Fórmula'!B44,56)=0,10^6,INDEX(properties!A$1:CB$87,'Fórmula'!B44,56)),IF(INDEX(properties!A$1:CB$87,'Fórmula'!D44,56)=0,10^6,INDEX(properties!A$1:CB$87,'Fórmula'!D44,56)),IF(INDEX(properties!A$1:CB$87,'Fórmula'!F44,56)=0,10^6,INDEX(properties!A$1:CB$87,'Fórmula'!F44,56)),IF(INDEX(properties!A$1:CB$87,'Fórmula'!H44,56)=0,10^6,INDEX(properties!A$1:CB$87,'Fórmula'!H44,56)),IF(INDEX(properties!A$1:CB$87,'Fórmula'!J44,56)=0,10^6,INDEX(properties!A$1:CB$87,'Fórmula'!J44,56)))</f>
        <v>0.3</v>
      </c>
      <c r="FY44" s="119">
        <f t="shared" si="30"/>
        <v>0.62</v>
      </c>
      <c r="FZ44" s="104">
        <f t="array" ref="FZ44">(('Fórmula'!C44)/('Fórmula'!C44+'Fórmula'!E44+'Fórmula'!G44+'Fórmula'!I44+'Fórmula'!K44))*(INDEX(properties!A$1:CB$87,'Fórmula'!B44,57))+(('Fórmula'!E44)/('Fórmula'!C44+'Fórmula'!E44+'Fórmula'!G44+'Fórmula'!I44+'Fórmula'!K44))*(INDEX(properties!A$1:CB$87,'Fórmula'!D44,57))+(('Fórmula'!G44)/('Fórmula'!C44+'Fórmula'!E44+'Fórmula'!G44+'Fórmula'!I44+'Fórmula'!K44))*(INDEX(properties!A$1:CB$87,'Fórmula'!F44,57))+(('Fórmula'!I44)/('Fórmula'!C44+'Fórmula'!E44+'Fórmula'!G44+'Fórmula'!I44+'Fórmula'!K44))*(INDEX(properties!A$1:CB$87,'Fórmula'!H44,57))+(('Fórmula'!K44)/('Fórmula'!C44+'Fórmula'!E44+'Fórmula'!G44+'Fórmula'!I44+'Fórmula'!K44))*(INDEX(properties!A$1:CB$87,'Fórmula'!J44,57))</f>
        <v>4.395765714</v>
      </c>
      <c r="GA44" s="104">
        <f t="array" ref="GA44">'Fórmula'!C44*(INDEX(properties!A$1:CB$87,'Fórmula'!B44,57))+'Fórmula'!E44*(INDEX(properties!A$1:CB$87,'Fórmula'!D44,57))+'Fórmula'!G44*(INDEX(properties!A$1:CB$87,'Fórmula'!F44,57))+'Fórmula'!I44*(INDEX(properties!A$1:CB$87,'Fórmula'!H44,57))+'Fórmula'!K44*(INDEX(properties!A$1:CB$87,'Fórmula'!J44,57))</f>
        <v>30.77036</v>
      </c>
      <c r="GB44" s="104">
        <f t="array" ref="GB44">VARP(IF(INDEX(properties!A$1:CB$87,'Fórmula'!B44,57)&lt;&gt;"",INDEX(properties!A$1:CB$87,'Fórmula'!B44,57)),IF(INDEX(properties!A$1:CB$87,'Fórmula'!D44,57)&lt;&gt;"",INDEX(properties!A$1:CB$87,'Fórmula'!D44,57)),IF(INDEX(properties!A$1:CB$87,'Fórmula'!F44,57)&lt;&gt;"",INDEX(properties!A$1:CB$87,'Fórmula'!F44,57)),IF(INDEX(properties!A$1:CB$87,'Fórmula'!H44,57)&lt;&gt;"",INDEX(properties!A$1:CB$87,'Fórmula'!H44,57)),IF(INDEX(properties!A$1:CB$87,'Fórmula'!J44,57)&lt;&gt;"",INDEX(properties!A$1:CB$87,'Fórmula'!J44,57)))</f>
        <v>22.15368396</v>
      </c>
      <c r="GC44" s="104">
        <f t="array" ref="GC44">MAX(INDEX(properties!A$1:CB$87,'Fórmula'!B44,57),INDEX(properties!A$1:CB$87,'Fórmula'!D44,57),INDEX(properties!A$1:CB$87,'Fórmula'!F44,57),INDEX(properties!A$1:CB$87,'Fórmula'!H44,57),INDEX(properties!A$1:CB$87,'Fórmula'!J44,57))</f>
        <v>10.79</v>
      </c>
      <c r="GD44" s="104">
        <f t="array" ref="GD44">MIN(IF(INDEX(properties!A$1:CB$87,'Fórmula'!B44,57)=0,10^6,INDEX(properties!A$1:CB$87,'Fórmula'!B44,57)),IF(INDEX(properties!A$1:CB$87,'Fórmula'!D44,57)=0,10^6,INDEX(properties!A$1:CB$87,'Fórmula'!D44,57)),IF(INDEX(properties!A$1:CB$87,'Fórmula'!F44,57)=0,10^6,INDEX(properties!A$1:CB$87,'Fórmula'!F44,57)),IF(INDEX(properties!A$1:CB$87,'Fórmula'!H44,57)=0,10^6,INDEX(properties!A$1:CB$87,'Fórmula'!H44,57)),IF(INDEX(properties!A$1:CB$87,'Fórmula'!J44,57)=0,10^6,INDEX(properties!A$1:CB$87,'Fórmula'!J44,57)))</f>
        <v>0.22259</v>
      </c>
      <c r="GE44" s="104">
        <f t="shared" si="31"/>
        <v>10.56741</v>
      </c>
      <c r="GF44" s="105">
        <f t="array" ref="GF44">(('Fórmula'!C44)/('Fórmula'!C44+'Fórmula'!E44+'Fórmula'!G44+'Fórmula'!I44+'Fórmula'!K44))*(INDEX(properties!A$1:CB$87,'Fórmula'!B44,60))+(('Fórmula'!E44)/('Fórmula'!C44+'Fórmula'!E44+'Fórmula'!G44+'Fórmula'!I44+'Fórmula'!K44))*(INDEX(properties!A$1:CB$87,'Fórmula'!D44,60))+(('Fórmula'!G44)/('Fórmula'!C44+'Fórmula'!E44+'Fórmula'!G44+'Fórmula'!I44+'Fórmula'!K44))*(INDEX(properties!A$1:CB$87,'Fórmula'!F44,60))+(('Fórmula'!I44)/('Fórmula'!C44+'Fórmula'!E44+'Fórmula'!G44+'Fórmula'!I44+'Fórmula'!K44))*(INDEX(properties!A$1:CB$87,'Fórmula'!H44,60))+(('Fórmula'!K44)/('Fórmula'!C44+'Fórmula'!E44+'Fórmula'!G44+'Fórmula'!I44+'Fórmula'!K44))*(INDEX(properties!A$1:CB$87,'Fórmula'!J44,60))</f>
        <v>72.77242286</v>
      </c>
      <c r="GG44" s="105">
        <f t="array" ref="GG44">'Fórmula'!C44*(INDEX(properties!A$1:CB$87,'Fórmula'!B44,60))+'Fórmula'!E44*(INDEX(properties!A$1:CB$87,'Fórmula'!D44,60))+'Fórmula'!G44*(INDEX(properties!A$1:CB$87,'Fórmula'!F44,60))+'Fórmula'!I44*(INDEX(properties!A$1:CB$87,'Fórmula'!H44,60))+'Fórmula'!K44*(INDEX(properties!A$1:CB$87,'Fórmula'!J44,60))</f>
        <v>509.40696</v>
      </c>
      <c r="GH44" s="105">
        <f t="array" ref="GH44">VARP(IF(INDEX(properties!A$1:CB$87,'Fórmula'!B44,60)&lt;&gt;"",INDEX(properties!A$1:CB$87,'Fórmula'!B44,60)),IF(INDEX(properties!A$1:CB$87,'Fórmula'!D44,60)&lt;&gt;"",INDEX(properties!A$1:CB$87,'Fórmula'!D44,60)),IF(INDEX(properties!A$1:CB$87,'Fórmula'!F44,60)&lt;&gt;"",INDEX(properties!A$1:CB$87,'Fórmula'!F44,60)),IF(INDEX(properties!A$1:CB$87,'Fórmula'!H44,60)&lt;&gt;"",INDEX(properties!A$1:CB$87,'Fórmula'!H44,60)),IF(INDEX(properties!A$1:CB$87,'Fórmula'!J44,60)&lt;&gt;"",INDEX(properties!A$1:CB$87,'Fórmula'!J44,60)))</f>
        <v>8516.54401</v>
      </c>
      <c r="GI44" s="105">
        <f t="array" ref="GI44">MAX(INDEX(properties!A$1:CB$87,'Fórmula'!B44,60),INDEX(properties!A$1:CB$87,'Fórmula'!D44,60),INDEX(properties!A$1:CB$87,'Fórmula'!F44,60),INDEX(properties!A$1:CB$87,'Fórmula'!H44,60),INDEX(properties!A$1:CB$87,'Fórmula'!J44,60))</f>
        <v>237</v>
      </c>
      <c r="GJ44" s="105">
        <f t="array" ref="GJ44">MIN(IF(INDEX(properties!A$1:CB$87,'Fórmula'!B44,60)=0,10^6,INDEX(properties!A$1:CB$87,'Fórmula'!B44,60)),IF(INDEX(properties!A$1:CB$87,'Fórmula'!D44,60)=0,10^6,INDEX(properties!A$1:CB$87,'Fórmula'!D44,60)),IF(INDEX(properties!A$1:CB$87,'Fórmula'!F44,60)=0,10^6,INDEX(properties!A$1:CB$87,'Fórmula'!F44,60)),IF(INDEX(properties!A$1:CB$87,'Fórmula'!H44,60)=0,10^6,INDEX(properties!A$1:CB$87,'Fórmula'!H44,60)),IF(INDEX(properties!A$1:CB$87,'Fórmula'!J44,60)=0,10^6,INDEX(properties!A$1:CB$87,'Fórmula'!J44,60)))</f>
        <v>0.02674</v>
      </c>
      <c r="GK44" s="105">
        <f t="shared" si="32"/>
        <v>236.97326</v>
      </c>
      <c r="GL44" s="106">
        <f t="array" ref="GL44">(('Fórmula'!C44)/('Fórmula'!C44+'Fórmula'!E44+'Fórmula'!G44+'Fórmula'!I44+'Fórmula'!K44))*(INDEX(properties!A$1:CB$87,'Fórmula'!B44,62))+(('Fórmula'!E44)/('Fórmula'!C44+'Fórmula'!E44+'Fórmula'!G44+'Fórmula'!I44+'Fórmula'!K44))*(INDEX(properties!A$1:CB$87,'Fórmula'!D44,62))+(('Fórmula'!G44)/('Fórmula'!C44+'Fórmula'!E44+'Fórmula'!G44+'Fórmula'!I44+'Fórmula'!K44))*(INDEX(properties!A$1:CB$87,'Fórmula'!F44,62))+(('Fórmula'!I44)/('Fórmula'!C44+'Fórmula'!E44+'Fórmula'!G44+'Fórmula'!I44+'Fórmula'!K44))*(INDEX(properties!A$1:CB$87,'Fórmula'!H44,62))+(('Fórmula'!K44)/('Fórmula'!C44+'Fórmula'!E44+'Fórmula'!G44+'Fórmula'!I44+'Fórmula'!K44))*(INDEX(properties!A$1:CB$87,'Fórmula'!J44,62))</f>
        <v>2.711428571</v>
      </c>
      <c r="GM44" s="106">
        <f t="array" ref="GM44">'Fórmula'!C44*(INDEX(properties!A$1:CB$87,'Fórmula'!B44,62))+'Fórmula'!E44*(INDEX(properties!A$1:CB$87,'Fórmula'!D44,62))+'Fórmula'!G44*(INDEX(properties!A$1:CB$87,'Fórmula'!F44,62))+'Fórmula'!I44*(INDEX(properties!A$1:CB$87,'Fórmula'!H44,62))+'Fórmula'!K44*(INDEX(properties!A$1:CB$87,'Fórmula'!J44,62))</f>
        <v>18.98</v>
      </c>
      <c r="GN44" s="106">
        <f t="array" ref="GN44">VARP(IF(INDEX(properties!A$1:CB$87,'Fórmula'!B44,62)&lt;&gt;"",INDEX(properties!A$1:CB$87,'Fórmula'!B44,62)),IF(INDEX(properties!A$1:CB$87,'Fórmula'!D44,62)&lt;&gt;"",INDEX(properties!A$1:CB$87,'Fórmula'!D44,62)),IF(INDEX(properties!A$1:CB$87,'Fórmula'!F44,62)&lt;&gt;"",INDEX(properties!A$1:CB$87,'Fórmula'!F44,62)),IF(INDEX(properties!A$1:CB$87,'Fórmula'!H44,62)&lt;&gt;"",INDEX(properties!A$1:CB$87,'Fórmula'!H44,62)),IF(INDEX(properties!A$1:CB$87,'Fórmula'!J44,62)&lt;&gt;"",INDEX(properties!A$1:CB$87,'Fórmula'!J44,62)))</f>
        <v>1.872864</v>
      </c>
      <c r="GO44" s="106">
        <f t="array" ref="GO44">MAX(INDEX(properties!A$1:CB$87,'Fórmula'!B44,62),INDEX(properties!A$1:CB$87,'Fórmula'!D44,62),INDEX(properties!A$1:CB$87,'Fórmula'!F44,62),INDEX(properties!A$1:CB$87,'Fórmula'!H44,62),INDEX(properties!A$1:CB$87,'Fórmula'!J44,62))</f>
        <v>3.39</v>
      </c>
      <c r="GP44" s="106">
        <f t="array" ref="GP44">MIN(IF(INDEX(properties!A$1:CB$87,'Fórmula'!B44,62)=0,10^6,INDEX(properties!A$1:CB$87,'Fórmula'!B44,62)),IF(INDEX(properties!A$1:CB$87,'Fórmula'!D44,62)=0,10^6,INDEX(properties!A$1:CB$87,'Fórmula'!D44,62)),IF(INDEX(properties!A$1:CB$87,'Fórmula'!F44,62)=0,10^6,INDEX(properties!A$1:CB$87,'Fórmula'!F44,62)),IF(INDEX(properties!A$1:CB$87,'Fórmula'!H44,62)=0,10^6,INDEX(properties!A$1:CB$87,'Fórmula'!H44,62)),IF(INDEX(properties!A$1:CB$87,'Fórmula'!J44,62)=0,10^6,INDEX(properties!A$1:CB$87,'Fórmula'!J44,62)))</f>
        <v>1.72</v>
      </c>
      <c r="GQ44" s="106">
        <f t="shared" si="33"/>
        <v>1.67</v>
      </c>
      <c r="GR44" s="106">
        <f>'Fórmula'!Q44</f>
        <v>4</v>
      </c>
      <c r="GS44" s="107">
        <f>'Fórmula'!P44</f>
        <v>6</v>
      </c>
      <c r="GT44" s="113">
        <f>'Fórmula'!O44</f>
        <v>3.56</v>
      </c>
      <c r="GU44" s="114">
        <f>AVERAGE('Fórmula'!R44/'Fórmula'!S44,'Fórmula'!S44/'Fórmula'!T44,'Fórmula'!T44/'Fórmula'!R44)</f>
        <v>1.092675552</v>
      </c>
      <c r="GV44" s="125">
        <f>'Fórmula'!U44</f>
        <v>383.38</v>
      </c>
      <c r="GW44" s="106">
        <f>'Fórmula'!N44</f>
        <v>0.05</v>
      </c>
    </row>
    <row r="45" ht="14.25" customHeight="1">
      <c r="A45" s="99" t="str">
        <f>'Fórmula'!A45</f>
        <v>Al2O3</v>
      </c>
      <c r="B45" s="101">
        <f t="array" ref="B45">(('Fórmula'!C45)/('Fórmula'!C45+'Fórmula'!E45+'Fórmula'!G45+'Fórmula'!I45+'Fórmula'!K45))*(INDEX(properties!A$1:CB$87,'Fórmula'!B45,3))+(('Fórmula'!E45)/('Fórmula'!C45+'Fórmula'!E45+'Fórmula'!G45+'Fórmula'!I45+'Fórmula'!K45))*(INDEX(properties!A$1:CB$87,'Fórmula'!D45,3))+(('Fórmula'!G45)/('Fórmula'!C45+'Fórmula'!E45+'Fórmula'!G45+'Fórmula'!I45+'Fórmula'!K45))*(INDEX(properties!A$1:CB$87,'Fórmula'!F45,3))+(('Fórmula'!I45)/('Fórmula'!C45+'Fórmula'!E45+'Fórmula'!G45+'Fórmula'!I45+'Fórmula'!K45))*(INDEX(properties!A$1:CB$87,'Fórmula'!H45,3))+(('Fórmula'!K45)/('Fórmula'!C45+'Fórmula'!E45+'Fórmula'!G45+'Fórmula'!I45+'Fórmula'!K45))*(INDEX(properties!A$1:CB$87,'Fórmula'!J45,3))</f>
        <v>20.3922556</v>
      </c>
      <c r="C45" s="101">
        <f t="array" ref="C45">'Fórmula'!C45*(INDEX(properties!A$1:CB$87,'Fórmula'!B45,3))+'Fórmula'!E45*(INDEX(properties!A$1:CB$87,'Fórmula'!D45,3))+'Fórmula'!G45*(INDEX(properties!A$1:CB$87,'Fórmula'!F45,3))+'Fórmula'!I45*(INDEX(properties!A$1:CB$87,'Fórmula'!H45,3))+'Fórmula'!K45*(INDEX(properties!A$1:CB$87,'Fórmula'!J45,3))</f>
        <v>101.961278</v>
      </c>
      <c r="D45" s="101">
        <f t="array" ref="D45">VARP(IF(INDEX(properties!A$1:CB$87,'Fórmula'!B45,3)&lt;&gt;"",INDEX(properties!A$1:CB$87,'Fórmula'!B45,3)),IF(INDEX(properties!A$1:CB$87,'Fórmula'!D45,3)&lt;&gt;"",INDEX(properties!A$1:CB$87,'Fórmula'!D45,3)),IF(INDEX(properties!A$1:CB$87,'Fórmula'!F45,3)&lt;&gt;"",INDEX(properties!A$1:CB$87,'Fórmula'!F45,3)),IF(INDEX(properties!A$1:CB$87,'Fórmula'!H45,3)&lt;&gt;"",INDEX(properties!A$1:CB$87,'Fórmula'!H45,3)),IF(INDEX(properties!A$1:CB$87,'Fórmula'!J45,3)&lt;&gt;"",INDEX(properties!A$1:CB$87,'Fórmula'!J45,3)))</f>
        <v>122.9024047</v>
      </c>
      <c r="E45" s="101">
        <f t="array" ref="E45">MAX(INDEX(properties!A$1:CB$87,'Fórmula'!B45,3),INDEX(properties!A$1:CB$87,'Fórmula'!D45,3),INDEX(properties!A$1:CB$87,'Fórmula'!F45,3),INDEX(properties!A$1:CB$87,'Fórmula'!H45,3),INDEX(properties!A$1:CB$87,'Fórmula'!J45,3))</f>
        <v>26.981539</v>
      </c>
      <c r="F45" s="101">
        <f t="array" ref="F45">MIN(IF(INDEX(properties!A$1:CB$87,'Fórmula'!B45,3)=0,10^6,INDEX(properties!A$1:CB$87,'Fórmula'!B45,3)),IF(INDEX(properties!A$1:CB$87,'Fórmula'!D45,3)=0,10^6,INDEX(properties!A$1:CB$87,'Fórmula'!D45,3)),IF(INDEX(properties!A$1:CB$87,'Fórmula'!F45,3)=0,10^6,INDEX(properties!A$1:CB$87,'Fórmula'!F45,3)),IF(INDEX(properties!A$1:CB$87,'Fórmula'!H45,3)=0,10^6,INDEX(properties!A$1:CB$87,'Fórmula'!H45,3)),IF(INDEX(properties!A$1:CB$87,'Fórmula'!J45,3)=0,10^6,INDEX(properties!A$1:CB$87,'Fórmula'!J45,3)))</f>
        <v>15.9994</v>
      </c>
      <c r="G45" s="101">
        <f t="shared" si="1"/>
        <v>10.982139</v>
      </c>
      <c r="H45" s="102">
        <f t="array" ref="H45">(('Fórmula'!C45)/('Fórmula'!C45+'Fórmula'!E45+'Fórmula'!G45+'Fórmula'!I45+'Fórmula'!K45))*(INDEX(properties!A$1:CB$87,'Fórmula'!B45,4))+(('Fórmula'!E45)/('Fórmula'!C45+'Fórmula'!E45+'Fórmula'!G45+'Fórmula'!I45+'Fórmula'!K45))*(INDEX(properties!A$1:CB$87,'Fórmula'!D45,4))+(('Fórmula'!G45)/('Fórmula'!C45+'Fórmula'!E45+'Fórmula'!G45+'Fórmula'!I45+'Fórmula'!K45))*(INDEX(properties!A$1:CB$87,'Fórmula'!F45,4))+(('Fórmula'!I45)/('Fórmula'!C45+'Fórmula'!E45+'Fórmula'!G45+'Fórmula'!I45+'Fórmula'!K45))*(INDEX(properties!A$1:CB$87,'Fórmula'!H45,4))+(('Fórmula'!K45)/('Fórmula'!C45+'Fórmula'!E45+'Fórmula'!G45+'Fórmula'!I45+'Fórmula'!K45))*(INDEX(properties!A$1:CB$87,'Fórmula'!J45,4))</f>
        <v>10</v>
      </c>
      <c r="I45" s="102">
        <f t="array" ref="I45">'Fórmula'!C45*(INDEX(properties!A$1:CB$87,'Fórmula'!B45,4))+'Fórmula'!E45*(INDEX(properties!A$1:CB$87,'Fórmula'!D45,4))+'Fórmula'!G45*(INDEX(properties!A$1:CB$87,'Fórmula'!F45,4))+'Fórmula'!I45*(INDEX(properties!A$1:CB$87,'Fórmula'!H45,4))+'Fórmula'!K45*(INDEX(properties!A$1:CB$87,'Fórmula'!J45,4))</f>
        <v>50</v>
      </c>
      <c r="J45" s="102">
        <f t="array" ref="J45">VARP(IF(INDEX(properties!A$1:CB$87,'Fórmula'!B45,4)&lt;&gt;"",INDEX(properties!A$1:CB$87,'Fórmula'!B45,4)),IF(INDEX(properties!A$1:CB$87,'Fórmula'!D45,4)&lt;&gt;"",INDEX(properties!A$1:CB$87,'Fórmula'!D45,4)),IF(INDEX(properties!A$1:CB$87,'Fórmula'!F45,4)&lt;&gt;"",INDEX(properties!A$1:CB$87,'Fórmula'!F45,4)),IF(INDEX(properties!A$1:CB$87,'Fórmula'!H45,4)&lt;&gt;"",INDEX(properties!A$1:CB$87,'Fórmula'!H45,4)),IF(INDEX(properties!A$1:CB$87,'Fórmula'!J45,4)&lt;&gt;"",INDEX(properties!A$1:CB$87,'Fórmula'!J45,4)))</f>
        <v>28.96</v>
      </c>
      <c r="K45" s="102">
        <f t="array" ref="K45">MAX(INDEX(properties!A$1:CB$87,'Fórmula'!B45,4),INDEX(properties!A$1:CB$87,'Fórmula'!D45,4),INDEX(properties!A$1:CB$87,'Fórmula'!F45,4),INDEX(properties!A$1:CB$87,'Fórmula'!H45,4),INDEX(properties!A$1:CB$87,'Fórmula'!J45,4))</f>
        <v>13</v>
      </c>
      <c r="L45" s="102">
        <f t="array" ref="L45">MIN(IF(INDEX(properties!A$1:CB$87,'Fórmula'!B45,4)=0,10^6,INDEX(properties!A$1:CB$87,'Fórmula'!B45,4)),IF(INDEX(properties!A$1:CB$87,'Fórmula'!D45,4)=0,10^6,INDEX(properties!A$1:CB$87,'Fórmula'!D45,4)),IF(INDEX(properties!A$1:CB$87,'Fórmula'!F45,4)=0,10^6,INDEX(properties!A$1:CB$87,'Fórmula'!F45,4)),IF(INDEX(properties!A$1:CB$87,'Fórmula'!H45,4)=0,10^6,INDEX(properties!A$1:CB$87,'Fórmula'!H45,4)),IF(INDEX(properties!A$1:CB$87,'Fórmula'!J45,4)=0,10^6,INDEX(properties!A$1:CB$87,'Fórmula'!J45,4)))</f>
        <v>8</v>
      </c>
      <c r="M45" s="102">
        <f t="shared" si="2"/>
        <v>5</v>
      </c>
      <c r="N45" s="103">
        <f t="array" ref="N45">(('Fórmula'!C45)/('Fórmula'!C45+'Fórmula'!E45+'Fórmula'!G45+'Fórmula'!I45+'Fórmula'!K45))*(INDEX(properties!A$1:CB$87,'Fórmula'!B45,5))+(('Fórmula'!E45)/('Fórmula'!C45+'Fórmula'!E45+'Fórmula'!G45+'Fórmula'!I45+'Fórmula'!K45))*(INDEX(properties!A$1:CB$87,'Fórmula'!D45,5))+(('Fórmula'!G45)/('Fórmula'!C45+'Fórmula'!E45+'Fórmula'!G45+'Fórmula'!I45+'Fórmula'!K45))*(INDEX(properties!A$1:CB$87,'Fórmula'!F45,5))+(('Fórmula'!I45)/('Fórmula'!C45+'Fórmula'!E45+'Fórmula'!G45+'Fórmula'!I45+'Fórmula'!K45))*(INDEX(properties!A$1:CB$87,'Fórmula'!H45,5))+(('Fórmula'!K45)/('Fórmula'!C45+'Fórmula'!E45+'Fórmula'!G45+'Fórmula'!I45+'Fórmula'!K45))*(INDEX(properties!A$1:CB$87,'Fórmula'!J45,5))</f>
        <v>2.4</v>
      </c>
      <c r="O45" s="103">
        <f t="array" ref="O45">'Fórmula'!C45*(INDEX(properties!A$1:CB$87,'Fórmula'!B45,5))+'Fórmula'!E45*(INDEX(properties!A$1:CB$87,'Fórmula'!D45,5))+'Fórmula'!G45*(INDEX(properties!A$1:CB$87,'Fórmula'!F45,5))+'Fórmula'!I45*(INDEX(properties!A$1:CB$87,'Fórmula'!H45,5))+'Fórmula'!K45*(INDEX(properties!A$1:CB$87,'Fórmula'!J45,5))</f>
        <v>12</v>
      </c>
      <c r="P45" s="103">
        <f t="array" ref="P45">VARP(IF(INDEX(properties!A$1:CB$87,'Fórmula'!B45,5)&lt;&gt;"",INDEX(properties!A$1:CB$87,'Fórmula'!B45,5)),IF(INDEX(properties!A$1:CB$87,'Fórmula'!D45,5)&lt;&gt;"",INDEX(properties!A$1:CB$87,'Fórmula'!D45,5)),IF(INDEX(properties!A$1:CB$87,'Fórmula'!F45,5)&lt;&gt;"",INDEX(properties!A$1:CB$87,'Fórmula'!F45,5)),IF(INDEX(properties!A$1:CB$87,'Fórmula'!H45,5)&lt;&gt;"",INDEX(properties!A$1:CB$87,'Fórmula'!H45,5)),IF(INDEX(properties!A$1:CB$87,'Fórmula'!J45,5)&lt;&gt;"",INDEX(properties!A$1:CB$87,'Fórmula'!J45,5)))</f>
        <v>1.6</v>
      </c>
      <c r="Q45" s="103">
        <f t="array" ref="Q45">MAX(INDEX(properties!A$1:CB$87,'Fórmula'!B45,5),INDEX(properties!A$1:CB$87,'Fórmula'!D45,5),INDEX(properties!A$1:CB$87,'Fórmula'!F45,5),INDEX(properties!A$1:CB$87,'Fórmula'!H45,5),INDEX(properties!A$1:CB$87,'Fórmula'!J45,5))</f>
        <v>3</v>
      </c>
      <c r="R45" s="103">
        <f t="array" ref="R45">MIN(IF(INDEX(properties!A$1:CB$87,'Fórmula'!B45,5)=0,10^6,INDEX(properties!A$1:CB$87,'Fórmula'!B45,5)),IF(INDEX(properties!A$1:CB$87,'Fórmula'!D45,5)=0,10^6,INDEX(properties!A$1:CB$87,'Fórmula'!D45,5)),IF(INDEX(properties!A$1:CB$87,'Fórmula'!F45,5)=0,10^6,INDEX(properties!A$1:CB$87,'Fórmula'!F45,5)),IF(INDEX(properties!A$1:CB$87,'Fórmula'!H45,5)=0,10^6,INDEX(properties!A$1:CB$87,'Fórmula'!H45,5)),IF(INDEX(properties!A$1:CB$87,'Fórmula'!J45,5)=0,10^6,INDEX(properties!A$1:CB$87,'Fórmula'!J45,5)))</f>
        <v>2</v>
      </c>
      <c r="S45" s="103">
        <f t="shared" si="3"/>
        <v>1</v>
      </c>
      <c r="T45" s="104">
        <f t="array" ref="T45">(('Fórmula'!C45)/('Fórmula'!C45+'Fórmula'!E45+'Fórmula'!G45+'Fórmula'!I45+'Fórmula'!K45))*(INDEX(properties!A$1:CB$87,'Fórmula'!B45,6))+(('Fórmula'!E45)/('Fórmula'!C45+'Fórmula'!E45+'Fórmula'!G45+'Fórmula'!I45+'Fórmula'!K45))*(INDEX(properties!A$1:CB$87,'Fórmula'!D45,6))+(('Fórmula'!G45)/('Fórmula'!C45+'Fórmula'!E45+'Fórmula'!G45+'Fórmula'!I45+'Fórmula'!K45))*(INDEX(properties!A$1:CB$87,'Fórmula'!F45,6))+(('Fórmula'!I45)/('Fórmula'!C45+'Fórmula'!E45+'Fórmula'!G45+'Fórmula'!I45+'Fórmula'!K45))*(INDEX(properties!A$1:CB$87,'Fórmula'!H45,6))+(('Fórmula'!K45)/('Fórmula'!C45+'Fórmula'!E45+'Fórmula'!G45+'Fórmula'!I45+'Fórmula'!K45))*(INDEX(properties!A$1:CB$87,'Fórmula'!J45,6))</f>
        <v>14.8</v>
      </c>
      <c r="U45" s="104">
        <f t="array" ref="U45">'Fórmula'!C45*(INDEX(properties!A$1:CB$87,'Fórmula'!B45,6))+'Fórmula'!E45*(INDEX(properties!A$1:CB$87,'Fórmula'!D45,6))+'Fórmula'!G45*(INDEX(properties!A$1:CB$87,'Fórmula'!F45,6))+'Fórmula'!I45*(INDEX(properties!A$1:CB$87,'Fórmula'!H45,6))+'Fórmula'!K45*(INDEX(properties!A$1:CB$87,'Fórmula'!J45,6))</f>
        <v>74</v>
      </c>
      <c r="V45" s="103">
        <f t="array" ref="V45">VARP(IF(INDEX(properties!A$1:CB$87,'Fórmula'!B45,6)&lt;&gt;"",INDEX(properties!A$1:CB$87,'Fórmula'!B45,6)),IF(INDEX(properties!A$1:CB$87,'Fórmula'!D45,6)&lt;&gt;"",INDEX(properties!A$1:CB$87,'Fórmula'!D45,6)),IF(INDEX(properties!A$1:CB$87,'Fórmula'!F45,6)&lt;&gt;"",INDEX(properties!A$1:CB$87,'Fórmula'!F45,6)),IF(INDEX(properties!A$1:CB$87,'Fórmula'!H45,6)&lt;&gt;"",INDEX(properties!A$1:CB$87,'Fórmula'!H45,6)),IF(INDEX(properties!A$1:CB$87,'Fórmula'!J45,6)&lt;&gt;"",INDEX(properties!A$1:CB$87,'Fórmula'!J45,6)))</f>
        <v>51.36</v>
      </c>
      <c r="W45" s="104">
        <f t="array" ref="W45">MAX(INDEX(properties!A$1:CB$87,'Fórmula'!B45,6),INDEX(properties!A$1:CB$87,'Fórmula'!D45,6),INDEX(properties!A$1:CB$87,'Fórmula'!F45,6),INDEX(properties!A$1:CB$87,'Fórmula'!H45,4),INDEX(properties!A$1:CB$87,'Fórmula'!J45,6))</f>
        <v>16</v>
      </c>
      <c r="X45" s="104">
        <f t="array" ref="X45">MIN(IF(INDEX(properties!A$1:CB$87,'Fórmula'!B45,6)=0,10^6,INDEX(properties!A$1:CB$87,'Fórmula'!B45,6)),IF(INDEX(properties!A$1:CB$87,'Fórmula'!D45,6)=0,10^6,INDEX(properties!A$1:CB$87,'Fórmula'!D45,6)),IF(INDEX(properties!A$1:CB$87,'Fórmula'!F45,6)=0,10^6,INDEX(properties!A$1:CB$87,'Fórmula'!F45,6)),IF(INDEX(properties!A$1:CB$87,'Fórmula'!H45,6)=0,10^6,INDEX(properties!A$1:CB$87,'Fórmula'!H45,6)),IF(INDEX(properties!A$1:CB$87,'Fórmula'!J45,6)=0,10^6,INDEX(properties!A$1:CB$87,'Fórmula'!J45,6)))</f>
        <v>13</v>
      </c>
      <c r="Y45" s="104">
        <f t="shared" si="4"/>
        <v>3</v>
      </c>
      <c r="Z45" s="105">
        <f t="array" ref="Z45">(('Fórmula'!C45)/('Fórmula'!C45+'Fórmula'!E45+'Fórmula'!G45+'Fórmula'!I45+'Fórmula'!K45))*(INDEX(properties!A$1:CB$87,'Fórmula'!B45,9))+(('Fórmula'!E45)/('Fórmula'!C45+'Fórmula'!E45+'Fórmula'!G45+'Fórmula'!I45+'Fórmula'!K45))*(INDEX(properties!A$1:CB$87,'Fórmula'!D45,9))+(('Fórmula'!G45)/('Fórmula'!C45+'Fórmula'!E45+'Fórmula'!G45+'Fórmula'!I45+'Fórmula'!K45))*(INDEX(properties!A$1:CB$87,'Fórmula'!F45,9))+(('Fórmula'!I45)/('Fórmula'!C45+'Fórmula'!E45+'Fórmula'!G45+'Fórmula'!I45+'Fórmula'!K45))*(INDEX(properties!A$1:CB$87,'Fórmula'!H45,9))+(('Fórmula'!K45)/('Fórmula'!C45+'Fórmula'!E45+'Fórmula'!G45+'Fórmula'!I45+'Fórmula'!K45))*(INDEX(properties!A$1:CB$87,'Fórmula'!J45,9))</f>
        <v>81.4</v>
      </c>
      <c r="AA45" s="105">
        <f t="array" ref="AA45">'Fórmula'!C45*(INDEX(properties!A$1:CB$87,'Fórmula'!B45,9))+'Fórmula'!E45*(INDEX(properties!A$1:CB$87,'Fórmula'!D45,9))+'Fórmula'!G45*(INDEX(properties!A$1:CB$87,'Fórmula'!F45,9))+'Fórmula'!I45*(INDEX(properties!A$1:CB$87,'Fórmula'!H45,9))+'Fórmula'!K45*(INDEX(properties!A$1:CB$87,'Fórmula'!J45,9))</f>
        <v>407</v>
      </c>
      <c r="AB45" s="105">
        <f t="array" ref="AB45">VARP(IF(INDEX(properties!A$1:CB$87,'Fórmula'!B45,9)&lt;&gt;"",INDEX(properties!A$1:CB$87,'Fórmula'!B45,9)),IF(INDEX(properties!A$1:CB$87,'Fórmula'!D45,9)&lt;&gt;"",INDEX(properties!A$1:CB$87,'Fórmula'!D45,9)),IF(INDEX(properties!A$1:CB$87,'Fórmula'!F45,9)&lt;&gt;"",INDEX(properties!A$1:CB$87,'Fórmula'!F45,9)),IF(INDEX(properties!A$1:CB$87,'Fórmula'!H45,9)&lt;&gt;"",INDEX(properties!A$1:CB$87,'Fórmula'!H45,9)),IF(INDEX(properties!A$1:CB$87,'Fórmula'!J45,9)&lt;&gt;"",INDEX(properties!A$1:CB$87,'Fórmula'!J45,9)))</f>
        <v>1555.6</v>
      </c>
      <c r="AC45" s="105">
        <f t="array" ref="AC45">MAX(INDEX(properties!A$1:CB$87,'Fórmula'!B45,9),INDEX(properties!A$1:CB$87,'Fórmula'!D45,9),INDEX(properties!A$1:CB$87,'Fórmula'!F45,9),INDEX(properties!A$1:CB$87,'Fórmula'!H45,9),INDEX(properties!A$1:CB$87,'Fórmula'!J45,9))</f>
        <v>87</v>
      </c>
      <c r="AD45" s="105">
        <f t="array" ref="AD45">MIN(IF(INDEX(properties!A$1:CB$87,'Fórmula'!B45,9)=0,10^6,INDEX(properties!A$1:CB$87,'Fórmula'!B45,9)),IF(INDEX(properties!A$1:CB$87,'Fórmula'!D45,9)=0,10^6,INDEX(properties!A$1:CB$87,'Fórmula'!D45,9)),IF(INDEX(properties!A$1:CB$87,'Fórmula'!F45,9)=0,10^6,INDEX(properties!A$1:CB$87,'Fórmula'!F45,9)),IF(INDEX(properties!A$1:CB$87,'Fórmula'!H45,9)=0,10^6,INDEX(properties!A$1:CB$87,'Fórmula'!H45,9)),IF(INDEX(properties!A$1:CB$87,'Fórmula'!J45,9)=0,10^6,INDEX(properties!A$1:CB$87,'Fórmula'!J45,9)))</f>
        <v>73</v>
      </c>
      <c r="AE45" s="105">
        <f t="shared" si="5"/>
        <v>14</v>
      </c>
      <c r="AF45" s="106">
        <f t="array" ref="AF45">(('Fórmula'!C45)/('Fórmula'!C45+'Fórmula'!E45+'Fórmula'!G45+'Fórmula'!I45+'Fórmula'!K45))*(INDEX(properties!A$1:CB$87,'Fórmula'!B45,10))+(('Fórmula'!E45)/('Fórmula'!C45+'Fórmula'!E45+'Fórmula'!G45+'Fórmula'!I45+'Fórmula'!K45))*(INDEX(properties!A$1:CB$87,'Fórmula'!D45,10))+(('Fórmula'!G45)/('Fórmula'!C45+'Fórmula'!E45+'Fórmula'!G45+'Fórmula'!I45+'Fórmula'!K45))*(INDEX(properties!A$1:CB$87,'Fórmula'!F45,10))+(('Fórmula'!I45)/('Fórmula'!C45+'Fórmula'!E45+'Fórmula'!G45+'Fórmula'!I45+'Fórmula'!K45))*(INDEX(properties!A$1:CB$87,'Fórmula'!H45,10))+(('Fórmula'!K45)/('Fórmula'!C45+'Fórmula'!E45+'Fórmula'!G45+'Fórmula'!I45+'Fórmula'!K45))*(INDEX(properties!A$1:CB$87,'Fórmula'!J45,10))</f>
        <v>6.2</v>
      </c>
      <c r="AG45" s="106">
        <f t="array" ref="AG45">'Fórmula'!C45*(INDEX(properties!A$1:CB$87,'Fórmula'!B45,10))+'Fórmula'!E45*(INDEX(properties!A$1:CB$87,'Fórmula'!D45,10))+'Fórmula'!G45*(INDEX(properties!A$1:CB$87,'Fórmula'!F45,10))+'Fórmula'!I45*(INDEX(properties!A$1:CB$87,'Fórmula'!H45,10))+'Fórmula'!K45*(INDEX(properties!A$1:CB$87,'Fórmula'!J45,10))</f>
        <v>31</v>
      </c>
      <c r="AH45" s="106">
        <f t="array" ref="AH45">VARP(IF(INDEX(properties!A$1:CB$87,'Fórmula'!B45,10)&lt;&gt;"",INDEX(properties!A$1:CB$87,'Fórmula'!B45,10)),IF(INDEX(properties!A$1:CB$87,'Fórmula'!D45,10)&lt;&gt;"",INDEX(properties!A$1:CB$87,'Fórmula'!D45,10)),IF(INDEX(properties!A$1:CB$87,'Fórmula'!F45,10)&lt;&gt;"",INDEX(properties!A$1:CB$87,'Fórmula'!F45,10)),IF(INDEX(properties!A$1:CB$87,'Fórmula'!H45,10)&lt;&gt;"",INDEX(properties!A$1:CB$87,'Fórmula'!H45,10)),IF(INDEX(properties!A$1:CB$87,'Fórmula'!J45,10)&lt;&gt;"",INDEX(properties!A$1:CB$87,'Fórmula'!J45,10)))</f>
        <v>9.04</v>
      </c>
      <c r="AI45" s="106">
        <f t="array" ref="AI45">MAX(INDEX(properties!A$1:CB$87,'Fórmula'!B45,10),INDEX(properties!A$1:CB$87,'Fórmula'!D45,10),INDEX(properties!A$1:CB$87,'Fórmula'!F45,10),INDEX(properties!A$1:CB$87,'Fórmula'!H45,10),INDEX(properties!A$1:CB$87,'Fórmula'!J45,10))</f>
        <v>7</v>
      </c>
      <c r="AJ45" s="106">
        <f t="array" ref="AJ45">MIN(IF(INDEX(properties!A$1:CB$87,'Fórmula'!B45,10)=0,10^6,INDEX(properties!A$1:CB$87,'Fórmula'!B45,10)),IF(INDEX(properties!A$1:CB$87,'Fórmula'!D45,10)=0,10^6,INDEX(properties!A$1:CB$87,'Fórmula'!D45,10)),IF(INDEX(properties!A$1:CB$87,'Fórmula'!F45,10)=0,10^6,INDEX(properties!A$1:CB$87,'Fórmula'!F45,10)),IF(INDEX(properties!A$1:CB$87,'Fórmula'!H45,10)=0,10^6,INDEX(properties!A$1:CB$87,'Fórmula'!H45,10)),IF(INDEX(properties!A$1:CB$87,'Fórmula'!J45,10)=0,10^6,INDEX(properties!A$1:CB$87,'Fórmula'!J45,10)))</f>
        <v>5</v>
      </c>
      <c r="AK45" s="106">
        <f t="shared" si="6"/>
        <v>2</v>
      </c>
      <c r="AL45" s="107">
        <f t="array" ref="AL45">(('Fórmula'!C45)/('Fórmula'!C45+'Fórmula'!E45+'Fórmula'!G45+'Fórmula'!I45+'Fórmula'!K45))*(INDEX(properties!A$1:CB$87,'Fórmula'!B45,11))+(('Fórmula'!E45)/('Fórmula'!C45+'Fórmula'!E45+'Fórmula'!G45+'Fórmula'!I45+'Fórmula'!K45))*(INDEX(properties!A$1:CB$87,'Fórmula'!D45,11))+(('Fórmula'!G45)/('Fórmula'!C45+'Fórmula'!E45+'Fórmula'!G45+'Fórmula'!I45+'Fórmula'!K45))*(INDEX(properties!A$1:CB$87,'Fórmula'!F45,11))+(('Fórmula'!I45)/('Fórmula'!C45+'Fórmula'!E45+'Fórmula'!G45+'Fórmula'!I45+'Fórmula'!K45))*(INDEX(properties!A$1:CB$87,'Fórmula'!H45,11))+(('Fórmula'!K45)/('Fórmula'!C45+'Fórmula'!E45+'Fórmula'!G45+'Fórmula'!I45+'Fórmula'!K45))*(INDEX(properties!A$1:CB$87,'Fórmula'!J45,11))</f>
        <v>2</v>
      </c>
      <c r="AM45" s="107">
        <f t="array" ref="AM45">'Fórmula'!C45*(INDEX(properties!A$1:CB$87,'Fórmula'!B45,11))+'Fórmula'!E45*(INDEX(properties!A$1:CB$87,'Fórmula'!D45,11))+'Fórmula'!G45*(INDEX(properties!A$1:CB$87,'Fórmula'!F45,11))+'Fórmula'!I45*(INDEX(properties!A$1:CB$87,'Fórmula'!H45,11))+'Fórmula'!K45*(INDEX(properties!A$1:CB$87,'Fórmula'!J45,11))</f>
        <v>10</v>
      </c>
      <c r="AN45" s="107">
        <f t="array" ref="AN45">VARP(IF(INDEX(properties!A$1:CB$87,'Fórmula'!B45,11)&lt;&gt;"",INDEX(properties!A$1:CB$87,'Fórmula'!B45,11)),IF(INDEX(properties!A$1:CB$87,'Fórmula'!D45,11)&lt;&gt;"",INDEX(properties!A$1:CB$87,'Fórmula'!D45,11)),IF(INDEX(properties!A$1:CB$87,'Fórmula'!F45,11)&lt;&gt;"",INDEX(properties!A$1:CB$87,'Fórmula'!F45,11)),IF(INDEX(properties!A$1:CB$87,'Fórmula'!H45,11)&lt;&gt;"",INDEX(properties!A$1:CB$87,'Fórmula'!H45,11)),IF(INDEX(properties!A$1:CB$87,'Fórmula'!J45,11)&lt;&gt;"",INDEX(properties!A$1:CB$87,'Fórmula'!J45,11)))</f>
        <v>0.96</v>
      </c>
      <c r="AO45" s="107">
        <f t="array" ref="AO45">MAX(INDEX(properties!A$1:CB$87,'Fórmula'!B45,11),INDEX(properties!A$1:CB$87,'Fórmula'!D45,11),INDEX(properties!A$1:CB$87,'Fórmula'!F45,11),INDEX(properties!A$1:CB$87,'Fórmula'!H45,11),INDEX(properties!A$1:CB$87,'Fórmula'!J45,11))</f>
        <v>2</v>
      </c>
      <c r="AP45" s="107">
        <f t="array" ref="AP45">MIN(IF('Fórmula'!B45=87,10^6,INDEX(properties!A$1:CB$87,'Fórmula'!B45,11)),IF(('Fórmula'!D45)=87,10^6,INDEX(properties!A$1:CB$87,'Fórmula'!D45,11)),IF(('Fórmula'!F45)=87,10^6,INDEX(properties!A$1:CB$87,'Fórmula'!F45,11)),IF(('Fórmula'!H45)=87,10^6,INDEX(properties!A$1:CB$87,'Fórmula'!H45,11)),IF('Fórmula'!J45=87,10^6,INDEX(properties!A$1:CB$87,'Fórmula'!J45,11)))</f>
        <v>2</v>
      </c>
      <c r="AQ45" s="107">
        <f t="shared" si="7"/>
        <v>0</v>
      </c>
      <c r="AR45" s="108">
        <f t="array" ref="AR45">(('Fórmula'!C45)/('Fórmula'!C45+'Fórmula'!E45+'Fórmula'!G45+'Fórmula'!I45+'Fórmula'!K45))*(INDEX(properties!A$1:CB$87,'Fórmula'!B45,12))+(('Fórmula'!E45)/('Fórmula'!C45+'Fórmula'!E45+'Fórmula'!G45+'Fórmula'!I45+'Fórmula'!K45))*(INDEX(properties!A$1:CB$87,'Fórmula'!D45,12))+(('Fórmula'!G45)/('Fórmula'!C45+'Fórmula'!E45+'Fórmula'!G45+'Fórmula'!I45+'Fórmula'!K45))*(INDEX(properties!A$1:CB$87,'Fórmula'!F45,12))+(('Fórmula'!I45)/('Fórmula'!C45+'Fórmula'!E45+'Fórmula'!G45+'Fórmula'!I45+'Fórmula'!K45))*(INDEX(properties!A$1:CB$87,'Fórmula'!H45,12))+(('Fórmula'!K45)/('Fórmula'!C45+'Fórmula'!E45+'Fórmula'!G45+'Fórmula'!I45+'Fórmula'!K45))*(INDEX(properties!A$1:CB$87,'Fórmula'!J45,12))</f>
        <v>2.8</v>
      </c>
      <c r="AS45" s="108">
        <f t="array" ref="AS45">'Fórmula'!C45*(INDEX(properties!A$1:CB$87,'Fórmula'!B45,12))+'Fórmula'!E45*(INDEX(properties!A$1:CB$87,'Fórmula'!D45,12))+'Fórmula'!G45*(INDEX(properties!A$1:CB$87,'Fórmula'!F45,12))+'Fórmula'!I45*(INDEX(properties!A$1:CB$87,'Fórmula'!H45,12))+'Fórmula'!K45*(INDEX(properties!A$1:CB$87,'Fórmula'!J45,12))</f>
        <v>14</v>
      </c>
      <c r="AT45" s="108">
        <f t="array" ref="AT45">VARP(IF(INDEX(properties!A$1:CB$87,'Fórmula'!B45,12)&lt;&gt;"",INDEX(properties!A$1:CB$87,'Fórmula'!B45,12)),IF(INDEX(properties!A$1:CB$87,'Fórmula'!D45,12)&lt;&gt;"",INDEX(properties!A$1:CB$87,'Fórmula'!D45,12)),IF(INDEX(properties!A$1:CB$87,'Fórmula'!F45,12)&lt;&gt;"",INDEX(properties!A$1:CB$87,'Fórmula'!F45,12)),IF(INDEX(properties!A$1:CB$87,'Fórmula'!H45,12)&lt;&gt;"",INDEX(properties!A$1:CB$87,'Fórmula'!H45,12)),IF(INDEX(properties!A$1:CB$87,'Fórmula'!J45,12)&lt;&gt;"",INDEX(properties!A$1:CB$87,'Fórmula'!J45,12)))</f>
        <v>2.4</v>
      </c>
      <c r="AU45" s="108">
        <f t="array" ref="AU45">MAX(INDEX(properties!A$1:CB$87,'Fórmula'!B45,12),INDEX(properties!A$1:CB$87,'Fórmula'!D45,12),INDEX(properties!A$1:CB$87,'Fórmula'!F45,12),INDEX(properties!A$1:CB$87,'Fórmula'!H45,12),INDEX(properties!A$1:CB$87,'Fórmula'!J45,12))</f>
        <v>4</v>
      </c>
      <c r="AV45" s="108">
        <f t="array" ref="AV45">MIN(IF('Fórmula'!B45=87,10^6,INDEX(properties!A$1:CB$87,'Fórmula'!B45,12)),IF(('Fórmula'!D45)=87,10^6,INDEX(properties!A$1:CB$87,'Fórmula'!D45,12)),IF(('Fórmula'!F45)=87,10^6,INDEX(properties!A$1:CB$87,'Fórmula'!F45,12)),IF(('Fórmula'!H45)=87,10^6,INDEX(properties!A$1:CB$87,'Fórmula'!H45,12)),IF('Fórmula'!J45=87,10^6,INDEX(properties!A$1:CB$87,'Fórmula'!J45,12)))</f>
        <v>1</v>
      </c>
      <c r="AW45" s="108">
        <f t="shared" si="8"/>
        <v>3</v>
      </c>
      <c r="AX45" s="109">
        <f t="array" ref="AX45">(('Fórmula'!C45)/('Fórmula'!C45+'Fórmula'!E45+'Fórmula'!G45+'Fórmula'!I45+'Fórmula'!K45))*(INDEX(properties!A$1:CB$87,'Fórmula'!B45,13))+(('Fórmula'!E45)/('Fórmula'!C45+'Fórmula'!E45+'Fórmula'!G45+'Fórmula'!I45+'Fórmula'!K45))*(INDEX(properties!A$1:CB$87,'Fórmula'!D45,13))+(('Fórmula'!G45)/('Fórmula'!C45+'Fórmula'!E45+'Fórmula'!G45+'Fórmula'!I45+'Fórmula'!K45))*(INDEX(properties!A$1:CB$87,'Fórmula'!F45,13))+(('Fórmula'!I45)/('Fórmula'!C45+'Fórmula'!E45+'Fórmula'!G45+'Fórmula'!I45+'Fórmula'!K45))*(INDEX(properties!A$1:CB$87,'Fórmula'!H45,13))+(('Fórmula'!K45)/('Fórmula'!C45+'Fórmula'!E45+'Fórmula'!G45+'Fórmula'!I45+'Fórmula'!K45))*(INDEX(properties!A$1:CB$87,'Fórmula'!J45,13))</f>
        <v>0</v>
      </c>
      <c r="AY45" s="109">
        <f t="array" ref="AY45">'Fórmula'!C45*(INDEX(properties!A$1:CB$87,'Fórmula'!B45,13))+'Fórmula'!E45*(INDEX(properties!A$1:CB$87,'Fórmula'!D45,13))+'Fórmula'!G45*(INDEX(properties!A$1:CB$87,'Fórmula'!F45,13))+'Fórmula'!I45*(INDEX(properties!A$1:CB$87,'Fórmula'!H45,13))+'Fórmula'!K45*(INDEX(properties!A$1:CB$87,'Fórmula'!J45,13))</f>
        <v>0</v>
      </c>
      <c r="AZ45" s="109">
        <f t="array" ref="AZ45">VARP(IF(INDEX(properties!A$1:CB$87,'Fórmula'!B45,13)&lt;&gt;"",INDEX(properties!A$1:CB$87,'Fórmula'!B45,13)),IF(INDEX(properties!A$1:CB$87,'Fórmula'!D45,13)&lt;&gt;"",INDEX(properties!A$1:CB$87,'Fórmula'!D45,13)),IF(INDEX(properties!A$1:CB$87,'Fórmula'!F45,13)&lt;&gt;"",INDEX(properties!A$1:CB$87,'Fórmula'!F45,13)),IF(INDEX(properties!A$1:CB$87,'Fórmula'!H45,13)&lt;&gt;"",INDEX(properties!A$1:CB$87,'Fórmula'!H45,13)),IF(INDEX(properties!A$1:CB$87,'Fórmula'!J45,13)&lt;&gt;"",INDEX(properties!A$1:CB$87,'Fórmula'!J45,13)))</f>
        <v>0</v>
      </c>
      <c r="BA45" s="109">
        <f t="array" ref="BA45">MAX(INDEX(properties!A$1:CB$87,'Fórmula'!B45,13),INDEX(properties!A$1:CB$87,'Fórmula'!D45,13),INDEX(properties!A$1:CB$87,'Fórmula'!F45,13),INDEX(properties!A$1:CB$87,'Fórmula'!H45,13),INDEX(properties!A$1:CB$87,'Fórmula'!J45,13))</f>
        <v>0</v>
      </c>
      <c r="BB45" s="109">
        <f t="array" ref="BB45">MIN(IF('Fórmula'!B45=87,10^6,INDEX(properties!A$1:CB$87,'Fórmula'!B45,13)),IF(('Fórmula'!D45)=87,10^6,INDEX(properties!A$1:CB$87,'Fórmula'!D45,13)),IF(('Fórmula'!F45)=87,10^6,INDEX(properties!A$1:CB$87,'Fórmula'!F45,13)),IF(('Fórmula'!H45)=87,10^6,INDEX(properties!A$1:CB$87,'Fórmula'!H45,13)),IF('Fórmula'!J45=87,10^6,INDEX(properties!A$1:CB$87,'Fórmula'!J45,13)))</f>
        <v>0</v>
      </c>
      <c r="BC45" s="109">
        <f t="shared" si="9"/>
        <v>0</v>
      </c>
      <c r="BD45" s="110">
        <f t="array" ref="BD45">(('Fórmula'!C45)/('Fórmula'!C45+'Fórmula'!E45+'Fórmula'!G45+'Fórmula'!I45+'Fórmula'!K45))*(INDEX(properties!A$1:CB$87,'Fórmula'!B45,14))+(('Fórmula'!E45)/('Fórmula'!C45+'Fórmula'!E45+'Fórmula'!G45+'Fórmula'!I45+'Fórmula'!K45))*(INDEX(properties!A$1:CB$87,'Fórmula'!D45,14))+(('Fórmula'!G45)/('Fórmula'!C45+'Fórmula'!E45+'Fórmula'!G45+'Fórmula'!I45+'Fórmula'!K45))*(INDEX(properties!A$1:CB$87,'Fórmula'!F45,14))+(('Fórmula'!I45)/('Fórmula'!C45+'Fórmula'!E45+'Fórmula'!G45+'Fórmula'!I45+'Fórmula'!K45))*(INDEX(properties!A$1:CB$87,'Fórmula'!H45,14))+(('Fórmula'!K45)/('Fórmula'!C45+'Fórmula'!E45+'Fórmula'!G45+'Fórmula'!I45+'Fórmula'!K45))*(INDEX(properties!A$1:CB$87,'Fórmula'!J45,14))</f>
        <v>0</v>
      </c>
      <c r="BE45" s="110">
        <f t="array" ref="BE45">'Fórmula'!C45*(INDEX(properties!A$1:CB$87,'Fórmula'!B45,14))+'Fórmula'!E45*(INDEX(properties!A$1:CB$87,'Fórmula'!D45,14))+'Fórmula'!G45*(INDEX(properties!A$1:CB$87,'Fórmula'!F45,14))+'Fórmula'!I45*(INDEX(properties!A$1:CB$87,'Fórmula'!H45,14))+'Fórmula'!K45*(INDEX(properties!A$1:CB$87,'Fórmula'!J45,14))</f>
        <v>0</v>
      </c>
      <c r="BF45" s="110">
        <f t="array" ref="BF45">VARP(IF(INDEX(properties!A$1:CB$87,'Fórmula'!B45,14)&lt;&gt;"",INDEX(properties!A$1:CB$87,'Fórmula'!B45,14)),IF(INDEX(properties!A$1:CB$87,'Fórmula'!D45,14)&lt;&gt;"",INDEX(properties!A$1:CB$87,'Fórmula'!D45,14)),IF(INDEX(properties!A$1:CB$87,'Fórmula'!F45,14)&lt;&gt;"",INDEX(properties!A$1:CB$87,'Fórmula'!F45,14)),IF(INDEX(properties!A$1:CB$87,'Fórmula'!H45,14)&lt;&gt;"",INDEX(properties!A$1:CB$87,'Fórmula'!H45,14)),IF(INDEX(properties!A$1:CB$87,'Fórmula'!J45,14)&lt;&gt;"",INDEX(properties!A$1:CB$87,'Fórmula'!J45,14)))</f>
        <v>0</v>
      </c>
      <c r="BG45" s="110">
        <f t="array" ref="BG45">MAX(INDEX(properties!A$1:CB$87,'Fórmula'!B45,14),INDEX(properties!A$1:CB$87,'Fórmula'!D45,14),INDEX(properties!A$1:CB$87,'Fórmula'!F45,14),INDEX(properties!A$1:CB$87,'Fórmula'!H45,14),INDEX(properties!A$1:CB$87,'Fórmula'!J45,14))</f>
        <v>0</v>
      </c>
      <c r="BH45" s="110">
        <f t="array" ref="BH45">MIN(IF('Fórmula'!B45=87,10^6,INDEX(properties!A$1:CB$87,'Fórmula'!B45,14)),IF(('Fórmula'!D45)=87,10^6,INDEX(properties!A$1:CB$87,'Fórmula'!D45,14)),IF(('Fórmula'!F45)=87,10^6,INDEX(properties!A$1:CB$87,'Fórmula'!F45,14)),IF(('Fórmula'!H45)=87,10^6,INDEX(properties!A$1:CB$87,'Fórmula'!H45,14)),IF('Fórmula'!J45=87,10^6,INDEX(properties!A$1:CB$87,'Fórmula'!J45,14)))</f>
        <v>0</v>
      </c>
      <c r="BI45" s="110">
        <f t="shared" si="10"/>
        <v>0</v>
      </c>
      <c r="BJ45" s="111">
        <f t="array" ref="BJ45">(('Fórmula'!C45)/('Fórmula'!C45+'Fórmula'!E45+'Fórmula'!G45+'Fórmula'!I45+'Fórmula'!K45))*(INDEX(properties!A$1:CB$87,'Fórmula'!B45,19))+(('Fórmula'!E45)/('Fórmula'!C45+'Fórmula'!E45+'Fórmula'!G45+'Fórmula'!I45+'Fórmula'!K45))*(INDEX(properties!A$1:CB$87,'Fórmula'!D45,19))+(('Fórmula'!G45)/('Fórmula'!C45+'Fórmula'!E45+'Fórmula'!G45+'Fórmula'!I45+'Fórmula'!K45))*(INDEX(properties!A$1:CB$87,'Fórmula'!F45,19))+(('Fórmula'!I45)/('Fórmula'!C45+'Fórmula'!E45+'Fórmula'!G45+'Fórmula'!I45+'Fórmula'!K45))*(INDEX(properties!A$1:CB$87,'Fórmula'!H45,19))+(('Fórmula'!K45)/('Fórmula'!C45+'Fórmula'!E45+'Fórmula'!G45+'Fórmula'!I45+'Fórmula'!K45))*(INDEX(properties!A$1:CB$87,'Fórmula'!J45,19))</f>
        <v>4.8</v>
      </c>
      <c r="BK45" s="111">
        <f t="array" ref="BK45">'Fórmula'!C45*(INDEX(properties!A$1:CB$87,'Fórmula'!B45,19))+'Fórmula'!E45*(INDEX(properties!A$1:CB$87,'Fórmula'!D45,19))+'Fórmula'!G45*(INDEX(properties!A$1:CB$87,'Fórmula'!F45,19))+'Fórmula'!I45*(INDEX(properties!A$1:CB$87,'Fórmula'!H45,19))+'Fórmula'!K45*(INDEX(properties!A$1:CB$87,'Fórmula'!J45,19))</f>
        <v>24</v>
      </c>
      <c r="BL45" s="111">
        <f t="array" ref="BL45">VARP(IF(INDEX(properties!A$1:CB$87,'Fórmula'!B45,19)&lt;&gt;"",INDEX(properties!A$1:CB$87,'Fórmula'!B45,19)),IF(INDEX(properties!A$1:CB$87,'Fórmula'!D45,19)&lt;&gt;"",INDEX(properties!A$1:CB$87,'Fórmula'!D45,19)),IF(INDEX(properties!A$1:CB$87,'Fórmula'!F45,19)&lt;&gt;"",INDEX(properties!A$1:CB$87,'Fórmula'!F45,19)),IF(INDEX(properties!A$1:CB$87,'Fórmula'!H45,19)&lt;&gt;"",INDEX(properties!A$1:CB$87,'Fórmula'!H45,19)),IF(INDEX(properties!A$1:CB$87,'Fórmula'!J45,19)&lt;&gt;"",INDEX(properties!A$1:CB$87,'Fórmula'!J45,19)))</f>
        <v>5.76</v>
      </c>
      <c r="BM45" s="111">
        <f t="array" ref="BM45">MAX(INDEX(properties!A$1:CB$87,'Fórmula'!B45,19),INDEX(properties!A$1:CB$87,'Fórmula'!D45,19),INDEX(properties!A$1:CB$87,'Fórmula'!F45,19),INDEX(properties!A$1:CB$87,'Fórmula'!H45,19),INDEX(properties!A$1:CB$87,'Fórmula'!J45,19))</f>
        <v>6</v>
      </c>
      <c r="BN45" s="111">
        <f t="array" ref="BN45">MIN(IF(INDEX(properties!A$1:CB$87,'Fórmula'!B45,19)=0,10^6,INDEX(properties!A$1:CB$87,'Fórmula'!B45,19)),IF(INDEX(properties!A$1:CB$87,'Fórmula'!D45,19)=0,10^6,INDEX(properties!A$1:CB$87,'Fórmula'!D45,19)),IF(INDEX(properties!A$1:CB$87,'Fórmula'!F45,19)=0,10^6,INDEX(properties!A$1:CB$87,'Fórmula'!F45,19)),IF(INDEX(properties!A$1:CB$87,'Fórmula'!H45,19)=0,10^6,INDEX(properties!A$1:CB$87,'Fórmula'!H45,19)),IF(INDEX(properties!A$1:CB$87,'Fórmula'!J45,19)=0,10^6,INDEX(properties!A$1:CB$87,'Fórmula'!J45,19)))</f>
        <v>3</v>
      </c>
      <c r="BO45" s="111">
        <f t="shared" si="11"/>
        <v>3</v>
      </c>
      <c r="BP45" s="112">
        <f t="array" ref="BP45">(('Fórmula'!C45)/('Fórmula'!C45+'Fórmula'!E45+'Fórmula'!G45+'Fórmula'!I45+'Fórmula'!K45))*(INDEX(properties!A$1:CB$87,'Fórmula'!B45,20))+(('Fórmula'!E45)/('Fórmula'!C45+'Fórmula'!E45+'Fórmula'!G45+'Fórmula'!I45+'Fórmula'!K45))*(INDEX(properties!A$1:CB$87,'Fórmula'!D45,20))+(('Fórmula'!G45)/('Fórmula'!C45+'Fórmula'!E45+'Fórmula'!G45+'Fórmula'!I45+'Fórmula'!K45))*(INDEX(properties!A$1:CB$87,'Fórmula'!F45,20))+(('Fórmula'!I45)/('Fórmula'!C45+'Fórmula'!E45+'Fórmula'!G45+'Fórmula'!I45+'Fórmula'!K45))*(INDEX(properties!A$1:CB$87,'Fórmula'!H45,20))+(('Fórmula'!K45)/('Fórmula'!C45+'Fórmula'!E45+'Fórmula'!G45+'Fórmula'!I45+'Fórmula'!K45))*(INDEX(properties!A$1:CB$87,'Fórmula'!J45,20))</f>
        <v>4.8</v>
      </c>
      <c r="BQ45" s="112">
        <f t="array" ref="BQ45">'Fórmula'!C45*(INDEX(properties!A$1:CB$87,'Fórmula'!B45,20))+'Fórmula'!E45*(INDEX(properties!A$1:CB$87,'Fórmula'!D45,20))+'Fórmula'!G45*(INDEX(properties!A$1:CB$87,'Fórmula'!F45,20))+'Fórmula'!I45*(INDEX(properties!A$1:CB$87,'Fórmula'!H45,20))+'Fórmula'!K45*(INDEX(properties!A$1:CB$87,'Fórmula'!J45,20))</f>
        <v>24</v>
      </c>
      <c r="BR45" s="112">
        <f t="array" ref="BR45">VARP(IF(INDEX(properties!A$1:CB$87,'Fórmula'!B45,20)&lt;&gt;"",INDEX(properties!A$1:CB$87,'Fórmula'!B45,20)),IF(INDEX(properties!A$1:CB$87,'Fórmula'!D45,20)&lt;&gt;"",INDEX(properties!A$1:CB$87,'Fórmula'!D45,20)),IF(INDEX(properties!A$1:CB$87,'Fórmula'!F45,20)&lt;&gt;"",INDEX(properties!A$1:CB$87,'Fórmula'!F45,20)),IF(INDEX(properties!A$1:CB$87,'Fórmula'!H45,20)&lt;&gt;"",INDEX(properties!A$1:CB$87,'Fórmula'!H45,20)),IF(INDEX(properties!A$1:CB$87,'Fórmula'!J45,20)&lt;&gt;"",INDEX(properties!A$1:CB$87,'Fórmula'!J45,20)))</f>
        <v>5.76</v>
      </c>
      <c r="BS45" s="112">
        <f t="array" ref="BS45">MAX(INDEX(properties!A$1:CB$87,'Fórmula'!B45,20),INDEX(properties!A$1:CB$87,'Fórmula'!D45,20),INDEX(properties!A$1:CB$87,'Fórmula'!F45,20),INDEX(properties!A$1:CB$87,'Fórmula'!H45,20),INDEX(properties!A$1:CB$87,'Fórmula'!J45,20))</f>
        <v>6</v>
      </c>
      <c r="BT45" s="112">
        <f t="array" ref="BT45">MIN(IF(INDEX(properties!A$1:CB$87,'Fórmula'!B45,20)=0,10^6,INDEX(properties!A$1:CB$87,'Fórmula'!B45,20)),IF(INDEX(properties!A$1:CB$87,'Fórmula'!D45,20)=0,10^6,INDEX(properties!A$1:CB$87,'Fórmula'!D45,20)),IF(INDEX(properties!A$1:CB$87,'Fórmula'!F45,20)=0,10^6,INDEX(properties!A$1:CB$87,'Fórmula'!F45,20)),IF(INDEX(properties!A$1:CB$87,'Fórmula'!H45,20)=0,10^6,INDEX(properties!A$1:CB$87,'Fórmula'!H45,20)),IF(INDEX(properties!A$1:CB$87,'Fórmula'!J45,20)=0,10^6,INDEX(properties!A$1:CB$87,'Fórmula'!J45,20)))</f>
        <v>3</v>
      </c>
      <c r="BU45" s="112">
        <f t="shared" si="12"/>
        <v>3</v>
      </c>
      <c r="BV45" s="113">
        <f t="array" ref="BV45">(('Fórmula'!C45)/('Fórmula'!C45+'Fórmula'!E45+'Fórmula'!G45+'Fórmula'!I45+'Fórmula'!K45))*(INDEX(properties!A$1:CB$87,'Fórmula'!B45,21))+(('Fórmula'!E45)/('Fórmula'!C45+'Fórmula'!E45+'Fórmula'!G45+'Fórmula'!I45+'Fórmula'!K45))*(INDEX(properties!A$1:CB$87,'Fórmula'!D45,21))+(('Fórmula'!G45)/('Fórmula'!C45+'Fórmula'!E45+'Fórmula'!G45+'Fórmula'!I45+'Fórmula'!K45))*(INDEX(properties!A$1:CB$87,'Fórmula'!F45,21))+(('Fórmula'!I45)/('Fórmula'!C45+'Fórmula'!E45+'Fórmula'!G45+'Fórmula'!I45+'Fórmula'!K45))*(INDEX(properties!A$1:CB$87,'Fórmula'!H45,21))+(('Fórmula'!K45)/('Fórmula'!C45+'Fórmula'!E45+'Fórmula'!G45+'Fórmula'!I45+'Fórmula'!K45))*(INDEX(properties!A$1:CB$87,'Fórmula'!J45,21))</f>
        <v>4.8</v>
      </c>
      <c r="BW45" s="113">
        <f t="array" ref="BW45">'Fórmula'!C45*(INDEX(properties!A$1:CB$87,'Fórmula'!B45,21))+'Fórmula'!E45*(INDEX(properties!A$1:CB$87,'Fórmula'!D45,21))+'Fórmula'!G45*(INDEX(properties!A$1:CB$87,'Fórmula'!F45,21))+'Fórmula'!I45*(INDEX(properties!A$1:CB$87,'Fórmula'!H45,21))+'Fórmula'!K45*(INDEX(properties!A$1:CB$87,'Fórmula'!J45,21))</f>
        <v>24</v>
      </c>
      <c r="BX45" s="113">
        <f t="array" ref="BX45">VARP(IF(INDEX(properties!A$1:CB$87,'Fórmula'!B45,21)&lt;&gt;"",INDEX(properties!A$1:CB$87,'Fórmula'!B45,21)),IF(INDEX(properties!A$1:CB$87,'Fórmula'!D45,21)&lt;&gt;"",INDEX(properties!A$1:CB$87,'Fórmula'!D45,21)),IF(INDEX(properties!A$1:CB$87,'Fórmula'!F45,21)&lt;&gt;"",INDEX(properties!A$1:CB$87,'Fórmula'!F45,21)),IF(INDEX(properties!A$1:CB$87,'Fórmula'!H45,21)&lt;&gt;"",INDEX(properties!A$1:CB$87,'Fórmula'!H45,21)),IF(INDEX(properties!A$1:CB$87,'Fórmula'!J45,21)&lt;&gt;"",INDEX(properties!A$1:CB$87,'Fórmula'!J45,21)))</f>
        <v>5.76</v>
      </c>
      <c r="BY45" s="113">
        <f t="array" ref="BY45">MAX(INDEX(properties!A$1:CB$87,'Fórmula'!B45,21),INDEX(properties!A$1:CB$87,'Fórmula'!D45,21),INDEX(properties!A$1:CB$87,'Fórmula'!F45,21),INDEX(properties!A$1:CB$87,'Fórmula'!H45,21),INDEX(properties!A$1:CB$87,'Fórmula'!J45,21))</f>
        <v>6</v>
      </c>
      <c r="BZ45" s="113">
        <f t="array" ref="BZ45">MIN(IF(INDEX(properties!A$1:CB$87,'Fórmula'!B45,21)=0,10^6,INDEX(properties!A$1:CB$87,'Fórmula'!B45,21)),IF(INDEX(properties!A$1:CB$87,'Fórmula'!D45,21)=0,10^6,INDEX(properties!A$1:CB$87,'Fórmula'!D45,21)),IF(INDEX(properties!A$1:CB$87,'Fórmula'!F45,21)=0,10^6,INDEX(properties!A$1:CB$87,'Fórmula'!F45,21)),IF(INDEX(properties!A$1:CB$87,'Fórmula'!H45,21)=0,10^6,INDEX(properties!A$1:CB$87,'Fórmula'!H45,21)),IF(INDEX(properties!A$1:CB$87,'Fórmula'!J45,21)=0,10^6,INDEX(properties!A$1:CB$87,'Fórmula'!J45,21)))</f>
        <v>3</v>
      </c>
      <c r="CA45" s="113">
        <f t="shared" si="13"/>
        <v>3</v>
      </c>
      <c r="CB45" s="114">
        <f t="array" ref="CB45">(('Fórmula'!C45)/('Fórmula'!C45+'Fórmula'!E45+'Fórmula'!G45+'Fórmula'!I45+'Fórmula'!K45))*(INDEX(properties!A$1:CB$87,'Fórmula'!B45,23))+(('Fórmula'!E45)/('Fórmula'!C45+'Fórmula'!E45+'Fórmula'!G45+'Fórmula'!I45+'Fórmula'!K45))*(INDEX(properties!A$1:CB$87,'Fórmula'!D45,23))+(('Fórmula'!G45)/('Fórmula'!C45+'Fórmula'!E45+'Fórmula'!G45+'Fórmula'!I45+'Fórmula'!K45))*(INDEX(properties!A$1:CB$87,'Fórmula'!F45,23))+(('Fórmula'!I45)/('Fórmula'!C45+'Fórmula'!E45+'Fórmula'!G45+'Fórmula'!I45+'Fórmula'!K45))*(INDEX(properties!A$1:CB$87,'Fórmula'!H45,23))+(('Fórmula'!K45)/('Fórmula'!C45+'Fórmula'!E45+'Fórmula'!G45+'Fórmula'!I45+'Fórmula'!K45))*(INDEX(properties!A$1:CB$87,'Fórmula'!J45,23))</f>
        <v>1.2</v>
      </c>
      <c r="CC45" s="114">
        <f t="array" ref="CC45">'Fórmula'!C45*(INDEX(properties!A$1:CB$87,'Fórmula'!B45,23))+'Fórmula'!E45*(INDEX(properties!A$1:CB$87,'Fórmula'!D45,23))+'Fórmula'!G45*(INDEX(properties!A$1:CB$87,'Fórmula'!F45,23))+'Fórmula'!I45*(INDEX(properties!A$1:CB$87,'Fórmula'!H45,23))+'Fórmula'!K45*(INDEX(properties!A$1:CB$87,'Fórmula'!J45,23))</f>
        <v>6</v>
      </c>
      <c r="CD45" s="114">
        <f t="array" ref="CD45">VARP(IF(INDEX(properties!A$1:CB$87,'Fórmula'!B45,23)&lt;&gt;"",INDEX(properties!A$1:CB$87,'Fórmula'!B45,23)),IF(INDEX(properties!A$1:CB$87,'Fórmula'!D45,23)&lt;&gt;"",INDEX(properties!A$1:CB$87,'Fórmula'!D45,23)),IF(INDEX(properties!A$1:CB$87,'Fórmula'!F45,23)&lt;&gt;"",INDEX(properties!A$1:CB$87,'Fórmula'!F45,23)),IF(INDEX(properties!A$1:CB$87,'Fórmula'!H45,23)&lt;&gt;"",INDEX(properties!A$1:CB$87,'Fórmula'!H45,23)),IF(INDEX(properties!A$1:CB$87,'Fórmula'!J45,23)&lt;&gt;"",INDEX(properties!A$1:CB$87,'Fórmula'!J45,23)))</f>
        <v>1.44</v>
      </c>
      <c r="CE45" s="114">
        <f t="array" ref="CE45">MAX(INDEX(properties!A$1:CB$87,'Fórmula'!B45,23),INDEX(properties!A$1:CB$87,'Fórmula'!D45,23),INDEX(properties!A$1:CB$87,'Fórmula'!F45,23),INDEX(properties!A$1:CB$87,'Fórmula'!H45,23),INDEX(properties!A$1:CB$87,'Fórmula'!J45,23))</f>
        <v>3</v>
      </c>
      <c r="CF45" s="114">
        <f t="array" ref="CF45">MIN(IF('Fórmula'!B45=87,10^6,INDEX(properties!A$1:CB$87,'Fórmula'!B45,23)),IF(('Fórmula'!D45)=87,10^6,INDEX(properties!A$1:CB$87,'Fórmula'!D45,23)),IF(('Fórmula'!F45)=87,10^6,INDEX(properties!A$1:CB$87,'Fórmula'!F45,23)),IF(('Fórmula'!H45)=87,10^6,INDEX(properties!A$1:CB$87,'Fórmula'!H45,23)),IF('Fórmula'!J45=87,10^6,INDEX(properties!A$1:CB$87,'Fórmula'!J45,23)))</f>
        <v>0</v>
      </c>
      <c r="CG45" s="114">
        <f t="shared" si="14"/>
        <v>3</v>
      </c>
      <c r="CH45" s="115">
        <f t="array" ref="CH45">(('Fórmula'!C45)/('Fórmula'!C45+'Fórmula'!E45+'Fórmula'!G45+'Fórmula'!I45+'Fórmula'!K45))*(INDEX(properties!A$1:CB$87,'Fórmula'!B45,26))+(('Fórmula'!E45)/('Fórmula'!C45+'Fórmula'!E45+'Fórmula'!G45+'Fórmula'!I45+'Fórmula'!K45))*(INDEX(properties!A$1:CB$87,'Fórmula'!D45,26))+(('Fórmula'!G45)/('Fórmula'!C45+'Fórmula'!E45+'Fórmula'!G45+'Fórmula'!I45+'Fórmula'!K45))*(INDEX(properties!A$1:CB$87,'Fórmula'!F45,26))+(('Fórmula'!I45)/('Fórmula'!C45+'Fórmula'!E45+'Fórmula'!G45+'Fórmula'!I45+'Fórmula'!K45))*(INDEX(properties!A$1:CB$87,'Fórmula'!H45,26))+(('Fórmula'!K45)/('Fórmula'!C45+'Fórmula'!E45+'Fórmula'!G45+'Fórmula'!I45+'Fórmula'!K45))*(INDEX(properties!A$1:CB$87,'Fórmula'!J45,26))</f>
        <v>10.56518</v>
      </c>
      <c r="CI45" s="115">
        <f t="array" ref="CI45">'Fórmula'!C45*(INDEX(properties!A$1:CB$87,'Fórmula'!B45,26))+'Fórmula'!E45*(INDEX(properties!A$1:CB$87,'Fórmula'!D45,26))+'Fórmula'!G45*(INDEX(properties!A$1:CB$87,'Fórmula'!F45,26))+'Fórmula'!I45*(INDEX(properties!A$1:CB$87,'Fórmula'!H45,26))+'Fórmula'!K45*(INDEX(properties!A$1:CB$87,'Fórmula'!J45,26))</f>
        <v>52.8259</v>
      </c>
      <c r="CJ45" s="115">
        <f t="array" ref="CJ45">VARP(IF(INDEX(properties!A$1:CB$87,'Fórmula'!B45,26)&lt;&gt;"",INDEX(properties!A$1:CB$87,'Fórmula'!B45,26)),IF(INDEX(properties!A$1:CB$87,'Fórmula'!D45,26)&lt;&gt;"",INDEX(properties!A$1:CB$87,'Fórmula'!D45,26)),IF(INDEX(properties!A$1:CB$87,'Fórmula'!F45,26)&lt;&gt;"",INDEX(properties!A$1:CB$87,'Fórmula'!F45,26)),IF(INDEX(properties!A$1:CB$87,'Fórmula'!H45,26)&lt;&gt;"",INDEX(properties!A$1:CB$87,'Fórmula'!H45,26)),IF(INDEX(properties!A$1:CB$87,'Fórmula'!J45,26)&lt;&gt;"",INDEX(properties!A$1:CB$87,'Fórmula'!J45,26)))</f>
        <v>28.88397404</v>
      </c>
      <c r="CK45" s="116">
        <f t="array" ref="CK45">MAX(INDEX(properties!A$1:CB$87,'Fórmula'!B45,26),INDEX(properties!A$1:CB$87,'Fórmula'!D45,26),INDEX(properties!A$1:CB$87,'Fórmula'!F45,26),INDEX(properties!A$1:CB$87,'Fórmula'!H45,26),INDEX(properties!A$1:CB$87,'Fórmula'!J45,26))</f>
        <v>13.6181</v>
      </c>
      <c r="CL45" s="116">
        <f t="array" ref="CL45">MIN(IF(INDEX(properties!A$1:CB$87,'Fórmula'!B45,26)=0,10^6,INDEX(properties!A$1:CB$87,'Fórmula'!B45,26)),IF(INDEX(properties!A$1:CB$87,'Fórmula'!D45,26)=0,10^6,INDEX(properties!A$1:CB$87,'Fórmula'!D45,26)),IF(INDEX(properties!A$1:CB$87,'Fórmula'!F45,26)=0,10^6,INDEX(properties!A$1:CB$87,'Fórmula'!F45,26)),IF(INDEX(properties!A$1:CB$87,'Fórmula'!H45,26)=0,10^6,INDEX(properties!A$1:CB$87,'Fórmula'!H45,26)),IF(INDEX(properties!A$1:CB$87,'Fórmula'!J45,26)=0,10^6,INDEX(properties!A$1:CB$87,'Fórmula'!J45,26)))</f>
        <v>5.9858</v>
      </c>
      <c r="CM45" s="115">
        <f t="shared" si="15"/>
        <v>7.6323</v>
      </c>
      <c r="CN45" s="117">
        <f t="array" ref="CN45">(('Fórmula'!C45)/('Fórmula'!C45+'Fórmula'!E45+'Fórmula'!G45+'Fórmula'!I45+'Fórmula'!K45))*(INDEX(properties!A$1:CB$87,'Fórmula'!B45,30))+(('Fórmula'!E45)/('Fórmula'!C45+'Fórmula'!E45+'Fórmula'!G45+'Fórmula'!I45+'Fórmula'!K45))*(INDEX(properties!A$1:CB$87,'Fórmula'!D45,30))+(('Fórmula'!G45)/('Fórmula'!C45+'Fórmula'!E45+'Fórmula'!G45+'Fórmula'!I45+'Fórmula'!K45))*(INDEX(properties!A$1:CB$87,'Fórmula'!F45,30))+(('Fórmula'!I45)/('Fórmula'!C45+'Fórmula'!E45+'Fórmula'!G45+'Fórmula'!I45+'Fórmula'!K45))*(INDEX(properties!A$1:CB$87,'Fórmula'!H45,30))+(('Fórmula'!K45)/('Fórmula'!C45+'Fórmula'!E45+'Fórmula'!G45+'Fórmula'!I45+'Fórmula'!K45))*(INDEX(properties!A$1:CB$87,'Fórmula'!J45,30))</f>
        <v>2.708</v>
      </c>
      <c r="CO45" s="117">
        <f t="array" ref="CO45">'Fórmula'!C45*(INDEX(properties!A$1:CB$87,'Fórmula'!B45,30))+'Fórmula'!E45*(INDEX(properties!A$1:CB$87,'Fórmula'!D45,30))+'Fórmula'!G45*(INDEX(properties!A$1:CB$87,'Fórmula'!F45,30))+'Fórmula'!I45*(INDEX(properties!A$1:CB$87,'Fórmula'!H45,30))+'Fórmula'!K45*(INDEX(properties!A$1:CB$87,'Fórmula'!J45,30))</f>
        <v>13.54</v>
      </c>
      <c r="CP45" s="117">
        <f t="array" ref="CP45">VARP(IF(INDEX(properties!A$1:CB$87,'Fórmula'!B45,30)&lt;&gt;"",INDEX(properties!A$1:CB$87,'Fórmula'!B45,30)),IF(INDEX(properties!A$1:CB$87,'Fórmula'!D45,30)&lt;&gt;"",INDEX(properties!A$1:CB$87,'Fórmula'!D45,30)),IF(INDEX(properties!A$1:CB$87,'Fórmula'!F45,30)&lt;&gt;"",INDEX(properties!A$1:CB$87,'Fórmula'!F45,30)),IF(INDEX(properties!A$1:CB$87,'Fórmula'!H45,30)&lt;&gt;"",INDEX(properties!A$1:CB$87,'Fórmula'!H45,30)),IF(INDEX(properties!A$1:CB$87,'Fórmula'!J45,30)&lt;&gt;"",INDEX(properties!A$1:CB$87,'Fórmula'!J45,30)))</f>
        <v>1.86504</v>
      </c>
      <c r="CQ45" s="117">
        <f t="array" ref="CQ45">MAX(INDEX(properties!A$1:CB$87,'Fórmula'!B45,30),INDEX(properties!A$1:CB$87,'Fórmula'!D45,30),INDEX(properties!A$1:CB$87,'Fórmula'!F45,30),INDEX(properties!A$1:CB$87,'Fórmula'!H45,30),INDEX(properties!A$1:CB$87,'Fórmula'!J45,30))</f>
        <v>3.44</v>
      </c>
      <c r="CR45" s="117">
        <f t="array" ref="CR45">MIN(IF(INDEX(properties!A$1:CB$87,'Fórmula'!B45,30)=0,10^6,INDEX(properties!A$1:CB$87,'Fórmula'!B45,30)),IF(INDEX(properties!A$1:CB$87,'Fórmula'!D45,30)=0,10^6,INDEX(properties!A$1:CB$87,'Fórmula'!D45,30)),IF(INDEX(properties!A$1:CB$87,'Fórmula'!F45,30)=0,10^6,INDEX(properties!A$1:CB$87,'Fórmula'!F45,30)),IF(INDEX(properties!A$1:CB$87,'Fórmula'!H45,30)=0,10^6,INDEX(properties!A$1:CB$87,'Fórmula'!H45,30)),IF(INDEX(properties!A$1:CB$87,'Fórmula'!J45,30)=0,10^6,INDEX(properties!A$1:CB$87,'Fórmula'!J45,30)))</f>
        <v>1.61</v>
      </c>
      <c r="CS45" s="117">
        <f t="shared" si="16"/>
        <v>1.83</v>
      </c>
      <c r="CT45" s="118">
        <f t="array" ref="CT45">(('Fórmula'!C45)/('Fórmula'!C45+'Fórmula'!E45+'Fórmula'!G45+'Fórmula'!I45+'Fórmula'!K45))*(INDEX(properties!A$1:CB$87,'Fórmula'!B45,31))+(('Fórmula'!E45)/('Fórmula'!C45+'Fórmula'!E45+'Fórmula'!G45+'Fórmula'!I45+'Fórmula'!K45))*(INDEX(properties!A$1:CB$87,'Fórmula'!D45,31))+(('Fórmula'!G45)/('Fórmula'!C45+'Fórmula'!E45+'Fórmula'!G45+'Fórmula'!I45+'Fórmula'!K45))*(INDEX(properties!A$1:CB$87,'Fórmula'!F45,31))+(('Fórmula'!I45)/('Fórmula'!C45+'Fórmula'!E45+'Fórmula'!G45+'Fórmula'!I45+'Fórmula'!K45))*(INDEX(properties!A$1:CB$87,'Fórmula'!H45,31))+(('Fórmula'!K45)/('Fórmula'!C45+'Fórmula'!E45+'Fórmula'!G45+'Fórmula'!I45+'Fórmula'!K45))*(INDEX(properties!A$1:CB$87,'Fórmula'!J45,31))</f>
        <v>2.648</v>
      </c>
      <c r="CU45" s="118">
        <f t="array" ref="CU45">'Fórmula'!C45*(INDEX(properties!A$1:CB$87,'Fórmula'!B45,31))+'Fórmula'!E45*(INDEX(properties!A$1:CB$87,'Fórmula'!D45,31))+'Fórmula'!G45*(INDEX(properties!A$1:CB$87,'Fórmula'!F45,31))+'Fórmula'!I45*(INDEX(properties!A$1:CB$87,'Fórmula'!H45,31))+'Fórmula'!K45*(INDEX(properties!A$1:CB$87,'Fórmula'!J45,31))</f>
        <v>13.24</v>
      </c>
      <c r="CV45" s="118">
        <f t="array" ref="CV45">VARP(IF(INDEX(properties!A$1:CB$87,'Fórmula'!B45,31)&lt;&gt;"",INDEX(properties!A$1:CB$87,'Fórmula'!B45,31)),IF(INDEX(properties!A$1:CB$87,'Fórmula'!D45,31)&lt;&gt;"",INDEX(properties!A$1:CB$87,'Fórmula'!D45,31)),IF(INDEX(properties!A$1:CB$87,'Fórmula'!F45,31)&lt;&gt;"",INDEX(properties!A$1:CB$87,'Fórmula'!F45,31)),IF(INDEX(properties!A$1:CB$87,'Fórmula'!H45,31)&lt;&gt;"",INDEX(properties!A$1:CB$87,'Fórmula'!H45,31)),IF(INDEX(properties!A$1:CB$87,'Fórmula'!J45,31)&lt;&gt;"",INDEX(properties!A$1:CB$87,'Fórmula'!J45,31)))</f>
        <v>1.758336</v>
      </c>
      <c r="CW45" s="118">
        <f t="array" ref="CW45">MAX(INDEX(properties!A$1:CB$87,'Fórmula'!B45,31),INDEX(properties!A$1:CB$87,'Fórmula'!D45,31),INDEX(properties!A$1:CB$87,'Fórmula'!F45,31),INDEX(properties!A$1:CB$87,'Fórmula'!H45,31),INDEX(properties!A$1:CB$87,'Fórmula'!J45,31))</f>
        <v>3.32</v>
      </c>
      <c r="CX45" s="118">
        <f t="array" ref="CX45">MIN(IF(INDEX(properties!A$1:CB$87,'Fórmula'!B45,31)=0,10^6,INDEX(properties!A$1:CB$87,'Fórmula'!B45,31)),IF(INDEX(properties!A$1:CB$87,'Fórmula'!D45,31)=0,10^6,INDEX(properties!A$1:CB$87,'Fórmula'!D45,31)),IF(INDEX(properties!A$1:CB$87,'Fórmula'!F45,31)=0,10^6,INDEX(properties!A$1:CB$87,'Fórmula'!F45,31)),IF(INDEX(properties!A$1:CB$87,'Fórmula'!H45,31)=0,10^6,INDEX(properties!A$1:CB$87,'Fórmula'!H45,31)),IF(INDEX(properties!A$1:CB$87,'Fórmula'!J45,31)=0,10^6,INDEX(properties!A$1:CB$87,'Fórmula'!J45,31)))</f>
        <v>1.64</v>
      </c>
      <c r="CY45" s="118">
        <f t="shared" si="17"/>
        <v>1.68</v>
      </c>
      <c r="CZ45" s="119">
        <f t="array" ref="CZ45">(('Fórmula'!C45)/('Fórmula'!C45+'Fórmula'!E45+'Fórmula'!G45+'Fórmula'!I45+'Fórmula'!K45))*(INDEX(properties!A$1:CB$87,'Fórmula'!B45,32))+(('Fórmula'!E45)/('Fórmula'!C45+'Fórmula'!E45+'Fórmula'!G45+'Fórmula'!I45+'Fórmula'!K45))*(INDEX(properties!A$1:CB$87,'Fórmula'!D45,32))+(('Fórmula'!G45)/('Fórmula'!C45+'Fórmula'!E45+'Fórmula'!G45+'Fórmula'!I45+'Fórmula'!K45))*(INDEX(properties!A$1:CB$87,'Fórmula'!F45,32))+(('Fórmula'!I45)/('Fórmula'!C45+'Fórmula'!E45+'Fórmula'!G45+'Fórmula'!I45+'Fórmula'!K45))*(INDEX(properties!A$1:CB$87,'Fórmula'!H45,32))+(('Fórmula'!K45)/('Fórmula'!C45+'Fórmula'!E45+'Fórmula'!G45+'Fórmula'!I45+'Fórmula'!K45))*(INDEX(properties!A$1:CB$87,'Fórmula'!J45,32))</f>
        <v>5.816</v>
      </c>
      <c r="DA45" s="119">
        <f t="array" ref="DA45">'Fórmula'!C45*(INDEX(properties!A$1:CB$87,'Fórmula'!B45,32))+'Fórmula'!E45*(INDEX(properties!A$1:CB$87,'Fórmula'!D45,32))+'Fórmula'!G45*(INDEX(properties!A$1:CB$87,'Fórmula'!F45,32))+'Fórmula'!I45*(INDEX(properties!A$1:CB$87,'Fórmula'!H45,32))+'Fórmula'!K45*(INDEX(properties!A$1:CB$87,'Fórmula'!J45,32))</f>
        <v>29.08</v>
      </c>
      <c r="DB45" s="119">
        <f t="array" ref="DB45">VARP(IF(INDEX(properties!A$1:CB$87,'Fórmula'!B45,32)&lt;&gt;"",INDEX(properties!A$1:CB$87,'Fórmula'!B45,32)),IF(INDEX(properties!A$1:CB$87,'Fórmula'!D45,32)&lt;&gt;"",INDEX(properties!A$1:CB$87,'Fórmula'!D45,32)),IF(INDEX(properties!A$1:CB$87,'Fórmula'!F45,32)&lt;&gt;"",INDEX(properties!A$1:CB$87,'Fórmula'!F45,32)),IF(INDEX(properties!A$1:CB$87,'Fórmula'!H45,32)&lt;&gt;"",INDEX(properties!A$1:CB$87,'Fórmula'!H45,32)),IF(INDEX(properties!A$1:CB$87,'Fórmula'!J45,32)&lt;&gt;"",INDEX(properties!A$1:CB$87,'Fórmula'!J45,32)))</f>
        <v>8.817184</v>
      </c>
      <c r="DC45" s="119">
        <f t="array" ref="DC45">MAX(INDEX(properties!A$1:CB$87,'Fórmula'!B45,32),INDEX(properties!A$1:CB$87,'Fórmula'!D45,32),INDEX(properties!A$1:CB$87,'Fórmula'!F45,32),INDEX(properties!A$1:CB$87,'Fórmula'!H45,32),INDEX(properties!A$1:CB$87,'Fórmula'!J45,32))</f>
        <v>7.54</v>
      </c>
      <c r="DD45" s="119">
        <f t="array" ref="DD45">MIN(IF(INDEX(properties!A$1:CB$87,'Fórmula'!B45,32)=0,10^6,INDEX(properties!A$1:CB$87,'Fórmula'!B45,32)),IF(INDEX(properties!A$1:CB$87,'Fórmula'!D45,32)=0,10^6,INDEX(properties!A$1:CB$87,'Fórmula'!D45,32)),IF(INDEX(properties!A$1:CB$87,'Fórmula'!F45,32)=0,10^6,INDEX(properties!A$1:CB$87,'Fórmula'!F45,32)),IF(INDEX(properties!A$1:CB$87,'Fórmula'!H45,32)=0,10^6,INDEX(properties!A$1:CB$87,'Fórmula'!H45,32)),IF(INDEX(properties!A$1:CB$87,'Fórmula'!J45,32)=0,10^6,INDEX(properties!A$1:CB$87,'Fórmula'!J45,32)))</f>
        <v>3.23</v>
      </c>
      <c r="DE45" s="119">
        <f t="shared" si="18"/>
        <v>4.31</v>
      </c>
      <c r="DF45" s="104">
        <f t="array" ref="DF45">(('Fórmula'!C45)/('Fórmula'!C45+'Fórmula'!E45+'Fórmula'!G45+'Fórmula'!I45+'Fórmula'!K45))*(INDEX(properties!A$1:CB$87,'Fórmula'!B45,34))+(('Fórmula'!E45)/('Fórmula'!C45+'Fórmula'!E45+'Fórmula'!G45+'Fórmula'!I45+'Fórmula'!K45))*(INDEX(properties!A$1:CB$87,'Fórmula'!D45,34))+(('Fórmula'!G45)/('Fórmula'!C45+'Fórmula'!E45+'Fórmula'!G45+'Fórmula'!I45+'Fórmula'!K45))*(INDEX(properties!A$1:CB$87,'Fórmula'!F45,34))+(('Fórmula'!I45)/('Fórmula'!C45+'Fórmula'!E45+'Fórmula'!G45+'Fórmula'!I45+'Fórmula'!K45))*(INDEX(properties!A$1:CB$87,'Fórmula'!H45,34))+(('Fórmula'!K45)/('Fórmula'!C45+'Fórmula'!E45+'Fórmula'!G45+'Fórmula'!I45+'Fórmula'!K45))*(INDEX(properties!A$1:CB$87,'Fórmula'!J45,34))</f>
        <v>2.8112</v>
      </c>
      <c r="DG45" s="104">
        <f t="array" ref="DG45">'Fórmula'!C45*(INDEX(properties!A$1:CB$87,'Fórmula'!B45,34))+'Fórmula'!E45*(INDEX(properties!A$1:CB$87,'Fórmula'!D45,34))+'Fórmula'!G45*(INDEX(properties!A$1:CB$87,'Fórmula'!F45,34))+'Fórmula'!I45*(INDEX(properties!A$1:CB$87,'Fórmula'!H45,34))+'Fórmula'!K45*(INDEX(properties!A$1:CB$87,'Fórmula'!J45,34))</f>
        <v>14.056</v>
      </c>
      <c r="DH45" s="104">
        <f t="array" ref="DH45">VARP(IF(INDEX(properties!A$1:CB$87,'Fórmula'!B45,34)&lt;&gt;"",INDEX(properties!A$1:CB$87,'Fórmula'!B45,34)),IF(INDEX(properties!A$1:CB$87,'Fórmula'!D45,34)&lt;&gt;"",INDEX(properties!A$1:CB$87,'Fórmula'!D45,34)),IF(INDEX(properties!A$1:CB$87,'Fórmula'!F45,34)&lt;&gt;"",INDEX(properties!A$1:CB$87,'Fórmula'!F45,34)),IF(INDEX(properties!A$1:CB$87,'Fórmula'!H45,34)&lt;&gt;"",INDEX(properties!A$1:CB$87,'Fórmula'!H45,34)),IF(INDEX(properties!A$1:CB$87,'Fórmula'!J45,34)&lt;&gt;"",INDEX(properties!A$1:CB$87,'Fórmula'!J45,34)))</f>
        <v>2.03558464</v>
      </c>
      <c r="DI45" s="104">
        <f t="array" ref="DI45">MAX(INDEX(properties!A$1:CB$87,'Fórmula'!B45,34),INDEX(properties!A$1:CB$87,'Fórmula'!D45,34),INDEX(properties!A$1:CB$87,'Fórmula'!F45,34),INDEX(properties!A$1:CB$87,'Fórmula'!H45,34),INDEX(properties!A$1:CB$87,'Fórmula'!J45,34))</f>
        <v>3.61</v>
      </c>
      <c r="DJ45" s="104">
        <f t="array" ref="DJ45">MIN(IF(INDEX(properties!A$1:CB$87,'Fórmula'!B45,34)=0,10^6,INDEX(properties!A$1:CB$87,'Fórmula'!B45,34)),IF(INDEX(properties!A$1:CB$87,'Fórmula'!D45,34)=0,10^6,INDEX(properties!A$1:CB$87,'Fórmula'!D45,34)),IF(INDEX(properties!A$1:CB$87,'Fórmula'!F45,34)=0,10^6,INDEX(properties!A$1:CB$87,'Fórmula'!F45,34)),IF(INDEX(properties!A$1:CB$87,'Fórmula'!H45,34)=0,10^6,INDEX(properties!A$1:CB$87,'Fórmula'!H45,34)),IF(INDEX(properties!A$1:CB$87,'Fórmula'!J45,34)=0,10^6,INDEX(properties!A$1:CB$87,'Fórmula'!J45,34)))</f>
        <v>1.613</v>
      </c>
      <c r="DK45" s="104">
        <f t="shared" si="19"/>
        <v>1.997</v>
      </c>
      <c r="DL45" s="105">
        <f t="array" ref="DL45">(('Fórmula'!C45)/('Fórmula'!C45+'Fórmula'!E45+'Fórmula'!G45+'Fórmula'!I45+'Fórmula'!K45))*(INDEX(properties!A$1:CB$87,'Fórmula'!B45,37))+(('Fórmula'!E45)/('Fórmula'!C45+'Fórmula'!E45+'Fórmula'!G45+'Fórmula'!I45+'Fórmula'!K45))*(INDEX(properties!A$1:CB$87,'Fórmula'!D45,37))+(('Fórmula'!G45)/('Fórmula'!C45+'Fórmula'!E45+'Fórmula'!G45+'Fórmula'!I45+'Fórmula'!K45))*(INDEX(properties!A$1:CB$87,'Fórmula'!F45,37))+(('Fórmula'!I45)/('Fórmula'!C45+'Fórmula'!E45+'Fórmula'!G45+'Fórmula'!I45+'Fórmula'!K45))*(INDEX(properties!A$1:CB$87,'Fórmula'!H45,37))+(('Fórmula'!K45)/('Fórmula'!C45+'Fórmula'!E45+'Fórmula'!G45+'Fórmula'!I45+'Fórmula'!K45))*(INDEX(properties!A$1:CB$87,'Fórmula'!J45,37))</f>
        <v>2.67</v>
      </c>
      <c r="DM45" s="105">
        <f t="array" ref="DM45">'Fórmula'!C45*(INDEX(properties!A$1:CB$87,'Fórmula'!B45,37))+'Fórmula'!E45*(INDEX(properties!A$1:CB$87,'Fórmula'!D45,37))+'Fórmula'!G45*(INDEX(properties!A$1:CB$87,'Fórmula'!F45,37))+'Fórmula'!I45*(INDEX(properties!A$1:CB$87,'Fórmula'!H45,37))+'Fórmula'!K45*(INDEX(properties!A$1:CB$87,'Fórmula'!J45,37))</f>
        <v>13.35</v>
      </c>
      <c r="DN45" s="105">
        <f t="array" ref="DN45">VARP(IF(INDEX(properties!A$1:CB$87,'Fórmula'!B45,37)&lt;&gt;"",INDEX(properties!A$1:CB$87,'Fórmula'!B45,37)),IF(INDEX(properties!A$1:CB$87,'Fórmula'!D45,37)&lt;&gt;"",INDEX(properties!A$1:CB$87,'Fórmula'!D45,37)),IF(INDEX(properties!A$1:CB$87,'Fórmula'!F45,37)&lt;&gt;"",INDEX(properties!A$1:CB$87,'Fórmula'!F45,37)),IF(INDEX(properties!A$1:CB$87,'Fórmula'!H45,37)&lt;&gt;"",INDEX(properties!A$1:CB$87,'Fórmula'!H45,37)),IF(INDEX(properties!A$1:CB$87,'Fórmula'!J45,37)&lt;&gt;"",INDEX(properties!A$1:CB$87,'Fórmula'!J45,37)))</f>
        <v>1.8504</v>
      </c>
      <c r="DO45" s="105">
        <f t="array" ref="DO45">MAX(INDEX(properties!A$1:CB$87,'Fórmula'!B45,37),INDEX(properties!A$1:CB$87,'Fórmula'!D45,37),INDEX(properties!A$1:CB$87,'Fórmula'!F45,37),INDEX(properties!A$1:CB$87,'Fórmula'!H45,37),INDEX(properties!A$1:CB$87,'Fórmula'!J45,37))</f>
        <v>3.45</v>
      </c>
      <c r="DP45" s="105">
        <f t="array" ref="DP45">MIN(IF(INDEX(properties!A$1:CB$87,'Fórmula'!B45,37)=0,10^6,INDEX(properties!A$1:CB$87,'Fórmula'!B45,37)),IF(INDEX(properties!A$1:CB$87,'Fórmula'!D45,37)=0,10^6,INDEX(properties!A$1:CB$87,'Fórmula'!D45,37)),IF(INDEX(properties!A$1:CB$87,'Fórmula'!F45,37)=0,10^6,INDEX(properties!A$1:CB$87,'Fórmula'!F45,37)),IF(INDEX(properties!A$1:CB$87,'Fórmula'!H45,37)=0,10^6,INDEX(properties!A$1:CB$87,'Fórmula'!H45,37)),IF(INDEX(properties!A$1:CB$87,'Fórmula'!J45,37)=0,10^6,INDEX(properties!A$1:CB$87,'Fórmula'!J45,37)))</f>
        <v>1.5</v>
      </c>
      <c r="DQ45" s="105">
        <f t="shared" si="20"/>
        <v>1.95</v>
      </c>
      <c r="DR45" s="109">
        <f t="array" ref="DR45">(('Fórmula'!C45)/('Fórmula'!C45+'Fórmula'!E45+'Fórmula'!G45+'Fórmula'!I45+'Fórmula'!K45))*(INDEX(properties!A$1:CB$87,'Fórmula'!B45,39))+(('Fórmula'!E45)/('Fórmula'!C45+'Fórmula'!E45+'Fórmula'!G45+'Fórmula'!I45+'Fórmula'!K45))*(INDEX(properties!A$1:CB$87,'Fórmula'!D45,39))+(('Fórmula'!G45)/('Fórmula'!C45+'Fórmula'!E45+'Fórmula'!G45+'Fórmula'!I45+'Fórmula'!K45))*(INDEX(properties!A$1:CB$87,'Fórmula'!F45,39))+(('Fórmula'!I45)/('Fórmula'!C45+'Fórmula'!E45+'Fórmula'!G45+'Fórmula'!I45+'Fórmula'!K45))*(INDEX(properties!A$1:CB$87,'Fórmula'!H45,39))+(('Fórmula'!K45)/('Fórmula'!C45+'Fórmula'!E45+'Fórmula'!G45+'Fórmula'!I45+'Fórmula'!K45))*(INDEX(properties!A$1:CB$87,'Fórmula'!J45,39))</f>
        <v>0.76</v>
      </c>
      <c r="DS45" s="109">
        <f t="array" ref="DS45">'Fórmula'!C45*(INDEX(properties!A$1:CB$87,'Fórmula'!B45,39))+'Fórmula'!E45*(INDEX(properties!A$1:CB$87,'Fórmula'!D45,39))+'Fórmula'!G45*(INDEX(properties!A$1:CB$87,'Fórmula'!F45,39))+'Fórmula'!I45*(INDEX(properties!A$1:CB$87,'Fórmula'!H45,39))+'Fórmula'!K45*(INDEX(properties!A$1:CB$87,'Fórmula'!J45,39))</f>
        <v>3.8</v>
      </c>
      <c r="DT45" s="109">
        <f t="array" ref="DT45">VARP(IF(INDEX(properties!A$1:CB$87,'Fórmula'!B45,39)&lt;&gt;"",INDEX(properties!A$1:CB$87,'Fórmula'!B45,39)),IF(INDEX(properties!A$1:CB$87,'Fórmula'!D45,39)&lt;&gt;"",INDEX(properties!A$1:CB$87,'Fórmula'!D45,39)),IF(INDEX(properties!A$1:CB$87,'Fórmula'!F45,39)&lt;&gt;"",INDEX(properties!A$1:CB$87,'Fórmula'!F45,39)),IF(INDEX(properties!A$1:CB$87,'Fórmula'!H45,39)&lt;&gt;"",INDEX(properties!A$1:CB$87,'Fórmula'!H45,39)),IF(INDEX(properties!A$1:CB$87,'Fórmula'!J45,39)&lt;&gt;"",INDEX(properties!A$1:CB$87,'Fórmula'!J45,39)))</f>
        <v>0.214336</v>
      </c>
      <c r="DU45" s="120">
        <f t="array" ref="DU45">MAX(INDEX(properties!A$1:CB$87,'Fórmula'!B45,39),INDEX(properties!A$1:CB$87,'Fórmula'!D45,39),INDEX(properties!A$1:CB$87,'Fórmula'!F45,39),INDEX(properties!A$1:CB$87,'Fórmula'!H45,39),INDEX(properties!A$1:CB$87,'Fórmula'!J45,39))</f>
        <v>1.18</v>
      </c>
      <c r="DV45" s="120">
        <f t="array" ref="DV45">MIN(IF(INDEX(properties!A$1:CB$87,'Fórmula'!B45,39)=0,10^6,INDEX(properties!A$1:CB$87,'Fórmula'!B45,39)),IF(INDEX(properties!A$1:CB$87,'Fórmula'!D45,39)=0,10^6,INDEX(properties!A$1:CB$87,'Fórmula'!D45,39)),IF(INDEX(properties!A$1:CB$87,'Fórmula'!F45,39)=0,10^6,INDEX(properties!A$1:CB$87,'Fórmula'!F45,39)),IF(INDEX(properties!A$1:CB$87,'Fórmula'!H45,39)=0,10^6,INDEX(properties!A$1:CB$87,'Fórmula'!H45,39)),IF(INDEX(properties!A$1:CB$87,'Fórmula'!J45,39)=0,10^6,INDEX(properties!A$1:CB$87,'Fórmula'!J45,39)))</f>
        <v>0.48</v>
      </c>
      <c r="DW45" s="109">
        <f t="shared" si="21"/>
        <v>0.7</v>
      </c>
      <c r="DX45" s="110">
        <f t="array" ref="DX45">(('Fórmula'!C45)/('Fórmula'!C45+'Fórmula'!E45+'Fórmula'!G45+'Fórmula'!I45+'Fórmula'!K45))*(INDEX(properties!A$1:CB$87,'Fórmula'!B45,40))+(('Fórmula'!E45)/('Fórmula'!C45+'Fórmula'!E45+'Fórmula'!G45+'Fórmula'!I45+'Fórmula'!K45))*(INDEX(properties!A$1:CB$87,'Fórmula'!D45,40))+(('Fórmula'!G45)/('Fórmula'!C45+'Fórmula'!E45+'Fórmula'!G45+'Fórmula'!I45+'Fórmula'!K45))*(INDEX(properties!A$1:CB$87,'Fórmula'!F45,40))+(('Fórmula'!I45)/('Fórmula'!C45+'Fórmula'!E45+'Fórmula'!G45+'Fórmula'!I45+'Fórmula'!K45))*(INDEX(properties!A$1:CB$87,'Fórmula'!H45,40))+(('Fórmula'!K45)/('Fórmula'!C45+'Fórmula'!E45+'Fórmula'!G45+'Fórmula'!I45+'Fórmula'!K45))*(INDEX(properties!A$1:CB$87,'Fórmula'!J45,40))</f>
        <v>0.91</v>
      </c>
      <c r="DY45" s="110">
        <f t="array" ref="DY45">'Fórmula'!C45*(INDEX(properties!A$1:CB$87,'Fórmula'!B45,40))+'Fórmula'!E45*(INDEX(properties!A$1:CB$87,'Fórmula'!D45,40))+'Fórmula'!G45*(INDEX(properties!A$1:CB$87,'Fórmula'!F45,40))+'Fórmula'!I45*(INDEX(properties!A$1:CB$87,'Fórmula'!H45,40))+'Fórmula'!K45*(INDEX(properties!A$1:CB$87,'Fórmula'!J45,40))</f>
        <v>4.55</v>
      </c>
      <c r="DZ45" s="110">
        <f t="array" ref="DZ45">VARP(IF(INDEX(properties!A$1:CB$87,'Fórmula'!B45,40)&lt;&gt;"",INDEX(properties!A$1:CB$87,'Fórmula'!B45,40)),IF(INDEX(properties!A$1:CB$87,'Fórmula'!D45,40)&lt;&gt;"",INDEX(properties!A$1:CB$87,'Fórmula'!D45,40)),IF(INDEX(properties!A$1:CB$87,'Fórmula'!F45,40)&lt;&gt;"",INDEX(properties!A$1:CB$87,'Fórmula'!F45,40)),IF(INDEX(properties!A$1:CB$87,'Fórmula'!H45,40)&lt;&gt;"",INDEX(properties!A$1:CB$87,'Fórmula'!H45,40)),IF(INDEX(properties!A$1:CB$87,'Fórmula'!J45,40)&lt;&gt;"",INDEX(properties!A$1:CB$87,'Fórmula'!J45,40)))</f>
        <v>0.239136</v>
      </c>
      <c r="EA45" s="121">
        <f t="array" ref="EA45">MAX(INDEX(properties!A$1:CB$87,'Fórmula'!B45,40),INDEX(properties!A$1:CB$87,'Fórmula'!D45,40),INDEX(properties!A$1:CB$87,'Fórmula'!F45,40),INDEX(properties!A$1:CB$87,'Fórmula'!H45,40),INDEX(properties!A$1:CB$87,'Fórmula'!J45,40))</f>
        <v>1.18</v>
      </c>
      <c r="EB45" s="121">
        <f t="array" ref="EB45">MIN(IF(INDEX(properties!A$1:CB$87,'Fórmula'!B45,40)=0,10^6,INDEX(properties!A$1:CB$87,'Fórmula'!B45,40)),IF(INDEX(properties!A$1:CB$87,'Fórmula'!D45,40)=0,10^6,INDEX(properties!A$1:CB$87,'Fórmula'!D45,40)),IF(INDEX(properties!A$1:CB$87,'Fórmula'!F45,40)=0,10^6,INDEX(properties!A$1:CB$87,'Fórmula'!F45,40)),IF(INDEX(properties!A$1:CB$87,'Fórmula'!H45,40)=0,10^6,INDEX(properties!A$1:CB$87,'Fórmula'!H45,40)),IF(INDEX(properties!A$1:CB$87,'Fórmula'!J45,40)=0,10^6,INDEX(properties!A$1:CB$87,'Fórmula'!J45,40)))</f>
        <v>0.73</v>
      </c>
      <c r="EC45" s="110">
        <f t="shared" si="22"/>
        <v>0.45</v>
      </c>
      <c r="ED45" s="111">
        <f t="array" ref="ED45">(('Fórmula'!C45)/('Fórmula'!C45+'Fórmula'!E45+'Fórmula'!G45+'Fórmula'!I45+'Fórmula'!K45))*(INDEX(properties!A$1:CB$87,'Fórmula'!B45,41))+(('Fórmula'!E45)/('Fórmula'!C45+'Fórmula'!E45+'Fórmula'!G45+'Fórmula'!I45+'Fórmula'!K45))*(INDEX(properties!A$1:CB$87,'Fórmula'!D45,41))+(('Fórmula'!G45)/('Fórmula'!C45+'Fórmula'!E45+'Fórmula'!G45+'Fórmula'!I45+'Fórmula'!K45))*(INDEX(properties!A$1:CB$87,'Fórmula'!F45,41))+(('Fórmula'!I45)/('Fórmula'!C45+'Fórmula'!E45+'Fórmula'!G45+'Fórmula'!I45+'Fórmula'!K45))*(INDEX(properties!A$1:CB$87,'Fórmula'!H45,41))+(('Fórmula'!K45)/('Fórmula'!C45+'Fórmula'!E45+'Fórmula'!G45+'Fórmula'!I45+'Fórmula'!K45))*(INDEX(properties!A$1:CB$87,'Fórmula'!J45,41))</f>
        <v>1.028</v>
      </c>
      <c r="EE45" s="111">
        <f t="array" ref="EE45">'Fórmula'!C45*(INDEX(properties!A$1:CB$87,'Fórmula'!B45,41))+'Fórmula'!E45*(INDEX(properties!A$1:CB$87,'Fórmula'!D45,41))+'Fórmula'!G45*(INDEX(properties!A$1:CB$87,'Fórmula'!F45,41))+'Fórmula'!I45*(INDEX(properties!A$1:CB$87,'Fórmula'!H45,41))+'Fórmula'!K45*(INDEX(properties!A$1:CB$87,'Fórmula'!J45,41))</f>
        <v>5.14</v>
      </c>
      <c r="EF45" s="111">
        <f t="array" ref="EF45">VARP(IF(INDEX(properties!A$1:CB$87,'Fórmula'!B45,41)&lt;&gt;"",INDEX(properties!A$1:CB$87,'Fórmula'!B45,41)),IF(INDEX(properties!A$1:CB$87,'Fórmula'!D45,41)&lt;&gt;"",INDEX(properties!A$1:CB$87,'Fórmula'!D45,41)),IF(INDEX(properties!A$1:CB$87,'Fórmula'!F45,41)&lt;&gt;"",INDEX(properties!A$1:CB$87,'Fórmula'!F45,41)),IF(INDEX(properties!A$1:CB$87,'Fórmula'!H45,41)&lt;&gt;"",INDEX(properties!A$1:CB$87,'Fórmula'!H45,41)),IF(INDEX(properties!A$1:CB$87,'Fórmula'!J45,41)&lt;&gt;"",INDEX(properties!A$1:CB$87,'Fórmula'!J45,41)))</f>
        <v>0.259456</v>
      </c>
      <c r="EG45" s="122">
        <f t="array" ref="EG45">MAX(INDEX(properties!A$1:CB$87,'Fórmula'!B45,41),INDEX(properties!A$1:CB$87,'Fórmula'!D45,41),INDEX(properties!A$1:CB$87,'Fórmula'!F45,41),INDEX(properties!A$1:CB$87,'Fórmula'!H45,41),INDEX(properties!A$1:CB$87,'Fórmula'!J45,41))</f>
        <v>1.26</v>
      </c>
      <c r="EH45" s="122">
        <f t="array" ref="EH45">MIN(IF(INDEX(properties!A$1:CB$87,'Fórmula'!B45,41)=0,10^6,INDEX(properties!A$1:CB$87,'Fórmula'!B45,41)),IF(INDEX(properties!A$1:CB$87,'Fórmula'!D45,41)=0,10^6,INDEX(properties!A$1:CB$87,'Fórmula'!D45,41)),IF(INDEX(properties!A$1:CB$87,'Fórmula'!F45,41)=0,10^6,INDEX(properties!A$1:CB$87,'Fórmula'!F45,41)),IF(INDEX(properties!A$1:CB$87,'Fórmula'!H45,41)=0,10^6,INDEX(properties!A$1:CB$87,'Fórmula'!H45,41)),IF(INDEX(properties!A$1:CB$87,'Fórmula'!J45,41)=0,10^6,INDEX(properties!A$1:CB$87,'Fórmula'!J45,41)))</f>
        <v>0.68</v>
      </c>
      <c r="EI45" s="111">
        <f t="shared" si="23"/>
        <v>0.58</v>
      </c>
      <c r="EJ45" s="112">
        <f t="array" ref="EJ45">(('Fórmula'!C45)/('Fórmula'!C45+'Fórmula'!E45+'Fórmula'!G45+'Fórmula'!I45+'Fórmula'!K45))*(INDEX(properties!A$1:CB$87,'Fórmula'!B45,45))+(('Fórmula'!E45)/('Fórmula'!C45+'Fórmula'!E45+'Fórmula'!G45+'Fórmula'!I45+'Fórmula'!K45))*(INDEX(properties!A$1:CB$87,'Fórmula'!D45,45))+(('Fórmula'!G45)/('Fórmula'!C45+'Fórmula'!E45+'Fórmula'!G45+'Fórmula'!I45+'Fórmula'!K45))*(INDEX(properties!A$1:CB$87,'Fórmula'!F45,45))+(('Fórmula'!I45)/('Fórmula'!C45+'Fórmula'!E45+'Fórmula'!G45+'Fórmula'!I45+'Fórmula'!K45))*(INDEX(properties!A$1:CB$87,'Fórmula'!H45,45))+(('Fórmula'!K45)/('Fórmula'!C45+'Fórmula'!E45+'Fórmula'!G45+'Fórmula'!I45+'Fórmula'!K45))*(INDEX(properties!A$1:CB$87,'Fórmula'!J45,45))</f>
        <v>0.954</v>
      </c>
      <c r="EK45" s="112">
        <f t="array" ref="EK45">'Fórmula'!C45*(INDEX(properties!A$1:CB$87,'Fórmula'!B45,45))+'Fórmula'!E45*(INDEX(properties!A$1:CB$87,'Fórmula'!D45,45))+'Fórmula'!G45*(INDEX(properties!A$1:CB$87,'Fórmula'!F45,45))+'Fórmula'!I45*(INDEX(properties!A$1:CB$87,'Fórmula'!H45,45))+'Fórmula'!K45*(INDEX(properties!A$1:CB$87,'Fórmula'!J45,45))</f>
        <v>4.77</v>
      </c>
      <c r="EL45" s="112">
        <f t="array" ref="EL45">VARP(IF(INDEX(properties!A$1:CB$87,'Fórmula'!B45,45)&lt;&gt;"",INDEX(properties!A$1:CB$87,'Fórmula'!B45,45)),IF(INDEX(properties!A$1:CB$87,'Fórmula'!D45,45)&lt;&gt;"",INDEX(properties!A$1:CB$87,'Fórmula'!D45,45)),IF(INDEX(properties!A$1:CB$87,'Fórmula'!F45,45)&lt;&gt;"",INDEX(properties!A$1:CB$87,'Fórmula'!F45,45)),IF(INDEX(properties!A$1:CB$87,'Fórmula'!H45,45)&lt;&gt;"",INDEX(properties!A$1:CB$87,'Fórmula'!H45,45)),IF(INDEX(properties!A$1:CB$87,'Fórmula'!J45,45)&lt;&gt;"",INDEX(properties!A$1:CB$87,'Fórmula'!J45,45)))</f>
        <v>0.42376</v>
      </c>
      <c r="EM45" s="123">
        <f t="array" ref="EM45">MAX(INDEX(properties!A$1:CB$87,'Fórmula'!B45,45),INDEX(properties!A$1:CB$87,'Fórmula'!D45,45),INDEX(properties!A$1:CB$87,'Fórmula'!F45,45),INDEX(properties!A$1:CB$87,'Fórmula'!H45,45),INDEX(properties!A$1:CB$87,'Fórmula'!J45,45))</f>
        <v>1.68</v>
      </c>
      <c r="EN45" s="123">
        <f t="array" ref="EN45">MIN(IF(INDEX(properties!A$1:CB$87,'Fórmula'!B45,45)=0,10^6,INDEX(properties!A$1:CB$87,'Fórmula'!B45,45)),IF(INDEX(properties!A$1:CB$87,'Fórmula'!D45,45)=0,10^6,INDEX(properties!A$1:CB$87,'Fórmula'!D45,45)),IF(INDEX(properties!A$1:CB$87,'Fórmula'!F45,45)=0,10^6,INDEX(properties!A$1:CB$87,'Fórmula'!F45,45)),IF(INDEX(properties!A$1:CB$87,'Fórmula'!H45,45)=0,10^6,INDEX(properties!A$1:CB$87,'Fórmula'!H45,45)),IF(INDEX(properties!A$1:CB$87,'Fórmula'!J45,45)=0,10^6,INDEX(properties!A$1:CB$87,'Fórmula'!J45,45)))</f>
        <v>0.47</v>
      </c>
      <c r="EO45" s="112">
        <f t="shared" si="24"/>
        <v>1.21</v>
      </c>
      <c r="EP45" s="113">
        <f t="array" ref="EP45">(('Fórmula'!C45)/('Fórmula'!C45+'Fórmula'!E45+'Fórmula'!G45+'Fórmula'!I45+'Fórmula'!K45))*(INDEX(properties!A$1:CB$87,'Fórmula'!B45,46))+(('Fórmula'!E45)/('Fórmula'!C45+'Fórmula'!E45+'Fórmula'!G45+'Fórmula'!I45+'Fórmula'!K45))*(INDEX(properties!A$1:CB$87,'Fórmula'!D45,46))+(('Fórmula'!G45)/('Fórmula'!C45+'Fórmula'!E45+'Fórmula'!G45+'Fórmula'!I45+'Fórmula'!K45))*(INDEX(properties!A$1:CB$87,'Fórmula'!F45,46))+(('Fórmula'!I45)/('Fórmula'!C45+'Fórmula'!E45+'Fórmula'!G45+'Fórmula'!I45+'Fórmula'!K45))*(INDEX(properties!A$1:CB$87,'Fórmula'!H45,46))+(('Fórmula'!K45)/('Fórmula'!C45+'Fórmula'!E45+'Fórmula'!G45+'Fórmula'!I45+'Fórmula'!K45))*(INDEX(properties!A$1:CB$87,'Fórmula'!J45,46))</f>
        <v>0.938</v>
      </c>
      <c r="EQ45" s="113">
        <f t="array" ref="EQ45">'Fórmula'!C45*(INDEX(properties!A$1:CB$87,'Fórmula'!B45,46))+'Fórmula'!E45*(INDEX(properties!A$1:CB$87,'Fórmula'!D45,46))+'Fórmula'!G45*(INDEX(properties!A$1:CB$87,'Fórmula'!F45,46))+'Fórmula'!I45*(INDEX(properties!A$1:CB$87,'Fórmula'!H45,46))+'Fórmula'!K45*(INDEX(properties!A$1:CB$87,'Fórmula'!J45,46))</f>
        <v>4.69</v>
      </c>
      <c r="ER45" s="113">
        <f t="array" ref="ER45">VARP(IF(INDEX(properties!A$1:CB$87,'Fórmula'!B45,46)&lt;&gt;"",INDEX(properties!A$1:CB$87,'Fórmula'!B45,46)),IF(INDEX(properties!A$1:CB$87,'Fórmula'!D45,46)&lt;&gt;"",INDEX(properties!A$1:CB$87,'Fórmula'!D45,46)),IF(INDEX(properties!A$1:CB$87,'Fórmula'!F45,46)&lt;&gt;"",INDEX(properties!A$1:CB$87,'Fórmula'!F45,46)),IF(INDEX(properties!A$1:CB$87,'Fórmula'!H45,46)&lt;&gt;"",INDEX(properties!A$1:CB$87,'Fórmula'!H45,46)),IF(INDEX(properties!A$1:CB$87,'Fórmula'!J45,46)&lt;&gt;"",INDEX(properties!A$1:CB$87,'Fórmula'!J45,46)))</f>
        <v>0.227896</v>
      </c>
      <c r="ES45" s="124">
        <f t="array" ref="ES45">MAX(INDEX(properties!A$1:CB$87,'Fórmula'!B45,46),INDEX(properties!A$1:CB$87,'Fórmula'!D45,46),INDEX(properties!A$1:CB$87,'Fórmula'!F45,46),INDEX(properties!A$1:CB$87,'Fórmula'!H45,46),INDEX(properties!A$1:CB$87,'Fórmula'!J45,46))</f>
        <v>1.21</v>
      </c>
      <c r="ET45" s="124">
        <f t="array" ref="ET45">MIN(IF(INDEX(properties!A$1:CB$87,'Fórmula'!B45,46)=0,10^6,INDEX(properties!A$1:CB$87,'Fórmula'!B45,46)),IF(INDEX(properties!A$1:CB$87,'Fórmula'!D45,46)=0,10^6,INDEX(properties!A$1:CB$87,'Fórmula'!D45,46)),IF(INDEX(properties!A$1:CB$87,'Fórmula'!F45,46)=0,10^6,INDEX(properties!A$1:CB$87,'Fórmula'!F45,46)),IF(INDEX(properties!A$1:CB$87,'Fórmula'!H45,46)=0,10^6,INDEX(properties!A$1:CB$87,'Fórmula'!H45,46)),IF(INDEX(properties!A$1:CB$87,'Fórmula'!J45,46)=0,10^6,INDEX(properties!A$1:CB$87,'Fórmula'!J45,46)))</f>
        <v>0.53</v>
      </c>
      <c r="EU45" s="113">
        <f t="shared" si="25"/>
        <v>0.68</v>
      </c>
      <c r="EV45" s="114">
        <f t="array" ref="EV45">(('Fórmula'!C45)/('Fórmula'!C45+'Fórmula'!E45+'Fórmula'!G45+'Fórmula'!I45+'Fórmula'!K45))*(INDEX(properties!A$1:CB$87,'Fórmula'!B45,52))+(('Fórmula'!E45)/('Fórmula'!C45+'Fórmula'!E45+'Fórmula'!G45+'Fórmula'!I45+'Fórmula'!K45))*(INDEX(properties!A$1:CB$87,'Fórmula'!D45,52))+(('Fórmula'!G45)/('Fórmula'!C45+'Fórmula'!E45+'Fórmula'!G45+'Fórmula'!I45+'Fórmula'!K45))*(INDEX(properties!A$1:CB$87,'Fórmula'!F45,52))+(('Fórmula'!I45)/('Fórmula'!C45+'Fórmula'!E45+'Fórmula'!G45+'Fórmula'!I45+'Fórmula'!K45))*(INDEX(properties!A$1:CB$87,'Fórmula'!H45,52))+(('Fórmula'!K45)/('Fórmula'!C45+'Fórmula'!E45+'Fórmula'!G45+'Fórmula'!I45+'Fórmula'!K45))*(INDEX(properties!A$1:CB$87,'Fórmula'!J45,52))</f>
        <v>3.7958</v>
      </c>
      <c r="EW45" s="114">
        <f t="array" ref="EW45">'Fórmula'!C45*(INDEX(properties!A$1:CB$87,'Fórmula'!B45,52))+'Fórmula'!E45*(INDEX(properties!A$1:CB$87,'Fórmula'!D45,52))+'Fórmula'!G45*(INDEX(properties!A$1:CB$87,'Fórmula'!F45,52))+'Fórmula'!I45*(INDEX(properties!A$1:CB$87,'Fórmula'!H45,52))+'Fórmula'!K45*(INDEX(properties!A$1:CB$87,'Fórmula'!J45,52))</f>
        <v>18.979</v>
      </c>
      <c r="EX45" s="114">
        <f t="array" ref="EX45">VARP(IF(INDEX(properties!A$1:CB$87,'Fórmula'!B45,52)&lt;&gt;"",INDEX(properties!A$1:CB$87,'Fórmula'!B45,52)),IF(INDEX(properties!A$1:CB$87,'Fórmula'!D45,52)&lt;&gt;"",INDEX(properties!A$1:CB$87,'Fórmula'!D45,52)),IF(INDEX(properties!A$1:CB$87,'Fórmula'!F45,52)&lt;&gt;"",INDEX(properties!A$1:CB$87,'Fórmula'!F45,52)),IF(INDEX(properties!A$1:CB$87,'Fórmula'!H45,52)&lt;&gt;"",INDEX(properties!A$1:CB$87,'Fórmula'!H45,52)),IF(INDEX(properties!A$1:CB$87,'Fórmula'!J45,52)&lt;&gt;"",INDEX(properties!A$1:CB$87,'Fórmula'!J45,52)))</f>
        <v>10.59646384</v>
      </c>
      <c r="EY45" s="114">
        <f t="array" ref="EY45">MAX(INDEX(properties!A$1:CB$87,'Fórmula'!B45,52),INDEX(properties!A$1:CB$87,'Fórmula'!D45,52),INDEX(properties!A$1:CB$87,'Fórmula'!F45,52),INDEX(properties!A$1:CB$87,'Fórmula'!H45,52),INDEX(properties!A$1:CB$87,'Fórmula'!J45,52))</f>
        <v>8.3</v>
      </c>
      <c r="EZ45" s="114">
        <f t="array" ref="EZ45">MIN(IF(INDEX(properties!A$1:CB$87,'Fórmula'!B45,52)=0,10^6,INDEX(properties!A$1:CB$87,'Fórmula'!B45,52)),IF(INDEX(properties!A$1:CB$87,'Fórmula'!D45,52)=0,10^6,INDEX(properties!A$1:CB$87,'Fórmula'!D45,52)),IF(INDEX(properties!A$1:CB$87,'Fórmula'!F45,52)=0,10^6,INDEX(properties!A$1:CB$87,'Fórmula'!F45,52)),IF(INDEX(properties!A$1:CB$87,'Fórmula'!H45,52)=0,10^6,INDEX(properties!A$1:CB$87,'Fórmula'!H45,52)),IF(INDEX(properties!A$1:CB$87,'Fórmula'!J45,52)=0,10^6,INDEX(properties!A$1:CB$87,'Fórmula'!J45,52)))</f>
        <v>0.793</v>
      </c>
      <c r="FA45" s="114">
        <f t="shared" si="26"/>
        <v>7.507</v>
      </c>
      <c r="FB45" s="115">
        <f t="array" ref="FB45">(('Fórmula'!C45)/('Fórmula'!C45+'Fórmula'!E45+'Fórmula'!G45+'Fórmula'!I45+'Fórmula'!K45))*(INDEX(properties!A$1:CB$87,'Fórmula'!B45,53))+(('Fórmula'!E45)/('Fórmula'!C45+'Fórmula'!E45+'Fórmula'!G45+'Fórmula'!I45+'Fórmula'!K45))*(INDEX(properties!A$1:CB$87,'Fórmula'!D45,53))+(('Fórmula'!G45)/('Fórmula'!C45+'Fórmula'!E45+'Fórmula'!G45+'Fórmula'!I45+'Fórmula'!K45))*(INDEX(properties!A$1:CB$87,'Fórmula'!F45,53))+(('Fórmula'!I45)/('Fórmula'!C45+'Fórmula'!E45+'Fórmula'!G45+'Fórmula'!I45+'Fórmula'!K45))*(INDEX(properties!A$1:CB$87,'Fórmula'!H45,53))+(('Fórmula'!K45)/('Fórmula'!C45+'Fórmula'!E45+'Fórmula'!G45+'Fórmula'!I45+'Fórmula'!K45))*(INDEX(properties!A$1:CB$87,'Fórmula'!J45,53))</f>
        <v>406.11</v>
      </c>
      <c r="FC45" s="115">
        <f t="array" ref="FC45">'Fórmula'!C45*(INDEX(properties!A$1:CB$87,'Fórmula'!B45,53))+'Fórmula'!E45*(INDEX(properties!A$1:CB$87,'Fórmula'!D45,53))+'Fórmula'!G45*(INDEX(properties!A$1:CB$87,'Fórmula'!F45,53))+'Fórmula'!I45*(INDEX(properties!A$1:CB$87,'Fórmula'!H45,53))+'Fórmula'!K45*(INDEX(properties!A$1:CB$87,'Fórmula'!J45,53))</f>
        <v>2030.55</v>
      </c>
      <c r="FD45" s="115">
        <f t="array" ref="FD45">VARP(IF(INDEX(properties!A$1:CB$87,'Fórmula'!B45,53)&lt;&gt;"",INDEX(properties!A$1:CB$87,'Fórmula'!B45,53)),IF(INDEX(properties!A$1:CB$87,'Fórmula'!D45,53)&lt;&gt;"",INDEX(properties!A$1:CB$87,'Fórmula'!D45,53)),IF(INDEX(properties!A$1:CB$87,'Fórmula'!F45,53)&lt;&gt;"",INDEX(properties!A$1:CB$87,'Fórmula'!F45,53)),IF(INDEX(properties!A$1:CB$87,'Fórmula'!H45,53)&lt;&gt;"",INDEX(properties!A$1:CB$87,'Fórmula'!H45,53)),IF(INDEX(properties!A$1:CB$87,'Fórmula'!J45,53)&lt;&gt;"",INDEX(properties!A$1:CB$87,'Fórmula'!J45,53)))</f>
        <v>135715.4406</v>
      </c>
      <c r="FE45" s="115">
        <f t="array" ref="FE45">MAX(INDEX(properties!A$1:CB$87,'Fórmula'!B45,53),INDEX(properties!A$1:CB$87,'Fórmula'!D45,53),INDEX(properties!A$1:CB$87,'Fórmula'!F45,53),INDEX(properties!A$1:CB$87,'Fórmula'!H45,53),INDEX(properties!A$1:CB$87,'Fórmula'!J45,53))</f>
        <v>933.15</v>
      </c>
      <c r="FF45" s="115">
        <f t="array" ref="FF45">MIN(IF(INDEX(properties!A$1:CB$87,'Fórmula'!B45,53)=0,10^6,INDEX(properties!A$1:CB$87,'Fórmula'!B45,53)),IF(INDEX(properties!A$1:CB$87,'Fórmula'!D45,53)=0,10^6,INDEX(properties!A$1:CB$87,'Fórmula'!D45,53)),IF(INDEX(properties!A$1:CB$87,'Fórmula'!F45,53)=0,10^6,INDEX(properties!A$1:CB$87,'Fórmula'!F45,53)),IF(INDEX(properties!A$1:CB$87,'Fórmula'!H45,53)=0,10^6,INDEX(properties!A$1:CB$87,'Fórmula'!H45,53)),IF(INDEX(properties!A$1:CB$87,'Fórmula'!J45,53)=0,10^6,INDEX(properties!A$1:CB$87,'Fórmula'!J45,53)))</f>
        <v>54.75</v>
      </c>
      <c r="FG45" s="115">
        <f t="shared" si="27"/>
        <v>878.4</v>
      </c>
      <c r="FH45" s="117">
        <f t="array" ref="FH45">(('Fórmula'!C45)/('Fórmula'!C45+'Fórmula'!E45+'Fórmula'!G45+'Fórmula'!I45+'Fórmula'!K45))*(INDEX(properties!A$1:CB$87,'Fórmula'!B45,54))+(('Fórmula'!E45)/('Fórmula'!C45+'Fórmula'!E45+'Fórmula'!G45+'Fórmula'!I45+'Fórmula'!K45))*(INDEX(properties!A$1:CB$87,'Fórmula'!D45,54))+(('Fórmula'!G45)/('Fórmula'!C45+'Fórmula'!E45+'Fórmula'!G45+'Fórmula'!I45+'Fórmula'!K45))*(INDEX(properties!A$1:CB$87,'Fórmula'!F45,54))+(('Fórmula'!I45)/('Fórmula'!C45+'Fórmula'!E45+'Fórmula'!G45+'Fórmula'!I45+'Fórmula'!K45))*(INDEX(properties!A$1:CB$87,'Fórmula'!H45,54))+(('Fórmula'!K45)/('Fórmula'!C45+'Fórmula'!E45+'Fórmula'!G45+'Fórmula'!I45+'Fórmula'!K45))*(INDEX(properties!A$1:CB$87,'Fórmula'!J45,54))</f>
        <v>1150.15</v>
      </c>
      <c r="FI45" s="117">
        <f t="array" ref="FI45">'Fórmula'!C45*(INDEX(properties!A$1:CB$87,'Fórmula'!B45,54))+'Fórmula'!E45*(INDEX(properties!A$1:CB$87,'Fórmula'!D45,54))+'Fórmula'!G45*(INDEX(properties!A$1:CB$87,'Fórmula'!F45,54))+'Fórmula'!I45*(INDEX(properties!A$1:CB$87,'Fórmula'!H45,54))+'Fórmula'!K45*(INDEX(properties!A$1:CB$87,'Fórmula'!J45,54))</f>
        <v>5750.75</v>
      </c>
      <c r="FJ45" s="117">
        <f t="array" ref="FJ45">VARP(IF(INDEX(properties!A$1:CB$87,'Fórmula'!B45,54)&lt;&gt;"",INDEX(properties!A$1:CB$87,'Fórmula'!B45,54)),IF(INDEX(properties!A$1:CB$87,'Fórmula'!D45,54)&lt;&gt;"",INDEX(properties!A$1:CB$87,'Fórmula'!D45,54)),IF(INDEX(properties!A$1:CB$87,'Fórmula'!F45,54)&lt;&gt;"",INDEX(properties!A$1:CB$87,'Fórmula'!F45,54)),IF(INDEX(properties!A$1:CB$87,'Fórmula'!H45,54)&lt;&gt;"",INDEX(properties!A$1:CB$87,'Fórmula'!H45,54)),IF(INDEX(properties!A$1:CB$87,'Fórmula'!J45,54)&lt;&gt;"",INDEX(properties!A$1:CB$87,'Fórmula'!J45,54)))</f>
        <v>1182885.885</v>
      </c>
      <c r="FK45" s="117">
        <f t="array" ref="FK45">MAX(INDEX(properties!A$1:CB$87,'Fórmula'!B45,54),INDEX(properties!A$1:CB$87,'Fórmula'!D45,54),INDEX(properties!A$1:CB$87,'Fórmula'!F45,54),INDEX(properties!A$1:CB$87,'Fórmula'!H45,54),INDEX(properties!A$1:CB$87,'Fórmula'!J45,54))</f>
        <v>2740.15</v>
      </c>
      <c r="FL45" s="117">
        <f t="array" ref="FL45">MIN(IF(INDEX(properties!A$1:CB$87,'Fórmula'!B45,54)=0,10^6,INDEX(properties!A$1:CB$87,'Fórmula'!B45,54)),IF(INDEX(properties!A$1:CB$87,'Fórmula'!D45,54)=0,10^6,INDEX(properties!A$1:CB$87,'Fórmula'!D45,54)),IF(INDEX(properties!A$1:CB$87,'Fórmula'!F45,54)=0,10^6,INDEX(properties!A$1:CB$87,'Fórmula'!F45,54)),IF(INDEX(properties!A$1:CB$87,'Fórmula'!H45,54)=0,10^6,INDEX(properties!A$1:CB$87,'Fórmula'!H45,54)),IF(INDEX(properties!A$1:CB$87,'Fórmula'!J45,54)=0,10^6,INDEX(properties!A$1:CB$87,'Fórmula'!J45,54)))</f>
        <v>90.15</v>
      </c>
      <c r="FM45" s="117">
        <f t="shared" si="28"/>
        <v>2650</v>
      </c>
      <c r="FN45" s="118">
        <f t="array" ref="FN45">(('Fórmula'!C45)/('Fórmula'!C45+'Fórmula'!E45+'Fórmula'!G45+'Fórmula'!I45+'Fórmula'!K45))*(INDEX(properties!A$1:CB$87,'Fórmula'!B45,55))+(('Fórmula'!E45)/('Fórmula'!C45+'Fórmula'!E45+'Fórmula'!G45+'Fórmula'!I45+'Fórmula'!K45))*(INDEX(properties!A$1:CB$87,'Fórmula'!D45,55))+(('Fórmula'!G45)/('Fórmula'!C45+'Fórmula'!E45+'Fórmula'!G45+'Fórmula'!I45+'Fórmula'!K45))*(INDEX(properties!A$1:CB$87,'Fórmula'!F45,55))+(('Fórmula'!I45)/('Fórmula'!C45+'Fórmula'!E45+'Fórmula'!G45+'Fórmula'!I45+'Fórmula'!K45))*(INDEX(properties!A$1:CB$87,'Fórmula'!H45,55))+(('Fórmula'!K45)/('Fórmula'!C45+'Fórmula'!E45+'Fórmula'!G45+'Fórmula'!I45+'Fórmula'!K45))*(INDEX(properties!A$1:CB$87,'Fórmula'!J45,55))</f>
        <v>1.080858</v>
      </c>
      <c r="FO45" s="118">
        <f t="array" ref="FO45">'Fórmula'!C45*(INDEX(properties!A$1:CB$87,'Fórmula'!B45,55))+'Fórmula'!E45*(INDEX(properties!A$1:CB$87,'Fórmula'!D45,54))+'Fórmula'!G45*(INDEX(properties!A$1:CB$87,'Fórmula'!F45,55))+'Fórmula'!I45*(INDEX(properties!A$1:CB$87,'Fórmula'!H45,55))+'Fórmula'!K45*(INDEX(properties!A$1:CB$87,'Fórmula'!J45,55))</f>
        <v>275.85</v>
      </c>
      <c r="FP45" s="118">
        <f t="array" ref="FP45">VARP(IF(INDEX(properties!A$1:CB$87,'Fórmula'!B45,55)&lt;&gt;"",INDEX(properties!A$1:CB$87,'Fórmula'!B45,55)),IF(INDEX(properties!A$1:CB$87,'Fórmula'!D45,55)&lt;&gt;"",INDEX(properties!A$1:CB$87,'Fórmula'!D45,55)),IF(INDEX(properties!A$1:CB$87,'Fórmula'!F45,55)&lt;&gt;"",INDEX(properties!A$1:CB$87,'Fórmula'!F45,55)),IF(INDEX(properties!A$1:CB$87,'Fórmula'!H45,55)&lt;&gt;"",INDEX(properties!A$1:CB$87,'Fórmula'!H45,55)),IF(INDEX(properties!A$1:CB$87,'Fórmula'!J45,55)&lt;&gt;"",INDEX(properties!A$1:CB$87,'Fórmula'!J45,55)))</f>
        <v>1.166091447</v>
      </c>
      <c r="FQ45" s="118">
        <f t="array" ref="FQ45">MAX(INDEX(properties!A$1:CB$87,'Fórmula'!B45,55),INDEX(properties!A$1:CB$87,'Fórmula'!D45,55),INDEX(properties!A$1:CB$87,'Fórmula'!F45,55),INDEX(properties!A$1:CB$87,'Fórmula'!H45,55),INDEX(properties!A$1:CB$87,'Fórmula'!J45,55))</f>
        <v>2.7</v>
      </c>
      <c r="FR45" s="118">
        <f t="array" ref="FR45">MIN(IF(INDEX(properties!A$1:CB$87,'Fórmula'!B45,55)=0,10^6,INDEX(properties!A$1:CB$87,'Fórmula'!B45,55)),IF(INDEX(properties!A$1:CB$87,'Fórmula'!D45,55)=0,10^6,INDEX(properties!A$1:CB$87,'Fórmula'!D45,55)),IF(INDEX(properties!A$1:CB$87,'Fórmula'!F45,55)=0,10^6,INDEX(properties!A$1:CB$87,'Fórmula'!F45,55)),IF(INDEX(properties!A$1:CB$87,'Fórmula'!H45,55)=0,10^6,INDEX(properties!A$1:CB$87,'Fórmula'!H45,55)),IF(INDEX(properties!A$1:CB$87,'Fórmula'!J45,55)=0,10^6,INDEX(properties!A$1:CB$87,'Fórmula'!J45,55)))</f>
        <v>0.00143</v>
      </c>
      <c r="FS45" s="118">
        <f t="shared" si="29"/>
        <v>2.69857</v>
      </c>
      <c r="FT45" s="119">
        <f t="array" ref="FT45">(('Fórmula'!C45)/('Fórmula'!C45+'Fórmula'!E45+'Fórmula'!G45+'Fórmula'!I45+'Fórmula'!K45))*(INDEX(properties!A$1:CB$87,'Fórmula'!B45,56))+(('Fórmula'!E45)/('Fórmula'!C45+'Fórmula'!E45+'Fórmula'!G45+'Fórmula'!I45+'Fórmula'!K45))*(INDEX(properties!A$1:CB$87,'Fórmula'!D45,56))+(('Fórmula'!G45)/('Fórmula'!C45+'Fórmula'!E45+'Fórmula'!G45+'Fórmula'!I45+'Fórmula'!K45))*(INDEX(properties!A$1:CB$87,'Fórmula'!F45,56))+(('Fórmula'!I45)/('Fórmula'!C45+'Fórmula'!E45+'Fórmula'!G45+'Fórmula'!I45+'Fórmula'!K45))*(INDEX(properties!A$1:CB$87,'Fórmula'!H45,56))+(('Fórmula'!K45)/('Fórmula'!C45+'Fórmula'!E45+'Fórmula'!G45+'Fórmula'!I45+'Fórmula'!K45))*(INDEX(properties!A$1:CB$87,'Fórmula'!J45,56))</f>
        <v>0.912</v>
      </c>
      <c r="FU45" s="119">
        <f t="array" ref="FU45">'Fórmula'!C45*(INDEX(properties!A$1:CB$87,'Fórmula'!B45,56))+'Fórmula'!E45*(INDEX(properties!A$1:CB$87,'Fórmula'!D45,56))+'Fórmula'!G45*(INDEX(properties!A$1:CB$87,'Fórmula'!F45,56))+'Fórmula'!I45*(INDEX(properties!A$1:CB$87,'Fórmula'!H45,56))+'Fórmula'!K45*(INDEX(properties!A$1:CB$87,'Fórmula'!J45,56))</f>
        <v>4.56</v>
      </c>
      <c r="FV45" s="119">
        <f t="array" ref="FV45">VARP(IF(INDEX(properties!A$1:CB$87,'Fórmula'!B45,56)&lt;&gt;"",INDEX(properties!A$1:CB$87,'Fórmula'!B45,56)),IF(INDEX(properties!A$1:CB$87,'Fórmula'!D45,56)&lt;&gt;"",INDEX(properties!A$1:CB$87,'Fórmula'!D45,56)),IF(INDEX(properties!A$1:CB$87,'Fórmula'!F45,56)&lt;&gt;"",INDEX(properties!A$1:CB$87,'Fórmula'!F45,56)),IF(INDEX(properties!A$1:CB$87,'Fórmula'!H45,56)&lt;&gt;"",INDEX(properties!A$1:CB$87,'Fórmula'!H45,56)),IF(INDEX(properties!A$1:CB$87,'Fórmula'!J45,56)&lt;&gt;"",INDEX(properties!A$1:CB$87,'Fórmula'!J45,56)))</f>
        <v>0.198784</v>
      </c>
      <c r="FW45" s="119">
        <f t="array" ref="FW45">MAX(INDEX(properties!A$1:CB$87,'Fórmula'!B45,56),INDEX(properties!A$1:CB$87,'Fórmula'!D45,56),INDEX(properties!A$1:CB$87,'Fórmula'!F45,56),INDEX(properties!A$1:CB$87,'Fórmula'!H45,56),INDEX(properties!A$1:CB$87,'Fórmula'!J45,56))</f>
        <v>0.92</v>
      </c>
      <c r="FX45" s="119">
        <f t="array" ref="FX45">MIN(IF(INDEX(properties!A$1:CB$87,'Fórmula'!B45,56)=0,10^6,INDEX(properties!A$1:CB$87,'Fórmula'!B45,56)),IF(INDEX(properties!A$1:CB$87,'Fórmula'!D45,56)=0,10^6,INDEX(properties!A$1:CB$87,'Fórmula'!D45,56)),IF(INDEX(properties!A$1:CB$87,'Fórmula'!F45,56)=0,10^6,INDEX(properties!A$1:CB$87,'Fórmula'!F45,56)),IF(INDEX(properties!A$1:CB$87,'Fórmula'!H45,56)=0,10^6,INDEX(properties!A$1:CB$87,'Fórmula'!H45,56)),IF(INDEX(properties!A$1:CB$87,'Fórmula'!J45,56)=0,10^6,INDEX(properties!A$1:CB$87,'Fórmula'!J45,56)))</f>
        <v>0.9</v>
      </c>
      <c r="FY45" s="119">
        <f t="shared" si="30"/>
        <v>0.02</v>
      </c>
      <c r="FZ45" s="104">
        <f t="array" ref="FZ45">(('Fórmula'!C45)/('Fórmula'!C45+'Fórmula'!E45+'Fórmula'!G45+'Fórmula'!I45+'Fórmula'!K45))*(INDEX(properties!A$1:CB$87,'Fórmula'!B45,57))+(('Fórmula'!E45)/('Fórmula'!C45+'Fórmula'!E45+'Fórmula'!G45+'Fórmula'!I45+'Fórmula'!K45))*(INDEX(properties!A$1:CB$87,'Fórmula'!D45,57))+(('Fórmula'!G45)/('Fórmula'!C45+'Fórmula'!E45+'Fórmula'!G45+'Fórmula'!I45+'Fórmula'!K45))*(INDEX(properties!A$1:CB$87,'Fórmula'!F45,57))+(('Fórmula'!I45)/('Fórmula'!C45+'Fórmula'!E45+'Fórmula'!G45+'Fórmula'!I45+'Fórmula'!K45))*(INDEX(properties!A$1:CB$87,'Fórmula'!H45,57))+(('Fórmula'!K45)/('Fórmula'!C45+'Fórmula'!E45+'Fórmula'!G45+'Fórmula'!I45+'Fórmula'!K45))*(INDEX(properties!A$1:CB$87,'Fórmula'!J45,57))</f>
        <v>4.449554</v>
      </c>
      <c r="GA45" s="104">
        <f t="array" ref="GA45">'Fórmula'!C45*(INDEX(properties!A$1:CB$87,'Fórmula'!B45,57))+'Fórmula'!E45*(INDEX(properties!A$1:CB$87,'Fórmula'!D45,57))+'Fórmula'!G45*(INDEX(properties!A$1:CB$87,'Fórmula'!F45,57))+'Fórmula'!I45*(INDEX(properties!A$1:CB$87,'Fórmula'!H45,57))+'Fórmula'!K45*(INDEX(properties!A$1:CB$87,'Fórmula'!J45,57))</f>
        <v>22.24777</v>
      </c>
      <c r="GB45" s="104">
        <f t="array" ref="GB45">VARP(IF(INDEX(properties!A$1:CB$87,'Fórmula'!B45,57)&lt;&gt;"",INDEX(properties!A$1:CB$87,'Fórmula'!B45,57)),IF(INDEX(properties!A$1:CB$87,'Fórmula'!D45,57)&lt;&gt;"",INDEX(properties!A$1:CB$87,'Fórmula'!D45,57)),IF(INDEX(properties!A$1:CB$87,'Fórmula'!F45,57)&lt;&gt;"",INDEX(properties!A$1:CB$87,'Fórmula'!F45,57)),IF(INDEX(properties!A$1:CB$87,'Fórmula'!H45,57)&lt;&gt;"",INDEX(properties!A$1:CB$87,'Fórmula'!H45,57)),IF(INDEX(properties!A$1:CB$87,'Fórmula'!J45,57)&lt;&gt;"",INDEX(properties!A$1:CB$87,'Fórmula'!J45,57)))</f>
        <v>18.44364372</v>
      </c>
      <c r="GC45" s="104">
        <f t="array" ref="GC45">MAX(INDEX(properties!A$1:CB$87,'Fórmula'!B45,57),INDEX(properties!A$1:CB$87,'Fórmula'!D45,57),INDEX(properties!A$1:CB$87,'Fórmula'!F45,57),INDEX(properties!A$1:CB$87,'Fórmula'!H45,57),INDEX(properties!A$1:CB$87,'Fórmula'!J45,57))</f>
        <v>10.79</v>
      </c>
      <c r="GD45" s="104">
        <f t="array" ref="GD45">MIN(IF(INDEX(properties!A$1:CB$87,'Fórmula'!B45,57)=0,10^6,INDEX(properties!A$1:CB$87,'Fórmula'!B45,57)),IF(INDEX(properties!A$1:CB$87,'Fórmula'!D45,57)=0,10^6,INDEX(properties!A$1:CB$87,'Fórmula'!D45,57)),IF(INDEX(properties!A$1:CB$87,'Fórmula'!F45,57)=0,10^6,INDEX(properties!A$1:CB$87,'Fórmula'!F45,57)),IF(INDEX(properties!A$1:CB$87,'Fórmula'!H45,57)=0,10^6,INDEX(properties!A$1:CB$87,'Fórmula'!H45,57)),IF(INDEX(properties!A$1:CB$87,'Fórmula'!J45,57)=0,10^6,INDEX(properties!A$1:CB$87,'Fórmula'!J45,57)))</f>
        <v>0.22259</v>
      </c>
      <c r="GE45" s="104">
        <f t="shared" si="31"/>
        <v>10.56741</v>
      </c>
      <c r="GF45" s="105">
        <f t="array" ref="GF45">(('Fórmula'!C45)/('Fórmula'!C45+'Fórmula'!E45+'Fórmula'!G45+'Fórmula'!I45+'Fórmula'!K45))*(INDEX(properties!A$1:CB$87,'Fórmula'!B45,60))+(('Fórmula'!E45)/('Fórmula'!C45+'Fórmula'!E45+'Fórmula'!G45+'Fórmula'!I45+'Fórmula'!K45))*(INDEX(properties!A$1:CB$87,'Fórmula'!D45,60))+(('Fórmula'!G45)/('Fórmula'!C45+'Fórmula'!E45+'Fórmula'!G45+'Fórmula'!I45+'Fórmula'!K45))*(INDEX(properties!A$1:CB$87,'Fórmula'!F45,60))+(('Fórmula'!I45)/('Fórmula'!C45+'Fórmula'!E45+'Fórmula'!G45+'Fórmula'!I45+'Fórmula'!K45))*(INDEX(properties!A$1:CB$87,'Fórmula'!H45,60))+(('Fórmula'!K45)/('Fórmula'!C45+'Fórmula'!E45+'Fórmula'!G45+'Fórmula'!I45+'Fórmula'!K45))*(INDEX(properties!A$1:CB$87,'Fórmula'!J45,60))</f>
        <v>94.816044</v>
      </c>
      <c r="GG45" s="105">
        <f t="array" ref="GG45">'Fórmula'!C45*(INDEX(properties!A$1:CB$87,'Fórmula'!B45,60))+'Fórmula'!E45*(INDEX(properties!A$1:CB$87,'Fórmula'!D45,60))+'Fórmula'!G45*(INDEX(properties!A$1:CB$87,'Fórmula'!F45,60))+'Fórmula'!I45*(INDEX(properties!A$1:CB$87,'Fórmula'!H45,60))+'Fórmula'!K45*(INDEX(properties!A$1:CB$87,'Fórmula'!J45,60))</f>
        <v>474.08022</v>
      </c>
      <c r="GH45" s="105">
        <f t="array" ref="GH45">VARP(IF(INDEX(properties!A$1:CB$87,'Fórmula'!B45,60)&lt;&gt;"",INDEX(properties!A$1:CB$87,'Fórmula'!B45,60)),IF(INDEX(properties!A$1:CB$87,'Fórmula'!D45,60)&lt;&gt;"",INDEX(properties!A$1:CB$87,'Fórmula'!D45,60)),IF(INDEX(properties!A$1:CB$87,'Fórmula'!F45,60)&lt;&gt;"",INDEX(properties!A$1:CB$87,'Fórmula'!F45,60)),IF(INDEX(properties!A$1:CB$87,'Fórmula'!H45,60)&lt;&gt;"",INDEX(properties!A$1:CB$87,'Fórmula'!H45,60)),IF(INDEX(properties!A$1:CB$87,'Fórmula'!J45,60)&lt;&gt;"",INDEX(properties!A$1:CB$87,'Fórmula'!J45,60)))</f>
        <v>8986.533124</v>
      </c>
      <c r="GI45" s="105">
        <f t="array" ref="GI45">MAX(INDEX(properties!A$1:CB$87,'Fórmula'!B45,60),INDEX(properties!A$1:CB$87,'Fórmula'!D45,60),INDEX(properties!A$1:CB$87,'Fórmula'!F45,60),INDEX(properties!A$1:CB$87,'Fórmula'!H45,60),INDEX(properties!A$1:CB$87,'Fórmula'!J45,60))</f>
        <v>237</v>
      </c>
      <c r="GJ45" s="105">
        <f t="array" ref="GJ45">MIN(IF(INDEX(properties!A$1:CB$87,'Fórmula'!B45,60)=0,10^6,INDEX(properties!A$1:CB$87,'Fórmula'!B45,60)),IF(INDEX(properties!A$1:CB$87,'Fórmula'!D45,60)=0,10^6,INDEX(properties!A$1:CB$87,'Fórmula'!D45,60)),IF(INDEX(properties!A$1:CB$87,'Fórmula'!F45,60)=0,10^6,INDEX(properties!A$1:CB$87,'Fórmula'!F45,60)),IF(INDEX(properties!A$1:CB$87,'Fórmula'!H45,60)=0,10^6,INDEX(properties!A$1:CB$87,'Fórmula'!H45,60)),IF(INDEX(properties!A$1:CB$87,'Fórmula'!J45,60)=0,10^6,INDEX(properties!A$1:CB$87,'Fórmula'!J45,60)))</f>
        <v>0.02674</v>
      </c>
      <c r="GK45" s="105">
        <f t="shared" si="32"/>
        <v>236.97326</v>
      </c>
      <c r="GL45" s="106">
        <f t="array" ref="GL45">(('Fórmula'!C45)/('Fórmula'!C45+'Fórmula'!E45+'Fórmula'!G45+'Fórmula'!I45+'Fórmula'!K45))*(INDEX(properties!A$1:CB$87,'Fórmula'!B45,62))+(('Fórmula'!E45)/('Fórmula'!C45+'Fórmula'!E45+'Fórmula'!G45+'Fórmula'!I45+'Fórmula'!K45))*(INDEX(properties!A$1:CB$87,'Fórmula'!D45,62))+(('Fórmula'!G45)/('Fórmula'!C45+'Fórmula'!E45+'Fórmula'!G45+'Fórmula'!I45+'Fórmula'!K45))*(INDEX(properties!A$1:CB$87,'Fórmula'!F45,62))+(('Fórmula'!I45)/('Fórmula'!C45+'Fórmula'!E45+'Fórmula'!G45+'Fórmula'!I45+'Fórmula'!K45))*(INDEX(properties!A$1:CB$87,'Fórmula'!H45,62))+(('Fórmula'!K45)/('Fórmula'!C45+'Fórmula'!E45+'Fórmula'!G45+'Fórmula'!I45+'Fórmula'!K45))*(INDEX(properties!A$1:CB$87,'Fórmula'!J45,62))</f>
        <v>2.928</v>
      </c>
      <c r="GM45" s="106">
        <f t="array" ref="GM45">'Fórmula'!C45*(INDEX(properties!A$1:CB$87,'Fórmula'!B45,62))+'Fórmula'!E45*(INDEX(properties!A$1:CB$87,'Fórmula'!D45,62))+'Fórmula'!G45*(INDEX(properties!A$1:CB$87,'Fórmula'!F45,62))+'Fórmula'!I45*(INDEX(properties!A$1:CB$87,'Fórmula'!H45,62))+'Fórmula'!K45*(INDEX(properties!A$1:CB$87,'Fórmula'!J45,62))</f>
        <v>14.64</v>
      </c>
      <c r="GN45" s="106">
        <f t="array" ref="GN45">VARP(IF(INDEX(properties!A$1:CB$87,'Fórmula'!B45,62)&lt;&gt;"",INDEX(properties!A$1:CB$87,'Fórmula'!B45,62)),IF(INDEX(properties!A$1:CB$87,'Fórmula'!D45,62)&lt;&gt;"",INDEX(properties!A$1:CB$87,'Fórmula'!D45,62)),IF(INDEX(properties!A$1:CB$87,'Fórmula'!F45,62)&lt;&gt;"",INDEX(properties!A$1:CB$87,'Fórmula'!F45,62)),IF(INDEX(properties!A$1:CB$87,'Fórmula'!H45,62)&lt;&gt;"",INDEX(properties!A$1:CB$87,'Fórmula'!H45,62)),IF(INDEX(properties!A$1:CB$87,'Fórmula'!J45,62)&lt;&gt;"",INDEX(properties!A$1:CB$87,'Fórmula'!J45,62)))</f>
        <v>2.226496</v>
      </c>
      <c r="GO45" s="106">
        <f t="array" ref="GO45">MAX(INDEX(properties!A$1:CB$87,'Fórmula'!B45,62),INDEX(properties!A$1:CB$87,'Fórmula'!D45,62),INDEX(properties!A$1:CB$87,'Fórmula'!F45,62),INDEX(properties!A$1:CB$87,'Fórmula'!H45,62),INDEX(properties!A$1:CB$87,'Fórmula'!J45,62))</f>
        <v>3.39</v>
      </c>
      <c r="GP45" s="106">
        <f t="array" ref="GP45">MIN(IF(INDEX(properties!A$1:CB$87,'Fórmula'!B45,62)=0,10^6,INDEX(properties!A$1:CB$87,'Fórmula'!B45,62)),IF(INDEX(properties!A$1:CB$87,'Fórmula'!D45,62)=0,10^6,INDEX(properties!A$1:CB$87,'Fórmula'!D45,62)),IF(INDEX(properties!A$1:CB$87,'Fórmula'!F45,62)=0,10^6,INDEX(properties!A$1:CB$87,'Fórmula'!F45,62)),IF(INDEX(properties!A$1:CB$87,'Fórmula'!H45,62)=0,10^6,INDEX(properties!A$1:CB$87,'Fórmula'!H45,62)),IF(INDEX(properties!A$1:CB$87,'Fórmula'!J45,62)=0,10^6,INDEX(properties!A$1:CB$87,'Fórmula'!J45,62)))</f>
        <v>2.62</v>
      </c>
      <c r="GQ45" s="106">
        <f t="shared" si="33"/>
        <v>0.77</v>
      </c>
      <c r="GR45" s="106">
        <f>'Fórmula'!Q45</f>
        <v>167</v>
      </c>
      <c r="GS45" s="107">
        <f>'Fórmula'!P45</f>
        <v>4</v>
      </c>
      <c r="GT45" s="113">
        <f>'Fórmula'!O45</f>
        <v>3.98</v>
      </c>
      <c r="GU45" s="114">
        <f>AVERAGE('Fórmula'!R45/'Fórmula'!S45,'Fórmula'!S45/'Fórmula'!T45,'Fórmula'!T45/'Fórmula'!R45)</f>
        <v>1.365379697</v>
      </c>
      <c r="GV45" s="125">
        <f>'Fórmula'!U45</f>
        <v>255.27</v>
      </c>
      <c r="GW45" s="106">
        <f>'Fórmula'!N45</f>
        <v>0.12</v>
      </c>
    </row>
    <row r="46" ht="14.25" customHeight="1">
      <c r="A46" s="99" t="str">
        <f>'Fórmula'!A46</f>
        <v>Ca3La6Si6O24</v>
      </c>
      <c r="B46" s="100">
        <f t="array" ref="B46">(('Fórmula'!C46)/('Fórmula'!C46+'Fórmula'!E46+'Fórmula'!G46+'Fórmula'!I46+'Fórmula'!K46))*(INDEX(properties!A$1:CB$87,'Fórmula'!B46,3))+(('Fórmula'!E46)/('Fórmula'!C46+'Fórmula'!E46+'Fórmula'!G46+'Fórmula'!I46+'Fórmula'!K46))*(INDEX(properties!A$1:CB$87,'Fórmula'!D46,3))+(('Fórmula'!G46)/('Fórmula'!C46+'Fórmula'!E46+'Fórmula'!G46+'Fórmula'!I46+'Fórmula'!K46))*(INDEX(properties!A$1:CB$87,'Fórmula'!F46,3))+(('Fórmula'!I46)/('Fórmula'!C46+'Fórmula'!E46+'Fórmula'!G46+'Fórmula'!I46+'Fórmula'!K46))*(INDEX(properties!A$1:CB$87,'Fórmula'!H46,3))+(('Fórmula'!K46)/('Fórmula'!C46+'Fórmula'!E46+'Fórmula'!G46+'Fórmula'!I46+'Fórmula'!K46))*(INDEX(properties!A$1:CB$87,'Fórmula'!J46,3))</f>
        <v>34.00325714</v>
      </c>
      <c r="C46" s="101">
        <f t="array" ref="C46">'Fórmula'!C46*(INDEX(properties!A$1:CB$87,'Fórmula'!B46,3))+'Fórmula'!E46*(INDEX(properties!A$1:CB$87,'Fórmula'!D46,3))+'Fórmula'!G46*(INDEX(properties!A$1:CB$87,'Fórmula'!F46,3))+'Fórmula'!I46*(INDEX(properties!A$1:CB$87,'Fórmula'!H46,3))+'Fórmula'!K46*(INDEX(properties!A$1:CB$87,'Fórmula'!J46,3))</f>
        <v>1666.1596</v>
      </c>
      <c r="D46" s="101">
        <f t="array" ref="D46">VARP(IF(INDEX(properties!A$1:CB$87,'Fórmula'!B46,3)&lt;&gt;"",INDEX(properties!A$1:CB$87,'Fórmula'!B46,3)),IF(INDEX(properties!A$1:CB$87,'Fórmula'!D46,3)&lt;&gt;"",INDEX(properties!A$1:CB$87,'Fórmula'!D46,3)),IF(INDEX(properties!A$1:CB$87,'Fórmula'!F46,3)&lt;&gt;"",INDEX(properties!A$1:CB$87,'Fórmula'!F46,3)),IF(INDEX(properties!A$1:CB$87,'Fórmula'!H46,3)&lt;&gt;"",INDEX(properties!A$1:CB$87,'Fórmula'!H46,3)),IF(INDEX(properties!A$1:CB$87,'Fórmula'!J46,3)&lt;&gt;"",INDEX(properties!A$1:CB$87,'Fórmula'!J46,3)))</f>
        <v>2398.771582</v>
      </c>
      <c r="E46" s="101">
        <f t="array" ref="E46">MAX(INDEX(properties!A$1:CB$87,'Fórmula'!B46,3),INDEX(properties!A$1:CB$87,'Fórmula'!D46,3),INDEX(properties!A$1:CB$87,'Fórmula'!F46,3),INDEX(properties!A$1:CB$87,'Fórmula'!H46,3),INDEX(properties!A$1:CB$87,'Fórmula'!J46,3))</f>
        <v>138.9055</v>
      </c>
      <c r="F46" s="101">
        <f t="array" ref="F46">MIN(IF(INDEX(properties!A$1:CB$87,'Fórmula'!B46,3)=0,10^6,INDEX(properties!A$1:CB$87,'Fórmula'!B46,3)),IF(INDEX(properties!A$1:CB$87,'Fórmula'!D46,3)=0,10^6,INDEX(properties!A$1:CB$87,'Fórmula'!D46,3)),IF(INDEX(properties!A$1:CB$87,'Fórmula'!F46,3)=0,10^6,INDEX(properties!A$1:CB$87,'Fórmula'!F46,3)),IF(INDEX(properties!A$1:CB$87,'Fórmula'!H46,3)=0,10^6,INDEX(properties!A$1:CB$87,'Fórmula'!H46,3)),IF(INDEX(properties!A$1:CB$87,'Fórmula'!J46,3)=0,10^6,INDEX(properties!A$1:CB$87,'Fórmula'!J46,3)))</f>
        <v>15.9994</v>
      </c>
      <c r="G46" s="101">
        <f t="shared" si="1"/>
        <v>122.9061</v>
      </c>
      <c r="H46" s="102">
        <f t="array" ref="H46">(('Fórmula'!C46)/('Fórmula'!C46+'Fórmula'!E46+'Fórmula'!G46+'Fórmula'!I46+'Fórmula'!K46))*(INDEX(properties!A$1:CB$87,'Fórmula'!B46,4))+(('Fórmula'!E46)/('Fórmula'!C46+'Fórmula'!E46+'Fórmula'!G46+'Fórmula'!I46+'Fórmula'!K46))*(INDEX(properties!A$1:CB$87,'Fórmula'!D46,4))+(('Fórmula'!G46)/('Fórmula'!C46+'Fórmula'!E46+'Fórmula'!G46+'Fórmula'!I46+'Fórmula'!K46))*(INDEX(properties!A$1:CB$87,'Fórmula'!F46,4))+(('Fórmula'!I46)/('Fórmula'!C46+'Fórmula'!E46+'Fórmula'!G46+'Fórmula'!I46+'Fórmula'!K46))*(INDEX(properties!A$1:CB$87,'Fórmula'!H46,4))+(('Fórmula'!K46)/('Fórmula'!C46+'Fórmula'!E46+'Fórmula'!G46+'Fórmula'!I46+'Fórmula'!K46))*(INDEX(properties!A$1:CB$87,'Fórmula'!J46,4))</f>
        <v>15.46938776</v>
      </c>
      <c r="I46" s="102">
        <f t="array" ref="I46">'Fórmula'!C46*(INDEX(properties!A$1:CB$87,'Fórmula'!B46,4))+'Fórmula'!E46*(INDEX(properties!A$1:CB$87,'Fórmula'!D46,4))+'Fórmula'!G46*(INDEX(properties!A$1:CB$87,'Fórmula'!F46,4))+'Fórmula'!I46*(INDEX(properties!A$1:CB$87,'Fórmula'!H46,4))+'Fórmula'!K46*(INDEX(properties!A$1:CB$87,'Fórmula'!J46,4))</f>
        <v>758</v>
      </c>
      <c r="J46" s="102">
        <f t="array" ref="J46">VARP(IF(INDEX(properties!A$1:CB$87,'Fórmula'!B46,4)&lt;&gt;"",INDEX(properties!A$1:CB$87,'Fórmula'!B46,4)),IF(INDEX(properties!A$1:CB$87,'Fórmula'!D46,4)&lt;&gt;"",INDEX(properties!A$1:CB$87,'Fórmula'!D46,4)),IF(INDEX(properties!A$1:CB$87,'Fórmula'!F46,4)&lt;&gt;"",INDEX(properties!A$1:CB$87,'Fórmula'!F46,4)),IF(INDEX(properties!A$1:CB$87,'Fórmula'!H46,4)&lt;&gt;"",INDEX(properties!A$1:CB$87,'Fórmula'!H46,4)),IF(INDEX(properties!A$1:CB$87,'Fórmula'!J46,4)&lt;&gt;"",INDEX(properties!A$1:CB$87,'Fórmula'!J46,4)))</f>
        <v>389.76</v>
      </c>
      <c r="K46" s="102">
        <f t="array" ref="K46">MAX(INDEX(properties!A$1:CB$87,'Fórmula'!B46,4),INDEX(properties!A$1:CB$87,'Fórmula'!D46,4),INDEX(properties!A$1:CB$87,'Fórmula'!F46,4),INDEX(properties!A$1:CB$87,'Fórmula'!H46,4),INDEX(properties!A$1:CB$87,'Fórmula'!J46,4))</f>
        <v>57</v>
      </c>
      <c r="L46" s="102">
        <f t="array" ref="L46">MIN(IF(INDEX(properties!A$1:CB$87,'Fórmula'!B46,4)=0,10^6,INDEX(properties!A$1:CB$87,'Fórmula'!B46,4)),IF(INDEX(properties!A$1:CB$87,'Fórmula'!D46,4)=0,10^6,INDEX(properties!A$1:CB$87,'Fórmula'!D46,4)),IF(INDEX(properties!A$1:CB$87,'Fórmula'!F46,4)=0,10^6,INDEX(properties!A$1:CB$87,'Fórmula'!F46,4)),IF(INDEX(properties!A$1:CB$87,'Fórmula'!H46,4)=0,10^6,INDEX(properties!A$1:CB$87,'Fórmula'!H46,4)),IF(INDEX(properties!A$1:CB$87,'Fórmula'!J46,4)=0,10^6,INDEX(properties!A$1:CB$87,'Fórmula'!J46,4)))</f>
        <v>8</v>
      </c>
      <c r="M46" s="102">
        <f t="shared" si="2"/>
        <v>49</v>
      </c>
      <c r="N46" s="103">
        <f t="array" ref="N46">(('Fórmula'!C46)/('Fórmula'!C46+'Fórmula'!E46+'Fórmula'!G46+'Fórmula'!I46+'Fórmula'!K46))*(INDEX(properties!A$1:CB$87,'Fórmula'!B46,5))+(('Fórmula'!E46)/('Fórmula'!C46+'Fórmula'!E46+'Fórmula'!G46+'Fórmula'!I46+'Fórmula'!K46))*(INDEX(properties!A$1:CB$87,'Fórmula'!D46,5))+(('Fórmula'!G46)/('Fórmula'!C46+'Fórmula'!E46+'Fórmula'!G46+'Fórmula'!I46+'Fórmula'!K46))*(INDEX(properties!A$1:CB$87,'Fórmula'!F46,5))+(('Fórmula'!I46)/('Fórmula'!C46+'Fórmula'!E46+'Fórmula'!G46+'Fórmula'!I46+'Fórmula'!K46))*(INDEX(properties!A$1:CB$87,'Fórmula'!H46,5))+(('Fórmula'!K46)/('Fórmula'!C46+'Fórmula'!E46+'Fórmula'!G46+'Fórmula'!I46+'Fórmula'!K46))*(INDEX(properties!A$1:CB$87,'Fórmula'!J46,5))</f>
        <v>2.734693878</v>
      </c>
      <c r="O46" s="103">
        <f t="array" ref="O46">'Fórmula'!C46*(INDEX(properties!A$1:CB$87,'Fórmula'!B46,5))+'Fórmula'!E46*(INDEX(properties!A$1:CB$87,'Fórmula'!D46,5))+'Fórmula'!G46*(INDEX(properties!A$1:CB$87,'Fórmula'!F46,5))+'Fórmula'!I46*(INDEX(properties!A$1:CB$87,'Fórmula'!H46,5))+'Fórmula'!K46*(INDEX(properties!A$1:CB$87,'Fórmula'!J46,5))</f>
        <v>134</v>
      </c>
      <c r="P46" s="103">
        <f t="array" ref="P46">VARP(IF(INDEX(properties!A$1:CB$87,'Fórmula'!B46,5)&lt;&gt;"",INDEX(properties!A$1:CB$87,'Fórmula'!B46,5)),IF(INDEX(properties!A$1:CB$87,'Fórmula'!D46,5)&lt;&gt;"",INDEX(properties!A$1:CB$87,'Fórmula'!D46,5)),IF(INDEX(properties!A$1:CB$87,'Fórmula'!F46,5)&lt;&gt;"",INDEX(properties!A$1:CB$87,'Fórmula'!F46,5)),IF(INDEX(properties!A$1:CB$87,'Fórmula'!H46,5)&lt;&gt;"",INDEX(properties!A$1:CB$87,'Fórmula'!H46,5)),IF(INDEX(properties!A$1:CB$87,'Fórmula'!J46,5)&lt;&gt;"",INDEX(properties!A$1:CB$87,'Fórmula'!J46,5)))</f>
        <v>4</v>
      </c>
      <c r="Q46" s="103">
        <f t="array" ref="Q46">MAX(INDEX(properties!A$1:CB$87,'Fórmula'!B46,5),INDEX(properties!A$1:CB$87,'Fórmula'!D46,5),INDEX(properties!A$1:CB$87,'Fórmula'!F46,5),INDEX(properties!A$1:CB$87,'Fórmula'!H46,5),INDEX(properties!A$1:CB$87,'Fórmula'!J46,5))</f>
        <v>6</v>
      </c>
      <c r="R46" s="103">
        <f t="array" ref="R46">MIN(IF(INDEX(properties!A$1:CB$87,'Fórmula'!B46,5)=0,10^6,INDEX(properties!A$1:CB$87,'Fórmula'!B46,5)),IF(INDEX(properties!A$1:CB$87,'Fórmula'!D46,5)=0,10^6,INDEX(properties!A$1:CB$87,'Fórmula'!D46,5)),IF(INDEX(properties!A$1:CB$87,'Fórmula'!F46,5)=0,10^6,INDEX(properties!A$1:CB$87,'Fórmula'!F46,5)),IF(INDEX(properties!A$1:CB$87,'Fórmula'!H46,5)=0,10^6,INDEX(properties!A$1:CB$87,'Fórmula'!H46,5)),IF(INDEX(properties!A$1:CB$87,'Fórmula'!J46,5)=0,10^6,INDEX(properties!A$1:CB$87,'Fórmula'!J46,5)))</f>
        <v>2</v>
      </c>
      <c r="S46" s="103">
        <f t="shared" si="3"/>
        <v>4</v>
      </c>
      <c r="T46" s="104">
        <f t="array" ref="T46">(('Fórmula'!C46)/('Fórmula'!C46+'Fórmula'!E46+'Fórmula'!G46+'Fórmula'!I46+'Fórmula'!K46))*(INDEX(properties!A$1:CB$87,'Fórmula'!B46,6))+(('Fórmula'!E46)/('Fórmula'!C46+'Fórmula'!E46+'Fórmula'!G46+'Fórmula'!I46+'Fórmula'!K46))*(INDEX(properties!A$1:CB$87,'Fórmula'!D46,6))+(('Fórmula'!G46)/('Fórmula'!C46+'Fórmula'!E46+'Fórmula'!G46+'Fórmula'!I46+'Fórmula'!K46))*(INDEX(properties!A$1:CB$87,'Fórmula'!F46,6))+(('Fórmula'!I46)/('Fórmula'!C46+'Fórmula'!E46+'Fórmula'!G46+'Fórmula'!I46+'Fórmula'!K46))*(INDEX(properties!A$1:CB$87,'Fórmula'!H46,6))+(('Fórmula'!K46)/('Fórmula'!C46+'Fórmula'!E46+'Fórmula'!G46+'Fórmula'!I46+'Fórmula'!K46))*(INDEX(properties!A$1:CB$87,'Fórmula'!J46,6))</f>
        <v>13.30612245</v>
      </c>
      <c r="U46" s="104">
        <f t="array" ref="U46">'Fórmula'!C46*(INDEX(properties!A$1:CB$87,'Fórmula'!B46,6))+'Fórmula'!E46*(INDEX(properties!A$1:CB$87,'Fórmula'!D46,6))+'Fórmula'!G46*(INDEX(properties!A$1:CB$87,'Fórmula'!F46,6))+'Fórmula'!I46*(INDEX(properties!A$1:CB$87,'Fórmula'!H46,6))+'Fórmula'!K46*(INDEX(properties!A$1:CB$87,'Fórmula'!J46,6))</f>
        <v>652</v>
      </c>
      <c r="V46" s="103">
        <f t="array" ref="V46">VARP(IF(INDEX(properties!A$1:CB$87,'Fórmula'!B46,6)&lt;&gt;"",INDEX(properties!A$1:CB$87,'Fórmula'!B46,6)),IF(INDEX(properties!A$1:CB$87,'Fórmula'!D46,6)&lt;&gt;"",INDEX(properties!A$1:CB$87,'Fórmula'!D46,6)),IF(INDEX(properties!A$1:CB$87,'Fórmula'!F46,6)&lt;&gt;"",INDEX(properties!A$1:CB$87,'Fórmula'!F46,6)),IF(INDEX(properties!A$1:CB$87,'Fórmula'!H46,6)&lt;&gt;"",INDEX(properties!A$1:CB$87,'Fórmula'!H46,6)),IF(INDEX(properties!A$1:CB$87,'Fórmula'!J46,6)&lt;&gt;"",INDEX(properties!A$1:CB$87,'Fórmula'!J46,6)))</f>
        <v>44</v>
      </c>
      <c r="W46" s="104">
        <f t="array" ref="W46">MAX(INDEX(properties!A$1:CB$87,'Fórmula'!B46,6),INDEX(properties!A$1:CB$87,'Fórmula'!D46,6),INDEX(properties!A$1:CB$87,'Fórmula'!F46,6),INDEX(properties!A$1:CB$87,'Fórmula'!H46,4),INDEX(properties!A$1:CB$87,'Fórmula'!J46,6))</f>
        <v>14</v>
      </c>
      <c r="X46" s="104">
        <f t="array" ref="X46">MIN(IF(INDEX(properties!A$1:CB$87,'Fórmula'!B46,6)=0,10^6,INDEX(properties!A$1:CB$87,'Fórmula'!B46,6)),IF(INDEX(properties!A$1:CB$87,'Fórmula'!D46,6)=0,10^6,INDEX(properties!A$1:CB$87,'Fórmula'!D46,6)),IF(INDEX(properties!A$1:CB$87,'Fórmula'!F46,6)=0,10^6,INDEX(properties!A$1:CB$87,'Fórmula'!F46,6)),IF(INDEX(properties!A$1:CB$87,'Fórmula'!H46,6)=0,10^6,INDEX(properties!A$1:CB$87,'Fórmula'!H46,6)),IF(INDEX(properties!A$1:CB$87,'Fórmula'!J46,6)=0,10^6,INDEX(properties!A$1:CB$87,'Fórmula'!J46,6)))</f>
        <v>2</v>
      </c>
      <c r="Y46" s="104">
        <f t="shared" si="4"/>
        <v>12</v>
      </c>
      <c r="Z46" s="105">
        <f t="array" ref="Z46">(('Fórmula'!C46)/('Fórmula'!C46+'Fórmula'!E46+'Fórmula'!G46+'Fórmula'!I46+'Fórmula'!K46))*(INDEX(properties!A$1:CB$87,'Fórmula'!B46,9))+(('Fórmula'!E46)/('Fórmula'!C46+'Fórmula'!E46+'Fórmula'!G46+'Fórmula'!I46+'Fórmula'!K46))*(INDEX(properties!A$1:CB$87,'Fórmula'!D46,9))+(('Fórmula'!G46)/('Fórmula'!C46+'Fórmula'!E46+'Fórmula'!G46+'Fórmula'!I46+'Fórmula'!K46))*(INDEX(properties!A$1:CB$87,'Fórmula'!F46,9))+(('Fórmula'!I46)/('Fórmula'!C46+'Fórmula'!E46+'Fórmula'!G46+'Fórmula'!I46+'Fórmula'!K46))*(INDEX(properties!A$1:CB$87,'Fórmula'!H46,9))+(('Fórmula'!K46)/('Fórmula'!C46+'Fórmula'!E46+'Fórmula'!G46+'Fórmula'!I46+'Fórmula'!K46))*(INDEX(properties!A$1:CB$87,'Fórmula'!J46,9))</f>
        <v>71.93877551</v>
      </c>
      <c r="AA46" s="105">
        <f t="array" ref="AA46">'Fórmula'!C46*(INDEX(properties!A$1:CB$87,'Fórmula'!B46,9))+'Fórmula'!E46*(INDEX(properties!A$1:CB$87,'Fórmula'!D46,9))+'Fórmula'!G46*(INDEX(properties!A$1:CB$87,'Fórmula'!F46,9))+'Fórmula'!I46*(INDEX(properties!A$1:CB$87,'Fórmula'!H46,9))+'Fórmula'!K46*(INDEX(properties!A$1:CB$87,'Fórmula'!J46,9))</f>
        <v>3525</v>
      </c>
      <c r="AB46" s="105">
        <f t="array" ref="AB46">VARP(IF(INDEX(properties!A$1:CB$87,'Fórmula'!B46,9)&lt;&gt;"",INDEX(properties!A$1:CB$87,'Fórmula'!B46,9)),IF(INDEX(properties!A$1:CB$87,'Fórmula'!D46,9)&lt;&gt;"",INDEX(properties!A$1:CB$87,'Fórmula'!D46,9)),IF(INDEX(properties!A$1:CB$87,'Fórmula'!F46,9)&lt;&gt;"",INDEX(properties!A$1:CB$87,'Fórmula'!F46,9)),IF(INDEX(properties!A$1:CB$87,'Fórmula'!H46,9)&lt;&gt;"",INDEX(properties!A$1:CB$87,'Fórmula'!H46,9)),IF(INDEX(properties!A$1:CB$87,'Fórmula'!J46,9)&lt;&gt;"",INDEX(properties!A$1:CB$87,'Fórmula'!J46,9)))</f>
        <v>1405.2</v>
      </c>
      <c r="AC46" s="105">
        <f t="array" ref="AC46">MAX(INDEX(properties!A$1:CB$87,'Fórmula'!B46,9),INDEX(properties!A$1:CB$87,'Fórmula'!D46,9),INDEX(properties!A$1:CB$87,'Fórmula'!F46,9),INDEX(properties!A$1:CB$87,'Fórmula'!H46,9),INDEX(properties!A$1:CB$87,'Fórmula'!J46,9))</f>
        <v>87</v>
      </c>
      <c r="AD46" s="105">
        <f t="array" ref="AD46">MIN(IF(INDEX(properties!A$1:CB$87,'Fórmula'!B46,9)=0,10^6,INDEX(properties!A$1:CB$87,'Fórmula'!B46,9)),IF(INDEX(properties!A$1:CB$87,'Fórmula'!D46,9)=0,10^6,INDEX(properties!A$1:CB$87,'Fórmula'!D46,9)),IF(INDEX(properties!A$1:CB$87,'Fórmula'!F46,9)=0,10^6,INDEX(properties!A$1:CB$87,'Fórmula'!F46,9)),IF(INDEX(properties!A$1:CB$87,'Fórmula'!H46,9)=0,10^6,INDEX(properties!A$1:CB$87,'Fórmula'!H46,9)),IF(INDEX(properties!A$1:CB$87,'Fórmula'!J46,9)=0,10^6,INDEX(properties!A$1:CB$87,'Fórmula'!J46,9)))</f>
        <v>7</v>
      </c>
      <c r="AE46" s="105">
        <f t="shared" si="5"/>
        <v>80</v>
      </c>
      <c r="AF46" s="106">
        <f t="array" ref="AF46">(('Fórmula'!C46)/('Fórmula'!C46+'Fórmula'!E46+'Fórmula'!G46+'Fórmula'!I46+'Fórmula'!K46))*(INDEX(properties!A$1:CB$87,'Fórmula'!B46,10))+(('Fórmula'!E46)/('Fórmula'!C46+'Fórmula'!E46+'Fórmula'!G46+'Fórmula'!I46+'Fórmula'!K46))*(INDEX(properties!A$1:CB$87,'Fórmula'!D46,10))+(('Fórmula'!G46)/('Fórmula'!C46+'Fórmula'!E46+'Fórmula'!G46+'Fórmula'!I46+'Fórmula'!K46))*(INDEX(properties!A$1:CB$87,'Fórmula'!F46,10))+(('Fórmula'!I46)/('Fórmula'!C46+'Fórmula'!E46+'Fórmula'!G46+'Fórmula'!I46+'Fórmula'!K46))*(INDEX(properties!A$1:CB$87,'Fórmula'!H46,10))+(('Fórmula'!K46)/('Fórmula'!C46+'Fórmula'!E46+'Fórmula'!G46+'Fórmula'!I46+'Fórmula'!K46))*(INDEX(properties!A$1:CB$87,'Fórmula'!J46,10))</f>
        <v>6.081632653</v>
      </c>
      <c r="AG46" s="106">
        <f t="array" ref="AG46">'Fórmula'!C46*(INDEX(properties!A$1:CB$87,'Fórmula'!B46,10))+'Fórmula'!E46*(INDEX(properties!A$1:CB$87,'Fórmula'!D46,10))+'Fórmula'!G46*(INDEX(properties!A$1:CB$87,'Fórmula'!F46,10))+'Fórmula'!I46*(INDEX(properties!A$1:CB$87,'Fórmula'!H46,10))+'Fórmula'!K46*(INDEX(properties!A$1:CB$87,'Fórmula'!J46,10))</f>
        <v>298</v>
      </c>
      <c r="AH46" s="106">
        <f t="array" ref="AH46">VARP(IF(INDEX(properties!A$1:CB$87,'Fórmula'!B46,10)&lt;&gt;"",INDEX(properties!A$1:CB$87,'Fórmula'!B46,10)),IF(INDEX(properties!A$1:CB$87,'Fórmula'!D46,10)&lt;&gt;"",INDEX(properties!A$1:CB$87,'Fórmula'!D46,10)),IF(INDEX(properties!A$1:CB$87,'Fórmula'!F46,10)&lt;&gt;"",INDEX(properties!A$1:CB$87,'Fórmula'!F46,10)),IF(INDEX(properties!A$1:CB$87,'Fórmula'!H46,10)&lt;&gt;"",INDEX(properties!A$1:CB$87,'Fórmula'!H46,10)),IF(INDEX(properties!A$1:CB$87,'Fórmula'!J46,10)&lt;&gt;"",INDEX(properties!A$1:CB$87,'Fórmula'!J46,10)))</f>
        <v>6.64</v>
      </c>
      <c r="AI46" s="106">
        <f t="array" ref="AI46">MAX(INDEX(properties!A$1:CB$87,'Fórmula'!B46,10),INDEX(properties!A$1:CB$87,'Fórmula'!D46,10),INDEX(properties!A$1:CB$87,'Fórmula'!F46,10),INDEX(properties!A$1:CB$87,'Fórmula'!H46,10),INDEX(properties!A$1:CB$87,'Fórmula'!J46,10))</f>
        <v>7</v>
      </c>
      <c r="AJ46" s="106">
        <f t="array" ref="AJ46">MIN(IF(INDEX(properties!A$1:CB$87,'Fórmula'!B46,10)=0,10^6,INDEX(properties!A$1:CB$87,'Fórmula'!B46,10)),IF(INDEX(properties!A$1:CB$87,'Fórmula'!D46,10)=0,10^6,INDEX(properties!A$1:CB$87,'Fórmula'!D46,10)),IF(INDEX(properties!A$1:CB$87,'Fórmula'!F46,10)=0,10^6,INDEX(properties!A$1:CB$87,'Fórmula'!F46,10)),IF(INDEX(properties!A$1:CB$87,'Fórmula'!H46,10)=0,10^6,INDEX(properties!A$1:CB$87,'Fórmula'!H46,10)),IF(INDEX(properties!A$1:CB$87,'Fórmula'!J46,10)=0,10^6,INDEX(properties!A$1:CB$87,'Fórmula'!J46,10)))</f>
        <v>2</v>
      </c>
      <c r="AK46" s="106">
        <f t="shared" si="6"/>
        <v>5</v>
      </c>
      <c r="AL46" s="107">
        <f t="array" ref="AL46">(('Fórmula'!C46)/('Fórmula'!C46+'Fórmula'!E46+'Fórmula'!G46+'Fórmula'!I46+'Fórmula'!K46))*(INDEX(properties!A$1:CB$87,'Fórmula'!B46,11))+(('Fórmula'!E46)/('Fórmula'!C46+'Fórmula'!E46+'Fórmula'!G46+'Fórmula'!I46+'Fórmula'!K46))*(INDEX(properties!A$1:CB$87,'Fórmula'!D46,11))+(('Fórmula'!G46)/('Fórmula'!C46+'Fórmula'!E46+'Fórmula'!G46+'Fórmula'!I46+'Fórmula'!K46))*(INDEX(properties!A$1:CB$87,'Fórmula'!F46,11))+(('Fórmula'!I46)/('Fórmula'!C46+'Fórmula'!E46+'Fórmula'!G46+'Fórmula'!I46+'Fórmula'!K46))*(INDEX(properties!A$1:CB$87,'Fórmula'!H46,11))+(('Fórmula'!K46)/('Fórmula'!C46+'Fórmula'!E46+'Fórmula'!G46+'Fórmula'!I46+'Fórmula'!K46))*(INDEX(properties!A$1:CB$87,'Fórmula'!J46,11))</f>
        <v>2</v>
      </c>
      <c r="AM46" s="107">
        <f t="array" ref="AM46">'Fórmula'!C46*(INDEX(properties!A$1:CB$87,'Fórmula'!B46,11))+'Fórmula'!E46*(INDEX(properties!A$1:CB$87,'Fórmula'!D46,11))+'Fórmula'!G46*(INDEX(properties!A$1:CB$87,'Fórmula'!F46,11))+'Fórmula'!I46*(INDEX(properties!A$1:CB$87,'Fórmula'!H46,11))+'Fórmula'!K46*(INDEX(properties!A$1:CB$87,'Fórmula'!J46,11))</f>
        <v>98</v>
      </c>
      <c r="AN46" s="107">
        <f t="array" ref="AN46">VARP(IF(INDEX(properties!A$1:CB$87,'Fórmula'!B46,11)&lt;&gt;"",INDEX(properties!A$1:CB$87,'Fórmula'!B46,11)),IF(INDEX(properties!A$1:CB$87,'Fórmula'!D46,11)&lt;&gt;"",INDEX(properties!A$1:CB$87,'Fórmula'!D46,11)),IF(INDEX(properties!A$1:CB$87,'Fórmula'!F46,11)&lt;&gt;"",INDEX(properties!A$1:CB$87,'Fórmula'!F46,11)),IF(INDEX(properties!A$1:CB$87,'Fórmula'!H46,11)&lt;&gt;"",INDEX(properties!A$1:CB$87,'Fórmula'!H46,11)),IF(INDEX(properties!A$1:CB$87,'Fórmula'!J46,11)&lt;&gt;"",INDEX(properties!A$1:CB$87,'Fórmula'!J46,11)))</f>
        <v>0.64</v>
      </c>
      <c r="AO46" s="107">
        <f t="array" ref="AO46">MAX(INDEX(properties!A$1:CB$87,'Fórmula'!B46,11),INDEX(properties!A$1:CB$87,'Fórmula'!D46,11),INDEX(properties!A$1:CB$87,'Fórmula'!F46,11),INDEX(properties!A$1:CB$87,'Fórmula'!H46,11),INDEX(properties!A$1:CB$87,'Fórmula'!J46,11))</f>
        <v>2</v>
      </c>
      <c r="AP46" s="107">
        <f t="array" ref="AP46">MIN(IF('Fórmula'!B46=87,10^6,INDEX(properties!A$1:CB$87,'Fórmula'!B46,11)),IF(('Fórmula'!D46)=87,10^6,INDEX(properties!A$1:CB$87,'Fórmula'!D46,11)),IF(('Fórmula'!F46)=87,10^6,INDEX(properties!A$1:CB$87,'Fórmula'!F46,11)),IF(('Fórmula'!H46)=87,10^6,INDEX(properties!A$1:CB$87,'Fórmula'!H46,11)),IF('Fórmula'!J46=87,10^6,INDEX(properties!A$1:CB$87,'Fórmula'!J46,11)))</f>
        <v>2</v>
      </c>
      <c r="AQ46" s="107">
        <f t="shared" si="7"/>
        <v>0</v>
      </c>
      <c r="AR46" s="108">
        <f t="array" ref="AR46">(('Fórmula'!C46)/('Fórmula'!C46+'Fórmula'!E46+'Fórmula'!G46+'Fórmula'!I46+'Fórmula'!K46))*(INDEX(properties!A$1:CB$87,'Fórmula'!B46,12))+(('Fórmula'!E46)/('Fórmula'!C46+'Fórmula'!E46+'Fórmula'!G46+'Fórmula'!I46+'Fórmula'!K46))*(INDEX(properties!A$1:CB$87,'Fórmula'!D46,12))+(('Fórmula'!G46)/('Fórmula'!C46+'Fórmula'!E46+'Fórmula'!G46+'Fórmula'!I46+'Fórmula'!K46))*(INDEX(properties!A$1:CB$87,'Fórmula'!F46,12))+(('Fórmula'!I46)/('Fórmula'!C46+'Fórmula'!E46+'Fórmula'!G46+'Fórmula'!I46+'Fórmula'!K46))*(INDEX(properties!A$1:CB$87,'Fórmula'!H46,12))+(('Fórmula'!K46)/('Fórmula'!C46+'Fórmula'!E46+'Fórmula'!G46+'Fórmula'!I46+'Fórmula'!K46))*(INDEX(properties!A$1:CB$87,'Fórmula'!J46,12))</f>
        <v>3.020408163</v>
      </c>
      <c r="AS46" s="108">
        <f t="array" ref="AS46">'Fórmula'!C46*(INDEX(properties!A$1:CB$87,'Fórmula'!B46,12))+'Fórmula'!E46*(INDEX(properties!A$1:CB$87,'Fórmula'!D46,12))+'Fórmula'!G46*(INDEX(properties!A$1:CB$87,'Fórmula'!F46,12))+'Fórmula'!I46*(INDEX(properties!A$1:CB$87,'Fórmula'!H46,12))+'Fórmula'!K46*(INDEX(properties!A$1:CB$87,'Fórmula'!J46,12))</f>
        <v>148</v>
      </c>
      <c r="AT46" s="108">
        <f t="array" ref="AT46">VARP(IF(INDEX(properties!A$1:CB$87,'Fórmula'!B46,12)&lt;&gt;"",INDEX(properties!A$1:CB$87,'Fórmula'!B46,12)),IF(INDEX(properties!A$1:CB$87,'Fórmula'!D46,12)&lt;&gt;"",INDEX(properties!A$1:CB$87,'Fórmula'!D46,12)),IF(INDEX(properties!A$1:CB$87,'Fórmula'!F46,12)&lt;&gt;"",INDEX(properties!A$1:CB$87,'Fórmula'!F46,12)),IF(INDEX(properties!A$1:CB$87,'Fórmula'!H46,12)&lt;&gt;"",INDEX(properties!A$1:CB$87,'Fórmula'!H46,12)),IF(INDEX(properties!A$1:CB$87,'Fórmula'!J46,12)&lt;&gt;"",INDEX(properties!A$1:CB$87,'Fórmula'!J46,12)))</f>
        <v>2.56</v>
      </c>
      <c r="AU46" s="108">
        <f t="array" ref="AU46">MAX(INDEX(properties!A$1:CB$87,'Fórmula'!B46,12),INDEX(properties!A$1:CB$87,'Fórmula'!D46,12),INDEX(properties!A$1:CB$87,'Fórmula'!F46,12),INDEX(properties!A$1:CB$87,'Fórmula'!H46,12),INDEX(properties!A$1:CB$87,'Fórmula'!J46,12))</f>
        <v>4</v>
      </c>
      <c r="AV46" s="108">
        <f t="array" ref="AV46">MIN(IF('Fórmula'!B46=87,10^6,INDEX(properties!A$1:CB$87,'Fórmula'!B46,12)),IF(('Fórmula'!D46)=87,10^6,INDEX(properties!A$1:CB$87,'Fórmula'!D46,12)),IF(('Fórmula'!F46)=87,10^6,INDEX(properties!A$1:CB$87,'Fórmula'!F46,12)),IF(('Fórmula'!H46)=87,10^6,INDEX(properties!A$1:CB$87,'Fórmula'!H46,12)),IF('Fórmula'!J46=87,10^6,INDEX(properties!A$1:CB$87,'Fórmula'!J46,12)))</f>
        <v>0</v>
      </c>
      <c r="AW46" s="108">
        <f t="shared" si="8"/>
        <v>4</v>
      </c>
      <c r="AX46" s="109">
        <f t="array" ref="AX46">(('Fórmula'!C46)/('Fórmula'!C46+'Fórmula'!E46+'Fórmula'!G46+'Fórmula'!I46+'Fórmula'!K46))*(INDEX(properties!A$1:CB$87,'Fórmula'!B46,13))+(('Fórmula'!E46)/('Fórmula'!C46+'Fórmula'!E46+'Fórmula'!G46+'Fórmula'!I46+'Fórmula'!K46))*(INDEX(properties!A$1:CB$87,'Fórmula'!D46,13))+(('Fórmula'!G46)/('Fórmula'!C46+'Fórmula'!E46+'Fórmula'!G46+'Fórmula'!I46+'Fórmula'!K46))*(INDEX(properties!A$1:CB$87,'Fórmula'!F46,13))+(('Fórmula'!I46)/('Fórmula'!C46+'Fórmula'!E46+'Fórmula'!G46+'Fórmula'!I46+'Fórmula'!K46))*(INDEX(properties!A$1:CB$87,'Fórmula'!H46,13))+(('Fórmula'!K46)/('Fórmula'!C46+'Fórmula'!E46+'Fórmula'!G46+'Fórmula'!I46+'Fórmula'!K46))*(INDEX(properties!A$1:CB$87,'Fórmula'!J46,13))</f>
        <v>0.1224489796</v>
      </c>
      <c r="AY46" s="109">
        <f t="array" ref="AY46">'Fórmula'!C46*(INDEX(properties!A$1:CB$87,'Fórmula'!B46,13))+'Fórmula'!E46*(INDEX(properties!A$1:CB$87,'Fórmula'!D46,13))+'Fórmula'!G46*(INDEX(properties!A$1:CB$87,'Fórmula'!F46,13))+'Fórmula'!I46*(INDEX(properties!A$1:CB$87,'Fórmula'!H46,13))+'Fórmula'!K46*(INDEX(properties!A$1:CB$87,'Fórmula'!J46,13))</f>
        <v>6</v>
      </c>
      <c r="AZ46" s="109">
        <f t="array" ref="AZ46">VARP(IF(INDEX(properties!A$1:CB$87,'Fórmula'!B46,13)&lt;&gt;"",INDEX(properties!A$1:CB$87,'Fórmula'!B46,13)),IF(INDEX(properties!A$1:CB$87,'Fórmula'!D46,13)&lt;&gt;"",INDEX(properties!A$1:CB$87,'Fórmula'!D46,13)),IF(INDEX(properties!A$1:CB$87,'Fórmula'!F46,13)&lt;&gt;"",INDEX(properties!A$1:CB$87,'Fórmula'!F46,13)),IF(INDEX(properties!A$1:CB$87,'Fórmula'!H46,13)&lt;&gt;"",INDEX(properties!A$1:CB$87,'Fórmula'!H46,13)),IF(INDEX(properties!A$1:CB$87,'Fórmula'!J46,13)&lt;&gt;"",INDEX(properties!A$1:CB$87,'Fórmula'!J46,13)))</f>
        <v>0.16</v>
      </c>
      <c r="BA46" s="109">
        <f t="array" ref="BA46">MAX(INDEX(properties!A$1:CB$87,'Fórmula'!B46,13),INDEX(properties!A$1:CB$87,'Fórmula'!D46,13),INDEX(properties!A$1:CB$87,'Fórmula'!F46,13),INDEX(properties!A$1:CB$87,'Fórmula'!H46,13),INDEX(properties!A$1:CB$87,'Fórmula'!J46,13))</f>
        <v>1</v>
      </c>
      <c r="BB46" s="109">
        <f t="array" ref="BB46">MIN(IF('Fórmula'!B46=87,10^6,INDEX(properties!A$1:CB$87,'Fórmula'!B46,13)),IF(('Fórmula'!D46)=87,10^6,INDEX(properties!A$1:CB$87,'Fórmula'!D46,13)),IF(('Fórmula'!F46)=87,10^6,INDEX(properties!A$1:CB$87,'Fórmula'!F46,13)),IF(('Fórmula'!H46)=87,10^6,INDEX(properties!A$1:CB$87,'Fórmula'!H46,13)),IF('Fórmula'!J46=87,10^6,INDEX(properties!A$1:CB$87,'Fórmula'!J46,13)))</f>
        <v>0</v>
      </c>
      <c r="BC46" s="109">
        <f t="shared" si="9"/>
        <v>1</v>
      </c>
      <c r="BD46" s="110">
        <f t="array" ref="BD46">(('Fórmula'!C46)/('Fórmula'!C46+'Fórmula'!E46+'Fórmula'!G46+'Fórmula'!I46+'Fórmula'!K46))*(INDEX(properties!A$1:CB$87,'Fórmula'!B46,14))+(('Fórmula'!E46)/('Fórmula'!C46+'Fórmula'!E46+'Fórmula'!G46+'Fórmula'!I46+'Fórmula'!K46))*(INDEX(properties!A$1:CB$87,'Fórmula'!D46,14))+(('Fórmula'!G46)/('Fórmula'!C46+'Fórmula'!E46+'Fórmula'!G46+'Fórmula'!I46+'Fórmula'!K46))*(INDEX(properties!A$1:CB$87,'Fórmula'!F46,14))+(('Fórmula'!I46)/('Fórmula'!C46+'Fórmula'!E46+'Fórmula'!G46+'Fórmula'!I46+'Fórmula'!K46))*(INDEX(properties!A$1:CB$87,'Fórmula'!H46,14))+(('Fórmula'!K46)/('Fórmula'!C46+'Fórmula'!E46+'Fórmula'!G46+'Fórmula'!I46+'Fórmula'!K46))*(INDEX(properties!A$1:CB$87,'Fórmula'!J46,14))</f>
        <v>0</v>
      </c>
      <c r="BE46" s="110">
        <f t="array" ref="BE46">'Fórmula'!C46*(INDEX(properties!A$1:CB$87,'Fórmula'!B46,14))+'Fórmula'!E46*(INDEX(properties!A$1:CB$87,'Fórmula'!D46,14))+'Fórmula'!G46*(INDEX(properties!A$1:CB$87,'Fórmula'!F46,14))+'Fórmula'!I46*(INDEX(properties!A$1:CB$87,'Fórmula'!H46,14))+'Fórmula'!K46*(INDEX(properties!A$1:CB$87,'Fórmula'!J46,14))</f>
        <v>0</v>
      </c>
      <c r="BF46" s="110">
        <f t="array" ref="BF46">VARP(IF(INDEX(properties!A$1:CB$87,'Fórmula'!B46,14)&lt;&gt;"",INDEX(properties!A$1:CB$87,'Fórmula'!B46,14)),IF(INDEX(properties!A$1:CB$87,'Fórmula'!D46,14)&lt;&gt;"",INDEX(properties!A$1:CB$87,'Fórmula'!D46,14)),IF(INDEX(properties!A$1:CB$87,'Fórmula'!F46,14)&lt;&gt;"",INDEX(properties!A$1:CB$87,'Fórmula'!F46,14)),IF(INDEX(properties!A$1:CB$87,'Fórmula'!H46,14)&lt;&gt;"",INDEX(properties!A$1:CB$87,'Fórmula'!H46,14)),IF(INDEX(properties!A$1:CB$87,'Fórmula'!J46,14)&lt;&gt;"",INDEX(properties!A$1:CB$87,'Fórmula'!J46,14)))</f>
        <v>0</v>
      </c>
      <c r="BG46" s="110">
        <f t="array" ref="BG46">MAX(INDEX(properties!A$1:CB$87,'Fórmula'!B46,14),INDEX(properties!A$1:CB$87,'Fórmula'!D46,14),INDEX(properties!A$1:CB$87,'Fórmula'!F46,14),INDEX(properties!A$1:CB$87,'Fórmula'!H46,14),INDEX(properties!A$1:CB$87,'Fórmula'!J46,14))</f>
        <v>0</v>
      </c>
      <c r="BH46" s="110">
        <f t="array" ref="BH46">MIN(IF('Fórmula'!B46=87,10^6,INDEX(properties!A$1:CB$87,'Fórmula'!B46,14)),IF(('Fórmula'!D46)=87,10^6,INDEX(properties!A$1:CB$87,'Fórmula'!D46,14)),IF(('Fórmula'!F46)=87,10^6,INDEX(properties!A$1:CB$87,'Fórmula'!F46,14)),IF(('Fórmula'!H46)=87,10^6,INDEX(properties!A$1:CB$87,'Fórmula'!H46,14)),IF('Fórmula'!J46=87,10^6,INDEX(properties!A$1:CB$87,'Fórmula'!J46,14)))</f>
        <v>0</v>
      </c>
      <c r="BI46" s="110">
        <f t="shared" si="10"/>
        <v>0</v>
      </c>
      <c r="BJ46" s="111">
        <f t="array" ref="BJ46">(('Fórmula'!C46)/('Fórmula'!C46+'Fórmula'!E46+'Fórmula'!G46+'Fórmula'!I46+'Fórmula'!K46))*(INDEX(properties!A$1:CB$87,'Fórmula'!B46,19))+(('Fórmula'!E46)/('Fórmula'!C46+'Fórmula'!E46+'Fórmula'!G46+'Fórmula'!I46+'Fórmula'!K46))*(INDEX(properties!A$1:CB$87,'Fórmula'!D46,19))+(('Fórmula'!G46)/('Fórmula'!C46+'Fórmula'!E46+'Fórmula'!G46+'Fórmula'!I46+'Fórmula'!K46))*(INDEX(properties!A$1:CB$87,'Fórmula'!F46,19))+(('Fórmula'!I46)/('Fórmula'!C46+'Fórmula'!E46+'Fórmula'!G46+'Fórmula'!I46+'Fórmula'!K46))*(INDEX(properties!A$1:CB$87,'Fórmula'!H46,19))+(('Fórmula'!K46)/('Fórmula'!C46+'Fórmula'!E46+'Fórmula'!G46+'Fórmula'!I46+'Fórmula'!K46))*(INDEX(properties!A$1:CB$87,'Fórmula'!J46,19))</f>
        <v>5.142857143</v>
      </c>
      <c r="BK46" s="111">
        <f t="array" ref="BK46">'Fórmula'!C46*(INDEX(properties!A$1:CB$87,'Fórmula'!B46,19))+'Fórmula'!E46*(INDEX(properties!A$1:CB$87,'Fórmula'!D46,19))+'Fórmula'!G46*(INDEX(properties!A$1:CB$87,'Fórmula'!F46,19))+'Fórmula'!I46*(INDEX(properties!A$1:CB$87,'Fórmula'!H46,19))+'Fórmula'!K46*(INDEX(properties!A$1:CB$87,'Fórmula'!J46,19))</f>
        <v>252</v>
      </c>
      <c r="BL46" s="111">
        <f t="array" ref="BL46">VARP(IF(INDEX(properties!A$1:CB$87,'Fórmula'!B46,19)&lt;&gt;"",INDEX(properties!A$1:CB$87,'Fórmula'!B46,19)),IF(INDEX(properties!A$1:CB$87,'Fórmula'!D46,19)&lt;&gt;"",INDEX(properties!A$1:CB$87,'Fórmula'!D46,19)),IF(INDEX(properties!A$1:CB$87,'Fórmula'!F46,19)&lt;&gt;"",INDEX(properties!A$1:CB$87,'Fórmula'!F46,19)),IF(INDEX(properties!A$1:CB$87,'Fórmula'!H46,19)&lt;&gt;"",INDEX(properties!A$1:CB$87,'Fórmula'!H46,19)),IF(INDEX(properties!A$1:CB$87,'Fórmula'!J46,19)&lt;&gt;"",INDEX(properties!A$1:CB$87,'Fórmula'!J46,19)))</f>
        <v>4</v>
      </c>
      <c r="BM46" s="111">
        <f t="array" ref="BM46">MAX(INDEX(properties!A$1:CB$87,'Fórmula'!B46,19),INDEX(properties!A$1:CB$87,'Fórmula'!D46,19),INDEX(properties!A$1:CB$87,'Fórmula'!F46,19),INDEX(properties!A$1:CB$87,'Fórmula'!H46,19),INDEX(properties!A$1:CB$87,'Fórmula'!J46,19))</f>
        <v>6</v>
      </c>
      <c r="BN46" s="111">
        <f t="array" ref="BN46">MIN(IF(INDEX(properties!A$1:CB$87,'Fórmula'!B46,19)=0,10^6,INDEX(properties!A$1:CB$87,'Fórmula'!B46,19)),IF(INDEX(properties!A$1:CB$87,'Fórmula'!D46,19)=0,10^6,INDEX(properties!A$1:CB$87,'Fórmula'!D46,19)),IF(INDEX(properties!A$1:CB$87,'Fórmula'!F46,19)=0,10^6,INDEX(properties!A$1:CB$87,'Fórmula'!F46,19)),IF(INDEX(properties!A$1:CB$87,'Fórmula'!H46,19)=0,10^6,INDEX(properties!A$1:CB$87,'Fórmula'!H46,19)),IF(INDEX(properties!A$1:CB$87,'Fórmula'!J46,19)=0,10^6,INDEX(properties!A$1:CB$87,'Fórmula'!J46,19)))</f>
        <v>2</v>
      </c>
      <c r="BO46" s="111">
        <f t="shared" si="11"/>
        <v>4</v>
      </c>
      <c r="BP46" s="112">
        <f t="array" ref="BP46">(('Fórmula'!C46)/('Fórmula'!C46+'Fórmula'!E46+'Fórmula'!G46+'Fórmula'!I46+'Fórmula'!K46))*(INDEX(properties!A$1:CB$87,'Fórmula'!B46,20))+(('Fórmula'!E46)/('Fórmula'!C46+'Fórmula'!E46+'Fórmula'!G46+'Fórmula'!I46+'Fórmula'!K46))*(INDEX(properties!A$1:CB$87,'Fórmula'!D46,20))+(('Fórmula'!G46)/('Fórmula'!C46+'Fórmula'!E46+'Fórmula'!G46+'Fórmula'!I46+'Fórmula'!K46))*(INDEX(properties!A$1:CB$87,'Fórmula'!F46,20))+(('Fórmula'!I46)/('Fórmula'!C46+'Fórmula'!E46+'Fórmula'!G46+'Fórmula'!I46+'Fórmula'!K46))*(INDEX(properties!A$1:CB$87,'Fórmula'!H46,20))+(('Fórmula'!K46)/('Fórmula'!C46+'Fórmula'!E46+'Fórmula'!G46+'Fórmula'!I46+'Fórmula'!K46))*(INDEX(properties!A$1:CB$87,'Fórmula'!J46,20))</f>
        <v>5.020408163</v>
      </c>
      <c r="BQ46" s="112">
        <f t="array" ref="BQ46">'Fórmula'!C46*(INDEX(properties!A$1:CB$87,'Fórmula'!B46,20))+'Fórmula'!E46*(INDEX(properties!A$1:CB$87,'Fórmula'!D46,20))+'Fórmula'!G46*(INDEX(properties!A$1:CB$87,'Fórmula'!F46,20))+'Fórmula'!I46*(INDEX(properties!A$1:CB$87,'Fórmula'!H46,20))+'Fórmula'!K46*(INDEX(properties!A$1:CB$87,'Fórmula'!J46,20))</f>
        <v>246</v>
      </c>
      <c r="BR46" s="112">
        <f t="array" ref="BR46">VARP(IF(INDEX(properties!A$1:CB$87,'Fórmula'!B46,20)&lt;&gt;"",INDEX(properties!A$1:CB$87,'Fórmula'!B46,20)),IF(INDEX(properties!A$1:CB$87,'Fórmula'!D46,20)&lt;&gt;"",INDEX(properties!A$1:CB$87,'Fórmula'!D46,20)),IF(INDEX(properties!A$1:CB$87,'Fórmula'!F46,20)&lt;&gt;"",INDEX(properties!A$1:CB$87,'Fórmula'!F46,20)),IF(INDEX(properties!A$1:CB$87,'Fórmula'!H46,20)&lt;&gt;"",INDEX(properties!A$1:CB$87,'Fórmula'!H46,20)),IF(INDEX(properties!A$1:CB$87,'Fórmula'!J46,20)&lt;&gt;"",INDEX(properties!A$1:CB$87,'Fórmula'!J46,20)))</f>
        <v>4.16</v>
      </c>
      <c r="BS46" s="112">
        <f t="array" ref="BS46">MAX(INDEX(properties!A$1:CB$87,'Fórmula'!B46,20),INDEX(properties!A$1:CB$87,'Fórmula'!D46,20),INDEX(properties!A$1:CB$87,'Fórmula'!F46,20),INDEX(properties!A$1:CB$87,'Fórmula'!H46,20),INDEX(properties!A$1:CB$87,'Fórmula'!J46,20))</f>
        <v>6</v>
      </c>
      <c r="BT46" s="112">
        <f t="array" ref="BT46">MIN(IF(INDEX(properties!A$1:CB$87,'Fórmula'!B46,20)=0,10^6,INDEX(properties!A$1:CB$87,'Fórmula'!B46,20)),IF(INDEX(properties!A$1:CB$87,'Fórmula'!D46,20)=0,10^6,INDEX(properties!A$1:CB$87,'Fórmula'!D46,20)),IF(INDEX(properties!A$1:CB$87,'Fórmula'!F46,20)=0,10^6,INDEX(properties!A$1:CB$87,'Fórmula'!F46,20)),IF(INDEX(properties!A$1:CB$87,'Fórmula'!H46,20)=0,10^6,INDEX(properties!A$1:CB$87,'Fórmula'!H46,20)),IF(INDEX(properties!A$1:CB$87,'Fórmula'!J46,20)=0,10^6,INDEX(properties!A$1:CB$87,'Fórmula'!J46,20)))</f>
        <v>2</v>
      </c>
      <c r="BU46" s="112">
        <f t="shared" si="12"/>
        <v>4</v>
      </c>
      <c r="BV46" s="113">
        <f t="array" ref="BV46">(('Fórmula'!C46)/('Fórmula'!C46+'Fórmula'!E46+'Fórmula'!G46+'Fórmula'!I46+'Fórmula'!K46))*(INDEX(properties!A$1:CB$87,'Fórmula'!B46,21))+(('Fórmula'!E46)/('Fórmula'!C46+'Fórmula'!E46+'Fórmula'!G46+'Fórmula'!I46+'Fórmula'!K46))*(INDEX(properties!A$1:CB$87,'Fórmula'!D46,21))+(('Fórmula'!G46)/('Fórmula'!C46+'Fórmula'!E46+'Fórmula'!G46+'Fórmula'!I46+'Fórmula'!K46))*(INDEX(properties!A$1:CB$87,'Fórmula'!F46,21))+(('Fórmula'!I46)/('Fórmula'!C46+'Fórmula'!E46+'Fórmula'!G46+'Fórmula'!I46+'Fórmula'!K46))*(INDEX(properties!A$1:CB$87,'Fórmula'!H46,21))+(('Fórmula'!K46)/('Fórmula'!C46+'Fórmula'!E46+'Fórmula'!G46+'Fórmula'!I46+'Fórmula'!K46))*(INDEX(properties!A$1:CB$87,'Fórmula'!J46,21))</f>
        <v>4.897959184</v>
      </c>
      <c r="BW46" s="113">
        <f t="array" ref="BW46">'Fórmula'!C46*(INDEX(properties!A$1:CB$87,'Fórmula'!B46,21))+'Fórmula'!E46*(INDEX(properties!A$1:CB$87,'Fórmula'!D46,21))+'Fórmula'!G46*(INDEX(properties!A$1:CB$87,'Fórmula'!F46,21))+'Fórmula'!I46*(INDEX(properties!A$1:CB$87,'Fórmula'!H46,21))+'Fórmula'!K46*(INDEX(properties!A$1:CB$87,'Fórmula'!J46,21))</f>
        <v>240</v>
      </c>
      <c r="BX46" s="113">
        <f t="array" ref="BX46">VARP(IF(INDEX(properties!A$1:CB$87,'Fórmula'!B46,21)&lt;&gt;"",INDEX(properties!A$1:CB$87,'Fórmula'!B46,21)),IF(INDEX(properties!A$1:CB$87,'Fórmula'!D46,21)&lt;&gt;"",INDEX(properties!A$1:CB$87,'Fórmula'!D46,21)),IF(INDEX(properties!A$1:CB$87,'Fórmula'!F46,21)&lt;&gt;"",INDEX(properties!A$1:CB$87,'Fórmula'!F46,21)),IF(INDEX(properties!A$1:CB$87,'Fórmula'!H46,21)&lt;&gt;"",INDEX(properties!A$1:CB$87,'Fórmula'!H46,21)),IF(INDEX(properties!A$1:CB$87,'Fórmula'!J46,21)&lt;&gt;"",INDEX(properties!A$1:CB$87,'Fórmula'!J46,21)))</f>
        <v>4.64</v>
      </c>
      <c r="BY46" s="113">
        <f t="array" ref="BY46">MAX(INDEX(properties!A$1:CB$87,'Fórmula'!B46,21),INDEX(properties!A$1:CB$87,'Fórmula'!D46,21),INDEX(properties!A$1:CB$87,'Fórmula'!F46,21),INDEX(properties!A$1:CB$87,'Fórmula'!H46,21),INDEX(properties!A$1:CB$87,'Fórmula'!J46,21))</f>
        <v>6</v>
      </c>
      <c r="BZ46" s="113">
        <f t="array" ref="BZ46">MIN(IF(INDEX(properties!A$1:CB$87,'Fórmula'!B46,21)=0,10^6,INDEX(properties!A$1:CB$87,'Fórmula'!B46,21)),IF(INDEX(properties!A$1:CB$87,'Fórmula'!D46,21)=0,10^6,INDEX(properties!A$1:CB$87,'Fórmula'!D46,21)),IF(INDEX(properties!A$1:CB$87,'Fórmula'!F46,21)=0,10^6,INDEX(properties!A$1:CB$87,'Fórmula'!F46,21)),IF(INDEX(properties!A$1:CB$87,'Fórmula'!H46,21)=0,10^6,INDEX(properties!A$1:CB$87,'Fórmula'!H46,21)),IF(INDEX(properties!A$1:CB$87,'Fórmula'!J46,21)=0,10^6,INDEX(properties!A$1:CB$87,'Fórmula'!J46,21)))</f>
        <v>1</v>
      </c>
      <c r="CA46" s="113">
        <f t="shared" si="13"/>
        <v>5</v>
      </c>
      <c r="CB46" s="114">
        <f t="array" ref="CB46">(('Fórmula'!C46)/('Fórmula'!C46+'Fórmula'!E46+'Fórmula'!G46+'Fórmula'!I46+'Fórmula'!K46))*(INDEX(properties!A$1:CB$87,'Fórmula'!B46,23))+(('Fórmula'!E46)/('Fórmula'!C46+'Fórmula'!E46+'Fórmula'!G46+'Fórmula'!I46+'Fórmula'!K46))*(INDEX(properties!A$1:CB$87,'Fórmula'!D46,23))+(('Fórmula'!G46)/('Fórmula'!C46+'Fórmula'!E46+'Fórmula'!G46+'Fórmula'!I46+'Fórmula'!K46))*(INDEX(properties!A$1:CB$87,'Fórmula'!F46,23))+(('Fórmula'!I46)/('Fórmula'!C46+'Fórmula'!E46+'Fórmula'!G46+'Fórmula'!I46+'Fórmula'!K46))*(INDEX(properties!A$1:CB$87,'Fórmula'!H46,23))+(('Fórmula'!K46)/('Fórmula'!C46+'Fórmula'!E46+'Fórmula'!G46+'Fórmula'!I46+'Fórmula'!K46))*(INDEX(properties!A$1:CB$87,'Fórmula'!J46,23))</f>
        <v>0.9795918367</v>
      </c>
      <c r="CC46" s="114">
        <f t="array" ref="CC46">'Fórmula'!C46*(INDEX(properties!A$1:CB$87,'Fórmula'!B46,23))+'Fórmula'!E46*(INDEX(properties!A$1:CB$87,'Fórmula'!D46,23))+'Fórmula'!G46*(INDEX(properties!A$1:CB$87,'Fórmula'!F46,23))+'Fórmula'!I46*(INDEX(properties!A$1:CB$87,'Fórmula'!H46,23))+'Fórmula'!K46*(INDEX(properties!A$1:CB$87,'Fórmula'!J46,23))</f>
        <v>48</v>
      </c>
      <c r="CD46" s="114">
        <f t="array" ref="CD46">VARP(IF(INDEX(properties!A$1:CB$87,'Fórmula'!B46,23)&lt;&gt;"",INDEX(properties!A$1:CB$87,'Fórmula'!B46,23)),IF(INDEX(properties!A$1:CB$87,'Fórmula'!D46,23)&lt;&gt;"",INDEX(properties!A$1:CB$87,'Fórmula'!D46,23)),IF(INDEX(properties!A$1:CB$87,'Fórmula'!F46,23)&lt;&gt;"",INDEX(properties!A$1:CB$87,'Fórmula'!F46,23)),IF(INDEX(properties!A$1:CB$87,'Fórmula'!H46,23)&lt;&gt;"",INDEX(properties!A$1:CB$87,'Fórmula'!H46,23)),IF(INDEX(properties!A$1:CB$87,'Fórmula'!J46,23)&lt;&gt;"",INDEX(properties!A$1:CB$87,'Fórmula'!J46,23)))</f>
        <v>2.56</v>
      </c>
      <c r="CE46" s="114">
        <f t="array" ref="CE46">MAX(INDEX(properties!A$1:CB$87,'Fórmula'!B46,23),INDEX(properties!A$1:CB$87,'Fórmula'!D46,23),INDEX(properties!A$1:CB$87,'Fórmula'!F46,23),INDEX(properties!A$1:CB$87,'Fórmula'!H46,23),INDEX(properties!A$1:CB$87,'Fórmula'!J46,23))</f>
        <v>4</v>
      </c>
      <c r="CF46" s="114">
        <f t="array" ref="CF46">MIN(IF('Fórmula'!B46=87,10^6,INDEX(properties!A$1:CB$87,'Fórmula'!B46,23)),IF(('Fórmula'!D46)=87,10^6,INDEX(properties!A$1:CB$87,'Fórmula'!D46,23)),IF(('Fórmula'!F46)=87,10^6,INDEX(properties!A$1:CB$87,'Fórmula'!F46,23)),IF(('Fórmula'!H46)=87,10^6,INDEX(properties!A$1:CB$87,'Fórmula'!H46,23)),IF('Fórmula'!J46=87,10^6,INDEX(properties!A$1:CB$87,'Fórmula'!J46,23)))</f>
        <v>0</v>
      </c>
      <c r="CG46" s="114">
        <f t="shared" si="14"/>
        <v>4</v>
      </c>
      <c r="CH46" s="115">
        <f t="array" ref="CH46">(('Fórmula'!C46)/('Fórmula'!C46+'Fórmula'!E46+'Fórmula'!G46+'Fórmula'!I46+'Fórmula'!K46))*(INDEX(properties!A$1:CB$87,'Fórmula'!B46,26))+(('Fórmula'!E46)/('Fórmula'!C46+'Fórmula'!E46+'Fórmula'!G46+'Fórmula'!I46+'Fórmula'!K46))*(INDEX(properties!A$1:CB$87,'Fórmula'!D46,26))+(('Fórmula'!G46)/('Fórmula'!C46+'Fórmula'!E46+'Fórmula'!G46+'Fórmula'!I46+'Fórmula'!K46))*(INDEX(properties!A$1:CB$87,'Fórmula'!F46,26))+(('Fórmula'!I46)/('Fórmula'!C46+'Fórmula'!E46+'Fórmula'!G46+'Fórmula'!I46+'Fórmula'!K46))*(INDEX(properties!A$1:CB$87,'Fórmula'!H46,26))+(('Fórmula'!K46)/('Fórmula'!C46+'Fórmula'!E46+'Fórmula'!G46+'Fórmula'!I46+'Fórmula'!K46))*(INDEX(properties!A$1:CB$87,'Fórmula'!J46,26))</f>
        <v>11.50462449</v>
      </c>
      <c r="CI46" s="115">
        <f t="array" ref="CI46">'Fórmula'!C46*(INDEX(properties!A$1:CB$87,'Fórmula'!B46,26))+'Fórmula'!E46*(INDEX(properties!A$1:CB$87,'Fórmula'!D46,26))+'Fórmula'!G46*(INDEX(properties!A$1:CB$87,'Fórmula'!F46,26))+'Fórmula'!I46*(INDEX(properties!A$1:CB$87,'Fórmula'!H46,26))+'Fórmula'!K46*(INDEX(properties!A$1:CB$87,'Fórmula'!J46,26))</f>
        <v>563.7266</v>
      </c>
      <c r="CJ46" s="115">
        <f t="array" ref="CJ46">VARP(IF(INDEX(properties!A$1:CB$87,'Fórmula'!B46,26)&lt;&gt;"",INDEX(properties!A$1:CB$87,'Fórmula'!B46,26)),IF(INDEX(properties!A$1:CB$87,'Fórmula'!D46,26)&lt;&gt;"",INDEX(properties!A$1:CB$87,'Fórmula'!D46,26)),IF(INDEX(properties!A$1:CB$87,'Fórmula'!F46,26)&lt;&gt;"",INDEX(properties!A$1:CB$87,'Fórmula'!F46,26)),IF(INDEX(properties!A$1:CB$87,'Fórmula'!H46,26)&lt;&gt;"",INDEX(properties!A$1:CB$87,'Fórmula'!H46,26)),IF(INDEX(properties!A$1:CB$87,'Fórmula'!J46,26)&lt;&gt;"",INDEX(properties!A$1:CB$87,'Fórmula'!J46,26)))</f>
        <v>19.29258135</v>
      </c>
      <c r="CK46" s="116">
        <f t="array" ref="CK46">MAX(INDEX(properties!A$1:CB$87,'Fórmula'!B46,26),INDEX(properties!A$1:CB$87,'Fórmula'!D46,26),INDEX(properties!A$1:CB$87,'Fórmula'!F46,26),INDEX(properties!A$1:CB$87,'Fórmula'!H46,26),INDEX(properties!A$1:CB$87,'Fórmula'!J46,26))</f>
        <v>13.6181</v>
      </c>
      <c r="CL46" s="116">
        <f t="array" ref="CL46">MIN(IF(INDEX(properties!A$1:CB$87,'Fórmula'!B46,26)=0,10^6,INDEX(properties!A$1:CB$87,'Fórmula'!B46,26)),IF(INDEX(properties!A$1:CB$87,'Fórmula'!D46,26)=0,10^6,INDEX(properties!A$1:CB$87,'Fórmula'!D46,26)),IF(INDEX(properties!A$1:CB$87,'Fórmula'!F46,26)=0,10^6,INDEX(properties!A$1:CB$87,'Fórmula'!F46,26)),IF(INDEX(properties!A$1:CB$87,'Fórmula'!H46,26)=0,10^6,INDEX(properties!A$1:CB$87,'Fórmula'!H46,26)),IF(INDEX(properties!A$1:CB$87,'Fórmula'!J46,26)=0,10^6,INDEX(properties!A$1:CB$87,'Fórmula'!J46,26)))</f>
        <v>5.5769</v>
      </c>
      <c r="CM46" s="115">
        <f t="shared" si="15"/>
        <v>8.0412</v>
      </c>
      <c r="CN46" s="117">
        <f t="array" ref="CN46">(('Fórmula'!C46)/('Fórmula'!C46+'Fórmula'!E46+'Fórmula'!G46+'Fórmula'!I46+'Fórmula'!K46))*(INDEX(properties!A$1:CB$87,'Fórmula'!B46,30))+(('Fórmula'!E46)/('Fórmula'!C46+'Fórmula'!E46+'Fórmula'!G46+'Fórmula'!I46+'Fórmula'!K46))*(INDEX(properties!A$1:CB$87,'Fórmula'!D46,30))+(('Fórmula'!G46)/('Fórmula'!C46+'Fórmula'!E46+'Fórmula'!G46+'Fórmula'!I46+'Fórmula'!K46))*(INDEX(properties!A$1:CB$87,'Fórmula'!F46,30))+(('Fórmula'!I46)/('Fórmula'!C46+'Fórmula'!E46+'Fórmula'!G46+'Fórmula'!I46+'Fórmula'!K46))*(INDEX(properties!A$1:CB$87,'Fórmula'!H46,30))+(('Fórmula'!K46)/('Fórmula'!C46+'Fórmula'!E46+'Fórmula'!G46+'Fórmula'!I46+'Fórmula'!K46))*(INDEX(properties!A$1:CB$87,'Fórmula'!J46,30))</f>
        <v>2.815510204</v>
      </c>
      <c r="CO46" s="117">
        <f t="array" ref="CO46">'Fórmula'!C46*(INDEX(properties!A$1:CB$87,'Fórmula'!B46,30))+'Fórmula'!E46*(INDEX(properties!A$1:CB$87,'Fórmula'!D46,30))+'Fórmula'!G46*(INDEX(properties!A$1:CB$87,'Fórmula'!F46,30))+'Fórmula'!I46*(INDEX(properties!A$1:CB$87,'Fórmula'!H46,30))+'Fórmula'!K46*(INDEX(properties!A$1:CB$87,'Fórmula'!J46,30))</f>
        <v>137.96</v>
      </c>
      <c r="CP46" s="117">
        <f t="array" ref="CP46">VARP(IF(INDEX(properties!A$1:CB$87,'Fórmula'!B46,30)&lt;&gt;"",INDEX(properties!A$1:CB$87,'Fórmula'!B46,30)),IF(INDEX(properties!A$1:CB$87,'Fórmula'!D46,30)&lt;&gt;"",INDEX(properties!A$1:CB$87,'Fórmula'!D46,30)),IF(INDEX(properties!A$1:CB$87,'Fórmula'!F46,30)&lt;&gt;"",INDEX(properties!A$1:CB$87,'Fórmula'!F46,30)),IF(INDEX(properties!A$1:CB$87,'Fórmula'!H46,30)&lt;&gt;"",INDEX(properties!A$1:CB$87,'Fórmula'!H46,30)),IF(INDEX(properties!A$1:CB$87,'Fórmula'!J46,30)&lt;&gt;"",INDEX(properties!A$1:CB$87,'Fórmula'!J46,30)))</f>
        <v>1.316576</v>
      </c>
      <c r="CQ46" s="117">
        <f t="array" ref="CQ46">MAX(INDEX(properties!A$1:CB$87,'Fórmula'!B46,30),INDEX(properties!A$1:CB$87,'Fórmula'!D46,30),INDEX(properties!A$1:CB$87,'Fórmula'!F46,30),INDEX(properties!A$1:CB$87,'Fórmula'!H46,30),INDEX(properties!A$1:CB$87,'Fórmula'!J46,30))</f>
        <v>3.44</v>
      </c>
      <c r="CR46" s="117">
        <f t="array" ref="CR46">MIN(IF(INDEX(properties!A$1:CB$87,'Fórmula'!B46,30)=0,10^6,INDEX(properties!A$1:CB$87,'Fórmula'!B46,30)),IF(INDEX(properties!A$1:CB$87,'Fórmula'!D46,30)=0,10^6,INDEX(properties!A$1:CB$87,'Fórmula'!D46,30)),IF(INDEX(properties!A$1:CB$87,'Fórmula'!F46,30)=0,10^6,INDEX(properties!A$1:CB$87,'Fórmula'!F46,30)),IF(INDEX(properties!A$1:CB$87,'Fórmula'!H46,30)=0,10^6,INDEX(properties!A$1:CB$87,'Fórmula'!H46,30)),IF(INDEX(properties!A$1:CB$87,'Fórmula'!J46,30)=0,10^6,INDEX(properties!A$1:CB$87,'Fórmula'!J46,30)))</f>
        <v>1</v>
      </c>
      <c r="CS46" s="117">
        <f t="shared" si="16"/>
        <v>2.44</v>
      </c>
      <c r="CT46" s="118">
        <f t="array" ref="CT46">(('Fórmula'!C46)/('Fórmula'!C46+'Fórmula'!E46+'Fórmula'!G46+'Fórmula'!I46+'Fórmula'!K46))*(INDEX(properties!A$1:CB$87,'Fórmula'!B46,31))+(('Fórmula'!E46)/('Fórmula'!C46+'Fórmula'!E46+'Fórmula'!G46+'Fórmula'!I46+'Fórmula'!K46))*(INDEX(properties!A$1:CB$87,'Fórmula'!D46,31))+(('Fórmula'!G46)/('Fórmula'!C46+'Fórmula'!E46+'Fórmula'!G46+'Fórmula'!I46+'Fórmula'!K46))*(INDEX(properties!A$1:CB$87,'Fórmula'!F46,31))+(('Fórmula'!I46)/('Fórmula'!C46+'Fórmula'!E46+'Fórmula'!G46+'Fórmula'!I46+'Fórmula'!K46))*(INDEX(properties!A$1:CB$87,'Fórmula'!H46,31))+(('Fórmula'!K46)/('Fórmula'!C46+'Fórmula'!E46+'Fórmula'!G46+'Fórmula'!I46+'Fórmula'!K46))*(INDEX(properties!A$1:CB$87,'Fórmula'!J46,31))</f>
        <v>2.783061224</v>
      </c>
      <c r="CU46" s="118">
        <f t="array" ref="CU46">'Fórmula'!C46*(INDEX(properties!A$1:CB$87,'Fórmula'!B46,31))+'Fórmula'!E46*(INDEX(properties!A$1:CB$87,'Fórmula'!D46,31))+'Fórmula'!G46*(INDEX(properties!A$1:CB$87,'Fórmula'!F46,31))+'Fórmula'!I46*(INDEX(properties!A$1:CB$87,'Fórmula'!H46,31))+'Fórmula'!K46*(INDEX(properties!A$1:CB$87,'Fórmula'!J46,31))</f>
        <v>136.37</v>
      </c>
      <c r="CV46" s="118">
        <f t="array" ref="CV46">VARP(IF(INDEX(properties!A$1:CB$87,'Fórmula'!B46,31)&lt;&gt;"",INDEX(properties!A$1:CB$87,'Fórmula'!B46,31)),IF(INDEX(properties!A$1:CB$87,'Fórmula'!D46,31)&lt;&gt;"",INDEX(properties!A$1:CB$87,'Fórmula'!D46,31)),IF(INDEX(properties!A$1:CB$87,'Fórmula'!F46,31)&lt;&gt;"",INDEX(properties!A$1:CB$87,'Fórmula'!F46,31)),IF(INDEX(properties!A$1:CB$87,'Fórmula'!H46,31)&lt;&gt;"",INDEX(properties!A$1:CB$87,'Fórmula'!H46,31)),IF(INDEX(properties!A$1:CB$87,'Fórmula'!J46,31)&lt;&gt;"",INDEX(properties!A$1:CB$87,'Fórmula'!J46,31)))</f>
        <v>1.180744</v>
      </c>
      <c r="CW46" s="118">
        <f t="array" ref="CW46">MAX(INDEX(properties!A$1:CB$87,'Fórmula'!B46,31),INDEX(properties!A$1:CB$87,'Fórmula'!D46,31),INDEX(properties!A$1:CB$87,'Fórmula'!F46,31),INDEX(properties!A$1:CB$87,'Fórmula'!H46,31),INDEX(properties!A$1:CB$87,'Fórmula'!J46,31))</f>
        <v>3.32</v>
      </c>
      <c r="CX46" s="118">
        <f t="array" ref="CX46">MIN(IF(INDEX(properties!A$1:CB$87,'Fórmula'!B46,31)=0,10^6,INDEX(properties!A$1:CB$87,'Fórmula'!B46,31)),IF(INDEX(properties!A$1:CB$87,'Fórmula'!D46,31)=0,10^6,INDEX(properties!A$1:CB$87,'Fórmula'!D46,31)),IF(INDEX(properties!A$1:CB$87,'Fórmula'!F46,31)=0,10^6,INDEX(properties!A$1:CB$87,'Fórmula'!F46,31)),IF(INDEX(properties!A$1:CB$87,'Fórmula'!H46,31)=0,10^6,INDEX(properties!A$1:CB$87,'Fórmula'!H46,31)),IF(INDEX(properties!A$1:CB$87,'Fórmula'!J46,31)=0,10^6,INDEX(properties!A$1:CB$87,'Fórmula'!J46,31)))</f>
        <v>1.17</v>
      </c>
      <c r="CY46" s="118">
        <f t="shared" si="17"/>
        <v>2.15</v>
      </c>
      <c r="CZ46" s="119">
        <f t="array" ref="CZ46">(('Fórmula'!C46)/('Fórmula'!C46+'Fórmula'!E46+'Fórmula'!G46+'Fórmula'!I46+'Fórmula'!K46))*(INDEX(properties!A$1:CB$87,'Fórmula'!B46,32))+(('Fórmula'!E46)/('Fórmula'!C46+'Fórmula'!E46+'Fórmula'!G46+'Fórmula'!I46+'Fórmula'!K46))*(INDEX(properties!A$1:CB$87,'Fórmula'!D46,32))+(('Fórmula'!G46)/('Fórmula'!C46+'Fórmula'!E46+'Fórmula'!G46+'Fórmula'!I46+'Fórmula'!K46))*(INDEX(properties!A$1:CB$87,'Fórmula'!F46,32))+(('Fórmula'!I46)/('Fórmula'!C46+'Fórmula'!E46+'Fórmula'!G46+'Fórmula'!I46+'Fórmula'!K46))*(INDEX(properties!A$1:CB$87,'Fórmula'!H46,32))+(('Fórmula'!K46)/('Fórmula'!C46+'Fórmula'!E46+'Fórmula'!G46+'Fórmula'!I46+'Fórmula'!K46))*(INDEX(properties!A$1:CB$87,'Fórmula'!J46,32))</f>
        <v>6.330204082</v>
      </c>
      <c r="DA46" s="119">
        <f t="array" ref="DA46">'Fórmula'!C46*(INDEX(properties!A$1:CB$87,'Fórmula'!B46,32))+'Fórmula'!E46*(INDEX(properties!A$1:CB$87,'Fórmula'!D46,32))+'Fórmula'!G46*(INDEX(properties!A$1:CB$87,'Fórmula'!F46,32))+'Fórmula'!I46*(INDEX(properties!A$1:CB$87,'Fórmula'!H46,32))+'Fórmula'!K46*(INDEX(properties!A$1:CB$87,'Fórmula'!J46,32))</f>
        <v>310.18</v>
      </c>
      <c r="DB46" s="119">
        <f t="array" ref="DB46">VARP(IF(INDEX(properties!A$1:CB$87,'Fórmula'!B46,32)&lt;&gt;"",INDEX(properties!A$1:CB$87,'Fórmula'!B46,32)),IF(INDEX(properties!A$1:CB$87,'Fórmula'!D46,32)&lt;&gt;"",INDEX(properties!A$1:CB$87,'Fórmula'!D46,32)),IF(INDEX(properties!A$1:CB$87,'Fórmula'!F46,32)&lt;&gt;"",INDEX(properties!A$1:CB$87,'Fórmula'!F46,32)),IF(INDEX(properties!A$1:CB$87,'Fórmula'!H46,32)&lt;&gt;"",INDEX(properties!A$1:CB$87,'Fórmula'!H46,32)),IF(INDEX(properties!A$1:CB$87,'Fórmula'!J46,32)&lt;&gt;"",INDEX(properties!A$1:CB$87,'Fórmula'!J46,32)))</f>
        <v>6.406416</v>
      </c>
      <c r="DC46" s="119">
        <f t="array" ref="DC46">MAX(INDEX(properties!A$1:CB$87,'Fórmula'!B46,32),INDEX(properties!A$1:CB$87,'Fórmula'!D46,32),INDEX(properties!A$1:CB$87,'Fórmula'!F46,32),INDEX(properties!A$1:CB$87,'Fórmula'!H46,32),INDEX(properties!A$1:CB$87,'Fórmula'!J46,32))</f>
        <v>7.54</v>
      </c>
      <c r="DD46" s="119">
        <f t="array" ref="DD46">MIN(IF(INDEX(properties!A$1:CB$87,'Fórmula'!B46,32)=0,10^6,INDEX(properties!A$1:CB$87,'Fórmula'!B46,32)),IF(INDEX(properties!A$1:CB$87,'Fórmula'!D46,32)=0,10^6,INDEX(properties!A$1:CB$87,'Fórmula'!D46,32)),IF(INDEX(properties!A$1:CB$87,'Fórmula'!F46,32)=0,10^6,INDEX(properties!A$1:CB$87,'Fórmula'!F46,32)),IF(INDEX(properties!A$1:CB$87,'Fórmula'!H46,32)=0,10^6,INDEX(properties!A$1:CB$87,'Fórmula'!H46,32)),IF(INDEX(properties!A$1:CB$87,'Fórmula'!J46,32)=0,10^6,INDEX(properties!A$1:CB$87,'Fórmula'!J46,32)))</f>
        <v>2.2</v>
      </c>
      <c r="DE46" s="119">
        <f t="shared" si="18"/>
        <v>5.34</v>
      </c>
      <c r="DF46" s="104">
        <f t="array" ref="DF46">(('Fórmula'!C46)/('Fórmula'!C46+'Fórmula'!E46+'Fórmula'!G46+'Fórmula'!I46+'Fórmula'!K46))*(INDEX(properties!A$1:CB$87,'Fórmula'!B46,34))+(('Fórmula'!E46)/('Fórmula'!C46+'Fórmula'!E46+'Fórmula'!G46+'Fórmula'!I46+'Fórmula'!K46))*(INDEX(properties!A$1:CB$87,'Fórmula'!D46,34))+(('Fórmula'!G46)/('Fórmula'!C46+'Fórmula'!E46+'Fórmula'!G46+'Fórmula'!I46+'Fórmula'!K46))*(INDEX(properties!A$1:CB$87,'Fórmula'!F46,34))+(('Fórmula'!I46)/('Fórmula'!C46+'Fórmula'!E46+'Fórmula'!G46+'Fórmula'!I46+'Fórmula'!K46))*(INDEX(properties!A$1:CB$87,'Fórmula'!H46,34))+(('Fórmula'!K46)/('Fórmula'!C46+'Fórmula'!E46+'Fórmula'!G46+'Fórmula'!I46+'Fórmula'!K46))*(INDEX(properties!A$1:CB$87,'Fórmula'!J46,34))</f>
        <v>2.936285714</v>
      </c>
      <c r="DG46" s="104">
        <f t="array" ref="DG46">'Fórmula'!C46*(INDEX(properties!A$1:CB$87,'Fórmula'!B46,34))+'Fórmula'!E46*(INDEX(properties!A$1:CB$87,'Fórmula'!D46,34))+'Fórmula'!G46*(INDEX(properties!A$1:CB$87,'Fórmula'!F46,34))+'Fórmula'!I46*(INDEX(properties!A$1:CB$87,'Fórmula'!H46,34))+'Fórmula'!K46*(INDEX(properties!A$1:CB$87,'Fórmula'!J46,34))</f>
        <v>143.878</v>
      </c>
      <c r="DH46" s="104">
        <f t="array" ref="DH46">VARP(IF(INDEX(properties!A$1:CB$87,'Fórmula'!B46,34)&lt;&gt;"",INDEX(properties!A$1:CB$87,'Fórmula'!B46,34)),IF(INDEX(properties!A$1:CB$87,'Fórmula'!D46,34)&lt;&gt;"",INDEX(properties!A$1:CB$87,'Fórmula'!D46,34)),IF(INDEX(properties!A$1:CB$87,'Fórmula'!F46,34)&lt;&gt;"",INDEX(properties!A$1:CB$87,'Fórmula'!F46,34)),IF(INDEX(properties!A$1:CB$87,'Fórmula'!H46,34)&lt;&gt;"",INDEX(properties!A$1:CB$87,'Fórmula'!H46,34)),IF(INDEX(properties!A$1:CB$87,'Fórmula'!J46,34)&lt;&gt;"",INDEX(properties!A$1:CB$87,'Fórmula'!J46,34)))</f>
        <v>1.4511824</v>
      </c>
      <c r="DI46" s="104">
        <f t="array" ref="DI46">MAX(INDEX(properties!A$1:CB$87,'Fórmula'!B46,34),INDEX(properties!A$1:CB$87,'Fórmula'!D46,34),INDEX(properties!A$1:CB$87,'Fórmula'!F46,34),INDEX(properties!A$1:CB$87,'Fórmula'!H46,34),INDEX(properties!A$1:CB$87,'Fórmula'!J46,34))</f>
        <v>3.61</v>
      </c>
      <c r="DJ46" s="104">
        <f t="array" ref="DJ46">MIN(IF(INDEX(properties!A$1:CB$87,'Fórmula'!B46,34)=0,10^6,INDEX(properties!A$1:CB$87,'Fórmula'!B46,34)),IF(INDEX(properties!A$1:CB$87,'Fórmula'!D46,34)=0,10^6,INDEX(properties!A$1:CB$87,'Fórmula'!D46,34)),IF(INDEX(properties!A$1:CB$87,'Fórmula'!F46,34)=0,10^6,INDEX(properties!A$1:CB$87,'Fórmula'!F46,34)),IF(INDEX(properties!A$1:CB$87,'Fórmula'!H46,34)=0,10^6,INDEX(properties!A$1:CB$87,'Fórmula'!H46,34)),IF(INDEX(properties!A$1:CB$87,'Fórmula'!J46,34)=0,10^6,INDEX(properties!A$1:CB$87,'Fórmula'!J46,34)))</f>
        <v>1.034</v>
      </c>
      <c r="DK46" s="104">
        <f t="shared" si="19"/>
        <v>2.576</v>
      </c>
      <c r="DL46" s="105">
        <f t="array" ref="DL46">(('Fórmula'!C46)/('Fórmula'!C46+'Fórmula'!E46+'Fórmula'!G46+'Fórmula'!I46+'Fórmula'!K46))*(INDEX(properties!A$1:CB$87,'Fórmula'!B46,37))+(('Fórmula'!E46)/('Fórmula'!C46+'Fórmula'!E46+'Fórmula'!G46+'Fórmula'!I46+'Fórmula'!K46))*(INDEX(properties!A$1:CB$87,'Fórmula'!D46,37))+(('Fórmula'!G46)/('Fórmula'!C46+'Fórmula'!E46+'Fórmula'!G46+'Fórmula'!I46+'Fórmula'!K46))*(INDEX(properties!A$1:CB$87,'Fórmula'!F46,37))+(('Fórmula'!I46)/('Fórmula'!C46+'Fórmula'!E46+'Fórmula'!G46+'Fórmula'!I46+'Fórmula'!K46))*(INDEX(properties!A$1:CB$87,'Fórmula'!H46,37))+(('Fórmula'!K46)/('Fórmula'!C46+'Fórmula'!E46+'Fórmula'!G46+'Fórmula'!I46+'Fórmula'!K46))*(INDEX(properties!A$1:CB$87,'Fórmula'!J46,37))</f>
        <v>2.82244898</v>
      </c>
      <c r="DM46" s="105">
        <f t="array" ref="DM46">'Fórmula'!C46*(INDEX(properties!A$1:CB$87,'Fórmula'!B46,37))+'Fórmula'!E46*(INDEX(properties!A$1:CB$87,'Fórmula'!D46,37))+'Fórmula'!G46*(INDEX(properties!A$1:CB$87,'Fórmula'!F46,37))+'Fórmula'!I46*(INDEX(properties!A$1:CB$87,'Fórmula'!H46,37))+'Fórmula'!K46*(INDEX(properties!A$1:CB$87,'Fórmula'!J46,37))</f>
        <v>138.3</v>
      </c>
      <c r="DN46" s="105">
        <f t="array" ref="DN46">VARP(IF(INDEX(properties!A$1:CB$87,'Fórmula'!B46,37)&lt;&gt;"",INDEX(properties!A$1:CB$87,'Fórmula'!B46,37)),IF(INDEX(properties!A$1:CB$87,'Fórmula'!D46,37)&lt;&gt;"",INDEX(properties!A$1:CB$87,'Fórmula'!D46,37)),IF(INDEX(properties!A$1:CB$87,'Fórmula'!F46,37)&lt;&gt;"",INDEX(properties!A$1:CB$87,'Fórmula'!F46,37)),IF(INDEX(properties!A$1:CB$87,'Fórmula'!H46,37)&lt;&gt;"",INDEX(properties!A$1:CB$87,'Fórmula'!H46,37)),IF(INDEX(properties!A$1:CB$87,'Fórmula'!J46,37)&lt;&gt;"",INDEX(properties!A$1:CB$87,'Fórmula'!J46,37)))</f>
        <v>1.2964</v>
      </c>
      <c r="DO46" s="105">
        <f t="array" ref="DO46">MAX(INDEX(properties!A$1:CB$87,'Fórmula'!B46,37),INDEX(properties!A$1:CB$87,'Fórmula'!D46,37),INDEX(properties!A$1:CB$87,'Fórmula'!F46,37),INDEX(properties!A$1:CB$87,'Fórmula'!H46,37),INDEX(properties!A$1:CB$87,'Fórmula'!J46,37))</f>
        <v>3.45</v>
      </c>
      <c r="DP46" s="105">
        <f t="array" ref="DP46">MIN(IF(INDEX(properties!A$1:CB$87,'Fórmula'!B46,37)=0,10^6,INDEX(properties!A$1:CB$87,'Fórmula'!B46,37)),IF(INDEX(properties!A$1:CB$87,'Fórmula'!D46,37)=0,10^6,INDEX(properties!A$1:CB$87,'Fórmula'!D46,37)),IF(INDEX(properties!A$1:CB$87,'Fórmula'!F46,37)=0,10^6,INDEX(properties!A$1:CB$87,'Fórmula'!F46,37)),IF(INDEX(properties!A$1:CB$87,'Fórmula'!H46,37)=0,10^6,INDEX(properties!A$1:CB$87,'Fórmula'!H46,37)),IF(INDEX(properties!A$1:CB$87,'Fórmula'!J46,37)=0,10^6,INDEX(properties!A$1:CB$87,'Fórmula'!J46,37)))</f>
        <v>1</v>
      </c>
      <c r="DQ46" s="105">
        <f t="shared" si="20"/>
        <v>2.45</v>
      </c>
      <c r="DR46" s="109">
        <f t="array" ref="DR46">(('Fórmula'!C46)/('Fórmula'!C46+'Fórmula'!E46+'Fórmula'!G46+'Fórmula'!I46+'Fórmula'!K46))*(INDEX(properties!A$1:CB$87,'Fórmula'!B46,39))+(('Fórmula'!E46)/('Fórmula'!C46+'Fórmula'!E46+'Fórmula'!G46+'Fórmula'!I46+'Fórmula'!K46))*(INDEX(properties!A$1:CB$87,'Fórmula'!D46,39))+(('Fórmula'!G46)/('Fórmula'!C46+'Fórmula'!E46+'Fórmula'!G46+'Fórmula'!I46+'Fórmula'!K46))*(INDEX(properties!A$1:CB$87,'Fórmula'!F46,39))+(('Fórmula'!I46)/('Fórmula'!C46+'Fórmula'!E46+'Fórmula'!G46+'Fórmula'!I46+'Fórmula'!K46))*(INDEX(properties!A$1:CB$87,'Fórmula'!H46,39))+(('Fórmula'!K46)/('Fórmula'!C46+'Fórmula'!E46+'Fórmula'!G46+'Fórmula'!I46+'Fórmula'!K46))*(INDEX(properties!A$1:CB$87,'Fórmula'!J46,39))</f>
        <v>0.8265306122</v>
      </c>
      <c r="DS46" s="109">
        <f t="array" ref="DS46">'Fórmula'!C46*(INDEX(properties!A$1:CB$87,'Fórmula'!B46,39))+'Fórmula'!E46*(INDEX(properties!A$1:CB$87,'Fórmula'!D46,39))+'Fórmula'!G46*(INDEX(properties!A$1:CB$87,'Fórmula'!F46,39))+'Fórmula'!I46*(INDEX(properties!A$1:CB$87,'Fórmula'!H46,39))+'Fórmula'!K46*(INDEX(properties!A$1:CB$87,'Fórmula'!J46,39))</f>
        <v>40.5</v>
      </c>
      <c r="DT46" s="109">
        <f t="array" ref="DT46">VARP(IF(INDEX(properties!A$1:CB$87,'Fórmula'!B46,39)&lt;&gt;"",INDEX(properties!A$1:CB$87,'Fórmula'!B46,39)),IF(INDEX(properties!A$1:CB$87,'Fórmula'!D46,39)&lt;&gt;"",INDEX(properties!A$1:CB$87,'Fórmula'!D46,39)),IF(INDEX(properties!A$1:CB$87,'Fórmula'!F46,39)&lt;&gt;"",INDEX(properties!A$1:CB$87,'Fórmula'!F46,39)),IF(INDEX(properties!A$1:CB$87,'Fórmula'!H46,39)&lt;&gt;"",INDEX(properties!A$1:CB$87,'Fórmula'!H46,39)),IF(INDEX(properties!A$1:CB$87,'Fórmula'!J46,39)&lt;&gt;"",INDEX(properties!A$1:CB$87,'Fórmula'!J46,39)))</f>
        <v>0.604504</v>
      </c>
      <c r="DU46" s="120">
        <f t="array" ref="DU46">MAX(INDEX(properties!A$1:CB$87,'Fórmula'!B46,39),INDEX(properties!A$1:CB$87,'Fórmula'!D46,39),INDEX(properties!A$1:CB$87,'Fórmula'!F46,39),INDEX(properties!A$1:CB$87,'Fórmula'!H46,39),INDEX(properties!A$1:CB$87,'Fórmula'!J46,39))</f>
        <v>1.95</v>
      </c>
      <c r="DV46" s="120">
        <f t="array" ref="DV46">MIN(IF(INDEX(properties!A$1:CB$87,'Fórmula'!B46,39)=0,10^6,INDEX(properties!A$1:CB$87,'Fórmula'!B46,39)),IF(INDEX(properties!A$1:CB$87,'Fórmula'!D46,39)=0,10^6,INDEX(properties!A$1:CB$87,'Fórmula'!D46,39)),IF(INDEX(properties!A$1:CB$87,'Fórmula'!F46,39)=0,10^6,INDEX(properties!A$1:CB$87,'Fórmula'!F46,39)),IF(INDEX(properties!A$1:CB$87,'Fórmula'!H46,39)=0,10^6,INDEX(properties!A$1:CB$87,'Fórmula'!H46,39)),IF(INDEX(properties!A$1:CB$87,'Fórmula'!J46,39)=0,10^6,INDEX(properties!A$1:CB$87,'Fórmula'!J46,39)))</f>
        <v>0.48</v>
      </c>
      <c r="DW46" s="109">
        <f t="shared" si="21"/>
        <v>1.47</v>
      </c>
      <c r="DX46" s="110">
        <f t="array" ref="DX46">(('Fórmula'!C46)/('Fórmula'!C46+'Fórmula'!E46+'Fórmula'!G46+'Fórmula'!I46+'Fórmula'!K46))*(INDEX(properties!A$1:CB$87,'Fórmula'!B46,40))+(('Fórmula'!E46)/('Fórmula'!C46+'Fórmula'!E46+'Fórmula'!G46+'Fórmula'!I46+'Fórmula'!K46))*(INDEX(properties!A$1:CB$87,'Fórmula'!D46,40))+(('Fórmula'!G46)/('Fórmula'!C46+'Fórmula'!E46+'Fórmula'!G46+'Fórmula'!I46+'Fórmula'!K46))*(INDEX(properties!A$1:CB$87,'Fórmula'!F46,40))+(('Fórmula'!I46)/('Fórmula'!C46+'Fórmula'!E46+'Fórmula'!G46+'Fórmula'!I46+'Fórmula'!K46))*(INDEX(properties!A$1:CB$87,'Fórmula'!H46,40))+(('Fórmula'!K46)/('Fórmula'!C46+'Fórmula'!E46+'Fórmula'!G46+'Fórmula'!I46+'Fórmula'!K46))*(INDEX(properties!A$1:CB$87,'Fórmula'!J46,40))</f>
        <v>0.9559183673</v>
      </c>
      <c r="DY46" s="110">
        <f t="array" ref="DY46">'Fórmula'!C46*(INDEX(properties!A$1:CB$87,'Fórmula'!B46,40))+'Fórmula'!E46*(INDEX(properties!A$1:CB$87,'Fórmula'!D46,40))+'Fórmula'!G46*(INDEX(properties!A$1:CB$87,'Fórmula'!F46,40))+'Fórmula'!I46*(INDEX(properties!A$1:CB$87,'Fórmula'!H46,40))+'Fórmula'!K46*(INDEX(properties!A$1:CB$87,'Fórmula'!J46,40))</f>
        <v>46.84</v>
      </c>
      <c r="DZ46" s="110">
        <f t="array" ref="DZ46">VARP(IF(INDEX(properties!A$1:CB$87,'Fórmula'!B46,40)&lt;&gt;"",INDEX(properties!A$1:CB$87,'Fórmula'!B46,40)),IF(INDEX(properties!A$1:CB$87,'Fórmula'!D46,40)&lt;&gt;"",INDEX(properties!A$1:CB$87,'Fórmula'!D46,40)),IF(INDEX(properties!A$1:CB$87,'Fórmula'!F46,40)&lt;&gt;"",INDEX(properties!A$1:CB$87,'Fórmula'!F46,40)),IF(INDEX(properties!A$1:CB$87,'Fórmula'!H46,40)&lt;&gt;"",INDEX(properties!A$1:CB$87,'Fórmula'!H46,40)),IF(INDEX(properties!A$1:CB$87,'Fórmula'!J46,40)&lt;&gt;"",INDEX(properties!A$1:CB$87,'Fórmula'!J46,40)))</f>
        <v>0.418824</v>
      </c>
      <c r="EA46" s="121">
        <f t="array" ref="EA46">MAX(INDEX(properties!A$1:CB$87,'Fórmula'!B46,40),INDEX(properties!A$1:CB$87,'Fórmula'!D46,40),INDEX(properties!A$1:CB$87,'Fórmula'!F46,40),INDEX(properties!A$1:CB$87,'Fórmula'!H46,40),INDEX(properties!A$1:CB$87,'Fórmula'!J46,40))</f>
        <v>1.74</v>
      </c>
      <c r="EB46" s="121">
        <f t="array" ref="EB46">MIN(IF(INDEX(properties!A$1:CB$87,'Fórmula'!B46,40)=0,10^6,INDEX(properties!A$1:CB$87,'Fórmula'!B46,40)),IF(INDEX(properties!A$1:CB$87,'Fórmula'!D46,40)=0,10^6,INDEX(properties!A$1:CB$87,'Fórmula'!D46,40)),IF(INDEX(properties!A$1:CB$87,'Fórmula'!F46,40)=0,10^6,INDEX(properties!A$1:CB$87,'Fórmula'!F46,40)),IF(INDEX(properties!A$1:CB$87,'Fórmula'!H46,40)=0,10^6,INDEX(properties!A$1:CB$87,'Fórmula'!H46,40)),IF(INDEX(properties!A$1:CB$87,'Fórmula'!J46,40)=0,10^6,INDEX(properties!A$1:CB$87,'Fórmula'!J46,40)))</f>
        <v>0.73</v>
      </c>
      <c r="EC46" s="110">
        <f t="shared" si="22"/>
        <v>1.01</v>
      </c>
      <c r="ED46" s="111">
        <f t="array" ref="ED46">(('Fórmula'!C46)/('Fórmula'!C46+'Fórmula'!E46+'Fórmula'!G46+'Fórmula'!I46+'Fórmula'!K46))*(INDEX(properties!A$1:CB$87,'Fórmula'!B46,41))+(('Fórmula'!E46)/('Fórmula'!C46+'Fórmula'!E46+'Fórmula'!G46+'Fórmula'!I46+'Fórmula'!K46))*(INDEX(properties!A$1:CB$87,'Fórmula'!D46,41))+(('Fórmula'!G46)/('Fórmula'!C46+'Fórmula'!E46+'Fórmula'!G46+'Fórmula'!I46+'Fórmula'!K46))*(INDEX(properties!A$1:CB$87,'Fórmula'!F46,41))+(('Fórmula'!I46)/('Fórmula'!C46+'Fórmula'!E46+'Fórmula'!G46+'Fórmula'!I46+'Fórmula'!K46))*(INDEX(properties!A$1:CB$87,'Fórmula'!H46,41))+(('Fórmula'!K46)/('Fórmula'!C46+'Fórmula'!E46+'Fórmula'!G46+'Fórmula'!I46+'Fórmula'!K46))*(INDEX(properties!A$1:CB$87,'Fórmula'!J46,41))</f>
        <v>1.153469388</v>
      </c>
      <c r="EE46" s="111">
        <f t="array" ref="EE46">'Fórmula'!C46*(INDEX(properties!A$1:CB$87,'Fórmula'!B46,41))+'Fórmula'!E46*(INDEX(properties!A$1:CB$87,'Fórmula'!D46,41))+'Fórmula'!G46*(INDEX(properties!A$1:CB$87,'Fórmula'!F46,41))+'Fórmula'!I46*(INDEX(properties!A$1:CB$87,'Fórmula'!H46,41))+'Fórmula'!K46*(INDEX(properties!A$1:CB$87,'Fórmula'!J46,41))</f>
        <v>56.52</v>
      </c>
      <c r="EF46" s="111">
        <f t="array" ref="EF46">VARP(IF(INDEX(properties!A$1:CB$87,'Fórmula'!B46,41)&lt;&gt;"",INDEX(properties!A$1:CB$87,'Fórmula'!B46,41)),IF(INDEX(properties!A$1:CB$87,'Fórmula'!D46,41)&lt;&gt;"",INDEX(properties!A$1:CB$87,'Fórmula'!D46,41)),IF(INDEX(properties!A$1:CB$87,'Fórmula'!F46,41)&lt;&gt;"",INDEX(properties!A$1:CB$87,'Fórmula'!F46,41)),IF(INDEX(properties!A$1:CB$87,'Fórmula'!H46,41)&lt;&gt;"",INDEX(properties!A$1:CB$87,'Fórmula'!H46,41)),IF(INDEX(properties!A$1:CB$87,'Fórmula'!J46,41)&lt;&gt;"",INDEX(properties!A$1:CB$87,'Fórmula'!J46,41)))</f>
        <v>0.233856</v>
      </c>
      <c r="EG46" s="122">
        <f t="array" ref="EG46">MAX(INDEX(properties!A$1:CB$87,'Fórmula'!B46,41),INDEX(properties!A$1:CB$87,'Fórmula'!D46,41),INDEX(properties!A$1:CB$87,'Fórmula'!F46,41),INDEX(properties!A$1:CB$87,'Fórmula'!H46,41),INDEX(properties!A$1:CB$87,'Fórmula'!J46,41))</f>
        <v>1.26</v>
      </c>
      <c r="EH46" s="122">
        <f t="array" ref="EH46">MIN(IF(INDEX(properties!A$1:CB$87,'Fórmula'!B46,41)=0,10^6,INDEX(properties!A$1:CB$87,'Fórmula'!B46,41)),IF(INDEX(properties!A$1:CB$87,'Fórmula'!D46,41)=0,10^6,INDEX(properties!A$1:CB$87,'Fórmula'!D46,41)),IF(INDEX(properties!A$1:CB$87,'Fórmula'!F46,41)=0,10^6,INDEX(properties!A$1:CB$87,'Fórmula'!F46,41)),IF(INDEX(properties!A$1:CB$87,'Fórmula'!H46,41)=0,10^6,INDEX(properties!A$1:CB$87,'Fórmula'!H46,41)),IF(INDEX(properties!A$1:CB$87,'Fórmula'!J46,41)=0,10^6,INDEX(properties!A$1:CB$87,'Fórmula'!J46,41)))</f>
        <v>0.54</v>
      </c>
      <c r="EI46" s="111">
        <f t="shared" si="23"/>
        <v>0.72</v>
      </c>
      <c r="EJ46" s="112">
        <f t="array" ref="EJ46">(('Fórmula'!C46)/('Fórmula'!C46+'Fórmula'!E46+'Fórmula'!G46+'Fórmula'!I46+'Fórmula'!K46))*(INDEX(properties!A$1:CB$87,'Fórmula'!B46,45))+(('Fórmula'!E46)/('Fórmula'!C46+'Fórmula'!E46+'Fórmula'!G46+'Fórmula'!I46+'Fórmula'!K46))*(INDEX(properties!A$1:CB$87,'Fórmula'!D46,45))+(('Fórmula'!G46)/('Fórmula'!C46+'Fórmula'!E46+'Fórmula'!G46+'Fórmula'!I46+'Fórmula'!K46))*(INDEX(properties!A$1:CB$87,'Fórmula'!F46,45))+(('Fórmula'!I46)/('Fórmula'!C46+'Fórmula'!E46+'Fórmula'!G46+'Fórmula'!I46+'Fórmula'!K46))*(INDEX(properties!A$1:CB$87,'Fórmula'!H46,45))+(('Fórmula'!K46)/('Fórmula'!C46+'Fórmula'!E46+'Fórmula'!G46+'Fórmula'!I46+'Fórmula'!K46))*(INDEX(properties!A$1:CB$87,'Fórmula'!J46,45))</f>
        <v>1.060816327</v>
      </c>
      <c r="EK46" s="112">
        <f t="array" ref="EK46">'Fórmula'!C46*(INDEX(properties!A$1:CB$87,'Fórmula'!B46,45))+'Fórmula'!E46*(INDEX(properties!A$1:CB$87,'Fórmula'!D46,45))+'Fórmula'!G46*(INDEX(properties!A$1:CB$87,'Fórmula'!F46,45))+'Fórmula'!I46*(INDEX(properties!A$1:CB$87,'Fórmula'!H46,45))+'Fórmula'!K46*(INDEX(properties!A$1:CB$87,'Fórmula'!J46,45))</f>
        <v>51.98</v>
      </c>
      <c r="EL46" s="112">
        <f t="array" ref="EL46">VARP(IF(INDEX(properties!A$1:CB$87,'Fórmula'!B46,45)&lt;&gt;"",INDEX(properties!A$1:CB$87,'Fórmula'!B46,45)),IF(INDEX(properties!A$1:CB$87,'Fórmula'!D46,45)&lt;&gt;"",INDEX(properties!A$1:CB$87,'Fórmula'!D46,45)),IF(INDEX(properties!A$1:CB$87,'Fórmula'!F46,45)&lt;&gt;"",INDEX(properties!A$1:CB$87,'Fórmula'!F46,45)),IF(INDEX(properties!A$1:CB$87,'Fórmula'!H46,45)&lt;&gt;"",INDEX(properties!A$1:CB$87,'Fórmula'!H46,45)),IF(INDEX(properties!A$1:CB$87,'Fórmula'!J46,45)&lt;&gt;"",INDEX(properties!A$1:CB$87,'Fórmula'!J46,45)))</f>
        <v>1.603904</v>
      </c>
      <c r="EM46" s="123">
        <f t="array" ref="EM46">MAX(INDEX(properties!A$1:CB$87,'Fórmula'!B46,45),INDEX(properties!A$1:CB$87,'Fórmula'!D46,45),INDEX(properties!A$1:CB$87,'Fórmula'!F46,45),INDEX(properties!A$1:CB$87,'Fórmula'!H46,45),INDEX(properties!A$1:CB$87,'Fórmula'!J46,45))</f>
        <v>3.08</v>
      </c>
      <c r="EN46" s="123">
        <f t="array" ref="EN46">MIN(IF(INDEX(properties!A$1:CB$87,'Fórmula'!B46,45)=0,10^6,INDEX(properties!A$1:CB$87,'Fórmula'!B46,45)),IF(INDEX(properties!A$1:CB$87,'Fórmula'!D46,45)=0,10^6,INDEX(properties!A$1:CB$87,'Fórmula'!D46,45)),IF(INDEX(properties!A$1:CB$87,'Fórmula'!F46,45)=0,10^6,INDEX(properties!A$1:CB$87,'Fórmula'!F46,45)),IF(INDEX(properties!A$1:CB$87,'Fórmula'!H46,45)=0,10^6,INDEX(properties!A$1:CB$87,'Fórmula'!H46,45)),IF(INDEX(properties!A$1:CB$87,'Fórmula'!J46,45)=0,10^6,INDEX(properties!A$1:CB$87,'Fórmula'!J46,45)))</f>
        <v>0.47</v>
      </c>
      <c r="EO46" s="112">
        <f t="shared" si="24"/>
        <v>2.61</v>
      </c>
      <c r="EP46" s="113">
        <f t="array" ref="EP46">(('Fórmula'!C46)/('Fórmula'!C46+'Fórmula'!E46+'Fórmula'!G46+'Fórmula'!I46+'Fórmula'!K46))*(INDEX(properties!A$1:CB$87,'Fórmula'!B46,46))+(('Fórmula'!E46)/('Fórmula'!C46+'Fórmula'!E46+'Fórmula'!G46+'Fórmula'!I46+'Fórmula'!K46))*(INDEX(properties!A$1:CB$87,'Fórmula'!D46,46))+(('Fórmula'!G46)/('Fórmula'!C46+'Fórmula'!E46+'Fórmula'!G46+'Fórmula'!I46+'Fórmula'!K46))*(INDEX(properties!A$1:CB$87,'Fórmula'!F46,46))+(('Fórmula'!I46)/('Fórmula'!C46+'Fórmula'!E46+'Fórmula'!G46+'Fórmula'!I46+'Fórmula'!K46))*(INDEX(properties!A$1:CB$87,'Fórmula'!H46,46))+(('Fórmula'!K46)/('Fórmula'!C46+'Fórmula'!E46+'Fórmula'!G46+'Fórmula'!I46+'Fórmula'!K46))*(INDEX(properties!A$1:CB$87,'Fórmula'!J46,46))</f>
        <v>1.124897959</v>
      </c>
      <c r="EQ46" s="113">
        <f t="array" ref="EQ46">'Fórmula'!C46*(INDEX(properties!A$1:CB$87,'Fórmula'!B46,46))+'Fórmula'!E46*(INDEX(properties!A$1:CB$87,'Fórmula'!D46,46))+'Fórmula'!G46*(INDEX(properties!A$1:CB$87,'Fórmula'!F46,46))+'Fórmula'!I46*(INDEX(properties!A$1:CB$87,'Fórmula'!H46,46))+'Fórmula'!K46*(INDEX(properties!A$1:CB$87,'Fórmula'!J46,46))</f>
        <v>55.12</v>
      </c>
      <c r="ER46" s="113">
        <f t="array" ref="ER46">VARP(IF(INDEX(properties!A$1:CB$87,'Fórmula'!B46,46)&lt;&gt;"",INDEX(properties!A$1:CB$87,'Fórmula'!B46,46)),IF(INDEX(properties!A$1:CB$87,'Fórmula'!D46,46)&lt;&gt;"",INDEX(properties!A$1:CB$87,'Fórmula'!D46,46)),IF(INDEX(properties!A$1:CB$87,'Fórmula'!F46,46)&lt;&gt;"",INDEX(properties!A$1:CB$87,'Fórmula'!F46,46)),IF(INDEX(properties!A$1:CB$87,'Fórmula'!H46,46)&lt;&gt;"",INDEX(properties!A$1:CB$87,'Fórmula'!H46,46)),IF(INDEX(properties!A$1:CB$87,'Fórmula'!J46,46)&lt;&gt;"",INDEX(properties!A$1:CB$87,'Fórmula'!J46,46)))</f>
        <v>0.278976</v>
      </c>
      <c r="ES46" s="124">
        <f t="array" ref="ES46">MAX(INDEX(properties!A$1:CB$87,'Fórmula'!B46,46),INDEX(properties!A$1:CB$87,'Fórmula'!D46,46),INDEX(properties!A$1:CB$87,'Fórmula'!F46,46),INDEX(properties!A$1:CB$87,'Fórmula'!H46,46),INDEX(properties!A$1:CB$87,'Fórmula'!J46,46))</f>
        <v>1.36</v>
      </c>
      <c r="ET46" s="124">
        <f t="array" ref="ET46">MIN(IF(INDEX(properties!A$1:CB$87,'Fórmula'!B46,46)=0,10^6,INDEX(properties!A$1:CB$87,'Fórmula'!B46,46)),IF(INDEX(properties!A$1:CB$87,'Fórmula'!D46,46)=0,10^6,INDEX(properties!A$1:CB$87,'Fórmula'!D46,46)),IF(INDEX(properties!A$1:CB$87,'Fórmula'!F46,46)=0,10^6,INDEX(properties!A$1:CB$87,'Fórmula'!F46,46)),IF(INDEX(properties!A$1:CB$87,'Fórmula'!H46,46)=0,10^6,INDEX(properties!A$1:CB$87,'Fórmula'!H46,46)),IF(INDEX(properties!A$1:CB$87,'Fórmula'!J46,46)=0,10^6,INDEX(properties!A$1:CB$87,'Fórmula'!J46,46)))</f>
        <v>0.4</v>
      </c>
      <c r="EU46" s="113">
        <f t="shared" si="25"/>
        <v>0.96</v>
      </c>
      <c r="EV46" s="114">
        <f t="array" ref="EV46">(('Fórmula'!C46)/('Fórmula'!C46+'Fórmula'!E46+'Fórmula'!G46+'Fórmula'!I46+'Fórmula'!K46))*(INDEX(properties!A$1:CB$87,'Fórmula'!B46,52))+(('Fórmula'!E46)/('Fórmula'!C46+'Fórmula'!E46+'Fórmula'!G46+'Fórmula'!I46+'Fórmula'!K46))*(INDEX(properties!A$1:CB$87,'Fórmula'!D46,52))+(('Fórmula'!G46)/('Fórmula'!C46+'Fórmula'!E46+'Fórmula'!G46+'Fórmula'!I46+'Fórmula'!K46))*(INDEX(properties!A$1:CB$87,'Fórmula'!F46,52))+(('Fórmula'!I46)/('Fórmula'!C46+'Fórmula'!E46+'Fórmula'!G46+'Fórmula'!I46+'Fórmula'!K46))*(INDEX(properties!A$1:CB$87,'Fórmula'!H46,52))+(('Fórmula'!K46)/('Fórmula'!C46+'Fórmula'!E46+'Fórmula'!G46+'Fórmula'!I46+'Fórmula'!K46))*(INDEX(properties!A$1:CB$87,'Fórmula'!J46,52))</f>
        <v>6.41555102</v>
      </c>
      <c r="EW46" s="114">
        <f t="array" ref="EW46">'Fórmula'!C46*(INDEX(properties!A$1:CB$87,'Fórmula'!B46,52))+'Fórmula'!E46*(INDEX(properties!A$1:CB$87,'Fórmula'!D46,52))+'Fórmula'!G46*(INDEX(properties!A$1:CB$87,'Fórmula'!F46,52))+'Fórmula'!I46*(INDEX(properties!A$1:CB$87,'Fórmula'!H46,52))+'Fórmula'!K46*(INDEX(properties!A$1:CB$87,'Fórmula'!J46,52))</f>
        <v>314.362</v>
      </c>
      <c r="EX46" s="114">
        <f t="array" ref="EX46">VARP(IF(INDEX(properties!A$1:CB$87,'Fórmula'!B46,52)&lt;&gt;"",INDEX(properties!A$1:CB$87,'Fórmula'!B46,52)),IF(INDEX(properties!A$1:CB$87,'Fórmula'!D46,52)&lt;&gt;"",INDEX(properties!A$1:CB$87,'Fórmula'!D46,52)),IF(INDEX(properties!A$1:CB$87,'Fórmula'!F46,52)&lt;&gt;"",INDEX(properties!A$1:CB$87,'Fórmula'!F46,52)),IF(INDEX(properties!A$1:CB$87,'Fórmula'!H46,52)&lt;&gt;"",INDEX(properties!A$1:CB$87,'Fórmula'!H46,52)),IF(INDEX(properties!A$1:CB$87,'Fórmula'!J46,52)&lt;&gt;"",INDEX(properties!A$1:CB$87,'Fórmula'!J46,52)))</f>
        <v>158.9210238</v>
      </c>
      <c r="EY46" s="114">
        <f t="array" ref="EY46">MAX(INDEX(properties!A$1:CB$87,'Fórmula'!B46,52),INDEX(properties!A$1:CB$87,'Fórmula'!D46,52),INDEX(properties!A$1:CB$87,'Fórmula'!F46,52),INDEX(properties!A$1:CB$87,'Fórmula'!H46,52),INDEX(properties!A$1:CB$87,'Fórmula'!J46,52))</f>
        <v>31.1</v>
      </c>
      <c r="EZ46" s="114">
        <f t="array" ref="EZ46">MIN(IF(INDEX(properties!A$1:CB$87,'Fórmula'!B46,52)=0,10^6,INDEX(properties!A$1:CB$87,'Fórmula'!B46,52)),IF(INDEX(properties!A$1:CB$87,'Fórmula'!D46,52)=0,10^6,INDEX(properties!A$1:CB$87,'Fórmula'!D46,52)),IF(INDEX(properties!A$1:CB$87,'Fórmula'!F46,52)=0,10^6,INDEX(properties!A$1:CB$87,'Fórmula'!F46,52)),IF(INDEX(properties!A$1:CB$87,'Fórmula'!H46,52)=0,10^6,INDEX(properties!A$1:CB$87,'Fórmula'!H46,52)),IF(INDEX(properties!A$1:CB$87,'Fórmula'!J46,52)=0,10^6,INDEX(properties!A$1:CB$87,'Fórmula'!J46,52)))</f>
        <v>0.793</v>
      </c>
      <c r="FA46" s="114">
        <f t="shared" si="26"/>
        <v>30.307</v>
      </c>
      <c r="FB46" s="115">
        <f t="array" ref="FB46">(('Fórmula'!C46)/('Fórmula'!C46+'Fórmula'!E46+'Fórmula'!G46+'Fórmula'!I46+'Fórmula'!K46))*(INDEX(properties!A$1:CB$87,'Fórmula'!B46,53))+(('Fórmula'!E46)/('Fórmula'!C46+'Fórmula'!E46+'Fórmula'!G46+'Fórmula'!I46+'Fórmula'!K46))*(INDEX(properties!A$1:CB$87,'Fórmula'!D46,53))+(('Fórmula'!G46)/('Fórmula'!C46+'Fórmula'!E46+'Fórmula'!G46+'Fórmula'!I46+'Fórmula'!K46))*(INDEX(properties!A$1:CB$87,'Fórmula'!F46,53))+(('Fórmula'!I46)/('Fórmula'!C46+'Fórmula'!E46+'Fórmula'!G46+'Fórmula'!I46+'Fórmula'!K46))*(INDEX(properties!A$1:CB$87,'Fórmula'!H46,53))+(('Fórmula'!K46)/('Fórmula'!C46+'Fórmula'!E46+'Fórmula'!G46+'Fórmula'!I46+'Fórmula'!K46))*(INDEX(properties!A$1:CB$87,'Fórmula'!J46,53))</f>
        <v>458.2806122</v>
      </c>
      <c r="FC46" s="115">
        <f t="array" ref="FC46">'Fórmula'!C46*(INDEX(properties!A$1:CB$87,'Fórmula'!B46,53))+'Fórmula'!E46*(INDEX(properties!A$1:CB$87,'Fórmula'!D46,53))+'Fórmula'!G46*(INDEX(properties!A$1:CB$87,'Fórmula'!F46,53))+'Fórmula'!I46*(INDEX(properties!A$1:CB$87,'Fórmula'!H46,53))+'Fórmula'!K46*(INDEX(properties!A$1:CB$87,'Fórmula'!J46,53))</f>
        <v>22455.75</v>
      </c>
      <c r="FD46" s="115">
        <f t="array" ref="FD46">VARP(IF(INDEX(properties!A$1:CB$87,'Fórmula'!B46,53)&lt;&gt;"",INDEX(properties!A$1:CB$87,'Fórmula'!B46,53)),IF(INDEX(properties!A$1:CB$87,'Fórmula'!D46,53)&lt;&gt;"",INDEX(properties!A$1:CB$87,'Fórmula'!D46,53)),IF(INDEX(properties!A$1:CB$87,'Fórmula'!F46,53)&lt;&gt;"",INDEX(properties!A$1:CB$87,'Fórmula'!F46,53)),IF(INDEX(properties!A$1:CB$87,'Fórmula'!H46,53)&lt;&gt;"",INDEX(properties!A$1:CB$87,'Fórmula'!H46,53)),IF(INDEX(properties!A$1:CB$87,'Fórmula'!J46,53)&lt;&gt;"",INDEX(properties!A$1:CB$87,'Fórmula'!J46,53)))</f>
        <v>445396.5564</v>
      </c>
      <c r="FE46" s="115">
        <f t="array" ref="FE46">MAX(INDEX(properties!A$1:CB$87,'Fórmula'!B46,53),INDEX(properties!A$1:CB$87,'Fórmula'!D46,53),INDEX(properties!A$1:CB$87,'Fórmula'!F46,53),INDEX(properties!A$1:CB$87,'Fórmula'!H46,53),INDEX(properties!A$1:CB$87,'Fórmula'!J46,53))</f>
        <v>1683.15</v>
      </c>
      <c r="FF46" s="115">
        <f t="array" ref="FF46">MIN(IF(INDEX(properties!A$1:CB$87,'Fórmula'!B46,53)=0,10^6,INDEX(properties!A$1:CB$87,'Fórmula'!B46,53)),IF(INDEX(properties!A$1:CB$87,'Fórmula'!D46,53)=0,10^6,INDEX(properties!A$1:CB$87,'Fórmula'!D46,53)),IF(INDEX(properties!A$1:CB$87,'Fórmula'!F46,53)=0,10^6,INDEX(properties!A$1:CB$87,'Fórmula'!F46,53)),IF(INDEX(properties!A$1:CB$87,'Fórmula'!H46,53)=0,10^6,INDEX(properties!A$1:CB$87,'Fórmula'!H46,53)),IF(INDEX(properties!A$1:CB$87,'Fórmula'!J46,53)=0,10^6,INDEX(properties!A$1:CB$87,'Fórmula'!J46,53)))</f>
        <v>54.75</v>
      </c>
      <c r="FG46" s="115">
        <f t="shared" si="27"/>
        <v>1628.4</v>
      </c>
      <c r="FH46" s="117">
        <f t="array" ref="FH46">(('Fórmula'!C46)/('Fórmula'!C46+'Fórmula'!E46+'Fórmula'!G46+'Fórmula'!I46+'Fórmula'!K46))*(INDEX(properties!A$1:CB$87,'Fórmula'!B46,54))+(('Fórmula'!E46)/('Fórmula'!C46+'Fórmula'!E46+'Fórmula'!G46+'Fórmula'!I46+'Fórmula'!K46))*(INDEX(properties!A$1:CB$87,'Fórmula'!D46,54))+(('Fórmula'!G46)/('Fórmula'!C46+'Fórmula'!E46+'Fórmula'!G46+'Fórmula'!I46+'Fórmula'!K46))*(INDEX(properties!A$1:CB$87,'Fórmula'!F46,54))+(('Fórmula'!I46)/('Fórmula'!C46+'Fórmula'!E46+'Fórmula'!G46+'Fórmula'!I46+'Fórmula'!K46))*(INDEX(properties!A$1:CB$87,'Fórmula'!H46,54))+(('Fórmula'!K46)/('Fórmula'!C46+'Fórmula'!E46+'Fórmula'!G46+'Fórmula'!I46+'Fórmula'!K46))*(INDEX(properties!A$1:CB$87,'Fórmula'!J46,54))</f>
        <v>948.3336735</v>
      </c>
      <c r="FI46" s="117">
        <f t="array" ref="FI46">'Fórmula'!C46*(INDEX(properties!A$1:CB$87,'Fórmula'!B46,54))+'Fórmula'!E46*(INDEX(properties!A$1:CB$87,'Fórmula'!D46,54))+'Fórmula'!G46*(INDEX(properties!A$1:CB$87,'Fórmula'!F46,54))+'Fórmula'!I46*(INDEX(properties!A$1:CB$87,'Fórmula'!H46,54))+'Fórmula'!K46*(INDEX(properties!A$1:CB$87,'Fórmula'!J46,54))</f>
        <v>46468.35</v>
      </c>
      <c r="FJ46" s="117">
        <f t="array" ref="FJ46">VARP(IF(INDEX(properties!A$1:CB$87,'Fórmula'!B46,54)&lt;&gt;"",INDEX(properties!A$1:CB$87,'Fórmula'!B46,54)),IF(INDEX(properties!A$1:CB$87,'Fórmula'!D46,54)&lt;&gt;"",INDEX(properties!A$1:CB$87,'Fórmula'!D46,54)),IF(INDEX(properties!A$1:CB$87,'Fórmula'!F46,54)&lt;&gt;"",INDEX(properties!A$1:CB$87,'Fórmula'!F46,54)),IF(INDEX(properties!A$1:CB$87,'Fórmula'!H46,54)&lt;&gt;"",INDEX(properties!A$1:CB$87,'Fórmula'!H46,54)),IF(INDEX(properties!A$1:CB$87,'Fórmula'!J46,54)&lt;&gt;"",INDEX(properties!A$1:CB$87,'Fórmula'!J46,54)))</f>
        <v>2087598.668</v>
      </c>
      <c r="FK46" s="117">
        <f t="array" ref="FK46">MAX(INDEX(properties!A$1:CB$87,'Fórmula'!B46,54),INDEX(properties!A$1:CB$87,'Fórmula'!D46,54),INDEX(properties!A$1:CB$87,'Fórmula'!F46,54),INDEX(properties!A$1:CB$87,'Fórmula'!H46,54),INDEX(properties!A$1:CB$87,'Fórmula'!J46,54))</f>
        <v>3727.15</v>
      </c>
      <c r="FL46" s="117">
        <f t="array" ref="FL46">MIN(IF(INDEX(properties!A$1:CB$87,'Fórmula'!B46,54)=0,10^6,INDEX(properties!A$1:CB$87,'Fórmula'!B46,54)),IF(INDEX(properties!A$1:CB$87,'Fórmula'!D46,54)=0,10^6,INDEX(properties!A$1:CB$87,'Fórmula'!D46,54)),IF(INDEX(properties!A$1:CB$87,'Fórmula'!F46,54)=0,10^6,INDEX(properties!A$1:CB$87,'Fórmula'!F46,54)),IF(INDEX(properties!A$1:CB$87,'Fórmula'!H46,54)=0,10^6,INDEX(properties!A$1:CB$87,'Fórmula'!H46,54)),IF(INDEX(properties!A$1:CB$87,'Fórmula'!J46,54)=0,10^6,INDEX(properties!A$1:CB$87,'Fórmula'!J46,54)))</f>
        <v>90.15</v>
      </c>
      <c r="FM46" s="117">
        <f t="shared" si="28"/>
        <v>3637</v>
      </c>
      <c r="FN46" s="118">
        <f t="array" ref="FN46">(('Fórmula'!C46)/('Fórmula'!C46+'Fórmula'!E46+'Fórmula'!G46+'Fórmula'!I46+'Fórmula'!K46))*(INDEX(properties!A$1:CB$87,'Fórmula'!B46,55))+(('Fórmula'!E46)/('Fórmula'!C46+'Fórmula'!E46+'Fórmula'!G46+'Fórmula'!I46+'Fórmula'!K46))*(INDEX(properties!A$1:CB$87,'Fórmula'!D46,55))+(('Fórmula'!G46)/('Fórmula'!C46+'Fórmula'!E46+'Fórmula'!G46+'Fórmula'!I46+'Fórmula'!K46))*(INDEX(properties!A$1:CB$87,'Fórmula'!F46,55))+(('Fórmula'!I46)/('Fórmula'!C46+'Fórmula'!E46+'Fórmula'!G46+'Fórmula'!I46+'Fórmula'!K46))*(INDEX(properties!A$1:CB$87,'Fórmula'!H46,55))+(('Fórmula'!K46)/('Fórmula'!C46+'Fórmula'!E46+'Fórmula'!G46+'Fórmula'!I46+'Fórmula'!K46))*(INDEX(properties!A$1:CB$87,'Fórmula'!J46,55))</f>
        <v>1.134257551</v>
      </c>
      <c r="FO46" s="118">
        <f t="array" ref="FO46">'Fórmula'!C46*(INDEX(properties!A$1:CB$87,'Fórmula'!B46,55))+'Fórmula'!E46*(INDEX(properties!A$1:CB$87,'Fórmula'!D46,54))+'Fórmula'!G46*(INDEX(properties!A$1:CB$87,'Fórmula'!F46,55))+'Fórmula'!I46*(INDEX(properties!A$1:CB$87,'Fórmula'!H46,55))+'Fórmula'!K46*(INDEX(properties!A$1:CB$87,'Fórmula'!J46,55))</f>
        <v>22381.57862</v>
      </c>
      <c r="FP46" s="118">
        <f t="array" ref="FP46">VARP(IF(INDEX(properties!A$1:CB$87,'Fórmula'!B46,55)&lt;&gt;"",INDEX(properties!A$1:CB$87,'Fórmula'!B46,55)),IF(INDEX(properties!A$1:CB$87,'Fórmula'!D46,55)&lt;&gt;"",INDEX(properties!A$1:CB$87,'Fórmula'!D46,55)),IF(INDEX(properties!A$1:CB$87,'Fórmula'!F46,55)&lt;&gt;"",INDEX(properties!A$1:CB$87,'Fórmula'!F46,55)),IF(INDEX(properties!A$1:CB$87,'Fórmula'!H46,55)&lt;&gt;"",INDEX(properties!A$1:CB$87,'Fórmula'!H46,55)),IF(INDEX(properties!A$1:CB$87,'Fórmula'!J46,55)&lt;&gt;"",INDEX(properties!A$1:CB$87,'Fórmula'!J46,55)))</f>
        <v>5.105596895</v>
      </c>
      <c r="FQ46" s="118">
        <f t="array" ref="FQ46">MAX(INDEX(properties!A$1:CB$87,'Fórmula'!B46,55),INDEX(properties!A$1:CB$87,'Fórmula'!D46,55),INDEX(properties!A$1:CB$87,'Fórmula'!F46,55),INDEX(properties!A$1:CB$87,'Fórmula'!H46,55),INDEX(properties!A$1:CB$87,'Fórmula'!J46,55))</f>
        <v>6.15</v>
      </c>
      <c r="FR46" s="118">
        <f t="array" ref="FR46">MIN(IF(INDEX(properties!A$1:CB$87,'Fórmula'!B46,55)=0,10^6,INDEX(properties!A$1:CB$87,'Fórmula'!B46,55)),IF(INDEX(properties!A$1:CB$87,'Fórmula'!D46,55)=0,10^6,INDEX(properties!A$1:CB$87,'Fórmula'!D46,55)),IF(INDEX(properties!A$1:CB$87,'Fórmula'!F46,55)=0,10^6,INDEX(properties!A$1:CB$87,'Fórmula'!F46,55)),IF(INDEX(properties!A$1:CB$87,'Fórmula'!H46,55)=0,10^6,INDEX(properties!A$1:CB$87,'Fórmula'!H46,55)),IF(INDEX(properties!A$1:CB$87,'Fórmula'!J46,55)=0,10^6,INDEX(properties!A$1:CB$87,'Fórmula'!J46,55)))</f>
        <v>0.00143</v>
      </c>
      <c r="FS46" s="118">
        <f t="shared" si="29"/>
        <v>6.14857</v>
      </c>
      <c r="FT46" s="119">
        <f t="array" ref="FT46">(('Fórmula'!C46)/('Fórmula'!C46+'Fórmula'!E46+'Fórmula'!G46+'Fórmula'!I46+'Fórmula'!K46))*(INDEX(properties!A$1:CB$87,'Fórmula'!B46,56))+(('Fórmula'!E46)/('Fórmula'!C46+'Fórmula'!E46+'Fórmula'!G46+'Fórmula'!I46+'Fórmula'!K46))*(INDEX(properties!A$1:CB$87,'Fórmula'!D46,56))+(('Fórmula'!G46)/('Fórmula'!C46+'Fórmula'!E46+'Fórmula'!G46+'Fórmula'!I46+'Fórmula'!K46))*(INDEX(properties!A$1:CB$87,'Fórmula'!F46,56))+(('Fórmula'!I46)/('Fórmula'!C46+'Fórmula'!E46+'Fórmula'!G46+'Fórmula'!I46+'Fórmula'!K46))*(INDEX(properties!A$1:CB$87,'Fórmula'!H46,56))+(('Fórmula'!K46)/('Fórmula'!C46+'Fórmula'!E46+'Fórmula'!G46+'Fórmula'!I46+'Fórmula'!K46))*(INDEX(properties!A$1:CB$87,'Fórmula'!J46,56))</f>
        <v>0.7871428571</v>
      </c>
      <c r="FU46" s="119">
        <f t="array" ref="FU46">'Fórmula'!C46*(INDEX(properties!A$1:CB$87,'Fórmula'!B46,56))+'Fórmula'!E46*(INDEX(properties!A$1:CB$87,'Fórmula'!D46,56))+'Fórmula'!G46*(INDEX(properties!A$1:CB$87,'Fórmula'!F46,56))+'Fórmula'!I46*(INDEX(properties!A$1:CB$87,'Fórmula'!H46,56))+'Fórmula'!K46*(INDEX(properties!A$1:CB$87,'Fórmula'!J46,56))</f>
        <v>38.57</v>
      </c>
      <c r="FV46" s="119">
        <f t="array" ref="FV46">VARP(IF(INDEX(properties!A$1:CB$87,'Fórmula'!B46,56)&lt;&gt;"",INDEX(properties!A$1:CB$87,'Fórmula'!B46,56)),IF(INDEX(properties!A$1:CB$87,'Fórmula'!D46,56)&lt;&gt;"",INDEX(properties!A$1:CB$87,'Fórmula'!D46,56)),IF(INDEX(properties!A$1:CB$87,'Fórmula'!F46,56)&lt;&gt;"",INDEX(properties!A$1:CB$87,'Fórmula'!F46,56)),IF(INDEX(properties!A$1:CB$87,'Fórmula'!H46,56)&lt;&gt;"",INDEX(properties!A$1:CB$87,'Fórmula'!H46,56)),IF(INDEX(properties!A$1:CB$87,'Fórmula'!J46,56)&lt;&gt;"",INDEX(properties!A$1:CB$87,'Fórmula'!J46,56)))</f>
        <v>0.1166</v>
      </c>
      <c r="FW46" s="119">
        <f t="array" ref="FW46">MAX(INDEX(properties!A$1:CB$87,'Fórmula'!B46,56),INDEX(properties!A$1:CB$87,'Fórmula'!D46,56),INDEX(properties!A$1:CB$87,'Fórmula'!F46,56),INDEX(properties!A$1:CB$87,'Fórmula'!H46,56),INDEX(properties!A$1:CB$87,'Fórmula'!J46,56))</f>
        <v>0.92</v>
      </c>
      <c r="FX46" s="119">
        <f t="array" ref="FX46">MIN(IF(INDEX(properties!A$1:CB$87,'Fórmula'!B46,56)=0,10^6,INDEX(properties!A$1:CB$87,'Fórmula'!B46,56)),IF(INDEX(properties!A$1:CB$87,'Fórmula'!D46,56)=0,10^6,INDEX(properties!A$1:CB$87,'Fórmula'!D46,56)),IF(INDEX(properties!A$1:CB$87,'Fórmula'!F46,56)=0,10^6,INDEX(properties!A$1:CB$87,'Fórmula'!F46,56)),IF(INDEX(properties!A$1:CB$87,'Fórmula'!H46,56)=0,10^6,INDEX(properties!A$1:CB$87,'Fórmula'!H46,56)),IF(INDEX(properties!A$1:CB$87,'Fórmula'!J46,56)=0,10^6,INDEX(properties!A$1:CB$87,'Fórmula'!J46,56)))</f>
        <v>0.19</v>
      </c>
      <c r="FY46" s="119">
        <f t="shared" si="30"/>
        <v>0.73</v>
      </c>
      <c r="FZ46" s="104">
        <f t="array" ref="FZ46">(('Fórmula'!C46)/('Fórmula'!C46+'Fórmula'!E46+'Fórmula'!G46+'Fórmula'!I46+'Fórmula'!K46))*(INDEX(properties!A$1:CB$87,'Fórmula'!B46,57))+(('Fórmula'!E46)/('Fórmula'!C46+'Fórmula'!E46+'Fórmula'!G46+'Fórmula'!I46+'Fórmula'!K46))*(INDEX(properties!A$1:CB$87,'Fórmula'!D46,57))+(('Fórmula'!G46)/('Fórmula'!C46+'Fórmula'!E46+'Fórmula'!G46+'Fórmula'!I46+'Fórmula'!K46))*(INDEX(properties!A$1:CB$87,'Fórmula'!F46,57))+(('Fórmula'!I46)/('Fórmula'!C46+'Fórmula'!E46+'Fórmula'!G46+'Fórmula'!I46+'Fórmula'!K46))*(INDEX(properties!A$1:CB$87,'Fórmula'!H46,57))+(('Fórmula'!K46)/('Fórmula'!C46+'Fórmula'!E46+'Fórmula'!G46+'Fórmula'!I46+'Fórmula'!K46))*(INDEX(properties!A$1:CB$87,'Fórmula'!J46,57))</f>
        <v>7.626286939</v>
      </c>
      <c r="GA46" s="104">
        <f t="array" ref="GA46">'Fórmula'!C46*(INDEX(properties!A$1:CB$87,'Fórmula'!B46,57))+'Fórmula'!E46*(INDEX(properties!A$1:CB$87,'Fórmula'!D46,57))+'Fórmula'!G46*(INDEX(properties!A$1:CB$87,'Fórmula'!F46,57))+'Fórmula'!I46*(INDEX(properties!A$1:CB$87,'Fórmula'!H46,57))+'Fórmula'!K46*(INDEX(properties!A$1:CB$87,'Fórmula'!J46,57))</f>
        <v>373.68806</v>
      </c>
      <c r="GB46" s="104">
        <f t="array" ref="GB46">VARP(IF(INDEX(properties!A$1:CB$87,'Fórmula'!B46,57)&lt;&gt;"",INDEX(properties!A$1:CB$87,'Fórmula'!B46,57)),IF(INDEX(properties!A$1:CB$87,'Fórmula'!D46,57)&lt;&gt;"",INDEX(properties!A$1:CB$87,'Fórmula'!D46,57)),IF(INDEX(properties!A$1:CB$87,'Fórmula'!F46,57)&lt;&gt;"",INDEX(properties!A$1:CB$87,'Fórmula'!F46,57)),IF(INDEX(properties!A$1:CB$87,'Fórmula'!H46,57)&lt;&gt;"",INDEX(properties!A$1:CB$87,'Fórmula'!H46,57)),IF(INDEX(properties!A$1:CB$87,'Fórmula'!J46,57)&lt;&gt;"",INDEX(properties!A$1:CB$87,'Fórmula'!J46,57)))</f>
        <v>361.6687513</v>
      </c>
      <c r="GC46" s="104">
        <f t="array" ref="GC46">MAX(INDEX(properties!A$1:CB$87,'Fórmula'!B46,57),INDEX(properties!A$1:CB$87,'Fórmula'!D46,57),INDEX(properties!A$1:CB$87,'Fórmula'!F46,57),INDEX(properties!A$1:CB$87,'Fórmula'!H46,57),INDEX(properties!A$1:CB$87,'Fórmula'!J46,57))</f>
        <v>50.55</v>
      </c>
      <c r="GD46" s="104">
        <f t="array" ref="GD46">MIN(IF(INDEX(properties!A$1:CB$87,'Fórmula'!B46,57)=0,10^6,INDEX(properties!A$1:CB$87,'Fórmula'!B46,57)),IF(INDEX(properties!A$1:CB$87,'Fórmula'!D46,57)=0,10^6,INDEX(properties!A$1:CB$87,'Fórmula'!D46,57)),IF(INDEX(properties!A$1:CB$87,'Fórmula'!F46,57)=0,10^6,INDEX(properties!A$1:CB$87,'Fórmula'!F46,57)),IF(INDEX(properties!A$1:CB$87,'Fórmula'!H46,57)=0,10^6,INDEX(properties!A$1:CB$87,'Fórmula'!H46,57)),IF(INDEX(properties!A$1:CB$87,'Fórmula'!J46,57)=0,10^6,INDEX(properties!A$1:CB$87,'Fórmula'!J46,57)))</f>
        <v>0.22259</v>
      </c>
      <c r="GE46" s="104">
        <f t="shared" si="31"/>
        <v>50.32741</v>
      </c>
      <c r="GF46" s="105">
        <f t="array" ref="GF46">(('Fórmula'!C46)/('Fórmula'!C46+'Fórmula'!E46+'Fórmula'!G46+'Fórmula'!I46+'Fórmula'!K46))*(INDEX(properties!A$1:CB$87,'Fórmula'!B46,60))+(('Fórmula'!E46)/('Fórmula'!C46+'Fórmula'!E46+'Fórmula'!G46+'Fórmula'!I46+'Fórmula'!K46))*(INDEX(properties!A$1:CB$87,'Fórmula'!D46,60))+(('Fórmula'!G46)/('Fórmula'!C46+'Fórmula'!E46+'Fórmula'!G46+'Fórmula'!I46+'Fórmula'!K46))*(INDEX(properties!A$1:CB$87,'Fórmula'!F46,60))+(('Fórmula'!I46)/('Fórmula'!C46+'Fórmula'!E46+'Fórmula'!G46+'Fórmula'!I46+'Fórmula'!K46))*(INDEX(properties!A$1:CB$87,'Fórmula'!H46,60))+(('Fórmula'!K46)/('Fórmula'!C46+'Fórmula'!E46+'Fórmula'!G46+'Fórmula'!I46+'Fórmula'!K46))*(INDEX(properties!A$1:CB$87,'Fórmula'!J46,60))</f>
        <v>32.03896245</v>
      </c>
      <c r="GG46" s="105">
        <f t="array" ref="GG46">'Fórmula'!C46*(INDEX(properties!A$1:CB$87,'Fórmula'!B46,60))+'Fórmula'!E46*(INDEX(properties!A$1:CB$87,'Fórmula'!D46,60))+'Fórmula'!G46*(INDEX(properties!A$1:CB$87,'Fórmula'!F46,60))+'Fórmula'!I46*(INDEX(properties!A$1:CB$87,'Fórmula'!H46,60))+'Fórmula'!K46*(INDEX(properties!A$1:CB$87,'Fórmula'!J46,60))</f>
        <v>1569.90916</v>
      </c>
      <c r="GH46" s="105">
        <f t="array" ref="GH46">VARP(IF(INDEX(properties!A$1:CB$87,'Fórmula'!B46,60)&lt;&gt;"",INDEX(properties!A$1:CB$87,'Fórmula'!B46,60)),IF(INDEX(properties!A$1:CB$87,'Fórmula'!D46,60)&lt;&gt;"",INDEX(properties!A$1:CB$87,'Fórmula'!D46,60)),IF(INDEX(properties!A$1:CB$87,'Fórmula'!F46,60)&lt;&gt;"",INDEX(properties!A$1:CB$87,'Fórmula'!F46,60)),IF(INDEX(properties!A$1:CB$87,'Fórmula'!H46,60)&lt;&gt;"",INDEX(properties!A$1:CB$87,'Fórmula'!H46,60)),IF(INDEX(properties!A$1:CB$87,'Fórmula'!J46,60)&lt;&gt;"",INDEX(properties!A$1:CB$87,'Fórmula'!J46,60)))</f>
        <v>7189.186794</v>
      </c>
      <c r="GI46" s="105">
        <f t="array" ref="GI46">MAX(INDEX(properties!A$1:CB$87,'Fórmula'!B46,60),INDEX(properties!A$1:CB$87,'Fórmula'!D46,60),INDEX(properties!A$1:CB$87,'Fórmula'!F46,60),INDEX(properties!A$1:CB$87,'Fórmula'!H46,60),INDEX(properties!A$1:CB$87,'Fórmula'!J46,60))</f>
        <v>200</v>
      </c>
      <c r="GJ46" s="105">
        <f t="array" ref="GJ46">MIN(IF(INDEX(properties!A$1:CB$87,'Fórmula'!B46,60)=0,10^6,INDEX(properties!A$1:CB$87,'Fórmula'!B46,60)),IF(INDEX(properties!A$1:CB$87,'Fórmula'!D46,60)=0,10^6,INDEX(properties!A$1:CB$87,'Fórmula'!D46,60)),IF(INDEX(properties!A$1:CB$87,'Fórmula'!F46,60)=0,10^6,INDEX(properties!A$1:CB$87,'Fórmula'!F46,60)),IF(INDEX(properties!A$1:CB$87,'Fórmula'!H46,60)=0,10^6,INDEX(properties!A$1:CB$87,'Fórmula'!H46,60)),IF(INDEX(properties!A$1:CB$87,'Fórmula'!J46,60)=0,10^6,INDEX(properties!A$1:CB$87,'Fórmula'!J46,60)))</f>
        <v>0.02674</v>
      </c>
      <c r="GK46" s="105">
        <f t="shared" si="32"/>
        <v>199.97326</v>
      </c>
      <c r="GL46" s="106">
        <f t="array" ref="GL46">(('Fórmula'!C46)/('Fórmula'!C46+'Fórmula'!E46+'Fórmula'!G46+'Fórmula'!I46+'Fórmula'!K46))*(INDEX(properties!A$1:CB$87,'Fórmula'!B46,62))+(('Fórmula'!E46)/('Fórmula'!C46+'Fórmula'!E46+'Fórmula'!G46+'Fórmula'!I46+'Fórmula'!K46))*(INDEX(properties!A$1:CB$87,'Fórmula'!D46,62))+(('Fórmula'!G46)/('Fórmula'!C46+'Fórmula'!E46+'Fórmula'!G46+'Fórmula'!I46+'Fórmula'!K46))*(INDEX(properties!A$1:CB$87,'Fórmula'!F46,62))+(('Fórmula'!I46)/('Fórmula'!C46+'Fórmula'!E46+'Fórmula'!G46+'Fórmula'!I46+'Fórmula'!K46))*(INDEX(properties!A$1:CB$87,'Fórmula'!H46,62))+(('Fórmula'!K46)/('Fórmula'!C46+'Fórmula'!E46+'Fórmula'!G46+'Fórmula'!I46+'Fórmula'!K46))*(INDEX(properties!A$1:CB$87,'Fórmula'!J46,62))</f>
        <v>3.044897959</v>
      </c>
      <c r="GM46" s="106">
        <f t="array" ref="GM46">'Fórmula'!C46*(INDEX(properties!A$1:CB$87,'Fórmula'!B46,62))+'Fórmula'!E46*(INDEX(properties!A$1:CB$87,'Fórmula'!D46,62))+'Fórmula'!G46*(INDEX(properties!A$1:CB$87,'Fórmula'!F46,62))+'Fórmula'!I46*(INDEX(properties!A$1:CB$87,'Fórmula'!H46,62))+'Fórmula'!K46*(INDEX(properties!A$1:CB$87,'Fórmula'!J46,62))</f>
        <v>149.2</v>
      </c>
      <c r="GN46" s="106">
        <f t="array" ref="GN46">VARP(IF(INDEX(properties!A$1:CB$87,'Fórmula'!B46,62)&lt;&gt;"",INDEX(properties!A$1:CB$87,'Fórmula'!B46,62)),IF(INDEX(properties!A$1:CB$87,'Fórmula'!D46,62)&lt;&gt;"",INDEX(properties!A$1:CB$87,'Fórmula'!D46,62)),IF(INDEX(properties!A$1:CB$87,'Fórmula'!F46,62)&lt;&gt;"",INDEX(properties!A$1:CB$87,'Fórmula'!F46,62)),IF(INDEX(properties!A$1:CB$87,'Fórmula'!H46,62)&lt;&gt;"",INDEX(properties!A$1:CB$87,'Fórmula'!H46,62)),IF(INDEX(properties!A$1:CB$87,'Fórmula'!J46,62)&lt;&gt;"",INDEX(properties!A$1:CB$87,'Fórmula'!J46,62)))</f>
        <v>2.978616</v>
      </c>
      <c r="GO46" s="106">
        <f t="array" ref="GO46">MAX(INDEX(properties!A$1:CB$87,'Fórmula'!B46,62),INDEX(properties!A$1:CB$87,'Fórmula'!D46,62),INDEX(properties!A$1:CB$87,'Fórmula'!F46,62),INDEX(properties!A$1:CB$87,'Fórmula'!H46,62),INDEX(properties!A$1:CB$87,'Fórmula'!J46,62))</f>
        <v>4.63</v>
      </c>
      <c r="GP46" s="106">
        <f t="array" ref="GP46">MIN(IF(INDEX(properties!A$1:CB$87,'Fórmula'!B46,62)=0,10^6,INDEX(properties!A$1:CB$87,'Fórmula'!B46,62)),IF(INDEX(properties!A$1:CB$87,'Fórmula'!D46,62)=0,10^6,INDEX(properties!A$1:CB$87,'Fórmula'!D46,62)),IF(INDEX(properties!A$1:CB$87,'Fórmula'!F46,62)=0,10^6,INDEX(properties!A$1:CB$87,'Fórmula'!F46,62)),IF(INDEX(properties!A$1:CB$87,'Fórmula'!H46,62)=0,10^6,INDEX(properties!A$1:CB$87,'Fórmula'!H46,62)),IF(INDEX(properties!A$1:CB$87,'Fórmula'!J46,62)=0,10^6,INDEX(properties!A$1:CB$87,'Fórmula'!J46,62)))</f>
        <v>1.84</v>
      </c>
      <c r="GQ46" s="106">
        <f t="shared" si="33"/>
        <v>2.79</v>
      </c>
      <c r="GR46" s="106">
        <f>'Fórmula'!Q46</f>
        <v>176</v>
      </c>
      <c r="GS46" s="107">
        <f>'Fórmula'!P46</f>
        <v>5</v>
      </c>
      <c r="GT46" s="113">
        <f>'Fórmula'!O46</f>
        <v>5.06</v>
      </c>
      <c r="GU46" s="114">
        <f>AVERAGE('Fórmula'!R46/'Fórmula'!S46,'Fórmula'!S46/'Fórmula'!T46,'Fórmula'!T46/'Fórmula'!R46)</f>
        <v>1.030485846</v>
      </c>
      <c r="GV46" s="125">
        <f>'Fórmula'!U46</f>
        <v>628</v>
      </c>
      <c r="GW46" s="106">
        <f>'Fórmula'!N46</f>
        <v>0.015</v>
      </c>
    </row>
    <row r="47" ht="14.25" customHeight="1">
      <c r="A47" s="99" t="str">
        <f>'Fórmula'!A47</f>
        <v>SrB2Si2O8</v>
      </c>
      <c r="B47" s="100">
        <f t="array" ref="B47">(('Fórmula'!C47)/('Fórmula'!C47+'Fórmula'!E47+'Fórmula'!G47+'Fórmula'!I47+'Fórmula'!K47))*(INDEX(properties!A$1:CB$87,'Fórmula'!B47,3))+(('Fórmula'!E47)/('Fórmula'!C47+'Fórmula'!E47+'Fórmula'!G47+'Fórmula'!I47+'Fórmula'!K47))*(INDEX(properties!A$1:CB$87,'Fórmula'!D47,3))+(('Fórmula'!G47)/('Fórmula'!C47+'Fórmula'!E47+'Fórmula'!G47+'Fórmula'!I47+'Fórmula'!K47))*(INDEX(properties!A$1:CB$87,'Fórmula'!F47,3))+(('Fórmula'!I47)/('Fórmula'!C47+'Fórmula'!E47+'Fórmula'!G47+'Fórmula'!I47+'Fórmula'!K47))*(INDEX(properties!A$1:CB$87,'Fórmula'!H47,3))+(('Fórmula'!K47)/('Fórmula'!C47+'Fórmula'!E47+'Fórmula'!G47+'Fórmula'!I47+'Fórmula'!K47))*(INDEX(properties!A$1:CB$87,'Fórmula'!J47,3))</f>
        <v>22.56986154</v>
      </c>
      <c r="C47" s="101">
        <f t="array" ref="C47">'Fórmula'!C47*(INDEX(properties!A$1:CB$87,'Fórmula'!B47,3))+'Fórmula'!E47*(INDEX(properties!A$1:CB$87,'Fórmula'!D47,3))+'Fórmula'!G47*(INDEX(properties!A$1:CB$87,'Fórmula'!F47,3))+'Fórmula'!I47*(INDEX(properties!A$1:CB$87,'Fórmula'!H47,3))+'Fórmula'!K47*(INDEX(properties!A$1:CB$87,'Fórmula'!J47,3))</f>
        <v>293.4082</v>
      </c>
      <c r="D47" s="101">
        <f t="array" ref="D47">VARP(IF(INDEX(properties!A$1:CB$87,'Fórmula'!B47,3)&lt;&gt;"",INDEX(properties!A$1:CB$87,'Fórmula'!B47,3)),IF(INDEX(properties!A$1:CB$87,'Fórmula'!D47,3)&lt;&gt;"",INDEX(properties!A$1:CB$87,'Fórmula'!D47,3)),IF(INDEX(properties!A$1:CB$87,'Fórmula'!F47,3)&lt;&gt;"",INDEX(properties!A$1:CB$87,'Fórmula'!F47,3)),IF(INDEX(properties!A$1:CB$87,'Fórmula'!H47,3)&lt;&gt;"",INDEX(properties!A$1:CB$87,'Fórmula'!H47,3)),IF(INDEX(properties!A$1:CB$87,'Fórmula'!J47,3)&lt;&gt;"",INDEX(properties!A$1:CB$87,'Fórmula'!J47,3)))</f>
        <v>955.3523762</v>
      </c>
      <c r="E47" s="101">
        <f t="array" ref="E47">MAX(INDEX(properties!A$1:CB$87,'Fórmula'!B47,3),INDEX(properties!A$1:CB$87,'Fórmula'!D47,3),INDEX(properties!A$1:CB$87,'Fórmula'!F47,3),INDEX(properties!A$1:CB$87,'Fórmula'!H47,3),INDEX(properties!A$1:CB$87,'Fórmula'!J47,3))</f>
        <v>87.62</v>
      </c>
      <c r="F47" s="101">
        <f t="array" ref="F47">MIN(IF(INDEX(properties!A$1:CB$87,'Fórmula'!B47,3)=0,10^6,INDEX(properties!A$1:CB$87,'Fórmula'!B47,3)),IF(INDEX(properties!A$1:CB$87,'Fórmula'!D47,3)=0,10^6,INDEX(properties!A$1:CB$87,'Fórmula'!D47,3)),IF(INDEX(properties!A$1:CB$87,'Fórmula'!F47,3)=0,10^6,INDEX(properties!A$1:CB$87,'Fórmula'!F47,3)),IF(INDEX(properties!A$1:CB$87,'Fórmula'!H47,3)=0,10^6,INDEX(properties!A$1:CB$87,'Fórmula'!H47,3)),IF(INDEX(properties!A$1:CB$87,'Fórmula'!J47,3)=0,10^6,INDEX(properties!A$1:CB$87,'Fórmula'!J47,3)))</f>
        <v>10.811</v>
      </c>
      <c r="G47" s="101">
        <f t="shared" si="1"/>
        <v>76.809</v>
      </c>
      <c r="H47" s="102">
        <f t="array" ref="H47">(('Fórmula'!C47)/('Fórmula'!C47+'Fórmula'!E47+'Fórmula'!G47+'Fórmula'!I47+'Fórmula'!K47))*(INDEX(properties!A$1:CB$87,'Fórmula'!B47,4))+(('Fórmula'!E47)/('Fórmula'!C47+'Fórmula'!E47+'Fórmula'!G47+'Fórmula'!I47+'Fórmula'!K47))*(INDEX(properties!A$1:CB$87,'Fórmula'!D47,4))+(('Fórmula'!G47)/('Fórmula'!C47+'Fórmula'!E47+'Fórmula'!G47+'Fórmula'!I47+'Fórmula'!K47))*(INDEX(properties!A$1:CB$87,'Fórmula'!F47,4))+(('Fórmula'!I47)/('Fórmula'!C47+'Fórmula'!E47+'Fórmula'!G47+'Fórmula'!I47+'Fórmula'!K47))*(INDEX(properties!A$1:CB$87,'Fórmula'!H47,4))+(('Fórmula'!K47)/('Fórmula'!C47+'Fórmula'!E47+'Fórmula'!G47+'Fórmula'!I47+'Fórmula'!K47))*(INDEX(properties!A$1:CB$87,'Fórmula'!J47,4))</f>
        <v>10.76923077</v>
      </c>
      <c r="I47" s="102">
        <f t="array" ref="I47">'Fórmula'!C47*(INDEX(properties!A$1:CB$87,'Fórmula'!B47,4))+'Fórmula'!E47*(INDEX(properties!A$1:CB$87,'Fórmula'!D47,4))+'Fórmula'!G47*(INDEX(properties!A$1:CB$87,'Fórmula'!F47,4))+'Fórmula'!I47*(INDEX(properties!A$1:CB$87,'Fórmula'!H47,4))+'Fórmula'!K47*(INDEX(properties!A$1:CB$87,'Fórmula'!J47,4))</f>
        <v>140</v>
      </c>
      <c r="J47" s="102">
        <f t="array" ref="J47">VARP(IF(INDEX(properties!A$1:CB$87,'Fórmula'!B47,4)&lt;&gt;"",INDEX(properties!A$1:CB$87,'Fórmula'!B47,4)),IF(INDEX(properties!A$1:CB$87,'Fórmula'!D47,4)&lt;&gt;"",INDEX(properties!A$1:CB$87,'Fórmula'!D47,4)),IF(INDEX(properties!A$1:CB$87,'Fórmula'!F47,4)&lt;&gt;"",INDEX(properties!A$1:CB$87,'Fórmula'!F47,4)),IF(INDEX(properties!A$1:CB$87,'Fórmula'!H47,4)&lt;&gt;"",INDEX(properties!A$1:CB$87,'Fórmula'!H47,4)),IF(INDEX(properties!A$1:CB$87,'Fórmula'!J47,4)&lt;&gt;"",INDEX(properties!A$1:CB$87,'Fórmula'!J47,4)))</f>
        <v>176.8</v>
      </c>
      <c r="K47" s="102">
        <f t="array" ref="K47">MAX(INDEX(properties!A$1:CB$87,'Fórmula'!B47,4),INDEX(properties!A$1:CB$87,'Fórmula'!D47,4),INDEX(properties!A$1:CB$87,'Fórmula'!F47,4),INDEX(properties!A$1:CB$87,'Fórmula'!H47,4),INDEX(properties!A$1:CB$87,'Fórmula'!J47,4))</f>
        <v>38</v>
      </c>
      <c r="L47" s="102">
        <f t="array" ref="L47">MIN(IF(INDEX(properties!A$1:CB$87,'Fórmula'!B47,4)=0,10^6,INDEX(properties!A$1:CB$87,'Fórmula'!B47,4)),IF(INDEX(properties!A$1:CB$87,'Fórmula'!D47,4)=0,10^6,INDEX(properties!A$1:CB$87,'Fórmula'!D47,4)),IF(INDEX(properties!A$1:CB$87,'Fórmula'!F47,4)=0,10^6,INDEX(properties!A$1:CB$87,'Fórmula'!F47,4)),IF(INDEX(properties!A$1:CB$87,'Fórmula'!H47,4)=0,10^6,INDEX(properties!A$1:CB$87,'Fórmula'!H47,4)),IF(INDEX(properties!A$1:CB$87,'Fórmula'!J47,4)=0,10^6,INDEX(properties!A$1:CB$87,'Fórmula'!J47,4)))</f>
        <v>5</v>
      </c>
      <c r="M47" s="102">
        <f t="shared" si="2"/>
        <v>33</v>
      </c>
      <c r="N47" s="103">
        <f t="array" ref="N47">(('Fórmula'!C47)/('Fórmula'!C47+'Fórmula'!E47+'Fórmula'!G47+'Fórmula'!I47+'Fórmula'!K47))*(INDEX(properties!A$1:CB$87,'Fórmula'!B47,5))+(('Fórmula'!E47)/('Fórmula'!C47+'Fórmula'!E47+'Fórmula'!G47+'Fórmula'!I47+'Fórmula'!K47))*(INDEX(properties!A$1:CB$87,'Fórmula'!D47,5))+(('Fórmula'!G47)/('Fórmula'!C47+'Fórmula'!E47+'Fórmula'!G47+'Fórmula'!I47+'Fórmula'!K47))*(INDEX(properties!A$1:CB$87,'Fórmula'!F47,5))+(('Fórmula'!I47)/('Fórmula'!C47+'Fórmula'!E47+'Fórmula'!G47+'Fórmula'!I47+'Fórmula'!K47))*(INDEX(properties!A$1:CB$87,'Fórmula'!H47,5))+(('Fórmula'!K47)/('Fórmula'!C47+'Fórmula'!E47+'Fórmula'!G47+'Fórmula'!I47+'Fórmula'!K47))*(INDEX(properties!A$1:CB$87,'Fórmula'!J47,5))</f>
        <v>2.384615385</v>
      </c>
      <c r="O47" s="103">
        <f t="array" ref="O47">'Fórmula'!C47*(INDEX(properties!A$1:CB$87,'Fórmula'!B47,5))+'Fórmula'!E47*(INDEX(properties!A$1:CB$87,'Fórmula'!D47,5))+'Fórmula'!G47*(INDEX(properties!A$1:CB$87,'Fórmula'!F47,5))+'Fórmula'!I47*(INDEX(properties!A$1:CB$87,'Fórmula'!H47,5))+'Fórmula'!K47*(INDEX(properties!A$1:CB$87,'Fórmula'!J47,5))</f>
        <v>31</v>
      </c>
      <c r="P47" s="103">
        <f t="array" ref="P47">VARP(IF(INDEX(properties!A$1:CB$87,'Fórmula'!B47,5)&lt;&gt;"",INDEX(properties!A$1:CB$87,'Fórmula'!B47,5)),IF(INDEX(properties!A$1:CB$87,'Fórmula'!D47,5)&lt;&gt;"",INDEX(properties!A$1:CB$87,'Fórmula'!D47,5)),IF(INDEX(properties!A$1:CB$87,'Fórmula'!F47,5)&lt;&gt;"",INDEX(properties!A$1:CB$87,'Fórmula'!F47,5)),IF(INDEX(properties!A$1:CB$87,'Fórmula'!H47,5)&lt;&gt;"",INDEX(properties!A$1:CB$87,'Fórmula'!H47,5)),IF(INDEX(properties!A$1:CB$87,'Fórmula'!J47,5)&lt;&gt;"",INDEX(properties!A$1:CB$87,'Fórmula'!J47,5)))</f>
        <v>2.64</v>
      </c>
      <c r="Q47" s="103">
        <f t="array" ref="Q47">MAX(INDEX(properties!A$1:CB$87,'Fórmula'!B47,5),INDEX(properties!A$1:CB$87,'Fórmula'!D47,5),INDEX(properties!A$1:CB$87,'Fórmula'!F47,5),INDEX(properties!A$1:CB$87,'Fórmula'!H47,5),INDEX(properties!A$1:CB$87,'Fórmula'!J47,5))</f>
        <v>5</v>
      </c>
      <c r="R47" s="103">
        <f t="array" ref="R47">MIN(IF(INDEX(properties!A$1:CB$87,'Fórmula'!B47,5)=0,10^6,INDEX(properties!A$1:CB$87,'Fórmula'!B47,5)),IF(INDEX(properties!A$1:CB$87,'Fórmula'!D47,5)=0,10^6,INDEX(properties!A$1:CB$87,'Fórmula'!D47,5)),IF(INDEX(properties!A$1:CB$87,'Fórmula'!F47,5)=0,10^6,INDEX(properties!A$1:CB$87,'Fórmula'!F47,5)),IF(INDEX(properties!A$1:CB$87,'Fórmula'!H47,5)=0,10^6,INDEX(properties!A$1:CB$87,'Fórmula'!H47,5)),IF(INDEX(properties!A$1:CB$87,'Fórmula'!J47,5)=0,10^6,INDEX(properties!A$1:CB$87,'Fórmula'!J47,5)))</f>
        <v>2</v>
      </c>
      <c r="S47" s="103">
        <f t="shared" si="3"/>
        <v>3</v>
      </c>
      <c r="T47" s="104">
        <f t="array" ref="T47">(('Fórmula'!C47)/('Fórmula'!C47+'Fórmula'!E47+'Fórmula'!G47+'Fórmula'!I47+'Fórmula'!K47))*(INDEX(properties!A$1:CB$87,'Fórmula'!B47,6))+(('Fórmula'!E47)/('Fórmula'!C47+'Fórmula'!E47+'Fórmula'!G47+'Fórmula'!I47+'Fórmula'!K47))*(INDEX(properties!A$1:CB$87,'Fórmula'!D47,6))+(('Fórmula'!G47)/('Fórmula'!C47+'Fórmula'!E47+'Fórmula'!G47+'Fórmula'!I47+'Fórmula'!K47))*(INDEX(properties!A$1:CB$87,'Fórmula'!F47,6))+(('Fórmula'!I47)/('Fórmula'!C47+'Fórmula'!E47+'Fórmula'!G47+'Fórmula'!I47+'Fórmula'!K47))*(INDEX(properties!A$1:CB$87,'Fórmula'!H47,6))+(('Fórmula'!K47)/('Fórmula'!C47+'Fórmula'!E47+'Fórmula'!G47+'Fórmula'!I47+'Fórmula'!K47))*(INDEX(properties!A$1:CB$87,'Fórmula'!J47,6))</f>
        <v>14.15384615</v>
      </c>
      <c r="U47" s="104">
        <f t="array" ref="U47">'Fórmula'!C47*(INDEX(properties!A$1:CB$87,'Fórmula'!B47,6))+'Fórmula'!E47*(INDEX(properties!A$1:CB$87,'Fórmula'!D47,6))+'Fórmula'!G47*(INDEX(properties!A$1:CB$87,'Fórmula'!F47,6))+'Fórmula'!I47*(INDEX(properties!A$1:CB$87,'Fórmula'!H47,6))+'Fórmula'!K47*(INDEX(properties!A$1:CB$87,'Fórmula'!J47,6))</f>
        <v>184</v>
      </c>
      <c r="V47" s="103">
        <f t="array" ref="V47">VARP(IF(INDEX(properties!A$1:CB$87,'Fórmula'!B47,6)&lt;&gt;"",INDEX(properties!A$1:CB$87,'Fórmula'!B47,6)),IF(INDEX(properties!A$1:CB$87,'Fórmula'!D47,6)&lt;&gt;"",INDEX(properties!A$1:CB$87,'Fórmula'!D47,6)),IF(INDEX(properties!A$1:CB$87,'Fórmula'!F47,6)&lt;&gt;"",INDEX(properties!A$1:CB$87,'Fórmula'!F47,6)),IF(INDEX(properties!A$1:CB$87,'Fórmula'!H47,6)&lt;&gt;"",INDEX(properties!A$1:CB$87,'Fórmula'!H47,6)),IF(INDEX(properties!A$1:CB$87,'Fórmula'!J47,6)&lt;&gt;"",INDEX(properties!A$1:CB$87,'Fórmula'!J47,6)))</f>
        <v>44</v>
      </c>
      <c r="W47" s="104">
        <f t="array" ref="W47">MAX(INDEX(properties!A$1:CB$87,'Fórmula'!B47,6),INDEX(properties!A$1:CB$87,'Fórmula'!D47,6),INDEX(properties!A$1:CB$87,'Fórmula'!F47,6),INDEX(properties!A$1:CB$87,'Fórmula'!H47,4),INDEX(properties!A$1:CB$87,'Fórmula'!J47,6))</f>
        <v>14</v>
      </c>
      <c r="X47" s="104">
        <f t="array" ref="X47">MIN(IF(INDEX(properties!A$1:CB$87,'Fórmula'!B47,6)=0,10^6,INDEX(properties!A$1:CB$87,'Fórmula'!B47,6)),IF(INDEX(properties!A$1:CB$87,'Fórmula'!D47,6)=0,10^6,INDEX(properties!A$1:CB$87,'Fórmula'!D47,6)),IF(INDEX(properties!A$1:CB$87,'Fórmula'!F47,6)=0,10^6,INDEX(properties!A$1:CB$87,'Fórmula'!F47,6)),IF(INDEX(properties!A$1:CB$87,'Fórmula'!H47,6)=0,10^6,INDEX(properties!A$1:CB$87,'Fórmula'!H47,6)),IF(INDEX(properties!A$1:CB$87,'Fórmula'!J47,6)=0,10^6,INDEX(properties!A$1:CB$87,'Fórmula'!J47,6)))</f>
        <v>2</v>
      </c>
      <c r="Y47" s="104">
        <f t="shared" si="4"/>
        <v>12</v>
      </c>
      <c r="Z47" s="105">
        <f t="array" ref="Z47">(('Fórmula'!C47)/('Fórmula'!C47+'Fórmula'!E47+'Fórmula'!G47+'Fórmula'!I47+'Fórmula'!K47))*(INDEX(properties!A$1:CB$87,'Fórmula'!B47,9))+(('Fórmula'!E47)/('Fórmula'!C47+'Fórmula'!E47+'Fórmula'!G47+'Fórmula'!I47+'Fórmula'!K47))*(INDEX(properties!A$1:CB$87,'Fórmula'!D47,9))+(('Fórmula'!G47)/('Fórmula'!C47+'Fórmula'!E47+'Fórmula'!G47+'Fórmula'!I47+'Fórmula'!K47))*(INDEX(properties!A$1:CB$87,'Fórmula'!F47,9))+(('Fórmula'!I47)/('Fórmula'!C47+'Fórmula'!E47+'Fórmula'!G47+'Fórmula'!I47+'Fórmula'!K47))*(INDEX(properties!A$1:CB$87,'Fórmula'!H47,9))+(('Fórmula'!K47)/('Fórmula'!C47+'Fórmula'!E47+'Fórmula'!G47+'Fórmula'!I47+'Fórmula'!K47))*(INDEX(properties!A$1:CB$87,'Fórmula'!J47,9))</f>
        <v>77.23076923</v>
      </c>
      <c r="AA47" s="105">
        <f t="array" ref="AA47">'Fórmula'!C47*(INDEX(properties!A$1:CB$87,'Fórmula'!B47,9))+'Fórmula'!E47*(INDEX(properties!A$1:CB$87,'Fórmula'!D47,9))+'Fórmula'!G47*(INDEX(properties!A$1:CB$87,'Fórmula'!F47,9))+'Fórmula'!I47*(INDEX(properties!A$1:CB$87,'Fórmula'!H47,9))+'Fórmula'!K47*(INDEX(properties!A$1:CB$87,'Fórmula'!J47,9))</f>
        <v>1004</v>
      </c>
      <c r="AB47" s="105">
        <f t="array" ref="AB47">VARP(IF(INDEX(properties!A$1:CB$87,'Fórmula'!B47,9)&lt;&gt;"",INDEX(properties!A$1:CB$87,'Fórmula'!B47,9)),IF(INDEX(properties!A$1:CB$87,'Fórmula'!D47,9)&lt;&gt;"",INDEX(properties!A$1:CB$87,'Fórmula'!D47,9)),IF(INDEX(properties!A$1:CB$87,'Fórmula'!F47,9)&lt;&gt;"",INDEX(properties!A$1:CB$87,'Fórmula'!F47,9)),IF(INDEX(properties!A$1:CB$87,'Fórmula'!H47,9)&lt;&gt;"",INDEX(properties!A$1:CB$87,'Fórmula'!H47,9)),IF(INDEX(properties!A$1:CB$87,'Fórmula'!J47,9)&lt;&gt;"",INDEX(properties!A$1:CB$87,'Fórmula'!J47,9)))</f>
        <v>1379.2</v>
      </c>
      <c r="AC47" s="105">
        <f t="array" ref="AC47">MAX(INDEX(properties!A$1:CB$87,'Fórmula'!B47,9),INDEX(properties!A$1:CB$87,'Fórmula'!D47,9),INDEX(properties!A$1:CB$87,'Fórmula'!F47,9),INDEX(properties!A$1:CB$87,'Fórmula'!H47,9),INDEX(properties!A$1:CB$87,'Fórmula'!J47,9))</f>
        <v>87</v>
      </c>
      <c r="AD47" s="105">
        <f t="array" ref="AD47">MIN(IF(INDEX(properties!A$1:CB$87,'Fórmula'!B47,9)=0,10^6,INDEX(properties!A$1:CB$87,'Fórmula'!B47,9)),IF(INDEX(properties!A$1:CB$87,'Fórmula'!D47,9)=0,10^6,INDEX(properties!A$1:CB$87,'Fórmula'!D47,9)),IF(INDEX(properties!A$1:CB$87,'Fórmula'!F47,9)=0,10^6,INDEX(properties!A$1:CB$87,'Fórmula'!F47,9)),IF(INDEX(properties!A$1:CB$87,'Fórmula'!H47,9)=0,10^6,INDEX(properties!A$1:CB$87,'Fórmula'!H47,9)),IF(INDEX(properties!A$1:CB$87,'Fórmula'!J47,9)=0,10^6,INDEX(properties!A$1:CB$87,'Fórmula'!J47,9)))</f>
        <v>8</v>
      </c>
      <c r="AE47" s="105">
        <f t="shared" si="5"/>
        <v>79</v>
      </c>
      <c r="AF47" s="106">
        <f t="array" ref="AF47">(('Fórmula'!C47)/('Fórmula'!C47+'Fórmula'!E47+'Fórmula'!G47+'Fórmula'!I47+'Fórmula'!K47))*(INDEX(properties!A$1:CB$87,'Fórmula'!B47,10))+(('Fórmula'!E47)/('Fórmula'!C47+'Fórmula'!E47+'Fórmula'!G47+'Fórmula'!I47+'Fórmula'!K47))*(INDEX(properties!A$1:CB$87,'Fórmula'!D47,10))+(('Fórmula'!G47)/('Fórmula'!C47+'Fórmula'!E47+'Fórmula'!G47+'Fórmula'!I47+'Fórmula'!K47))*(INDEX(properties!A$1:CB$87,'Fórmula'!F47,10))+(('Fórmula'!I47)/('Fórmula'!C47+'Fórmula'!E47+'Fórmula'!G47+'Fórmula'!I47+'Fórmula'!K47))*(INDEX(properties!A$1:CB$87,'Fórmula'!H47,10))+(('Fórmula'!K47)/('Fórmula'!C47+'Fórmula'!E47+'Fórmula'!G47+'Fórmula'!I47+'Fórmula'!K47))*(INDEX(properties!A$1:CB$87,'Fórmula'!J47,10))</f>
        <v>6.307692308</v>
      </c>
      <c r="AG47" s="106">
        <f t="array" ref="AG47">'Fórmula'!C47*(INDEX(properties!A$1:CB$87,'Fórmula'!B47,10))+'Fórmula'!E47*(INDEX(properties!A$1:CB$87,'Fórmula'!D47,10))+'Fórmula'!G47*(INDEX(properties!A$1:CB$87,'Fórmula'!F47,10))+'Fórmula'!I47*(INDEX(properties!A$1:CB$87,'Fórmula'!H47,10))+'Fórmula'!K47*(INDEX(properties!A$1:CB$87,'Fórmula'!J47,10))</f>
        <v>82</v>
      </c>
      <c r="AH47" s="106">
        <f t="array" ref="AH47">VARP(IF(INDEX(properties!A$1:CB$87,'Fórmula'!B47,10)&lt;&gt;"",INDEX(properties!A$1:CB$87,'Fórmula'!B47,10)),IF(INDEX(properties!A$1:CB$87,'Fórmula'!D47,10)&lt;&gt;"",INDEX(properties!A$1:CB$87,'Fórmula'!D47,10)),IF(INDEX(properties!A$1:CB$87,'Fórmula'!F47,10)&lt;&gt;"",INDEX(properties!A$1:CB$87,'Fórmula'!F47,10)),IF(INDEX(properties!A$1:CB$87,'Fórmula'!H47,10)&lt;&gt;"",INDEX(properties!A$1:CB$87,'Fórmula'!H47,10)),IF(INDEX(properties!A$1:CB$87,'Fórmula'!J47,10)&lt;&gt;"",INDEX(properties!A$1:CB$87,'Fórmula'!J47,10)))</f>
        <v>7.36</v>
      </c>
      <c r="AI47" s="106">
        <f t="array" ref="AI47">MAX(INDEX(properties!A$1:CB$87,'Fórmula'!B47,10),INDEX(properties!A$1:CB$87,'Fórmula'!D47,10),INDEX(properties!A$1:CB$87,'Fórmula'!F47,10),INDEX(properties!A$1:CB$87,'Fórmula'!H47,10),INDEX(properties!A$1:CB$87,'Fórmula'!J47,10))</f>
        <v>7</v>
      </c>
      <c r="AJ47" s="106">
        <f t="array" ref="AJ47">MIN(IF(INDEX(properties!A$1:CB$87,'Fórmula'!B47,10)=0,10^6,INDEX(properties!A$1:CB$87,'Fórmula'!B47,10)),IF(INDEX(properties!A$1:CB$87,'Fórmula'!D47,10)=0,10^6,INDEX(properties!A$1:CB$87,'Fórmula'!D47,10)),IF(INDEX(properties!A$1:CB$87,'Fórmula'!F47,10)=0,10^6,INDEX(properties!A$1:CB$87,'Fórmula'!F47,10)),IF(INDEX(properties!A$1:CB$87,'Fórmula'!H47,10)=0,10^6,INDEX(properties!A$1:CB$87,'Fórmula'!H47,10)),IF(INDEX(properties!A$1:CB$87,'Fórmula'!J47,10)=0,10^6,INDEX(properties!A$1:CB$87,'Fórmula'!J47,10)))</f>
        <v>2</v>
      </c>
      <c r="AK47" s="106">
        <f t="shared" si="6"/>
        <v>5</v>
      </c>
      <c r="AL47" s="107">
        <f t="array" ref="AL47">(('Fórmula'!C47)/('Fórmula'!C47+'Fórmula'!E47+'Fórmula'!G47+'Fórmula'!I47+'Fórmula'!K47))*(INDEX(properties!A$1:CB$87,'Fórmula'!B47,11))+(('Fórmula'!E47)/('Fórmula'!C47+'Fórmula'!E47+'Fórmula'!G47+'Fórmula'!I47+'Fórmula'!K47))*(INDEX(properties!A$1:CB$87,'Fórmula'!D47,11))+(('Fórmula'!G47)/('Fórmula'!C47+'Fórmula'!E47+'Fórmula'!G47+'Fórmula'!I47+'Fórmula'!K47))*(INDEX(properties!A$1:CB$87,'Fórmula'!F47,11))+(('Fórmula'!I47)/('Fórmula'!C47+'Fórmula'!E47+'Fórmula'!G47+'Fórmula'!I47+'Fórmula'!K47))*(INDEX(properties!A$1:CB$87,'Fórmula'!H47,11))+(('Fórmula'!K47)/('Fórmula'!C47+'Fórmula'!E47+'Fórmula'!G47+'Fórmula'!I47+'Fórmula'!K47))*(INDEX(properties!A$1:CB$87,'Fórmula'!J47,11))</f>
        <v>2</v>
      </c>
      <c r="AM47" s="107">
        <f t="array" ref="AM47">'Fórmula'!C47*(INDEX(properties!A$1:CB$87,'Fórmula'!B47,11))+'Fórmula'!E47*(INDEX(properties!A$1:CB$87,'Fórmula'!D47,11))+'Fórmula'!G47*(INDEX(properties!A$1:CB$87,'Fórmula'!F47,11))+'Fórmula'!I47*(INDEX(properties!A$1:CB$87,'Fórmula'!H47,11))+'Fórmula'!K47*(INDEX(properties!A$1:CB$87,'Fórmula'!J47,11))</f>
        <v>26</v>
      </c>
      <c r="AN47" s="107">
        <f t="array" ref="AN47">VARP(IF(INDEX(properties!A$1:CB$87,'Fórmula'!B47,11)&lt;&gt;"",INDEX(properties!A$1:CB$87,'Fórmula'!B47,11)),IF(INDEX(properties!A$1:CB$87,'Fórmula'!D47,11)&lt;&gt;"",INDEX(properties!A$1:CB$87,'Fórmula'!D47,11)),IF(INDEX(properties!A$1:CB$87,'Fórmula'!F47,11)&lt;&gt;"",INDEX(properties!A$1:CB$87,'Fórmula'!F47,11)),IF(INDEX(properties!A$1:CB$87,'Fórmula'!H47,11)&lt;&gt;"",INDEX(properties!A$1:CB$87,'Fórmula'!H47,11)),IF(INDEX(properties!A$1:CB$87,'Fórmula'!J47,11)&lt;&gt;"",INDEX(properties!A$1:CB$87,'Fórmula'!J47,11)))</f>
        <v>0.64</v>
      </c>
      <c r="AO47" s="107">
        <f t="array" ref="AO47">MAX(INDEX(properties!A$1:CB$87,'Fórmula'!B47,11),INDEX(properties!A$1:CB$87,'Fórmula'!D47,11),INDEX(properties!A$1:CB$87,'Fórmula'!F47,11),INDEX(properties!A$1:CB$87,'Fórmula'!H47,11),INDEX(properties!A$1:CB$87,'Fórmula'!J47,11))</f>
        <v>2</v>
      </c>
      <c r="AP47" s="107">
        <f t="array" ref="AP47">MIN(IF('Fórmula'!B47=87,10^6,INDEX(properties!A$1:CB$87,'Fórmula'!B47,11)),IF(('Fórmula'!D47)=87,10^6,INDEX(properties!A$1:CB$87,'Fórmula'!D47,11)),IF(('Fórmula'!F47)=87,10^6,INDEX(properties!A$1:CB$87,'Fórmula'!F47,11)),IF(('Fórmula'!H47)=87,10^6,INDEX(properties!A$1:CB$87,'Fórmula'!H47,11)),IF('Fórmula'!J47=87,10^6,INDEX(properties!A$1:CB$87,'Fórmula'!J47,11)))</f>
        <v>2</v>
      </c>
      <c r="AQ47" s="107">
        <f t="shared" si="7"/>
        <v>0</v>
      </c>
      <c r="AR47" s="108">
        <f t="array" ref="AR47">(('Fórmula'!C47)/('Fórmula'!C47+'Fórmula'!E47+'Fórmula'!G47+'Fórmula'!I47+'Fórmula'!K47))*(INDEX(properties!A$1:CB$87,'Fórmula'!B47,12))+(('Fórmula'!E47)/('Fórmula'!C47+'Fórmula'!E47+'Fórmula'!G47+'Fórmula'!I47+'Fórmula'!K47))*(INDEX(properties!A$1:CB$87,'Fórmula'!D47,12))+(('Fórmula'!G47)/('Fórmula'!C47+'Fórmula'!E47+'Fórmula'!G47+'Fórmula'!I47+'Fórmula'!K47))*(INDEX(properties!A$1:CB$87,'Fórmula'!F47,12))+(('Fórmula'!I47)/('Fórmula'!C47+'Fórmula'!E47+'Fórmula'!G47+'Fórmula'!I47+'Fórmula'!K47))*(INDEX(properties!A$1:CB$87,'Fórmula'!H47,12))+(('Fórmula'!K47)/('Fórmula'!C47+'Fórmula'!E47+'Fórmula'!G47+'Fórmula'!I47+'Fórmula'!K47))*(INDEX(properties!A$1:CB$87,'Fórmula'!J47,12))</f>
        <v>2.923076923</v>
      </c>
      <c r="AS47" s="108">
        <f t="array" ref="AS47">'Fórmula'!C47*(INDEX(properties!A$1:CB$87,'Fórmula'!B47,12))+'Fórmula'!E47*(INDEX(properties!A$1:CB$87,'Fórmula'!D47,12))+'Fórmula'!G47*(INDEX(properties!A$1:CB$87,'Fórmula'!F47,12))+'Fórmula'!I47*(INDEX(properties!A$1:CB$87,'Fórmula'!H47,12))+'Fórmula'!K47*(INDEX(properties!A$1:CB$87,'Fórmula'!J47,12))</f>
        <v>38</v>
      </c>
      <c r="AT47" s="108">
        <f t="array" ref="AT47">VARP(IF(INDEX(properties!A$1:CB$87,'Fórmula'!B47,12)&lt;&gt;"",INDEX(properties!A$1:CB$87,'Fórmula'!B47,12)),IF(INDEX(properties!A$1:CB$87,'Fórmula'!D47,12)&lt;&gt;"",INDEX(properties!A$1:CB$87,'Fórmula'!D47,12)),IF(INDEX(properties!A$1:CB$87,'Fórmula'!F47,12)&lt;&gt;"",INDEX(properties!A$1:CB$87,'Fórmula'!F47,12)),IF(INDEX(properties!A$1:CB$87,'Fórmula'!H47,12)&lt;&gt;"",INDEX(properties!A$1:CB$87,'Fórmula'!H47,12)),IF(INDEX(properties!A$1:CB$87,'Fórmula'!J47,12)&lt;&gt;"",INDEX(properties!A$1:CB$87,'Fórmula'!J47,12)))</f>
        <v>2.24</v>
      </c>
      <c r="AU47" s="108">
        <f t="array" ref="AU47">MAX(INDEX(properties!A$1:CB$87,'Fórmula'!B47,12),INDEX(properties!A$1:CB$87,'Fórmula'!D47,12),INDEX(properties!A$1:CB$87,'Fórmula'!F47,12),INDEX(properties!A$1:CB$87,'Fórmula'!H47,12),INDEX(properties!A$1:CB$87,'Fórmula'!J47,12))</f>
        <v>4</v>
      </c>
      <c r="AV47" s="108">
        <f t="array" ref="AV47">MIN(IF('Fórmula'!B47=87,10^6,INDEX(properties!A$1:CB$87,'Fórmula'!B47,12)),IF(('Fórmula'!D47)=87,10^6,INDEX(properties!A$1:CB$87,'Fórmula'!D47,12)),IF(('Fórmula'!F47)=87,10^6,INDEX(properties!A$1:CB$87,'Fórmula'!F47,12)),IF(('Fórmula'!H47)=87,10^6,INDEX(properties!A$1:CB$87,'Fórmula'!H47,12)),IF('Fórmula'!J47=87,10^6,INDEX(properties!A$1:CB$87,'Fórmula'!J47,12)))</f>
        <v>0</v>
      </c>
      <c r="AW47" s="108">
        <f t="shared" si="8"/>
        <v>4</v>
      </c>
      <c r="AX47" s="109">
        <f t="array" ref="AX47">(('Fórmula'!C47)/('Fórmula'!C47+'Fórmula'!E47+'Fórmula'!G47+'Fórmula'!I47+'Fórmula'!K47))*(INDEX(properties!A$1:CB$87,'Fórmula'!B47,13))+(('Fórmula'!E47)/('Fórmula'!C47+'Fórmula'!E47+'Fórmula'!G47+'Fórmula'!I47+'Fórmula'!K47))*(INDEX(properties!A$1:CB$87,'Fórmula'!D47,13))+(('Fórmula'!G47)/('Fórmula'!C47+'Fórmula'!E47+'Fórmula'!G47+'Fórmula'!I47+'Fórmula'!K47))*(INDEX(properties!A$1:CB$87,'Fórmula'!F47,13))+(('Fórmula'!I47)/('Fórmula'!C47+'Fórmula'!E47+'Fórmula'!G47+'Fórmula'!I47+'Fórmula'!K47))*(INDEX(properties!A$1:CB$87,'Fórmula'!H47,13))+(('Fórmula'!K47)/('Fórmula'!C47+'Fórmula'!E47+'Fórmula'!G47+'Fórmula'!I47+'Fórmula'!K47))*(INDEX(properties!A$1:CB$87,'Fórmula'!J47,13))</f>
        <v>0</v>
      </c>
      <c r="AY47" s="109">
        <f t="array" ref="AY47">'Fórmula'!C47*(INDEX(properties!A$1:CB$87,'Fórmula'!B47,13))+'Fórmula'!E47*(INDEX(properties!A$1:CB$87,'Fórmula'!D47,13))+'Fórmula'!G47*(INDEX(properties!A$1:CB$87,'Fórmula'!F47,13))+'Fórmula'!I47*(INDEX(properties!A$1:CB$87,'Fórmula'!H47,13))+'Fórmula'!K47*(INDEX(properties!A$1:CB$87,'Fórmula'!J47,13))</f>
        <v>0</v>
      </c>
      <c r="AZ47" s="109">
        <f t="array" ref="AZ47">VARP(IF(INDEX(properties!A$1:CB$87,'Fórmula'!B47,13)&lt;&gt;"",INDEX(properties!A$1:CB$87,'Fórmula'!B47,13)),IF(INDEX(properties!A$1:CB$87,'Fórmula'!D47,13)&lt;&gt;"",INDEX(properties!A$1:CB$87,'Fórmula'!D47,13)),IF(INDEX(properties!A$1:CB$87,'Fórmula'!F47,13)&lt;&gt;"",INDEX(properties!A$1:CB$87,'Fórmula'!F47,13)),IF(INDEX(properties!A$1:CB$87,'Fórmula'!H47,13)&lt;&gt;"",INDEX(properties!A$1:CB$87,'Fórmula'!H47,13)),IF(INDEX(properties!A$1:CB$87,'Fórmula'!J47,13)&lt;&gt;"",INDEX(properties!A$1:CB$87,'Fórmula'!J47,13)))</f>
        <v>0</v>
      </c>
      <c r="BA47" s="109">
        <f t="array" ref="BA47">MAX(INDEX(properties!A$1:CB$87,'Fórmula'!B47,13),INDEX(properties!A$1:CB$87,'Fórmula'!D47,13),INDEX(properties!A$1:CB$87,'Fórmula'!F47,13),INDEX(properties!A$1:CB$87,'Fórmula'!H47,13),INDEX(properties!A$1:CB$87,'Fórmula'!J47,13))</f>
        <v>0</v>
      </c>
      <c r="BB47" s="109">
        <f t="array" ref="BB47">MIN(IF('Fórmula'!B47=87,10^6,INDEX(properties!A$1:CB$87,'Fórmula'!B47,13)),IF(('Fórmula'!D47)=87,10^6,INDEX(properties!A$1:CB$87,'Fórmula'!D47,13)),IF(('Fórmula'!F47)=87,10^6,INDEX(properties!A$1:CB$87,'Fórmula'!F47,13)),IF(('Fórmula'!H47)=87,10^6,INDEX(properties!A$1:CB$87,'Fórmula'!H47,13)),IF('Fórmula'!J47=87,10^6,INDEX(properties!A$1:CB$87,'Fórmula'!J47,13)))</f>
        <v>0</v>
      </c>
      <c r="BC47" s="109">
        <f t="shared" si="9"/>
        <v>0</v>
      </c>
      <c r="BD47" s="110">
        <f t="array" ref="BD47">(('Fórmula'!C47)/('Fórmula'!C47+'Fórmula'!E47+'Fórmula'!G47+'Fórmula'!I47+'Fórmula'!K47))*(INDEX(properties!A$1:CB$87,'Fórmula'!B47,14))+(('Fórmula'!E47)/('Fórmula'!C47+'Fórmula'!E47+'Fórmula'!G47+'Fórmula'!I47+'Fórmula'!K47))*(INDEX(properties!A$1:CB$87,'Fórmula'!D47,14))+(('Fórmula'!G47)/('Fórmula'!C47+'Fórmula'!E47+'Fórmula'!G47+'Fórmula'!I47+'Fórmula'!K47))*(INDEX(properties!A$1:CB$87,'Fórmula'!F47,14))+(('Fórmula'!I47)/('Fórmula'!C47+'Fórmula'!E47+'Fórmula'!G47+'Fórmula'!I47+'Fórmula'!K47))*(INDEX(properties!A$1:CB$87,'Fórmula'!H47,14))+(('Fórmula'!K47)/('Fórmula'!C47+'Fórmula'!E47+'Fórmula'!G47+'Fórmula'!I47+'Fórmula'!K47))*(INDEX(properties!A$1:CB$87,'Fórmula'!J47,14))</f>
        <v>0</v>
      </c>
      <c r="BE47" s="110">
        <f t="array" ref="BE47">'Fórmula'!C47*(INDEX(properties!A$1:CB$87,'Fórmula'!B47,14))+'Fórmula'!E47*(INDEX(properties!A$1:CB$87,'Fórmula'!D47,14))+'Fórmula'!G47*(INDEX(properties!A$1:CB$87,'Fórmula'!F47,14))+'Fórmula'!I47*(INDEX(properties!A$1:CB$87,'Fórmula'!H47,14))+'Fórmula'!K47*(INDEX(properties!A$1:CB$87,'Fórmula'!J47,14))</f>
        <v>0</v>
      </c>
      <c r="BF47" s="110">
        <f t="array" ref="BF47">VARP(IF(INDEX(properties!A$1:CB$87,'Fórmula'!B47,14)&lt;&gt;"",INDEX(properties!A$1:CB$87,'Fórmula'!B47,14)),IF(INDEX(properties!A$1:CB$87,'Fórmula'!D47,14)&lt;&gt;"",INDEX(properties!A$1:CB$87,'Fórmula'!D47,14)),IF(INDEX(properties!A$1:CB$87,'Fórmula'!F47,14)&lt;&gt;"",INDEX(properties!A$1:CB$87,'Fórmula'!F47,14)),IF(INDEX(properties!A$1:CB$87,'Fórmula'!H47,14)&lt;&gt;"",INDEX(properties!A$1:CB$87,'Fórmula'!H47,14)),IF(INDEX(properties!A$1:CB$87,'Fórmula'!J47,14)&lt;&gt;"",INDEX(properties!A$1:CB$87,'Fórmula'!J47,14)))</f>
        <v>0</v>
      </c>
      <c r="BG47" s="110">
        <f t="array" ref="BG47">MAX(INDEX(properties!A$1:CB$87,'Fórmula'!B47,14),INDEX(properties!A$1:CB$87,'Fórmula'!D47,14),INDEX(properties!A$1:CB$87,'Fórmula'!F47,14),INDEX(properties!A$1:CB$87,'Fórmula'!H47,14),INDEX(properties!A$1:CB$87,'Fórmula'!J47,14))</f>
        <v>0</v>
      </c>
      <c r="BH47" s="110">
        <f t="array" ref="BH47">MIN(IF('Fórmula'!B47=87,10^6,INDEX(properties!A$1:CB$87,'Fórmula'!B47,14)),IF(('Fórmula'!D47)=87,10^6,INDEX(properties!A$1:CB$87,'Fórmula'!D47,14)),IF(('Fórmula'!F47)=87,10^6,INDEX(properties!A$1:CB$87,'Fórmula'!F47,14)),IF(('Fórmula'!H47)=87,10^6,INDEX(properties!A$1:CB$87,'Fórmula'!H47,14)),IF('Fórmula'!J47=87,10^6,INDEX(properties!A$1:CB$87,'Fórmula'!J47,14)))</f>
        <v>0</v>
      </c>
      <c r="BI47" s="110">
        <f t="shared" si="10"/>
        <v>0</v>
      </c>
      <c r="BJ47" s="111">
        <f t="array" ref="BJ47">(('Fórmula'!C47)/('Fórmula'!C47+'Fórmula'!E47+'Fórmula'!G47+'Fórmula'!I47+'Fórmula'!K47))*(INDEX(properties!A$1:CB$87,'Fórmula'!B47,19))+(('Fórmula'!E47)/('Fórmula'!C47+'Fórmula'!E47+'Fórmula'!G47+'Fórmula'!I47+'Fórmula'!K47))*(INDEX(properties!A$1:CB$87,'Fórmula'!D47,19))+(('Fórmula'!G47)/('Fórmula'!C47+'Fórmula'!E47+'Fórmula'!G47+'Fórmula'!I47+'Fórmula'!K47))*(INDEX(properties!A$1:CB$87,'Fórmula'!F47,19))+(('Fórmula'!I47)/('Fórmula'!C47+'Fórmula'!E47+'Fórmula'!G47+'Fórmula'!I47+'Fórmula'!K47))*(INDEX(properties!A$1:CB$87,'Fórmula'!H47,19))+(('Fórmula'!K47)/('Fórmula'!C47+'Fórmula'!E47+'Fórmula'!G47+'Fórmula'!I47+'Fórmula'!K47))*(INDEX(properties!A$1:CB$87,'Fórmula'!J47,19))</f>
        <v>4.923076923</v>
      </c>
      <c r="BK47" s="111">
        <f t="array" ref="BK47">'Fórmula'!C47*(INDEX(properties!A$1:CB$87,'Fórmula'!B47,19))+'Fórmula'!E47*(INDEX(properties!A$1:CB$87,'Fórmula'!D47,19))+'Fórmula'!G47*(INDEX(properties!A$1:CB$87,'Fórmula'!F47,19))+'Fórmula'!I47*(INDEX(properties!A$1:CB$87,'Fórmula'!H47,19))+'Fórmula'!K47*(INDEX(properties!A$1:CB$87,'Fórmula'!J47,19))</f>
        <v>64</v>
      </c>
      <c r="BL47" s="111">
        <f t="array" ref="BL47">VARP(IF(INDEX(properties!A$1:CB$87,'Fórmula'!B47,19)&lt;&gt;"",INDEX(properties!A$1:CB$87,'Fórmula'!B47,19)),IF(INDEX(properties!A$1:CB$87,'Fórmula'!D47,19)&lt;&gt;"",INDEX(properties!A$1:CB$87,'Fórmula'!D47,19)),IF(INDEX(properties!A$1:CB$87,'Fórmula'!F47,19)&lt;&gt;"",INDEX(properties!A$1:CB$87,'Fórmula'!F47,19)),IF(INDEX(properties!A$1:CB$87,'Fórmula'!H47,19)&lt;&gt;"",INDEX(properties!A$1:CB$87,'Fórmula'!H47,19)),IF(INDEX(properties!A$1:CB$87,'Fórmula'!J47,19)&lt;&gt;"",INDEX(properties!A$1:CB$87,'Fórmula'!J47,19)))</f>
        <v>4</v>
      </c>
      <c r="BM47" s="111">
        <f t="array" ref="BM47">MAX(INDEX(properties!A$1:CB$87,'Fórmula'!B47,19),INDEX(properties!A$1:CB$87,'Fórmula'!D47,19),INDEX(properties!A$1:CB$87,'Fórmula'!F47,19),INDEX(properties!A$1:CB$87,'Fórmula'!H47,19),INDEX(properties!A$1:CB$87,'Fórmula'!J47,19))</f>
        <v>6</v>
      </c>
      <c r="BN47" s="111">
        <f t="array" ref="BN47">MIN(IF(INDEX(properties!A$1:CB$87,'Fórmula'!B47,19)=0,10^6,INDEX(properties!A$1:CB$87,'Fórmula'!B47,19)),IF(INDEX(properties!A$1:CB$87,'Fórmula'!D47,19)=0,10^6,INDEX(properties!A$1:CB$87,'Fórmula'!D47,19)),IF(INDEX(properties!A$1:CB$87,'Fórmula'!F47,19)=0,10^6,INDEX(properties!A$1:CB$87,'Fórmula'!F47,19)),IF(INDEX(properties!A$1:CB$87,'Fórmula'!H47,19)=0,10^6,INDEX(properties!A$1:CB$87,'Fórmula'!H47,19)),IF(INDEX(properties!A$1:CB$87,'Fórmula'!J47,19)=0,10^6,INDEX(properties!A$1:CB$87,'Fórmula'!J47,19)))</f>
        <v>2</v>
      </c>
      <c r="BO47" s="111">
        <f t="shared" si="11"/>
        <v>4</v>
      </c>
      <c r="BP47" s="112">
        <f t="array" ref="BP47">(('Fórmula'!C47)/('Fórmula'!C47+'Fórmula'!E47+'Fórmula'!G47+'Fórmula'!I47+'Fórmula'!K47))*(INDEX(properties!A$1:CB$87,'Fórmula'!B47,20))+(('Fórmula'!E47)/('Fórmula'!C47+'Fórmula'!E47+'Fórmula'!G47+'Fórmula'!I47+'Fórmula'!K47))*(INDEX(properties!A$1:CB$87,'Fórmula'!D47,20))+(('Fórmula'!G47)/('Fórmula'!C47+'Fórmula'!E47+'Fórmula'!G47+'Fórmula'!I47+'Fórmula'!K47))*(INDEX(properties!A$1:CB$87,'Fórmula'!F47,20))+(('Fórmula'!I47)/('Fórmula'!C47+'Fórmula'!E47+'Fórmula'!G47+'Fórmula'!I47+'Fórmula'!K47))*(INDEX(properties!A$1:CB$87,'Fórmula'!H47,20))+(('Fórmula'!K47)/('Fórmula'!C47+'Fórmula'!E47+'Fórmula'!G47+'Fórmula'!I47+'Fórmula'!K47))*(INDEX(properties!A$1:CB$87,'Fórmula'!J47,20))</f>
        <v>4.923076923</v>
      </c>
      <c r="BQ47" s="112">
        <f t="array" ref="BQ47">'Fórmula'!C47*(INDEX(properties!A$1:CB$87,'Fórmula'!B47,20))+'Fórmula'!E47*(INDEX(properties!A$1:CB$87,'Fórmula'!D47,20))+'Fórmula'!G47*(INDEX(properties!A$1:CB$87,'Fórmula'!F47,20))+'Fórmula'!I47*(INDEX(properties!A$1:CB$87,'Fórmula'!H47,20))+'Fórmula'!K47*(INDEX(properties!A$1:CB$87,'Fórmula'!J47,20))</f>
        <v>64</v>
      </c>
      <c r="BR47" s="112">
        <f t="array" ref="BR47">VARP(IF(INDEX(properties!A$1:CB$87,'Fórmula'!B47,20)&lt;&gt;"",INDEX(properties!A$1:CB$87,'Fórmula'!B47,20)),IF(INDEX(properties!A$1:CB$87,'Fórmula'!D47,20)&lt;&gt;"",INDEX(properties!A$1:CB$87,'Fórmula'!D47,20)),IF(INDEX(properties!A$1:CB$87,'Fórmula'!F47,20)&lt;&gt;"",INDEX(properties!A$1:CB$87,'Fórmula'!F47,20)),IF(INDEX(properties!A$1:CB$87,'Fórmula'!H47,20)&lt;&gt;"",INDEX(properties!A$1:CB$87,'Fórmula'!H47,20)),IF(INDEX(properties!A$1:CB$87,'Fórmula'!J47,20)&lt;&gt;"",INDEX(properties!A$1:CB$87,'Fórmula'!J47,20)))</f>
        <v>4</v>
      </c>
      <c r="BS47" s="112">
        <f t="array" ref="BS47">MAX(INDEX(properties!A$1:CB$87,'Fórmula'!B47,20),INDEX(properties!A$1:CB$87,'Fórmula'!D47,20),INDEX(properties!A$1:CB$87,'Fórmula'!F47,20),INDEX(properties!A$1:CB$87,'Fórmula'!H47,20),INDEX(properties!A$1:CB$87,'Fórmula'!J47,20))</f>
        <v>6</v>
      </c>
      <c r="BT47" s="112">
        <f t="array" ref="BT47">MIN(IF(INDEX(properties!A$1:CB$87,'Fórmula'!B47,20)=0,10^6,INDEX(properties!A$1:CB$87,'Fórmula'!B47,20)),IF(INDEX(properties!A$1:CB$87,'Fórmula'!D47,20)=0,10^6,INDEX(properties!A$1:CB$87,'Fórmula'!D47,20)),IF(INDEX(properties!A$1:CB$87,'Fórmula'!F47,20)=0,10^6,INDEX(properties!A$1:CB$87,'Fórmula'!F47,20)),IF(INDEX(properties!A$1:CB$87,'Fórmula'!H47,20)=0,10^6,INDEX(properties!A$1:CB$87,'Fórmula'!H47,20)),IF(INDEX(properties!A$1:CB$87,'Fórmula'!J47,20)=0,10^6,INDEX(properties!A$1:CB$87,'Fórmula'!J47,20)))</f>
        <v>2</v>
      </c>
      <c r="BU47" s="112">
        <f t="shared" si="12"/>
        <v>4</v>
      </c>
      <c r="BV47" s="113">
        <f t="array" ref="BV47">(('Fórmula'!C47)/('Fórmula'!C47+'Fórmula'!E47+'Fórmula'!G47+'Fórmula'!I47+'Fórmula'!K47))*(INDEX(properties!A$1:CB$87,'Fórmula'!B47,21))+(('Fórmula'!E47)/('Fórmula'!C47+'Fórmula'!E47+'Fórmula'!G47+'Fórmula'!I47+'Fórmula'!K47))*(INDEX(properties!A$1:CB$87,'Fórmula'!D47,21))+(('Fórmula'!G47)/('Fórmula'!C47+'Fórmula'!E47+'Fórmula'!G47+'Fórmula'!I47+'Fórmula'!K47))*(INDEX(properties!A$1:CB$87,'Fórmula'!F47,21))+(('Fórmula'!I47)/('Fórmula'!C47+'Fórmula'!E47+'Fórmula'!G47+'Fórmula'!I47+'Fórmula'!K47))*(INDEX(properties!A$1:CB$87,'Fórmula'!H47,21))+(('Fórmula'!K47)/('Fórmula'!C47+'Fórmula'!E47+'Fórmula'!G47+'Fórmula'!I47+'Fórmula'!K47))*(INDEX(properties!A$1:CB$87,'Fórmula'!J47,21))</f>
        <v>4.923076923</v>
      </c>
      <c r="BW47" s="113">
        <f t="array" ref="BW47">'Fórmula'!C47*(INDEX(properties!A$1:CB$87,'Fórmula'!B47,21))+'Fórmula'!E47*(INDEX(properties!A$1:CB$87,'Fórmula'!D47,21))+'Fórmula'!G47*(INDEX(properties!A$1:CB$87,'Fórmula'!F47,21))+'Fórmula'!I47*(INDEX(properties!A$1:CB$87,'Fórmula'!H47,21))+'Fórmula'!K47*(INDEX(properties!A$1:CB$87,'Fórmula'!J47,21))</f>
        <v>64</v>
      </c>
      <c r="BX47" s="113">
        <f t="array" ref="BX47">VARP(IF(INDEX(properties!A$1:CB$87,'Fórmula'!B47,21)&lt;&gt;"",INDEX(properties!A$1:CB$87,'Fórmula'!B47,21)),IF(INDEX(properties!A$1:CB$87,'Fórmula'!D47,21)&lt;&gt;"",INDEX(properties!A$1:CB$87,'Fórmula'!D47,21)),IF(INDEX(properties!A$1:CB$87,'Fórmula'!F47,21)&lt;&gt;"",INDEX(properties!A$1:CB$87,'Fórmula'!F47,21)),IF(INDEX(properties!A$1:CB$87,'Fórmula'!H47,21)&lt;&gt;"",INDEX(properties!A$1:CB$87,'Fórmula'!H47,21)),IF(INDEX(properties!A$1:CB$87,'Fórmula'!J47,21)&lt;&gt;"",INDEX(properties!A$1:CB$87,'Fórmula'!J47,21)))</f>
        <v>4</v>
      </c>
      <c r="BY47" s="113">
        <f t="array" ref="BY47">MAX(INDEX(properties!A$1:CB$87,'Fórmula'!B47,21),INDEX(properties!A$1:CB$87,'Fórmula'!D47,21),INDEX(properties!A$1:CB$87,'Fórmula'!F47,21),INDEX(properties!A$1:CB$87,'Fórmula'!H47,21),INDEX(properties!A$1:CB$87,'Fórmula'!J47,21))</f>
        <v>6</v>
      </c>
      <c r="BZ47" s="113">
        <f t="array" ref="BZ47">MIN(IF(INDEX(properties!A$1:CB$87,'Fórmula'!B47,21)=0,10^6,INDEX(properties!A$1:CB$87,'Fórmula'!B47,21)),IF(INDEX(properties!A$1:CB$87,'Fórmula'!D47,21)=0,10^6,INDEX(properties!A$1:CB$87,'Fórmula'!D47,21)),IF(INDEX(properties!A$1:CB$87,'Fórmula'!F47,21)=0,10^6,INDEX(properties!A$1:CB$87,'Fórmula'!F47,21)),IF(INDEX(properties!A$1:CB$87,'Fórmula'!H47,21)=0,10^6,INDEX(properties!A$1:CB$87,'Fórmula'!H47,21)),IF(INDEX(properties!A$1:CB$87,'Fórmula'!J47,21)=0,10^6,INDEX(properties!A$1:CB$87,'Fórmula'!J47,21)))</f>
        <v>2</v>
      </c>
      <c r="CA47" s="113">
        <f t="shared" si="13"/>
        <v>4</v>
      </c>
      <c r="CB47" s="114">
        <f t="array" ref="CB47">(('Fórmula'!C47)/('Fórmula'!C47+'Fórmula'!E47+'Fórmula'!G47+'Fórmula'!I47+'Fórmula'!K47))*(INDEX(properties!A$1:CB$87,'Fórmula'!B47,23))+(('Fórmula'!E47)/('Fórmula'!C47+'Fórmula'!E47+'Fórmula'!G47+'Fórmula'!I47+'Fórmula'!K47))*(INDEX(properties!A$1:CB$87,'Fórmula'!D47,23))+(('Fórmula'!G47)/('Fórmula'!C47+'Fórmula'!E47+'Fórmula'!G47+'Fórmula'!I47+'Fórmula'!K47))*(INDEX(properties!A$1:CB$87,'Fórmula'!F47,23))+(('Fórmula'!I47)/('Fórmula'!C47+'Fórmula'!E47+'Fórmula'!G47+'Fórmula'!I47+'Fórmula'!K47))*(INDEX(properties!A$1:CB$87,'Fórmula'!H47,23))+(('Fórmula'!K47)/('Fórmula'!C47+'Fórmula'!E47+'Fórmula'!G47+'Fórmula'!I47+'Fórmula'!K47))*(INDEX(properties!A$1:CB$87,'Fórmula'!J47,23))</f>
        <v>1.230769231</v>
      </c>
      <c r="CC47" s="114">
        <f t="array" ref="CC47">'Fórmula'!C47*(INDEX(properties!A$1:CB$87,'Fórmula'!B47,23))+'Fórmula'!E47*(INDEX(properties!A$1:CB$87,'Fórmula'!D47,23))+'Fórmula'!G47*(INDEX(properties!A$1:CB$87,'Fórmula'!F47,23))+'Fórmula'!I47*(INDEX(properties!A$1:CB$87,'Fórmula'!H47,23))+'Fórmula'!K47*(INDEX(properties!A$1:CB$87,'Fórmula'!J47,23))</f>
        <v>16</v>
      </c>
      <c r="CD47" s="114">
        <f t="array" ref="CD47">VARP(IF(INDEX(properties!A$1:CB$87,'Fórmula'!B47,23)&lt;&gt;"",INDEX(properties!A$1:CB$87,'Fórmula'!B47,23)),IF(INDEX(properties!A$1:CB$87,'Fórmula'!D47,23)&lt;&gt;"",INDEX(properties!A$1:CB$87,'Fórmula'!D47,23)),IF(INDEX(properties!A$1:CB$87,'Fórmula'!F47,23)&lt;&gt;"",INDEX(properties!A$1:CB$87,'Fórmula'!F47,23)),IF(INDEX(properties!A$1:CB$87,'Fórmula'!H47,23)&lt;&gt;"",INDEX(properties!A$1:CB$87,'Fórmula'!H47,23)),IF(INDEX(properties!A$1:CB$87,'Fórmula'!J47,23)&lt;&gt;"",INDEX(properties!A$1:CB$87,'Fórmula'!J47,23)))</f>
        <v>2.56</v>
      </c>
      <c r="CE47" s="114">
        <f t="array" ref="CE47">MAX(INDEX(properties!A$1:CB$87,'Fórmula'!B47,23),INDEX(properties!A$1:CB$87,'Fórmula'!D47,23),INDEX(properties!A$1:CB$87,'Fórmula'!F47,23),INDEX(properties!A$1:CB$87,'Fórmula'!H47,23),INDEX(properties!A$1:CB$87,'Fórmula'!J47,23))</f>
        <v>4</v>
      </c>
      <c r="CF47" s="114">
        <f t="array" ref="CF47">MIN(IF('Fórmula'!B47=87,10^6,INDEX(properties!A$1:CB$87,'Fórmula'!B47,23)),IF(('Fórmula'!D47)=87,10^6,INDEX(properties!A$1:CB$87,'Fórmula'!D47,23)),IF(('Fórmula'!F47)=87,10^6,INDEX(properties!A$1:CB$87,'Fórmula'!F47,23)),IF(('Fórmula'!H47)=87,10^6,INDEX(properties!A$1:CB$87,'Fórmula'!H47,23)),IF('Fórmula'!J47=87,10^6,INDEX(properties!A$1:CB$87,'Fórmula'!J47,23)))</f>
        <v>0</v>
      </c>
      <c r="CG47" s="114">
        <f t="shared" si="14"/>
        <v>4</v>
      </c>
      <c r="CH47" s="115">
        <f t="array" ref="CH47">(('Fórmula'!C47)/('Fórmula'!C47+'Fórmula'!E47+'Fórmula'!G47+'Fórmula'!I47+'Fórmula'!K47))*(INDEX(properties!A$1:CB$87,'Fórmula'!B47,26))+(('Fórmula'!E47)/('Fórmula'!C47+'Fórmula'!E47+'Fórmula'!G47+'Fórmula'!I47+'Fórmula'!K47))*(INDEX(properties!A$1:CB$87,'Fórmula'!D47,26))+(('Fórmula'!G47)/('Fórmula'!C47+'Fórmula'!E47+'Fórmula'!G47+'Fórmula'!I47+'Fórmula'!K47))*(INDEX(properties!A$1:CB$87,'Fórmula'!F47,26))+(('Fórmula'!I47)/('Fórmula'!C47+'Fórmula'!E47+'Fórmula'!G47+'Fórmula'!I47+'Fórmula'!K47))*(INDEX(properties!A$1:CB$87,'Fórmula'!H47,26))+(('Fórmula'!K47)/('Fórmula'!C47+'Fórmula'!E47+'Fórmula'!G47+'Fórmula'!I47+'Fórmula'!K47))*(INDEX(properties!A$1:CB$87,'Fórmula'!J47,26))</f>
        <v>11.34916154</v>
      </c>
      <c r="CI47" s="115">
        <f t="array" ref="CI47">'Fórmula'!C47*(INDEX(properties!A$1:CB$87,'Fórmula'!B47,26))+'Fórmula'!E47*(INDEX(properties!A$1:CB$87,'Fórmula'!D47,26))+'Fórmula'!G47*(INDEX(properties!A$1:CB$87,'Fórmula'!F47,26))+'Fórmula'!I47*(INDEX(properties!A$1:CB$87,'Fórmula'!H47,26))+'Fórmula'!K47*(INDEX(properties!A$1:CB$87,'Fórmula'!J47,26))</f>
        <v>147.5391</v>
      </c>
      <c r="CJ47" s="115">
        <f t="array" ref="CJ47">VARP(IF(INDEX(properties!A$1:CB$87,'Fórmula'!B47,26)&lt;&gt;"",INDEX(properties!A$1:CB$87,'Fórmula'!B47,26)),IF(INDEX(properties!A$1:CB$87,'Fórmula'!D47,26)&lt;&gt;"",INDEX(properties!A$1:CB$87,'Fórmula'!D47,26)),IF(INDEX(properties!A$1:CB$87,'Fórmula'!F47,26)&lt;&gt;"",INDEX(properties!A$1:CB$87,'Fórmula'!F47,26)),IF(INDEX(properties!A$1:CB$87,'Fórmula'!H47,26)&lt;&gt;"",INDEX(properties!A$1:CB$87,'Fórmula'!H47,26)),IF(INDEX(properties!A$1:CB$87,'Fórmula'!J47,26)&lt;&gt;"",INDEX(properties!A$1:CB$87,'Fórmula'!J47,26)))</f>
        <v>19.47948165</v>
      </c>
      <c r="CK47" s="116">
        <f t="array" ref="CK47">MAX(INDEX(properties!A$1:CB$87,'Fórmula'!B47,26),INDEX(properties!A$1:CB$87,'Fórmula'!D47,26),INDEX(properties!A$1:CB$87,'Fórmula'!F47,26),INDEX(properties!A$1:CB$87,'Fórmula'!H47,26),INDEX(properties!A$1:CB$87,'Fórmula'!J47,26))</f>
        <v>13.6181</v>
      </c>
      <c r="CL47" s="116">
        <f t="array" ref="CL47">MIN(IF(INDEX(properties!A$1:CB$87,'Fórmula'!B47,26)=0,10^6,INDEX(properties!A$1:CB$87,'Fórmula'!B47,26)),IF(INDEX(properties!A$1:CB$87,'Fórmula'!D47,26)=0,10^6,INDEX(properties!A$1:CB$87,'Fórmula'!D47,26)),IF(INDEX(properties!A$1:CB$87,'Fórmula'!F47,26)=0,10^6,INDEX(properties!A$1:CB$87,'Fórmula'!F47,26)),IF(INDEX(properties!A$1:CB$87,'Fórmula'!H47,26)=0,10^6,INDEX(properties!A$1:CB$87,'Fórmula'!H47,26)),IF(INDEX(properties!A$1:CB$87,'Fórmula'!J47,26)=0,10^6,INDEX(properties!A$1:CB$87,'Fórmula'!J47,26)))</f>
        <v>5.6949</v>
      </c>
      <c r="CM47" s="115">
        <f t="shared" si="15"/>
        <v>7.9232</v>
      </c>
      <c r="CN47" s="117">
        <f t="array" ref="CN47">(('Fórmula'!C47)/('Fórmula'!C47+'Fórmula'!E47+'Fórmula'!G47+'Fórmula'!I47+'Fórmula'!K47))*(INDEX(properties!A$1:CB$87,'Fórmula'!B47,30))+(('Fórmula'!E47)/('Fórmula'!C47+'Fórmula'!E47+'Fórmula'!G47+'Fórmula'!I47+'Fórmula'!K47))*(INDEX(properties!A$1:CB$87,'Fórmula'!D47,30))+(('Fórmula'!G47)/('Fórmula'!C47+'Fórmula'!E47+'Fórmula'!G47+'Fórmula'!I47+'Fórmula'!K47))*(INDEX(properties!A$1:CB$87,'Fórmula'!F47,30))+(('Fórmula'!I47)/('Fórmula'!C47+'Fórmula'!E47+'Fórmula'!G47+'Fórmula'!I47+'Fórmula'!K47))*(INDEX(properties!A$1:CB$87,'Fórmula'!H47,30))+(('Fórmula'!K47)/('Fórmula'!C47+'Fórmula'!E47+'Fórmula'!G47+'Fórmula'!I47+'Fórmula'!K47))*(INDEX(properties!A$1:CB$87,'Fórmula'!J47,30))</f>
        <v>2.796153846</v>
      </c>
      <c r="CO47" s="117">
        <f t="array" ref="CO47">'Fórmula'!C47*(INDEX(properties!A$1:CB$87,'Fórmula'!B47,30))+'Fórmula'!E47*(INDEX(properties!A$1:CB$87,'Fórmula'!D47,30))+'Fórmula'!G47*(INDEX(properties!A$1:CB$87,'Fórmula'!F47,30))+'Fórmula'!I47*(INDEX(properties!A$1:CB$87,'Fórmula'!H47,30))+'Fórmula'!K47*(INDEX(properties!A$1:CB$87,'Fórmula'!J47,30))</f>
        <v>36.35</v>
      </c>
      <c r="CP47" s="117">
        <f t="array" ref="CP47">VARP(IF(INDEX(properties!A$1:CB$87,'Fórmula'!B47,30)&lt;&gt;"",INDEX(properties!A$1:CB$87,'Fórmula'!B47,30)),IF(INDEX(properties!A$1:CB$87,'Fórmula'!D47,30)&lt;&gt;"",INDEX(properties!A$1:CB$87,'Fórmula'!D47,30)),IF(INDEX(properties!A$1:CB$87,'Fórmula'!F47,30)&lt;&gt;"",INDEX(properties!A$1:CB$87,'Fórmula'!F47,30)),IF(INDEX(properties!A$1:CB$87,'Fórmula'!H47,30)&lt;&gt;"",INDEX(properties!A$1:CB$87,'Fórmula'!H47,30)),IF(INDEX(properties!A$1:CB$87,'Fórmula'!J47,30)&lt;&gt;"",INDEX(properties!A$1:CB$87,'Fórmula'!J47,30)))</f>
        <v>1.325984</v>
      </c>
      <c r="CQ47" s="117">
        <f t="array" ref="CQ47">MAX(INDEX(properties!A$1:CB$87,'Fórmula'!B47,30),INDEX(properties!A$1:CB$87,'Fórmula'!D47,30),INDEX(properties!A$1:CB$87,'Fórmula'!F47,30),INDEX(properties!A$1:CB$87,'Fórmula'!H47,30),INDEX(properties!A$1:CB$87,'Fórmula'!J47,30))</f>
        <v>3.44</v>
      </c>
      <c r="CR47" s="117">
        <f t="array" ref="CR47">MIN(IF(INDEX(properties!A$1:CB$87,'Fórmula'!B47,30)=0,10^6,INDEX(properties!A$1:CB$87,'Fórmula'!B47,30)),IF(INDEX(properties!A$1:CB$87,'Fórmula'!D47,30)=0,10^6,INDEX(properties!A$1:CB$87,'Fórmula'!D47,30)),IF(INDEX(properties!A$1:CB$87,'Fórmula'!F47,30)=0,10^6,INDEX(properties!A$1:CB$87,'Fórmula'!F47,30)),IF(INDEX(properties!A$1:CB$87,'Fórmula'!H47,30)=0,10^6,INDEX(properties!A$1:CB$87,'Fórmula'!H47,30)),IF(INDEX(properties!A$1:CB$87,'Fórmula'!J47,30)=0,10^6,INDEX(properties!A$1:CB$87,'Fórmula'!J47,30)))</f>
        <v>0.95</v>
      </c>
      <c r="CS47" s="117">
        <f t="shared" si="16"/>
        <v>2.49</v>
      </c>
      <c r="CT47" s="118">
        <f t="array" ref="CT47">(('Fórmula'!C47)/('Fórmula'!C47+'Fórmula'!E47+'Fórmula'!G47+'Fórmula'!I47+'Fórmula'!K47))*(INDEX(properties!A$1:CB$87,'Fórmula'!B47,31))+(('Fórmula'!E47)/('Fórmula'!C47+'Fórmula'!E47+'Fórmula'!G47+'Fórmula'!I47+'Fórmula'!K47))*(INDEX(properties!A$1:CB$87,'Fórmula'!D47,31))+(('Fórmula'!G47)/('Fórmula'!C47+'Fórmula'!E47+'Fórmula'!G47+'Fórmula'!I47+'Fórmula'!K47))*(INDEX(properties!A$1:CB$87,'Fórmula'!F47,31))+(('Fórmula'!I47)/('Fórmula'!C47+'Fórmula'!E47+'Fórmula'!G47+'Fórmula'!I47+'Fórmula'!K47))*(INDEX(properties!A$1:CB$87,'Fórmula'!H47,31))+(('Fórmula'!K47)/('Fórmula'!C47+'Fórmula'!E47+'Fórmula'!G47+'Fórmula'!I47+'Fórmula'!K47))*(INDEX(properties!A$1:CB$87,'Fórmula'!J47,31))</f>
        <v>2.726923077</v>
      </c>
      <c r="CU47" s="118">
        <f t="array" ref="CU47">'Fórmula'!C47*(INDEX(properties!A$1:CB$87,'Fórmula'!B47,31))+'Fórmula'!E47*(INDEX(properties!A$1:CB$87,'Fórmula'!D47,31))+'Fórmula'!G47*(INDEX(properties!A$1:CB$87,'Fórmula'!F47,31))+'Fórmula'!I47*(INDEX(properties!A$1:CB$87,'Fórmula'!H47,31))+'Fórmula'!K47*(INDEX(properties!A$1:CB$87,'Fórmula'!J47,31))</f>
        <v>35.45</v>
      </c>
      <c r="CV47" s="118">
        <f t="array" ref="CV47">VARP(IF(INDEX(properties!A$1:CB$87,'Fórmula'!B47,31)&lt;&gt;"",INDEX(properties!A$1:CB$87,'Fórmula'!B47,31)),IF(INDEX(properties!A$1:CB$87,'Fórmula'!D47,31)&lt;&gt;"",INDEX(properties!A$1:CB$87,'Fórmula'!D47,31)),IF(INDEX(properties!A$1:CB$87,'Fórmula'!F47,31)&lt;&gt;"",INDEX(properties!A$1:CB$87,'Fórmula'!F47,31)),IF(INDEX(properties!A$1:CB$87,'Fórmula'!H47,31)&lt;&gt;"",INDEX(properties!A$1:CB$87,'Fórmula'!H47,31)),IF(INDEX(properties!A$1:CB$87,'Fórmula'!J47,31)&lt;&gt;"",INDEX(properties!A$1:CB$87,'Fórmula'!J47,31)))</f>
        <v>1.190384</v>
      </c>
      <c r="CW47" s="118">
        <f t="array" ref="CW47">MAX(INDEX(properties!A$1:CB$87,'Fórmula'!B47,31),INDEX(properties!A$1:CB$87,'Fórmula'!D47,31),INDEX(properties!A$1:CB$87,'Fórmula'!F47,31),INDEX(properties!A$1:CB$87,'Fórmula'!H47,31),INDEX(properties!A$1:CB$87,'Fórmula'!J47,31))</f>
        <v>3.32</v>
      </c>
      <c r="CX47" s="118">
        <f t="array" ref="CX47">MIN(IF(INDEX(properties!A$1:CB$87,'Fórmula'!B47,31)=0,10^6,INDEX(properties!A$1:CB$87,'Fórmula'!B47,31)),IF(INDEX(properties!A$1:CB$87,'Fórmula'!D47,31)=0,10^6,INDEX(properties!A$1:CB$87,'Fórmula'!D47,31)),IF(INDEX(properties!A$1:CB$87,'Fórmula'!F47,31)=0,10^6,INDEX(properties!A$1:CB$87,'Fórmula'!F47,31)),IF(INDEX(properties!A$1:CB$87,'Fórmula'!H47,31)=0,10^6,INDEX(properties!A$1:CB$87,'Fórmula'!H47,31)),IF(INDEX(properties!A$1:CB$87,'Fórmula'!J47,31)=0,10^6,INDEX(properties!A$1:CB$87,'Fórmula'!J47,31)))</f>
        <v>1.13</v>
      </c>
      <c r="CY47" s="118">
        <f t="shared" si="17"/>
        <v>2.19</v>
      </c>
      <c r="CZ47" s="119">
        <f t="array" ref="CZ47">(('Fórmula'!C47)/('Fórmula'!C47+'Fórmula'!E47+'Fórmula'!G47+'Fórmula'!I47+'Fórmula'!K47))*(INDEX(properties!A$1:CB$87,'Fórmula'!B47,32))+(('Fórmula'!E47)/('Fórmula'!C47+'Fórmula'!E47+'Fórmula'!G47+'Fórmula'!I47+'Fórmula'!K47))*(INDEX(properties!A$1:CB$87,'Fórmula'!D47,32))+(('Fórmula'!G47)/('Fórmula'!C47+'Fórmula'!E47+'Fórmula'!G47+'Fórmula'!I47+'Fórmula'!K47))*(INDEX(properties!A$1:CB$87,'Fórmula'!F47,32))+(('Fórmula'!I47)/('Fórmula'!C47+'Fórmula'!E47+'Fórmula'!G47+'Fórmula'!I47+'Fórmula'!K47))*(INDEX(properties!A$1:CB$87,'Fórmula'!H47,32))+(('Fórmula'!K47)/('Fórmula'!C47+'Fórmula'!E47+'Fórmula'!G47+'Fórmula'!I47+'Fórmula'!K47))*(INDEX(properties!A$1:CB$87,'Fórmula'!J47,32))</f>
        <v>6.187692308</v>
      </c>
      <c r="DA47" s="119">
        <f t="array" ref="DA47">'Fórmula'!C47*(INDEX(properties!A$1:CB$87,'Fórmula'!B47,32))+'Fórmula'!E47*(INDEX(properties!A$1:CB$87,'Fórmula'!D47,32))+'Fórmula'!G47*(INDEX(properties!A$1:CB$87,'Fórmula'!F47,32))+'Fórmula'!I47*(INDEX(properties!A$1:CB$87,'Fórmula'!H47,32))+'Fórmula'!K47*(INDEX(properties!A$1:CB$87,'Fórmula'!J47,32))</f>
        <v>80.44</v>
      </c>
      <c r="DB47" s="119">
        <f t="array" ref="DB47">VARP(IF(INDEX(properties!A$1:CB$87,'Fórmula'!B47,32)&lt;&gt;"",INDEX(properties!A$1:CB$87,'Fórmula'!B47,32)),IF(INDEX(properties!A$1:CB$87,'Fórmula'!D47,32)&lt;&gt;"",INDEX(properties!A$1:CB$87,'Fórmula'!D47,32)),IF(INDEX(properties!A$1:CB$87,'Fórmula'!F47,32)&lt;&gt;"",INDEX(properties!A$1:CB$87,'Fórmula'!F47,32)),IF(INDEX(properties!A$1:CB$87,'Fórmula'!H47,32)&lt;&gt;"",INDEX(properties!A$1:CB$87,'Fórmula'!H47,32)),IF(INDEX(properties!A$1:CB$87,'Fórmula'!J47,32)&lt;&gt;"",INDEX(properties!A$1:CB$87,'Fórmula'!J47,32)))</f>
        <v>6.56332</v>
      </c>
      <c r="DC47" s="119">
        <f t="array" ref="DC47">MAX(INDEX(properties!A$1:CB$87,'Fórmula'!B47,32),INDEX(properties!A$1:CB$87,'Fórmula'!D47,32),INDEX(properties!A$1:CB$87,'Fórmula'!F47,32),INDEX(properties!A$1:CB$87,'Fórmula'!H47,32),INDEX(properties!A$1:CB$87,'Fórmula'!J47,32))</f>
        <v>7.54</v>
      </c>
      <c r="DD47" s="119">
        <f t="array" ref="DD47">MIN(IF(INDEX(properties!A$1:CB$87,'Fórmula'!B47,32)=0,10^6,INDEX(properties!A$1:CB$87,'Fórmula'!B47,32)),IF(INDEX(properties!A$1:CB$87,'Fórmula'!D47,32)=0,10^6,INDEX(properties!A$1:CB$87,'Fórmula'!D47,32)),IF(INDEX(properties!A$1:CB$87,'Fórmula'!F47,32)=0,10^6,INDEX(properties!A$1:CB$87,'Fórmula'!F47,32)),IF(INDEX(properties!A$1:CB$87,'Fórmula'!H47,32)=0,10^6,INDEX(properties!A$1:CB$87,'Fórmula'!H47,32)),IF(INDEX(properties!A$1:CB$87,'Fórmula'!J47,32)=0,10^6,INDEX(properties!A$1:CB$87,'Fórmula'!J47,32)))</f>
        <v>2</v>
      </c>
      <c r="DE47" s="119">
        <f t="shared" si="18"/>
        <v>5.54</v>
      </c>
      <c r="DF47" s="104">
        <f t="array" ref="DF47">(('Fórmula'!C47)/('Fórmula'!C47+'Fórmula'!E47+'Fórmula'!G47+'Fórmula'!I47+'Fórmula'!K47))*(INDEX(properties!A$1:CB$87,'Fórmula'!B47,34))+(('Fórmula'!E47)/('Fórmula'!C47+'Fórmula'!E47+'Fórmula'!G47+'Fórmula'!I47+'Fórmula'!K47))*(INDEX(properties!A$1:CB$87,'Fórmula'!D47,34))+(('Fórmula'!G47)/('Fórmula'!C47+'Fórmula'!E47+'Fórmula'!G47+'Fórmula'!I47+'Fórmula'!K47))*(INDEX(properties!A$1:CB$87,'Fórmula'!F47,34))+(('Fórmula'!I47)/('Fórmula'!C47+'Fórmula'!E47+'Fórmula'!G47+'Fórmula'!I47+'Fórmula'!K47))*(INDEX(properties!A$1:CB$87,'Fórmula'!H47,34))+(('Fórmula'!K47)/('Fórmula'!C47+'Fórmula'!E47+'Fórmula'!G47+'Fórmula'!I47+'Fórmula'!K47))*(INDEX(properties!A$1:CB$87,'Fórmula'!J47,34))</f>
        <v>2.905923077</v>
      </c>
      <c r="DG47" s="104">
        <f t="array" ref="DG47">'Fórmula'!C47*(INDEX(properties!A$1:CB$87,'Fórmula'!B47,34))+'Fórmula'!E47*(INDEX(properties!A$1:CB$87,'Fórmula'!D47,34))+'Fórmula'!G47*(INDEX(properties!A$1:CB$87,'Fórmula'!F47,34))+'Fórmula'!I47*(INDEX(properties!A$1:CB$87,'Fórmula'!H47,34))+'Fórmula'!K47*(INDEX(properties!A$1:CB$87,'Fórmula'!J47,34))</f>
        <v>37.777</v>
      </c>
      <c r="DH47" s="104">
        <f t="array" ref="DH47">VARP(IF(INDEX(properties!A$1:CB$87,'Fórmula'!B47,34)&lt;&gt;"",INDEX(properties!A$1:CB$87,'Fórmula'!B47,34)),IF(INDEX(properties!A$1:CB$87,'Fórmula'!D47,34)&lt;&gt;"",INDEX(properties!A$1:CB$87,'Fórmula'!D47,34)),IF(INDEX(properties!A$1:CB$87,'Fórmula'!F47,34)&lt;&gt;"",INDEX(properties!A$1:CB$87,'Fórmula'!F47,34)),IF(INDEX(properties!A$1:CB$87,'Fórmula'!H47,34)&lt;&gt;"",INDEX(properties!A$1:CB$87,'Fórmula'!H47,34)),IF(INDEX(properties!A$1:CB$87,'Fórmula'!J47,34)&lt;&gt;"",INDEX(properties!A$1:CB$87,'Fórmula'!J47,34)))</f>
        <v>1.4501612</v>
      </c>
      <c r="DI47" s="104">
        <f t="array" ref="DI47">MAX(INDEX(properties!A$1:CB$87,'Fórmula'!B47,34),INDEX(properties!A$1:CB$87,'Fórmula'!D47,34),INDEX(properties!A$1:CB$87,'Fórmula'!F47,34),INDEX(properties!A$1:CB$87,'Fórmula'!H47,34),INDEX(properties!A$1:CB$87,'Fórmula'!J47,34))</f>
        <v>3.61</v>
      </c>
      <c r="DJ47" s="104">
        <f t="array" ref="DJ47">MIN(IF(INDEX(properties!A$1:CB$87,'Fórmula'!B47,34)=0,10^6,INDEX(properties!A$1:CB$87,'Fórmula'!B47,34)),IF(INDEX(properties!A$1:CB$87,'Fórmula'!D47,34)=0,10^6,INDEX(properties!A$1:CB$87,'Fórmula'!D47,34)),IF(INDEX(properties!A$1:CB$87,'Fórmula'!F47,34)=0,10^6,INDEX(properties!A$1:CB$87,'Fórmula'!F47,34)),IF(INDEX(properties!A$1:CB$87,'Fórmula'!H47,34)=0,10^6,INDEX(properties!A$1:CB$87,'Fórmula'!H47,34)),IF(INDEX(properties!A$1:CB$87,'Fórmula'!J47,34)=0,10^6,INDEX(properties!A$1:CB$87,'Fórmula'!J47,34)))</f>
        <v>0.963</v>
      </c>
      <c r="DK47" s="104">
        <f t="shared" si="19"/>
        <v>2.647</v>
      </c>
      <c r="DL47" s="105">
        <f t="array" ref="DL47">(('Fórmula'!C47)/('Fórmula'!C47+'Fórmula'!E47+'Fórmula'!G47+'Fórmula'!I47+'Fórmula'!K47))*(INDEX(properties!A$1:CB$87,'Fórmula'!B47,37))+(('Fórmula'!E47)/('Fórmula'!C47+'Fórmula'!E47+'Fórmula'!G47+'Fórmula'!I47+'Fórmula'!K47))*(INDEX(properties!A$1:CB$87,'Fórmula'!D47,37))+(('Fórmula'!G47)/('Fórmula'!C47+'Fórmula'!E47+'Fórmula'!G47+'Fórmula'!I47+'Fórmula'!K47))*(INDEX(properties!A$1:CB$87,'Fórmula'!F47,37))+(('Fórmula'!I47)/('Fórmula'!C47+'Fórmula'!E47+'Fórmula'!G47+'Fórmula'!I47+'Fórmula'!K47))*(INDEX(properties!A$1:CB$87,'Fórmula'!H47,37))+(('Fórmula'!K47)/('Fórmula'!C47+'Fórmula'!E47+'Fórmula'!G47+'Fórmula'!I47+'Fórmula'!K47))*(INDEX(properties!A$1:CB$87,'Fórmula'!J47,37))</f>
        <v>2.769230769</v>
      </c>
      <c r="DM47" s="105">
        <f t="array" ref="DM47">'Fórmula'!C47*(INDEX(properties!A$1:CB$87,'Fórmula'!B47,37))+'Fórmula'!E47*(INDEX(properties!A$1:CB$87,'Fórmula'!D47,37))+'Fórmula'!G47*(INDEX(properties!A$1:CB$87,'Fórmula'!F47,37))+'Fórmula'!I47*(INDEX(properties!A$1:CB$87,'Fórmula'!H47,37))+'Fórmula'!K47*(INDEX(properties!A$1:CB$87,'Fórmula'!J47,37))</f>
        <v>36</v>
      </c>
      <c r="DN47" s="105">
        <f t="array" ref="DN47">VARP(IF(INDEX(properties!A$1:CB$87,'Fórmula'!B47,37)&lt;&gt;"",INDEX(properties!A$1:CB$87,'Fórmula'!B47,37)),IF(INDEX(properties!A$1:CB$87,'Fórmula'!D47,37)&lt;&gt;"",INDEX(properties!A$1:CB$87,'Fórmula'!D47,37)),IF(INDEX(properties!A$1:CB$87,'Fórmula'!F47,37)&lt;&gt;"",INDEX(properties!A$1:CB$87,'Fórmula'!F47,37)),IF(INDEX(properties!A$1:CB$87,'Fórmula'!H47,37)&lt;&gt;"",INDEX(properties!A$1:CB$87,'Fórmula'!H47,37)),IF(INDEX(properties!A$1:CB$87,'Fórmula'!J47,37)&lt;&gt;"",INDEX(properties!A$1:CB$87,'Fórmula'!J47,37)))</f>
        <v>1.2936</v>
      </c>
      <c r="DO47" s="105">
        <f t="array" ref="DO47">MAX(INDEX(properties!A$1:CB$87,'Fórmula'!B47,37),INDEX(properties!A$1:CB$87,'Fórmula'!D47,37),INDEX(properties!A$1:CB$87,'Fórmula'!F47,37),INDEX(properties!A$1:CB$87,'Fórmula'!H47,37),INDEX(properties!A$1:CB$87,'Fórmula'!J47,37))</f>
        <v>3.45</v>
      </c>
      <c r="DP47" s="105">
        <f t="array" ref="DP47">MIN(IF(INDEX(properties!A$1:CB$87,'Fórmula'!B47,37)=0,10^6,INDEX(properties!A$1:CB$87,'Fórmula'!B47,37)),IF(INDEX(properties!A$1:CB$87,'Fórmula'!D47,37)=0,10^6,INDEX(properties!A$1:CB$87,'Fórmula'!D47,37)),IF(INDEX(properties!A$1:CB$87,'Fórmula'!F47,37)=0,10^6,INDEX(properties!A$1:CB$87,'Fórmula'!F47,37)),IF(INDEX(properties!A$1:CB$87,'Fórmula'!H47,37)=0,10^6,INDEX(properties!A$1:CB$87,'Fórmula'!H47,37)),IF(INDEX(properties!A$1:CB$87,'Fórmula'!J47,37)=0,10^6,INDEX(properties!A$1:CB$87,'Fórmula'!J47,37)))</f>
        <v>1</v>
      </c>
      <c r="DQ47" s="105">
        <f t="shared" si="20"/>
        <v>2.45</v>
      </c>
      <c r="DR47" s="109">
        <f t="array" ref="DR47">(('Fórmula'!C47)/('Fórmula'!C47+'Fórmula'!E47+'Fórmula'!G47+'Fórmula'!I47+'Fórmula'!K47))*(INDEX(properties!A$1:CB$87,'Fórmula'!B47,39))+(('Fórmula'!E47)/('Fórmula'!C47+'Fórmula'!E47+'Fórmula'!G47+'Fórmula'!I47+'Fórmula'!K47))*(INDEX(properties!A$1:CB$87,'Fórmula'!D47,39))+(('Fórmula'!G47)/('Fórmula'!C47+'Fórmula'!E47+'Fórmula'!G47+'Fórmula'!I47+'Fórmula'!K47))*(INDEX(properties!A$1:CB$87,'Fórmula'!F47,39))+(('Fórmula'!I47)/('Fórmula'!C47+'Fórmula'!E47+'Fórmula'!G47+'Fórmula'!I47+'Fórmula'!K47))*(INDEX(properties!A$1:CB$87,'Fórmula'!H47,39))+(('Fórmula'!K47)/('Fórmula'!C47+'Fórmula'!E47+'Fórmula'!G47+'Fórmula'!I47+'Fórmula'!K47))*(INDEX(properties!A$1:CB$87,'Fórmula'!J47,39))</f>
        <v>0.7684615385</v>
      </c>
      <c r="DS47" s="109">
        <f t="array" ref="DS47">'Fórmula'!C47*(INDEX(properties!A$1:CB$87,'Fórmula'!B47,39))+'Fórmula'!E47*(INDEX(properties!A$1:CB$87,'Fórmula'!D47,39))+'Fórmula'!G47*(INDEX(properties!A$1:CB$87,'Fórmula'!F47,39))+'Fórmula'!I47*(INDEX(properties!A$1:CB$87,'Fórmula'!H47,39))+'Fórmula'!K47*(INDEX(properties!A$1:CB$87,'Fórmula'!J47,39))</f>
        <v>9.99</v>
      </c>
      <c r="DT47" s="109">
        <f t="array" ref="DT47">VARP(IF(INDEX(properties!A$1:CB$87,'Fórmula'!B47,39)&lt;&gt;"",INDEX(properties!A$1:CB$87,'Fórmula'!B47,39)),IF(INDEX(properties!A$1:CB$87,'Fórmula'!D47,39)&lt;&gt;"",INDEX(properties!A$1:CB$87,'Fórmula'!D47,39)),IF(INDEX(properties!A$1:CB$87,'Fórmula'!F47,39)&lt;&gt;"",INDEX(properties!A$1:CB$87,'Fórmula'!F47,39)),IF(INDEX(properties!A$1:CB$87,'Fórmula'!H47,39)&lt;&gt;"",INDEX(properties!A$1:CB$87,'Fórmula'!H47,39)),IF(INDEX(properties!A$1:CB$87,'Fórmula'!J47,39)&lt;&gt;"",INDEX(properties!A$1:CB$87,'Fórmula'!J47,39)))</f>
        <v>0.5382</v>
      </c>
      <c r="DU47" s="120">
        <f t="array" ref="DU47">MAX(INDEX(properties!A$1:CB$87,'Fórmula'!B47,39),INDEX(properties!A$1:CB$87,'Fórmula'!D47,39),INDEX(properties!A$1:CB$87,'Fórmula'!F47,39),INDEX(properties!A$1:CB$87,'Fórmula'!H47,39),INDEX(properties!A$1:CB$87,'Fórmula'!J47,39))</f>
        <v>2.19</v>
      </c>
      <c r="DV47" s="120">
        <f t="array" ref="DV47">MIN(IF(INDEX(properties!A$1:CB$87,'Fórmula'!B47,39)=0,10^6,INDEX(properties!A$1:CB$87,'Fórmula'!B47,39)),IF(INDEX(properties!A$1:CB$87,'Fórmula'!D47,39)=0,10^6,INDEX(properties!A$1:CB$87,'Fórmula'!D47,39)),IF(INDEX(properties!A$1:CB$87,'Fórmula'!F47,39)=0,10^6,INDEX(properties!A$1:CB$87,'Fórmula'!F47,39)),IF(INDEX(properties!A$1:CB$87,'Fórmula'!H47,39)=0,10^6,INDEX(properties!A$1:CB$87,'Fórmula'!H47,39)),IF(INDEX(properties!A$1:CB$87,'Fórmula'!J47,39)=0,10^6,INDEX(properties!A$1:CB$87,'Fórmula'!J47,39)))</f>
        <v>0.48</v>
      </c>
      <c r="DW47" s="109">
        <f t="shared" si="21"/>
        <v>1.71</v>
      </c>
      <c r="DX47" s="110">
        <f t="array" ref="DX47">(('Fórmula'!C47)/('Fórmula'!C47+'Fórmula'!E47+'Fórmula'!G47+'Fórmula'!I47+'Fórmula'!K47))*(INDEX(properties!A$1:CB$87,'Fórmula'!B47,40))+(('Fórmula'!E47)/('Fórmula'!C47+'Fórmula'!E47+'Fórmula'!G47+'Fórmula'!I47+'Fórmula'!K47))*(INDEX(properties!A$1:CB$87,'Fórmula'!D47,40))+(('Fórmula'!G47)/('Fórmula'!C47+'Fórmula'!E47+'Fórmula'!G47+'Fórmula'!I47+'Fórmula'!K47))*(INDEX(properties!A$1:CB$87,'Fórmula'!F47,40))+(('Fórmula'!I47)/('Fórmula'!C47+'Fórmula'!E47+'Fórmula'!G47+'Fórmula'!I47+'Fórmula'!K47))*(INDEX(properties!A$1:CB$87,'Fórmula'!H47,40))+(('Fórmula'!K47)/('Fórmula'!C47+'Fórmula'!E47+'Fórmula'!G47+'Fórmula'!I47+'Fórmula'!K47))*(INDEX(properties!A$1:CB$87,'Fórmula'!J47,40))</f>
        <v>0.8938461538</v>
      </c>
      <c r="DY47" s="110">
        <f t="array" ref="DY47">'Fórmula'!C47*(INDEX(properties!A$1:CB$87,'Fórmula'!B47,40))+'Fórmula'!E47*(INDEX(properties!A$1:CB$87,'Fórmula'!D47,40))+'Fórmula'!G47*(INDEX(properties!A$1:CB$87,'Fórmula'!F47,40))+'Fórmula'!I47*(INDEX(properties!A$1:CB$87,'Fórmula'!H47,40))+'Fórmula'!K47*(INDEX(properties!A$1:CB$87,'Fórmula'!J47,40))</f>
        <v>11.62</v>
      </c>
      <c r="DZ47" s="110">
        <f t="array" ref="DZ47">VARP(IF(INDEX(properties!A$1:CB$87,'Fórmula'!B47,40)&lt;&gt;"",INDEX(properties!A$1:CB$87,'Fórmula'!B47,40)),IF(INDEX(properties!A$1:CB$87,'Fórmula'!D47,40)&lt;&gt;"",INDEX(properties!A$1:CB$87,'Fórmula'!D47,40)),IF(INDEX(properties!A$1:CB$87,'Fórmula'!F47,40)&lt;&gt;"",INDEX(properties!A$1:CB$87,'Fórmula'!F47,40)),IF(INDEX(properties!A$1:CB$87,'Fórmula'!H47,40)&lt;&gt;"",INDEX(properties!A$1:CB$87,'Fórmula'!H47,40)),IF(INDEX(properties!A$1:CB$87,'Fórmula'!J47,40)&lt;&gt;"",INDEX(properties!A$1:CB$87,'Fórmula'!J47,40)))</f>
        <v>0.385704</v>
      </c>
      <c r="EA47" s="121">
        <f t="array" ref="EA47">MAX(INDEX(properties!A$1:CB$87,'Fórmula'!B47,40),INDEX(properties!A$1:CB$87,'Fórmula'!D47,40),INDEX(properties!A$1:CB$87,'Fórmula'!F47,40),INDEX(properties!A$1:CB$87,'Fórmula'!H47,40),INDEX(properties!A$1:CB$87,'Fórmula'!J47,40))</f>
        <v>1.92</v>
      </c>
      <c r="EB47" s="121">
        <f t="array" ref="EB47">MIN(IF(INDEX(properties!A$1:CB$87,'Fórmula'!B47,40)=0,10^6,INDEX(properties!A$1:CB$87,'Fórmula'!B47,40)),IF(INDEX(properties!A$1:CB$87,'Fórmula'!D47,40)=0,10^6,INDEX(properties!A$1:CB$87,'Fórmula'!D47,40)),IF(INDEX(properties!A$1:CB$87,'Fórmula'!F47,40)=0,10^6,INDEX(properties!A$1:CB$87,'Fórmula'!F47,40)),IF(INDEX(properties!A$1:CB$87,'Fórmula'!H47,40)=0,10^6,INDEX(properties!A$1:CB$87,'Fórmula'!H47,40)),IF(INDEX(properties!A$1:CB$87,'Fórmula'!J47,40)=0,10^6,INDEX(properties!A$1:CB$87,'Fórmula'!J47,40)))</f>
        <v>0.73</v>
      </c>
      <c r="EC47" s="110">
        <f t="shared" si="22"/>
        <v>1.19</v>
      </c>
      <c r="ED47" s="111">
        <f t="array" ref="ED47">(('Fórmula'!C47)/('Fórmula'!C47+'Fórmula'!E47+'Fórmula'!G47+'Fórmula'!I47+'Fórmula'!K47))*(INDEX(properties!A$1:CB$87,'Fórmula'!B47,41))+(('Fórmula'!E47)/('Fórmula'!C47+'Fórmula'!E47+'Fórmula'!G47+'Fórmula'!I47+'Fórmula'!K47))*(INDEX(properties!A$1:CB$87,'Fórmula'!D47,41))+(('Fórmula'!G47)/('Fórmula'!C47+'Fórmula'!E47+'Fórmula'!G47+'Fórmula'!I47+'Fórmula'!K47))*(INDEX(properties!A$1:CB$87,'Fórmula'!F47,41))+(('Fórmula'!I47)/('Fórmula'!C47+'Fórmula'!E47+'Fórmula'!G47+'Fórmula'!I47+'Fórmula'!K47))*(INDEX(properties!A$1:CB$87,'Fórmula'!H47,41))+(('Fórmula'!K47)/('Fórmula'!C47+'Fórmula'!E47+'Fórmula'!G47+'Fórmula'!I47+'Fórmula'!K47))*(INDEX(properties!A$1:CB$87,'Fórmula'!J47,41))</f>
        <v>1.023076923</v>
      </c>
      <c r="EE47" s="111">
        <f t="array" ref="EE47">'Fórmula'!C47*(INDEX(properties!A$1:CB$87,'Fórmula'!B47,41))+'Fórmula'!E47*(INDEX(properties!A$1:CB$87,'Fórmula'!D47,41))+'Fórmula'!G47*(INDEX(properties!A$1:CB$87,'Fórmula'!F47,41))+'Fórmula'!I47*(INDEX(properties!A$1:CB$87,'Fórmula'!H47,41))+'Fórmula'!K47*(INDEX(properties!A$1:CB$87,'Fórmula'!J47,41))</f>
        <v>13.3</v>
      </c>
      <c r="EF47" s="111">
        <f t="array" ref="EF47">VARP(IF(INDEX(properties!A$1:CB$87,'Fórmula'!B47,41)&lt;&gt;"",INDEX(properties!A$1:CB$87,'Fórmula'!B47,41)),IF(INDEX(properties!A$1:CB$87,'Fórmula'!D47,41)&lt;&gt;"",INDEX(properties!A$1:CB$87,'Fórmula'!D47,41)),IF(INDEX(properties!A$1:CB$87,'Fórmula'!F47,41)&lt;&gt;"",INDEX(properties!A$1:CB$87,'Fórmula'!F47,41)),IF(INDEX(properties!A$1:CB$87,'Fórmula'!H47,41)&lt;&gt;"",INDEX(properties!A$1:CB$87,'Fórmula'!H47,41)),IF(INDEX(properties!A$1:CB$87,'Fórmula'!J47,41)&lt;&gt;"",INDEX(properties!A$1:CB$87,'Fórmula'!J47,41)))</f>
        <v>0.259504</v>
      </c>
      <c r="EG47" s="122">
        <f t="array" ref="EG47">MAX(INDEX(properties!A$1:CB$87,'Fórmula'!B47,41),INDEX(properties!A$1:CB$87,'Fórmula'!D47,41),INDEX(properties!A$1:CB$87,'Fórmula'!F47,41),INDEX(properties!A$1:CB$87,'Fórmula'!H47,41),INDEX(properties!A$1:CB$87,'Fórmula'!J47,41))</f>
        <v>1.32</v>
      </c>
      <c r="EH47" s="122">
        <f t="array" ref="EH47">MIN(IF(INDEX(properties!A$1:CB$87,'Fórmula'!B47,41)=0,10^6,INDEX(properties!A$1:CB$87,'Fórmula'!B47,41)),IF(INDEX(properties!A$1:CB$87,'Fórmula'!D47,41)=0,10^6,INDEX(properties!A$1:CB$87,'Fórmula'!D47,41)),IF(INDEX(properties!A$1:CB$87,'Fórmula'!F47,41)=0,10^6,INDEX(properties!A$1:CB$87,'Fórmula'!F47,41)),IF(INDEX(properties!A$1:CB$87,'Fórmula'!H47,41)=0,10^6,INDEX(properties!A$1:CB$87,'Fórmula'!H47,41)),IF(INDEX(properties!A$1:CB$87,'Fórmula'!J47,41)=0,10^6,INDEX(properties!A$1:CB$87,'Fórmula'!J47,41)))</f>
        <v>0.41</v>
      </c>
      <c r="EI47" s="111">
        <f t="shared" si="23"/>
        <v>0.91</v>
      </c>
      <c r="EJ47" s="112">
        <f t="array" ref="EJ47">(('Fórmula'!C47)/('Fórmula'!C47+'Fórmula'!E47+'Fórmula'!G47+'Fórmula'!I47+'Fórmula'!K47))*(INDEX(properties!A$1:CB$87,'Fórmula'!B47,45))+(('Fórmula'!E47)/('Fórmula'!C47+'Fórmula'!E47+'Fórmula'!G47+'Fórmula'!I47+'Fórmula'!K47))*(INDEX(properties!A$1:CB$87,'Fórmula'!D47,45))+(('Fórmula'!G47)/('Fórmula'!C47+'Fórmula'!E47+'Fórmula'!G47+'Fórmula'!I47+'Fórmula'!K47))*(INDEX(properties!A$1:CB$87,'Fórmula'!F47,45))+(('Fórmula'!I47)/('Fórmula'!C47+'Fórmula'!E47+'Fórmula'!G47+'Fórmula'!I47+'Fórmula'!K47))*(INDEX(properties!A$1:CB$87,'Fórmula'!H47,45))+(('Fórmula'!K47)/('Fórmula'!C47+'Fórmula'!E47+'Fórmula'!G47+'Fórmula'!I47+'Fórmula'!K47))*(INDEX(properties!A$1:CB$87,'Fórmula'!J47,45))</f>
        <v>0.8776923077</v>
      </c>
      <c r="EK47" s="112">
        <f t="array" ref="EK47">'Fórmula'!C47*(INDEX(properties!A$1:CB$87,'Fórmula'!B47,45))+'Fórmula'!E47*(INDEX(properties!A$1:CB$87,'Fórmula'!D47,45))+'Fórmula'!G47*(INDEX(properties!A$1:CB$87,'Fórmula'!F47,45))+'Fórmula'!I47*(INDEX(properties!A$1:CB$87,'Fórmula'!H47,45))+'Fórmula'!K47*(INDEX(properties!A$1:CB$87,'Fórmula'!J47,45))</f>
        <v>11.41</v>
      </c>
      <c r="EL47" s="112">
        <f t="array" ref="EL47">VARP(IF(INDEX(properties!A$1:CB$87,'Fórmula'!B47,45)&lt;&gt;"",INDEX(properties!A$1:CB$87,'Fórmula'!B47,45)),IF(INDEX(properties!A$1:CB$87,'Fórmula'!D47,45)&lt;&gt;"",INDEX(properties!A$1:CB$87,'Fórmula'!D47,45)),IF(INDEX(properties!A$1:CB$87,'Fórmula'!F47,45)&lt;&gt;"",INDEX(properties!A$1:CB$87,'Fórmula'!F47,45)),IF(INDEX(properties!A$1:CB$87,'Fórmula'!H47,45)&lt;&gt;"",INDEX(properties!A$1:CB$87,'Fórmula'!H47,45)),IF(INDEX(properties!A$1:CB$87,'Fórmula'!J47,45)&lt;&gt;"",INDEX(properties!A$1:CB$87,'Fórmula'!J47,45)))</f>
        <v>1.24388</v>
      </c>
      <c r="EM47" s="123">
        <f t="array" ref="EM47">MAX(INDEX(properties!A$1:CB$87,'Fórmula'!B47,45),INDEX(properties!A$1:CB$87,'Fórmula'!D47,45),INDEX(properties!A$1:CB$87,'Fórmula'!F47,45),INDEX(properties!A$1:CB$87,'Fórmula'!H47,45),INDEX(properties!A$1:CB$87,'Fórmula'!J47,45))</f>
        <v>3.21</v>
      </c>
      <c r="EN47" s="123">
        <f t="array" ref="EN47">MIN(IF(INDEX(properties!A$1:CB$87,'Fórmula'!B47,45)=0,10^6,INDEX(properties!A$1:CB$87,'Fórmula'!B47,45)),IF(INDEX(properties!A$1:CB$87,'Fórmula'!D47,45)=0,10^6,INDEX(properties!A$1:CB$87,'Fórmula'!D47,45)),IF(INDEX(properties!A$1:CB$87,'Fórmula'!F47,45)=0,10^6,INDEX(properties!A$1:CB$87,'Fórmula'!F47,45)),IF(INDEX(properties!A$1:CB$87,'Fórmula'!H47,45)=0,10^6,INDEX(properties!A$1:CB$87,'Fórmula'!H47,45)),IF(INDEX(properties!A$1:CB$87,'Fórmula'!J47,45)=0,10^6,INDEX(properties!A$1:CB$87,'Fórmula'!J47,45)))</f>
        <v>0.47</v>
      </c>
      <c r="EO47" s="112">
        <f t="shared" si="24"/>
        <v>2.74</v>
      </c>
      <c r="EP47" s="113">
        <f t="array" ref="EP47">(('Fórmula'!C47)/('Fórmula'!C47+'Fórmula'!E47+'Fórmula'!G47+'Fórmula'!I47+'Fórmula'!K47))*(INDEX(properties!A$1:CB$87,'Fórmula'!B47,46))+(('Fórmula'!E47)/('Fórmula'!C47+'Fórmula'!E47+'Fórmula'!G47+'Fórmula'!I47+'Fórmula'!K47))*(INDEX(properties!A$1:CB$87,'Fórmula'!D47,46))+(('Fórmula'!G47)/('Fórmula'!C47+'Fórmula'!E47+'Fórmula'!G47+'Fórmula'!I47+'Fórmula'!K47))*(INDEX(properties!A$1:CB$87,'Fórmula'!F47,46))+(('Fórmula'!I47)/('Fórmula'!C47+'Fórmula'!E47+'Fórmula'!G47+'Fórmula'!I47+'Fórmula'!K47))*(INDEX(properties!A$1:CB$87,'Fórmula'!H47,46))+(('Fórmula'!K47)/('Fórmula'!C47+'Fórmula'!E47+'Fórmula'!G47+'Fórmula'!I47+'Fórmula'!K47))*(INDEX(properties!A$1:CB$87,'Fórmula'!J47,46))</f>
        <v>0.9461538462</v>
      </c>
      <c r="EQ47" s="113">
        <f t="array" ref="EQ47">'Fórmula'!C47*(INDEX(properties!A$1:CB$87,'Fórmula'!B47,46))+'Fórmula'!E47*(INDEX(properties!A$1:CB$87,'Fórmula'!D47,46))+'Fórmula'!G47*(INDEX(properties!A$1:CB$87,'Fórmula'!F47,46))+'Fórmula'!I47*(INDEX(properties!A$1:CB$87,'Fórmula'!H47,46))+'Fórmula'!K47*(INDEX(properties!A$1:CB$87,'Fórmula'!J47,46))</f>
        <v>12.3</v>
      </c>
      <c r="ER47" s="113">
        <f t="array" ref="ER47">VARP(IF(INDEX(properties!A$1:CB$87,'Fórmula'!B47,46)&lt;&gt;"",INDEX(properties!A$1:CB$87,'Fórmula'!B47,46)),IF(INDEX(properties!A$1:CB$87,'Fórmula'!D47,46)&lt;&gt;"",INDEX(properties!A$1:CB$87,'Fórmula'!D47,46)),IF(INDEX(properties!A$1:CB$87,'Fórmula'!F47,46)&lt;&gt;"",INDEX(properties!A$1:CB$87,'Fórmula'!F47,46)),IF(INDEX(properties!A$1:CB$87,'Fórmula'!H47,46)&lt;&gt;"",INDEX(properties!A$1:CB$87,'Fórmula'!H47,46)),IF(INDEX(properties!A$1:CB$87,'Fórmula'!J47,46)&lt;&gt;"",INDEX(properties!A$1:CB$87,'Fórmula'!J47,46)))</f>
        <v>0.281304</v>
      </c>
      <c r="ES47" s="124">
        <f t="array" ref="ES47">MAX(INDEX(properties!A$1:CB$87,'Fórmula'!B47,46),INDEX(properties!A$1:CB$87,'Fórmula'!D47,46),INDEX(properties!A$1:CB$87,'Fórmula'!F47,46),INDEX(properties!A$1:CB$87,'Fórmula'!H47,46),INDEX(properties!A$1:CB$87,'Fórmula'!J47,46))</f>
        <v>1.32</v>
      </c>
      <c r="ET47" s="124">
        <f t="array" ref="ET47">MIN(IF(INDEX(properties!A$1:CB$87,'Fórmula'!B47,46)=0,10^6,INDEX(properties!A$1:CB$87,'Fórmula'!B47,46)),IF(INDEX(properties!A$1:CB$87,'Fórmula'!D47,46)=0,10^6,INDEX(properties!A$1:CB$87,'Fórmula'!D47,46)),IF(INDEX(properties!A$1:CB$87,'Fórmula'!F47,46)=0,10^6,INDEX(properties!A$1:CB$87,'Fórmula'!F47,46)),IF(INDEX(properties!A$1:CB$87,'Fórmula'!H47,46)=0,10^6,INDEX(properties!A$1:CB$87,'Fórmula'!H47,46)),IF(INDEX(properties!A$1:CB$87,'Fórmula'!J47,46)=0,10^6,INDEX(properties!A$1:CB$87,'Fórmula'!J47,46)))</f>
        <v>0.25</v>
      </c>
      <c r="EU47" s="113">
        <f t="shared" si="25"/>
        <v>1.07</v>
      </c>
      <c r="EV47" s="114">
        <f t="array" ref="EV47">(('Fórmula'!C47)/('Fórmula'!C47+'Fórmula'!E47+'Fórmula'!G47+'Fórmula'!I47+'Fórmula'!K47))*(INDEX(properties!A$1:CB$87,'Fórmula'!B47,52))+(('Fórmula'!E47)/('Fórmula'!C47+'Fórmula'!E47+'Fórmula'!G47+'Fórmula'!I47+'Fórmula'!K47))*(INDEX(properties!A$1:CB$87,'Fórmula'!D47,52))+(('Fórmula'!G47)/('Fórmula'!C47+'Fórmula'!E47+'Fórmula'!G47+'Fórmula'!I47+'Fórmula'!K47))*(INDEX(properties!A$1:CB$87,'Fórmula'!F47,52))+(('Fórmula'!I47)/('Fórmula'!C47+'Fórmula'!E47+'Fórmula'!G47+'Fórmula'!I47+'Fórmula'!K47))*(INDEX(properties!A$1:CB$87,'Fórmula'!H47,52))+(('Fórmula'!K47)/('Fórmula'!C47+'Fórmula'!E47+'Fórmula'!G47+'Fórmula'!I47+'Fórmula'!K47))*(INDEX(properties!A$1:CB$87,'Fórmula'!J47,52))</f>
        <v>3.903384615</v>
      </c>
      <c r="EW47" s="114">
        <f t="array" ref="EW47">'Fórmula'!C47*(INDEX(properties!A$1:CB$87,'Fórmula'!B47,52))+'Fórmula'!E47*(INDEX(properties!A$1:CB$87,'Fórmula'!D47,52))+'Fórmula'!G47*(INDEX(properties!A$1:CB$87,'Fórmula'!F47,52))+'Fórmula'!I47*(INDEX(properties!A$1:CB$87,'Fórmula'!H47,52))+'Fórmula'!K47*(INDEX(properties!A$1:CB$87,'Fórmula'!J47,52))</f>
        <v>50.744</v>
      </c>
      <c r="EX47" s="114">
        <f t="array" ref="EX47">VARP(IF(INDEX(properties!A$1:CB$87,'Fórmula'!B47,52)&lt;&gt;"",INDEX(properties!A$1:CB$87,'Fórmula'!B47,52)),IF(INDEX(properties!A$1:CB$87,'Fórmula'!D47,52)&lt;&gt;"",INDEX(properties!A$1:CB$87,'Fórmula'!D47,52)),IF(INDEX(properties!A$1:CB$87,'Fórmula'!F47,52)&lt;&gt;"",INDEX(properties!A$1:CB$87,'Fórmula'!F47,52)),IF(INDEX(properties!A$1:CB$87,'Fórmula'!H47,52)&lt;&gt;"",INDEX(properties!A$1:CB$87,'Fórmula'!H47,52)),IF(INDEX(properties!A$1:CB$87,'Fórmula'!J47,52)&lt;&gt;"",INDEX(properties!A$1:CB$87,'Fórmula'!J47,52)))</f>
        <v>105.9607758</v>
      </c>
      <c r="EY47" s="114">
        <f t="array" ref="EY47">MAX(INDEX(properties!A$1:CB$87,'Fórmula'!B47,52),INDEX(properties!A$1:CB$87,'Fórmula'!D47,52),INDEX(properties!A$1:CB$87,'Fórmula'!F47,52),INDEX(properties!A$1:CB$87,'Fórmula'!H47,52),INDEX(properties!A$1:CB$87,'Fórmula'!J47,52))</f>
        <v>27.6</v>
      </c>
      <c r="EZ47" s="114">
        <f t="array" ref="EZ47">MIN(IF(INDEX(properties!A$1:CB$87,'Fórmula'!B47,52)=0,10^6,INDEX(properties!A$1:CB$87,'Fórmula'!B47,52)),IF(INDEX(properties!A$1:CB$87,'Fórmula'!D47,52)=0,10^6,INDEX(properties!A$1:CB$87,'Fórmula'!D47,52)),IF(INDEX(properties!A$1:CB$87,'Fórmula'!F47,52)=0,10^6,INDEX(properties!A$1:CB$87,'Fórmula'!F47,52)),IF(INDEX(properties!A$1:CB$87,'Fórmula'!H47,52)=0,10^6,INDEX(properties!A$1:CB$87,'Fórmula'!H47,52)),IF(INDEX(properties!A$1:CB$87,'Fórmula'!J47,52)=0,10^6,INDEX(properties!A$1:CB$87,'Fórmula'!J47,52)))</f>
        <v>0.793</v>
      </c>
      <c r="FA47" s="114">
        <f t="shared" si="26"/>
        <v>26.807</v>
      </c>
      <c r="FB47" s="115">
        <f t="array" ref="FB47">(('Fórmula'!C47)/('Fórmula'!C47+'Fórmula'!E47+'Fórmula'!G47+'Fórmula'!I47+'Fórmula'!K47))*(INDEX(properties!A$1:CB$87,'Fórmula'!B47,53))+(('Fórmula'!E47)/('Fórmula'!C47+'Fórmula'!E47+'Fórmula'!G47+'Fórmula'!I47+'Fórmula'!K47))*(INDEX(properties!A$1:CB$87,'Fórmula'!D47,53))+(('Fórmula'!G47)/('Fórmula'!C47+'Fórmula'!E47+'Fórmula'!G47+'Fórmula'!I47+'Fórmula'!K47))*(INDEX(properties!A$1:CB$87,'Fórmula'!F47,53))+(('Fórmula'!I47)/('Fórmula'!C47+'Fórmula'!E47+'Fórmula'!G47+'Fórmula'!I47+'Fórmula'!K47))*(INDEX(properties!A$1:CB$87,'Fórmula'!H47,53))+(('Fórmula'!K47)/('Fórmula'!C47+'Fórmula'!E47+'Fórmula'!G47+'Fórmula'!I47+'Fórmula'!K47))*(INDEX(properties!A$1:CB$87,'Fórmula'!J47,53))</f>
        <v>734.6730769</v>
      </c>
      <c r="FC47" s="115">
        <f t="array" ref="FC47">'Fórmula'!C47*(INDEX(properties!A$1:CB$87,'Fórmula'!B47,53))+'Fórmula'!E47*(INDEX(properties!A$1:CB$87,'Fórmula'!D47,53))+'Fórmula'!G47*(INDEX(properties!A$1:CB$87,'Fórmula'!F47,53))+'Fórmula'!I47*(INDEX(properties!A$1:CB$87,'Fórmula'!H47,53))+'Fórmula'!K47*(INDEX(properties!A$1:CB$87,'Fórmula'!J47,53))</f>
        <v>9550.75</v>
      </c>
      <c r="FD47" s="115">
        <f t="array" ref="FD47">VARP(IF(INDEX(properties!A$1:CB$87,'Fórmula'!B47,53)&lt;&gt;"",INDEX(properties!A$1:CB$87,'Fórmula'!B47,53)),IF(INDEX(properties!A$1:CB$87,'Fórmula'!D47,53)&lt;&gt;"",INDEX(properties!A$1:CB$87,'Fórmula'!D47,53)),IF(INDEX(properties!A$1:CB$87,'Fórmula'!F47,53)&lt;&gt;"",INDEX(properties!A$1:CB$87,'Fórmula'!F47,53)),IF(INDEX(properties!A$1:CB$87,'Fórmula'!H47,53)&lt;&gt;"",INDEX(properties!A$1:CB$87,'Fórmula'!H47,53)),IF(INDEX(properties!A$1:CB$87,'Fórmula'!J47,53)&lt;&gt;"",INDEX(properties!A$1:CB$87,'Fórmula'!J47,53)))</f>
        <v>837356.4724</v>
      </c>
      <c r="FE47" s="115">
        <f t="array" ref="FE47">MAX(INDEX(properties!A$1:CB$87,'Fórmula'!B47,53),INDEX(properties!A$1:CB$87,'Fórmula'!D47,53),INDEX(properties!A$1:CB$87,'Fórmula'!F47,53),INDEX(properties!A$1:CB$87,'Fórmula'!H47,53),INDEX(properties!A$1:CB$87,'Fórmula'!J47,53))</f>
        <v>2352.15</v>
      </c>
      <c r="FF47" s="115">
        <f t="array" ref="FF47">MIN(IF(INDEX(properties!A$1:CB$87,'Fórmula'!B47,53)=0,10^6,INDEX(properties!A$1:CB$87,'Fórmula'!B47,53)),IF(INDEX(properties!A$1:CB$87,'Fórmula'!D47,53)=0,10^6,INDEX(properties!A$1:CB$87,'Fórmula'!D47,53)),IF(INDEX(properties!A$1:CB$87,'Fórmula'!F47,53)=0,10^6,INDEX(properties!A$1:CB$87,'Fórmula'!F47,53)),IF(INDEX(properties!A$1:CB$87,'Fórmula'!H47,53)=0,10^6,INDEX(properties!A$1:CB$87,'Fórmula'!H47,53)),IF(INDEX(properties!A$1:CB$87,'Fórmula'!J47,53)=0,10^6,INDEX(properties!A$1:CB$87,'Fórmula'!J47,53)))</f>
        <v>54.75</v>
      </c>
      <c r="FG47" s="115">
        <f t="shared" si="27"/>
        <v>2297.4</v>
      </c>
      <c r="FH47" s="117">
        <f t="array" ref="FH47">(('Fórmula'!C47)/('Fórmula'!C47+'Fórmula'!E47+'Fórmula'!G47+'Fórmula'!I47+'Fórmula'!K47))*(INDEX(properties!A$1:CB$87,'Fórmula'!B47,54))+(('Fórmula'!E47)/('Fórmula'!C47+'Fórmula'!E47+'Fórmula'!G47+'Fórmula'!I47+'Fórmula'!K47))*(INDEX(properties!A$1:CB$87,'Fórmula'!D47,54))+(('Fórmula'!G47)/('Fórmula'!C47+'Fórmula'!E47+'Fórmula'!G47+'Fórmula'!I47+'Fórmula'!K47))*(INDEX(properties!A$1:CB$87,'Fórmula'!F47,54))+(('Fórmula'!I47)/('Fórmula'!C47+'Fórmula'!E47+'Fórmula'!G47+'Fórmula'!I47+'Fórmula'!K47))*(INDEX(properties!A$1:CB$87,'Fórmula'!H47,54))+(('Fórmula'!K47)/('Fórmula'!C47+'Fórmula'!E47+'Fórmula'!G47+'Fórmula'!I47+'Fórmula'!K47))*(INDEX(properties!A$1:CB$87,'Fórmula'!J47,54))</f>
        <v>1244.973077</v>
      </c>
      <c r="FI47" s="117">
        <f t="array" ref="FI47">'Fórmula'!C47*(INDEX(properties!A$1:CB$87,'Fórmula'!B47,54))+'Fórmula'!E47*(INDEX(properties!A$1:CB$87,'Fórmula'!D47,54))+'Fórmula'!G47*(INDEX(properties!A$1:CB$87,'Fórmula'!F47,54))+'Fórmula'!I47*(INDEX(properties!A$1:CB$87,'Fórmula'!H47,54))+'Fórmula'!K47*(INDEX(properties!A$1:CB$87,'Fórmula'!J47,54))</f>
        <v>16184.65</v>
      </c>
      <c r="FJ47" s="117">
        <f t="array" ref="FJ47">VARP(IF(INDEX(properties!A$1:CB$87,'Fórmula'!B47,54)&lt;&gt;"",INDEX(properties!A$1:CB$87,'Fórmula'!B47,54)),IF(INDEX(properties!A$1:CB$87,'Fórmula'!D47,54)&lt;&gt;"",INDEX(properties!A$1:CB$87,'Fórmula'!D47,54)),IF(INDEX(properties!A$1:CB$87,'Fórmula'!F47,54)&lt;&gt;"",INDEX(properties!A$1:CB$87,'Fórmula'!F47,54)),IF(INDEX(properties!A$1:CB$87,'Fórmula'!H47,54)&lt;&gt;"",INDEX(properties!A$1:CB$87,'Fórmula'!H47,54)),IF(INDEX(properties!A$1:CB$87,'Fórmula'!J47,54)&lt;&gt;"",INDEX(properties!A$1:CB$87,'Fórmula'!J47,54)))</f>
        <v>2594202.705</v>
      </c>
      <c r="FK47" s="117">
        <f t="array" ref="FK47">MAX(INDEX(properties!A$1:CB$87,'Fórmula'!B47,54),INDEX(properties!A$1:CB$87,'Fórmula'!D47,54),INDEX(properties!A$1:CB$87,'Fórmula'!F47,54),INDEX(properties!A$1:CB$87,'Fórmula'!H47,54),INDEX(properties!A$1:CB$87,'Fórmula'!J47,54))</f>
        <v>4275</v>
      </c>
      <c r="FL47" s="117">
        <f t="array" ref="FL47">MIN(IF(INDEX(properties!A$1:CB$87,'Fórmula'!B47,54)=0,10^6,INDEX(properties!A$1:CB$87,'Fórmula'!B47,54)),IF(INDEX(properties!A$1:CB$87,'Fórmula'!D47,54)=0,10^6,INDEX(properties!A$1:CB$87,'Fórmula'!D47,54)),IF(INDEX(properties!A$1:CB$87,'Fórmula'!F47,54)=0,10^6,INDEX(properties!A$1:CB$87,'Fórmula'!F47,54)),IF(INDEX(properties!A$1:CB$87,'Fórmula'!H47,54)=0,10^6,INDEX(properties!A$1:CB$87,'Fórmula'!H47,54)),IF(INDEX(properties!A$1:CB$87,'Fórmula'!J47,54)=0,10^6,INDEX(properties!A$1:CB$87,'Fórmula'!J47,54)))</f>
        <v>90.15</v>
      </c>
      <c r="FM47" s="117">
        <f t="shared" si="28"/>
        <v>4184.85</v>
      </c>
      <c r="FN47" s="118">
        <f t="array" ref="FN47">(('Fórmula'!C47)/('Fórmula'!C47+'Fórmula'!E47+'Fórmula'!G47+'Fórmula'!I47+'Fórmula'!K47))*(INDEX(properties!A$1:CB$87,'Fórmula'!B47,55))+(('Fórmula'!E47)/('Fórmula'!C47+'Fórmula'!E47+'Fórmula'!G47+'Fórmula'!I47+'Fórmula'!K47))*(INDEX(properties!A$1:CB$87,'Fórmula'!D47,55))+(('Fórmula'!G47)/('Fórmula'!C47+'Fórmula'!E47+'Fórmula'!G47+'Fórmula'!I47+'Fórmula'!K47))*(INDEX(properties!A$1:CB$87,'Fórmula'!F47,55))+(('Fórmula'!I47)/('Fórmula'!C47+'Fórmula'!E47+'Fórmula'!G47+'Fórmula'!I47+'Fórmula'!K47))*(INDEX(properties!A$1:CB$87,'Fórmula'!H47,55))+(('Fórmula'!K47)/('Fórmula'!C47+'Fórmula'!E47+'Fórmula'!G47+'Fórmula'!I47+'Fórmula'!K47))*(INDEX(properties!A$1:CB$87,'Fórmula'!J47,55))</f>
        <v>0.9216492308</v>
      </c>
      <c r="FO47" s="118">
        <f t="array" ref="FO47">'Fórmula'!C47*(INDEX(properties!A$1:CB$87,'Fórmula'!B47,55))+'Fórmula'!E47*(INDEX(properties!A$1:CB$87,'Fórmula'!D47,54))+'Fórmula'!G47*(INDEX(properties!A$1:CB$87,'Fórmula'!F47,55))+'Fórmula'!I47*(INDEX(properties!A$1:CB$87,'Fórmula'!H47,55))+'Fórmula'!K47*(INDEX(properties!A$1:CB$87,'Fórmula'!J47,55))</f>
        <v>8557.30144</v>
      </c>
      <c r="FP47" s="118">
        <f t="array" ref="FP47">VARP(IF(INDEX(properties!A$1:CB$87,'Fórmula'!B47,55)&lt;&gt;"",INDEX(properties!A$1:CB$87,'Fórmula'!B47,55)),IF(INDEX(properties!A$1:CB$87,'Fórmula'!D47,55)&lt;&gt;"",INDEX(properties!A$1:CB$87,'Fórmula'!D47,55)),IF(INDEX(properties!A$1:CB$87,'Fórmula'!F47,55)&lt;&gt;"",INDEX(properties!A$1:CB$87,'Fórmula'!F47,55)),IF(INDEX(properties!A$1:CB$87,'Fórmula'!H47,55)&lt;&gt;"",INDEX(properties!A$1:CB$87,'Fórmula'!H47,55)),IF(INDEX(properties!A$1:CB$87,'Fórmula'!J47,55)&lt;&gt;"",INDEX(properties!A$1:CB$87,'Fórmula'!J47,55)))</f>
        <v>1.431845207</v>
      </c>
      <c r="FQ47" s="118">
        <f t="array" ref="FQ47">MAX(INDEX(properties!A$1:CB$87,'Fórmula'!B47,55),INDEX(properties!A$1:CB$87,'Fórmula'!D47,55),INDEX(properties!A$1:CB$87,'Fórmula'!F47,55),INDEX(properties!A$1:CB$87,'Fórmula'!H47,55),INDEX(properties!A$1:CB$87,'Fórmula'!J47,55))</f>
        <v>2.63</v>
      </c>
      <c r="FR47" s="118">
        <f t="array" ref="FR47">MIN(IF(INDEX(properties!A$1:CB$87,'Fórmula'!B47,55)=0,10^6,INDEX(properties!A$1:CB$87,'Fórmula'!B47,55)),IF(INDEX(properties!A$1:CB$87,'Fórmula'!D47,55)=0,10^6,INDEX(properties!A$1:CB$87,'Fórmula'!D47,55)),IF(INDEX(properties!A$1:CB$87,'Fórmula'!F47,55)=0,10^6,INDEX(properties!A$1:CB$87,'Fórmula'!F47,55)),IF(INDEX(properties!A$1:CB$87,'Fórmula'!H47,55)=0,10^6,INDEX(properties!A$1:CB$87,'Fórmula'!H47,55)),IF(INDEX(properties!A$1:CB$87,'Fórmula'!J47,55)=0,10^6,INDEX(properties!A$1:CB$87,'Fórmula'!J47,55)))</f>
        <v>0.00143</v>
      </c>
      <c r="FS47" s="118">
        <f t="shared" si="29"/>
        <v>2.62857</v>
      </c>
      <c r="FT47" s="119">
        <f t="array" ref="FT47">(('Fórmula'!C47)/('Fórmula'!C47+'Fórmula'!E47+'Fórmula'!G47+'Fórmula'!I47+'Fórmula'!K47))*(INDEX(properties!A$1:CB$87,'Fórmula'!B47,56))+(('Fórmula'!E47)/('Fórmula'!C47+'Fórmula'!E47+'Fórmula'!G47+'Fórmula'!I47+'Fórmula'!K47))*(INDEX(properties!A$1:CB$87,'Fórmula'!D47,56))+(('Fórmula'!G47)/('Fórmula'!C47+'Fórmula'!E47+'Fórmula'!G47+'Fórmula'!I47+'Fórmula'!K47))*(INDEX(properties!A$1:CB$87,'Fórmula'!F47,56))+(('Fórmula'!I47)/('Fórmula'!C47+'Fórmula'!E47+'Fórmula'!G47+'Fórmula'!I47+'Fórmula'!K47))*(INDEX(properties!A$1:CB$87,'Fórmula'!H47,56))+(('Fórmula'!K47)/('Fórmula'!C47+'Fórmula'!E47+'Fórmula'!G47+'Fórmula'!I47+'Fórmula'!K47))*(INDEX(properties!A$1:CB$87,'Fórmula'!J47,56))</f>
        <v>0.8553846154</v>
      </c>
      <c r="FU47" s="119">
        <f t="array" ref="FU47">'Fórmula'!C47*(INDEX(properties!A$1:CB$87,'Fórmula'!B47,56))+'Fórmula'!E47*(INDEX(properties!A$1:CB$87,'Fórmula'!D47,56))+'Fórmula'!G47*(INDEX(properties!A$1:CB$87,'Fórmula'!F47,56))+'Fórmula'!I47*(INDEX(properties!A$1:CB$87,'Fórmula'!H47,56))+'Fórmula'!K47*(INDEX(properties!A$1:CB$87,'Fórmula'!J47,56))</f>
        <v>11.12</v>
      </c>
      <c r="FV47" s="119">
        <f t="array" ref="FV47">VARP(IF(INDEX(properties!A$1:CB$87,'Fórmula'!B47,56)&lt;&gt;"",INDEX(properties!A$1:CB$87,'Fórmula'!B47,56)),IF(INDEX(properties!A$1:CB$87,'Fórmula'!D47,56)&lt;&gt;"",INDEX(properties!A$1:CB$87,'Fórmula'!D47,56)),IF(INDEX(properties!A$1:CB$87,'Fórmula'!F47,56)&lt;&gt;"",INDEX(properties!A$1:CB$87,'Fórmula'!F47,56)),IF(INDEX(properties!A$1:CB$87,'Fórmula'!H47,56)&lt;&gt;"",INDEX(properties!A$1:CB$87,'Fórmula'!H47,56)),IF(INDEX(properties!A$1:CB$87,'Fórmula'!J47,56)&lt;&gt;"",INDEX(properties!A$1:CB$87,'Fórmula'!J47,56)))</f>
        <v>0.14808</v>
      </c>
      <c r="FW47" s="119">
        <f t="array" ref="FW47">MAX(INDEX(properties!A$1:CB$87,'Fórmula'!B47,56),INDEX(properties!A$1:CB$87,'Fórmula'!D47,56),INDEX(properties!A$1:CB$87,'Fórmula'!F47,56),INDEX(properties!A$1:CB$87,'Fórmula'!H47,56),INDEX(properties!A$1:CB$87,'Fórmula'!J47,56))</f>
        <v>1.02</v>
      </c>
      <c r="FX47" s="119">
        <f t="array" ref="FX47">MIN(IF(INDEX(properties!A$1:CB$87,'Fórmula'!B47,56)=0,10^6,INDEX(properties!A$1:CB$87,'Fórmula'!B47,56)),IF(INDEX(properties!A$1:CB$87,'Fórmula'!D47,56)=0,10^6,INDEX(properties!A$1:CB$87,'Fórmula'!D47,56)),IF(INDEX(properties!A$1:CB$87,'Fórmula'!F47,56)=0,10^6,INDEX(properties!A$1:CB$87,'Fórmula'!F47,56)),IF(INDEX(properties!A$1:CB$87,'Fórmula'!H47,56)=0,10^6,INDEX(properties!A$1:CB$87,'Fórmula'!H47,56)),IF(INDEX(properties!A$1:CB$87,'Fórmula'!J47,56)=0,10^6,INDEX(properties!A$1:CB$87,'Fórmula'!J47,56)))</f>
        <v>0.3</v>
      </c>
      <c r="FY47" s="119">
        <f t="shared" si="30"/>
        <v>0.72</v>
      </c>
      <c r="FZ47" s="104">
        <f t="array" ref="FZ47">(('Fórmula'!C47)/('Fórmula'!C47+'Fórmula'!E47+'Fórmula'!G47+'Fórmula'!I47+'Fórmula'!K47))*(INDEX(properties!A$1:CB$87,'Fórmula'!B47,57))+(('Fórmula'!E47)/('Fórmula'!C47+'Fórmula'!E47+'Fórmula'!G47+'Fórmula'!I47+'Fórmula'!K47))*(INDEX(properties!A$1:CB$87,'Fórmula'!D47,57))+(('Fórmula'!G47)/('Fórmula'!C47+'Fórmula'!E47+'Fórmula'!G47+'Fórmula'!I47+'Fórmula'!K47))*(INDEX(properties!A$1:CB$87,'Fórmula'!F47,57))+(('Fórmula'!I47)/('Fórmula'!C47+'Fórmula'!E47+'Fórmula'!G47+'Fórmula'!I47+'Fórmula'!K47))*(INDEX(properties!A$1:CB$87,'Fórmula'!H47,57))+(('Fórmula'!K47)/('Fórmula'!C47+'Fórmula'!E47+'Fórmula'!G47+'Fórmula'!I47+'Fórmula'!K47))*(INDEX(properties!A$1:CB$87,'Fórmula'!J47,57))</f>
        <v>16.27544</v>
      </c>
      <c r="GA47" s="104">
        <f t="array" ref="GA47">'Fórmula'!C47*(INDEX(properties!A$1:CB$87,'Fórmula'!B47,57))+'Fórmula'!E47*(INDEX(properties!A$1:CB$87,'Fórmula'!D47,57))+'Fórmula'!G47*(INDEX(properties!A$1:CB$87,'Fórmula'!F47,57))+'Fórmula'!I47*(INDEX(properties!A$1:CB$87,'Fórmula'!H47,57))+'Fórmula'!K47*(INDEX(properties!A$1:CB$87,'Fórmula'!J47,57))</f>
        <v>211.58072</v>
      </c>
      <c r="GB47" s="104">
        <f t="array" ref="GB47">VARP(IF(INDEX(properties!A$1:CB$87,'Fórmula'!B47,57)&lt;&gt;"",INDEX(properties!A$1:CB$87,'Fórmula'!B47,57)),IF(INDEX(properties!A$1:CB$87,'Fórmula'!D47,57)&lt;&gt;"",INDEX(properties!A$1:CB$87,'Fórmula'!D47,57)),IF(INDEX(properties!A$1:CB$87,'Fórmula'!F47,57)&lt;&gt;"",INDEX(properties!A$1:CB$87,'Fórmula'!F47,57)),IF(INDEX(properties!A$1:CB$87,'Fórmula'!H47,57)&lt;&gt;"",INDEX(properties!A$1:CB$87,'Fórmula'!H47,57)),IF(INDEX(properties!A$1:CB$87,'Fórmula'!J47,57)&lt;&gt;"",INDEX(properties!A$1:CB$87,'Fórmula'!J47,57)))</f>
        <v>551.2364522</v>
      </c>
      <c r="GC47" s="104">
        <f t="array" ref="GC47">MAX(INDEX(properties!A$1:CB$87,'Fórmula'!B47,57),INDEX(properties!A$1:CB$87,'Fórmula'!D47,57),INDEX(properties!A$1:CB$87,'Fórmula'!F47,57),INDEX(properties!A$1:CB$87,'Fórmula'!H47,57),INDEX(properties!A$1:CB$87,'Fórmula'!J47,57))</f>
        <v>50.55</v>
      </c>
      <c r="GD47" s="104">
        <f t="array" ref="GD47">MIN(IF(INDEX(properties!A$1:CB$87,'Fórmula'!B47,57)=0,10^6,INDEX(properties!A$1:CB$87,'Fórmula'!B47,57)),IF(INDEX(properties!A$1:CB$87,'Fórmula'!D47,57)=0,10^6,INDEX(properties!A$1:CB$87,'Fórmula'!D47,57)),IF(INDEX(properties!A$1:CB$87,'Fórmula'!F47,57)=0,10^6,INDEX(properties!A$1:CB$87,'Fórmula'!F47,57)),IF(INDEX(properties!A$1:CB$87,'Fórmula'!H47,57)=0,10^6,INDEX(properties!A$1:CB$87,'Fórmula'!H47,57)),IF(INDEX(properties!A$1:CB$87,'Fórmula'!J47,57)=0,10^6,INDEX(properties!A$1:CB$87,'Fórmula'!J47,57)))</f>
        <v>0.22259</v>
      </c>
      <c r="GE47" s="104">
        <f t="shared" si="31"/>
        <v>50.32741</v>
      </c>
      <c r="GF47" s="105">
        <f t="array" ref="GF47">(('Fórmula'!C47)/('Fórmula'!C47+'Fórmula'!E47+'Fórmula'!G47+'Fórmula'!I47+'Fórmula'!K47))*(INDEX(properties!A$1:CB$87,'Fórmula'!B47,60))+(('Fórmula'!E47)/('Fórmula'!C47+'Fórmula'!E47+'Fórmula'!G47+'Fórmula'!I47+'Fórmula'!K47))*(INDEX(properties!A$1:CB$87,'Fórmula'!D47,60))+(('Fórmula'!G47)/('Fórmula'!C47+'Fórmula'!E47+'Fórmula'!G47+'Fórmula'!I47+'Fórmula'!K47))*(INDEX(properties!A$1:CB$87,'Fórmula'!F47,60))+(('Fórmula'!I47)/('Fórmula'!C47+'Fórmula'!E47+'Fórmula'!G47+'Fórmula'!I47+'Fórmula'!K47))*(INDEX(properties!A$1:CB$87,'Fórmula'!H47,60))+(('Fórmula'!K47)/('Fórmula'!C47+'Fórmula'!E47+'Fórmula'!G47+'Fórmula'!I47+'Fórmula'!K47))*(INDEX(properties!A$1:CB$87,'Fórmula'!J47,60))</f>
        <v>29.65491692</v>
      </c>
      <c r="GG47" s="105">
        <f t="array" ref="GG47">'Fórmula'!C47*(INDEX(properties!A$1:CB$87,'Fórmula'!B47,60))+'Fórmula'!E47*(INDEX(properties!A$1:CB$87,'Fórmula'!D47,60))+'Fórmula'!G47*(INDEX(properties!A$1:CB$87,'Fórmula'!F47,60))+'Fórmula'!I47*(INDEX(properties!A$1:CB$87,'Fórmula'!H47,60))+'Fórmula'!K47*(INDEX(properties!A$1:CB$87,'Fórmula'!J47,60))</f>
        <v>385.51392</v>
      </c>
      <c r="GH47" s="105">
        <f t="array" ref="GH47">VARP(IF(INDEX(properties!A$1:CB$87,'Fórmula'!B47,60)&lt;&gt;"",INDEX(properties!A$1:CB$87,'Fórmula'!B47,60)),IF(INDEX(properties!A$1:CB$87,'Fórmula'!D47,60)&lt;&gt;"",INDEX(properties!A$1:CB$87,'Fórmula'!D47,60)),IF(INDEX(properties!A$1:CB$87,'Fórmula'!F47,60)&lt;&gt;"",INDEX(properties!A$1:CB$87,'Fórmula'!F47,60)),IF(INDEX(properties!A$1:CB$87,'Fórmula'!H47,60)&lt;&gt;"",INDEX(properties!A$1:CB$87,'Fórmula'!H47,60)),IF(INDEX(properties!A$1:CB$87,'Fórmula'!J47,60)&lt;&gt;"",INDEX(properties!A$1:CB$87,'Fórmula'!J47,60)))</f>
        <v>3006.324641</v>
      </c>
      <c r="GI47" s="105">
        <f t="array" ref="GI47">MAX(INDEX(properties!A$1:CB$87,'Fórmula'!B47,60),INDEX(properties!A$1:CB$87,'Fórmula'!D47,60),INDEX(properties!A$1:CB$87,'Fórmula'!F47,60),INDEX(properties!A$1:CB$87,'Fórmula'!H47,60),INDEX(properties!A$1:CB$87,'Fórmula'!J47,60))</f>
        <v>148</v>
      </c>
      <c r="GJ47" s="105">
        <f t="array" ref="GJ47">MIN(IF(INDEX(properties!A$1:CB$87,'Fórmula'!B47,60)=0,10^6,INDEX(properties!A$1:CB$87,'Fórmula'!B47,60)),IF(INDEX(properties!A$1:CB$87,'Fórmula'!D47,60)=0,10^6,INDEX(properties!A$1:CB$87,'Fórmula'!D47,60)),IF(INDEX(properties!A$1:CB$87,'Fórmula'!F47,60)=0,10^6,INDEX(properties!A$1:CB$87,'Fórmula'!F47,60)),IF(INDEX(properties!A$1:CB$87,'Fórmula'!H47,60)=0,10^6,INDEX(properties!A$1:CB$87,'Fórmula'!H47,60)),IF(INDEX(properties!A$1:CB$87,'Fórmula'!J47,60)=0,10^6,INDEX(properties!A$1:CB$87,'Fórmula'!J47,60)))</f>
        <v>0.02674</v>
      </c>
      <c r="GK47" s="105">
        <f t="shared" si="32"/>
        <v>147.97326</v>
      </c>
      <c r="GL47" s="106">
        <f t="array" ref="GL47">(('Fórmula'!C47)/('Fórmula'!C47+'Fórmula'!E47+'Fórmula'!G47+'Fórmula'!I47+'Fórmula'!K47))*(INDEX(properties!A$1:CB$87,'Fórmula'!B47,62))+(('Fórmula'!E47)/('Fórmula'!C47+'Fórmula'!E47+'Fórmula'!G47+'Fórmula'!I47+'Fórmula'!K47))*(INDEX(properties!A$1:CB$87,'Fórmula'!D47,62))+(('Fórmula'!G47)/('Fórmula'!C47+'Fórmula'!E47+'Fórmula'!G47+'Fórmula'!I47+'Fórmula'!K47))*(INDEX(properties!A$1:CB$87,'Fórmula'!F47,62))+(('Fórmula'!I47)/('Fórmula'!C47+'Fórmula'!E47+'Fórmula'!G47+'Fórmula'!I47+'Fórmula'!K47))*(INDEX(properties!A$1:CB$87,'Fórmula'!H47,62))+(('Fórmula'!K47)/('Fórmula'!C47+'Fórmula'!E47+'Fórmula'!G47+'Fórmula'!I47+'Fórmula'!K47))*(INDEX(properties!A$1:CB$87,'Fórmula'!J47,62))</f>
        <v>3.350769231</v>
      </c>
      <c r="GM47" s="106">
        <f t="array" ref="GM47">'Fórmula'!C47*(INDEX(properties!A$1:CB$87,'Fórmula'!B47,62))+'Fórmula'!E47*(INDEX(properties!A$1:CB$87,'Fórmula'!D47,62))+'Fórmula'!G47*(INDEX(properties!A$1:CB$87,'Fórmula'!F47,62))+'Fórmula'!I47*(INDEX(properties!A$1:CB$87,'Fórmula'!H47,62))+'Fórmula'!K47*(INDEX(properties!A$1:CB$87,'Fórmula'!J47,62))</f>
        <v>43.56</v>
      </c>
      <c r="GN47" s="106">
        <f t="array" ref="GN47">VARP(IF(INDEX(properties!A$1:CB$87,'Fórmula'!B47,62)&lt;&gt;"",INDEX(properties!A$1:CB$87,'Fórmula'!B47,62)),IF(INDEX(properties!A$1:CB$87,'Fórmula'!D47,62)&lt;&gt;"",INDEX(properties!A$1:CB$87,'Fórmula'!D47,62)),IF(INDEX(properties!A$1:CB$87,'Fórmula'!F47,62)&lt;&gt;"",INDEX(properties!A$1:CB$87,'Fórmula'!F47,62)),IF(INDEX(properties!A$1:CB$87,'Fórmula'!H47,62)&lt;&gt;"",INDEX(properties!A$1:CB$87,'Fórmula'!H47,62)),IF(INDEX(properties!A$1:CB$87,'Fórmula'!J47,62)&lt;&gt;"",INDEX(properties!A$1:CB$87,'Fórmula'!J47,62)))</f>
        <v>4.265224</v>
      </c>
      <c r="GO47" s="106">
        <f t="array" ref="GO47">MAX(INDEX(properties!A$1:CB$87,'Fórmula'!B47,62),INDEX(properties!A$1:CB$87,'Fórmula'!D47,62),INDEX(properties!A$1:CB$87,'Fórmula'!F47,62),INDEX(properties!A$1:CB$87,'Fórmula'!H47,62),INDEX(properties!A$1:CB$87,'Fórmula'!J47,62))</f>
        <v>5.81</v>
      </c>
      <c r="GP47" s="106">
        <f t="array" ref="GP47">MIN(IF(INDEX(properties!A$1:CB$87,'Fórmula'!B47,62)=0,10^6,INDEX(properties!A$1:CB$87,'Fórmula'!B47,62)),IF(INDEX(properties!A$1:CB$87,'Fórmula'!D47,62)=0,10^6,INDEX(properties!A$1:CB$87,'Fórmula'!D47,62)),IF(INDEX(properties!A$1:CB$87,'Fórmula'!F47,62)=0,10^6,INDEX(properties!A$1:CB$87,'Fórmula'!F47,62)),IF(INDEX(properties!A$1:CB$87,'Fórmula'!H47,62)=0,10^6,INDEX(properties!A$1:CB$87,'Fórmula'!H47,62)),IF(INDEX(properties!A$1:CB$87,'Fórmula'!J47,62)=0,10^6,INDEX(properties!A$1:CB$87,'Fórmula'!J47,62)))</f>
        <v>1.72</v>
      </c>
      <c r="GQ47" s="106">
        <f t="shared" si="33"/>
        <v>4.09</v>
      </c>
      <c r="GR47" s="106">
        <f>'Fórmula'!Q47</f>
        <v>62</v>
      </c>
      <c r="GS47" s="107">
        <f>'Fórmula'!P47</f>
        <v>3</v>
      </c>
      <c r="GT47" s="113">
        <f>'Fórmula'!O47</f>
        <v>3.38</v>
      </c>
      <c r="GU47" s="114">
        <f>AVERAGE('Fórmula'!R47/'Fórmula'!S47,'Fórmula'!S47/'Fórmula'!T47,'Fórmula'!T47/'Fórmula'!R47)</f>
        <v>1.0038042</v>
      </c>
      <c r="GV47" s="125">
        <f>'Fórmula'!U47</f>
        <v>576.11</v>
      </c>
      <c r="GW47" s="106">
        <f>'Fórmula'!N47</f>
        <v>0.11</v>
      </c>
    </row>
    <row r="48" ht="14.25" customHeight="1">
      <c r="A48" s="99" t="str">
        <f>'Fórmula'!A48</f>
        <v>LiMgPO4</v>
      </c>
      <c r="B48" s="101">
        <f t="array" ref="B48">(('Fórmula'!C48)/('Fórmula'!C48+'Fórmula'!E48+'Fórmula'!G48+'Fórmula'!I48+'Fórmula'!K48))*(INDEX(properties!A$1:CB$87,'Fórmula'!B48,3))+(('Fórmula'!E48)/('Fórmula'!C48+'Fórmula'!E48+'Fórmula'!G48+'Fórmula'!I48+'Fórmula'!K48))*(INDEX(properties!A$1:CB$87,'Fórmula'!D48,3))+(('Fórmula'!G48)/('Fórmula'!C48+'Fórmula'!E48+'Fórmula'!G48+'Fórmula'!I48+'Fórmula'!K48))*(INDEX(properties!A$1:CB$87,'Fórmula'!F48,3))+(('Fórmula'!I48)/('Fórmula'!C48+'Fórmula'!E48+'Fórmula'!G48+'Fórmula'!I48+'Fórmula'!K48))*(INDEX(properties!A$1:CB$87,'Fórmula'!H48,3))+(('Fórmula'!K48)/('Fórmula'!C48+'Fórmula'!E48+'Fórmula'!G48+'Fórmula'!I48+'Fórmula'!K48))*(INDEX(properties!A$1:CB$87,'Fórmula'!J48,3))</f>
        <v>18.03105171</v>
      </c>
      <c r="C48" s="101">
        <f t="array" ref="C48">'Fórmula'!C48*(INDEX(properties!A$1:CB$87,'Fórmula'!B48,3))+'Fórmula'!E48*(INDEX(properties!A$1:CB$87,'Fórmula'!D48,3))+'Fórmula'!G48*(INDEX(properties!A$1:CB$87,'Fórmula'!F48,3))+'Fórmula'!I48*(INDEX(properties!A$1:CB$87,'Fórmula'!H48,3))+'Fórmula'!K48*(INDEX(properties!A$1:CB$87,'Fórmula'!J48,3))</f>
        <v>126.217362</v>
      </c>
      <c r="D48" s="101">
        <f t="array" ref="D48">VARP(IF(INDEX(properties!A$1:CB$87,'Fórmula'!B48,3)&lt;&gt;"",INDEX(properties!A$1:CB$87,'Fórmula'!B48,3)),IF(INDEX(properties!A$1:CB$87,'Fórmula'!D48,3)&lt;&gt;"",INDEX(properties!A$1:CB$87,'Fórmula'!D48,3)),IF(INDEX(properties!A$1:CB$87,'Fórmula'!F48,3)&lt;&gt;"",INDEX(properties!A$1:CB$87,'Fórmula'!F48,3)),IF(INDEX(properties!A$1:CB$87,'Fórmula'!H48,3)&lt;&gt;"",INDEX(properties!A$1:CB$87,'Fórmula'!H48,3)),IF(INDEX(properties!A$1:CB$87,'Fórmula'!J48,3)&lt;&gt;"",INDEX(properties!A$1:CB$87,'Fórmula'!J48,3)))</f>
        <v>126.1235556</v>
      </c>
      <c r="E48" s="101">
        <f t="array" ref="E48">MAX(INDEX(properties!A$1:CB$87,'Fórmula'!B48,3),INDEX(properties!A$1:CB$87,'Fórmula'!D48,3),INDEX(properties!A$1:CB$87,'Fórmula'!F48,3),INDEX(properties!A$1:CB$87,'Fórmula'!H48,3),INDEX(properties!A$1:CB$87,'Fórmula'!J48,3))</f>
        <v>30.973762</v>
      </c>
      <c r="F48" s="101">
        <f t="array" ref="F48">MIN(IF(INDEX(properties!A$1:CB$87,'Fórmula'!B48,3)=0,10^6,INDEX(properties!A$1:CB$87,'Fórmula'!B48,3)),IF(INDEX(properties!A$1:CB$87,'Fórmula'!D48,3)=0,10^6,INDEX(properties!A$1:CB$87,'Fórmula'!D48,3)),IF(INDEX(properties!A$1:CB$87,'Fórmula'!F48,3)=0,10^6,INDEX(properties!A$1:CB$87,'Fórmula'!F48,3)),IF(INDEX(properties!A$1:CB$87,'Fórmula'!H48,3)=0,10^6,INDEX(properties!A$1:CB$87,'Fórmula'!H48,3)),IF(INDEX(properties!A$1:CB$87,'Fórmula'!J48,3)=0,10^6,INDEX(properties!A$1:CB$87,'Fórmula'!J48,3)))</f>
        <v>6.941</v>
      </c>
      <c r="G48" s="101">
        <f t="shared" si="1"/>
        <v>24.032762</v>
      </c>
      <c r="H48" s="102">
        <f t="array" ref="H48">(('Fórmula'!C48)/('Fórmula'!C48+'Fórmula'!E48+'Fórmula'!G48+'Fórmula'!I48+'Fórmula'!K48))*(INDEX(properties!A$1:CB$87,'Fórmula'!B48,4))+(('Fórmula'!E48)/('Fórmula'!C48+'Fórmula'!E48+'Fórmula'!G48+'Fórmula'!I48+'Fórmula'!K48))*(INDEX(properties!A$1:CB$87,'Fórmula'!D48,4))+(('Fórmula'!G48)/('Fórmula'!C48+'Fórmula'!E48+'Fórmula'!G48+'Fórmula'!I48+'Fórmula'!K48))*(INDEX(properties!A$1:CB$87,'Fórmula'!F48,4))+(('Fórmula'!I48)/('Fórmula'!C48+'Fórmula'!E48+'Fórmula'!G48+'Fórmula'!I48+'Fórmula'!K48))*(INDEX(properties!A$1:CB$87,'Fórmula'!H48,4))+(('Fórmula'!K48)/('Fórmula'!C48+'Fórmula'!E48+'Fórmula'!G48+'Fórmula'!I48+'Fórmula'!K48))*(INDEX(properties!A$1:CB$87,'Fórmula'!J48,4))</f>
        <v>8.857142857</v>
      </c>
      <c r="I48" s="102">
        <f t="array" ref="I48">'Fórmula'!C48*(INDEX(properties!A$1:CB$87,'Fórmula'!B48,4))+'Fórmula'!E48*(INDEX(properties!A$1:CB$87,'Fórmula'!D48,4))+'Fórmula'!G48*(INDEX(properties!A$1:CB$87,'Fórmula'!F48,4))+'Fórmula'!I48*(INDEX(properties!A$1:CB$87,'Fórmula'!H48,4))+'Fórmula'!K48*(INDEX(properties!A$1:CB$87,'Fórmula'!J48,4))</f>
        <v>62</v>
      </c>
      <c r="J48" s="102">
        <f t="array" ref="J48">VARP(IF(INDEX(properties!A$1:CB$87,'Fórmula'!B48,4)&lt;&gt;"",INDEX(properties!A$1:CB$87,'Fórmula'!B48,4)),IF(INDEX(properties!A$1:CB$87,'Fórmula'!D48,4)&lt;&gt;"",INDEX(properties!A$1:CB$87,'Fórmula'!D48,4)),IF(INDEX(properties!A$1:CB$87,'Fórmula'!F48,4)&lt;&gt;"",INDEX(properties!A$1:CB$87,'Fórmula'!F48,4)),IF(INDEX(properties!A$1:CB$87,'Fórmula'!H48,4)&lt;&gt;"",INDEX(properties!A$1:CB$87,'Fórmula'!H48,4)),IF(INDEX(properties!A$1:CB$87,'Fórmula'!J48,4)&lt;&gt;"",INDEX(properties!A$1:CB$87,'Fórmula'!J48,4)))</f>
        <v>30.64</v>
      </c>
      <c r="K48" s="102">
        <f t="array" ref="K48">MAX(INDEX(properties!A$1:CB$87,'Fórmula'!B48,4),INDEX(properties!A$1:CB$87,'Fórmula'!D48,4),INDEX(properties!A$1:CB$87,'Fórmula'!F48,4),INDEX(properties!A$1:CB$87,'Fórmula'!H48,4),INDEX(properties!A$1:CB$87,'Fórmula'!J48,4))</f>
        <v>15</v>
      </c>
      <c r="L48" s="102">
        <f t="array" ref="L48">MIN(IF(INDEX(properties!A$1:CB$87,'Fórmula'!B48,4)=0,10^6,INDEX(properties!A$1:CB$87,'Fórmula'!B48,4)),IF(INDEX(properties!A$1:CB$87,'Fórmula'!D48,4)=0,10^6,INDEX(properties!A$1:CB$87,'Fórmula'!D48,4)),IF(INDEX(properties!A$1:CB$87,'Fórmula'!F48,4)=0,10^6,INDEX(properties!A$1:CB$87,'Fórmula'!F48,4)),IF(INDEX(properties!A$1:CB$87,'Fórmula'!H48,4)=0,10^6,INDEX(properties!A$1:CB$87,'Fórmula'!H48,4)),IF(INDEX(properties!A$1:CB$87,'Fórmula'!J48,4)=0,10^6,INDEX(properties!A$1:CB$87,'Fórmula'!J48,4)))</f>
        <v>3</v>
      </c>
      <c r="M48" s="102">
        <f t="shared" si="2"/>
        <v>12</v>
      </c>
      <c r="N48" s="103">
        <f t="array" ref="N48">(('Fórmula'!C48)/('Fórmula'!C48+'Fórmula'!E48+'Fórmula'!G48+'Fórmula'!I48+'Fórmula'!K48))*(INDEX(properties!A$1:CB$87,'Fórmula'!B48,5))+(('Fórmula'!E48)/('Fórmula'!C48+'Fórmula'!E48+'Fórmula'!G48+'Fórmula'!I48+'Fórmula'!K48))*(INDEX(properties!A$1:CB$87,'Fórmula'!D48,5))+(('Fórmula'!G48)/('Fórmula'!C48+'Fórmula'!E48+'Fórmula'!G48+'Fórmula'!I48+'Fórmula'!K48))*(INDEX(properties!A$1:CB$87,'Fórmula'!F48,5))+(('Fórmula'!I48)/('Fórmula'!C48+'Fórmula'!E48+'Fórmula'!G48+'Fórmula'!I48+'Fórmula'!K48))*(INDEX(properties!A$1:CB$87,'Fórmula'!H48,5))+(('Fórmula'!K48)/('Fórmula'!C48+'Fórmula'!E48+'Fórmula'!G48+'Fórmula'!I48+'Fórmula'!K48))*(INDEX(properties!A$1:CB$87,'Fórmula'!J48,5))</f>
        <v>2.285714286</v>
      </c>
      <c r="O48" s="103">
        <f t="array" ref="O48">'Fórmula'!C48*(INDEX(properties!A$1:CB$87,'Fórmula'!B48,5))+'Fórmula'!E48*(INDEX(properties!A$1:CB$87,'Fórmula'!D48,5))+'Fórmula'!G48*(INDEX(properties!A$1:CB$87,'Fórmula'!F48,5))+'Fórmula'!I48*(INDEX(properties!A$1:CB$87,'Fórmula'!H48,5))+'Fórmula'!K48*(INDEX(properties!A$1:CB$87,'Fórmula'!J48,5))</f>
        <v>16</v>
      </c>
      <c r="P48" s="103">
        <f t="array" ref="P48">VARP(IF(INDEX(properties!A$1:CB$87,'Fórmula'!B48,5)&lt;&gt;"",INDEX(properties!A$1:CB$87,'Fórmula'!B48,5)),IF(INDEX(properties!A$1:CB$87,'Fórmula'!D48,5)&lt;&gt;"",INDEX(properties!A$1:CB$87,'Fórmula'!D48,5)),IF(INDEX(properties!A$1:CB$87,'Fórmula'!F48,5)&lt;&gt;"",INDEX(properties!A$1:CB$87,'Fórmula'!F48,5)),IF(INDEX(properties!A$1:CB$87,'Fórmula'!H48,5)&lt;&gt;"",INDEX(properties!A$1:CB$87,'Fórmula'!H48,5)),IF(INDEX(properties!A$1:CB$87,'Fórmula'!J48,5)&lt;&gt;"",INDEX(properties!A$1:CB$87,'Fórmula'!J48,5)))</f>
        <v>1.2</v>
      </c>
      <c r="Q48" s="103">
        <f t="array" ref="Q48">MAX(INDEX(properties!A$1:CB$87,'Fórmula'!B48,5),INDEX(properties!A$1:CB$87,'Fórmula'!D48,5),INDEX(properties!A$1:CB$87,'Fórmula'!F48,5),INDEX(properties!A$1:CB$87,'Fórmula'!H48,5),INDEX(properties!A$1:CB$87,'Fórmula'!J48,5))</f>
        <v>3</v>
      </c>
      <c r="R48" s="103">
        <f t="array" ref="R48">MIN(IF(INDEX(properties!A$1:CB$87,'Fórmula'!B48,5)=0,10^6,INDEX(properties!A$1:CB$87,'Fórmula'!B48,5)),IF(INDEX(properties!A$1:CB$87,'Fórmula'!D48,5)=0,10^6,INDEX(properties!A$1:CB$87,'Fórmula'!D48,5)),IF(INDEX(properties!A$1:CB$87,'Fórmula'!F48,5)=0,10^6,INDEX(properties!A$1:CB$87,'Fórmula'!F48,5)),IF(INDEX(properties!A$1:CB$87,'Fórmula'!H48,5)=0,10^6,INDEX(properties!A$1:CB$87,'Fórmula'!H48,5)),IF(INDEX(properties!A$1:CB$87,'Fórmula'!J48,5)=0,10^6,INDEX(properties!A$1:CB$87,'Fórmula'!J48,5)))</f>
        <v>2</v>
      </c>
      <c r="S48" s="103">
        <f t="shared" si="3"/>
        <v>1</v>
      </c>
      <c r="T48" s="104">
        <f t="array" ref="T48">(('Fórmula'!C48)/('Fórmula'!C48+'Fórmula'!E48+'Fórmula'!G48+'Fórmula'!I48+'Fórmula'!K48))*(INDEX(properties!A$1:CB$87,'Fórmula'!B48,6))+(('Fórmula'!E48)/('Fórmula'!C48+'Fórmula'!E48+'Fórmula'!G48+'Fórmula'!I48+'Fórmula'!K48))*(INDEX(properties!A$1:CB$87,'Fórmula'!D48,6))+(('Fórmula'!G48)/('Fórmula'!C48+'Fórmula'!E48+'Fórmula'!G48+'Fórmula'!I48+'Fórmula'!K48))*(INDEX(properties!A$1:CB$87,'Fórmula'!F48,6))+(('Fórmula'!I48)/('Fórmula'!C48+'Fórmula'!E48+'Fórmula'!G48+'Fórmula'!I48+'Fórmula'!K48))*(INDEX(properties!A$1:CB$87,'Fórmula'!H48,6))+(('Fórmula'!K48)/('Fórmula'!C48+'Fórmula'!E48+'Fórmula'!G48+'Fórmula'!I48+'Fórmula'!K48))*(INDEX(properties!A$1:CB$87,'Fórmula'!J48,6))</f>
        <v>11.71428571</v>
      </c>
      <c r="U48" s="104">
        <f t="array" ref="U48">'Fórmula'!C48*(INDEX(properties!A$1:CB$87,'Fórmula'!B48,6))+'Fórmula'!E48*(INDEX(properties!A$1:CB$87,'Fórmula'!D48,6))+'Fórmula'!G48*(INDEX(properties!A$1:CB$87,'Fórmula'!F48,6))+'Fórmula'!I48*(INDEX(properties!A$1:CB$87,'Fórmula'!H48,6))+'Fórmula'!K48*(INDEX(properties!A$1:CB$87,'Fórmula'!J48,6))</f>
        <v>82</v>
      </c>
      <c r="V48" s="103">
        <f t="array" ref="V48">VARP(IF(INDEX(properties!A$1:CB$87,'Fórmula'!B48,6)&lt;&gt;"",INDEX(properties!A$1:CB$87,'Fórmula'!B48,6)),IF(INDEX(properties!A$1:CB$87,'Fórmula'!D48,6)&lt;&gt;"",INDEX(properties!A$1:CB$87,'Fórmula'!D48,6)),IF(INDEX(properties!A$1:CB$87,'Fórmula'!F48,6)&lt;&gt;"",INDEX(properties!A$1:CB$87,'Fórmula'!F48,6)),IF(INDEX(properties!A$1:CB$87,'Fórmula'!H48,6)&lt;&gt;"",INDEX(properties!A$1:CB$87,'Fórmula'!H48,6)),IF(INDEX(properties!A$1:CB$87,'Fórmula'!J48,6)&lt;&gt;"",INDEX(properties!A$1:CB$87,'Fórmula'!J48,6)))</f>
        <v>50.96</v>
      </c>
      <c r="W48" s="104">
        <f t="array" ref="W48">MAX(INDEX(properties!A$1:CB$87,'Fórmula'!B48,6),INDEX(properties!A$1:CB$87,'Fórmula'!D48,6),INDEX(properties!A$1:CB$87,'Fórmula'!F48,6),INDEX(properties!A$1:CB$87,'Fórmula'!H48,4),INDEX(properties!A$1:CB$87,'Fórmula'!J48,6))</f>
        <v>15</v>
      </c>
      <c r="X48" s="104">
        <f t="array" ref="X48">MIN(IF(INDEX(properties!A$1:CB$87,'Fórmula'!B48,6)=0,10^6,INDEX(properties!A$1:CB$87,'Fórmula'!B48,6)),IF(INDEX(properties!A$1:CB$87,'Fórmula'!D48,6)=0,10^6,INDEX(properties!A$1:CB$87,'Fórmula'!D48,6)),IF(INDEX(properties!A$1:CB$87,'Fórmula'!F48,6)=0,10^6,INDEX(properties!A$1:CB$87,'Fórmula'!F48,6)),IF(INDEX(properties!A$1:CB$87,'Fórmula'!H48,6)=0,10^6,INDEX(properties!A$1:CB$87,'Fórmula'!H48,6)),IF(INDEX(properties!A$1:CB$87,'Fórmula'!J48,6)=0,10^6,INDEX(properties!A$1:CB$87,'Fórmula'!J48,6)))</f>
        <v>1</v>
      </c>
      <c r="Y48" s="104">
        <f t="shared" si="4"/>
        <v>14</v>
      </c>
      <c r="Z48" s="105">
        <f t="array" ref="Z48">(('Fórmula'!C48)/('Fórmula'!C48+'Fórmula'!E48+'Fórmula'!G48+'Fórmula'!I48+'Fórmula'!K48))*(INDEX(properties!A$1:CB$87,'Fórmula'!B48,9))+(('Fórmula'!E48)/('Fórmula'!C48+'Fórmula'!E48+'Fórmula'!G48+'Fórmula'!I48+'Fórmula'!K48))*(INDEX(properties!A$1:CB$87,'Fórmula'!D48,9))+(('Fórmula'!G48)/('Fórmula'!C48+'Fórmula'!E48+'Fórmula'!G48+'Fórmula'!I48+'Fórmula'!K48))*(INDEX(properties!A$1:CB$87,'Fórmula'!F48,9))+(('Fórmula'!I48)/('Fórmula'!C48+'Fórmula'!E48+'Fórmula'!G48+'Fórmula'!I48+'Fórmula'!K48))*(INDEX(properties!A$1:CB$87,'Fórmula'!H48,9))+(('Fórmula'!K48)/('Fórmula'!C48+'Fórmula'!E48+'Fórmula'!G48+'Fórmula'!I48+'Fórmula'!K48))*(INDEX(properties!A$1:CB$87,'Fórmula'!J48,9))</f>
        <v>71.42857143</v>
      </c>
      <c r="AA48" s="105">
        <f t="array" ref="AA48">'Fórmula'!C48*(INDEX(properties!A$1:CB$87,'Fórmula'!B48,9))+'Fórmula'!E48*(INDEX(properties!A$1:CB$87,'Fórmula'!D48,9))+'Fórmula'!G48*(INDEX(properties!A$1:CB$87,'Fórmula'!F48,9))+'Fórmula'!I48*(INDEX(properties!A$1:CB$87,'Fórmula'!H48,9))+'Fórmula'!K48*(INDEX(properties!A$1:CB$87,'Fórmula'!J48,9))</f>
        <v>500</v>
      </c>
      <c r="AB48" s="105">
        <f t="array" ref="AB48">VARP(IF(INDEX(properties!A$1:CB$87,'Fórmula'!B48,9)&lt;&gt;"",INDEX(properties!A$1:CB$87,'Fórmula'!B48,9)),IF(INDEX(properties!A$1:CB$87,'Fórmula'!D48,9)&lt;&gt;"",INDEX(properties!A$1:CB$87,'Fórmula'!D48,9)),IF(INDEX(properties!A$1:CB$87,'Fórmula'!F48,9)&lt;&gt;"",INDEX(properties!A$1:CB$87,'Fórmula'!F48,9)),IF(INDEX(properties!A$1:CB$87,'Fórmula'!H48,9)&lt;&gt;"",INDEX(properties!A$1:CB$87,'Fórmula'!H48,9)),IF(INDEX(properties!A$1:CB$87,'Fórmula'!J48,9)&lt;&gt;"",INDEX(properties!A$1:CB$87,'Fórmula'!J48,9)))</f>
        <v>1531.76</v>
      </c>
      <c r="AC48" s="105">
        <f t="array" ref="AC48">MAX(INDEX(properties!A$1:CB$87,'Fórmula'!B48,9),INDEX(properties!A$1:CB$87,'Fórmula'!D48,9),INDEX(properties!A$1:CB$87,'Fórmula'!F48,9),INDEX(properties!A$1:CB$87,'Fórmula'!H48,9),INDEX(properties!A$1:CB$87,'Fórmula'!J48,9))</f>
        <v>87</v>
      </c>
      <c r="AD48" s="105">
        <f t="array" ref="AD48">MIN(IF(INDEX(properties!A$1:CB$87,'Fórmula'!B48,9)=0,10^6,INDEX(properties!A$1:CB$87,'Fórmula'!B48,9)),IF(INDEX(properties!A$1:CB$87,'Fórmula'!D48,9)=0,10^6,INDEX(properties!A$1:CB$87,'Fórmula'!D48,9)),IF(INDEX(properties!A$1:CB$87,'Fórmula'!F48,9)=0,10^6,INDEX(properties!A$1:CB$87,'Fórmula'!F48,9)),IF(INDEX(properties!A$1:CB$87,'Fórmula'!H48,9)=0,10^6,INDEX(properties!A$1:CB$87,'Fórmula'!H48,9)),IF(INDEX(properties!A$1:CB$87,'Fórmula'!J48,9)=0,10^6,INDEX(properties!A$1:CB$87,'Fórmula'!J48,9)))</f>
        <v>1</v>
      </c>
      <c r="AE48" s="105">
        <f t="shared" si="5"/>
        <v>86</v>
      </c>
      <c r="AF48" s="106">
        <f t="array" ref="AF48">(('Fórmula'!C48)/('Fórmula'!C48+'Fórmula'!E48+'Fórmula'!G48+'Fórmula'!I48+'Fórmula'!K48))*(INDEX(properties!A$1:CB$87,'Fórmula'!B48,10))+(('Fórmula'!E48)/('Fórmula'!C48+'Fórmula'!E48+'Fórmula'!G48+'Fórmula'!I48+'Fórmula'!K48))*(INDEX(properties!A$1:CB$87,'Fórmula'!D48,10))+(('Fórmula'!G48)/('Fórmula'!C48+'Fórmula'!E48+'Fórmula'!G48+'Fórmula'!I48+'Fórmula'!K48))*(INDEX(properties!A$1:CB$87,'Fórmula'!F48,10))+(('Fórmula'!I48)/('Fórmula'!C48+'Fórmula'!E48+'Fórmula'!G48+'Fórmula'!I48+'Fórmula'!K48))*(INDEX(properties!A$1:CB$87,'Fórmula'!H48,10))+(('Fórmula'!K48)/('Fórmula'!C48+'Fórmula'!E48+'Fórmula'!G48+'Fórmula'!I48+'Fórmula'!K48))*(INDEX(properties!A$1:CB$87,'Fórmula'!J48,10))</f>
        <v>5.428571429</v>
      </c>
      <c r="AG48" s="106">
        <f t="array" ref="AG48">'Fórmula'!C48*(INDEX(properties!A$1:CB$87,'Fórmula'!B48,10))+'Fórmula'!E48*(INDEX(properties!A$1:CB$87,'Fórmula'!D48,10))+'Fórmula'!G48*(INDEX(properties!A$1:CB$87,'Fórmula'!F48,10))+'Fórmula'!I48*(INDEX(properties!A$1:CB$87,'Fórmula'!H48,10))+'Fórmula'!K48*(INDEX(properties!A$1:CB$87,'Fórmula'!J48,10))</f>
        <v>38</v>
      </c>
      <c r="AH48" s="106">
        <f t="array" ref="AH48">VARP(IF(INDEX(properties!A$1:CB$87,'Fórmula'!B48,10)&lt;&gt;"",INDEX(properties!A$1:CB$87,'Fórmula'!B48,10)),IF(INDEX(properties!A$1:CB$87,'Fórmula'!D48,10)&lt;&gt;"",INDEX(properties!A$1:CB$87,'Fórmula'!D48,10)),IF(INDEX(properties!A$1:CB$87,'Fórmula'!F48,10)&lt;&gt;"",INDEX(properties!A$1:CB$87,'Fórmula'!F48,10)),IF(INDEX(properties!A$1:CB$87,'Fórmula'!H48,10)&lt;&gt;"",INDEX(properties!A$1:CB$87,'Fórmula'!H48,10)),IF(INDEX(properties!A$1:CB$87,'Fórmula'!J48,10)&lt;&gt;"",INDEX(properties!A$1:CB$87,'Fórmula'!J48,10)))</f>
        <v>9.04</v>
      </c>
      <c r="AI48" s="106">
        <f t="array" ref="AI48">MAX(INDEX(properties!A$1:CB$87,'Fórmula'!B48,10),INDEX(properties!A$1:CB$87,'Fórmula'!D48,10),INDEX(properties!A$1:CB$87,'Fórmula'!F48,10),INDEX(properties!A$1:CB$87,'Fórmula'!H48,10),INDEX(properties!A$1:CB$87,'Fórmula'!J48,10))</f>
        <v>7</v>
      </c>
      <c r="AJ48" s="106">
        <f t="array" ref="AJ48">MIN(IF(INDEX(properties!A$1:CB$87,'Fórmula'!B48,10)=0,10^6,INDEX(properties!A$1:CB$87,'Fórmula'!B48,10)),IF(INDEX(properties!A$1:CB$87,'Fórmula'!D48,10)=0,10^6,INDEX(properties!A$1:CB$87,'Fórmula'!D48,10)),IF(INDEX(properties!A$1:CB$87,'Fórmula'!F48,10)=0,10^6,INDEX(properties!A$1:CB$87,'Fórmula'!F48,10)),IF(INDEX(properties!A$1:CB$87,'Fórmula'!H48,10)=0,10^6,INDEX(properties!A$1:CB$87,'Fórmula'!H48,10)),IF(INDEX(properties!A$1:CB$87,'Fórmula'!J48,10)=0,10^6,INDEX(properties!A$1:CB$87,'Fórmula'!J48,10)))</f>
        <v>1</v>
      </c>
      <c r="AK48" s="106">
        <f t="shared" si="6"/>
        <v>6</v>
      </c>
      <c r="AL48" s="107">
        <f t="array" ref="AL48">(('Fórmula'!C48)/('Fórmula'!C48+'Fórmula'!E48+'Fórmula'!G48+'Fórmula'!I48+'Fórmula'!K48))*(INDEX(properties!A$1:CB$87,'Fórmula'!B48,11))+(('Fórmula'!E48)/('Fórmula'!C48+'Fórmula'!E48+'Fórmula'!G48+'Fórmula'!I48+'Fórmula'!K48))*(INDEX(properties!A$1:CB$87,'Fórmula'!D48,11))+(('Fórmula'!G48)/('Fórmula'!C48+'Fórmula'!E48+'Fórmula'!G48+'Fórmula'!I48+'Fórmula'!K48))*(INDEX(properties!A$1:CB$87,'Fórmula'!F48,11))+(('Fórmula'!I48)/('Fórmula'!C48+'Fórmula'!E48+'Fórmula'!G48+'Fórmula'!I48+'Fórmula'!K48))*(INDEX(properties!A$1:CB$87,'Fórmula'!H48,11))+(('Fórmula'!K48)/('Fórmula'!C48+'Fórmula'!E48+'Fórmula'!G48+'Fórmula'!I48+'Fórmula'!K48))*(INDEX(properties!A$1:CB$87,'Fórmula'!J48,11))</f>
        <v>1.857142857</v>
      </c>
      <c r="AM48" s="107">
        <f t="array" ref="AM48">'Fórmula'!C48*(INDEX(properties!A$1:CB$87,'Fórmula'!B48,11))+'Fórmula'!E48*(INDEX(properties!A$1:CB$87,'Fórmula'!D48,11))+'Fórmula'!G48*(INDEX(properties!A$1:CB$87,'Fórmula'!F48,11))+'Fórmula'!I48*(INDEX(properties!A$1:CB$87,'Fórmula'!H48,11))+'Fórmula'!K48*(INDEX(properties!A$1:CB$87,'Fórmula'!J48,11))</f>
        <v>13</v>
      </c>
      <c r="AN48" s="107">
        <f t="array" ref="AN48">VARP(IF(INDEX(properties!A$1:CB$87,'Fórmula'!B48,11)&lt;&gt;"",INDEX(properties!A$1:CB$87,'Fórmula'!B48,11)),IF(INDEX(properties!A$1:CB$87,'Fórmula'!D48,11)&lt;&gt;"",INDEX(properties!A$1:CB$87,'Fórmula'!D48,11)),IF(INDEX(properties!A$1:CB$87,'Fórmula'!F48,11)&lt;&gt;"",INDEX(properties!A$1:CB$87,'Fórmula'!F48,11)),IF(INDEX(properties!A$1:CB$87,'Fórmula'!H48,11)&lt;&gt;"",INDEX(properties!A$1:CB$87,'Fórmula'!H48,11)),IF(INDEX(properties!A$1:CB$87,'Fórmula'!J48,11)&lt;&gt;"",INDEX(properties!A$1:CB$87,'Fórmula'!J48,11)))</f>
        <v>0.64</v>
      </c>
      <c r="AO48" s="107">
        <f t="array" ref="AO48">MAX(INDEX(properties!A$1:CB$87,'Fórmula'!B48,11),INDEX(properties!A$1:CB$87,'Fórmula'!D48,11),INDEX(properties!A$1:CB$87,'Fórmula'!F48,11),INDEX(properties!A$1:CB$87,'Fórmula'!H48,11),INDEX(properties!A$1:CB$87,'Fórmula'!J48,11))</f>
        <v>2</v>
      </c>
      <c r="AP48" s="107">
        <f t="array" ref="AP48">MIN(IF('Fórmula'!B48=87,10^6,INDEX(properties!A$1:CB$87,'Fórmula'!B48,11)),IF(('Fórmula'!D48)=87,10^6,INDEX(properties!A$1:CB$87,'Fórmula'!D48,11)),IF(('Fórmula'!F48)=87,10^6,INDEX(properties!A$1:CB$87,'Fórmula'!F48,11)),IF(('Fórmula'!H48)=87,10^6,INDEX(properties!A$1:CB$87,'Fórmula'!H48,11)),IF('Fórmula'!J48=87,10^6,INDEX(properties!A$1:CB$87,'Fórmula'!J48,11)))</f>
        <v>1</v>
      </c>
      <c r="AQ48" s="107">
        <f t="shared" si="7"/>
        <v>1</v>
      </c>
      <c r="AR48" s="108">
        <f t="array" ref="AR48">(('Fórmula'!C48)/('Fórmula'!C48+'Fórmula'!E48+'Fórmula'!G48+'Fórmula'!I48+'Fórmula'!K48))*(INDEX(properties!A$1:CB$87,'Fórmula'!B48,12))+(('Fórmula'!E48)/('Fórmula'!C48+'Fórmula'!E48+'Fórmula'!G48+'Fórmula'!I48+'Fórmula'!K48))*(INDEX(properties!A$1:CB$87,'Fórmula'!D48,12))+(('Fórmula'!G48)/('Fórmula'!C48+'Fórmula'!E48+'Fórmula'!G48+'Fórmula'!I48+'Fórmula'!K48))*(INDEX(properties!A$1:CB$87,'Fórmula'!F48,12))+(('Fórmula'!I48)/('Fórmula'!C48+'Fórmula'!E48+'Fórmula'!G48+'Fórmula'!I48+'Fórmula'!K48))*(INDEX(properties!A$1:CB$87,'Fórmula'!H48,12))+(('Fórmula'!K48)/('Fórmula'!C48+'Fórmula'!E48+'Fórmula'!G48+'Fórmula'!I48+'Fórmula'!K48))*(INDEX(properties!A$1:CB$87,'Fórmula'!J48,12))</f>
        <v>2.714285714</v>
      </c>
      <c r="AS48" s="108">
        <f t="array" ref="AS48">'Fórmula'!C48*(INDEX(properties!A$1:CB$87,'Fórmula'!B48,12))+'Fórmula'!E48*(INDEX(properties!A$1:CB$87,'Fórmula'!D48,12))+'Fórmula'!G48*(INDEX(properties!A$1:CB$87,'Fórmula'!F48,12))+'Fórmula'!I48*(INDEX(properties!A$1:CB$87,'Fórmula'!H48,12))+'Fórmula'!K48*(INDEX(properties!A$1:CB$87,'Fórmula'!J48,12))</f>
        <v>19</v>
      </c>
      <c r="AT48" s="108">
        <f t="array" ref="AT48">VARP(IF(INDEX(properties!A$1:CB$87,'Fórmula'!B48,12)&lt;&gt;"",INDEX(properties!A$1:CB$87,'Fórmula'!B48,12)),IF(INDEX(properties!A$1:CB$87,'Fórmula'!D48,12)&lt;&gt;"",INDEX(properties!A$1:CB$87,'Fórmula'!D48,12)),IF(INDEX(properties!A$1:CB$87,'Fórmula'!F48,12)&lt;&gt;"",INDEX(properties!A$1:CB$87,'Fórmula'!F48,12)),IF(INDEX(properties!A$1:CB$87,'Fórmula'!H48,12)&lt;&gt;"",INDEX(properties!A$1:CB$87,'Fórmula'!H48,12)),IF(INDEX(properties!A$1:CB$87,'Fórmula'!J48,12)&lt;&gt;"",INDEX(properties!A$1:CB$87,'Fórmula'!J48,12)))</f>
        <v>3.04</v>
      </c>
      <c r="AU48" s="108">
        <f t="array" ref="AU48">MAX(INDEX(properties!A$1:CB$87,'Fórmula'!B48,12),INDEX(properties!A$1:CB$87,'Fórmula'!D48,12),INDEX(properties!A$1:CB$87,'Fórmula'!F48,12),INDEX(properties!A$1:CB$87,'Fórmula'!H48,12),INDEX(properties!A$1:CB$87,'Fórmula'!J48,12))</f>
        <v>4</v>
      </c>
      <c r="AV48" s="108">
        <f t="array" ref="AV48">MIN(IF('Fórmula'!B48=87,10^6,INDEX(properties!A$1:CB$87,'Fórmula'!B48,12)),IF(('Fórmula'!D48)=87,10^6,INDEX(properties!A$1:CB$87,'Fórmula'!D48,12)),IF(('Fórmula'!F48)=87,10^6,INDEX(properties!A$1:CB$87,'Fórmula'!F48,12)),IF(('Fórmula'!H48)=87,10^6,INDEX(properties!A$1:CB$87,'Fórmula'!H48,12)),IF('Fórmula'!J48=87,10^6,INDEX(properties!A$1:CB$87,'Fórmula'!J48,12)))</f>
        <v>0</v>
      </c>
      <c r="AW48" s="108">
        <f t="shared" si="8"/>
        <v>4</v>
      </c>
      <c r="AX48" s="109">
        <f t="array" ref="AX48">(('Fórmula'!C48)/('Fórmula'!C48+'Fórmula'!E48+'Fórmula'!G48+'Fórmula'!I48+'Fórmula'!K48))*(INDEX(properties!A$1:CB$87,'Fórmula'!B48,13))+(('Fórmula'!E48)/('Fórmula'!C48+'Fórmula'!E48+'Fórmula'!G48+'Fórmula'!I48+'Fórmula'!K48))*(INDEX(properties!A$1:CB$87,'Fórmula'!D48,13))+(('Fórmula'!G48)/('Fórmula'!C48+'Fórmula'!E48+'Fórmula'!G48+'Fórmula'!I48+'Fórmula'!K48))*(INDEX(properties!A$1:CB$87,'Fórmula'!F48,13))+(('Fórmula'!I48)/('Fórmula'!C48+'Fórmula'!E48+'Fórmula'!G48+'Fórmula'!I48+'Fórmula'!K48))*(INDEX(properties!A$1:CB$87,'Fórmula'!H48,13))+(('Fórmula'!K48)/('Fórmula'!C48+'Fórmula'!E48+'Fórmula'!G48+'Fórmula'!I48+'Fórmula'!K48))*(INDEX(properties!A$1:CB$87,'Fórmula'!J48,13))</f>
        <v>0</v>
      </c>
      <c r="AY48" s="109">
        <f t="array" ref="AY48">'Fórmula'!C48*(INDEX(properties!A$1:CB$87,'Fórmula'!B48,13))+'Fórmula'!E48*(INDEX(properties!A$1:CB$87,'Fórmula'!D48,13))+'Fórmula'!G48*(INDEX(properties!A$1:CB$87,'Fórmula'!F48,13))+'Fórmula'!I48*(INDEX(properties!A$1:CB$87,'Fórmula'!H48,13))+'Fórmula'!K48*(INDEX(properties!A$1:CB$87,'Fórmula'!J48,13))</f>
        <v>0</v>
      </c>
      <c r="AZ48" s="109">
        <f t="array" ref="AZ48">VARP(IF(INDEX(properties!A$1:CB$87,'Fórmula'!B48,13)&lt;&gt;"",INDEX(properties!A$1:CB$87,'Fórmula'!B48,13)),IF(INDEX(properties!A$1:CB$87,'Fórmula'!D48,13)&lt;&gt;"",INDEX(properties!A$1:CB$87,'Fórmula'!D48,13)),IF(INDEX(properties!A$1:CB$87,'Fórmula'!F48,13)&lt;&gt;"",INDEX(properties!A$1:CB$87,'Fórmula'!F48,13)),IF(INDEX(properties!A$1:CB$87,'Fórmula'!H48,13)&lt;&gt;"",INDEX(properties!A$1:CB$87,'Fórmula'!H48,13)),IF(INDEX(properties!A$1:CB$87,'Fórmula'!J48,13)&lt;&gt;"",INDEX(properties!A$1:CB$87,'Fórmula'!J48,13)))</f>
        <v>0</v>
      </c>
      <c r="BA48" s="109">
        <f t="array" ref="BA48">MAX(INDEX(properties!A$1:CB$87,'Fórmula'!B48,13),INDEX(properties!A$1:CB$87,'Fórmula'!D48,13),INDEX(properties!A$1:CB$87,'Fórmula'!F48,13),INDEX(properties!A$1:CB$87,'Fórmula'!H48,13),INDEX(properties!A$1:CB$87,'Fórmula'!J48,13))</f>
        <v>0</v>
      </c>
      <c r="BB48" s="109">
        <f t="array" ref="BB48">MIN(IF('Fórmula'!B48=87,10^6,INDEX(properties!A$1:CB$87,'Fórmula'!B48,13)),IF(('Fórmula'!D48)=87,10^6,INDEX(properties!A$1:CB$87,'Fórmula'!D48,13)),IF(('Fórmula'!F48)=87,10^6,INDEX(properties!A$1:CB$87,'Fórmula'!F48,13)),IF(('Fórmula'!H48)=87,10^6,INDEX(properties!A$1:CB$87,'Fórmula'!H48,13)),IF('Fórmula'!J48=87,10^6,INDEX(properties!A$1:CB$87,'Fórmula'!J48,13)))</f>
        <v>0</v>
      </c>
      <c r="BC48" s="109">
        <f t="shared" si="9"/>
        <v>0</v>
      </c>
      <c r="BD48" s="110">
        <f t="array" ref="BD48">(('Fórmula'!C48)/('Fórmula'!C48+'Fórmula'!E48+'Fórmula'!G48+'Fórmula'!I48+'Fórmula'!K48))*(INDEX(properties!A$1:CB$87,'Fórmula'!B48,14))+(('Fórmula'!E48)/('Fórmula'!C48+'Fórmula'!E48+'Fórmula'!G48+'Fórmula'!I48+'Fórmula'!K48))*(INDEX(properties!A$1:CB$87,'Fórmula'!D48,14))+(('Fórmula'!G48)/('Fórmula'!C48+'Fórmula'!E48+'Fórmula'!G48+'Fórmula'!I48+'Fórmula'!K48))*(INDEX(properties!A$1:CB$87,'Fórmula'!F48,14))+(('Fórmula'!I48)/('Fórmula'!C48+'Fórmula'!E48+'Fórmula'!G48+'Fórmula'!I48+'Fórmula'!K48))*(INDEX(properties!A$1:CB$87,'Fórmula'!H48,14))+(('Fórmula'!K48)/('Fórmula'!C48+'Fórmula'!E48+'Fórmula'!G48+'Fórmula'!I48+'Fórmula'!K48))*(INDEX(properties!A$1:CB$87,'Fórmula'!J48,14))</f>
        <v>0</v>
      </c>
      <c r="BE48" s="110">
        <f t="array" ref="BE48">'Fórmula'!C48*(INDEX(properties!A$1:CB$87,'Fórmula'!B48,14))+'Fórmula'!E48*(INDEX(properties!A$1:CB$87,'Fórmula'!D48,14))+'Fórmula'!G48*(INDEX(properties!A$1:CB$87,'Fórmula'!F48,14))+'Fórmula'!I48*(INDEX(properties!A$1:CB$87,'Fórmula'!H48,14))+'Fórmula'!K48*(INDEX(properties!A$1:CB$87,'Fórmula'!J48,14))</f>
        <v>0</v>
      </c>
      <c r="BF48" s="110">
        <f t="array" ref="BF48">VARP(IF(INDEX(properties!A$1:CB$87,'Fórmula'!B48,14)&lt;&gt;"",INDEX(properties!A$1:CB$87,'Fórmula'!B48,14)),IF(INDEX(properties!A$1:CB$87,'Fórmula'!D48,14)&lt;&gt;"",INDEX(properties!A$1:CB$87,'Fórmula'!D48,14)),IF(INDEX(properties!A$1:CB$87,'Fórmula'!F48,14)&lt;&gt;"",INDEX(properties!A$1:CB$87,'Fórmula'!F48,14)),IF(INDEX(properties!A$1:CB$87,'Fórmula'!H48,14)&lt;&gt;"",INDEX(properties!A$1:CB$87,'Fórmula'!H48,14)),IF(INDEX(properties!A$1:CB$87,'Fórmula'!J48,14)&lt;&gt;"",INDEX(properties!A$1:CB$87,'Fórmula'!J48,14)))</f>
        <v>0</v>
      </c>
      <c r="BG48" s="110">
        <f t="array" ref="BG48">MAX(INDEX(properties!A$1:CB$87,'Fórmula'!B48,14),INDEX(properties!A$1:CB$87,'Fórmula'!D48,14),INDEX(properties!A$1:CB$87,'Fórmula'!F48,14),INDEX(properties!A$1:CB$87,'Fórmula'!H48,14),INDEX(properties!A$1:CB$87,'Fórmula'!J48,14))</f>
        <v>0</v>
      </c>
      <c r="BH48" s="110">
        <f t="array" ref="BH48">MIN(IF('Fórmula'!B48=87,10^6,INDEX(properties!A$1:CB$87,'Fórmula'!B48,14)),IF(('Fórmula'!D48)=87,10^6,INDEX(properties!A$1:CB$87,'Fórmula'!D48,14)),IF(('Fórmula'!F48)=87,10^6,INDEX(properties!A$1:CB$87,'Fórmula'!F48,14)),IF(('Fórmula'!H48)=87,10^6,INDEX(properties!A$1:CB$87,'Fórmula'!H48,14)),IF('Fórmula'!J48=87,10^6,INDEX(properties!A$1:CB$87,'Fórmula'!J48,14)))</f>
        <v>0</v>
      </c>
      <c r="BI48" s="110">
        <f t="shared" si="10"/>
        <v>0</v>
      </c>
      <c r="BJ48" s="111">
        <f t="array" ref="BJ48">(('Fórmula'!C48)/('Fórmula'!C48+'Fórmula'!E48+'Fórmula'!G48+'Fórmula'!I48+'Fórmula'!K48))*(INDEX(properties!A$1:CB$87,'Fórmula'!B48,19))+(('Fórmula'!E48)/('Fórmula'!C48+'Fórmula'!E48+'Fórmula'!G48+'Fórmula'!I48+'Fórmula'!K48))*(INDEX(properties!A$1:CB$87,'Fórmula'!D48,19))+(('Fórmula'!G48)/('Fórmula'!C48+'Fórmula'!E48+'Fórmula'!G48+'Fórmula'!I48+'Fórmula'!K48))*(INDEX(properties!A$1:CB$87,'Fórmula'!F48,19))+(('Fórmula'!I48)/('Fórmula'!C48+'Fórmula'!E48+'Fórmula'!G48+'Fórmula'!I48+'Fórmula'!K48))*(INDEX(properties!A$1:CB$87,'Fórmula'!H48,19))+(('Fórmula'!K48)/('Fórmula'!C48+'Fórmula'!E48+'Fórmula'!G48+'Fórmula'!I48+'Fórmula'!K48))*(INDEX(properties!A$1:CB$87,'Fórmula'!J48,19))</f>
        <v>4.571428571</v>
      </c>
      <c r="BK48" s="111">
        <f t="array" ref="BK48">'Fórmula'!C48*(INDEX(properties!A$1:CB$87,'Fórmula'!B48,19))+'Fórmula'!E48*(INDEX(properties!A$1:CB$87,'Fórmula'!D48,19))+'Fórmula'!G48*(INDEX(properties!A$1:CB$87,'Fórmula'!F48,19))+'Fórmula'!I48*(INDEX(properties!A$1:CB$87,'Fórmula'!H48,19))+'Fórmula'!K48*(INDEX(properties!A$1:CB$87,'Fórmula'!J48,19))</f>
        <v>32</v>
      </c>
      <c r="BL48" s="111">
        <f t="array" ref="BL48">VARP(IF(INDEX(properties!A$1:CB$87,'Fórmula'!B48,19)&lt;&gt;"",INDEX(properties!A$1:CB$87,'Fórmula'!B48,19)),IF(INDEX(properties!A$1:CB$87,'Fórmula'!D48,19)&lt;&gt;"",INDEX(properties!A$1:CB$87,'Fórmula'!D48,19)),IF(INDEX(properties!A$1:CB$87,'Fórmula'!F48,19)&lt;&gt;"",INDEX(properties!A$1:CB$87,'Fórmula'!F48,19)),IF(INDEX(properties!A$1:CB$87,'Fórmula'!H48,19)&lt;&gt;"",INDEX(properties!A$1:CB$87,'Fórmula'!H48,19)),IF(INDEX(properties!A$1:CB$87,'Fórmula'!J48,19)&lt;&gt;"",INDEX(properties!A$1:CB$87,'Fórmula'!J48,19)))</f>
        <v>5.36</v>
      </c>
      <c r="BM48" s="111">
        <f t="array" ref="BM48">MAX(INDEX(properties!A$1:CB$87,'Fórmula'!B48,19),INDEX(properties!A$1:CB$87,'Fórmula'!D48,19),INDEX(properties!A$1:CB$87,'Fórmula'!F48,19),INDEX(properties!A$1:CB$87,'Fórmula'!H48,19),INDEX(properties!A$1:CB$87,'Fórmula'!J48,19))</f>
        <v>6</v>
      </c>
      <c r="BN48" s="111">
        <f t="array" ref="BN48">MIN(IF(INDEX(properties!A$1:CB$87,'Fórmula'!B48,19)=0,10^6,INDEX(properties!A$1:CB$87,'Fórmula'!B48,19)),IF(INDEX(properties!A$1:CB$87,'Fórmula'!D48,19)=0,10^6,INDEX(properties!A$1:CB$87,'Fórmula'!D48,19)),IF(INDEX(properties!A$1:CB$87,'Fórmula'!F48,19)=0,10^6,INDEX(properties!A$1:CB$87,'Fórmula'!F48,19)),IF(INDEX(properties!A$1:CB$87,'Fórmula'!H48,19)=0,10^6,INDEX(properties!A$1:CB$87,'Fórmula'!H48,19)),IF(INDEX(properties!A$1:CB$87,'Fórmula'!J48,19)=0,10^6,INDEX(properties!A$1:CB$87,'Fórmula'!J48,19)))</f>
        <v>1</v>
      </c>
      <c r="BO48" s="111">
        <f t="shared" si="11"/>
        <v>5</v>
      </c>
      <c r="BP48" s="112">
        <f t="array" ref="BP48">(('Fórmula'!C48)/('Fórmula'!C48+'Fórmula'!E48+'Fórmula'!G48+'Fórmula'!I48+'Fórmula'!K48))*(INDEX(properties!A$1:CB$87,'Fórmula'!B48,20))+(('Fórmula'!E48)/('Fórmula'!C48+'Fórmula'!E48+'Fórmula'!G48+'Fórmula'!I48+'Fórmula'!K48))*(INDEX(properties!A$1:CB$87,'Fórmula'!D48,20))+(('Fórmula'!G48)/('Fórmula'!C48+'Fórmula'!E48+'Fórmula'!G48+'Fórmula'!I48+'Fórmula'!K48))*(INDEX(properties!A$1:CB$87,'Fórmula'!F48,20))+(('Fórmula'!I48)/('Fórmula'!C48+'Fórmula'!E48+'Fórmula'!G48+'Fórmula'!I48+'Fórmula'!K48))*(INDEX(properties!A$1:CB$87,'Fórmula'!H48,20))+(('Fórmula'!K48)/('Fórmula'!C48+'Fórmula'!E48+'Fórmula'!G48+'Fórmula'!I48+'Fórmula'!K48))*(INDEX(properties!A$1:CB$87,'Fórmula'!J48,20))</f>
        <v>4.571428571</v>
      </c>
      <c r="BQ48" s="112">
        <f t="array" ref="BQ48">'Fórmula'!C48*(INDEX(properties!A$1:CB$87,'Fórmula'!B48,20))+'Fórmula'!E48*(INDEX(properties!A$1:CB$87,'Fórmula'!D48,20))+'Fórmula'!G48*(INDEX(properties!A$1:CB$87,'Fórmula'!F48,20))+'Fórmula'!I48*(INDEX(properties!A$1:CB$87,'Fórmula'!H48,20))+'Fórmula'!K48*(INDEX(properties!A$1:CB$87,'Fórmula'!J48,20))</f>
        <v>32</v>
      </c>
      <c r="BR48" s="112">
        <f t="array" ref="BR48">VARP(IF(INDEX(properties!A$1:CB$87,'Fórmula'!B48,20)&lt;&gt;"",INDEX(properties!A$1:CB$87,'Fórmula'!B48,20)),IF(INDEX(properties!A$1:CB$87,'Fórmula'!D48,20)&lt;&gt;"",INDEX(properties!A$1:CB$87,'Fórmula'!D48,20)),IF(INDEX(properties!A$1:CB$87,'Fórmula'!F48,20)&lt;&gt;"",INDEX(properties!A$1:CB$87,'Fórmula'!F48,20)),IF(INDEX(properties!A$1:CB$87,'Fórmula'!H48,20)&lt;&gt;"",INDEX(properties!A$1:CB$87,'Fórmula'!H48,20)),IF(INDEX(properties!A$1:CB$87,'Fórmula'!J48,20)&lt;&gt;"",INDEX(properties!A$1:CB$87,'Fórmula'!J48,20)))</f>
        <v>5.36</v>
      </c>
      <c r="BS48" s="112">
        <f t="array" ref="BS48">MAX(INDEX(properties!A$1:CB$87,'Fórmula'!B48,20),INDEX(properties!A$1:CB$87,'Fórmula'!D48,20),INDEX(properties!A$1:CB$87,'Fórmula'!F48,20),INDEX(properties!A$1:CB$87,'Fórmula'!H48,20),INDEX(properties!A$1:CB$87,'Fórmula'!J48,20))</f>
        <v>6</v>
      </c>
      <c r="BT48" s="112">
        <f t="array" ref="BT48">MIN(IF(INDEX(properties!A$1:CB$87,'Fórmula'!B48,20)=0,10^6,INDEX(properties!A$1:CB$87,'Fórmula'!B48,20)),IF(INDEX(properties!A$1:CB$87,'Fórmula'!D48,20)=0,10^6,INDEX(properties!A$1:CB$87,'Fórmula'!D48,20)),IF(INDEX(properties!A$1:CB$87,'Fórmula'!F48,20)=0,10^6,INDEX(properties!A$1:CB$87,'Fórmula'!F48,20)),IF(INDEX(properties!A$1:CB$87,'Fórmula'!H48,20)=0,10^6,INDEX(properties!A$1:CB$87,'Fórmula'!H48,20)),IF(INDEX(properties!A$1:CB$87,'Fórmula'!J48,20)=0,10^6,INDEX(properties!A$1:CB$87,'Fórmula'!J48,20)))</f>
        <v>1</v>
      </c>
      <c r="BU48" s="112">
        <f t="shared" si="12"/>
        <v>5</v>
      </c>
      <c r="BV48" s="113">
        <f t="array" ref="BV48">(('Fórmula'!C48)/('Fórmula'!C48+'Fórmula'!E48+'Fórmula'!G48+'Fórmula'!I48+'Fórmula'!K48))*(INDEX(properties!A$1:CB$87,'Fórmula'!B48,21))+(('Fórmula'!E48)/('Fórmula'!C48+'Fórmula'!E48+'Fórmula'!G48+'Fórmula'!I48+'Fórmula'!K48))*(INDEX(properties!A$1:CB$87,'Fórmula'!D48,21))+(('Fórmula'!G48)/('Fórmula'!C48+'Fórmula'!E48+'Fórmula'!G48+'Fórmula'!I48+'Fórmula'!K48))*(INDEX(properties!A$1:CB$87,'Fórmula'!F48,21))+(('Fórmula'!I48)/('Fórmula'!C48+'Fórmula'!E48+'Fórmula'!G48+'Fórmula'!I48+'Fórmula'!K48))*(INDEX(properties!A$1:CB$87,'Fórmula'!H48,21))+(('Fórmula'!K48)/('Fórmula'!C48+'Fórmula'!E48+'Fórmula'!G48+'Fórmula'!I48+'Fórmula'!K48))*(INDEX(properties!A$1:CB$87,'Fórmula'!J48,21))</f>
        <v>4.571428571</v>
      </c>
      <c r="BW48" s="113">
        <f t="array" ref="BW48">'Fórmula'!C48*(INDEX(properties!A$1:CB$87,'Fórmula'!B48,21))+'Fórmula'!E48*(INDEX(properties!A$1:CB$87,'Fórmula'!D48,21))+'Fórmula'!G48*(INDEX(properties!A$1:CB$87,'Fórmula'!F48,21))+'Fórmula'!I48*(INDEX(properties!A$1:CB$87,'Fórmula'!H48,21))+'Fórmula'!K48*(INDEX(properties!A$1:CB$87,'Fórmula'!J48,21))</f>
        <v>32</v>
      </c>
      <c r="BX48" s="113">
        <f t="array" ref="BX48">VARP(IF(INDEX(properties!A$1:CB$87,'Fórmula'!B48,21)&lt;&gt;"",INDEX(properties!A$1:CB$87,'Fórmula'!B48,21)),IF(INDEX(properties!A$1:CB$87,'Fórmula'!D48,21)&lt;&gt;"",INDEX(properties!A$1:CB$87,'Fórmula'!D48,21)),IF(INDEX(properties!A$1:CB$87,'Fórmula'!F48,21)&lt;&gt;"",INDEX(properties!A$1:CB$87,'Fórmula'!F48,21)),IF(INDEX(properties!A$1:CB$87,'Fórmula'!H48,21)&lt;&gt;"",INDEX(properties!A$1:CB$87,'Fórmula'!H48,21)),IF(INDEX(properties!A$1:CB$87,'Fórmula'!J48,21)&lt;&gt;"",INDEX(properties!A$1:CB$87,'Fórmula'!J48,21)))</f>
        <v>5.36</v>
      </c>
      <c r="BY48" s="113">
        <f t="array" ref="BY48">MAX(INDEX(properties!A$1:CB$87,'Fórmula'!B48,21),INDEX(properties!A$1:CB$87,'Fórmula'!D48,21),INDEX(properties!A$1:CB$87,'Fórmula'!F48,21),INDEX(properties!A$1:CB$87,'Fórmula'!H48,21),INDEX(properties!A$1:CB$87,'Fórmula'!J48,21))</f>
        <v>6</v>
      </c>
      <c r="BZ48" s="113">
        <f t="array" ref="BZ48">MIN(IF(INDEX(properties!A$1:CB$87,'Fórmula'!B48,21)=0,10^6,INDEX(properties!A$1:CB$87,'Fórmula'!B48,21)),IF(INDEX(properties!A$1:CB$87,'Fórmula'!D48,21)=0,10^6,INDEX(properties!A$1:CB$87,'Fórmula'!D48,21)),IF(INDEX(properties!A$1:CB$87,'Fórmula'!F48,21)=0,10^6,INDEX(properties!A$1:CB$87,'Fórmula'!F48,21)),IF(INDEX(properties!A$1:CB$87,'Fórmula'!H48,21)=0,10^6,INDEX(properties!A$1:CB$87,'Fórmula'!H48,21)),IF(INDEX(properties!A$1:CB$87,'Fórmula'!J48,21)=0,10^6,INDEX(properties!A$1:CB$87,'Fórmula'!J48,21)))</f>
        <v>1</v>
      </c>
      <c r="CA48" s="113">
        <f t="shared" si="13"/>
        <v>5</v>
      </c>
      <c r="CB48" s="114">
        <f t="array" ref="CB48">(('Fórmula'!C48)/('Fórmula'!C48+'Fórmula'!E48+'Fórmula'!G48+'Fórmula'!I48+'Fórmula'!K48))*(INDEX(properties!A$1:CB$87,'Fórmula'!B48,23))+(('Fórmula'!E48)/('Fórmula'!C48+'Fórmula'!E48+'Fórmula'!G48+'Fórmula'!I48+'Fórmula'!K48))*(INDEX(properties!A$1:CB$87,'Fórmula'!D48,23))+(('Fórmula'!G48)/('Fórmula'!C48+'Fórmula'!E48+'Fórmula'!G48+'Fórmula'!I48+'Fórmula'!K48))*(INDEX(properties!A$1:CB$87,'Fórmula'!F48,23))+(('Fórmula'!I48)/('Fórmula'!C48+'Fórmula'!E48+'Fórmula'!G48+'Fórmula'!I48+'Fórmula'!K48))*(INDEX(properties!A$1:CB$87,'Fórmula'!H48,23))+(('Fórmula'!K48)/('Fórmula'!C48+'Fórmula'!E48+'Fórmula'!G48+'Fórmula'!I48+'Fórmula'!K48))*(INDEX(properties!A$1:CB$87,'Fórmula'!J48,23))</f>
        <v>0.8571428571</v>
      </c>
      <c r="CC48" s="114">
        <f t="array" ref="CC48">'Fórmula'!C48*(INDEX(properties!A$1:CB$87,'Fórmula'!B48,23))+'Fórmula'!E48*(INDEX(properties!A$1:CB$87,'Fórmula'!D48,23))+'Fórmula'!G48*(INDEX(properties!A$1:CB$87,'Fórmula'!F48,23))+'Fórmula'!I48*(INDEX(properties!A$1:CB$87,'Fórmula'!H48,23))+'Fórmula'!K48*(INDEX(properties!A$1:CB$87,'Fórmula'!J48,23))</f>
        <v>6</v>
      </c>
      <c r="CD48" s="114">
        <f t="array" ref="CD48">VARP(IF(INDEX(properties!A$1:CB$87,'Fórmula'!B48,23)&lt;&gt;"",INDEX(properties!A$1:CB$87,'Fórmula'!B48,23)),IF(INDEX(properties!A$1:CB$87,'Fórmula'!D48,23)&lt;&gt;"",INDEX(properties!A$1:CB$87,'Fórmula'!D48,23)),IF(INDEX(properties!A$1:CB$87,'Fórmula'!F48,23)&lt;&gt;"",INDEX(properties!A$1:CB$87,'Fórmula'!F48,23)),IF(INDEX(properties!A$1:CB$87,'Fórmula'!H48,23)&lt;&gt;"",INDEX(properties!A$1:CB$87,'Fórmula'!H48,23)),IF(INDEX(properties!A$1:CB$87,'Fórmula'!J48,23)&lt;&gt;"",INDEX(properties!A$1:CB$87,'Fórmula'!J48,23)))</f>
        <v>1.36</v>
      </c>
      <c r="CE48" s="114">
        <f t="array" ref="CE48">MAX(INDEX(properties!A$1:CB$87,'Fórmula'!B48,23),INDEX(properties!A$1:CB$87,'Fórmula'!D48,23),INDEX(properties!A$1:CB$87,'Fórmula'!F48,23),INDEX(properties!A$1:CB$87,'Fórmula'!H48,23),INDEX(properties!A$1:CB$87,'Fórmula'!J48,23))</f>
        <v>3</v>
      </c>
      <c r="CF48" s="114">
        <f t="array" ref="CF48">MIN(IF('Fórmula'!B48=87,10^6,INDEX(properties!A$1:CB$87,'Fórmula'!B48,23)),IF(('Fórmula'!D48)=87,10^6,INDEX(properties!A$1:CB$87,'Fórmula'!D48,23)),IF(('Fórmula'!F48)=87,10^6,INDEX(properties!A$1:CB$87,'Fórmula'!F48,23)),IF(('Fórmula'!H48)=87,10^6,INDEX(properties!A$1:CB$87,'Fórmula'!H48,23)),IF('Fórmula'!J48=87,10^6,INDEX(properties!A$1:CB$87,'Fórmula'!J48,23)))</f>
        <v>0</v>
      </c>
      <c r="CG48" s="114">
        <f t="shared" si="14"/>
        <v>3</v>
      </c>
      <c r="CH48" s="115">
        <f t="array" ref="CH48">(('Fórmula'!C48)/('Fórmula'!C48+'Fórmula'!E48+'Fórmula'!G48+'Fórmula'!I48+'Fórmula'!K48))*(INDEX(properties!A$1:CB$87,'Fórmula'!B48,26))+(('Fórmula'!E48)/('Fórmula'!C48+'Fórmula'!E48+'Fórmula'!G48+'Fórmula'!I48+'Fórmula'!K48))*(INDEX(properties!A$1:CB$87,'Fórmula'!D48,26))+(('Fórmula'!G48)/('Fórmula'!C48+'Fórmula'!E48+'Fórmula'!G48+'Fórmula'!I48+'Fórmula'!K48))*(INDEX(properties!A$1:CB$87,'Fórmula'!F48,26))+(('Fórmula'!I48)/('Fórmula'!C48+'Fórmula'!E48+'Fórmula'!G48+'Fórmula'!I48+'Fórmula'!K48))*(INDEX(properties!A$1:CB$87,'Fórmula'!H48,26))+(('Fórmula'!K48)/('Fórmula'!C48+'Fórmula'!E48+'Fórmula'!G48+'Fórmula'!I48+'Fórmula'!K48))*(INDEX(properties!A$1:CB$87,'Fórmula'!J48,26))</f>
        <v>11.14242857</v>
      </c>
      <c r="CI48" s="115">
        <f t="array" ref="CI48">'Fórmula'!C48*(INDEX(properties!A$1:CB$87,'Fórmula'!B48,26))+'Fórmula'!E48*(INDEX(properties!A$1:CB$87,'Fórmula'!D48,26))+'Fórmula'!G48*(INDEX(properties!A$1:CB$87,'Fórmula'!F48,26))+'Fórmula'!I48*(INDEX(properties!A$1:CB$87,'Fórmula'!H48,26))+'Fórmula'!K48*(INDEX(properties!A$1:CB$87,'Fórmula'!J48,26))</f>
        <v>77.997</v>
      </c>
      <c r="CJ48" s="115">
        <f t="array" ref="CJ48">VARP(IF(INDEX(properties!A$1:CB$87,'Fórmula'!B48,26)&lt;&gt;"",INDEX(properties!A$1:CB$87,'Fórmula'!B48,26)),IF(INDEX(properties!A$1:CB$87,'Fórmula'!D48,26)&lt;&gt;"",INDEX(properties!A$1:CB$87,'Fórmula'!D48,26)),IF(INDEX(properties!A$1:CB$87,'Fórmula'!F48,26)&lt;&gt;"",INDEX(properties!A$1:CB$87,'Fórmula'!F48,26)),IF(INDEX(properties!A$1:CB$87,'Fórmula'!H48,26)&lt;&gt;"",INDEX(properties!A$1:CB$87,'Fórmula'!H48,26)),IF(INDEX(properties!A$1:CB$87,'Fórmula'!J48,26)&lt;&gt;"",INDEX(properties!A$1:CB$87,'Fórmula'!J48,26)))</f>
        <v>21.40845903</v>
      </c>
      <c r="CK48" s="116">
        <f t="array" ref="CK48">MAX(INDEX(properties!A$1:CB$87,'Fórmula'!B48,26),INDEX(properties!A$1:CB$87,'Fórmula'!D48,26),INDEX(properties!A$1:CB$87,'Fórmula'!F48,26),INDEX(properties!A$1:CB$87,'Fórmula'!H48,26),INDEX(properties!A$1:CB$87,'Fórmula'!J48,26))</f>
        <v>13.6181</v>
      </c>
      <c r="CL48" s="116">
        <f t="array" ref="CL48">MIN(IF(INDEX(properties!A$1:CB$87,'Fórmula'!B48,26)=0,10^6,INDEX(properties!A$1:CB$87,'Fórmula'!B48,26)),IF(INDEX(properties!A$1:CB$87,'Fórmula'!D48,26)=0,10^6,INDEX(properties!A$1:CB$87,'Fórmula'!D48,26)),IF(INDEX(properties!A$1:CB$87,'Fórmula'!F48,26)=0,10^6,INDEX(properties!A$1:CB$87,'Fórmula'!F48,26)),IF(INDEX(properties!A$1:CB$87,'Fórmula'!H48,26)=0,10^6,INDEX(properties!A$1:CB$87,'Fórmula'!H48,26)),IF(INDEX(properties!A$1:CB$87,'Fórmula'!J48,26)=0,10^6,INDEX(properties!A$1:CB$87,'Fórmula'!J48,26)))</f>
        <v>5.3917</v>
      </c>
      <c r="CM48" s="115">
        <f t="shared" si="15"/>
        <v>8.2264</v>
      </c>
      <c r="CN48" s="117">
        <f t="array" ref="CN48">(('Fórmula'!C48)/('Fórmula'!C48+'Fórmula'!E48+'Fórmula'!G48+'Fórmula'!I48+'Fórmula'!K48))*(INDEX(properties!A$1:CB$87,'Fórmula'!B48,30))+(('Fórmula'!E48)/('Fórmula'!C48+'Fórmula'!E48+'Fórmula'!G48+'Fórmula'!I48+'Fórmula'!K48))*(INDEX(properties!A$1:CB$87,'Fórmula'!D48,30))+(('Fórmula'!G48)/('Fórmula'!C48+'Fórmula'!E48+'Fórmula'!G48+'Fórmula'!I48+'Fórmula'!K48))*(INDEX(properties!A$1:CB$87,'Fórmula'!F48,30))+(('Fórmula'!I48)/('Fórmula'!C48+'Fórmula'!E48+'Fórmula'!G48+'Fórmula'!I48+'Fórmula'!K48))*(INDEX(properties!A$1:CB$87,'Fórmula'!H48,30))+(('Fórmula'!K48)/('Fórmula'!C48+'Fórmula'!E48+'Fórmula'!G48+'Fórmula'!I48+'Fórmula'!K48))*(INDEX(properties!A$1:CB$87,'Fórmula'!J48,30))</f>
        <v>2.605714286</v>
      </c>
      <c r="CO48" s="117">
        <f t="array" ref="CO48">'Fórmula'!C48*(INDEX(properties!A$1:CB$87,'Fórmula'!B48,30))+'Fórmula'!E48*(INDEX(properties!A$1:CB$87,'Fórmula'!D48,30))+'Fórmula'!G48*(INDEX(properties!A$1:CB$87,'Fórmula'!F48,30))+'Fórmula'!I48*(INDEX(properties!A$1:CB$87,'Fórmula'!H48,30))+'Fórmula'!K48*(INDEX(properties!A$1:CB$87,'Fórmula'!J48,30))</f>
        <v>18.24</v>
      </c>
      <c r="CP48" s="117">
        <f t="array" ref="CP48">VARP(IF(INDEX(properties!A$1:CB$87,'Fórmula'!B48,30)&lt;&gt;"",INDEX(properties!A$1:CB$87,'Fórmula'!B48,30)),IF(INDEX(properties!A$1:CB$87,'Fórmula'!D48,30)&lt;&gt;"",INDEX(properties!A$1:CB$87,'Fórmula'!D48,30)),IF(INDEX(properties!A$1:CB$87,'Fórmula'!F48,30)&lt;&gt;"",INDEX(properties!A$1:CB$87,'Fórmula'!F48,30)),IF(INDEX(properties!A$1:CB$87,'Fórmula'!H48,30)&lt;&gt;"",INDEX(properties!A$1:CB$87,'Fórmula'!H48,30)),IF(INDEX(properties!A$1:CB$87,'Fórmula'!J48,30)&lt;&gt;"",INDEX(properties!A$1:CB$87,'Fórmula'!J48,30)))</f>
        <v>1.352184</v>
      </c>
      <c r="CQ48" s="117">
        <f t="array" ref="CQ48">MAX(INDEX(properties!A$1:CB$87,'Fórmula'!B48,30),INDEX(properties!A$1:CB$87,'Fórmula'!D48,30),INDEX(properties!A$1:CB$87,'Fórmula'!F48,30),INDEX(properties!A$1:CB$87,'Fórmula'!H48,30),INDEX(properties!A$1:CB$87,'Fórmula'!J48,30))</f>
        <v>3.44</v>
      </c>
      <c r="CR48" s="117">
        <f t="array" ref="CR48">MIN(IF(INDEX(properties!A$1:CB$87,'Fórmula'!B48,30)=0,10^6,INDEX(properties!A$1:CB$87,'Fórmula'!B48,30)),IF(INDEX(properties!A$1:CB$87,'Fórmula'!D48,30)=0,10^6,INDEX(properties!A$1:CB$87,'Fórmula'!D48,30)),IF(INDEX(properties!A$1:CB$87,'Fórmula'!F48,30)=0,10^6,INDEX(properties!A$1:CB$87,'Fórmula'!F48,30)),IF(INDEX(properties!A$1:CB$87,'Fórmula'!H48,30)=0,10^6,INDEX(properties!A$1:CB$87,'Fórmula'!H48,30)),IF(INDEX(properties!A$1:CB$87,'Fórmula'!J48,30)=0,10^6,INDEX(properties!A$1:CB$87,'Fórmula'!J48,30)))</f>
        <v>0.98</v>
      </c>
      <c r="CS48" s="117">
        <f t="shared" si="16"/>
        <v>2.46</v>
      </c>
      <c r="CT48" s="118">
        <f t="array" ref="CT48">(('Fórmula'!C48)/('Fórmula'!C48+'Fórmula'!E48+'Fórmula'!G48+'Fórmula'!I48+'Fórmula'!K48))*(INDEX(properties!A$1:CB$87,'Fórmula'!B48,31))+(('Fórmula'!E48)/('Fórmula'!C48+'Fórmula'!E48+'Fórmula'!G48+'Fórmula'!I48+'Fórmula'!K48))*(INDEX(properties!A$1:CB$87,'Fórmula'!D48,31))+(('Fórmula'!G48)/('Fórmula'!C48+'Fórmula'!E48+'Fórmula'!G48+'Fórmula'!I48+'Fórmula'!K48))*(INDEX(properties!A$1:CB$87,'Fórmula'!F48,31))+(('Fórmula'!I48)/('Fórmula'!C48+'Fórmula'!E48+'Fórmula'!G48+'Fórmula'!I48+'Fórmula'!K48))*(INDEX(properties!A$1:CB$87,'Fórmula'!H48,31))+(('Fórmula'!K48)/('Fórmula'!C48+'Fórmula'!E48+'Fórmula'!G48+'Fórmula'!I48+'Fórmula'!K48))*(INDEX(properties!A$1:CB$87,'Fórmula'!J48,31))</f>
        <v>2.544285714</v>
      </c>
      <c r="CU48" s="118">
        <f t="array" ref="CU48">'Fórmula'!C48*(INDEX(properties!A$1:CB$87,'Fórmula'!B48,31))+'Fórmula'!E48*(INDEX(properties!A$1:CB$87,'Fórmula'!D48,31))+'Fórmula'!G48*(INDEX(properties!A$1:CB$87,'Fórmula'!F48,31))+'Fórmula'!I48*(INDEX(properties!A$1:CB$87,'Fórmula'!H48,31))+'Fórmula'!K48*(INDEX(properties!A$1:CB$87,'Fórmula'!J48,31))</f>
        <v>17.81</v>
      </c>
      <c r="CV48" s="118">
        <f t="array" ref="CV48">VARP(IF(INDEX(properties!A$1:CB$87,'Fórmula'!B48,31)&lt;&gt;"",INDEX(properties!A$1:CB$87,'Fórmula'!B48,31)),IF(INDEX(properties!A$1:CB$87,'Fórmula'!D48,31)&lt;&gt;"",INDEX(properties!A$1:CB$87,'Fórmula'!D48,31)),IF(INDEX(properties!A$1:CB$87,'Fórmula'!F48,31)&lt;&gt;"",INDEX(properties!A$1:CB$87,'Fórmula'!F48,31)),IF(INDEX(properties!A$1:CB$87,'Fórmula'!H48,31)&lt;&gt;"",INDEX(properties!A$1:CB$87,'Fórmula'!H48,31)),IF(INDEX(properties!A$1:CB$87,'Fórmula'!J48,31)&lt;&gt;"",INDEX(properties!A$1:CB$87,'Fórmula'!J48,31)))</f>
        <v>1.32128</v>
      </c>
      <c r="CW48" s="118">
        <f t="array" ref="CW48">MAX(INDEX(properties!A$1:CB$87,'Fórmula'!B48,31),INDEX(properties!A$1:CB$87,'Fórmula'!D48,31),INDEX(properties!A$1:CB$87,'Fórmula'!F48,31),INDEX(properties!A$1:CB$87,'Fórmula'!H48,31),INDEX(properties!A$1:CB$87,'Fórmula'!J48,31))</f>
        <v>3.32</v>
      </c>
      <c r="CX48" s="118">
        <f t="array" ref="CX48">MIN(IF(INDEX(properties!A$1:CB$87,'Fórmula'!B48,31)=0,10^6,INDEX(properties!A$1:CB$87,'Fórmula'!B48,31)),IF(INDEX(properties!A$1:CB$87,'Fórmula'!D48,31)=0,10^6,INDEX(properties!A$1:CB$87,'Fórmula'!D48,31)),IF(INDEX(properties!A$1:CB$87,'Fórmula'!F48,31)=0,10^6,INDEX(properties!A$1:CB$87,'Fórmula'!F48,31)),IF(INDEX(properties!A$1:CB$87,'Fórmula'!H48,31)=0,10^6,INDEX(properties!A$1:CB$87,'Fórmula'!H48,31)),IF(INDEX(properties!A$1:CB$87,'Fórmula'!J48,31)=0,10^6,INDEX(properties!A$1:CB$87,'Fórmula'!J48,31)))</f>
        <v>0.9</v>
      </c>
      <c r="CY48" s="118">
        <f t="shared" si="17"/>
        <v>2.42</v>
      </c>
      <c r="CZ48" s="119">
        <f t="array" ref="CZ48">(('Fórmula'!C48)/('Fórmula'!C48+'Fórmula'!E48+'Fórmula'!G48+'Fórmula'!I48+'Fórmula'!K48))*(INDEX(properties!A$1:CB$87,'Fórmula'!B48,32))+(('Fórmula'!E48)/('Fórmula'!C48+'Fórmula'!E48+'Fórmula'!G48+'Fórmula'!I48+'Fórmula'!K48))*(INDEX(properties!A$1:CB$87,'Fórmula'!D48,32))+(('Fórmula'!G48)/('Fórmula'!C48+'Fórmula'!E48+'Fórmula'!G48+'Fórmula'!I48+'Fórmula'!K48))*(INDEX(properties!A$1:CB$87,'Fórmula'!F48,32))+(('Fórmula'!I48)/('Fórmula'!C48+'Fórmula'!E48+'Fórmula'!G48+'Fórmula'!I48+'Fórmula'!K48))*(INDEX(properties!A$1:CB$87,'Fórmula'!H48,32))+(('Fórmula'!K48)/('Fórmula'!C48+'Fórmula'!E48+'Fórmula'!G48+'Fórmula'!I48+'Fórmula'!K48))*(INDEX(properties!A$1:CB$87,'Fórmula'!J48,32))</f>
        <v>6.077142857</v>
      </c>
      <c r="DA48" s="119">
        <f t="array" ref="DA48">'Fórmula'!C48*(INDEX(properties!A$1:CB$87,'Fórmula'!B48,32))+'Fórmula'!E48*(INDEX(properties!A$1:CB$87,'Fórmula'!D48,32))+'Fórmula'!G48*(INDEX(properties!A$1:CB$87,'Fórmula'!F48,32))+'Fórmula'!I48*(INDEX(properties!A$1:CB$87,'Fórmula'!H48,32))+'Fórmula'!K48*(INDEX(properties!A$1:CB$87,'Fórmula'!J48,32))</f>
        <v>42.54</v>
      </c>
      <c r="DB48" s="119">
        <f t="array" ref="DB48">VARP(IF(INDEX(properties!A$1:CB$87,'Fórmula'!B48,32)&lt;&gt;"",INDEX(properties!A$1:CB$87,'Fórmula'!B48,32)),IF(INDEX(properties!A$1:CB$87,'Fórmula'!D48,32)&lt;&gt;"",INDEX(properties!A$1:CB$87,'Fórmula'!D48,32)),IF(INDEX(properties!A$1:CB$87,'Fórmula'!F48,32)&lt;&gt;"",INDEX(properties!A$1:CB$87,'Fórmula'!F48,32)),IF(INDEX(properties!A$1:CB$87,'Fórmula'!H48,32)&lt;&gt;"",INDEX(properties!A$1:CB$87,'Fórmula'!H48,32)),IF(INDEX(properties!A$1:CB$87,'Fórmula'!J48,32)&lt;&gt;"",INDEX(properties!A$1:CB$87,'Fórmula'!J48,32)))</f>
        <v>6.439464</v>
      </c>
      <c r="DC48" s="119">
        <f t="array" ref="DC48">MAX(INDEX(properties!A$1:CB$87,'Fórmula'!B48,32),INDEX(properties!A$1:CB$87,'Fórmula'!D48,32),INDEX(properties!A$1:CB$87,'Fórmula'!F48,32),INDEX(properties!A$1:CB$87,'Fórmula'!H48,32),INDEX(properties!A$1:CB$87,'Fórmula'!J48,32))</f>
        <v>7.54</v>
      </c>
      <c r="DD48" s="119">
        <f t="array" ref="DD48">MIN(IF(INDEX(properties!A$1:CB$87,'Fórmula'!B48,32)=0,10^6,INDEX(properties!A$1:CB$87,'Fórmula'!B48,32)),IF(INDEX(properties!A$1:CB$87,'Fórmula'!D48,32)=0,10^6,INDEX(properties!A$1:CB$87,'Fórmula'!D48,32)),IF(INDEX(properties!A$1:CB$87,'Fórmula'!F48,32)=0,10^6,INDEX(properties!A$1:CB$87,'Fórmula'!F48,32)),IF(INDEX(properties!A$1:CB$87,'Fórmula'!H48,32)=0,10^6,INDEX(properties!A$1:CB$87,'Fórmula'!H48,32)),IF(INDEX(properties!A$1:CB$87,'Fórmula'!J48,32)=0,10^6,INDEX(properties!A$1:CB$87,'Fórmula'!J48,32)))</f>
        <v>3.01</v>
      </c>
      <c r="DE48" s="119">
        <f t="shared" si="18"/>
        <v>4.53</v>
      </c>
      <c r="DF48" s="104">
        <f t="array" ref="DF48">(('Fórmula'!C48)/('Fórmula'!C48+'Fórmula'!E48+'Fórmula'!G48+'Fórmula'!I48+'Fórmula'!K48))*(INDEX(properties!A$1:CB$87,'Fórmula'!B48,34))+(('Fórmula'!E48)/('Fórmula'!C48+'Fórmula'!E48+'Fórmula'!G48+'Fórmula'!I48+'Fórmula'!K48))*(INDEX(properties!A$1:CB$87,'Fórmula'!D48,34))+(('Fórmula'!G48)/('Fórmula'!C48+'Fórmula'!E48+'Fórmula'!G48+'Fórmula'!I48+'Fórmula'!K48))*(INDEX(properties!A$1:CB$87,'Fórmula'!F48,34))+(('Fórmula'!I48)/('Fórmula'!C48+'Fórmula'!E48+'Fórmula'!G48+'Fórmula'!I48+'Fórmula'!K48))*(INDEX(properties!A$1:CB$87,'Fórmula'!H48,34))+(('Fórmula'!K48)/('Fórmula'!C48+'Fórmula'!E48+'Fórmula'!G48+'Fórmula'!I48+'Fórmula'!K48))*(INDEX(properties!A$1:CB$87,'Fórmula'!J48,34))</f>
        <v>2.699714286</v>
      </c>
      <c r="DG48" s="104">
        <f t="array" ref="DG48">'Fórmula'!C48*(INDEX(properties!A$1:CB$87,'Fórmula'!B48,34))+'Fórmula'!E48*(INDEX(properties!A$1:CB$87,'Fórmula'!D48,34))+'Fórmula'!G48*(INDEX(properties!A$1:CB$87,'Fórmula'!F48,34))+'Fórmula'!I48*(INDEX(properties!A$1:CB$87,'Fórmula'!H48,34))+'Fórmula'!K48*(INDEX(properties!A$1:CB$87,'Fórmula'!J48,34))</f>
        <v>18.898</v>
      </c>
      <c r="DH48" s="104">
        <f t="array" ref="DH48">VARP(IF(INDEX(properties!A$1:CB$87,'Fórmula'!B48,34)&lt;&gt;"",INDEX(properties!A$1:CB$87,'Fórmula'!B48,34)),IF(INDEX(properties!A$1:CB$87,'Fórmula'!D48,34)&lt;&gt;"",INDEX(properties!A$1:CB$87,'Fórmula'!D48,34)),IF(INDEX(properties!A$1:CB$87,'Fórmula'!F48,34)&lt;&gt;"",INDEX(properties!A$1:CB$87,'Fórmula'!F48,34)),IF(INDEX(properties!A$1:CB$87,'Fórmula'!H48,34)&lt;&gt;"",INDEX(properties!A$1:CB$87,'Fórmula'!H48,34)),IF(INDEX(properties!A$1:CB$87,'Fórmula'!J48,34)&lt;&gt;"",INDEX(properties!A$1:CB$87,'Fórmula'!J48,34)))</f>
        <v>1.51863544</v>
      </c>
      <c r="DI48" s="104">
        <f t="array" ref="DI48">MAX(INDEX(properties!A$1:CB$87,'Fórmula'!B48,34),INDEX(properties!A$1:CB$87,'Fórmula'!D48,34),INDEX(properties!A$1:CB$87,'Fórmula'!F48,34),INDEX(properties!A$1:CB$87,'Fórmula'!H48,34),INDEX(properties!A$1:CB$87,'Fórmula'!J48,34))</f>
        <v>3.61</v>
      </c>
      <c r="DJ48" s="104">
        <f t="array" ref="DJ48">MIN(IF(INDEX(properties!A$1:CB$87,'Fórmula'!B48,34)=0,10^6,INDEX(properties!A$1:CB$87,'Fórmula'!B48,34)),IF(INDEX(properties!A$1:CB$87,'Fórmula'!D48,34)=0,10^6,INDEX(properties!A$1:CB$87,'Fórmula'!D48,34)),IF(INDEX(properties!A$1:CB$87,'Fórmula'!F48,34)=0,10^6,INDEX(properties!A$1:CB$87,'Fórmula'!F48,34)),IF(INDEX(properties!A$1:CB$87,'Fórmula'!H48,34)=0,10^6,INDEX(properties!A$1:CB$87,'Fórmula'!H48,34)),IF(INDEX(properties!A$1:CB$87,'Fórmula'!J48,34)=0,10^6,INDEX(properties!A$1:CB$87,'Fórmula'!J48,34)))</f>
        <v>0.912</v>
      </c>
      <c r="DK48" s="104">
        <f t="shared" si="19"/>
        <v>2.698</v>
      </c>
      <c r="DL48" s="105">
        <f t="array" ref="DL48">(('Fórmula'!C48)/('Fórmula'!C48+'Fórmula'!E48+'Fórmula'!G48+'Fórmula'!I48+'Fórmula'!K48))*(INDEX(properties!A$1:CB$87,'Fórmula'!B48,37))+(('Fórmula'!E48)/('Fórmula'!C48+'Fórmula'!E48+'Fórmula'!G48+'Fórmula'!I48+'Fórmula'!K48))*(INDEX(properties!A$1:CB$87,'Fórmula'!D48,37))+(('Fórmula'!G48)/('Fórmula'!C48+'Fórmula'!E48+'Fórmula'!G48+'Fórmula'!I48+'Fórmula'!K48))*(INDEX(properties!A$1:CB$87,'Fórmula'!F48,37))+(('Fórmula'!I48)/('Fórmula'!C48+'Fórmula'!E48+'Fórmula'!G48+'Fórmula'!I48+'Fórmula'!K48))*(INDEX(properties!A$1:CB$87,'Fórmula'!H48,37))+(('Fórmula'!K48)/('Fórmula'!C48+'Fórmula'!E48+'Fórmula'!G48+'Fórmula'!I48+'Fórmula'!K48))*(INDEX(properties!A$1:CB$87,'Fórmula'!J48,37))</f>
        <v>2.578571429</v>
      </c>
      <c r="DM48" s="105">
        <f t="array" ref="DM48">'Fórmula'!C48*(INDEX(properties!A$1:CB$87,'Fórmula'!B48,37))+'Fórmula'!E48*(INDEX(properties!A$1:CB$87,'Fórmula'!D48,37))+'Fórmula'!G48*(INDEX(properties!A$1:CB$87,'Fórmula'!F48,37))+'Fórmula'!I48*(INDEX(properties!A$1:CB$87,'Fórmula'!H48,37))+'Fórmula'!K48*(INDEX(properties!A$1:CB$87,'Fórmula'!J48,37))</f>
        <v>18.05</v>
      </c>
      <c r="DN48" s="105">
        <f t="array" ref="DN48">VARP(IF(INDEX(properties!A$1:CB$87,'Fórmula'!B48,37)&lt;&gt;"",INDEX(properties!A$1:CB$87,'Fórmula'!B48,37)),IF(INDEX(properties!A$1:CB$87,'Fórmula'!D48,37)&lt;&gt;"",INDEX(properties!A$1:CB$87,'Fórmula'!D48,37)),IF(INDEX(properties!A$1:CB$87,'Fórmula'!F48,37)&lt;&gt;"",INDEX(properties!A$1:CB$87,'Fórmula'!F48,37)),IF(INDEX(properties!A$1:CB$87,'Fórmula'!H48,37)&lt;&gt;"",INDEX(properties!A$1:CB$87,'Fórmula'!H48,37)),IF(INDEX(properties!A$1:CB$87,'Fórmula'!J48,37)&lt;&gt;"",INDEX(properties!A$1:CB$87,'Fórmula'!J48,37)))</f>
        <v>1.3594</v>
      </c>
      <c r="DO48" s="105">
        <f t="array" ref="DO48">MAX(INDEX(properties!A$1:CB$87,'Fórmula'!B48,37),INDEX(properties!A$1:CB$87,'Fórmula'!D48,37),INDEX(properties!A$1:CB$87,'Fórmula'!F48,37),INDEX(properties!A$1:CB$87,'Fórmula'!H48,37),INDEX(properties!A$1:CB$87,'Fórmula'!J48,37))</f>
        <v>3.45</v>
      </c>
      <c r="DP48" s="105">
        <f t="array" ref="DP48">MIN(IF(INDEX(properties!A$1:CB$87,'Fórmula'!B48,37)=0,10^6,INDEX(properties!A$1:CB$87,'Fórmula'!B48,37)),IF(INDEX(properties!A$1:CB$87,'Fórmula'!D48,37)=0,10^6,INDEX(properties!A$1:CB$87,'Fórmula'!D48,37)),IF(INDEX(properties!A$1:CB$87,'Fórmula'!F48,37)=0,10^6,INDEX(properties!A$1:CB$87,'Fórmula'!F48,37)),IF(INDEX(properties!A$1:CB$87,'Fórmula'!H48,37)=0,10^6,INDEX(properties!A$1:CB$87,'Fórmula'!H48,37)),IF(INDEX(properties!A$1:CB$87,'Fórmula'!J48,37)=0,10^6,INDEX(properties!A$1:CB$87,'Fórmula'!J48,37)))</f>
        <v>0.95</v>
      </c>
      <c r="DQ48" s="105">
        <f t="shared" si="20"/>
        <v>2.5</v>
      </c>
      <c r="DR48" s="109">
        <f t="array" ref="DR48">(('Fórmula'!C48)/('Fórmula'!C48+'Fórmula'!E48+'Fórmula'!G48+'Fórmula'!I48+'Fórmula'!K48))*(INDEX(properties!A$1:CB$87,'Fórmula'!B48,39))+(('Fórmula'!E48)/('Fórmula'!C48+'Fórmula'!E48+'Fórmula'!G48+'Fórmula'!I48+'Fórmula'!K48))*(INDEX(properties!A$1:CB$87,'Fórmula'!D48,39))+(('Fórmula'!G48)/('Fórmula'!C48+'Fórmula'!E48+'Fórmula'!G48+'Fórmula'!I48+'Fórmula'!K48))*(INDEX(properties!A$1:CB$87,'Fórmula'!F48,39))+(('Fórmula'!I48)/('Fórmula'!C48+'Fórmula'!E48+'Fórmula'!G48+'Fórmula'!I48+'Fórmula'!K48))*(INDEX(properties!A$1:CB$87,'Fórmula'!H48,39))+(('Fórmula'!K48)/('Fórmula'!C48+'Fórmula'!E48+'Fórmula'!G48+'Fórmula'!I48+'Fórmula'!K48))*(INDEX(properties!A$1:CB$87,'Fórmula'!J48,39))</f>
        <v>0.86</v>
      </c>
      <c r="DS48" s="109">
        <f t="array" ref="DS48">'Fórmula'!C48*(INDEX(properties!A$1:CB$87,'Fórmula'!B48,39))+'Fórmula'!E48*(INDEX(properties!A$1:CB$87,'Fórmula'!D48,39))+'Fórmula'!G48*(INDEX(properties!A$1:CB$87,'Fórmula'!F48,39))+'Fórmula'!I48*(INDEX(properties!A$1:CB$87,'Fórmula'!H48,39))+'Fórmula'!K48*(INDEX(properties!A$1:CB$87,'Fórmula'!J48,39))</f>
        <v>6.02</v>
      </c>
      <c r="DT48" s="109">
        <f t="array" ref="DT48">VARP(IF(INDEX(properties!A$1:CB$87,'Fórmula'!B48,39)&lt;&gt;"",INDEX(properties!A$1:CB$87,'Fórmula'!B48,39)),IF(INDEX(properties!A$1:CB$87,'Fórmula'!D48,39)&lt;&gt;"",INDEX(properties!A$1:CB$87,'Fórmula'!D48,39)),IF(INDEX(properties!A$1:CB$87,'Fórmula'!F48,39)&lt;&gt;"",INDEX(properties!A$1:CB$87,'Fórmula'!F48,39)),IF(INDEX(properties!A$1:CB$87,'Fórmula'!H48,39)&lt;&gt;"",INDEX(properties!A$1:CB$87,'Fórmula'!H48,39)),IF(INDEX(properties!A$1:CB$87,'Fórmula'!J48,39)&lt;&gt;"",INDEX(properties!A$1:CB$87,'Fórmula'!J48,39)))</f>
        <v>0.377384</v>
      </c>
      <c r="DU48" s="120">
        <f t="array" ref="DU48">MAX(INDEX(properties!A$1:CB$87,'Fórmula'!B48,39),INDEX(properties!A$1:CB$87,'Fórmula'!D48,39),INDEX(properties!A$1:CB$87,'Fórmula'!F48,39),INDEX(properties!A$1:CB$87,'Fórmula'!H48,39),INDEX(properties!A$1:CB$87,'Fórmula'!J48,39))</f>
        <v>1.67</v>
      </c>
      <c r="DV48" s="120">
        <f t="array" ref="DV48">MIN(IF(INDEX(properties!A$1:CB$87,'Fórmula'!B48,39)=0,10^6,INDEX(properties!A$1:CB$87,'Fórmula'!B48,39)),IF(INDEX(properties!A$1:CB$87,'Fórmula'!D48,39)=0,10^6,INDEX(properties!A$1:CB$87,'Fórmula'!D48,39)),IF(INDEX(properties!A$1:CB$87,'Fórmula'!F48,39)=0,10^6,INDEX(properties!A$1:CB$87,'Fórmula'!F48,39)),IF(INDEX(properties!A$1:CB$87,'Fórmula'!H48,39)=0,10^6,INDEX(properties!A$1:CB$87,'Fórmula'!H48,39)),IF(INDEX(properties!A$1:CB$87,'Fórmula'!J48,39)=0,10^6,INDEX(properties!A$1:CB$87,'Fórmula'!J48,39)))</f>
        <v>0.48</v>
      </c>
      <c r="DW48" s="109">
        <f t="shared" si="21"/>
        <v>1.19</v>
      </c>
      <c r="DX48" s="110">
        <f t="array" ref="DX48">(('Fórmula'!C48)/('Fórmula'!C48+'Fórmula'!E48+'Fórmula'!G48+'Fórmula'!I48+'Fórmula'!K48))*(INDEX(properties!A$1:CB$87,'Fórmula'!B48,40))+(('Fórmula'!E48)/('Fórmula'!C48+'Fórmula'!E48+'Fórmula'!G48+'Fórmula'!I48+'Fórmula'!K48))*(INDEX(properties!A$1:CB$87,'Fórmula'!D48,40))+(('Fórmula'!G48)/('Fórmula'!C48+'Fórmula'!E48+'Fórmula'!G48+'Fórmula'!I48+'Fórmula'!K48))*(INDEX(properties!A$1:CB$87,'Fórmula'!F48,40))+(('Fórmula'!I48)/('Fórmula'!C48+'Fórmula'!E48+'Fórmula'!G48+'Fórmula'!I48+'Fórmula'!K48))*(INDEX(properties!A$1:CB$87,'Fórmula'!H48,40))+(('Fórmula'!K48)/('Fórmula'!C48+'Fórmula'!E48+'Fórmula'!G48+'Fórmula'!I48+'Fórmula'!K48))*(INDEX(properties!A$1:CB$87,'Fórmula'!J48,40))</f>
        <v>0.9457142857</v>
      </c>
      <c r="DY48" s="110">
        <f t="array" ref="DY48">'Fórmula'!C48*(INDEX(properties!A$1:CB$87,'Fórmula'!B48,40))+'Fórmula'!E48*(INDEX(properties!A$1:CB$87,'Fórmula'!D48,40))+'Fórmula'!G48*(INDEX(properties!A$1:CB$87,'Fórmula'!F48,40))+'Fórmula'!I48*(INDEX(properties!A$1:CB$87,'Fórmula'!H48,40))+'Fórmula'!K48*(INDEX(properties!A$1:CB$87,'Fórmula'!J48,40))</f>
        <v>6.62</v>
      </c>
      <c r="DZ48" s="110">
        <f t="array" ref="DZ48">VARP(IF(INDEX(properties!A$1:CB$87,'Fórmula'!B48,40)&lt;&gt;"",INDEX(properties!A$1:CB$87,'Fórmula'!B48,40)),IF(INDEX(properties!A$1:CB$87,'Fórmula'!D48,40)&lt;&gt;"",INDEX(properties!A$1:CB$87,'Fórmula'!D48,40)),IF(INDEX(properties!A$1:CB$87,'Fórmula'!F48,40)&lt;&gt;"",INDEX(properties!A$1:CB$87,'Fórmula'!F48,40)),IF(INDEX(properties!A$1:CB$87,'Fórmula'!H48,40)&lt;&gt;"",INDEX(properties!A$1:CB$87,'Fórmula'!H48,40)),IF(INDEX(properties!A$1:CB$87,'Fórmula'!J48,40)&lt;&gt;"",INDEX(properties!A$1:CB$87,'Fórmula'!J48,40)))</f>
        <v>0.243424</v>
      </c>
      <c r="EA48" s="121">
        <f t="array" ref="EA48">MAX(INDEX(properties!A$1:CB$87,'Fórmula'!B48,40),INDEX(properties!A$1:CB$87,'Fórmula'!D48,40),INDEX(properties!A$1:CB$87,'Fórmula'!F48,40),INDEX(properties!A$1:CB$87,'Fórmula'!H48,40),INDEX(properties!A$1:CB$87,'Fórmula'!J48,40))</f>
        <v>1.34</v>
      </c>
      <c r="EB48" s="121">
        <f t="array" ref="EB48">MIN(IF(INDEX(properties!A$1:CB$87,'Fórmula'!B48,40)=0,10^6,INDEX(properties!A$1:CB$87,'Fórmula'!B48,40)),IF(INDEX(properties!A$1:CB$87,'Fórmula'!D48,40)=0,10^6,INDEX(properties!A$1:CB$87,'Fórmula'!D48,40)),IF(INDEX(properties!A$1:CB$87,'Fórmula'!F48,40)=0,10^6,INDEX(properties!A$1:CB$87,'Fórmula'!F48,40)),IF(INDEX(properties!A$1:CB$87,'Fórmula'!H48,40)=0,10^6,INDEX(properties!A$1:CB$87,'Fórmula'!H48,40)),IF(INDEX(properties!A$1:CB$87,'Fórmula'!J48,40)=0,10^6,INDEX(properties!A$1:CB$87,'Fórmula'!J48,40)))</f>
        <v>0.73</v>
      </c>
      <c r="EC48" s="110">
        <f t="shared" si="22"/>
        <v>0.61</v>
      </c>
      <c r="ED48" s="111">
        <f t="array" ref="ED48">(('Fórmula'!C48)/('Fórmula'!C48+'Fórmula'!E48+'Fórmula'!G48+'Fórmula'!I48+'Fórmula'!K48))*(INDEX(properties!A$1:CB$87,'Fórmula'!B48,41))+(('Fórmula'!E48)/('Fórmula'!C48+'Fórmula'!E48+'Fórmula'!G48+'Fórmula'!I48+'Fórmula'!K48))*(INDEX(properties!A$1:CB$87,'Fórmula'!D48,41))+(('Fórmula'!G48)/('Fórmula'!C48+'Fórmula'!E48+'Fórmula'!G48+'Fórmula'!I48+'Fórmula'!K48))*(INDEX(properties!A$1:CB$87,'Fórmula'!F48,41))+(('Fórmula'!I48)/('Fórmula'!C48+'Fórmula'!E48+'Fórmula'!G48+'Fórmula'!I48+'Fórmula'!K48))*(INDEX(properties!A$1:CB$87,'Fórmula'!H48,41))+(('Fórmula'!K48)/('Fórmula'!C48+'Fórmula'!E48+'Fórmula'!G48+'Fórmula'!I48+'Fórmula'!K48))*(INDEX(properties!A$1:CB$87,'Fórmula'!J48,41))</f>
        <v>1.054285714</v>
      </c>
      <c r="EE48" s="111">
        <f t="array" ref="EE48">'Fórmula'!C48*(INDEX(properties!A$1:CB$87,'Fórmula'!B48,41))+'Fórmula'!E48*(INDEX(properties!A$1:CB$87,'Fórmula'!D48,41))+'Fórmula'!G48*(INDEX(properties!A$1:CB$87,'Fórmula'!F48,41))+'Fórmula'!I48*(INDEX(properties!A$1:CB$87,'Fórmula'!H48,41))+'Fórmula'!K48*(INDEX(properties!A$1:CB$87,'Fórmula'!J48,41))</f>
        <v>7.38</v>
      </c>
      <c r="EF48" s="111">
        <f t="array" ref="EF48">VARP(IF(INDEX(properties!A$1:CB$87,'Fórmula'!B48,41)&lt;&gt;"",INDEX(properties!A$1:CB$87,'Fórmula'!B48,41)),IF(INDEX(properties!A$1:CB$87,'Fórmula'!D48,41)&lt;&gt;"",INDEX(properties!A$1:CB$87,'Fórmula'!D48,41)),IF(INDEX(properties!A$1:CB$87,'Fórmula'!F48,41)&lt;&gt;"",INDEX(properties!A$1:CB$87,'Fórmula'!F48,41)),IF(INDEX(properties!A$1:CB$87,'Fórmula'!H48,41)&lt;&gt;"",INDEX(properties!A$1:CB$87,'Fórmula'!H48,41)),IF(INDEX(properties!A$1:CB$87,'Fórmula'!J48,41)&lt;&gt;"",INDEX(properties!A$1:CB$87,'Fórmula'!J48,41)))</f>
        <v>0.17632</v>
      </c>
      <c r="EG48" s="122">
        <f t="array" ref="EG48">MAX(INDEX(properties!A$1:CB$87,'Fórmula'!B48,41),INDEX(properties!A$1:CB$87,'Fórmula'!D48,41),INDEX(properties!A$1:CB$87,'Fórmula'!F48,41),INDEX(properties!A$1:CB$87,'Fórmula'!H48,41),INDEX(properties!A$1:CB$87,'Fórmula'!J48,41))</f>
        <v>1.26</v>
      </c>
      <c r="EH48" s="122">
        <f t="array" ref="EH48">MIN(IF(INDEX(properties!A$1:CB$87,'Fórmula'!B48,41)=0,10^6,INDEX(properties!A$1:CB$87,'Fórmula'!B48,41)),IF(INDEX(properties!A$1:CB$87,'Fórmula'!D48,41)=0,10^6,INDEX(properties!A$1:CB$87,'Fórmula'!D48,41)),IF(INDEX(properties!A$1:CB$87,'Fórmula'!F48,41)=0,10^6,INDEX(properties!A$1:CB$87,'Fórmula'!F48,41)),IF(INDEX(properties!A$1:CB$87,'Fórmula'!H48,41)=0,10^6,INDEX(properties!A$1:CB$87,'Fórmula'!H48,41)),IF(INDEX(properties!A$1:CB$87,'Fórmula'!J48,41)=0,10^6,INDEX(properties!A$1:CB$87,'Fórmula'!J48,41)))</f>
        <v>0.58</v>
      </c>
      <c r="EI48" s="111">
        <f t="shared" si="23"/>
        <v>0.68</v>
      </c>
      <c r="EJ48" s="112">
        <f t="array" ref="EJ48">(('Fórmula'!C48)/('Fórmula'!C48+'Fórmula'!E48+'Fórmula'!G48+'Fórmula'!I48+'Fórmula'!K48))*(INDEX(properties!A$1:CB$87,'Fórmula'!B48,45))+(('Fórmula'!E48)/('Fórmula'!C48+'Fórmula'!E48+'Fórmula'!G48+'Fórmula'!I48+'Fórmula'!K48))*(INDEX(properties!A$1:CB$87,'Fórmula'!D48,45))+(('Fórmula'!G48)/('Fórmula'!C48+'Fórmula'!E48+'Fórmula'!G48+'Fórmula'!I48+'Fórmula'!K48))*(INDEX(properties!A$1:CB$87,'Fórmula'!F48,45))+(('Fórmula'!I48)/('Fórmula'!C48+'Fórmula'!E48+'Fórmula'!G48+'Fórmula'!I48+'Fórmula'!K48))*(INDEX(properties!A$1:CB$87,'Fórmula'!H48,45))+(('Fórmula'!K48)/('Fórmula'!C48+'Fórmula'!E48+'Fórmula'!G48+'Fórmula'!I48+'Fórmula'!K48))*(INDEX(properties!A$1:CB$87,'Fórmula'!J48,45))</f>
        <v>0.9657142857</v>
      </c>
      <c r="EK48" s="112">
        <f t="array" ref="EK48">'Fórmula'!C48*(INDEX(properties!A$1:CB$87,'Fórmula'!B48,45))+'Fórmula'!E48*(INDEX(properties!A$1:CB$87,'Fórmula'!D48,45))+'Fórmula'!G48*(INDEX(properties!A$1:CB$87,'Fórmula'!F48,45))+'Fórmula'!I48*(INDEX(properties!A$1:CB$87,'Fórmula'!H48,45))+'Fórmula'!K48*(INDEX(properties!A$1:CB$87,'Fórmula'!J48,45))</f>
        <v>6.76</v>
      </c>
      <c r="EL48" s="112">
        <f t="array" ref="EL48">VARP(IF(INDEX(properties!A$1:CB$87,'Fórmula'!B48,45)&lt;&gt;"",INDEX(properties!A$1:CB$87,'Fórmula'!B48,45)),IF(INDEX(properties!A$1:CB$87,'Fórmula'!D48,45)&lt;&gt;"",INDEX(properties!A$1:CB$87,'Fórmula'!D48,45)),IF(INDEX(properties!A$1:CB$87,'Fórmula'!F48,45)&lt;&gt;"",INDEX(properties!A$1:CB$87,'Fórmula'!F48,45)),IF(INDEX(properties!A$1:CB$87,'Fórmula'!H48,45)&lt;&gt;"",INDEX(properties!A$1:CB$87,'Fórmula'!H48,45)),IF(INDEX(properties!A$1:CB$87,'Fórmula'!J48,45)&lt;&gt;"",INDEX(properties!A$1:CB$87,'Fórmula'!J48,45)))</f>
        <v>0.5494</v>
      </c>
      <c r="EM48" s="123">
        <f t="array" ref="EM48">MAX(INDEX(properties!A$1:CB$87,'Fórmula'!B48,45),INDEX(properties!A$1:CB$87,'Fórmula'!D48,45),INDEX(properties!A$1:CB$87,'Fórmula'!F48,45),INDEX(properties!A$1:CB$87,'Fórmula'!H48,45),INDEX(properties!A$1:CB$87,'Fórmula'!J48,45))</f>
        <v>2.03</v>
      </c>
      <c r="EN48" s="123">
        <f t="array" ref="EN48">MIN(IF(INDEX(properties!A$1:CB$87,'Fórmula'!B48,45)=0,10^6,INDEX(properties!A$1:CB$87,'Fórmula'!B48,45)),IF(INDEX(properties!A$1:CB$87,'Fórmula'!D48,45)=0,10^6,INDEX(properties!A$1:CB$87,'Fórmula'!D48,45)),IF(INDEX(properties!A$1:CB$87,'Fórmula'!F48,45)=0,10^6,INDEX(properties!A$1:CB$87,'Fórmula'!F48,45)),IF(INDEX(properties!A$1:CB$87,'Fórmula'!H48,45)=0,10^6,INDEX(properties!A$1:CB$87,'Fórmula'!H48,45)),IF(INDEX(properties!A$1:CB$87,'Fórmula'!J48,45)=0,10^6,INDEX(properties!A$1:CB$87,'Fórmula'!J48,45)))</f>
        <v>0.47</v>
      </c>
      <c r="EO48" s="112">
        <f t="shared" si="24"/>
        <v>1.56</v>
      </c>
      <c r="EP48" s="113">
        <f t="array" ref="EP48">(('Fórmula'!C48)/('Fórmula'!C48+'Fórmula'!E48+'Fórmula'!G48+'Fórmula'!I48+'Fórmula'!K48))*(INDEX(properties!A$1:CB$87,'Fórmula'!B48,46))+(('Fórmula'!E48)/('Fórmula'!C48+'Fórmula'!E48+'Fórmula'!G48+'Fórmula'!I48+'Fórmula'!K48))*(INDEX(properties!A$1:CB$87,'Fórmula'!D48,46))+(('Fórmula'!G48)/('Fórmula'!C48+'Fórmula'!E48+'Fórmula'!G48+'Fórmula'!I48+'Fórmula'!K48))*(INDEX(properties!A$1:CB$87,'Fórmula'!F48,46))+(('Fórmula'!I48)/('Fórmula'!C48+'Fórmula'!E48+'Fórmula'!G48+'Fórmula'!I48+'Fórmula'!K48))*(INDEX(properties!A$1:CB$87,'Fórmula'!H48,46))+(('Fórmula'!K48)/('Fórmula'!C48+'Fórmula'!E48+'Fórmula'!G48+'Fórmula'!I48+'Fórmula'!K48))*(INDEX(properties!A$1:CB$87,'Fórmula'!J48,46))</f>
        <v>0.9871428571</v>
      </c>
      <c r="EQ48" s="113">
        <f t="array" ref="EQ48">'Fórmula'!C48*(INDEX(properties!A$1:CB$87,'Fórmula'!B48,46))+'Fórmula'!E48*(INDEX(properties!A$1:CB$87,'Fórmula'!D48,46))+'Fórmula'!G48*(INDEX(properties!A$1:CB$87,'Fórmula'!F48,46))+'Fórmula'!I48*(INDEX(properties!A$1:CB$87,'Fórmula'!H48,46))+'Fórmula'!K48*(INDEX(properties!A$1:CB$87,'Fórmula'!J48,46))</f>
        <v>6.91</v>
      </c>
      <c r="ER48" s="113">
        <f t="array" ref="ER48">VARP(IF(INDEX(properties!A$1:CB$87,'Fórmula'!B48,46)&lt;&gt;"",INDEX(properties!A$1:CB$87,'Fórmula'!B48,46)),IF(INDEX(properties!A$1:CB$87,'Fórmula'!D48,46)&lt;&gt;"",INDEX(properties!A$1:CB$87,'Fórmula'!D48,46)),IF(INDEX(properties!A$1:CB$87,'Fórmula'!F48,46)&lt;&gt;"",INDEX(properties!A$1:CB$87,'Fórmula'!F48,46)),IF(INDEX(properties!A$1:CB$87,'Fórmula'!H48,46)&lt;&gt;"",INDEX(properties!A$1:CB$87,'Fórmula'!H48,46)),IF(INDEX(properties!A$1:CB$87,'Fórmula'!J48,46)&lt;&gt;"",INDEX(properties!A$1:CB$87,'Fórmula'!J48,46)))</f>
        <v>0.191624</v>
      </c>
      <c r="ES48" s="124">
        <f t="array" ref="ES48">MAX(INDEX(properties!A$1:CB$87,'Fórmula'!B48,46),INDEX(properties!A$1:CB$87,'Fórmula'!D48,46),INDEX(properties!A$1:CB$87,'Fórmula'!F48,46),INDEX(properties!A$1:CB$87,'Fórmula'!H48,46),INDEX(properties!A$1:CB$87,'Fórmula'!J48,46))</f>
        <v>1.21</v>
      </c>
      <c r="ET48" s="124">
        <f t="array" ref="ET48">MIN(IF(INDEX(properties!A$1:CB$87,'Fórmula'!B48,46)=0,10^6,INDEX(properties!A$1:CB$87,'Fórmula'!B48,46)),IF(INDEX(properties!A$1:CB$87,'Fórmula'!D48,46)=0,10^6,INDEX(properties!A$1:CB$87,'Fórmula'!D48,46)),IF(INDEX(properties!A$1:CB$87,'Fórmula'!F48,46)=0,10^6,INDEX(properties!A$1:CB$87,'Fórmula'!F48,46)),IF(INDEX(properties!A$1:CB$87,'Fórmula'!H48,46)=0,10^6,INDEX(properties!A$1:CB$87,'Fórmula'!H48,46)),IF(INDEX(properties!A$1:CB$87,'Fórmula'!J48,46)=0,10^6,INDEX(properties!A$1:CB$87,'Fórmula'!J48,46)))</f>
        <v>0.31</v>
      </c>
      <c r="EU48" s="113">
        <f t="shared" si="25"/>
        <v>0.9</v>
      </c>
      <c r="EV48" s="114">
        <f t="array" ref="EV48">(('Fórmula'!C48)/('Fórmula'!C48+'Fórmula'!E48+'Fórmula'!G48+'Fórmula'!I48+'Fórmula'!K48))*(INDEX(properties!A$1:CB$87,'Fórmula'!B48,52))+(('Fórmula'!E48)/('Fórmula'!C48+'Fórmula'!E48+'Fórmula'!G48+'Fórmula'!I48+'Fórmula'!K48))*(INDEX(properties!A$1:CB$87,'Fórmula'!D48,52))+(('Fórmula'!G48)/('Fórmula'!C48+'Fórmula'!E48+'Fórmula'!G48+'Fórmula'!I48+'Fórmula'!K48))*(INDEX(properties!A$1:CB$87,'Fórmula'!F48,52))+(('Fórmula'!I48)/('Fórmula'!C48+'Fórmula'!E48+'Fórmula'!G48+'Fórmula'!I48+'Fórmula'!K48))*(INDEX(properties!A$1:CB$87,'Fórmula'!H48,52))+(('Fórmula'!K48)/('Fórmula'!C48+'Fórmula'!E48+'Fórmula'!G48+'Fórmula'!I48+'Fórmula'!K48))*(INDEX(properties!A$1:CB$87,'Fórmula'!J48,52))</f>
        <v>5.953142857</v>
      </c>
      <c r="EW48" s="114">
        <f t="array" ref="EW48">'Fórmula'!C48*(INDEX(properties!A$1:CB$87,'Fórmula'!B48,52))+'Fórmula'!E48*(INDEX(properties!A$1:CB$87,'Fórmula'!D48,52))+'Fórmula'!G48*(INDEX(properties!A$1:CB$87,'Fórmula'!F48,52))+'Fórmula'!I48*(INDEX(properties!A$1:CB$87,'Fórmula'!H48,52))+'Fórmula'!K48*(INDEX(properties!A$1:CB$87,'Fórmula'!J48,52))</f>
        <v>41.672</v>
      </c>
      <c r="EX48" s="114">
        <f t="array" ref="EX48">VARP(IF(INDEX(properties!A$1:CB$87,'Fórmula'!B48,52)&lt;&gt;"",INDEX(properties!A$1:CB$87,'Fórmula'!B48,52)),IF(INDEX(properties!A$1:CB$87,'Fórmula'!D48,52)&lt;&gt;"",INDEX(properties!A$1:CB$87,'Fórmula'!D48,52)),IF(INDEX(properties!A$1:CB$87,'Fórmula'!F48,52)&lt;&gt;"",INDEX(properties!A$1:CB$87,'Fórmula'!F48,52)),IF(INDEX(properties!A$1:CB$87,'Fórmula'!H48,52)&lt;&gt;"",INDEX(properties!A$1:CB$87,'Fórmula'!H48,52)),IF(INDEX(properties!A$1:CB$87,'Fórmula'!J48,52)&lt;&gt;"",INDEX(properties!A$1:CB$87,'Fórmula'!J48,52)))</f>
        <v>81.53017584</v>
      </c>
      <c r="EY48" s="114">
        <f t="array" ref="EY48">MAX(INDEX(properties!A$1:CB$87,'Fórmula'!B48,52),INDEX(properties!A$1:CB$87,'Fórmula'!D48,52),INDEX(properties!A$1:CB$87,'Fórmula'!F48,52),INDEX(properties!A$1:CB$87,'Fórmula'!H48,52),INDEX(properties!A$1:CB$87,'Fórmula'!J48,52))</f>
        <v>24.3</v>
      </c>
      <c r="EZ48" s="114">
        <f t="array" ref="EZ48">MIN(IF(INDEX(properties!A$1:CB$87,'Fórmula'!B48,52)=0,10^6,INDEX(properties!A$1:CB$87,'Fórmula'!B48,52)),IF(INDEX(properties!A$1:CB$87,'Fórmula'!D48,52)=0,10^6,INDEX(properties!A$1:CB$87,'Fórmula'!D48,52)),IF(INDEX(properties!A$1:CB$87,'Fórmula'!F48,52)=0,10^6,INDEX(properties!A$1:CB$87,'Fórmula'!F48,52)),IF(INDEX(properties!A$1:CB$87,'Fórmula'!H48,52)=0,10^6,INDEX(properties!A$1:CB$87,'Fórmula'!H48,52)),IF(INDEX(properties!A$1:CB$87,'Fórmula'!J48,52)=0,10^6,INDEX(properties!A$1:CB$87,'Fórmula'!J48,52)))</f>
        <v>0.793</v>
      </c>
      <c r="FA48" s="114">
        <f t="shared" si="26"/>
        <v>23.507</v>
      </c>
      <c r="FB48" s="115">
        <f t="array" ref="FB48">(('Fórmula'!C48)/('Fórmula'!C48+'Fórmula'!E48+'Fórmula'!G48+'Fórmula'!I48+'Fórmula'!K48))*(INDEX(properties!A$1:CB$87,'Fórmula'!B48,53))+(('Fórmula'!E48)/('Fórmula'!C48+'Fórmula'!E48+'Fórmula'!G48+'Fórmula'!I48+'Fórmula'!K48))*(INDEX(properties!A$1:CB$87,'Fórmula'!D48,53))+(('Fórmula'!G48)/('Fórmula'!C48+'Fórmula'!E48+'Fórmula'!G48+'Fórmula'!I48+'Fórmula'!K48))*(INDEX(properties!A$1:CB$87,'Fórmula'!F48,53))+(('Fórmula'!I48)/('Fórmula'!C48+'Fórmula'!E48+'Fórmula'!G48+'Fórmula'!I48+'Fórmula'!K48))*(INDEX(properties!A$1:CB$87,'Fórmula'!H48,53))+(('Fórmula'!K48)/('Fórmula'!C48+'Fórmula'!E48+'Fórmula'!G48+'Fórmula'!I48+'Fórmula'!K48))*(INDEX(properties!A$1:CB$87,'Fórmula'!J48,53))</f>
        <v>273.15</v>
      </c>
      <c r="FC48" s="115">
        <f t="array" ref="FC48">'Fórmula'!C48*(INDEX(properties!A$1:CB$87,'Fórmula'!B48,53))+'Fórmula'!E48*(INDEX(properties!A$1:CB$87,'Fórmula'!D48,53))+'Fórmula'!G48*(INDEX(properties!A$1:CB$87,'Fórmula'!F48,53))+'Fórmula'!I48*(INDEX(properties!A$1:CB$87,'Fórmula'!H48,53))+'Fórmula'!K48*(INDEX(properties!A$1:CB$87,'Fórmula'!J48,53))</f>
        <v>1912.05</v>
      </c>
      <c r="FD48" s="115">
        <f t="array" ref="FD48">VARP(IF(INDEX(properties!A$1:CB$87,'Fórmula'!B48,53)&lt;&gt;"",INDEX(properties!A$1:CB$87,'Fórmula'!B48,53)),IF(INDEX(properties!A$1:CB$87,'Fórmula'!D48,53)&lt;&gt;"",INDEX(properties!A$1:CB$87,'Fórmula'!D48,53)),IF(INDEX(properties!A$1:CB$87,'Fórmula'!F48,53)&lt;&gt;"",INDEX(properties!A$1:CB$87,'Fórmula'!F48,53)),IF(INDEX(properties!A$1:CB$87,'Fórmula'!H48,53)&lt;&gt;"",INDEX(properties!A$1:CB$87,'Fórmula'!H48,53)),IF(INDEX(properties!A$1:CB$87,'Fórmula'!J48,53)&lt;&gt;"",INDEX(properties!A$1:CB$87,'Fórmula'!J48,53)))</f>
        <v>109768.6204</v>
      </c>
      <c r="FE48" s="115">
        <f t="array" ref="FE48">MAX(INDEX(properties!A$1:CB$87,'Fórmula'!B48,53),INDEX(properties!A$1:CB$87,'Fórmula'!D48,53),INDEX(properties!A$1:CB$87,'Fórmula'!F48,53),INDEX(properties!A$1:CB$87,'Fórmula'!H48,53),INDEX(properties!A$1:CB$87,'Fórmula'!J48,53))</f>
        <v>922.15</v>
      </c>
      <c r="FF48" s="115">
        <f t="array" ref="FF48">MIN(IF(INDEX(properties!A$1:CB$87,'Fórmula'!B48,53)=0,10^6,INDEX(properties!A$1:CB$87,'Fórmula'!B48,53)),IF(INDEX(properties!A$1:CB$87,'Fórmula'!D48,53)=0,10^6,INDEX(properties!A$1:CB$87,'Fórmula'!D48,53)),IF(INDEX(properties!A$1:CB$87,'Fórmula'!F48,53)=0,10^6,INDEX(properties!A$1:CB$87,'Fórmula'!F48,53)),IF(INDEX(properties!A$1:CB$87,'Fórmula'!H48,53)=0,10^6,INDEX(properties!A$1:CB$87,'Fórmula'!H48,53)),IF(INDEX(properties!A$1:CB$87,'Fórmula'!J48,53)=0,10^6,INDEX(properties!A$1:CB$87,'Fórmula'!J48,53)))</f>
        <v>54.75</v>
      </c>
      <c r="FG48" s="115">
        <f t="shared" si="27"/>
        <v>867.4</v>
      </c>
      <c r="FH48" s="117">
        <f t="array" ref="FH48">(('Fórmula'!C48)/('Fórmula'!C48+'Fórmula'!E48+'Fórmula'!G48+'Fórmula'!I48+'Fórmula'!K48))*(INDEX(properties!A$1:CB$87,'Fórmula'!B48,54))+(('Fórmula'!E48)/('Fórmula'!C48+'Fórmula'!E48+'Fórmula'!G48+'Fórmula'!I48+'Fórmula'!K48))*(INDEX(properties!A$1:CB$87,'Fórmula'!D48,54))+(('Fórmula'!G48)/('Fórmula'!C48+'Fórmula'!E48+'Fórmula'!G48+'Fórmula'!I48+'Fórmula'!K48))*(INDEX(properties!A$1:CB$87,'Fórmula'!F48,54))+(('Fórmula'!I48)/('Fórmula'!C48+'Fórmula'!E48+'Fórmula'!G48+'Fórmula'!I48+'Fórmula'!K48))*(INDEX(properties!A$1:CB$87,'Fórmula'!H48,54))+(('Fórmula'!K48)/('Fórmula'!C48+'Fórmula'!E48+'Fórmula'!G48+'Fórmula'!I48+'Fórmula'!K48))*(INDEX(properties!A$1:CB$87,'Fórmula'!J48,54))</f>
        <v>556.0071429</v>
      </c>
      <c r="FI48" s="117">
        <f t="array" ref="FI48">'Fórmula'!C48*(INDEX(properties!A$1:CB$87,'Fórmula'!B48,54))+'Fórmula'!E48*(INDEX(properties!A$1:CB$87,'Fórmula'!D48,54))+'Fórmula'!G48*(INDEX(properties!A$1:CB$87,'Fórmula'!F48,54))+'Fórmula'!I48*(INDEX(properties!A$1:CB$87,'Fórmula'!H48,54))+'Fórmula'!K48*(INDEX(properties!A$1:CB$87,'Fórmula'!J48,54))</f>
        <v>3892.05</v>
      </c>
      <c r="FJ48" s="117">
        <f t="array" ref="FJ48">VARP(IF(INDEX(properties!A$1:CB$87,'Fórmula'!B48,54)&lt;&gt;"",INDEX(properties!A$1:CB$87,'Fórmula'!B48,54)),IF(INDEX(properties!A$1:CB$87,'Fórmula'!D48,54)&lt;&gt;"",INDEX(properties!A$1:CB$87,'Fórmula'!D48,54)),IF(INDEX(properties!A$1:CB$87,'Fórmula'!F48,54)&lt;&gt;"",INDEX(properties!A$1:CB$87,'Fórmula'!F48,54)),IF(INDEX(properties!A$1:CB$87,'Fórmula'!H48,54)&lt;&gt;"",INDEX(properties!A$1:CB$87,'Fórmula'!H48,54)),IF(INDEX(properties!A$1:CB$87,'Fórmula'!J48,54)&lt;&gt;"",INDEX(properties!A$1:CB$87,'Fórmula'!J48,54)))</f>
        <v>431558.4156</v>
      </c>
      <c r="FK48" s="117">
        <f t="array" ref="FK48">MAX(INDEX(properties!A$1:CB$87,'Fórmula'!B48,54),INDEX(properties!A$1:CB$87,'Fórmula'!D48,54),INDEX(properties!A$1:CB$87,'Fórmula'!F48,54),INDEX(properties!A$1:CB$87,'Fórmula'!H48,54),INDEX(properties!A$1:CB$87,'Fórmula'!J48,54))</f>
        <v>1615.15</v>
      </c>
      <c r="FL48" s="117">
        <f t="array" ref="FL48">MIN(IF(INDEX(properties!A$1:CB$87,'Fórmula'!B48,54)=0,10^6,INDEX(properties!A$1:CB$87,'Fórmula'!B48,54)),IF(INDEX(properties!A$1:CB$87,'Fórmula'!D48,54)=0,10^6,INDEX(properties!A$1:CB$87,'Fórmula'!D48,54)),IF(INDEX(properties!A$1:CB$87,'Fórmula'!F48,54)=0,10^6,INDEX(properties!A$1:CB$87,'Fórmula'!F48,54)),IF(INDEX(properties!A$1:CB$87,'Fórmula'!H48,54)=0,10^6,INDEX(properties!A$1:CB$87,'Fórmula'!H48,54)),IF(INDEX(properties!A$1:CB$87,'Fórmula'!J48,54)=0,10^6,INDEX(properties!A$1:CB$87,'Fórmula'!J48,54)))</f>
        <v>90.15</v>
      </c>
      <c r="FM48" s="117">
        <f t="shared" si="28"/>
        <v>1525</v>
      </c>
      <c r="FN48" s="118">
        <f t="array" ref="FN48">(('Fórmula'!C48)/('Fórmula'!C48+'Fórmula'!E48+'Fórmula'!G48+'Fórmula'!I48+'Fórmula'!K48))*(INDEX(properties!A$1:CB$87,'Fórmula'!B48,55))+(('Fórmula'!E48)/('Fórmula'!C48+'Fórmula'!E48+'Fórmula'!G48+'Fórmula'!I48+'Fórmula'!K48))*(INDEX(properties!A$1:CB$87,'Fórmula'!D48,55))+(('Fórmula'!G48)/('Fórmula'!C48+'Fórmula'!E48+'Fórmula'!G48+'Fórmula'!I48+'Fórmula'!K48))*(INDEX(properties!A$1:CB$87,'Fórmula'!F48,55))+(('Fórmula'!I48)/('Fórmula'!C48+'Fórmula'!E48+'Fórmula'!G48+'Fórmula'!I48+'Fórmula'!K48))*(INDEX(properties!A$1:CB$87,'Fórmula'!H48,55))+(('Fórmula'!K48)/('Fórmula'!C48+'Fórmula'!E48+'Fórmula'!G48+'Fórmula'!I48+'Fórmula'!K48))*(INDEX(properties!A$1:CB$87,'Fórmula'!J48,55))</f>
        <v>0.5858171429</v>
      </c>
      <c r="FO48" s="118">
        <f t="array" ref="FO48">'Fórmula'!C48*(INDEX(properties!A$1:CB$87,'Fórmula'!B48,55))+'Fórmula'!E48*(INDEX(properties!A$1:CB$87,'Fórmula'!D48,54))+'Fórmula'!G48*(INDEX(properties!A$1:CB$87,'Fórmula'!F48,55))+'Fórmula'!I48*(INDEX(properties!A$1:CB$87,'Fórmula'!H48,55))+'Fórmula'!K48*(INDEX(properties!A$1:CB$87,'Fórmula'!J48,55))</f>
        <v>1365.51072</v>
      </c>
      <c r="FP48" s="118">
        <f t="array" ref="FP48">VARP(IF(INDEX(properties!A$1:CB$87,'Fórmula'!B48,55)&lt;&gt;"",INDEX(properties!A$1:CB$87,'Fórmula'!B48,55)),IF(INDEX(properties!A$1:CB$87,'Fórmula'!D48,55)&lt;&gt;"",INDEX(properties!A$1:CB$87,'Fórmula'!D48,55)),IF(INDEX(properties!A$1:CB$87,'Fórmula'!F48,55)&lt;&gt;"",INDEX(properties!A$1:CB$87,'Fórmula'!F48,55)),IF(INDEX(properties!A$1:CB$87,'Fórmula'!H48,55)&lt;&gt;"",INDEX(properties!A$1:CB$87,'Fórmula'!H48,55)),IF(INDEX(properties!A$1:CB$87,'Fórmula'!J48,55)&lt;&gt;"",INDEX(properties!A$1:CB$87,'Fórmula'!J48,55)))</f>
        <v>0.6540158592</v>
      </c>
      <c r="FQ48" s="118">
        <f t="array" ref="FQ48">MAX(INDEX(properties!A$1:CB$87,'Fórmula'!B48,55),INDEX(properties!A$1:CB$87,'Fórmula'!D48,55),INDEX(properties!A$1:CB$87,'Fórmula'!F48,55),INDEX(properties!A$1:CB$87,'Fórmula'!H48,55),INDEX(properties!A$1:CB$87,'Fórmula'!J48,55))</f>
        <v>1.82</v>
      </c>
      <c r="FR48" s="118">
        <f t="array" ref="FR48">MIN(IF(INDEX(properties!A$1:CB$87,'Fórmula'!B48,55)=0,10^6,INDEX(properties!A$1:CB$87,'Fórmula'!B48,55)),IF(INDEX(properties!A$1:CB$87,'Fórmula'!D48,55)=0,10^6,INDEX(properties!A$1:CB$87,'Fórmula'!D48,55)),IF(INDEX(properties!A$1:CB$87,'Fórmula'!F48,55)=0,10^6,INDEX(properties!A$1:CB$87,'Fórmula'!F48,55)),IF(INDEX(properties!A$1:CB$87,'Fórmula'!H48,55)=0,10^6,INDEX(properties!A$1:CB$87,'Fórmula'!H48,55)),IF(INDEX(properties!A$1:CB$87,'Fórmula'!J48,55)=0,10^6,INDEX(properties!A$1:CB$87,'Fórmula'!J48,55)))</f>
        <v>0.00143</v>
      </c>
      <c r="FS48" s="118">
        <f t="shared" si="29"/>
        <v>1.81857</v>
      </c>
      <c r="FT48" s="119">
        <f t="array" ref="FT48">(('Fórmula'!C48)/('Fórmula'!C48+'Fórmula'!E48+'Fórmula'!G48+'Fórmula'!I48+'Fórmula'!K48))*(INDEX(properties!A$1:CB$87,'Fórmula'!B48,56))+(('Fórmula'!E48)/('Fórmula'!C48+'Fórmula'!E48+'Fórmula'!G48+'Fórmula'!I48+'Fórmula'!K48))*(INDEX(properties!A$1:CB$87,'Fórmula'!D48,56))+(('Fórmula'!G48)/('Fórmula'!C48+'Fórmula'!E48+'Fórmula'!G48+'Fórmula'!I48+'Fórmula'!K48))*(INDEX(properties!A$1:CB$87,'Fórmula'!F48,56))+(('Fórmula'!I48)/('Fórmula'!C48+'Fórmula'!E48+'Fórmula'!G48+'Fórmula'!I48+'Fórmula'!K48))*(INDEX(properties!A$1:CB$87,'Fórmula'!H48,56))+(('Fórmula'!K48)/('Fórmula'!C48+'Fórmula'!E48+'Fórmula'!G48+'Fórmula'!I48+'Fórmula'!K48))*(INDEX(properties!A$1:CB$87,'Fórmula'!J48,56))</f>
        <v>1.295714286</v>
      </c>
      <c r="FU48" s="119">
        <f t="array" ref="FU48">'Fórmula'!C48*(INDEX(properties!A$1:CB$87,'Fórmula'!B48,56))+'Fórmula'!E48*(INDEX(properties!A$1:CB$87,'Fórmula'!D48,56))+'Fórmula'!G48*(INDEX(properties!A$1:CB$87,'Fórmula'!F48,56))+'Fórmula'!I48*(INDEX(properties!A$1:CB$87,'Fórmula'!H48,56))+'Fórmula'!K48*(INDEX(properties!A$1:CB$87,'Fórmula'!J48,56))</f>
        <v>9.07</v>
      </c>
      <c r="FV48" s="119">
        <f t="array" ref="FV48">VARP(IF(INDEX(properties!A$1:CB$87,'Fórmula'!B48,56)&lt;&gt;"",INDEX(properties!A$1:CB$87,'Fórmula'!B48,56)),IF(INDEX(properties!A$1:CB$87,'Fórmula'!D48,56)&lt;&gt;"",INDEX(properties!A$1:CB$87,'Fórmula'!D48,56)),IF(INDEX(properties!A$1:CB$87,'Fórmula'!F48,56)&lt;&gt;"",INDEX(properties!A$1:CB$87,'Fórmula'!F48,56)),IF(INDEX(properties!A$1:CB$87,'Fórmula'!H48,56)&lt;&gt;"",INDEX(properties!A$1:CB$87,'Fórmula'!H48,56)),IF(INDEX(properties!A$1:CB$87,'Fórmula'!J48,56)&lt;&gt;"",INDEX(properties!A$1:CB$87,'Fórmula'!J48,56)))</f>
        <v>1.495296</v>
      </c>
      <c r="FW48" s="119">
        <f t="array" ref="FW48">MAX(INDEX(properties!A$1:CB$87,'Fórmula'!B48,56),INDEX(properties!A$1:CB$87,'Fórmula'!D48,56),INDEX(properties!A$1:CB$87,'Fórmula'!F48,56),INDEX(properties!A$1:CB$87,'Fórmula'!H48,56),INDEX(properties!A$1:CB$87,'Fórmula'!J48,56))</f>
        <v>3.6</v>
      </c>
      <c r="FX48" s="119">
        <f t="array" ref="FX48">MIN(IF(INDEX(properties!A$1:CB$87,'Fórmula'!B48,56)=0,10^6,INDEX(properties!A$1:CB$87,'Fórmula'!B48,56)),IF(INDEX(properties!A$1:CB$87,'Fórmula'!D48,56)=0,10^6,INDEX(properties!A$1:CB$87,'Fórmula'!D48,56)),IF(INDEX(properties!A$1:CB$87,'Fórmula'!F48,56)=0,10^6,INDEX(properties!A$1:CB$87,'Fórmula'!F48,56)),IF(INDEX(properties!A$1:CB$87,'Fórmula'!H48,56)=0,10^6,INDEX(properties!A$1:CB$87,'Fórmula'!H48,56)),IF(INDEX(properties!A$1:CB$87,'Fórmula'!J48,56)=0,10^6,INDEX(properties!A$1:CB$87,'Fórmula'!J48,56)))</f>
        <v>0.77</v>
      </c>
      <c r="FY48" s="119">
        <f t="shared" si="30"/>
        <v>2.83</v>
      </c>
      <c r="FZ48" s="104">
        <f t="array" ref="FZ48">(('Fórmula'!C48)/('Fórmula'!C48+'Fórmula'!E48+'Fórmula'!G48+'Fórmula'!I48+'Fórmula'!K48))*(INDEX(properties!A$1:CB$87,'Fórmula'!B48,57))+(('Fórmula'!E48)/('Fórmula'!C48+'Fórmula'!E48+'Fórmula'!G48+'Fórmula'!I48+'Fórmula'!K48))*(INDEX(properties!A$1:CB$87,'Fórmula'!D48,57))+(('Fórmula'!G48)/('Fórmula'!C48+'Fórmula'!E48+'Fórmula'!G48+'Fórmula'!I48+'Fórmula'!K48))*(INDEX(properties!A$1:CB$87,'Fórmula'!F48,57))+(('Fórmula'!I48)/('Fórmula'!C48+'Fórmula'!E48+'Fórmula'!G48+'Fórmula'!I48+'Fórmula'!K48))*(INDEX(properties!A$1:CB$87,'Fórmula'!H48,57))+(('Fórmula'!K48)/('Fórmula'!C48+'Fórmula'!E48+'Fórmula'!G48+'Fórmula'!I48+'Fórmula'!K48))*(INDEX(properties!A$1:CB$87,'Fórmula'!J48,57))</f>
        <v>1.928765714</v>
      </c>
      <c r="GA48" s="104">
        <f t="array" ref="GA48">'Fórmula'!C48*(INDEX(properties!A$1:CB$87,'Fórmula'!B48,57))+'Fórmula'!E48*(INDEX(properties!A$1:CB$87,'Fórmula'!D48,57))+'Fórmula'!G48*(INDEX(properties!A$1:CB$87,'Fórmula'!F48,57))+'Fórmula'!I48*(INDEX(properties!A$1:CB$87,'Fórmula'!H48,57))+'Fórmula'!K48*(INDEX(properties!A$1:CB$87,'Fórmula'!J48,57))</f>
        <v>13.50136</v>
      </c>
      <c r="GB48" s="104">
        <f t="array" ref="GB48">VARP(IF(INDEX(properties!A$1:CB$87,'Fórmula'!B48,57)&lt;&gt;"",INDEX(properties!A$1:CB$87,'Fórmula'!B48,57)),IF(INDEX(properties!A$1:CB$87,'Fórmula'!D48,57)&lt;&gt;"",INDEX(properties!A$1:CB$87,'Fórmula'!D48,57)),IF(INDEX(properties!A$1:CB$87,'Fórmula'!F48,57)&lt;&gt;"",INDEX(properties!A$1:CB$87,'Fórmula'!F48,57)),IF(INDEX(properties!A$1:CB$87,'Fórmula'!H48,57)&lt;&gt;"",INDEX(properties!A$1:CB$87,'Fórmula'!H48,57)),IF(INDEX(properties!A$1:CB$87,'Fórmula'!J48,57)&lt;&gt;"",INDEX(properties!A$1:CB$87,'Fórmula'!J48,57)))</f>
        <v>11.34302097</v>
      </c>
      <c r="GC48" s="104">
        <f t="array" ref="GC48">MAX(INDEX(properties!A$1:CB$87,'Fórmula'!B48,57),INDEX(properties!A$1:CB$87,'Fórmula'!D48,57),INDEX(properties!A$1:CB$87,'Fórmula'!F48,57),INDEX(properties!A$1:CB$87,'Fórmula'!H48,57),INDEX(properties!A$1:CB$87,'Fórmula'!J48,57))</f>
        <v>8.954</v>
      </c>
      <c r="GD48" s="104">
        <f t="array" ref="GD48">MIN(IF(INDEX(properties!A$1:CB$87,'Fórmula'!B48,57)=0,10^6,INDEX(properties!A$1:CB$87,'Fórmula'!B48,57)),IF(INDEX(properties!A$1:CB$87,'Fórmula'!D48,57)=0,10^6,INDEX(properties!A$1:CB$87,'Fórmula'!D48,57)),IF(INDEX(properties!A$1:CB$87,'Fórmula'!F48,57)=0,10^6,INDEX(properties!A$1:CB$87,'Fórmula'!F48,57)),IF(INDEX(properties!A$1:CB$87,'Fórmula'!H48,57)=0,10^6,INDEX(properties!A$1:CB$87,'Fórmula'!H48,57)),IF(INDEX(properties!A$1:CB$87,'Fórmula'!J48,57)=0,10^6,INDEX(properties!A$1:CB$87,'Fórmula'!J48,57)))</f>
        <v>0.22259</v>
      </c>
      <c r="GE48" s="104">
        <f t="shared" si="31"/>
        <v>8.73141</v>
      </c>
      <c r="GF48" s="105">
        <f t="array" ref="GF48">(('Fórmula'!C48)/('Fórmula'!C48+'Fórmula'!E48+'Fórmula'!G48+'Fórmula'!I48+'Fórmula'!K48))*(INDEX(properties!A$1:CB$87,'Fórmula'!B48,60))+(('Fórmula'!E48)/('Fórmula'!C48+'Fórmula'!E48+'Fórmula'!G48+'Fórmula'!I48+'Fórmula'!K48))*(INDEX(properties!A$1:CB$87,'Fórmula'!D48,60))+(('Fórmula'!G48)/('Fórmula'!C48+'Fórmula'!E48+'Fórmula'!G48+'Fórmula'!I48+'Fórmula'!K48))*(INDEX(properties!A$1:CB$87,'Fórmula'!F48,60))+(('Fórmula'!I48)/('Fórmula'!C48+'Fórmula'!E48+'Fórmula'!G48+'Fórmula'!I48+'Fórmula'!K48))*(INDEX(properties!A$1:CB$87,'Fórmula'!H48,60))+(('Fórmula'!K48)/('Fórmula'!C48+'Fórmula'!E48+'Fórmula'!G48+'Fórmula'!I48+'Fórmula'!K48))*(INDEX(properties!A$1:CB$87,'Fórmula'!J48,60))</f>
        <v>34.43456571</v>
      </c>
      <c r="GG48" s="105">
        <f t="array" ref="GG48">'Fórmula'!C48*(INDEX(properties!A$1:CB$87,'Fórmula'!B48,60))+'Fórmula'!E48*(INDEX(properties!A$1:CB$87,'Fórmula'!D48,60))+'Fórmula'!G48*(INDEX(properties!A$1:CB$87,'Fórmula'!F48,60))+'Fórmula'!I48*(INDEX(properties!A$1:CB$87,'Fórmula'!H48,60))+'Fórmula'!K48*(INDEX(properties!A$1:CB$87,'Fórmula'!J48,60))</f>
        <v>241.04196</v>
      </c>
      <c r="GH48" s="105">
        <f t="array" ref="GH48">VARP(IF(INDEX(properties!A$1:CB$87,'Fórmula'!B48,60)&lt;&gt;"",INDEX(properties!A$1:CB$87,'Fórmula'!B48,60)),IF(INDEX(properties!A$1:CB$87,'Fórmula'!D48,60)&lt;&gt;"",INDEX(properties!A$1:CB$87,'Fórmula'!D48,60)),IF(INDEX(properties!A$1:CB$87,'Fórmula'!F48,60)&lt;&gt;"",INDEX(properties!A$1:CB$87,'Fórmula'!F48,60)),IF(INDEX(properties!A$1:CB$87,'Fórmula'!H48,60)&lt;&gt;"",INDEX(properties!A$1:CB$87,'Fórmula'!H48,60)),IF(INDEX(properties!A$1:CB$87,'Fórmula'!J48,60)&lt;&gt;"",INDEX(properties!A$1:CB$87,'Fórmula'!J48,60)))</f>
        <v>3979.526782</v>
      </c>
      <c r="GI48" s="105">
        <f t="array" ref="GI48">MAX(INDEX(properties!A$1:CB$87,'Fórmula'!B48,60),INDEX(properties!A$1:CB$87,'Fórmula'!D48,60),INDEX(properties!A$1:CB$87,'Fórmula'!F48,60),INDEX(properties!A$1:CB$87,'Fórmula'!H48,60),INDEX(properties!A$1:CB$87,'Fórmula'!J48,60))</f>
        <v>156</v>
      </c>
      <c r="GJ48" s="105">
        <f t="array" ref="GJ48">MIN(IF(INDEX(properties!A$1:CB$87,'Fórmula'!B48,60)=0,10^6,INDEX(properties!A$1:CB$87,'Fórmula'!B48,60)),IF(INDEX(properties!A$1:CB$87,'Fórmula'!D48,60)=0,10^6,INDEX(properties!A$1:CB$87,'Fórmula'!D48,60)),IF(INDEX(properties!A$1:CB$87,'Fórmula'!F48,60)=0,10^6,INDEX(properties!A$1:CB$87,'Fórmula'!F48,60)),IF(INDEX(properties!A$1:CB$87,'Fórmula'!H48,60)=0,10^6,INDEX(properties!A$1:CB$87,'Fórmula'!H48,60)),IF(INDEX(properties!A$1:CB$87,'Fórmula'!J48,60)=0,10^6,INDEX(properties!A$1:CB$87,'Fórmula'!J48,60)))</f>
        <v>0.02674</v>
      </c>
      <c r="GK48" s="105">
        <f t="shared" si="32"/>
        <v>155.97326</v>
      </c>
      <c r="GL48" s="106">
        <f t="array" ref="GL48">(('Fórmula'!C48)/('Fórmula'!C48+'Fórmula'!E48+'Fórmula'!G48+'Fórmula'!I48+'Fórmula'!K48))*(INDEX(properties!A$1:CB$87,'Fórmula'!B48,62))+(('Fórmula'!E48)/('Fórmula'!C48+'Fórmula'!E48+'Fórmula'!G48+'Fórmula'!I48+'Fórmula'!K48))*(INDEX(properties!A$1:CB$87,'Fórmula'!D48,62))+(('Fórmula'!G48)/('Fórmula'!C48+'Fórmula'!E48+'Fórmula'!G48+'Fórmula'!I48+'Fórmula'!K48))*(INDEX(properties!A$1:CB$87,'Fórmula'!F48,62))+(('Fórmula'!I48)/('Fórmula'!C48+'Fórmula'!E48+'Fórmula'!G48+'Fórmula'!I48+'Fórmula'!K48))*(INDEX(properties!A$1:CB$87,'Fórmula'!H48,62))+(('Fórmula'!K48)/('Fórmula'!C48+'Fórmula'!E48+'Fórmula'!G48+'Fórmula'!I48+'Fórmula'!K48))*(INDEX(properties!A$1:CB$87,'Fórmula'!J48,62))</f>
        <v>2.435714286</v>
      </c>
      <c r="GM48" s="106">
        <f t="array" ref="GM48">'Fórmula'!C48*(INDEX(properties!A$1:CB$87,'Fórmula'!B48,62))+'Fórmula'!E48*(INDEX(properties!A$1:CB$87,'Fórmula'!D48,62))+'Fórmula'!G48*(INDEX(properties!A$1:CB$87,'Fórmula'!F48,62))+'Fórmula'!I48*(INDEX(properties!A$1:CB$87,'Fórmula'!H48,62))+'Fórmula'!K48*(INDEX(properties!A$1:CB$87,'Fórmula'!J48,62))</f>
        <v>17.05</v>
      </c>
      <c r="GN48" s="106">
        <f t="array" ref="GN48">VARP(IF(INDEX(properties!A$1:CB$87,'Fórmula'!B48,62)&lt;&gt;"",INDEX(properties!A$1:CB$87,'Fórmula'!B48,62)),IF(INDEX(properties!A$1:CB$87,'Fórmula'!D48,62)&lt;&gt;"",INDEX(properties!A$1:CB$87,'Fórmula'!D48,62)),IF(INDEX(properties!A$1:CB$87,'Fórmula'!F48,62)&lt;&gt;"",INDEX(properties!A$1:CB$87,'Fórmula'!F48,62)),IF(INDEX(properties!A$1:CB$87,'Fórmula'!H48,62)&lt;&gt;"",INDEX(properties!A$1:CB$87,'Fórmula'!H48,62)),IF(INDEX(properties!A$1:CB$87,'Fórmula'!J48,62)&lt;&gt;"",INDEX(properties!A$1:CB$87,'Fórmula'!J48,62)))</f>
        <v>1.335016</v>
      </c>
      <c r="GO48" s="106">
        <f t="array" ref="GO48">MAX(INDEX(properties!A$1:CB$87,'Fórmula'!B48,62),INDEX(properties!A$1:CB$87,'Fórmula'!D48,62),INDEX(properties!A$1:CB$87,'Fórmula'!F48,62),INDEX(properties!A$1:CB$87,'Fórmula'!H48,62),INDEX(properties!A$1:CB$87,'Fórmula'!J48,62))</f>
        <v>3.43</v>
      </c>
      <c r="GP48" s="106">
        <f t="array" ref="GP48">MIN(IF(INDEX(properties!A$1:CB$87,'Fórmula'!B48,62)=0,10^6,INDEX(properties!A$1:CB$87,'Fórmula'!B48,62)),IF(INDEX(properties!A$1:CB$87,'Fórmula'!D48,62)=0,10^6,INDEX(properties!A$1:CB$87,'Fórmula'!D48,62)),IF(INDEX(properties!A$1:CB$87,'Fórmula'!F48,62)=0,10^6,INDEX(properties!A$1:CB$87,'Fórmula'!F48,62)),IF(INDEX(properties!A$1:CB$87,'Fórmula'!H48,62)=0,10^6,INDEX(properties!A$1:CB$87,'Fórmula'!H48,62)),IF(INDEX(properties!A$1:CB$87,'Fórmula'!J48,62)=0,10^6,INDEX(properties!A$1:CB$87,'Fórmula'!J48,62)))</f>
        <v>1.51</v>
      </c>
      <c r="GQ48" s="106">
        <f t="shared" si="33"/>
        <v>1.92</v>
      </c>
      <c r="GR48" s="106">
        <f>'Fórmula'!Q48</f>
        <v>62</v>
      </c>
      <c r="GS48" s="107">
        <f>'Fórmula'!P48</f>
        <v>3</v>
      </c>
      <c r="GT48" s="113">
        <f>'Fórmula'!O48</f>
        <v>2.98</v>
      </c>
      <c r="GU48" s="114">
        <f>AVERAGE('Fórmula'!R48/'Fórmula'!S48,'Fórmula'!S48/'Fórmula'!T48,'Fórmula'!T48/'Fórmula'!R48)</f>
        <v>1.146141196</v>
      </c>
      <c r="GV48" s="125">
        <f>'Fórmula'!U48</f>
        <v>280.86</v>
      </c>
      <c r="GW48" s="106">
        <f>'Fórmula'!N48</f>
        <v>0.08</v>
      </c>
    </row>
    <row r="49" ht="14.25" customHeight="1">
      <c r="A49" s="99" t="str">
        <f>'Fórmula'!A49</f>
        <v>Ba3B6Si2O16</v>
      </c>
      <c r="B49" s="101">
        <f t="array" ref="B49">(('Fórmula'!C49)/('Fórmula'!C49+'Fórmula'!E49+'Fórmula'!G49+'Fórmula'!I49+'Fórmula'!K49))*(INDEX(properties!A$1:CB$87,'Fórmula'!B49,3))+(('Fórmula'!E49)/('Fórmula'!C49+'Fórmula'!E49+'Fórmula'!G49+'Fórmula'!I49+'Fórmula'!K49))*(INDEX(properties!A$1:CB$87,'Fórmula'!D49,3))+(('Fórmula'!G49)/('Fórmula'!C49+'Fórmula'!E49+'Fórmula'!G49+'Fórmula'!I49+'Fórmula'!K49))*(INDEX(properties!A$1:CB$87,'Fórmula'!F49,3))+(('Fórmula'!I49)/('Fórmula'!C49+'Fórmula'!E49+'Fórmula'!G49+'Fórmula'!I49+'Fórmula'!K49))*(INDEX(properties!A$1:CB$87,'Fórmula'!H49,3))+(('Fórmula'!K49)/('Fórmula'!C49+'Fórmula'!E49+'Fórmula'!G49+'Fórmula'!I49+'Fórmula'!K49))*(INDEX(properties!A$1:CB$87,'Fórmula'!J49,3))</f>
        <v>29.22253333</v>
      </c>
      <c r="C49" s="101">
        <f t="array" ref="C49">'Fórmula'!C49*(INDEX(properties!A$1:CB$87,'Fórmula'!B49,3))+'Fórmula'!E49*(INDEX(properties!A$1:CB$87,'Fórmula'!D49,3))+'Fórmula'!G49*(INDEX(properties!A$1:CB$87,'Fórmula'!F49,3))+'Fórmula'!I49*(INDEX(properties!A$1:CB$87,'Fórmula'!H49,3))+'Fórmula'!K49*(INDEX(properties!A$1:CB$87,'Fórmula'!J49,3))</f>
        <v>789.0084</v>
      </c>
      <c r="D49" s="101">
        <f t="array" ref="D49">VARP(IF(INDEX(properties!A$1:CB$87,'Fórmula'!B49,3)&lt;&gt;"",INDEX(properties!A$1:CB$87,'Fórmula'!B49,3)),IF(INDEX(properties!A$1:CB$87,'Fórmula'!D49,3)&lt;&gt;"",INDEX(properties!A$1:CB$87,'Fórmula'!D49,3)),IF(INDEX(properties!A$1:CB$87,'Fórmula'!F49,3)&lt;&gt;"",INDEX(properties!A$1:CB$87,'Fórmula'!F49,3)),IF(INDEX(properties!A$1:CB$87,'Fórmula'!H49,3)&lt;&gt;"",INDEX(properties!A$1:CB$87,'Fórmula'!H49,3)),IF(INDEX(properties!A$1:CB$87,'Fórmula'!J49,3)&lt;&gt;"",INDEX(properties!A$1:CB$87,'Fórmula'!J49,3)))</f>
        <v>2526.086021</v>
      </c>
      <c r="E49" s="101">
        <f t="array" ref="E49">MAX(INDEX(properties!A$1:CB$87,'Fórmula'!B49,3),INDEX(properties!A$1:CB$87,'Fórmula'!D49,3),INDEX(properties!A$1:CB$87,'Fórmula'!F49,3),INDEX(properties!A$1:CB$87,'Fórmula'!H49,3),INDEX(properties!A$1:CB$87,'Fórmula'!J49,3))</f>
        <v>137.327</v>
      </c>
      <c r="F49" s="101">
        <f t="array" ref="F49">MIN(IF(INDEX(properties!A$1:CB$87,'Fórmula'!B49,3)=0,10^6,INDEX(properties!A$1:CB$87,'Fórmula'!B49,3)),IF(INDEX(properties!A$1:CB$87,'Fórmula'!D49,3)=0,10^6,INDEX(properties!A$1:CB$87,'Fórmula'!D49,3)),IF(INDEX(properties!A$1:CB$87,'Fórmula'!F49,3)=0,10^6,INDEX(properties!A$1:CB$87,'Fórmula'!F49,3)),IF(INDEX(properties!A$1:CB$87,'Fórmula'!H49,3)=0,10^6,INDEX(properties!A$1:CB$87,'Fórmula'!H49,3)),IF(INDEX(properties!A$1:CB$87,'Fórmula'!J49,3)=0,10^6,INDEX(properties!A$1:CB$87,'Fórmula'!J49,3)))</f>
        <v>10.811</v>
      </c>
      <c r="G49" s="101">
        <f t="shared" si="1"/>
        <v>126.516</v>
      </c>
      <c r="H49" s="102">
        <f t="array" ref="H49">(('Fórmula'!C49)/('Fórmula'!C49+'Fórmula'!E49+'Fórmula'!G49+'Fórmula'!I49+'Fórmula'!K49))*(INDEX(properties!A$1:CB$87,'Fórmula'!B49,4))+(('Fórmula'!E49)/('Fórmula'!C49+'Fórmula'!E49+'Fórmula'!G49+'Fórmula'!I49+'Fórmula'!K49))*(INDEX(properties!A$1:CB$87,'Fórmula'!D49,4))+(('Fórmula'!G49)/('Fórmula'!C49+'Fórmula'!E49+'Fórmula'!G49+'Fórmula'!I49+'Fórmula'!K49))*(INDEX(properties!A$1:CB$87,'Fórmula'!F49,4))+(('Fórmula'!I49)/('Fórmula'!C49+'Fórmula'!E49+'Fórmula'!G49+'Fórmula'!I49+'Fórmula'!K49))*(INDEX(properties!A$1:CB$87,'Fórmula'!H49,4))+(('Fórmula'!K49)/('Fórmula'!C49+'Fórmula'!E49+'Fórmula'!G49+'Fórmula'!I49+'Fórmula'!K49))*(INDEX(properties!A$1:CB$87,'Fórmula'!J49,4))</f>
        <v>13.11111111</v>
      </c>
      <c r="I49" s="102">
        <f t="array" ref="I49">'Fórmula'!C49*(INDEX(properties!A$1:CB$87,'Fórmula'!B49,4))+'Fórmula'!E49*(INDEX(properties!A$1:CB$87,'Fórmula'!D49,4))+'Fórmula'!G49*(INDEX(properties!A$1:CB$87,'Fórmula'!F49,4))+'Fórmula'!I49*(INDEX(properties!A$1:CB$87,'Fórmula'!H49,4))+'Fórmula'!K49*(INDEX(properties!A$1:CB$87,'Fórmula'!J49,4))</f>
        <v>354</v>
      </c>
      <c r="J49" s="102">
        <f t="array" ref="J49">VARP(IF(INDEX(properties!A$1:CB$87,'Fórmula'!B49,4)&lt;&gt;"",INDEX(properties!A$1:CB$87,'Fórmula'!B49,4)),IF(INDEX(properties!A$1:CB$87,'Fórmula'!D49,4)&lt;&gt;"",INDEX(properties!A$1:CB$87,'Fórmula'!D49,4)),IF(INDEX(properties!A$1:CB$87,'Fórmula'!F49,4)&lt;&gt;"",INDEX(properties!A$1:CB$87,'Fórmula'!F49,4)),IF(INDEX(properties!A$1:CB$87,'Fórmula'!H49,4)&lt;&gt;"",INDEX(properties!A$1:CB$87,'Fórmula'!H49,4)),IF(INDEX(properties!A$1:CB$87,'Fórmula'!J49,4)&lt;&gt;"",INDEX(properties!A$1:CB$87,'Fórmula'!J49,4)))</f>
        <v>408.64</v>
      </c>
      <c r="K49" s="102">
        <f t="array" ref="K49">MAX(INDEX(properties!A$1:CB$87,'Fórmula'!B49,4),INDEX(properties!A$1:CB$87,'Fórmula'!D49,4),INDEX(properties!A$1:CB$87,'Fórmula'!F49,4),INDEX(properties!A$1:CB$87,'Fórmula'!H49,4),INDEX(properties!A$1:CB$87,'Fórmula'!J49,4))</f>
        <v>56</v>
      </c>
      <c r="L49" s="102">
        <f t="array" ref="L49">MIN(IF(INDEX(properties!A$1:CB$87,'Fórmula'!B49,4)=0,10^6,INDEX(properties!A$1:CB$87,'Fórmula'!B49,4)),IF(INDEX(properties!A$1:CB$87,'Fórmula'!D49,4)=0,10^6,INDEX(properties!A$1:CB$87,'Fórmula'!D49,4)),IF(INDEX(properties!A$1:CB$87,'Fórmula'!F49,4)=0,10^6,INDEX(properties!A$1:CB$87,'Fórmula'!F49,4)),IF(INDEX(properties!A$1:CB$87,'Fórmula'!H49,4)=0,10^6,INDEX(properties!A$1:CB$87,'Fórmula'!H49,4)),IF(INDEX(properties!A$1:CB$87,'Fórmula'!J49,4)=0,10^6,INDEX(properties!A$1:CB$87,'Fórmula'!J49,4)))</f>
        <v>5</v>
      </c>
      <c r="M49" s="102">
        <f t="shared" si="2"/>
        <v>51</v>
      </c>
      <c r="N49" s="103">
        <f t="array" ref="N49">(('Fórmula'!C49)/('Fórmula'!C49+'Fórmula'!E49+'Fórmula'!G49+'Fórmula'!I49+'Fórmula'!K49))*(INDEX(properties!A$1:CB$87,'Fórmula'!B49,5))+(('Fórmula'!E49)/('Fórmula'!C49+'Fórmula'!E49+'Fórmula'!G49+'Fórmula'!I49+'Fórmula'!K49))*(INDEX(properties!A$1:CB$87,'Fórmula'!D49,5))+(('Fórmula'!G49)/('Fórmula'!C49+'Fórmula'!E49+'Fórmula'!G49+'Fórmula'!I49+'Fórmula'!K49))*(INDEX(properties!A$1:CB$87,'Fórmula'!F49,5))+(('Fórmula'!I49)/('Fórmula'!C49+'Fórmula'!E49+'Fórmula'!G49+'Fórmula'!I49+'Fórmula'!K49))*(INDEX(properties!A$1:CB$87,'Fórmula'!H49,5))+(('Fórmula'!K49)/('Fórmula'!C49+'Fórmula'!E49+'Fórmula'!G49+'Fórmula'!I49+'Fórmula'!K49))*(INDEX(properties!A$1:CB$87,'Fórmula'!J49,5))</f>
        <v>2.518518519</v>
      </c>
      <c r="O49" s="103">
        <f t="array" ref="O49">'Fórmula'!C49*(INDEX(properties!A$1:CB$87,'Fórmula'!B49,5))+'Fórmula'!E49*(INDEX(properties!A$1:CB$87,'Fórmula'!D49,5))+'Fórmula'!G49*(INDEX(properties!A$1:CB$87,'Fórmula'!F49,5))+'Fórmula'!I49*(INDEX(properties!A$1:CB$87,'Fórmula'!H49,5))+'Fórmula'!K49*(INDEX(properties!A$1:CB$87,'Fórmula'!J49,5))</f>
        <v>68</v>
      </c>
      <c r="P49" s="103">
        <f t="array" ref="P49">VARP(IF(INDEX(properties!A$1:CB$87,'Fórmula'!B49,5)&lt;&gt;"",INDEX(properties!A$1:CB$87,'Fórmula'!B49,5)),IF(INDEX(properties!A$1:CB$87,'Fórmula'!D49,5)&lt;&gt;"",INDEX(properties!A$1:CB$87,'Fórmula'!D49,5)),IF(INDEX(properties!A$1:CB$87,'Fórmula'!F49,5)&lt;&gt;"",INDEX(properties!A$1:CB$87,'Fórmula'!F49,5)),IF(INDEX(properties!A$1:CB$87,'Fórmula'!H49,5)&lt;&gt;"",INDEX(properties!A$1:CB$87,'Fórmula'!H49,5)),IF(INDEX(properties!A$1:CB$87,'Fórmula'!J49,5)&lt;&gt;"",INDEX(properties!A$1:CB$87,'Fórmula'!J49,5)))</f>
        <v>3.84</v>
      </c>
      <c r="Q49" s="103">
        <f t="array" ref="Q49">MAX(INDEX(properties!A$1:CB$87,'Fórmula'!B49,5),INDEX(properties!A$1:CB$87,'Fórmula'!D49,5),INDEX(properties!A$1:CB$87,'Fórmula'!F49,5),INDEX(properties!A$1:CB$87,'Fórmula'!H49,5),INDEX(properties!A$1:CB$87,'Fórmula'!J49,5))</f>
        <v>6</v>
      </c>
      <c r="R49" s="103">
        <f t="array" ref="R49">MIN(IF(INDEX(properties!A$1:CB$87,'Fórmula'!B49,5)=0,10^6,INDEX(properties!A$1:CB$87,'Fórmula'!B49,5)),IF(INDEX(properties!A$1:CB$87,'Fórmula'!D49,5)=0,10^6,INDEX(properties!A$1:CB$87,'Fórmula'!D49,5)),IF(INDEX(properties!A$1:CB$87,'Fórmula'!F49,5)=0,10^6,INDEX(properties!A$1:CB$87,'Fórmula'!F49,5)),IF(INDEX(properties!A$1:CB$87,'Fórmula'!H49,5)=0,10^6,INDEX(properties!A$1:CB$87,'Fórmula'!H49,5)),IF(INDEX(properties!A$1:CB$87,'Fórmula'!J49,5)=0,10^6,INDEX(properties!A$1:CB$87,'Fórmula'!J49,5)))</f>
        <v>2</v>
      </c>
      <c r="S49" s="103">
        <f t="shared" si="3"/>
        <v>4</v>
      </c>
      <c r="T49" s="104">
        <f t="array" ref="T49">(('Fórmula'!C49)/('Fórmula'!C49+'Fórmula'!E49+'Fórmula'!G49+'Fórmula'!I49+'Fórmula'!K49))*(INDEX(properties!A$1:CB$87,'Fórmula'!B49,6))+(('Fórmula'!E49)/('Fórmula'!C49+'Fórmula'!E49+'Fórmula'!G49+'Fórmula'!I49+'Fórmula'!K49))*(INDEX(properties!A$1:CB$87,'Fórmula'!D49,6))+(('Fórmula'!G49)/('Fórmula'!C49+'Fórmula'!E49+'Fórmula'!G49+'Fórmula'!I49+'Fórmula'!K49))*(INDEX(properties!A$1:CB$87,'Fórmula'!F49,6))+(('Fórmula'!I49)/('Fórmula'!C49+'Fórmula'!E49+'Fórmula'!G49+'Fórmula'!I49+'Fórmula'!K49))*(INDEX(properties!A$1:CB$87,'Fórmula'!H49,6))+(('Fórmula'!K49)/('Fórmula'!C49+'Fórmula'!E49+'Fórmula'!G49+'Fórmula'!I49+'Fórmula'!K49))*(INDEX(properties!A$1:CB$87,'Fórmula'!J49,6))</f>
        <v>13.62962963</v>
      </c>
      <c r="U49" s="104">
        <f t="array" ref="U49">'Fórmula'!C49*(INDEX(properties!A$1:CB$87,'Fórmula'!B49,6))+'Fórmula'!E49*(INDEX(properties!A$1:CB$87,'Fórmula'!D49,6))+'Fórmula'!G49*(INDEX(properties!A$1:CB$87,'Fórmula'!F49,6))+'Fórmula'!I49*(INDEX(properties!A$1:CB$87,'Fórmula'!H49,6))+'Fórmula'!K49*(INDEX(properties!A$1:CB$87,'Fórmula'!J49,6))</f>
        <v>368</v>
      </c>
      <c r="V49" s="103">
        <f t="array" ref="V49">VARP(IF(INDEX(properties!A$1:CB$87,'Fórmula'!B49,6)&lt;&gt;"",INDEX(properties!A$1:CB$87,'Fórmula'!B49,6)),IF(INDEX(properties!A$1:CB$87,'Fórmula'!D49,6)&lt;&gt;"",INDEX(properties!A$1:CB$87,'Fórmula'!D49,6)),IF(INDEX(properties!A$1:CB$87,'Fórmula'!F49,6)&lt;&gt;"",INDEX(properties!A$1:CB$87,'Fórmula'!F49,6)),IF(INDEX(properties!A$1:CB$87,'Fórmula'!H49,6)&lt;&gt;"",INDEX(properties!A$1:CB$87,'Fórmula'!H49,6)),IF(INDEX(properties!A$1:CB$87,'Fórmula'!J49,6)&lt;&gt;"",INDEX(properties!A$1:CB$87,'Fórmula'!J49,6)))</f>
        <v>44</v>
      </c>
      <c r="W49" s="104">
        <f t="array" ref="W49">MAX(INDEX(properties!A$1:CB$87,'Fórmula'!B49,6),INDEX(properties!A$1:CB$87,'Fórmula'!D49,6),INDEX(properties!A$1:CB$87,'Fórmula'!F49,6),INDEX(properties!A$1:CB$87,'Fórmula'!H49,4),INDEX(properties!A$1:CB$87,'Fórmula'!J49,6))</f>
        <v>14</v>
      </c>
      <c r="X49" s="104">
        <f t="array" ref="X49">MIN(IF(INDEX(properties!A$1:CB$87,'Fórmula'!B49,6)=0,10^6,INDEX(properties!A$1:CB$87,'Fórmula'!B49,6)),IF(INDEX(properties!A$1:CB$87,'Fórmula'!D49,6)=0,10^6,INDEX(properties!A$1:CB$87,'Fórmula'!D49,6)),IF(INDEX(properties!A$1:CB$87,'Fórmula'!F49,6)=0,10^6,INDEX(properties!A$1:CB$87,'Fórmula'!F49,6)),IF(INDEX(properties!A$1:CB$87,'Fórmula'!H49,6)=0,10^6,INDEX(properties!A$1:CB$87,'Fórmula'!H49,6)),IF(INDEX(properties!A$1:CB$87,'Fórmula'!J49,6)=0,10^6,INDEX(properties!A$1:CB$87,'Fórmula'!J49,6)))</f>
        <v>2</v>
      </c>
      <c r="Y49" s="104">
        <f t="shared" si="4"/>
        <v>12</v>
      </c>
      <c r="Z49" s="105">
        <f t="array" ref="Z49">(('Fórmula'!C49)/('Fórmula'!C49+'Fórmula'!E49+'Fórmula'!G49+'Fórmula'!I49+'Fórmula'!K49))*(INDEX(properties!A$1:CB$87,'Fórmula'!B49,9))+(('Fórmula'!E49)/('Fórmula'!C49+'Fórmula'!E49+'Fórmula'!G49+'Fórmula'!I49+'Fórmula'!K49))*(INDEX(properties!A$1:CB$87,'Fórmula'!D49,9))+(('Fórmula'!G49)/('Fórmula'!C49+'Fórmula'!E49+'Fórmula'!G49+'Fórmula'!I49+'Fórmula'!K49))*(INDEX(properties!A$1:CB$87,'Fórmula'!F49,9))+(('Fórmula'!I49)/('Fórmula'!C49+'Fórmula'!E49+'Fórmula'!G49+'Fórmula'!I49+'Fórmula'!K49))*(INDEX(properties!A$1:CB$87,'Fórmula'!H49,9))+(('Fórmula'!K49)/('Fórmula'!C49+'Fórmula'!E49+'Fórmula'!G49+'Fórmula'!I49+'Fórmula'!K49))*(INDEX(properties!A$1:CB$87,'Fórmula'!J49,9))</f>
        <v>74.33333333</v>
      </c>
      <c r="AA49" s="105">
        <f t="array" ref="AA49">'Fórmula'!C49*(INDEX(properties!A$1:CB$87,'Fórmula'!B49,9))+'Fórmula'!E49*(INDEX(properties!A$1:CB$87,'Fórmula'!D49,9))+'Fórmula'!G49*(INDEX(properties!A$1:CB$87,'Fórmula'!F49,9))+'Fórmula'!I49*(INDEX(properties!A$1:CB$87,'Fórmula'!H49,9))+'Fórmula'!K49*(INDEX(properties!A$1:CB$87,'Fórmula'!J49,9))</f>
        <v>2007</v>
      </c>
      <c r="AB49" s="105">
        <f t="array" ref="AB49">VARP(IF(INDEX(properties!A$1:CB$87,'Fórmula'!B49,9)&lt;&gt;"",INDEX(properties!A$1:CB$87,'Fórmula'!B49,9)),IF(INDEX(properties!A$1:CB$87,'Fórmula'!D49,9)&lt;&gt;"",INDEX(properties!A$1:CB$87,'Fórmula'!D49,9)),IF(INDEX(properties!A$1:CB$87,'Fórmula'!F49,9)&lt;&gt;"",INDEX(properties!A$1:CB$87,'Fórmula'!F49,9)),IF(INDEX(properties!A$1:CB$87,'Fórmula'!H49,9)&lt;&gt;"",INDEX(properties!A$1:CB$87,'Fórmula'!H49,9)),IF(INDEX(properties!A$1:CB$87,'Fórmula'!J49,9)&lt;&gt;"",INDEX(properties!A$1:CB$87,'Fórmula'!J49,9)))</f>
        <v>1362.96</v>
      </c>
      <c r="AC49" s="105">
        <f t="array" ref="AC49">MAX(INDEX(properties!A$1:CB$87,'Fórmula'!B49,9),INDEX(properties!A$1:CB$87,'Fórmula'!D49,9),INDEX(properties!A$1:CB$87,'Fórmula'!F49,9),INDEX(properties!A$1:CB$87,'Fórmula'!H49,9),INDEX(properties!A$1:CB$87,'Fórmula'!J49,9))</f>
        <v>87</v>
      </c>
      <c r="AD49" s="105">
        <f t="array" ref="AD49">MIN(IF(INDEX(properties!A$1:CB$87,'Fórmula'!B49,9)=0,10^6,INDEX(properties!A$1:CB$87,'Fórmula'!B49,9)),IF(INDEX(properties!A$1:CB$87,'Fórmula'!D49,9)=0,10^6,INDEX(properties!A$1:CB$87,'Fórmula'!D49,9)),IF(INDEX(properties!A$1:CB$87,'Fórmula'!F49,9)=0,10^6,INDEX(properties!A$1:CB$87,'Fórmula'!F49,9)),IF(INDEX(properties!A$1:CB$87,'Fórmula'!H49,9)=0,10^6,INDEX(properties!A$1:CB$87,'Fórmula'!H49,9)),IF(INDEX(properties!A$1:CB$87,'Fórmula'!J49,9)=0,10^6,INDEX(properties!A$1:CB$87,'Fórmula'!J49,9)))</f>
        <v>9</v>
      </c>
      <c r="AE49" s="105">
        <f t="shared" si="5"/>
        <v>78</v>
      </c>
      <c r="AF49" s="106">
        <f t="array" ref="AF49">(('Fórmula'!C49)/('Fórmula'!C49+'Fórmula'!E49+'Fórmula'!G49+'Fórmula'!I49+'Fórmula'!K49))*(INDEX(properties!A$1:CB$87,'Fórmula'!B49,10))+(('Fórmula'!E49)/('Fórmula'!C49+'Fórmula'!E49+'Fórmula'!G49+'Fórmula'!I49+'Fórmula'!K49))*(INDEX(properties!A$1:CB$87,'Fórmula'!D49,10))+(('Fórmula'!G49)/('Fórmula'!C49+'Fórmula'!E49+'Fórmula'!G49+'Fórmula'!I49+'Fórmula'!K49))*(INDEX(properties!A$1:CB$87,'Fórmula'!F49,10))+(('Fórmula'!I49)/('Fórmula'!C49+'Fórmula'!E49+'Fórmula'!G49+'Fórmula'!I49+'Fórmula'!K49))*(INDEX(properties!A$1:CB$87,'Fórmula'!H49,10))+(('Fórmula'!K49)/('Fórmula'!C49+'Fórmula'!E49+'Fórmula'!G49+'Fórmula'!I49+'Fórmula'!K49))*(INDEX(properties!A$1:CB$87,'Fórmula'!J49,10))</f>
        <v>6.148148148</v>
      </c>
      <c r="AG49" s="106">
        <f t="array" ref="AG49">'Fórmula'!C49*(INDEX(properties!A$1:CB$87,'Fórmula'!B49,10))+'Fórmula'!E49*(INDEX(properties!A$1:CB$87,'Fórmula'!D49,10))+'Fórmula'!G49*(INDEX(properties!A$1:CB$87,'Fórmula'!F49,10))+'Fórmula'!I49*(INDEX(properties!A$1:CB$87,'Fórmula'!H49,10))+'Fórmula'!K49*(INDEX(properties!A$1:CB$87,'Fórmula'!J49,10))</f>
        <v>166</v>
      </c>
      <c r="AH49" s="106">
        <f t="array" ref="AH49">VARP(IF(INDEX(properties!A$1:CB$87,'Fórmula'!B49,10)&lt;&gt;"",INDEX(properties!A$1:CB$87,'Fórmula'!B49,10)),IF(INDEX(properties!A$1:CB$87,'Fórmula'!D49,10)&lt;&gt;"",INDEX(properties!A$1:CB$87,'Fórmula'!D49,10)),IF(INDEX(properties!A$1:CB$87,'Fórmula'!F49,10)&lt;&gt;"",INDEX(properties!A$1:CB$87,'Fórmula'!F49,10)),IF(INDEX(properties!A$1:CB$87,'Fórmula'!H49,10)&lt;&gt;"",INDEX(properties!A$1:CB$87,'Fórmula'!H49,10)),IF(INDEX(properties!A$1:CB$87,'Fórmula'!J49,10)&lt;&gt;"",INDEX(properties!A$1:CB$87,'Fórmula'!J49,10)))</f>
        <v>7.36</v>
      </c>
      <c r="AI49" s="106">
        <f t="array" ref="AI49">MAX(INDEX(properties!A$1:CB$87,'Fórmula'!B49,10),INDEX(properties!A$1:CB$87,'Fórmula'!D49,10),INDEX(properties!A$1:CB$87,'Fórmula'!F49,10),INDEX(properties!A$1:CB$87,'Fórmula'!H49,10),INDEX(properties!A$1:CB$87,'Fórmula'!J49,10))</f>
        <v>7</v>
      </c>
      <c r="AJ49" s="106">
        <f t="array" ref="AJ49">MIN(IF(INDEX(properties!A$1:CB$87,'Fórmula'!B49,10)=0,10^6,INDEX(properties!A$1:CB$87,'Fórmula'!B49,10)),IF(INDEX(properties!A$1:CB$87,'Fórmula'!D49,10)=0,10^6,INDEX(properties!A$1:CB$87,'Fórmula'!D49,10)),IF(INDEX(properties!A$1:CB$87,'Fórmula'!F49,10)=0,10^6,INDEX(properties!A$1:CB$87,'Fórmula'!F49,10)),IF(INDEX(properties!A$1:CB$87,'Fórmula'!H49,10)=0,10^6,INDEX(properties!A$1:CB$87,'Fórmula'!H49,10)),IF(INDEX(properties!A$1:CB$87,'Fórmula'!J49,10)=0,10^6,INDEX(properties!A$1:CB$87,'Fórmula'!J49,10)))</f>
        <v>2</v>
      </c>
      <c r="AK49" s="106">
        <f t="shared" si="6"/>
        <v>5</v>
      </c>
      <c r="AL49" s="107">
        <f t="array" ref="AL49">(('Fórmula'!C49)/('Fórmula'!C49+'Fórmula'!E49+'Fórmula'!G49+'Fórmula'!I49+'Fórmula'!K49))*(INDEX(properties!A$1:CB$87,'Fórmula'!B49,11))+(('Fórmula'!E49)/('Fórmula'!C49+'Fórmula'!E49+'Fórmula'!G49+'Fórmula'!I49+'Fórmula'!K49))*(INDEX(properties!A$1:CB$87,'Fórmula'!D49,11))+(('Fórmula'!G49)/('Fórmula'!C49+'Fórmula'!E49+'Fórmula'!G49+'Fórmula'!I49+'Fórmula'!K49))*(INDEX(properties!A$1:CB$87,'Fórmula'!F49,11))+(('Fórmula'!I49)/('Fórmula'!C49+'Fórmula'!E49+'Fórmula'!G49+'Fórmula'!I49+'Fórmula'!K49))*(INDEX(properties!A$1:CB$87,'Fórmula'!H49,11))+(('Fórmula'!K49)/('Fórmula'!C49+'Fórmula'!E49+'Fórmula'!G49+'Fórmula'!I49+'Fórmula'!K49))*(INDEX(properties!A$1:CB$87,'Fórmula'!J49,11))</f>
        <v>2</v>
      </c>
      <c r="AM49" s="107">
        <f t="array" ref="AM49">'Fórmula'!C49*(INDEX(properties!A$1:CB$87,'Fórmula'!B49,11))+'Fórmula'!E49*(INDEX(properties!A$1:CB$87,'Fórmula'!D49,11))+'Fórmula'!G49*(INDEX(properties!A$1:CB$87,'Fórmula'!F49,11))+'Fórmula'!I49*(INDEX(properties!A$1:CB$87,'Fórmula'!H49,11))+'Fórmula'!K49*(INDEX(properties!A$1:CB$87,'Fórmula'!J49,11))</f>
        <v>54</v>
      </c>
      <c r="AN49" s="107">
        <f t="array" ref="AN49">VARP(IF(INDEX(properties!A$1:CB$87,'Fórmula'!B49,11)&lt;&gt;"",INDEX(properties!A$1:CB$87,'Fórmula'!B49,11)),IF(INDEX(properties!A$1:CB$87,'Fórmula'!D49,11)&lt;&gt;"",INDEX(properties!A$1:CB$87,'Fórmula'!D49,11)),IF(INDEX(properties!A$1:CB$87,'Fórmula'!F49,11)&lt;&gt;"",INDEX(properties!A$1:CB$87,'Fórmula'!F49,11)),IF(INDEX(properties!A$1:CB$87,'Fórmula'!H49,11)&lt;&gt;"",INDEX(properties!A$1:CB$87,'Fórmula'!H49,11)),IF(INDEX(properties!A$1:CB$87,'Fórmula'!J49,11)&lt;&gt;"",INDEX(properties!A$1:CB$87,'Fórmula'!J49,11)))</f>
        <v>0.64</v>
      </c>
      <c r="AO49" s="107">
        <f t="array" ref="AO49">MAX(INDEX(properties!A$1:CB$87,'Fórmula'!B49,11),INDEX(properties!A$1:CB$87,'Fórmula'!D49,11),INDEX(properties!A$1:CB$87,'Fórmula'!F49,11),INDEX(properties!A$1:CB$87,'Fórmula'!H49,11),INDEX(properties!A$1:CB$87,'Fórmula'!J49,11))</f>
        <v>2</v>
      </c>
      <c r="AP49" s="107">
        <f t="array" ref="AP49">MIN(IF('Fórmula'!B49=87,10^6,INDEX(properties!A$1:CB$87,'Fórmula'!B49,11)),IF(('Fórmula'!D49)=87,10^6,INDEX(properties!A$1:CB$87,'Fórmula'!D49,11)),IF(('Fórmula'!F49)=87,10^6,INDEX(properties!A$1:CB$87,'Fórmula'!F49,11)),IF(('Fórmula'!H49)=87,10^6,INDEX(properties!A$1:CB$87,'Fórmula'!H49,11)),IF('Fórmula'!J49=87,10^6,INDEX(properties!A$1:CB$87,'Fórmula'!J49,11)))</f>
        <v>2</v>
      </c>
      <c r="AQ49" s="107">
        <f t="shared" si="7"/>
        <v>0</v>
      </c>
      <c r="AR49" s="108">
        <f t="array" ref="AR49">(('Fórmula'!C49)/('Fórmula'!C49+'Fórmula'!E49+'Fórmula'!G49+'Fórmula'!I49+'Fórmula'!K49))*(INDEX(properties!A$1:CB$87,'Fórmula'!B49,12))+(('Fórmula'!E49)/('Fórmula'!C49+'Fórmula'!E49+'Fórmula'!G49+'Fórmula'!I49+'Fórmula'!K49))*(INDEX(properties!A$1:CB$87,'Fórmula'!D49,12))+(('Fórmula'!G49)/('Fórmula'!C49+'Fórmula'!E49+'Fórmula'!G49+'Fórmula'!I49+'Fórmula'!K49))*(INDEX(properties!A$1:CB$87,'Fórmula'!F49,12))+(('Fórmula'!I49)/('Fórmula'!C49+'Fórmula'!E49+'Fórmula'!G49+'Fórmula'!I49+'Fórmula'!K49))*(INDEX(properties!A$1:CB$87,'Fórmula'!H49,12))+(('Fórmula'!K49)/('Fórmula'!C49+'Fórmula'!E49+'Fórmula'!G49+'Fórmula'!I49+'Fórmula'!K49))*(INDEX(properties!A$1:CB$87,'Fórmula'!J49,12))</f>
        <v>2.740740741</v>
      </c>
      <c r="AS49" s="108">
        <f t="array" ref="AS49">'Fórmula'!C49*(INDEX(properties!A$1:CB$87,'Fórmula'!B49,12))+'Fórmula'!E49*(INDEX(properties!A$1:CB$87,'Fórmula'!D49,12))+'Fórmula'!G49*(INDEX(properties!A$1:CB$87,'Fórmula'!F49,12))+'Fórmula'!I49*(INDEX(properties!A$1:CB$87,'Fórmula'!H49,12))+'Fórmula'!K49*(INDEX(properties!A$1:CB$87,'Fórmula'!J49,12))</f>
        <v>74</v>
      </c>
      <c r="AT49" s="108">
        <f t="array" ref="AT49">VARP(IF(INDEX(properties!A$1:CB$87,'Fórmula'!B49,12)&lt;&gt;"",INDEX(properties!A$1:CB$87,'Fórmula'!B49,12)),IF(INDEX(properties!A$1:CB$87,'Fórmula'!D49,12)&lt;&gt;"",INDEX(properties!A$1:CB$87,'Fórmula'!D49,12)),IF(INDEX(properties!A$1:CB$87,'Fórmula'!F49,12)&lt;&gt;"",INDEX(properties!A$1:CB$87,'Fórmula'!F49,12)),IF(INDEX(properties!A$1:CB$87,'Fórmula'!H49,12)&lt;&gt;"",INDEX(properties!A$1:CB$87,'Fórmula'!H49,12)),IF(INDEX(properties!A$1:CB$87,'Fórmula'!J49,12)&lt;&gt;"",INDEX(properties!A$1:CB$87,'Fórmula'!J49,12)))</f>
        <v>2.24</v>
      </c>
      <c r="AU49" s="108">
        <f t="array" ref="AU49">MAX(INDEX(properties!A$1:CB$87,'Fórmula'!B49,12),INDEX(properties!A$1:CB$87,'Fórmula'!D49,12),INDEX(properties!A$1:CB$87,'Fórmula'!F49,12),INDEX(properties!A$1:CB$87,'Fórmula'!H49,12),INDEX(properties!A$1:CB$87,'Fórmula'!J49,12))</f>
        <v>4</v>
      </c>
      <c r="AV49" s="108">
        <f t="array" ref="AV49">MIN(IF('Fórmula'!B49=87,10^6,INDEX(properties!A$1:CB$87,'Fórmula'!B49,12)),IF(('Fórmula'!D49)=87,10^6,INDEX(properties!A$1:CB$87,'Fórmula'!D49,12)),IF(('Fórmula'!F49)=87,10^6,INDEX(properties!A$1:CB$87,'Fórmula'!F49,12)),IF(('Fórmula'!H49)=87,10^6,INDEX(properties!A$1:CB$87,'Fórmula'!H49,12)),IF('Fórmula'!J49=87,10^6,INDEX(properties!A$1:CB$87,'Fórmula'!J49,12)))</f>
        <v>0</v>
      </c>
      <c r="AW49" s="108">
        <f t="shared" si="8"/>
        <v>4</v>
      </c>
      <c r="AX49" s="109">
        <f t="array" ref="AX49">(('Fórmula'!C49)/('Fórmula'!C49+'Fórmula'!E49+'Fórmula'!G49+'Fórmula'!I49+'Fórmula'!K49))*(INDEX(properties!A$1:CB$87,'Fórmula'!B49,13))+(('Fórmula'!E49)/('Fórmula'!C49+'Fórmula'!E49+'Fórmula'!G49+'Fórmula'!I49+'Fórmula'!K49))*(INDEX(properties!A$1:CB$87,'Fórmula'!D49,13))+(('Fórmula'!G49)/('Fórmula'!C49+'Fórmula'!E49+'Fórmula'!G49+'Fórmula'!I49+'Fórmula'!K49))*(INDEX(properties!A$1:CB$87,'Fórmula'!F49,13))+(('Fórmula'!I49)/('Fórmula'!C49+'Fórmula'!E49+'Fórmula'!G49+'Fórmula'!I49+'Fórmula'!K49))*(INDEX(properties!A$1:CB$87,'Fórmula'!H49,13))+(('Fórmula'!K49)/('Fórmula'!C49+'Fórmula'!E49+'Fórmula'!G49+'Fórmula'!I49+'Fórmula'!K49))*(INDEX(properties!A$1:CB$87,'Fórmula'!J49,13))</f>
        <v>0</v>
      </c>
      <c r="AY49" s="109">
        <f t="array" ref="AY49">'Fórmula'!C49*(INDEX(properties!A$1:CB$87,'Fórmula'!B49,13))+'Fórmula'!E49*(INDEX(properties!A$1:CB$87,'Fórmula'!D49,13))+'Fórmula'!G49*(INDEX(properties!A$1:CB$87,'Fórmula'!F49,13))+'Fórmula'!I49*(INDEX(properties!A$1:CB$87,'Fórmula'!H49,13))+'Fórmula'!K49*(INDEX(properties!A$1:CB$87,'Fórmula'!J49,13))</f>
        <v>0</v>
      </c>
      <c r="AZ49" s="109">
        <f t="array" ref="AZ49">VARP(IF(INDEX(properties!A$1:CB$87,'Fórmula'!B49,13)&lt;&gt;"",INDEX(properties!A$1:CB$87,'Fórmula'!B49,13)),IF(INDEX(properties!A$1:CB$87,'Fórmula'!D49,13)&lt;&gt;"",INDEX(properties!A$1:CB$87,'Fórmula'!D49,13)),IF(INDEX(properties!A$1:CB$87,'Fórmula'!F49,13)&lt;&gt;"",INDEX(properties!A$1:CB$87,'Fórmula'!F49,13)),IF(INDEX(properties!A$1:CB$87,'Fórmula'!H49,13)&lt;&gt;"",INDEX(properties!A$1:CB$87,'Fórmula'!H49,13)),IF(INDEX(properties!A$1:CB$87,'Fórmula'!J49,13)&lt;&gt;"",INDEX(properties!A$1:CB$87,'Fórmula'!J49,13)))</f>
        <v>0</v>
      </c>
      <c r="BA49" s="109">
        <f t="array" ref="BA49">MAX(INDEX(properties!A$1:CB$87,'Fórmula'!B49,13),INDEX(properties!A$1:CB$87,'Fórmula'!D49,13),INDEX(properties!A$1:CB$87,'Fórmula'!F49,13),INDEX(properties!A$1:CB$87,'Fórmula'!H49,13),INDEX(properties!A$1:CB$87,'Fórmula'!J49,13))</f>
        <v>0</v>
      </c>
      <c r="BB49" s="109">
        <f t="array" ref="BB49">MIN(IF('Fórmula'!B49=87,10^6,INDEX(properties!A$1:CB$87,'Fórmula'!B49,13)),IF(('Fórmula'!D49)=87,10^6,INDEX(properties!A$1:CB$87,'Fórmula'!D49,13)),IF(('Fórmula'!F49)=87,10^6,INDEX(properties!A$1:CB$87,'Fórmula'!F49,13)),IF(('Fórmula'!H49)=87,10^6,INDEX(properties!A$1:CB$87,'Fórmula'!H49,13)),IF('Fórmula'!J49=87,10^6,INDEX(properties!A$1:CB$87,'Fórmula'!J49,13)))</f>
        <v>0</v>
      </c>
      <c r="BC49" s="109">
        <f t="shared" si="9"/>
        <v>0</v>
      </c>
      <c r="BD49" s="110">
        <f t="array" ref="BD49">(('Fórmula'!C49)/('Fórmula'!C49+'Fórmula'!E49+'Fórmula'!G49+'Fórmula'!I49+'Fórmula'!K49))*(INDEX(properties!A$1:CB$87,'Fórmula'!B49,14))+(('Fórmula'!E49)/('Fórmula'!C49+'Fórmula'!E49+'Fórmula'!G49+'Fórmula'!I49+'Fórmula'!K49))*(INDEX(properties!A$1:CB$87,'Fórmula'!D49,14))+(('Fórmula'!G49)/('Fórmula'!C49+'Fórmula'!E49+'Fórmula'!G49+'Fórmula'!I49+'Fórmula'!K49))*(INDEX(properties!A$1:CB$87,'Fórmula'!F49,14))+(('Fórmula'!I49)/('Fórmula'!C49+'Fórmula'!E49+'Fórmula'!G49+'Fórmula'!I49+'Fórmula'!K49))*(INDEX(properties!A$1:CB$87,'Fórmula'!H49,14))+(('Fórmula'!K49)/('Fórmula'!C49+'Fórmula'!E49+'Fórmula'!G49+'Fórmula'!I49+'Fórmula'!K49))*(INDEX(properties!A$1:CB$87,'Fórmula'!J49,14))</f>
        <v>0</v>
      </c>
      <c r="BE49" s="110">
        <f t="array" ref="BE49">'Fórmula'!C49*(INDEX(properties!A$1:CB$87,'Fórmula'!B49,14))+'Fórmula'!E49*(INDEX(properties!A$1:CB$87,'Fórmula'!D49,14))+'Fórmula'!G49*(INDEX(properties!A$1:CB$87,'Fórmula'!F49,14))+'Fórmula'!I49*(INDEX(properties!A$1:CB$87,'Fórmula'!H49,14))+'Fórmula'!K49*(INDEX(properties!A$1:CB$87,'Fórmula'!J49,14))</f>
        <v>0</v>
      </c>
      <c r="BF49" s="110">
        <f t="array" ref="BF49">VARP(IF(INDEX(properties!A$1:CB$87,'Fórmula'!B49,14)&lt;&gt;"",INDEX(properties!A$1:CB$87,'Fórmula'!B49,14)),IF(INDEX(properties!A$1:CB$87,'Fórmula'!D49,14)&lt;&gt;"",INDEX(properties!A$1:CB$87,'Fórmula'!D49,14)),IF(INDEX(properties!A$1:CB$87,'Fórmula'!F49,14)&lt;&gt;"",INDEX(properties!A$1:CB$87,'Fórmula'!F49,14)),IF(INDEX(properties!A$1:CB$87,'Fórmula'!H49,14)&lt;&gt;"",INDEX(properties!A$1:CB$87,'Fórmula'!H49,14)),IF(INDEX(properties!A$1:CB$87,'Fórmula'!J49,14)&lt;&gt;"",INDEX(properties!A$1:CB$87,'Fórmula'!J49,14)))</f>
        <v>0</v>
      </c>
      <c r="BG49" s="110">
        <f t="array" ref="BG49">MAX(INDEX(properties!A$1:CB$87,'Fórmula'!B49,14),INDEX(properties!A$1:CB$87,'Fórmula'!D49,14),INDEX(properties!A$1:CB$87,'Fórmula'!F49,14),INDEX(properties!A$1:CB$87,'Fórmula'!H49,14),INDEX(properties!A$1:CB$87,'Fórmula'!J49,14))</f>
        <v>0</v>
      </c>
      <c r="BH49" s="110">
        <f t="array" ref="BH49">MIN(IF('Fórmula'!B49=87,10^6,INDEX(properties!A$1:CB$87,'Fórmula'!B49,14)),IF(('Fórmula'!D49)=87,10^6,INDEX(properties!A$1:CB$87,'Fórmula'!D49,14)),IF(('Fórmula'!F49)=87,10^6,INDEX(properties!A$1:CB$87,'Fórmula'!F49,14)),IF(('Fórmula'!H49)=87,10^6,INDEX(properties!A$1:CB$87,'Fórmula'!H49,14)),IF('Fórmula'!J49=87,10^6,INDEX(properties!A$1:CB$87,'Fórmula'!J49,14)))</f>
        <v>0</v>
      </c>
      <c r="BI49" s="110">
        <f t="shared" si="10"/>
        <v>0</v>
      </c>
      <c r="BJ49" s="111">
        <f t="array" ref="BJ49">(('Fórmula'!C49)/('Fórmula'!C49+'Fórmula'!E49+'Fórmula'!G49+'Fórmula'!I49+'Fórmula'!K49))*(INDEX(properties!A$1:CB$87,'Fórmula'!B49,19))+(('Fórmula'!E49)/('Fórmula'!C49+'Fórmula'!E49+'Fórmula'!G49+'Fórmula'!I49+'Fórmula'!K49))*(INDEX(properties!A$1:CB$87,'Fórmula'!D49,19))+(('Fórmula'!G49)/('Fórmula'!C49+'Fórmula'!E49+'Fórmula'!G49+'Fórmula'!I49+'Fórmula'!K49))*(INDEX(properties!A$1:CB$87,'Fórmula'!F49,19))+(('Fórmula'!I49)/('Fórmula'!C49+'Fórmula'!E49+'Fórmula'!G49+'Fórmula'!I49+'Fórmula'!K49))*(INDEX(properties!A$1:CB$87,'Fórmula'!H49,19))+(('Fórmula'!K49)/('Fórmula'!C49+'Fórmula'!E49+'Fórmula'!G49+'Fórmula'!I49+'Fórmula'!K49))*(INDEX(properties!A$1:CB$87,'Fórmula'!J49,19))</f>
        <v>4.740740741</v>
      </c>
      <c r="BK49" s="111">
        <f t="array" ref="BK49">'Fórmula'!C49*(INDEX(properties!A$1:CB$87,'Fórmula'!B49,19))+'Fórmula'!E49*(INDEX(properties!A$1:CB$87,'Fórmula'!D49,19))+'Fórmula'!G49*(INDEX(properties!A$1:CB$87,'Fórmula'!F49,19))+'Fórmula'!I49*(INDEX(properties!A$1:CB$87,'Fórmula'!H49,19))+'Fórmula'!K49*(INDEX(properties!A$1:CB$87,'Fórmula'!J49,19))</f>
        <v>128</v>
      </c>
      <c r="BL49" s="111">
        <f t="array" ref="BL49">VARP(IF(INDEX(properties!A$1:CB$87,'Fórmula'!B49,19)&lt;&gt;"",INDEX(properties!A$1:CB$87,'Fórmula'!B49,19)),IF(INDEX(properties!A$1:CB$87,'Fórmula'!D49,19)&lt;&gt;"",INDEX(properties!A$1:CB$87,'Fórmula'!D49,19)),IF(INDEX(properties!A$1:CB$87,'Fórmula'!F49,19)&lt;&gt;"",INDEX(properties!A$1:CB$87,'Fórmula'!F49,19)),IF(INDEX(properties!A$1:CB$87,'Fórmula'!H49,19)&lt;&gt;"",INDEX(properties!A$1:CB$87,'Fórmula'!H49,19)),IF(INDEX(properties!A$1:CB$87,'Fórmula'!J49,19)&lt;&gt;"",INDEX(properties!A$1:CB$87,'Fórmula'!J49,19)))</f>
        <v>4</v>
      </c>
      <c r="BM49" s="111">
        <f t="array" ref="BM49">MAX(INDEX(properties!A$1:CB$87,'Fórmula'!B49,19),INDEX(properties!A$1:CB$87,'Fórmula'!D49,19),INDEX(properties!A$1:CB$87,'Fórmula'!F49,19),INDEX(properties!A$1:CB$87,'Fórmula'!H49,19),INDEX(properties!A$1:CB$87,'Fórmula'!J49,19))</f>
        <v>6</v>
      </c>
      <c r="BN49" s="111">
        <f t="array" ref="BN49">MIN(IF(INDEX(properties!A$1:CB$87,'Fórmula'!B49,19)=0,10^6,INDEX(properties!A$1:CB$87,'Fórmula'!B49,19)),IF(INDEX(properties!A$1:CB$87,'Fórmula'!D49,19)=0,10^6,INDEX(properties!A$1:CB$87,'Fórmula'!D49,19)),IF(INDEX(properties!A$1:CB$87,'Fórmula'!F49,19)=0,10^6,INDEX(properties!A$1:CB$87,'Fórmula'!F49,19)),IF(INDEX(properties!A$1:CB$87,'Fórmula'!H49,19)=0,10^6,INDEX(properties!A$1:CB$87,'Fórmula'!H49,19)),IF(INDEX(properties!A$1:CB$87,'Fórmula'!J49,19)=0,10^6,INDEX(properties!A$1:CB$87,'Fórmula'!J49,19)))</f>
        <v>2</v>
      </c>
      <c r="BO49" s="111">
        <f t="shared" si="11"/>
        <v>4</v>
      </c>
      <c r="BP49" s="112">
        <f t="array" ref="BP49">(('Fórmula'!C49)/('Fórmula'!C49+'Fórmula'!E49+'Fórmula'!G49+'Fórmula'!I49+'Fórmula'!K49))*(INDEX(properties!A$1:CB$87,'Fórmula'!B49,20))+(('Fórmula'!E49)/('Fórmula'!C49+'Fórmula'!E49+'Fórmula'!G49+'Fórmula'!I49+'Fórmula'!K49))*(INDEX(properties!A$1:CB$87,'Fórmula'!D49,20))+(('Fórmula'!G49)/('Fórmula'!C49+'Fórmula'!E49+'Fórmula'!G49+'Fórmula'!I49+'Fórmula'!K49))*(INDEX(properties!A$1:CB$87,'Fórmula'!F49,20))+(('Fórmula'!I49)/('Fórmula'!C49+'Fórmula'!E49+'Fórmula'!G49+'Fórmula'!I49+'Fórmula'!K49))*(INDEX(properties!A$1:CB$87,'Fórmula'!H49,20))+(('Fórmula'!K49)/('Fórmula'!C49+'Fórmula'!E49+'Fórmula'!G49+'Fórmula'!I49+'Fórmula'!K49))*(INDEX(properties!A$1:CB$87,'Fórmula'!J49,20))</f>
        <v>4.740740741</v>
      </c>
      <c r="BQ49" s="112">
        <f t="array" ref="BQ49">'Fórmula'!C49*(INDEX(properties!A$1:CB$87,'Fórmula'!B49,20))+'Fórmula'!E49*(INDEX(properties!A$1:CB$87,'Fórmula'!D49,20))+'Fórmula'!G49*(INDEX(properties!A$1:CB$87,'Fórmula'!F49,20))+'Fórmula'!I49*(INDEX(properties!A$1:CB$87,'Fórmula'!H49,20))+'Fórmula'!K49*(INDEX(properties!A$1:CB$87,'Fórmula'!J49,20))</f>
        <v>128</v>
      </c>
      <c r="BR49" s="112">
        <f t="array" ref="BR49">VARP(IF(INDEX(properties!A$1:CB$87,'Fórmula'!B49,20)&lt;&gt;"",INDEX(properties!A$1:CB$87,'Fórmula'!B49,20)),IF(INDEX(properties!A$1:CB$87,'Fórmula'!D49,20)&lt;&gt;"",INDEX(properties!A$1:CB$87,'Fórmula'!D49,20)),IF(INDEX(properties!A$1:CB$87,'Fórmula'!F49,20)&lt;&gt;"",INDEX(properties!A$1:CB$87,'Fórmula'!F49,20)),IF(INDEX(properties!A$1:CB$87,'Fórmula'!H49,20)&lt;&gt;"",INDEX(properties!A$1:CB$87,'Fórmula'!H49,20)),IF(INDEX(properties!A$1:CB$87,'Fórmula'!J49,20)&lt;&gt;"",INDEX(properties!A$1:CB$87,'Fórmula'!J49,20)))</f>
        <v>4</v>
      </c>
      <c r="BS49" s="112">
        <f t="array" ref="BS49">MAX(INDEX(properties!A$1:CB$87,'Fórmula'!B49,20),INDEX(properties!A$1:CB$87,'Fórmula'!D49,20),INDEX(properties!A$1:CB$87,'Fórmula'!F49,20),INDEX(properties!A$1:CB$87,'Fórmula'!H49,20),INDEX(properties!A$1:CB$87,'Fórmula'!J49,20))</f>
        <v>6</v>
      </c>
      <c r="BT49" s="112">
        <f t="array" ref="BT49">MIN(IF(INDEX(properties!A$1:CB$87,'Fórmula'!B49,20)=0,10^6,INDEX(properties!A$1:CB$87,'Fórmula'!B49,20)),IF(INDEX(properties!A$1:CB$87,'Fórmula'!D49,20)=0,10^6,INDEX(properties!A$1:CB$87,'Fórmula'!D49,20)),IF(INDEX(properties!A$1:CB$87,'Fórmula'!F49,20)=0,10^6,INDEX(properties!A$1:CB$87,'Fórmula'!F49,20)),IF(INDEX(properties!A$1:CB$87,'Fórmula'!H49,20)=0,10^6,INDEX(properties!A$1:CB$87,'Fórmula'!H49,20)),IF(INDEX(properties!A$1:CB$87,'Fórmula'!J49,20)=0,10^6,INDEX(properties!A$1:CB$87,'Fórmula'!J49,20)))</f>
        <v>2</v>
      </c>
      <c r="BU49" s="112">
        <f t="shared" si="12"/>
        <v>4</v>
      </c>
      <c r="BV49" s="113">
        <f t="array" ref="BV49">(('Fórmula'!C49)/('Fórmula'!C49+'Fórmula'!E49+'Fórmula'!G49+'Fórmula'!I49+'Fórmula'!K49))*(INDEX(properties!A$1:CB$87,'Fórmula'!B49,21))+(('Fórmula'!E49)/('Fórmula'!C49+'Fórmula'!E49+'Fórmula'!G49+'Fórmula'!I49+'Fórmula'!K49))*(INDEX(properties!A$1:CB$87,'Fórmula'!D49,21))+(('Fórmula'!G49)/('Fórmula'!C49+'Fórmula'!E49+'Fórmula'!G49+'Fórmula'!I49+'Fórmula'!K49))*(INDEX(properties!A$1:CB$87,'Fórmula'!F49,21))+(('Fórmula'!I49)/('Fórmula'!C49+'Fórmula'!E49+'Fórmula'!G49+'Fórmula'!I49+'Fórmula'!K49))*(INDEX(properties!A$1:CB$87,'Fórmula'!H49,21))+(('Fórmula'!K49)/('Fórmula'!C49+'Fórmula'!E49+'Fórmula'!G49+'Fórmula'!I49+'Fórmula'!K49))*(INDEX(properties!A$1:CB$87,'Fórmula'!J49,21))</f>
        <v>4.740740741</v>
      </c>
      <c r="BW49" s="113">
        <f t="array" ref="BW49">'Fórmula'!C49*(INDEX(properties!A$1:CB$87,'Fórmula'!B49,21))+'Fórmula'!E49*(INDEX(properties!A$1:CB$87,'Fórmula'!D49,21))+'Fórmula'!G49*(INDEX(properties!A$1:CB$87,'Fórmula'!F49,21))+'Fórmula'!I49*(INDEX(properties!A$1:CB$87,'Fórmula'!H49,21))+'Fórmula'!K49*(INDEX(properties!A$1:CB$87,'Fórmula'!J49,21))</f>
        <v>128</v>
      </c>
      <c r="BX49" s="113">
        <f t="array" ref="BX49">VARP(IF(INDEX(properties!A$1:CB$87,'Fórmula'!B49,21)&lt;&gt;"",INDEX(properties!A$1:CB$87,'Fórmula'!B49,21)),IF(INDEX(properties!A$1:CB$87,'Fórmula'!D49,21)&lt;&gt;"",INDEX(properties!A$1:CB$87,'Fórmula'!D49,21)),IF(INDEX(properties!A$1:CB$87,'Fórmula'!F49,21)&lt;&gt;"",INDEX(properties!A$1:CB$87,'Fórmula'!F49,21)),IF(INDEX(properties!A$1:CB$87,'Fórmula'!H49,21)&lt;&gt;"",INDEX(properties!A$1:CB$87,'Fórmula'!H49,21)),IF(INDEX(properties!A$1:CB$87,'Fórmula'!J49,21)&lt;&gt;"",INDEX(properties!A$1:CB$87,'Fórmula'!J49,21)))</f>
        <v>4</v>
      </c>
      <c r="BY49" s="113">
        <f t="array" ref="BY49">MAX(INDEX(properties!A$1:CB$87,'Fórmula'!B49,21),INDEX(properties!A$1:CB$87,'Fórmula'!D49,21),INDEX(properties!A$1:CB$87,'Fórmula'!F49,21),INDEX(properties!A$1:CB$87,'Fórmula'!H49,21),INDEX(properties!A$1:CB$87,'Fórmula'!J49,21))</f>
        <v>6</v>
      </c>
      <c r="BZ49" s="113">
        <f t="array" ref="BZ49">MIN(IF(INDEX(properties!A$1:CB$87,'Fórmula'!B49,21)=0,10^6,INDEX(properties!A$1:CB$87,'Fórmula'!B49,21)),IF(INDEX(properties!A$1:CB$87,'Fórmula'!D49,21)=0,10^6,INDEX(properties!A$1:CB$87,'Fórmula'!D49,21)),IF(INDEX(properties!A$1:CB$87,'Fórmula'!F49,21)=0,10^6,INDEX(properties!A$1:CB$87,'Fórmula'!F49,21)),IF(INDEX(properties!A$1:CB$87,'Fórmula'!H49,21)=0,10^6,INDEX(properties!A$1:CB$87,'Fórmula'!H49,21)),IF(INDEX(properties!A$1:CB$87,'Fórmula'!J49,21)=0,10^6,INDEX(properties!A$1:CB$87,'Fórmula'!J49,21)))</f>
        <v>2</v>
      </c>
      <c r="CA49" s="113">
        <f t="shared" si="13"/>
        <v>4</v>
      </c>
      <c r="CB49" s="114">
        <f t="array" ref="CB49">(('Fórmula'!C49)/('Fórmula'!C49+'Fórmula'!E49+'Fórmula'!G49+'Fórmula'!I49+'Fórmula'!K49))*(INDEX(properties!A$1:CB$87,'Fórmula'!B49,23))+(('Fórmula'!E49)/('Fórmula'!C49+'Fórmula'!E49+'Fórmula'!G49+'Fórmula'!I49+'Fórmula'!K49))*(INDEX(properties!A$1:CB$87,'Fórmula'!D49,23))+(('Fórmula'!G49)/('Fórmula'!C49+'Fórmula'!E49+'Fórmula'!G49+'Fórmula'!I49+'Fórmula'!K49))*(INDEX(properties!A$1:CB$87,'Fórmula'!F49,23))+(('Fórmula'!I49)/('Fórmula'!C49+'Fórmula'!E49+'Fórmula'!G49+'Fórmula'!I49+'Fórmula'!K49))*(INDEX(properties!A$1:CB$87,'Fórmula'!H49,23))+(('Fórmula'!K49)/('Fórmula'!C49+'Fórmula'!E49+'Fórmula'!G49+'Fórmula'!I49+'Fórmula'!K49))*(INDEX(properties!A$1:CB$87,'Fórmula'!J49,23))</f>
        <v>1.185185185</v>
      </c>
      <c r="CC49" s="114">
        <f t="array" ref="CC49">'Fórmula'!C49*(INDEX(properties!A$1:CB$87,'Fórmula'!B49,23))+'Fórmula'!E49*(INDEX(properties!A$1:CB$87,'Fórmula'!D49,23))+'Fórmula'!G49*(INDEX(properties!A$1:CB$87,'Fórmula'!F49,23))+'Fórmula'!I49*(INDEX(properties!A$1:CB$87,'Fórmula'!H49,23))+'Fórmula'!K49*(INDEX(properties!A$1:CB$87,'Fórmula'!J49,23))</f>
        <v>32</v>
      </c>
      <c r="CD49" s="114">
        <f t="array" ref="CD49">VARP(IF(INDEX(properties!A$1:CB$87,'Fórmula'!B49,23)&lt;&gt;"",INDEX(properties!A$1:CB$87,'Fórmula'!B49,23)),IF(INDEX(properties!A$1:CB$87,'Fórmula'!D49,23)&lt;&gt;"",INDEX(properties!A$1:CB$87,'Fórmula'!D49,23)),IF(INDEX(properties!A$1:CB$87,'Fórmula'!F49,23)&lt;&gt;"",INDEX(properties!A$1:CB$87,'Fórmula'!F49,23)),IF(INDEX(properties!A$1:CB$87,'Fórmula'!H49,23)&lt;&gt;"",INDEX(properties!A$1:CB$87,'Fórmula'!H49,23)),IF(INDEX(properties!A$1:CB$87,'Fórmula'!J49,23)&lt;&gt;"",INDEX(properties!A$1:CB$87,'Fórmula'!J49,23)))</f>
        <v>2.56</v>
      </c>
      <c r="CE49" s="114">
        <f t="array" ref="CE49">MAX(INDEX(properties!A$1:CB$87,'Fórmula'!B49,23),INDEX(properties!A$1:CB$87,'Fórmula'!D49,23),INDEX(properties!A$1:CB$87,'Fórmula'!F49,23),INDEX(properties!A$1:CB$87,'Fórmula'!H49,23),INDEX(properties!A$1:CB$87,'Fórmula'!J49,23))</f>
        <v>4</v>
      </c>
      <c r="CF49" s="114">
        <f t="array" ref="CF49">MIN(IF('Fórmula'!B49=87,10^6,INDEX(properties!A$1:CB$87,'Fórmula'!B49,23)),IF(('Fórmula'!D49)=87,10^6,INDEX(properties!A$1:CB$87,'Fórmula'!D49,23)),IF(('Fórmula'!F49)=87,10^6,INDEX(properties!A$1:CB$87,'Fórmula'!F49,23)),IF(('Fórmula'!H49)=87,10^6,INDEX(properties!A$1:CB$87,'Fórmula'!H49,23)),IF('Fórmula'!J49=87,10^6,INDEX(properties!A$1:CB$87,'Fórmula'!J49,23)))</f>
        <v>0</v>
      </c>
      <c r="CG49" s="114">
        <f t="shared" si="14"/>
        <v>4</v>
      </c>
      <c r="CH49" s="115">
        <f t="array" ref="CH49">(('Fórmula'!C49)/('Fórmula'!C49+'Fórmula'!E49+'Fórmula'!G49+'Fórmula'!I49+'Fórmula'!K49))*(INDEX(properties!A$1:CB$87,'Fórmula'!B49,26))+(('Fórmula'!E49)/('Fórmula'!C49+'Fórmula'!E49+'Fórmula'!G49+'Fórmula'!I49+'Fórmula'!K49))*(INDEX(properties!A$1:CB$87,'Fórmula'!D49,26))+(('Fórmula'!G49)/('Fórmula'!C49+'Fórmula'!E49+'Fórmula'!G49+'Fórmula'!I49+'Fórmula'!K49))*(INDEX(properties!A$1:CB$87,'Fórmula'!F49,26))+(('Fórmula'!I49)/('Fórmula'!C49+'Fórmula'!E49+'Fórmula'!G49+'Fórmula'!I49+'Fórmula'!K49))*(INDEX(properties!A$1:CB$87,'Fórmula'!H49,26))+(('Fórmula'!K49)/('Fórmula'!C49+'Fórmula'!E49+'Fórmula'!G49+'Fórmula'!I49+'Fórmula'!K49))*(INDEX(properties!A$1:CB$87,'Fórmula'!J49,26))</f>
        <v>11.09689259</v>
      </c>
      <c r="CI49" s="115">
        <f t="array" ref="CI49">'Fórmula'!C49*(INDEX(properties!A$1:CB$87,'Fórmula'!B49,26))+'Fórmula'!E49*(INDEX(properties!A$1:CB$87,'Fórmula'!D49,26))+'Fórmula'!G49*(INDEX(properties!A$1:CB$87,'Fórmula'!F49,26))+'Fórmula'!I49*(INDEX(properties!A$1:CB$87,'Fórmula'!H49,26))+'Fórmula'!K49*(INDEX(properties!A$1:CB$87,'Fórmula'!J49,26))</f>
        <v>299.6161</v>
      </c>
      <c r="CJ49" s="115">
        <f t="array" ref="CJ49">VARP(IF(INDEX(properties!A$1:CB$87,'Fórmula'!B49,26)&lt;&gt;"",INDEX(properties!A$1:CB$87,'Fórmula'!B49,26)),IF(INDEX(properties!A$1:CB$87,'Fórmula'!D49,26)&lt;&gt;"",INDEX(properties!A$1:CB$87,'Fórmula'!D49,26)),IF(INDEX(properties!A$1:CB$87,'Fórmula'!F49,26)&lt;&gt;"",INDEX(properties!A$1:CB$87,'Fórmula'!F49,26)),IF(INDEX(properties!A$1:CB$87,'Fórmula'!H49,26)&lt;&gt;"",INDEX(properties!A$1:CB$87,'Fórmula'!H49,26)),IF(INDEX(properties!A$1:CB$87,'Fórmula'!J49,26)&lt;&gt;"",INDEX(properties!A$1:CB$87,'Fórmula'!J49,26)))</f>
        <v>19.79857147</v>
      </c>
      <c r="CK49" s="116">
        <f t="array" ref="CK49">MAX(INDEX(properties!A$1:CB$87,'Fórmula'!B49,26),INDEX(properties!A$1:CB$87,'Fórmula'!D49,26),INDEX(properties!A$1:CB$87,'Fórmula'!F49,26),INDEX(properties!A$1:CB$87,'Fórmula'!H49,26),INDEX(properties!A$1:CB$87,'Fórmula'!J49,26))</f>
        <v>13.6181</v>
      </c>
      <c r="CL49" s="116">
        <f t="array" ref="CL49">MIN(IF(INDEX(properties!A$1:CB$87,'Fórmula'!B49,26)=0,10^6,INDEX(properties!A$1:CB$87,'Fórmula'!B49,26)),IF(INDEX(properties!A$1:CB$87,'Fórmula'!D49,26)=0,10^6,INDEX(properties!A$1:CB$87,'Fórmula'!D49,26)),IF(INDEX(properties!A$1:CB$87,'Fórmula'!F49,26)=0,10^6,INDEX(properties!A$1:CB$87,'Fórmula'!F49,26)),IF(INDEX(properties!A$1:CB$87,'Fórmula'!H49,26)=0,10^6,INDEX(properties!A$1:CB$87,'Fórmula'!H49,26)),IF(INDEX(properties!A$1:CB$87,'Fórmula'!J49,26)=0,10^6,INDEX(properties!A$1:CB$87,'Fórmula'!J49,26)))</f>
        <v>5.2117</v>
      </c>
      <c r="CM49" s="115">
        <f t="shared" si="15"/>
        <v>8.4064</v>
      </c>
      <c r="CN49" s="117">
        <f t="array" ref="CN49">(('Fórmula'!C49)/('Fórmula'!C49+'Fórmula'!E49+'Fórmula'!G49+'Fórmula'!I49+'Fórmula'!K49))*(INDEX(properties!A$1:CB$87,'Fórmula'!B49,30))+(('Fórmula'!E49)/('Fórmula'!C49+'Fórmula'!E49+'Fórmula'!G49+'Fórmula'!I49+'Fórmula'!K49))*(INDEX(properties!A$1:CB$87,'Fórmula'!D49,30))+(('Fórmula'!G49)/('Fórmula'!C49+'Fórmula'!E49+'Fórmula'!G49+'Fórmula'!I49+'Fórmula'!K49))*(INDEX(properties!A$1:CB$87,'Fórmula'!F49,30))+(('Fórmula'!I49)/('Fórmula'!C49+'Fórmula'!E49+'Fórmula'!G49+'Fórmula'!I49+'Fórmula'!K49))*(INDEX(properties!A$1:CB$87,'Fórmula'!H49,30))+(('Fórmula'!K49)/('Fórmula'!C49+'Fórmula'!E49+'Fórmula'!G49+'Fórmula'!I49+'Fórmula'!K49))*(INDEX(properties!A$1:CB$87,'Fórmula'!J49,30))</f>
        <v>2.731481481</v>
      </c>
      <c r="CO49" s="117">
        <f t="array" ref="CO49">'Fórmula'!C49*(INDEX(properties!A$1:CB$87,'Fórmula'!B49,30))+'Fórmula'!E49*(INDEX(properties!A$1:CB$87,'Fórmula'!D49,30))+'Fórmula'!G49*(INDEX(properties!A$1:CB$87,'Fórmula'!F49,30))+'Fórmula'!I49*(INDEX(properties!A$1:CB$87,'Fórmula'!H49,30))+'Fórmula'!K49*(INDEX(properties!A$1:CB$87,'Fórmula'!J49,30))</f>
        <v>73.75</v>
      </c>
      <c r="CP49" s="117">
        <f t="array" ref="CP49">VARP(IF(INDEX(properties!A$1:CB$87,'Fórmula'!B49,30)&lt;&gt;"",INDEX(properties!A$1:CB$87,'Fórmula'!B49,30)),IF(INDEX(properties!A$1:CB$87,'Fórmula'!D49,30)&lt;&gt;"",INDEX(properties!A$1:CB$87,'Fórmula'!D49,30)),IF(INDEX(properties!A$1:CB$87,'Fórmula'!F49,30)&lt;&gt;"",INDEX(properties!A$1:CB$87,'Fórmula'!F49,30)),IF(INDEX(properties!A$1:CB$87,'Fórmula'!H49,30)&lt;&gt;"",INDEX(properties!A$1:CB$87,'Fórmula'!H49,30)),IF(INDEX(properties!A$1:CB$87,'Fórmula'!J49,30)&lt;&gt;"",INDEX(properties!A$1:CB$87,'Fórmula'!J49,30)))</f>
        <v>1.343744</v>
      </c>
      <c r="CQ49" s="117">
        <f t="array" ref="CQ49">MAX(INDEX(properties!A$1:CB$87,'Fórmula'!B49,30),INDEX(properties!A$1:CB$87,'Fórmula'!D49,30),INDEX(properties!A$1:CB$87,'Fórmula'!F49,30),INDEX(properties!A$1:CB$87,'Fórmula'!H49,30),INDEX(properties!A$1:CB$87,'Fórmula'!J49,30))</f>
        <v>3.44</v>
      </c>
      <c r="CR49" s="117">
        <f t="array" ref="CR49">MIN(IF(INDEX(properties!A$1:CB$87,'Fórmula'!B49,30)=0,10^6,INDEX(properties!A$1:CB$87,'Fórmula'!B49,30)),IF(INDEX(properties!A$1:CB$87,'Fórmula'!D49,30)=0,10^6,INDEX(properties!A$1:CB$87,'Fórmula'!D49,30)),IF(INDEX(properties!A$1:CB$87,'Fórmula'!F49,30)=0,10^6,INDEX(properties!A$1:CB$87,'Fórmula'!F49,30)),IF(INDEX(properties!A$1:CB$87,'Fórmula'!H49,30)=0,10^6,INDEX(properties!A$1:CB$87,'Fórmula'!H49,30)),IF(INDEX(properties!A$1:CB$87,'Fórmula'!J49,30)=0,10^6,INDEX(properties!A$1:CB$87,'Fórmula'!J49,30)))</f>
        <v>0.89</v>
      </c>
      <c r="CS49" s="117">
        <f t="shared" si="16"/>
        <v>2.55</v>
      </c>
      <c r="CT49" s="118">
        <f t="array" ref="CT49">(('Fórmula'!C49)/('Fórmula'!C49+'Fórmula'!E49+'Fórmula'!G49+'Fórmula'!I49+'Fórmula'!K49))*(INDEX(properties!A$1:CB$87,'Fórmula'!B49,31))+(('Fórmula'!E49)/('Fórmula'!C49+'Fórmula'!E49+'Fórmula'!G49+'Fórmula'!I49+'Fórmula'!K49))*(INDEX(properties!A$1:CB$87,'Fórmula'!D49,31))+(('Fórmula'!G49)/('Fórmula'!C49+'Fórmula'!E49+'Fórmula'!G49+'Fórmula'!I49+'Fórmula'!K49))*(INDEX(properties!A$1:CB$87,'Fórmula'!F49,31))+(('Fórmula'!I49)/('Fórmula'!C49+'Fórmula'!E49+'Fórmula'!G49+'Fórmula'!I49+'Fórmula'!K49))*(INDEX(properties!A$1:CB$87,'Fórmula'!H49,31))+(('Fórmula'!K49)/('Fórmula'!C49+'Fórmula'!E49+'Fórmula'!G49+'Fórmula'!I49+'Fórmula'!K49))*(INDEX(properties!A$1:CB$87,'Fórmula'!J49,31))</f>
        <v>2.656296296</v>
      </c>
      <c r="CU49" s="118">
        <f t="array" ref="CU49">'Fórmula'!C49*(INDEX(properties!A$1:CB$87,'Fórmula'!B49,31))+'Fórmula'!E49*(INDEX(properties!A$1:CB$87,'Fórmula'!D49,31))+'Fórmula'!G49*(INDEX(properties!A$1:CB$87,'Fórmula'!F49,31))+'Fórmula'!I49*(INDEX(properties!A$1:CB$87,'Fórmula'!H49,31))+'Fórmula'!K49*(INDEX(properties!A$1:CB$87,'Fórmula'!J49,31))</f>
        <v>71.72</v>
      </c>
      <c r="CV49" s="118">
        <f t="array" ref="CV49">VARP(IF(INDEX(properties!A$1:CB$87,'Fórmula'!B49,31)&lt;&gt;"",INDEX(properties!A$1:CB$87,'Fórmula'!B49,31)),IF(INDEX(properties!A$1:CB$87,'Fórmula'!D49,31)&lt;&gt;"",INDEX(properties!A$1:CB$87,'Fórmula'!D49,31)),IF(INDEX(properties!A$1:CB$87,'Fórmula'!F49,31)&lt;&gt;"",INDEX(properties!A$1:CB$87,'Fórmula'!F49,31)),IF(INDEX(properties!A$1:CB$87,'Fórmula'!H49,31)&lt;&gt;"",INDEX(properties!A$1:CB$87,'Fórmula'!H49,31)),IF(INDEX(properties!A$1:CB$87,'Fórmula'!J49,31)&lt;&gt;"",INDEX(properties!A$1:CB$87,'Fórmula'!J49,31)))</f>
        <v>1.201504</v>
      </c>
      <c r="CW49" s="118">
        <f t="array" ref="CW49">MAX(INDEX(properties!A$1:CB$87,'Fórmula'!B49,31),INDEX(properties!A$1:CB$87,'Fórmula'!D49,31),INDEX(properties!A$1:CB$87,'Fórmula'!F49,31),INDEX(properties!A$1:CB$87,'Fórmula'!H49,31),INDEX(properties!A$1:CB$87,'Fórmula'!J49,31))</f>
        <v>3.32</v>
      </c>
      <c r="CX49" s="118">
        <f t="array" ref="CX49">MIN(IF(INDEX(properties!A$1:CB$87,'Fórmula'!B49,31)=0,10^6,INDEX(properties!A$1:CB$87,'Fórmula'!B49,31)),IF(INDEX(properties!A$1:CB$87,'Fórmula'!D49,31)=0,10^6,INDEX(properties!A$1:CB$87,'Fórmula'!D49,31)),IF(INDEX(properties!A$1:CB$87,'Fórmula'!F49,31)=0,10^6,INDEX(properties!A$1:CB$87,'Fórmula'!F49,31)),IF(INDEX(properties!A$1:CB$87,'Fórmula'!H49,31)=0,10^6,INDEX(properties!A$1:CB$87,'Fórmula'!H49,31)),IF(INDEX(properties!A$1:CB$87,'Fórmula'!J49,31)=0,10^6,INDEX(properties!A$1:CB$87,'Fórmula'!J49,31)))</f>
        <v>1.08</v>
      </c>
      <c r="CY49" s="118">
        <f t="shared" si="17"/>
        <v>2.24</v>
      </c>
      <c r="CZ49" s="119">
        <f t="array" ref="CZ49">(('Fórmula'!C49)/('Fórmula'!C49+'Fórmula'!E49+'Fórmula'!G49+'Fórmula'!I49+'Fórmula'!K49))*(INDEX(properties!A$1:CB$87,'Fórmula'!B49,32))+(('Fórmula'!E49)/('Fórmula'!C49+'Fórmula'!E49+'Fórmula'!G49+'Fórmula'!I49+'Fórmula'!K49))*(INDEX(properties!A$1:CB$87,'Fórmula'!D49,32))+(('Fórmula'!G49)/('Fórmula'!C49+'Fórmula'!E49+'Fórmula'!G49+'Fórmula'!I49+'Fórmula'!K49))*(INDEX(properties!A$1:CB$87,'Fórmula'!F49,32))+(('Fórmula'!I49)/('Fórmula'!C49+'Fórmula'!E49+'Fórmula'!G49+'Fórmula'!I49+'Fórmula'!K49))*(INDEX(properties!A$1:CB$87,'Fórmula'!H49,32))+(('Fórmula'!K49)/('Fórmula'!C49+'Fórmula'!E49+'Fórmula'!G49+'Fórmula'!I49+'Fórmula'!K49))*(INDEX(properties!A$1:CB$87,'Fórmula'!J49,32))</f>
        <v>6.041481481</v>
      </c>
      <c r="DA49" s="119">
        <f t="array" ref="DA49">'Fórmula'!C49*(INDEX(properties!A$1:CB$87,'Fórmula'!B49,32))+'Fórmula'!E49*(INDEX(properties!A$1:CB$87,'Fórmula'!D49,32))+'Fórmula'!G49*(INDEX(properties!A$1:CB$87,'Fórmula'!F49,32))+'Fórmula'!I49*(INDEX(properties!A$1:CB$87,'Fórmula'!H49,32))+'Fórmula'!K49*(INDEX(properties!A$1:CB$87,'Fórmula'!J49,32))</f>
        <v>163.12</v>
      </c>
      <c r="DB49" s="119">
        <f t="array" ref="DB49">VARP(IF(INDEX(properties!A$1:CB$87,'Fórmula'!B49,32)&lt;&gt;"",INDEX(properties!A$1:CB$87,'Fórmula'!B49,32)),IF(INDEX(properties!A$1:CB$87,'Fórmula'!D49,32)&lt;&gt;"",INDEX(properties!A$1:CB$87,'Fórmula'!D49,32)),IF(INDEX(properties!A$1:CB$87,'Fórmula'!F49,32)&lt;&gt;"",INDEX(properties!A$1:CB$87,'Fórmula'!F49,32)),IF(INDEX(properties!A$1:CB$87,'Fórmula'!H49,32)&lt;&gt;"",INDEX(properties!A$1:CB$87,'Fórmula'!H49,32)),IF(INDEX(properties!A$1:CB$87,'Fórmula'!J49,32)&lt;&gt;"",INDEX(properties!A$1:CB$87,'Fórmula'!J49,32)))</f>
        <v>6.31372</v>
      </c>
      <c r="DC49" s="119">
        <f t="array" ref="DC49">MAX(INDEX(properties!A$1:CB$87,'Fórmula'!B49,32),INDEX(properties!A$1:CB$87,'Fórmula'!D49,32),INDEX(properties!A$1:CB$87,'Fórmula'!F49,32),INDEX(properties!A$1:CB$87,'Fórmula'!H49,32),INDEX(properties!A$1:CB$87,'Fórmula'!J49,32))</f>
        <v>7.54</v>
      </c>
      <c r="DD49" s="119">
        <f t="array" ref="DD49">MIN(IF(INDEX(properties!A$1:CB$87,'Fórmula'!B49,32)=0,10^6,INDEX(properties!A$1:CB$87,'Fórmula'!B49,32)),IF(INDEX(properties!A$1:CB$87,'Fórmula'!D49,32)=0,10^6,INDEX(properties!A$1:CB$87,'Fórmula'!D49,32)),IF(INDEX(properties!A$1:CB$87,'Fórmula'!F49,32)=0,10^6,INDEX(properties!A$1:CB$87,'Fórmula'!F49,32)),IF(INDEX(properties!A$1:CB$87,'Fórmula'!H49,32)=0,10^6,INDEX(properties!A$1:CB$87,'Fórmula'!H49,32)),IF(INDEX(properties!A$1:CB$87,'Fórmula'!J49,32)=0,10^6,INDEX(properties!A$1:CB$87,'Fórmula'!J49,32)))</f>
        <v>2.4</v>
      </c>
      <c r="DE49" s="119">
        <f t="shared" si="18"/>
        <v>5.14</v>
      </c>
      <c r="DF49" s="104">
        <f t="array" ref="DF49">(('Fórmula'!C49)/('Fórmula'!C49+'Fórmula'!E49+'Fórmula'!G49+'Fórmula'!I49+'Fórmula'!K49))*(INDEX(properties!A$1:CB$87,'Fórmula'!B49,34))+(('Fórmula'!E49)/('Fórmula'!C49+'Fórmula'!E49+'Fórmula'!G49+'Fórmula'!I49+'Fórmula'!K49))*(INDEX(properties!A$1:CB$87,'Fórmula'!D49,34))+(('Fórmula'!G49)/('Fórmula'!C49+'Fórmula'!E49+'Fórmula'!G49+'Fórmula'!I49+'Fórmula'!K49))*(INDEX(properties!A$1:CB$87,'Fórmula'!F49,34))+(('Fórmula'!I49)/('Fórmula'!C49+'Fórmula'!E49+'Fórmula'!G49+'Fórmula'!I49+'Fórmula'!K49))*(INDEX(properties!A$1:CB$87,'Fórmula'!H49,34))+(('Fórmula'!K49)/('Fórmula'!C49+'Fórmula'!E49+'Fórmula'!G49+'Fórmula'!I49+'Fórmula'!K49))*(INDEX(properties!A$1:CB$87,'Fórmula'!J49,34))</f>
        <v>2.834851852</v>
      </c>
      <c r="DG49" s="104">
        <f t="array" ref="DG49">'Fórmula'!C49*(INDEX(properties!A$1:CB$87,'Fórmula'!B49,34))+'Fórmula'!E49*(INDEX(properties!A$1:CB$87,'Fórmula'!D49,34))+'Fórmula'!G49*(INDEX(properties!A$1:CB$87,'Fórmula'!F49,34))+'Fórmula'!I49*(INDEX(properties!A$1:CB$87,'Fórmula'!H49,34))+'Fórmula'!K49*(INDEX(properties!A$1:CB$87,'Fórmula'!J49,34))</f>
        <v>76.541</v>
      </c>
      <c r="DH49" s="104">
        <f t="array" ref="DH49">VARP(IF(INDEX(properties!A$1:CB$87,'Fórmula'!B49,34)&lt;&gt;"",INDEX(properties!A$1:CB$87,'Fórmula'!B49,34)),IF(INDEX(properties!A$1:CB$87,'Fórmula'!D49,34)&lt;&gt;"",INDEX(properties!A$1:CB$87,'Fórmula'!D49,34)),IF(INDEX(properties!A$1:CB$87,'Fórmula'!F49,34)&lt;&gt;"",INDEX(properties!A$1:CB$87,'Fórmula'!F49,34)),IF(INDEX(properties!A$1:CB$87,'Fórmula'!H49,34)&lt;&gt;"",INDEX(properties!A$1:CB$87,'Fórmula'!H49,34)),IF(INDEX(properties!A$1:CB$87,'Fórmula'!J49,34)&lt;&gt;"",INDEX(properties!A$1:CB$87,'Fórmula'!J49,34)))</f>
        <v>1.47567304</v>
      </c>
      <c r="DI49" s="104">
        <f t="array" ref="DI49">MAX(INDEX(properties!A$1:CB$87,'Fórmula'!B49,34),INDEX(properties!A$1:CB$87,'Fórmula'!D49,34),INDEX(properties!A$1:CB$87,'Fórmula'!F49,34),INDEX(properties!A$1:CB$87,'Fórmula'!H49,34),INDEX(properties!A$1:CB$87,'Fórmula'!J49,34))</f>
        <v>3.61</v>
      </c>
      <c r="DJ49" s="104">
        <f t="array" ref="DJ49">MIN(IF(INDEX(properties!A$1:CB$87,'Fórmula'!B49,34)=0,10^6,INDEX(properties!A$1:CB$87,'Fórmula'!B49,34)),IF(INDEX(properties!A$1:CB$87,'Fórmula'!D49,34)=0,10^6,INDEX(properties!A$1:CB$87,'Fórmula'!D49,34)),IF(INDEX(properties!A$1:CB$87,'Fórmula'!F49,34)=0,10^6,INDEX(properties!A$1:CB$87,'Fórmula'!F49,34)),IF(INDEX(properties!A$1:CB$87,'Fórmula'!H49,34)=0,10^6,INDEX(properties!A$1:CB$87,'Fórmula'!H49,34)),IF(INDEX(properties!A$1:CB$87,'Fórmula'!J49,34)=0,10^6,INDEX(properties!A$1:CB$87,'Fórmula'!J49,34)))</f>
        <v>0.881</v>
      </c>
      <c r="DK49" s="104">
        <f t="shared" si="19"/>
        <v>2.729</v>
      </c>
      <c r="DL49" s="105">
        <f t="array" ref="DL49">(('Fórmula'!C49)/('Fórmula'!C49+'Fórmula'!E49+'Fórmula'!G49+'Fórmula'!I49+'Fórmula'!K49))*(INDEX(properties!A$1:CB$87,'Fórmula'!B49,37))+(('Fórmula'!E49)/('Fórmula'!C49+'Fórmula'!E49+'Fórmula'!G49+'Fórmula'!I49+'Fórmula'!K49))*(INDEX(properties!A$1:CB$87,'Fórmula'!D49,37))+(('Fórmula'!G49)/('Fórmula'!C49+'Fórmula'!E49+'Fórmula'!G49+'Fórmula'!I49+'Fórmula'!K49))*(INDEX(properties!A$1:CB$87,'Fórmula'!F49,37))+(('Fórmula'!I49)/('Fórmula'!C49+'Fórmula'!E49+'Fórmula'!G49+'Fórmula'!I49+'Fórmula'!K49))*(INDEX(properties!A$1:CB$87,'Fórmula'!H49,37))+(('Fórmula'!K49)/('Fórmula'!C49+'Fórmula'!E49+'Fórmula'!G49+'Fórmula'!I49+'Fórmula'!K49))*(INDEX(properties!A$1:CB$87,'Fórmula'!J49,37))</f>
        <v>2.7</v>
      </c>
      <c r="DM49" s="105">
        <f t="array" ref="DM49">'Fórmula'!C49*(INDEX(properties!A$1:CB$87,'Fórmula'!B49,37))+'Fórmula'!E49*(INDEX(properties!A$1:CB$87,'Fórmula'!D49,37))+'Fórmula'!G49*(INDEX(properties!A$1:CB$87,'Fórmula'!F49,37))+'Fórmula'!I49*(INDEX(properties!A$1:CB$87,'Fórmula'!H49,37))+'Fórmula'!K49*(INDEX(properties!A$1:CB$87,'Fórmula'!J49,37))</f>
        <v>72.9</v>
      </c>
      <c r="DN49" s="105">
        <f t="array" ref="DN49">VARP(IF(INDEX(properties!A$1:CB$87,'Fórmula'!B49,37)&lt;&gt;"",INDEX(properties!A$1:CB$87,'Fórmula'!B49,37)),IF(INDEX(properties!A$1:CB$87,'Fórmula'!D49,37)&lt;&gt;"",INDEX(properties!A$1:CB$87,'Fórmula'!D49,37)),IF(INDEX(properties!A$1:CB$87,'Fórmula'!F49,37)&lt;&gt;"",INDEX(properties!A$1:CB$87,'Fórmula'!F49,37)),IF(INDEX(properties!A$1:CB$87,'Fórmula'!H49,37)&lt;&gt;"",INDEX(properties!A$1:CB$87,'Fórmula'!H49,37)),IF(INDEX(properties!A$1:CB$87,'Fórmula'!J49,37)&lt;&gt;"",INDEX(properties!A$1:CB$87,'Fórmula'!J49,37)))</f>
        <v>1.3204</v>
      </c>
      <c r="DO49" s="105">
        <f t="array" ref="DO49">MAX(INDEX(properties!A$1:CB$87,'Fórmula'!B49,37),INDEX(properties!A$1:CB$87,'Fórmula'!D49,37),INDEX(properties!A$1:CB$87,'Fórmula'!F49,37),INDEX(properties!A$1:CB$87,'Fórmula'!H49,37),INDEX(properties!A$1:CB$87,'Fórmula'!J49,37))</f>
        <v>3.45</v>
      </c>
      <c r="DP49" s="105">
        <f t="array" ref="DP49">MIN(IF(INDEX(properties!A$1:CB$87,'Fórmula'!B49,37)=0,10^6,INDEX(properties!A$1:CB$87,'Fórmula'!B49,37)),IF(INDEX(properties!A$1:CB$87,'Fórmula'!D49,37)=0,10^6,INDEX(properties!A$1:CB$87,'Fórmula'!D49,37)),IF(INDEX(properties!A$1:CB$87,'Fórmula'!F49,37)=0,10^6,INDEX(properties!A$1:CB$87,'Fórmula'!F49,37)),IF(INDEX(properties!A$1:CB$87,'Fórmula'!H49,37)=0,10^6,INDEX(properties!A$1:CB$87,'Fórmula'!H49,37)),IF(INDEX(properties!A$1:CB$87,'Fórmula'!J49,37)=0,10^6,INDEX(properties!A$1:CB$87,'Fórmula'!J49,37)))</f>
        <v>0.9</v>
      </c>
      <c r="DQ49" s="105">
        <f t="shared" si="20"/>
        <v>2.55</v>
      </c>
      <c r="DR49" s="109">
        <f t="array" ref="DR49">(('Fórmula'!C49)/('Fórmula'!C49+'Fórmula'!E49+'Fórmula'!G49+'Fórmula'!I49+'Fórmula'!K49))*(INDEX(properties!A$1:CB$87,'Fórmula'!B49,39))+(('Fórmula'!E49)/('Fórmula'!C49+'Fórmula'!E49+'Fórmula'!G49+'Fórmula'!I49+'Fórmula'!K49))*(INDEX(properties!A$1:CB$87,'Fórmula'!D49,39))+(('Fórmula'!G49)/('Fórmula'!C49+'Fórmula'!E49+'Fórmula'!G49+'Fórmula'!I49+'Fórmula'!K49))*(INDEX(properties!A$1:CB$87,'Fórmula'!F49,39))+(('Fórmula'!I49)/('Fórmula'!C49+'Fórmula'!E49+'Fórmula'!G49+'Fórmula'!I49+'Fórmula'!K49))*(INDEX(properties!A$1:CB$87,'Fórmula'!H49,39))+(('Fórmula'!K49)/('Fórmula'!C49+'Fórmula'!E49+'Fórmula'!G49+'Fórmula'!I49+'Fórmula'!K49))*(INDEX(properties!A$1:CB$87,'Fórmula'!J49,39))</f>
        <v>0.8411111111</v>
      </c>
      <c r="DS49" s="109">
        <f t="array" ref="DS49">'Fórmula'!C49*(INDEX(properties!A$1:CB$87,'Fórmula'!B49,39))+'Fórmula'!E49*(INDEX(properties!A$1:CB$87,'Fórmula'!D49,39))+'Fórmula'!G49*(INDEX(properties!A$1:CB$87,'Fórmula'!F49,39))+'Fórmula'!I49*(INDEX(properties!A$1:CB$87,'Fórmula'!H49,39))+'Fórmula'!K49*(INDEX(properties!A$1:CB$87,'Fórmula'!J49,39))</f>
        <v>22.71</v>
      </c>
      <c r="DT49" s="109">
        <f t="array" ref="DT49">VARP(IF(INDEX(properties!A$1:CB$87,'Fórmula'!B49,39)&lt;&gt;"",INDEX(properties!A$1:CB$87,'Fórmula'!B49,39)),IF(INDEX(properties!A$1:CB$87,'Fórmula'!D49,39)&lt;&gt;"",INDEX(properties!A$1:CB$87,'Fórmula'!D49,39)),IF(INDEX(properties!A$1:CB$87,'Fórmula'!F49,39)&lt;&gt;"",INDEX(properties!A$1:CB$87,'Fórmula'!F49,39)),IF(INDEX(properties!A$1:CB$87,'Fórmula'!H49,39)&lt;&gt;"",INDEX(properties!A$1:CB$87,'Fórmula'!H49,39)),IF(INDEX(properties!A$1:CB$87,'Fórmula'!J49,39)&lt;&gt;"",INDEX(properties!A$1:CB$87,'Fórmula'!J49,39)))</f>
        <v>0.728056</v>
      </c>
      <c r="DU49" s="120">
        <f t="array" ref="DU49">MAX(INDEX(properties!A$1:CB$87,'Fórmula'!B49,39),INDEX(properties!A$1:CB$87,'Fórmula'!D49,39),INDEX(properties!A$1:CB$87,'Fórmula'!F49,39),INDEX(properties!A$1:CB$87,'Fórmula'!H49,39),INDEX(properties!A$1:CB$87,'Fórmula'!J49,39))</f>
        <v>2.53</v>
      </c>
      <c r="DV49" s="120">
        <f t="array" ref="DV49">MIN(IF(INDEX(properties!A$1:CB$87,'Fórmula'!B49,39)=0,10^6,INDEX(properties!A$1:CB$87,'Fórmula'!B49,39)),IF(INDEX(properties!A$1:CB$87,'Fórmula'!D49,39)=0,10^6,INDEX(properties!A$1:CB$87,'Fórmula'!D49,39)),IF(INDEX(properties!A$1:CB$87,'Fórmula'!F49,39)=0,10^6,INDEX(properties!A$1:CB$87,'Fórmula'!F49,39)),IF(INDEX(properties!A$1:CB$87,'Fórmula'!H49,39)=0,10^6,INDEX(properties!A$1:CB$87,'Fórmula'!H49,39)),IF(INDEX(properties!A$1:CB$87,'Fórmula'!J49,39)=0,10^6,INDEX(properties!A$1:CB$87,'Fórmula'!J49,39)))</f>
        <v>0.48</v>
      </c>
      <c r="DW49" s="109">
        <f t="shared" si="21"/>
        <v>2.05</v>
      </c>
      <c r="DX49" s="110">
        <f t="array" ref="DX49">(('Fórmula'!C49)/('Fórmula'!C49+'Fórmula'!E49+'Fórmula'!G49+'Fórmula'!I49+'Fórmula'!K49))*(INDEX(properties!A$1:CB$87,'Fórmula'!B49,40))+(('Fórmula'!E49)/('Fórmula'!C49+'Fórmula'!E49+'Fórmula'!G49+'Fórmula'!I49+'Fórmula'!K49))*(INDEX(properties!A$1:CB$87,'Fórmula'!D49,40))+(('Fórmula'!G49)/('Fórmula'!C49+'Fórmula'!E49+'Fórmula'!G49+'Fórmula'!I49+'Fórmula'!K49))*(INDEX(properties!A$1:CB$87,'Fórmula'!F49,40))+(('Fórmula'!I49)/('Fórmula'!C49+'Fórmula'!E49+'Fórmula'!G49+'Fórmula'!I49+'Fórmula'!K49))*(INDEX(properties!A$1:CB$87,'Fórmula'!H49,40))+(('Fórmula'!K49)/('Fórmula'!C49+'Fórmula'!E49+'Fórmula'!G49+'Fórmula'!I49+'Fórmula'!K49))*(INDEX(properties!A$1:CB$87,'Fórmula'!J49,40))</f>
        <v>0.917037037</v>
      </c>
      <c r="DY49" s="110">
        <f t="array" ref="DY49">'Fórmula'!C49*(INDEX(properties!A$1:CB$87,'Fórmula'!B49,40))+'Fórmula'!E49*(INDEX(properties!A$1:CB$87,'Fórmula'!D49,40))+'Fórmula'!G49*(INDEX(properties!A$1:CB$87,'Fórmula'!F49,40))+'Fórmula'!I49*(INDEX(properties!A$1:CB$87,'Fórmula'!H49,40))+'Fórmula'!K49*(INDEX(properties!A$1:CB$87,'Fórmula'!J49,40))</f>
        <v>24.76</v>
      </c>
      <c r="DZ49" s="110">
        <f t="array" ref="DZ49">VARP(IF(INDEX(properties!A$1:CB$87,'Fórmula'!B49,40)&lt;&gt;"",INDEX(properties!A$1:CB$87,'Fórmula'!B49,40)),IF(INDEX(properties!A$1:CB$87,'Fórmula'!D49,40)&lt;&gt;"",INDEX(properties!A$1:CB$87,'Fórmula'!D49,40)),IF(INDEX(properties!A$1:CB$87,'Fórmula'!F49,40)&lt;&gt;"",INDEX(properties!A$1:CB$87,'Fórmula'!F49,40)),IF(INDEX(properties!A$1:CB$87,'Fórmula'!H49,40)&lt;&gt;"",INDEX(properties!A$1:CB$87,'Fórmula'!H49,40)),IF(INDEX(properties!A$1:CB$87,'Fórmula'!J49,40)&lt;&gt;"",INDEX(properties!A$1:CB$87,'Fórmula'!J49,40)))</f>
        <v>0.410376</v>
      </c>
      <c r="EA49" s="121">
        <f t="array" ref="EA49">MAX(INDEX(properties!A$1:CB$87,'Fórmula'!B49,40),INDEX(properties!A$1:CB$87,'Fórmula'!D49,40),INDEX(properties!A$1:CB$87,'Fórmula'!F49,40),INDEX(properties!A$1:CB$87,'Fórmula'!H49,40),INDEX(properties!A$1:CB$87,'Fórmula'!J49,40))</f>
        <v>1.98</v>
      </c>
      <c r="EB49" s="121">
        <f t="array" ref="EB49">MIN(IF(INDEX(properties!A$1:CB$87,'Fórmula'!B49,40)=0,10^6,INDEX(properties!A$1:CB$87,'Fórmula'!B49,40)),IF(INDEX(properties!A$1:CB$87,'Fórmula'!D49,40)=0,10^6,INDEX(properties!A$1:CB$87,'Fórmula'!D49,40)),IF(INDEX(properties!A$1:CB$87,'Fórmula'!F49,40)=0,10^6,INDEX(properties!A$1:CB$87,'Fórmula'!F49,40)),IF(INDEX(properties!A$1:CB$87,'Fórmula'!H49,40)=0,10^6,INDEX(properties!A$1:CB$87,'Fórmula'!H49,40)),IF(INDEX(properties!A$1:CB$87,'Fórmula'!J49,40)=0,10^6,INDEX(properties!A$1:CB$87,'Fórmula'!J49,40)))</f>
        <v>0.73</v>
      </c>
      <c r="EC49" s="110">
        <f t="shared" si="22"/>
        <v>1.25</v>
      </c>
      <c r="ED49" s="111">
        <f t="array" ref="ED49">(('Fórmula'!C49)/('Fórmula'!C49+'Fórmula'!E49+'Fórmula'!G49+'Fórmula'!I49+'Fórmula'!K49))*(INDEX(properties!A$1:CB$87,'Fórmula'!B49,41))+(('Fórmula'!E49)/('Fórmula'!C49+'Fórmula'!E49+'Fórmula'!G49+'Fórmula'!I49+'Fórmula'!K49))*(INDEX(properties!A$1:CB$87,'Fórmula'!D49,41))+(('Fórmula'!G49)/('Fórmula'!C49+'Fórmula'!E49+'Fórmula'!G49+'Fórmula'!I49+'Fórmula'!K49))*(INDEX(properties!A$1:CB$87,'Fórmula'!F49,41))+(('Fórmula'!I49)/('Fórmula'!C49+'Fórmula'!E49+'Fórmula'!G49+'Fórmula'!I49+'Fórmula'!K49))*(INDEX(properties!A$1:CB$87,'Fórmula'!H49,41))+(('Fórmula'!K49)/('Fórmula'!C49+'Fórmula'!E49+'Fórmula'!G49+'Fórmula'!I49+'Fórmula'!K49))*(INDEX(properties!A$1:CB$87,'Fórmula'!J49,41))</f>
        <v>1.043333333</v>
      </c>
      <c r="EE49" s="111">
        <f t="array" ref="EE49">'Fórmula'!C49*(INDEX(properties!A$1:CB$87,'Fórmula'!B49,41))+'Fórmula'!E49*(INDEX(properties!A$1:CB$87,'Fórmula'!D49,41))+'Fórmula'!G49*(INDEX(properties!A$1:CB$87,'Fórmula'!F49,41))+'Fórmula'!I49*(INDEX(properties!A$1:CB$87,'Fórmula'!H49,41))+'Fórmula'!K49*(INDEX(properties!A$1:CB$87,'Fórmula'!J49,41))</f>
        <v>28.17</v>
      </c>
      <c r="EF49" s="111">
        <f t="array" ref="EF49">VARP(IF(INDEX(properties!A$1:CB$87,'Fórmula'!B49,41)&lt;&gt;"",INDEX(properties!A$1:CB$87,'Fórmula'!B49,41)),IF(INDEX(properties!A$1:CB$87,'Fórmula'!D49,41)&lt;&gt;"",INDEX(properties!A$1:CB$87,'Fórmula'!D49,41)),IF(INDEX(properties!A$1:CB$87,'Fórmula'!F49,41)&lt;&gt;"",INDEX(properties!A$1:CB$87,'Fórmula'!F49,41)),IF(INDEX(properties!A$1:CB$87,'Fórmula'!H49,41)&lt;&gt;"",INDEX(properties!A$1:CB$87,'Fórmula'!H49,41)),IF(INDEX(properties!A$1:CB$87,'Fórmula'!J49,41)&lt;&gt;"",INDEX(properties!A$1:CB$87,'Fórmula'!J49,41)))</f>
        <v>0.30588</v>
      </c>
      <c r="EG49" s="122">
        <f t="array" ref="EG49">MAX(INDEX(properties!A$1:CB$87,'Fórmula'!B49,41),INDEX(properties!A$1:CB$87,'Fórmula'!D49,41),INDEX(properties!A$1:CB$87,'Fórmula'!F49,41),INDEX(properties!A$1:CB$87,'Fórmula'!H49,41),INDEX(properties!A$1:CB$87,'Fórmula'!J49,41))</f>
        <v>1.49</v>
      </c>
      <c r="EH49" s="122">
        <f t="array" ref="EH49">MIN(IF(INDEX(properties!A$1:CB$87,'Fórmula'!B49,41)=0,10^6,INDEX(properties!A$1:CB$87,'Fórmula'!B49,41)),IF(INDEX(properties!A$1:CB$87,'Fórmula'!D49,41)=0,10^6,INDEX(properties!A$1:CB$87,'Fórmula'!D49,41)),IF(INDEX(properties!A$1:CB$87,'Fórmula'!F49,41)=0,10^6,INDEX(properties!A$1:CB$87,'Fórmula'!F49,41)),IF(INDEX(properties!A$1:CB$87,'Fórmula'!H49,41)=0,10^6,INDEX(properties!A$1:CB$87,'Fórmula'!H49,41)),IF(INDEX(properties!A$1:CB$87,'Fórmula'!J49,41)=0,10^6,INDEX(properties!A$1:CB$87,'Fórmula'!J49,41)))</f>
        <v>0.41</v>
      </c>
      <c r="EI49" s="111">
        <f t="shared" si="23"/>
        <v>1.08</v>
      </c>
      <c r="EJ49" s="112">
        <f t="array" ref="EJ49">(('Fórmula'!C49)/('Fórmula'!C49+'Fórmula'!E49+'Fórmula'!G49+'Fórmula'!I49+'Fórmula'!K49))*(INDEX(properties!A$1:CB$87,'Fórmula'!B49,45))+(('Fórmula'!E49)/('Fórmula'!C49+'Fórmula'!E49+'Fórmula'!G49+'Fórmula'!I49+'Fórmula'!K49))*(INDEX(properties!A$1:CB$87,'Fórmula'!D49,45))+(('Fórmula'!G49)/('Fórmula'!C49+'Fórmula'!E49+'Fórmula'!G49+'Fórmula'!I49+'Fórmula'!K49))*(INDEX(properties!A$1:CB$87,'Fórmula'!F49,45))+(('Fórmula'!I49)/('Fórmula'!C49+'Fórmula'!E49+'Fórmula'!G49+'Fórmula'!I49+'Fórmula'!K49))*(INDEX(properties!A$1:CB$87,'Fórmula'!H49,45))+(('Fórmula'!K49)/('Fórmula'!C49+'Fórmula'!E49+'Fórmula'!G49+'Fórmula'!I49+'Fórmula'!K49))*(INDEX(properties!A$1:CB$87,'Fórmula'!J49,45))</f>
        <v>0.9392592593</v>
      </c>
      <c r="EK49" s="112">
        <f t="array" ref="EK49">'Fórmula'!C49*(INDEX(properties!A$1:CB$87,'Fórmula'!B49,45))+'Fórmula'!E49*(INDEX(properties!A$1:CB$87,'Fórmula'!D49,45))+'Fórmula'!G49*(INDEX(properties!A$1:CB$87,'Fórmula'!F49,45))+'Fórmula'!I49*(INDEX(properties!A$1:CB$87,'Fórmula'!H49,45))+'Fórmula'!K49*(INDEX(properties!A$1:CB$87,'Fórmula'!J49,45))</f>
        <v>25.36</v>
      </c>
      <c r="EL49" s="112">
        <f t="array" ref="EL49">VARP(IF(INDEX(properties!A$1:CB$87,'Fórmula'!B49,45)&lt;&gt;"",INDEX(properties!A$1:CB$87,'Fórmula'!B49,45)),IF(INDEX(properties!A$1:CB$87,'Fórmula'!D49,45)&lt;&gt;"",INDEX(properties!A$1:CB$87,'Fórmula'!D49,45)),IF(INDEX(properties!A$1:CB$87,'Fórmula'!F49,45)&lt;&gt;"",INDEX(properties!A$1:CB$87,'Fórmula'!F49,45)),IF(INDEX(properties!A$1:CB$87,'Fórmula'!H49,45)&lt;&gt;"",INDEX(properties!A$1:CB$87,'Fórmula'!H49,45)),IF(INDEX(properties!A$1:CB$87,'Fórmula'!J49,45)&lt;&gt;"",INDEX(properties!A$1:CB$87,'Fórmula'!J49,45)))</f>
        <v>1.403936</v>
      </c>
      <c r="EM49" s="123">
        <f t="array" ref="EM49">MAX(INDEX(properties!A$1:CB$87,'Fórmula'!B49,45),INDEX(properties!A$1:CB$87,'Fórmula'!D49,45),INDEX(properties!A$1:CB$87,'Fórmula'!F49,45),INDEX(properties!A$1:CB$87,'Fórmula'!H49,45),INDEX(properties!A$1:CB$87,'Fórmula'!J49,45))</f>
        <v>3.4</v>
      </c>
      <c r="EN49" s="123">
        <f t="array" ref="EN49">MIN(IF(INDEX(properties!A$1:CB$87,'Fórmula'!B49,45)=0,10^6,INDEX(properties!A$1:CB$87,'Fórmula'!B49,45)),IF(INDEX(properties!A$1:CB$87,'Fórmula'!D49,45)=0,10^6,INDEX(properties!A$1:CB$87,'Fórmula'!D49,45)),IF(INDEX(properties!A$1:CB$87,'Fórmula'!F49,45)=0,10^6,INDEX(properties!A$1:CB$87,'Fórmula'!F49,45)),IF(INDEX(properties!A$1:CB$87,'Fórmula'!H49,45)=0,10^6,INDEX(properties!A$1:CB$87,'Fórmula'!H49,45)),IF(INDEX(properties!A$1:CB$87,'Fórmula'!J49,45)=0,10^6,INDEX(properties!A$1:CB$87,'Fórmula'!J49,45)))</f>
        <v>0.47</v>
      </c>
      <c r="EO49" s="112">
        <f t="shared" si="24"/>
        <v>2.93</v>
      </c>
      <c r="EP49" s="113">
        <f t="array" ref="EP49">(('Fórmula'!C49)/('Fórmula'!C49+'Fórmula'!E49+'Fórmula'!G49+'Fórmula'!I49+'Fórmula'!K49))*(INDEX(properties!A$1:CB$87,'Fórmula'!B49,46))+(('Fórmula'!E49)/('Fórmula'!C49+'Fórmula'!E49+'Fórmula'!G49+'Fórmula'!I49+'Fórmula'!K49))*(INDEX(properties!A$1:CB$87,'Fórmula'!D49,46))+(('Fórmula'!G49)/('Fórmula'!C49+'Fórmula'!E49+'Fórmula'!G49+'Fórmula'!I49+'Fórmula'!K49))*(INDEX(properties!A$1:CB$87,'Fórmula'!F49,46))+(('Fórmula'!I49)/('Fórmula'!C49+'Fórmula'!E49+'Fórmula'!G49+'Fórmula'!I49+'Fórmula'!K49))*(INDEX(properties!A$1:CB$87,'Fórmula'!H49,46))+(('Fórmula'!K49)/('Fórmula'!C49+'Fórmula'!E49+'Fórmula'!G49+'Fórmula'!I49+'Fórmula'!K49))*(INDEX(properties!A$1:CB$87,'Fórmula'!J49,46))</f>
        <v>0.9677777778</v>
      </c>
      <c r="EQ49" s="113">
        <f t="array" ref="EQ49">'Fórmula'!C49*(INDEX(properties!A$1:CB$87,'Fórmula'!B49,46))+'Fórmula'!E49*(INDEX(properties!A$1:CB$87,'Fórmula'!D49,46))+'Fórmula'!G49*(INDEX(properties!A$1:CB$87,'Fórmula'!F49,46))+'Fórmula'!I49*(INDEX(properties!A$1:CB$87,'Fórmula'!H49,46))+'Fórmula'!K49*(INDEX(properties!A$1:CB$87,'Fórmula'!J49,46))</f>
        <v>26.13</v>
      </c>
      <c r="ER49" s="113">
        <f t="array" ref="ER49">VARP(IF(INDEX(properties!A$1:CB$87,'Fórmula'!B49,46)&lt;&gt;"",INDEX(properties!A$1:CB$87,'Fórmula'!B49,46)),IF(INDEX(properties!A$1:CB$87,'Fórmula'!D49,46)&lt;&gt;"",INDEX(properties!A$1:CB$87,'Fórmula'!D49,46)),IF(INDEX(properties!A$1:CB$87,'Fórmula'!F49,46)&lt;&gt;"",INDEX(properties!A$1:CB$87,'Fórmula'!F49,46)),IF(INDEX(properties!A$1:CB$87,'Fórmula'!H49,46)&lt;&gt;"",INDEX(properties!A$1:CB$87,'Fórmula'!H49,46)),IF(INDEX(properties!A$1:CB$87,'Fórmula'!J49,46)&lt;&gt;"",INDEX(properties!A$1:CB$87,'Fórmula'!J49,46)))</f>
        <v>0.33244</v>
      </c>
      <c r="ES49" s="124">
        <f t="array" ref="ES49">MAX(INDEX(properties!A$1:CB$87,'Fórmula'!B49,46),INDEX(properties!A$1:CB$87,'Fórmula'!D49,46),INDEX(properties!A$1:CB$87,'Fórmula'!F49,46),INDEX(properties!A$1:CB$87,'Fórmula'!H49,46),INDEX(properties!A$1:CB$87,'Fórmula'!J49,46))</f>
        <v>1.49</v>
      </c>
      <c r="ET49" s="124">
        <f t="array" ref="ET49">MIN(IF(INDEX(properties!A$1:CB$87,'Fórmula'!B49,46)=0,10^6,INDEX(properties!A$1:CB$87,'Fórmula'!B49,46)),IF(INDEX(properties!A$1:CB$87,'Fórmula'!D49,46)=0,10^6,INDEX(properties!A$1:CB$87,'Fórmula'!D49,46)),IF(INDEX(properties!A$1:CB$87,'Fórmula'!F49,46)=0,10^6,INDEX(properties!A$1:CB$87,'Fórmula'!F49,46)),IF(INDEX(properties!A$1:CB$87,'Fórmula'!H49,46)=0,10^6,INDEX(properties!A$1:CB$87,'Fórmula'!H49,46)),IF(INDEX(properties!A$1:CB$87,'Fórmula'!J49,46)=0,10^6,INDEX(properties!A$1:CB$87,'Fórmula'!J49,46)))</f>
        <v>0.25</v>
      </c>
      <c r="EU49" s="113">
        <f t="shared" si="25"/>
        <v>1.24</v>
      </c>
      <c r="EV49" s="114">
        <f t="array" ref="EV49">(('Fórmula'!C49)/('Fórmula'!C49+'Fórmula'!E49+'Fórmula'!G49+'Fórmula'!I49+'Fórmula'!K49))*(INDEX(properties!A$1:CB$87,'Fórmula'!B49,52))+(('Fórmula'!E49)/('Fórmula'!C49+'Fórmula'!E49+'Fórmula'!G49+'Fórmula'!I49+'Fórmula'!K49))*(INDEX(properties!A$1:CB$87,'Fórmula'!D49,52))+(('Fórmula'!G49)/('Fórmula'!C49+'Fórmula'!E49+'Fórmula'!G49+'Fórmula'!I49+'Fórmula'!K49))*(INDEX(properties!A$1:CB$87,'Fórmula'!F49,52))+(('Fórmula'!I49)/('Fórmula'!C49+'Fórmula'!E49+'Fórmula'!G49+'Fórmula'!I49+'Fórmula'!K49))*(INDEX(properties!A$1:CB$87,'Fórmula'!H49,52))+(('Fórmula'!K49)/('Fórmula'!C49+'Fórmula'!E49+'Fórmula'!G49+'Fórmula'!I49+'Fórmula'!K49))*(INDEX(properties!A$1:CB$87,'Fórmula'!J49,52))</f>
        <v>5.947703704</v>
      </c>
      <c r="EW49" s="114">
        <f t="array" ref="EW49">'Fórmula'!C49*(INDEX(properties!A$1:CB$87,'Fórmula'!B49,52))+'Fórmula'!E49*(INDEX(properties!A$1:CB$87,'Fórmula'!D49,52))+'Fórmula'!G49*(INDEX(properties!A$1:CB$87,'Fórmula'!F49,52))+'Fórmula'!I49*(INDEX(properties!A$1:CB$87,'Fórmula'!H49,52))+'Fórmula'!K49*(INDEX(properties!A$1:CB$87,'Fórmula'!J49,52))</f>
        <v>160.588</v>
      </c>
      <c r="EX49" s="114">
        <f t="array" ref="EX49">VARP(IF(INDEX(properties!A$1:CB$87,'Fórmula'!B49,52)&lt;&gt;"",INDEX(properties!A$1:CB$87,'Fórmula'!B49,52)),IF(INDEX(properties!A$1:CB$87,'Fórmula'!D49,52)&lt;&gt;"",INDEX(properties!A$1:CB$87,'Fórmula'!D49,52)),IF(INDEX(properties!A$1:CB$87,'Fórmula'!F49,52)&lt;&gt;"",INDEX(properties!A$1:CB$87,'Fórmula'!F49,52)),IF(INDEX(properties!A$1:CB$87,'Fórmula'!H49,52)&lt;&gt;"",INDEX(properties!A$1:CB$87,'Fórmula'!H49,52)),IF(INDEX(properties!A$1:CB$87,'Fórmula'!J49,52)&lt;&gt;"",INDEX(properties!A$1:CB$87,'Fórmula'!J49,52)))</f>
        <v>227.3547518</v>
      </c>
      <c r="EY49" s="114">
        <f t="array" ref="EY49">MAX(INDEX(properties!A$1:CB$87,'Fórmula'!B49,52),INDEX(properties!A$1:CB$87,'Fórmula'!D49,52),INDEX(properties!A$1:CB$87,'Fórmula'!F49,52),INDEX(properties!A$1:CB$87,'Fórmula'!H49,52),INDEX(properties!A$1:CB$87,'Fórmula'!J49,52))</f>
        <v>39.7</v>
      </c>
      <c r="EZ49" s="114">
        <f t="array" ref="EZ49">MIN(IF(INDEX(properties!A$1:CB$87,'Fórmula'!B49,52)=0,10^6,INDEX(properties!A$1:CB$87,'Fórmula'!B49,52)),IF(INDEX(properties!A$1:CB$87,'Fórmula'!D49,52)=0,10^6,INDEX(properties!A$1:CB$87,'Fórmula'!D49,52)),IF(INDEX(properties!A$1:CB$87,'Fórmula'!F49,52)=0,10^6,INDEX(properties!A$1:CB$87,'Fórmula'!F49,52)),IF(INDEX(properties!A$1:CB$87,'Fórmula'!H49,52)=0,10^6,INDEX(properties!A$1:CB$87,'Fórmula'!H49,52)),IF(INDEX(properties!A$1:CB$87,'Fórmula'!J49,52)=0,10^6,INDEX(properties!A$1:CB$87,'Fórmula'!J49,52)))</f>
        <v>0.793</v>
      </c>
      <c r="FA49" s="114">
        <f t="shared" si="26"/>
        <v>38.907</v>
      </c>
      <c r="FB49" s="115">
        <f t="array" ref="FB49">(('Fórmula'!C49)/('Fórmula'!C49+'Fórmula'!E49+'Fórmula'!G49+'Fórmula'!I49+'Fórmula'!K49))*(INDEX(properties!A$1:CB$87,'Fórmula'!B49,53))+(('Fórmula'!E49)/('Fórmula'!C49+'Fórmula'!E49+'Fórmula'!G49+'Fórmula'!I49+'Fórmula'!K49))*(INDEX(properties!A$1:CB$87,'Fórmula'!D49,53))+(('Fórmula'!G49)/('Fórmula'!C49+'Fórmula'!E49+'Fórmula'!G49+'Fórmula'!I49+'Fórmula'!K49))*(INDEX(properties!A$1:CB$87,'Fórmula'!F49,53))+(('Fórmula'!I49)/('Fórmula'!C49+'Fórmula'!E49+'Fórmula'!G49+'Fórmula'!I49+'Fórmula'!K49))*(INDEX(properties!A$1:CB$87,'Fórmula'!H49,53))+(('Fórmula'!K49)/('Fórmula'!C49+'Fórmula'!E49+'Fórmula'!G49+'Fórmula'!I49+'Fórmula'!K49))*(INDEX(properties!A$1:CB$87,'Fórmula'!J49,53))</f>
        <v>790.7277778</v>
      </c>
      <c r="FC49" s="115">
        <f t="array" ref="FC49">'Fórmula'!C49*(INDEX(properties!A$1:CB$87,'Fórmula'!B49,53))+'Fórmula'!E49*(INDEX(properties!A$1:CB$87,'Fórmula'!D49,53))+'Fórmula'!G49*(INDEX(properties!A$1:CB$87,'Fórmula'!F49,53))+'Fórmula'!I49*(INDEX(properties!A$1:CB$87,'Fórmula'!H49,53))+'Fórmula'!K49*(INDEX(properties!A$1:CB$87,'Fórmula'!J49,53))</f>
        <v>21349.65</v>
      </c>
      <c r="FD49" s="115">
        <f t="array" ref="FD49">VARP(IF(INDEX(properties!A$1:CB$87,'Fórmula'!B49,53)&lt;&gt;"",INDEX(properties!A$1:CB$87,'Fórmula'!B49,53)),IF(INDEX(properties!A$1:CB$87,'Fórmula'!D49,53)&lt;&gt;"",INDEX(properties!A$1:CB$87,'Fórmula'!D49,53)),IF(INDEX(properties!A$1:CB$87,'Fórmula'!F49,53)&lt;&gt;"",INDEX(properties!A$1:CB$87,'Fórmula'!F49,53)),IF(INDEX(properties!A$1:CB$87,'Fórmula'!H49,53)&lt;&gt;"",INDEX(properties!A$1:CB$87,'Fórmula'!H49,53)),IF(INDEX(properties!A$1:CB$87,'Fórmula'!J49,53)&lt;&gt;"",INDEX(properties!A$1:CB$87,'Fórmula'!J49,53)))</f>
        <v>837389.7364</v>
      </c>
      <c r="FE49" s="115">
        <f t="array" ref="FE49">MAX(INDEX(properties!A$1:CB$87,'Fórmula'!B49,53),INDEX(properties!A$1:CB$87,'Fórmula'!D49,53),INDEX(properties!A$1:CB$87,'Fórmula'!F49,53),INDEX(properties!A$1:CB$87,'Fórmula'!H49,53),INDEX(properties!A$1:CB$87,'Fórmula'!J49,53))</f>
        <v>2352.15</v>
      </c>
      <c r="FF49" s="115">
        <f t="array" ref="FF49">MIN(IF(INDEX(properties!A$1:CB$87,'Fórmula'!B49,53)=0,10^6,INDEX(properties!A$1:CB$87,'Fórmula'!B49,53)),IF(INDEX(properties!A$1:CB$87,'Fórmula'!D49,53)=0,10^6,INDEX(properties!A$1:CB$87,'Fórmula'!D49,53)),IF(INDEX(properties!A$1:CB$87,'Fórmula'!F49,53)=0,10^6,INDEX(properties!A$1:CB$87,'Fórmula'!F49,53)),IF(INDEX(properties!A$1:CB$87,'Fórmula'!H49,53)=0,10^6,INDEX(properties!A$1:CB$87,'Fórmula'!H49,53)),IF(INDEX(properties!A$1:CB$87,'Fórmula'!J49,53)=0,10^6,INDEX(properties!A$1:CB$87,'Fórmula'!J49,53)))</f>
        <v>54.75</v>
      </c>
      <c r="FG49" s="115">
        <f t="shared" si="27"/>
        <v>2297.4</v>
      </c>
      <c r="FH49" s="117">
        <f t="array" ref="FH49">(('Fórmula'!C49)/('Fórmula'!C49+'Fórmula'!E49+'Fórmula'!G49+'Fórmula'!I49+'Fórmula'!K49))*(INDEX(properties!A$1:CB$87,'Fórmula'!B49,54))+(('Fórmula'!E49)/('Fórmula'!C49+'Fórmula'!E49+'Fórmula'!G49+'Fórmula'!I49+'Fórmula'!K49))*(INDEX(properties!A$1:CB$87,'Fórmula'!D49,54))+(('Fórmula'!G49)/('Fórmula'!C49+'Fórmula'!E49+'Fórmula'!G49+'Fórmula'!I49+'Fórmula'!K49))*(INDEX(properties!A$1:CB$87,'Fórmula'!F49,54))+(('Fórmula'!I49)/('Fórmula'!C49+'Fórmula'!E49+'Fórmula'!G49+'Fórmula'!I49+'Fórmula'!K49))*(INDEX(properties!A$1:CB$87,'Fórmula'!H49,54))+(('Fórmula'!K49)/('Fórmula'!C49+'Fórmula'!E49+'Fórmula'!G49+'Fórmula'!I49+'Fórmula'!K49))*(INDEX(properties!A$1:CB$87,'Fórmula'!J49,54))</f>
        <v>1410.672222</v>
      </c>
      <c r="FI49" s="117">
        <f t="array" ref="FI49">'Fórmula'!C49*(INDEX(properties!A$1:CB$87,'Fórmula'!B49,54))+'Fórmula'!E49*(INDEX(properties!A$1:CB$87,'Fórmula'!D49,54))+'Fórmula'!G49*(INDEX(properties!A$1:CB$87,'Fórmula'!F49,54))+'Fórmula'!I49*(INDEX(properties!A$1:CB$87,'Fórmula'!H49,54))+'Fórmula'!K49*(INDEX(properties!A$1:CB$87,'Fórmula'!J49,54))</f>
        <v>38088.15</v>
      </c>
      <c r="FJ49" s="117">
        <f t="array" ref="FJ49">VARP(IF(INDEX(properties!A$1:CB$87,'Fórmula'!B49,54)&lt;&gt;"",INDEX(properties!A$1:CB$87,'Fórmula'!B49,54)),IF(INDEX(properties!A$1:CB$87,'Fórmula'!D49,54)&lt;&gt;"",INDEX(properties!A$1:CB$87,'Fórmula'!D49,54)),IF(INDEX(properties!A$1:CB$87,'Fórmula'!F49,54)&lt;&gt;"",INDEX(properties!A$1:CB$87,'Fórmula'!F49,54)),IF(INDEX(properties!A$1:CB$87,'Fórmula'!H49,54)&lt;&gt;"",INDEX(properties!A$1:CB$87,'Fórmula'!H49,54)),IF(INDEX(properties!A$1:CB$87,'Fórmula'!J49,54)&lt;&gt;"",INDEX(properties!A$1:CB$87,'Fórmula'!J49,54)))</f>
        <v>2597219.409</v>
      </c>
      <c r="FK49" s="117">
        <f t="array" ref="FK49">MAX(INDEX(properties!A$1:CB$87,'Fórmula'!B49,54),INDEX(properties!A$1:CB$87,'Fórmula'!D49,54),INDEX(properties!A$1:CB$87,'Fórmula'!F49,54),INDEX(properties!A$1:CB$87,'Fórmula'!H49,54),INDEX(properties!A$1:CB$87,'Fórmula'!J49,54))</f>
        <v>4275</v>
      </c>
      <c r="FL49" s="117">
        <f t="array" ref="FL49">MIN(IF(INDEX(properties!A$1:CB$87,'Fórmula'!B49,54)=0,10^6,INDEX(properties!A$1:CB$87,'Fórmula'!B49,54)),IF(INDEX(properties!A$1:CB$87,'Fórmula'!D49,54)=0,10^6,INDEX(properties!A$1:CB$87,'Fórmula'!D49,54)),IF(INDEX(properties!A$1:CB$87,'Fórmula'!F49,54)=0,10^6,INDEX(properties!A$1:CB$87,'Fórmula'!F49,54)),IF(INDEX(properties!A$1:CB$87,'Fórmula'!H49,54)=0,10^6,INDEX(properties!A$1:CB$87,'Fórmula'!H49,54)),IF(INDEX(properties!A$1:CB$87,'Fórmula'!J49,54)=0,10^6,INDEX(properties!A$1:CB$87,'Fórmula'!J49,54)))</f>
        <v>90.15</v>
      </c>
      <c r="FM49" s="117">
        <f t="shared" si="28"/>
        <v>4184.85</v>
      </c>
      <c r="FN49" s="118">
        <f t="array" ref="FN49">(('Fórmula'!C49)/('Fórmula'!C49+'Fórmula'!E49+'Fórmula'!G49+'Fórmula'!I49+'Fórmula'!K49))*(INDEX(properties!A$1:CB$87,'Fórmula'!B49,55))+(('Fórmula'!E49)/('Fórmula'!C49+'Fórmula'!E49+'Fórmula'!G49+'Fórmula'!I49+'Fórmula'!K49))*(INDEX(properties!A$1:CB$87,'Fórmula'!D49,55))+(('Fórmula'!G49)/('Fórmula'!C49+'Fórmula'!E49+'Fórmula'!G49+'Fórmula'!I49+'Fórmula'!K49))*(INDEX(properties!A$1:CB$87,'Fórmula'!F49,55))+(('Fórmula'!I49)/('Fórmula'!C49+'Fórmula'!E49+'Fórmula'!G49+'Fórmula'!I49+'Fórmula'!K49))*(INDEX(properties!A$1:CB$87,'Fórmula'!H49,55))+(('Fórmula'!K49)/('Fórmula'!C49+'Fórmula'!E49+'Fórmula'!G49+'Fórmula'!I49+'Fórmula'!K49))*(INDEX(properties!A$1:CB$87,'Fórmula'!J49,55))</f>
        <v>1.082328889</v>
      </c>
      <c r="FO49" s="118">
        <f t="array" ref="FO49">'Fórmula'!C49*(INDEX(properties!A$1:CB$87,'Fórmula'!B49,55))+'Fórmula'!E49*(INDEX(properties!A$1:CB$87,'Fórmula'!D49,54))+'Fórmula'!G49*(INDEX(properties!A$1:CB$87,'Fórmula'!F49,55))+'Fórmula'!I49*(INDEX(properties!A$1:CB$87,'Fórmula'!H49,55))+'Fórmula'!K49*(INDEX(properties!A$1:CB$87,'Fórmula'!J49,55))</f>
        <v>25665.18288</v>
      </c>
      <c r="FP49" s="118">
        <f t="array" ref="FP49">VARP(IF(INDEX(properties!A$1:CB$87,'Fórmula'!B49,55)&lt;&gt;"",INDEX(properties!A$1:CB$87,'Fórmula'!B49,55)),IF(INDEX(properties!A$1:CB$87,'Fórmula'!D49,55)&lt;&gt;"",INDEX(properties!A$1:CB$87,'Fórmula'!D49,55)),IF(INDEX(properties!A$1:CB$87,'Fórmula'!F49,55)&lt;&gt;"",INDEX(properties!A$1:CB$87,'Fórmula'!F49,55)),IF(INDEX(properties!A$1:CB$87,'Fórmula'!H49,55)&lt;&gt;"",INDEX(properties!A$1:CB$87,'Fórmula'!H49,55)),IF(INDEX(properties!A$1:CB$87,'Fórmula'!J49,55)&lt;&gt;"",INDEX(properties!A$1:CB$87,'Fórmula'!J49,55)))</f>
        <v>1.960009679</v>
      </c>
      <c r="FQ49" s="118">
        <f t="array" ref="FQ49">MAX(INDEX(properties!A$1:CB$87,'Fórmula'!B49,55),INDEX(properties!A$1:CB$87,'Fórmula'!D49,55),INDEX(properties!A$1:CB$87,'Fórmula'!F49,55),INDEX(properties!A$1:CB$87,'Fórmula'!H49,55),INDEX(properties!A$1:CB$87,'Fórmula'!J49,55))</f>
        <v>3.5</v>
      </c>
      <c r="FR49" s="118">
        <f t="array" ref="FR49">MIN(IF(INDEX(properties!A$1:CB$87,'Fórmula'!B49,55)=0,10^6,INDEX(properties!A$1:CB$87,'Fórmula'!B49,55)),IF(INDEX(properties!A$1:CB$87,'Fórmula'!D49,55)=0,10^6,INDEX(properties!A$1:CB$87,'Fórmula'!D49,55)),IF(INDEX(properties!A$1:CB$87,'Fórmula'!F49,55)=0,10^6,INDEX(properties!A$1:CB$87,'Fórmula'!F49,55)),IF(INDEX(properties!A$1:CB$87,'Fórmula'!H49,55)=0,10^6,INDEX(properties!A$1:CB$87,'Fórmula'!H49,55)),IF(INDEX(properties!A$1:CB$87,'Fórmula'!J49,55)=0,10^6,INDEX(properties!A$1:CB$87,'Fórmula'!J49,55)))</f>
        <v>0.00143</v>
      </c>
      <c r="FS49" s="118">
        <f t="shared" si="29"/>
        <v>3.49857</v>
      </c>
      <c r="FT49" s="119">
        <f t="array" ref="FT49">(('Fórmula'!C49)/('Fórmula'!C49+'Fórmula'!E49+'Fórmula'!G49+'Fórmula'!I49+'Fórmula'!K49))*(INDEX(properties!A$1:CB$87,'Fórmula'!B49,56))+(('Fórmula'!E49)/('Fórmula'!C49+'Fórmula'!E49+'Fórmula'!G49+'Fórmula'!I49+'Fórmula'!K49))*(INDEX(properties!A$1:CB$87,'Fórmula'!D49,56))+(('Fórmula'!G49)/('Fórmula'!C49+'Fórmula'!E49+'Fórmula'!G49+'Fórmula'!I49+'Fórmula'!K49))*(INDEX(properties!A$1:CB$87,'Fórmula'!F49,56))+(('Fórmula'!I49)/('Fórmula'!C49+'Fórmula'!E49+'Fórmula'!G49+'Fórmula'!I49+'Fórmula'!K49))*(INDEX(properties!A$1:CB$87,'Fórmula'!H49,56))+(('Fórmula'!K49)/('Fórmula'!C49+'Fórmula'!E49+'Fórmula'!G49+'Fórmula'!I49+'Fórmula'!K49))*(INDEX(properties!A$1:CB$87,'Fórmula'!J49,56))</f>
        <v>0.8471111111</v>
      </c>
      <c r="FU49" s="119">
        <f t="array" ref="FU49">'Fórmula'!C49*(INDEX(properties!A$1:CB$87,'Fórmula'!B49,56))+'Fórmula'!E49*(INDEX(properties!A$1:CB$87,'Fórmula'!D49,56))+'Fórmula'!G49*(INDEX(properties!A$1:CB$87,'Fórmula'!F49,56))+'Fórmula'!I49*(INDEX(properties!A$1:CB$87,'Fórmula'!H49,56))+'Fórmula'!K49*(INDEX(properties!A$1:CB$87,'Fórmula'!J49,56))</f>
        <v>22.872</v>
      </c>
      <c r="FV49" s="119">
        <f t="array" ref="FV49">VARP(IF(INDEX(properties!A$1:CB$87,'Fórmula'!B49,56)&lt;&gt;"",INDEX(properties!A$1:CB$87,'Fórmula'!B49,56)),IF(INDEX(properties!A$1:CB$87,'Fórmula'!D49,56)&lt;&gt;"",INDEX(properties!A$1:CB$87,'Fórmula'!D49,56)),IF(INDEX(properties!A$1:CB$87,'Fórmula'!F49,56)&lt;&gt;"",INDEX(properties!A$1:CB$87,'Fórmula'!F49,56)),IF(INDEX(properties!A$1:CB$87,'Fórmula'!H49,56)&lt;&gt;"",INDEX(properties!A$1:CB$87,'Fórmula'!H49,56)),IF(INDEX(properties!A$1:CB$87,'Fórmula'!J49,56)&lt;&gt;"",INDEX(properties!A$1:CB$87,'Fórmula'!J49,56)))</f>
        <v>0.16069056</v>
      </c>
      <c r="FW49" s="119">
        <f t="array" ref="FW49">MAX(INDEX(properties!A$1:CB$87,'Fórmula'!B49,56),INDEX(properties!A$1:CB$87,'Fórmula'!D49,56),INDEX(properties!A$1:CB$87,'Fórmula'!F49,56),INDEX(properties!A$1:CB$87,'Fórmula'!H49,56),INDEX(properties!A$1:CB$87,'Fórmula'!J49,56))</f>
        <v>1.02</v>
      </c>
      <c r="FX49" s="119">
        <f t="array" ref="FX49">MIN(IF(INDEX(properties!A$1:CB$87,'Fórmula'!B49,56)=0,10^6,INDEX(properties!A$1:CB$87,'Fórmula'!B49,56)),IF(INDEX(properties!A$1:CB$87,'Fórmula'!D49,56)=0,10^6,INDEX(properties!A$1:CB$87,'Fórmula'!D49,56)),IF(INDEX(properties!A$1:CB$87,'Fórmula'!F49,56)=0,10^6,INDEX(properties!A$1:CB$87,'Fórmula'!F49,56)),IF(INDEX(properties!A$1:CB$87,'Fórmula'!H49,56)=0,10^6,INDEX(properties!A$1:CB$87,'Fórmula'!H49,56)),IF(INDEX(properties!A$1:CB$87,'Fórmula'!J49,56)=0,10^6,INDEX(properties!A$1:CB$87,'Fórmula'!J49,56)))</f>
        <v>0.204</v>
      </c>
      <c r="FY49" s="119">
        <f t="shared" si="30"/>
        <v>0.816</v>
      </c>
      <c r="FZ49" s="104">
        <f t="array" ref="FZ49">(('Fórmula'!C49)/('Fórmula'!C49+'Fórmula'!E49+'Fórmula'!G49+'Fórmula'!I49+'Fórmula'!K49))*(INDEX(properties!A$1:CB$87,'Fórmula'!B49,57))+(('Fórmula'!E49)/('Fórmula'!C49+'Fórmula'!E49+'Fórmula'!G49+'Fórmula'!I49+'Fórmula'!K49))*(INDEX(properties!A$1:CB$87,'Fórmula'!D49,57))+(('Fórmula'!G49)/('Fórmula'!C49+'Fórmula'!E49+'Fórmula'!G49+'Fórmula'!I49+'Fórmula'!K49))*(INDEX(properties!A$1:CB$87,'Fórmula'!F49,57))+(('Fórmula'!I49)/('Fórmula'!C49+'Fórmula'!E49+'Fórmula'!G49+'Fórmula'!I49+'Fórmula'!K49))*(INDEX(properties!A$1:CB$87,'Fórmula'!H49,57))+(('Fórmula'!K49)/('Fórmula'!C49+'Fórmula'!E49+'Fórmula'!G49+'Fórmula'!I49+'Fórmula'!K49))*(INDEX(properties!A$1:CB$87,'Fórmula'!J49,57))</f>
        <v>15.8930163</v>
      </c>
      <c r="GA49" s="104">
        <f t="array" ref="GA49">'Fórmula'!C49*(INDEX(properties!A$1:CB$87,'Fórmula'!B49,57))+'Fórmula'!E49*(INDEX(properties!A$1:CB$87,'Fórmula'!D49,57))+'Fórmula'!G49*(INDEX(properties!A$1:CB$87,'Fórmula'!F49,57))+'Fórmula'!I49*(INDEX(properties!A$1:CB$87,'Fórmula'!H49,57))+'Fórmula'!K49*(INDEX(properties!A$1:CB$87,'Fórmula'!J49,57))</f>
        <v>429.11144</v>
      </c>
      <c r="GB49" s="104">
        <f t="array" ref="GB49">VARP(IF(INDEX(properties!A$1:CB$87,'Fórmula'!B49,57)&lt;&gt;"",INDEX(properties!A$1:CB$87,'Fórmula'!B49,57)),IF(INDEX(properties!A$1:CB$87,'Fórmula'!D49,57)&lt;&gt;"",INDEX(properties!A$1:CB$87,'Fórmula'!D49,57)),IF(INDEX(properties!A$1:CB$87,'Fórmula'!F49,57)&lt;&gt;"",INDEX(properties!A$1:CB$87,'Fórmula'!F49,57)),IF(INDEX(properties!A$1:CB$87,'Fórmula'!H49,57)&lt;&gt;"",INDEX(properties!A$1:CB$87,'Fórmula'!H49,57)),IF(INDEX(properties!A$1:CB$87,'Fórmula'!J49,57)&lt;&gt;"",INDEX(properties!A$1:CB$87,'Fórmula'!J49,57)))</f>
        <v>554.2668462</v>
      </c>
      <c r="GC49" s="104">
        <f t="array" ref="GC49">MAX(INDEX(properties!A$1:CB$87,'Fórmula'!B49,57),INDEX(properties!A$1:CB$87,'Fórmula'!D49,57),INDEX(properties!A$1:CB$87,'Fórmula'!F49,57),INDEX(properties!A$1:CB$87,'Fórmula'!H49,57),INDEX(properties!A$1:CB$87,'Fórmula'!J49,57))</f>
        <v>50.55</v>
      </c>
      <c r="GD49" s="104">
        <f t="array" ref="GD49">MIN(IF(INDEX(properties!A$1:CB$87,'Fórmula'!B49,57)=0,10^6,INDEX(properties!A$1:CB$87,'Fórmula'!B49,57)),IF(INDEX(properties!A$1:CB$87,'Fórmula'!D49,57)=0,10^6,INDEX(properties!A$1:CB$87,'Fórmula'!D49,57)),IF(INDEX(properties!A$1:CB$87,'Fórmula'!F49,57)=0,10^6,INDEX(properties!A$1:CB$87,'Fórmula'!F49,57)),IF(INDEX(properties!A$1:CB$87,'Fórmula'!H49,57)=0,10^6,INDEX(properties!A$1:CB$87,'Fórmula'!H49,57)),IF(INDEX(properties!A$1:CB$87,'Fórmula'!J49,57)=0,10^6,INDEX(properties!A$1:CB$87,'Fórmula'!J49,57)))</f>
        <v>0.22259</v>
      </c>
      <c r="GE49" s="104">
        <f t="shared" si="31"/>
        <v>50.32741</v>
      </c>
      <c r="GF49" s="105">
        <f t="array" ref="GF49">(('Fórmula'!C49)/('Fórmula'!C49+'Fórmula'!E49+'Fórmula'!G49+'Fórmula'!I49+'Fórmula'!K49))*(INDEX(properties!A$1:CB$87,'Fórmula'!B49,60))+(('Fórmula'!E49)/('Fórmula'!C49+'Fórmula'!E49+'Fórmula'!G49+'Fórmula'!I49+'Fórmula'!K49))*(INDEX(properties!A$1:CB$87,'Fórmula'!D49,60))+(('Fórmula'!G49)/('Fórmula'!C49+'Fórmula'!E49+'Fórmula'!G49+'Fórmula'!I49+'Fórmula'!K49))*(INDEX(properties!A$1:CB$87,'Fórmula'!F49,60))+(('Fórmula'!I49)/('Fórmula'!C49+'Fórmula'!E49+'Fórmula'!G49+'Fórmula'!I49+'Fórmula'!K49))*(INDEX(properties!A$1:CB$87,'Fórmula'!H49,60))+(('Fórmula'!K49)/('Fórmula'!C49+'Fórmula'!E49+'Fórmula'!G49+'Fórmula'!I49+'Fórmula'!K49))*(INDEX(properties!A$1:CB$87,'Fórmula'!J49,60))</f>
        <v>19.02325333</v>
      </c>
      <c r="GG49" s="105">
        <f t="array" ref="GG49">'Fórmula'!C49*(INDEX(properties!A$1:CB$87,'Fórmula'!B49,60))+'Fórmula'!E49*(INDEX(properties!A$1:CB$87,'Fórmula'!D49,60))+'Fórmula'!G49*(INDEX(properties!A$1:CB$87,'Fórmula'!F49,60))+'Fórmula'!I49*(INDEX(properties!A$1:CB$87,'Fórmula'!H49,60))+'Fórmula'!K49*(INDEX(properties!A$1:CB$87,'Fórmula'!J49,60))</f>
        <v>513.62784</v>
      </c>
      <c r="GH49" s="105">
        <f t="array" ref="GH49">VARP(IF(INDEX(properties!A$1:CB$87,'Fórmula'!B49,60)&lt;&gt;"",INDEX(properties!A$1:CB$87,'Fórmula'!B49,60)),IF(INDEX(properties!A$1:CB$87,'Fórmula'!D49,60)&lt;&gt;"",INDEX(properties!A$1:CB$87,'Fórmula'!D49,60)),IF(INDEX(properties!A$1:CB$87,'Fórmula'!F49,60)&lt;&gt;"",INDEX(properties!A$1:CB$87,'Fórmula'!F49,60)),IF(INDEX(properties!A$1:CB$87,'Fórmula'!H49,60)&lt;&gt;"",INDEX(properties!A$1:CB$87,'Fórmula'!H49,60)),IF(INDEX(properties!A$1:CB$87,'Fórmula'!J49,60)&lt;&gt;"",INDEX(properties!A$1:CB$87,'Fórmula'!J49,60)))</f>
        <v>3097.755993</v>
      </c>
      <c r="GI49" s="105">
        <f t="array" ref="GI49">MAX(INDEX(properties!A$1:CB$87,'Fórmula'!B49,60),INDEX(properties!A$1:CB$87,'Fórmula'!D49,60),INDEX(properties!A$1:CB$87,'Fórmula'!F49,60),INDEX(properties!A$1:CB$87,'Fórmula'!H49,60),INDEX(properties!A$1:CB$87,'Fórmula'!J49,60))</f>
        <v>148</v>
      </c>
      <c r="GJ49" s="105">
        <f t="array" ref="GJ49">MIN(IF(INDEX(properties!A$1:CB$87,'Fórmula'!B49,60)=0,10^6,INDEX(properties!A$1:CB$87,'Fórmula'!B49,60)),IF(INDEX(properties!A$1:CB$87,'Fórmula'!D49,60)=0,10^6,INDEX(properties!A$1:CB$87,'Fórmula'!D49,60)),IF(INDEX(properties!A$1:CB$87,'Fórmula'!F49,60)=0,10^6,INDEX(properties!A$1:CB$87,'Fórmula'!F49,60)),IF(INDEX(properties!A$1:CB$87,'Fórmula'!H49,60)=0,10^6,INDEX(properties!A$1:CB$87,'Fórmula'!H49,60)),IF(INDEX(properties!A$1:CB$87,'Fórmula'!J49,60)=0,10^6,INDEX(properties!A$1:CB$87,'Fórmula'!J49,60)))</f>
        <v>0.02674</v>
      </c>
      <c r="GK49" s="105">
        <f t="shared" si="32"/>
        <v>147.97326</v>
      </c>
      <c r="GL49" s="106">
        <f t="array" ref="GL49">(('Fórmula'!C49)/('Fórmula'!C49+'Fórmula'!E49+'Fórmula'!G49+'Fórmula'!I49+'Fórmula'!K49))*(INDEX(properties!A$1:CB$87,'Fórmula'!B49,62))+(('Fórmula'!E49)/('Fórmula'!C49+'Fórmula'!E49+'Fórmula'!G49+'Fórmula'!I49+'Fórmula'!K49))*(INDEX(properties!A$1:CB$87,'Fórmula'!D49,62))+(('Fórmula'!G49)/('Fórmula'!C49+'Fórmula'!E49+'Fórmula'!G49+'Fórmula'!I49+'Fórmula'!K49))*(INDEX(properties!A$1:CB$87,'Fórmula'!F49,62))+(('Fórmula'!I49)/('Fórmula'!C49+'Fórmula'!E49+'Fórmula'!G49+'Fórmula'!I49+'Fórmula'!K49))*(INDEX(properties!A$1:CB$87,'Fórmula'!H49,62))+(('Fórmula'!K49)/('Fórmula'!C49+'Fórmula'!E49+'Fórmula'!G49+'Fórmula'!I49+'Fórmula'!K49))*(INDEX(properties!A$1:CB$87,'Fórmula'!J49,62))</f>
        <v>3.397777778</v>
      </c>
      <c r="GM49" s="106">
        <f t="array" ref="GM49">'Fórmula'!C49*(INDEX(properties!A$1:CB$87,'Fórmula'!B49,62))+'Fórmula'!E49*(INDEX(properties!A$1:CB$87,'Fórmula'!D49,62))+'Fórmula'!G49*(INDEX(properties!A$1:CB$87,'Fórmula'!F49,62))+'Fórmula'!I49*(INDEX(properties!A$1:CB$87,'Fórmula'!H49,62))+'Fórmula'!K49*(INDEX(properties!A$1:CB$87,'Fórmula'!J49,62))</f>
        <v>91.74</v>
      </c>
      <c r="GN49" s="106">
        <f t="array" ref="GN49">VARP(IF(INDEX(properties!A$1:CB$87,'Fórmula'!B49,62)&lt;&gt;"",INDEX(properties!A$1:CB$87,'Fórmula'!B49,62)),IF(INDEX(properties!A$1:CB$87,'Fórmula'!D49,62)&lt;&gt;"",INDEX(properties!A$1:CB$87,'Fórmula'!D49,62)),IF(INDEX(properties!A$1:CB$87,'Fórmula'!F49,62)&lt;&gt;"",INDEX(properties!A$1:CB$87,'Fórmula'!F49,62)),IF(INDEX(properties!A$1:CB$87,'Fórmula'!H49,62)&lt;&gt;"",INDEX(properties!A$1:CB$87,'Fórmula'!H49,62)),IF(INDEX(properties!A$1:CB$87,'Fórmula'!J49,62)&lt;&gt;"",INDEX(properties!A$1:CB$87,'Fórmula'!J49,62)))</f>
        <v>4.181416</v>
      </c>
      <c r="GO49" s="106">
        <f t="array" ref="GO49">MAX(INDEX(properties!A$1:CB$87,'Fórmula'!B49,62),INDEX(properties!A$1:CB$87,'Fórmula'!D49,62),INDEX(properties!A$1:CB$87,'Fórmula'!F49,62),INDEX(properties!A$1:CB$87,'Fórmula'!H49,62),INDEX(properties!A$1:CB$87,'Fórmula'!J49,62))</f>
        <v>5.81</v>
      </c>
      <c r="GP49" s="106">
        <f t="array" ref="GP49">MIN(IF(INDEX(properties!A$1:CB$87,'Fórmula'!B49,62)=0,10^6,INDEX(properties!A$1:CB$87,'Fórmula'!B49,62)),IF(INDEX(properties!A$1:CB$87,'Fórmula'!D49,62)=0,10^6,INDEX(properties!A$1:CB$87,'Fórmula'!D49,62)),IF(INDEX(properties!A$1:CB$87,'Fórmula'!F49,62)=0,10^6,INDEX(properties!A$1:CB$87,'Fórmula'!F49,62)),IF(INDEX(properties!A$1:CB$87,'Fórmula'!H49,62)=0,10^6,INDEX(properties!A$1:CB$87,'Fórmula'!H49,62)),IF(INDEX(properties!A$1:CB$87,'Fórmula'!J49,62)=0,10^6,INDEX(properties!A$1:CB$87,'Fórmula'!J49,62)))</f>
        <v>1.9</v>
      </c>
      <c r="GQ49" s="106">
        <f t="shared" si="33"/>
        <v>3.91</v>
      </c>
      <c r="GR49" s="106">
        <f>'Fórmula'!Q49</f>
        <v>2</v>
      </c>
      <c r="GS49" s="107">
        <f>'Fórmula'!P49</f>
        <v>7</v>
      </c>
      <c r="GT49" s="113">
        <f>'Fórmula'!O49</f>
        <v>4.17</v>
      </c>
      <c r="GU49" s="114">
        <f>AVERAGE('Fórmula'!R49/'Fórmula'!S49,'Fórmula'!S49/'Fórmula'!T49,'Fórmula'!T49/'Fórmula'!R49)</f>
        <v>1.082788284</v>
      </c>
      <c r="GV49" s="125">
        <f>'Fórmula'!U49</f>
        <v>314.13</v>
      </c>
      <c r="GW49" s="106">
        <f>'Fórmula'!N49</f>
        <v>0.15</v>
      </c>
    </row>
    <row r="50" ht="14.25" customHeight="1">
      <c r="A50" s="99" t="str">
        <f>'Fórmula'!A50</f>
        <v>CaCO3</v>
      </c>
      <c r="B50" s="101">
        <f t="array" ref="B50">(('Fórmula'!C50)/('Fórmula'!C50+'Fórmula'!E50+'Fórmula'!G50+'Fórmula'!I50+'Fórmula'!K50))*(INDEX(properties!A$1:CB$87,'Fórmula'!B50,3))+(('Fórmula'!E50)/('Fórmula'!C50+'Fórmula'!E50+'Fórmula'!G50+'Fórmula'!I50+'Fórmula'!K50))*(INDEX(properties!A$1:CB$87,'Fórmula'!D50,3))+(('Fórmula'!G50)/('Fórmula'!C50+'Fórmula'!E50+'Fórmula'!G50+'Fórmula'!I50+'Fórmula'!K50))*(INDEX(properties!A$1:CB$87,'Fórmula'!F50,3))+(('Fórmula'!I50)/('Fórmula'!C50+'Fórmula'!E50+'Fórmula'!G50+'Fórmula'!I50+'Fórmula'!K50))*(INDEX(properties!A$1:CB$87,'Fórmula'!H50,3))+(('Fórmula'!K50)/('Fórmula'!C50+'Fórmula'!E50+'Fórmula'!G50+'Fórmula'!I50+'Fórmula'!K50))*(INDEX(properties!A$1:CB$87,'Fórmula'!J50,3))</f>
        <v>20.01744</v>
      </c>
      <c r="C50" s="101">
        <f t="array" ref="C50">'Fórmula'!C50*(INDEX(properties!A$1:CB$87,'Fórmula'!B50,3))+'Fórmula'!E50*(INDEX(properties!A$1:CB$87,'Fórmula'!D50,3))+'Fórmula'!G50*(INDEX(properties!A$1:CB$87,'Fórmula'!F50,3))+'Fórmula'!I50*(INDEX(properties!A$1:CB$87,'Fórmula'!H50,3))+'Fórmula'!K50*(INDEX(properties!A$1:CB$87,'Fórmula'!J50,3))</f>
        <v>100.0872</v>
      </c>
      <c r="D50" s="101">
        <f t="array" ref="D50">VARP(IF(INDEX(properties!A$1:CB$87,'Fórmula'!B50,3)&lt;&gt;"",INDEX(properties!A$1:CB$87,'Fórmula'!B50,3)),IF(INDEX(properties!A$1:CB$87,'Fórmula'!D50,3)&lt;&gt;"",INDEX(properties!A$1:CB$87,'Fórmula'!D50,3)),IF(INDEX(properties!A$1:CB$87,'Fórmula'!F50,3)&lt;&gt;"",INDEX(properties!A$1:CB$87,'Fórmula'!F50,3)),IF(INDEX(properties!A$1:CB$87,'Fórmula'!H50,3)&lt;&gt;"",INDEX(properties!A$1:CB$87,'Fórmula'!H50,3)),IF(INDEX(properties!A$1:CB$87,'Fórmula'!J50,3)&lt;&gt;"",INDEX(properties!A$1:CB$87,'Fórmula'!J50,3)))</f>
        <v>215.8569925</v>
      </c>
      <c r="E50" s="101">
        <f t="array" ref="E50">MAX(INDEX(properties!A$1:CB$87,'Fórmula'!B50,3),INDEX(properties!A$1:CB$87,'Fórmula'!D50,3),INDEX(properties!A$1:CB$87,'Fórmula'!F50,3),INDEX(properties!A$1:CB$87,'Fórmula'!H50,3),INDEX(properties!A$1:CB$87,'Fórmula'!J50,3))</f>
        <v>40.078</v>
      </c>
      <c r="F50" s="101">
        <f t="array" ref="F50">MIN(IF(INDEX(properties!A$1:CB$87,'Fórmula'!B50,3)=0,10^6,INDEX(properties!A$1:CB$87,'Fórmula'!B50,3)),IF(INDEX(properties!A$1:CB$87,'Fórmula'!D50,3)=0,10^6,INDEX(properties!A$1:CB$87,'Fórmula'!D50,3)),IF(INDEX(properties!A$1:CB$87,'Fórmula'!F50,3)=0,10^6,INDEX(properties!A$1:CB$87,'Fórmula'!F50,3)),IF(INDEX(properties!A$1:CB$87,'Fórmula'!H50,3)=0,10^6,INDEX(properties!A$1:CB$87,'Fórmula'!H50,3)),IF(INDEX(properties!A$1:CB$87,'Fórmula'!J50,3)=0,10^6,INDEX(properties!A$1:CB$87,'Fórmula'!J50,3)))</f>
        <v>12.011</v>
      </c>
      <c r="G50" s="101">
        <f t="shared" si="1"/>
        <v>28.067</v>
      </c>
      <c r="H50" s="102">
        <f t="array" ref="H50">(('Fórmula'!C50)/('Fórmula'!C50+'Fórmula'!E50+'Fórmula'!G50+'Fórmula'!I50+'Fórmula'!K50))*(INDEX(properties!A$1:CB$87,'Fórmula'!B50,4))+(('Fórmula'!E50)/('Fórmula'!C50+'Fórmula'!E50+'Fórmula'!G50+'Fórmula'!I50+'Fórmula'!K50))*(INDEX(properties!A$1:CB$87,'Fórmula'!D50,4))+(('Fórmula'!G50)/('Fórmula'!C50+'Fórmula'!E50+'Fórmula'!G50+'Fórmula'!I50+'Fórmula'!K50))*(INDEX(properties!A$1:CB$87,'Fórmula'!F50,4))+(('Fórmula'!I50)/('Fórmula'!C50+'Fórmula'!E50+'Fórmula'!G50+'Fórmula'!I50+'Fórmula'!K50))*(INDEX(properties!A$1:CB$87,'Fórmula'!H50,4))+(('Fórmula'!K50)/('Fórmula'!C50+'Fórmula'!E50+'Fórmula'!G50+'Fórmula'!I50+'Fórmula'!K50))*(INDEX(properties!A$1:CB$87,'Fórmula'!J50,4))</f>
        <v>10</v>
      </c>
      <c r="I50" s="102">
        <f t="array" ref="I50">'Fórmula'!C50*(INDEX(properties!A$1:CB$87,'Fórmula'!B50,4))+'Fórmula'!E50*(INDEX(properties!A$1:CB$87,'Fórmula'!D50,4))+'Fórmula'!G50*(INDEX(properties!A$1:CB$87,'Fórmula'!F50,4))+'Fórmula'!I50*(INDEX(properties!A$1:CB$87,'Fórmula'!H50,4))+'Fórmula'!K50*(INDEX(properties!A$1:CB$87,'Fórmula'!J50,4))</f>
        <v>50</v>
      </c>
      <c r="J50" s="102">
        <f t="array" ref="J50">VARP(IF(INDEX(properties!A$1:CB$87,'Fórmula'!B50,4)&lt;&gt;"",INDEX(properties!A$1:CB$87,'Fórmula'!B50,4)),IF(INDEX(properties!A$1:CB$87,'Fórmula'!D50,4)&lt;&gt;"",INDEX(properties!A$1:CB$87,'Fórmula'!D50,4)),IF(INDEX(properties!A$1:CB$87,'Fórmula'!F50,4)&lt;&gt;"",INDEX(properties!A$1:CB$87,'Fórmula'!F50,4)),IF(INDEX(properties!A$1:CB$87,'Fórmula'!H50,4)&lt;&gt;"",INDEX(properties!A$1:CB$87,'Fórmula'!H50,4)),IF(INDEX(properties!A$1:CB$87,'Fórmula'!J50,4)&lt;&gt;"",INDEX(properties!A$1:CB$87,'Fórmula'!J50,4)))</f>
        <v>53.76</v>
      </c>
      <c r="K50" s="102">
        <f t="array" ref="K50">MAX(INDEX(properties!A$1:CB$87,'Fórmula'!B50,4),INDEX(properties!A$1:CB$87,'Fórmula'!D50,4),INDEX(properties!A$1:CB$87,'Fórmula'!F50,4),INDEX(properties!A$1:CB$87,'Fórmula'!H50,4),INDEX(properties!A$1:CB$87,'Fórmula'!J50,4))</f>
        <v>20</v>
      </c>
      <c r="L50" s="102">
        <f t="array" ref="L50">MIN(IF(INDEX(properties!A$1:CB$87,'Fórmula'!B50,4)=0,10^6,INDEX(properties!A$1:CB$87,'Fórmula'!B50,4)),IF(INDEX(properties!A$1:CB$87,'Fórmula'!D50,4)=0,10^6,INDEX(properties!A$1:CB$87,'Fórmula'!D50,4)),IF(INDEX(properties!A$1:CB$87,'Fórmula'!F50,4)=0,10^6,INDEX(properties!A$1:CB$87,'Fórmula'!F50,4)),IF(INDEX(properties!A$1:CB$87,'Fórmula'!H50,4)=0,10^6,INDEX(properties!A$1:CB$87,'Fórmula'!H50,4)),IF(INDEX(properties!A$1:CB$87,'Fórmula'!J50,4)=0,10^6,INDEX(properties!A$1:CB$87,'Fórmula'!J50,4)))</f>
        <v>6</v>
      </c>
      <c r="M50" s="102">
        <f t="shared" si="2"/>
        <v>14</v>
      </c>
      <c r="N50" s="103">
        <f t="array" ref="N50">(('Fórmula'!C50)/('Fórmula'!C50+'Fórmula'!E50+'Fórmula'!G50+'Fórmula'!I50+'Fórmula'!K50))*(INDEX(properties!A$1:CB$87,'Fórmula'!B50,5))+(('Fórmula'!E50)/('Fórmula'!C50+'Fórmula'!E50+'Fórmula'!G50+'Fórmula'!I50+'Fórmula'!K50))*(INDEX(properties!A$1:CB$87,'Fórmula'!D50,5))+(('Fórmula'!G50)/('Fórmula'!C50+'Fórmula'!E50+'Fórmula'!G50+'Fórmula'!I50+'Fórmula'!K50))*(INDEX(properties!A$1:CB$87,'Fórmula'!F50,5))+(('Fórmula'!I50)/('Fórmula'!C50+'Fórmula'!E50+'Fórmula'!G50+'Fórmula'!I50+'Fórmula'!K50))*(INDEX(properties!A$1:CB$87,'Fórmula'!H50,5))+(('Fórmula'!K50)/('Fórmula'!C50+'Fórmula'!E50+'Fórmula'!G50+'Fórmula'!I50+'Fórmula'!K50))*(INDEX(properties!A$1:CB$87,'Fórmula'!J50,5))</f>
        <v>2.4</v>
      </c>
      <c r="O50" s="103">
        <f t="array" ref="O50">'Fórmula'!C50*(INDEX(properties!A$1:CB$87,'Fórmula'!B50,5))+'Fórmula'!E50*(INDEX(properties!A$1:CB$87,'Fórmula'!D50,5))+'Fórmula'!G50*(INDEX(properties!A$1:CB$87,'Fórmula'!F50,5))+'Fórmula'!I50*(INDEX(properties!A$1:CB$87,'Fórmula'!H50,5))+'Fórmula'!K50*(INDEX(properties!A$1:CB$87,'Fórmula'!J50,5))</f>
        <v>12</v>
      </c>
      <c r="P50" s="103">
        <f t="array" ref="P50">VARP(IF(INDEX(properties!A$1:CB$87,'Fórmula'!B50,5)&lt;&gt;"",INDEX(properties!A$1:CB$87,'Fórmula'!B50,5)),IF(INDEX(properties!A$1:CB$87,'Fórmula'!D50,5)&lt;&gt;"",INDEX(properties!A$1:CB$87,'Fórmula'!D50,5)),IF(INDEX(properties!A$1:CB$87,'Fórmula'!F50,5)&lt;&gt;"",INDEX(properties!A$1:CB$87,'Fórmula'!F50,5)),IF(INDEX(properties!A$1:CB$87,'Fórmula'!H50,5)&lt;&gt;"",INDEX(properties!A$1:CB$87,'Fórmula'!H50,5)),IF(INDEX(properties!A$1:CB$87,'Fórmula'!J50,5)&lt;&gt;"",INDEX(properties!A$1:CB$87,'Fórmula'!J50,5)))</f>
        <v>2.24</v>
      </c>
      <c r="Q50" s="103">
        <f t="array" ref="Q50">MAX(INDEX(properties!A$1:CB$87,'Fórmula'!B50,5),INDEX(properties!A$1:CB$87,'Fórmula'!D50,5),INDEX(properties!A$1:CB$87,'Fórmula'!F50,5),INDEX(properties!A$1:CB$87,'Fórmula'!H50,5),INDEX(properties!A$1:CB$87,'Fórmula'!J50,5))</f>
        <v>4</v>
      </c>
      <c r="R50" s="103">
        <f t="array" ref="R50">MIN(IF(INDEX(properties!A$1:CB$87,'Fórmula'!B50,5)=0,10^6,INDEX(properties!A$1:CB$87,'Fórmula'!B50,5)),IF(INDEX(properties!A$1:CB$87,'Fórmula'!D50,5)=0,10^6,INDEX(properties!A$1:CB$87,'Fórmula'!D50,5)),IF(INDEX(properties!A$1:CB$87,'Fórmula'!F50,5)=0,10^6,INDEX(properties!A$1:CB$87,'Fórmula'!F50,5)),IF(INDEX(properties!A$1:CB$87,'Fórmula'!H50,5)=0,10^6,INDEX(properties!A$1:CB$87,'Fórmula'!H50,5)),IF(INDEX(properties!A$1:CB$87,'Fórmula'!J50,5)=0,10^6,INDEX(properties!A$1:CB$87,'Fórmula'!J50,5)))</f>
        <v>2</v>
      </c>
      <c r="S50" s="103">
        <f t="shared" si="3"/>
        <v>2</v>
      </c>
      <c r="T50" s="104">
        <f t="array" ref="T50">(('Fórmula'!C50)/('Fórmula'!C50+'Fórmula'!E50+'Fórmula'!G50+'Fórmula'!I50+'Fórmula'!K50))*(INDEX(properties!A$1:CB$87,'Fórmula'!B50,6))+(('Fórmula'!E50)/('Fórmula'!C50+'Fórmula'!E50+'Fórmula'!G50+'Fórmula'!I50+'Fórmula'!K50))*(INDEX(properties!A$1:CB$87,'Fórmula'!D50,6))+(('Fórmula'!G50)/('Fórmula'!C50+'Fórmula'!E50+'Fórmula'!G50+'Fórmula'!I50+'Fórmula'!K50))*(INDEX(properties!A$1:CB$87,'Fórmula'!F50,6))+(('Fórmula'!I50)/('Fórmula'!C50+'Fórmula'!E50+'Fórmula'!G50+'Fórmula'!I50+'Fórmula'!K50))*(INDEX(properties!A$1:CB$87,'Fórmula'!H50,6))+(('Fórmula'!K50)/('Fórmula'!C50+'Fórmula'!E50+'Fórmula'!G50+'Fórmula'!I50+'Fórmula'!K50))*(INDEX(properties!A$1:CB$87,'Fórmula'!J50,6))</f>
        <v>12.8</v>
      </c>
      <c r="U50" s="104">
        <f t="array" ref="U50">'Fórmula'!C50*(INDEX(properties!A$1:CB$87,'Fórmula'!B50,6))+'Fórmula'!E50*(INDEX(properties!A$1:CB$87,'Fórmula'!D50,6))+'Fórmula'!G50*(INDEX(properties!A$1:CB$87,'Fórmula'!F50,6))+'Fórmula'!I50*(INDEX(properties!A$1:CB$87,'Fórmula'!H50,6))+'Fórmula'!K50*(INDEX(properties!A$1:CB$87,'Fórmula'!J50,6))</f>
        <v>64</v>
      </c>
      <c r="V50" s="103">
        <f t="array" ref="V50">VARP(IF(INDEX(properties!A$1:CB$87,'Fórmula'!B50,6)&lt;&gt;"",INDEX(properties!A$1:CB$87,'Fórmula'!B50,6)),IF(INDEX(properties!A$1:CB$87,'Fórmula'!D50,6)&lt;&gt;"",INDEX(properties!A$1:CB$87,'Fórmula'!D50,6)),IF(INDEX(properties!A$1:CB$87,'Fórmula'!F50,6)&lt;&gt;"",INDEX(properties!A$1:CB$87,'Fórmula'!F50,6)),IF(INDEX(properties!A$1:CB$87,'Fórmula'!H50,6)&lt;&gt;"",INDEX(properties!A$1:CB$87,'Fórmula'!H50,6)),IF(INDEX(properties!A$1:CB$87,'Fórmula'!J50,6)&lt;&gt;"",INDEX(properties!A$1:CB$87,'Fórmula'!J50,6)))</f>
        <v>50.24</v>
      </c>
      <c r="W50" s="104">
        <f t="array" ref="W50">MAX(INDEX(properties!A$1:CB$87,'Fórmula'!B50,6),INDEX(properties!A$1:CB$87,'Fórmula'!D50,6),INDEX(properties!A$1:CB$87,'Fórmula'!F50,6),INDEX(properties!A$1:CB$87,'Fórmula'!H50,4),INDEX(properties!A$1:CB$87,'Fórmula'!J50,6))</f>
        <v>16</v>
      </c>
      <c r="X50" s="104">
        <f t="array" ref="X50">MIN(IF(INDEX(properties!A$1:CB$87,'Fórmula'!B50,6)=0,10^6,INDEX(properties!A$1:CB$87,'Fórmula'!B50,6)),IF(INDEX(properties!A$1:CB$87,'Fórmula'!D50,6)=0,10^6,INDEX(properties!A$1:CB$87,'Fórmula'!D50,6)),IF(INDEX(properties!A$1:CB$87,'Fórmula'!F50,6)=0,10^6,INDEX(properties!A$1:CB$87,'Fórmula'!F50,6)),IF(INDEX(properties!A$1:CB$87,'Fórmula'!H50,6)=0,10^6,INDEX(properties!A$1:CB$87,'Fórmula'!H50,6)),IF(INDEX(properties!A$1:CB$87,'Fórmula'!J50,6)=0,10^6,INDEX(properties!A$1:CB$87,'Fórmula'!J50,6)))</f>
        <v>2</v>
      </c>
      <c r="Y50" s="104">
        <f t="shared" si="4"/>
        <v>14</v>
      </c>
      <c r="Z50" s="105">
        <f t="array" ref="Z50">(('Fórmula'!C50)/('Fórmula'!C50+'Fórmula'!E50+'Fórmula'!G50+'Fórmula'!I50+'Fórmula'!K50))*(INDEX(properties!A$1:CB$87,'Fórmula'!B50,9))+(('Fórmula'!E50)/('Fórmula'!C50+'Fórmula'!E50+'Fórmula'!G50+'Fórmula'!I50+'Fórmula'!K50))*(INDEX(properties!A$1:CB$87,'Fórmula'!D50,9))+(('Fórmula'!G50)/('Fórmula'!C50+'Fórmula'!E50+'Fórmula'!G50+'Fórmula'!I50+'Fórmula'!K50))*(INDEX(properties!A$1:CB$87,'Fórmula'!F50,9))+(('Fórmula'!I50)/('Fórmula'!C50+'Fórmula'!E50+'Fórmula'!G50+'Fórmula'!I50+'Fórmula'!K50))*(INDEX(properties!A$1:CB$87,'Fórmula'!H50,9))+(('Fórmula'!K50)/('Fórmula'!C50+'Fórmula'!E50+'Fórmula'!G50+'Fórmula'!I50+'Fórmula'!K50))*(INDEX(properties!A$1:CB$87,'Fórmula'!J50,9))</f>
        <v>69</v>
      </c>
      <c r="AA50" s="105">
        <f t="array" ref="AA50">'Fórmula'!C50*(INDEX(properties!A$1:CB$87,'Fórmula'!B50,9))+'Fórmula'!E50*(INDEX(properties!A$1:CB$87,'Fórmula'!D50,9))+'Fórmula'!G50*(INDEX(properties!A$1:CB$87,'Fórmula'!F50,9))+'Fórmula'!I50*(INDEX(properties!A$1:CB$87,'Fórmula'!H50,9))+'Fórmula'!K50*(INDEX(properties!A$1:CB$87,'Fórmula'!J50,9))</f>
        <v>345</v>
      </c>
      <c r="AB50" s="105">
        <f t="array" ref="AB50">VARP(IF(INDEX(properties!A$1:CB$87,'Fórmula'!B50,9)&lt;&gt;"",INDEX(properties!A$1:CB$87,'Fórmula'!B50,9)),IF(INDEX(properties!A$1:CB$87,'Fórmula'!D50,9)&lt;&gt;"",INDEX(properties!A$1:CB$87,'Fórmula'!D50,9)),IF(INDEX(properties!A$1:CB$87,'Fórmula'!F50,9)&lt;&gt;"",INDEX(properties!A$1:CB$87,'Fórmula'!F50,9)),IF(INDEX(properties!A$1:CB$87,'Fórmula'!H50,9)&lt;&gt;"",INDEX(properties!A$1:CB$87,'Fórmula'!H50,9)),IF(INDEX(properties!A$1:CB$87,'Fórmula'!J50,9)&lt;&gt;"",INDEX(properties!A$1:CB$87,'Fórmula'!J50,9)))</f>
        <v>1539.76</v>
      </c>
      <c r="AC50" s="105">
        <f t="array" ref="AC50">MAX(INDEX(properties!A$1:CB$87,'Fórmula'!B50,9),INDEX(properties!A$1:CB$87,'Fórmula'!D50,9),INDEX(properties!A$1:CB$87,'Fórmula'!F50,9),INDEX(properties!A$1:CB$87,'Fórmula'!H50,9),INDEX(properties!A$1:CB$87,'Fórmula'!J50,9))</f>
        <v>87</v>
      </c>
      <c r="AD50" s="105">
        <f t="array" ref="AD50">MIN(IF(INDEX(properties!A$1:CB$87,'Fórmula'!B50,9)=0,10^6,INDEX(properties!A$1:CB$87,'Fórmula'!B50,9)),IF(INDEX(properties!A$1:CB$87,'Fórmula'!D50,9)=0,10^6,INDEX(properties!A$1:CB$87,'Fórmula'!D50,9)),IF(INDEX(properties!A$1:CB$87,'Fórmula'!F50,9)=0,10^6,INDEX(properties!A$1:CB$87,'Fórmula'!F50,9)),IF(INDEX(properties!A$1:CB$87,'Fórmula'!H50,9)=0,10^6,INDEX(properties!A$1:CB$87,'Fórmula'!H50,9)),IF(INDEX(properties!A$1:CB$87,'Fórmula'!J50,9)=0,10^6,INDEX(properties!A$1:CB$87,'Fórmula'!J50,9)))</f>
        <v>7</v>
      </c>
      <c r="AE50" s="105">
        <f t="shared" si="5"/>
        <v>80</v>
      </c>
      <c r="AF50" s="106">
        <f t="array" ref="AF50">(('Fórmula'!C50)/('Fórmula'!C50+'Fórmula'!E50+'Fórmula'!G50+'Fórmula'!I50+'Fórmula'!K50))*(INDEX(properties!A$1:CB$87,'Fórmula'!B50,10))+(('Fórmula'!E50)/('Fórmula'!C50+'Fórmula'!E50+'Fórmula'!G50+'Fórmula'!I50+'Fórmula'!K50))*(INDEX(properties!A$1:CB$87,'Fórmula'!D50,10))+(('Fórmula'!G50)/('Fórmula'!C50+'Fórmula'!E50+'Fórmula'!G50+'Fórmula'!I50+'Fórmula'!K50))*(INDEX(properties!A$1:CB$87,'Fórmula'!F50,10))+(('Fórmula'!I50)/('Fórmula'!C50+'Fórmula'!E50+'Fórmula'!G50+'Fórmula'!I50+'Fórmula'!K50))*(INDEX(properties!A$1:CB$87,'Fórmula'!H50,10))+(('Fórmula'!K50)/('Fórmula'!C50+'Fórmula'!E50+'Fórmula'!G50+'Fórmula'!I50+'Fórmula'!K50))*(INDEX(properties!A$1:CB$87,'Fórmula'!J50,10))</f>
        <v>6</v>
      </c>
      <c r="AG50" s="106">
        <f t="array" ref="AG50">'Fórmula'!C50*(INDEX(properties!A$1:CB$87,'Fórmula'!B50,10))+'Fórmula'!E50*(INDEX(properties!A$1:CB$87,'Fórmula'!D50,10))+'Fórmula'!G50*(INDEX(properties!A$1:CB$87,'Fórmula'!F50,10))+'Fórmula'!I50*(INDEX(properties!A$1:CB$87,'Fórmula'!H50,10))+'Fórmula'!K50*(INDEX(properties!A$1:CB$87,'Fórmula'!J50,10))</f>
        <v>30</v>
      </c>
      <c r="AH50" s="106">
        <f t="array" ref="AH50">VARP(IF(INDEX(properties!A$1:CB$87,'Fórmula'!B50,10)&lt;&gt;"",INDEX(properties!A$1:CB$87,'Fórmula'!B50,10)),IF(INDEX(properties!A$1:CB$87,'Fórmula'!D50,10)&lt;&gt;"",INDEX(properties!A$1:CB$87,'Fórmula'!D50,10)),IF(INDEX(properties!A$1:CB$87,'Fórmula'!F50,10)&lt;&gt;"",INDEX(properties!A$1:CB$87,'Fórmula'!F50,10)),IF(INDEX(properties!A$1:CB$87,'Fórmula'!H50,10)&lt;&gt;"",INDEX(properties!A$1:CB$87,'Fórmula'!H50,10)),IF(INDEX(properties!A$1:CB$87,'Fórmula'!J50,10)&lt;&gt;"",INDEX(properties!A$1:CB$87,'Fórmula'!J50,10)))</f>
        <v>10.16</v>
      </c>
      <c r="AI50" s="106">
        <f t="array" ref="AI50">MAX(INDEX(properties!A$1:CB$87,'Fórmula'!B50,10),INDEX(properties!A$1:CB$87,'Fórmula'!D50,10),INDEX(properties!A$1:CB$87,'Fórmula'!F50,10),INDEX(properties!A$1:CB$87,'Fórmula'!H50,10),INDEX(properties!A$1:CB$87,'Fórmula'!J50,10))</f>
        <v>7</v>
      </c>
      <c r="AJ50" s="106">
        <f t="array" ref="AJ50">MIN(IF(INDEX(properties!A$1:CB$87,'Fórmula'!B50,10)=0,10^6,INDEX(properties!A$1:CB$87,'Fórmula'!B50,10)),IF(INDEX(properties!A$1:CB$87,'Fórmula'!D50,10)=0,10^6,INDEX(properties!A$1:CB$87,'Fórmula'!D50,10)),IF(INDEX(properties!A$1:CB$87,'Fórmula'!F50,10)=0,10^6,INDEX(properties!A$1:CB$87,'Fórmula'!F50,10)),IF(INDEX(properties!A$1:CB$87,'Fórmula'!H50,10)=0,10^6,INDEX(properties!A$1:CB$87,'Fórmula'!H50,10)),IF(INDEX(properties!A$1:CB$87,'Fórmula'!J50,10)=0,10^6,INDEX(properties!A$1:CB$87,'Fórmula'!J50,10)))</f>
        <v>2</v>
      </c>
      <c r="AK50" s="106">
        <f t="shared" si="6"/>
        <v>5</v>
      </c>
      <c r="AL50" s="107">
        <f t="array" ref="AL50">(('Fórmula'!C50)/('Fórmula'!C50+'Fórmula'!E50+'Fórmula'!G50+'Fórmula'!I50+'Fórmula'!K50))*(INDEX(properties!A$1:CB$87,'Fórmula'!B50,11))+(('Fórmula'!E50)/('Fórmula'!C50+'Fórmula'!E50+'Fórmula'!G50+'Fórmula'!I50+'Fórmula'!K50))*(INDEX(properties!A$1:CB$87,'Fórmula'!D50,11))+(('Fórmula'!G50)/('Fórmula'!C50+'Fórmula'!E50+'Fórmula'!G50+'Fórmula'!I50+'Fórmula'!K50))*(INDEX(properties!A$1:CB$87,'Fórmula'!F50,11))+(('Fórmula'!I50)/('Fórmula'!C50+'Fórmula'!E50+'Fórmula'!G50+'Fórmula'!I50+'Fórmula'!K50))*(INDEX(properties!A$1:CB$87,'Fórmula'!H50,11))+(('Fórmula'!K50)/('Fórmula'!C50+'Fórmula'!E50+'Fórmula'!G50+'Fórmula'!I50+'Fórmula'!K50))*(INDEX(properties!A$1:CB$87,'Fórmula'!J50,11))</f>
        <v>2</v>
      </c>
      <c r="AM50" s="107">
        <f t="array" ref="AM50">'Fórmula'!C50*(INDEX(properties!A$1:CB$87,'Fórmula'!B50,11))+'Fórmula'!E50*(INDEX(properties!A$1:CB$87,'Fórmula'!D50,11))+'Fórmula'!G50*(INDEX(properties!A$1:CB$87,'Fórmula'!F50,11))+'Fórmula'!I50*(INDEX(properties!A$1:CB$87,'Fórmula'!H50,11))+'Fórmula'!K50*(INDEX(properties!A$1:CB$87,'Fórmula'!J50,11))</f>
        <v>10</v>
      </c>
      <c r="AN50" s="107">
        <f t="array" ref="AN50">VARP(IF(INDEX(properties!A$1:CB$87,'Fórmula'!B50,11)&lt;&gt;"",INDEX(properties!A$1:CB$87,'Fórmula'!B50,11)),IF(INDEX(properties!A$1:CB$87,'Fórmula'!D50,11)&lt;&gt;"",INDEX(properties!A$1:CB$87,'Fórmula'!D50,11)),IF(INDEX(properties!A$1:CB$87,'Fórmula'!F50,11)&lt;&gt;"",INDEX(properties!A$1:CB$87,'Fórmula'!F50,11)),IF(INDEX(properties!A$1:CB$87,'Fórmula'!H50,11)&lt;&gt;"",INDEX(properties!A$1:CB$87,'Fórmula'!H50,11)),IF(INDEX(properties!A$1:CB$87,'Fórmula'!J50,11)&lt;&gt;"",INDEX(properties!A$1:CB$87,'Fórmula'!J50,11)))</f>
        <v>0.96</v>
      </c>
      <c r="AO50" s="107">
        <f t="array" ref="AO50">MAX(INDEX(properties!A$1:CB$87,'Fórmula'!B50,11),INDEX(properties!A$1:CB$87,'Fórmula'!D50,11),INDEX(properties!A$1:CB$87,'Fórmula'!F50,11),INDEX(properties!A$1:CB$87,'Fórmula'!H50,11),INDEX(properties!A$1:CB$87,'Fórmula'!J50,11))</f>
        <v>2</v>
      </c>
      <c r="AP50" s="107">
        <f t="array" ref="AP50">MIN(IF('Fórmula'!B50=87,10^6,INDEX(properties!A$1:CB$87,'Fórmula'!B50,11)),IF(('Fórmula'!D50)=87,10^6,INDEX(properties!A$1:CB$87,'Fórmula'!D50,11)),IF(('Fórmula'!F50)=87,10^6,INDEX(properties!A$1:CB$87,'Fórmula'!F50,11)),IF(('Fórmula'!H50)=87,10^6,INDEX(properties!A$1:CB$87,'Fórmula'!H50,11)),IF('Fórmula'!J50=87,10^6,INDEX(properties!A$1:CB$87,'Fórmula'!J50,11)))</f>
        <v>2</v>
      </c>
      <c r="AQ50" s="107">
        <f t="shared" si="7"/>
        <v>0</v>
      </c>
      <c r="AR50" s="108">
        <f t="array" ref="AR50">(('Fórmula'!C50)/('Fórmula'!C50+'Fórmula'!E50+'Fórmula'!G50+'Fórmula'!I50+'Fórmula'!K50))*(INDEX(properties!A$1:CB$87,'Fórmula'!B50,12))+(('Fórmula'!E50)/('Fórmula'!C50+'Fórmula'!E50+'Fórmula'!G50+'Fórmula'!I50+'Fórmula'!K50))*(INDEX(properties!A$1:CB$87,'Fórmula'!D50,12))+(('Fórmula'!G50)/('Fórmula'!C50+'Fórmula'!E50+'Fórmula'!G50+'Fórmula'!I50+'Fórmula'!K50))*(INDEX(properties!A$1:CB$87,'Fórmula'!F50,12))+(('Fórmula'!I50)/('Fórmula'!C50+'Fórmula'!E50+'Fórmula'!G50+'Fórmula'!I50+'Fórmula'!K50))*(INDEX(properties!A$1:CB$87,'Fórmula'!H50,12))+(('Fórmula'!K50)/('Fórmula'!C50+'Fórmula'!E50+'Fórmula'!G50+'Fórmula'!I50+'Fórmula'!K50))*(INDEX(properties!A$1:CB$87,'Fórmula'!J50,12))</f>
        <v>2.8</v>
      </c>
      <c r="AS50" s="108">
        <f t="array" ref="AS50">'Fórmula'!C50*(INDEX(properties!A$1:CB$87,'Fórmula'!B50,12))+'Fórmula'!E50*(INDEX(properties!A$1:CB$87,'Fórmula'!D50,12))+'Fórmula'!G50*(INDEX(properties!A$1:CB$87,'Fórmula'!F50,12))+'Fórmula'!I50*(INDEX(properties!A$1:CB$87,'Fórmula'!H50,12))+'Fórmula'!K50*(INDEX(properties!A$1:CB$87,'Fórmula'!J50,12))</f>
        <v>14</v>
      </c>
      <c r="AT50" s="108">
        <f t="array" ref="AT50">VARP(IF(INDEX(properties!A$1:CB$87,'Fórmula'!B50,12)&lt;&gt;"",INDEX(properties!A$1:CB$87,'Fórmula'!B50,12)),IF(INDEX(properties!A$1:CB$87,'Fórmula'!D50,12)&lt;&gt;"",INDEX(properties!A$1:CB$87,'Fórmula'!D50,12)),IF(INDEX(properties!A$1:CB$87,'Fórmula'!F50,12)&lt;&gt;"",INDEX(properties!A$1:CB$87,'Fórmula'!F50,12)),IF(INDEX(properties!A$1:CB$87,'Fórmula'!H50,12)&lt;&gt;"",INDEX(properties!A$1:CB$87,'Fórmula'!H50,12)),IF(INDEX(properties!A$1:CB$87,'Fórmula'!J50,12)&lt;&gt;"",INDEX(properties!A$1:CB$87,'Fórmula'!J50,12)))</f>
        <v>2.56</v>
      </c>
      <c r="AU50" s="108">
        <f t="array" ref="AU50">MAX(INDEX(properties!A$1:CB$87,'Fórmula'!B50,12),INDEX(properties!A$1:CB$87,'Fórmula'!D50,12),INDEX(properties!A$1:CB$87,'Fórmula'!F50,12),INDEX(properties!A$1:CB$87,'Fórmula'!H50,12),INDEX(properties!A$1:CB$87,'Fórmula'!J50,12))</f>
        <v>4</v>
      </c>
      <c r="AV50" s="108">
        <f t="array" ref="AV50">MIN(IF('Fórmula'!B50=87,10^6,INDEX(properties!A$1:CB$87,'Fórmula'!B50,12)),IF(('Fórmula'!D50)=87,10^6,INDEX(properties!A$1:CB$87,'Fórmula'!D50,12)),IF(('Fórmula'!F50)=87,10^6,INDEX(properties!A$1:CB$87,'Fórmula'!F50,12)),IF(('Fórmula'!H50)=87,10^6,INDEX(properties!A$1:CB$87,'Fórmula'!H50,12)),IF('Fórmula'!J50=87,10^6,INDEX(properties!A$1:CB$87,'Fórmula'!J50,12)))</f>
        <v>0</v>
      </c>
      <c r="AW50" s="108">
        <f t="shared" si="8"/>
        <v>4</v>
      </c>
      <c r="AX50" s="109">
        <f t="array" ref="AX50">(('Fórmula'!C50)/('Fórmula'!C50+'Fórmula'!E50+'Fórmula'!G50+'Fórmula'!I50+'Fórmula'!K50))*(INDEX(properties!A$1:CB$87,'Fórmula'!B50,13))+(('Fórmula'!E50)/('Fórmula'!C50+'Fórmula'!E50+'Fórmula'!G50+'Fórmula'!I50+'Fórmula'!K50))*(INDEX(properties!A$1:CB$87,'Fórmula'!D50,13))+(('Fórmula'!G50)/('Fórmula'!C50+'Fórmula'!E50+'Fórmula'!G50+'Fórmula'!I50+'Fórmula'!K50))*(INDEX(properties!A$1:CB$87,'Fórmula'!F50,13))+(('Fórmula'!I50)/('Fórmula'!C50+'Fórmula'!E50+'Fórmula'!G50+'Fórmula'!I50+'Fórmula'!K50))*(INDEX(properties!A$1:CB$87,'Fórmula'!H50,13))+(('Fórmula'!K50)/('Fórmula'!C50+'Fórmula'!E50+'Fórmula'!G50+'Fórmula'!I50+'Fórmula'!K50))*(INDEX(properties!A$1:CB$87,'Fórmula'!J50,13))</f>
        <v>0</v>
      </c>
      <c r="AY50" s="109">
        <f t="array" ref="AY50">'Fórmula'!C50*(INDEX(properties!A$1:CB$87,'Fórmula'!B50,13))+'Fórmula'!E50*(INDEX(properties!A$1:CB$87,'Fórmula'!D50,13))+'Fórmula'!G50*(INDEX(properties!A$1:CB$87,'Fórmula'!F50,13))+'Fórmula'!I50*(INDEX(properties!A$1:CB$87,'Fórmula'!H50,13))+'Fórmula'!K50*(INDEX(properties!A$1:CB$87,'Fórmula'!J50,13))</f>
        <v>0</v>
      </c>
      <c r="AZ50" s="109">
        <f t="array" ref="AZ50">VARP(IF(INDEX(properties!A$1:CB$87,'Fórmula'!B50,13)&lt;&gt;"",INDEX(properties!A$1:CB$87,'Fórmula'!B50,13)),IF(INDEX(properties!A$1:CB$87,'Fórmula'!D50,13)&lt;&gt;"",INDEX(properties!A$1:CB$87,'Fórmula'!D50,13)),IF(INDEX(properties!A$1:CB$87,'Fórmula'!F50,13)&lt;&gt;"",INDEX(properties!A$1:CB$87,'Fórmula'!F50,13)),IF(INDEX(properties!A$1:CB$87,'Fórmula'!H50,13)&lt;&gt;"",INDEX(properties!A$1:CB$87,'Fórmula'!H50,13)),IF(INDEX(properties!A$1:CB$87,'Fórmula'!J50,13)&lt;&gt;"",INDEX(properties!A$1:CB$87,'Fórmula'!J50,13)))</f>
        <v>0</v>
      </c>
      <c r="BA50" s="109">
        <f t="array" ref="BA50">MAX(INDEX(properties!A$1:CB$87,'Fórmula'!B50,13),INDEX(properties!A$1:CB$87,'Fórmula'!D50,13),INDEX(properties!A$1:CB$87,'Fórmula'!F50,13),INDEX(properties!A$1:CB$87,'Fórmula'!H50,13),INDEX(properties!A$1:CB$87,'Fórmula'!J50,13))</f>
        <v>0</v>
      </c>
      <c r="BB50" s="109">
        <f t="array" ref="BB50">MIN(IF('Fórmula'!B50=87,10^6,INDEX(properties!A$1:CB$87,'Fórmula'!B50,13)),IF(('Fórmula'!D50)=87,10^6,INDEX(properties!A$1:CB$87,'Fórmula'!D50,13)),IF(('Fórmula'!F50)=87,10^6,INDEX(properties!A$1:CB$87,'Fórmula'!F50,13)),IF(('Fórmula'!H50)=87,10^6,INDEX(properties!A$1:CB$87,'Fórmula'!H50,13)),IF('Fórmula'!J50=87,10^6,INDEX(properties!A$1:CB$87,'Fórmula'!J50,13)))</f>
        <v>0</v>
      </c>
      <c r="BC50" s="109">
        <f t="shared" si="9"/>
        <v>0</v>
      </c>
      <c r="BD50" s="110">
        <f t="array" ref="BD50">(('Fórmula'!C50)/('Fórmula'!C50+'Fórmula'!E50+'Fórmula'!G50+'Fórmula'!I50+'Fórmula'!K50))*(INDEX(properties!A$1:CB$87,'Fórmula'!B50,14))+(('Fórmula'!E50)/('Fórmula'!C50+'Fórmula'!E50+'Fórmula'!G50+'Fórmula'!I50+'Fórmula'!K50))*(INDEX(properties!A$1:CB$87,'Fórmula'!D50,14))+(('Fórmula'!G50)/('Fórmula'!C50+'Fórmula'!E50+'Fórmula'!G50+'Fórmula'!I50+'Fórmula'!K50))*(INDEX(properties!A$1:CB$87,'Fórmula'!F50,14))+(('Fórmula'!I50)/('Fórmula'!C50+'Fórmula'!E50+'Fórmula'!G50+'Fórmula'!I50+'Fórmula'!K50))*(INDEX(properties!A$1:CB$87,'Fórmula'!H50,14))+(('Fórmula'!K50)/('Fórmula'!C50+'Fórmula'!E50+'Fórmula'!G50+'Fórmula'!I50+'Fórmula'!K50))*(INDEX(properties!A$1:CB$87,'Fórmula'!J50,14))</f>
        <v>0</v>
      </c>
      <c r="BE50" s="110">
        <f t="array" ref="BE50">'Fórmula'!C50*(INDEX(properties!A$1:CB$87,'Fórmula'!B50,14))+'Fórmula'!E50*(INDEX(properties!A$1:CB$87,'Fórmula'!D50,14))+'Fórmula'!G50*(INDEX(properties!A$1:CB$87,'Fórmula'!F50,14))+'Fórmula'!I50*(INDEX(properties!A$1:CB$87,'Fórmula'!H50,14))+'Fórmula'!K50*(INDEX(properties!A$1:CB$87,'Fórmula'!J50,14))</f>
        <v>0</v>
      </c>
      <c r="BF50" s="110">
        <f t="array" ref="BF50">VARP(IF(INDEX(properties!A$1:CB$87,'Fórmula'!B50,14)&lt;&gt;"",INDEX(properties!A$1:CB$87,'Fórmula'!B50,14)),IF(INDEX(properties!A$1:CB$87,'Fórmula'!D50,14)&lt;&gt;"",INDEX(properties!A$1:CB$87,'Fórmula'!D50,14)),IF(INDEX(properties!A$1:CB$87,'Fórmula'!F50,14)&lt;&gt;"",INDEX(properties!A$1:CB$87,'Fórmula'!F50,14)),IF(INDEX(properties!A$1:CB$87,'Fórmula'!H50,14)&lt;&gt;"",INDEX(properties!A$1:CB$87,'Fórmula'!H50,14)),IF(INDEX(properties!A$1:CB$87,'Fórmula'!J50,14)&lt;&gt;"",INDEX(properties!A$1:CB$87,'Fórmula'!J50,14)))</f>
        <v>0</v>
      </c>
      <c r="BG50" s="110">
        <f t="array" ref="BG50">MAX(INDEX(properties!A$1:CB$87,'Fórmula'!B50,14),INDEX(properties!A$1:CB$87,'Fórmula'!D50,14),INDEX(properties!A$1:CB$87,'Fórmula'!F50,14),INDEX(properties!A$1:CB$87,'Fórmula'!H50,14),INDEX(properties!A$1:CB$87,'Fórmula'!J50,14))</f>
        <v>0</v>
      </c>
      <c r="BH50" s="110">
        <f t="array" ref="BH50">MIN(IF('Fórmula'!B50=87,10^6,INDEX(properties!A$1:CB$87,'Fórmula'!B50,14)),IF(('Fórmula'!D50)=87,10^6,INDEX(properties!A$1:CB$87,'Fórmula'!D50,14)),IF(('Fórmula'!F50)=87,10^6,INDEX(properties!A$1:CB$87,'Fórmula'!F50,14)),IF(('Fórmula'!H50)=87,10^6,INDEX(properties!A$1:CB$87,'Fórmula'!H50,14)),IF('Fórmula'!J50=87,10^6,INDEX(properties!A$1:CB$87,'Fórmula'!J50,14)))</f>
        <v>0</v>
      </c>
      <c r="BI50" s="110">
        <f t="shared" si="10"/>
        <v>0</v>
      </c>
      <c r="BJ50" s="111">
        <f t="array" ref="BJ50">(('Fórmula'!C50)/('Fórmula'!C50+'Fórmula'!E50+'Fórmula'!G50+'Fórmula'!I50+'Fórmula'!K50))*(INDEX(properties!A$1:CB$87,'Fórmula'!B50,19))+(('Fórmula'!E50)/('Fórmula'!C50+'Fórmula'!E50+'Fórmula'!G50+'Fórmula'!I50+'Fórmula'!K50))*(INDEX(properties!A$1:CB$87,'Fórmula'!D50,19))+(('Fórmula'!G50)/('Fórmula'!C50+'Fórmula'!E50+'Fórmula'!G50+'Fórmula'!I50+'Fórmula'!K50))*(INDEX(properties!A$1:CB$87,'Fórmula'!F50,19))+(('Fórmula'!I50)/('Fórmula'!C50+'Fórmula'!E50+'Fórmula'!G50+'Fórmula'!I50+'Fórmula'!K50))*(INDEX(properties!A$1:CB$87,'Fórmula'!H50,19))+(('Fórmula'!K50)/('Fórmula'!C50+'Fórmula'!E50+'Fórmula'!G50+'Fórmula'!I50+'Fórmula'!K50))*(INDEX(properties!A$1:CB$87,'Fórmula'!J50,19))</f>
        <v>4.8</v>
      </c>
      <c r="BK50" s="111">
        <f t="array" ref="BK50">'Fórmula'!C50*(INDEX(properties!A$1:CB$87,'Fórmula'!B50,19))+'Fórmula'!E50*(INDEX(properties!A$1:CB$87,'Fórmula'!D50,19))+'Fórmula'!G50*(INDEX(properties!A$1:CB$87,'Fórmula'!F50,19))+'Fórmula'!I50*(INDEX(properties!A$1:CB$87,'Fórmula'!H50,19))+'Fórmula'!K50*(INDEX(properties!A$1:CB$87,'Fórmula'!J50,19))</f>
        <v>24</v>
      </c>
      <c r="BL50" s="111">
        <f t="array" ref="BL50">VARP(IF(INDEX(properties!A$1:CB$87,'Fórmula'!B50,19)&lt;&gt;"",INDEX(properties!A$1:CB$87,'Fórmula'!B50,19)),IF(INDEX(properties!A$1:CB$87,'Fórmula'!D50,19)&lt;&gt;"",INDEX(properties!A$1:CB$87,'Fórmula'!D50,19)),IF(INDEX(properties!A$1:CB$87,'Fórmula'!F50,19)&lt;&gt;"",INDEX(properties!A$1:CB$87,'Fórmula'!F50,19)),IF(INDEX(properties!A$1:CB$87,'Fórmula'!H50,19)&lt;&gt;"",INDEX(properties!A$1:CB$87,'Fórmula'!H50,19)),IF(INDEX(properties!A$1:CB$87,'Fórmula'!J50,19)&lt;&gt;"",INDEX(properties!A$1:CB$87,'Fórmula'!J50,19)))</f>
        <v>5.44</v>
      </c>
      <c r="BM50" s="111">
        <f t="array" ref="BM50">MAX(INDEX(properties!A$1:CB$87,'Fórmula'!B50,19),INDEX(properties!A$1:CB$87,'Fórmula'!D50,19),INDEX(properties!A$1:CB$87,'Fórmula'!F50,19),INDEX(properties!A$1:CB$87,'Fórmula'!H50,19),INDEX(properties!A$1:CB$87,'Fórmula'!J50,19))</f>
        <v>6</v>
      </c>
      <c r="BN50" s="111">
        <f t="array" ref="BN50">MIN(IF(INDEX(properties!A$1:CB$87,'Fórmula'!B50,19)=0,10^6,INDEX(properties!A$1:CB$87,'Fórmula'!B50,19)),IF(INDEX(properties!A$1:CB$87,'Fórmula'!D50,19)=0,10^6,INDEX(properties!A$1:CB$87,'Fórmula'!D50,19)),IF(INDEX(properties!A$1:CB$87,'Fórmula'!F50,19)=0,10^6,INDEX(properties!A$1:CB$87,'Fórmula'!F50,19)),IF(INDEX(properties!A$1:CB$87,'Fórmula'!H50,19)=0,10^6,INDEX(properties!A$1:CB$87,'Fórmula'!H50,19)),IF(INDEX(properties!A$1:CB$87,'Fórmula'!J50,19)=0,10^6,INDEX(properties!A$1:CB$87,'Fórmula'!J50,19)))</f>
        <v>2</v>
      </c>
      <c r="BO50" s="111">
        <f t="shared" si="11"/>
        <v>4</v>
      </c>
      <c r="BP50" s="112">
        <f t="array" ref="BP50">(('Fórmula'!C50)/('Fórmula'!C50+'Fórmula'!E50+'Fórmula'!G50+'Fórmula'!I50+'Fórmula'!K50))*(INDEX(properties!A$1:CB$87,'Fórmula'!B50,20))+(('Fórmula'!E50)/('Fórmula'!C50+'Fórmula'!E50+'Fórmula'!G50+'Fórmula'!I50+'Fórmula'!K50))*(INDEX(properties!A$1:CB$87,'Fórmula'!D50,20))+(('Fórmula'!G50)/('Fórmula'!C50+'Fórmula'!E50+'Fórmula'!G50+'Fórmula'!I50+'Fórmula'!K50))*(INDEX(properties!A$1:CB$87,'Fórmula'!F50,20))+(('Fórmula'!I50)/('Fórmula'!C50+'Fórmula'!E50+'Fórmula'!G50+'Fórmula'!I50+'Fórmula'!K50))*(INDEX(properties!A$1:CB$87,'Fórmula'!H50,20))+(('Fórmula'!K50)/('Fórmula'!C50+'Fórmula'!E50+'Fórmula'!G50+'Fórmula'!I50+'Fórmula'!K50))*(INDEX(properties!A$1:CB$87,'Fórmula'!J50,20))</f>
        <v>4.8</v>
      </c>
      <c r="BQ50" s="112">
        <f t="array" ref="BQ50">'Fórmula'!C50*(INDEX(properties!A$1:CB$87,'Fórmula'!B50,20))+'Fórmula'!E50*(INDEX(properties!A$1:CB$87,'Fórmula'!D50,20))+'Fórmula'!G50*(INDEX(properties!A$1:CB$87,'Fórmula'!F50,20))+'Fórmula'!I50*(INDEX(properties!A$1:CB$87,'Fórmula'!H50,20))+'Fórmula'!K50*(INDEX(properties!A$1:CB$87,'Fórmula'!J50,20))</f>
        <v>24</v>
      </c>
      <c r="BR50" s="112">
        <f t="array" ref="BR50">VARP(IF(INDEX(properties!A$1:CB$87,'Fórmula'!B50,20)&lt;&gt;"",INDEX(properties!A$1:CB$87,'Fórmula'!B50,20)),IF(INDEX(properties!A$1:CB$87,'Fórmula'!D50,20)&lt;&gt;"",INDEX(properties!A$1:CB$87,'Fórmula'!D50,20)),IF(INDEX(properties!A$1:CB$87,'Fórmula'!F50,20)&lt;&gt;"",INDEX(properties!A$1:CB$87,'Fórmula'!F50,20)),IF(INDEX(properties!A$1:CB$87,'Fórmula'!H50,20)&lt;&gt;"",INDEX(properties!A$1:CB$87,'Fórmula'!H50,20)),IF(INDEX(properties!A$1:CB$87,'Fórmula'!J50,20)&lt;&gt;"",INDEX(properties!A$1:CB$87,'Fórmula'!J50,20)))</f>
        <v>5.44</v>
      </c>
      <c r="BS50" s="112">
        <f t="array" ref="BS50">MAX(INDEX(properties!A$1:CB$87,'Fórmula'!B50,20),INDEX(properties!A$1:CB$87,'Fórmula'!D50,20),INDEX(properties!A$1:CB$87,'Fórmula'!F50,20),INDEX(properties!A$1:CB$87,'Fórmula'!H50,20),INDEX(properties!A$1:CB$87,'Fórmula'!J50,20))</f>
        <v>6</v>
      </c>
      <c r="BT50" s="112">
        <f t="array" ref="BT50">MIN(IF(INDEX(properties!A$1:CB$87,'Fórmula'!B50,20)=0,10^6,INDEX(properties!A$1:CB$87,'Fórmula'!B50,20)),IF(INDEX(properties!A$1:CB$87,'Fórmula'!D50,20)=0,10^6,INDEX(properties!A$1:CB$87,'Fórmula'!D50,20)),IF(INDEX(properties!A$1:CB$87,'Fórmula'!F50,20)=0,10^6,INDEX(properties!A$1:CB$87,'Fórmula'!F50,20)),IF(INDEX(properties!A$1:CB$87,'Fórmula'!H50,20)=0,10^6,INDEX(properties!A$1:CB$87,'Fórmula'!H50,20)),IF(INDEX(properties!A$1:CB$87,'Fórmula'!J50,20)=0,10^6,INDEX(properties!A$1:CB$87,'Fórmula'!J50,20)))</f>
        <v>2</v>
      </c>
      <c r="BU50" s="112">
        <f t="shared" si="12"/>
        <v>4</v>
      </c>
      <c r="BV50" s="113">
        <f t="array" ref="BV50">(('Fórmula'!C50)/('Fórmula'!C50+'Fórmula'!E50+'Fórmula'!G50+'Fórmula'!I50+'Fórmula'!K50))*(INDEX(properties!A$1:CB$87,'Fórmula'!B50,21))+(('Fórmula'!E50)/('Fórmula'!C50+'Fórmula'!E50+'Fórmula'!G50+'Fórmula'!I50+'Fórmula'!K50))*(INDEX(properties!A$1:CB$87,'Fórmula'!D50,21))+(('Fórmula'!G50)/('Fórmula'!C50+'Fórmula'!E50+'Fórmula'!G50+'Fórmula'!I50+'Fórmula'!K50))*(INDEX(properties!A$1:CB$87,'Fórmula'!F50,21))+(('Fórmula'!I50)/('Fórmula'!C50+'Fórmula'!E50+'Fórmula'!G50+'Fórmula'!I50+'Fórmula'!K50))*(INDEX(properties!A$1:CB$87,'Fórmula'!H50,21))+(('Fórmula'!K50)/('Fórmula'!C50+'Fórmula'!E50+'Fórmula'!G50+'Fórmula'!I50+'Fórmula'!K50))*(INDEX(properties!A$1:CB$87,'Fórmula'!J50,21))</f>
        <v>4.8</v>
      </c>
      <c r="BW50" s="113">
        <f t="array" ref="BW50">'Fórmula'!C50*(INDEX(properties!A$1:CB$87,'Fórmula'!B50,21))+'Fórmula'!E50*(INDEX(properties!A$1:CB$87,'Fórmula'!D50,21))+'Fórmula'!G50*(INDEX(properties!A$1:CB$87,'Fórmula'!F50,21))+'Fórmula'!I50*(INDEX(properties!A$1:CB$87,'Fórmula'!H50,21))+'Fórmula'!K50*(INDEX(properties!A$1:CB$87,'Fórmula'!J50,21))</f>
        <v>24</v>
      </c>
      <c r="BX50" s="113">
        <f t="array" ref="BX50">VARP(IF(INDEX(properties!A$1:CB$87,'Fórmula'!B50,21)&lt;&gt;"",INDEX(properties!A$1:CB$87,'Fórmula'!B50,21)),IF(INDEX(properties!A$1:CB$87,'Fórmula'!D50,21)&lt;&gt;"",INDEX(properties!A$1:CB$87,'Fórmula'!D50,21)),IF(INDEX(properties!A$1:CB$87,'Fórmula'!F50,21)&lt;&gt;"",INDEX(properties!A$1:CB$87,'Fórmula'!F50,21)),IF(INDEX(properties!A$1:CB$87,'Fórmula'!H50,21)&lt;&gt;"",INDEX(properties!A$1:CB$87,'Fórmula'!H50,21)),IF(INDEX(properties!A$1:CB$87,'Fórmula'!J50,21)&lt;&gt;"",INDEX(properties!A$1:CB$87,'Fórmula'!J50,21)))</f>
        <v>5.44</v>
      </c>
      <c r="BY50" s="113">
        <f t="array" ref="BY50">MAX(INDEX(properties!A$1:CB$87,'Fórmula'!B50,21),INDEX(properties!A$1:CB$87,'Fórmula'!D50,21),INDEX(properties!A$1:CB$87,'Fórmula'!F50,21),INDEX(properties!A$1:CB$87,'Fórmula'!H50,21),INDEX(properties!A$1:CB$87,'Fórmula'!J50,21))</f>
        <v>6</v>
      </c>
      <c r="BZ50" s="113">
        <f t="array" ref="BZ50">MIN(IF(INDEX(properties!A$1:CB$87,'Fórmula'!B50,21)=0,10^6,INDEX(properties!A$1:CB$87,'Fórmula'!B50,21)),IF(INDEX(properties!A$1:CB$87,'Fórmula'!D50,21)=0,10^6,INDEX(properties!A$1:CB$87,'Fórmula'!D50,21)),IF(INDEX(properties!A$1:CB$87,'Fórmula'!F50,21)=0,10^6,INDEX(properties!A$1:CB$87,'Fórmula'!F50,21)),IF(INDEX(properties!A$1:CB$87,'Fórmula'!H50,21)=0,10^6,INDEX(properties!A$1:CB$87,'Fórmula'!H50,21)),IF(INDEX(properties!A$1:CB$87,'Fórmula'!J50,21)=0,10^6,INDEX(properties!A$1:CB$87,'Fórmula'!J50,21)))</f>
        <v>2</v>
      </c>
      <c r="CA50" s="113">
        <f t="shared" si="13"/>
        <v>4</v>
      </c>
      <c r="CB50" s="114">
        <f t="array" ref="CB50">(('Fórmula'!C50)/('Fórmula'!C50+'Fórmula'!E50+'Fórmula'!G50+'Fórmula'!I50+'Fórmula'!K50))*(INDEX(properties!A$1:CB$87,'Fórmula'!B50,23))+(('Fórmula'!E50)/('Fórmula'!C50+'Fórmula'!E50+'Fórmula'!G50+'Fórmula'!I50+'Fórmula'!K50))*(INDEX(properties!A$1:CB$87,'Fórmula'!D50,23))+(('Fórmula'!G50)/('Fórmula'!C50+'Fórmula'!E50+'Fórmula'!G50+'Fórmula'!I50+'Fórmula'!K50))*(INDEX(properties!A$1:CB$87,'Fórmula'!F50,23))+(('Fórmula'!I50)/('Fórmula'!C50+'Fórmula'!E50+'Fórmula'!G50+'Fórmula'!I50+'Fórmula'!K50))*(INDEX(properties!A$1:CB$87,'Fórmula'!H50,23))+(('Fórmula'!K50)/('Fórmula'!C50+'Fórmula'!E50+'Fórmula'!G50+'Fórmula'!I50+'Fórmula'!K50))*(INDEX(properties!A$1:CB$87,'Fórmula'!J50,23))</f>
        <v>1.2</v>
      </c>
      <c r="CC50" s="114">
        <f t="array" ref="CC50">'Fórmula'!C50*(INDEX(properties!A$1:CB$87,'Fórmula'!B50,23))+'Fórmula'!E50*(INDEX(properties!A$1:CB$87,'Fórmula'!D50,23))+'Fórmula'!G50*(INDEX(properties!A$1:CB$87,'Fórmula'!F50,23))+'Fórmula'!I50*(INDEX(properties!A$1:CB$87,'Fórmula'!H50,23))+'Fórmula'!K50*(INDEX(properties!A$1:CB$87,'Fórmula'!J50,23))</f>
        <v>6</v>
      </c>
      <c r="CD50" s="114">
        <f t="array" ref="CD50">VARP(IF(INDEX(properties!A$1:CB$87,'Fórmula'!B50,23)&lt;&gt;"",INDEX(properties!A$1:CB$87,'Fórmula'!B50,23)),IF(INDEX(properties!A$1:CB$87,'Fórmula'!D50,23)&lt;&gt;"",INDEX(properties!A$1:CB$87,'Fórmula'!D50,23)),IF(INDEX(properties!A$1:CB$87,'Fórmula'!F50,23)&lt;&gt;"",INDEX(properties!A$1:CB$87,'Fórmula'!F50,23)),IF(INDEX(properties!A$1:CB$87,'Fórmula'!H50,23)&lt;&gt;"",INDEX(properties!A$1:CB$87,'Fórmula'!H50,23)),IF(INDEX(properties!A$1:CB$87,'Fórmula'!J50,23)&lt;&gt;"",INDEX(properties!A$1:CB$87,'Fórmula'!J50,23)))</f>
        <v>2.56</v>
      </c>
      <c r="CE50" s="114">
        <f t="array" ref="CE50">MAX(INDEX(properties!A$1:CB$87,'Fórmula'!B50,23),INDEX(properties!A$1:CB$87,'Fórmula'!D50,23),INDEX(properties!A$1:CB$87,'Fórmula'!F50,23),INDEX(properties!A$1:CB$87,'Fórmula'!H50,23),INDEX(properties!A$1:CB$87,'Fórmula'!J50,23))</f>
        <v>4</v>
      </c>
      <c r="CF50" s="114">
        <f t="array" ref="CF50">MIN(IF('Fórmula'!B50=87,10^6,INDEX(properties!A$1:CB$87,'Fórmula'!B50,23)),IF(('Fórmula'!D50)=87,10^6,INDEX(properties!A$1:CB$87,'Fórmula'!D50,23)),IF(('Fórmula'!F50)=87,10^6,INDEX(properties!A$1:CB$87,'Fórmula'!F50,23)),IF(('Fórmula'!H50)=87,10^6,INDEX(properties!A$1:CB$87,'Fórmula'!H50,23)),IF('Fórmula'!J50=87,10^6,INDEX(properties!A$1:CB$87,'Fórmula'!J50,23)))</f>
        <v>0</v>
      </c>
      <c r="CG50" s="114">
        <f t="shared" si="14"/>
        <v>4</v>
      </c>
      <c r="CH50" s="115">
        <f t="array" ref="CH50">(('Fórmula'!C50)/('Fórmula'!C50+'Fórmula'!E50+'Fórmula'!G50+'Fórmula'!I50+'Fórmula'!K50))*(INDEX(properties!A$1:CB$87,'Fórmula'!B50,26))+(('Fórmula'!E50)/('Fórmula'!C50+'Fórmula'!E50+'Fórmula'!G50+'Fórmula'!I50+'Fórmula'!K50))*(INDEX(properties!A$1:CB$87,'Fórmula'!D50,26))+(('Fórmula'!G50)/('Fórmula'!C50+'Fórmula'!E50+'Fórmula'!G50+'Fórmula'!I50+'Fórmula'!K50))*(INDEX(properties!A$1:CB$87,'Fórmula'!F50,26))+(('Fórmula'!I50)/('Fórmula'!C50+'Fórmula'!E50+'Fórmula'!G50+'Fórmula'!I50+'Fórmula'!K50))*(INDEX(properties!A$1:CB$87,'Fórmula'!H50,26))+(('Fórmula'!K50)/('Fórmula'!C50+'Fórmula'!E50+'Fórmula'!G50+'Fórmula'!I50+'Fórmula'!K50))*(INDEX(properties!A$1:CB$87,'Fórmula'!J50,26))</f>
        <v>11.64556</v>
      </c>
      <c r="CI50" s="115">
        <f t="array" ref="CI50">'Fórmula'!C50*(INDEX(properties!A$1:CB$87,'Fórmula'!B50,26))+'Fórmula'!E50*(INDEX(properties!A$1:CB$87,'Fórmula'!D50,26))+'Fórmula'!G50*(INDEX(properties!A$1:CB$87,'Fórmula'!F50,26))+'Fórmula'!I50*(INDEX(properties!A$1:CB$87,'Fórmula'!H50,26))+'Fórmula'!K50*(INDEX(properties!A$1:CB$87,'Fórmula'!J50,26))</f>
        <v>58.2278</v>
      </c>
      <c r="CJ50" s="115">
        <f t="array" ref="CJ50">VARP(IF(INDEX(properties!A$1:CB$87,'Fórmula'!B50,26)&lt;&gt;"",INDEX(properties!A$1:CB$87,'Fórmula'!B50,26)),IF(INDEX(properties!A$1:CB$87,'Fórmula'!D50,26)&lt;&gt;"",INDEX(properties!A$1:CB$87,'Fórmula'!D50,26)),IF(INDEX(properties!A$1:CB$87,'Fórmula'!F50,26)&lt;&gt;"",INDEX(properties!A$1:CB$87,'Fórmula'!F50,26)),IF(INDEX(properties!A$1:CB$87,'Fórmula'!H50,26)&lt;&gt;"",INDEX(properties!A$1:CB$87,'Fórmula'!H50,26)),IF(INDEX(properties!A$1:CB$87,'Fórmula'!J50,26)&lt;&gt;"",INDEX(properties!A$1:CB$87,'Fórmula'!J50,26)))</f>
        <v>31.50447277</v>
      </c>
      <c r="CK50" s="116">
        <f t="array" ref="CK50">MAX(INDEX(properties!A$1:CB$87,'Fórmula'!B50,26),INDEX(properties!A$1:CB$87,'Fórmula'!D50,26),INDEX(properties!A$1:CB$87,'Fórmula'!F50,26),INDEX(properties!A$1:CB$87,'Fórmula'!H50,26),INDEX(properties!A$1:CB$87,'Fórmula'!J50,26))</f>
        <v>13.6181</v>
      </c>
      <c r="CL50" s="116">
        <f t="array" ref="CL50">MIN(IF(INDEX(properties!A$1:CB$87,'Fórmula'!B50,26)=0,10^6,INDEX(properties!A$1:CB$87,'Fórmula'!B50,26)),IF(INDEX(properties!A$1:CB$87,'Fórmula'!D50,26)=0,10^6,INDEX(properties!A$1:CB$87,'Fórmula'!D50,26)),IF(INDEX(properties!A$1:CB$87,'Fórmula'!F50,26)=0,10^6,INDEX(properties!A$1:CB$87,'Fórmula'!F50,26)),IF(INDEX(properties!A$1:CB$87,'Fórmula'!H50,26)=0,10^6,INDEX(properties!A$1:CB$87,'Fórmula'!H50,26)),IF(INDEX(properties!A$1:CB$87,'Fórmula'!J50,26)=0,10^6,INDEX(properties!A$1:CB$87,'Fórmula'!J50,26)))</f>
        <v>6.1132</v>
      </c>
      <c r="CM50" s="115">
        <f t="shared" si="15"/>
        <v>7.5049</v>
      </c>
      <c r="CN50" s="117">
        <f t="array" ref="CN50">(('Fórmula'!C50)/('Fórmula'!C50+'Fórmula'!E50+'Fórmula'!G50+'Fórmula'!I50+'Fórmula'!K50))*(INDEX(properties!A$1:CB$87,'Fórmula'!B50,30))+(('Fórmula'!E50)/('Fórmula'!C50+'Fórmula'!E50+'Fórmula'!G50+'Fórmula'!I50+'Fórmula'!K50))*(INDEX(properties!A$1:CB$87,'Fórmula'!D50,30))+(('Fórmula'!G50)/('Fórmula'!C50+'Fórmula'!E50+'Fórmula'!G50+'Fórmula'!I50+'Fórmula'!K50))*(INDEX(properties!A$1:CB$87,'Fórmula'!F50,30))+(('Fórmula'!I50)/('Fórmula'!C50+'Fórmula'!E50+'Fórmula'!G50+'Fórmula'!I50+'Fórmula'!K50))*(INDEX(properties!A$1:CB$87,'Fórmula'!H50,30))+(('Fórmula'!K50)/('Fórmula'!C50+'Fórmula'!E50+'Fórmula'!G50+'Fórmula'!I50+'Fórmula'!K50))*(INDEX(properties!A$1:CB$87,'Fórmula'!J50,30))</f>
        <v>2.774</v>
      </c>
      <c r="CO50" s="117">
        <f t="array" ref="CO50">'Fórmula'!C50*(INDEX(properties!A$1:CB$87,'Fórmula'!B50,30))+'Fórmula'!E50*(INDEX(properties!A$1:CB$87,'Fórmula'!D50,30))+'Fórmula'!G50*(INDEX(properties!A$1:CB$87,'Fórmula'!F50,30))+'Fórmula'!I50*(INDEX(properties!A$1:CB$87,'Fórmula'!H50,30))+'Fórmula'!K50*(INDEX(properties!A$1:CB$87,'Fórmula'!J50,30))</f>
        <v>13.87</v>
      </c>
      <c r="CP50" s="117">
        <f t="array" ref="CP50">VARP(IF(INDEX(properties!A$1:CB$87,'Fórmula'!B50,30)&lt;&gt;"",INDEX(properties!A$1:CB$87,'Fórmula'!B50,30)),IF(INDEX(properties!A$1:CB$87,'Fórmula'!D50,30)&lt;&gt;"",INDEX(properties!A$1:CB$87,'Fórmula'!D50,30)),IF(INDEX(properties!A$1:CB$87,'Fórmula'!F50,30)&lt;&gt;"",INDEX(properties!A$1:CB$87,'Fórmula'!F50,30)),IF(INDEX(properties!A$1:CB$87,'Fórmula'!H50,30)&lt;&gt;"",INDEX(properties!A$1:CB$87,'Fórmula'!H50,30)),IF(INDEX(properties!A$1:CB$87,'Fórmula'!J50,30)&lt;&gt;"",INDEX(properties!A$1:CB$87,'Fórmula'!J50,30)))</f>
        <v>1.912816</v>
      </c>
      <c r="CQ50" s="117">
        <f t="array" ref="CQ50">MAX(INDEX(properties!A$1:CB$87,'Fórmula'!B50,30),INDEX(properties!A$1:CB$87,'Fórmula'!D50,30),INDEX(properties!A$1:CB$87,'Fórmula'!F50,30),INDEX(properties!A$1:CB$87,'Fórmula'!H50,30),INDEX(properties!A$1:CB$87,'Fórmula'!J50,30))</f>
        <v>3.44</v>
      </c>
      <c r="CR50" s="117">
        <f t="array" ref="CR50">MIN(IF(INDEX(properties!A$1:CB$87,'Fórmula'!B50,30)=0,10^6,INDEX(properties!A$1:CB$87,'Fórmula'!B50,30)),IF(INDEX(properties!A$1:CB$87,'Fórmula'!D50,30)=0,10^6,INDEX(properties!A$1:CB$87,'Fórmula'!D50,30)),IF(INDEX(properties!A$1:CB$87,'Fórmula'!F50,30)=0,10^6,INDEX(properties!A$1:CB$87,'Fórmula'!F50,30)),IF(INDEX(properties!A$1:CB$87,'Fórmula'!H50,30)=0,10^6,INDEX(properties!A$1:CB$87,'Fórmula'!H50,30)),IF(INDEX(properties!A$1:CB$87,'Fórmula'!J50,30)=0,10^6,INDEX(properties!A$1:CB$87,'Fórmula'!J50,30)))</f>
        <v>1</v>
      </c>
      <c r="CS50" s="117">
        <f t="shared" si="16"/>
        <v>2.44</v>
      </c>
      <c r="CT50" s="118">
        <f t="array" ref="CT50">(('Fórmula'!C50)/('Fórmula'!C50+'Fórmula'!E50+'Fórmula'!G50+'Fórmula'!I50+'Fórmula'!K50))*(INDEX(properties!A$1:CB$87,'Fórmula'!B50,31))+(('Fórmula'!E50)/('Fórmula'!C50+'Fórmula'!E50+'Fórmula'!G50+'Fórmula'!I50+'Fórmula'!K50))*(INDEX(properties!A$1:CB$87,'Fórmula'!D50,31))+(('Fórmula'!G50)/('Fórmula'!C50+'Fórmula'!E50+'Fórmula'!G50+'Fórmula'!I50+'Fórmula'!K50))*(INDEX(properties!A$1:CB$87,'Fórmula'!F50,31))+(('Fórmula'!I50)/('Fórmula'!C50+'Fórmula'!E50+'Fórmula'!G50+'Fórmula'!I50+'Fórmula'!K50))*(INDEX(properties!A$1:CB$87,'Fórmula'!H50,31))+(('Fórmula'!K50)/('Fórmula'!C50+'Fórmula'!E50+'Fórmula'!G50+'Fórmula'!I50+'Fórmula'!K50))*(INDEX(properties!A$1:CB$87,'Fórmula'!J50,31))</f>
        <v>2.7</v>
      </c>
      <c r="CU50" s="118">
        <f t="array" ref="CU50">'Fórmula'!C50*(INDEX(properties!A$1:CB$87,'Fórmula'!B50,31))+'Fórmula'!E50*(INDEX(properties!A$1:CB$87,'Fórmula'!D50,31))+'Fórmula'!G50*(INDEX(properties!A$1:CB$87,'Fórmula'!F50,31))+'Fórmula'!I50*(INDEX(properties!A$1:CB$87,'Fórmula'!H50,31))+'Fórmula'!K50*(INDEX(properties!A$1:CB$87,'Fórmula'!J50,31))</f>
        <v>13.5</v>
      </c>
      <c r="CV50" s="118">
        <f t="array" ref="CV50">VARP(IF(INDEX(properties!A$1:CB$87,'Fórmula'!B50,31)&lt;&gt;"",INDEX(properties!A$1:CB$87,'Fórmula'!B50,31)),IF(INDEX(properties!A$1:CB$87,'Fórmula'!D50,31)&lt;&gt;"",INDEX(properties!A$1:CB$87,'Fórmula'!D50,31)),IF(INDEX(properties!A$1:CB$87,'Fórmula'!F50,31)&lt;&gt;"",INDEX(properties!A$1:CB$87,'Fórmula'!F50,31)),IF(INDEX(properties!A$1:CB$87,'Fórmula'!H50,31)&lt;&gt;"",INDEX(properties!A$1:CB$87,'Fórmula'!H50,31)),IF(INDEX(properties!A$1:CB$87,'Fórmula'!J50,31)&lt;&gt;"",INDEX(properties!A$1:CB$87,'Fórmula'!J50,31)))</f>
        <v>1.719256</v>
      </c>
      <c r="CW50" s="118">
        <f t="array" ref="CW50">MAX(INDEX(properties!A$1:CB$87,'Fórmula'!B50,31),INDEX(properties!A$1:CB$87,'Fórmula'!D50,31),INDEX(properties!A$1:CB$87,'Fórmula'!F50,31),INDEX(properties!A$1:CB$87,'Fórmula'!H50,31),INDEX(properties!A$1:CB$87,'Fórmula'!J50,31))</f>
        <v>3.32</v>
      </c>
      <c r="CX50" s="118">
        <f t="array" ref="CX50">MIN(IF(INDEX(properties!A$1:CB$87,'Fórmula'!B50,31)=0,10^6,INDEX(properties!A$1:CB$87,'Fórmula'!B50,31)),IF(INDEX(properties!A$1:CB$87,'Fórmula'!D50,31)=0,10^6,INDEX(properties!A$1:CB$87,'Fórmula'!D50,31)),IF(INDEX(properties!A$1:CB$87,'Fórmula'!F50,31)=0,10^6,INDEX(properties!A$1:CB$87,'Fórmula'!F50,31)),IF(INDEX(properties!A$1:CB$87,'Fórmula'!H50,31)=0,10^6,INDEX(properties!A$1:CB$87,'Fórmula'!H50,31)),IF(INDEX(properties!A$1:CB$87,'Fórmula'!J50,31)=0,10^6,INDEX(properties!A$1:CB$87,'Fórmula'!J50,31)))</f>
        <v>1.17</v>
      </c>
      <c r="CY50" s="118">
        <f t="shared" si="17"/>
        <v>2.15</v>
      </c>
      <c r="CZ50" s="119">
        <f t="array" ref="CZ50">(('Fórmula'!C50)/('Fórmula'!C50+'Fórmula'!E50+'Fórmula'!G50+'Fórmula'!I50+'Fórmula'!K50))*(INDEX(properties!A$1:CB$87,'Fórmula'!B50,32))+(('Fórmula'!E50)/('Fórmula'!C50+'Fórmula'!E50+'Fórmula'!G50+'Fórmula'!I50+'Fórmula'!K50))*(INDEX(properties!A$1:CB$87,'Fórmula'!D50,32))+(('Fórmula'!G50)/('Fórmula'!C50+'Fórmula'!E50+'Fórmula'!G50+'Fórmula'!I50+'Fórmula'!K50))*(INDEX(properties!A$1:CB$87,'Fórmula'!F50,32))+(('Fórmula'!I50)/('Fórmula'!C50+'Fórmula'!E50+'Fórmula'!G50+'Fórmula'!I50+'Fórmula'!K50))*(INDEX(properties!A$1:CB$87,'Fórmula'!H50,32))+(('Fórmula'!K50)/('Fórmula'!C50+'Fórmula'!E50+'Fórmula'!G50+'Fórmula'!I50+'Fórmula'!K50))*(INDEX(properties!A$1:CB$87,'Fórmula'!J50,32))</f>
        <v>6.218</v>
      </c>
      <c r="DA50" s="119">
        <f t="array" ref="DA50">'Fórmula'!C50*(INDEX(properties!A$1:CB$87,'Fórmula'!B50,32))+'Fórmula'!E50*(INDEX(properties!A$1:CB$87,'Fórmula'!D50,32))+'Fórmula'!G50*(INDEX(properties!A$1:CB$87,'Fórmula'!F50,32))+'Fórmula'!I50*(INDEX(properties!A$1:CB$87,'Fórmula'!H50,32))+'Fórmula'!K50*(INDEX(properties!A$1:CB$87,'Fórmula'!J50,32))</f>
        <v>31.09</v>
      </c>
      <c r="DB50" s="119">
        <f t="array" ref="DB50">VARP(IF(INDEX(properties!A$1:CB$87,'Fórmula'!B50,32)&lt;&gt;"",INDEX(properties!A$1:CB$87,'Fórmula'!B50,32)),IF(INDEX(properties!A$1:CB$87,'Fórmula'!D50,32)&lt;&gt;"",INDEX(properties!A$1:CB$87,'Fórmula'!D50,32)),IF(INDEX(properties!A$1:CB$87,'Fórmula'!F50,32)&lt;&gt;"",INDEX(properties!A$1:CB$87,'Fórmula'!F50,32)),IF(INDEX(properties!A$1:CB$87,'Fórmula'!H50,32)&lt;&gt;"",INDEX(properties!A$1:CB$87,'Fórmula'!H50,32)),IF(INDEX(properties!A$1:CB$87,'Fórmula'!J50,32)&lt;&gt;"",INDEX(properties!A$1:CB$87,'Fórmula'!J50,32)))</f>
        <v>9.948096</v>
      </c>
      <c r="DC50" s="119">
        <f t="array" ref="DC50">MAX(INDEX(properties!A$1:CB$87,'Fórmula'!B50,32),INDEX(properties!A$1:CB$87,'Fórmula'!D50,32),INDEX(properties!A$1:CB$87,'Fórmula'!F50,32),INDEX(properties!A$1:CB$87,'Fórmula'!H50,32),INDEX(properties!A$1:CB$87,'Fórmula'!J50,32))</f>
        <v>7.54</v>
      </c>
      <c r="DD50" s="119">
        <f t="array" ref="DD50">MIN(IF(INDEX(properties!A$1:CB$87,'Fórmula'!B50,32)=0,10^6,INDEX(properties!A$1:CB$87,'Fórmula'!B50,32)),IF(INDEX(properties!A$1:CB$87,'Fórmula'!D50,32)=0,10^6,INDEX(properties!A$1:CB$87,'Fórmula'!D50,32)),IF(INDEX(properties!A$1:CB$87,'Fórmula'!F50,32)=0,10^6,INDEX(properties!A$1:CB$87,'Fórmula'!F50,32)),IF(INDEX(properties!A$1:CB$87,'Fórmula'!H50,32)=0,10^6,INDEX(properties!A$1:CB$87,'Fórmula'!H50,32)),IF(INDEX(properties!A$1:CB$87,'Fórmula'!J50,32)=0,10^6,INDEX(properties!A$1:CB$87,'Fórmula'!J50,32)))</f>
        <v>2.2</v>
      </c>
      <c r="DE50" s="119">
        <f t="shared" si="18"/>
        <v>5.34</v>
      </c>
      <c r="DF50" s="104">
        <f t="array" ref="DF50">(('Fórmula'!C50)/('Fórmula'!C50+'Fórmula'!E50+'Fórmula'!G50+'Fórmula'!I50+'Fórmula'!K50))*(INDEX(properties!A$1:CB$87,'Fórmula'!B50,34))+(('Fórmula'!E50)/('Fórmula'!C50+'Fórmula'!E50+'Fórmula'!G50+'Fórmula'!I50+'Fórmula'!K50))*(INDEX(properties!A$1:CB$87,'Fórmula'!D50,34))+(('Fórmula'!G50)/('Fórmula'!C50+'Fórmula'!E50+'Fórmula'!G50+'Fórmula'!I50+'Fórmula'!K50))*(INDEX(properties!A$1:CB$87,'Fórmula'!F50,34))+(('Fórmula'!I50)/('Fórmula'!C50+'Fórmula'!E50+'Fórmula'!G50+'Fórmula'!I50+'Fórmula'!K50))*(INDEX(properties!A$1:CB$87,'Fórmula'!H50,34))+(('Fórmula'!K50)/('Fórmula'!C50+'Fórmula'!E50+'Fórmula'!G50+'Fórmula'!I50+'Fórmula'!K50))*(INDEX(properties!A$1:CB$87,'Fórmula'!J50,34))</f>
        <v>2.8816</v>
      </c>
      <c r="DG50" s="104">
        <f t="array" ref="DG50">'Fórmula'!C50*(INDEX(properties!A$1:CB$87,'Fórmula'!B50,34))+'Fórmula'!E50*(INDEX(properties!A$1:CB$87,'Fórmula'!D50,34))+'Fórmula'!G50*(INDEX(properties!A$1:CB$87,'Fórmula'!F50,34))+'Fórmula'!I50*(INDEX(properties!A$1:CB$87,'Fórmula'!H50,34))+'Fórmula'!K50*(INDEX(properties!A$1:CB$87,'Fórmula'!J50,34))</f>
        <v>14.408</v>
      </c>
      <c r="DH50" s="104">
        <f t="array" ref="DH50">VARP(IF(INDEX(properties!A$1:CB$87,'Fórmula'!B50,34)&lt;&gt;"",INDEX(properties!A$1:CB$87,'Fórmula'!B50,34)),IF(INDEX(properties!A$1:CB$87,'Fórmula'!D50,34)&lt;&gt;"",INDEX(properties!A$1:CB$87,'Fórmula'!D50,34)),IF(INDEX(properties!A$1:CB$87,'Fórmula'!F50,34)&lt;&gt;"",INDEX(properties!A$1:CB$87,'Fórmula'!F50,34)),IF(INDEX(properties!A$1:CB$87,'Fórmula'!H50,34)&lt;&gt;"",INDEX(properties!A$1:CB$87,'Fórmula'!H50,34)),IF(INDEX(properties!A$1:CB$87,'Fórmula'!J50,34)&lt;&gt;"",INDEX(properties!A$1:CB$87,'Fórmula'!J50,34)))</f>
        <v>2.04794464</v>
      </c>
      <c r="DI50" s="104">
        <f t="array" ref="DI50">MAX(INDEX(properties!A$1:CB$87,'Fórmula'!B50,34),INDEX(properties!A$1:CB$87,'Fórmula'!D50,34),INDEX(properties!A$1:CB$87,'Fórmula'!F50,34),INDEX(properties!A$1:CB$87,'Fórmula'!H50,34),INDEX(properties!A$1:CB$87,'Fórmula'!J50,34))</f>
        <v>3.61</v>
      </c>
      <c r="DJ50" s="104">
        <f t="array" ref="DJ50">MIN(IF(INDEX(properties!A$1:CB$87,'Fórmula'!B50,34)=0,10^6,INDEX(properties!A$1:CB$87,'Fórmula'!B50,34)),IF(INDEX(properties!A$1:CB$87,'Fórmula'!D50,34)=0,10^6,INDEX(properties!A$1:CB$87,'Fórmula'!D50,34)),IF(INDEX(properties!A$1:CB$87,'Fórmula'!F50,34)=0,10^6,INDEX(properties!A$1:CB$87,'Fórmula'!F50,34)),IF(INDEX(properties!A$1:CB$87,'Fórmula'!H50,34)=0,10^6,INDEX(properties!A$1:CB$87,'Fórmula'!H50,34)),IF(INDEX(properties!A$1:CB$87,'Fórmula'!J50,34)=0,10^6,INDEX(properties!A$1:CB$87,'Fórmula'!J50,34)))</f>
        <v>1.034</v>
      </c>
      <c r="DK50" s="104">
        <f t="shared" si="19"/>
        <v>2.576</v>
      </c>
      <c r="DL50" s="105">
        <f t="array" ref="DL50">(('Fórmula'!C50)/('Fórmula'!C50+'Fórmula'!E50+'Fórmula'!G50+'Fórmula'!I50+'Fórmula'!K50))*(INDEX(properties!A$1:CB$87,'Fórmula'!B50,37))+(('Fórmula'!E50)/('Fórmula'!C50+'Fórmula'!E50+'Fórmula'!G50+'Fórmula'!I50+'Fórmula'!K50))*(INDEX(properties!A$1:CB$87,'Fórmula'!D50,37))+(('Fórmula'!G50)/('Fórmula'!C50+'Fórmula'!E50+'Fórmula'!G50+'Fórmula'!I50+'Fórmula'!K50))*(INDEX(properties!A$1:CB$87,'Fórmula'!F50,37))+(('Fórmula'!I50)/('Fórmula'!C50+'Fórmula'!E50+'Fórmula'!G50+'Fórmula'!I50+'Fórmula'!K50))*(INDEX(properties!A$1:CB$87,'Fórmula'!H50,37))+(('Fórmula'!K50)/('Fórmula'!C50+'Fórmula'!E50+'Fórmula'!G50+'Fórmula'!I50+'Fórmula'!K50))*(INDEX(properties!A$1:CB$87,'Fórmula'!J50,37))</f>
        <v>2.78</v>
      </c>
      <c r="DM50" s="105">
        <f t="array" ref="DM50">'Fórmula'!C50*(INDEX(properties!A$1:CB$87,'Fórmula'!B50,37))+'Fórmula'!E50*(INDEX(properties!A$1:CB$87,'Fórmula'!D50,37))+'Fórmula'!G50*(INDEX(properties!A$1:CB$87,'Fórmula'!F50,37))+'Fórmula'!I50*(INDEX(properties!A$1:CB$87,'Fórmula'!H50,37))+'Fórmula'!K50*(INDEX(properties!A$1:CB$87,'Fórmula'!J50,37))</f>
        <v>13.9</v>
      </c>
      <c r="DN50" s="105">
        <f t="array" ref="DN50">VARP(IF(INDEX(properties!A$1:CB$87,'Fórmula'!B50,37)&lt;&gt;"",INDEX(properties!A$1:CB$87,'Fórmula'!B50,37)),IF(INDEX(properties!A$1:CB$87,'Fórmula'!D50,37)&lt;&gt;"",INDEX(properties!A$1:CB$87,'Fórmula'!D50,37)),IF(INDEX(properties!A$1:CB$87,'Fórmula'!F50,37)&lt;&gt;"",INDEX(properties!A$1:CB$87,'Fórmula'!F50,37)),IF(INDEX(properties!A$1:CB$87,'Fórmula'!H50,37)&lt;&gt;"",INDEX(properties!A$1:CB$87,'Fórmula'!H50,37)),IF(INDEX(properties!A$1:CB$87,'Fórmula'!J50,37)&lt;&gt;"",INDEX(properties!A$1:CB$87,'Fórmula'!J50,37)))</f>
        <v>1.921</v>
      </c>
      <c r="DO50" s="105">
        <f t="array" ref="DO50">MAX(INDEX(properties!A$1:CB$87,'Fórmula'!B50,37),INDEX(properties!A$1:CB$87,'Fórmula'!D50,37),INDEX(properties!A$1:CB$87,'Fórmula'!F50,37),INDEX(properties!A$1:CB$87,'Fórmula'!H50,37),INDEX(properties!A$1:CB$87,'Fórmula'!J50,37))</f>
        <v>3.45</v>
      </c>
      <c r="DP50" s="105">
        <f t="array" ref="DP50">MIN(IF(INDEX(properties!A$1:CB$87,'Fórmula'!B50,37)=0,10^6,INDEX(properties!A$1:CB$87,'Fórmula'!B50,37)),IF(INDEX(properties!A$1:CB$87,'Fórmula'!D50,37)=0,10^6,INDEX(properties!A$1:CB$87,'Fórmula'!D50,37)),IF(INDEX(properties!A$1:CB$87,'Fórmula'!F50,37)=0,10^6,INDEX(properties!A$1:CB$87,'Fórmula'!F50,37)),IF(INDEX(properties!A$1:CB$87,'Fórmula'!H50,37)=0,10^6,INDEX(properties!A$1:CB$87,'Fórmula'!H50,37)),IF(INDEX(properties!A$1:CB$87,'Fórmula'!J50,37)=0,10^6,INDEX(properties!A$1:CB$87,'Fórmula'!J50,37)))</f>
        <v>1</v>
      </c>
      <c r="DQ50" s="105">
        <f t="shared" si="20"/>
        <v>2.45</v>
      </c>
      <c r="DR50" s="109">
        <f t="array" ref="DR50">(('Fórmula'!C50)/('Fórmula'!C50+'Fórmula'!E50+'Fórmula'!G50+'Fórmula'!I50+'Fórmula'!K50))*(INDEX(properties!A$1:CB$87,'Fórmula'!B50,39))+(('Fórmula'!E50)/('Fórmula'!C50+'Fórmula'!E50+'Fórmula'!G50+'Fórmula'!I50+'Fórmula'!K50))*(INDEX(properties!A$1:CB$87,'Fórmula'!D50,39))+(('Fórmula'!G50)/('Fórmula'!C50+'Fórmula'!E50+'Fórmula'!G50+'Fórmula'!I50+'Fórmula'!K50))*(INDEX(properties!A$1:CB$87,'Fórmula'!F50,39))+(('Fórmula'!I50)/('Fórmula'!C50+'Fórmula'!E50+'Fórmula'!G50+'Fórmula'!I50+'Fórmula'!K50))*(INDEX(properties!A$1:CB$87,'Fórmula'!H50,39))+(('Fórmula'!K50)/('Fórmula'!C50+'Fórmula'!E50+'Fórmula'!G50+'Fórmula'!I50+'Fórmula'!K50))*(INDEX(properties!A$1:CB$87,'Fórmula'!J50,39))</f>
        <v>0.81</v>
      </c>
      <c r="DS50" s="109">
        <f t="array" ref="DS50">'Fórmula'!C50*(INDEX(properties!A$1:CB$87,'Fórmula'!B50,39))+'Fórmula'!E50*(INDEX(properties!A$1:CB$87,'Fórmula'!D50,39))+'Fórmula'!G50*(INDEX(properties!A$1:CB$87,'Fórmula'!F50,39))+'Fórmula'!I50*(INDEX(properties!A$1:CB$87,'Fórmula'!H50,39))+'Fórmula'!K50*(INDEX(properties!A$1:CB$87,'Fórmula'!J50,39))</f>
        <v>4.05</v>
      </c>
      <c r="DT50" s="109">
        <f t="array" ref="DT50">VARP(IF(INDEX(properties!A$1:CB$87,'Fórmula'!B50,39)&lt;&gt;"",INDEX(properties!A$1:CB$87,'Fórmula'!B50,39)),IF(INDEX(properties!A$1:CB$87,'Fórmula'!D50,39)&lt;&gt;"",INDEX(properties!A$1:CB$87,'Fórmula'!D50,39)),IF(INDEX(properties!A$1:CB$87,'Fórmula'!F50,39)&lt;&gt;"",INDEX(properties!A$1:CB$87,'Fórmula'!F50,39)),IF(INDEX(properties!A$1:CB$87,'Fórmula'!H50,39)&lt;&gt;"",INDEX(properties!A$1:CB$87,'Fórmula'!H50,39)),IF(INDEX(properties!A$1:CB$87,'Fórmula'!J50,39)&lt;&gt;"",INDEX(properties!A$1:CB$87,'Fórmula'!J50,39)))</f>
        <v>0.506656</v>
      </c>
      <c r="DU50" s="120">
        <f t="array" ref="DU50">MAX(INDEX(properties!A$1:CB$87,'Fórmula'!B50,39),INDEX(properties!A$1:CB$87,'Fórmula'!D50,39),INDEX(properties!A$1:CB$87,'Fórmula'!F50,39),INDEX(properties!A$1:CB$87,'Fórmula'!H50,39),INDEX(properties!A$1:CB$87,'Fórmula'!J50,39))</f>
        <v>1.94</v>
      </c>
      <c r="DV50" s="120">
        <f t="array" ref="DV50">MIN(IF(INDEX(properties!A$1:CB$87,'Fórmula'!B50,39)=0,10^6,INDEX(properties!A$1:CB$87,'Fórmula'!B50,39)),IF(INDEX(properties!A$1:CB$87,'Fórmula'!D50,39)=0,10^6,INDEX(properties!A$1:CB$87,'Fórmula'!D50,39)),IF(INDEX(properties!A$1:CB$87,'Fórmula'!F50,39)=0,10^6,INDEX(properties!A$1:CB$87,'Fórmula'!F50,39)),IF(INDEX(properties!A$1:CB$87,'Fórmula'!H50,39)=0,10^6,INDEX(properties!A$1:CB$87,'Fórmula'!H50,39)),IF(INDEX(properties!A$1:CB$87,'Fórmula'!J50,39)=0,10^6,INDEX(properties!A$1:CB$87,'Fórmula'!J50,39)))</f>
        <v>0.48</v>
      </c>
      <c r="DW50" s="109">
        <f t="shared" si="21"/>
        <v>1.46</v>
      </c>
      <c r="DX50" s="110">
        <f t="array" ref="DX50">(('Fórmula'!C50)/('Fórmula'!C50+'Fórmula'!E50+'Fórmula'!G50+'Fórmula'!I50+'Fórmula'!K50))*(INDEX(properties!A$1:CB$87,'Fórmula'!B50,40))+(('Fórmula'!E50)/('Fórmula'!C50+'Fórmula'!E50+'Fórmula'!G50+'Fórmula'!I50+'Fórmula'!K50))*(INDEX(properties!A$1:CB$87,'Fórmula'!D50,40))+(('Fórmula'!G50)/('Fórmula'!C50+'Fórmula'!E50+'Fórmula'!G50+'Fórmula'!I50+'Fórmula'!K50))*(INDEX(properties!A$1:CB$87,'Fórmula'!F50,40))+(('Fórmula'!I50)/('Fórmula'!C50+'Fórmula'!E50+'Fórmula'!G50+'Fórmula'!I50+'Fórmula'!K50))*(INDEX(properties!A$1:CB$87,'Fórmula'!H50,40))+(('Fórmula'!K50)/('Fórmula'!C50+'Fórmula'!E50+'Fórmula'!G50+'Fórmula'!I50+'Fórmula'!K50))*(INDEX(properties!A$1:CB$87,'Fórmula'!J50,40))</f>
        <v>0.94</v>
      </c>
      <c r="DY50" s="110">
        <f t="array" ref="DY50">'Fórmula'!C50*(INDEX(properties!A$1:CB$87,'Fórmula'!B50,40))+'Fórmula'!E50*(INDEX(properties!A$1:CB$87,'Fórmula'!D50,40))+'Fórmula'!G50*(INDEX(properties!A$1:CB$87,'Fórmula'!F50,40))+'Fórmula'!I50*(INDEX(properties!A$1:CB$87,'Fórmula'!H50,40))+'Fórmula'!K50*(INDEX(properties!A$1:CB$87,'Fórmula'!J50,40))</f>
        <v>4.7</v>
      </c>
      <c r="DZ50" s="110">
        <f t="array" ref="DZ50">VARP(IF(INDEX(properties!A$1:CB$87,'Fórmula'!B50,40)&lt;&gt;"",INDEX(properties!A$1:CB$87,'Fórmula'!B50,40)),IF(INDEX(properties!A$1:CB$87,'Fórmula'!D50,40)&lt;&gt;"",INDEX(properties!A$1:CB$87,'Fórmula'!D50,40)),IF(INDEX(properties!A$1:CB$87,'Fórmula'!F50,40)&lt;&gt;"",INDEX(properties!A$1:CB$87,'Fórmula'!F50,40)),IF(INDEX(properties!A$1:CB$87,'Fórmula'!H50,40)&lt;&gt;"",INDEX(properties!A$1:CB$87,'Fórmula'!H50,40)),IF(INDEX(properties!A$1:CB$87,'Fórmula'!J50,40)&lt;&gt;"",INDEX(properties!A$1:CB$87,'Fórmula'!J50,40)))</f>
        <v>0.410776</v>
      </c>
      <c r="EA50" s="121">
        <f t="array" ref="EA50">MAX(INDEX(properties!A$1:CB$87,'Fórmula'!B50,40),INDEX(properties!A$1:CB$87,'Fórmula'!D50,40),INDEX(properties!A$1:CB$87,'Fórmula'!F50,40),INDEX(properties!A$1:CB$87,'Fórmula'!H50,40),INDEX(properties!A$1:CB$87,'Fórmula'!J50,40))</f>
        <v>1.74</v>
      </c>
      <c r="EB50" s="121">
        <f t="array" ref="EB50">MIN(IF(INDEX(properties!A$1:CB$87,'Fórmula'!B50,40)=0,10^6,INDEX(properties!A$1:CB$87,'Fórmula'!B50,40)),IF(INDEX(properties!A$1:CB$87,'Fórmula'!D50,40)=0,10^6,INDEX(properties!A$1:CB$87,'Fórmula'!D50,40)),IF(INDEX(properties!A$1:CB$87,'Fórmula'!F50,40)=0,10^6,INDEX(properties!A$1:CB$87,'Fórmula'!F50,40)),IF(INDEX(properties!A$1:CB$87,'Fórmula'!H50,40)=0,10^6,INDEX(properties!A$1:CB$87,'Fórmula'!H50,40)),IF(INDEX(properties!A$1:CB$87,'Fórmula'!J50,40)=0,10^6,INDEX(properties!A$1:CB$87,'Fórmula'!J50,40)))</f>
        <v>0.73</v>
      </c>
      <c r="EC50" s="110">
        <f t="shared" si="22"/>
        <v>1.01</v>
      </c>
      <c r="ED50" s="111">
        <f t="array" ref="ED50">(('Fórmula'!C50)/('Fórmula'!C50+'Fórmula'!E50+'Fórmula'!G50+'Fórmula'!I50+'Fórmula'!K50))*(INDEX(properties!A$1:CB$87,'Fórmula'!B50,41))+(('Fórmula'!E50)/('Fórmula'!C50+'Fórmula'!E50+'Fórmula'!G50+'Fórmula'!I50+'Fórmula'!K50))*(INDEX(properties!A$1:CB$87,'Fórmula'!D50,41))+(('Fórmula'!G50)/('Fórmula'!C50+'Fórmula'!E50+'Fórmula'!G50+'Fórmula'!I50+'Fórmula'!K50))*(INDEX(properties!A$1:CB$87,'Fórmula'!F50,41))+(('Fórmula'!I50)/('Fórmula'!C50+'Fórmula'!E50+'Fórmula'!G50+'Fórmula'!I50+'Fórmula'!K50))*(INDEX(properties!A$1:CB$87,'Fórmula'!H50,41))+(('Fórmula'!K50)/('Fórmula'!C50+'Fórmula'!E50+'Fórmula'!G50+'Fórmula'!I50+'Fórmula'!K50))*(INDEX(properties!A$1:CB$87,'Fórmula'!J50,41))</f>
        <v>1.064</v>
      </c>
      <c r="EE50" s="111">
        <f t="array" ref="EE50">'Fórmula'!C50*(INDEX(properties!A$1:CB$87,'Fórmula'!B50,41))+'Fórmula'!E50*(INDEX(properties!A$1:CB$87,'Fórmula'!D50,41))+'Fórmula'!G50*(INDEX(properties!A$1:CB$87,'Fórmula'!F50,41))+'Fórmula'!I50*(INDEX(properties!A$1:CB$87,'Fórmula'!H50,41))+'Fórmula'!K50*(INDEX(properties!A$1:CB$87,'Fórmula'!J50,41))</f>
        <v>5.32</v>
      </c>
      <c r="EF50" s="111">
        <f t="array" ref="EF50">VARP(IF(INDEX(properties!A$1:CB$87,'Fórmula'!B50,41)&lt;&gt;"",INDEX(properties!A$1:CB$87,'Fórmula'!B50,41)),IF(INDEX(properties!A$1:CB$87,'Fórmula'!D50,41)&lt;&gt;"",INDEX(properties!A$1:CB$87,'Fórmula'!D50,41)),IF(INDEX(properties!A$1:CB$87,'Fórmula'!F50,41)&lt;&gt;"",INDEX(properties!A$1:CB$87,'Fórmula'!F50,41)),IF(INDEX(properties!A$1:CB$87,'Fórmula'!H50,41)&lt;&gt;"",INDEX(properties!A$1:CB$87,'Fórmula'!H50,41)),IF(INDEX(properties!A$1:CB$87,'Fórmula'!J50,41)&lt;&gt;"",INDEX(properties!A$1:CB$87,'Fórmula'!J50,41)))</f>
        <v>0.29584</v>
      </c>
      <c r="EG50" s="122">
        <f t="array" ref="EG50">MAX(INDEX(properties!A$1:CB$87,'Fórmula'!B50,41),INDEX(properties!A$1:CB$87,'Fórmula'!D50,41),INDEX(properties!A$1:CB$87,'Fórmula'!F50,41),INDEX(properties!A$1:CB$87,'Fórmula'!H50,41),INDEX(properties!A$1:CB$87,'Fórmula'!J50,41))</f>
        <v>1.26</v>
      </c>
      <c r="EH50" s="122">
        <f t="array" ref="EH50">MIN(IF(INDEX(properties!A$1:CB$87,'Fórmula'!B50,41)=0,10^6,INDEX(properties!A$1:CB$87,'Fórmula'!B50,41)),IF(INDEX(properties!A$1:CB$87,'Fórmula'!D50,41)=0,10^6,INDEX(properties!A$1:CB$87,'Fórmula'!D50,41)),IF(INDEX(properties!A$1:CB$87,'Fórmula'!F50,41)=0,10^6,INDEX(properties!A$1:CB$87,'Fórmula'!F50,41)),IF(INDEX(properties!A$1:CB$87,'Fórmula'!H50,41)=0,10^6,INDEX(properties!A$1:CB$87,'Fórmula'!H50,41)),IF(INDEX(properties!A$1:CB$87,'Fórmula'!J50,41)=0,10^6,INDEX(properties!A$1:CB$87,'Fórmula'!J50,41)))</f>
        <v>0.4</v>
      </c>
      <c r="EI50" s="111">
        <f t="shared" si="23"/>
        <v>0.86</v>
      </c>
      <c r="EJ50" s="112">
        <f t="array" ref="EJ50">(('Fórmula'!C50)/('Fórmula'!C50+'Fórmula'!E50+'Fórmula'!G50+'Fórmula'!I50+'Fórmula'!K50))*(INDEX(properties!A$1:CB$87,'Fórmula'!B50,45))+(('Fórmula'!E50)/('Fórmula'!C50+'Fórmula'!E50+'Fórmula'!G50+'Fórmula'!I50+'Fórmula'!K50))*(INDEX(properties!A$1:CB$87,'Fórmula'!D50,45))+(('Fórmula'!G50)/('Fórmula'!C50+'Fórmula'!E50+'Fórmula'!G50+'Fórmula'!I50+'Fórmula'!K50))*(INDEX(properties!A$1:CB$87,'Fórmula'!F50,45))+(('Fórmula'!I50)/('Fórmula'!C50+'Fórmula'!E50+'Fórmula'!G50+'Fórmula'!I50+'Fórmula'!K50))*(INDEX(properties!A$1:CB$87,'Fórmula'!H50,45))+(('Fórmula'!K50)/('Fórmula'!C50+'Fórmula'!E50+'Fórmula'!G50+'Fórmula'!I50+'Fórmula'!K50))*(INDEX(properties!A$1:CB$87,'Fórmula'!J50,45))</f>
        <v>1.01</v>
      </c>
      <c r="EK50" s="112">
        <f t="array" ref="EK50">'Fórmula'!C50*(INDEX(properties!A$1:CB$87,'Fórmula'!B50,45))+'Fórmula'!E50*(INDEX(properties!A$1:CB$87,'Fórmula'!D50,45))+'Fórmula'!G50*(INDEX(properties!A$1:CB$87,'Fórmula'!F50,45))+'Fórmula'!I50*(INDEX(properties!A$1:CB$87,'Fórmula'!H50,45))+'Fórmula'!K50*(INDEX(properties!A$1:CB$87,'Fórmula'!J50,45))</f>
        <v>5.05</v>
      </c>
      <c r="EL50" s="112">
        <f t="array" ref="EL50">VARP(IF(INDEX(properties!A$1:CB$87,'Fórmula'!B50,45)&lt;&gt;"",INDEX(properties!A$1:CB$87,'Fórmula'!B50,45)),IF(INDEX(properties!A$1:CB$87,'Fórmula'!D50,45)&lt;&gt;"",INDEX(properties!A$1:CB$87,'Fórmula'!D50,45)),IF(INDEX(properties!A$1:CB$87,'Fórmula'!F50,45)&lt;&gt;"",INDEX(properties!A$1:CB$87,'Fórmula'!F50,45)),IF(INDEX(properties!A$1:CB$87,'Fórmula'!H50,45)&lt;&gt;"",INDEX(properties!A$1:CB$87,'Fórmula'!H50,45)),IF(INDEX(properties!A$1:CB$87,'Fórmula'!J50,45)&lt;&gt;"",INDEX(properties!A$1:CB$87,'Fórmula'!J50,45)))</f>
        <v>1.250416</v>
      </c>
      <c r="EM50" s="123">
        <f t="array" ref="EM50">MAX(INDEX(properties!A$1:CB$87,'Fórmula'!B50,45),INDEX(properties!A$1:CB$87,'Fórmula'!D50,45),INDEX(properties!A$1:CB$87,'Fórmula'!F50,45),INDEX(properties!A$1:CB$87,'Fórmula'!H50,45),INDEX(properties!A$1:CB$87,'Fórmula'!J50,45))</f>
        <v>3</v>
      </c>
      <c r="EN50" s="123">
        <f t="array" ref="EN50">MIN(IF(INDEX(properties!A$1:CB$87,'Fórmula'!B50,45)=0,10^6,INDEX(properties!A$1:CB$87,'Fórmula'!B50,45)),IF(INDEX(properties!A$1:CB$87,'Fórmula'!D50,45)=0,10^6,INDEX(properties!A$1:CB$87,'Fórmula'!D50,45)),IF(INDEX(properties!A$1:CB$87,'Fórmula'!F50,45)=0,10^6,INDEX(properties!A$1:CB$87,'Fórmula'!F50,45)),IF(INDEX(properties!A$1:CB$87,'Fórmula'!H50,45)=0,10^6,INDEX(properties!A$1:CB$87,'Fórmula'!H50,45)),IF(INDEX(properties!A$1:CB$87,'Fórmula'!J50,45)=0,10^6,INDEX(properties!A$1:CB$87,'Fórmula'!J50,45)))</f>
        <v>0.47</v>
      </c>
      <c r="EO50" s="112">
        <f t="shared" si="24"/>
        <v>2.53</v>
      </c>
      <c r="EP50" s="113">
        <f t="array" ref="EP50">(('Fórmula'!C50)/('Fórmula'!C50+'Fórmula'!E50+'Fórmula'!G50+'Fórmula'!I50+'Fórmula'!K50))*(INDEX(properties!A$1:CB$87,'Fórmula'!B50,46))+(('Fórmula'!E50)/('Fórmula'!C50+'Fórmula'!E50+'Fórmula'!G50+'Fórmula'!I50+'Fórmula'!K50))*(INDEX(properties!A$1:CB$87,'Fórmula'!D50,46))+(('Fórmula'!G50)/('Fórmula'!C50+'Fórmula'!E50+'Fórmula'!G50+'Fórmula'!I50+'Fórmula'!K50))*(INDEX(properties!A$1:CB$87,'Fórmula'!F50,46))+(('Fórmula'!I50)/('Fórmula'!C50+'Fórmula'!E50+'Fórmula'!G50+'Fórmula'!I50+'Fórmula'!K50))*(INDEX(properties!A$1:CB$87,'Fórmula'!H50,46))+(('Fórmula'!K50)/('Fórmula'!C50+'Fórmula'!E50+'Fórmula'!G50+'Fórmula'!I50+'Fórmula'!K50))*(INDEX(properties!A$1:CB$87,'Fórmula'!J50,46))</f>
        <v>1.012</v>
      </c>
      <c r="EQ50" s="113">
        <f t="array" ref="EQ50">'Fórmula'!C50*(INDEX(properties!A$1:CB$87,'Fórmula'!B50,46))+'Fórmula'!E50*(INDEX(properties!A$1:CB$87,'Fórmula'!D50,46))+'Fórmula'!G50*(INDEX(properties!A$1:CB$87,'Fórmula'!F50,46))+'Fórmula'!I50*(INDEX(properties!A$1:CB$87,'Fórmula'!H50,46))+'Fórmula'!K50*(INDEX(properties!A$1:CB$87,'Fórmula'!J50,46))</f>
        <v>5.06</v>
      </c>
      <c r="ER50" s="113">
        <f t="array" ref="ER50">VARP(IF(INDEX(properties!A$1:CB$87,'Fórmula'!B50,46)&lt;&gt;"",INDEX(properties!A$1:CB$87,'Fórmula'!B50,46)),IF(INDEX(properties!A$1:CB$87,'Fórmula'!D50,46)&lt;&gt;"",INDEX(properties!A$1:CB$87,'Fórmula'!D50,46)),IF(INDEX(properties!A$1:CB$87,'Fórmula'!F50,46)&lt;&gt;"",INDEX(properties!A$1:CB$87,'Fórmula'!F50,46)),IF(INDEX(properties!A$1:CB$87,'Fórmula'!H50,46)&lt;&gt;"",INDEX(properties!A$1:CB$87,'Fórmula'!H50,46)),IF(INDEX(properties!A$1:CB$87,'Fórmula'!J50,46)&lt;&gt;"",INDEX(properties!A$1:CB$87,'Fórmula'!J50,46)))</f>
        <v>0.290776</v>
      </c>
      <c r="ES50" s="124">
        <f t="array" ref="ES50">MAX(INDEX(properties!A$1:CB$87,'Fórmula'!B50,46),INDEX(properties!A$1:CB$87,'Fórmula'!D50,46),INDEX(properties!A$1:CB$87,'Fórmula'!F50,46),INDEX(properties!A$1:CB$87,'Fórmula'!H50,46),INDEX(properties!A$1:CB$87,'Fórmula'!J50,46))</f>
        <v>1.21</v>
      </c>
      <c r="ET50" s="124">
        <f t="array" ref="ET50">MIN(IF(INDEX(properties!A$1:CB$87,'Fórmula'!B50,46)=0,10^6,INDEX(properties!A$1:CB$87,'Fórmula'!B50,46)),IF(INDEX(properties!A$1:CB$87,'Fórmula'!D50,46)=0,10^6,INDEX(properties!A$1:CB$87,'Fórmula'!D50,46)),IF(INDEX(properties!A$1:CB$87,'Fórmula'!F50,46)=0,10^6,INDEX(properties!A$1:CB$87,'Fórmula'!F50,46)),IF(INDEX(properties!A$1:CB$87,'Fórmula'!H50,46)=0,10^6,INDEX(properties!A$1:CB$87,'Fórmula'!H50,46)),IF(INDEX(properties!A$1:CB$87,'Fórmula'!J50,46)=0,10^6,INDEX(properties!A$1:CB$87,'Fórmula'!J50,46)))</f>
        <v>0.29</v>
      </c>
      <c r="EU50" s="113">
        <f t="shared" si="25"/>
        <v>0.92</v>
      </c>
      <c r="EV50" s="114">
        <f t="array" ref="EV50">(('Fórmula'!C50)/('Fórmula'!C50+'Fórmula'!E50+'Fórmula'!G50+'Fórmula'!I50+'Fórmula'!K50))*(INDEX(properties!A$1:CB$87,'Fórmula'!B50,52))+(('Fórmula'!E50)/('Fórmula'!C50+'Fórmula'!E50+'Fórmula'!G50+'Fórmula'!I50+'Fórmula'!K50))*(INDEX(properties!A$1:CB$87,'Fórmula'!D50,52))+(('Fórmula'!G50)/('Fórmula'!C50+'Fórmula'!E50+'Fórmula'!G50+'Fórmula'!I50+'Fórmula'!K50))*(INDEX(properties!A$1:CB$87,'Fórmula'!F50,52))+(('Fórmula'!I50)/('Fórmula'!C50+'Fórmula'!E50+'Fórmula'!G50+'Fórmula'!I50+'Fórmula'!K50))*(INDEX(properties!A$1:CB$87,'Fórmula'!H50,52))+(('Fórmula'!K50)/('Fórmula'!C50+'Fórmula'!E50+'Fórmula'!G50+'Fórmula'!I50+'Fórmula'!K50))*(INDEX(properties!A$1:CB$87,'Fórmula'!J50,52))</f>
        <v>5.3958</v>
      </c>
      <c r="EW50" s="114">
        <f t="array" ref="EW50">'Fórmula'!C50*(INDEX(properties!A$1:CB$87,'Fórmula'!B50,52))+'Fórmula'!E50*(INDEX(properties!A$1:CB$87,'Fórmula'!D50,52))+'Fórmula'!G50*(INDEX(properties!A$1:CB$87,'Fórmula'!F50,52))+'Fórmula'!I50*(INDEX(properties!A$1:CB$87,'Fórmula'!H50,52))+'Fórmula'!K50*(INDEX(properties!A$1:CB$87,'Fórmula'!J50,52))</f>
        <v>26.979</v>
      </c>
      <c r="EX50" s="114">
        <f t="array" ref="EX50">VARP(IF(INDEX(properties!A$1:CB$87,'Fórmula'!B50,52)&lt;&gt;"",INDEX(properties!A$1:CB$87,'Fórmula'!B50,52)),IF(INDEX(properties!A$1:CB$87,'Fórmula'!D50,52)&lt;&gt;"",INDEX(properties!A$1:CB$87,'Fórmula'!D50,52)),IF(INDEX(properties!A$1:CB$87,'Fórmula'!F50,52)&lt;&gt;"",INDEX(properties!A$1:CB$87,'Fórmula'!F50,52)),IF(INDEX(properties!A$1:CB$87,'Fórmula'!H50,52)&lt;&gt;"",INDEX(properties!A$1:CB$87,'Fórmula'!H50,52)),IF(INDEX(properties!A$1:CB$87,'Fórmula'!J50,52)&lt;&gt;"",INDEX(properties!A$1:CB$87,'Fórmula'!J50,52)))</f>
        <v>78.94959184</v>
      </c>
      <c r="EY50" s="114">
        <f t="array" ref="EY50">MAX(INDEX(properties!A$1:CB$87,'Fórmula'!B50,52),INDEX(properties!A$1:CB$87,'Fórmula'!D50,52),INDEX(properties!A$1:CB$87,'Fórmula'!F50,52),INDEX(properties!A$1:CB$87,'Fórmula'!H50,52),INDEX(properties!A$1:CB$87,'Fórmula'!J50,52))</f>
        <v>22.8</v>
      </c>
      <c r="EZ50" s="114">
        <f t="array" ref="EZ50">MIN(IF(INDEX(properties!A$1:CB$87,'Fórmula'!B50,52)=0,10^6,INDEX(properties!A$1:CB$87,'Fórmula'!B50,52)),IF(INDEX(properties!A$1:CB$87,'Fórmula'!D50,52)=0,10^6,INDEX(properties!A$1:CB$87,'Fórmula'!D50,52)),IF(INDEX(properties!A$1:CB$87,'Fórmula'!F50,52)=0,10^6,INDEX(properties!A$1:CB$87,'Fórmula'!F50,52)),IF(INDEX(properties!A$1:CB$87,'Fórmula'!H50,52)=0,10^6,INDEX(properties!A$1:CB$87,'Fórmula'!H50,52)),IF(INDEX(properties!A$1:CB$87,'Fórmula'!J50,52)=0,10^6,INDEX(properties!A$1:CB$87,'Fórmula'!J50,52)))</f>
        <v>0.793</v>
      </c>
      <c r="FA50" s="114">
        <f t="shared" si="26"/>
        <v>22.007</v>
      </c>
      <c r="FB50" s="115">
        <f t="array" ref="FB50">(('Fórmula'!C50)/('Fórmula'!C50+'Fórmula'!E50+'Fórmula'!G50+'Fórmula'!I50+'Fórmula'!K50))*(INDEX(properties!A$1:CB$87,'Fórmula'!B50,53))+(('Fórmula'!E50)/('Fórmula'!C50+'Fórmula'!E50+'Fórmula'!G50+'Fórmula'!I50+'Fórmula'!K50))*(INDEX(properties!A$1:CB$87,'Fórmula'!D50,53))+(('Fórmula'!G50)/('Fórmula'!C50+'Fórmula'!E50+'Fórmula'!G50+'Fórmula'!I50+'Fórmula'!K50))*(INDEX(properties!A$1:CB$87,'Fórmula'!F50,53))+(('Fórmula'!I50)/('Fórmula'!C50+'Fórmula'!E50+'Fórmula'!G50+'Fórmula'!I50+'Fórmula'!K50))*(INDEX(properties!A$1:CB$87,'Fórmula'!H50,53))+(('Fórmula'!K50)/('Fórmula'!C50+'Fórmula'!E50+'Fórmula'!G50+'Fórmula'!I50+'Fórmula'!K50))*(INDEX(properties!A$1:CB$87,'Fórmula'!J50,53))</f>
        <v>983.31</v>
      </c>
      <c r="FC50" s="115">
        <f t="array" ref="FC50">'Fórmula'!C50*(INDEX(properties!A$1:CB$87,'Fórmula'!B50,53))+'Fórmula'!E50*(INDEX(properties!A$1:CB$87,'Fórmula'!D50,53))+'Fórmula'!G50*(INDEX(properties!A$1:CB$87,'Fórmula'!F50,53))+'Fórmula'!I50*(INDEX(properties!A$1:CB$87,'Fórmula'!H50,53))+'Fórmula'!K50*(INDEX(properties!A$1:CB$87,'Fórmula'!J50,53))</f>
        <v>4916.55</v>
      </c>
      <c r="FD50" s="115">
        <f t="array" ref="FD50">VARP(IF(INDEX(properties!A$1:CB$87,'Fórmula'!B50,53)&lt;&gt;"",INDEX(properties!A$1:CB$87,'Fórmula'!B50,53)),IF(INDEX(properties!A$1:CB$87,'Fórmula'!D50,53)&lt;&gt;"",INDEX(properties!A$1:CB$87,'Fórmula'!D50,53)),IF(INDEX(properties!A$1:CB$87,'Fórmula'!F50,53)&lt;&gt;"",INDEX(properties!A$1:CB$87,'Fórmula'!F50,53)),IF(INDEX(properties!A$1:CB$87,'Fórmula'!H50,53)&lt;&gt;"",INDEX(properties!A$1:CB$87,'Fórmula'!H50,53)),IF(INDEX(properties!A$1:CB$87,'Fórmula'!J50,53)&lt;&gt;"",INDEX(properties!A$1:CB$87,'Fórmula'!J50,53)))</f>
        <v>1973804.253</v>
      </c>
      <c r="FE50" s="115">
        <f t="array" ref="FE50">MAX(INDEX(properties!A$1:CB$87,'Fórmula'!B50,53),INDEX(properties!A$1:CB$87,'Fórmula'!D50,53),INDEX(properties!A$1:CB$87,'Fórmula'!F50,53),INDEX(properties!A$1:CB$87,'Fórmula'!H50,53),INDEX(properties!A$1:CB$87,'Fórmula'!J50,53))</f>
        <v>3640.15</v>
      </c>
      <c r="FF50" s="115">
        <f t="array" ref="FF50">MIN(IF(INDEX(properties!A$1:CB$87,'Fórmula'!B50,53)=0,10^6,INDEX(properties!A$1:CB$87,'Fórmula'!B50,53)),IF(INDEX(properties!A$1:CB$87,'Fórmula'!D50,53)=0,10^6,INDEX(properties!A$1:CB$87,'Fórmula'!D50,53)),IF(INDEX(properties!A$1:CB$87,'Fórmula'!F50,53)=0,10^6,INDEX(properties!A$1:CB$87,'Fórmula'!F50,53)),IF(INDEX(properties!A$1:CB$87,'Fórmula'!H50,53)=0,10^6,INDEX(properties!A$1:CB$87,'Fórmula'!H50,53)),IF(INDEX(properties!A$1:CB$87,'Fórmula'!J50,53)=0,10^6,INDEX(properties!A$1:CB$87,'Fórmula'!J50,53)))</f>
        <v>54.75</v>
      </c>
      <c r="FG50" s="115">
        <f t="shared" si="27"/>
        <v>3585.4</v>
      </c>
      <c r="FH50" s="117">
        <f t="array" ref="FH50">(('Fórmula'!C50)/('Fórmula'!C50+'Fórmula'!E50+'Fórmula'!G50+'Fórmula'!I50+'Fórmula'!K50))*(INDEX(properties!A$1:CB$87,'Fórmula'!B50,54))+(('Fórmula'!E50)/('Fórmula'!C50+'Fórmula'!E50+'Fórmula'!G50+'Fórmula'!I50+'Fórmula'!K50))*(INDEX(properties!A$1:CB$87,'Fórmula'!D50,54))+(('Fórmula'!G50)/('Fórmula'!C50+'Fórmula'!E50+'Fórmula'!G50+'Fórmula'!I50+'Fórmula'!K50))*(INDEX(properties!A$1:CB$87,'Fórmula'!F50,54))+(('Fórmula'!I50)/('Fórmula'!C50+'Fórmula'!E50+'Fórmula'!G50+'Fórmula'!I50+'Fórmula'!K50))*(INDEX(properties!A$1:CB$87,'Fórmula'!H50,54))+(('Fórmula'!K50)/('Fórmula'!C50+'Fórmula'!E50+'Fórmula'!G50+'Fórmula'!I50+'Fórmula'!K50))*(INDEX(properties!A$1:CB$87,'Fórmula'!J50,54))</f>
        <v>1425.55</v>
      </c>
      <c r="FI50" s="117">
        <f t="array" ref="FI50">'Fórmula'!C50*(INDEX(properties!A$1:CB$87,'Fórmula'!B50,54))+'Fórmula'!E50*(INDEX(properties!A$1:CB$87,'Fórmula'!D50,54))+'Fórmula'!G50*(INDEX(properties!A$1:CB$87,'Fórmula'!F50,54))+'Fórmula'!I50*(INDEX(properties!A$1:CB$87,'Fórmula'!H50,54))+'Fórmula'!K50*(INDEX(properties!A$1:CB$87,'Fórmula'!J50,54))</f>
        <v>7127.75</v>
      </c>
      <c r="FJ50" s="117">
        <f t="array" ref="FJ50">VARP(IF(INDEX(properties!A$1:CB$87,'Fórmula'!B50,54)&lt;&gt;"",INDEX(properties!A$1:CB$87,'Fórmula'!B50,54)),IF(INDEX(properties!A$1:CB$87,'Fórmula'!D50,54)&lt;&gt;"",INDEX(properties!A$1:CB$87,'Fórmula'!D50,54)),IF(INDEX(properties!A$1:CB$87,'Fórmula'!F50,54)&lt;&gt;"",INDEX(properties!A$1:CB$87,'Fórmula'!F50,54)),IF(INDEX(properties!A$1:CB$87,'Fórmula'!H50,54)&lt;&gt;"",INDEX(properties!A$1:CB$87,'Fórmula'!H50,54)),IF(INDEX(properties!A$1:CB$87,'Fórmula'!J50,54)&lt;&gt;"",INDEX(properties!A$1:CB$87,'Fórmula'!J50,54)))</f>
        <v>3890764.173</v>
      </c>
      <c r="FK50" s="117">
        <f t="array" ref="FK50">MAX(INDEX(properties!A$1:CB$87,'Fórmula'!B50,54),INDEX(properties!A$1:CB$87,'Fórmula'!D50,54),INDEX(properties!A$1:CB$87,'Fórmula'!F50,54),INDEX(properties!A$1:CB$87,'Fórmula'!H50,54),INDEX(properties!A$1:CB$87,'Fórmula'!J50,54))</f>
        <v>5100.15</v>
      </c>
      <c r="FL50" s="117">
        <f t="array" ref="FL50">MIN(IF(INDEX(properties!A$1:CB$87,'Fórmula'!B50,54)=0,10^6,INDEX(properties!A$1:CB$87,'Fórmula'!B50,54)),IF(INDEX(properties!A$1:CB$87,'Fórmula'!D50,54)=0,10^6,INDEX(properties!A$1:CB$87,'Fórmula'!D50,54)),IF(INDEX(properties!A$1:CB$87,'Fórmula'!F50,54)=0,10^6,INDEX(properties!A$1:CB$87,'Fórmula'!F50,54)),IF(INDEX(properties!A$1:CB$87,'Fórmula'!H50,54)=0,10^6,INDEX(properties!A$1:CB$87,'Fórmula'!H50,54)),IF(INDEX(properties!A$1:CB$87,'Fórmula'!J50,54)=0,10^6,INDEX(properties!A$1:CB$87,'Fórmula'!J50,54)))</f>
        <v>90.15</v>
      </c>
      <c r="FM50" s="117">
        <f t="shared" si="28"/>
        <v>5010</v>
      </c>
      <c r="FN50" s="118">
        <f t="array" ref="FN50">(('Fórmula'!C50)/('Fórmula'!C50+'Fórmula'!E50+'Fórmula'!G50+'Fórmula'!I50+'Fórmula'!K50))*(INDEX(properties!A$1:CB$87,'Fórmula'!B50,55))+(('Fórmula'!E50)/('Fórmula'!C50+'Fórmula'!E50+'Fórmula'!G50+'Fórmula'!I50+'Fórmula'!K50))*(INDEX(properties!A$1:CB$87,'Fórmula'!D50,55))+(('Fórmula'!G50)/('Fórmula'!C50+'Fórmula'!E50+'Fórmula'!G50+'Fórmula'!I50+'Fórmula'!K50))*(INDEX(properties!A$1:CB$87,'Fórmula'!F50,55))+(('Fórmula'!I50)/('Fórmula'!C50+'Fórmula'!E50+'Fórmula'!G50+'Fórmula'!I50+'Fórmula'!K50))*(INDEX(properties!A$1:CB$87,'Fórmula'!H50,55))+(('Fórmula'!K50)/('Fórmula'!C50+'Fórmula'!E50+'Fórmula'!G50+'Fórmula'!I50+'Fórmula'!K50))*(INDEX(properties!A$1:CB$87,'Fórmula'!J50,55))</f>
        <v>0.760858</v>
      </c>
      <c r="FO50" s="118">
        <f t="array" ref="FO50">'Fórmula'!C50*(INDEX(properties!A$1:CB$87,'Fórmula'!B50,55))+'Fórmula'!E50*(INDEX(properties!A$1:CB$87,'Fórmula'!D50,54))+'Fórmula'!G50*(INDEX(properties!A$1:CB$87,'Fórmula'!F50,55))+'Fórmula'!I50*(INDEX(properties!A$1:CB$87,'Fórmula'!H50,55))+'Fórmula'!K50*(INDEX(properties!A$1:CB$87,'Fórmula'!J50,55))</f>
        <v>5101.70429</v>
      </c>
      <c r="FP50" s="118">
        <f t="array" ref="FP50">VARP(IF(INDEX(properties!A$1:CB$87,'Fórmula'!B50,55)&lt;&gt;"",INDEX(properties!A$1:CB$87,'Fórmula'!B50,55)),IF(INDEX(properties!A$1:CB$87,'Fórmula'!D50,55)&lt;&gt;"",INDEX(properties!A$1:CB$87,'Fórmula'!D50,55)),IF(INDEX(properties!A$1:CB$87,'Fórmula'!F50,55)&lt;&gt;"",INDEX(properties!A$1:CB$87,'Fórmula'!F50,55)),IF(INDEX(properties!A$1:CB$87,'Fórmula'!H50,55)&lt;&gt;"",INDEX(properties!A$1:CB$87,'Fórmula'!H50,55)),IF(INDEX(properties!A$1:CB$87,'Fórmula'!J50,55)&lt;&gt;"",INDEX(properties!A$1:CB$87,'Fórmula'!J50,55)))</f>
        <v>0.9149656072</v>
      </c>
      <c r="FQ50" s="118">
        <f t="array" ref="FQ50">MAX(INDEX(properties!A$1:CB$87,'Fórmula'!B50,55),INDEX(properties!A$1:CB$87,'Fórmula'!D50,55),INDEX(properties!A$1:CB$87,'Fórmula'!F50,55),INDEX(properties!A$1:CB$87,'Fórmula'!H50,55),INDEX(properties!A$1:CB$87,'Fórmula'!J50,55))</f>
        <v>2.25</v>
      </c>
      <c r="FR50" s="118">
        <f t="array" ref="FR50">MIN(IF(INDEX(properties!A$1:CB$87,'Fórmula'!B50,55)=0,10^6,INDEX(properties!A$1:CB$87,'Fórmula'!B50,55)),IF(INDEX(properties!A$1:CB$87,'Fórmula'!D50,55)=0,10^6,INDEX(properties!A$1:CB$87,'Fórmula'!D50,55)),IF(INDEX(properties!A$1:CB$87,'Fórmula'!F50,55)=0,10^6,INDEX(properties!A$1:CB$87,'Fórmula'!F50,55)),IF(INDEX(properties!A$1:CB$87,'Fórmula'!H50,55)=0,10^6,INDEX(properties!A$1:CB$87,'Fórmula'!H50,55)),IF(INDEX(properties!A$1:CB$87,'Fórmula'!J50,55)=0,10^6,INDEX(properties!A$1:CB$87,'Fórmula'!J50,55)))</f>
        <v>0.00143</v>
      </c>
      <c r="FS50" s="118">
        <f t="shared" si="29"/>
        <v>2.24857</v>
      </c>
      <c r="FT50" s="119">
        <f t="array" ref="FT50">(('Fórmula'!C50)/('Fórmula'!C50+'Fórmula'!E50+'Fórmula'!G50+'Fórmula'!I50+'Fórmula'!K50))*(INDEX(properties!A$1:CB$87,'Fórmula'!B50,56))+(('Fórmula'!E50)/('Fórmula'!C50+'Fórmula'!E50+'Fórmula'!G50+'Fórmula'!I50+'Fórmula'!K50))*(INDEX(properties!A$1:CB$87,'Fórmula'!D50,56))+(('Fórmula'!G50)/('Fórmula'!C50+'Fórmula'!E50+'Fórmula'!G50+'Fórmula'!I50+'Fórmula'!K50))*(INDEX(properties!A$1:CB$87,'Fórmula'!F50,56))+(('Fórmula'!I50)/('Fórmula'!C50+'Fórmula'!E50+'Fórmula'!G50+'Fórmula'!I50+'Fórmula'!K50))*(INDEX(properties!A$1:CB$87,'Fórmula'!H50,56))+(('Fórmula'!K50)/('Fórmula'!C50+'Fórmula'!E50+'Fórmula'!G50+'Fórmula'!I50+'Fórmula'!K50))*(INDEX(properties!A$1:CB$87,'Fórmula'!J50,56))</f>
        <v>0.82</v>
      </c>
      <c r="FU50" s="119">
        <f t="array" ref="FU50">'Fórmula'!C50*(INDEX(properties!A$1:CB$87,'Fórmula'!B50,56))+'Fórmula'!E50*(INDEX(properties!A$1:CB$87,'Fórmula'!D50,56))+'Fórmula'!G50*(INDEX(properties!A$1:CB$87,'Fórmula'!F50,56))+'Fórmula'!I50*(INDEX(properties!A$1:CB$87,'Fórmula'!H50,56))+'Fórmula'!K50*(INDEX(properties!A$1:CB$87,'Fórmula'!J50,56))</f>
        <v>4.1</v>
      </c>
      <c r="FV50" s="119">
        <f t="array" ref="FV50">VARP(IF(INDEX(properties!A$1:CB$87,'Fórmula'!B50,56)&lt;&gt;"",INDEX(properties!A$1:CB$87,'Fórmula'!B50,56)),IF(INDEX(properties!A$1:CB$87,'Fórmula'!D50,56)&lt;&gt;"",INDEX(properties!A$1:CB$87,'Fórmula'!D50,56)),IF(INDEX(properties!A$1:CB$87,'Fórmula'!F50,56)&lt;&gt;"",INDEX(properties!A$1:CB$87,'Fórmula'!F50,56)),IF(INDEX(properties!A$1:CB$87,'Fórmula'!H50,56)&lt;&gt;"",INDEX(properties!A$1:CB$87,'Fórmula'!H50,56)),IF(INDEX(properties!A$1:CB$87,'Fórmula'!J50,56)&lt;&gt;"",INDEX(properties!A$1:CB$87,'Fórmula'!J50,56)))</f>
        <v>0.145176</v>
      </c>
      <c r="FW50" s="119">
        <f t="array" ref="FW50">MAX(INDEX(properties!A$1:CB$87,'Fórmula'!B50,56),INDEX(properties!A$1:CB$87,'Fórmula'!D50,56),INDEX(properties!A$1:CB$87,'Fórmula'!F50,56),INDEX(properties!A$1:CB$87,'Fórmula'!H50,56),INDEX(properties!A$1:CB$87,'Fórmula'!J50,56))</f>
        <v>0.92</v>
      </c>
      <c r="FX50" s="119">
        <f t="array" ref="FX50">MIN(IF(INDEX(properties!A$1:CB$87,'Fórmula'!B50,56)=0,10^6,INDEX(properties!A$1:CB$87,'Fórmula'!B50,56)),IF(INDEX(properties!A$1:CB$87,'Fórmula'!D50,56)=0,10^6,INDEX(properties!A$1:CB$87,'Fórmula'!D50,56)),IF(INDEX(properties!A$1:CB$87,'Fórmula'!F50,56)=0,10^6,INDEX(properties!A$1:CB$87,'Fórmula'!F50,56)),IF(INDEX(properties!A$1:CB$87,'Fórmula'!H50,56)=0,10^6,INDEX(properties!A$1:CB$87,'Fórmula'!H50,56)),IF(INDEX(properties!A$1:CB$87,'Fórmula'!J50,56)=0,10^6,INDEX(properties!A$1:CB$87,'Fórmula'!J50,56)))</f>
        <v>0.63</v>
      </c>
      <c r="FY50" s="119">
        <f t="shared" si="30"/>
        <v>0.29</v>
      </c>
      <c r="FZ50" s="104">
        <f t="array" ref="FZ50">(('Fórmula'!C50)/('Fórmula'!C50+'Fórmula'!E50+'Fórmula'!G50+'Fórmula'!I50+'Fórmula'!K50))*(INDEX(properties!A$1:CB$87,'Fórmula'!B50,57))+(('Fórmula'!E50)/('Fórmula'!C50+'Fórmula'!E50+'Fórmula'!G50+'Fórmula'!I50+'Fórmula'!K50))*(INDEX(properties!A$1:CB$87,'Fórmula'!D50,57))+(('Fórmula'!G50)/('Fórmula'!C50+'Fórmula'!E50+'Fórmula'!G50+'Fórmula'!I50+'Fórmula'!K50))*(INDEX(properties!A$1:CB$87,'Fórmula'!F50,57))+(('Fórmula'!I50)/('Fórmula'!C50+'Fórmula'!E50+'Fórmula'!G50+'Fórmula'!I50+'Fórmula'!K50))*(INDEX(properties!A$1:CB$87,'Fórmula'!H50,57))+(('Fórmula'!K50)/('Fórmula'!C50+'Fórmula'!E50+'Fórmula'!G50+'Fórmula'!I50+'Fórmula'!K50))*(INDEX(properties!A$1:CB$87,'Fórmula'!J50,57))</f>
        <v>22.841554</v>
      </c>
      <c r="GA50" s="104">
        <f t="array" ref="GA50">'Fórmula'!C50*(INDEX(properties!A$1:CB$87,'Fórmula'!B50,57))+'Fórmula'!E50*(INDEX(properties!A$1:CB$87,'Fórmula'!D50,57))+'Fórmula'!G50*(INDEX(properties!A$1:CB$87,'Fórmula'!F50,57))+'Fórmula'!I50*(INDEX(properties!A$1:CB$87,'Fórmula'!H50,57))+'Fórmula'!K50*(INDEX(properties!A$1:CB$87,'Fórmula'!J50,57))</f>
        <v>114.20777</v>
      </c>
      <c r="GB50" s="104">
        <f t="array" ref="GB50">VARP(IF(INDEX(properties!A$1:CB$87,'Fórmula'!B50,57)&lt;&gt;"",INDEX(properties!A$1:CB$87,'Fórmula'!B50,57)),IF(INDEX(properties!A$1:CB$87,'Fórmula'!D50,57)&lt;&gt;"",INDEX(properties!A$1:CB$87,'Fórmula'!D50,57)),IF(INDEX(properties!A$1:CB$87,'Fórmula'!F50,57)&lt;&gt;"",INDEX(properties!A$1:CB$87,'Fórmula'!F50,57)),IF(INDEX(properties!A$1:CB$87,'Fórmula'!H50,57)&lt;&gt;"",INDEX(properties!A$1:CB$87,'Fórmula'!H50,57)),IF(INDEX(properties!A$1:CB$87,'Fórmula'!J50,57)&lt;&gt;"",INDEX(properties!A$1:CB$87,'Fórmula'!J50,57)))</f>
        <v>1701.919154</v>
      </c>
      <c r="GC50" s="104">
        <f t="array" ref="GC50">MAX(INDEX(properties!A$1:CB$87,'Fórmula'!B50,57),INDEX(properties!A$1:CB$87,'Fórmula'!D50,57),INDEX(properties!A$1:CB$87,'Fórmula'!F50,57),INDEX(properties!A$1:CB$87,'Fórmula'!H50,57),INDEX(properties!A$1:CB$87,'Fórmula'!J50,57))</f>
        <v>105</v>
      </c>
      <c r="GD50" s="104">
        <f t="array" ref="GD50">MIN(IF(INDEX(properties!A$1:CB$87,'Fórmula'!B50,57)=0,10^6,INDEX(properties!A$1:CB$87,'Fórmula'!B50,57)),IF(INDEX(properties!A$1:CB$87,'Fórmula'!D50,57)=0,10^6,INDEX(properties!A$1:CB$87,'Fórmula'!D50,57)),IF(INDEX(properties!A$1:CB$87,'Fórmula'!F50,57)=0,10^6,INDEX(properties!A$1:CB$87,'Fórmula'!F50,57)),IF(INDEX(properties!A$1:CB$87,'Fórmula'!H50,57)=0,10^6,INDEX(properties!A$1:CB$87,'Fórmula'!H50,57)),IF(INDEX(properties!A$1:CB$87,'Fórmula'!J50,57)=0,10^6,INDEX(properties!A$1:CB$87,'Fórmula'!J50,57)))</f>
        <v>0.22259</v>
      </c>
      <c r="GE50" s="104">
        <f t="shared" si="31"/>
        <v>104.77741</v>
      </c>
      <c r="GF50" s="105">
        <f t="array" ref="GF50">(('Fórmula'!C50)/('Fórmula'!C50+'Fórmula'!E50+'Fórmula'!G50+'Fórmula'!I50+'Fórmula'!K50))*(INDEX(properties!A$1:CB$87,'Fórmula'!B50,60))+(('Fórmula'!E50)/('Fórmula'!C50+'Fórmula'!E50+'Fórmula'!G50+'Fórmula'!I50+'Fórmula'!K50))*(INDEX(properties!A$1:CB$87,'Fórmula'!D50,60))+(('Fórmula'!G50)/('Fórmula'!C50+'Fórmula'!E50+'Fórmula'!G50+'Fórmula'!I50+'Fórmula'!K50))*(INDEX(properties!A$1:CB$87,'Fórmula'!F50,60))+(('Fórmula'!I50)/('Fórmula'!C50+'Fórmula'!E50+'Fórmula'!G50+'Fórmula'!I50+'Fórmula'!K50))*(INDEX(properties!A$1:CB$87,'Fórmula'!H50,60))+(('Fórmula'!K50)/('Fórmula'!C50+'Fórmula'!E50+'Fórmula'!G50+'Fórmula'!I50+'Fórmula'!K50))*(INDEX(properties!A$1:CB$87,'Fórmula'!J50,60))</f>
        <v>65.816044</v>
      </c>
      <c r="GG50" s="105">
        <f t="array" ref="GG50">'Fórmula'!C50*(INDEX(properties!A$1:CB$87,'Fórmula'!B50,60))+'Fórmula'!E50*(INDEX(properties!A$1:CB$87,'Fórmula'!D50,60))+'Fórmula'!G50*(INDEX(properties!A$1:CB$87,'Fórmula'!F50,60))+'Fórmula'!I50*(INDEX(properties!A$1:CB$87,'Fórmula'!H50,60))+'Fórmula'!K50*(INDEX(properties!A$1:CB$87,'Fórmula'!J50,60))</f>
        <v>329.08022</v>
      </c>
      <c r="GH50" s="105">
        <f t="array" ref="GH50">VARP(IF(INDEX(properties!A$1:CB$87,'Fórmula'!B50,60)&lt;&gt;"",INDEX(properties!A$1:CB$87,'Fórmula'!B50,60)),IF(INDEX(properties!A$1:CB$87,'Fórmula'!D50,60)&lt;&gt;"",INDEX(properties!A$1:CB$87,'Fórmula'!D50,60)),IF(INDEX(properties!A$1:CB$87,'Fórmula'!F50,60)&lt;&gt;"",INDEX(properties!A$1:CB$87,'Fórmula'!F50,60)),IF(INDEX(properties!A$1:CB$87,'Fórmula'!H50,60)&lt;&gt;"",INDEX(properties!A$1:CB$87,'Fórmula'!H50,60)),IF(INDEX(properties!A$1:CB$87,'Fórmula'!J50,60)&lt;&gt;"",INDEX(properties!A$1:CB$87,'Fórmula'!J50,60)))</f>
        <v>6997.856318</v>
      </c>
      <c r="GI50" s="105">
        <f t="array" ref="GI50">MAX(INDEX(properties!A$1:CB$87,'Fórmula'!B50,60),INDEX(properties!A$1:CB$87,'Fórmula'!D50,60),INDEX(properties!A$1:CB$87,'Fórmula'!F50,60),INDEX(properties!A$1:CB$87,'Fórmula'!H50,60),INDEX(properties!A$1:CB$87,'Fórmula'!J50,60))</f>
        <v>200</v>
      </c>
      <c r="GJ50" s="105">
        <f t="array" ref="GJ50">MIN(IF(INDEX(properties!A$1:CB$87,'Fórmula'!B50,60)=0,10^6,INDEX(properties!A$1:CB$87,'Fórmula'!B50,60)),IF(INDEX(properties!A$1:CB$87,'Fórmula'!D50,60)=0,10^6,INDEX(properties!A$1:CB$87,'Fórmula'!D50,60)),IF(INDEX(properties!A$1:CB$87,'Fórmula'!F50,60)=0,10^6,INDEX(properties!A$1:CB$87,'Fórmula'!F50,60)),IF(INDEX(properties!A$1:CB$87,'Fórmula'!H50,60)=0,10^6,INDEX(properties!A$1:CB$87,'Fórmula'!H50,60)),IF(INDEX(properties!A$1:CB$87,'Fórmula'!J50,60)=0,10^6,INDEX(properties!A$1:CB$87,'Fórmula'!J50,60)))</f>
        <v>0.02674</v>
      </c>
      <c r="GK50" s="105">
        <f t="shared" si="32"/>
        <v>199.97326</v>
      </c>
      <c r="GL50" s="106">
        <f t="array" ref="GL50">(('Fórmula'!C50)/('Fórmula'!C50+'Fórmula'!E50+'Fórmula'!G50+'Fórmula'!I50+'Fórmula'!K50))*(INDEX(properties!A$1:CB$87,'Fórmula'!B50,62))+(('Fórmula'!E50)/('Fórmula'!C50+'Fórmula'!E50+'Fórmula'!G50+'Fórmula'!I50+'Fórmula'!K50))*(INDEX(properties!A$1:CB$87,'Fórmula'!D50,62))+(('Fórmula'!G50)/('Fórmula'!C50+'Fórmula'!E50+'Fórmula'!G50+'Fórmula'!I50+'Fórmula'!K50))*(INDEX(properties!A$1:CB$87,'Fórmula'!F50,62))+(('Fórmula'!I50)/('Fórmula'!C50+'Fórmula'!E50+'Fórmula'!G50+'Fórmula'!I50+'Fórmula'!K50))*(INDEX(properties!A$1:CB$87,'Fórmula'!H50,62))+(('Fórmula'!K50)/('Fórmula'!C50+'Fórmula'!E50+'Fórmula'!G50+'Fórmula'!I50+'Fórmula'!K50))*(INDEX(properties!A$1:CB$87,'Fórmula'!J50,62))</f>
        <v>3.414</v>
      </c>
      <c r="GM50" s="106">
        <f t="array" ref="GM50">'Fórmula'!C50*(INDEX(properties!A$1:CB$87,'Fórmula'!B50,62))+'Fórmula'!E50*(INDEX(properties!A$1:CB$87,'Fórmula'!D50,62))+'Fórmula'!G50*(INDEX(properties!A$1:CB$87,'Fórmula'!F50,62))+'Fórmula'!I50*(INDEX(properties!A$1:CB$87,'Fórmula'!H50,62))+'Fórmula'!K50*(INDEX(properties!A$1:CB$87,'Fórmula'!J50,62))</f>
        <v>17.07</v>
      </c>
      <c r="GN50" s="106">
        <f t="array" ref="GN50">VARP(IF(INDEX(properties!A$1:CB$87,'Fórmula'!B50,62)&lt;&gt;"",INDEX(properties!A$1:CB$87,'Fórmula'!B50,62)),IF(INDEX(properties!A$1:CB$87,'Fórmula'!D50,62)&lt;&gt;"",INDEX(properties!A$1:CB$87,'Fórmula'!D50,62)),IF(INDEX(properties!A$1:CB$87,'Fórmula'!F50,62)&lt;&gt;"",INDEX(properties!A$1:CB$87,'Fórmula'!F50,62)),IF(INDEX(properties!A$1:CB$87,'Fórmula'!H50,62)&lt;&gt;"",INDEX(properties!A$1:CB$87,'Fórmula'!H50,62)),IF(INDEX(properties!A$1:CB$87,'Fórmula'!J50,62)&lt;&gt;"",INDEX(properties!A$1:CB$87,'Fórmula'!J50,62)))</f>
        <v>7.315424</v>
      </c>
      <c r="GO50" s="106">
        <f t="array" ref="GO50">MAX(INDEX(properties!A$1:CB$87,'Fórmula'!B50,62),INDEX(properties!A$1:CB$87,'Fórmula'!D50,62),INDEX(properties!A$1:CB$87,'Fórmula'!F50,62),INDEX(properties!A$1:CB$87,'Fórmula'!H50,62),INDEX(properties!A$1:CB$87,'Fórmula'!J50,62))</f>
        <v>7.37</v>
      </c>
      <c r="GP50" s="106">
        <f t="array" ref="GP50">MIN(IF(INDEX(properties!A$1:CB$87,'Fórmula'!B50,62)=0,10^6,INDEX(properties!A$1:CB$87,'Fórmula'!B50,62)),IF(INDEX(properties!A$1:CB$87,'Fórmula'!D50,62)=0,10^6,INDEX(properties!A$1:CB$87,'Fórmula'!D50,62)),IF(INDEX(properties!A$1:CB$87,'Fórmula'!F50,62)=0,10^6,INDEX(properties!A$1:CB$87,'Fórmula'!F50,62)),IF(INDEX(properties!A$1:CB$87,'Fórmula'!H50,62)=0,10^6,INDEX(properties!A$1:CB$87,'Fórmula'!H50,62)),IF(INDEX(properties!A$1:CB$87,'Fórmula'!J50,62)=0,10^6,INDEX(properties!A$1:CB$87,'Fórmula'!J50,62)))</f>
        <v>1.84</v>
      </c>
      <c r="GQ50" s="106">
        <f t="shared" si="33"/>
        <v>5.53</v>
      </c>
      <c r="GR50" s="106">
        <f>'Fórmula'!Q50</f>
        <v>11</v>
      </c>
      <c r="GS50" s="107">
        <f>'Fórmula'!P50</f>
        <v>6</v>
      </c>
      <c r="GT50" s="113">
        <f>'Fórmula'!O50</f>
        <v>2.86</v>
      </c>
      <c r="GU50" s="114">
        <f>AVERAGE('Fórmula'!R50/'Fórmula'!S50,'Fórmula'!S50/'Fórmula'!T50,'Fórmula'!T50/'Fórmula'!R50)</f>
        <v>1.048566552</v>
      </c>
      <c r="GV50" s="125">
        <f>'Fórmula'!U50</f>
        <v>116.2</v>
      </c>
      <c r="GW50" s="106">
        <f>'Fórmula'!N50</f>
        <v>0.02</v>
      </c>
    </row>
    <row r="51" ht="14.25" customHeight="1">
      <c r="A51" s="99" t="str">
        <f>'Fórmula'!A51</f>
        <v>KBa2P5O15</v>
      </c>
      <c r="B51" s="101">
        <f t="array" ref="B51">(('Fórmula'!C51)/('Fórmula'!C51+'Fórmula'!E51+'Fórmula'!G51+'Fórmula'!I51+'Fórmula'!K51))*(INDEX(properties!A$1:CB$87,'Fórmula'!B51,3))+(('Fórmula'!E51)/('Fórmula'!C51+'Fórmula'!E51+'Fórmula'!G51+'Fórmula'!I51+'Fórmula'!K51))*(INDEX(properties!A$1:CB$87,'Fórmula'!D51,3))+(('Fórmula'!G51)/('Fórmula'!C51+'Fórmula'!E51+'Fórmula'!G51+'Fórmula'!I51+'Fórmula'!K51))*(INDEX(properties!A$1:CB$87,'Fórmula'!F51,3))+(('Fórmula'!I51)/('Fórmula'!C51+'Fórmula'!E51+'Fórmula'!G51+'Fórmula'!I51+'Fórmula'!K51))*(INDEX(properties!A$1:CB$87,'Fórmula'!H51,3))+(('Fórmula'!K51)/('Fórmula'!C51+'Fórmula'!E51+'Fórmula'!G51+'Fórmula'!I51+'Fórmula'!K51))*(INDEX(properties!A$1:CB$87,'Fórmula'!J51,3))</f>
        <v>30.80922217</v>
      </c>
      <c r="C51" s="101">
        <f t="array" ref="C51">'Fórmula'!C51*(INDEX(properties!A$1:CB$87,'Fórmula'!B51,3))+'Fórmula'!E51*(INDEX(properties!A$1:CB$87,'Fórmula'!D51,3))+'Fórmula'!G51*(INDEX(properties!A$1:CB$87,'Fórmula'!F51,3))+'Fórmula'!I51*(INDEX(properties!A$1:CB$87,'Fórmula'!H51,3))+'Fórmula'!K51*(INDEX(properties!A$1:CB$87,'Fórmula'!J51,3))</f>
        <v>708.61211</v>
      </c>
      <c r="D51" s="101">
        <f t="array" ref="D51">VARP(IF(INDEX(properties!A$1:CB$87,'Fórmula'!B51,3)&lt;&gt;"",INDEX(properties!A$1:CB$87,'Fórmula'!B51,3)),IF(INDEX(properties!A$1:CB$87,'Fórmula'!D51,3)&lt;&gt;"",INDEX(properties!A$1:CB$87,'Fórmula'!D51,3)),IF(INDEX(properties!A$1:CB$87,'Fórmula'!F51,3)&lt;&gt;"",INDEX(properties!A$1:CB$87,'Fórmula'!F51,3)),IF(INDEX(properties!A$1:CB$87,'Fórmula'!H51,3)&lt;&gt;"",INDEX(properties!A$1:CB$87,'Fórmula'!H51,3)),IF(INDEX(properties!A$1:CB$87,'Fórmula'!J51,3)&lt;&gt;"",INDEX(properties!A$1:CB$87,'Fórmula'!J51,3)))</f>
        <v>2324.272432</v>
      </c>
      <c r="E51" s="101">
        <f t="array" ref="E51">MAX(INDEX(properties!A$1:CB$87,'Fórmula'!B51,3),INDEX(properties!A$1:CB$87,'Fórmula'!D51,3),INDEX(properties!A$1:CB$87,'Fórmula'!F51,3),INDEX(properties!A$1:CB$87,'Fórmula'!H51,3),INDEX(properties!A$1:CB$87,'Fórmula'!J51,3))</f>
        <v>137.327</v>
      </c>
      <c r="F51" s="101">
        <f t="array" ref="F51">MIN(IF(INDEX(properties!A$1:CB$87,'Fórmula'!B51,3)=0,10^6,INDEX(properties!A$1:CB$87,'Fórmula'!B51,3)),IF(INDEX(properties!A$1:CB$87,'Fórmula'!D51,3)=0,10^6,INDEX(properties!A$1:CB$87,'Fórmula'!D51,3)),IF(INDEX(properties!A$1:CB$87,'Fórmula'!F51,3)=0,10^6,INDEX(properties!A$1:CB$87,'Fórmula'!F51,3)),IF(INDEX(properties!A$1:CB$87,'Fórmula'!H51,3)=0,10^6,INDEX(properties!A$1:CB$87,'Fórmula'!H51,3)),IF(INDEX(properties!A$1:CB$87,'Fórmula'!J51,3)=0,10^6,INDEX(properties!A$1:CB$87,'Fórmula'!J51,3)))</f>
        <v>15.9994</v>
      </c>
      <c r="G51" s="101">
        <f t="shared" si="1"/>
        <v>121.3276</v>
      </c>
      <c r="H51" s="102">
        <f t="array" ref="H51">(('Fórmula'!C51)/('Fórmula'!C51+'Fórmula'!E51+'Fórmula'!G51+'Fórmula'!I51+'Fórmula'!K51))*(INDEX(properties!A$1:CB$87,'Fórmula'!B51,4))+(('Fórmula'!E51)/('Fórmula'!C51+'Fórmula'!E51+'Fórmula'!G51+'Fórmula'!I51+'Fórmula'!K51))*(INDEX(properties!A$1:CB$87,'Fórmula'!D51,4))+(('Fórmula'!G51)/('Fórmula'!C51+'Fórmula'!E51+'Fórmula'!G51+'Fórmula'!I51+'Fórmula'!K51))*(INDEX(properties!A$1:CB$87,'Fórmula'!F51,4))+(('Fórmula'!I51)/('Fórmula'!C51+'Fórmula'!E51+'Fórmula'!G51+'Fórmula'!I51+'Fórmula'!K51))*(INDEX(properties!A$1:CB$87,'Fórmula'!H51,4))+(('Fórmula'!K51)/('Fórmula'!C51+'Fórmula'!E51+'Fórmula'!G51+'Fórmula'!I51+'Fórmula'!K51))*(INDEX(properties!A$1:CB$87,'Fórmula'!J51,4))</f>
        <v>14.17391304</v>
      </c>
      <c r="I51" s="102">
        <f t="array" ref="I51">'Fórmula'!C51*(INDEX(properties!A$1:CB$87,'Fórmula'!B51,4))+'Fórmula'!E51*(INDEX(properties!A$1:CB$87,'Fórmula'!D51,4))+'Fórmula'!G51*(INDEX(properties!A$1:CB$87,'Fórmula'!F51,4))+'Fórmula'!I51*(INDEX(properties!A$1:CB$87,'Fórmula'!H51,4))+'Fórmula'!K51*(INDEX(properties!A$1:CB$87,'Fórmula'!J51,4))</f>
        <v>326</v>
      </c>
      <c r="J51" s="102">
        <f t="array" ref="J51">VARP(IF(INDEX(properties!A$1:CB$87,'Fórmula'!B51,4)&lt;&gt;"",INDEX(properties!A$1:CB$87,'Fórmula'!B51,4)),IF(INDEX(properties!A$1:CB$87,'Fórmula'!D51,4)&lt;&gt;"",INDEX(properties!A$1:CB$87,'Fórmula'!D51,4)),IF(INDEX(properties!A$1:CB$87,'Fórmula'!F51,4)&lt;&gt;"",INDEX(properties!A$1:CB$87,'Fórmula'!F51,4)),IF(INDEX(properties!A$1:CB$87,'Fórmula'!H51,4)&lt;&gt;"",INDEX(properties!A$1:CB$87,'Fórmula'!H51,4)),IF(INDEX(properties!A$1:CB$87,'Fórmula'!J51,4)&lt;&gt;"",INDEX(properties!A$1:CB$87,'Fórmula'!J51,4)))</f>
        <v>373.04</v>
      </c>
      <c r="K51" s="102">
        <f t="array" ref="K51">MAX(INDEX(properties!A$1:CB$87,'Fórmula'!B51,4),INDEX(properties!A$1:CB$87,'Fórmula'!D51,4),INDEX(properties!A$1:CB$87,'Fórmula'!F51,4),INDEX(properties!A$1:CB$87,'Fórmula'!H51,4),INDEX(properties!A$1:CB$87,'Fórmula'!J51,4))</f>
        <v>56</v>
      </c>
      <c r="L51" s="102">
        <f t="array" ref="L51">MIN(IF(INDEX(properties!A$1:CB$87,'Fórmula'!B51,4)=0,10^6,INDEX(properties!A$1:CB$87,'Fórmula'!B51,4)),IF(INDEX(properties!A$1:CB$87,'Fórmula'!D51,4)=0,10^6,INDEX(properties!A$1:CB$87,'Fórmula'!D51,4)),IF(INDEX(properties!A$1:CB$87,'Fórmula'!F51,4)=0,10^6,INDEX(properties!A$1:CB$87,'Fórmula'!F51,4)),IF(INDEX(properties!A$1:CB$87,'Fórmula'!H51,4)=0,10^6,INDEX(properties!A$1:CB$87,'Fórmula'!H51,4)),IF(INDEX(properties!A$1:CB$87,'Fórmula'!J51,4)=0,10^6,INDEX(properties!A$1:CB$87,'Fórmula'!J51,4)))</f>
        <v>8</v>
      </c>
      <c r="M51" s="102">
        <f t="shared" si="2"/>
        <v>48</v>
      </c>
      <c r="N51" s="103">
        <f t="array" ref="N51">(('Fórmula'!C51)/('Fórmula'!C51+'Fórmula'!E51+'Fórmula'!G51+'Fórmula'!I51+'Fórmula'!K51))*(INDEX(properties!A$1:CB$87,'Fórmula'!B51,5))+(('Fórmula'!E51)/('Fórmula'!C51+'Fórmula'!E51+'Fórmula'!G51+'Fórmula'!I51+'Fórmula'!K51))*(INDEX(properties!A$1:CB$87,'Fórmula'!D51,5))+(('Fórmula'!G51)/('Fórmula'!C51+'Fórmula'!E51+'Fórmula'!G51+'Fórmula'!I51+'Fórmula'!K51))*(INDEX(properties!A$1:CB$87,'Fórmula'!F51,5))+(('Fórmula'!I51)/('Fórmula'!C51+'Fórmula'!E51+'Fórmula'!G51+'Fórmula'!I51+'Fórmula'!K51))*(INDEX(properties!A$1:CB$87,'Fórmula'!H51,5))+(('Fórmula'!K51)/('Fórmula'!C51+'Fórmula'!E51+'Fórmula'!G51+'Fórmula'!I51+'Fórmula'!K51))*(INDEX(properties!A$1:CB$87,'Fórmula'!J51,5))</f>
        <v>2.652173913</v>
      </c>
      <c r="O51" s="103">
        <f t="array" ref="O51">'Fórmula'!C51*(INDEX(properties!A$1:CB$87,'Fórmula'!B51,5))+'Fórmula'!E51*(INDEX(properties!A$1:CB$87,'Fórmula'!D51,5))+'Fórmula'!G51*(INDEX(properties!A$1:CB$87,'Fórmula'!F51,5))+'Fórmula'!I51*(INDEX(properties!A$1:CB$87,'Fórmula'!H51,5))+'Fórmula'!K51*(INDEX(properties!A$1:CB$87,'Fórmula'!J51,5))</f>
        <v>61</v>
      </c>
      <c r="P51" s="103">
        <f t="array" ref="P51">VARP(IF(INDEX(properties!A$1:CB$87,'Fórmula'!B51,5)&lt;&gt;"",INDEX(properties!A$1:CB$87,'Fórmula'!B51,5)),IF(INDEX(properties!A$1:CB$87,'Fórmula'!D51,5)&lt;&gt;"",INDEX(properties!A$1:CB$87,'Fórmula'!D51,5)),IF(INDEX(properties!A$1:CB$87,'Fórmula'!F51,5)&lt;&gt;"",INDEX(properties!A$1:CB$87,'Fórmula'!F51,5)),IF(INDEX(properties!A$1:CB$87,'Fórmula'!H51,5)&lt;&gt;"",INDEX(properties!A$1:CB$87,'Fórmula'!H51,5)),IF(INDEX(properties!A$1:CB$87,'Fórmula'!J51,5)&lt;&gt;"",INDEX(properties!A$1:CB$87,'Fórmula'!J51,5)))</f>
        <v>4</v>
      </c>
      <c r="Q51" s="103">
        <f t="array" ref="Q51">MAX(INDEX(properties!A$1:CB$87,'Fórmula'!B51,5),INDEX(properties!A$1:CB$87,'Fórmula'!D51,5),INDEX(properties!A$1:CB$87,'Fórmula'!F51,5),INDEX(properties!A$1:CB$87,'Fórmula'!H51,5),INDEX(properties!A$1:CB$87,'Fórmula'!J51,5))</f>
        <v>6</v>
      </c>
      <c r="R51" s="103">
        <f t="array" ref="R51">MIN(IF(INDEX(properties!A$1:CB$87,'Fórmula'!B51,5)=0,10^6,INDEX(properties!A$1:CB$87,'Fórmula'!B51,5)),IF(INDEX(properties!A$1:CB$87,'Fórmula'!D51,5)=0,10^6,INDEX(properties!A$1:CB$87,'Fórmula'!D51,5)),IF(INDEX(properties!A$1:CB$87,'Fórmula'!F51,5)=0,10^6,INDEX(properties!A$1:CB$87,'Fórmula'!F51,5)),IF(INDEX(properties!A$1:CB$87,'Fórmula'!H51,5)=0,10^6,INDEX(properties!A$1:CB$87,'Fórmula'!H51,5)),IF(INDEX(properties!A$1:CB$87,'Fórmula'!J51,5)=0,10^6,INDEX(properties!A$1:CB$87,'Fórmula'!J51,5)))</f>
        <v>2</v>
      </c>
      <c r="S51" s="103">
        <f t="shared" si="3"/>
        <v>4</v>
      </c>
      <c r="T51" s="104">
        <f t="array" ref="T51">(('Fórmula'!C51)/('Fórmula'!C51+'Fórmula'!E51+'Fórmula'!G51+'Fórmula'!I51+'Fórmula'!K51))*(INDEX(properties!A$1:CB$87,'Fórmula'!B51,6))+(('Fórmula'!E51)/('Fórmula'!C51+'Fórmula'!E51+'Fórmula'!G51+'Fórmula'!I51+'Fórmula'!K51))*(INDEX(properties!A$1:CB$87,'Fórmula'!D51,6))+(('Fórmula'!G51)/('Fórmula'!C51+'Fórmula'!E51+'Fórmula'!G51+'Fórmula'!I51+'Fórmula'!K51))*(INDEX(properties!A$1:CB$87,'Fórmula'!F51,6))+(('Fórmula'!I51)/('Fórmula'!C51+'Fórmula'!E51+'Fórmula'!G51+'Fórmula'!I51+'Fórmula'!K51))*(INDEX(properties!A$1:CB$87,'Fórmula'!H51,6))+(('Fórmula'!K51)/('Fórmula'!C51+'Fórmula'!E51+'Fórmula'!G51+'Fórmula'!I51+'Fórmula'!K51))*(INDEX(properties!A$1:CB$87,'Fórmula'!J51,6))</f>
        <v>13.91304348</v>
      </c>
      <c r="U51" s="104">
        <f t="array" ref="U51">'Fórmula'!C51*(INDEX(properties!A$1:CB$87,'Fórmula'!B51,6))+'Fórmula'!E51*(INDEX(properties!A$1:CB$87,'Fórmula'!D51,6))+'Fórmula'!G51*(INDEX(properties!A$1:CB$87,'Fórmula'!F51,6))+'Fórmula'!I51*(INDEX(properties!A$1:CB$87,'Fórmula'!H51,6))+'Fórmula'!K51*(INDEX(properties!A$1:CB$87,'Fórmula'!J51,6))</f>
        <v>320</v>
      </c>
      <c r="V51" s="103">
        <f t="array" ref="V51">VARP(IF(INDEX(properties!A$1:CB$87,'Fórmula'!B51,6)&lt;&gt;"",INDEX(properties!A$1:CB$87,'Fórmula'!B51,6)),IF(INDEX(properties!A$1:CB$87,'Fórmula'!D51,6)&lt;&gt;"",INDEX(properties!A$1:CB$87,'Fórmula'!D51,6)),IF(INDEX(properties!A$1:CB$87,'Fórmula'!F51,6)&lt;&gt;"",INDEX(properties!A$1:CB$87,'Fórmula'!F51,6)),IF(INDEX(properties!A$1:CB$87,'Fórmula'!H51,6)&lt;&gt;"",INDEX(properties!A$1:CB$87,'Fórmula'!H51,6)),IF(INDEX(properties!A$1:CB$87,'Fórmula'!J51,6)&lt;&gt;"",INDEX(properties!A$1:CB$87,'Fórmula'!J51,6)))</f>
        <v>50.96</v>
      </c>
      <c r="W51" s="104">
        <f t="array" ref="W51">MAX(INDEX(properties!A$1:CB$87,'Fórmula'!B51,6),INDEX(properties!A$1:CB$87,'Fórmula'!D51,6),INDEX(properties!A$1:CB$87,'Fórmula'!F51,6),INDEX(properties!A$1:CB$87,'Fórmula'!H51,4),INDEX(properties!A$1:CB$87,'Fórmula'!J51,6))</f>
        <v>15</v>
      </c>
      <c r="X51" s="104">
        <f t="array" ref="X51">MIN(IF(INDEX(properties!A$1:CB$87,'Fórmula'!B51,6)=0,10^6,INDEX(properties!A$1:CB$87,'Fórmula'!B51,6)),IF(INDEX(properties!A$1:CB$87,'Fórmula'!D51,6)=0,10^6,INDEX(properties!A$1:CB$87,'Fórmula'!D51,6)),IF(INDEX(properties!A$1:CB$87,'Fórmula'!F51,6)=0,10^6,INDEX(properties!A$1:CB$87,'Fórmula'!F51,6)),IF(INDEX(properties!A$1:CB$87,'Fórmula'!H51,6)=0,10^6,INDEX(properties!A$1:CB$87,'Fórmula'!H51,6)),IF(INDEX(properties!A$1:CB$87,'Fórmula'!J51,6)=0,10^6,INDEX(properties!A$1:CB$87,'Fórmula'!J51,6)))</f>
        <v>1</v>
      </c>
      <c r="Y51" s="104">
        <f t="shared" si="4"/>
        <v>14</v>
      </c>
      <c r="Z51" s="105">
        <f t="array" ref="Z51">(('Fórmula'!C51)/('Fórmula'!C51+'Fórmula'!E51+'Fórmula'!G51+'Fórmula'!I51+'Fórmula'!K51))*(INDEX(properties!A$1:CB$87,'Fórmula'!B51,9))+(('Fórmula'!E51)/('Fórmula'!C51+'Fórmula'!E51+'Fórmula'!G51+'Fórmula'!I51+'Fórmula'!K51))*(INDEX(properties!A$1:CB$87,'Fórmula'!D51,9))+(('Fórmula'!G51)/('Fórmula'!C51+'Fórmula'!E51+'Fórmula'!G51+'Fórmula'!I51+'Fórmula'!K51))*(INDEX(properties!A$1:CB$87,'Fórmula'!F51,9))+(('Fórmula'!I51)/('Fórmula'!C51+'Fórmula'!E51+'Fórmula'!G51+'Fórmula'!I51+'Fórmula'!K51))*(INDEX(properties!A$1:CB$87,'Fórmula'!H51,9))+(('Fórmula'!K51)/('Fórmula'!C51+'Fórmula'!E51+'Fórmula'!G51+'Fórmula'!I51+'Fórmula'!K51))*(INDEX(properties!A$1:CB$87,'Fórmula'!J51,9))</f>
        <v>75.69565217</v>
      </c>
      <c r="AA51" s="105">
        <f t="array" ref="AA51">'Fórmula'!C51*(INDEX(properties!A$1:CB$87,'Fórmula'!B51,9))+'Fórmula'!E51*(INDEX(properties!A$1:CB$87,'Fórmula'!D51,9))+'Fórmula'!G51*(INDEX(properties!A$1:CB$87,'Fórmula'!F51,9))+'Fórmula'!I51*(INDEX(properties!A$1:CB$87,'Fórmula'!H51,9))+'Fórmula'!K51*(INDEX(properties!A$1:CB$87,'Fórmula'!J51,9))</f>
        <v>1741</v>
      </c>
      <c r="AB51" s="105">
        <f t="array" ref="AB51">VARP(IF(INDEX(properties!A$1:CB$87,'Fórmula'!B51,9)&lt;&gt;"",INDEX(properties!A$1:CB$87,'Fórmula'!B51,9)),IF(INDEX(properties!A$1:CB$87,'Fórmula'!D51,9)&lt;&gt;"",INDEX(properties!A$1:CB$87,'Fórmula'!D51,9)),IF(INDEX(properties!A$1:CB$87,'Fórmula'!F51,9)&lt;&gt;"",INDEX(properties!A$1:CB$87,'Fórmula'!F51,9)),IF(INDEX(properties!A$1:CB$87,'Fórmula'!H51,9)&lt;&gt;"",INDEX(properties!A$1:CB$87,'Fórmula'!H51,9)),IF(INDEX(properties!A$1:CB$87,'Fórmula'!J51,9)&lt;&gt;"",INDEX(properties!A$1:CB$87,'Fórmula'!J51,9)))</f>
        <v>1584.64</v>
      </c>
      <c r="AC51" s="105">
        <f t="array" ref="AC51">MAX(INDEX(properties!A$1:CB$87,'Fórmula'!B51,9),INDEX(properties!A$1:CB$87,'Fórmula'!D51,9),INDEX(properties!A$1:CB$87,'Fórmula'!F51,9),INDEX(properties!A$1:CB$87,'Fórmula'!H51,9),INDEX(properties!A$1:CB$87,'Fórmula'!J51,9))</f>
        <v>87</v>
      </c>
      <c r="AD51" s="105">
        <f t="array" ref="AD51">MIN(IF(INDEX(properties!A$1:CB$87,'Fórmula'!B51,9)=0,10^6,INDEX(properties!A$1:CB$87,'Fórmula'!B51,9)),IF(INDEX(properties!A$1:CB$87,'Fórmula'!D51,9)=0,10^6,INDEX(properties!A$1:CB$87,'Fórmula'!D51,9)),IF(INDEX(properties!A$1:CB$87,'Fórmula'!F51,9)=0,10^6,INDEX(properties!A$1:CB$87,'Fórmula'!F51,9)),IF(INDEX(properties!A$1:CB$87,'Fórmula'!H51,9)=0,10^6,INDEX(properties!A$1:CB$87,'Fórmula'!H51,9)),IF(INDEX(properties!A$1:CB$87,'Fórmula'!J51,9)=0,10^6,INDEX(properties!A$1:CB$87,'Fórmula'!J51,9)))</f>
        <v>3</v>
      </c>
      <c r="AE51" s="105">
        <f t="shared" si="5"/>
        <v>84</v>
      </c>
      <c r="AF51" s="106">
        <f t="array" ref="AF51">(('Fórmula'!C51)/('Fórmula'!C51+'Fórmula'!E51+'Fórmula'!G51+'Fórmula'!I51+'Fórmula'!K51))*(INDEX(properties!A$1:CB$87,'Fórmula'!B51,10))+(('Fórmula'!E51)/('Fórmula'!C51+'Fórmula'!E51+'Fórmula'!G51+'Fórmula'!I51+'Fórmula'!K51))*(INDEX(properties!A$1:CB$87,'Fórmula'!D51,10))+(('Fórmula'!G51)/('Fórmula'!C51+'Fórmula'!E51+'Fórmula'!G51+'Fórmula'!I51+'Fórmula'!K51))*(INDEX(properties!A$1:CB$87,'Fórmula'!F51,10))+(('Fórmula'!I51)/('Fórmula'!C51+'Fórmula'!E51+'Fórmula'!G51+'Fórmula'!I51+'Fórmula'!K51))*(INDEX(properties!A$1:CB$87,'Fórmula'!H51,10))+(('Fórmula'!K51)/('Fórmula'!C51+'Fórmula'!E51+'Fórmula'!G51+'Fórmula'!I51+'Fórmula'!K51))*(INDEX(properties!A$1:CB$87,'Fórmula'!J51,10))</f>
        <v>6.304347826</v>
      </c>
      <c r="AG51" s="106">
        <f t="array" ref="AG51">'Fórmula'!C51*(INDEX(properties!A$1:CB$87,'Fórmula'!B51,10))+'Fórmula'!E51*(INDEX(properties!A$1:CB$87,'Fórmula'!D51,10))+'Fórmula'!G51*(INDEX(properties!A$1:CB$87,'Fórmula'!F51,10))+'Fórmula'!I51*(INDEX(properties!A$1:CB$87,'Fórmula'!H51,10))+'Fórmula'!K51*(INDEX(properties!A$1:CB$87,'Fórmula'!J51,10))</f>
        <v>145</v>
      </c>
      <c r="AH51" s="106">
        <f t="array" ref="AH51">VARP(IF(INDEX(properties!A$1:CB$87,'Fórmula'!B51,10)&lt;&gt;"",INDEX(properties!A$1:CB$87,'Fórmula'!B51,10)),IF(INDEX(properties!A$1:CB$87,'Fórmula'!D51,10)&lt;&gt;"",INDEX(properties!A$1:CB$87,'Fórmula'!D51,10)),IF(INDEX(properties!A$1:CB$87,'Fórmula'!F51,10)&lt;&gt;"",INDEX(properties!A$1:CB$87,'Fórmula'!F51,10)),IF(INDEX(properties!A$1:CB$87,'Fórmula'!H51,10)&lt;&gt;"",INDEX(properties!A$1:CB$87,'Fórmula'!H51,10)),IF(INDEX(properties!A$1:CB$87,'Fórmula'!J51,10)&lt;&gt;"",INDEX(properties!A$1:CB$87,'Fórmula'!J51,10)))</f>
        <v>9.04</v>
      </c>
      <c r="AI51" s="106">
        <f t="array" ref="AI51">MAX(INDEX(properties!A$1:CB$87,'Fórmula'!B51,10),INDEX(properties!A$1:CB$87,'Fórmula'!D51,10),INDEX(properties!A$1:CB$87,'Fórmula'!F51,10),INDEX(properties!A$1:CB$87,'Fórmula'!H51,10),INDEX(properties!A$1:CB$87,'Fórmula'!J51,10))</f>
        <v>7</v>
      </c>
      <c r="AJ51" s="106">
        <f t="array" ref="AJ51">MIN(IF(INDEX(properties!A$1:CB$87,'Fórmula'!B51,10)=0,10^6,INDEX(properties!A$1:CB$87,'Fórmula'!B51,10)),IF(INDEX(properties!A$1:CB$87,'Fórmula'!D51,10)=0,10^6,INDEX(properties!A$1:CB$87,'Fórmula'!D51,10)),IF(INDEX(properties!A$1:CB$87,'Fórmula'!F51,10)=0,10^6,INDEX(properties!A$1:CB$87,'Fórmula'!F51,10)),IF(INDEX(properties!A$1:CB$87,'Fórmula'!H51,10)=0,10^6,INDEX(properties!A$1:CB$87,'Fórmula'!H51,10)),IF(INDEX(properties!A$1:CB$87,'Fórmula'!J51,10)=0,10^6,INDEX(properties!A$1:CB$87,'Fórmula'!J51,10)))</f>
        <v>1</v>
      </c>
      <c r="AK51" s="106">
        <f t="shared" si="6"/>
        <v>6</v>
      </c>
      <c r="AL51" s="107">
        <f t="array" ref="AL51">(('Fórmula'!C51)/('Fórmula'!C51+'Fórmula'!E51+'Fórmula'!G51+'Fórmula'!I51+'Fórmula'!K51))*(INDEX(properties!A$1:CB$87,'Fórmula'!B51,11))+(('Fórmula'!E51)/('Fórmula'!C51+'Fórmula'!E51+'Fórmula'!G51+'Fórmula'!I51+'Fórmula'!K51))*(INDEX(properties!A$1:CB$87,'Fórmula'!D51,11))+(('Fórmula'!G51)/('Fórmula'!C51+'Fórmula'!E51+'Fórmula'!G51+'Fórmula'!I51+'Fórmula'!K51))*(INDEX(properties!A$1:CB$87,'Fórmula'!F51,11))+(('Fórmula'!I51)/('Fórmula'!C51+'Fórmula'!E51+'Fórmula'!G51+'Fórmula'!I51+'Fórmula'!K51))*(INDEX(properties!A$1:CB$87,'Fórmula'!H51,11))+(('Fórmula'!K51)/('Fórmula'!C51+'Fórmula'!E51+'Fórmula'!G51+'Fórmula'!I51+'Fórmula'!K51))*(INDEX(properties!A$1:CB$87,'Fórmula'!J51,11))</f>
        <v>1.956521739</v>
      </c>
      <c r="AM51" s="107">
        <f t="array" ref="AM51">'Fórmula'!C51*(INDEX(properties!A$1:CB$87,'Fórmula'!B51,11))+'Fórmula'!E51*(INDEX(properties!A$1:CB$87,'Fórmula'!D51,11))+'Fórmula'!G51*(INDEX(properties!A$1:CB$87,'Fórmula'!F51,11))+'Fórmula'!I51*(INDEX(properties!A$1:CB$87,'Fórmula'!H51,11))+'Fórmula'!K51*(INDEX(properties!A$1:CB$87,'Fórmula'!J51,11))</f>
        <v>45</v>
      </c>
      <c r="AN51" s="107">
        <f t="array" ref="AN51">VARP(IF(INDEX(properties!A$1:CB$87,'Fórmula'!B51,11)&lt;&gt;"",INDEX(properties!A$1:CB$87,'Fórmula'!B51,11)),IF(INDEX(properties!A$1:CB$87,'Fórmula'!D51,11)&lt;&gt;"",INDEX(properties!A$1:CB$87,'Fórmula'!D51,11)),IF(INDEX(properties!A$1:CB$87,'Fórmula'!F51,11)&lt;&gt;"",INDEX(properties!A$1:CB$87,'Fórmula'!F51,11)),IF(INDEX(properties!A$1:CB$87,'Fórmula'!H51,11)&lt;&gt;"",INDEX(properties!A$1:CB$87,'Fórmula'!H51,11)),IF(INDEX(properties!A$1:CB$87,'Fórmula'!J51,11)&lt;&gt;"",INDEX(properties!A$1:CB$87,'Fórmula'!J51,11)))</f>
        <v>0.64</v>
      </c>
      <c r="AO51" s="107">
        <f t="array" ref="AO51">MAX(INDEX(properties!A$1:CB$87,'Fórmula'!B51,11),INDEX(properties!A$1:CB$87,'Fórmula'!D51,11),INDEX(properties!A$1:CB$87,'Fórmula'!F51,11),INDEX(properties!A$1:CB$87,'Fórmula'!H51,11),INDEX(properties!A$1:CB$87,'Fórmula'!J51,11))</f>
        <v>2</v>
      </c>
      <c r="AP51" s="107">
        <f t="array" ref="AP51">MIN(IF('Fórmula'!B51=87,10^6,INDEX(properties!A$1:CB$87,'Fórmula'!B51,11)),IF(('Fórmula'!D51)=87,10^6,INDEX(properties!A$1:CB$87,'Fórmula'!D51,11)),IF(('Fórmula'!F51)=87,10^6,INDEX(properties!A$1:CB$87,'Fórmula'!F51,11)),IF(('Fórmula'!H51)=87,10^6,INDEX(properties!A$1:CB$87,'Fórmula'!H51,11)),IF('Fórmula'!J51=87,10^6,INDEX(properties!A$1:CB$87,'Fórmula'!J51,11)))</f>
        <v>1</v>
      </c>
      <c r="AQ51" s="107">
        <f t="shared" si="7"/>
        <v>1</v>
      </c>
      <c r="AR51" s="108">
        <f t="array" ref="AR51">(('Fórmula'!C51)/('Fórmula'!C51+'Fórmula'!E51+'Fórmula'!G51+'Fórmula'!I51+'Fórmula'!K51))*(INDEX(properties!A$1:CB$87,'Fórmula'!B51,12))+(('Fórmula'!E51)/('Fórmula'!C51+'Fórmula'!E51+'Fórmula'!G51+'Fórmula'!I51+'Fórmula'!K51))*(INDEX(properties!A$1:CB$87,'Fórmula'!D51,12))+(('Fórmula'!G51)/('Fórmula'!C51+'Fórmula'!E51+'Fórmula'!G51+'Fórmula'!I51+'Fórmula'!K51))*(INDEX(properties!A$1:CB$87,'Fórmula'!F51,12))+(('Fórmula'!I51)/('Fórmula'!C51+'Fórmula'!E51+'Fórmula'!G51+'Fórmula'!I51+'Fórmula'!K51))*(INDEX(properties!A$1:CB$87,'Fórmula'!H51,12))+(('Fórmula'!K51)/('Fórmula'!C51+'Fórmula'!E51+'Fórmula'!G51+'Fórmula'!I51+'Fórmula'!K51))*(INDEX(properties!A$1:CB$87,'Fórmula'!J51,12))</f>
        <v>3.260869565</v>
      </c>
      <c r="AS51" s="108">
        <f t="array" ref="AS51">'Fórmula'!C51*(INDEX(properties!A$1:CB$87,'Fórmula'!B51,12))+'Fórmula'!E51*(INDEX(properties!A$1:CB$87,'Fórmula'!D51,12))+'Fórmula'!G51*(INDEX(properties!A$1:CB$87,'Fórmula'!F51,12))+'Fórmula'!I51*(INDEX(properties!A$1:CB$87,'Fórmula'!H51,12))+'Fórmula'!K51*(INDEX(properties!A$1:CB$87,'Fórmula'!J51,12))</f>
        <v>75</v>
      </c>
      <c r="AT51" s="108">
        <f t="array" ref="AT51">VARP(IF(INDEX(properties!A$1:CB$87,'Fórmula'!B51,12)&lt;&gt;"",INDEX(properties!A$1:CB$87,'Fórmula'!B51,12)),IF(INDEX(properties!A$1:CB$87,'Fórmula'!D51,12)&lt;&gt;"",INDEX(properties!A$1:CB$87,'Fórmula'!D51,12)),IF(INDEX(properties!A$1:CB$87,'Fórmula'!F51,12)&lt;&gt;"",INDEX(properties!A$1:CB$87,'Fórmula'!F51,12)),IF(INDEX(properties!A$1:CB$87,'Fórmula'!H51,12)&lt;&gt;"",INDEX(properties!A$1:CB$87,'Fórmula'!H51,12)),IF(INDEX(properties!A$1:CB$87,'Fórmula'!J51,12)&lt;&gt;"",INDEX(properties!A$1:CB$87,'Fórmula'!J51,12)))</f>
        <v>3.04</v>
      </c>
      <c r="AU51" s="108">
        <f t="array" ref="AU51">MAX(INDEX(properties!A$1:CB$87,'Fórmula'!B51,12),INDEX(properties!A$1:CB$87,'Fórmula'!D51,12),INDEX(properties!A$1:CB$87,'Fórmula'!F51,12),INDEX(properties!A$1:CB$87,'Fórmula'!H51,12),INDEX(properties!A$1:CB$87,'Fórmula'!J51,12))</f>
        <v>4</v>
      </c>
      <c r="AV51" s="108">
        <f t="array" ref="AV51">MIN(IF('Fórmula'!B51=87,10^6,INDEX(properties!A$1:CB$87,'Fórmula'!B51,12)),IF(('Fórmula'!D51)=87,10^6,INDEX(properties!A$1:CB$87,'Fórmula'!D51,12)),IF(('Fórmula'!F51)=87,10^6,INDEX(properties!A$1:CB$87,'Fórmula'!F51,12)),IF(('Fórmula'!H51)=87,10^6,INDEX(properties!A$1:CB$87,'Fórmula'!H51,12)),IF('Fórmula'!J51=87,10^6,INDEX(properties!A$1:CB$87,'Fórmula'!J51,12)))</f>
        <v>0</v>
      </c>
      <c r="AW51" s="108">
        <f t="shared" si="8"/>
        <v>4</v>
      </c>
      <c r="AX51" s="109">
        <f t="array" ref="AX51">(('Fórmula'!C51)/('Fórmula'!C51+'Fórmula'!E51+'Fórmula'!G51+'Fórmula'!I51+'Fórmula'!K51))*(INDEX(properties!A$1:CB$87,'Fórmula'!B51,13))+(('Fórmula'!E51)/('Fórmula'!C51+'Fórmula'!E51+'Fórmula'!G51+'Fórmula'!I51+'Fórmula'!K51))*(INDEX(properties!A$1:CB$87,'Fórmula'!D51,13))+(('Fórmula'!G51)/('Fórmula'!C51+'Fórmula'!E51+'Fórmula'!G51+'Fórmula'!I51+'Fórmula'!K51))*(INDEX(properties!A$1:CB$87,'Fórmula'!F51,13))+(('Fórmula'!I51)/('Fórmula'!C51+'Fórmula'!E51+'Fórmula'!G51+'Fórmula'!I51+'Fórmula'!K51))*(INDEX(properties!A$1:CB$87,'Fórmula'!H51,13))+(('Fórmula'!K51)/('Fórmula'!C51+'Fórmula'!E51+'Fórmula'!G51+'Fórmula'!I51+'Fórmula'!K51))*(INDEX(properties!A$1:CB$87,'Fórmula'!J51,13))</f>
        <v>0</v>
      </c>
      <c r="AY51" s="109">
        <f t="array" ref="AY51">'Fórmula'!C51*(INDEX(properties!A$1:CB$87,'Fórmula'!B51,13))+'Fórmula'!E51*(INDEX(properties!A$1:CB$87,'Fórmula'!D51,13))+'Fórmula'!G51*(INDEX(properties!A$1:CB$87,'Fórmula'!F51,13))+'Fórmula'!I51*(INDEX(properties!A$1:CB$87,'Fórmula'!H51,13))+'Fórmula'!K51*(INDEX(properties!A$1:CB$87,'Fórmula'!J51,13))</f>
        <v>0</v>
      </c>
      <c r="AZ51" s="109">
        <f t="array" ref="AZ51">VARP(IF(INDEX(properties!A$1:CB$87,'Fórmula'!B51,13)&lt;&gt;"",INDEX(properties!A$1:CB$87,'Fórmula'!B51,13)),IF(INDEX(properties!A$1:CB$87,'Fórmula'!D51,13)&lt;&gt;"",INDEX(properties!A$1:CB$87,'Fórmula'!D51,13)),IF(INDEX(properties!A$1:CB$87,'Fórmula'!F51,13)&lt;&gt;"",INDEX(properties!A$1:CB$87,'Fórmula'!F51,13)),IF(INDEX(properties!A$1:CB$87,'Fórmula'!H51,13)&lt;&gt;"",INDEX(properties!A$1:CB$87,'Fórmula'!H51,13)),IF(INDEX(properties!A$1:CB$87,'Fórmula'!J51,13)&lt;&gt;"",INDEX(properties!A$1:CB$87,'Fórmula'!J51,13)))</f>
        <v>0</v>
      </c>
      <c r="BA51" s="109">
        <f t="array" ref="BA51">MAX(INDEX(properties!A$1:CB$87,'Fórmula'!B51,13),INDEX(properties!A$1:CB$87,'Fórmula'!D51,13),INDEX(properties!A$1:CB$87,'Fórmula'!F51,13),INDEX(properties!A$1:CB$87,'Fórmula'!H51,13),INDEX(properties!A$1:CB$87,'Fórmula'!J51,13))</f>
        <v>0</v>
      </c>
      <c r="BB51" s="109">
        <f t="array" ref="BB51">MIN(IF('Fórmula'!B51=87,10^6,INDEX(properties!A$1:CB$87,'Fórmula'!B51,13)),IF(('Fórmula'!D51)=87,10^6,INDEX(properties!A$1:CB$87,'Fórmula'!D51,13)),IF(('Fórmula'!F51)=87,10^6,INDEX(properties!A$1:CB$87,'Fórmula'!F51,13)),IF(('Fórmula'!H51)=87,10^6,INDEX(properties!A$1:CB$87,'Fórmula'!H51,13)),IF('Fórmula'!J51=87,10^6,INDEX(properties!A$1:CB$87,'Fórmula'!J51,13)))</f>
        <v>0</v>
      </c>
      <c r="BC51" s="109">
        <f t="shared" si="9"/>
        <v>0</v>
      </c>
      <c r="BD51" s="110">
        <f t="array" ref="BD51">(('Fórmula'!C51)/('Fórmula'!C51+'Fórmula'!E51+'Fórmula'!G51+'Fórmula'!I51+'Fórmula'!K51))*(INDEX(properties!A$1:CB$87,'Fórmula'!B51,14))+(('Fórmula'!E51)/('Fórmula'!C51+'Fórmula'!E51+'Fórmula'!G51+'Fórmula'!I51+'Fórmula'!K51))*(INDEX(properties!A$1:CB$87,'Fórmula'!D51,14))+(('Fórmula'!G51)/('Fórmula'!C51+'Fórmula'!E51+'Fórmula'!G51+'Fórmula'!I51+'Fórmula'!K51))*(INDEX(properties!A$1:CB$87,'Fórmula'!F51,14))+(('Fórmula'!I51)/('Fórmula'!C51+'Fórmula'!E51+'Fórmula'!G51+'Fórmula'!I51+'Fórmula'!K51))*(INDEX(properties!A$1:CB$87,'Fórmula'!H51,14))+(('Fórmula'!K51)/('Fórmula'!C51+'Fórmula'!E51+'Fórmula'!G51+'Fórmula'!I51+'Fórmula'!K51))*(INDEX(properties!A$1:CB$87,'Fórmula'!J51,14))</f>
        <v>0</v>
      </c>
      <c r="BE51" s="110">
        <f t="array" ref="BE51">'Fórmula'!C51*(INDEX(properties!A$1:CB$87,'Fórmula'!B51,14))+'Fórmula'!E51*(INDEX(properties!A$1:CB$87,'Fórmula'!D51,14))+'Fórmula'!G51*(INDEX(properties!A$1:CB$87,'Fórmula'!F51,14))+'Fórmula'!I51*(INDEX(properties!A$1:CB$87,'Fórmula'!H51,14))+'Fórmula'!K51*(INDEX(properties!A$1:CB$87,'Fórmula'!J51,14))</f>
        <v>0</v>
      </c>
      <c r="BF51" s="110">
        <f t="array" ref="BF51">VARP(IF(INDEX(properties!A$1:CB$87,'Fórmula'!B51,14)&lt;&gt;"",INDEX(properties!A$1:CB$87,'Fórmula'!B51,14)),IF(INDEX(properties!A$1:CB$87,'Fórmula'!D51,14)&lt;&gt;"",INDEX(properties!A$1:CB$87,'Fórmula'!D51,14)),IF(INDEX(properties!A$1:CB$87,'Fórmula'!F51,14)&lt;&gt;"",INDEX(properties!A$1:CB$87,'Fórmula'!F51,14)),IF(INDEX(properties!A$1:CB$87,'Fórmula'!H51,14)&lt;&gt;"",INDEX(properties!A$1:CB$87,'Fórmula'!H51,14)),IF(INDEX(properties!A$1:CB$87,'Fórmula'!J51,14)&lt;&gt;"",INDEX(properties!A$1:CB$87,'Fórmula'!J51,14)))</f>
        <v>0</v>
      </c>
      <c r="BG51" s="110">
        <f t="array" ref="BG51">MAX(INDEX(properties!A$1:CB$87,'Fórmula'!B51,14),INDEX(properties!A$1:CB$87,'Fórmula'!D51,14),INDEX(properties!A$1:CB$87,'Fórmula'!F51,14),INDEX(properties!A$1:CB$87,'Fórmula'!H51,14),INDEX(properties!A$1:CB$87,'Fórmula'!J51,14))</f>
        <v>0</v>
      </c>
      <c r="BH51" s="110">
        <f t="array" ref="BH51">MIN(IF('Fórmula'!B51=87,10^6,INDEX(properties!A$1:CB$87,'Fórmula'!B51,14)),IF(('Fórmula'!D51)=87,10^6,INDEX(properties!A$1:CB$87,'Fórmula'!D51,14)),IF(('Fórmula'!F51)=87,10^6,INDEX(properties!A$1:CB$87,'Fórmula'!F51,14)),IF(('Fórmula'!H51)=87,10^6,INDEX(properties!A$1:CB$87,'Fórmula'!H51,14)),IF('Fórmula'!J51=87,10^6,INDEX(properties!A$1:CB$87,'Fórmula'!J51,14)))</f>
        <v>0</v>
      </c>
      <c r="BI51" s="110">
        <f t="shared" si="10"/>
        <v>0</v>
      </c>
      <c r="BJ51" s="111">
        <f t="array" ref="BJ51">(('Fórmula'!C51)/('Fórmula'!C51+'Fórmula'!E51+'Fórmula'!G51+'Fórmula'!I51+'Fórmula'!K51))*(INDEX(properties!A$1:CB$87,'Fórmula'!B51,19))+(('Fórmula'!E51)/('Fórmula'!C51+'Fórmula'!E51+'Fórmula'!G51+'Fórmula'!I51+'Fórmula'!K51))*(INDEX(properties!A$1:CB$87,'Fórmula'!D51,19))+(('Fórmula'!G51)/('Fórmula'!C51+'Fórmula'!E51+'Fórmula'!G51+'Fórmula'!I51+'Fórmula'!K51))*(INDEX(properties!A$1:CB$87,'Fórmula'!F51,19))+(('Fórmula'!I51)/('Fórmula'!C51+'Fórmula'!E51+'Fórmula'!G51+'Fórmula'!I51+'Fórmula'!K51))*(INDEX(properties!A$1:CB$87,'Fórmula'!H51,19))+(('Fórmula'!K51)/('Fórmula'!C51+'Fórmula'!E51+'Fórmula'!G51+'Fórmula'!I51+'Fórmula'!K51))*(INDEX(properties!A$1:CB$87,'Fórmula'!J51,19))</f>
        <v>5.217391304</v>
      </c>
      <c r="BK51" s="111">
        <f t="array" ref="BK51">'Fórmula'!C51*(INDEX(properties!A$1:CB$87,'Fórmula'!B51,19))+'Fórmula'!E51*(INDEX(properties!A$1:CB$87,'Fórmula'!D51,19))+'Fórmula'!G51*(INDEX(properties!A$1:CB$87,'Fórmula'!F51,19))+'Fórmula'!I51*(INDEX(properties!A$1:CB$87,'Fórmula'!H51,19))+'Fórmula'!K51*(INDEX(properties!A$1:CB$87,'Fórmula'!J51,19))</f>
        <v>120</v>
      </c>
      <c r="BL51" s="111">
        <f t="array" ref="BL51">VARP(IF(INDEX(properties!A$1:CB$87,'Fórmula'!B51,19)&lt;&gt;"",INDEX(properties!A$1:CB$87,'Fórmula'!B51,19)),IF(INDEX(properties!A$1:CB$87,'Fórmula'!D51,19)&lt;&gt;"",INDEX(properties!A$1:CB$87,'Fórmula'!D51,19)),IF(INDEX(properties!A$1:CB$87,'Fórmula'!F51,19)&lt;&gt;"",INDEX(properties!A$1:CB$87,'Fórmula'!F51,19)),IF(INDEX(properties!A$1:CB$87,'Fórmula'!H51,19)&lt;&gt;"",INDEX(properties!A$1:CB$87,'Fórmula'!H51,19)),IF(INDEX(properties!A$1:CB$87,'Fórmula'!J51,19)&lt;&gt;"",INDEX(properties!A$1:CB$87,'Fórmula'!J51,19)))</f>
        <v>5.36</v>
      </c>
      <c r="BM51" s="111">
        <f t="array" ref="BM51">MAX(INDEX(properties!A$1:CB$87,'Fórmula'!B51,19),INDEX(properties!A$1:CB$87,'Fórmula'!D51,19),INDEX(properties!A$1:CB$87,'Fórmula'!F51,19),INDEX(properties!A$1:CB$87,'Fórmula'!H51,19),INDEX(properties!A$1:CB$87,'Fórmula'!J51,19))</f>
        <v>6</v>
      </c>
      <c r="BN51" s="111">
        <f t="array" ref="BN51">MIN(IF(INDEX(properties!A$1:CB$87,'Fórmula'!B51,19)=0,10^6,INDEX(properties!A$1:CB$87,'Fórmula'!B51,19)),IF(INDEX(properties!A$1:CB$87,'Fórmula'!D51,19)=0,10^6,INDEX(properties!A$1:CB$87,'Fórmula'!D51,19)),IF(INDEX(properties!A$1:CB$87,'Fórmula'!F51,19)=0,10^6,INDEX(properties!A$1:CB$87,'Fórmula'!F51,19)),IF(INDEX(properties!A$1:CB$87,'Fórmula'!H51,19)=0,10^6,INDEX(properties!A$1:CB$87,'Fórmula'!H51,19)),IF(INDEX(properties!A$1:CB$87,'Fórmula'!J51,19)=0,10^6,INDEX(properties!A$1:CB$87,'Fórmula'!J51,19)))</f>
        <v>1</v>
      </c>
      <c r="BO51" s="111">
        <f t="shared" si="11"/>
        <v>5</v>
      </c>
      <c r="BP51" s="112">
        <f t="array" ref="BP51">(('Fórmula'!C51)/('Fórmula'!C51+'Fórmula'!E51+'Fórmula'!G51+'Fórmula'!I51+'Fórmula'!K51))*(INDEX(properties!A$1:CB$87,'Fórmula'!B51,20))+(('Fórmula'!E51)/('Fórmula'!C51+'Fórmula'!E51+'Fórmula'!G51+'Fórmula'!I51+'Fórmula'!K51))*(INDEX(properties!A$1:CB$87,'Fórmula'!D51,20))+(('Fórmula'!G51)/('Fórmula'!C51+'Fórmula'!E51+'Fórmula'!G51+'Fórmula'!I51+'Fórmula'!K51))*(INDEX(properties!A$1:CB$87,'Fórmula'!F51,20))+(('Fórmula'!I51)/('Fórmula'!C51+'Fórmula'!E51+'Fórmula'!G51+'Fórmula'!I51+'Fórmula'!K51))*(INDEX(properties!A$1:CB$87,'Fórmula'!H51,20))+(('Fórmula'!K51)/('Fórmula'!C51+'Fórmula'!E51+'Fórmula'!G51+'Fórmula'!I51+'Fórmula'!K51))*(INDEX(properties!A$1:CB$87,'Fórmula'!J51,20))</f>
        <v>5.217391304</v>
      </c>
      <c r="BQ51" s="112">
        <f t="array" ref="BQ51">'Fórmula'!C51*(INDEX(properties!A$1:CB$87,'Fórmula'!B51,20))+'Fórmula'!E51*(INDEX(properties!A$1:CB$87,'Fórmula'!D51,20))+'Fórmula'!G51*(INDEX(properties!A$1:CB$87,'Fórmula'!F51,20))+'Fórmula'!I51*(INDEX(properties!A$1:CB$87,'Fórmula'!H51,20))+'Fórmula'!K51*(INDEX(properties!A$1:CB$87,'Fórmula'!J51,20))</f>
        <v>120</v>
      </c>
      <c r="BR51" s="112">
        <f t="array" ref="BR51">VARP(IF(INDEX(properties!A$1:CB$87,'Fórmula'!B51,20)&lt;&gt;"",INDEX(properties!A$1:CB$87,'Fórmula'!B51,20)),IF(INDEX(properties!A$1:CB$87,'Fórmula'!D51,20)&lt;&gt;"",INDEX(properties!A$1:CB$87,'Fórmula'!D51,20)),IF(INDEX(properties!A$1:CB$87,'Fórmula'!F51,20)&lt;&gt;"",INDEX(properties!A$1:CB$87,'Fórmula'!F51,20)),IF(INDEX(properties!A$1:CB$87,'Fórmula'!H51,20)&lt;&gt;"",INDEX(properties!A$1:CB$87,'Fórmula'!H51,20)),IF(INDEX(properties!A$1:CB$87,'Fórmula'!J51,20)&lt;&gt;"",INDEX(properties!A$1:CB$87,'Fórmula'!J51,20)))</f>
        <v>5.36</v>
      </c>
      <c r="BS51" s="112">
        <f t="array" ref="BS51">MAX(INDEX(properties!A$1:CB$87,'Fórmula'!B51,20),INDEX(properties!A$1:CB$87,'Fórmula'!D51,20),INDEX(properties!A$1:CB$87,'Fórmula'!F51,20),INDEX(properties!A$1:CB$87,'Fórmula'!H51,20),INDEX(properties!A$1:CB$87,'Fórmula'!J51,20))</f>
        <v>6</v>
      </c>
      <c r="BT51" s="112">
        <f t="array" ref="BT51">MIN(IF(INDEX(properties!A$1:CB$87,'Fórmula'!B51,20)=0,10^6,INDEX(properties!A$1:CB$87,'Fórmula'!B51,20)),IF(INDEX(properties!A$1:CB$87,'Fórmula'!D51,20)=0,10^6,INDEX(properties!A$1:CB$87,'Fórmula'!D51,20)),IF(INDEX(properties!A$1:CB$87,'Fórmula'!F51,20)=0,10^6,INDEX(properties!A$1:CB$87,'Fórmula'!F51,20)),IF(INDEX(properties!A$1:CB$87,'Fórmula'!H51,20)=0,10^6,INDEX(properties!A$1:CB$87,'Fórmula'!H51,20)),IF(INDEX(properties!A$1:CB$87,'Fórmula'!J51,20)=0,10^6,INDEX(properties!A$1:CB$87,'Fórmula'!J51,20)))</f>
        <v>1</v>
      </c>
      <c r="BU51" s="112">
        <f t="shared" si="12"/>
        <v>5</v>
      </c>
      <c r="BV51" s="113">
        <f t="array" ref="BV51">(('Fórmula'!C51)/('Fórmula'!C51+'Fórmula'!E51+'Fórmula'!G51+'Fórmula'!I51+'Fórmula'!K51))*(INDEX(properties!A$1:CB$87,'Fórmula'!B51,21))+(('Fórmula'!E51)/('Fórmula'!C51+'Fórmula'!E51+'Fórmula'!G51+'Fórmula'!I51+'Fórmula'!K51))*(INDEX(properties!A$1:CB$87,'Fórmula'!D51,21))+(('Fórmula'!G51)/('Fórmula'!C51+'Fórmula'!E51+'Fórmula'!G51+'Fórmula'!I51+'Fórmula'!K51))*(INDEX(properties!A$1:CB$87,'Fórmula'!F51,21))+(('Fórmula'!I51)/('Fórmula'!C51+'Fórmula'!E51+'Fórmula'!G51+'Fórmula'!I51+'Fórmula'!K51))*(INDEX(properties!A$1:CB$87,'Fórmula'!H51,21))+(('Fórmula'!K51)/('Fórmula'!C51+'Fórmula'!E51+'Fórmula'!G51+'Fórmula'!I51+'Fórmula'!K51))*(INDEX(properties!A$1:CB$87,'Fórmula'!J51,21))</f>
        <v>5.217391304</v>
      </c>
      <c r="BW51" s="113">
        <f t="array" ref="BW51">'Fórmula'!C51*(INDEX(properties!A$1:CB$87,'Fórmula'!B51,21))+'Fórmula'!E51*(INDEX(properties!A$1:CB$87,'Fórmula'!D51,21))+'Fórmula'!G51*(INDEX(properties!A$1:CB$87,'Fórmula'!F51,21))+'Fórmula'!I51*(INDEX(properties!A$1:CB$87,'Fórmula'!H51,21))+'Fórmula'!K51*(INDEX(properties!A$1:CB$87,'Fórmula'!J51,21))</f>
        <v>120</v>
      </c>
      <c r="BX51" s="113">
        <f t="array" ref="BX51">VARP(IF(INDEX(properties!A$1:CB$87,'Fórmula'!B51,21)&lt;&gt;"",INDEX(properties!A$1:CB$87,'Fórmula'!B51,21)),IF(INDEX(properties!A$1:CB$87,'Fórmula'!D51,21)&lt;&gt;"",INDEX(properties!A$1:CB$87,'Fórmula'!D51,21)),IF(INDEX(properties!A$1:CB$87,'Fórmula'!F51,21)&lt;&gt;"",INDEX(properties!A$1:CB$87,'Fórmula'!F51,21)),IF(INDEX(properties!A$1:CB$87,'Fórmula'!H51,21)&lt;&gt;"",INDEX(properties!A$1:CB$87,'Fórmula'!H51,21)),IF(INDEX(properties!A$1:CB$87,'Fórmula'!J51,21)&lt;&gt;"",INDEX(properties!A$1:CB$87,'Fórmula'!J51,21)))</f>
        <v>5.36</v>
      </c>
      <c r="BY51" s="113">
        <f t="array" ref="BY51">MAX(INDEX(properties!A$1:CB$87,'Fórmula'!B51,21),INDEX(properties!A$1:CB$87,'Fórmula'!D51,21),INDEX(properties!A$1:CB$87,'Fórmula'!F51,21),INDEX(properties!A$1:CB$87,'Fórmula'!H51,21),INDEX(properties!A$1:CB$87,'Fórmula'!J51,21))</f>
        <v>6</v>
      </c>
      <c r="BZ51" s="113">
        <f t="array" ref="BZ51">MIN(IF(INDEX(properties!A$1:CB$87,'Fórmula'!B51,21)=0,10^6,INDEX(properties!A$1:CB$87,'Fórmula'!B51,21)),IF(INDEX(properties!A$1:CB$87,'Fórmula'!D51,21)=0,10^6,INDEX(properties!A$1:CB$87,'Fórmula'!D51,21)),IF(INDEX(properties!A$1:CB$87,'Fórmula'!F51,21)=0,10^6,INDEX(properties!A$1:CB$87,'Fórmula'!F51,21)),IF(INDEX(properties!A$1:CB$87,'Fórmula'!H51,21)=0,10^6,INDEX(properties!A$1:CB$87,'Fórmula'!H51,21)),IF(INDEX(properties!A$1:CB$87,'Fórmula'!J51,21)=0,10^6,INDEX(properties!A$1:CB$87,'Fórmula'!J51,21)))</f>
        <v>1</v>
      </c>
      <c r="CA51" s="113">
        <f t="shared" si="13"/>
        <v>5</v>
      </c>
      <c r="CB51" s="114">
        <f t="array" ref="CB51">(('Fórmula'!C51)/('Fórmula'!C51+'Fórmula'!E51+'Fórmula'!G51+'Fórmula'!I51+'Fórmula'!K51))*(INDEX(properties!A$1:CB$87,'Fórmula'!B51,23))+(('Fórmula'!E51)/('Fórmula'!C51+'Fórmula'!E51+'Fórmula'!G51+'Fórmula'!I51+'Fórmula'!K51))*(INDEX(properties!A$1:CB$87,'Fórmula'!D51,23))+(('Fórmula'!G51)/('Fórmula'!C51+'Fórmula'!E51+'Fórmula'!G51+'Fórmula'!I51+'Fórmula'!K51))*(INDEX(properties!A$1:CB$87,'Fórmula'!F51,23))+(('Fórmula'!I51)/('Fórmula'!C51+'Fórmula'!E51+'Fórmula'!G51+'Fórmula'!I51+'Fórmula'!K51))*(INDEX(properties!A$1:CB$87,'Fórmula'!H51,23))+(('Fórmula'!K51)/('Fórmula'!C51+'Fórmula'!E51+'Fórmula'!G51+'Fórmula'!I51+'Fórmula'!K51))*(INDEX(properties!A$1:CB$87,'Fórmula'!J51,23))</f>
        <v>0.8695652174</v>
      </c>
      <c r="CC51" s="114">
        <f t="array" ref="CC51">'Fórmula'!C51*(INDEX(properties!A$1:CB$87,'Fórmula'!B51,23))+'Fórmula'!E51*(INDEX(properties!A$1:CB$87,'Fórmula'!D51,23))+'Fórmula'!G51*(INDEX(properties!A$1:CB$87,'Fórmula'!F51,23))+'Fórmula'!I51*(INDEX(properties!A$1:CB$87,'Fórmula'!H51,23))+'Fórmula'!K51*(INDEX(properties!A$1:CB$87,'Fórmula'!J51,23))</f>
        <v>20</v>
      </c>
      <c r="CD51" s="114">
        <f t="array" ref="CD51">VARP(IF(INDEX(properties!A$1:CB$87,'Fórmula'!B51,23)&lt;&gt;"",INDEX(properties!A$1:CB$87,'Fórmula'!B51,23)),IF(INDEX(properties!A$1:CB$87,'Fórmula'!D51,23)&lt;&gt;"",INDEX(properties!A$1:CB$87,'Fórmula'!D51,23)),IF(INDEX(properties!A$1:CB$87,'Fórmula'!F51,23)&lt;&gt;"",INDEX(properties!A$1:CB$87,'Fórmula'!F51,23)),IF(INDEX(properties!A$1:CB$87,'Fórmula'!H51,23)&lt;&gt;"",INDEX(properties!A$1:CB$87,'Fórmula'!H51,23)),IF(INDEX(properties!A$1:CB$87,'Fórmula'!J51,23)&lt;&gt;"",INDEX(properties!A$1:CB$87,'Fórmula'!J51,23)))</f>
        <v>1.36</v>
      </c>
      <c r="CE51" s="114">
        <f t="array" ref="CE51">MAX(INDEX(properties!A$1:CB$87,'Fórmula'!B51,23),INDEX(properties!A$1:CB$87,'Fórmula'!D51,23),INDEX(properties!A$1:CB$87,'Fórmula'!F51,23),INDEX(properties!A$1:CB$87,'Fórmula'!H51,23),INDEX(properties!A$1:CB$87,'Fórmula'!J51,23))</f>
        <v>3</v>
      </c>
      <c r="CF51" s="114">
        <f t="array" ref="CF51">MIN(IF('Fórmula'!B51=87,10^6,INDEX(properties!A$1:CB$87,'Fórmula'!B51,23)),IF(('Fórmula'!D51)=87,10^6,INDEX(properties!A$1:CB$87,'Fórmula'!D51,23)),IF(('Fórmula'!F51)=87,10^6,INDEX(properties!A$1:CB$87,'Fórmula'!F51,23)),IF(('Fórmula'!H51)=87,10^6,INDEX(properties!A$1:CB$87,'Fórmula'!H51,23)),IF('Fórmula'!J51=87,10^6,INDEX(properties!A$1:CB$87,'Fórmula'!J51,23)))</f>
        <v>0</v>
      </c>
      <c r="CG51" s="114">
        <f t="shared" si="14"/>
        <v>3</v>
      </c>
      <c r="CH51" s="115">
        <f t="array" ref="CH51">(('Fórmula'!C51)/('Fórmula'!C51+'Fórmula'!E51+'Fórmula'!G51+'Fórmula'!I51+'Fórmula'!K51))*(INDEX(properties!A$1:CB$87,'Fórmula'!B51,26))+(('Fórmula'!E51)/('Fórmula'!C51+'Fórmula'!E51+'Fórmula'!G51+'Fórmula'!I51+'Fórmula'!K51))*(INDEX(properties!A$1:CB$87,'Fórmula'!D51,26))+(('Fórmula'!G51)/('Fórmula'!C51+'Fórmula'!E51+'Fórmula'!G51+'Fórmula'!I51+'Fórmula'!K51))*(INDEX(properties!A$1:CB$87,'Fórmula'!F51,26))+(('Fórmula'!I51)/('Fórmula'!C51+'Fórmula'!E51+'Fórmula'!G51+'Fórmula'!I51+'Fórmula'!K51))*(INDEX(properties!A$1:CB$87,'Fórmula'!H51,26))+(('Fórmula'!K51)/('Fórmula'!C51+'Fórmula'!E51+'Fórmula'!G51+'Fórmula'!I51+'Fórmula'!K51))*(INDEX(properties!A$1:CB$87,'Fórmula'!J51,26))</f>
        <v>11.80300435</v>
      </c>
      <c r="CI51" s="115">
        <f t="array" ref="CI51">'Fórmula'!C51*(INDEX(properties!A$1:CB$87,'Fórmula'!B51,26))+'Fórmula'!E51*(INDEX(properties!A$1:CB$87,'Fórmula'!D51,26))+'Fórmula'!G51*(INDEX(properties!A$1:CB$87,'Fórmula'!F51,26))+'Fórmula'!I51*(INDEX(properties!A$1:CB$87,'Fórmula'!H51,26))+'Fórmula'!K51*(INDEX(properties!A$1:CB$87,'Fórmula'!J51,26))</f>
        <v>271.4691</v>
      </c>
      <c r="CJ51" s="115">
        <f t="array" ref="CJ51">VARP(IF(INDEX(properties!A$1:CB$87,'Fórmula'!B51,26)&lt;&gt;"",INDEX(properties!A$1:CB$87,'Fórmula'!B51,26)),IF(INDEX(properties!A$1:CB$87,'Fórmula'!D51,26)&lt;&gt;"",INDEX(properties!A$1:CB$87,'Fórmula'!D51,26)),IF(INDEX(properties!A$1:CB$87,'Fórmula'!F51,26)&lt;&gt;"",INDEX(properties!A$1:CB$87,'Fórmula'!F51,26)),IF(INDEX(properties!A$1:CB$87,'Fórmula'!H51,26)&lt;&gt;"",INDEX(properties!A$1:CB$87,'Fórmula'!H51,26)),IF(INDEX(properties!A$1:CB$87,'Fórmula'!J51,26)&lt;&gt;"",INDEX(properties!A$1:CB$87,'Fórmula'!J51,26)))</f>
        <v>22.9731191</v>
      </c>
      <c r="CK51" s="116">
        <f t="array" ref="CK51">MAX(INDEX(properties!A$1:CB$87,'Fórmula'!B51,26),INDEX(properties!A$1:CB$87,'Fórmula'!D51,26),INDEX(properties!A$1:CB$87,'Fórmula'!F51,26),INDEX(properties!A$1:CB$87,'Fórmula'!H51,26),INDEX(properties!A$1:CB$87,'Fórmula'!J51,26))</f>
        <v>13.6181</v>
      </c>
      <c r="CL51" s="116">
        <f t="array" ref="CL51">MIN(IF(INDEX(properties!A$1:CB$87,'Fórmula'!B51,26)=0,10^6,INDEX(properties!A$1:CB$87,'Fórmula'!B51,26)),IF(INDEX(properties!A$1:CB$87,'Fórmula'!D51,26)=0,10^6,INDEX(properties!A$1:CB$87,'Fórmula'!D51,26)),IF(INDEX(properties!A$1:CB$87,'Fórmula'!F51,26)=0,10^6,INDEX(properties!A$1:CB$87,'Fórmula'!F51,26)),IF(INDEX(properties!A$1:CB$87,'Fórmula'!H51,26)=0,10^6,INDEX(properties!A$1:CB$87,'Fórmula'!H51,26)),IF(INDEX(properties!A$1:CB$87,'Fórmula'!J51,26)=0,10^6,INDEX(properties!A$1:CB$87,'Fórmula'!J51,26)))</f>
        <v>4.3407</v>
      </c>
      <c r="CM51" s="115">
        <f t="shared" si="15"/>
        <v>9.2774</v>
      </c>
      <c r="CN51" s="117">
        <f t="array" ref="CN51">(('Fórmula'!C51)/('Fórmula'!C51+'Fórmula'!E51+'Fórmula'!G51+'Fórmula'!I51+'Fórmula'!K51))*(INDEX(properties!A$1:CB$87,'Fórmula'!B51,30))+(('Fórmula'!E51)/('Fórmula'!C51+'Fórmula'!E51+'Fórmula'!G51+'Fórmula'!I51+'Fórmula'!K51))*(INDEX(properties!A$1:CB$87,'Fórmula'!D51,30))+(('Fórmula'!G51)/('Fórmula'!C51+'Fórmula'!E51+'Fórmula'!G51+'Fórmula'!I51+'Fórmula'!K51))*(INDEX(properties!A$1:CB$87,'Fórmula'!F51,30))+(('Fórmula'!I51)/('Fórmula'!C51+'Fórmula'!E51+'Fórmula'!G51+'Fórmula'!I51+'Fórmula'!K51))*(INDEX(properties!A$1:CB$87,'Fórmula'!H51,30))+(('Fórmula'!K51)/('Fórmula'!C51+'Fórmula'!E51+'Fórmula'!G51+'Fórmula'!I51+'Fórmula'!K51))*(INDEX(properties!A$1:CB$87,'Fórmula'!J51,30))</f>
        <v>2.832608696</v>
      </c>
      <c r="CO51" s="117">
        <f t="array" ref="CO51">'Fórmula'!C51*(INDEX(properties!A$1:CB$87,'Fórmula'!B51,30))+'Fórmula'!E51*(INDEX(properties!A$1:CB$87,'Fórmula'!D51,30))+'Fórmula'!G51*(INDEX(properties!A$1:CB$87,'Fórmula'!F51,30))+'Fórmula'!I51*(INDEX(properties!A$1:CB$87,'Fórmula'!H51,30))+'Fórmula'!K51*(INDEX(properties!A$1:CB$87,'Fórmula'!J51,30))</f>
        <v>65.15</v>
      </c>
      <c r="CP51" s="117">
        <f t="array" ref="CP51">VARP(IF(INDEX(properties!A$1:CB$87,'Fórmula'!B51,30)&lt;&gt;"",INDEX(properties!A$1:CB$87,'Fórmula'!B51,30)),IF(INDEX(properties!A$1:CB$87,'Fórmula'!D51,30)&lt;&gt;"",INDEX(properties!A$1:CB$87,'Fórmula'!D51,30)),IF(INDEX(properties!A$1:CB$87,'Fórmula'!F51,30)&lt;&gt;"",INDEX(properties!A$1:CB$87,'Fórmula'!F51,30)),IF(INDEX(properties!A$1:CB$87,'Fórmula'!H51,30)&lt;&gt;"",INDEX(properties!A$1:CB$87,'Fórmula'!H51,30)),IF(INDEX(properties!A$1:CB$87,'Fórmula'!J51,30)&lt;&gt;"",INDEX(properties!A$1:CB$87,'Fórmula'!J51,30)))</f>
        <v>1.463816</v>
      </c>
      <c r="CQ51" s="117">
        <f t="array" ref="CQ51">MAX(INDEX(properties!A$1:CB$87,'Fórmula'!B51,30),INDEX(properties!A$1:CB$87,'Fórmula'!D51,30),INDEX(properties!A$1:CB$87,'Fórmula'!F51,30),INDEX(properties!A$1:CB$87,'Fórmula'!H51,30),INDEX(properties!A$1:CB$87,'Fórmula'!J51,30))</f>
        <v>3.44</v>
      </c>
      <c r="CR51" s="117">
        <f t="array" ref="CR51">MIN(IF(INDEX(properties!A$1:CB$87,'Fórmula'!B51,30)=0,10^6,INDEX(properties!A$1:CB$87,'Fórmula'!B51,30)),IF(INDEX(properties!A$1:CB$87,'Fórmula'!D51,30)=0,10^6,INDEX(properties!A$1:CB$87,'Fórmula'!D51,30)),IF(INDEX(properties!A$1:CB$87,'Fórmula'!F51,30)=0,10^6,INDEX(properties!A$1:CB$87,'Fórmula'!F51,30)),IF(INDEX(properties!A$1:CB$87,'Fórmula'!H51,30)=0,10^6,INDEX(properties!A$1:CB$87,'Fórmula'!H51,30)),IF(INDEX(properties!A$1:CB$87,'Fórmula'!J51,30)=0,10^6,INDEX(properties!A$1:CB$87,'Fórmula'!J51,30)))</f>
        <v>0.82</v>
      </c>
      <c r="CS51" s="117">
        <f t="shared" si="16"/>
        <v>2.62</v>
      </c>
      <c r="CT51" s="118">
        <f t="array" ref="CT51">(('Fórmula'!C51)/('Fórmula'!C51+'Fórmula'!E51+'Fórmula'!G51+'Fórmula'!I51+'Fórmula'!K51))*(INDEX(properties!A$1:CB$87,'Fórmula'!B51,31))+(('Fórmula'!E51)/('Fórmula'!C51+'Fórmula'!E51+'Fórmula'!G51+'Fórmula'!I51+'Fórmula'!K51))*(INDEX(properties!A$1:CB$87,'Fórmula'!D51,31))+(('Fórmula'!G51)/('Fórmula'!C51+'Fórmula'!E51+'Fórmula'!G51+'Fórmula'!I51+'Fórmula'!K51))*(INDEX(properties!A$1:CB$87,'Fórmula'!F51,31))+(('Fórmula'!I51)/('Fórmula'!C51+'Fórmula'!E51+'Fórmula'!G51+'Fórmula'!I51+'Fórmula'!K51))*(INDEX(properties!A$1:CB$87,'Fórmula'!H51,31))+(('Fórmula'!K51)/('Fórmula'!C51+'Fórmula'!E51+'Fórmula'!G51+'Fórmula'!I51+'Fórmula'!K51))*(INDEX(properties!A$1:CB$87,'Fórmula'!J51,31))</f>
        <v>2.79826087</v>
      </c>
      <c r="CU51" s="118">
        <f t="array" ref="CU51">'Fórmula'!C51*(INDEX(properties!A$1:CB$87,'Fórmula'!B51,31))+'Fórmula'!E51*(INDEX(properties!A$1:CB$87,'Fórmula'!D51,31))+'Fórmula'!G51*(INDEX(properties!A$1:CB$87,'Fórmula'!F51,31))+'Fórmula'!I51*(INDEX(properties!A$1:CB$87,'Fórmula'!H51,31))+'Fórmula'!K51*(INDEX(properties!A$1:CB$87,'Fórmula'!J51,31))</f>
        <v>64.36</v>
      </c>
      <c r="CV51" s="118">
        <f t="array" ref="CV51">VARP(IF(INDEX(properties!A$1:CB$87,'Fórmula'!B51,31)&lt;&gt;"",INDEX(properties!A$1:CB$87,'Fórmula'!B51,31)),IF(INDEX(properties!A$1:CB$87,'Fórmula'!D51,31)&lt;&gt;"",INDEX(properties!A$1:CB$87,'Fórmula'!D51,31)),IF(INDEX(properties!A$1:CB$87,'Fórmula'!F51,31)&lt;&gt;"",INDEX(properties!A$1:CB$87,'Fórmula'!F51,31)),IF(INDEX(properties!A$1:CB$87,'Fórmula'!H51,31)&lt;&gt;"",INDEX(properties!A$1:CB$87,'Fórmula'!H51,31)),IF(INDEX(properties!A$1:CB$87,'Fórmula'!J51,31)&lt;&gt;"",INDEX(properties!A$1:CB$87,'Fórmula'!J51,31)))</f>
        <v>1.380224</v>
      </c>
      <c r="CW51" s="118">
        <f t="array" ref="CW51">MAX(INDEX(properties!A$1:CB$87,'Fórmula'!B51,31),INDEX(properties!A$1:CB$87,'Fórmula'!D51,31),INDEX(properties!A$1:CB$87,'Fórmula'!F51,31),INDEX(properties!A$1:CB$87,'Fórmula'!H51,31),INDEX(properties!A$1:CB$87,'Fórmula'!J51,31))</f>
        <v>3.32</v>
      </c>
      <c r="CX51" s="118">
        <f t="array" ref="CX51">MIN(IF(INDEX(properties!A$1:CB$87,'Fórmula'!B51,31)=0,10^6,INDEX(properties!A$1:CB$87,'Fórmula'!B51,31)),IF(INDEX(properties!A$1:CB$87,'Fórmula'!D51,31)=0,10^6,INDEX(properties!A$1:CB$87,'Fórmula'!D51,31)),IF(INDEX(properties!A$1:CB$87,'Fórmula'!F51,31)=0,10^6,INDEX(properties!A$1:CB$87,'Fórmula'!F51,31)),IF(INDEX(properties!A$1:CB$87,'Fórmula'!H51,31)=0,10^6,INDEX(properties!A$1:CB$87,'Fórmula'!H51,31)),IF(INDEX(properties!A$1:CB$87,'Fórmula'!J51,31)=0,10^6,INDEX(properties!A$1:CB$87,'Fórmula'!J51,31)))</f>
        <v>0.8</v>
      </c>
      <c r="CY51" s="118">
        <f t="shared" si="17"/>
        <v>2.52</v>
      </c>
      <c r="CZ51" s="119">
        <f t="array" ref="CZ51">(('Fórmula'!C51)/('Fórmula'!C51+'Fórmula'!E51+'Fórmula'!G51+'Fórmula'!I51+'Fórmula'!K51))*(INDEX(properties!A$1:CB$87,'Fórmula'!B51,32))+(('Fórmula'!E51)/('Fórmula'!C51+'Fórmula'!E51+'Fórmula'!G51+'Fórmula'!I51+'Fórmula'!K51))*(INDEX(properties!A$1:CB$87,'Fórmula'!D51,32))+(('Fórmula'!G51)/('Fórmula'!C51+'Fórmula'!E51+'Fórmula'!G51+'Fórmula'!I51+'Fórmula'!K51))*(INDEX(properties!A$1:CB$87,'Fórmula'!F51,32))+(('Fórmula'!I51)/('Fórmula'!C51+'Fórmula'!E51+'Fórmula'!G51+'Fórmula'!I51+'Fórmula'!K51))*(INDEX(properties!A$1:CB$87,'Fórmula'!H51,32))+(('Fórmula'!K51)/('Fórmula'!C51+'Fórmula'!E51+'Fórmula'!G51+'Fórmula'!I51+'Fórmula'!K51))*(INDEX(properties!A$1:CB$87,'Fórmula'!J51,32))</f>
        <v>6.453043478</v>
      </c>
      <c r="DA51" s="119">
        <f t="array" ref="DA51">'Fórmula'!C51*(INDEX(properties!A$1:CB$87,'Fórmula'!B51,32))+'Fórmula'!E51*(INDEX(properties!A$1:CB$87,'Fórmula'!D51,32))+'Fórmula'!G51*(INDEX(properties!A$1:CB$87,'Fórmula'!F51,32))+'Fórmula'!I51*(INDEX(properties!A$1:CB$87,'Fórmula'!H51,32))+'Fórmula'!K51*(INDEX(properties!A$1:CB$87,'Fórmula'!J51,32))</f>
        <v>148.42</v>
      </c>
      <c r="DB51" s="119">
        <f t="array" ref="DB51">VARP(IF(INDEX(properties!A$1:CB$87,'Fórmula'!B51,32)&lt;&gt;"",INDEX(properties!A$1:CB$87,'Fórmula'!B51,32)),IF(INDEX(properties!A$1:CB$87,'Fórmula'!D51,32)&lt;&gt;"",INDEX(properties!A$1:CB$87,'Fórmula'!D51,32)),IF(INDEX(properties!A$1:CB$87,'Fórmula'!F51,32)&lt;&gt;"",INDEX(properties!A$1:CB$87,'Fórmula'!F51,32)),IF(INDEX(properties!A$1:CB$87,'Fórmula'!H51,32)&lt;&gt;"",INDEX(properties!A$1:CB$87,'Fórmula'!H51,32)),IF(INDEX(properties!A$1:CB$87,'Fórmula'!J51,32)&lt;&gt;"",INDEX(properties!A$1:CB$87,'Fórmula'!J51,32)))</f>
        <v>7.079264</v>
      </c>
      <c r="DC51" s="119">
        <f t="array" ref="DC51">MAX(INDEX(properties!A$1:CB$87,'Fórmula'!B51,32),INDEX(properties!A$1:CB$87,'Fórmula'!D51,32),INDEX(properties!A$1:CB$87,'Fórmula'!F51,32),INDEX(properties!A$1:CB$87,'Fórmula'!H51,32),INDEX(properties!A$1:CB$87,'Fórmula'!J51,32))</f>
        <v>7.54</v>
      </c>
      <c r="DD51" s="119">
        <f t="array" ref="DD51">MIN(IF(INDEX(properties!A$1:CB$87,'Fórmula'!B51,32)=0,10^6,INDEX(properties!A$1:CB$87,'Fórmula'!B51,32)),IF(INDEX(properties!A$1:CB$87,'Fórmula'!D51,32)=0,10^6,INDEX(properties!A$1:CB$87,'Fórmula'!D51,32)),IF(INDEX(properties!A$1:CB$87,'Fórmula'!F51,32)=0,10^6,INDEX(properties!A$1:CB$87,'Fórmula'!F51,32)),IF(INDEX(properties!A$1:CB$87,'Fórmula'!H51,32)=0,10^6,INDEX(properties!A$1:CB$87,'Fórmula'!H51,32)),IF(INDEX(properties!A$1:CB$87,'Fórmula'!J51,32)=0,10^6,INDEX(properties!A$1:CB$87,'Fórmula'!J51,32)))</f>
        <v>2.4</v>
      </c>
      <c r="DE51" s="119">
        <f t="shared" si="18"/>
        <v>5.14</v>
      </c>
      <c r="DF51" s="104">
        <f t="array" ref="DF51">(('Fórmula'!C51)/('Fórmula'!C51+'Fórmula'!E51+'Fórmula'!G51+'Fórmula'!I51+'Fórmula'!K51))*(INDEX(properties!A$1:CB$87,'Fórmula'!B51,34))+(('Fórmula'!E51)/('Fórmula'!C51+'Fórmula'!E51+'Fórmula'!G51+'Fórmula'!I51+'Fórmula'!K51))*(INDEX(properties!A$1:CB$87,'Fórmula'!D51,34))+(('Fórmula'!G51)/('Fórmula'!C51+'Fórmula'!E51+'Fórmula'!G51+'Fórmula'!I51+'Fórmula'!K51))*(INDEX(properties!A$1:CB$87,'Fórmula'!F51,34))+(('Fórmula'!I51)/('Fórmula'!C51+'Fórmula'!E51+'Fórmula'!G51+'Fórmula'!I51+'Fórmula'!K51))*(INDEX(properties!A$1:CB$87,'Fórmula'!H51,34))+(('Fórmula'!K51)/('Fórmula'!C51+'Fórmula'!E51+'Fórmula'!G51+'Fórmula'!I51+'Fórmula'!K51))*(INDEX(properties!A$1:CB$87,'Fórmula'!J51,34))</f>
        <v>2.952652174</v>
      </c>
      <c r="DG51" s="104">
        <f t="array" ref="DG51">'Fórmula'!C51*(INDEX(properties!A$1:CB$87,'Fórmula'!B51,34))+'Fórmula'!E51*(INDEX(properties!A$1:CB$87,'Fórmula'!D51,34))+'Fórmula'!G51*(INDEX(properties!A$1:CB$87,'Fórmula'!F51,34))+'Fórmula'!I51*(INDEX(properties!A$1:CB$87,'Fórmula'!H51,34))+'Fórmula'!K51*(INDEX(properties!A$1:CB$87,'Fórmula'!J51,34))</f>
        <v>67.911</v>
      </c>
      <c r="DH51" s="104">
        <f t="array" ref="DH51">VARP(IF(INDEX(properties!A$1:CB$87,'Fórmula'!B51,34)&lt;&gt;"",INDEX(properties!A$1:CB$87,'Fórmula'!B51,34)),IF(INDEX(properties!A$1:CB$87,'Fórmula'!D51,34)&lt;&gt;"",INDEX(properties!A$1:CB$87,'Fórmula'!D51,34)),IF(INDEX(properties!A$1:CB$87,'Fórmula'!F51,34)&lt;&gt;"",INDEX(properties!A$1:CB$87,'Fórmula'!F51,34)),IF(INDEX(properties!A$1:CB$87,'Fórmula'!H51,34)&lt;&gt;"",INDEX(properties!A$1:CB$87,'Fórmula'!H51,34)),IF(INDEX(properties!A$1:CB$87,'Fórmula'!J51,34)&lt;&gt;"",INDEX(properties!A$1:CB$87,'Fórmula'!J51,34)))</f>
        <v>1.64778584</v>
      </c>
      <c r="DI51" s="104">
        <f t="array" ref="DI51">MAX(INDEX(properties!A$1:CB$87,'Fórmula'!B51,34),INDEX(properties!A$1:CB$87,'Fórmula'!D51,34),INDEX(properties!A$1:CB$87,'Fórmula'!F51,34),INDEX(properties!A$1:CB$87,'Fórmula'!H51,34),INDEX(properties!A$1:CB$87,'Fórmula'!J51,34))</f>
        <v>3.61</v>
      </c>
      <c r="DJ51" s="104">
        <f t="array" ref="DJ51">MIN(IF(INDEX(properties!A$1:CB$87,'Fórmula'!B51,34)=0,10^6,INDEX(properties!A$1:CB$87,'Fórmula'!B51,34)),IF(INDEX(properties!A$1:CB$87,'Fórmula'!D51,34)=0,10^6,INDEX(properties!A$1:CB$87,'Fórmula'!D51,34)),IF(INDEX(properties!A$1:CB$87,'Fórmula'!F51,34)=0,10^6,INDEX(properties!A$1:CB$87,'Fórmula'!F51,34)),IF(INDEX(properties!A$1:CB$87,'Fórmula'!H51,34)=0,10^6,INDEX(properties!A$1:CB$87,'Fórmula'!H51,34)),IF(INDEX(properties!A$1:CB$87,'Fórmula'!J51,34)=0,10^6,INDEX(properties!A$1:CB$87,'Fórmula'!J51,34)))</f>
        <v>0.734</v>
      </c>
      <c r="DK51" s="104">
        <f t="shared" si="19"/>
        <v>2.876</v>
      </c>
      <c r="DL51" s="105">
        <f t="array" ref="DL51">(('Fórmula'!C51)/('Fórmula'!C51+'Fórmula'!E51+'Fórmula'!G51+'Fórmula'!I51+'Fórmula'!K51))*(INDEX(properties!A$1:CB$87,'Fórmula'!B51,37))+(('Fórmula'!E51)/('Fórmula'!C51+'Fórmula'!E51+'Fórmula'!G51+'Fórmula'!I51+'Fórmula'!K51))*(INDEX(properties!A$1:CB$87,'Fórmula'!D51,37))+(('Fórmula'!G51)/('Fórmula'!C51+'Fórmula'!E51+'Fórmula'!G51+'Fórmula'!I51+'Fórmula'!K51))*(INDEX(properties!A$1:CB$87,'Fórmula'!F51,37))+(('Fórmula'!I51)/('Fórmula'!C51+'Fórmula'!E51+'Fórmula'!G51+'Fórmula'!I51+'Fórmula'!K51))*(INDEX(properties!A$1:CB$87,'Fórmula'!H51,37))+(('Fórmula'!K51)/('Fórmula'!C51+'Fórmula'!E51+'Fórmula'!G51+'Fórmula'!I51+'Fórmula'!K51))*(INDEX(properties!A$1:CB$87,'Fórmula'!J51,37))</f>
        <v>2.819565217</v>
      </c>
      <c r="DM51" s="105">
        <f t="array" ref="DM51">'Fórmula'!C51*(INDEX(properties!A$1:CB$87,'Fórmula'!B51,37))+'Fórmula'!E51*(INDEX(properties!A$1:CB$87,'Fórmula'!D51,37))+'Fórmula'!G51*(INDEX(properties!A$1:CB$87,'Fórmula'!F51,37))+'Fórmula'!I51*(INDEX(properties!A$1:CB$87,'Fórmula'!H51,37))+'Fórmula'!K51*(INDEX(properties!A$1:CB$87,'Fórmula'!J51,37))</f>
        <v>64.85</v>
      </c>
      <c r="DN51" s="105">
        <f t="array" ref="DN51">VARP(IF(INDEX(properties!A$1:CB$87,'Fórmula'!B51,37)&lt;&gt;"",INDEX(properties!A$1:CB$87,'Fórmula'!B51,37)),IF(INDEX(properties!A$1:CB$87,'Fórmula'!D51,37)&lt;&gt;"",INDEX(properties!A$1:CB$87,'Fórmula'!D51,37)),IF(INDEX(properties!A$1:CB$87,'Fórmula'!F51,37)&lt;&gt;"",INDEX(properties!A$1:CB$87,'Fórmula'!F51,37)),IF(INDEX(properties!A$1:CB$87,'Fórmula'!H51,37)&lt;&gt;"",INDEX(properties!A$1:CB$87,'Fórmula'!H51,37)),IF(INDEX(properties!A$1:CB$87,'Fórmula'!J51,37)&lt;&gt;"",INDEX(properties!A$1:CB$87,'Fórmula'!J51,37)))</f>
        <v>1.45</v>
      </c>
      <c r="DO51" s="105">
        <f t="array" ref="DO51">MAX(INDEX(properties!A$1:CB$87,'Fórmula'!B51,37),INDEX(properties!A$1:CB$87,'Fórmula'!D51,37),INDEX(properties!A$1:CB$87,'Fórmula'!F51,37),INDEX(properties!A$1:CB$87,'Fórmula'!H51,37),INDEX(properties!A$1:CB$87,'Fórmula'!J51,37))</f>
        <v>3.45</v>
      </c>
      <c r="DP51" s="105">
        <f t="array" ref="DP51">MIN(IF(INDEX(properties!A$1:CB$87,'Fórmula'!B51,37)=0,10^6,INDEX(properties!A$1:CB$87,'Fórmula'!B51,37)),IF(INDEX(properties!A$1:CB$87,'Fórmula'!D51,37)=0,10^6,INDEX(properties!A$1:CB$87,'Fórmula'!D51,37)),IF(INDEX(properties!A$1:CB$87,'Fórmula'!F51,37)=0,10^6,INDEX(properties!A$1:CB$87,'Fórmula'!F51,37)),IF(INDEX(properties!A$1:CB$87,'Fórmula'!H51,37)=0,10^6,INDEX(properties!A$1:CB$87,'Fórmula'!H51,37)),IF(INDEX(properties!A$1:CB$87,'Fórmula'!J51,37)=0,10^6,INDEX(properties!A$1:CB$87,'Fórmula'!J51,37)))</f>
        <v>0.8</v>
      </c>
      <c r="DQ51" s="105">
        <f t="shared" si="20"/>
        <v>2.65</v>
      </c>
      <c r="DR51" s="109">
        <f t="array" ref="DR51">(('Fórmula'!C51)/('Fórmula'!C51+'Fórmula'!E51+'Fórmula'!G51+'Fórmula'!I51+'Fórmula'!K51))*(INDEX(properties!A$1:CB$87,'Fórmula'!B51,39))+(('Fórmula'!E51)/('Fórmula'!C51+'Fórmula'!E51+'Fórmula'!G51+'Fórmula'!I51+'Fórmula'!K51))*(INDEX(properties!A$1:CB$87,'Fórmula'!D51,39))+(('Fórmula'!G51)/('Fórmula'!C51+'Fórmula'!E51+'Fórmula'!G51+'Fórmula'!I51+'Fórmula'!K51))*(INDEX(properties!A$1:CB$87,'Fórmula'!F51,39))+(('Fórmula'!I51)/('Fórmula'!C51+'Fórmula'!E51+'Fórmula'!G51+'Fórmula'!I51+'Fórmula'!K51))*(INDEX(properties!A$1:CB$87,'Fórmula'!H51,39))+(('Fórmula'!K51)/('Fórmula'!C51+'Fórmula'!E51+'Fórmula'!G51+'Fórmula'!I51+'Fórmula'!K51))*(INDEX(properties!A$1:CB$87,'Fórmula'!J51,39))</f>
        <v>0.8517391304</v>
      </c>
      <c r="DS51" s="109">
        <f t="array" ref="DS51">'Fórmula'!C51*(INDEX(properties!A$1:CB$87,'Fórmula'!B51,39))+'Fórmula'!E51*(INDEX(properties!A$1:CB$87,'Fórmula'!D51,39))+'Fórmula'!G51*(INDEX(properties!A$1:CB$87,'Fórmula'!F51,39))+'Fórmula'!I51*(INDEX(properties!A$1:CB$87,'Fórmula'!H51,39))+'Fórmula'!K51*(INDEX(properties!A$1:CB$87,'Fórmula'!J51,39))</f>
        <v>19.59</v>
      </c>
      <c r="DT51" s="109">
        <f t="array" ref="DT51">VARP(IF(INDEX(properties!A$1:CB$87,'Fórmula'!B51,39)&lt;&gt;"",INDEX(properties!A$1:CB$87,'Fórmula'!B51,39)),IF(INDEX(properties!A$1:CB$87,'Fórmula'!D51,39)&lt;&gt;"",INDEX(properties!A$1:CB$87,'Fórmula'!D51,39)),IF(INDEX(properties!A$1:CB$87,'Fórmula'!F51,39)&lt;&gt;"",INDEX(properties!A$1:CB$87,'Fórmula'!F51,39)),IF(INDEX(properties!A$1:CB$87,'Fórmula'!H51,39)&lt;&gt;"",INDEX(properties!A$1:CB$87,'Fórmula'!H51,39)),IF(INDEX(properties!A$1:CB$87,'Fórmula'!J51,39)&lt;&gt;"",INDEX(properties!A$1:CB$87,'Fórmula'!J51,39)))</f>
        <v>1.050664</v>
      </c>
      <c r="DU51" s="120">
        <f t="array" ref="DU51">MAX(INDEX(properties!A$1:CB$87,'Fórmula'!B51,39),INDEX(properties!A$1:CB$87,'Fórmula'!D51,39),INDEX(properties!A$1:CB$87,'Fórmula'!F51,39),INDEX(properties!A$1:CB$87,'Fórmula'!H51,39),INDEX(properties!A$1:CB$87,'Fórmula'!J51,39))</f>
        <v>2.53</v>
      </c>
      <c r="DV51" s="120">
        <f t="array" ref="DV51">MIN(IF(INDEX(properties!A$1:CB$87,'Fórmula'!B51,39)=0,10^6,INDEX(properties!A$1:CB$87,'Fórmula'!B51,39)),IF(INDEX(properties!A$1:CB$87,'Fórmula'!D51,39)=0,10^6,INDEX(properties!A$1:CB$87,'Fórmula'!D51,39)),IF(INDEX(properties!A$1:CB$87,'Fórmula'!F51,39)=0,10^6,INDEX(properties!A$1:CB$87,'Fórmula'!F51,39)),IF(INDEX(properties!A$1:CB$87,'Fórmula'!H51,39)=0,10^6,INDEX(properties!A$1:CB$87,'Fórmula'!H51,39)),IF(INDEX(properties!A$1:CB$87,'Fórmula'!J51,39)=0,10^6,INDEX(properties!A$1:CB$87,'Fórmula'!J51,39)))</f>
        <v>0.48</v>
      </c>
      <c r="DW51" s="109">
        <f t="shared" si="21"/>
        <v>2.05</v>
      </c>
      <c r="DX51" s="110">
        <f t="array" ref="DX51">(('Fórmula'!C51)/('Fórmula'!C51+'Fórmula'!E51+'Fórmula'!G51+'Fórmula'!I51+'Fórmula'!K51))*(INDEX(properties!A$1:CB$87,'Fórmula'!B51,40))+(('Fórmula'!E51)/('Fórmula'!C51+'Fórmula'!E51+'Fórmula'!G51+'Fórmula'!I51+'Fórmula'!K51))*(INDEX(properties!A$1:CB$87,'Fórmula'!D51,40))+(('Fórmula'!G51)/('Fórmula'!C51+'Fórmula'!E51+'Fórmula'!G51+'Fórmula'!I51+'Fórmula'!K51))*(INDEX(properties!A$1:CB$87,'Fórmula'!F51,40))+(('Fórmula'!I51)/('Fórmula'!C51+'Fórmula'!E51+'Fórmula'!G51+'Fórmula'!I51+'Fórmula'!K51))*(INDEX(properties!A$1:CB$87,'Fórmula'!H51,40))+(('Fórmula'!K51)/('Fórmula'!C51+'Fórmula'!E51+'Fórmula'!G51+'Fórmula'!I51+'Fórmula'!K51))*(INDEX(properties!A$1:CB$87,'Fórmula'!J51,40))</f>
        <v>0.9639130435</v>
      </c>
      <c r="DY51" s="110">
        <f t="array" ref="DY51">'Fórmula'!C51*(INDEX(properties!A$1:CB$87,'Fórmula'!B51,40))+'Fórmula'!E51*(INDEX(properties!A$1:CB$87,'Fórmula'!D51,40))+'Fórmula'!G51*(INDEX(properties!A$1:CB$87,'Fórmula'!F51,40))+'Fórmula'!I51*(INDEX(properties!A$1:CB$87,'Fórmula'!H51,40))+'Fórmula'!K51*(INDEX(properties!A$1:CB$87,'Fórmula'!J51,40))</f>
        <v>22.17</v>
      </c>
      <c r="DZ51" s="110">
        <f t="array" ref="DZ51">VARP(IF(INDEX(properties!A$1:CB$87,'Fórmula'!B51,40)&lt;&gt;"",INDEX(properties!A$1:CB$87,'Fórmula'!B51,40)),IF(INDEX(properties!A$1:CB$87,'Fórmula'!D51,40)&lt;&gt;"",INDEX(properties!A$1:CB$87,'Fórmula'!D51,40)),IF(INDEX(properties!A$1:CB$87,'Fórmula'!F51,40)&lt;&gt;"",INDEX(properties!A$1:CB$87,'Fórmula'!F51,40)),IF(INDEX(properties!A$1:CB$87,'Fórmula'!H51,40)&lt;&gt;"",INDEX(properties!A$1:CB$87,'Fórmula'!H51,40)),IF(INDEX(properties!A$1:CB$87,'Fórmula'!J51,40)&lt;&gt;"",INDEX(properties!A$1:CB$87,'Fórmula'!J51,40)))</f>
        <v>0.570384</v>
      </c>
      <c r="EA51" s="121">
        <f t="array" ref="EA51">MAX(INDEX(properties!A$1:CB$87,'Fórmula'!B51,40),INDEX(properties!A$1:CB$87,'Fórmula'!D51,40),INDEX(properties!A$1:CB$87,'Fórmula'!F51,40),INDEX(properties!A$1:CB$87,'Fórmula'!H51,40),INDEX(properties!A$1:CB$87,'Fórmula'!J51,40))</f>
        <v>1.98</v>
      </c>
      <c r="EB51" s="121">
        <f t="array" ref="EB51">MIN(IF(INDEX(properties!A$1:CB$87,'Fórmula'!B51,40)=0,10^6,INDEX(properties!A$1:CB$87,'Fórmula'!B51,40)),IF(INDEX(properties!A$1:CB$87,'Fórmula'!D51,40)=0,10^6,INDEX(properties!A$1:CB$87,'Fórmula'!D51,40)),IF(INDEX(properties!A$1:CB$87,'Fórmula'!F51,40)=0,10^6,INDEX(properties!A$1:CB$87,'Fórmula'!F51,40)),IF(INDEX(properties!A$1:CB$87,'Fórmula'!H51,40)=0,10^6,INDEX(properties!A$1:CB$87,'Fórmula'!H51,40)),IF(INDEX(properties!A$1:CB$87,'Fórmula'!J51,40)=0,10^6,INDEX(properties!A$1:CB$87,'Fórmula'!J51,40)))</f>
        <v>0.73</v>
      </c>
      <c r="EC51" s="110">
        <f t="shared" si="22"/>
        <v>1.25</v>
      </c>
      <c r="ED51" s="111">
        <f t="array" ref="ED51">(('Fórmula'!C51)/('Fórmula'!C51+'Fórmula'!E51+'Fórmula'!G51+'Fórmula'!I51+'Fórmula'!K51))*(INDEX(properties!A$1:CB$87,'Fórmula'!B51,41))+(('Fórmula'!E51)/('Fórmula'!C51+'Fórmula'!E51+'Fórmula'!G51+'Fórmula'!I51+'Fórmula'!K51))*(INDEX(properties!A$1:CB$87,'Fórmula'!D51,41))+(('Fórmula'!G51)/('Fórmula'!C51+'Fórmula'!E51+'Fórmula'!G51+'Fórmula'!I51+'Fórmula'!K51))*(INDEX(properties!A$1:CB$87,'Fórmula'!F51,41))+(('Fórmula'!I51)/('Fórmula'!C51+'Fórmula'!E51+'Fórmula'!G51+'Fórmula'!I51+'Fórmula'!K51))*(INDEX(properties!A$1:CB$87,'Fórmula'!H51,41))+(('Fórmula'!K51)/('Fórmula'!C51+'Fórmula'!E51+'Fórmula'!G51+'Fórmula'!I51+'Fórmula'!K51))*(INDEX(properties!A$1:CB$87,'Fórmula'!J51,41))</f>
        <v>1.143478261</v>
      </c>
      <c r="EE51" s="111">
        <f t="array" ref="EE51">'Fórmula'!C51*(INDEX(properties!A$1:CB$87,'Fórmula'!B51,41))+'Fórmula'!E51*(INDEX(properties!A$1:CB$87,'Fórmula'!D51,41))+'Fórmula'!G51*(INDEX(properties!A$1:CB$87,'Fórmula'!F51,41))+'Fórmula'!I51*(INDEX(properties!A$1:CB$87,'Fórmula'!H51,41))+'Fórmula'!K51*(INDEX(properties!A$1:CB$87,'Fórmula'!J51,41))</f>
        <v>26.3</v>
      </c>
      <c r="EF51" s="111">
        <f t="array" ref="EF51">VARP(IF(INDEX(properties!A$1:CB$87,'Fórmula'!B51,41)&lt;&gt;"",INDEX(properties!A$1:CB$87,'Fórmula'!B51,41)),IF(INDEX(properties!A$1:CB$87,'Fórmula'!D51,41)&lt;&gt;"",INDEX(properties!A$1:CB$87,'Fórmula'!D51,41)),IF(INDEX(properties!A$1:CB$87,'Fórmula'!F51,41)&lt;&gt;"",INDEX(properties!A$1:CB$87,'Fórmula'!F51,41)),IF(INDEX(properties!A$1:CB$87,'Fórmula'!H51,41)&lt;&gt;"",INDEX(properties!A$1:CB$87,'Fórmula'!H51,41)),IF(INDEX(properties!A$1:CB$87,'Fórmula'!J51,41)&lt;&gt;"",INDEX(properties!A$1:CB$87,'Fórmula'!J51,41)))</f>
        <v>0.35</v>
      </c>
      <c r="EG51" s="122">
        <f t="array" ref="EG51">MAX(INDEX(properties!A$1:CB$87,'Fórmula'!B51,41),INDEX(properties!A$1:CB$87,'Fórmula'!D51,41),INDEX(properties!A$1:CB$87,'Fórmula'!F51,41),INDEX(properties!A$1:CB$87,'Fórmula'!H51,41),INDEX(properties!A$1:CB$87,'Fórmula'!J51,41))</f>
        <v>1.52</v>
      </c>
      <c r="EH51" s="122">
        <f t="array" ref="EH51">MIN(IF(INDEX(properties!A$1:CB$87,'Fórmula'!B51,41)=0,10^6,INDEX(properties!A$1:CB$87,'Fórmula'!B51,41)),IF(INDEX(properties!A$1:CB$87,'Fórmula'!D51,41)=0,10^6,INDEX(properties!A$1:CB$87,'Fórmula'!D51,41)),IF(INDEX(properties!A$1:CB$87,'Fórmula'!F51,41)=0,10^6,INDEX(properties!A$1:CB$87,'Fórmula'!F51,41)),IF(INDEX(properties!A$1:CB$87,'Fórmula'!H51,41)=0,10^6,INDEX(properties!A$1:CB$87,'Fórmula'!H51,41)),IF(INDEX(properties!A$1:CB$87,'Fórmula'!J51,41)=0,10^6,INDEX(properties!A$1:CB$87,'Fórmula'!J51,41)))</f>
        <v>0.58</v>
      </c>
      <c r="EI51" s="111">
        <f t="shared" si="23"/>
        <v>0.94</v>
      </c>
      <c r="EJ51" s="112">
        <f t="array" ref="EJ51">(('Fórmula'!C51)/('Fórmula'!C51+'Fórmula'!E51+'Fórmula'!G51+'Fórmula'!I51+'Fórmula'!K51))*(INDEX(properties!A$1:CB$87,'Fórmula'!B51,45))+(('Fórmula'!E51)/('Fórmula'!C51+'Fórmula'!E51+'Fórmula'!G51+'Fórmula'!I51+'Fórmula'!K51))*(INDEX(properties!A$1:CB$87,'Fórmula'!D51,45))+(('Fórmula'!G51)/('Fórmula'!C51+'Fórmula'!E51+'Fórmula'!G51+'Fórmula'!I51+'Fórmula'!K51))*(INDEX(properties!A$1:CB$87,'Fórmula'!F51,45))+(('Fórmula'!I51)/('Fórmula'!C51+'Fórmula'!E51+'Fórmula'!G51+'Fórmula'!I51+'Fórmula'!K51))*(INDEX(properties!A$1:CB$87,'Fórmula'!H51,45))+(('Fórmula'!K51)/('Fórmula'!C51+'Fórmula'!E51+'Fórmula'!G51+'Fórmula'!I51+'Fórmula'!K51))*(INDEX(properties!A$1:CB$87,'Fórmula'!J51,45))</f>
        <v>1.032173913</v>
      </c>
      <c r="EK51" s="112">
        <f t="array" ref="EK51">'Fórmula'!C51*(INDEX(properties!A$1:CB$87,'Fórmula'!B51,45))+'Fórmula'!E51*(INDEX(properties!A$1:CB$87,'Fórmula'!D51,45))+'Fórmula'!G51*(INDEX(properties!A$1:CB$87,'Fórmula'!F51,45))+'Fórmula'!I51*(INDEX(properties!A$1:CB$87,'Fórmula'!H51,45))+'Fórmula'!K51*(INDEX(properties!A$1:CB$87,'Fórmula'!J51,45))</f>
        <v>23.74</v>
      </c>
      <c r="EL51" s="112">
        <f t="array" ref="EL51">VARP(IF(INDEX(properties!A$1:CB$87,'Fórmula'!B51,45)&lt;&gt;"",INDEX(properties!A$1:CB$87,'Fórmula'!B51,45)),IF(INDEX(properties!A$1:CB$87,'Fórmula'!D51,45)&lt;&gt;"",INDEX(properties!A$1:CB$87,'Fórmula'!D51,45)),IF(INDEX(properties!A$1:CB$87,'Fórmula'!F51,45)&lt;&gt;"",INDEX(properties!A$1:CB$87,'Fórmula'!F51,45)),IF(INDEX(properties!A$1:CB$87,'Fórmula'!H51,45)&lt;&gt;"",INDEX(properties!A$1:CB$87,'Fórmula'!H51,45)),IF(INDEX(properties!A$1:CB$87,'Fórmula'!J51,45)&lt;&gt;"",INDEX(properties!A$1:CB$87,'Fórmula'!J51,45)))</f>
        <v>2.28932</v>
      </c>
      <c r="EM51" s="123">
        <f t="array" ref="EM51">MAX(INDEX(properties!A$1:CB$87,'Fórmula'!B51,45),INDEX(properties!A$1:CB$87,'Fórmula'!D51,45),INDEX(properties!A$1:CB$87,'Fórmula'!F51,45),INDEX(properties!A$1:CB$87,'Fórmula'!H51,45),INDEX(properties!A$1:CB$87,'Fórmula'!J51,45))</f>
        <v>3.69</v>
      </c>
      <c r="EN51" s="123">
        <f t="array" ref="EN51">MIN(IF(INDEX(properties!A$1:CB$87,'Fórmula'!B51,45)=0,10^6,INDEX(properties!A$1:CB$87,'Fórmula'!B51,45)),IF(INDEX(properties!A$1:CB$87,'Fórmula'!D51,45)=0,10^6,INDEX(properties!A$1:CB$87,'Fórmula'!D51,45)),IF(INDEX(properties!A$1:CB$87,'Fórmula'!F51,45)=0,10^6,INDEX(properties!A$1:CB$87,'Fórmula'!F51,45)),IF(INDEX(properties!A$1:CB$87,'Fórmula'!H51,45)=0,10^6,INDEX(properties!A$1:CB$87,'Fórmula'!H51,45)),IF(INDEX(properties!A$1:CB$87,'Fórmula'!J51,45)=0,10^6,INDEX(properties!A$1:CB$87,'Fórmula'!J51,45)))</f>
        <v>0.47</v>
      </c>
      <c r="EO51" s="112">
        <f t="shared" si="24"/>
        <v>3.22</v>
      </c>
      <c r="EP51" s="113">
        <f t="array" ref="EP51">(('Fórmula'!C51)/('Fórmula'!C51+'Fórmula'!E51+'Fórmula'!G51+'Fórmula'!I51+'Fórmula'!K51))*(INDEX(properties!A$1:CB$87,'Fórmula'!B51,46))+(('Fórmula'!E51)/('Fórmula'!C51+'Fórmula'!E51+'Fórmula'!G51+'Fórmula'!I51+'Fórmula'!K51))*(INDEX(properties!A$1:CB$87,'Fórmula'!D51,46))+(('Fórmula'!G51)/('Fórmula'!C51+'Fórmula'!E51+'Fórmula'!G51+'Fórmula'!I51+'Fórmula'!K51))*(INDEX(properties!A$1:CB$87,'Fórmula'!F51,46))+(('Fórmula'!I51)/('Fórmula'!C51+'Fórmula'!E51+'Fórmula'!G51+'Fórmula'!I51+'Fórmula'!K51))*(INDEX(properties!A$1:CB$87,'Fórmula'!H51,46))+(('Fórmula'!K51)/('Fórmula'!C51+'Fórmula'!E51+'Fórmula'!G51+'Fórmula'!I51+'Fórmula'!K51))*(INDEX(properties!A$1:CB$87,'Fórmula'!J51,46))</f>
        <v>1.052173913</v>
      </c>
      <c r="EQ51" s="113">
        <f t="array" ref="EQ51">'Fórmula'!C51*(INDEX(properties!A$1:CB$87,'Fórmula'!B51,46))+'Fórmula'!E51*(INDEX(properties!A$1:CB$87,'Fórmula'!D51,46))+'Fórmula'!G51*(INDEX(properties!A$1:CB$87,'Fórmula'!F51,46))+'Fórmula'!I51*(INDEX(properties!A$1:CB$87,'Fórmula'!H51,46))+'Fórmula'!K51*(INDEX(properties!A$1:CB$87,'Fórmula'!J51,46))</f>
        <v>24.2</v>
      </c>
      <c r="ER51" s="113">
        <f t="array" ref="ER51">VARP(IF(INDEX(properties!A$1:CB$87,'Fórmula'!B51,46)&lt;&gt;"",INDEX(properties!A$1:CB$87,'Fórmula'!B51,46)),IF(INDEX(properties!A$1:CB$87,'Fórmula'!D51,46)&lt;&gt;"",INDEX(properties!A$1:CB$87,'Fórmula'!D51,46)),IF(INDEX(properties!A$1:CB$87,'Fórmula'!F51,46)&lt;&gt;"",INDEX(properties!A$1:CB$87,'Fórmula'!F51,46)),IF(INDEX(properties!A$1:CB$87,'Fórmula'!H51,46)&lt;&gt;"",INDEX(properties!A$1:CB$87,'Fórmula'!H51,46)),IF(INDEX(properties!A$1:CB$87,'Fórmula'!J51,46)&lt;&gt;"",INDEX(properties!A$1:CB$87,'Fórmula'!J51,46)))</f>
        <v>0.397304</v>
      </c>
      <c r="ES51" s="124">
        <f t="array" ref="ES51">MAX(INDEX(properties!A$1:CB$87,'Fórmula'!B51,46),INDEX(properties!A$1:CB$87,'Fórmula'!D51,46),INDEX(properties!A$1:CB$87,'Fórmula'!F51,46),INDEX(properties!A$1:CB$87,'Fórmula'!H51,46),INDEX(properties!A$1:CB$87,'Fórmula'!J51,46))</f>
        <v>1.52</v>
      </c>
      <c r="ET51" s="124">
        <f t="array" ref="ET51">MIN(IF(INDEX(properties!A$1:CB$87,'Fórmula'!B51,46)=0,10^6,INDEX(properties!A$1:CB$87,'Fórmula'!B51,46)),IF(INDEX(properties!A$1:CB$87,'Fórmula'!D51,46)=0,10^6,INDEX(properties!A$1:CB$87,'Fórmula'!D51,46)),IF(INDEX(properties!A$1:CB$87,'Fórmula'!F51,46)=0,10^6,INDEX(properties!A$1:CB$87,'Fórmula'!F51,46)),IF(INDEX(properties!A$1:CB$87,'Fórmula'!H51,46)=0,10^6,INDEX(properties!A$1:CB$87,'Fórmula'!H51,46)),IF(INDEX(properties!A$1:CB$87,'Fórmula'!J51,46)=0,10^6,INDEX(properties!A$1:CB$87,'Fórmula'!J51,46)))</f>
        <v>0.31</v>
      </c>
      <c r="EU51" s="113">
        <f t="shared" si="25"/>
        <v>1.21</v>
      </c>
      <c r="EV51" s="114">
        <f t="array" ref="EV51">(('Fórmula'!C51)/('Fórmula'!C51+'Fórmula'!E51+'Fórmula'!G51+'Fórmula'!I51+'Fórmula'!K51))*(INDEX(properties!A$1:CB$87,'Fórmula'!B51,52))+(('Fórmula'!E51)/('Fórmula'!C51+'Fórmula'!E51+'Fórmula'!G51+'Fórmula'!I51+'Fórmula'!K51))*(INDEX(properties!A$1:CB$87,'Fórmula'!D51,52))+(('Fórmula'!G51)/('Fórmula'!C51+'Fórmula'!E51+'Fórmula'!G51+'Fórmula'!I51+'Fórmula'!K51))*(INDEX(properties!A$1:CB$87,'Fórmula'!F51,52))+(('Fórmula'!I51)/('Fórmula'!C51+'Fórmula'!E51+'Fórmula'!G51+'Fórmula'!I51+'Fórmula'!K51))*(INDEX(properties!A$1:CB$87,'Fórmula'!H51,52))+(('Fórmula'!K51)/('Fórmula'!C51+'Fórmula'!E51+'Fórmula'!G51+'Fórmula'!I51+'Fórmula'!K51))*(INDEX(properties!A$1:CB$87,'Fórmula'!J51,52))</f>
        <v>6.638913043</v>
      </c>
      <c r="EW51" s="114">
        <f t="array" ref="EW51">'Fórmula'!C51*(INDEX(properties!A$1:CB$87,'Fórmula'!B51,52))+'Fórmula'!E51*(INDEX(properties!A$1:CB$87,'Fórmula'!D51,52))+'Fórmula'!G51*(INDEX(properties!A$1:CB$87,'Fórmula'!F51,52))+'Fórmula'!I51*(INDEX(properties!A$1:CB$87,'Fórmula'!H51,52))+'Fórmula'!K51*(INDEX(properties!A$1:CB$87,'Fórmula'!J51,52))</f>
        <v>152.695</v>
      </c>
      <c r="EX51" s="114">
        <f t="array" ref="EX51">VARP(IF(INDEX(properties!A$1:CB$87,'Fórmula'!B51,52)&lt;&gt;"",INDEX(properties!A$1:CB$87,'Fórmula'!B51,52)),IF(INDEX(properties!A$1:CB$87,'Fórmula'!D51,52)&lt;&gt;"",INDEX(properties!A$1:CB$87,'Fórmula'!D51,52)),IF(INDEX(properties!A$1:CB$87,'Fórmula'!F51,52)&lt;&gt;"",INDEX(properties!A$1:CB$87,'Fórmula'!F51,52)),IF(INDEX(properties!A$1:CB$87,'Fórmula'!H51,52)&lt;&gt;"",INDEX(properties!A$1:CB$87,'Fórmula'!H51,52)),IF(INDEX(properties!A$1:CB$87,'Fórmula'!J51,52)&lt;&gt;"",INDEX(properties!A$1:CB$87,'Fórmula'!J51,52)))</f>
        <v>388.4467678</v>
      </c>
      <c r="EY51" s="114">
        <f t="array" ref="EY51">MAX(INDEX(properties!A$1:CB$87,'Fórmula'!B51,52),INDEX(properties!A$1:CB$87,'Fórmula'!D51,52),INDEX(properties!A$1:CB$87,'Fórmula'!F51,52),INDEX(properties!A$1:CB$87,'Fórmula'!H51,52),INDEX(properties!A$1:CB$87,'Fórmula'!J51,52))</f>
        <v>43.4</v>
      </c>
      <c r="EZ51" s="114">
        <f t="array" ref="EZ51">MIN(IF(INDEX(properties!A$1:CB$87,'Fórmula'!B51,52)=0,10^6,INDEX(properties!A$1:CB$87,'Fórmula'!B51,52)),IF(INDEX(properties!A$1:CB$87,'Fórmula'!D51,52)=0,10^6,INDEX(properties!A$1:CB$87,'Fórmula'!D51,52)),IF(INDEX(properties!A$1:CB$87,'Fórmula'!F51,52)=0,10^6,INDEX(properties!A$1:CB$87,'Fórmula'!F51,52)),IF(INDEX(properties!A$1:CB$87,'Fórmula'!H51,52)=0,10^6,INDEX(properties!A$1:CB$87,'Fórmula'!H51,52)),IF(INDEX(properties!A$1:CB$87,'Fórmula'!J51,52)=0,10^6,INDEX(properties!A$1:CB$87,'Fórmula'!J51,52)))</f>
        <v>0.793</v>
      </c>
      <c r="FA51" s="114">
        <f t="shared" si="26"/>
        <v>42.607</v>
      </c>
      <c r="FB51" s="115">
        <f t="array" ref="FB51">(('Fórmula'!C51)/('Fórmula'!C51+'Fórmula'!E51+'Fórmula'!G51+'Fórmula'!I51+'Fórmula'!K51))*(INDEX(properties!A$1:CB$87,'Fórmula'!B51,53))+(('Fórmula'!E51)/('Fórmula'!C51+'Fórmula'!E51+'Fórmula'!G51+'Fórmula'!I51+'Fórmula'!K51))*(INDEX(properties!A$1:CB$87,'Fórmula'!D51,53))+(('Fórmula'!G51)/('Fórmula'!C51+'Fórmula'!E51+'Fórmula'!G51+'Fórmula'!I51+'Fórmula'!K51))*(INDEX(properties!A$1:CB$87,'Fórmula'!F51,53))+(('Fórmula'!I51)/('Fórmula'!C51+'Fórmula'!E51+'Fórmula'!G51+'Fórmula'!I51+'Fórmula'!K51))*(INDEX(properties!A$1:CB$87,'Fórmula'!H51,53))+(('Fórmula'!K51)/('Fórmula'!C51+'Fórmula'!E51+'Fórmula'!G51+'Fórmula'!I51+'Fórmula'!K51))*(INDEX(properties!A$1:CB$87,'Fórmula'!J51,53))</f>
        <v>206.0956522</v>
      </c>
      <c r="FC51" s="115">
        <f t="array" ref="FC51">'Fórmula'!C51*(INDEX(properties!A$1:CB$87,'Fórmula'!B51,53))+'Fórmula'!E51*(INDEX(properties!A$1:CB$87,'Fórmula'!D51,53))+'Fórmula'!G51*(INDEX(properties!A$1:CB$87,'Fórmula'!F51,53))+'Fórmula'!I51*(INDEX(properties!A$1:CB$87,'Fórmula'!H51,53))+'Fórmula'!K51*(INDEX(properties!A$1:CB$87,'Fórmula'!J51,53))</f>
        <v>4740.2</v>
      </c>
      <c r="FD51" s="115">
        <f t="array" ref="FD51">VARP(IF(INDEX(properties!A$1:CB$87,'Fórmula'!B51,53)&lt;&gt;"",INDEX(properties!A$1:CB$87,'Fórmula'!B51,53)),IF(INDEX(properties!A$1:CB$87,'Fórmula'!D51,53)&lt;&gt;"",INDEX(properties!A$1:CB$87,'Fórmula'!D51,53)),IF(INDEX(properties!A$1:CB$87,'Fórmula'!F51,53)&lt;&gt;"",INDEX(properties!A$1:CB$87,'Fórmula'!F51,53)),IF(INDEX(properties!A$1:CB$87,'Fórmula'!H51,53)&lt;&gt;"",INDEX(properties!A$1:CB$87,'Fórmula'!H51,53)),IF(INDEX(properties!A$1:CB$87,'Fórmula'!J51,53)&lt;&gt;"",INDEX(properties!A$1:CB$87,'Fórmula'!J51,53)))</f>
        <v>126130.1854</v>
      </c>
      <c r="FE51" s="115">
        <f t="array" ref="FE51">MAX(INDEX(properties!A$1:CB$87,'Fórmula'!B51,53),INDEX(properties!A$1:CB$87,'Fórmula'!D51,53),INDEX(properties!A$1:CB$87,'Fórmula'!F51,53),INDEX(properties!A$1:CB$87,'Fórmula'!H51,53),INDEX(properties!A$1:CB$87,'Fórmula'!J51,53))</f>
        <v>998.15</v>
      </c>
      <c r="FF51" s="115">
        <f t="array" ref="FF51">MIN(IF(INDEX(properties!A$1:CB$87,'Fórmula'!B51,53)=0,10^6,INDEX(properties!A$1:CB$87,'Fórmula'!B51,53)),IF(INDEX(properties!A$1:CB$87,'Fórmula'!D51,53)=0,10^6,INDEX(properties!A$1:CB$87,'Fórmula'!D51,53)),IF(INDEX(properties!A$1:CB$87,'Fórmula'!F51,53)=0,10^6,INDEX(properties!A$1:CB$87,'Fórmula'!F51,53)),IF(INDEX(properties!A$1:CB$87,'Fórmula'!H51,53)=0,10^6,INDEX(properties!A$1:CB$87,'Fórmula'!H51,53)),IF(INDEX(properties!A$1:CB$87,'Fórmula'!J51,53)=0,10^6,INDEX(properties!A$1:CB$87,'Fórmula'!J51,53)))</f>
        <v>54.75</v>
      </c>
      <c r="FG51" s="115">
        <f t="shared" si="27"/>
        <v>943.4</v>
      </c>
      <c r="FH51" s="117">
        <f t="array" ref="FH51">(('Fórmula'!C51)/('Fórmula'!C51+'Fórmula'!E51+'Fórmula'!G51+'Fórmula'!I51+'Fórmula'!K51))*(INDEX(properties!A$1:CB$87,'Fórmula'!B51,54))+(('Fórmula'!E51)/('Fórmula'!C51+'Fórmula'!E51+'Fórmula'!G51+'Fórmula'!I51+'Fórmula'!K51))*(INDEX(properties!A$1:CB$87,'Fórmula'!D51,54))+(('Fórmula'!G51)/('Fórmula'!C51+'Fórmula'!E51+'Fórmula'!G51+'Fórmula'!I51+'Fórmula'!K51))*(INDEX(properties!A$1:CB$87,'Fórmula'!F51,54))+(('Fórmula'!I51)/('Fórmula'!C51+'Fórmula'!E51+'Fórmula'!G51+'Fórmula'!I51+'Fórmula'!K51))*(INDEX(properties!A$1:CB$87,'Fórmula'!H51,54))+(('Fórmula'!K51)/('Fórmula'!C51+'Fórmula'!E51+'Fórmula'!G51+'Fórmula'!I51+'Fórmula'!K51))*(INDEX(properties!A$1:CB$87,'Fórmula'!J51,54))</f>
        <v>390.323913</v>
      </c>
      <c r="FI51" s="117">
        <f t="array" ref="FI51">'Fórmula'!C51*(INDEX(properties!A$1:CB$87,'Fórmula'!B51,54))+'Fórmula'!E51*(INDEX(properties!A$1:CB$87,'Fórmula'!D51,54))+'Fórmula'!G51*(INDEX(properties!A$1:CB$87,'Fórmula'!F51,54))+'Fórmula'!I51*(INDEX(properties!A$1:CB$87,'Fórmula'!H51,54))+'Fórmula'!K51*(INDEX(properties!A$1:CB$87,'Fórmula'!J51,54))</f>
        <v>8977.45</v>
      </c>
      <c r="FJ51" s="117">
        <f t="array" ref="FJ51">VARP(IF(INDEX(properties!A$1:CB$87,'Fórmula'!B51,54)&lt;&gt;"",INDEX(properties!A$1:CB$87,'Fórmula'!B51,54)),IF(INDEX(properties!A$1:CB$87,'Fórmula'!D51,54)&lt;&gt;"",INDEX(properties!A$1:CB$87,'Fórmula'!D51,54)),IF(INDEX(properties!A$1:CB$87,'Fórmula'!F51,54)&lt;&gt;"",INDEX(properties!A$1:CB$87,'Fórmula'!F51,54)),IF(INDEX(properties!A$1:CB$87,'Fórmula'!H51,54)&lt;&gt;"",INDEX(properties!A$1:CB$87,'Fórmula'!H51,54)),IF(INDEX(properties!A$1:CB$87,'Fórmula'!J51,54)&lt;&gt;"",INDEX(properties!A$1:CB$87,'Fórmula'!J51,54)))</f>
        <v>492919.6316</v>
      </c>
      <c r="FK51" s="117">
        <f t="array" ref="FK51">MAX(INDEX(properties!A$1:CB$87,'Fórmula'!B51,54),INDEX(properties!A$1:CB$87,'Fórmula'!D51,54),INDEX(properties!A$1:CB$87,'Fórmula'!F51,54),INDEX(properties!A$1:CB$87,'Fórmula'!H51,54),INDEX(properties!A$1:CB$87,'Fórmula'!J51,54))</f>
        <v>1913.15</v>
      </c>
      <c r="FL51" s="117">
        <f t="array" ref="FL51">MIN(IF(INDEX(properties!A$1:CB$87,'Fórmula'!B51,54)=0,10^6,INDEX(properties!A$1:CB$87,'Fórmula'!B51,54)),IF(INDEX(properties!A$1:CB$87,'Fórmula'!D51,54)=0,10^6,INDEX(properties!A$1:CB$87,'Fórmula'!D51,54)),IF(INDEX(properties!A$1:CB$87,'Fórmula'!F51,54)=0,10^6,INDEX(properties!A$1:CB$87,'Fórmula'!F51,54)),IF(INDEX(properties!A$1:CB$87,'Fórmula'!H51,54)=0,10^6,INDEX(properties!A$1:CB$87,'Fórmula'!H51,54)),IF(INDEX(properties!A$1:CB$87,'Fórmula'!J51,54)=0,10^6,INDEX(properties!A$1:CB$87,'Fórmula'!J51,54)))</f>
        <v>90.15</v>
      </c>
      <c r="FM51" s="117">
        <f t="shared" si="28"/>
        <v>1823</v>
      </c>
      <c r="FN51" s="118">
        <f t="array" ref="FN51">(('Fórmula'!C51)/('Fórmula'!C51+'Fórmula'!E51+'Fórmula'!G51+'Fórmula'!I51+'Fórmula'!K51))*(INDEX(properties!A$1:CB$87,'Fórmula'!B51,55))+(('Fórmula'!E51)/('Fórmula'!C51+'Fórmula'!E51+'Fórmula'!G51+'Fórmula'!I51+'Fórmula'!K51))*(INDEX(properties!A$1:CB$87,'Fórmula'!D51,55))+(('Fórmula'!G51)/('Fórmula'!C51+'Fórmula'!E51+'Fórmula'!G51+'Fórmula'!I51+'Fórmula'!K51))*(INDEX(properties!A$1:CB$87,'Fórmula'!F51,55))+(('Fórmula'!I51)/('Fórmula'!C51+'Fórmula'!E51+'Fórmula'!G51+'Fórmula'!I51+'Fórmula'!K51))*(INDEX(properties!A$1:CB$87,'Fórmula'!H51,55))+(('Fórmula'!K51)/('Fórmula'!C51+'Fórmula'!E51+'Fórmula'!G51+'Fórmula'!I51+'Fórmula'!K51))*(INDEX(properties!A$1:CB$87,'Fórmula'!J51,55))</f>
        <v>0.738323913</v>
      </c>
      <c r="FO51" s="118">
        <f t="array" ref="FO51">'Fórmula'!C51*(INDEX(properties!A$1:CB$87,'Fórmula'!B51,55))+'Fórmula'!E51*(INDEX(properties!A$1:CB$87,'Fórmula'!D51,54))+'Fórmula'!G51*(INDEX(properties!A$1:CB$87,'Fórmula'!F51,55))+'Fórmula'!I51*(INDEX(properties!A$1:CB$87,'Fórmula'!H51,55))+'Fórmula'!K51*(INDEX(properties!A$1:CB$87,'Fórmula'!J51,55))</f>
        <v>3836.28145</v>
      </c>
      <c r="FP51" s="118">
        <f t="array" ref="FP51">VARP(IF(INDEX(properties!A$1:CB$87,'Fórmula'!B51,55)&lt;&gt;"",INDEX(properties!A$1:CB$87,'Fórmula'!B51,55)),IF(INDEX(properties!A$1:CB$87,'Fórmula'!D51,55)&lt;&gt;"",INDEX(properties!A$1:CB$87,'Fórmula'!D51,55)),IF(INDEX(properties!A$1:CB$87,'Fórmula'!F51,55)&lt;&gt;"",INDEX(properties!A$1:CB$87,'Fórmula'!F51,55)),IF(INDEX(properties!A$1:CB$87,'Fórmula'!H51,55)&lt;&gt;"",INDEX(properties!A$1:CB$87,'Fórmula'!H51,55)),IF(INDEX(properties!A$1:CB$87,'Fórmula'!J51,55)&lt;&gt;"",INDEX(properties!A$1:CB$87,'Fórmula'!J51,55)))</f>
        <v>1.731997335</v>
      </c>
      <c r="FQ51" s="118">
        <f t="array" ref="FQ51">MAX(INDEX(properties!A$1:CB$87,'Fórmula'!B51,55),INDEX(properties!A$1:CB$87,'Fórmula'!D51,55),INDEX(properties!A$1:CB$87,'Fórmula'!F51,55),INDEX(properties!A$1:CB$87,'Fórmula'!H51,55),INDEX(properties!A$1:CB$87,'Fórmula'!J51,55))</f>
        <v>3.5</v>
      </c>
      <c r="FR51" s="118">
        <f t="array" ref="FR51">MIN(IF(INDEX(properties!A$1:CB$87,'Fórmula'!B51,55)=0,10^6,INDEX(properties!A$1:CB$87,'Fórmula'!B51,55)),IF(INDEX(properties!A$1:CB$87,'Fórmula'!D51,55)=0,10^6,INDEX(properties!A$1:CB$87,'Fórmula'!D51,55)),IF(INDEX(properties!A$1:CB$87,'Fórmula'!F51,55)=0,10^6,INDEX(properties!A$1:CB$87,'Fórmula'!F51,55)),IF(INDEX(properties!A$1:CB$87,'Fórmula'!H51,55)=0,10^6,INDEX(properties!A$1:CB$87,'Fórmula'!H51,55)),IF(INDEX(properties!A$1:CB$87,'Fórmula'!J51,55)=0,10^6,INDEX(properties!A$1:CB$87,'Fórmula'!J51,55)))</f>
        <v>0.00143</v>
      </c>
      <c r="FS51" s="118">
        <f t="shared" si="29"/>
        <v>3.49857</v>
      </c>
      <c r="FT51" s="119">
        <f t="array" ref="FT51">(('Fórmula'!C51)/('Fórmula'!C51+'Fórmula'!E51+'Fórmula'!G51+'Fórmula'!I51+'Fórmula'!K51))*(INDEX(properties!A$1:CB$87,'Fórmula'!B51,56))+(('Fórmula'!E51)/('Fórmula'!C51+'Fórmula'!E51+'Fórmula'!G51+'Fórmula'!I51+'Fórmula'!K51))*(INDEX(properties!A$1:CB$87,'Fórmula'!D51,56))+(('Fórmula'!G51)/('Fórmula'!C51+'Fórmula'!E51+'Fórmula'!G51+'Fórmula'!I51+'Fórmula'!K51))*(INDEX(properties!A$1:CB$87,'Fórmula'!F51,56))+(('Fórmula'!I51)/('Fórmula'!C51+'Fórmula'!E51+'Fórmula'!G51+'Fórmula'!I51+'Fórmula'!K51))*(INDEX(properties!A$1:CB$87,'Fórmula'!H51,56))+(('Fórmula'!K51)/('Fórmula'!C51+'Fórmula'!E51+'Fórmula'!G51+'Fórmula'!I51+'Fórmula'!K51))*(INDEX(properties!A$1:CB$87,'Fórmula'!J51,56))</f>
        <v>0.8177391304</v>
      </c>
      <c r="FU51" s="119">
        <f t="array" ref="FU51">'Fórmula'!C51*(INDEX(properties!A$1:CB$87,'Fórmula'!B51,56))+'Fórmula'!E51*(INDEX(properties!A$1:CB$87,'Fórmula'!D51,56))+'Fórmula'!G51*(INDEX(properties!A$1:CB$87,'Fórmula'!F51,56))+'Fórmula'!I51*(INDEX(properties!A$1:CB$87,'Fórmula'!H51,56))+'Fórmula'!K51*(INDEX(properties!A$1:CB$87,'Fórmula'!J51,56))</f>
        <v>18.808</v>
      </c>
      <c r="FV51" s="119">
        <f t="array" ref="FV51">VARP(IF(INDEX(properties!A$1:CB$87,'Fórmula'!B51,56)&lt;&gt;"",INDEX(properties!A$1:CB$87,'Fórmula'!B51,56)),IF(INDEX(properties!A$1:CB$87,'Fórmula'!D51,56)&lt;&gt;"",INDEX(properties!A$1:CB$87,'Fórmula'!D51,56)),IF(INDEX(properties!A$1:CB$87,'Fórmula'!F51,56)&lt;&gt;"",INDEX(properties!A$1:CB$87,'Fórmula'!F51,56)),IF(INDEX(properties!A$1:CB$87,'Fórmula'!H51,56)&lt;&gt;"",INDEX(properties!A$1:CB$87,'Fórmula'!H51,56)),IF(INDEX(properties!A$1:CB$87,'Fórmula'!J51,56)&lt;&gt;"",INDEX(properties!A$1:CB$87,'Fórmula'!J51,56)))</f>
        <v>0.12905376</v>
      </c>
      <c r="FW51" s="119">
        <f t="array" ref="FW51">MAX(INDEX(properties!A$1:CB$87,'Fórmula'!B51,56),INDEX(properties!A$1:CB$87,'Fórmula'!D51,56),INDEX(properties!A$1:CB$87,'Fórmula'!F51,56),INDEX(properties!A$1:CB$87,'Fórmula'!H51,56),INDEX(properties!A$1:CB$87,'Fórmula'!J51,56))</f>
        <v>0.92</v>
      </c>
      <c r="FX51" s="119">
        <f t="array" ref="FX51">MIN(IF(INDEX(properties!A$1:CB$87,'Fórmula'!B51,56)=0,10^6,INDEX(properties!A$1:CB$87,'Fórmula'!B51,56)),IF(INDEX(properties!A$1:CB$87,'Fórmula'!D51,56)=0,10^6,INDEX(properties!A$1:CB$87,'Fórmula'!D51,56)),IF(INDEX(properties!A$1:CB$87,'Fórmula'!F51,56)=0,10^6,INDEX(properties!A$1:CB$87,'Fórmula'!F51,56)),IF(INDEX(properties!A$1:CB$87,'Fórmula'!H51,56)=0,10^6,INDEX(properties!A$1:CB$87,'Fórmula'!H51,56)),IF(INDEX(properties!A$1:CB$87,'Fórmula'!J51,56)=0,10^6,INDEX(properties!A$1:CB$87,'Fórmula'!J51,56)))</f>
        <v>0.204</v>
      </c>
      <c r="FY51" s="119">
        <f t="shared" si="30"/>
        <v>0.716</v>
      </c>
      <c r="FZ51" s="104">
        <f t="array" ref="FZ51">(('Fórmula'!C51)/('Fórmula'!C51+'Fórmula'!E51+'Fórmula'!G51+'Fórmula'!I51+'Fórmula'!K51))*(INDEX(properties!A$1:CB$87,'Fórmula'!B51,57))+(('Fórmula'!E51)/('Fórmula'!C51+'Fórmula'!E51+'Fórmula'!G51+'Fórmula'!I51+'Fórmula'!K51))*(INDEX(properties!A$1:CB$87,'Fórmula'!D51,57))+(('Fórmula'!G51)/('Fórmula'!C51+'Fórmula'!E51+'Fórmula'!G51+'Fórmula'!I51+'Fórmula'!K51))*(INDEX(properties!A$1:CB$87,'Fórmula'!F51,57))+(('Fórmula'!I51)/('Fórmula'!C51+'Fórmula'!E51+'Fórmula'!G51+'Fórmula'!I51+'Fórmula'!K51))*(INDEX(properties!A$1:CB$87,'Fórmula'!H51,57))+(('Fórmula'!K51)/('Fórmula'!C51+'Fórmula'!E51+'Fórmula'!G51+'Fórmula'!I51+'Fórmula'!K51))*(INDEX(properties!A$1:CB$87,'Fórmula'!J51,57))</f>
        <v>1.063384783</v>
      </c>
      <c r="GA51" s="104">
        <f t="array" ref="GA51">'Fórmula'!C51*(INDEX(properties!A$1:CB$87,'Fórmula'!B51,57))+'Fórmula'!E51*(INDEX(properties!A$1:CB$87,'Fórmula'!D51,57))+'Fórmula'!G51*(INDEX(properties!A$1:CB$87,'Fórmula'!F51,57))+'Fórmula'!I51*(INDEX(properties!A$1:CB$87,'Fórmula'!H51,57))+'Fórmula'!K51*(INDEX(properties!A$1:CB$87,'Fórmula'!J51,57))</f>
        <v>24.45785</v>
      </c>
      <c r="GB51" s="104">
        <f t="array" ref="GB51">VARP(IF(INDEX(properties!A$1:CB$87,'Fórmula'!B51,57)&lt;&gt;"",INDEX(properties!A$1:CB$87,'Fórmula'!B51,57)),IF(INDEX(properties!A$1:CB$87,'Fórmula'!D51,57)&lt;&gt;"",INDEX(properties!A$1:CB$87,'Fórmula'!D51,57)),IF(INDEX(properties!A$1:CB$87,'Fórmula'!F51,57)&lt;&gt;"",INDEX(properties!A$1:CB$87,'Fórmula'!F51,57)),IF(INDEX(properties!A$1:CB$87,'Fórmula'!H51,57)&lt;&gt;"",INDEX(properties!A$1:CB$87,'Fórmula'!H51,57)),IF(INDEX(properties!A$1:CB$87,'Fórmula'!J51,57)&lt;&gt;"",INDEX(properties!A$1:CB$87,'Fórmula'!J51,57)))</f>
        <v>8.390238034</v>
      </c>
      <c r="GC51" s="104">
        <f t="array" ref="GC51">MAX(INDEX(properties!A$1:CB$87,'Fórmula'!B51,57),INDEX(properties!A$1:CB$87,'Fórmula'!D51,57),INDEX(properties!A$1:CB$87,'Fórmula'!F51,57),INDEX(properties!A$1:CB$87,'Fórmula'!H51,57),INDEX(properties!A$1:CB$87,'Fórmula'!J51,57))</f>
        <v>7.75</v>
      </c>
      <c r="GD51" s="104">
        <f t="array" ref="GD51">MIN(IF(INDEX(properties!A$1:CB$87,'Fórmula'!B51,57)=0,10^6,INDEX(properties!A$1:CB$87,'Fórmula'!B51,57)),IF(INDEX(properties!A$1:CB$87,'Fórmula'!D51,57)=0,10^6,INDEX(properties!A$1:CB$87,'Fórmula'!D51,57)),IF(INDEX(properties!A$1:CB$87,'Fórmula'!F51,57)=0,10^6,INDEX(properties!A$1:CB$87,'Fórmula'!F51,57)),IF(INDEX(properties!A$1:CB$87,'Fórmula'!H51,57)=0,10^6,INDEX(properties!A$1:CB$87,'Fórmula'!H51,57)),IF(INDEX(properties!A$1:CB$87,'Fórmula'!J51,57)=0,10^6,INDEX(properties!A$1:CB$87,'Fórmula'!J51,57)))</f>
        <v>0.22259</v>
      </c>
      <c r="GE51" s="104">
        <f t="shared" si="31"/>
        <v>7.52741</v>
      </c>
      <c r="GF51" s="105">
        <f t="array" ref="GF51">(('Fórmula'!C51)/('Fórmula'!C51+'Fórmula'!E51+'Fórmula'!G51+'Fórmula'!I51+'Fórmula'!K51))*(INDEX(properties!A$1:CB$87,'Fórmula'!B51,60))+(('Fórmula'!E51)/('Fórmula'!C51+'Fórmula'!E51+'Fórmula'!G51+'Fórmula'!I51+'Fórmula'!K51))*(INDEX(properties!A$1:CB$87,'Fórmula'!D51,60))+(('Fórmula'!G51)/('Fórmula'!C51+'Fórmula'!E51+'Fórmula'!G51+'Fórmula'!I51+'Fórmula'!K51))*(INDEX(properties!A$1:CB$87,'Fórmula'!F51,60))+(('Fórmula'!I51)/('Fórmula'!C51+'Fórmula'!E51+'Fórmula'!G51+'Fórmula'!I51+'Fórmula'!K51))*(INDEX(properties!A$1:CB$87,'Fórmula'!H51,60))+(('Fórmula'!K51)/('Fórmula'!C51+'Fórmula'!E51+'Fórmula'!G51+'Fórmula'!I51+'Fórmula'!K51))*(INDEX(properties!A$1:CB$87,'Fórmula'!J51,60))</f>
        <v>6.1207</v>
      </c>
      <c r="GG51" s="105">
        <f t="array" ref="GG51">'Fórmula'!C51*(INDEX(properties!A$1:CB$87,'Fórmula'!B51,60))+'Fórmula'!E51*(INDEX(properties!A$1:CB$87,'Fórmula'!D51,60))+'Fórmula'!G51*(INDEX(properties!A$1:CB$87,'Fórmula'!F51,60))+'Fórmula'!I51*(INDEX(properties!A$1:CB$87,'Fórmula'!H51,60))+'Fórmula'!K51*(INDEX(properties!A$1:CB$87,'Fórmula'!J51,60))</f>
        <v>140.7761</v>
      </c>
      <c r="GH51" s="105">
        <f t="array" ref="GH51">VARP(IF(INDEX(properties!A$1:CB$87,'Fórmula'!B51,60)&lt;&gt;"",INDEX(properties!A$1:CB$87,'Fórmula'!B51,60)),IF(INDEX(properties!A$1:CB$87,'Fórmula'!D51,60)&lt;&gt;"",INDEX(properties!A$1:CB$87,'Fórmula'!D51,60)),IF(INDEX(properties!A$1:CB$87,'Fórmula'!F51,60)&lt;&gt;"",INDEX(properties!A$1:CB$87,'Fórmula'!F51,60)),IF(INDEX(properties!A$1:CB$87,'Fórmula'!H51,60)&lt;&gt;"",INDEX(properties!A$1:CB$87,'Fórmula'!H51,60)),IF(INDEX(properties!A$1:CB$87,'Fórmula'!J51,60)&lt;&gt;"",INDEX(properties!A$1:CB$87,'Fórmula'!J51,60)))</f>
        <v>1578.637392</v>
      </c>
      <c r="GI51" s="105">
        <f t="array" ref="GI51">MAX(INDEX(properties!A$1:CB$87,'Fórmula'!B51,60),INDEX(properties!A$1:CB$87,'Fórmula'!D51,60),INDEX(properties!A$1:CB$87,'Fórmula'!F51,60),INDEX(properties!A$1:CB$87,'Fórmula'!H51,60),INDEX(properties!A$1:CB$87,'Fórmula'!J51,60))</f>
        <v>102.4</v>
      </c>
      <c r="GJ51" s="105">
        <f t="array" ref="GJ51">MIN(IF(INDEX(properties!A$1:CB$87,'Fórmula'!B51,60)=0,10^6,INDEX(properties!A$1:CB$87,'Fórmula'!B51,60)),IF(INDEX(properties!A$1:CB$87,'Fórmula'!D51,60)=0,10^6,INDEX(properties!A$1:CB$87,'Fórmula'!D51,60)),IF(INDEX(properties!A$1:CB$87,'Fórmula'!F51,60)=0,10^6,INDEX(properties!A$1:CB$87,'Fórmula'!F51,60)),IF(INDEX(properties!A$1:CB$87,'Fórmula'!H51,60)=0,10^6,INDEX(properties!A$1:CB$87,'Fórmula'!H51,60)),IF(INDEX(properties!A$1:CB$87,'Fórmula'!J51,60)=0,10^6,INDEX(properties!A$1:CB$87,'Fórmula'!J51,60)))</f>
        <v>0.02674</v>
      </c>
      <c r="GK51" s="105">
        <f t="shared" si="32"/>
        <v>102.37326</v>
      </c>
      <c r="GL51" s="106">
        <f t="array" ref="GL51">(('Fórmula'!C51)/('Fórmula'!C51+'Fórmula'!E51+'Fórmula'!G51+'Fórmula'!I51+'Fórmula'!K51))*(INDEX(properties!A$1:CB$87,'Fórmula'!B51,62))+(('Fórmula'!E51)/('Fórmula'!C51+'Fórmula'!E51+'Fórmula'!G51+'Fórmula'!I51+'Fórmula'!K51))*(INDEX(properties!A$1:CB$87,'Fórmula'!D51,62))+(('Fórmula'!G51)/('Fórmula'!C51+'Fórmula'!E51+'Fórmula'!G51+'Fórmula'!I51+'Fórmula'!K51))*(INDEX(properties!A$1:CB$87,'Fórmula'!F51,62))+(('Fórmula'!I51)/('Fórmula'!C51+'Fórmula'!E51+'Fórmula'!G51+'Fórmula'!I51+'Fórmula'!K51))*(INDEX(properties!A$1:CB$87,'Fórmula'!H51,62))+(('Fórmula'!K51)/('Fórmula'!C51+'Fórmula'!E51+'Fórmula'!G51+'Fórmula'!I51+'Fórmula'!K51))*(INDEX(properties!A$1:CB$87,'Fórmula'!J51,62))</f>
        <v>2.660173913</v>
      </c>
      <c r="GM51" s="106">
        <f t="array" ref="GM51">'Fórmula'!C51*(INDEX(properties!A$1:CB$87,'Fórmula'!B51,62))+'Fórmula'!E51*(INDEX(properties!A$1:CB$87,'Fórmula'!D51,62))+'Fórmula'!G51*(INDEX(properties!A$1:CB$87,'Fórmula'!F51,62))+'Fórmula'!I51*(INDEX(properties!A$1:CB$87,'Fórmula'!H51,62))+'Fórmula'!K51*(INDEX(properties!A$1:CB$87,'Fórmula'!J51,62))</f>
        <v>61.184</v>
      </c>
      <c r="GN51" s="106">
        <f t="array" ref="GN51">VARP(IF(INDEX(properties!A$1:CB$87,'Fórmula'!B51,62)&lt;&gt;"",INDEX(properties!A$1:CB$87,'Fórmula'!B51,62)),IF(INDEX(properties!A$1:CB$87,'Fórmula'!D51,62)&lt;&gt;"",INDEX(properties!A$1:CB$87,'Fórmula'!D51,62)),IF(INDEX(properties!A$1:CB$87,'Fórmula'!F51,62)&lt;&gt;"",INDEX(properties!A$1:CB$87,'Fórmula'!F51,62)),IF(INDEX(properties!A$1:CB$87,'Fórmula'!H51,62)&lt;&gt;"",INDEX(properties!A$1:CB$87,'Fórmula'!H51,62)),IF(INDEX(properties!A$1:CB$87,'Fórmula'!J51,62)&lt;&gt;"",INDEX(properties!A$1:CB$87,'Fórmula'!J51,62)))</f>
        <v>1.46531296</v>
      </c>
      <c r="GO51" s="106">
        <f t="array" ref="GO51">MAX(INDEX(properties!A$1:CB$87,'Fórmula'!B51,62),INDEX(properties!A$1:CB$87,'Fórmula'!D51,62),INDEX(properties!A$1:CB$87,'Fórmula'!F51,62),INDEX(properties!A$1:CB$87,'Fórmula'!H51,62),INDEX(properties!A$1:CB$87,'Fórmula'!J51,62))</f>
        <v>3.43</v>
      </c>
      <c r="GP51" s="106">
        <f t="array" ref="GP51">MIN(IF(INDEX(properties!A$1:CB$87,'Fórmula'!B51,62)=0,10^6,INDEX(properties!A$1:CB$87,'Fórmula'!B51,62)),IF(INDEX(properties!A$1:CB$87,'Fórmula'!D51,62)=0,10^6,INDEX(properties!A$1:CB$87,'Fórmula'!D51,62)),IF(INDEX(properties!A$1:CB$87,'Fórmula'!F51,62)=0,10^6,INDEX(properties!A$1:CB$87,'Fórmula'!F51,62)),IF(INDEX(properties!A$1:CB$87,'Fórmula'!H51,62)=0,10^6,INDEX(properties!A$1:CB$87,'Fórmula'!H51,62)),IF(INDEX(properties!A$1:CB$87,'Fórmula'!J51,62)=0,10^6,INDEX(properties!A$1:CB$87,'Fórmula'!J51,62)))</f>
        <v>0.934</v>
      </c>
      <c r="GQ51" s="106">
        <f t="shared" si="33"/>
        <v>2.496</v>
      </c>
      <c r="GR51" s="106">
        <f>'Fórmula'!Q51</f>
        <v>7</v>
      </c>
      <c r="GS51" s="107">
        <f>'Fórmula'!P51</f>
        <v>6</v>
      </c>
      <c r="GT51" s="113">
        <f>'Fórmula'!O51</f>
        <v>3.45</v>
      </c>
      <c r="GU51" s="114">
        <f>AVERAGE('Fórmula'!R51/'Fórmula'!S51,'Fórmula'!S51/'Fórmula'!T51,'Fórmula'!T51/'Fórmula'!R51)</f>
        <v>1.10446673</v>
      </c>
      <c r="GV51" s="125">
        <f>'Fórmula'!U51</f>
        <v>682.07</v>
      </c>
      <c r="GW51" s="106">
        <f>'Fórmula'!N51</f>
        <v>0.3</v>
      </c>
    </row>
    <row r="52" ht="14.25" customHeight="1">
      <c r="A52" s="99" t="str">
        <f>'Fórmula'!A52</f>
        <v>Na3Sc2P3O12</v>
      </c>
      <c r="B52" s="101">
        <f t="array" ref="B52">(('Fórmula'!C52)/('Fórmula'!C52+'Fórmula'!E52+'Fórmula'!G52+'Fórmula'!I52+'Fórmula'!K52))*(INDEX(properties!A$1:CB$87,'Fórmula'!B52,3))+(('Fórmula'!E52)/('Fórmula'!C52+'Fórmula'!E52+'Fórmula'!G52+'Fórmula'!I52+'Fórmula'!K52))*(INDEX(properties!A$1:CB$87,'Fórmula'!D52,3))+(('Fórmula'!G52)/('Fórmula'!C52+'Fórmula'!E52+'Fórmula'!G52+'Fórmula'!I52+'Fórmula'!K52))*(INDEX(properties!A$1:CB$87,'Fórmula'!F52,3))+(('Fórmula'!I52)/('Fórmula'!C52+'Fórmula'!E52+'Fórmula'!G52+'Fórmula'!I52+'Fórmula'!K52))*(INDEX(properties!A$1:CB$87,'Fórmula'!H52,3))+(('Fórmula'!K52)/('Fórmula'!C52+'Fórmula'!E52+'Fórmula'!G52+'Fórmula'!I52+'Fórmula'!K52))*(INDEX(properties!A$1:CB$87,'Fórmula'!J52,3))</f>
        <v>22.1897605</v>
      </c>
      <c r="C52" s="101">
        <f t="array" ref="C52">'Fórmula'!C52*(INDEX(properties!A$1:CB$87,'Fórmula'!B52,3))+'Fórmula'!E52*(INDEX(properties!A$1:CB$87,'Fórmula'!D52,3))+'Fórmula'!G52*(INDEX(properties!A$1:CB$87,'Fórmula'!F52,3))+'Fórmula'!I52*(INDEX(properties!A$1:CB$87,'Fórmula'!H52,3))+'Fórmula'!K52*(INDEX(properties!A$1:CB$87,'Fórmula'!J52,3))</f>
        <v>443.79521</v>
      </c>
      <c r="D52" s="101">
        <f t="array" ref="D52">VARP(IF(INDEX(properties!A$1:CB$87,'Fórmula'!B52,3)&lt;&gt;"",INDEX(properties!A$1:CB$87,'Fórmula'!B52,3)),IF(INDEX(properties!A$1:CB$87,'Fórmula'!D52,3)&lt;&gt;"",INDEX(properties!A$1:CB$87,'Fórmula'!D52,3)),IF(INDEX(properties!A$1:CB$87,'Fórmula'!F52,3)&lt;&gt;"",INDEX(properties!A$1:CB$87,'Fórmula'!F52,3)),IF(INDEX(properties!A$1:CB$87,'Fórmula'!H52,3)&lt;&gt;"",INDEX(properties!A$1:CB$87,'Fórmula'!H52,3)),IF(INDEX(properties!A$1:CB$87,'Fórmula'!J52,3)&lt;&gt;"",INDEX(properties!A$1:CB$87,'Fórmula'!J52,3)))</f>
        <v>224.7300104</v>
      </c>
      <c r="E52" s="101">
        <f t="array" ref="E52">MAX(INDEX(properties!A$1:CB$87,'Fórmula'!B52,3),INDEX(properties!A$1:CB$87,'Fórmula'!D52,3),INDEX(properties!A$1:CB$87,'Fórmula'!F52,3),INDEX(properties!A$1:CB$87,'Fórmula'!H52,3),INDEX(properties!A$1:CB$87,'Fórmula'!J52,3))</f>
        <v>44.95591</v>
      </c>
      <c r="F52" s="101">
        <f t="array" ref="F52">MIN(IF(INDEX(properties!A$1:CB$87,'Fórmula'!B52,3)=0,10^6,INDEX(properties!A$1:CB$87,'Fórmula'!B52,3)),IF(INDEX(properties!A$1:CB$87,'Fórmula'!D52,3)=0,10^6,INDEX(properties!A$1:CB$87,'Fórmula'!D52,3)),IF(INDEX(properties!A$1:CB$87,'Fórmula'!F52,3)=0,10^6,INDEX(properties!A$1:CB$87,'Fórmula'!F52,3)),IF(INDEX(properties!A$1:CB$87,'Fórmula'!H52,3)=0,10^6,INDEX(properties!A$1:CB$87,'Fórmula'!H52,3)),IF(INDEX(properties!A$1:CB$87,'Fórmula'!J52,3)=0,10^6,INDEX(properties!A$1:CB$87,'Fórmula'!J52,3)))</f>
        <v>15.9994</v>
      </c>
      <c r="G52" s="101">
        <f t="shared" si="1"/>
        <v>28.95651</v>
      </c>
      <c r="H52" s="102">
        <f t="array" ref="H52">(('Fórmula'!C52)/('Fórmula'!C52+'Fórmula'!E52+'Fórmula'!G52+'Fórmula'!I52+'Fórmula'!K52))*(INDEX(properties!A$1:CB$87,'Fórmula'!B52,4))+(('Fórmula'!E52)/('Fórmula'!C52+'Fórmula'!E52+'Fórmula'!G52+'Fórmula'!I52+'Fórmula'!K52))*(INDEX(properties!A$1:CB$87,'Fórmula'!D52,4))+(('Fórmula'!G52)/('Fórmula'!C52+'Fórmula'!E52+'Fórmula'!G52+'Fórmula'!I52+'Fórmula'!K52))*(INDEX(properties!A$1:CB$87,'Fórmula'!F52,4))+(('Fórmula'!I52)/('Fórmula'!C52+'Fórmula'!E52+'Fórmula'!G52+'Fórmula'!I52+'Fórmula'!K52))*(INDEX(properties!A$1:CB$87,'Fórmula'!H52,4))+(('Fórmula'!K52)/('Fórmula'!C52+'Fórmula'!E52+'Fórmula'!G52+'Fórmula'!I52+'Fórmula'!K52))*(INDEX(properties!A$1:CB$87,'Fórmula'!J52,4))</f>
        <v>10.8</v>
      </c>
      <c r="I52" s="102">
        <f t="array" ref="I52">'Fórmula'!C52*(INDEX(properties!A$1:CB$87,'Fórmula'!B52,4))+'Fórmula'!E52*(INDEX(properties!A$1:CB$87,'Fórmula'!D52,4))+'Fórmula'!G52*(INDEX(properties!A$1:CB$87,'Fórmula'!F52,4))+'Fórmula'!I52*(INDEX(properties!A$1:CB$87,'Fórmula'!H52,4))+'Fórmula'!K52*(INDEX(properties!A$1:CB$87,'Fórmula'!J52,4))</f>
        <v>216</v>
      </c>
      <c r="J52" s="102">
        <f t="array" ref="J52">VARP(IF(INDEX(properties!A$1:CB$87,'Fórmula'!B52,4)&lt;&gt;"",INDEX(properties!A$1:CB$87,'Fórmula'!B52,4)),IF(INDEX(properties!A$1:CB$87,'Fórmula'!D52,4)&lt;&gt;"",INDEX(properties!A$1:CB$87,'Fórmula'!D52,4)),IF(INDEX(properties!A$1:CB$87,'Fórmula'!F52,4)&lt;&gt;"",INDEX(properties!A$1:CB$87,'Fórmula'!F52,4)),IF(INDEX(properties!A$1:CB$87,'Fórmula'!H52,4)&lt;&gt;"",INDEX(properties!A$1:CB$87,'Fórmula'!H52,4)),IF(INDEX(properties!A$1:CB$87,'Fórmula'!J52,4)&lt;&gt;"",INDEX(properties!A$1:CB$87,'Fórmula'!J52,4)))</f>
        <v>49.2</v>
      </c>
      <c r="K52" s="102">
        <f t="array" ref="K52">MAX(INDEX(properties!A$1:CB$87,'Fórmula'!B52,4),INDEX(properties!A$1:CB$87,'Fórmula'!D52,4),INDEX(properties!A$1:CB$87,'Fórmula'!F52,4),INDEX(properties!A$1:CB$87,'Fórmula'!H52,4),INDEX(properties!A$1:CB$87,'Fórmula'!J52,4))</f>
        <v>21</v>
      </c>
      <c r="L52" s="102">
        <f t="array" ref="L52">MIN(IF(INDEX(properties!A$1:CB$87,'Fórmula'!B52,4)=0,10^6,INDEX(properties!A$1:CB$87,'Fórmula'!B52,4)),IF(INDEX(properties!A$1:CB$87,'Fórmula'!D52,4)=0,10^6,INDEX(properties!A$1:CB$87,'Fórmula'!D52,4)),IF(INDEX(properties!A$1:CB$87,'Fórmula'!F52,4)=0,10^6,INDEX(properties!A$1:CB$87,'Fórmula'!F52,4)),IF(INDEX(properties!A$1:CB$87,'Fórmula'!H52,4)=0,10^6,INDEX(properties!A$1:CB$87,'Fórmula'!H52,4)),IF(INDEX(properties!A$1:CB$87,'Fórmula'!J52,4)=0,10^6,INDEX(properties!A$1:CB$87,'Fórmula'!J52,4)))</f>
        <v>8</v>
      </c>
      <c r="M52" s="102">
        <f t="shared" si="2"/>
        <v>13</v>
      </c>
      <c r="N52" s="103">
        <f t="array" ref="N52">(('Fórmula'!C52)/('Fórmula'!C52+'Fórmula'!E52+'Fórmula'!G52+'Fórmula'!I52+'Fórmula'!K52))*(INDEX(properties!A$1:CB$87,'Fórmula'!B52,5))+(('Fórmula'!E52)/('Fórmula'!C52+'Fórmula'!E52+'Fórmula'!G52+'Fórmula'!I52+'Fórmula'!K52))*(INDEX(properties!A$1:CB$87,'Fórmula'!D52,5))+(('Fórmula'!G52)/('Fórmula'!C52+'Fórmula'!E52+'Fórmula'!G52+'Fórmula'!I52+'Fórmula'!K52))*(INDEX(properties!A$1:CB$87,'Fórmula'!F52,5))+(('Fórmula'!I52)/('Fórmula'!C52+'Fórmula'!E52+'Fórmula'!G52+'Fórmula'!I52+'Fórmula'!K52))*(INDEX(properties!A$1:CB$87,'Fórmula'!H52,5))+(('Fórmula'!K52)/('Fórmula'!C52+'Fórmula'!E52+'Fórmula'!G52+'Fórmula'!I52+'Fórmula'!K52))*(INDEX(properties!A$1:CB$87,'Fórmula'!J52,5))</f>
        <v>2.5</v>
      </c>
      <c r="O52" s="103">
        <f t="array" ref="O52">'Fórmula'!C52*(INDEX(properties!A$1:CB$87,'Fórmula'!B52,5))+'Fórmula'!E52*(INDEX(properties!A$1:CB$87,'Fórmula'!D52,5))+'Fórmula'!G52*(INDEX(properties!A$1:CB$87,'Fórmula'!F52,5))+'Fórmula'!I52*(INDEX(properties!A$1:CB$87,'Fórmula'!H52,5))+'Fórmula'!K52*(INDEX(properties!A$1:CB$87,'Fórmula'!J52,5))</f>
        <v>50</v>
      </c>
      <c r="P52" s="103">
        <f t="array" ref="P52">VARP(IF(INDEX(properties!A$1:CB$87,'Fórmula'!B52,5)&lt;&gt;"",INDEX(properties!A$1:CB$87,'Fórmula'!B52,5)),IF(INDEX(properties!A$1:CB$87,'Fórmula'!D52,5)&lt;&gt;"",INDEX(properties!A$1:CB$87,'Fórmula'!D52,5)),IF(INDEX(properties!A$1:CB$87,'Fórmula'!F52,5)&lt;&gt;"",INDEX(properties!A$1:CB$87,'Fórmula'!F52,5)),IF(INDEX(properties!A$1:CB$87,'Fórmula'!H52,5)&lt;&gt;"",INDEX(properties!A$1:CB$87,'Fórmula'!H52,5)),IF(INDEX(properties!A$1:CB$87,'Fórmula'!J52,5)&lt;&gt;"",INDEX(properties!A$1:CB$87,'Fórmula'!J52,5)))</f>
        <v>1.84</v>
      </c>
      <c r="Q52" s="103">
        <f t="array" ref="Q52">MAX(INDEX(properties!A$1:CB$87,'Fórmula'!B52,5),INDEX(properties!A$1:CB$87,'Fórmula'!D52,5),INDEX(properties!A$1:CB$87,'Fórmula'!F52,5),INDEX(properties!A$1:CB$87,'Fórmula'!H52,5),INDEX(properties!A$1:CB$87,'Fórmula'!J52,5))</f>
        <v>4</v>
      </c>
      <c r="R52" s="103">
        <f t="array" ref="R52">MIN(IF(INDEX(properties!A$1:CB$87,'Fórmula'!B52,5)=0,10^6,INDEX(properties!A$1:CB$87,'Fórmula'!B52,5)),IF(INDEX(properties!A$1:CB$87,'Fórmula'!D52,5)=0,10^6,INDEX(properties!A$1:CB$87,'Fórmula'!D52,5)),IF(INDEX(properties!A$1:CB$87,'Fórmula'!F52,5)=0,10^6,INDEX(properties!A$1:CB$87,'Fórmula'!F52,5)),IF(INDEX(properties!A$1:CB$87,'Fórmula'!H52,5)=0,10^6,INDEX(properties!A$1:CB$87,'Fórmula'!H52,5)),IF(INDEX(properties!A$1:CB$87,'Fórmula'!J52,5)=0,10^6,INDEX(properties!A$1:CB$87,'Fórmula'!J52,5)))</f>
        <v>2</v>
      </c>
      <c r="S52" s="103">
        <f t="shared" si="3"/>
        <v>2</v>
      </c>
      <c r="T52" s="104">
        <f t="array" ref="T52">(('Fórmula'!C52)/('Fórmula'!C52+'Fórmula'!E52+'Fórmula'!G52+'Fórmula'!I52+'Fórmula'!K52))*(INDEX(properties!A$1:CB$87,'Fórmula'!B52,6))+(('Fórmula'!E52)/('Fórmula'!C52+'Fórmula'!E52+'Fórmula'!G52+'Fórmula'!I52+'Fórmula'!K52))*(INDEX(properties!A$1:CB$87,'Fórmula'!D52,6))+(('Fórmula'!G52)/('Fórmula'!C52+'Fórmula'!E52+'Fórmula'!G52+'Fórmula'!I52+'Fórmula'!K52))*(INDEX(properties!A$1:CB$87,'Fórmula'!F52,6))+(('Fórmula'!I52)/('Fórmula'!C52+'Fórmula'!E52+'Fórmula'!G52+'Fórmula'!I52+'Fórmula'!K52))*(INDEX(properties!A$1:CB$87,'Fórmula'!H52,6))+(('Fórmula'!K52)/('Fórmula'!C52+'Fórmula'!E52+'Fórmula'!G52+'Fórmula'!I52+'Fórmula'!K52))*(INDEX(properties!A$1:CB$87,'Fórmula'!J52,6))</f>
        <v>12.3</v>
      </c>
      <c r="U52" s="104">
        <f t="array" ref="U52">'Fórmula'!C52*(INDEX(properties!A$1:CB$87,'Fórmula'!B52,6))+'Fórmula'!E52*(INDEX(properties!A$1:CB$87,'Fórmula'!D52,6))+'Fórmula'!G52*(INDEX(properties!A$1:CB$87,'Fórmula'!F52,6))+'Fórmula'!I52*(INDEX(properties!A$1:CB$87,'Fórmula'!H52,6))+'Fórmula'!K52*(INDEX(properties!A$1:CB$87,'Fórmula'!J52,6))</f>
        <v>246</v>
      </c>
      <c r="V52" s="103">
        <f t="array" ref="V52">VARP(IF(INDEX(properties!A$1:CB$87,'Fórmula'!B52,6)&lt;&gt;"",INDEX(properties!A$1:CB$87,'Fórmula'!B52,6)),IF(INDEX(properties!A$1:CB$87,'Fórmula'!D52,6)&lt;&gt;"",INDEX(properties!A$1:CB$87,'Fórmula'!D52,6)),IF(INDEX(properties!A$1:CB$87,'Fórmula'!F52,6)&lt;&gt;"",INDEX(properties!A$1:CB$87,'Fórmula'!F52,6)),IF(INDEX(properties!A$1:CB$87,'Fórmula'!H52,6)&lt;&gt;"",INDEX(properties!A$1:CB$87,'Fórmula'!H52,6)),IF(INDEX(properties!A$1:CB$87,'Fórmula'!J52,6)&lt;&gt;"",INDEX(properties!A$1:CB$87,'Fórmula'!J52,6)))</f>
        <v>49.2</v>
      </c>
      <c r="W52" s="104">
        <f t="array" ref="W52">MAX(INDEX(properties!A$1:CB$87,'Fórmula'!B52,6),INDEX(properties!A$1:CB$87,'Fórmula'!D52,6),INDEX(properties!A$1:CB$87,'Fórmula'!F52,6),INDEX(properties!A$1:CB$87,'Fórmula'!H52,4),INDEX(properties!A$1:CB$87,'Fórmula'!J52,6))</f>
        <v>15</v>
      </c>
      <c r="X52" s="104">
        <f t="array" ref="X52">MIN(IF(INDEX(properties!A$1:CB$87,'Fórmula'!B52,6)=0,10^6,INDEX(properties!A$1:CB$87,'Fórmula'!B52,6)),IF(INDEX(properties!A$1:CB$87,'Fórmula'!D52,6)=0,10^6,INDEX(properties!A$1:CB$87,'Fórmula'!D52,6)),IF(INDEX(properties!A$1:CB$87,'Fórmula'!F52,6)=0,10^6,INDEX(properties!A$1:CB$87,'Fórmula'!F52,6)),IF(INDEX(properties!A$1:CB$87,'Fórmula'!H52,6)=0,10^6,INDEX(properties!A$1:CB$87,'Fórmula'!H52,6)),IF(INDEX(properties!A$1:CB$87,'Fórmula'!J52,6)=0,10^6,INDEX(properties!A$1:CB$87,'Fórmula'!J52,6)))</f>
        <v>1</v>
      </c>
      <c r="Y52" s="104">
        <f t="shared" si="4"/>
        <v>14</v>
      </c>
      <c r="Z52" s="105">
        <f t="array" ref="Z52">(('Fórmula'!C52)/('Fórmula'!C52+'Fórmula'!E52+'Fórmula'!G52+'Fórmula'!I52+'Fórmula'!K52))*(INDEX(properties!A$1:CB$87,'Fórmula'!B52,9))+(('Fórmula'!E52)/('Fórmula'!C52+'Fórmula'!E52+'Fórmula'!G52+'Fórmula'!I52+'Fórmula'!K52))*(INDEX(properties!A$1:CB$87,'Fórmula'!D52,9))+(('Fórmula'!G52)/('Fórmula'!C52+'Fórmula'!E52+'Fórmula'!G52+'Fórmula'!I52+'Fórmula'!K52))*(INDEX(properties!A$1:CB$87,'Fórmula'!F52,9))+(('Fórmula'!I52)/('Fórmula'!C52+'Fórmula'!E52+'Fórmula'!G52+'Fórmula'!I52+'Fórmula'!K52))*(INDEX(properties!A$1:CB$87,'Fórmula'!H52,9))+(('Fórmula'!K52)/('Fórmula'!C52+'Fórmula'!E52+'Fórmula'!G52+'Fórmula'!I52+'Fórmula'!K52))*(INDEX(properties!A$1:CB$87,'Fórmula'!J52,9))</f>
        <v>66.05</v>
      </c>
      <c r="AA52" s="105">
        <f t="array" ref="AA52">'Fórmula'!C52*(INDEX(properties!A$1:CB$87,'Fórmula'!B52,9))+'Fórmula'!E52*(INDEX(properties!A$1:CB$87,'Fórmula'!D52,9))+'Fórmula'!G52*(INDEX(properties!A$1:CB$87,'Fórmula'!F52,9))+'Fórmula'!I52*(INDEX(properties!A$1:CB$87,'Fórmula'!H52,9))+'Fórmula'!K52*(INDEX(properties!A$1:CB$87,'Fórmula'!J52,9))</f>
        <v>1321</v>
      </c>
      <c r="AB52" s="105">
        <f t="array" ref="AB52">VARP(IF(INDEX(properties!A$1:CB$87,'Fórmula'!B52,9)&lt;&gt;"",INDEX(properties!A$1:CB$87,'Fórmula'!B52,9)),IF(INDEX(properties!A$1:CB$87,'Fórmula'!D52,9)&lt;&gt;"",INDEX(properties!A$1:CB$87,'Fórmula'!D52,9)),IF(INDEX(properties!A$1:CB$87,'Fórmula'!F52,9)&lt;&gt;"",INDEX(properties!A$1:CB$87,'Fórmula'!F52,9)),IF(INDEX(properties!A$1:CB$87,'Fórmula'!H52,9)&lt;&gt;"",INDEX(properties!A$1:CB$87,'Fórmula'!H52,9)),IF(INDEX(properties!A$1:CB$87,'Fórmula'!J52,9)&lt;&gt;"",INDEX(properties!A$1:CB$87,'Fórmula'!J52,9)))</f>
        <v>1577.04</v>
      </c>
      <c r="AC52" s="105">
        <f t="array" ref="AC52">MAX(INDEX(properties!A$1:CB$87,'Fórmula'!B52,9),INDEX(properties!A$1:CB$87,'Fórmula'!D52,9),INDEX(properties!A$1:CB$87,'Fórmula'!F52,9),INDEX(properties!A$1:CB$87,'Fórmula'!H52,9),INDEX(properties!A$1:CB$87,'Fórmula'!J52,9))</f>
        <v>87</v>
      </c>
      <c r="AD52" s="105">
        <f t="array" ref="AD52">MIN(IF(INDEX(properties!A$1:CB$87,'Fórmula'!B52,9)=0,10^6,INDEX(properties!A$1:CB$87,'Fórmula'!B52,9)),IF(INDEX(properties!A$1:CB$87,'Fórmula'!D52,9)=0,10^6,INDEX(properties!A$1:CB$87,'Fórmula'!D52,9)),IF(INDEX(properties!A$1:CB$87,'Fórmula'!F52,9)=0,10^6,INDEX(properties!A$1:CB$87,'Fórmula'!F52,9)),IF(INDEX(properties!A$1:CB$87,'Fórmula'!H52,9)=0,10^6,INDEX(properties!A$1:CB$87,'Fórmula'!H52,9)),IF(INDEX(properties!A$1:CB$87,'Fórmula'!J52,9)=0,10^6,INDEX(properties!A$1:CB$87,'Fórmula'!J52,9)))</f>
        <v>2</v>
      </c>
      <c r="AE52" s="105">
        <f t="shared" si="5"/>
        <v>85</v>
      </c>
      <c r="AF52" s="106">
        <f t="array" ref="AF52">(('Fórmula'!C52)/('Fórmula'!C52+'Fórmula'!E52+'Fórmula'!G52+'Fórmula'!I52+'Fórmula'!K52))*(INDEX(properties!A$1:CB$87,'Fórmula'!B52,10))+(('Fórmula'!E52)/('Fórmula'!C52+'Fórmula'!E52+'Fórmula'!G52+'Fórmula'!I52+'Fórmula'!K52))*(INDEX(properties!A$1:CB$87,'Fórmula'!D52,10))+(('Fórmula'!G52)/('Fórmula'!C52+'Fórmula'!E52+'Fórmula'!G52+'Fórmula'!I52+'Fórmula'!K52))*(INDEX(properties!A$1:CB$87,'Fórmula'!F52,10))+(('Fórmula'!I52)/('Fórmula'!C52+'Fórmula'!E52+'Fórmula'!G52+'Fórmula'!I52+'Fórmula'!K52))*(INDEX(properties!A$1:CB$87,'Fórmula'!H52,10))+(('Fórmula'!K52)/('Fórmula'!C52+'Fórmula'!E52+'Fórmula'!G52+'Fórmula'!I52+'Fórmula'!K52))*(INDEX(properties!A$1:CB$87,'Fórmula'!J52,10))</f>
        <v>5.7</v>
      </c>
      <c r="AG52" s="106">
        <f t="array" ref="AG52">'Fórmula'!C52*(INDEX(properties!A$1:CB$87,'Fórmula'!B52,10))+'Fórmula'!E52*(INDEX(properties!A$1:CB$87,'Fórmula'!D52,10))+'Fórmula'!G52*(INDEX(properties!A$1:CB$87,'Fórmula'!F52,10))+'Fórmula'!I52*(INDEX(properties!A$1:CB$87,'Fórmula'!H52,10))+'Fórmula'!K52*(INDEX(properties!A$1:CB$87,'Fórmula'!J52,10))</f>
        <v>114</v>
      </c>
      <c r="AH52" s="106">
        <f t="array" ref="AH52">VARP(IF(INDEX(properties!A$1:CB$87,'Fórmula'!B52,10)&lt;&gt;"",INDEX(properties!A$1:CB$87,'Fórmula'!B52,10)),IF(INDEX(properties!A$1:CB$87,'Fórmula'!D52,10)&lt;&gt;"",INDEX(properties!A$1:CB$87,'Fórmula'!D52,10)),IF(INDEX(properties!A$1:CB$87,'Fórmula'!F52,10)&lt;&gt;"",INDEX(properties!A$1:CB$87,'Fórmula'!F52,10)),IF(INDEX(properties!A$1:CB$87,'Fórmula'!H52,10)&lt;&gt;"",INDEX(properties!A$1:CB$87,'Fórmula'!H52,10)),IF(INDEX(properties!A$1:CB$87,'Fórmula'!J52,10)&lt;&gt;"",INDEX(properties!A$1:CB$87,'Fórmula'!J52,10)))</f>
        <v>8.64</v>
      </c>
      <c r="AI52" s="106">
        <f t="array" ref="AI52">MAX(INDEX(properties!A$1:CB$87,'Fórmula'!B52,10),INDEX(properties!A$1:CB$87,'Fórmula'!D52,10),INDEX(properties!A$1:CB$87,'Fórmula'!F52,10),INDEX(properties!A$1:CB$87,'Fórmula'!H52,10),INDEX(properties!A$1:CB$87,'Fórmula'!J52,10))</f>
        <v>7</v>
      </c>
      <c r="AJ52" s="106">
        <f t="array" ref="AJ52">MIN(IF(INDEX(properties!A$1:CB$87,'Fórmula'!B52,10)=0,10^6,INDEX(properties!A$1:CB$87,'Fórmula'!B52,10)),IF(INDEX(properties!A$1:CB$87,'Fórmula'!D52,10)=0,10^6,INDEX(properties!A$1:CB$87,'Fórmula'!D52,10)),IF(INDEX(properties!A$1:CB$87,'Fórmula'!F52,10)=0,10^6,INDEX(properties!A$1:CB$87,'Fórmula'!F52,10)),IF(INDEX(properties!A$1:CB$87,'Fórmula'!H52,10)=0,10^6,INDEX(properties!A$1:CB$87,'Fórmula'!H52,10)),IF(INDEX(properties!A$1:CB$87,'Fórmula'!J52,10)=0,10^6,INDEX(properties!A$1:CB$87,'Fórmula'!J52,10)))</f>
        <v>1</v>
      </c>
      <c r="AK52" s="106">
        <f t="shared" si="6"/>
        <v>6</v>
      </c>
      <c r="AL52" s="107">
        <f t="array" ref="AL52">(('Fórmula'!C52)/('Fórmula'!C52+'Fórmula'!E52+'Fórmula'!G52+'Fórmula'!I52+'Fórmula'!K52))*(INDEX(properties!A$1:CB$87,'Fórmula'!B52,11))+(('Fórmula'!E52)/('Fórmula'!C52+'Fórmula'!E52+'Fórmula'!G52+'Fórmula'!I52+'Fórmula'!K52))*(INDEX(properties!A$1:CB$87,'Fórmula'!D52,11))+(('Fórmula'!G52)/('Fórmula'!C52+'Fórmula'!E52+'Fórmula'!G52+'Fórmula'!I52+'Fórmula'!K52))*(INDEX(properties!A$1:CB$87,'Fórmula'!F52,11))+(('Fórmula'!I52)/('Fórmula'!C52+'Fórmula'!E52+'Fórmula'!G52+'Fórmula'!I52+'Fórmula'!K52))*(INDEX(properties!A$1:CB$87,'Fórmula'!H52,11))+(('Fórmula'!K52)/('Fórmula'!C52+'Fórmula'!E52+'Fórmula'!G52+'Fórmula'!I52+'Fórmula'!K52))*(INDEX(properties!A$1:CB$87,'Fórmula'!J52,11))</f>
        <v>1.85</v>
      </c>
      <c r="AM52" s="107">
        <f t="array" ref="AM52">'Fórmula'!C52*(INDEX(properties!A$1:CB$87,'Fórmula'!B52,11))+'Fórmula'!E52*(INDEX(properties!A$1:CB$87,'Fórmula'!D52,11))+'Fórmula'!G52*(INDEX(properties!A$1:CB$87,'Fórmula'!F52,11))+'Fórmula'!I52*(INDEX(properties!A$1:CB$87,'Fórmula'!H52,11))+'Fórmula'!K52*(INDEX(properties!A$1:CB$87,'Fórmula'!J52,11))</f>
        <v>37</v>
      </c>
      <c r="AN52" s="107">
        <f t="array" ref="AN52">VARP(IF(INDEX(properties!A$1:CB$87,'Fórmula'!B52,11)&lt;&gt;"",INDEX(properties!A$1:CB$87,'Fórmula'!B52,11)),IF(INDEX(properties!A$1:CB$87,'Fórmula'!D52,11)&lt;&gt;"",INDEX(properties!A$1:CB$87,'Fórmula'!D52,11)),IF(INDEX(properties!A$1:CB$87,'Fórmula'!F52,11)&lt;&gt;"",INDEX(properties!A$1:CB$87,'Fórmula'!F52,11)),IF(INDEX(properties!A$1:CB$87,'Fórmula'!H52,11)&lt;&gt;"",INDEX(properties!A$1:CB$87,'Fórmula'!H52,11)),IF(INDEX(properties!A$1:CB$87,'Fórmula'!J52,11)&lt;&gt;"",INDEX(properties!A$1:CB$87,'Fórmula'!J52,11)))</f>
        <v>0.64</v>
      </c>
      <c r="AO52" s="107">
        <f t="array" ref="AO52">MAX(INDEX(properties!A$1:CB$87,'Fórmula'!B52,11),INDEX(properties!A$1:CB$87,'Fórmula'!D52,11),INDEX(properties!A$1:CB$87,'Fórmula'!F52,11),INDEX(properties!A$1:CB$87,'Fórmula'!H52,11),INDEX(properties!A$1:CB$87,'Fórmula'!J52,11))</f>
        <v>2</v>
      </c>
      <c r="AP52" s="107">
        <f t="array" ref="AP52">MIN(IF('Fórmula'!B52=87,10^6,INDEX(properties!A$1:CB$87,'Fórmula'!B52,11)),IF(('Fórmula'!D52)=87,10^6,INDEX(properties!A$1:CB$87,'Fórmula'!D52,11)),IF(('Fórmula'!F52)=87,10^6,INDEX(properties!A$1:CB$87,'Fórmula'!F52,11)),IF(('Fórmula'!H52)=87,10^6,INDEX(properties!A$1:CB$87,'Fórmula'!H52,11)),IF('Fórmula'!J52=87,10^6,INDEX(properties!A$1:CB$87,'Fórmula'!J52,11)))</f>
        <v>1</v>
      </c>
      <c r="AQ52" s="107">
        <f t="shared" si="7"/>
        <v>1</v>
      </c>
      <c r="AR52" s="108">
        <f t="array" ref="AR52">(('Fórmula'!C52)/('Fórmula'!C52+'Fórmula'!E52+'Fórmula'!G52+'Fórmula'!I52+'Fórmula'!K52))*(INDEX(properties!A$1:CB$87,'Fórmula'!B52,12))+(('Fórmula'!E52)/('Fórmula'!C52+'Fórmula'!E52+'Fórmula'!G52+'Fórmula'!I52+'Fórmula'!K52))*(INDEX(properties!A$1:CB$87,'Fórmula'!D52,12))+(('Fórmula'!G52)/('Fórmula'!C52+'Fórmula'!E52+'Fórmula'!G52+'Fórmula'!I52+'Fórmula'!K52))*(INDEX(properties!A$1:CB$87,'Fórmula'!F52,12))+(('Fórmula'!I52)/('Fórmula'!C52+'Fórmula'!E52+'Fórmula'!G52+'Fórmula'!I52+'Fórmula'!K52))*(INDEX(properties!A$1:CB$87,'Fórmula'!H52,12))+(('Fórmula'!K52)/('Fórmula'!C52+'Fórmula'!E52+'Fórmula'!G52+'Fórmula'!I52+'Fórmula'!K52))*(INDEX(properties!A$1:CB$87,'Fórmula'!J52,12))</f>
        <v>2.85</v>
      </c>
      <c r="AS52" s="108">
        <f t="array" ref="AS52">'Fórmula'!C52*(INDEX(properties!A$1:CB$87,'Fórmula'!B52,12))+'Fórmula'!E52*(INDEX(properties!A$1:CB$87,'Fórmula'!D52,12))+'Fórmula'!G52*(INDEX(properties!A$1:CB$87,'Fórmula'!F52,12))+'Fórmula'!I52*(INDEX(properties!A$1:CB$87,'Fórmula'!H52,12))+'Fórmula'!K52*(INDEX(properties!A$1:CB$87,'Fórmula'!J52,12))</f>
        <v>57</v>
      </c>
      <c r="AT52" s="108">
        <f t="array" ref="AT52">VARP(IF(INDEX(properties!A$1:CB$87,'Fórmula'!B52,12)&lt;&gt;"",INDEX(properties!A$1:CB$87,'Fórmula'!B52,12)),IF(INDEX(properties!A$1:CB$87,'Fórmula'!D52,12)&lt;&gt;"",INDEX(properties!A$1:CB$87,'Fórmula'!D52,12)),IF(INDEX(properties!A$1:CB$87,'Fórmula'!F52,12)&lt;&gt;"",INDEX(properties!A$1:CB$87,'Fórmula'!F52,12)),IF(INDEX(properties!A$1:CB$87,'Fórmula'!H52,12)&lt;&gt;"",INDEX(properties!A$1:CB$87,'Fórmula'!H52,12)),IF(INDEX(properties!A$1:CB$87,'Fórmula'!J52,12)&lt;&gt;"",INDEX(properties!A$1:CB$87,'Fórmula'!J52,12)))</f>
        <v>3.04</v>
      </c>
      <c r="AU52" s="108">
        <f t="array" ref="AU52">MAX(INDEX(properties!A$1:CB$87,'Fórmula'!B52,12),INDEX(properties!A$1:CB$87,'Fórmula'!D52,12),INDEX(properties!A$1:CB$87,'Fórmula'!F52,12),INDEX(properties!A$1:CB$87,'Fórmula'!H52,12),INDEX(properties!A$1:CB$87,'Fórmula'!J52,12))</f>
        <v>4</v>
      </c>
      <c r="AV52" s="108">
        <f t="array" ref="AV52">MIN(IF('Fórmula'!B52=87,10^6,INDEX(properties!A$1:CB$87,'Fórmula'!B52,12)),IF(('Fórmula'!D52)=87,10^6,INDEX(properties!A$1:CB$87,'Fórmula'!D52,12)),IF(('Fórmula'!F52)=87,10^6,INDEX(properties!A$1:CB$87,'Fórmula'!F52,12)),IF(('Fórmula'!H52)=87,10^6,INDEX(properties!A$1:CB$87,'Fórmula'!H52,12)),IF('Fórmula'!J52=87,10^6,INDEX(properties!A$1:CB$87,'Fórmula'!J52,12)))</f>
        <v>0</v>
      </c>
      <c r="AW52" s="108">
        <f t="shared" si="8"/>
        <v>4</v>
      </c>
      <c r="AX52" s="109">
        <f t="array" ref="AX52">(('Fórmula'!C52)/('Fórmula'!C52+'Fórmula'!E52+'Fórmula'!G52+'Fórmula'!I52+'Fórmula'!K52))*(INDEX(properties!A$1:CB$87,'Fórmula'!B52,13))+(('Fórmula'!E52)/('Fórmula'!C52+'Fórmula'!E52+'Fórmula'!G52+'Fórmula'!I52+'Fórmula'!K52))*(INDEX(properties!A$1:CB$87,'Fórmula'!D52,13))+(('Fórmula'!G52)/('Fórmula'!C52+'Fórmula'!E52+'Fórmula'!G52+'Fórmula'!I52+'Fórmula'!K52))*(INDEX(properties!A$1:CB$87,'Fórmula'!F52,13))+(('Fórmula'!I52)/('Fórmula'!C52+'Fórmula'!E52+'Fórmula'!G52+'Fórmula'!I52+'Fórmula'!K52))*(INDEX(properties!A$1:CB$87,'Fórmula'!H52,13))+(('Fórmula'!K52)/('Fórmula'!C52+'Fórmula'!E52+'Fórmula'!G52+'Fórmula'!I52+'Fórmula'!K52))*(INDEX(properties!A$1:CB$87,'Fórmula'!J52,13))</f>
        <v>0.1</v>
      </c>
      <c r="AY52" s="109">
        <f t="array" ref="AY52">'Fórmula'!C52*(INDEX(properties!A$1:CB$87,'Fórmula'!B52,13))+'Fórmula'!E52*(INDEX(properties!A$1:CB$87,'Fórmula'!D52,13))+'Fórmula'!G52*(INDEX(properties!A$1:CB$87,'Fórmula'!F52,13))+'Fórmula'!I52*(INDEX(properties!A$1:CB$87,'Fórmula'!H52,13))+'Fórmula'!K52*(INDEX(properties!A$1:CB$87,'Fórmula'!J52,13))</f>
        <v>2</v>
      </c>
      <c r="AZ52" s="109">
        <f t="array" ref="AZ52">VARP(IF(INDEX(properties!A$1:CB$87,'Fórmula'!B52,13)&lt;&gt;"",INDEX(properties!A$1:CB$87,'Fórmula'!B52,13)),IF(INDEX(properties!A$1:CB$87,'Fórmula'!D52,13)&lt;&gt;"",INDEX(properties!A$1:CB$87,'Fórmula'!D52,13)),IF(INDEX(properties!A$1:CB$87,'Fórmula'!F52,13)&lt;&gt;"",INDEX(properties!A$1:CB$87,'Fórmula'!F52,13)),IF(INDEX(properties!A$1:CB$87,'Fórmula'!H52,13)&lt;&gt;"",INDEX(properties!A$1:CB$87,'Fórmula'!H52,13)),IF(INDEX(properties!A$1:CB$87,'Fórmula'!J52,13)&lt;&gt;"",INDEX(properties!A$1:CB$87,'Fórmula'!J52,13)))</f>
        <v>0.16</v>
      </c>
      <c r="BA52" s="109">
        <f t="array" ref="BA52">MAX(INDEX(properties!A$1:CB$87,'Fórmula'!B52,13),INDEX(properties!A$1:CB$87,'Fórmula'!D52,13),INDEX(properties!A$1:CB$87,'Fórmula'!F52,13),INDEX(properties!A$1:CB$87,'Fórmula'!H52,13),INDEX(properties!A$1:CB$87,'Fórmula'!J52,13))</f>
        <v>1</v>
      </c>
      <c r="BB52" s="109">
        <f t="array" ref="BB52">MIN(IF('Fórmula'!B52=87,10^6,INDEX(properties!A$1:CB$87,'Fórmula'!B52,13)),IF(('Fórmula'!D52)=87,10^6,INDEX(properties!A$1:CB$87,'Fórmula'!D52,13)),IF(('Fórmula'!F52)=87,10^6,INDEX(properties!A$1:CB$87,'Fórmula'!F52,13)),IF(('Fórmula'!H52)=87,10^6,INDEX(properties!A$1:CB$87,'Fórmula'!H52,13)),IF('Fórmula'!J52=87,10^6,INDEX(properties!A$1:CB$87,'Fórmula'!J52,13)))</f>
        <v>0</v>
      </c>
      <c r="BC52" s="109">
        <f t="shared" si="9"/>
        <v>1</v>
      </c>
      <c r="BD52" s="110">
        <f t="array" ref="BD52">(('Fórmula'!C52)/('Fórmula'!C52+'Fórmula'!E52+'Fórmula'!G52+'Fórmula'!I52+'Fórmula'!K52))*(INDEX(properties!A$1:CB$87,'Fórmula'!B52,14))+(('Fórmula'!E52)/('Fórmula'!C52+'Fórmula'!E52+'Fórmula'!G52+'Fórmula'!I52+'Fórmula'!K52))*(INDEX(properties!A$1:CB$87,'Fórmula'!D52,14))+(('Fórmula'!G52)/('Fórmula'!C52+'Fórmula'!E52+'Fórmula'!G52+'Fórmula'!I52+'Fórmula'!K52))*(INDEX(properties!A$1:CB$87,'Fórmula'!F52,14))+(('Fórmula'!I52)/('Fórmula'!C52+'Fórmula'!E52+'Fórmula'!G52+'Fórmula'!I52+'Fórmula'!K52))*(INDEX(properties!A$1:CB$87,'Fórmula'!H52,14))+(('Fórmula'!K52)/('Fórmula'!C52+'Fórmula'!E52+'Fórmula'!G52+'Fórmula'!I52+'Fórmula'!K52))*(INDEX(properties!A$1:CB$87,'Fórmula'!J52,14))</f>
        <v>0</v>
      </c>
      <c r="BE52" s="110">
        <f t="array" ref="BE52">'Fórmula'!C52*(INDEX(properties!A$1:CB$87,'Fórmula'!B52,14))+'Fórmula'!E52*(INDEX(properties!A$1:CB$87,'Fórmula'!D52,14))+'Fórmula'!G52*(INDEX(properties!A$1:CB$87,'Fórmula'!F52,14))+'Fórmula'!I52*(INDEX(properties!A$1:CB$87,'Fórmula'!H52,14))+'Fórmula'!K52*(INDEX(properties!A$1:CB$87,'Fórmula'!J52,14))</f>
        <v>0</v>
      </c>
      <c r="BF52" s="110">
        <f t="array" ref="BF52">VARP(IF(INDEX(properties!A$1:CB$87,'Fórmula'!B52,14)&lt;&gt;"",INDEX(properties!A$1:CB$87,'Fórmula'!B52,14)),IF(INDEX(properties!A$1:CB$87,'Fórmula'!D52,14)&lt;&gt;"",INDEX(properties!A$1:CB$87,'Fórmula'!D52,14)),IF(INDEX(properties!A$1:CB$87,'Fórmula'!F52,14)&lt;&gt;"",INDEX(properties!A$1:CB$87,'Fórmula'!F52,14)),IF(INDEX(properties!A$1:CB$87,'Fórmula'!H52,14)&lt;&gt;"",INDEX(properties!A$1:CB$87,'Fórmula'!H52,14)),IF(INDEX(properties!A$1:CB$87,'Fórmula'!J52,14)&lt;&gt;"",INDEX(properties!A$1:CB$87,'Fórmula'!J52,14)))</f>
        <v>0</v>
      </c>
      <c r="BG52" s="110">
        <f t="array" ref="BG52">MAX(INDEX(properties!A$1:CB$87,'Fórmula'!B52,14),INDEX(properties!A$1:CB$87,'Fórmula'!D52,14),INDEX(properties!A$1:CB$87,'Fórmula'!F52,14),INDEX(properties!A$1:CB$87,'Fórmula'!H52,14),INDEX(properties!A$1:CB$87,'Fórmula'!J52,14))</f>
        <v>0</v>
      </c>
      <c r="BH52" s="110">
        <f t="array" ref="BH52">MIN(IF('Fórmula'!B52=87,10^6,INDEX(properties!A$1:CB$87,'Fórmula'!B52,14)),IF(('Fórmula'!D52)=87,10^6,INDEX(properties!A$1:CB$87,'Fórmula'!D52,14)),IF(('Fórmula'!F52)=87,10^6,INDEX(properties!A$1:CB$87,'Fórmula'!F52,14)),IF(('Fórmula'!H52)=87,10^6,INDEX(properties!A$1:CB$87,'Fórmula'!H52,14)),IF('Fórmula'!J52=87,10^6,INDEX(properties!A$1:CB$87,'Fórmula'!J52,14)))</f>
        <v>0</v>
      </c>
      <c r="BI52" s="110">
        <f t="shared" si="10"/>
        <v>0</v>
      </c>
      <c r="BJ52" s="111">
        <f t="array" ref="BJ52">(('Fórmula'!C52)/('Fórmula'!C52+'Fórmula'!E52+'Fórmula'!G52+'Fórmula'!I52+'Fórmula'!K52))*(INDEX(properties!A$1:CB$87,'Fórmula'!B52,19))+(('Fórmula'!E52)/('Fórmula'!C52+'Fórmula'!E52+'Fórmula'!G52+'Fórmula'!I52+'Fórmula'!K52))*(INDEX(properties!A$1:CB$87,'Fórmula'!D52,19))+(('Fórmula'!G52)/('Fórmula'!C52+'Fórmula'!E52+'Fórmula'!G52+'Fórmula'!I52+'Fórmula'!K52))*(INDEX(properties!A$1:CB$87,'Fórmula'!F52,19))+(('Fórmula'!I52)/('Fórmula'!C52+'Fórmula'!E52+'Fórmula'!G52+'Fórmula'!I52+'Fórmula'!K52))*(INDEX(properties!A$1:CB$87,'Fórmula'!H52,19))+(('Fórmula'!K52)/('Fórmula'!C52+'Fórmula'!E52+'Fórmula'!G52+'Fórmula'!I52+'Fórmula'!K52))*(INDEX(properties!A$1:CB$87,'Fórmula'!J52,19))</f>
        <v>4.8</v>
      </c>
      <c r="BK52" s="111">
        <f t="array" ref="BK52">'Fórmula'!C52*(INDEX(properties!A$1:CB$87,'Fórmula'!B52,19))+'Fórmula'!E52*(INDEX(properties!A$1:CB$87,'Fórmula'!D52,19))+'Fórmula'!G52*(INDEX(properties!A$1:CB$87,'Fórmula'!F52,19))+'Fórmula'!I52*(INDEX(properties!A$1:CB$87,'Fórmula'!H52,19))+'Fórmula'!K52*(INDEX(properties!A$1:CB$87,'Fórmula'!J52,19))</f>
        <v>96</v>
      </c>
      <c r="BL52" s="111">
        <f t="array" ref="BL52">VARP(IF(INDEX(properties!A$1:CB$87,'Fórmula'!B52,19)&lt;&gt;"",INDEX(properties!A$1:CB$87,'Fórmula'!B52,19)),IF(INDEX(properties!A$1:CB$87,'Fórmula'!D52,19)&lt;&gt;"",INDEX(properties!A$1:CB$87,'Fórmula'!D52,19)),IF(INDEX(properties!A$1:CB$87,'Fórmula'!F52,19)&lt;&gt;"",INDEX(properties!A$1:CB$87,'Fórmula'!F52,19)),IF(INDEX(properties!A$1:CB$87,'Fórmula'!H52,19)&lt;&gt;"",INDEX(properties!A$1:CB$87,'Fórmula'!H52,19)),IF(INDEX(properties!A$1:CB$87,'Fórmula'!J52,19)&lt;&gt;"",INDEX(properties!A$1:CB$87,'Fórmula'!J52,19)))</f>
        <v>5.2</v>
      </c>
      <c r="BM52" s="111">
        <f t="array" ref="BM52">MAX(INDEX(properties!A$1:CB$87,'Fórmula'!B52,19),INDEX(properties!A$1:CB$87,'Fórmula'!D52,19),INDEX(properties!A$1:CB$87,'Fórmula'!F52,19),INDEX(properties!A$1:CB$87,'Fórmula'!H52,19),INDEX(properties!A$1:CB$87,'Fórmula'!J52,19))</f>
        <v>6</v>
      </c>
      <c r="BN52" s="111">
        <f t="array" ref="BN52">MIN(IF(INDEX(properties!A$1:CB$87,'Fórmula'!B52,19)=0,10^6,INDEX(properties!A$1:CB$87,'Fórmula'!B52,19)),IF(INDEX(properties!A$1:CB$87,'Fórmula'!D52,19)=0,10^6,INDEX(properties!A$1:CB$87,'Fórmula'!D52,19)),IF(INDEX(properties!A$1:CB$87,'Fórmula'!F52,19)=0,10^6,INDEX(properties!A$1:CB$87,'Fórmula'!F52,19)),IF(INDEX(properties!A$1:CB$87,'Fórmula'!H52,19)=0,10^6,INDEX(properties!A$1:CB$87,'Fórmula'!H52,19)),IF(INDEX(properties!A$1:CB$87,'Fórmula'!J52,19)=0,10^6,INDEX(properties!A$1:CB$87,'Fórmula'!J52,19)))</f>
        <v>1</v>
      </c>
      <c r="BO52" s="111">
        <f t="shared" si="11"/>
        <v>5</v>
      </c>
      <c r="BP52" s="112">
        <f t="array" ref="BP52">(('Fórmula'!C52)/('Fórmula'!C52+'Fórmula'!E52+'Fórmula'!G52+'Fórmula'!I52+'Fórmula'!K52))*(INDEX(properties!A$1:CB$87,'Fórmula'!B52,20))+(('Fórmula'!E52)/('Fórmula'!C52+'Fórmula'!E52+'Fórmula'!G52+'Fórmula'!I52+'Fórmula'!K52))*(INDEX(properties!A$1:CB$87,'Fórmula'!D52,20))+(('Fórmula'!G52)/('Fórmula'!C52+'Fórmula'!E52+'Fórmula'!G52+'Fórmula'!I52+'Fórmula'!K52))*(INDEX(properties!A$1:CB$87,'Fórmula'!F52,20))+(('Fórmula'!I52)/('Fórmula'!C52+'Fórmula'!E52+'Fórmula'!G52+'Fórmula'!I52+'Fórmula'!K52))*(INDEX(properties!A$1:CB$87,'Fórmula'!H52,20))+(('Fórmula'!K52)/('Fórmula'!C52+'Fórmula'!E52+'Fórmula'!G52+'Fórmula'!I52+'Fórmula'!K52))*(INDEX(properties!A$1:CB$87,'Fórmula'!J52,20))</f>
        <v>4.7</v>
      </c>
      <c r="BQ52" s="112">
        <f t="array" ref="BQ52">'Fórmula'!C52*(INDEX(properties!A$1:CB$87,'Fórmula'!B52,20))+'Fórmula'!E52*(INDEX(properties!A$1:CB$87,'Fórmula'!D52,20))+'Fórmula'!G52*(INDEX(properties!A$1:CB$87,'Fórmula'!F52,20))+'Fórmula'!I52*(INDEX(properties!A$1:CB$87,'Fórmula'!H52,20))+'Fórmula'!K52*(INDEX(properties!A$1:CB$87,'Fórmula'!J52,20))</f>
        <v>94</v>
      </c>
      <c r="BR52" s="112">
        <f t="array" ref="BR52">VARP(IF(INDEX(properties!A$1:CB$87,'Fórmula'!B52,20)&lt;&gt;"",INDEX(properties!A$1:CB$87,'Fórmula'!B52,20)),IF(INDEX(properties!A$1:CB$87,'Fórmula'!D52,20)&lt;&gt;"",INDEX(properties!A$1:CB$87,'Fórmula'!D52,20)),IF(INDEX(properties!A$1:CB$87,'Fórmula'!F52,20)&lt;&gt;"",INDEX(properties!A$1:CB$87,'Fórmula'!F52,20)),IF(INDEX(properties!A$1:CB$87,'Fórmula'!H52,20)&lt;&gt;"",INDEX(properties!A$1:CB$87,'Fórmula'!H52,20)),IF(INDEX(properties!A$1:CB$87,'Fórmula'!J52,20)&lt;&gt;"",INDEX(properties!A$1:CB$87,'Fórmula'!J52,20)))</f>
        <v>5.36</v>
      </c>
      <c r="BS52" s="112">
        <f t="array" ref="BS52">MAX(INDEX(properties!A$1:CB$87,'Fórmula'!B52,20),INDEX(properties!A$1:CB$87,'Fórmula'!D52,20),INDEX(properties!A$1:CB$87,'Fórmula'!F52,20),INDEX(properties!A$1:CB$87,'Fórmula'!H52,20),INDEX(properties!A$1:CB$87,'Fórmula'!J52,20))</f>
        <v>6</v>
      </c>
      <c r="BT52" s="112">
        <f t="array" ref="BT52">MIN(IF(INDEX(properties!A$1:CB$87,'Fórmula'!B52,20)=0,10^6,INDEX(properties!A$1:CB$87,'Fórmula'!B52,20)),IF(INDEX(properties!A$1:CB$87,'Fórmula'!D52,20)=0,10^6,INDEX(properties!A$1:CB$87,'Fórmula'!D52,20)),IF(INDEX(properties!A$1:CB$87,'Fórmula'!F52,20)=0,10^6,INDEX(properties!A$1:CB$87,'Fórmula'!F52,20)),IF(INDEX(properties!A$1:CB$87,'Fórmula'!H52,20)=0,10^6,INDEX(properties!A$1:CB$87,'Fórmula'!H52,20)),IF(INDEX(properties!A$1:CB$87,'Fórmula'!J52,20)=0,10^6,INDEX(properties!A$1:CB$87,'Fórmula'!J52,20)))</f>
        <v>1</v>
      </c>
      <c r="BU52" s="112">
        <f t="shared" si="12"/>
        <v>5</v>
      </c>
      <c r="BV52" s="113">
        <f t="array" ref="BV52">(('Fórmula'!C52)/('Fórmula'!C52+'Fórmula'!E52+'Fórmula'!G52+'Fórmula'!I52+'Fórmula'!K52))*(INDEX(properties!A$1:CB$87,'Fórmula'!B52,21))+(('Fórmula'!E52)/('Fórmula'!C52+'Fórmula'!E52+'Fórmula'!G52+'Fórmula'!I52+'Fórmula'!K52))*(INDEX(properties!A$1:CB$87,'Fórmula'!D52,21))+(('Fórmula'!G52)/('Fórmula'!C52+'Fórmula'!E52+'Fórmula'!G52+'Fórmula'!I52+'Fórmula'!K52))*(INDEX(properties!A$1:CB$87,'Fórmula'!F52,21))+(('Fórmula'!I52)/('Fórmula'!C52+'Fórmula'!E52+'Fórmula'!G52+'Fórmula'!I52+'Fórmula'!K52))*(INDEX(properties!A$1:CB$87,'Fórmula'!H52,21))+(('Fórmula'!K52)/('Fórmula'!C52+'Fórmula'!E52+'Fórmula'!G52+'Fórmula'!I52+'Fórmula'!K52))*(INDEX(properties!A$1:CB$87,'Fórmula'!J52,21))</f>
        <v>4.6</v>
      </c>
      <c r="BW52" s="113">
        <f t="array" ref="BW52">'Fórmula'!C52*(INDEX(properties!A$1:CB$87,'Fórmula'!B52,21))+'Fórmula'!E52*(INDEX(properties!A$1:CB$87,'Fórmula'!D52,21))+'Fórmula'!G52*(INDEX(properties!A$1:CB$87,'Fórmula'!F52,21))+'Fórmula'!I52*(INDEX(properties!A$1:CB$87,'Fórmula'!H52,21))+'Fórmula'!K52*(INDEX(properties!A$1:CB$87,'Fórmula'!J52,21))</f>
        <v>92</v>
      </c>
      <c r="BX52" s="113">
        <f t="array" ref="BX52">VARP(IF(INDEX(properties!A$1:CB$87,'Fórmula'!B52,21)&lt;&gt;"",INDEX(properties!A$1:CB$87,'Fórmula'!B52,21)),IF(INDEX(properties!A$1:CB$87,'Fórmula'!D52,21)&lt;&gt;"",INDEX(properties!A$1:CB$87,'Fórmula'!D52,21)),IF(INDEX(properties!A$1:CB$87,'Fórmula'!F52,21)&lt;&gt;"",INDEX(properties!A$1:CB$87,'Fórmula'!F52,21)),IF(INDEX(properties!A$1:CB$87,'Fórmula'!H52,21)&lt;&gt;"",INDEX(properties!A$1:CB$87,'Fórmula'!H52,21)),IF(INDEX(properties!A$1:CB$87,'Fórmula'!J52,21)&lt;&gt;"",INDEX(properties!A$1:CB$87,'Fórmula'!J52,21)))</f>
        <v>5.84</v>
      </c>
      <c r="BY52" s="113">
        <f t="array" ref="BY52">MAX(INDEX(properties!A$1:CB$87,'Fórmula'!B52,21),INDEX(properties!A$1:CB$87,'Fórmula'!D52,21),INDEX(properties!A$1:CB$87,'Fórmula'!F52,21),INDEX(properties!A$1:CB$87,'Fórmula'!H52,21),INDEX(properties!A$1:CB$87,'Fórmula'!J52,21))</f>
        <v>6</v>
      </c>
      <c r="BZ52" s="113">
        <f t="array" ref="BZ52">MIN(IF(INDEX(properties!A$1:CB$87,'Fórmula'!B52,21)=0,10^6,INDEX(properties!A$1:CB$87,'Fórmula'!B52,21)),IF(INDEX(properties!A$1:CB$87,'Fórmula'!D52,21)=0,10^6,INDEX(properties!A$1:CB$87,'Fórmula'!D52,21)),IF(INDEX(properties!A$1:CB$87,'Fórmula'!F52,21)=0,10^6,INDEX(properties!A$1:CB$87,'Fórmula'!F52,21)),IF(INDEX(properties!A$1:CB$87,'Fórmula'!H52,21)=0,10^6,INDEX(properties!A$1:CB$87,'Fórmula'!H52,21)),IF(INDEX(properties!A$1:CB$87,'Fórmula'!J52,21)=0,10^6,INDEX(properties!A$1:CB$87,'Fórmula'!J52,21)))</f>
        <v>1</v>
      </c>
      <c r="CA52" s="113">
        <f t="shared" si="13"/>
        <v>5</v>
      </c>
      <c r="CB52" s="114">
        <f t="array" ref="CB52">(('Fórmula'!C52)/('Fórmula'!C52+'Fórmula'!E52+'Fórmula'!G52+'Fórmula'!I52+'Fórmula'!K52))*(INDEX(properties!A$1:CB$87,'Fórmula'!B52,23))+(('Fórmula'!E52)/('Fórmula'!C52+'Fórmula'!E52+'Fórmula'!G52+'Fórmula'!I52+'Fórmula'!K52))*(INDEX(properties!A$1:CB$87,'Fórmula'!D52,23))+(('Fórmula'!G52)/('Fórmula'!C52+'Fórmula'!E52+'Fórmula'!G52+'Fórmula'!I52+'Fórmula'!K52))*(INDEX(properties!A$1:CB$87,'Fórmula'!F52,23))+(('Fórmula'!I52)/('Fórmula'!C52+'Fórmula'!E52+'Fórmula'!G52+'Fórmula'!I52+'Fórmula'!K52))*(INDEX(properties!A$1:CB$87,'Fórmula'!H52,23))+(('Fórmula'!K52)/('Fórmula'!C52+'Fórmula'!E52+'Fórmula'!G52+'Fórmula'!I52+'Fórmula'!K52))*(INDEX(properties!A$1:CB$87,'Fórmula'!J52,23))</f>
        <v>0.9</v>
      </c>
      <c r="CC52" s="114">
        <f t="array" ref="CC52">'Fórmula'!C52*(INDEX(properties!A$1:CB$87,'Fórmula'!B52,23))+'Fórmula'!E52*(INDEX(properties!A$1:CB$87,'Fórmula'!D52,23))+'Fórmula'!G52*(INDEX(properties!A$1:CB$87,'Fórmula'!F52,23))+'Fórmula'!I52*(INDEX(properties!A$1:CB$87,'Fórmula'!H52,23))+'Fórmula'!K52*(INDEX(properties!A$1:CB$87,'Fórmula'!J52,23))</f>
        <v>18</v>
      </c>
      <c r="CD52" s="114">
        <f t="array" ref="CD52">VARP(IF(INDEX(properties!A$1:CB$87,'Fórmula'!B52,23)&lt;&gt;"",INDEX(properties!A$1:CB$87,'Fórmula'!B52,23)),IF(INDEX(properties!A$1:CB$87,'Fórmula'!D52,23)&lt;&gt;"",INDEX(properties!A$1:CB$87,'Fórmula'!D52,23)),IF(INDEX(properties!A$1:CB$87,'Fórmula'!F52,23)&lt;&gt;"",INDEX(properties!A$1:CB$87,'Fórmula'!F52,23)),IF(INDEX(properties!A$1:CB$87,'Fórmula'!H52,23)&lt;&gt;"",INDEX(properties!A$1:CB$87,'Fórmula'!H52,23)),IF(INDEX(properties!A$1:CB$87,'Fórmula'!J52,23)&lt;&gt;"",INDEX(properties!A$1:CB$87,'Fórmula'!J52,23)))</f>
        <v>1.84</v>
      </c>
      <c r="CE52" s="114">
        <f t="array" ref="CE52">MAX(INDEX(properties!A$1:CB$87,'Fórmula'!B52,23),INDEX(properties!A$1:CB$87,'Fórmula'!D52,23),INDEX(properties!A$1:CB$87,'Fórmula'!F52,23),INDEX(properties!A$1:CB$87,'Fórmula'!H52,23),INDEX(properties!A$1:CB$87,'Fórmula'!J52,23))</f>
        <v>3</v>
      </c>
      <c r="CF52" s="114">
        <f t="array" ref="CF52">MIN(IF('Fórmula'!B52=87,10^6,INDEX(properties!A$1:CB$87,'Fórmula'!B52,23)),IF(('Fórmula'!D52)=87,10^6,INDEX(properties!A$1:CB$87,'Fórmula'!D52,23)),IF(('Fórmula'!F52)=87,10^6,INDEX(properties!A$1:CB$87,'Fórmula'!F52,23)),IF(('Fórmula'!H52)=87,10^6,INDEX(properties!A$1:CB$87,'Fórmula'!H52,23)),IF('Fórmula'!J52=87,10^6,INDEX(properties!A$1:CB$87,'Fórmula'!J52,23)))</f>
        <v>0</v>
      </c>
      <c r="CG52" s="114">
        <f t="shared" si="14"/>
        <v>3</v>
      </c>
      <c r="CH52" s="115">
        <f t="array" ref="CH52">(('Fórmula'!C52)/('Fórmula'!C52+'Fórmula'!E52+'Fórmula'!G52+'Fórmula'!I52+'Fórmula'!K52))*(INDEX(properties!A$1:CB$87,'Fórmula'!B52,26))+(('Fórmula'!E52)/('Fórmula'!C52+'Fórmula'!E52+'Fórmula'!G52+'Fórmula'!I52+'Fórmula'!K52))*(INDEX(properties!A$1:CB$87,'Fórmula'!D52,26))+(('Fórmula'!G52)/('Fórmula'!C52+'Fórmula'!E52+'Fórmula'!G52+'Fórmula'!I52+'Fórmula'!K52))*(INDEX(properties!A$1:CB$87,'Fórmula'!F52,26))+(('Fórmula'!I52)/('Fórmula'!C52+'Fórmula'!E52+'Fórmula'!G52+'Fórmula'!I52+'Fórmula'!K52))*(INDEX(properties!A$1:CB$87,'Fórmula'!H52,26))+(('Fórmula'!K52)/('Fórmula'!C52+'Fórmula'!E52+'Fórmula'!G52+'Fórmula'!I52+'Fórmula'!K52))*(INDEX(properties!A$1:CB$87,'Fórmula'!J52,26))</f>
        <v>11.17088</v>
      </c>
      <c r="CI52" s="115">
        <f t="array" ref="CI52">'Fórmula'!C52*(INDEX(properties!A$1:CB$87,'Fórmula'!B52,26))+'Fórmula'!E52*(INDEX(properties!A$1:CB$87,'Fórmula'!D52,26))+'Fórmula'!G52*(INDEX(properties!A$1:CB$87,'Fórmula'!F52,26))+'Fórmula'!I52*(INDEX(properties!A$1:CB$87,'Fórmula'!H52,26))+'Fórmula'!K52*(INDEX(properties!A$1:CB$87,'Fórmula'!J52,26))</f>
        <v>223.4176</v>
      </c>
      <c r="CJ52" s="115">
        <f t="array" ref="CJ52">VARP(IF(INDEX(properties!A$1:CB$87,'Fórmula'!B52,26)&lt;&gt;"",INDEX(properties!A$1:CB$87,'Fórmula'!B52,26)),IF(INDEX(properties!A$1:CB$87,'Fórmula'!D52,26)&lt;&gt;"",INDEX(properties!A$1:CB$87,'Fórmula'!D52,26)),IF(INDEX(properties!A$1:CB$87,'Fórmula'!F52,26)&lt;&gt;"",INDEX(properties!A$1:CB$87,'Fórmula'!F52,26)),IF(INDEX(properties!A$1:CB$87,'Fórmula'!H52,26)&lt;&gt;"",INDEX(properties!A$1:CB$87,'Fórmula'!H52,26)),IF(INDEX(properties!A$1:CB$87,'Fórmula'!J52,26)&lt;&gt;"",INDEX(properties!A$1:CB$87,'Fórmula'!J52,26)))</f>
        <v>21.69636435</v>
      </c>
      <c r="CK52" s="116">
        <f t="array" ref="CK52">MAX(INDEX(properties!A$1:CB$87,'Fórmula'!B52,26),INDEX(properties!A$1:CB$87,'Fórmula'!D52,26),INDEX(properties!A$1:CB$87,'Fórmula'!F52,26),INDEX(properties!A$1:CB$87,'Fórmula'!H52,26),INDEX(properties!A$1:CB$87,'Fórmula'!J52,26))</f>
        <v>13.6181</v>
      </c>
      <c r="CL52" s="116">
        <f t="array" ref="CL52">MIN(IF(INDEX(properties!A$1:CB$87,'Fórmula'!B52,26)=0,10^6,INDEX(properties!A$1:CB$87,'Fórmula'!B52,26)),IF(INDEX(properties!A$1:CB$87,'Fórmula'!D52,26)=0,10^6,INDEX(properties!A$1:CB$87,'Fórmula'!D52,26)),IF(INDEX(properties!A$1:CB$87,'Fórmula'!F52,26)=0,10^6,INDEX(properties!A$1:CB$87,'Fórmula'!F52,26)),IF(INDEX(properties!A$1:CB$87,'Fórmula'!H52,26)=0,10^6,INDEX(properties!A$1:CB$87,'Fórmula'!H52,26)),IF(INDEX(properties!A$1:CB$87,'Fórmula'!J52,26)=0,10^6,INDEX(properties!A$1:CB$87,'Fórmula'!J52,26)))</f>
        <v>5.1391</v>
      </c>
      <c r="CM52" s="115">
        <f t="shared" si="15"/>
        <v>8.479</v>
      </c>
      <c r="CN52" s="117">
        <f t="array" ref="CN52">(('Fórmula'!C52)/('Fórmula'!C52+'Fórmula'!E52+'Fórmula'!G52+'Fórmula'!I52+'Fórmula'!K52))*(INDEX(properties!A$1:CB$87,'Fórmula'!B52,30))+(('Fórmula'!E52)/('Fórmula'!C52+'Fórmula'!E52+'Fórmula'!G52+'Fórmula'!I52+'Fórmula'!K52))*(INDEX(properties!A$1:CB$87,'Fórmula'!D52,30))+(('Fórmula'!G52)/('Fórmula'!C52+'Fórmula'!E52+'Fórmula'!G52+'Fórmula'!I52+'Fórmula'!K52))*(INDEX(properties!A$1:CB$87,'Fórmula'!F52,30))+(('Fórmula'!I52)/('Fórmula'!C52+'Fórmula'!E52+'Fórmula'!G52+'Fórmula'!I52+'Fórmula'!K52))*(INDEX(properties!A$1:CB$87,'Fórmula'!H52,30))+(('Fórmula'!K52)/('Fórmula'!C52+'Fórmula'!E52+'Fórmula'!G52+'Fórmula'!I52+'Fórmula'!K52))*(INDEX(properties!A$1:CB$87,'Fórmula'!J52,30))</f>
        <v>2.668</v>
      </c>
      <c r="CO52" s="117">
        <f t="array" ref="CO52">'Fórmula'!C52*(INDEX(properties!A$1:CB$87,'Fórmula'!B52,30))+'Fórmula'!E52*(INDEX(properties!A$1:CB$87,'Fórmula'!D52,30))+'Fórmula'!G52*(INDEX(properties!A$1:CB$87,'Fórmula'!F52,30))+'Fórmula'!I52*(INDEX(properties!A$1:CB$87,'Fórmula'!H52,30))+'Fórmula'!K52*(INDEX(properties!A$1:CB$87,'Fórmula'!J52,30))</f>
        <v>53.36</v>
      </c>
      <c r="CP52" s="117">
        <f t="array" ref="CP52">VARP(IF(INDEX(properties!A$1:CB$87,'Fórmula'!B52,30)&lt;&gt;"",INDEX(properties!A$1:CB$87,'Fórmula'!B52,30)),IF(INDEX(properties!A$1:CB$87,'Fórmula'!D52,30)&lt;&gt;"",INDEX(properties!A$1:CB$87,'Fórmula'!D52,30)),IF(INDEX(properties!A$1:CB$87,'Fórmula'!F52,30)&lt;&gt;"",INDEX(properties!A$1:CB$87,'Fórmula'!F52,30)),IF(INDEX(properties!A$1:CB$87,'Fórmula'!H52,30)&lt;&gt;"",INDEX(properties!A$1:CB$87,'Fórmula'!H52,30)),IF(INDEX(properties!A$1:CB$87,'Fórmula'!J52,30)&lt;&gt;"",INDEX(properties!A$1:CB$87,'Fórmula'!J52,30)))</f>
        <v>1.359784</v>
      </c>
      <c r="CQ52" s="117">
        <f t="array" ref="CQ52">MAX(INDEX(properties!A$1:CB$87,'Fórmula'!B52,30),INDEX(properties!A$1:CB$87,'Fórmula'!D52,30),INDEX(properties!A$1:CB$87,'Fórmula'!F52,30),INDEX(properties!A$1:CB$87,'Fórmula'!H52,30),INDEX(properties!A$1:CB$87,'Fórmula'!J52,30))</f>
        <v>3.44</v>
      </c>
      <c r="CR52" s="117">
        <f t="array" ref="CR52">MIN(IF(INDEX(properties!A$1:CB$87,'Fórmula'!B52,30)=0,10^6,INDEX(properties!A$1:CB$87,'Fórmula'!B52,30)),IF(INDEX(properties!A$1:CB$87,'Fórmula'!D52,30)=0,10^6,INDEX(properties!A$1:CB$87,'Fórmula'!D52,30)),IF(INDEX(properties!A$1:CB$87,'Fórmula'!F52,30)=0,10^6,INDEX(properties!A$1:CB$87,'Fórmula'!F52,30)),IF(INDEX(properties!A$1:CB$87,'Fórmula'!H52,30)=0,10^6,INDEX(properties!A$1:CB$87,'Fórmula'!H52,30)),IF(INDEX(properties!A$1:CB$87,'Fórmula'!J52,30)=0,10^6,INDEX(properties!A$1:CB$87,'Fórmula'!J52,30)))</f>
        <v>0.93</v>
      </c>
      <c r="CS52" s="117">
        <f t="shared" si="16"/>
        <v>2.51</v>
      </c>
      <c r="CT52" s="118">
        <f t="array" ref="CT52">(('Fórmula'!C52)/('Fórmula'!C52+'Fórmula'!E52+'Fórmula'!G52+'Fórmula'!I52+'Fórmula'!K52))*(INDEX(properties!A$1:CB$87,'Fórmula'!B52,31))+(('Fórmula'!E52)/('Fórmula'!C52+'Fórmula'!E52+'Fórmula'!G52+'Fórmula'!I52+'Fórmula'!K52))*(INDEX(properties!A$1:CB$87,'Fórmula'!D52,31))+(('Fórmula'!G52)/('Fórmula'!C52+'Fórmula'!E52+'Fórmula'!G52+'Fórmula'!I52+'Fórmula'!K52))*(INDEX(properties!A$1:CB$87,'Fórmula'!F52,31))+(('Fórmula'!I52)/('Fórmula'!C52+'Fórmula'!E52+'Fórmula'!G52+'Fórmula'!I52+'Fórmula'!K52))*(INDEX(properties!A$1:CB$87,'Fórmula'!H52,31))+(('Fórmula'!K52)/('Fórmula'!C52+'Fórmula'!E52+'Fórmula'!G52+'Fórmula'!I52+'Fórmula'!K52))*(INDEX(properties!A$1:CB$87,'Fórmula'!J52,31))</f>
        <v>2.6235</v>
      </c>
      <c r="CU52" s="118">
        <f t="array" ref="CU52">'Fórmula'!C52*(INDEX(properties!A$1:CB$87,'Fórmula'!B52,31))+'Fórmula'!E52*(INDEX(properties!A$1:CB$87,'Fórmula'!D52,31))+'Fórmula'!G52*(INDEX(properties!A$1:CB$87,'Fórmula'!F52,31))+'Fórmula'!I52*(INDEX(properties!A$1:CB$87,'Fórmula'!H52,31))+'Fórmula'!K52*(INDEX(properties!A$1:CB$87,'Fórmula'!J52,31))</f>
        <v>52.47</v>
      </c>
      <c r="CV52" s="118">
        <f t="array" ref="CV52">VARP(IF(INDEX(properties!A$1:CB$87,'Fórmula'!B52,31)&lt;&gt;"",INDEX(properties!A$1:CB$87,'Fórmula'!B52,31)),IF(INDEX(properties!A$1:CB$87,'Fórmula'!D52,31)&lt;&gt;"",INDEX(properties!A$1:CB$87,'Fórmula'!D52,31)),IF(INDEX(properties!A$1:CB$87,'Fórmula'!F52,31)&lt;&gt;"",INDEX(properties!A$1:CB$87,'Fórmula'!F52,31)),IF(INDEX(properties!A$1:CB$87,'Fórmula'!H52,31)&lt;&gt;"",INDEX(properties!A$1:CB$87,'Fórmula'!H52,31)),IF(INDEX(properties!A$1:CB$87,'Fórmula'!J52,31)&lt;&gt;"",INDEX(properties!A$1:CB$87,'Fórmula'!J52,31)))</f>
        <v>1.310144</v>
      </c>
      <c r="CW52" s="118">
        <f t="array" ref="CW52">MAX(INDEX(properties!A$1:CB$87,'Fórmula'!B52,31),INDEX(properties!A$1:CB$87,'Fórmula'!D52,31),INDEX(properties!A$1:CB$87,'Fórmula'!F52,31),INDEX(properties!A$1:CB$87,'Fórmula'!H52,31),INDEX(properties!A$1:CB$87,'Fórmula'!J52,31))</f>
        <v>3.32</v>
      </c>
      <c r="CX52" s="118">
        <f t="array" ref="CX52">MIN(IF(INDEX(properties!A$1:CB$87,'Fórmula'!B52,31)=0,10^6,INDEX(properties!A$1:CB$87,'Fórmula'!B52,31)),IF(INDEX(properties!A$1:CB$87,'Fórmula'!D52,31)=0,10^6,INDEX(properties!A$1:CB$87,'Fórmula'!D52,31)),IF(INDEX(properties!A$1:CB$87,'Fórmula'!F52,31)=0,10^6,INDEX(properties!A$1:CB$87,'Fórmula'!F52,31)),IF(INDEX(properties!A$1:CB$87,'Fórmula'!H52,31)=0,10^6,INDEX(properties!A$1:CB$87,'Fórmula'!H52,31)),IF(INDEX(properties!A$1:CB$87,'Fórmula'!J52,31)=0,10^6,INDEX(properties!A$1:CB$87,'Fórmula'!J52,31)))</f>
        <v>0.89</v>
      </c>
      <c r="CY52" s="118">
        <f t="shared" si="17"/>
        <v>2.43</v>
      </c>
      <c r="CZ52" s="119">
        <f t="array" ref="CZ52">(('Fórmula'!C52)/('Fórmula'!C52+'Fórmula'!E52+'Fórmula'!G52+'Fórmula'!I52+'Fórmula'!K52))*(INDEX(properties!A$1:CB$87,'Fórmula'!B52,32))+(('Fórmula'!E52)/('Fórmula'!C52+'Fórmula'!E52+'Fórmula'!G52+'Fórmula'!I52+'Fórmula'!K52))*(INDEX(properties!A$1:CB$87,'Fórmula'!D52,32))+(('Fórmula'!G52)/('Fórmula'!C52+'Fórmula'!E52+'Fórmula'!G52+'Fórmula'!I52+'Fórmula'!K52))*(INDEX(properties!A$1:CB$87,'Fórmula'!F52,32))+(('Fórmula'!I52)/('Fórmula'!C52+'Fórmula'!E52+'Fórmula'!G52+'Fórmula'!I52+'Fórmula'!K52))*(INDEX(properties!A$1:CB$87,'Fórmula'!H52,32))+(('Fórmula'!K52)/('Fórmula'!C52+'Fórmula'!E52+'Fórmula'!G52+'Fórmula'!I52+'Fórmula'!K52))*(INDEX(properties!A$1:CB$87,'Fórmula'!J52,32))</f>
        <v>6.1285</v>
      </c>
      <c r="DA52" s="119">
        <f t="array" ref="DA52">'Fórmula'!C52*(INDEX(properties!A$1:CB$87,'Fórmula'!B52,32))+'Fórmula'!E52*(INDEX(properties!A$1:CB$87,'Fórmula'!D52,32))+'Fórmula'!G52*(INDEX(properties!A$1:CB$87,'Fórmula'!F52,32))+'Fórmula'!I52*(INDEX(properties!A$1:CB$87,'Fórmula'!H52,32))+'Fórmula'!K52*(INDEX(properties!A$1:CB$87,'Fórmula'!J52,32))</f>
        <v>122.57</v>
      </c>
      <c r="DB52" s="119">
        <f t="array" ref="DB52">VARP(IF(INDEX(properties!A$1:CB$87,'Fórmula'!B52,32)&lt;&gt;"",INDEX(properties!A$1:CB$87,'Fórmula'!B52,32)),IF(INDEX(properties!A$1:CB$87,'Fórmula'!D52,32)&lt;&gt;"",INDEX(properties!A$1:CB$87,'Fórmula'!D52,32)),IF(INDEX(properties!A$1:CB$87,'Fórmula'!F52,32)&lt;&gt;"",INDEX(properties!A$1:CB$87,'Fórmula'!F52,32)),IF(INDEX(properties!A$1:CB$87,'Fórmula'!H52,32)&lt;&gt;"",INDEX(properties!A$1:CB$87,'Fórmula'!H52,32)),IF(INDEX(properties!A$1:CB$87,'Fórmula'!J52,32)&lt;&gt;"",INDEX(properties!A$1:CB$87,'Fórmula'!J52,32)))</f>
        <v>6.56592</v>
      </c>
      <c r="DC52" s="119">
        <f t="array" ref="DC52">MAX(INDEX(properties!A$1:CB$87,'Fórmula'!B52,32),INDEX(properties!A$1:CB$87,'Fórmula'!D52,32),INDEX(properties!A$1:CB$87,'Fórmula'!F52,32),INDEX(properties!A$1:CB$87,'Fórmula'!H52,32),INDEX(properties!A$1:CB$87,'Fórmula'!J52,32))</f>
        <v>7.54</v>
      </c>
      <c r="DD52" s="119">
        <f t="array" ref="DD52">MIN(IF(INDEX(properties!A$1:CB$87,'Fórmula'!B52,32)=0,10^6,INDEX(properties!A$1:CB$87,'Fórmula'!B52,32)),IF(INDEX(properties!A$1:CB$87,'Fórmula'!D52,32)=0,10^6,INDEX(properties!A$1:CB$87,'Fórmula'!D52,32)),IF(INDEX(properties!A$1:CB$87,'Fórmula'!F52,32)=0,10^6,INDEX(properties!A$1:CB$87,'Fórmula'!F52,32)),IF(INDEX(properties!A$1:CB$87,'Fórmula'!H52,32)=0,10^6,INDEX(properties!A$1:CB$87,'Fórmula'!H52,32)),IF(INDEX(properties!A$1:CB$87,'Fórmula'!J52,32)=0,10^6,INDEX(properties!A$1:CB$87,'Fórmula'!J52,32)))</f>
        <v>2.85</v>
      </c>
      <c r="DE52" s="119">
        <f t="shared" si="18"/>
        <v>4.69</v>
      </c>
      <c r="DF52" s="104">
        <f t="array" ref="DF52">(('Fórmula'!C52)/('Fórmula'!C52+'Fórmula'!E52+'Fórmula'!G52+'Fórmula'!I52+'Fórmula'!K52))*(INDEX(properties!A$1:CB$87,'Fórmula'!B52,34))+(('Fórmula'!E52)/('Fórmula'!C52+'Fórmula'!E52+'Fórmula'!G52+'Fórmula'!I52+'Fórmula'!K52))*(INDEX(properties!A$1:CB$87,'Fórmula'!D52,34))+(('Fórmula'!G52)/('Fórmula'!C52+'Fórmula'!E52+'Fórmula'!G52+'Fórmula'!I52+'Fórmula'!K52))*(INDEX(properties!A$1:CB$87,'Fórmula'!F52,34))+(('Fórmula'!I52)/('Fórmula'!C52+'Fórmula'!E52+'Fórmula'!G52+'Fórmula'!I52+'Fórmula'!K52))*(INDEX(properties!A$1:CB$87,'Fórmula'!H52,34))+(('Fórmula'!K52)/('Fórmula'!C52+'Fórmula'!E52+'Fórmula'!G52+'Fórmula'!I52+'Fórmula'!K52))*(INDEX(properties!A$1:CB$87,'Fórmula'!J52,34))</f>
        <v>2.7533</v>
      </c>
      <c r="DG52" s="104">
        <f t="array" ref="DG52">'Fórmula'!C52*(INDEX(properties!A$1:CB$87,'Fórmula'!B52,34))+'Fórmula'!E52*(INDEX(properties!A$1:CB$87,'Fórmula'!D52,34))+'Fórmula'!G52*(INDEX(properties!A$1:CB$87,'Fórmula'!F52,34))+'Fórmula'!I52*(INDEX(properties!A$1:CB$87,'Fórmula'!H52,34))+'Fórmula'!K52*(INDEX(properties!A$1:CB$87,'Fórmula'!J52,34))</f>
        <v>55.066</v>
      </c>
      <c r="DH52" s="104">
        <f t="array" ref="DH52">VARP(IF(INDEX(properties!A$1:CB$87,'Fórmula'!B52,34)&lt;&gt;"",INDEX(properties!A$1:CB$87,'Fórmula'!B52,34)),IF(INDEX(properties!A$1:CB$87,'Fórmula'!D52,34)&lt;&gt;"",INDEX(properties!A$1:CB$87,'Fórmula'!D52,34)),IF(INDEX(properties!A$1:CB$87,'Fórmula'!F52,34)&lt;&gt;"",INDEX(properties!A$1:CB$87,'Fórmula'!F52,34)),IF(INDEX(properties!A$1:CB$87,'Fórmula'!H52,34)&lt;&gt;"",INDEX(properties!A$1:CB$87,'Fórmula'!H52,34)),IF(INDEX(properties!A$1:CB$87,'Fórmula'!J52,34)&lt;&gt;"",INDEX(properties!A$1:CB$87,'Fórmula'!J52,34)))</f>
        <v>1.54555064</v>
      </c>
      <c r="DI52" s="104">
        <f t="array" ref="DI52">MAX(INDEX(properties!A$1:CB$87,'Fórmula'!B52,34),INDEX(properties!A$1:CB$87,'Fórmula'!D52,34),INDEX(properties!A$1:CB$87,'Fórmula'!F52,34),INDEX(properties!A$1:CB$87,'Fórmula'!H52,34),INDEX(properties!A$1:CB$87,'Fórmula'!J52,34))</f>
        <v>3.61</v>
      </c>
      <c r="DJ52" s="104">
        <f t="array" ref="DJ52">MIN(IF(INDEX(properties!A$1:CB$87,'Fórmula'!B52,34)=0,10^6,INDEX(properties!A$1:CB$87,'Fórmula'!B52,34)),IF(INDEX(properties!A$1:CB$87,'Fórmula'!D52,34)=0,10^6,INDEX(properties!A$1:CB$87,'Fórmula'!D52,34)),IF(INDEX(properties!A$1:CB$87,'Fórmula'!F52,34)=0,10^6,INDEX(properties!A$1:CB$87,'Fórmula'!F52,34)),IF(INDEX(properties!A$1:CB$87,'Fórmula'!H52,34)=0,10^6,INDEX(properties!A$1:CB$87,'Fórmula'!H52,34)),IF(INDEX(properties!A$1:CB$87,'Fórmula'!J52,34)=0,10^6,INDEX(properties!A$1:CB$87,'Fórmula'!J52,34)))</f>
        <v>0.869</v>
      </c>
      <c r="DK52" s="104">
        <f t="shared" si="19"/>
        <v>2.741</v>
      </c>
      <c r="DL52" s="105">
        <f t="array" ref="DL52">(('Fórmula'!C52)/('Fórmula'!C52+'Fórmula'!E52+'Fórmula'!G52+'Fórmula'!I52+'Fórmula'!K52))*(INDEX(properties!A$1:CB$87,'Fórmula'!B52,37))+(('Fórmula'!E52)/('Fórmula'!C52+'Fórmula'!E52+'Fórmula'!G52+'Fórmula'!I52+'Fórmula'!K52))*(INDEX(properties!A$1:CB$87,'Fórmula'!D52,37))+(('Fórmula'!G52)/('Fórmula'!C52+'Fórmula'!E52+'Fórmula'!G52+'Fórmula'!I52+'Fórmula'!K52))*(INDEX(properties!A$1:CB$87,'Fórmula'!F52,37))+(('Fórmula'!I52)/('Fórmula'!C52+'Fórmula'!E52+'Fórmula'!G52+'Fórmula'!I52+'Fórmula'!K52))*(INDEX(properties!A$1:CB$87,'Fórmula'!H52,37))+(('Fórmula'!K52)/('Fórmula'!C52+'Fórmula'!E52+'Fórmula'!G52+'Fórmula'!I52+'Fórmula'!K52))*(INDEX(properties!A$1:CB$87,'Fórmula'!J52,37))</f>
        <v>2.65</v>
      </c>
      <c r="DM52" s="105">
        <f t="array" ref="DM52">'Fórmula'!C52*(INDEX(properties!A$1:CB$87,'Fórmula'!B52,37))+'Fórmula'!E52*(INDEX(properties!A$1:CB$87,'Fórmula'!D52,37))+'Fórmula'!G52*(INDEX(properties!A$1:CB$87,'Fórmula'!F52,37))+'Fórmula'!I52*(INDEX(properties!A$1:CB$87,'Fórmula'!H52,37))+'Fórmula'!K52*(INDEX(properties!A$1:CB$87,'Fórmula'!J52,37))</f>
        <v>53</v>
      </c>
      <c r="DN52" s="105">
        <f t="array" ref="DN52">VARP(IF(INDEX(properties!A$1:CB$87,'Fórmula'!B52,37)&lt;&gt;"",INDEX(properties!A$1:CB$87,'Fórmula'!B52,37)),IF(INDEX(properties!A$1:CB$87,'Fórmula'!D52,37)&lt;&gt;"",INDEX(properties!A$1:CB$87,'Fórmula'!D52,37)),IF(INDEX(properties!A$1:CB$87,'Fórmula'!F52,37)&lt;&gt;"",INDEX(properties!A$1:CB$87,'Fórmula'!F52,37)),IF(INDEX(properties!A$1:CB$87,'Fórmula'!H52,37)&lt;&gt;"",INDEX(properties!A$1:CB$87,'Fórmula'!H52,37)),IF(INDEX(properties!A$1:CB$87,'Fórmula'!J52,37)&lt;&gt;"",INDEX(properties!A$1:CB$87,'Fórmula'!J52,37)))</f>
        <v>1.36</v>
      </c>
      <c r="DO52" s="105">
        <f t="array" ref="DO52">MAX(INDEX(properties!A$1:CB$87,'Fórmula'!B52,37),INDEX(properties!A$1:CB$87,'Fórmula'!D52,37),INDEX(properties!A$1:CB$87,'Fórmula'!F52,37),INDEX(properties!A$1:CB$87,'Fórmula'!H52,37),INDEX(properties!A$1:CB$87,'Fórmula'!J52,37))</f>
        <v>3.45</v>
      </c>
      <c r="DP52" s="105">
        <f t="array" ref="DP52">MIN(IF(INDEX(properties!A$1:CB$87,'Fórmula'!B52,37)=0,10^6,INDEX(properties!A$1:CB$87,'Fórmula'!B52,37)),IF(INDEX(properties!A$1:CB$87,'Fórmula'!D52,37)=0,10^6,INDEX(properties!A$1:CB$87,'Fórmula'!D52,37)),IF(INDEX(properties!A$1:CB$87,'Fórmula'!F52,37)=0,10^6,INDEX(properties!A$1:CB$87,'Fórmula'!F52,37)),IF(INDEX(properties!A$1:CB$87,'Fórmula'!H52,37)=0,10^6,INDEX(properties!A$1:CB$87,'Fórmula'!H52,37)),IF(INDEX(properties!A$1:CB$87,'Fórmula'!J52,37)=0,10^6,INDEX(properties!A$1:CB$87,'Fórmula'!J52,37)))</f>
        <v>0.9</v>
      </c>
      <c r="DQ52" s="105">
        <f t="shared" si="20"/>
        <v>2.55</v>
      </c>
      <c r="DR52" s="109">
        <f t="array" ref="DR52">(('Fórmula'!C52)/('Fórmula'!C52+'Fórmula'!E52+'Fórmula'!G52+'Fórmula'!I52+'Fórmula'!K52))*(INDEX(properties!A$1:CB$87,'Fórmula'!B52,39))+(('Fórmula'!E52)/('Fórmula'!C52+'Fórmula'!E52+'Fórmula'!G52+'Fórmula'!I52+'Fórmula'!K52))*(INDEX(properties!A$1:CB$87,'Fórmula'!D52,39))+(('Fórmula'!G52)/('Fórmula'!C52+'Fórmula'!E52+'Fórmula'!G52+'Fórmula'!I52+'Fórmula'!K52))*(INDEX(properties!A$1:CB$87,'Fórmula'!F52,39))+(('Fórmula'!I52)/('Fórmula'!C52+'Fórmula'!E52+'Fórmula'!G52+'Fórmula'!I52+'Fórmula'!K52))*(INDEX(properties!A$1:CB$87,'Fórmula'!H52,39))+(('Fórmula'!K52)/('Fórmula'!C52+'Fórmula'!E52+'Fórmula'!G52+'Fórmula'!I52+'Fórmula'!K52))*(INDEX(properties!A$1:CB$87,'Fórmula'!J52,39))</f>
        <v>0.904</v>
      </c>
      <c r="DS52" s="109">
        <f t="array" ref="DS52">'Fórmula'!C52*(INDEX(properties!A$1:CB$87,'Fórmula'!B52,39))+'Fórmula'!E52*(INDEX(properties!A$1:CB$87,'Fórmula'!D52,39))+'Fórmula'!G52*(INDEX(properties!A$1:CB$87,'Fórmula'!F52,39))+'Fórmula'!I52*(INDEX(properties!A$1:CB$87,'Fórmula'!H52,39))+'Fórmula'!K52*(INDEX(properties!A$1:CB$87,'Fórmula'!J52,39))</f>
        <v>18.08</v>
      </c>
      <c r="DT52" s="109">
        <f t="array" ref="DT52">VARP(IF(INDEX(properties!A$1:CB$87,'Fórmula'!B52,39)&lt;&gt;"",INDEX(properties!A$1:CB$87,'Fórmula'!B52,39)),IF(INDEX(properties!A$1:CB$87,'Fórmula'!D52,39)&lt;&gt;"",INDEX(properties!A$1:CB$87,'Fórmula'!D52,39)),IF(INDEX(properties!A$1:CB$87,'Fórmula'!F52,39)&lt;&gt;"",INDEX(properties!A$1:CB$87,'Fórmula'!F52,39)),IF(INDEX(properties!A$1:CB$87,'Fórmula'!H52,39)&lt;&gt;"",INDEX(properties!A$1:CB$87,'Fórmula'!H52,39)),IF(INDEX(properties!A$1:CB$87,'Fórmula'!J52,39)&lt;&gt;"",INDEX(properties!A$1:CB$87,'Fórmula'!J52,39)))</f>
        <v>0.55568</v>
      </c>
      <c r="DU52" s="120">
        <f t="array" ref="DU52">MAX(INDEX(properties!A$1:CB$87,'Fórmula'!B52,39),INDEX(properties!A$1:CB$87,'Fórmula'!D52,39),INDEX(properties!A$1:CB$87,'Fórmula'!F52,39),INDEX(properties!A$1:CB$87,'Fórmula'!H52,39),INDEX(properties!A$1:CB$87,'Fórmula'!J52,39))</f>
        <v>1.9</v>
      </c>
      <c r="DV52" s="120">
        <f t="array" ref="DV52">MIN(IF(INDEX(properties!A$1:CB$87,'Fórmula'!B52,39)=0,10^6,INDEX(properties!A$1:CB$87,'Fórmula'!B52,39)),IF(INDEX(properties!A$1:CB$87,'Fórmula'!D52,39)=0,10^6,INDEX(properties!A$1:CB$87,'Fórmula'!D52,39)),IF(INDEX(properties!A$1:CB$87,'Fórmula'!F52,39)=0,10^6,INDEX(properties!A$1:CB$87,'Fórmula'!F52,39)),IF(INDEX(properties!A$1:CB$87,'Fórmula'!H52,39)=0,10^6,INDEX(properties!A$1:CB$87,'Fórmula'!H52,39)),IF(INDEX(properties!A$1:CB$87,'Fórmula'!J52,39)=0,10^6,INDEX(properties!A$1:CB$87,'Fórmula'!J52,39)))</f>
        <v>0.48</v>
      </c>
      <c r="DW52" s="109">
        <f t="shared" si="21"/>
        <v>1.42</v>
      </c>
      <c r="DX52" s="110">
        <f t="array" ref="DX52">(('Fórmula'!C52)/('Fórmula'!C52+'Fórmula'!E52+'Fórmula'!G52+'Fórmula'!I52+'Fórmula'!K52))*(INDEX(properties!A$1:CB$87,'Fórmula'!B52,40))+(('Fórmula'!E52)/('Fórmula'!C52+'Fórmula'!E52+'Fórmula'!G52+'Fórmula'!I52+'Fórmula'!K52))*(INDEX(properties!A$1:CB$87,'Fórmula'!D52,40))+(('Fórmula'!G52)/('Fórmula'!C52+'Fórmula'!E52+'Fórmula'!G52+'Fórmula'!I52+'Fórmula'!K52))*(INDEX(properties!A$1:CB$87,'Fórmula'!F52,40))+(('Fórmula'!I52)/('Fórmula'!C52+'Fórmula'!E52+'Fórmula'!G52+'Fórmula'!I52+'Fórmula'!K52))*(INDEX(properties!A$1:CB$87,'Fórmula'!H52,40))+(('Fórmula'!K52)/('Fórmula'!C52+'Fórmula'!E52+'Fórmula'!G52+'Fórmula'!I52+'Fórmula'!K52))*(INDEX(properties!A$1:CB$87,'Fórmula'!J52,40))</f>
        <v>0.972</v>
      </c>
      <c r="DY52" s="110">
        <f t="array" ref="DY52">'Fórmula'!C52*(INDEX(properties!A$1:CB$87,'Fórmula'!B52,40))+'Fórmula'!E52*(INDEX(properties!A$1:CB$87,'Fórmula'!D52,40))+'Fórmula'!G52*(INDEX(properties!A$1:CB$87,'Fórmula'!F52,40))+'Fórmula'!I52*(INDEX(properties!A$1:CB$87,'Fórmula'!H52,40))+'Fórmula'!K52*(INDEX(properties!A$1:CB$87,'Fórmula'!J52,40))</f>
        <v>19.44</v>
      </c>
      <c r="DZ52" s="110">
        <f t="array" ref="DZ52">VARP(IF(INDEX(properties!A$1:CB$87,'Fórmula'!B52,40)&lt;&gt;"",INDEX(properties!A$1:CB$87,'Fórmula'!B52,40)),IF(INDEX(properties!A$1:CB$87,'Fórmula'!D52,40)&lt;&gt;"",INDEX(properties!A$1:CB$87,'Fórmula'!D52,40)),IF(INDEX(properties!A$1:CB$87,'Fórmula'!F52,40)&lt;&gt;"",INDEX(properties!A$1:CB$87,'Fórmula'!F52,40)),IF(INDEX(properties!A$1:CB$87,'Fórmula'!H52,40)&lt;&gt;"",INDEX(properties!A$1:CB$87,'Fórmula'!H52,40)),IF(INDEX(properties!A$1:CB$87,'Fórmula'!J52,40)&lt;&gt;"",INDEX(properties!A$1:CB$87,'Fórmula'!J52,40)))</f>
        <v>0.310224</v>
      </c>
      <c r="EA52" s="121">
        <f t="array" ref="EA52">MAX(INDEX(properties!A$1:CB$87,'Fórmula'!B52,40),INDEX(properties!A$1:CB$87,'Fórmula'!D52,40),INDEX(properties!A$1:CB$87,'Fórmula'!F52,40),INDEX(properties!A$1:CB$87,'Fórmula'!H52,40),INDEX(properties!A$1:CB$87,'Fórmula'!J52,40))</f>
        <v>1.54</v>
      </c>
      <c r="EB52" s="121">
        <f t="array" ref="EB52">MIN(IF(INDEX(properties!A$1:CB$87,'Fórmula'!B52,40)=0,10^6,INDEX(properties!A$1:CB$87,'Fórmula'!B52,40)),IF(INDEX(properties!A$1:CB$87,'Fórmula'!D52,40)=0,10^6,INDEX(properties!A$1:CB$87,'Fórmula'!D52,40)),IF(INDEX(properties!A$1:CB$87,'Fórmula'!F52,40)=0,10^6,INDEX(properties!A$1:CB$87,'Fórmula'!F52,40)),IF(INDEX(properties!A$1:CB$87,'Fórmula'!H52,40)=0,10^6,INDEX(properties!A$1:CB$87,'Fórmula'!H52,40)),IF(INDEX(properties!A$1:CB$87,'Fórmula'!J52,40)=0,10^6,INDEX(properties!A$1:CB$87,'Fórmula'!J52,40)))</f>
        <v>0.73</v>
      </c>
      <c r="EC52" s="110">
        <f t="shared" si="22"/>
        <v>0.81</v>
      </c>
      <c r="ED52" s="111">
        <f t="array" ref="ED52">(('Fórmula'!C52)/('Fórmula'!C52+'Fórmula'!E52+'Fórmula'!G52+'Fórmula'!I52+'Fórmula'!K52))*(INDEX(properties!A$1:CB$87,'Fórmula'!B52,41))+(('Fórmula'!E52)/('Fórmula'!C52+'Fórmula'!E52+'Fórmula'!G52+'Fórmula'!I52+'Fórmula'!K52))*(INDEX(properties!A$1:CB$87,'Fórmula'!D52,41))+(('Fórmula'!G52)/('Fórmula'!C52+'Fórmula'!E52+'Fórmula'!G52+'Fórmula'!I52+'Fórmula'!K52))*(INDEX(properties!A$1:CB$87,'Fórmula'!F52,41))+(('Fórmula'!I52)/('Fórmula'!C52+'Fórmula'!E52+'Fórmula'!G52+'Fórmula'!I52+'Fórmula'!K52))*(INDEX(properties!A$1:CB$87,'Fórmula'!H52,41))+(('Fórmula'!K52)/('Fórmula'!C52+'Fórmula'!E52+'Fórmula'!G52+'Fórmula'!I52+'Fórmula'!K52))*(INDEX(properties!A$1:CB$87,'Fórmula'!J52,41))</f>
        <v>1.106</v>
      </c>
      <c r="EE52" s="111">
        <f t="array" ref="EE52">'Fórmula'!C52*(INDEX(properties!A$1:CB$87,'Fórmula'!B52,41))+'Fórmula'!E52*(INDEX(properties!A$1:CB$87,'Fórmula'!D52,41))+'Fórmula'!G52*(INDEX(properties!A$1:CB$87,'Fórmula'!F52,41))+'Fórmula'!I52*(INDEX(properties!A$1:CB$87,'Fórmula'!H52,41))+'Fórmula'!K52*(INDEX(properties!A$1:CB$87,'Fórmula'!J52,41))</f>
        <v>22.12</v>
      </c>
      <c r="EF52" s="111">
        <f t="array" ref="EF52">VARP(IF(INDEX(properties!A$1:CB$87,'Fórmula'!B52,41)&lt;&gt;"",INDEX(properties!A$1:CB$87,'Fórmula'!B52,41)),IF(INDEX(properties!A$1:CB$87,'Fórmula'!D52,41)&lt;&gt;"",INDEX(properties!A$1:CB$87,'Fórmula'!D52,41)),IF(INDEX(properties!A$1:CB$87,'Fórmula'!F52,41)&lt;&gt;"",INDEX(properties!A$1:CB$87,'Fórmula'!F52,41)),IF(INDEX(properties!A$1:CB$87,'Fórmula'!H52,41)&lt;&gt;"",INDEX(properties!A$1:CB$87,'Fórmula'!H52,41)),IF(INDEX(properties!A$1:CB$87,'Fórmula'!J52,41)&lt;&gt;"",INDEX(properties!A$1:CB$87,'Fórmula'!J52,41)))</f>
        <v>0.207056</v>
      </c>
      <c r="EG52" s="122">
        <f t="array" ref="EG52">MAX(INDEX(properties!A$1:CB$87,'Fórmula'!B52,41),INDEX(properties!A$1:CB$87,'Fórmula'!D52,41),INDEX(properties!A$1:CB$87,'Fórmula'!F52,41),INDEX(properties!A$1:CB$87,'Fórmula'!H52,41),INDEX(properties!A$1:CB$87,'Fórmula'!J52,41))</f>
        <v>1.26</v>
      </c>
      <c r="EH52" s="122">
        <f t="array" ref="EH52">MIN(IF(INDEX(properties!A$1:CB$87,'Fórmula'!B52,41)=0,10^6,INDEX(properties!A$1:CB$87,'Fórmula'!B52,41)),IF(INDEX(properties!A$1:CB$87,'Fórmula'!D52,41)=0,10^6,INDEX(properties!A$1:CB$87,'Fórmula'!D52,41)),IF(INDEX(properties!A$1:CB$87,'Fórmula'!F52,41)=0,10^6,INDEX(properties!A$1:CB$87,'Fórmula'!F52,41)),IF(INDEX(properties!A$1:CB$87,'Fórmula'!H52,41)=0,10^6,INDEX(properties!A$1:CB$87,'Fórmula'!H52,41)),IF(INDEX(properties!A$1:CB$87,'Fórmula'!J52,41)=0,10^6,INDEX(properties!A$1:CB$87,'Fórmula'!J52,41)))</f>
        <v>0.58</v>
      </c>
      <c r="EI52" s="111">
        <f t="shared" si="23"/>
        <v>0.68</v>
      </c>
      <c r="EJ52" s="112">
        <f t="array" ref="EJ52">(('Fórmula'!C52)/('Fórmula'!C52+'Fórmula'!E52+'Fórmula'!G52+'Fórmula'!I52+'Fórmula'!K52))*(INDEX(properties!A$1:CB$87,'Fórmula'!B52,45))+(('Fórmula'!E52)/('Fórmula'!C52+'Fórmula'!E52+'Fórmula'!G52+'Fórmula'!I52+'Fórmula'!K52))*(INDEX(properties!A$1:CB$87,'Fórmula'!D52,45))+(('Fórmula'!G52)/('Fórmula'!C52+'Fórmula'!E52+'Fórmula'!G52+'Fórmula'!I52+'Fórmula'!K52))*(INDEX(properties!A$1:CB$87,'Fórmula'!F52,45))+(('Fórmula'!I52)/('Fórmula'!C52+'Fórmula'!E52+'Fórmula'!G52+'Fórmula'!I52+'Fórmula'!K52))*(INDEX(properties!A$1:CB$87,'Fórmula'!H52,45))+(('Fórmula'!K52)/('Fórmula'!C52+'Fórmula'!E52+'Fórmula'!G52+'Fórmula'!I52+'Fórmula'!K52))*(INDEX(properties!A$1:CB$87,'Fórmula'!J52,45))</f>
        <v>1.1405</v>
      </c>
      <c r="EK52" s="112">
        <f t="array" ref="EK52">'Fórmula'!C52*(INDEX(properties!A$1:CB$87,'Fórmula'!B52,45))+'Fórmula'!E52*(INDEX(properties!A$1:CB$87,'Fórmula'!D52,45))+'Fórmula'!G52*(INDEX(properties!A$1:CB$87,'Fórmula'!F52,45))+'Fórmula'!I52*(INDEX(properties!A$1:CB$87,'Fórmula'!H52,45))+'Fórmula'!K52*(INDEX(properties!A$1:CB$87,'Fórmula'!J52,45))</f>
        <v>22.81</v>
      </c>
      <c r="EL52" s="112">
        <f t="array" ref="EL52">VARP(IF(INDEX(properties!A$1:CB$87,'Fórmula'!B52,45)&lt;&gt;"",INDEX(properties!A$1:CB$87,'Fórmula'!B52,45)),IF(INDEX(properties!A$1:CB$87,'Fórmula'!D52,45)&lt;&gt;"",INDEX(properties!A$1:CB$87,'Fórmula'!D52,45)),IF(INDEX(properties!A$1:CB$87,'Fórmula'!F52,45)&lt;&gt;"",INDEX(properties!A$1:CB$87,'Fórmula'!F52,45)),IF(INDEX(properties!A$1:CB$87,'Fórmula'!H52,45)&lt;&gt;"",INDEX(properties!A$1:CB$87,'Fórmula'!H52,45)),IF(INDEX(properties!A$1:CB$87,'Fórmula'!J52,45)&lt;&gt;"",INDEX(properties!A$1:CB$87,'Fórmula'!J52,45)))</f>
        <v>1.246616</v>
      </c>
      <c r="EM52" s="123">
        <f t="array" ref="EM52">MAX(INDEX(properties!A$1:CB$87,'Fórmula'!B52,45),INDEX(properties!A$1:CB$87,'Fórmula'!D52,45),INDEX(properties!A$1:CB$87,'Fórmula'!F52,45),INDEX(properties!A$1:CB$87,'Fórmula'!H52,45),INDEX(properties!A$1:CB$87,'Fórmula'!J52,45))</f>
        <v>2.75</v>
      </c>
      <c r="EN52" s="123">
        <f t="array" ref="EN52">MIN(IF(INDEX(properties!A$1:CB$87,'Fórmula'!B52,45)=0,10^6,INDEX(properties!A$1:CB$87,'Fórmula'!B52,45)),IF(INDEX(properties!A$1:CB$87,'Fórmula'!D52,45)=0,10^6,INDEX(properties!A$1:CB$87,'Fórmula'!D52,45)),IF(INDEX(properties!A$1:CB$87,'Fórmula'!F52,45)=0,10^6,INDEX(properties!A$1:CB$87,'Fórmula'!F52,45)),IF(INDEX(properties!A$1:CB$87,'Fórmula'!H52,45)=0,10^6,INDEX(properties!A$1:CB$87,'Fórmula'!H52,45)),IF(INDEX(properties!A$1:CB$87,'Fórmula'!J52,45)=0,10^6,INDEX(properties!A$1:CB$87,'Fórmula'!J52,45)))</f>
        <v>0.47</v>
      </c>
      <c r="EO52" s="112">
        <f t="shared" si="24"/>
        <v>2.28</v>
      </c>
      <c r="EP52" s="113">
        <f t="array" ref="EP52">(('Fórmula'!C52)/('Fórmula'!C52+'Fórmula'!E52+'Fórmula'!G52+'Fórmula'!I52+'Fórmula'!K52))*(INDEX(properties!A$1:CB$87,'Fórmula'!B52,46))+(('Fórmula'!E52)/('Fórmula'!C52+'Fórmula'!E52+'Fórmula'!G52+'Fórmula'!I52+'Fórmula'!K52))*(INDEX(properties!A$1:CB$87,'Fórmula'!D52,46))+(('Fórmula'!G52)/('Fórmula'!C52+'Fórmula'!E52+'Fórmula'!G52+'Fórmula'!I52+'Fórmula'!K52))*(INDEX(properties!A$1:CB$87,'Fórmula'!F52,46))+(('Fórmula'!I52)/('Fórmula'!C52+'Fórmula'!E52+'Fórmula'!G52+'Fórmula'!I52+'Fórmula'!K52))*(INDEX(properties!A$1:CB$87,'Fórmula'!H52,46))+(('Fórmula'!K52)/('Fórmula'!C52+'Fórmula'!E52+'Fórmula'!G52+'Fórmula'!I52+'Fórmula'!K52))*(INDEX(properties!A$1:CB$87,'Fórmula'!J52,46))</f>
        <v>1.0355</v>
      </c>
      <c r="EQ52" s="113">
        <f t="array" ref="EQ52">'Fórmula'!C52*(INDEX(properties!A$1:CB$87,'Fórmula'!B52,46))+'Fórmula'!E52*(INDEX(properties!A$1:CB$87,'Fórmula'!D52,46))+'Fórmula'!G52*(INDEX(properties!A$1:CB$87,'Fórmula'!F52,46))+'Fórmula'!I52*(INDEX(properties!A$1:CB$87,'Fórmula'!H52,46))+'Fórmula'!K52*(INDEX(properties!A$1:CB$87,'Fórmula'!J52,46))</f>
        <v>20.71</v>
      </c>
      <c r="ER52" s="113">
        <f t="array" ref="ER52">VARP(IF(INDEX(properties!A$1:CB$87,'Fórmula'!B52,46)&lt;&gt;"",INDEX(properties!A$1:CB$87,'Fórmula'!B52,46)),IF(INDEX(properties!A$1:CB$87,'Fórmula'!D52,46)&lt;&gt;"",INDEX(properties!A$1:CB$87,'Fórmula'!D52,46)),IF(INDEX(properties!A$1:CB$87,'Fórmula'!F52,46)&lt;&gt;"",INDEX(properties!A$1:CB$87,'Fórmula'!F52,46)),IF(INDEX(properties!A$1:CB$87,'Fórmula'!H52,46)&lt;&gt;"",INDEX(properties!A$1:CB$87,'Fórmula'!H52,46)),IF(INDEX(properties!A$1:CB$87,'Fórmula'!J52,46)&lt;&gt;"",INDEX(properties!A$1:CB$87,'Fórmula'!J52,46)))</f>
        <v>0.229784</v>
      </c>
      <c r="ES52" s="124">
        <f t="array" ref="ES52">MAX(INDEX(properties!A$1:CB$87,'Fórmula'!B52,46),INDEX(properties!A$1:CB$87,'Fórmula'!D52,46),INDEX(properties!A$1:CB$87,'Fórmula'!F52,46),INDEX(properties!A$1:CB$87,'Fórmula'!H52,46),INDEX(properties!A$1:CB$87,'Fórmula'!J52,46))</f>
        <v>1.21</v>
      </c>
      <c r="ET52" s="124">
        <f t="array" ref="ET52">MIN(IF(INDEX(properties!A$1:CB$87,'Fórmula'!B52,46)=0,10^6,INDEX(properties!A$1:CB$87,'Fórmula'!B52,46)),IF(INDEX(properties!A$1:CB$87,'Fórmula'!D52,46)=0,10^6,INDEX(properties!A$1:CB$87,'Fórmula'!D52,46)),IF(INDEX(properties!A$1:CB$87,'Fórmula'!F52,46)=0,10^6,INDEX(properties!A$1:CB$87,'Fórmula'!F52,46)),IF(INDEX(properties!A$1:CB$87,'Fórmula'!H52,46)=0,10^6,INDEX(properties!A$1:CB$87,'Fórmula'!H52,46)),IF(INDEX(properties!A$1:CB$87,'Fórmula'!J52,46)=0,10^6,INDEX(properties!A$1:CB$87,'Fórmula'!J52,46)))</f>
        <v>0.31</v>
      </c>
      <c r="EU52" s="113">
        <f t="shared" si="25"/>
        <v>0.9</v>
      </c>
      <c r="EV52" s="114">
        <f t="array" ref="EV52">(('Fórmula'!C52)/('Fórmula'!C52+'Fórmula'!E52+'Fórmula'!G52+'Fórmula'!I52+'Fórmula'!K52))*(INDEX(properties!A$1:CB$87,'Fórmula'!B52,52))+(('Fórmula'!E52)/('Fórmula'!C52+'Fórmula'!E52+'Fórmula'!G52+'Fórmula'!I52+'Fórmula'!K52))*(INDEX(properties!A$1:CB$87,'Fórmula'!D52,52))+(('Fórmula'!G52)/('Fórmula'!C52+'Fórmula'!E52+'Fórmula'!G52+'Fórmula'!I52+'Fórmula'!K52))*(INDEX(properties!A$1:CB$87,'Fórmula'!F52,52))+(('Fórmula'!I52)/('Fórmula'!C52+'Fórmula'!E52+'Fórmula'!G52+'Fórmula'!I52+'Fórmula'!K52))*(INDEX(properties!A$1:CB$87,'Fórmula'!H52,52))+(('Fórmula'!K52)/('Fórmula'!C52+'Fórmula'!E52+'Fórmula'!G52+'Fórmula'!I52+'Fórmula'!K52))*(INDEX(properties!A$1:CB$87,'Fórmula'!J52,52))</f>
        <v>6.3358</v>
      </c>
      <c r="EW52" s="114">
        <f t="array" ref="EW52">'Fórmula'!C52*(INDEX(properties!A$1:CB$87,'Fórmula'!B52,52))+'Fórmula'!E52*(INDEX(properties!A$1:CB$87,'Fórmula'!D52,52))+'Fórmula'!G52*(INDEX(properties!A$1:CB$87,'Fórmula'!F52,52))+'Fórmula'!I52*(INDEX(properties!A$1:CB$87,'Fórmula'!H52,52))+'Fórmula'!K52*(INDEX(properties!A$1:CB$87,'Fórmula'!J52,52))</f>
        <v>126.716</v>
      </c>
      <c r="EX52" s="114">
        <f t="array" ref="EX52">VARP(IF(INDEX(properties!A$1:CB$87,'Fórmula'!B52,52)&lt;&gt;"",INDEX(properties!A$1:CB$87,'Fórmula'!B52,52)),IF(INDEX(properties!A$1:CB$87,'Fórmula'!D52,52)&lt;&gt;"",INDEX(properties!A$1:CB$87,'Fórmula'!D52,52)),IF(INDEX(properties!A$1:CB$87,'Fórmula'!F52,52)&lt;&gt;"",INDEX(properties!A$1:CB$87,'Fórmula'!F52,52)),IF(INDEX(properties!A$1:CB$87,'Fórmula'!H52,52)&lt;&gt;"",INDEX(properties!A$1:CB$87,'Fórmula'!H52,52)),IF(INDEX(properties!A$1:CB$87,'Fórmula'!J52,52)&lt;&gt;"",INDEX(properties!A$1:CB$87,'Fórmula'!J52,52)))</f>
        <v>93.59781584</v>
      </c>
      <c r="EY52" s="114">
        <f t="array" ref="EY52">MAX(INDEX(properties!A$1:CB$87,'Fórmula'!B52,52),INDEX(properties!A$1:CB$87,'Fórmula'!D52,52),INDEX(properties!A$1:CB$87,'Fórmula'!F52,52),INDEX(properties!A$1:CB$87,'Fórmula'!H52,52),INDEX(properties!A$1:CB$87,'Fórmula'!J52,52))</f>
        <v>23.6</v>
      </c>
      <c r="EZ52" s="114">
        <f t="array" ref="EZ52">MIN(IF(INDEX(properties!A$1:CB$87,'Fórmula'!B52,52)=0,10^6,INDEX(properties!A$1:CB$87,'Fórmula'!B52,52)),IF(INDEX(properties!A$1:CB$87,'Fórmula'!D52,52)=0,10^6,INDEX(properties!A$1:CB$87,'Fórmula'!D52,52)),IF(INDEX(properties!A$1:CB$87,'Fórmula'!F52,52)=0,10^6,INDEX(properties!A$1:CB$87,'Fórmula'!F52,52)),IF(INDEX(properties!A$1:CB$87,'Fórmula'!H52,52)=0,10^6,INDEX(properties!A$1:CB$87,'Fórmula'!H52,52)),IF(INDEX(properties!A$1:CB$87,'Fórmula'!J52,52)=0,10^6,INDEX(properties!A$1:CB$87,'Fórmula'!J52,52)))</f>
        <v>0.793</v>
      </c>
      <c r="FA52" s="114">
        <f t="shared" si="26"/>
        <v>22.807</v>
      </c>
      <c r="FB52" s="115">
        <f t="array" ref="FB52">(('Fórmula'!C52)/('Fórmula'!C52+'Fórmula'!E52+'Fórmula'!G52+'Fórmula'!I52+'Fórmula'!K52))*(INDEX(properties!A$1:CB$87,'Fórmula'!B52,53))+(('Fórmula'!E52)/('Fórmula'!C52+'Fórmula'!E52+'Fórmula'!G52+'Fórmula'!I52+'Fórmula'!K52))*(INDEX(properties!A$1:CB$87,'Fórmula'!D52,53))+(('Fórmula'!G52)/('Fórmula'!C52+'Fórmula'!E52+'Fórmula'!G52+'Fórmula'!I52+'Fórmula'!K52))*(INDEX(properties!A$1:CB$87,'Fórmula'!F52,53))+(('Fórmula'!I52)/('Fórmula'!C52+'Fórmula'!E52+'Fórmula'!G52+'Fórmula'!I52+'Fórmula'!K52))*(INDEX(properties!A$1:CB$87,'Fórmula'!H52,53))+(('Fórmula'!K52)/('Fórmula'!C52+'Fórmula'!E52+'Fórmula'!G52+'Fórmula'!I52+'Fórmula'!K52))*(INDEX(properties!A$1:CB$87,'Fórmula'!J52,53))</f>
        <v>317.495</v>
      </c>
      <c r="FC52" s="115">
        <f t="array" ref="FC52">'Fórmula'!C52*(INDEX(properties!A$1:CB$87,'Fórmula'!B52,53))+'Fórmula'!E52*(INDEX(properties!A$1:CB$87,'Fórmula'!D52,53))+'Fórmula'!G52*(INDEX(properties!A$1:CB$87,'Fórmula'!F52,53))+'Fórmula'!I52*(INDEX(properties!A$1:CB$87,'Fórmula'!H52,53))+'Fórmula'!K52*(INDEX(properties!A$1:CB$87,'Fórmula'!J52,53))</f>
        <v>6349.9</v>
      </c>
      <c r="FD52" s="115">
        <f t="array" ref="FD52">VARP(IF(INDEX(properties!A$1:CB$87,'Fórmula'!B52,53)&lt;&gt;"",INDEX(properties!A$1:CB$87,'Fórmula'!B52,53)),IF(INDEX(properties!A$1:CB$87,'Fórmula'!D52,53)&lt;&gt;"",INDEX(properties!A$1:CB$87,'Fórmula'!D52,53)),IF(INDEX(properties!A$1:CB$87,'Fórmula'!F52,53)&lt;&gt;"",INDEX(properties!A$1:CB$87,'Fórmula'!F52,53)),IF(INDEX(properties!A$1:CB$87,'Fórmula'!H52,53)&lt;&gt;"",INDEX(properties!A$1:CB$87,'Fórmula'!H52,53)),IF(INDEX(properties!A$1:CB$87,'Fórmula'!J52,53)&lt;&gt;"",INDEX(properties!A$1:CB$87,'Fórmula'!J52,53)))</f>
        <v>444927.4336</v>
      </c>
      <c r="FE52" s="115">
        <f t="array" ref="FE52">MAX(INDEX(properties!A$1:CB$87,'Fórmula'!B52,53),INDEX(properties!A$1:CB$87,'Fórmula'!D52,53),INDEX(properties!A$1:CB$87,'Fórmula'!F52,53),INDEX(properties!A$1:CB$87,'Fórmula'!H52,53),INDEX(properties!A$1:CB$87,'Fórmula'!J52,53))</f>
        <v>1814.15</v>
      </c>
      <c r="FF52" s="115">
        <f t="array" ref="FF52">MIN(IF(INDEX(properties!A$1:CB$87,'Fórmula'!B52,53)=0,10^6,INDEX(properties!A$1:CB$87,'Fórmula'!B52,53)),IF(INDEX(properties!A$1:CB$87,'Fórmula'!D52,53)=0,10^6,INDEX(properties!A$1:CB$87,'Fórmula'!D52,53)),IF(INDEX(properties!A$1:CB$87,'Fórmula'!F52,53)=0,10^6,INDEX(properties!A$1:CB$87,'Fórmula'!F52,53)),IF(INDEX(properties!A$1:CB$87,'Fórmula'!H52,53)=0,10^6,INDEX(properties!A$1:CB$87,'Fórmula'!H52,53)),IF(INDEX(properties!A$1:CB$87,'Fórmula'!J52,53)=0,10^6,INDEX(properties!A$1:CB$87,'Fórmula'!J52,53)))</f>
        <v>54.75</v>
      </c>
      <c r="FG52" s="115">
        <f t="shared" si="27"/>
        <v>1759.4</v>
      </c>
      <c r="FH52" s="117">
        <f t="array" ref="FH52">(('Fórmula'!C52)/('Fórmula'!C52+'Fórmula'!E52+'Fórmula'!G52+'Fórmula'!I52+'Fórmula'!K52))*(INDEX(properties!A$1:CB$87,'Fórmula'!B52,54))+(('Fórmula'!E52)/('Fórmula'!C52+'Fórmula'!E52+'Fórmula'!G52+'Fórmula'!I52+'Fórmula'!K52))*(INDEX(properties!A$1:CB$87,'Fórmula'!D52,54))+(('Fórmula'!G52)/('Fórmula'!C52+'Fórmula'!E52+'Fórmula'!G52+'Fórmula'!I52+'Fórmula'!K52))*(INDEX(properties!A$1:CB$87,'Fórmula'!F52,54))+(('Fórmula'!I52)/('Fórmula'!C52+'Fórmula'!E52+'Fórmula'!G52+'Fórmula'!I52+'Fórmula'!K52))*(INDEX(properties!A$1:CB$87,'Fórmula'!H52,54))+(('Fórmula'!K52)/('Fórmula'!C52+'Fórmula'!E52+'Fórmula'!G52+'Fórmula'!I52+'Fórmula'!K52))*(INDEX(properties!A$1:CB$87,'Fórmula'!J52,54))</f>
        <v>621</v>
      </c>
      <c r="FI52" s="117">
        <f t="array" ref="FI52">'Fórmula'!C52*(INDEX(properties!A$1:CB$87,'Fórmula'!B52,54))+'Fórmula'!E52*(INDEX(properties!A$1:CB$87,'Fórmula'!D52,54))+'Fórmula'!G52*(INDEX(properties!A$1:CB$87,'Fórmula'!F52,54))+'Fórmula'!I52*(INDEX(properties!A$1:CB$87,'Fórmula'!H52,54))+'Fórmula'!K52*(INDEX(properties!A$1:CB$87,'Fórmula'!J52,54))</f>
        <v>12420</v>
      </c>
      <c r="FJ52" s="117">
        <f t="array" ref="FJ52">VARP(IF(INDEX(properties!A$1:CB$87,'Fórmula'!B52,54)&lt;&gt;"",INDEX(properties!A$1:CB$87,'Fórmula'!B52,54)),IF(INDEX(properties!A$1:CB$87,'Fórmula'!D52,54)&lt;&gt;"",INDEX(properties!A$1:CB$87,'Fórmula'!D52,54)),IF(INDEX(properties!A$1:CB$87,'Fórmula'!F52,54)&lt;&gt;"",INDEX(properties!A$1:CB$87,'Fórmula'!F52,54)),IF(INDEX(properties!A$1:CB$87,'Fórmula'!H52,54)&lt;&gt;"",INDEX(properties!A$1:CB$87,'Fórmula'!H52,54)),IF(INDEX(properties!A$1:CB$87,'Fórmula'!J52,54)&lt;&gt;"",INDEX(properties!A$1:CB$87,'Fórmula'!J52,54)))</f>
        <v>1296344.212</v>
      </c>
      <c r="FK52" s="117">
        <f t="array" ref="FK52">MAX(INDEX(properties!A$1:CB$87,'Fórmula'!B52,54),INDEX(properties!A$1:CB$87,'Fórmula'!D52,54),INDEX(properties!A$1:CB$87,'Fórmula'!F52,54),INDEX(properties!A$1:CB$87,'Fórmula'!H52,54),INDEX(properties!A$1:CB$87,'Fórmula'!J52,54))</f>
        <v>3105.15</v>
      </c>
      <c r="FL52" s="117">
        <f t="array" ref="FL52">MIN(IF(INDEX(properties!A$1:CB$87,'Fórmula'!B52,54)=0,10^6,INDEX(properties!A$1:CB$87,'Fórmula'!B52,54)),IF(INDEX(properties!A$1:CB$87,'Fórmula'!D52,54)=0,10^6,INDEX(properties!A$1:CB$87,'Fórmula'!D52,54)),IF(INDEX(properties!A$1:CB$87,'Fórmula'!F52,54)=0,10^6,INDEX(properties!A$1:CB$87,'Fórmula'!F52,54)),IF(INDEX(properties!A$1:CB$87,'Fórmula'!H52,54)=0,10^6,INDEX(properties!A$1:CB$87,'Fórmula'!H52,54)),IF(INDEX(properties!A$1:CB$87,'Fórmula'!J52,54)=0,10^6,INDEX(properties!A$1:CB$87,'Fórmula'!J52,54)))</f>
        <v>90.15</v>
      </c>
      <c r="FM52" s="117">
        <f t="shared" si="28"/>
        <v>3015</v>
      </c>
      <c r="FN52" s="118">
        <f t="array" ref="FN52">(('Fórmula'!C52)/('Fórmula'!C52+'Fórmula'!E52+'Fórmula'!G52+'Fórmula'!I52+'Fórmula'!K52))*(INDEX(properties!A$1:CB$87,'Fórmula'!B52,55))+(('Fórmula'!E52)/('Fórmula'!C52+'Fórmula'!E52+'Fórmula'!G52+'Fórmula'!I52+'Fórmula'!K52))*(INDEX(properties!A$1:CB$87,'Fórmula'!D52,55))+(('Fórmula'!G52)/('Fórmula'!C52+'Fórmula'!E52+'Fórmula'!G52+'Fórmula'!I52+'Fórmula'!K52))*(INDEX(properties!A$1:CB$87,'Fórmula'!F52,55))+(('Fórmula'!I52)/('Fórmula'!C52+'Fórmula'!E52+'Fórmula'!G52+'Fórmula'!I52+'Fórmula'!K52))*(INDEX(properties!A$1:CB$87,'Fórmula'!H52,55))+(('Fórmula'!K52)/('Fórmula'!C52+'Fórmula'!E52+'Fórmula'!G52+'Fórmula'!I52+'Fórmula'!K52))*(INDEX(properties!A$1:CB$87,'Fórmula'!J52,55))</f>
        <v>0.718508</v>
      </c>
      <c r="FO52" s="118">
        <f t="array" ref="FO52">'Fórmula'!C52*(INDEX(properties!A$1:CB$87,'Fórmula'!B52,55))+'Fórmula'!E52*(INDEX(properties!A$1:CB$87,'Fórmula'!D52,54))+'Fórmula'!G52*(INDEX(properties!A$1:CB$87,'Fórmula'!F52,55))+'Fórmula'!I52*(INDEX(properties!A$1:CB$87,'Fórmula'!H52,55))+'Fórmula'!K52*(INDEX(properties!A$1:CB$87,'Fórmula'!J52,55))</f>
        <v>6218.69016</v>
      </c>
      <c r="FP52" s="118">
        <f t="array" ref="FP52">VARP(IF(INDEX(properties!A$1:CB$87,'Fórmula'!B52,55)&lt;&gt;"",INDEX(properties!A$1:CB$87,'Fórmula'!B52,55)),IF(INDEX(properties!A$1:CB$87,'Fórmula'!D52,55)&lt;&gt;"",INDEX(properties!A$1:CB$87,'Fórmula'!D52,55)),IF(INDEX(properties!A$1:CB$87,'Fórmula'!F52,55)&lt;&gt;"",INDEX(properties!A$1:CB$87,'Fórmula'!F52,55)),IF(INDEX(properties!A$1:CB$87,'Fórmula'!H52,55)&lt;&gt;"",INDEX(properties!A$1:CB$87,'Fórmula'!H52,55)),IF(INDEX(properties!A$1:CB$87,'Fórmula'!J52,55)&lt;&gt;"",INDEX(properties!A$1:CB$87,'Fórmula'!J52,55)))</f>
        <v>1.301608741</v>
      </c>
      <c r="FQ52" s="118">
        <f t="array" ref="FQ52">MAX(INDEX(properties!A$1:CB$87,'Fórmula'!B52,55),INDEX(properties!A$1:CB$87,'Fórmula'!D52,55),INDEX(properties!A$1:CB$87,'Fórmula'!F52,55),INDEX(properties!A$1:CB$87,'Fórmula'!H52,55),INDEX(properties!A$1:CB$87,'Fórmula'!J52,55))</f>
        <v>2.99</v>
      </c>
      <c r="FR52" s="118">
        <f t="array" ref="FR52">MIN(IF(INDEX(properties!A$1:CB$87,'Fórmula'!B52,55)=0,10^6,INDEX(properties!A$1:CB$87,'Fórmula'!B52,55)),IF(INDEX(properties!A$1:CB$87,'Fórmula'!D52,55)=0,10^6,INDEX(properties!A$1:CB$87,'Fórmula'!D52,55)),IF(INDEX(properties!A$1:CB$87,'Fórmula'!F52,55)=0,10^6,INDEX(properties!A$1:CB$87,'Fórmula'!F52,55)),IF(INDEX(properties!A$1:CB$87,'Fórmula'!H52,55)=0,10^6,INDEX(properties!A$1:CB$87,'Fórmula'!H52,55)),IF(INDEX(properties!A$1:CB$87,'Fórmula'!J52,55)=0,10^6,INDEX(properties!A$1:CB$87,'Fórmula'!J52,55)))</f>
        <v>0.00143</v>
      </c>
      <c r="FS52" s="118">
        <f t="shared" si="29"/>
        <v>2.98857</v>
      </c>
      <c r="FT52" s="119">
        <f t="array" ref="FT52">(('Fórmula'!C52)/('Fórmula'!C52+'Fórmula'!E52+'Fórmula'!G52+'Fórmula'!I52+'Fórmula'!K52))*(INDEX(properties!A$1:CB$87,'Fórmula'!B52,56))+(('Fórmula'!E52)/('Fórmula'!C52+'Fórmula'!E52+'Fórmula'!G52+'Fórmula'!I52+'Fórmula'!K52))*(INDEX(properties!A$1:CB$87,'Fórmula'!D52,56))+(('Fórmula'!G52)/('Fórmula'!C52+'Fórmula'!E52+'Fórmula'!G52+'Fórmula'!I52+'Fórmula'!K52))*(INDEX(properties!A$1:CB$87,'Fórmula'!F52,56))+(('Fórmula'!I52)/('Fórmula'!C52+'Fórmula'!E52+'Fórmula'!G52+'Fórmula'!I52+'Fórmula'!K52))*(INDEX(properties!A$1:CB$87,'Fórmula'!H52,56))+(('Fórmula'!K52)/('Fórmula'!C52+'Fórmula'!E52+'Fórmula'!G52+'Fórmula'!I52+'Fórmula'!K52))*(INDEX(properties!A$1:CB$87,'Fórmula'!J52,56))</f>
        <v>0.912</v>
      </c>
      <c r="FU52" s="119">
        <f t="array" ref="FU52">'Fórmula'!C52*(INDEX(properties!A$1:CB$87,'Fórmula'!B52,56))+'Fórmula'!E52*(INDEX(properties!A$1:CB$87,'Fórmula'!D52,56))+'Fórmula'!G52*(INDEX(properties!A$1:CB$87,'Fórmula'!F52,56))+'Fórmula'!I52*(INDEX(properties!A$1:CB$87,'Fórmula'!H52,56))+'Fórmula'!K52*(INDEX(properties!A$1:CB$87,'Fórmula'!J52,56))</f>
        <v>18.24</v>
      </c>
      <c r="FV52" s="119">
        <f t="array" ref="FV52">VARP(IF(INDEX(properties!A$1:CB$87,'Fórmula'!B52,56)&lt;&gt;"",INDEX(properties!A$1:CB$87,'Fórmula'!B52,56)),IF(INDEX(properties!A$1:CB$87,'Fórmula'!D52,56)&lt;&gt;"",INDEX(properties!A$1:CB$87,'Fórmula'!D52,56)),IF(INDEX(properties!A$1:CB$87,'Fórmula'!F52,56)&lt;&gt;"",INDEX(properties!A$1:CB$87,'Fórmula'!F52,56)),IF(INDEX(properties!A$1:CB$87,'Fórmula'!H52,56)&lt;&gt;"",INDEX(properties!A$1:CB$87,'Fórmula'!H52,56)),IF(INDEX(properties!A$1:CB$87,'Fórmula'!J52,56)&lt;&gt;"",INDEX(properties!A$1:CB$87,'Fórmula'!J52,56)))</f>
        <v>0.166824</v>
      </c>
      <c r="FW52" s="119">
        <f t="array" ref="FW52">MAX(INDEX(properties!A$1:CB$87,'Fórmula'!B52,56),INDEX(properties!A$1:CB$87,'Fórmula'!D52,56),INDEX(properties!A$1:CB$87,'Fórmula'!F52,56),INDEX(properties!A$1:CB$87,'Fórmula'!H52,56),INDEX(properties!A$1:CB$87,'Fórmula'!J52,56))</f>
        <v>1.23</v>
      </c>
      <c r="FX52" s="119">
        <f t="array" ref="FX52">MIN(IF(INDEX(properties!A$1:CB$87,'Fórmula'!B52,56)=0,10^6,INDEX(properties!A$1:CB$87,'Fórmula'!B52,56)),IF(INDEX(properties!A$1:CB$87,'Fórmula'!D52,56)=0,10^6,INDEX(properties!A$1:CB$87,'Fórmula'!D52,56)),IF(INDEX(properties!A$1:CB$87,'Fórmula'!F52,56)=0,10^6,INDEX(properties!A$1:CB$87,'Fórmula'!F52,56)),IF(INDEX(properties!A$1:CB$87,'Fórmula'!H52,56)=0,10^6,INDEX(properties!A$1:CB$87,'Fórmula'!H52,56)),IF(INDEX(properties!A$1:CB$87,'Fórmula'!J52,56)=0,10^6,INDEX(properties!A$1:CB$87,'Fórmula'!J52,56)))</f>
        <v>0.6</v>
      </c>
      <c r="FY52" s="119">
        <f t="shared" si="30"/>
        <v>0.63</v>
      </c>
      <c r="FZ52" s="104">
        <f t="array" ref="FZ52">(('Fórmula'!C52)/('Fórmula'!C52+'Fórmula'!E52+'Fórmula'!G52+'Fórmula'!I52+'Fórmula'!K52))*(INDEX(properties!A$1:CB$87,'Fórmula'!B52,57))+(('Fórmula'!E52)/('Fórmula'!C52+'Fórmula'!E52+'Fórmula'!G52+'Fórmula'!I52+'Fórmula'!K52))*(INDEX(properties!A$1:CB$87,'Fórmula'!D52,57))+(('Fórmula'!G52)/('Fórmula'!C52+'Fórmula'!E52+'Fórmula'!G52+'Fórmula'!I52+'Fórmula'!K52))*(INDEX(properties!A$1:CB$87,'Fórmula'!F52,57))+(('Fórmula'!I52)/('Fórmula'!C52+'Fórmula'!E52+'Fórmula'!G52+'Fórmula'!I52+'Fórmula'!K52))*(INDEX(properties!A$1:CB$87,'Fórmula'!H52,57))+(('Fórmula'!K52)/('Fórmula'!C52+'Fórmula'!E52+'Fórmula'!G52+'Fórmula'!I52+'Fórmula'!K52))*(INDEX(properties!A$1:CB$87,'Fórmula'!J52,57))</f>
        <v>2.031804</v>
      </c>
      <c r="GA52" s="104">
        <f t="array" ref="GA52">'Fórmula'!C52*(INDEX(properties!A$1:CB$87,'Fórmula'!B52,57))+'Fórmula'!E52*(INDEX(properties!A$1:CB$87,'Fórmula'!D52,57))+'Fórmula'!G52*(INDEX(properties!A$1:CB$87,'Fórmula'!F52,57))+'Fórmula'!I52*(INDEX(properties!A$1:CB$87,'Fórmula'!H52,57))+'Fórmula'!K52*(INDEX(properties!A$1:CB$87,'Fórmula'!J52,57))</f>
        <v>40.63608</v>
      </c>
      <c r="GB52" s="104">
        <f t="array" ref="GB52">VARP(IF(INDEX(properties!A$1:CB$87,'Fórmula'!B52,57)&lt;&gt;"",INDEX(properties!A$1:CB$87,'Fórmula'!B52,57)),IF(INDEX(properties!A$1:CB$87,'Fórmula'!D52,57)&lt;&gt;"",INDEX(properties!A$1:CB$87,'Fórmula'!D52,57)),IF(INDEX(properties!A$1:CB$87,'Fórmula'!F52,57)&lt;&gt;"",INDEX(properties!A$1:CB$87,'Fórmula'!F52,57)),IF(INDEX(properties!A$1:CB$87,'Fórmula'!H52,57)&lt;&gt;"",INDEX(properties!A$1:CB$87,'Fórmula'!H52,57)),IF(INDEX(properties!A$1:CB$87,'Fórmula'!J52,57)&lt;&gt;"",INDEX(properties!A$1:CB$87,'Fórmula'!J52,57)))</f>
        <v>28.84929305</v>
      </c>
      <c r="GC52" s="104">
        <f t="array" ref="GC52">MAX(INDEX(properties!A$1:CB$87,'Fórmula'!B52,57),INDEX(properties!A$1:CB$87,'Fórmula'!D52,57),INDEX(properties!A$1:CB$87,'Fórmula'!F52,57),INDEX(properties!A$1:CB$87,'Fórmula'!H52,57),INDEX(properties!A$1:CB$87,'Fórmula'!J52,57))</f>
        <v>14.1</v>
      </c>
      <c r="GD52" s="104">
        <f t="array" ref="GD52">MIN(IF(INDEX(properties!A$1:CB$87,'Fórmula'!B52,57)=0,10^6,INDEX(properties!A$1:CB$87,'Fórmula'!B52,57)),IF(INDEX(properties!A$1:CB$87,'Fórmula'!D52,57)=0,10^6,INDEX(properties!A$1:CB$87,'Fórmula'!D52,57)),IF(INDEX(properties!A$1:CB$87,'Fórmula'!F52,57)=0,10^6,INDEX(properties!A$1:CB$87,'Fórmula'!F52,57)),IF(INDEX(properties!A$1:CB$87,'Fórmula'!H52,57)=0,10^6,INDEX(properties!A$1:CB$87,'Fórmula'!H52,57)),IF(INDEX(properties!A$1:CB$87,'Fórmula'!J52,57)=0,10^6,INDEX(properties!A$1:CB$87,'Fórmula'!J52,57)))</f>
        <v>0.22259</v>
      </c>
      <c r="GE52" s="104">
        <f t="shared" si="31"/>
        <v>13.87741</v>
      </c>
      <c r="GF52" s="105">
        <f t="array" ref="GF52">(('Fórmula'!C52)/('Fórmula'!C52+'Fórmula'!E52+'Fórmula'!G52+'Fórmula'!I52+'Fórmula'!K52))*(INDEX(properties!A$1:CB$87,'Fórmula'!B52,60))+(('Fórmula'!E52)/('Fórmula'!C52+'Fórmula'!E52+'Fórmula'!G52+'Fórmula'!I52+'Fórmula'!K52))*(INDEX(properties!A$1:CB$87,'Fórmula'!D52,60))+(('Fórmula'!G52)/('Fórmula'!C52+'Fórmula'!E52+'Fórmula'!G52+'Fórmula'!I52+'Fórmula'!K52))*(INDEX(properties!A$1:CB$87,'Fórmula'!F52,60))+(('Fórmula'!I52)/('Fórmula'!C52+'Fórmula'!E52+'Fórmula'!G52+'Fórmula'!I52+'Fórmula'!K52))*(INDEX(properties!A$1:CB$87,'Fórmula'!H52,60))+(('Fórmula'!K52)/('Fórmula'!C52+'Fórmula'!E52+'Fórmula'!G52+'Fórmula'!I52+'Fórmula'!K52))*(INDEX(properties!A$1:CB$87,'Fórmula'!J52,60))</f>
        <v>22.781294</v>
      </c>
      <c r="GG52" s="105">
        <f t="array" ref="GG52">'Fórmula'!C52*(INDEX(properties!A$1:CB$87,'Fórmula'!B52,60))+'Fórmula'!E52*(INDEX(properties!A$1:CB$87,'Fórmula'!D52,60))+'Fórmula'!G52*(INDEX(properties!A$1:CB$87,'Fórmula'!F52,60))+'Fórmula'!I52*(INDEX(properties!A$1:CB$87,'Fórmula'!H52,60))+'Fórmula'!K52*(INDEX(properties!A$1:CB$87,'Fórmula'!J52,60))</f>
        <v>455.62588</v>
      </c>
      <c r="GH52" s="105">
        <f t="array" ref="GH52">VARP(IF(INDEX(properties!A$1:CB$87,'Fórmula'!B52,60)&lt;&gt;"",INDEX(properties!A$1:CB$87,'Fórmula'!B52,60)),IF(INDEX(properties!A$1:CB$87,'Fórmula'!D52,60)&lt;&gt;"",INDEX(properties!A$1:CB$87,'Fórmula'!D52,60)),IF(INDEX(properties!A$1:CB$87,'Fórmula'!F52,60)&lt;&gt;"",INDEX(properties!A$1:CB$87,'Fórmula'!F52,60)),IF(INDEX(properties!A$1:CB$87,'Fórmula'!H52,60)&lt;&gt;"",INDEX(properties!A$1:CB$87,'Fórmula'!H52,60)),IF(INDEX(properties!A$1:CB$87,'Fórmula'!J52,60)&lt;&gt;"",INDEX(properties!A$1:CB$87,'Fórmula'!J52,60)))</f>
        <v>3039.403581</v>
      </c>
      <c r="GI52" s="105">
        <f t="array" ref="GI52">MAX(INDEX(properties!A$1:CB$87,'Fórmula'!B52,60),INDEX(properties!A$1:CB$87,'Fórmula'!D52,60),INDEX(properties!A$1:CB$87,'Fórmula'!F52,60),INDEX(properties!A$1:CB$87,'Fórmula'!H52,60),INDEX(properties!A$1:CB$87,'Fórmula'!J52,60))</f>
        <v>141</v>
      </c>
      <c r="GJ52" s="105">
        <f t="array" ref="GJ52">MIN(IF(INDEX(properties!A$1:CB$87,'Fórmula'!B52,60)=0,10^6,INDEX(properties!A$1:CB$87,'Fórmula'!B52,60)),IF(INDEX(properties!A$1:CB$87,'Fórmula'!D52,60)=0,10^6,INDEX(properties!A$1:CB$87,'Fórmula'!D52,60)),IF(INDEX(properties!A$1:CB$87,'Fórmula'!F52,60)=0,10^6,INDEX(properties!A$1:CB$87,'Fórmula'!F52,60)),IF(INDEX(properties!A$1:CB$87,'Fórmula'!H52,60)=0,10^6,INDEX(properties!A$1:CB$87,'Fórmula'!H52,60)),IF(INDEX(properties!A$1:CB$87,'Fórmula'!J52,60)=0,10^6,INDEX(properties!A$1:CB$87,'Fórmula'!J52,60)))</f>
        <v>0.02674</v>
      </c>
      <c r="GK52" s="105">
        <f t="shared" si="32"/>
        <v>140.97326</v>
      </c>
      <c r="GL52" s="106">
        <f t="array" ref="GL52">(('Fórmula'!C52)/('Fórmula'!C52+'Fórmula'!E52+'Fórmula'!G52+'Fórmula'!I52+'Fórmula'!K52))*(INDEX(properties!A$1:CB$87,'Fórmula'!B52,62))+(('Fórmula'!E52)/('Fórmula'!C52+'Fórmula'!E52+'Fórmula'!G52+'Fórmula'!I52+'Fórmula'!K52))*(INDEX(properties!A$1:CB$87,'Fórmula'!D52,62))+(('Fórmula'!G52)/('Fórmula'!C52+'Fórmula'!E52+'Fórmula'!G52+'Fórmula'!I52+'Fórmula'!K52))*(INDEX(properties!A$1:CB$87,'Fórmula'!F52,62))+(('Fórmula'!I52)/('Fórmula'!C52+'Fórmula'!E52+'Fórmula'!G52+'Fórmula'!I52+'Fórmula'!K52))*(INDEX(properties!A$1:CB$87,'Fórmula'!H52,62))+(('Fórmula'!K52)/('Fórmula'!C52+'Fórmula'!E52+'Fórmula'!G52+'Fórmula'!I52+'Fórmula'!K52))*(INDEX(properties!A$1:CB$87,'Fórmula'!J52,62))</f>
        <v>2.64345</v>
      </c>
      <c r="GM52" s="106">
        <f t="array" ref="GM52">'Fórmula'!C52*(INDEX(properties!A$1:CB$87,'Fórmula'!B52,62))+'Fórmula'!E52*(INDEX(properties!A$1:CB$87,'Fórmula'!D52,62))+'Fórmula'!G52*(INDEX(properties!A$1:CB$87,'Fórmula'!F52,62))+'Fórmula'!I52*(INDEX(properties!A$1:CB$87,'Fórmula'!H52,62))+'Fórmula'!K52*(INDEX(properties!A$1:CB$87,'Fórmula'!J52,62))</f>
        <v>52.869</v>
      </c>
      <c r="GN52" s="106">
        <f t="array" ref="GN52">VARP(IF(INDEX(properties!A$1:CB$87,'Fórmula'!B52,62)&lt;&gt;"",INDEX(properties!A$1:CB$87,'Fórmula'!B52,62)),IF(INDEX(properties!A$1:CB$87,'Fórmula'!D52,62)&lt;&gt;"",INDEX(properties!A$1:CB$87,'Fórmula'!D52,62)),IF(INDEX(properties!A$1:CB$87,'Fórmula'!F52,62)&lt;&gt;"",INDEX(properties!A$1:CB$87,'Fórmula'!F52,62)),IF(INDEX(properties!A$1:CB$87,'Fórmula'!H52,62)&lt;&gt;"",INDEX(properties!A$1:CB$87,'Fórmula'!H52,62)),IF(INDEX(properties!A$1:CB$87,'Fórmula'!J52,62)&lt;&gt;"",INDEX(properties!A$1:CB$87,'Fórmula'!J52,62)))</f>
        <v>2.12001504</v>
      </c>
      <c r="GO52" s="106">
        <f t="array" ref="GO52">MAX(INDEX(properties!A$1:CB$87,'Fórmula'!B52,62),INDEX(properties!A$1:CB$87,'Fórmula'!D52,62),INDEX(properties!A$1:CB$87,'Fórmula'!F52,62),INDEX(properties!A$1:CB$87,'Fórmula'!H52,62),INDEX(properties!A$1:CB$87,'Fórmula'!J52,62))</f>
        <v>3.9</v>
      </c>
      <c r="GP52" s="106">
        <f t="array" ref="GP52">MIN(IF(INDEX(properties!A$1:CB$87,'Fórmula'!B52,62)=0,10^6,INDEX(properties!A$1:CB$87,'Fórmula'!B52,62)),IF(INDEX(properties!A$1:CB$87,'Fórmula'!D52,62)=0,10^6,INDEX(properties!A$1:CB$87,'Fórmula'!D52,62)),IF(INDEX(properties!A$1:CB$87,'Fórmula'!F52,62)=0,10^6,INDEX(properties!A$1:CB$87,'Fórmula'!F52,62)),IF(INDEX(properties!A$1:CB$87,'Fórmula'!H52,62)=0,10^6,INDEX(properties!A$1:CB$87,'Fórmula'!H52,62)),IF(INDEX(properties!A$1:CB$87,'Fórmula'!J52,62)=0,10^6,INDEX(properties!A$1:CB$87,'Fórmula'!J52,62)))</f>
        <v>1.113</v>
      </c>
      <c r="GQ52" s="106">
        <f t="shared" si="33"/>
        <v>2.787</v>
      </c>
      <c r="GR52" s="106">
        <f>'Fórmula'!Q52</f>
        <v>15</v>
      </c>
      <c r="GS52" s="107">
        <f>'Fórmula'!P52</f>
        <v>6</v>
      </c>
      <c r="GT52" s="113">
        <f>'Fórmula'!O52</f>
        <v>2.88</v>
      </c>
      <c r="GU52" s="114">
        <f>AVERAGE('Fórmula'!R52/'Fórmula'!S52,'Fórmula'!S52/'Fórmula'!T52,'Fórmula'!T52/'Fórmula'!R52)</f>
        <v>1.101441772</v>
      </c>
      <c r="GV52" s="125">
        <f>'Fórmula'!U52</f>
        <v>1024.71</v>
      </c>
      <c r="GW52" s="106">
        <f>'Fórmula'!N52</f>
        <v>0.3</v>
      </c>
    </row>
    <row r="53" ht="14.25" customHeight="1">
      <c r="A53" s="99" t="str">
        <f>'Fórmula'!A53</f>
        <v>NaGdW2O8</v>
      </c>
      <c r="B53" s="100">
        <f t="array" ref="B53">(('Fórmula'!C53)/('Fórmula'!C53+'Fórmula'!E53+'Fórmula'!G53+'Fórmula'!I53+'Fórmula'!K53))*(INDEX(properties!A$1:CB$87,'Fórmula'!B53,3))+(('Fórmula'!E53)/('Fórmula'!C53+'Fórmula'!E53+'Fórmula'!G53+'Fórmula'!I53+'Fórmula'!K53))*(INDEX(properties!A$1:CB$87,'Fórmula'!D53,3))+(('Fórmula'!G53)/('Fórmula'!C53+'Fórmula'!E53+'Fórmula'!G53+'Fórmula'!I53+'Fórmula'!K53))*(INDEX(properties!A$1:CB$87,'Fórmula'!F53,3))+(('Fórmula'!I53)/('Fórmula'!C53+'Fórmula'!E53+'Fórmula'!G53+'Fórmula'!I53+'Fórmula'!K53))*(INDEX(properties!A$1:CB$87,'Fórmula'!H53,3))+(('Fórmula'!K53)/('Fórmula'!C53+'Fórmula'!E53+'Fórmula'!G53+'Fórmula'!I53+'Fórmula'!K53))*(INDEX(properties!A$1:CB$87,'Fórmula'!J53,3))</f>
        <v>56.32624733</v>
      </c>
      <c r="C53" s="101">
        <f t="array" ref="C53">'Fórmula'!C53*(INDEX(properties!A$1:CB$87,'Fórmula'!B53,3))+'Fórmula'!E53*(INDEX(properties!A$1:CB$87,'Fórmula'!D53,3))+'Fórmula'!G53*(INDEX(properties!A$1:CB$87,'Fórmula'!F53,3))+'Fórmula'!I53*(INDEX(properties!A$1:CB$87,'Fórmula'!H53,3))+'Fórmula'!K53*(INDEX(properties!A$1:CB$87,'Fórmula'!J53,3))</f>
        <v>675.914968</v>
      </c>
      <c r="D53" s="101">
        <f t="array" ref="D53">VARP(IF(INDEX(properties!A$1:CB$87,'Fórmula'!B53,3)&lt;&gt;"",INDEX(properties!A$1:CB$87,'Fórmula'!B53,3)),IF(INDEX(properties!A$1:CB$87,'Fórmula'!D53,3)&lt;&gt;"",INDEX(properties!A$1:CB$87,'Fórmula'!D53,3)),IF(INDEX(properties!A$1:CB$87,'Fórmula'!F53,3)&lt;&gt;"",INDEX(properties!A$1:CB$87,'Fórmula'!F53,3)),IF(INDEX(properties!A$1:CB$87,'Fórmula'!H53,3)&lt;&gt;"",INDEX(properties!A$1:CB$87,'Fórmula'!H53,3)),IF(INDEX(properties!A$1:CB$87,'Fórmula'!J53,3)&lt;&gt;"",INDEX(properties!A$1:CB$87,'Fórmula'!J53,3)))</f>
        <v>6083.436709</v>
      </c>
      <c r="E53" s="101">
        <f t="array" ref="E53">MAX(INDEX(properties!A$1:CB$87,'Fórmula'!B53,3),INDEX(properties!A$1:CB$87,'Fórmula'!D53,3),INDEX(properties!A$1:CB$87,'Fórmula'!F53,3),INDEX(properties!A$1:CB$87,'Fórmula'!H53,3),INDEX(properties!A$1:CB$87,'Fórmula'!J53,3))</f>
        <v>183.84</v>
      </c>
      <c r="F53" s="101">
        <f t="array" ref="F53">MIN(IF(INDEX(properties!A$1:CB$87,'Fórmula'!B53,3)=0,10^6,INDEX(properties!A$1:CB$87,'Fórmula'!B53,3)),IF(INDEX(properties!A$1:CB$87,'Fórmula'!D53,3)=0,10^6,INDEX(properties!A$1:CB$87,'Fórmula'!D53,3)),IF(INDEX(properties!A$1:CB$87,'Fórmula'!F53,3)=0,10^6,INDEX(properties!A$1:CB$87,'Fórmula'!F53,3)),IF(INDEX(properties!A$1:CB$87,'Fórmula'!H53,3)=0,10^6,INDEX(properties!A$1:CB$87,'Fórmula'!H53,3)),IF(INDEX(properties!A$1:CB$87,'Fórmula'!J53,3)=0,10^6,INDEX(properties!A$1:CB$87,'Fórmula'!J53,3)))</f>
        <v>15.9994</v>
      </c>
      <c r="G53" s="101">
        <f t="shared" si="1"/>
        <v>167.8406</v>
      </c>
      <c r="H53" s="102">
        <f t="array" ref="H53">(('Fórmula'!C53)/('Fórmula'!C53+'Fórmula'!E53+'Fórmula'!G53+'Fórmula'!I53+'Fórmula'!K53))*(INDEX(properties!A$1:CB$87,'Fórmula'!B53,4))+(('Fórmula'!E53)/('Fórmula'!C53+'Fórmula'!E53+'Fórmula'!G53+'Fórmula'!I53+'Fórmula'!K53))*(INDEX(properties!A$1:CB$87,'Fórmula'!D53,4))+(('Fórmula'!G53)/('Fórmula'!C53+'Fórmula'!E53+'Fórmula'!G53+'Fórmula'!I53+'Fórmula'!K53))*(INDEX(properties!A$1:CB$87,'Fórmula'!F53,4))+(('Fórmula'!I53)/('Fórmula'!C53+'Fórmula'!E53+'Fórmula'!G53+'Fórmula'!I53+'Fórmula'!K53))*(INDEX(properties!A$1:CB$87,'Fórmula'!H53,4))+(('Fórmula'!K53)/('Fórmula'!C53+'Fórmula'!E53+'Fórmula'!G53+'Fórmula'!I53+'Fórmula'!K53))*(INDEX(properties!A$1:CB$87,'Fórmula'!J53,4))</f>
        <v>23.91666667</v>
      </c>
      <c r="I53" s="102">
        <f t="array" ref="I53">'Fórmula'!C53*(INDEX(properties!A$1:CB$87,'Fórmula'!B53,4))+'Fórmula'!E53*(INDEX(properties!A$1:CB$87,'Fórmula'!D53,4))+'Fórmula'!G53*(INDEX(properties!A$1:CB$87,'Fórmula'!F53,4))+'Fórmula'!I53*(INDEX(properties!A$1:CB$87,'Fórmula'!H53,4))+'Fórmula'!K53*(INDEX(properties!A$1:CB$87,'Fórmula'!J53,4))</f>
        <v>287</v>
      </c>
      <c r="J53" s="102">
        <f t="array" ref="J53">VARP(IF(INDEX(properties!A$1:CB$87,'Fórmula'!B53,4)&lt;&gt;"",INDEX(properties!A$1:CB$87,'Fórmula'!B53,4)),IF(INDEX(properties!A$1:CB$87,'Fórmula'!D53,4)&lt;&gt;"",INDEX(properties!A$1:CB$87,'Fórmula'!D53,4)),IF(INDEX(properties!A$1:CB$87,'Fórmula'!F53,4)&lt;&gt;"",INDEX(properties!A$1:CB$87,'Fórmula'!F53,4)),IF(INDEX(properties!A$1:CB$87,'Fórmula'!H53,4)&lt;&gt;"",INDEX(properties!A$1:CB$87,'Fórmula'!H53,4)),IF(INDEX(properties!A$1:CB$87,'Fórmula'!J53,4)&lt;&gt;"",INDEX(properties!A$1:CB$87,'Fórmula'!J53,4)))</f>
        <v>965.44</v>
      </c>
      <c r="K53" s="102">
        <f t="array" ref="K53">MAX(INDEX(properties!A$1:CB$87,'Fórmula'!B53,4),INDEX(properties!A$1:CB$87,'Fórmula'!D53,4),INDEX(properties!A$1:CB$87,'Fórmula'!F53,4),INDEX(properties!A$1:CB$87,'Fórmula'!H53,4),INDEX(properties!A$1:CB$87,'Fórmula'!J53,4))</f>
        <v>74</v>
      </c>
      <c r="L53" s="102">
        <f t="array" ref="L53">MIN(IF(INDEX(properties!A$1:CB$87,'Fórmula'!B53,4)=0,10^6,INDEX(properties!A$1:CB$87,'Fórmula'!B53,4)),IF(INDEX(properties!A$1:CB$87,'Fórmula'!D53,4)=0,10^6,INDEX(properties!A$1:CB$87,'Fórmula'!D53,4)),IF(INDEX(properties!A$1:CB$87,'Fórmula'!F53,4)=0,10^6,INDEX(properties!A$1:CB$87,'Fórmula'!F53,4)),IF(INDEX(properties!A$1:CB$87,'Fórmula'!H53,4)=0,10^6,INDEX(properties!A$1:CB$87,'Fórmula'!H53,4)),IF(INDEX(properties!A$1:CB$87,'Fórmula'!J53,4)=0,10^6,INDEX(properties!A$1:CB$87,'Fórmula'!J53,4)))</f>
        <v>8</v>
      </c>
      <c r="M53" s="102">
        <f t="shared" si="2"/>
        <v>66</v>
      </c>
      <c r="N53" s="103">
        <f t="array" ref="N53">(('Fórmula'!C53)/('Fórmula'!C53+'Fórmula'!E53+'Fórmula'!G53+'Fórmula'!I53+'Fórmula'!K53))*(INDEX(properties!A$1:CB$87,'Fórmula'!B53,5))+(('Fórmula'!E53)/('Fórmula'!C53+'Fórmula'!E53+'Fórmula'!G53+'Fórmula'!I53+'Fórmula'!K53))*(INDEX(properties!A$1:CB$87,'Fórmula'!D53,5))+(('Fórmula'!G53)/('Fórmula'!C53+'Fórmula'!E53+'Fórmula'!G53+'Fórmula'!I53+'Fórmula'!K53))*(INDEX(properties!A$1:CB$87,'Fórmula'!F53,5))+(('Fórmula'!I53)/('Fórmula'!C53+'Fórmula'!E53+'Fórmula'!G53+'Fórmula'!I53+'Fórmula'!K53))*(INDEX(properties!A$1:CB$87,'Fórmula'!H53,5))+(('Fórmula'!K53)/('Fórmula'!C53+'Fórmula'!E53+'Fórmula'!G53+'Fórmula'!I53+'Fórmula'!K53))*(INDEX(properties!A$1:CB$87,'Fórmula'!J53,5))</f>
        <v>3.083333333</v>
      </c>
      <c r="O53" s="103">
        <f t="array" ref="O53">'Fórmula'!C53*(INDEX(properties!A$1:CB$87,'Fórmula'!B53,5))+'Fórmula'!E53*(INDEX(properties!A$1:CB$87,'Fórmula'!D53,5))+'Fórmula'!G53*(INDEX(properties!A$1:CB$87,'Fórmula'!F53,5))+'Fórmula'!I53*(INDEX(properties!A$1:CB$87,'Fórmula'!H53,5))+'Fórmula'!K53*(INDEX(properties!A$1:CB$87,'Fórmula'!J53,5))</f>
        <v>37</v>
      </c>
      <c r="P53" s="103">
        <f t="array" ref="P53">VARP(IF(INDEX(properties!A$1:CB$87,'Fórmula'!B53,5)&lt;&gt;"",INDEX(properties!A$1:CB$87,'Fórmula'!B53,5)),IF(INDEX(properties!A$1:CB$87,'Fórmula'!D53,5)&lt;&gt;"",INDEX(properties!A$1:CB$87,'Fórmula'!D53,5)),IF(INDEX(properties!A$1:CB$87,'Fórmula'!F53,5)&lt;&gt;"",INDEX(properties!A$1:CB$87,'Fórmula'!F53,5)),IF(INDEX(properties!A$1:CB$87,'Fórmula'!H53,5)&lt;&gt;"",INDEX(properties!A$1:CB$87,'Fórmula'!H53,5)),IF(INDEX(properties!A$1:CB$87,'Fórmula'!J53,5)&lt;&gt;"",INDEX(properties!A$1:CB$87,'Fórmula'!J53,5)))</f>
        <v>5.44</v>
      </c>
      <c r="Q53" s="103">
        <f t="array" ref="Q53">MAX(INDEX(properties!A$1:CB$87,'Fórmula'!B53,5),INDEX(properties!A$1:CB$87,'Fórmula'!D53,5),INDEX(properties!A$1:CB$87,'Fórmula'!F53,5),INDEX(properties!A$1:CB$87,'Fórmula'!H53,5),INDEX(properties!A$1:CB$87,'Fórmula'!J53,5))</f>
        <v>6</v>
      </c>
      <c r="R53" s="103">
        <f t="array" ref="R53">MIN(IF(INDEX(properties!A$1:CB$87,'Fórmula'!B53,5)=0,10^6,INDEX(properties!A$1:CB$87,'Fórmula'!B53,5)),IF(INDEX(properties!A$1:CB$87,'Fórmula'!D53,5)=0,10^6,INDEX(properties!A$1:CB$87,'Fórmula'!D53,5)),IF(INDEX(properties!A$1:CB$87,'Fórmula'!F53,5)=0,10^6,INDEX(properties!A$1:CB$87,'Fórmula'!F53,5)),IF(INDEX(properties!A$1:CB$87,'Fórmula'!H53,5)=0,10^6,INDEX(properties!A$1:CB$87,'Fórmula'!H53,5)),IF(INDEX(properties!A$1:CB$87,'Fórmula'!J53,5)=0,10^6,INDEX(properties!A$1:CB$87,'Fórmula'!J53,5)))</f>
        <v>2</v>
      </c>
      <c r="S53" s="103">
        <f t="shared" si="3"/>
        <v>4</v>
      </c>
      <c r="T53" s="104">
        <f t="array" ref="T53">(('Fórmula'!C53)/('Fórmula'!C53+'Fórmula'!E53+'Fórmula'!G53+'Fórmula'!I53+'Fórmula'!K53))*(INDEX(properties!A$1:CB$87,'Fórmula'!B53,6))+(('Fórmula'!E53)/('Fórmula'!C53+'Fórmula'!E53+'Fórmula'!G53+'Fórmula'!I53+'Fórmula'!K53))*(INDEX(properties!A$1:CB$87,'Fórmula'!D53,6))+(('Fórmula'!G53)/('Fórmula'!C53+'Fórmula'!E53+'Fórmula'!G53+'Fórmula'!I53+'Fórmula'!K53))*(INDEX(properties!A$1:CB$87,'Fórmula'!F53,6))+(('Fórmula'!I53)/('Fórmula'!C53+'Fórmula'!E53+'Fórmula'!G53+'Fórmula'!I53+'Fórmula'!K53))*(INDEX(properties!A$1:CB$87,'Fórmula'!H53,6))+(('Fórmula'!K53)/('Fórmula'!C53+'Fórmula'!E53+'Fórmula'!G53+'Fórmula'!I53+'Fórmula'!K53))*(INDEX(properties!A$1:CB$87,'Fórmula'!J53,6))</f>
        <v>12</v>
      </c>
      <c r="U53" s="104">
        <f t="array" ref="U53">'Fórmula'!C53*(INDEX(properties!A$1:CB$87,'Fórmula'!B53,6))+'Fórmula'!E53*(INDEX(properties!A$1:CB$87,'Fórmula'!D53,6))+'Fórmula'!G53*(INDEX(properties!A$1:CB$87,'Fórmula'!F53,6))+'Fórmula'!I53*(INDEX(properties!A$1:CB$87,'Fórmula'!H53,6))+'Fórmula'!K53*(INDEX(properties!A$1:CB$87,'Fórmula'!J53,6))</f>
        <v>144</v>
      </c>
      <c r="V53" s="103">
        <f t="array" ref="V53">VARP(IF(INDEX(properties!A$1:CB$87,'Fórmula'!B53,6)&lt;&gt;"",INDEX(properties!A$1:CB$87,'Fórmula'!B53,6)),IF(INDEX(properties!A$1:CB$87,'Fórmula'!D53,6)&lt;&gt;"",INDEX(properties!A$1:CB$87,'Fórmula'!D53,6)),IF(INDEX(properties!A$1:CB$87,'Fórmula'!F53,6)&lt;&gt;"",INDEX(properties!A$1:CB$87,'Fórmula'!F53,6)),IF(INDEX(properties!A$1:CB$87,'Fórmula'!H53,6)&lt;&gt;"",INDEX(properties!A$1:CB$87,'Fórmula'!H53,6)),IF(INDEX(properties!A$1:CB$87,'Fórmula'!J53,6)&lt;&gt;"",INDEX(properties!A$1:CB$87,'Fórmula'!J53,6)))</f>
        <v>33.36</v>
      </c>
      <c r="W53" s="104">
        <f t="array" ref="W53">MAX(INDEX(properties!A$1:CB$87,'Fórmula'!B53,6),INDEX(properties!A$1:CB$87,'Fórmula'!D53,6),INDEX(properties!A$1:CB$87,'Fórmula'!F53,6),INDEX(properties!A$1:CB$87,'Fórmula'!H53,4),INDEX(properties!A$1:CB$87,'Fórmula'!J53,6))</f>
        <v>8</v>
      </c>
      <c r="X53" s="104">
        <f t="array" ref="X53">MIN(IF(INDEX(properties!A$1:CB$87,'Fórmula'!B53,6)=0,10^6,INDEX(properties!A$1:CB$87,'Fórmula'!B53,6)),IF(INDEX(properties!A$1:CB$87,'Fórmula'!D53,6)=0,10^6,INDEX(properties!A$1:CB$87,'Fórmula'!D53,6)),IF(INDEX(properties!A$1:CB$87,'Fórmula'!F53,6)=0,10^6,INDEX(properties!A$1:CB$87,'Fórmula'!F53,6)),IF(INDEX(properties!A$1:CB$87,'Fórmula'!H53,6)=0,10^6,INDEX(properties!A$1:CB$87,'Fórmula'!H53,6)),IF(INDEX(properties!A$1:CB$87,'Fórmula'!J53,6)=0,10^6,INDEX(properties!A$1:CB$87,'Fórmula'!J53,6)))</f>
        <v>1</v>
      </c>
      <c r="Y53" s="104">
        <f t="shared" si="4"/>
        <v>7</v>
      </c>
      <c r="Z53" s="105">
        <f t="array" ref="Z53">(('Fórmula'!C53)/('Fórmula'!C53+'Fórmula'!E53+'Fórmula'!G53+'Fórmula'!I53+'Fórmula'!K53))*(INDEX(properties!A$1:CB$87,'Fórmula'!B53,9))+(('Fórmula'!E53)/('Fórmula'!C53+'Fórmula'!E53+'Fórmula'!G53+'Fórmula'!I53+'Fórmula'!K53))*(INDEX(properties!A$1:CB$87,'Fórmula'!D53,9))+(('Fórmula'!G53)/('Fórmula'!C53+'Fórmula'!E53+'Fórmula'!G53+'Fórmula'!I53+'Fórmula'!K53))*(INDEX(properties!A$1:CB$87,'Fórmula'!F53,9))+(('Fórmula'!I53)/('Fórmula'!C53+'Fórmula'!E53+'Fórmula'!G53+'Fórmula'!I53+'Fórmula'!K53))*(INDEX(properties!A$1:CB$87,'Fórmula'!H53,9))+(('Fórmula'!K53)/('Fórmula'!C53+'Fórmula'!E53+'Fórmula'!G53+'Fórmula'!I53+'Fórmula'!K53))*(INDEX(properties!A$1:CB$87,'Fórmula'!J53,9))</f>
        <v>68.91666667</v>
      </c>
      <c r="AA53" s="105">
        <f t="array" ref="AA53">'Fórmula'!C53*(INDEX(properties!A$1:CB$87,'Fórmula'!B53,9))+'Fórmula'!E53*(INDEX(properties!A$1:CB$87,'Fórmula'!D53,9))+'Fórmula'!G53*(INDEX(properties!A$1:CB$87,'Fórmula'!F53,9))+'Fórmula'!I53*(INDEX(properties!A$1:CB$87,'Fórmula'!H53,9))+'Fórmula'!K53*(INDEX(properties!A$1:CB$87,'Fórmula'!J53,9))</f>
        <v>827</v>
      </c>
      <c r="AB53" s="105">
        <f t="array" ref="AB53">VARP(IF(INDEX(properties!A$1:CB$87,'Fórmula'!B53,9)&lt;&gt;"",INDEX(properties!A$1:CB$87,'Fórmula'!B53,9)),IF(INDEX(properties!A$1:CB$87,'Fórmula'!D53,9)&lt;&gt;"",INDEX(properties!A$1:CB$87,'Fórmula'!D53,9)),IF(INDEX(properties!A$1:CB$87,'Fórmula'!F53,9)&lt;&gt;"",INDEX(properties!A$1:CB$87,'Fórmula'!F53,9)),IF(INDEX(properties!A$1:CB$87,'Fórmula'!H53,9)&lt;&gt;"",INDEX(properties!A$1:CB$87,'Fórmula'!H53,9)),IF(INDEX(properties!A$1:CB$87,'Fórmula'!J53,9)&lt;&gt;"",INDEX(properties!A$1:CB$87,'Fórmula'!J53,9)))</f>
        <v>1065.04</v>
      </c>
      <c r="AC53" s="105">
        <f t="array" ref="AC53">MAX(INDEX(properties!A$1:CB$87,'Fórmula'!B53,9),INDEX(properties!A$1:CB$87,'Fórmula'!D53,9),INDEX(properties!A$1:CB$87,'Fórmula'!F53,9),INDEX(properties!A$1:CB$87,'Fórmula'!H53,9),INDEX(properties!A$1:CB$87,'Fórmula'!J53,9))</f>
        <v>87</v>
      </c>
      <c r="AD53" s="105">
        <f t="array" ref="AD53">MIN(IF(INDEX(properties!A$1:CB$87,'Fórmula'!B53,9)=0,10^6,INDEX(properties!A$1:CB$87,'Fórmula'!B53,9)),IF(INDEX(properties!A$1:CB$87,'Fórmula'!D53,9)=0,10^6,INDEX(properties!A$1:CB$87,'Fórmula'!D53,9)),IF(INDEX(properties!A$1:CB$87,'Fórmula'!F53,9)=0,10^6,INDEX(properties!A$1:CB$87,'Fórmula'!F53,9)),IF(INDEX(properties!A$1:CB$87,'Fórmula'!H53,9)=0,10^6,INDEX(properties!A$1:CB$87,'Fórmula'!H53,9)),IF(INDEX(properties!A$1:CB$87,'Fórmula'!J53,9)=0,10^6,INDEX(properties!A$1:CB$87,'Fórmula'!J53,9)))</f>
        <v>2</v>
      </c>
      <c r="AE53" s="105">
        <f t="shared" si="5"/>
        <v>85</v>
      </c>
      <c r="AF53" s="106">
        <f t="array" ref="AF53">(('Fórmula'!C53)/('Fórmula'!C53+'Fórmula'!E53+'Fórmula'!G53+'Fórmula'!I53+'Fórmula'!K53))*(INDEX(properties!A$1:CB$87,'Fórmula'!B53,10))+(('Fórmula'!E53)/('Fórmula'!C53+'Fórmula'!E53+'Fórmula'!G53+'Fórmula'!I53+'Fórmula'!K53))*(INDEX(properties!A$1:CB$87,'Fórmula'!D53,10))+(('Fórmula'!G53)/('Fórmula'!C53+'Fórmula'!E53+'Fórmula'!G53+'Fórmula'!I53+'Fórmula'!K53))*(INDEX(properties!A$1:CB$87,'Fórmula'!F53,10))+(('Fórmula'!I53)/('Fórmula'!C53+'Fórmula'!E53+'Fórmula'!G53+'Fórmula'!I53+'Fórmula'!K53))*(INDEX(properties!A$1:CB$87,'Fórmula'!H53,10))+(('Fórmula'!K53)/('Fórmula'!C53+'Fórmula'!E53+'Fórmula'!G53+'Fórmula'!I53+'Fórmula'!K53))*(INDEX(properties!A$1:CB$87,'Fórmula'!J53,10))</f>
        <v>5.666666667</v>
      </c>
      <c r="AG53" s="106">
        <f t="array" ref="AG53">'Fórmula'!C53*(INDEX(properties!A$1:CB$87,'Fórmula'!B53,10))+'Fórmula'!E53*(INDEX(properties!A$1:CB$87,'Fórmula'!D53,10))+'Fórmula'!G53*(INDEX(properties!A$1:CB$87,'Fórmula'!F53,10))+'Fórmula'!I53*(INDEX(properties!A$1:CB$87,'Fórmula'!H53,10))+'Fórmula'!K53*(INDEX(properties!A$1:CB$87,'Fórmula'!J53,10))</f>
        <v>68</v>
      </c>
      <c r="AH53" s="106">
        <f t="array" ref="AH53">VARP(IF(INDEX(properties!A$1:CB$87,'Fórmula'!B53,10)&lt;&gt;"",INDEX(properties!A$1:CB$87,'Fórmula'!B53,10)),IF(INDEX(properties!A$1:CB$87,'Fórmula'!D53,10)&lt;&gt;"",INDEX(properties!A$1:CB$87,'Fórmula'!D53,10)),IF(INDEX(properties!A$1:CB$87,'Fórmula'!F53,10)&lt;&gt;"",INDEX(properties!A$1:CB$87,'Fórmula'!F53,10)),IF(INDEX(properties!A$1:CB$87,'Fórmula'!H53,10)&lt;&gt;"",INDEX(properties!A$1:CB$87,'Fórmula'!H53,10)),IF(INDEX(properties!A$1:CB$87,'Fórmula'!J53,10)&lt;&gt;"",INDEX(properties!A$1:CB$87,'Fórmula'!J53,10)))</f>
        <v>6</v>
      </c>
      <c r="AI53" s="106">
        <f t="array" ref="AI53">MAX(INDEX(properties!A$1:CB$87,'Fórmula'!B53,10),INDEX(properties!A$1:CB$87,'Fórmula'!D53,10),INDEX(properties!A$1:CB$87,'Fórmula'!F53,10),INDEX(properties!A$1:CB$87,'Fórmula'!H53,10),INDEX(properties!A$1:CB$87,'Fórmula'!J53,10))</f>
        <v>7</v>
      </c>
      <c r="AJ53" s="106">
        <f t="array" ref="AJ53">MIN(IF(INDEX(properties!A$1:CB$87,'Fórmula'!B53,10)=0,10^6,INDEX(properties!A$1:CB$87,'Fórmula'!B53,10)),IF(INDEX(properties!A$1:CB$87,'Fórmula'!D53,10)=0,10^6,INDEX(properties!A$1:CB$87,'Fórmula'!D53,10)),IF(INDEX(properties!A$1:CB$87,'Fórmula'!F53,10)=0,10^6,INDEX(properties!A$1:CB$87,'Fórmula'!F53,10)),IF(INDEX(properties!A$1:CB$87,'Fórmula'!H53,10)=0,10^6,INDEX(properties!A$1:CB$87,'Fórmula'!H53,10)),IF(INDEX(properties!A$1:CB$87,'Fórmula'!J53,10)=0,10^6,INDEX(properties!A$1:CB$87,'Fórmula'!J53,10)))</f>
        <v>1</v>
      </c>
      <c r="AK53" s="106">
        <f t="shared" si="6"/>
        <v>6</v>
      </c>
      <c r="AL53" s="107">
        <f t="array" ref="AL53">(('Fórmula'!C53)/('Fórmula'!C53+'Fórmula'!E53+'Fórmula'!G53+'Fórmula'!I53+'Fórmula'!K53))*(INDEX(properties!A$1:CB$87,'Fórmula'!B53,11))+(('Fórmula'!E53)/('Fórmula'!C53+'Fórmula'!E53+'Fórmula'!G53+'Fórmula'!I53+'Fórmula'!K53))*(INDEX(properties!A$1:CB$87,'Fórmula'!D53,11))+(('Fórmula'!G53)/('Fórmula'!C53+'Fórmula'!E53+'Fórmula'!G53+'Fórmula'!I53+'Fórmula'!K53))*(INDEX(properties!A$1:CB$87,'Fórmula'!F53,11))+(('Fórmula'!I53)/('Fórmula'!C53+'Fórmula'!E53+'Fórmula'!G53+'Fórmula'!I53+'Fórmula'!K53))*(INDEX(properties!A$1:CB$87,'Fórmula'!H53,11))+(('Fórmula'!K53)/('Fórmula'!C53+'Fórmula'!E53+'Fórmula'!G53+'Fórmula'!I53+'Fórmula'!K53))*(INDEX(properties!A$1:CB$87,'Fórmula'!J53,11))</f>
        <v>1.916666667</v>
      </c>
      <c r="AM53" s="107">
        <f t="array" ref="AM53">'Fórmula'!C53*(INDEX(properties!A$1:CB$87,'Fórmula'!B53,11))+'Fórmula'!E53*(INDEX(properties!A$1:CB$87,'Fórmula'!D53,11))+'Fórmula'!G53*(INDEX(properties!A$1:CB$87,'Fórmula'!F53,11))+'Fórmula'!I53*(INDEX(properties!A$1:CB$87,'Fórmula'!H53,11))+'Fórmula'!K53*(INDEX(properties!A$1:CB$87,'Fórmula'!J53,11))</f>
        <v>23</v>
      </c>
      <c r="AN53" s="107">
        <f t="array" ref="AN53">VARP(IF(INDEX(properties!A$1:CB$87,'Fórmula'!B53,11)&lt;&gt;"",INDEX(properties!A$1:CB$87,'Fórmula'!B53,11)),IF(INDEX(properties!A$1:CB$87,'Fórmula'!D53,11)&lt;&gt;"",INDEX(properties!A$1:CB$87,'Fórmula'!D53,11)),IF(INDEX(properties!A$1:CB$87,'Fórmula'!F53,11)&lt;&gt;"",INDEX(properties!A$1:CB$87,'Fórmula'!F53,11)),IF(INDEX(properties!A$1:CB$87,'Fórmula'!H53,11)&lt;&gt;"",INDEX(properties!A$1:CB$87,'Fórmula'!H53,11)),IF(INDEX(properties!A$1:CB$87,'Fórmula'!J53,11)&lt;&gt;"",INDEX(properties!A$1:CB$87,'Fórmula'!J53,11)))</f>
        <v>0.64</v>
      </c>
      <c r="AO53" s="107">
        <f t="array" ref="AO53">MAX(INDEX(properties!A$1:CB$87,'Fórmula'!B53,11),INDEX(properties!A$1:CB$87,'Fórmula'!D53,11),INDEX(properties!A$1:CB$87,'Fórmula'!F53,11),INDEX(properties!A$1:CB$87,'Fórmula'!H53,11),INDEX(properties!A$1:CB$87,'Fórmula'!J53,11))</f>
        <v>2</v>
      </c>
      <c r="AP53" s="107">
        <f t="array" ref="AP53">MIN(IF('Fórmula'!B53=87,10^6,INDEX(properties!A$1:CB$87,'Fórmula'!B53,11)),IF(('Fórmula'!D53)=87,10^6,INDEX(properties!A$1:CB$87,'Fórmula'!D53,11)),IF(('Fórmula'!F53)=87,10^6,INDEX(properties!A$1:CB$87,'Fórmula'!F53,11)),IF(('Fórmula'!H53)=87,10^6,INDEX(properties!A$1:CB$87,'Fórmula'!H53,11)),IF('Fórmula'!J53=87,10^6,INDEX(properties!A$1:CB$87,'Fórmula'!J53,11)))</f>
        <v>1</v>
      </c>
      <c r="AQ53" s="107">
        <f t="shared" si="7"/>
        <v>1</v>
      </c>
      <c r="AR53" s="108">
        <f t="array" ref="AR53">(('Fórmula'!C53)/('Fórmula'!C53+'Fórmula'!E53+'Fórmula'!G53+'Fórmula'!I53+'Fórmula'!K53))*(INDEX(properties!A$1:CB$87,'Fórmula'!B53,12))+(('Fórmula'!E53)/('Fórmula'!C53+'Fórmula'!E53+'Fórmula'!G53+'Fórmula'!I53+'Fórmula'!K53))*(INDEX(properties!A$1:CB$87,'Fórmula'!D53,12))+(('Fórmula'!G53)/('Fórmula'!C53+'Fórmula'!E53+'Fórmula'!G53+'Fórmula'!I53+'Fórmula'!K53))*(INDEX(properties!A$1:CB$87,'Fórmula'!F53,12))+(('Fórmula'!I53)/('Fórmula'!C53+'Fórmula'!E53+'Fórmula'!G53+'Fórmula'!I53+'Fórmula'!K53))*(INDEX(properties!A$1:CB$87,'Fórmula'!H53,12))+(('Fórmula'!K53)/('Fórmula'!C53+'Fórmula'!E53+'Fórmula'!G53+'Fórmula'!I53+'Fórmula'!K53))*(INDEX(properties!A$1:CB$87,'Fórmula'!J53,12))</f>
        <v>2.666666667</v>
      </c>
      <c r="AS53" s="108">
        <f t="array" ref="AS53">'Fórmula'!C53*(INDEX(properties!A$1:CB$87,'Fórmula'!B53,12))+'Fórmula'!E53*(INDEX(properties!A$1:CB$87,'Fórmula'!D53,12))+'Fórmula'!G53*(INDEX(properties!A$1:CB$87,'Fórmula'!F53,12))+'Fórmula'!I53*(INDEX(properties!A$1:CB$87,'Fórmula'!H53,12))+'Fórmula'!K53*(INDEX(properties!A$1:CB$87,'Fórmula'!J53,12))</f>
        <v>32</v>
      </c>
      <c r="AT53" s="108">
        <f t="array" ref="AT53">VARP(IF(INDEX(properties!A$1:CB$87,'Fórmula'!B53,12)&lt;&gt;"",INDEX(properties!A$1:CB$87,'Fórmula'!B53,12)),IF(INDEX(properties!A$1:CB$87,'Fórmula'!D53,12)&lt;&gt;"",INDEX(properties!A$1:CB$87,'Fórmula'!D53,12)),IF(INDEX(properties!A$1:CB$87,'Fórmula'!F53,12)&lt;&gt;"",INDEX(properties!A$1:CB$87,'Fórmula'!F53,12)),IF(INDEX(properties!A$1:CB$87,'Fórmula'!H53,12)&lt;&gt;"",INDEX(properties!A$1:CB$87,'Fórmula'!H53,12)),IF(INDEX(properties!A$1:CB$87,'Fórmula'!J53,12)&lt;&gt;"",INDEX(properties!A$1:CB$87,'Fórmula'!J53,12)))</f>
        <v>2.56</v>
      </c>
      <c r="AU53" s="108">
        <f t="array" ref="AU53">MAX(INDEX(properties!A$1:CB$87,'Fórmula'!B53,12),INDEX(properties!A$1:CB$87,'Fórmula'!D53,12),INDEX(properties!A$1:CB$87,'Fórmula'!F53,12),INDEX(properties!A$1:CB$87,'Fórmula'!H53,12),INDEX(properties!A$1:CB$87,'Fórmula'!J53,12))</f>
        <v>4</v>
      </c>
      <c r="AV53" s="108">
        <f t="array" ref="AV53">MIN(IF('Fórmula'!B53=87,10^6,INDEX(properties!A$1:CB$87,'Fórmula'!B53,12)),IF(('Fórmula'!D53)=87,10^6,INDEX(properties!A$1:CB$87,'Fórmula'!D53,12)),IF(('Fórmula'!F53)=87,10^6,INDEX(properties!A$1:CB$87,'Fórmula'!F53,12)),IF(('Fórmula'!H53)=87,10^6,INDEX(properties!A$1:CB$87,'Fórmula'!H53,12)),IF('Fórmula'!J53=87,10^6,INDEX(properties!A$1:CB$87,'Fórmula'!J53,12)))</f>
        <v>0</v>
      </c>
      <c r="AW53" s="108">
        <f t="shared" si="8"/>
        <v>4</v>
      </c>
      <c r="AX53" s="109">
        <f t="array" ref="AX53">(('Fórmula'!C53)/('Fórmula'!C53+'Fórmula'!E53+'Fórmula'!G53+'Fórmula'!I53+'Fórmula'!K53))*(INDEX(properties!A$1:CB$87,'Fórmula'!B53,13))+(('Fórmula'!E53)/('Fórmula'!C53+'Fórmula'!E53+'Fórmula'!G53+'Fórmula'!I53+'Fórmula'!K53))*(INDEX(properties!A$1:CB$87,'Fórmula'!D53,13))+(('Fórmula'!G53)/('Fórmula'!C53+'Fórmula'!E53+'Fórmula'!G53+'Fórmula'!I53+'Fórmula'!K53))*(INDEX(properties!A$1:CB$87,'Fórmula'!F53,13))+(('Fórmula'!I53)/('Fórmula'!C53+'Fórmula'!E53+'Fórmula'!G53+'Fórmula'!I53+'Fórmula'!K53))*(INDEX(properties!A$1:CB$87,'Fórmula'!H53,13))+(('Fórmula'!K53)/('Fórmula'!C53+'Fórmula'!E53+'Fórmula'!G53+'Fórmula'!I53+'Fórmula'!K53))*(INDEX(properties!A$1:CB$87,'Fórmula'!J53,13))</f>
        <v>0.75</v>
      </c>
      <c r="AY53" s="109">
        <f t="array" ref="AY53">'Fórmula'!C53*(INDEX(properties!A$1:CB$87,'Fórmula'!B53,13))+'Fórmula'!E53*(INDEX(properties!A$1:CB$87,'Fórmula'!D53,13))+'Fórmula'!G53*(INDEX(properties!A$1:CB$87,'Fórmula'!F53,13))+'Fórmula'!I53*(INDEX(properties!A$1:CB$87,'Fórmula'!H53,13))+'Fórmula'!K53*(INDEX(properties!A$1:CB$87,'Fórmula'!J53,13))</f>
        <v>9</v>
      </c>
      <c r="AZ53" s="109">
        <f t="array" ref="AZ53">VARP(IF(INDEX(properties!A$1:CB$87,'Fórmula'!B53,13)&lt;&gt;"",INDEX(properties!A$1:CB$87,'Fórmula'!B53,13)),IF(INDEX(properties!A$1:CB$87,'Fórmula'!D53,13)&lt;&gt;"",INDEX(properties!A$1:CB$87,'Fórmula'!D53,13)),IF(INDEX(properties!A$1:CB$87,'Fórmula'!F53,13)&lt;&gt;"",INDEX(properties!A$1:CB$87,'Fórmula'!F53,13)),IF(INDEX(properties!A$1:CB$87,'Fórmula'!H53,13)&lt;&gt;"",INDEX(properties!A$1:CB$87,'Fórmula'!H53,13)),IF(INDEX(properties!A$1:CB$87,'Fórmula'!J53,13)&lt;&gt;"",INDEX(properties!A$1:CB$87,'Fórmula'!J53,13)))</f>
        <v>2.4</v>
      </c>
      <c r="BA53" s="109">
        <f t="array" ref="BA53">MAX(INDEX(properties!A$1:CB$87,'Fórmula'!B53,13),INDEX(properties!A$1:CB$87,'Fórmula'!D53,13),INDEX(properties!A$1:CB$87,'Fórmula'!F53,13),INDEX(properties!A$1:CB$87,'Fórmula'!H53,13),INDEX(properties!A$1:CB$87,'Fórmula'!J53,13))</f>
        <v>4</v>
      </c>
      <c r="BB53" s="109">
        <f t="array" ref="BB53">MIN(IF('Fórmula'!B53=87,10^6,INDEX(properties!A$1:CB$87,'Fórmula'!B53,13)),IF(('Fórmula'!D53)=87,10^6,INDEX(properties!A$1:CB$87,'Fórmula'!D53,13)),IF(('Fórmula'!F53)=87,10^6,INDEX(properties!A$1:CB$87,'Fórmula'!F53,13)),IF(('Fórmula'!H53)=87,10^6,INDEX(properties!A$1:CB$87,'Fórmula'!H53,13)),IF('Fórmula'!J53=87,10^6,INDEX(properties!A$1:CB$87,'Fórmula'!J53,13)))</f>
        <v>0</v>
      </c>
      <c r="BC53" s="109">
        <f t="shared" si="9"/>
        <v>4</v>
      </c>
      <c r="BD53" s="110">
        <f t="array" ref="BD53">(('Fórmula'!C53)/('Fórmula'!C53+'Fórmula'!E53+'Fórmula'!G53+'Fórmula'!I53+'Fórmula'!K53))*(INDEX(properties!A$1:CB$87,'Fórmula'!B53,14))+(('Fórmula'!E53)/('Fórmula'!C53+'Fórmula'!E53+'Fórmula'!G53+'Fórmula'!I53+'Fórmula'!K53))*(INDEX(properties!A$1:CB$87,'Fórmula'!D53,14))+(('Fórmula'!G53)/('Fórmula'!C53+'Fórmula'!E53+'Fórmula'!G53+'Fórmula'!I53+'Fórmula'!K53))*(INDEX(properties!A$1:CB$87,'Fórmula'!F53,14))+(('Fórmula'!I53)/('Fórmula'!C53+'Fórmula'!E53+'Fórmula'!G53+'Fórmula'!I53+'Fórmula'!K53))*(INDEX(properties!A$1:CB$87,'Fórmula'!H53,14))+(('Fórmula'!K53)/('Fórmula'!C53+'Fórmula'!E53+'Fórmula'!G53+'Fórmula'!I53+'Fórmula'!K53))*(INDEX(properties!A$1:CB$87,'Fórmula'!J53,14))</f>
        <v>2.916666667</v>
      </c>
      <c r="BE53" s="110">
        <f t="array" ref="BE53">'Fórmula'!C53*(INDEX(properties!A$1:CB$87,'Fórmula'!B53,14))+'Fórmula'!E53*(INDEX(properties!A$1:CB$87,'Fórmula'!D53,14))+'Fórmula'!G53*(INDEX(properties!A$1:CB$87,'Fórmula'!F53,14))+'Fórmula'!I53*(INDEX(properties!A$1:CB$87,'Fórmula'!H53,14))+'Fórmula'!K53*(INDEX(properties!A$1:CB$87,'Fórmula'!J53,14))</f>
        <v>35</v>
      </c>
      <c r="BF53" s="110">
        <f t="array" ref="BF53">VARP(IF(INDEX(properties!A$1:CB$87,'Fórmula'!B53,14)&lt;&gt;"",INDEX(properties!A$1:CB$87,'Fórmula'!B53,14)),IF(INDEX(properties!A$1:CB$87,'Fórmula'!D53,14)&lt;&gt;"",INDEX(properties!A$1:CB$87,'Fórmula'!D53,14)),IF(INDEX(properties!A$1:CB$87,'Fórmula'!F53,14)&lt;&gt;"",INDEX(properties!A$1:CB$87,'Fórmula'!F53,14)),IF(INDEX(properties!A$1:CB$87,'Fórmula'!H53,14)&lt;&gt;"",INDEX(properties!A$1:CB$87,'Fórmula'!H53,14)),IF(INDEX(properties!A$1:CB$87,'Fórmula'!J53,14)&lt;&gt;"",INDEX(properties!A$1:CB$87,'Fórmula'!J53,14)))</f>
        <v>31.36</v>
      </c>
      <c r="BG53" s="110">
        <f t="array" ref="BG53">MAX(INDEX(properties!A$1:CB$87,'Fórmula'!B53,14),INDEX(properties!A$1:CB$87,'Fórmula'!D53,14),INDEX(properties!A$1:CB$87,'Fórmula'!F53,14),INDEX(properties!A$1:CB$87,'Fórmula'!H53,14),INDEX(properties!A$1:CB$87,'Fórmula'!J53,14))</f>
        <v>14</v>
      </c>
      <c r="BH53" s="110">
        <f t="array" ref="BH53">MIN(IF('Fórmula'!B53=87,10^6,INDEX(properties!A$1:CB$87,'Fórmula'!B53,14)),IF(('Fórmula'!D53)=87,10^6,INDEX(properties!A$1:CB$87,'Fórmula'!D53,14)),IF(('Fórmula'!F53)=87,10^6,INDEX(properties!A$1:CB$87,'Fórmula'!F53,14)),IF(('Fórmula'!H53)=87,10^6,INDEX(properties!A$1:CB$87,'Fórmula'!H53,14)),IF('Fórmula'!J53=87,10^6,INDEX(properties!A$1:CB$87,'Fórmula'!J53,14)))</f>
        <v>0</v>
      </c>
      <c r="BI53" s="110">
        <f t="shared" si="10"/>
        <v>14</v>
      </c>
      <c r="BJ53" s="111">
        <f t="array" ref="BJ53">(('Fórmula'!C53)/('Fórmula'!C53+'Fórmula'!E53+'Fórmula'!G53+'Fórmula'!I53+'Fórmula'!K53))*(INDEX(properties!A$1:CB$87,'Fórmula'!B53,19))+(('Fórmula'!E53)/('Fórmula'!C53+'Fórmula'!E53+'Fórmula'!G53+'Fórmula'!I53+'Fórmula'!K53))*(INDEX(properties!A$1:CB$87,'Fórmula'!D53,19))+(('Fórmula'!G53)/('Fórmula'!C53+'Fórmula'!E53+'Fórmula'!G53+'Fórmula'!I53+'Fórmula'!K53))*(INDEX(properties!A$1:CB$87,'Fórmula'!F53,19))+(('Fórmula'!I53)/('Fórmula'!C53+'Fórmula'!E53+'Fórmula'!G53+'Fórmula'!I53+'Fórmula'!K53))*(INDEX(properties!A$1:CB$87,'Fórmula'!H53,19))+(('Fórmula'!K53)/('Fórmula'!C53+'Fórmula'!E53+'Fórmula'!G53+'Fórmula'!I53+'Fórmula'!K53))*(INDEX(properties!A$1:CB$87,'Fórmula'!J53,19))</f>
        <v>8.25</v>
      </c>
      <c r="BK53" s="111">
        <f t="array" ref="BK53">'Fórmula'!C53*(INDEX(properties!A$1:CB$87,'Fórmula'!B53,19))+'Fórmula'!E53*(INDEX(properties!A$1:CB$87,'Fórmula'!D53,19))+'Fórmula'!G53*(INDEX(properties!A$1:CB$87,'Fórmula'!F53,19))+'Fórmula'!I53*(INDEX(properties!A$1:CB$87,'Fórmula'!H53,19))+'Fórmula'!K53*(INDEX(properties!A$1:CB$87,'Fórmula'!J53,19))</f>
        <v>99</v>
      </c>
      <c r="BL53" s="111">
        <f t="array" ref="BL53">VARP(IF(INDEX(properties!A$1:CB$87,'Fórmula'!B53,19)&lt;&gt;"",INDEX(properties!A$1:CB$87,'Fórmula'!B53,19)),IF(INDEX(properties!A$1:CB$87,'Fórmula'!D53,19)&lt;&gt;"",INDEX(properties!A$1:CB$87,'Fórmula'!D53,19)),IF(INDEX(properties!A$1:CB$87,'Fórmula'!F53,19)&lt;&gt;"",INDEX(properties!A$1:CB$87,'Fórmula'!F53,19)),IF(INDEX(properties!A$1:CB$87,'Fórmula'!H53,19)&lt;&gt;"",INDEX(properties!A$1:CB$87,'Fórmula'!H53,19)),IF(INDEX(properties!A$1:CB$87,'Fórmula'!J53,19)&lt;&gt;"",INDEX(properties!A$1:CB$87,'Fórmula'!J53,19)))</f>
        <v>52.64</v>
      </c>
      <c r="BM53" s="111">
        <f t="array" ref="BM53">MAX(INDEX(properties!A$1:CB$87,'Fórmula'!B53,19),INDEX(properties!A$1:CB$87,'Fórmula'!D53,19),INDEX(properties!A$1:CB$87,'Fórmula'!F53,19),INDEX(properties!A$1:CB$87,'Fórmula'!H53,19),INDEX(properties!A$1:CB$87,'Fórmula'!J53,19))</f>
        <v>20</v>
      </c>
      <c r="BN53" s="111">
        <f t="array" ref="BN53">MIN(IF(INDEX(properties!A$1:CB$87,'Fórmula'!B53,19)=0,10^6,INDEX(properties!A$1:CB$87,'Fórmula'!B53,19)),IF(INDEX(properties!A$1:CB$87,'Fórmula'!D53,19)=0,10^6,INDEX(properties!A$1:CB$87,'Fórmula'!D53,19)),IF(INDEX(properties!A$1:CB$87,'Fórmula'!F53,19)=0,10^6,INDEX(properties!A$1:CB$87,'Fórmula'!F53,19)),IF(INDEX(properties!A$1:CB$87,'Fórmula'!H53,19)=0,10^6,INDEX(properties!A$1:CB$87,'Fórmula'!H53,19)),IF(INDEX(properties!A$1:CB$87,'Fórmula'!J53,19)=0,10^6,INDEX(properties!A$1:CB$87,'Fórmula'!J53,19)))</f>
        <v>1</v>
      </c>
      <c r="BO53" s="111">
        <f t="shared" si="11"/>
        <v>19</v>
      </c>
      <c r="BP53" s="112">
        <f t="array" ref="BP53">(('Fórmula'!C53)/('Fórmula'!C53+'Fórmula'!E53+'Fórmula'!G53+'Fórmula'!I53+'Fórmula'!K53))*(INDEX(properties!A$1:CB$87,'Fórmula'!B53,20))+(('Fórmula'!E53)/('Fórmula'!C53+'Fórmula'!E53+'Fórmula'!G53+'Fórmula'!I53+'Fórmula'!K53))*(INDEX(properties!A$1:CB$87,'Fórmula'!D53,20))+(('Fórmula'!G53)/('Fórmula'!C53+'Fórmula'!E53+'Fórmula'!G53+'Fórmula'!I53+'Fórmula'!K53))*(INDEX(properties!A$1:CB$87,'Fórmula'!F53,20))+(('Fórmula'!I53)/('Fórmula'!C53+'Fórmula'!E53+'Fórmula'!G53+'Fórmula'!I53+'Fórmula'!K53))*(INDEX(properties!A$1:CB$87,'Fórmula'!H53,20))+(('Fórmula'!K53)/('Fórmula'!C53+'Fórmula'!E53+'Fórmula'!G53+'Fórmula'!I53+'Fórmula'!K53))*(INDEX(properties!A$1:CB$87,'Fórmula'!J53,20))</f>
        <v>4.583333333</v>
      </c>
      <c r="BQ53" s="112">
        <f t="array" ref="BQ53">'Fórmula'!C53*(INDEX(properties!A$1:CB$87,'Fórmula'!B53,20))+'Fórmula'!E53*(INDEX(properties!A$1:CB$87,'Fórmula'!D53,20))+'Fórmula'!G53*(INDEX(properties!A$1:CB$87,'Fórmula'!F53,20))+'Fórmula'!I53*(INDEX(properties!A$1:CB$87,'Fórmula'!H53,20))+'Fórmula'!K53*(INDEX(properties!A$1:CB$87,'Fórmula'!J53,20))</f>
        <v>55</v>
      </c>
      <c r="BR53" s="112">
        <f t="array" ref="BR53">VARP(IF(INDEX(properties!A$1:CB$87,'Fórmula'!B53,20)&lt;&gt;"",INDEX(properties!A$1:CB$87,'Fórmula'!B53,20)),IF(INDEX(properties!A$1:CB$87,'Fórmula'!D53,20)&lt;&gt;"",INDEX(properties!A$1:CB$87,'Fórmula'!D53,20)),IF(INDEX(properties!A$1:CB$87,'Fórmula'!F53,20)&lt;&gt;"",INDEX(properties!A$1:CB$87,'Fórmula'!F53,20)),IF(INDEX(properties!A$1:CB$87,'Fórmula'!H53,20)&lt;&gt;"",INDEX(properties!A$1:CB$87,'Fórmula'!H53,20)),IF(INDEX(properties!A$1:CB$87,'Fórmula'!J53,20)&lt;&gt;"",INDEX(properties!A$1:CB$87,'Fórmula'!J53,20)))</f>
        <v>4.16</v>
      </c>
      <c r="BS53" s="112">
        <f t="array" ref="BS53">MAX(INDEX(properties!A$1:CB$87,'Fórmula'!B53,20),INDEX(properties!A$1:CB$87,'Fórmula'!D53,20),INDEX(properties!A$1:CB$87,'Fórmula'!F53,20),INDEX(properties!A$1:CB$87,'Fórmula'!H53,20),INDEX(properties!A$1:CB$87,'Fórmula'!J53,20))</f>
        <v>6</v>
      </c>
      <c r="BT53" s="112">
        <f t="array" ref="BT53">MIN(IF(INDEX(properties!A$1:CB$87,'Fórmula'!B53,20)=0,10^6,INDEX(properties!A$1:CB$87,'Fórmula'!B53,20)),IF(INDEX(properties!A$1:CB$87,'Fórmula'!D53,20)=0,10^6,INDEX(properties!A$1:CB$87,'Fórmula'!D53,20)),IF(INDEX(properties!A$1:CB$87,'Fórmula'!F53,20)=0,10^6,INDEX(properties!A$1:CB$87,'Fórmula'!F53,20)),IF(INDEX(properties!A$1:CB$87,'Fórmula'!H53,20)=0,10^6,INDEX(properties!A$1:CB$87,'Fórmula'!H53,20)),IF(INDEX(properties!A$1:CB$87,'Fórmula'!J53,20)=0,10^6,INDEX(properties!A$1:CB$87,'Fórmula'!J53,20)))</f>
        <v>1</v>
      </c>
      <c r="BU53" s="112">
        <f t="shared" si="12"/>
        <v>5</v>
      </c>
      <c r="BV53" s="113">
        <f t="array" ref="BV53">(('Fórmula'!C53)/('Fórmula'!C53+'Fórmula'!E53+'Fórmula'!G53+'Fórmula'!I53+'Fórmula'!K53))*(INDEX(properties!A$1:CB$87,'Fórmula'!B53,21))+(('Fórmula'!E53)/('Fórmula'!C53+'Fórmula'!E53+'Fórmula'!G53+'Fórmula'!I53+'Fórmula'!K53))*(INDEX(properties!A$1:CB$87,'Fórmula'!D53,21))+(('Fórmula'!G53)/('Fórmula'!C53+'Fórmula'!E53+'Fórmula'!G53+'Fórmula'!I53+'Fórmula'!K53))*(INDEX(properties!A$1:CB$87,'Fórmula'!F53,21))+(('Fórmula'!I53)/('Fórmula'!C53+'Fórmula'!E53+'Fórmula'!G53+'Fórmula'!I53+'Fórmula'!K53))*(INDEX(properties!A$1:CB$87,'Fórmula'!H53,21))+(('Fórmula'!K53)/('Fórmula'!C53+'Fórmula'!E53+'Fórmula'!G53+'Fórmula'!I53+'Fórmula'!K53))*(INDEX(properties!A$1:CB$87,'Fórmula'!J53,21))</f>
        <v>5</v>
      </c>
      <c r="BW53" s="113">
        <f t="array" ref="BW53">'Fórmula'!C53*(INDEX(properties!A$1:CB$87,'Fórmula'!B53,21))+'Fórmula'!E53*(INDEX(properties!A$1:CB$87,'Fórmula'!D53,21))+'Fórmula'!G53*(INDEX(properties!A$1:CB$87,'Fórmula'!F53,21))+'Fórmula'!I53*(INDEX(properties!A$1:CB$87,'Fórmula'!H53,21))+'Fórmula'!K53*(INDEX(properties!A$1:CB$87,'Fórmula'!J53,21))</f>
        <v>60</v>
      </c>
      <c r="BX53" s="113">
        <f t="array" ref="BX53">VARP(IF(INDEX(properties!A$1:CB$87,'Fórmula'!B53,21)&lt;&gt;"",INDEX(properties!A$1:CB$87,'Fórmula'!B53,21)),IF(INDEX(properties!A$1:CB$87,'Fórmula'!D53,21)&lt;&gt;"",INDEX(properties!A$1:CB$87,'Fórmula'!D53,21)),IF(INDEX(properties!A$1:CB$87,'Fórmula'!F53,21)&lt;&gt;"",INDEX(properties!A$1:CB$87,'Fórmula'!F53,21)),IF(INDEX(properties!A$1:CB$87,'Fórmula'!H53,21)&lt;&gt;"",INDEX(properties!A$1:CB$87,'Fórmula'!H53,21)),IF(INDEX(properties!A$1:CB$87,'Fórmula'!J53,21)&lt;&gt;"",INDEX(properties!A$1:CB$87,'Fórmula'!J53,21)))</f>
        <v>4.56</v>
      </c>
      <c r="BY53" s="113">
        <f t="array" ref="BY53">MAX(INDEX(properties!A$1:CB$87,'Fórmula'!B53,21),INDEX(properties!A$1:CB$87,'Fórmula'!D53,21),INDEX(properties!A$1:CB$87,'Fórmula'!F53,21),INDEX(properties!A$1:CB$87,'Fórmula'!H53,21),INDEX(properties!A$1:CB$87,'Fórmula'!J53,21))</f>
        <v>6</v>
      </c>
      <c r="BZ53" s="113">
        <f t="array" ref="BZ53">MIN(IF(INDEX(properties!A$1:CB$87,'Fórmula'!B53,21)=0,10^6,INDEX(properties!A$1:CB$87,'Fórmula'!B53,21)),IF(INDEX(properties!A$1:CB$87,'Fórmula'!D53,21)=0,10^6,INDEX(properties!A$1:CB$87,'Fórmula'!D53,21)),IF(INDEX(properties!A$1:CB$87,'Fórmula'!F53,21)=0,10^6,INDEX(properties!A$1:CB$87,'Fórmula'!F53,21)),IF(INDEX(properties!A$1:CB$87,'Fórmula'!H53,21)=0,10^6,INDEX(properties!A$1:CB$87,'Fórmula'!H53,21)),IF(INDEX(properties!A$1:CB$87,'Fórmula'!J53,21)=0,10^6,INDEX(properties!A$1:CB$87,'Fórmula'!J53,21)))</f>
        <v>1</v>
      </c>
      <c r="CA53" s="113">
        <f t="shared" si="13"/>
        <v>5</v>
      </c>
      <c r="CB53" s="114">
        <f t="array" ref="CB53">(('Fórmula'!C53)/('Fórmula'!C53+'Fórmula'!E53+'Fórmula'!G53+'Fórmula'!I53+'Fórmula'!K53))*(INDEX(properties!A$1:CB$87,'Fórmula'!B53,23))+(('Fórmula'!E53)/('Fórmula'!C53+'Fórmula'!E53+'Fórmula'!G53+'Fórmula'!I53+'Fórmula'!K53))*(INDEX(properties!A$1:CB$87,'Fórmula'!D53,23))+(('Fórmula'!G53)/('Fórmula'!C53+'Fórmula'!E53+'Fórmula'!G53+'Fórmula'!I53+'Fórmula'!K53))*(INDEX(properties!A$1:CB$87,'Fórmula'!F53,23))+(('Fórmula'!I53)/('Fórmula'!C53+'Fórmula'!E53+'Fórmula'!G53+'Fórmula'!I53+'Fórmula'!K53))*(INDEX(properties!A$1:CB$87,'Fórmula'!H53,23))+(('Fórmula'!K53)/('Fórmula'!C53+'Fórmula'!E53+'Fórmula'!G53+'Fórmula'!I53+'Fórmula'!K53))*(INDEX(properties!A$1:CB$87,'Fórmula'!J53,23))</f>
        <v>1.296666667</v>
      </c>
      <c r="CC53" s="114">
        <f t="array" ref="CC53">'Fórmula'!C53*(INDEX(properties!A$1:CB$87,'Fórmula'!B53,23))+'Fórmula'!E53*(INDEX(properties!A$1:CB$87,'Fórmula'!D53,23))+'Fórmula'!G53*(INDEX(properties!A$1:CB$87,'Fórmula'!F53,23))+'Fórmula'!I53*(INDEX(properties!A$1:CB$87,'Fórmula'!H53,23))+'Fórmula'!K53*(INDEX(properties!A$1:CB$87,'Fórmula'!J53,23))</f>
        <v>15.56</v>
      </c>
      <c r="CD53" s="114">
        <f t="array" ref="CD53">VARP(IF(INDEX(properties!A$1:CB$87,'Fórmula'!B53,23)&lt;&gt;"",INDEX(properties!A$1:CB$87,'Fórmula'!B53,23)),IF(INDEX(properties!A$1:CB$87,'Fórmula'!D53,23)&lt;&gt;"",INDEX(properties!A$1:CB$87,'Fórmula'!D53,23)),IF(INDEX(properties!A$1:CB$87,'Fórmula'!F53,23)&lt;&gt;"",INDEX(properties!A$1:CB$87,'Fórmula'!F53,23)),IF(INDEX(properties!A$1:CB$87,'Fórmula'!H53,23)&lt;&gt;"",INDEX(properties!A$1:CB$87,'Fórmula'!H53,23)),IF(INDEX(properties!A$1:CB$87,'Fórmula'!J53,23)&lt;&gt;"",INDEX(properties!A$1:CB$87,'Fórmula'!J53,23)))</f>
        <v>4.855744</v>
      </c>
      <c r="CE53" s="114">
        <f t="array" ref="CE53">MAX(INDEX(properties!A$1:CB$87,'Fórmula'!B53,23),INDEX(properties!A$1:CB$87,'Fórmula'!D53,23),INDEX(properties!A$1:CB$87,'Fórmula'!F53,23),INDEX(properties!A$1:CB$87,'Fórmula'!H53,23),INDEX(properties!A$1:CB$87,'Fórmula'!J53,23))</f>
        <v>5.78</v>
      </c>
      <c r="CF53" s="114">
        <f t="array" ref="CF53">MIN(IF('Fórmula'!B53=87,10^6,INDEX(properties!A$1:CB$87,'Fórmula'!B53,23)),IF(('Fórmula'!D53)=87,10^6,INDEX(properties!A$1:CB$87,'Fórmula'!D53,23)),IF(('Fórmula'!F53)=87,10^6,INDEX(properties!A$1:CB$87,'Fórmula'!F53,23)),IF(('Fórmula'!H53)=87,10^6,INDEX(properties!A$1:CB$87,'Fórmula'!H53,23)),IF('Fórmula'!J53=87,10^6,INDEX(properties!A$1:CB$87,'Fórmula'!J53,23)))</f>
        <v>0</v>
      </c>
      <c r="CG53" s="114">
        <f t="shared" si="14"/>
        <v>5.78</v>
      </c>
      <c r="CH53" s="115">
        <f t="array" ref="CH53">(('Fórmula'!C53)/('Fórmula'!C53+'Fórmula'!E53+'Fórmula'!G53+'Fórmula'!I53+'Fórmula'!K53))*(INDEX(properties!A$1:CB$87,'Fórmula'!B53,26))+(('Fórmula'!E53)/('Fórmula'!C53+'Fórmula'!E53+'Fórmula'!G53+'Fórmula'!I53+'Fórmula'!K53))*(INDEX(properties!A$1:CB$87,'Fórmula'!D53,26))+(('Fórmula'!G53)/('Fórmula'!C53+'Fórmula'!E53+'Fórmula'!G53+'Fórmula'!I53+'Fórmula'!K53))*(INDEX(properties!A$1:CB$87,'Fórmula'!F53,26))+(('Fórmula'!I53)/('Fórmula'!C53+'Fórmula'!E53+'Fórmula'!G53+'Fórmula'!I53+'Fórmula'!K53))*(INDEX(properties!A$1:CB$87,'Fórmula'!H53,26))+(('Fórmula'!K53)/('Fórmula'!C53+'Fórmula'!E53+'Fórmula'!G53+'Fórmula'!I53+'Fórmula'!K53))*(INDEX(properties!A$1:CB$87,'Fórmula'!J53,26))</f>
        <v>11.33014167</v>
      </c>
      <c r="CI53" s="115">
        <f t="array" ref="CI53">'Fórmula'!C53*(INDEX(properties!A$1:CB$87,'Fórmula'!B53,26))+'Fórmula'!E53*(INDEX(properties!A$1:CB$87,'Fórmula'!D53,26))+'Fórmula'!G53*(INDEX(properties!A$1:CB$87,'Fórmula'!F53,26))+'Fórmula'!I53*(INDEX(properties!A$1:CB$87,'Fórmula'!H53,26))+'Fórmula'!K53*(INDEX(properties!A$1:CB$87,'Fórmula'!J53,26))</f>
        <v>135.9617</v>
      </c>
      <c r="CJ53" s="115">
        <f t="array" ref="CJ53">VARP(IF(INDEX(properties!A$1:CB$87,'Fórmula'!B53,26)&lt;&gt;"",INDEX(properties!A$1:CB$87,'Fórmula'!B53,26)),IF(INDEX(properties!A$1:CB$87,'Fórmula'!D53,26)&lt;&gt;"",INDEX(properties!A$1:CB$87,'Fórmula'!D53,26)),IF(INDEX(properties!A$1:CB$87,'Fórmula'!F53,26)&lt;&gt;"",INDEX(properties!A$1:CB$87,'Fórmula'!F53,26)),IF(INDEX(properties!A$1:CB$87,'Fórmula'!H53,26)&lt;&gt;"",INDEX(properties!A$1:CB$87,'Fórmula'!H53,26)),IF(INDEX(properties!A$1:CB$87,'Fórmula'!J53,26)&lt;&gt;"",INDEX(properties!A$1:CB$87,'Fórmula'!J53,26)))</f>
        <v>19.34756885</v>
      </c>
      <c r="CK53" s="116">
        <f t="array" ref="CK53">MAX(INDEX(properties!A$1:CB$87,'Fórmula'!B53,26),INDEX(properties!A$1:CB$87,'Fórmula'!D53,26),INDEX(properties!A$1:CB$87,'Fórmula'!F53,26),INDEX(properties!A$1:CB$87,'Fórmula'!H53,26),INDEX(properties!A$1:CB$87,'Fórmula'!J53,26))</f>
        <v>13.6181</v>
      </c>
      <c r="CL53" s="116">
        <f t="array" ref="CL53">MIN(IF(INDEX(properties!A$1:CB$87,'Fórmula'!B53,26)=0,10^6,INDEX(properties!A$1:CB$87,'Fórmula'!B53,26)),IF(INDEX(properties!A$1:CB$87,'Fórmula'!D53,26)=0,10^6,INDEX(properties!A$1:CB$87,'Fórmula'!D53,26)),IF(INDEX(properties!A$1:CB$87,'Fórmula'!F53,26)=0,10^6,INDEX(properties!A$1:CB$87,'Fórmula'!F53,26)),IF(INDEX(properties!A$1:CB$87,'Fórmula'!H53,26)=0,10^6,INDEX(properties!A$1:CB$87,'Fórmula'!H53,26)),IF(INDEX(properties!A$1:CB$87,'Fórmula'!J53,26)=0,10^6,INDEX(properties!A$1:CB$87,'Fórmula'!J53,26)))</f>
        <v>5.1391</v>
      </c>
      <c r="CM53" s="115">
        <f t="shared" si="15"/>
        <v>8.479</v>
      </c>
      <c r="CN53" s="117">
        <f t="array" ref="CN53">(('Fórmula'!C53)/('Fórmula'!C53+'Fórmula'!E53+'Fórmula'!G53+'Fórmula'!I53+'Fórmula'!K53))*(INDEX(properties!A$1:CB$87,'Fórmula'!B53,30))+(('Fórmula'!E53)/('Fórmula'!C53+'Fórmula'!E53+'Fórmula'!G53+'Fórmula'!I53+'Fórmula'!K53))*(INDEX(properties!A$1:CB$87,'Fórmula'!D53,30))+(('Fórmula'!G53)/('Fórmula'!C53+'Fórmula'!E53+'Fórmula'!G53+'Fórmula'!I53+'Fórmula'!K53))*(INDEX(properties!A$1:CB$87,'Fórmula'!F53,30))+(('Fórmula'!I53)/('Fórmula'!C53+'Fórmula'!E53+'Fórmula'!G53+'Fórmula'!I53+'Fórmula'!K53))*(INDEX(properties!A$1:CB$87,'Fórmula'!H53,30))+(('Fórmula'!K53)/('Fórmula'!C53+'Fórmula'!E53+'Fórmula'!G53+'Fórmula'!I53+'Fórmula'!K53))*(INDEX(properties!A$1:CB$87,'Fórmula'!J53,30))</f>
        <v>2.864166667</v>
      </c>
      <c r="CO53" s="117">
        <f t="array" ref="CO53">'Fórmula'!C53*(INDEX(properties!A$1:CB$87,'Fórmula'!B53,30))+'Fórmula'!E53*(INDEX(properties!A$1:CB$87,'Fórmula'!D53,30))+'Fórmula'!G53*(INDEX(properties!A$1:CB$87,'Fórmula'!F53,30))+'Fórmula'!I53*(INDEX(properties!A$1:CB$87,'Fórmula'!H53,30))+'Fórmula'!K53*(INDEX(properties!A$1:CB$87,'Fórmula'!J53,30))</f>
        <v>34.37</v>
      </c>
      <c r="CP53" s="117">
        <f t="array" ref="CP53">VARP(IF(INDEX(properties!A$1:CB$87,'Fórmula'!B53,30)&lt;&gt;"",INDEX(properties!A$1:CB$87,'Fórmula'!B53,30)),IF(INDEX(properties!A$1:CB$87,'Fórmula'!D53,30)&lt;&gt;"",INDEX(properties!A$1:CB$87,'Fórmula'!D53,30)),IF(INDEX(properties!A$1:CB$87,'Fórmula'!F53,30)&lt;&gt;"",INDEX(properties!A$1:CB$87,'Fórmula'!F53,30)),IF(INDEX(properties!A$1:CB$87,'Fórmula'!H53,30)&lt;&gt;"",INDEX(properties!A$1:CB$87,'Fórmula'!H53,30)),IF(INDEX(properties!A$1:CB$87,'Fórmula'!J53,30)&lt;&gt;"",INDEX(properties!A$1:CB$87,'Fórmula'!J53,30)))</f>
        <v>1.426224</v>
      </c>
      <c r="CQ53" s="117">
        <f t="array" ref="CQ53">MAX(INDEX(properties!A$1:CB$87,'Fórmula'!B53,30),INDEX(properties!A$1:CB$87,'Fórmula'!D53,30),INDEX(properties!A$1:CB$87,'Fórmula'!F53,30),INDEX(properties!A$1:CB$87,'Fórmula'!H53,30),INDEX(properties!A$1:CB$87,'Fórmula'!J53,30))</f>
        <v>3.44</v>
      </c>
      <c r="CR53" s="117">
        <f t="array" ref="CR53">MIN(IF(INDEX(properties!A$1:CB$87,'Fórmula'!B53,30)=0,10^6,INDEX(properties!A$1:CB$87,'Fórmula'!B53,30)),IF(INDEX(properties!A$1:CB$87,'Fórmula'!D53,30)=0,10^6,INDEX(properties!A$1:CB$87,'Fórmula'!D53,30)),IF(INDEX(properties!A$1:CB$87,'Fórmula'!F53,30)=0,10^6,INDEX(properties!A$1:CB$87,'Fórmula'!F53,30)),IF(INDEX(properties!A$1:CB$87,'Fórmula'!H53,30)=0,10^6,INDEX(properties!A$1:CB$87,'Fórmula'!H53,30)),IF(INDEX(properties!A$1:CB$87,'Fórmula'!J53,30)=0,10^6,INDEX(properties!A$1:CB$87,'Fórmula'!J53,30)))</f>
        <v>0.93</v>
      </c>
      <c r="CS53" s="117">
        <f t="shared" si="16"/>
        <v>2.51</v>
      </c>
      <c r="CT53" s="118">
        <f t="array" ref="CT53">(('Fórmula'!C53)/('Fórmula'!C53+'Fórmula'!E53+'Fórmula'!G53+'Fórmula'!I53+'Fórmula'!K53))*(INDEX(properties!A$1:CB$87,'Fórmula'!B53,31))+(('Fórmula'!E53)/('Fórmula'!C53+'Fórmula'!E53+'Fórmula'!G53+'Fórmula'!I53+'Fórmula'!K53))*(INDEX(properties!A$1:CB$87,'Fórmula'!D53,31))+(('Fórmula'!G53)/('Fórmula'!C53+'Fórmula'!E53+'Fórmula'!G53+'Fórmula'!I53+'Fórmula'!K53))*(INDEX(properties!A$1:CB$87,'Fórmula'!F53,31))+(('Fórmula'!I53)/('Fórmula'!C53+'Fórmula'!E53+'Fórmula'!G53+'Fórmula'!I53+'Fórmula'!K53))*(INDEX(properties!A$1:CB$87,'Fórmula'!H53,31))+(('Fórmula'!K53)/('Fórmula'!C53+'Fórmula'!E53+'Fórmula'!G53+'Fórmula'!I53+'Fórmula'!K53))*(INDEX(properties!A$1:CB$87,'Fórmula'!J53,31))</f>
        <v>2.6775</v>
      </c>
      <c r="CU53" s="118">
        <f t="array" ref="CU53">'Fórmula'!C53*(INDEX(properties!A$1:CB$87,'Fórmula'!B53,31))+'Fórmula'!E53*(INDEX(properties!A$1:CB$87,'Fórmula'!D53,31))+'Fórmula'!G53*(INDEX(properties!A$1:CB$87,'Fórmula'!F53,31))+'Fórmula'!I53*(INDEX(properties!A$1:CB$87,'Fórmula'!H53,31))+'Fórmula'!K53*(INDEX(properties!A$1:CB$87,'Fórmula'!J53,31))</f>
        <v>32.13</v>
      </c>
      <c r="CV53" s="118">
        <f t="array" ref="CV53">VARP(IF(INDEX(properties!A$1:CB$87,'Fórmula'!B53,31)&lt;&gt;"",INDEX(properties!A$1:CB$87,'Fórmula'!B53,31)),IF(INDEX(properties!A$1:CB$87,'Fórmula'!D53,31)&lt;&gt;"",INDEX(properties!A$1:CB$87,'Fórmula'!D53,31)),IF(INDEX(properties!A$1:CB$87,'Fórmula'!F53,31)&lt;&gt;"",INDEX(properties!A$1:CB$87,'Fórmula'!F53,31)),IF(INDEX(properties!A$1:CB$87,'Fórmula'!H53,31)&lt;&gt;"",INDEX(properties!A$1:CB$87,'Fórmula'!H53,31)),IF(INDEX(properties!A$1:CB$87,'Fórmula'!J53,31)&lt;&gt;"",INDEX(properties!A$1:CB$87,'Fórmula'!J53,31)))</f>
        <v>1.22932</v>
      </c>
      <c r="CW53" s="118">
        <f t="array" ref="CW53">MAX(INDEX(properties!A$1:CB$87,'Fórmula'!B53,31),INDEX(properties!A$1:CB$87,'Fórmula'!D53,31),INDEX(properties!A$1:CB$87,'Fórmula'!F53,31),INDEX(properties!A$1:CB$87,'Fórmula'!H53,31),INDEX(properties!A$1:CB$87,'Fórmula'!J53,31))</f>
        <v>3.32</v>
      </c>
      <c r="CX53" s="118">
        <f t="array" ref="CX53">MIN(IF(INDEX(properties!A$1:CB$87,'Fórmula'!B53,31)=0,10^6,INDEX(properties!A$1:CB$87,'Fórmula'!B53,31)),IF(INDEX(properties!A$1:CB$87,'Fórmula'!D53,31)=0,10^6,INDEX(properties!A$1:CB$87,'Fórmula'!D53,31)),IF(INDEX(properties!A$1:CB$87,'Fórmula'!F53,31)=0,10^6,INDEX(properties!A$1:CB$87,'Fórmula'!F53,31)),IF(INDEX(properties!A$1:CB$87,'Fórmula'!H53,31)=0,10^6,INDEX(properties!A$1:CB$87,'Fórmula'!H53,31)),IF(INDEX(properties!A$1:CB$87,'Fórmula'!J53,31)=0,10^6,INDEX(properties!A$1:CB$87,'Fórmula'!J53,31)))</f>
        <v>0.89</v>
      </c>
      <c r="CY53" s="118">
        <f t="shared" si="17"/>
        <v>2.43</v>
      </c>
      <c r="CZ53" s="119">
        <f t="array" ref="CZ53">(('Fórmula'!C53)/('Fórmula'!C53+'Fórmula'!E53+'Fórmula'!G53+'Fórmula'!I53+'Fórmula'!K53))*(INDEX(properties!A$1:CB$87,'Fórmula'!B53,32))+(('Fórmula'!E53)/('Fórmula'!C53+'Fórmula'!E53+'Fórmula'!G53+'Fórmula'!I53+'Fórmula'!K53))*(INDEX(properties!A$1:CB$87,'Fórmula'!D53,32))+(('Fórmula'!G53)/('Fórmula'!C53+'Fórmula'!E53+'Fórmula'!G53+'Fórmula'!I53+'Fórmula'!K53))*(INDEX(properties!A$1:CB$87,'Fórmula'!F53,32))+(('Fórmula'!I53)/('Fórmula'!C53+'Fórmula'!E53+'Fórmula'!G53+'Fórmula'!I53+'Fórmula'!K53))*(INDEX(properties!A$1:CB$87,'Fórmula'!H53,32))+(('Fórmula'!K53)/('Fórmula'!C53+'Fórmula'!E53+'Fórmula'!G53+'Fórmula'!I53+'Fórmula'!K53))*(INDEX(properties!A$1:CB$87,'Fórmula'!J53,32))</f>
        <v>6.255833333</v>
      </c>
      <c r="DA53" s="119">
        <f t="array" ref="DA53">'Fórmula'!C53*(INDEX(properties!A$1:CB$87,'Fórmula'!B53,32))+'Fórmula'!E53*(INDEX(properties!A$1:CB$87,'Fórmula'!D53,32))+'Fórmula'!G53*(INDEX(properties!A$1:CB$87,'Fórmula'!F53,32))+'Fórmula'!I53*(INDEX(properties!A$1:CB$87,'Fórmula'!H53,32))+'Fórmula'!K53*(INDEX(properties!A$1:CB$87,'Fórmula'!J53,32))</f>
        <v>75.07</v>
      </c>
      <c r="DB53" s="119">
        <f t="array" ref="DB53">VARP(IF(INDEX(properties!A$1:CB$87,'Fórmula'!B53,32)&lt;&gt;"",INDEX(properties!A$1:CB$87,'Fórmula'!B53,32)),IF(INDEX(properties!A$1:CB$87,'Fórmula'!D53,32)&lt;&gt;"",INDEX(properties!A$1:CB$87,'Fórmula'!D53,32)),IF(INDEX(properties!A$1:CB$87,'Fórmula'!F53,32)&lt;&gt;"",INDEX(properties!A$1:CB$87,'Fórmula'!F53,32)),IF(INDEX(properties!A$1:CB$87,'Fórmula'!H53,32)&lt;&gt;"",INDEX(properties!A$1:CB$87,'Fórmula'!H53,32)),IF(INDEX(properties!A$1:CB$87,'Fórmula'!J53,32)&lt;&gt;"",INDEX(properties!A$1:CB$87,'Fórmula'!J53,32)))</f>
        <v>5.986736</v>
      </c>
      <c r="DC53" s="119">
        <f t="array" ref="DC53">MAX(INDEX(properties!A$1:CB$87,'Fórmula'!B53,32),INDEX(properties!A$1:CB$87,'Fórmula'!D53,32),INDEX(properties!A$1:CB$87,'Fórmula'!F53,32),INDEX(properties!A$1:CB$87,'Fórmula'!H53,32),INDEX(properties!A$1:CB$87,'Fórmula'!J53,32))</f>
        <v>7.54</v>
      </c>
      <c r="DD53" s="119">
        <f t="array" ref="DD53">MIN(IF(INDEX(properties!A$1:CB$87,'Fórmula'!B53,32)=0,10^6,INDEX(properties!A$1:CB$87,'Fórmula'!B53,32)),IF(INDEX(properties!A$1:CB$87,'Fórmula'!D53,32)=0,10^6,INDEX(properties!A$1:CB$87,'Fórmula'!D53,32)),IF(INDEX(properties!A$1:CB$87,'Fórmula'!F53,32)=0,10^6,INDEX(properties!A$1:CB$87,'Fórmula'!F53,32)),IF(INDEX(properties!A$1:CB$87,'Fórmula'!H53,32)=0,10^6,INDEX(properties!A$1:CB$87,'Fórmula'!H53,32)),IF(INDEX(properties!A$1:CB$87,'Fórmula'!J53,32)=0,10^6,INDEX(properties!A$1:CB$87,'Fórmula'!J53,32)))</f>
        <v>2.85</v>
      </c>
      <c r="DE53" s="119">
        <f t="shared" si="18"/>
        <v>4.69</v>
      </c>
      <c r="DF53" s="104">
        <f t="array" ref="DF53">(('Fórmula'!C53)/('Fórmula'!C53+'Fórmula'!E53+'Fórmula'!G53+'Fórmula'!I53+'Fórmula'!K53))*(INDEX(properties!A$1:CB$87,'Fórmula'!B53,34))+(('Fórmula'!E53)/('Fórmula'!C53+'Fórmula'!E53+'Fórmula'!G53+'Fórmula'!I53+'Fórmula'!K53))*(INDEX(properties!A$1:CB$87,'Fórmula'!D53,34))+(('Fórmula'!G53)/('Fórmula'!C53+'Fórmula'!E53+'Fórmula'!G53+'Fórmula'!I53+'Fórmula'!K53))*(INDEX(properties!A$1:CB$87,'Fórmula'!F53,34))+(('Fórmula'!I53)/('Fórmula'!C53+'Fórmula'!E53+'Fórmula'!G53+'Fórmula'!I53+'Fórmula'!K53))*(INDEX(properties!A$1:CB$87,'Fórmula'!H53,34))+(('Fórmula'!K53)/('Fórmula'!C53+'Fórmula'!E53+'Fórmula'!G53+'Fórmula'!I53+'Fórmula'!K53))*(INDEX(properties!A$1:CB$87,'Fórmula'!J53,34))</f>
        <v>2.814916667</v>
      </c>
      <c r="DG53" s="104">
        <f t="array" ref="DG53">'Fórmula'!C53*(INDEX(properties!A$1:CB$87,'Fórmula'!B53,34))+'Fórmula'!E53*(INDEX(properties!A$1:CB$87,'Fórmula'!D53,34))+'Fórmula'!G53*(INDEX(properties!A$1:CB$87,'Fórmula'!F53,34))+'Fórmula'!I53*(INDEX(properties!A$1:CB$87,'Fórmula'!H53,34))+'Fórmula'!K53*(INDEX(properties!A$1:CB$87,'Fórmula'!J53,34))</f>
        <v>33.779</v>
      </c>
      <c r="DH53" s="104">
        <f t="array" ref="DH53">VARP(IF(INDEX(properties!A$1:CB$87,'Fórmula'!B53,34)&lt;&gt;"",INDEX(properties!A$1:CB$87,'Fórmula'!B53,34)),IF(INDEX(properties!A$1:CB$87,'Fórmula'!D53,34)&lt;&gt;"",INDEX(properties!A$1:CB$87,'Fórmula'!D53,34)),IF(INDEX(properties!A$1:CB$87,'Fórmula'!F53,34)&lt;&gt;"",INDEX(properties!A$1:CB$87,'Fórmula'!F53,34)),IF(INDEX(properties!A$1:CB$87,'Fórmula'!H53,34)&lt;&gt;"",INDEX(properties!A$1:CB$87,'Fórmula'!H53,34)),IF(INDEX(properties!A$1:CB$87,'Fórmula'!J53,34)&lt;&gt;"",INDEX(properties!A$1:CB$87,'Fórmula'!J53,34)))</f>
        <v>1.44535136</v>
      </c>
      <c r="DI53" s="104">
        <f t="array" ref="DI53">MAX(INDEX(properties!A$1:CB$87,'Fórmula'!B53,34),INDEX(properties!A$1:CB$87,'Fórmula'!D53,34),INDEX(properties!A$1:CB$87,'Fórmula'!F53,34),INDEX(properties!A$1:CB$87,'Fórmula'!H53,34),INDEX(properties!A$1:CB$87,'Fórmula'!J53,34))</f>
        <v>3.61</v>
      </c>
      <c r="DJ53" s="104">
        <f t="array" ref="DJ53">MIN(IF(INDEX(properties!A$1:CB$87,'Fórmula'!B53,34)=0,10^6,INDEX(properties!A$1:CB$87,'Fórmula'!B53,34)),IF(INDEX(properties!A$1:CB$87,'Fórmula'!D53,34)=0,10^6,INDEX(properties!A$1:CB$87,'Fórmula'!D53,34)),IF(INDEX(properties!A$1:CB$87,'Fórmula'!F53,34)=0,10^6,INDEX(properties!A$1:CB$87,'Fórmula'!F53,34)),IF(INDEX(properties!A$1:CB$87,'Fórmula'!H53,34)=0,10^6,INDEX(properties!A$1:CB$87,'Fórmula'!H53,34)),IF(INDEX(properties!A$1:CB$87,'Fórmula'!J53,34)=0,10^6,INDEX(properties!A$1:CB$87,'Fórmula'!J53,34)))</f>
        <v>0.869</v>
      </c>
      <c r="DK53" s="104">
        <f t="shared" si="19"/>
        <v>2.741</v>
      </c>
      <c r="DL53" s="105" t="str">
        <f t="array" ref="DL53">(('Fórmula'!C53)/('Fórmula'!C53+'Fórmula'!E53+'Fórmula'!G53+'Fórmula'!I53+'Fórmula'!K53))*(INDEX(properties!A$1:CB$87,'Fórmula'!B53,37))+(('Fórmula'!E53)/('Fórmula'!C53+'Fórmula'!E53+'Fórmula'!G53+'Fórmula'!I53+'Fórmula'!K53))*(INDEX(properties!A$1:CB$87,'Fórmula'!D53,37))+(('Fórmula'!G53)/('Fórmula'!C53+'Fórmula'!E53+'Fórmula'!G53+'Fórmula'!I53+'Fórmula'!K53))*(INDEX(properties!A$1:CB$87,'Fórmula'!F53,37))+(('Fórmula'!I53)/('Fórmula'!C53+'Fórmula'!E53+'Fórmula'!G53+'Fórmula'!I53+'Fórmula'!K53))*(INDEX(properties!A$1:CB$87,'Fórmula'!H53,37))+(('Fórmula'!K53)/('Fórmula'!C53+'Fórmula'!E53+'Fórmula'!G53+'Fórmula'!I53+'Fórmula'!K53))*(INDEX(properties!A$1:CB$87,'Fórmula'!J53,37))</f>
        <v>#VALUE!</v>
      </c>
      <c r="DM53" s="105" t="str">
        <f t="array" ref="DM53">'Fórmula'!C53*(INDEX(properties!A$1:CB$87,'Fórmula'!B53,37))+'Fórmula'!E53*(INDEX(properties!A$1:CB$87,'Fórmula'!D53,37))+'Fórmula'!G53*(INDEX(properties!A$1:CB$87,'Fórmula'!F53,37))+'Fórmula'!I53*(INDEX(properties!A$1:CB$87,'Fórmula'!H53,37))+'Fórmula'!K53*(INDEX(properties!A$1:CB$87,'Fórmula'!J53,37))</f>
        <v>#VALUE!</v>
      </c>
      <c r="DN53" s="105">
        <f t="array" ref="DN53">VARP(IF(INDEX(properties!A$1:CB$87,'Fórmula'!B53,37)&lt;&gt;"",INDEX(properties!A$1:CB$87,'Fórmula'!B53,37)),IF(INDEX(properties!A$1:CB$87,'Fórmula'!D53,37)&lt;&gt;"",INDEX(properties!A$1:CB$87,'Fórmula'!D53,37)),IF(INDEX(properties!A$1:CB$87,'Fórmula'!F53,37)&lt;&gt;"",INDEX(properties!A$1:CB$87,'Fórmula'!F53,37)),IF(INDEX(properties!A$1:CB$87,'Fórmula'!H53,37)&lt;&gt;"",INDEX(properties!A$1:CB$87,'Fórmula'!H53,37)),IF(INDEX(properties!A$1:CB$87,'Fórmula'!J53,37)&lt;&gt;"",INDEX(properties!A$1:CB$87,'Fórmula'!J53,37)))</f>
        <v>2.135</v>
      </c>
      <c r="DO53" s="105">
        <f t="array" ref="DO53">MAX(INDEX(properties!A$1:CB$87,'Fórmula'!B53,37),INDEX(properties!A$1:CB$87,'Fórmula'!D53,37),INDEX(properties!A$1:CB$87,'Fórmula'!F53,37),INDEX(properties!A$1:CB$87,'Fórmula'!H53,37),INDEX(properties!A$1:CB$87,'Fórmula'!J53,37))</f>
        <v>3.45</v>
      </c>
      <c r="DP53" s="105">
        <f t="array" ref="DP53">MIN(IF(INDEX(properties!A$1:CB$87,'Fórmula'!B53,37)=0,10^6,INDEX(properties!A$1:CB$87,'Fórmula'!B53,37)),IF(INDEX(properties!A$1:CB$87,'Fórmula'!D53,37)=0,10^6,INDEX(properties!A$1:CB$87,'Fórmula'!D53,37)),IF(INDEX(properties!A$1:CB$87,'Fórmula'!F53,37)=0,10^6,INDEX(properties!A$1:CB$87,'Fórmula'!F53,37)),IF(INDEX(properties!A$1:CB$87,'Fórmula'!H53,37)=0,10^6,INDEX(properties!A$1:CB$87,'Fórmula'!H53,37)),IF(INDEX(properties!A$1:CB$87,'Fórmula'!J53,37)=0,10^6,INDEX(properties!A$1:CB$87,'Fórmula'!J53,37)))</f>
        <v>0.9</v>
      </c>
      <c r="DQ53" s="105">
        <f t="shared" si="20"/>
        <v>2.55</v>
      </c>
      <c r="DR53" s="109">
        <f t="array" ref="DR53">(('Fórmula'!C53)/('Fórmula'!C53+'Fórmula'!E53+'Fórmula'!G53+'Fórmula'!I53+'Fórmula'!K53))*(INDEX(properties!A$1:CB$87,'Fórmula'!B53,39))+(('Fórmula'!E53)/('Fórmula'!C53+'Fórmula'!E53+'Fórmula'!G53+'Fórmula'!I53+'Fórmula'!K53))*(INDEX(properties!A$1:CB$87,'Fórmula'!D53,39))+(('Fórmula'!G53)/('Fórmula'!C53+'Fórmula'!E53+'Fórmula'!G53+'Fórmula'!I53+'Fórmula'!K53))*(INDEX(properties!A$1:CB$87,'Fórmula'!F53,39))+(('Fórmula'!I53)/('Fórmula'!C53+'Fórmula'!E53+'Fórmula'!G53+'Fórmula'!I53+'Fórmula'!K53))*(INDEX(properties!A$1:CB$87,'Fórmula'!H53,39))+(('Fórmula'!K53)/('Fórmula'!C53+'Fórmula'!E53+'Fórmula'!G53+'Fórmula'!I53+'Fórmula'!K53))*(INDEX(properties!A$1:CB$87,'Fórmula'!J53,39))</f>
        <v>0.9941666667</v>
      </c>
      <c r="DS53" s="109">
        <f t="array" ref="DS53">'Fórmula'!C53*(INDEX(properties!A$1:CB$87,'Fórmula'!B53,39))+'Fórmula'!E53*(INDEX(properties!A$1:CB$87,'Fórmula'!D53,39))+'Fórmula'!G53*(INDEX(properties!A$1:CB$87,'Fórmula'!F53,39))+'Fórmula'!I53*(INDEX(properties!A$1:CB$87,'Fórmula'!H53,39))+'Fórmula'!K53*(INDEX(properties!A$1:CB$87,'Fórmula'!J53,39))</f>
        <v>11.93</v>
      </c>
      <c r="DT53" s="109">
        <f t="array" ref="DT53">VARP(IF(INDEX(properties!A$1:CB$87,'Fórmula'!B53,39)&lt;&gt;"",INDEX(properties!A$1:CB$87,'Fórmula'!B53,39)),IF(INDEX(properties!A$1:CB$87,'Fórmula'!D53,39)&lt;&gt;"",INDEX(properties!A$1:CB$87,'Fórmula'!D53,39)),IF(INDEX(properties!A$1:CB$87,'Fórmula'!F53,39)&lt;&gt;"",INDEX(properties!A$1:CB$87,'Fórmula'!F53,39)),IF(INDEX(properties!A$1:CB$87,'Fórmula'!H53,39)&lt;&gt;"",INDEX(properties!A$1:CB$87,'Fórmula'!H53,39)),IF(INDEX(properties!A$1:CB$87,'Fórmula'!J53,39)&lt;&gt;"",INDEX(properties!A$1:CB$87,'Fórmula'!J53,39)))</f>
        <v>0.835256</v>
      </c>
      <c r="DU53" s="120">
        <f t="array" ref="DU53">MAX(INDEX(properties!A$1:CB$87,'Fórmula'!B53,39),INDEX(properties!A$1:CB$87,'Fórmula'!D53,39),INDEX(properties!A$1:CB$87,'Fórmula'!F53,39),INDEX(properties!A$1:CB$87,'Fórmula'!H53,39),INDEX(properties!A$1:CB$87,'Fórmula'!J53,39))</f>
        <v>2.33</v>
      </c>
      <c r="DV53" s="120">
        <f t="array" ref="DV53">MIN(IF(INDEX(properties!A$1:CB$87,'Fórmula'!B53,39)=0,10^6,INDEX(properties!A$1:CB$87,'Fórmula'!B53,39)),IF(INDEX(properties!A$1:CB$87,'Fórmula'!D53,39)=0,10^6,INDEX(properties!A$1:CB$87,'Fórmula'!D53,39)),IF(INDEX(properties!A$1:CB$87,'Fórmula'!F53,39)=0,10^6,INDEX(properties!A$1:CB$87,'Fórmula'!F53,39)),IF(INDEX(properties!A$1:CB$87,'Fórmula'!H53,39)=0,10^6,INDEX(properties!A$1:CB$87,'Fórmula'!H53,39)),IF(INDEX(properties!A$1:CB$87,'Fórmula'!J53,39)=0,10^6,INDEX(properties!A$1:CB$87,'Fórmula'!J53,39)))</f>
        <v>0.48</v>
      </c>
      <c r="DW53" s="109">
        <f t="shared" si="21"/>
        <v>1.85</v>
      </c>
      <c r="DX53" s="110">
        <f t="array" ref="DX53">(('Fórmula'!C53)/('Fórmula'!C53+'Fórmula'!E53+'Fórmula'!G53+'Fórmula'!I53+'Fórmula'!K53))*(INDEX(properties!A$1:CB$87,'Fórmula'!B53,40))+(('Fórmula'!E53)/('Fórmula'!C53+'Fórmula'!E53+'Fórmula'!G53+'Fórmula'!I53+'Fórmula'!K53))*(INDEX(properties!A$1:CB$87,'Fórmula'!D53,40))+(('Fórmula'!G53)/('Fórmula'!C53+'Fórmula'!E53+'Fórmula'!G53+'Fórmula'!I53+'Fórmula'!K53))*(INDEX(properties!A$1:CB$87,'Fórmula'!F53,40))+(('Fórmula'!I53)/('Fórmula'!C53+'Fórmula'!E53+'Fórmula'!G53+'Fórmula'!I53+'Fórmula'!K53))*(INDEX(properties!A$1:CB$87,'Fórmula'!H53,40))+(('Fórmula'!K53)/('Fórmula'!C53+'Fórmula'!E53+'Fórmula'!G53+'Fórmula'!I53+'Fórmula'!K53))*(INDEX(properties!A$1:CB$87,'Fórmula'!J53,40))</f>
        <v>0.9925</v>
      </c>
      <c r="DY53" s="110">
        <f t="array" ref="DY53">'Fórmula'!C53*(INDEX(properties!A$1:CB$87,'Fórmula'!B53,40))+'Fórmula'!E53*(INDEX(properties!A$1:CB$87,'Fórmula'!D53,40))+'Fórmula'!G53*(INDEX(properties!A$1:CB$87,'Fórmula'!F53,40))+'Fórmula'!I53*(INDEX(properties!A$1:CB$87,'Fórmula'!H53,40))+'Fórmula'!K53*(INDEX(properties!A$1:CB$87,'Fórmula'!J53,40))</f>
        <v>11.91</v>
      </c>
      <c r="DZ53" s="110">
        <f t="array" ref="DZ53">VARP(IF(INDEX(properties!A$1:CB$87,'Fórmula'!B53,40)&lt;&gt;"",INDEX(properties!A$1:CB$87,'Fórmula'!B53,40)),IF(INDEX(properties!A$1:CB$87,'Fórmula'!D53,40)&lt;&gt;"",INDEX(properties!A$1:CB$87,'Fórmula'!D53,40)),IF(INDEX(properties!A$1:CB$87,'Fórmula'!F53,40)&lt;&gt;"",INDEX(properties!A$1:CB$87,'Fórmula'!F53,40)),IF(INDEX(properties!A$1:CB$87,'Fórmula'!H53,40)&lt;&gt;"",INDEX(properties!A$1:CB$87,'Fórmula'!H53,40)),IF(INDEX(properties!A$1:CB$87,'Fórmula'!J53,40)&lt;&gt;"",INDEX(properties!A$1:CB$87,'Fórmula'!J53,40)))</f>
        <v>0.385016</v>
      </c>
      <c r="EA53" s="121">
        <f t="array" ref="EA53">MAX(INDEX(properties!A$1:CB$87,'Fórmula'!B53,40),INDEX(properties!A$1:CB$87,'Fórmula'!D53,40),INDEX(properties!A$1:CB$87,'Fórmula'!F53,40),INDEX(properties!A$1:CB$87,'Fórmula'!H53,40),INDEX(properties!A$1:CB$87,'Fórmula'!J53,40))</f>
        <v>1.61</v>
      </c>
      <c r="EB53" s="121">
        <f t="array" ref="EB53">MIN(IF(INDEX(properties!A$1:CB$87,'Fórmula'!B53,40)=0,10^6,INDEX(properties!A$1:CB$87,'Fórmula'!B53,40)),IF(INDEX(properties!A$1:CB$87,'Fórmula'!D53,40)=0,10^6,INDEX(properties!A$1:CB$87,'Fórmula'!D53,40)),IF(INDEX(properties!A$1:CB$87,'Fórmula'!F53,40)=0,10^6,INDEX(properties!A$1:CB$87,'Fórmula'!F53,40)),IF(INDEX(properties!A$1:CB$87,'Fórmula'!H53,40)=0,10^6,INDEX(properties!A$1:CB$87,'Fórmula'!H53,40)),IF(INDEX(properties!A$1:CB$87,'Fórmula'!J53,40)=0,10^6,INDEX(properties!A$1:CB$87,'Fórmula'!J53,40)))</f>
        <v>0.73</v>
      </c>
      <c r="EC53" s="110">
        <f t="shared" si="22"/>
        <v>0.88</v>
      </c>
      <c r="ED53" s="111">
        <f t="array" ref="ED53">(('Fórmula'!C53)/('Fórmula'!C53+'Fórmula'!E53+'Fórmula'!G53+'Fórmula'!I53+'Fórmula'!K53))*(INDEX(properties!A$1:CB$87,'Fórmula'!B53,41))+(('Fórmula'!E53)/('Fórmula'!C53+'Fórmula'!E53+'Fórmula'!G53+'Fórmula'!I53+'Fórmula'!K53))*(INDEX(properties!A$1:CB$87,'Fórmula'!D53,41))+(('Fórmula'!G53)/('Fórmula'!C53+'Fórmula'!E53+'Fórmula'!G53+'Fórmula'!I53+'Fórmula'!K53))*(INDEX(properties!A$1:CB$87,'Fórmula'!F53,41))+(('Fórmula'!I53)/('Fórmula'!C53+'Fórmula'!E53+'Fórmula'!G53+'Fórmula'!I53+'Fórmula'!K53))*(INDEX(properties!A$1:CB$87,'Fórmula'!H53,41))+(('Fórmula'!K53)/('Fórmula'!C53+'Fórmula'!E53+'Fórmula'!G53+'Fórmula'!I53+'Fórmula'!K53))*(INDEX(properties!A$1:CB$87,'Fórmula'!J53,41))</f>
        <v>1.16</v>
      </c>
      <c r="EE53" s="111">
        <f t="array" ref="EE53">'Fórmula'!C53*(INDEX(properties!A$1:CB$87,'Fórmula'!B53,41))+'Fórmula'!E53*(INDEX(properties!A$1:CB$87,'Fórmula'!D53,41))+'Fórmula'!G53*(INDEX(properties!A$1:CB$87,'Fórmula'!F53,41))+'Fórmula'!I53*(INDEX(properties!A$1:CB$87,'Fórmula'!H53,41))+'Fórmula'!K53*(INDEX(properties!A$1:CB$87,'Fórmula'!J53,41))</f>
        <v>13.92</v>
      </c>
      <c r="EF53" s="111">
        <f t="array" ref="EF53">VARP(IF(INDEX(properties!A$1:CB$87,'Fórmula'!B53,41)&lt;&gt;"",INDEX(properties!A$1:CB$87,'Fórmula'!B53,41)),IF(INDEX(properties!A$1:CB$87,'Fórmula'!D53,41)&lt;&gt;"",INDEX(properties!A$1:CB$87,'Fórmula'!D53,41)),IF(INDEX(properties!A$1:CB$87,'Fórmula'!F53,41)&lt;&gt;"",INDEX(properties!A$1:CB$87,'Fórmula'!F53,41)),IF(INDEX(properties!A$1:CB$87,'Fórmula'!H53,41)&lt;&gt;"",INDEX(properties!A$1:CB$87,'Fórmula'!H53,41)),IF(INDEX(properties!A$1:CB$87,'Fórmula'!J53,41)&lt;&gt;"",INDEX(properties!A$1:CB$87,'Fórmula'!J53,41)))</f>
        <v>0.20832</v>
      </c>
      <c r="EG53" s="122">
        <f t="array" ref="EG53">MAX(INDEX(properties!A$1:CB$87,'Fórmula'!B53,41),INDEX(properties!A$1:CB$87,'Fórmula'!D53,41),INDEX(properties!A$1:CB$87,'Fórmula'!F53,41),INDEX(properties!A$1:CB$87,'Fórmula'!H53,41),INDEX(properties!A$1:CB$87,'Fórmula'!J53,41))</f>
        <v>1.26</v>
      </c>
      <c r="EH53" s="122">
        <f t="array" ref="EH53">MIN(IF(INDEX(properties!A$1:CB$87,'Fórmula'!B53,41)=0,10^6,INDEX(properties!A$1:CB$87,'Fórmula'!B53,41)),IF(INDEX(properties!A$1:CB$87,'Fórmula'!D53,41)=0,10^6,INDEX(properties!A$1:CB$87,'Fórmula'!D53,41)),IF(INDEX(properties!A$1:CB$87,'Fórmula'!F53,41)=0,10^6,INDEX(properties!A$1:CB$87,'Fórmula'!F53,41)),IF(INDEX(properties!A$1:CB$87,'Fórmula'!H53,41)=0,10^6,INDEX(properties!A$1:CB$87,'Fórmula'!H53,41)),IF(INDEX(properties!A$1:CB$87,'Fórmula'!J53,41)=0,10^6,INDEX(properties!A$1:CB$87,'Fórmula'!J53,41)))</f>
        <v>0.8</v>
      </c>
      <c r="EI53" s="111">
        <f t="shared" si="23"/>
        <v>0.46</v>
      </c>
      <c r="EJ53" s="112">
        <f t="array" ref="EJ53">(('Fórmula'!C53)/('Fórmula'!C53+'Fórmula'!E53+'Fórmula'!G53+'Fórmula'!I53+'Fórmula'!K53))*(INDEX(properties!A$1:CB$87,'Fórmula'!B53,45))+(('Fórmula'!E53)/('Fórmula'!C53+'Fórmula'!E53+'Fórmula'!G53+'Fórmula'!I53+'Fórmula'!K53))*(INDEX(properties!A$1:CB$87,'Fórmula'!D53,45))+(('Fórmula'!G53)/('Fórmula'!C53+'Fórmula'!E53+'Fórmula'!G53+'Fórmula'!I53+'Fórmula'!K53))*(INDEX(properties!A$1:CB$87,'Fórmula'!F53,45))+(('Fórmula'!I53)/('Fórmula'!C53+'Fórmula'!E53+'Fórmula'!G53+'Fórmula'!I53+'Fórmula'!K53))*(INDEX(properties!A$1:CB$87,'Fórmula'!H53,45))+(('Fórmula'!K53)/('Fórmula'!C53+'Fórmula'!E53+'Fórmula'!G53+'Fórmula'!I53+'Fórmula'!K53))*(INDEX(properties!A$1:CB$87,'Fórmula'!J53,45))</f>
        <v>1.316666667</v>
      </c>
      <c r="EK53" s="112">
        <f t="array" ref="EK53">'Fórmula'!C53*(INDEX(properties!A$1:CB$87,'Fórmula'!B53,45))+'Fórmula'!E53*(INDEX(properties!A$1:CB$87,'Fórmula'!D53,45))+'Fórmula'!G53*(INDEX(properties!A$1:CB$87,'Fórmula'!F53,45))+'Fórmula'!I53*(INDEX(properties!A$1:CB$87,'Fórmula'!H53,45))+'Fórmula'!K53*(INDEX(properties!A$1:CB$87,'Fórmula'!J53,45))</f>
        <v>15.8</v>
      </c>
      <c r="EL53" s="112">
        <f t="array" ref="EL53">VARP(IF(INDEX(properties!A$1:CB$87,'Fórmula'!B53,45)&lt;&gt;"",INDEX(properties!A$1:CB$87,'Fórmula'!B53,45)),IF(INDEX(properties!A$1:CB$87,'Fórmula'!D53,45)&lt;&gt;"",INDEX(properties!A$1:CB$87,'Fórmula'!D53,45)),IF(INDEX(properties!A$1:CB$87,'Fórmula'!F53,45)&lt;&gt;"",INDEX(properties!A$1:CB$87,'Fórmula'!F53,45)),IF(INDEX(properties!A$1:CB$87,'Fórmula'!H53,45)&lt;&gt;"",INDEX(properties!A$1:CB$87,'Fórmula'!H53,45)),IF(INDEX(properties!A$1:CB$87,'Fórmula'!J53,45)&lt;&gt;"",INDEX(properties!A$1:CB$87,'Fórmula'!J53,45)))</f>
        <v>2.189704</v>
      </c>
      <c r="EM53" s="123">
        <f t="array" ref="EM53">MAX(INDEX(properties!A$1:CB$87,'Fórmula'!B53,45),INDEX(properties!A$1:CB$87,'Fórmula'!D53,45),INDEX(properties!A$1:CB$87,'Fórmula'!F53,45),INDEX(properties!A$1:CB$87,'Fórmula'!H53,45),INDEX(properties!A$1:CB$87,'Fórmula'!J53,45))</f>
        <v>3.91</v>
      </c>
      <c r="EN53" s="123">
        <f t="array" ref="EN53">MIN(IF(INDEX(properties!A$1:CB$87,'Fórmula'!B53,45)=0,10^6,INDEX(properties!A$1:CB$87,'Fórmula'!B53,45)),IF(INDEX(properties!A$1:CB$87,'Fórmula'!D53,45)=0,10^6,INDEX(properties!A$1:CB$87,'Fórmula'!D53,45)),IF(INDEX(properties!A$1:CB$87,'Fórmula'!F53,45)=0,10^6,INDEX(properties!A$1:CB$87,'Fórmula'!F53,45)),IF(INDEX(properties!A$1:CB$87,'Fórmula'!H53,45)=0,10^6,INDEX(properties!A$1:CB$87,'Fórmula'!H53,45)),IF(INDEX(properties!A$1:CB$87,'Fórmula'!J53,45)=0,10^6,INDEX(properties!A$1:CB$87,'Fórmula'!J53,45)))</f>
        <v>0.47</v>
      </c>
      <c r="EO53" s="112">
        <f t="shared" si="24"/>
        <v>3.44</v>
      </c>
      <c r="EP53" s="113">
        <f t="array" ref="EP53">(('Fórmula'!C53)/('Fórmula'!C53+'Fórmula'!E53+'Fórmula'!G53+'Fórmula'!I53+'Fórmula'!K53))*(INDEX(properties!A$1:CB$87,'Fórmula'!B53,46))+(('Fórmula'!E53)/('Fórmula'!C53+'Fórmula'!E53+'Fórmula'!G53+'Fórmula'!I53+'Fórmula'!K53))*(INDEX(properties!A$1:CB$87,'Fórmula'!D53,46))+(('Fórmula'!G53)/('Fórmula'!C53+'Fórmula'!E53+'Fórmula'!G53+'Fórmula'!I53+'Fórmula'!K53))*(INDEX(properties!A$1:CB$87,'Fórmula'!F53,46))+(('Fórmula'!I53)/('Fórmula'!C53+'Fórmula'!E53+'Fórmula'!G53+'Fórmula'!I53+'Fórmula'!K53))*(INDEX(properties!A$1:CB$87,'Fórmula'!H53,46))+(('Fórmula'!K53)/('Fórmula'!C53+'Fórmula'!E53+'Fórmula'!G53+'Fórmula'!I53+'Fórmula'!K53))*(INDEX(properties!A$1:CB$87,'Fórmula'!J53,46))</f>
        <v>1.116666667</v>
      </c>
      <c r="EQ53" s="113">
        <f t="array" ref="EQ53">'Fórmula'!C53*(INDEX(properties!A$1:CB$87,'Fórmula'!B53,46))+'Fórmula'!E53*(INDEX(properties!A$1:CB$87,'Fórmula'!D53,46))+'Fórmula'!G53*(INDEX(properties!A$1:CB$87,'Fórmula'!F53,46))+'Fórmula'!I53*(INDEX(properties!A$1:CB$87,'Fórmula'!H53,46))+'Fórmula'!K53*(INDEX(properties!A$1:CB$87,'Fórmula'!J53,46))</f>
        <v>13.4</v>
      </c>
      <c r="ER53" s="113">
        <f t="array" ref="ER53">VARP(IF(INDEX(properties!A$1:CB$87,'Fórmula'!B53,46)&lt;&gt;"",INDEX(properties!A$1:CB$87,'Fórmula'!B53,46)),IF(INDEX(properties!A$1:CB$87,'Fórmula'!D53,46)&lt;&gt;"",INDEX(properties!A$1:CB$87,'Fórmula'!D53,46)),IF(INDEX(properties!A$1:CB$87,'Fórmula'!F53,46)&lt;&gt;"",INDEX(properties!A$1:CB$87,'Fórmula'!F53,46)),IF(INDEX(properties!A$1:CB$87,'Fórmula'!H53,46)&lt;&gt;"",INDEX(properties!A$1:CB$87,'Fórmula'!H53,46)),IF(INDEX(properties!A$1:CB$87,'Fórmula'!J53,46)&lt;&gt;"",INDEX(properties!A$1:CB$87,'Fórmula'!J53,46)))</f>
        <v>0.202496</v>
      </c>
      <c r="ES53" s="124">
        <f t="array" ref="ES53">MAX(INDEX(properties!A$1:CB$87,'Fórmula'!B53,46),INDEX(properties!A$1:CB$87,'Fórmula'!D53,46),INDEX(properties!A$1:CB$87,'Fórmula'!F53,46),INDEX(properties!A$1:CB$87,'Fórmula'!H53,46),INDEX(properties!A$1:CB$87,'Fórmula'!J53,46))</f>
        <v>1.21</v>
      </c>
      <c r="ET53" s="124">
        <f t="array" ref="ET53">MIN(IF(INDEX(properties!A$1:CB$87,'Fórmula'!B53,46)=0,10^6,INDEX(properties!A$1:CB$87,'Fórmula'!B53,46)),IF(INDEX(properties!A$1:CB$87,'Fórmula'!D53,46)=0,10^6,INDEX(properties!A$1:CB$87,'Fórmula'!D53,46)),IF(INDEX(properties!A$1:CB$87,'Fórmula'!F53,46)=0,10^6,INDEX(properties!A$1:CB$87,'Fórmula'!F53,46)),IF(INDEX(properties!A$1:CB$87,'Fórmula'!H53,46)=0,10^6,INDEX(properties!A$1:CB$87,'Fórmula'!H53,46)),IF(INDEX(properties!A$1:CB$87,'Fórmula'!J53,46)=0,10^6,INDEX(properties!A$1:CB$87,'Fórmula'!J53,46)))</f>
        <v>0.74</v>
      </c>
      <c r="EU53" s="113">
        <f t="shared" si="25"/>
        <v>0.47</v>
      </c>
      <c r="EV53" s="114">
        <f t="array" ref="EV53">(('Fórmula'!C53)/('Fórmula'!C53+'Fórmula'!E53+'Fórmula'!G53+'Fórmula'!I53+'Fórmula'!K53))*(INDEX(properties!A$1:CB$87,'Fórmula'!B53,52))+(('Fórmula'!E53)/('Fórmula'!C53+'Fórmula'!E53+'Fórmula'!G53+'Fórmula'!I53+'Fórmula'!K53))*(INDEX(properties!A$1:CB$87,'Fórmula'!D53,52))+(('Fórmula'!G53)/('Fórmula'!C53+'Fórmula'!E53+'Fórmula'!G53+'Fórmula'!I53+'Fórmula'!K53))*(INDEX(properties!A$1:CB$87,'Fórmula'!F53,52))+(('Fórmula'!I53)/('Fórmula'!C53+'Fórmula'!E53+'Fórmula'!G53+'Fórmula'!I53+'Fórmula'!K53))*(INDEX(properties!A$1:CB$87,'Fórmula'!H53,52))+(('Fórmula'!K53)/('Fórmula'!C53+'Fórmula'!E53+'Fórmula'!G53+'Fórmula'!I53+'Fórmula'!K53))*(INDEX(properties!A$1:CB$87,'Fórmula'!J53,52))</f>
        <v>6.303666667</v>
      </c>
      <c r="EW53" s="114">
        <f t="array" ref="EW53">'Fórmula'!C53*(INDEX(properties!A$1:CB$87,'Fórmula'!B53,52))+'Fórmula'!E53*(INDEX(properties!A$1:CB$87,'Fórmula'!D53,52))+'Fórmula'!G53*(INDEX(properties!A$1:CB$87,'Fórmula'!F53,52))+'Fórmula'!I53*(INDEX(properties!A$1:CB$87,'Fórmula'!H53,52))+'Fórmula'!K53*(INDEX(properties!A$1:CB$87,'Fórmula'!J53,52))</f>
        <v>75.644</v>
      </c>
      <c r="EX53" s="114">
        <f t="array" ref="EX53">VARP(IF(INDEX(properties!A$1:CB$87,'Fórmula'!B53,52)&lt;&gt;"",INDEX(properties!A$1:CB$87,'Fórmula'!B53,52)),IF(INDEX(properties!A$1:CB$87,'Fórmula'!D53,52)&lt;&gt;"",INDEX(properties!A$1:CB$87,'Fórmula'!D53,52)),IF(INDEX(properties!A$1:CB$87,'Fórmula'!F53,52)&lt;&gt;"",INDEX(properties!A$1:CB$87,'Fórmula'!F53,52)),IF(INDEX(properties!A$1:CB$87,'Fórmula'!H53,52)&lt;&gt;"",INDEX(properties!A$1:CB$87,'Fórmula'!H53,52)),IF(INDEX(properties!A$1:CB$87,'Fórmula'!J53,52)&lt;&gt;"",INDEX(properties!A$1:CB$87,'Fórmula'!J53,52)))</f>
        <v>107.4028078</v>
      </c>
      <c r="EY53" s="114">
        <f t="array" ref="EY53">MAX(INDEX(properties!A$1:CB$87,'Fórmula'!B53,52),INDEX(properties!A$1:CB$87,'Fórmula'!D53,52),INDEX(properties!A$1:CB$87,'Fórmula'!F53,52),INDEX(properties!A$1:CB$87,'Fórmula'!H53,52),INDEX(properties!A$1:CB$87,'Fórmula'!J53,52))</f>
        <v>23.6</v>
      </c>
      <c r="EZ53" s="114">
        <f t="array" ref="EZ53">MIN(IF(INDEX(properties!A$1:CB$87,'Fórmula'!B53,52)=0,10^6,INDEX(properties!A$1:CB$87,'Fórmula'!B53,52)),IF(INDEX(properties!A$1:CB$87,'Fórmula'!D53,52)=0,10^6,INDEX(properties!A$1:CB$87,'Fórmula'!D53,52)),IF(INDEX(properties!A$1:CB$87,'Fórmula'!F53,52)=0,10^6,INDEX(properties!A$1:CB$87,'Fórmula'!F53,52)),IF(INDEX(properties!A$1:CB$87,'Fórmula'!H53,52)=0,10^6,INDEX(properties!A$1:CB$87,'Fórmula'!H53,52)),IF(INDEX(properties!A$1:CB$87,'Fórmula'!J53,52)=0,10^6,INDEX(properties!A$1:CB$87,'Fórmula'!J53,52)))</f>
        <v>0.793</v>
      </c>
      <c r="FA53" s="114">
        <f t="shared" si="26"/>
        <v>22.807</v>
      </c>
      <c r="FB53" s="115">
        <f t="array" ref="FB53">(('Fórmula'!C53)/('Fórmula'!C53+'Fórmula'!E53+'Fórmula'!G53+'Fórmula'!I53+'Fórmula'!K53))*(INDEX(properties!A$1:CB$87,'Fórmula'!B53,53))+(('Fórmula'!E53)/('Fórmula'!C53+'Fórmula'!E53+'Fórmula'!G53+'Fórmula'!I53+'Fórmula'!K53))*(INDEX(properties!A$1:CB$87,'Fórmula'!D53,53))+(('Fórmula'!G53)/('Fórmula'!C53+'Fórmula'!E53+'Fórmula'!G53+'Fórmula'!I53+'Fórmula'!K53))*(INDEX(properties!A$1:CB$87,'Fórmula'!F53,53))+(('Fórmula'!I53)/('Fórmula'!C53+'Fórmula'!E53+'Fórmula'!G53+'Fórmula'!I53+'Fórmula'!K53))*(INDEX(properties!A$1:CB$87,'Fórmula'!H53,53))+(('Fórmula'!K53)/('Fórmula'!C53+'Fórmula'!E53+'Fórmula'!G53+'Fórmula'!I53+'Fórmula'!K53))*(INDEX(properties!A$1:CB$87,'Fórmula'!J53,53))</f>
        <v>813.45</v>
      </c>
      <c r="FC53" s="115">
        <f t="array" ref="FC53">'Fórmula'!C53*(INDEX(properties!A$1:CB$87,'Fórmula'!B53,53))+'Fórmula'!E53*(INDEX(properties!A$1:CB$87,'Fórmula'!D53,53))+'Fórmula'!G53*(INDEX(properties!A$1:CB$87,'Fórmula'!F53,53))+'Fórmula'!I53*(INDEX(properties!A$1:CB$87,'Fórmula'!H53,53))+'Fórmula'!K53*(INDEX(properties!A$1:CB$87,'Fórmula'!J53,53))</f>
        <v>9761.4</v>
      </c>
      <c r="FD53" s="115">
        <f t="array" ref="FD53">VARP(IF(INDEX(properties!A$1:CB$87,'Fórmula'!B53,53)&lt;&gt;"",INDEX(properties!A$1:CB$87,'Fórmula'!B53,53)),IF(INDEX(properties!A$1:CB$87,'Fórmula'!D53,53)&lt;&gt;"",INDEX(properties!A$1:CB$87,'Fórmula'!D53,53)),IF(INDEX(properties!A$1:CB$87,'Fórmula'!F53,53)&lt;&gt;"",INDEX(properties!A$1:CB$87,'Fórmula'!F53,53)),IF(INDEX(properties!A$1:CB$87,'Fórmula'!H53,53)&lt;&gt;"",INDEX(properties!A$1:CB$87,'Fórmula'!H53,53)),IF(INDEX(properties!A$1:CB$87,'Fórmula'!J53,53)&lt;&gt;"",INDEX(properties!A$1:CB$87,'Fórmula'!J53,53)))</f>
        <v>1947092.442</v>
      </c>
      <c r="FE53" s="115">
        <f t="array" ref="FE53">MAX(INDEX(properties!A$1:CB$87,'Fórmula'!B53,53),INDEX(properties!A$1:CB$87,'Fórmula'!D53,53),INDEX(properties!A$1:CB$87,'Fórmula'!F53,53),INDEX(properties!A$1:CB$87,'Fórmula'!H53,53),INDEX(properties!A$1:CB$87,'Fórmula'!J53,53))</f>
        <v>3683.15</v>
      </c>
      <c r="FF53" s="115">
        <f t="array" ref="FF53">MIN(IF(INDEX(properties!A$1:CB$87,'Fórmula'!B53,53)=0,10^6,INDEX(properties!A$1:CB$87,'Fórmula'!B53,53)),IF(INDEX(properties!A$1:CB$87,'Fórmula'!D53,53)=0,10^6,INDEX(properties!A$1:CB$87,'Fórmula'!D53,53)),IF(INDEX(properties!A$1:CB$87,'Fórmula'!F53,53)=0,10^6,INDEX(properties!A$1:CB$87,'Fórmula'!F53,53)),IF(INDEX(properties!A$1:CB$87,'Fórmula'!H53,53)=0,10^6,INDEX(properties!A$1:CB$87,'Fórmula'!H53,53)),IF(INDEX(properties!A$1:CB$87,'Fórmula'!J53,53)=0,10^6,INDEX(properties!A$1:CB$87,'Fórmula'!J53,53)))</f>
        <v>54.75</v>
      </c>
      <c r="FG53" s="115">
        <f t="shared" si="27"/>
        <v>3628.4</v>
      </c>
      <c r="FH53" s="117">
        <f t="array" ref="FH53">(('Fórmula'!C53)/('Fórmula'!C53+'Fórmula'!E53+'Fórmula'!G53+'Fórmula'!I53+'Fórmula'!K53))*(INDEX(properties!A$1:CB$87,'Fórmula'!B53,54))+(('Fórmula'!E53)/('Fórmula'!C53+'Fórmula'!E53+'Fórmula'!G53+'Fórmula'!I53+'Fórmula'!K53))*(INDEX(properties!A$1:CB$87,'Fórmula'!D53,54))+(('Fórmula'!G53)/('Fórmula'!C53+'Fórmula'!E53+'Fórmula'!G53+'Fórmula'!I53+'Fórmula'!K53))*(INDEX(properties!A$1:CB$87,'Fórmula'!F53,54))+(('Fórmula'!I53)/('Fórmula'!C53+'Fórmula'!E53+'Fórmula'!G53+'Fórmula'!I53+'Fórmula'!K53))*(INDEX(properties!A$1:CB$87,'Fórmula'!H53,54))+(('Fórmula'!K53)/('Fórmula'!C53+'Fórmula'!E53+'Fórmula'!G53+'Fórmula'!I53+'Fórmula'!K53))*(INDEX(properties!A$1:CB$87,'Fórmula'!J53,54))</f>
        <v>1440.816667</v>
      </c>
      <c r="FI53" s="117">
        <f t="array" ref="FI53">'Fórmula'!C53*(INDEX(properties!A$1:CB$87,'Fórmula'!B53,54))+'Fórmula'!E53*(INDEX(properties!A$1:CB$87,'Fórmula'!D53,54))+'Fórmula'!G53*(INDEX(properties!A$1:CB$87,'Fórmula'!F53,54))+'Fórmula'!I53*(INDEX(properties!A$1:CB$87,'Fórmula'!H53,54))+'Fórmula'!K53*(INDEX(properties!A$1:CB$87,'Fórmula'!J53,54))</f>
        <v>17289.8</v>
      </c>
      <c r="FJ53" s="117">
        <f t="array" ref="FJ53">VARP(IF(INDEX(properties!A$1:CB$87,'Fórmula'!B53,54)&lt;&gt;"",INDEX(properties!A$1:CB$87,'Fórmula'!B53,54)),IF(INDEX(properties!A$1:CB$87,'Fórmula'!D53,54)&lt;&gt;"",INDEX(properties!A$1:CB$87,'Fórmula'!D53,54)),IF(INDEX(properties!A$1:CB$87,'Fórmula'!F53,54)&lt;&gt;"",INDEX(properties!A$1:CB$87,'Fórmula'!F53,54)),IF(INDEX(properties!A$1:CB$87,'Fórmula'!H53,54)&lt;&gt;"",INDEX(properties!A$1:CB$87,'Fórmula'!H53,54)),IF(INDEX(properties!A$1:CB$87,'Fórmula'!J53,54)&lt;&gt;"",INDEX(properties!A$1:CB$87,'Fórmula'!J53,54)))</f>
        <v>5222911.904</v>
      </c>
      <c r="FK53" s="117">
        <f t="array" ref="FK53">MAX(INDEX(properties!A$1:CB$87,'Fórmula'!B53,54),INDEX(properties!A$1:CB$87,'Fórmula'!D53,54),INDEX(properties!A$1:CB$87,'Fórmula'!F53,54),INDEX(properties!A$1:CB$87,'Fórmula'!H53,54),INDEX(properties!A$1:CB$87,'Fórmula'!J53,54))</f>
        <v>5933.15</v>
      </c>
      <c r="FL53" s="117">
        <f t="array" ref="FL53">MIN(IF(INDEX(properties!A$1:CB$87,'Fórmula'!B53,54)=0,10^6,INDEX(properties!A$1:CB$87,'Fórmula'!B53,54)),IF(INDEX(properties!A$1:CB$87,'Fórmula'!D53,54)=0,10^6,INDEX(properties!A$1:CB$87,'Fórmula'!D53,54)),IF(INDEX(properties!A$1:CB$87,'Fórmula'!F53,54)=0,10^6,INDEX(properties!A$1:CB$87,'Fórmula'!F53,54)),IF(INDEX(properties!A$1:CB$87,'Fórmula'!H53,54)=0,10^6,INDEX(properties!A$1:CB$87,'Fórmula'!H53,54)),IF(INDEX(properties!A$1:CB$87,'Fórmula'!J53,54)=0,10^6,INDEX(properties!A$1:CB$87,'Fórmula'!J53,54)))</f>
        <v>90.15</v>
      </c>
      <c r="FM53" s="117">
        <f t="shared" si="28"/>
        <v>5843</v>
      </c>
      <c r="FN53" s="118">
        <f t="array" ref="FN53">(('Fórmula'!C53)/('Fórmula'!C53+'Fórmula'!E53+'Fórmula'!G53+'Fórmula'!I53+'Fórmula'!K53))*(INDEX(properties!A$1:CB$87,'Fórmula'!B53,55))+(('Fórmula'!E53)/('Fórmula'!C53+'Fórmula'!E53+'Fórmula'!G53+'Fórmula'!I53+'Fórmula'!K53))*(INDEX(properties!A$1:CB$87,'Fórmula'!D53,55))+(('Fórmula'!G53)/('Fórmula'!C53+'Fórmula'!E53+'Fórmula'!G53+'Fórmula'!I53+'Fórmula'!K53))*(INDEX(properties!A$1:CB$87,'Fórmula'!F53,55))+(('Fórmula'!I53)/('Fórmula'!C53+'Fórmula'!E53+'Fórmula'!G53+'Fórmula'!I53+'Fórmula'!K53))*(INDEX(properties!A$1:CB$87,'Fórmula'!H53,55))+(('Fórmula'!K53)/('Fórmula'!C53+'Fórmula'!E53+'Fórmula'!G53+'Fórmula'!I53+'Fórmula'!K53))*(INDEX(properties!A$1:CB$87,'Fórmula'!J53,55))</f>
        <v>3.95687</v>
      </c>
      <c r="FO53" s="118">
        <f t="array" ref="FO53">'Fórmula'!C53*(INDEX(properties!A$1:CB$87,'Fórmula'!B53,55))+'Fórmula'!E53*(INDEX(properties!A$1:CB$87,'Fórmula'!D53,54))+'Fórmula'!G53*(INDEX(properties!A$1:CB$87,'Fórmula'!F53,55))+'Fórmula'!I53*(INDEX(properties!A$1:CB$87,'Fórmula'!H53,55))+'Fórmula'!K53*(INDEX(properties!A$1:CB$87,'Fórmula'!J53,55))</f>
        <v>3585.73244</v>
      </c>
      <c r="FP53" s="118">
        <f t="array" ref="FP53">VARP(IF(INDEX(properties!A$1:CB$87,'Fórmula'!B53,55)&lt;&gt;"",INDEX(properties!A$1:CB$87,'Fórmula'!B53,55)),IF(INDEX(properties!A$1:CB$87,'Fórmula'!D53,55)&lt;&gt;"",INDEX(properties!A$1:CB$87,'Fórmula'!D53,55)),IF(INDEX(properties!A$1:CB$87,'Fórmula'!F53,55)&lt;&gt;"",INDEX(properties!A$1:CB$87,'Fórmula'!F53,55)),IF(INDEX(properties!A$1:CB$87,'Fórmula'!H53,55)&lt;&gt;"",INDEX(properties!A$1:CB$87,'Fórmula'!H53,55)),IF(INDEX(properties!A$1:CB$87,'Fórmula'!J53,55)&lt;&gt;"",INDEX(properties!A$1:CB$87,'Fórmula'!J53,55)))</f>
        <v>55.42113612</v>
      </c>
      <c r="FQ53" s="118">
        <f t="array" ref="FQ53">MAX(INDEX(properties!A$1:CB$87,'Fórmula'!B53,55),INDEX(properties!A$1:CB$87,'Fórmula'!D53,55),INDEX(properties!A$1:CB$87,'Fórmula'!F53,55),INDEX(properties!A$1:CB$87,'Fórmula'!H53,55),INDEX(properties!A$1:CB$87,'Fórmula'!J53,55))</f>
        <v>19.3</v>
      </c>
      <c r="FR53" s="118">
        <f t="array" ref="FR53">MIN(IF(INDEX(properties!A$1:CB$87,'Fórmula'!B53,55)=0,10^6,INDEX(properties!A$1:CB$87,'Fórmula'!B53,55)),IF(INDEX(properties!A$1:CB$87,'Fórmula'!D53,55)=0,10^6,INDEX(properties!A$1:CB$87,'Fórmula'!D53,55)),IF(INDEX(properties!A$1:CB$87,'Fórmula'!F53,55)=0,10^6,INDEX(properties!A$1:CB$87,'Fórmula'!F53,55)),IF(INDEX(properties!A$1:CB$87,'Fórmula'!H53,55)=0,10^6,INDEX(properties!A$1:CB$87,'Fórmula'!H53,55)),IF(INDEX(properties!A$1:CB$87,'Fórmula'!J53,55)=0,10^6,INDEX(properties!A$1:CB$87,'Fórmula'!J53,55)))</f>
        <v>0.00143</v>
      </c>
      <c r="FS53" s="118">
        <f t="shared" si="29"/>
        <v>19.29857</v>
      </c>
      <c r="FT53" s="119">
        <f t="array" ref="FT53">(('Fórmula'!C53)/('Fórmula'!C53+'Fórmula'!E53+'Fórmula'!G53+'Fórmula'!I53+'Fórmula'!K53))*(INDEX(properties!A$1:CB$87,'Fórmula'!B53,56))+(('Fórmula'!E53)/('Fórmula'!C53+'Fórmula'!E53+'Fórmula'!G53+'Fórmula'!I53+'Fórmula'!K53))*(INDEX(properties!A$1:CB$87,'Fórmula'!D53,56))+(('Fórmula'!G53)/('Fórmula'!C53+'Fórmula'!E53+'Fórmula'!G53+'Fórmula'!I53+'Fórmula'!K53))*(INDEX(properties!A$1:CB$87,'Fórmula'!F53,56))+(('Fórmula'!I53)/('Fórmula'!C53+'Fórmula'!E53+'Fórmula'!G53+'Fórmula'!I53+'Fórmula'!K53))*(INDEX(properties!A$1:CB$87,'Fórmula'!H53,56))+(('Fórmula'!K53)/('Fórmula'!C53+'Fórmula'!E53+'Fórmula'!G53+'Fórmula'!I53+'Fórmula'!K53))*(INDEX(properties!A$1:CB$87,'Fórmula'!J53,56))</f>
        <v>0.7566666667</v>
      </c>
      <c r="FU53" s="119">
        <f t="array" ref="FU53">'Fórmula'!C53*(INDEX(properties!A$1:CB$87,'Fórmula'!B53,56))+'Fórmula'!E53*(INDEX(properties!A$1:CB$87,'Fórmula'!D53,56))+'Fórmula'!G53*(INDEX(properties!A$1:CB$87,'Fórmula'!F53,56))+'Fórmula'!I53*(INDEX(properties!A$1:CB$87,'Fórmula'!H53,56))+'Fórmula'!K53*(INDEX(properties!A$1:CB$87,'Fórmula'!J53,56))</f>
        <v>9.08</v>
      </c>
      <c r="FV53" s="119">
        <f t="array" ref="FV53">VARP(IF(INDEX(properties!A$1:CB$87,'Fórmula'!B53,56)&lt;&gt;"",INDEX(properties!A$1:CB$87,'Fórmula'!B53,56)),IF(INDEX(properties!A$1:CB$87,'Fórmula'!D53,56)&lt;&gt;"",INDEX(properties!A$1:CB$87,'Fórmula'!D53,56)),IF(INDEX(properties!A$1:CB$87,'Fórmula'!F53,56)&lt;&gt;"",INDEX(properties!A$1:CB$87,'Fórmula'!F53,56)),IF(INDEX(properties!A$1:CB$87,'Fórmula'!H53,56)&lt;&gt;"",INDEX(properties!A$1:CB$87,'Fórmula'!H53,56)),IF(INDEX(properties!A$1:CB$87,'Fórmula'!J53,56)&lt;&gt;"",INDEX(properties!A$1:CB$87,'Fórmula'!J53,56)))</f>
        <v>0.233816</v>
      </c>
      <c r="FW53" s="119">
        <f t="array" ref="FW53">MAX(INDEX(properties!A$1:CB$87,'Fórmula'!B53,56),INDEX(properties!A$1:CB$87,'Fórmula'!D53,56),INDEX(properties!A$1:CB$87,'Fórmula'!F53,56),INDEX(properties!A$1:CB$87,'Fórmula'!H53,56),INDEX(properties!A$1:CB$87,'Fórmula'!J53,56))</f>
        <v>1.23</v>
      </c>
      <c r="FX53" s="119">
        <f t="array" ref="FX53">MIN(IF(INDEX(properties!A$1:CB$87,'Fórmula'!B53,56)=0,10^6,INDEX(properties!A$1:CB$87,'Fórmula'!B53,56)),IF(INDEX(properties!A$1:CB$87,'Fórmula'!D53,56)=0,10^6,INDEX(properties!A$1:CB$87,'Fórmula'!D53,56)),IF(INDEX(properties!A$1:CB$87,'Fórmula'!F53,56)=0,10^6,INDEX(properties!A$1:CB$87,'Fórmula'!F53,56)),IF(INDEX(properties!A$1:CB$87,'Fórmula'!H53,56)=0,10^6,INDEX(properties!A$1:CB$87,'Fórmula'!H53,56)),IF(INDEX(properties!A$1:CB$87,'Fórmula'!J53,56)=0,10^6,INDEX(properties!A$1:CB$87,'Fórmula'!J53,56)))</f>
        <v>0.13</v>
      </c>
      <c r="FY53" s="119">
        <f t="shared" si="30"/>
        <v>1.1</v>
      </c>
      <c r="FZ53" s="104">
        <f t="array" ref="FZ53">(('Fórmula'!C53)/('Fórmula'!C53+'Fórmula'!E53+'Fórmula'!G53+'Fórmula'!I53+'Fórmula'!K53))*(INDEX(properties!A$1:CB$87,'Fórmula'!B53,57))+(('Fórmula'!E53)/('Fórmula'!C53+'Fórmula'!E53+'Fórmula'!G53+'Fórmula'!I53+'Fórmula'!K53))*(INDEX(properties!A$1:CB$87,'Fórmula'!D53,57))+(('Fórmula'!G53)/('Fórmula'!C53+'Fórmula'!E53+'Fórmula'!G53+'Fórmula'!I53+'Fórmula'!K53))*(INDEX(properties!A$1:CB$87,'Fórmula'!F53,57))+(('Fórmula'!I53)/('Fórmula'!C53+'Fórmula'!E53+'Fórmula'!G53+'Fórmula'!I53+'Fórmula'!K53))*(INDEX(properties!A$1:CB$87,'Fórmula'!H53,57))+(('Fórmula'!K53)/('Fórmula'!C53+'Fórmula'!E53+'Fórmula'!G53+'Fórmula'!I53+'Fórmula'!K53))*(INDEX(properties!A$1:CB$87,'Fórmula'!J53,57))</f>
        <v>7.102393333</v>
      </c>
      <c r="GA53" s="104">
        <f t="array" ref="GA53">'Fórmula'!C53*(INDEX(properties!A$1:CB$87,'Fórmula'!B53,57))+'Fórmula'!E53*(INDEX(properties!A$1:CB$87,'Fórmula'!D53,57))+'Fórmula'!G53*(INDEX(properties!A$1:CB$87,'Fórmula'!F53,57))+'Fórmula'!I53*(INDEX(properties!A$1:CB$87,'Fórmula'!H53,57))+'Fórmula'!K53*(INDEX(properties!A$1:CB$87,'Fórmula'!J53,57))</f>
        <v>85.22872</v>
      </c>
      <c r="GB53" s="104">
        <f t="array" ref="GB53">VARP(IF(INDEX(properties!A$1:CB$87,'Fórmula'!B53,57)&lt;&gt;"",INDEX(properties!A$1:CB$87,'Fórmula'!B53,57)),IF(INDEX(properties!A$1:CB$87,'Fórmula'!D53,57)&lt;&gt;"",INDEX(properties!A$1:CB$87,'Fórmula'!D53,57)),IF(INDEX(properties!A$1:CB$87,'Fórmula'!F53,57)&lt;&gt;"",INDEX(properties!A$1:CB$87,'Fórmula'!F53,57)),IF(INDEX(properties!A$1:CB$87,'Fórmula'!H53,57)&lt;&gt;"",INDEX(properties!A$1:CB$87,'Fórmula'!H53,57)),IF(INDEX(properties!A$1:CB$87,'Fórmula'!J53,57)&lt;&gt;"",INDEX(properties!A$1:CB$87,'Fórmula'!J53,57)))</f>
        <v>178.9903357</v>
      </c>
      <c r="GC53" s="104">
        <f t="array" ref="GC53">MAX(INDEX(properties!A$1:CB$87,'Fórmula'!B53,57),INDEX(properties!A$1:CB$87,'Fórmula'!D53,57),INDEX(properties!A$1:CB$87,'Fórmula'!F53,57),INDEX(properties!A$1:CB$87,'Fórmula'!H53,57),INDEX(properties!A$1:CB$87,'Fórmula'!J53,57))</f>
        <v>35.4</v>
      </c>
      <c r="GD53" s="104">
        <f t="array" ref="GD53">MIN(IF(INDEX(properties!A$1:CB$87,'Fórmula'!B53,57)=0,10^6,INDEX(properties!A$1:CB$87,'Fórmula'!B53,57)),IF(INDEX(properties!A$1:CB$87,'Fórmula'!D53,57)=0,10^6,INDEX(properties!A$1:CB$87,'Fórmula'!D53,57)),IF(INDEX(properties!A$1:CB$87,'Fórmula'!F53,57)=0,10^6,INDEX(properties!A$1:CB$87,'Fórmula'!F53,57)),IF(INDEX(properties!A$1:CB$87,'Fórmula'!H53,57)=0,10^6,INDEX(properties!A$1:CB$87,'Fórmula'!H53,57)),IF(INDEX(properties!A$1:CB$87,'Fórmula'!J53,57)=0,10^6,INDEX(properties!A$1:CB$87,'Fórmula'!J53,57)))</f>
        <v>0.22259</v>
      </c>
      <c r="GE53" s="104">
        <f t="shared" si="31"/>
        <v>35.17741</v>
      </c>
      <c r="GF53" s="105">
        <f t="array" ref="GF53">(('Fórmula'!C53)/('Fórmula'!C53+'Fórmula'!E53+'Fórmula'!G53+'Fórmula'!I53+'Fórmula'!K53))*(INDEX(properties!A$1:CB$87,'Fórmula'!B53,60))+(('Fórmula'!E53)/('Fórmula'!C53+'Fórmula'!E53+'Fórmula'!G53+'Fórmula'!I53+'Fórmula'!K53))*(INDEX(properties!A$1:CB$87,'Fórmula'!D53,60))+(('Fórmula'!G53)/('Fórmula'!C53+'Fórmula'!E53+'Fórmula'!G53+'Fórmula'!I53+'Fórmula'!K53))*(INDEX(properties!A$1:CB$87,'Fórmula'!F53,60))+(('Fórmula'!I53)/('Fórmula'!C53+'Fórmula'!E53+'Fórmula'!G53+'Fórmula'!I53+'Fórmula'!K53))*(INDEX(properties!A$1:CB$87,'Fórmula'!H53,60))+(('Fórmula'!K53)/('Fórmula'!C53+'Fórmula'!E53+'Fórmula'!G53+'Fórmula'!I53+'Fórmula'!K53))*(INDEX(properties!A$1:CB$87,'Fórmula'!J53,60))</f>
        <v>41.65116</v>
      </c>
      <c r="GG53" s="105">
        <f t="array" ref="GG53">'Fórmula'!C53*(INDEX(properties!A$1:CB$87,'Fórmula'!B53,60))+'Fórmula'!E53*(INDEX(properties!A$1:CB$87,'Fórmula'!D53,60))+'Fórmula'!G53*(INDEX(properties!A$1:CB$87,'Fórmula'!F53,60))+'Fórmula'!I53*(INDEX(properties!A$1:CB$87,'Fórmula'!H53,60))+'Fórmula'!K53*(INDEX(properties!A$1:CB$87,'Fórmula'!J53,60))</f>
        <v>499.81392</v>
      </c>
      <c r="GH53" s="105">
        <f t="array" ref="GH53">VARP(IF(INDEX(properties!A$1:CB$87,'Fórmula'!B53,60)&lt;&gt;"",INDEX(properties!A$1:CB$87,'Fórmula'!B53,60)),IF(INDEX(properties!A$1:CB$87,'Fórmula'!D53,60)&lt;&gt;"",INDEX(properties!A$1:CB$87,'Fórmula'!D53,60)),IF(INDEX(properties!A$1:CB$87,'Fórmula'!F53,60)&lt;&gt;"",INDEX(properties!A$1:CB$87,'Fórmula'!F53,60)),IF(INDEX(properties!A$1:CB$87,'Fórmula'!H53,60)&lt;&gt;"",INDEX(properties!A$1:CB$87,'Fórmula'!H53,60)),IF(INDEX(properties!A$1:CB$87,'Fórmula'!J53,60)&lt;&gt;"",INDEX(properties!A$1:CB$87,'Fórmula'!J53,60)))</f>
        <v>5812.561191</v>
      </c>
      <c r="GI53" s="105">
        <f t="array" ref="GI53">MAX(INDEX(properties!A$1:CB$87,'Fórmula'!B53,60),INDEX(properties!A$1:CB$87,'Fórmula'!D53,60),INDEX(properties!A$1:CB$87,'Fórmula'!F53,60),INDEX(properties!A$1:CB$87,'Fórmula'!H53,60),INDEX(properties!A$1:CB$87,'Fórmula'!J53,60))</f>
        <v>174</v>
      </c>
      <c r="GJ53" s="105">
        <f t="array" ref="GJ53">MIN(IF(INDEX(properties!A$1:CB$87,'Fórmula'!B53,60)=0,10^6,INDEX(properties!A$1:CB$87,'Fórmula'!B53,60)),IF(INDEX(properties!A$1:CB$87,'Fórmula'!D53,60)=0,10^6,INDEX(properties!A$1:CB$87,'Fórmula'!D53,60)),IF(INDEX(properties!A$1:CB$87,'Fórmula'!F53,60)=0,10^6,INDEX(properties!A$1:CB$87,'Fórmula'!F53,60)),IF(INDEX(properties!A$1:CB$87,'Fórmula'!H53,60)=0,10^6,INDEX(properties!A$1:CB$87,'Fórmula'!H53,60)),IF(INDEX(properties!A$1:CB$87,'Fórmula'!J53,60)=0,10^6,INDEX(properties!A$1:CB$87,'Fórmula'!J53,60)))</f>
        <v>0.02674</v>
      </c>
      <c r="GK53" s="105">
        <f t="shared" si="32"/>
        <v>173.97326</v>
      </c>
      <c r="GL53" s="106">
        <f t="array" ref="GL53">(('Fórmula'!C53)/('Fórmula'!C53+'Fórmula'!E53+'Fórmula'!G53+'Fórmula'!I53+'Fórmula'!K53))*(INDEX(properties!A$1:CB$87,'Fórmula'!B53,62))+(('Fórmula'!E53)/('Fórmula'!C53+'Fórmula'!E53+'Fórmula'!G53+'Fórmula'!I53+'Fórmula'!K53))*(INDEX(properties!A$1:CB$87,'Fórmula'!D53,62))+(('Fórmula'!G53)/('Fórmula'!C53+'Fórmula'!E53+'Fórmula'!G53+'Fórmula'!I53+'Fórmula'!K53))*(INDEX(properties!A$1:CB$87,'Fórmula'!F53,62))+(('Fórmula'!I53)/('Fórmula'!C53+'Fórmula'!E53+'Fórmula'!G53+'Fórmula'!I53+'Fórmula'!K53))*(INDEX(properties!A$1:CB$87,'Fórmula'!H53,62))+(('Fórmula'!K53)/('Fórmula'!C53+'Fórmula'!E53+'Fórmula'!G53+'Fórmula'!I53+'Fórmula'!K53))*(INDEX(properties!A$1:CB$87,'Fórmula'!J53,62))</f>
        <v>3.66775</v>
      </c>
      <c r="GM53" s="106">
        <f t="array" ref="GM53">'Fórmula'!C53*(INDEX(properties!A$1:CB$87,'Fórmula'!B53,62))+'Fórmula'!E53*(INDEX(properties!A$1:CB$87,'Fórmula'!D53,62))+'Fórmula'!G53*(INDEX(properties!A$1:CB$87,'Fórmula'!F53,62))+'Fórmula'!I53*(INDEX(properties!A$1:CB$87,'Fórmula'!H53,62))+'Fórmula'!K53*(INDEX(properties!A$1:CB$87,'Fórmula'!J53,62))</f>
        <v>44.013</v>
      </c>
      <c r="GN53" s="106">
        <f t="array" ref="GN53">VARP(IF(INDEX(properties!A$1:CB$87,'Fórmula'!B53,62)&lt;&gt;"",INDEX(properties!A$1:CB$87,'Fórmula'!B53,62)),IF(INDEX(properties!A$1:CB$87,'Fórmula'!D53,62)&lt;&gt;"",INDEX(properties!A$1:CB$87,'Fórmula'!D53,62)),IF(INDEX(properties!A$1:CB$87,'Fórmula'!F53,62)&lt;&gt;"",INDEX(properties!A$1:CB$87,'Fórmula'!F53,62)),IF(INDEX(properties!A$1:CB$87,'Fórmula'!H53,62)&lt;&gt;"",INDEX(properties!A$1:CB$87,'Fórmula'!H53,62)),IF(INDEX(properties!A$1:CB$87,'Fórmula'!J53,62)&lt;&gt;"",INDEX(properties!A$1:CB$87,'Fórmula'!J53,62)))</f>
        <v>9.63721264</v>
      </c>
      <c r="GO53" s="106">
        <f t="array" ref="GO53">MAX(INDEX(properties!A$1:CB$87,'Fórmula'!B53,62),INDEX(properties!A$1:CB$87,'Fórmula'!D53,62),INDEX(properties!A$1:CB$87,'Fórmula'!F53,62),INDEX(properties!A$1:CB$87,'Fórmula'!H53,62),INDEX(properties!A$1:CB$87,'Fórmula'!J53,62))</f>
        <v>8.9</v>
      </c>
      <c r="GP53" s="106">
        <f t="array" ref="GP53">MIN(IF(INDEX(properties!A$1:CB$87,'Fórmula'!B53,62)=0,10^6,INDEX(properties!A$1:CB$87,'Fórmula'!B53,62)),IF(INDEX(properties!A$1:CB$87,'Fórmula'!D53,62)=0,10^6,INDEX(properties!A$1:CB$87,'Fórmula'!D53,62)),IF(INDEX(properties!A$1:CB$87,'Fórmula'!F53,62)=0,10^6,INDEX(properties!A$1:CB$87,'Fórmula'!F53,62)),IF(INDEX(properties!A$1:CB$87,'Fórmula'!H53,62)=0,10^6,INDEX(properties!A$1:CB$87,'Fórmula'!H53,62)),IF(INDEX(properties!A$1:CB$87,'Fórmula'!J53,62)=0,10^6,INDEX(properties!A$1:CB$87,'Fórmula'!J53,62)))</f>
        <v>1.113</v>
      </c>
      <c r="GQ53" s="106">
        <f t="shared" si="33"/>
        <v>7.787</v>
      </c>
      <c r="GR53" s="106">
        <f>'Fórmula'!Q53</f>
        <v>88</v>
      </c>
      <c r="GS53" s="107">
        <f>'Fórmula'!P53</f>
        <v>2</v>
      </c>
      <c r="GT53" s="113">
        <f>'Fórmula'!O53</f>
        <v>7.15</v>
      </c>
      <c r="GU53" s="114">
        <f>AVERAGE('Fórmula'!R53/'Fórmula'!S53,'Fórmula'!S53/'Fórmula'!T53,'Fórmula'!T53/'Fórmula'!R53)</f>
        <v>1.210436039</v>
      </c>
      <c r="GV53" s="125">
        <f>'Fórmula'!U53</f>
        <v>313.79</v>
      </c>
      <c r="GW53" s="106">
        <f>'Fórmula'!N53</f>
        <v>0.07</v>
      </c>
    </row>
    <row r="54" ht="14.25" customHeight="1">
      <c r="A54" s="99" t="str">
        <f>'Fórmula'!A54</f>
        <v>SrGd2Al2O7</v>
      </c>
      <c r="B54" s="101">
        <f t="array" ref="B54">(('Fórmula'!C54)/('Fórmula'!C54+'Fórmula'!E54+'Fórmula'!G54+'Fórmula'!I54+'Fórmula'!K54))*(INDEX(properties!A$1:CB$87,'Fórmula'!B54,3))+(('Fórmula'!E54)/('Fórmula'!C54+'Fórmula'!E54+'Fórmula'!G54+'Fórmula'!I54+'Fórmula'!K54))*(INDEX(properties!A$1:CB$87,'Fórmula'!D54,3))+(('Fórmula'!G54)/('Fórmula'!C54+'Fórmula'!E54+'Fórmula'!G54+'Fórmula'!I54+'Fórmula'!K54))*(INDEX(properties!A$1:CB$87,'Fórmula'!F54,3))+(('Fórmula'!I54)/('Fórmula'!C54+'Fórmula'!E54+'Fórmula'!G54+'Fórmula'!I54+'Fórmula'!K54))*(INDEX(properties!A$1:CB$87,'Fórmula'!H54,3))+(('Fórmula'!K54)/('Fórmula'!C54+'Fórmula'!E54+'Fórmula'!G54+'Fórmula'!I54+'Fórmula'!K54))*(INDEX(properties!A$1:CB$87,'Fórmula'!J54,3))</f>
        <v>47.3399065</v>
      </c>
      <c r="C54" s="101">
        <f t="array" ref="C54">'Fórmula'!C54*(INDEX(properties!A$1:CB$87,'Fórmula'!B54,3))+'Fórmula'!E54*(INDEX(properties!A$1:CB$87,'Fórmula'!D54,3))+'Fórmula'!G54*(INDEX(properties!A$1:CB$87,'Fórmula'!F54,3))+'Fórmula'!I54*(INDEX(properties!A$1:CB$87,'Fórmula'!H54,3))+'Fórmula'!K54*(INDEX(properties!A$1:CB$87,'Fórmula'!J54,3))</f>
        <v>568.078878</v>
      </c>
      <c r="D54" s="101">
        <f t="array" ref="D54">VARP(IF(INDEX(properties!A$1:CB$87,'Fórmula'!B54,3)&lt;&gt;"",INDEX(properties!A$1:CB$87,'Fórmula'!B54,3)),IF(INDEX(properties!A$1:CB$87,'Fórmula'!D54,3)&lt;&gt;"",INDEX(properties!A$1:CB$87,'Fórmula'!D54,3)),IF(INDEX(properties!A$1:CB$87,'Fórmula'!F54,3)&lt;&gt;"",INDEX(properties!A$1:CB$87,'Fórmula'!F54,3)),IF(INDEX(properties!A$1:CB$87,'Fórmula'!H54,3)&lt;&gt;"",INDEX(properties!A$1:CB$87,'Fórmula'!H54,3)),IF(INDEX(properties!A$1:CB$87,'Fórmula'!J54,3)&lt;&gt;"",INDEX(properties!A$1:CB$87,'Fórmula'!J54,3)))</f>
        <v>3363.435706</v>
      </c>
      <c r="E54" s="101">
        <f t="array" ref="E54">MAX(INDEX(properties!A$1:CB$87,'Fórmula'!B54,3),INDEX(properties!A$1:CB$87,'Fórmula'!D54,3),INDEX(properties!A$1:CB$87,'Fórmula'!F54,3),INDEX(properties!A$1:CB$87,'Fórmula'!H54,3),INDEX(properties!A$1:CB$87,'Fórmula'!J54,3))</f>
        <v>157.25</v>
      </c>
      <c r="F54" s="101">
        <f t="array" ref="F54">MIN(IF(INDEX(properties!A$1:CB$87,'Fórmula'!B54,3)=0,10^6,INDEX(properties!A$1:CB$87,'Fórmula'!B54,3)),IF(INDEX(properties!A$1:CB$87,'Fórmula'!D54,3)=0,10^6,INDEX(properties!A$1:CB$87,'Fórmula'!D54,3)),IF(INDEX(properties!A$1:CB$87,'Fórmula'!F54,3)=0,10^6,INDEX(properties!A$1:CB$87,'Fórmula'!F54,3)),IF(INDEX(properties!A$1:CB$87,'Fórmula'!H54,3)=0,10^6,INDEX(properties!A$1:CB$87,'Fórmula'!H54,3)),IF(INDEX(properties!A$1:CB$87,'Fórmula'!J54,3)=0,10^6,INDEX(properties!A$1:CB$87,'Fórmula'!J54,3)))</f>
        <v>15.9994</v>
      </c>
      <c r="G54" s="101">
        <f t="shared" si="1"/>
        <v>141.2506</v>
      </c>
      <c r="H54" s="102">
        <f t="array" ref="H54">(('Fórmula'!C54)/('Fórmula'!C54+'Fórmula'!E54+'Fórmula'!G54+'Fórmula'!I54+'Fórmula'!K54))*(INDEX(properties!A$1:CB$87,'Fórmula'!B54,4))+(('Fórmula'!E54)/('Fórmula'!C54+'Fórmula'!E54+'Fórmula'!G54+'Fórmula'!I54+'Fórmula'!K54))*(INDEX(properties!A$1:CB$87,'Fórmula'!D54,4))+(('Fórmula'!G54)/('Fórmula'!C54+'Fórmula'!E54+'Fórmula'!G54+'Fórmula'!I54+'Fórmula'!K54))*(INDEX(properties!A$1:CB$87,'Fórmula'!F54,4))+(('Fórmula'!I54)/('Fórmula'!C54+'Fórmula'!E54+'Fórmula'!G54+'Fórmula'!I54+'Fórmula'!K54))*(INDEX(properties!A$1:CB$87,'Fórmula'!H54,4))+(('Fórmula'!K54)/('Fórmula'!C54+'Fórmula'!E54+'Fórmula'!G54+'Fórmula'!I54+'Fórmula'!K54))*(INDEX(properties!A$1:CB$87,'Fórmula'!J54,4))</f>
        <v>20.66666667</v>
      </c>
      <c r="I54" s="102">
        <f t="array" ref="I54">'Fórmula'!C54*(INDEX(properties!A$1:CB$87,'Fórmula'!B54,4))+'Fórmula'!E54*(INDEX(properties!A$1:CB$87,'Fórmula'!D54,4))+'Fórmula'!G54*(INDEX(properties!A$1:CB$87,'Fórmula'!F54,4))+'Fórmula'!I54*(INDEX(properties!A$1:CB$87,'Fórmula'!H54,4))+'Fórmula'!K54*(INDEX(properties!A$1:CB$87,'Fórmula'!J54,4))</f>
        <v>248</v>
      </c>
      <c r="J54" s="102">
        <f t="array" ref="J54">VARP(IF(INDEX(properties!A$1:CB$87,'Fórmula'!B54,4)&lt;&gt;"",INDEX(properties!A$1:CB$87,'Fórmula'!B54,4)),IF(INDEX(properties!A$1:CB$87,'Fórmula'!D54,4)&lt;&gt;"",INDEX(properties!A$1:CB$87,'Fórmula'!D54,4)),IF(INDEX(properties!A$1:CB$87,'Fórmula'!F54,4)&lt;&gt;"",INDEX(properties!A$1:CB$87,'Fórmula'!F54,4)),IF(INDEX(properties!A$1:CB$87,'Fórmula'!H54,4)&lt;&gt;"",INDEX(properties!A$1:CB$87,'Fórmula'!H54,4)),IF(INDEX(properties!A$1:CB$87,'Fórmula'!J54,4)&lt;&gt;"",INDEX(properties!A$1:CB$87,'Fórmula'!J54,4)))</f>
        <v>549.44</v>
      </c>
      <c r="K54" s="102">
        <f t="array" ref="K54">MAX(INDEX(properties!A$1:CB$87,'Fórmula'!B54,4),INDEX(properties!A$1:CB$87,'Fórmula'!D54,4),INDEX(properties!A$1:CB$87,'Fórmula'!F54,4),INDEX(properties!A$1:CB$87,'Fórmula'!H54,4),INDEX(properties!A$1:CB$87,'Fórmula'!J54,4))</f>
        <v>64</v>
      </c>
      <c r="L54" s="102">
        <f t="array" ref="L54">MIN(IF(INDEX(properties!A$1:CB$87,'Fórmula'!B54,4)=0,10^6,INDEX(properties!A$1:CB$87,'Fórmula'!B54,4)),IF(INDEX(properties!A$1:CB$87,'Fórmula'!D54,4)=0,10^6,INDEX(properties!A$1:CB$87,'Fórmula'!D54,4)),IF(INDEX(properties!A$1:CB$87,'Fórmula'!F54,4)=0,10^6,INDEX(properties!A$1:CB$87,'Fórmula'!F54,4)),IF(INDEX(properties!A$1:CB$87,'Fórmula'!H54,4)=0,10^6,INDEX(properties!A$1:CB$87,'Fórmula'!H54,4)),IF(INDEX(properties!A$1:CB$87,'Fórmula'!J54,4)=0,10^6,INDEX(properties!A$1:CB$87,'Fórmula'!J54,4)))</f>
        <v>8</v>
      </c>
      <c r="M54" s="102">
        <f t="shared" si="2"/>
        <v>56</v>
      </c>
      <c r="N54" s="103">
        <f t="array" ref="N54">(('Fórmula'!C54)/('Fórmula'!C54+'Fórmula'!E54+'Fórmula'!G54+'Fórmula'!I54+'Fórmula'!K54))*(INDEX(properties!A$1:CB$87,'Fórmula'!B54,5))+(('Fórmula'!E54)/('Fórmula'!C54+'Fórmula'!E54+'Fórmula'!G54+'Fórmula'!I54+'Fórmula'!K54))*(INDEX(properties!A$1:CB$87,'Fórmula'!D54,5))+(('Fórmula'!G54)/('Fórmula'!C54+'Fórmula'!E54+'Fórmula'!G54+'Fórmula'!I54+'Fórmula'!K54))*(INDEX(properties!A$1:CB$87,'Fórmula'!F54,5))+(('Fórmula'!I54)/('Fórmula'!C54+'Fórmula'!E54+'Fórmula'!G54+'Fórmula'!I54+'Fórmula'!K54))*(INDEX(properties!A$1:CB$87,'Fórmula'!H54,5))+(('Fórmula'!K54)/('Fórmula'!C54+'Fórmula'!E54+'Fórmula'!G54+'Fórmula'!I54+'Fórmula'!K54))*(INDEX(properties!A$1:CB$87,'Fórmula'!J54,5))</f>
        <v>3.083333333</v>
      </c>
      <c r="O54" s="103">
        <f t="array" ref="O54">'Fórmula'!C54*(INDEX(properties!A$1:CB$87,'Fórmula'!B54,5))+'Fórmula'!E54*(INDEX(properties!A$1:CB$87,'Fórmula'!D54,5))+'Fórmula'!G54*(INDEX(properties!A$1:CB$87,'Fórmula'!F54,5))+'Fórmula'!I54*(INDEX(properties!A$1:CB$87,'Fórmula'!H54,5))+'Fórmula'!K54*(INDEX(properties!A$1:CB$87,'Fórmula'!J54,5))</f>
        <v>37</v>
      </c>
      <c r="P54" s="103">
        <f t="array" ref="P54">VARP(IF(INDEX(properties!A$1:CB$87,'Fórmula'!B54,5)&lt;&gt;"",INDEX(properties!A$1:CB$87,'Fórmula'!B54,5)),IF(INDEX(properties!A$1:CB$87,'Fórmula'!D54,5)&lt;&gt;"",INDEX(properties!A$1:CB$87,'Fórmula'!D54,5)),IF(INDEX(properties!A$1:CB$87,'Fórmula'!F54,5)&lt;&gt;"",INDEX(properties!A$1:CB$87,'Fórmula'!F54,5)),IF(INDEX(properties!A$1:CB$87,'Fórmula'!H54,5)&lt;&gt;"",INDEX(properties!A$1:CB$87,'Fórmula'!H54,5)),IF(INDEX(properties!A$1:CB$87,'Fórmula'!J54,5)&lt;&gt;"",INDEX(properties!A$1:CB$87,'Fórmula'!J54,5)))</f>
        <v>4.56</v>
      </c>
      <c r="Q54" s="103">
        <f t="array" ref="Q54">MAX(INDEX(properties!A$1:CB$87,'Fórmula'!B54,5),INDEX(properties!A$1:CB$87,'Fórmula'!D54,5),INDEX(properties!A$1:CB$87,'Fórmula'!F54,5),INDEX(properties!A$1:CB$87,'Fórmula'!H54,5),INDEX(properties!A$1:CB$87,'Fórmula'!J54,5))</f>
        <v>6</v>
      </c>
      <c r="R54" s="103">
        <f t="array" ref="R54">MIN(IF(INDEX(properties!A$1:CB$87,'Fórmula'!B54,5)=0,10^6,INDEX(properties!A$1:CB$87,'Fórmula'!B54,5)),IF(INDEX(properties!A$1:CB$87,'Fórmula'!D54,5)=0,10^6,INDEX(properties!A$1:CB$87,'Fórmula'!D54,5)),IF(INDEX(properties!A$1:CB$87,'Fórmula'!F54,5)=0,10^6,INDEX(properties!A$1:CB$87,'Fórmula'!F54,5)),IF(INDEX(properties!A$1:CB$87,'Fórmula'!H54,5)=0,10^6,INDEX(properties!A$1:CB$87,'Fórmula'!H54,5)),IF(INDEX(properties!A$1:CB$87,'Fórmula'!J54,5)=0,10^6,INDEX(properties!A$1:CB$87,'Fórmula'!J54,5)))</f>
        <v>2</v>
      </c>
      <c r="S54" s="103">
        <f t="shared" si="3"/>
        <v>4</v>
      </c>
      <c r="T54" s="104">
        <f t="array" ref="T54">(('Fórmula'!C54)/('Fórmula'!C54+'Fórmula'!E54+'Fórmula'!G54+'Fórmula'!I54+'Fórmula'!K54))*(INDEX(properties!A$1:CB$87,'Fórmula'!B54,6))+(('Fórmula'!E54)/('Fórmula'!C54+'Fórmula'!E54+'Fórmula'!G54+'Fórmula'!I54+'Fórmula'!K54))*(INDEX(properties!A$1:CB$87,'Fórmula'!D54,6))+(('Fórmula'!G54)/('Fórmula'!C54+'Fórmula'!E54+'Fórmula'!G54+'Fórmula'!I54+'Fórmula'!K54))*(INDEX(properties!A$1:CB$87,'Fórmula'!F54,6))+(('Fórmula'!I54)/('Fórmula'!C54+'Fórmula'!E54+'Fórmula'!G54+'Fórmula'!I54+'Fórmula'!K54))*(INDEX(properties!A$1:CB$87,'Fórmula'!H54,6))+(('Fórmula'!K54)/('Fórmula'!C54+'Fórmula'!E54+'Fórmula'!G54+'Fórmula'!I54+'Fórmula'!K54))*(INDEX(properties!A$1:CB$87,'Fórmula'!J54,6))</f>
        <v>12.16666667</v>
      </c>
      <c r="U54" s="104">
        <f t="array" ref="U54">'Fórmula'!C54*(INDEX(properties!A$1:CB$87,'Fórmula'!B54,6))+'Fórmula'!E54*(INDEX(properties!A$1:CB$87,'Fórmula'!D54,6))+'Fórmula'!G54*(INDEX(properties!A$1:CB$87,'Fórmula'!F54,6))+'Fórmula'!I54*(INDEX(properties!A$1:CB$87,'Fórmula'!H54,6))+'Fórmula'!K54*(INDEX(properties!A$1:CB$87,'Fórmula'!J54,6))</f>
        <v>146</v>
      </c>
      <c r="V54" s="103">
        <f t="array" ref="V54">VARP(IF(INDEX(properties!A$1:CB$87,'Fórmula'!B54,6)&lt;&gt;"",INDEX(properties!A$1:CB$87,'Fórmula'!B54,6)),IF(INDEX(properties!A$1:CB$87,'Fórmula'!D54,6)&lt;&gt;"",INDEX(properties!A$1:CB$87,'Fórmula'!D54,6)),IF(INDEX(properties!A$1:CB$87,'Fórmula'!F54,6)&lt;&gt;"",INDEX(properties!A$1:CB$87,'Fórmula'!F54,6)),IF(INDEX(properties!A$1:CB$87,'Fórmula'!H54,6)&lt;&gt;"",INDEX(properties!A$1:CB$87,'Fórmula'!H54,6)),IF(INDEX(properties!A$1:CB$87,'Fórmula'!J54,6)&lt;&gt;"",INDEX(properties!A$1:CB$87,'Fórmula'!J54,6)))</f>
        <v>41.36</v>
      </c>
      <c r="W54" s="104">
        <f t="array" ref="W54">MAX(INDEX(properties!A$1:CB$87,'Fórmula'!B54,6),INDEX(properties!A$1:CB$87,'Fórmula'!D54,6),INDEX(properties!A$1:CB$87,'Fórmula'!F54,6),INDEX(properties!A$1:CB$87,'Fórmula'!H54,4),INDEX(properties!A$1:CB$87,'Fórmula'!J54,6))</f>
        <v>13</v>
      </c>
      <c r="X54" s="104">
        <f t="array" ref="X54">MIN(IF(INDEX(properties!A$1:CB$87,'Fórmula'!B54,6)=0,10^6,INDEX(properties!A$1:CB$87,'Fórmula'!B54,6)),IF(INDEX(properties!A$1:CB$87,'Fórmula'!D54,6)=0,10^6,INDEX(properties!A$1:CB$87,'Fórmula'!D54,6)),IF(INDEX(properties!A$1:CB$87,'Fórmula'!F54,6)=0,10^6,INDEX(properties!A$1:CB$87,'Fórmula'!F54,6)),IF(INDEX(properties!A$1:CB$87,'Fórmula'!H54,6)=0,10^6,INDEX(properties!A$1:CB$87,'Fórmula'!H54,6)),IF(INDEX(properties!A$1:CB$87,'Fórmula'!J54,6)=0,10^6,INDEX(properties!A$1:CB$87,'Fórmula'!J54,6)))</f>
        <v>2</v>
      </c>
      <c r="Y54" s="104">
        <f t="shared" si="4"/>
        <v>11</v>
      </c>
      <c r="Z54" s="105">
        <f t="array" ref="Z54">(('Fórmula'!C54)/('Fórmula'!C54+'Fórmula'!E54+'Fórmula'!G54+'Fórmula'!I54+'Fórmula'!K54))*(INDEX(properties!A$1:CB$87,'Fórmula'!B54,9))+(('Fórmula'!E54)/('Fórmula'!C54+'Fórmula'!E54+'Fórmula'!G54+'Fórmula'!I54+'Fórmula'!K54))*(INDEX(properties!A$1:CB$87,'Fórmula'!D54,9))+(('Fórmula'!G54)/('Fórmula'!C54+'Fórmula'!E54+'Fórmula'!G54+'Fórmula'!I54+'Fórmula'!K54))*(INDEX(properties!A$1:CB$87,'Fórmula'!F54,9))+(('Fórmula'!I54)/('Fórmula'!C54+'Fórmula'!E54+'Fórmula'!G54+'Fórmula'!I54+'Fórmula'!K54))*(INDEX(properties!A$1:CB$87,'Fórmula'!H54,9))+(('Fórmula'!K54)/('Fórmula'!C54+'Fórmula'!E54+'Fórmula'!G54+'Fórmula'!I54+'Fórmula'!K54))*(INDEX(properties!A$1:CB$87,'Fórmula'!J54,9))</f>
        <v>68.08333333</v>
      </c>
      <c r="AA54" s="105">
        <f t="array" ref="AA54">'Fórmula'!C54*(INDEX(properties!A$1:CB$87,'Fórmula'!B54,9))+'Fórmula'!E54*(INDEX(properties!A$1:CB$87,'Fórmula'!D54,9))+'Fórmula'!G54*(INDEX(properties!A$1:CB$87,'Fórmula'!F54,9))+'Fórmula'!I54*(INDEX(properties!A$1:CB$87,'Fórmula'!H54,9))+'Fórmula'!K54*(INDEX(properties!A$1:CB$87,'Fórmula'!J54,9))</f>
        <v>817</v>
      </c>
      <c r="AB54" s="105">
        <f t="array" ref="AB54">VARP(IF(INDEX(properties!A$1:CB$87,'Fórmula'!B54,9)&lt;&gt;"",INDEX(properties!A$1:CB$87,'Fórmula'!B54,9)),IF(INDEX(properties!A$1:CB$87,'Fórmula'!D54,9)&lt;&gt;"",INDEX(properties!A$1:CB$87,'Fórmula'!D54,9)),IF(INDEX(properties!A$1:CB$87,'Fórmula'!F54,9)&lt;&gt;"",INDEX(properties!A$1:CB$87,'Fórmula'!F54,9)),IF(INDEX(properties!A$1:CB$87,'Fórmula'!H54,9)&lt;&gt;"",INDEX(properties!A$1:CB$87,'Fórmula'!H54,9)),IF(INDEX(properties!A$1:CB$87,'Fórmula'!J54,9)&lt;&gt;"",INDEX(properties!A$1:CB$87,'Fórmula'!J54,9)))</f>
        <v>1217.2</v>
      </c>
      <c r="AC54" s="105">
        <f t="array" ref="AC54">MAX(INDEX(properties!A$1:CB$87,'Fórmula'!B54,9),INDEX(properties!A$1:CB$87,'Fórmula'!D54,9),INDEX(properties!A$1:CB$87,'Fórmula'!F54,9),INDEX(properties!A$1:CB$87,'Fórmula'!H54,9),INDEX(properties!A$1:CB$87,'Fórmula'!J54,9))</f>
        <v>87</v>
      </c>
      <c r="AD54" s="105">
        <f t="array" ref="AD54">MIN(IF(INDEX(properties!A$1:CB$87,'Fórmula'!B54,9)=0,10^6,INDEX(properties!A$1:CB$87,'Fórmula'!B54,9)),IF(INDEX(properties!A$1:CB$87,'Fórmula'!D54,9)=0,10^6,INDEX(properties!A$1:CB$87,'Fórmula'!D54,9)),IF(INDEX(properties!A$1:CB$87,'Fórmula'!F54,9)=0,10^6,INDEX(properties!A$1:CB$87,'Fórmula'!F54,9)),IF(INDEX(properties!A$1:CB$87,'Fórmula'!H54,9)=0,10^6,INDEX(properties!A$1:CB$87,'Fórmula'!H54,9)),IF(INDEX(properties!A$1:CB$87,'Fórmula'!J54,9)=0,10^6,INDEX(properties!A$1:CB$87,'Fórmula'!J54,9)))</f>
        <v>8</v>
      </c>
      <c r="AE54" s="105">
        <f t="shared" si="5"/>
        <v>79</v>
      </c>
      <c r="AF54" s="106">
        <f t="array" ref="AF54">(('Fórmula'!C54)/('Fórmula'!C54+'Fórmula'!E54+'Fórmula'!G54+'Fórmula'!I54+'Fórmula'!K54))*(INDEX(properties!A$1:CB$87,'Fórmula'!B54,10))+(('Fórmula'!E54)/('Fórmula'!C54+'Fórmula'!E54+'Fórmula'!G54+'Fórmula'!I54+'Fórmula'!K54))*(INDEX(properties!A$1:CB$87,'Fórmula'!D54,10))+(('Fórmula'!G54)/('Fórmula'!C54+'Fórmula'!E54+'Fórmula'!G54+'Fórmula'!I54+'Fórmula'!K54))*(INDEX(properties!A$1:CB$87,'Fórmula'!F54,10))+(('Fórmula'!I54)/('Fórmula'!C54+'Fórmula'!E54+'Fórmula'!G54+'Fórmula'!I54+'Fórmula'!K54))*(INDEX(properties!A$1:CB$87,'Fórmula'!H54,10))+(('Fórmula'!K54)/('Fórmula'!C54+'Fórmula'!E54+'Fórmula'!G54+'Fórmula'!I54+'Fórmula'!K54))*(INDEX(properties!A$1:CB$87,'Fórmula'!J54,10))</f>
        <v>5.583333333</v>
      </c>
      <c r="AG54" s="106">
        <f t="array" ref="AG54">'Fórmula'!C54*(INDEX(properties!A$1:CB$87,'Fórmula'!B54,10))+'Fórmula'!E54*(INDEX(properties!A$1:CB$87,'Fórmula'!D54,10))+'Fórmula'!G54*(INDEX(properties!A$1:CB$87,'Fórmula'!F54,10))+'Fórmula'!I54*(INDEX(properties!A$1:CB$87,'Fórmula'!H54,10))+'Fórmula'!K54*(INDEX(properties!A$1:CB$87,'Fórmula'!J54,10))</f>
        <v>67</v>
      </c>
      <c r="AH54" s="106">
        <f t="array" ref="AH54">VARP(IF(INDEX(properties!A$1:CB$87,'Fórmula'!B54,10)&lt;&gt;"",INDEX(properties!A$1:CB$87,'Fórmula'!B54,10)),IF(INDEX(properties!A$1:CB$87,'Fórmula'!D54,10)&lt;&gt;"",INDEX(properties!A$1:CB$87,'Fórmula'!D54,10)),IF(INDEX(properties!A$1:CB$87,'Fórmula'!F54,10)&lt;&gt;"",INDEX(properties!A$1:CB$87,'Fórmula'!F54,10)),IF(INDEX(properties!A$1:CB$87,'Fórmula'!H54,10)&lt;&gt;"",INDEX(properties!A$1:CB$87,'Fórmula'!H54,10)),IF(INDEX(properties!A$1:CB$87,'Fórmula'!J54,10)&lt;&gt;"",INDEX(properties!A$1:CB$87,'Fórmula'!J54,10)))</f>
        <v>5.84</v>
      </c>
      <c r="AI54" s="106">
        <f t="array" ref="AI54">MAX(INDEX(properties!A$1:CB$87,'Fórmula'!B54,10),INDEX(properties!A$1:CB$87,'Fórmula'!D54,10),INDEX(properties!A$1:CB$87,'Fórmula'!F54,10),INDEX(properties!A$1:CB$87,'Fórmula'!H54,10),INDEX(properties!A$1:CB$87,'Fórmula'!J54,10))</f>
        <v>7</v>
      </c>
      <c r="AJ54" s="106">
        <f t="array" ref="AJ54">MIN(IF(INDEX(properties!A$1:CB$87,'Fórmula'!B54,10)=0,10^6,INDEX(properties!A$1:CB$87,'Fórmula'!B54,10)),IF(INDEX(properties!A$1:CB$87,'Fórmula'!D54,10)=0,10^6,INDEX(properties!A$1:CB$87,'Fórmula'!D54,10)),IF(INDEX(properties!A$1:CB$87,'Fórmula'!F54,10)=0,10^6,INDEX(properties!A$1:CB$87,'Fórmula'!F54,10)),IF(INDEX(properties!A$1:CB$87,'Fórmula'!H54,10)=0,10^6,INDEX(properties!A$1:CB$87,'Fórmula'!H54,10)),IF(INDEX(properties!A$1:CB$87,'Fórmula'!J54,10)=0,10^6,INDEX(properties!A$1:CB$87,'Fórmula'!J54,10)))</f>
        <v>2</v>
      </c>
      <c r="AK54" s="106">
        <f t="shared" si="6"/>
        <v>5</v>
      </c>
      <c r="AL54" s="107">
        <f t="array" ref="AL54">(('Fórmula'!C54)/('Fórmula'!C54+'Fórmula'!E54+'Fórmula'!G54+'Fórmula'!I54+'Fórmula'!K54))*(INDEX(properties!A$1:CB$87,'Fórmula'!B54,11))+(('Fórmula'!E54)/('Fórmula'!C54+'Fórmula'!E54+'Fórmula'!G54+'Fórmula'!I54+'Fórmula'!K54))*(INDEX(properties!A$1:CB$87,'Fórmula'!D54,11))+(('Fórmula'!G54)/('Fórmula'!C54+'Fórmula'!E54+'Fórmula'!G54+'Fórmula'!I54+'Fórmula'!K54))*(INDEX(properties!A$1:CB$87,'Fórmula'!F54,11))+(('Fórmula'!I54)/('Fórmula'!C54+'Fórmula'!E54+'Fórmula'!G54+'Fórmula'!I54+'Fórmula'!K54))*(INDEX(properties!A$1:CB$87,'Fórmula'!H54,11))+(('Fórmula'!K54)/('Fórmula'!C54+'Fórmula'!E54+'Fórmula'!G54+'Fórmula'!I54+'Fórmula'!K54))*(INDEX(properties!A$1:CB$87,'Fórmula'!J54,11))</f>
        <v>2</v>
      </c>
      <c r="AM54" s="107">
        <f t="array" ref="AM54">'Fórmula'!C54*(INDEX(properties!A$1:CB$87,'Fórmula'!B54,11))+'Fórmula'!E54*(INDEX(properties!A$1:CB$87,'Fórmula'!D54,11))+'Fórmula'!G54*(INDEX(properties!A$1:CB$87,'Fórmula'!F54,11))+'Fórmula'!I54*(INDEX(properties!A$1:CB$87,'Fórmula'!H54,11))+'Fórmula'!K54*(INDEX(properties!A$1:CB$87,'Fórmula'!J54,11))</f>
        <v>24</v>
      </c>
      <c r="AN54" s="107">
        <f t="array" ref="AN54">VARP(IF(INDEX(properties!A$1:CB$87,'Fórmula'!B54,11)&lt;&gt;"",INDEX(properties!A$1:CB$87,'Fórmula'!B54,11)),IF(INDEX(properties!A$1:CB$87,'Fórmula'!D54,11)&lt;&gt;"",INDEX(properties!A$1:CB$87,'Fórmula'!D54,11)),IF(INDEX(properties!A$1:CB$87,'Fórmula'!F54,11)&lt;&gt;"",INDEX(properties!A$1:CB$87,'Fórmula'!F54,11)),IF(INDEX(properties!A$1:CB$87,'Fórmula'!H54,11)&lt;&gt;"",INDEX(properties!A$1:CB$87,'Fórmula'!H54,11)),IF(INDEX(properties!A$1:CB$87,'Fórmula'!J54,11)&lt;&gt;"",INDEX(properties!A$1:CB$87,'Fórmula'!J54,11)))</f>
        <v>0.64</v>
      </c>
      <c r="AO54" s="107">
        <f t="array" ref="AO54">MAX(INDEX(properties!A$1:CB$87,'Fórmula'!B54,11),INDEX(properties!A$1:CB$87,'Fórmula'!D54,11),INDEX(properties!A$1:CB$87,'Fórmula'!F54,11),INDEX(properties!A$1:CB$87,'Fórmula'!H54,11),INDEX(properties!A$1:CB$87,'Fórmula'!J54,11))</f>
        <v>2</v>
      </c>
      <c r="AP54" s="107">
        <f t="array" ref="AP54">MIN(IF('Fórmula'!B54=87,10^6,INDEX(properties!A$1:CB$87,'Fórmula'!B54,11)),IF(('Fórmula'!D54)=87,10^6,INDEX(properties!A$1:CB$87,'Fórmula'!D54,11)),IF(('Fórmula'!F54)=87,10^6,INDEX(properties!A$1:CB$87,'Fórmula'!F54,11)),IF(('Fórmula'!H54)=87,10^6,INDEX(properties!A$1:CB$87,'Fórmula'!H54,11)),IF('Fórmula'!J54=87,10^6,INDEX(properties!A$1:CB$87,'Fórmula'!J54,11)))</f>
        <v>2</v>
      </c>
      <c r="AQ54" s="107">
        <f t="shared" si="7"/>
        <v>0</v>
      </c>
      <c r="AR54" s="108">
        <f t="array" ref="AR54">(('Fórmula'!C54)/('Fórmula'!C54+'Fórmula'!E54+'Fórmula'!G54+'Fórmula'!I54+'Fórmula'!K54))*(INDEX(properties!A$1:CB$87,'Fórmula'!B54,12))+(('Fórmula'!E54)/('Fórmula'!C54+'Fórmula'!E54+'Fórmula'!G54+'Fórmula'!I54+'Fórmula'!K54))*(INDEX(properties!A$1:CB$87,'Fórmula'!D54,12))+(('Fórmula'!G54)/('Fórmula'!C54+'Fórmula'!E54+'Fórmula'!G54+'Fórmula'!I54+'Fórmula'!K54))*(INDEX(properties!A$1:CB$87,'Fórmula'!F54,12))+(('Fórmula'!I54)/('Fórmula'!C54+'Fórmula'!E54+'Fórmula'!G54+'Fórmula'!I54+'Fórmula'!K54))*(INDEX(properties!A$1:CB$87,'Fórmula'!H54,12))+(('Fórmula'!K54)/('Fórmula'!C54+'Fórmula'!E54+'Fórmula'!G54+'Fórmula'!I54+'Fórmula'!K54))*(INDEX(properties!A$1:CB$87,'Fórmula'!J54,12))</f>
        <v>2.5</v>
      </c>
      <c r="AS54" s="108">
        <f t="array" ref="AS54">'Fórmula'!C54*(INDEX(properties!A$1:CB$87,'Fórmula'!B54,12))+'Fórmula'!E54*(INDEX(properties!A$1:CB$87,'Fórmula'!D54,12))+'Fórmula'!G54*(INDEX(properties!A$1:CB$87,'Fórmula'!F54,12))+'Fórmula'!I54*(INDEX(properties!A$1:CB$87,'Fórmula'!H54,12))+'Fórmula'!K54*(INDEX(properties!A$1:CB$87,'Fórmula'!J54,12))</f>
        <v>30</v>
      </c>
      <c r="AT54" s="108">
        <f t="array" ref="AT54">VARP(IF(INDEX(properties!A$1:CB$87,'Fórmula'!B54,12)&lt;&gt;"",INDEX(properties!A$1:CB$87,'Fórmula'!B54,12)),IF(INDEX(properties!A$1:CB$87,'Fórmula'!D54,12)&lt;&gt;"",INDEX(properties!A$1:CB$87,'Fórmula'!D54,12)),IF(INDEX(properties!A$1:CB$87,'Fórmula'!F54,12)&lt;&gt;"",INDEX(properties!A$1:CB$87,'Fórmula'!F54,12)),IF(INDEX(properties!A$1:CB$87,'Fórmula'!H54,12)&lt;&gt;"",INDEX(properties!A$1:CB$87,'Fórmula'!H54,12)),IF(INDEX(properties!A$1:CB$87,'Fórmula'!J54,12)&lt;&gt;"",INDEX(properties!A$1:CB$87,'Fórmula'!J54,12)))</f>
        <v>2.4</v>
      </c>
      <c r="AU54" s="108">
        <f t="array" ref="AU54">MAX(INDEX(properties!A$1:CB$87,'Fórmula'!B54,12),INDEX(properties!A$1:CB$87,'Fórmula'!D54,12),INDEX(properties!A$1:CB$87,'Fórmula'!F54,12),INDEX(properties!A$1:CB$87,'Fórmula'!H54,12),INDEX(properties!A$1:CB$87,'Fórmula'!J54,12))</f>
        <v>4</v>
      </c>
      <c r="AV54" s="108">
        <f t="array" ref="AV54">MIN(IF('Fórmula'!B54=87,10^6,INDEX(properties!A$1:CB$87,'Fórmula'!B54,12)),IF(('Fórmula'!D54)=87,10^6,INDEX(properties!A$1:CB$87,'Fórmula'!D54,12)),IF(('Fórmula'!F54)=87,10^6,INDEX(properties!A$1:CB$87,'Fórmula'!F54,12)),IF(('Fórmula'!H54)=87,10^6,INDEX(properties!A$1:CB$87,'Fórmula'!H54,12)),IF('Fórmula'!J54=87,10^6,INDEX(properties!A$1:CB$87,'Fórmula'!J54,12)))</f>
        <v>0</v>
      </c>
      <c r="AW54" s="108">
        <f t="shared" si="8"/>
        <v>4</v>
      </c>
      <c r="AX54" s="109">
        <f t="array" ref="AX54">(('Fórmula'!C54)/('Fórmula'!C54+'Fórmula'!E54+'Fórmula'!G54+'Fórmula'!I54+'Fórmula'!K54))*(INDEX(properties!A$1:CB$87,'Fórmula'!B54,13))+(('Fórmula'!E54)/('Fórmula'!C54+'Fórmula'!E54+'Fórmula'!G54+'Fórmula'!I54+'Fórmula'!K54))*(INDEX(properties!A$1:CB$87,'Fórmula'!D54,13))+(('Fórmula'!G54)/('Fórmula'!C54+'Fórmula'!E54+'Fórmula'!G54+'Fórmula'!I54+'Fórmula'!K54))*(INDEX(properties!A$1:CB$87,'Fórmula'!F54,13))+(('Fórmula'!I54)/('Fórmula'!C54+'Fórmula'!E54+'Fórmula'!G54+'Fórmula'!I54+'Fórmula'!K54))*(INDEX(properties!A$1:CB$87,'Fórmula'!H54,13))+(('Fórmula'!K54)/('Fórmula'!C54+'Fórmula'!E54+'Fórmula'!G54+'Fórmula'!I54+'Fórmula'!K54))*(INDEX(properties!A$1:CB$87,'Fórmula'!J54,13))</f>
        <v>0.1666666667</v>
      </c>
      <c r="AY54" s="109">
        <f t="array" ref="AY54">'Fórmula'!C54*(INDEX(properties!A$1:CB$87,'Fórmula'!B54,13))+'Fórmula'!E54*(INDEX(properties!A$1:CB$87,'Fórmula'!D54,13))+'Fórmula'!G54*(INDEX(properties!A$1:CB$87,'Fórmula'!F54,13))+'Fórmula'!I54*(INDEX(properties!A$1:CB$87,'Fórmula'!H54,13))+'Fórmula'!K54*(INDEX(properties!A$1:CB$87,'Fórmula'!J54,13))</f>
        <v>2</v>
      </c>
      <c r="AZ54" s="109">
        <f t="array" ref="AZ54">VARP(IF(INDEX(properties!A$1:CB$87,'Fórmula'!B54,13)&lt;&gt;"",INDEX(properties!A$1:CB$87,'Fórmula'!B54,13)),IF(INDEX(properties!A$1:CB$87,'Fórmula'!D54,13)&lt;&gt;"",INDEX(properties!A$1:CB$87,'Fórmula'!D54,13)),IF(INDEX(properties!A$1:CB$87,'Fórmula'!F54,13)&lt;&gt;"",INDEX(properties!A$1:CB$87,'Fórmula'!F54,13)),IF(INDEX(properties!A$1:CB$87,'Fórmula'!H54,13)&lt;&gt;"",INDEX(properties!A$1:CB$87,'Fórmula'!H54,13)),IF(INDEX(properties!A$1:CB$87,'Fórmula'!J54,13)&lt;&gt;"",INDEX(properties!A$1:CB$87,'Fórmula'!J54,13)))</f>
        <v>0.16</v>
      </c>
      <c r="BA54" s="109">
        <f t="array" ref="BA54">MAX(INDEX(properties!A$1:CB$87,'Fórmula'!B54,13),INDEX(properties!A$1:CB$87,'Fórmula'!D54,13),INDEX(properties!A$1:CB$87,'Fórmula'!F54,13),INDEX(properties!A$1:CB$87,'Fórmula'!H54,13),INDEX(properties!A$1:CB$87,'Fórmula'!J54,13))</f>
        <v>1</v>
      </c>
      <c r="BB54" s="109">
        <f t="array" ref="BB54">MIN(IF('Fórmula'!B54=87,10^6,INDEX(properties!A$1:CB$87,'Fórmula'!B54,13)),IF(('Fórmula'!D54)=87,10^6,INDEX(properties!A$1:CB$87,'Fórmula'!D54,13)),IF(('Fórmula'!F54)=87,10^6,INDEX(properties!A$1:CB$87,'Fórmula'!F54,13)),IF(('Fórmula'!H54)=87,10^6,INDEX(properties!A$1:CB$87,'Fórmula'!H54,13)),IF('Fórmula'!J54=87,10^6,INDEX(properties!A$1:CB$87,'Fórmula'!J54,13)))</f>
        <v>0</v>
      </c>
      <c r="BC54" s="109">
        <f t="shared" si="9"/>
        <v>1</v>
      </c>
      <c r="BD54" s="110">
        <f t="array" ref="BD54">(('Fórmula'!C54)/('Fórmula'!C54+'Fórmula'!E54+'Fórmula'!G54+'Fórmula'!I54+'Fórmula'!K54))*(INDEX(properties!A$1:CB$87,'Fórmula'!B54,14))+(('Fórmula'!E54)/('Fórmula'!C54+'Fórmula'!E54+'Fórmula'!G54+'Fórmula'!I54+'Fórmula'!K54))*(INDEX(properties!A$1:CB$87,'Fórmula'!D54,14))+(('Fórmula'!G54)/('Fórmula'!C54+'Fórmula'!E54+'Fórmula'!G54+'Fórmula'!I54+'Fórmula'!K54))*(INDEX(properties!A$1:CB$87,'Fórmula'!F54,14))+(('Fórmula'!I54)/('Fórmula'!C54+'Fórmula'!E54+'Fórmula'!G54+'Fórmula'!I54+'Fórmula'!K54))*(INDEX(properties!A$1:CB$87,'Fórmula'!H54,14))+(('Fórmula'!K54)/('Fórmula'!C54+'Fórmula'!E54+'Fórmula'!G54+'Fórmula'!I54+'Fórmula'!K54))*(INDEX(properties!A$1:CB$87,'Fórmula'!J54,14))</f>
        <v>1.166666667</v>
      </c>
      <c r="BE54" s="110">
        <f t="array" ref="BE54">'Fórmula'!C54*(INDEX(properties!A$1:CB$87,'Fórmula'!B54,14))+'Fórmula'!E54*(INDEX(properties!A$1:CB$87,'Fórmula'!D54,14))+'Fórmula'!G54*(INDEX(properties!A$1:CB$87,'Fórmula'!F54,14))+'Fórmula'!I54*(INDEX(properties!A$1:CB$87,'Fórmula'!H54,14))+'Fórmula'!K54*(INDEX(properties!A$1:CB$87,'Fórmula'!J54,14))</f>
        <v>14</v>
      </c>
      <c r="BF54" s="110">
        <f t="array" ref="BF54">VARP(IF(INDEX(properties!A$1:CB$87,'Fórmula'!B54,14)&lt;&gt;"",INDEX(properties!A$1:CB$87,'Fórmula'!B54,14)),IF(INDEX(properties!A$1:CB$87,'Fórmula'!D54,14)&lt;&gt;"",INDEX(properties!A$1:CB$87,'Fórmula'!D54,14)),IF(INDEX(properties!A$1:CB$87,'Fórmula'!F54,14)&lt;&gt;"",INDEX(properties!A$1:CB$87,'Fórmula'!F54,14)),IF(INDEX(properties!A$1:CB$87,'Fórmula'!H54,14)&lt;&gt;"",INDEX(properties!A$1:CB$87,'Fórmula'!H54,14)),IF(INDEX(properties!A$1:CB$87,'Fórmula'!J54,14)&lt;&gt;"",INDEX(properties!A$1:CB$87,'Fórmula'!J54,14)))</f>
        <v>7.84</v>
      </c>
      <c r="BG54" s="110">
        <f t="array" ref="BG54">MAX(INDEX(properties!A$1:CB$87,'Fórmula'!B54,14),INDEX(properties!A$1:CB$87,'Fórmula'!D54,14),INDEX(properties!A$1:CB$87,'Fórmula'!F54,14),INDEX(properties!A$1:CB$87,'Fórmula'!H54,14),INDEX(properties!A$1:CB$87,'Fórmula'!J54,14))</f>
        <v>7</v>
      </c>
      <c r="BH54" s="110">
        <f t="array" ref="BH54">MIN(IF('Fórmula'!B54=87,10^6,INDEX(properties!A$1:CB$87,'Fórmula'!B54,14)),IF(('Fórmula'!D54)=87,10^6,INDEX(properties!A$1:CB$87,'Fórmula'!D54,14)),IF(('Fórmula'!F54)=87,10^6,INDEX(properties!A$1:CB$87,'Fórmula'!F54,14)),IF(('Fórmula'!H54)=87,10^6,INDEX(properties!A$1:CB$87,'Fórmula'!H54,14)),IF('Fórmula'!J54=87,10^6,INDEX(properties!A$1:CB$87,'Fórmula'!J54,14)))</f>
        <v>0</v>
      </c>
      <c r="BI54" s="110">
        <f t="shared" si="10"/>
        <v>7</v>
      </c>
      <c r="BJ54" s="111">
        <f t="array" ref="BJ54">(('Fórmula'!C54)/('Fórmula'!C54+'Fórmula'!E54+'Fórmula'!G54+'Fórmula'!I54+'Fórmula'!K54))*(INDEX(properties!A$1:CB$87,'Fórmula'!B54,19))+(('Fórmula'!E54)/('Fórmula'!C54+'Fórmula'!E54+'Fórmula'!G54+'Fórmula'!I54+'Fórmula'!K54))*(INDEX(properties!A$1:CB$87,'Fórmula'!D54,19))+(('Fórmula'!G54)/('Fórmula'!C54+'Fórmula'!E54+'Fórmula'!G54+'Fórmula'!I54+'Fórmula'!K54))*(INDEX(properties!A$1:CB$87,'Fórmula'!F54,19))+(('Fórmula'!I54)/('Fórmula'!C54+'Fórmula'!E54+'Fórmula'!G54+'Fórmula'!I54+'Fórmula'!K54))*(INDEX(properties!A$1:CB$87,'Fórmula'!H54,19))+(('Fórmula'!K54)/('Fórmula'!C54+'Fórmula'!E54+'Fórmula'!G54+'Fórmula'!I54+'Fórmula'!K54))*(INDEX(properties!A$1:CB$87,'Fórmula'!J54,19))</f>
        <v>5.833333333</v>
      </c>
      <c r="BK54" s="111">
        <f t="array" ref="BK54">'Fórmula'!C54*(INDEX(properties!A$1:CB$87,'Fórmula'!B54,19))+'Fórmula'!E54*(INDEX(properties!A$1:CB$87,'Fórmula'!D54,19))+'Fórmula'!G54*(INDEX(properties!A$1:CB$87,'Fórmula'!F54,19))+'Fórmula'!I54*(INDEX(properties!A$1:CB$87,'Fórmula'!H54,19))+'Fórmula'!K54*(INDEX(properties!A$1:CB$87,'Fórmula'!J54,19))</f>
        <v>70</v>
      </c>
      <c r="BL54" s="111">
        <f t="array" ref="BL54">VARP(IF(INDEX(properties!A$1:CB$87,'Fórmula'!B54,19)&lt;&gt;"",INDEX(properties!A$1:CB$87,'Fórmula'!B54,19)),IF(INDEX(properties!A$1:CB$87,'Fórmula'!D54,19)&lt;&gt;"",INDEX(properties!A$1:CB$87,'Fórmula'!D54,19)),IF(INDEX(properties!A$1:CB$87,'Fórmula'!F54,19)&lt;&gt;"",INDEX(properties!A$1:CB$87,'Fórmula'!F54,19)),IF(INDEX(properties!A$1:CB$87,'Fórmula'!H54,19)&lt;&gt;"",INDEX(properties!A$1:CB$87,'Fórmula'!H54,19)),IF(INDEX(properties!A$1:CB$87,'Fórmula'!J54,19)&lt;&gt;"",INDEX(properties!A$1:CB$87,'Fórmula'!J54,19)))</f>
        <v>12.16</v>
      </c>
      <c r="BM54" s="111">
        <f t="array" ref="BM54">MAX(INDEX(properties!A$1:CB$87,'Fórmula'!B54,19),INDEX(properties!A$1:CB$87,'Fórmula'!D54,19),INDEX(properties!A$1:CB$87,'Fórmula'!F54,19),INDEX(properties!A$1:CB$87,'Fórmula'!H54,19),INDEX(properties!A$1:CB$87,'Fórmula'!J54,19))</f>
        <v>10</v>
      </c>
      <c r="BN54" s="111">
        <f t="array" ref="BN54">MIN(IF(INDEX(properties!A$1:CB$87,'Fórmula'!B54,19)=0,10^6,INDEX(properties!A$1:CB$87,'Fórmula'!B54,19)),IF(INDEX(properties!A$1:CB$87,'Fórmula'!D54,19)=0,10^6,INDEX(properties!A$1:CB$87,'Fórmula'!D54,19)),IF(INDEX(properties!A$1:CB$87,'Fórmula'!F54,19)=0,10^6,INDEX(properties!A$1:CB$87,'Fórmula'!F54,19)),IF(INDEX(properties!A$1:CB$87,'Fórmula'!H54,19)=0,10^6,INDEX(properties!A$1:CB$87,'Fórmula'!H54,19)),IF(INDEX(properties!A$1:CB$87,'Fórmula'!J54,19)=0,10^6,INDEX(properties!A$1:CB$87,'Fórmula'!J54,19)))</f>
        <v>2</v>
      </c>
      <c r="BO54" s="111">
        <f t="shared" si="11"/>
        <v>8</v>
      </c>
      <c r="BP54" s="112">
        <f t="array" ref="BP54">(('Fórmula'!C54)/('Fórmula'!C54+'Fórmula'!E54+'Fórmula'!G54+'Fórmula'!I54+'Fórmula'!K54))*(INDEX(properties!A$1:CB$87,'Fórmula'!B54,20))+(('Fórmula'!E54)/('Fórmula'!C54+'Fórmula'!E54+'Fórmula'!G54+'Fórmula'!I54+'Fórmula'!K54))*(INDEX(properties!A$1:CB$87,'Fórmula'!D54,20))+(('Fórmula'!G54)/('Fórmula'!C54+'Fórmula'!E54+'Fórmula'!G54+'Fórmula'!I54+'Fórmula'!K54))*(INDEX(properties!A$1:CB$87,'Fórmula'!F54,20))+(('Fórmula'!I54)/('Fórmula'!C54+'Fórmula'!E54+'Fórmula'!G54+'Fórmula'!I54+'Fórmula'!K54))*(INDEX(properties!A$1:CB$87,'Fórmula'!H54,20))+(('Fórmula'!K54)/('Fórmula'!C54+'Fórmula'!E54+'Fórmula'!G54+'Fórmula'!I54+'Fórmula'!K54))*(INDEX(properties!A$1:CB$87,'Fórmula'!J54,20))</f>
        <v>4.5</v>
      </c>
      <c r="BQ54" s="112">
        <f t="array" ref="BQ54">'Fórmula'!C54*(INDEX(properties!A$1:CB$87,'Fórmula'!B54,20))+'Fórmula'!E54*(INDEX(properties!A$1:CB$87,'Fórmula'!D54,20))+'Fórmula'!G54*(INDEX(properties!A$1:CB$87,'Fórmula'!F54,20))+'Fórmula'!I54*(INDEX(properties!A$1:CB$87,'Fórmula'!H54,20))+'Fórmula'!K54*(INDEX(properties!A$1:CB$87,'Fórmula'!J54,20))</f>
        <v>54</v>
      </c>
      <c r="BR54" s="112">
        <f t="array" ref="BR54">VARP(IF(INDEX(properties!A$1:CB$87,'Fórmula'!B54,20)&lt;&gt;"",INDEX(properties!A$1:CB$87,'Fórmula'!B54,20)),IF(INDEX(properties!A$1:CB$87,'Fórmula'!D54,20)&lt;&gt;"",INDEX(properties!A$1:CB$87,'Fórmula'!D54,20)),IF(INDEX(properties!A$1:CB$87,'Fórmula'!F54,20)&lt;&gt;"",INDEX(properties!A$1:CB$87,'Fórmula'!F54,20)),IF(INDEX(properties!A$1:CB$87,'Fórmula'!H54,20)&lt;&gt;"",INDEX(properties!A$1:CB$87,'Fórmula'!H54,20)),IF(INDEX(properties!A$1:CB$87,'Fórmula'!J54,20)&lt;&gt;"",INDEX(properties!A$1:CB$87,'Fórmula'!J54,20)))</f>
        <v>3.84</v>
      </c>
      <c r="BS54" s="112">
        <f t="array" ref="BS54">MAX(INDEX(properties!A$1:CB$87,'Fórmula'!B54,20),INDEX(properties!A$1:CB$87,'Fórmula'!D54,20),INDEX(properties!A$1:CB$87,'Fórmula'!F54,20),INDEX(properties!A$1:CB$87,'Fórmula'!H54,20),INDEX(properties!A$1:CB$87,'Fórmula'!J54,20))</f>
        <v>6</v>
      </c>
      <c r="BT54" s="112">
        <f t="array" ref="BT54">MIN(IF(INDEX(properties!A$1:CB$87,'Fórmula'!B54,20)=0,10^6,INDEX(properties!A$1:CB$87,'Fórmula'!B54,20)),IF(INDEX(properties!A$1:CB$87,'Fórmula'!D54,20)=0,10^6,INDEX(properties!A$1:CB$87,'Fórmula'!D54,20)),IF(INDEX(properties!A$1:CB$87,'Fórmula'!F54,20)=0,10^6,INDEX(properties!A$1:CB$87,'Fórmula'!F54,20)),IF(INDEX(properties!A$1:CB$87,'Fórmula'!H54,20)=0,10^6,INDEX(properties!A$1:CB$87,'Fórmula'!H54,20)),IF(INDEX(properties!A$1:CB$87,'Fórmula'!J54,20)=0,10^6,INDEX(properties!A$1:CB$87,'Fórmula'!J54,20)))</f>
        <v>2</v>
      </c>
      <c r="BU54" s="112">
        <f t="shared" si="12"/>
        <v>4</v>
      </c>
      <c r="BV54" s="113">
        <f t="array" ref="BV54">(('Fórmula'!C54)/('Fórmula'!C54+'Fórmula'!E54+'Fórmula'!G54+'Fórmula'!I54+'Fórmula'!K54))*(INDEX(properties!A$1:CB$87,'Fórmula'!B54,21))+(('Fórmula'!E54)/('Fórmula'!C54+'Fórmula'!E54+'Fórmula'!G54+'Fórmula'!I54+'Fórmula'!K54))*(INDEX(properties!A$1:CB$87,'Fórmula'!D54,21))+(('Fórmula'!G54)/('Fórmula'!C54+'Fórmula'!E54+'Fórmula'!G54+'Fórmula'!I54+'Fórmula'!K54))*(INDEX(properties!A$1:CB$87,'Fórmula'!F54,21))+(('Fórmula'!I54)/('Fórmula'!C54+'Fórmula'!E54+'Fórmula'!G54+'Fórmula'!I54+'Fórmula'!K54))*(INDEX(properties!A$1:CB$87,'Fórmula'!H54,21))+(('Fórmula'!K54)/('Fórmula'!C54+'Fórmula'!E54+'Fórmula'!G54+'Fórmula'!I54+'Fórmula'!K54))*(INDEX(properties!A$1:CB$87,'Fórmula'!J54,21))</f>
        <v>4.666666667</v>
      </c>
      <c r="BW54" s="113">
        <f t="array" ref="BW54">'Fórmula'!C54*(INDEX(properties!A$1:CB$87,'Fórmula'!B54,21))+'Fórmula'!E54*(INDEX(properties!A$1:CB$87,'Fórmula'!D54,21))+'Fórmula'!G54*(INDEX(properties!A$1:CB$87,'Fórmula'!F54,21))+'Fórmula'!I54*(INDEX(properties!A$1:CB$87,'Fórmula'!H54,21))+'Fórmula'!K54*(INDEX(properties!A$1:CB$87,'Fórmula'!J54,21))</f>
        <v>56</v>
      </c>
      <c r="BX54" s="113">
        <f t="array" ref="BX54">VARP(IF(INDEX(properties!A$1:CB$87,'Fórmula'!B54,21)&lt;&gt;"",INDEX(properties!A$1:CB$87,'Fórmula'!B54,21)),IF(INDEX(properties!A$1:CB$87,'Fórmula'!D54,21)&lt;&gt;"",INDEX(properties!A$1:CB$87,'Fórmula'!D54,21)),IF(INDEX(properties!A$1:CB$87,'Fórmula'!F54,21)&lt;&gt;"",INDEX(properties!A$1:CB$87,'Fórmula'!F54,21)),IF(INDEX(properties!A$1:CB$87,'Fórmula'!H54,21)&lt;&gt;"",INDEX(properties!A$1:CB$87,'Fórmula'!H54,21)),IF(INDEX(properties!A$1:CB$87,'Fórmula'!J54,21)&lt;&gt;"",INDEX(properties!A$1:CB$87,'Fórmula'!J54,21)))</f>
        <v>3.76</v>
      </c>
      <c r="BY54" s="113">
        <f t="array" ref="BY54">MAX(INDEX(properties!A$1:CB$87,'Fórmula'!B54,21),INDEX(properties!A$1:CB$87,'Fórmula'!D54,21),INDEX(properties!A$1:CB$87,'Fórmula'!F54,21),INDEX(properties!A$1:CB$87,'Fórmula'!H54,21),INDEX(properties!A$1:CB$87,'Fórmula'!J54,21))</f>
        <v>6</v>
      </c>
      <c r="BZ54" s="113">
        <f t="array" ref="BZ54">MIN(IF(INDEX(properties!A$1:CB$87,'Fórmula'!B54,21)=0,10^6,INDEX(properties!A$1:CB$87,'Fórmula'!B54,21)),IF(INDEX(properties!A$1:CB$87,'Fórmula'!D54,21)=0,10^6,INDEX(properties!A$1:CB$87,'Fórmula'!D54,21)),IF(INDEX(properties!A$1:CB$87,'Fórmula'!F54,21)=0,10^6,INDEX(properties!A$1:CB$87,'Fórmula'!F54,21)),IF(INDEX(properties!A$1:CB$87,'Fórmula'!H54,21)=0,10^6,INDEX(properties!A$1:CB$87,'Fórmula'!H54,21)),IF(INDEX(properties!A$1:CB$87,'Fórmula'!J54,21)=0,10^6,INDEX(properties!A$1:CB$87,'Fórmula'!J54,21)))</f>
        <v>2</v>
      </c>
      <c r="CA54" s="113">
        <f t="shared" si="13"/>
        <v>4</v>
      </c>
      <c r="CB54" s="114">
        <f t="array" ref="CB54">(('Fórmula'!C54)/('Fórmula'!C54+'Fórmula'!E54+'Fórmula'!G54+'Fórmula'!I54+'Fórmula'!K54))*(INDEX(properties!A$1:CB$87,'Fórmula'!B54,23))+(('Fórmula'!E54)/('Fórmula'!C54+'Fórmula'!E54+'Fórmula'!G54+'Fórmula'!I54+'Fórmula'!K54))*(INDEX(properties!A$1:CB$87,'Fórmula'!D54,23))+(('Fórmula'!G54)/('Fórmula'!C54+'Fórmula'!E54+'Fórmula'!G54+'Fórmula'!I54+'Fórmula'!K54))*(INDEX(properties!A$1:CB$87,'Fórmula'!F54,23))+(('Fórmula'!I54)/('Fórmula'!C54+'Fórmula'!E54+'Fórmula'!G54+'Fórmula'!I54+'Fórmula'!K54))*(INDEX(properties!A$1:CB$87,'Fórmula'!H54,23))+(('Fórmula'!K54)/('Fórmula'!C54+'Fórmula'!E54+'Fórmula'!G54+'Fórmula'!I54+'Fórmula'!K54))*(INDEX(properties!A$1:CB$87,'Fórmula'!J54,23))</f>
        <v>1.166666667</v>
      </c>
      <c r="CC54" s="114">
        <f t="array" ref="CC54">'Fórmula'!C54*(INDEX(properties!A$1:CB$87,'Fórmula'!B54,23))+'Fórmula'!E54*(INDEX(properties!A$1:CB$87,'Fórmula'!D54,23))+'Fórmula'!G54*(INDEX(properties!A$1:CB$87,'Fórmula'!F54,23))+'Fórmula'!I54*(INDEX(properties!A$1:CB$87,'Fórmula'!H54,23))+'Fórmula'!K54*(INDEX(properties!A$1:CB$87,'Fórmula'!J54,23))</f>
        <v>14</v>
      </c>
      <c r="CD54" s="114">
        <f t="array" ref="CD54">VARP(IF(INDEX(properties!A$1:CB$87,'Fórmula'!B54,23)&lt;&gt;"",INDEX(properties!A$1:CB$87,'Fórmula'!B54,23)),IF(INDEX(properties!A$1:CB$87,'Fórmula'!D54,23)&lt;&gt;"",INDEX(properties!A$1:CB$87,'Fórmula'!D54,23)),IF(INDEX(properties!A$1:CB$87,'Fórmula'!F54,23)&lt;&gt;"",INDEX(properties!A$1:CB$87,'Fórmula'!F54,23)),IF(INDEX(properties!A$1:CB$87,'Fórmula'!H54,23)&lt;&gt;"",INDEX(properties!A$1:CB$87,'Fórmula'!H54,23)),IF(INDEX(properties!A$1:CB$87,'Fórmula'!J54,23)&lt;&gt;"",INDEX(properties!A$1:CB$87,'Fórmula'!J54,23)))</f>
        <v>1.84</v>
      </c>
      <c r="CE54" s="114">
        <f t="array" ref="CE54">MAX(INDEX(properties!A$1:CB$87,'Fórmula'!B54,23),INDEX(properties!A$1:CB$87,'Fórmula'!D54,23),INDEX(properties!A$1:CB$87,'Fórmula'!F54,23),INDEX(properties!A$1:CB$87,'Fórmula'!H54,23),INDEX(properties!A$1:CB$87,'Fórmula'!J54,23))</f>
        <v>3</v>
      </c>
      <c r="CF54" s="114">
        <f t="array" ref="CF54">MIN(IF('Fórmula'!B54=87,10^6,INDEX(properties!A$1:CB$87,'Fórmula'!B54,23)),IF(('Fórmula'!D54)=87,10^6,INDEX(properties!A$1:CB$87,'Fórmula'!D54,23)),IF(('Fórmula'!F54)=87,10^6,INDEX(properties!A$1:CB$87,'Fórmula'!F54,23)),IF(('Fórmula'!H54)=87,10^6,INDEX(properties!A$1:CB$87,'Fórmula'!H54,23)),IF('Fórmula'!J54=87,10^6,INDEX(properties!A$1:CB$87,'Fórmula'!J54,23)))</f>
        <v>0</v>
      </c>
      <c r="CG54" s="114">
        <f t="shared" si="14"/>
        <v>3</v>
      </c>
      <c r="CH54" s="115">
        <f t="array" ref="CH54">(('Fórmula'!C54)/('Fórmula'!C54+'Fórmula'!E54+'Fórmula'!G54+'Fórmula'!I54+'Fórmula'!K54))*(INDEX(properties!A$1:CB$87,'Fórmula'!B54,26))+(('Fórmula'!E54)/('Fórmula'!C54+'Fórmula'!E54+'Fórmula'!G54+'Fórmula'!I54+'Fórmula'!K54))*(INDEX(properties!A$1:CB$87,'Fórmula'!D54,26))+(('Fórmula'!G54)/('Fórmula'!C54+'Fórmula'!E54+'Fórmula'!G54+'Fórmula'!I54+'Fórmula'!K54))*(INDEX(properties!A$1:CB$87,'Fórmula'!F54,26))+(('Fórmula'!I54)/('Fórmula'!C54+'Fórmula'!E54+'Fórmula'!G54+'Fórmula'!I54+'Fórmula'!K54))*(INDEX(properties!A$1:CB$87,'Fórmula'!H54,26))+(('Fórmula'!K54)/('Fórmula'!C54+'Fórmula'!E54+'Fórmula'!G54+'Fórmula'!I54+'Fórmula'!K54))*(INDEX(properties!A$1:CB$87,'Fórmula'!J54,26))</f>
        <v>10.44106667</v>
      </c>
      <c r="CI54" s="115">
        <f t="array" ref="CI54">'Fórmula'!C54*(INDEX(properties!A$1:CB$87,'Fórmula'!B54,26))+'Fórmula'!E54*(INDEX(properties!A$1:CB$87,'Fórmula'!D54,26))+'Fórmula'!G54*(INDEX(properties!A$1:CB$87,'Fórmula'!F54,26))+'Fórmula'!I54*(INDEX(properties!A$1:CB$87,'Fórmula'!H54,26))+'Fórmula'!K54*(INDEX(properties!A$1:CB$87,'Fórmula'!J54,26))</f>
        <v>125.2928</v>
      </c>
      <c r="CJ54" s="115">
        <f t="array" ref="CJ54">VARP(IF(INDEX(properties!A$1:CB$87,'Fórmula'!B54,26)&lt;&gt;"",INDEX(properties!A$1:CB$87,'Fórmula'!B54,26)),IF(INDEX(properties!A$1:CB$87,'Fórmula'!D54,26)&lt;&gt;"",INDEX(properties!A$1:CB$87,'Fórmula'!D54,26)),IF(INDEX(properties!A$1:CB$87,'Fórmula'!F54,26)&lt;&gt;"",INDEX(properties!A$1:CB$87,'Fórmula'!F54,26)),IF(INDEX(properties!A$1:CB$87,'Fórmula'!H54,26)&lt;&gt;"",INDEX(properties!A$1:CB$87,'Fórmula'!H54,26)),IF(INDEX(properties!A$1:CB$87,'Fórmula'!J54,26)&lt;&gt;"",INDEX(properties!A$1:CB$87,'Fórmula'!J54,26)))</f>
        <v>18.74629738</v>
      </c>
      <c r="CK54" s="116">
        <f t="array" ref="CK54">MAX(INDEX(properties!A$1:CB$87,'Fórmula'!B54,26),INDEX(properties!A$1:CB$87,'Fórmula'!D54,26),INDEX(properties!A$1:CB$87,'Fórmula'!F54,26),INDEX(properties!A$1:CB$87,'Fórmula'!H54,26),INDEX(properties!A$1:CB$87,'Fórmula'!J54,26))</f>
        <v>13.6181</v>
      </c>
      <c r="CL54" s="116">
        <f t="array" ref="CL54">MIN(IF(INDEX(properties!A$1:CB$87,'Fórmula'!B54,26)=0,10^6,INDEX(properties!A$1:CB$87,'Fórmula'!B54,26)),IF(INDEX(properties!A$1:CB$87,'Fórmula'!D54,26)=0,10^6,INDEX(properties!A$1:CB$87,'Fórmula'!D54,26)),IF(INDEX(properties!A$1:CB$87,'Fórmula'!F54,26)=0,10^6,INDEX(properties!A$1:CB$87,'Fórmula'!F54,26)),IF(INDEX(properties!A$1:CB$87,'Fórmula'!H54,26)=0,10^6,INDEX(properties!A$1:CB$87,'Fórmula'!H54,26)),IF(INDEX(properties!A$1:CB$87,'Fórmula'!J54,26)=0,10^6,INDEX(properties!A$1:CB$87,'Fórmula'!J54,26)))</f>
        <v>5.6949</v>
      </c>
      <c r="CM54" s="115">
        <f t="shared" si="15"/>
        <v>7.9232</v>
      </c>
      <c r="CN54" s="117">
        <f t="array" ref="CN54">(('Fórmula'!C54)/('Fórmula'!C54+'Fórmula'!E54+'Fórmula'!G54+'Fórmula'!I54+'Fórmula'!K54))*(INDEX(properties!A$1:CB$87,'Fórmula'!B54,30))+(('Fórmula'!E54)/('Fórmula'!C54+'Fórmula'!E54+'Fórmula'!G54+'Fórmula'!I54+'Fórmula'!K54))*(INDEX(properties!A$1:CB$87,'Fórmula'!D54,30))+(('Fórmula'!G54)/('Fórmula'!C54+'Fórmula'!E54+'Fórmula'!G54+'Fórmula'!I54+'Fórmula'!K54))*(INDEX(properties!A$1:CB$87,'Fórmula'!F54,30))+(('Fórmula'!I54)/('Fórmula'!C54+'Fórmula'!E54+'Fórmula'!G54+'Fórmula'!I54+'Fórmula'!K54))*(INDEX(properties!A$1:CB$87,'Fórmula'!H54,30))+(('Fórmula'!K54)/('Fórmula'!C54+'Fórmula'!E54+'Fórmula'!G54+'Fórmula'!I54+'Fórmula'!K54))*(INDEX(properties!A$1:CB$87,'Fórmula'!J54,30))</f>
        <v>2.554166667</v>
      </c>
      <c r="CO54" s="117">
        <f t="array" ref="CO54">'Fórmula'!C54*(INDEX(properties!A$1:CB$87,'Fórmula'!B54,30))+'Fórmula'!E54*(INDEX(properties!A$1:CB$87,'Fórmula'!D54,30))+'Fórmula'!G54*(INDEX(properties!A$1:CB$87,'Fórmula'!F54,30))+'Fórmula'!I54*(INDEX(properties!A$1:CB$87,'Fórmula'!H54,30))+'Fórmula'!K54*(INDEX(properties!A$1:CB$87,'Fórmula'!J54,30))</f>
        <v>30.65</v>
      </c>
      <c r="CP54" s="117">
        <f t="array" ref="CP54">VARP(IF(INDEX(properties!A$1:CB$87,'Fórmula'!B54,30)&lt;&gt;"",INDEX(properties!A$1:CB$87,'Fórmula'!B54,30)),IF(INDEX(properties!A$1:CB$87,'Fórmula'!D54,30)&lt;&gt;"",INDEX(properties!A$1:CB$87,'Fórmula'!D54,30)),IF(INDEX(properties!A$1:CB$87,'Fórmula'!F54,30)&lt;&gt;"",INDEX(properties!A$1:CB$87,'Fórmula'!F54,30)),IF(INDEX(properties!A$1:CB$87,'Fórmula'!H54,30)&lt;&gt;"",INDEX(properties!A$1:CB$87,'Fórmula'!H54,30)),IF(INDEX(properties!A$1:CB$87,'Fórmula'!J54,30)&lt;&gt;"",INDEX(properties!A$1:CB$87,'Fórmula'!J54,30)))</f>
        <v>1.28004</v>
      </c>
      <c r="CQ54" s="117">
        <f t="array" ref="CQ54">MAX(INDEX(properties!A$1:CB$87,'Fórmula'!B54,30),INDEX(properties!A$1:CB$87,'Fórmula'!D54,30),INDEX(properties!A$1:CB$87,'Fórmula'!F54,30),INDEX(properties!A$1:CB$87,'Fórmula'!H54,30),INDEX(properties!A$1:CB$87,'Fórmula'!J54,30))</f>
        <v>3.44</v>
      </c>
      <c r="CR54" s="117">
        <f t="array" ref="CR54">MIN(IF(INDEX(properties!A$1:CB$87,'Fórmula'!B54,30)=0,10^6,INDEX(properties!A$1:CB$87,'Fórmula'!B54,30)),IF(INDEX(properties!A$1:CB$87,'Fórmula'!D54,30)=0,10^6,INDEX(properties!A$1:CB$87,'Fórmula'!D54,30)),IF(INDEX(properties!A$1:CB$87,'Fórmula'!F54,30)=0,10^6,INDEX(properties!A$1:CB$87,'Fórmula'!F54,30)),IF(INDEX(properties!A$1:CB$87,'Fórmula'!H54,30)=0,10^6,INDEX(properties!A$1:CB$87,'Fórmula'!H54,30)),IF(INDEX(properties!A$1:CB$87,'Fórmula'!J54,30)=0,10^6,INDEX(properties!A$1:CB$87,'Fórmula'!J54,30)))</f>
        <v>0.95</v>
      </c>
      <c r="CS54" s="117">
        <f t="shared" si="16"/>
        <v>2.49</v>
      </c>
      <c r="CT54" s="118">
        <f t="array" ref="CT54">(('Fórmula'!C54)/('Fórmula'!C54+'Fórmula'!E54+'Fórmula'!G54+'Fórmula'!I54+'Fórmula'!K54))*(INDEX(properties!A$1:CB$87,'Fórmula'!B54,31))+(('Fórmula'!E54)/('Fórmula'!C54+'Fórmula'!E54+'Fórmula'!G54+'Fórmula'!I54+'Fórmula'!K54))*(INDEX(properties!A$1:CB$87,'Fórmula'!D54,31))+(('Fórmula'!G54)/('Fórmula'!C54+'Fórmula'!E54+'Fórmula'!G54+'Fórmula'!I54+'Fórmula'!K54))*(INDEX(properties!A$1:CB$87,'Fórmula'!F54,31))+(('Fórmula'!I54)/('Fórmula'!C54+'Fórmula'!E54+'Fórmula'!G54+'Fórmula'!I54+'Fórmula'!K54))*(INDEX(properties!A$1:CB$87,'Fórmula'!H54,31))+(('Fórmula'!K54)/('Fórmula'!C54+'Fórmula'!E54+'Fórmula'!G54+'Fórmula'!I54+'Fórmula'!K54))*(INDEX(properties!A$1:CB$87,'Fórmula'!J54,31))</f>
        <v>2.4875</v>
      </c>
      <c r="CU54" s="118">
        <f t="array" ref="CU54">'Fórmula'!C54*(INDEX(properties!A$1:CB$87,'Fórmula'!B54,31))+'Fórmula'!E54*(INDEX(properties!A$1:CB$87,'Fórmula'!D54,31))+'Fórmula'!G54*(INDEX(properties!A$1:CB$87,'Fórmula'!F54,31))+'Fórmula'!I54*(INDEX(properties!A$1:CB$87,'Fórmula'!H54,31))+'Fórmula'!K54*(INDEX(properties!A$1:CB$87,'Fórmula'!J54,31))</f>
        <v>29.85</v>
      </c>
      <c r="CV54" s="118">
        <f t="array" ref="CV54">VARP(IF(INDEX(properties!A$1:CB$87,'Fórmula'!B54,31)&lt;&gt;"",INDEX(properties!A$1:CB$87,'Fórmula'!B54,31)),IF(INDEX(properties!A$1:CB$87,'Fórmula'!D54,31)&lt;&gt;"",INDEX(properties!A$1:CB$87,'Fórmula'!D54,31)),IF(INDEX(properties!A$1:CB$87,'Fórmula'!F54,31)&lt;&gt;"",INDEX(properties!A$1:CB$87,'Fórmula'!F54,31)),IF(INDEX(properties!A$1:CB$87,'Fórmula'!H54,31)&lt;&gt;"",INDEX(properties!A$1:CB$87,'Fórmula'!H54,31)),IF(INDEX(properties!A$1:CB$87,'Fórmula'!J54,31)&lt;&gt;"",INDEX(properties!A$1:CB$87,'Fórmula'!J54,31)))</f>
        <v>1.171936</v>
      </c>
      <c r="CW54" s="118">
        <f t="array" ref="CW54">MAX(INDEX(properties!A$1:CB$87,'Fórmula'!B54,31),INDEX(properties!A$1:CB$87,'Fórmula'!D54,31),INDEX(properties!A$1:CB$87,'Fórmula'!F54,31),INDEX(properties!A$1:CB$87,'Fórmula'!H54,31),INDEX(properties!A$1:CB$87,'Fórmula'!J54,31))</f>
        <v>3.32</v>
      </c>
      <c r="CX54" s="118">
        <f t="array" ref="CX54">MIN(IF(INDEX(properties!A$1:CB$87,'Fórmula'!B54,31)=0,10^6,INDEX(properties!A$1:CB$87,'Fórmula'!B54,31)),IF(INDEX(properties!A$1:CB$87,'Fórmula'!D54,31)=0,10^6,INDEX(properties!A$1:CB$87,'Fórmula'!D54,31)),IF(INDEX(properties!A$1:CB$87,'Fórmula'!F54,31)=0,10^6,INDEX(properties!A$1:CB$87,'Fórmula'!F54,31)),IF(INDEX(properties!A$1:CB$87,'Fórmula'!H54,31)=0,10^6,INDEX(properties!A$1:CB$87,'Fórmula'!H54,31)),IF(INDEX(properties!A$1:CB$87,'Fórmula'!J54,31)=0,10^6,INDEX(properties!A$1:CB$87,'Fórmula'!J54,31)))</f>
        <v>1.1</v>
      </c>
      <c r="CY54" s="118">
        <f t="shared" si="17"/>
        <v>2.22</v>
      </c>
      <c r="CZ54" s="119">
        <f t="array" ref="CZ54">(('Fórmula'!C54)/('Fórmula'!C54+'Fórmula'!E54+'Fórmula'!G54+'Fórmula'!I54+'Fórmula'!K54))*(INDEX(properties!A$1:CB$87,'Fórmula'!B54,32))+(('Fórmula'!E54)/('Fórmula'!C54+'Fórmula'!E54+'Fórmula'!G54+'Fórmula'!I54+'Fórmula'!K54))*(INDEX(properties!A$1:CB$87,'Fórmula'!D54,32))+(('Fórmula'!G54)/('Fórmula'!C54+'Fórmula'!E54+'Fórmula'!G54+'Fórmula'!I54+'Fórmula'!K54))*(INDEX(properties!A$1:CB$87,'Fórmula'!F54,32))+(('Fórmula'!I54)/('Fórmula'!C54+'Fórmula'!E54+'Fórmula'!G54+'Fórmula'!I54+'Fórmula'!K54))*(INDEX(properties!A$1:CB$87,'Fórmula'!H54,32))+(('Fórmula'!K54)/('Fórmula'!C54+'Fórmula'!E54+'Fórmula'!G54+'Fórmula'!I54+'Fórmula'!K54))*(INDEX(properties!A$1:CB$87,'Fórmula'!J54,32))</f>
        <v>5.62</v>
      </c>
      <c r="DA54" s="119">
        <f t="array" ref="DA54">'Fórmula'!C54*(INDEX(properties!A$1:CB$87,'Fórmula'!B54,32))+'Fórmula'!E54*(INDEX(properties!A$1:CB$87,'Fórmula'!D54,32))+'Fórmula'!G54*(INDEX(properties!A$1:CB$87,'Fórmula'!F54,32))+'Fórmula'!I54*(INDEX(properties!A$1:CB$87,'Fórmula'!H54,32))+'Fórmula'!K54*(INDEX(properties!A$1:CB$87,'Fórmula'!J54,32))</f>
        <v>67.44</v>
      </c>
      <c r="DB54" s="119">
        <f t="array" ref="DB54">VARP(IF(INDEX(properties!A$1:CB$87,'Fórmula'!B54,32)&lt;&gt;"",INDEX(properties!A$1:CB$87,'Fórmula'!B54,32)),IF(INDEX(properties!A$1:CB$87,'Fórmula'!D54,32)&lt;&gt;"",INDEX(properties!A$1:CB$87,'Fórmula'!D54,32)),IF(INDEX(properties!A$1:CB$87,'Fórmula'!F54,32)&lt;&gt;"",INDEX(properties!A$1:CB$87,'Fórmula'!F54,32)),IF(INDEX(properties!A$1:CB$87,'Fórmula'!H54,32)&lt;&gt;"",INDEX(properties!A$1:CB$87,'Fórmula'!H54,32)),IF(INDEX(properties!A$1:CB$87,'Fórmula'!J54,32)&lt;&gt;"",INDEX(properties!A$1:CB$87,'Fórmula'!J54,32)))</f>
        <v>6.104624</v>
      </c>
      <c r="DC54" s="119">
        <f t="array" ref="DC54">MAX(INDEX(properties!A$1:CB$87,'Fórmula'!B54,32),INDEX(properties!A$1:CB$87,'Fórmula'!D54,32),INDEX(properties!A$1:CB$87,'Fórmula'!F54,32),INDEX(properties!A$1:CB$87,'Fórmula'!H54,32),INDEX(properties!A$1:CB$87,'Fórmula'!J54,32))</f>
        <v>7.54</v>
      </c>
      <c r="DD54" s="119">
        <f t="array" ref="DD54">MIN(IF(INDEX(properties!A$1:CB$87,'Fórmula'!B54,32)=0,10^6,INDEX(properties!A$1:CB$87,'Fórmula'!B54,32)),IF(INDEX(properties!A$1:CB$87,'Fórmula'!D54,32)=0,10^6,INDEX(properties!A$1:CB$87,'Fórmula'!D54,32)),IF(INDEX(properties!A$1:CB$87,'Fórmula'!F54,32)=0,10^6,INDEX(properties!A$1:CB$87,'Fórmula'!F54,32)),IF(INDEX(properties!A$1:CB$87,'Fórmula'!H54,32)=0,10^6,INDEX(properties!A$1:CB$87,'Fórmula'!H54,32)),IF(INDEX(properties!A$1:CB$87,'Fórmula'!J54,32)=0,10^6,INDEX(properties!A$1:CB$87,'Fórmula'!J54,32)))</f>
        <v>2</v>
      </c>
      <c r="DE54" s="119">
        <f t="shared" si="18"/>
        <v>5.54</v>
      </c>
      <c r="DF54" s="104">
        <f t="array" ref="DF54">(('Fórmula'!C54)/('Fórmula'!C54+'Fórmula'!E54+'Fórmula'!G54+'Fórmula'!I54+'Fórmula'!K54))*(INDEX(properties!A$1:CB$87,'Fórmula'!B54,34))+(('Fórmula'!E54)/('Fórmula'!C54+'Fórmula'!E54+'Fórmula'!G54+'Fórmula'!I54+'Fórmula'!K54))*(INDEX(properties!A$1:CB$87,'Fórmula'!D54,34))+(('Fórmula'!G54)/('Fórmula'!C54+'Fórmula'!E54+'Fórmula'!G54+'Fórmula'!I54+'Fórmula'!K54))*(INDEX(properties!A$1:CB$87,'Fórmula'!F54,34))+(('Fórmula'!I54)/('Fórmula'!C54+'Fórmula'!E54+'Fórmula'!G54+'Fórmula'!I54+'Fórmula'!K54))*(INDEX(properties!A$1:CB$87,'Fórmula'!H54,34))+(('Fórmula'!K54)/('Fórmula'!C54+'Fórmula'!E54+'Fórmula'!G54+'Fórmula'!I54+'Fórmula'!K54))*(INDEX(properties!A$1:CB$87,'Fórmula'!J54,34))</f>
        <v>2.636583333</v>
      </c>
      <c r="DG54" s="104">
        <f t="array" ref="DG54">'Fórmula'!C54*(INDEX(properties!A$1:CB$87,'Fórmula'!B54,34))+'Fórmula'!E54*(INDEX(properties!A$1:CB$87,'Fórmula'!D54,34))+'Fórmula'!G54*(INDEX(properties!A$1:CB$87,'Fórmula'!F54,34))+'Fórmula'!I54*(INDEX(properties!A$1:CB$87,'Fórmula'!H54,34))+'Fórmula'!K54*(INDEX(properties!A$1:CB$87,'Fórmula'!J54,34))</f>
        <v>31.639</v>
      </c>
      <c r="DH54" s="104">
        <f t="array" ref="DH54">VARP(IF(INDEX(properties!A$1:CB$87,'Fórmula'!B54,34)&lt;&gt;"",INDEX(properties!A$1:CB$87,'Fórmula'!B54,34)),IF(INDEX(properties!A$1:CB$87,'Fórmula'!D54,34)&lt;&gt;"",INDEX(properties!A$1:CB$87,'Fórmula'!D54,34)),IF(INDEX(properties!A$1:CB$87,'Fórmula'!F54,34)&lt;&gt;"",INDEX(properties!A$1:CB$87,'Fórmula'!F54,34)),IF(INDEX(properties!A$1:CB$87,'Fórmula'!H54,34)&lt;&gt;"",INDEX(properties!A$1:CB$87,'Fórmula'!H54,34)),IF(INDEX(properties!A$1:CB$87,'Fórmula'!J54,34)&lt;&gt;"",INDEX(properties!A$1:CB$87,'Fórmula'!J54,34)))</f>
        <v>1.43226056</v>
      </c>
      <c r="DI54" s="104">
        <f t="array" ref="DI54">MAX(INDEX(properties!A$1:CB$87,'Fórmula'!B54,34),INDEX(properties!A$1:CB$87,'Fórmula'!D54,34),INDEX(properties!A$1:CB$87,'Fórmula'!F54,34),INDEX(properties!A$1:CB$87,'Fórmula'!H54,34),INDEX(properties!A$1:CB$87,'Fórmula'!J54,34))</f>
        <v>3.61</v>
      </c>
      <c r="DJ54" s="104">
        <f t="array" ref="DJ54">MIN(IF(INDEX(properties!A$1:CB$87,'Fórmula'!B54,34)=0,10^6,INDEX(properties!A$1:CB$87,'Fórmula'!B54,34)),IF(INDEX(properties!A$1:CB$87,'Fórmula'!D54,34)=0,10^6,INDEX(properties!A$1:CB$87,'Fórmula'!D54,34)),IF(INDEX(properties!A$1:CB$87,'Fórmula'!F54,34)=0,10^6,INDEX(properties!A$1:CB$87,'Fórmula'!F54,34)),IF(INDEX(properties!A$1:CB$87,'Fórmula'!H54,34)=0,10^6,INDEX(properties!A$1:CB$87,'Fórmula'!H54,34)),IF(INDEX(properties!A$1:CB$87,'Fórmula'!J54,34)=0,10^6,INDEX(properties!A$1:CB$87,'Fórmula'!J54,34)))</f>
        <v>0.963</v>
      </c>
      <c r="DK54" s="104">
        <f t="shared" si="19"/>
        <v>2.647</v>
      </c>
      <c r="DL54" s="105" t="str">
        <f t="array" ref="DL54">(('Fórmula'!C54)/('Fórmula'!C54+'Fórmula'!E54+'Fórmula'!G54+'Fórmula'!I54+'Fórmula'!K54))*(INDEX(properties!A$1:CB$87,'Fórmula'!B54,37))+(('Fórmula'!E54)/('Fórmula'!C54+'Fórmula'!E54+'Fórmula'!G54+'Fórmula'!I54+'Fórmula'!K54))*(INDEX(properties!A$1:CB$87,'Fórmula'!D54,37))+(('Fórmula'!G54)/('Fórmula'!C54+'Fórmula'!E54+'Fórmula'!G54+'Fórmula'!I54+'Fórmula'!K54))*(INDEX(properties!A$1:CB$87,'Fórmula'!F54,37))+(('Fórmula'!I54)/('Fórmula'!C54+'Fórmula'!E54+'Fórmula'!G54+'Fórmula'!I54+'Fórmula'!K54))*(INDEX(properties!A$1:CB$87,'Fórmula'!H54,37))+(('Fórmula'!K54)/('Fórmula'!C54+'Fórmula'!E54+'Fórmula'!G54+'Fórmula'!I54+'Fórmula'!K54))*(INDEX(properties!A$1:CB$87,'Fórmula'!J54,37))</f>
        <v>#VALUE!</v>
      </c>
      <c r="DM54" s="105" t="str">
        <f t="array" ref="DM54">'Fórmula'!C54*(INDEX(properties!A$1:CB$87,'Fórmula'!B54,37))+'Fórmula'!E54*(INDEX(properties!A$1:CB$87,'Fórmula'!D54,37))+'Fórmula'!G54*(INDEX(properties!A$1:CB$87,'Fórmula'!F54,37))+'Fórmula'!I54*(INDEX(properties!A$1:CB$87,'Fórmula'!H54,37))+'Fórmula'!K54*(INDEX(properties!A$1:CB$87,'Fórmula'!J54,37))</f>
        <v>#VALUE!</v>
      </c>
      <c r="DN54" s="105">
        <f t="array" ref="DN54">VARP(IF(INDEX(properties!A$1:CB$87,'Fórmula'!B54,37)&lt;&gt;"",INDEX(properties!A$1:CB$87,'Fórmula'!B54,37)),IF(INDEX(properties!A$1:CB$87,'Fórmula'!D54,37)&lt;&gt;"",INDEX(properties!A$1:CB$87,'Fórmula'!D54,37)),IF(INDEX(properties!A$1:CB$87,'Fórmula'!F54,37)&lt;&gt;"",INDEX(properties!A$1:CB$87,'Fórmula'!F54,37)),IF(INDEX(properties!A$1:CB$87,'Fórmula'!H54,37)&lt;&gt;"",INDEX(properties!A$1:CB$87,'Fórmula'!H54,37)),IF(INDEX(properties!A$1:CB$87,'Fórmula'!J54,37)&lt;&gt;"",INDEX(properties!A$1:CB$87,'Fórmula'!J54,37)))</f>
        <v>1.57546875</v>
      </c>
      <c r="DO54" s="105">
        <f t="array" ref="DO54">MAX(INDEX(properties!A$1:CB$87,'Fórmula'!B54,37),INDEX(properties!A$1:CB$87,'Fórmula'!D54,37),INDEX(properties!A$1:CB$87,'Fórmula'!F54,37),INDEX(properties!A$1:CB$87,'Fórmula'!H54,37),INDEX(properties!A$1:CB$87,'Fórmula'!J54,37))</f>
        <v>3.45</v>
      </c>
      <c r="DP54" s="105">
        <f t="array" ref="DP54">MIN(IF(INDEX(properties!A$1:CB$87,'Fórmula'!B54,37)=0,10^6,INDEX(properties!A$1:CB$87,'Fórmula'!B54,37)),IF(INDEX(properties!A$1:CB$87,'Fórmula'!D54,37)=0,10^6,INDEX(properties!A$1:CB$87,'Fórmula'!D54,37)),IF(INDEX(properties!A$1:CB$87,'Fórmula'!F54,37)=0,10^6,INDEX(properties!A$1:CB$87,'Fórmula'!F54,37)),IF(INDEX(properties!A$1:CB$87,'Fórmula'!H54,37)=0,10^6,INDEX(properties!A$1:CB$87,'Fórmula'!H54,37)),IF(INDEX(properties!A$1:CB$87,'Fórmula'!J54,37)=0,10^6,INDEX(properties!A$1:CB$87,'Fórmula'!J54,37)))</f>
        <v>1</v>
      </c>
      <c r="DQ54" s="105">
        <f t="shared" si="20"/>
        <v>2.45</v>
      </c>
      <c r="DR54" s="109">
        <f t="array" ref="DR54">(('Fórmula'!C54)/('Fórmula'!C54+'Fórmula'!E54+'Fórmula'!G54+'Fórmula'!I54+'Fórmula'!K54))*(INDEX(properties!A$1:CB$87,'Fórmula'!B54,39))+(('Fórmula'!E54)/('Fórmula'!C54+'Fórmula'!E54+'Fórmula'!G54+'Fórmula'!I54+'Fórmula'!K54))*(INDEX(properties!A$1:CB$87,'Fórmula'!D54,39))+(('Fórmula'!G54)/('Fórmula'!C54+'Fórmula'!E54+'Fórmula'!G54+'Fórmula'!I54+'Fórmula'!K54))*(INDEX(properties!A$1:CB$87,'Fórmula'!F54,39))+(('Fórmula'!I54)/('Fórmula'!C54+'Fórmula'!E54+'Fórmula'!G54+'Fórmula'!I54+'Fórmula'!K54))*(INDEX(properties!A$1:CB$87,'Fórmula'!H54,39))+(('Fórmula'!K54)/('Fórmula'!C54+'Fórmula'!E54+'Fórmula'!G54+'Fórmula'!I54+'Fórmula'!K54))*(INDEX(properties!A$1:CB$87,'Fórmula'!J54,39))</f>
        <v>1.0475</v>
      </c>
      <c r="DS54" s="109">
        <f t="array" ref="DS54">'Fórmula'!C54*(INDEX(properties!A$1:CB$87,'Fórmula'!B54,39))+'Fórmula'!E54*(INDEX(properties!A$1:CB$87,'Fórmula'!D54,39))+'Fórmula'!G54*(INDEX(properties!A$1:CB$87,'Fórmula'!F54,39))+'Fórmula'!I54*(INDEX(properties!A$1:CB$87,'Fórmula'!H54,39))+'Fórmula'!K54*(INDEX(properties!A$1:CB$87,'Fórmula'!J54,39))</f>
        <v>12.57</v>
      </c>
      <c r="DT54" s="109">
        <f t="array" ref="DT54">VARP(IF(INDEX(properties!A$1:CB$87,'Fórmula'!B54,39)&lt;&gt;"",INDEX(properties!A$1:CB$87,'Fórmula'!B54,39)),IF(INDEX(properties!A$1:CB$87,'Fórmula'!D54,39)&lt;&gt;"",INDEX(properties!A$1:CB$87,'Fórmula'!D54,39)),IF(INDEX(properties!A$1:CB$87,'Fórmula'!F54,39)&lt;&gt;"",INDEX(properties!A$1:CB$87,'Fórmula'!F54,39)),IF(INDEX(properties!A$1:CB$87,'Fórmula'!H54,39)&lt;&gt;"",INDEX(properties!A$1:CB$87,'Fórmula'!H54,39)),IF(INDEX(properties!A$1:CB$87,'Fórmula'!J54,39)&lt;&gt;"",INDEX(properties!A$1:CB$87,'Fórmula'!J54,39)))</f>
        <v>0.841864</v>
      </c>
      <c r="DU54" s="120">
        <f t="array" ref="DU54">MAX(INDEX(properties!A$1:CB$87,'Fórmula'!B54,39),INDEX(properties!A$1:CB$87,'Fórmula'!D54,39),INDEX(properties!A$1:CB$87,'Fórmula'!F54,39),INDEX(properties!A$1:CB$87,'Fórmula'!H54,39),INDEX(properties!A$1:CB$87,'Fórmula'!J54,39))</f>
        <v>2.33</v>
      </c>
      <c r="DV54" s="120">
        <f t="array" ref="DV54">MIN(IF(INDEX(properties!A$1:CB$87,'Fórmula'!B54,39)=0,10^6,INDEX(properties!A$1:CB$87,'Fórmula'!B54,39)),IF(INDEX(properties!A$1:CB$87,'Fórmula'!D54,39)=0,10^6,INDEX(properties!A$1:CB$87,'Fórmula'!D54,39)),IF(INDEX(properties!A$1:CB$87,'Fórmula'!F54,39)=0,10^6,INDEX(properties!A$1:CB$87,'Fórmula'!F54,39)),IF(INDEX(properties!A$1:CB$87,'Fórmula'!H54,39)=0,10^6,INDEX(properties!A$1:CB$87,'Fórmula'!H54,39)),IF(INDEX(properties!A$1:CB$87,'Fórmula'!J54,39)=0,10^6,INDEX(properties!A$1:CB$87,'Fórmula'!J54,39)))</f>
        <v>0.48</v>
      </c>
      <c r="DW54" s="109">
        <f t="shared" si="21"/>
        <v>1.85</v>
      </c>
      <c r="DX54" s="110">
        <f t="array" ref="DX54">(('Fórmula'!C54)/('Fórmula'!C54+'Fórmula'!E54+'Fórmula'!G54+'Fórmula'!I54+'Fórmula'!K54))*(INDEX(properties!A$1:CB$87,'Fórmula'!B54,40))+(('Fórmula'!E54)/('Fórmula'!C54+'Fórmula'!E54+'Fórmula'!G54+'Fórmula'!I54+'Fórmula'!K54))*(INDEX(properties!A$1:CB$87,'Fórmula'!D54,40))+(('Fórmula'!G54)/('Fórmula'!C54+'Fórmula'!E54+'Fórmula'!G54+'Fórmula'!I54+'Fórmula'!K54))*(INDEX(properties!A$1:CB$87,'Fórmula'!F54,40))+(('Fórmula'!I54)/('Fórmula'!C54+'Fórmula'!E54+'Fórmula'!G54+'Fórmula'!I54+'Fórmula'!K54))*(INDEX(properties!A$1:CB$87,'Fórmula'!H54,40))+(('Fórmula'!K54)/('Fórmula'!C54+'Fórmula'!E54+'Fórmula'!G54+'Fórmula'!I54+'Fórmula'!K54))*(INDEX(properties!A$1:CB$87,'Fórmula'!J54,40))</f>
        <v>1.050833333</v>
      </c>
      <c r="DY54" s="110">
        <f t="array" ref="DY54">'Fórmula'!C54*(INDEX(properties!A$1:CB$87,'Fórmula'!B54,40))+'Fórmula'!E54*(INDEX(properties!A$1:CB$87,'Fórmula'!D54,40))+'Fórmula'!G54*(INDEX(properties!A$1:CB$87,'Fórmula'!F54,40))+'Fórmula'!I54*(INDEX(properties!A$1:CB$87,'Fórmula'!H54,40))+'Fórmula'!K54*(INDEX(properties!A$1:CB$87,'Fórmula'!J54,40))</f>
        <v>12.61</v>
      </c>
      <c r="DZ54" s="110">
        <f t="array" ref="DZ54">VARP(IF(INDEX(properties!A$1:CB$87,'Fórmula'!B54,40)&lt;&gt;"",INDEX(properties!A$1:CB$87,'Fórmula'!B54,40)),IF(INDEX(properties!A$1:CB$87,'Fórmula'!D54,40)&lt;&gt;"",INDEX(properties!A$1:CB$87,'Fórmula'!D54,40)),IF(INDEX(properties!A$1:CB$87,'Fórmula'!F54,40)&lt;&gt;"",INDEX(properties!A$1:CB$87,'Fórmula'!F54,40)),IF(INDEX(properties!A$1:CB$87,'Fórmula'!H54,40)&lt;&gt;"",INDEX(properties!A$1:CB$87,'Fórmula'!H54,40)),IF(INDEX(properties!A$1:CB$87,'Fórmula'!J54,40)&lt;&gt;"",INDEX(properties!A$1:CB$87,'Fórmula'!J54,40)))</f>
        <v>0.457016</v>
      </c>
      <c r="EA54" s="121">
        <f t="array" ref="EA54">MAX(INDEX(properties!A$1:CB$87,'Fórmula'!B54,40),INDEX(properties!A$1:CB$87,'Fórmula'!D54,40),INDEX(properties!A$1:CB$87,'Fórmula'!F54,40),INDEX(properties!A$1:CB$87,'Fórmula'!H54,40),INDEX(properties!A$1:CB$87,'Fórmula'!J54,40))</f>
        <v>1.92</v>
      </c>
      <c r="EB54" s="121">
        <f t="array" ref="EB54">MIN(IF(INDEX(properties!A$1:CB$87,'Fórmula'!B54,40)=0,10^6,INDEX(properties!A$1:CB$87,'Fórmula'!B54,40)),IF(INDEX(properties!A$1:CB$87,'Fórmula'!D54,40)=0,10^6,INDEX(properties!A$1:CB$87,'Fórmula'!D54,40)),IF(INDEX(properties!A$1:CB$87,'Fórmula'!F54,40)=0,10^6,INDEX(properties!A$1:CB$87,'Fórmula'!F54,40)),IF(INDEX(properties!A$1:CB$87,'Fórmula'!H54,40)=0,10^6,INDEX(properties!A$1:CB$87,'Fórmula'!H54,40)),IF(INDEX(properties!A$1:CB$87,'Fórmula'!J54,40)=0,10^6,INDEX(properties!A$1:CB$87,'Fórmula'!J54,40)))</f>
        <v>0.73</v>
      </c>
      <c r="EC54" s="110">
        <f t="shared" si="22"/>
        <v>1.19</v>
      </c>
      <c r="ED54" s="111">
        <f t="array" ref="ED54">(('Fórmula'!C54)/('Fórmula'!C54+'Fórmula'!E54+'Fórmula'!G54+'Fórmula'!I54+'Fórmula'!K54))*(INDEX(properties!A$1:CB$87,'Fórmula'!B54,41))+(('Fórmula'!E54)/('Fórmula'!C54+'Fórmula'!E54+'Fórmula'!G54+'Fórmula'!I54+'Fórmula'!K54))*(INDEX(properties!A$1:CB$87,'Fórmula'!D54,41))+(('Fórmula'!G54)/('Fórmula'!C54+'Fórmula'!E54+'Fórmula'!G54+'Fórmula'!I54+'Fórmula'!K54))*(INDEX(properties!A$1:CB$87,'Fórmula'!F54,41))+(('Fórmula'!I54)/('Fórmula'!C54+'Fórmula'!E54+'Fórmula'!G54+'Fórmula'!I54+'Fórmula'!K54))*(INDEX(properties!A$1:CB$87,'Fórmula'!H54,41))+(('Fórmula'!K54)/('Fórmula'!C54+'Fórmula'!E54+'Fórmula'!G54+'Fórmula'!I54+'Fórmula'!K54))*(INDEX(properties!A$1:CB$87,'Fórmula'!J54,41))</f>
        <v>1.138333333</v>
      </c>
      <c r="EE54" s="111">
        <f t="array" ref="EE54">'Fórmula'!C54*(INDEX(properties!A$1:CB$87,'Fórmula'!B54,41))+'Fórmula'!E54*(INDEX(properties!A$1:CB$87,'Fórmula'!D54,41))+'Fórmula'!G54*(INDEX(properties!A$1:CB$87,'Fórmula'!F54,41))+'Fórmula'!I54*(INDEX(properties!A$1:CB$87,'Fórmula'!H54,41))+'Fórmula'!K54*(INDEX(properties!A$1:CB$87,'Fórmula'!J54,41))</f>
        <v>13.66</v>
      </c>
      <c r="EF54" s="111">
        <f t="array" ref="EF54">VARP(IF(INDEX(properties!A$1:CB$87,'Fórmula'!B54,41)&lt;&gt;"",INDEX(properties!A$1:CB$87,'Fórmula'!B54,41)),IF(INDEX(properties!A$1:CB$87,'Fórmula'!D54,41)&lt;&gt;"",INDEX(properties!A$1:CB$87,'Fórmula'!D54,41)),IF(INDEX(properties!A$1:CB$87,'Fórmula'!F54,41)&lt;&gt;"",INDEX(properties!A$1:CB$87,'Fórmula'!F54,41)),IF(INDEX(properties!A$1:CB$87,'Fórmula'!H54,41)&lt;&gt;"",INDEX(properties!A$1:CB$87,'Fórmula'!H54,41)),IF(INDEX(properties!A$1:CB$87,'Fórmula'!J54,41)&lt;&gt;"",INDEX(properties!A$1:CB$87,'Fórmula'!J54,41)))</f>
        <v>0.238336</v>
      </c>
      <c r="EG54" s="122">
        <f t="array" ref="EG54">MAX(INDEX(properties!A$1:CB$87,'Fórmula'!B54,41),INDEX(properties!A$1:CB$87,'Fórmula'!D54,41),INDEX(properties!A$1:CB$87,'Fórmula'!F54,41),INDEX(properties!A$1:CB$87,'Fórmula'!H54,41),INDEX(properties!A$1:CB$87,'Fórmula'!J54,41))</f>
        <v>1.32</v>
      </c>
      <c r="EH54" s="122">
        <f t="array" ref="EH54">MIN(IF(INDEX(properties!A$1:CB$87,'Fórmula'!B54,41)=0,10^6,INDEX(properties!A$1:CB$87,'Fórmula'!B54,41)),IF(INDEX(properties!A$1:CB$87,'Fórmula'!D54,41)=0,10^6,INDEX(properties!A$1:CB$87,'Fórmula'!D54,41)),IF(INDEX(properties!A$1:CB$87,'Fórmula'!F54,41)=0,10^6,INDEX(properties!A$1:CB$87,'Fórmula'!F54,41)),IF(INDEX(properties!A$1:CB$87,'Fórmula'!H54,41)=0,10^6,INDEX(properties!A$1:CB$87,'Fórmula'!H54,41)),IF(INDEX(properties!A$1:CB$87,'Fórmula'!J54,41)=0,10^6,INDEX(properties!A$1:CB$87,'Fórmula'!J54,41)))</f>
        <v>0.68</v>
      </c>
      <c r="EI54" s="111">
        <f t="shared" si="23"/>
        <v>0.64</v>
      </c>
      <c r="EJ54" s="112">
        <f t="array" ref="EJ54">(('Fórmula'!C54)/('Fórmula'!C54+'Fórmula'!E54+'Fórmula'!G54+'Fórmula'!I54+'Fórmula'!K54))*(INDEX(properties!A$1:CB$87,'Fórmula'!B54,45))+(('Fórmula'!E54)/('Fórmula'!C54+'Fórmula'!E54+'Fórmula'!G54+'Fórmula'!I54+'Fórmula'!K54))*(INDEX(properties!A$1:CB$87,'Fórmula'!D54,45))+(('Fórmula'!G54)/('Fórmula'!C54+'Fórmula'!E54+'Fórmula'!G54+'Fórmula'!I54+'Fórmula'!K54))*(INDEX(properties!A$1:CB$87,'Fórmula'!F54,45))+(('Fórmula'!I54)/('Fórmula'!C54+'Fórmula'!E54+'Fórmula'!G54+'Fórmula'!I54+'Fórmula'!K54))*(INDEX(properties!A$1:CB$87,'Fórmula'!H54,45))+(('Fórmula'!K54)/('Fórmula'!C54+'Fórmula'!E54+'Fórmula'!G54+'Fórmula'!I54+'Fórmula'!K54))*(INDEX(properties!A$1:CB$87,'Fórmula'!J54,45))</f>
        <v>1.473333333</v>
      </c>
      <c r="EK54" s="112">
        <f t="array" ref="EK54">'Fórmula'!C54*(INDEX(properties!A$1:CB$87,'Fórmula'!B54,45))+'Fórmula'!E54*(INDEX(properties!A$1:CB$87,'Fórmula'!D54,45))+'Fórmula'!G54*(INDEX(properties!A$1:CB$87,'Fórmula'!F54,45))+'Fórmula'!I54*(INDEX(properties!A$1:CB$87,'Fórmula'!H54,45))+'Fórmula'!K54*(INDEX(properties!A$1:CB$87,'Fórmula'!J54,45))</f>
        <v>17.68</v>
      </c>
      <c r="EL54" s="112">
        <f t="array" ref="EL54">VARP(IF(INDEX(properties!A$1:CB$87,'Fórmula'!B54,45)&lt;&gt;"",INDEX(properties!A$1:CB$87,'Fórmula'!B54,45)),IF(INDEX(properties!A$1:CB$87,'Fórmula'!D54,45)&lt;&gt;"",INDEX(properties!A$1:CB$87,'Fórmula'!D54,45)),IF(INDEX(properties!A$1:CB$87,'Fórmula'!F54,45)&lt;&gt;"",INDEX(properties!A$1:CB$87,'Fórmula'!F54,45)),IF(INDEX(properties!A$1:CB$87,'Fórmula'!H54,45)&lt;&gt;"",INDEX(properties!A$1:CB$87,'Fórmula'!H54,45)),IF(INDEX(properties!A$1:CB$87,'Fórmula'!J54,45)&lt;&gt;"",INDEX(properties!A$1:CB$87,'Fórmula'!J54,45)))</f>
        <v>2.289784</v>
      </c>
      <c r="EM54" s="123">
        <f t="array" ref="EM54">MAX(INDEX(properties!A$1:CB$87,'Fórmula'!B54,45),INDEX(properties!A$1:CB$87,'Fórmula'!D54,45),INDEX(properties!A$1:CB$87,'Fórmula'!F54,45),INDEX(properties!A$1:CB$87,'Fórmula'!H54,45),INDEX(properties!A$1:CB$87,'Fórmula'!J54,45))</f>
        <v>3.91</v>
      </c>
      <c r="EN54" s="123">
        <f t="array" ref="EN54">MIN(IF(INDEX(properties!A$1:CB$87,'Fórmula'!B54,45)=0,10^6,INDEX(properties!A$1:CB$87,'Fórmula'!B54,45)),IF(INDEX(properties!A$1:CB$87,'Fórmula'!D54,45)=0,10^6,INDEX(properties!A$1:CB$87,'Fórmula'!D54,45)),IF(INDEX(properties!A$1:CB$87,'Fórmula'!F54,45)=0,10^6,INDEX(properties!A$1:CB$87,'Fórmula'!F54,45)),IF(INDEX(properties!A$1:CB$87,'Fórmula'!H54,45)=0,10^6,INDEX(properties!A$1:CB$87,'Fórmula'!H54,45)),IF(INDEX(properties!A$1:CB$87,'Fórmula'!J54,45)=0,10^6,INDEX(properties!A$1:CB$87,'Fórmula'!J54,45)))</f>
        <v>0.47</v>
      </c>
      <c r="EO54" s="112">
        <f t="shared" si="24"/>
        <v>3.44</v>
      </c>
      <c r="EP54" s="113">
        <f t="array" ref="EP54">(('Fórmula'!C54)/('Fórmula'!C54+'Fórmula'!E54+'Fórmula'!G54+'Fórmula'!I54+'Fórmula'!K54))*(INDEX(properties!A$1:CB$87,'Fórmula'!B54,46))+(('Fórmula'!E54)/('Fórmula'!C54+'Fórmula'!E54+'Fórmula'!G54+'Fórmula'!I54+'Fórmula'!K54))*(INDEX(properties!A$1:CB$87,'Fórmula'!D54,46))+(('Fórmula'!G54)/('Fórmula'!C54+'Fórmula'!E54+'Fórmula'!G54+'Fórmula'!I54+'Fórmula'!K54))*(INDEX(properties!A$1:CB$87,'Fórmula'!F54,46))+(('Fórmula'!I54)/('Fórmula'!C54+'Fórmula'!E54+'Fórmula'!G54+'Fórmula'!I54+'Fórmula'!K54))*(INDEX(properties!A$1:CB$87,'Fórmula'!H54,46))+(('Fórmula'!K54)/('Fórmula'!C54+'Fórmula'!E54+'Fórmula'!G54+'Fórmula'!I54+'Fórmula'!K54))*(INDEX(properties!A$1:CB$87,'Fórmula'!J54,46))</f>
        <v>1.084166667</v>
      </c>
      <c r="EQ54" s="113">
        <f t="array" ref="EQ54">'Fórmula'!C54*(INDEX(properties!A$1:CB$87,'Fórmula'!B54,46))+'Fórmula'!E54*(INDEX(properties!A$1:CB$87,'Fórmula'!D54,46))+'Fórmula'!G54*(INDEX(properties!A$1:CB$87,'Fórmula'!F54,46))+'Fórmula'!I54*(INDEX(properties!A$1:CB$87,'Fórmula'!H54,46))+'Fórmula'!K54*(INDEX(properties!A$1:CB$87,'Fórmula'!J54,46))</f>
        <v>13.01</v>
      </c>
      <c r="ER54" s="113">
        <f t="array" ref="ER54">VARP(IF(INDEX(properties!A$1:CB$87,'Fórmula'!B54,46)&lt;&gt;"",INDEX(properties!A$1:CB$87,'Fórmula'!B54,46)),IF(INDEX(properties!A$1:CB$87,'Fórmula'!D54,46)&lt;&gt;"",INDEX(properties!A$1:CB$87,'Fórmula'!D54,46)),IF(INDEX(properties!A$1:CB$87,'Fórmula'!F54,46)&lt;&gt;"",INDEX(properties!A$1:CB$87,'Fórmula'!F54,46)),IF(INDEX(properties!A$1:CB$87,'Fórmula'!H54,46)&lt;&gt;"",INDEX(properties!A$1:CB$87,'Fórmula'!H54,46)),IF(INDEX(properties!A$1:CB$87,'Fórmula'!J54,46)&lt;&gt;"",INDEX(properties!A$1:CB$87,'Fórmula'!J54,46)))</f>
        <v>0.245176</v>
      </c>
      <c r="ES54" s="124">
        <f t="array" ref="ES54">MAX(INDEX(properties!A$1:CB$87,'Fórmula'!B54,46),INDEX(properties!A$1:CB$87,'Fórmula'!D54,46),INDEX(properties!A$1:CB$87,'Fórmula'!F54,46),INDEX(properties!A$1:CB$87,'Fórmula'!H54,46),INDEX(properties!A$1:CB$87,'Fórmula'!J54,46))</f>
        <v>1.32</v>
      </c>
      <c r="ET54" s="124">
        <f t="array" ref="ET54">MIN(IF(INDEX(properties!A$1:CB$87,'Fórmula'!B54,46)=0,10^6,INDEX(properties!A$1:CB$87,'Fórmula'!B54,46)),IF(INDEX(properties!A$1:CB$87,'Fórmula'!D54,46)=0,10^6,INDEX(properties!A$1:CB$87,'Fórmula'!D54,46)),IF(INDEX(properties!A$1:CB$87,'Fórmula'!F54,46)=0,10^6,INDEX(properties!A$1:CB$87,'Fórmula'!F54,46)),IF(INDEX(properties!A$1:CB$87,'Fórmula'!H54,46)=0,10^6,INDEX(properties!A$1:CB$87,'Fórmula'!H54,46)),IF(INDEX(properties!A$1:CB$87,'Fórmula'!J54,46)=0,10^6,INDEX(properties!A$1:CB$87,'Fórmula'!J54,46)))</f>
        <v>0.53</v>
      </c>
      <c r="EU54" s="113">
        <f t="shared" si="25"/>
        <v>0.79</v>
      </c>
      <c r="EV54" s="114">
        <f t="array" ref="EV54">(('Fórmula'!C54)/('Fórmula'!C54+'Fórmula'!E54+'Fórmula'!G54+'Fórmula'!I54+'Fórmula'!K54))*(INDEX(properties!A$1:CB$87,'Fórmula'!B54,52))+(('Fórmula'!E54)/('Fórmula'!C54+'Fórmula'!E54+'Fórmula'!G54+'Fórmula'!I54+'Fórmula'!K54))*(INDEX(properties!A$1:CB$87,'Fórmula'!D54,52))+(('Fórmula'!G54)/('Fórmula'!C54+'Fórmula'!E54+'Fórmula'!G54+'Fórmula'!I54+'Fórmula'!K54))*(INDEX(properties!A$1:CB$87,'Fórmula'!F54,52))+(('Fórmula'!I54)/('Fórmula'!C54+'Fórmula'!E54+'Fórmula'!G54+'Fórmula'!I54+'Fórmula'!K54))*(INDEX(properties!A$1:CB$87,'Fórmula'!H54,52))+(('Fórmula'!K54)/('Fórmula'!C54+'Fórmula'!E54+'Fórmula'!G54+'Fórmula'!I54+'Fórmula'!K54))*(INDEX(properties!A$1:CB$87,'Fórmula'!J54,52))</f>
        <v>8.062583333</v>
      </c>
      <c r="EW54" s="114">
        <f t="array" ref="EW54">'Fórmula'!C54*(INDEX(properties!A$1:CB$87,'Fórmula'!B54,52))+'Fórmula'!E54*(INDEX(properties!A$1:CB$87,'Fórmula'!D54,52))+'Fórmula'!G54*(INDEX(properties!A$1:CB$87,'Fórmula'!F54,52))+'Fórmula'!I54*(INDEX(properties!A$1:CB$87,'Fórmula'!H54,52))+'Fórmula'!K54*(INDEX(properties!A$1:CB$87,'Fórmula'!J54,52))</f>
        <v>96.751</v>
      </c>
      <c r="EX54" s="114">
        <f t="array" ref="EX54">VARP(IF(INDEX(properties!A$1:CB$87,'Fórmula'!B54,52)&lt;&gt;"",INDEX(properties!A$1:CB$87,'Fórmula'!B54,52)),IF(INDEX(properties!A$1:CB$87,'Fórmula'!D54,52)&lt;&gt;"",INDEX(properties!A$1:CB$87,'Fórmula'!D54,52)),IF(INDEX(properties!A$1:CB$87,'Fórmula'!F54,52)&lt;&gt;"",INDEX(properties!A$1:CB$87,'Fórmula'!F54,52)),IF(INDEX(properties!A$1:CB$87,'Fórmula'!H54,52)&lt;&gt;"",INDEX(properties!A$1:CB$87,'Fórmula'!H54,52)),IF(INDEX(properties!A$1:CB$87,'Fórmula'!J54,52)&lt;&gt;"",INDEX(properties!A$1:CB$87,'Fórmula'!J54,52)))</f>
        <v>131.7778798</v>
      </c>
      <c r="EY54" s="114">
        <f t="array" ref="EY54">MAX(INDEX(properties!A$1:CB$87,'Fórmula'!B54,52),INDEX(properties!A$1:CB$87,'Fórmula'!D54,52),INDEX(properties!A$1:CB$87,'Fórmula'!F54,52),INDEX(properties!A$1:CB$87,'Fórmula'!H54,52),INDEX(properties!A$1:CB$87,'Fórmula'!J54,52))</f>
        <v>27.6</v>
      </c>
      <c r="EZ54" s="114">
        <f t="array" ref="EZ54">MIN(IF(INDEX(properties!A$1:CB$87,'Fórmula'!B54,52)=0,10^6,INDEX(properties!A$1:CB$87,'Fórmula'!B54,52)),IF(INDEX(properties!A$1:CB$87,'Fórmula'!D54,52)=0,10^6,INDEX(properties!A$1:CB$87,'Fórmula'!D54,52)),IF(INDEX(properties!A$1:CB$87,'Fórmula'!F54,52)=0,10^6,INDEX(properties!A$1:CB$87,'Fórmula'!F54,52)),IF(INDEX(properties!A$1:CB$87,'Fórmula'!H54,52)=0,10^6,INDEX(properties!A$1:CB$87,'Fórmula'!H54,52)),IF(INDEX(properties!A$1:CB$87,'Fórmula'!J54,52)=0,10^6,INDEX(properties!A$1:CB$87,'Fórmula'!J54,52)))</f>
        <v>0.793</v>
      </c>
      <c r="FA54" s="114">
        <f t="shared" si="26"/>
        <v>26.807</v>
      </c>
      <c r="FB54" s="115">
        <f t="array" ref="FB54">(('Fórmula'!C54)/('Fórmula'!C54+'Fórmula'!E54+'Fórmula'!G54+'Fórmula'!I54+'Fórmula'!K54))*(INDEX(properties!A$1:CB$87,'Fórmula'!B54,53))+(('Fórmula'!E54)/('Fórmula'!C54+'Fórmula'!E54+'Fórmula'!G54+'Fórmula'!I54+'Fórmula'!K54))*(INDEX(properties!A$1:CB$87,'Fórmula'!D54,53))+(('Fórmula'!G54)/('Fórmula'!C54+'Fórmula'!E54+'Fórmula'!G54+'Fórmula'!I54+'Fórmula'!K54))*(INDEX(properties!A$1:CB$87,'Fórmula'!F54,53))+(('Fórmula'!I54)/('Fórmula'!C54+'Fórmula'!E54+'Fórmula'!G54+'Fórmula'!I54+'Fórmula'!K54))*(INDEX(properties!A$1:CB$87,'Fórmula'!H54,53))+(('Fórmula'!K54)/('Fórmula'!C54+'Fórmula'!E54+'Fórmula'!G54+'Fórmula'!I54+'Fórmula'!K54))*(INDEX(properties!A$1:CB$87,'Fórmula'!J54,53))</f>
        <v>538.6666667</v>
      </c>
      <c r="FC54" s="115">
        <f t="array" ref="FC54">'Fórmula'!C54*(INDEX(properties!A$1:CB$87,'Fórmula'!B54,53))+'Fórmula'!E54*(INDEX(properties!A$1:CB$87,'Fórmula'!D54,53))+'Fórmula'!G54*(INDEX(properties!A$1:CB$87,'Fórmula'!F54,53))+'Fórmula'!I54*(INDEX(properties!A$1:CB$87,'Fórmula'!H54,53))+'Fórmula'!K54*(INDEX(properties!A$1:CB$87,'Fórmula'!J54,53))</f>
        <v>6464</v>
      </c>
      <c r="FD54" s="115">
        <f t="array" ref="FD54">VARP(IF(INDEX(properties!A$1:CB$87,'Fórmula'!B54,53)&lt;&gt;"",INDEX(properties!A$1:CB$87,'Fórmula'!B54,53)),IF(INDEX(properties!A$1:CB$87,'Fórmula'!D54,53)&lt;&gt;"",INDEX(properties!A$1:CB$87,'Fórmula'!D54,53)),IF(INDEX(properties!A$1:CB$87,'Fórmula'!F54,53)&lt;&gt;"",INDEX(properties!A$1:CB$87,'Fórmula'!F54,53)),IF(INDEX(properties!A$1:CB$87,'Fórmula'!H54,53)&lt;&gt;"",INDEX(properties!A$1:CB$87,'Fórmula'!H54,53)),IF(INDEX(properties!A$1:CB$87,'Fórmula'!J54,53)&lt;&gt;"",INDEX(properties!A$1:CB$87,'Fórmula'!J54,53)))</f>
        <v>372066.8884</v>
      </c>
      <c r="FE54" s="115">
        <f t="array" ref="FE54">MAX(INDEX(properties!A$1:CB$87,'Fórmula'!B54,53),INDEX(properties!A$1:CB$87,'Fórmula'!D54,53),INDEX(properties!A$1:CB$87,'Fórmula'!F54,53),INDEX(properties!A$1:CB$87,'Fórmula'!H54,53),INDEX(properties!A$1:CB$87,'Fórmula'!J54,53))</f>
        <v>1586.15</v>
      </c>
      <c r="FF54" s="115">
        <f t="array" ref="FF54">MIN(IF(INDEX(properties!A$1:CB$87,'Fórmula'!B54,53)=0,10^6,INDEX(properties!A$1:CB$87,'Fórmula'!B54,53)),IF(INDEX(properties!A$1:CB$87,'Fórmula'!D54,53)=0,10^6,INDEX(properties!A$1:CB$87,'Fórmula'!D54,53)),IF(INDEX(properties!A$1:CB$87,'Fórmula'!F54,53)=0,10^6,INDEX(properties!A$1:CB$87,'Fórmula'!F54,53)),IF(INDEX(properties!A$1:CB$87,'Fórmula'!H54,53)=0,10^6,INDEX(properties!A$1:CB$87,'Fórmula'!H54,53)),IF(INDEX(properties!A$1:CB$87,'Fórmula'!J54,53)=0,10^6,INDEX(properties!A$1:CB$87,'Fórmula'!J54,53)))</f>
        <v>54.75</v>
      </c>
      <c r="FG54" s="115">
        <f t="shared" si="27"/>
        <v>1531.4</v>
      </c>
      <c r="FH54" s="117">
        <f t="array" ref="FH54">(('Fórmula'!C54)/('Fórmula'!C54+'Fórmula'!E54+'Fórmula'!G54+'Fórmula'!I54+'Fórmula'!K54))*(INDEX(properties!A$1:CB$87,'Fórmula'!B54,54))+(('Fórmula'!E54)/('Fórmula'!C54+'Fórmula'!E54+'Fórmula'!G54+'Fórmula'!I54+'Fórmula'!K54))*(INDEX(properties!A$1:CB$87,'Fórmula'!D54,54))+(('Fórmula'!G54)/('Fórmula'!C54+'Fórmula'!E54+'Fórmula'!G54+'Fórmula'!I54+'Fórmula'!K54))*(INDEX(properties!A$1:CB$87,'Fórmula'!F54,54))+(('Fórmula'!I54)/('Fórmula'!C54+'Fórmula'!E54+'Fórmula'!G54+'Fórmula'!I54+'Fórmula'!K54))*(INDEX(properties!A$1:CB$87,'Fórmula'!H54,54))+(('Fórmula'!K54)/('Fórmula'!C54+'Fórmula'!E54+'Fórmula'!G54+'Fórmula'!I54+'Fórmula'!K54))*(INDEX(properties!A$1:CB$87,'Fórmula'!J54,54))</f>
        <v>1238.4</v>
      </c>
      <c r="FI54" s="117">
        <f t="array" ref="FI54">'Fórmula'!C54*(INDEX(properties!A$1:CB$87,'Fórmula'!B54,54))+'Fórmula'!E54*(INDEX(properties!A$1:CB$87,'Fórmula'!D54,54))+'Fórmula'!G54*(INDEX(properties!A$1:CB$87,'Fórmula'!F54,54))+'Fórmula'!I54*(INDEX(properties!A$1:CB$87,'Fórmula'!H54,54))+'Fórmula'!K54*(INDEX(properties!A$1:CB$87,'Fórmula'!J54,54))</f>
        <v>14860.8</v>
      </c>
      <c r="FJ54" s="117">
        <f t="array" ref="FJ54">VARP(IF(INDEX(properties!A$1:CB$87,'Fórmula'!B54,54)&lt;&gt;"",INDEX(properties!A$1:CB$87,'Fórmula'!B54,54)),IF(INDEX(properties!A$1:CB$87,'Fórmula'!D54,54)&lt;&gt;"",INDEX(properties!A$1:CB$87,'Fórmula'!D54,54)),IF(INDEX(properties!A$1:CB$87,'Fórmula'!F54,54)&lt;&gt;"",INDEX(properties!A$1:CB$87,'Fórmula'!F54,54)),IF(INDEX(properties!A$1:CB$87,'Fórmula'!H54,54)&lt;&gt;"",INDEX(properties!A$1:CB$87,'Fórmula'!H54,54)),IF(INDEX(properties!A$1:CB$87,'Fórmula'!J54,54)&lt;&gt;"",INDEX(properties!A$1:CB$87,'Fórmula'!J54,54)))</f>
        <v>1986025.84</v>
      </c>
      <c r="FK54" s="117">
        <f t="array" ref="FK54">MAX(INDEX(properties!A$1:CB$87,'Fórmula'!B54,54),INDEX(properties!A$1:CB$87,'Fórmula'!D54,54),INDEX(properties!A$1:CB$87,'Fórmula'!F54,54),INDEX(properties!A$1:CB$87,'Fórmula'!H54,54),INDEX(properties!A$1:CB$87,'Fórmula'!J54,54))</f>
        <v>3546.15</v>
      </c>
      <c r="FL54" s="117">
        <f t="array" ref="FL54">MIN(IF(INDEX(properties!A$1:CB$87,'Fórmula'!B54,54)=0,10^6,INDEX(properties!A$1:CB$87,'Fórmula'!B54,54)),IF(INDEX(properties!A$1:CB$87,'Fórmula'!D54,54)=0,10^6,INDEX(properties!A$1:CB$87,'Fórmula'!D54,54)),IF(INDEX(properties!A$1:CB$87,'Fórmula'!F54,54)=0,10^6,INDEX(properties!A$1:CB$87,'Fórmula'!F54,54)),IF(INDEX(properties!A$1:CB$87,'Fórmula'!H54,54)=0,10^6,INDEX(properties!A$1:CB$87,'Fórmula'!H54,54)),IF(INDEX(properties!A$1:CB$87,'Fórmula'!J54,54)=0,10^6,INDEX(properties!A$1:CB$87,'Fórmula'!J54,54)))</f>
        <v>90.15</v>
      </c>
      <c r="FM54" s="117">
        <f t="shared" si="28"/>
        <v>3456</v>
      </c>
      <c r="FN54" s="118">
        <f t="array" ref="FN54">(('Fórmula'!C54)/('Fórmula'!C54+'Fórmula'!E54+'Fórmula'!G54+'Fórmula'!I54+'Fórmula'!K54))*(INDEX(properties!A$1:CB$87,'Fórmula'!B54,55))+(('Fórmula'!E54)/('Fórmula'!C54+'Fórmula'!E54+'Fórmula'!G54+'Fórmula'!I54+'Fórmula'!K54))*(INDEX(properties!A$1:CB$87,'Fórmula'!D54,55))+(('Fórmula'!G54)/('Fórmula'!C54+'Fórmula'!E54+'Fórmula'!G54+'Fórmula'!I54+'Fórmula'!K54))*(INDEX(properties!A$1:CB$87,'Fórmula'!F54,55))+(('Fórmula'!I54)/('Fórmula'!C54+'Fórmula'!E54+'Fórmula'!G54+'Fórmula'!I54+'Fórmula'!K54))*(INDEX(properties!A$1:CB$87,'Fórmula'!H54,55))+(('Fórmula'!K54)/('Fórmula'!C54+'Fórmula'!E54+'Fórmula'!G54+'Fórmula'!I54+'Fórmula'!K54))*(INDEX(properties!A$1:CB$87,'Fórmula'!J54,55))</f>
        <v>1.9866675</v>
      </c>
      <c r="FO54" s="118">
        <f t="array" ref="FO54">'Fórmula'!C54*(INDEX(properties!A$1:CB$87,'Fórmula'!B54,55))+'Fórmula'!E54*(INDEX(properties!A$1:CB$87,'Fórmula'!D54,54))+'Fórmula'!G54*(INDEX(properties!A$1:CB$87,'Fórmula'!F54,55))+'Fórmula'!I54*(INDEX(properties!A$1:CB$87,'Fórmula'!H54,55))+'Fórmula'!K54*(INDEX(properties!A$1:CB$87,'Fórmula'!J54,55))</f>
        <v>7100.34001</v>
      </c>
      <c r="FP54" s="118">
        <f t="array" ref="FP54">VARP(IF(INDEX(properties!A$1:CB$87,'Fórmula'!B54,55)&lt;&gt;"",INDEX(properties!A$1:CB$87,'Fórmula'!B54,55)),IF(INDEX(properties!A$1:CB$87,'Fórmula'!D54,55)&lt;&gt;"",INDEX(properties!A$1:CB$87,'Fórmula'!D54,55)),IF(INDEX(properties!A$1:CB$87,'Fórmula'!F54,55)&lt;&gt;"",INDEX(properties!A$1:CB$87,'Fórmula'!F54,55)),IF(INDEX(properties!A$1:CB$87,'Fórmula'!H54,55)&lt;&gt;"",INDEX(properties!A$1:CB$87,'Fórmula'!H54,55)),IF(INDEX(properties!A$1:CB$87,'Fórmula'!J54,55)&lt;&gt;"",INDEX(properties!A$1:CB$87,'Fórmula'!J54,55)))</f>
        <v>8.320550815</v>
      </c>
      <c r="FQ54" s="118">
        <f t="array" ref="FQ54">MAX(INDEX(properties!A$1:CB$87,'Fórmula'!B54,55),INDEX(properties!A$1:CB$87,'Fórmula'!D54,55),INDEX(properties!A$1:CB$87,'Fórmula'!F54,55),INDEX(properties!A$1:CB$87,'Fórmula'!H54,55),INDEX(properties!A$1:CB$87,'Fórmula'!J54,55))</f>
        <v>7.9</v>
      </c>
      <c r="FR54" s="118">
        <f t="array" ref="FR54">MIN(IF(INDEX(properties!A$1:CB$87,'Fórmula'!B54,55)=0,10^6,INDEX(properties!A$1:CB$87,'Fórmula'!B54,55)),IF(INDEX(properties!A$1:CB$87,'Fórmula'!D54,55)=0,10^6,INDEX(properties!A$1:CB$87,'Fórmula'!D54,55)),IF(INDEX(properties!A$1:CB$87,'Fórmula'!F54,55)=0,10^6,INDEX(properties!A$1:CB$87,'Fórmula'!F54,55)),IF(INDEX(properties!A$1:CB$87,'Fórmula'!H54,55)=0,10^6,INDEX(properties!A$1:CB$87,'Fórmula'!H54,55)),IF(INDEX(properties!A$1:CB$87,'Fórmula'!J54,55)=0,10^6,INDEX(properties!A$1:CB$87,'Fórmula'!J54,55)))</f>
        <v>0.00143</v>
      </c>
      <c r="FS54" s="118">
        <f t="shared" si="29"/>
        <v>7.89857</v>
      </c>
      <c r="FT54" s="119">
        <f t="array" ref="FT54">(('Fórmula'!C54)/('Fórmula'!C54+'Fórmula'!E54+'Fórmula'!G54+'Fórmula'!I54+'Fórmula'!K54))*(INDEX(properties!A$1:CB$87,'Fórmula'!B54,56))+(('Fórmula'!E54)/('Fórmula'!C54+'Fórmula'!E54+'Fórmula'!G54+'Fórmula'!I54+'Fórmula'!K54))*(INDEX(properties!A$1:CB$87,'Fórmula'!D54,56))+(('Fórmula'!G54)/('Fórmula'!C54+'Fórmula'!E54+'Fórmula'!G54+'Fórmula'!I54+'Fórmula'!K54))*(INDEX(properties!A$1:CB$87,'Fórmula'!F54,56))+(('Fórmula'!I54)/('Fórmula'!C54+'Fórmula'!E54+'Fórmula'!G54+'Fórmula'!I54+'Fórmula'!K54))*(INDEX(properties!A$1:CB$87,'Fórmula'!H54,56))+(('Fórmula'!K54)/('Fórmula'!C54+'Fórmula'!E54+'Fórmula'!G54+'Fórmula'!I54+'Fórmula'!K54))*(INDEX(properties!A$1:CB$87,'Fórmula'!J54,56))</f>
        <v>0.75</v>
      </c>
      <c r="FU54" s="119">
        <f t="array" ref="FU54">'Fórmula'!C54*(INDEX(properties!A$1:CB$87,'Fórmula'!B54,56))+'Fórmula'!E54*(INDEX(properties!A$1:CB$87,'Fórmula'!D54,56))+'Fórmula'!G54*(INDEX(properties!A$1:CB$87,'Fórmula'!F54,56))+'Fórmula'!I54*(INDEX(properties!A$1:CB$87,'Fórmula'!H54,56))+'Fórmula'!K54*(INDEX(properties!A$1:CB$87,'Fórmula'!J54,56))</f>
        <v>9</v>
      </c>
      <c r="FV54" s="119">
        <f t="array" ref="FV54">VARP(IF(INDEX(properties!A$1:CB$87,'Fórmula'!B54,56)&lt;&gt;"",INDEX(properties!A$1:CB$87,'Fórmula'!B54,56)),IF(INDEX(properties!A$1:CB$87,'Fórmula'!D54,56)&lt;&gt;"",INDEX(properties!A$1:CB$87,'Fórmula'!D54,56)),IF(INDEX(properties!A$1:CB$87,'Fórmula'!F54,56)&lt;&gt;"",INDEX(properties!A$1:CB$87,'Fórmula'!F54,56)),IF(INDEX(properties!A$1:CB$87,'Fórmula'!H54,56)&lt;&gt;"",INDEX(properties!A$1:CB$87,'Fórmula'!H54,56)),IF(INDEX(properties!A$1:CB$87,'Fórmula'!J54,56)&lt;&gt;"",INDEX(properties!A$1:CB$87,'Fórmula'!J54,56)))</f>
        <v>0.13896</v>
      </c>
      <c r="FW54" s="119">
        <f t="array" ref="FW54">MAX(INDEX(properties!A$1:CB$87,'Fórmula'!B54,56),INDEX(properties!A$1:CB$87,'Fórmula'!D54,56),INDEX(properties!A$1:CB$87,'Fórmula'!F54,56),INDEX(properties!A$1:CB$87,'Fórmula'!H54,56),INDEX(properties!A$1:CB$87,'Fórmula'!J54,56))</f>
        <v>0.92</v>
      </c>
      <c r="FX54" s="119">
        <f t="array" ref="FX54">MIN(IF(INDEX(properties!A$1:CB$87,'Fórmula'!B54,56)=0,10^6,INDEX(properties!A$1:CB$87,'Fórmula'!B54,56)),IF(INDEX(properties!A$1:CB$87,'Fórmula'!D54,56)=0,10^6,INDEX(properties!A$1:CB$87,'Fórmula'!D54,56)),IF(INDEX(properties!A$1:CB$87,'Fórmula'!F54,56)=0,10^6,INDEX(properties!A$1:CB$87,'Fórmula'!F54,56)),IF(INDEX(properties!A$1:CB$87,'Fórmula'!H54,56)=0,10^6,INDEX(properties!A$1:CB$87,'Fórmula'!H54,56)),IF(INDEX(properties!A$1:CB$87,'Fórmula'!J54,56)=0,10^6,INDEX(properties!A$1:CB$87,'Fórmula'!J54,56)))</f>
        <v>0.23</v>
      </c>
      <c r="FY54" s="119">
        <f t="shared" si="30"/>
        <v>0.69</v>
      </c>
      <c r="FZ54" s="104">
        <f t="array" ref="FZ54">(('Fórmula'!C54)/('Fórmula'!C54+'Fórmula'!E54+'Fórmula'!G54+'Fórmula'!I54+'Fórmula'!K54))*(INDEX(properties!A$1:CB$87,'Fórmula'!B54,57))+(('Fórmula'!E54)/('Fórmula'!C54+'Fórmula'!E54+'Fórmula'!G54+'Fórmula'!I54+'Fórmula'!K54))*(INDEX(properties!A$1:CB$87,'Fórmula'!D54,57))+(('Fórmula'!G54)/('Fórmula'!C54+'Fórmula'!E54+'Fórmula'!G54+'Fórmula'!I54+'Fórmula'!K54))*(INDEX(properties!A$1:CB$87,'Fórmula'!F54,57))+(('Fórmula'!I54)/('Fórmula'!C54+'Fórmula'!E54+'Fórmula'!G54+'Fórmula'!I54+'Fórmula'!K54))*(INDEX(properties!A$1:CB$87,'Fórmula'!H54,57))+(('Fórmula'!K54)/('Fórmula'!C54+'Fórmula'!E54+'Fórmula'!G54+'Fórmula'!I54+'Fórmula'!K54))*(INDEX(properties!A$1:CB$87,'Fórmula'!J54,57))</f>
        <v>4.294844167</v>
      </c>
      <c r="GA54" s="104">
        <f t="array" ref="GA54">'Fórmula'!C54*(INDEX(properties!A$1:CB$87,'Fórmula'!B54,57))+'Fórmula'!E54*(INDEX(properties!A$1:CB$87,'Fórmula'!D54,57))+'Fórmula'!G54*(INDEX(properties!A$1:CB$87,'Fórmula'!F54,57))+'Fórmula'!I54*(INDEX(properties!A$1:CB$87,'Fórmula'!H54,57))+'Fórmula'!K54*(INDEX(properties!A$1:CB$87,'Fórmula'!J54,57))</f>
        <v>51.53813</v>
      </c>
      <c r="GB54" s="104">
        <f t="array" ref="GB54">VARP(IF(INDEX(properties!A$1:CB$87,'Fórmula'!B54,57)&lt;&gt;"",INDEX(properties!A$1:CB$87,'Fórmula'!B54,57)),IF(INDEX(properties!A$1:CB$87,'Fórmula'!D54,57)&lt;&gt;"",INDEX(properties!A$1:CB$87,'Fórmula'!D54,57)),IF(INDEX(properties!A$1:CB$87,'Fórmula'!F54,57)&lt;&gt;"",INDEX(properties!A$1:CB$87,'Fórmula'!F54,57)),IF(INDEX(properties!A$1:CB$87,'Fórmula'!H54,57)&lt;&gt;"",INDEX(properties!A$1:CB$87,'Fórmula'!H54,57)),IF(INDEX(properties!A$1:CB$87,'Fórmula'!J54,57)&lt;&gt;"",INDEX(properties!A$1:CB$87,'Fórmula'!J54,57)))</f>
        <v>22.7867616</v>
      </c>
      <c r="GC54" s="104">
        <f t="array" ref="GC54">MAX(INDEX(properties!A$1:CB$87,'Fórmula'!B54,57),INDEX(properties!A$1:CB$87,'Fórmula'!D54,57),INDEX(properties!A$1:CB$87,'Fórmula'!F54,57),INDEX(properties!A$1:CB$87,'Fórmula'!H54,57),INDEX(properties!A$1:CB$87,'Fórmula'!J54,57))</f>
        <v>10.79</v>
      </c>
      <c r="GD54" s="104">
        <f t="array" ref="GD54">MIN(IF(INDEX(properties!A$1:CB$87,'Fórmula'!B54,57)=0,10^6,INDEX(properties!A$1:CB$87,'Fórmula'!B54,57)),IF(INDEX(properties!A$1:CB$87,'Fórmula'!D54,57)=0,10^6,INDEX(properties!A$1:CB$87,'Fórmula'!D54,57)),IF(INDEX(properties!A$1:CB$87,'Fórmula'!F54,57)=0,10^6,INDEX(properties!A$1:CB$87,'Fórmula'!F54,57)),IF(INDEX(properties!A$1:CB$87,'Fórmula'!H54,57)=0,10^6,INDEX(properties!A$1:CB$87,'Fórmula'!H54,57)),IF(INDEX(properties!A$1:CB$87,'Fórmula'!J54,57)=0,10^6,INDEX(properties!A$1:CB$87,'Fórmula'!J54,57)))</f>
        <v>0.22259</v>
      </c>
      <c r="GE54" s="104">
        <f t="shared" si="31"/>
        <v>10.56741</v>
      </c>
      <c r="GF54" s="105">
        <f t="array" ref="GF54">(('Fórmula'!C54)/('Fórmula'!C54+'Fórmula'!E54+'Fórmula'!G54+'Fórmula'!I54+'Fórmula'!K54))*(INDEX(properties!A$1:CB$87,'Fórmula'!B54,60))+(('Fórmula'!E54)/('Fórmula'!C54+'Fórmula'!E54+'Fórmula'!G54+'Fórmula'!I54+'Fórmula'!K54))*(INDEX(properties!A$1:CB$87,'Fórmula'!D54,60))+(('Fórmula'!G54)/('Fórmula'!C54+'Fórmula'!E54+'Fórmula'!G54+'Fórmula'!I54+'Fórmula'!K54))*(INDEX(properties!A$1:CB$87,'Fórmula'!F54,60))+(('Fórmula'!I54)/('Fórmula'!C54+'Fórmula'!E54+'Fórmula'!G54+'Fórmula'!I54+'Fórmula'!K54))*(INDEX(properties!A$1:CB$87,'Fórmula'!H54,60))+(('Fórmula'!K54)/('Fórmula'!C54+'Fórmula'!E54+'Fórmula'!G54+'Fórmula'!I54+'Fórmula'!K54))*(INDEX(properties!A$1:CB$87,'Fórmula'!J54,60))</f>
        <v>44.22393167</v>
      </c>
      <c r="GG54" s="105">
        <f t="array" ref="GG54">'Fórmula'!C54*(INDEX(properties!A$1:CB$87,'Fórmula'!B54,60))+'Fórmula'!E54*(INDEX(properties!A$1:CB$87,'Fórmula'!D54,60))+'Fórmula'!G54*(INDEX(properties!A$1:CB$87,'Fórmula'!F54,60))+'Fórmula'!I54*(INDEX(properties!A$1:CB$87,'Fórmula'!H54,60))+'Fórmula'!K54*(INDEX(properties!A$1:CB$87,'Fórmula'!J54,60))</f>
        <v>530.68718</v>
      </c>
      <c r="GH54" s="105">
        <f t="array" ref="GH54">VARP(IF(INDEX(properties!A$1:CB$87,'Fórmula'!B54,60)&lt;&gt;"",INDEX(properties!A$1:CB$87,'Fórmula'!B54,60)),IF(INDEX(properties!A$1:CB$87,'Fórmula'!D54,60)&lt;&gt;"",INDEX(properties!A$1:CB$87,'Fórmula'!D54,60)),IF(INDEX(properties!A$1:CB$87,'Fórmula'!F54,60)&lt;&gt;"",INDEX(properties!A$1:CB$87,'Fórmula'!F54,60)),IF(INDEX(properties!A$1:CB$87,'Fórmula'!H54,60)&lt;&gt;"",INDEX(properties!A$1:CB$87,'Fórmula'!H54,60)),IF(INDEX(properties!A$1:CB$87,'Fórmula'!J54,60)&lt;&gt;"",INDEX(properties!A$1:CB$87,'Fórmula'!J54,60)))</f>
        <v>8303.588535</v>
      </c>
      <c r="GI54" s="105">
        <f t="array" ref="GI54">MAX(INDEX(properties!A$1:CB$87,'Fórmula'!B54,60),INDEX(properties!A$1:CB$87,'Fórmula'!D54,60),INDEX(properties!A$1:CB$87,'Fórmula'!F54,60),INDEX(properties!A$1:CB$87,'Fórmula'!H54,60),INDEX(properties!A$1:CB$87,'Fórmula'!J54,60))</f>
        <v>237</v>
      </c>
      <c r="GJ54" s="105">
        <f t="array" ref="GJ54">MIN(IF(INDEX(properties!A$1:CB$87,'Fórmula'!B54,60)=0,10^6,INDEX(properties!A$1:CB$87,'Fórmula'!B54,60)),IF(INDEX(properties!A$1:CB$87,'Fórmula'!D54,60)=0,10^6,INDEX(properties!A$1:CB$87,'Fórmula'!D54,60)),IF(INDEX(properties!A$1:CB$87,'Fórmula'!F54,60)=0,10^6,INDEX(properties!A$1:CB$87,'Fórmula'!F54,60)),IF(INDEX(properties!A$1:CB$87,'Fórmula'!H54,60)=0,10^6,INDEX(properties!A$1:CB$87,'Fórmula'!H54,60)),IF(INDEX(properties!A$1:CB$87,'Fórmula'!J54,60)=0,10^6,INDEX(properties!A$1:CB$87,'Fórmula'!J54,60)))</f>
        <v>0.02674</v>
      </c>
      <c r="GK54" s="105">
        <f t="shared" si="32"/>
        <v>236.97326</v>
      </c>
      <c r="GL54" s="106">
        <f t="array" ref="GL54">(('Fórmula'!C54)/('Fórmula'!C54+'Fórmula'!E54+'Fórmula'!G54+'Fórmula'!I54+'Fórmula'!K54))*(INDEX(properties!A$1:CB$87,'Fórmula'!B54,62))+(('Fórmula'!E54)/('Fórmula'!C54+'Fórmula'!E54+'Fórmula'!G54+'Fórmula'!I54+'Fórmula'!K54))*(INDEX(properties!A$1:CB$87,'Fórmula'!D54,62))+(('Fórmula'!G54)/('Fórmula'!C54+'Fórmula'!E54+'Fórmula'!G54+'Fórmula'!I54+'Fórmula'!K54))*(INDEX(properties!A$1:CB$87,'Fórmula'!F54,62))+(('Fórmula'!I54)/('Fórmula'!C54+'Fórmula'!E54+'Fórmula'!G54+'Fórmula'!I54+'Fórmula'!K54))*(INDEX(properties!A$1:CB$87,'Fórmula'!H54,62))+(('Fórmula'!K54)/('Fórmula'!C54+'Fórmula'!E54+'Fórmula'!G54+'Fórmula'!I54+'Fórmula'!K54))*(INDEX(properties!A$1:CB$87,'Fórmula'!J54,62))</f>
        <v>2.926666667</v>
      </c>
      <c r="GM54" s="106">
        <f t="array" ref="GM54">'Fórmula'!C54*(INDEX(properties!A$1:CB$87,'Fórmula'!B54,62))+'Fórmula'!E54*(INDEX(properties!A$1:CB$87,'Fórmula'!D54,62))+'Fórmula'!G54*(INDEX(properties!A$1:CB$87,'Fórmula'!F54,62))+'Fórmula'!I54*(INDEX(properties!A$1:CB$87,'Fórmula'!H54,62))+'Fórmula'!K54*(INDEX(properties!A$1:CB$87,'Fórmula'!J54,62))</f>
        <v>35.12</v>
      </c>
      <c r="GN54" s="106">
        <f t="array" ref="GN54">VARP(IF(INDEX(properties!A$1:CB$87,'Fórmula'!B54,62)&lt;&gt;"",INDEX(properties!A$1:CB$87,'Fórmula'!B54,62)),IF(INDEX(properties!A$1:CB$87,'Fórmula'!D54,62)&lt;&gt;"",INDEX(properties!A$1:CB$87,'Fórmula'!D54,62)),IF(INDEX(properties!A$1:CB$87,'Fórmula'!F54,62)&lt;&gt;"",INDEX(properties!A$1:CB$87,'Fórmula'!F54,62)),IF(INDEX(properties!A$1:CB$87,'Fórmula'!H54,62)&lt;&gt;"",INDEX(properties!A$1:CB$87,'Fórmula'!H54,62)),IF(INDEX(properties!A$1:CB$87,'Fórmula'!J54,62)&lt;&gt;"",INDEX(properties!A$1:CB$87,'Fórmula'!J54,62)))</f>
        <v>2.055024</v>
      </c>
      <c r="GO54" s="106">
        <f t="array" ref="GO54">MAX(INDEX(properties!A$1:CB$87,'Fórmula'!B54,62),INDEX(properties!A$1:CB$87,'Fórmula'!D54,62),INDEX(properties!A$1:CB$87,'Fórmula'!F54,62),INDEX(properties!A$1:CB$87,'Fórmula'!H54,62),INDEX(properties!A$1:CB$87,'Fórmula'!J54,62))</f>
        <v>4.14</v>
      </c>
      <c r="GP54" s="106">
        <f t="array" ref="GP54">MIN(IF(INDEX(properties!A$1:CB$87,'Fórmula'!B54,62)=0,10^6,INDEX(properties!A$1:CB$87,'Fórmula'!B54,62)),IF(INDEX(properties!A$1:CB$87,'Fórmula'!D54,62)=0,10^6,INDEX(properties!A$1:CB$87,'Fórmula'!D54,62)),IF(INDEX(properties!A$1:CB$87,'Fórmula'!F54,62)=0,10^6,INDEX(properties!A$1:CB$87,'Fórmula'!F54,62)),IF(INDEX(properties!A$1:CB$87,'Fórmula'!H54,62)=0,10^6,INDEX(properties!A$1:CB$87,'Fórmula'!H54,62)),IF(INDEX(properties!A$1:CB$87,'Fórmula'!J54,62)=0,10^6,INDEX(properties!A$1:CB$87,'Fórmula'!J54,62)))</f>
        <v>1.72</v>
      </c>
      <c r="GQ54" s="106">
        <f t="shared" si="33"/>
        <v>2.42</v>
      </c>
      <c r="GR54" s="106">
        <f>'Fórmula'!Q54</f>
        <v>139</v>
      </c>
      <c r="GS54" s="107">
        <f>'Fórmula'!P54</f>
        <v>2</v>
      </c>
      <c r="GT54" s="113">
        <f>'Fórmula'!O54</f>
        <v>6.94</v>
      </c>
      <c r="GU54" s="114">
        <f>AVERAGE('Fórmula'!R54/'Fórmula'!S54,'Fórmula'!S54/'Fórmula'!T54,'Fórmula'!T54/'Fórmula'!R54)</f>
        <v>2.175948118</v>
      </c>
      <c r="GV54" s="125">
        <f>'Fórmula'!U54</f>
        <v>271.99</v>
      </c>
      <c r="GW54" s="106">
        <f>'Fórmula'!N54</f>
        <v>0.05</v>
      </c>
    </row>
    <row r="55" ht="14.25" customHeight="1">
      <c r="A55" s="99" t="str">
        <f>'Fórmula'!A55</f>
        <v>BaLa2ZnO5</v>
      </c>
      <c r="B55" s="101">
        <f t="array" ref="B55">(('Fórmula'!C55)/('Fórmula'!C55+'Fórmula'!E55+'Fórmula'!G55+'Fórmula'!I55+'Fórmula'!K55))*(INDEX(properties!A$1:CB$87,'Fórmula'!B55,3))+(('Fórmula'!E55)/('Fórmula'!C55+'Fórmula'!E55+'Fórmula'!G55+'Fórmula'!I55+'Fórmula'!K55))*(INDEX(properties!A$1:CB$87,'Fórmula'!D55,3))+(('Fórmula'!G55)/('Fórmula'!C55+'Fórmula'!E55+'Fórmula'!G55+'Fórmula'!I55+'Fórmula'!K55))*(INDEX(properties!A$1:CB$87,'Fórmula'!F55,3))+(('Fórmula'!I55)/('Fórmula'!C55+'Fórmula'!E55+'Fórmula'!G55+'Fórmula'!I55+'Fórmula'!K55))*(INDEX(properties!A$1:CB$87,'Fórmula'!H55,3))+(('Fórmula'!K55)/('Fórmula'!C55+'Fórmula'!E55+'Fórmula'!G55+'Fórmula'!I55+'Fórmula'!K55))*(INDEX(properties!A$1:CB$87,'Fórmula'!J55,3))</f>
        <v>62.27944444</v>
      </c>
      <c r="C55" s="101">
        <f t="array" ref="C55">'Fórmula'!C55*(INDEX(properties!A$1:CB$87,'Fórmula'!B55,3))+'Fórmula'!E55*(INDEX(properties!A$1:CB$87,'Fórmula'!D55,3))+'Fórmula'!G55*(INDEX(properties!A$1:CB$87,'Fórmula'!F55,3))+'Fórmula'!I55*(INDEX(properties!A$1:CB$87,'Fórmula'!H55,3))+'Fórmula'!K55*(INDEX(properties!A$1:CB$87,'Fórmula'!J55,3))</f>
        <v>560.515</v>
      </c>
      <c r="D55" s="101">
        <f t="array" ref="D55">VARP(IF(INDEX(properties!A$1:CB$87,'Fórmula'!B55,3)&lt;&gt;"",INDEX(properties!A$1:CB$87,'Fórmula'!B55,3)),IF(INDEX(properties!A$1:CB$87,'Fórmula'!D55,3)&lt;&gt;"",INDEX(properties!A$1:CB$87,'Fórmula'!D55,3)),IF(INDEX(properties!A$1:CB$87,'Fórmula'!F55,3)&lt;&gt;"",INDEX(properties!A$1:CB$87,'Fórmula'!F55,3)),IF(INDEX(properties!A$1:CB$87,'Fórmula'!H55,3)&lt;&gt;"",INDEX(properties!A$1:CB$87,'Fórmula'!H55,3)),IF(INDEX(properties!A$1:CB$87,'Fórmula'!J55,3)&lt;&gt;"",INDEX(properties!A$1:CB$87,'Fórmula'!J55,3)))</f>
        <v>3421.342771</v>
      </c>
      <c r="E55" s="101">
        <f t="array" ref="E55">MAX(INDEX(properties!A$1:CB$87,'Fórmula'!B55,3),INDEX(properties!A$1:CB$87,'Fórmula'!D55,3),INDEX(properties!A$1:CB$87,'Fórmula'!F55,3),INDEX(properties!A$1:CB$87,'Fórmula'!H55,3),INDEX(properties!A$1:CB$87,'Fórmula'!J55,3))</f>
        <v>138.9055</v>
      </c>
      <c r="F55" s="101">
        <f t="array" ref="F55">MIN(IF(INDEX(properties!A$1:CB$87,'Fórmula'!B55,3)=0,10^6,INDEX(properties!A$1:CB$87,'Fórmula'!B55,3)),IF(INDEX(properties!A$1:CB$87,'Fórmula'!D55,3)=0,10^6,INDEX(properties!A$1:CB$87,'Fórmula'!D55,3)),IF(INDEX(properties!A$1:CB$87,'Fórmula'!F55,3)=0,10^6,INDEX(properties!A$1:CB$87,'Fórmula'!F55,3)),IF(INDEX(properties!A$1:CB$87,'Fórmula'!H55,3)=0,10^6,INDEX(properties!A$1:CB$87,'Fórmula'!H55,3)),IF(INDEX(properties!A$1:CB$87,'Fórmula'!J55,3)=0,10^6,INDEX(properties!A$1:CB$87,'Fórmula'!J55,3)))</f>
        <v>15.9994</v>
      </c>
      <c r="G55" s="101">
        <f t="shared" si="1"/>
        <v>122.9061</v>
      </c>
      <c r="H55" s="102">
        <f t="array" ref="H55">(('Fórmula'!C55)/('Fórmula'!C55+'Fórmula'!E55+'Fórmula'!G55+'Fórmula'!I55+'Fórmula'!K55))*(INDEX(properties!A$1:CB$87,'Fórmula'!B55,4))+(('Fórmula'!E55)/('Fórmula'!C55+'Fórmula'!E55+'Fórmula'!G55+'Fórmula'!I55+'Fórmula'!K55))*(INDEX(properties!A$1:CB$87,'Fórmula'!D55,4))+(('Fórmula'!G55)/('Fórmula'!C55+'Fórmula'!E55+'Fórmula'!G55+'Fórmula'!I55+'Fórmula'!K55))*(INDEX(properties!A$1:CB$87,'Fórmula'!F55,4))+(('Fórmula'!I55)/('Fórmula'!C55+'Fórmula'!E55+'Fórmula'!G55+'Fórmula'!I55+'Fórmula'!K55))*(INDEX(properties!A$1:CB$87,'Fórmula'!H55,4))+(('Fórmula'!K55)/('Fórmula'!C55+'Fórmula'!E55+'Fórmula'!G55+'Fórmula'!I55+'Fórmula'!K55))*(INDEX(properties!A$1:CB$87,'Fórmula'!J55,4))</f>
        <v>26.66666667</v>
      </c>
      <c r="I55" s="102">
        <f t="array" ref="I55">'Fórmula'!C55*(INDEX(properties!A$1:CB$87,'Fórmula'!B55,4))+'Fórmula'!E55*(INDEX(properties!A$1:CB$87,'Fórmula'!D55,4))+'Fórmula'!G55*(INDEX(properties!A$1:CB$87,'Fórmula'!F55,4))+'Fórmula'!I55*(INDEX(properties!A$1:CB$87,'Fórmula'!H55,4))+'Fórmula'!K55*(INDEX(properties!A$1:CB$87,'Fórmula'!J55,4))</f>
        <v>240</v>
      </c>
      <c r="J55" s="102">
        <f t="array" ref="J55">VARP(IF(INDEX(properties!A$1:CB$87,'Fórmula'!B55,4)&lt;&gt;"",INDEX(properties!A$1:CB$87,'Fórmula'!B55,4)),IF(INDEX(properties!A$1:CB$87,'Fórmula'!D55,4)&lt;&gt;"",INDEX(properties!A$1:CB$87,'Fórmula'!D55,4)),IF(INDEX(properties!A$1:CB$87,'Fórmula'!F55,4)&lt;&gt;"",INDEX(properties!A$1:CB$87,'Fórmula'!F55,4)),IF(INDEX(properties!A$1:CB$87,'Fórmula'!H55,4)&lt;&gt;"",INDEX(properties!A$1:CB$87,'Fórmula'!H55,4)),IF(INDEX(properties!A$1:CB$87,'Fórmula'!J55,4)&lt;&gt;"",INDEX(properties!A$1:CB$87,'Fórmula'!J55,4)))</f>
        <v>557.76</v>
      </c>
      <c r="K55" s="102">
        <f t="array" ref="K55">MAX(INDEX(properties!A$1:CB$87,'Fórmula'!B55,4),INDEX(properties!A$1:CB$87,'Fórmula'!D55,4),INDEX(properties!A$1:CB$87,'Fórmula'!F55,4),INDEX(properties!A$1:CB$87,'Fórmula'!H55,4),INDEX(properties!A$1:CB$87,'Fórmula'!J55,4))</f>
        <v>57</v>
      </c>
      <c r="L55" s="102">
        <f t="array" ref="L55">MIN(IF(INDEX(properties!A$1:CB$87,'Fórmula'!B55,4)=0,10^6,INDEX(properties!A$1:CB$87,'Fórmula'!B55,4)),IF(INDEX(properties!A$1:CB$87,'Fórmula'!D55,4)=0,10^6,INDEX(properties!A$1:CB$87,'Fórmula'!D55,4)),IF(INDEX(properties!A$1:CB$87,'Fórmula'!F55,4)=0,10^6,INDEX(properties!A$1:CB$87,'Fórmula'!F55,4)),IF(INDEX(properties!A$1:CB$87,'Fórmula'!H55,4)=0,10^6,INDEX(properties!A$1:CB$87,'Fórmula'!H55,4)),IF(INDEX(properties!A$1:CB$87,'Fórmula'!J55,4)=0,10^6,INDEX(properties!A$1:CB$87,'Fórmula'!J55,4)))</f>
        <v>8</v>
      </c>
      <c r="M55" s="102">
        <f t="shared" si="2"/>
        <v>49</v>
      </c>
      <c r="N55" s="103">
        <f t="array" ref="N55">(('Fórmula'!C55)/('Fórmula'!C55+'Fórmula'!E55+'Fórmula'!G55+'Fórmula'!I55+'Fórmula'!K55))*(INDEX(properties!A$1:CB$87,'Fórmula'!B55,5))+(('Fórmula'!E55)/('Fórmula'!C55+'Fórmula'!E55+'Fórmula'!G55+'Fórmula'!I55+'Fórmula'!K55))*(INDEX(properties!A$1:CB$87,'Fórmula'!D55,5))+(('Fórmula'!G55)/('Fórmula'!C55+'Fórmula'!E55+'Fórmula'!G55+'Fórmula'!I55+'Fórmula'!K55))*(INDEX(properties!A$1:CB$87,'Fórmula'!F55,5))+(('Fórmula'!I55)/('Fórmula'!C55+'Fórmula'!E55+'Fórmula'!G55+'Fórmula'!I55+'Fórmula'!K55))*(INDEX(properties!A$1:CB$87,'Fórmula'!H55,5))+(('Fórmula'!K55)/('Fórmula'!C55+'Fórmula'!E55+'Fórmula'!G55+'Fórmula'!I55+'Fórmula'!K55))*(INDEX(properties!A$1:CB$87,'Fórmula'!J55,5))</f>
        <v>3.555555556</v>
      </c>
      <c r="O55" s="103">
        <f t="array" ref="O55">'Fórmula'!C55*(INDEX(properties!A$1:CB$87,'Fórmula'!B55,5))+'Fórmula'!E55*(INDEX(properties!A$1:CB$87,'Fórmula'!D55,5))+'Fórmula'!G55*(INDEX(properties!A$1:CB$87,'Fórmula'!F55,5))+'Fórmula'!I55*(INDEX(properties!A$1:CB$87,'Fórmula'!H55,5))+'Fórmula'!K55*(INDEX(properties!A$1:CB$87,'Fórmula'!J55,5))</f>
        <v>32</v>
      </c>
      <c r="P55" s="103">
        <f t="array" ref="P55">VARP(IF(INDEX(properties!A$1:CB$87,'Fórmula'!B55,5)&lt;&gt;"",INDEX(properties!A$1:CB$87,'Fórmula'!B55,5)),IF(INDEX(properties!A$1:CB$87,'Fórmula'!D55,5)&lt;&gt;"",INDEX(properties!A$1:CB$87,'Fórmula'!D55,5)),IF(INDEX(properties!A$1:CB$87,'Fórmula'!F55,5)&lt;&gt;"",INDEX(properties!A$1:CB$87,'Fórmula'!F55,5)),IF(INDEX(properties!A$1:CB$87,'Fórmula'!H55,5)&lt;&gt;"",INDEX(properties!A$1:CB$87,'Fórmula'!H55,5)),IF(INDEX(properties!A$1:CB$87,'Fórmula'!J55,5)&lt;&gt;"",INDEX(properties!A$1:CB$87,'Fórmula'!J55,5)))</f>
        <v>5.44</v>
      </c>
      <c r="Q55" s="103">
        <f t="array" ref="Q55">MAX(INDEX(properties!A$1:CB$87,'Fórmula'!B55,5),INDEX(properties!A$1:CB$87,'Fórmula'!D55,5),INDEX(properties!A$1:CB$87,'Fórmula'!F55,5),INDEX(properties!A$1:CB$87,'Fórmula'!H55,5),INDEX(properties!A$1:CB$87,'Fórmula'!J55,5))</f>
        <v>6</v>
      </c>
      <c r="R55" s="103">
        <f t="array" ref="R55">MIN(IF(INDEX(properties!A$1:CB$87,'Fórmula'!B55,5)=0,10^6,INDEX(properties!A$1:CB$87,'Fórmula'!B55,5)),IF(INDEX(properties!A$1:CB$87,'Fórmula'!D55,5)=0,10^6,INDEX(properties!A$1:CB$87,'Fórmula'!D55,5)),IF(INDEX(properties!A$1:CB$87,'Fórmula'!F55,5)=0,10^6,INDEX(properties!A$1:CB$87,'Fórmula'!F55,5)),IF(INDEX(properties!A$1:CB$87,'Fórmula'!H55,5)=0,10^6,INDEX(properties!A$1:CB$87,'Fórmula'!H55,5)),IF(INDEX(properties!A$1:CB$87,'Fórmula'!J55,5)=0,10^6,INDEX(properties!A$1:CB$87,'Fórmula'!J55,5)))</f>
        <v>2</v>
      </c>
      <c r="S55" s="103">
        <f t="shared" si="3"/>
        <v>4</v>
      </c>
      <c r="T55" s="104">
        <f t="array" ref="T55">(('Fórmula'!C55)/('Fórmula'!C55+'Fórmula'!E55+'Fórmula'!G55+'Fórmula'!I55+'Fórmula'!K55))*(INDEX(properties!A$1:CB$87,'Fórmula'!B55,6))+(('Fórmula'!E55)/('Fórmula'!C55+'Fórmula'!E55+'Fórmula'!G55+'Fórmula'!I55+'Fórmula'!K55))*(INDEX(properties!A$1:CB$87,'Fórmula'!D55,6))+(('Fórmula'!G55)/('Fórmula'!C55+'Fórmula'!E55+'Fórmula'!G55+'Fórmula'!I55+'Fórmula'!K55))*(INDEX(properties!A$1:CB$87,'Fórmula'!F55,6))+(('Fórmula'!I55)/('Fórmula'!C55+'Fórmula'!E55+'Fórmula'!G55+'Fórmula'!I55+'Fórmula'!K55))*(INDEX(properties!A$1:CB$87,'Fórmula'!H55,6))+(('Fórmula'!K55)/('Fórmula'!C55+'Fórmula'!E55+'Fórmula'!G55+'Fórmula'!I55+'Fórmula'!K55))*(INDEX(properties!A$1:CB$87,'Fórmula'!J55,6))</f>
        <v>11.11111111</v>
      </c>
      <c r="U55" s="104">
        <f t="array" ref="U55">'Fórmula'!C55*(INDEX(properties!A$1:CB$87,'Fórmula'!B55,6))+'Fórmula'!E55*(INDEX(properties!A$1:CB$87,'Fórmula'!D55,6))+'Fórmula'!G55*(INDEX(properties!A$1:CB$87,'Fórmula'!F55,6))+'Fórmula'!I55*(INDEX(properties!A$1:CB$87,'Fórmula'!H55,6))+'Fórmula'!K55*(INDEX(properties!A$1:CB$87,'Fórmula'!J55,6))</f>
        <v>100</v>
      </c>
      <c r="V55" s="103">
        <f t="array" ref="V55">VARP(IF(INDEX(properties!A$1:CB$87,'Fórmula'!B55,6)&lt;&gt;"",INDEX(properties!A$1:CB$87,'Fórmula'!B55,6)),IF(INDEX(properties!A$1:CB$87,'Fórmula'!D55,6)&lt;&gt;"",INDEX(properties!A$1:CB$87,'Fórmula'!D55,6)),IF(INDEX(properties!A$1:CB$87,'Fórmula'!F55,6)&lt;&gt;"",INDEX(properties!A$1:CB$87,'Fórmula'!F55,6)),IF(INDEX(properties!A$1:CB$87,'Fórmula'!H55,6)&lt;&gt;"",INDEX(properties!A$1:CB$87,'Fórmula'!H55,6)),IF(INDEX(properties!A$1:CB$87,'Fórmula'!J55,6)&lt;&gt;"",INDEX(properties!A$1:CB$87,'Fórmula'!J55,6)))</f>
        <v>39.04</v>
      </c>
      <c r="W55" s="104">
        <f t="array" ref="W55">MAX(INDEX(properties!A$1:CB$87,'Fórmula'!B55,6),INDEX(properties!A$1:CB$87,'Fórmula'!D55,6),INDEX(properties!A$1:CB$87,'Fórmula'!F55,6),INDEX(properties!A$1:CB$87,'Fórmula'!H55,4),INDEX(properties!A$1:CB$87,'Fórmula'!J55,6))</f>
        <v>12</v>
      </c>
      <c r="X55" s="104">
        <f t="array" ref="X55">MIN(IF(INDEX(properties!A$1:CB$87,'Fórmula'!B55,6)=0,10^6,INDEX(properties!A$1:CB$87,'Fórmula'!B55,6)),IF(INDEX(properties!A$1:CB$87,'Fórmula'!D55,6)=0,10^6,INDEX(properties!A$1:CB$87,'Fórmula'!D55,6)),IF(INDEX(properties!A$1:CB$87,'Fórmula'!F55,6)=0,10^6,INDEX(properties!A$1:CB$87,'Fórmula'!F55,6)),IF(INDEX(properties!A$1:CB$87,'Fórmula'!H55,6)=0,10^6,INDEX(properties!A$1:CB$87,'Fórmula'!H55,6)),IF(INDEX(properties!A$1:CB$87,'Fórmula'!J55,6)=0,10^6,INDEX(properties!A$1:CB$87,'Fórmula'!J55,6)))</f>
        <v>2</v>
      </c>
      <c r="Y55" s="104">
        <f t="shared" si="4"/>
        <v>10</v>
      </c>
      <c r="Z55" s="105">
        <f t="array" ref="Z55">(('Fórmula'!C55)/('Fórmula'!C55+'Fórmula'!E55+'Fórmula'!G55+'Fórmula'!I55+'Fórmula'!K55))*(INDEX(properties!A$1:CB$87,'Fórmula'!B55,9))+(('Fórmula'!E55)/('Fórmula'!C55+'Fórmula'!E55+'Fórmula'!G55+'Fórmula'!I55+'Fórmula'!K55))*(INDEX(properties!A$1:CB$87,'Fórmula'!D55,9))+(('Fórmula'!G55)/('Fórmula'!C55+'Fórmula'!E55+'Fórmula'!G55+'Fórmula'!I55+'Fórmula'!K55))*(INDEX(properties!A$1:CB$87,'Fórmula'!F55,9))+(('Fórmula'!I55)/('Fórmula'!C55+'Fórmula'!E55+'Fórmula'!G55+'Fórmula'!I55+'Fórmula'!K55))*(INDEX(properties!A$1:CB$87,'Fórmula'!H55,9))+(('Fórmula'!K55)/('Fórmula'!C55+'Fórmula'!E55+'Fórmula'!G55+'Fórmula'!I55+'Fórmula'!K55))*(INDEX(properties!A$1:CB$87,'Fórmula'!J55,9))</f>
        <v>59.88888889</v>
      </c>
      <c r="AA55" s="105">
        <f t="array" ref="AA55">'Fórmula'!C55*(INDEX(properties!A$1:CB$87,'Fórmula'!B55,9))+'Fórmula'!E55*(INDEX(properties!A$1:CB$87,'Fórmula'!D55,9))+'Fórmula'!G55*(INDEX(properties!A$1:CB$87,'Fórmula'!F55,9))+'Fórmula'!I55*(INDEX(properties!A$1:CB$87,'Fórmula'!H55,9))+'Fórmula'!K55*(INDEX(properties!A$1:CB$87,'Fórmula'!J55,9))</f>
        <v>539</v>
      </c>
      <c r="AB55" s="105">
        <f t="array" ref="AB55">VARP(IF(INDEX(properties!A$1:CB$87,'Fórmula'!B55,9)&lt;&gt;"",INDEX(properties!A$1:CB$87,'Fórmula'!B55,9)),IF(INDEX(properties!A$1:CB$87,'Fórmula'!D55,9)&lt;&gt;"",INDEX(properties!A$1:CB$87,'Fórmula'!D55,9)),IF(INDEX(properties!A$1:CB$87,'Fórmula'!F55,9)&lt;&gt;"",INDEX(properties!A$1:CB$87,'Fórmula'!F55,9)),IF(INDEX(properties!A$1:CB$87,'Fórmula'!H55,9)&lt;&gt;"",INDEX(properties!A$1:CB$87,'Fórmula'!H55,9)),IF(INDEX(properties!A$1:CB$87,'Fórmula'!J55,9)&lt;&gt;"",INDEX(properties!A$1:CB$87,'Fórmula'!J55,9)))</f>
        <v>1248.64</v>
      </c>
      <c r="AC55" s="105">
        <f t="array" ref="AC55">MAX(INDEX(properties!A$1:CB$87,'Fórmula'!B55,9),INDEX(properties!A$1:CB$87,'Fórmula'!D55,9),INDEX(properties!A$1:CB$87,'Fórmula'!F55,9),INDEX(properties!A$1:CB$87,'Fórmula'!H55,9),INDEX(properties!A$1:CB$87,'Fórmula'!J55,9))</f>
        <v>87</v>
      </c>
      <c r="AD55" s="105">
        <f t="array" ref="AD55">MIN(IF(INDEX(properties!A$1:CB$87,'Fórmula'!B55,9)=0,10^6,INDEX(properties!A$1:CB$87,'Fórmula'!B55,9)),IF(INDEX(properties!A$1:CB$87,'Fórmula'!D55,9)=0,10^6,INDEX(properties!A$1:CB$87,'Fórmula'!D55,9)),IF(INDEX(properties!A$1:CB$87,'Fórmula'!F55,9)=0,10^6,INDEX(properties!A$1:CB$87,'Fórmula'!F55,9)),IF(INDEX(properties!A$1:CB$87,'Fórmula'!H55,9)=0,10^6,INDEX(properties!A$1:CB$87,'Fórmula'!H55,9)),IF(INDEX(properties!A$1:CB$87,'Fórmula'!J55,9)=0,10^6,INDEX(properties!A$1:CB$87,'Fórmula'!J55,9)))</f>
        <v>9</v>
      </c>
      <c r="AE55" s="105">
        <f t="shared" si="5"/>
        <v>78</v>
      </c>
      <c r="AF55" s="106">
        <f t="array" ref="AF55">(('Fórmula'!C55)/('Fórmula'!C55+'Fórmula'!E55+'Fórmula'!G55+'Fórmula'!I55+'Fórmula'!K55))*(INDEX(properties!A$1:CB$87,'Fórmula'!B55,10))+(('Fórmula'!E55)/('Fórmula'!C55+'Fórmula'!E55+'Fórmula'!G55+'Fórmula'!I55+'Fórmula'!K55))*(INDEX(properties!A$1:CB$87,'Fórmula'!D55,10))+(('Fórmula'!G55)/('Fórmula'!C55+'Fórmula'!E55+'Fórmula'!G55+'Fórmula'!I55+'Fórmula'!K55))*(INDEX(properties!A$1:CB$87,'Fórmula'!F55,10))+(('Fórmula'!I55)/('Fórmula'!C55+'Fórmula'!E55+'Fórmula'!G55+'Fórmula'!I55+'Fórmula'!K55))*(INDEX(properties!A$1:CB$87,'Fórmula'!H55,10))+(('Fórmula'!K55)/('Fórmula'!C55+'Fórmula'!E55+'Fórmula'!G55+'Fórmula'!I55+'Fórmula'!K55))*(INDEX(properties!A$1:CB$87,'Fórmula'!J55,10))</f>
        <v>5.222222222</v>
      </c>
      <c r="AG55" s="106">
        <f t="array" ref="AG55">'Fórmula'!C55*(INDEX(properties!A$1:CB$87,'Fórmula'!B55,10))+'Fórmula'!E55*(INDEX(properties!A$1:CB$87,'Fórmula'!D55,10))+'Fórmula'!G55*(INDEX(properties!A$1:CB$87,'Fórmula'!F55,10))+'Fórmula'!I55*(INDEX(properties!A$1:CB$87,'Fórmula'!H55,10))+'Fórmula'!K55*(INDEX(properties!A$1:CB$87,'Fórmula'!J55,10))</f>
        <v>47</v>
      </c>
      <c r="AH55" s="106">
        <f t="array" ref="AH55">VARP(IF(INDEX(properties!A$1:CB$87,'Fórmula'!B55,10)&lt;&gt;"",INDEX(properties!A$1:CB$87,'Fórmula'!B55,10)),IF(INDEX(properties!A$1:CB$87,'Fórmula'!D55,10)&lt;&gt;"",INDEX(properties!A$1:CB$87,'Fórmula'!D55,10)),IF(INDEX(properties!A$1:CB$87,'Fórmula'!F55,10)&lt;&gt;"",INDEX(properties!A$1:CB$87,'Fórmula'!F55,10)),IF(INDEX(properties!A$1:CB$87,'Fórmula'!H55,10)&lt;&gt;"",INDEX(properties!A$1:CB$87,'Fórmula'!H55,10)),IF(INDEX(properties!A$1:CB$87,'Fórmula'!J55,10)&lt;&gt;"",INDEX(properties!A$1:CB$87,'Fórmula'!J55,10)))</f>
        <v>5.36</v>
      </c>
      <c r="AI55" s="106">
        <f t="array" ref="AI55">MAX(INDEX(properties!A$1:CB$87,'Fórmula'!B55,10),INDEX(properties!A$1:CB$87,'Fórmula'!D55,10),INDEX(properties!A$1:CB$87,'Fórmula'!F55,10),INDEX(properties!A$1:CB$87,'Fórmula'!H55,10),INDEX(properties!A$1:CB$87,'Fórmula'!J55,10))</f>
        <v>7</v>
      </c>
      <c r="AJ55" s="106">
        <f t="array" ref="AJ55">MIN(IF(INDEX(properties!A$1:CB$87,'Fórmula'!B55,10)=0,10^6,INDEX(properties!A$1:CB$87,'Fórmula'!B55,10)),IF(INDEX(properties!A$1:CB$87,'Fórmula'!D55,10)=0,10^6,INDEX(properties!A$1:CB$87,'Fórmula'!D55,10)),IF(INDEX(properties!A$1:CB$87,'Fórmula'!F55,10)=0,10^6,INDEX(properties!A$1:CB$87,'Fórmula'!F55,10)),IF(INDEX(properties!A$1:CB$87,'Fórmula'!H55,10)=0,10^6,INDEX(properties!A$1:CB$87,'Fórmula'!H55,10)),IF(INDEX(properties!A$1:CB$87,'Fórmula'!J55,10)=0,10^6,INDEX(properties!A$1:CB$87,'Fórmula'!J55,10)))</f>
        <v>2</v>
      </c>
      <c r="AK55" s="106">
        <f t="shared" si="6"/>
        <v>5</v>
      </c>
      <c r="AL55" s="107">
        <f t="array" ref="AL55">(('Fórmula'!C55)/('Fórmula'!C55+'Fórmula'!E55+'Fórmula'!G55+'Fórmula'!I55+'Fórmula'!K55))*(INDEX(properties!A$1:CB$87,'Fórmula'!B55,11))+(('Fórmula'!E55)/('Fórmula'!C55+'Fórmula'!E55+'Fórmula'!G55+'Fórmula'!I55+'Fórmula'!K55))*(INDEX(properties!A$1:CB$87,'Fórmula'!D55,11))+(('Fórmula'!G55)/('Fórmula'!C55+'Fórmula'!E55+'Fórmula'!G55+'Fórmula'!I55+'Fórmula'!K55))*(INDEX(properties!A$1:CB$87,'Fórmula'!F55,11))+(('Fórmula'!I55)/('Fórmula'!C55+'Fórmula'!E55+'Fórmula'!G55+'Fórmula'!I55+'Fórmula'!K55))*(INDEX(properties!A$1:CB$87,'Fórmula'!H55,11))+(('Fórmula'!K55)/('Fórmula'!C55+'Fórmula'!E55+'Fórmula'!G55+'Fórmula'!I55+'Fórmula'!K55))*(INDEX(properties!A$1:CB$87,'Fórmula'!J55,11))</f>
        <v>2</v>
      </c>
      <c r="AM55" s="107">
        <f t="array" ref="AM55">'Fórmula'!C55*(INDEX(properties!A$1:CB$87,'Fórmula'!B55,11))+'Fórmula'!E55*(INDEX(properties!A$1:CB$87,'Fórmula'!D55,11))+'Fórmula'!G55*(INDEX(properties!A$1:CB$87,'Fórmula'!F55,11))+'Fórmula'!I55*(INDEX(properties!A$1:CB$87,'Fórmula'!H55,11))+'Fórmula'!K55*(INDEX(properties!A$1:CB$87,'Fórmula'!J55,11))</f>
        <v>18</v>
      </c>
      <c r="AN55" s="107">
        <f t="array" ref="AN55">VARP(IF(INDEX(properties!A$1:CB$87,'Fórmula'!B55,11)&lt;&gt;"",INDEX(properties!A$1:CB$87,'Fórmula'!B55,11)),IF(INDEX(properties!A$1:CB$87,'Fórmula'!D55,11)&lt;&gt;"",INDEX(properties!A$1:CB$87,'Fórmula'!D55,11)),IF(INDEX(properties!A$1:CB$87,'Fórmula'!F55,11)&lt;&gt;"",INDEX(properties!A$1:CB$87,'Fórmula'!F55,11)),IF(INDEX(properties!A$1:CB$87,'Fórmula'!H55,11)&lt;&gt;"",INDEX(properties!A$1:CB$87,'Fórmula'!H55,11)),IF(INDEX(properties!A$1:CB$87,'Fórmula'!J55,11)&lt;&gt;"",INDEX(properties!A$1:CB$87,'Fórmula'!J55,11)))</f>
        <v>0.64</v>
      </c>
      <c r="AO55" s="107">
        <f t="array" ref="AO55">MAX(INDEX(properties!A$1:CB$87,'Fórmula'!B55,11),INDEX(properties!A$1:CB$87,'Fórmula'!D55,11),INDEX(properties!A$1:CB$87,'Fórmula'!F55,11),INDEX(properties!A$1:CB$87,'Fórmula'!H55,11),INDEX(properties!A$1:CB$87,'Fórmula'!J55,11))</f>
        <v>2</v>
      </c>
      <c r="AP55" s="107">
        <f t="array" ref="AP55">MIN(IF('Fórmula'!B55=87,10^6,INDEX(properties!A$1:CB$87,'Fórmula'!B55,11)),IF(('Fórmula'!D55)=87,10^6,INDEX(properties!A$1:CB$87,'Fórmula'!D55,11)),IF(('Fórmula'!F55)=87,10^6,INDEX(properties!A$1:CB$87,'Fórmula'!F55,11)),IF(('Fórmula'!H55)=87,10^6,INDEX(properties!A$1:CB$87,'Fórmula'!H55,11)),IF('Fórmula'!J55=87,10^6,INDEX(properties!A$1:CB$87,'Fórmula'!J55,11)))</f>
        <v>2</v>
      </c>
      <c r="AQ55" s="107">
        <f t="shared" si="7"/>
        <v>0</v>
      </c>
      <c r="AR55" s="108">
        <f t="array" ref="AR55">(('Fórmula'!C55)/('Fórmula'!C55+'Fórmula'!E55+'Fórmula'!G55+'Fórmula'!I55+'Fórmula'!K55))*(INDEX(properties!A$1:CB$87,'Fórmula'!B55,12))+(('Fórmula'!E55)/('Fórmula'!C55+'Fórmula'!E55+'Fórmula'!G55+'Fórmula'!I55+'Fórmula'!K55))*(INDEX(properties!A$1:CB$87,'Fórmula'!D55,12))+(('Fórmula'!G55)/('Fórmula'!C55+'Fórmula'!E55+'Fórmula'!G55+'Fórmula'!I55+'Fórmula'!K55))*(INDEX(properties!A$1:CB$87,'Fórmula'!F55,12))+(('Fórmula'!I55)/('Fórmula'!C55+'Fórmula'!E55+'Fórmula'!G55+'Fórmula'!I55+'Fórmula'!K55))*(INDEX(properties!A$1:CB$87,'Fórmula'!H55,12))+(('Fórmula'!K55)/('Fórmula'!C55+'Fórmula'!E55+'Fórmula'!G55+'Fórmula'!I55+'Fórmula'!K55))*(INDEX(properties!A$1:CB$87,'Fórmula'!J55,12))</f>
        <v>2.222222222</v>
      </c>
      <c r="AS55" s="108">
        <f t="array" ref="AS55">'Fórmula'!C55*(INDEX(properties!A$1:CB$87,'Fórmula'!B55,12))+'Fórmula'!E55*(INDEX(properties!A$1:CB$87,'Fórmula'!D55,12))+'Fórmula'!G55*(INDEX(properties!A$1:CB$87,'Fórmula'!F55,12))+'Fórmula'!I55*(INDEX(properties!A$1:CB$87,'Fórmula'!H55,12))+'Fórmula'!K55*(INDEX(properties!A$1:CB$87,'Fórmula'!J55,12))</f>
        <v>20</v>
      </c>
      <c r="AT55" s="108">
        <f t="array" ref="AT55">VARP(IF(INDEX(properties!A$1:CB$87,'Fórmula'!B55,12)&lt;&gt;"",INDEX(properties!A$1:CB$87,'Fórmula'!B55,12)),IF(INDEX(properties!A$1:CB$87,'Fórmula'!D55,12)&lt;&gt;"",INDEX(properties!A$1:CB$87,'Fórmula'!D55,12)),IF(INDEX(properties!A$1:CB$87,'Fórmula'!F55,12)&lt;&gt;"",INDEX(properties!A$1:CB$87,'Fórmula'!F55,12)),IF(INDEX(properties!A$1:CB$87,'Fórmula'!H55,12)&lt;&gt;"",INDEX(properties!A$1:CB$87,'Fórmula'!H55,12)),IF(INDEX(properties!A$1:CB$87,'Fórmula'!J55,12)&lt;&gt;"",INDEX(properties!A$1:CB$87,'Fórmula'!J55,12)))</f>
        <v>2.56</v>
      </c>
      <c r="AU55" s="108">
        <f t="array" ref="AU55">MAX(INDEX(properties!A$1:CB$87,'Fórmula'!B55,12),INDEX(properties!A$1:CB$87,'Fórmula'!D55,12),INDEX(properties!A$1:CB$87,'Fórmula'!F55,12),INDEX(properties!A$1:CB$87,'Fórmula'!H55,12),INDEX(properties!A$1:CB$87,'Fórmula'!J55,12))</f>
        <v>4</v>
      </c>
      <c r="AV55" s="108">
        <f t="array" ref="AV55">MIN(IF('Fórmula'!B55=87,10^6,INDEX(properties!A$1:CB$87,'Fórmula'!B55,12)),IF(('Fórmula'!D55)=87,10^6,INDEX(properties!A$1:CB$87,'Fórmula'!D55,12)),IF(('Fórmula'!F55)=87,10^6,INDEX(properties!A$1:CB$87,'Fórmula'!F55,12)),IF(('Fórmula'!H55)=87,10^6,INDEX(properties!A$1:CB$87,'Fórmula'!H55,12)),IF('Fórmula'!J55=87,10^6,INDEX(properties!A$1:CB$87,'Fórmula'!J55,12)))</f>
        <v>0</v>
      </c>
      <c r="AW55" s="108">
        <f t="shared" si="8"/>
        <v>4</v>
      </c>
      <c r="AX55" s="109">
        <f t="array" ref="AX55">(('Fórmula'!C55)/('Fórmula'!C55+'Fórmula'!E55+'Fórmula'!G55+'Fórmula'!I55+'Fórmula'!K55))*(INDEX(properties!A$1:CB$87,'Fórmula'!B55,13))+(('Fórmula'!E55)/('Fórmula'!C55+'Fórmula'!E55+'Fórmula'!G55+'Fórmula'!I55+'Fórmula'!K55))*(INDEX(properties!A$1:CB$87,'Fórmula'!D55,13))+(('Fórmula'!G55)/('Fórmula'!C55+'Fórmula'!E55+'Fórmula'!G55+'Fórmula'!I55+'Fórmula'!K55))*(INDEX(properties!A$1:CB$87,'Fórmula'!F55,13))+(('Fórmula'!I55)/('Fórmula'!C55+'Fórmula'!E55+'Fórmula'!G55+'Fórmula'!I55+'Fórmula'!K55))*(INDEX(properties!A$1:CB$87,'Fórmula'!H55,13))+(('Fórmula'!K55)/('Fórmula'!C55+'Fórmula'!E55+'Fórmula'!G55+'Fórmula'!I55+'Fórmula'!K55))*(INDEX(properties!A$1:CB$87,'Fórmula'!J55,13))</f>
        <v>1.333333333</v>
      </c>
      <c r="AY55" s="109">
        <f t="array" ref="AY55">'Fórmula'!C55*(INDEX(properties!A$1:CB$87,'Fórmula'!B55,13))+'Fórmula'!E55*(INDEX(properties!A$1:CB$87,'Fórmula'!D55,13))+'Fórmula'!G55*(INDEX(properties!A$1:CB$87,'Fórmula'!F55,13))+'Fórmula'!I55*(INDEX(properties!A$1:CB$87,'Fórmula'!H55,13))+'Fórmula'!K55*(INDEX(properties!A$1:CB$87,'Fórmula'!J55,13))</f>
        <v>12</v>
      </c>
      <c r="AZ55" s="109">
        <f t="array" ref="AZ55">VARP(IF(INDEX(properties!A$1:CB$87,'Fórmula'!B55,13)&lt;&gt;"",INDEX(properties!A$1:CB$87,'Fórmula'!B55,13)),IF(INDEX(properties!A$1:CB$87,'Fórmula'!D55,13)&lt;&gt;"",INDEX(properties!A$1:CB$87,'Fórmula'!D55,13)),IF(INDEX(properties!A$1:CB$87,'Fórmula'!F55,13)&lt;&gt;"",INDEX(properties!A$1:CB$87,'Fórmula'!F55,13)),IF(INDEX(properties!A$1:CB$87,'Fórmula'!H55,13)&lt;&gt;"",INDEX(properties!A$1:CB$87,'Fórmula'!H55,13)),IF(INDEX(properties!A$1:CB$87,'Fórmula'!J55,13)&lt;&gt;"",INDEX(properties!A$1:CB$87,'Fórmula'!J55,13)))</f>
        <v>15.36</v>
      </c>
      <c r="BA55" s="109">
        <f t="array" ref="BA55">MAX(INDEX(properties!A$1:CB$87,'Fórmula'!B55,13),INDEX(properties!A$1:CB$87,'Fórmula'!D55,13),INDEX(properties!A$1:CB$87,'Fórmula'!F55,13),INDEX(properties!A$1:CB$87,'Fórmula'!H55,13),INDEX(properties!A$1:CB$87,'Fórmula'!J55,13))</f>
        <v>10</v>
      </c>
      <c r="BB55" s="109">
        <f t="array" ref="BB55">MIN(IF('Fórmula'!B55=87,10^6,INDEX(properties!A$1:CB$87,'Fórmula'!B55,13)),IF(('Fórmula'!D55)=87,10^6,INDEX(properties!A$1:CB$87,'Fórmula'!D55,13)),IF(('Fórmula'!F55)=87,10^6,INDEX(properties!A$1:CB$87,'Fórmula'!F55,13)),IF(('Fórmula'!H55)=87,10^6,INDEX(properties!A$1:CB$87,'Fórmula'!H55,13)),IF('Fórmula'!J55=87,10^6,INDEX(properties!A$1:CB$87,'Fórmula'!J55,13)))</f>
        <v>0</v>
      </c>
      <c r="BC55" s="109">
        <f t="shared" si="9"/>
        <v>10</v>
      </c>
      <c r="BD55" s="110">
        <f t="array" ref="BD55">(('Fórmula'!C55)/('Fórmula'!C55+'Fórmula'!E55+'Fórmula'!G55+'Fórmula'!I55+'Fórmula'!K55))*(INDEX(properties!A$1:CB$87,'Fórmula'!B55,14))+(('Fórmula'!E55)/('Fórmula'!C55+'Fórmula'!E55+'Fórmula'!G55+'Fórmula'!I55+'Fórmula'!K55))*(INDEX(properties!A$1:CB$87,'Fórmula'!D55,14))+(('Fórmula'!G55)/('Fórmula'!C55+'Fórmula'!E55+'Fórmula'!G55+'Fórmula'!I55+'Fórmula'!K55))*(INDEX(properties!A$1:CB$87,'Fórmula'!F55,14))+(('Fórmula'!I55)/('Fórmula'!C55+'Fórmula'!E55+'Fórmula'!G55+'Fórmula'!I55+'Fórmula'!K55))*(INDEX(properties!A$1:CB$87,'Fórmula'!H55,14))+(('Fórmula'!K55)/('Fórmula'!C55+'Fórmula'!E55+'Fórmula'!G55+'Fórmula'!I55+'Fórmula'!K55))*(INDEX(properties!A$1:CB$87,'Fórmula'!J55,14))</f>
        <v>0</v>
      </c>
      <c r="BE55" s="110">
        <f t="array" ref="BE55">'Fórmula'!C55*(INDEX(properties!A$1:CB$87,'Fórmula'!B55,14))+'Fórmula'!E55*(INDEX(properties!A$1:CB$87,'Fórmula'!D55,14))+'Fórmula'!G55*(INDEX(properties!A$1:CB$87,'Fórmula'!F55,14))+'Fórmula'!I55*(INDEX(properties!A$1:CB$87,'Fórmula'!H55,14))+'Fórmula'!K55*(INDEX(properties!A$1:CB$87,'Fórmula'!J55,14))</f>
        <v>0</v>
      </c>
      <c r="BF55" s="110">
        <f t="array" ref="BF55">VARP(IF(INDEX(properties!A$1:CB$87,'Fórmula'!B55,14)&lt;&gt;"",INDEX(properties!A$1:CB$87,'Fórmula'!B55,14)),IF(INDEX(properties!A$1:CB$87,'Fórmula'!D55,14)&lt;&gt;"",INDEX(properties!A$1:CB$87,'Fórmula'!D55,14)),IF(INDEX(properties!A$1:CB$87,'Fórmula'!F55,14)&lt;&gt;"",INDEX(properties!A$1:CB$87,'Fórmula'!F55,14)),IF(INDEX(properties!A$1:CB$87,'Fórmula'!H55,14)&lt;&gt;"",INDEX(properties!A$1:CB$87,'Fórmula'!H55,14)),IF(INDEX(properties!A$1:CB$87,'Fórmula'!J55,14)&lt;&gt;"",INDEX(properties!A$1:CB$87,'Fórmula'!J55,14)))</f>
        <v>0</v>
      </c>
      <c r="BG55" s="110">
        <f t="array" ref="BG55">MAX(INDEX(properties!A$1:CB$87,'Fórmula'!B55,14),INDEX(properties!A$1:CB$87,'Fórmula'!D55,14),INDEX(properties!A$1:CB$87,'Fórmula'!F55,14),INDEX(properties!A$1:CB$87,'Fórmula'!H55,14),INDEX(properties!A$1:CB$87,'Fórmula'!J55,14))</f>
        <v>0</v>
      </c>
      <c r="BH55" s="110">
        <f t="array" ref="BH55">MIN(IF('Fórmula'!B55=87,10^6,INDEX(properties!A$1:CB$87,'Fórmula'!B55,14)),IF(('Fórmula'!D55)=87,10^6,INDEX(properties!A$1:CB$87,'Fórmula'!D55,14)),IF(('Fórmula'!F55)=87,10^6,INDEX(properties!A$1:CB$87,'Fórmula'!F55,14)),IF(('Fórmula'!H55)=87,10^6,INDEX(properties!A$1:CB$87,'Fórmula'!H55,14)),IF('Fórmula'!J55=87,10^6,INDEX(properties!A$1:CB$87,'Fórmula'!J55,14)))</f>
        <v>0</v>
      </c>
      <c r="BI55" s="110">
        <f t="shared" si="10"/>
        <v>0</v>
      </c>
      <c r="BJ55" s="111">
        <f t="array" ref="BJ55">(('Fórmula'!C55)/('Fórmula'!C55+'Fórmula'!E55+'Fórmula'!G55+'Fórmula'!I55+'Fórmula'!K55))*(INDEX(properties!A$1:CB$87,'Fórmula'!B55,19))+(('Fórmula'!E55)/('Fórmula'!C55+'Fórmula'!E55+'Fórmula'!G55+'Fórmula'!I55+'Fórmula'!K55))*(INDEX(properties!A$1:CB$87,'Fórmula'!D55,19))+(('Fórmula'!G55)/('Fórmula'!C55+'Fórmula'!E55+'Fórmula'!G55+'Fórmula'!I55+'Fórmula'!K55))*(INDEX(properties!A$1:CB$87,'Fórmula'!F55,19))+(('Fórmula'!I55)/('Fórmula'!C55+'Fórmula'!E55+'Fórmula'!G55+'Fórmula'!I55+'Fórmula'!K55))*(INDEX(properties!A$1:CB$87,'Fórmula'!H55,19))+(('Fórmula'!K55)/('Fórmula'!C55+'Fórmula'!E55+'Fórmula'!G55+'Fórmula'!I55+'Fórmula'!K55))*(INDEX(properties!A$1:CB$87,'Fórmula'!J55,19))</f>
        <v>5.555555556</v>
      </c>
      <c r="BK55" s="111">
        <f t="array" ref="BK55">'Fórmula'!C55*(INDEX(properties!A$1:CB$87,'Fórmula'!B55,19))+'Fórmula'!E55*(INDEX(properties!A$1:CB$87,'Fórmula'!D55,19))+'Fórmula'!G55*(INDEX(properties!A$1:CB$87,'Fórmula'!F55,19))+'Fórmula'!I55*(INDEX(properties!A$1:CB$87,'Fórmula'!H55,19))+'Fórmula'!K55*(INDEX(properties!A$1:CB$87,'Fórmula'!J55,19))</f>
        <v>50</v>
      </c>
      <c r="BL55" s="111">
        <f t="array" ref="BL55">VARP(IF(INDEX(properties!A$1:CB$87,'Fórmula'!B55,19)&lt;&gt;"",INDEX(properties!A$1:CB$87,'Fórmula'!B55,19)),IF(INDEX(properties!A$1:CB$87,'Fórmula'!D55,19)&lt;&gt;"",INDEX(properties!A$1:CB$87,'Fórmula'!D55,19)),IF(INDEX(properties!A$1:CB$87,'Fórmula'!F55,19)&lt;&gt;"",INDEX(properties!A$1:CB$87,'Fórmula'!F55,19)),IF(INDEX(properties!A$1:CB$87,'Fórmula'!H55,19)&lt;&gt;"",INDEX(properties!A$1:CB$87,'Fórmula'!H55,19)),IF(INDEX(properties!A$1:CB$87,'Fórmula'!J55,19)&lt;&gt;"",INDEX(properties!A$1:CB$87,'Fórmula'!J55,19)))</f>
        <v>17.44</v>
      </c>
      <c r="BM55" s="111">
        <f t="array" ref="BM55">MAX(INDEX(properties!A$1:CB$87,'Fórmula'!B55,19),INDEX(properties!A$1:CB$87,'Fórmula'!D55,19),INDEX(properties!A$1:CB$87,'Fórmula'!F55,19),INDEX(properties!A$1:CB$87,'Fórmula'!H55,19),INDEX(properties!A$1:CB$87,'Fórmula'!J55,19))</f>
        <v>12</v>
      </c>
      <c r="BN55" s="111">
        <f t="array" ref="BN55">MIN(IF(INDEX(properties!A$1:CB$87,'Fórmula'!B55,19)=0,10^6,INDEX(properties!A$1:CB$87,'Fórmula'!B55,19)),IF(INDEX(properties!A$1:CB$87,'Fórmula'!D55,19)=0,10^6,INDEX(properties!A$1:CB$87,'Fórmula'!D55,19)),IF(INDEX(properties!A$1:CB$87,'Fórmula'!F55,19)=0,10^6,INDEX(properties!A$1:CB$87,'Fórmula'!F55,19)),IF(INDEX(properties!A$1:CB$87,'Fórmula'!H55,19)=0,10^6,INDEX(properties!A$1:CB$87,'Fórmula'!H55,19)),IF(INDEX(properties!A$1:CB$87,'Fórmula'!J55,19)=0,10^6,INDEX(properties!A$1:CB$87,'Fórmula'!J55,19)))</f>
        <v>2</v>
      </c>
      <c r="BO55" s="111">
        <f t="shared" si="11"/>
        <v>10</v>
      </c>
      <c r="BP55" s="112">
        <f t="array" ref="BP55">(('Fórmula'!C55)/('Fórmula'!C55+'Fórmula'!E55+'Fórmula'!G55+'Fórmula'!I55+'Fórmula'!K55))*(INDEX(properties!A$1:CB$87,'Fórmula'!B55,20))+(('Fórmula'!E55)/('Fórmula'!C55+'Fórmula'!E55+'Fórmula'!G55+'Fórmula'!I55+'Fórmula'!K55))*(INDEX(properties!A$1:CB$87,'Fórmula'!D55,20))+(('Fórmula'!G55)/('Fórmula'!C55+'Fórmula'!E55+'Fórmula'!G55+'Fórmula'!I55+'Fórmula'!K55))*(INDEX(properties!A$1:CB$87,'Fórmula'!F55,20))+(('Fórmula'!I55)/('Fórmula'!C55+'Fórmula'!E55+'Fórmula'!G55+'Fórmula'!I55+'Fórmula'!K55))*(INDEX(properties!A$1:CB$87,'Fórmula'!H55,20))+(('Fórmula'!K55)/('Fórmula'!C55+'Fórmula'!E55+'Fórmula'!G55+'Fórmula'!I55+'Fórmula'!K55))*(INDEX(properties!A$1:CB$87,'Fórmula'!J55,20))</f>
        <v>4.222222222</v>
      </c>
      <c r="BQ55" s="112">
        <f t="array" ref="BQ55">'Fórmula'!C55*(INDEX(properties!A$1:CB$87,'Fórmula'!B55,20))+'Fórmula'!E55*(INDEX(properties!A$1:CB$87,'Fórmula'!D55,20))+'Fórmula'!G55*(INDEX(properties!A$1:CB$87,'Fórmula'!F55,20))+'Fórmula'!I55*(INDEX(properties!A$1:CB$87,'Fórmula'!H55,20))+'Fórmula'!K55*(INDEX(properties!A$1:CB$87,'Fórmula'!J55,20))</f>
        <v>38</v>
      </c>
      <c r="BR55" s="112">
        <f t="array" ref="BR55">VARP(IF(INDEX(properties!A$1:CB$87,'Fórmula'!B55,20)&lt;&gt;"",INDEX(properties!A$1:CB$87,'Fórmula'!B55,20)),IF(INDEX(properties!A$1:CB$87,'Fórmula'!D55,20)&lt;&gt;"",INDEX(properties!A$1:CB$87,'Fórmula'!D55,20)),IF(INDEX(properties!A$1:CB$87,'Fórmula'!F55,20)&lt;&gt;"",INDEX(properties!A$1:CB$87,'Fórmula'!F55,20)),IF(INDEX(properties!A$1:CB$87,'Fórmula'!H55,20)&lt;&gt;"",INDEX(properties!A$1:CB$87,'Fórmula'!H55,20)),IF(INDEX(properties!A$1:CB$87,'Fórmula'!J55,20)&lt;&gt;"",INDEX(properties!A$1:CB$87,'Fórmula'!J55,20)))</f>
        <v>3.84</v>
      </c>
      <c r="BS55" s="112">
        <f t="array" ref="BS55">MAX(INDEX(properties!A$1:CB$87,'Fórmula'!B55,20),INDEX(properties!A$1:CB$87,'Fórmula'!D55,20),INDEX(properties!A$1:CB$87,'Fórmula'!F55,20),INDEX(properties!A$1:CB$87,'Fórmula'!H55,20),INDEX(properties!A$1:CB$87,'Fórmula'!J55,20))</f>
        <v>6</v>
      </c>
      <c r="BT55" s="112">
        <f t="array" ref="BT55">MIN(IF(INDEX(properties!A$1:CB$87,'Fórmula'!B55,20)=0,10^6,INDEX(properties!A$1:CB$87,'Fórmula'!B55,20)),IF(INDEX(properties!A$1:CB$87,'Fórmula'!D55,20)=0,10^6,INDEX(properties!A$1:CB$87,'Fórmula'!D55,20)),IF(INDEX(properties!A$1:CB$87,'Fórmula'!F55,20)=0,10^6,INDEX(properties!A$1:CB$87,'Fórmula'!F55,20)),IF(INDEX(properties!A$1:CB$87,'Fórmula'!H55,20)=0,10^6,INDEX(properties!A$1:CB$87,'Fórmula'!H55,20)),IF(INDEX(properties!A$1:CB$87,'Fórmula'!J55,20)=0,10^6,INDEX(properties!A$1:CB$87,'Fórmula'!J55,20)))</f>
        <v>2</v>
      </c>
      <c r="BU55" s="112">
        <f t="shared" si="12"/>
        <v>4</v>
      </c>
      <c r="BV55" s="113">
        <f t="array" ref="BV55">(('Fórmula'!C55)/('Fórmula'!C55+'Fórmula'!E55+'Fórmula'!G55+'Fórmula'!I55+'Fórmula'!K55))*(INDEX(properties!A$1:CB$87,'Fórmula'!B55,21))+(('Fórmula'!E55)/('Fórmula'!C55+'Fórmula'!E55+'Fórmula'!G55+'Fórmula'!I55+'Fórmula'!K55))*(INDEX(properties!A$1:CB$87,'Fórmula'!D55,21))+(('Fórmula'!G55)/('Fórmula'!C55+'Fórmula'!E55+'Fórmula'!G55+'Fórmula'!I55+'Fórmula'!K55))*(INDEX(properties!A$1:CB$87,'Fórmula'!F55,21))+(('Fórmula'!I55)/('Fórmula'!C55+'Fórmula'!E55+'Fórmula'!G55+'Fórmula'!I55+'Fórmula'!K55))*(INDEX(properties!A$1:CB$87,'Fórmula'!H55,21))+(('Fórmula'!K55)/('Fórmula'!C55+'Fórmula'!E55+'Fórmula'!G55+'Fórmula'!I55+'Fórmula'!K55))*(INDEX(properties!A$1:CB$87,'Fórmula'!J55,21))</f>
        <v>3.888888889</v>
      </c>
      <c r="BW55" s="113">
        <f t="array" ref="BW55">'Fórmula'!C55*(INDEX(properties!A$1:CB$87,'Fórmula'!B55,21))+'Fórmula'!E55*(INDEX(properties!A$1:CB$87,'Fórmula'!D55,21))+'Fórmula'!G55*(INDEX(properties!A$1:CB$87,'Fórmula'!F55,21))+'Fórmula'!I55*(INDEX(properties!A$1:CB$87,'Fórmula'!H55,21))+'Fórmula'!K55*(INDEX(properties!A$1:CB$87,'Fórmula'!J55,21))</f>
        <v>35</v>
      </c>
      <c r="BX55" s="113">
        <f t="array" ref="BX55">VARP(IF(INDEX(properties!A$1:CB$87,'Fórmula'!B55,21)&lt;&gt;"",INDEX(properties!A$1:CB$87,'Fórmula'!B55,21)),IF(INDEX(properties!A$1:CB$87,'Fórmula'!D55,21)&lt;&gt;"",INDEX(properties!A$1:CB$87,'Fórmula'!D55,21)),IF(INDEX(properties!A$1:CB$87,'Fórmula'!F55,21)&lt;&gt;"",INDEX(properties!A$1:CB$87,'Fórmula'!F55,21)),IF(INDEX(properties!A$1:CB$87,'Fórmula'!H55,21)&lt;&gt;"",INDEX(properties!A$1:CB$87,'Fórmula'!H55,21)),IF(INDEX(properties!A$1:CB$87,'Fórmula'!J55,21)&lt;&gt;"",INDEX(properties!A$1:CB$87,'Fórmula'!J55,21)))</f>
        <v>4.4</v>
      </c>
      <c r="BY55" s="113">
        <f t="array" ref="BY55">MAX(INDEX(properties!A$1:CB$87,'Fórmula'!B55,21),INDEX(properties!A$1:CB$87,'Fórmula'!D55,21),INDEX(properties!A$1:CB$87,'Fórmula'!F55,21),INDEX(properties!A$1:CB$87,'Fórmula'!H55,21),INDEX(properties!A$1:CB$87,'Fórmula'!J55,21))</f>
        <v>6</v>
      </c>
      <c r="BZ55" s="113">
        <f t="array" ref="BZ55">MIN(IF(INDEX(properties!A$1:CB$87,'Fórmula'!B55,21)=0,10^6,INDEX(properties!A$1:CB$87,'Fórmula'!B55,21)),IF(INDEX(properties!A$1:CB$87,'Fórmula'!D55,21)=0,10^6,INDEX(properties!A$1:CB$87,'Fórmula'!D55,21)),IF(INDEX(properties!A$1:CB$87,'Fórmula'!F55,21)=0,10^6,INDEX(properties!A$1:CB$87,'Fórmula'!F55,21)),IF(INDEX(properties!A$1:CB$87,'Fórmula'!H55,21)=0,10^6,INDEX(properties!A$1:CB$87,'Fórmula'!H55,21)),IF(INDEX(properties!A$1:CB$87,'Fórmula'!J55,21)=0,10^6,INDEX(properties!A$1:CB$87,'Fórmula'!J55,21)))</f>
        <v>1</v>
      </c>
      <c r="CA55" s="113">
        <f t="shared" si="13"/>
        <v>5</v>
      </c>
      <c r="CB55" s="114">
        <f t="array" ref="CB55">(('Fórmula'!C55)/('Fórmula'!C55+'Fórmula'!E55+'Fórmula'!G55+'Fórmula'!I55+'Fórmula'!K55))*(INDEX(properties!A$1:CB$87,'Fórmula'!B55,23))+(('Fórmula'!E55)/('Fórmula'!C55+'Fórmula'!E55+'Fórmula'!G55+'Fórmula'!I55+'Fórmula'!K55))*(INDEX(properties!A$1:CB$87,'Fórmula'!D55,23))+(('Fórmula'!G55)/('Fórmula'!C55+'Fórmula'!E55+'Fórmula'!G55+'Fórmula'!I55+'Fórmula'!K55))*(INDEX(properties!A$1:CB$87,'Fórmula'!F55,23))+(('Fórmula'!I55)/('Fórmula'!C55+'Fórmula'!E55+'Fórmula'!G55+'Fórmula'!I55+'Fórmula'!K55))*(INDEX(properties!A$1:CB$87,'Fórmula'!H55,23))+(('Fórmula'!K55)/('Fórmula'!C55+'Fórmula'!E55+'Fórmula'!G55+'Fórmula'!I55+'Fórmula'!K55))*(INDEX(properties!A$1:CB$87,'Fórmula'!J55,23))</f>
        <v>1.382222222</v>
      </c>
      <c r="CC55" s="114">
        <f t="array" ref="CC55">'Fórmula'!C55*(INDEX(properties!A$1:CB$87,'Fórmula'!B55,23))+'Fórmula'!E55*(INDEX(properties!A$1:CB$87,'Fórmula'!D55,23))+'Fórmula'!G55*(INDEX(properties!A$1:CB$87,'Fórmula'!F55,23))+'Fórmula'!I55*(INDEX(properties!A$1:CB$87,'Fórmula'!H55,23))+'Fórmula'!K55*(INDEX(properties!A$1:CB$87,'Fórmula'!J55,23))</f>
        <v>12.44</v>
      </c>
      <c r="CD55" s="114">
        <f t="array" ref="CD55">VARP(IF(INDEX(properties!A$1:CB$87,'Fórmula'!B55,23)&lt;&gt;"",INDEX(properties!A$1:CB$87,'Fórmula'!B55,23)),IF(INDEX(properties!A$1:CB$87,'Fórmula'!D55,23)&lt;&gt;"",INDEX(properties!A$1:CB$87,'Fórmula'!D55,23)),IF(INDEX(properties!A$1:CB$87,'Fórmula'!F55,23)&lt;&gt;"",INDEX(properties!A$1:CB$87,'Fórmula'!F55,23)),IF(INDEX(properties!A$1:CB$87,'Fórmula'!H55,23)&lt;&gt;"",INDEX(properties!A$1:CB$87,'Fórmula'!H55,23)),IF(INDEX(properties!A$1:CB$87,'Fórmula'!J55,23)&lt;&gt;"",INDEX(properties!A$1:CB$87,'Fórmula'!J55,23)))</f>
        <v>2.978176</v>
      </c>
      <c r="CE55" s="114">
        <f t="array" ref="CE55">MAX(INDEX(properties!A$1:CB$87,'Fórmula'!B55,23),INDEX(properties!A$1:CB$87,'Fórmula'!D55,23),INDEX(properties!A$1:CB$87,'Fórmula'!F55,23),INDEX(properties!A$1:CB$87,'Fórmula'!H55,23),INDEX(properties!A$1:CB$87,'Fórmula'!J55,23))</f>
        <v>4.44</v>
      </c>
      <c r="CF55" s="114">
        <f t="array" ref="CF55">MIN(IF('Fórmula'!B55=87,10^6,INDEX(properties!A$1:CB$87,'Fórmula'!B55,23)),IF(('Fórmula'!D55)=87,10^6,INDEX(properties!A$1:CB$87,'Fórmula'!D55,23)),IF(('Fórmula'!F55)=87,10^6,INDEX(properties!A$1:CB$87,'Fórmula'!F55,23)),IF(('Fórmula'!H55)=87,10^6,INDEX(properties!A$1:CB$87,'Fórmula'!H55,23)),IF('Fórmula'!J55=87,10^6,INDEX(properties!A$1:CB$87,'Fórmula'!J55,23)))</f>
        <v>0</v>
      </c>
      <c r="CG55" s="114">
        <f t="shared" si="14"/>
        <v>4.44</v>
      </c>
      <c r="CH55" s="115">
        <f t="array" ref="CH55">(('Fórmula'!C55)/('Fórmula'!C55+'Fórmula'!E55+'Fórmula'!G55+'Fórmula'!I55+'Fórmula'!K55))*(INDEX(properties!A$1:CB$87,'Fórmula'!B55,26))+(('Fórmula'!E55)/('Fórmula'!C55+'Fórmula'!E55+'Fórmula'!G55+'Fórmula'!I55+'Fórmula'!K55))*(INDEX(properties!A$1:CB$87,'Fórmula'!D55,26))+(('Fórmula'!G55)/('Fórmula'!C55+'Fórmula'!E55+'Fórmula'!G55+'Fórmula'!I55+'Fórmula'!K55))*(INDEX(properties!A$1:CB$87,'Fórmula'!F55,26))+(('Fórmula'!I55)/('Fórmula'!C55+'Fórmula'!E55+'Fórmula'!G55+'Fórmula'!I55+'Fórmula'!K55))*(INDEX(properties!A$1:CB$87,'Fórmula'!H55,26))+(('Fórmula'!K55)/('Fórmula'!C55+'Fórmula'!E55+'Fórmula'!G55+'Fórmula'!I55+'Fórmula'!K55))*(INDEX(properties!A$1:CB$87,'Fórmula'!J55,26))</f>
        <v>10.4278</v>
      </c>
      <c r="CI55" s="115">
        <f t="array" ref="CI55">'Fórmula'!C55*(INDEX(properties!A$1:CB$87,'Fórmula'!B55,26))+'Fórmula'!E55*(INDEX(properties!A$1:CB$87,'Fórmula'!D55,26))+'Fórmula'!G55*(INDEX(properties!A$1:CB$87,'Fórmula'!F55,26))+'Fórmula'!I55*(INDEX(properties!A$1:CB$87,'Fórmula'!H55,26))+'Fórmula'!K55*(INDEX(properties!A$1:CB$87,'Fórmula'!J55,26))</f>
        <v>93.8502</v>
      </c>
      <c r="CJ55" s="115">
        <f t="array" ref="CJ55">VARP(IF(INDEX(properties!A$1:CB$87,'Fórmula'!B55,26)&lt;&gt;"",INDEX(properties!A$1:CB$87,'Fórmula'!B55,26)),IF(INDEX(properties!A$1:CB$87,'Fórmula'!D55,26)&lt;&gt;"",INDEX(properties!A$1:CB$87,'Fórmula'!D55,26)),IF(INDEX(properties!A$1:CB$87,'Fórmula'!F55,26)&lt;&gt;"",INDEX(properties!A$1:CB$87,'Fórmula'!F55,26)),IF(INDEX(properties!A$1:CB$87,'Fórmula'!H55,26)&lt;&gt;"",INDEX(properties!A$1:CB$87,'Fórmula'!H55,26)),IF(INDEX(properties!A$1:CB$87,'Fórmula'!J55,26)&lt;&gt;"",INDEX(properties!A$1:CB$87,'Fórmula'!J55,26)))</f>
        <v>20.69342072</v>
      </c>
      <c r="CK55" s="116">
        <f t="array" ref="CK55">MAX(INDEX(properties!A$1:CB$87,'Fórmula'!B55,26),INDEX(properties!A$1:CB$87,'Fórmula'!D55,26),INDEX(properties!A$1:CB$87,'Fórmula'!F55,26),INDEX(properties!A$1:CB$87,'Fórmula'!H55,26),INDEX(properties!A$1:CB$87,'Fórmula'!J55,26))</f>
        <v>13.6181</v>
      </c>
      <c r="CL55" s="116">
        <f t="array" ref="CL55">MIN(IF(INDEX(properties!A$1:CB$87,'Fórmula'!B55,26)=0,10^6,INDEX(properties!A$1:CB$87,'Fórmula'!B55,26)),IF(INDEX(properties!A$1:CB$87,'Fórmula'!D55,26)=0,10^6,INDEX(properties!A$1:CB$87,'Fórmula'!D55,26)),IF(INDEX(properties!A$1:CB$87,'Fórmula'!F55,26)=0,10^6,INDEX(properties!A$1:CB$87,'Fórmula'!F55,26)),IF(INDEX(properties!A$1:CB$87,'Fórmula'!H55,26)=0,10^6,INDEX(properties!A$1:CB$87,'Fórmula'!H55,26)),IF(INDEX(properties!A$1:CB$87,'Fórmula'!J55,26)=0,10^6,INDEX(properties!A$1:CB$87,'Fórmula'!J55,26)))</f>
        <v>5.2117</v>
      </c>
      <c r="CM55" s="115">
        <f t="shared" si="15"/>
        <v>8.4064</v>
      </c>
      <c r="CN55" s="117">
        <f t="array" ref="CN55">(('Fórmula'!C55)/('Fórmula'!C55+'Fórmula'!E55+'Fórmula'!G55+'Fórmula'!I55+'Fórmula'!K55))*(INDEX(properties!A$1:CB$87,'Fórmula'!B55,30))+(('Fórmula'!E55)/('Fórmula'!C55+'Fórmula'!E55+'Fórmula'!G55+'Fórmula'!I55+'Fórmula'!K55))*(INDEX(properties!A$1:CB$87,'Fórmula'!D55,30))+(('Fórmula'!G55)/('Fórmula'!C55+'Fórmula'!E55+'Fórmula'!G55+'Fórmula'!I55+'Fórmula'!K55))*(INDEX(properties!A$1:CB$87,'Fórmula'!F55,30))+(('Fórmula'!I55)/('Fórmula'!C55+'Fórmula'!E55+'Fórmula'!G55+'Fórmula'!I55+'Fórmula'!K55))*(INDEX(properties!A$1:CB$87,'Fórmula'!H55,30))+(('Fórmula'!K55)/('Fórmula'!C55+'Fórmula'!E55+'Fórmula'!G55+'Fórmula'!I55+'Fórmula'!K55))*(INDEX(properties!A$1:CB$87,'Fórmula'!J55,30))</f>
        <v>2.437777778</v>
      </c>
      <c r="CO55" s="117">
        <f t="array" ref="CO55">'Fórmula'!C55*(INDEX(properties!A$1:CB$87,'Fórmula'!B55,30))+'Fórmula'!E55*(INDEX(properties!A$1:CB$87,'Fórmula'!D55,30))+'Fórmula'!G55*(INDEX(properties!A$1:CB$87,'Fórmula'!F55,30))+'Fórmula'!I55*(INDEX(properties!A$1:CB$87,'Fórmula'!H55,30))+'Fórmula'!K55*(INDEX(properties!A$1:CB$87,'Fórmula'!J55,30))</f>
        <v>21.94</v>
      </c>
      <c r="CP55" s="117">
        <f t="array" ref="CP55">VARP(IF(INDEX(properties!A$1:CB$87,'Fórmula'!B55,30)&lt;&gt;"",INDEX(properties!A$1:CB$87,'Fórmula'!B55,30)),IF(INDEX(properties!A$1:CB$87,'Fórmula'!D55,30)&lt;&gt;"",INDEX(properties!A$1:CB$87,'Fórmula'!D55,30)),IF(INDEX(properties!A$1:CB$87,'Fórmula'!F55,30)&lt;&gt;"",INDEX(properties!A$1:CB$87,'Fórmula'!F55,30)),IF(INDEX(properties!A$1:CB$87,'Fórmula'!H55,30)&lt;&gt;"",INDEX(properties!A$1:CB$87,'Fórmula'!H55,30)),IF(INDEX(properties!A$1:CB$87,'Fórmula'!J55,30)&lt;&gt;"",INDEX(properties!A$1:CB$87,'Fórmula'!J55,30)))</f>
        <v>1.306584</v>
      </c>
      <c r="CQ55" s="117">
        <f t="array" ref="CQ55">MAX(INDEX(properties!A$1:CB$87,'Fórmula'!B55,30),INDEX(properties!A$1:CB$87,'Fórmula'!D55,30),INDEX(properties!A$1:CB$87,'Fórmula'!F55,30),INDEX(properties!A$1:CB$87,'Fórmula'!H55,30),INDEX(properties!A$1:CB$87,'Fórmula'!J55,30))</f>
        <v>3.44</v>
      </c>
      <c r="CR55" s="117">
        <f t="array" ref="CR55">MIN(IF(INDEX(properties!A$1:CB$87,'Fórmula'!B55,30)=0,10^6,INDEX(properties!A$1:CB$87,'Fórmula'!B55,30)),IF(INDEX(properties!A$1:CB$87,'Fórmula'!D55,30)=0,10^6,INDEX(properties!A$1:CB$87,'Fórmula'!D55,30)),IF(INDEX(properties!A$1:CB$87,'Fórmula'!F55,30)=0,10^6,INDEX(properties!A$1:CB$87,'Fórmula'!F55,30)),IF(INDEX(properties!A$1:CB$87,'Fórmula'!H55,30)=0,10^6,INDEX(properties!A$1:CB$87,'Fórmula'!H55,30)),IF(INDEX(properties!A$1:CB$87,'Fórmula'!J55,30)=0,10^6,INDEX(properties!A$1:CB$87,'Fórmula'!J55,30)))</f>
        <v>0.89</v>
      </c>
      <c r="CS55" s="117">
        <f t="shared" si="16"/>
        <v>2.55</v>
      </c>
      <c r="CT55" s="118">
        <f t="array" ref="CT55">(('Fórmula'!C55)/('Fórmula'!C55+'Fórmula'!E55+'Fórmula'!G55+'Fórmula'!I55+'Fórmula'!K55))*(INDEX(properties!A$1:CB$87,'Fórmula'!B55,31))+(('Fórmula'!E55)/('Fórmula'!C55+'Fórmula'!E55+'Fórmula'!G55+'Fórmula'!I55+'Fórmula'!K55))*(INDEX(properties!A$1:CB$87,'Fórmula'!D55,31))+(('Fórmula'!G55)/('Fórmula'!C55+'Fórmula'!E55+'Fórmula'!G55+'Fórmula'!I55+'Fórmula'!K55))*(INDEX(properties!A$1:CB$87,'Fórmula'!F55,31))+(('Fórmula'!I55)/('Fórmula'!C55+'Fórmula'!E55+'Fórmula'!G55+'Fórmula'!I55+'Fórmula'!K55))*(INDEX(properties!A$1:CB$87,'Fórmula'!H55,31))+(('Fórmula'!K55)/('Fórmula'!C55+'Fórmula'!E55+'Fórmula'!G55+'Fórmula'!I55+'Fórmula'!K55))*(INDEX(properties!A$1:CB$87,'Fórmula'!J55,31))</f>
        <v>2.424444444</v>
      </c>
      <c r="CU55" s="118">
        <f t="array" ref="CU55">'Fórmula'!C55*(INDEX(properties!A$1:CB$87,'Fórmula'!B55,31))+'Fórmula'!E55*(INDEX(properties!A$1:CB$87,'Fórmula'!D55,31))+'Fórmula'!G55*(INDEX(properties!A$1:CB$87,'Fórmula'!F55,31))+'Fórmula'!I55*(INDEX(properties!A$1:CB$87,'Fórmula'!H55,31))+'Fórmula'!K55*(INDEX(properties!A$1:CB$87,'Fórmula'!J55,31))</f>
        <v>21.82</v>
      </c>
      <c r="CV55" s="118">
        <f t="array" ref="CV55">VARP(IF(INDEX(properties!A$1:CB$87,'Fórmula'!B55,31)&lt;&gt;"",INDEX(properties!A$1:CB$87,'Fórmula'!B55,31)),IF(INDEX(properties!A$1:CB$87,'Fórmula'!D55,31)&lt;&gt;"",INDEX(properties!A$1:CB$87,'Fórmula'!D55,31)),IF(INDEX(properties!A$1:CB$87,'Fórmula'!F55,31)&lt;&gt;"",INDEX(properties!A$1:CB$87,'Fórmula'!F55,31)),IF(INDEX(properties!A$1:CB$87,'Fórmula'!H55,31)&lt;&gt;"",INDEX(properties!A$1:CB$87,'Fórmula'!H55,31)),IF(INDEX(properties!A$1:CB$87,'Fórmula'!J55,31)&lt;&gt;"",INDEX(properties!A$1:CB$87,'Fórmula'!J55,31)))</f>
        <v>1.149136</v>
      </c>
      <c r="CW55" s="118">
        <f t="array" ref="CW55">MAX(INDEX(properties!A$1:CB$87,'Fórmula'!B55,31),INDEX(properties!A$1:CB$87,'Fórmula'!D55,31),INDEX(properties!A$1:CB$87,'Fórmula'!F55,31),INDEX(properties!A$1:CB$87,'Fórmula'!H55,31),INDEX(properties!A$1:CB$87,'Fórmula'!J55,31))</f>
        <v>3.32</v>
      </c>
      <c r="CX55" s="118">
        <f t="array" ref="CX55">MIN(IF(INDEX(properties!A$1:CB$87,'Fórmula'!B55,31)=0,10^6,INDEX(properties!A$1:CB$87,'Fórmula'!B55,31)),IF(INDEX(properties!A$1:CB$87,'Fórmula'!D55,31)=0,10^6,INDEX(properties!A$1:CB$87,'Fórmula'!D55,31)),IF(INDEX(properties!A$1:CB$87,'Fórmula'!F55,31)=0,10^6,INDEX(properties!A$1:CB$87,'Fórmula'!F55,31)),IF(INDEX(properties!A$1:CB$87,'Fórmula'!H55,31)=0,10^6,INDEX(properties!A$1:CB$87,'Fórmula'!H55,31)),IF(INDEX(properties!A$1:CB$87,'Fórmula'!J55,31)=0,10^6,INDEX(properties!A$1:CB$87,'Fórmula'!J55,31)))</f>
        <v>1.08</v>
      </c>
      <c r="CY55" s="118">
        <f t="shared" si="17"/>
        <v>2.24</v>
      </c>
      <c r="CZ55" s="119">
        <f t="array" ref="CZ55">(('Fórmula'!C55)/('Fórmula'!C55+'Fórmula'!E55+'Fórmula'!G55+'Fórmula'!I55+'Fórmula'!K55))*(INDEX(properties!A$1:CB$87,'Fórmula'!B55,32))+(('Fórmula'!E55)/('Fórmula'!C55+'Fórmula'!E55+'Fórmula'!G55+'Fórmula'!I55+'Fórmula'!K55))*(INDEX(properties!A$1:CB$87,'Fórmula'!D55,32))+(('Fórmula'!G55)/('Fórmula'!C55+'Fórmula'!E55+'Fórmula'!G55+'Fórmula'!I55+'Fórmula'!K55))*(INDEX(properties!A$1:CB$87,'Fórmula'!F55,32))+(('Fórmula'!I55)/('Fórmula'!C55+'Fórmula'!E55+'Fórmula'!G55+'Fórmula'!I55+'Fórmula'!K55))*(INDEX(properties!A$1:CB$87,'Fórmula'!H55,32))+(('Fórmula'!K55)/('Fórmula'!C55+'Fórmula'!E55+'Fórmula'!G55+'Fórmula'!I55+'Fórmula'!K55))*(INDEX(properties!A$1:CB$87,'Fórmula'!J55,32))</f>
        <v>5.638888889</v>
      </c>
      <c r="DA55" s="119">
        <f t="array" ref="DA55">'Fórmula'!C55*(INDEX(properties!A$1:CB$87,'Fórmula'!B55,32))+'Fórmula'!E55*(INDEX(properties!A$1:CB$87,'Fórmula'!D55,32))+'Fórmula'!G55*(INDEX(properties!A$1:CB$87,'Fórmula'!F55,32))+'Fórmula'!I55*(INDEX(properties!A$1:CB$87,'Fórmula'!H55,32))+'Fórmula'!K55*(INDEX(properties!A$1:CB$87,'Fórmula'!J55,32))</f>
        <v>50.75</v>
      </c>
      <c r="DB55" s="119">
        <f t="array" ref="DB55">VARP(IF(INDEX(properties!A$1:CB$87,'Fórmula'!B55,32)&lt;&gt;"",INDEX(properties!A$1:CB$87,'Fórmula'!B55,32)),IF(INDEX(properties!A$1:CB$87,'Fórmula'!D55,32)&lt;&gt;"",INDEX(properties!A$1:CB$87,'Fórmula'!D55,32)),IF(INDEX(properties!A$1:CB$87,'Fórmula'!F55,32)&lt;&gt;"",INDEX(properties!A$1:CB$87,'Fórmula'!F55,32)),IF(INDEX(properties!A$1:CB$87,'Fórmula'!H55,32)&lt;&gt;"",INDEX(properties!A$1:CB$87,'Fórmula'!H55,32)),IF(INDEX(properties!A$1:CB$87,'Fórmula'!J55,32)&lt;&gt;"",INDEX(properties!A$1:CB$87,'Fórmula'!J55,32)))</f>
        <v>6.168816</v>
      </c>
      <c r="DC55" s="119">
        <f t="array" ref="DC55">MAX(INDEX(properties!A$1:CB$87,'Fórmula'!B55,32),INDEX(properties!A$1:CB$87,'Fórmula'!D55,32),INDEX(properties!A$1:CB$87,'Fórmula'!F55,32),INDEX(properties!A$1:CB$87,'Fórmula'!H55,32),INDEX(properties!A$1:CB$87,'Fórmula'!J55,32))</f>
        <v>7.54</v>
      </c>
      <c r="DD55" s="119">
        <f t="array" ref="DD55">MIN(IF(INDEX(properties!A$1:CB$87,'Fórmula'!B55,32)=0,10^6,INDEX(properties!A$1:CB$87,'Fórmula'!B55,32)),IF(INDEX(properties!A$1:CB$87,'Fórmula'!D55,32)=0,10^6,INDEX(properties!A$1:CB$87,'Fórmula'!D55,32)),IF(INDEX(properties!A$1:CB$87,'Fórmula'!F55,32)=0,10^6,INDEX(properties!A$1:CB$87,'Fórmula'!F55,32)),IF(INDEX(properties!A$1:CB$87,'Fórmula'!H55,32)=0,10^6,INDEX(properties!A$1:CB$87,'Fórmula'!H55,32)),IF(INDEX(properties!A$1:CB$87,'Fórmula'!J55,32)=0,10^6,INDEX(properties!A$1:CB$87,'Fórmula'!J55,32)))</f>
        <v>2.4</v>
      </c>
      <c r="DE55" s="119">
        <f t="shared" si="18"/>
        <v>5.14</v>
      </c>
      <c r="DF55" s="104">
        <f t="array" ref="DF55">(('Fórmula'!C55)/('Fórmula'!C55+'Fórmula'!E55+'Fórmula'!G55+'Fórmula'!I55+'Fórmula'!K55))*(INDEX(properties!A$1:CB$87,'Fórmula'!B55,34))+(('Fórmula'!E55)/('Fórmula'!C55+'Fórmula'!E55+'Fórmula'!G55+'Fórmula'!I55+'Fórmula'!K55))*(INDEX(properties!A$1:CB$87,'Fórmula'!D55,34))+(('Fórmula'!G55)/('Fórmula'!C55+'Fórmula'!E55+'Fórmula'!G55+'Fórmula'!I55+'Fórmula'!K55))*(INDEX(properties!A$1:CB$87,'Fórmula'!F55,34))+(('Fórmula'!I55)/('Fórmula'!C55+'Fórmula'!E55+'Fórmula'!G55+'Fórmula'!I55+'Fórmula'!K55))*(INDEX(properties!A$1:CB$87,'Fórmula'!H55,34))+(('Fórmula'!K55)/('Fórmula'!C55+'Fórmula'!E55+'Fórmula'!G55+'Fórmula'!I55+'Fórmula'!K55))*(INDEX(properties!A$1:CB$87,'Fórmula'!J55,34))</f>
        <v>2.522333333</v>
      </c>
      <c r="DG55" s="104">
        <f t="array" ref="DG55">'Fórmula'!C55*(INDEX(properties!A$1:CB$87,'Fórmula'!B55,34))+'Fórmula'!E55*(INDEX(properties!A$1:CB$87,'Fórmula'!D55,34))+'Fórmula'!G55*(INDEX(properties!A$1:CB$87,'Fórmula'!F55,34))+'Fórmula'!I55*(INDEX(properties!A$1:CB$87,'Fórmula'!H55,34))+'Fórmula'!K55*(INDEX(properties!A$1:CB$87,'Fórmula'!J55,34))</f>
        <v>22.701</v>
      </c>
      <c r="DH55" s="104">
        <f t="array" ref="DH55">VARP(IF(INDEX(properties!A$1:CB$87,'Fórmula'!B55,34)&lt;&gt;"",INDEX(properties!A$1:CB$87,'Fórmula'!B55,34)),IF(INDEX(properties!A$1:CB$87,'Fórmula'!D55,34)&lt;&gt;"",INDEX(properties!A$1:CB$87,'Fórmula'!D55,34)),IF(INDEX(properties!A$1:CB$87,'Fórmula'!F55,34)&lt;&gt;"",INDEX(properties!A$1:CB$87,'Fórmula'!F55,34)),IF(INDEX(properties!A$1:CB$87,'Fórmula'!H55,34)&lt;&gt;"",INDEX(properties!A$1:CB$87,'Fórmula'!H55,34)),IF(INDEX(properties!A$1:CB$87,'Fórmula'!J55,34)&lt;&gt;"",INDEX(properties!A$1:CB$87,'Fórmula'!J55,34)))</f>
        <v>1.44796256</v>
      </c>
      <c r="DI55" s="104">
        <f t="array" ref="DI55">MAX(INDEX(properties!A$1:CB$87,'Fórmula'!B55,34),INDEX(properties!A$1:CB$87,'Fórmula'!D55,34),INDEX(properties!A$1:CB$87,'Fórmula'!F55,34),INDEX(properties!A$1:CB$87,'Fórmula'!H55,34),INDEX(properties!A$1:CB$87,'Fórmula'!J55,34))</f>
        <v>3.61</v>
      </c>
      <c r="DJ55" s="104">
        <f t="array" ref="DJ55">MIN(IF(INDEX(properties!A$1:CB$87,'Fórmula'!B55,34)=0,10^6,INDEX(properties!A$1:CB$87,'Fórmula'!B55,34)),IF(INDEX(properties!A$1:CB$87,'Fórmula'!D55,34)=0,10^6,INDEX(properties!A$1:CB$87,'Fórmula'!D55,34)),IF(INDEX(properties!A$1:CB$87,'Fórmula'!F55,34)=0,10^6,INDEX(properties!A$1:CB$87,'Fórmula'!F55,34)),IF(INDEX(properties!A$1:CB$87,'Fórmula'!H55,34)=0,10^6,INDEX(properties!A$1:CB$87,'Fórmula'!H55,34)),IF(INDEX(properties!A$1:CB$87,'Fórmula'!J55,34)=0,10^6,INDEX(properties!A$1:CB$87,'Fórmula'!J55,34)))</f>
        <v>0.881</v>
      </c>
      <c r="DK55" s="104">
        <f t="shared" si="19"/>
        <v>2.729</v>
      </c>
      <c r="DL55" s="105">
        <f t="array" ref="DL55">(('Fórmula'!C55)/('Fórmula'!C55+'Fórmula'!E55+'Fórmula'!G55+'Fórmula'!I55+'Fórmula'!K55))*(INDEX(properties!A$1:CB$87,'Fórmula'!B55,37))+(('Fórmula'!E55)/('Fórmula'!C55+'Fórmula'!E55+'Fórmula'!G55+'Fórmula'!I55+'Fórmula'!K55))*(INDEX(properties!A$1:CB$87,'Fórmula'!D55,37))+(('Fórmula'!G55)/('Fórmula'!C55+'Fórmula'!E55+'Fórmula'!G55+'Fórmula'!I55+'Fórmula'!K55))*(INDEX(properties!A$1:CB$87,'Fórmula'!F55,37))+(('Fórmula'!I55)/('Fórmula'!C55+'Fórmula'!E55+'Fórmula'!G55+'Fórmula'!I55+'Fórmula'!K55))*(INDEX(properties!A$1:CB$87,'Fórmula'!H55,37))+(('Fórmula'!K55)/('Fórmula'!C55+'Fórmula'!E55+'Fórmula'!G55+'Fórmula'!I55+'Fórmula'!K55))*(INDEX(properties!A$1:CB$87,'Fórmula'!J55,37))</f>
        <v>2.416666667</v>
      </c>
      <c r="DM55" s="105">
        <f t="array" ref="DM55">'Fórmula'!C55*(INDEX(properties!A$1:CB$87,'Fórmula'!B55,37))+'Fórmula'!E55*(INDEX(properties!A$1:CB$87,'Fórmula'!D55,37))+'Fórmula'!G55*(INDEX(properties!A$1:CB$87,'Fórmula'!F55,37))+'Fórmula'!I55*(INDEX(properties!A$1:CB$87,'Fórmula'!H55,37))+'Fórmula'!K55*(INDEX(properties!A$1:CB$87,'Fórmula'!J55,37))</f>
        <v>21.75</v>
      </c>
      <c r="DN55" s="105">
        <f t="array" ref="DN55">VARP(IF(INDEX(properties!A$1:CB$87,'Fórmula'!B55,37)&lt;&gt;"",INDEX(properties!A$1:CB$87,'Fórmula'!B55,37)),IF(INDEX(properties!A$1:CB$87,'Fórmula'!D55,37)&lt;&gt;"",INDEX(properties!A$1:CB$87,'Fórmula'!D55,37)),IF(INDEX(properties!A$1:CB$87,'Fórmula'!F55,37)&lt;&gt;"",INDEX(properties!A$1:CB$87,'Fórmula'!F55,37)),IF(INDEX(properties!A$1:CB$87,'Fórmula'!H55,37)&lt;&gt;"",INDEX(properties!A$1:CB$87,'Fórmula'!H55,37)),IF(INDEX(properties!A$1:CB$87,'Fórmula'!J55,37)&lt;&gt;"",INDEX(properties!A$1:CB$87,'Fórmula'!J55,37)))</f>
        <v>1.296</v>
      </c>
      <c r="DO55" s="105">
        <f t="array" ref="DO55">MAX(INDEX(properties!A$1:CB$87,'Fórmula'!B55,37),INDEX(properties!A$1:CB$87,'Fórmula'!D55,37),INDEX(properties!A$1:CB$87,'Fórmula'!F55,37),INDEX(properties!A$1:CB$87,'Fórmula'!H55,37),INDEX(properties!A$1:CB$87,'Fórmula'!J55,37))</f>
        <v>3.45</v>
      </c>
      <c r="DP55" s="105">
        <f t="array" ref="DP55">MIN(IF(INDEX(properties!A$1:CB$87,'Fórmula'!B55,37)=0,10^6,INDEX(properties!A$1:CB$87,'Fórmula'!B55,37)),IF(INDEX(properties!A$1:CB$87,'Fórmula'!D55,37)=0,10^6,INDEX(properties!A$1:CB$87,'Fórmula'!D55,37)),IF(INDEX(properties!A$1:CB$87,'Fórmula'!F55,37)=0,10^6,INDEX(properties!A$1:CB$87,'Fórmula'!F55,37)),IF(INDEX(properties!A$1:CB$87,'Fórmula'!H55,37)=0,10^6,INDEX(properties!A$1:CB$87,'Fórmula'!H55,37)),IF(INDEX(properties!A$1:CB$87,'Fórmula'!J55,37)=0,10^6,INDEX(properties!A$1:CB$87,'Fórmula'!J55,37)))</f>
        <v>0.9</v>
      </c>
      <c r="DQ55" s="105">
        <f t="shared" si="20"/>
        <v>2.55</v>
      </c>
      <c r="DR55" s="109">
        <f t="array" ref="DR55">(('Fórmula'!C55)/('Fórmula'!C55+'Fórmula'!E55+'Fórmula'!G55+'Fórmula'!I55+'Fórmula'!K55))*(INDEX(properties!A$1:CB$87,'Fórmula'!B55,39))+(('Fórmula'!E55)/('Fórmula'!C55+'Fórmula'!E55+'Fórmula'!G55+'Fórmula'!I55+'Fórmula'!K55))*(INDEX(properties!A$1:CB$87,'Fórmula'!D55,39))+(('Fórmula'!G55)/('Fórmula'!C55+'Fórmula'!E55+'Fórmula'!G55+'Fórmula'!I55+'Fórmula'!K55))*(INDEX(properties!A$1:CB$87,'Fórmula'!F55,39))+(('Fórmula'!I55)/('Fórmula'!C55+'Fórmula'!E55+'Fórmula'!G55+'Fórmula'!I55+'Fórmula'!K55))*(INDEX(properties!A$1:CB$87,'Fórmula'!H55,39))+(('Fórmula'!K55)/('Fórmula'!C55+'Fórmula'!E55+'Fórmula'!G55+'Fórmula'!I55+'Fórmula'!K55))*(INDEX(properties!A$1:CB$87,'Fórmula'!J55,39))</f>
        <v>1.138888889</v>
      </c>
      <c r="DS55" s="109">
        <f t="array" ref="DS55">'Fórmula'!C55*(INDEX(properties!A$1:CB$87,'Fórmula'!B55,39))+'Fórmula'!E55*(INDEX(properties!A$1:CB$87,'Fórmula'!D55,39))+'Fórmula'!G55*(INDEX(properties!A$1:CB$87,'Fórmula'!F55,39))+'Fórmula'!I55*(INDEX(properties!A$1:CB$87,'Fórmula'!H55,39))+'Fórmula'!K55*(INDEX(properties!A$1:CB$87,'Fórmula'!J55,39))</f>
        <v>10.25</v>
      </c>
      <c r="DT55" s="109">
        <f t="array" ref="DT55">VARP(IF(INDEX(properties!A$1:CB$87,'Fórmula'!B55,39)&lt;&gt;"",INDEX(properties!A$1:CB$87,'Fórmula'!B55,39)),IF(INDEX(properties!A$1:CB$87,'Fórmula'!D55,39)&lt;&gt;"",INDEX(properties!A$1:CB$87,'Fórmula'!D55,39)),IF(INDEX(properties!A$1:CB$87,'Fórmula'!F55,39)&lt;&gt;"",INDEX(properties!A$1:CB$87,'Fórmula'!F55,39)),IF(INDEX(properties!A$1:CB$87,'Fórmula'!H55,39)&lt;&gt;"",INDEX(properties!A$1:CB$87,'Fórmula'!H55,39)),IF(INDEX(properties!A$1:CB$87,'Fórmula'!J55,39)&lt;&gt;"",INDEX(properties!A$1:CB$87,'Fórmula'!J55,39)))</f>
        <v>0.861864</v>
      </c>
      <c r="DU55" s="120">
        <f t="array" ref="DU55">MAX(INDEX(properties!A$1:CB$87,'Fórmula'!B55,39),INDEX(properties!A$1:CB$87,'Fórmula'!D55,39),INDEX(properties!A$1:CB$87,'Fórmula'!F55,39),INDEX(properties!A$1:CB$87,'Fórmula'!H55,39),INDEX(properties!A$1:CB$87,'Fórmula'!J55,39))</f>
        <v>2.53</v>
      </c>
      <c r="DV55" s="120">
        <f t="array" ref="DV55">MIN(IF(INDEX(properties!A$1:CB$87,'Fórmula'!B55,39)=0,10^6,INDEX(properties!A$1:CB$87,'Fórmula'!B55,39)),IF(INDEX(properties!A$1:CB$87,'Fórmula'!D55,39)=0,10^6,INDEX(properties!A$1:CB$87,'Fórmula'!D55,39)),IF(INDEX(properties!A$1:CB$87,'Fórmula'!F55,39)=0,10^6,INDEX(properties!A$1:CB$87,'Fórmula'!F55,39)),IF(INDEX(properties!A$1:CB$87,'Fórmula'!H55,39)=0,10^6,INDEX(properties!A$1:CB$87,'Fórmula'!H55,39)),IF(INDEX(properties!A$1:CB$87,'Fórmula'!J55,39)=0,10^6,INDEX(properties!A$1:CB$87,'Fórmula'!J55,39)))</f>
        <v>0.48</v>
      </c>
      <c r="DW55" s="109">
        <f t="shared" si="21"/>
        <v>2.05</v>
      </c>
      <c r="DX55" s="110">
        <f t="array" ref="DX55">(('Fórmula'!C55)/('Fórmula'!C55+'Fórmula'!E55+'Fórmula'!G55+'Fórmula'!I55+'Fórmula'!K55))*(INDEX(properties!A$1:CB$87,'Fórmula'!B55,40))+(('Fórmula'!E55)/('Fórmula'!C55+'Fórmula'!E55+'Fórmula'!G55+'Fórmula'!I55+'Fórmula'!K55))*(INDEX(properties!A$1:CB$87,'Fórmula'!D55,40))+(('Fórmula'!G55)/('Fórmula'!C55+'Fórmula'!E55+'Fórmula'!G55+'Fórmula'!I55+'Fórmula'!K55))*(INDEX(properties!A$1:CB$87,'Fórmula'!F55,40))+(('Fórmula'!I55)/('Fórmula'!C55+'Fórmula'!E55+'Fórmula'!G55+'Fórmula'!I55+'Fórmula'!K55))*(INDEX(properties!A$1:CB$87,'Fórmula'!H55,40))+(('Fórmula'!K55)/('Fórmula'!C55+'Fórmula'!E55+'Fórmula'!G55+'Fórmula'!I55+'Fórmula'!K55))*(INDEX(properties!A$1:CB$87,'Fórmula'!J55,40))</f>
        <v>1.146666667</v>
      </c>
      <c r="DY55" s="110">
        <f t="array" ref="DY55">'Fórmula'!C55*(INDEX(properties!A$1:CB$87,'Fórmula'!B55,40))+'Fórmula'!E55*(INDEX(properties!A$1:CB$87,'Fórmula'!D55,40))+'Fórmula'!G55*(INDEX(properties!A$1:CB$87,'Fórmula'!F55,40))+'Fórmula'!I55*(INDEX(properties!A$1:CB$87,'Fórmula'!H55,40))+'Fórmula'!K55*(INDEX(properties!A$1:CB$87,'Fórmula'!J55,40))</f>
        <v>10.32</v>
      </c>
      <c r="DZ55" s="110">
        <f t="array" ref="DZ55">VARP(IF(INDEX(properties!A$1:CB$87,'Fórmula'!B55,40)&lt;&gt;"",INDEX(properties!A$1:CB$87,'Fórmula'!B55,40)),IF(INDEX(properties!A$1:CB$87,'Fórmula'!D55,40)&lt;&gt;"",INDEX(properties!A$1:CB$87,'Fórmula'!D55,40)),IF(INDEX(properties!A$1:CB$87,'Fórmula'!F55,40)&lt;&gt;"",INDEX(properties!A$1:CB$87,'Fórmula'!F55,40)),IF(INDEX(properties!A$1:CB$87,'Fórmula'!H55,40)&lt;&gt;"",INDEX(properties!A$1:CB$87,'Fórmula'!H55,40)),IF(INDEX(properties!A$1:CB$87,'Fórmula'!J55,40)&lt;&gt;"",INDEX(properties!A$1:CB$87,'Fórmula'!J55,40)))</f>
        <v>0.500936</v>
      </c>
      <c r="EA55" s="121">
        <f t="array" ref="EA55">MAX(INDEX(properties!A$1:CB$87,'Fórmula'!B55,40),INDEX(properties!A$1:CB$87,'Fórmula'!D55,40),INDEX(properties!A$1:CB$87,'Fórmula'!F55,40),INDEX(properties!A$1:CB$87,'Fórmula'!H55,40),INDEX(properties!A$1:CB$87,'Fórmula'!J55,40))</f>
        <v>1.98</v>
      </c>
      <c r="EB55" s="121">
        <f t="array" ref="EB55">MIN(IF(INDEX(properties!A$1:CB$87,'Fórmula'!B55,40)=0,10^6,INDEX(properties!A$1:CB$87,'Fórmula'!B55,40)),IF(INDEX(properties!A$1:CB$87,'Fórmula'!D55,40)=0,10^6,INDEX(properties!A$1:CB$87,'Fórmula'!D55,40)),IF(INDEX(properties!A$1:CB$87,'Fórmula'!F55,40)=0,10^6,INDEX(properties!A$1:CB$87,'Fórmula'!F55,40)),IF(INDEX(properties!A$1:CB$87,'Fórmula'!H55,40)=0,10^6,INDEX(properties!A$1:CB$87,'Fórmula'!H55,40)),IF(INDEX(properties!A$1:CB$87,'Fórmula'!J55,40)=0,10^6,INDEX(properties!A$1:CB$87,'Fórmula'!J55,40)))</f>
        <v>0.73</v>
      </c>
      <c r="EC55" s="110">
        <f t="shared" si="22"/>
        <v>1.25</v>
      </c>
      <c r="ED55" s="111">
        <f t="array" ref="ED55">(('Fórmula'!C55)/('Fórmula'!C55+'Fórmula'!E55+'Fórmula'!G55+'Fórmula'!I55+'Fórmula'!K55))*(INDEX(properties!A$1:CB$87,'Fórmula'!B55,41))+(('Fórmula'!E55)/('Fórmula'!C55+'Fórmula'!E55+'Fórmula'!G55+'Fórmula'!I55+'Fórmula'!K55))*(INDEX(properties!A$1:CB$87,'Fórmula'!D55,41))+(('Fórmula'!G55)/('Fórmula'!C55+'Fórmula'!E55+'Fórmula'!G55+'Fórmula'!I55+'Fórmula'!K55))*(INDEX(properties!A$1:CB$87,'Fórmula'!F55,41))+(('Fórmula'!I55)/('Fórmula'!C55+'Fórmula'!E55+'Fórmula'!G55+'Fórmula'!I55+'Fórmula'!K55))*(INDEX(properties!A$1:CB$87,'Fórmula'!H55,41))+(('Fórmula'!K55)/('Fórmula'!C55+'Fórmula'!E55+'Fórmula'!G55+'Fórmula'!I55+'Fórmula'!K55))*(INDEX(properties!A$1:CB$87,'Fórmula'!J55,41))</f>
        <v>1.223333333</v>
      </c>
      <c r="EE55" s="111">
        <f t="array" ref="EE55">'Fórmula'!C55*(INDEX(properties!A$1:CB$87,'Fórmula'!B55,41))+'Fórmula'!E55*(INDEX(properties!A$1:CB$87,'Fórmula'!D55,41))+'Fórmula'!G55*(INDEX(properties!A$1:CB$87,'Fórmula'!F55,41))+'Fórmula'!I55*(INDEX(properties!A$1:CB$87,'Fórmula'!H55,41))+'Fórmula'!K55*(INDEX(properties!A$1:CB$87,'Fórmula'!J55,41))</f>
        <v>11.01</v>
      </c>
      <c r="EF55" s="111">
        <f t="array" ref="EF55">VARP(IF(INDEX(properties!A$1:CB$87,'Fórmula'!B55,41)&lt;&gt;"",INDEX(properties!A$1:CB$87,'Fórmula'!B55,41)),IF(INDEX(properties!A$1:CB$87,'Fórmula'!D55,41)&lt;&gt;"",INDEX(properties!A$1:CB$87,'Fórmula'!D55,41)),IF(INDEX(properties!A$1:CB$87,'Fórmula'!F55,41)&lt;&gt;"",INDEX(properties!A$1:CB$87,'Fórmula'!F55,41)),IF(INDEX(properties!A$1:CB$87,'Fórmula'!H55,41)&lt;&gt;"",INDEX(properties!A$1:CB$87,'Fórmula'!H55,41)),IF(INDEX(properties!A$1:CB$87,'Fórmula'!J55,41)&lt;&gt;"",INDEX(properties!A$1:CB$87,'Fórmula'!J55,41)))</f>
        <v>0.2686</v>
      </c>
      <c r="EG55" s="122">
        <f t="array" ref="EG55">MAX(INDEX(properties!A$1:CB$87,'Fórmula'!B55,41),INDEX(properties!A$1:CB$87,'Fórmula'!D55,41),INDEX(properties!A$1:CB$87,'Fórmula'!F55,41),INDEX(properties!A$1:CB$87,'Fórmula'!H55,41),INDEX(properties!A$1:CB$87,'Fórmula'!J55,41))</f>
        <v>1.49</v>
      </c>
      <c r="EH55" s="122">
        <f t="array" ref="EH55">MIN(IF(INDEX(properties!A$1:CB$87,'Fórmula'!B55,41)=0,10^6,INDEX(properties!A$1:CB$87,'Fórmula'!B55,41)),IF(INDEX(properties!A$1:CB$87,'Fórmula'!D55,41)=0,10^6,INDEX(properties!A$1:CB$87,'Fórmula'!D55,41)),IF(INDEX(properties!A$1:CB$87,'Fórmula'!F55,41)=0,10^6,INDEX(properties!A$1:CB$87,'Fórmula'!F55,41)),IF(INDEX(properties!A$1:CB$87,'Fórmula'!H55,41)=0,10^6,INDEX(properties!A$1:CB$87,'Fórmula'!H55,41)),IF(INDEX(properties!A$1:CB$87,'Fórmula'!J55,41)=0,10^6,INDEX(properties!A$1:CB$87,'Fórmula'!J55,41)))</f>
        <v>0.88</v>
      </c>
      <c r="EI55" s="111">
        <f t="shared" si="23"/>
        <v>0.61</v>
      </c>
      <c r="EJ55" s="112">
        <f t="array" ref="EJ55">(('Fórmula'!C55)/('Fórmula'!C55+'Fórmula'!E55+'Fórmula'!G55+'Fórmula'!I55+'Fórmula'!K55))*(INDEX(properties!A$1:CB$87,'Fórmula'!B55,45))+(('Fórmula'!E55)/('Fórmula'!C55+'Fórmula'!E55+'Fórmula'!G55+'Fórmula'!I55+'Fórmula'!K55))*(INDEX(properties!A$1:CB$87,'Fórmula'!D55,45))+(('Fórmula'!G55)/('Fórmula'!C55+'Fórmula'!E55+'Fórmula'!G55+'Fórmula'!I55+'Fórmula'!K55))*(INDEX(properties!A$1:CB$87,'Fórmula'!F55,45))+(('Fórmula'!I55)/('Fórmula'!C55+'Fórmula'!E55+'Fórmula'!G55+'Fórmula'!I55+'Fórmula'!K55))*(INDEX(properties!A$1:CB$87,'Fórmula'!H55,45))+(('Fórmula'!K55)/('Fórmula'!C55+'Fórmula'!E55+'Fórmula'!G55+'Fórmula'!I55+'Fórmula'!K55))*(INDEX(properties!A$1:CB$87,'Fórmula'!J55,45))</f>
        <v>1.532222222</v>
      </c>
      <c r="EK55" s="112">
        <f t="array" ref="EK55">'Fórmula'!C55*(INDEX(properties!A$1:CB$87,'Fórmula'!B55,45))+'Fórmula'!E55*(INDEX(properties!A$1:CB$87,'Fórmula'!D55,45))+'Fórmula'!G55*(INDEX(properties!A$1:CB$87,'Fórmula'!F55,45))+'Fórmula'!I55*(INDEX(properties!A$1:CB$87,'Fórmula'!H55,45))+'Fórmula'!K55*(INDEX(properties!A$1:CB$87,'Fórmula'!J55,45))</f>
        <v>13.79</v>
      </c>
      <c r="EL55" s="112">
        <f t="array" ref="EL55">VARP(IF(INDEX(properties!A$1:CB$87,'Fórmula'!B55,45)&lt;&gt;"",INDEX(properties!A$1:CB$87,'Fórmula'!B55,45)),IF(INDEX(properties!A$1:CB$87,'Fórmula'!D55,45)&lt;&gt;"",INDEX(properties!A$1:CB$87,'Fórmula'!D55,45)),IF(INDEX(properties!A$1:CB$87,'Fórmula'!F55,45)&lt;&gt;"",INDEX(properties!A$1:CB$87,'Fórmula'!F55,45)),IF(INDEX(properties!A$1:CB$87,'Fórmula'!H55,45)&lt;&gt;"",INDEX(properties!A$1:CB$87,'Fórmula'!H55,45)),IF(INDEX(properties!A$1:CB$87,'Fórmula'!J55,45)&lt;&gt;"",INDEX(properties!A$1:CB$87,'Fórmula'!J55,45)))</f>
        <v>1.841584</v>
      </c>
      <c r="EM55" s="123">
        <f t="array" ref="EM55">MAX(INDEX(properties!A$1:CB$87,'Fórmula'!B55,45),INDEX(properties!A$1:CB$87,'Fórmula'!D55,45),INDEX(properties!A$1:CB$87,'Fórmula'!F55,45),INDEX(properties!A$1:CB$87,'Fórmula'!H55,45),INDEX(properties!A$1:CB$87,'Fórmula'!J55,45))</f>
        <v>3.4</v>
      </c>
      <c r="EN55" s="123">
        <f t="array" ref="EN55">MIN(IF(INDEX(properties!A$1:CB$87,'Fórmula'!B55,45)=0,10^6,INDEX(properties!A$1:CB$87,'Fórmula'!B55,45)),IF(INDEX(properties!A$1:CB$87,'Fórmula'!D55,45)=0,10^6,INDEX(properties!A$1:CB$87,'Fórmula'!D55,45)),IF(INDEX(properties!A$1:CB$87,'Fórmula'!F55,45)=0,10^6,INDEX(properties!A$1:CB$87,'Fórmula'!F55,45)),IF(INDEX(properties!A$1:CB$87,'Fórmula'!H55,45)=0,10^6,INDEX(properties!A$1:CB$87,'Fórmula'!H55,45)),IF(INDEX(properties!A$1:CB$87,'Fórmula'!J55,45)=0,10^6,INDEX(properties!A$1:CB$87,'Fórmula'!J55,45)))</f>
        <v>0.47</v>
      </c>
      <c r="EO55" s="112">
        <f t="shared" si="24"/>
        <v>2.93</v>
      </c>
      <c r="EP55" s="113">
        <f t="array" ref="EP55">(('Fórmula'!C55)/('Fórmula'!C55+'Fórmula'!E55+'Fórmula'!G55+'Fórmula'!I55+'Fórmula'!K55))*(INDEX(properties!A$1:CB$87,'Fórmula'!B55,46))+(('Fórmula'!E55)/('Fórmula'!C55+'Fórmula'!E55+'Fórmula'!G55+'Fórmula'!I55+'Fórmula'!K55))*(INDEX(properties!A$1:CB$87,'Fórmula'!D55,46))+(('Fórmula'!G55)/('Fórmula'!C55+'Fórmula'!E55+'Fórmula'!G55+'Fórmula'!I55+'Fórmula'!K55))*(INDEX(properties!A$1:CB$87,'Fórmula'!F55,46))+(('Fórmula'!I55)/('Fórmula'!C55+'Fórmula'!E55+'Fórmula'!G55+'Fórmula'!I55+'Fórmula'!K55))*(INDEX(properties!A$1:CB$87,'Fórmula'!H55,46))+(('Fórmula'!K55)/('Fórmula'!C55+'Fórmula'!E55+'Fórmula'!G55+'Fórmula'!I55+'Fórmula'!K55))*(INDEX(properties!A$1:CB$87,'Fórmula'!J55,46))</f>
        <v>1.222222222</v>
      </c>
      <c r="EQ55" s="113">
        <f t="array" ref="EQ55">'Fórmula'!C55*(INDEX(properties!A$1:CB$87,'Fórmula'!B55,46))+'Fórmula'!E55*(INDEX(properties!A$1:CB$87,'Fórmula'!D55,46))+'Fórmula'!G55*(INDEX(properties!A$1:CB$87,'Fórmula'!F55,46))+'Fórmula'!I55*(INDEX(properties!A$1:CB$87,'Fórmula'!H55,46))+'Fórmula'!K55*(INDEX(properties!A$1:CB$87,'Fórmula'!J55,46))</f>
        <v>11</v>
      </c>
      <c r="ER55" s="113">
        <f t="array" ref="ER55">VARP(IF(INDEX(properties!A$1:CB$87,'Fórmula'!B55,46)&lt;&gt;"",INDEX(properties!A$1:CB$87,'Fórmula'!B55,46)),IF(INDEX(properties!A$1:CB$87,'Fórmula'!D55,46)&lt;&gt;"",INDEX(properties!A$1:CB$87,'Fórmula'!D55,46)),IF(INDEX(properties!A$1:CB$87,'Fórmula'!F55,46)&lt;&gt;"",INDEX(properties!A$1:CB$87,'Fórmula'!F55,46)),IF(INDEX(properties!A$1:CB$87,'Fórmula'!H55,46)&lt;&gt;"",INDEX(properties!A$1:CB$87,'Fórmula'!H55,46)),IF(INDEX(properties!A$1:CB$87,'Fórmula'!J55,46)&lt;&gt;"",INDEX(properties!A$1:CB$87,'Fórmula'!J55,46)))</f>
        <v>0.29468</v>
      </c>
      <c r="ES55" s="124">
        <f t="array" ref="ES55">MAX(INDEX(properties!A$1:CB$87,'Fórmula'!B55,46),INDEX(properties!A$1:CB$87,'Fórmula'!D55,46),INDEX(properties!A$1:CB$87,'Fórmula'!F55,46),INDEX(properties!A$1:CB$87,'Fórmula'!H55,46),INDEX(properties!A$1:CB$87,'Fórmula'!J55,46))</f>
        <v>1.49</v>
      </c>
      <c r="ET55" s="124">
        <f t="array" ref="ET55">MIN(IF(INDEX(properties!A$1:CB$87,'Fórmula'!B55,46)=0,10^6,INDEX(properties!A$1:CB$87,'Fórmula'!B55,46)),IF(INDEX(properties!A$1:CB$87,'Fórmula'!D55,46)=0,10^6,INDEX(properties!A$1:CB$87,'Fórmula'!D55,46)),IF(INDEX(properties!A$1:CB$87,'Fórmula'!F55,46)=0,10^6,INDEX(properties!A$1:CB$87,'Fórmula'!F55,46)),IF(INDEX(properties!A$1:CB$87,'Fórmula'!H55,46)=0,10^6,INDEX(properties!A$1:CB$87,'Fórmula'!H55,46)),IF(INDEX(properties!A$1:CB$87,'Fórmula'!J55,46)=0,10^6,INDEX(properties!A$1:CB$87,'Fórmula'!J55,46)))</f>
        <v>0.74</v>
      </c>
      <c r="EU55" s="113">
        <f t="shared" si="25"/>
        <v>0.75</v>
      </c>
      <c r="EV55" s="114">
        <f t="array" ref="EV55">(('Fórmula'!C55)/('Fórmula'!C55+'Fórmula'!E55+'Fórmula'!G55+'Fórmula'!I55+'Fórmula'!K55))*(INDEX(properties!A$1:CB$87,'Fórmula'!B55,52))+(('Fórmula'!E55)/('Fórmula'!C55+'Fórmula'!E55+'Fórmula'!G55+'Fórmula'!I55+'Fórmula'!K55))*(INDEX(properties!A$1:CB$87,'Fórmula'!D55,52))+(('Fórmula'!G55)/('Fórmula'!C55+'Fórmula'!E55+'Fórmula'!G55+'Fórmula'!I55+'Fórmula'!K55))*(INDEX(properties!A$1:CB$87,'Fórmula'!F55,52))+(('Fórmula'!I55)/('Fórmula'!C55+'Fórmula'!E55+'Fórmula'!G55+'Fórmula'!I55+'Fórmula'!K55))*(INDEX(properties!A$1:CB$87,'Fórmula'!H55,52))+(('Fórmula'!K55)/('Fórmula'!C55+'Fórmula'!E55+'Fórmula'!G55+'Fórmula'!I55+'Fórmula'!K55))*(INDEX(properties!A$1:CB$87,'Fórmula'!J55,52))</f>
        <v>12.47388889</v>
      </c>
      <c r="EW55" s="114">
        <f t="array" ref="EW55">'Fórmula'!C55*(INDEX(properties!A$1:CB$87,'Fórmula'!B55,52))+'Fórmula'!E55*(INDEX(properties!A$1:CB$87,'Fórmula'!D55,52))+'Fórmula'!G55*(INDEX(properties!A$1:CB$87,'Fórmula'!F55,52))+'Fórmula'!I55*(INDEX(properties!A$1:CB$87,'Fórmula'!H55,52))+'Fórmula'!K55*(INDEX(properties!A$1:CB$87,'Fórmula'!J55,52))</f>
        <v>112.265</v>
      </c>
      <c r="EX55" s="114">
        <f t="array" ref="EX55">VARP(IF(INDEX(properties!A$1:CB$87,'Fórmula'!B55,52)&lt;&gt;"",INDEX(properties!A$1:CB$87,'Fórmula'!B55,52)),IF(INDEX(properties!A$1:CB$87,'Fórmula'!D55,52)&lt;&gt;"",INDEX(properties!A$1:CB$87,'Fórmula'!D55,52)),IF(INDEX(properties!A$1:CB$87,'Fórmula'!F55,52)&lt;&gt;"",INDEX(properties!A$1:CB$87,'Fórmula'!F55,52)),IF(INDEX(properties!A$1:CB$87,'Fórmula'!H55,52)&lt;&gt;"",INDEX(properties!A$1:CB$87,'Fórmula'!H55,52)),IF(INDEX(properties!A$1:CB$87,'Fórmula'!J55,52)&lt;&gt;"",INDEX(properties!A$1:CB$87,'Fórmula'!J55,52)))</f>
        <v>273.6614478</v>
      </c>
      <c r="EY55" s="114">
        <f t="array" ref="EY55">MAX(INDEX(properties!A$1:CB$87,'Fórmula'!B55,52),INDEX(properties!A$1:CB$87,'Fórmula'!D55,52),INDEX(properties!A$1:CB$87,'Fórmula'!F55,52),INDEX(properties!A$1:CB$87,'Fórmula'!H55,52),INDEX(properties!A$1:CB$87,'Fórmula'!J55,52))</f>
        <v>39.7</v>
      </c>
      <c r="EZ55" s="114">
        <f t="array" ref="EZ55">MIN(IF(INDEX(properties!A$1:CB$87,'Fórmula'!B55,52)=0,10^6,INDEX(properties!A$1:CB$87,'Fórmula'!B55,52)),IF(INDEX(properties!A$1:CB$87,'Fórmula'!D55,52)=0,10^6,INDEX(properties!A$1:CB$87,'Fórmula'!D55,52)),IF(INDEX(properties!A$1:CB$87,'Fórmula'!F55,52)=0,10^6,INDEX(properties!A$1:CB$87,'Fórmula'!F55,52)),IF(INDEX(properties!A$1:CB$87,'Fórmula'!H55,52)=0,10^6,INDEX(properties!A$1:CB$87,'Fórmula'!H55,52)),IF(INDEX(properties!A$1:CB$87,'Fórmula'!J55,52)=0,10^6,INDEX(properties!A$1:CB$87,'Fórmula'!J55,52)))</f>
        <v>0.793</v>
      </c>
      <c r="FA55" s="114">
        <f t="shared" si="26"/>
        <v>38.907</v>
      </c>
      <c r="FB55" s="115">
        <f t="array" ref="FB55">(('Fórmula'!C55)/('Fórmula'!C55+'Fórmula'!E55+'Fórmula'!G55+'Fórmula'!I55+'Fórmula'!K55))*(INDEX(properties!A$1:CB$87,'Fórmula'!B55,53))+(('Fórmula'!E55)/('Fórmula'!C55+'Fórmula'!E55+'Fórmula'!G55+'Fórmula'!I55+'Fórmula'!K55))*(INDEX(properties!A$1:CB$87,'Fórmula'!D55,53))+(('Fórmula'!G55)/('Fórmula'!C55+'Fórmula'!E55+'Fórmula'!G55+'Fórmula'!I55+'Fórmula'!K55))*(INDEX(properties!A$1:CB$87,'Fórmula'!F55,53))+(('Fórmula'!I55)/('Fórmula'!C55+'Fórmula'!E55+'Fórmula'!G55+'Fórmula'!I55+'Fórmula'!K55))*(INDEX(properties!A$1:CB$87,'Fórmula'!H55,53))+(('Fórmula'!K55)/('Fórmula'!C55+'Fórmula'!E55+'Fórmula'!G55+'Fórmula'!I55+'Fórmula'!K55))*(INDEX(properties!A$1:CB$87,'Fórmula'!J55,53))</f>
        <v>483.4388889</v>
      </c>
      <c r="FC55" s="115">
        <f t="array" ref="FC55">'Fórmula'!C55*(INDEX(properties!A$1:CB$87,'Fórmula'!B55,53))+'Fórmula'!E55*(INDEX(properties!A$1:CB$87,'Fórmula'!D55,53))+'Fórmula'!G55*(INDEX(properties!A$1:CB$87,'Fórmula'!F55,53))+'Fórmula'!I55*(INDEX(properties!A$1:CB$87,'Fórmula'!H55,53))+'Fórmula'!K55*(INDEX(properties!A$1:CB$87,'Fórmula'!J55,53))</f>
        <v>4350.95</v>
      </c>
      <c r="FD55" s="115">
        <f t="array" ref="FD55">VARP(IF(INDEX(properties!A$1:CB$87,'Fórmula'!B55,53)&lt;&gt;"",INDEX(properties!A$1:CB$87,'Fórmula'!B55,53)),IF(INDEX(properties!A$1:CB$87,'Fórmula'!D55,53)&lt;&gt;"",INDEX(properties!A$1:CB$87,'Fórmula'!D55,53)),IF(INDEX(properties!A$1:CB$87,'Fórmula'!F55,53)&lt;&gt;"",INDEX(properties!A$1:CB$87,'Fórmula'!F55,53)),IF(INDEX(properties!A$1:CB$87,'Fórmula'!H55,53)&lt;&gt;"",INDEX(properties!A$1:CB$87,'Fórmula'!H55,53)),IF(INDEX(properties!A$1:CB$87,'Fórmula'!J55,53)&lt;&gt;"",INDEX(properties!A$1:CB$87,'Fórmula'!J55,53)))</f>
        <v>235100.2764</v>
      </c>
      <c r="FE55" s="115">
        <f t="array" ref="FE55">MAX(INDEX(properties!A$1:CB$87,'Fórmula'!B55,53),INDEX(properties!A$1:CB$87,'Fórmula'!D55,53),INDEX(properties!A$1:CB$87,'Fórmula'!F55,53),INDEX(properties!A$1:CB$87,'Fórmula'!H55,53),INDEX(properties!A$1:CB$87,'Fórmula'!J55,53))</f>
        <v>1193.15</v>
      </c>
      <c r="FF55" s="115">
        <f t="array" ref="FF55">MIN(IF(INDEX(properties!A$1:CB$87,'Fórmula'!B55,53)=0,10^6,INDEX(properties!A$1:CB$87,'Fórmula'!B55,53)),IF(INDEX(properties!A$1:CB$87,'Fórmula'!D55,53)=0,10^6,INDEX(properties!A$1:CB$87,'Fórmula'!D55,53)),IF(INDEX(properties!A$1:CB$87,'Fórmula'!F55,53)=0,10^6,INDEX(properties!A$1:CB$87,'Fórmula'!F55,53)),IF(INDEX(properties!A$1:CB$87,'Fórmula'!H55,53)=0,10^6,INDEX(properties!A$1:CB$87,'Fórmula'!H55,53)),IF(INDEX(properties!A$1:CB$87,'Fórmula'!J55,53)=0,10^6,INDEX(properties!A$1:CB$87,'Fórmula'!J55,53)))</f>
        <v>54.75</v>
      </c>
      <c r="FG55" s="115">
        <f t="shared" si="27"/>
        <v>1138.4</v>
      </c>
      <c r="FH55" s="117">
        <f t="array" ref="FH55">(('Fórmula'!C55)/('Fórmula'!C55+'Fórmula'!E55+'Fórmula'!G55+'Fórmula'!I55+'Fórmula'!K55))*(INDEX(properties!A$1:CB$87,'Fórmula'!B55,54))+(('Fórmula'!E55)/('Fórmula'!C55+'Fórmula'!E55+'Fórmula'!G55+'Fórmula'!I55+'Fórmula'!K55))*(INDEX(properties!A$1:CB$87,'Fórmula'!D55,54))+(('Fórmula'!G55)/('Fórmula'!C55+'Fórmula'!E55+'Fórmula'!G55+'Fórmula'!I55+'Fórmula'!K55))*(INDEX(properties!A$1:CB$87,'Fórmula'!F55,54))+(('Fórmula'!I55)/('Fórmula'!C55+'Fórmula'!E55+'Fórmula'!G55+'Fórmula'!I55+'Fórmula'!K55))*(INDEX(properties!A$1:CB$87,'Fórmula'!H55,54))+(('Fórmula'!K55)/('Fórmula'!C55+'Fórmula'!E55+'Fórmula'!G55+'Fórmula'!I55+'Fórmula'!K55))*(INDEX(properties!A$1:CB$87,'Fórmula'!J55,54))</f>
        <v>1221.927778</v>
      </c>
      <c r="FI55" s="117">
        <f t="array" ref="FI55">'Fórmula'!C55*(INDEX(properties!A$1:CB$87,'Fórmula'!B55,54))+'Fórmula'!E55*(INDEX(properties!A$1:CB$87,'Fórmula'!D55,54))+'Fórmula'!G55*(INDEX(properties!A$1:CB$87,'Fórmula'!F55,54))+'Fórmula'!I55*(INDEX(properties!A$1:CB$87,'Fórmula'!H55,54))+'Fórmula'!K55*(INDEX(properties!A$1:CB$87,'Fórmula'!J55,54))</f>
        <v>10997.35</v>
      </c>
      <c r="FJ55" s="117">
        <f t="array" ref="FJ55">VARP(IF(INDEX(properties!A$1:CB$87,'Fórmula'!B55,54)&lt;&gt;"",INDEX(properties!A$1:CB$87,'Fórmula'!B55,54)),IF(INDEX(properties!A$1:CB$87,'Fórmula'!D55,54)&lt;&gt;"",INDEX(properties!A$1:CB$87,'Fórmula'!D55,54)),IF(INDEX(properties!A$1:CB$87,'Fórmula'!F55,54)&lt;&gt;"",INDEX(properties!A$1:CB$87,'Fórmula'!F55,54)),IF(INDEX(properties!A$1:CB$87,'Fórmula'!H55,54)&lt;&gt;"",INDEX(properties!A$1:CB$87,'Fórmula'!H55,54)),IF(INDEX(properties!A$1:CB$87,'Fórmula'!J55,54)&lt;&gt;"",INDEX(properties!A$1:CB$87,'Fórmula'!J55,54)))</f>
        <v>1880359.472</v>
      </c>
      <c r="FK55" s="117">
        <f t="array" ref="FK55">MAX(INDEX(properties!A$1:CB$87,'Fórmula'!B55,54),INDEX(properties!A$1:CB$87,'Fórmula'!D55,54),INDEX(properties!A$1:CB$87,'Fórmula'!F55,54),INDEX(properties!A$1:CB$87,'Fórmula'!H55,54),INDEX(properties!A$1:CB$87,'Fórmula'!J55,54))</f>
        <v>3727.15</v>
      </c>
      <c r="FL55" s="117">
        <f t="array" ref="FL55">MIN(IF(INDEX(properties!A$1:CB$87,'Fórmula'!B55,54)=0,10^6,INDEX(properties!A$1:CB$87,'Fórmula'!B55,54)),IF(INDEX(properties!A$1:CB$87,'Fórmula'!D55,54)=0,10^6,INDEX(properties!A$1:CB$87,'Fórmula'!D55,54)),IF(INDEX(properties!A$1:CB$87,'Fórmula'!F55,54)=0,10^6,INDEX(properties!A$1:CB$87,'Fórmula'!F55,54)),IF(INDEX(properties!A$1:CB$87,'Fórmula'!H55,54)=0,10^6,INDEX(properties!A$1:CB$87,'Fórmula'!H55,54)),IF(INDEX(properties!A$1:CB$87,'Fórmula'!J55,54)=0,10^6,INDEX(properties!A$1:CB$87,'Fórmula'!J55,54)))</f>
        <v>90.15</v>
      </c>
      <c r="FM55" s="117">
        <f t="shared" si="28"/>
        <v>3637</v>
      </c>
      <c r="FN55" s="118">
        <f t="array" ref="FN55">(('Fórmula'!C55)/('Fórmula'!C55+'Fórmula'!E55+'Fórmula'!G55+'Fórmula'!I55+'Fórmula'!K55))*(INDEX(properties!A$1:CB$87,'Fórmula'!B55,55))+(('Fórmula'!E55)/('Fórmula'!C55+'Fórmula'!E55+'Fórmula'!G55+'Fórmula'!I55+'Fórmula'!K55))*(INDEX(properties!A$1:CB$87,'Fórmula'!D55,55))+(('Fórmula'!G55)/('Fórmula'!C55+'Fórmula'!E55+'Fórmula'!G55+'Fórmula'!I55+'Fórmula'!K55))*(INDEX(properties!A$1:CB$87,'Fórmula'!F55,55))+(('Fórmula'!I55)/('Fórmula'!C55+'Fórmula'!E55+'Fórmula'!G55+'Fórmula'!I55+'Fórmula'!K55))*(INDEX(properties!A$1:CB$87,'Fórmula'!H55,55))+(('Fórmula'!K55)/('Fórmula'!C55+'Fórmula'!E55+'Fórmula'!G55+'Fórmula'!I55+'Fórmula'!K55))*(INDEX(properties!A$1:CB$87,'Fórmula'!J55,55))</f>
        <v>2.548572222</v>
      </c>
      <c r="FO55" s="118">
        <f t="array" ref="FO55">'Fórmula'!C55*(INDEX(properties!A$1:CB$87,'Fórmula'!B55,55))+'Fórmula'!E55*(INDEX(properties!A$1:CB$87,'Fórmula'!D55,54))+'Fórmula'!G55*(INDEX(properties!A$1:CB$87,'Fórmula'!F55,55))+'Fórmula'!I55*(INDEX(properties!A$1:CB$87,'Fórmula'!H55,55))+'Fórmula'!K55*(INDEX(properties!A$1:CB$87,'Fórmula'!J55,55))</f>
        <v>7464.93715</v>
      </c>
      <c r="FP55" s="118">
        <f t="array" ref="FP55">VARP(IF(INDEX(properties!A$1:CB$87,'Fórmula'!B55,55)&lt;&gt;"",INDEX(properties!A$1:CB$87,'Fórmula'!B55,55)),IF(INDEX(properties!A$1:CB$87,'Fórmula'!D55,55)&lt;&gt;"",INDEX(properties!A$1:CB$87,'Fórmula'!D55,55)),IF(INDEX(properties!A$1:CB$87,'Fórmula'!F55,55)&lt;&gt;"",INDEX(properties!A$1:CB$87,'Fórmula'!F55,55)),IF(INDEX(properties!A$1:CB$87,'Fórmula'!H55,55)&lt;&gt;"",INDEX(properties!A$1:CB$87,'Fórmula'!H55,55)),IF(INDEX(properties!A$1:CB$87,'Fórmula'!J55,55)&lt;&gt;"",INDEX(properties!A$1:CB$87,'Fórmula'!J55,55)))</f>
        <v>8.917224695</v>
      </c>
      <c r="FQ55" s="118">
        <f t="array" ref="FQ55">MAX(INDEX(properties!A$1:CB$87,'Fórmula'!B55,55),INDEX(properties!A$1:CB$87,'Fórmula'!D55,55),INDEX(properties!A$1:CB$87,'Fórmula'!F55,55),INDEX(properties!A$1:CB$87,'Fórmula'!H55,55),INDEX(properties!A$1:CB$87,'Fórmula'!J55,55))</f>
        <v>7.13</v>
      </c>
      <c r="FR55" s="118">
        <f t="array" ref="FR55">MIN(IF(INDEX(properties!A$1:CB$87,'Fórmula'!B55,55)=0,10^6,INDEX(properties!A$1:CB$87,'Fórmula'!B55,55)),IF(INDEX(properties!A$1:CB$87,'Fórmula'!D55,55)=0,10^6,INDEX(properties!A$1:CB$87,'Fórmula'!D55,55)),IF(INDEX(properties!A$1:CB$87,'Fórmula'!F55,55)=0,10^6,INDEX(properties!A$1:CB$87,'Fórmula'!F55,55)),IF(INDEX(properties!A$1:CB$87,'Fórmula'!H55,55)=0,10^6,INDEX(properties!A$1:CB$87,'Fórmula'!H55,55)),IF(INDEX(properties!A$1:CB$87,'Fórmula'!J55,55)=0,10^6,INDEX(properties!A$1:CB$87,'Fórmula'!J55,55)))</f>
        <v>0.00143</v>
      </c>
      <c r="FS55" s="118">
        <f t="shared" si="29"/>
        <v>7.12857</v>
      </c>
      <c r="FT55" s="119">
        <f t="array" ref="FT55">(('Fórmula'!C55)/('Fórmula'!C55+'Fórmula'!E55+'Fórmula'!G55+'Fórmula'!I55+'Fórmula'!K55))*(INDEX(properties!A$1:CB$87,'Fórmula'!B55,56))+(('Fórmula'!E55)/('Fórmula'!C55+'Fórmula'!E55+'Fórmula'!G55+'Fórmula'!I55+'Fórmula'!K55))*(INDEX(properties!A$1:CB$87,'Fórmula'!D55,56))+(('Fórmula'!G55)/('Fórmula'!C55+'Fórmula'!E55+'Fórmula'!G55+'Fórmula'!I55+'Fórmula'!K55))*(INDEX(properties!A$1:CB$87,'Fórmula'!F55,56))+(('Fórmula'!I55)/('Fórmula'!C55+'Fórmula'!E55+'Fórmula'!G55+'Fórmula'!I55+'Fórmula'!K55))*(INDEX(properties!A$1:CB$87,'Fórmula'!H55,56))+(('Fórmula'!K55)/('Fórmula'!C55+'Fórmula'!E55+'Fórmula'!G55+'Fórmula'!I55+'Fórmula'!K55))*(INDEX(properties!A$1:CB$87,'Fórmula'!J55,56))</f>
        <v>0.6193333333</v>
      </c>
      <c r="FU55" s="119">
        <f t="array" ref="FU55">'Fórmula'!C55*(INDEX(properties!A$1:CB$87,'Fórmula'!B55,56))+'Fórmula'!E55*(INDEX(properties!A$1:CB$87,'Fórmula'!D55,56))+'Fórmula'!G55*(INDEX(properties!A$1:CB$87,'Fórmula'!F55,56))+'Fórmula'!I55*(INDEX(properties!A$1:CB$87,'Fórmula'!H55,56))+'Fórmula'!K55*(INDEX(properties!A$1:CB$87,'Fórmula'!J55,56))</f>
        <v>5.574</v>
      </c>
      <c r="FV55" s="119">
        <f t="array" ref="FV55">VARP(IF(INDEX(properties!A$1:CB$87,'Fórmula'!B55,56)&lt;&gt;"",INDEX(properties!A$1:CB$87,'Fórmula'!B55,56)),IF(INDEX(properties!A$1:CB$87,'Fórmula'!D55,56)&lt;&gt;"",INDEX(properties!A$1:CB$87,'Fórmula'!D55,56)),IF(INDEX(properties!A$1:CB$87,'Fórmula'!F55,56)&lt;&gt;"",INDEX(properties!A$1:CB$87,'Fórmula'!F55,56)),IF(INDEX(properties!A$1:CB$87,'Fórmula'!H55,56)&lt;&gt;"",INDEX(properties!A$1:CB$87,'Fórmula'!H55,56)),IF(INDEX(properties!A$1:CB$87,'Fórmula'!J55,56)&lt;&gt;"",INDEX(properties!A$1:CB$87,'Fórmula'!J55,56)))</f>
        <v>0.09909856</v>
      </c>
      <c r="FW55" s="119">
        <f t="array" ref="FW55">MAX(INDEX(properties!A$1:CB$87,'Fórmula'!B55,56),INDEX(properties!A$1:CB$87,'Fórmula'!D55,56),INDEX(properties!A$1:CB$87,'Fórmula'!F55,56),INDEX(properties!A$1:CB$87,'Fórmula'!H55,56),INDEX(properties!A$1:CB$87,'Fórmula'!J55,56))</f>
        <v>0.92</v>
      </c>
      <c r="FX55" s="119">
        <f t="array" ref="FX55">MIN(IF(INDEX(properties!A$1:CB$87,'Fórmula'!B55,56)=0,10^6,INDEX(properties!A$1:CB$87,'Fórmula'!B55,56)),IF(INDEX(properties!A$1:CB$87,'Fórmula'!D55,56)=0,10^6,INDEX(properties!A$1:CB$87,'Fórmula'!D55,56)),IF(INDEX(properties!A$1:CB$87,'Fórmula'!F55,56)=0,10^6,INDEX(properties!A$1:CB$87,'Fórmula'!F55,56)),IF(INDEX(properties!A$1:CB$87,'Fórmula'!H55,56)=0,10^6,INDEX(properties!A$1:CB$87,'Fórmula'!H55,56)),IF(INDEX(properties!A$1:CB$87,'Fórmula'!J55,56)=0,10^6,INDEX(properties!A$1:CB$87,'Fórmula'!J55,56)))</f>
        <v>0.19</v>
      </c>
      <c r="FY55" s="119">
        <f t="shared" si="30"/>
        <v>0.73</v>
      </c>
      <c r="FZ55" s="104">
        <f t="array" ref="FZ55">(('Fórmula'!C55)/('Fórmula'!C55+'Fórmula'!E55+'Fórmula'!G55+'Fórmula'!I55+'Fórmula'!K55))*(INDEX(properties!A$1:CB$87,'Fórmula'!B55,57))+(('Fórmula'!E55)/('Fórmula'!C55+'Fórmula'!E55+'Fórmula'!G55+'Fórmula'!I55+'Fórmula'!K55))*(INDEX(properties!A$1:CB$87,'Fórmula'!D55,57))+(('Fórmula'!G55)/('Fórmula'!C55+'Fórmula'!E55+'Fórmula'!G55+'Fórmula'!I55+'Fórmula'!K55))*(INDEX(properties!A$1:CB$87,'Fórmula'!F55,57))+(('Fórmula'!I55)/('Fórmula'!C55+'Fórmula'!E55+'Fórmula'!G55+'Fórmula'!I55+'Fórmula'!K55))*(INDEX(properties!A$1:CB$87,'Fórmula'!H55,57))+(('Fórmula'!K55)/('Fórmula'!C55+'Fórmula'!E55+'Fórmula'!G55+'Fórmula'!I55+'Fórmula'!K55))*(INDEX(properties!A$1:CB$87,'Fórmula'!J55,57))</f>
        <v>3.176105556</v>
      </c>
      <c r="GA55" s="104">
        <f t="array" ref="GA55">'Fórmula'!C55*(INDEX(properties!A$1:CB$87,'Fórmula'!B55,57))+'Fórmula'!E55*(INDEX(properties!A$1:CB$87,'Fórmula'!D55,57))+'Fórmula'!G55*(INDEX(properties!A$1:CB$87,'Fórmula'!F55,57))+'Fórmula'!I55*(INDEX(properties!A$1:CB$87,'Fórmula'!H55,57))+'Fórmula'!K55*(INDEX(properties!A$1:CB$87,'Fórmula'!J55,57))</f>
        <v>28.58495</v>
      </c>
      <c r="GB55" s="104">
        <f t="array" ref="GB55">VARP(IF(INDEX(properties!A$1:CB$87,'Fórmula'!B55,57)&lt;&gt;"",INDEX(properties!A$1:CB$87,'Fórmula'!B55,57)),IF(INDEX(properties!A$1:CB$87,'Fórmula'!D55,57)&lt;&gt;"",INDEX(properties!A$1:CB$87,'Fórmula'!D55,57)),IF(INDEX(properties!A$1:CB$87,'Fórmula'!F55,57)&lt;&gt;"",INDEX(properties!A$1:CB$87,'Fórmula'!F55,57)),IF(INDEX(properties!A$1:CB$87,'Fórmula'!H55,57)&lt;&gt;"",INDEX(properties!A$1:CB$87,'Fórmula'!H55,57)),IF(INDEX(properties!A$1:CB$87,'Fórmula'!J55,57)&lt;&gt;"",INDEX(properties!A$1:CB$87,'Fórmula'!J55,57)))</f>
        <v>11.95205009</v>
      </c>
      <c r="GC55" s="104">
        <f t="array" ref="GC55">MAX(INDEX(properties!A$1:CB$87,'Fórmula'!B55,57),INDEX(properties!A$1:CB$87,'Fórmula'!D55,57),INDEX(properties!A$1:CB$87,'Fórmula'!F55,57),INDEX(properties!A$1:CB$87,'Fórmula'!H55,57),INDEX(properties!A$1:CB$87,'Fórmula'!J55,57))</f>
        <v>7.75</v>
      </c>
      <c r="GD55" s="104">
        <f t="array" ref="GD55">MIN(IF(INDEX(properties!A$1:CB$87,'Fórmula'!B55,57)=0,10^6,INDEX(properties!A$1:CB$87,'Fórmula'!B55,57)),IF(INDEX(properties!A$1:CB$87,'Fórmula'!D55,57)=0,10^6,INDEX(properties!A$1:CB$87,'Fórmula'!D55,57)),IF(INDEX(properties!A$1:CB$87,'Fórmula'!F55,57)=0,10^6,INDEX(properties!A$1:CB$87,'Fórmula'!F55,57)),IF(INDEX(properties!A$1:CB$87,'Fórmula'!H55,57)=0,10^6,INDEX(properties!A$1:CB$87,'Fórmula'!H55,57)),IF(INDEX(properties!A$1:CB$87,'Fórmula'!J55,57)=0,10^6,INDEX(properties!A$1:CB$87,'Fórmula'!J55,57)))</f>
        <v>0.22259</v>
      </c>
      <c r="GE55" s="104">
        <f t="shared" si="31"/>
        <v>7.52741</v>
      </c>
      <c r="GF55" s="105">
        <f t="array" ref="GF55">(('Fórmula'!C55)/('Fórmula'!C55+'Fórmula'!E55+'Fórmula'!G55+'Fórmula'!I55+'Fórmula'!K55))*(INDEX(properties!A$1:CB$87,'Fórmula'!B55,60))+(('Fórmula'!E55)/('Fórmula'!C55+'Fórmula'!E55+'Fórmula'!G55+'Fórmula'!I55+'Fórmula'!K55))*(INDEX(properties!A$1:CB$87,'Fórmula'!D55,60))+(('Fórmula'!G55)/('Fórmula'!C55+'Fórmula'!E55+'Fórmula'!G55+'Fórmula'!I55+'Fórmula'!K55))*(INDEX(properties!A$1:CB$87,'Fórmula'!F55,60))+(('Fórmula'!I55)/('Fórmula'!C55+'Fórmula'!E55+'Fórmula'!G55+'Fórmula'!I55+'Fórmula'!K55))*(INDEX(properties!A$1:CB$87,'Fórmula'!H55,60))+(('Fórmula'!K55)/('Fórmula'!C55+'Fórmula'!E55+'Fórmula'!G55+'Fórmula'!I55+'Fórmula'!K55))*(INDEX(properties!A$1:CB$87,'Fórmula'!J55,60))</f>
        <v>17.94818889</v>
      </c>
      <c r="GG55" s="105">
        <f t="array" ref="GG55">'Fórmula'!C55*(INDEX(properties!A$1:CB$87,'Fórmula'!B55,60))+'Fórmula'!E55*(INDEX(properties!A$1:CB$87,'Fórmula'!D55,60))+'Fórmula'!G55*(INDEX(properties!A$1:CB$87,'Fórmula'!F55,60))+'Fórmula'!I55*(INDEX(properties!A$1:CB$87,'Fórmula'!H55,60))+'Fórmula'!K55*(INDEX(properties!A$1:CB$87,'Fórmula'!J55,60))</f>
        <v>161.5337</v>
      </c>
      <c r="GH55" s="105">
        <f t="array" ref="GH55">VARP(IF(INDEX(properties!A$1:CB$87,'Fórmula'!B55,60)&lt;&gt;"",INDEX(properties!A$1:CB$87,'Fórmula'!B55,60)),IF(INDEX(properties!A$1:CB$87,'Fórmula'!D55,60)&lt;&gt;"",INDEX(properties!A$1:CB$87,'Fórmula'!D55,60)),IF(INDEX(properties!A$1:CB$87,'Fórmula'!F55,60)&lt;&gt;"",INDEX(properties!A$1:CB$87,'Fórmula'!F55,60)),IF(INDEX(properties!A$1:CB$87,'Fórmula'!H55,60)&lt;&gt;"",INDEX(properties!A$1:CB$87,'Fórmula'!H55,60)),IF(INDEX(properties!A$1:CB$87,'Fórmula'!J55,60)&lt;&gt;"",INDEX(properties!A$1:CB$87,'Fórmula'!J55,60)))</f>
        <v>1920.069327</v>
      </c>
      <c r="GI55" s="105">
        <f t="array" ref="GI55">MAX(INDEX(properties!A$1:CB$87,'Fórmula'!B55,60),INDEX(properties!A$1:CB$87,'Fórmula'!D55,60),INDEX(properties!A$1:CB$87,'Fórmula'!F55,60),INDEX(properties!A$1:CB$87,'Fórmula'!H55,60),INDEX(properties!A$1:CB$87,'Fórmula'!J55,60))</f>
        <v>116</v>
      </c>
      <c r="GJ55" s="105">
        <f t="array" ref="GJ55">MIN(IF(INDEX(properties!A$1:CB$87,'Fórmula'!B55,60)=0,10^6,INDEX(properties!A$1:CB$87,'Fórmula'!B55,60)),IF(INDEX(properties!A$1:CB$87,'Fórmula'!D55,60)=0,10^6,INDEX(properties!A$1:CB$87,'Fórmula'!D55,60)),IF(INDEX(properties!A$1:CB$87,'Fórmula'!F55,60)=0,10^6,INDEX(properties!A$1:CB$87,'Fórmula'!F55,60)),IF(INDEX(properties!A$1:CB$87,'Fórmula'!H55,60)=0,10^6,INDEX(properties!A$1:CB$87,'Fórmula'!H55,60)),IF(INDEX(properties!A$1:CB$87,'Fórmula'!J55,60)=0,10^6,INDEX(properties!A$1:CB$87,'Fórmula'!J55,60)))</f>
        <v>0.02674</v>
      </c>
      <c r="GK55" s="105">
        <f t="shared" si="32"/>
        <v>115.97326</v>
      </c>
      <c r="GL55" s="106">
        <f t="array" ref="GL55">(('Fórmula'!C55)/('Fórmula'!C55+'Fórmula'!E55+'Fórmula'!G55+'Fórmula'!I55+'Fórmula'!K55))*(INDEX(properties!A$1:CB$87,'Fórmula'!B55,62))+(('Fórmula'!E55)/('Fórmula'!C55+'Fórmula'!E55+'Fórmula'!G55+'Fórmula'!I55+'Fórmula'!K55))*(INDEX(properties!A$1:CB$87,'Fórmula'!D55,62))+(('Fórmula'!G55)/('Fórmula'!C55+'Fórmula'!E55+'Fórmula'!G55+'Fórmula'!I55+'Fórmula'!K55))*(INDEX(properties!A$1:CB$87,'Fórmula'!F55,62))+(('Fórmula'!I55)/('Fórmula'!C55+'Fórmula'!E55+'Fórmula'!G55+'Fórmula'!I55+'Fórmula'!K55))*(INDEX(properties!A$1:CB$87,'Fórmula'!H55,62))+(('Fórmula'!K55)/('Fórmula'!C55+'Fórmula'!E55+'Fórmula'!G55+'Fórmula'!I55+'Fórmula'!K55))*(INDEX(properties!A$1:CB$87,'Fórmula'!J55,62))</f>
        <v>2.81</v>
      </c>
      <c r="GM55" s="106">
        <f t="array" ref="GM55">'Fórmula'!C55*(INDEX(properties!A$1:CB$87,'Fórmula'!B55,62))+'Fórmula'!E55*(INDEX(properties!A$1:CB$87,'Fórmula'!D55,62))+'Fórmula'!G55*(INDEX(properties!A$1:CB$87,'Fórmula'!F55,62))+'Fórmula'!I55*(INDEX(properties!A$1:CB$87,'Fórmula'!H55,62))+'Fórmula'!K55*(INDEX(properties!A$1:CB$87,'Fórmula'!J55,62))</f>
        <v>25.29</v>
      </c>
      <c r="GN55" s="106">
        <f t="array" ref="GN55">VARP(IF(INDEX(properties!A$1:CB$87,'Fórmula'!B55,62)&lt;&gt;"",INDEX(properties!A$1:CB$87,'Fórmula'!B55,62)),IF(INDEX(properties!A$1:CB$87,'Fórmula'!D55,62)&lt;&gt;"",INDEX(properties!A$1:CB$87,'Fórmula'!D55,62)),IF(INDEX(properties!A$1:CB$87,'Fórmula'!F55,62)&lt;&gt;"",INDEX(properties!A$1:CB$87,'Fórmula'!F55,62)),IF(INDEX(properties!A$1:CB$87,'Fórmula'!H55,62)&lt;&gt;"",INDEX(properties!A$1:CB$87,'Fórmula'!H55,62)),IF(INDEX(properties!A$1:CB$87,'Fórmula'!J55,62)&lt;&gt;"",INDEX(properties!A$1:CB$87,'Fórmula'!J55,62)))</f>
        <v>2.178936</v>
      </c>
      <c r="GO55" s="106">
        <f t="array" ref="GO55">MAX(INDEX(properties!A$1:CB$87,'Fórmula'!B55,62),INDEX(properties!A$1:CB$87,'Fórmula'!D55,62),INDEX(properties!A$1:CB$87,'Fórmula'!F55,62),INDEX(properties!A$1:CB$87,'Fórmula'!H55,62),INDEX(properties!A$1:CB$87,'Fórmula'!J55,62))</f>
        <v>4.47</v>
      </c>
      <c r="GP55" s="106">
        <f t="array" ref="GP55">MIN(IF(INDEX(properties!A$1:CB$87,'Fórmula'!B55,62)=0,10^6,INDEX(properties!A$1:CB$87,'Fórmula'!B55,62)),IF(INDEX(properties!A$1:CB$87,'Fórmula'!D55,62)=0,10^6,INDEX(properties!A$1:CB$87,'Fórmula'!D55,62)),IF(INDEX(properties!A$1:CB$87,'Fórmula'!F55,62)=0,10^6,INDEX(properties!A$1:CB$87,'Fórmula'!F55,62)),IF(INDEX(properties!A$1:CB$87,'Fórmula'!H55,62)=0,10^6,INDEX(properties!A$1:CB$87,'Fórmula'!H55,62)),IF(INDEX(properties!A$1:CB$87,'Fórmula'!J55,62)=0,10^6,INDEX(properties!A$1:CB$87,'Fórmula'!J55,62)))</f>
        <v>1.35</v>
      </c>
      <c r="GQ55" s="106">
        <f t="shared" si="33"/>
        <v>3.12</v>
      </c>
      <c r="GR55" s="106">
        <f>'Fórmula'!Q55</f>
        <v>140</v>
      </c>
      <c r="GS55" s="107">
        <f>'Fórmula'!P55</f>
        <v>2</v>
      </c>
      <c r="GT55" s="113">
        <f>'Fórmula'!O55</f>
        <v>6.72</v>
      </c>
      <c r="GU55" s="114">
        <f>AVERAGE('Fórmula'!R55/'Fórmula'!S55,'Fórmula'!S55/'Fórmula'!T55,'Fórmula'!T55/'Fórmula'!R55)</f>
        <v>1.091408908</v>
      </c>
      <c r="GV55" s="125">
        <f>'Fórmula'!U55</f>
        <v>553.76</v>
      </c>
      <c r="GW55" s="106">
        <f>'Fórmula'!N55</f>
        <v>0.06</v>
      </c>
    </row>
    <row r="56" ht="14.25" customHeight="1">
      <c r="A56" s="99" t="str">
        <f>'Fórmula'!A56</f>
        <v>CaMoO4</v>
      </c>
      <c r="B56" s="101">
        <f t="array" ref="B56">(('Fórmula'!C56)/('Fórmula'!C56+'Fórmula'!E56+'Fórmula'!G56+'Fórmula'!I56+'Fórmula'!K56))*(INDEX(properties!A$1:CB$87,'Fórmula'!B56,3))+(('Fórmula'!E56)/('Fórmula'!C56+'Fórmula'!E56+'Fórmula'!G56+'Fórmula'!I56+'Fórmula'!K56))*(INDEX(properties!A$1:CB$87,'Fórmula'!D56,3))+(('Fórmula'!G56)/('Fórmula'!C56+'Fórmula'!E56+'Fórmula'!G56+'Fórmula'!I56+'Fórmula'!K56))*(INDEX(properties!A$1:CB$87,'Fórmula'!F56,3))+(('Fórmula'!I56)/('Fórmula'!C56+'Fórmula'!E56+'Fórmula'!G56+'Fórmula'!I56+'Fórmula'!K56))*(INDEX(properties!A$1:CB$87,'Fórmula'!H56,3))+(('Fórmula'!K56)/('Fórmula'!C56+'Fórmula'!E56+'Fórmula'!G56+'Fórmula'!I56+'Fórmula'!K56))*(INDEX(properties!A$1:CB$87,'Fórmula'!J56,3))</f>
        <v>33.3376</v>
      </c>
      <c r="C56" s="101">
        <f t="array" ref="C56">'Fórmula'!C56*(INDEX(properties!A$1:CB$87,'Fórmula'!B56,3))+'Fórmula'!E56*(INDEX(properties!A$1:CB$87,'Fórmula'!D56,3))+'Fórmula'!G56*(INDEX(properties!A$1:CB$87,'Fórmula'!F56,3))+'Fórmula'!I56*(INDEX(properties!A$1:CB$87,'Fórmula'!H56,3))+'Fórmula'!K56*(INDEX(properties!A$1:CB$87,'Fórmula'!J56,3))</f>
        <v>200.0256</v>
      </c>
      <c r="D56" s="101">
        <f t="array" ref="D56">VARP(IF(INDEX(properties!A$1:CB$87,'Fórmula'!B56,3)&lt;&gt;"",INDEX(properties!A$1:CB$87,'Fórmula'!B56,3)),IF(INDEX(properties!A$1:CB$87,'Fórmula'!D56,3)&lt;&gt;"",INDEX(properties!A$1:CB$87,'Fórmula'!D56,3)),IF(INDEX(properties!A$1:CB$87,'Fórmula'!F56,3)&lt;&gt;"",INDEX(properties!A$1:CB$87,'Fórmula'!F56,3)),IF(INDEX(properties!A$1:CB$87,'Fórmula'!H56,3)&lt;&gt;"",INDEX(properties!A$1:CB$87,'Fórmula'!H56,3)),IF(INDEX(properties!A$1:CB$87,'Fórmula'!J56,3)&lt;&gt;"",INDEX(properties!A$1:CB$87,'Fórmula'!J56,3)))</f>
        <v>1289.232663</v>
      </c>
      <c r="E56" s="101">
        <f t="array" ref="E56">MAX(INDEX(properties!A$1:CB$87,'Fórmula'!B56,3),INDEX(properties!A$1:CB$87,'Fórmula'!D56,3),INDEX(properties!A$1:CB$87,'Fórmula'!F56,3),INDEX(properties!A$1:CB$87,'Fórmula'!H56,3),INDEX(properties!A$1:CB$87,'Fórmula'!J56,3))</f>
        <v>95.95</v>
      </c>
      <c r="F56" s="101">
        <f t="array" ref="F56">MIN(IF(INDEX(properties!A$1:CB$87,'Fórmula'!B56,3)=0,10^6,INDEX(properties!A$1:CB$87,'Fórmula'!B56,3)),IF(INDEX(properties!A$1:CB$87,'Fórmula'!D56,3)=0,10^6,INDEX(properties!A$1:CB$87,'Fórmula'!D56,3)),IF(INDEX(properties!A$1:CB$87,'Fórmula'!F56,3)=0,10^6,INDEX(properties!A$1:CB$87,'Fórmula'!F56,3)),IF(INDEX(properties!A$1:CB$87,'Fórmula'!H56,3)=0,10^6,INDEX(properties!A$1:CB$87,'Fórmula'!H56,3)),IF(INDEX(properties!A$1:CB$87,'Fórmula'!J56,3)=0,10^6,INDEX(properties!A$1:CB$87,'Fórmula'!J56,3)))</f>
        <v>15.9994</v>
      </c>
      <c r="G56" s="101">
        <f t="shared" si="1"/>
        <v>79.9506</v>
      </c>
      <c r="H56" s="102">
        <f t="array" ref="H56">(('Fórmula'!C56)/('Fórmula'!C56+'Fórmula'!E56+'Fórmula'!G56+'Fórmula'!I56+'Fórmula'!K56))*(INDEX(properties!A$1:CB$87,'Fórmula'!B56,4))+(('Fórmula'!E56)/('Fórmula'!C56+'Fórmula'!E56+'Fórmula'!G56+'Fórmula'!I56+'Fórmula'!K56))*(INDEX(properties!A$1:CB$87,'Fórmula'!D56,4))+(('Fórmula'!G56)/('Fórmula'!C56+'Fórmula'!E56+'Fórmula'!G56+'Fórmula'!I56+'Fórmula'!K56))*(INDEX(properties!A$1:CB$87,'Fórmula'!F56,4))+(('Fórmula'!I56)/('Fórmula'!C56+'Fórmula'!E56+'Fórmula'!G56+'Fórmula'!I56+'Fórmula'!K56))*(INDEX(properties!A$1:CB$87,'Fórmula'!H56,4))+(('Fórmula'!K56)/('Fórmula'!C56+'Fórmula'!E56+'Fórmula'!G56+'Fórmula'!I56+'Fórmula'!K56))*(INDEX(properties!A$1:CB$87,'Fórmula'!J56,4))</f>
        <v>15.66666667</v>
      </c>
      <c r="I56" s="102">
        <f t="array" ref="I56">'Fórmula'!C56*(INDEX(properties!A$1:CB$87,'Fórmula'!B56,4))+'Fórmula'!E56*(INDEX(properties!A$1:CB$87,'Fórmula'!D56,4))+'Fórmula'!G56*(INDEX(properties!A$1:CB$87,'Fórmula'!F56,4))+'Fórmula'!I56*(INDEX(properties!A$1:CB$87,'Fórmula'!H56,4))+'Fórmula'!K56*(INDEX(properties!A$1:CB$87,'Fórmula'!J56,4))</f>
        <v>94</v>
      </c>
      <c r="J56" s="102">
        <f t="array" ref="J56">VARP(IF(INDEX(properties!A$1:CB$87,'Fórmula'!B56,4)&lt;&gt;"",INDEX(properties!A$1:CB$87,'Fórmula'!B56,4)),IF(INDEX(properties!A$1:CB$87,'Fórmula'!D56,4)&lt;&gt;"",INDEX(properties!A$1:CB$87,'Fórmula'!D56,4)),IF(INDEX(properties!A$1:CB$87,'Fórmula'!F56,4)&lt;&gt;"",INDEX(properties!A$1:CB$87,'Fórmula'!F56,4)),IF(INDEX(properties!A$1:CB$87,'Fórmula'!H56,4)&lt;&gt;"",INDEX(properties!A$1:CB$87,'Fórmula'!H56,4)),IF(INDEX(properties!A$1:CB$87,'Fórmula'!J56,4)&lt;&gt;"",INDEX(properties!A$1:CB$87,'Fórmula'!J56,4)))</f>
        <v>249.6</v>
      </c>
      <c r="K56" s="102">
        <f t="array" ref="K56">MAX(INDEX(properties!A$1:CB$87,'Fórmula'!B56,4),INDEX(properties!A$1:CB$87,'Fórmula'!D56,4),INDEX(properties!A$1:CB$87,'Fórmula'!F56,4),INDEX(properties!A$1:CB$87,'Fórmula'!H56,4),INDEX(properties!A$1:CB$87,'Fórmula'!J56,4))</f>
        <v>42</v>
      </c>
      <c r="L56" s="102">
        <f t="array" ref="L56">MIN(IF(INDEX(properties!A$1:CB$87,'Fórmula'!B56,4)=0,10^6,INDEX(properties!A$1:CB$87,'Fórmula'!B56,4)),IF(INDEX(properties!A$1:CB$87,'Fórmula'!D56,4)=0,10^6,INDEX(properties!A$1:CB$87,'Fórmula'!D56,4)),IF(INDEX(properties!A$1:CB$87,'Fórmula'!F56,4)=0,10^6,INDEX(properties!A$1:CB$87,'Fórmula'!F56,4)),IF(INDEX(properties!A$1:CB$87,'Fórmula'!H56,4)=0,10^6,INDEX(properties!A$1:CB$87,'Fórmula'!H56,4)),IF(INDEX(properties!A$1:CB$87,'Fórmula'!J56,4)=0,10^6,INDEX(properties!A$1:CB$87,'Fórmula'!J56,4)))</f>
        <v>8</v>
      </c>
      <c r="M56" s="102">
        <f t="shared" si="2"/>
        <v>34</v>
      </c>
      <c r="N56" s="103">
        <f t="array" ref="N56">(('Fórmula'!C56)/('Fórmula'!C56+'Fórmula'!E56+'Fórmula'!G56+'Fórmula'!I56+'Fórmula'!K56))*(INDEX(properties!A$1:CB$87,'Fórmula'!B56,5))+(('Fórmula'!E56)/('Fórmula'!C56+'Fórmula'!E56+'Fórmula'!G56+'Fórmula'!I56+'Fórmula'!K56))*(INDEX(properties!A$1:CB$87,'Fórmula'!D56,5))+(('Fórmula'!G56)/('Fórmula'!C56+'Fórmula'!E56+'Fórmula'!G56+'Fórmula'!I56+'Fórmula'!K56))*(INDEX(properties!A$1:CB$87,'Fórmula'!F56,5))+(('Fórmula'!I56)/('Fórmula'!C56+'Fórmula'!E56+'Fórmula'!G56+'Fórmula'!I56+'Fórmula'!K56))*(INDEX(properties!A$1:CB$87,'Fórmula'!H56,5))+(('Fórmula'!K56)/('Fórmula'!C56+'Fórmula'!E56+'Fórmula'!G56+'Fórmula'!I56+'Fórmula'!K56))*(INDEX(properties!A$1:CB$87,'Fórmula'!J56,5))</f>
        <v>2.833333333</v>
      </c>
      <c r="O56" s="103">
        <f t="array" ref="O56">'Fórmula'!C56*(INDEX(properties!A$1:CB$87,'Fórmula'!B56,5))+'Fórmula'!E56*(INDEX(properties!A$1:CB$87,'Fórmula'!D56,5))+'Fórmula'!G56*(INDEX(properties!A$1:CB$87,'Fórmula'!F56,5))+'Fórmula'!I56*(INDEX(properties!A$1:CB$87,'Fórmula'!H56,5))+'Fórmula'!K56*(INDEX(properties!A$1:CB$87,'Fórmula'!J56,5))</f>
        <v>17</v>
      </c>
      <c r="P56" s="103">
        <f t="array" ref="P56">VARP(IF(INDEX(properties!A$1:CB$87,'Fórmula'!B56,5)&lt;&gt;"",INDEX(properties!A$1:CB$87,'Fórmula'!B56,5)),IF(INDEX(properties!A$1:CB$87,'Fórmula'!D56,5)&lt;&gt;"",INDEX(properties!A$1:CB$87,'Fórmula'!D56,5)),IF(INDEX(properties!A$1:CB$87,'Fórmula'!F56,5)&lt;&gt;"",INDEX(properties!A$1:CB$87,'Fórmula'!F56,5)),IF(INDEX(properties!A$1:CB$87,'Fórmula'!H56,5)&lt;&gt;"",INDEX(properties!A$1:CB$87,'Fórmula'!H56,5)),IF(INDEX(properties!A$1:CB$87,'Fórmula'!J56,5)&lt;&gt;"",INDEX(properties!A$1:CB$87,'Fórmula'!J56,5)))</f>
        <v>4.16</v>
      </c>
      <c r="Q56" s="103">
        <f t="array" ref="Q56">MAX(INDEX(properties!A$1:CB$87,'Fórmula'!B56,5),INDEX(properties!A$1:CB$87,'Fórmula'!D56,5),INDEX(properties!A$1:CB$87,'Fórmula'!F56,5),INDEX(properties!A$1:CB$87,'Fórmula'!H56,5),INDEX(properties!A$1:CB$87,'Fórmula'!J56,5))</f>
        <v>5</v>
      </c>
      <c r="R56" s="103">
        <f t="array" ref="R56">MIN(IF(INDEX(properties!A$1:CB$87,'Fórmula'!B56,5)=0,10^6,INDEX(properties!A$1:CB$87,'Fórmula'!B56,5)),IF(INDEX(properties!A$1:CB$87,'Fórmula'!D56,5)=0,10^6,INDEX(properties!A$1:CB$87,'Fórmula'!D56,5)),IF(INDEX(properties!A$1:CB$87,'Fórmula'!F56,5)=0,10^6,INDEX(properties!A$1:CB$87,'Fórmula'!F56,5)),IF(INDEX(properties!A$1:CB$87,'Fórmula'!H56,5)=0,10^6,INDEX(properties!A$1:CB$87,'Fórmula'!H56,5)),IF(INDEX(properties!A$1:CB$87,'Fórmula'!J56,5)=0,10^6,INDEX(properties!A$1:CB$87,'Fórmula'!J56,5)))</f>
        <v>2</v>
      </c>
      <c r="S56" s="103">
        <f t="shared" si="3"/>
        <v>3</v>
      </c>
      <c r="T56" s="104">
        <f t="array" ref="T56">(('Fórmula'!C56)/('Fórmula'!C56+'Fórmula'!E56+'Fórmula'!G56+'Fórmula'!I56+'Fórmula'!K56))*(INDEX(properties!A$1:CB$87,'Fórmula'!B56,6))+(('Fórmula'!E56)/('Fórmula'!C56+'Fórmula'!E56+'Fórmula'!G56+'Fórmula'!I56+'Fórmula'!K56))*(INDEX(properties!A$1:CB$87,'Fórmula'!D56,6))+(('Fórmula'!G56)/('Fórmula'!C56+'Fórmula'!E56+'Fórmula'!G56+'Fórmula'!I56+'Fórmula'!K56))*(INDEX(properties!A$1:CB$87,'Fórmula'!F56,6))+(('Fórmula'!I56)/('Fórmula'!C56+'Fórmula'!E56+'Fórmula'!G56+'Fórmula'!I56+'Fórmula'!K56))*(INDEX(properties!A$1:CB$87,'Fórmula'!H56,6))+(('Fórmula'!K56)/('Fórmula'!C56+'Fórmula'!E56+'Fórmula'!G56+'Fórmula'!I56+'Fórmula'!K56))*(INDEX(properties!A$1:CB$87,'Fórmula'!J56,6))</f>
        <v>12</v>
      </c>
      <c r="U56" s="104">
        <f t="array" ref="U56">'Fórmula'!C56*(INDEX(properties!A$1:CB$87,'Fórmula'!B56,6))+'Fórmula'!E56*(INDEX(properties!A$1:CB$87,'Fórmula'!D56,6))+'Fórmula'!G56*(INDEX(properties!A$1:CB$87,'Fórmula'!F56,6))+'Fórmula'!I56*(INDEX(properties!A$1:CB$87,'Fórmula'!H56,6))+'Fórmula'!K56*(INDEX(properties!A$1:CB$87,'Fórmula'!J56,6))</f>
        <v>72</v>
      </c>
      <c r="V56" s="103">
        <f t="array" ref="V56">VARP(IF(INDEX(properties!A$1:CB$87,'Fórmula'!B56,6)&lt;&gt;"",INDEX(properties!A$1:CB$87,'Fórmula'!B56,6)),IF(INDEX(properties!A$1:CB$87,'Fórmula'!D56,6)&lt;&gt;"",INDEX(properties!A$1:CB$87,'Fórmula'!D56,6)),IF(INDEX(properties!A$1:CB$87,'Fórmula'!F56,6)&lt;&gt;"",INDEX(properties!A$1:CB$87,'Fórmula'!F56,6)),IF(INDEX(properties!A$1:CB$87,'Fórmula'!H56,6)&lt;&gt;"",INDEX(properties!A$1:CB$87,'Fórmula'!H56,6)),IF(INDEX(properties!A$1:CB$87,'Fórmula'!J56,6)&lt;&gt;"",INDEX(properties!A$1:CB$87,'Fórmula'!J56,6)))</f>
        <v>36.16</v>
      </c>
      <c r="W56" s="104">
        <f t="array" ref="W56">MAX(INDEX(properties!A$1:CB$87,'Fórmula'!B56,6),INDEX(properties!A$1:CB$87,'Fórmula'!D56,6),INDEX(properties!A$1:CB$87,'Fórmula'!F56,6),INDEX(properties!A$1:CB$87,'Fórmula'!H56,4),INDEX(properties!A$1:CB$87,'Fórmula'!J56,6))</f>
        <v>16</v>
      </c>
      <c r="X56" s="104">
        <f t="array" ref="X56">MIN(IF(INDEX(properties!A$1:CB$87,'Fórmula'!B56,6)=0,10^6,INDEX(properties!A$1:CB$87,'Fórmula'!B56,6)),IF(INDEX(properties!A$1:CB$87,'Fórmula'!D56,6)=0,10^6,INDEX(properties!A$1:CB$87,'Fórmula'!D56,6)),IF(INDEX(properties!A$1:CB$87,'Fórmula'!F56,6)=0,10^6,INDEX(properties!A$1:CB$87,'Fórmula'!F56,6)),IF(INDEX(properties!A$1:CB$87,'Fórmula'!H56,6)=0,10^6,INDEX(properties!A$1:CB$87,'Fórmula'!H56,6)),IF(INDEX(properties!A$1:CB$87,'Fórmula'!J56,6)=0,10^6,INDEX(properties!A$1:CB$87,'Fórmula'!J56,6)))</f>
        <v>2</v>
      </c>
      <c r="Y56" s="104">
        <f t="shared" si="4"/>
        <v>14</v>
      </c>
      <c r="Z56" s="105">
        <f t="array" ref="Z56">(('Fórmula'!C56)/('Fórmula'!C56+'Fórmula'!E56+'Fórmula'!G56+'Fórmula'!I56+'Fórmula'!K56))*(INDEX(properties!A$1:CB$87,'Fórmula'!B56,9))+(('Fórmula'!E56)/('Fórmula'!C56+'Fórmula'!E56+'Fórmula'!G56+'Fórmula'!I56+'Fórmula'!K56))*(INDEX(properties!A$1:CB$87,'Fórmula'!D56,9))+(('Fórmula'!G56)/('Fórmula'!C56+'Fórmula'!E56+'Fórmula'!G56+'Fórmula'!I56+'Fórmula'!K56))*(INDEX(properties!A$1:CB$87,'Fórmula'!F56,9))+(('Fórmula'!I56)/('Fórmula'!C56+'Fórmula'!E56+'Fórmula'!G56+'Fórmula'!I56+'Fórmula'!K56))*(INDEX(properties!A$1:CB$87,'Fórmula'!H56,9))+(('Fórmula'!K56)/('Fórmula'!C56+'Fórmula'!E56+'Fórmula'!G56+'Fórmula'!I56+'Fórmula'!K56))*(INDEX(properties!A$1:CB$87,'Fórmula'!J56,9))</f>
        <v>67.5</v>
      </c>
      <c r="AA56" s="105">
        <f t="array" ref="AA56">'Fórmula'!C56*(INDEX(properties!A$1:CB$87,'Fórmula'!B56,9))+'Fórmula'!E56*(INDEX(properties!A$1:CB$87,'Fórmula'!D56,9))+'Fórmula'!G56*(INDEX(properties!A$1:CB$87,'Fórmula'!F56,9))+'Fórmula'!I56*(INDEX(properties!A$1:CB$87,'Fórmula'!H56,9))+'Fórmula'!K56*(INDEX(properties!A$1:CB$87,'Fórmula'!J56,9))</f>
        <v>405</v>
      </c>
      <c r="AB56" s="105">
        <f t="array" ref="AB56">VARP(IF(INDEX(properties!A$1:CB$87,'Fórmula'!B56,9)&lt;&gt;"",INDEX(properties!A$1:CB$87,'Fórmula'!B56,9)),IF(INDEX(properties!A$1:CB$87,'Fórmula'!D56,9)&lt;&gt;"",INDEX(properties!A$1:CB$87,'Fórmula'!D56,9)),IF(INDEX(properties!A$1:CB$87,'Fórmula'!F56,9)&lt;&gt;"",INDEX(properties!A$1:CB$87,'Fórmula'!F56,9)),IF(INDEX(properties!A$1:CB$87,'Fórmula'!H56,9)&lt;&gt;"",INDEX(properties!A$1:CB$87,'Fórmula'!H56,9)),IF(INDEX(properties!A$1:CB$87,'Fórmula'!J56,9)&lt;&gt;"",INDEX(properties!A$1:CB$87,'Fórmula'!J56,9)))</f>
        <v>1194.16</v>
      </c>
      <c r="AC56" s="105">
        <f t="array" ref="AC56">MAX(INDEX(properties!A$1:CB$87,'Fórmula'!B56,9),INDEX(properties!A$1:CB$87,'Fórmula'!D56,9),INDEX(properties!A$1:CB$87,'Fórmula'!F56,9),INDEX(properties!A$1:CB$87,'Fórmula'!H56,9),INDEX(properties!A$1:CB$87,'Fórmula'!J56,9))</f>
        <v>87</v>
      </c>
      <c r="AD56" s="105">
        <f t="array" ref="AD56">MIN(IF(INDEX(properties!A$1:CB$87,'Fórmula'!B56,9)=0,10^6,INDEX(properties!A$1:CB$87,'Fórmula'!B56,9)),IF(INDEX(properties!A$1:CB$87,'Fórmula'!D56,9)=0,10^6,INDEX(properties!A$1:CB$87,'Fórmula'!D56,9)),IF(INDEX(properties!A$1:CB$87,'Fórmula'!F56,9)=0,10^6,INDEX(properties!A$1:CB$87,'Fórmula'!F56,9)),IF(INDEX(properties!A$1:CB$87,'Fórmula'!H56,9)=0,10^6,INDEX(properties!A$1:CB$87,'Fórmula'!H56,9)),IF(INDEX(properties!A$1:CB$87,'Fórmula'!J56,9)=0,10^6,INDEX(properties!A$1:CB$87,'Fórmula'!J56,9)))</f>
        <v>7</v>
      </c>
      <c r="AE56" s="105">
        <f t="shared" si="5"/>
        <v>80</v>
      </c>
      <c r="AF56" s="106">
        <f t="array" ref="AF56">(('Fórmula'!C56)/('Fórmula'!C56+'Fórmula'!E56+'Fórmula'!G56+'Fórmula'!I56+'Fórmula'!K56))*(INDEX(properties!A$1:CB$87,'Fórmula'!B56,10))+(('Fórmula'!E56)/('Fórmula'!C56+'Fórmula'!E56+'Fórmula'!G56+'Fórmula'!I56+'Fórmula'!K56))*(INDEX(properties!A$1:CB$87,'Fórmula'!D56,10))+(('Fórmula'!G56)/('Fórmula'!C56+'Fórmula'!E56+'Fórmula'!G56+'Fórmula'!I56+'Fórmula'!K56))*(INDEX(properties!A$1:CB$87,'Fórmula'!F56,10))+(('Fórmula'!I56)/('Fórmula'!C56+'Fórmula'!E56+'Fórmula'!G56+'Fórmula'!I56+'Fórmula'!K56))*(INDEX(properties!A$1:CB$87,'Fórmula'!H56,10))+(('Fórmula'!K56)/('Fórmula'!C56+'Fórmula'!E56+'Fórmula'!G56+'Fórmula'!I56+'Fórmula'!K56))*(INDEX(properties!A$1:CB$87,'Fórmula'!J56,10))</f>
        <v>5.666666667</v>
      </c>
      <c r="AG56" s="106">
        <f t="array" ref="AG56">'Fórmula'!C56*(INDEX(properties!A$1:CB$87,'Fórmula'!B56,10))+'Fórmula'!E56*(INDEX(properties!A$1:CB$87,'Fórmula'!D56,10))+'Fórmula'!G56*(INDEX(properties!A$1:CB$87,'Fórmula'!F56,10))+'Fórmula'!I56*(INDEX(properties!A$1:CB$87,'Fórmula'!H56,10))+'Fórmula'!K56*(INDEX(properties!A$1:CB$87,'Fórmula'!J56,10))</f>
        <v>34</v>
      </c>
      <c r="AH56" s="106">
        <f t="array" ref="AH56">VARP(IF(INDEX(properties!A$1:CB$87,'Fórmula'!B56,10)&lt;&gt;"",INDEX(properties!A$1:CB$87,'Fórmula'!B56,10)),IF(INDEX(properties!A$1:CB$87,'Fórmula'!D56,10)&lt;&gt;"",INDEX(properties!A$1:CB$87,'Fórmula'!D56,10)),IF(INDEX(properties!A$1:CB$87,'Fórmula'!F56,10)&lt;&gt;"",INDEX(properties!A$1:CB$87,'Fórmula'!F56,10)),IF(INDEX(properties!A$1:CB$87,'Fórmula'!H56,10)&lt;&gt;"",INDEX(properties!A$1:CB$87,'Fórmula'!H56,10)),IF(INDEX(properties!A$1:CB$87,'Fórmula'!J56,10)&lt;&gt;"",INDEX(properties!A$1:CB$87,'Fórmula'!J56,10)))</f>
        <v>7.04</v>
      </c>
      <c r="AI56" s="106">
        <f t="array" ref="AI56">MAX(INDEX(properties!A$1:CB$87,'Fórmula'!B56,10),INDEX(properties!A$1:CB$87,'Fórmula'!D56,10),INDEX(properties!A$1:CB$87,'Fórmula'!F56,10),INDEX(properties!A$1:CB$87,'Fórmula'!H56,10),INDEX(properties!A$1:CB$87,'Fórmula'!J56,10))</f>
        <v>7</v>
      </c>
      <c r="AJ56" s="106">
        <f t="array" ref="AJ56">MIN(IF(INDEX(properties!A$1:CB$87,'Fórmula'!B56,10)=0,10^6,INDEX(properties!A$1:CB$87,'Fórmula'!B56,10)),IF(INDEX(properties!A$1:CB$87,'Fórmula'!D56,10)=0,10^6,INDEX(properties!A$1:CB$87,'Fórmula'!D56,10)),IF(INDEX(properties!A$1:CB$87,'Fórmula'!F56,10)=0,10^6,INDEX(properties!A$1:CB$87,'Fórmula'!F56,10)),IF(INDEX(properties!A$1:CB$87,'Fórmula'!H56,10)=0,10^6,INDEX(properties!A$1:CB$87,'Fórmula'!H56,10)),IF(INDEX(properties!A$1:CB$87,'Fórmula'!J56,10)=0,10^6,INDEX(properties!A$1:CB$87,'Fórmula'!J56,10)))</f>
        <v>2</v>
      </c>
      <c r="AK56" s="106">
        <f t="shared" si="6"/>
        <v>5</v>
      </c>
      <c r="AL56" s="107">
        <f t="array" ref="AL56">(('Fórmula'!C56)/('Fórmula'!C56+'Fórmula'!E56+'Fórmula'!G56+'Fórmula'!I56+'Fórmula'!K56))*(INDEX(properties!A$1:CB$87,'Fórmula'!B56,11))+(('Fórmula'!E56)/('Fórmula'!C56+'Fórmula'!E56+'Fórmula'!G56+'Fórmula'!I56+'Fórmula'!K56))*(INDEX(properties!A$1:CB$87,'Fórmula'!D56,11))+(('Fórmula'!G56)/('Fórmula'!C56+'Fórmula'!E56+'Fórmula'!G56+'Fórmula'!I56+'Fórmula'!K56))*(INDEX(properties!A$1:CB$87,'Fórmula'!F56,11))+(('Fórmula'!I56)/('Fórmula'!C56+'Fórmula'!E56+'Fórmula'!G56+'Fórmula'!I56+'Fórmula'!K56))*(INDEX(properties!A$1:CB$87,'Fórmula'!H56,11))+(('Fórmula'!K56)/('Fórmula'!C56+'Fórmula'!E56+'Fórmula'!G56+'Fórmula'!I56+'Fórmula'!K56))*(INDEX(properties!A$1:CB$87,'Fórmula'!J56,11))</f>
        <v>1.833333333</v>
      </c>
      <c r="AM56" s="107">
        <f t="array" ref="AM56">'Fórmula'!C56*(INDEX(properties!A$1:CB$87,'Fórmula'!B56,11))+'Fórmula'!E56*(INDEX(properties!A$1:CB$87,'Fórmula'!D56,11))+'Fórmula'!G56*(INDEX(properties!A$1:CB$87,'Fórmula'!F56,11))+'Fórmula'!I56*(INDEX(properties!A$1:CB$87,'Fórmula'!H56,11))+'Fórmula'!K56*(INDEX(properties!A$1:CB$87,'Fórmula'!J56,11))</f>
        <v>11</v>
      </c>
      <c r="AN56" s="107">
        <f t="array" ref="AN56">VARP(IF(INDEX(properties!A$1:CB$87,'Fórmula'!B56,11)&lt;&gt;"",INDEX(properties!A$1:CB$87,'Fórmula'!B56,11)),IF(INDEX(properties!A$1:CB$87,'Fórmula'!D56,11)&lt;&gt;"",INDEX(properties!A$1:CB$87,'Fórmula'!D56,11)),IF(INDEX(properties!A$1:CB$87,'Fórmula'!F56,11)&lt;&gt;"",INDEX(properties!A$1:CB$87,'Fórmula'!F56,11)),IF(INDEX(properties!A$1:CB$87,'Fórmula'!H56,11)&lt;&gt;"",INDEX(properties!A$1:CB$87,'Fórmula'!H56,11)),IF(INDEX(properties!A$1:CB$87,'Fórmula'!J56,11)&lt;&gt;"",INDEX(properties!A$1:CB$87,'Fórmula'!J56,11)))</f>
        <v>0.8</v>
      </c>
      <c r="AO56" s="107">
        <f t="array" ref="AO56">MAX(INDEX(properties!A$1:CB$87,'Fórmula'!B56,11),INDEX(properties!A$1:CB$87,'Fórmula'!D56,11),INDEX(properties!A$1:CB$87,'Fórmula'!F56,11),INDEX(properties!A$1:CB$87,'Fórmula'!H56,11),INDEX(properties!A$1:CB$87,'Fórmula'!J56,11))</f>
        <v>2</v>
      </c>
      <c r="AP56" s="107">
        <f t="array" ref="AP56">MIN(IF('Fórmula'!B56=87,10^6,INDEX(properties!A$1:CB$87,'Fórmula'!B56,11)),IF(('Fórmula'!D56)=87,10^6,INDEX(properties!A$1:CB$87,'Fórmula'!D56,11)),IF(('Fórmula'!F56)=87,10^6,INDEX(properties!A$1:CB$87,'Fórmula'!F56,11)),IF(('Fórmula'!H56)=87,10^6,INDEX(properties!A$1:CB$87,'Fórmula'!H56,11)),IF('Fórmula'!J56=87,10^6,INDEX(properties!A$1:CB$87,'Fórmula'!J56,11)))</f>
        <v>1</v>
      </c>
      <c r="AQ56" s="107">
        <f t="shared" si="7"/>
        <v>1</v>
      </c>
      <c r="AR56" s="108">
        <f t="array" ref="AR56">(('Fórmula'!C56)/('Fórmula'!C56+'Fórmula'!E56+'Fórmula'!G56+'Fórmula'!I56+'Fórmula'!K56))*(INDEX(properties!A$1:CB$87,'Fórmula'!B56,12))+(('Fórmula'!E56)/('Fórmula'!C56+'Fórmula'!E56+'Fórmula'!G56+'Fórmula'!I56+'Fórmula'!K56))*(INDEX(properties!A$1:CB$87,'Fórmula'!D56,12))+(('Fórmula'!G56)/('Fórmula'!C56+'Fórmula'!E56+'Fórmula'!G56+'Fórmula'!I56+'Fórmula'!K56))*(INDEX(properties!A$1:CB$87,'Fórmula'!F56,12))+(('Fórmula'!I56)/('Fórmula'!C56+'Fórmula'!E56+'Fórmula'!G56+'Fórmula'!I56+'Fórmula'!K56))*(INDEX(properties!A$1:CB$87,'Fórmula'!H56,12))+(('Fórmula'!K56)/('Fórmula'!C56+'Fórmula'!E56+'Fórmula'!G56+'Fórmula'!I56+'Fórmula'!K56))*(INDEX(properties!A$1:CB$87,'Fórmula'!J56,12))</f>
        <v>2.666666667</v>
      </c>
      <c r="AS56" s="108">
        <f t="array" ref="AS56">'Fórmula'!C56*(INDEX(properties!A$1:CB$87,'Fórmula'!B56,12))+'Fórmula'!E56*(INDEX(properties!A$1:CB$87,'Fórmula'!D56,12))+'Fórmula'!G56*(INDEX(properties!A$1:CB$87,'Fórmula'!F56,12))+'Fórmula'!I56*(INDEX(properties!A$1:CB$87,'Fórmula'!H56,12))+'Fórmula'!K56*(INDEX(properties!A$1:CB$87,'Fórmula'!J56,12))</f>
        <v>16</v>
      </c>
      <c r="AT56" s="108">
        <f t="array" ref="AT56">VARP(IF(INDEX(properties!A$1:CB$87,'Fórmula'!B56,12)&lt;&gt;"",INDEX(properties!A$1:CB$87,'Fórmula'!B56,12)),IF(INDEX(properties!A$1:CB$87,'Fórmula'!D56,12)&lt;&gt;"",INDEX(properties!A$1:CB$87,'Fórmula'!D56,12)),IF(INDEX(properties!A$1:CB$87,'Fórmula'!F56,12)&lt;&gt;"",INDEX(properties!A$1:CB$87,'Fórmula'!F56,12)),IF(INDEX(properties!A$1:CB$87,'Fórmula'!H56,12)&lt;&gt;"",INDEX(properties!A$1:CB$87,'Fórmula'!H56,12)),IF(INDEX(properties!A$1:CB$87,'Fórmula'!J56,12)&lt;&gt;"",INDEX(properties!A$1:CB$87,'Fórmula'!J56,12)))</f>
        <v>2.56</v>
      </c>
      <c r="AU56" s="108">
        <f t="array" ref="AU56">MAX(INDEX(properties!A$1:CB$87,'Fórmula'!B56,12),INDEX(properties!A$1:CB$87,'Fórmula'!D56,12),INDEX(properties!A$1:CB$87,'Fórmula'!F56,12),INDEX(properties!A$1:CB$87,'Fórmula'!H56,12),INDEX(properties!A$1:CB$87,'Fórmula'!J56,12))</f>
        <v>4</v>
      </c>
      <c r="AV56" s="108">
        <f t="array" ref="AV56">MIN(IF('Fórmula'!B56=87,10^6,INDEX(properties!A$1:CB$87,'Fórmula'!B56,12)),IF(('Fórmula'!D56)=87,10^6,INDEX(properties!A$1:CB$87,'Fórmula'!D56,12)),IF(('Fórmula'!F56)=87,10^6,INDEX(properties!A$1:CB$87,'Fórmula'!F56,12)),IF(('Fórmula'!H56)=87,10^6,INDEX(properties!A$1:CB$87,'Fórmula'!H56,12)),IF('Fórmula'!J56=87,10^6,INDEX(properties!A$1:CB$87,'Fórmula'!J56,12)))</f>
        <v>0</v>
      </c>
      <c r="AW56" s="108">
        <f t="shared" si="8"/>
        <v>4</v>
      </c>
      <c r="AX56" s="109">
        <f t="array" ref="AX56">(('Fórmula'!C56)/('Fórmula'!C56+'Fórmula'!E56+'Fórmula'!G56+'Fórmula'!I56+'Fórmula'!K56))*(INDEX(properties!A$1:CB$87,'Fórmula'!B56,13))+(('Fórmula'!E56)/('Fórmula'!C56+'Fórmula'!E56+'Fórmula'!G56+'Fórmula'!I56+'Fórmula'!K56))*(INDEX(properties!A$1:CB$87,'Fórmula'!D56,13))+(('Fórmula'!G56)/('Fórmula'!C56+'Fórmula'!E56+'Fórmula'!G56+'Fórmula'!I56+'Fórmula'!K56))*(INDEX(properties!A$1:CB$87,'Fórmula'!F56,13))+(('Fórmula'!I56)/('Fórmula'!C56+'Fórmula'!E56+'Fórmula'!G56+'Fórmula'!I56+'Fórmula'!K56))*(INDEX(properties!A$1:CB$87,'Fórmula'!H56,13))+(('Fórmula'!K56)/('Fórmula'!C56+'Fórmula'!E56+'Fórmula'!G56+'Fórmula'!I56+'Fórmula'!K56))*(INDEX(properties!A$1:CB$87,'Fórmula'!J56,13))</f>
        <v>0.8333333333</v>
      </c>
      <c r="AY56" s="109">
        <f t="array" ref="AY56">'Fórmula'!C56*(INDEX(properties!A$1:CB$87,'Fórmula'!B56,13))+'Fórmula'!E56*(INDEX(properties!A$1:CB$87,'Fórmula'!D56,13))+'Fórmula'!G56*(INDEX(properties!A$1:CB$87,'Fórmula'!F56,13))+'Fórmula'!I56*(INDEX(properties!A$1:CB$87,'Fórmula'!H56,13))+'Fórmula'!K56*(INDEX(properties!A$1:CB$87,'Fórmula'!J56,13))</f>
        <v>5</v>
      </c>
      <c r="AZ56" s="109">
        <f t="array" ref="AZ56">VARP(IF(INDEX(properties!A$1:CB$87,'Fórmula'!B56,13)&lt;&gt;"",INDEX(properties!A$1:CB$87,'Fórmula'!B56,13)),IF(INDEX(properties!A$1:CB$87,'Fórmula'!D56,13)&lt;&gt;"",INDEX(properties!A$1:CB$87,'Fórmula'!D56,13)),IF(INDEX(properties!A$1:CB$87,'Fórmula'!F56,13)&lt;&gt;"",INDEX(properties!A$1:CB$87,'Fórmula'!F56,13)),IF(INDEX(properties!A$1:CB$87,'Fórmula'!H56,13)&lt;&gt;"",INDEX(properties!A$1:CB$87,'Fórmula'!H56,13)),IF(INDEX(properties!A$1:CB$87,'Fórmula'!J56,13)&lt;&gt;"",INDEX(properties!A$1:CB$87,'Fórmula'!J56,13)))</f>
        <v>4</v>
      </c>
      <c r="BA56" s="109">
        <f t="array" ref="BA56">MAX(INDEX(properties!A$1:CB$87,'Fórmula'!B56,13),INDEX(properties!A$1:CB$87,'Fórmula'!D56,13),INDEX(properties!A$1:CB$87,'Fórmula'!F56,13),INDEX(properties!A$1:CB$87,'Fórmula'!H56,13),INDEX(properties!A$1:CB$87,'Fórmula'!J56,13))</f>
        <v>5</v>
      </c>
      <c r="BB56" s="109">
        <f t="array" ref="BB56">MIN(IF('Fórmula'!B56=87,10^6,INDEX(properties!A$1:CB$87,'Fórmula'!B56,13)),IF(('Fórmula'!D56)=87,10^6,INDEX(properties!A$1:CB$87,'Fórmula'!D56,13)),IF(('Fórmula'!F56)=87,10^6,INDEX(properties!A$1:CB$87,'Fórmula'!F56,13)),IF(('Fórmula'!H56)=87,10^6,INDEX(properties!A$1:CB$87,'Fórmula'!H56,13)),IF('Fórmula'!J56=87,10^6,INDEX(properties!A$1:CB$87,'Fórmula'!J56,13)))</f>
        <v>0</v>
      </c>
      <c r="BC56" s="109">
        <f t="shared" si="9"/>
        <v>5</v>
      </c>
      <c r="BD56" s="110">
        <f t="array" ref="BD56">(('Fórmula'!C56)/('Fórmula'!C56+'Fórmula'!E56+'Fórmula'!G56+'Fórmula'!I56+'Fórmula'!K56))*(INDEX(properties!A$1:CB$87,'Fórmula'!B56,14))+(('Fórmula'!E56)/('Fórmula'!C56+'Fórmula'!E56+'Fórmula'!G56+'Fórmula'!I56+'Fórmula'!K56))*(INDEX(properties!A$1:CB$87,'Fórmula'!D56,14))+(('Fórmula'!G56)/('Fórmula'!C56+'Fórmula'!E56+'Fórmula'!G56+'Fórmula'!I56+'Fórmula'!K56))*(INDEX(properties!A$1:CB$87,'Fórmula'!F56,14))+(('Fórmula'!I56)/('Fórmula'!C56+'Fórmula'!E56+'Fórmula'!G56+'Fórmula'!I56+'Fórmula'!K56))*(INDEX(properties!A$1:CB$87,'Fórmula'!H56,14))+(('Fórmula'!K56)/('Fórmula'!C56+'Fórmula'!E56+'Fórmula'!G56+'Fórmula'!I56+'Fórmula'!K56))*(INDEX(properties!A$1:CB$87,'Fórmula'!J56,14))</f>
        <v>0</v>
      </c>
      <c r="BE56" s="110">
        <f t="array" ref="BE56">'Fórmula'!C56*(INDEX(properties!A$1:CB$87,'Fórmula'!B56,14))+'Fórmula'!E56*(INDEX(properties!A$1:CB$87,'Fórmula'!D56,14))+'Fórmula'!G56*(INDEX(properties!A$1:CB$87,'Fórmula'!F56,14))+'Fórmula'!I56*(INDEX(properties!A$1:CB$87,'Fórmula'!H56,14))+'Fórmula'!K56*(INDEX(properties!A$1:CB$87,'Fórmula'!J56,14))</f>
        <v>0</v>
      </c>
      <c r="BF56" s="110">
        <f t="array" ref="BF56">VARP(IF(INDEX(properties!A$1:CB$87,'Fórmula'!B56,14)&lt;&gt;"",INDEX(properties!A$1:CB$87,'Fórmula'!B56,14)),IF(INDEX(properties!A$1:CB$87,'Fórmula'!D56,14)&lt;&gt;"",INDEX(properties!A$1:CB$87,'Fórmula'!D56,14)),IF(INDEX(properties!A$1:CB$87,'Fórmula'!F56,14)&lt;&gt;"",INDEX(properties!A$1:CB$87,'Fórmula'!F56,14)),IF(INDEX(properties!A$1:CB$87,'Fórmula'!H56,14)&lt;&gt;"",INDEX(properties!A$1:CB$87,'Fórmula'!H56,14)),IF(INDEX(properties!A$1:CB$87,'Fórmula'!J56,14)&lt;&gt;"",INDEX(properties!A$1:CB$87,'Fórmula'!J56,14)))</f>
        <v>0</v>
      </c>
      <c r="BG56" s="110">
        <f t="array" ref="BG56">MAX(INDEX(properties!A$1:CB$87,'Fórmula'!B56,14),INDEX(properties!A$1:CB$87,'Fórmula'!D56,14),INDEX(properties!A$1:CB$87,'Fórmula'!F56,14),INDEX(properties!A$1:CB$87,'Fórmula'!H56,14),INDEX(properties!A$1:CB$87,'Fórmula'!J56,14))</f>
        <v>0</v>
      </c>
      <c r="BH56" s="110">
        <f t="array" ref="BH56">MIN(IF('Fórmula'!B56=87,10^6,INDEX(properties!A$1:CB$87,'Fórmula'!B56,14)),IF(('Fórmula'!D56)=87,10^6,INDEX(properties!A$1:CB$87,'Fórmula'!D56,14)),IF(('Fórmula'!F56)=87,10^6,INDEX(properties!A$1:CB$87,'Fórmula'!F56,14)),IF(('Fórmula'!H56)=87,10^6,INDEX(properties!A$1:CB$87,'Fórmula'!H56,14)),IF('Fórmula'!J56=87,10^6,INDEX(properties!A$1:CB$87,'Fórmula'!J56,14)))</f>
        <v>0</v>
      </c>
      <c r="BI56" s="110">
        <f t="shared" si="10"/>
        <v>0</v>
      </c>
      <c r="BJ56" s="111">
        <f t="array" ref="BJ56">(('Fórmula'!C56)/('Fórmula'!C56+'Fórmula'!E56+'Fórmula'!G56+'Fórmula'!I56+'Fórmula'!K56))*(INDEX(properties!A$1:CB$87,'Fórmula'!B56,19))+(('Fórmula'!E56)/('Fórmula'!C56+'Fórmula'!E56+'Fórmula'!G56+'Fórmula'!I56+'Fórmula'!K56))*(INDEX(properties!A$1:CB$87,'Fórmula'!D56,19))+(('Fórmula'!G56)/('Fórmula'!C56+'Fórmula'!E56+'Fórmula'!G56+'Fórmula'!I56+'Fórmula'!K56))*(INDEX(properties!A$1:CB$87,'Fórmula'!F56,19))+(('Fórmula'!I56)/('Fórmula'!C56+'Fórmula'!E56+'Fórmula'!G56+'Fórmula'!I56+'Fórmula'!K56))*(INDEX(properties!A$1:CB$87,'Fórmula'!H56,19))+(('Fórmula'!K56)/('Fórmula'!C56+'Fórmula'!E56+'Fórmula'!G56+'Fórmula'!I56+'Fórmula'!K56))*(INDEX(properties!A$1:CB$87,'Fórmula'!J56,19))</f>
        <v>5.333333333</v>
      </c>
      <c r="BK56" s="111">
        <f t="array" ref="BK56">'Fórmula'!C56*(INDEX(properties!A$1:CB$87,'Fórmula'!B56,19))+'Fórmula'!E56*(INDEX(properties!A$1:CB$87,'Fórmula'!D56,19))+'Fórmula'!G56*(INDEX(properties!A$1:CB$87,'Fórmula'!F56,19))+'Fórmula'!I56*(INDEX(properties!A$1:CB$87,'Fórmula'!H56,19))+'Fórmula'!K56*(INDEX(properties!A$1:CB$87,'Fórmula'!J56,19))</f>
        <v>32</v>
      </c>
      <c r="BL56" s="111">
        <f t="array" ref="BL56">VARP(IF(INDEX(properties!A$1:CB$87,'Fórmula'!B56,19)&lt;&gt;"",INDEX(properties!A$1:CB$87,'Fórmula'!B56,19)),IF(INDEX(properties!A$1:CB$87,'Fórmula'!D56,19)&lt;&gt;"",INDEX(properties!A$1:CB$87,'Fórmula'!D56,19)),IF(INDEX(properties!A$1:CB$87,'Fórmula'!F56,19)&lt;&gt;"",INDEX(properties!A$1:CB$87,'Fórmula'!F56,19)),IF(INDEX(properties!A$1:CB$87,'Fórmula'!H56,19)&lt;&gt;"",INDEX(properties!A$1:CB$87,'Fórmula'!H56,19)),IF(INDEX(properties!A$1:CB$87,'Fórmula'!J56,19)&lt;&gt;"",INDEX(properties!A$1:CB$87,'Fórmula'!J56,19)))</f>
        <v>7.36</v>
      </c>
      <c r="BM56" s="111">
        <f t="array" ref="BM56">MAX(INDEX(properties!A$1:CB$87,'Fórmula'!B56,19),INDEX(properties!A$1:CB$87,'Fórmula'!D56,19),INDEX(properties!A$1:CB$87,'Fórmula'!F56,19),INDEX(properties!A$1:CB$87,'Fórmula'!H56,19),INDEX(properties!A$1:CB$87,'Fórmula'!J56,19))</f>
        <v>6</v>
      </c>
      <c r="BN56" s="111">
        <f t="array" ref="BN56">MIN(IF(INDEX(properties!A$1:CB$87,'Fórmula'!B56,19)=0,10^6,INDEX(properties!A$1:CB$87,'Fórmula'!B56,19)),IF(INDEX(properties!A$1:CB$87,'Fórmula'!D56,19)=0,10^6,INDEX(properties!A$1:CB$87,'Fórmula'!D56,19)),IF(INDEX(properties!A$1:CB$87,'Fórmula'!F56,19)=0,10^6,INDEX(properties!A$1:CB$87,'Fórmula'!F56,19)),IF(INDEX(properties!A$1:CB$87,'Fórmula'!H56,19)=0,10^6,INDEX(properties!A$1:CB$87,'Fórmula'!H56,19)),IF(INDEX(properties!A$1:CB$87,'Fórmula'!J56,19)=0,10^6,INDEX(properties!A$1:CB$87,'Fórmula'!J56,19)))</f>
        <v>2</v>
      </c>
      <c r="BO56" s="111">
        <f t="shared" si="11"/>
        <v>4</v>
      </c>
      <c r="BP56" s="112">
        <f t="array" ref="BP56">(('Fórmula'!C56)/('Fórmula'!C56+'Fórmula'!E56+'Fórmula'!G56+'Fórmula'!I56+'Fórmula'!K56))*(INDEX(properties!A$1:CB$87,'Fórmula'!B56,20))+(('Fórmula'!E56)/('Fórmula'!C56+'Fórmula'!E56+'Fórmula'!G56+'Fórmula'!I56+'Fórmula'!K56))*(INDEX(properties!A$1:CB$87,'Fórmula'!D56,20))+(('Fórmula'!G56)/('Fórmula'!C56+'Fórmula'!E56+'Fórmula'!G56+'Fórmula'!I56+'Fórmula'!K56))*(INDEX(properties!A$1:CB$87,'Fórmula'!F56,20))+(('Fórmula'!I56)/('Fórmula'!C56+'Fórmula'!E56+'Fórmula'!G56+'Fórmula'!I56+'Fórmula'!K56))*(INDEX(properties!A$1:CB$87,'Fórmula'!H56,20))+(('Fórmula'!K56)/('Fórmula'!C56+'Fórmula'!E56+'Fórmula'!G56+'Fórmula'!I56+'Fórmula'!K56))*(INDEX(properties!A$1:CB$87,'Fórmula'!J56,20))</f>
        <v>4.5</v>
      </c>
      <c r="BQ56" s="112">
        <f t="array" ref="BQ56">'Fórmula'!C56*(INDEX(properties!A$1:CB$87,'Fórmula'!B56,20))+'Fórmula'!E56*(INDEX(properties!A$1:CB$87,'Fórmula'!D56,20))+'Fórmula'!G56*(INDEX(properties!A$1:CB$87,'Fórmula'!F56,20))+'Fórmula'!I56*(INDEX(properties!A$1:CB$87,'Fórmula'!H56,20))+'Fórmula'!K56*(INDEX(properties!A$1:CB$87,'Fórmula'!J56,20))</f>
        <v>27</v>
      </c>
      <c r="BR56" s="112">
        <f t="array" ref="BR56">VARP(IF(INDEX(properties!A$1:CB$87,'Fórmula'!B56,20)&lt;&gt;"",INDEX(properties!A$1:CB$87,'Fórmula'!B56,20)),IF(INDEX(properties!A$1:CB$87,'Fórmula'!D56,20)&lt;&gt;"",INDEX(properties!A$1:CB$87,'Fórmula'!D56,20)),IF(INDEX(properties!A$1:CB$87,'Fórmula'!F56,20)&lt;&gt;"",INDEX(properties!A$1:CB$87,'Fórmula'!F56,20)),IF(INDEX(properties!A$1:CB$87,'Fórmula'!H56,20)&lt;&gt;"",INDEX(properties!A$1:CB$87,'Fórmula'!H56,20)),IF(INDEX(properties!A$1:CB$87,'Fórmula'!J56,20)&lt;&gt;"",INDEX(properties!A$1:CB$87,'Fórmula'!J56,20)))</f>
        <v>4.96</v>
      </c>
      <c r="BS56" s="112">
        <f t="array" ref="BS56">MAX(INDEX(properties!A$1:CB$87,'Fórmula'!B56,20),INDEX(properties!A$1:CB$87,'Fórmula'!D56,20),INDEX(properties!A$1:CB$87,'Fórmula'!F56,20),INDEX(properties!A$1:CB$87,'Fórmula'!H56,20),INDEX(properties!A$1:CB$87,'Fórmula'!J56,20))</f>
        <v>6</v>
      </c>
      <c r="BT56" s="112">
        <f t="array" ref="BT56">MIN(IF(INDEX(properties!A$1:CB$87,'Fórmula'!B56,20)=0,10^6,INDEX(properties!A$1:CB$87,'Fórmula'!B56,20)),IF(INDEX(properties!A$1:CB$87,'Fórmula'!D56,20)=0,10^6,INDEX(properties!A$1:CB$87,'Fórmula'!D56,20)),IF(INDEX(properties!A$1:CB$87,'Fórmula'!F56,20)=0,10^6,INDEX(properties!A$1:CB$87,'Fórmula'!F56,20)),IF(INDEX(properties!A$1:CB$87,'Fórmula'!H56,20)=0,10^6,INDEX(properties!A$1:CB$87,'Fórmula'!H56,20)),IF(INDEX(properties!A$1:CB$87,'Fórmula'!J56,20)=0,10^6,INDEX(properties!A$1:CB$87,'Fórmula'!J56,20)))</f>
        <v>1</v>
      </c>
      <c r="BU56" s="112">
        <f t="shared" si="12"/>
        <v>5</v>
      </c>
      <c r="BV56" s="113">
        <f t="array" ref="BV56">(('Fórmula'!C56)/('Fórmula'!C56+'Fórmula'!E56+'Fórmula'!G56+'Fórmula'!I56+'Fórmula'!K56))*(INDEX(properties!A$1:CB$87,'Fórmula'!B56,21))+(('Fórmula'!E56)/('Fórmula'!C56+'Fórmula'!E56+'Fórmula'!G56+'Fórmula'!I56+'Fórmula'!K56))*(INDEX(properties!A$1:CB$87,'Fórmula'!D56,21))+(('Fórmula'!G56)/('Fórmula'!C56+'Fórmula'!E56+'Fórmula'!G56+'Fórmula'!I56+'Fórmula'!K56))*(INDEX(properties!A$1:CB$87,'Fórmula'!F56,21))+(('Fórmula'!I56)/('Fórmula'!C56+'Fórmula'!E56+'Fórmula'!G56+'Fórmula'!I56+'Fórmula'!K56))*(INDEX(properties!A$1:CB$87,'Fórmula'!H56,21))+(('Fórmula'!K56)/('Fórmula'!C56+'Fórmula'!E56+'Fórmula'!G56+'Fórmula'!I56+'Fórmula'!K56))*(INDEX(properties!A$1:CB$87,'Fórmula'!J56,21))</f>
        <v>5</v>
      </c>
      <c r="BW56" s="113">
        <f t="array" ref="BW56">'Fórmula'!C56*(INDEX(properties!A$1:CB$87,'Fórmula'!B56,21))+'Fórmula'!E56*(INDEX(properties!A$1:CB$87,'Fórmula'!D56,21))+'Fórmula'!G56*(INDEX(properties!A$1:CB$87,'Fórmula'!F56,21))+'Fórmula'!I56*(INDEX(properties!A$1:CB$87,'Fórmula'!H56,21))+'Fórmula'!K56*(INDEX(properties!A$1:CB$87,'Fórmula'!J56,21))</f>
        <v>30</v>
      </c>
      <c r="BX56" s="113">
        <f t="array" ref="BX56">VARP(IF(INDEX(properties!A$1:CB$87,'Fórmula'!B56,21)&lt;&gt;"",INDEX(properties!A$1:CB$87,'Fórmula'!B56,21)),IF(INDEX(properties!A$1:CB$87,'Fórmula'!D56,21)&lt;&gt;"",INDEX(properties!A$1:CB$87,'Fórmula'!D56,21)),IF(INDEX(properties!A$1:CB$87,'Fórmula'!F56,21)&lt;&gt;"",INDEX(properties!A$1:CB$87,'Fórmula'!F56,21)),IF(INDEX(properties!A$1:CB$87,'Fórmula'!H56,21)&lt;&gt;"",INDEX(properties!A$1:CB$87,'Fórmula'!H56,21)),IF(INDEX(properties!A$1:CB$87,'Fórmula'!J56,21)&lt;&gt;"",INDEX(properties!A$1:CB$87,'Fórmula'!J56,21)))</f>
        <v>5.44</v>
      </c>
      <c r="BY56" s="113">
        <f t="array" ref="BY56">MAX(INDEX(properties!A$1:CB$87,'Fórmula'!B56,21),INDEX(properties!A$1:CB$87,'Fórmula'!D56,21),INDEX(properties!A$1:CB$87,'Fórmula'!F56,21),INDEX(properties!A$1:CB$87,'Fórmula'!H56,21),INDEX(properties!A$1:CB$87,'Fórmula'!J56,21))</f>
        <v>6</v>
      </c>
      <c r="BZ56" s="113">
        <f t="array" ref="BZ56">MIN(IF(INDEX(properties!A$1:CB$87,'Fórmula'!B56,21)=0,10^6,INDEX(properties!A$1:CB$87,'Fórmula'!B56,21)),IF(INDEX(properties!A$1:CB$87,'Fórmula'!D56,21)=0,10^6,INDEX(properties!A$1:CB$87,'Fórmula'!D56,21)),IF(INDEX(properties!A$1:CB$87,'Fórmula'!F56,21)=0,10^6,INDEX(properties!A$1:CB$87,'Fórmula'!F56,21)),IF(INDEX(properties!A$1:CB$87,'Fórmula'!H56,21)=0,10^6,INDEX(properties!A$1:CB$87,'Fórmula'!H56,21)),IF(INDEX(properties!A$1:CB$87,'Fórmula'!J56,21)=0,10^6,INDEX(properties!A$1:CB$87,'Fórmula'!J56,21)))</f>
        <v>2</v>
      </c>
      <c r="CA56" s="113">
        <f t="shared" si="13"/>
        <v>4</v>
      </c>
      <c r="CB56" s="114">
        <f t="array" ref="CB56">(('Fórmula'!C56)/('Fórmula'!C56+'Fórmula'!E56+'Fórmula'!G56+'Fórmula'!I56+'Fórmula'!K56))*(INDEX(properties!A$1:CB$87,'Fórmula'!B56,23))+(('Fórmula'!E56)/('Fórmula'!C56+'Fórmula'!E56+'Fórmula'!G56+'Fórmula'!I56+'Fórmula'!K56))*(INDEX(properties!A$1:CB$87,'Fórmula'!D56,23))+(('Fórmula'!G56)/('Fórmula'!C56+'Fórmula'!E56+'Fórmula'!G56+'Fórmula'!I56+'Fórmula'!K56))*(INDEX(properties!A$1:CB$87,'Fórmula'!F56,23))+(('Fórmula'!I56)/('Fórmula'!C56+'Fórmula'!E56+'Fórmula'!G56+'Fórmula'!I56+'Fórmula'!K56))*(INDEX(properties!A$1:CB$87,'Fórmula'!H56,23))+(('Fórmula'!K56)/('Fórmula'!C56+'Fórmula'!E56+'Fórmula'!G56+'Fórmula'!I56+'Fórmula'!K56))*(INDEX(properties!A$1:CB$87,'Fórmula'!J56,23))</f>
        <v>1.296666667</v>
      </c>
      <c r="CC56" s="114">
        <f t="array" ref="CC56">'Fórmula'!C56*(INDEX(properties!A$1:CB$87,'Fórmula'!B56,23))+'Fórmula'!E56*(INDEX(properties!A$1:CB$87,'Fórmula'!D56,23))+'Fórmula'!G56*(INDEX(properties!A$1:CB$87,'Fórmula'!F56,23))+'Fórmula'!I56*(INDEX(properties!A$1:CB$87,'Fórmula'!H56,23))+'Fórmula'!K56*(INDEX(properties!A$1:CB$87,'Fórmula'!J56,23))</f>
        <v>7.78</v>
      </c>
      <c r="CD56" s="114">
        <f t="array" ref="CD56">VARP(IF(INDEX(properties!A$1:CB$87,'Fórmula'!B56,23)&lt;&gt;"",INDEX(properties!A$1:CB$87,'Fórmula'!B56,23)),IF(INDEX(properties!A$1:CB$87,'Fórmula'!D56,23)&lt;&gt;"",INDEX(properties!A$1:CB$87,'Fórmula'!D56,23)),IF(INDEX(properties!A$1:CB$87,'Fórmula'!F56,23)&lt;&gt;"",INDEX(properties!A$1:CB$87,'Fórmula'!F56,23)),IF(INDEX(properties!A$1:CB$87,'Fórmula'!H56,23)&lt;&gt;"",INDEX(properties!A$1:CB$87,'Fórmula'!H56,23)),IF(INDEX(properties!A$1:CB$87,'Fórmula'!J56,23)&lt;&gt;"",INDEX(properties!A$1:CB$87,'Fórmula'!J56,23)))</f>
        <v>5.060544</v>
      </c>
      <c r="CE56" s="114">
        <f t="array" ref="CE56">MAX(INDEX(properties!A$1:CB$87,'Fórmula'!B56,23),INDEX(properties!A$1:CB$87,'Fórmula'!D56,23),INDEX(properties!A$1:CB$87,'Fórmula'!F56,23),INDEX(properties!A$1:CB$87,'Fórmula'!H56,23),INDEX(properties!A$1:CB$87,'Fórmula'!J56,23))</f>
        <v>5.78</v>
      </c>
      <c r="CF56" s="114">
        <f t="array" ref="CF56">MIN(IF('Fórmula'!B56=87,10^6,INDEX(properties!A$1:CB$87,'Fórmula'!B56,23)),IF(('Fórmula'!D56)=87,10^6,INDEX(properties!A$1:CB$87,'Fórmula'!D56,23)),IF(('Fórmula'!F56)=87,10^6,INDEX(properties!A$1:CB$87,'Fórmula'!F56,23)),IF(('Fórmula'!H56)=87,10^6,INDEX(properties!A$1:CB$87,'Fórmula'!H56,23)),IF('Fórmula'!J56=87,10^6,INDEX(properties!A$1:CB$87,'Fórmula'!J56,23)))</f>
        <v>0</v>
      </c>
      <c r="CG56" s="114">
        <f t="shared" si="14"/>
        <v>5.78</v>
      </c>
      <c r="CH56" s="115">
        <f t="array" ref="CH56">(('Fórmula'!C56)/('Fórmula'!C56+'Fórmula'!E56+'Fórmula'!G56+'Fórmula'!I56+'Fórmula'!K56))*(INDEX(properties!A$1:CB$87,'Fórmula'!B56,26))+(('Fórmula'!E56)/('Fórmula'!C56+'Fórmula'!E56+'Fórmula'!G56+'Fórmula'!I56+'Fórmula'!K56))*(INDEX(properties!A$1:CB$87,'Fórmula'!D56,26))+(('Fórmula'!G56)/('Fórmula'!C56+'Fórmula'!E56+'Fórmula'!G56+'Fórmula'!I56+'Fórmula'!K56))*(INDEX(properties!A$1:CB$87,'Fórmula'!F56,26))+(('Fórmula'!I56)/('Fórmula'!C56+'Fórmula'!E56+'Fórmula'!G56+'Fórmula'!I56+'Fórmula'!K56))*(INDEX(properties!A$1:CB$87,'Fórmula'!H56,26))+(('Fórmula'!K56)/('Fórmula'!C56+'Fórmula'!E56+'Fórmula'!G56+'Fórmula'!I56+'Fórmula'!K56))*(INDEX(properties!A$1:CB$87,'Fórmula'!J56,26))</f>
        <v>11.27966667</v>
      </c>
      <c r="CI56" s="115">
        <f t="array" ref="CI56">'Fórmula'!C56*(INDEX(properties!A$1:CB$87,'Fórmula'!B56,26))+'Fórmula'!E56*(INDEX(properties!A$1:CB$87,'Fórmula'!D56,26))+'Fórmula'!G56*(INDEX(properties!A$1:CB$87,'Fórmula'!F56,26))+'Fórmula'!I56*(INDEX(properties!A$1:CB$87,'Fórmula'!H56,26))+'Fórmula'!K56*(INDEX(properties!A$1:CB$87,'Fórmula'!J56,26))</f>
        <v>67.678</v>
      </c>
      <c r="CJ56" s="115">
        <f t="array" ref="CJ56">VARP(IF(INDEX(properties!A$1:CB$87,'Fórmula'!B56,26)&lt;&gt;"",INDEX(properties!A$1:CB$87,'Fórmula'!B56,26)),IF(INDEX(properties!A$1:CB$87,'Fórmula'!D56,26)&lt;&gt;"",INDEX(properties!A$1:CB$87,'Fórmula'!D56,26)),IF(INDEX(properties!A$1:CB$87,'Fórmula'!F56,26)&lt;&gt;"",INDEX(properties!A$1:CB$87,'Fórmula'!F56,26)),IF(INDEX(properties!A$1:CB$87,'Fórmula'!H56,26)&lt;&gt;"",INDEX(properties!A$1:CB$87,'Fórmula'!H56,26)),IF(INDEX(properties!A$1:CB$87,'Fórmula'!J56,26)&lt;&gt;"",INDEX(properties!A$1:CB$87,'Fórmula'!J56,26)))</f>
        <v>25.84476465</v>
      </c>
      <c r="CK56" s="116">
        <f t="array" ref="CK56">MAX(INDEX(properties!A$1:CB$87,'Fórmula'!B56,26),INDEX(properties!A$1:CB$87,'Fórmula'!D56,26),INDEX(properties!A$1:CB$87,'Fórmula'!F56,26),INDEX(properties!A$1:CB$87,'Fórmula'!H56,26),INDEX(properties!A$1:CB$87,'Fórmula'!J56,26))</f>
        <v>13.6181</v>
      </c>
      <c r="CL56" s="116">
        <f t="array" ref="CL56">MIN(IF(INDEX(properties!A$1:CB$87,'Fórmula'!B56,26)=0,10^6,INDEX(properties!A$1:CB$87,'Fórmula'!B56,26)),IF(INDEX(properties!A$1:CB$87,'Fórmula'!D56,26)=0,10^6,INDEX(properties!A$1:CB$87,'Fórmula'!D56,26)),IF(INDEX(properties!A$1:CB$87,'Fórmula'!F56,26)=0,10^6,INDEX(properties!A$1:CB$87,'Fórmula'!F56,26)),IF(INDEX(properties!A$1:CB$87,'Fórmula'!H56,26)=0,10^6,INDEX(properties!A$1:CB$87,'Fórmula'!H56,26)),IF(INDEX(properties!A$1:CB$87,'Fórmula'!J56,26)=0,10^6,INDEX(properties!A$1:CB$87,'Fórmula'!J56,26)))</f>
        <v>6.1132</v>
      </c>
      <c r="CM56" s="115">
        <f t="shared" si="15"/>
        <v>7.5049</v>
      </c>
      <c r="CN56" s="117">
        <f t="array" ref="CN56">(('Fórmula'!C56)/('Fórmula'!C56+'Fórmula'!E56+'Fórmula'!G56+'Fórmula'!I56+'Fórmula'!K56))*(INDEX(properties!A$1:CB$87,'Fórmula'!B56,30))+(('Fórmula'!E56)/('Fórmula'!C56+'Fórmula'!E56+'Fórmula'!G56+'Fórmula'!I56+'Fórmula'!K56))*(INDEX(properties!A$1:CB$87,'Fórmula'!D56,30))+(('Fórmula'!G56)/('Fórmula'!C56+'Fórmula'!E56+'Fórmula'!G56+'Fórmula'!I56+'Fórmula'!K56))*(INDEX(properties!A$1:CB$87,'Fórmula'!F56,30))+(('Fórmula'!I56)/('Fórmula'!C56+'Fórmula'!E56+'Fórmula'!G56+'Fórmula'!I56+'Fórmula'!K56))*(INDEX(properties!A$1:CB$87,'Fórmula'!H56,30))+(('Fórmula'!K56)/('Fórmula'!C56+'Fórmula'!E56+'Fórmula'!G56+'Fórmula'!I56+'Fórmula'!K56))*(INDEX(properties!A$1:CB$87,'Fórmula'!J56,30))</f>
        <v>2.82</v>
      </c>
      <c r="CO56" s="117">
        <f t="array" ref="CO56">'Fórmula'!C56*(INDEX(properties!A$1:CB$87,'Fórmula'!B56,30))+'Fórmula'!E56*(INDEX(properties!A$1:CB$87,'Fórmula'!D56,30))+'Fórmula'!G56*(INDEX(properties!A$1:CB$87,'Fórmula'!F56,30))+'Fórmula'!I56*(INDEX(properties!A$1:CB$87,'Fórmula'!H56,30))+'Fórmula'!K56*(INDEX(properties!A$1:CB$87,'Fórmula'!J56,30))</f>
        <v>16.92</v>
      </c>
      <c r="CP56" s="117">
        <f t="array" ref="CP56">VARP(IF(INDEX(properties!A$1:CB$87,'Fórmula'!B56,30)&lt;&gt;"",INDEX(properties!A$1:CB$87,'Fórmula'!B56,30)),IF(INDEX(properties!A$1:CB$87,'Fórmula'!D56,30)&lt;&gt;"",INDEX(properties!A$1:CB$87,'Fórmula'!D56,30)),IF(INDEX(properties!A$1:CB$87,'Fórmula'!F56,30)&lt;&gt;"",INDEX(properties!A$1:CB$87,'Fórmula'!F56,30)),IF(INDEX(properties!A$1:CB$87,'Fórmula'!H56,30)&lt;&gt;"",INDEX(properties!A$1:CB$87,'Fórmula'!H56,30)),IF(INDEX(properties!A$1:CB$87,'Fórmula'!J56,30)&lt;&gt;"",INDEX(properties!A$1:CB$87,'Fórmula'!J56,30)))</f>
        <v>1.75744</v>
      </c>
      <c r="CQ56" s="117">
        <f t="array" ref="CQ56">MAX(INDEX(properties!A$1:CB$87,'Fórmula'!B56,30),INDEX(properties!A$1:CB$87,'Fórmula'!D56,30),INDEX(properties!A$1:CB$87,'Fórmula'!F56,30),INDEX(properties!A$1:CB$87,'Fórmula'!H56,30),INDEX(properties!A$1:CB$87,'Fórmula'!J56,30))</f>
        <v>3.44</v>
      </c>
      <c r="CR56" s="117">
        <f t="array" ref="CR56">MIN(IF(INDEX(properties!A$1:CB$87,'Fórmula'!B56,30)=0,10^6,INDEX(properties!A$1:CB$87,'Fórmula'!B56,30)),IF(INDEX(properties!A$1:CB$87,'Fórmula'!D56,30)=0,10^6,INDEX(properties!A$1:CB$87,'Fórmula'!D56,30)),IF(INDEX(properties!A$1:CB$87,'Fórmula'!F56,30)=0,10^6,INDEX(properties!A$1:CB$87,'Fórmula'!F56,30)),IF(INDEX(properties!A$1:CB$87,'Fórmula'!H56,30)=0,10^6,INDEX(properties!A$1:CB$87,'Fórmula'!H56,30)),IF(INDEX(properties!A$1:CB$87,'Fórmula'!J56,30)=0,10^6,INDEX(properties!A$1:CB$87,'Fórmula'!J56,30)))</f>
        <v>1</v>
      </c>
      <c r="CS56" s="117">
        <f t="shared" si="16"/>
        <v>2.44</v>
      </c>
      <c r="CT56" s="118">
        <f t="array" ref="CT56">(('Fórmula'!C56)/('Fórmula'!C56+'Fórmula'!E56+'Fórmula'!G56+'Fórmula'!I56+'Fórmula'!K56))*(INDEX(properties!A$1:CB$87,'Fórmula'!B56,31))+(('Fórmula'!E56)/('Fórmula'!C56+'Fórmula'!E56+'Fórmula'!G56+'Fórmula'!I56+'Fórmula'!K56))*(INDEX(properties!A$1:CB$87,'Fórmula'!D56,31))+(('Fórmula'!G56)/('Fórmula'!C56+'Fórmula'!E56+'Fórmula'!G56+'Fórmula'!I56+'Fórmula'!K56))*(INDEX(properties!A$1:CB$87,'Fórmula'!F56,31))+(('Fórmula'!I56)/('Fórmula'!C56+'Fórmula'!E56+'Fórmula'!G56+'Fórmula'!I56+'Fórmula'!K56))*(INDEX(properties!A$1:CB$87,'Fórmula'!H56,31))+(('Fórmula'!K56)/('Fórmula'!C56+'Fórmula'!E56+'Fórmula'!G56+'Fórmula'!I56+'Fórmula'!K56))*(INDEX(properties!A$1:CB$87,'Fórmula'!J56,31))</f>
        <v>2.731666667</v>
      </c>
      <c r="CU56" s="118">
        <f t="array" ref="CU56">'Fórmula'!C56*(INDEX(properties!A$1:CB$87,'Fórmula'!B56,31))+'Fórmula'!E56*(INDEX(properties!A$1:CB$87,'Fórmula'!D56,31))+'Fórmula'!G56*(INDEX(properties!A$1:CB$87,'Fórmula'!F56,31))+'Fórmula'!I56*(INDEX(properties!A$1:CB$87,'Fórmula'!H56,31))+'Fórmula'!K56*(INDEX(properties!A$1:CB$87,'Fórmula'!J56,31))</f>
        <v>16.39</v>
      </c>
      <c r="CV56" s="118">
        <f t="array" ref="CV56">VARP(IF(INDEX(properties!A$1:CB$87,'Fórmula'!B56,31)&lt;&gt;"",INDEX(properties!A$1:CB$87,'Fórmula'!B56,31)),IF(INDEX(properties!A$1:CB$87,'Fórmula'!D56,31)&lt;&gt;"",INDEX(properties!A$1:CB$87,'Fórmula'!D56,31)),IF(INDEX(properties!A$1:CB$87,'Fórmula'!F56,31)&lt;&gt;"",INDEX(properties!A$1:CB$87,'Fórmula'!F56,31)),IF(INDEX(properties!A$1:CB$87,'Fórmula'!H56,31)&lt;&gt;"",INDEX(properties!A$1:CB$87,'Fórmula'!H56,31)),IF(INDEX(properties!A$1:CB$87,'Fórmula'!J56,31)&lt;&gt;"",INDEX(properties!A$1:CB$87,'Fórmula'!J56,31)))</f>
        <v>1.577184</v>
      </c>
      <c r="CW56" s="118">
        <f t="array" ref="CW56">MAX(INDEX(properties!A$1:CB$87,'Fórmula'!B56,31),INDEX(properties!A$1:CB$87,'Fórmula'!D56,31),INDEX(properties!A$1:CB$87,'Fórmula'!F56,31),INDEX(properties!A$1:CB$87,'Fórmula'!H56,31),INDEX(properties!A$1:CB$87,'Fórmula'!J56,31))</f>
        <v>3.32</v>
      </c>
      <c r="CX56" s="118">
        <f t="array" ref="CX56">MIN(IF(INDEX(properties!A$1:CB$87,'Fórmula'!B56,31)=0,10^6,INDEX(properties!A$1:CB$87,'Fórmula'!B56,31)),IF(INDEX(properties!A$1:CB$87,'Fórmula'!D56,31)=0,10^6,INDEX(properties!A$1:CB$87,'Fórmula'!D56,31)),IF(INDEX(properties!A$1:CB$87,'Fórmula'!F56,31)=0,10^6,INDEX(properties!A$1:CB$87,'Fórmula'!F56,31)),IF(INDEX(properties!A$1:CB$87,'Fórmula'!H56,31)=0,10^6,INDEX(properties!A$1:CB$87,'Fórmula'!H56,31)),IF(INDEX(properties!A$1:CB$87,'Fórmula'!J56,31)=0,10^6,INDEX(properties!A$1:CB$87,'Fórmula'!J56,31)))</f>
        <v>1.17</v>
      </c>
      <c r="CY56" s="118">
        <f t="shared" si="17"/>
        <v>2.15</v>
      </c>
      <c r="CZ56" s="119">
        <f t="array" ref="CZ56">(('Fórmula'!C56)/('Fórmula'!C56+'Fórmula'!E56+'Fórmula'!G56+'Fórmula'!I56+'Fórmula'!K56))*(INDEX(properties!A$1:CB$87,'Fórmula'!B56,32))+(('Fórmula'!E56)/('Fórmula'!C56+'Fórmula'!E56+'Fórmula'!G56+'Fórmula'!I56+'Fórmula'!K56))*(INDEX(properties!A$1:CB$87,'Fórmula'!D56,32))+(('Fórmula'!G56)/('Fórmula'!C56+'Fórmula'!E56+'Fórmula'!G56+'Fórmula'!I56+'Fórmula'!K56))*(INDEX(properties!A$1:CB$87,'Fórmula'!F56,32))+(('Fórmula'!I56)/('Fórmula'!C56+'Fórmula'!E56+'Fórmula'!G56+'Fórmula'!I56+'Fórmula'!K56))*(INDEX(properties!A$1:CB$87,'Fórmula'!H56,32))+(('Fórmula'!K56)/('Fórmula'!C56+'Fórmula'!E56+'Fórmula'!G56+'Fórmula'!I56+'Fórmula'!K56))*(INDEX(properties!A$1:CB$87,'Fórmula'!J56,32))</f>
        <v>6.043333333</v>
      </c>
      <c r="DA56" s="119">
        <f t="array" ref="DA56">'Fórmula'!C56*(INDEX(properties!A$1:CB$87,'Fórmula'!B56,32))+'Fórmula'!E56*(INDEX(properties!A$1:CB$87,'Fórmula'!D56,32))+'Fórmula'!G56*(INDEX(properties!A$1:CB$87,'Fórmula'!F56,32))+'Fórmula'!I56*(INDEX(properties!A$1:CB$87,'Fórmula'!H56,32))+'Fórmula'!K56*(INDEX(properties!A$1:CB$87,'Fórmula'!J56,32))</f>
        <v>36.26</v>
      </c>
      <c r="DB56" s="119">
        <f t="array" ref="DB56">VARP(IF(INDEX(properties!A$1:CB$87,'Fórmula'!B56,32)&lt;&gt;"",INDEX(properties!A$1:CB$87,'Fórmula'!B56,32)),IF(INDEX(properties!A$1:CB$87,'Fórmula'!D56,32)&lt;&gt;"",INDEX(properties!A$1:CB$87,'Fórmula'!D56,32)),IF(INDEX(properties!A$1:CB$87,'Fórmula'!F56,32)&lt;&gt;"",INDEX(properties!A$1:CB$87,'Fórmula'!F56,32)),IF(INDEX(properties!A$1:CB$87,'Fórmula'!H56,32)&lt;&gt;"",INDEX(properties!A$1:CB$87,'Fórmula'!H56,32)),IF(INDEX(properties!A$1:CB$87,'Fórmula'!J56,32)&lt;&gt;"",INDEX(properties!A$1:CB$87,'Fórmula'!J56,32)))</f>
        <v>7.938336</v>
      </c>
      <c r="DC56" s="119">
        <f t="array" ref="DC56">MAX(INDEX(properties!A$1:CB$87,'Fórmula'!B56,32),INDEX(properties!A$1:CB$87,'Fórmula'!D56,32),INDEX(properties!A$1:CB$87,'Fórmula'!F56,32),INDEX(properties!A$1:CB$87,'Fórmula'!H56,32),INDEX(properties!A$1:CB$87,'Fórmula'!J56,32))</f>
        <v>7.54</v>
      </c>
      <c r="DD56" s="119">
        <f t="array" ref="DD56">MIN(IF(INDEX(properties!A$1:CB$87,'Fórmula'!B56,32)=0,10^6,INDEX(properties!A$1:CB$87,'Fórmula'!B56,32)),IF(INDEX(properties!A$1:CB$87,'Fórmula'!D56,32)=0,10^6,INDEX(properties!A$1:CB$87,'Fórmula'!D56,32)),IF(INDEX(properties!A$1:CB$87,'Fórmula'!F56,32)=0,10^6,INDEX(properties!A$1:CB$87,'Fórmula'!F56,32)),IF(INDEX(properties!A$1:CB$87,'Fórmula'!H56,32)=0,10^6,INDEX(properties!A$1:CB$87,'Fórmula'!H56,32)),IF(INDEX(properties!A$1:CB$87,'Fórmula'!J56,32)=0,10^6,INDEX(properties!A$1:CB$87,'Fórmula'!J56,32)))</f>
        <v>2.2</v>
      </c>
      <c r="DE56" s="119">
        <f t="shared" si="18"/>
        <v>5.34</v>
      </c>
      <c r="DF56" s="104">
        <f t="array" ref="DF56">(('Fórmula'!C56)/('Fórmula'!C56+'Fórmula'!E56+'Fórmula'!G56+'Fórmula'!I56+'Fórmula'!K56))*(INDEX(properties!A$1:CB$87,'Fórmula'!B56,34))+(('Fórmula'!E56)/('Fórmula'!C56+'Fórmula'!E56+'Fórmula'!G56+'Fórmula'!I56+'Fórmula'!K56))*(INDEX(properties!A$1:CB$87,'Fórmula'!D56,34))+(('Fórmula'!G56)/('Fórmula'!C56+'Fórmula'!E56+'Fórmula'!G56+'Fórmula'!I56+'Fórmula'!K56))*(INDEX(properties!A$1:CB$87,'Fórmula'!F56,34))+(('Fórmula'!I56)/('Fórmula'!C56+'Fórmula'!E56+'Fórmula'!G56+'Fórmula'!I56+'Fórmula'!K56))*(INDEX(properties!A$1:CB$87,'Fórmula'!H56,34))+(('Fórmula'!K56)/('Fórmula'!C56+'Fórmula'!E56+'Fórmula'!G56+'Fórmula'!I56+'Fórmula'!K56))*(INDEX(properties!A$1:CB$87,'Fórmula'!J56,34))</f>
        <v>2.824</v>
      </c>
      <c r="DG56" s="104">
        <f t="array" ref="DG56">'Fórmula'!C56*(INDEX(properties!A$1:CB$87,'Fórmula'!B56,34))+'Fórmula'!E56*(INDEX(properties!A$1:CB$87,'Fórmula'!D56,34))+'Fórmula'!G56*(INDEX(properties!A$1:CB$87,'Fórmula'!F56,34))+'Fórmula'!I56*(INDEX(properties!A$1:CB$87,'Fórmula'!H56,34))+'Fórmula'!K56*(INDEX(properties!A$1:CB$87,'Fórmula'!J56,34))</f>
        <v>16.944</v>
      </c>
      <c r="DH56" s="104">
        <f t="array" ref="DH56">VARP(IF(INDEX(properties!A$1:CB$87,'Fórmula'!B56,34)&lt;&gt;"",INDEX(properties!A$1:CB$87,'Fórmula'!B56,34)),IF(INDEX(properties!A$1:CB$87,'Fórmula'!D56,34)&lt;&gt;"",INDEX(properties!A$1:CB$87,'Fórmula'!D56,34)),IF(INDEX(properties!A$1:CB$87,'Fórmula'!F56,34)&lt;&gt;"",INDEX(properties!A$1:CB$87,'Fórmula'!F56,34)),IF(INDEX(properties!A$1:CB$87,'Fórmula'!H56,34)&lt;&gt;"",INDEX(properties!A$1:CB$87,'Fórmula'!H56,34)),IF(INDEX(properties!A$1:CB$87,'Fórmula'!J56,34)&lt;&gt;"",INDEX(properties!A$1:CB$87,'Fórmula'!J56,34)))</f>
        <v>1.75719136</v>
      </c>
      <c r="DI56" s="104">
        <f t="array" ref="DI56">MAX(INDEX(properties!A$1:CB$87,'Fórmula'!B56,34),INDEX(properties!A$1:CB$87,'Fórmula'!D56,34),INDEX(properties!A$1:CB$87,'Fórmula'!F56,34),INDEX(properties!A$1:CB$87,'Fórmula'!H56,34),INDEX(properties!A$1:CB$87,'Fórmula'!J56,34))</f>
        <v>3.61</v>
      </c>
      <c r="DJ56" s="104">
        <f t="array" ref="DJ56">MIN(IF(INDEX(properties!A$1:CB$87,'Fórmula'!B56,34)=0,10^6,INDEX(properties!A$1:CB$87,'Fórmula'!B56,34)),IF(INDEX(properties!A$1:CB$87,'Fórmula'!D56,34)=0,10^6,INDEX(properties!A$1:CB$87,'Fórmula'!D56,34)),IF(INDEX(properties!A$1:CB$87,'Fórmula'!F56,34)=0,10^6,INDEX(properties!A$1:CB$87,'Fórmula'!F56,34)),IF(INDEX(properties!A$1:CB$87,'Fórmula'!H56,34)=0,10^6,INDEX(properties!A$1:CB$87,'Fórmula'!H56,34)),IF(INDEX(properties!A$1:CB$87,'Fórmula'!J56,34)=0,10^6,INDEX(properties!A$1:CB$87,'Fórmula'!J56,34)))</f>
        <v>1.034</v>
      </c>
      <c r="DK56" s="104">
        <f t="shared" si="19"/>
        <v>2.576</v>
      </c>
      <c r="DL56" s="105">
        <f t="array" ref="DL56">(('Fórmula'!C56)/('Fórmula'!C56+'Fórmula'!E56+'Fórmula'!G56+'Fórmula'!I56+'Fórmula'!K56))*(INDEX(properties!A$1:CB$87,'Fórmula'!B56,37))+(('Fórmula'!E56)/('Fórmula'!C56+'Fórmula'!E56+'Fórmula'!G56+'Fórmula'!I56+'Fórmula'!K56))*(INDEX(properties!A$1:CB$87,'Fórmula'!D56,37))+(('Fórmula'!G56)/('Fórmula'!C56+'Fórmula'!E56+'Fórmula'!G56+'Fórmula'!I56+'Fórmula'!K56))*(INDEX(properties!A$1:CB$87,'Fórmula'!F56,37))+(('Fórmula'!I56)/('Fórmula'!C56+'Fórmula'!E56+'Fórmula'!G56+'Fórmula'!I56+'Fórmula'!K56))*(INDEX(properties!A$1:CB$87,'Fórmula'!H56,37))+(('Fórmula'!K56)/('Fórmula'!C56+'Fórmula'!E56+'Fórmula'!G56+'Fórmula'!I56+'Fórmula'!K56))*(INDEX(properties!A$1:CB$87,'Fórmula'!J56,37))</f>
        <v>2.816666667</v>
      </c>
      <c r="DM56" s="105">
        <f t="array" ref="DM56">'Fórmula'!C56*(INDEX(properties!A$1:CB$87,'Fórmula'!B56,37))+'Fórmula'!E56*(INDEX(properties!A$1:CB$87,'Fórmula'!D56,37))+'Fórmula'!G56*(INDEX(properties!A$1:CB$87,'Fórmula'!F56,37))+'Fórmula'!I56*(INDEX(properties!A$1:CB$87,'Fórmula'!H56,37))+'Fórmula'!K56*(INDEX(properties!A$1:CB$87,'Fórmula'!J56,37))</f>
        <v>16.9</v>
      </c>
      <c r="DN56" s="105">
        <f t="array" ref="DN56">VARP(IF(INDEX(properties!A$1:CB$87,'Fórmula'!B56,37)&lt;&gt;"",INDEX(properties!A$1:CB$87,'Fórmula'!B56,37)),IF(INDEX(properties!A$1:CB$87,'Fórmula'!D56,37)&lt;&gt;"",INDEX(properties!A$1:CB$87,'Fórmula'!D56,37)),IF(INDEX(properties!A$1:CB$87,'Fórmula'!F56,37)&lt;&gt;"",INDEX(properties!A$1:CB$87,'Fórmula'!F56,37)),IF(INDEX(properties!A$1:CB$87,'Fórmula'!H56,37)&lt;&gt;"",INDEX(properties!A$1:CB$87,'Fórmula'!H56,37)),IF(INDEX(properties!A$1:CB$87,'Fórmula'!J56,37)&lt;&gt;"",INDEX(properties!A$1:CB$87,'Fórmula'!J56,37)))</f>
        <v>1.7464</v>
      </c>
      <c r="DO56" s="105">
        <f t="array" ref="DO56">MAX(INDEX(properties!A$1:CB$87,'Fórmula'!B56,37),INDEX(properties!A$1:CB$87,'Fórmula'!D56,37),INDEX(properties!A$1:CB$87,'Fórmula'!F56,37),INDEX(properties!A$1:CB$87,'Fórmula'!H56,37),INDEX(properties!A$1:CB$87,'Fórmula'!J56,37))</f>
        <v>3.45</v>
      </c>
      <c r="DP56" s="105">
        <f t="array" ref="DP56">MIN(IF(INDEX(properties!A$1:CB$87,'Fórmula'!B56,37)=0,10^6,INDEX(properties!A$1:CB$87,'Fórmula'!B56,37)),IF(INDEX(properties!A$1:CB$87,'Fórmula'!D56,37)=0,10^6,INDEX(properties!A$1:CB$87,'Fórmula'!D56,37)),IF(INDEX(properties!A$1:CB$87,'Fórmula'!F56,37)=0,10^6,INDEX(properties!A$1:CB$87,'Fórmula'!F56,37)),IF(INDEX(properties!A$1:CB$87,'Fórmula'!H56,37)=0,10^6,INDEX(properties!A$1:CB$87,'Fórmula'!H56,37)),IF(INDEX(properties!A$1:CB$87,'Fórmula'!J56,37)=0,10^6,INDEX(properties!A$1:CB$87,'Fórmula'!J56,37)))</f>
        <v>1</v>
      </c>
      <c r="DQ56" s="105">
        <f t="shared" si="20"/>
        <v>2.45</v>
      </c>
      <c r="DR56" s="109">
        <f t="array" ref="DR56">(('Fórmula'!C56)/('Fórmula'!C56+'Fórmula'!E56+'Fórmula'!G56+'Fórmula'!I56+'Fórmula'!K56))*(INDEX(properties!A$1:CB$87,'Fórmula'!B56,39))+(('Fórmula'!E56)/('Fórmula'!C56+'Fórmula'!E56+'Fórmula'!G56+'Fórmula'!I56+'Fórmula'!K56))*(INDEX(properties!A$1:CB$87,'Fórmula'!D56,39))+(('Fórmula'!G56)/('Fórmula'!C56+'Fórmula'!E56+'Fórmula'!G56+'Fórmula'!I56+'Fórmula'!K56))*(INDEX(properties!A$1:CB$87,'Fórmula'!F56,39))+(('Fórmula'!I56)/('Fórmula'!C56+'Fórmula'!E56+'Fórmula'!G56+'Fórmula'!I56+'Fórmula'!K56))*(INDEX(properties!A$1:CB$87,'Fórmula'!H56,39))+(('Fórmula'!K56)/('Fórmula'!C56+'Fórmula'!E56+'Fórmula'!G56+'Fórmula'!I56+'Fórmula'!K56))*(INDEX(properties!A$1:CB$87,'Fórmula'!J56,39))</f>
        <v>0.96</v>
      </c>
      <c r="DS56" s="109">
        <f t="array" ref="DS56">'Fórmula'!C56*(INDEX(properties!A$1:CB$87,'Fórmula'!B56,39))+'Fórmula'!E56*(INDEX(properties!A$1:CB$87,'Fórmula'!D56,39))+'Fórmula'!G56*(INDEX(properties!A$1:CB$87,'Fórmula'!F56,39))+'Fórmula'!I56*(INDEX(properties!A$1:CB$87,'Fórmula'!H56,39))+'Fórmula'!K56*(INDEX(properties!A$1:CB$87,'Fórmula'!J56,39))</f>
        <v>5.76</v>
      </c>
      <c r="DT56" s="109">
        <f t="array" ref="DT56">VARP(IF(INDEX(properties!A$1:CB$87,'Fórmula'!B56,39)&lt;&gt;"",INDEX(properties!A$1:CB$87,'Fórmula'!B56,39)),IF(INDEX(properties!A$1:CB$87,'Fórmula'!D56,39)&lt;&gt;"",INDEX(properties!A$1:CB$87,'Fórmula'!D56,39)),IF(INDEX(properties!A$1:CB$87,'Fórmula'!F56,39)&lt;&gt;"",INDEX(properties!A$1:CB$87,'Fórmula'!F56,39)),IF(INDEX(properties!A$1:CB$87,'Fórmula'!H56,39)&lt;&gt;"",INDEX(properties!A$1:CB$87,'Fórmula'!H56,39)),IF(INDEX(properties!A$1:CB$87,'Fórmula'!J56,39)&lt;&gt;"",INDEX(properties!A$1:CB$87,'Fórmula'!J56,39)))</f>
        <v>0.774304</v>
      </c>
      <c r="DU56" s="120">
        <f t="array" ref="DU56">MAX(INDEX(properties!A$1:CB$87,'Fórmula'!B56,39),INDEX(properties!A$1:CB$87,'Fórmula'!D56,39),INDEX(properties!A$1:CB$87,'Fórmula'!F56,39),INDEX(properties!A$1:CB$87,'Fórmula'!H56,39),INDEX(properties!A$1:CB$87,'Fórmula'!J56,39))</f>
        <v>1.94</v>
      </c>
      <c r="DV56" s="120">
        <f t="array" ref="DV56">MIN(IF(INDEX(properties!A$1:CB$87,'Fórmula'!B56,39)=0,10^6,INDEX(properties!A$1:CB$87,'Fórmula'!B56,39)),IF(INDEX(properties!A$1:CB$87,'Fórmula'!D56,39)=0,10^6,INDEX(properties!A$1:CB$87,'Fórmula'!D56,39)),IF(INDEX(properties!A$1:CB$87,'Fórmula'!F56,39)=0,10^6,INDEX(properties!A$1:CB$87,'Fórmula'!F56,39)),IF(INDEX(properties!A$1:CB$87,'Fórmula'!H56,39)=0,10^6,INDEX(properties!A$1:CB$87,'Fórmula'!H56,39)),IF(INDEX(properties!A$1:CB$87,'Fórmula'!J56,39)=0,10^6,INDEX(properties!A$1:CB$87,'Fórmula'!J56,39)))</f>
        <v>0.48</v>
      </c>
      <c r="DW56" s="109">
        <f t="shared" si="21"/>
        <v>1.46</v>
      </c>
      <c r="DX56" s="110">
        <f t="array" ref="DX56">(('Fórmula'!C56)/('Fórmula'!C56+'Fórmula'!E56+'Fórmula'!G56+'Fórmula'!I56+'Fórmula'!K56))*(INDEX(properties!A$1:CB$87,'Fórmula'!B56,40))+(('Fórmula'!E56)/('Fórmula'!C56+'Fórmula'!E56+'Fórmula'!G56+'Fórmula'!I56+'Fórmula'!K56))*(INDEX(properties!A$1:CB$87,'Fórmula'!D56,40))+(('Fórmula'!G56)/('Fórmula'!C56+'Fórmula'!E56+'Fórmula'!G56+'Fórmula'!I56+'Fórmula'!K56))*(INDEX(properties!A$1:CB$87,'Fórmula'!F56,40))+(('Fórmula'!I56)/('Fórmula'!C56+'Fórmula'!E56+'Fórmula'!G56+'Fórmula'!I56+'Fórmula'!K56))*(INDEX(properties!A$1:CB$87,'Fórmula'!H56,40))+(('Fórmula'!K56)/('Fórmula'!C56+'Fórmula'!E56+'Fórmula'!G56+'Fórmula'!I56+'Fórmula'!K56))*(INDEX(properties!A$1:CB$87,'Fórmula'!J56,40))</f>
        <v>1.018333333</v>
      </c>
      <c r="DY56" s="110">
        <f t="array" ref="DY56">'Fórmula'!C56*(INDEX(properties!A$1:CB$87,'Fórmula'!B56,40))+'Fórmula'!E56*(INDEX(properties!A$1:CB$87,'Fórmula'!D56,40))+'Fórmula'!G56*(INDEX(properties!A$1:CB$87,'Fórmula'!F56,40))+'Fórmula'!I56*(INDEX(properties!A$1:CB$87,'Fórmula'!H56,40))+'Fórmula'!K56*(INDEX(properties!A$1:CB$87,'Fórmula'!J56,40))</f>
        <v>6.11</v>
      </c>
      <c r="DZ56" s="110">
        <f t="array" ref="DZ56">VARP(IF(INDEX(properties!A$1:CB$87,'Fórmula'!B56,40)&lt;&gt;"",INDEX(properties!A$1:CB$87,'Fórmula'!B56,40)),IF(INDEX(properties!A$1:CB$87,'Fórmula'!D56,40)&lt;&gt;"",INDEX(properties!A$1:CB$87,'Fórmula'!D56,40)),IF(INDEX(properties!A$1:CB$87,'Fórmula'!F56,40)&lt;&gt;"",INDEX(properties!A$1:CB$87,'Fórmula'!F56,40)),IF(INDEX(properties!A$1:CB$87,'Fórmula'!H56,40)&lt;&gt;"",INDEX(properties!A$1:CB$87,'Fórmula'!H56,40)),IF(INDEX(properties!A$1:CB$87,'Fórmula'!J56,40)&lt;&gt;"",INDEX(properties!A$1:CB$87,'Fórmula'!J56,40)))</f>
        <v>0.517944</v>
      </c>
      <c r="EA56" s="121">
        <f t="array" ref="EA56">MAX(INDEX(properties!A$1:CB$87,'Fórmula'!B56,40),INDEX(properties!A$1:CB$87,'Fórmula'!D56,40),INDEX(properties!A$1:CB$87,'Fórmula'!F56,40),INDEX(properties!A$1:CB$87,'Fórmula'!H56,40),INDEX(properties!A$1:CB$87,'Fórmula'!J56,40))</f>
        <v>1.74</v>
      </c>
      <c r="EB56" s="121">
        <f t="array" ref="EB56">MIN(IF(INDEX(properties!A$1:CB$87,'Fórmula'!B56,40)=0,10^6,INDEX(properties!A$1:CB$87,'Fórmula'!B56,40)),IF(INDEX(properties!A$1:CB$87,'Fórmula'!D56,40)=0,10^6,INDEX(properties!A$1:CB$87,'Fórmula'!D56,40)),IF(INDEX(properties!A$1:CB$87,'Fórmula'!F56,40)=0,10^6,INDEX(properties!A$1:CB$87,'Fórmula'!F56,40)),IF(INDEX(properties!A$1:CB$87,'Fórmula'!H56,40)=0,10^6,INDEX(properties!A$1:CB$87,'Fórmula'!H56,40)),IF(INDEX(properties!A$1:CB$87,'Fórmula'!J56,40)=0,10^6,INDEX(properties!A$1:CB$87,'Fórmula'!J56,40)))</f>
        <v>0.73</v>
      </c>
      <c r="EC56" s="110">
        <f t="shared" si="22"/>
        <v>1.01</v>
      </c>
      <c r="ED56" s="111">
        <f t="array" ref="ED56">(('Fórmula'!C56)/('Fórmula'!C56+'Fórmula'!E56+'Fórmula'!G56+'Fórmula'!I56+'Fórmula'!K56))*(INDEX(properties!A$1:CB$87,'Fórmula'!B56,41))+(('Fórmula'!E56)/('Fórmula'!C56+'Fórmula'!E56+'Fórmula'!G56+'Fórmula'!I56+'Fórmula'!K56))*(INDEX(properties!A$1:CB$87,'Fórmula'!D56,41))+(('Fórmula'!G56)/('Fórmula'!C56+'Fórmula'!E56+'Fórmula'!G56+'Fórmula'!I56+'Fórmula'!K56))*(INDEX(properties!A$1:CB$87,'Fórmula'!F56,41))+(('Fórmula'!I56)/('Fórmula'!C56+'Fórmula'!E56+'Fórmula'!G56+'Fórmula'!I56+'Fórmula'!K56))*(INDEX(properties!A$1:CB$87,'Fórmula'!H56,41))+(('Fórmula'!K56)/('Fórmula'!C56+'Fórmula'!E56+'Fórmula'!G56+'Fórmula'!I56+'Fórmula'!K56))*(INDEX(properties!A$1:CB$87,'Fórmula'!J56,41))</f>
        <v>1.168333333</v>
      </c>
      <c r="EE56" s="111">
        <f t="array" ref="EE56">'Fórmula'!C56*(INDEX(properties!A$1:CB$87,'Fórmula'!B56,41))+'Fórmula'!E56*(INDEX(properties!A$1:CB$87,'Fórmula'!D56,41))+'Fórmula'!G56*(INDEX(properties!A$1:CB$87,'Fórmula'!F56,41))+'Fórmula'!I56*(INDEX(properties!A$1:CB$87,'Fórmula'!H56,41))+'Fórmula'!K56*(INDEX(properties!A$1:CB$87,'Fórmula'!J56,41))</f>
        <v>7.01</v>
      </c>
      <c r="EF56" s="111">
        <f t="array" ref="EF56">VARP(IF(INDEX(properties!A$1:CB$87,'Fórmula'!B56,41)&lt;&gt;"",INDEX(properties!A$1:CB$87,'Fórmula'!B56,41)),IF(INDEX(properties!A$1:CB$87,'Fórmula'!D56,41)&lt;&gt;"",INDEX(properties!A$1:CB$87,'Fórmula'!D56,41)),IF(INDEX(properties!A$1:CB$87,'Fórmula'!F56,41)&lt;&gt;"",INDEX(properties!A$1:CB$87,'Fórmula'!F56,41)),IF(INDEX(properties!A$1:CB$87,'Fórmula'!H56,41)&lt;&gt;"",INDEX(properties!A$1:CB$87,'Fórmula'!H56,41)),IF(INDEX(properties!A$1:CB$87,'Fórmula'!J56,41)&lt;&gt;"",INDEX(properties!A$1:CB$87,'Fórmula'!J56,41)))</f>
        <v>0.297904</v>
      </c>
      <c r="EG56" s="122">
        <f t="array" ref="EG56">MAX(INDEX(properties!A$1:CB$87,'Fórmula'!B56,41),INDEX(properties!A$1:CB$87,'Fórmula'!D56,41),INDEX(properties!A$1:CB$87,'Fórmula'!F56,41),INDEX(properties!A$1:CB$87,'Fórmula'!H56,41),INDEX(properties!A$1:CB$87,'Fórmula'!J56,41))</f>
        <v>1.26</v>
      </c>
      <c r="EH56" s="122">
        <f t="array" ref="EH56">MIN(IF(INDEX(properties!A$1:CB$87,'Fórmula'!B56,41)=0,10^6,INDEX(properties!A$1:CB$87,'Fórmula'!B56,41)),IF(INDEX(properties!A$1:CB$87,'Fórmula'!D56,41)=0,10^6,INDEX(properties!A$1:CB$87,'Fórmula'!D56,41)),IF(INDEX(properties!A$1:CB$87,'Fórmula'!F56,41)=0,10^6,INDEX(properties!A$1:CB$87,'Fórmula'!F56,41)),IF(INDEX(properties!A$1:CB$87,'Fórmula'!H56,41)=0,10^6,INDEX(properties!A$1:CB$87,'Fórmula'!H56,41)),IF(INDEX(properties!A$1:CB$87,'Fórmula'!J56,41)=0,10^6,INDEX(properties!A$1:CB$87,'Fórmula'!J56,41)))</f>
        <v>0.83</v>
      </c>
      <c r="EI56" s="111">
        <f t="shared" si="23"/>
        <v>0.43</v>
      </c>
      <c r="EJ56" s="112">
        <f t="array" ref="EJ56">(('Fórmula'!C56)/('Fórmula'!C56+'Fórmula'!E56+'Fórmula'!G56+'Fórmula'!I56+'Fórmula'!K56))*(INDEX(properties!A$1:CB$87,'Fórmula'!B56,45))+(('Fórmula'!E56)/('Fórmula'!C56+'Fórmula'!E56+'Fórmula'!G56+'Fórmula'!I56+'Fórmula'!K56))*(INDEX(properties!A$1:CB$87,'Fórmula'!D56,45))+(('Fórmula'!G56)/('Fórmula'!C56+'Fórmula'!E56+'Fórmula'!G56+'Fórmula'!I56+'Fórmula'!K56))*(INDEX(properties!A$1:CB$87,'Fórmula'!F56,45))+(('Fórmula'!I56)/('Fórmula'!C56+'Fórmula'!E56+'Fórmula'!G56+'Fórmula'!I56+'Fórmula'!K56))*(INDEX(properties!A$1:CB$87,'Fórmula'!H56,45))+(('Fórmula'!K56)/('Fórmula'!C56+'Fórmula'!E56+'Fórmula'!G56+'Fórmula'!I56+'Fórmula'!K56))*(INDEX(properties!A$1:CB$87,'Fórmula'!J56,45))</f>
        <v>1.266666667</v>
      </c>
      <c r="EK56" s="112">
        <f t="array" ref="EK56">'Fórmula'!C56*(INDEX(properties!A$1:CB$87,'Fórmula'!B56,45))+'Fórmula'!E56*(INDEX(properties!A$1:CB$87,'Fórmula'!D56,45))+'Fórmula'!G56*(INDEX(properties!A$1:CB$87,'Fórmula'!F56,45))+'Fórmula'!I56*(INDEX(properties!A$1:CB$87,'Fórmula'!H56,45))+'Fórmula'!K56*(INDEX(properties!A$1:CB$87,'Fórmula'!J56,45))</f>
        <v>7.6</v>
      </c>
      <c r="EL56" s="112">
        <f t="array" ref="EL56">VARP(IF(INDEX(properties!A$1:CB$87,'Fórmula'!B56,45)&lt;&gt;"",INDEX(properties!A$1:CB$87,'Fórmula'!B56,45)),IF(INDEX(properties!A$1:CB$87,'Fórmula'!D56,45)&lt;&gt;"",INDEX(properties!A$1:CB$87,'Fórmula'!D56,45)),IF(INDEX(properties!A$1:CB$87,'Fórmula'!F56,45)&lt;&gt;"",INDEX(properties!A$1:CB$87,'Fórmula'!F56,45)),IF(INDEX(properties!A$1:CB$87,'Fórmula'!H56,45)&lt;&gt;"",INDEX(properties!A$1:CB$87,'Fórmula'!H56,45)),IF(INDEX(properties!A$1:CB$87,'Fórmula'!J56,45)&lt;&gt;"",INDEX(properties!A$1:CB$87,'Fórmula'!J56,45)))</f>
        <v>1.791216</v>
      </c>
      <c r="EM56" s="123">
        <f t="array" ref="EM56">MAX(INDEX(properties!A$1:CB$87,'Fórmula'!B56,45),INDEX(properties!A$1:CB$87,'Fórmula'!D56,45),INDEX(properties!A$1:CB$87,'Fórmula'!F56,45),INDEX(properties!A$1:CB$87,'Fórmula'!H56,45),INDEX(properties!A$1:CB$87,'Fórmula'!J56,45))</f>
        <v>3</v>
      </c>
      <c r="EN56" s="123">
        <f t="array" ref="EN56">MIN(IF(INDEX(properties!A$1:CB$87,'Fórmula'!B56,45)=0,10^6,INDEX(properties!A$1:CB$87,'Fórmula'!B56,45)),IF(INDEX(properties!A$1:CB$87,'Fórmula'!D56,45)=0,10^6,INDEX(properties!A$1:CB$87,'Fórmula'!D56,45)),IF(INDEX(properties!A$1:CB$87,'Fórmula'!F56,45)=0,10^6,INDEX(properties!A$1:CB$87,'Fórmula'!F56,45)),IF(INDEX(properties!A$1:CB$87,'Fórmula'!H56,45)=0,10^6,INDEX(properties!A$1:CB$87,'Fórmula'!H56,45)),IF(INDEX(properties!A$1:CB$87,'Fórmula'!J56,45)=0,10^6,INDEX(properties!A$1:CB$87,'Fórmula'!J56,45)))</f>
        <v>0.47</v>
      </c>
      <c r="EO56" s="112">
        <f t="shared" si="24"/>
        <v>2.53</v>
      </c>
      <c r="EP56" s="113">
        <f t="array" ref="EP56">(('Fórmula'!C56)/('Fórmula'!C56+'Fórmula'!E56+'Fórmula'!G56+'Fórmula'!I56+'Fórmula'!K56))*(INDEX(properties!A$1:CB$87,'Fórmula'!B56,46))+(('Fórmula'!E56)/('Fórmula'!C56+'Fórmula'!E56+'Fórmula'!G56+'Fórmula'!I56+'Fórmula'!K56))*(INDEX(properties!A$1:CB$87,'Fórmula'!D56,46))+(('Fórmula'!G56)/('Fórmula'!C56+'Fórmula'!E56+'Fórmula'!G56+'Fórmula'!I56+'Fórmula'!K56))*(INDEX(properties!A$1:CB$87,'Fórmula'!F56,46))+(('Fórmula'!I56)/('Fórmula'!C56+'Fórmula'!E56+'Fórmula'!G56+'Fórmula'!I56+'Fórmula'!K56))*(INDEX(properties!A$1:CB$87,'Fórmula'!H56,46))+(('Fórmula'!K56)/('Fórmula'!C56+'Fórmula'!E56+'Fórmula'!G56+'Fórmula'!I56+'Fórmula'!K56))*(INDEX(properties!A$1:CB$87,'Fórmula'!J56,46))</f>
        <v>1.128333333</v>
      </c>
      <c r="EQ56" s="113">
        <f t="array" ref="EQ56">'Fórmula'!C56*(INDEX(properties!A$1:CB$87,'Fórmula'!B56,46))+'Fórmula'!E56*(INDEX(properties!A$1:CB$87,'Fórmula'!D56,46))+'Fórmula'!G56*(INDEX(properties!A$1:CB$87,'Fórmula'!F56,46))+'Fórmula'!I56*(INDEX(properties!A$1:CB$87,'Fórmula'!H56,46))+'Fórmula'!K56*(INDEX(properties!A$1:CB$87,'Fórmula'!J56,46))</f>
        <v>6.77</v>
      </c>
      <c r="ER56" s="113">
        <f t="array" ref="ER56">VARP(IF(INDEX(properties!A$1:CB$87,'Fórmula'!B56,46)&lt;&gt;"",INDEX(properties!A$1:CB$87,'Fórmula'!B56,46)),IF(INDEX(properties!A$1:CB$87,'Fórmula'!D56,46)&lt;&gt;"",INDEX(properties!A$1:CB$87,'Fórmula'!D56,46)),IF(INDEX(properties!A$1:CB$87,'Fórmula'!F56,46)&lt;&gt;"",INDEX(properties!A$1:CB$87,'Fórmula'!F56,46)),IF(INDEX(properties!A$1:CB$87,'Fórmula'!H56,46)&lt;&gt;"",INDEX(properties!A$1:CB$87,'Fórmula'!H56,46)),IF(INDEX(properties!A$1:CB$87,'Fórmula'!J56,46)&lt;&gt;"",INDEX(properties!A$1:CB$87,'Fórmula'!J56,46)))</f>
        <v>0.283176</v>
      </c>
      <c r="ES56" s="124">
        <f t="array" ref="ES56">MAX(INDEX(properties!A$1:CB$87,'Fórmula'!B56,46),INDEX(properties!A$1:CB$87,'Fórmula'!D56,46),INDEX(properties!A$1:CB$87,'Fórmula'!F56,46),INDEX(properties!A$1:CB$87,'Fórmula'!H56,46),INDEX(properties!A$1:CB$87,'Fórmula'!J56,46))</f>
        <v>1.21</v>
      </c>
      <c r="ET56" s="124">
        <f t="array" ref="ET56">MIN(IF(INDEX(properties!A$1:CB$87,'Fórmula'!B56,46)=0,10^6,INDEX(properties!A$1:CB$87,'Fórmula'!B56,46)),IF(INDEX(properties!A$1:CB$87,'Fórmula'!D56,46)=0,10^6,INDEX(properties!A$1:CB$87,'Fórmula'!D56,46)),IF(INDEX(properties!A$1:CB$87,'Fórmula'!F56,46)=0,10^6,INDEX(properties!A$1:CB$87,'Fórmula'!F56,46)),IF(INDEX(properties!A$1:CB$87,'Fórmula'!H56,46)=0,10^6,INDEX(properties!A$1:CB$87,'Fórmula'!H56,46)),IF(INDEX(properties!A$1:CB$87,'Fórmula'!J56,46)=0,10^6,INDEX(properties!A$1:CB$87,'Fórmula'!J56,46)))</f>
        <v>0.79</v>
      </c>
      <c r="EU56" s="113">
        <f t="shared" si="25"/>
        <v>0.42</v>
      </c>
      <c r="EV56" s="114">
        <f t="array" ref="EV56">(('Fórmula'!C56)/('Fórmula'!C56+'Fórmula'!E56+'Fórmula'!G56+'Fórmula'!I56+'Fórmula'!K56))*(INDEX(properties!A$1:CB$87,'Fórmula'!B56,52))+(('Fórmula'!E56)/('Fórmula'!C56+'Fórmula'!E56+'Fórmula'!G56+'Fórmula'!I56+'Fórmula'!K56))*(INDEX(properties!A$1:CB$87,'Fórmula'!D56,52))+(('Fórmula'!G56)/('Fórmula'!C56+'Fórmula'!E56+'Fórmula'!G56+'Fórmula'!I56+'Fórmula'!K56))*(INDEX(properties!A$1:CB$87,'Fórmula'!F56,52))+(('Fórmula'!I56)/('Fórmula'!C56+'Fórmula'!E56+'Fórmula'!G56+'Fórmula'!I56+'Fórmula'!K56))*(INDEX(properties!A$1:CB$87,'Fórmula'!H56,52))+(('Fórmula'!K56)/('Fórmula'!C56+'Fórmula'!E56+'Fórmula'!G56+'Fórmula'!I56+'Fórmula'!K56))*(INDEX(properties!A$1:CB$87,'Fórmula'!J56,52))</f>
        <v>6.462</v>
      </c>
      <c r="EW56" s="114">
        <f t="array" ref="EW56">'Fórmula'!C56*(INDEX(properties!A$1:CB$87,'Fórmula'!B56,52))+'Fórmula'!E56*(INDEX(properties!A$1:CB$87,'Fórmula'!D56,52))+'Fórmula'!G56*(INDEX(properties!A$1:CB$87,'Fórmula'!F56,52))+'Fórmula'!I56*(INDEX(properties!A$1:CB$87,'Fórmula'!H56,52))+'Fórmula'!K56*(INDEX(properties!A$1:CB$87,'Fórmula'!J56,52))</f>
        <v>38.772</v>
      </c>
      <c r="EX56" s="114">
        <f t="array" ref="EX56">VARP(IF(INDEX(properties!A$1:CB$87,'Fórmula'!B56,52)&lt;&gt;"",INDEX(properties!A$1:CB$87,'Fórmula'!B56,52)),IF(INDEX(properties!A$1:CB$87,'Fórmula'!D56,52)&lt;&gt;"",INDEX(properties!A$1:CB$87,'Fórmula'!D56,52)),IF(INDEX(properties!A$1:CB$87,'Fórmula'!F56,52)&lt;&gt;"",INDEX(properties!A$1:CB$87,'Fórmula'!F56,52)),IF(INDEX(properties!A$1:CB$87,'Fórmula'!H56,52)&lt;&gt;"",INDEX(properties!A$1:CB$87,'Fórmula'!H56,52)),IF(INDEX(properties!A$1:CB$87,'Fórmula'!J56,52)&lt;&gt;"",INDEX(properties!A$1:CB$87,'Fórmula'!J56,52)))</f>
        <v>83.88375184</v>
      </c>
      <c r="EY56" s="114">
        <f t="array" ref="EY56">MAX(INDEX(properties!A$1:CB$87,'Fórmula'!B56,52),INDEX(properties!A$1:CB$87,'Fórmula'!D56,52),INDEX(properties!A$1:CB$87,'Fórmula'!F56,52),INDEX(properties!A$1:CB$87,'Fórmula'!H56,52),INDEX(properties!A$1:CB$87,'Fórmula'!J56,52))</f>
        <v>22.8</v>
      </c>
      <c r="EZ56" s="114">
        <f t="array" ref="EZ56">MIN(IF(INDEX(properties!A$1:CB$87,'Fórmula'!B56,52)=0,10^6,INDEX(properties!A$1:CB$87,'Fórmula'!B56,52)),IF(INDEX(properties!A$1:CB$87,'Fórmula'!D56,52)=0,10^6,INDEX(properties!A$1:CB$87,'Fórmula'!D56,52)),IF(INDEX(properties!A$1:CB$87,'Fórmula'!F56,52)=0,10^6,INDEX(properties!A$1:CB$87,'Fórmula'!F56,52)),IF(INDEX(properties!A$1:CB$87,'Fórmula'!H56,52)=0,10^6,INDEX(properties!A$1:CB$87,'Fórmula'!H56,52)),IF(INDEX(properties!A$1:CB$87,'Fórmula'!J56,52)=0,10^6,INDEX(properties!A$1:CB$87,'Fórmula'!J56,52)))</f>
        <v>0.793</v>
      </c>
      <c r="FA56" s="114">
        <f t="shared" si="26"/>
        <v>22.007</v>
      </c>
      <c r="FB56" s="115">
        <f t="array" ref="FB56">(('Fórmula'!C56)/('Fórmula'!C56+'Fórmula'!E56+'Fórmula'!G56+'Fórmula'!I56+'Fórmula'!K56))*(INDEX(properties!A$1:CB$87,'Fórmula'!B56,53))+(('Fórmula'!E56)/('Fórmula'!C56+'Fórmula'!E56+'Fórmula'!G56+'Fórmula'!I56+'Fórmula'!K56))*(INDEX(properties!A$1:CB$87,'Fórmula'!D56,53))+(('Fórmula'!G56)/('Fórmula'!C56+'Fórmula'!E56+'Fórmula'!G56+'Fórmula'!I56+'Fórmula'!K56))*(INDEX(properties!A$1:CB$87,'Fórmula'!F56,53))+(('Fórmula'!I56)/('Fórmula'!C56+'Fórmula'!E56+'Fórmula'!G56+'Fórmula'!I56+'Fórmula'!K56))*(INDEX(properties!A$1:CB$87,'Fórmula'!H56,53))+(('Fórmula'!K56)/('Fórmula'!C56+'Fórmula'!E56+'Fórmula'!G56+'Fórmula'!I56+'Fórmula'!K56))*(INDEX(properties!A$1:CB$87,'Fórmula'!J56,53))</f>
        <v>703.55</v>
      </c>
      <c r="FC56" s="115">
        <f t="array" ref="FC56">'Fórmula'!C56*(INDEX(properties!A$1:CB$87,'Fórmula'!B56,53))+'Fórmula'!E56*(INDEX(properties!A$1:CB$87,'Fórmula'!D56,53))+'Fórmula'!G56*(INDEX(properties!A$1:CB$87,'Fórmula'!F56,53))+'Fórmula'!I56*(INDEX(properties!A$1:CB$87,'Fórmula'!H56,53))+'Fórmula'!K56*(INDEX(properties!A$1:CB$87,'Fórmula'!J56,53))</f>
        <v>4221.3</v>
      </c>
      <c r="FD56" s="115">
        <f t="array" ref="FD56">VARP(IF(INDEX(properties!A$1:CB$87,'Fórmula'!B56,53)&lt;&gt;"",INDEX(properties!A$1:CB$87,'Fórmula'!B56,53)),IF(INDEX(properties!A$1:CB$87,'Fórmula'!D56,53)&lt;&gt;"",INDEX(properties!A$1:CB$87,'Fórmula'!D56,53)),IF(INDEX(properties!A$1:CB$87,'Fórmula'!F56,53)&lt;&gt;"",INDEX(properties!A$1:CB$87,'Fórmula'!F56,53)),IF(INDEX(properties!A$1:CB$87,'Fórmula'!H56,53)&lt;&gt;"",INDEX(properties!A$1:CB$87,'Fórmula'!H56,53)),IF(INDEX(properties!A$1:CB$87,'Fórmula'!J56,53)&lt;&gt;"",INDEX(properties!A$1:CB$87,'Fórmula'!J56,53)))</f>
        <v>1260182.253</v>
      </c>
      <c r="FE56" s="115">
        <f t="array" ref="FE56">MAX(INDEX(properties!A$1:CB$87,'Fórmula'!B56,53),INDEX(properties!A$1:CB$87,'Fórmula'!D56,53),INDEX(properties!A$1:CB$87,'Fórmula'!F56,53),INDEX(properties!A$1:CB$87,'Fórmula'!H56,53),INDEX(properties!A$1:CB$87,'Fórmula'!J56,53))</f>
        <v>2890.15</v>
      </c>
      <c r="FF56" s="115">
        <f t="array" ref="FF56">MIN(IF(INDEX(properties!A$1:CB$87,'Fórmula'!B56,53)=0,10^6,INDEX(properties!A$1:CB$87,'Fórmula'!B56,53)),IF(INDEX(properties!A$1:CB$87,'Fórmula'!D56,53)=0,10^6,INDEX(properties!A$1:CB$87,'Fórmula'!D56,53)),IF(INDEX(properties!A$1:CB$87,'Fórmula'!F56,53)=0,10^6,INDEX(properties!A$1:CB$87,'Fórmula'!F56,53)),IF(INDEX(properties!A$1:CB$87,'Fórmula'!H56,53)=0,10^6,INDEX(properties!A$1:CB$87,'Fórmula'!H56,53)),IF(INDEX(properties!A$1:CB$87,'Fórmula'!J56,53)=0,10^6,INDEX(properties!A$1:CB$87,'Fórmula'!J56,53)))</f>
        <v>54.75</v>
      </c>
      <c r="FG56" s="115">
        <f t="shared" si="27"/>
        <v>2835.4</v>
      </c>
      <c r="FH56" s="117">
        <f t="array" ref="FH56">(('Fórmula'!C56)/('Fórmula'!C56+'Fórmula'!E56+'Fórmula'!G56+'Fórmula'!I56+'Fórmula'!K56))*(INDEX(properties!A$1:CB$87,'Fórmula'!B56,54))+(('Fórmula'!E56)/('Fórmula'!C56+'Fórmula'!E56+'Fórmula'!G56+'Fórmula'!I56+'Fórmula'!K56))*(INDEX(properties!A$1:CB$87,'Fórmula'!D56,54))+(('Fórmula'!G56)/('Fórmula'!C56+'Fórmula'!E56+'Fórmula'!G56+'Fórmula'!I56+'Fórmula'!K56))*(INDEX(properties!A$1:CB$87,'Fórmula'!F56,54))+(('Fórmula'!I56)/('Fórmula'!C56+'Fórmula'!E56+'Fórmula'!G56+'Fórmula'!I56+'Fórmula'!K56))*(INDEX(properties!A$1:CB$87,'Fórmula'!H56,54))+(('Fórmula'!K56)/('Fórmula'!C56+'Fórmula'!E56+'Fórmula'!G56+'Fórmula'!I56+'Fórmula'!K56))*(INDEX(properties!A$1:CB$87,'Fórmula'!J56,54))</f>
        <v>1167.15</v>
      </c>
      <c r="FI56" s="117">
        <f t="array" ref="FI56">'Fórmula'!C56*(INDEX(properties!A$1:CB$87,'Fórmula'!B56,54))+'Fórmula'!E56*(INDEX(properties!A$1:CB$87,'Fórmula'!D56,54))+'Fórmula'!G56*(INDEX(properties!A$1:CB$87,'Fórmula'!F56,54))+'Fórmula'!I56*(INDEX(properties!A$1:CB$87,'Fórmula'!H56,54))+'Fórmula'!K56*(INDEX(properties!A$1:CB$87,'Fórmula'!J56,54))</f>
        <v>7002.9</v>
      </c>
      <c r="FJ56" s="117">
        <f t="array" ref="FJ56">VARP(IF(INDEX(properties!A$1:CB$87,'Fórmula'!B56,54)&lt;&gt;"",INDEX(properties!A$1:CB$87,'Fórmula'!B56,54)),IF(INDEX(properties!A$1:CB$87,'Fórmula'!D56,54)&lt;&gt;"",INDEX(properties!A$1:CB$87,'Fórmula'!D56,54)),IF(INDEX(properties!A$1:CB$87,'Fórmula'!F56,54)&lt;&gt;"",INDEX(properties!A$1:CB$87,'Fórmula'!F56,54)),IF(INDEX(properties!A$1:CB$87,'Fórmula'!H56,54)&lt;&gt;"",INDEX(properties!A$1:CB$87,'Fórmula'!H56,54)),IF(INDEX(properties!A$1:CB$87,'Fórmula'!J56,54)&lt;&gt;"",INDEX(properties!A$1:CB$87,'Fórmula'!J56,54)))</f>
        <v>3579043.413</v>
      </c>
      <c r="FK56" s="117">
        <f t="array" ref="FK56">MAX(INDEX(properties!A$1:CB$87,'Fórmula'!B56,54),INDEX(properties!A$1:CB$87,'Fórmula'!D56,54),INDEX(properties!A$1:CB$87,'Fórmula'!F56,54),INDEX(properties!A$1:CB$87,'Fórmula'!H56,54),INDEX(properties!A$1:CB$87,'Fórmula'!J56,54))</f>
        <v>4885.15</v>
      </c>
      <c r="FL56" s="117">
        <f t="array" ref="FL56">MIN(IF(INDEX(properties!A$1:CB$87,'Fórmula'!B56,54)=0,10^6,INDEX(properties!A$1:CB$87,'Fórmula'!B56,54)),IF(INDEX(properties!A$1:CB$87,'Fórmula'!D56,54)=0,10^6,INDEX(properties!A$1:CB$87,'Fórmula'!D56,54)),IF(INDEX(properties!A$1:CB$87,'Fórmula'!F56,54)=0,10^6,INDEX(properties!A$1:CB$87,'Fórmula'!F56,54)),IF(INDEX(properties!A$1:CB$87,'Fórmula'!H56,54)=0,10^6,INDEX(properties!A$1:CB$87,'Fórmula'!H56,54)),IF(INDEX(properties!A$1:CB$87,'Fórmula'!J56,54)=0,10^6,INDEX(properties!A$1:CB$87,'Fórmula'!J56,54)))</f>
        <v>90.15</v>
      </c>
      <c r="FM56" s="117">
        <f t="shared" si="28"/>
        <v>4795</v>
      </c>
      <c r="FN56" s="118">
        <f t="array" ref="FN56">(('Fórmula'!C56)/('Fórmula'!C56+'Fórmula'!E56+'Fórmula'!G56+'Fórmula'!I56+'Fórmula'!K56))*(INDEX(properties!A$1:CB$87,'Fórmula'!B56,55))+(('Fórmula'!E56)/('Fórmula'!C56+'Fórmula'!E56+'Fórmula'!G56+'Fórmula'!I56+'Fórmula'!K56))*(INDEX(properties!A$1:CB$87,'Fórmula'!D56,55))+(('Fórmula'!G56)/('Fórmula'!C56+'Fórmula'!E56+'Fórmula'!G56+'Fórmula'!I56+'Fórmula'!K56))*(INDEX(properties!A$1:CB$87,'Fórmula'!F56,55))+(('Fórmula'!I56)/('Fórmula'!C56+'Fórmula'!E56+'Fórmula'!G56+'Fórmula'!I56+'Fórmula'!K56))*(INDEX(properties!A$1:CB$87,'Fórmula'!H56,55))+(('Fórmula'!K56)/('Fórmula'!C56+'Fórmula'!E56+'Fórmula'!G56+'Fórmula'!I56+'Fórmula'!K56))*(INDEX(properties!A$1:CB$87,'Fórmula'!J56,55))</f>
        <v>1.959286667</v>
      </c>
      <c r="FO56" s="118">
        <f t="array" ref="FO56">'Fórmula'!C56*(INDEX(properties!A$1:CB$87,'Fórmula'!B56,55))+'Fórmula'!E56*(INDEX(properties!A$1:CB$87,'Fórmula'!D56,54))+'Fórmula'!G56*(INDEX(properties!A$1:CB$87,'Fórmula'!F56,55))+'Fórmula'!I56*(INDEX(properties!A$1:CB$87,'Fórmula'!H56,55))+'Fórmula'!K56*(INDEX(properties!A$1:CB$87,'Fórmula'!J56,55))</f>
        <v>4886.70572</v>
      </c>
      <c r="FP56" s="118">
        <f t="array" ref="FP56">VARP(IF(INDEX(properties!A$1:CB$87,'Fórmula'!B56,55)&lt;&gt;"",INDEX(properties!A$1:CB$87,'Fórmula'!B56,55)),IF(INDEX(properties!A$1:CB$87,'Fórmula'!D56,55)&lt;&gt;"",INDEX(properties!A$1:CB$87,'Fórmula'!D56,55)),IF(INDEX(properties!A$1:CB$87,'Fórmula'!F56,55)&lt;&gt;"",INDEX(properties!A$1:CB$87,'Fórmula'!F56,55)),IF(INDEX(properties!A$1:CB$87,'Fórmula'!H56,55)&lt;&gt;"",INDEX(properties!A$1:CB$87,'Fórmula'!H56,55)),IF(INDEX(properties!A$1:CB$87,'Fórmula'!J56,55)&lt;&gt;"",INDEX(properties!A$1:CB$87,'Fórmula'!J56,55)))</f>
        <v>15.76465613</v>
      </c>
      <c r="FQ56" s="118">
        <f t="array" ref="FQ56">MAX(INDEX(properties!A$1:CB$87,'Fórmula'!B56,55),INDEX(properties!A$1:CB$87,'Fórmula'!D56,55),INDEX(properties!A$1:CB$87,'Fórmula'!F56,55),INDEX(properties!A$1:CB$87,'Fórmula'!H56,55),INDEX(properties!A$1:CB$87,'Fórmula'!J56,55))</f>
        <v>10.2</v>
      </c>
      <c r="FR56" s="118">
        <f t="array" ref="FR56">MIN(IF(INDEX(properties!A$1:CB$87,'Fórmula'!B56,55)=0,10^6,INDEX(properties!A$1:CB$87,'Fórmula'!B56,55)),IF(INDEX(properties!A$1:CB$87,'Fórmula'!D56,55)=0,10^6,INDEX(properties!A$1:CB$87,'Fórmula'!D56,55)),IF(INDEX(properties!A$1:CB$87,'Fórmula'!F56,55)=0,10^6,INDEX(properties!A$1:CB$87,'Fórmula'!F56,55)),IF(INDEX(properties!A$1:CB$87,'Fórmula'!H56,55)=0,10^6,INDEX(properties!A$1:CB$87,'Fórmula'!H56,55)),IF(INDEX(properties!A$1:CB$87,'Fórmula'!J56,55)=0,10^6,INDEX(properties!A$1:CB$87,'Fórmula'!J56,55)))</f>
        <v>0.00143</v>
      </c>
      <c r="FS56" s="118">
        <f t="shared" si="29"/>
        <v>10.19857</v>
      </c>
      <c r="FT56" s="119">
        <f t="array" ref="FT56">(('Fórmula'!C56)/('Fórmula'!C56+'Fórmula'!E56+'Fórmula'!G56+'Fórmula'!I56+'Fórmula'!K56))*(INDEX(properties!A$1:CB$87,'Fórmula'!B56,56))+(('Fórmula'!E56)/('Fórmula'!C56+'Fórmula'!E56+'Fórmula'!G56+'Fórmula'!I56+'Fórmula'!K56))*(INDEX(properties!A$1:CB$87,'Fórmula'!D56,56))+(('Fórmula'!G56)/('Fórmula'!C56+'Fórmula'!E56+'Fórmula'!G56+'Fórmula'!I56+'Fórmula'!K56))*(INDEX(properties!A$1:CB$87,'Fórmula'!F56,56))+(('Fórmula'!I56)/('Fórmula'!C56+'Fórmula'!E56+'Fórmula'!G56+'Fórmula'!I56+'Fórmula'!K56))*(INDEX(properties!A$1:CB$87,'Fórmula'!H56,56))+(('Fórmula'!K56)/('Fórmula'!C56+'Fórmula'!E56+'Fórmula'!G56+'Fórmula'!I56+'Fórmula'!K56))*(INDEX(properties!A$1:CB$87,'Fórmula'!J56,56))</f>
        <v>0.76</v>
      </c>
      <c r="FU56" s="119">
        <f t="array" ref="FU56">'Fórmula'!C56*(INDEX(properties!A$1:CB$87,'Fórmula'!B56,56))+'Fórmula'!E56*(INDEX(properties!A$1:CB$87,'Fórmula'!D56,56))+'Fórmula'!G56*(INDEX(properties!A$1:CB$87,'Fórmula'!F56,56))+'Fórmula'!I56*(INDEX(properties!A$1:CB$87,'Fórmula'!H56,56))+'Fórmula'!K56*(INDEX(properties!A$1:CB$87,'Fórmula'!J56,56))</f>
        <v>4.56</v>
      </c>
      <c r="FV56" s="119">
        <f t="array" ref="FV56">VARP(IF(INDEX(properties!A$1:CB$87,'Fórmula'!B56,56)&lt;&gt;"",INDEX(properties!A$1:CB$87,'Fórmula'!B56,56)),IF(INDEX(properties!A$1:CB$87,'Fórmula'!D56,56)&lt;&gt;"",INDEX(properties!A$1:CB$87,'Fórmula'!D56,56)),IF(INDEX(properties!A$1:CB$87,'Fórmula'!F56,56)&lt;&gt;"",INDEX(properties!A$1:CB$87,'Fórmula'!F56,56)),IF(INDEX(properties!A$1:CB$87,'Fórmula'!H56,56)&lt;&gt;"",INDEX(properties!A$1:CB$87,'Fórmula'!H56,56)),IF(INDEX(properties!A$1:CB$87,'Fórmula'!J56,56)&lt;&gt;"",INDEX(properties!A$1:CB$87,'Fórmula'!J56,56)))</f>
        <v>0.13156</v>
      </c>
      <c r="FW56" s="119">
        <f t="array" ref="FW56">MAX(INDEX(properties!A$1:CB$87,'Fórmula'!B56,56),INDEX(properties!A$1:CB$87,'Fórmula'!D56,56),INDEX(properties!A$1:CB$87,'Fórmula'!F56,56),INDEX(properties!A$1:CB$87,'Fórmula'!H56,56),INDEX(properties!A$1:CB$87,'Fórmula'!J56,56))</f>
        <v>0.92</v>
      </c>
      <c r="FX56" s="119">
        <f t="array" ref="FX56">MIN(IF(INDEX(properties!A$1:CB$87,'Fórmula'!B56,56)=0,10^6,INDEX(properties!A$1:CB$87,'Fórmula'!B56,56)),IF(INDEX(properties!A$1:CB$87,'Fórmula'!D56,56)=0,10^6,INDEX(properties!A$1:CB$87,'Fórmula'!D56,56)),IF(INDEX(properties!A$1:CB$87,'Fórmula'!F56,56)=0,10^6,INDEX(properties!A$1:CB$87,'Fórmula'!F56,56)),IF(INDEX(properties!A$1:CB$87,'Fórmula'!H56,56)=0,10^6,INDEX(properties!A$1:CB$87,'Fórmula'!H56,56)),IF(INDEX(properties!A$1:CB$87,'Fórmula'!J56,56)=0,10^6,INDEX(properties!A$1:CB$87,'Fórmula'!J56,56)))</f>
        <v>0.25</v>
      </c>
      <c r="FY56" s="119">
        <f t="shared" si="30"/>
        <v>0.67</v>
      </c>
      <c r="FZ56" s="104">
        <f t="array" ref="FZ56">(('Fórmula'!C56)/('Fórmula'!C56+'Fórmula'!E56+'Fórmula'!G56+'Fórmula'!I56+'Fórmula'!K56))*(INDEX(properties!A$1:CB$87,'Fórmula'!B56,57))+(('Fórmula'!E56)/('Fórmula'!C56+'Fórmula'!E56+'Fórmula'!G56+'Fórmula'!I56+'Fórmula'!K56))*(INDEX(properties!A$1:CB$87,'Fórmula'!D56,57))+(('Fórmula'!G56)/('Fórmula'!C56+'Fórmula'!E56+'Fórmula'!G56+'Fórmula'!I56+'Fórmula'!K56))*(INDEX(properties!A$1:CB$87,'Fórmula'!F56,57))+(('Fórmula'!I56)/('Fórmula'!C56+'Fórmula'!E56+'Fórmula'!G56+'Fórmula'!I56+'Fórmula'!K56))*(INDEX(properties!A$1:CB$87,'Fórmula'!H56,57))+(('Fórmula'!K56)/('Fórmula'!C56+'Fórmula'!E56+'Fórmula'!G56+'Fórmula'!I56+'Fórmula'!K56))*(INDEX(properties!A$1:CB$87,'Fórmula'!J56,57))</f>
        <v>6.90506</v>
      </c>
      <c r="GA56" s="104">
        <f t="array" ref="GA56">'Fórmula'!C56*(INDEX(properties!A$1:CB$87,'Fórmula'!B56,57))+'Fórmula'!E56*(INDEX(properties!A$1:CB$87,'Fórmula'!D56,57))+'Fórmula'!G56*(INDEX(properties!A$1:CB$87,'Fórmula'!F56,57))+'Fórmula'!I56*(INDEX(properties!A$1:CB$87,'Fórmula'!H56,57))+'Fórmula'!K56*(INDEX(properties!A$1:CB$87,'Fórmula'!J56,57))</f>
        <v>41.43036</v>
      </c>
      <c r="GB56" s="104">
        <f t="array" ref="GB56">VARP(IF(INDEX(properties!A$1:CB$87,'Fórmula'!B56,57)&lt;&gt;"",INDEX(properties!A$1:CB$87,'Fórmula'!B56,57)),IF(INDEX(properties!A$1:CB$87,'Fórmula'!D56,57)&lt;&gt;"",INDEX(properties!A$1:CB$87,'Fórmula'!D56,57)),IF(INDEX(properties!A$1:CB$87,'Fórmula'!F56,57)&lt;&gt;"",INDEX(properties!A$1:CB$87,'Fórmula'!F56,57)),IF(INDEX(properties!A$1:CB$87,'Fórmula'!H56,57)&lt;&gt;"",INDEX(properties!A$1:CB$87,'Fórmula'!H56,57)),IF(INDEX(properties!A$1:CB$87,'Fórmula'!J56,57)&lt;&gt;"",INDEX(properties!A$1:CB$87,'Fórmula'!J56,57)))</f>
        <v>152.9326795</v>
      </c>
      <c r="GC56" s="104">
        <f t="array" ref="GC56">MAX(INDEX(properties!A$1:CB$87,'Fórmula'!B56,57),INDEX(properties!A$1:CB$87,'Fórmula'!D56,57),INDEX(properties!A$1:CB$87,'Fórmula'!F56,57),INDEX(properties!A$1:CB$87,'Fórmula'!H56,57),INDEX(properties!A$1:CB$87,'Fórmula'!J56,57))</f>
        <v>32</v>
      </c>
      <c r="GD56" s="104">
        <f t="array" ref="GD56">MIN(IF(INDEX(properties!A$1:CB$87,'Fórmula'!B56,57)=0,10^6,INDEX(properties!A$1:CB$87,'Fórmula'!B56,57)),IF(INDEX(properties!A$1:CB$87,'Fórmula'!D56,57)=0,10^6,INDEX(properties!A$1:CB$87,'Fórmula'!D56,57)),IF(INDEX(properties!A$1:CB$87,'Fórmula'!F56,57)=0,10^6,INDEX(properties!A$1:CB$87,'Fórmula'!F56,57)),IF(INDEX(properties!A$1:CB$87,'Fórmula'!H56,57)=0,10^6,INDEX(properties!A$1:CB$87,'Fórmula'!H56,57)),IF(INDEX(properties!A$1:CB$87,'Fórmula'!J56,57)=0,10^6,INDEX(properties!A$1:CB$87,'Fórmula'!J56,57)))</f>
        <v>0.22259</v>
      </c>
      <c r="GE56" s="104">
        <f t="shared" si="31"/>
        <v>31.77741</v>
      </c>
      <c r="GF56" s="105">
        <f t="array" ref="GF56">(('Fórmula'!C56)/('Fórmula'!C56+'Fórmula'!E56+'Fórmula'!G56+'Fórmula'!I56+'Fórmula'!K56))*(INDEX(properties!A$1:CB$87,'Fórmula'!B56,60))+(('Fórmula'!E56)/('Fórmula'!C56+'Fórmula'!E56+'Fórmula'!G56+'Fórmula'!I56+'Fórmula'!K56))*(INDEX(properties!A$1:CB$87,'Fórmula'!D56,60))+(('Fórmula'!G56)/('Fórmula'!C56+'Fórmula'!E56+'Fórmula'!G56+'Fórmula'!I56+'Fórmula'!K56))*(INDEX(properties!A$1:CB$87,'Fórmula'!F56,60))+(('Fórmula'!I56)/('Fórmula'!C56+'Fórmula'!E56+'Fórmula'!G56+'Fórmula'!I56+'Fórmula'!K56))*(INDEX(properties!A$1:CB$87,'Fórmula'!H56,60))+(('Fórmula'!K56)/('Fórmula'!C56+'Fórmula'!E56+'Fórmula'!G56+'Fórmula'!I56+'Fórmula'!K56))*(INDEX(properties!A$1:CB$87,'Fórmula'!J56,60))</f>
        <v>56.35116</v>
      </c>
      <c r="GG56" s="105">
        <f t="array" ref="GG56">'Fórmula'!C56*(INDEX(properties!A$1:CB$87,'Fórmula'!B56,60))+'Fórmula'!E56*(INDEX(properties!A$1:CB$87,'Fórmula'!D56,60))+'Fórmula'!G56*(INDEX(properties!A$1:CB$87,'Fórmula'!F56,60))+'Fórmula'!I56*(INDEX(properties!A$1:CB$87,'Fórmula'!H56,60))+'Fórmula'!K56*(INDEX(properties!A$1:CB$87,'Fórmula'!J56,60))</f>
        <v>338.10696</v>
      </c>
      <c r="GH56" s="105">
        <f t="array" ref="GH56">VARP(IF(INDEX(properties!A$1:CB$87,'Fórmula'!B56,60)&lt;&gt;"",INDEX(properties!A$1:CB$87,'Fórmula'!B56,60)),IF(INDEX(properties!A$1:CB$87,'Fórmula'!D56,60)&lt;&gt;"",INDEX(properties!A$1:CB$87,'Fórmula'!D56,60)),IF(INDEX(properties!A$1:CB$87,'Fórmula'!F56,60)&lt;&gt;"",INDEX(properties!A$1:CB$87,'Fórmula'!F56,60)),IF(INDEX(properties!A$1:CB$87,'Fórmula'!H56,60)&lt;&gt;"",INDEX(properties!A$1:CB$87,'Fórmula'!H56,60)),IF(INDEX(properties!A$1:CB$87,'Fórmula'!J56,60)&lt;&gt;"",INDEX(properties!A$1:CB$87,'Fórmula'!J56,60)))</f>
        <v>7238.317065</v>
      </c>
      <c r="GI56" s="105">
        <f t="array" ref="GI56">MAX(INDEX(properties!A$1:CB$87,'Fórmula'!B56,60),INDEX(properties!A$1:CB$87,'Fórmula'!D56,60),INDEX(properties!A$1:CB$87,'Fórmula'!F56,60),INDEX(properties!A$1:CB$87,'Fórmula'!H56,60),INDEX(properties!A$1:CB$87,'Fórmula'!J56,60))</f>
        <v>200</v>
      </c>
      <c r="GJ56" s="105">
        <f t="array" ref="GJ56">MIN(IF(INDEX(properties!A$1:CB$87,'Fórmula'!B56,60)=0,10^6,INDEX(properties!A$1:CB$87,'Fórmula'!B56,60)),IF(INDEX(properties!A$1:CB$87,'Fórmula'!D56,60)=0,10^6,INDEX(properties!A$1:CB$87,'Fórmula'!D56,60)),IF(INDEX(properties!A$1:CB$87,'Fórmula'!F56,60)=0,10^6,INDEX(properties!A$1:CB$87,'Fórmula'!F56,60)),IF(INDEX(properties!A$1:CB$87,'Fórmula'!H56,60)=0,10^6,INDEX(properties!A$1:CB$87,'Fórmula'!H56,60)),IF(INDEX(properties!A$1:CB$87,'Fórmula'!J56,60)=0,10^6,INDEX(properties!A$1:CB$87,'Fórmula'!J56,60)))</f>
        <v>0.02674</v>
      </c>
      <c r="GK56" s="105">
        <f t="shared" si="32"/>
        <v>199.97326</v>
      </c>
      <c r="GL56" s="106">
        <f t="array" ref="GL56">(('Fórmula'!C56)/('Fórmula'!C56+'Fórmula'!E56+'Fórmula'!G56+'Fórmula'!I56+'Fórmula'!K56))*(INDEX(properties!A$1:CB$87,'Fórmula'!B56,62))+(('Fórmula'!E56)/('Fórmula'!C56+'Fórmula'!E56+'Fórmula'!G56+'Fórmula'!I56+'Fórmula'!K56))*(INDEX(properties!A$1:CB$87,'Fórmula'!D56,62))+(('Fórmula'!G56)/('Fórmula'!C56+'Fórmula'!E56+'Fórmula'!G56+'Fórmula'!I56+'Fórmula'!K56))*(INDEX(properties!A$1:CB$87,'Fórmula'!F56,62))+(('Fórmula'!I56)/('Fórmula'!C56+'Fórmula'!E56+'Fórmula'!G56+'Fórmula'!I56+'Fórmula'!K56))*(INDEX(properties!A$1:CB$87,'Fórmula'!H56,62))+(('Fórmula'!K56)/('Fórmula'!C56+'Fórmula'!E56+'Fórmula'!G56+'Fórmula'!I56+'Fórmula'!K56))*(INDEX(properties!A$1:CB$87,'Fórmula'!J56,62))</f>
        <v>3.19</v>
      </c>
      <c r="GM56" s="106">
        <f t="array" ref="GM56">'Fórmula'!C56*(INDEX(properties!A$1:CB$87,'Fórmula'!B56,62))+'Fórmula'!E56*(INDEX(properties!A$1:CB$87,'Fórmula'!D56,62))+'Fórmula'!G56*(INDEX(properties!A$1:CB$87,'Fórmula'!F56,62))+'Fórmula'!I56*(INDEX(properties!A$1:CB$87,'Fórmula'!H56,62))+'Fórmula'!K56*(INDEX(properties!A$1:CB$87,'Fórmula'!J56,62))</f>
        <v>19.14</v>
      </c>
      <c r="GN56" s="106">
        <f t="array" ref="GN56">VARP(IF(INDEX(properties!A$1:CB$87,'Fórmula'!B56,62)&lt;&gt;"",INDEX(properties!A$1:CB$87,'Fórmula'!B56,62)),IF(INDEX(properties!A$1:CB$87,'Fórmula'!D56,62)&lt;&gt;"",INDEX(properties!A$1:CB$87,'Fórmula'!D56,62)),IF(INDEX(properties!A$1:CB$87,'Fórmula'!F56,62)&lt;&gt;"",INDEX(properties!A$1:CB$87,'Fórmula'!F56,62)),IF(INDEX(properties!A$1:CB$87,'Fórmula'!H56,62)&lt;&gt;"",INDEX(properties!A$1:CB$87,'Fórmula'!H56,62)),IF(INDEX(properties!A$1:CB$87,'Fórmula'!J56,62)&lt;&gt;"",INDEX(properties!A$1:CB$87,'Fórmula'!J56,62)))</f>
        <v>6.262944</v>
      </c>
      <c r="GO56" s="106">
        <f t="array" ref="GO56">MAX(INDEX(properties!A$1:CB$87,'Fórmula'!B56,62),INDEX(properties!A$1:CB$87,'Fórmula'!D56,62),INDEX(properties!A$1:CB$87,'Fórmula'!F56,62),INDEX(properties!A$1:CB$87,'Fórmula'!H56,62),INDEX(properties!A$1:CB$87,'Fórmula'!J56,62))</f>
        <v>6.82</v>
      </c>
      <c r="GP56" s="106">
        <f t="array" ref="GP56">MIN(IF(INDEX(properties!A$1:CB$87,'Fórmula'!B56,62)=0,10^6,INDEX(properties!A$1:CB$87,'Fórmula'!B56,62)),IF(INDEX(properties!A$1:CB$87,'Fórmula'!D56,62)=0,10^6,INDEX(properties!A$1:CB$87,'Fórmula'!D56,62)),IF(INDEX(properties!A$1:CB$87,'Fórmula'!F56,62)=0,10^6,INDEX(properties!A$1:CB$87,'Fórmula'!F56,62)),IF(INDEX(properties!A$1:CB$87,'Fórmula'!H56,62)=0,10^6,INDEX(properties!A$1:CB$87,'Fórmula'!H56,62)),IF(INDEX(properties!A$1:CB$87,'Fórmula'!J56,62)=0,10^6,INDEX(properties!A$1:CB$87,'Fórmula'!J56,62)))</f>
        <v>1.84</v>
      </c>
      <c r="GQ56" s="106">
        <f t="shared" si="33"/>
        <v>4.98</v>
      </c>
      <c r="GR56" s="106">
        <f>'Fórmula'!Q56</f>
        <v>88</v>
      </c>
      <c r="GS56" s="107">
        <f>'Fórmula'!P56</f>
        <v>2</v>
      </c>
      <c r="GT56" s="113">
        <f>'Fórmula'!O56</f>
        <v>4.25</v>
      </c>
      <c r="GU56" s="114">
        <f>AVERAGE('Fórmula'!R56/'Fórmula'!S56,'Fórmula'!S56/'Fórmula'!T56,'Fórmula'!T56/'Fórmula'!R56)</f>
        <v>1.215048725</v>
      </c>
      <c r="GV56" s="125">
        <f>'Fórmula'!U56</f>
        <v>312.31</v>
      </c>
      <c r="GW56" s="106">
        <f>'Fórmula'!N56</f>
        <v>0.1</v>
      </c>
    </row>
    <row r="57" ht="14.25" customHeight="1">
      <c r="A57" s="99" t="str">
        <f>'Fórmula'!A57</f>
        <v>Sr3B2O6</v>
      </c>
      <c r="B57" s="101">
        <f t="array" ref="B57">(('Fórmula'!C57)/('Fórmula'!C57+'Fórmula'!E57+'Fórmula'!G57+'Fórmula'!I57+'Fórmula'!K57))*(INDEX(properties!A$1:CB$87,'Fórmula'!B57,3))+(('Fórmula'!E57)/('Fórmula'!C57+'Fórmula'!E57+'Fórmula'!G57+'Fórmula'!I57+'Fórmula'!K57))*(INDEX(properties!A$1:CB$87,'Fórmula'!D57,3))+(('Fórmula'!G57)/('Fórmula'!C57+'Fórmula'!E57+'Fórmula'!G57+'Fórmula'!I57+'Fórmula'!K57))*(INDEX(properties!A$1:CB$87,'Fórmula'!F57,3))+(('Fórmula'!I57)/('Fórmula'!C57+'Fórmula'!E57+'Fórmula'!G57+'Fórmula'!I57+'Fórmula'!K57))*(INDEX(properties!A$1:CB$87,'Fórmula'!H57,3))+(('Fórmula'!K57)/('Fórmula'!C57+'Fórmula'!E57+'Fórmula'!G57+'Fórmula'!I57+'Fórmula'!K57))*(INDEX(properties!A$1:CB$87,'Fórmula'!J57,3))</f>
        <v>34.58894545</v>
      </c>
      <c r="C57" s="101">
        <f t="array" ref="C57">'Fórmula'!C57*(INDEX(properties!A$1:CB$87,'Fórmula'!B57,3))+'Fórmula'!E57*(INDEX(properties!A$1:CB$87,'Fórmula'!D57,3))+'Fórmula'!G57*(INDEX(properties!A$1:CB$87,'Fórmula'!F57,3))+'Fórmula'!I57*(INDEX(properties!A$1:CB$87,'Fórmula'!H57,3))+'Fórmula'!K57*(INDEX(properties!A$1:CB$87,'Fórmula'!J57,3))</f>
        <v>380.4784</v>
      </c>
      <c r="D57" s="101">
        <f t="array" ref="D57">VARP(IF(INDEX(properties!A$1:CB$87,'Fórmula'!B57,3)&lt;&gt;"",INDEX(properties!A$1:CB$87,'Fórmula'!B57,3)),IF(INDEX(properties!A$1:CB$87,'Fórmula'!D57,3)&lt;&gt;"",INDEX(properties!A$1:CB$87,'Fórmula'!D57,3)),IF(INDEX(properties!A$1:CB$87,'Fórmula'!F57,3)&lt;&gt;"",INDEX(properties!A$1:CB$87,'Fórmula'!F57,3)),IF(INDEX(properties!A$1:CB$87,'Fórmula'!H57,3)&lt;&gt;"",INDEX(properties!A$1:CB$87,'Fórmula'!H57,3)),IF(INDEX(properties!A$1:CB$87,'Fórmula'!J57,3)&lt;&gt;"",INDEX(properties!A$1:CB$87,'Fórmula'!J57,3)))</f>
        <v>1086.251927</v>
      </c>
      <c r="E57" s="101">
        <f t="array" ref="E57">MAX(INDEX(properties!A$1:CB$87,'Fórmula'!B57,3),INDEX(properties!A$1:CB$87,'Fórmula'!D57,3),INDEX(properties!A$1:CB$87,'Fórmula'!F57,3),INDEX(properties!A$1:CB$87,'Fórmula'!H57,3),INDEX(properties!A$1:CB$87,'Fórmula'!J57,3))</f>
        <v>87.62</v>
      </c>
      <c r="F57" s="101">
        <f t="array" ref="F57">MIN(IF(INDEX(properties!A$1:CB$87,'Fórmula'!B57,3)=0,10^6,INDEX(properties!A$1:CB$87,'Fórmula'!B57,3)),IF(INDEX(properties!A$1:CB$87,'Fórmula'!D57,3)=0,10^6,INDEX(properties!A$1:CB$87,'Fórmula'!D57,3)),IF(INDEX(properties!A$1:CB$87,'Fórmula'!F57,3)=0,10^6,INDEX(properties!A$1:CB$87,'Fórmula'!F57,3)),IF(INDEX(properties!A$1:CB$87,'Fórmula'!H57,3)=0,10^6,INDEX(properties!A$1:CB$87,'Fórmula'!H57,3)),IF(INDEX(properties!A$1:CB$87,'Fórmula'!J57,3)=0,10^6,INDEX(properties!A$1:CB$87,'Fórmula'!J57,3)))</f>
        <v>10.811</v>
      </c>
      <c r="G57" s="101">
        <f t="shared" si="1"/>
        <v>76.809</v>
      </c>
      <c r="H57" s="102">
        <f t="array" ref="H57">(('Fórmula'!C57)/('Fórmula'!C57+'Fórmula'!E57+'Fórmula'!G57+'Fórmula'!I57+'Fórmula'!K57))*(INDEX(properties!A$1:CB$87,'Fórmula'!B57,4))+(('Fórmula'!E57)/('Fórmula'!C57+'Fórmula'!E57+'Fórmula'!G57+'Fórmula'!I57+'Fórmula'!K57))*(INDEX(properties!A$1:CB$87,'Fórmula'!D57,4))+(('Fórmula'!G57)/('Fórmula'!C57+'Fórmula'!E57+'Fórmula'!G57+'Fórmula'!I57+'Fórmula'!K57))*(INDEX(properties!A$1:CB$87,'Fórmula'!F57,4))+(('Fórmula'!I57)/('Fórmula'!C57+'Fórmula'!E57+'Fórmula'!G57+'Fórmula'!I57+'Fórmula'!K57))*(INDEX(properties!A$1:CB$87,'Fórmula'!H57,4))+(('Fórmula'!K57)/('Fórmula'!C57+'Fórmula'!E57+'Fórmula'!G57+'Fórmula'!I57+'Fórmula'!K57))*(INDEX(properties!A$1:CB$87,'Fórmula'!J57,4))</f>
        <v>15.63636364</v>
      </c>
      <c r="I57" s="102">
        <f t="array" ref="I57">'Fórmula'!C57*(INDEX(properties!A$1:CB$87,'Fórmula'!B57,4))+'Fórmula'!E57*(INDEX(properties!A$1:CB$87,'Fórmula'!D57,4))+'Fórmula'!G57*(INDEX(properties!A$1:CB$87,'Fórmula'!F57,4))+'Fórmula'!I57*(INDEX(properties!A$1:CB$87,'Fórmula'!H57,4))+'Fórmula'!K57*(INDEX(properties!A$1:CB$87,'Fórmula'!J57,4))</f>
        <v>172</v>
      </c>
      <c r="J57" s="102">
        <f t="array" ref="J57">VARP(IF(INDEX(properties!A$1:CB$87,'Fórmula'!B57,4)&lt;&gt;"",INDEX(properties!A$1:CB$87,'Fórmula'!B57,4)),IF(INDEX(properties!A$1:CB$87,'Fórmula'!D57,4)&lt;&gt;"",INDEX(properties!A$1:CB$87,'Fórmula'!D57,4)),IF(INDEX(properties!A$1:CB$87,'Fórmula'!F57,4)&lt;&gt;"",INDEX(properties!A$1:CB$87,'Fórmula'!F57,4)),IF(INDEX(properties!A$1:CB$87,'Fórmula'!H57,4)&lt;&gt;"",INDEX(properties!A$1:CB$87,'Fórmula'!H57,4)),IF(INDEX(properties!A$1:CB$87,'Fórmula'!J57,4)&lt;&gt;"",INDEX(properties!A$1:CB$87,'Fórmula'!J57,4)))</f>
        <v>202.56</v>
      </c>
      <c r="K57" s="102">
        <f t="array" ref="K57">MAX(INDEX(properties!A$1:CB$87,'Fórmula'!B57,4),INDEX(properties!A$1:CB$87,'Fórmula'!D57,4),INDEX(properties!A$1:CB$87,'Fórmula'!F57,4),INDEX(properties!A$1:CB$87,'Fórmula'!H57,4),INDEX(properties!A$1:CB$87,'Fórmula'!J57,4))</f>
        <v>38</v>
      </c>
      <c r="L57" s="102">
        <f t="array" ref="L57">MIN(IF(INDEX(properties!A$1:CB$87,'Fórmula'!B57,4)=0,10^6,INDEX(properties!A$1:CB$87,'Fórmula'!B57,4)),IF(INDEX(properties!A$1:CB$87,'Fórmula'!D57,4)=0,10^6,INDEX(properties!A$1:CB$87,'Fórmula'!D57,4)),IF(INDEX(properties!A$1:CB$87,'Fórmula'!F57,4)=0,10^6,INDEX(properties!A$1:CB$87,'Fórmula'!F57,4)),IF(INDEX(properties!A$1:CB$87,'Fórmula'!H57,4)=0,10^6,INDEX(properties!A$1:CB$87,'Fórmula'!H57,4)),IF(INDEX(properties!A$1:CB$87,'Fórmula'!J57,4)=0,10^6,INDEX(properties!A$1:CB$87,'Fórmula'!J57,4)))</f>
        <v>5</v>
      </c>
      <c r="M57" s="102">
        <f t="shared" si="2"/>
        <v>33</v>
      </c>
      <c r="N57" s="103">
        <f t="array" ref="N57">(('Fórmula'!C57)/('Fórmula'!C57+'Fórmula'!E57+'Fórmula'!G57+'Fórmula'!I57+'Fórmula'!K57))*(INDEX(properties!A$1:CB$87,'Fórmula'!B57,5))+(('Fórmula'!E57)/('Fórmula'!C57+'Fórmula'!E57+'Fórmula'!G57+'Fórmula'!I57+'Fórmula'!K57))*(INDEX(properties!A$1:CB$87,'Fórmula'!D57,5))+(('Fórmula'!G57)/('Fórmula'!C57+'Fórmula'!E57+'Fórmula'!G57+'Fórmula'!I57+'Fórmula'!K57))*(INDEX(properties!A$1:CB$87,'Fórmula'!F57,5))+(('Fórmula'!I57)/('Fórmula'!C57+'Fórmula'!E57+'Fórmula'!G57+'Fórmula'!I57+'Fórmula'!K57))*(INDEX(properties!A$1:CB$87,'Fórmula'!H57,5))+(('Fórmula'!K57)/('Fórmula'!C57+'Fórmula'!E57+'Fórmula'!G57+'Fórmula'!I57+'Fórmula'!K57))*(INDEX(properties!A$1:CB$87,'Fórmula'!J57,5))</f>
        <v>2.818181818</v>
      </c>
      <c r="O57" s="103">
        <f t="array" ref="O57">'Fórmula'!C57*(INDEX(properties!A$1:CB$87,'Fórmula'!B57,5))+'Fórmula'!E57*(INDEX(properties!A$1:CB$87,'Fórmula'!D57,5))+'Fórmula'!G57*(INDEX(properties!A$1:CB$87,'Fórmula'!F57,5))+'Fórmula'!I57*(INDEX(properties!A$1:CB$87,'Fórmula'!H57,5))+'Fórmula'!K57*(INDEX(properties!A$1:CB$87,'Fórmula'!J57,5))</f>
        <v>31</v>
      </c>
      <c r="P57" s="103">
        <f t="array" ref="P57">VARP(IF(INDEX(properties!A$1:CB$87,'Fórmula'!B57,5)&lt;&gt;"",INDEX(properties!A$1:CB$87,'Fórmula'!B57,5)),IF(INDEX(properties!A$1:CB$87,'Fórmula'!D57,5)&lt;&gt;"",INDEX(properties!A$1:CB$87,'Fórmula'!D57,5)),IF(INDEX(properties!A$1:CB$87,'Fórmula'!F57,5)&lt;&gt;"",INDEX(properties!A$1:CB$87,'Fórmula'!F57,5)),IF(INDEX(properties!A$1:CB$87,'Fórmula'!H57,5)&lt;&gt;"",INDEX(properties!A$1:CB$87,'Fórmula'!H57,5)),IF(INDEX(properties!A$1:CB$87,'Fórmula'!J57,5)&lt;&gt;"",INDEX(properties!A$1:CB$87,'Fórmula'!J57,5)))</f>
        <v>3.36</v>
      </c>
      <c r="Q57" s="103">
        <f t="array" ref="Q57">MAX(INDEX(properties!A$1:CB$87,'Fórmula'!B57,5),INDEX(properties!A$1:CB$87,'Fórmula'!D57,5),INDEX(properties!A$1:CB$87,'Fórmula'!F57,5),INDEX(properties!A$1:CB$87,'Fórmula'!H57,5),INDEX(properties!A$1:CB$87,'Fórmula'!J57,5))</f>
        <v>5</v>
      </c>
      <c r="R57" s="103">
        <f t="array" ref="R57">MIN(IF(INDEX(properties!A$1:CB$87,'Fórmula'!B57,5)=0,10^6,INDEX(properties!A$1:CB$87,'Fórmula'!B57,5)),IF(INDEX(properties!A$1:CB$87,'Fórmula'!D57,5)=0,10^6,INDEX(properties!A$1:CB$87,'Fórmula'!D57,5)),IF(INDEX(properties!A$1:CB$87,'Fórmula'!F57,5)=0,10^6,INDEX(properties!A$1:CB$87,'Fórmula'!F57,5)),IF(INDEX(properties!A$1:CB$87,'Fórmula'!H57,5)=0,10^6,INDEX(properties!A$1:CB$87,'Fórmula'!H57,5)),IF(INDEX(properties!A$1:CB$87,'Fórmula'!J57,5)=0,10^6,INDEX(properties!A$1:CB$87,'Fórmula'!J57,5)))</f>
        <v>2</v>
      </c>
      <c r="S57" s="103">
        <f t="shared" si="3"/>
        <v>3</v>
      </c>
      <c r="T57" s="104">
        <f t="array" ref="T57">(('Fórmula'!C57)/('Fórmula'!C57+'Fórmula'!E57+'Fórmula'!G57+'Fórmula'!I57+'Fórmula'!K57))*(INDEX(properties!A$1:CB$87,'Fórmula'!B57,6))+(('Fórmula'!E57)/('Fórmula'!C57+'Fórmula'!E57+'Fórmula'!G57+'Fórmula'!I57+'Fórmula'!K57))*(INDEX(properties!A$1:CB$87,'Fórmula'!D57,6))+(('Fórmula'!G57)/('Fórmula'!C57+'Fórmula'!E57+'Fórmula'!G57+'Fórmula'!I57+'Fórmula'!K57))*(INDEX(properties!A$1:CB$87,'Fórmula'!F57,6))+(('Fórmula'!I57)/('Fórmula'!C57+'Fórmula'!E57+'Fórmula'!G57+'Fórmula'!I57+'Fórmula'!K57))*(INDEX(properties!A$1:CB$87,'Fórmula'!H57,6))+(('Fórmula'!K57)/('Fórmula'!C57+'Fórmula'!E57+'Fórmula'!G57+'Fórmula'!I57+'Fórmula'!K57))*(INDEX(properties!A$1:CB$87,'Fórmula'!J57,6))</f>
        <v>11.63636364</v>
      </c>
      <c r="U57" s="104">
        <f t="array" ref="U57">'Fórmula'!C57*(INDEX(properties!A$1:CB$87,'Fórmula'!B57,6))+'Fórmula'!E57*(INDEX(properties!A$1:CB$87,'Fórmula'!D57,6))+'Fórmula'!G57*(INDEX(properties!A$1:CB$87,'Fórmula'!F57,6))+'Fórmula'!I57*(INDEX(properties!A$1:CB$87,'Fórmula'!H57,6))+'Fórmula'!K57*(INDEX(properties!A$1:CB$87,'Fórmula'!J57,6))</f>
        <v>128</v>
      </c>
      <c r="V57" s="103">
        <f t="array" ref="V57">VARP(IF(INDEX(properties!A$1:CB$87,'Fórmula'!B57,6)&lt;&gt;"",INDEX(properties!A$1:CB$87,'Fórmula'!B57,6)),IF(INDEX(properties!A$1:CB$87,'Fórmula'!D57,6)&lt;&gt;"",INDEX(properties!A$1:CB$87,'Fórmula'!D57,6)),IF(INDEX(properties!A$1:CB$87,'Fórmula'!F57,6)&lt;&gt;"",INDEX(properties!A$1:CB$87,'Fórmula'!F57,6)),IF(INDEX(properties!A$1:CB$87,'Fórmula'!H57,6)&lt;&gt;"",INDEX(properties!A$1:CB$87,'Fórmula'!H57,6)),IF(INDEX(properties!A$1:CB$87,'Fórmula'!J57,6)&lt;&gt;"",INDEX(properties!A$1:CB$87,'Fórmula'!J57,6)))</f>
        <v>47.36</v>
      </c>
      <c r="W57" s="104">
        <f t="array" ref="W57">MAX(INDEX(properties!A$1:CB$87,'Fórmula'!B57,6),INDEX(properties!A$1:CB$87,'Fórmula'!D57,6),INDEX(properties!A$1:CB$87,'Fórmula'!F57,6),INDEX(properties!A$1:CB$87,'Fórmula'!H57,4),INDEX(properties!A$1:CB$87,'Fórmula'!J57,6))</f>
        <v>16</v>
      </c>
      <c r="X57" s="104">
        <f t="array" ref="X57">MIN(IF(INDEX(properties!A$1:CB$87,'Fórmula'!B57,6)=0,10^6,INDEX(properties!A$1:CB$87,'Fórmula'!B57,6)),IF(INDEX(properties!A$1:CB$87,'Fórmula'!D57,6)=0,10^6,INDEX(properties!A$1:CB$87,'Fórmula'!D57,6)),IF(INDEX(properties!A$1:CB$87,'Fórmula'!F57,6)=0,10^6,INDEX(properties!A$1:CB$87,'Fórmula'!F57,6)),IF(INDEX(properties!A$1:CB$87,'Fórmula'!H57,6)=0,10^6,INDEX(properties!A$1:CB$87,'Fórmula'!H57,6)),IF(INDEX(properties!A$1:CB$87,'Fórmula'!J57,6)=0,10^6,INDEX(properties!A$1:CB$87,'Fórmula'!J57,6)))</f>
        <v>2</v>
      </c>
      <c r="Y57" s="104">
        <f t="shared" si="4"/>
        <v>14</v>
      </c>
      <c r="Z57" s="105">
        <f t="array" ref="Z57">(('Fórmula'!C57)/('Fórmula'!C57+'Fórmula'!E57+'Fórmula'!G57+'Fórmula'!I57+'Fórmula'!K57))*(INDEX(properties!A$1:CB$87,'Fórmula'!B57,9))+(('Fórmula'!E57)/('Fórmula'!C57+'Fórmula'!E57+'Fórmula'!G57+'Fórmula'!I57+'Fórmula'!K57))*(INDEX(properties!A$1:CB$87,'Fórmula'!D57,9))+(('Fórmula'!G57)/('Fórmula'!C57+'Fórmula'!E57+'Fórmula'!G57+'Fórmula'!I57+'Fórmula'!K57))*(INDEX(properties!A$1:CB$87,'Fórmula'!F57,9))+(('Fórmula'!I57)/('Fórmula'!C57+'Fórmula'!E57+'Fórmula'!G57+'Fórmula'!I57+'Fórmula'!K57))*(INDEX(properties!A$1:CB$87,'Fórmula'!H57,9))+(('Fórmula'!K57)/('Fórmula'!C57+'Fórmula'!E57+'Fórmula'!G57+'Fórmula'!I57+'Fórmula'!K57))*(INDEX(properties!A$1:CB$87,'Fórmula'!J57,9))</f>
        <v>62.72727273</v>
      </c>
      <c r="AA57" s="105">
        <f t="array" ref="AA57">'Fórmula'!C57*(INDEX(properties!A$1:CB$87,'Fórmula'!B57,9))+'Fórmula'!E57*(INDEX(properties!A$1:CB$87,'Fórmula'!D57,9))+'Fórmula'!G57*(INDEX(properties!A$1:CB$87,'Fórmula'!F57,9))+'Fórmula'!I57*(INDEX(properties!A$1:CB$87,'Fórmula'!H57,9))+'Fórmula'!K57*(INDEX(properties!A$1:CB$87,'Fórmula'!J57,9))</f>
        <v>690</v>
      </c>
      <c r="AB57" s="105">
        <f t="array" ref="AB57">VARP(IF(INDEX(properties!A$1:CB$87,'Fórmula'!B57,9)&lt;&gt;"",INDEX(properties!A$1:CB$87,'Fórmula'!B57,9)),IF(INDEX(properties!A$1:CB$87,'Fórmula'!D57,9)&lt;&gt;"",INDEX(properties!A$1:CB$87,'Fórmula'!D57,9)),IF(INDEX(properties!A$1:CB$87,'Fórmula'!F57,9)&lt;&gt;"",INDEX(properties!A$1:CB$87,'Fórmula'!F57,9)),IF(INDEX(properties!A$1:CB$87,'Fórmula'!H57,9)&lt;&gt;"",INDEX(properties!A$1:CB$87,'Fórmula'!H57,9)),IF(INDEX(properties!A$1:CB$87,'Fórmula'!J57,9)&lt;&gt;"",INDEX(properties!A$1:CB$87,'Fórmula'!J57,9)))</f>
        <v>1447.84</v>
      </c>
      <c r="AC57" s="105">
        <f t="array" ref="AC57">MAX(INDEX(properties!A$1:CB$87,'Fórmula'!B57,9),INDEX(properties!A$1:CB$87,'Fórmula'!D57,9),INDEX(properties!A$1:CB$87,'Fórmula'!F57,9),INDEX(properties!A$1:CB$87,'Fórmula'!H57,9),INDEX(properties!A$1:CB$87,'Fórmula'!J57,9))</f>
        <v>87</v>
      </c>
      <c r="AD57" s="105">
        <f t="array" ref="AD57">MIN(IF(INDEX(properties!A$1:CB$87,'Fórmula'!B57,9)=0,10^6,INDEX(properties!A$1:CB$87,'Fórmula'!B57,9)),IF(INDEX(properties!A$1:CB$87,'Fórmula'!D57,9)=0,10^6,INDEX(properties!A$1:CB$87,'Fórmula'!D57,9)),IF(INDEX(properties!A$1:CB$87,'Fórmula'!F57,9)=0,10^6,INDEX(properties!A$1:CB$87,'Fórmula'!F57,9)),IF(INDEX(properties!A$1:CB$87,'Fórmula'!H57,9)=0,10^6,INDEX(properties!A$1:CB$87,'Fórmula'!H57,9)),IF(INDEX(properties!A$1:CB$87,'Fórmula'!J57,9)=0,10^6,INDEX(properties!A$1:CB$87,'Fórmula'!J57,9)))</f>
        <v>8</v>
      </c>
      <c r="AE57" s="105">
        <f t="shared" si="5"/>
        <v>79</v>
      </c>
      <c r="AF57" s="106">
        <f t="array" ref="AF57">(('Fórmula'!C57)/('Fórmula'!C57+'Fórmula'!E57+'Fórmula'!G57+'Fórmula'!I57+'Fórmula'!K57))*(INDEX(properties!A$1:CB$87,'Fórmula'!B57,10))+(('Fórmula'!E57)/('Fórmula'!C57+'Fórmula'!E57+'Fórmula'!G57+'Fórmula'!I57+'Fórmula'!K57))*(INDEX(properties!A$1:CB$87,'Fórmula'!D57,10))+(('Fórmula'!G57)/('Fórmula'!C57+'Fórmula'!E57+'Fórmula'!G57+'Fórmula'!I57+'Fórmula'!K57))*(INDEX(properties!A$1:CB$87,'Fórmula'!F57,10))+(('Fórmula'!I57)/('Fórmula'!C57+'Fórmula'!E57+'Fórmula'!G57+'Fórmula'!I57+'Fórmula'!K57))*(INDEX(properties!A$1:CB$87,'Fórmula'!H57,10))+(('Fórmula'!K57)/('Fórmula'!C57+'Fórmula'!E57+'Fórmula'!G57+'Fórmula'!I57+'Fórmula'!K57))*(INDEX(properties!A$1:CB$87,'Fórmula'!J57,10))</f>
        <v>5.454545455</v>
      </c>
      <c r="AG57" s="106">
        <f t="array" ref="AG57">'Fórmula'!C57*(INDEX(properties!A$1:CB$87,'Fórmula'!B57,10))+'Fórmula'!E57*(INDEX(properties!A$1:CB$87,'Fórmula'!D57,10))+'Fórmula'!G57*(INDEX(properties!A$1:CB$87,'Fórmula'!F57,10))+'Fórmula'!I57*(INDEX(properties!A$1:CB$87,'Fórmula'!H57,10))+'Fórmula'!K57*(INDEX(properties!A$1:CB$87,'Fórmula'!J57,10))</f>
        <v>60</v>
      </c>
      <c r="AH57" s="106">
        <f t="array" ref="AH57">VARP(IF(INDEX(properties!A$1:CB$87,'Fórmula'!B57,10)&lt;&gt;"",INDEX(properties!A$1:CB$87,'Fórmula'!B57,10)),IF(INDEX(properties!A$1:CB$87,'Fórmula'!D57,10)&lt;&gt;"",INDEX(properties!A$1:CB$87,'Fórmula'!D57,10)),IF(INDEX(properties!A$1:CB$87,'Fórmula'!F57,10)&lt;&gt;"",INDEX(properties!A$1:CB$87,'Fórmula'!F57,10)),IF(INDEX(properties!A$1:CB$87,'Fórmula'!H57,10)&lt;&gt;"",INDEX(properties!A$1:CB$87,'Fórmula'!H57,10)),IF(INDEX(properties!A$1:CB$87,'Fórmula'!J57,10)&lt;&gt;"",INDEX(properties!A$1:CB$87,'Fórmula'!J57,10)))</f>
        <v>8.8</v>
      </c>
      <c r="AI57" s="106">
        <f t="array" ref="AI57">MAX(INDEX(properties!A$1:CB$87,'Fórmula'!B57,10),INDEX(properties!A$1:CB$87,'Fórmula'!D57,10),INDEX(properties!A$1:CB$87,'Fórmula'!F57,10),INDEX(properties!A$1:CB$87,'Fórmula'!H57,10),INDEX(properties!A$1:CB$87,'Fórmula'!J57,10))</f>
        <v>7</v>
      </c>
      <c r="AJ57" s="106">
        <f t="array" ref="AJ57">MIN(IF(INDEX(properties!A$1:CB$87,'Fórmula'!B57,10)=0,10^6,INDEX(properties!A$1:CB$87,'Fórmula'!B57,10)),IF(INDEX(properties!A$1:CB$87,'Fórmula'!D57,10)=0,10^6,INDEX(properties!A$1:CB$87,'Fórmula'!D57,10)),IF(INDEX(properties!A$1:CB$87,'Fórmula'!F57,10)=0,10^6,INDEX(properties!A$1:CB$87,'Fórmula'!F57,10)),IF(INDEX(properties!A$1:CB$87,'Fórmula'!H57,10)=0,10^6,INDEX(properties!A$1:CB$87,'Fórmula'!H57,10)),IF(INDEX(properties!A$1:CB$87,'Fórmula'!J57,10)=0,10^6,INDEX(properties!A$1:CB$87,'Fórmula'!J57,10)))</f>
        <v>2</v>
      </c>
      <c r="AK57" s="106">
        <f t="shared" si="6"/>
        <v>5</v>
      </c>
      <c r="AL57" s="107">
        <f t="array" ref="AL57">(('Fórmula'!C57)/('Fórmula'!C57+'Fórmula'!E57+'Fórmula'!G57+'Fórmula'!I57+'Fórmula'!K57))*(INDEX(properties!A$1:CB$87,'Fórmula'!B57,11))+(('Fórmula'!E57)/('Fórmula'!C57+'Fórmula'!E57+'Fórmula'!G57+'Fórmula'!I57+'Fórmula'!K57))*(INDEX(properties!A$1:CB$87,'Fórmula'!D57,11))+(('Fórmula'!G57)/('Fórmula'!C57+'Fórmula'!E57+'Fórmula'!G57+'Fórmula'!I57+'Fórmula'!K57))*(INDEX(properties!A$1:CB$87,'Fórmula'!F57,11))+(('Fórmula'!I57)/('Fórmula'!C57+'Fórmula'!E57+'Fórmula'!G57+'Fórmula'!I57+'Fórmula'!K57))*(INDEX(properties!A$1:CB$87,'Fórmula'!H57,11))+(('Fórmula'!K57)/('Fórmula'!C57+'Fórmula'!E57+'Fórmula'!G57+'Fórmula'!I57+'Fórmula'!K57))*(INDEX(properties!A$1:CB$87,'Fórmula'!J57,11))</f>
        <v>2</v>
      </c>
      <c r="AM57" s="107">
        <f t="array" ref="AM57">'Fórmula'!C57*(INDEX(properties!A$1:CB$87,'Fórmula'!B57,11))+'Fórmula'!E57*(INDEX(properties!A$1:CB$87,'Fórmula'!D57,11))+'Fórmula'!G57*(INDEX(properties!A$1:CB$87,'Fórmula'!F57,11))+'Fórmula'!I57*(INDEX(properties!A$1:CB$87,'Fórmula'!H57,11))+'Fórmula'!K57*(INDEX(properties!A$1:CB$87,'Fórmula'!J57,11))</f>
        <v>22</v>
      </c>
      <c r="AN57" s="107">
        <f t="array" ref="AN57">VARP(IF(INDEX(properties!A$1:CB$87,'Fórmula'!B57,11)&lt;&gt;"",INDEX(properties!A$1:CB$87,'Fórmula'!B57,11)),IF(INDEX(properties!A$1:CB$87,'Fórmula'!D57,11)&lt;&gt;"",INDEX(properties!A$1:CB$87,'Fórmula'!D57,11)),IF(INDEX(properties!A$1:CB$87,'Fórmula'!F57,11)&lt;&gt;"",INDEX(properties!A$1:CB$87,'Fórmula'!F57,11)),IF(INDEX(properties!A$1:CB$87,'Fórmula'!H57,11)&lt;&gt;"",INDEX(properties!A$1:CB$87,'Fórmula'!H57,11)),IF(INDEX(properties!A$1:CB$87,'Fórmula'!J57,11)&lt;&gt;"",INDEX(properties!A$1:CB$87,'Fórmula'!J57,11)))</f>
        <v>0.96</v>
      </c>
      <c r="AO57" s="107">
        <f t="array" ref="AO57">MAX(INDEX(properties!A$1:CB$87,'Fórmula'!B57,11),INDEX(properties!A$1:CB$87,'Fórmula'!D57,11),INDEX(properties!A$1:CB$87,'Fórmula'!F57,11),INDEX(properties!A$1:CB$87,'Fórmula'!H57,11),INDEX(properties!A$1:CB$87,'Fórmula'!J57,11))</f>
        <v>2</v>
      </c>
      <c r="AP57" s="107">
        <f t="array" ref="AP57">MIN(IF('Fórmula'!B57=87,10^6,INDEX(properties!A$1:CB$87,'Fórmula'!B57,11)),IF(('Fórmula'!D57)=87,10^6,INDEX(properties!A$1:CB$87,'Fórmula'!D57,11)),IF(('Fórmula'!F57)=87,10^6,INDEX(properties!A$1:CB$87,'Fórmula'!F57,11)),IF(('Fórmula'!H57)=87,10^6,INDEX(properties!A$1:CB$87,'Fórmula'!H57,11)),IF('Fórmula'!J57=87,10^6,INDEX(properties!A$1:CB$87,'Fórmula'!J57,11)))</f>
        <v>2</v>
      </c>
      <c r="AQ57" s="107">
        <f t="shared" si="7"/>
        <v>0</v>
      </c>
      <c r="AR57" s="108">
        <f t="array" ref="AR57">(('Fórmula'!C57)/('Fórmula'!C57+'Fórmula'!E57+'Fórmula'!G57+'Fórmula'!I57+'Fórmula'!K57))*(INDEX(properties!A$1:CB$87,'Fórmula'!B57,12))+(('Fórmula'!E57)/('Fórmula'!C57+'Fórmula'!E57+'Fórmula'!G57+'Fórmula'!I57+'Fórmula'!K57))*(INDEX(properties!A$1:CB$87,'Fórmula'!D57,12))+(('Fórmula'!G57)/('Fórmula'!C57+'Fórmula'!E57+'Fórmula'!G57+'Fórmula'!I57+'Fórmula'!K57))*(INDEX(properties!A$1:CB$87,'Fórmula'!F57,12))+(('Fórmula'!I57)/('Fórmula'!C57+'Fórmula'!E57+'Fórmula'!G57+'Fórmula'!I57+'Fórmula'!K57))*(INDEX(properties!A$1:CB$87,'Fórmula'!H57,12))+(('Fórmula'!K57)/('Fórmula'!C57+'Fórmula'!E57+'Fórmula'!G57+'Fórmula'!I57+'Fórmula'!K57))*(INDEX(properties!A$1:CB$87,'Fórmula'!J57,12))</f>
        <v>2.363636364</v>
      </c>
      <c r="AS57" s="108">
        <f t="array" ref="AS57">'Fórmula'!C57*(INDEX(properties!A$1:CB$87,'Fórmula'!B57,12))+'Fórmula'!E57*(INDEX(properties!A$1:CB$87,'Fórmula'!D57,12))+'Fórmula'!G57*(INDEX(properties!A$1:CB$87,'Fórmula'!F57,12))+'Fórmula'!I57*(INDEX(properties!A$1:CB$87,'Fórmula'!H57,12))+'Fórmula'!K57*(INDEX(properties!A$1:CB$87,'Fórmula'!J57,12))</f>
        <v>26</v>
      </c>
      <c r="AT57" s="108">
        <f t="array" ref="AT57">VARP(IF(INDEX(properties!A$1:CB$87,'Fórmula'!B57,12)&lt;&gt;"",INDEX(properties!A$1:CB$87,'Fórmula'!B57,12)),IF(INDEX(properties!A$1:CB$87,'Fórmula'!D57,12)&lt;&gt;"",INDEX(properties!A$1:CB$87,'Fórmula'!D57,12)),IF(INDEX(properties!A$1:CB$87,'Fórmula'!F57,12)&lt;&gt;"",INDEX(properties!A$1:CB$87,'Fórmula'!F57,12)),IF(INDEX(properties!A$1:CB$87,'Fórmula'!H57,12)&lt;&gt;"",INDEX(properties!A$1:CB$87,'Fórmula'!H57,12)),IF(INDEX(properties!A$1:CB$87,'Fórmula'!J57,12)&lt;&gt;"",INDEX(properties!A$1:CB$87,'Fórmula'!J57,12)))</f>
        <v>2.4</v>
      </c>
      <c r="AU57" s="108">
        <f t="array" ref="AU57">MAX(INDEX(properties!A$1:CB$87,'Fórmula'!B57,12),INDEX(properties!A$1:CB$87,'Fórmula'!D57,12),INDEX(properties!A$1:CB$87,'Fórmula'!F57,12),INDEX(properties!A$1:CB$87,'Fórmula'!H57,12),INDEX(properties!A$1:CB$87,'Fórmula'!J57,12))</f>
        <v>4</v>
      </c>
      <c r="AV57" s="108">
        <f t="array" ref="AV57">MIN(IF('Fórmula'!B57=87,10^6,INDEX(properties!A$1:CB$87,'Fórmula'!B57,12)),IF(('Fórmula'!D57)=87,10^6,INDEX(properties!A$1:CB$87,'Fórmula'!D57,12)),IF(('Fórmula'!F57)=87,10^6,INDEX(properties!A$1:CB$87,'Fórmula'!F57,12)),IF(('Fórmula'!H57)=87,10^6,INDEX(properties!A$1:CB$87,'Fórmula'!H57,12)),IF('Fórmula'!J57=87,10^6,INDEX(properties!A$1:CB$87,'Fórmula'!J57,12)))</f>
        <v>0</v>
      </c>
      <c r="AW57" s="108">
        <f t="shared" si="8"/>
        <v>4</v>
      </c>
      <c r="AX57" s="109">
        <f t="array" ref="AX57">(('Fórmula'!C57)/('Fórmula'!C57+'Fórmula'!E57+'Fórmula'!G57+'Fórmula'!I57+'Fórmula'!K57))*(INDEX(properties!A$1:CB$87,'Fórmula'!B57,13))+(('Fórmula'!E57)/('Fórmula'!C57+'Fórmula'!E57+'Fórmula'!G57+'Fórmula'!I57+'Fórmula'!K57))*(INDEX(properties!A$1:CB$87,'Fórmula'!D57,13))+(('Fórmula'!G57)/('Fórmula'!C57+'Fórmula'!E57+'Fórmula'!G57+'Fórmula'!I57+'Fórmula'!K57))*(INDEX(properties!A$1:CB$87,'Fórmula'!F57,13))+(('Fórmula'!I57)/('Fórmula'!C57+'Fórmula'!E57+'Fórmula'!G57+'Fórmula'!I57+'Fórmula'!K57))*(INDEX(properties!A$1:CB$87,'Fórmula'!H57,13))+(('Fórmula'!K57)/('Fórmula'!C57+'Fórmula'!E57+'Fórmula'!G57+'Fórmula'!I57+'Fórmula'!K57))*(INDEX(properties!A$1:CB$87,'Fórmula'!J57,13))</f>
        <v>0</v>
      </c>
      <c r="AY57" s="109">
        <f t="array" ref="AY57">'Fórmula'!C57*(INDEX(properties!A$1:CB$87,'Fórmula'!B57,13))+'Fórmula'!E57*(INDEX(properties!A$1:CB$87,'Fórmula'!D57,13))+'Fórmula'!G57*(INDEX(properties!A$1:CB$87,'Fórmula'!F57,13))+'Fórmula'!I57*(INDEX(properties!A$1:CB$87,'Fórmula'!H57,13))+'Fórmula'!K57*(INDEX(properties!A$1:CB$87,'Fórmula'!J57,13))</f>
        <v>0</v>
      </c>
      <c r="AZ57" s="109">
        <f t="array" ref="AZ57">VARP(IF(INDEX(properties!A$1:CB$87,'Fórmula'!B57,13)&lt;&gt;"",INDEX(properties!A$1:CB$87,'Fórmula'!B57,13)),IF(INDEX(properties!A$1:CB$87,'Fórmula'!D57,13)&lt;&gt;"",INDEX(properties!A$1:CB$87,'Fórmula'!D57,13)),IF(INDEX(properties!A$1:CB$87,'Fórmula'!F57,13)&lt;&gt;"",INDEX(properties!A$1:CB$87,'Fórmula'!F57,13)),IF(INDEX(properties!A$1:CB$87,'Fórmula'!H57,13)&lt;&gt;"",INDEX(properties!A$1:CB$87,'Fórmula'!H57,13)),IF(INDEX(properties!A$1:CB$87,'Fórmula'!J57,13)&lt;&gt;"",INDEX(properties!A$1:CB$87,'Fórmula'!J57,13)))</f>
        <v>0</v>
      </c>
      <c r="BA57" s="109">
        <f t="array" ref="BA57">MAX(INDEX(properties!A$1:CB$87,'Fórmula'!B57,13),INDEX(properties!A$1:CB$87,'Fórmula'!D57,13),INDEX(properties!A$1:CB$87,'Fórmula'!F57,13),INDEX(properties!A$1:CB$87,'Fórmula'!H57,13),INDEX(properties!A$1:CB$87,'Fórmula'!J57,13))</f>
        <v>0</v>
      </c>
      <c r="BB57" s="109">
        <f t="array" ref="BB57">MIN(IF('Fórmula'!B57=87,10^6,INDEX(properties!A$1:CB$87,'Fórmula'!B57,13)),IF(('Fórmula'!D57)=87,10^6,INDEX(properties!A$1:CB$87,'Fórmula'!D57,13)),IF(('Fórmula'!F57)=87,10^6,INDEX(properties!A$1:CB$87,'Fórmula'!F57,13)),IF(('Fórmula'!H57)=87,10^6,INDEX(properties!A$1:CB$87,'Fórmula'!H57,13)),IF('Fórmula'!J57=87,10^6,INDEX(properties!A$1:CB$87,'Fórmula'!J57,13)))</f>
        <v>0</v>
      </c>
      <c r="BC57" s="109">
        <f t="shared" si="9"/>
        <v>0</v>
      </c>
      <c r="BD57" s="110">
        <f t="array" ref="BD57">(('Fórmula'!C57)/('Fórmula'!C57+'Fórmula'!E57+'Fórmula'!G57+'Fórmula'!I57+'Fórmula'!K57))*(INDEX(properties!A$1:CB$87,'Fórmula'!B57,14))+(('Fórmula'!E57)/('Fórmula'!C57+'Fórmula'!E57+'Fórmula'!G57+'Fórmula'!I57+'Fórmula'!K57))*(INDEX(properties!A$1:CB$87,'Fórmula'!D57,14))+(('Fórmula'!G57)/('Fórmula'!C57+'Fórmula'!E57+'Fórmula'!G57+'Fórmula'!I57+'Fórmula'!K57))*(INDEX(properties!A$1:CB$87,'Fórmula'!F57,14))+(('Fórmula'!I57)/('Fórmula'!C57+'Fórmula'!E57+'Fórmula'!G57+'Fórmula'!I57+'Fórmula'!K57))*(INDEX(properties!A$1:CB$87,'Fórmula'!H57,14))+(('Fórmula'!K57)/('Fórmula'!C57+'Fórmula'!E57+'Fórmula'!G57+'Fórmula'!I57+'Fórmula'!K57))*(INDEX(properties!A$1:CB$87,'Fórmula'!J57,14))</f>
        <v>0</v>
      </c>
      <c r="BE57" s="110">
        <f t="array" ref="BE57">'Fórmula'!C57*(INDEX(properties!A$1:CB$87,'Fórmula'!B57,14))+'Fórmula'!E57*(INDEX(properties!A$1:CB$87,'Fórmula'!D57,14))+'Fórmula'!G57*(INDEX(properties!A$1:CB$87,'Fórmula'!F57,14))+'Fórmula'!I57*(INDEX(properties!A$1:CB$87,'Fórmula'!H57,14))+'Fórmula'!K57*(INDEX(properties!A$1:CB$87,'Fórmula'!J57,14))</f>
        <v>0</v>
      </c>
      <c r="BF57" s="110">
        <f t="array" ref="BF57">VARP(IF(INDEX(properties!A$1:CB$87,'Fórmula'!B57,14)&lt;&gt;"",INDEX(properties!A$1:CB$87,'Fórmula'!B57,14)),IF(INDEX(properties!A$1:CB$87,'Fórmula'!D57,14)&lt;&gt;"",INDEX(properties!A$1:CB$87,'Fórmula'!D57,14)),IF(INDEX(properties!A$1:CB$87,'Fórmula'!F57,14)&lt;&gt;"",INDEX(properties!A$1:CB$87,'Fórmula'!F57,14)),IF(INDEX(properties!A$1:CB$87,'Fórmula'!H57,14)&lt;&gt;"",INDEX(properties!A$1:CB$87,'Fórmula'!H57,14)),IF(INDEX(properties!A$1:CB$87,'Fórmula'!J57,14)&lt;&gt;"",INDEX(properties!A$1:CB$87,'Fórmula'!J57,14)))</f>
        <v>0</v>
      </c>
      <c r="BG57" s="110">
        <f t="array" ref="BG57">MAX(INDEX(properties!A$1:CB$87,'Fórmula'!B57,14),INDEX(properties!A$1:CB$87,'Fórmula'!D57,14),INDEX(properties!A$1:CB$87,'Fórmula'!F57,14),INDEX(properties!A$1:CB$87,'Fórmula'!H57,14),INDEX(properties!A$1:CB$87,'Fórmula'!J57,14))</f>
        <v>0</v>
      </c>
      <c r="BH57" s="110">
        <f t="array" ref="BH57">MIN(IF('Fórmula'!B57=87,10^6,INDEX(properties!A$1:CB$87,'Fórmula'!B57,14)),IF(('Fórmula'!D57)=87,10^6,INDEX(properties!A$1:CB$87,'Fórmula'!D57,14)),IF(('Fórmula'!F57)=87,10^6,INDEX(properties!A$1:CB$87,'Fórmula'!F57,14)),IF(('Fórmula'!H57)=87,10^6,INDEX(properties!A$1:CB$87,'Fórmula'!H57,14)),IF('Fórmula'!J57=87,10^6,INDEX(properties!A$1:CB$87,'Fórmula'!J57,14)))</f>
        <v>0</v>
      </c>
      <c r="BI57" s="110">
        <f t="shared" si="10"/>
        <v>0</v>
      </c>
      <c r="BJ57" s="111">
        <f t="array" ref="BJ57">(('Fórmula'!C57)/('Fórmula'!C57+'Fórmula'!E57+'Fórmula'!G57+'Fórmula'!I57+'Fórmula'!K57))*(INDEX(properties!A$1:CB$87,'Fórmula'!B57,19))+(('Fórmula'!E57)/('Fórmula'!C57+'Fórmula'!E57+'Fórmula'!G57+'Fórmula'!I57+'Fórmula'!K57))*(INDEX(properties!A$1:CB$87,'Fórmula'!D57,19))+(('Fórmula'!G57)/('Fórmula'!C57+'Fórmula'!E57+'Fórmula'!G57+'Fórmula'!I57+'Fórmula'!K57))*(INDEX(properties!A$1:CB$87,'Fórmula'!F57,19))+(('Fórmula'!I57)/('Fórmula'!C57+'Fórmula'!E57+'Fórmula'!G57+'Fórmula'!I57+'Fórmula'!K57))*(INDEX(properties!A$1:CB$87,'Fórmula'!H57,19))+(('Fórmula'!K57)/('Fórmula'!C57+'Fórmula'!E57+'Fórmula'!G57+'Fórmula'!I57+'Fórmula'!K57))*(INDEX(properties!A$1:CB$87,'Fórmula'!J57,19))</f>
        <v>4.363636364</v>
      </c>
      <c r="BK57" s="111">
        <f t="array" ref="BK57">'Fórmula'!C57*(INDEX(properties!A$1:CB$87,'Fórmula'!B57,19))+'Fórmula'!E57*(INDEX(properties!A$1:CB$87,'Fórmula'!D57,19))+'Fórmula'!G57*(INDEX(properties!A$1:CB$87,'Fórmula'!F57,19))+'Fórmula'!I57*(INDEX(properties!A$1:CB$87,'Fórmula'!H57,19))+'Fórmula'!K57*(INDEX(properties!A$1:CB$87,'Fórmula'!J57,19))</f>
        <v>48</v>
      </c>
      <c r="BL57" s="111">
        <f t="array" ref="BL57">VARP(IF(INDEX(properties!A$1:CB$87,'Fórmula'!B57,19)&lt;&gt;"",INDEX(properties!A$1:CB$87,'Fórmula'!B57,19)),IF(INDEX(properties!A$1:CB$87,'Fórmula'!D57,19)&lt;&gt;"",INDEX(properties!A$1:CB$87,'Fórmula'!D57,19)),IF(INDEX(properties!A$1:CB$87,'Fórmula'!F57,19)&lt;&gt;"",INDEX(properties!A$1:CB$87,'Fórmula'!F57,19)),IF(INDEX(properties!A$1:CB$87,'Fórmula'!H57,19)&lt;&gt;"",INDEX(properties!A$1:CB$87,'Fórmula'!H57,19)),IF(INDEX(properties!A$1:CB$87,'Fórmula'!J57,19)&lt;&gt;"",INDEX(properties!A$1:CB$87,'Fórmula'!J57,19)))</f>
        <v>4.96</v>
      </c>
      <c r="BM57" s="111">
        <f t="array" ref="BM57">MAX(INDEX(properties!A$1:CB$87,'Fórmula'!B57,19),INDEX(properties!A$1:CB$87,'Fórmula'!D57,19),INDEX(properties!A$1:CB$87,'Fórmula'!F57,19),INDEX(properties!A$1:CB$87,'Fórmula'!H57,19),INDEX(properties!A$1:CB$87,'Fórmula'!J57,19))</f>
        <v>6</v>
      </c>
      <c r="BN57" s="111">
        <f t="array" ref="BN57">MIN(IF(INDEX(properties!A$1:CB$87,'Fórmula'!B57,19)=0,10^6,INDEX(properties!A$1:CB$87,'Fórmula'!B57,19)),IF(INDEX(properties!A$1:CB$87,'Fórmula'!D57,19)=0,10^6,INDEX(properties!A$1:CB$87,'Fórmula'!D57,19)),IF(INDEX(properties!A$1:CB$87,'Fórmula'!F57,19)=0,10^6,INDEX(properties!A$1:CB$87,'Fórmula'!F57,19)),IF(INDEX(properties!A$1:CB$87,'Fórmula'!H57,19)=0,10^6,INDEX(properties!A$1:CB$87,'Fórmula'!H57,19)),IF(INDEX(properties!A$1:CB$87,'Fórmula'!J57,19)=0,10^6,INDEX(properties!A$1:CB$87,'Fórmula'!J57,19)))</f>
        <v>2</v>
      </c>
      <c r="BO57" s="111">
        <f t="shared" si="11"/>
        <v>4</v>
      </c>
      <c r="BP57" s="112">
        <f t="array" ref="BP57">(('Fórmula'!C57)/('Fórmula'!C57+'Fórmula'!E57+'Fórmula'!G57+'Fórmula'!I57+'Fórmula'!K57))*(INDEX(properties!A$1:CB$87,'Fórmula'!B57,20))+(('Fórmula'!E57)/('Fórmula'!C57+'Fórmula'!E57+'Fórmula'!G57+'Fórmula'!I57+'Fórmula'!K57))*(INDEX(properties!A$1:CB$87,'Fórmula'!D57,20))+(('Fórmula'!G57)/('Fórmula'!C57+'Fórmula'!E57+'Fórmula'!G57+'Fórmula'!I57+'Fórmula'!K57))*(INDEX(properties!A$1:CB$87,'Fórmula'!F57,20))+(('Fórmula'!I57)/('Fórmula'!C57+'Fórmula'!E57+'Fórmula'!G57+'Fórmula'!I57+'Fórmula'!K57))*(INDEX(properties!A$1:CB$87,'Fórmula'!H57,20))+(('Fórmula'!K57)/('Fórmula'!C57+'Fórmula'!E57+'Fórmula'!G57+'Fórmula'!I57+'Fórmula'!K57))*(INDEX(properties!A$1:CB$87,'Fórmula'!J57,20))</f>
        <v>4.363636364</v>
      </c>
      <c r="BQ57" s="112">
        <f t="array" ref="BQ57">'Fórmula'!C57*(INDEX(properties!A$1:CB$87,'Fórmula'!B57,20))+'Fórmula'!E57*(INDEX(properties!A$1:CB$87,'Fórmula'!D57,20))+'Fórmula'!G57*(INDEX(properties!A$1:CB$87,'Fórmula'!F57,20))+'Fórmula'!I57*(INDEX(properties!A$1:CB$87,'Fórmula'!H57,20))+'Fórmula'!K57*(INDEX(properties!A$1:CB$87,'Fórmula'!J57,20))</f>
        <v>48</v>
      </c>
      <c r="BR57" s="112">
        <f t="array" ref="BR57">VARP(IF(INDEX(properties!A$1:CB$87,'Fórmula'!B57,20)&lt;&gt;"",INDEX(properties!A$1:CB$87,'Fórmula'!B57,20)),IF(INDEX(properties!A$1:CB$87,'Fórmula'!D57,20)&lt;&gt;"",INDEX(properties!A$1:CB$87,'Fórmula'!D57,20)),IF(INDEX(properties!A$1:CB$87,'Fórmula'!F57,20)&lt;&gt;"",INDEX(properties!A$1:CB$87,'Fórmula'!F57,20)),IF(INDEX(properties!A$1:CB$87,'Fórmula'!H57,20)&lt;&gt;"",INDEX(properties!A$1:CB$87,'Fórmula'!H57,20)),IF(INDEX(properties!A$1:CB$87,'Fórmula'!J57,20)&lt;&gt;"",INDEX(properties!A$1:CB$87,'Fórmula'!J57,20)))</f>
        <v>4.96</v>
      </c>
      <c r="BS57" s="112">
        <f t="array" ref="BS57">MAX(INDEX(properties!A$1:CB$87,'Fórmula'!B57,20),INDEX(properties!A$1:CB$87,'Fórmula'!D57,20),INDEX(properties!A$1:CB$87,'Fórmula'!F57,20),INDEX(properties!A$1:CB$87,'Fórmula'!H57,20),INDEX(properties!A$1:CB$87,'Fórmula'!J57,20))</f>
        <v>6</v>
      </c>
      <c r="BT57" s="112">
        <f t="array" ref="BT57">MIN(IF(INDEX(properties!A$1:CB$87,'Fórmula'!B57,20)=0,10^6,INDEX(properties!A$1:CB$87,'Fórmula'!B57,20)),IF(INDEX(properties!A$1:CB$87,'Fórmula'!D57,20)=0,10^6,INDEX(properties!A$1:CB$87,'Fórmula'!D57,20)),IF(INDEX(properties!A$1:CB$87,'Fórmula'!F57,20)=0,10^6,INDEX(properties!A$1:CB$87,'Fórmula'!F57,20)),IF(INDEX(properties!A$1:CB$87,'Fórmula'!H57,20)=0,10^6,INDEX(properties!A$1:CB$87,'Fórmula'!H57,20)),IF(INDEX(properties!A$1:CB$87,'Fórmula'!J57,20)=0,10^6,INDEX(properties!A$1:CB$87,'Fórmula'!J57,20)))</f>
        <v>2</v>
      </c>
      <c r="BU57" s="112">
        <f t="shared" si="12"/>
        <v>4</v>
      </c>
      <c r="BV57" s="113">
        <f t="array" ref="BV57">(('Fórmula'!C57)/('Fórmula'!C57+'Fórmula'!E57+'Fórmula'!G57+'Fórmula'!I57+'Fórmula'!K57))*(INDEX(properties!A$1:CB$87,'Fórmula'!B57,21))+(('Fórmula'!E57)/('Fórmula'!C57+'Fórmula'!E57+'Fórmula'!G57+'Fórmula'!I57+'Fórmula'!K57))*(INDEX(properties!A$1:CB$87,'Fórmula'!D57,21))+(('Fórmula'!G57)/('Fórmula'!C57+'Fórmula'!E57+'Fórmula'!G57+'Fórmula'!I57+'Fórmula'!K57))*(INDEX(properties!A$1:CB$87,'Fórmula'!F57,21))+(('Fórmula'!I57)/('Fórmula'!C57+'Fórmula'!E57+'Fórmula'!G57+'Fórmula'!I57+'Fórmula'!K57))*(INDEX(properties!A$1:CB$87,'Fórmula'!H57,21))+(('Fórmula'!K57)/('Fórmula'!C57+'Fórmula'!E57+'Fórmula'!G57+'Fórmula'!I57+'Fórmula'!K57))*(INDEX(properties!A$1:CB$87,'Fórmula'!J57,21))</f>
        <v>4.363636364</v>
      </c>
      <c r="BW57" s="113">
        <f t="array" ref="BW57">'Fórmula'!C57*(INDEX(properties!A$1:CB$87,'Fórmula'!B57,21))+'Fórmula'!E57*(INDEX(properties!A$1:CB$87,'Fórmula'!D57,21))+'Fórmula'!G57*(INDEX(properties!A$1:CB$87,'Fórmula'!F57,21))+'Fórmula'!I57*(INDEX(properties!A$1:CB$87,'Fórmula'!H57,21))+'Fórmula'!K57*(INDEX(properties!A$1:CB$87,'Fórmula'!J57,21))</f>
        <v>48</v>
      </c>
      <c r="BX57" s="113">
        <f t="array" ref="BX57">VARP(IF(INDEX(properties!A$1:CB$87,'Fórmula'!B57,21)&lt;&gt;"",INDEX(properties!A$1:CB$87,'Fórmula'!B57,21)),IF(INDEX(properties!A$1:CB$87,'Fórmula'!D57,21)&lt;&gt;"",INDEX(properties!A$1:CB$87,'Fórmula'!D57,21)),IF(INDEX(properties!A$1:CB$87,'Fórmula'!F57,21)&lt;&gt;"",INDEX(properties!A$1:CB$87,'Fórmula'!F57,21)),IF(INDEX(properties!A$1:CB$87,'Fórmula'!H57,21)&lt;&gt;"",INDEX(properties!A$1:CB$87,'Fórmula'!H57,21)),IF(INDEX(properties!A$1:CB$87,'Fórmula'!J57,21)&lt;&gt;"",INDEX(properties!A$1:CB$87,'Fórmula'!J57,21)))</f>
        <v>4.96</v>
      </c>
      <c r="BY57" s="113">
        <f t="array" ref="BY57">MAX(INDEX(properties!A$1:CB$87,'Fórmula'!B57,21),INDEX(properties!A$1:CB$87,'Fórmula'!D57,21),INDEX(properties!A$1:CB$87,'Fórmula'!F57,21),INDEX(properties!A$1:CB$87,'Fórmula'!H57,21),INDEX(properties!A$1:CB$87,'Fórmula'!J57,21))</f>
        <v>6</v>
      </c>
      <c r="BZ57" s="113">
        <f t="array" ref="BZ57">MIN(IF(INDEX(properties!A$1:CB$87,'Fórmula'!B57,21)=0,10^6,INDEX(properties!A$1:CB$87,'Fórmula'!B57,21)),IF(INDEX(properties!A$1:CB$87,'Fórmula'!D57,21)=0,10^6,INDEX(properties!A$1:CB$87,'Fórmula'!D57,21)),IF(INDEX(properties!A$1:CB$87,'Fórmula'!F57,21)=0,10^6,INDEX(properties!A$1:CB$87,'Fórmula'!F57,21)),IF(INDEX(properties!A$1:CB$87,'Fórmula'!H57,21)=0,10^6,INDEX(properties!A$1:CB$87,'Fórmula'!H57,21)),IF(INDEX(properties!A$1:CB$87,'Fórmula'!J57,21)=0,10^6,INDEX(properties!A$1:CB$87,'Fórmula'!J57,21)))</f>
        <v>2</v>
      </c>
      <c r="CA57" s="113">
        <f t="shared" si="13"/>
        <v>4</v>
      </c>
      <c r="CB57" s="114">
        <f t="array" ref="CB57">(('Fórmula'!C57)/('Fórmula'!C57+'Fórmula'!E57+'Fórmula'!G57+'Fórmula'!I57+'Fórmula'!K57))*(INDEX(properties!A$1:CB$87,'Fórmula'!B57,23))+(('Fórmula'!E57)/('Fórmula'!C57+'Fórmula'!E57+'Fórmula'!G57+'Fórmula'!I57+'Fórmula'!K57))*(INDEX(properties!A$1:CB$87,'Fórmula'!D57,23))+(('Fórmula'!G57)/('Fórmula'!C57+'Fórmula'!E57+'Fórmula'!G57+'Fórmula'!I57+'Fórmula'!K57))*(INDEX(properties!A$1:CB$87,'Fórmula'!F57,23))+(('Fórmula'!I57)/('Fórmula'!C57+'Fórmula'!E57+'Fórmula'!G57+'Fórmula'!I57+'Fórmula'!K57))*(INDEX(properties!A$1:CB$87,'Fórmula'!H57,23))+(('Fórmula'!K57)/('Fórmula'!C57+'Fórmula'!E57+'Fórmula'!G57+'Fórmula'!I57+'Fórmula'!K57))*(INDEX(properties!A$1:CB$87,'Fórmula'!J57,23))</f>
        <v>1.090909091</v>
      </c>
      <c r="CC57" s="114">
        <f t="array" ref="CC57">'Fórmula'!C57*(INDEX(properties!A$1:CB$87,'Fórmula'!B57,23))+'Fórmula'!E57*(INDEX(properties!A$1:CB$87,'Fórmula'!D57,23))+'Fórmula'!G57*(INDEX(properties!A$1:CB$87,'Fórmula'!F57,23))+'Fórmula'!I57*(INDEX(properties!A$1:CB$87,'Fórmula'!H57,23))+'Fórmula'!K57*(INDEX(properties!A$1:CB$87,'Fórmula'!J57,23))</f>
        <v>12</v>
      </c>
      <c r="CD57" s="114">
        <f t="array" ref="CD57">VARP(IF(INDEX(properties!A$1:CB$87,'Fórmula'!B57,23)&lt;&gt;"",INDEX(properties!A$1:CB$87,'Fórmula'!B57,23)),IF(INDEX(properties!A$1:CB$87,'Fórmula'!D57,23)&lt;&gt;"",INDEX(properties!A$1:CB$87,'Fórmula'!D57,23)),IF(INDEX(properties!A$1:CB$87,'Fórmula'!F57,23)&lt;&gt;"",INDEX(properties!A$1:CB$87,'Fórmula'!F57,23)),IF(INDEX(properties!A$1:CB$87,'Fórmula'!H57,23)&lt;&gt;"",INDEX(properties!A$1:CB$87,'Fórmula'!H57,23)),IF(INDEX(properties!A$1:CB$87,'Fórmula'!J57,23)&lt;&gt;"",INDEX(properties!A$1:CB$87,'Fórmula'!J57,23)))</f>
        <v>1.6</v>
      </c>
      <c r="CE57" s="114">
        <f t="array" ref="CE57">MAX(INDEX(properties!A$1:CB$87,'Fórmula'!B57,23),INDEX(properties!A$1:CB$87,'Fórmula'!D57,23),INDEX(properties!A$1:CB$87,'Fórmula'!F57,23),INDEX(properties!A$1:CB$87,'Fórmula'!H57,23),INDEX(properties!A$1:CB$87,'Fórmula'!J57,23))</f>
        <v>3</v>
      </c>
      <c r="CF57" s="114">
        <f t="array" ref="CF57">MIN(IF('Fórmula'!B57=87,10^6,INDEX(properties!A$1:CB$87,'Fórmula'!B57,23)),IF(('Fórmula'!D57)=87,10^6,INDEX(properties!A$1:CB$87,'Fórmula'!D57,23)),IF(('Fórmula'!F57)=87,10^6,INDEX(properties!A$1:CB$87,'Fórmula'!F57,23)),IF(('Fórmula'!H57)=87,10^6,INDEX(properties!A$1:CB$87,'Fórmula'!H57,23)),IF('Fórmula'!J57=87,10^6,INDEX(properties!A$1:CB$87,'Fórmula'!J57,23)))</f>
        <v>0</v>
      </c>
      <c r="CG57" s="114">
        <f t="shared" si="14"/>
        <v>3</v>
      </c>
      <c r="CH57" s="115">
        <f t="array" ref="CH57">(('Fórmula'!C57)/('Fórmula'!C57+'Fórmula'!E57+'Fórmula'!G57+'Fórmula'!I57+'Fórmula'!K57))*(INDEX(properties!A$1:CB$87,'Fórmula'!B57,26))+(('Fórmula'!E57)/('Fórmula'!C57+'Fórmula'!E57+'Fórmula'!G57+'Fórmula'!I57+'Fórmula'!K57))*(INDEX(properties!A$1:CB$87,'Fórmula'!D57,26))+(('Fórmula'!G57)/('Fórmula'!C57+'Fórmula'!E57+'Fórmula'!G57+'Fórmula'!I57+'Fórmula'!K57))*(INDEX(properties!A$1:CB$87,'Fórmula'!F57,26))+(('Fórmula'!I57)/('Fórmula'!C57+'Fórmula'!E57+'Fórmula'!G57+'Fórmula'!I57+'Fórmula'!K57))*(INDEX(properties!A$1:CB$87,'Fórmula'!H57,26))+(('Fórmula'!K57)/('Fórmula'!C57+'Fórmula'!E57+'Fórmula'!G57+'Fórmula'!I57+'Fórmula'!K57))*(INDEX(properties!A$1:CB$87,'Fórmula'!J57,26))</f>
        <v>10.48993636</v>
      </c>
      <c r="CI57" s="115">
        <f t="array" ref="CI57">'Fórmula'!C57*(INDEX(properties!A$1:CB$87,'Fórmula'!B57,26))+'Fórmula'!E57*(INDEX(properties!A$1:CB$87,'Fórmula'!D57,26))+'Fórmula'!G57*(INDEX(properties!A$1:CB$87,'Fórmula'!F57,26))+'Fórmula'!I57*(INDEX(properties!A$1:CB$87,'Fórmula'!H57,26))+'Fórmula'!K57*(INDEX(properties!A$1:CB$87,'Fórmula'!J57,26))</f>
        <v>115.3893</v>
      </c>
      <c r="CJ57" s="115">
        <f t="array" ref="CJ57">VARP(IF(INDEX(properties!A$1:CB$87,'Fórmula'!B57,26)&lt;&gt;"",INDEX(properties!A$1:CB$87,'Fórmula'!B57,26)),IF(INDEX(properties!A$1:CB$87,'Fórmula'!D57,26)&lt;&gt;"",INDEX(properties!A$1:CB$87,'Fórmula'!D57,26)),IF(INDEX(properties!A$1:CB$87,'Fórmula'!F57,26)&lt;&gt;"",INDEX(properties!A$1:CB$87,'Fórmula'!F57,26)),IF(INDEX(properties!A$1:CB$87,'Fórmula'!H57,26)&lt;&gt;"",INDEX(properties!A$1:CB$87,'Fórmula'!H57,26)),IF(INDEX(properties!A$1:CB$87,'Fórmula'!J57,26)&lt;&gt;"",INDEX(properties!A$1:CB$87,'Fórmula'!J57,26)))</f>
        <v>26.85357468</v>
      </c>
      <c r="CK57" s="116">
        <f t="array" ref="CK57">MAX(INDEX(properties!A$1:CB$87,'Fórmula'!B57,26),INDEX(properties!A$1:CB$87,'Fórmula'!D57,26),INDEX(properties!A$1:CB$87,'Fórmula'!F57,26),INDEX(properties!A$1:CB$87,'Fórmula'!H57,26),INDEX(properties!A$1:CB$87,'Fórmula'!J57,26))</f>
        <v>13.6181</v>
      </c>
      <c r="CL57" s="116">
        <f t="array" ref="CL57">MIN(IF(INDEX(properties!A$1:CB$87,'Fórmula'!B57,26)=0,10^6,INDEX(properties!A$1:CB$87,'Fórmula'!B57,26)),IF(INDEX(properties!A$1:CB$87,'Fórmula'!D57,26)=0,10^6,INDEX(properties!A$1:CB$87,'Fórmula'!D57,26)),IF(INDEX(properties!A$1:CB$87,'Fórmula'!F57,26)=0,10^6,INDEX(properties!A$1:CB$87,'Fórmula'!F57,26)),IF(INDEX(properties!A$1:CB$87,'Fórmula'!H57,26)=0,10^6,INDEX(properties!A$1:CB$87,'Fórmula'!H57,26)),IF(INDEX(properties!A$1:CB$87,'Fórmula'!J57,26)=0,10^6,INDEX(properties!A$1:CB$87,'Fórmula'!J57,26)))</f>
        <v>5.6949</v>
      </c>
      <c r="CM57" s="115">
        <f t="shared" si="15"/>
        <v>7.9232</v>
      </c>
      <c r="CN57" s="117">
        <f t="array" ref="CN57">(('Fórmula'!C57)/('Fórmula'!C57+'Fórmula'!E57+'Fórmula'!G57+'Fórmula'!I57+'Fórmula'!K57))*(INDEX(properties!A$1:CB$87,'Fórmula'!B57,30))+(('Fórmula'!E57)/('Fórmula'!C57+'Fórmula'!E57+'Fórmula'!G57+'Fórmula'!I57+'Fórmula'!K57))*(INDEX(properties!A$1:CB$87,'Fórmula'!D57,30))+(('Fórmula'!G57)/('Fórmula'!C57+'Fórmula'!E57+'Fórmula'!G57+'Fórmula'!I57+'Fórmula'!K57))*(INDEX(properties!A$1:CB$87,'Fórmula'!F57,30))+(('Fórmula'!I57)/('Fórmula'!C57+'Fórmula'!E57+'Fórmula'!G57+'Fórmula'!I57+'Fórmula'!K57))*(INDEX(properties!A$1:CB$87,'Fórmula'!H57,30))+(('Fórmula'!K57)/('Fórmula'!C57+'Fórmula'!E57+'Fórmula'!G57+'Fórmula'!I57+'Fórmula'!K57))*(INDEX(properties!A$1:CB$87,'Fórmula'!J57,30))</f>
        <v>2.506363636</v>
      </c>
      <c r="CO57" s="117">
        <f t="array" ref="CO57">'Fórmula'!C57*(INDEX(properties!A$1:CB$87,'Fórmula'!B57,30))+'Fórmula'!E57*(INDEX(properties!A$1:CB$87,'Fórmula'!D57,30))+'Fórmula'!G57*(INDEX(properties!A$1:CB$87,'Fórmula'!F57,30))+'Fórmula'!I57*(INDEX(properties!A$1:CB$87,'Fórmula'!H57,30))+'Fórmula'!K57*(INDEX(properties!A$1:CB$87,'Fórmula'!J57,30))</f>
        <v>27.57</v>
      </c>
      <c r="CP57" s="117">
        <f t="array" ref="CP57">VARP(IF(INDEX(properties!A$1:CB$87,'Fórmula'!B57,30)&lt;&gt;"",INDEX(properties!A$1:CB$87,'Fórmula'!B57,30)),IF(INDEX(properties!A$1:CB$87,'Fórmula'!D57,30)&lt;&gt;"",INDEX(properties!A$1:CB$87,'Fórmula'!D57,30)),IF(INDEX(properties!A$1:CB$87,'Fórmula'!F57,30)&lt;&gt;"",INDEX(properties!A$1:CB$87,'Fórmula'!F57,30)),IF(INDEX(properties!A$1:CB$87,'Fórmula'!H57,30)&lt;&gt;"",INDEX(properties!A$1:CB$87,'Fórmula'!H57,30)),IF(INDEX(properties!A$1:CB$87,'Fórmula'!J57,30)&lt;&gt;"",INDEX(properties!A$1:CB$87,'Fórmula'!J57,30)))</f>
        <v>1.725744</v>
      </c>
      <c r="CQ57" s="117">
        <f t="array" ref="CQ57">MAX(INDEX(properties!A$1:CB$87,'Fórmula'!B57,30),INDEX(properties!A$1:CB$87,'Fórmula'!D57,30),INDEX(properties!A$1:CB$87,'Fórmula'!F57,30),INDEX(properties!A$1:CB$87,'Fórmula'!H57,30),INDEX(properties!A$1:CB$87,'Fórmula'!J57,30))</f>
        <v>3.44</v>
      </c>
      <c r="CR57" s="117">
        <f t="array" ref="CR57">MIN(IF(INDEX(properties!A$1:CB$87,'Fórmula'!B57,30)=0,10^6,INDEX(properties!A$1:CB$87,'Fórmula'!B57,30)),IF(INDEX(properties!A$1:CB$87,'Fórmula'!D57,30)=0,10^6,INDEX(properties!A$1:CB$87,'Fórmula'!D57,30)),IF(INDEX(properties!A$1:CB$87,'Fórmula'!F57,30)=0,10^6,INDEX(properties!A$1:CB$87,'Fórmula'!F57,30)),IF(INDEX(properties!A$1:CB$87,'Fórmula'!H57,30)=0,10^6,INDEX(properties!A$1:CB$87,'Fórmula'!H57,30)),IF(INDEX(properties!A$1:CB$87,'Fórmula'!J57,30)=0,10^6,INDEX(properties!A$1:CB$87,'Fórmula'!J57,30)))</f>
        <v>0.95</v>
      </c>
      <c r="CS57" s="117">
        <f t="shared" si="16"/>
        <v>2.49</v>
      </c>
      <c r="CT57" s="118">
        <f t="array" ref="CT57">(('Fórmula'!C57)/('Fórmula'!C57+'Fórmula'!E57+'Fórmula'!G57+'Fórmula'!I57+'Fórmula'!K57))*(INDEX(properties!A$1:CB$87,'Fórmula'!B57,31))+(('Fórmula'!E57)/('Fórmula'!C57+'Fórmula'!E57+'Fórmula'!G57+'Fórmula'!I57+'Fórmula'!K57))*(INDEX(properties!A$1:CB$87,'Fórmula'!D57,31))+(('Fórmula'!G57)/('Fórmula'!C57+'Fórmula'!E57+'Fórmula'!G57+'Fórmula'!I57+'Fórmula'!K57))*(INDEX(properties!A$1:CB$87,'Fórmula'!F57,31))+(('Fórmula'!I57)/('Fórmula'!C57+'Fórmula'!E57+'Fórmula'!G57+'Fórmula'!I57+'Fórmula'!K57))*(INDEX(properties!A$1:CB$87,'Fórmula'!H57,31))+(('Fórmula'!K57)/('Fórmula'!C57+'Fórmula'!E57+'Fórmula'!G57+'Fórmula'!I57+'Fórmula'!K57))*(INDEX(properties!A$1:CB$87,'Fórmula'!J57,31))</f>
        <v>2.464545455</v>
      </c>
      <c r="CU57" s="118">
        <f t="array" ref="CU57">'Fórmula'!C57*(INDEX(properties!A$1:CB$87,'Fórmula'!B57,31))+'Fórmula'!E57*(INDEX(properties!A$1:CB$87,'Fórmula'!D57,31))+'Fórmula'!G57*(INDEX(properties!A$1:CB$87,'Fórmula'!F57,31))+'Fórmula'!I57*(INDEX(properties!A$1:CB$87,'Fórmula'!H57,31))+'Fórmula'!K57*(INDEX(properties!A$1:CB$87,'Fórmula'!J57,31))</f>
        <v>27.11</v>
      </c>
      <c r="CV57" s="118">
        <f t="array" ref="CV57">VARP(IF(INDEX(properties!A$1:CB$87,'Fórmula'!B57,31)&lt;&gt;"",INDEX(properties!A$1:CB$87,'Fórmula'!B57,31)),IF(INDEX(properties!A$1:CB$87,'Fórmula'!D57,31)&lt;&gt;"",INDEX(properties!A$1:CB$87,'Fórmula'!D57,31)),IF(INDEX(properties!A$1:CB$87,'Fórmula'!F57,31)&lt;&gt;"",INDEX(properties!A$1:CB$87,'Fórmula'!F57,31)),IF(INDEX(properties!A$1:CB$87,'Fórmula'!H57,31)&lt;&gt;"",INDEX(properties!A$1:CB$87,'Fórmula'!H57,31)),IF(INDEX(properties!A$1:CB$87,'Fórmula'!J57,31)&lt;&gt;"",INDEX(properties!A$1:CB$87,'Fórmula'!J57,31)))</f>
        <v>1.56896</v>
      </c>
      <c r="CW57" s="118">
        <f t="array" ref="CW57">MAX(INDEX(properties!A$1:CB$87,'Fórmula'!B57,31),INDEX(properties!A$1:CB$87,'Fórmula'!D57,31),INDEX(properties!A$1:CB$87,'Fórmula'!F57,31),INDEX(properties!A$1:CB$87,'Fórmula'!H57,31),INDEX(properties!A$1:CB$87,'Fórmula'!J57,31))</f>
        <v>3.32</v>
      </c>
      <c r="CX57" s="118">
        <f t="array" ref="CX57">MIN(IF(INDEX(properties!A$1:CB$87,'Fórmula'!B57,31)=0,10^6,INDEX(properties!A$1:CB$87,'Fórmula'!B57,31)),IF(INDEX(properties!A$1:CB$87,'Fórmula'!D57,31)=0,10^6,INDEX(properties!A$1:CB$87,'Fórmula'!D57,31)),IF(INDEX(properties!A$1:CB$87,'Fórmula'!F57,31)=0,10^6,INDEX(properties!A$1:CB$87,'Fórmula'!F57,31)),IF(INDEX(properties!A$1:CB$87,'Fórmula'!H57,31)=0,10^6,INDEX(properties!A$1:CB$87,'Fórmula'!H57,31)),IF(INDEX(properties!A$1:CB$87,'Fórmula'!J57,31)=0,10^6,INDEX(properties!A$1:CB$87,'Fórmula'!J57,31)))</f>
        <v>1.13</v>
      </c>
      <c r="CY57" s="118">
        <f t="shared" si="17"/>
        <v>2.19</v>
      </c>
      <c r="CZ57" s="119">
        <f t="array" ref="CZ57">(('Fórmula'!C57)/('Fórmula'!C57+'Fórmula'!E57+'Fórmula'!G57+'Fórmula'!I57+'Fórmula'!K57))*(INDEX(properties!A$1:CB$87,'Fórmula'!B57,32))+(('Fórmula'!E57)/('Fórmula'!C57+'Fórmula'!E57+'Fórmula'!G57+'Fórmula'!I57+'Fórmula'!K57))*(INDEX(properties!A$1:CB$87,'Fórmula'!D57,32))+(('Fórmula'!G57)/('Fórmula'!C57+'Fórmula'!E57+'Fórmula'!G57+'Fórmula'!I57+'Fórmula'!K57))*(INDEX(properties!A$1:CB$87,'Fórmula'!F57,32))+(('Fórmula'!I57)/('Fórmula'!C57+'Fórmula'!E57+'Fórmula'!G57+'Fórmula'!I57+'Fórmula'!K57))*(INDEX(properties!A$1:CB$87,'Fórmula'!H57,32))+(('Fórmula'!K57)/('Fórmula'!C57+'Fórmula'!E57+'Fórmula'!G57+'Fórmula'!I57+'Fórmula'!K57))*(INDEX(properties!A$1:CB$87,'Fórmula'!J57,32))</f>
        <v>5.438181818</v>
      </c>
      <c r="DA57" s="119">
        <f t="array" ref="DA57">'Fórmula'!C57*(INDEX(properties!A$1:CB$87,'Fórmula'!B57,32))+'Fórmula'!E57*(INDEX(properties!A$1:CB$87,'Fórmula'!D57,32))+'Fórmula'!G57*(INDEX(properties!A$1:CB$87,'Fórmula'!F57,32))+'Fórmula'!I57*(INDEX(properties!A$1:CB$87,'Fórmula'!H57,32))+'Fórmula'!K57*(INDEX(properties!A$1:CB$87,'Fórmula'!J57,32))</f>
        <v>59.82</v>
      </c>
      <c r="DB57" s="119">
        <f t="array" ref="DB57">VARP(IF(INDEX(properties!A$1:CB$87,'Fórmula'!B57,32)&lt;&gt;"",INDEX(properties!A$1:CB$87,'Fórmula'!B57,32)),IF(INDEX(properties!A$1:CB$87,'Fórmula'!D57,32)&lt;&gt;"",INDEX(properties!A$1:CB$87,'Fórmula'!D57,32)),IF(INDEX(properties!A$1:CB$87,'Fórmula'!F57,32)&lt;&gt;"",INDEX(properties!A$1:CB$87,'Fórmula'!F57,32)),IF(INDEX(properties!A$1:CB$87,'Fórmula'!H57,32)&lt;&gt;"",INDEX(properties!A$1:CB$87,'Fórmula'!H57,32)),IF(INDEX(properties!A$1:CB$87,'Fórmula'!J57,32)&lt;&gt;"",INDEX(properties!A$1:CB$87,'Fórmula'!J57,32)))</f>
        <v>8.200384</v>
      </c>
      <c r="DC57" s="119">
        <f t="array" ref="DC57">MAX(INDEX(properties!A$1:CB$87,'Fórmula'!B57,32),INDEX(properties!A$1:CB$87,'Fórmula'!D57,32),INDEX(properties!A$1:CB$87,'Fórmula'!F57,32),INDEX(properties!A$1:CB$87,'Fórmula'!H57,32),INDEX(properties!A$1:CB$87,'Fórmula'!J57,32))</f>
        <v>7.54</v>
      </c>
      <c r="DD57" s="119">
        <f t="array" ref="DD57">MIN(IF(INDEX(properties!A$1:CB$87,'Fórmula'!B57,32)=0,10^6,INDEX(properties!A$1:CB$87,'Fórmula'!B57,32)),IF(INDEX(properties!A$1:CB$87,'Fórmula'!D57,32)=0,10^6,INDEX(properties!A$1:CB$87,'Fórmula'!D57,32)),IF(INDEX(properties!A$1:CB$87,'Fórmula'!F57,32)=0,10^6,INDEX(properties!A$1:CB$87,'Fórmula'!F57,32)),IF(INDEX(properties!A$1:CB$87,'Fórmula'!H57,32)=0,10^6,INDEX(properties!A$1:CB$87,'Fórmula'!H57,32)),IF(INDEX(properties!A$1:CB$87,'Fórmula'!J57,32)=0,10^6,INDEX(properties!A$1:CB$87,'Fórmula'!J57,32)))</f>
        <v>2</v>
      </c>
      <c r="DE57" s="119">
        <f t="shared" si="18"/>
        <v>5.54</v>
      </c>
      <c r="DF57" s="104">
        <f t="array" ref="DF57">(('Fórmula'!C57)/('Fórmula'!C57+'Fórmula'!E57+'Fórmula'!G57+'Fórmula'!I57+'Fórmula'!K57))*(INDEX(properties!A$1:CB$87,'Fórmula'!B57,34))+(('Fórmula'!E57)/('Fórmula'!C57+'Fórmula'!E57+'Fórmula'!G57+'Fórmula'!I57+'Fórmula'!K57))*(INDEX(properties!A$1:CB$87,'Fórmula'!D57,34))+(('Fórmula'!G57)/('Fórmula'!C57+'Fórmula'!E57+'Fórmula'!G57+'Fórmula'!I57+'Fórmula'!K57))*(INDEX(properties!A$1:CB$87,'Fórmula'!F57,34))+(('Fórmula'!I57)/('Fórmula'!C57+'Fórmula'!E57+'Fórmula'!G57+'Fórmula'!I57+'Fórmula'!K57))*(INDEX(properties!A$1:CB$87,'Fórmula'!H57,34))+(('Fórmula'!K57)/('Fórmula'!C57+'Fórmula'!E57+'Fórmula'!G57+'Fórmula'!I57+'Fórmula'!K57))*(INDEX(properties!A$1:CB$87,'Fórmula'!J57,34))</f>
        <v>2.604636364</v>
      </c>
      <c r="DG57" s="104">
        <f t="array" ref="DG57">'Fórmula'!C57*(INDEX(properties!A$1:CB$87,'Fórmula'!B57,34))+'Fórmula'!E57*(INDEX(properties!A$1:CB$87,'Fórmula'!D57,34))+'Fórmula'!G57*(INDEX(properties!A$1:CB$87,'Fórmula'!F57,34))+'Fórmula'!I57*(INDEX(properties!A$1:CB$87,'Fórmula'!H57,34))+'Fórmula'!K57*(INDEX(properties!A$1:CB$87,'Fórmula'!J57,34))</f>
        <v>28.651</v>
      </c>
      <c r="DH57" s="104">
        <f t="array" ref="DH57">VARP(IF(INDEX(properties!A$1:CB$87,'Fórmula'!B57,34)&lt;&gt;"",INDEX(properties!A$1:CB$87,'Fórmula'!B57,34)),IF(INDEX(properties!A$1:CB$87,'Fórmula'!D57,34)&lt;&gt;"",INDEX(properties!A$1:CB$87,'Fórmula'!D57,34)),IF(INDEX(properties!A$1:CB$87,'Fórmula'!F57,34)&lt;&gt;"",INDEX(properties!A$1:CB$87,'Fórmula'!F57,34)),IF(INDEX(properties!A$1:CB$87,'Fórmula'!H57,34)&lt;&gt;"",INDEX(properties!A$1:CB$87,'Fórmula'!H57,34)),IF(INDEX(properties!A$1:CB$87,'Fórmula'!J57,34)&lt;&gt;"",INDEX(properties!A$1:CB$87,'Fórmula'!J57,34)))</f>
        <v>1.87811896</v>
      </c>
      <c r="DI57" s="104">
        <f t="array" ref="DI57">MAX(INDEX(properties!A$1:CB$87,'Fórmula'!B57,34),INDEX(properties!A$1:CB$87,'Fórmula'!D57,34),INDEX(properties!A$1:CB$87,'Fórmula'!F57,34),INDEX(properties!A$1:CB$87,'Fórmula'!H57,34),INDEX(properties!A$1:CB$87,'Fórmula'!J57,34))</f>
        <v>3.61</v>
      </c>
      <c r="DJ57" s="104">
        <f t="array" ref="DJ57">MIN(IF(INDEX(properties!A$1:CB$87,'Fórmula'!B57,34)=0,10^6,INDEX(properties!A$1:CB$87,'Fórmula'!B57,34)),IF(INDEX(properties!A$1:CB$87,'Fórmula'!D57,34)=0,10^6,INDEX(properties!A$1:CB$87,'Fórmula'!D57,34)),IF(INDEX(properties!A$1:CB$87,'Fórmula'!F57,34)=0,10^6,INDEX(properties!A$1:CB$87,'Fórmula'!F57,34)),IF(INDEX(properties!A$1:CB$87,'Fórmula'!H57,34)=0,10^6,INDEX(properties!A$1:CB$87,'Fórmula'!H57,34)),IF(INDEX(properties!A$1:CB$87,'Fórmula'!J57,34)=0,10^6,INDEX(properties!A$1:CB$87,'Fórmula'!J57,34)))</f>
        <v>0.963</v>
      </c>
      <c r="DK57" s="104">
        <f t="shared" si="19"/>
        <v>2.647</v>
      </c>
      <c r="DL57" s="105">
        <f t="array" ref="DL57">(('Fórmula'!C57)/('Fórmula'!C57+'Fórmula'!E57+'Fórmula'!G57+'Fórmula'!I57+'Fórmula'!K57))*(INDEX(properties!A$1:CB$87,'Fórmula'!B57,37))+(('Fórmula'!E57)/('Fórmula'!C57+'Fórmula'!E57+'Fórmula'!G57+'Fórmula'!I57+'Fórmula'!K57))*(INDEX(properties!A$1:CB$87,'Fórmula'!D57,37))+(('Fórmula'!G57)/('Fórmula'!C57+'Fórmula'!E57+'Fórmula'!G57+'Fórmula'!I57+'Fórmula'!K57))*(INDEX(properties!A$1:CB$87,'Fórmula'!F57,37))+(('Fórmula'!I57)/('Fórmula'!C57+'Fórmula'!E57+'Fórmula'!G57+'Fórmula'!I57+'Fórmula'!K57))*(INDEX(properties!A$1:CB$87,'Fórmula'!H57,37))+(('Fórmula'!K57)/('Fórmula'!C57+'Fórmula'!E57+'Fórmula'!G57+'Fórmula'!I57+'Fórmula'!K57))*(INDEX(properties!A$1:CB$87,'Fórmula'!J57,37))</f>
        <v>2.5</v>
      </c>
      <c r="DM57" s="105">
        <f t="array" ref="DM57">'Fórmula'!C57*(INDEX(properties!A$1:CB$87,'Fórmula'!B57,37))+'Fórmula'!E57*(INDEX(properties!A$1:CB$87,'Fórmula'!D57,37))+'Fórmula'!G57*(INDEX(properties!A$1:CB$87,'Fórmula'!F57,37))+'Fórmula'!I57*(INDEX(properties!A$1:CB$87,'Fórmula'!H57,37))+'Fórmula'!K57*(INDEX(properties!A$1:CB$87,'Fórmula'!J57,37))</f>
        <v>27.5</v>
      </c>
      <c r="DN57" s="105">
        <f t="array" ref="DN57">VARP(IF(INDEX(properties!A$1:CB$87,'Fórmula'!B57,37)&lt;&gt;"",INDEX(properties!A$1:CB$87,'Fórmula'!B57,37)),IF(INDEX(properties!A$1:CB$87,'Fórmula'!D57,37)&lt;&gt;"",INDEX(properties!A$1:CB$87,'Fórmula'!D57,37)),IF(INDEX(properties!A$1:CB$87,'Fórmula'!F57,37)&lt;&gt;"",INDEX(properties!A$1:CB$87,'Fórmula'!F57,37)),IF(INDEX(properties!A$1:CB$87,'Fórmula'!H57,37)&lt;&gt;"",INDEX(properties!A$1:CB$87,'Fórmula'!H57,37)),IF(INDEX(properties!A$1:CB$87,'Fórmula'!J57,37)&lt;&gt;"",INDEX(properties!A$1:CB$87,'Fórmula'!J57,37)))</f>
        <v>1.6896</v>
      </c>
      <c r="DO57" s="105">
        <f t="array" ref="DO57">MAX(INDEX(properties!A$1:CB$87,'Fórmula'!B57,37),INDEX(properties!A$1:CB$87,'Fórmula'!D57,37),INDEX(properties!A$1:CB$87,'Fórmula'!F57,37),INDEX(properties!A$1:CB$87,'Fórmula'!H57,37),INDEX(properties!A$1:CB$87,'Fórmula'!J57,37))</f>
        <v>3.45</v>
      </c>
      <c r="DP57" s="105">
        <f t="array" ref="DP57">MIN(IF(INDEX(properties!A$1:CB$87,'Fórmula'!B57,37)=0,10^6,INDEX(properties!A$1:CB$87,'Fórmula'!B57,37)),IF(INDEX(properties!A$1:CB$87,'Fórmula'!D57,37)=0,10^6,INDEX(properties!A$1:CB$87,'Fórmula'!D57,37)),IF(INDEX(properties!A$1:CB$87,'Fórmula'!F57,37)=0,10^6,INDEX(properties!A$1:CB$87,'Fórmula'!F57,37)),IF(INDEX(properties!A$1:CB$87,'Fórmula'!H57,37)=0,10^6,INDEX(properties!A$1:CB$87,'Fórmula'!H57,37)),IF(INDEX(properties!A$1:CB$87,'Fórmula'!J57,37)=0,10^6,INDEX(properties!A$1:CB$87,'Fórmula'!J57,37)))</f>
        <v>1</v>
      </c>
      <c r="DQ57" s="105">
        <f t="shared" si="20"/>
        <v>2.45</v>
      </c>
      <c r="DR57" s="109">
        <f t="array" ref="DR57">(('Fórmula'!C57)/('Fórmula'!C57+'Fórmula'!E57+'Fórmula'!G57+'Fórmula'!I57+'Fórmula'!K57))*(INDEX(properties!A$1:CB$87,'Fórmula'!B57,39))+(('Fórmula'!E57)/('Fórmula'!C57+'Fórmula'!E57+'Fórmula'!G57+'Fórmula'!I57+'Fórmula'!K57))*(INDEX(properties!A$1:CB$87,'Fórmula'!D57,39))+(('Fórmula'!G57)/('Fórmula'!C57+'Fórmula'!E57+'Fórmula'!G57+'Fórmula'!I57+'Fórmula'!K57))*(INDEX(properties!A$1:CB$87,'Fórmula'!F57,39))+(('Fórmula'!I57)/('Fórmula'!C57+'Fórmula'!E57+'Fórmula'!G57+'Fórmula'!I57+'Fórmula'!K57))*(INDEX(properties!A$1:CB$87,'Fórmula'!H57,39))+(('Fórmula'!K57)/('Fórmula'!C57+'Fórmula'!E57+'Fórmula'!G57+'Fórmula'!I57+'Fórmula'!K57))*(INDEX(properties!A$1:CB$87,'Fórmula'!J57,39))</f>
        <v>1.017272727</v>
      </c>
      <c r="DS57" s="109">
        <f t="array" ref="DS57">'Fórmula'!C57*(INDEX(properties!A$1:CB$87,'Fórmula'!B57,39))+'Fórmula'!E57*(INDEX(properties!A$1:CB$87,'Fórmula'!D57,39))+'Fórmula'!G57*(INDEX(properties!A$1:CB$87,'Fórmula'!F57,39))+'Fórmula'!I57*(INDEX(properties!A$1:CB$87,'Fórmula'!H57,39))+'Fórmula'!K57*(INDEX(properties!A$1:CB$87,'Fórmula'!J57,39))</f>
        <v>11.19</v>
      </c>
      <c r="DT57" s="109">
        <f t="array" ref="DT57">VARP(IF(INDEX(properties!A$1:CB$87,'Fórmula'!B57,39)&lt;&gt;"",INDEX(properties!A$1:CB$87,'Fórmula'!B57,39)),IF(INDEX(properties!A$1:CB$87,'Fórmula'!D57,39)&lt;&gt;"",INDEX(properties!A$1:CB$87,'Fórmula'!D57,39)),IF(INDEX(properties!A$1:CB$87,'Fórmula'!F57,39)&lt;&gt;"",INDEX(properties!A$1:CB$87,'Fórmula'!F57,39)),IF(INDEX(properties!A$1:CB$87,'Fórmula'!H57,39)&lt;&gt;"",INDEX(properties!A$1:CB$87,'Fórmula'!H57,39)),IF(INDEX(properties!A$1:CB$87,'Fórmula'!J57,39)&lt;&gt;"",INDEX(properties!A$1:CB$87,'Fórmula'!J57,39)))</f>
        <v>0.655416</v>
      </c>
      <c r="DU57" s="120">
        <f t="array" ref="DU57">MAX(INDEX(properties!A$1:CB$87,'Fórmula'!B57,39),INDEX(properties!A$1:CB$87,'Fórmula'!D57,39),INDEX(properties!A$1:CB$87,'Fórmula'!F57,39),INDEX(properties!A$1:CB$87,'Fórmula'!H57,39),INDEX(properties!A$1:CB$87,'Fórmula'!J57,39))</f>
        <v>2.19</v>
      </c>
      <c r="DV57" s="120">
        <f t="array" ref="DV57">MIN(IF(INDEX(properties!A$1:CB$87,'Fórmula'!B57,39)=0,10^6,INDEX(properties!A$1:CB$87,'Fórmula'!B57,39)),IF(INDEX(properties!A$1:CB$87,'Fórmula'!D57,39)=0,10^6,INDEX(properties!A$1:CB$87,'Fórmula'!D57,39)),IF(INDEX(properties!A$1:CB$87,'Fórmula'!F57,39)=0,10^6,INDEX(properties!A$1:CB$87,'Fórmula'!F57,39)),IF(INDEX(properties!A$1:CB$87,'Fórmula'!H57,39)=0,10^6,INDEX(properties!A$1:CB$87,'Fórmula'!H57,39)),IF(INDEX(properties!A$1:CB$87,'Fórmula'!J57,39)=0,10^6,INDEX(properties!A$1:CB$87,'Fórmula'!J57,39)))</f>
        <v>0.48</v>
      </c>
      <c r="DW57" s="109">
        <f t="shared" si="21"/>
        <v>1.71</v>
      </c>
      <c r="DX57" s="110">
        <f t="array" ref="DX57">(('Fórmula'!C57)/('Fórmula'!C57+'Fórmula'!E57+'Fórmula'!G57+'Fórmula'!I57+'Fórmula'!K57))*(INDEX(properties!A$1:CB$87,'Fórmula'!B57,40))+(('Fórmula'!E57)/('Fórmula'!C57+'Fórmula'!E57+'Fórmula'!G57+'Fórmula'!I57+'Fórmula'!K57))*(INDEX(properties!A$1:CB$87,'Fórmula'!D57,40))+(('Fórmula'!G57)/('Fórmula'!C57+'Fórmula'!E57+'Fórmula'!G57+'Fórmula'!I57+'Fórmula'!K57))*(INDEX(properties!A$1:CB$87,'Fórmula'!F57,40))+(('Fórmula'!I57)/('Fórmula'!C57+'Fórmula'!E57+'Fórmula'!G57+'Fórmula'!I57+'Fórmula'!K57))*(INDEX(properties!A$1:CB$87,'Fórmula'!H57,40))+(('Fórmula'!K57)/('Fórmula'!C57+'Fórmula'!E57+'Fórmula'!G57+'Fórmula'!I57+'Fórmula'!K57))*(INDEX(properties!A$1:CB$87,'Fórmula'!J57,40))</f>
        <v>1.070909091</v>
      </c>
      <c r="DY57" s="110">
        <f t="array" ref="DY57">'Fórmula'!C57*(INDEX(properties!A$1:CB$87,'Fórmula'!B57,40))+'Fórmula'!E57*(INDEX(properties!A$1:CB$87,'Fórmula'!D57,40))+'Fórmula'!G57*(INDEX(properties!A$1:CB$87,'Fórmula'!F57,40))+'Fórmula'!I57*(INDEX(properties!A$1:CB$87,'Fórmula'!H57,40))+'Fórmula'!K57*(INDEX(properties!A$1:CB$87,'Fórmula'!J57,40))</f>
        <v>11.78</v>
      </c>
      <c r="DZ57" s="110">
        <f t="array" ref="DZ57">VARP(IF(INDEX(properties!A$1:CB$87,'Fórmula'!B57,40)&lt;&gt;"",INDEX(properties!A$1:CB$87,'Fórmula'!B57,40)),IF(INDEX(properties!A$1:CB$87,'Fórmula'!D57,40)&lt;&gt;"",INDEX(properties!A$1:CB$87,'Fórmula'!D57,40)),IF(INDEX(properties!A$1:CB$87,'Fórmula'!F57,40)&lt;&gt;"",INDEX(properties!A$1:CB$87,'Fórmula'!F57,40)),IF(INDEX(properties!A$1:CB$87,'Fórmula'!H57,40)&lt;&gt;"",INDEX(properties!A$1:CB$87,'Fórmula'!H57,40)),IF(INDEX(properties!A$1:CB$87,'Fórmula'!J57,40)&lt;&gt;"",INDEX(properties!A$1:CB$87,'Fórmula'!J57,40)))</f>
        <v>0.496704</v>
      </c>
      <c r="EA57" s="121">
        <f t="array" ref="EA57">MAX(INDEX(properties!A$1:CB$87,'Fórmula'!B57,40),INDEX(properties!A$1:CB$87,'Fórmula'!D57,40),INDEX(properties!A$1:CB$87,'Fórmula'!F57,40),INDEX(properties!A$1:CB$87,'Fórmula'!H57,40),INDEX(properties!A$1:CB$87,'Fórmula'!J57,40))</f>
        <v>1.92</v>
      </c>
      <c r="EB57" s="121">
        <f t="array" ref="EB57">MIN(IF(INDEX(properties!A$1:CB$87,'Fórmula'!B57,40)=0,10^6,INDEX(properties!A$1:CB$87,'Fórmula'!B57,40)),IF(INDEX(properties!A$1:CB$87,'Fórmula'!D57,40)=0,10^6,INDEX(properties!A$1:CB$87,'Fórmula'!D57,40)),IF(INDEX(properties!A$1:CB$87,'Fórmula'!F57,40)=0,10^6,INDEX(properties!A$1:CB$87,'Fórmula'!F57,40)),IF(INDEX(properties!A$1:CB$87,'Fórmula'!H57,40)=0,10^6,INDEX(properties!A$1:CB$87,'Fórmula'!H57,40)),IF(INDEX(properties!A$1:CB$87,'Fórmula'!J57,40)=0,10^6,INDEX(properties!A$1:CB$87,'Fórmula'!J57,40)))</f>
        <v>0.73</v>
      </c>
      <c r="EC57" s="110">
        <f t="shared" si="22"/>
        <v>1.19</v>
      </c>
      <c r="ED57" s="111">
        <f t="array" ref="ED57">(('Fórmula'!C57)/('Fórmula'!C57+'Fórmula'!E57+'Fórmula'!G57+'Fórmula'!I57+'Fórmula'!K57))*(INDEX(properties!A$1:CB$87,'Fórmula'!B57,41))+(('Fórmula'!E57)/('Fórmula'!C57+'Fórmula'!E57+'Fórmula'!G57+'Fórmula'!I57+'Fórmula'!K57))*(INDEX(properties!A$1:CB$87,'Fórmula'!D57,41))+(('Fórmula'!G57)/('Fórmula'!C57+'Fórmula'!E57+'Fórmula'!G57+'Fórmula'!I57+'Fórmula'!K57))*(INDEX(properties!A$1:CB$87,'Fórmula'!F57,41))+(('Fórmula'!I57)/('Fórmula'!C57+'Fórmula'!E57+'Fórmula'!G57+'Fórmula'!I57+'Fórmula'!K57))*(INDEX(properties!A$1:CB$87,'Fórmula'!H57,41))+(('Fórmula'!K57)/('Fórmula'!C57+'Fórmula'!E57+'Fórmula'!G57+'Fórmula'!I57+'Fórmula'!K57))*(INDEX(properties!A$1:CB$87,'Fórmula'!J57,41))</f>
        <v>1.121818182</v>
      </c>
      <c r="EE57" s="111">
        <f t="array" ref="EE57">'Fórmula'!C57*(INDEX(properties!A$1:CB$87,'Fórmula'!B57,41))+'Fórmula'!E57*(INDEX(properties!A$1:CB$87,'Fórmula'!D57,41))+'Fórmula'!G57*(INDEX(properties!A$1:CB$87,'Fórmula'!F57,41))+'Fórmula'!I57*(INDEX(properties!A$1:CB$87,'Fórmula'!H57,41))+'Fórmula'!K57*(INDEX(properties!A$1:CB$87,'Fórmula'!J57,41))</f>
        <v>12.34</v>
      </c>
      <c r="EF57" s="111">
        <f t="array" ref="EF57">VARP(IF(INDEX(properties!A$1:CB$87,'Fórmula'!B57,41)&lt;&gt;"",INDEX(properties!A$1:CB$87,'Fórmula'!B57,41)),IF(INDEX(properties!A$1:CB$87,'Fórmula'!D57,41)&lt;&gt;"",INDEX(properties!A$1:CB$87,'Fórmula'!D57,41)),IF(INDEX(properties!A$1:CB$87,'Fórmula'!F57,41)&lt;&gt;"",INDEX(properties!A$1:CB$87,'Fórmula'!F57,41)),IF(INDEX(properties!A$1:CB$87,'Fórmula'!H57,41)&lt;&gt;"",INDEX(properties!A$1:CB$87,'Fórmula'!H57,41)),IF(INDEX(properties!A$1:CB$87,'Fórmula'!J57,41)&lt;&gt;"",INDEX(properties!A$1:CB$87,'Fórmula'!J57,41)))</f>
        <v>0.342016</v>
      </c>
      <c r="EG57" s="122">
        <f t="array" ref="EG57">MAX(INDEX(properties!A$1:CB$87,'Fórmula'!B57,41),INDEX(properties!A$1:CB$87,'Fórmula'!D57,41),INDEX(properties!A$1:CB$87,'Fórmula'!F57,41),INDEX(properties!A$1:CB$87,'Fórmula'!H57,41),INDEX(properties!A$1:CB$87,'Fórmula'!J57,41))</f>
        <v>1.32</v>
      </c>
      <c r="EH57" s="122">
        <f t="array" ref="EH57">MIN(IF(INDEX(properties!A$1:CB$87,'Fórmula'!B57,41)=0,10^6,INDEX(properties!A$1:CB$87,'Fórmula'!B57,41)),IF(INDEX(properties!A$1:CB$87,'Fórmula'!D57,41)=0,10^6,INDEX(properties!A$1:CB$87,'Fórmula'!D57,41)),IF(INDEX(properties!A$1:CB$87,'Fórmula'!F57,41)=0,10^6,INDEX(properties!A$1:CB$87,'Fórmula'!F57,41)),IF(INDEX(properties!A$1:CB$87,'Fórmula'!H57,41)=0,10^6,INDEX(properties!A$1:CB$87,'Fórmula'!H57,41)),IF(INDEX(properties!A$1:CB$87,'Fórmula'!J57,41)=0,10^6,INDEX(properties!A$1:CB$87,'Fórmula'!J57,41)))</f>
        <v>0.41</v>
      </c>
      <c r="EI57" s="111">
        <f t="shared" si="23"/>
        <v>0.91</v>
      </c>
      <c r="EJ57" s="112">
        <f t="array" ref="EJ57">(('Fórmula'!C57)/('Fórmula'!C57+'Fórmula'!E57+'Fórmula'!G57+'Fórmula'!I57+'Fórmula'!K57))*(INDEX(properties!A$1:CB$87,'Fórmula'!B57,45))+(('Fórmula'!E57)/('Fórmula'!C57+'Fórmula'!E57+'Fórmula'!G57+'Fórmula'!I57+'Fórmula'!K57))*(INDEX(properties!A$1:CB$87,'Fórmula'!D57,45))+(('Fórmula'!G57)/('Fórmula'!C57+'Fórmula'!E57+'Fórmula'!G57+'Fórmula'!I57+'Fórmula'!K57))*(INDEX(properties!A$1:CB$87,'Fórmula'!F57,45))+(('Fórmula'!I57)/('Fórmula'!C57+'Fórmula'!E57+'Fórmula'!G57+'Fórmula'!I57+'Fórmula'!K57))*(INDEX(properties!A$1:CB$87,'Fórmula'!H57,45))+(('Fórmula'!K57)/('Fórmula'!C57+'Fórmula'!E57+'Fórmula'!G57+'Fórmula'!I57+'Fórmula'!K57))*(INDEX(properties!A$1:CB$87,'Fórmula'!J57,45))</f>
        <v>1.277272727</v>
      </c>
      <c r="EK57" s="112">
        <f t="array" ref="EK57">'Fórmula'!C57*(INDEX(properties!A$1:CB$87,'Fórmula'!B57,45))+'Fórmula'!E57*(INDEX(properties!A$1:CB$87,'Fórmula'!D57,45))+'Fórmula'!G57*(INDEX(properties!A$1:CB$87,'Fórmula'!F57,45))+'Fórmula'!I57*(INDEX(properties!A$1:CB$87,'Fórmula'!H57,45))+'Fórmula'!K57*(INDEX(properties!A$1:CB$87,'Fórmula'!J57,45))</f>
        <v>14.05</v>
      </c>
      <c r="EL57" s="112">
        <f t="array" ref="EL57">VARP(IF(INDEX(properties!A$1:CB$87,'Fórmula'!B57,45)&lt;&gt;"",INDEX(properties!A$1:CB$87,'Fórmula'!B57,45)),IF(INDEX(properties!A$1:CB$87,'Fórmula'!D57,45)&lt;&gt;"",INDEX(properties!A$1:CB$87,'Fórmula'!D57,45)),IF(INDEX(properties!A$1:CB$87,'Fórmula'!F57,45)&lt;&gt;"",INDEX(properties!A$1:CB$87,'Fórmula'!F57,45)),IF(INDEX(properties!A$1:CB$87,'Fórmula'!H57,45)&lt;&gt;"",INDEX(properties!A$1:CB$87,'Fórmula'!H57,45)),IF(INDEX(properties!A$1:CB$87,'Fórmula'!J57,45)&lt;&gt;"",INDEX(properties!A$1:CB$87,'Fórmula'!J57,45)))</f>
        <v>1.430184</v>
      </c>
      <c r="EM57" s="123">
        <f t="array" ref="EM57">MAX(INDEX(properties!A$1:CB$87,'Fórmula'!B57,45),INDEX(properties!A$1:CB$87,'Fórmula'!D57,45),INDEX(properties!A$1:CB$87,'Fórmula'!F57,45),INDEX(properties!A$1:CB$87,'Fórmula'!H57,45),INDEX(properties!A$1:CB$87,'Fórmula'!J57,45))</f>
        <v>3.21</v>
      </c>
      <c r="EN57" s="123">
        <f t="array" ref="EN57">MIN(IF(INDEX(properties!A$1:CB$87,'Fórmula'!B57,45)=0,10^6,INDEX(properties!A$1:CB$87,'Fórmula'!B57,45)),IF(INDEX(properties!A$1:CB$87,'Fórmula'!D57,45)=0,10^6,INDEX(properties!A$1:CB$87,'Fórmula'!D57,45)),IF(INDEX(properties!A$1:CB$87,'Fórmula'!F57,45)=0,10^6,INDEX(properties!A$1:CB$87,'Fórmula'!F57,45)),IF(INDEX(properties!A$1:CB$87,'Fórmula'!H57,45)=0,10^6,INDEX(properties!A$1:CB$87,'Fórmula'!H57,45)),IF(INDEX(properties!A$1:CB$87,'Fórmula'!J57,45)=0,10^6,INDEX(properties!A$1:CB$87,'Fórmula'!J57,45)))</f>
        <v>0.47</v>
      </c>
      <c r="EO57" s="112">
        <f t="shared" si="24"/>
        <v>2.74</v>
      </c>
      <c r="EP57" s="113">
        <f t="array" ref="EP57">(('Fórmula'!C57)/('Fórmula'!C57+'Fórmula'!E57+'Fórmula'!G57+'Fórmula'!I57+'Fórmula'!K57))*(INDEX(properties!A$1:CB$87,'Fórmula'!B57,46))+(('Fórmula'!E57)/('Fórmula'!C57+'Fórmula'!E57+'Fórmula'!G57+'Fórmula'!I57+'Fórmula'!K57))*(INDEX(properties!A$1:CB$87,'Fórmula'!D57,46))+(('Fórmula'!G57)/('Fórmula'!C57+'Fórmula'!E57+'Fórmula'!G57+'Fórmula'!I57+'Fórmula'!K57))*(INDEX(properties!A$1:CB$87,'Fórmula'!F57,46))+(('Fórmula'!I57)/('Fórmula'!C57+'Fórmula'!E57+'Fórmula'!G57+'Fórmula'!I57+'Fórmula'!K57))*(INDEX(properties!A$1:CB$87,'Fórmula'!H57,46))+(('Fórmula'!K57)/('Fórmula'!C57+'Fórmula'!E57+'Fórmula'!G57+'Fórmula'!I57+'Fórmula'!K57))*(INDEX(properties!A$1:CB$87,'Fórmula'!J57,46))</f>
        <v>1.065454545</v>
      </c>
      <c r="EQ57" s="113">
        <f t="array" ref="EQ57">'Fórmula'!C57*(INDEX(properties!A$1:CB$87,'Fórmula'!B57,46))+'Fórmula'!E57*(INDEX(properties!A$1:CB$87,'Fórmula'!D57,46))+'Fórmula'!G57*(INDEX(properties!A$1:CB$87,'Fórmula'!F57,46))+'Fórmula'!I57*(INDEX(properties!A$1:CB$87,'Fórmula'!H57,46))+'Fórmula'!K57*(INDEX(properties!A$1:CB$87,'Fórmula'!J57,46))</f>
        <v>11.72</v>
      </c>
      <c r="ER57" s="113">
        <f t="array" ref="ER57">VARP(IF(INDEX(properties!A$1:CB$87,'Fórmula'!B57,46)&lt;&gt;"",INDEX(properties!A$1:CB$87,'Fórmula'!B57,46)),IF(INDEX(properties!A$1:CB$87,'Fórmula'!D57,46)&lt;&gt;"",INDEX(properties!A$1:CB$87,'Fórmula'!D57,46)),IF(INDEX(properties!A$1:CB$87,'Fórmula'!F57,46)&lt;&gt;"",INDEX(properties!A$1:CB$87,'Fórmula'!F57,46)),IF(INDEX(properties!A$1:CB$87,'Fórmula'!H57,46)&lt;&gt;"",INDEX(properties!A$1:CB$87,'Fórmula'!H57,46)),IF(INDEX(properties!A$1:CB$87,'Fórmula'!J57,46)&lt;&gt;"",INDEX(properties!A$1:CB$87,'Fórmula'!J57,46)))</f>
        <v>0.344664</v>
      </c>
      <c r="ES57" s="124">
        <f t="array" ref="ES57">MAX(INDEX(properties!A$1:CB$87,'Fórmula'!B57,46),INDEX(properties!A$1:CB$87,'Fórmula'!D57,46),INDEX(properties!A$1:CB$87,'Fórmula'!F57,46),INDEX(properties!A$1:CB$87,'Fórmula'!H57,46),INDEX(properties!A$1:CB$87,'Fórmula'!J57,46))</f>
        <v>1.32</v>
      </c>
      <c r="ET57" s="124">
        <f t="array" ref="ET57">MIN(IF(INDEX(properties!A$1:CB$87,'Fórmula'!B57,46)=0,10^6,INDEX(properties!A$1:CB$87,'Fórmula'!B57,46)),IF(INDEX(properties!A$1:CB$87,'Fórmula'!D57,46)=0,10^6,INDEX(properties!A$1:CB$87,'Fórmula'!D57,46)),IF(INDEX(properties!A$1:CB$87,'Fórmula'!F57,46)=0,10^6,INDEX(properties!A$1:CB$87,'Fórmula'!F57,46)),IF(INDEX(properties!A$1:CB$87,'Fórmula'!H57,46)=0,10^6,INDEX(properties!A$1:CB$87,'Fórmula'!H57,46)),IF(INDEX(properties!A$1:CB$87,'Fórmula'!J57,46)=0,10^6,INDEX(properties!A$1:CB$87,'Fórmula'!J57,46)))</f>
        <v>0.25</v>
      </c>
      <c r="EU57" s="113">
        <f t="shared" si="25"/>
        <v>1.07</v>
      </c>
      <c r="EV57" s="114">
        <f t="array" ref="EV57">(('Fórmula'!C57)/('Fórmula'!C57+'Fórmula'!E57+'Fórmula'!G57+'Fórmula'!I57+'Fórmula'!K57))*(INDEX(properties!A$1:CB$87,'Fórmula'!B57,52))+(('Fórmula'!E57)/('Fórmula'!C57+'Fórmula'!E57+'Fórmula'!G57+'Fórmula'!I57+'Fórmula'!K57))*(INDEX(properties!A$1:CB$87,'Fórmula'!D57,52))+(('Fórmula'!G57)/('Fórmula'!C57+'Fórmula'!E57+'Fórmula'!G57+'Fórmula'!I57+'Fórmula'!K57))*(INDEX(properties!A$1:CB$87,'Fórmula'!F57,52))+(('Fórmula'!I57)/('Fórmula'!C57+'Fórmula'!E57+'Fórmula'!G57+'Fórmula'!I57+'Fórmula'!K57))*(INDEX(properties!A$1:CB$87,'Fórmula'!H57,52))+(('Fórmula'!K57)/('Fórmula'!C57+'Fórmula'!E57+'Fórmula'!G57+'Fórmula'!I57+'Fórmula'!K57))*(INDEX(properties!A$1:CB$87,'Fórmula'!J57,52))</f>
        <v>8.505272727</v>
      </c>
      <c r="EW57" s="114">
        <f t="array" ref="EW57">'Fórmula'!C57*(INDEX(properties!A$1:CB$87,'Fórmula'!B57,52))+'Fórmula'!E57*(INDEX(properties!A$1:CB$87,'Fórmula'!D57,52))+'Fórmula'!G57*(INDEX(properties!A$1:CB$87,'Fórmula'!F57,52))+'Fórmula'!I57*(INDEX(properties!A$1:CB$87,'Fórmula'!H57,52))+'Fórmula'!K57*(INDEX(properties!A$1:CB$87,'Fórmula'!J57,52))</f>
        <v>93.558</v>
      </c>
      <c r="EX57" s="114">
        <f t="array" ref="EX57">VARP(IF(INDEX(properties!A$1:CB$87,'Fórmula'!B57,52)&lt;&gt;"",INDEX(properties!A$1:CB$87,'Fórmula'!B57,52)),IF(INDEX(properties!A$1:CB$87,'Fórmula'!D57,52)&lt;&gt;"",INDEX(properties!A$1:CB$87,'Fórmula'!D57,52)),IF(INDEX(properties!A$1:CB$87,'Fórmula'!F57,52)&lt;&gt;"",INDEX(properties!A$1:CB$87,'Fórmula'!F57,52)),IF(INDEX(properties!A$1:CB$87,'Fórmula'!H57,52)&lt;&gt;"",INDEX(properties!A$1:CB$87,'Fórmula'!H57,52)),IF(INDEX(properties!A$1:CB$87,'Fórmula'!J57,52)&lt;&gt;"",INDEX(properties!A$1:CB$87,'Fórmula'!J57,52)))</f>
        <v>114.8569518</v>
      </c>
      <c r="EY57" s="114">
        <f t="array" ref="EY57">MAX(INDEX(properties!A$1:CB$87,'Fórmula'!B57,52),INDEX(properties!A$1:CB$87,'Fórmula'!D57,52),INDEX(properties!A$1:CB$87,'Fórmula'!F57,52),INDEX(properties!A$1:CB$87,'Fórmula'!H57,52),INDEX(properties!A$1:CB$87,'Fórmula'!J57,52))</f>
        <v>27.6</v>
      </c>
      <c r="EZ57" s="114">
        <f t="array" ref="EZ57">MIN(IF(INDEX(properties!A$1:CB$87,'Fórmula'!B57,52)=0,10^6,INDEX(properties!A$1:CB$87,'Fórmula'!B57,52)),IF(INDEX(properties!A$1:CB$87,'Fórmula'!D57,52)=0,10^6,INDEX(properties!A$1:CB$87,'Fórmula'!D57,52)),IF(INDEX(properties!A$1:CB$87,'Fórmula'!F57,52)=0,10^6,INDEX(properties!A$1:CB$87,'Fórmula'!F57,52)),IF(INDEX(properties!A$1:CB$87,'Fórmula'!H57,52)=0,10^6,INDEX(properties!A$1:CB$87,'Fórmula'!H57,52)),IF(INDEX(properties!A$1:CB$87,'Fórmula'!J57,52)=0,10^6,INDEX(properties!A$1:CB$87,'Fórmula'!J57,52)))</f>
        <v>0.793</v>
      </c>
      <c r="FA57" s="114">
        <f t="shared" si="26"/>
        <v>26.807</v>
      </c>
      <c r="FB57" s="115">
        <f t="array" ref="FB57">(('Fórmula'!C57)/('Fórmula'!C57+'Fórmula'!E57+'Fórmula'!G57+'Fórmula'!I57+'Fórmula'!K57))*(INDEX(properties!A$1:CB$87,'Fórmula'!B57,53))+(('Fórmula'!E57)/('Fórmula'!C57+'Fórmula'!E57+'Fórmula'!G57+'Fórmula'!I57+'Fórmula'!K57))*(INDEX(properties!A$1:CB$87,'Fórmula'!D57,53))+(('Fórmula'!G57)/('Fórmula'!C57+'Fórmula'!E57+'Fórmula'!G57+'Fórmula'!I57+'Fórmula'!K57))*(INDEX(properties!A$1:CB$87,'Fórmula'!F57,53))+(('Fórmula'!I57)/('Fórmula'!C57+'Fórmula'!E57+'Fórmula'!G57+'Fórmula'!I57+'Fórmula'!K57))*(INDEX(properties!A$1:CB$87,'Fórmula'!H57,53))+(('Fórmula'!K57)/('Fórmula'!C57+'Fórmula'!E57+'Fórmula'!G57+'Fórmula'!I57+'Fórmula'!K57))*(INDEX(properties!A$1:CB$87,'Fórmula'!J57,53))</f>
        <v>741.75</v>
      </c>
      <c r="FC57" s="115">
        <f t="array" ref="FC57">'Fórmula'!C57*(INDEX(properties!A$1:CB$87,'Fórmula'!B57,53))+'Fórmula'!E57*(INDEX(properties!A$1:CB$87,'Fórmula'!D57,53))+'Fórmula'!G57*(INDEX(properties!A$1:CB$87,'Fórmula'!F57,53))+'Fórmula'!I57*(INDEX(properties!A$1:CB$87,'Fórmula'!H57,53))+'Fórmula'!K57*(INDEX(properties!A$1:CB$87,'Fórmula'!J57,53))</f>
        <v>8159.25</v>
      </c>
      <c r="FD57" s="115">
        <f t="array" ref="FD57">VARP(IF(INDEX(properties!A$1:CB$87,'Fórmula'!B57,53)&lt;&gt;"",INDEX(properties!A$1:CB$87,'Fórmula'!B57,53)),IF(INDEX(properties!A$1:CB$87,'Fórmula'!D57,53)&lt;&gt;"",INDEX(properties!A$1:CB$87,'Fórmula'!D57,53)),IF(INDEX(properties!A$1:CB$87,'Fórmula'!F57,53)&lt;&gt;"",INDEX(properties!A$1:CB$87,'Fórmula'!F57,53)),IF(INDEX(properties!A$1:CB$87,'Fórmula'!H57,53)&lt;&gt;"",INDEX(properties!A$1:CB$87,'Fórmula'!H57,53)),IF(INDEX(properties!A$1:CB$87,'Fórmula'!J57,53)&lt;&gt;"",INDEX(properties!A$1:CB$87,'Fórmula'!J57,53)))</f>
        <v>848498.9254</v>
      </c>
      <c r="FE57" s="115">
        <f t="array" ref="FE57">MAX(INDEX(properties!A$1:CB$87,'Fórmula'!B57,53),INDEX(properties!A$1:CB$87,'Fórmula'!D57,53),INDEX(properties!A$1:CB$87,'Fórmula'!F57,53),INDEX(properties!A$1:CB$87,'Fórmula'!H57,53),INDEX(properties!A$1:CB$87,'Fórmula'!J57,53))</f>
        <v>2352.15</v>
      </c>
      <c r="FF57" s="115">
        <f t="array" ref="FF57">MIN(IF(INDEX(properties!A$1:CB$87,'Fórmula'!B57,53)=0,10^6,INDEX(properties!A$1:CB$87,'Fórmula'!B57,53)),IF(INDEX(properties!A$1:CB$87,'Fórmula'!D57,53)=0,10^6,INDEX(properties!A$1:CB$87,'Fórmula'!D57,53)),IF(INDEX(properties!A$1:CB$87,'Fórmula'!F57,53)=0,10^6,INDEX(properties!A$1:CB$87,'Fórmula'!F57,53)),IF(INDEX(properties!A$1:CB$87,'Fórmula'!H57,53)=0,10^6,INDEX(properties!A$1:CB$87,'Fórmula'!H57,53)),IF(INDEX(properties!A$1:CB$87,'Fórmula'!J57,53)=0,10^6,INDEX(properties!A$1:CB$87,'Fórmula'!J57,53)))</f>
        <v>54.75</v>
      </c>
      <c r="FG57" s="115">
        <f t="shared" si="27"/>
        <v>2297.4</v>
      </c>
      <c r="FH57" s="117">
        <f t="array" ref="FH57">(('Fórmula'!C57)/('Fórmula'!C57+'Fórmula'!E57+'Fórmula'!G57+'Fórmula'!I57+'Fórmula'!K57))*(INDEX(properties!A$1:CB$87,'Fórmula'!B57,54))+(('Fórmula'!E57)/('Fórmula'!C57+'Fórmula'!E57+'Fórmula'!G57+'Fórmula'!I57+'Fórmula'!K57))*(INDEX(properties!A$1:CB$87,'Fórmula'!D57,54))+(('Fórmula'!G57)/('Fórmula'!C57+'Fórmula'!E57+'Fórmula'!G57+'Fórmula'!I57+'Fórmula'!K57))*(INDEX(properties!A$1:CB$87,'Fórmula'!F57,54))+(('Fórmula'!I57)/('Fórmula'!C57+'Fórmula'!E57+'Fórmula'!G57+'Fórmula'!I57+'Fórmula'!K57))*(INDEX(properties!A$1:CB$87,'Fórmula'!H57,54))+(('Fórmula'!K57)/('Fórmula'!C57+'Fórmula'!E57+'Fórmula'!G57+'Fórmula'!I57+'Fórmula'!K57))*(INDEX(properties!A$1:CB$87,'Fórmula'!J57,54))</f>
        <v>1278.395455</v>
      </c>
      <c r="FI57" s="117">
        <f t="array" ref="FI57">'Fórmula'!C57*(INDEX(properties!A$1:CB$87,'Fórmula'!B57,54))+'Fórmula'!E57*(INDEX(properties!A$1:CB$87,'Fórmula'!D57,54))+'Fórmula'!G57*(INDEX(properties!A$1:CB$87,'Fórmula'!F57,54))+'Fórmula'!I57*(INDEX(properties!A$1:CB$87,'Fórmula'!H57,54))+'Fórmula'!K57*(INDEX(properties!A$1:CB$87,'Fórmula'!J57,54))</f>
        <v>14062.35</v>
      </c>
      <c r="FJ57" s="117">
        <f t="array" ref="FJ57">VARP(IF(INDEX(properties!A$1:CB$87,'Fórmula'!B57,54)&lt;&gt;"",INDEX(properties!A$1:CB$87,'Fórmula'!B57,54)),IF(INDEX(properties!A$1:CB$87,'Fórmula'!D57,54)&lt;&gt;"",INDEX(properties!A$1:CB$87,'Fórmula'!D57,54)),IF(INDEX(properties!A$1:CB$87,'Fórmula'!F57,54)&lt;&gt;"",INDEX(properties!A$1:CB$87,'Fórmula'!F57,54)),IF(INDEX(properties!A$1:CB$87,'Fórmula'!H57,54)&lt;&gt;"",INDEX(properties!A$1:CB$87,'Fórmula'!H57,54)),IF(INDEX(properties!A$1:CB$87,'Fórmula'!J57,54)&lt;&gt;"",INDEX(properties!A$1:CB$87,'Fórmula'!J57,54)))</f>
        <v>2755255.737</v>
      </c>
      <c r="FK57" s="117">
        <f t="array" ref="FK57">MAX(INDEX(properties!A$1:CB$87,'Fórmula'!B57,54),INDEX(properties!A$1:CB$87,'Fórmula'!D57,54),INDEX(properties!A$1:CB$87,'Fórmula'!F57,54),INDEX(properties!A$1:CB$87,'Fórmula'!H57,54),INDEX(properties!A$1:CB$87,'Fórmula'!J57,54))</f>
        <v>4275</v>
      </c>
      <c r="FL57" s="117">
        <f t="array" ref="FL57">MIN(IF(INDEX(properties!A$1:CB$87,'Fórmula'!B57,54)=0,10^6,INDEX(properties!A$1:CB$87,'Fórmula'!B57,54)),IF(INDEX(properties!A$1:CB$87,'Fórmula'!D57,54)=0,10^6,INDEX(properties!A$1:CB$87,'Fórmula'!D57,54)),IF(INDEX(properties!A$1:CB$87,'Fórmula'!F57,54)=0,10^6,INDEX(properties!A$1:CB$87,'Fórmula'!F57,54)),IF(INDEX(properties!A$1:CB$87,'Fórmula'!H57,54)=0,10^6,INDEX(properties!A$1:CB$87,'Fórmula'!H57,54)),IF(INDEX(properties!A$1:CB$87,'Fórmula'!J57,54)=0,10^6,INDEX(properties!A$1:CB$87,'Fórmula'!J57,54)))</f>
        <v>90.15</v>
      </c>
      <c r="FM57" s="117">
        <f t="shared" si="28"/>
        <v>4184.85</v>
      </c>
      <c r="FN57" s="118">
        <f t="array" ref="FN57">(('Fórmula'!C57)/('Fórmula'!C57+'Fórmula'!E57+'Fórmula'!G57+'Fórmula'!I57+'Fórmula'!K57))*(INDEX(properties!A$1:CB$87,'Fórmula'!B57,55))+(('Fórmula'!E57)/('Fórmula'!C57+'Fórmula'!E57+'Fórmula'!G57+'Fórmula'!I57+'Fórmula'!K57))*(INDEX(properties!A$1:CB$87,'Fórmula'!D57,55))+(('Fórmula'!G57)/('Fórmula'!C57+'Fórmula'!E57+'Fórmula'!G57+'Fórmula'!I57+'Fórmula'!K57))*(INDEX(properties!A$1:CB$87,'Fórmula'!F57,55))+(('Fórmula'!I57)/('Fórmula'!C57+'Fórmula'!E57+'Fórmula'!G57+'Fórmula'!I57+'Fórmula'!K57))*(INDEX(properties!A$1:CB$87,'Fórmula'!H57,55))+(('Fórmula'!K57)/('Fórmula'!C57+'Fórmula'!E57+'Fórmula'!G57+'Fórmula'!I57+'Fórmula'!K57))*(INDEX(properties!A$1:CB$87,'Fórmula'!J57,55))</f>
        <v>1.143507273</v>
      </c>
      <c r="FO57" s="118">
        <f t="array" ref="FO57">'Fórmula'!C57*(INDEX(properties!A$1:CB$87,'Fórmula'!B57,55))+'Fórmula'!E57*(INDEX(properties!A$1:CB$87,'Fórmula'!D57,54))+'Fórmula'!G57*(INDEX(properties!A$1:CB$87,'Fórmula'!F57,55))+'Fórmula'!I57*(INDEX(properties!A$1:CB$87,'Fórmula'!H57,55))+'Fórmula'!K57*(INDEX(properties!A$1:CB$87,'Fórmula'!J57,55))</f>
        <v>8557.89858</v>
      </c>
      <c r="FP57" s="118">
        <f t="array" ref="FP57">VARP(IF(INDEX(properties!A$1:CB$87,'Fórmula'!B57,55)&lt;&gt;"",INDEX(properties!A$1:CB$87,'Fórmula'!B57,55)),IF(INDEX(properties!A$1:CB$87,'Fórmula'!D57,55)&lt;&gt;"",INDEX(properties!A$1:CB$87,'Fórmula'!D57,55)),IF(INDEX(properties!A$1:CB$87,'Fórmula'!F57,55)&lt;&gt;"",INDEX(properties!A$1:CB$87,'Fórmula'!F57,55)),IF(INDEX(properties!A$1:CB$87,'Fórmula'!H57,55)&lt;&gt;"",INDEX(properties!A$1:CB$87,'Fórmula'!H57,55)),IF(INDEX(properties!A$1:CB$87,'Fórmula'!J57,55)&lt;&gt;"",INDEX(properties!A$1:CB$87,'Fórmula'!J57,55)))</f>
        <v>1.489895759</v>
      </c>
      <c r="FQ57" s="118">
        <f t="array" ref="FQ57">MAX(INDEX(properties!A$1:CB$87,'Fórmula'!B57,55),INDEX(properties!A$1:CB$87,'Fórmula'!D57,55),INDEX(properties!A$1:CB$87,'Fórmula'!F57,55),INDEX(properties!A$1:CB$87,'Fórmula'!H57,55),INDEX(properties!A$1:CB$87,'Fórmula'!J57,55))</f>
        <v>2.63</v>
      </c>
      <c r="FR57" s="118">
        <f t="array" ref="FR57">MIN(IF(INDEX(properties!A$1:CB$87,'Fórmula'!B57,55)=0,10^6,INDEX(properties!A$1:CB$87,'Fórmula'!B57,55)),IF(INDEX(properties!A$1:CB$87,'Fórmula'!D57,55)=0,10^6,INDEX(properties!A$1:CB$87,'Fórmula'!D57,55)),IF(INDEX(properties!A$1:CB$87,'Fórmula'!F57,55)=0,10^6,INDEX(properties!A$1:CB$87,'Fórmula'!F57,55)),IF(INDEX(properties!A$1:CB$87,'Fórmula'!H57,55)=0,10^6,INDEX(properties!A$1:CB$87,'Fórmula'!H57,55)),IF(INDEX(properties!A$1:CB$87,'Fórmula'!J57,55)=0,10^6,INDEX(properties!A$1:CB$87,'Fórmula'!J57,55)))</f>
        <v>0.00143</v>
      </c>
      <c r="FS57" s="118">
        <f t="shared" si="29"/>
        <v>2.62857</v>
      </c>
      <c r="FT57" s="119">
        <f t="array" ref="FT57">(('Fórmula'!C57)/('Fórmula'!C57+'Fórmula'!E57+'Fórmula'!G57+'Fórmula'!I57+'Fórmula'!K57))*(INDEX(properties!A$1:CB$87,'Fórmula'!B57,56))+(('Fórmula'!E57)/('Fórmula'!C57+'Fórmula'!E57+'Fórmula'!G57+'Fórmula'!I57+'Fórmula'!K57))*(INDEX(properties!A$1:CB$87,'Fórmula'!D57,56))+(('Fórmula'!G57)/('Fórmula'!C57+'Fórmula'!E57+'Fórmula'!G57+'Fórmula'!I57+'Fórmula'!K57))*(INDEX(properties!A$1:CB$87,'Fórmula'!F57,56))+(('Fórmula'!I57)/('Fórmula'!C57+'Fórmula'!E57+'Fórmula'!G57+'Fórmula'!I57+'Fórmula'!K57))*(INDEX(properties!A$1:CB$87,'Fórmula'!H57,56))+(('Fórmula'!K57)/('Fórmula'!C57+'Fórmula'!E57+'Fórmula'!G57+'Fórmula'!I57+'Fórmula'!K57))*(INDEX(properties!A$1:CB$87,'Fórmula'!J57,56))</f>
        <v>0.7690909091</v>
      </c>
      <c r="FU57" s="119">
        <f t="array" ref="FU57">'Fórmula'!C57*(INDEX(properties!A$1:CB$87,'Fórmula'!B57,56))+'Fórmula'!E57*(INDEX(properties!A$1:CB$87,'Fórmula'!D57,56))+'Fórmula'!G57*(INDEX(properties!A$1:CB$87,'Fórmula'!F57,56))+'Fórmula'!I57*(INDEX(properties!A$1:CB$87,'Fórmula'!H57,56))+'Fórmula'!K57*(INDEX(properties!A$1:CB$87,'Fórmula'!J57,56))</f>
        <v>8.46</v>
      </c>
      <c r="FV57" s="119">
        <f t="array" ref="FV57">VARP(IF(INDEX(properties!A$1:CB$87,'Fórmula'!B57,56)&lt;&gt;"",INDEX(properties!A$1:CB$87,'Fórmula'!B57,56)),IF(INDEX(properties!A$1:CB$87,'Fórmula'!D57,56)&lt;&gt;"",INDEX(properties!A$1:CB$87,'Fórmula'!D57,56)),IF(INDEX(properties!A$1:CB$87,'Fórmula'!F57,56)&lt;&gt;"",INDEX(properties!A$1:CB$87,'Fórmula'!F57,56)),IF(INDEX(properties!A$1:CB$87,'Fórmula'!H57,56)&lt;&gt;"",INDEX(properties!A$1:CB$87,'Fórmula'!H57,56)),IF(INDEX(properties!A$1:CB$87,'Fórmula'!J57,56)&lt;&gt;"",INDEX(properties!A$1:CB$87,'Fórmula'!J57,56)))</f>
        <v>0.194656</v>
      </c>
      <c r="FW57" s="119">
        <f t="array" ref="FW57">MAX(INDEX(properties!A$1:CB$87,'Fórmula'!B57,56),INDEX(properties!A$1:CB$87,'Fórmula'!D57,56),INDEX(properties!A$1:CB$87,'Fórmula'!F57,56),INDEX(properties!A$1:CB$87,'Fórmula'!H57,56),INDEX(properties!A$1:CB$87,'Fórmula'!J57,56))</f>
        <v>1.02</v>
      </c>
      <c r="FX57" s="119">
        <f t="array" ref="FX57">MIN(IF(INDEX(properties!A$1:CB$87,'Fórmula'!B57,56)=0,10^6,INDEX(properties!A$1:CB$87,'Fórmula'!B57,56)),IF(INDEX(properties!A$1:CB$87,'Fórmula'!D57,56)=0,10^6,INDEX(properties!A$1:CB$87,'Fórmula'!D57,56)),IF(INDEX(properties!A$1:CB$87,'Fórmula'!F57,56)=0,10^6,INDEX(properties!A$1:CB$87,'Fórmula'!F57,56)),IF(INDEX(properties!A$1:CB$87,'Fórmula'!H57,56)=0,10^6,INDEX(properties!A$1:CB$87,'Fórmula'!H57,56)),IF(INDEX(properties!A$1:CB$87,'Fórmula'!J57,56)=0,10^6,INDEX(properties!A$1:CB$87,'Fórmula'!J57,56)))</f>
        <v>0.3</v>
      </c>
      <c r="FY57" s="119">
        <f t="shared" si="30"/>
        <v>0.72</v>
      </c>
      <c r="FZ57" s="104">
        <f t="array" ref="FZ57">(('Fórmula'!C57)/('Fórmula'!C57+'Fórmula'!E57+'Fórmula'!G57+'Fórmula'!I57+'Fórmula'!K57))*(INDEX(properties!A$1:CB$87,'Fórmula'!B57,57))+(('Fórmula'!E57)/('Fórmula'!C57+'Fórmula'!E57+'Fórmula'!G57+'Fórmula'!I57+'Fórmula'!K57))*(INDEX(properties!A$1:CB$87,'Fórmula'!D57,57))+(('Fórmula'!G57)/('Fórmula'!C57+'Fórmula'!E57+'Fórmula'!G57+'Fórmula'!I57+'Fórmula'!K57))*(INDEX(properties!A$1:CB$87,'Fórmula'!F57,57))+(('Fórmula'!I57)/('Fórmula'!C57+'Fórmula'!E57+'Fórmula'!G57+'Fórmula'!I57+'Fórmula'!K57))*(INDEX(properties!A$1:CB$87,'Fórmula'!H57,57))+(('Fórmula'!K57)/('Fórmula'!C57+'Fórmula'!E57+'Fórmula'!G57+'Fórmula'!I57+'Fórmula'!K57))*(INDEX(properties!A$1:CB$87,'Fórmula'!J57,57))</f>
        <v>11.51232182</v>
      </c>
      <c r="GA57" s="104">
        <f t="array" ref="GA57">'Fórmula'!C57*(INDEX(properties!A$1:CB$87,'Fórmula'!B57,57))+'Fórmula'!E57*(INDEX(properties!A$1:CB$87,'Fórmula'!D57,57))+'Fórmula'!G57*(INDEX(properties!A$1:CB$87,'Fórmula'!F57,57))+'Fórmula'!I57*(INDEX(properties!A$1:CB$87,'Fórmula'!H57,57))+'Fórmula'!K57*(INDEX(properties!A$1:CB$87,'Fórmula'!J57,57))</f>
        <v>126.63554</v>
      </c>
      <c r="GB57" s="104">
        <f t="array" ref="GB57">VARP(IF(INDEX(properties!A$1:CB$87,'Fórmula'!B57,57)&lt;&gt;"",INDEX(properties!A$1:CB$87,'Fórmula'!B57,57)),IF(INDEX(properties!A$1:CB$87,'Fórmula'!D57,57)&lt;&gt;"",INDEX(properties!A$1:CB$87,'Fórmula'!D57,57)),IF(INDEX(properties!A$1:CB$87,'Fórmula'!F57,57)&lt;&gt;"",INDEX(properties!A$1:CB$87,'Fórmula'!F57,57)),IF(INDEX(properties!A$1:CB$87,'Fórmula'!H57,57)&lt;&gt;"",INDEX(properties!A$1:CB$87,'Fórmula'!H57,57)),IF(INDEX(properties!A$1:CB$87,'Fórmula'!J57,57)&lt;&gt;"",INDEX(properties!A$1:CB$87,'Fórmula'!J57,57)))</f>
        <v>379.8622062</v>
      </c>
      <c r="GC57" s="104">
        <f t="array" ref="GC57">MAX(INDEX(properties!A$1:CB$87,'Fórmula'!B57,57),INDEX(properties!A$1:CB$87,'Fórmula'!D57,57),INDEX(properties!A$1:CB$87,'Fórmula'!F57,57),INDEX(properties!A$1:CB$87,'Fórmula'!H57,57),INDEX(properties!A$1:CB$87,'Fórmula'!J57,57))</f>
        <v>50.2</v>
      </c>
      <c r="GD57" s="104">
        <f t="array" ref="GD57">MIN(IF(INDEX(properties!A$1:CB$87,'Fórmula'!B57,57)=0,10^6,INDEX(properties!A$1:CB$87,'Fórmula'!B57,57)),IF(INDEX(properties!A$1:CB$87,'Fórmula'!D57,57)=0,10^6,INDEX(properties!A$1:CB$87,'Fórmula'!D57,57)),IF(INDEX(properties!A$1:CB$87,'Fórmula'!F57,57)=0,10^6,INDEX(properties!A$1:CB$87,'Fórmula'!F57,57)),IF(INDEX(properties!A$1:CB$87,'Fórmula'!H57,57)=0,10^6,INDEX(properties!A$1:CB$87,'Fórmula'!H57,57)),IF(INDEX(properties!A$1:CB$87,'Fórmula'!J57,57)=0,10^6,INDEX(properties!A$1:CB$87,'Fórmula'!J57,57)))</f>
        <v>0.22259</v>
      </c>
      <c r="GE57" s="104">
        <f t="shared" si="31"/>
        <v>49.97741</v>
      </c>
      <c r="GF57" s="105">
        <f t="array" ref="GF57">(('Fórmula'!C57)/('Fórmula'!C57+'Fórmula'!E57+'Fórmula'!G57+'Fórmula'!I57+'Fórmula'!K57))*(INDEX(properties!A$1:CB$87,'Fórmula'!B57,60))+(('Fórmula'!E57)/('Fórmula'!C57+'Fórmula'!E57+'Fórmula'!G57+'Fórmula'!I57+'Fórmula'!K57))*(INDEX(properties!A$1:CB$87,'Fórmula'!D57,60))+(('Fórmula'!G57)/('Fórmula'!C57+'Fórmula'!E57+'Fórmula'!G57+'Fórmula'!I57+'Fórmula'!K57))*(INDEX(properties!A$1:CB$87,'Fórmula'!F57,60))+(('Fórmula'!I57)/('Fórmula'!C57+'Fórmula'!E57+'Fórmula'!G57+'Fórmula'!I57+'Fórmula'!K57))*(INDEX(properties!A$1:CB$87,'Fórmula'!H57,60))+(('Fórmula'!K57)/('Fórmula'!C57+'Fórmula'!E57+'Fórmula'!G57+'Fórmula'!I57+'Fórmula'!K57))*(INDEX(properties!A$1:CB$87,'Fórmula'!J57,60))</f>
        <v>14.55094909</v>
      </c>
      <c r="GG57" s="105">
        <f t="array" ref="GG57">'Fórmula'!C57*(INDEX(properties!A$1:CB$87,'Fórmula'!B57,60))+'Fórmula'!E57*(INDEX(properties!A$1:CB$87,'Fórmula'!D57,60))+'Fórmula'!G57*(INDEX(properties!A$1:CB$87,'Fórmula'!F57,60))+'Fórmula'!I57*(INDEX(properties!A$1:CB$87,'Fórmula'!H57,60))+'Fórmula'!K57*(INDEX(properties!A$1:CB$87,'Fórmula'!J57,60))</f>
        <v>160.06044</v>
      </c>
      <c r="GH57" s="105">
        <f t="array" ref="GH57">VARP(IF(INDEX(properties!A$1:CB$87,'Fórmula'!B57,60)&lt;&gt;"",INDEX(properties!A$1:CB$87,'Fórmula'!B57,60)),IF(INDEX(properties!A$1:CB$87,'Fórmula'!D57,60)&lt;&gt;"",INDEX(properties!A$1:CB$87,'Fórmula'!D57,60)),IF(INDEX(properties!A$1:CB$87,'Fórmula'!F57,60)&lt;&gt;"",INDEX(properties!A$1:CB$87,'Fórmula'!F57,60)),IF(INDEX(properties!A$1:CB$87,'Fórmula'!H57,60)&lt;&gt;"",INDEX(properties!A$1:CB$87,'Fórmula'!H57,60)),IF(INDEX(properties!A$1:CB$87,'Fórmula'!J57,60)&lt;&gt;"",INDEX(properties!A$1:CB$87,'Fórmula'!J57,60)))</f>
        <v>239.6332422</v>
      </c>
      <c r="GI57" s="105">
        <f t="array" ref="GI57">MAX(INDEX(properties!A$1:CB$87,'Fórmula'!B57,60),INDEX(properties!A$1:CB$87,'Fórmula'!D57,60),INDEX(properties!A$1:CB$87,'Fórmula'!F57,60),INDEX(properties!A$1:CB$87,'Fórmula'!H57,60),INDEX(properties!A$1:CB$87,'Fórmula'!J57,60))</f>
        <v>35.3</v>
      </c>
      <c r="GJ57" s="105">
        <f t="array" ref="GJ57">MIN(IF(INDEX(properties!A$1:CB$87,'Fórmula'!B57,60)=0,10^6,INDEX(properties!A$1:CB$87,'Fórmula'!B57,60)),IF(INDEX(properties!A$1:CB$87,'Fórmula'!D57,60)=0,10^6,INDEX(properties!A$1:CB$87,'Fórmula'!D57,60)),IF(INDEX(properties!A$1:CB$87,'Fórmula'!F57,60)=0,10^6,INDEX(properties!A$1:CB$87,'Fórmula'!F57,60)),IF(INDEX(properties!A$1:CB$87,'Fórmula'!H57,60)=0,10^6,INDEX(properties!A$1:CB$87,'Fórmula'!H57,60)),IF(INDEX(properties!A$1:CB$87,'Fórmula'!J57,60)=0,10^6,INDEX(properties!A$1:CB$87,'Fórmula'!J57,60)))</f>
        <v>0.02674</v>
      </c>
      <c r="GK57" s="105">
        <f t="shared" si="32"/>
        <v>35.27326</v>
      </c>
      <c r="GL57" s="106">
        <f t="array" ref="GL57">(('Fórmula'!C57)/('Fórmula'!C57+'Fórmula'!E57+'Fórmula'!G57+'Fórmula'!I57+'Fórmula'!K57))*(INDEX(properties!A$1:CB$87,'Fórmula'!B57,62))+(('Fórmula'!E57)/('Fórmula'!C57+'Fórmula'!E57+'Fórmula'!G57+'Fórmula'!I57+'Fórmula'!K57))*(INDEX(properties!A$1:CB$87,'Fórmula'!D57,62))+(('Fórmula'!G57)/('Fórmula'!C57+'Fórmula'!E57+'Fórmula'!G57+'Fórmula'!I57+'Fórmula'!K57))*(INDEX(properties!A$1:CB$87,'Fórmula'!F57,62))+(('Fórmula'!I57)/('Fórmula'!C57+'Fórmula'!E57+'Fórmula'!G57+'Fórmula'!I57+'Fórmula'!K57))*(INDEX(properties!A$1:CB$87,'Fórmula'!H57,62))+(('Fórmula'!K57)/('Fórmula'!C57+'Fórmula'!E57+'Fórmula'!G57+'Fórmula'!I57+'Fórmula'!K57))*(INDEX(properties!A$1:CB$87,'Fórmula'!J57,62))</f>
        <v>2.954545455</v>
      </c>
      <c r="GM57" s="106">
        <f t="array" ref="GM57">'Fórmula'!C57*(INDEX(properties!A$1:CB$87,'Fórmula'!B57,62))+'Fórmula'!E57*(INDEX(properties!A$1:CB$87,'Fórmula'!D57,62))+'Fórmula'!G57*(INDEX(properties!A$1:CB$87,'Fórmula'!F57,62))+'Fórmula'!I57*(INDEX(properties!A$1:CB$87,'Fórmula'!H57,62))+'Fórmula'!K57*(INDEX(properties!A$1:CB$87,'Fórmula'!J57,62))</f>
        <v>32.5</v>
      </c>
      <c r="GN57" s="106">
        <f t="array" ref="GN57">VARP(IF(INDEX(properties!A$1:CB$87,'Fórmula'!B57,62)&lt;&gt;"",INDEX(properties!A$1:CB$87,'Fórmula'!B57,62)),IF(INDEX(properties!A$1:CB$87,'Fórmula'!D57,62)&lt;&gt;"",INDEX(properties!A$1:CB$87,'Fórmula'!D57,62)),IF(INDEX(properties!A$1:CB$87,'Fórmula'!F57,62)&lt;&gt;"",INDEX(properties!A$1:CB$87,'Fórmula'!F57,62)),IF(INDEX(properties!A$1:CB$87,'Fórmula'!H57,62)&lt;&gt;"",INDEX(properties!A$1:CB$87,'Fórmula'!H57,62)),IF(INDEX(properties!A$1:CB$87,'Fórmula'!J57,62)&lt;&gt;"",INDEX(properties!A$1:CB$87,'Fórmula'!J57,62)))</f>
        <v>4.59488</v>
      </c>
      <c r="GO57" s="106">
        <f t="array" ref="GO57">MAX(INDEX(properties!A$1:CB$87,'Fórmula'!B57,62),INDEX(properties!A$1:CB$87,'Fórmula'!D57,62),INDEX(properties!A$1:CB$87,'Fórmula'!F57,62),INDEX(properties!A$1:CB$87,'Fórmula'!H57,62),INDEX(properties!A$1:CB$87,'Fórmula'!J57,62))</f>
        <v>5.81</v>
      </c>
      <c r="GP57" s="106">
        <f t="array" ref="GP57">MIN(IF(INDEX(properties!A$1:CB$87,'Fórmula'!B57,62)=0,10^6,INDEX(properties!A$1:CB$87,'Fórmula'!B57,62)),IF(INDEX(properties!A$1:CB$87,'Fórmula'!D57,62)=0,10^6,INDEX(properties!A$1:CB$87,'Fórmula'!D57,62)),IF(INDEX(properties!A$1:CB$87,'Fórmula'!F57,62)=0,10^6,INDEX(properties!A$1:CB$87,'Fórmula'!F57,62)),IF(INDEX(properties!A$1:CB$87,'Fórmula'!H57,62)=0,10^6,INDEX(properties!A$1:CB$87,'Fórmula'!H57,62)),IF(INDEX(properties!A$1:CB$87,'Fórmula'!J57,62)=0,10^6,INDEX(properties!A$1:CB$87,'Fórmula'!J57,62)))</f>
        <v>1.72</v>
      </c>
      <c r="GQ57" s="106">
        <f t="shared" si="33"/>
        <v>4.09</v>
      </c>
      <c r="GR57" s="106">
        <f>'Fórmula'!Q57</f>
        <v>167</v>
      </c>
      <c r="GS57" s="107">
        <f>'Fórmula'!P57</f>
        <v>4</v>
      </c>
      <c r="GT57" s="113">
        <f>'Fórmula'!O57</f>
        <v>4.26</v>
      </c>
      <c r="GU57" s="114">
        <f>AVERAGE('Fórmula'!R57/'Fórmula'!S57,'Fórmula'!S57/'Fórmula'!T57,'Fórmula'!T57/'Fórmula'!R57)</f>
        <v>1.036501296</v>
      </c>
      <c r="GV57" s="125">
        <f>'Fórmula'!U57</f>
        <v>890.85</v>
      </c>
      <c r="GW57" s="106">
        <f>'Fórmula'!N57</f>
        <v>0.03</v>
      </c>
    </row>
    <row r="58" ht="14.25" customHeight="1">
      <c r="A58" s="99" t="str">
        <f>'Fórmula'!A58</f>
        <v>SrLaAlO4</v>
      </c>
      <c r="B58" s="100">
        <f t="array" ref="B58">(('Fórmula'!C58)/('Fórmula'!C58+'Fórmula'!E58+'Fórmula'!G58+'Fórmula'!I58+'Fórmula'!K58))*(INDEX(properties!A$1:CB$87,'Fórmula'!B58,3))+(('Fórmula'!E58)/('Fórmula'!C58+'Fórmula'!E58+'Fórmula'!G58+'Fórmula'!I58+'Fórmula'!K58))*(INDEX(properties!A$1:CB$87,'Fórmula'!D58,3))+(('Fórmula'!G58)/('Fórmula'!C58+'Fórmula'!E58+'Fórmula'!G58+'Fórmula'!I58+'Fórmula'!K58))*(INDEX(properties!A$1:CB$87,'Fórmula'!F58,3))+(('Fórmula'!I58)/('Fórmula'!C58+'Fórmula'!E58+'Fórmula'!G58+'Fórmula'!I58+'Fórmula'!K58))*(INDEX(properties!A$1:CB$87,'Fórmula'!H58,3))+(('Fórmula'!K58)/('Fórmula'!C58+'Fórmula'!E58+'Fórmula'!G58+'Fórmula'!I58+'Fórmula'!K58))*(INDEX(properties!A$1:CB$87,'Fórmula'!J58,3))</f>
        <v>45.35780557</v>
      </c>
      <c r="C58" s="101">
        <f t="array" ref="C58">'Fórmula'!C58*(INDEX(properties!A$1:CB$87,'Fórmula'!B58,3))+'Fórmula'!E58*(INDEX(properties!A$1:CB$87,'Fórmula'!D58,3))+'Fórmula'!G58*(INDEX(properties!A$1:CB$87,'Fórmula'!F58,3))+'Fórmula'!I58*(INDEX(properties!A$1:CB$87,'Fórmula'!H58,3))+'Fórmula'!K58*(INDEX(properties!A$1:CB$87,'Fórmula'!J58,3))</f>
        <v>317.504639</v>
      </c>
      <c r="D58" s="101">
        <f t="array" ref="D58">VARP(IF(INDEX(properties!A$1:CB$87,'Fórmula'!B58,3)&lt;&gt;"",INDEX(properties!A$1:CB$87,'Fórmula'!B58,3)),IF(INDEX(properties!A$1:CB$87,'Fórmula'!D58,3)&lt;&gt;"",INDEX(properties!A$1:CB$87,'Fórmula'!D58,3)),IF(INDEX(properties!A$1:CB$87,'Fórmula'!F58,3)&lt;&gt;"",INDEX(properties!A$1:CB$87,'Fórmula'!F58,3)),IF(INDEX(properties!A$1:CB$87,'Fórmula'!H58,3)&lt;&gt;"",INDEX(properties!A$1:CB$87,'Fórmula'!H58,3)),IF(INDEX(properties!A$1:CB$87,'Fórmula'!J58,3)&lt;&gt;"",INDEX(properties!A$1:CB$87,'Fórmula'!J58,3)))</f>
        <v>2685.848489</v>
      </c>
      <c r="E58" s="101">
        <f t="array" ref="E58">MAX(INDEX(properties!A$1:CB$87,'Fórmula'!B58,3),INDEX(properties!A$1:CB$87,'Fórmula'!D58,3),INDEX(properties!A$1:CB$87,'Fórmula'!F58,3),INDEX(properties!A$1:CB$87,'Fórmula'!H58,3),INDEX(properties!A$1:CB$87,'Fórmula'!J58,3))</f>
        <v>138.9055</v>
      </c>
      <c r="F58" s="101">
        <f t="array" ref="F58">MIN(IF(INDEX(properties!A$1:CB$87,'Fórmula'!B58,3)=0,10^6,INDEX(properties!A$1:CB$87,'Fórmula'!B58,3)),IF(INDEX(properties!A$1:CB$87,'Fórmula'!D58,3)=0,10^6,INDEX(properties!A$1:CB$87,'Fórmula'!D58,3)),IF(INDEX(properties!A$1:CB$87,'Fórmula'!F58,3)=0,10^6,INDEX(properties!A$1:CB$87,'Fórmula'!F58,3)),IF(INDEX(properties!A$1:CB$87,'Fórmula'!H58,3)=0,10^6,INDEX(properties!A$1:CB$87,'Fórmula'!H58,3)),IF(INDEX(properties!A$1:CB$87,'Fórmula'!J58,3)=0,10^6,INDEX(properties!A$1:CB$87,'Fórmula'!J58,3)))</f>
        <v>15.9994</v>
      </c>
      <c r="G58" s="101">
        <f t="shared" si="1"/>
        <v>122.9061</v>
      </c>
      <c r="H58" s="102">
        <f t="array" ref="H58">(('Fórmula'!C58)/('Fórmula'!C58+'Fórmula'!E58+'Fórmula'!G58+'Fórmula'!I58+'Fórmula'!K58))*(INDEX(properties!A$1:CB$87,'Fórmula'!B58,4))+(('Fórmula'!E58)/('Fórmula'!C58+'Fórmula'!E58+'Fórmula'!G58+'Fórmula'!I58+'Fórmula'!K58))*(INDEX(properties!A$1:CB$87,'Fórmula'!D58,4))+(('Fórmula'!G58)/('Fórmula'!C58+'Fórmula'!E58+'Fórmula'!G58+'Fórmula'!I58+'Fórmula'!K58))*(INDEX(properties!A$1:CB$87,'Fórmula'!F58,4))+(('Fórmula'!I58)/('Fórmula'!C58+'Fórmula'!E58+'Fórmula'!G58+'Fórmula'!I58+'Fórmula'!K58))*(INDEX(properties!A$1:CB$87,'Fórmula'!H58,4))+(('Fórmula'!K58)/('Fórmula'!C58+'Fórmula'!E58+'Fórmula'!G58+'Fórmula'!I58+'Fórmula'!K58))*(INDEX(properties!A$1:CB$87,'Fórmula'!J58,4))</f>
        <v>20</v>
      </c>
      <c r="I58" s="102">
        <f t="array" ref="I58">'Fórmula'!C58*(INDEX(properties!A$1:CB$87,'Fórmula'!B58,4))+'Fórmula'!E58*(INDEX(properties!A$1:CB$87,'Fórmula'!D58,4))+'Fórmula'!G58*(INDEX(properties!A$1:CB$87,'Fórmula'!F58,4))+'Fórmula'!I58*(INDEX(properties!A$1:CB$87,'Fórmula'!H58,4))+'Fórmula'!K58*(INDEX(properties!A$1:CB$87,'Fórmula'!J58,4))</f>
        <v>140</v>
      </c>
      <c r="J58" s="102">
        <f t="array" ref="J58">VARP(IF(INDEX(properties!A$1:CB$87,'Fórmula'!B58,4)&lt;&gt;"",INDEX(properties!A$1:CB$87,'Fórmula'!B58,4)),IF(INDEX(properties!A$1:CB$87,'Fórmula'!D58,4)&lt;&gt;"",INDEX(properties!A$1:CB$87,'Fórmula'!D58,4)),IF(INDEX(properties!A$1:CB$87,'Fórmula'!F58,4)&lt;&gt;"",INDEX(properties!A$1:CB$87,'Fórmula'!F58,4)),IF(INDEX(properties!A$1:CB$87,'Fórmula'!H58,4)&lt;&gt;"",INDEX(properties!A$1:CB$87,'Fórmula'!H58,4)),IF(INDEX(properties!A$1:CB$87,'Fórmula'!J58,4)&lt;&gt;"",INDEX(properties!A$1:CB$87,'Fórmula'!J58,4)))</f>
        <v>446.96</v>
      </c>
      <c r="K58" s="102">
        <f t="array" ref="K58">MAX(INDEX(properties!A$1:CB$87,'Fórmula'!B58,4),INDEX(properties!A$1:CB$87,'Fórmula'!D58,4),INDEX(properties!A$1:CB$87,'Fórmula'!F58,4),INDEX(properties!A$1:CB$87,'Fórmula'!H58,4),INDEX(properties!A$1:CB$87,'Fórmula'!J58,4))</f>
        <v>57</v>
      </c>
      <c r="L58" s="102">
        <f t="array" ref="L58">MIN(IF(INDEX(properties!A$1:CB$87,'Fórmula'!B58,4)=0,10^6,INDEX(properties!A$1:CB$87,'Fórmula'!B58,4)),IF(INDEX(properties!A$1:CB$87,'Fórmula'!D58,4)=0,10^6,INDEX(properties!A$1:CB$87,'Fórmula'!D58,4)),IF(INDEX(properties!A$1:CB$87,'Fórmula'!F58,4)=0,10^6,INDEX(properties!A$1:CB$87,'Fórmula'!F58,4)),IF(INDEX(properties!A$1:CB$87,'Fórmula'!H58,4)=0,10^6,INDEX(properties!A$1:CB$87,'Fórmula'!H58,4)),IF(INDEX(properties!A$1:CB$87,'Fórmula'!J58,4)=0,10^6,INDEX(properties!A$1:CB$87,'Fórmula'!J58,4)))</f>
        <v>8</v>
      </c>
      <c r="M58" s="102">
        <f t="shared" si="2"/>
        <v>49</v>
      </c>
      <c r="N58" s="103">
        <f t="array" ref="N58">(('Fórmula'!C58)/('Fórmula'!C58+'Fórmula'!E58+'Fórmula'!G58+'Fórmula'!I58+'Fórmula'!K58))*(INDEX(properties!A$1:CB$87,'Fórmula'!B58,5))+(('Fórmula'!E58)/('Fórmula'!C58+'Fórmula'!E58+'Fórmula'!G58+'Fórmula'!I58+'Fórmula'!K58))*(INDEX(properties!A$1:CB$87,'Fórmula'!D58,5))+(('Fórmula'!G58)/('Fórmula'!C58+'Fórmula'!E58+'Fórmula'!G58+'Fórmula'!I58+'Fórmula'!K58))*(INDEX(properties!A$1:CB$87,'Fórmula'!F58,5))+(('Fórmula'!I58)/('Fórmula'!C58+'Fórmula'!E58+'Fórmula'!G58+'Fórmula'!I58+'Fórmula'!K58))*(INDEX(properties!A$1:CB$87,'Fórmula'!H58,5))+(('Fórmula'!K58)/('Fórmula'!C58+'Fórmula'!E58+'Fórmula'!G58+'Fórmula'!I58+'Fórmula'!K58))*(INDEX(properties!A$1:CB$87,'Fórmula'!J58,5))</f>
        <v>3.142857143</v>
      </c>
      <c r="O58" s="103">
        <f t="array" ref="O58">'Fórmula'!C58*(INDEX(properties!A$1:CB$87,'Fórmula'!B58,5))+'Fórmula'!E58*(INDEX(properties!A$1:CB$87,'Fórmula'!D58,5))+'Fórmula'!G58*(INDEX(properties!A$1:CB$87,'Fórmula'!F58,5))+'Fórmula'!I58*(INDEX(properties!A$1:CB$87,'Fórmula'!H58,5))+'Fórmula'!K58*(INDEX(properties!A$1:CB$87,'Fórmula'!J58,5))</f>
        <v>22</v>
      </c>
      <c r="P58" s="103">
        <f t="array" ref="P58">VARP(IF(INDEX(properties!A$1:CB$87,'Fórmula'!B58,5)&lt;&gt;"",INDEX(properties!A$1:CB$87,'Fórmula'!B58,5)),IF(INDEX(properties!A$1:CB$87,'Fórmula'!D58,5)&lt;&gt;"",INDEX(properties!A$1:CB$87,'Fórmula'!D58,5)),IF(INDEX(properties!A$1:CB$87,'Fórmula'!F58,5)&lt;&gt;"",INDEX(properties!A$1:CB$87,'Fórmula'!F58,5)),IF(INDEX(properties!A$1:CB$87,'Fórmula'!H58,5)&lt;&gt;"",INDEX(properties!A$1:CB$87,'Fórmula'!H58,5)),IF(INDEX(properties!A$1:CB$87,'Fórmula'!J58,5)&lt;&gt;"",INDEX(properties!A$1:CB$87,'Fórmula'!J58,5)))</f>
        <v>4.56</v>
      </c>
      <c r="Q58" s="103">
        <f t="array" ref="Q58">MAX(INDEX(properties!A$1:CB$87,'Fórmula'!B58,5),INDEX(properties!A$1:CB$87,'Fórmula'!D58,5),INDEX(properties!A$1:CB$87,'Fórmula'!F58,5),INDEX(properties!A$1:CB$87,'Fórmula'!H58,5),INDEX(properties!A$1:CB$87,'Fórmula'!J58,5))</f>
        <v>6</v>
      </c>
      <c r="R58" s="103">
        <f t="array" ref="R58">MIN(IF(INDEX(properties!A$1:CB$87,'Fórmula'!B58,5)=0,10^6,INDEX(properties!A$1:CB$87,'Fórmula'!B58,5)),IF(INDEX(properties!A$1:CB$87,'Fórmula'!D58,5)=0,10^6,INDEX(properties!A$1:CB$87,'Fórmula'!D58,5)),IF(INDEX(properties!A$1:CB$87,'Fórmula'!F58,5)=0,10^6,INDEX(properties!A$1:CB$87,'Fórmula'!F58,5)),IF(INDEX(properties!A$1:CB$87,'Fórmula'!H58,5)=0,10^6,INDEX(properties!A$1:CB$87,'Fórmula'!H58,5)),IF(INDEX(properties!A$1:CB$87,'Fórmula'!J58,5)=0,10^6,INDEX(properties!A$1:CB$87,'Fórmula'!J58,5)))</f>
        <v>2</v>
      </c>
      <c r="S58" s="103">
        <f t="shared" si="3"/>
        <v>4</v>
      </c>
      <c r="T58" s="104">
        <f t="array" ref="T58">(('Fórmula'!C58)/('Fórmula'!C58+'Fórmula'!E58+'Fórmula'!G58+'Fórmula'!I58+'Fórmula'!K58))*(INDEX(properties!A$1:CB$87,'Fórmula'!B58,6))+(('Fórmula'!E58)/('Fórmula'!C58+'Fórmula'!E58+'Fórmula'!G58+'Fórmula'!I58+'Fórmula'!K58))*(INDEX(properties!A$1:CB$87,'Fórmula'!D58,6))+(('Fórmula'!G58)/('Fórmula'!C58+'Fórmula'!E58+'Fórmula'!G58+'Fórmula'!I58+'Fórmula'!K58))*(INDEX(properties!A$1:CB$87,'Fórmula'!F58,6))+(('Fórmula'!I58)/('Fórmula'!C58+'Fórmula'!E58+'Fórmula'!G58+'Fórmula'!I58+'Fórmula'!K58))*(INDEX(properties!A$1:CB$87,'Fórmula'!H58,6))+(('Fórmula'!K58)/('Fórmula'!C58+'Fórmula'!E58+'Fórmula'!G58+'Fórmula'!I58+'Fórmula'!K58))*(INDEX(properties!A$1:CB$87,'Fórmula'!J58,6))</f>
        <v>11.71428571</v>
      </c>
      <c r="U58" s="104">
        <f t="array" ref="U58">'Fórmula'!C58*(INDEX(properties!A$1:CB$87,'Fórmula'!B58,6))+'Fórmula'!E58*(INDEX(properties!A$1:CB$87,'Fórmula'!D58,6))+'Fórmula'!G58*(INDEX(properties!A$1:CB$87,'Fórmula'!F58,6))+'Fórmula'!I58*(INDEX(properties!A$1:CB$87,'Fórmula'!H58,6))+'Fórmula'!K58*(INDEX(properties!A$1:CB$87,'Fórmula'!J58,6))</f>
        <v>82</v>
      </c>
      <c r="V58" s="103">
        <f t="array" ref="V58">VARP(IF(INDEX(properties!A$1:CB$87,'Fórmula'!B58,6)&lt;&gt;"",INDEX(properties!A$1:CB$87,'Fórmula'!B58,6)),IF(INDEX(properties!A$1:CB$87,'Fórmula'!D58,6)&lt;&gt;"",INDEX(properties!A$1:CB$87,'Fórmula'!D58,6)),IF(INDEX(properties!A$1:CB$87,'Fórmula'!F58,6)&lt;&gt;"",INDEX(properties!A$1:CB$87,'Fórmula'!F58,6)),IF(INDEX(properties!A$1:CB$87,'Fórmula'!H58,6)&lt;&gt;"",INDEX(properties!A$1:CB$87,'Fórmula'!H58,6)),IF(INDEX(properties!A$1:CB$87,'Fórmula'!J58,6)&lt;&gt;"",INDEX(properties!A$1:CB$87,'Fórmula'!J58,6)))</f>
        <v>41.36</v>
      </c>
      <c r="W58" s="104">
        <f t="array" ref="W58">MAX(INDEX(properties!A$1:CB$87,'Fórmula'!B58,6),INDEX(properties!A$1:CB$87,'Fórmula'!D58,6),INDEX(properties!A$1:CB$87,'Fórmula'!F58,6),INDEX(properties!A$1:CB$87,'Fórmula'!H58,4),INDEX(properties!A$1:CB$87,'Fórmula'!J58,6))</f>
        <v>13</v>
      </c>
      <c r="X58" s="104">
        <f t="array" ref="X58">MIN(IF(INDEX(properties!A$1:CB$87,'Fórmula'!B58,6)=0,10^6,INDEX(properties!A$1:CB$87,'Fórmula'!B58,6)),IF(INDEX(properties!A$1:CB$87,'Fórmula'!D58,6)=0,10^6,INDEX(properties!A$1:CB$87,'Fórmula'!D58,6)),IF(INDEX(properties!A$1:CB$87,'Fórmula'!F58,6)=0,10^6,INDEX(properties!A$1:CB$87,'Fórmula'!F58,6)),IF(INDEX(properties!A$1:CB$87,'Fórmula'!H58,6)=0,10^6,INDEX(properties!A$1:CB$87,'Fórmula'!H58,6)),IF(INDEX(properties!A$1:CB$87,'Fórmula'!J58,6)=0,10^6,INDEX(properties!A$1:CB$87,'Fórmula'!J58,6)))</f>
        <v>2</v>
      </c>
      <c r="Y58" s="104">
        <f t="shared" si="4"/>
        <v>11</v>
      </c>
      <c r="Z58" s="105">
        <f t="array" ref="Z58">(('Fórmula'!C58)/('Fórmula'!C58+'Fórmula'!E58+'Fórmula'!G58+'Fórmula'!I58+'Fórmula'!K58))*(INDEX(properties!A$1:CB$87,'Fórmula'!B58,9))+(('Fórmula'!E58)/('Fórmula'!C58+'Fórmula'!E58+'Fórmula'!G58+'Fórmula'!I58+'Fórmula'!K58))*(INDEX(properties!A$1:CB$87,'Fórmula'!D58,9))+(('Fórmula'!G58)/('Fórmula'!C58+'Fórmula'!E58+'Fórmula'!G58+'Fórmula'!I58+'Fórmula'!K58))*(INDEX(properties!A$1:CB$87,'Fórmula'!F58,9))+(('Fórmula'!I58)/('Fórmula'!C58+'Fórmula'!E58+'Fórmula'!G58+'Fórmula'!I58+'Fórmula'!K58))*(INDEX(properties!A$1:CB$87,'Fórmula'!H58,9))+(('Fórmula'!K58)/('Fórmula'!C58+'Fórmula'!E58+'Fórmula'!G58+'Fórmula'!I58+'Fórmula'!K58))*(INDEX(properties!A$1:CB$87,'Fórmula'!J58,9))</f>
        <v>63.14285714</v>
      </c>
      <c r="AA58" s="105">
        <f t="array" ref="AA58">'Fórmula'!C58*(INDEX(properties!A$1:CB$87,'Fórmula'!B58,9))+'Fórmula'!E58*(INDEX(properties!A$1:CB$87,'Fórmula'!D58,9))+'Fórmula'!G58*(INDEX(properties!A$1:CB$87,'Fórmula'!F58,9))+'Fórmula'!I58*(INDEX(properties!A$1:CB$87,'Fórmula'!H58,9))+'Fórmula'!K58*(INDEX(properties!A$1:CB$87,'Fórmula'!J58,9))</f>
        <v>442</v>
      </c>
      <c r="AB58" s="105">
        <f t="array" ref="AB58">VARP(IF(INDEX(properties!A$1:CB$87,'Fórmula'!B58,9)&lt;&gt;"",INDEX(properties!A$1:CB$87,'Fórmula'!B58,9)),IF(INDEX(properties!A$1:CB$87,'Fórmula'!D58,9)&lt;&gt;"",INDEX(properties!A$1:CB$87,'Fórmula'!D58,9)),IF(INDEX(properties!A$1:CB$87,'Fórmula'!F58,9)&lt;&gt;"",INDEX(properties!A$1:CB$87,'Fórmula'!F58,9)),IF(INDEX(properties!A$1:CB$87,'Fórmula'!H58,9)&lt;&gt;"",INDEX(properties!A$1:CB$87,'Fórmula'!H58,9)),IF(INDEX(properties!A$1:CB$87,'Fórmula'!J58,9)&lt;&gt;"",INDEX(properties!A$1:CB$87,'Fórmula'!J58,9)))</f>
        <v>1315.76</v>
      </c>
      <c r="AC58" s="105">
        <f t="array" ref="AC58">MAX(INDEX(properties!A$1:CB$87,'Fórmula'!B58,9),INDEX(properties!A$1:CB$87,'Fórmula'!D58,9),INDEX(properties!A$1:CB$87,'Fórmula'!F58,9),INDEX(properties!A$1:CB$87,'Fórmula'!H58,9),INDEX(properties!A$1:CB$87,'Fórmula'!J58,9))</f>
        <v>87</v>
      </c>
      <c r="AD58" s="105">
        <f t="array" ref="AD58">MIN(IF(INDEX(properties!A$1:CB$87,'Fórmula'!B58,9)=0,10^6,INDEX(properties!A$1:CB$87,'Fórmula'!B58,9)),IF(INDEX(properties!A$1:CB$87,'Fórmula'!D58,9)=0,10^6,INDEX(properties!A$1:CB$87,'Fórmula'!D58,9)),IF(INDEX(properties!A$1:CB$87,'Fórmula'!F58,9)=0,10^6,INDEX(properties!A$1:CB$87,'Fórmula'!F58,9)),IF(INDEX(properties!A$1:CB$87,'Fórmula'!H58,9)=0,10^6,INDEX(properties!A$1:CB$87,'Fórmula'!H58,9)),IF(INDEX(properties!A$1:CB$87,'Fórmula'!J58,9)=0,10^6,INDEX(properties!A$1:CB$87,'Fórmula'!J58,9)))</f>
        <v>8</v>
      </c>
      <c r="AE58" s="105">
        <f t="shared" si="5"/>
        <v>79</v>
      </c>
      <c r="AF58" s="106">
        <f t="array" ref="AF58">(('Fórmula'!C58)/('Fórmula'!C58+'Fórmula'!E58+'Fórmula'!G58+'Fórmula'!I58+'Fórmula'!K58))*(INDEX(properties!A$1:CB$87,'Fórmula'!B58,10))+(('Fórmula'!E58)/('Fórmula'!C58+'Fórmula'!E58+'Fórmula'!G58+'Fórmula'!I58+'Fórmula'!K58))*(INDEX(properties!A$1:CB$87,'Fórmula'!D58,10))+(('Fórmula'!G58)/('Fórmula'!C58+'Fórmula'!E58+'Fórmula'!G58+'Fórmula'!I58+'Fórmula'!K58))*(INDEX(properties!A$1:CB$87,'Fórmula'!F58,10))+(('Fórmula'!I58)/('Fórmula'!C58+'Fórmula'!E58+'Fórmula'!G58+'Fórmula'!I58+'Fórmula'!K58))*(INDEX(properties!A$1:CB$87,'Fórmula'!H58,10))+(('Fórmula'!K58)/('Fórmula'!C58+'Fórmula'!E58+'Fórmula'!G58+'Fórmula'!I58+'Fórmula'!K58))*(INDEX(properties!A$1:CB$87,'Fórmula'!J58,10))</f>
        <v>5.428571429</v>
      </c>
      <c r="AG58" s="106">
        <f t="array" ref="AG58">'Fórmula'!C58*(INDEX(properties!A$1:CB$87,'Fórmula'!B58,10))+'Fórmula'!E58*(INDEX(properties!A$1:CB$87,'Fórmula'!D58,10))+'Fórmula'!G58*(INDEX(properties!A$1:CB$87,'Fórmula'!F58,10))+'Fórmula'!I58*(INDEX(properties!A$1:CB$87,'Fórmula'!H58,10))+'Fórmula'!K58*(INDEX(properties!A$1:CB$87,'Fórmula'!J58,10))</f>
        <v>38</v>
      </c>
      <c r="AH58" s="106">
        <f t="array" ref="AH58">VARP(IF(INDEX(properties!A$1:CB$87,'Fórmula'!B58,10)&lt;&gt;"",INDEX(properties!A$1:CB$87,'Fórmula'!B58,10)),IF(INDEX(properties!A$1:CB$87,'Fórmula'!D58,10)&lt;&gt;"",INDEX(properties!A$1:CB$87,'Fórmula'!D58,10)),IF(INDEX(properties!A$1:CB$87,'Fórmula'!F58,10)&lt;&gt;"",INDEX(properties!A$1:CB$87,'Fórmula'!F58,10)),IF(INDEX(properties!A$1:CB$87,'Fórmula'!H58,10)&lt;&gt;"",INDEX(properties!A$1:CB$87,'Fórmula'!H58,10)),IF(INDEX(properties!A$1:CB$87,'Fórmula'!J58,10)&lt;&gt;"",INDEX(properties!A$1:CB$87,'Fórmula'!J58,10)))</f>
        <v>5.84</v>
      </c>
      <c r="AI58" s="106">
        <f t="array" ref="AI58">MAX(INDEX(properties!A$1:CB$87,'Fórmula'!B58,10),INDEX(properties!A$1:CB$87,'Fórmula'!D58,10),INDEX(properties!A$1:CB$87,'Fórmula'!F58,10),INDEX(properties!A$1:CB$87,'Fórmula'!H58,10),INDEX(properties!A$1:CB$87,'Fórmula'!J58,10))</f>
        <v>7</v>
      </c>
      <c r="AJ58" s="106">
        <f t="array" ref="AJ58">MIN(IF(INDEX(properties!A$1:CB$87,'Fórmula'!B58,10)=0,10^6,INDEX(properties!A$1:CB$87,'Fórmula'!B58,10)),IF(INDEX(properties!A$1:CB$87,'Fórmula'!D58,10)=0,10^6,INDEX(properties!A$1:CB$87,'Fórmula'!D58,10)),IF(INDEX(properties!A$1:CB$87,'Fórmula'!F58,10)=0,10^6,INDEX(properties!A$1:CB$87,'Fórmula'!F58,10)),IF(INDEX(properties!A$1:CB$87,'Fórmula'!H58,10)=0,10^6,INDEX(properties!A$1:CB$87,'Fórmula'!H58,10)),IF(INDEX(properties!A$1:CB$87,'Fórmula'!J58,10)=0,10^6,INDEX(properties!A$1:CB$87,'Fórmula'!J58,10)))</f>
        <v>2</v>
      </c>
      <c r="AK58" s="106">
        <f t="shared" si="6"/>
        <v>5</v>
      </c>
      <c r="AL58" s="107">
        <f t="array" ref="AL58">(('Fórmula'!C58)/('Fórmula'!C58+'Fórmula'!E58+'Fórmula'!G58+'Fórmula'!I58+'Fórmula'!K58))*(INDEX(properties!A$1:CB$87,'Fórmula'!B58,11))+(('Fórmula'!E58)/('Fórmula'!C58+'Fórmula'!E58+'Fórmula'!G58+'Fórmula'!I58+'Fórmula'!K58))*(INDEX(properties!A$1:CB$87,'Fórmula'!D58,11))+(('Fórmula'!G58)/('Fórmula'!C58+'Fórmula'!E58+'Fórmula'!G58+'Fórmula'!I58+'Fórmula'!K58))*(INDEX(properties!A$1:CB$87,'Fórmula'!F58,11))+(('Fórmula'!I58)/('Fórmula'!C58+'Fórmula'!E58+'Fórmula'!G58+'Fórmula'!I58+'Fórmula'!K58))*(INDEX(properties!A$1:CB$87,'Fórmula'!H58,11))+(('Fórmula'!K58)/('Fórmula'!C58+'Fórmula'!E58+'Fórmula'!G58+'Fórmula'!I58+'Fórmula'!K58))*(INDEX(properties!A$1:CB$87,'Fórmula'!J58,11))</f>
        <v>2</v>
      </c>
      <c r="AM58" s="107">
        <f t="array" ref="AM58">'Fórmula'!C58*(INDEX(properties!A$1:CB$87,'Fórmula'!B58,11))+'Fórmula'!E58*(INDEX(properties!A$1:CB$87,'Fórmula'!D58,11))+'Fórmula'!G58*(INDEX(properties!A$1:CB$87,'Fórmula'!F58,11))+'Fórmula'!I58*(INDEX(properties!A$1:CB$87,'Fórmula'!H58,11))+'Fórmula'!K58*(INDEX(properties!A$1:CB$87,'Fórmula'!J58,11))</f>
        <v>14</v>
      </c>
      <c r="AN58" s="107">
        <f t="array" ref="AN58">VARP(IF(INDEX(properties!A$1:CB$87,'Fórmula'!B58,11)&lt;&gt;"",INDEX(properties!A$1:CB$87,'Fórmula'!B58,11)),IF(INDEX(properties!A$1:CB$87,'Fórmula'!D58,11)&lt;&gt;"",INDEX(properties!A$1:CB$87,'Fórmula'!D58,11)),IF(INDEX(properties!A$1:CB$87,'Fórmula'!F58,11)&lt;&gt;"",INDEX(properties!A$1:CB$87,'Fórmula'!F58,11)),IF(INDEX(properties!A$1:CB$87,'Fórmula'!H58,11)&lt;&gt;"",INDEX(properties!A$1:CB$87,'Fórmula'!H58,11)),IF(INDEX(properties!A$1:CB$87,'Fórmula'!J58,11)&lt;&gt;"",INDEX(properties!A$1:CB$87,'Fórmula'!J58,11)))</f>
        <v>0.64</v>
      </c>
      <c r="AO58" s="107">
        <f t="array" ref="AO58">MAX(INDEX(properties!A$1:CB$87,'Fórmula'!B58,11),INDEX(properties!A$1:CB$87,'Fórmula'!D58,11),INDEX(properties!A$1:CB$87,'Fórmula'!F58,11),INDEX(properties!A$1:CB$87,'Fórmula'!H58,11),INDEX(properties!A$1:CB$87,'Fórmula'!J58,11))</f>
        <v>2</v>
      </c>
      <c r="AP58" s="107">
        <f t="array" ref="AP58">MIN(IF('Fórmula'!B58=87,10^6,INDEX(properties!A$1:CB$87,'Fórmula'!B58,11)),IF(('Fórmula'!D58)=87,10^6,INDEX(properties!A$1:CB$87,'Fórmula'!D58,11)),IF(('Fórmula'!F58)=87,10^6,INDEX(properties!A$1:CB$87,'Fórmula'!F58,11)),IF(('Fórmula'!H58)=87,10^6,INDEX(properties!A$1:CB$87,'Fórmula'!H58,11)),IF('Fórmula'!J58=87,10^6,INDEX(properties!A$1:CB$87,'Fórmula'!J58,11)))</f>
        <v>2</v>
      </c>
      <c r="AQ58" s="107">
        <f t="shared" si="7"/>
        <v>0</v>
      </c>
      <c r="AR58" s="108">
        <f t="array" ref="AR58">(('Fórmula'!C58)/('Fórmula'!C58+'Fórmula'!E58+'Fórmula'!G58+'Fórmula'!I58+'Fórmula'!K58))*(INDEX(properties!A$1:CB$87,'Fórmula'!B58,12))+(('Fórmula'!E58)/('Fórmula'!C58+'Fórmula'!E58+'Fórmula'!G58+'Fórmula'!I58+'Fórmula'!K58))*(INDEX(properties!A$1:CB$87,'Fórmula'!D58,12))+(('Fórmula'!G58)/('Fórmula'!C58+'Fórmula'!E58+'Fórmula'!G58+'Fórmula'!I58+'Fórmula'!K58))*(INDEX(properties!A$1:CB$87,'Fórmula'!F58,12))+(('Fórmula'!I58)/('Fórmula'!C58+'Fórmula'!E58+'Fórmula'!G58+'Fórmula'!I58+'Fórmula'!K58))*(INDEX(properties!A$1:CB$87,'Fórmula'!H58,12))+(('Fórmula'!K58)/('Fórmula'!C58+'Fórmula'!E58+'Fórmula'!G58+'Fórmula'!I58+'Fórmula'!K58))*(INDEX(properties!A$1:CB$87,'Fórmula'!J58,12))</f>
        <v>2.428571429</v>
      </c>
      <c r="AS58" s="108">
        <f t="array" ref="AS58">'Fórmula'!C58*(INDEX(properties!A$1:CB$87,'Fórmula'!B58,12))+'Fórmula'!E58*(INDEX(properties!A$1:CB$87,'Fórmula'!D58,12))+'Fórmula'!G58*(INDEX(properties!A$1:CB$87,'Fórmula'!F58,12))+'Fórmula'!I58*(INDEX(properties!A$1:CB$87,'Fórmula'!H58,12))+'Fórmula'!K58*(INDEX(properties!A$1:CB$87,'Fórmula'!J58,12))</f>
        <v>17</v>
      </c>
      <c r="AT58" s="108">
        <f t="array" ref="AT58">VARP(IF(INDEX(properties!A$1:CB$87,'Fórmula'!B58,12)&lt;&gt;"",INDEX(properties!A$1:CB$87,'Fórmula'!B58,12)),IF(INDEX(properties!A$1:CB$87,'Fórmula'!D58,12)&lt;&gt;"",INDEX(properties!A$1:CB$87,'Fórmula'!D58,12)),IF(INDEX(properties!A$1:CB$87,'Fórmula'!F58,12)&lt;&gt;"",INDEX(properties!A$1:CB$87,'Fórmula'!F58,12)),IF(INDEX(properties!A$1:CB$87,'Fórmula'!H58,12)&lt;&gt;"",INDEX(properties!A$1:CB$87,'Fórmula'!H58,12)),IF(INDEX(properties!A$1:CB$87,'Fórmula'!J58,12)&lt;&gt;"",INDEX(properties!A$1:CB$87,'Fórmula'!J58,12)))</f>
        <v>2.4</v>
      </c>
      <c r="AU58" s="108">
        <f t="array" ref="AU58">MAX(INDEX(properties!A$1:CB$87,'Fórmula'!B58,12),INDEX(properties!A$1:CB$87,'Fórmula'!D58,12),INDEX(properties!A$1:CB$87,'Fórmula'!F58,12),INDEX(properties!A$1:CB$87,'Fórmula'!H58,12),INDEX(properties!A$1:CB$87,'Fórmula'!J58,12))</f>
        <v>4</v>
      </c>
      <c r="AV58" s="108">
        <f t="array" ref="AV58">MIN(IF('Fórmula'!B58=87,10^6,INDEX(properties!A$1:CB$87,'Fórmula'!B58,12)),IF(('Fórmula'!D58)=87,10^6,INDEX(properties!A$1:CB$87,'Fórmula'!D58,12)),IF(('Fórmula'!F58)=87,10^6,INDEX(properties!A$1:CB$87,'Fórmula'!F58,12)),IF(('Fórmula'!H58)=87,10^6,INDEX(properties!A$1:CB$87,'Fórmula'!H58,12)),IF('Fórmula'!J58=87,10^6,INDEX(properties!A$1:CB$87,'Fórmula'!J58,12)))</f>
        <v>0</v>
      </c>
      <c r="AW58" s="108">
        <f t="shared" si="8"/>
        <v>4</v>
      </c>
      <c r="AX58" s="109">
        <f t="array" ref="AX58">(('Fórmula'!C58)/('Fórmula'!C58+'Fórmula'!E58+'Fórmula'!G58+'Fórmula'!I58+'Fórmula'!K58))*(INDEX(properties!A$1:CB$87,'Fórmula'!B58,13))+(('Fórmula'!E58)/('Fórmula'!C58+'Fórmula'!E58+'Fórmula'!G58+'Fórmula'!I58+'Fórmula'!K58))*(INDEX(properties!A$1:CB$87,'Fórmula'!D58,13))+(('Fórmula'!G58)/('Fórmula'!C58+'Fórmula'!E58+'Fórmula'!G58+'Fórmula'!I58+'Fórmula'!K58))*(INDEX(properties!A$1:CB$87,'Fórmula'!F58,13))+(('Fórmula'!I58)/('Fórmula'!C58+'Fórmula'!E58+'Fórmula'!G58+'Fórmula'!I58+'Fórmula'!K58))*(INDEX(properties!A$1:CB$87,'Fórmula'!H58,13))+(('Fórmula'!K58)/('Fórmula'!C58+'Fórmula'!E58+'Fórmula'!G58+'Fórmula'!I58+'Fórmula'!K58))*(INDEX(properties!A$1:CB$87,'Fórmula'!J58,13))</f>
        <v>0.1428571429</v>
      </c>
      <c r="AY58" s="109">
        <f t="array" ref="AY58">'Fórmula'!C58*(INDEX(properties!A$1:CB$87,'Fórmula'!B58,13))+'Fórmula'!E58*(INDEX(properties!A$1:CB$87,'Fórmula'!D58,13))+'Fórmula'!G58*(INDEX(properties!A$1:CB$87,'Fórmula'!F58,13))+'Fórmula'!I58*(INDEX(properties!A$1:CB$87,'Fórmula'!H58,13))+'Fórmula'!K58*(INDEX(properties!A$1:CB$87,'Fórmula'!J58,13))</f>
        <v>1</v>
      </c>
      <c r="AZ58" s="109">
        <f t="array" ref="AZ58">VARP(IF(INDEX(properties!A$1:CB$87,'Fórmula'!B58,13)&lt;&gt;"",INDEX(properties!A$1:CB$87,'Fórmula'!B58,13)),IF(INDEX(properties!A$1:CB$87,'Fórmula'!D58,13)&lt;&gt;"",INDEX(properties!A$1:CB$87,'Fórmula'!D58,13)),IF(INDEX(properties!A$1:CB$87,'Fórmula'!F58,13)&lt;&gt;"",INDEX(properties!A$1:CB$87,'Fórmula'!F58,13)),IF(INDEX(properties!A$1:CB$87,'Fórmula'!H58,13)&lt;&gt;"",INDEX(properties!A$1:CB$87,'Fórmula'!H58,13)),IF(INDEX(properties!A$1:CB$87,'Fórmula'!J58,13)&lt;&gt;"",INDEX(properties!A$1:CB$87,'Fórmula'!J58,13)))</f>
        <v>0.16</v>
      </c>
      <c r="BA58" s="109">
        <f t="array" ref="BA58">MAX(INDEX(properties!A$1:CB$87,'Fórmula'!B58,13),INDEX(properties!A$1:CB$87,'Fórmula'!D58,13),INDEX(properties!A$1:CB$87,'Fórmula'!F58,13),INDEX(properties!A$1:CB$87,'Fórmula'!H58,13),INDEX(properties!A$1:CB$87,'Fórmula'!J58,13))</f>
        <v>1</v>
      </c>
      <c r="BB58" s="109">
        <f t="array" ref="BB58">MIN(IF('Fórmula'!B58=87,10^6,INDEX(properties!A$1:CB$87,'Fórmula'!B58,13)),IF(('Fórmula'!D58)=87,10^6,INDEX(properties!A$1:CB$87,'Fórmula'!D58,13)),IF(('Fórmula'!F58)=87,10^6,INDEX(properties!A$1:CB$87,'Fórmula'!F58,13)),IF(('Fórmula'!H58)=87,10^6,INDEX(properties!A$1:CB$87,'Fórmula'!H58,13)),IF('Fórmula'!J58=87,10^6,INDEX(properties!A$1:CB$87,'Fórmula'!J58,13)))</f>
        <v>0</v>
      </c>
      <c r="BC58" s="109">
        <f t="shared" si="9"/>
        <v>1</v>
      </c>
      <c r="BD58" s="110">
        <f t="array" ref="BD58">(('Fórmula'!C58)/('Fórmula'!C58+'Fórmula'!E58+'Fórmula'!G58+'Fórmula'!I58+'Fórmula'!K58))*(INDEX(properties!A$1:CB$87,'Fórmula'!B58,14))+(('Fórmula'!E58)/('Fórmula'!C58+'Fórmula'!E58+'Fórmula'!G58+'Fórmula'!I58+'Fórmula'!K58))*(INDEX(properties!A$1:CB$87,'Fórmula'!D58,14))+(('Fórmula'!G58)/('Fórmula'!C58+'Fórmula'!E58+'Fórmula'!G58+'Fórmula'!I58+'Fórmula'!K58))*(INDEX(properties!A$1:CB$87,'Fórmula'!F58,14))+(('Fórmula'!I58)/('Fórmula'!C58+'Fórmula'!E58+'Fórmula'!G58+'Fórmula'!I58+'Fórmula'!K58))*(INDEX(properties!A$1:CB$87,'Fórmula'!H58,14))+(('Fórmula'!K58)/('Fórmula'!C58+'Fórmula'!E58+'Fórmula'!G58+'Fórmula'!I58+'Fórmula'!K58))*(INDEX(properties!A$1:CB$87,'Fórmula'!J58,14))</f>
        <v>0</v>
      </c>
      <c r="BE58" s="110">
        <f t="array" ref="BE58">'Fórmula'!C58*(INDEX(properties!A$1:CB$87,'Fórmula'!B58,14))+'Fórmula'!E58*(INDEX(properties!A$1:CB$87,'Fórmula'!D58,14))+'Fórmula'!G58*(INDEX(properties!A$1:CB$87,'Fórmula'!F58,14))+'Fórmula'!I58*(INDEX(properties!A$1:CB$87,'Fórmula'!H58,14))+'Fórmula'!K58*(INDEX(properties!A$1:CB$87,'Fórmula'!J58,14))</f>
        <v>0</v>
      </c>
      <c r="BF58" s="110">
        <f t="array" ref="BF58">VARP(IF(INDEX(properties!A$1:CB$87,'Fórmula'!B58,14)&lt;&gt;"",INDEX(properties!A$1:CB$87,'Fórmula'!B58,14)),IF(INDEX(properties!A$1:CB$87,'Fórmula'!D58,14)&lt;&gt;"",INDEX(properties!A$1:CB$87,'Fórmula'!D58,14)),IF(INDEX(properties!A$1:CB$87,'Fórmula'!F58,14)&lt;&gt;"",INDEX(properties!A$1:CB$87,'Fórmula'!F58,14)),IF(INDEX(properties!A$1:CB$87,'Fórmula'!H58,14)&lt;&gt;"",INDEX(properties!A$1:CB$87,'Fórmula'!H58,14)),IF(INDEX(properties!A$1:CB$87,'Fórmula'!J58,14)&lt;&gt;"",INDEX(properties!A$1:CB$87,'Fórmula'!J58,14)))</f>
        <v>0</v>
      </c>
      <c r="BG58" s="110">
        <f t="array" ref="BG58">MAX(INDEX(properties!A$1:CB$87,'Fórmula'!B58,14),INDEX(properties!A$1:CB$87,'Fórmula'!D58,14),INDEX(properties!A$1:CB$87,'Fórmula'!F58,14),INDEX(properties!A$1:CB$87,'Fórmula'!H58,14),INDEX(properties!A$1:CB$87,'Fórmula'!J58,14))</f>
        <v>0</v>
      </c>
      <c r="BH58" s="110">
        <f t="array" ref="BH58">MIN(IF('Fórmula'!B58=87,10^6,INDEX(properties!A$1:CB$87,'Fórmula'!B58,14)),IF(('Fórmula'!D58)=87,10^6,INDEX(properties!A$1:CB$87,'Fórmula'!D58,14)),IF(('Fórmula'!F58)=87,10^6,INDEX(properties!A$1:CB$87,'Fórmula'!F58,14)),IF(('Fórmula'!H58)=87,10^6,INDEX(properties!A$1:CB$87,'Fórmula'!H58,14)),IF('Fórmula'!J58=87,10^6,INDEX(properties!A$1:CB$87,'Fórmula'!J58,14)))</f>
        <v>0</v>
      </c>
      <c r="BI58" s="110">
        <f t="shared" si="10"/>
        <v>0</v>
      </c>
      <c r="BJ58" s="111">
        <f t="array" ref="BJ58">(('Fórmula'!C58)/('Fórmula'!C58+'Fórmula'!E58+'Fórmula'!G58+'Fórmula'!I58+'Fórmula'!K58))*(INDEX(properties!A$1:CB$87,'Fórmula'!B58,19))+(('Fórmula'!E58)/('Fórmula'!C58+'Fórmula'!E58+'Fórmula'!G58+'Fórmula'!I58+'Fórmula'!K58))*(INDEX(properties!A$1:CB$87,'Fórmula'!D58,19))+(('Fórmula'!G58)/('Fórmula'!C58+'Fórmula'!E58+'Fórmula'!G58+'Fórmula'!I58+'Fórmula'!K58))*(INDEX(properties!A$1:CB$87,'Fórmula'!F58,19))+(('Fórmula'!I58)/('Fórmula'!C58+'Fórmula'!E58+'Fórmula'!G58+'Fórmula'!I58+'Fórmula'!K58))*(INDEX(properties!A$1:CB$87,'Fórmula'!H58,19))+(('Fórmula'!K58)/('Fórmula'!C58+'Fórmula'!E58+'Fórmula'!G58+'Fórmula'!I58+'Fórmula'!K58))*(INDEX(properties!A$1:CB$87,'Fórmula'!J58,19))</f>
        <v>4.571428571</v>
      </c>
      <c r="BK58" s="111">
        <f t="array" ref="BK58">'Fórmula'!C58*(INDEX(properties!A$1:CB$87,'Fórmula'!B58,19))+'Fórmula'!E58*(INDEX(properties!A$1:CB$87,'Fórmula'!D58,19))+'Fórmula'!G58*(INDEX(properties!A$1:CB$87,'Fórmula'!F58,19))+'Fórmula'!I58*(INDEX(properties!A$1:CB$87,'Fórmula'!H58,19))+'Fórmula'!K58*(INDEX(properties!A$1:CB$87,'Fórmula'!J58,19))</f>
        <v>32</v>
      </c>
      <c r="BL58" s="111">
        <f t="array" ref="BL58">VARP(IF(INDEX(properties!A$1:CB$87,'Fórmula'!B58,19)&lt;&gt;"",INDEX(properties!A$1:CB$87,'Fórmula'!B58,19)),IF(INDEX(properties!A$1:CB$87,'Fórmula'!D58,19)&lt;&gt;"",INDEX(properties!A$1:CB$87,'Fórmula'!D58,19)),IF(INDEX(properties!A$1:CB$87,'Fórmula'!F58,19)&lt;&gt;"",INDEX(properties!A$1:CB$87,'Fórmula'!F58,19)),IF(INDEX(properties!A$1:CB$87,'Fórmula'!H58,19)&lt;&gt;"",INDEX(properties!A$1:CB$87,'Fórmula'!H58,19)),IF(INDEX(properties!A$1:CB$87,'Fórmula'!J58,19)&lt;&gt;"",INDEX(properties!A$1:CB$87,'Fórmula'!J58,19)))</f>
        <v>3.76</v>
      </c>
      <c r="BM58" s="111">
        <f t="array" ref="BM58">MAX(INDEX(properties!A$1:CB$87,'Fórmula'!B58,19),INDEX(properties!A$1:CB$87,'Fórmula'!D58,19),INDEX(properties!A$1:CB$87,'Fórmula'!F58,19),INDEX(properties!A$1:CB$87,'Fórmula'!H58,19),INDEX(properties!A$1:CB$87,'Fórmula'!J58,19))</f>
        <v>6</v>
      </c>
      <c r="BN58" s="111">
        <f t="array" ref="BN58">MIN(IF(INDEX(properties!A$1:CB$87,'Fórmula'!B58,19)=0,10^6,INDEX(properties!A$1:CB$87,'Fórmula'!B58,19)),IF(INDEX(properties!A$1:CB$87,'Fórmula'!D58,19)=0,10^6,INDEX(properties!A$1:CB$87,'Fórmula'!D58,19)),IF(INDEX(properties!A$1:CB$87,'Fórmula'!F58,19)=0,10^6,INDEX(properties!A$1:CB$87,'Fórmula'!F58,19)),IF(INDEX(properties!A$1:CB$87,'Fórmula'!H58,19)=0,10^6,INDEX(properties!A$1:CB$87,'Fórmula'!H58,19)),IF(INDEX(properties!A$1:CB$87,'Fórmula'!J58,19)=0,10^6,INDEX(properties!A$1:CB$87,'Fórmula'!J58,19)))</f>
        <v>2</v>
      </c>
      <c r="BO58" s="111">
        <f t="shared" si="11"/>
        <v>4</v>
      </c>
      <c r="BP58" s="112">
        <f t="array" ref="BP58">(('Fórmula'!C58)/('Fórmula'!C58+'Fórmula'!E58+'Fórmula'!G58+'Fórmula'!I58+'Fórmula'!K58))*(INDEX(properties!A$1:CB$87,'Fórmula'!B58,20))+(('Fórmula'!E58)/('Fórmula'!C58+'Fórmula'!E58+'Fórmula'!G58+'Fórmula'!I58+'Fórmula'!K58))*(INDEX(properties!A$1:CB$87,'Fórmula'!D58,20))+(('Fórmula'!G58)/('Fórmula'!C58+'Fórmula'!E58+'Fórmula'!G58+'Fórmula'!I58+'Fórmula'!K58))*(INDEX(properties!A$1:CB$87,'Fórmula'!F58,20))+(('Fórmula'!I58)/('Fórmula'!C58+'Fórmula'!E58+'Fórmula'!G58+'Fórmula'!I58+'Fórmula'!K58))*(INDEX(properties!A$1:CB$87,'Fórmula'!H58,20))+(('Fórmula'!K58)/('Fórmula'!C58+'Fórmula'!E58+'Fórmula'!G58+'Fórmula'!I58+'Fórmula'!K58))*(INDEX(properties!A$1:CB$87,'Fórmula'!J58,20))</f>
        <v>4.428571429</v>
      </c>
      <c r="BQ58" s="112">
        <f t="array" ref="BQ58">'Fórmula'!C58*(INDEX(properties!A$1:CB$87,'Fórmula'!B58,20))+'Fórmula'!E58*(INDEX(properties!A$1:CB$87,'Fórmula'!D58,20))+'Fórmula'!G58*(INDEX(properties!A$1:CB$87,'Fórmula'!F58,20))+'Fórmula'!I58*(INDEX(properties!A$1:CB$87,'Fórmula'!H58,20))+'Fórmula'!K58*(INDEX(properties!A$1:CB$87,'Fórmula'!J58,20))</f>
        <v>31</v>
      </c>
      <c r="BR58" s="112">
        <f t="array" ref="BR58">VARP(IF(INDEX(properties!A$1:CB$87,'Fórmula'!B58,20)&lt;&gt;"",INDEX(properties!A$1:CB$87,'Fórmula'!B58,20)),IF(INDEX(properties!A$1:CB$87,'Fórmula'!D58,20)&lt;&gt;"",INDEX(properties!A$1:CB$87,'Fórmula'!D58,20)),IF(INDEX(properties!A$1:CB$87,'Fórmula'!F58,20)&lt;&gt;"",INDEX(properties!A$1:CB$87,'Fórmula'!F58,20)),IF(INDEX(properties!A$1:CB$87,'Fórmula'!H58,20)&lt;&gt;"",INDEX(properties!A$1:CB$87,'Fórmula'!H58,20)),IF(INDEX(properties!A$1:CB$87,'Fórmula'!J58,20)&lt;&gt;"",INDEX(properties!A$1:CB$87,'Fórmula'!J58,20)))</f>
        <v>3.84</v>
      </c>
      <c r="BS58" s="112">
        <f t="array" ref="BS58">MAX(INDEX(properties!A$1:CB$87,'Fórmula'!B58,20),INDEX(properties!A$1:CB$87,'Fórmula'!D58,20),INDEX(properties!A$1:CB$87,'Fórmula'!F58,20),INDEX(properties!A$1:CB$87,'Fórmula'!H58,20),INDEX(properties!A$1:CB$87,'Fórmula'!J58,20))</f>
        <v>6</v>
      </c>
      <c r="BT58" s="112">
        <f t="array" ref="BT58">MIN(IF(INDEX(properties!A$1:CB$87,'Fórmula'!B58,20)=0,10^6,INDEX(properties!A$1:CB$87,'Fórmula'!B58,20)),IF(INDEX(properties!A$1:CB$87,'Fórmula'!D58,20)=0,10^6,INDEX(properties!A$1:CB$87,'Fórmula'!D58,20)),IF(INDEX(properties!A$1:CB$87,'Fórmula'!F58,20)=0,10^6,INDEX(properties!A$1:CB$87,'Fórmula'!F58,20)),IF(INDEX(properties!A$1:CB$87,'Fórmula'!H58,20)=0,10^6,INDEX(properties!A$1:CB$87,'Fórmula'!H58,20)),IF(INDEX(properties!A$1:CB$87,'Fórmula'!J58,20)=0,10^6,INDEX(properties!A$1:CB$87,'Fórmula'!J58,20)))</f>
        <v>2</v>
      </c>
      <c r="BU58" s="112">
        <f t="shared" si="12"/>
        <v>4</v>
      </c>
      <c r="BV58" s="113">
        <f t="array" ref="BV58">(('Fórmula'!C58)/('Fórmula'!C58+'Fórmula'!E58+'Fórmula'!G58+'Fórmula'!I58+'Fórmula'!K58))*(INDEX(properties!A$1:CB$87,'Fórmula'!B58,21))+(('Fórmula'!E58)/('Fórmula'!C58+'Fórmula'!E58+'Fórmula'!G58+'Fórmula'!I58+'Fórmula'!K58))*(INDEX(properties!A$1:CB$87,'Fórmula'!D58,21))+(('Fórmula'!G58)/('Fórmula'!C58+'Fórmula'!E58+'Fórmula'!G58+'Fórmula'!I58+'Fórmula'!K58))*(INDEX(properties!A$1:CB$87,'Fórmula'!F58,21))+(('Fórmula'!I58)/('Fórmula'!C58+'Fórmula'!E58+'Fórmula'!G58+'Fórmula'!I58+'Fórmula'!K58))*(INDEX(properties!A$1:CB$87,'Fórmula'!H58,21))+(('Fórmula'!K58)/('Fórmula'!C58+'Fórmula'!E58+'Fórmula'!G58+'Fórmula'!I58+'Fórmula'!K58))*(INDEX(properties!A$1:CB$87,'Fórmula'!J58,21))</f>
        <v>4.285714286</v>
      </c>
      <c r="BW58" s="113">
        <f t="array" ref="BW58">'Fórmula'!C58*(INDEX(properties!A$1:CB$87,'Fórmula'!B58,21))+'Fórmula'!E58*(INDEX(properties!A$1:CB$87,'Fórmula'!D58,21))+'Fórmula'!G58*(INDEX(properties!A$1:CB$87,'Fórmula'!F58,21))+'Fórmula'!I58*(INDEX(properties!A$1:CB$87,'Fórmula'!H58,21))+'Fórmula'!K58*(INDEX(properties!A$1:CB$87,'Fórmula'!J58,21))</f>
        <v>30</v>
      </c>
      <c r="BX58" s="113">
        <f t="array" ref="BX58">VARP(IF(INDEX(properties!A$1:CB$87,'Fórmula'!B58,21)&lt;&gt;"",INDEX(properties!A$1:CB$87,'Fórmula'!B58,21)),IF(INDEX(properties!A$1:CB$87,'Fórmula'!D58,21)&lt;&gt;"",INDEX(properties!A$1:CB$87,'Fórmula'!D58,21)),IF(INDEX(properties!A$1:CB$87,'Fórmula'!F58,21)&lt;&gt;"",INDEX(properties!A$1:CB$87,'Fórmula'!F58,21)),IF(INDEX(properties!A$1:CB$87,'Fórmula'!H58,21)&lt;&gt;"",INDEX(properties!A$1:CB$87,'Fórmula'!H58,21)),IF(INDEX(properties!A$1:CB$87,'Fórmula'!J58,21)&lt;&gt;"",INDEX(properties!A$1:CB$87,'Fórmula'!J58,21)))</f>
        <v>4.24</v>
      </c>
      <c r="BY58" s="113">
        <f t="array" ref="BY58">MAX(INDEX(properties!A$1:CB$87,'Fórmula'!B58,21),INDEX(properties!A$1:CB$87,'Fórmula'!D58,21),INDEX(properties!A$1:CB$87,'Fórmula'!F58,21),INDEX(properties!A$1:CB$87,'Fórmula'!H58,21),INDEX(properties!A$1:CB$87,'Fórmula'!J58,21))</f>
        <v>6</v>
      </c>
      <c r="BZ58" s="113">
        <f t="array" ref="BZ58">MIN(IF(INDEX(properties!A$1:CB$87,'Fórmula'!B58,21)=0,10^6,INDEX(properties!A$1:CB$87,'Fórmula'!B58,21)),IF(INDEX(properties!A$1:CB$87,'Fórmula'!D58,21)=0,10^6,INDEX(properties!A$1:CB$87,'Fórmula'!D58,21)),IF(INDEX(properties!A$1:CB$87,'Fórmula'!F58,21)=0,10^6,INDEX(properties!A$1:CB$87,'Fórmula'!F58,21)),IF(INDEX(properties!A$1:CB$87,'Fórmula'!H58,21)=0,10^6,INDEX(properties!A$1:CB$87,'Fórmula'!H58,21)),IF(INDEX(properties!A$1:CB$87,'Fórmula'!J58,21)=0,10^6,INDEX(properties!A$1:CB$87,'Fórmula'!J58,21)))</f>
        <v>1</v>
      </c>
      <c r="CA58" s="113">
        <f t="shared" si="13"/>
        <v>5</v>
      </c>
      <c r="CB58" s="114">
        <f t="array" ref="CB58">(('Fórmula'!C58)/('Fórmula'!C58+'Fórmula'!E58+'Fórmula'!G58+'Fórmula'!I58+'Fórmula'!K58))*(INDEX(properties!A$1:CB$87,'Fórmula'!B58,23))+(('Fórmula'!E58)/('Fórmula'!C58+'Fórmula'!E58+'Fórmula'!G58+'Fórmula'!I58+'Fórmula'!K58))*(INDEX(properties!A$1:CB$87,'Fórmula'!D58,23))+(('Fórmula'!G58)/('Fórmula'!C58+'Fórmula'!E58+'Fórmula'!G58+'Fórmula'!I58+'Fórmula'!K58))*(INDEX(properties!A$1:CB$87,'Fórmula'!F58,23))+(('Fórmula'!I58)/('Fórmula'!C58+'Fórmula'!E58+'Fórmula'!G58+'Fórmula'!I58+'Fórmula'!K58))*(INDEX(properties!A$1:CB$87,'Fórmula'!H58,23))+(('Fórmula'!K58)/('Fórmula'!C58+'Fórmula'!E58+'Fórmula'!G58+'Fórmula'!I58+'Fórmula'!K58))*(INDEX(properties!A$1:CB$87,'Fórmula'!J58,23))</f>
        <v>1.142857143</v>
      </c>
      <c r="CC58" s="114">
        <f t="array" ref="CC58">'Fórmula'!C58*(INDEX(properties!A$1:CB$87,'Fórmula'!B58,23))+'Fórmula'!E58*(INDEX(properties!A$1:CB$87,'Fórmula'!D58,23))+'Fórmula'!G58*(INDEX(properties!A$1:CB$87,'Fórmula'!F58,23))+'Fórmula'!I58*(INDEX(properties!A$1:CB$87,'Fórmula'!H58,23))+'Fórmula'!K58*(INDEX(properties!A$1:CB$87,'Fórmula'!J58,23))</f>
        <v>8</v>
      </c>
      <c r="CD58" s="114">
        <f t="array" ref="CD58">VARP(IF(INDEX(properties!A$1:CB$87,'Fórmula'!B58,23)&lt;&gt;"",INDEX(properties!A$1:CB$87,'Fórmula'!B58,23)),IF(INDEX(properties!A$1:CB$87,'Fórmula'!D58,23)&lt;&gt;"",INDEX(properties!A$1:CB$87,'Fórmula'!D58,23)),IF(INDEX(properties!A$1:CB$87,'Fórmula'!F58,23)&lt;&gt;"",INDEX(properties!A$1:CB$87,'Fórmula'!F58,23)),IF(INDEX(properties!A$1:CB$87,'Fórmula'!H58,23)&lt;&gt;"",INDEX(properties!A$1:CB$87,'Fórmula'!H58,23)),IF(INDEX(properties!A$1:CB$87,'Fórmula'!J58,23)&lt;&gt;"",INDEX(properties!A$1:CB$87,'Fórmula'!J58,23)))</f>
        <v>1.84</v>
      </c>
      <c r="CE58" s="114">
        <f t="array" ref="CE58">MAX(INDEX(properties!A$1:CB$87,'Fórmula'!B58,23),INDEX(properties!A$1:CB$87,'Fórmula'!D58,23),INDEX(properties!A$1:CB$87,'Fórmula'!F58,23),INDEX(properties!A$1:CB$87,'Fórmula'!H58,23),INDEX(properties!A$1:CB$87,'Fórmula'!J58,23))</f>
        <v>3</v>
      </c>
      <c r="CF58" s="114">
        <f t="array" ref="CF58">MIN(IF('Fórmula'!B58=87,10^6,INDEX(properties!A$1:CB$87,'Fórmula'!B58,23)),IF(('Fórmula'!D58)=87,10^6,INDEX(properties!A$1:CB$87,'Fórmula'!D58,23)),IF(('Fórmula'!F58)=87,10^6,INDEX(properties!A$1:CB$87,'Fórmula'!F58,23)),IF(('Fórmula'!H58)=87,10^6,INDEX(properties!A$1:CB$87,'Fórmula'!H58,23)),IF('Fórmula'!J58=87,10^6,INDEX(properties!A$1:CB$87,'Fórmula'!J58,23)))</f>
        <v>0</v>
      </c>
      <c r="CG58" s="114">
        <f t="shared" si="14"/>
        <v>3</v>
      </c>
      <c r="CH58" s="115">
        <f t="array" ref="CH58">(('Fórmula'!C58)/('Fórmula'!C58+'Fórmula'!E58+'Fórmula'!G58+'Fórmula'!I58+'Fórmula'!K58))*(INDEX(properties!A$1:CB$87,'Fórmula'!B58,26))+(('Fórmula'!E58)/('Fórmula'!C58+'Fórmula'!E58+'Fórmula'!G58+'Fórmula'!I58+'Fórmula'!K58))*(INDEX(properties!A$1:CB$87,'Fórmula'!D58,26))+(('Fórmula'!G58)/('Fórmula'!C58+'Fórmula'!E58+'Fórmula'!G58+'Fórmula'!I58+'Fórmula'!K58))*(INDEX(properties!A$1:CB$87,'Fórmula'!F58,26))+(('Fórmula'!I58)/('Fórmula'!C58+'Fórmula'!E58+'Fórmula'!G58+'Fórmula'!I58+'Fórmula'!K58))*(INDEX(properties!A$1:CB$87,'Fórmula'!H58,26))+(('Fórmula'!K58)/('Fórmula'!C58+'Fórmula'!E58+'Fórmula'!G58+'Fórmula'!I58+'Fórmula'!K58))*(INDEX(properties!A$1:CB$87,'Fórmula'!J58,26))</f>
        <v>10.24714286</v>
      </c>
      <c r="CI58" s="115">
        <f t="array" ref="CI58">'Fórmula'!C58*(INDEX(properties!A$1:CB$87,'Fórmula'!B58,26))+'Fórmula'!E58*(INDEX(properties!A$1:CB$87,'Fórmula'!D58,26))+'Fórmula'!G58*(INDEX(properties!A$1:CB$87,'Fórmula'!F58,26))+'Fórmula'!I58*(INDEX(properties!A$1:CB$87,'Fórmula'!H58,26))+'Fórmula'!K58*(INDEX(properties!A$1:CB$87,'Fórmula'!J58,26))</f>
        <v>71.73</v>
      </c>
      <c r="CJ58" s="115">
        <f t="array" ref="CJ58">VARP(IF(INDEX(properties!A$1:CB$87,'Fórmula'!B58,26)&lt;&gt;"",INDEX(properties!A$1:CB$87,'Fórmula'!B58,26)),IF(INDEX(properties!A$1:CB$87,'Fórmula'!D58,26)&lt;&gt;"",INDEX(properties!A$1:CB$87,'Fórmula'!D58,26)),IF(INDEX(properties!A$1:CB$87,'Fórmula'!F58,26)&lt;&gt;"",INDEX(properties!A$1:CB$87,'Fórmula'!F58,26)),IF(INDEX(properties!A$1:CB$87,'Fórmula'!H58,26)&lt;&gt;"",INDEX(properties!A$1:CB$87,'Fórmula'!H58,26)),IF(INDEX(properties!A$1:CB$87,'Fórmula'!J58,26)&lt;&gt;"",INDEX(properties!A$1:CB$87,'Fórmula'!J58,26)))</f>
        <v>18.83087575</v>
      </c>
      <c r="CK58" s="116">
        <f t="array" ref="CK58">MAX(INDEX(properties!A$1:CB$87,'Fórmula'!B58,26),INDEX(properties!A$1:CB$87,'Fórmula'!D58,26),INDEX(properties!A$1:CB$87,'Fórmula'!F58,26),INDEX(properties!A$1:CB$87,'Fórmula'!H58,26),INDEX(properties!A$1:CB$87,'Fórmula'!J58,26))</f>
        <v>13.6181</v>
      </c>
      <c r="CL58" s="116">
        <f t="array" ref="CL58">MIN(IF(INDEX(properties!A$1:CB$87,'Fórmula'!B58,26)=0,10^6,INDEX(properties!A$1:CB$87,'Fórmula'!B58,26)),IF(INDEX(properties!A$1:CB$87,'Fórmula'!D58,26)=0,10^6,INDEX(properties!A$1:CB$87,'Fórmula'!D58,26)),IF(INDEX(properties!A$1:CB$87,'Fórmula'!F58,26)=0,10^6,INDEX(properties!A$1:CB$87,'Fórmula'!F58,26)),IF(INDEX(properties!A$1:CB$87,'Fórmula'!H58,26)=0,10^6,INDEX(properties!A$1:CB$87,'Fórmula'!H58,26)),IF(INDEX(properties!A$1:CB$87,'Fórmula'!J58,26)=0,10^6,INDEX(properties!A$1:CB$87,'Fórmula'!J58,26)))</f>
        <v>5.5769</v>
      </c>
      <c r="CM58" s="115">
        <f t="shared" si="15"/>
        <v>8.0412</v>
      </c>
      <c r="CN58" s="117">
        <f t="array" ref="CN58">(('Fórmula'!C58)/('Fórmula'!C58+'Fórmula'!E58+'Fórmula'!G58+'Fórmula'!I58+'Fórmula'!K58))*(INDEX(properties!A$1:CB$87,'Fórmula'!B58,30))+(('Fórmula'!E58)/('Fórmula'!C58+'Fórmula'!E58+'Fórmula'!G58+'Fórmula'!I58+'Fórmula'!K58))*(INDEX(properties!A$1:CB$87,'Fórmula'!D58,30))+(('Fórmula'!G58)/('Fórmula'!C58+'Fórmula'!E58+'Fórmula'!G58+'Fórmula'!I58+'Fórmula'!K58))*(INDEX(properties!A$1:CB$87,'Fórmula'!F58,30))+(('Fórmula'!I58)/('Fórmula'!C58+'Fórmula'!E58+'Fórmula'!G58+'Fórmula'!I58+'Fórmula'!K58))*(INDEX(properties!A$1:CB$87,'Fórmula'!H58,30))+(('Fórmula'!K58)/('Fórmula'!C58+'Fórmula'!E58+'Fórmula'!G58+'Fórmula'!I58+'Fórmula'!K58))*(INDEX(properties!A$1:CB$87,'Fórmula'!J58,30))</f>
        <v>2.488571429</v>
      </c>
      <c r="CO58" s="117">
        <f t="array" ref="CO58">'Fórmula'!C58*(INDEX(properties!A$1:CB$87,'Fórmula'!B58,30))+'Fórmula'!E58*(INDEX(properties!A$1:CB$87,'Fórmula'!D58,30))+'Fórmula'!G58*(INDEX(properties!A$1:CB$87,'Fórmula'!F58,30))+'Fórmula'!I58*(INDEX(properties!A$1:CB$87,'Fórmula'!H58,30))+'Fórmula'!K58*(INDEX(properties!A$1:CB$87,'Fórmula'!J58,30))</f>
        <v>17.42</v>
      </c>
      <c r="CP58" s="117">
        <f t="array" ref="CP58">VARP(IF(INDEX(properties!A$1:CB$87,'Fórmula'!B58,30)&lt;&gt;"",INDEX(properties!A$1:CB$87,'Fórmula'!B58,30)),IF(INDEX(properties!A$1:CB$87,'Fórmula'!D58,30)&lt;&gt;"",INDEX(properties!A$1:CB$87,'Fórmula'!D58,30)),IF(INDEX(properties!A$1:CB$87,'Fórmula'!F58,30)&lt;&gt;"",INDEX(properties!A$1:CB$87,'Fórmula'!F58,30)),IF(INDEX(properties!A$1:CB$87,'Fórmula'!H58,30)&lt;&gt;"",INDEX(properties!A$1:CB$87,'Fórmula'!H58,30)),IF(INDEX(properties!A$1:CB$87,'Fórmula'!J58,30)&lt;&gt;"",INDEX(properties!A$1:CB$87,'Fórmula'!J58,30)))</f>
        <v>1.29124</v>
      </c>
      <c r="CQ58" s="117">
        <f t="array" ref="CQ58">MAX(INDEX(properties!A$1:CB$87,'Fórmula'!B58,30),INDEX(properties!A$1:CB$87,'Fórmula'!D58,30),INDEX(properties!A$1:CB$87,'Fórmula'!F58,30),INDEX(properties!A$1:CB$87,'Fórmula'!H58,30),INDEX(properties!A$1:CB$87,'Fórmula'!J58,30))</f>
        <v>3.44</v>
      </c>
      <c r="CR58" s="117">
        <f t="array" ref="CR58">MIN(IF(INDEX(properties!A$1:CB$87,'Fórmula'!B58,30)=0,10^6,INDEX(properties!A$1:CB$87,'Fórmula'!B58,30)),IF(INDEX(properties!A$1:CB$87,'Fórmula'!D58,30)=0,10^6,INDEX(properties!A$1:CB$87,'Fórmula'!D58,30)),IF(INDEX(properties!A$1:CB$87,'Fórmula'!F58,30)=0,10^6,INDEX(properties!A$1:CB$87,'Fórmula'!F58,30)),IF(INDEX(properties!A$1:CB$87,'Fórmula'!H58,30)=0,10^6,INDEX(properties!A$1:CB$87,'Fórmula'!H58,30)),IF(INDEX(properties!A$1:CB$87,'Fórmula'!J58,30)=0,10^6,INDEX(properties!A$1:CB$87,'Fórmula'!J58,30)))</f>
        <v>0.95</v>
      </c>
      <c r="CS58" s="117">
        <f t="shared" si="16"/>
        <v>2.49</v>
      </c>
      <c r="CT58" s="118">
        <f t="array" ref="CT58">(('Fórmula'!C58)/('Fórmula'!C58+'Fórmula'!E58+'Fórmula'!G58+'Fórmula'!I58+'Fórmula'!K58))*(INDEX(properties!A$1:CB$87,'Fórmula'!B58,31))+(('Fórmula'!E58)/('Fórmula'!C58+'Fórmula'!E58+'Fórmula'!G58+'Fórmula'!I58+'Fórmula'!K58))*(INDEX(properties!A$1:CB$87,'Fórmula'!D58,31))+(('Fórmula'!G58)/('Fórmula'!C58+'Fórmula'!E58+'Fórmula'!G58+'Fórmula'!I58+'Fórmula'!K58))*(INDEX(properties!A$1:CB$87,'Fórmula'!F58,31))+(('Fórmula'!I58)/('Fórmula'!C58+'Fórmula'!E58+'Fórmula'!G58+'Fórmula'!I58+'Fórmula'!K58))*(INDEX(properties!A$1:CB$87,'Fórmula'!H58,31))+(('Fórmula'!K58)/('Fórmula'!C58+'Fórmula'!E58+'Fórmula'!G58+'Fórmula'!I58+'Fórmula'!K58))*(INDEX(properties!A$1:CB$87,'Fórmula'!J58,31))</f>
        <v>2.485714286</v>
      </c>
      <c r="CU58" s="118">
        <f t="array" ref="CU58">'Fórmula'!C58*(INDEX(properties!A$1:CB$87,'Fórmula'!B58,31))+'Fórmula'!E58*(INDEX(properties!A$1:CB$87,'Fórmula'!D58,31))+'Fórmula'!G58*(INDEX(properties!A$1:CB$87,'Fórmula'!F58,31))+'Fórmula'!I58*(INDEX(properties!A$1:CB$87,'Fórmula'!H58,31))+'Fórmula'!K58*(INDEX(properties!A$1:CB$87,'Fórmula'!J58,31))</f>
        <v>17.4</v>
      </c>
      <c r="CV58" s="118">
        <f t="array" ref="CV58">VARP(IF(INDEX(properties!A$1:CB$87,'Fórmula'!B58,31)&lt;&gt;"",INDEX(properties!A$1:CB$87,'Fórmula'!B58,31)),IF(INDEX(properties!A$1:CB$87,'Fórmula'!D58,31)&lt;&gt;"",INDEX(properties!A$1:CB$87,'Fórmula'!D58,31)),IF(INDEX(properties!A$1:CB$87,'Fórmula'!F58,31)&lt;&gt;"",INDEX(properties!A$1:CB$87,'Fórmula'!F58,31)),IF(INDEX(properties!A$1:CB$87,'Fórmula'!H58,31)&lt;&gt;"",INDEX(properties!A$1:CB$87,'Fórmula'!H58,31)),IF(INDEX(properties!A$1:CB$87,'Fórmula'!J58,31)&lt;&gt;"",INDEX(properties!A$1:CB$87,'Fórmula'!J58,31)))</f>
        <v>1.148136</v>
      </c>
      <c r="CW58" s="118">
        <f t="array" ref="CW58">MAX(INDEX(properties!A$1:CB$87,'Fórmula'!B58,31),INDEX(properties!A$1:CB$87,'Fórmula'!D58,31),INDEX(properties!A$1:CB$87,'Fórmula'!F58,31),INDEX(properties!A$1:CB$87,'Fórmula'!H58,31),INDEX(properties!A$1:CB$87,'Fórmula'!J58,31))</f>
        <v>3.32</v>
      </c>
      <c r="CX58" s="118">
        <f t="array" ref="CX58">MIN(IF(INDEX(properties!A$1:CB$87,'Fórmula'!B58,31)=0,10^6,INDEX(properties!A$1:CB$87,'Fórmula'!B58,31)),IF(INDEX(properties!A$1:CB$87,'Fórmula'!D58,31)=0,10^6,INDEX(properties!A$1:CB$87,'Fórmula'!D58,31)),IF(INDEX(properties!A$1:CB$87,'Fórmula'!F58,31)=0,10^6,INDEX(properties!A$1:CB$87,'Fórmula'!F58,31)),IF(INDEX(properties!A$1:CB$87,'Fórmula'!H58,31)=0,10^6,INDEX(properties!A$1:CB$87,'Fórmula'!H58,31)),IF(INDEX(properties!A$1:CB$87,'Fórmula'!J58,31)=0,10^6,INDEX(properties!A$1:CB$87,'Fórmula'!J58,31)))</f>
        <v>1.13</v>
      </c>
      <c r="CY58" s="118">
        <f t="shared" si="17"/>
        <v>2.19</v>
      </c>
      <c r="CZ58" s="119">
        <f t="array" ref="CZ58">(('Fórmula'!C58)/('Fórmula'!C58+'Fórmula'!E58+'Fórmula'!G58+'Fórmula'!I58+'Fórmula'!K58))*(INDEX(properties!A$1:CB$87,'Fórmula'!B58,32))+(('Fórmula'!E58)/('Fórmula'!C58+'Fórmula'!E58+'Fórmula'!G58+'Fórmula'!I58+'Fórmula'!K58))*(INDEX(properties!A$1:CB$87,'Fórmula'!D58,32))+(('Fórmula'!G58)/('Fórmula'!C58+'Fórmula'!E58+'Fórmula'!G58+'Fórmula'!I58+'Fórmula'!K58))*(INDEX(properties!A$1:CB$87,'Fórmula'!F58,32))+(('Fórmula'!I58)/('Fórmula'!C58+'Fórmula'!E58+'Fórmula'!G58+'Fórmula'!I58+'Fórmula'!K58))*(INDEX(properties!A$1:CB$87,'Fórmula'!H58,32))+(('Fórmula'!K58)/('Fórmula'!C58+'Fórmula'!E58+'Fórmula'!G58+'Fórmula'!I58+'Fórmula'!K58))*(INDEX(properties!A$1:CB$87,'Fórmula'!J58,32))</f>
        <v>5.498571429</v>
      </c>
      <c r="DA58" s="119">
        <f t="array" ref="DA58">'Fórmula'!C58*(INDEX(properties!A$1:CB$87,'Fórmula'!B58,32))+'Fórmula'!E58*(INDEX(properties!A$1:CB$87,'Fórmula'!D58,32))+'Fórmula'!G58*(INDEX(properties!A$1:CB$87,'Fórmula'!F58,32))+'Fórmula'!I58*(INDEX(properties!A$1:CB$87,'Fórmula'!H58,32))+'Fórmula'!K58*(INDEX(properties!A$1:CB$87,'Fórmula'!J58,32))</f>
        <v>38.49</v>
      </c>
      <c r="DB58" s="119">
        <f t="array" ref="DB58">VARP(IF(INDEX(properties!A$1:CB$87,'Fórmula'!B58,32)&lt;&gt;"",INDEX(properties!A$1:CB$87,'Fórmula'!B58,32)),IF(INDEX(properties!A$1:CB$87,'Fórmula'!D58,32)&lt;&gt;"",INDEX(properties!A$1:CB$87,'Fórmula'!D58,32)),IF(INDEX(properties!A$1:CB$87,'Fórmula'!F58,32)&lt;&gt;"",INDEX(properties!A$1:CB$87,'Fórmula'!F58,32)),IF(INDEX(properties!A$1:CB$87,'Fórmula'!H58,32)&lt;&gt;"",INDEX(properties!A$1:CB$87,'Fórmula'!H58,32)),IF(INDEX(properties!A$1:CB$87,'Fórmula'!J58,32)&lt;&gt;"",INDEX(properties!A$1:CB$87,'Fórmula'!J58,32)))</f>
        <v>6.104624</v>
      </c>
      <c r="DC58" s="119">
        <f t="array" ref="DC58">MAX(INDEX(properties!A$1:CB$87,'Fórmula'!B58,32),INDEX(properties!A$1:CB$87,'Fórmula'!D58,32),INDEX(properties!A$1:CB$87,'Fórmula'!F58,32),INDEX(properties!A$1:CB$87,'Fórmula'!H58,32),INDEX(properties!A$1:CB$87,'Fórmula'!J58,32))</f>
        <v>7.54</v>
      </c>
      <c r="DD58" s="119">
        <f t="array" ref="DD58">MIN(IF(INDEX(properties!A$1:CB$87,'Fórmula'!B58,32)=0,10^6,INDEX(properties!A$1:CB$87,'Fórmula'!B58,32)),IF(INDEX(properties!A$1:CB$87,'Fórmula'!D58,32)=0,10^6,INDEX(properties!A$1:CB$87,'Fórmula'!D58,32)),IF(INDEX(properties!A$1:CB$87,'Fórmula'!F58,32)=0,10^6,INDEX(properties!A$1:CB$87,'Fórmula'!F58,32)),IF(INDEX(properties!A$1:CB$87,'Fórmula'!H58,32)=0,10^6,INDEX(properties!A$1:CB$87,'Fórmula'!H58,32)),IF(INDEX(properties!A$1:CB$87,'Fórmula'!J58,32)=0,10^6,INDEX(properties!A$1:CB$87,'Fórmula'!J58,32)))</f>
        <v>2</v>
      </c>
      <c r="DE58" s="119">
        <f t="shared" si="18"/>
        <v>5.54</v>
      </c>
      <c r="DF58" s="104">
        <f t="array" ref="DF58">(('Fórmula'!C58)/('Fórmula'!C58+'Fórmula'!E58+'Fórmula'!G58+'Fórmula'!I58+'Fórmula'!K58))*(INDEX(properties!A$1:CB$87,'Fórmula'!B58,34))+(('Fórmula'!E58)/('Fórmula'!C58+'Fórmula'!E58+'Fórmula'!G58+'Fórmula'!I58+'Fórmula'!K58))*(INDEX(properties!A$1:CB$87,'Fórmula'!D58,34))+(('Fórmula'!G58)/('Fórmula'!C58+'Fórmula'!E58+'Fórmula'!G58+'Fórmula'!I58+'Fórmula'!K58))*(INDEX(properties!A$1:CB$87,'Fórmula'!F58,34))+(('Fórmula'!I58)/('Fórmula'!C58+'Fórmula'!E58+'Fórmula'!G58+'Fórmula'!I58+'Fórmula'!K58))*(INDEX(properties!A$1:CB$87,'Fórmula'!H58,34))+(('Fórmula'!K58)/('Fórmula'!C58+'Fórmula'!E58+'Fórmula'!G58+'Fórmula'!I58+'Fórmula'!K58))*(INDEX(properties!A$1:CB$87,'Fórmula'!J58,34))</f>
        <v>2.586571429</v>
      </c>
      <c r="DG58" s="104">
        <f t="array" ref="DG58">'Fórmula'!C58*(INDEX(properties!A$1:CB$87,'Fórmula'!B58,34))+'Fórmula'!E58*(INDEX(properties!A$1:CB$87,'Fórmula'!D58,34))+'Fórmula'!G58*(INDEX(properties!A$1:CB$87,'Fórmula'!F58,34))+'Fórmula'!I58*(INDEX(properties!A$1:CB$87,'Fórmula'!H58,34))+'Fórmula'!K58*(INDEX(properties!A$1:CB$87,'Fórmula'!J58,34))</f>
        <v>18.106</v>
      </c>
      <c r="DH58" s="104">
        <f t="array" ref="DH58">VARP(IF(INDEX(properties!A$1:CB$87,'Fórmula'!B58,34)&lt;&gt;"",INDEX(properties!A$1:CB$87,'Fórmula'!B58,34)),IF(INDEX(properties!A$1:CB$87,'Fórmula'!D58,34)&lt;&gt;"",INDEX(properties!A$1:CB$87,'Fórmula'!D58,34)),IF(INDEX(properties!A$1:CB$87,'Fórmula'!F58,34)&lt;&gt;"",INDEX(properties!A$1:CB$87,'Fórmula'!F58,34)),IF(INDEX(properties!A$1:CB$87,'Fórmula'!H58,34)&lt;&gt;"",INDEX(properties!A$1:CB$87,'Fórmula'!H58,34)),IF(INDEX(properties!A$1:CB$87,'Fórmula'!J58,34)&lt;&gt;"",INDEX(properties!A$1:CB$87,'Fórmula'!J58,34)))</f>
        <v>1.43226056</v>
      </c>
      <c r="DI58" s="104">
        <f t="array" ref="DI58">MAX(INDEX(properties!A$1:CB$87,'Fórmula'!B58,34),INDEX(properties!A$1:CB$87,'Fórmula'!D58,34),INDEX(properties!A$1:CB$87,'Fórmula'!F58,34),INDEX(properties!A$1:CB$87,'Fórmula'!H58,34),INDEX(properties!A$1:CB$87,'Fórmula'!J58,34))</f>
        <v>3.61</v>
      </c>
      <c r="DJ58" s="104">
        <f t="array" ref="DJ58">MIN(IF(INDEX(properties!A$1:CB$87,'Fórmula'!B58,34)=0,10^6,INDEX(properties!A$1:CB$87,'Fórmula'!B58,34)),IF(INDEX(properties!A$1:CB$87,'Fórmula'!D58,34)=0,10^6,INDEX(properties!A$1:CB$87,'Fórmula'!D58,34)),IF(INDEX(properties!A$1:CB$87,'Fórmula'!F58,34)=0,10^6,INDEX(properties!A$1:CB$87,'Fórmula'!F58,34)),IF(INDEX(properties!A$1:CB$87,'Fórmula'!H58,34)=0,10^6,INDEX(properties!A$1:CB$87,'Fórmula'!H58,34)),IF(INDEX(properties!A$1:CB$87,'Fórmula'!J58,34)=0,10^6,INDEX(properties!A$1:CB$87,'Fórmula'!J58,34)))</f>
        <v>0.963</v>
      </c>
      <c r="DK58" s="104">
        <f t="shared" si="19"/>
        <v>2.647</v>
      </c>
      <c r="DL58" s="105">
        <f t="array" ref="DL58">(('Fórmula'!C58)/('Fórmula'!C58+'Fórmula'!E58+'Fórmula'!G58+'Fórmula'!I58+'Fórmula'!K58))*(INDEX(properties!A$1:CB$87,'Fórmula'!B58,37))+(('Fórmula'!E58)/('Fórmula'!C58+'Fórmula'!E58+'Fórmula'!G58+'Fórmula'!I58+'Fórmula'!K58))*(INDEX(properties!A$1:CB$87,'Fórmula'!D58,37))+(('Fórmula'!G58)/('Fórmula'!C58+'Fórmula'!E58+'Fórmula'!G58+'Fórmula'!I58+'Fórmula'!K58))*(INDEX(properties!A$1:CB$87,'Fórmula'!F58,37))+(('Fórmula'!I58)/('Fórmula'!C58+'Fórmula'!E58+'Fórmula'!G58+'Fórmula'!I58+'Fórmula'!K58))*(INDEX(properties!A$1:CB$87,'Fórmula'!H58,37))+(('Fórmula'!K58)/('Fórmula'!C58+'Fórmula'!E58+'Fórmula'!G58+'Fórmula'!I58+'Fórmula'!K58))*(INDEX(properties!A$1:CB$87,'Fórmula'!J58,37))</f>
        <v>2.5</v>
      </c>
      <c r="DM58" s="105">
        <f t="array" ref="DM58">'Fórmula'!C58*(INDEX(properties!A$1:CB$87,'Fórmula'!B58,37))+'Fórmula'!E58*(INDEX(properties!A$1:CB$87,'Fórmula'!D58,37))+'Fórmula'!G58*(INDEX(properties!A$1:CB$87,'Fórmula'!F58,37))+'Fórmula'!I58*(INDEX(properties!A$1:CB$87,'Fórmula'!H58,37))+'Fórmula'!K58*(INDEX(properties!A$1:CB$87,'Fórmula'!J58,37))</f>
        <v>17.5</v>
      </c>
      <c r="DN58" s="105">
        <f t="array" ref="DN58">VARP(IF(INDEX(properties!A$1:CB$87,'Fórmula'!B58,37)&lt;&gt;"",INDEX(properties!A$1:CB$87,'Fórmula'!B58,37)),IF(INDEX(properties!A$1:CB$87,'Fórmula'!D58,37)&lt;&gt;"",INDEX(properties!A$1:CB$87,'Fórmula'!D58,37)),IF(INDEX(properties!A$1:CB$87,'Fórmula'!F58,37)&lt;&gt;"",INDEX(properties!A$1:CB$87,'Fórmula'!F58,37)),IF(INDEX(properties!A$1:CB$87,'Fórmula'!H58,37)&lt;&gt;"",INDEX(properties!A$1:CB$87,'Fórmula'!H58,37)),IF(INDEX(properties!A$1:CB$87,'Fórmula'!J58,37)&lt;&gt;"",INDEX(properties!A$1:CB$87,'Fórmula'!J58,37)))</f>
        <v>1.2736</v>
      </c>
      <c r="DO58" s="105">
        <f t="array" ref="DO58">MAX(INDEX(properties!A$1:CB$87,'Fórmula'!B58,37),INDEX(properties!A$1:CB$87,'Fórmula'!D58,37),INDEX(properties!A$1:CB$87,'Fórmula'!F58,37),INDEX(properties!A$1:CB$87,'Fórmula'!H58,37),INDEX(properties!A$1:CB$87,'Fórmula'!J58,37))</f>
        <v>3.45</v>
      </c>
      <c r="DP58" s="105">
        <f t="array" ref="DP58">MIN(IF(INDEX(properties!A$1:CB$87,'Fórmula'!B58,37)=0,10^6,INDEX(properties!A$1:CB$87,'Fórmula'!B58,37)),IF(INDEX(properties!A$1:CB$87,'Fórmula'!D58,37)=0,10^6,INDEX(properties!A$1:CB$87,'Fórmula'!D58,37)),IF(INDEX(properties!A$1:CB$87,'Fórmula'!F58,37)=0,10^6,INDEX(properties!A$1:CB$87,'Fórmula'!F58,37)),IF(INDEX(properties!A$1:CB$87,'Fórmula'!H58,37)=0,10^6,INDEX(properties!A$1:CB$87,'Fórmula'!H58,37)),IF(INDEX(properties!A$1:CB$87,'Fórmula'!J58,37)=0,10^6,INDEX(properties!A$1:CB$87,'Fórmula'!J58,37)))</f>
        <v>1</v>
      </c>
      <c r="DQ58" s="105">
        <f t="shared" si="20"/>
        <v>2.45</v>
      </c>
      <c r="DR58" s="109">
        <f t="array" ref="DR58">(('Fórmula'!C58)/('Fórmula'!C58+'Fórmula'!E58+'Fórmula'!G58+'Fórmula'!I58+'Fórmula'!K58))*(INDEX(properties!A$1:CB$87,'Fórmula'!B58,39))+(('Fórmula'!E58)/('Fórmula'!C58+'Fórmula'!E58+'Fórmula'!G58+'Fórmula'!I58+'Fórmula'!K58))*(INDEX(properties!A$1:CB$87,'Fórmula'!D58,39))+(('Fórmula'!G58)/('Fórmula'!C58+'Fórmula'!E58+'Fórmula'!G58+'Fórmula'!I58+'Fórmula'!K58))*(INDEX(properties!A$1:CB$87,'Fórmula'!F58,39))+(('Fórmula'!I58)/('Fórmula'!C58+'Fórmula'!E58+'Fórmula'!G58+'Fórmula'!I58+'Fórmula'!K58))*(INDEX(properties!A$1:CB$87,'Fórmula'!H58,39))+(('Fórmula'!K58)/('Fórmula'!C58+'Fórmula'!E58+'Fórmula'!G58+'Fórmula'!I58+'Fórmula'!K58))*(INDEX(properties!A$1:CB$87,'Fórmula'!J58,39))</f>
        <v>1.034285714</v>
      </c>
      <c r="DS58" s="109">
        <f t="array" ref="DS58">'Fórmula'!C58*(INDEX(properties!A$1:CB$87,'Fórmula'!B58,39))+'Fórmula'!E58*(INDEX(properties!A$1:CB$87,'Fórmula'!D58,39))+'Fórmula'!G58*(INDEX(properties!A$1:CB$87,'Fórmula'!F58,39))+'Fórmula'!I58*(INDEX(properties!A$1:CB$87,'Fórmula'!H58,39))+'Fórmula'!K58*(INDEX(properties!A$1:CB$87,'Fórmula'!J58,39))</f>
        <v>7.24</v>
      </c>
      <c r="DT58" s="109">
        <f t="array" ref="DT58">VARP(IF(INDEX(properties!A$1:CB$87,'Fórmula'!B58,39)&lt;&gt;"",INDEX(properties!A$1:CB$87,'Fórmula'!B58,39)),IF(INDEX(properties!A$1:CB$87,'Fórmula'!D58,39)&lt;&gt;"",INDEX(properties!A$1:CB$87,'Fórmula'!D58,39)),IF(INDEX(properties!A$1:CB$87,'Fórmula'!F58,39)&lt;&gt;"",INDEX(properties!A$1:CB$87,'Fórmula'!F58,39)),IF(INDEX(properties!A$1:CB$87,'Fórmula'!H58,39)&lt;&gt;"",INDEX(properties!A$1:CB$87,'Fórmula'!H58,39)),IF(INDEX(properties!A$1:CB$87,'Fórmula'!J58,39)&lt;&gt;"",INDEX(properties!A$1:CB$87,'Fórmula'!J58,39)))</f>
        <v>0.69868</v>
      </c>
      <c r="DU58" s="120">
        <f t="array" ref="DU58">MAX(INDEX(properties!A$1:CB$87,'Fórmula'!B58,39),INDEX(properties!A$1:CB$87,'Fórmula'!D58,39),INDEX(properties!A$1:CB$87,'Fórmula'!F58,39),INDEX(properties!A$1:CB$87,'Fórmula'!H58,39),INDEX(properties!A$1:CB$87,'Fórmula'!J58,39))</f>
        <v>2.19</v>
      </c>
      <c r="DV58" s="120">
        <f t="array" ref="DV58">MIN(IF(INDEX(properties!A$1:CB$87,'Fórmula'!B58,39)=0,10^6,INDEX(properties!A$1:CB$87,'Fórmula'!B58,39)),IF(INDEX(properties!A$1:CB$87,'Fórmula'!D58,39)=0,10^6,INDEX(properties!A$1:CB$87,'Fórmula'!D58,39)),IF(INDEX(properties!A$1:CB$87,'Fórmula'!F58,39)=0,10^6,INDEX(properties!A$1:CB$87,'Fórmula'!F58,39)),IF(INDEX(properties!A$1:CB$87,'Fórmula'!H58,39)=0,10^6,INDEX(properties!A$1:CB$87,'Fórmula'!H58,39)),IF(INDEX(properties!A$1:CB$87,'Fórmula'!J58,39)=0,10^6,INDEX(properties!A$1:CB$87,'Fórmula'!J58,39)))</f>
        <v>0.48</v>
      </c>
      <c r="DW58" s="109">
        <f t="shared" si="21"/>
        <v>1.71</v>
      </c>
      <c r="DX58" s="110">
        <f t="array" ref="DX58">(('Fórmula'!C58)/('Fórmula'!C58+'Fórmula'!E58+'Fórmula'!G58+'Fórmula'!I58+'Fórmula'!K58))*(INDEX(properties!A$1:CB$87,'Fórmula'!B58,40))+(('Fórmula'!E58)/('Fórmula'!C58+'Fórmula'!E58+'Fórmula'!G58+'Fórmula'!I58+'Fórmula'!K58))*(INDEX(properties!A$1:CB$87,'Fórmula'!D58,40))+(('Fórmula'!G58)/('Fórmula'!C58+'Fórmula'!E58+'Fórmula'!G58+'Fórmula'!I58+'Fórmula'!K58))*(INDEX(properties!A$1:CB$87,'Fórmula'!F58,40))+(('Fórmula'!I58)/('Fórmula'!C58+'Fórmula'!E58+'Fórmula'!G58+'Fórmula'!I58+'Fórmula'!K58))*(INDEX(properties!A$1:CB$87,'Fórmula'!H58,40))+(('Fórmula'!K58)/('Fórmula'!C58+'Fórmula'!E58+'Fórmula'!G58+'Fórmula'!I58+'Fórmula'!K58))*(INDEX(properties!A$1:CB$87,'Fórmula'!J58,40))</f>
        <v>1.101428571</v>
      </c>
      <c r="DY58" s="110">
        <f t="array" ref="DY58">'Fórmula'!C58*(INDEX(properties!A$1:CB$87,'Fórmula'!B58,40))+'Fórmula'!E58*(INDEX(properties!A$1:CB$87,'Fórmula'!D58,40))+'Fórmula'!G58*(INDEX(properties!A$1:CB$87,'Fórmula'!F58,40))+'Fórmula'!I58*(INDEX(properties!A$1:CB$87,'Fórmula'!H58,40))+'Fórmula'!K58*(INDEX(properties!A$1:CB$87,'Fórmula'!J58,40))</f>
        <v>7.71</v>
      </c>
      <c r="DZ58" s="110">
        <f t="array" ref="DZ58">VARP(IF(INDEX(properties!A$1:CB$87,'Fórmula'!B58,40)&lt;&gt;"",INDEX(properties!A$1:CB$87,'Fórmula'!B58,40)),IF(INDEX(properties!A$1:CB$87,'Fórmula'!D58,40)&lt;&gt;"",INDEX(properties!A$1:CB$87,'Fórmula'!D58,40)),IF(INDEX(properties!A$1:CB$87,'Fórmula'!F58,40)&lt;&gt;"",INDEX(properties!A$1:CB$87,'Fórmula'!F58,40)),IF(INDEX(properties!A$1:CB$87,'Fórmula'!H58,40)&lt;&gt;"",INDEX(properties!A$1:CB$87,'Fórmula'!H58,40)),IF(INDEX(properties!A$1:CB$87,'Fórmula'!J58,40)&lt;&gt;"",INDEX(properties!A$1:CB$87,'Fórmula'!J58,40)))</f>
        <v>0.474744</v>
      </c>
      <c r="EA58" s="121">
        <f t="array" ref="EA58">MAX(INDEX(properties!A$1:CB$87,'Fórmula'!B58,40),INDEX(properties!A$1:CB$87,'Fórmula'!D58,40),INDEX(properties!A$1:CB$87,'Fórmula'!F58,40),INDEX(properties!A$1:CB$87,'Fórmula'!H58,40),INDEX(properties!A$1:CB$87,'Fórmula'!J58,40))</f>
        <v>1.92</v>
      </c>
      <c r="EB58" s="121">
        <f t="array" ref="EB58">MIN(IF(INDEX(properties!A$1:CB$87,'Fórmula'!B58,40)=0,10^6,INDEX(properties!A$1:CB$87,'Fórmula'!B58,40)),IF(INDEX(properties!A$1:CB$87,'Fórmula'!D58,40)=0,10^6,INDEX(properties!A$1:CB$87,'Fórmula'!D58,40)),IF(INDEX(properties!A$1:CB$87,'Fórmula'!F58,40)=0,10^6,INDEX(properties!A$1:CB$87,'Fórmula'!F58,40)),IF(INDEX(properties!A$1:CB$87,'Fórmula'!H58,40)=0,10^6,INDEX(properties!A$1:CB$87,'Fórmula'!H58,40)),IF(INDEX(properties!A$1:CB$87,'Fórmula'!J58,40)=0,10^6,INDEX(properties!A$1:CB$87,'Fórmula'!J58,40)))</f>
        <v>0.73</v>
      </c>
      <c r="EC58" s="110">
        <f t="shared" si="22"/>
        <v>1.19</v>
      </c>
      <c r="ED58" s="111">
        <f t="array" ref="ED58">(('Fórmula'!C58)/('Fórmula'!C58+'Fórmula'!E58+'Fórmula'!G58+'Fórmula'!I58+'Fórmula'!K58))*(INDEX(properties!A$1:CB$87,'Fórmula'!B58,41))+(('Fórmula'!E58)/('Fórmula'!C58+'Fórmula'!E58+'Fórmula'!G58+'Fórmula'!I58+'Fórmula'!K58))*(INDEX(properties!A$1:CB$87,'Fórmula'!D58,41))+(('Fórmula'!G58)/('Fórmula'!C58+'Fórmula'!E58+'Fórmula'!G58+'Fórmula'!I58+'Fórmula'!K58))*(INDEX(properties!A$1:CB$87,'Fórmula'!F58,41))+(('Fórmula'!I58)/('Fórmula'!C58+'Fórmula'!E58+'Fórmula'!G58+'Fórmula'!I58+'Fórmula'!K58))*(INDEX(properties!A$1:CB$87,'Fórmula'!H58,41))+(('Fórmula'!K58)/('Fórmula'!C58+'Fórmula'!E58+'Fórmula'!G58+'Fórmula'!I58+'Fórmula'!K58))*(INDEX(properties!A$1:CB$87,'Fórmula'!J58,41))</f>
        <v>1.172857143</v>
      </c>
      <c r="EE58" s="111">
        <f t="array" ref="EE58">'Fórmula'!C58*(INDEX(properties!A$1:CB$87,'Fórmula'!B58,41))+'Fórmula'!E58*(INDEX(properties!A$1:CB$87,'Fórmula'!D58,41))+'Fórmula'!G58*(INDEX(properties!A$1:CB$87,'Fórmula'!F58,41))+'Fórmula'!I58*(INDEX(properties!A$1:CB$87,'Fórmula'!H58,41))+'Fórmula'!K58*(INDEX(properties!A$1:CB$87,'Fórmula'!J58,41))</f>
        <v>8.21</v>
      </c>
      <c r="EF58" s="111">
        <f t="array" ref="EF58">VARP(IF(INDEX(properties!A$1:CB$87,'Fórmula'!B58,41)&lt;&gt;"",INDEX(properties!A$1:CB$87,'Fórmula'!B58,41)),IF(INDEX(properties!A$1:CB$87,'Fórmula'!D58,41)&lt;&gt;"",INDEX(properties!A$1:CB$87,'Fórmula'!D58,41)),IF(INDEX(properties!A$1:CB$87,'Fórmula'!F58,41)&lt;&gt;"",INDEX(properties!A$1:CB$87,'Fórmula'!F58,41)),IF(INDEX(properties!A$1:CB$87,'Fórmula'!H58,41)&lt;&gt;"",INDEX(properties!A$1:CB$87,'Fórmula'!H58,41)),IF(INDEX(properties!A$1:CB$87,'Fórmula'!J58,41)&lt;&gt;"",INDEX(properties!A$1:CB$87,'Fórmula'!J58,41)))</f>
        <v>0.247264</v>
      </c>
      <c r="EG58" s="122">
        <f t="array" ref="EG58">MAX(INDEX(properties!A$1:CB$87,'Fórmula'!B58,41),INDEX(properties!A$1:CB$87,'Fórmula'!D58,41),INDEX(properties!A$1:CB$87,'Fórmula'!F58,41),INDEX(properties!A$1:CB$87,'Fórmula'!H58,41),INDEX(properties!A$1:CB$87,'Fórmula'!J58,41))</f>
        <v>1.32</v>
      </c>
      <c r="EH58" s="122">
        <f t="array" ref="EH58">MIN(IF(INDEX(properties!A$1:CB$87,'Fórmula'!B58,41)=0,10^6,INDEX(properties!A$1:CB$87,'Fórmula'!B58,41)),IF(INDEX(properties!A$1:CB$87,'Fórmula'!D58,41)=0,10^6,INDEX(properties!A$1:CB$87,'Fórmula'!D58,41)),IF(INDEX(properties!A$1:CB$87,'Fórmula'!F58,41)=0,10^6,INDEX(properties!A$1:CB$87,'Fórmula'!F58,41)),IF(INDEX(properties!A$1:CB$87,'Fórmula'!H58,41)=0,10^6,INDEX(properties!A$1:CB$87,'Fórmula'!H58,41)),IF(INDEX(properties!A$1:CB$87,'Fórmula'!J58,41)=0,10^6,INDEX(properties!A$1:CB$87,'Fórmula'!J58,41)))</f>
        <v>0.68</v>
      </c>
      <c r="EI58" s="111">
        <f t="shared" si="23"/>
        <v>0.64</v>
      </c>
      <c r="EJ58" s="112">
        <f t="array" ref="EJ58">(('Fórmula'!C58)/('Fórmula'!C58+'Fórmula'!E58+'Fórmula'!G58+'Fórmula'!I58+'Fórmula'!K58))*(INDEX(properties!A$1:CB$87,'Fórmula'!B58,45))+(('Fórmula'!E58)/('Fórmula'!C58+'Fórmula'!E58+'Fórmula'!G58+'Fórmula'!I58+'Fórmula'!K58))*(INDEX(properties!A$1:CB$87,'Fórmula'!D58,45))+(('Fórmula'!G58)/('Fórmula'!C58+'Fórmula'!E58+'Fórmula'!G58+'Fórmula'!I58+'Fórmula'!K58))*(INDEX(properties!A$1:CB$87,'Fórmula'!F58,45))+(('Fórmula'!I58)/('Fórmula'!C58+'Fórmula'!E58+'Fórmula'!G58+'Fórmula'!I58+'Fórmula'!K58))*(INDEX(properties!A$1:CB$87,'Fórmula'!H58,45))+(('Fórmula'!K58)/('Fórmula'!C58+'Fórmula'!E58+'Fórmula'!G58+'Fórmula'!I58+'Fórmula'!K58))*(INDEX(properties!A$1:CB$87,'Fórmula'!J58,45))</f>
        <v>1.407142857</v>
      </c>
      <c r="EK58" s="112">
        <f t="array" ref="EK58">'Fórmula'!C58*(INDEX(properties!A$1:CB$87,'Fórmula'!B58,45))+'Fórmula'!E58*(INDEX(properties!A$1:CB$87,'Fórmula'!D58,45))+'Fórmula'!G58*(INDEX(properties!A$1:CB$87,'Fórmula'!F58,45))+'Fórmula'!I58*(INDEX(properties!A$1:CB$87,'Fórmula'!H58,45))+'Fórmula'!K58*(INDEX(properties!A$1:CB$87,'Fórmula'!J58,45))</f>
        <v>9.85</v>
      </c>
      <c r="EL58" s="112">
        <f t="array" ref="EL58">VARP(IF(INDEX(properties!A$1:CB$87,'Fórmula'!B58,45)&lt;&gt;"",INDEX(properties!A$1:CB$87,'Fórmula'!B58,45)),IF(INDEX(properties!A$1:CB$87,'Fórmula'!D58,45)&lt;&gt;"",INDEX(properties!A$1:CB$87,'Fórmula'!D58,45)),IF(INDEX(properties!A$1:CB$87,'Fórmula'!F58,45)&lt;&gt;"",INDEX(properties!A$1:CB$87,'Fórmula'!F58,45)),IF(INDEX(properties!A$1:CB$87,'Fórmula'!H58,45)&lt;&gt;"",INDEX(properties!A$1:CB$87,'Fórmula'!H58,45)),IF(INDEX(properties!A$1:CB$87,'Fórmula'!J58,45)&lt;&gt;"",INDEX(properties!A$1:CB$87,'Fórmula'!J58,45)))</f>
        <v>1.717416</v>
      </c>
      <c r="EM58" s="123">
        <f t="array" ref="EM58">MAX(INDEX(properties!A$1:CB$87,'Fórmula'!B58,45),INDEX(properties!A$1:CB$87,'Fórmula'!D58,45),INDEX(properties!A$1:CB$87,'Fórmula'!F58,45),INDEX(properties!A$1:CB$87,'Fórmula'!H58,45),INDEX(properties!A$1:CB$87,'Fórmula'!J58,45))</f>
        <v>3.21</v>
      </c>
      <c r="EN58" s="123">
        <f t="array" ref="EN58">MIN(IF(INDEX(properties!A$1:CB$87,'Fórmula'!B58,45)=0,10^6,INDEX(properties!A$1:CB$87,'Fórmula'!B58,45)),IF(INDEX(properties!A$1:CB$87,'Fórmula'!D58,45)=0,10^6,INDEX(properties!A$1:CB$87,'Fórmula'!D58,45)),IF(INDEX(properties!A$1:CB$87,'Fórmula'!F58,45)=0,10^6,INDEX(properties!A$1:CB$87,'Fórmula'!F58,45)),IF(INDEX(properties!A$1:CB$87,'Fórmula'!H58,45)=0,10^6,INDEX(properties!A$1:CB$87,'Fórmula'!H58,45)),IF(INDEX(properties!A$1:CB$87,'Fórmula'!J58,45)=0,10^6,INDEX(properties!A$1:CB$87,'Fórmula'!J58,45)))</f>
        <v>0.47</v>
      </c>
      <c r="EO58" s="112">
        <f t="shared" si="24"/>
        <v>2.74</v>
      </c>
      <c r="EP58" s="113">
        <f t="array" ref="EP58">(('Fórmula'!C58)/('Fórmula'!C58+'Fórmula'!E58+'Fórmula'!G58+'Fórmula'!I58+'Fórmula'!K58))*(INDEX(properties!A$1:CB$87,'Fórmula'!B58,46))+(('Fórmula'!E58)/('Fórmula'!C58+'Fórmula'!E58+'Fórmula'!G58+'Fórmula'!I58+'Fórmula'!K58))*(INDEX(properties!A$1:CB$87,'Fórmula'!D58,46))+(('Fórmula'!G58)/('Fórmula'!C58+'Fórmula'!E58+'Fórmula'!G58+'Fórmula'!I58+'Fórmula'!K58))*(INDEX(properties!A$1:CB$87,'Fórmula'!F58,46))+(('Fórmula'!I58)/('Fórmula'!C58+'Fórmula'!E58+'Fórmula'!G58+'Fórmula'!I58+'Fórmula'!K58))*(INDEX(properties!A$1:CB$87,'Fórmula'!H58,46))+(('Fórmula'!K58)/('Fórmula'!C58+'Fórmula'!E58+'Fórmula'!G58+'Fórmula'!I58+'Fórmula'!K58))*(INDEX(properties!A$1:CB$87,'Fórmula'!J58,46))</f>
        <v>1.15</v>
      </c>
      <c r="EQ58" s="113">
        <f t="array" ref="EQ58">'Fórmula'!C58*(INDEX(properties!A$1:CB$87,'Fórmula'!B58,46))+'Fórmula'!E58*(INDEX(properties!A$1:CB$87,'Fórmula'!D58,46))+'Fórmula'!G58*(INDEX(properties!A$1:CB$87,'Fórmula'!F58,46))+'Fórmula'!I58*(INDEX(properties!A$1:CB$87,'Fórmula'!H58,46))+'Fórmula'!K58*(INDEX(properties!A$1:CB$87,'Fórmula'!J58,46))</f>
        <v>8.05</v>
      </c>
      <c r="ER58" s="113">
        <f t="array" ref="ER58">VARP(IF(INDEX(properties!A$1:CB$87,'Fórmula'!B58,46)&lt;&gt;"",INDEX(properties!A$1:CB$87,'Fórmula'!B58,46)),IF(INDEX(properties!A$1:CB$87,'Fórmula'!D58,46)&lt;&gt;"",INDEX(properties!A$1:CB$87,'Fórmula'!D58,46)),IF(INDEX(properties!A$1:CB$87,'Fórmula'!F58,46)&lt;&gt;"",INDEX(properties!A$1:CB$87,'Fórmula'!F58,46)),IF(INDEX(properties!A$1:CB$87,'Fórmula'!H58,46)&lt;&gt;"",INDEX(properties!A$1:CB$87,'Fórmula'!H58,46)),IF(INDEX(properties!A$1:CB$87,'Fórmula'!J58,46)&lt;&gt;"",INDEX(properties!A$1:CB$87,'Fórmula'!J58,46)))</f>
        <v>0.285944</v>
      </c>
      <c r="ES58" s="124">
        <f t="array" ref="ES58">MAX(INDEX(properties!A$1:CB$87,'Fórmula'!B58,46),INDEX(properties!A$1:CB$87,'Fórmula'!D58,46),INDEX(properties!A$1:CB$87,'Fórmula'!F58,46),INDEX(properties!A$1:CB$87,'Fórmula'!H58,46),INDEX(properties!A$1:CB$87,'Fórmula'!J58,46))</f>
        <v>1.36</v>
      </c>
      <c r="ET58" s="124">
        <f t="array" ref="ET58">MIN(IF(INDEX(properties!A$1:CB$87,'Fórmula'!B58,46)=0,10^6,INDEX(properties!A$1:CB$87,'Fórmula'!B58,46)),IF(INDEX(properties!A$1:CB$87,'Fórmula'!D58,46)=0,10^6,INDEX(properties!A$1:CB$87,'Fórmula'!D58,46)),IF(INDEX(properties!A$1:CB$87,'Fórmula'!F58,46)=0,10^6,INDEX(properties!A$1:CB$87,'Fórmula'!F58,46)),IF(INDEX(properties!A$1:CB$87,'Fórmula'!H58,46)=0,10^6,INDEX(properties!A$1:CB$87,'Fórmula'!H58,46)),IF(INDEX(properties!A$1:CB$87,'Fórmula'!J58,46)=0,10^6,INDEX(properties!A$1:CB$87,'Fórmula'!J58,46)))</f>
        <v>0.53</v>
      </c>
      <c r="EU58" s="113">
        <f t="shared" si="25"/>
        <v>0.83</v>
      </c>
      <c r="EV58" s="114">
        <f t="array" ref="EV58">(('Fórmula'!C58)/('Fórmula'!C58+'Fórmula'!E58+'Fórmula'!G58+'Fórmula'!I58+'Fórmula'!K58))*(INDEX(properties!A$1:CB$87,'Fórmula'!B58,52))+(('Fórmula'!E58)/('Fórmula'!C58+'Fórmula'!E58+'Fórmula'!G58+'Fórmula'!I58+'Fórmula'!K58))*(INDEX(properties!A$1:CB$87,'Fórmula'!D58,52))+(('Fórmula'!G58)/('Fórmula'!C58+'Fórmula'!E58+'Fórmula'!G58+'Fórmula'!I58+'Fórmula'!K58))*(INDEX(properties!A$1:CB$87,'Fórmula'!F58,52))+(('Fórmula'!I58)/('Fórmula'!C58+'Fórmula'!E58+'Fórmula'!G58+'Fórmula'!I58+'Fórmula'!K58))*(INDEX(properties!A$1:CB$87,'Fórmula'!H58,52))+(('Fórmula'!K58)/('Fórmula'!C58+'Fórmula'!E58+'Fórmula'!G58+'Fórmula'!I58+'Fórmula'!K58))*(INDEX(properties!A$1:CB$87,'Fórmula'!J58,52))</f>
        <v>10.02457143</v>
      </c>
      <c r="EW58" s="114">
        <f t="array" ref="EW58">'Fórmula'!C58*(INDEX(properties!A$1:CB$87,'Fórmula'!B58,52))+'Fórmula'!E58*(INDEX(properties!A$1:CB$87,'Fórmula'!D58,52))+'Fórmula'!G58*(INDEX(properties!A$1:CB$87,'Fórmula'!F58,52))+'Fórmula'!I58*(INDEX(properties!A$1:CB$87,'Fórmula'!H58,52))+'Fórmula'!K58*(INDEX(properties!A$1:CB$87,'Fórmula'!J58,52))</f>
        <v>70.172</v>
      </c>
      <c r="EX58" s="114">
        <f t="array" ref="EX58">VARP(IF(INDEX(properties!A$1:CB$87,'Fórmula'!B58,52)&lt;&gt;"",INDEX(properties!A$1:CB$87,'Fórmula'!B58,52)),IF(INDEX(properties!A$1:CB$87,'Fórmula'!D58,52)&lt;&gt;"",INDEX(properties!A$1:CB$87,'Fórmula'!D58,52)),IF(INDEX(properties!A$1:CB$87,'Fórmula'!F58,52)&lt;&gt;"",INDEX(properties!A$1:CB$87,'Fórmula'!F58,52)),IF(INDEX(properties!A$1:CB$87,'Fórmula'!H58,52)&lt;&gt;"",INDEX(properties!A$1:CB$87,'Fórmula'!H58,52)),IF(INDEX(properties!A$1:CB$87,'Fórmula'!J58,52)&lt;&gt;"",INDEX(properties!A$1:CB$87,'Fórmula'!J58,52)))</f>
        <v>175.8621358</v>
      </c>
      <c r="EY58" s="114">
        <f t="array" ref="EY58">MAX(INDEX(properties!A$1:CB$87,'Fórmula'!B58,52),INDEX(properties!A$1:CB$87,'Fórmula'!D58,52),INDEX(properties!A$1:CB$87,'Fórmula'!F58,52),INDEX(properties!A$1:CB$87,'Fórmula'!H58,52),INDEX(properties!A$1:CB$87,'Fórmula'!J58,52))</f>
        <v>31.1</v>
      </c>
      <c r="EZ58" s="114">
        <f t="array" ref="EZ58">MIN(IF(INDEX(properties!A$1:CB$87,'Fórmula'!B58,52)=0,10^6,INDEX(properties!A$1:CB$87,'Fórmula'!B58,52)),IF(INDEX(properties!A$1:CB$87,'Fórmula'!D58,52)=0,10^6,INDEX(properties!A$1:CB$87,'Fórmula'!D58,52)),IF(INDEX(properties!A$1:CB$87,'Fórmula'!F58,52)=0,10^6,INDEX(properties!A$1:CB$87,'Fórmula'!F58,52)),IF(INDEX(properties!A$1:CB$87,'Fórmula'!H58,52)=0,10^6,INDEX(properties!A$1:CB$87,'Fórmula'!H58,52)),IF(INDEX(properties!A$1:CB$87,'Fórmula'!J58,52)=0,10^6,INDEX(properties!A$1:CB$87,'Fórmula'!J58,52)))</f>
        <v>0.793</v>
      </c>
      <c r="FA58" s="114">
        <f t="shared" si="26"/>
        <v>30.307</v>
      </c>
      <c r="FB58" s="115">
        <f t="array" ref="FB58">(('Fórmula'!C58)/('Fórmula'!C58+'Fórmula'!E58+'Fórmula'!G58+'Fórmula'!I58+'Fórmula'!K58))*(INDEX(properties!A$1:CB$87,'Fórmula'!B58,53))+(('Fórmula'!E58)/('Fórmula'!C58+'Fórmula'!E58+'Fórmula'!G58+'Fórmula'!I58+'Fórmula'!K58))*(INDEX(properties!A$1:CB$87,'Fórmula'!D58,53))+(('Fórmula'!G58)/('Fórmula'!C58+'Fórmula'!E58+'Fórmula'!G58+'Fórmula'!I58+'Fórmula'!K58))*(INDEX(properties!A$1:CB$87,'Fórmula'!F58,53))+(('Fórmula'!I58)/('Fórmula'!C58+'Fórmula'!E58+'Fórmula'!G58+'Fórmula'!I58+'Fórmula'!K58))*(INDEX(properties!A$1:CB$87,'Fórmula'!H58,53))+(('Fórmula'!K58)/('Fórmula'!C58+'Fórmula'!E58+'Fórmula'!G58+'Fórmula'!I58+'Fórmula'!K58))*(INDEX(properties!A$1:CB$87,'Fórmula'!J58,53))</f>
        <v>483.9214286</v>
      </c>
      <c r="FC58" s="115">
        <f t="array" ref="FC58">'Fórmula'!C58*(INDEX(properties!A$1:CB$87,'Fórmula'!B58,53))+'Fórmula'!E58*(INDEX(properties!A$1:CB$87,'Fórmula'!D58,53))+'Fórmula'!G58*(INDEX(properties!A$1:CB$87,'Fórmula'!F58,53))+'Fórmula'!I58*(INDEX(properties!A$1:CB$87,'Fórmula'!H58,53))+'Fórmula'!K58*(INDEX(properties!A$1:CB$87,'Fórmula'!J58,53))</f>
        <v>3387.45</v>
      </c>
      <c r="FD58" s="115">
        <f t="array" ref="FD58">VARP(IF(INDEX(properties!A$1:CB$87,'Fórmula'!B58,53)&lt;&gt;"",INDEX(properties!A$1:CB$87,'Fórmula'!B58,53)),IF(INDEX(properties!A$1:CB$87,'Fórmula'!D58,53)&lt;&gt;"",INDEX(properties!A$1:CB$87,'Fórmula'!D58,53)),IF(INDEX(properties!A$1:CB$87,'Fórmula'!F58,53)&lt;&gt;"",INDEX(properties!A$1:CB$87,'Fórmula'!F58,53)),IF(INDEX(properties!A$1:CB$87,'Fórmula'!H58,53)&lt;&gt;"",INDEX(properties!A$1:CB$87,'Fórmula'!H58,53)),IF(INDEX(properties!A$1:CB$87,'Fórmula'!J58,53)&lt;&gt;"",INDEX(properties!A$1:CB$87,'Fórmula'!J58,53)))</f>
        <v>261129.2764</v>
      </c>
      <c r="FE58" s="115">
        <f t="array" ref="FE58">MAX(INDEX(properties!A$1:CB$87,'Fórmula'!B58,53),INDEX(properties!A$1:CB$87,'Fórmula'!D58,53),INDEX(properties!A$1:CB$87,'Fórmula'!F58,53),INDEX(properties!A$1:CB$87,'Fórmula'!H58,53),INDEX(properties!A$1:CB$87,'Fórmula'!J58,53))</f>
        <v>1193.15</v>
      </c>
      <c r="FF58" s="115">
        <f t="array" ref="FF58">MIN(IF(INDEX(properties!A$1:CB$87,'Fórmula'!B58,53)=0,10^6,INDEX(properties!A$1:CB$87,'Fórmula'!B58,53)),IF(INDEX(properties!A$1:CB$87,'Fórmula'!D58,53)=0,10^6,INDEX(properties!A$1:CB$87,'Fórmula'!D58,53)),IF(INDEX(properties!A$1:CB$87,'Fórmula'!F58,53)=0,10^6,INDEX(properties!A$1:CB$87,'Fórmula'!F58,53)),IF(INDEX(properties!A$1:CB$87,'Fórmula'!H58,53)=0,10^6,INDEX(properties!A$1:CB$87,'Fórmula'!H58,53)),IF(INDEX(properties!A$1:CB$87,'Fórmula'!J58,53)=0,10^6,INDEX(properties!A$1:CB$87,'Fórmula'!J58,53)))</f>
        <v>54.75</v>
      </c>
      <c r="FG58" s="115">
        <f t="shared" si="27"/>
        <v>1138.4</v>
      </c>
      <c r="FH58" s="117">
        <f t="array" ref="FH58">(('Fórmula'!C58)/('Fórmula'!C58+'Fórmula'!E58+'Fórmula'!G58+'Fórmula'!I58+'Fórmula'!K58))*(INDEX(properties!A$1:CB$87,'Fórmula'!B58,54))+(('Fórmula'!E58)/('Fórmula'!C58+'Fórmula'!E58+'Fórmula'!G58+'Fórmula'!I58+'Fórmula'!K58))*(INDEX(properties!A$1:CB$87,'Fórmula'!D58,54))+(('Fórmula'!G58)/('Fórmula'!C58+'Fórmula'!E58+'Fórmula'!G58+'Fórmula'!I58+'Fórmula'!K58))*(INDEX(properties!A$1:CB$87,'Fórmula'!F58,54))+(('Fórmula'!I58)/('Fórmula'!C58+'Fórmula'!E58+'Fórmula'!G58+'Fórmula'!I58+'Fórmula'!K58))*(INDEX(properties!A$1:CB$87,'Fórmula'!H58,54))+(('Fórmula'!K58)/('Fórmula'!C58+'Fórmula'!E58+'Fórmula'!G58+'Fórmula'!I58+'Fórmula'!K58))*(INDEX(properties!A$1:CB$87,'Fórmula'!J58,54))</f>
        <v>1212.15</v>
      </c>
      <c r="FI58" s="117">
        <f t="array" ref="FI58">'Fórmula'!C58*(INDEX(properties!A$1:CB$87,'Fórmula'!B58,54))+'Fórmula'!E58*(INDEX(properties!A$1:CB$87,'Fórmula'!D58,54))+'Fórmula'!G58*(INDEX(properties!A$1:CB$87,'Fórmula'!F58,54))+'Fórmula'!I58*(INDEX(properties!A$1:CB$87,'Fórmula'!H58,54))+'Fórmula'!K58*(INDEX(properties!A$1:CB$87,'Fórmula'!J58,54))</f>
        <v>8485.05</v>
      </c>
      <c r="FJ58" s="117">
        <f t="array" ref="FJ58">VARP(IF(INDEX(properties!A$1:CB$87,'Fórmula'!B58,54)&lt;&gt;"",INDEX(properties!A$1:CB$87,'Fórmula'!B58,54)),IF(INDEX(properties!A$1:CB$87,'Fórmula'!D58,54)&lt;&gt;"",INDEX(properties!A$1:CB$87,'Fórmula'!D58,54)),IF(INDEX(properties!A$1:CB$87,'Fórmula'!F58,54)&lt;&gt;"",INDEX(properties!A$1:CB$87,'Fórmula'!F58,54)),IF(INDEX(properties!A$1:CB$87,'Fórmula'!H58,54)&lt;&gt;"",INDEX(properties!A$1:CB$87,'Fórmula'!H58,54)),IF(INDEX(properties!A$1:CB$87,'Fórmula'!J58,54)&lt;&gt;"",INDEX(properties!A$1:CB$87,'Fórmula'!J58,54)))</f>
        <v>2131682.332</v>
      </c>
      <c r="FK58" s="117">
        <f t="array" ref="FK58">MAX(INDEX(properties!A$1:CB$87,'Fórmula'!B58,54),INDEX(properties!A$1:CB$87,'Fórmula'!D58,54),INDEX(properties!A$1:CB$87,'Fórmula'!F58,54),INDEX(properties!A$1:CB$87,'Fórmula'!H58,54),INDEX(properties!A$1:CB$87,'Fórmula'!J58,54))</f>
        <v>3727.15</v>
      </c>
      <c r="FL58" s="117">
        <f t="array" ref="FL58">MIN(IF(INDEX(properties!A$1:CB$87,'Fórmula'!B58,54)=0,10^6,INDEX(properties!A$1:CB$87,'Fórmula'!B58,54)),IF(INDEX(properties!A$1:CB$87,'Fórmula'!D58,54)=0,10^6,INDEX(properties!A$1:CB$87,'Fórmula'!D58,54)),IF(INDEX(properties!A$1:CB$87,'Fórmula'!F58,54)=0,10^6,INDEX(properties!A$1:CB$87,'Fórmula'!F58,54)),IF(INDEX(properties!A$1:CB$87,'Fórmula'!H58,54)=0,10^6,INDEX(properties!A$1:CB$87,'Fórmula'!H58,54)),IF(INDEX(properties!A$1:CB$87,'Fórmula'!J58,54)=0,10^6,INDEX(properties!A$1:CB$87,'Fórmula'!J58,54)))</f>
        <v>90.15</v>
      </c>
      <c r="FM58" s="117">
        <f t="shared" si="28"/>
        <v>3637</v>
      </c>
      <c r="FN58" s="118">
        <f t="array" ref="FN58">(('Fórmula'!C58)/('Fórmula'!C58+'Fórmula'!E58+'Fórmula'!G58+'Fórmula'!I58+'Fórmula'!K58))*(INDEX(properties!A$1:CB$87,'Fórmula'!B58,55))+(('Fórmula'!E58)/('Fórmula'!C58+'Fórmula'!E58+'Fórmula'!G58+'Fórmula'!I58+'Fórmula'!K58))*(INDEX(properties!A$1:CB$87,'Fórmula'!D58,55))+(('Fórmula'!G58)/('Fórmula'!C58+'Fórmula'!E58+'Fórmula'!G58+'Fórmula'!I58+'Fórmula'!K58))*(INDEX(properties!A$1:CB$87,'Fórmula'!F58,55))+(('Fórmula'!I58)/('Fórmula'!C58+'Fórmula'!E58+'Fórmula'!G58+'Fórmula'!I58+'Fórmula'!K58))*(INDEX(properties!A$1:CB$87,'Fórmula'!H58,55))+(('Fórmula'!K58)/('Fórmula'!C58+'Fórmula'!E58+'Fórmula'!G58+'Fórmula'!I58+'Fórmula'!K58))*(INDEX(properties!A$1:CB$87,'Fórmula'!J58,55))</f>
        <v>1.640817143</v>
      </c>
      <c r="FO58" s="118">
        <f t="array" ref="FO58">'Fórmula'!C58*(INDEX(properties!A$1:CB$87,'Fórmula'!B58,55))+'Fórmula'!E58*(INDEX(properties!A$1:CB$87,'Fórmula'!D58,54))+'Fórmula'!G58*(INDEX(properties!A$1:CB$87,'Fórmula'!F58,55))+'Fórmula'!I58*(INDEX(properties!A$1:CB$87,'Fórmula'!H58,55))+'Fórmula'!K58*(INDEX(properties!A$1:CB$87,'Fórmula'!J58,55))</f>
        <v>3732.48572</v>
      </c>
      <c r="FP58" s="118">
        <f t="array" ref="FP58">VARP(IF(INDEX(properties!A$1:CB$87,'Fórmula'!B58,55)&lt;&gt;"",INDEX(properties!A$1:CB$87,'Fórmula'!B58,55)),IF(INDEX(properties!A$1:CB$87,'Fórmula'!D58,55)&lt;&gt;"",INDEX(properties!A$1:CB$87,'Fórmula'!D58,55)),IF(INDEX(properties!A$1:CB$87,'Fórmula'!F58,55)&lt;&gt;"",INDEX(properties!A$1:CB$87,'Fórmula'!F58,55)),IF(INDEX(properties!A$1:CB$87,'Fórmula'!H58,55)&lt;&gt;"",INDEX(properties!A$1:CB$87,'Fórmula'!H58,55)),IF(INDEX(properties!A$1:CB$87,'Fórmula'!J58,55)&lt;&gt;"",INDEX(properties!A$1:CB$87,'Fórmula'!J58,55)))</f>
        <v>5.132951015</v>
      </c>
      <c r="FQ58" s="118">
        <f t="array" ref="FQ58">MAX(INDEX(properties!A$1:CB$87,'Fórmula'!B58,55),INDEX(properties!A$1:CB$87,'Fórmula'!D58,55),INDEX(properties!A$1:CB$87,'Fórmula'!F58,55),INDEX(properties!A$1:CB$87,'Fórmula'!H58,55),INDEX(properties!A$1:CB$87,'Fórmula'!J58,55))</f>
        <v>6.15</v>
      </c>
      <c r="FR58" s="118">
        <f t="array" ref="FR58">MIN(IF(INDEX(properties!A$1:CB$87,'Fórmula'!B58,55)=0,10^6,INDEX(properties!A$1:CB$87,'Fórmula'!B58,55)),IF(INDEX(properties!A$1:CB$87,'Fórmula'!D58,55)=0,10^6,INDEX(properties!A$1:CB$87,'Fórmula'!D58,55)),IF(INDEX(properties!A$1:CB$87,'Fórmula'!F58,55)=0,10^6,INDEX(properties!A$1:CB$87,'Fórmula'!F58,55)),IF(INDEX(properties!A$1:CB$87,'Fórmula'!H58,55)=0,10^6,INDEX(properties!A$1:CB$87,'Fórmula'!H58,55)),IF(INDEX(properties!A$1:CB$87,'Fórmula'!J58,55)=0,10^6,INDEX(properties!A$1:CB$87,'Fórmula'!J58,55)))</f>
        <v>0.00143</v>
      </c>
      <c r="FS58" s="118">
        <f t="shared" si="29"/>
        <v>6.14857</v>
      </c>
      <c r="FT58" s="119">
        <f t="array" ref="FT58">(('Fórmula'!C58)/('Fórmula'!C58+'Fórmula'!E58+'Fórmula'!G58+'Fórmula'!I58+'Fórmula'!K58))*(INDEX(properties!A$1:CB$87,'Fórmula'!B58,56))+(('Fórmula'!E58)/('Fórmula'!C58+'Fórmula'!E58+'Fórmula'!G58+'Fórmula'!I58+'Fórmula'!K58))*(INDEX(properties!A$1:CB$87,'Fórmula'!D58,56))+(('Fórmula'!G58)/('Fórmula'!C58+'Fórmula'!E58+'Fórmula'!G58+'Fórmula'!I58+'Fórmula'!K58))*(INDEX(properties!A$1:CB$87,'Fórmula'!F58,56))+(('Fórmula'!I58)/('Fórmula'!C58+'Fórmula'!E58+'Fórmula'!G58+'Fórmula'!I58+'Fórmula'!K58))*(INDEX(properties!A$1:CB$87,'Fórmula'!H58,56))+(('Fórmula'!K58)/('Fórmula'!C58+'Fórmula'!E58+'Fórmula'!G58+'Fórmula'!I58+'Fórmula'!K58))*(INDEX(properties!A$1:CB$87,'Fórmula'!J58,56))</f>
        <v>0.7242857143</v>
      </c>
      <c r="FU58" s="119">
        <f t="array" ref="FU58">'Fórmula'!C58*(INDEX(properties!A$1:CB$87,'Fórmula'!B58,56))+'Fórmula'!E58*(INDEX(properties!A$1:CB$87,'Fórmula'!D58,56))+'Fórmula'!G58*(INDEX(properties!A$1:CB$87,'Fórmula'!F58,56))+'Fórmula'!I58*(INDEX(properties!A$1:CB$87,'Fórmula'!H58,56))+'Fórmula'!K58*(INDEX(properties!A$1:CB$87,'Fórmula'!J58,56))</f>
        <v>5.07</v>
      </c>
      <c r="FV58" s="119">
        <f t="array" ref="FV58">VARP(IF(INDEX(properties!A$1:CB$87,'Fórmula'!B58,56)&lt;&gt;"",INDEX(properties!A$1:CB$87,'Fórmula'!B58,56)),IF(INDEX(properties!A$1:CB$87,'Fórmula'!D58,56)&lt;&gt;"",INDEX(properties!A$1:CB$87,'Fórmula'!D58,56)),IF(INDEX(properties!A$1:CB$87,'Fórmula'!F58,56)&lt;&gt;"",INDEX(properties!A$1:CB$87,'Fórmula'!F58,56)),IF(INDEX(properties!A$1:CB$87,'Fórmula'!H58,56)&lt;&gt;"",INDEX(properties!A$1:CB$87,'Fórmula'!H58,56)),IF(INDEX(properties!A$1:CB$87,'Fórmula'!J58,56)&lt;&gt;"",INDEX(properties!A$1:CB$87,'Fórmula'!J58,56)))</f>
        <v>0.143056</v>
      </c>
      <c r="FW58" s="119">
        <f t="array" ref="FW58">MAX(INDEX(properties!A$1:CB$87,'Fórmula'!B58,56),INDEX(properties!A$1:CB$87,'Fórmula'!D58,56),INDEX(properties!A$1:CB$87,'Fórmula'!F58,56),INDEX(properties!A$1:CB$87,'Fórmula'!H58,56),INDEX(properties!A$1:CB$87,'Fórmula'!J58,56))</f>
        <v>0.92</v>
      </c>
      <c r="FX58" s="119">
        <f t="array" ref="FX58">MIN(IF(INDEX(properties!A$1:CB$87,'Fórmula'!B58,56)=0,10^6,INDEX(properties!A$1:CB$87,'Fórmula'!B58,56)),IF(INDEX(properties!A$1:CB$87,'Fórmula'!D58,56)=0,10^6,INDEX(properties!A$1:CB$87,'Fórmula'!D58,56)),IF(INDEX(properties!A$1:CB$87,'Fórmula'!F58,56)=0,10^6,INDEX(properties!A$1:CB$87,'Fórmula'!F58,56)),IF(INDEX(properties!A$1:CB$87,'Fórmula'!H58,56)=0,10^6,INDEX(properties!A$1:CB$87,'Fórmula'!H58,56)),IF(INDEX(properties!A$1:CB$87,'Fórmula'!J58,56)=0,10^6,INDEX(properties!A$1:CB$87,'Fórmula'!J58,56)))</f>
        <v>0.19</v>
      </c>
      <c r="FY58" s="119">
        <f t="shared" si="30"/>
        <v>0.73</v>
      </c>
      <c r="FZ58" s="104">
        <f t="array" ref="FZ58">(('Fórmula'!C58)/('Fórmula'!C58+'Fórmula'!E58+'Fórmula'!G58+'Fórmula'!I58+'Fórmula'!K58))*(INDEX(properties!A$1:CB$87,'Fórmula'!B58,57))+(('Fórmula'!E58)/('Fórmula'!C58+'Fórmula'!E58+'Fórmula'!G58+'Fórmula'!I58+'Fórmula'!K58))*(INDEX(properties!A$1:CB$87,'Fórmula'!D58,57))+(('Fórmula'!G58)/('Fórmula'!C58+'Fórmula'!E58+'Fórmula'!G58+'Fórmula'!I58+'Fórmula'!K58))*(INDEX(properties!A$1:CB$87,'Fórmula'!F58,57))+(('Fórmula'!I58)/('Fórmula'!C58+'Fórmula'!E58+'Fórmula'!G58+'Fórmula'!I58+'Fórmula'!K58))*(INDEX(properties!A$1:CB$87,'Fórmula'!H58,57))+(('Fórmula'!K58)/('Fórmula'!C58+'Fórmula'!E58+'Fórmula'!G58+'Fórmula'!I58+'Fórmula'!K58))*(INDEX(properties!A$1:CB$87,'Fórmula'!J58,57))</f>
        <v>3.740051429</v>
      </c>
      <c r="GA58" s="104">
        <f t="array" ref="GA58">'Fórmula'!C58*(INDEX(properties!A$1:CB$87,'Fórmula'!B58,57))+'Fórmula'!E58*(INDEX(properties!A$1:CB$87,'Fórmula'!D58,57))+'Fórmula'!G58*(INDEX(properties!A$1:CB$87,'Fórmula'!F58,57))+'Fórmula'!I58*(INDEX(properties!A$1:CB$87,'Fórmula'!H58,57))+'Fórmula'!K58*(INDEX(properties!A$1:CB$87,'Fórmula'!J58,57))</f>
        <v>26.18036</v>
      </c>
      <c r="GB58" s="104">
        <f t="array" ref="GB58">VARP(IF(INDEX(properties!A$1:CB$87,'Fórmula'!B58,57)&lt;&gt;"",INDEX(properties!A$1:CB$87,'Fórmula'!B58,57)),IF(INDEX(properties!A$1:CB$87,'Fórmula'!D58,57)&lt;&gt;"",INDEX(properties!A$1:CB$87,'Fórmula'!D58,57)),IF(INDEX(properties!A$1:CB$87,'Fórmula'!F58,57)&lt;&gt;"",INDEX(properties!A$1:CB$87,'Fórmula'!F58,57)),IF(INDEX(properties!A$1:CB$87,'Fórmula'!H58,57)&lt;&gt;"",INDEX(properties!A$1:CB$87,'Fórmula'!H58,57)),IF(INDEX(properties!A$1:CB$87,'Fórmula'!J58,57)&lt;&gt;"",INDEX(properties!A$1:CB$87,'Fórmula'!J58,57)))</f>
        <v>18.72503932</v>
      </c>
      <c r="GC58" s="104">
        <f t="array" ref="GC58">MAX(INDEX(properties!A$1:CB$87,'Fórmula'!B58,57),INDEX(properties!A$1:CB$87,'Fórmula'!D58,57),INDEX(properties!A$1:CB$87,'Fórmula'!F58,57),INDEX(properties!A$1:CB$87,'Fórmula'!H58,57),INDEX(properties!A$1:CB$87,'Fórmula'!J58,57))</f>
        <v>10.79</v>
      </c>
      <c r="GD58" s="104">
        <f t="array" ref="GD58">MIN(IF(INDEX(properties!A$1:CB$87,'Fórmula'!B58,57)=0,10^6,INDEX(properties!A$1:CB$87,'Fórmula'!B58,57)),IF(INDEX(properties!A$1:CB$87,'Fórmula'!D58,57)=0,10^6,INDEX(properties!A$1:CB$87,'Fórmula'!D58,57)),IF(INDEX(properties!A$1:CB$87,'Fórmula'!F58,57)=0,10^6,INDEX(properties!A$1:CB$87,'Fórmula'!F58,57)),IF(INDEX(properties!A$1:CB$87,'Fórmula'!H58,57)=0,10^6,INDEX(properties!A$1:CB$87,'Fórmula'!H58,57)),IF(INDEX(properties!A$1:CB$87,'Fórmula'!J58,57)=0,10^6,INDEX(properties!A$1:CB$87,'Fórmula'!J58,57)))</f>
        <v>0.22259</v>
      </c>
      <c r="GE58" s="104">
        <f t="shared" si="31"/>
        <v>10.56741</v>
      </c>
      <c r="GF58" s="105">
        <f t="array" ref="GF58">(('Fórmula'!C58)/('Fórmula'!C58+'Fórmula'!E58+'Fórmula'!G58+'Fórmula'!I58+'Fórmula'!K58))*(INDEX(properties!A$1:CB$87,'Fórmula'!B58,60))+(('Fórmula'!E58)/('Fórmula'!C58+'Fórmula'!E58+'Fórmula'!G58+'Fórmula'!I58+'Fórmula'!K58))*(INDEX(properties!A$1:CB$87,'Fórmula'!D58,60))+(('Fórmula'!G58)/('Fórmula'!C58+'Fórmula'!E58+'Fórmula'!G58+'Fórmula'!I58+'Fórmula'!K58))*(INDEX(properties!A$1:CB$87,'Fórmula'!F58,60))+(('Fórmula'!I58)/('Fórmula'!C58+'Fórmula'!E58+'Fórmula'!G58+'Fórmula'!I58+'Fórmula'!K58))*(INDEX(properties!A$1:CB$87,'Fórmula'!H58,60))+(('Fórmula'!K58)/('Fórmula'!C58+'Fórmula'!E58+'Fórmula'!G58+'Fórmula'!I58+'Fórmula'!K58))*(INDEX(properties!A$1:CB$87,'Fórmula'!J58,60))</f>
        <v>40.84385143</v>
      </c>
      <c r="GG58" s="105">
        <f t="array" ref="GG58">'Fórmula'!C58*(INDEX(properties!A$1:CB$87,'Fórmula'!B58,60))+'Fórmula'!E58*(INDEX(properties!A$1:CB$87,'Fórmula'!D58,60))+'Fórmula'!G58*(INDEX(properties!A$1:CB$87,'Fórmula'!F58,60))+'Fórmula'!I58*(INDEX(properties!A$1:CB$87,'Fórmula'!H58,60))+'Fórmula'!K58*(INDEX(properties!A$1:CB$87,'Fórmula'!J58,60))</f>
        <v>285.90696</v>
      </c>
      <c r="GH58" s="105">
        <f t="array" ref="GH58">VARP(IF(INDEX(properties!A$1:CB$87,'Fórmula'!B58,60)&lt;&gt;"",INDEX(properties!A$1:CB$87,'Fórmula'!B58,60)),IF(INDEX(properties!A$1:CB$87,'Fórmula'!D58,60)&lt;&gt;"",INDEX(properties!A$1:CB$87,'Fórmula'!D58,60)),IF(INDEX(properties!A$1:CB$87,'Fórmula'!F58,60)&lt;&gt;"",INDEX(properties!A$1:CB$87,'Fórmula'!F58,60)),IF(INDEX(properties!A$1:CB$87,'Fórmula'!H58,60)&lt;&gt;"",INDEX(properties!A$1:CB$87,'Fórmula'!H58,60)),IF(INDEX(properties!A$1:CB$87,'Fórmula'!J58,60)&lt;&gt;"",INDEX(properties!A$1:CB$87,'Fórmula'!J58,60)))</f>
        <v>8251.591131</v>
      </c>
      <c r="GI58" s="105">
        <f t="array" ref="GI58">MAX(INDEX(properties!A$1:CB$87,'Fórmula'!B58,60),INDEX(properties!A$1:CB$87,'Fórmula'!D58,60),INDEX(properties!A$1:CB$87,'Fórmula'!F58,60),INDEX(properties!A$1:CB$87,'Fórmula'!H58,60),INDEX(properties!A$1:CB$87,'Fórmula'!J58,60))</f>
        <v>237</v>
      </c>
      <c r="GJ58" s="105">
        <f t="array" ref="GJ58">MIN(IF(INDEX(properties!A$1:CB$87,'Fórmula'!B58,60)=0,10^6,INDEX(properties!A$1:CB$87,'Fórmula'!B58,60)),IF(INDEX(properties!A$1:CB$87,'Fórmula'!D58,60)=0,10^6,INDEX(properties!A$1:CB$87,'Fórmula'!D58,60)),IF(INDEX(properties!A$1:CB$87,'Fórmula'!F58,60)=0,10^6,INDEX(properties!A$1:CB$87,'Fórmula'!F58,60)),IF(INDEX(properties!A$1:CB$87,'Fórmula'!H58,60)=0,10^6,INDEX(properties!A$1:CB$87,'Fórmula'!H58,60)),IF(INDEX(properties!A$1:CB$87,'Fórmula'!J58,60)=0,10^6,INDEX(properties!A$1:CB$87,'Fórmula'!J58,60)))</f>
        <v>0.02674</v>
      </c>
      <c r="GK58" s="105">
        <f t="shared" si="32"/>
        <v>236.97326</v>
      </c>
      <c r="GL58" s="106">
        <f t="array" ref="GL58">(('Fórmula'!C58)/('Fórmula'!C58+'Fórmula'!E58+'Fórmula'!G58+'Fórmula'!I58+'Fórmula'!K58))*(INDEX(properties!A$1:CB$87,'Fórmula'!B58,62))+(('Fórmula'!E58)/('Fórmula'!C58+'Fórmula'!E58+'Fórmula'!G58+'Fórmula'!I58+'Fórmula'!K58))*(INDEX(properties!A$1:CB$87,'Fórmula'!D58,62))+(('Fórmula'!G58)/('Fórmula'!C58+'Fórmula'!E58+'Fórmula'!G58+'Fórmula'!I58+'Fórmula'!K58))*(INDEX(properties!A$1:CB$87,'Fórmula'!F58,62))+(('Fórmula'!I58)/('Fórmula'!C58+'Fórmula'!E58+'Fórmula'!G58+'Fórmula'!I58+'Fórmula'!K58))*(INDEX(properties!A$1:CB$87,'Fórmula'!H58,62))+(('Fórmula'!K58)/('Fórmula'!C58+'Fórmula'!E58+'Fórmula'!G58+'Fórmula'!I58+'Fórmula'!K58))*(INDEX(properties!A$1:CB$87,'Fórmula'!J58,62))</f>
        <v>2.865714286</v>
      </c>
      <c r="GM58" s="106">
        <f t="array" ref="GM58">'Fórmula'!C58*(INDEX(properties!A$1:CB$87,'Fórmula'!B58,62))+'Fórmula'!E58*(INDEX(properties!A$1:CB$87,'Fórmula'!D58,62))+'Fórmula'!G58*(INDEX(properties!A$1:CB$87,'Fórmula'!F58,62))+'Fórmula'!I58*(INDEX(properties!A$1:CB$87,'Fórmula'!H58,62))+'Fórmula'!K58*(INDEX(properties!A$1:CB$87,'Fórmula'!J58,62))</f>
        <v>20.06</v>
      </c>
      <c r="GN58" s="106">
        <f t="array" ref="GN58">VARP(IF(INDEX(properties!A$1:CB$87,'Fórmula'!B58,62)&lt;&gt;"",INDEX(properties!A$1:CB$87,'Fórmula'!B58,62)),IF(INDEX(properties!A$1:CB$87,'Fórmula'!D58,62)&lt;&gt;"",INDEX(properties!A$1:CB$87,'Fórmula'!D58,62)),IF(INDEX(properties!A$1:CB$87,'Fórmula'!F58,62)&lt;&gt;"",INDEX(properties!A$1:CB$87,'Fórmula'!F58,62)),IF(INDEX(properties!A$1:CB$87,'Fórmula'!H58,62)&lt;&gt;"",INDEX(properties!A$1:CB$87,'Fórmula'!H58,62)),IF(INDEX(properties!A$1:CB$87,'Fórmula'!J58,62)&lt;&gt;"",INDEX(properties!A$1:CB$87,'Fórmula'!J58,62)))</f>
        <v>2.30556</v>
      </c>
      <c r="GO58" s="106">
        <f t="array" ref="GO58">MAX(INDEX(properties!A$1:CB$87,'Fórmula'!B58,62),INDEX(properties!A$1:CB$87,'Fórmula'!D58,62),INDEX(properties!A$1:CB$87,'Fórmula'!F58,62),INDEX(properties!A$1:CB$87,'Fórmula'!H58,62),INDEX(properties!A$1:CB$87,'Fórmula'!J58,62))</f>
        <v>4.47</v>
      </c>
      <c r="GP58" s="106">
        <f t="array" ref="GP58">MIN(IF(INDEX(properties!A$1:CB$87,'Fórmula'!B58,62)=0,10^6,INDEX(properties!A$1:CB$87,'Fórmula'!B58,62)),IF(INDEX(properties!A$1:CB$87,'Fórmula'!D58,62)=0,10^6,INDEX(properties!A$1:CB$87,'Fórmula'!D58,62)),IF(INDEX(properties!A$1:CB$87,'Fórmula'!F58,62)=0,10^6,INDEX(properties!A$1:CB$87,'Fórmula'!F58,62)),IF(INDEX(properties!A$1:CB$87,'Fórmula'!H58,62)=0,10^6,INDEX(properties!A$1:CB$87,'Fórmula'!H58,62)),IF(INDEX(properties!A$1:CB$87,'Fórmula'!J58,62)=0,10^6,INDEX(properties!A$1:CB$87,'Fórmula'!J58,62)))</f>
        <v>1.72</v>
      </c>
      <c r="GQ58" s="106">
        <f t="shared" si="33"/>
        <v>2.75</v>
      </c>
      <c r="GR58" s="106">
        <f>'Fórmula'!Q58</f>
        <v>139</v>
      </c>
      <c r="GS58" s="107">
        <f>'Fórmula'!P58</f>
        <v>2</v>
      </c>
      <c r="GT58" s="113">
        <f>'Fórmula'!O58</f>
        <v>5.92</v>
      </c>
      <c r="GU58" s="114">
        <f>AVERAGE('Fórmula'!R58/'Fórmula'!S58,'Fórmula'!S58/'Fórmula'!T58,'Fórmula'!T58/'Fórmula'!R58)</f>
        <v>1.554023953</v>
      </c>
      <c r="GV58" s="125">
        <f>'Fórmula'!U58</f>
        <v>178.26</v>
      </c>
      <c r="GW58" s="106">
        <f>'Fórmula'!N58</f>
        <v>0.05</v>
      </c>
    </row>
    <row r="59" ht="14.25" customHeight="1">
      <c r="A59" s="99" t="str">
        <f>'Fórmula'!A59</f>
        <v>SrB2O4</v>
      </c>
      <c r="B59" s="101">
        <f t="array" ref="B59">(('Fórmula'!C59)/('Fórmula'!C59+'Fórmula'!E59+'Fórmula'!G59+'Fórmula'!I59+'Fórmula'!K59))*(INDEX(properties!A$1:CB$87,'Fórmula'!B59,3))+(('Fórmula'!E59)/('Fórmula'!C59+'Fórmula'!E59+'Fórmula'!G59+'Fórmula'!I59+'Fórmula'!K59))*(INDEX(properties!A$1:CB$87,'Fórmula'!D59,3))+(('Fórmula'!G59)/('Fórmula'!C59+'Fórmula'!E59+'Fórmula'!G59+'Fórmula'!I59+'Fórmula'!K59))*(INDEX(properties!A$1:CB$87,'Fórmula'!F59,3))+(('Fórmula'!I59)/('Fórmula'!C59+'Fórmula'!E59+'Fórmula'!G59+'Fórmula'!I59+'Fórmula'!K59))*(INDEX(properties!A$1:CB$87,'Fórmula'!H59,3))+(('Fórmula'!K59)/('Fórmula'!C59+'Fórmula'!E59+'Fórmula'!G59+'Fórmula'!I59+'Fórmula'!K59))*(INDEX(properties!A$1:CB$87,'Fórmula'!J59,3))</f>
        <v>24.74851429</v>
      </c>
      <c r="C59" s="101">
        <f t="array" ref="C59">'Fórmula'!C59*(INDEX(properties!A$1:CB$87,'Fórmula'!B59,3))+'Fórmula'!E59*(INDEX(properties!A$1:CB$87,'Fórmula'!D59,3))+'Fórmula'!G59*(INDEX(properties!A$1:CB$87,'Fórmula'!F59,3))+'Fórmula'!I59*(INDEX(properties!A$1:CB$87,'Fórmula'!H59,3))+'Fórmula'!K59*(INDEX(properties!A$1:CB$87,'Fórmula'!J59,3))</f>
        <v>173.2396</v>
      </c>
      <c r="D59" s="101">
        <f t="array" ref="D59">VARP(IF(INDEX(properties!A$1:CB$87,'Fórmula'!B59,3)&lt;&gt;"",INDEX(properties!A$1:CB$87,'Fórmula'!B59,3)),IF(INDEX(properties!A$1:CB$87,'Fórmula'!D59,3)&lt;&gt;"",INDEX(properties!A$1:CB$87,'Fórmula'!D59,3)),IF(INDEX(properties!A$1:CB$87,'Fórmula'!F59,3)&lt;&gt;"",INDEX(properties!A$1:CB$87,'Fórmula'!F59,3)),IF(INDEX(properties!A$1:CB$87,'Fórmula'!H59,3)&lt;&gt;"",INDEX(properties!A$1:CB$87,'Fórmula'!H59,3)),IF(INDEX(properties!A$1:CB$87,'Fórmula'!J59,3)&lt;&gt;"",INDEX(properties!A$1:CB$87,'Fórmula'!J59,3)))</f>
        <v>1086.251927</v>
      </c>
      <c r="E59" s="101">
        <f t="array" ref="E59">MAX(INDEX(properties!A$1:CB$87,'Fórmula'!B59,3),INDEX(properties!A$1:CB$87,'Fórmula'!D59,3),INDEX(properties!A$1:CB$87,'Fórmula'!F59,3),INDEX(properties!A$1:CB$87,'Fórmula'!H59,3),INDEX(properties!A$1:CB$87,'Fórmula'!J59,3))</f>
        <v>87.62</v>
      </c>
      <c r="F59" s="101">
        <f t="array" ref="F59">MIN(IF(INDEX(properties!A$1:CB$87,'Fórmula'!B59,3)=0,10^6,INDEX(properties!A$1:CB$87,'Fórmula'!B59,3)),IF(INDEX(properties!A$1:CB$87,'Fórmula'!D59,3)=0,10^6,INDEX(properties!A$1:CB$87,'Fórmula'!D59,3)),IF(INDEX(properties!A$1:CB$87,'Fórmula'!F59,3)=0,10^6,INDEX(properties!A$1:CB$87,'Fórmula'!F59,3)),IF(INDEX(properties!A$1:CB$87,'Fórmula'!H59,3)=0,10^6,INDEX(properties!A$1:CB$87,'Fórmula'!H59,3)),IF(INDEX(properties!A$1:CB$87,'Fórmula'!J59,3)=0,10^6,INDEX(properties!A$1:CB$87,'Fórmula'!J59,3)))</f>
        <v>10.811</v>
      </c>
      <c r="G59" s="101">
        <f t="shared" si="1"/>
        <v>76.809</v>
      </c>
      <c r="H59" s="102">
        <f t="array" ref="H59">(('Fórmula'!C59)/('Fórmula'!C59+'Fórmula'!E59+'Fórmula'!G59+'Fórmula'!I59+'Fórmula'!K59))*(INDEX(properties!A$1:CB$87,'Fórmula'!B59,4))+(('Fórmula'!E59)/('Fórmula'!C59+'Fórmula'!E59+'Fórmula'!G59+'Fórmula'!I59+'Fórmula'!K59))*(INDEX(properties!A$1:CB$87,'Fórmula'!D59,4))+(('Fórmula'!G59)/('Fórmula'!C59+'Fórmula'!E59+'Fórmula'!G59+'Fórmula'!I59+'Fórmula'!K59))*(INDEX(properties!A$1:CB$87,'Fórmula'!F59,4))+(('Fórmula'!I59)/('Fórmula'!C59+'Fórmula'!E59+'Fórmula'!G59+'Fórmula'!I59+'Fórmula'!K59))*(INDEX(properties!A$1:CB$87,'Fórmula'!H59,4))+(('Fórmula'!K59)/('Fórmula'!C59+'Fórmula'!E59+'Fórmula'!G59+'Fórmula'!I59+'Fórmula'!K59))*(INDEX(properties!A$1:CB$87,'Fórmula'!J59,4))</f>
        <v>11.42857143</v>
      </c>
      <c r="I59" s="102">
        <f t="array" ref="I59">'Fórmula'!C59*(INDEX(properties!A$1:CB$87,'Fórmula'!B59,4))+'Fórmula'!E59*(INDEX(properties!A$1:CB$87,'Fórmula'!D59,4))+'Fórmula'!G59*(INDEX(properties!A$1:CB$87,'Fórmula'!F59,4))+'Fórmula'!I59*(INDEX(properties!A$1:CB$87,'Fórmula'!H59,4))+'Fórmula'!K59*(INDEX(properties!A$1:CB$87,'Fórmula'!J59,4))</f>
        <v>80</v>
      </c>
      <c r="J59" s="102">
        <f t="array" ref="J59">VARP(IF(INDEX(properties!A$1:CB$87,'Fórmula'!B59,4)&lt;&gt;"",INDEX(properties!A$1:CB$87,'Fórmula'!B59,4)),IF(INDEX(properties!A$1:CB$87,'Fórmula'!D59,4)&lt;&gt;"",INDEX(properties!A$1:CB$87,'Fórmula'!D59,4)),IF(INDEX(properties!A$1:CB$87,'Fórmula'!F59,4)&lt;&gt;"",INDEX(properties!A$1:CB$87,'Fórmula'!F59,4)),IF(INDEX(properties!A$1:CB$87,'Fórmula'!H59,4)&lt;&gt;"",INDEX(properties!A$1:CB$87,'Fórmula'!H59,4)),IF(INDEX(properties!A$1:CB$87,'Fórmula'!J59,4)&lt;&gt;"",INDEX(properties!A$1:CB$87,'Fórmula'!J59,4)))</f>
        <v>202.56</v>
      </c>
      <c r="K59" s="102">
        <f t="array" ref="K59">MAX(INDEX(properties!A$1:CB$87,'Fórmula'!B59,4),INDEX(properties!A$1:CB$87,'Fórmula'!D59,4),INDEX(properties!A$1:CB$87,'Fórmula'!F59,4),INDEX(properties!A$1:CB$87,'Fórmula'!H59,4),INDEX(properties!A$1:CB$87,'Fórmula'!J59,4))</f>
        <v>38</v>
      </c>
      <c r="L59" s="102">
        <f t="array" ref="L59">MIN(IF(INDEX(properties!A$1:CB$87,'Fórmula'!B59,4)=0,10^6,INDEX(properties!A$1:CB$87,'Fórmula'!B59,4)),IF(INDEX(properties!A$1:CB$87,'Fórmula'!D59,4)=0,10^6,INDEX(properties!A$1:CB$87,'Fórmula'!D59,4)),IF(INDEX(properties!A$1:CB$87,'Fórmula'!F59,4)=0,10^6,INDEX(properties!A$1:CB$87,'Fórmula'!F59,4)),IF(INDEX(properties!A$1:CB$87,'Fórmula'!H59,4)=0,10^6,INDEX(properties!A$1:CB$87,'Fórmula'!H59,4)),IF(INDEX(properties!A$1:CB$87,'Fórmula'!J59,4)=0,10^6,INDEX(properties!A$1:CB$87,'Fórmula'!J59,4)))</f>
        <v>5</v>
      </c>
      <c r="M59" s="102">
        <f t="shared" si="2"/>
        <v>33</v>
      </c>
      <c r="N59" s="103">
        <f t="array" ref="N59">(('Fórmula'!C59)/('Fórmula'!C59+'Fórmula'!E59+'Fórmula'!G59+'Fórmula'!I59+'Fórmula'!K59))*(INDEX(properties!A$1:CB$87,'Fórmula'!B59,5))+(('Fórmula'!E59)/('Fórmula'!C59+'Fórmula'!E59+'Fórmula'!G59+'Fórmula'!I59+'Fórmula'!K59))*(INDEX(properties!A$1:CB$87,'Fórmula'!D59,5))+(('Fórmula'!G59)/('Fórmula'!C59+'Fórmula'!E59+'Fórmula'!G59+'Fórmula'!I59+'Fórmula'!K59))*(INDEX(properties!A$1:CB$87,'Fórmula'!F59,5))+(('Fórmula'!I59)/('Fórmula'!C59+'Fórmula'!E59+'Fórmula'!G59+'Fórmula'!I59+'Fórmula'!K59))*(INDEX(properties!A$1:CB$87,'Fórmula'!H59,5))+(('Fórmula'!K59)/('Fórmula'!C59+'Fórmula'!E59+'Fórmula'!G59+'Fórmula'!I59+'Fórmula'!K59))*(INDEX(properties!A$1:CB$87,'Fórmula'!J59,5))</f>
        <v>2.428571429</v>
      </c>
      <c r="O59" s="103">
        <f t="array" ref="O59">'Fórmula'!C59*(INDEX(properties!A$1:CB$87,'Fórmula'!B59,5))+'Fórmula'!E59*(INDEX(properties!A$1:CB$87,'Fórmula'!D59,5))+'Fórmula'!G59*(INDEX(properties!A$1:CB$87,'Fórmula'!F59,5))+'Fórmula'!I59*(INDEX(properties!A$1:CB$87,'Fórmula'!H59,5))+'Fórmula'!K59*(INDEX(properties!A$1:CB$87,'Fórmula'!J59,5))</f>
        <v>17</v>
      </c>
      <c r="P59" s="103">
        <f t="array" ref="P59">VARP(IF(INDEX(properties!A$1:CB$87,'Fórmula'!B59,5)&lt;&gt;"",INDEX(properties!A$1:CB$87,'Fórmula'!B59,5)),IF(INDEX(properties!A$1:CB$87,'Fórmula'!D59,5)&lt;&gt;"",INDEX(properties!A$1:CB$87,'Fórmula'!D59,5)),IF(INDEX(properties!A$1:CB$87,'Fórmula'!F59,5)&lt;&gt;"",INDEX(properties!A$1:CB$87,'Fórmula'!F59,5)),IF(INDEX(properties!A$1:CB$87,'Fórmula'!H59,5)&lt;&gt;"",INDEX(properties!A$1:CB$87,'Fórmula'!H59,5)),IF(INDEX(properties!A$1:CB$87,'Fórmula'!J59,5)&lt;&gt;"",INDEX(properties!A$1:CB$87,'Fórmula'!J59,5)))</f>
        <v>3.36</v>
      </c>
      <c r="Q59" s="103">
        <f t="array" ref="Q59">MAX(INDEX(properties!A$1:CB$87,'Fórmula'!B59,5),INDEX(properties!A$1:CB$87,'Fórmula'!D59,5),INDEX(properties!A$1:CB$87,'Fórmula'!F59,5),INDEX(properties!A$1:CB$87,'Fórmula'!H59,5),INDEX(properties!A$1:CB$87,'Fórmula'!J59,5))</f>
        <v>5</v>
      </c>
      <c r="R59" s="103">
        <f t="array" ref="R59">MIN(IF(INDEX(properties!A$1:CB$87,'Fórmula'!B59,5)=0,10^6,INDEX(properties!A$1:CB$87,'Fórmula'!B59,5)),IF(INDEX(properties!A$1:CB$87,'Fórmula'!D59,5)=0,10^6,INDEX(properties!A$1:CB$87,'Fórmula'!D59,5)),IF(INDEX(properties!A$1:CB$87,'Fórmula'!F59,5)=0,10^6,INDEX(properties!A$1:CB$87,'Fórmula'!F59,5)),IF(INDEX(properties!A$1:CB$87,'Fórmula'!H59,5)=0,10^6,INDEX(properties!A$1:CB$87,'Fórmula'!H59,5)),IF(INDEX(properties!A$1:CB$87,'Fórmula'!J59,5)=0,10^6,INDEX(properties!A$1:CB$87,'Fórmula'!J59,5)))</f>
        <v>2</v>
      </c>
      <c r="S59" s="103">
        <f t="shared" si="3"/>
        <v>3</v>
      </c>
      <c r="T59" s="104">
        <f t="array" ref="T59">(('Fórmula'!C59)/('Fórmula'!C59+'Fórmula'!E59+'Fórmula'!G59+'Fórmula'!I59+'Fórmula'!K59))*(INDEX(properties!A$1:CB$87,'Fórmula'!B59,6))+(('Fórmula'!E59)/('Fórmula'!C59+'Fórmula'!E59+'Fórmula'!G59+'Fórmula'!I59+'Fórmula'!K59))*(INDEX(properties!A$1:CB$87,'Fórmula'!D59,6))+(('Fórmula'!G59)/('Fórmula'!C59+'Fórmula'!E59+'Fórmula'!G59+'Fórmula'!I59+'Fórmula'!K59))*(INDEX(properties!A$1:CB$87,'Fórmula'!F59,6))+(('Fórmula'!I59)/('Fórmula'!C59+'Fórmula'!E59+'Fórmula'!G59+'Fórmula'!I59+'Fórmula'!K59))*(INDEX(properties!A$1:CB$87,'Fórmula'!H59,6))+(('Fórmula'!K59)/('Fórmula'!C59+'Fórmula'!E59+'Fórmula'!G59+'Fórmula'!I59+'Fórmula'!K59))*(INDEX(properties!A$1:CB$87,'Fórmula'!J59,6))</f>
        <v>13.14285714</v>
      </c>
      <c r="U59" s="104">
        <f t="array" ref="U59">'Fórmula'!C59*(INDEX(properties!A$1:CB$87,'Fórmula'!B59,6))+'Fórmula'!E59*(INDEX(properties!A$1:CB$87,'Fórmula'!D59,6))+'Fórmula'!G59*(INDEX(properties!A$1:CB$87,'Fórmula'!F59,6))+'Fórmula'!I59*(INDEX(properties!A$1:CB$87,'Fórmula'!H59,6))+'Fórmula'!K59*(INDEX(properties!A$1:CB$87,'Fórmula'!J59,6))</f>
        <v>92</v>
      </c>
      <c r="V59" s="103">
        <f t="array" ref="V59">VARP(IF(INDEX(properties!A$1:CB$87,'Fórmula'!B59,6)&lt;&gt;"",INDEX(properties!A$1:CB$87,'Fórmula'!B59,6)),IF(INDEX(properties!A$1:CB$87,'Fórmula'!D59,6)&lt;&gt;"",INDEX(properties!A$1:CB$87,'Fórmula'!D59,6)),IF(INDEX(properties!A$1:CB$87,'Fórmula'!F59,6)&lt;&gt;"",INDEX(properties!A$1:CB$87,'Fórmula'!F59,6)),IF(INDEX(properties!A$1:CB$87,'Fórmula'!H59,6)&lt;&gt;"",INDEX(properties!A$1:CB$87,'Fórmula'!H59,6)),IF(INDEX(properties!A$1:CB$87,'Fórmula'!J59,6)&lt;&gt;"",INDEX(properties!A$1:CB$87,'Fórmula'!J59,6)))</f>
        <v>47.36</v>
      </c>
      <c r="W59" s="104">
        <f t="array" ref="W59">MAX(INDEX(properties!A$1:CB$87,'Fórmula'!B59,6),INDEX(properties!A$1:CB$87,'Fórmula'!D59,6),INDEX(properties!A$1:CB$87,'Fórmula'!F59,6),INDEX(properties!A$1:CB$87,'Fórmula'!H59,4),INDEX(properties!A$1:CB$87,'Fórmula'!J59,6))</f>
        <v>16</v>
      </c>
      <c r="X59" s="104">
        <f t="array" ref="X59">MIN(IF(INDEX(properties!A$1:CB$87,'Fórmula'!B59,6)=0,10^6,INDEX(properties!A$1:CB$87,'Fórmula'!B59,6)),IF(INDEX(properties!A$1:CB$87,'Fórmula'!D59,6)=0,10^6,INDEX(properties!A$1:CB$87,'Fórmula'!D59,6)),IF(INDEX(properties!A$1:CB$87,'Fórmula'!F59,6)=0,10^6,INDEX(properties!A$1:CB$87,'Fórmula'!F59,6)),IF(INDEX(properties!A$1:CB$87,'Fórmula'!H59,6)=0,10^6,INDEX(properties!A$1:CB$87,'Fórmula'!H59,6)),IF(INDEX(properties!A$1:CB$87,'Fórmula'!J59,6)=0,10^6,INDEX(properties!A$1:CB$87,'Fórmula'!J59,6)))</f>
        <v>2</v>
      </c>
      <c r="Y59" s="104">
        <f t="shared" si="4"/>
        <v>14</v>
      </c>
      <c r="Z59" s="105">
        <f t="array" ref="Z59">(('Fórmula'!C59)/('Fórmula'!C59+'Fórmula'!E59+'Fórmula'!G59+'Fórmula'!I59+'Fórmula'!K59))*(INDEX(properties!A$1:CB$87,'Fórmula'!B59,9))+(('Fórmula'!E59)/('Fórmula'!C59+'Fórmula'!E59+'Fórmula'!G59+'Fórmula'!I59+'Fórmula'!K59))*(INDEX(properties!A$1:CB$87,'Fórmula'!D59,9))+(('Fórmula'!G59)/('Fórmula'!C59+'Fórmula'!E59+'Fórmula'!G59+'Fórmula'!I59+'Fórmula'!K59))*(INDEX(properties!A$1:CB$87,'Fórmula'!F59,9))+(('Fórmula'!I59)/('Fórmula'!C59+'Fórmula'!E59+'Fórmula'!G59+'Fórmula'!I59+'Fórmula'!K59))*(INDEX(properties!A$1:CB$87,'Fórmula'!H59,9))+(('Fórmula'!K59)/('Fórmula'!C59+'Fórmula'!E59+'Fórmula'!G59+'Fórmula'!I59+'Fórmula'!K59))*(INDEX(properties!A$1:CB$87,'Fórmula'!J59,9))</f>
        <v>71.42857143</v>
      </c>
      <c r="AA59" s="105">
        <f t="array" ref="AA59">'Fórmula'!C59*(INDEX(properties!A$1:CB$87,'Fórmula'!B59,9))+'Fórmula'!E59*(INDEX(properties!A$1:CB$87,'Fórmula'!D59,9))+'Fórmula'!G59*(INDEX(properties!A$1:CB$87,'Fórmula'!F59,9))+'Fórmula'!I59*(INDEX(properties!A$1:CB$87,'Fórmula'!H59,9))+'Fórmula'!K59*(INDEX(properties!A$1:CB$87,'Fórmula'!J59,9))</f>
        <v>500</v>
      </c>
      <c r="AB59" s="105">
        <f t="array" ref="AB59">VARP(IF(INDEX(properties!A$1:CB$87,'Fórmula'!B59,9)&lt;&gt;"",INDEX(properties!A$1:CB$87,'Fórmula'!B59,9)),IF(INDEX(properties!A$1:CB$87,'Fórmula'!D59,9)&lt;&gt;"",INDEX(properties!A$1:CB$87,'Fórmula'!D59,9)),IF(INDEX(properties!A$1:CB$87,'Fórmula'!F59,9)&lt;&gt;"",INDEX(properties!A$1:CB$87,'Fórmula'!F59,9)),IF(INDEX(properties!A$1:CB$87,'Fórmula'!H59,9)&lt;&gt;"",INDEX(properties!A$1:CB$87,'Fórmula'!H59,9)),IF(INDEX(properties!A$1:CB$87,'Fórmula'!J59,9)&lt;&gt;"",INDEX(properties!A$1:CB$87,'Fórmula'!J59,9)))</f>
        <v>1447.84</v>
      </c>
      <c r="AC59" s="105">
        <f t="array" ref="AC59">MAX(INDEX(properties!A$1:CB$87,'Fórmula'!B59,9),INDEX(properties!A$1:CB$87,'Fórmula'!D59,9),INDEX(properties!A$1:CB$87,'Fórmula'!F59,9),INDEX(properties!A$1:CB$87,'Fórmula'!H59,9),INDEX(properties!A$1:CB$87,'Fórmula'!J59,9))</f>
        <v>87</v>
      </c>
      <c r="AD59" s="105">
        <f t="array" ref="AD59">MIN(IF(INDEX(properties!A$1:CB$87,'Fórmula'!B59,9)=0,10^6,INDEX(properties!A$1:CB$87,'Fórmula'!B59,9)),IF(INDEX(properties!A$1:CB$87,'Fórmula'!D59,9)=0,10^6,INDEX(properties!A$1:CB$87,'Fórmula'!D59,9)),IF(INDEX(properties!A$1:CB$87,'Fórmula'!F59,9)=0,10^6,INDEX(properties!A$1:CB$87,'Fórmula'!F59,9)),IF(INDEX(properties!A$1:CB$87,'Fórmula'!H59,9)=0,10^6,INDEX(properties!A$1:CB$87,'Fórmula'!H59,9)),IF(INDEX(properties!A$1:CB$87,'Fórmula'!J59,9)=0,10^6,INDEX(properties!A$1:CB$87,'Fórmula'!J59,9)))</f>
        <v>8</v>
      </c>
      <c r="AE59" s="105">
        <f t="shared" si="5"/>
        <v>79</v>
      </c>
      <c r="AF59" s="106">
        <f t="array" ref="AF59">(('Fórmula'!C59)/('Fórmula'!C59+'Fórmula'!E59+'Fórmula'!G59+'Fórmula'!I59+'Fórmula'!K59))*(INDEX(properties!A$1:CB$87,'Fórmula'!B59,10))+(('Fórmula'!E59)/('Fórmula'!C59+'Fórmula'!E59+'Fórmula'!G59+'Fórmula'!I59+'Fórmula'!K59))*(INDEX(properties!A$1:CB$87,'Fórmula'!D59,10))+(('Fórmula'!G59)/('Fórmula'!C59+'Fórmula'!E59+'Fórmula'!G59+'Fórmula'!I59+'Fórmula'!K59))*(INDEX(properties!A$1:CB$87,'Fórmula'!F59,10))+(('Fórmula'!I59)/('Fórmula'!C59+'Fórmula'!E59+'Fórmula'!G59+'Fórmula'!I59+'Fórmula'!K59))*(INDEX(properties!A$1:CB$87,'Fórmula'!H59,10))+(('Fórmula'!K59)/('Fórmula'!C59+'Fórmula'!E59+'Fórmula'!G59+'Fórmula'!I59+'Fórmula'!K59))*(INDEX(properties!A$1:CB$87,'Fórmula'!J59,10))</f>
        <v>6</v>
      </c>
      <c r="AG59" s="106">
        <f t="array" ref="AG59">'Fórmula'!C59*(INDEX(properties!A$1:CB$87,'Fórmula'!B59,10))+'Fórmula'!E59*(INDEX(properties!A$1:CB$87,'Fórmula'!D59,10))+'Fórmula'!G59*(INDEX(properties!A$1:CB$87,'Fórmula'!F59,10))+'Fórmula'!I59*(INDEX(properties!A$1:CB$87,'Fórmula'!H59,10))+'Fórmula'!K59*(INDEX(properties!A$1:CB$87,'Fórmula'!J59,10))</f>
        <v>42</v>
      </c>
      <c r="AH59" s="106">
        <f t="array" ref="AH59">VARP(IF(INDEX(properties!A$1:CB$87,'Fórmula'!B59,10)&lt;&gt;"",INDEX(properties!A$1:CB$87,'Fórmula'!B59,10)),IF(INDEX(properties!A$1:CB$87,'Fórmula'!D59,10)&lt;&gt;"",INDEX(properties!A$1:CB$87,'Fórmula'!D59,10)),IF(INDEX(properties!A$1:CB$87,'Fórmula'!F59,10)&lt;&gt;"",INDEX(properties!A$1:CB$87,'Fórmula'!F59,10)),IF(INDEX(properties!A$1:CB$87,'Fórmula'!H59,10)&lt;&gt;"",INDEX(properties!A$1:CB$87,'Fórmula'!H59,10)),IF(INDEX(properties!A$1:CB$87,'Fórmula'!J59,10)&lt;&gt;"",INDEX(properties!A$1:CB$87,'Fórmula'!J59,10)))</f>
        <v>8.8</v>
      </c>
      <c r="AI59" s="106">
        <f t="array" ref="AI59">MAX(INDEX(properties!A$1:CB$87,'Fórmula'!B59,10),INDEX(properties!A$1:CB$87,'Fórmula'!D59,10),INDEX(properties!A$1:CB$87,'Fórmula'!F59,10),INDEX(properties!A$1:CB$87,'Fórmula'!H59,10),INDEX(properties!A$1:CB$87,'Fórmula'!J59,10))</f>
        <v>7</v>
      </c>
      <c r="AJ59" s="106">
        <f t="array" ref="AJ59">MIN(IF(INDEX(properties!A$1:CB$87,'Fórmula'!B59,10)=0,10^6,INDEX(properties!A$1:CB$87,'Fórmula'!B59,10)),IF(INDEX(properties!A$1:CB$87,'Fórmula'!D59,10)=0,10^6,INDEX(properties!A$1:CB$87,'Fórmula'!D59,10)),IF(INDEX(properties!A$1:CB$87,'Fórmula'!F59,10)=0,10^6,INDEX(properties!A$1:CB$87,'Fórmula'!F59,10)),IF(INDEX(properties!A$1:CB$87,'Fórmula'!H59,10)=0,10^6,INDEX(properties!A$1:CB$87,'Fórmula'!H59,10)),IF(INDEX(properties!A$1:CB$87,'Fórmula'!J59,10)=0,10^6,INDEX(properties!A$1:CB$87,'Fórmula'!J59,10)))</f>
        <v>2</v>
      </c>
      <c r="AK59" s="106">
        <f t="shared" si="6"/>
        <v>5</v>
      </c>
      <c r="AL59" s="107">
        <f t="array" ref="AL59">(('Fórmula'!C59)/('Fórmula'!C59+'Fórmula'!E59+'Fórmula'!G59+'Fórmula'!I59+'Fórmula'!K59))*(INDEX(properties!A$1:CB$87,'Fórmula'!B59,11))+(('Fórmula'!E59)/('Fórmula'!C59+'Fórmula'!E59+'Fórmula'!G59+'Fórmula'!I59+'Fórmula'!K59))*(INDEX(properties!A$1:CB$87,'Fórmula'!D59,11))+(('Fórmula'!G59)/('Fórmula'!C59+'Fórmula'!E59+'Fórmula'!G59+'Fórmula'!I59+'Fórmula'!K59))*(INDEX(properties!A$1:CB$87,'Fórmula'!F59,11))+(('Fórmula'!I59)/('Fórmula'!C59+'Fórmula'!E59+'Fórmula'!G59+'Fórmula'!I59+'Fórmula'!K59))*(INDEX(properties!A$1:CB$87,'Fórmula'!H59,11))+(('Fórmula'!K59)/('Fórmula'!C59+'Fórmula'!E59+'Fórmula'!G59+'Fórmula'!I59+'Fórmula'!K59))*(INDEX(properties!A$1:CB$87,'Fórmula'!J59,11))</f>
        <v>2</v>
      </c>
      <c r="AM59" s="107">
        <f t="array" ref="AM59">'Fórmula'!C59*(INDEX(properties!A$1:CB$87,'Fórmula'!B59,11))+'Fórmula'!E59*(INDEX(properties!A$1:CB$87,'Fórmula'!D59,11))+'Fórmula'!G59*(INDEX(properties!A$1:CB$87,'Fórmula'!F59,11))+'Fórmula'!I59*(INDEX(properties!A$1:CB$87,'Fórmula'!H59,11))+'Fórmula'!K59*(INDEX(properties!A$1:CB$87,'Fórmula'!J59,11))</f>
        <v>14</v>
      </c>
      <c r="AN59" s="107">
        <f t="array" ref="AN59">VARP(IF(INDEX(properties!A$1:CB$87,'Fórmula'!B59,11)&lt;&gt;"",INDEX(properties!A$1:CB$87,'Fórmula'!B59,11)),IF(INDEX(properties!A$1:CB$87,'Fórmula'!D59,11)&lt;&gt;"",INDEX(properties!A$1:CB$87,'Fórmula'!D59,11)),IF(INDEX(properties!A$1:CB$87,'Fórmula'!F59,11)&lt;&gt;"",INDEX(properties!A$1:CB$87,'Fórmula'!F59,11)),IF(INDEX(properties!A$1:CB$87,'Fórmula'!H59,11)&lt;&gt;"",INDEX(properties!A$1:CB$87,'Fórmula'!H59,11)),IF(INDEX(properties!A$1:CB$87,'Fórmula'!J59,11)&lt;&gt;"",INDEX(properties!A$1:CB$87,'Fórmula'!J59,11)))</f>
        <v>0.96</v>
      </c>
      <c r="AO59" s="107">
        <f t="array" ref="AO59">MAX(INDEX(properties!A$1:CB$87,'Fórmula'!B59,11),INDEX(properties!A$1:CB$87,'Fórmula'!D59,11),INDEX(properties!A$1:CB$87,'Fórmula'!F59,11),INDEX(properties!A$1:CB$87,'Fórmula'!H59,11),INDEX(properties!A$1:CB$87,'Fórmula'!J59,11))</f>
        <v>2</v>
      </c>
      <c r="AP59" s="107">
        <f t="array" ref="AP59">MIN(IF('Fórmula'!B59=87,10^6,INDEX(properties!A$1:CB$87,'Fórmula'!B59,11)),IF(('Fórmula'!D59)=87,10^6,INDEX(properties!A$1:CB$87,'Fórmula'!D59,11)),IF(('Fórmula'!F59)=87,10^6,INDEX(properties!A$1:CB$87,'Fórmula'!F59,11)),IF(('Fórmula'!H59)=87,10^6,INDEX(properties!A$1:CB$87,'Fórmula'!H59,11)),IF('Fórmula'!J59=87,10^6,INDEX(properties!A$1:CB$87,'Fórmula'!J59,11)))</f>
        <v>2</v>
      </c>
      <c r="AQ59" s="107">
        <f t="shared" si="7"/>
        <v>0</v>
      </c>
      <c r="AR59" s="108">
        <f t="array" ref="AR59">(('Fórmula'!C59)/('Fórmula'!C59+'Fórmula'!E59+'Fórmula'!G59+'Fórmula'!I59+'Fórmula'!K59))*(INDEX(properties!A$1:CB$87,'Fórmula'!B59,12))+(('Fórmula'!E59)/('Fórmula'!C59+'Fórmula'!E59+'Fórmula'!G59+'Fórmula'!I59+'Fórmula'!K59))*(INDEX(properties!A$1:CB$87,'Fórmula'!D59,12))+(('Fórmula'!G59)/('Fórmula'!C59+'Fórmula'!E59+'Fórmula'!G59+'Fórmula'!I59+'Fórmula'!K59))*(INDEX(properties!A$1:CB$87,'Fórmula'!F59,12))+(('Fórmula'!I59)/('Fórmula'!C59+'Fórmula'!E59+'Fórmula'!G59+'Fórmula'!I59+'Fórmula'!K59))*(INDEX(properties!A$1:CB$87,'Fórmula'!H59,12))+(('Fórmula'!K59)/('Fórmula'!C59+'Fórmula'!E59+'Fórmula'!G59+'Fórmula'!I59+'Fórmula'!K59))*(INDEX(properties!A$1:CB$87,'Fórmula'!J59,12))</f>
        <v>2.571428571</v>
      </c>
      <c r="AS59" s="108">
        <f t="array" ref="AS59">'Fórmula'!C59*(INDEX(properties!A$1:CB$87,'Fórmula'!B59,12))+'Fórmula'!E59*(INDEX(properties!A$1:CB$87,'Fórmula'!D59,12))+'Fórmula'!G59*(INDEX(properties!A$1:CB$87,'Fórmula'!F59,12))+'Fórmula'!I59*(INDEX(properties!A$1:CB$87,'Fórmula'!H59,12))+'Fórmula'!K59*(INDEX(properties!A$1:CB$87,'Fórmula'!J59,12))</f>
        <v>18</v>
      </c>
      <c r="AT59" s="108">
        <f t="array" ref="AT59">VARP(IF(INDEX(properties!A$1:CB$87,'Fórmula'!B59,12)&lt;&gt;"",INDEX(properties!A$1:CB$87,'Fórmula'!B59,12)),IF(INDEX(properties!A$1:CB$87,'Fórmula'!D59,12)&lt;&gt;"",INDEX(properties!A$1:CB$87,'Fórmula'!D59,12)),IF(INDEX(properties!A$1:CB$87,'Fórmula'!F59,12)&lt;&gt;"",INDEX(properties!A$1:CB$87,'Fórmula'!F59,12)),IF(INDEX(properties!A$1:CB$87,'Fórmula'!H59,12)&lt;&gt;"",INDEX(properties!A$1:CB$87,'Fórmula'!H59,12)),IF(INDEX(properties!A$1:CB$87,'Fórmula'!J59,12)&lt;&gt;"",INDEX(properties!A$1:CB$87,'Fórmula'!J59,12)))</f>
        <v>2.4</v>
      </c>
      <c r="AU59" s="108">
        <f t="array" ref="AU59">MAX(INDEX(properties!A$1:CB$87,'Fórmula'!B59,12),INDEX(properties!A$1:CB$87,'Fórmula'!D59,12),INDEX(properties!A$1:CB$87,'Fórmula'!F59,12),INDEX(properties!A$1:CB$87,'Fórmula'!H59,12),INDEX(properties!A$1:CB$87,'Fórmula'!J59,12))</f>
        <v>4</v>
      </c>
      <c r="AV59" s="108">
        <f t="array" ref="AV59">MIN(IF('Fórmula'!B59=87,10^6,INDEX(properties!A$1:CB$87,'Fórmula'!B59,12)),IF(('Fórmula'!D59)=87,10^6,INDEX(properties!A$1:CB$87,'Fórmula'!D59,12)),IF(('Fórmula'!F59)=87,10^6,INDEX(properties!A$1:CB$87,'Fórmula'!F59,12)),IF(('Fórmula'!H59)=87,10^6,INDEX(properties!A$1:CB$87,'Fórmula'!H59,12)),IF('Fórmula'!J59=87,10^6,INDEX(properties!A$1:CB$87,'Fórmula'!J59,12)))</f>
        <v>0</v>
      </c>
      <c r="AW59" s="108">
        <f t="shared" si="8"/>
        <v>4</v>
      </c>
      <c r="AX59" s="109">
        <f t="array" ref="AX59">(('Fórmula'!C59)/('Fórmula'!C59+'Fórmula'!E59+'Fórmula'!G59+'Fórmula'!I59+'Fórmula'!K59))*(INDEX(properties!A$1:CB$87,'Fórmula'!B59,13))+(('Fórmula'!E59)/('Fórmula'!C59+'Fórmula'!E59+'Fórmula'!G59+'Fórmula'!I59+'Fórmula'!K59))*(INDEX(properties!A$1:CB$87,'Fórmula'!D59,13))+(('Fórmula'!G59)/('Fórmula'!C59+'Fórmula'!E59+'Fórmula'!G59+'Fórmula'!I59+'Fórmula'!K59))*(INDEX(properties!A$1:CB$87,'Fórmula'!F59,13))+(('Fórmula'!I59)/('Fórmula'!C59+'Fórmula'!E59+'Fórmula'!G59+'Fórmula'!I59+'Fórmula'!K59))*(INDEX(properties!A$1:CB$87,'Fórmula'!H59,13))+(('Fórmula'!K59)/('Fórmula'!C59+'Fórmula'!E59+'Fórmula'!G59+'Fórmula'!I59+'Fórmula'!K59))*(INDEX(properties!A$1:CB$87,'Fórmula'!J59,13))</f>
        <v>0</v>
      </c>
      <c r="AY59" s="109">
        <f t="array" ref="AY59">'Fórmula'!C59*(INDEX(properties!A$1:CB$87,'Fórmula'!B59,13))+'Fórmula'!E59*(INDEX(properties!A$1:CB$87,'Fórmula'!D59,13))+'Fórmula'!G59*(INDEX(properties!A$1:CB$87,'Fórmula'!F59,13))+'Fórmula'!I59*(INDEX(properties!A$1:CB$87,'Fórmula'!H59,13))+'Fórmula'!K59*(INDEX(properties!A$1:CB$87,'Fórmula'!J59,13))</f>
        <v>0</v>
      </c>
      <c r="AZ59" s="109">
        <f t="array" ref="AZ59">VARP(IF(INDEX(properties!A$1:CB$87,'Fórmula'!B59,13)&lt;&gt;"",INDEX(properties!A$1:CB$87,'Fórmula'!B59,13)),IF(INDEX(properties!A$1:CB$87,'Fórmula'!D59,13)&lt;&gt;"",INDEX(properties!A$1:CB$87,'Fórmula'!D59,13)),IF(INDEX(properties!A$1:CB$87,'Fórmula'!F59,13)&lt;&gt;"",INDEX(properties!A$1:CB$87,'Fórmula'!F59,13)),IF(INDEX(properties!A$1:CB$87,'Fórmula'!H59,13)&lt;&gt;"",INDEX(properties!A$1:CB$87,'Fórmula'!H59,13)),IF(INDEX(properties!A$1:CB$87,'Fórmula'!J59,13)&lt;&gt;"",INDEX(properties!A$1:CB$87,'Fórmula'!J59,13)))</f>
        <v>0</v>
      </c>
      <c r="BA59" s="109">
        <f t="array" ref="BA59">MAX(INDEX(properties!A$1:CB$87,'Fórmula'!B59,13),INDEX(properties!A$1:CB$87,'Fórmula'!D59,13),INDEX(properties!A$1:CB$87,'Fórmula'!F59,13),INDEX(properties!A$1:CB$87,'Fórmula'!H59,13),INDEX(properties!A$1:CB$87,'Fórmula'!J59,13))</f>
        <v>0</v>
      </c>
      <c r="BB59" s="109">
        <f t="array" ref="BB59">MIN(IF('Fórmula'!B59=87,10^6,INDEX(properties!A$1:CB$87,'Fórmula'!B59,13)),IF(('Fórmula'!D59)=87,10^6,INDEX(properties!A$1:CB$87,'Fórmula'!D59,13)),IF(('Fórmula'!F59)=87,10^6,INDEX(properties!A$1:CB$87,'Fórmula'!F59,13)),IF(('Fórmula'!H59)=87,10^6,INDEX(properties!A$1:CB$87,'Fórmula'!H59,13)),IF('Fórmula'!J59=87,10^6,INDEX(properties!A$1:CB$87,'Fórmula'!J59,13)))</f>
        <v>0</v>
      </c>
      <c r="BC59" s="109">
        <f t="shared" si="9"/>
        <v>0</v>
      </c>
      <c r="BD59" s="110">
        <f t="array" ref="BD59">(('Fórmula'!C59)/('Fórmula'!C59+'Fórmula'!E59+'Fórmula'!G59+'Fórmula'!I59+'Fórmula'!K59))*(INDEX(properties!A$1:CB$87,'Fórmula'!B59,14))+(('Fórmula'!E59)/('Fórmula'!C59+'Fórmula'!E59+'Fórmula'!G59+'Fórmula'!I59+'Fórmula'!K59))*(INDEX(properties!A$1:CB$87,'Fórmula'!D59,14))+(('Fórmula'!G59)/('Fórmula'!C59+'Fórmula'!E59+'Fórmula'!G59+'Fórmula'!I59+'Fórmula'!K59))*(INDEX(properties!A$1:CB$87,'Fórmula'!F59,14))+(('Fórmula'!I59)/('Fórmula'!C59+'Fórmula'!E59+'Fórmula'!G59+'Fórmula'!I59+'Fórmula'!K59))*(INDEX(properties!A$1:CB$87,'Fórmula'!H59,14))+(('Fórmula'!K59)/('Fórmula'!C59+'Fórmula'!E59+'Fórmula'!G59+'Fórmula'!I59+'Fórmula'!K59))*(INDEX(properties!A$1:CB$87,'Fórmula'!J59,14))</f>
        <v>0</v>
      </c>
      <c r="BE59" s="110">
        <f t="array" ref="BE59">'Fórmula'!C59*(INDEX(properties!A$1:CB$87,'Fórmula'!B59,14))+'Fórmula'!E59*(INDEX(properties!A$1:CB$87,'Fórmula'!D59,14))+'Fórmula'!G59*(INDEX(properties!A$1:CB$87,'Fórmula'!F59,14))+'Fórmula'!I59*(INDEX(properties!A$1:CB$87,'Fórmula'!H59,14))+'Fórmula'!K59*(INDEX(properties!A$1:CB$87,'Fórmula'!J59,14))</f>
        <v>0</v>
      </c>
      <c r="BF59" s="110">
        <f t="array" ref="BF59">VARP(IF(INDEX(properties!A$1:CB$87,'Fórmula'!B59,14)&lt;&gt;"",INDEX(properties!A$1:CB$87,'Fórmula'!B59,14)),IF(INDEX(properties!A$1:CB$87,'Fórmula'!D59,14)&lt;&gt;"",INDEX(properties!A$1:CB$87,'Fórmula'!D59,14)),IF(INDEX(properties!A$1:CB$87,'Fórmula'!F59,14)&lt;&gt;"",INDEX(properties!A$1:CB$87,'Fórmula'!F59,14)),IF(INDEX(properties!A$1:CB$87,'Fórmula'!H59,14)&lt;&gt;"",INDEX(properties!A$1:CB$87,'Fórmula'!H59,14)),IF(INDEX(properties!A$1:CB$87,'Fórmula'!J59,14)&lt;&gt;"",INDEX(properties!A$1:CB$87,'Fórmula'!J59,14)))</f>
        <v>0</v>
      </c>
      <c r="BG59" s="110">
        <f t="array" ref="BG59">MAX(INDEX(properties!A$1:CB$87,'Fórmula'!B59,14),INDEX(properties!A$1:CB$87,'Fórmula'!D59,14),INDEX(properties!A$1:CB$87,'Fórmula'!F59,14),INDEX(properties!A$1:CB$87,'Fórmula'!H59,14),INDEX(properties!A$1:CB$87,'Fórmula'!J59,14))</f>
        <v>0</v>
      </c>
      <c r="BH59" s="110">
        <f t="array" ref="BH59">MIN(IF('Fórmula'!B59=87,10^6,INDEX(properties!A$1:CB$87,'Fórmula'!B59,14)),IF(('Fórmula'!D59)=87,10^6,INDEX(properties!A$1:CB$87,'Fórmula'!D59,14)),IF(('Fórmula'!F59)=87,10^6,INDEX(properties!A$1:CB$87,'Fórmula'!F59,14)),IF(('Fórmula'!H59)=87,10^6,INDEX(properties!A$1:CB$87,'Fórmula'!H59,14)),IF('Fórmula'!J59=87,10^6,INDEX(properties!A$1:CB$87,'Fórmula'!J59,14)))</f>
        <v>0</v>
      </c>
      <c r="BI59" s="110">
        <f t="shared" si="10"/>
        <v>0</v>
      </c>
      <c r="BJ59" s="111">
        <f t="array" ref="BJ59">(('Fórmula'!C59)/('Fórmula'!C59+'Fórmula'!E59+'Fórmula'!G59+'Fórmula'!I59+'Fórmula'!K59))*(INDEX(properties!A$1:CB$87,'Fórmula'!B59,19))+(('Fórmula'!E59)/('Fórmula'!C59+'Fórmula'!E59+'Fórmula'!G59+'Fórmula'!I59+'Fórmula'!K59))*(INDEX(properties!A$1:CB$87,'Fórmula'!D59,19))+(('Fórmula'!G59)/('Fórmula'!C59+'Fórmula'!E59+'Fórmula'!G59+'Fórmula'!I59+'Fórmula'!K59))*(INDEX(properties!A$1:CB$87,'Fórmula'!F59,19))+(('Fórmula'!I59)/('Fórmula'!C59+'Fórmula'!E59+'Fórmula'!G59+'Fórmula'!I59+'Fórmula'!K59))*(INDEX(properties!A$1:CB$87,'Fórmula'!H59,19))+(('Fórmula'!K59)/('Fórmula'!C59+'Fórmula'!E59+'Fórmula'!G59+'Fórmula'!I59+'Fórmula'!K59))*(INDEX(properties!A$1:CB$87,'Fórmula'!J59,19))</f>
        <v>4.571428571</v>
      </c>
      <c r="BK59" s="111">
        <f t="array" ref="BK59">'Fórmula'!C59*(INDEX(properties!A$1:CB$87,'Fórmula'!B59,19))+'Fórmula'!E59*(INDEX(properties!A$1:CB$87,'Fórmula'!D59,19))+'Fórmula'!G59*(INDEX(properties!A$1:CB$87,'Fórmula'!F59,19))+'Fórmula'!I59*(INDEX(properties!A$1:CB$87,'Fórmula'!H59,19))+'Fórmula'!K59*(INDEX(properties!A$1:CB$87,'Fórmula'!J59,19))</f>
        <v>32</v>
      </c>
      <c r="BL59" s="111">
        <f t="array" ref="BL59">VARP(IF(INDEX(properties!A$1:CB$87,'Fórmula'!B59,19)&lt;&gt;"",INDEX(properties!A$1:CB$87,'Fórmula'!B59,19)),IF(INDEX(properties!A$1:CB$87,'Fórmula'!D59,19)&lt;&gt;"",INDEX(properties!A$1:CB$87,'Fórmula'!D59,19)),IF(INDEX(properties!A$1:CB$87,'Fórmula'!F59,19)&lt;&gt;"",INDEX(properties!A$1:CB$87,'Fórmula'!F59,19)),IF(INDEX(properties!A$1:CB$87,'Fórmula'!H59,19)&lt;&gt;"",INDEX(properties!A$1:CB$87,'Fórmula'!H59,19)),IF(INDEX(properties!A$1:CB$87,'Fórmula'!J59,19)&lt;&gt;"",INDEX(properties!A$1:CB$87,'Fórmula'!J59,19)))</f>
        <v>4.96</v>
      </c>
      <c r="BM59" s="111">
        <f t="array" ref="BM59">MAX(INDEX(properties!A$1:CB$87,'Fórmula'!B59,19),INDEX(properties!A$1:CB$87,'Fórmula'!D59,19),INDEX(properties!A$1:CB$87,'Fórmula'!F59,19),INDEX(properties!A$1:CB$87,'Fórmula'!H59,19),INDEX(properties!A$1:CB$87,'Fórmula'!J59,19))</f>
        <v>6</v>
      </c>
      <c r="BN59" s="111">
        <f t="array" ref="BN59">MIN(IF(INDEX(properties!A$1:CB$87,'Fórmula'!B59,19)=0,10^6,INDEX(properties!A$1:CB$87,'Fórmula'!B59,19)),IF(INDEX(properties!A$1:CB$87,'Fórmula'!D59,19)=0,10^6,INDEX(properties!A$1:CB$87,'Fórmula'!D59,19)),IF(INDEX(properties!A$1:CB$87,'Fórmula'!F59,19)=0,10^6,INDEX(properties!A$1:CB$87,'Fórmula'!F59,19)),IF(INDEX(properties!A$1:CB$87,'Fórmula'!H59,19)=0,10^6,INDEX(properties!A$1:CB$87,'Fórmula'!H59,19)),IF(INDEX(properties!A$1:CB$87,'Fórmula'!J59,19)=0,10^6,INDEX(properties!A$1:CB$87,'Fórmula'!J59,19)))</f>
        <v>2</v>
      </c>
      <c r="BO59" s="111">
        <f t="shared" si="11"/>
        <v>4</v>
      </c>
      <c r="BP59" s="112">
        <f t="array" ref="BP59">(('Fórmula'!C59)/('Fórmula'!C59+'Fórmula'!E59+'Fórmula'!G59+'Fórmula'!I59+'Fórmula'!K59))*(INDEX(properties!A$1:CB$87,'Fórmula'!B59,20))+(('Fórmula'!E59)/('Fórmula'!C59+'Fórmula'!E59+'Fórmula'!G59+'Fórmula'!I59+'Fórmula'!K59))*(INDEX(properties!A$1:CB$87,'Fórmula'!D59,20))+(('Fórmula'!G59)/('Fórmula'!C59+'Fórmula'!E59+'Fórmula'!G59+'Fórmula'!I59+'Fórmula'!K59))*(INDEX(properties!A$1:CB$87,'Fórmula'!F59,20))+(('Fórmula'!I59)/('Fórmula'!C59+'Fórmula'!E59+'Fórmula'!G59+'Fórmula'!I59+'Fórmula'!K59))*(INDEX(properties!A$1:CB$87,'Fórmula'!H59,20))+(('Fórmula'!K59)/('Fórmula'!C59+'Fórmula'!E59+'Fórmula'!G59+'Fórmula'!I59+'Fórmula'!K59))*(INDEX(properties!A$1:CB$87,'Fórmula'!J59,20))</f>
        <v>4.571428571</v>
      </c>
      <c r="BQ59" s="112">
        <f t="array" ref="BQ59">'Fórmula'!C59*(INDEX(properties!A$1:CB$87,'Fórmula'!B59,20))+'Fórmula'!E59*(INDEX(properties!A$1:CB$87,'Fórmula'!D59,20))+'Fórmula'!G59*(INDEX(properties!A$1:CB$87,'Fórmula'!F59,20))+'Fórmula'!I59*(INDEX(properties!A$1:CB$87,'Fórmula'!H59,20))+'Fórmula'!K59*(INDEX(properties!A$1:CB$87,'Fórmula'!J59,20))</f>
        <v>32</v>
      </c>
      <c r="BR59" s="112">
        <f t="array" ref="BR59">VARP(IF(INDEX(properties!A$1:CB$87,'Fórmula'!B59,20)&lt;&gt;"",INDEX(properties!A$1:CB$87,'Fórmula'!B59,20)),IF(INDEX(properties!A$1:CB$87,'Fórmula'!D59,20)&lt;&gt;"",INDEX(properties!A$1:CB$87,'Fórmula'!D59,20)),IF(INDEX(properties!A$1:CB$87,'Fórmula'!F59,20)&lt;&gt;"",INDEX(properties!A$1:CB$87,'Fórmula'!F59,20)),IF(INDEX(properties!A$1:CB$87,'Fórmula'!H59,20)&lt;&gt;"",INDEX(properties!A$1:CB$87,'Fórmula'!H59,20)),IF(INDEX(properties!A$1:CB$87,'Fórmula'!J59,20)&lt;&gt;"",INDEX(properties!A$1:CB$87,'Fórmula'!J59,20)))</f>
        <v>4.96</v>
      </c>
      <c r="BS59" s="112">
        <f t="array" ref="BS59">MAX(INDEX(properties!A$1:CB$87,'Fórmula'!B59,20),INDEX(properties!A$1:CB$87,'Fórmula'!D59,20),INDEX(properties!A$1:CB$87,'Fórmula'!F59,20),INDEX(properties!A$1:CB$87,'Fórmula'!H59,20),INDEX(properties!A$1:CB$87,'Fórmula'!J59,20))</f>
        <v>6</v>
      </c>
      <c r="BT59" s="112">
        <f t="array" ref="BT59">MIN(IF(INDEX(properties!A$1:CB$87,'Fórmula'!B59,20)=0,10^6,INDEX(properties!A$1:CB$87,'Fórmula'!B59,20)),IF(INDEX(properties!A$1:CB$87,'Fórmula'!D59,20)=0,10^6,INDEX(properties!A$1:CB$87,'Fórmula'!D59,20)),IF(INDEX(properties!A$1:CB$87,'Fórmula'!F59,20)=0,10^6,INDEX(properties!A$1:CB$87,'Fórmula'!F59,20)),IF(INDEX(properties!A$1:CB$87,'Fórmula'!H59,20)=0,10^6,INDEX(properties!A$1:CB$87,'Fórmula'!H59,20)),IF(INDEX(properties!A$1:CB$87,'Fórmula'!J59,20)=0,10^6,INDEX(properties!A$1:CB$87,'Fórmula'!J59,20)))</f>
        <v>2</v>
      </c>
      <c r="BU59" s="112">
        <f t="shared" si="12"/>
        <v>4</v>
      </c>
      <c r="BV59" s="113">
        <f t="array" ref="BV59">(('Fórmula'!C59)/('Fórmula'!C59+'Fórmula'!E59+'Fórmula'!G59+'Fórmula'!I59+'Fórmula'!K59))*(INDEX(properties!A$1:CB$87,'Fórmula'!B59,21))+(('Fórmula'!E59)/('Fórmula'!C59+'Fórmula'!E59+'Fórmula'!G59+'Fórmula'!I59+'Fórmula'!K59))*(INDEX(properties!A$1:CB$87,'Fórmula'!D59,21))+(('Fórmula'!G59)/('Fórmula'!C59+'Fórmula'!E59+'Fórmula'!G59+'Fórmula'!I59+'Fórmula'!K59))*(INDEX(properties!A$1:CB$87,'Fórmula'!F59,21))+(('Fórmula'!I59)/('Fórmula'!C59+'Fórmula'!E59+'Fórmula'!G59+'Fórmula'!I59+'Fórmula'!K59))*(INDEX(properties!A$1:CB$87,'Fórmula'!H59,21))+(('Fórmula'!K59)/('Fórmula'!C59+'Fórmula'!E59+'Fórmula'!G59+'Fórmula'!I59+'Fórmula'!K59))*(INDEX(properties!A$1:CB$87,'Fórmula'!J59,21))</f>
        <v>4.571428571</v>
      </c>
      <c r="BW59" s="113">
        <f t="array" ref="BW59">'Fórmula'!C59*(INDEX(properties!A$1:CB$87,'Fórmula'!B59,21))+'Fórmula'!E59*(INDEX(properties!A$1:CB$87,'Fórmula'!D59,21))+'Fórmula'!G59*(INDEX(properties!A$1:CB$87,'Fórmula'!F59,21))+'Fórmula'!I59*(INDEX(properties!A$1:CB$87,'Fórmula'!H59,21))+'Fórmula'!K59*(INDEX(properties!A$1:CB$87,'Fórmula'!J59,21))</f>
        <v>32</v>
      </c>
      <c r="BX59" s="113">
        <f t="array" ref="BX59">VARP(IF(INDEX(properties!A$1:CB$87,'Fórmula'!B59,21)&lt;&gt;"",INDEX(properties!A$1:CB$87,'Fórmula'!B59,21)),IF(INDEX(properties!A$1:CB$87,'Fórmula'!D59,21)&lt;&gt;"",INDEX(properties!A$1:CB$87,'Fórmula'!D59,21)),IF(INDEX(properties!A$1:CB$87,'Fórmula'!F59,21)&lt;&gt;"",INDEX(properties!A$1:CB$87,'Fórmula'!F59,21)),IF(INDEX(properties!A$1:CB$87,'Fórmula'!H59,21)&lt;&gt;"",INDEX(properties!A$1:CB$87,'Fórmula'!H59,21)),IF(INDEX(properties!A$1:CB$87,'Fórmula'!J59,21)&lt;&gt;"",INDEX(properties!A$1:CB$87,'Fórmula'!J59,21)))</f>
        <v>4.96</v>
      </c>
      <c r="BY59" s="113">
        <f t="array" ref="BY59">MAX(INDEX(properties!A$1:CB$87,'Fórmula'!B59,21),INDEX(properties!A$1:CB$87,'Fórmula'!D59,21),INDEX(properties!A$1:CB$87,'Fórmula'!F59,21),INDEX(properties!A$1:CB$87,'Fórmula'!H59,21),INDEX(properties!A$1:CB$87,'Fórmula'!J59,21))</f>
        <v>6</v>
      </c>
      <c r="BZ59" s="113">
        <f t="array" ref="BZ59">MIN(IF(INDEX(properties!A$1:CB$87,'Fórmula'!B59,21)=0,10^6,INDEX(properties!A$1:CB$87,'Fórmula'!B59,21)),IF(INDEX(properties!A$1:CB$87,'Fórmula'!D59,21)=0,10^6,INDEX(properties!A$1:CB$87,'Fórmula'!D59,21)),IF(INDEX(properties!A$1:CB$87,'Fórmula'!F59,21)=0,10^6,INDEX(properties!A$1:CB$87,'Fórmula'!F59,21)),IF(INDEX(properties!A$1:CB$87,'Fórmula'!H59,21)=0,10^6,INDEX(properties!A$1:CB$87,'Fórmula'!H59,21)),IF(INDEX(properties!A$1:CB$87,'Fórmula'!J59,21)=0,10^6,INDEX(properties!A$1:CB$87,'Fórmula'!J59,21)))</f>
        <v>2</v>
      </c>
      <c r="CA59" s="113">
        <f t="shared" si="13"/>
        <v>4</v>
      </c>
      <c r="CB59" s="114">
        <f t="array" ref="CB59">(('Fórmula'!C59)/('Fórmula'!C59+'Fórmula'!E59+'Fórmula'!G59+'Fórmula'!I59+'Fórmula'!K59))*(INDEX(properties!A$1:CB$87,'Fórmula'!B59,23))+(('Fórmula'!E59)/('Fórmula'!C59+'Fórmula'!E59+'Fórmula'!G59+'Fórmula'!I59+'Fórmula'!K59))*(INDEX(properties!A$1:CB$87,'Fórmula'!D59,23))+(('Fórmula'!G59)/('Fórmula'!C59+'Fórmula'!E59+'Fórmula'!G59+'Fórmula'!I59+'Fórmula'!K59))*(INDEX(properties!A$1:CB$87,'Fórmula'!F59,23))+(('Fórmula'!I59)/('Fórmula'!C59+'Fórmula'!E59+'Fórmula'!G59+'Fórmula'!I59+'Fórmula'!K59))*(INDEX(properties!A$1:CB$87,'Fórmula'!H59,23))+(('Fórmula'!K59)/('Fórmula'!C59+'Fórmula'!E59+'Fórmula'!G59+'Fórmula'!I59+'Fórmula'!K59))*(INDEX(properties!A$1:CB$87,'Fórmula'!J59,23))</f>
        <v>1.142857143</v>
      </c>
      <c r="CC59" s="114">
        <f t="array" ref="CC59">'Fórmula'!C59*(INDEX(properties!A$1:CB$87,'Fórmula'!B59,23))+'Fórmula'!E59*(INDEX(properties!A$1:CB$87,'Fórmula'!D59,23))+'Fórmula'!G59*(INDEX(properties!A$1:CB$87,'Fórmula'!F59,23))+'Fórmula'!I59*(INDEX(properties!A$1:CB$87,'Fórmula'!H59,23))+'Fórmula'!K59*(INDEX(properties!A$1:CB$87,'Fórmula'!J59,23))</f>
        <v>8</v>
      </c>
      <c r="CD59" s="114">
        <f t="array" ref="CD59">VARP(IF(INDEX(properties!A$1:CB$87,'Fórmula'!B59,23)&lt;&gt;"",INDEX(properties!A$1:CB$87,'Fórmula'!B59,23)),IF(INDEX(properties!A$1:CB$87,'Fórmula'!D59,23)&lt;&gt;"",INDEX(properties!A$1:CB$87,'Fórmula'!D59,23)),IF(INDEX(properties!A$1:CB$87,'Fórmula'!F59,23)&lt;&gt;"",INDEX(properties!A$1:CB$87,'Fórmula'!F59,23)),IF(INDEX(properties!A$1:CB$87,'Fórmula'!H59,23)&lt;&gt;"",INDEX(properties!A$1:CB$87,'Fórmula'!H59,23)),IF(INDEX(properties!A$1:CB$87,'Fórmula'!J59,23)&lt;&gt;"",INDEX(properties!A$1:CB$87,'Fórmula'!J59,23)))</f>
        <v>1.6</v>
      </c>
      <c r="CE59" s="114">
        <f t="array" ref="CE59">MAX(INDEX(properties!A$1:CB$87,'Fórmula'!B59,23),INDEX(properties!A$1:CB$87,'Fórmula'!D59,23),INDEX(properties!A$1:CB$87,'Fórmula'!F59,23),INDEX(properties!A$1:CB$87,'Fórmula'!H59,23),INDEX(properties!A$1:CB$87,'Fórmula'!J59,23))</f>
        <v>3</v>
      </c>
      <c r="CF59" s="114">
        <f t="array" ref="CF59">MIN(IF('Fórmula'!B59=87,10^6,INDEX(properties!A$1:CB$87,'Fórmula'!B59,23)),IF(('Fórmula'!D59)=87,10^6,INDEX(properties!A$1:CB$87,'Fórmula'!D59,23)),IF(('Fórmula'!F59)=87,10^6,INDEX(properties!A$1:CB$87,'Fórmula'!F59,23)),IF(('Fórmula'!H59)=87,10^6,INDEX(properties!A$1:CB$87,'Fórmula'!H59,23)),IF('Fórmula'!J59=87,10^6,INDEX(properties!A$1:CB$87,'Fórmula'!J59,23)))</f>
        <v>0</v>
      </c>
      <c r="CG59" s="114">
        <f t="shared" si="14"/>
        <v>3</v>
      </c>
      <c r="CH59" s="115">
        <f t="array" ref="CH59">(('Fórmula'!C59)/('Fórmula'!C59+'Fórmula'!E59+'Fórmula'!G59+'Fórmula'!I59+'Fórmula'!K59))*(INDEX(properties!A$1:CB$87,'Fórmula'!B59,26))+(('Fórmula'!E59)/('Fórmula'!C59+'Fórmula'!E59+'Fórmula'!G59+'Fórmula'!I59+'Fórmula'!K59))*(INDEX(properties!A$1:CB$87,'Fórmula'!D59,26))+(('Fórmula'!G59)/('Fórmula'!C59+'Fórmula'!E59+'Fórmula'!G59+'Fórmula'!I59+'Fórmula'!K59))*(INDEX(properties!A$1:CB$87,'Fórmula'!F59,26))+(('Fórmula'!I59)/('Fórmula'!C59+'Fórmula'!E59+'Fórmula'!G59+'Fórmula'!I59+'Fórmula'!K59))*(INDEX(properties!A$1:CB$87,'Fórmula'!H59,26))+(('Fórmula'!K59)/('Fórmula'!C59+'Fórmula'!E59+'Fórmula'!G59+'Fórmula'!I59+'Fórmula'!K59))*(INDEX(properties!A$1:CB$87,'Fórmula'!J59,26))</f>
        <v>10.96618571</v>
      </c>
      <c r="CI59" s="115">
        <f t="array" ref="CI59">'Fórmula'!C59*(INDEX(properties!A$1:CB$87,'Fórmula'!B59,26))+'Fórmula'!E59*(INDEX(properties!A$1:CB$87,'Fórmula'!D59,26))+'Fórmula'!G59*(INDEX(properties!A$1:CB$87,'Fórmula'!F59,26))+'Fórmula'!I59*(INDEX(properties!A$1:CB$87,'Fórmula'!H59,26))+'Fórmula'!K59*(INDEX(properties!A$1:CB$87,'Fórmula'!J59,26))</f>
        <v>76.7633</v>
      </c>
      <c r="CJ59" s="115">
        <f t="array" ref="CJ59">VARP(IF(INDEX(properties!A$1:CB$87,'Fórmula'!B59,26)&lt;&gt;"",INDEX(properties!A$1:CB$87,'Fórmula'!B59,26)),IF(INDEX(properties!A$1:CB$87,'Fórmula'!D59,26)&lt;&gt;"",INDEX(properties!A$1:CB$87,'Fórmula'!D59,26)),IF(INDEX(properties!A$1:CB$87,'Fórmula'!F59,26)&lt;&gt;"",INDEX(properties!A$1:CB$87,'Fórmula'!F59,26)),IF(INDEX(properties!A$1:CB$87,'Fórmula'!H59,26)&lt;&gt;"",INDEX(properties!A$1:CB$87,'Fórmula'!H59,26)),IF(INDEX(properties!A$1:CB$87,'Fórmula'!J59,26)&lt;&gt;"",INDEX(properties!A$1:CB$87,'Fórmula'!J59,26)))</f>
        <v>26.85357468</v>
      </c>
      <c r="CK59" s="116">
        <f t="array" ref="CK59">MAX(INDEX(properties!A$1:CB$87,'Fórmula'!B59,26),INDEX(properties!A$1:CB$87,'Fórmula'!D59,26),INDEX(properties!A$1:CB$87,'Fórmula'!F59,26),INDEX(properties!A$1:CB$87,'Fórmula'!H59,26),INDEX(properties!A$1:CB$87,'Fórmula'!J59,26))</f>
        <v>13.6181</v>
      </c>
      <c r="CL59" s="116">
        <f t="array" ref="CL59">MIN(IF(INDEX(properties!A$1:CB$87,'Fórmula'!B59,26)=0,10^6,INDEX(properties!A$1:CB$87,'Fórmula'!B59,26)),IF(INDEX(properties!A$1:CB$87,'Fórmula'!D59,26)=0,10^6,INDEX(properties!A$1:CB$87,'Fórmula'!D59,26)),IF(INDEX(properties!A$1:CB$87,'Fórmula'!F59,26)=0,10^6,INDEX(properties!A$1:CB$87,'Fórmula'!F59,26)),IF(INDEX(properties!A$1:CB$87,'Fórmula'!H59,26)=0,10^6,INDEX(properties!A$1:CB$87,'Fórmula'!H59,26)),IF(INDEX(properties!A$1:CB$87,'Fórmula'!J59,26)=0,10^6,INDEX(properties!A$1:CB$87,'Fórmula'!J59,26)))</f>
        <v>5.6949</v>
      </c>
      <c r="CM59" s="115">
        <f t="shared" si="15"/>
        <v>7.9232</v>
      </c>
      <c r="CN59" s="117">
        <f t="array" ref="CN59">(('Fórmula'!C59)/('Fórmula'!C59+'Fórmula'!E59+'Fórmula'!G59+'Fórmula'!I59+'Fórmula'!K59))*(INDEX(properties!A$1:CB$87,'Fórmula'!B59,30))+(('Fórmula'!E59)/('Fórmula'!C59+'Fórmula'!E59+'Fórmula'!G59+'Fórmula'!I59+'Fórmula'!K59))*(INDEX(properties!A$1:CB$87,'Fórmula'!D59,30))+(('Fórmula'!G59)/('Fórmula'!C59+'Fórmula'!E59+'Fórmula'!G59+'Fórmula'!I59+'Fórmula'!K59))*(INDEX(properties!A$1:CB$87,'Fórmula'!F59,30))+(('Fórmula'!I59)/('Fórmula'!C59+'Fórmula'!E59+'Fórmula'!G59+'Fórmula'!I59+'Fórmula'!K59))*(INDEX(properties!A$1:CB$87,'Fórmula'!H59,30))+(('Fórmula'!K59)/('Fórmula'!C59+'Fórmula'!E59+'Fórmula'!G59+'Fórmula'!I59+'Fórmula'!K59))*(INDEX(properties!A$1:CB$87,'Fórmula'!J59,30))</f>
        <v>2.684285714</v>
      </c>
      <c r="CO59" s="117">
        <f t="array" ref="CO59">'Fórmula'!C59*(INDEX(properties!A$1:CB$87,'Fórmula'!B59,30))+'Fórmula'!E59*(INDEX(properties!A$1:CB$87,'Fórmula'!D59,30))+'Fórmula'!G59*(INDEX(properties!A$1:CB$87,'Fórmula'!F59,30))+'Fórmula'!I59*(INDEX(properties!A$1:CB$87,'Fórmula'!H59,30))+'Fórmula'!K59*(INDEX(properties!A$1:CB$87,'Fórmula'!J59,30))</f>
        <v>18.79</v>
      </c>
      <c r="CP59" s="117">
        <f t="array" ref="CP59">VARP(IF(INDEX(properties!A$1:CB$87,'Fórmula'!B59,30)&lt;&gt;"",INDEX(properties!A$1:CB$87,'Fórmula'!B59,30)),IF(INDEX(properties!A$1:CB$87,'Fórmula'!D59,30)&lt;&gt;"",INDEX(properties!A$1:CB$87,'Fórmula'!D59,30)),IF(INDEX(properties!A$1:CB$87,'Fórmula'!F59,30)&lt;&gt;"",INDEX(properties!A$1:CB$87,'Fórmula'!F59,30)),IF(INDEX(properties!A$1:CB$87,'Fórmula'!H59,30)&lt;&gt;"",INDEX(properties!A$1:CB$87,'Fórmula'!H59,30)),IF(INDEX(properties!A$1:CB$87,'Fórmula'!J59,30)&lt;&gt;"",INDEX(properties!A$1:CB$87,'Fórmula'!J59,30)))</f>
        <v>1.725744</v>
      </c>
      <c r="CQ59" s="117">
        <f t="array" ref="CQ59">MAX(INDEX(properties!A$1:CB$87,'Fórmula'!B59,30),INDEX(properties!A$1:CB$87,'Fórmula'!D59,30),INDEX(properties!A$1:CB$87,'Fórmula'!F59,30),INDEX(properties!A$1:CB$87,'Fórmula'!H59,30),INDEX(properties!A$1:CB$87,'Fórmula'!J59,30))</f>
        <v>3.44</v>
      </c>
      <c r="CR59" s="117">
        <f t="array" ref="CR59">MIN(IF(INDEX(properties!A$1:CB$87,'Fórmula'!B59,30)=0,10^6,INDEX(properties!A$1:CB$87,'Fórmula'!B59,30)),IF(INDEX(properties!A$1:CB$87,'Fórmula'!D59,30)=0,10^6,INDEX(properties!A$1:CB$87,'Fórmula'!D59,30)),IF(INDEX(properties!A$1:CB$87,'Fórmula'!F59,30)=0,10^6,INDEX(properties!A$1:CB$87,'Fórmula'!F59,30)),IF(INDEX(properties!A$1:CB$87,'Fórmula'!H59,30)=0,10^6,INDEX(properties!A$1:CB$87,'Fórmula'!H59,30)),IF(INDEX(properties!A$1:CB$87,'Fórmula'!J59,30)=0,10^6,INDEX(properties!A$1:CB$87,'Fórmula'!J59,30)))</f>
        <v>0.95</v>
      </c>
      <c r="CS59" s="117">
        <f t="shared" si="16"/>
        <v>2.49</v>
      </c>
      <c r="CT59" s="118">
        <f t="array" ref="CT59">(('Fórmula'!C59)/('Fórmula'!C59+'Fórmula'!E59+'Fórmula'!G59+'Fórmula'!I59+'Fórmula'!K59))*(INDEX(properties!A$1:CB$87,'Fórmula'!B59,31))+(('Fórmula'!E59)/('Fórmula'!C59+'Fórmula'!E59+'Fórmula'!G59+'Fórmula'!I59+'Fórmula'!K59))*(INDEX(properties!A$1:CB$87,'Fórmula'!D59,31))+(('Fórmula'!G59)/('Fórmula'!C59+'Fórmula'!E59+'Fórmula'!G59+'Fórmula'!I59+'Fórmula'!K59))*(INDEX(properties!A$1:CB$87,'Fórmula'!F59,31))+(('Fórmula'!I59)/('Fórmula'!C59+'Fórmula'!E59+'Fórmula'!G59+'Fórmula'!I59+'Fórmula'!K59))*(INDEX(properties!A$1:CB$87,'Fórmula'!H59,31))+(('Fórmula'!K59)/('Fórmula'!C59+'Fórmula'!E59+'Fórmula'!G59+'Fórmula'!I59+'Fórmula'!K59))*(INDEX(properties!A$1:CB$87,'Fórmula'!J59,31))</f>
        <v>2.601428571</v>
      </c>
      <c r="CU59" s="118">
        <f t="array" ref="CU59">'Fórmula'!C59*(INDEX(properties!A$1:CB$87,'Fórmula'!B59,31))+'Fórmula'!E59*(INDEX(properties!A$1:CB$87,'Fórmula'!D59,31))+'Fórmula'!G59*(INDEX(properties!A$1:CB$87,'Fórmula'!F59,31))+'Fórmula'!I59*(INDEX(properties!A$1:CB$87,'Fórmula'!H59,31))+'Fórmula'!K59*(INDEX(properties!A$1:CB$87,'Fórmula'!J59,31))</f>
        <v>18.21</v>
      </c>
      <c r="CV59" s="118">
        <f t="array" ref="CV59">VARP(IF(INDEX(properties!A$1:CB$87,'Fórmula'!B59,31)&lt;&gt;"",INDEX(properties!A$1:CB$87,'Fórmula'!B59,31)),IF(INDEX(properties!A$1:CB$87,'Fórmula'!D59,31)&lt;&gt;"",INDEX(properties!A$1:CB$87,'Fórmula'!D59,31)),IF(INDEX(properties!A$1:CB$87,'Fórmula'!F59,31)&lt;&gt;"",INDEX(properties!A$1:CB$87,'Fórmula'!F59,31)),IF(INDEX(properties!A$1:CB$87,'Fórmula'!H59,31)&lt;&gt;"",INDEX(properties!A$1:CB$87,'Fórmula'!H59,31)),IF(INDEX(properties!A$1:CB$87,'Fórmula'!J59,31)&lt;&gt;"",INDEX(properties!A$1:CB$87,'Fórmula'!J59,31)))</f>
        <v>1.56896</v>
      </c>
      <c r="CW59" s="118">
        <f t="array" ref="CW59">MAX(INDEX(properties!A$1:CB$87,'Fórmula'!B59,31),INDEX(properties!A$1:CB$87,'Fórmula'!D59,31),INDEX(properties!A$1:CB$87,'Fórmula'!F59,31),INDEX(properties!A$1:CB$87,'Fórmula'!H59,31),INDEX(properties!A$1:CB$87,'Fórmula'!J59,31))</f>
        <v>3.32</v>
      </c>
      <c r="CX59" s="118">
        <f t="array" ref="CX59">MIN(IF(INDEX(properties!A$1:CB$87,'Fórmula'!B59,31)=0,10^6,INDEX(properties!A$1:CB$87,'Fórmula'!B59,31)),IF(INDEX(properties!A$1:CB$87,'Fórmula'!D59,31)=0,10^6,INDEX(properties!A$1:CB$87,'Fórmula'!D59,31)),IF(INDEX(properties!A$1:CB$87,'Fórmula'!F59,31)=0,10^6,INDEX(properties!A$1:CB$87,'Fórmula'!F59,31)),IF(INDEX(properties!A$1:CB$87,'Fórmula'!H59,31)=0,10^6,INDEX(properties!A$1:CB$87,'Fórmula'!H59,31)),IF(INDEX(properties!A$1:CB$87,'Fórmula'!J59,31)=0,10^6,INDEX(properties!A$1:CB$87,'Fórmula'!J59,31)))</f>
        <v>1.13</v>
      </c>
      <c r="CY59" s="118">
        <f t="shared" si="17"/>
        <v>2.19</v>
      </c>
      <c r="CZ59" s="119">
        <f t="array" ref="CZ59">(('Fórmula'!C59)/('Fórmula'!C59+'Fórmula'!E59+'Fórmula'!G59+'Fórmula'!I59+'Fórmula'!K59))*(INDEX(properties!A$1:CB$87,'Fórmula'!B59,32))+(('Fórmula'!E59)/('Fórmula'!C59+'Fórmula'!E59+'Fórmula'!G59+'Fórmula'!I59+'Fórmula'!K59))*(INDEX(properties!A$1:CB$87,'Fórmula'!D59,32))+(('Fórmula'!G59)/('Fórmula'!C59+'Fórmula'!E59+'Fórmula'!G59+'Fórmula'!I59+'Fórmula'!K59))*(INDEX(properties!A$1:CB$87,'Fórmula'!F59,32))+(('Fórmula'!I59)/('Fórmula'!C59+'Fórmula'!E59+'Fórmula'!G59+'Fórmula'!I59+'Fórmula'!K59))*(INDEX(properties!A$1:CB$87,'Fórmula'!H59,32))+(('Fórmula'!K59)/('Fórmula'!C59+'Fórmula'!E59+'Fórmula'!G59+'Fórmula'!I59+'Fórmula'!K59))*(INDEX(properties!A$1:CB$87,'Fórmula'!J59,32))</f>
        <v>5.82</v>
      </c>
      <c r="DA59" s="119">
        <f t="array" ref="DA59">'Fórmula'!C59*(INDEX(properties!A$1:CB$87,'Fórmula'!B59,32))+'Fórmula'!E59*(INDEX(properties!A$1:CB$87,'Fórmula'!D59,32))+'Fórmula'!G59*(INDEX(properties!A$1:CB$87,'Fórmula'!F59,32))+'Fórmula'!I59*(INDEX(properties!A$1:CB$87,'Fórmula'!H59,32))+'Fórmula'!K59*(INDEX(properties!A$1:CB$87,'Fórmula'!J59,32))</f>
        <v>40.74</v>
      </c>
      <c r="DB59" s="119">
        <f t="array" ref="DB59">VARP(IF(INDEX(properties!A$1:CB$87,'Fórmula'!B59,32)&lt;&gt;"",INDEX(properties!A$1:CB$87,'Fórmula'!B59,32)),IF(INDEX(properties!A$1:CB$87,'Fórmula'!D59,32)&lt;&gt;"",INDEX(properties!A$1:CB$87,'Fórmula'!D59,32)),IF(INDEX(properties!A$1:CB$87,'Fórmula'!F59,32)&lt;&gt;"",INDEX(properties!A$1:CB$87,'Fórmula'!F59,32)),IF(INDEX(properties!A$1:CB$87,'Fórmula'!H59,32)&lt;&gt;"",INDEX(properties!A$1:CB$87,'Fórmula'!H59,32)),IF(INDEX(properties!A$1:CB$87,'Fórmula'!J59,32)&lt;&gt;"",INDEX(properties!A$1:CB$87,'Fórmula'!J59,32)))</f>
        <v>8.200384</v>
      </c>
      <c r="DC59" s="119">
        <f t="array" ref="DC59">MAX(INDEX(properties!A$1:CB$87,'Fórmula'!B59,32),INDEX(properties!A$1:CB$87,'Fórmula'!D59,32),INDEX(properties!A$1:CB$87,'Fórmula'!F59,32),INDEX(properties!A$1:CB$87,'Fórmula'!H59,32),INDEX(properties!A$1:CB$87,'Fórmula'!J59,32))</f>
        <v>7.54</v>
      </c>
      <c r="DD59" s="119">
        <f t="array" ref="DD59">MIN(IF(INDEX(properties!A$1:CB$87,'Fórmula'!B59,32)=0,10^6,INDEX(properties!A$1:CB$87,'Fórmula'!B59,32)),IF(INDEX(properties!A$1:CB$87,'Fórmula'!D59,32)=0,10^6,INDEX(properties!A$1:CB$87,'Fórmula'!D59,32)),IF(INDEX(properties!A$1:CB$87,'Fórmula'!F59,32)=0,10^6,INDEX(properties!A$1:CB$87,'Fórmula'!F59,32)),IF(INDEX(properties!A$1:CB$87,'Fórmula'!H59,32)=0,10^6,INDEX(properties!A$1:CB$87,'Fórmula'!H59,32)),IF(INDEX(properties!A$1:CB$87,'Fórmula'!J59,32)=0,10^6,INDEX(properties!A$1:CB$87,'Fórmula'!J59,32)))</f>
        <v>2</v>
      </c>
      <c r="DE59" s="119">
        <f t="shared" si="18"/>
        <v>5.54</v>
      </c>
      <c r="DF59" s="104">
        <f t="array" ref="DF59">(('Fórmula'!C59)/('Fórmula'!C59+'Fórmula'!E59+'Fórmula'!G59+'Fórmula'!I59+'Fórmula'!K59))*(INDEX(properties!A$1:CB$87,'Fórmula'!B59,34))+(('Fórmula'!E59)/('Fórmula'!C59+'Fórmula'!E59+'Fórmula'!G59+'Fórmula'!I59+'Fórmula'!K59))*(INDEX(properties!A$1:CB$87,'Fórmula'!D59,34))+(('Fórmula'!G59)/('Fórmula'!C59+'Fórmula'!E59+'Fórmula'!G59+'Fórmula'!I59+'Fórmula'!K59))*(INDEX(properties!A$1:CB$87,'Fórmula'!F59,34))+(('Fórmula'!I59)/('Fórmula'!C59+'Fórmula'!E59+'Fórmula'!G59+'Fórmula'!I59+'Fórmula'!K59))*(INDEX(properties!A$1:CB$87,'Fórmula'!H59,34))+(('Fórmula'!K59)/('Fórmula'!C59+'Fórmula'!E59+'Fórmula'!G59+'Fórmula'!I59+'Fórmula'!K59))*(INDEX(properties!A$1:CB$87,'Fórmula'!J59,34))</f>
        <v>2.786428571</v>
      </c>
      <c r="DG59" s="104">
        <f t="array" ref="DG59">'Fórmula'!C59*(INDEX(properties!A$1:CB$87,'Fórmula'!B59,34))+'Fórmula'!E59*(INDEX(properties!A$1:CB$87,'Fórmula'!D59,34))+'Fórmula'!G59*(INDEX(properties!A$1:CB$87,'Fórmula'!F59,34))+'Fórmula'!I59*(INDEX(properties!A$1:CB$87,'Fórmula'!H59,34))+'Fórmula'!K59*(INDEX(properties!A$1:CB$87,'Fórmula'!J59,34))</f>
        <v>19.505</v>
      </c>
      <c r="DH59" s="104">
        <f t="array" ref="DH59">VARP(IF(INDEX(properties!A$1:CB$87,'Fórmula'!B59,34)&lt;&gt;"",INDEX(properties!A$1:CB$87,'Fórmula'!B59,34)),IF(INDEX(properties!A$1:CB$87,'Fórmula'!D59,34)&lt;&gt;"",INDEX(properties!A$1:CB$87,'Fórmula'!D59,34)),IF(INDEX(properties!A$1:CB$87,'Fórmula'!F59,34)&lt;&gt;"",INDEX(properties!A$1:CB$87,'Fórmula'!F59,34)),IF(INDEX(properties!A$1:CB$87,'Fórmula'!H59,34)&lt;&gt;"",INDEX(properties!A$1:CB$87,'Fórmula'!H59,34)),IF(INDEX(properties!A$1:CB$87,'Fórmula'!J59,34)&lt;&gt;"",INDEX(properties!A$1:CB$87,'Fórmula'!J59,34)))</f>
        <v>1.87811896</v>
      </c>
      <c r="DI59" s="104">
        <f t="array" ref="DI59">MAX(INDEX(properties!A$1:CB$87,'Fórmula'!B59,34),INDEX(properties!A$1:CB$87,'Fórmula'!D59,34),INDEX(properties!A$1:CB$87,'Fórmula'!F59,34),INDEX(properties!A$1:CB$87,'Fórmula'!H59,34),INDEX(properties!A$1:CB$87,'Fórmula'!J59,34))</f>
        <v>3.61</v>
      </c>
      <c r="DJ59" s="104">
        <f t="array" ref="DJ59">MIN(IF(INDEX(properties!A$1:CB$87,'Fórmula'!B59,34)=0,10^6,INDEX(properties!A$1:CB$87,'Fórmula'!B59,34)),IF(INDEX(properties!A$1:CB$87,'Fórmula'!D59,34)=0,10^6,INDEX(properties!A$1:CB$87,'Fórmula'!D59,34)),IF(INDEX(properties!A$1:CB$87,'Fórmula'!F59,34)=0,10^6,INDEX(properties!A$1:CB$87,'Fórmula'!F59,34)),IF(INDEX(properties!A$1:CB$87,'Fórmula'!H59,34)=0,10^6,INDEX(properties!A$1:CB$87,'Fórmula'!H59,34)),IF(INDEX(properties!A$1:CB$87,'Fórmula'!J59,34)=0,10^6,INDEX(properties!A$1:CB$87,'Fórmula'!J59,34)))</f>
        <v>0.963</v>
      </c>
      <c r="DK59" s="104">
        <f t="shared" si="19"/>
        <v>2.647</v>
      </c>
      <c r="DL59" s="105">
        <f t="array" ref="DL59">(('Fórmula'!C59)/('Fórmula'!C59+'Fórmula'!E59+'Fórmula'!G59+'Fórmula'!I59+'Fórmula'!K59))*(INDEX(properties!A$1:CB$87,'Fórmula'!B59,37))+(('Fórmula'!E59)/('Fórmula'!C59+'Fórmula'!E59+'Fórmula'!G59+'Fórmula'!I59+'Fórmula'!K59))*(INDEX(properties!A$1:CB$87,'Fórmula'!D59,37))+(('Fórmula'!G59)/('Fórmula'!C59+'Fórmula'!E59+'Fórmula'!G59+'Fórmula'!I59+'Fórmula'!K59))*(INDEX(properties!A$1:CB$87,'Fórmula'!F59,37))+(('Fórmula'!I59)/('Fórmula'!C59+'Fórmula'!E59+'Fórmula'!G59+'Fórmula'!I59+'Fórmula'!K59))*(INDEX(properties!A$1:CB$87,'Fórmula'!H59,37))+(('Fórmula'!K59)/('Fórmula'!C59+'Fórmula'!E59+'Fórmula'!G59+'Fórmula'!I59+'Fórmula'!K59))*(INDEX(properties!A$1:CB$87,'Fórmula'!J59,37))</f>
        <v>2.657142857</v>
      </c>
      <c r="DM59" s="105">
        <f t="array" ref="DM59">'Fórmula'!C59*(INDEX(properties!A$1:CB$87,'Fórmula'!B59,37))+'Fórmula'!E59*(INDEX(properties!A$1:CB$87,'Fórmula'!D59,37))+'Fórmula'!G59*(INDEX(properties!A$1:CB$87,'Fórmula'!F59,37))+'Fórmula'!I59*(INDEX(properties!A$1:CB$87,'Fórmula'!H59,37))+'Fórmula'!K59*(INDEX(properties!A$1:CB$87,'Fórmula'!J59,37))</f>
        <v>18.6</v>
      </c>
      <c r="DN59" s="105">
        <f t="array" ref="DN59">VARP(IF(INDEX(properties!A$1:CB$87,'Fórmula'!B59,37)&lt;&gt;"",INDEX(properties!A$1:CB$87,'Fórmula'!B59,37)),IF(INDEX(properties!A$1:CB$87,'Fórmula'!D59,37)&lt;&gt;"",INDEX(properties!A$1:CB$87,'Fórmula'!D59,37)),IF(INDEX(properties!A$1:CB$87,'Fórmula'!F59,37)&lt;&gt;"",INDEX(properties!A$1:CB$87,'Fórmula'!F59,37)),IF(INDEX(properties!A$1:CB$87,'Fórmula'!H59,37)&lt;&gt;"",INDEX(properties!A$1:CB$87,'Fórmula'!H59,37)),IF(INDEX(properties!A$1:CB$87,'Fórmula'!J59,37)&lt;&gt;"",INDEX(properties!A$1:CB$87,'Fórmula'!J59,37)))</f>
        <v>1.6896</v>
      </c>
      <c r="DO59" s="105">
        <f t="array" ref="DO59">MAX(INDEX(properties!A$1:CB$87,'Fórmula'!B59,37),INDEX(properties!A$1:CB$87,'Fórmula'!D59,37),INDEX(properties!A$1:CB$87,'Fórmula'!F59,37),INDEX(properties!A$1:CB$87,'Fórmula'!H59,37),INDEX(properties!A$1:CB$87,'Fórmula'!J59,37))</f>
        <v>3.45</v>
      </c>
      <c r="DP59" s="105">
        <f t="array" ref="DP59">MIN(IF(INDEX(properties!A$1:CB$87,'Fórmula'!B59,37)=0,10^6,INDEX(properties!A$1:CB$87,'Fórmula'!B59,37)),IF(INDEX(properties!A$1:CB$87,'Fórmula'!D59,37)=0,10^6,INDEX(properties!A$1:CB$87,'Fórmula'!D59,37)),IF(INDEX(properties!A$1:CB$87,'Fórmula'!F59,37)=0,10^6,INDEX(properties!A$1:CB$87,'Fórmula'!F59,37)),IF(INDEX(properties!A$1:CB$87,'Fórmula'!H59,37)=0,10^6,INDEX(properties!A$1:CB$87,'Fórmula'!H59,37)),IF(INDEX(properties!A$1:CB$87,'Fórmula'!J59,37)=0,10^6,INDEX(properties!A$1:CB$87,'Fórmula'!J59,37)))</f>
        <v>1</v>
      </c>
      <c r="DQ59" s="105">
        <f t="shared" si="20"/>
        <v>2.45</v>
      </c>
      <c r="DR59" s="109">
        <f t="array" ref="DR59">(('Fórmula'!C59)/('Fórmula'!C59+'Fórmula'!E59+'Fórmula'!G59+'Fórmula'!I59+'Fórmula'!K59))*(INDEX(properties!A$1:CB$87,'Fórmula'!B59,39))+(('Fórmula'!E59)/('Fórmula'!C59+'Fórmula'!E59+'Fórmula'!G59+'Fórmula'!I59+'Fórmula'!K59))*(INDEX(properties!A$1:CB$87,'Fórmula'!D59,39))+(('Fórmula'!G59)/('Fórmula'!C59+'Fórmula'!E59+'Fórmula'!G59+'Fórmula'!I59+'Fórmula'!K59))*(INDEX(properties!A$1:CB$87,'Fórmula'!F59,39))+(('Fórmula'!I59)/('Fórmula'!C59+'Fórmula'!E59+'Fórmula'!G59+'Fórmula'!I59+'Fórmula'!K59))*(INDEX(properties!A$1:CB$87,'Fórmula'!H59,39))+(('Fórmula'!K59)/('Fórmula'!C59+'Fórmula'!E59+'Fórmula'!G59+'Fórmula'!I59+'Fórmula'!K59))*(INDEX(properties!A$1:CB$87,'Fórmula'!J59,39))</f>
        <v>0.8357142857</v>
      </c>
      <c r="DS59" s="109">
        <f t="array" ref="DS59">'Fórmula'!C59*(INDEX(properties!A$1:CB$87,'Fórmula'!B59,39))+'Fórmula'!E59*(INDEX(properties!A$1:CB$87,'Fórmula'!D59,39))+'Fórmula'!G59*(INDEX(properties!A$1:CB$87,'Fórmula'!F59,39))+'Fórmula'!I59*(INDEX(properties!A$1:CB$87,'Fórmula'!H59,39))+'Fórmula'!K59*(INDEX(properties!A$1:CB$87,'Fórmula'!J59,39))</f>
        <v>5.85</v>
      </c>
      <c r="DT59" s="109">
        <f t="array" ref="DT59">VARP(IF(INDEX(properties!A$1:CB$87,'Fórmula'!B59,39)&lt;&gt;"",INDEX(properties!A$1:CB$87,'Fórmula'!B59,39)),IF(INDEX(properties!A$1:CB$87,'Fórmula'!D59,39)&lt;&gt;"",INDEX(properties!A$1:CB$87,'Fórmula'!D59,39)),IF(INDEX(properties!A$1:CB$87,'Fórmula'!F59,39)&lt;&gt;"",INDEX(properties!A$1:CB$87,'Fórmula'!F59,39)),IF(INDEX(properties!A$1:CB$87,'Fórmula'!H59,39)&lt;&gt;"",INDEX(properties!A$1:CB$87,'Fórmula'!H59,39)),IF(INDEX(properties!A$1:CB$87,'Fórmula'!J59,39)&lt;&gt;"",INDEX(properties!A$1:CB$87,'Fórmula'!J59,39)))</f>
        <v>0.655416</v>
      </c>
      <c r="DU59" s="120">
        <f t="array" ref="DU59">MAX(INDEX(properties!A$1:CB$87,'Fórmula'!B59,39),INDEX(properties!A$1:CB$87,'Fórmula'!D59,39),INDEX(properties!A$1:CB$87,'Fórmula'!F59,39),INDEX(properties!A$1:CB$87,'Fórmula'!H59,39),INDEX(properties!A$1:CB$87,'Fórmula'!J59,39))</f>
        <v>2.19</v>
      </c>
      <c r="DV59" s="120">
        <f t="array" ref="DV59">MIN(IF(INDEX(properties!A$1:CB$87,'Fórmula'!B59,39)=0,10^6,INDEX(properties!A$1:CB$87,'Fórmula'!B59,39)),IF(INDEX(properties!A$1:CB$87,'Fórmula'!D59,39)=0,10^6,INDEX(properties!A$1:CB$87,'Fórmula'!D59,39)),IF(INDEX(properties!A$1:CB$87,'Fórmula'!F59,39)=0,10^6,INDEX(properties!A$1:CB$87,'Fórmula'!F59,39)),IF(INDEX(properties!A$1:CB$87,'Fórmula'!H59,39)=0,10^6,INDEX(properties!A$1:CB$87,'Fórmula'!H59,39)),IF(INDEX(properties!A$1:CB$87,'Fórmula'!J59,39)=0,10^6,INDEX(properties!A$1:CB$87,'Fórmula'!J59,39)))</f>
        <v>0.48</v>
      </c>
      <c r="DW59" s="109">
        <f t="shared" si="21"/>
        <v>1.71</v>
      </c>
      <c r="DX59" s="110">
        <f t="array" ref="DX59">(('Fórmula'!C59)/('Fórmula'!C59+'Fórmula'!E59+'Fórmula'!G59+'Fórmula'!I59+'Fórmula'!K59))*(INDEX(properties!A$1:CB$87,'Fórmula'!B59,40))+(('Fórmula'!E59)/('Fórmula'!C59+'Fórmula'!E59+'Fórmula'!G59+'Fórmula'!I59+'Fórmula'!K59))*(INDEX(properties!A$1:CB$87,'Fórmula'!D59,40))+(('Fórmula'!G59)/('Fórmula'!C59+'Fórmula'!E59+'Fórmula'!G59+'Fórmula'!I59+'Fórmula'!K59))*(INDEX(properties!A$1:CB$87,'Fórmula'!F59,40))+(('Fórmula'!I59)/('Fórmula'!C59+'Fórmula'!E59+'Fórmula'!G59+'Fórmula'!I59+'Fórmula'!K59))*(INDEX(properties!A$1:CB$87,'Fórmula'!H59,40))+(('Fórmula'!K59)/('Fórmula'!C59+'Fórmula'!E59+'Fórmula'!G59+'Fórmula'!I59+'Fórmula'!K59))*(INDEX(properties!A$1:CB$87,'Fórmula'!J59,40))</f>
        <v>0.9257142857</v>
      </c>
      <c r="DY59" s="110">
        <f t="array" ref="DY59">'Fórmula'!C59*(INDEX(properties!A$1:CB$87,'Fórmula'!B59,40))+'Fórmula'!E59*(INDEX(properties!A$1:CB$87,'Fórmula'!D59,40))+'Fórmula'!G59*(INDEX(properties!A$1:CB$87,'Fórmula'!F59,40))+'Fórmula'!I59*(INDEX(properties!A$1:CB$87,'Fórmula'!H59,40))+'Fórmula'!K59*(INDEX(properties!A$1:CB$87,'Fórmula'!J59,40))</f>
        <v>6.48</v>
      </c>
      <c r="DZ59" s="110">
        <f t="array" ref="DZ59">VARP(IF(INDEX(properties!A$1:CB$87,'Fórmula'!B59,40)&lt;&gt;"",INDEX(properties!A$1:CB$87,'Fórmula'!B59,40)),IF(INDEX(properties!A$1:CB$87,'Fórmula'!D59,40)&lt;&gt;"",INDEX(properties!A$1:CB$87,'Fórmula'!D59,40)),IF(INDEX(properties!A$1:CB$87,'Fórmula'!F59,40)&lt;&gt;"",INDEX(properties!A$1:CB$87,'Fórmula'!F59,40)),IF(INDEX(properties!A$1:CB$87,'Fórmula'!H59,40)&lt;&gt;"",INDEX(properties!A$1:CB$87,'Fórmula'!H59,40)),IF(INDEX(properties!A$1:CB$87,'Fórmula'!J59,40)&lt;&gt;"",INDEX(properties!A$1:CB$87,'Fórmula'!J59,40)))</f>
        <v>0.496704</v>
      </c>
      <c r="EA59" s="121">
        <f t="array" ref="EA59">MAX(INDEX(properties!A$1:CB$87,'Fórmula'!B59,40),INDEX(properties!A$1:CB$87,'Fórmula'!D59,40),INDEX(properties!A$1:CB$87,'Fórmula'!F59,40),INDEX(properties!A$1:CB$87,'Fórmula'!H59,40),INDEX(properties!A$1:CB$87,'Fórmula'!J59,40))</f>
        <v>1.92</v>
      </c>
      <c r="EB59" s="121">
        <f t="array" ref="EB59">MIN(IF(INDEX(properties!A$1:CB$87,'Fórmula'!B59,40)=0,10^6,INDEX(properties!A$1:CB$87,'Fórmula'!B59,40)),IF(INDEX(properties!A$1:CB$87,'Fórmula'!D59,40)=0,10^6,INDEX(properties!A$1:CB$87,'Fórmula'!D59,40)),IF(INDEX(properties!A$1:CB$87,'Fórmula'!F59,40)=0,10^6,INDEX(properties!A$1:CB$87,'Fórmula'!F59,40)),IF(INDEX(properties!A$1:CB$87,'Fórmula'!H59,40)=0,10^6,INDEX(properties!A$1:CB$87,'Fórmula'!H59,40)),IF(INDEX(properties!A$1:CB$87,'Fórmula'!J59,40)=0,10^6,INDEX(properties!A$1:CB$87,'Fórmula'!J59,40)))</f>
        <v>0.73</v>
      </c>
      <c r="EC59" s="110">
        <f t="shared" si="22"/>
        <v>1.19</v>
      </c>
      <c r="ED59" s="111">
        <f t="array" ref="ED59">(('Fórmula'!C59)/('Fórmula'!C59+'Fórmula'!E59+'Fórmula'!G59+'Fórmula'!I59+'Fórmula'!K59))*(INDEX(properties!A$1:CB$87,'Fórmula'!B59,41))+(('Fórmula'!E59)/('Fórmula'!C59+'Fórmula'!E59+'Fórmula'!G59+'Fórmula'!I59+'Fórmula'!K59))*(INDEX(properties!A$1:CB$87,'Fórmula'!D59,41))+(('Fórmula'!G59)/('Fórmula'!C59+'Fórmula'!E59+'Fórmula'!G59+'Fórmula'!I59+'Fórmula'!K59))*(INDEX(properties!A$1:CB$87,'Fórmula'!F59,41))+(('Fórmula'!I59)/('Fórmula'!C59+'Fórmula'!E59+'Fórmula'!G59+'Fórmula'!I59+'Fórmula'!K59))*(INDEX(properties!A$1:CB$87,'Fórmula'!H59,41))+(('Fórmula'!K59)/('Fórmula'!C59+'Fórmula'!E59+'Fórmula'!G59+'Fórmula'!I59+'Fórmula'!K59))*(INDEX(properties!A$1:CB$87,'Fórmula'!J59,41))</f>
        <v>1.025714286</v>
      </c>
      <c r="EE59" s="111">
        <f t="array" ref="EE59">'Fórmula'!C59*(INDEX(properties!A$1:CB$87,'Fórmula'!B59,41))+'Fórmula'!E59*(INDEX(properties!A$1:CB$87,'Fórmula'!D59,41))+'Fórmula'!G59*(INDEX(properties!A$1:CB$87,'Fórmula'!F59,41))+'Fórmula'!I59*(INDEX(properties!A$1:CB$87,'Fórmula'!H59,41))+'Fórmula'!K59*(INDEX(properties!A$1:CB$87,'Fórmula'!J59,41))</f>
        <v>7.18</v>
      </c>
      <c r="EF59" s="111">
        <f t="array" ref="EF59">VARP(IF(INDEX(properties!A$1:CB$87,'Fórmula'!B59,41)&lt;&gt;"",INDEX(properties!A$1:CB$87,'Fórmula'!B59,41)),IF(INDEX(properties!A$1:CB$87,'Fórmula'!D59,41)&lt;&gt;"",INDEX(properties!A$1:CB$87,'Fórmula'!D59,41)),IF(INDEX(properties!A$1:CB$87,'Fórmula'!F59,41)&lt;&gt;"",INDEX(properties!A$1:CB$87,'Fórmula'!F59,41)),IF(INDEX(properties!A$1:CB$87,'Fórmula'!H59,41)&lt;&gt;"",INDEX(properties!A$1:CB$87,'Fórmula'!H59,41)),IF(INDEX(properties!A$1:CB$87,'Fórmula'!J59,41)&lt;&gt;"",INDEX(properties!A$1:CB$87,'Fórmula'!J59,41)))</f>
        <v>0.342016</v>
      </c>
      <c r="EG59" s="122">
        <f t="array" ref="EG59">MAX(INDEX(properties!A$1:CB$87,'Fórmula'!B59,41),INDEX(properties!A$1:CB$87,'Fórmula'!D59,41),INDEX(properties!A$1:CB$87,'Fórmula'!F59,41),INDEX(properties!A$1:CB$87,'Fórmula'!H59,41),INDEX(properties!A$1:CB$87,'Fórmula'!J59,41))</f>
        <v>1.32</v>
      </c>
      <c r="EH59" s="122">
        <f t="array" ref="EH59">MIN(IF(INDEX(properties!A$1:CB$87,'Fórmula'!B59,41)=0,10^6,INDEX(properties!A$1:CB$87,'Fórmula'!B59,41)),IF(INDEX(properties!A$1:CB$87,'Fórmula'!D59,41)=0,10^6,INDEX(properties!A$1:CB$87,'Fórmula'!D59,41)),IF(INDEX(properties!A$1:CB$87,'Fórmula'!F59,41)=0,10^6,INDEX(properties!A$1:CB$87,'Fórmula'!F59,41)),IF(INDEX(properties!A$1:CB$87,'Fórmula'!H59,41)=0,10^6,INDEX(properties!A$1:CB$87,'Fórmula'!H59,41)),IF(INDEX(properties!A$1:CB$87,'Fórmula'!J59,41)=0,10^6,INDEX(properties!A$1:CB$87,'Fórmula'!J59,41)))</f>
        <v>0.41</v>
      </c>
      <c r="EI59" s="111">
        <f t="shared" si="23"/>
        <v>0.91</v>
      </c>
      <c r="EJ59" s="112">
        <f t="array" ref="EJ59">(('Fórmula'!C59)/('Fórmula'!C59+'Fórmula'!E59+'Fórmula'!G59+'Fórmula'!I59+'Fórmula'!K59))*(INDEX(properties!A$1:CB$87,'Fórmula'!B59,45))+(('Fórmula'!E59)/('Fórmula'!C59+'Fórmula'!E59+'Fórmula'!G59+'Fórmula'!I59+'Fórmula'!K59))*(INDEX(properties!A$1:CB$87,'Fórmula'!D59,45))+(('Fórmula'!G59)/('Fórmula'!C59+'Fórmula'!E59+'Fórmula'!G59+'Fórmula'!I59+'Fórmula'!K59))*(INDEX(properties!A$1:CB$87,'Fórmula'!F59,45))+(('Fórmula'!I59)/('Fórmula'!C59+'Fórmula'!E59+'Fórmula'!G59+'Fórmula'!I59+'Fórmula'!K59))*(INDEX(properties!A$1:CB$87,'Fórmula'!H59,45))+(('Fórmula'!K59)/('Fórmula'!C59+'Fórmula'!E59+'Fórmula'!G59+'Fórmula'!I59+'Fórmula'!K59))*(INDEX(properties!A$1:CB$87,'Fórmula'!J59,45))</f>
        <v>0.9557142857</v>
      </c>
      <c r="EK59" s="112">
        <f t="array" ref="EK59">'Fórmula'!C59*(INDEX(properties!A$1:CB$87,'Fórmula'!B59,45))+'Fórmula'!E59*(INDEX(properties!A$1:CB$87,'Fórmula'!D59,45))+'Fórmula'!G59*(INDEX(properties!A$1:CB$87,'Fórmula'!F59,45))+'Fórmula'!I59*(INDEX(properties!A$1:CB$87,'Fórmula'!H59,45))+'Fórmula'!K59*(INDEX(properties!A$1:CB$87,'Fórmula'!J59,45))</f>
        <v>6.69</v>
      </c>
      <c r="EL59" s="112">
        <f t="array" ref="EL59">VARP(IF(INDEX(properties!A$1:CB$87,'Fórmula'!B59,45)&lt;&gt;"",INDEX(properties!A$1:CB$87,'Fórmula'!B59,45)),IF(INDEX(properties!A$1:CB$87,'Fórmula'!D59,45)&lt;&gt;"",INDEX(properties!A$1:CB$87,'Fórmula'!D59,45)),IF(INDEX(properties!A$1:CB$87,'Fórmula'!F59,45)&lt;&gt;"",INDEX(properties!A$1:CB$87,'Fórmula'!F59,45)),IF(INDEX(properties!A$1:CB$87,'Fórmula'!H59,45)&lt;&gt;"",INDEX(properties!A$1:CB$87,'Fórmula'!H59,45)),IF(INDEX(properties!A$1:CB$87,'Fórmula'!J59,45)&lt;&gt;"",INDEX(properties!A$1:CB$87,'Fórmula'!J59,45)))</f>
        <v>1.430184</v>
      </c>
      <c r="EM59" s="123">
        <f t="array" ref="EM59">MAX(INDEX(properties!A$1:CB$87,'Fórmula'!B59,45),INDEX(properties!A$1:CB$87,'Fórmula'!D59,45),INDEX(properties!A$1:CB$87,'Fórmula'!F59,45),INDEX(properties!A$1:CB$87,'Fórmula'!H59,45),INDEX(properties!A$1:CB$87,'Fórmula'!J59,45))</f>
        <v>3.21</v>
      </c>
      <c r="EN59" s="123">
        <f t="array" ref="EN59">MIN(IF(INDEX(properties!A$1:CB$87,'Fórmula'!B59,45)=0,10^6,INDEX(properties!A$1:CB$87,'Fórmula'!B59,45)),IF(INDEX(properties!A$1:CB$87,'Fórmula'!D59,45)=0,10^6,INDEX(properties!A$1:CB$87,'Fórmula'!D59,45)),IF(INDEX(properties!A$1:CB$87,'Fórmula'!F59,45)=0,10^6,INDEX(properties!A$1:CB$87,'Fórmula'!F59,45)),IF(INDEX(properties!A$1:CB$87,'Fórmula'!H59,45)=0,10^6,INDEX(properties!A$1:CB$87,'Fórmula'!H59,45)),IF(INDEX(properties!A$1:CB$87,'Fórmula'!J59,45)=0,10^6,INDEX(properties!A$1:CB$87,'Fórmula'!J59,45)))</f>
        <v>0.47</v>
      </c>
      <c r="EO59" s="112">
        <f t="shared" si="24"/>
        <v>2.74</v>
      </c>
      <c r="EP59" s="113">
        <f t="array" ref="EP59">(('Fórmula'!C59)/('Fórmula'!C59+'Fórmula'!E59+'Fórmula'!G59+'Fórmula'!I59+'Fórmula'!K59))*(INDEX(properties!A$1:CB$87,'Fórmula'!B59,46))+(('Fórmula'!E59)/('Fórmula'!C59+'Fórmula'!E59+'Fórmula'!G59+'Fórmula'!I59+'Fórmula'!K59))*(INDEX(properties!A$1:CB$87,'Fórmula'!D59,46))+(('Fórmula'!G59)/('Fórmula'!C59+'Fórmula'!E59+'Fórmula'!G59+'Fórmula'!I59+'Fórmula'!K59))*(INDEX(properties!A$1:CB$87,'Fórmula'!F59,46))+(('Fórmula'!I59)/('Fórmula'!C59+'Fórmula'!E59+'Fórmula'!G59+'Fórmula'!I59+'Fórmula'!K59))*(INDEX(properties!A$1:CB$87,'Fórmula'!H59,46))+(('Fórmula'!K59)/('Fórmula'!C59+'Fórmula'!E59+'Fórmula'!G59+'Fórmula'!I59+'Fórmula'!K59))*(INDEX(properties!A$1:CB$87,'Fórmula'!J59,46))</f>
        <v>0.9514285714</v>
      </c>
      <c r="EQ59" s="113">
        <f t="array" ref="EQ59">'Fórmula'!C59*(INDEX(properties!A$1:CB$87,'Fórmula'!B59,46))+'Fórmula'!E59*(INDEX(properties!A$1:CB$87,'Fórmula'!D59,46))+'Fórmula'!G59*(INDEX(properties!A$1:CB$87,'Fórmula'!F59,46))+'Fórmula'!I59*(INDEX(properties!A$1:CB$87,'Fórmula'!H59,46))+'Fórmula'!K59*(INDEX(properties!A$1:CB$87,'Fórmula'!J59,46))</f>
        <v>6.66</v>
      </c>
      <c r="ER59" s="113">
        <f t="array" ref="ER59">VARP(IF(INDEX(properties!A$1:CB$87,'Fórmula'!B59,46)&lt;&gt;"",INDEX(properties!A$1:CB$87,'Fórmula'!B59,46)),IF(INDEX(properties!A$1:CB$87,'Fórmula'!D59,46)&lt;&gt;"",INDEX(properties!A$1:CB$87,'Fórmula'!D59,46)),IF(INDEX(properties!A$1:CB$87,'Fórmula'!F59,46)&lt;&gt;"",INDEX(properties!A$1:CB$87,'Fórmula'!F59,46)),IF(INDEX(properties!A$1:CB$87,'Fórmula'!H59,46)&lt;&gt;"",INDEX(properties!A$1:CB$87,'Fórmula'!H59,46)),IF(INDEX(properties!A$1:CB$87,'Fórmula'!J59,46)&lt;&gt;"",INDEX(properties!A$1:CB$87,'Fórmula'!J59,46)))</f>
        <v>0.344664</v>
      </c>
      <c r="ES59" s="124">
        <f t="array" ref="ES59">MAX(INDEX(properties!A$1:CB$87,'Fórmula'!B59,46),INDEX(properties!A$1:CB$87,'Fórmula'!D59,46),INDEX(properties!A$1:CB$87,'Fórmula'!F59,46),INDEX(properties!A$1:CB$87,'Fórmula'!H59,46),INDEX(properties!A$1:CB$87,'Fórmula'!J59,46))</f>
        <v>1.32</v>
      </c>
      <c r="ET59" s="124">
        <f t="array" ref="ET59">MIN(IF(INDEX(properties!A$1:CB$87,'Fórmula'!B59,46)=0,10^6,INDEX(properties!A$1:CB$87,'Fórmula'!B59,46)),IF(INDEX(properties!A$1:CB$87,'Fórmula'!D59,46)=0,10^6,INDEX(properties!A$1:CB$87,'Fórmula'!D59,46)),IF(INDEX(properties!A$1:CB$87,'Fórmula'!F59,46)=0,10^6,INDEX(properties!A$1:CB$87,'Fórmula'!F59,46)),IF(INDEX(properties!A$1:CB$87,'Fórmula'!H59,46)=0,10^6,INDEX(properties!A$1:CB$87,'Fórmula'!H59,46)),IF(INDEX(properties!A$1:CB$87,'Fórmula'!J59,46)=0,10^6,INDEX(properties!A$1:CB$87,'Fórmula'!J59,46)))</f>
        <v>0.25</v>
      </c>
      <c r="EU59" s="113">
        <f t="shared" si="25"/>
        <v>1.07</v>
      </c>
      <c r="EV59" s="114">
        <f t="array" ref="EV59">(('Fórmula'!C59)/('Fórmula'!C59+'Fórmula'!E59+'Fórmula'!G59+'Fórmula'!I59+'Fórmula'!K59))*(INDEX(properties!A$1:CB$87,'Fórmula'!B59,52))+(('Fórmula'!E59)/('Fórmula'!C59+'Fórmula'!E59+'Fórmula'!G59+'Fórmula'!I59+'Fórmula'!K59))*(INDEX(properties!A$1:CB$87,'Fórmula'!D59,52))+(('Fórmula'!G59)/('Fórmula'!C59+'Fórmula'!E59+'Fórmula'!G59+'Fórmula'!I59+'Fórmula'!K59))*(INDEX(properties!A$1:CB$87,'Fórmula'!F59,52))+(('Fórmula'!I59)/('Fórmula'!C59+'Fórmula'!E59+'Fórmula'!G59+'Fórmula'!I59+'Fórmula'!K59))*(INDEX(properties!A$1:CB$87,'Fórmula'!H59,52))+(('Fórmula'!K59)/('Fórmula'!C59+'Fórmula'!E59+'Fórmula'!G59+'Fórmula'!I59+'Fórmula'!K59))*(INDEX(properties!A$1:CB$87,'Fórmula'!J59,52))</f>
        <v>5.253142857</v>
      </c>
      <c r="EW59" s="114">
        <f t="array" ref="EW59">'Fórmula'!C59*(INDEX(properties!A$1:CB$87,'Fórmula'!B59,52))+'Fórmula'!E59*(INDEX(properties!A$1:CB$87,'Fórmula'!D59,52))+'Fórmula'!G59*(INDEX(properties!A$1:CB$87,'Fórmula'!F59,52))+'Fórmula'!I59*(INDEX(properties!A$1:CB$87,'Fórmula'!H59,52))+'Fórmula'!K59*(INDEX(properties!A$1:CB$87,'Fórmula'!J59,52))</f>
        <v>36.772</v>
      </c>
      <c r="EX59" s="114">
        <f t="array" ref="EX59">VARP(IF(INDEX(properties!A$1:CB$87,'Fórmula'!B59,52)&lt;&gt;"",INDEX(properties!A$1:CB$87,'Fórmula'!B59,52)),IF(INDEX(properties!A$1:CB$87,'Fórmula'!D59,52)&lt;&gt;"",INDEX(properties!A$1:CB$87,'Fórmula'!D59,52)),IF(INDEX(properties!A$1:CB$87,'Fórmula'!F59,52)&lt;&gt;"",INDEX(properties!A$1:CB$87,'Fórmula'!F59,52)),IF(INDEX(properties!A$1:CB$87,'Fórmula'!H59,52)&lt;&gt;"",INDEX(properties!A$1:CB$87,'Fórmula'!H59,52)),IF(INDEX(properties!A$1:CB$87,'Fórmula'!J59,52)&lt;&gt;"",INDEX(properties!A$1:CB$87,'Fórmula'!J59,52)))</f>
        <v>114.8569518</v>
      </c>
      <c r="EY59" s="114">
        <f t="array" ref="EY59">MAX(INDEX(properties!A$1:CB$87,'Fórmula'!B59,52),INDEX(properties!A$1:CB$87,'Fórmula'!D59,52),INDEX(properties!A$1:CB$87,'Fórmula'!F59,52),INDEX(properties!A$1:CB$87,'Fórmula'!H59,52),INDEX(properties!A$1:CB$87,'Fórmula'!J59,52))</f>
        <v>27.6</v>
      </c>
      <c r="EZ59" s="114">
        <f t="array" ref="EZ59">MIN(IF(INDEX(properties!A$1:CB$87,'Fórmula'!B59,52)=0,10^6,INDEX(properties!A$1:CB$87,'Fórmula'!B59,52)),IF(INDEX(properties!A$1:CB$87,'Fórmula'!D59,52)=0,10^6,INDEX(properties!A$1:CB$87,'Fórmula'!D59,52)),IF(INDEX(properties!A$1:CB$87,'Fórmula'!F59,52)=0,10^6,INDEX(properties!A$1:CB$87,'Fórmula'!F59,52)),IF(INDEX(properties!A$1:CB$87,'Fórmula'!H59,52)=0,10^6,INDEX(properties!A$1:CB$87,'Fórmula'!H59,52)),IF(INDEX(properties!A$1:CB$87,'Fórmula'!J59,52)=0,10^6,INDEX(properties!A$1:CB$87,'Fórmula'!J59,52)))</f>
        <v>0.793</v>
      </c>
      <c r="FA59" s="114">
        <f t="shared" si="26"/>
        <v>26.807</v>
      </c>
      <c r="FB59" s="115">
        <f t="array" ref="FB59">(('Fórmula'!C59)/('Fórmula'!C59+'Fórmula'!E59+'Fórmula'!G59+'Fórmula'!I59+'Fórmula'!K59))*(INDEX(properties!A$1:CB$87,'Fórmula'!B59,53))+(('Fórmula'!E59)/('Fórmula'!C59+'Fórmula'!E59+'Fórmula'!G59+'Fórmula'!I59+'Fórmula'!K59))*(INDEX(properties!A$1:CB$87,'Fórmula'!D59,53))+(('Fórmula'!G59)/('Fórmula'!C59+'Fórmula'!E59+'Fórmula'!G59+'Fórmula'!I59+'Fórmula'!K59))*(INDEX(properties!A$1:CB$87,'Fórmula'!F59,53))+(('Fórmula'!I59)/('Fórmula'!C59+'Fórmula'!E59+'Fórmula'!G59+'Fórmula'!I59+'Fórmula'!K59))*(INDEX(properties!A$1:CB$87,'Fórmula'!H59,53))+(('Fórmula'!K59)/('Fórmula'!C59+'Fórmula'!E59+'Fórmula'!G59+'Fórmula'!I59+'Fórmula'!K59))*(INDEX(properties!A$1:CB$87,'Fórmula'!J59,53))</f>
        <v>852.2071429</v>
      </c>
      <c r="FC59" s="115">
        <f t="array" ref="FC59">'Fórmula'!C59*(INDEX(properties!A$1:CB$87,'Fórmula'!B59,53))+'Fórmula'!E59*(INDEX(properties!A$1:CB$87,'Fórmula'!D59,53))+'Fórmula'!G59*(INDEX(properties!A$1:CB$87,'Fórmula'!F59,53))+'Fórmula'!I59*(INDEX(properties!A$1:CB$87,'Fórmula'!H59,53))+'Fórmula'!K59*(INDEX(properties!A$1:CB$87,'Fórmula'!J59,53))</f>
        <v>5965.45</v>
      </c>
      <c r="FD59" s="115">
        <f t="array" ref="FD59">VARP(IF(INDEX(properties!A$1:CB$87,'Fórmula'!B59,53)&lt;&gt;"",INDEX(properties!A$1:CB$87,'Fórmula'!B59,53)),IF(INDEX(properties!A$1:CB$87,'Fórmula'!D59,53)&lt;&gt;"",INDEX(properties!A$1:CB$87,'Fórmula'!D59,53)),IF(INDEX(properties!A$1:CB$87,'Fórmula'!F59,53)&lt;&gt;"",INDEX(properties!A$1:CB$87,'Fórmula'!F59,53)),IF(INDEX(properties!A$1:CB$87,'Fórmula'!H59,53)&lt;&gt;"",INDEX(properties!A$1:CB$87,'Fórmula'!H59,53)),IF(INDEX(properties!A$1:CB$87,'Fórmula'!J59,53)&lt;&gt;"",INDEX(properties!A$1:CB$87,'Fórmula'!J59,53)))</f>
        <v>848498.9254</v>
      </c>
      <c r="FE59" s="115">
        <f t="array" ref="FE59">MAX(INDEX(properties!A$1:CB$87,'Fórmula'!B59,53),INDEX(properties!A$1:CB$87,'Fórmula'!D59,53),INDEX(properties!A$1:CB$87,'Fórmula'!F59,53),INDEX(properties!A$1:CB$87,'Fórmula'!H59,53),INDEX(properties!A$1:CB$87,'Fórmula'!J59,53))</f>
        <v>2352.15</v>
      </c>
      <c r="FF59" s="115">
        <f t="array" ref="FF59">MIN(IF(INDEX(properties!A$1:CB$87,'Fórmula'!B59,53)=0,10^6,INDEX(properties!A$1:CB$87,'Fórmula'!B59,53)),IF(INDEX(properties!A$1:CB$87,'Fórmula'!D59,53)=0,10^6,INDEX(properties!A$1:CB$87,'Fórmula'!D59,53)),IF(INDEX(properties!A$1:CB$87,'Fórmula'!F59,53)=0,10^6,INDEX(properties!A$1:CB$87,'Fórmula'!F59,53)),IF(INDEX(properties!A$1:CB$87,'Fórmula'!H59,53)=0,10^6,INDEX(properties!A$1:CB$87,'Fórmula'!H59,53)),IF(INDEX(properties!A$1:CB$87,'Fórmula'!J59,53)=0,10^6,INDEX(properties!A$1:CB$87,'Fórmula'!J59,53)))</f>
        <v>54.75</v>
      </c>
      <c r="FG59" s="115">
        <f t="shared" si="27"/>
        <v>2297.4</v>
      </c>
      <c r="FH59" s="117">
        <f t="array" ref="FH59">(('Fórmula'!C59)/('Fórmula'!C59+'Fórmula'!E59+'Fórmula'!G59+'Fórmula'!I59+'Fórmula'!K59))*(INDEX(properties!A$1:CB$87,'Fórmula'!B59,54))+(('Fórmula'!E59)/('Fórmula'!C59+'Fórmula'!E59+'Fórmula'!G59+'Fórmula'!I59+'Fórmula'!K59))*(INDEX(properties!A$1:CB$87,'Fórmula'!D59,54))+(('Fórmula'!G59)/('Fórmula'!C59+'Fórmula'!E59+'Fórmula'!G59+'Fórmula'!I59+'Fórmula'!K59))*(INDEX(properties!A$1:CB$87,'Fórmula'!F59,54))+(('Fórmula'!I59)/('Fórmula'!C59+'Fórmula'!E59+'Fórmula'!G59+'Fórmula'!I59+'Fórmula'!K59))*(INDEX(properties!A$1:CB$87,'Fórmula'!H59,54))+(('Fórmula'!K59)/('Fórmula'!C59+'Fórmula'!E59+'Fórmula'!G59+'Fórmula'!I59+'Fórmula'!K59))*(INDEX(properties!A$1:CB$87,'Fórmula'!J59,54))</f>
        <v>1509.678571</v>
      </c>
      <c r="FI59" s="117">
        <f t="array" ref="FI59">'Fórmula'!C59*(INDEX(properties!A$1:CB$87,'Fórmula'!B59,54))+'Fórmula'!E59*(INDEX(properties!A$1:CB$87,'Fórmula'!D59,54))+'Fórmula'!G59*(INDEX(properties!A$1:CB$87,'Fórmula'!F59,54))+'Fórmula'!I59*(INDEX(properties!A$1:CB$87,'Fórmula'!H59,54))+'Fórmula'!K59*(INDEX(properties!A$1:CB$87,'Fórmula'!J59,54))</f>
        <v>10567.75</v>
      </c>
      <c r="FJ59" s="117">
        <f t="array" ref="FJ59">VARP(IF(INDEX(properties!A$1:CB$87,'Fórmula'!B59,54)&lt;&gt;"",INDEX(properties!A$1:CB$87,'Fórmula'!B59,54)),IF(INDEX(properties!A$1:CB$87,'Fórmula'!D59,54)&lt;&gt;"",INDEX(properties!A$1:CB$87,'Fórmula'!D59,54)),IF(INDEX(properties!A$1:CB$87,'Fórmula'!F59,54)&lt;&gt;"",INDEX(properties!A$1:CB$87,'Fórmula'!F59,54)),IF(INDEX(properties!A$1:CB$87,'Fórmula'!H59,54)&lt;&gt;"",INDEX(properties!A$1:CB$87,'Fórmula'!H59,54)),IF(INDEX(properties!A$1:CB$87,'Fórmula'!J59,54)&lt;&gt;"",INDEX(properties!A$1:CB$87,'Fórmula'!J59,54)))</f>
        <v>2755255.737</v>
      </c>
      <c r="FK59" s="117">
        <f t="array" ref="FK59">MAX(INDEX(properties!A$1:CB$87,'Fórmula'!B59,54),INDEX(properties!A$1:CB$87,'Fórmula'!D59,54),INDEX(properties!A$1:CB$87,'Fórmula'!F59,54),INDEX(properties!A$1:CB$87,'Fórmula'!H59,54),INDEX(properties!A$1:CB$87,'Fórmula'!J59,54))</f>
        <v>4275</v>
      </c>
      <c r="FL59" s="117">
        <f t="array" ref="FL59">MIN(IF(INDEX(properties!A$1:CB$87,'Fórmula'!B59,54)=0,10^6,INDEX(properties!A$1:CB$87,'Fórmula'!B59,54)),IF(INDEX(properties!A$1:CB$87,'Fórmula'!D59,54)=0,10^6,INDEX(properties!A$1:CB$87,'Fórmula'!D59,54)),IF(INDEX(properties!A$1:CB$87,'Fórmula'!F59,54)=0,10^6,INDEX(properties!A$1:CB$87,'Fórmula'!F59,54)),IF(INDEX(properties!A$1:CB$87,'Fórmula'!H59,54)=0,10^6,INDEX(properties!A$1:CB$87,'Fórmula'!H59,54)),IF(INDEX(properties!A$1:CB$87,'Fórmula'!J59,54)=0,10^6,INDEX(properties!A$1:CB$87,'Fórmula'!J59,54)))</f>
        <v>90.15</v>
      </c>
      <c r="FM59" s="117">
        <f t="shared" si="28"/>
        <v>4184.85</v>
      </c>
      <c r="FN59" s="118">
        <f t="array" ref="FN59">(('Fórmula'!C59)/('Fórmula'!C59+'Fórmula'!E59+'Fórmula'!G59+'Fórmula'!I59+'Fórmula'!K59))*(INDEX(properties!A$1:CB$87,'Fórmula'!B59,55))+(('Fórmula'!E59)/('Fórmula'!C59+'Fórmula'!E59+'Fórmula'!G59+'Fórmula'!I59+'Fórmula'!K59))*(INDEX(properties!A$1:CB$87,'Fórmula'!D59,55))+(('Fórmula'!G59)/('Fórmula'!C59+'Fórmula'!E59+'Fórmula'!G59+'Fórmula'!I59+'Fórmula'!K59))*(INDEX(properties!A$1:CB$87,'Fórmula'!F59,55))+(('Fórmula'!I59)/('Fórmula'!C59+'Fórmula'!E59+'Fórmula'!G59+'Fórmula'!I59+'Fórmula'!K59))*(INDEX(properties!A$1:CB$87,'Fórmula'!H59,55))+(('Fórmula'!K59)/('Fórmula'!C59+'Fórmula'!E59+'Fórmula'!G59+'Fórmula'!I59+'Fórmula'!K59))*(INDEX(properties!A$1:CB$87,'Fórmula'!J59,55))</f>
        <v>1.045102857</v>
      </c>
      <c r="FO59" s="118">
        <f t="array" ref="FO59">'Fórmula'!C59*(INDEX(properties!A$1:CB$87,'Fórmula'!B59,55))+'Fórmula'!E59*(INDEX(properties!A$1:CB$87,'Fórmula'!D59,54))+'Fórmula'!G59*(INDEX(properties!A$1:CB$87,'Fórmula'!F59,55))+'Fórmula'!I59*(INDEX(properties!A$1:CB$87,'Fórmula'!H59,55))+'Fórmula'!K59*(INDEX(properties!A$1:CB$87,'Fórmula'!J59,55))</f>
        <v>8552.63572</v>
      </c>
      <c r="FP59" s="118">
        <f t="array" ref="FP59">VARP(IF(INDEX(properties!A$1:CB$87,'Fórmula'!B59,55)&lt;&gt;"",INDEX(properties!A$1:CB$87,'Fórmula'!B59,55)),IF(INDEX(properties!A$1:CB$87,'Fórmula'!D59,55)&lt;&gt;"",INDEX(properties!A$1:CB$87,'Fórmula'!D59,55)),IF(INDEX(properties!A$1:CB$87,'Fórmula'!F59,55)&lt;&gt;"",INDEX(properties!A$1:CB$87,'Fórmula'!F59,55)),IF(INDEX(properties!A$1:CB$87,'Fórmula'!H59,55)&lt;&gt;"",INDEX(properties!A$1:CB$87,'Fórmula'!H59,55)),IF(INDEX(properties!A$1:CB$87,'Fórmula'!J59,55)&lt;&gt;"",INDEX(properties!A$1:CB$87,'Fórmula'!J59,55)))</f>
        <v>1.489895759</v>
      </c>
      <c r="FQ59" s="118">
        <f t="array" ref="FQ59">MAX(INDEX(properties!A$1:CB$87,'Fórmula'!B59,55),INDEX(properties!A$1:CB$87,'Fórmula'!D59,55),INDEX(properties!A$1:CB$87,'Fórmula'!F59,55),INDEX(properties!A$1:CB$87,'Fórmula'!H59,55),INDEX(properties!A$1:CB$87,'Fórmula'!J59,55))</f>
        <v>2.63</v>
      </c>
      <c r="FR59" s="118">
        <f t="array" ref="FR59">MIN(IF(INDEX(properties!A$1:CB$87,'Fórmula'!B59,55)=0,10^6,INDEX(properties!A$1:CB$87,'Fórmula'!B59,55)),IF(INDEX(properties!A$1:CB$87,'Fórmula'!D59,55)=0,10^6,INDEX(properties!A$1:CB$87,'Fórmula'!D59,55)),IF(INDEX(properties!A$1:CB$87,'Fórmula'!F59,55)=0,10^6,INDEX(properties!A$1:CB$87,'Fórmula'!F59,55)),IF(INDEX(properties!A$1:CB$87,'Fórmula'!H59,55)=0,10^6,INDEX(properties!A$1:CB$87,'Fórmula'!H59,55)),IF(INDEX(properties!A$1:CB$87,'Fórmula'!J59,55)=0,10^6,INDEX(properties!A$1:CB$87,'Fórmula'!J59,55)))</f>
        <v>0.00143</v>
      </c>
      <c r="FS59" s="118">
        <f t="shared" si="29"/>
        <v>2.62857</v>
      </c>
      <c r="FT59" s="119">
        <f t="array" ref="FT59">(('Fórmula'!C59)/('Fórmula'!C59+'Fórmula'!E59+'Fórmula'!G59+'Fórmula'!I59+'Fórmula'!K59))*(INDEX(properties!A$1:CB$87,'Fórmula'!B59,56))+(('Fórmula'!E59)/('Fórmula'!C59+'Fórmula'!E59+'Fórmula'!G59+'Fórmula'!I59+'Fórmula'!K59))*(INDEX(properties!A$1:CB$87,'Fórmula'!D59,56))+(('Fórmula'!G59)/('Fórmula'!C59+'Fórmula'!E59+'Fórmula'!G59+'Fórmula'!I59+'Fórmula'!K59))*(INDEX(properties!A$1:CB$87,'Fórmula'!F59,56))+(('Fórmula'!I59)/('Fórmula'!C59+'Fórmula'!E59+'Fórmula'!G59+'Fórmula'!I59+'Fórmula'!K59))*(INDEX(properties!A$1:CB$87,'Fórmula'!H59,56))+(('Fórmula'!K59)/('Fórmula'!C59+'Fórmula'!E59+'Fórmula'!G59+'Fórmula'!I59+'Fórmula'!K59))*(INDEX(properties!A$1:CB$87,'Fórmula'!J59,56))</f>
        <v>0.86</v>
      </c>
      <c r="FU59" s="119">
        <f t="array" ref="FU59">'Fórmula'!C59*(INDEX(properties!A$1:CB$87,'Fórmula'!B59,56))+'Fórmula'!E59*(INDEX(properties!A$1:CB$87,'Fórmula'!D59,56))+'Fórmula'!G59*(INDEX(properties!A$1:CB$87,'Fórmula'!F59,56))+'Fórmula'!I59*(INDEX(properties!A$1:CB$87,'Fórmula'!H59,56))+'Fórmula'!K59*(INDEX(properties!A$1:CB$87,'Fórmula'!J59,56))</f>
        <v>6.02</v>
      </c>
      <c r="FV59" s="119">
        <f t="array" ref="FV59">VARP(IF(INDEX(properties!A$1:CB$87,'Fórmula'!B59,56)&lt;&gt;"",INDEX(properties!A$1:CB$87,'Fórmula'!B59,56)),IF(INDEX(properties!A$1:CB$87,'Fórmula'!D59,56)&lt;&gt;"",INDEX(properties!A$1:CB$87,'Fórmula'!D59,56)),IF(INDEX(properties!A$1:CB$87,'Fórmula'!F59,56)&lt;&gt;"",INDEX(properties!A$1:CB$87,'Fórmula'!F59,56)),IF(INDEX(properties!A$1:CB$87,'Fórmula'!H59,56)&lt;&gt;"",INDEX(properties!A$1:CB$87,'Fórmula'!H59,56)),IF(INDEX(properties!A$1:CB$87,'Fórmula'!J59,56)&lt;&gt;"",INDEX(properties!A$1:CB$87,'Fórmula'!J59,56)))</f>
        <v>0.194656</v>
      </c>
      <c r="FW59" s="119">
        <f t="array" ref="FW59">MAX(INDEX(properties!A$1:CB$87,'Fórmula'!B59,56),INDEX(properties!A$1:CB$87,'Fórmula'!D59,56),INDEX(properties!A$1:CB$87,'Fórmula'!F59,56),INDEX(properties!A$1:CB$87,'Fórmula'!H59,56),INDEX(properties!A$1:CB$87,'Fórmula'!J59,56))</f>
        <v>1.02</v>
      </c>
      <c r="FX59" s="119">
        <f t="array" ref="FX59">MIN(IF(INDEX(properties!A$1:CB$87,'Fórmula'!B59,56)=0,10^6,INDEX(properties!A$1:CB$87,'Fórmula'!B59,56)),IF(INDEX(properties!A$1:CB$87,'Fórmula'!D59,56)=0,10^6,INDEX(properties!A$1:CB$87,'Fórmula'!D59,56)),IF(INDEX(properties!A$1:CB$87,'Fórmula'!F59,56)=0,10^6,INDEX(properties!A$1:CB$87,'Fórmula'!F59,56)),IF(INDEX(properties!A$1:CB$87,'Fórmula'!H59,56)=0,10^6,INDEX(properties!A$1:CB$87,'Fórmula'!H59,56)),IF(INDEX(properties!A$1:CB$87,'Fórmula'!J59,56)=0,10^6,INDEX(properties!A$1:CB$87,'Fórmula'!J59,56)))</f>
        <v>0.3</v>
      </c>
      <c r="FY59" s="119">
        <f t="shared" si="30"/>
        <v>0.72</v>
      </c>
      <c r="FZ59" s="104">
        <f t="array" ref="FZ59">(('Fórmula'!C59)/('Fórmula'!C59+'Fórmula'!E59+'Fórmula'!G59+'Fórmula'!I59+'Fórmula'!K59))*(INDEX(properties!A$1:CB$87,'Fórmula'!B59,57))+(('Fórmula'!E59)/('Fórmula'!C59+'Fórmula'!E59+'Fórmula'!G59+'Fórmula'!I59+'Fórmula'!K59))*(INDEX(properties!A$1:CB$87,'Fórmula'!D59,57))+(('Fórmula'!G59)/('Fórmula'!C59+'Fórmula'!E59+'Fórmula'!G59+'Fórmula'!I59+'Fórmula'!K59))*(INDEX(properties!A$1:CB$87,'Fórmula'!F59,57))+(('Fórmula'!I59)/('Fórmula'!C59+'Fórmula'!E59+'Fórmula'!G59+'Fórmula'!I59+'Fórmula'!K59))*(INDEX(properties!A$1:CB$87,'Fórmula'!H59,57))+(('Fórmula'!K59)/('Fórmula'!C59+'Fórmula'!E59+'Fórmula'!G59+'Fórmula'!I59+'Fórmula'!K59))*(INDEX(properties!A$1:CB$87,'Fórmula'!J59,57))</f>
        <v>15.65576571</v>
      </c>
      <c r="GA59" s="104">
        <f t="array" ref="GA59">'Fórmula'!C59*(INDEX(properties!A$1:CB$87,'Fórmula'!B59,57))+'Fórmula'!E59*(INDEX(properties!A$1:CB$87,'Fórmula'!D59,57))+'Fórmula'!G59*(INDEX(properties!A$1:CB$87,'Fórmula'!F59,57))+'Fórmula'!I59*(INDEX(properties!A$1:CB$87,'Fórmula'!H59,57))+'Fórmula'!K59*(INDEX(properties!A$1:CB$87,'Fórmula'!J59,57))</f>
        <v>109.59036</v>
      </c>
      <c r="GB59" s="104">
        <f t="array" ref="GB59">VARP(IF(INDEX(properties!A$1:CB$87,'Fórmula'!B59,57)&lt;&gt;"",INDEX(properties!A$1:CB$87,'Fórmula'!B59,57)),IF(INDEX(properties!A$1:CB$87,'Fórmula'!D59,57)&lt;&gt;"",INDEX(properties!A$1:CB$87,'Fórmula'!D59,57)),IF(INDEX(properties!A$1:CB$87,'Fórmula'!F59,57)&lt;&gt;"",INDEX(properties!A$1:CB$87,'Fórmula'!F59,57)),IF(INDEX(properties!A$1:CB$87,'Fórmula'!H59,57)&lt;&gt;"",INDEX(properties!A$1:CB$87,'Fórmula'!H59,57)),IF(INDEX(properties!A$1:CB$87,'Fórmula'!J59,57)&lt;&gt;"",INDEX(properties!A$1:CB$87,'Fórmula'!J59,57)))</f>
        <v>379.8622062</v>
      </c>
      <c r="GC59" s="104">
        <f t="array" ref="GC59">MAX(INDEX(properties!A$1:CB$87,'Fórmula'!B59,57),INDEX(properties!A$1:CB$87,'Fórmula'!D59,57),INDEX(properties!A$1:CB$87,'Fórmula'!F59,57),INDEX(properties!A$1:CB$87,'Fórmula'!H59,57),INDEX(properties!A$1:CB$87,'Fórmula'!J59,57))</f>
        <v>50.2</v>
      </c>
      <c r="GD59" s="104">
        <f t="array" ref="GD59">MIN(IF(INDEX(properties!A$1:CB$87,'Fórmula'!B59,57)=0,10^6,INDEX(properties!A$1:CB$87,'Fórmula'!B59,57)),IF(INDEX(properties!A$1:CB$87,'Fórmula'!D59,57)=0,10^6,INDEX(properties!A$1:CB$87,'Fórmula'!D59,57)),IF(INDEX(properties!A$1:CB$87,'Fórmula'!F59,57)=0,10^6,INDEX(properties!A$1:CB$87,'Fórmula'!F59,57)),IF(INDEX(properties!A$1:CB$87,'Fórmula'!H59,57)=0,10^6,INDEX(properties!A$1:CB$87,'Fórmula'!H59,57)),IF(INDEX(properties!A$1:CB$87,'Fórmula'!J59,57)=0,10^6,INDEX(properties!A$1:CB$87,'Fórmula'!J59,57)))</f>
        <v>0.22259</v>
      </c>
      <c r="GE59" s="104">
        <f t="shared" si="31"/>
        <v>49.97741</v>
      </c>
      <c r="GF59" s="105">
        <f t="array" ref="GF59">(('Fórmula'!C59)/('Fórmula'!C59+'Fórmula'!E59+'Fórmula'!G59+'Fórmula'!I59+'Fórmula'!K59))*(INDEX(properties!A$1:CB$87,'Fórmula'!B59,60))+(('Fórmula'!E59)/('Fórmula'!C59+'Fórmula'!E59+'Fórmula'!G59+'Fórmula'!I59+'Fórmula'!K59))*(INDEX(properties!A$1:CB$87,'Fórmula'!D59,60))+(('Fórmula'!G59)/('Fórmula'!C59+'Fórmula'!E59+'Fórmula'!G59+'Fórmula'!I59+'Fórmula'!K59))*(INDEX(properties!A$1:CB$87,'Fórmula'!F59,60))+(('Fórmula'!I59)/('Fórmula'!C59+'Fórmula'!E59+'Fórmula'!G59+'Fórmula'!I59+'Fórmula'!K59))*(INDEX(properties!A$1:CB$87,'Fórmula'!H59,60))+(('Fórmula'!K59)/('Fórmula'!C59+'Fórmula'!E59+'Fórmula'!G59+'Fórmula'!I59+'Fórmula'!K59))*(INDEX(properties!A$1:CB$87,'Fórmula'!J59,60))</f>
        <v>12.77242286</v>
      </c>
      <c r="GG59" s="105">
        <f t="array" ref="GG59">'Fórmula'!C59*(INDEX(properties!A$1:CB$87,'Fórmula'!B59,60))+'Fórmula'!E59*(INDEX(properties!A$1:CB$87,'Fórmula'!D59,60))+'Fórmula'!G59*(INDEX(properties!A$1:CB$87,'Fórmula'!F59,60))+'Fórmula'!I59*(INDEX(properties!A$1:CB$87,'Fórmula'!H59,60))+'Fórmula'!K59*(INDEX(properties!A$1:CB$87,'Fórmula'!J59,60))</f>
        <v>89.40696</v>
      </c>
      <c r="GH59" s="105">
        <f t="array" ref="GH59">VARP(IF(INDEX(properties!A$1:CB$87,'Fórmula'!B59,60)&lt;&gt;"",INDEX(properties!A$1:CB$87,'Fórmula'!B59,60)),IF(INDEX(properties!A$1:CB$87,'Fórmula'!D59,60)&lt;&gt;"",INDEX(properties!A$1:CB$87,'Fórmula'!D59,60)),IF(INDEX(properties!A$1:CB$87,'Fórmula'!F59,60)&lt;&gt;"",INDEX(properties!A$1:CB$87,'Fórmula'!F59,60)),IF(INDEX(properties!A$1:CB$87,'Fórmula'!H59,60)&lt;&gt;"",INDEX(properties!A$1:CB$87,'Fórmula'!H59,60)),IF(INDEX(properties!A$1:CB$87,'Fórmula'!J59,60)&lt;&gt;"",INDEX(properties!A$1:CB$87,'Fórmula'!J59,60)))</f>
        <v>239.6332422</v>
      </c>
      <c r="GI59" s="105">
        <f t="array" ref="GI59">MAX(INDEX(properties!A$1:CB$87,'Fórmula'!B59,60),INDEX(properties!A$1:CB$87,'Fórmula'!D59,60),INDEX(properties!A$1:CB$87,'Fórmula'!F59,60),INDEX(properties!A$1:CB$87,'Fórmula'!H59,60),INDEX(properties!A$1:CB$87,'Fórmula'!J59,60))</f>
        <v>35.3</v>
      </c>
      <c r="GJ59" s="105">
        <f t="array" ref="GJ59">MIN(IF(INDEX(properties!A$1:CB$87,'Fórmula'!B59,60)=0,10^6,INDEX(properties!A$1:CB$87,'Fórmula'!B59,60)),IF(INDEX(properties!A$1:CB$87,'Fórmula'!D59,60)=0,10^6,INDEX(properties!A$1:CB$87,'Fórmula'!D59,60)),IF(INDEX(properties!A$1:CB$87,'Fórmula'!F59,60)=0,10^6,INDEX(properties!A$1:CB$87,'Fórmula'!F59,60)),IF(INDEX(properties!A$1:CB$87,'Fórmula'!H59,60)=0,10^6,INDEX(properties!A$1:CB$87,'Fórmula'!H59,60)),IF(INDEX(properties!A$1:CB$87,'Fórmula'!J59,60)=0,10^6,INDEX(properties!A$1:CB$87,'Fórmula'!J59,60)))</f>
        <v>0.02674</v>
      </c>
      <c r="GK59" s="105">
        <f t="shared" si="32"/>
        <v>35.27326</v>
      </c>
      <c r="GL59" s="106">
        <f t="array" ref="GL59">(('Fórmula'!C59)/('Fórmula'!C59+'Fórmula'!E59+'Fórmula'!G59+'Fórmula'!I59+'Fórmula'!K59))*(INDEX(properties!A$1:CB$87,'Fórmula'!B59,62))+(('Fórmula'!E59)/('Fórmula'!C59+'Fórmula'!E59+'Fórmula'!G59+'Fórmula'!I59+'Fórmula'!K59))*(INDEX(properties!A$1:CB$87,'Fórmula'!D59,62))+(('Fórmula'!G59)/('Fórmula'!C59+'Fórmula'!E59+'Fórmula'!G59+'Fórmula'!I59+'Fórmula'!K59))*(INDEX(properties!A$1:CB$87,'Fórmula'!F59,62))+(('Fórmula'!I59)/('Fórmula'!C59+'Fórmula'!E59+'Fórmula'!G59+'Fórmula'!I59+'Fórmula'!K59))*(INDEX(properties!A$1:CB$87,'Fórmula'!H59,62))+(('Fórmula'!K59)/('Fórmula'!C59+'Fórmula'!E59+'Fórmula'!G59+'Fórmula'!I59+'Fórmula'!K59))*(INDEX(properties!A$1:CB$87,'Fórmula'!J59,62))</f>
        <v>3.402857143</v>
      </c>
      <c r="GM59" s="106">
        <f t="array" ref="GM59">'Fórmula'!C59*(INDEX(properties!A$1:CB$87,'Fórmula'!B59,62))+'Fórmula'!E59*(INDEX(properties!A$1:CB$87,'Fórmula'!D59,62))+'Fórmula'!G59*(INDEX(properties!A$1:CB$87,'Fórmula'!F59,62))+'Fórmula'!I59*(INDEX(properties!A$1:CB$87,'Fórmula'!H59,62))+'Fórmula'!K59*(INDEX(properties!A$1:CB$87,'Fórmula'!J59,62))</f>
        <v>23.82</v>
      </c>
      <c r="GN59" s="106">
        <f t="array" ref="GN59">VARP(IF(INDEX(properties!A$1:CB$87,'Fórmula'!B59,62)&lt;&gt;"",INDEX(properties!A$1:CB$87,'Fórmula'!B59,62)),IF(INDEX(properties!A$1:CB$87,'Fórmula'!D59,62)&lt;&gt;"",INDEX(properties!A$1:CB$87,'Fórmula'!D59,62)),IF(INDEX(properties!A$1:CB$87,'Fórmula'!F59,62)&lt;&gt;"",INDEX(properties!A$1:CB$87,'Fórmula'!F59,62)),IF(INDEX(properties!A$1:CB$87,'Fórmula'!H59,62)&lt;&gt;"",INDEX(properties!A$1:CB$87,'Fórmula'!H59,62)),IF(INDEX(properties!A$1:CB$87,'Fórmula'!J59,62)&lt;&gt;"",INDEX(properties!A$1:CB$87,'Fórmula'!J59,62)))</f>
        <v>4.59488</v>
      </c>
      <c r="GO59" s="106">
        <f t="array" ref="GO59">MAX(INDEX(properties!A$1:CB$87,'Fórmula'!B59,62),INDEX(properties!A$1:CB$87,'Fórmula'!D59,62),INDEX(properties!A$1:CB$87,'Fórmula'!F59,62),INDEX(properties!A$1:CB$87,'Fórmula'!H59,62),INDEX(properties!A$1:CB$87,'Fórmula'!J59,62))</f>
        <v>5.81</v>
      </c>
      <c r="GP59" s="106">
        <f t="array" ref="GP59">MIN(IF(INDEX(properties!A$1:CB$87,'Fórmula'!B59,62)=0,10^6,INDEX(properties!A$1:CB$87,'Fórmula'!B59,62)),IF(INDEX(properties!A$1:CB$87,'Fórmula'!D59,62)=0,10^6,INDEX(properties!A$1:CB$87,'Fórmula'!D59,62)),IF(INDEX(properties!A$1:CB$87,'Fórmula'!F59,62)=0,10^6,INDEX(properties!A$1:CB$87,'Fórmula'!F59,62)),IF(INDEX(properties!A$1:CB$87,'Fórmula'!H59,62)=0,10^6,INDEX(properties!A$1:CB$87,'Fórmula'!H59,62)),IF(INDEX(properties!A$1:CB$87,'Fórmula'!J59,62)=0,10^6,INDEX(properties!A$1:CB$87,'Fórmula'!J59,62)))</f>
        <v>1.72</v>
      </c>
      <c r="GQ59" s="106">
        <f t="shared" si="33"/>
        <v>4.09</v>
      </c>
      <c r="GR59" s="106">
        <f>'Fórmula'!Q59</f>
        <v>60</v>
      </c>
      <c r="GS59" s="107">
        <f>'Fórmula'!P59</f>
        <v>3</v>
      </c>
      <c r="GT59" s="113">
        <f>'Fórmula'!O59</f>
        <v>3.35</v>
      </c>
      <c r="GU59" s="114">
        <f>AVERAGE('Fórmula'!R59/'Fórmula'!S59,'Fórmula'!S59/'Fórmula'!T59,'Fórmula'!T59/'Fórmula'!R59)</f>
        <v>1.325252377</v>
      </c>
      <c r="GV59" s="125">
        <f>'Fórmula'!U59</f>
        <v>343.33</v>
      </c>
      <c r="GW59" s="106">
        <f>'Fórmula'!N59</f>
        <v>0.1</v>
      </c>
    </row>
    <row r="60" ht="14.25" customHeight="1">
      <c r="A60" s="99" t="str">
        <f>'Fórmula'!A60</f>
        <v>Ca2Ga2SiO7</v>
      </c>
      <c r="B60" s="101">
        <f t="array" ref="B60">(('Fórmula'!C60)/('Fórmula'!C60+'Fórmula'!E60+'Fórmula'!G60+'Fórmula'!I60+'Fórmula'!K60))*(INDEX(properties!A$1:CB$87,'Fórmula'!B60,3))+(('Fórmula'!E60)/('Fórmula'!C60+'Fórmula'!E60+'Fórmula'!G60+'Fórmula'!I60+'Fórmula'!K60))*(INDEX(properties!A$1:CB$87,'Fórmula'!D60,3))+(('Fórmula'!G60)/('Fórmula'!C60+'Fórmula'!E60+'Fórmula'!G60+'Fórmula'!I60+'Fórmula'!K60))*(INDEX(properties!A$1:CB$87,'Fórmula'!F60,3))+(('Fórmula'!I60)/('Fórmula'!C60+'Fórmula'!E60+'Fórmula'!G60+'Fórmula'!I60+'Fórmula'!K60))*(INDEX(properties!A$1:CB$87,'Fórmula'!H60,3))+(('Fórmula'!K60)/('Fórmula'!C60+'Fórmula'!E60+'Fórmula'!G60+'Fórmula'!I60+'Fórmula'!K60))*(INDEX(properties!A$1:CB$87,'Fórmula'!J60,3))</f>
        <v>29.97360833</v>
      </c>
      <c r="C60" s="101">
        <f t="array" ref="C60">'Fórmula'!C60*(INDEX(properties!A$1:CB$87,'Fórmula'!B60,3))+'Fórmula'!E60*(INDEX(properties!A$1:CB$87,'Fórmula'!D60,3))+'Fórmula'!G60*(INDEX(properties!A$1:CB$87,'Fórmula'!F60,3))+'Fórmula'!I60*(INDEX(properties!A$1:CB$87,'Fórmula'!H60,3))+'Fórmula'!K60*(INDEX(properties!A$1:CB$87,'Fórmula'!J60,3))</f>
        <v>359.6833</v>
      </c>
      <c r="D60" s="101">
        <f t="array" ref="D60">VARP(IF(INDEX(properties!A$1:CB$87,'Fórmula'!B60,3)&lt;&gt;"",INDEX(properties!A$1:CB$87,'Fórmula'!B60,3)),IF(INDEX(properties!A$1:CB$87,'Fórmula'!D60,3)&lt;&gt;"",INDEX(properties!A$1:CB$87,'Fórmula'!D60,3)),IF(INDEX(properties!A$1:CB$87,'Fórmula'!F60,3)&lt;&gt;"",INDEX(properties!A$1:CB$87,'Fórmula'!F60,3)),IF(INDEX(properties!A$1:CB$87,'Fórmula'!H60,3)&lt;&gt;"",INDEX(properties!A$1:CB$87,'Fórmula'!H60,3)),IF(INDEX(properties!A$1:CB$87,'Fórmula'!J60,3)&lt;&gt;"",INDEX(properties!A$1:CB$87,'Fórmula'!J60,3)))</f>
        <v>555.228976</v>
      </c>
      <c r="E60" s="101">
        <f t="array" ref="E60">MAX(INDEX(properties!A$1:CB$87,'Fórmula'!B60,3),INDEX(properties!A$1:CB$87,'Fórmula'!D60,3),INDEX(properties!A$1:CB$87,'Fórmula'!F60,3),INDEX(properties!A$1:CB$87,'Fórmula'!H60,3),INDEX(properties!A$1:CB$87,'Fórmula'!J60,3))</f>
        <v>69.723</v>
      </c>
      <c r="F60" s="101">
        <f t="array" ref="F60">MIN(IF(INDEX(properties!A$1:CB$87,'Fórmula'!B60,3)=0,10^6,INDEX(properties!A$1:CB$87,'Fórmula'!B60,3)),IF(INDEX(properties!A$1:CB$87,'Fórmula'!D60,3)=0,10^6,INDEX(properties!A$1:CB$87,'Fórmula'!D60,3)),IF(INDEX(properties!A$1:CB$87,'Fórmula'!F60,3)=0,10^6,INDEX(properties!A$1:CB$87,'Fórmula'!F60,3)),IF(INDEX(properties!A$1:CB$87,'Fórmula'!H60,3)=0,10^6,INDEX(properties!A$1:CB$87,'Fórmula'!H60,3)),IF(INDEX(properties!A$1:CB$87,'Fórmula'!J60,3)=0,10^6,INDEX(properties!A$1:CB$87,'Fórmula'!J60,3)))</f>
        <v>15.9994</v>
      </c>
      <c r="G60" s="101">
        <f t="shared" si="1"/>
        <v>53.7236</v>
      </c>
      <c r="H60" s="102">
        <f t="array" ref="H60">(('Fórmula'!C60)/('Fórmula'!C60+'Fórmula'!E60+'Fórmula'!G60+'Fórmula'!I60+'Fórmula'!K60))*(INDEX(properties!A$1:CB$87,'Fórmula'!B60,4))+(('Fórmula'!E60)/('Fórmula'!C60+'Fórmula'!E60+'Fórmula'!G60+'Fórmula'!I60+'Fórmula'!K60))*(INDEX(properties!A$1:CB$87,'Fórmula'!D60,4))+(('Fórmula'!G60)/('Fórmula'!C60+'Fórmula'!E60+'Fórmula'!G60+'Fórmula'!I60+'Fórmula'!K60))*(INDEX(properties!A$1:CB$87,'Fórmula'!F60,4))+(('Fórmula'!I60)/('Fórmula'!C60+'Fórmula'!E60+'Fórmula'!G60+'Fórmula'!I60+'Fórmula'!K60))*(INDEX(properties!A$1:CB$87,'Fórmula'!H60,4))+(('Fórmula'!K60)/('Fórmula'!C60+'Fórmula'!E60+'Fórmula'!G60+'Fórmula'!I60+'Fórmula'!K60))*(INDEX(properties!A$1:CB$87,'Fórmula'!J60,4))</f>
        <v>14.33333333</v>
      </c>
      <c r="I60" s="102">
        <f t="array" ref="I60">'Fórmula'!C60*(INDEX(properties!A$1:CB$87,'Fórmula'!B60,4))+'Fórmula'!E60*(INDEX(properties!A$1:CB$87,'Fórmula'!D60,4))+'Fórmula'!G60*(INDEX(properties!A$1:CB$87,'Fórmula'!F60,4))+'Fórmula'!I60*(INDEX(properties!A$1:CB$87,'Fórmula'!H60,4))+'Fórmula'!K60*(INDEX(properties!A$1:CB$87,'Fórmula'!J60,4))</f>
        <v>172</v>
      </c>
      <c r="J60" s="102">
        <f t="array" ref="J60">VARP(IF(INDEX(properties!A$1:CB$87,'Fórmula'!B60,4)&lt;&gt;"",INDEX(properties!A$1:CB$87,'Fórmula'!B60,4)),IF(INDEX(properties!A$1:CB$87,'Fórmula'!D60,4)&lt;&gt;"",INDEX(properties!A$1:CB$87,'Fórmula'!D60,4)),IF(INDEX(properties!A$1:CB$87,'Fórmula'!F60,4)&lt;&gt;"",INDEX(properties!A$1:CB$87,'Fórmula'!F60,4)),IF(INDEX(properties!A$1:CB$87,'Fórmula'!H60,4)&lt;&gt;"",INDEX(properties!A$1:CB$87,'Fórmula'!H60,4)),IF(INDEX(properties!A$1:CB$87,'Fórmula'!J60,4)&lt;&gt;"",INDEX(properties!A$1:CB$87,'Fórmula'!J60,4)))</f>
        <v>111.04</v>
      </c>
      <c r="K60" s="102">
        <f t="array" ref="K60">MAX(INDEX(properties!A$1:CB$87,'Fórmula'!B60,4),INDEX(properties!A$1:CB$87,'Fórmula'!D60,4),INDEX(properties!A$1:CB$87,'Fórmula'!F60,4),INDEX(properties!A$1:CB$87,'Fórmula'!H60,4),INDEX(properties!A$1:CB$87,'Fórmula'!J60,4))</f>
        <v>31</v>
      </c>
      <c r="L60" s="102">
        <f t="array" ref="L60">MIN(IF(INDEX(properties!A$1:CB$87,'Fórmula'!B60,4)=0,10^6,INDEX(properties!A$1:CB$87,'Fórmula'!B60,4)),IF(INDEX(properties!A$1:CB$87,'Fórmula'!D60,4)=0,10^6,INDEX(properties!A$1:CB$87,'Fórmula'!D60,4)),IF(INDEX(properties!A$1:CB$87,'Fórmula'!F60,4)=0,10^6,INDEX(properties!A$1:CB$87,'Fórmula'!F60,4)),IF(INDEX(properties!A$1:CB$87,'Fórmula'!H60,4)=0,10^6,INDEX(properties!A$1:CB$87,'Fórmula'!H60,4)),IF(INDEX(properties!A$1:CB$87,'Fórmula'!J60,4)=0,10^6,INDEX(properties!A$1:CB$87,'Fórmula'!J60,4)))</f>
        <v>8</v>
      </c>
      <c r="M60" s="102">
        <f t="shared" si="2"/>
        <v>23</v>
      </c>
      <c r="N60" s="103">
        <f t="array" ref="N60">(('Fórmula'!C60)/('Fórmula'!C60+'Fórmula'!E60+'Fórmula'!G60+'Fórmula'!I60+'Fórmula'!K60))*(INDEX(properties!A$1:CB$87,'Fórmula'!B60,5))+(('Fórmula'!E60)/('Fórmula'!C60+'Fórmula'!E60+'Fórmula'!G60+'Fórmula'!I60+'Fórmula'!K60))*(INDEX(properties!A$1:CB$87,'Fórmula'!D60,5))+(('Fórmula'!G60)/('Fórmula'!C60+'Fórmula'!E60+'Fórmula'!G60+'Fórmula'!I60+'Fórmula'!K60))*(INDEX(properties!A$1:CB$87,'Fórmula'!F60,5))+(('Fórmula'!I60)/('Fórmula'!C60+'Fórmula'!E60+'Fórmula'!G60+'Fórmula'!I60+'Fórmula'!K60))*(INDEX(properties!A$1:CB$87,'Fórmula'!H60,5))+(('Fórmula'!K60)/('Fórmula'!C60+'Fórmula'!E60+'Fórmula'!G60+'Fórmula'!I60+'Fórmula'!K60))*(INDEX(properties!A$1:CB$87,'Fórmula'!J60,5))</f>
        <v>2.75</v>
      </c>
      <c r="O60" s="103">
        <f t="array" ref="O60">'Fórmula'!C60*(INDEX(properties!A$1:CB$87,'Fórmula'!B60,5))+'Fórmula'!E60*(INDEX(properties!A$1:CB$87,'Fórmula'!D60,5))+'Fórmula'!G60*(INDEX(properties!A$1:CB$87,'Fórmula'!F60,5))+'Fórmula'!I60*(INDEX(properties!A$1:CB$87,'Fórmula'!H60,5))+'Fórmula'!K60*(INDEX(properties!A$1:CB$87,'Fórmula'!J60,5))</f>
        <v>33</v>
      </c>
      <c r="P60" s="103">
        <f t="array" ref="P60">VARP(IF(INDEX(properties!A$1:CB$87,'Fórmula'!B60,5)&lt;&gt;"",INDEX(properties!A$1:CB$87,'Fórmula'!B60,5)),IF(INDEX(properties!A$1:CB$87,'Fórmula'!D60,5)&lt;&gt;"",INDEX(properties!A$1:CB$87,'Fórmula'!D60,5)),IF(INDEX(properties!A$1:CB$87,'Fórmula'!F60,5)&lt;&gt;"",INDEX(properties!A$1:CB$87,'Fórmula'!F60,5)),IF(INDEX(properties!A$1:CB$87,'Fórmula'!H60,5)&lt;&gt;"",INDEX(properties!A$1:CB$87,'Fórmula'!H60,5)),IF(INDEX(properties!A$1:CB$87,'Fórmula'!J60,5)&lt;&gt;"",INDEX(properties!A$1:CB$87,'Fórmula'!J60,5)))</f>
        <v>2.24</v>
      </c>
      <c r="Q60" s="103">
        <f t="array" ref="Q60">MAX(INDEX(properties!A$1:CB$87,'Fórmula'!B60,5),INDEX(properties!A$1:CB$87,'Fórmula'!D60,5),INDEX(properties!A$1:CB$87,'Fórmula'!F60,5),INDEX(properties!A$1:CB$87,'Fórmula'!H60,5),INDEX(properties!A$1:CB$87,'Fórmula'!J60,5))</f>
        <v>4</v>
      </c>
      <c r="R60" s="103">
        <f t="array" ref="R60">MIN(IF(INDEX(properties!A$1:CB$87,'Fórmula'!B60,5)=0,10^6,INDEX(properties!A$1:CB$87,'Fórmula'!B60,5)),IF(INDEX(properties!A$1:CB$87,'Fórmula'!D60,5)=0,10^6,INDEX(properties!A$1:CB$87,'Fórmula'!D60,5)),IF(INDEX(properties!A$1:CB$87,'Fórmula'!F60,5)=0,10^6,INDEX(properties!A$1:CB$87,'Fórmula'!F60,5)),IF(INDEX(properties!A$1:CB$87,'Fórmula'!H60,5)=0,10^6,INDEX(properties!A$1:CB$87,'Fórmula'!H60,5)),IF(INDEX(properties!A$1:CB$87,'Fórmula'!J60,5)=0,10^6,INDEX(properties!A$1:CB$87,'Fórmula'!J60,5)))</f>
        <v>2</v>
      </c>
      <c r="S60" s="103">
        <f t="shared" si="3"/>
        <v>2</v>
      </c>
      <c r="T60" s="104">
        <f t="array" ref="T60">(('Fórmula'!C60)/('Fórmula'!C60+'Fórmula'!E60+'Fórmula'!G60+'Fórmula'!I60+'Fórmula'!K60))*(INDEX(properties!A$1:CB$87,'Fórmula'!B60,6))+(('Fórmula'!E60)/('Fórmula'!C60+'Fórmula'!E60+'Fórmula'!G60+'Fórmula'!I60+'Fórmula'!K60))*(INDEX(properties!A$1:CB$87,'Fórmula'!D60,6))+(('Fórmula'!G60)/('Fórmula'!C60+'Fórmula'!E60+'Fórmula'!G60+'Fórmula'!I60+'Fórmula'!K60))*(INDEX(properties!A$1:CB$87,'Fórmula'!F60,6))+(('Fórmula'!I60)/('Fórmula'!C60+'Fórmula'!E60+'Fórmula'!G60+'Fórmula'!I60+'Fórmula'!K60))*(INDEX(properties!A$1:CB$87,'Fórmula'!H60,6))+(('Fórmula'!K60)/('Fórmula'!C60+'Fórmula'!E60+'Fórmula'!G60+'Fórmula'!I60+'Fórmula'!K60))*(INDEX(properties!A$1:CB$87,'Fórmula'!J60,6))</f>
        <v>13</v>
      </c>
      <c r="U60" s="104">
        <f t="array" ref="U60">'Fórmula'!C60*(INDEX(properties!A$1:CB$87,'Fórmula'!B60,6))+'Fórmula'!E60*(INDEX(properties!A$1:CB$87,'Fórmula'!D60,6))+'Fórmula'!G60*(INDEX(properties!A$1:CB$87,'Fórmula'!F60,6))+'Fórmula'!I60*(INDEX(properties!A$1:CB$87,'Fórmula'!H60,6))+'Fórmula'!K60*(INDEX(properties!A$1:CB$87,'Fórmula'!J60,6))</f>
        <v>156</v>
      </c>
      <c r="V60" s="103">
        <f t="array" ref="V60">VARP(IF(INDEX(properties!A$1:CB$87,'Fórmula'!B60,6)&lt;&gt;"",INDEX(properties!A$1:CB$87,'Fórmula'!B60,6)),IF(INDEX(properties!A$1:CB$87,'Fórmula'!D60,6)&lt;&gt;"",INDEX(properties!A$1:CB$87,'Fórmula'!D60,6)),IF(INDEX(properties!A$1:CB$87,'Fórmula'!F60,6)&lt;&gt;"",INDEX(properties!A$1:CB$87,'Fórmula'!F60,6)),IF(INDEX(properties!A$1:CB$87,'Fórmula'!H60,6)&lt;&gt;"",INDEX(properties!A$1:CB$87,'Fórmula'!H60,6)),IF(INDEX(properties!A$1:CB$87,'Fórmula'!J60,6)&lt;&gt;"",INDEX(properties!A$1:CB$87,'Fórmula'!J60,6)))</f>
        <v>44</v>
      </c>
      <c r="W60" s="104">
        <f t="array" ref="W60">MAX(INDEX(properties!A$1:CB$87,'Fórmula'!B60,6),INDEX(properties!A$1:CB$87,'Fórmula'!D60,6),INDEX(properties!A$1:CB$87,'Fórmula'!F60,6),INDEX(properties!A$1:CB$87,'Fórmula'!H60,4),INDEX(properties!A$1:CB$87,'Fórmula'!J60,6))</f>
        <v>14</v>
      </c>
      <c r="X60" s="104">
        <f t="array" ref="X60">MIN(IF(INDEX(properties!A$1:CB$87,'Fórmula'!B60,6)=0,10^6,INDEX(properties!A$1:CB$87,'Fórmula'!B60,6)),IF(INDEX(properties!A$1:CB$87,'Fórmula'!D60,6)=0,10^6,INDEX(properties!A$1:CB$87,'Fórmula'!D60,6)),IF(INDEX(properties!A$1:CB$87,'Fórmula'!F60,6)=0,10^6,INDEX(properties!A$1:CB$87,'Fórmula'!F60,6)),IF(INDEX(properties!A$1:CB$87,'Fórmula'!H60,6)=0,10^6,INDEX(properties!A$1:CB$87,'Fórmula'!H60,6)),IF(INDEX(properties!A$1:CB$87,'Fórmula'!J60,6)=0,10^6,INDEX(properties!A$1:CB$87,'Fórmula'!J60,6)))</f>
        <v>2</v>
      </c>
      <c r="Y60" s="104">
        <f t="shared" si="4"/>
        <v>12</v>
      </c>
      <c r="Z60" s="105">
        <f t="array" ref="Z60">(('Fórmula'!C60)/('Fórmula'!C60+'Fórmula'!E60+'Fórmula'!G60+'Fórmula'!I60+'Fórmula'!K60))*(INDEX(properties!A$1:CB$87,'Fórmula'!B60,9))+(('Fórmula'!E60)/('Fórmula'!C60+'Fórmula'!E60+'Fórmula'!G60+'Fórmula'!I60+'Fórmula'!K60))*(INDEX(properties!A$1:CB$87,'Fórmula'!D60,9))+(('Fórmula'!G60)/('Fórmula'!C60+'Fórmula'!E60+'Fórmula'!G60+'Fórmula'!I60+'Fórmula'!K60))*(INDEX(properties!A$1:CB$87,'Fórmula'!F60,9))+(('Fórmula'!I60)/('Fórmula'!C60+'Fórmula'!E60+'Fórmula'!G60+'Fórmula'!I60+'Fórmula'!K60))*(INDEX(properties!A$1:CB$87,'Fórmula'!H60,9))+(('Fórmula'!K60)/('Fórmula'!C60+'Fórmula'!E60+'Fórmula'!G60+'Fórmula'!I60+'Fórmula'!K60))*(INDEX(properties!A$1:CB$87,'Fórmula'!J60,9))</f>
        <v>70.75</v>
      </c>
      <c r="AA60" s="105">
        <f t="array" ref="AA60">'Fórmula'!C60*(INDEX(properties!A$1:CB$87,'Fórmula'!B60,9))+'Fórmula'!E60*(INDEX(properties!A$1:CB$87,'Fórmula'!D60,9))+'Fórmula'!G60*(INDEX(properties!A$1:CB$87,'Fórmula'!F60,9))+'Fórmula'!I60*(INDEX(properties!A$1:CB$87,'Fórmula'!H60,9))+'Fórmula'!K60*(INDEX(properties!A$1:CB$87,'Fórmula'!J60,9))</f>
        <v>849</v>
      </c>
      <c r="AB60" s="105">
        <f t="array" ref="AB60">VARP(IF(INDEX(properties!A$1:CB$87,'Fórmula'!B60,9)&lt;&gt;"",INDEX(properties!A$1:CB$87,'Fórmula'!B60,9)),IF(INDEX(properties!A$1:CB$87,'Fórmula'!D60,9)&lt;&gt;"",INDEX(properties!A$1:CB$87,'Fórmula'!D60,9)),IF(INDEX(properties!A$1:CB$87,'Fórmula'!F60,9)&lt;&gt;"",INDEX(properties!A$1:CB$87,'Fórmula'!F60,9)),IF(INDEX(properties!A$1:CB$87,'Fórmula'!H60,9)&lt;&gt;"",INDEX(properties!A$1:CB$87,'Fórmula'!H60,9)),IF(INDEX(properties!A$1:CB$87,'Fórmula'!J60,9)&lt;&gt;"",INDEX(properties!A$1:CB$87,'Fórmula'!J60,9)))</f>
        <v>1414.96</v>
      </c>
      <c r="AC60" s="105">
        <f t="array" ref="AC60">MAX(INDEX(properties!A$1:CB$87,'Fórmula'!B60,9),INDEX(properties!A$1:CB$87,'Fórmula'!D60,9),INDEX(properties!A$1:CB$87,'Fórmula'!F60,9),INDEX(properties!A$1:CB$87,'Fórmula'!H60,9),INDEX(properties!A$1:CB$87,'Fórmula'!J60,9))</f>
        <v>87</v>
      </c>
      <c r="AD60" s="105">
        <f t="array" ref="AD60">MIN(IF(INDEX(properties!A$1:CB$87,'Fórmula'!B60,9)=0,10^6,INDEX(properties!A$1:CB$87,'Fórmula'!B60,9)),IF(INDEX(properties!A$1:CB$87,'Fórmula'!D60,9)=0,10^6,INDEX(properties!A$1:CB$87,'Fórmula'!D60,9)),IF(INDEX(properties!A$1:CB$87,'Fórmula'!F60,9)=0,10^6,INDEX(properties!A$1:CB$87,'Fórmula'!F60,9)),IF(INDEX(properties!A$1:CB$87,'Fórmula'!H60,9)=0,10^6,INDEX(properties!A$1:CB$87,'Fórmula'!H60,9)),IF(INDEX(properties!A$1:CB$87,'Fórmula'!J60,9)=0,10^6,INDEX(properties!A$1:CB$87,'Fórmula'!J60,9)))</f>
        <v>7</v>
      </c>
      <c r="AE60" s="105">
        <f t="shared" si="5"/>
        <v>80</v>
      </c>
      <c r="AF60" s="106">
        <f t="array" ref="AF60">(('Fórmula'!C60)/('Fórmula'!C60+'Fórmula'!E60+'Fórmula'!G60+'Fórmula'!I60+'Fórmula'!K60))*(INDEX(properties!A$1:CB$87,'Fórmula'!B60,10))+(('Fórmula'!E60)/('Fórmula'!C60+'Fórmula'!E60+'Fórmula'!G60+'Fórmula'!I60+'Fórmula'!K60))*(INDEX(properties!A$1:CB$87,'Fórmula'!D60,10))+(('Fórmula'!G60)/('Fórmula'!C60+'Fórmula'!E60+'Fórmula'!G60+'Fórmula'!I60+'Fórmula'!K60))*(INDEX(properties!A$1:CB$87,'Fórmula'!F60,10))+(('Fórmula'!I60)/('Fórmula'!C60+'Fórmula'!E60+'Fórmula'!G60+'Fórmula'!I60+'Fórmula'!K60))*(INDEX(properties!A$1:CB$87,'Fórmula'!H60,10))+(('Fórmula'!K60)/('Fórmula'!C60+'Fórmula'!E60+'Fórmula'!G60+'Fórmula'!I60+'Fórmula'!K60))*(INDEX(properties!A$1:CB$87,'Fórmula'!J60,10))</f>
        <v>5.75</v>
      </c>
      <c r="AG60" s="106">
        <f t="array" ref="AG60">'Fórmula'!C60*(INDEX(properties!A$1:CB$87,'Fórmula'!B60,10))+'Fórmula'!E60*(INDEX(properties!A$1:CB$87,'Fórmula'!D60,10))+'Fórmula'!G60*(INDEX(properties!A$1:CB$87,'Fórmula'!F60,10))+'Fórmula'!I60*(INDEX(properties!A$1:CB$87,'Fórmula'!H60,10))+'Fórmula'!K60*(INDEX(properties!A$1:CB$87,'Fórmula'!J60,10))</f>
        <v>69</v>
      </c>
      <c r="AH60" s="106">
        <f t="array" ref="AH60">VARP(IF(INDEX(properties!A$1:CB$87,'Fórmula'!B60,10)&lt;&gt;"",INDEX(properties!A$1:CB$87,'Fórmula'!B60,10)),IF(INDEX(properties!A$1:CB$87,'Fórmula'!D60,10)&lt;&gt;"",INDEX(properties!A$1:CB$87,'Fórmula'!D60,10)),IF(INDEX(properties!A$1:CB$87,'Fórmula'!F60,10)&lt;&gt;"",INDEX(properties!A$1:CB$87,'Fórmula'!F60,10)),IF(INDEX(properties!A$1:CB$87,'Fórmula'!H60,10)&lt;&gt;"",INDEX(properties!A$1:CB$87,'Fórmula'!H60,10)),IF(INDEX(properties!A$1:CB$87,'Fórmula'!J60,10)&lt;&gt;"",INDEX(properties!A$1:CB$87,'Fórmula'!J60,10)))</f>
        <v>6.8</v>
      </c>
      <c r="AI60" s="106">
        <f t="array" ref="AI60">MAX(INDEX(properties!A$1:CB$87,'Fórmula'!B60,10),INDEX(properties!A$1:CB$87,'Fórmula'!D60,10),INDEX(properties!A$1:CB$87,'Fórmula'!F60,10),INDEX(properties!A$1:CB$87,'Fórmula'!H60,10),INDEX(properties!A$1:CB$87,'Fórmula'!J60,10))</f>
        <v>7</v>
      </c>
      <c r="AJ60" s="106">
        <f t="array" ref="AJ60">MIN(IF(INDEX(properties!A$1:CB$87,'Fórmula'!B60,10)=0,10^6,INDEX(properties!A$1:CB$87,'Fórmula'!B60,10)),IF(INDEX(properties!A$1:CB$87,'Fórmula'!D60,10)=0,10^6,INDEX(properties!A$1:CB$87,'Fórmula'!D60,10)),IF(INDEX(properties!A$1:CB$87,'Fórmula'!F60,10)=0,10^6,INDEX(properties!A$1:CB$87,'Fórmula'!F60,10)),IF(INDEX(properties!A$1:CB$87,'Fórmula'!H60,10)=0,10^6,INDEX(properties!A$1:CB$87,'Fórmula'!H60,10)),IF(INDEX(properties!A$1:CB$87,'Fórmula'!J60,10)=0,10^6,INDEX(properties!A$1:CB$87,'Fórmula'!J60,10)))</f>
        <v>2</v>
      </c>
      <c r="AK60" s="106">
        <f t="shared" si="6"/>
        <v>5</v>
      </c>
      <c r="AL60" s="107">
        <f t="array" ref="AL60">(('Fórmula'!C60)/('Fórmula'!C60+'Fórmula'!E60+'Fórmula'!G60+'Fórmula'!I60+'Fórmula'!K60))*(INDEX(properties!A$1:CB$87,'Fórmula'!B60,11))+(('Fórmula'!E60)/('Fórmula'!C60+'Fórmula'!E60+'Fórmula'!G60+'Fórmula'!I60+'Fórmula'!K60))*(INDEX(properties!A$1:CB$87,'Fórmula'!D60,11))+(('Fórmula'!G60)/('Fórmula'!C60+'Fórmula'!E60+'Fórmula'!G60+'Fórmula'!I60+'Fórmula'!K60))*(INDEX(properties!A$1:CB$87,'Fórmula'!F60,11))+(('Fórmula'!I60)/('Fórmula'!C60+'Fórmula'!E60+'Fórmula'!G60+'Fórmula'!I60+'Fórmula'!K60))*(INDEX(properties!A$1:CB$87,'Fórmula'!H60,11))+(('Fórmula'!K60)/('Fórmula'!C60+'Fórmula'!E60+'Fórmula'!G60+'Fórmula'!I60+'Fórmula'!K60))*(INDEX(properties!A$1:CB$87,'Fórmula'!J60,11))</f>
        <v>2</v>
      </c>
      <c r="AM60" s="107">
        <f t="array" ref="AM60">'Fórmula'!C60*(INDEX(properties!A$1:CB$87,'Fórmula'!B60,11))+'Fórmula'!E60*(INDEX(properties!A$1:CB$87,'Fórmula'!D60,11))+'Fórmula'!G60*(INDEX(properties!A$1:CB$87,'Fórmula'!F60,11))+'Fórmula'!I60*(INDEX(properties!A$1:CB$87,'Fórmula'!H60,11))+'Fórmula'!K60*(INDEX(properties!A$1:CB$87,'Fórmula'!J60,11))</f>
        <v>24</v>
      </c>
      <c r="AN60" s="107">
        <f t="array" ref="AN60">VARP(IF(INDEX(properties!A$1:CB$87,'Fórmula'!B60,11)&lt;&gt;"",INDEX(properties!A$1:CB$87,'Fórmula'!B60,11)),IF(INDEX(properties!A$1:CB$87,'Fórmula'!D60,11)&lt;&gt;"",INDEX(properties!A$1:CB$87,'Fórmula'!D60,11)),IF(INDEX(properties!A$1:CB$87,'Fórmula'!F60,11)&lt;&gt;"",INDEX(properties!A$1:CB$87,'Fórmula'!F60,11)),IF(INDEX(properties!A$1:CB$87,'Fórmula'!H60,11)&lt;&gt;"",INDEX(properties!A$1:CB$87,'Fórmula'!H60,11)),IF(INDEX(properties!A$1:CB$87,'Fórmula'!J60,11)&lt;&gt;"",INDEX(properties!A$1:CB$87,'Fórmula'!J60,11)))</f>
        <v>0.64</v>
      </c>
      <c r="AO60" s="107">
        <f t="array" ref="AO60">MAX(INDEX(properties!A$1:CB$87,'Fórmula'!B60,11),INDEX(properties!A$1:CB$87,'Fórmula'!D60,11),INDEX(properties!A$1:CB$87,'Fórmula'!F60,11),INDEX(properties!A$1:CB$87,'Fórmula'!H60,11),INDEX(properties!A$1:CB$87,'Fórmula'!J60,11))</f>
        <v>2</v>
      </c>
      <c r="AP60" s="107">
        <f t="array" ref="AP60">MIN(IF('Fórmula'!B60=87,10^6,INDEX(properties!A$1:CB$87,'Fórmula'!B60,11)),IF(('Fórmula'!D60)=87,10^6,INDEX(properties!A$1:CB$87,'Fórmula'!D60,11)),IF(('Fórmula'!F60)=87,10^6,INDEX(properties!A$1:CB$87,'Fórmula'!F60,11)),IF(('Fórmula'!H60)=87,10^6,INDEX(properties!A$1:CB$87,'Fórmula'!H60,11)),IF('Fórmula'!J60=87,10^6,INDEX(properties!A$1:CB$87,'Fórmula'!J60,11)))</f>
        <v>2</v>
      </c>
      <c r="AQ60" s="107">
        <f t="shared" si="7"/>
        <v>0</v>
      </c>
      <c r="AR60" s="108">
        <f t="array" ref="AR60">(('Fórmula'!C60)/('Fórmula'!C60+'Fórmula'!E60+'Fórmula'!G60+'Fórmula'!I60+'Fórmula'!K60))*(INDEX(properties!A$1:CB$87,'Fórmula'!B60,12))+(('Fórmula'!E60)/('Fórmula'!C60+'Fórmula'!E60+'Fórmula'!G60+'Fórmula'!I60+'Fórmula'!K60))*(INDEX(properties!A$1:CB$87,'Fórmula'!D60,12))+(('Fórmula'!G60)/('Fórmula'!C60+'Fórmula'!E60+'Fórmula'!G60+'Fórmula'!I60+'Fórmula'!K60))*(INDEX(properties!A$1:CB$87,'Fórmula'!F60,12))+(('Fórmula'!I60)/('Fórmula'!C60+'Fórmula'!E60+'Fórmula'!G60+'Fórmula'!I60+'Fórmula'!K60))*(INDEX(properties!A$1:CB$87,'Fórmula'!H60,12))+(('Fórmula'!K60)/('Fórmula'!C60+'Fórmula'!E60+'Fórmula'!G60+'Fórmula'!I60+'Fórmula'!K60))*(INDEX(properties!A$1:CB$87,'Fórmula'!J60,12))</f>
        <v>2.666666667</v>
      </c>
      <c r="AS60" s="108">
        <f t="array" ref="AS60">'Fórmula'!C60*(INDEX(properties!A$1:CB$87,'Fórmula'!B60,12))+'Fórmula'!E60*(INDEX(properties!A$1:CB$87,'Fórmula'!D60,12))+'Fórmula'!G60*(INDEX(properties!A$1:CB$87,'Fórmula'!F60,12))+'Fórmula'!I60*(INDEX(properties!A$1:CB$87,'Fórmula'!H60,12))+'Fórmula'!K60*(INDEX(properties!A$1:CB$87,'Fórmula'!J60,12))</f>
        <v>32</v>
      </c>
      <c r="AT60" s="108">
        <f t="array" ref="AT60">VARP(IF(INDEX(properties!A$1:CB$87,'Fórmula'!B60,12)&lt;&gt;"",INDEX(properties!A$1:CB$87,'Fórmula'!B60,12)),IF(INDEX(properties!A$1:CB$87,'Fórmula'!D60,12)&lt;&gt;"",INDEX(properties!A$1:CB$87,'Fórmula'!D60,12)),IF(INDEX(properties!A$1:CB$87,'Fórmula'!F60,12)&lt;&gt;"",INDEX(properties!A$1:CB$87,'Fórmula'!F60,12)),IF(INDEX(properties!A$1:CB$87,'Fórmula'!H60,12)&lt;&gt;"",INDEX(properties!A$1:CB$87,'Fórmula'!H60,12)),IF(INDEX(properties!A$1:CB$87,'Fórmula'!J60,12)&lt;&gt;"",INDEX(properties!A$1:CB$87,'Fórmula'!J60,12)))</f>
        <v>2.24</v>
      </c>
      <c r="AU60" s="108">
        <f t="array" ref="AU60">MAX(INDEX(properties!A$1:CB$87,'Fórmula'!B60,12),INDEX(properties!A$1:CB$87,'Fórmula'!D60,12),INDEX(properties!A$1:CB$87,'Fórmula'!F60,12),INDEX(properties!A$1:CB$87,'Fórmula'!H60,12),INDEX(properties!A$1:CB$87,'Fórmula'!J60,12))</f>
        <v>4</v>
      </c>
      <c r="AV60" s="108">
        <f t="array" ref="AV60">MIN(IF('Fórmula'!B60=87,10^6,INDEX(properties!A$1:CB$87,'Fórmula'!B60,12)),IF(('Fórmula'!D60)=87,10^6,INDEX(properties!A$1:CB$87,'Fórmula'!D60,12)),IF(('Fórmula'!F60)=87,10^6,INDEX(properties!A$1:CB$87,'Fórmula'!F60,12)),IF(('Fórmula'!H60)=87,10^6,INDEX(properties!A$1:CB$87,'Fórmula'!H60,12)),IF('Fórmula'!J60=87,10^6,INDEX(properties!A$1:CB$87,'Fórmula'!J60,12)))</f>
        <v>0</v>
      </c>
      <c r="AW60" s="108">
        <f t="shared" si="8"/>
        <v>4</v>
      </c>
      <c r="AX60" s="109">
        <f t="array" ref="AX60">(('Fórmula'!C60)/('Fórmula'!C60+'Fórmula'!E60+'Fórmula'!G60+'Fórmula'!I60+'Fórmula'!K60))*(INDEX(properties!A$1:CB$87,'Fórmula'!B60,13))+(('Fórmula'!E60)/('Fórmula'!C60+'Fórmula'!E60+'Fórmula'!G60+'Fórmula'!I60+'Fórmula'!K60))*(INDEX(properties!A$1:CB$87,'Fórmula'!D60,13))+(('Fórmula'!G60)/('Fórmula'!C60+'Fórmula'!E60+'Fórmula'!G60+'Fórmula'!I60+'Fórmula'!K60))*(INDEX(properties!A$1:CB$87,'Fórmula'!F60,13))+(('Fórmula'!I60)/('Fórmula'!C60+'Fórmula'!E60+'Fórmula'!G60+'Fórmula'!I60+'Fórmula'!K60))*(INDEX(properties!A$1:CB$87,'Fórmula'!H60,13))+(('Fórmula'!K60)/('Fórmula'!C60+'Fórmula'!E60+'Fórmula'!G60+'Fórmula'!I60+'Fórmula'!K60))*(INDEX(properties!A$1:CB$87,'Fórmula'!J60,13))</f>
        <v>1.666666667</v>
      </c>
      <c r="AY60" s="109">
        <f t="array" ref="AY60">'Fórmula'!C60*(INDEX(properties!A$1:CB$87,'Fórmula'!B60,13))+'Fórmula'!E60*(INDEX(properties!A$1:CB$87,'Fórmula'!D60,13))+'Fórmula'!G60*(INDEX(properties!A$1:CB$87,'Fórmula'!F60,13))+'Fórmula'!I60*(INDEX(properties!A$1:CB$87,'Fórmula'!H60,13))+'Fórmula'!K60*(INDEX(properties!A$1:CB$87,'Fórmula'!J60,13))</f>
        <v>20</v>
      </c>
      <c r="AZ60" s="109">
        <f t="array" ref="AZ60">VARP(IF(INDEX(properties!A$1:CB$87,'Fórmula'!B60,13)&lt;&gt;"",INDEX(properties!A$1:CB$87,'Fórmula'!B60,13)),IF(INDEX(properties!A$1:CB$87,'Fórmula'!D60,13)&lt;&gt;"",INDEX(properties!A$1:CB$87,'Fórmula'!D60,13)),IF(INDEX(properties!A$1:CB$87,'Fórmula'!F60,13)&lt;&gt;"",INDEX(properties!A$1:CB$87,'Fórmula'!F60,13)),IF(INDEX(properties!A$1:CB$87,'Fórmula'!H60,13)&lt;&gt;"",INDEX(properties!A$1:CB$87,'Fórmula'!H60,13)),IF(INDEX(properties!A$1:CB$87,'Fórmula'!J60,13)&lt;&gt;"",INDEX(properties!A$1:CB$87,'Fórmula'!J60,13)))</f>
        <v>16</v>
      </c>
      <c r="BA60" s="109">
        <f t="array" ref="BA60">MAX(INDEX(properties!A$1:CB$87,'Fórmula'!B60,13),INDEX(properties!A$1:CB$87,'Fórmula'!D60,13),INDEX(properties!A$1:CB$87,'Fórmula'!F60,13),INDEX(properties!A$1:CB$87,'Fórmula'!H60,13),INDEX(properties!A$1:CB$87,'Fórmula'!J60,13))</f>
        <v>10</v>
      </c>
      <c r="BB60" s="109">
        <f t="array" ref="BB60">MIN(IF('Fórmula'!B60=87,10^6,INDEX(properties!A$1:CB$87,'Fórmula'!B60,13)),IF(('Fórmula'!D60)=87,10^6,INDEX(properties!A$1:CB$87,'Fórmula'!D60,13)),IF(('Fórmula'!F60)=87,10^6,INDEX(properties!A$1:CB$87,'Fórmula'!F60,13)),IF(('Fórmula'!H60)=87,10^6,INDEX(properties!A$1:CB$87,'Fórmula'!H60,13)),IF('Fórmula'!J60=87,10^6,INDEX(properties!A$1:CB$87,'Fórmula'!J60,13)))</f>
        <v>0</v>
      </c>
      <c r="BC60" s="109">
        <f t="shared" si="9"/>
        <v>10</v>
      </c>
      <c r="BD60" s="110">
        <f t="array" ref="BD60">(('Fórmula'!C60)/('Fórmula'!C60+'Fórmula'!E60+'Fórmula'!G60+'Fórmula'!I60+'Fórmula'!K60))*(INDEX(properties!A$1:CB$87,'Fórmula'!B60,14))+(('Fórmula'!E60)/('Fórmula'!C60+'Fórmula'!E60+'Fórmula'!G60+'Fórmula'!I60+'Fórmula'!K60))*(INDEX(properties!A$1:CB$87,'Fórmula'!D60,14))+(('Fórmula'!G60)/('Fórmula'!C60+'Fórmula'!E60+'Fórmula'!G60+'Fórmula'!I60+'Fórmula'!K60))*(INDEX(properties!A$1:CB$87,'Fórmula'!F60,14))+(('Fórmula'!I60)/('Fórmula'!C60+'Fórmula'!E60+'Fórmula'!G60+'Fórmula'!I60+'Fórmula'!K60))*(INDEX(properties!A$1:CB$87,'Fórmula'!H60,14))+(('Fórmula'!K60)/('Fórmula'!C60+'Fórmula'!E60+'Fórmula'!G60+'Fórmula'!I60+'Fórmula'!K60))*(INDEX(properties!A$1:CB$87,'Fórmula'!J60,14))</f>
        <v>0</v>
      </c>
      <c r="BE60" s="110">
        <f t="array" ref="BE60">'Fórmula'!C60*(INDEX(properties!A$1:CB$87,'Fórmula'!B60,14))+'Fórmula'!E60*(INDEX(properties!A$1:CB$87,'Fórmula'!D60,14))+'Fórmula'!G60*(INDEX(properties!A$1:CB$87,'Fórmula'!F60,14))+'Fórmula'!I60*(INDEX(properties!A$1:CB$87,'Fórmula'!H60,14))+'Fórmula'!K60*(INDEX(properties!A$1:CB$87,'Fórmula'!J60,14))</f>
        <v>0</v>
      </c>
      <c r="BF60" s="110">
        <f t="array" ref="BF60">VARP(IF(INDEX(properties!A$1:CB$87,'Fórmula'!B60,14)&lt;&gt;"",INDEX(properties!A$1:CB$87,'Fórmula'!B60,14)),IF(INDEX(properties!A$1:CB$87,'Fórmula'!D60,14)&lt;&gt;"",INDEX(properties!A$1:CB$87,'Fórmula'!D60,14)),IF(INDEX(properties!A$1:CB$87,'Fórmula'!F60,14)&lt;&gt;"",INDEX(properties!A$1:CB$87,'Fórmula'!F60,14)),IF(INDEX(properties!A$1:CB$87,'Fórmula'!H60,14)&lt;&gt;"",INDEX(properties!A$1:CB$87,'Fórmula'!H60,14)),IF(INDEX(properties!A$1:CB$87,'Fórmula'!J60,14)&lt;&gt;"",INDEX(properties!A$1:CB$87,'Fórmula'!J60,14)))</f>
        <v>0</v>
      </c>
      <c r="BG60" s="110">
        <f t="array" ref="BG60">MAX(INDEX(properties!A$1:CB$87,'Fórmula'!B60,14),INDEX(properties!A$1:CB$87,'Fórmula'!D60,14),INDEX(properties!A$1:CB$87,'Fórmula'!F60,14),INDEX(properties!A$1:CB$87,'Fórmula'!H60,14),INDEX(properties!A$1:CB$87,'Fórmula'!J60,14))</f>
        <v>0</v>
      </c>
      <c r="BH60" s="110">
        <f t="array" ref="BH60">MIN(IF('Fórmula'!B60=87,10^6,INDEX(properties!A$1:CB$87,'Fórmula'!B60,14)),IF(('Fórmula'!D60)=87,10^6,INDEX(properties!A$1:CB$87,'Fórmula'!D60,14)),IF(('Fórmula'!F60)=87,10^6,INDEX(properties!A$1:CB$87,'Fórmula'!F60,14)),IF(('Fórmula'!H60)=87,10^6,INDEX(properties!A$1:CB$87,'Fórmula'!H60,14)),IF('Fórmula'!J60=87,10^6,INDEX(properties!A$1:CB$87,'Fórmula'!J60,14)))</f>
        <v>0</v>
      </c>
      <c r="BI60" s="110">
        <f t="shared" si="10"/>
        <v>0</v>
      </c>
      <c r="BJ60" s="111">
        <f t="array" ref="BJ60">(('Fórmula'!C60)/('Fórmula'!C60+'Fórmula'!E60+'Fórmula'!G60+'Fórmula'!I60+'Fórmula'!K60))*(INDEX(properties!A$1:CB$87,'Fórmula'!B60,19))+(('Fórmula'!E60)/('Fórmula'!C60+'Fórmula'!E60+'Fórmula'!G60+'Fórmula'!I60+'Fórmula'!K60))*(INDEX(properties!A$1:CB$87,'Fórmula'!D60,19))+(('Fórmula'!G60)/('Fórmula'!C60+'Fórmula'!E60+'Fórmula'!G60+'Fórmula'!I60+'Fórmula'!K60))*(INDEX(properties!A$1:CB$87,'Fórmula'!F60,19))+(('Fórmula'!I60)/('Fórmula'!C60+'Fórmula'!E60+'Fórmula'!G60+'Fórmula'!I60+'Fórmula'!K60))*(INDEX(properties!A$1:CB$87,'Fórmula'!H60,19))+(('Fórmula'!K60)/('Fórmula'!C60+'Fórmula'!E60+'Fórmula'!G60+'Fórmula'!I60+'Fórmula'!K60))*(INDEX(properties!A$1:CB$87,'Fórmula'!J60,19))</f>
        <v>6.333333333</v>
      </c>
      <c r="BK60" s="111">
        <f t="array" ref="BK60">'Fórmula'!C60*(INDEX(properties!A$1:CB$87,'Fórmula'!B60,19))+'Fórmula'!E60*(INDEX(properties!A$1:CB$87,'Fórmula'!D60,19))+'Fórmula'!G60*(INDEX(properties!A$1:CB$87,'Fórmula'!F60,19))+'Fórmula'!I60*(INDEX(properties!A$1:CB$87,'Fórmula'!H60,19))+'Fórmula'!K60*(INDEX(properties!A$1:CB$87,'Fórmula'!J60,19))</f>
        <v>76</v>
      </c>
      <c r="BL60" s="111">
        <f t="array" ref="BL60">VARP(IF(INDEX(properties!A$1:CB$87,'Fórmula'!B60,19)&lt;&gt;"",INDEX(properties!A$1:CB$87,'Fórmula'!B60,19)),IF(INDEX(properties!A$1:CB$87,'Fórmula'!D60,19)&lt;&gt;"",INDEX(properties!A$1:CB$87,'Fórmula'!D60,19)),IF(INDEX(properties!A$1:CB$87,'Fórmula'!F60,19)&lt;&gt;"",INDEX(properties!A$1:CB$87,'Fórmula'!F60,19)),IF(INDEX(properties!A$1:CB$87,'Fórmula'!H60,19)&lt;&gt;"",INDEX(properties!A$1:CB$87,'Fórmula'!H60,19)),IF(INDEX(properties!A$1:CB$87,'Fórmula'!J60,19)&lt;&gt;"",INDEX(properties!A$1:CB$87,'Fórmula'!J60,19)))</f>
        <v>20</v>
      </c>
      <c r="BM60" s="111">
        <f t="array" ref="BM60">MAX(INDEX(properties!A$1:CB$87,'Fórmula'!B60,19),INDEX(properties!A$1:CB$87,'Fórmula'!D60,19),INDEX(properties!A$1:CB$87,'Fórmula'!F60,19),INDEX(properties!A$1:CB$87,'Fórmula'!H60,19),INDEX(properties!A$1:CB$87,'Fórmula'!J60,19))</f>
        <v>13</v>
      </c>
      <c r="BN60" s="111">
        <f t="array" ref="BN60">MIN(IF(INDEX(properties!A$1:CB$87,'Fórmula'!B60,19)=0,10^6,INDEX(properties!A$1:CB$87,'Fórmula'!B60,19)),IF(INDEX(properties!A$1:CB$87,'Fórmula'!D60,19)=0,10^6,INDEX(properties!A$1:CB$87,'Fórmula'!D60,19)),IF(INDEX(properties!A$1:CB$87,'Fórmula'!F60,19)=0,10^6,INDEX(properties!A$1:CB$87,'Fórmula'!F60,19)),IF(INDEX(properties!A$1:CB$87,'Fórmula'!H60,19)=0,10^6,INDEX(properties!A$1:CB$87,'Fórmula'!H60,19)),IF(INDEX(properties!A$1:CB$87,'Fórmula'!J60,19)=0,10^6,INDEX(properties!A$1:CB$87,'Fórmula'!J60,19)))</f>
        <v>2</v>
      </c>
      <c r="BO60" s="111">
        <f t="shared" si="11"/>
        <v>11</v>
      </c>
      <c r="BP60" s="112">
        <f t="array" ref="BP60">(('Fórmula'!C60)/('Fórmula'!C60+'Fórmula'!E60+'Fórmula'!G60+'Fórmula'!I60+'Fórmula'!K60))*(INDEX(properties!A$1:CB$87,'Fórmula'!B60,20))+(('Fórmula'!E60)/('Fórmula'!C60+'Fórmula'!E60+'Fórmula'!G60+'Fórmula'!I60+'Fórmula'!K60))*(INDEX(properties!A$1:CB$87,'Fórmula'!D60,20))+(('Fórmula'!G60)/('Fórmula'!C60+'Fórmula'!E60+'Fórmula'!G60+'Fórmula'!I60+'Fórmula'!K60))*(INDEX(properties!A$1:CB$87,'Fórmula'!F60,20))+(('Fórmula'!I60)/('Fórmula'!C60+'Fórmula'!E60+'Fórmula'!G60+'Fórmula'!I60+'Fórmula'!K60))*(INDEX(properties!A$1:CB$87,'Fórmula'!H60,20))+(('Fórmula'!K60)/('Fórmula'!C60+'Fórmula'!E60+'Fórmula'!G60+'Fórmula'!I60+'Fórmula'!K60))*(INDEX(properties!A$1:CB$87,'Fórmula'!J60,20))</f>
        <v>4.666666667</v>
      </c>
      <c r="BQ60" s="112">
        <f t="array" ref="BQ60">'Fórmula'!C60*(INDEX(properties!A$1:CB$87,'Fórmula'!B60,20))+'Fórmula'!E60*(INDEX(properties!A$1:CB$87,'Fórmula'!D60,20))+'Fórmula'!G60*(INDEX(properties!A$1:CB$87,'Fórmula'!F60,20))+'Fórmula'!I60*(INDEX(properties!A$1:CB$87,'Fórmula'!H60,20))+'Fórmula'!K60*(INDEX(properties!A$1:CB$87,'Fórmula'!J60,20))</f>
        <v>56</v>
      </c>
      <c r="BR60" s="112">
        <f t="array" ref="BR60">VARP(IF(INDEX(properties!A$1:CB$87,'Fórmula'!B60,20)&lt;&gt;"",INDEX(properties!A$1:CB$87,'Fórmula'!B60,20)),IF(INDEX(properties!A$1:CB$87,'Fórmula'!D60,20)&lt;&gt;"",INDEX(properties!A$1:CB$87,'Fórmula'!D60,20)),IF(INDEX(properties!A$1:CB$87,'Fórmula'!F60,20)&lt;&gt;"",INDEX(properties!A$1:CB$87,'Fórmula'!F60,20)),IF(INDEX(properties!A$1:CB$87,'Fórmula'!H60,20)&lt;&gt;"",INDEX(properties!A$1:CB$87,'Fórmula'!H60,20)),IF(INDEX(properties!A$1:CB$87,'Fórmula'!J60,20)&lt;&gt;"",INDEX(properties!A$1:CB$87,'Fórmula'!J60,20)))</f>
        <v>4</v>
      </c>
      <c r="BS60" s="112">
        <f t="array" ref="BS60">MAX(INDEX(properties!A$1:CB$87,'Fórmula'!B60,20),INDEX(properties!A$1:CB$87,'Fórmula'!D60,20),INDEX(properties!A$1:CB$87,'Fórmula'!F60,20),INDEX(properties!A$1:CB$87,'Fórmula'!H60,20),INDEX(properties!A$1:CB$87,'Fórmula'!J60,20))</f>
        <v>6</v>
      </c>
      <c r="BT60" s="112">
        <f t="array" ref="BT60">MIN(IF(INDEX(properties!A$1:CB$87,'Fórmula'!B60,20)=0,10^6,INDEX(properties!A$1:CB$87,'Fórmula'!B60,20)),IF(INDEX(properties!A$1:CB$87,'Fórmula'!D60,20)=0,10^6,INDEX(properties!A$1:CB$87,'Fórmula'!D60,20)),IF(INDEX(properties!A$1:CB$87,'Fórmula'!F60,20)=0,10^6,INDEX(properties!A$1:CB$87,'Fórmula'!F60,20)),IF(INDEX(properties!A$1:CB$87,'Fórmula'!H60,20)=0,10^6,INDEX(properties!A$1:CB$87,'Fórmula'!H60,20)),IF(INDEX(properties!A$1:CB$87,'Fórmula'!J60,20)=0,10^6,INDEX(properties!A$1:CB$87,'Fórmula'!J60,20)))</f>
        <v>2</v>
      </c>
      <c r="BU60" s="112">
        <f t="shared" si="12"/>
        <v>4</v>
      </c>
      <c r="BV60" s="113">
        <f t="array" ref="BV60">(('Fórmula'!C60)/('Fórmula'!C60+'Fórmula'!E60+'Fórmula'!G60+'Fórmula'!I60+'Fórmula'!K60))*(INDEX(properties!A$1:CB$87,'Fórmula'!B60,21))+(('Fórmula'!E60)/('Fórmula'!C60+'Fórmula'!E60+'Fórmula'!G60+'Fórmula'!I60+'Fórmula'!K60))*(INDEX(properties!A$1:CB$87,'Fórmula'!D60,21))+(('Fórmula'!G60)/('Fórmula'!C60+'Fórmula'!E60+'Fórmula'!G60+'Fórmula'!I60+'Fórmula'!K60))*(INDEX(properties!A$1:CB$87,'Fórmula'!F60,21))+(('Fórmula'!I60)/('Fórmula'!C60+'Fórmula'!E60+'Fórmula'!G60+'Fórmula'!I60+'Fórmula'!K60))*(INDEX(properties!A$1:CB$87,'Fórmula'!H60,21))+(('Fórmula'!K60)/('Fórmula'!C60+'Fórmula'!E60+'Fórmula'!G60+'Fórmula'!I60+'Fórmula'!K60))*(INDEX(properties!A$1:CB$87,'Fórmula'!J60,21))</f>
        <v>4.666666667</v>
      </c>
      <c r="BW60" s="113">
        <f t="array" ref="BW60">'Fórmula'!C60*(INDEX(properties!A$1:CB$87,'Fórmula'!B60,21))+'Fórmula'!E60*(INDEX(properties!A$1:CB$87,'Fórmula'!D60,21))+'Fórmula'!G60*(INDEX(properties!A$1:CB$87,'Fórmula'!F60,21))+'Fórmula'!I60*(INDEX(properties!A$1:CB$87,'Fórmula'!H60,21))+'Fórmula'!K60*(INDEX(properties!A$1:CB$87,'Fórmula'!J60,21))</f>
        <v>56</v>
      </c>
      <c r="BX60" s="113">
        <f t="array" ref="BX60">VARP(IF(INDEX(properties!A$1:CB$87,'Fórmula'!B60,21)&lt;&gt;"",INDEX(properties!A$1:CB$87,'Fórmula'!B60,21)),IF(INDEX(properties!A$1:CB$87,'Fórmula'!D60,21)&lt;&gt;"",INDEX(properties!A$1:CB$87,'Fórmula'!D60,21)),IF(INDEX(properties!A$1:CB$87,'Fórmula'!F60,21)&lt;&gt;"",INDEX(properties!A$1:CB$87,'Fórmula'!F60,21)),IF(INDEX(properties!A$1:CB$87,'Fórmula'!H60,21)&lt;&gt;"",INDEX(properties!A$1:CB$87,'Fórmula'!H60,21)),IF(INDEX(properties!A$1:CB$87,'Fórmula'!J60,21)&lt;&gt;"",INDEX(properties!A$1:CB$87,'Fórmula'!J60,21)))</f>
        <v>4</v>
      </c>
      <c r="BY60" s="113">
        <f t="array" ref="BY60">MAX(INDEX(properties!A$1:CB$87,'Fórmula'!B60,21),INDEX(properties!A$1:CB$87,'Fórmula'!D60,21),INDEX(properties!A$1:CB$87,'Fórmula'!F60,21),INDEX(properties!A$1:CB$87,'Fórmula'!H60,21),INDEX(properties!A$1:CB$87,'Fórmula'!J60,21))</f>
        <v>6</v>
      </c>
      <c r="BZ60" s="113">
        <f t="array" ref="BZ60">MIN(IF(INDEX(properties!A$1:CB$87,'Fórmula'!B60,21)=0,10^6,INDEX(properties!A$1:CB$87,'Fórmula'!B60,21)),IF(INDEX(properties!A$1:CB$87,'Fórmula'!D60,21)=0,10^6,INDEX(properties!A$1:CB$87,'Fórmula'!D60,21)),IF(INDEX(properties!A$1:CB$87,'Fórmula'!F60,21)=0,10^6,INDEX(properties!A$1:CB$87,'Fórmula'!F60,21)),IF(INDEX(properties!A$1:CB$87,'Fórmula'!H60,21)=0,10^6,INDEX(properties!A$1:CB$87,'Fórmula'!H60,21)),IF(INDEX(properties!A$1:CB$87,'Fórmula'!J60,21)=0,10^6,INDEX(properties!A$1:CB$87,'Fórmula'!J60,21)))</f>
        <v>2</v>
      </c>
      <c r="CA60" s="113">
        <f t="shared" si="13"/>
        <v>4</v>
      </c>
      <c r="CB60" s="114">
        <f t="array" ref="CB60">(('Fórmula'!C60)/('Fórmula'!C60+'Fórmula'!E60+'Fórmula'!G60+'Fórmula'!I60+'Fórmula'!K60))*(INDEX(properties!A$1:CB$87,'Fórmula'!B60,23))+(('Fórmula'!E60)/('Fórmula'!C60+'Fórmula'!E60+'Fórmula'!G60+'Fórmula'!I60+'Fórmula'!K60))*(INDEX(properties!A$1:CB$87,'Fórmula'!D60,23))+(('Fórmula'!G60)/('Fórmula'!C60+'Fórmula'!E60+'Fórmula'!G60+'Fórmula'!I60+'Fórmula'!K60))*(INDEX(properties!A$1:CB$87,'Fórmula'!F60,23))+(('Fórmula'!I60)/('Fórmula'!C60+'Fórmula'!E60+'Fórmula'!G60+'Fórmula'!I60+'Fórmula'!K60))*(INDEX(properties!A$1:CB$87,'Fórmula'!H60,23))+(('Fórmula'!K60)/('Fórmula'!C60+'Fórmula'!E60+'Fórmula'!G60+'Fórmula'!I60+'Fórmula'!K60))*(INDEX(properties!A$1:CB$87,'Fórmula'!J60,23))</f>
        <v>1.24</v>
      </c>
      <c r="CC60" s="114">
        <f t="array" ref="CC60">'Fórmula'!C60*(INDEX(properties!A$1:CB$87,'Fórmula'!B60,23))+'Fórmula'!E60*(INDEX(properties!A$1:CB$87,'Fórmula'!D60,23))+'Fórmula'!G60*(INDEX(properties!A$1:CB$87,'Fórmula'!F60,23))+'Fórmula'!I60*(INDEX(properties!A$1:CB$87,'Fórmula'!H60,23))+'Fórmula'!K60*(INDEX(properties!A$1:CB$87,'Fórmula'!J60,23))</f>
        <v>14.88</v>
      </c>
      <c r="CD60" s="114">
        <f t="array" ref="CD60">VARP(IF(INDEX(properties!A$1:CB$87,'Fórmula'!B60,23)&lt;&gt;"",INDEX(properties!A$1:CB$87,'Fórmula'!B60,23)),IF(INDEX(properties!A$1:CB$87,'Fórmula'!D60,23)&lt;&gt;"",INDEX(properties!A$1:CB$87,'Fórmula'!D60,23)),IF(INDEX(properties!A$1:CB$87,'Fórmula'!F60,23)&lt;&gt;"",INDEX(properties!A$1:CB$87,'Fórmula'!F60,23)),IF(INDEX(properties!A$1:CB$87,'Fórmula'!H60,23)&lt;&gt;"",INDEX(properties!A$1:CB$87,'Fórmula'!H60,23)),IF(INDEX(properties!A$1:CB$87,'Fórmula'!J60,23)&lt;&gt;"",INDEX(properties!A$1:CB$87,'Fórmula'!J60,23)))</f>
        <v>2.802176</v>
      </c>
      <c r="CE60" s="114">
        <f t="array" ref="CE60">MAX(INDEX(properties!A$1:CB$87,'Fórmula'!B60,23),INDEX(properties!A$1:CB$87,'Fórmula'!D60,23),INDEX(properties!A$1:CB$87,'Fórmula'!F60,23),INDEX(properties!A$1:CB$87,'Fórmula'!H60,23),INDEX(properties!A$1:CB$87,'Fórmula'!J60,23))</f>
        <v>4</v>
      </c>
      <c r="CF60" s="114">
        <f t="array" ref="CF60">MIN(IF('Fórmula'!B60=87,10^6,INDEX(properties!A$1:CB$87,'Fórmula'!B60,23)),IF(('Fórmula'!D60)=87,10^6,INDEX(properties!A$1:CB$87,'Fórmula'!D60,23)),IF(('Fórmula'!F60)=87,10^6,INDEX(properties!A$1:CB$87,'Fórmula'!F60,23)),IF(('Fórmula'!H60)=87,10^6,INDEX(properties!A$1:CB$87,'Fórmula'!H60,23)),IF('Fórmula'!J60=87,10^6,INDEX(properties!A$1:CB$87,'Fórmula'!J60,23)))</f>
        <v>0</v>
      </c>
      <c r="CG60" s="114">
        <f t="shared" si="14"/>
        <v>4</v>
      </c>
      <c r="CH60" s="115">
        <f t="array" ref="CH60">(('Fórmula'!C60)/('Fórmula'!C60+'Fórmula'!E60+'Fórmula'!G60+'Fórmula'!I60+'Fórmula'!K60))*(INDEX(properties!A$1:CB$87,'Fórmula'!B60,26))+(('Fórmula'!E60)/('Fórmula'!C60+'Fórmula'!E60+'Fórmula'!G60+'Fórmula'!I60+'Fórmula'!K60))*(INDEX(properties!A$1:CB$87,'Fórmula'!D60,26))+(('Fórmula'!G60)/('Fórmula'!C60+'Fórmula'!E60+'Fórmula'!G60+'Fórmula'!I60+'Fórmula'!K60))*(INDEX(properties!A$1:CB$87,'Fórmula'!F60,26))+(('Fórmula'!I60)/('Fórmula'!C60+'Fórmula'!E60+'Fórmula'!G60+'Fórmula'!I60+'Fórmula'!K60))*(INDEX(properties!A$1:CB$87,'Fórmula'!H60,26))+(('Fórmula'!K60)/('Fórmula'!C60+'Fórmula'!E60+'Fórmula'!G60+'Fórmula'!I60+'Fórmula'!K60))*(INDEX(properties!A$1:CB$87,'Fórmula'!J60,26))</f>
        <v>10.64195</v>
      </c>
      <c r="CI60" s="115">
        <f t="array" ref="CI60">'Fórmula'!C60*(INDEX(properties!A$1:CB$87,'Fórmula'!B60,26))+'Fórmula'!E60*(INDEX(properties!A$1:CB$87,'Fórmula'!D60,26))+'Fórmula'!G60*(INDEX(properties!A$1:CB$87,'Fórmula'!F60,26))+'Fórmula'!I60*(INDEX(properties!A$1:CB$87,'Fórmula'!H60,26))+'Fórmula'!K60*(INDEX(properties!A$1:CB$87,'Fórmula'!J60,26))</f>
        <v>127.7034</v>
      </c>
      <c r="CJ60" s="115">
        <f t="array" ref="CJ60">VARP(IF(INDEX(properties!A$1:CB$87,'Fórmula'!B60,26)&lt;&gt;"",INDEX(properties!A$1:CB$87,'Fórmula'!B60,26)),IF(INDEX(properties!A$1:CB$87,'Fórmula'!D60,26)&lt;&gt;"",INDEX(properties!A$1:CB$87,'Fórmula'!D60,26)),IF(INDEX(properties!A$1:CB$87,'Fórmula'!F60,26)&lt;&gt;"",INDEX(properties!A$1:CB$87,'Fórmula'!F60,26)),IF(INDEX(properties!A$1:CB$87,'Fórmula'!H60,26)&lt;&gt;"",INDEX(properties!A$1:CB$87,'Fórmula'!H60,26)),IF(INDEX(properties!A$1:CB$87,'Fórmula'!J60,26)&lt;&gt;"",INDEX(properties!A$1:CB$87,'Fórmula'!J60,26)))</f>
        <v>19.13272491</v>
      </c>
      <c r="CK60" s="116">
        <f t="array" ref="CK60">MAX(INDEX(properties!A$1:CB$87,'Fórmula'!B60,26),INDEX(properties!A$1:CB$87,'Fórmula'!D60,26),INDEX(properties!A$1:CB$87,'Fórmula'!F60,26),INDEX(properties!A$1:CB$87,'Fórmula'!H60,26),INDEX(properties!A$1:CB$87,'Fórmula'!J60,26))</f>
        <v>13.6181</v>
      </c>
      <c r="CL60" s="116">
        <f t="array" ref="CL60">MIN(IF(INDEX(properties!A$1:CB$87,'Fórmula'!B60,26)=0,10^6,INDEX(properties!A$1:CB$87,'Fórmula'!B60,26)),IF(INDEX(properties!A$1:CB$87,'Fórmula'!D60,26)=0,10^6,INDEX(properties!A$1:CB$87,'Fórmula'!D60,26)),IF(INDEX(properties!A$1:CB$87,'Fórmula'!F60,26)=0,10^6,INDEX(properties!A$1:CB$87,'Fórmula'!F60,26)),IF(INDEX(properties!A$1:CB$87,'Fórmula'!H60,26)=0,10^6,INDEX(properties!A$1:CB$87,'Fórmula'!H60,26)),IF(INDEX(properties!A$1:CB$87,'Fórmula'!J60,26)=0,10^6,INDEX(properties!A$1:CB$87,'Fórmula'!J60,26)))</f>
        <v>5.9993</v>
      </c>
      <c r="CM60" s="115">
        <f t="shared" si="15"/>
        <v>7.6188</v>
      </c>
      <c r="CN60" s="117">
        <f t="array" ref="CN60">(('Fórmula'!C60)/('Fórmula'!C60+'Fórmula'!E60+'Fórmula'!G60+'Fórmula'!I60+'Fórmula'!K60))*(INDEX(properties!A$1:CB$87,'Fórmula'!B60,30))+(('Fórmula'!E60)/('Fórmula'!C60+'Fórmula'!E60+'Fórmula'!G60+'Fórmula'!I60+'Fórmula'!K60))*(INDEX(properties!A$1:CB$87,'Fórmula'!D60,30))+(('Fórmula'!G60)/('Fórmula'!C60+'Fórmula'!E60+'Fórmula'!G60+'Fórmula'!I60+'Fórmula'!K60))*(INDEX(properties!A$1:CB$87,'Fórmula'!F60,30))+(('Fórmula'!I60)/('Fórmula'!C60+'Fórmula'!E60+'Fórmula'!G60+'Fórmula'!I60+'Fórmula'!K60))*(INDEX(properties!A$1:CB$87,'Fórmula'!H60,30))+(('Fórmula'!K60)/('Fórmula'!C60+'Fórmula'!E60+'Fórmula'!G60+'Fórmula'!I60+'Fórmula'!K60))*(INDEX(properties!A$1:CB$87,'Fórmula'!J60,30))</f>
        <v>2.633333333</v>
      </c>
      <c r="CO60" s="117">
        <f t="array" ref="CO60">'Fórmula'!C60*(INDEX(properties!A$1:CB$87,'Fórmula'!B60,30))+'Fórmula'!E60*(INDEX(properties!A$1:CB$87,'Fórmula'!D60,30))+'Fórmula'!G60*(INDEX(properties!A$1:CB$87,'Fórmula'!F60,30))+'Fórmula'!I60*(INDEX(properties!A$1:CB$87,'Fórmula'!H60,30))+'Fórmula'!K60*(INDEX(properties!A$1:CB$87,'Fórmula'!J60,30))</f>
        <v>31.6</v>
      </c>
      <c r="CP60" s="117">
        <f t="array" ref="CP60">VARP(IF(INDEX(properties!A$1:CB$87,'Fórmula'!B60,30)&lt;&gt;"",INDEX(properties!A$1:CB$87,'Fórmula'!B60,30)),IF(INDEX(properties!A$1:CB$87,'Fórmula'!D60,30)&lt;&gt;"",INDEX(properties!A$1:CB$87,'Fórmula'!D60,30)),IF(INDEX(properties!A$1:CB$87,'Fórmula'!F60,30)&lt;&gt;"",INDEX(properties!A$1:CB$87,'Fórmula'!F60,30)),IF(INDEX(properties!A$1:CB$87,'Fórmula'!H60,30)&lt;&gt;"",INDEX(properties!A$1:CB$87,'Fórmula'!H60,30)),IF(INDEX(properties!A$1:CB$87,'Fórmula'!J60,30)&lt;&gt;"",INDEX(properties!A$1:CB$87,'Fórmula'!J60,30)))</f>
        <v>1.28704</v>
      </c>
      <c r="CQ60" s="117">
        <f t="array" ref="CQ60">MAX(INDEX(properties!A$1:CB$87,'Fórmula'!B60,30),INDEX(properties!A$1:CB$87,'Fórmula'!D60,30),INDEX(properties!A$1:CB$87,'Fórmula'!F60,30),INDEX(properties!A$1:CB$87,'Fórmula'!H60,30),INDEX(properties!A$1:CB$87,'Fórmula'!J60,30))</f>
        <v>3.44</v>
      </c>
      <c r="CR60" s="117">
        <f t="array" ref="CR60">MIN(IF(INDEX(properties!A$1:CB$87,'Fórmula'!B60,30)=0,10^6,INDEX(properties!A$1:CB$87,'Fórmula'!B60,30)),IF(INDEX(properties!A$1:CB$87,'Fórmula'!D60,30)=0,10^6,INDEX(properties!A$1:CB$87,'Fórmula'!D60,30)),IF(INDEX(properties!A$1:CB$87,'Fórmula'!F60,30)=0,10^6,INDEX(properties!A$1:CB$87,'Fórmula'!F60,30)),IF(INDEX(properties!A$1:CB$87,'Fórmula'!H60,30)=0,10^6,INDEX(properties!A$1:CB$87,'Fórmula'!H60,30)),IF(INDEX(properties!A$1:CB$87,'Fórmula'!J60,30)=0,10^6,INDEX(properties!A$1:CB$87,'Fórmula'!J60,30)))</f>
        <v>1</v>
      </c>
      <c r="CS60" s="117">
        <f t="shared" si="16"/>
        <v>2.44</v>
      </c>
      <c r="CT60" s="118">
        <f t="array" ref="CT60">(('Fórmula'!C60)/('Fórmula'!C60+'Fórmula'!E60+'Fórmula'!G60+'Fórmula'!I60+'Fórmula'!K60))*(INDEX(properties!A$1:CB$87,'Fórmula'!B60,31))+(('Fórmula'!E60)/('Fórmula'!C60+'Fórmula'!E60+'Fórmula'!G60+'Fórmula'!I60+'Fórmula'!K60))*(INDEX(properties!A$1:CB$87,'Fórmula'!D60,31))+(('Fórmula'!G60)/('Fórmula'!C60+'Fórmula'!E60+'Fórmula'!G60+'Fórmula'!I60+'Fórmula'!K60))*(INDEX(properties!A$1:CB$87,'Fórmula'!F60,31))+(('Fórmula'!I60)/('Fórmula'!C60+'Fórmula'!E60+'Fórmula'!G60+'Fórmula'!I60+'Fórmula'!K60))*(INDEX(properties!A$1:CB$87,'Fórmula'!H60,31))+(('Fórmula'!K60)/('Fórmula'!C60+'Fórmula'!E60+'Fórmula'!G60+'Fórmula'!I60+'Fórmula'!K60))*(INDEX(properties!A$1:CB$87,'Fórmula'!J60,31))</f>
        <v>2.58</v>
      </c>
      <c r="CU60" s="118">
        <f t="array" ref="CU60">'Fórmula'!C60*(INDEX(properties!A$1:CB$87,'Fórmula'!B60,31))+'Fórmula'!E60*(INDEX(properties!A$1:CB$87,'Fórmula'!D60,31))+'Fórmula'!G60*(INDEX(properties!A$1:CB$87,'Fórmula'!F60,31))+'Fórmula'!I60*(INDEX(properties!A$1:CB$87,'Fórmula'!H60,31))+'Fórmula'!K60*(INDEX(properties!A$1:CB$87,'Fórmula'!J60,31))</f>
        <v>30.96</v>
      </c>
      <c r="CV60" s="118">
        <f t="array" ref="CV60">VARP(IF(INDEX(properties!A$1:CB$87,'Fórmula'!B60,31)&lt;&gt;"",INDEX(properties!A$1:CB$87,'Fórmula'!B60,31)),IF(INDEX(properties!A$1:CB$87,'Fórmula'!D60,31)&lt;&gt;"",INDEX(properties!A$1:CB$87,'Fórmula'!D60,31)),IF(INDEX(properties!A$1:CB$87,'Fórmula'!F60,31)&lt;&gt;"",INDEX(properties!A$1:CB$87,'Fórmula'!F60,31)),IF(INDEX(properties!A$1:CB$87,'Fórmula'!H60,31)&lt;&gt;"",INDEX(properties!A$1:CB$87,'Fórmula'!H60,31)),IF(INDEX(properties!A$1:CB$87,'Fórmula'!J60,31)&lt;&gt;"",INDEX(properties!A$1:CB$87,'Fórmula'!J60,31)))</f>
        <v>1.170384</v>
      </c>
      <c r="CW60" s="118">
        <f t="array" ref="CW60">MAX(INDEX(properties!A$1:CB$87,'Fórmula'!B60,31),INDEX(properties!A$1:CB$87,'Fórmula'!D60,31),INDEX(properties!A$1:CB$87,'Fórmula'!F60,31),INDEX(properties!A$1:CB$87,'Fórmula'!H60,31),INDEX(properties!A$1:CB$87,'Fórmula'!J60,31))</f>
        <v>3.32</v>
      </c>
      <c r="CX60" s="118">
        <f t="array" ref="CX60">MIN(IF(INDEX(properties!A$1:CB$87,'Fórmula'!B60,31)=0,10^6,INDEX(properties!A$1:CB$87,'Fórmula'!B60,31)),IF(INDEX(properties!A$1:CB$87,'Fórmula'!D60,31)=0,10^6,INDEX(properties!A$1:CB$87,'Fórmula'!D60,31)),IF(INDEX(properties!A$1:CB$87,'Fórmula'!F60,31)=0,10^6,INDEX(properties!A$1:CB$87,'Fórmula'!F60,31)),IF(INDEX(properties!A$1:CB$87,'Fórmula'!H60,31)=0,10^6,INDEX(properties!A$1:CB$87,'Fórmula'!H60,31)),IF(INDEX(properties!A$1:CB$87,'Fórmula'!J60,31)=0,10^6,INDEX(properties!A$1:CB$87,'Fórmula'!J60,31)))</f>
        <v>1.17</v>
      </c>
      <c r="CY60" s="118">
        <f t="shared" si="17"/>
        <v>2.15</v>
      </c>
      <c r="CZ60" s="119">
        <f t="array" ref="CZ60">(('Fórmula'!C60)/('Fórmula'!C60+'Fórmula'!E60+'Fórmula'!G60+'Fórmula'!I60+'Fórmula'!K60))*(INDEX(properties!A$1:CB$87,'Fórmula'!B60,32))+(('Fórmula'!E60)/('Fórmula'!C60+'Fórmula'!E60+'Fórmula'!G60+'Fórmula'!I60+'Fórmula'!K60))*(INDEX(properties!A$1:CB$87,'Fórmula'!D60,32))+(('Fórmula'!G60)/('Fórmula'!C60+'Fórmula'!E60+'Fórmula'!G60+'Fórmula'!I60+'Fórmula'!K60))*(INDEX(properties!A$1:CB$87,'Fórmula'!F60,32))+(('Fórmula'!I60)/('Fórmula'!C60+'Fórmula'!E60+'Fórmula'!G60+'Fórmula'!I60+'Fórmula'!K60))*(INDEX(properties!A$1:CB$87,'Fórmula'!H60,32))+(('Fórmula'!K60)/('Fórmula'!C60+'Fórmula'!E60+'Fórmula'!G60+'Fórmula'!I60+'Fórmula'!K60))*(INDEX(properties!A$1:CB$87,'Fórmula'!J60,32))</f>
        <v>5.695833333</v>
      </c>
      <c r="DA60" s="119">
        <f t="array" ref="DA60">'Fórmula'!C60*(INDEX(properties!A$1:CB$87,'Fórmula'!B60,32))+'Fórmula'!E60*(INDEX(properties!A$1:CB$87,'Fórmula'!D60,32))+'Fórmula'!G60*(INDEX(properties!A$1:CB$87,'Fórmula'!F60,32))+'Fórmula'!I60*(INDEX(properties!A$1:CB$87,'Fórmula'!H60,32))+'Fórmula'!K60*(INDEX(properties!A$1:CB$87,'Fórmula'!J60,32))</f>
        <v>68.35</v>
      </c>
      <c r="DB60" s="119">
        <f t="array" ref="DB60">VARP(IF(INDEX(properties!A$1:CB$87,'Fórmula'!B60,32)&lt;&gt;"",INDEX(properties!A$1:CB$87,'Fórmula'!B60,32)),IF(INDEX(properties!A$1:CB$87,'Fórmula'!D60,32)&lt;&gt;"",INDEX(properties!A$1:CB$87,'Fórmula'!D60,32)),IF(INDEX(properties!A$1:CB$87,'Fórmula'!F60,32)&lt;&gt;"",INDEX(properties!A$1:CB$87,'Fórmula'!F60,32)),IF(INDEX(properties!A$1:CB$87,'Fórmula'!H60,32)&lt;&gt;"",INDEX(properties!A$1:CB$87,'Fórmula'!H60,32)),IF(INDEX(properties!A$1:CB$87,'Fórmula'!J60,32)&lt;&gt;"",INDEX(properties!A$1:CB$87,'Fórmula'!J60,32)))</f>
        <v>6.391136</v>
      </c>
      <c r="DC60" s="119">
        <f t="array" ref="DC60">MAX(INDEX(properties!A$1:CB$87,'Fórmula'!B60,32),INDEX(properties!A$1:CB$87,'Fórmula'!D60,32),INDEX(properties!A$1:CB$87,'Fórmula'!F60,32),INDEX(properties!A$1:CB$87,'Fórmula'!H60,32),INDEX(properties!A$1:CB$87,'Fórmula'!J60,32))</f>
        <v>7.54</v>
      </c>
      <c r="DD60" s="119">
        <f t="array" ref="DD60">MIN(IF(INDEX(properties!A$1:CB$87,'Fórmula'!B60,32)=0,10^6,INDEX(properties!A$1:CB$87,'Fórmula'!B60,32)),IF(INDEX(properties!A$1:CB$87,'Fórmula'!D60,32)=0,10^6,INDEX(properties!A$1:CB$87,'Fórmula'!D60,32)),IF(INDEX(properties!A$1:CB$87,'Fórmula'!F60,32)=0,10^6,INDEX(properties!A$1:CB$87,'Fórmula'!F60,32)),IF(INDEX(properties!A$1:CB$87,'Fórmula'!H60,32)=0,10^6,INDEX(properties!A$1:CB$87,'Fórmula'!H60,32)),IF(INDEX(properties!A$1:CB$87,'Fórmula'!J60,32)=0,10^6,INDEX(properties!A$1:CB$87,'Fórmula'!J60,32)))</f>
        <v>2.2</v>
      </c>
      <c r="DE60" s="119">
        <f t="shared" si="18"/>
        <v>5.34</v>
      </c>
      <c r="DF60" s="104">
        <f t="array" ref="DF60">(('Fórmula'!C60)/('Fórmula'!C60+'Fórmula'!E60+'Fórmula'!G60+'Fórmula'!I60+'Fórmula'!K60))*(INDEX(properties!A$1:CB$87,'Fórmula'!B60,34))+(('Fórmula'!E60)/('Fórmula'!C60+'Fórmula'!E60+'Fórmula'!G60+'Fórmula'!I60+'Fórmula'!K60))*(INDEX(properties!A$1:CB$87,'Fórmula'!D60,34))+(('Fórmula'!G60)/('Fórmula'!C60+'Fórmula'!E60+'Fórmula'!G60+'Fórmula'!I60+'Fórmula'!K60))*(INDEX(properties!A$1:CB$87,'Fórmula'!F60,34))+(('Fórmula'!I60)/('Fórmula'!C60+'Fórmula'!E60+'Fórmula'!G60+'Fórmula'!I60+'Fórmula'!K60))*(INDEX(properties!A$1:CB$87,'Fórmula'!H60,34))+(('Fórmula'!K60)/('Fórmula'!C60+'Fórmula'!E60+'Fórmula'!G60+'Fórmula'!I60+'Fórmula'!K60))*(INDEX(properties!A$1:CB$87,'Fórmula'!J60,34))</f>
        <v>2.7305</v>
      </c>
      <c r="DG60" s="104">
        <f t="array" ref="DG60">'Fórmula'!C60*(INDEX(properties!A$1:CB$87,'Fórmula'!B60,34))+'Fórmula'!E60*(INDEX(properties!A$1:CB$87,'Fórmula'!D60,34))+'Fórmula'!G60*(INDEX(properties!A$1:CB$87,'Fórmula'!F60,34))+'Fórmula'!I60*(INDEX(properties!A$1:CB$87,'Fórmula'!H60,34))+'Fórmula'!K60*(INDEX(properties!A$1:CB$87,'Fórmula'!J60,34))</f>
        <v>32.766</v>
      </c>
      <c r="DH60" s="104">
        <f t="array" ref="DH60">VARP(IF(INDEX(properties!A$1:CB$87,'Fórmula'!B60,34)&lt;&gt;"",INDEX(properties!A$1:CB$87,'Fórmula'!B60,34)),IF(INDEX(properties!A$1:CB$87,'Fórmula'!D60,34)&lt;&gt;"",INDEX(properties!A$1:CB$87,'Fórmula'!D60,34)),IF(INDEX(properties!A$1:CB$87,'Fórmula'!F60,34)&lt;&gt;"",INDEX(properties!A$1:CB$87,'Fórmula'!F60,34)),IF(INDEX(properties!A$1:CB$87,'Fórmula'!H60,34)&lt;&gt;"",INDEX(properties!A$1:CB$87,'Fórmula'!H60,34)),IF(INDEX(properties!A$1:CB$87,'Fórmula'!J60,34)&lt;&gt;"",INDEX(properties!A$1:CB$87,'Fórmula'!J60,34)))</f>
        <v>1.40493536</v>
      </c>
      <c r="DI60" s="104">
        <f t="array" ref="DI60">MAX(INDEX(properties!A$1:CB$87,'Fórmula'!B60,34),INDEX(properties!A$1:CB$87,'Fórmula'!D60,34),INDEX(properties!A$1:CB$87,'Fórmula'!F60,34),INDEX(properties!A$1:CB$87,'Fórmula'!H60,34),INDEX(properties!A$1:CB$87,'Fórmula'!J60,34))</f>
        <v>3.61</v>
      </c>
      <c r="DJ60" s="104">
        <f t="array" ref="DJ60">MIN(IF(INDEX(properties!A$1:CB$87,'Fórmula'!B60,34)=0,10^6,INDEX(properties!A$1:CB$87,'Fórmula'!B60,34)),IF(INDEX(properties!A$1:CB$87,'Fórmula'!D60,34)=0,10^6,INDEX(properties!A$1:CB$87,'Fórmula'!D60,34)),IF(INDEX(properties!A$1:CB$87,'Fórmula'!F60,34)=0,10^6,INDEX(properties!A$1:CB$87,'Fórmula'!F60,34)),IF(INDEX(properties!A$1:CB$87,'Fórmula'!H60,34)=0,10^6,INDEX(properties!A$1:CB$87,'Fórmula'!H60,34)),IF(INDEX(properties!A$1:CB$87,'Fórmula'!J60,34)=0,10^6,INDEX(properties!A$1:CB$87,'Fórmula'!J60,34)))</f>
        <v>1.034</v>
      </c>
      <c r="DK60" s="104">
        <f t="shared" si="19"/>
        <v>2.576</v>
      </c>
      <c r="DL60" s="105">
        <f t="array" ref="DL60">(('Fórmula'!C60)/('Fórmula'!C60+'Fórmula'!E60+'Fórmula'!G60+'Fórmula'!I60+'Fórmula'!K60))*(INDEX(properties!A$1:CB$87,'Fórmula'!B60,37))+(('Fórmula'!E60)/('Fórmula'!C60+'Fórmula'!E60+'Fórmula'!G60+'Fórmula'!I60+'Fórmula'!K60))*(INDEX(properties!A$1:CB$87,'Fórmula'!D60,37))+(('Fórmula'!G60)/('Fórmula'!C60+'Fórmula'!E60+'Fórmula'!G60+'Fórmula'!I60+'Fórmula'!K60))*(INDEX(properties!A$1:CB$87,'Fórmula'!F60,37))+(('Fórmula'!I60)/('Fórmula'!C60+'Fórmula'!E60+'Fórmula'!G60+'Fórmula'!I60+'Fórmula'!K60))*(INDEX(properties!A$1:CB$87,'Fórmula'!H60,37))+(('Fórmula'!K60)/('Fórmula'!C60+'Fórmula'!E60+'Fórmula'!G60+'Fórmula'!I60+'Fórmula'!K60))*(INDEX(properties!A$1:CB$87,'Fórmula'!J60,37))</f>
        <v>2.5625</v>
      </c>
      <c r="DM60" s="105">
        <f t="array" ref="DM60">'Fórmula'!C60*(INDEX(properties!A$1:CB$87,'Fórmula'!B60,37))+'Fórmula'!E60*(INDEX(properties!A$1:CB$87,'Fórmula'!D60,37))+'Fórmula'!G60*(INDEX(properties!A$1:CB$87,'Fórmula'!F60,37))+'Fórmula'!I60*(INDEX(properties!A$1:CB$87,'Fórmula'!H60,37))+'Fórmula'!K60*(INDEX(properties!A$1:CB$87,'Fórmula'!J60,37))</f>
        <v>30.75</v>
      </c>
      <c r="DN60" s="105">
        <f t="array" ref="DN60">VARP(IF(INDEX(properties!A$1:CB$87,'Fórmula'!B60,37)&lt;&gt;"",INDEX(properties!A$1:CB$87,'Fórmula'!B60,37)),IF(INDEX(properties!A$1:CB$87,'Fórmula'!D60,37)&lt;&gt;"",INDEX(properties!A$1:CB$87,'Fórmula'!D60,37)),IF(INDEX(properties!A$1:CB$87,'Fórmula'!F60,37)&lt;&gt;"",INDEX(properties!A$1:CB$87,'Fórmula'!F60,37)),IF(INDEX(properties!A$1:CB$87,'Fórmula'!H60,37)&lt;&gt;"",INDEX(properties!A$1:CB$87,'Fórmula'!H60,37)),IF(INDEX(properties!A$1:CB$87,'Fórmula'!J60,37)&lt;&gt;"",INDEX(properties!A$1:CB$87,'Fórmula'!J60,37)))</f>
        <v>1.2796</v>
      </c>
      <c r="DO60" s="105">
        <f t="array" ref="DO60">MAX(INDEX(properties!A$1:CB$87,'Fórmula'!B60,37),INDEX(properties!A$1:CB$87,'Fórmula'!D60,37),INDEX(properties!A$1:CB$87,'Fórmula'!F60,37),INDEX(properties!A$1:CB$87,'Fórmula'!H60,37),INDEX(properties!A$1:CB$87,'Fórmula'!J60,37))</f>
        <v>3.45</v>
      </c>
      <c r="DP60" s="105">
        <f t="array" ref="DP60">MIN(IF(INDEX(properties!A$1:CB$87,'Fórmula'!B60,37)=0,10^6,INDEX(properties!A$1:CB$87,'Fórmula'!B60,37)),IF(INDEX(properties!A$1:CB$87,'Fórmula'!D60,37)=0,10^6,INDEX(properties!A$1:CB$87,'Fórmula'!D60,37)),IF(INDEX(properties!A$1:CB$87,'Fórmula'!F60,37)=0,10^6,INDEX(properties!A$1:CB$87,'Fórmula'!F60,37)),IF(INDEX(properties!A$1:CB$87,'Fórmula'!H60,37)=0,10^6,INDEX(properties!A$1:CB$87,'Fórmula'!H60,37)),IF(INDEX(properties!A$1:CB$87,'Fórmula'!J60,37)=0,10^6,INDEX(properties!A$1:CB$87,'Fórmula'!J60,37)))</f>
        <v>1</v>
      </c>
      <c r="DQ60" s="105">
        <f t="shared" si="20"/>
        <v>2.45</v>
      </c>
      <c r="DR60" s="109">
        <f t="array" ref="DR60">(('Fórmula'!C60)/('Fórmula'!C60+'Fórmula'!E60+'Fórmula'!G60+'Fórmula'!I60+'Fórmula'!K60))*(INDEX(properties!A$1:CB$87,'Fórmula'!B60,39))+(('Fórmula'!E60)/('Fórmula'!C60+'Fórmula'!E60+'Fórmula'!G60+'Fórmula'!I60+'Fórmula'!K60))*(INDEX(properties!A$1:CB$87,'Fórmula'!D60,39))+(('Fórmula'!G60)/('Fórmula'!C60+'Fórmula'!E60+'Fórmula'!G60+'Fórmula'!I60+'Fórmula'!K60))*(INDEX(properties!A$1:CB$87,'Fórmula'!F60,39))+(('Fórmula'!I60)/('Fórmula'!C60+'Fórmula'!E60+'Fórmula'!G60+'Fórmula'!I60+'Fórmula'!K60))*(INDEX(properties!A$1:CB$87,'Fórmula'!H60,39))+(('Fórmula'!K60)/('Fórmula'!C60+'Fórmula'!E60+'Fórmula'!G60+'Fórmula'!I60+'Fórmula'!K60))*(INDEX(properties!A$1:CB$87,'Fórmula'!J60,39))</f>
        <v>0.9225</v>
      </c>
      <c r="DS60" s="109">
        <f t="array" ref="DS60">'Fórmula'!C60*(INDEX(properties!A$1:CB$87,'Fórmula'!B60,39))+'Fórmula'!E60*(INDEX(properties!A$1:CB$87,'Fórmula'!D60,39))+'Fórmula'!G60*(INDEX(properties!A$1:CB$87,'Fórmula'!F60,39))+'Fórmula'!I60*(INDEX(properties!A$1:CB$87,'Fórmula'!H60,39))+'Fórmula'!K60*(INDEX(properties!A$1:CB$87,'Fórmula'!J60,39))</f>
        <v>11.07</v>
      </c>
      <c r="DT60" s="109">
        <f t="array" ref="DT60">VARP(IF(INDEX(properties!A$1:CB$87,'Fórmula'!B60,39)&lt;&gt;"",INDEX(properties!A$1:CB$87,'Fórmula'!B60,39)),IF(INDEX(properties!A$1:CB$87,'Fórmula'!D60,39)&lt;&gt;"",INDEX(properties!A$1:CB$87,'Fórmula'!D60,39)),IF(INDEX(properties!A$1:CB$87,'Fórmula'!F60,39)&lt;&gt;"",INDEX(properties!A$1:CB$87,'Fórmula'!F60,39)),IF(INDEX(properties!A$1:CB$87,'Fórmula'!H60,39)&lt;&gt;"",INDEX(properties!A$1:CB$87,'Fórmula'!H60,39)),IF(INDEX(properties!A$1:CB$87,'Fórmula'!J60,39)&lt;&gt;"",INDEX(properties!A$1:CB$87,'Fórmula'!J60,39)))</f>
        <v>0.458656</v>
      </c>
      <c r="DU60" s="120">
        <f t="array" ref="DU60">MAX(INDEX(properties!A$1:CB$87,'Fórmula'!B60,39),INDEX(properties!A$1:CB$87,'Fórmula'!D60,39),INDEX(properties!A$1:CB$87,'Fórmula'!F60,39),INDEX(properties!A$1:CB$87,'Fórmula'!H60,39),INDEX(properties!A$1:CB$87,'Fórmula'!J60,39))</f>
        <v>1.94</v>
      </c>
      <c r="DV60" s="120">
        <f t="array" ref="DV60">MIN(IF(INDEX(properties!A$1:CB$87,'Fórmula'!B60,39)=0,10^6,INDEX(properties!A$1:CB$87,'Fórmula'!B60,39)),IF(INDEX(properties!A$1:CB$87,'Fórmula'!D60,39)=0,10^6,INDEX(properties!A$1:CB$87,'Fórmula'!D60,39)),IF(INDEX(properties!A$1:CB$87,'Fórmula'!F60,39)=0,10^6,INDEX(properties!A$1:CB$87,'Fórmula'!F60,39)),IF(INDEX(properties!A$1:CB$87,'Fórmula'!H60,39)=0,10^6,INDEX(properties!A$1:CB$87,'Fórmula'!H60,39)),IF(INDEX(properties!A$1:CB$87,'Fórmula'!J60,39)=0,10^6,INDEX(properties!A$1:CB$87,'Fórmula'!J60,39)))</f>
        <v>0.48</v>
      </c>
      <c r="DW60" s="109">
        <f t="shared" si="21"/>
        <v>1.46</v>
      </c>
      <c r="DX60" s="110">
        <f t="array" ref="DX60">(('Fórmula'!C60)/('Fórmula'!C60+'Fórmula'!E60+'Fórmula'!G60+'Fórmula'!I60+'Fórmula'!K60))*(INDEX(properties!A$1:CB$87,'Fórmula'!B60,40))+(('Fórmula'!E60)/('Fórmula'!C60+'Fórmula'!E60+'Fórmula'!G60+'Fórmula'!I60+'Fórmula'!K60))*(INDEX(properties!A$1:CB$87,'Fórmula'!D60,40))+(('Fórmula'!G60)/('Fórmula'!C60+'Fórmula'!E60+'Fórmula'!G60+'Fórmula'!I60+'Fórmula'!K60))*(INDEX(properties!A$1:CB$87,'Fórmula'!F60,40))+(('Fórmula'!I60)/('Fórmula'!C60+'Fórmula'!E60+'Fórmula'!G60+'Fórmula'!I60+'Fórmula'!K60))*(INDEX(properties!A$1:CB$87,'Fórmula'!H60,40))+(('Fórmula'!K60)/('Fórmula'!C60+'Fórmula'!E60+'Fórmula'!G60+'Fórmula'!I60+'Fórmula'!K60))*(INDEX(properties!A$1:CB$87,'Fórmula'!J60,40))</f>
        <v>1.018333333</v>
      </c>
      <c r="DY60" s="110">
        <f t="array" ref="DY60">'Fórmula'!C60*(INDEX(properties!A$1:CB$87,'Fórmula'!B60,40))+'Fórmula'!E60*(INDEX(properties!A$1:CB$87,'Fórmula'!D60,40))+'Fórmula'!G60*(INDEX(properties!A$1:CB$87,'Fórmula'!F60,40))+'Fórmula'!I60*(INDEX(properties!A$1:CB$87,'Fórmula'!H60,40))+'Fórmula'!K60*(INDEX(properties!A$1:CB$87,'Fórmula'!J60,40))</f>
        <v>12.22</v>
      </c>
      <c r="DZ60" s="110">
        <f t="array" ref="DZ60">VARP(IF(INDEX(properties!A$1:CB$87,'Fórmula'!B60,40)&lt;&gt;"",INDEX(properties!A$1:CB$87,'Fórmula'!B60,40)),IF(INDEX(properties!A$1:CB$87,'Fórmula'!D60,40)&lt;&gt;"",INDEX(properties!A$1:CB$87,'Fórmula'!D60,40)),IF(INDEX(properties!A$1:CB$87,'Fórmula'!F60,40)&lt;&gt;"",INDEX(properties!A$1:CB$87,'Fórmula'!F60,40)),IF(INDEX(properties!A$1:CB$87,'Fórmula'!H60,40)&lt;&gt;"",INDEX(properties!A$1:CB$87,'Fórmula'!H60,40)),IF(INDEX(properties!A$1:CB$87,'Fórmula'!J60,40)&lt;&gt;"",INDEX(properties!A$1:CB$87,'Fórmula'!J60,40)))</f>
        <v>0.339016</v>
      </c>
      <c r="EA60" s="121">
        <f t="array" ref="EA60">MAX(INDEX(properties!A$1:CB$87,'Fórmula'!B60,40),INDEX(properties!A$1:CB$87,'Fórmula'!D60,40),INDEX(properties!A$1:CB$87,'Fórmula'!F60,40),INDEX(properties!A$1:CB$87,'Fórmula'!H60,40),INDEX(properties!A$1:CB$87,'Fórmula'!J60,40))</f>
        <v>1.74</v>
      </c>
      <c r="EB60" s="121">
        <f t="array" ref="EB60">MIN(IF(INDEX(properties!A$1:CB$87,'Fórmula'!B60,40)=0,10^6,INDEX(properties!A$1:CB$87,'Fórmula'!B60,40)),IF(INDEX(properties!A$1:CB$87,'Fórmula'!D60,40)=0,10^6,INDEX(properties!A$1:CB$87,'Fórmula'!D60,40)),IF(INDEX(properties!A$1:CB$87,'Fórmula'!F60,40)=0,10^6,INDEX(properties!A$1:CB$87,'Fórmula'!F60,40)),IF(INDEX(properties!A$1:CB$87,'Fórmula'!H60,40)=0,10^6,INDEX(properties!A$1:CB$87,'Fórmula'!H60,40)),IF(INDEX(properties!A$1:CB$87,'Fórmula'!J60,40)=0,10^6,INDEX(properties!A$1:CB$87,'Fórmula'!J60,40)))</f>
        <v>0.73</v>
      </c>
      <c r="EC60" s="110">
        <f t="shared" si="22"/>
        <v>1.01</v>
      </c>
      <c r="ED60" s="111">
        <f t="array" ref="ED60">(('Fórmula'!C60)/('Fórmula'!C60+'Fórmula'!E60+'Fórmula'!G60+'Fórmula'!I60+'Fórmula'!K60))*(INDEX(properties!A$1:CB$87,'Fórmula'!B60,41))+(('Fórmula'!E60)/('Fórmula'!C60+'Fórmula'!E60+'Fórmula'!G60+'Fórmula'!I60+'Fórmula'!K60))*(INDEX(properties!A$1:CB$87,'Fórmula'!D60,41))+(('Fórmula'!G60)/('Fórmula'!C60+'Fórmula'!E60+'Fórmula'!G60+'Fórmula'!I60+'Fórmula'!K60))*(INDEX(properties!A$1:CB$87,'Fórmula'!F60,41))+(('Fórmula'!I60)/('Fórmula'!C60+'Fórmula'!E60+'Fórmula'!G60+'Fórmula'!I60+'Fórmula'!K60))*(INDEX(properties!A$1:CB$87,'Fórmula'!H60,41))+(('Fórmula'!K60)/('Fórmula'!C60+'Fórmula'!E60+'Fórmula'!G60+'Fórmula'!I60+'Fórmula'!K60))*(INDEX(properties!A$1:CB$87,'Fórmula'!J60,41))</f>
        <v>1.096666667</v>
      </c>
      <c r="EE60" s="111">
        <f t="array" ref="EE60">'Fórmula'!C60*(INDEX(properties!A$1:CB$87,'Fórmula'!B60,41))+'Fórmula'!E60*(INDEX(properties!A$1:CB$87,'Fórmula'!D60,41))+'Fórmula'!G60*(INDEX(properties!A$1:CB$87,'Fórmula'!F60,41))+'Fórmula'!I60*(INDEX(properties!A$1:CB$87,'Fórmula'!H60,41))+'Fórmula'!K60*(INDEX(properties!A$1:CB$87,'Fórmula'!J60,41))</f>
        <v>13.16</v>
      </c>
      <c r="EF60" s="111">
        <f t="array" ref="EF60">VARP(IF(INDEX(properties!A$1:CB$87,'Fórmula'!B60,41)&lt;&gt;"",INDEX(properties!A$1:CB$87,'Fórmula'!B60,41)),IF(INDEX(properties!A$1:CB$87,'Fórmula'!D60,41)&lt;&gt;"",INDEX(properties!A$1:CB$87,'Fórmula'!D60,41)),IF(INDEX(properties!A$1:CB$87,'Fórmula'!F60,41)&lt;&gt;"",INDEX(properties!A$1:CB$87,'Fórmula'!F60,41)),IF(INDEX(properties!A$1:CB$87,'Fórmula'!H60,41)&lt;&gt;"",INDEX(properties!A$1:CB$87,'Fórmula'!H60,41)),IF(INDEX(properties!A$1:CB$87,'Fórmula'!J60,41)&lt;&gt;"",INDEX(properties!A$1:CB$87,'Fórmula'!J60,41)))</f>
        <v>0.20368</v>
      </c>
      <c r="EG60" s="122">
        <f t="array" ref="EG60">MAX(INDEX(properties!A$1:CB$87,'Fórmula'!B60,41),INDEX(properties!A$1:CB$87,'Fórmula'!D60,41),INDEX(properties!A$1:CB$87,'Fórmula'!F60,41),INDEX(properties!A$1:CB$87,'Fórmula'!H60,41),INDEX(properties!A$1:CB$87,'Fórmula'!J60,41))</f>
        <v>1.26</v>
      </c>
      <c r="EH60" s="122">
        <f t="array" ref="EH60">MIN(IF(INDEX(properties!A$1:CB$87,'Fórmula'!B60,41)=0,10^6,INDEX(properties!A$1:CB$87,'Fórmula'!B60,41)),IF(INDEX(properties!A$1:CB$87,'Fórmula'!D60,41)=0,10^6,INDEX(properties!A$1:CB$87,'Fórmula'!D60,41)),IF(INDEX(properties!A$1:CB$87,'Fórmula'!F60,41)=0,10^6,INDEX(properties!A$1:CB$87,'Fórmula'!F60,41)),IF(INDEX(properties!A$1:CB$87,'Fórmula'!H60,41)=0,10^6,INDEX(properties!A$1:CB$87,'Fórmula'!H60,41)),IF(INDEX(properties!A$1:CB$87,'Fórmula'!J60,41)=0,10^6,INDEX(properties!A$1:CB$87,'Fórmula'!J60,41)))</f>
        <v>0.54</v>
      </c>
      <c r="EI60" s="111">
        <f t="shared" si="23"/>
        <v>0.72</v>
      </c>
      <c r="EJ60" s="112">
        <f t="array" ref="EJ60">(('Fórmula'!C60)/('Fórmula'!C60+'Fórmula'!E60+'Fórmula'!G60+'Fórmula'!I60+'Fórmula'!K60))*(INDEX(properties!A$1:CB$87,'Fórmula'!B60,45))+(('Fórmula'!E60)/('Fórmula'!C60+'Fórmula'!E60+'Fórmula'!G60+'Fórmula'!I60+'Fórmula'!K60))*(INDEX(properties!A$1:CB$87,'Fórmula'!D60,45))+(('Fórmula'!G60)/('Fórmula'!C60+'Fórmula'!E60+'Fórmula'!G60+'Fórmula'!I60+'Fórmula'!K60))*(INDEX(properties!A$1:CB$87,'Fórmula'!F60,45))+(('Fórmula'!I60)/('Fórmula'!C60+'Fórmula'!E60+'Fórmula'!G60+'Fórmula'!I60+'Fórmula'!K60))*(INDEX(properties!A$1:CB$87,'Fórmula'!H60,45))+(('Fórmula'!K60)/('Fórmula'!C60+'Fórmula'!E60+'Fórmula'!G60+'Fórmula'!I60+'Fórmula'!K60))*(INDEX(properties!A$1:CB$87,'Fórmula'!J60,45))</f>
        <v>1.175833333</v>
      </c>
      <c r="EK60" s="112">
        <f t="array" ref="EK60">'Fórmula'!C60*(INDEX(properties!A$1:CB$87,'Fórmula'!B60,45))+'Fórmula'!E60*(INDEX(properties!A$1:CB$87,'Fórmula'!D60,45))+'Fórmula'!G60*(INDEX(properties!A$1:CB$87,'Fórmula'!F60,45))+'Fórmula'!I60*(INDEX(properties!A$1:CB$87,'Fórmula'!H60,45))+'Fórmula'!K60*(INDEX(properties!A$1:CB$87,'Fórmula'!J60,45))</f>
        <v>14.11</v>
      </c>
      <c r="EL60" s="112">
        <f t="array" ref="EL60">VARP(IF(INDEX(properties!A$1:CB$87,'Fórmula'!B60,45)&lt;&gt;"",INDEX(properties!A$1:CB$87,'Fórmula'!B60,45)),IF(INDEX(properties!A$1:CB$87,'Fórmula'!D60,45)&lt;&gt;"",INDEX(properties!A$1:CB$87,'Fórmula'!D60,45)),IF(INDEX(properties!A$1:CB$87,'Fórmula'!F60,45)&lt;&gt;"",INDEX(properties!A$1:CB$87,'Fórmula'!F60,45)),IF(INDEX(properties!A$1:CB$87,'Fórmula'!H60,45)&lt;&gt;"",INDEX(properties!A$1:CB$87,'Fórmula'!H60,45)),IF(INDEX(properties!A$1:CB$87,'Fórmula'!J60,45)&lt;&gt;"",INDEX(properties!A$1:CB$87,'Fórmula'!J60,45)))</f>
        <v>1.088336</v>
      </c>
      <c r="EM60" s="123">
        <f t="array" ref="EM60">MAX(INDEX(properties!A$1:CB$87,'Fórmula'!B60,45),INDEX(properties!A$1:CB$87,'Fórmula'!D60,45),INDEX(properties!A$1:CB$87,'Fórmula'!F60,45),INDEX(properties!A$1:CB$87,'Fórmula'!H60,45),INDEX(properties!A$1:CB$87,'Fórmula'!J60,45))</f>
        <v>3</v>
      </c>
      <c r="EN60" s="123">
        <f t="array" ref="EN60">MIN(IF(INDEX(properties!A$1:CB$87,'Fórmula'!B60,45)=0,10^6,INDEX(properties!A$1:CB$87,'Fórmula'!B60,45)),IF(INDEX(properties!A$1:CB$87,'Fórmula'!D60,45)=0,10^6,INDEX(properties!A$1:CB$87,'Fórmula'!D60,45)),IF(INDEX(properties!A$1:CB$87,'Fórmula'!F60,45)=0,10^6,INDEX(properties!A$1:CB$87,'Fórmula'!F60,45)),IF(INDEX(properties!A$1:CB$87,'Fórmula'!H60,45)=0,10^6,INDEX(properties!A$1:CB$87,'Fórmula'!H60,45)),IF(INDEX(properties!A$1:CB$87,'Fórmula'!J60,45)=0,10^6,INDEX(properties!A$1:CB$87,'Fórmula'!J60,45)))</f>
        <v>0.47</v>
      </c>
      <c r="EO60" s="112">
        <f t="shared" si="24"/>
        <v>2.53</v>
      </c>
      <c r="EP60" s="113">
        <f t="array" ref="EP60">(('Fórmula'!C60)/('Fórmula'!C60+'Fórmula'!E60+'Fórmula'!G60+'Fórmula'!I60+'Fórmula'!K60))*(INDEX(properties!A$1:CB$87,'Fórmula'!B60,46))+(('Fórmula'!E60)/('Fórmula'!C60+'Fórmula'!E60+'Fórmula'!G60+'Fórmula'!I60+'Fórmula'!K60))*(INDEX(properties!A$1:CB$87,'Fórmula'!D60,46))+(('Fórmula'!G60)/('Fórmula'!C60+'Fórmula'!E60+'Fórmula'!G60+'Fórmula'!I60+'Fórmula'!K60))*(INDEX(properties!A$1:CB$87,'Fórmula'!F60,46))+(('Fórmula'!I60)/('Fórmula'!C60+'Fórmula'!E60+'Fórmula'!G60+'Fórmula'!I60+'Fórmula'!K60))*(INDEX(properties!A$1:CB$87,'Fórmula'!H60,46))+(('Fórmula'!K60)/('Fórmula'!C60+'Fórmula'!E60+'Fórmula'!G60+'Fórmula'!I60+'Fórmula'!K60))*(INDEX(properties!A$1:CB$87,'Fórmula'!J60,46))</f>
        <v>1.055833333</v>
      </c>
      <c r="EQ60" s="113">
        <f t="array" ref="EQ60">'Fórmula'!C60*(INDEX(properties!A$1:CB$87,'Fórmula'!B60,46))+'Fórmula'!E60*(INDEX(properties!A$1:CB$87,'Fórmula'!D60,46))+'Fórmula'!G60*(INDEX(properties!A$1:CB$87,'Fórmula'!F60,46))+'Fórmula'!I60*(INDEX(properties!A$1:CB$87,'Fórmula'!H60,46))+'Fórmula'!K60*(INDEX(properties!A$1:CB$87,'Fórmula'!J60,46))</f>
        <v>12.67</v>
      </c>
      <c r="ER60" s="113">
        <f t="array" ref="ER60">VARP(IF(INDEX(properties!A$1:CB$87,'Fórmula'!B60,46)&lt;&gt;"",INDEX(properties!A$1:CB$87,'Fórmula'!B60,46)),IF(INDEX(properties!A$1:CB$87,'Fórmula'!D60,46)&lt;&gt;"",INDEX(properties!A$1:CB$87,'Fórmula'!D60,46)),IF(INDEX(properties!A$1:CB$87,'Fórmula'!F60,46)&lt;&gt;"",INDEX(properties!A$1:CB$87,'Fórmula'!F60,46)),IF(INDEX(properties!A$1:CB$87,'Fórmula'!H60,46)&lt;&gt;"",INDEX(properties!A$1:CB$87,'Fórmula'!H60,46)),IF(INDEX(properties!A$1:CB$87,'Fórmula'!J60,46)&lt;&gt;"",INDEX(properties!A$1:CB$87,'Fórmula'!J60,46)))</f>
        <v>0.207456</v>
      </c>
      <c r="ES60" s="124">
        <f t="array" ref="ES60">MAX(INDEX(properties!A$1:CB$87,'Fórmula'!B60,46),INDEX(properties!A$1:CB$87,'Fórmula'!D60,46),INDEX(properties!A$1:CB$87,'Fórmula'!F60,46),INDEX(properties!A$1:CB$87,'Fórmula'!H60,46),INDEX(properties!A$1:CB$87,'Fórmula'!J60,46))</f>
        <v>1.21</v>
      </c>
      <c r="ET60" s="124">
        <f t="array" ref="ET60">MIN(IF(INDEX(properties!A$1:CB$87,'Fórmula'!B60,46)=0,10^6,INDEX(properties!A$1:CB$87,'Fórmula'!B60,46)),IF(INDEX(properties!A$1:CB$87,'Fórmula'!D60,46)=0,10^6,INDEX(properties!A$1:CB$87,'Fórmula'!D60,46)),IF(INDEX(properties!A$1:CB$87,'Fórmula'!F60,46)=0,10^6,INDEX(properties!A$1:CB$87,'Fórmula'!F60,46)),IF(INDEX(properties!A$1:CB$87,'Fórmula'!H60,46)=0,10^6,INDEX(properties!A$1:CB$87,'Fórmula'!H60,46)),IF(INDEX(properties!A$1:CB$87,'Fórmula'!J60,46)=0,10^6,INDEX(properties!A$1:CB$87,'Fórmula'!J60,46)))</f>
        <v>0.4</v>
      </c>
      <c r="EU60" s="113">
        <f t="shared" si="25"/>
        <v>0.81</v>
      </c>
      <c r="EV60" s="114">
        <f t="array" ref="EV60">(('Fórmula'!C60)/('Fórmula'!C60+'Fórmula'!E60+'Fórmula'!G60+'Fórmula'!I60+'Fórmula'!K60))*(INDEX(properties!A$1:CB$87,'Fórmula'!B60,52))+(('Fórmula'!E60)/('Fórmula'!C60+'Fórmula'!E60+'Fórmula'!G60+'Fórmula'!I60+'Fórmula'!K60))*(INDEX(properties!A$1:CB$87,'Fórmula'!D60,52))+(('Fórmula'!G60)/('Fórmula'!C60+'Fórmula'!E60+'Fórmula'!G60+'Fórmula'!I60+'Fórmula'!K60))*(INDEX(properties!A$1:CB$87,'Fórmula'!F60,52))+(('Fórmula'!I60)/('Fórmula'!C60+'Fórmula'!E60+'Fórmula'!G60+'Fórmula'!I60+'Fórmula'!K60))*(INDEX(properties!A$1:CB$87,'Fórmula'!H60,52))+(('Fórmula'!K60)/('Fórmula'!C60+'Fórmula'!E60+'Fórmula'!G60+'Fórmula'!I60+'Fórmula'!K60))*(INDEX(properties!A$1:CB$87,'Fórmula'!J60,52))</f>
        <v>6.062583333</v>
      </c>
      <c r="EW60" s="114">
        <f t="array" ref="EW60">'Fórmula'!C60*(INDEX(properties!A$1:CB$87,'Fórmula'!B60,52))+'Fórmula'!E60*(INDEX(properties!A$1:CB$87,'Fórmula'!D60,52))+'Fórmula'!G60*(INDEX(properties!A$1:CB$87,'Fórmula'!F60,52))+'Fórmula'!I60*(INDEX(properties!A$1:CB$87,'Fórmula'!H60,52))+'Fórmula'!K60*(INDEX(properties!A$1:CB$87,'Fórmula'!J60,52))</f>
        <v>72.751</v>
      </c>
      <c r="EX60" s="114">
        <f t="array" ref="EX60">VARP(IF(INDEX(properties!A$1:CB$87,'Fórmula'!B60,52)&lt;&gt;"",INDEX(properties!A$1:CB$87,'Fórmula'!B60,52)),IF(INDEX(properties!A$1:CB$87,'Fórmula'!D60,52)&lt;&gt;"",INDEX(properties!A$1:CB$87,'Fórmula'!D60,52)),IF(INDEX(properties!A$1:CB$87,'Fórmula'!F60,52)&lt;&gt;"",INDEX(properties!A$1:CB$87,'Fórmula'!F60,52)),IF(INDEX(properties!A$1:CB$87,'Fórmula'!H60,52)&lt;&gt;"",INDEX(properties!A$1:CB$87,'Fórmula'!H60,52)),IF(INDEX(properties!A$1:CB$87,'Fórmula'!J60,52)&lt;&gt;"",INDEX(properties!A$1:CB$87,'Fórmula'!J60,52)))</f>
        <v>68.01214384</v>
      </c>
      <c r="EY60" s="114">
        <f t="array" ref="EY60">MAX(INDEX(properties!A$1:CB$87,'Fórmula'!B60,52),INDEX(properties!A$1:CB$87,'Fórmula'!D60,52),INDEX(properties!A$1:CB$87,'Fórmula'!F60,52),INDEX(properties!A$1:CB$87,'Fórmula'!H60,52),INDEX(properties!A$1:CB$87,'Fórmula'!J60,52))</f>
        <v>22.8</v>
      </c>
      <c r="EZ60" s="114">
        <f t="array" ref="EZ60">MIN(IF(INDEX(properties!A$1:CB$87,'Fórmula'!B60,52)=0,10^6,INDEX(properties!A$1:CB$87,'Fórmula'!B60,52)),IF(INDEX(properties!A$1:CB$87,'Fórmula'!D60,52)=0,10^6,INDEX(properties!A$1:CB$87,'Fórmula'!D60,52)),IF(INDEX(properties!A$1:CB$87,'Fórmula'!F60,52)=0,10^6,INDEX(properties!A$1:CB$87,'Fórmula'!F60,52)),IF(INDEX(properties!A$1:CB$87,'Fórmula'!H60,52)=0,10^6,INDEX(properties!A$1:CB$87,'Fórmula'!H60,52)),IF(INDEX(properties!A$1:CB$87,'Fórmula'!J60,52)=0,10^6,INDEX(properties!A$1:CB$87,'Fórmula'!J60,52)))</f>
        <v>0.793</v>
      </c>
      <c r="FA60" s="114">
        <f t="shared" si="26"/>
        <v>22.007</v>
      </c>
      <c r="FB60" s="115">
        <f t="array" ref="FB60">(('Fórmula'!C60)/('Fórmula'!C60+'Fórmula'!E60+'Fórmula'!G60+'Fórmula'!I60+'Fórmula'!K60))*(INDEX(properties!A$1:CB$87,'Fórmula'!B60,53))+(('Fórmula'!E60)/('Fórmula'!C60+'Fórmula'!E60+'Fórmula'!G60+'Fórmula'!I60+'Fórmula'!K60))*(INDEX(properties!A$1:CB$87,'Fórmula'!D60,53))+(('Fórmula'!G60)/('Fórmula'!C60+'Fórmula'!E60+'Fórmula'!G60+'Fórmula'!I60+'Fórmula'!K60))*(INDEX(properties!A$1:CB$87,'Fórmula'!F60,53))+(('Fórmula'!I60)/('Fórmula'!C60+'Fórmula'!E60+'Fórmula'!G60+'Fórmula'!I60+'Fórmula'!K60))*(INDEX(properties!A$1:CB$87,'Fórmula'!H60,53))+(('Fórmula'!K60)/('Fórmula'!C60+'Fórmula'!E60+'Fórmula'!G60+'Fórmula'!I60+'Fórmula'!K60))*(INDEX(properties!A$1:CB$87,'Fórmula'!J60,53))</f>
        <v>408.05</v>
      </c>
      <c r="FC60" s="115">
        <f t="array" ref="FC60">'Fórmula'!C60*(INDEX(properties!A$1:CB$87,'Fórmula'!B60,53))+'Fórmula'!E60*(INDEX(properties!A$1:CB$87,'Fórmula'!D60,53))+'Fórmula'!G60*(INDEX(properties!A$1:CB$87,'Fórmula'!F60,53))+'Fórmula'!I60*(INDEX(properties!A$1:CB$87,'Fórmula'!H60,53))+'Fórmula'!K60*(INDEX(properties!A$1:CB$87,'Fórmula'!J60,53))</f>
        <v>4896.6</v>
      </c>
      <c r="FD60" s="115">
        <f t="array" ref="FD60">VARP(IF(INDEX(properties!A$1:CB$87,'Fórmula'!B60,53)&lt;&gt;"",INDEX(properties!A$1:CB$87,'Fórmula'!B60,53)),IF(INDEX(properties!A$1:CB$87,'Fórmula'!D60,53)&lt;&gt;"",INDEX(properties!A$1:CB$87,'Fórmula'!D60,53)),IF(INDEX(properties!A$1:CB$87,'Fórmula'!F60,53)&lt;&gt;"",INDEX(properties!A$1:CB$87,'Fórmula'!F60,53)),IF(INDEX(properties!A$1:CB$87,'Fórmula'!H60,53)&lt;&gt;"",INDEX(properties!A$1:CB$87,'Fórmula'!H60,53)),IF(INDEX(properties!A$1:CB$87,'Fórmula'!J60,53)&lt;&gt;"",INDEX(properties!A$1:CB$87,'Fórmula'!J60,53)))</f>
        <v>435273.202</v>
      </c>
      <c r="FE60" s="115">
        <f t="array" ref="FE60">MAX(INDEX(properties!A$1:CB$87,'Fórmula'!B60,53),INDEX(properties!A$1:CB$87,'Fórmula'!D60,53),INDEX(properties!A$1:CB$87,'Fórmula'!F60,53),INDEX(properties!A$1:CB$87,'Fórmula'!H60,53),INDEX(properties!A$1:CB$87,'Fórmula'!J60,53))</f>
        <v>1683.15</v>
      </c>
      <c r="FF60" s="115">
        <f t="array" ref="FF60">MIN(IF(INDEX(properties!A$1:CB$87,'Fórmula'!B60,53)=0,10^6,INDEX(properties!A$1:CB$87,'Fórmula'!B60,53)),IF(INDEX(properties!A$1:CB$87,'Fórmula'!D60,53)=0,10^6,INDEX(properties!A$1:CB$87,'Fórmula'!D60,53)),IF(INDEX(properties!A$1:CB$87,'Fórmula'!F60,53)=0,10^6,INDEX(properties!A$1:CB$87,'Fórmula'!F60,53)),IF(INDEX(properties!A$1:CB$87,'Fórmula'!H60,53)=0,10^6,INDEX(properties!A$1:CB$87,'Fórmula'!H60,53)),IF(INDEX(properties!A$1:CB$87,'Fórmula'!J60,53)=0,10^6,INDEX(properties!A$1:CB$87,'Fórmula'!J60,53)))</f>
        <v>54.75</v>
      </c>
      <c r="FG60" s="115">
        <f t="shared" si="27"/>
        <v>1628.4</v>
      </c>
      <c r="FH60" s="117">
        <f t="array" ref="FH60">(('Fórmula'!C60)/('Fórmula'!C60+'Fórmula'!E60+'Fórmula'!G60+'Fórmula'!I60+'Fórmula'!K60))*(INDEX(properties!A$1:CB$87,'Fórmula'!B60,54))+(('Fórmula'!E60)/('Fórmula'!C60+'Fórmula'!E60+'Fórmula'!G60+'Fórmula'!I60+'Fórmula'!K60))*(INDEX(properties!A$1:CB$87,'Fórmula'!D60,54))+(('Fórmula'!G60)/('Fórmula'!C60+'Fórmula'!E60+'Fórmula'!G60+'Fórmula'!I60+'Fórmula'!K60))*(INDEX(properties!A$1:CB$87,'Fórmula'!F60,54))+(('Fórmula'!I60)/('Fórmula'!C60+'Fórmula'!E60+'Fórmula'!G60+'Fórmula'!I60+'Fórmula'!K60))*(INDEX(properties!A$1:CB$87,'Fórmula'!H60,54))+(('Fórmula'!K60)/('Fórmula'!C60+'Fórmula'!E60+'Fórmula'!G60+'Fórmula'!I60+'Fórmula'!K60))*(INDEX(properties!A$1:CB$87,'Fórmula'!J60,54))</f>
        <v>1010.483333</v>
      </c>
      <c r="FI60" s="117">
        <f t="array" ref="FI60">'Fórmula'!C60*(INDEX(properties!A$1:CB$87,'Fórmula'!B60,54))+'Fórmula'!E60*(INDEX(properties!A$1:CB$87,'Fórmula'!D60,54))+'Fórmula'!G60*(INDEX(properties!A$1:CB$87,'Fórmula'!F60,54))+'Fórmula'!I60*(INDEX(properties!A$1:CB$87,'Fórmula'!H60,54))+'Fórmula'!K60*(INDEX(properties!A$1:CB$87,'Fórmula'!J60,54))</f>
        <v>12125.8</v>
      </c>
      <c r="FJ60" s="117">
        <f t="array" ref="FJ60">VARP(IF(INDEX(properties!A$1:CB$87,'Fórmula'!B60,54)&lt;&gt;"",INDEX(properties!A$1:CB$87,'Fórmula'!B60,54)),IF(INDEX(properties!A$1:CB$87,'Fórmula'!D60,54)&lt;&gt;"",INDEX(properties!A$1:CB$87,'Fórmula'!D60,54)),IF(INDEX(properties!A$1:CB$87,'Fórmula'!F60,54)&lt;&gt;"",INDEX(properties!A$1:CB$87,'Fórmula'!F60,54)),IF(INDEX(properties!A$1:CB$87,'Fórmula'!H60,54)&lt;&gt;"",INDEX(properties!A$1:CB$87,'Fórmula'!H60,54)),IF(INDEX(properties!A$1:CB$87,'Fórmula'!J60,54)&lt;&gt;"",INDEX(properties!A$1:CB$87,'Fórmula'!J60,54)))</f>
        <v>1387115.576</v>
      </c>
      <c r="FK60" s="117">
        <f t="array" ref="FK60">MAX(INDEX(properties!A$1:CB$87,'Fórmula'!B60,54),INDEX(properties!A$1:CB$87,'Fórmula'!D60,54),INDEX(properties!A$1:CB$87,'Fórmula'!F60,54),INDEX(properties!A$1:CB$87,'Fórmula'!H60,54),INDEX(properties!A$1:CB$87,'Fórmula'!J60,54))</f>
        <v>2676.15</v>
      </c>
      <c r="FL60" s="117">
        <f t="array" ref="FL60">MIN(IF(INDEX(properties!A$1:CB$87,'Fórmula'!B60,54)=0,10^6,INDEX(properties!A$1:CB$87,'Fórmula'!B60,54)),IF(INDEX(properties!A$1:CB$87,'Fórmula'!D60,54)=0,10^6,INDEX(properties!A$1:CB$87,'Fórmula'!D60,54)),IF(INDEX(properties!A$1:CB$87,'Fórmula'!F60,54)=0,10^6,INDEX(properties!A$1:CB$87,'Fórmula'!F60,54)),IF(INDEX(properties!A$1:CB$87,'Fórmula'!H60,54)=0,10^6,INDEX(properties!A$1:CB$87,'Fórmula'!H60,54)),IF(INDEX(properties!A$1:CB$87,'Fórmula'!J60,54)=0,10^6,INDEX(properties!A$1:CB$87,'Fórmula'!J60,54)))</f>
        <v>90.15</v>
      </c>
      <c r="FM60" s="117">
        <f t="shared" si="28"/>
        <v>2586</v>
      </c>
      <c r="FN60" s="118">
        <f t="array" ref="FN60">(('Fórmula'!C60)/('Fórmula'!C60+'Fórmula'!E60+'Fórmula'!G60+'Fórmula'!I60+'Fórmula'!K60))*(INDEX(properties!A$1:CB$87,'Fórmula'!B60,55))+(('Fórmula'!E60)/('Fórmula'!C60+'Fórmula'!E60+'Fórmula'!G60+'Fórmula'!I60+'Fórmula'!K60))*(INDEX(properties!A$1:CB$87,'Fórmula'!D60,55))+(('Fórmula'!G60)/('Fórmula'!C60+'Fórmula'!E60+'Fórmula'!G60+'Fórmula'!I60+'Fórmula'!K60))*(INDEX(properties!A$1:CB$87,'Fórmula'!F60,55))+(('Fórmula'!I60)/('Fórmula'!C60+'Fórmula'!E60+'Fórmula'!G60+'Fórmula'!I60+'Fórmula'!K60))*(INDEX(properties!A$1:CB$87,'Fórmula'!H60,55))+(('Fórmula'!K60)/('Fórmula'!C60+'Fórmula'!E60+'Fórmula'!G60+'Fórmula'!I60+'Fórmula'!K60))*(INDEX(properties!A$1:CB$87,'Fórmula'!J60,55))</f>
        <v>1.4366675</v>
      </c>
      <c r="FO60" s="118">
        <f t="array" ref="FO60">'Fórmula'!C60*(INDEX(properties!A$1:CB$87,'Fórmula'!B60,55))+'Fórmula'!E60*(INDEX(properties!A$1:CB$87,'Fórmula'!D60,54))+'Fórmula'!G60*(INDEX(properties!A$1:CB$87,'Fórmula'!F60,55))+'Fórmula'!I60*(INDEX(properties!A$1:CB$87,'Fórmula'!H60,55))+'Fórmula'!K60*(INDEX(properties!A$1:CB$87,'Fórmula'!J60,55))</f>
        <v>5357.74001</v>
      </c>
      <c r="FP60" s="118">
        <f t="array" ref="FP60">VARP(IF(INDEX(properties!A$1:CB$87,'Fórmula'!B60,55)&lt;&gt;"",INDEX(properties!A$1:CB$87,'Fórmula'!B60,55)),IF(INDEX(properties!A$1:CB$87,'Fórmula'!D60,55)&lt;&gt;"",INDEX(properties!A$1:CB$87,'Fórmula'!D60,55)),IF(INDEX(properties!A$1:CB$87,'Fórmula'!F60,55)&lt;&gt;"",INDEX(properties!A$1:CB$87,'Fórmula'!F60,55)),IF(INDEX(properties!A$1:CB$87,'Fórmula'!H60,55)&lt;&gt;"",INDEX(properties!A$1:CB$87,'Fórmula'!H60,55)),IF(INDEX(properties!A$1:CB$87,'Fórmula'!J60,55)&lt;&gt;"",INDEX(properties!A$1:CB$87,'Fórmula'!J60,55)))</f>
        <v>4.701225495</v>
      </c>
      <c r="FQ60" s="118">
        <f t="array" ref="FQ60">MAX(INDEX(properties!A$1:CB$87,'Fórmula'!B60,55),INDEX(properties!A$1:CB$87,'Fórmula'!D60,55),INDEX(properties!A$1:CB$87,'Fórmula'!F60,55),INDEX(properties!A$1:CB$87,'Fórmula'!H60,55),INDEX(properties!A$1:CB$87,'Fórmula'!J60,55))</f>
        <v>5.9</v>
      </c>
      <c r="FR60" s="118">
        <f t="array" ref="FR60">MIN(IF(INDEX(properties!A$1:CB$87,'Fórmula'!B60,55)=0,10^6,INDEX(properties!A$1:CB$87,'Fórmula'!B60,55)),IF(INDEX(properties!A$1:CB$87,'Fórmula'!D60,55)=0,10^6,INDEX(properties!A$1:CB$87,'Fórmula'!D60,55)),IF(INDEX(properties!A$1:CB$87,'Fórmula'!F60,55)=0,10^6,INDEX(properties!A$1:CB$87,'Fórmula'!F60,55)),IF(INDEX(properties!A$1:CB$87,'Fórmula'!H60,55)=0,10^6,INDEX(properties!A$1:CB$87,'Fórmula'!H60,55)),IF(INDEX(properties!A$1:CB$87,'Fórmula'!J60,55)=0,10^6,INDEX(properties!A$1:CB$87,'Fórmula'!J60,55)))</f>
        <v>0.00143</v>
      </c>
      <c r="FS60" s="118">
        <f t="shared" si="29"/>
        <v>5.89857</v>
      </c>
      <c r="FT60" s="119">
        <f t="array" ref="FT60">(('Fórmula'!C60)/('Fórmula'!C60+'Fórmula'!E60+'Fórmula'!G60+'Fórmula'!I60+'Fórmula'!K60))*(INDEX(properties!A$1:CB$87,'Fórmula'!B60,56))+(('Fórmula'!E60)/('Fórmula'!C60+'Fórmula'!E60+'Fórmula'!G60+'Fórmula'!I60+'Fórmula'!K60))*(INDEX(properties!A$1:CB$87,'Fórmula'!D60,56))+(('Fórmula'!G60)/('Fórmula'!C60+'Fórmula'!E60+'Fórmula'!G60+'Fórmula'!I60+'Fórmula'!K60))*(INDEX(properties!A$1:CB$87,'Fórmula'!F60,56))+(('Fórmula'!I60)/('Fórmula'!C60+'Fórmula'!E60+'Fórmula'!G60+'Fórmula'!I60+'Fórmula'!K60))*(INDEX(properties!A$1:CB$87,'Fórmula'!H60,56))+(('Fórmula'!K60)/('Fórmula'!C60+'Fórmula'!E60+'Fórmula'!G60+'Fórmula'!I60+'Fórmula'!K60))*(INDEX(properties!A$1:CB$87,'Fórmula'!J60,56))</f>
        <v>0.7625</v>
      </c>
      <c r="FU60" s="119">
        <f t="array" ref="FU60">'Fórmula'!C60*(INDEX(properties!A$1:CB$87,'Fórmula'!B60,56))+'Fórmula'!E60*(INDEX(properties!A$1:CB$87,'Fórmula'!D60,56))+'Fórmula'!G60*(INDEX(properties!A$1:CB$87,'Fórmula'!F60,56))+'Fórmula'!I60*(INDEX(properties!A$1:CB$87,'Fórmula'!H60,56))+'Fórmula'!K60*(INDEX(properties!A$1:CB$87,'Fórmula'!J60,56))</f>
        <v>9.15</v>
      </c>
      <c r="FV60" s="119">
        <f t="array" ref="FV60">VARP(IF(INDEX(properties!A$1:CB$87,'Fórmula'!B60,56)&lt;&gt;"",INDEX(properties!A$1:CB$87,'Fórmula'!B60,56)),IF(INDEX(properties!A$1:CB$87,'Fórmula'!D60,56)&lt;&gt;"",INDEX(properties!A$1:CB$87,'Fórmula'!D60,56)),IF(INDEX(properties!A$1:CB$87,'Fórmula'!F60,56)&lt;&gt;"",INDEX(properties!A$1:CB$87,'Fórmula'!F60,56)),IF(INDEX(properties!A$1:CB$87,'Fórmula'!H60,56)&lt;&gt;"",INDEX(properties!A$1:CB$87,'Fórmula'!H60,56)),IF(INDEX(properties!A$1:CB$87,'Fórmula'!J60,56)&lt;&gt;"",INDEX(properties!A$1:CB$87,'Fórmula'!J60,56)))</f>
        <v>0.100184</v>
      </c>
      <c r="FW60" s="119">
        <f t="array" ref="FW60">MAX(INDEX(properties!A$1:CB$87,'Fórmula'!B60,56),INDEX(properties!A$1:CB$87,'Fórmula'!D60,56),INDEX(properties!A$1:CB$87,'Fórmula'!F60,56),INDEX(properties!A$1:CB$87,'Fórmula'!H60,56),INDEX(properties!A$1:CB$87,'Fórmula'!J60,56))</f>
        <v>0.92</v>
      </c>
      <c r="FX60" s="119">
        <f t="array" ref="FX60">MIN(IF(INDEX(properties!A$1:CB$87,'Fórmula'!B60,56)=0,10^6,INDEX(properties!A$1:CB$87,'Fórmula'!B60,56)),IF(INDEX(properties!A$1:CB$87,'Fórmula'!D60,56)=0,10^6,INDEX(properties!A$1:CB$87,'Fórmula'!D60,56)),IF(INDEX(properties!A$1:CB$87,'Fórmula'!F60,56)=0,10^6,INDEX(properties!A$1:CB$87,'Fórmula'!F60,56)),IF(INDEX(properties!A$1:CB$87,'Fórmula'!H60,56)=0,10^6,INDEX(properties!A$1:CB$87,'Fórmula'!H60,56)),IF(INDEX(properties!A$1:CB$87,'Fórmula'!J60,56)=0,10^6,INDEX(properties!A$1:CB$87,'Fórmula'!J60,56)))</f>
        <v>0.37</v>
      </c>
      <c r="FY60" s="119">
        <f t="shared" si="30"/>
        <v>0.55</v>
      </c>
      <c r="FZ60" s="104">
        <f t="array" ref="FZ60">(('Fórmula'!C60)/('Fórmula'!C60+'Fórmula'!E60+'Fórmula'!G60+'Fórmula'!I60+'Fórmula'!K60))*(INDEX(properties!A$1:CB$87,'Fórmula'!B60,57))+(('Fórmula'!E60)/('Fórmula'!C60+'Fórmula'!E60+'Fórmula'!G60+'Fórmula'!I60+'Fórmula'!K60))*(INDEX(properties!A$1:CB$87,'Fórmula'!D60,57))+(('Fórmula'!G60)/('Fórmula'!C60+'Fórmula'!E60+'Fórmula'!G60+'Fórmula'!I60+'Fórmula'!K60))*(INDEX(properties!A$1:CB$87,'Fórmula'!F60,57))+(('Fórmula'!I60)/('Fórmula'!C60+'Fórmula'!E60+'Fórmula'!G60+'Fórmula'!I60+'Fórmula'!K60))*(INDEX(properties!A$1:CB$87,'Fórmula'!H60,57))+(('Fórmula'!K60)/('Fórmula'!C60+'Fórmula'!E60+'Fórmula'!G60+'Fórmula'!I60+'Fórmula'!K60))*(INDEX(properties!A$1:CB$87,'Fórmula'!J60,57))</f>
        <v>6.697344167</v>
      </c>
      <c r="GA60" s="104">
        <f t="array" ref="GA60">'Fórmula'!C60*(INDEX(properties!A$1:CB$87,'Fórmula'!B60,57))+'Fórmula'!E60*(INDEX(properties!A$1:CB$87,'Fórmula'!D60,57))+'Fórmula'!G60*(INDEX(properties!A$1:CB$87,'Fórmula'!F60,57))+'Fórmula'!I60*(INDEX(properties!A$1:CB$87,'Fórmula'!H60,57))+'Fórmula'!K60*(INDEX(properties!A$1:CB$87,'Fórmula'!J60,57))</f>
        <v>80.36813</v>
      </c>
      <c r="GB60" s="104">
        <f t="array" ref="GB60">VARP(IF(INDEX(properties!A$1:CB$87,'Fórmula'!B60,57)&lt;&gt;"",INDEX(properties!A$1:CB$87,'Fórmula'!B60,57)),IF(INDEX(properties!A$1:CB$87,'Fórmula'!D60,57)&lt;&gt;"",INDEX(properties!A$1:CB$87,'Fórmula'!D60,57)),IF(INDEX(properties!A$1:CB$87,'Fórmula'!F60,57)&lt;&gt;"",INDEX(properties!A$1:CB$87,'Fórmula'!F60,57)),IF(INDEX(properties!A$1:CB$87,'Fórmula'!H60,57)&lt;&gt;"",INDEX(properties!A$1:CB$87,'Fórmula'!H60,57)),IF(INDEX(properties!A$1:CB$87,'Fórmula'!J60,57)&lt;&gt;"",INDEX(properties!A$1:CB$87,'Fórmula'!J60,57)))</f>
        <v>363.4125017</v>
      </c>
      <c r="GC60" s="104">
        <f t="array" ref="GC60">MAX(INDEX(properties!A$1:CB$87,'Fórmula'!B60,57),INDEX(properties!A$1:CB$87,'Fórmula'!D60,57),INDEX(properties!A$1:CB$87,'Fórmula'!F60,57),INDEX(properties!A$1:CB$87,'Fórmula'!H60,57),INDEX(properties!A$1:CB$87,'Fórmula'!J60,57))</f>
        <v>50.55</v>
      </c>
      <c r="GD60" s="104">
        <f t="array" ref="GD60">MIN(IF(INDEX(properties!A$1:CB$87,'Fórmula'!B60,57)=0,10^6,INDEX(properties!A$1:CB$87,'Fórmula'!B60,57)),IF(INDEX(properties!A$1:CB$87,'Fórmula'!D60,57)=0,10^6,INDEX(properties!A$1:CB$87,'Fórmula'!D60,57)),IF(INDEX(properties!A$1:CB$87,'Fórmula'!F60,57)=0,10^6,INDEX(properties!A$1:CB$87,'Fórmula'!F60,57)),IF(INDEX(properties!A$1:CB$87,'Fórmula'!H60,57)=0,10^6,INDEX(properties!A$1:CB$87,'Fórmula'!H60,57)),IF(INDEX(properties!A$1:CB$87,'Fórmula'!J60,57)=0,10^6,INDEX(properties!A$1:CB$87,'Fórmula'!J60,57)))</f>
        <v>0.22259</v>
      </c>
      <c r="GE60" s="104">
        <f t="shared" si="31"/>
        <v>50.32741</v>
      </c>
      <c r="GF60" s="105">
        <f t="array" ref="GF60">(('Fórmula'!C60)/('Fórmula'!C60+'Fórmula'!E60+'Fórmula'!G60+'Fórmula'!I60+'Fórmula'!K60))*(INDEX(properties!A$1:CB$87,'Fórmula'!B60,60))+(('Fórmula'!E60)/('Fórmula'!C60+'Fórmula'!E60+'Fórmula'!G60+'Fórmula'!I60+'Fórmula'!K60))*(INDEX(properties!A$1:CB$87,'Fórmula'!D60,60))+(('Fórmula'!G60)/('Fórmula'!C60+'Fórmula'!E60+'Fórmula'!G60+'Fórmula'!I60+'Fórmula'!K60))*(INDEX(properties!A$1:CB$87,'Fórmula'!F60,60))+(('Fórmula'!I60)/('Fórmula'!C60+'Fórmula'!E60+'Fórmula'!G60+'Fórmula'!I60+'Fórmula'!K60))*(INDEX(properties!A$1:CB$87,'Fórmula'!H60,60))+(('Fórmula'!K60)/('Fórmula'!C60+'Fórmula'!E60+'Fórmula'!G60+'Fórmula'!I60+'Fórmula'!K60))*(INDEX(properties!A$1:CB$87,'Fórmula'!J60,60))</f>
        <v>52.44893167</v>
      </c>
      <c r="GG60" s="105">
        <f t="array" ref="GG60">'Fórmula'!C60*(INDEX(properties!A$1:CB$87,'Fórmula'!B60,60))+'Fórmula'!E60*(INDEX(properties!A$1:CB$87,'Fórmula'!D60,60))+'Fórmula'!G60*(INDEX(properties!A$1:CB$87,'Fórmula'!F60,60))+'Fórmula'!I60*(INDEX(properties!A$1:CB$87,'Fórmula'!H60,60))+'Fórmula'!K60*(INDEX(properties!A$1:CB$87,'Fórmula'!J60,60))</f>
        <v>629.38718</v>
      </c>
      <c r="GH60" s="105">
        <f t="array" ref="GH60">VARP(IF(INDEX(properties!A$1:CB$87,'Fórmula'!B60,60)&lt;&gt;"",INDEX(properties!A$1:CB$87,'Fórmula'!B60,60)),IF(INDEX(properties!A$1:CB$87,'Fórmula'!D60,60)&lt;&gt;"",INDEX(properties!A$1:CB$87,'Fórmula'!D60,60)),IF(INDEX(properties!A$1:CB$87,'Fórmula'!F60,60)&lt;&gt;"",INDEX(properties!A$1:CB$87,'Fórmula'!F60,60)),IF(INDEX(properties!A$1:CB$87,'Fórmula'!H60,60)&lt;&gt;"",INDEX(properties!A$1:CB$87,'Fórmula'!H60,60)),IF(INDEX(properties!A$1:CB$87,'Fórmula'!J60,60)&lt;&gt;"",INDEX(properties!A$1:CB$87,'Fórmula'!J60,60)))</f>
        <v>6669.242421</v>
      </c>
      <c r="GI60" s="105">
        <f t="array" ref="GI60">MAX(INDEX(properties!A$1:CB$87,'Fórmula'!B60,60),INDEX(properties!A$1:CB$87,'Fórmula'!D60,60),INDEX(properties!A$1:CB$87,'Fórmula'!F60,60),INDEX(properties!A$1:CB$87,'Fórmula'!H60,60),INDEX(properties!A$1:CB$87,'Fórmula'!J60,60))</f>
        <v>200</v>
      </c>
      <c r="GJ60" s="105">
        <f t="array" ref="GJ60">MIN(IF(INDEX(properties!A$1:CB$87,'Fórmula'!B60,60)=0,10^6,INDEX(properties!A$1:CB$87,'Fórmula'!B60,60)),IF(INDEX(properties!A$1:CB$87,'Fórmula'!D60,60)=0,10^6,INDEX(properties!A$1:CB$87,'Fórmula'!D60,60)),IF(INDEX(properties!A$1:CB$87,'Fórmula'!F60,60)=0,10^6,INDEX(properties!A$1:CB$87,'Fórmula'!F60,60)),IF(INDEX(properties!A$1:CB$87,'Fórmula'!H60,60)=0,10^6,INDEX(properties!A$1:CB$87,'Fórmula'!H60,60)),IF(INDEX(properties!A$1:CB$87,'Fórmula'!J60,60)=0,10^6,INDEX(properties!A$1:CB$87,'Fórmula'!J60,60)))</f>
        <v>0.02674</v>
      </c>
      <c r="GK60" s="105">
        <f t="shared" si="32"/>
        <v>199.97326</v>
      </c>
      <c r="GL60" s="106">
        <f t="array" ref="GL60">(('Fórmula'!C60)/('Fórmula'!C60+'Fórmula'!E60+'Fórmula'!G60+'Fórmula'!I60+'Fórmula'!K60))*(INDEX(properties!A$1:CB$87,'Fórmula'!B60,62))+(('Fórmula'!E60)/('Fórmula'!C60+'Fórmula'!E60+'Fórmula'!G60+'Fórmula'!I60+'Fórmula'!K60))*(INDEX(properties!A$1:CB$87,'Fórmula'!D60,62))+(('Fórmula'!G60)/('Fórmula'!C60+'Fórmula'!E60+'Fórmula'!G60+'Fórmula'!I60+'Fórmula'!K60))*(INDEX(properties!A$1:CB$87,'Fórmula'!F60,62))+(('Fórmula'!I60)/('Fórmula'!C60+'Fórmula'!E60+'Fórmula'!G60+'Fórmula'!I60+'Fórmula'!K60))*(INDEX(properties!A$1:CB$87,'Fórmula'!H60,62))+(('Fórmula'!K60)/('Fórmula'!C60+'Fórmula'!E60+'Fórmula'!G60+'Fórmula'!I60+'Fórmula'!K60))*(INDEX(properties!A$1:CB$87,'Fórmula'!J60,62))</f>
        <v>2.689166667</v>
      </c>
      <c r="GM60" s="106">
        <f t="array" ref="GM60">'Fórmula'!C60*(INDEX(properties!A$1:CB$87,'Fórmula'!B60,62))+'Fórmula'!E60*(INDEX(properties!A$1:CB$87,'Fórmula'!D60,62))+'Fórmula'!G60*(INDEX(properties!A$1:CB$87,'Fórmula'!F60,62))+'Fórmula'!I60*(INDEX(properties!A$1:CB$87,'Fórmula'!H60,62))+'Fórmula'!K60*(INDEX(properties!A$1:CB$87,'Fórmula'!J60,62))</f>
        <v>32.27</v>
      </c>
      <c r="GN60" s="106">
        <f t="array" ref="GN60">VARP(IF(INDEX(properties!A$1:CB$87,'Fórmula'!B60,62)&lt;&gt;"",INDEX(properties!A$1:CB$87,'Fórmula'!B60,62)),IF(INDEX(properties!A$1:CB$87,'Fórmula'!D60,62)&lt;&gt;"",INDEX(properties!A$1:CB$87,'Fórmula'!D60,62)),IF(INDEX(properties!A$1:CB$87,'Fórmula'!F60,62)&lt;&gt;"",INDEX(properties!A$1:CB$87,'Fórmula'!F60,62)),IF(INDEX(properties!A$1:CB$87,'Fórmula'!H60,62)&lt;&gt;"",INDEX(properties!A$1:CB$87,'Fórmula'!H60,62)),IF(INDEX(properties!A$1:CB$87,'Fórmula'!J60,62)&lt;&gt;"",INDEX(properties!A$1:CB$87,'Fórmula'!J60,62)))</f>
        <v>2.2522</v>
      </c>
      <c r="GO60" s="106">
        <f t="array" ref="GO60">MAX(INDEX(properties!A$1:CB$87,'Fórmula'!B60,62),INDEX(properties!A$1:CB$87,'Fórmula'!D60,62),INDEX(properties!A$1:CB$87,'Fórmula'!F60,62),INDEX(properties!A$1:CB$87,'Fórmula'!H60,62),INDEX(properties!A$1:CB$87,'Fórmula'!J60,62))</f>
        <v>4.63</v>
      </c>
      <c r="GP60" s="106">
        <f t="array" ref="GP60">MIN(IF(INDEX(properties!A$1:CB$87,'Fórmula'!B60,62)=0,10^6,INDEX(properties!A$1:CB$87,'Fórmula'!B60,62)),IF(INDEX(properties!A$1:CB$87,'Fórmula'!D60,62)=0,10^6,INDEX(properties!A$1:CB$87,'Fórmula'!D60,62)),IF(INDEX(properties!A$1:CB$87,'Fórmula'!F60,62)=0,10^6,INDEX(properties!A$1:CB$87,'Fórmula'!F60,62)),IF(INDEX(properties!A$1:CB$87,'Fórmula'!H60,62)=0,10^6,INDEX(properties!A$1:CB$87,'Fórmula'!H60,62)),IF(INDEX(properties!A$1:CB$87,'Fórmula'!J60,62)=0,10^6,INDEX(properties!A$1:CB$87,'Fórmula'!J60,62)))</f>
        <v>1.84</v>
      </c>
      <c r="GQ60" s="106">
        <f t="shared" si="33"/>
        <v>2.79</v>
      </c>
      <c r="GR60" s="106">
        <f>'Fórmula'!Q60</f>
        <v>113</v>
      </c>
      <c r="GS60" s="107">
        <f>'Fórmula'!P60</f>
        <v>2</v>
      </c>
      <c r="GT60" s="113">
        <f>'Fórmula'!O60</f>
        <v>3.83</v>
      </c>
      <c r="GU60" s="114">
        <f>AVERAGE('Fórmula'!R60/'Fórmula'!S60,'Fórmula'!S60/'Fórmula'!T60,'Fórmula'!T60/'Fórmula'!R60)</f>
        <v>1.059017006</v>
      </c>
      <c r="GV60" s="125">
        <f>'Fórmula'!U60</f>
        <v>311.67</v>
      </c>
      <c r="GW60" s="106">
        <f>'Fórmula'!N60</f>
        <v>0.05</v>
      </c>
    </row>
    <row r="61" ht="14.25" customHeight="1">
      <c r="A61" s="99" t="str">
        <f>'Fórmula'!A61</f>
        <v>ZnLaB5O10</v>
      </c>
      <c r="B61" s="100">
        <f t="array" ref="B61">(('Fórmula'!C61)/('Fórmula'!C61+'Fórmula'!E61+'Fórmula'!G61+'Fórmula'!I61+'Fórmula'!K61))*(INDEX(properties!A$1:CB$87,'Fórmula'!B61,3))+(('Fórmula'!E61)/('Fórmula'!C61+'Fórmula'!E61+'Fórmula'!G61+'Fórmula'!I61+'Fórmula'!K61))*(INDEX(properties!A$1:CB$87,'Fórmula'!D61,3))+(('Fórmula'!G61)/('Fórmula'!C61+'Fórmula'!E61+'Fórmula'!G61+'Fórmula'!I61+'Fórmula'!K61))*(INDEX(properties!A$1:CB$87,'Fórmula'!F61,3))+(('Fórmula'!I61)/('Fórmula'!C61+'Fórmula'!E61+'Fórmula'!G61+'Fórmula'!I61+'Fórmula'!K61))*(INDEX(properties!A$1:CB$87,'Fórmula'!H61,3))+(('Fórmula'!K61)/('Fórmula'!C61+'Fórmula'!E61+'Fórmula'!G61+'Fórmula'!I61+'Fórmula'!K61))*(INDEX(properties!A$1:CB$87,'Fórmula'!J61,3))</f>
        <v>24.60791176</v>
      </c>
      <c r="C61" s="101">
        <f t="array" ref="C61">'Fórmula'!C61*(INDEX(properties!A$1:CB$87,'Fórmula'!B61,3))+'Fórmula'!E61*(INDEX(properties!A$1:CB$87,'Fórmula'!D61,3))+'Fórmula'!G61*(INDEX(properties!A$1:CB$87,'Fórmula'!F61,3))+'Fórmula'!I61*(INDEX(properties!A$1:CB$87,'Fórmula'!H61,3))+'Fórmula'!K61*(INDEX(properties!A$1:CB$87,'Fórmula'!J61,3))</f>
        <v>418.3345</v>
      </c>
      <c r="D61" s="101">
        <f t="array" ref="D61">VARP(IF(INDEX(properties!A$1:CB$87,'Fórmula'!B61,3)&lt;&gt;"",INDEX(properties!A$1:CB$87,'Fórmula'!B61,3)),IF(INDEX(properties!A$1:CB$87,'Fórmula'!D61,3)&lt;&gt;"",INDEX(properties!A$1:CB$87,'Fórmula'!D61,3)),IF(INDEX(properties!A$1:CB$87,'Fórmula'!F61,3)&lt;&gt;"",INDEX(properties!A$1:CB$87,'Fórmula'!F61,3)),IF(INDEX(properties!A$1:CB$87,'Fórmula'!H61,3)&lt;&gt;"",INDEX(properties!A$1:CB$87,'Fórmula'!H61,3)),IF(INDEX(properties!A$1:CB$87,'Fórmula'!J61,3)&lt;&gt;"",INDEX(properties!A$1:CB$87,'Fórmula'!J61,3)))</f>
        <v>2652.21557</v>
      </c>
      <c r="E61" s="101">
        <f t="array" ref="E61">MAX(INDEX(properties!A$1:CB$87,'Fórmula'!B61,3),INDEX(properties!A$1:CB$87,'Fórmula'!D61,3),INDEX(properties!A$1:CB$87,'Fórmula'!F61,3),INDEX(properties!A$1:CB$87,'Fórmula'!H61,3),INDEX(properties!A$1:CB$87,'Fórmula'!J61,3))</f>
        <v>138.9055</v>
      </c>
      <c r="F61" s="101">
        <f t="array" ref="F61">MIN(IF(INDEX(properties!A$1:CB$87,'Fórmula'!B61,3)=0,10^6,INDEX(properties!A$1:CB$87,'Fórmula'!B61,3)),IF(INDEX(properties!A$1:CB$87,'Fórmula'!D61,3)=0,10^6,INDEX(properties!A$1:CB$87,'Fórmula'!D61,3)),IF(INDEX(properties!A$1:CB$87,'Fórmula'!F61,3)=0,10^6,INDEX(properties!A$1:CB$87,'Fórmula'!F61,3)),IF(INDEX(properties!A$1:CB$87,'Fórmula'!H61,3)=0,10^6,INDEX(properties!A$1:CB$87,'Fórmula'!H61,3)),IF(INDEX(properties!A$1:CB$87,'Fórmula'!J61,3)=0,10^6,INDEX(properties!A$1:CB$87,'Fórmula'!J61,3)))</f>
        <v>10.811</v>
      </c>
      <c r="G61" s="101">
        <f t="shared" si="1"/>
        <v>128.0945</v>
      </c>
      <c r="H61" s="102">
        <f t="array" ref="H61">(('Fórmula'!C61)/('Fórmula'!C61+'Fórmula'!E61+'Fórmula'!G61+'Fórmula'!I61+'Fórmula'!K61))*(INDEX(properties!A$1:CB$87,'Fórmula'!B61,4))+(('Fórmula'!E61)/('Fórmula'!C61+'Fórmula'!E61+'Fórmula'!G61+'Fórmula'!I61+'Fórmula'!K61))*(INDEX(properties!A$1:CB$87,'Fórmula'!D61,4))+(('Fórmula'!G61)/('Fórmula'!C61+'Fórmula'!E61+'Fórmula'!G61+'Fórmula'!I61+'Fórmula'!K61))*(INDEX(properties!A$1:CB$87,'Fórmula'!F61,4))+(('Fórmula'!I61)/('Fórmula'!C61+'Fórmula'!E61+'Fórmula'!G61+'Fórmula'!I61+'Fórmula'!K61))*(INDEX(properties!A$1:CB$87,'Fórmula'!H61,4))+(('Fórmula'!K61)/('Fórmula'!C61+'Fórmula'!E61+'Fórmula'!G61+'Fórmula'!I61+'Fórmula'!K61))*(INDEX(properties!A$1:CB$87,'Fórmula'!J61,4))</f>
        <v>11.29411765</v>
      </c>
      <c r="I61" s="102">
        <f t="array" ref="I61">'Fórmula'!C61*(INDEX(properties!A$1:CB$87,'Fórmula'!B61,4))+'Fórmula'!E61*(INDEX(properties!A$1:CB$87,'Fórmula'!D61,4))+'Fórmula'!G61*(INDEX(properties!A$1:CB$87,'Fórmula'!F61,4))+'Fórmula'!I61*(INDEX(properties!A$1:CB$87,'Fórmula'!H61,4))+'Fórmula'!K61*(INDEX(properties!A$1:CB$87,'Fórmula'!J61,4))</f>
        <v>192</v>
      </c>
      <c r="J61" s="102">
        <f t="array" ref="J61">VARP(IF(INDEX(properties!A$1:CB$87,'Fórmula'!B61,4)&lt;&gt;"",INDEX(properties!A$1:CB$87,'Fórmula'!B61,4)),IF(INDEX(properties!A$1:CB$87,'Fórmula'!D61,4)&lt;&gt;"",INDEX(properties!A$1:CB$87,'Fórmula'!D61,4)),IF(INDEX(properties!A$1:CB$87,'Fórmula'!F61,4)&lt;&gt;"",INDEX(properties!A$1:CB$87,'Fórmula'!F61,4)),IF(INDEX(properties!A$1:CB$87,'Fórmula'!H61,4)&lt;&gt;"",INDEX(properties!A$1:CB$87,'Fórmula'!H61,4)),IF(INDEX(properties!A$1:CB$87,'Fórmula'!J61,4)&lt;&gt;"",INDEX(properties!A$1:CB$87,'Fórmula'!J61,4)))</f>
        <v>447.6</v>
      </c>
      <c r="K61" s="102">
        <f t="array" ref="K61">MAX(INDEX(properties!A$1:CB$87,'Fórmula'!B61,4),INDEX(properties!A$1:CB$87,'Fórmula'!D61,4),INDEX(properties!A$1:CB$87,'Fórmula'!F61,4),INDEX(properties!A$1:CB$87,'Fórmula'!H61,4),INDEX(properties!A$1:CB$87,'Fórmula'!J61,4))</f>
        <v>57</v>
      </c>
      <c r="L61" s="102">
        <f t="array" ref="L61">MIN(IF(INDEX(properties!A$1:CB$87,'Fórmula'!B61,4)=0,10^6,INDEX(properties!A$1:CB$87,'Fórmula'!B61,4)),IF(INDEX(properties!A$1:CB$87,'Fórmula'!D61,4)=0,10^6,INDEX(properties!A$1:CB$87,'Fórmula'!D61,4)),IF(INDEX(properties!A$1:CB$87,'Fórmula'!F61,4)=0,10^6,INDEX(properties!A$1:CB$87,'Fórmula'!F61,4)),IF(INDEX(properties!A$1:CB$87,'Fórmula'!H61,4)=0,10^6,INDEX(properties!A$1:CB$87,'Fórmula'!H61,4)),IF(INDEX(properties!A$1:CB$87,'Fórmula'!J61,4)=0,10^6,INDEX(properties!A$1:CB$87,'Fórmula'!J61,4)))</f>
        <v>5</v>
      </c>
      <c r="M61" s="102">
        <f t="shared" si="2"/>
        <v>52</v>
      </c>
      <c r="N61" s="103">
        <f t="array" ref="N61">(('Fórmula'!C61)/('Fórmula'!C61+'Fórmula'!E61+'Fórmula'!G61+'Fórmula'!I61+'Fórmula'!K61))*(INDEX(properties!A$1:CB$87,'Fórmula'!B61,5))+(('Fórmula'!E61)/('Fórmula'!C61+'Fórmula'!E61+'Fórmula'!G61+'Fórmula'!I61+'Fórmula'!K61))*(INDEX(properties!A$1:CB$87,'Fórmula'!D61,5))+(('Fórmula'!G61)/('Fórmula'!C61+'Fórmula'!E61+'Fórmula'!G61+'Fórmula'!I61+'Fórmula'!K61))*(INDEX(properties!A$1:CB$87,'Fórmula'!F61,5))+(('Fórmula'!I61)/('Fórmula'!C61+'Fórmula'!E61+'Fórmula'!G61+'Fórmula'!I61+'Fórmula'!K61))*(INDEX(properties!A$1:CB$87,'Fórmula'!H61,5))+(('Fórmula'!K61)/('Fórmula'!C61+'Fórmula'!E61+'Fórmula'!G61+'Fórmula'!I61+'Fórmula'!K61))*(INDEX(properties!A$1:CB$87,'Fórmula'!J61,5))</f>
        <v>2.352941176</v>
      </c>
      <c r="O61" s="103">
        <f t="array" ref="O61">'Fórmula'!C61*(INDEX(properties!A$1:CB$87,'Fórmula'!B61,5))+'Fórmula'!E61*(INDEX(properties!A$1:CB$87,'Fórmula'!D61,5))+'Fórmula'!G61*(INDEX(properties!A$1:CB$87,'Fórmula'!F61,5))+'Fórmula'!I61*(INDEX(properties!A$1:CB$87,'Fórmula'!H61,5))+'Fórmula'!K61*(INDEX(properties!A$1:CB$87,'Fórmula'!J61,5))</f>
        <v>40</v>
      </c>
      <c r="P61" s="103">
        <f t="array" ref="P61">VARP(IF(INDEX(properties!A$1:CB$87,'Fórmula'!B61,5)&lt;&gt;"",INDEX(properties!A$1:CB$87,'Fórmula'!B61,5)),IF(INDEX(properties!A$1:CB$87,'Fórmula'!D61,5)&lt;&gt;"",INDEX(properties!A$1:CB$87,'Fórmula'!D61,5)),IF(INDEX(properties!A$1:CB$87,'Fórmula'!F61,5)&lt;&gt;"",INDEX(properties!A$1:CB$87,'Fórmula'!F61,5)),IF(INDEX(properties!A$1:CB$87,'Fórmula'!H61,5)&lt;&gt;"",INDEX(properties!A$1:CB$87,'Fórmula'!H61,5)),IF(INDEX(properties!A$1:CB$87,'Fórmula'!J61,5)&lt;&gt;"",INDEX(properties!A$1:CB$87,'Fórmula'!J61,5)))</f>
        <v>4.16</v>
      </c>
      <c r="Q61" s="103">
        <f t="array" ref="Q61">MAX(INDEX(properties!A$1:CB$87,'Fórmula'!B61,5),INDEX(properties!A$1:CB$87,'Fórmula'!D61,5),INDEX(properties!A$1:CB$87,'Fórmula'!F61,5),INDEX(properties!A$1:CB$87,'Fórmula'!H61,5),INDEX(properties!A$1:CB$87,'Fórmula'!J61,5))</f>
        <v>6</v>
      </c>
      <c r="R61" s="103">
        <f t="array" ref="R61">MIN(IF(INDEX(properties!A$1:CB$87,'Fórmula'!B61,5)=0,10^6,INDEX(properties!A$1:CB$87,'Fórmula'!B61,5)),IF(INDEX(properties!A$1:CB$87,'Fórmula'!D61,5)=0,10^6,INDEX(properties!A$1:CB$87,'Fórmula'!D61,5)),IF(INDEX(properties!A$1:CB$87,'Fórmula'!F61,5)=0,10^6,INDEX(properties!A$1:CB$87,'Fórmula'!F61,5)),IF(INDEX(properties!A$1:CB$87,'Fórmula'!H61,5)=0,10^6,INDEX(properties!A$1:CB$87,'Fórmula'!H61,5)),IF(INDEX(properties!A$1:CB$87,'Fórmula'!J61,5)=0,10^6,INDEX(properties!A$1:CB$87,'Fórmula'!J61,5)))</f>
        <v>2</v>
      </c>
      <c r="S61" s="103">
        <f t="shared" si="3"/>
        <v>4</v>
      </c>
      <c r="T61" s="104">
        <f t="array" ref="T61">(('Fórmula'!C61)/('Fórmula'!C61+'Fórmula'!E61+'Fórmula'!G61+'Fórmula'!I61+'Fórmula'!K61))*(INDEX(properties!A$1:CB$87,'Fórmula'!B61,6))+(('Fórmula'!E61)/('Fórmula'!C61+'Fórmula'!E61+'Fórmula'!G61+'Fórmula'!I61+'Fórmula'!K61))*(INDEX(properties!A$1:CB$87,'Fórmula'!D61,6))+(('Fórmula'!G61)/('Fórmula'!C61+'Fórmula'!E61+'Fórmula'!G61+'Fórmula'!I61+'Fórmula'!K61))*(INDEX(properties!A$1:CB$87,'Fórmula'!F61,6))+(('Fórmula'!I61)/('Fórmula'!C61+'Fórmula'!E61+'Fórmula'!G61+'Fórmula'!I61+'Fórmula'!K61))*(INDEX(properties!A$1:CB$87,'Fórmula'!H61,6))+(('Fórmula'!K61)/('Fórmula'!C61+'Fórmula'!E61+'Fórmula'!G61+'Fórmula'!I61+'Fórmula'!K61))*(INDEX(properties!A$1:CB$87,'Fórmula'!J61,6))</f>
        <v>14.11764706</v>
      </c>
      <c r="U61" s="104">
        <f t="array" ref="U61">'Fórmula'!C61*(INDEX(properties!A$1:CB$87,'Fórmula'!B61,6))+'Fórmula'!E61*(INDEX(properties!A$1:CB$87,'Fórmula'!D61,6))+'Fórmula'!G61*(INDEX(properties!A$1:CB$87,'Fórmula'!F61,6))+'Fórmula'!I61*(INDEX(properties!A$1:CB$87,'Fórmula'!H61,6))+'Fórmula'!K61*(INDEX(properties!A$1:CB$87,'Fórmula'!J61,6))</f>
        <v>240</v>
      </c>
      <c r="V61" s="103">
        <f t="array" ref="V61">VARP(IF(INDEX(properties!A$1:CB$87,'Fórmula'!B61,6)&lt;&gt;"",INDEX(properties!A$1:CB$87,'Fórmula'!B61,6)),IF(INDEX(properties!A$1:CB$87,'Fórmula'!D61,6)&lt;&gt;"",INDEX(properties!A$1:CB$87,'Fórmula'!D61,6)),IF(INDEX(properties!A$1:CB$87,'Fórmula'!F61,6)&lt;&gt;"",INDEX(properties!A$1:CB$87,'Fórmula'!F61,6)),IF(INDEX(properties!A$1:CB$87,'Fórmula'!H61,6)&lt;&gt;"",INDEX(properties!A$1:CB$87,'Fórmula'!H61,6)),IF(INDEX(properties!A$1:CB$87,'Fórmula'!J61,6)&lt;&gt;"",INDEX(properties!A$1:CB$87,'Fórmula'!J61,6)))</f>
        <v>38.16</v>
      </c>
      <c r="W61" s="104">
        <f t="array" ref="W61">MAX(INDEX(properties!A$1:CB$87,'Fórmula'!B61,6),INDEX(properties!A$1:CB$87,'Fórmula'!D61,6),INDEX(properties!A$1:CB$87,'Fórmula'!F61,6),INDEX(properties!A$1:CB$87,'Fórmula'!H61,4),INDEX(properties!A$1:CB$87,'Fórmula'!J61,6))</f>
        <v>13</v>
      </c>
      <c r="X61" s="104">
        <f t="array" ref="X61">MIN(IF(INDEX(properties!A$1:CB$87,'Fórmula'!B61,6)=0,10^6,INDEX(properties!A$1:CB$87,'Fórmula'!B61,6)),IF(INDEX(properties!A$1:CB$87,'Fórmula'!D61,6)=0,10^6,INDEX(properties!A$1:CB$87,'Fórmula'!D61,6)),IF(INDEX(properties!A$1:CB$87,'Fórmula'!F61,6)=0,10^6,INDEX(properties!A$1:CB$87,'Fórmula'!F61,6)),IF(INDEX(properties!A$1:CB$87,'Fórmula'!H61,6)=0,10^6,INDEX(properties!A$1:CB$87,'Fórmula'!H61,6)),IF(INDEX(properties!A$1:CB$87,'Fórmula'!J61,6)=0,10^6,INDEX(properties!A$1:CB$87,'Fórmula'!J61,6)))</f>
        <v>3</v>
      </c>
      <c r="Y61" s="104">
        <f t="shared" si="4"/>
        <v>10</v>
      </c>
      <c r="Z61" s="105">
        <f t="array" ref="Z61">(('Fórmula'!C61)/('Fórmula'!C61+'Fórmula'!E61+'Fórmula'!G61+'Fórmula'!I61+'Fórmula'!K61))*(INDEX(properties!A$1:CB$87,'Fórmula'!B61,9))+(('Fórmula'!E61)/('Fórmula'!C61+'Fórmula'!E61+'Fórmula'!G61+'Fórmula'!I61+'Fórmula'!K61))*(INDEX(properties!A$1:CB$87,'Fórmula'!D61,9))+(('Fórmula'!G61)/('Fórmula'!C61+'Fórmula'!E61+'Fórmula'!G61+'Fórmula'!I61+'Fórmula'!K61))*(INDEX(properties!A$1:CB$87,'Fórmula'!F61,9))+(('Fórmula'!I61)/('Fórmula'!C61+'Fórmula'!E61+'Fórmula'!G61+'Fórmula'!I61+'Fórmula'!K61))*(INDEX(properties!A$1:CB$87,'Fórmula'!H61,9))+(('Fórmula'!K61)/('Fórmula'!C61+'Fórmula'!E61+'Fórmula'!G61+'Fórmula'!I61+'Fórmula'!K61))*(INDEX(properties!A$1:CB$87,'Fórmula'!J61,9))</f>
        <v>77.17647059</v>
      </c>
      <c r="AA61" s="105">
        <f t="array" ref="AA61">'Fórmula'!C61*(INDEX(properties!A$1:CB$87,'Fórmula'!B61,9))+'Fórmula'!E61*(INDEX(properties!A$1:CB$87,'Fórmula'!D61,9))+'Fórmula'!G61*(INDEX(properties!A$1:CB$87,'Fórmula'!F61,9))+'Fórmula'!I61*(INDEX(properties!A$1:CB$87,'Fórmula'!H61,9))+'Fórmula'!K61*(INDEX(properties!A$1:CB$87,'Fórmula'!J61,9))</f>
        <v>1312</v>
      </c>
      <c r="AB61" s="105">
        <f t="array" ref="AB61">VARP(IF(INDEX(properties!A$1:CB$87,'Fórmula'!B61,9)&lt;&gt;"",INDEX(properties!A$1:CB$87,'Fórmula'!B61,9)),IF(INDEX(properties!A$1:CB$87,'Fórmula'!D61,9)&lt;&gt;"",INDEX(properties!A$1:CB$87,'Fórmula'!D61,9)),IF(INDEX(properties!A$1:CB$87,'Fórmula'!F61,9)&lt;&gt;"",INDEX(properties!A$1:CB$87,'Fórmula'!F61,9)),IF(INDEX(properties!A$1:CB$87,'Fórmula'!H61,9)&lt;&gt;"",INDEX(properties!A$1:CB$87,'Fórmula'!H61,9)),IF(INDEX(properties!A$1:CB$87,'Fórmula'!J61,9)&lt;&gt;"",INDEX(properties!A$1:CB$87,'Fórmula'!J61,9)))</f>
        <v>1213.36</v>
      </c>
      <c r="AC61" s="105">
        <f t="array" ref="AC61">MAX(INDEX(properties!A$1:CB$87,'Fórmula'!B61,9),INDEX(properties!A$1:CB$87,'Fórmula'!D61,9),INDEX(properties!A$1:CB$87,'Fórmula'!F61,9),INDEX(properties!A$1:CB$87,'Fórmula'!H61,9),INDEX(properties!A$1:CB$87,'Fórmula'!J61,9))</f>
        <v>87</v>
      </c>
      <c r="AD61" s="105">
        <f t="array" ref="AD61">MIN(IF(INDEX(properties!A$1:CB$87,'Fórmula'!B61,9)=0,10^6,INDEX(properties!A$1:CB$87,'Fórmula'!B61,9)),IF(INDEX(properties!A$1:CB$87,'Fórmula'!D61,9)=0,10^6,INDEX(properties!A$1:CB$87,'Fórmula'!D61,9)),IF(INDEX(properties!A$1:CB$87,'Fórmula'!F61,9)=0,10^6,INDEX(properties!A$1:CB$87,'Fórmula'!F61,9)),IF(INDEX(properties!A$1:CB$87,'Fórmula'!H61,9)=0,10^6,INDEX(properties!A$1:CB$87,'Fórmula'!H61,9)),IF(INDEX(properties!A$1:CB$87,'Fórmula'!J61,9)=0,10^6,INDEX(properties!A$1:CB$87,'Fórmula'!J61,9)))</f>
        <v>13</v>
      </c>
      <c r="AE61" s="105">
        <f t="shared" si="5"/>
        <v>74</v>
      </c>
      <c r="AF61" s="106">
        <f t="array" ref="AF61">(('Fórmula'!C61)/('Fórmula'!C61+'Fórmula'!E61+'Fórmula'!G61+'Fórmula'!I61+'Fórmula'!K61))*(INDEX(properties!A$1:CB$87,'Fórmula'!B61,10))+(('Fórmula'!E61)/('Fórmula'!C61+'Fórmula'!E61+'Fórmula'!G61+'Fórmula'!I61+'Fórmula'!K61))*(INDEX(properties!A$1:CB$87,'Fórmula'!D61,10))+(('Fórmula'!G61)/('Fórmula'!C61+'Fórmula'!E61+'Fórmula'!G61+'Fórmula'!I61+'Fórmula'!K61))*(INDEX(properties!A$1:CB$87,'Fórmula'!F61,10))+(('Fórmula'!I61)/('Fórmula'!C61+'Fórmula'!E61+'Fórmula'!G61+'Fórmula'!I61+'Fórmula'!K61))*(INDEX(properties!A$1:CB$87,'Fórmula'!H61,10))+(('Fórmula'!K61)/('Fórmula'!C61+'Fórmula'!E61+'Fórmula'!G61+'Fórmula'!I61+'Fórmula'!K61))*(INDEX(properties!A$1:CB$87,'Fórmula'!J61,10))</f>
        <v>6.294117647</v>
      </c>
      <c r="AG61" s="106">
        <f t="array" ref="AG61">'Fórmula'!C61*(INDEX(properties!A$1:CB$87,'Fórmula'!B61,10))+'Fórmula'!E61*(INDEX(properties!A$1:CB$87,'Fórmula'!D61,10))+'Fórmula'!G61*(INDEX(properties!A$1:CB$87,'Fórmula'!F61,10))+'Fórmula'!I61*(INDEX(properties!A$1:CB$87,'Fórmula'!H61,10))+'Fórmula'!K61*(INDEX(properties!A$1:CB$87,'Fórmula'!J61,10))</f>
        <v>107</v>
      </c>
      <c r="AH61" s="106">
        <f t="array" ref="AH61">VARP(IF(INDEX(properties!A$1:CB$87,'Fórmula'!B61,10)&lt;&gt;"",INDEX(properties!A$1:CB$87,'Fórmula'!B61,10)),IF(INDEX(properties!A$1:CB$87,'Fórmula'!D61,10)&lt;&gt;"",INDEX(properties!A$1:CB$87,'Fórmula'!D61,10)),IF(INDEX(properties!A$1:CB$87,'Fórmula'!F61,10)&lt;&gt;"",INDEX(properties!A$1:CB$87,'Fórmula'!F61,10)),IF(INDEX(properties!A$1:CB$87,'Fórmula'!H61,10)&lt;&gt;"",INDEX(properties!A$1:CB$87,'Fórmula'!H61,10)),IF(INDEX(properties!A$1:CB$87,'Fórmula'!J61,10)&lt;&gt;"",INDEX(properties!A$1:CB$87,'Fórmula'!J61,10)))</f>
        <v>6</v>
      </c>
      <c r="AI61" s="106">
        <f t="array" ref="AI61">MAX(INDEX(properties!A$1:CB$87,'Fórmula'!B61,10),INDEX(properties!A$1:CB$87,'Fórmula'!D61,10),INDEX(properties!A$1:CB$87,'Fórmula'!F61,10),INDEX(properties!A$1:CB$87,'Fórmula'!H61,10),INDEX(properties!A$1:CB$87,'Fórmula'!J61,10))</f>
        <v>7</v>
      </c>
      <c r="AJ61" s="106">
        <f t="array" ref="AJ61">MIN(IF(INDEX(properties!A$1:CB$87,'Fórmula'!B61,10)=0,10^6,INDEX(properties!A$1:CB$87,'Fórmula'!B61,10)),IF(INDEX(properties!A$1:CB$87,'Fórmula'!D61,10)=0,10^6,INDEX(properties!A$1:CB$87,'Fórmula'!D61,10)),IF(INDEX(properties!A$1:CB$87,'Fórmula'!F61,10)=0,10^6,INDEX(properties!A$1:CB$87,'Fórmula'!F61,10)),IF(INDEX(properties!A$1:CB$87,'Fórmula'!H61,10)=0,10^6,INDEX(properties!A$1:CB$87,'Fórmula'!H61,10)),IF(INDEX(properties!A$1:CB$87,'Fórmula'!J61,10)=0,10^6,INDEX(properties!A$1:CB$87,'Fórmula'!J61,10)))</f>
        <v>3</v>
      </c>
      <c r="AK61" s="106">
        <f t="shared" si="6"/>
        <v>4</v>
      </c>
      <c r="AL61" s="107">
        <f t="array" ref="AL61">(('Fórmula'!C61)/('Fórmula'!C61+'Fórmula'!E61+'Fórmula'!G61+'Fórmula'!I61+'Fórmula'!K61))*(INDEX(properties!A$1:CB$87,'Fórmula'!B61,11))+(('Fórmula'!E61)/('Fórmula'!C61+'Fórmula'!E61+'Fórmula'!G61+'Fórmula'!I61+'Fórmula'!K61))*(INDEX(properties!A$1:CB$87,'Fórmula'!D61,11))+(('Fórmula'!G61)/('Fórmula'!C61+'Fórmula'!E61+'Fórmula'!G61+'Fórmula'!I61+'Fórmula'!K61))*(INDEX(properties!A$1:CB$87,'Fórmula'!F61,11))+(('Fórmula'!I61)/('Fórmula'!C61+'Fórmula'!E61+'Fórmula'!G61+'Fórmula'!I61+'Fórmula'!K61))*(INDEX(properties!A$1:CB$87,'Fórmula'!H61,11))+(('Fórmula'!K61)/('Fórmula'!C61+'Fórmula'!E61+'Fórmula'!G61+'Fórmula'!I61+'Fórmula'!K61))*(INDEX(properties!A$1:CB$87,'Fórmula'!J61,11))</f>
        <v>2</v>
      </c>
      <c r="AM61" s="107">
        <f t="array" ref="AM61">'Fórmula'!C61*(INDEX(properties!A$1:CB$87,'Fórmula'!B61,11))+'Fórmula'!E61*(INDEX(properties!A$1:CB$87,'Fórmula'!D61,11))+'Fórmula'!G61*(INDEX(properties!A$1:CB$87,'Fórmula'!F61,11))+'Fórmula'!I61*(INDEX(properties!A$1:CB$87,'Fórmula'!H61,11))+'Fórmula'!K61*(INDEX(properties!A$1:CB$87,'Fórmula'!J61,11))</f>
        <v>34</v>
      </c>
      <c r="AN61" s="107">
        <f t="array" ref="AN61">VARP(IF(INDEX(properties!A$1:CB$87,'Fórmula'!B61,11)&lt;&gt;"",INDEX(properties!A$1:CB$87,'Fórmula'!B61,11)),IF(INDEX(properties!A$1:CB$87,'Fórmula'!D61,11)&lt;&gt;"",INDEX(properties!A$1:CB$87,'Fórmula'!D61,11)),IF(INDEX(properties!A$1:CB$87,'Fórmula'!F61,11)&lt;&gt;"",INDEX(properties!A$1:CB$87,'Fórmula'!F61,11)),IF(INDEX(properties!A$1:CB$87,'Fórmula'!H61,11)&lt;&gt;"",INDEX(properties!A$1:CB$87,'Fórmula'!H61,11)),IF(INDEX(properties!A$1:CB$87,'Fórmula'!J61,11)&lt;&gt;"",INDEX(properties!A$1:CB$87,'Fórmula'!J61,11)))</f>
        <v>0.64</v>
      </c>
      <c r="AO61" s="107">
        <f t="array" ref="AO61">MAX(INDEX(properties!A$1:CB$87,'Fórmula'!B61,11),INDEX(properties!A$1:CB$87,'Fórmula'!D61,11),INDEX(properties!A$1:CB$87,'Fórmula'!F61,11),INDEX(properties!A$1:CB$87,'Fórmula'!H61,11),INDEX(properties!A$1:CB$87,'Fórmula'!J61,11))</f>
        <v>2</v>
      </c>
      <c r="AP61" s="107">
        <f t="array" ref="AP61">MIN(IF('Fórmula'!B61=87,10^6,INDEX(properties!A$1:CB$87,'Fórmula'!B61,11)),IF(('Fórmula'!D61)=87,10^6,INDEX(properties!A$1:CB$87,'Fórmula'!D61,11)),IF(('Fórmula'!F61)=87,10^6,INDEX(properties!A$1:CB$87,'Fórmula'!F61,11)),IF(('Fórmula'!H61)=87,10^6,INDEX(properties!A$1:CB$87,'Fórmula'!H61,11)),IF('Fórmula'!J61=87,10^6,INDEX(properties!A$1:CB$87,'Fórmula'!J61,11)))</f>
        <v>2</v>
      </c>
      <c r="AQ61" s="107">
        <f t="shared" si="7"/>
        <v>0</v>
      </c>
      <c r="AR61" s="108">
        <f t="array" ref="AR61">(('Fórmula'!C61)/('Fórmula'!C61+'Fórmula'!E61+'Fórmula'!G61+'Fórmula'!I61+'Fórmula'!K61))*(INDEX(properties!A$1:CB$87,'Fórmula'!B61,12))+(('Fórmula'!E61)/('Fórmula'!C61+'Fórmula'!E61+'Fórmula'!G61+'Fórmula'!I61+'Fórmula'!K61))*(INDEX(properties!A$1:CB$87,'Fórmula'!D61,12))+(('Fórmula'!G61)/('Fórmula'!C61+'Fórmula'!E61+'Fórmula'!G61+'Fórmula'!I61+'Fórmula'!K61))*(INDEX(properties!A$1:CB$87,'Fórmula'!F61,12))+(('Fórmula'!I61)/('Fórmula'!C61+'Fórmula'!E61+'Fórmula'!G61+'Fórmula'!I61+'Fórmula'!K61))*(INDEX(properties!A$1:CB$87,'Fórmula'!H61,12))+(('Fórmula'!K61)/('Fórmula'!C61+'Fórmula'!E61+'Fórmula'!G61+'Fórmula'!I61+'Fórmula'!K61))*(INDEX(properties!A$1:CB$87,'Fórmula'!J61,12))</f>
        <v>2.647058824</v>
      </c>
      <c r="AS61" s="108">
        <f t="array" ref="AS61">'Fórmula'!C61*(INDEX(properties!A$1:CB$87,'Fórmula'!B61,12))+'Fórmula'!E61*(INDEX(properties!A$1:CB$87,'Fórmula'!D61,12))+'Fórmula'!G61*(INDEX(properties!A$1:CB$87,'Fórmula'!F61,12))+'Fórmula'!I61*(INDEX(properties!A$1:CB$87,'Fórmula'!H61,12))+'Fórmula'!K61*(INDEX(properties!A$1:CB$87,'Fórmula'!J61,12))</f>
        <v>45</v>
      </c>
      <c r="AT61" s="108">
        <f t="array" ref="AT61">VARP(IF(INDEX(properties!A$1:CB$87,'Fórmula'!B61,12)&lt;&gt;"",INDEX(properties!A$1:CB$87,'Fórmula'!B61,12)),IF(INDEX(properties!A$1:CB$87,'Fórmula'!D61,12)&lt;&gt;"",INDEX(properties!A$1:CB$87,'Fórmula'!D61,12)),IF(INDEX(properties!A$1:CB$87,'Fórmula'!F61,12)&lt;&gt;"",INDEX(properties!A$1:CB$87,'Fórmula'!F61,12)),IF(INDEX(properties!A$1:CB$87,'Fórmula'!H61,12)&lt;&gt;"",INDEX(properties!A$1:CB$87,'Fórmula'!H61,12)),IF(INDEX(properties!A$1:CB$87,'Fórmula'!J61,12)&lt;&gt;"",INDEX(properties!A$1:CB$87,'Fórmula'!J61,12)))</f>
        <v>2.4</v>
      </c>
      <c r="AU61" s="108">
        <f t="array" ref="AU61">MAX(INDEX(properties!A$1:CB$87,'Fórmula'!B61,12),INDEX(properties!A$1:CB$87,'Fórmula'!D61,12),INDEX(properties!A$1:CB$87,'Fórmula'!F61,12),INDEX(properties!A$1:CB$87,'Fórmula'!H61,12),INDEX(properties!A$1:CB$87,'Fórmula'!J61,12))</f>
        <v>4</v>
      </c>
      <c r="AV61" s="108">
        <f t="array" ref="AV61">MIN(IF('Fórmula'!B61=87,10^6,INDEX(properties!A$1:CB$87,'Fórmula'!B61,12)),IF(('Fórmula'!D61)=87,10^6,INDEX(properties!A$1:CB$87,'Fórmula'!D61,12)),IF(('Fórmula'!F61)=87,10^6,INDEX(properties!A$1:CB$87,'Fórmula'!F61,12)),IF(('Fórmula'!H61)=87,10^6,INDEX(properties!A$1:CB$87,'Fórmula'!H61,12)),IF('Fórmula'!J61=87,10^6,INDEX(properties!A$1:CB$87,'Fórmula'!J61,12)))</f>
        <v>0</v>
      </c>
      <c r="AW61" s="108">
        <f t="shared" si="8"/>
        <v>4</v>
      </c>
      <c r="AX61" s="109">
        <f t="array" ref="AX61">(('Fórmula'!C61)/('Fórmula'!C61+'Fórmula'!E61+'Fórmula'!G61+'Fórmula'!I61+'Fórmula'!K61))*(INDEX(properties!A$1:CB$87,'Fórmula'!B61,13))+(('Fórmula'!E61)/('Fórmula'!C61+'Fórmula'!E61+'Fórmula'!G61+'Fórmula'!I61+'Fórmula'!K61))*(INDEX(properties!A$1:CB$87,'Fórmula'!D61,13))+(('Fórmula'!G61)/('Fórmula'!C61+'Fórmula'!E61+'Fórmula'!G61+'Fórmula'!I61+'Fórmula'!K61))*(INDEX(properties!A$1:CB$87,'Fórmula'!F61,13))+(('Fórmula'!I61)/('Fórmula'!C61+'Fórmula'!E61+'Fórmula'!G61+'Fórmula'!I61+'Fórmula'!K61))*(INDEX(properties!A$1:CB$87,'Fórmula'!H61,13))+(('Fórmula'!K61)/('Fórmula'!C61+'Fórmula'!E61+'Fórmula'!G61+'Fórmula'!I61+'Fórmula'!K61))*(INDEX(properties!A$1:CB$87,'Fórmula'!J61,13))</f>
        <v>0.6470588235</v>
      </c>
      <c r="AY61" s="109">
        <f t="array" ref="AY61">'Fórmula'!C61*(INDEX(properties!A$1:CB$87,'Fórmula'!B61,13))+'Fórmula'!E61*(INDEX(properties!A$1:CB$87,'Fórmula'!D61,13))+'Fórmula'!G61*(INDEX(properties!A$1:CB$87,'Fórmula'!F61,13))+'Fórmula'!I61*(INDEX(properties!A$1:CB$87,'Fórmula'!H61,13))+'Fórmula'!K61*(INDEX(properties!A$1:CB$87,'Fórmula'!J61,13))</f>
        <v>11</v>
      </c>
      <c r="AZ61" s="109">
        <f t="array" ref="AZ61">VARP(IF(INDEX(properties!A$1:CB$87,'Fórmula'!B61,13)&lt;&gt;"",INDEX(properties!A$1:CB$87,'Fórmula'!B61,13)),IF(INDEX(properties!A$1:CB$87,'Fórmula'!D61,13)&lt;&gt;"",INDEX(properties!A$1:CB$87,'Fórmula'!D61,13)),IF(INDEX(properties!A$1:CB$87,'Fórmula'!F61,13)&lt;&gt;"",INDEX(properties!A$1:CB$87,'Fórmula'!F61,13)),IF(INDEX(properties!A$1:CB$87,'Fórmula'!H61,13)&lt;&gt;"",INDEX(properties!A$1:CB$87,'Fórmula'!H61,13)),IF(INDEX(properties!A$1:CB$87,'Fórmula'!J61,13)&lt;&gt;"",INDEX(properties!A$1:CB$87,'Fórmula'!J61,13)))</f>
        <v>15.36</v>
      </c>
      <c r="BA61" s="109">
        <f t="array" ref="BA61">MAX(INDEX(properties!A$1:CB$87,'Fórmula'!B61,13),INDEX(properties!A$1:CB$87,'Fórmula'!D61,13),INDEX(properties!A$1:CB$87,'Fórmula'!F61,13),INDEX(properties!A$1:CB$87,'Fórmula'!H61,13),INDEX(properties!A$1:CB$87,'Fórmula'!J61,13))</f>
        <v>10</v>
      </c>
      <c r="BB61" s="109">
        <f t="array" ref="BB61">MIN(IF('Fórmula'!B61=87,10^6,INDEX(properties!A$1:CB$87,'Fórmula'!B61,13)),IF(('Fórmula'!D61)=87,10^6,INDEX(properties!A$1:CB$87,'Fórmula'!D61,13)),IF(('Fórmula'!F61)=87,10^6,INDEX(properties!A$1:CB$87,'Fórmula'!F61,13)),IF(('Fórmula'!H61)=87,10^6,INDEX(properties!A$1:CB$87,'Fórmula'!H61,13)),IF('Fórmula'!J61=87,10^6,INDEX(properties!A$1:CB$87,'Fórmula'!J61,13)))</f>
        <v>0</v>
      </c>
      <c r="BC61" s="109">
        <f t="shared" si="9"/>
        <v>10</v>
      </c>
      <c r="BD61" s="110">
        <f t="array" ref="BD61">(('Fórmula'!C61)/('Fórmula'!C61+'Fórmula'!E61+'Fórmula'!G61+'Fórmula'!I61+'Fórmula'!K61))*(INDEX(properties!A$1:CB$87,'Fórmula'!B61,14))+(('Fórmula'!E61)/('Fórmula'!C61+'Fórmula'!E61+'Fórmula'!G61+'Fórmula'!I61+'Fórmula'!K61))*(INDEX(properties!A$1:CB$87,'Fórmula'!D61,14))+(('Fórmula'!G61)/('Fórmula'!C61+'Fórmula'!E61+'Fórmula'!G61+'Fórmula'!I61+'Fórmula'!K61))*(INDEX(properties!A$1:CB$87,'Fórmula'!F61,14))+(('Fórmula'!I61)/('Fórmula'!C61+'Fórmula'!E61+'Fórmula'!G61+'Fórmula'!I61+'Fórmula'!K61))*(INDEX(properties!A$1:CB$87,'Fórmula'!H61,14))+(('Fórmula'!K61)/('Fórmula'!C61+'Fórmula'!E61+'Fórmula'!G61+'Fórmula'!I61+'Fórmula'!K61))*(INDEX(properties!A$1:CB$87,'Fórmula'!J61,14))</f>
        <v>0</v>
      </c>
      <c r="BE61" s="110">
        <f t="array" ref="BE61">'Fórmula'!C61*(INDEX(properties!A$1:CB$87,'Fórmula'!B61,14))+'Fórmula'!E61*(INDEX(properties!A$1:CB$87,'Fórmula'!D61,14))+'Fórmula'!G61*(INDEX(properties!A$1:CB$87,'Fórmula'!F61,14))+'Fórmula'!I61*(INDEX(properties!A$1:CB$87,'Fórmula'!H61,14))+'Fórmula'!K61*(INDEX(properties!A$1:CB$87,'Fórmula'!J61,14))</f>
        <v>0</v>
      </c>
      <c r="BF61" s="110">
        <f t="array" ref="BF61">VARP(IF(INDEX(properties!A$1:CB$87,'Fórmula'!B61,14)&lt;&gt;"",INDEX(properties!A$1:CB$87,'Fórmula'!B61,14)),IF(INDEX(properties!A$1:CB$87,'Fórmula'!D61,14)&lt;&gt;"",INDEX(properties!A$1:CB$87,'Fórmula'!D61,14)),IF(INDEX(properties!A$1:CB$87,'Fórmula'!F61,14)&lt;&gt;"",INDEX(properties!A$1:CB$87,'Fórmula'!F61,14)),IF(INDEX(properties!A$1:CB$87,'Fórmula'!H61,14)&lt;&gt;"",INDEX(properties!A$1:CB$87,'Fórmula'!H61,14)),IF(INDEX(properties!A$1:CB$87,'Fórmula'!J61,14)&lt;&gt;"",INDEX(properties!A$1:CB$87,'Fórmula'!J61,14)))</f>
        <v>0</v>
      </c>
      <c r="BG61" s="110">
        <f t="array" ref="BG61">MAX(INDEX(properties!A$1:CB$87,'Fórmula'!B61,14),INDEX(properties!A$1:CB$87,'Fórmula'!D61,14),INDEX(properties!A$1:CB$87,'Fórmula'!F61,14),INDEX(properties!A$1:CB$87,'Fórmula'!H61,14),INDEX(properties!A$1:CB$87,'Fórmula'!J61,14))</f>
        <v>0</v>
      </c>
      <c r="BH61" s="110">
        <f t="array" ref="BH61">MIN(IF('Fórmula'!B61=87,10^6,INDEX(properties!A$1:CB$87,'Fórmula'!B61,14)),IF(('Fórmula'!D61)=87,10^6,INDEX(properties!A$1:CB$87,'Fórmula'!D61,14)),IF(('Fórmula'!F61)=87,10^6,INDEX(properties!A$1:CB$87,'Fórmula'!F61,14)),IF(('Fórmula'!H61)=87,10^6,INDEX(properties!A$1:CB$87,'Fórmula'!H61,14)),IF('Fórmula'!J61=87,10^6,INDEX(properties!A$1:CB$87,'Fórmula'!J61,14)))</f>
        <v>0</v>
      </c>
      <c r="BI61" s="110">
        <f t="shared" si="10"/>
        <v>0</v>
      </c>
      <c r="BJ61" s="111">
        <f t="array" ref="BJ61">(('Fórmula'!C61)/('Fórmula'!C61+'Fórmula'!E61+'Fórmula'!G61+'Fórmula'!I61+'Fórmula'!K61))*(INDEX(properties!A$1:CB$87,'Fórmula'!B61,19))+(('Fórmula'!E61)/('Fórmula'!C61+'Fórmula'!E61+'Fórmula'!G61+'Fórmula'!I61+'Fórmula'!K61))*(INDEX(properties!A$1:CB$87,'Fórmula'!D61,19))+(('Fórmula'!G61)/('Fórmula'!C61+'Fórmula'!E61+'Fórmula'!G61+'Fórmula'!I61+'Fórmula'!K61))*(INDEX(properties!A$1:CB$87,'Fórmula'!F61,19))+(('Fórmula'!I61)/('Fórmula'!C61+'Fórmula'!E61+'Fórmula'!G61+'Fórmula'!I61+'Fórmula'!K61))*(INDEX(properties!A$1:CB$87,'Fórmula'!H61,19))+(('Fórmula'!K61)/('Fórmula'!C61+'Fórmula'!E61+'Fórmula'!G61+'Fórmula'!I61+'Fórmula'!K61))*(INDEX(properties!A$1:CB$87,'Fórmula'!J61,19))</f>
        <v>5.294117647</v>
      </c>
      <c r="BK61" s="111">
        <f t="array" ref="BK61">'Fórmula'!C61*(INDEX(properties!A$1:CB$87,'Fórmula'!B61,19))+'Fórmula'!E61*(INDEX(properties!A$1:CB$87,'Fórmula'!D61,19))+'Fórmula'!G61*(INDEX(properties!A$1:CB$87,'Fórmula'!F61,19))+'Fórmula'!I61*(INDEX(properties!A$1:CB$87,'Fórmula'!H61,19))+'Fórmula'!K61*(INDEX(properties!A$1:CB$87,'Fórmula'!J61,19))</f>
        <v>90</v>
      </c>
      <c r="BL61" s="111">
        <f t="array" ref="BL61">VARP(IF(INDEX(properties!A$1:CB$87,'Fórmula'!B61,19)&lt;&gt;"",INDEX(properties!A$1:CB$87,'Fórmula'!B61,19)),IF(INDEX(properties!A$1:CB$87,'Fórmula'!D61,19)&lt;&gt;"",INDEX(properties!A$1:CB$87,'Fórmula'!D61,19)),IF(INDEX(properties!A$1:CB$87,'Fórmula'!F61,19)&lt;&gt;"",INDEX(properties!A$1:CB$87,'Fórmula'!F61,19)),IF(INDEX(properties!A$1:CB$87,'Fórmula'!H61,19)&lt;&gt;"",INDEX(properties!A$1:CB$87,'Fórmula'!H61,19)),IF(INDEX(properties!A$1:CB$87,'Fórmula'!J61,19)&lt;&gt;"",INDEX(properties!A$1:CB$87,'Fórmula'!J61,19)))</f>
        <v>16.56</v>
      </c>
      <c r="BM61" s="111">
        <f t="array" ref="BM61">MAX(INDEX(properties!A$1:CB$87,'Fórmula'!B61,19),INDEX(properties!A$1:CB$87,'Fórmula'!D61,19),INDEX(properties!A$1:CB$87,'Fórmula'!F61,19),INDEX(properties!A$1:CB$87,'Fórmula'!H61,19),INDEX(properties!A$1:CB$87,'Fórmula'!J61,19))</f>
        <v>12</v>
      </c>
      <c r="BN61" s="111">
        <f t="array" ref="BN61">MIN(IF(INDEX(properties!A$1:CB$87,'Fórmula'!B61,19)=0,10^6,INDEX(properties!A$1:CB$87,'Fórmula'!B61,19)),IF(INDEX(properties!A$1:CB$87,'Fórmula'!D61,19)=0,10^6,INDEX(properties!A$1:CB$87,'Fórmula'!D61,19)),IF(INDEX(properties!A$1:CB$87,'Fórmula'!F61,19)=0,10^6,INDEX(properties!A$1:CB$87,'Fórmula'!F61,19)),IF(INDEX(properties!A$1:CB$87,'Fórmula'!H61,19)=0,10^6,INDEX(properties!A$1:CB$87,'Fórmula'!H61,19)),IF(INDEX(properties!A$1:CB$87,'Fórmula'!J61,19)=0,10^6,INDEX(properties!A$1:CB$87,'Fórmula'!J61,19)))</f>
        <v>3</v>
      </c>
      <c r="BO61" s="111">
        <f t="shared" si="11"/>
        <v>9</v>
      </c>
      <c r="BP61" s="112">
        <f t="array" ref="BP61">(('Fórmula'!C61)/('Fórmula'!C61+'Fórmula'!E61+'Fórmula'!G61+'Fórmula'!I61+'Fórmula'!K61))*(INDEX(properties!A$1:CB$87,'Fórmula'!B61,20))+(('Fórmula'!E61)/('Fórmula'!C61+'Fórmula'!E61+'Fórmula'!G61+'Fórmula'!I61+'Fórmula'!K61))*(INDEX(properties!A$1:CB$87,'Fórmula'!D61,20))+(('Fórmula'!G61)/('Fórmula'!C61+'Fórmula'!E61+'Fórmula'!G61+'Fórmula'!I61+'Fórmula'!K61))*(INDEX(properties!A$1:CB$87,'Fórmula'!F61,20))+(('Fórmula'!I61)/('Fórmula'!C61+'Fórmula'!E61+'Fórmula'!G61+'Fórmula'!I61+'Fórmula'!K61))*(INDEX(properties!A$1:CB$87,'Fórmula'!H61,20))+(('Fórmula'!K61)/('Fórmula'!C61+'Fórmula'!E61+'Fórmula'!G61+'Fórmula'!I61+'Fórmula'!K61))*(INDEX(properties!A$1:CB$87,'Fórmula'!J61,20))</f>
        <v>4.647058824</v>
      </c>
      <c r="BQ61" s="112">
        <f t="array" ref="BQ61">'Fórmula'!C61*(INDEX(properties!A$1:CB$87,'Fórmula'!B61,20))+'Fórmula'!E61*(INDEX(properties!A$1:CB$87,'Fórmula'!D61,20))+'Fórmula'!G61*(INDEX(properties!A$1:CB$87,'Fórmula'!F61,20))+'Fórmula'!I61*(INDEX(properties!A$1:CB$87,'Fórmula'!H61,20))+'Fórmula'!K61*(INDEX(properties!A$1:CB$87,'Fórmula'!J61,20))</f>
        <v>79</v>
      </c>
      <c r="BR61" s="112">
        <f t="array" ref="BR61">VARP(IF(INDEX(properties!A$1:CB$87,'Fórmula'!B61,20)&lt;&gt;"",INDEX(properties!A$1:CB$87,'Fórmula'!B61,20)),IF(INDEX(properties!A$1:CB$87,'Fórmula'!D61,20)&lt;&gt;"",INDEX(properties!A$1:CB$87,'Fórmula'!D61,20)),IF(INDEX(properties!A$1:CB$87,'Fórmula'!F61,20)&lt;&gt;"",INDEX(properties!A$1:CB$87,'Fórmula'!F61,20)),IF(INDEX(properties!A$1:CB$87,'Fórmula'!H61,20)&lt;&gt;"",INDEX(properties!A$1:CB$87,'Fórmula'!H61,20)),IF(INDEX(properties!A$1:CB$87,'Fórmula'!J61,20)&lt;&gt;"",INDEX(properties!A$1:CB$87,'Fórmula'!J61,20)))</f>
        <v>3.84</v>
      </c>
      <c r="BS61" s="112">
        <f t="array" ref="BS61">MAX(INDEX(properties!A$1:CB$87,'Fórmula'!B61,20),INDEX(properties!A$1:CB$87,'Fórmula'!D61,20),INDEX(properties!A$1:CB$87,'Fórmula'!F61,20),INDEX(properties!A$1:CB$87,'Fórmula'!H61,20),INDEX(properties!A$1:CB$87,'Fórmula'!J61,20))</f>
        <v>6</v>
      </c>
      <c r="BT61" s="112">
        <f t="array" ref="BT61">MIN(IF(INDEX(properties!A$1:CB$87,'Fórmula'!B61,20)=0,10^6,INDEX(properties!A$1:CB$87,'Fórmula'!B61,20)),IF(INDEX(properties!A$1:CB$87,'Fórmula'!D61,20)=0,10^6,INDEX(properties!A$1:CB$87,'Fórmula'!D61,20)),IF(INDEX(properties!A$1:CB$87,'Fórmula'!F61,20)=0,10^6,INDEX(properties!A$1:CB$87,'Fórmula'!F61,20)),IF(INDEX(properties!A$1:CB$87,'Fórmula'!H61,20)=0,10^6,INDEX(properties!A$1:CB$87,'Fórmula'!H61,20)),IF(INDEX(properties!A$1:CB$87,'Fórmula'!J61,20)=0,10^6,INDEX(properties!A$1:CB$87,'Fórmula'!J61,20)))</f>
        <v>2</v>
      </c>
      <c r="BU61" s="112">
        <f t="shared" si="12"/>
        <v>4</v>
      </c>
      <c r="BV61" s="113">
        <f t="array" ref="BV61">(('Fórmula'!C61)/('Fórmula'!C61+'Fórmula'!E61+'Fórmula'!G61+'Fórmula'!I61+'Fórmula'!K61))*(INDEX(properties!A$1:CB$87,'Fórmula'!B61,21))+(('Fórmula'!E61)/('Fórmula'!C61+'Fórmula'!E61+'Fórmula'!G61+'Fórmula'!I61+'Fórmula'!K61))*(INDEX(properties!A$1:CB$87,'Fórmula'!D61,21))+(('Fórmula'!G61)/('Fórmula'!C61+'Fórmula'!E61+'Fórmula'!G61+'Fórmula'!I61+'Fórmula'!K61))*(INDEX(properties!A$1:CB$87,'Fórmula'!F61,21))+(('Fórmula'!I61)/('Fórmula'!C61+'Fórmula'!E61+'Fórmula'!G61+'Fórmula'!I61+'Fórmula'!K61))*(INDEX(properties!A$1:CB$87,'Fórmula'!H61,21))+(('Fórmula'!K61)/('Fórmula'!C61+'Fórmula'!E61+'Fórmula'!G61+'Fórmula'!I61+'Fórmula'!K61))*(INDEX(properties!A$1:CB$87,'Fórmula'!J61,21))</f>
        <v>4.529411765</v>
      </c>
      <c r="BW61" s="113">
        <f t="array" ref="BW61">'Fórmula'!C61*(INDEX(properties!A$1:CB$87,'Fórmula'!B61,21))+'Fórmula'!E61*(INDEX(properties!A$1:CB$87,'Fórmula'!D61,21))+'Fórmula'!G61*(INDEX(properties!A$1:CB$87,'Fórmula'!F61,21))+'Fórmula'!I61*(INDEX(properties!A$1:CB$87,'Fórmula'!H61,21))+'Fórmula'!K61*(INDEX(properties!A$1:CB$87,'Fórmula'!J61,21))</f>
        <v>77</v>
      </c>
      <c r="BX61" s="113">
        <f t="array" ref="BX61">VARP(IF(INDEX(properties!A$1:CB$87,'Fórmula'!B61,21)&lt;&gt;"",INDEX(properties!A$1:CB$87,'Fórmula'!B61,21)),IF(INDEX(properties!A$1:CB$87,'Fórmula'!D61,21)&lt;&gt;"",INDEX(properties!A$1:CB$87,'Fórmula'!D61,21)),IF(INDEX(properties!A$1:CB$87,'Fórmula'!F61,21)&lt;&gt;"",INDEX(properties!A$1:CB$87,'Fórmula'!F61,21)),IF(INDEX(properties!A$1:CB$87,'Fórmula'!H61,21)&lt;&gt;"",INDEX(properties!A$1:CB$87,'Fórmula'!H61,21)),IF(INDEX(properties!A$1:CB$87,'Fórmula'!J61,21)&lt;&gt;"",INDEX(properties!A$1:CB$87,'Fórmula'!J61,21)))</f>
        <v>4.56</v>
      </c>
      <c r="BY61" s="113">
        <f t="array" ref="BY61">MAX(INDEX(properties!A$1:CB$87,'Fórmula'!B61,21),INDEX(properties!A$1:CB$87,'Fórmula'!D61,21),INDEX(properties!A$1:CB$87,'Fórmula'!F61,21),INDEX(properties!A$1:CB$87,'Fórmula'!H61,21),INDEX(properties!A$1:CB$87,'Fórmula'!J61,21))</f>
        <v>6</v>
      </c>
      <c r="BZ61" s="113">
        <f t="array" ref="BZ61">MIN(IF(INDEX(properties!A$1:CB$87,'Fórmula'!B61,21)=0,10^6,INDEX(properties!A$1:CB$87,'Fórmula'!B61,21)),IF(INDEX(properties!A$1:CB$87,'Fórmula'!D61,21)=0,10^6,INDEX(properties!A$1:CB$87,'Fórmula'!D61,21)),IF(INDEX(properties!A$1:CB$87,'Fórmula'!F61,21)=0,10^6,INDEX(properties!A$1:CB$87,'Fórmula'!F61,21)),IF(INDEX(properties!A$1:CB$87,'Fórmula'!H61,21)=0,10^6,INDEX(properties!A$1:CB$87,'Fórmula'!H61,21)),IF(INDEX(properties!A$1:CB$87,'Fórmula'!J61,21)=0,10^6,INDEX(properties!A$1:CB$87,'Fórmula'!J61,21)))</f>
        <v>1</v>
      </c>
      <c r="CA61" s="113">
        <f t="shared" si="13"/>
        <v>5</v>
      </c>
      <c r="CB61" s="114">
        <f t="array" ref="CB61">(('Fórmula'!C61)/('Fórmula'!C61+'Fórmula'!E61+'Fórmula'!G61+'Fórmula'!I61+'Fórmula'!K61))*(INDEX(properties!A$1:CB$87,'Fórmula'!B61,23))+(('Fórmula'!E61)/('Fórmula'!C61+'Fórmula'!E61+'Fórmula'!G61+'Fórmula'!I61+'Fórmula'!K61))*(INDEX(properties!A$1:CB$87,'Fórmula'!D61,23))+(('Fórmula'!G61)/('Fórmula'!C61+'Fórmula'!E61+'Fórmula'!G61+'Fórmula'!I61+'Fórmula'!K61))*(INDEX(properties!A$1:CB$87,'Fórmula'!F61,23))+(('Fórmula'!I61)/('Fórmula'!C61+'Fórmula'!E61+'Fórmula'!G61+'Fórmula'!I61+'Fórmula'!K61))*(INDEX(properties!A$1:CB$87,'Fórmula'!H61,23))+(('Fórmula'!K61)/('Fórmula'!C61+'Fórmula'!E61+'Fórmula'!G61+'Fórmula'!I61+'Fórmula'!K61))*(INDEX(properties!A$1:CB$87,'Fórmula'!J61,23))</f>
        <v>1.32</v>
      </c>
      <c r="CC61" s="114">
        <f t="array" ref="CC61">'Fórmula'!C61*(INDEX(properties!A$1:CB$87,'Fórmula'!B61,23))+'Fórmula'!E61*(INDEX(properties!A$1:CB$87,'Fórmula'!D61,23))+'Fórmula'!G61*(INDEX(properties!A$1:CB$87,'Fórmula'!F61,23))+'Fórmula'!I61*(INDEX(properties!A$1:CB$87,'Fórmula'!H61,23))+'Fórmula'!K61*(INDEX(properties!A$1:CB$87,'Fórmula'!J61,23))</f>
        <v>22.44</v>
      </c>
      <c r="CD61" s="114">
        <f t="array" ref="CD61">VARP(IF(INDEX(properties!A$1:CB$87,'Fórmula'!B61,23)&lt;&gt;"",INDEX(properties!A$1:CB$87,'Fórmula'!B61,23)),IF(INDEX(properties!A$1:CB$87,'Fórmula'!D61,23)&lt;&gt;"",INDEX(properties!A$1:CB$87,'Fórmula'!D61,23)),IF(INDEX(properties!A$1:CB$87,'Fórmula'!F61,23)&lt;&gt;"",INDEX(properties!A$1:CB$87,'Fórmula'!F61,23)),IF(INDEX(properties!A$1:CB$87,'Fórmula'!H61,23)&lt;&gt;"",INDEX(properties!A$1:CB$87,'Fórmula'!H61,23)),IF(INDEX(properties!A$1:CB$87,'Fórmula'!J61,23)&lt;&gt;"",INDEX(properties!A$1:CB$87,'Fórmula'!J61,23)))</f>
        <v>3.182976</v>
      </c>
      <c r="CE61" s="114">
        <f t="array" ref="CE61">MAX(INDEX(properties!A$1:CB$87,'Fórmula'!B61,23),INDEX(properties!A$1:CB$87,'Fórmula'!D61,23),INDEX(properties!A$1:CB$87,'Fórmula'!F61,23),INDEX(properties!A$1:CB$87,'Fórmula'!H61,23),INDEX(properties!A$1:CB$87,'Fórmula'!J61,23))</f>
        <v>4.44</v>
      </c>
      <c r="CF61" s="114">
        <f t="array" ref="CF61">MIN(IF('Fórmula'!B61=87,10^6,INDEX(properties!A$1:CB$87,'Fórmula'!B61,23)),IF(('Fórmula'!D61)=87,10^6,INDEX(properties!A$1:CB$87,'Fórmula'!D61,23)),IF(('Fórmula'!F61)=87,10^6,INDEX(properties!A$1:CB$87,'Fórmula'!F61,23)),IF(('Fórmula'!H61)=87,10^6,INDEX(properties!A$1:CB$87,'Fórmula'!H61,23)),IF('Fórmula'!J61=87,10^6,INDEX(properties!A$1:CB$87,'Fórmula'!J61,23)))</f>
        <v>0</v>
      </c>
      <c r="CG61" s="114">
        <f t="shared" si="14"/>
        <v>4.44</v>
      </c>
      <c r="CH61" s="115">
        <f t="array" ref="CH61">(('Fórmula'!C61)/('Fórmula'!C61+'Fórmula'!E61+'Fórmula'!G61+'Fórmula'!I61+'Fórmula'!K61))*(INDEX(properties!A$1:CB$87,'Fórmula'!B61,26))+(('Fórmula'!E61)/('Fórmula'!C61+'Fórmula'!E61+'Fórmula'!G61+'Fórmula'!I61+'Fórmula'!K61))*(INDEX(properties!A$1:CB$87,'Fórmula'!D61,26))+(('Fórmula'!G61)/('Fórmula'!C61+'Fórmula'!E61+'Fórmula'!G61+'Fórmula'!I61+'Fórmula'!K61))*(INDEX(properties!A$1:CB$87,'Fórmula'!F61,26))+(('Fórmula'!I61)/('Fórmula'!C61+'Fórmula'!E61+'Fórmula'!G61+'Fórmula'!I61+'Fórmula'!K61))*(INDEX(properties!A$1:CB$87,'Fórmula'!H61,26))+(('Fórmula'!K61)/('Fórmula'!C61+'Fórmula'!E61+'Fórmula'!G61+'Fórmula'!I61+'Fórmula'!K61))*(INDEX(properties!A$1:CB$87,'Fórmula'!J61,26))</f>
        <v>11.33188824</v>
      </c>
      <c r="CI61" s="115">
        <f t="array" ref="CI61">'Fórmula'!C61*(INDEX(properties!A$1:CB$87,'Fórmula'!B61,26))+'Fórmula'!E61*(INDEX(properties!A$1:CB$87,'Fórmula'!D61,26))+'Fórmula'!G61*(INDEX(properties!A$1:CB$87,'Fórmula'!F61,26))+'Fórmula'!I61*(INDEX(properties!A$1:CB$87,'Fórmula'!H61,26))+'Fórmula'!K61*(INDEX(properties!A$1:CB$87,'Fórmula'!J61,26))</f>
        <v>192.6421</v>
      </c>
      <c r="CJ61" s="115">
        <f t="array" ref="CJ61">VARP(IF(INDEX(properties!A$1:CB$87,'Fórmula'!B61,26)&lt;&gt;"",INDEX(properties!A$1:CB$87,'Fórmula'!B61,26)),IF(INDEX(properties!A$1:CB$87,'Fórmula'!D61,26)&lt;&gt;"",INDEX(properties!A$1:CB$87,'Fórmula'!D61,26)),IF(INDEX(properties!A$1:CB$87,'Fórmula'!F61,26)&lt;&gt;"",INDEX(properties!A$1:CB$87,'Fórmula'!F61,26)),IF(INDEX(properties!A$1:CB$87,'Fórmula'!H61,26)&lt;&gt;"",INDEX(properties!A$1:CB$87,'Fórmula'!H61,26)),IF(INDEX(properties!A$1:CB$87,'Fórmula'!J61,26)&lt;&gt;"",INDEX(properties!A$1:CB$87,'Fórmula'!J61,26)))</f>
        <v>20.30583082</v>
      </c>
      <c r="CK61" s="116">
        <f t="array" ref="CK61">MAX(INDEX(properties!A$1:CB$87,'Fórmula'!B61,26),INDEX(properties!A$1:CB$87,'Fórmula'!D61,26),INDEX(properties!A$1:CB$87,'Fórmula'!F61,26),INDEX(properties!A$1:CB$87,'Fórmula'!H61,26),INDEX(properties!A$1:CB$87,'Fórmula'!J61,26))</f>
        <v>13.6181</v>
      </c>
      <c r="CL61" s="116">
        <f t="array" ref="CL61">MIN(IF(INDEX(properties!A$1:CB$87,'Fórmula'!B61,26)=0,10^6,INDEX(properties!A$1:CB$87,'Fórmula'!B61,26)),IF(INDEX(properties!A$1:CB$87,'Fórmula'!D61,26)=0,10^6,INDEX(properties!A$1:CB$87,'Fórmula'!D61,26)),IF(INDEX(properties!A$1:CB$87,'Fórmula'!F61,26)=0,10^6,INDEX(properties!A$1:CB$87,'Fórmula'!F61,26)),IF(INDEX(properties!A$1:CB$87,'Fórmula'!H61,26)=0,10^6,INDEX(properties!A$1:CB$87,'Fórmula'!H61,26)),IF(INDEX(properties!A$1:CB$87,'Fórmula'!J61,26)=0,10^6,INDEX(properties!A$1:CB$87,'Fórmula'!J61,26)))</f>
        <v>5.5769</v>
      </c>
      <c r="CM61" s="115">
        <f t="shared" si="15"/>
        <v>8.0412</v>
      </c>
      <c r="CN61" s="117">
        <f t="array" ref="CN61">(('Fórmula'!C61)/('Fórmula'!C61+'Fórmula'!E61+'Fórmula'!G61+'Fórmula'!I61+'Fórmula'!K61))*(INDEX(properties!A$1:CB$87,'Fórmula'!B61,30))+(('Fórmula'!E61)/('Fórmula'!C61+'Fórmula'!E61+'Fórmula'!G61+'Fórmula'!I61+'Fórmula'!K61))*(INDEX(properties!A$1:CB$87,'Fórmula'!D61,30))+(('Fórmula'!G61)/('Fórmula'!C61+'Fórmula'!E61+'Fórmula'!G61+'Fórmula'!I61+'Fórmula'!K61))*(INDEX(properties!A$1:CB$87,'Fórmula'!F61,30))+(('Fórmula'!I61)/('Fórmula'!C61+'Fórmula'!E61+'Fórmula'!G61+'Fórmula'!I61+'Fórmula'!K61))*(INDEX(properties!A$1:CB$87,'Fórmula'!H61,30))+(('Fórmula'!K61)/('Fórmula'!C61+'Fórmula'!E61+'Fórmula'!G61+'Fórmula'!I61+'Fórmula'!K61))*(INDEX(properties!A$1:CB$87,'Fórmula'!J61,30))</f>
        <v>2.785294118</v>
      </c>
      <c r="CO61" s="117">
        <f t="array" ref="CO61">'Fórmula'!C61*(INDEX(properties!A$1:CB$87,'Fórmula'!B61,30))+'Fórmula'!E61*(INDEX(properties!A$1:CB$87,'Fórmula'!D61,30))+'Fórmula'!G61*(INDEX(properties!A$1:CB$87,'Fórmula'!F61,30))+'Fórmula'!I61*(INDEX(properties!A$1:CB$87,'Fórmula'!H61,30))+'Fórmula'!K61*(INDEX(properties!A$1:CB$87,'Fórmula'!J61,30))</f>
        <v>47.35</v>
      </c>
      <c r="CP61" s="117">
        <f t="array" ref="CP61">VARP(IF(INDEX(properties!A$1:CB$87,'Fórmula'!B61,30)&lt;&gt;"",INDEX(properties!A$1:CB$87,'Fórmula'!B61,30)),IF(INDEX(properties!A$1:CB$87,'Fórmula'!D61,30)&lt;&gt;"",INDEX(properties!A$1:CB$87,'Fórmula'!D61,30)),IF(INDEX(properties!A$1:CB$87,'Fórmula'!F61,30)&lt;&gt;"",INDEX(properties!A$1:CB$87,'Fórmula'!F61,30)),IF(INDEX(properties!A$1:CB$87,'Fórmula'!H61,30)&lt;&gt;"",INDEX(properties!A$1:CB$87,'Fórmula'!H61,30)),IF(INDEX(properties!A$1:CB$87,'Fórmula'!J61,30)&lt;&gt;"",INDEX(properties!A$1:CB$87,'Fórmula'!J61,30)))</f>
        <v>1.276224</v>
      </c>
      <c r="CQ61" s="117">
        <f t="array" ref="CQ61">MAX(INDEX(properties!A$1:CB$87,'Fórmula'!B61,30),INDEX(properties!A$1:CB$87,'Fórmula'!D61,30),INDEX(properties!A$1:CB$87,'Fórmula'!F61,30),INDEX(properties!A$1:CB$87,'Fórmula'!H61,30),INDEX(properties!A$1:CB$87,'Fórmula'!J61,30))</f>
        <v>3.44</v>
      </c>
      <c r="CR61" s="117">
        <f t="array" ref="CR61">MIN(IF(INDEX(properties!A$1:CB$87,'Fórmula'!B61,30)=0,10^6,INDEX(properties!A$1:CB$87,'Fórmula'!B61,30)),IF(INDEX(properties!A$1:CB$87,'Fórmula'!D61,30)=0,10^6,INDEX(properties!A$1:CB$87,'Fórmula'!D61,30)),IF(INDEX(properties!A$1:CB$87,'Fórmula'!F61,30)=0,10^6,INDEX(properties!A$1:CB$87,'Fórmula'!F61,30)),IF(INDEX(properties!A$1:CB$87,'Fórmula'!H61,30)=0,10^6,INDEX(properties!A$1:CB$87,'Fórmula'!H61,30)),IF(INDEX(properties!A$1:CB$87,'Fórmula'!J61,30)=0,10^6,INDEX(properties!A$1:CB$87,'Fórmula'!J61,30)))</f>
        <v>1.1</v>
      </c>
      <c r="CS61" s="117">
        <f t="shared" si="16"/>
        <v>2.34</v>
      </c>
      <c r="CT61" s="118">
        <f t="array" ref="CT61">(('Fórmula'!C61)/('Fórmula'!C61+'Fórmula'!E61+'Fórmula'!G61+'Fórmula'!I61+'Fórmula'!K61))*(INDEX(properties!A$1:CB$87,'Fórmula'!B61,31))+(('Fórmula'!E61)/('Fórmula'!C61+'Fórmula'!E61+'Fórmula'!G61+'Fórmula'!I61+'Fórmula'!K61))*(INDEX(properties!A$1:CB$87,'Fórmula'!D61,31))+(('Fórmula'!G61)/('Fórmula'!C61+'Fórmula'!E61+'Fórmula'!G61+'Fórmula'!I61+'Fórmula'!K61))*(INDEX(properties!A$1:CB$87,'Fórmula'!F61,31))+(('Fórmula'!I61)/('Fórmula'!C61+'Fórmula'!E61+'Fórmula'!G61+'Fórmula'!I61+'Fórmula'!K61))*(INDEX(properties!A$1:CB$87,'Fórmula'!H61,31))+(('Fórmula'!K61)/('Fórmula'!C61+'Fórmula'!E61+'Fórmula'!G61+'Fórmula'!I61+'Fórmula'!K61))*(INDEX(properties!A$1:CB$87,'Fórmula'!J61,31))</f>
        <v>2.675882353</v>
      </c>
      <c r="CU61" s="118">
        <f t="array" ref="CU61">'Fórmula'!C61*(INDEX(properties!A$1:CB$87,'Fórmula'!B61,31))+'Fórmula'!E61*(INDEX(properties!A$1:CB$87,'Fórmula'!D61,31))+'Fórmula'!G61*(INDEX(properties!A$1:CB$87,'Fórmula'!F61,31))+'Fórmula'!I61*(INDEX(properties!A$1:CB$87,'Fórmula'!H61,31))+'Fórmula'!K61*(INDEX(properties!A$1:CB$87,'Fórmula'!J61,31))</f>
        <v>45.49</v>
      </c>
      <c r="CV61" s="118">
        <f t="array" ref="CV61">VARP(IF(INDEX(properties!A$1:CB$87,'Fórmula'!B61,31)&lt;&gt;"",INDEX(properties!A$1:CB$87,'Fórmula'!B61,31)),IF(INDEX(properties!A$1:CB$87,'Fórmula'!D61,31)&lt;&gt;"",INDEX(properties!A$1:CB$87,'Fórmula'!D61,31)),IF(INDEX(properties!A$1:CB$87,'Fórmula'!F61,31)&lt;&gt;"",INDEX(properties!A$1:CB$87,'Fórmula'!F61,31)),IF(INDEX(properties!A$1:CB$87,'Fórmula'!H61,31)&lt;&gt;"",INDEX(properties!A$1:CB$87,'Fórmula'!H61,31)),IF(INDEX(properties!A$1:CB$87,'Fórmula'!J61,31)&lt;&gt;"",INDEX(properties!A$1:CB$87,'Fórmula'!J61,31)))</f>
        <v>1.139296</v>
      </c>
      <c r="CW61" s="118">
        <f t="array" ref="CW61">MAX(INDEX(properties!A$1:CB$87,'Fórmula'!B61,31),INDEX(properties!A$1:CB$87,'Fórmula'!D61,31),INDEX(properties!A$1:CB$87,'Fórmula'!F61,31),INDEX(properties!A$1:CB$87,'Fórmula'!H61,31),INDEX(properties!A$1:CB$87,'Fórmula'!J61,31))</f>
        <v>3.32</v>
      </c>
      <c r="CX61" s="118">
        <f t="array" ref="CX61">MIN(IF(INDEX(properties!A$1:CB$87,'Fórmula'!B61,31)=0,10^6,INDEX(properties!A$1:CB$87,'Fórmula'!B61,31)),IF(INDEX(properties!A$1:CB$87,'Fórmula'!D61,31)=0,10^6,INDEX(properties!A$1:CB$87,'Fórmula'!D61,31)),IF(INDEX(properties!A$1:CB$87,'Fórmula'!F61,31)=0,10^6,INDEX(properties!A$1:CB$87,'Fórmula'!F61,31)),IF(INDEX(properties!A$1:CB$87,'Fórmula'!H61,31)=0,10^6,INDEX(properties!A$1:CB$87,'Fórmula'!H61,31)),IF(INDEX(properties!A$1:CB$87,'Fórmula'!J61,31)=0,10^6,INDEX(properties!A$1:CB$87,'Fórmula'!J61,31)))</f>
        <v>1.35</v>
      </c>
      <c r="CY61" s="118">
        <f t="shared" si="17"/>
        <v>1.97</v>
      </c>
      <c r="CZ61" s="119">
        <f t="array" ref="CZ61">(('Fórmula'!C61)/('Fórmula'!C61+'Fórmula'!E61+'Fórmula'!G61+'Fórmula'!I61+'Fórmula'!K61))*(INDEX(properties!A$1:CB$87,'Fórmula'!B61,32))+(('Fórmula'!E61)/('Fórmula'!C61+'Fórmula'!E61+'Fórmula'!G61+'Fórmula'!I61+'Fórmula'!K61))*(INDEX(properties!A$1:CB$87,'Fórmula'!D61,32))+(('Fórmula'!G61)/('Fórmula'!C61+'Fórmula'!E61+'Fórmula'!G61+'Fórmula'!I61+'Fórmula'!K61))*(INDEX(properties!A$1:CB$87,'Fórmula'!F61,32))+(('Fórmula'!I61)/('Fórmula'!C61+'Fórmula'!E61+'Fórmula'!G61+'Fórmula'!I61+'Fórmula'!K61))*(INDEX(properties!A$1:CB$87,'Fórmula'!H61,32))+(('Fórmula'!K61)/('Fórmula'!C61+'Fórmula'!E61+'Fórmula'!G61+'Fórmula'!I61+'Fórmula'!K61))*(INDEX(properties!A$1:CB$87,'Fórmula'!J61,32))</f>
        <v>6.141176471</v>
      </c>
      <c r="DA61" s="119">
        <f t="array" ref="DA61">'Fórmula'!C61*(INDEX(properties!A$1:CB$87,'Fórmula'!B61,32))+'Fórmula'!E61*(INDEX(properties!A$1:CB$87,'Fórmula'!D61,32))+'Fórmula'!G61*(INDEX(properties!A$1:CB$87,'Fórmula'!F61,32))+'Fórmula'!I61*(INDEX(properties!A$1:CB$87,'Fórmula'!H61,32))+'Fórmula'!K61*(INDEX(properties!A$1:CB$87,'Fórmula'!J61,32))</f>
        <v>104.4</v>
      </c>
      <c r="DB61" s="119">
        <f t="array" ref="DB61">VARP(IF(INDEX(properties!A$1:CB$87,'Fórmula'!B61,32)&lt;&gt;"",INDEX(properties!A$1:CB$87,'Fórmula'!B61,32)),IF(INDEX(properties!A$1:CB$87,'Fórmula'!D61,32)&lt;&gt;"",INDEX(properties!A$1:CB$87,'Fórmula'!D61,32)),IF(INDEX(properties!A$1:CB$87,'Fórmula'!F61,32)&lt;&gt;"",INDEX(properties!A$1:CB$87,'Fórmula'!F61,32)),IF(INDEX(properties!A$1:CB$87,'Fórmula'!H61,32)&lt;&gt;"",INDEX(properties!A$1:CB$87,'Fórmula'!H61,32)),IF(INDEX(properties!A$1:CB$87,'Fórmula'!J61,32)&lt;&gt;"",INDEX(properties!A$1:CB$87,'Fórmula'!J61,32)))</f>
        <v>5.910264</v>
      </c>
      <c r="DC61" s="119">
        <f t="array" ref="DC61">MAX(INDEX(properties!A$1:CB$87,'Fórmula'!B61,32),INDEX(properties!A$1:CB$87,'Fórmula'!D61,32),INDEX(properties!A$1:CB$87,'Fórmula'!F61,32),INDEX(properties!A$1:CB$87,'Fórmula'!H61,32),INDEX(properties!A$1:CB$87,'Fórmula'!J61,32))</f>
        <v>7.54</v>
      </c>
      <c r="DD61" s="119">
        <f t="array" ref="DD61">MIN(IF(INDEX(properties!A$1:CB$87,'Fórmula'!B61,32)=0,10^6,INDEX(properties!A$1:CB$87,'Fórmula'!B61,32)),IF(INDEX(properties!A$1:CB$87,'Fórmula'!D61,32)=0,10^6,INDEX(properties!A$1:CB$87,'Fórmula'!D61,32)),IF(INDEX(properties!A$1:CB$87,'Fórmula'!F61,32)=0,10^6,INDEX(properties!A$1:CB$87,'Fórmula'!F61,32)),IF(INDEX(properties!A$1:CB$87,'Fórmula'!H61,32)=0,10^6,INDEX(properties!A$1:CB$87,'Fórmula'!H61,32)),IF(INDEX(properties!A$1:CB$87,'Fórmula'!J61,32)=0,10^6,INDEX(properties!A$1:CB$87,'Fórmula'!J61,32)))</f>
        <v>3.1</v>
      </c>
      <c r="DE61" s="119">
        <f t="shared" si="18"/>
        <v>4.44</v>
      </c>
      <c r="DF61" s="104">
        <f t="array" ref="DF61">(('Fórmula'!C61)/('Fórmula'!C61+'Fórmula'!E61+'Fórmula'!G61+'Fórmula'!I61+'Fórmula'!K61))*(INDEX(properties!A$1:CB$87,'Fórmula'!B61,34))+(('Fórmula'!E61)/('Fórmula'!C61+'Fórmula'!E61+'Fórmula'!G61+'Fórmula'!I61+'Fórmula'!K61))*(INDEX(properties!A$1:CB$87,'Fórmula'!D61,34))+(('Fórmula'!G61)/('Fórmula'!C61+'Fórmula'!E61+'Fórmula'!G61+'Fórmula'!I61+'Fórmula'!K61))*(INDEX(properties!A$1:CB$87,'Fórmula'!F61,34))+(('Fórmula'!I61)/('Fórmula'!C61+'Fórmula'!E61+'Fórmula'!G61+'Fórmula'!I61+'Fórmula'!K61))*(INDEX(properties!A$1:CB$87,'Fórmula'!H61,34))+(('Fórmula'!K61)/('Fórmula'!C61+'Fórmula'!E61+'Fórmula'!G61+'Fórmula'!I61+'Fórmula'!K61))*(INDEX(properties!A$1:CB$87,'Fórmula'!J61,34))</f>
        <v>2.884411765</v>
      </c>
      <c r="DG61" s="104">
        <f t="array" ref="DG61">'Fórmula'!C61*(INDEX(properties!A$1:CB$87,'Fórmula'!B61,34))+'Fórmula'!E61*(INDEX(properties!A$1:CB$87,'Fórmula'!D61,34))+'Fórmula'!G61*(INDEX(properties!A$1:CB$87,'Fórmula'!F61,34))+'Fórmula'!I61*(INDEX(properties!A$1:CB$87,'Fórmula'!H61,34))+'Fórmula'!K61*(INDEX(properties!A$1:CB$87,'Fórmula'!J61,34))</f>
        <v>49.035</v>
      </c>
      <c r="DH61" s="104">
        <f t="array" ref="DH61">VARP(IF(INDEX(properties!A$1:CB$87,'Fórmula'!B61,34)&lt;&gt;"",INDEX(properties!A$1:CB$87,'Fórmula'!B61,34)),IF(INDEX(properties!A$1:CB$87,'Fórmula'!D61,34)&lt;&gt;"",INDEX(properties!A$1:CB$87,'Fórmula'!D61,34)),IF(INDEX(properties!A$1:CB$87,'Fórmula'!F61,34)&lt;&gt;"",INDEX(properties!A$1:CB$87,'Fórmula'!F61,34)),IF(INDEX(properties!A$1:CB$87,'Fórmula'!H61,34)&lt;&gt;"",INDEX(properties!A$1:CB$87,'Fórmula'!H61,34)),IF(INDEX(properties!A$1:CB$87,'Fórmula'!J61,34)&lt;&gt;"",INDEX(properties!A$1:CB$87,'Fórmula'!J61,34)))</f>
        <v>1.40808896</v>
      </c>
      <c r="DI61" s="104">
        <f t="array" ref="DI61">MAX(INDEX(properties!A$1:CB$87,'Fórmula'!B61,34),INDEX(properties!A$1:CB$87,'Fórmula'!D61,34),INDEX(properties!A$1:CB$87,'Fórmula'!F61,34),INDEX(properties!A$1:CB$87,'Fórmula'!H61,34),INDEX(properties!A$1:CB$87,'Fórmula'!J61,34))</f>
        <v>3.61</v>
      </c>
      <c r="DJ61" s="104">
        <f t="array" ref="DJ61">MIN(IF(INDEX(properties!A$1:CB$87,'Fórmula'!B61,34)=0,10^6,INDEX(properties!A$1:CB$87,'Fórmula'!B61,34)),IF(INDEX(properties!A$1:CB$87,'Fórmula'!D61,34)=0,10^6,INDEX(properties!A$1:CB$87,'Fórmula'!D61,34)),IF(INDEX(properties!A$1:CB$87,'Fórmula'!F61,34)=0,10^6,INDEX(properties!A$1:CB$87,'Fórmula'!F61,34)),IF(INDEX(properties!A$1:CB$87,'Fórmula'!H61,34)=0,10^6,INDEX(properties!A$1:CB$87,'Fórmula'!H61,34)),IF(INDEX(properties!A$1:CB$87,'Fórmula'!J61,34)=0,10^6,INDEX(properties!A$1:CB$87,'Fórmula'!J61,34)))</f>
        <v>1.09</v>
      </c>
      <c r="DK61" s="104">
        <f t="shared" si="19"/>
        <v>2.52</v>
      </c>
      <c r="DL61" s="105">
        <f t="array" ref="DL61">(('Fórmula'!C61)/('Fórmula'!C61+'Fórmula'!E61+'Fórmula'!G61+'Fórmula'!I61+'Fórmula'!K61))*(INDEX(properties!A$1:CB$87,'Fórmula'!B61,37))+(('Fórmula'!E61)/('Fórmula'!C61+'Fórmula'!E61+'Fórmula'!G61+'Fórmula'!I61+'Fórmula'!K61))*(INDEX(properties!A$1:CB$87,'Fórmula'!D61,37))+(('Fórmula'!G61)/('Fórmula'!C61+'Fórmula'!E61+'Fórmula'!G61+'Fórmula'!I61+'Fórmula'!K61))*(INDEX(properties!A$1:CB$87,'Fórmula'!F61,37))+(('Fórmula'!I61)/('Fórmula'!C61+'Fórmula'!E61+'Fórmula'!G61+'Fórmula'!I61+'Fórmula'!K61))*(INDEX(properties!A$1:CB$87,'Fórmula'!H61,37))+(('Fórmula'!K61)/('Fórmula'!C61+'Fórmula'!E61+'Fórmula'!G61+'Fórmula'!I61+'Fórmula'!K61))*(INDEX(properties!A$1:CB$87,'Fórmula'!J61,37))</f>
        <v>2.729411765</v>
      </c>
      <c r="DM61" s="105">
        <f t="array" ref="DM61">'Fórmula'!C61*(INDEX(properties!A$1:CB$87,'Fórmula'!B61,37))+'Fórmula'!E61*(INDEX(properties!A$1:CB$87,'Fórmula'!D61,37))+'Fórmula'!G61*(INDEX(properties!A$1:CB$87,'Fórmula'!F61,37))+'Fórmula'!I61*(INDEX(properties!A$1:CB$87,'Fórmula'!H61,37))+'Fórmula'!K61*(INDEX(properties!A$1:CB$87,'Fórmula'!J61,37))</f>
        <v>46.4</v>
      </c>
      <c r="DN61" s="105">
        <f t="array" ref="DN61">VARP(IF(INDEX(properties!A$1:CB$87,'Fórmula'!B61,37)&lt;&gt;"",INDEX(properties!A$1:CB$87,'Fórmula'!B61,37)),IF(INDEX(properties!A$1:CB$87,'Fórmula'!D61,37)&lt;&gt;"",INDEX(properties!A$1:CB$87,'Fórmula'!D61,37)),IF(INDEX(properties!A$1:CB$87,'Fórmula'!F61,37)&lt;&gt;"",INDEX(properties!A$1:CB$87,'Fórmula'!F61,37)),IF(INDEX(properties!A$1:CB$87,'Fórmula'!H61,37)&lt;&gt;"",INDEX(properties!A$1:CB$87,'Fórmula'!H61,37)),IF(INDEX(properties!A$1:CB$87,'Fórmula'!J61,37)&lt;&gt;"",INDEX(properties!A$1:CB$87,'Fórmula'!J61,37)))</f>
        <v>1.276</v>
      </c>
      <c r="DO61" s="105">
        <f t="array" ref="DO61">MAX(INDEX(properties!A$1:CB$87,'Fórmula'!B61,37),INDEX(properties!A$1:CB$87,'Fórmula'!D61,37),INDEX(properties!A$1:CB$87,'Fórmula'!F61,37),INDEX(properties!A$1:CB$87,'Fórmula'!H61,37),INDEX(properties!A$1:CB$87,'Fórmula'!J61,37))</f>
        <v>3.45</v>
      </c>
      <c r="DP61" s="105">
        <f t="array" ref="DP61">MIN(IF(INDEX(properties!A$1:CB$87,'Fórmula'!B61,37)=0,10^6,INDEX(properties!A$1:CB$87,'Fórmula'!B61,37)),IF(INDEX(properties!A$1:CB$87,'Fórmula'!D61,37)=0,10^6,INDEX(properties!A$1:CB$87,'Fórmula'!D61,37)),IF(INDEX(properties!A$1:CB$87,'Fórmula'!F61,37)=0,10^6,INDEX(properties!A$1:CB$87,'Fórmula'!F61,37)),IF(INDEX(properties!A$1:CB$87,'Fórmula'!H61,37)=0,10^6,INDEX(properties!A$1:CB$87,'Fórmula'!H61,37)),IF(INDEX(properties!A$1:CB$87,'Fórmula'!J61,37)=0,10^6,INDEX(properties!A$1:CB$87,'Fórmula'!J61,37)))</f>
        <v>1.2</v>
      </c>
      <c r="DQ61" s="105">
        <f t="shared" si="20"/>
        <v>2.25</v>
      </c>
      <c r="DR61" s="109">
        <f t="array" ref="DR61">(('Fórmula'!C61)/('Fórmula'!C61+'Fórmula'!E61+'Fórmula'!G61+'Fórmula'!I61+'Fórmula'!K61))*(INDEX(properties!A$1:CB$87,'Fórmula'!B61,39))+(('Fórmula'!E61)/('Fórmula'!C61+'Fórmula'!E61+'Fórmula'!G61+'Fórmula'!I61+'Fórmula'!K61))*(INDEX(properties!A$1:CB$87,'Fórmula'!D61,39))+(('Fórmula'!G61)/('Fórmula'!C61+'Fórmula'!E61+'Fórmula'!G61+'Fórmula'!I61+'Fórmula'!K61))*(INDEX(properties!A$1:CB$87,'Fórmula'!F61,39))+(('Fórmula'!I61)/('Fórmula'!C61+'Fórmula'!E61+'Fórmula'!G61+'Fórmula'!I61+'Fórmula'!K61))*(INDEX(properties!A$1:CB$87,'Fórmula'!H61,39))+(('Fórmula'!K61)/('Fórmula'!C61+'Fórmula'!E61+'Fórmula'!G61+'Fórmula'!I61+'Fórmula'!K61))*(INDEX(properties!A$1:CB$87,'Fórmula'!J61,39))</f>
        <v>0.7364705882</v>
      </c>
      <c r="DS61" s="109">
        <f t="array" ref="DS61">'Fórmula'!C61*(INDEX(properties!A$1:CB$87,'Fórmula'!B61,39))+'Fórmula'!E61*(INDEX(properties!A$1:CB$87,'Fórmula'!D61,39))+'Fórmula'!G61*(INDEX(properties!A$1:CB$87,'Fórmula'!F61,39))+'Fórmula'!I61*(INDEX(properties!A$1:CB$87,'Fórmula'!H61,39))+'Fórmula'!K61*(INDEX(properties!A$1:CB$87,'Fórmula'!J61,39))</f>
        <v>12.52</v>
      </c>
      <c r="DT61" s="109">
        <f t="array" ref="DT61">VARP(IF(INDEX(properties!A$1:CB$87,'Fórmula'!B61,39)&lt;&gt;"",INDEX(properties!A$1:CB$87,'Fórmula'!B61,39)),IF(INDEX(properties!A$1:CB$87,'Fórmula'!D61,39)&lt;&gt;"",INDEX(properties!A$1:CB$87,'Fórmula'!D61,39)),IF(INDEX(properties!A$1:CB$87,'Fórmula'!F61,39)&lt;&gt;"",INDEX(properties!A$1:CB$87,'Fórmula'!F61,39)),IF(INDEX(properties!A$1:CB$87,'Fórmula'!H61,39)&lt;&gt;"",INDEX(properties!A$1:CB$87,'Fórmula'!H61,39)),IF(INDEX(properties!A$1:CB$87,'Fórmula'!J61,39)&lt;&gt;"",INDEX(properties!A$1:CB$87,'Fórmula'!J61,39)))</f>
        <v>0.470104</v>
      </c>
      <c r="DU61" s="120">
        <f t="array" ref="DU61">MAX(INDEX(properties!A$1:CB$87,'Fórmula'!B61,39),INDEX(properties!A$1:CB$87,'Fórmula'!D61,39),INDEX(properties!A$1:CB$87,'Fórmula'!F61,39),INDEX(properties!A$1:CB$87,'Fórmula'!H61,39),INDEX(properties!A$1:CB$87,'Fórmula'!J61,39))</f>
        <v>1.95</v>
      </c>
      <c r="DV61" s="120">
        <f t="array" ref="DV61">MIN(IF(INDEX(properties!A$1:CB$87,'Fórmula'!B61,39)=0,10^6,INDEX(properties!A$1:CB$87,'Fórmula'!B61,39)),IF(INDEX(properties!A$1:CB$87,'Fórmula'!D61,39)=0,10^6,INDEX(properties!A$1:CB$87,'Fórmula'!D61,39)),IF(INDEX(properties!A$1:CB$87,'Fórmula'!F61,39)=0,10^6,INDEX(properties!A$1:CB$87,'Fórmula'!F61,39)),IF(INDEX(properties!A$1:CB$87,'Fórmula'!H61,39)=0,10^6,INDEX(properties!A$1:CB$87,'Fórmula'!H61,39)),IF(INDEX(properties!A$1:CB$87,'Fórmula'!J61,39)=0,10^6,INDEX(properties!A$1:CB$87,'Fórmula'!J61,39)))</f>
        <v>0.48</v>
      </c>
      <c r="DW61" s="109">
        <f t="shared" si="21"/>
        <v>1.47</v>
      </c>
      <c r="DX61" s="110">
        <f t="array" ref="DX61">(('Fórmula'!C61)/('Fórmula'!C61+'Fórmula'!E61+'Fórmula'!G61+'Fórmula'!I61+'Fórmula'!K61))*(INDEX(properties!A$1:CB$87,'Fórmula'!B61,40))+(('Fórmula'!E61)/('Fórmula'!C61+'Fórmula'!E61+'Fórmula'!G61+'Fórmula'!I61+'Fórmula'!K61))*(INDEX(properties!A$1:CB$87,'Fórmula'!D61,40))+(('Fórmula'!G61)/('Fórmula'!C61+'Fórmula'!E61+'Fórmula'!G61+'Fórmula'!I61+'Fórmula'!K61))*(INDEX(properties!A$1:CB$87,'Fórmula'!F61,40))+(('Fórmula'!I61)/('Fórmula'!C61+'Fórmula'!E61+'Fórmula'!G61+'Fórmula'!I61+'Fórmula'!K61))*(INDEX(properties!A$1:CB$87,'Fórmula'!H61,40))+(('Fórmula'!K61)/('Fórmula'!C61+'Fórmula'!E61+'Fórmula'!G61+'Fórmula'!I61+'Fórmula'!K61))*(INDEX(properties!A$1:CB$87,'Fórmula'!J61,40))</f>
        <v>0.8470588235</v>
      </c>
      <c r="DY61" s="110">
        <f t="array" ref="DY61">'Fórmula'!C61*(INDEX(properties!A$1:CB$87,'Fórmula'!B61,40))+'Fórmula'!E61*(INDEX(properties!A$1:CB$87,'Fórmula'!D61,40))+'Fórmula'!G61*(INDEX(properties!A$1:CB$87,'Fórmula'!F61,40))+'Fórmula'!I61*(INDEX(properties!A$1:CB$87,'Fórmula'!H61,40))+'Fórmula'!K61*(INDEX(properties!A$1:CB$87,'Fórmula'!J61,40))</f>
        <v>14.4</v>
      </c>
      <c r="DZ61" s="110">
        <f t="array" ref="DZ61">VARP(IF(INDEX(properties!A$1:CB$87,'Fórmula'!B61,40)&lt;&gt;"",INDEX(properties!A$1:CB$87,'Fórmula'!B61,40)),IF(INDEX(properties!A$1:CB$87,'Fórmula'!D61,40)&lt;&gt;"",INDEX(properties!A$1:CB$87,'Fórmula'!D61,40)),IF(INDEX(properties!A$1:CB$87,'Fórmula'!F61,40)&lt;&gt;"",INDEX(properties!A$1:CB$87,'Fórmula'!F61,40)),IF(INDEX(properties!A$1:CB$87,'Fórmula'!H61,40)&lt;&gt;"",INDEX(properties!A$1:CB$87,'Fórmula'!H61,40)),IF(INDEX(properties!A$1:CB$87,'Fórmula'!J61,40)&lt;&gt;"",INDEX(properties!A$1:CB$87,'Fórmula'!J61,40)))</f>
        <v>0.3274</v>
      </c>
      <c r="EA61" s="121">
        <f t="array" ref="EA61">MAX(INDEX(properties!A$1:CB$87,'Fórmula'!B61,40),INDEX(properties!A$1:CB$87,'Fórmula'!D61,40),INDEX(properties!A$1:CB$87,'Fórmula'!F61,40),INDEX(properties!A$1:CB$87,'Fórmula'!H61,40),INDEX(properties!A$1:CB$87,'Fórmula'!J61,40))</f>
        <v>1.69</v>
      </c>
      <c r="EB61" s="121">
        <f t="array" ref="EB61">MIN(IF(INDEX(properties!A$1:CB$87,'Fórmula'!B61,40)=0,10^6,INDEX(properties!A$1:CB$87,'Fórmula'!B61,40)),IF(INDEX(properties!A$1:CB$87,'Fórmula'!D61,40)=0,10^6,INDEX(properties!A$1:CB$87,'Fórmula'!D61,40)),IF(INDEX(properties!A$1:CB$87,'Fórmula'!F61,40)=0,10^6,INDEX(properties!A$1:CB$87,'Fórmula'!F61,40)),IF(INDEX(properties!A$1:CB$87,'Fórmula'!H61,40)=0,10^6,INDEX(properties!A$1:CB$87,'Fórmula'!H61,40)),IF(INDEX(properties!A$1:CB$87,'Fórmula'!J61,40)=0,10^6,INDEX(properties!A$1:CB$87,'Fórmula'!J61,40)))</f>
        <v>0.73</v>
      </c>
      <c r="EC61" s="110">
        <f t="shared" si="22"/>
        <v>0.96</v>
      </c>
      <c r="ED61" s="111">
        <f t="array" ref="ED61">(('Fórmula'!C61)/('Fórmula'!C61+'Fórmula'!E61+'Fórmula'!G61+'Fórmula'!I61+'Fórmula'!K61))*(INDEX(properties!A$1:CB$87,'Fórmula'!B61,41))+(('Fórmula'!E61)/('Fórmula'!C61+'Fórmula'!E61+'Fórmula'!G61+'Fórmula'!I61+'Fórmula'!K61))*(INDEX(properties!A$1:CB$87,'Fórmula'!D61,41))+(('Fórmula'!G61)/('Fórmula'!C61+'Fórmula'!E61+'Fórmula'!G61+'Fórmula'!I61+'Fórmula'!K61))*(INDEX(properties!A$1:CB$87,'Fórmula'!F61,41))+(('Fórmula'!I61)/('Fórmula'!C61+'Fórmula'!E61+'Fórmula'!G61+'Fórmula'!I61+'Fórmula'!K61))*(INDEX(properties!A$1:CB$87,'Fórmula'!H61,41))+(('Fórmula'!K61)/('Fórmula'!C61+'Fórmula'!E61+'Fórmula'!G61+'Fórmula'!I61+'Fórmula'!K61))*(INDEX(properties!A$1:CB$87,'Fórmula'!J61,41))</f>
        <v>0.9823529412</v>
      </c>
      <c r="EE61" s="111">
        <f t="array" ref="EE61">'Fórmula'!C61*(INDEX(properties!A$1:CB$87,'Fórmula'!B61,41))+'Fórmula'!E61*(INDEX(properties!A$1:CB$87,'Fórmula'!D61,41))+'Fórmula'!G61*(INDEX(properties!A$1:CB$87,'Fórmula'!F61,41))+'Fórmula'!I61*(INDEX(properties!A$1:CB$87,'Fórmula'!H61,41))+'Fórmula'!K61*(INDEX(properties!A$1:CB$87,'Fórmula'!J61,41))</f>
        <v>16.7</v>
      </c>
      <c r="EF61" s="111">
        <f t="array" ref="EF61">VARP(IF(INDEX(properties!A$1:CB$87,'Fórmula'!B61,41)&lt;&gt;"",INDEX(properties!A$1:CB$87,'Fórmula'!B61,41)),IF(INDEX(properties!A$1:CB$87,'Fórmula'!D61,41)&lt;&gt;"",INDEX(properties!A$1:CB$87,'Fórmula'!D61,41)),IF(INDEX(properties!A$1:CB$87,'Fórmula'!F61,41)&lt;&gt;"",INDEX(properties!A$1:CB$87,'Fórmula'!F61,41)),IF(INDEX(properties!A$1:CB$87,'Fórmula'!H61,41)&lt;&gt;"",INDEX(properties!A$1:CB$87,'Fórmula'!H61,41)),IF(INDEX(properties!A$1:CB$87,'Fórmula'!J61,41)&lt;&gt;"",INDEX(properties!A$1:CB$87,'Fórmula'!J61,41)))</f>
        <v>0.226264</v>
      </c>
      <c r="EG61" s="122">
        <f t="array" ref="EG61">MAX(INDEX(properties!A$1:CB$87,'Fórmula'!B61,41),INDEX(properties!A$1:CB$87,'Fórmula'!D61,41),INDEX(properties!A$1:CB$87,'Fórmula'!F61,41),INDEX(properties!A$1:CB$87,'Fórmula'!H61,41),INDEX(properties!A$1:CB$87,'Fórmula'!J61,41))</f>
        <v>1.26</v>
      </c>
      <c r="EH61" s="122">
        <f t="array" ref="EH61">MIN(IF(INDEX(properties!A$1:CB$87,'Fórmula'!B61,41)=0,10^6,INDEX(properties!A$1:CB$87,'Fórmula'!B61,41)),IF(INDEX(properties!A$1:CB$87,'Fórmula'!D61,41)=0,10^6,INDEX(properties!A$1:CB$87,'Fórmula'!D61,41)),IF(INDEX(properties!A$1:CB$87,'Fórmula'!F61,41)=0,10^6,INDEX(properties!A$1:CB$87,'Fórmula'!F61,41)),IF(INDEX(properties!A$1:CB$87,'Fórmula'!H61,41)=0,10^6,INDEX(properties!A$1:CB$87,'Fórmula'!H61,41)),IF(INDEX(properties!A$1:CB$87,'Fórmula'!J61,41)=0,10^6,INDEX(properties!A$1:CB$87,'Fórmula'!J61,41)))</f>
        <v>0.41</v>
      </c>
      <c r="EI61" s="111">
        <f t="shared" si="23"/>
        <v>0.85</v>
      </c>
      <c r="EJ61" s="112">
        <f t="array" ref="EJ61">(('Fórmula'!C61)/('Fórmula'!C61+'Fórmula'!E61+'Fórmula'!G61+'Fórmula'!I61+'Fórmula'!K61))*(INDEX(properties!A$1:CB$87,'Fórmula'!B61,45))+(('Fórmula'!E61)/('Fórmula'!C61+'Fórmula'!E61+'Fórmula'!G61+'Fórmula'!I61+'Fórmula'!K61))*(INDEX(properties!A$1:CB$87,'Fórmula'!D61,45))+(('Fórmula'!G61)/('Fórmula'!C61+'Fórmula'!E61+'Fórmula'!G61+'Fórmula'!I61+'Fórmula'!K61))*(INDEX(properties!A$1:CB$87,'Fórmula'!F61,45))+(('Fórmula'!I61)/('Fórmula'!C61+'Fórmula'!E61+'Fórmula'!G61+'Fórmula'!I61+'Fórmula'!K61))*(INDEX(properties!A$1:CB$87,'Fórmula'!H61,45))+(('Fórmula'!K61)/('Fórmula'!C61+'Fórmula'!E61+'Fórmula'!G61+'Fórmula'!I61+'Fórmula'!K61))*(INDEX(properties!A$1:CB$87,'Fórmula'!J61,45))</f>
        <v>0.8035294118</v>
      </c>
      <c r="EK61" s="112">
        <f t="array" ref="EK61">'Fórmula'!C61*(INDEX(properties!A$1:CB$87,'Fórmula'!B61,45))+'Fórmula'!E61*(INDEX(properties!A$1:CB$87,'Fórmula'!D61,45))+'Fórmula'!G61*(INDEX(properties!A$1:CB$87,'Fórmula'!F61,45))+'Fórmula'!I61*(INDEX(properties!A$1:CB$87,'Fórmula'!H61,45))+'Fórmula'!K61*(INDEX(properties!A$1:CB$87,'Fórmula'!J61,45))</f>
        <v>13.66</v>
      </c>
      <c r="EL61" s="112">
        <f t="array" ref="EL61">VARP(IF(INDEX(properties!A$1:CB$87,'Fórmula'!B61,45)&lt;&gt;"",INDEX(properties!A$1:CB$87,'Fórmula'!B61,45)),IF(INDEX(properties!A$1:CB$87,'Fórmula'!D61,45)&lt;&gt;"",INDEX(properties!A$1:CB$87,'Fórmula'!D61,45)),IF(INDEX(properties!A$1:CB$87,'Fórmula'!F61,45)&lt;&gt;"",INDEX(properties!A$1:CB$87,'Fórmula'!F61,45)),IF(INDEX(properties!A$1:CB$87,'Fórmula'!H61,45)&lt;&gt;"",INDEX(properties!A$1:CB$87,'Fórmula'!H61,45)),IF(INDEX(properties!A$1:CB$87,'Fórmula'!J61,45)&lt;&gt;"",INDEX(properties!A$1:CB$87,'Fórmula'!J61,45)))</f>
        <v>1.223824</v>
      </c>
      <c r="EM61" s="123">
        <f t="array" ref="EM61">MAX(INDEX(properties!A$1:CB$87,'Fórmula'!B61,45),INDEX(properties!A$1:CB$87,'Fórmula'!D61,45),INDEX(properties!A$1:CB$87,'Fórmula'!F61,45),INDEX(properties!A$1:CB$87,'Fórmula'!H61,45),INDEX(properties!A$1:CB$87,'Fórmula'!J61,45))</f>
        <v>3.08</v>
      </c>
      <c r="EN61" s="123">
        <f t="array" ref="EN61">MIN(IF(INDEX(properties!A$1:CB$87,'Fórmula'!B61,45)=0,10^6,INDEX(properties!A$1:CB$87,'Fórmula'!B61,45)),IF(INDEX(properties!A$1:CB$87,'Fórmula'!D61,45)=0,10^6,INDEX(properties!A$1:CB$87,'Fórmula'!D61,45)),IF(INDEX(properties!A$1:CB$87,'Fórmula'!F61,45)=0,10^6,INDEX(properties!A$1:CB$87,'Fórmula'!F61,45)),IF(INDEX(properties!A$1:CB$87,'Fórmula'!H61,45)=0,10^6,INDEX(properties!A$1:CB$87,'Fórmula'!H61,45)),IF(INDEX(properties!A$1:CB$87,'Fórmula'!J61,45)=0,10^6,INDEX(properties!A$1:CB$87,'Fórmula'!J61,45)))</f>
        <v>0.47</v>
      </c>
      <c r="EO61" s="112">
        <f t="shared" si="24"/>
        <v>2.61</v>
      </c>
      <c r="EP61" s="113">
        <f t="array" ref="EP61">(('Fórmula'!C61)/('Fórmula'!C61+'Fórmula'!E61+'Fórmula'!G61+'Fórmula'!I61+'Fórmula'!K61))*(INDEX(properties!A$1:CB$87,'Fórmula'!B61,46))+(('Fórmula'!E61)/('Fórmula'!C61+'Fórmula'!E61+'Fórmula'!G61+'Fórmula'!I61+'Fórmula'!K61))*(INDEX(properties!A$1:CB$87,'Fórmula'!D61,46))+(('Fórmula'!G61)/('Fórmula'!C61+'Fórmula'!E61+'Fórmula'!G61+'Fórmula'!I61+'Fórmula'!K61))*(INDEX(properties!A$1:CB$87,'Fórmula'!F61,46))+(('Fórmula'!I61)/('Fórmula'!C61+'Fórmula'!E61+'Fórmula'!G61+'Fórmula'!I61+'Fórmula'!K61))*(INDEX(properties!A$1:CB$87,'Fórmula'!H61,46))+(('Fórmula'!K61)/('Fórmula'!C61+'Fórmula'!E61+'Fórmula'!G61+'Fórmula'!I61+'Fórmula'!K61))*(INDEX(properties!A$1:CB$87,'Fórmula'!J61,46))</f>
        <v>0.9088235294</v>
      </c>
      <c r="EQ61" s="113">
        <f t="array" ref="EQ61">'Fórmula'!C61*(INDEX(properties!A$1:CB$87,'Fórmula'!B61,46))+'Fórmula'!E61*(INDEX(properties!A$1:CB$87,'Fórmula'!D61,46))+'Fórmula'!G61*(INDEX(properties!A$1:CB$87,'Fórmula'!F61,46))+'Fórmula'!I61*(INDEX(properties!A$1:CB$87,'Fórmula'!H61,46))+'Fórmula'!K61*(INDEX(properties!A$1:CB$87,'Fórmula'!J61,46))</f>
        <v>15.45</v>
      </c>
      <c r="ER61" s="113">
        <f t="array" ref="ER61">VARP(IF(INDEX(properties!A$1:CB$87,'Fórmula'!B61,46)&lt;&gt;"",INDEX(properties!A$1:CB$87,'Fórmula'!B61,46)),IF(INDEX(properties!A$1:CB$87,'Fórmula'!D61,46)&lt;&gt;"",INDEX(properties!A$1:CB$87,'Fórmula'!D61,46)),IF(INDEX(properties!A$1:CB$87,'Fórmula'!F61,46)&lt;&gt;"",INDEX(properties!A$1:CB$87,'Fórmula'!F61,46)),IF(INDEX(properties!A$1:CB$87,'Fórmula'!H61,46)&lt;&gt;"",INDEX(properties!A$1:CB$87,'Fórmula'!H61,46)),IF(INDEX(properties!A$1:CB$87,'Fórmula'!J61,46)&lt;&gt;"",INDEX(properties!A$1:CB$87,'Fórmula'!J61,46)))</f>
        <v>0.277816</v>
      </c>
      <c r="ES61" s="124">
        <f t="array" ref="ES61">MAX(INDEX(properties!A$1:CB$87,'Fórmula'!B61,46),INDEX(properties!A$1:CB$87,'Fórmula'!D61,46),INDEX(properties!A$1:CB$87,'Fórmula'!F61,46),INDEX(properties!A$1:CB$87,'Fórmula'!H61,46),INDEX(properties!A$1:CB$87,'Fórmula'!J61,46))</f>
        <v>1.36</v>
      </c>
      <c r="ET61" s="124">
        <f t="array" ref="ET61">MIN(IF(INDEX(properties!A$1:CB$87,'Fórmula'!B61,46)=0,10^6,INDEX(properties!A$1:CB$87,'Fórmula'!B61,46)),IF(INDEX(properties!A$1:CB$87,'Fórmula'!D61,46)=0,10^6,INDEX(properties!A$1:CB$87,'Fórmula'!D61,46)),IF(INDEX(properties!A$1:CB$87,'Fórmula'!F61,46)=0,10^6,INDEX(properties!A$1:CB$87,'Fórmula'!F61,46)),IF(INDEX(properties!A$1:CB$87,'Fórmula'!H61,46)=0,10^6,INDEX(properties!A$1:CB$87,'Fórmula'!H61,46)),IF(INDEX(properties!A$1:CB$87,'Fórmula'!J61,46)=0,10^6,INDEX(properties!A$1:CB$87,'Fórmula'!J61,46)))</f>
        <v>0.25</v>
      </c>
      <c r="EU61" s="113">
        <f t="shared" si="25"/>
        <v>1.11</v>
      </c>
      <c r="EV61" s="114">
        <f t="array" ref="EV61">(('Fórmula'!C61)/('Fórmula'!C61+'Fórmula'!E61+'Fórmula'!G61+'Fórmula'!I61+'Fórmula'!K61))*(INDEX(properties!A$1:CB$87,'Fórmula'!B61,52))+(('Fórmula'!E61)/('Fórmula'!C61+'Fórmula'!E61+'Fórmula'!G61+'Fórmula'!I61+'Fórmula'!K61))*(INDEX(properties!A$1:CB$87,'Fórmula'!D61,52))+(('Fórmula'!G61)/('Fórmula'!C61+'Fórmula'!E61+'Fórmula'!G61+'Fórmula'!I61+'Fórmula'!K61))*(INDEX(properties!A$1:CB$87,'Fórmula'!F61,52))+(('Fórmula'!I61)/('Fórmula'!C61+'Fórmula'!E61+'Fórmula'!G61+'Fórmula'!I61+'Fórmula'!K61))*(INDEX(properties!A$1:CB$87,'Fórmula'!H61,52))+(('Fórmula'!K61)/('Fórmula'!C61+'Fórmula'!E61+'Fórmula'!G61+'Fórmula'!I61+'Fórmula'!K61))*(INDEX(properties!A$1:CB$87,'Fórmula'!J61,52))</f>
        <v>3.554705882</v>
      </c>
      <c r="EW61" s="114">
        <f t="array" ref="EW61">'Fórmula'!C61*(INDEX(properties!A$1:CB$87,'Fórmula'!B61,52))+'Fórmula'!E61*(INDEX(properties!A$1:CB$87,'Fórmula'!D61,52))+'Fórmula'!G61*(INDEX(properties!A$1:CB$87,'Fórmula'!F61,52))+'Fórmula'!I61*(INDEX(properties!A$1:CB$87,'Fórmula'!H61,52))+'Fórmula'!K61*(INDEX(properties!A$1:CB$87,'Fórmula'!J61,52))</f>
        <v>60.43</v>
      </c>
      <c r="EX61" s="114">
        <f t="array" ref="EX61">VARP(IF(INDEX(properties!A$1:CB$87,'Fórmula'!B61,52)&lt;&gt;"",INDEX(properties!A$1:CB$87,'Fórmula'!B61,52)),IF(INDEX(properties!A$1:CB$87,'Fórmula'!D61,52)&lt;&gt;"",INDEX(properties!A$1:CB$87,'Fórmula'!D61,52)),IF(INDEX(properties!A$1:CB$87,'Fórmula'!F61,52)&lt;&gt;"",INDEX(properties!A$1:CB$87,'Fórmula'!F61,52)),IF(INDEX(properties!A$1:CB$87,'Fórmula'!H61,52)&lt;&gt;"",INDEX(properties!A$1:CB$87,'Fórmula'!H61,52)),IF(INDEX(properties!A$1:CB$87,'Fórmula'!J61,52)&lt;&gt;"",INDEX(properties!A$1:CB$87,'Fórmula'!J61,52)))</f>
        <v>135.3552958</v>
      </c>
      <c r="EY61" s="114">
        <f t="array" ref="EY61">MAX(INDEX(properties!A$1:CB$87,'Fórmula'!B61,52),INDEX(properties!A$1:CB$87,'Fórmula'!D61,52),INDEX(properties!A$1:CB$87,'Fórmula'!F61,52),INDEX(properties!A$1:CB$87,'Fórmula'!H61,52),INDEX(properties!A$1:CB$87,'Fórmula'!J61,52))</f>
        <v>31.1</v>
      </c>
      <c r="EZ61" s="114">
        <f t="array" ref="EZ61">MIN(IF(INDEX(properties!A$1:CB$87,'Fórmula'!B61,52)=0,10^6,INDEX(properties!A$1:CB$87,'Fórmula'!B61,52)),IF(INDEX(properties!A$1:CB$87,'Fórmula'!D61,52)=0,10^6,INDEX(properties!A$1:CB$87,'Fórmula'!D61,52)),IF(INDEX(properties!A$1:CB$87,'Fórmula'!F61,52)=0,10^6,INDEX(properties!A$1:CB$87,'Fórmula'!F61,52)),IF(INDEX(properties!A$1:CB$87,'Fórmula'!H61,52)=0,10^6,INDEX(properties!A$1:CB$87,'Fórmula'!H61,52)),IF(INDEX(properties!A$1:CB$87,'Fórmula'!J61,52)=0,10^6,INDEX(properties!A$1:CB$87,'Fórmula'!J61,52)))</f>
        <v>0.793</v>
      </c>
      <c r="FA61" s="114">
        <f t="shared" si="26"/>
        <v>30.307</v>
      </c>
      <c r="FB61" s="115">
        <f t="array" ref="FB61">(('Fórmula'!C61)/('Fórmula'!C61+'Fórmula'!E61+'Fórmula'!G61+'Fórmula'!I61+'Fórmula'!K61))*(INDEX(properties!A$1:CB$87,'Fórmula'!B61,53))+(('Fórmula'!E61)/('Fórmula'!C61+'Fórmula'!E61+'Fórmula'!G61+'Fórmula'!I61+'Fórmula'!K61))*(INDEX(properties!A$1:CB$87,'Fórmula'!D61,53))+(('Fórmula'!G61)/('Fórmula'!C61+'Fórmula'!E61+'Fórmula'!G61+'Fórmula'!I61+'Fórmula'!K61))*(INDEX(properties!A$1:CB$87,'Fórmula'!F61,53))+(('Fórmula'!I61)/('Fórmula'!C61+'Fórmula'!E61+'Fórmula'!G61+'Fórmula'!I61+'Fórmula'!K61))*(INDEX(properties!A$1:CB$87,'Fórmula'!H61,53))+(('Fórmula'!K61)/('Fórmula'!C61+'Fórmula'!E61+'Fórmula'!G61+'Fórmula'!I61+'Fórmula'!K61))*(INDEX(properties!A$1:CB$87,'Fórmula'!J61,53))</f>
        <v>834.95</v>
      </c>
      <c r="FC61" s="115">
        <f t="array" ref="FC61">'Fórmula'!C61*(INDEX(properties!A$1:CB$87,'Fórmula'!B61,53))+'Fórmula'!E61*(INDEX(properties!A$1:CB$87,'Fórmula'!D61,53))+'Fórmula'!G61*(INDEX(properties!A$1:CB$87,'Fórmula'!F61,53))+'Fórmula'!I61*(INDEX(properties!A$1:CB$87,'Fórmula'!H61,53))+'Fórmula'!K61*(INDEX(properties!A$1:CB$87,'Fórmula'!J61,53))</f>
        <v>14194.15</v>
      </c>
      <c r="FD61" s="115">
        <f t="array" ref="FD61">VARP(IF(INDEX(properties!A$1:CB$87,'Fórmula'!B61,53)&lt;&gt;"",INDEX(properties!A$1:CB$87,'Fórmula'!B61,53)),IF(INDEX(properties!A$1:CB$87,'Fórmula'!D61,53)&lt;&gt;"",INDEX(properties!A$1:CB$87,'Fórmula'!D61,53)),IF(INDEX(properties!A$1:CB$87,'Fórmula'!F61,53)&lt;&gt;"",INDEX(properties!A$1:CB$87,'Fórmula'!F61,53)),IF(INDEX(properties!A$1:CB$87,'Fórmula'!H61,53)&lt;&gt;"",INDEX(properties!A$1:CB$87,'Fórmula'!H61,53)),IF(INDEX(properties!A$1:CB$87,'Fórmula'!J61,53)&lt;&gt;"",INDEX(properties!A$1:CB$87,'Fórmula'!J61,53)))</f>
        <v>750698.0604</v>
      </c>
      <c r="FE61" s="115">
        <f t="array" ref="FE61">MAX(INDEX(properties!A$1:CB$87,'Fórmula'!B61,53),INDEX(properties!A$1:CB$87,'Fórmula'!D61,53),INDEX(properties!A$1:CB$87,'Fórmula'!F61,53),INDEX(properties!A$1:CB$87,'Fórmula'!H61,53),INDEX(properties!A$1:CB$87,'Fórmula'!J61,53))</f>
        <v>2352.15</v>
      </c>
      <c r="FF61" s="115">
        <f t="array" ref="FF61">MIN(IF(INDEX(properties!A$1:CB$87,'Fórmula'!B61,53)=0,10^6,INDEX(properties!A$1:CB$87,'Fórmula'!B61,53)),IF(INDEX(properties!A$1:CB$87,'Fórmula'!D61,53)=0,10^6,INDEX(properties!A$1:CB$87,'Fórmula'!D61,53)),IF(INDEX(properties!A$1:CB$87,'Fórmula'!F61,53)=0,10^6,INDEX(properties!A$1:CB$87,'Fórmula'!F61,53)),IF(INDEX(properties!A$1:CB$87,'Fórmula'!H61,53)=0,10^6,INDEX(properties!A$1:CB$87,'Fórmula'!H61,53)),IF(INDEX(properties!A$1:CB$87,'Fórmula'!J61,53)=0,10^6,INDEX(properties!A$1:CB$87,'Fórmula'!J61,53)))</f>
        <v>54.75</v>
      </c>
      <c r="FG61" s="115">
        <f t="shared" si="27"/>
        <v>2297.4</v>
      </c>
      <c r="FH61" s="117">
        <f t="array" ref="FH61">(('Fórmula'!C61)/('Fórmula'!C61+'Fórmula'!E61+'Fórmula'!G61+'Fórmula'!I61+'Fórmula'!K61))*(INDEX(properties!A$1:CB$87,'Fórmula'!B61,54))+(('Fórmula'!E61)/('Fórmula'!C61+'Fórmula'!E61+'Fórmula'!G61+'Fórmula'!I61+'Fórmula'!K61))*(INDEX(properties!A$1:CB$87,'Fórmula'!D61,54))+(('Fórmula'!G61)/('Fórmula'!C61+'Fórmula'!E61+'Fórmula'!G61+'Fórmula'!I61+'Fórmula'!K61))*(INDEX(properties!A$1:CB$87,'Fórmula'!F61,54))+(('Fórmula'!I61)/('Fórmula'!C61+'Fórmula'!E61+'Fórmula'!G61+'Fórmula'!I61+'Fórmula'!K61))*(INDEX(properties!A$1:CB$87,'Fórmula'!H61,54))+(('Fórmula'!K61)/('Fórmula'!C61+'Fórmula'!E61+'Fórmula'!G61+'Fórmula'!I61+'Fórmula'!K61))*(INDEX(properties!A$1:CB$87,'Fórmula'!J61,54))</f>
        <v>1598.988235</v>
      </c>
      <c r="FI61" s="117">
        <f t="array" ref="FI61">'Fórmula'!C61*(INDEX(properties!A$1:CB$87,'Fórmula'!B61,54))+'Fórmula'!E61*(INDEX(properties!A$1:CB$87,'Fórmula'!D61,54))+'Fórmula'!G61*(INDEX(properties!A$1:CB$87,'Fórmula'!F61,54))+'Fórmula'!I61*(INDEX(properties!A$1:CB$87,'Fórmula'!H61,54))+'Fórmula'!K61*(INDEX(properties!A$1:CB$87,'Fórmula'!J61,54))</f>
        <v>27182.8</v>
      </c>
      <c r="FJ61" s="117">
        <f t="array" ref="FJ61">VARP(IF(INDEX(properties!A$1:CB$87,'Fórmula'!B61,54)&lt;&gt;"",INDEX(properties!A$1:CB$87,'Fórmula'!B61,54)),IF(INDEX(properties!A$1:CB$87,'Fórmula'!D61,54)&lt;&gt;"",INDEX(properties!A$1:CB$87,'Fórmula'!D61,54)),IF(INDEX(properties!A$1:CB$87,'Fórmula'!F61,54)&lt;&gt;"",INDEX(properties!A$1:CB$87,'Fórmula'!F61,54)),IF(INDEX(properties!A$1:CB$87,'Fórmula'!H61,54)&lt;&gt;"",INDEX(properties!A$1:CB$87,'Fórmula'!H61,54)),IF(INDEX(properties!A$1:CB$87,'Fórmula'!J61,54)&lt;&gt;"",INDEX(properties!A$1:CB$87,'Fórmula'!J61,54)))</f>
        <v>3274767.369</v>
      </c>
      <c r="FK61" s="117">
        <f t="array" ref="FK61">MAX(INDEX(properties!A$1:CB$87,'Fórmula'!B61,54),INDEX(properties!A$1:CB$87,'Fórmula'!D61,54),INDEX(properties!A$1:CB$87,'Fórmula'!F61,54),INDEX(properties!A$1:CB$87,'Fórmula'!H61,54),INDEX(properties!A$1:CB$87,'Fórmula'!J61,54))</f>
        <v>4275</v>
      </c>
      <c r="FL61" s="117">
        <f t="array" ref="FL61">MIN(IF(INDEX(properties!A$1:CB$87,'Fórmula'!B61,54)=0,10^6,INDEX(properties!A$1:CB$87,'Fórmula'!B61,54)),IF(INDEX(properties!A$1:CB$87,'Fórmula'!D61,54)=0,10^6,INDEX(properties!A$1:CB$87,'Fórmula'!D61,54)),IF(INDEX(properties!A$1:CB$87,'Fórmula'!F61,54)=0,10^6,INDEX(properties!A$1:CB$87,'Fórmula'!F61,54)),IF(INDEX(properties!A$1:CB$87,'Fórmula'!H61,54)=0,10^6,INDEX(properties!A$1:CB$87,'Fórmula'!H61,54)),IF(INDEX(properties!A$1:CB$87,'Fórmula'!J61,54)=0,10^6,INDEX(properties!A$1:CB$87,'Fórmula'!J61,54)))</f>
        <v>90.15</v>
      </c>
      <c r="FM61" s="117">
        <f t="shared" si="28"/>
        <v>4184.85</v>
      </c>
      <c r="FN61" s="118">
        <f t="array" ref="FN61">(('Fórmula'!C61)/('Fórmula'!C61+'Fórmula'!E61+'Fórmula'!G61+'Fórmula'!I61+'Fórmula'!K61))*(INDEX(properties!A$1:CB$87,'Fórmula'!B61,55))+(('Fórmula'!E61)/('Fórmula'!C61+'Fórmula'!E61+'Fórmula'!G61+'Fórmula'!I61+'Fórmula'!K61))*(INDEX(properties!A$1:CB$87,'Fórmula'!D61,55))+(('Fórmula'!G61)/('Fórmula'!C61+'Fórmula'!E61+'Fórmula'!G61+'Fórmula'!I61+'Fórmula'!K61))*(INDEX(properties!A$1:CB$87,'Fórmula'!F61,55))+(('Fórmula'!I61)/('Fórmula'!C61+'Fórmula'!E61+'Fórmula'!G61+'Fórmula'!I61+'Fórmula'!K61))*(INDEX(properties!A$1:CB$87,'Fórmula'!H61,55))+(('Fórmula'!K61)/('Fórmula'!C61+'Fórmula'!E61+'Fórmula'!G61+'Fórmula'!I61+'Fórmula'!K61))*(INDEX(properties!A$1:CB$87,'Fórmula'!J61,55))</f>
        <v>1.470252941</v>
      </c>
      <c r="FO61" s="118">
        <f t="array" ref="FO61">'Fórmula'!C61*(INDEX(properties!A$1:CB$87,'Fórmula'!B61,55))+'Fórmula'!E61*(INDEX(properties!A$1:CB$87,'Fórmula'!D61,54))+'Fórmula'!G61*(INDEX(properties!A$1:CB$87,'Fórmula'!F61,55))+'Fórmula'!I61*(INDEX(properties!A$1:CB$87,'Fórmula'!H61,55))+'Fórmula'!K61*(INDEX(properties!A$1:CB$87,'Fórmula'!J61,55))</f>
        <v>3745.9943</v>
      </c>
      <c r="FP61" s="118">
        <f t="array" ref="FP61">VARP(IF(INDEX(properties!A$1:CB$87,'Fórmula'!B61,55)&lt;&gt;"",INDEX(properties!A$1:CB$87,'Fórmula'!B61,55)),IF(INDEX(properties!A$1:CB$87,'Fórmula'!D61,55)&lt;&gt;"",INDEX(properties!A$1:CB$87,'Fórmula'!D61,55)),IF(INDEX(properties!A$1:CB$87,'Fórmula'!F61,55)&lt;&gt;"",INDEX(properties!A$1:CB$87,'Fórmula'!F61,55)),IF(INDEX(properties!A$1:CB$87,'Fórmula'!H61,55)&lt;&gt;"",INDEX(properties!A$1:CB$87,'Fórmula'!H61,55)),IF(INDEX(properties!A$1:CB$87,'Fórmula'!J61,55)&lt;&gt;"",INDEX(properties!A$1:CB$87,'Fórmula'!J61,55)))</f>
        <v>9.065837399</v>
      </c>
      <c r="FQ61" s="118">
        <f t="array" ref="FQ61">MAX(INDEX(properties!A$1:CB$87,'Fórmula'!B61,55),INDEX(properties!A$1:CB$87,'Fórmula'!D61,55),INDEX(properties!A$1:CB$87,'Fórmula'!F61,55),INDEX(properties!A$1:CB$87,'Fórmula'!H61,55),INDEX(properties!A$1:CB$87,'Fórmula'!J61,55))</f>
        <v>7.13</v>
      </c>
      <c r="FR61" s="118">
        <f t="array" ref="FR61">MIN(IF(INDEX(properties!A$1:CB$87,'Fórmula'!B61,55)=0,10^6,INDEX(properties!A$1:CB$87,'Fórmula'!B61,55)),IF(INDEX(properties!A$1:CB$87,'Fórmula'!D61,55)=0,10^6,INDEX(properties!A$1:CB$87,'Fórmula'!D61,55)),IF(INDEX(properties!A$1:CB$87,'Fórmula'!F61,55)=0,10^6,INDEX(properties!A$1:CB$87,'Fórmula'!F61,55)),IF(INDEX(properties!A$1:CB$87,'Fórmula'!H61,55)=0,10^6,INDEX(properties!A$1:CB$87,'Fórmula'!H61,55)),IF(INDEX(properties!A$1:CB$87,'Fórmula'!J61,55)=0,10^6,INDEX(properties!A$1:CB$87,'Fórmula'!J61,55)))</f>
        <v>0.00143</v>
      </c>
      <c r="FS61" s="118">
        <f t="shared" si="29"/>
        <v>7.12857</v>
      </c>
      <c r="FT61" s="119">
        <f t="array" ref="FT61">(('Fórmula'!C61)/('Fórmula'!C61+'Fórmula'!E61+'Fórmula'!G61+'Fórmula'!I61+'Fórmula'!K61))*(INDEX(properties!A$1:CB$87,'Fórmula'!B61,56))+(('Fórmula'!E61)/('Fórmula'!C61+'Fórmula'!E61+'Fórmula'!G61+'Fórmula'!I61+'Fórmula'!K61))*(INDEX(properties!A$1:CB$87,'Fórmula'!D61,56))+(('Fórmula'!G61)/('Fórmula'!C61+'Fórmula'!E61+'Fórmula'!G61+'Fórmula'!I61+'Fórmula'!K61))*(INDEX(properties!A$1:CB$87,'Fórmula'!F61,56))+(('Fórmula'!I61)/('Fórmula'!C61+'Fórmula'!E61+'Fórmula'!G61+'Fórmula'!I61+'Fórmula'!K61))*(INDEX(properties!A$1:CB$87,'Fórmula'!H61,56))+(('Fórmula'!K61)/('Fórmula'!C61+'Fórmula'!E61+'Fórmula'!G61+'Fórmula'!I61+'Fórmula'!K61))*(INDEX(properties!A$1:CB$87,'Fórmula'!J61,56))</f>
        <v>0.8752941176</v>
      </c>
      <c r="FU61" s="119">
        <f t="array" ref="FU61">'Fórmula'!C61*(INDEX(properties!A$1:CB$87,'Fórmula'!B61,56))+'Fórmula'!E61*(INDEX(properties!A$1:CB$87,'Fórmula'!D61,56))+'Fórmula'!G61*(INDEX(properties!A$1:CB$87,'Fórmula'!F61,56))+'Fórmula'!I61*(INDEX(properties!A$1:CB$87,'Fórmula'!H61,56))+'Fórmula'!K61*(INDEX(properties!A$1:CB$87,'Fórmula'!J61,56))</f>
        <v>14.88</v>
      </c>
      <c r="FV61" s="119">
        <f t="array" ref="FV61">VARP(IF(INDEX(properties!A$1:CB$87,'Fórmula'!B61,56)&lt;&gt;"",INDEX(properties!A$1:CB$87,'Fórmula'!B61,56)),IF(INDEX(properties!A$1:CB$87,'Fórmula'!D61,56)&lt;&gt;"",INDEX(properties!A$1:CB$87,'Fórmula'!D61,56)),IF(INDEX(properties!A$1:CB$87,'Fórmula'!F61,56)&lt;&gt;"",INDEX(properties!A$1:CB$87,'Fórmula'!F61,56)),IF(INDEX(properties!A$1:CB$87,'Fórmula'!H61,56)&lt;&gt;"",INDEX(properties!A$1:CB$87,'Fórmula'!H61,56)),IF(INDEX(properties!A$1:CB$87,'Fórmula'!J61,56)&lt;&gt;"",INDEX(properties!A$1:CB$87,'Fórmula'!J61,56)))</f>
        <v>0.160984</v>
      </c>
      <c r="FW61" s="119">
        <f t="array" ref="FW61">MAX(INDEX(properties!A$1:CB$87,'Fórmula'!B61,56),INDEX(properties!A$1:CB$87,'Fórmula'!D61,56),INDEX(properties!A$1:CB$87,'Fórmula'!F61,56),INDEX(properties!A$1:CB$87,'Fórmula'!H61,56),INDEX(properties!A$1:CB$87,'Fórmula'!J61,56))</f>
        <v>1.02</v>
      </c>
      <c r="FX61" s="119">
        <f t="array" ref="FX61">MIN(IF(INDEX(properties!A$1:CB$87,'Fórmula'!B61,56)=0,10^6,INDEX(properties!A$1:CB$87,'Fórmula'!B61,56)),IF(INDEX(properties!A$1:CB$87,'Fórmula'!D61,56)=0,10^6,INDEX(properties!A$1:CB$87,'Fórmula'!D61,56)),IF(INDEX(properties!A$1:CB$87,'Fórmula'!F61,56)=0,10^6,INDEX(properties!A$1:CB$87,'Fórmula'!F61,56)),IF(INDEX(properties!A$1:CB$87,'Fórmula'!H61,56)=0,10^6,INDEX(properties!A$1:CB$87,'Fórmula'!H61,56)),IF(INDEX(properties!A$1:CB$87,'Fórmula'!J61,56)=0,10^6,INDEX(properties!A$1:CB$87,'Fórmula'!J61,56)))</f>
        <v>0.19</v>
      </c>
      <c r="FY61" s="119">
        <f t="shared" si="30"/>
        <v>0.83</v>
      </c>
      <c r="FZ61" s="104">
        <f t="array" ref="FZ61">(('Fórmula'!C61)/('Fórmula'!C61+'Fórmula'!E61+'Fórmula'!G61+'Fórmula'!I61+'Fórmula'!K61))*(INDEX(properties!A$1:CB$87,'Fórmula'!B61,57))+(('Fórmula'!E61)/('Fórmula'!C61+'Fórmula'!E61+'Fórmula'!G61+'Fórmula'!I61+'Fórmula'!K61))*(INDEX(properties!A$1:CB$87,'Fórmula'!D61,57))+(('Fórmula'!G61)/('Fórmula'!C61+'Fórmula'!E61+'Fórmula'!G61+'Fórmula'!I61+'Fórmula'!K61))*(INDEX(properties!A$1:CB$87,'Fórmula'!F61,57))+(('Fórmula'!I61)/('Fórmula'!C61+'Fórmula'!E61+'Fórmula'!G61+'Fórmula'!I61+'Fórmula'!K61))*(INDEX(properties!A$1:CB$87,'Fórmula'!H61,57))+(('Fórmula'!K61)/('Fórmula'!C61+'Fórmula'!E61+'Fórmula'!G61+'Fórmula'!I61+'Fórmula'!K61))*(INDEX(properties!A$1:CB$87,'Fórmula'!J61,57))</f>
        <v>15.69105294</v>
      </c>
      <c r="GA61" s="104">
        <f t="array" ref="GA61">'Fórmula'!C61*(INDEX(properties!A$1:CB$87,'Fórmula'!B61,57))+'Fórmula'!E61*(INDEX(properties!A$1:CB$87,'Fórmula'!D61,57))+'Fórmula'!G61*(INDEX(properties!A$1:CB$87,'Fórmula'!F61,57))+'Fórmula'!I61*(INDEX(properties!A$1:CB$87,'Fórmula'!H61,57))+'Fórmula'!K61*(INDEX(properties!A$1:CB$87,'Fórmula'!J61,57))</f>
        <v>266.7479</v>
      </c>
      <c r="GB61" s="104">
        <f t="array" ref="GB61">VARP(IF(INDEX(properties!A$1:CB$87,'Fórmula'!B61,57)&lt;&gt;"",INDEX(properties!A$1:CB$87,'Fórmula'!B61,57)),IF(INDEX(properties!A$1:CB$87,'Fórmula'!D61,57)&lt;&gt;"",INDEX(properties!A$1:CB$87,'Fórmula'!D61,57)),IF(INDEX(properties!A$1:CB$87,'Fórmula'!F61,57)&lt;&gt;"",INDEX(properties!A$1:CB$87,'Fórmula'!F61,57)),IF(INDEX(properties!A$1:CB$87,'Fórmula'!H61,57)&lt;&gt;"",INDEX(properties!A$1:CB$87,'Fórmula'!H61,57)),IF(INDEX(properties!A$1:CB$87,'Fórmula'!J61,57)&lt;&gt;"",INDEX(properties!A$1:CB$87,'Fórmula'!J61,57)))</f>
        <v>358.8718225</v>
      </c>
      <c r="GC61" s="104">
        <f t="array" ref="GC61">MAX(INDEX(properties!A$1:CB$87,'Fórmula'!B61,57),INDEX(properties!A$1:CB$87,'Fórmula'!D61,57),INDEX(properties!A$1:CB$87,'Fórmula'!F61,57),INDEX(properties!A$1:CB$87,'Fórmula'!H61,57),INDEX(properties!A$1:CB$87,'Fórmula'!J61,57))</f>
        <v>50.2</v>
      </c>
      <c r="GD61" s="104">
        <f t="array" ref="GD61">MIN(IF(INDEX(properties!A$1:CB$87,'Fórmula'!B61,57)=0,10^6,INDEX(properties!A$1:CB$87,'Fórmula'!B61,57)),IF(INDEX(properties!A$1:CB$87,'Fórmula'!D61,57)=0,10^6,INDEX(properties!A$1:CB$87,'Fórmula'!D61,57)),IF(INDEX(properties!A$1:CB$87,'Fórmula'!F61,57)=0,10^6,INDEX(properties!A$1:CB$87,'Fórmula'!F61,57)),IF(INDEX(properties!A$1:CB$87,'Fórmula'!H61,57)=0,10^6,INDEX(properties!A$1:CB$87,'Fórmula'!H61,57)),IF(INDEX(properties!A$1:CB$87,'Fórmula'!J61,57)=0,10^6,INDEX(properties!A$1:CB$87,'Fórmula'!J61,57)))</f>
        <v>0.22259</v>
      </c>
      <c r="GE61" s="104">
        <f t="shared" si="31"/>
        <v>49.97741</v>
      </c>
      <c r="GF61" s="105">
        <f t="array" ref="GF61">(('Fórmula'!C61)/('Fórmula'!C61+'Fórmula'!E61+'Fórmula'!G61+'Fórmula'!I61+'Fórmula'!K61))*(INDEX(properties!A$1:CB$87,'Fórmula'!B61,60))+(('Fórmula'!E61)/('Fórmula'!C61+'Fórmula'!E61+'Fórmula'!G61+'Fórmula'!I61+'Fórmula'!K61))*(INDEX(properties!A$1:CB$87,'Fórmula'!D61,60))+(('Fórmula'!G61)/('Fórmula'!C61+'Fórmula'!E61+'Fórmula'!G61+'Fórmula'!I61+'Fórmula'!K61))*(INDEX(properties!A$1:CB$87,'Fórmula'!F61,60))+(('Fórmula'!I61)/('Fórmula'!C61+'Fórmula'!E61+'Fórmula'!G61+'Fórmula'!I61+'Fórmula'!K61))*(INDEX(properties!A$1:CB$87,'Fórmula'!H61,60))+(('Fórmula'!K61)/('Fórmula'!C61+'Fórmula'!E61+'Fórmula'!G61+'Fórmula'!I61+'Fórmula'!K61))*(INDEX(properties!A$1:CB$87,'Fórmula'!J61,60))</f>
        <v>15.57455294</v>
      </c>
      <c r="GG61" s="105">
        <f t="array" ref="GG61">'Fórmula'!C61*(INDEX(properties!A$1:CB$87,'Fórmula'!B61,60))+'Fórmula'!E61*(INDEX(properties!A$1:CB$87,'Fórmula'!D61,60))+'Fórmula'!G61*(INDEX(properties!A$1:CB$87,'Fórmula'!F61,60))+'Fórmula'!I61*(INDEX(properties!A$1:CB$87,'Fórmula'!H61,60))+'Fórmula'!K61*(INDEX(properties!A$1:CB$87,'Fórmula'!J61,60))</f>
        <v>264.7674</v>
      </c>
      <c r="GH61" s="105">
        <f t="array" ref="GH61">VARP(IF(INDEX(properties!A$1:CB$87,'Fórmula'!B61,60)&lt;&gt;"",INDEX(properties!A$1:CB$87,'Fórmula'!B61,60)),IF(INDEX(properties!A$1:CB$87,'Fórmula'!D61,60)&lt;&gt;"",INDEX(properties!A$1:CB$87,'Fórmula'!D61,60)),IF(INDEX(properties!A$1:CB$87,'Fórmula'!F61,60)&lt;&gt;"",INDEX(properties!A$1:CB$87,'Fórmula'!F61,60)),IF(INDEX(properties!A$1:CB$87,'Fórmula'!H61,60)&lt;&gt;"",INDEX(properties!A$1:CB$87,'Fórmula'!H61,60)),IF(INDEX(properties!A$1:CB$87,'Fórmula'!J61,60)&lt;&gt;"",INDEX(properties!A$1:CB$87,'Fórmula'!J61,60)))</f>
        <v>1893.42533</v>
      </c>
      <c r="GI61" s="105">
        <f t="array" ref="GI61">MAX(INDEX(properties!A$1:CB$87,'Fórmula'!B61,60),INDEX(properties!A$1:CB$87,'Fórmula'!D61,60),INDEX(properties!A$1:CB$87,'Fórmula'!F61,60),INDEX(properties!A$1:CB$87,'Fórmula'!H61,60),INDEX(properties!A$1:CB$87,'Fórmula'!J61,60))</f>
        <v>116</v>
      </c>
      <c r="GJ61" s="105">
        <f t="array" ref="GJ61">MIN(IF(INDEX(properties!A$1:CB$87,'Fórmula'!B61,60)=0,10^6,INDEX(properties!A$1:CB$87,'Fórmula'!B61,60)),IF(INDEX(properties!A$1:CB$87,'Fórmula'!D61,60)=0,10^6,INDEX(properties!A$1:CB$87,'Fórmula'!D61,60)),IF(INDEX(properties!A$1:CB$87,'Fórmula'!F61,60)=0,10^6,INDEX(properties!A$1:CB$87,'Fórmula'!F61,60)),IF(INDEX(properties!A$1:CB$87,'Fórmula'!H61,60)=0,10^6,INDEX(properties!A$1:CB$87,'Fórmula'!H61,60)),IF(INDEX(properties!A$1:CB$87,'Fórmula'!J61,60)=0,10^6,INDEX(properties!A$1:CB$87,'Fórmula'!J61,60)))</f>
        <v>0.02674</v>
      </c>
      <c r="GK61" s="105">
        <f t="shared" si="32"/>
        <v>115.97326</v>
      </c>
      <c r="GL61" s="106">
        <f t="array" ref="GL61">(('Fórmula'!C61)/('Fórmula'!C61+'Fórmula'!E61+'Fórmula'!G61+'Fórmula'!I61+'Fórmula'!K61))*(INDEX(properties!A$1:CB$87,'Fórmula'!B61,62))+(('Fórmula'!E61)/('Fórmula'!C61+'Fórmula'!E61+'Fórmula'!G61+'Fórmula'!I61+'Fórmula'!K61))*(INDEX(properties!A$1:CB$87,'Fórmula'!D61,62))+(('Fórmula'!G61)/('Fórmula'!C61+'Fórmula'!E61+'Fórmula'!G61+'Fórmula'!I61+'Fórmula'!K61))*(INDEX(properties!A$1:CB$87,'Fórmula'!F61,62))+(('Fórmula'!I61)/('Fórmula'!C61+'Fórmula'!E61+'Fórmula'!G61+'Fórmula'!I61+'Fórmula'!K61))*(INDEX(properties!A$1:CB$87,'Fórmula'!H61,62))+(('Fórmula'!K61)/('Fórmula'!C61+'Fórmula'!E61+'Fórmula'!G61+'Fórmula'!I61+'Fórmula'!K61))*(INDEX(properties!A$1:CB$87,'Fórmula'!J61,62))</f>
        <v>3.592352941</v>
      </c>
      <c r="GM61" s="106">
        <f t="array" ref="GM61">'Fórmula'!C61*(INDEX(properties!A$1:CB$87,'Fórmula'!B61,62))+'Fórmula'!E61*(INDEX(properties!A$1:CB$87,'Fórmula'!D61,62))+'Fórmula'!G61*(INDEX(properties!A$1:CB$87,'Fórmula'!F61,62))+'Fórmula'!I61*(INDEX(properties!A$1:CB$87,'Fórmula'!H61,62))+'Fórmula'!K61*(INDEX(properties!A$1:CB$87,'Fórmula'!J61,62))</f>
        <v>61.07</v>
      </c>
      <c r="GN61" s="106">
        <f t="array" ref="GN61">VARP(IF(INDEX(properties!A$1:CB$87,'Fórmula'!B61,62)&lt;&gt;"",INDEX(properties!A$1:CB$87,'Fórmula'!B61,62)),IF(INDEX(properties!A$1:CB$87,'Fórmula'!D61,62)&lt;&gt;"",INDEX(properties!A$1:CB$87,'Fórmula'!D61,62)),IF(INDEX(properties!A$1:CB$87,'Fórmula'!F61,62)&lt;&gt;"",INDEX(properties!A$1:CB$87,'Fórmula'!F61,62)),IF(INDEX(properties!A$1:CB$87,'Fórmula'!H61,62)&lt;&gt;"",INDEX(properties!A$1:CB$87,'Fórmula'!H61,62)),IF(INDEX(properties!A$1:CB$87,'Fórmula'!J61,62)&lt;&gt;"",INDEX(properties!A$1:CB$87,'Fórmula'!J61,62)))</f>
        <v>4.36228</v>
      </c>
      <c r="GO61" s="106">
        <f t="array" ref="GO61">MAX(INDEX(properties!A$1:CB$87,'Fórmula'!B61,62),INDEX(properties!A$1:CB$87,'Fórmula'!D61,62),INDEX(properties!A$1:CB$87,'Fórmula'!F61,62),INDEX(properties!A$1:CB$87,'Fórmula'!H61,62),INDEX(properties!A$1:CB$87,'Fórmula'!J61,62))</f>
        <v>5.81</v>
      </c>
      <c r="GP61" s="106">
        <f t="array" ref="GP61">MIN(IF(INDEX(properties!A$1:CB$87,'Fórmula'!B61,62)=0,10^6,INDEX(properties!A$1:CB$87,'Fórmula'!B61,62)),IF(INDEX(properties!A$1:CB$87,'Fórmula'!D61,62)=0,10^6,INDEX(properties!A$1:CB$87,'Fórmula'!D61,62)),IF(INDEX(properties!A$1:CB$87,'Fórmula'!F61,62)=0,10^6,INDEX(properties!A$1:CB$87,'Fórmula'!F61,62)),IF(INDEX(properties!A$1:CB$87,'Fórmula'!H61,62)=0,10^6,INDEX(properties!A$1:CB$87,'Fórmula'!H61,62)),IF(INDEX(properties!A$1:CB$87,'Fórmula'!J61,62)=0,10^6,INDEX(properties!A$1:CB$87,'Fórmula'!J61,62)))</f>
        <v>1.35</v>
      </c>
      <c r="GQ61" s="106">
        <f t="shared" si="33"/>
        <v>4.46</v>
      </c>
      <c r="GR61" s="106">
        <f>'Fórmula'!Q61</f>
        <v>14</v>
      </c>
      <c r="GS61" s="107">
        <f>'Fórmula'!P61</f>
        <v>6</v>
      </c>
      <c r="GT61" s="113">
        <f>'Fórmula'!O61</f>
        <v>4.34</v>
      </c>
      <c r="GU61" s="114">
        <f>AVERAGE('Fórmula'!R61/'Fórmula'!S61,'Fórmula'!S61/'Fórmula'!T61,'Fórmula'!T61/'Fórmula'!R61)</f>
        <v>1.012664472</v>
      </c>
      <c r="GV61" s="125">
        <f>'Fórmula'!U61</f>
        <v>640.96</v>
      </c>
      <c r="GW61" s="106">
        <f>'Fórmula'!N61</f>
        <v>0.3</v>
      </c>
    </row>
    <row r="62" ht="14.25" customHeight="1">
      <c r="A62" s="99" t="str">
        <f>'Fórmula'!A62</f>
        <v>AlPO4</v>
      </c>
      <c r="B62" s="101">
        <f t="array" ref="B62">(('Fórmula'!C62)/('Fórmula'!C62+'Fórmula'!E62+'Fórmula'!G62+'Fórmula'!I62+'Fórmula'!K62))*(INDEX(properties!A$1:CB$87,'Fórmula'!B62,3))+(('Fórmula'!E62)/('Fórmula'!C62+'Fórmula'!E62+'Fórmula'!G62+'Fórmula'!I62+'Fórmula'!K62))*(INDEX(properties!A$1:CB$87,'Fórmula'!D62,3))+(('Fórmula'!G62)/('Fórmula'!C62+'Fórmula'!E62+'Fórmula'!G62+'Fórmula'!I62+'Fórmula'!K62))*(INDEX(properties!A$1:CB$87,'Fórmula'!F62,3))+(('Fórmula'!I62)/('Fórmula'!C62+'Fórmula'!E62+'Fórmula'!G62+'Fórmula'!I62+'Fórmula'!K62))*(INDEX(properties!A$1:CB$87,'Fórmula'!H62,3))+(('Fórmula'!K62)/('Fórmula'!C62+'Fórmula'!E62+'Fórmula'!G62+'Fórmula'!I62+'Fórmula'!K62))*(INDEX(properties!A$1:CB$87,'Fórmula'!J62,3))</f>
        <v>20.3254835</v>
      </c>
      <c r="C62" s="101">
        <f t="array" ref="C62">'Fórmula'!C62*(INDEX(properties!A$1:CB$87,'Fórmula'!B62,3))+'Fórmula'!E62*(INDEX(properties!A$1:CB$87,'Fórmula'!D62,3))+'Fórmula'!G62*(INDEX(properties!A$1:CB$87,'Fórmula'!F62,3))+'Fórmula'!I62*(INDEX(properties!A$1:CB$87,'Fórmula'!H62,3))+'Fórmula'!K62*(INDEX(properties!A$1:CB$87,'Fórmula'!J62,3))</f>
        <v>121.952901</v>
      </c>
      <c r="D62" s="101">
        <f t="array" ref="D62">VARP(IF(INDEX(properties!A$1:CB$87,'Fórmula'!B62,3)&lt;&gt;"",INDEX(properties!A$1:CB$87,'Fórmula'!B62,3)),IF(INDEX(properties!A$1:CB$87,'Fórmula'!D62,3)&lt;&gt;"",INDEX(properties!A$1:CB$87,'Fórmula'!D62,3)),IF(INDEX(properties!A$1:CB$87,'Fórmula'!F62,3)&lt;&gt;"",INDEX(properties!A$1:CB$87,'Fórmula'!F62,3)),IF(INDEX(properties!A$1:CB$87,'Fórmula'!H62,3)&lt;&gt;"",INDEX(properties!A$1:CB$87,'Fórmula'!H62,3)),IF(INDEX(properties!A$1:CB$87,'Fórmula'!J62,3)&lt;&gt;"",INDEX(properties!A$1:CB$87,'Fórmula'!J62,3)))</f>
        <v>169.8997239</v>
      </c>
      <c r="E62" s="101">
        <f t="array" ref="E62">MAX(INDEX(properties!A$1:CB$87,'Fórmula'!B62,3),INDEX(properties!A$1:CB$87,'Fórmula'!D62,3),INDEX(properties!A$1:CB$87,'Fórmula'!F62,3),INDEX(properties!A$1:CB$87,'Fórmula'!H62,3),INDEX(properties!A$1:CB$87,'Fórmula'!J62,3))</f>
        <v>30.973762</v>
      </c>
      <c r="F62" s="101">
        <f t="array" ref="F62">MIN(IF(INDEX(properties!A$1:CB$87,'Fórmula'!B62,3)=0,10^6,INDEX(properties!A$1:CB$87,'Fórmula'!B62,3)),IF(INDEX(properties!A$1:CB$87,'Fórmula'!D62,3)=0,10^6,INDEX(properties!A$1:CB$87,'Fórmula'!D62,3)),IF(INDEX(properties!A$1:CB$87,'Fórmula'!F62,3)=0,10^6,INDEX(properties!A$1:CB$87,'Fórmula'!F62,3)),IF(INDEX(properties!A$1:CB$87,'Fórmula'!H62,3)=0,10^6,INDEX(properties!A$1:CB$87,'Fórmula'!H62,3)),IF(INDEX(properties!A$1:CB$87,'Fórmula'!J62,3)=0,10^6,INDEX(properties!A$1:CB$87,'Fórmula'!J62,3)))</f>
        <v>15.9994</v>
      </c>
      <c r="G62" s="101">
        <f t="shared" si="1"/>
        <v>14.974362</v>
      </c>
      <c r="H62" s="102">
        <f t="array" ref="H62">(('Fórmula'!C62)/('Fórmula'!C62+'Fórmula'!E62+'Fórmula'!G62+'Fórmula'!I62+'Fórmula'!K62))*(INDEX(properties!A$1:CB$87,'Fórmula'!B62,4))+(('Fórmula'!E62)/('Fórmula'!C62+'Fórmula'!E62+'Fórmula'!G62+'Fórmula'!I62+'Fórmula'!K62))*(INDEX(properties!A$1:CB$87,'Fórmula'!D62,4))+(('Fórmula'!G62)/('Fórmula'!C62+'Fórmula'!E62+'Fórmula'!G62+'Fórmula'!I62+'Fórmula'!K62))*(INDEX(properties!A$1:CB$87,'Fórmula'!F62,4))+(('Fórmula'!I62)/('Fórmula'!C62+'Fórmula'!E62+'Fórmula'!G62+'Fórmula'!I62+'Fórmula'!K62))*(INDEX(properties!A$1:CB$87,'Fórmula'!H62,4))+(('Fórmula'!K62)/('Fórmula'!C62+'Fórmula'!E62+'Fórmula'!G62+'Fórmula'!I62+'Fórmula'!K62))*(INDEX(properties!A$1:CB$87,'Fórmula'!J62,4))</f>
        <v>10</v>
      </c>
      <c r="I62" s="102">
        <f t="array" ref="I62">'Fórmula'!C62*(INDEX(properties!A$1:CB$87,'Fórmula'!B62,4))+'Fórmula'!E62*(INDEX(properties!A$1:CB$87,'Fórmula'!D62,4))+'Fórmula'!G62*(INDEX(properties!A$1:CB$87,'Fórmula'!F62,4))+'Fórmula'!I62*(INDEX(properties!A$1:CB$87,'Fórmula'!H62,4))+'Fórmula'!K62*(INDEX(properties!A$1:CB$87,'Fórmula'!J62,4))</f>
        <v>60</v>
      </c>
      <c r="J62" s="102">
        <f t="array" ref="J62">VARP(IF(INDEX(properties!A$1:CB$87,'Fórmula'!B62,4)&lt;&gt;"",INDEX(properties!A$1:CB$87,'Fórmula'!B62,4)),IF(INDEX(properties!A$1:CB$87,'Fórmula'!D62,4)&lt;&gt;"",INDEX(properties!A$1:CB$87,'Fórmula'!D62,4)),IF(INDEX(properties!A$1:CB$87,'Fórmula'!F62,4)&lt;&gt;"",INDEX(properties!A$1:CB$87,'Fórmula'!F62,4)),IF(INDEX(properties!A$1:CB$87,'Fórmula'!H62,4)&lt;&gt;"",INDEX(properties!A$1:CB$87,'Fórmula'!H62,4)),IF(INDEX(properties!A$1:CB$87,'Fórmula'!J62,4)&lt;&gt;"",INDEX(properties!A$1:CB$87,'Fórmula'!J62,4)))</f>
        <v>39.76</v>
      </c>
      <c r="K62" s="102">
        <f t="array" ref="K62">MAX(INDEX(properties!A$1:CB$87,'Fórmula'!B62,4),INDEX(properties!A$1:CB$87,'Fórmula'!D62,4),INDEX(properties!A$1:CB$87,'Fórmula'!F62,4),INDEX(properties!A$1:CB$87,'Fórmula'!H62,4),INDEX(properties!A$1:CB$87,'Fórmula'!J62,4))</f>
        <v>15</v>
      </c>
      <c r="L62" s="102">
        <f t="array" ref="L62">MIN(IF(INDEX(properties!A$1:CB$87,'Fórmula'!B62,4)=0,10^6,INDEX(properties!A$1:CB$87,'Fórmula'!B62,4)),IF(INDEX(properties!A$1:CB$87,'Fórmula'!D62,4)=0,10^6,INDEX(properties!A$1:CB$87,'Fórmula'!D62,4)),IF(INDEX(properties!A$1:CB$87,'Fórmula'!F62,4)=0,10^6,INDEX(properties!A$1:CB$87,'Fórmula'!F62,4)),IF(INDEX(properties!A$1:CB$87,'Fórmula'!H62,4)=0,10^6,INDEX(properties!A$1:CB$87,'Fórmula'!H62,4)),IF(INDEX(properties!A$1:CB$87,'Fórmula'!J62,4)=0,10^6,INDEX(properties!A$1:CB$87,'Fórmula'!J62,4)))</f>
        <v>8</v>
      </c>
      <c r="M62" s="102">
        <f t="shared" si="2"/>
        <v>7</v>
      </c>
      <c r="N62" s="103">
        <f t="array" ref="N62">(('Fórmula'!C62)/('Fórmula'!C62+'Fórmula'!E62+'Fórmula'!G62+'Fórmula'!I62+'Fórmula'!K62))*(INDEX(properties!A$1:CB$87,'Fórmula'!B62,5))+(('Fórmula'!E62)/('Fórmula'!C62+'Fórmula'!E62+'Fórmula'!G62+'Fórmula'!I62+'Fórmula'!K62))*(INDEX(properties!A$1:CB$87,'Fórmula'!D62,5))+(('Fórmula'!G62)/('Fórmula'!C62+'Fórmula'!E62+'Fórmula'!G62+'Fórmula'!I62+'Fórmula'!K62))*(INDEX(properties!A$1:CB$87,'Fórmula'!F62,5))+(('Fórmula'!I62)/('Fórmula'!C62+'Fórmula'!E62+'Fórmula'!G62+'Fórmula'!I62+'Fórmula'!K62))*(INDEX(properties!A$1:CB$87,'Fórmula'!H62,5))+(('Fórmula'!K62)/('Fórmula'!C62+'Fórmula'!E62+'Fórmula'!G62+'Fórmula'!I62+'Fórmula'!K62))*(INDEX(properties!A$1:CB$87,'Fórmula'!J62,5))</f>
        <v>2.333333333</v>
      </c>
      <c r="O62" s="103">
        <f t="array" ref="O62">'Fórmula'!C62*(INDEX(properties!A$1:CB$87,'Fórmula'!B62,5))+'Fórmula'!E62*(INDEX(properties!A$1:CB$87,'Fórmula'!D62,5))+'Fórmula'!G62*(INDEX(properties!A$1:CB$87,'Fórmula'!F62,5))+'Fórmula'!I62*(INDEX(properties!A$1:CB$87,'Fórmula'!H62,5))+'Fórmula'!K62*(INDEX(properties!A$1:CB$87,'Fórmula'!J62,5))</f>
        <v>14</v>
      </c>
      <c r="P62" s="103">
        <f t="array" ref="P62">VARP(IF(INDEX(properties!A$1:CB$87,'Fórmula'!B62,5)&lt;&gt;"",INDEX(properties!A$1:CB$87,'Fórmula'!B62,5)),IF(INDEX(properties!A$1:CB$87,'Fórmula'!D62,5)&lt;&gt;"",INDEX(properties!A$1:CB$87,'Fórmula'!D62,5)),IF(INDEX(properties!A$1:CB$87,'Fórmula'!F62,5)&lt;&gt;"",INDEX(properties!A$1:CB$87,'Fórmula'!F62,5)),IF(INDEX(properties!A$1:CB$87,'Fórmula'!H62,5)&lt;&gt;"",INDEX(properties!A$1:CB$87,'Fórmula'!H62,5)),IF(INDEX(properties!A$1:CB$87,'Fórmula'!J62,5)&lt;&gt;"",INDEX(properties!A$1:CB$87,'Fórmula'!J62,5)))</f>
        <v>1.84</v>
      </c>
      <c r="Q62" s="103">
        <f t="array" ref="Q62">MAX(INDEX(properties!A$1:CB$87,'Fórmula'!B62,5),INDEX(properties!A$1:CB$87,'Fórmula'!D62,5),INDEX(properties!A$1:CB$87,'Fórmula'!F62,5),INDEX(properties!A$1:CB$87,'Fórmula'!H62,5),INDEX(properties!A$1:CB$87,'Fórmula'!J62,5))</f>
        <v>3</v>
      </c>
      <c r="R62" s="103">
        <f t="array" ref="R62">MIN(IF(INDEX(properties!A$1:CB$87,'Fórmula'!B62,5)=0,10^6,INDEX(properties!A$1:CB$87,'Fórmula'!B62,5)),IF(INDEX(properties!A$1:CB$87,'Fórmula'!D62,5)=0,10^6,INDEX(properties!A$1:CB$87,'Fórmula'!D62,5)),IF(INDEX(properties!A$1:CB$87,'Fórmula'!F62,5)=0,10^6,INDEX(properties!A$1:CB$87,'Fórmula'!F62,5)),IF(INDEX(properties!A$1:CB$87,'Fórmula'!H62,5)=0,10^6,INDEX(properties!A$1:CB$87,'Fórmula'!H62,5)),IF(INDEX(properties!A$1:CB$87,'Fórmula'!J62,5)=0,10^6,INDEX(properties!A$1:CB$87,'Fórmula'!J62,5)))</f>
        <v>2</v>
      </c>
      <c r="S62" s="103">
        <f t="shared" si="3"/>
        <v>1</v>
      </c>
      <c r="T62" s="104">
        <f t="array" ref="T62">(('Fórmula'!C62)/('Fórmula'!C62+'Fórmula'!E62+'Fórmula'!G62+'Fórmula'!I62+'Fórmula'!K62))*(INDEX(properties!A$1:CB$87,'Fórmula'!B62,6))+(('Fórmula'!E62)/('Fórmula'!C62+'Fórmula'!E62+'Fórmula'!G62+'Fórmula'!I62+'Fórmula'!K62))*(INDEX(properties!A$1:CB$87,'Fórmula'!D62,6))+(('Fórmula'!G62)/('Fórmula'!C62+'Fórmula'!E62+'Fórmula'!G62+'Fórmula'!I62+'Fórmula'!K62))*(INDEX(properties!A$1:CB$87,'Fórmula'!F62,6))+(('Fórmula'!I62)/('Fórmula'!C62+'Fórmula'!E62+'Fórmula'!G62+'Fórmula'!I62+'Fórmula'!K62))*(INDEX(properties!A$1:CB$87,'Fórmula'!H62,6))+(('Fórmula'!K62)/('Fórmula'!C62+'Fórmula'!E62+'Fórmula'!G62+'Fórmula'!I62+'Fórmula'!K62))*(INDEX(properties!A$1:CB$87,'Fórmula'!J62,6))</f>
        <v>15.33333333</v>
      </c>
      <c r="U62" s="104">
        <f t="array" ref="U62">'Fórmula'!C62*(INDEX(properties!A$1:CB$87,'Fórmula'!B62,6))+'Fórmula'!E62*(INDEX(properties!A$1:CB$87,'Fórmula'!D62,6))+'Fórmula'!G62*(INDEX(properties!A$1:CB$87,'Fórmula'!F62,6))+'Fórmula'!I62*(INDEX(properties!A$1:CB$87,'Fórmula'!H62,6))+'Fórmula'!K62*(INDEX(properties!A$1:CB$87,'Fórmula'!J62,6))</f>
        <v>92</v>
      </c>
      <c r="V62" s="103">
        <f t="array" ref="V62">VARP(IF(INDEX(properties!A$1:CB$87,'Fórmula'!B62,6)&lt;&gt;"",INDEX(properties!A$1:CB$87,'Fórmula'!B62,6)),IF(INDEX(properties!A$1:CB$87,'Fórmula'!D62,6)&lt;&gt;"",INDEX(properties!A$1:CB$87,'Fórmula'!D62,6)),IF(INDEX(properties!A$1:CB$87,'Fórmula'!F62,6)&lt;&gt;"",INDEX(properties!A$1:CB$87,'Fórmula'!F62,6)),IF(INDEX(properties!A$1:CB$87,'Fórmula'!H62,6)&lt;&gt;"",INDEX(properties!A$1:CB$87,'Fórmula'!H62,6)),IF(INDEX(properties!A$1:CB$87,'Fórmula'!J62,6)&lt;&gt;"",INDEX(properties!A$1:CB$87,'Fórmula'!J62,6)))</f>
        <v>52.56</v>
      </c>
      <c r="W62" s="104">
        <f t="array" ref="W62">MAX(INDEX(properties!A$1:CB$87,'Fórmula'!B62,6),INDEX(properties!A$1:CB$87,'Fórmula'!D62,6),INDEX(properties!A$1:CB$87,'Fórmula'!F62,6),INDEX(properties!A$1:CB$87,'Fórmula'!H62,4),INDEX(properties!A$1:CB$87,'Fórmula'!J62,6))</f>
        <v>16</v>
      </c>
      <c r="X62" s="104">
        <f t="array" ref="X62">MIN(IF(INDEX(properties!A$1:CB$87,'Fórmula'!B62,6)=0,10^6,INDEX(properties!A$1:CB$87,'Fórmula'!B62,6)),IF(INDEX(properties!A$1:CB$87,'Fórmula'!D62,6)=0,10^6,INDEX(properties!A$1:CB$87,'Fórmula'!D62,6)),IF(INDEX(properties!A$1:CB$87,'Fórmula'!F62,6)=0,10^6,INDEX(properties!A$1:CB$87,'Fórmula'!F62,6)),IF(INDEX(properties!A$1:CB$87,'Fórmula'!H62,6)=0,10^6,INDEX(properties!A$1:CB$87,'Fórmula'!H62,6)),IF(INDEX(properties!A$1:CB$87,'Fórmula'!J62,6)=0,10^6,INDEX(properties!A$1:CB$87,'Fórmula'!J62,6)))</f>
        <v>13</v>
      </c>
      <c r="Y62" s="104">
        <f t="shared" si="4"/>
        <v>3</v>
      </c>
      <c r="Z62" s="105">
        <f t="array" ref="Z62">(('Fórmula'!C62)/('Fórmula'!C62+'Fórmula'!E62+'Fórmula'!G62+'Fórmula'!I62+'Fórmula'!K62))*(INDEX(properties!A$1:CB$87,'Fórmula'!B62,9))+(('Fórmula'!E62)/('Fórmula'!C62+'Fórmula'!E62+'Fórmula'!G62+'Fórmula'!I62+'Fórmula'!K62))*(INDEX(properties!A$1:CB$87,'Fórmula'!D62,9))+(('Fórmula'!G62)/('Fórmula'!C62+'Fórmula'!E62+'Fórmula'!G62+'Fórmula'!I62+'Fórmula'!K62))*(INDEX(properties!A$1:CB$87,'Fórmula'!F62,9))+(('Fórmula'!I62)/('Fórmula'!C62+'Fórmula'!E62+'Fórmula'!G62+'Fórmula'!I62+'Fórmula'!K62))*(INDEX(properties!A$1:CB$87,'Fórmula'!H62,9))+(('Fórmula'!K62)/('Fórmula'!C62+'Fórmula'!E62+'Fórmula'!G62+'Fórmula'!I62+'Fórmula'!K62))*(INDEX(properties!A$1:CB$87,'Fórmula'!J62,9))</f>
        <v>84</v>
      </c>
      <c r="AA62" s="105">
        <f t="array" ref="AA62">'Fórmula'!C62*(INDEX(properties!A$1:CB$87,'Fórmula'!B62,9))+'Fórmula'!E62*(INDEX(properties!A$1:CB$87,'Fórmula'!D62,9))+'Fórmula'!G62*(INDEX(properties!A$1:CB$87,'Fórmula'!F62,9))+'Fórmula'!I62*(INDEX(properties!A$1:CB$87,'Fórmula'!H62,9))+'Fórmula'!K62*(INDEX(properties!A$1:CB$87,'Fórmula'!J62,9))</f>
        <v>504</v>
      </c>
      <c r="AB62" s="105">
        <f t="array" ref="AB62">VARP(IF(INDEX(properties!A$1:CB$87,'Fórmula'!B62,9)&lt;&gt;"",INDEX(properties!A$1:CB$87,'Fórmula'!B62,9)),IF(INDEX(properties!A$1:CB$87,'Fórmula'!D62,9)&lt;&gt;"",INDEX(properties!A$1:CB$87,'Fórmula'!D62,9)),IF(INDEX(properties!A$1:CB$87,'Fórmula'!F62,9)&lt;&gt;"",INDEX(properties!A$1:CB$87,'Fórmula'!F62,9)),IF(INDEX(properties!A$1:CB$87,'Fórmula'!H62,9)&lt;&gt;"",INDEX(properties!A$1:CB$87,'Fórmula'!H62,9)),IF(INDEX(properties!A$1:CB$87,'Fórmula'!J62,9)&lt;&gt;"",INDEX(properties!A$1:CB$87,'Fórmula'!J62,9)))</f>
        <v>1595.44</v>
      </c>
      <c r="AC62" s="105">
        <f t="array" ref="AC62">MAX(INDEX(properties!A$1:CB$87,'Fórmula'!B62,9),INDEX(properties!A$1:CB$87,'Fórmula'!D62,9),INDEX(properties!A$1:CB$87,'Fórmula'!F62,9),INDEX(properties!A$1:CB$87,'Fórmula'!H62,9),INDEX(properties!A$1:CB$87,'Fórmula'!J62,9))</f>
        <v>87</v>
      </c>
      <c r="AD62" s="105">
        <f t="array" ref="AD62">MIN(IF(INDEX(properties!A$1:CB$87,'Fórmula'!B62,9)=0,10^6,INDEX(properties!A$1:CB$87,'Fórmula'!B62,9)),IF(INDEX(properties!A$1:CB$87,'Fórmula'!D62,9)=0,10^6,INDEX(properties!A$1:CB$87,'Fórmula'!D62,9)),IF(INDEX(properties!A$1:CB$87,'Fórmula'!F62,9)=0,10^6,INDEX(properties!A$1:CB$87,'Fórmula'!F62,9)),IF(INDEX(properties!A$1:CB$87,'Fórmula'!H62,9)=0,10^6,INDEX(properties!A$1:CB$87,'Fórmula'!H62,9)),IF(INDEX(properties!A$1:CB$87,'Fórmula'!J62,9)=0,10^6,INDEX(properties!A$1:CB$87,'Fórmula'!J62,9)))</f>
        <v>73</v>
      </c>
      <c r="AE62" s="105">
        <f t="shared" si="5"/>
        <v>14</v>
      </c>
      <c r="AF62" s="106">
        <f t="array" ref="AF62">(('Fórmula'!C62)/('Fórmula'!C62+'Fórmula'!E62+'Fórmula'!G62+'Fórmula'!I62+'Fórmula'!K62))*(INDEX(properties!A$1:CB$87,'Fórmula'!B62,10))+(('Fórmula'!E62)/('Fórmula'!C62+'Fórmula'!E62+'Fórmula'!G62+'Fórmula'!I62+'Fórmula'!K62))*(INDEX(properties!A$1:CB$87,'Fórmula'!D62,10))+(('Fórmula'!G62)/('Fórmula'!C62+'Fórmula'!E62+'Fórmula'!G62+'Fórmula'!I62+'Fórmula'!K62))*(INDEX(properties!A$1:CB$87,'Fórmula'!F62,10))+(('Fórmula'!I62)/('Fórmula'!C62+'Fórmula'!E62+'Fórmula'!G62+'Fórmula'!I62+'Fórmula'!K62))*(INDEX(properties!A$1:CB$87,'Fórmula'!H62,10))+(('Fórmula'!K62)/('Fórmula'!C62+'Fórmula'!E62+'Fórmula'!G62+'Fórmula'!I62+'Fórmula'!K62))*(INDEX(properties!A$1:CB$87,'Fórmula'!J62,10))</f>
        <v>6.666666667</v>
      </c>
      <c r="AG62" s="106">
        <f t="array" ref="AG62">'Fórmula'!C62*(INDEX(properties!A$1:CB$87,'Fórmula'!B62,10))+'Fórmula'!E62*(INDEX(properties!A$1:CB$87,'Fórmula'!D62,10))+'Fórmula'!G62*(INDEX(properties!A$1:CB$87,'Fórmula'!F62,10))+'Fórmula'!I62*(INDEX(properties!A$1:CB$87,'Fórmula'!H62,10))+'Fórmula'!K62*(INDEX(properties!A$1:CB$87,'Fórmula'!J62,10))</f>
        <v>40</v>
      </c>
      <c r="AH62" s="106">
        <f t="array" ref="AH62">VARP(IF(INDEX(properties!A$1:CB$87,'Fórmula'!B62,10)&lt;&gt;"",INDEX(properties!A$1:CB$87,'Fórmula'!B62,10)),IF(INDEX(properties!A$1:CB$87,'Fórmula'!D62,10)&lt;&gt;"",INDEX(properties!A$1:CB$87,'Fórmula'!D62,10)),IF(INDEX(properties!A$1:CB$87,'Fórmula'!F62,10)&lt;&gt;"",INDEX(properties!A$1:CB$87,'Fórmula'!F62,10)),IF(INDEX(properties!A$1:CB$87,'Fórmula'!H62,10)&lt;&gt;"",INDEX(properties!A$1:CB$87,'Fórmula'!H62,10)),IF(INDEX(properties!A$1:CB$87,'Fórmula'!J62,10)&lt;&gt;"",INDEX(properties!A$1:CB$87,'Fórmula'!J62,10)))</f>
        <v>10.16</v>
      </c>
      <c r="AI62" s="106">
        <f t="array" ref="AI62">MAX(INDEX(properties!A$1:CB$87,'Fórmula'!B62,10),INDEX(properties!A$1:CB$87,'Fórmula'!D62,10),INDEX(properties!A$1:CB$87,'Fórmula'!F62,10),INDEX(properties!A$1:CB$87,'Fórmula'!H62,10),INDEX(properties!A$1:CB$87,'Fórmula'!J62,10))</f>
        <v>7</v>
      </c>
      <c r="AJ62" s="106">
        <f t="array" ref="AJ62">MIN(IF(INDEX(properties!A$1:CB$87,'Fórmula'!B62,10)=0,10^6,INDEX(properties!A$1:CB$87,'Fórmula'!B62,10)),IF(INDEX(properties!A$1:CB$87,'Fórmula'!D62,10)=0,10^6,INDEX(properties!A$1:CB$87,'Fórmula'!D62,10)),IF(INDEX(properties!A$1:CB$87,'Fórmula'!F62,10)=0,10^6,INDEX(properties!A$1:CB$87,'Fórmula'!F62,10)),IF(INDEX(properties!A$1:CB$87,'Fórmula'!H62,10)=0,10^6,INDEX(properties!A$1:CB$87,'Fórmula'!H62,10)),IF(INDEX(properties!A$1:CB$87,'Fórmula'!J62,10)=0,10^6,INDEX(properties!A$1:CB$87,'Fórmula'!J62,10)))</f>
        <v>5</v>
      </c>
      <c r="AK62" s="106">
        <f t="shared" si="6"/>
        <v>2</v>
      </c>
      <c r="AL62" s="107">
        <f t="array" ref="AL62">(('Fórmula'!C62)/('Fórmula'!C62+'Fórmula'!E62+'Fórmula'!G62+'Fórmula'!I62+'Fórmula'!K62))*(INDEX(properties!A$1:CB$87,'Fórmula'!B62,11))+(('Fórmula'!E62)/('Fórmula'!C62+'Fórmula'!E62+'Fórmula'!G62+'Fórmula'!I62+'Fórmula'!K62))*(INDEX(properties!A$1:CB$87,'Fórmula'!D62,11))+(('Fórmula'!G62)/('Fórmula'!C62+'Fórmula'!E62+'Fórmula'!G62+'Fórmula'!I62+'Fórmula'!K62))*(INDEX(properties!A$1:CB$87,'Fórmula'!F62,11))+(('Fórmula'!I62)/('Fórmula'!C62+'Fórmula'!E62+'Fórmula'!G62+'Fórmula'!I62+'Fórmula'!K62))*(INDEX(properties!A$1:CB$87,'Fórmula'!H62,11))+(('Fórmula'!K62)/('Fórmula'!C62+'Fórmula'!E62+'Fórmula'!G62+'Fórmula'!I62+'Fórmula'!K62))*(INDEX(properties!A$1:CB$87,'Fórmula'!J62,11))</f>
        <v>2</v>
      </c>
      <c r="AM62" s="107">
        <f t="array" ref="AM62">'Fórmula'!C62*(INDEX(properties!A$1:CB$87,'Fórmula'!B62,11))+'Fórmula'!E62*(INDEX(properties!A$1:CB$87,'Fórmula'!D62,11))+'Fórmula'!G62*(INDEX(properties!A$1:CB$87,'Fórmula'!F62,11))+'Fórmula'!I62*(INDEX(properties!A$1:CB$87,'Fórmula'!H62,11))+'Fórmula'!K62*(INDEX(properties!A$1:CB$87,'Fórmula'!J62,11))</f>
        <v>12</v>
      </c>
      <c r="AN62" s="107">
        <f t="array" ref="AN62">VARP(IF(INDEX(properties!A$1:CB$87,'Fórmula'!B62,11)&lt;&gt;"",INDEX(properties!A$1:CB$87,'Fórmula'!B62,11)),IF(INDEX(properties!A$1:CB$87,'Fórmula'!D62,11)&lt;&gt;"",INDEX(properties!A$1:CB$87,'Fórmula'!D62,11)),IF(INDEX(properties!A$1:CB$87,'Fórmula'!F62,11)&lt;&gt;"",INDEX(properties!A$1:CB$87,'Fórmula'!F62,11)),IF(INDEX(properties!A$1:CB$87,'Fórmula'!H62,11)&lt;&gt;"",INDEX(properties!A$1:CB$87,'Fórmula'!H62,11)),IF(INDEX(properties!A$1:CB$87,'Fórmula'!J62,11)&lt;&gt;"",INDEX(properties!A$1:CB$87,'Fórmula'!J62,11)))</f>
        <v>0.96</v>
      </c>
      <c r="AO62" s="107">
        <f t="array" ref="AO62">MAX(INDEX(properties!A$1:CB$87,'Fórmula'!B62,11),INDEX(properties!A$1:CB$87,'Fórmula'!D62,11),INDEX(properties!A$1:CB$87,'Fórmula'!F62,11),INDEX(properties!A$1:CB$87,'Fórmula'!H62,11),INDEX(properties!A$1:CB$87,'Fórmula'!J62,11))</f>
        <v>2</v>
      </c>
      <c r="AP62" s="107">
        <f t="array" ref="AP62">MIN(IF('Fórmula'!B62=87,10^6,INDEX(properties!A$1:CB$87,'Fórmula'!B62,11)),IF(('Fórmula'!D62)=87,10^6,INDEX(properties!A$1:CB$87,'Fórmula'!D62,11)),IF(('Fórmula'!F62)=87,10^6,INDEX(properties!A$1:CB$87,'Fórmula'!F62,11)),IF(('Fórmula'!H62)=87,10^6,INDEX(properties!A$1:CB$87,'Fórmula'!H62,11)),IF('Fórmula'!J62=87,10^6,INDEX(properties!A$1:CB$87,'Fórmula'!J62,11)))</f>
        <v>2</v>
      </c>
      <c r="AQ62" s="107">
        <f t="shared" si="7"/>
        <v>0</v>
      </c>
      <c r="AR62" s="108">
        <f t="array" ref="AR62">(('Fórmula'!C62)/('Fórmula'!C62+'Fórmula'!E62+'Fórmula'!G62+'Fórmula'!I62+'Fórmula'!K62))*(INDEX(properties!A$1:CB$87,'Fórmula'!B62,12))+(('Fórmula'!E62)/('Fórmula'!C62+'Fórmula'!E62+'Fórmula'!G62+'Fórmula'!I62+'Fórmula'!K62))*(INDEX(properties!A$1:CB$87,'Fórmula'!D62,12))+(('Fórmula'!G62)/('Fórmula'!C62+'Fórmula'!E62+'Fórmula'!G62+'Fórmula'!I62+'Fórmula'!K62))*(INDEX(properties!A$1:CB$87,'Fórmula'!F62,12))+(('Fórmula'!I62)/('Fórmula'!C62+'Fórmula'!E62+'Fórmula'!G62+'Fórmula'!I62+'Fórmula'!K62))*(INDEX(properties!A$1:CB$87,'Fórmula'!H62,12))+(('Fórmula'!K62)/('Fórmula'!C62+'Fórmula'!E62+'Fórmula'!G62+'Fórmula'!I62+'Fórmula'!K62))*(INDEX(properties!A$1:CB$87,'Fórmula'!J62,12))</f>
        <v>3.333333333</v>
      </c>
      <c r="AS62" s="108">
        <f t="array" ref="AS62">'Fórmula'!C62*(INDEX(properties!A$1:CB$87,'Fórmula'!B62,12))+'Fórmula'!E62*(INDEX(properties!A$1:CB$87,'Fórmula'!D62,12))+'Fórmula'!G62*(INDEX(properties!A$1:CB$87,'Fórmula'!F62,12))+'Fórmula'!I62*(INDEX(properties!A$1:CB$87,'Fórmula'!H62,12))+'Fórmula'!K62*(INDEX(properties!A$1:CB$87,'Fórmula'!J62,12))</f>
        <v>20</v>
      </c>
      <c r="AT62" s="108">
        <f t="array" ref="AT62">VARP(IF(INDEX(properties!A$1:CB$87,'Fórmula'!B62,12)&lt;&gt;"",INDEX(properties!A$1:CB$87,'Fórmula'!B62,12)),IF(INDEX(properties!A$1:CB$87,'Fórmula'!D62,12)&lt;&gt;"",INDEX(properties!A$1:CB$87,'Fórmula'!D62,12)),IF(INDEX(properties!A$1:CB$87,'Fórmula'!F62,12)&lt;&gt;"",INDEX(properties!A$1:CB$87,'Fórmula'!F62,12)),IF(INDEX(properties!A$1:CB$87,'Fórmula'!H62,12)&lt;&gt;"",INDEX(properties!A$1:CB$87,'Fórmula'!H62,12)),IF(INDEX(properties!A$1:CB$87,'Fórmula'!J62,12)&lt;&gt;"",INDEX(properties!A$1:CB$87,'Fórmula'!J62,12)))</f>
        <v>2.64</v>
      </c>
      <c r="AU62" s="108">
        <f t="array" ref="AU62">MAX(INDEX(properties!A$1:CB$87,'Fórmula'!B62,12),INDEX(properties!A$1:CB$87,'Fórmula'!D62,12),INDEX(properties!A$1:CB$87,'Fórmula'!F62,12),INDEX(properties!A$1:CB$87,'Fórmula'!H62,12),INDEX(properties!A$1:CB$87,'Fórmula'!J62,12))</f>
        <v>4</v>
      </c>
      <c r="AV62" s="108">
        <f t="array" ref="AV62">MIN(IF('Fórmula'!B62=87,10^6,INDEX(properties!A$1:CB$87,'Fórmula'!B62,12)),IF(('Fórmula'!D62)=87,10^6,INDEX(properties!A$1:CB$87,'Fórmula'!D62,12)),IF(('Fórmula'!F62)=87,10^6,INDEX(properties!A$1:CB$87,'Fórmula'!F62,12)),IF(('Fórmula'!H62)=87,10^6,INDEX(properties!A$1:CB$87,'Fórmula'!H62,12)),IF('Fórmula'!J62=87,10^6,INDEX(properties!A$1:CB$87,'Fórmula'!J62,12)))</f>
        <v>1</v>
      </c>
      <c r="AW62" s="108">
        <f t="shared" si="8"/>
        <v>3</v>
      </c>
      <c r="AX62" s="109">
        <f t="array" ref="AX62">(('Fórmula'!C62)/('Fórmula'!C62+'Fórmula'!E62+'Fórmula'!G62+'Fórmula'!I62+'Fórmula'!K62))*(INDEX(properties!A$1:CB$87,'Fórmula'!B62,13))+(('Fórmula'!E62)/('Fórmula'!C62+'Fórmula'!E62+'Fórmula'!G62+'Fórmula'!I62+'Fórmula'!K62))*(INDEX(properties!A$1:CB$87,'Fórmula'!D62,13))+(('Fórmula'!G62)/('Fórmula'!C62+'Fórmula'!E62+'Fórmula'!G62+'Fórmula'!I62+'Fórmula'!K62))*(INDEX(properties!A$1:CB$87,'Fórmula'!F62,13))+(('Fórmula'!I62)/('Fórmula'!C62+'Fórmula'!E62+'Fórmula'!G62+'Fórmula'!I62+'Fórmula'!K62))*(INDEX(properties!A$1:CB$87,'Fórmula'!H62,13))+(('Fórmula'!K62)/('Fórmula'!C62+'Fórmula'!E62+'Fórmula'!G62+'Fórmula'!I62+'Fórmula'!K62))*(INDEX(properties!A$1:CB$87,'Fórmula'!J62,13))</f>
        <v>0</v>
      </c>
      <c r="AY62" s="109">
        <f t="array" ref="AY62">'Fórmula'!C62*(INDEX(properties!A$1:CB$87,'Fórmula'!B62,13))+'Fórmula'!E62*(INDEX(properties!A$1:CB$87,'Fórmula'!D62,13))+'Fórmula'!G62*(INDEX(properties!A$1:CB$87,'Fórmula'!F62,13))+'Fórmula'!I62*(INDEX(properties!A$1:CB$87,'Fórmula'!H62,13))+'Fórmula'!K62*(INDEX(properties!A$1:CB$87,'Fórmula'!J62,13))</f>
        <v>0</v>
      </c>
      <c r="AZ62" s="109">
        <f t="array" ref="AZ62">VARP(IF(INDEX(properties!A$1:CB$87,'Fórmula'!B62,13)&lt;&gt;"",INDEX(properties!A$1:CB$87,'Fórmula'!B62,13)),IF(INDEX(properties!A$1:CB$87,'Fórmula'!D62,13)&lt;&gt;"",INDEX(properties!A$1:CB$87,'Fórmula'!D62,13)),IF(INDEX(properties!A$1:CB$87,'Fórmula'!F62,13)&lt;&gt;"",INDEX(properties!A$1:CB$87,'Fórmula'!F62,13)),IF(INDEX(properties!A$1:CB$87,'Fórmula'!H62,13)&lt;&gt;"",INDEX(properties!A$1:CB$87,'Fórmula'!H62,13)),IF(INDEX(properties!A$1:CB$87,'Fórmula'!J62,13)&lt;&gt;"",INDEX(properties!A$1:CB$87,'Fórmula'!J62,13)))</f>
        <v>0</v>
      </c>
      <c r="BA62" s="109">
        <f t="array" ref="BA62">MAX(INDEX(properties!A$1:CB$87,'Fórmula'!B62,13),INDEX(properties!A$1:CB$87,'Fórmula'!D62,13),INDEX(properties!A$1:CB$87,'Fórmula'!F62,13),INDEX(properties!A$1:CB$87,'Fórmula'!H62,13),INDEX(properties!A$1:CB$87,'Fórmula'!J62,13))</f>
        <v>0</v>
      </c>
      <c r="BB62" s="109">
        <f t="array" ref="BB62">MIN(IF('Fórmula'!B62=87,10^6,INDEX(properties!A$1:CB$87,'Fórmula'!B62,13)),IF(('Fórmula'!D62)=87,10^6,INDEX(properties!A$1:CB$87,'Fórmula'!D62,13)),IF(('Fórmula'!F62)=87,10^6,INDEX(properties!A$1:CB$87,'Fórmula'!F62,13)),IF(('Fórmula'!H62)=87,10^6,INDEX(properties!A$1:CB$87,'Fórmula'!H62,13)),IF('Fórmula'!J62=87,10^6,INDEX(properties!A$1:CB$87,'Fórmula'!J62,13)))</f>
        <v>0</v>
      </c>
      <c r="BC62" s="109">
        <f t="shared" si="9"/>
        <v>0</v>
      </c>
      <c r="BD62" s="110">
        <f t="array" ref="BD62">(('Fórmula'!C62)/('Fórmula'!C62+'Fórmula'!E62+'Fórmula'!G62+'Fórmula'!I62+'Fórmula'!K62))*(INDEX(properties!A$1:CB$87,'Fórmula'!B62,14))+(('Fórmula'!E62)/('Fórmula'!C62+'Fórmula'!E62+'Fórmula'!G62+'Fórmula'!I62+'Fórmula'!K62))*(INDEX(properties!A$1:CB$87,'Fórmula'!D62,14))+(('Fórmula'!G62)/('Fórmula'!C62+'Fórmula'!E62+'Fórmula'!G62+'Fórmula'!I62+'Fórmula'!K62))*(INDEX(properties!A$1:CB$87,'Fórmula'!F62,14))+(('Fórmula'!I62)/('Fórmula'!C62+'Fórmula'!E62+'Fórmula'!G62+'Fórmula'!I62+'Fórmula'!K62))*(INDEX(properties!A$1:CB$87,'Fórmula'!H62,14))+(('Fórmula'!K62)/('Fórmula'!C62+'Fórmula'!E62+'Fórmula'!G62+'Fórmula'!I62+'Fórmula'!K62))*(INDEX(properties!A$1:CB$87,'Fórmula'!J62,14))</f>
        <v>0</v>
      </c>
      <c r="BE62" s="110">
        <f t="array" ref="BE62">'Fórmula'!C62*(INDEX(properties!A$1:CB$87,'Fórmula'!B62,14))+'Fórmula'!E62*(INDEX(properties!A$1:CB$87,'Fórmula'!D62,14))+'Fórmula'!G62*(INDEX(properties!A$1:CB$87,'Fórmula'!F62,14))+'Fórmula'!I62*(INDEX(properties!A$1:CB$87,'Fórmula'!H62,14))+'Fórmula'!K62*(INDEX(properties!A$1:CB$87,'Fórmula'!J62,14))</f>
        <v>0</v>
      </c>
      <c r="BF62" s="110">
        <f t="array" ref="BF62">VARP(IF(INDEX(properties!A$1:CB$87,'Fórmula'!B62,14)&lt;&gt;"",INDEX(properties!A$1:CB$87,'Fórmula'!B62,14)),IF(INDEX(properties!A$1:CB$87,'Fórmula'!D62,14)&lt;&gt;"",INDEX(properties!A$1:CB$87,'Fórmula'!D62,14)),IF(INDEX(properties!A$1:CB$87,'Fórmula'!F62,14)&lt;&gt;"",INDEX(properties!A$1:CB$87,'Fórmula'!F62,14)),IF(INDEX(properties!A$1:CB$87,'Fórmula'!H62,14)&lt;&gt;"",INDEX(properties!A$1:CB$87,'Fórmula'!H62,14)),IF(INDEX(properties!A$1:CB$87,'Fórmula'!J62,14)&lt;&gt;"",INDEX(properties!A$1:CB$87,'Fórmula'!J62,14)))</f>
        <v>0</v>
      </c>
      <c r="BG62" s="110">
        <f t="array" ref="BG62">MAX(INDEX(properties!A$1:CB$87,'Fórmula'!B62,14),INDEX(properties!A$1:CB$87,'Fórmula'!D62,14),INDEX(properties!A$1:CB$87,'Fórmula'!F62,14),INDEX(properties!A$1:CB$87,'Fórmula'!H62,14),INDEX(properties!A$1:CB$87,'Fórmula'!J62,14))</f>
        <v>0</v>
      </c>
      <c r="BH62" s="110">
        <f t="array" ref="BH62">MIN(IF('Fórmula'!B62=87,10^6,INDEX(properties!A$1:CB$87,'Fórmula'!B62,14)),IF(('Fórmula'!D62)=87,10^6,INDEX(properties!A$1:CB$87,'Fórmula'!D62,14)),IF(('Fórmula'!F62)=87,10^6,INDEX(properties!A$1:CB$87,'Fórmula'!F62,14)),IF(('Fórmula'!H62)=87,10^6,INDEX(properties!A$1:CB$87,'Fórmula'!H62,14)),IF('Fórmula'!J62=87,10^6,INDEX(properties!A$1:CB$87,'Fórmula'!J62,14)))</f>
        <v>0</v>
      </c>
      <c r="BI62" s="110">
        <f t="shared" si="10"/>
        <v>0</v>
      </c>
      <c r="BJ62" s="111">
        <f t="array" ref="BJ62">(('Fórmula'!C62)/('Fórmula'!C62+'Fórmula'!E62+'Fórmula'!G62+'Fórmula'!I62+'Fórmula'!K62))*(INDEX(properties!A$1:CB$87,'Fórmula'!B62,19))+(('Fórmula'!E62)/('Fórmula'!C62+'Fórmula'!E62+'Fórmula'!G62+'Fórmula'!I62+'Fórmula'!K62))*(INDEX(properties!A$1:CB$87,'Fórmula'!D62,19))+(('Fórmula'!G62)/('Fórmula'!C62+'Fórmula'!E62+'Fórmula'!G62+'Fórmula'!I62+'Fórmula'!K62))*(INDEX(properties!A$1:CB$87,'Fórmula'!F62,19))+(('Fórmula'!I62)/('Fórmula'!C62+'Fórmula'!E62+'Fórmula'!G62+'Fórmula'!I62+'Fórmula'!K62))*(INDEX(properties!A$1:CB$87,'Fórmula'!H62,19))+(('Fórmula'!K62)/('Fórmula'!C62+'Fórmula'!E62+'Fórmula'!G62+'Fórmula'!I62+'Fórmula'!K62))*(INDEX(properties!A$1:CB$87,'Fórmula'!J62,19))</f>
        <v>5.333333333</v>
      </c>
      <c r="BK62" s="111">
        <f t="array" ref="BK62">'Fórmula'!C62*(INDEX(properties!A$1:CB$87,'Fórmula'!B62,19))+'Fórmula'!E62*(INDEX(properties!A$1:CB$87,'Fórmula'!D62,19))+'Fórmula'!G62*(INDEX(properties!A$1:CB$87,'Fórmula'!F62,19))+'Fórmula'!I62*(INDEX(properties!A$1:CB$87,'Fórmula'!H62,19))+'Fórmula'!K62*(INDEX(properties!A$1:CB$87,'Fórmula'!J62,19))</f>
        <v>32</v>
      </c>
      <c r="BL62" s="111">
        <f t="array" ref="BL62">VARP(IF(INDEX(properties!A$1:CB$87,'Fórmula'!B62,19)&lt;&gt;"",INDEX(properties!A$1:CB$87,'Fórmula'!B62,19)),IF(INDEX(properties!A$1:CB$87,'Fórmula'!D62,19)&lt;&gt;"",INDEX(properties!A$1:CB$87,'Fórmula'!D62,19)),IF(INDEX(properties!A$1:CB$87,'Fórmula'!F62,19)&lt;&gt;"",INDEX(properties!A$1:CB$87,'Fórmula'!F62,19)),IF(INDEX(properties!A$1:CB$87,'Fórmula'!H62,19)&lt;&gt;"",INDEX(properties!A$1:CB$87,'Fórmula'!H62,19)),IF(INDEX(properties!A$1:CB$87,'Fórmula'!J62,19)&lt;&gt;"",INDEX(properties!A$1:CB$87,'Fórmula'!J62,19)))</f>
        <v>6.16</v>
      </c>
      <c r="BM62" s="111">
        <f t="array" ref="BM62">MAX(INDEX(properties!A$1:CB$87,'Fórmula'!B62,19),INDEX(properties!A$1:CB$87,'Fórmula'!D62,19),INDEX(properties!A$1:CB$87,'Fórmula'!F62,19),INDEX(properties!A$1:CB$87,'Fórmula'!H62,19),INDEX(properties!A$1:CB$87,'Fórmula'!J62,19))</f>
        <v>6</v>
      </c>
      <c r="BN62" s="111">
        <f t="array" ref="BN62">MIN(IF(INDEX(properties!A$1:CB$87,'Fórmula'!B62,19)=0,10^6,INDEX(properties!A$1:CB$87,'Fórmula'!B62,19)),IF(INDEX(properties!A$1:CB$87,'Fórmula'!D62,19)=0,10^6,INDEX(properties!A$1:CB$87,'Fórmula'!D62,19)),IF(INDEX(properties!A$1:CB$87,'Fórmula'!F62,19)=0,10^6,INDEX(properties!A$1:CB$87,'Fórmula'!F62,19)),IF(INDEX(properties!A$1:CB$87,'Fórmula'!H62,19)=0,10^6,INDEX(properties!A$1:CB$87,'Fórmula'!H62,19)),IF(INDEX(properties!A$1:CB$87,'Fórmula'!J62,19)=0,10^6,INDEX(properties!A$1:CB$87,'Fórmula'!J62,19)))</f>
        <v>3</v>
      </c>
      <c r="BO62" s="111">
        <f t="shared" si="11"/>
        <v>3</v>
      </c>
      <c r="BP62" s="112">
        <f t="array" ref="BP62">(('Fórmula'!C62)/('Fórmula'!C62+'Fórmula'!E62+'Fórmula'!G62+'Fórmula'!I62+'Fórmula'!K62))*(INDEX(properties!A$1:CB$87,'Fórmula'!B62,20))+(('Fórmula'!E62)/('Fórmula'!C62+'Fórmula'!E62+'Fórmula'!G62+'Fórmula'!I62+'Fórmula'!K62))*(INDEX(properties!A$1:CB$87,'Fórmula'!D62,20))+(('Fórmula'!G62)/('Fórmula'!C62+'Fórmula'!E62+'Fórmula'!G62+'Fórmula'!I62+'Fórmula'!K62))*(INDEX(properties!A$1:CB$87,'Fórmula'!F62,20))+(('Fórmula'!I62)/('Fórmula'!C62+'Fórmula'!E62+'Fórmula'!G62+'Fórmula'!I62+'Fórmula'!K62))*(INDEX(properties!A$1:CB$87,'Fórmula'!H62,20))+(('Fórmula'!K62)/('Fórmula'!C62+'Fórmula'!E62+'Fórmula'!G62+'Fórmula'!I62+'Fórmula'!K62))*(INDEX(properties!A$1:CB$87,'Fórmula'!J62,20))</f>
        <v>5.333333333</v>
      </c>
      <c r="BQ62" s="112">
        <f t="array" ref="BQ62">'Fórmula'!C62*(INDEX(properties!A$1:CB$87,'Fórmula'!B62,20))+'Fórmula'!E62*(INDEX(properties!A$1:CB$87,'Fórmula'!D62,20))+'Fórmula'!G62*(INDEX(properties!A$1:CB$87,'Fórmula'!F62,20))+'Fórmula'!I62*(INDEX(properties!A$1:CB$87,'Fórmula'!H62,20))+'Fórmula'!K62*(INDEX(properties!A$1:CB$87,'Fórmula'!J62,20))</f>
        <v>32</v>
      </c>
      <c r="BR62" s="112">
        <f t="array" ref="BR62">VARP(IF(INDEX(properties!A$1:CB$87,'Fórmula'!B62,20)&lt;&gt;"",INDEX(properties!A$1:CB$87,'Fórmula'!B62,20)),IF(INDEX(properties!A$1:CB$87,'Fórmula'!D62,20)&lt;&gt;"",INDEX(properties!A$1:CB$87,'Fórmula'!D62,20)),IF(INDEX(properties!A$1:CB$87,'Fórmula'!F62,20)&lt;&gt;"",INDEX(properties!A$1:CB$87,'Fórmula'!F62,20)),IF(INDEX(properties!A$1:CB$87,'Fórmula'!H62,20)&lt;&gt;"",INDEX(properties!A$1:CB$87,'Fórmula'!H62,20)),IF(INDEX(properties!A$1:CB$87,'Fórmula'!J62,20)&lt;&gt;"",INDEX(properties!A$1:CB$87,'Fórmula'!J62,20)))</f>
        <v>6.16</v>
      </c>
      <c r="BS62" s="112">
        <f t="array" ref="BS62">MAX(INDEX(properties!A$1:CB$87,'Fórmula'!B62,20),INDEX(properties!A$1:CB$87,'Fórmula'!D62,20),INDEX(properties!A$1:CB$87,'Fórmula'!F62,20),INDEX(properties!A$1:CB$87,'Fórmula'!H62,20),INDEX(properties!A$1:CB$87,'Fórmula'!J62,20))</f>
        <v>6</v>
      </c>
      <c r="BT62" s="112">
        <f t="array" ref="BT62">MIN(IF(INDEX(properties!A$1:CB$87,'Fórmula'!B62,20)=0,10^6,INDEX(properties!A$1:CB$87,'Fórmula'!B62,20)),IF(INDEX(properties!A$1:CB$87,'Fórmula'!D62,20)=0,10^6,INDEX(properties!A$1:CB$87,'Fórmula'!D62,20)),IF(INDEX(properties!A$1:CB$87,'Fórmula'!F62,20)=0,10^6,INDEX(properties!A$1:CB$87,'Fórmula'!F62,20)),IF(INDEX(properties!A$1:CB$87,'Fórmula'!H62,20)=0,10^6,INDEX(properties!A$1:CB$87,'Fórmula'!H62,20)),IF(INDEX(properties!A$1:CB$87,'Fórmula'!J62,20)=0,10^6,INDEX(properties!A$1:CB$87,'Fórmula'!J62,20)))</f>
        <v>3</v>
      </c>
      <c r="BU62" s="112">
        <f t="shared" si="12"/>
        <v>3</v>
      </c>
      <c r="BV62" s="113">
        <f t="array" ref="BV62">(('Fórmula'!C62)/('Fórmula'!C62+'Fórmula'!E62+'Fórmula'!G62+'Fórmula'!I62+'Fórmula'!K62))*(INDEX(properties!A$1:CB$87,'Fórmula'!B62,21))+(('Fórmula'!E62)/('Fórmula'!C62+'Fórmula'!E62+'Fórmula'!G62+'Fórmula'!I62+'Fórmula'!K62))*(INDEX(properties!A$1:CB$87,'Fórmula'!D62,21))+(('Fórmula'!G62)/('Fórmula'!C62+'Fórmula'!E62+'Fórmula'!G62+'Fórmula'!I62+'Fórmula'!K62))*(INDEX(properties!A$1:CB$87,'Fórmula'!F62,21))+(('Fórmula'!I62)/('Fórmula'!C62+'Fórmula'!E62+'Fórmula'!G62+'Fórmula'!I62+'Fórmula'!K62))*(INDEX(properties!A$1:CB$87,'Fórmula'!H62,21))+(('Fórmula'!K62)/('Fórmula'!C62+'Fórmula'!E62+'Fórmula'!G62+'Fórmula'!I62+'Fórmula'!K62))*(INDEX(properties!A$1:CB$87,'Fórmula'!J62,21))</f>
        <v>5.333333333</v>
      </c>
      <c r="BW62" s="113">
        <f t="array" ref="BW62">'Fórmula'!C62*(INDEX(properties!A$1:CB$87,'Fórmula'!B62,21))+'Fórmula'!E62*(INDEX(properties!A$1:CB$87,'Fórmula'!D62,21))+'Fórmula'!G62*(INDEX(properties!A$1:CB$87,'Fórmula'!F62,21))+'Fórmula'!I62*(INDEX(properties!A$1:CB$87,'Fórmula'!H62,21))+'Fórmula'!K62*(INDEX(properties!A$1:CB$87,'Fórmula'!J62,21))</f>
        <v>32</v>
      </c>
      <c r="BX62" s="113">
        <f t="array" ref="BX62">VARP(IF(INDEX(properties!A$1:CB$87,'Fórmula'!B62,21)&lt;&gt;"",INDEX(properties!A$1:CB$87,'Fórmula'!B62,21)),IF(INDEX(properties!A$1:CB$87,'Fórmula'!D62,21)&lt;&gt;"",INDEX(properties!A$1:CB$87,'Fórmula'!D62,21)),IF(INDEX(properties!A$1:CB$87,'Fórmula'!F62,21)&lt;&gt;"",INDEX(properties!A$1:CB$87,'Fórmula'!F62,21)),IF(INDEX(properties!A$1:CB$87,'Fórmula'!H62,21)&lt;&gt;"",INDEX(properties!A$1:CB$87,'Fórmula'!H62,21)),IF(INDEX(properties!A$1:CB$87,'Fórmula'!J62,21)&lt;&gt;"",INDEX(properties!A$1:CB$87,'Fórmula'!J62,21)))</f>
        <v>6.16</v>
      </c>
      <c r="BY62" s="113">
        <f t="array" ref="BY62">MAX(INDEX(properties!A$1:CB$87,'Fórmula'!B62,21),INDEX(properties!A$1:CB$87,'Fórmula'!D62,21),INDEX(properties!A$1:CB$87,'Fórmula'!F62,21),INDEX(properties!A$1:CB$87,'Fórmula'!H62,21),INDEX(properties!A$1:CB$87,'Fórmula'!J62,21))</f>
        <v>6</v>
      </c>
      <c r="BZ62" s="113">
        <f t="array" ref="BZ62">MIN(IF(INDEX(properties!A$1:CB$87,'Fórmula'!B62,21)=0,10^6,INDEX(properties!A$1:CB$87,'Fórmula'!B62,21)),IF(INDEX(properties!A$1:CB$87,'Fórmula'!D62,21)=0,10^6,INDEX(properties!A$1:CB$87,'Fórmula'!D62,21)),IF(INDEX(properties!A$1:CB$87,'Fórmula'!F62,21)=0,10^6,INDEX(properties!A$1:CB$87,'Fórmula'!F62,21)),IF(INDEX(properties!A$1:CB$87,'Fórmula'!H62,21)=0,10^6,INDEX(properties!A$1:CB$87,'Fórmula'!H62,21)),IF(INDEX(properties!A$1:CB$87,'Fórmula'!J62,21)=0,10^6,INDEX(properties!A$1:CB$87,'Fórmula'!J62,21)))</f>
        <v>3</v>
      </c>
      <c r="CA62" s="113">
        <f t="shared" si="13"/>
        <v>3</v>
      </c>
      <c r="CB62" s="114">
        <f t="array" ref="CB62">(('Fórmula'!C62)/('Fórmula'!C62+'Fórmula'!E62+'Fórmula'!G62+'Fórmula'!I62+'Fórmula'!K62))*(INDEX(properties!A$1:CB$87,'Fórmula'!B62,23))+(('Fórmula'!E62)/('Fórmula'!C62+'Fórmula'!E62+'Fórmula'!G62+'Fórmula'!I62+'Fórmula'!K62))*(INDEX(properties!A$1:CB$87,'Fórmula'!D62,23))+(('Fórmula'!G62)/('Fórmula'!C62+'Fórmula'!E62+'Fórmula'!G62+'Fórmula'!I62+'Fórmula'!K62))*(INDEX(properties!A$1:CB$87,'Fórmula'!F62,23))+(('Fórmula'!I62)/('Fórmula'!C62+'Fórmula'!E62+'Fórmula'!G62+'Fórmula'!I62+'Fórmula'!K62))*(INDEX(properties!A$1:CB$87,'Fórmula'!H62,23))+(('Fórmula'!K62)/('Fórmula'!C62+'Fórmula'!E62+'Fórmula'!G62+'Fórmula'!I62+'Fórmula'!K62))*(INDEX(properties!A$1:CB$87,'Fórmula'!J62,23))</f>
        <v>1</v>
      </c>
      <c r="CC62" s="114">
        <f t="array" ref="CC62">'Fórmula'!C62*(INDEX(properties!A$1:CB$87,'Fórmula'!B62,23))+'Fórmula'!E62*(INDEX(properties!A$1:CB$87,'Fórmula'!D62,23))+'Fórmula'!G62*(INDEX(properties!A$1:CB$87,'Fórmula'!F62,23))+'Fórmula'!I62*(INDEX(properties!A$1:CB$87,'Fórmula'!H62,23))+'Fórmula'!K62*(INDEX(properties!A$1:CB$87,'Fórmula'!J62,23))</f>
        <v>6</v>
      </c>
      <c r="CD62" s="114">
        <f t="array" ref="CD62">VARP(IF(INDEX(properties!A$1:CB$87,'Fórmula'!B62,23)&lt;&gt;"",INDEX(properties!A$1:CB$87,'Fórmula'!B62,23)),IF(INDEX(properties!A$1:CB$87,'Fórmula'!D62,23)&lt;&gt;"",INDEX(properties!A$1:CB$87,'Fórmula'!D62,23)),IF(INDEX(properties!A$1:CB$87,'Fórmula'!F62,23)&lt;&gt;"",INDEX(properties!A$1:CB$87,'Fórmula'!F62,23)),IF(INDEX(properties!A$1:CB$87,'Fórmula'!H62,23)&lt;&gt;"",INDEX(properties!A$1:CB$87,'Fórmula'!H62,23)),IF(INDEX(properties!A$1:CB$87,'Fórmula'!J62,23)&lt;&gt;"",INDEX(properties!A$1:CB$87,'Fórmula'!J62,23)))</f>
        <v>2.16</v>
      </c>
      <c r="CE62" s="114">
        <f t="array" ref="CE62">MAX(INDEX(properties!A$1:CB$87,'Fórmula'!B62,23),INDEX(properties!A$1:CB$87,'Fórmula'!D62,23),INDEX(properties!A$1:CB$87,'Fórmula'!F62,23),INDEX(properties!A$1:CB$87,'Fórmula'!H62,23),INDEX(properties!A$1:CB$87,'Fórmula'!J62,23))</f>
        <v>3</v>
      </c>
      <c r="CF62" s="114">
        <f t="array" ref="CF62">MIN(IF('Fórmula'!B62=87,10^6,INDEX(properties!A$1:CB$87,'Fórmula'!B62,23)),IF(('Fórmula'!D62)=87,10^6,INDEX(properties!A$1:CB$87,'Fórmula'!D62,23)),IF(('Fórmula'!F62)=87,10^6,INDEX(properties!A$1:CB$87,'Fórmula'!F62,23)),IF(('Fórmula'!H62)=87,10^6,INDEX(properties!A$1:CB$87,'Fórmula'!H62,23)),IF('Fórmula'!J62=87,10^6,INDEX(properties!A$1:CB$87,'Fórmula'!J62,23)))</f>
        <v>0</v>
      </c>
      <c r="CG62" s="114">
        <f t="shared" si="14"/>
        <v>3</v>
      </c>
      <c r="CH62" s="115">
        <f t="array" ref="CH62">(('Fórmula'!C62)/('Fórmula'!C62+'Fórmula'!E62+'Fórmula'!G62+'Fórmula'!I62+'Fórmula'!K62))*(INDEX(properties!A$1:CB$87,'Fórmula'!B62,26))+(('Fórmula'!E62)/('Fórmula'!C62+'Fórmula'!E62+'Fórmula'!G62+'Fórmula'!I62+'Fórmula'!K62))*(INDEX(properties!A$1:CB$87,'Fórmula'!D62,26))+(('Fórmula'!G62)/('Fórmula'!C62+'Fórmula'!E62+'Fórmula'!G62+'Fórmula'!I62+'Fórmula'!K62))*(INDEX(properties!A$1:CB$87,'Fórmula'!F62,26))+(('Fórmula'!I62)/('Fórmula'!C62+'Fórmula'!E62+'Fórmula'!G62+'Fórmula'!I62+'Fórmula'!K62))*(INDEX(properties!A$1:CB$87,'Fórmula'!H62,26))+(('Fórmula'!K62)/('Fórmula'!C62+'Fórmula'!E62+'Fórmula'!G62+'Fórmula'!I62+'Fórmula'!K62))*(INDEX(properties!A$1:CB$87,'Fórmula'!J62,26))</f>
        <v>11.82415</v>
      </c>
      <c r="CI62" s="115">
        <f t="array" ref="CI62">'Fórmula'!C62*(INDEX(properties!A$1:CB$87,'Fórmula'!B62,26))+'Fórmula'!E62*(INDEX(properties!A$1:CB$87,'Fórmula'!D62,26))+'Fórmula'!G62*(INDEX(properties!A$1:CB$87,'Fórmula'!F62,26))+'Fórmula'!I62*(INDEX(properties!A$1:CB$87,'Fórmula'!H62,26))+'Fórmula'!K62*(INDEX(properties!A$1:CB$87,'Fórmula'!J62,26))</f>
        <v>70.9449</v>
      </c>
      <c r="CJ62" s="115">
        <f t="array" ref="CJ62">VARP(IF(INDEX(properties!A$1:CB$87,'Fórmula'!B62,26)&lt;&gt;"",INDEX(properties!A$1:CB$87,'Fórmula'!B62,26)),IF(INDEX(properties!A$1:CB$87,'Fórmula'!D62,26)&lt;&gt;"",INDEX(properties!A$1:CB$87,'Fórmula'!D62,26)),IF(INDEX(properties!A$1:CB$87,'Fórmula'!F62,26)&lt;&gt;"",INDEX(properties!A$1:CB$87,'Fórmula'!F62,26)),IF(INDEX(properties!A$1:CB$87,'Fórmula'!H62,26)&lt;&gt;"",INDEX(properties!A$1:CB$87,'Fórmula'!H62,26)),IF(INDEX(properties!A$1:CB$87,'Fórmula'!J62,26)&lt;&gt;"",INDEX(properties!A$1:CB$87,'Fórmula'!J62,26)))</f>
        <v>30.03289689</v>
      </c>
      <c r="CK62" s="116">
        <f t="array" ref="CK62">MAX(INDEX(properties!A$1:CB$87,'Fórmula'!B62,26),INDEX(properties!A$1:CB$87,'Fórmula'!D62,26),INDEX(properties!A$1:CB$87,'Fórmula'!F62,26),INDEX(properties!A$1:CB$87,'Fórmula'!H62,26),INDEX(properties!A$1:CB$87,'Fórmula'!J62,26))</f>
        <v>13.6181</v>
      </c>
      <c r="CL62" s="116">
        <f t="array" ref="CL62">MIN(IF(INDEX(properties!A$1:CB$87,'Fórmula'!B62,26)=0,10^6,INDEX(properties!A$1:CB$87,'Fórmula'!B62,26)),IF(INDEX(properties!A$1:CB$87,'Fórmula'!D62,26)=0,10^6,INDEX(properties!A$1:CB$87,'Fórmula'!D62,26)),IF(INDEX(properties!A$1:CB$87,'Fórmula'!F62,26)=0,10^6,INDEX(properties!A$1:CB$87,'Fórmula'!F62,26)),IF(INDEX(properties!A$1:CB$87,'Fórmula'!H62,26)=0,10^6,INDEX(properties!A$1:CB$87,'Fórmula'!H62,26)),IF(INDEX(properties!A$1:CB$87,'Fórmula'!J62,26)=0,10^6,INDEX(properties!A$1:CB$87,'Fórmula'!J62,26)))</f>
        <v>5.9858</v>
      </c>
      <c r="CM62" s="115">
        <f t="shared" si="15"/>
        <v>7.6323</v>
      </c>
      <c r="CN62" s="117">
        <f t="array" ref="CN62">(('Fórmula'!C62)/('Fórmula'!C62+'Fórmula'!E62+'Fórmula'!G62+'Fórmula'!I62+'Fórmula'!K62))*(INDEX(properties!A$1:CB$87,'Fórmula'!B62,30))+(('Fórmula'!E62)/('Fórmula'!C62+'Fórmula'!E62+'Fórmula'!G62+'Fórmula'!I62+'Fórmula'!K62))*(INDEX(properties!A$1:CB$87,'Fórmula'!D62,30))+(('Fórmula'!G62)/('Fórmula'!C62+'Fórmula'!E62+'Fórmula'!G62+'Fórmula'!I62+'Fórmula'!K62))*(INDEX(properties!A$1:CB$87,'Fórmula'!F62,30))+(('Fórmula'!I62)/('Fórmula'!C62+'Fórmula'!E62+'Fórmula'!G62+'Fórmula'!I62+'Fórmula'!K62))*(INDEX(properties!A$1:CB$87,'Fórmula'!H62,30))+(('Fórmula'!K62)/('Fórmula'!C62+'Fórmula'!E62+'Fórmula'!G62+'Fórmula'!I62+'Fórmula'!K62))*(INDEX(properties!A$1:CB$87,'Fórmula'!J62,30))</f>
        <v>2.926666667</v>
      </c>
      <c r="CO62" s="117">
        <f t="array" ref="CO62">'Fórmula'!C62*(INDEX(properties!A$1:CB$87,'Fórmula'!B62,30))+'Fórmula'!E62*(INDEX(properties!A$1:CB$87,'Fórmula'!D62,30))+'Fórmula'!G62*(INDEX(properties!A$1:CB$87,'Fórmula'!F62,30))+'Fórmula'!I62*(INDEX(properties!A$1:CB$87,'Fórmula'!H62,30))+'Fórmula'!K62*(INDEX(properties!A$1:CB$87,'Fórmula'!J62,30))</f>
        <v>17.56</v>
      </c>
      <c r="CP62" s="117">
        <f t="array" ref="CP62">VARP(IF(INDEX(properties!A$1:CB$87,'Fórmula'!B62,30)&lt;&gt;"",INDEX(properties!A$1:CB$87,'Fórmula'!B62,30)),IF(INDEX(properties!A$1:CB$87,'Fórmula'!D62,30)&lt;&gt;"",INDEX(properties!A$1:CB$87,'Fórmula'!D62,30)),IF(INDEX(properties!A$1:CB$87,'Fórmula'!F62,30)&lt;&gt;"",INDEX(properties!A$1:CB$87,'Fórmula'!F62,30)),IF(INDEX(properties!A$1:CB$87,'Fórmula'!H62,30)&lt;&gt;"",INDEX(properties!A$1:CB$87,'Fórmula'!H62,30)),IF(INDEX(properties!A$1:CB$87,'Fórmula'!J62,30)&lt;&gt;"",INDEX(properties!A$1:CB$87,'Fórmula'!J62,30)))</f>
        <v>1.747656</v>
      </c>
      <c r="CQ62" s="117">
        <f t="array" ref="CQ62">MAX(INDEX(properties!A$1:CB$87,'Fórmula'!B62,30),INDEX(properties!A$1:CB$87,'Fórmula'!D62,30),INDEX(properties!A$1:CB$87,'Fórmula'!F62,30),INDEX(properties!A$1:CB$87,'Fórmula'!H62,30),INDEX(properties!A$1:CB$87,'Fórmula'!J62,30))</f>
        <v>3.44</v>
      </c>
      <c r="CR62" s="117">
        <f t="array" ref="CR62">MIN(IF(INDEX(properties!A$1:CB$87,'Fórmula'!B62,30)=0,10^6,INDEX(properties!A$1:CB$87,'Fórmula'!B62,30)),IF(INDEX(properties!A$1:CB$87,'Fórmula'!D62,30)=0,10^6,INDEX(properties!A$1:CB$87,'Fórmula'!D62,30)),IF(INDEX(properties!A$1:CB$87,'Fórmula'!F62,30)=0,10^6,INDEX(properties!A$1:CB$87,'Fórmula'!F62,30)),IF(INDEX(properties!A$1:CB$87,'Fórmula'!H62,30)=0,10^6,INDEX(properties!A$1:CB$87,'Fórmula'!H62,30)),IF(INDEX(properties!A$1:CB$87,'Fórmula'!J62,30)=0,10^6,INDEX(properties!A$1:CB$87,'Fórmula'!J62,30)))</f>
        <v>1.61</v>
      </c>
      <c r="CS62" s="117">
        <f t="shared" si="16"/>
        <v>1.83</v>
      </c>
      <c r="CT62" s="118">
        <f t="array" ref="CT62">(('Fórmula'!C62)/('Fórmula'!C62+'Fórmula'!E62+'Fórmula'!G62+'Fórmula'!I62+'Fórmula'!K62))*(INDEX(properties!A$1:CB$87,'Fórmula'!B62,31))+(('Fórmula'!E62)/('Fórmula'!C62+'Fórmula'!E62+'Fórmula'!G62+'Fórmula'!I62+'Fórmula'!K62))*(INDEX(properties!A$1:CB$87,'Fórmula'!D62,31))+(('Fórmula'!G62)/('Fórmula'!C62+'Fórmula'!E62+'Fórmula'!G62+'Fórmula'!I62+'Fórmula'!K62))*(INDEX(properties!A$1:CB$87,'Fórmula'!F62,31))+(('Fórmula'!I62)/('Fórmula'!C62+'Fórmula'!E62+'Fórmula'!G62+'Fórmula'!I62+'Fórmula'!K62))*(INDEX(properties!A$1:CB$87,'Fórmula'!H62,31))+(('Fórmula'!K62)/('Fórmula'!C62+'Fórmula'!E62+'Fórmula'!G62+'Fórmula'!I62+'Fórmula'!K62))*(INDEX(properties!A$1:CB$87,'Fórmula'!J62,31))</f>
        <v>2.873333333</v>
      </c>
      <c r="CU62" s="118">
        <f t="array" ref="CU62">'Fórmula'!C62*(INDEX(properties!A$1:CB$87,'Fórmula'!B62,31))+'Fórmula'!E62*(INDEX(properties!A$1:CB$87,'Fórmula'!D62,31))+'Fórmula'!G62*(INDEX(properties!A$1:CB$87,'Fórmula'!F62,31))+'Fórmula'!I62*(INDEX(properties!A$1:CB$87,'Fórmula'!H62,31))+'Fórmula'!K62*(INDEX(properties!A$1:CB$87,'Fórmula'!J62,31))</f>
        <v>17.24</v>
      </c>
      <c r="CV62" s="118">
        <f t="array" ref="CV62">VARP(IF(INDEX(properties!A$1:CB$87,'Fórmula'!B62,31)&lt;&gt;"",INDEX(properties!A$1:CB$87,'Fórmula'!B62,31)),IF(INDEX(properties!A$1:CB$87,'Fórmula'!D62,31)&lt;&gt;"",INDEX(properties!A$1:CB$87,'Fórmula'!D62,31)),IF(INDEX(properties!A$1:CB$87,'Fórmula'!F62,31)&lt;&gt;"",INDEX(properties!A$1:CB$87,'Fórmula'!F62,31)),IF(INDEX(properties!A$1:CB$87,'Fórmula'!H62,31)&lt;&gt;"",INDEX(properties!A$1:CB$87,'Fórmula'!H62,31)),IF(INDEX(properties!A$1:CB$87,'Fórmula'!J62,31)&lt;&gt;"",INDEX(properties!A$1:CB$87,'Fórmula'!J62,31)))</f>
        <v>1.698944</v>
      </c>
      <c r="CW62" s="118">
        <f t="array" ref="CW62">MAX(INDEX(properties!A$1:CB$87,'Fórmula'!B62,31),INDEX(properties!A$1:CB$87,'Fórmula'!D62,31),INDEX(properties!A$1:CB$87,'Fórmula'!F62,31),INDEX(properties!A$1:CB$87,'Fórmula'!H62,31),INDEX(properties!A$1:CB$87,'Fórmula'!J62,31))</f>
        <v>3.32</v>
      </c>
      <c r="CX62" s="118">
        <f t="array" ref="CX62">MIN(IF(INDEX(properties!A$1:CB$87,'Fórmula'!B62,31)=0,10^6,INDEX(properties!A$1:CB$87,'Fórmula'!B62,31)),IF(INDEX(properties!A$1:CB$87,'Fórmula'!D62,31)=0,10^6,INDEX(properties!A$1:CB$87,'Fórmula'!D62,31)),IF(INDEX(properties!A$1:CB$87,'Fórmula'!F62,31)=0,10^6,INDEX(properties!A$1:CB$87,'Fórmula'!F62,31)),IF(INDEX(properties!A$1:CB$87,'Fórmula'!H62,31)=0,10^6,INDEX(properties!A$1:CB$87,'Fórmula'!H62,31)),IF(INDEX(properties!A$1:CB$87,'Fórmula'!J62,31)=0,10^6,INDEX(properties!A$1:CB$87,'Fórmula'!J62,31)))</f>
        <v>1.64</v>
      </c>
      <c r="CY62" s="118">
        <f t="shared" si="17"/>
        <v>1.68</v>
      </c>
      <c r="CZ62" s="119">
        <f t="array" ref="CZ62">(('Fórmula'!C62)/('Fórmula'!C62+'Fórmula'!E62+'Fórmula'!G62+'Fórmula'!I62+'Fórmula'!K62))*(INDEX(properties!A$1:CB$87,'Fórmula'!B62,32))+(('Fórmula'!E62)/('Fórmula'!C62+'Fórmula'!E62+'Fórmula'!G62+'Fórmula'!I62+'Fórmula'!K62))*(INDEX(properties!A$1:CB$87,'Fórmula'!D62,32))+(('Fórmula'!G62)/('Fórmula'!C62+'Fórmula'!E62+'Fórmula'!G62+'Fórmula'!I62+'Fórmula'!K62))*(INDEX(properties!A$1:CB$87,'Fórmula'!F62,32))+(('Fórmula'!I62)/('Fórmula'!C62+'Fórmula'!E62+'Fórmula'!G62+'Fórmula'!I62+'Fórmula'!K62))*(INDEX(properties!A$1:CB$87,'Fórmula'!H62,32))+(('Fórmula'!K62)/('Fórmula'!C62+'Fórmula'!E62+'Fórmula'!G62+'Fórmula'!I62+'Fórmula'!K62))*(INDEX(properties!A$1:CB$87,'Fórmula'!J62,32))</f>
        <v>6.501666667</v>
      </c>
      <c r="DA62" s="119">
        <f t="array" ref="DA62">'Fórmula'!C62*(INDEX(properties!A$1:CB$87,'Fórmula'!B62,32))+'Fórmula'!E62*(INDEX(properties!A$1:CB$87,'Fórmula'!D62,32))+'Fórmula'!G62*(INDEX(properties!A$1:CB$87,'Fórmula'!F62,32))+'Fórmula'!I62*(INDEX(properties!A$1:CB$87,'Fórmula'!H62,32))+'Fórmula'!K62*(INDEX(properties!A$1:CB$87,'Fórmula'!J62,32))</f>
        <v>39.01</v>
      </c>
      <c r="DB62" s="119">
        <f t="array" ref="DB62">VARP(IF(INDEX(properties!A$1:CB$87,'Fórmula'!B62,32)&lt;&gt;"",INDEX(properties!A$1:CB$87,'Fórmula'!B62,32)),IF(INDEX(properties!A$1:CB$87,'Fórmula'!D62,32)&lt;&gt;"",INDEX(properties!A$1:CB$87,'Fórmula'!D62,32)),IF(INDEX(properties!A$1:CB$87,'Fórmula'!F62,32)&lt;&gt;"",INDEX(properties!A$1:CB$87,'Fórmula'!F62,32)),IF(INDEX(properties!A$1:CB$87,'Fórmula'!H62,32)&lt;&gt;"",INDEX(properties!A$1:CB$87,'Fórmula'!H62,32)),IF(INDEX(properties!A$1:CB$87,'Fórmula'!J62,32)&lt;&gt;"",INDEX(properties!A$1:CB$87,'Fórmula'!J62,32)))</f>
        <v>9.028496</v>
      </c>
      <c r="DC62" s="119">
        <f t="array" ref="DC62">MAX(INDEX(properties!A$1:CB$87,'Fórmula'!B62,32),INDEX(properties!A$1:CB$87,'Fórmula'!D62,32),INDEX(properties!A$1:CB$87,'Fórmula'!F62,32),INDEX(properties!A$1:CB$87,'Fórmula'!H62,32),INDEX(properties!A$1:CB$87,'Fórmula'!J62,32))</f>
        <v>7.54</v>
      </c>
      <c r="DD62" s="119">
        <f t="array" ref="DD62">MIN(IF(INDEX(properties!A$1:CB$87,'Fórmula'!B62,32)=0,10^6,INDEX(properties!A$1:CB$87,'Fórmula'!B62,32)),IF(INDEX(properties!A$1:CB$87,'Fórmula'!D62,32)=0,10^6,INDEX(properties!A$1:CB$87,'Fórmula'!D62,32)),IF(INDEX(properties!A$1:CB$87,'Fórmula'!F62,32)=0,10^6,INDEX(properties!A$1:CB$87,'Fórmula'!F62,32)),IF(INDEX(properties!A$1:CB$87,'Fórmula'!H62,32)=0,10^6,INDEX(properties!A$1:CB$87,'Fórmula'!H62,32)),IF(INDEX(properties!A$1:CB$87,'Fórmula'!J62,32)=0,10^6,INDEX(properties!A$1:CB$87,'Fórmula'!J62,32)))</f>
        <v>3.23</v>
      </c>
      <c r="DE62" s="119">
        <f t="shared" si="18"/>
        <v>4.31</v>
      </c>
      <c r="DF62" s="104">
        <f t="array" ref="DF62">(('Fórmula'!C62)/('Fórmula'!C62+'Fórmula'!E62+'Fórmula'!G62+'Fórmula'!I62+'Fórmula'!K62))*(INDEX(properties!A$1:CB$87,'Fórmula'!B62,34))+(('Fórmula'!E62)/('Fórmula'!C62+'Fórmula'!E62+'Fórmula'!G62+'Fórmula'!I62+'Fórmula'!K62))*(INDEX(properties!A$1:CB$87,'Fórmula'!D62,34))+(('Fórmula'!G62)/('Fórmula'!C62+'Fórmula'!E62+'Fórmula'!G62+'Fórmula'!I62+'Fórmula'!K62))*(INDEX(properties!A$1:CB$87,'Fórmula'!F62,34))+(('Fórmula'!I62)/('Fórmula'!C62+'Fórmula'!E62+'Fórmula'!G62+'Fórmula'!I62+'Fórmula'!K62))*(INDEX(properties!A$1:CB$87,'Fórmula'!H62,34))+(('Fórmula'!K62)/('Fórmula'!C62+'Fórmula'!E62+'Fórmula'!G62+'Fórmula'!I62+'Fórmula'!K62))*(INDEX(properties!A$1:CB$87,'Fórmula'!J62,34))</f>
        <v>3.051</v>
      </c>
      <c r="DG62" s="104">
        <f t="array" ref="DG62">'Fórmula'!C62*(INDEX(properties!A$1:CB$87,'Fórmula'!B62,34))+'Fórmula'!E62*(INDEX(properties!A$1:CB$87,'Fórmula'!D62,34))+'Fórmula'!G62*(INDEX(properties!A$1:CB$87,'Fórmula'!F62,34))+'Fórmula'!I62*(INDEX(properties!A$1:CB$87,'Fórmula'!H62,34))+'Fórmula'!K62*(INDEX(properties!A$1:CB$87,'Fórmula'!J62,34))</f>
        <v>18.306</v>
      </c>
      <c r="DH62" s="104">
        <f t="array" ref="DH62">VARP(IF(INDEX(properties!A$1:CB$87,'Fórmula'!B62,34)&lt;&gt;"",INDEX(properties!A$1:CB$87,'Fórmula'!B62,34)),IF(INDEX(properties!A$1:CB$87,'Fórmula'!D62,34)&lt;&gt;"",INDEX(properties!A$1:CB$87,'Fórmula'!D62,34)),IF(INDEX(properties!A$1:CB$87,'Fórmula'!F62,34)&lt;&gt;"",INDEX(properties!A$1:CB$87,'Fórmula'!F62,34)),IF(INDEX(properties!A$1:CB$87,'Fórmula'!H62,34)&lt;&gt;"",INDEX(properties!A$1:CB$87,'Fórmula'!H62,34)),IF(INDEX(properties!A$1:CB$87,'Fórmula'!J62,34)&lt;&gt;"",INDEX(properties!A$1:CB$87,'Fórmula'!J62,34)))</f>
        <v>1.90635256</v>
      </c>
      <c r="DI62" s="104">
        <f t="array" ref="DI62">MAX(INDEX(properties!A$1:CB$87,'Fórmula'!B62,34),INDEX(properties!A$1:CB$87,'Fórmula'!D62,34),INDEX(properties!A$1:CB$87,'Fórmula'!F62,34),INDEX(properties!A$1:CB$87,'Fórmula'!H62,34),INDEX(properties!A$1:CB$87,'Fórmula'!J62,34))</f>
        <v>3.61</v>
      </c>
      <c r="DJ62" s="104">
        <f t="array" ref="DJ62">MIN(IF(INDEX(properties!A$1:CB$87,'Fórmula'!B62,34)=0,10^6,INDEX(properties!A$1:CB$87,'Fórmula'!B62,34)),IF(INDEX(properties!A$1:CB$87,'Fórmula'!D62,34)=0,10^6,INDEX(properties!A$1:CB$87,'Fórmula'!D62,34)),IF(INDEX(properties!A$1:CB$87,'Fórmula'!F62,34)=0,10^6,INDEX(properties!A$1:CB$87,'Fórmula'!F62,34)),IF(INDEX(properties!A$1:CB$87,'Fórmula'!H62,34)=0,10^6,INDEX(properties!A$1:CB$87,'Fórmula'!H62,34)),IF(INDEX(properties!A$1:CB$87,'Fórmula'!J62,34)=0,10^6,INDEX(properties!A$1:CB$87,'Fórmula'!J62,34)))</f>
        <v>1.613</v>
      </c>
      <c r="DK62" s="104">
        <f t="shared" si="19"/>
        <v>1.997</v>
      </c>
      <c r="DL62" s="105">
        <f t="array" ref="DL62">(('Fórmula'!C62)/('Fórmula'!C62+'Fórmula'!E62+'Fórmula'!G62+'Fórmula'!I62+'Fórmula'!K62))*(INDEX(properties!A$1:CB$87,'Fórmula'!B62,37))+(('Fórmula'!E62)/('Fórmula'!C62+'Fórmula'!E62+'Fórmula'!G62+'Fórmula'!I62+'Fórmula'!K62))*(INDEX(properties!A$1:CB$87,'Fórmula'!D62,37))+(('Fórmula'!G62)/('Fórmula'!C62+'Fórmula'!E62+'Fórmula'!G62+'Fórmula'!I62+'Fórmula'!K62))*(INDEX(properties!A$1:CB$87,'Fórmula'!F62,37))+(('Fórmula'!I62)/('Fórmula'!C62+'Fórmula'!E62+'Fórmula'!G62+'Fórmula'!I62+'Fórmula'!K62))*(INDEX(properties!A$1:CB$87,'Fórmula'!H62,37))+(('Fórmula'!K62)/('Fórmula'!C62+'Fórmula'!E62+'Fórmula'!G62+'Fórmula'!I62+'Fórmula'!K62))*(INDEX(properties!A$1:CB$87,'Fórmula'!J62,37))</f>
        <v>2.9</v>
      </c>
      <c r="DM62" s="105">
        <f t="array" ref="DM62">'Fórmula'!C62*(INDEX(properties!A$1:CB$87,'Fórmula'!B62,37))+'Fórmula'!E62*(INDEX(properties!A$1:CB$87,'Fórmula'!D62,37))+'Fórmula'!G62*(INDEX(properties!A$1:CB$87,'Fórmula'!F62,37))+'Fórmula'!I62*(INDEX(properties!A$1:CB$87,'Fórmula'!H62,37))+'Fórmula'!K62*(INDEX(properties!A$1:CB$87,'Fórmula'!J62,37))</f>
        <v>17.4</v>
      </c>
      <c r="DN62" s="105">
        <f t="array" ref="DN62">VARP(IF(INDEX(properties!A$1:CB$87,'Fórmula'!B62,37)&lt;&gt;"",INDEX(properties!A$1:CB$87,'Fórmula'!B62,37)),IF(INDEX(properties!A$1:CB$87,'Fórmula'!D62,37)&lt;&gt;"",INDEX(properties!A$1:CB$87,'Fórmula'!D62,37)),IF(INDEX(properties!A$1:CB$87,'Fórmula'!F62,37)&lt;&gt;"",INDEX(properties!A$1:CB$87,'Fórmula'!F62,37)),IF(INDEX(properties!A$1:CB$87,'Fórmula'!H62,37)&lt;&gt;"",INDEX(properties!A$1:CB$87,'Fórmula'!H62,37)),IF(INDEX(properties!A$1:CB$87,'Fórmula'!J62,37)&lt;&gt;"",INDEX(properties!A$1:CB$87,'Fórmula'!J62,37)))</f>
        <v>1.7244</v>
      </c>
      <c r="DO62" s="105">
        <f t="array" ref="DO62">MAX(INDEX(properties!A$1:CB$87,'Fórmula'!B62,37),INDEX(properties!A$1:CB$87,'Fórmula'!D62,37),INDEX(properties!A$1:CB$87,'Fórmula'!F62,37),INDEX(properties!A$1:CB$87,'Fórmula'!H62,37),INDEX(properties!A$1:CB$87,'Fórmula'!J62,37))</f>
        <v>3.45</v>
      </c>
      <c r="DP62" s="105">
        <f t="array" ref="DP62">MIN(IF(INDEX(properties!A$1:CB$87,'Fórmula'!B62,37)=0,10^6,INDEX(properties!A$1:CB$87,'Fórmula'!B62,37)),IF(INDEX(properties!A$1:CB$87,'Fórmula'!D62,37)=0,10^6,INDEX(properties!A$1:CB$87,'Fórmula'!D62,37)),IF(INDEX(properties!A$1:CB$87,'Fórmula'!F62,37)=0,10^6,INDEX(properties!A$1:CB$87,'Fórmula'!F62,37)),IF(INDEX(properties!A$1:CB$87,'Fórmula'!H62,37)=0,10^6,INDEX(properties!A$1:CB$87,'Fórmula'!H62,37)),IF(INDEX(properties!A$1:CB$87,'Fórmula'!J62,37)=0,10^6,INDEX(properties!A$1:CB$87,'Fórmula'!J62,37)))</f>
        <v>1.5</v>
      </c>
      <c r="DQ62" s="105">
        <f t="shared" si="20"/>
        <v>1.95</v>
      </c>
      <c r="DR62" s="109">
        <f t="array" ref="DR62">(('Fórmula'!C62)/('Fórmula'!C62+'Fórmula'!E62+'Fórmula'!G62+'Fórmula'!I62+'Fórmula'!K62))*(INDEX(properties!A$1:CB$87,'Fórmula'!B62,39))+(('Fórmula'!E62)/('Fórmula'!C62+'Fórmula'!E62+'Fórmula'!G62+'Fórmula'!I62+'Fórmula'!K62))*(INDEX(properties!A$1:CB$87,'Fórmula'!D62,39))+(('Fórmula'!G62)/('Fórmula'!C62+'Fórmula'!E62+'Fórmula'!G62+'Fórmula'!I62+'Fórmula'!K62))*(INDEX(properties!A$1:CB$87,'Fórmula'!F62,39))+(('Fórmula'!I62)/('Fórmula'!C62+'Fórmula'!E62+'Fórmula'!G62+'Fórmula'!I62+'Fórmula'!K62))*(INDEX(properties!A$1:CB$87,'Fórmula'!H62,39))+(('Fórmula'!K62)/('Fórmula'!C62+'Fórmula'!E62+'Fórmula'!G62+'Fórmula'!I62+'Fórmula'!K62))*(INDEX(properties!A$1:CB$87,'Fórmula'!J62,39))</f>
        <v>0.68</v>
      </c>
      <c r="DS62" s="109">
        <f t="array" ref="DS62">'Fórmula'!C62*(INDEX(properties!A$1:CB$87,'Fórmula'!B62,39))+'Fórmula'!E62*(INDEX(properties!A$1:CB$87,'Fórmula'!D62,39))+'Fórmula'!G62*(INDEX(properties!A$1:CB$87,'Fórmula'!F62,39))+'Fórmula'!I62*(INDEX(properties!A$1:CB$87,'Fórmula'!H62,39))+'Fórmula'!K62*(INDEX(properties!A$1:CB$87,'Fórmula'!J62,39))</f>
        <v>4.08</v>
      </c>
      <c r="DT62" s="109">
        <f t="array" ref="DT62">VARP(IF(INDEX(properties!A$1:CB$87,'Fórmula'!B62,39)&lt;&gt;"",INDEX(properties!A$1:CB$87,'Fórmula'!B62,39)),IF(INDEX(properties!A$1:CB$87,'Fórmula'!D62,39)&lt;&gt;"",INDEX(properties!A$1:CB$87,'Fórmula'!D62,39)),IF(INDEX(properties!A$1:CB$87,'Fórmula'!F62,39)&lt;&gt;"",INDEX(properties!A$1:CB$87,'Fórmula'!F62,39)),IF(INDEX(properties!A$1:CB$87,'Fórmula'!H62,39)&lt;&gt;"",INDEX(properties!A$1:CB$87,'Fórmula'!H62,39)),IF(INDEX(properties!A$1:CB$87,'Fórmula'!J62,39)&lt;&gt;"",INDEX(properties!A$1:CB$87,'Fórmula'!J62,39)))</f>
        <v>0.237856</v>
      </c>
      <c r="DU62" s="120">
        <f t="array" ref="DU62">MAX(INDEX(properties!A$1:CB$87,'Fórmula'!B62,39),INDEX(properties!A$1:CB$87,'Fórmula'!D62,39),INDEX(properties!A$1:CB$87,'Fórmula'!F62,39),INDEX(properties!A$1:CB$87,'Fórmula'!H62,39),INDEX(properties!A$1:CB$87,'Fórmula'!J62,39))</f>
        <v>1.18</v>
      </c>
      <c r="DV62" s="120">
        <f t="array" ref="DV62">MIN(IF(INDEX(properties!A$1:CB$87,'Fórmula'!B62,39)=0,10^6,INDEX(properties!A$1:CB$87,'Fórmula'!B62,39)),IF(INDEX(properties!A$1:CB$87,'Fórmula'!D62,39)=0,10^6,INDEX(properties!A$1:CB$87,'Fórmula'!D62,39)),IF(INDEX(properties!A$1:CB$87,'Fórmula'!F62,39)=0,10^6,INDEX(properties!A$1:CB$87,'Fórmula'!F62,39)),IF(INDEX(properties!A$1:CB$87,'Fórmula'!H62,39)=0,10^6,INDEX(properties!A$1:CB$87,'Fórmula'!H62,39)),IF(INDEX(properties!A$1:CB$87,'Fórmula'!J62,39)=0,10^6,INDEX(properties!A$1:CB$87,'Fórmula'!J62,39)))</f>
        <v>0.48</v>
      </c>
      <c r="DW62" s="109">
        <f t="shared" si="21"/>
        <v>0.7</v>
      </c>
      <c r="DX62" s="110">
        <f t="array" ref="DX62">(('Fórmula'!C62)/('Fórmula'!C62+'Fórmula'!E62+'Fórmula'!G62+'Fórmula'!I62+'Fórmula'!K62))*(INDEX(properties!A$1:CB$87,'Fórmula'!B62,40))+(('Fórmula'!E62)/('Fórmula'!C62+'Fórmula'!E62+'Fórmula'!G62+'Fórmula'!I62+'Fórmula'!K62))*(INDEX(properties!A$1:CB$87,'Fórmula'!D62,40))+(('Fórmula'!G62)/('Fórmula'!C62+'Fórmula'!E62+'Fórmula'!G62+'Fórmula'!I62+'Fórmula'!K62))*(INDEX(properties!A$1:CB$87,'Fórmula'!F62,40))+(('Fórmula'!I62)/('Fórmula'!C62+'Fórmula'!E62+'Fórmula'!G62+'Fórmula'!I62+'Fórmula'!K62))*(INDEX(properties!A$1:CB$87,'Fórmula'!H62,40))+(('Fórmula'!K62)/('Fórmula'!C62+'Fórmula'!E62+'Fórmula'!G62+'Fórmula'!I62+'Fórmula'!K62))*(INDEX(properties!A$1:CB$87,'Fórmula'!J62,40))</f>
        <v>0.86</v>
      </c>
      <c r="DY62" s="110">
        <f t="array" ref="DY62">'Fórmula'!C62*(INDEX(properties!A$1:CB$87,'Fórmula'!B62,40))+'Fórmula'!E62*(INDEX(properties!A$1:CB$87,'Fórmula'!D62,40))+'Fórmula'!G62*(INDEX(properties!A$1:CB$87,'Fórmula'!F62,40))+'Fórmula'!I62*(INDEX(properties!A$1:CB$87,'Fórmula'!H62,40))+'Fórmula'!K62*(INDEX(properties!A$1:CB$87,'Fórmula'!J62,40))</f>
        <v>5.16</v>
      </c>
      <c r="DZ62" s="110">
        <f t="array" ref="DZ62">VARP(IF(INDEX(properties!A$1:CB$87,'Fórmula'!B62,40)&lt;&gt;"",INDEX(properties!A$1:CB$87,'Fórmula'!B62,40)),IF(INDEX(properties!A$1:CB$87,'Fórmula'!D62,40)&lt;&gt;"",INDEX(properties!A$1:CB$87,'Fórmula'!D62,40)),IF(INDEX(properties!A$1:CB$87,'Fórmula'!F62,40)&lt;&gt;"",INDEX(properties!A$1:CB$87,'Fórmula'!F62,40)),IF(INDEX(properties!A$1:CB$87,'Fórmula'!H62,40)&lt;&gt;"",INDEX(properties!A$1:CB$87,'Fórmula'!H62,40)),IF(INDEX(properties!A$1:CB$87,'Fórmula'!J62,40)&lt;&gt;"",INDEX(properties!A$1:CB$87,'Fórmula'!J62,40)))</f>
        <v>0.256944</v>
      </c>
      <c r="EA62" s="121">
        <f t="array" ref="EA62">MAX(INDEX(properties!A$1:CB$87,'Fórmula'!B62,40),INDEX(properties!A$1:CB$87,'Fórmula'!D62,40),INDEX(properties!A$1:CB$87,'Fórmula'!F62,40),INDEX(properties!A$1:CB$87,'Fórmula'!H62,40),INDEX(properties!A$1:CB$87,'Fórmula'!J62,40))</f>
        <v>1.18</v>
      </c>
      <c r="EB62" s="121">
        <f t="array" ref="EB62">MIN(IF(INDEX(properties!A$1:CB$87,'Fórmula'!B62,40)=0,10^6,INDEX(properties!A$1:CB$87,'Fórmula'!B62,40)),IF(INDEX(properties!A$1:CB$87,'Fórmula'!D62,40)=0,10^6,INDEX(properties!A$1:CB$87,'Fórmula'!D62,40)),IF(INDEX(properties!A$1:CB$87,'Fórmula'!F62,40)=0,10^6,INDEX(properties!A$1:CB$87,'Fórmula'!F62,40)),IF(INDEX(properties!A$1:CB$87,'Fórmula'!H62,40)=0,10^6,INDEX(properties!A$1:CB$87,'Fórmula'!H62,40)),IF(INDEX(properties!A$1:CB$87,'Fórmula'!J62,40)=0,10^6,INDEX(properties!A$1:CB$87,'Fórmula'!J62,40)))</f>
        <v>0.73</v>
      </c>
      <c r="EC62" s="110">
        <f t="shared" si="22"/>
        <v>0.45</v>
      </c>
      <c r="ED62" s="111">
        <f t="array" ref="ED62">(('Fórmula'!C62)/('Fórmula'!C62+'Fórmula'!E62+'Fórmula'!G62+'Fórmula'!I62+'Fórmula'!K62))*(INDEX(properties!A$1:CB$87,'Fórmula'!B62,41))+(('Fórmula'!E62)/('Fórmula'!C62+'Fórmula'!E62+'Fórmula'!G62+'Fórmula'!I62+'Fórmula'!K62))*(INDEX(properties!A$1:CB$87,'Fórmula'!D62,41))+(('Fórmula'!G62)/('Fórmula'!C62+'Fórmula'!E62+'Fórmula'!G62+'Fórmula'!I62+'Fórmula'!K62))*(INDEX(properties!A$1:CB$87,'Fórmula'!F62,41))+(('Fórmula'!I62)/('Fórmula'!C62+'Fórmula'!E62+'Fórmula'!G62+'Fórmula'!I62+'Fórmula'!K62))*(INDEX(properties!A$1:CB$87,'Fórmula'!H62,41))+(('Fórmula'!K62)/('Fórmula'!C62+'Fórmula'!E62+'Fórmula'!G62+'Fórmula'!I62+'Fórmula'!K62))*(INDEX(properties!A$1:CB$87,'Fórmula'!J62,41))</f>
        <v>1.05</v>
      </c>
      <c r="EE62" s="111">
        <f t="array" ref="EE62">'Fórmula'!C62*(INDEX(properties!A$1:CB$87,'Fórmula'!B62,41))+'Fórmula'!E62*(INDEX(properties!A$1:CB$87,'Fórmula'!D62,41))+'Fórmula'!G62*(INDEX(properties!A$1:CB$87,'Fórmula'!F62,41))+'Fórmula'!I62*(INDEX(properties!A$1:CB$87,'Fórmula'!H62,41))+'Fórmula'!K62*(INDEX(properties!A$1:CB$87,'Fórmula'!J62,41))</f>
        <v>6.3</v>
      </c>
      <c r="EF62" s="111">
        <f t="array" ref="EF62">VARP(IF(INDEX(properties!A$1:CB$87,'Fórmula'!B62,41)&lt;&gt;"",INDEX(properties!A$1:CB$87,'Fórmula'!B62,41)),IF(INDEX(properties!A$1:CB$87,'Fórmula'!D62,41)&lt;&gt;"",INDEX(properties!A$1:CB$87,'Fórmula'!D62,41)),IF(INDEX(properties!A$1:CB$87,'Fórmula'!F62,41)&lt;&gt;"",INDEX(properties!A$1:CB$87,'Fórmula'!F62,41)),IF(INDEX(properties!A$1:CB$87,'Fórmula'!H62,41)&lt;&gt;"",INDEX(properties!A$1:CB$87,'Fórmula'!H62,41)),IF(INDEX(properties!A$1:CB$87,'Fórmula'!J62,41)&lt;&gt;"",INDEX(properties!A$1:CB$87,'Fórmula'!J62,41)))</f>
        <v>0.223264</v>
      </c>
      <c r="EG62" s="122">
        <f t="array" ref="EG62">MAX(INDEX(properties!A$1:CB$87,'Fórmula'!B62,41),INDEX(properties!A$1:CB$87,'Fórmula'!D62,41),INDEX(properties!A$1:CB$87,'Fórmula'!F62,41),INDEX(properties!A$1:CB$87,'Fórmula'!H62,41),INDEX(properties!A$1:CB$87,'Fórmula'!J62,41))</f>
        <v>1.26</v>
      </c>
      <c r="EH62" s="122">
        <f t="array" ref="EH62">MIN(IF(INDEX(properties!A$1:CB$87,'Fórmula'!B62,41)=0,10^6,INDEX(properties!A$1:CB$87,'Fórmula'!B62,41)),IF(INDEX(properties!A$1:CB$87,'Fórmula'!D62,41)=0,10^6,INDEX(properties!A$1:CB$87,'Fórmula'!D62,41)),IF(INDEX(properties!A$1:CB$87,'Fórmula'!F62,41)=0,10^6,INDEX(properties!A$1:CB$87,'Fórmula'!F62,41)),IF(INDEX(properties!A$1:CB$87,'Fórmula'!H62,41)=0,10^6,INDEX(properties!A$1:CB$87,'Fórmula'!H62,41)),IF(INDEX(properties!A$1:CB$87,'Fórmula'!J62,41)=0,10^6,INDEX(properties!A$1:CB$87,'Fórmula'!J62,41)))</f>
        <v>0.58</v>
      </c>
      <c r="EI62" s="111">
        <f t="shared" si="23"/>
        <v>0.68</v>
      </c>
      <c r="EJ62" s="112">
        <f t="array" ref="EJ62">(('Fórmula'!C62)/('Fórmula'!C62+'Fórmula'!E62+'Fórmula'!G62+'Fórmula'!I62+'Fórmula'!K62))*(INDEX(properties!A$1:CB$87,'Fórmula'!B62,45))+(('Fórmula'!E62)/('Fórmula'!C62+'Fórmula'!E62+'Fórmula'!G62+'Fórmula'!I62+'Fórmula'!K62))*(INDEX(properties!A$1:CB$87,'Fórmula'!D62,45))+(('Fórmula'!G62)/('Fórmula'!C62+'Fórmula'!E62+'Fórmula'!G62+'Fórmula'!I62+'Fórmula'!K62))*(INDEX(properties!A$1:CB$87,'Fórmula'!F62,45))+(('Fórmula'!I62)/('Fórmula'!C62+'Fórmula'!E62+'Fórmula'!G62+'Fórmula'!I62+'Fórmula'!K62))*(INDEX(properties!A$1:CB$87,'Fórmula'!H62,45))+(('Fórmula'!K62)/('Fórmula'!C62+'Fórmula'!E62+'Fórmula'!G62+'Fórmula'!I62+'Fórmula'!K62))*(INDEX(properties!A$1:CB$87,'Fórmula'!J62,45))</f>
        <v>0.8</v>
      </c>
      <c r="EK62" s="112">
        <f t="array" ref="EK62">'Fórmula'!C62*(INDEX(properties!A$1:CB$87,'Fórmula'!B62,45))+'Fórmula'!E62*(INDEX(properties!A$1:CB$87,'Fórmula'!D62,45))+'Fórmula'!G62*(INDEX(properties!A$1:CB$87,'Fórmula'!F62,45))+'Fórmula'!I62*(INDEX(properties!A$1:CB$87,'Fórmula'!H62,45))+'Fórmula'!K62*(INDEX(properties!A$1:CB$87,'Fórmula'!J62,45))</f>
        <v>4.8</v>
      </c>
      <c r="EL62" s="112">
        <f t="array" ref="EL62">VARP(IF(INDEX(properties!A$1:CB$87,'Fórmula'!B62,45)&lt;&gt;"",INDEX(properties!A$1:CB$87,'Fórmula'!B62,45)),IF(INDEX(properties!A$1:CB$87,'Fórmula'!D62,45)&lt;&gt;"",INDEX(properties!A$1:CB$87,'Fórmula'!D62,45)),IF(INDEX(properties!A$1:CB$87,'Fórmula'!F62,45)&lt;&gt;"",INDEX(properties!A$1:CB$87,'Fórmula'!F62,45)),IF(INDEX(properties!A$1:CB$87,'Fórmula'!H62,45)&lt;&gt;"",INDEX(properties!A$1:CB$87,'Fórmula'!H62,45)),IF(INDEX(properties!A$1:CB$87,'Fórmula'!J62,45)&lt;&gt;"",INDEX(properties!A$1:CB$87,'Fórmula'!J62,45)))</f>
        <v>0.456496</v>
      </c>
      <c r="EM62" s="123">
        <f t="array" ref="EM62">MAX(INDEX(properties!A$1:CB$87,'Fórmula'!B62,45),INDEX(properties!A$1:CB$87,'Fórmula'!D62,45),INDEX(properties!A$1:CB$87,'Fórmula'!F62,45),INDEX(properties!A$1:CB$87,'Fórmula'!H62,45),INDEX(properties!A$1:CB$87,'Fórmula'!J62,45))</f>
        <v>1.68</v>
      </c>
      <c r="EN62" s="123">
        <f t="array" ref="EN62">MIN(IF(INDEX(properties!A$1:CB$87,'Fórmula'!B62,45)=0,10^6,INDEX(properties!A$1:CB$87,'Fórmula'!B62,45)),IF(INDEX(properties!A$1:CB$87,'Fórmula'!D62,45)=0,10^6,INDEX(properties!A$1:CB$87,'Fórmula'!D62,45)),IF(INDEX(properties!A$1:CB$87,'Fórmula'!F62,45)=0,10^6,INDEX(properties!A$1:CB$87,'Fórmula'!F62,45)),IF(INDEX(properties!A$1:CB$87,'Fórmula'!H62,45)=0,10^6,INDEX(properties!A$1:CB$87,'Fórmula'!H62,45)),IF(INDEX(properties!A$1:CB$87,'Fórmula'!J62,45)=0,10^6,INDEX(properties!A$1:CB$87,'Fórmula'!J62,45)))</f>
        <v>0.47</v>
      </c>
      <c r="EO62" s="112">
        <f t="shared" si="24"/>
        <v>1.21</v>
      </c>
      <c r="EP62" s="113">
        <f t="array" ref="EP62">(('Fórmula'!C62)/('Fórmula'!C62+'Fórmula'!E62+'Fórmula'!G62+'Fórmula'!I62+'Fórmula'!K62))*(INDEX(properties!A$1:CB$87,'Fórmula'!B62,46))+(('Fórmula'!E62)/('Fórmula'!C62+'Fórmula'!E62+'Fórmula'!G62+'Fórmula'!I62+'Fórmula'!K62))*(INDEX(properties!A$1:CB$87,'Fórmula'!D62,46))+(('Fórmula'!G62)/('Fórmula'!C62+'Fórmula'!E62+'Fórmula'!G62+'Fórmula'!I62+'Fórmula'!K62))*(INDEX(properties!A$1:CB$87,'Fórmula'!F62,46))+(('Fórmula'!I62)/('Fórmula'!C62+'Fórmula'!E62+'Fórmula'!G62+'Fórmula'!I62+'Fórmula'!K62))*(INDEX(properties!A$1:CB$87,'Fórmula'!H62,46))+(('Fórmula'!K62)/('Fórmula'!C62+'Fórmula'!E62+'Fórmula'!G62+'Fórmula'!I62+'Fórmula'!K62))*(INDEX(properties!A$1:CB$87,'Fórmula'!J62,46))</f>
        <v>0.9466666667</v>
      </c>
      <c r="EQ62" s="113">
        <f t="array" ref="EQ62">'Fórmula'!C62*(INDEX(properties!A$1:CB$87,'Fórmula'!B62,46))+'Fórmula'!E62*(INDEX(properties!A$1:CB$87,'Fórmula'!D62,46))+'Fórmula'!G62*(INDEX(properties!A$1:CB$87,'Fórmula'!F62,46))+'Fórmula'!I62*(INDEX(properties!A$1:CB$87,'Fórmula'!H62,46))+'Fórmula'!K62*(INDEX(properties!A$1:CB$87,'Fórmula'!J62,46))</f>
        <v>5.68</v>
      </c>
      <c r="ER62" s="113">
        <f t="array" ref="ER62">VARP(IF(INDEX(properties!A$1:CB$87,'Fórmula'!B62,46)&lt;&gt;"",INDEX(properties!A$1:CB$87,'Fórmula'!B62,46)),IF(INDEX(properties!A$1:CB$87,'Fórmula'!D62,46)&lt;&gt;"",INDEX(properties!A$1:CB$87,'Fórmula'!D62,46)),IF(INDEX(properties!A$1:CB$87,'Fórmula'!F62,46)&lt;&gt;"",INDEX(properties!A$1:CB$87,'Fórmula'!F62,46)),IF(INDEX(properties!A$1:CB$87,'Fórmula'!H62,46)&lt;&gt;"",INDEX(properties!A$1:CB$87,'Fórmula'!H62,46)),IF(INDEX(properties!A$1:CB$87,'Fórmula'!J62,46)&lt;&gt;"",INDEX(properties!A$1:CB$87,'Fórmula'!J62,46)))</f>
        <v>0.20012</v>
      </c>
      <c r="ES62" s="124">
        <f t="array" ref="ES62">MAX(INDEX(properties!A$1:CB$87,'Fórmula'!B62,46),INDEX(properties!A$1:CB$87,'Fórmula'!D62,46),INDEX(properties!A$1:CB$87,'Fórmula'!F62,46),INDEX(properties!A$1:CB$87,'Fórmula'!H62,46),INDEX(properties!A$1:CB$87,'Fórmula'!J62,46))</f>
        <v>1.21</v>
      </c>
      <c r="ET62" s="124">
        <f t="array" ref="ET62">MIN(IF(INDEX(properties!A$1:CB$87,'Fórmula'!B62,46)=0,10^6,INDEX(properties!A$1:CB$87,'Fórmula'!B62,46)),IF(INDEX(properties!A$1:CB$87,'Fórmula'!D62,46)=0,10^6,INDEX(properties!A$1:CB$87,'Fórmula'!D62,46)),IF(INDEX(properties!A$1:CB$87,'Fórmula'!F62,46)=0,10^6,INDEX(properties!A$1:CB$87,'Fórmula'!F62,46)),IF(INDEX(properties!A$1:CB$87,'Fórmula'!H62,46)=0,10^6,INDEX(properties!A$1:CB$87,'Fórmula'!H62,46)),IF(INDEX(properties!A$1:CB$87,'Fórmula'!J62,46)=0,10^6,INDEX(properties!A$1:CB$87,'Fórmula'!J62,46)))</f>
        <v>0.31</v>
      </c>
      <c r="EU62" s="113">
        <f t="shared" si="25"/>
        <v>0.9</v>
      </c>
      <c r="EV62" s="114">
        <f t="array" ref="EV62">(('Fórmula'!C62)/('Fórmula'!C62+'Fórmula'!E62+'Fórmula'!G62+'Fórmula'!I62+'Fórmula'!K62))*(INDEX(properties!A$1:CB$87,'Fórmula'!B62,52))+(('Fórmula'!E62)/('Fórmula'!C62+'Fórmula'!E62+'Fórmula'!G62+'Fórmula'!I62+'Fórmula'!K62))*(INDEX(properties!A$1:CB$87,'Fórmula'!D62,52))+(('Fórmula'!G62)/('Fórmula'!C62+'Fórmula'!E62+'Fórmula'!G62+'Fórmula'!I62+'Fórmula'!K62))*(INDEX(properties!A$1:CB$87,'Fórmula'!F62,52))+(('Fórmula'!I62)/('Fórmula'!C62+'Fórmula'!E62+'Fórmula'!G62+'Fórmula'!I62+'Fórmula'!K62))*(INDEX(properties!A$1:CB$87,'Fórmula'!H62,52))+(('Fórmula'!K62)/('Fórmula'!C62+'Fórmula'!E62+'Fórmula'!G62+'Fórmula'!I62+'Fórmula'!K62))*(INDEX(properties!A$1:CB$87,'Fórmula'!J62,52))</f>
        <v>2.512</v>
      </c>
      <c r="EW62" s="114">
        <f t="array" ref="EW62">'Fórmula'!C62*(INDEX(properties!A$1:CB$87,'Fórmula'!B62,52))+'Fórmula'!E62*(INDEX(properties!A$1:CB$87,'Fórmula'!D62,52))+'Fórmula'!G62*(INDEX(properties!A$1:CB$87,'Fórmula'!F62,52))+'Fórmula'!I62*(INDEX(properties!A$1:CB$87,'Fórmula'!H62,52))+'Fórmula'!K62*(INDEX(properties!A$1:CB$87,'Fórmula'!J62,52))</f>
        <v>15.072</v>
      </c>
      <c r="EX62" s="114">
        <f t="array" ref="EX62">VARP(IF(INDEX(properties!A$1:CB$87,'Fórmula'!B62,52)&lt;&gt;"",INDEX(properties!A$1:CB$87,'Fórmula'!B62,52)),IF(INDEX(properties!A$1:CB$87,'Fórmula'!D62,52)&lt;&gt;"",INDEX(properties!A$1:CB$87,'Fórmula'!D62,52)),IF(INDEX(properties!A$1:CB$87,'Fórmula'!F62,52)&lt;&gt;"",INDEX(properties!A$1:CB$87,'Fórmula'!F62,52)),IF(INDEX(properties!A$1:CB$87,'Fórmula'!H62,52)&lt;&gt;"",INDEX(properties!A$1:CB$87,'Fórmula'!H62,52)),IF(INDEX(properties!A$1:CB$87,'Fórmula'!J62,52)&lt;&gt;"",INDEX(properties!A$1:CB$87,'Fórmula'!J62,52)))</f>
        <v>10.05127984</v>
      </c>
      <c r="EY62" s="114">
        <f t="array" ref="EY62">MAX(INDEX(properties!A$1:CB$87,'Fórmula'!B62,52),INDEX(properties!A$1:CB$87,'Fórmula'!D62,52),INDEX(properties!A$1:CB$87,'Fórmula'!F62,52),INDEX(properties!A$1:CB$87,'Fórmula'!H62,52),INDEX(properties!A$1:CB$87,'Fórmula'!J62,52))</f>
        <v>8.3</v>
      </c>
      <c r="EZ62" s="114">
        <f t="array" ref="EZ62">MIN(IF(INDEX(properties!A$1:CB$87,'Fórmula'!B62,52)=0,10^6,INDEX(properties!A$1:CB$87,'Fórmula'!B62,52)),IF(INDEX(properties!A$1:CB$87,'Fórmula'!D62,52)=0,10^6,INDEX(properties!A$1:CB$87,'Fórmula'!D62,52)),IF(INDEX(properties!A$1:CB$87,'Fórmula'!F62,52)=0,10^6,INDEX(properties!A$1:CB$87,'Fórmula'!F62,52)),IF(INDEX(properties!A$1:CB$87,'Fórmula'!H62,52)=0,10^6,INDEX(properties!A$1:CB$87,'Fórmula'!H62,52)),IF(INDEX(properties!A$1:CB$87,'Fórmula'!J62,52)=0,10^6,INDEX(properties!A$1:CB$87,'Fórmula'!J62,52)))</f>
        <v>0.793</v>
      </c>
      <c r="FA62" s="114">
        <f t="shared" si="26"/>
        <v>7.507</v>
      </c>
      <c r="FB62" s="115">
        <f t="array" ref="FB62">(('Fórmula'!C62)/('Fórmula'!C62+'Fórmula'!E62+'Fórmula'!G62+'Fórmula'!I62+'Fórmula'!K62))*(INDEX(properties!A$1:CB$87,'Fórmula'!B62,53))+(('Fórmula'!E62)/('Fórmula'!C62+'Fórmula'!E62+'Fórmula'!G62+'Fórmula'!I62+'Fórmula'!K62))*(INDEX(properties!A$1:CB$87,'Fórmula'!D62,53))+(('Fórmula'!G62)/('Fórmula'!C62+'Fórmula'!E62+'Fórmula'!G62+'Fórmula'!I62+'Fórmula'!K62))*(INDEX(properties!A$1:CB$87,'Fórmula'!F62,53))+(('Fórmula'!I62)/('Fórmula'!C62+'Fórmula'!E62+'Fórmula'!G62+'Fórmula'!I62+'Fórmula'!K62))*(INDEX(properties!A$1:CB$87,'Fórmula'!H62,53))+(('Fórmula'!K62)/('Fórmula'!C62+'Fórmula'!E62+'Fórmula'!G62+'Fórmula'!I62+'Fórmula'!K62))*(INDEX(properties!A$1:CB$87,'Fórmula'!J62,53))</f>
        <v>244.9</v>
      </c>
      <c r="FC62" s="115">
        <f t="array" ref="FC62">'Fórmula'!C62*(INDEX(properties!A$1:CB$87,'Fórmula'!B62,53))+'Fórmula'!E62*(INDEX(properties!A$1:CB$87,'Fórmula'!D62,53))+'Fórmula'!G62*(INDEX(properties!A$1:CB$87,'Fórmula'!F62,53))+'Fórmula'!I62*(INDEX(properties!A$1:CB$87,'Fórmula'!H62,53))+'Fórmula'!K62*(INDEX(properties!A$1:CB$87,'Fórmula'!J62,53))</f>
        <v>1469.4</v>
      </c>
      <c r="FD62" s="115">
        <f t="array" ref="FD62">VARP(IF(INDEX(properties!A$1:CB$87,'Fórmula'!B62,53)&lt;&gt;"",INDEX(properties!A$1:CB$87,'Fórmula'!B62,53)),IF(INDEX(properties!A$1:CB$87,'Fórmula'!D62,53)&lt;&gt;"",INDEX(properties!A$1:CB$87,'Fórmula'!D62,53)),IF(INDEX(properties!A$1:CB$87,'Fórmula'!F62,53)&lt;&gt;"",INDEX(properties!A$1:CB$87,'Fórmula'!F62,53)),IF(INDEX(properties!A$1:CB$87,'Fórmula'!H62,53)&lt;&gt;"",INDEX(properties!A$1:CB$87,'Fórmula'!H62,53)),IF(INDEX(properties!A$1:CB$87,'Fórmula'!J62,53)&lt;&gt;"",INDEX(properties!A$1:CB$87,'Fórmula'!J62,53)))</f>
        <v>126746.1486</v>
      </c>
      <c r="FE62" s="115">
        <f t="array" ref="FE62">MAX(INDEX(properties!A$1:CB$87,'Fórmula'!B62,53),INDEX(properties!A$1:CB$87,'Fórmula'!D62,53),INDEX(properties!A$1:CB$87,'Fórmula'!F62,53),INDEX(properties!A$1:CB$87,'Fórmula'!H62,53),INDEX(properties!A$1:CB$87,'Fórmula'!J62,53))</f>
        <v>933.15</v>
      </c>
      <c r="FF62" s="115">
        <f t="array" ref="FF62">MIN(IF(INDEX(properties!A$1:CB$87,'Fórmula'!B62,53)=0,10^6,INDEX(properties!A$1:CB$87,'Fórmula'!B62,53)),IF(INDEX(properties!A$1:CB$87,'Fórmula'!D62,53)=0,10^6,INDEX(properties!A$1:CB$87,'Fórmula'!D62,53)),IF(INDEX(properties!A$1:CB$87,'Fórmula'!F62,53)=0,10^6,INDEX(properties!A$1:CB$87,'Fórmula'!F62,53)),IF(INDEX(properties!A$1:CB$87,'Fórmula'!H62,53)=0,10^6,INDEX(properties!A$1:CB$87,'Fórmula'!H62,53)),IF(INDEX(properties!A$1:CB$87,'Fórmula'!J62,53)=0,10^6,INDEX(properties!A$1:CB$87,'Fórmula'!J62,53)))</f>
        <v>54.75</v>
      </c>
      <c r="FG62" s="115">
        <f t="shared" si="27"/>
        <v>878.4</v>
      </c>
      <c r="FH62" s="117">
        <f t="array" ref="FH62">(('Fórmula'!C62)/('Fórmula'!C62+'Fórmula'!E62+'Fórmula'!G62+'Fórmula'!I62+'Fórmula'!K62))*(INDEX(properties!A$1:CB$87,'Fórmula'!B62,54))+(('Fórmula'!E62)/('Fórmula'!C62+'Fórmula'!E62+'Fórmula'!G62+'Fórmula'!I62+'Fórmula'!K62))*(INDEX(properties!A$1:CB$87,'Fórmula'!D62,54))+(('Fórmula'!G62)/('Fórmula'!C62+'Fórmula'!E62+'Fórmula'!G62+'Fórmula'!I62+'Fórmula'!K62))*(INDEX(properties!A$1:CB$87,'Fórmula'!F62,54))+(('Fórmula'!I62)/('Fórmula'!C62+'Fórmula'!E62+'Fórmula'!G62+'Fórmula'!I62+'Fórmula'!K62))*(INDEX(properties!A$1:CB$87,'Fórmula'!H62,54))+(('Fórmula'!K62)/('Fórmula'!C62+'Fórmula'!E62+'Fórmula'!G62+'Fórmula'!I62+'Fórmula'!K62))*(INDEX(properties!A$1:CB$87,'Fórmula'!J62,54))</f>
        <v>608.9833333</v>
      </c>
      <c r="FI62" s="117">
        <f t="array" ref="FI62">'Fórmula'!C62*(INDEX(properties!A$1:CB$87,'Fórmula'!B62,54))+'Fórmula'!E62*(INDEX(properties!A$1:CB$87,'Fórmula'!D62,54))+'Fórmula'!G62*(INDEX(properties!A$1:CB$87,'Fórmula'!F62,54))+'Fórmula'!I62*(INDEX(properties!A$1:CB$87,'Fórmula'!H62,54))+'Fórmula'!K62*(INDEX(properties!A$1:CB$87,'Fórmula'!J62,54))</f>
        <v>3653.9</v>
      </c>
      <c r="FJ62" s="117">
        <f t="array" ref="FJ62">VARP(IF(INDEX(properties!A$1:CB$87,'Fórmula'!B62,54)&lt;&gt;"",INDEX(properties!A$1:CB$87,'Fórmula'!B62,54)),IF(INDEX(properties!A$1:CB$87,'Fórmula'!D62,54)&lt;&gt;"",INDEX(properties!A$1:CB$87,'Fórmula'!D62,54)),IF(INDEX(properties!A$1:CB$87,'Fórmula'!F62,54)&lt;&gt;"",INDEX(properties!A$1:CB$87,'Fórmula'!F62,54)),IF(INDEX(properties!A$1:CB$87,'Fórmula'!H62,54)&lt;&gt;"",INDEX(properties!A$1:CB$87,'Fórmula'!H62,54)),IF(INDEX(properties!A$1:CB$87,'Fórmula'!J62,54)&lt;&gt;"",INDEX(properties!A$1:CB$87,'Fórmula'!J62,54)))</f>
        <v>1106595.437</v>
      </c>
      <c r="FK62" s="117">
        <f t="array" ref="FK62">MAX(INDEX(properties!A$1:CB$87,'Fórmula'!B62,54),INDEX(properties!A$1:CB$87,'Fórmula'!D62,54),INDEX(properties!A$1:CB$87,'Fórmula'!F62,54),INDEX(properties!A$1:CB$87,'Fórmula'!H62,54),INDEX(properties!A$1:CB$87,'Fórmula'!J62,54))</f>
        <v>2740.15</v>
      </c>
      <c r="FL62" s="117">
        <f t="array" ref="FL62">MIN(IF(INDEX(properties!A$1:CB$87,'Fórmula'!B62,54)=0,10^6,INDEX(properties!A$1:CB$87,'Fórmula'!B62,54)),IF(INDEX(properties!A$1:CB$87,'Fórmula'!D62,54)=0,10^6,INDEX(properties!A$1:CB$87,'Fórmula'!D62,54)),IF(INDEX(properties!A$1:CB$87,'Fórmula'!F62,54)=0,10^6,INDEX(properties!A$1:CB$87,'Fórmula'!F62,54)),IF(INDEX(properties!A$1:CB$87,'Fórmula'!H62,54)=0,10^6,INDEX(properties!A$1:CB$87,'Fórmula'!H62,54)),IF(INDEX(properties!A$1:CB$87,'Fórmula'!J62,54)=0,10^6,INDEX(properties!A$1:CB$87,'Fórmula'!J62,54)))</f>
        <v>90.15</v>
      </c>
      <c r="FM62" s="117">
        <f t="shared" si="28"/>
        <v>2650</v>
      </c>
      <c r="FN62" s="118">
        <f t="array" ref="FN62">(('Fórmula'!C62)/('Fórmula'!C62+'Fórmula'!E62+'Fórmula'!G62+'Fórmula'!I62+'Fórmula'!K62))*(INDEX(properties!A$1:CB$87,'Fórmula'!B62,55))+(('Fórmula'!E62)/('Fórmula'!C62+'Fórmula'!E62+'Fórmula'!G62+'Fórmula'!I62+'Fórmula'!K62))*(INDEX(properties!A$1:CB$87,'Fórmula'!D62,55))+(('Fórmula'!G62)/('Fórmula'!C62+'Fórmula'!E62+'Fórmula'!G62+'Fórmula'!I62+'Fórmula'!K62))*(INDEX(properties!A$1:CB$87,'Fórmula'!F62,55))+(('Fórmula'!I62)/('Fórmula'!C62+'Fórmula'!E62+'Fórmula'!G62+'Fórmula'!I62+'Fórmula'!K62))*(INDEX(properties!A$1:CB$87,'Fórmula'!H62,55))+(('Fórmula'!K62)/('Fórmula'!C62+'Fórmula'!E62+'Fórmula'!G62+'Fórmula'!I62+'Fórmula'!K62))*(INDEX(properties!A$1:CB$87,'Fórmula'!J62,55))</f>
        <v>0.7542866667</v>
      </c>
      <c r="FO62" s="118">
        <f t="array" ref="FO62">'Fórmula'!C62*(INDEX(properties!A$1:CB$87,'Fórmula'!B62,55))+'Fórmula'!E62*(INDEX(properties!A$1:CB$87,'Fórmula'!D62,54))+'Fórmula'!G62*(INDEX(properties!A$1:CB$87,'Fórmula'!F62,55))+'Fórmula'!I62*(INDEX(properties!A$1:CB$87,'Fórmula'!H62,55))+'Fórmula'!K62*(INDEX(properties!A$1:CB$87,'Fórmula'!J62,55))</f>
        <v>555.85572</v>
      </c>
      <c r="FP62" s="118">
        <f t="array" ref="FP62">VARP(IF(INDEX(properties!A$1:CB$87,'Fórmula'!B62,55)&lt;&gt;"",INDEX(properties!A$1:CB$87,'Fórmula'!B62,55)),IF(INDEX(properties!A$1:CB$87,'Fórmula'!D62,55)&lt;&gt;"",INDEX(properties!A$1:CB$87,'Fórmula'!D62,55)),IF(INDEX(properties!A$1:CB$87,'Fórmula'!F62,55)&lt;&gt;"",INDEX(properties!A$1:CB$87,'Fórmula'!F62,55)),IF(INDEX(properties!A$1:CB$87,'Fórmula'!H62,55)&lt;&gt;"",INDEX(properties!A$1:CB$87,'Fórmula'!H62,55)),IF(INDEX(properties!A$1:CB$87,'Fórmula'!J62,55)&lt;&gt;"",INDEX(properties!A$1:CB$87,'Fórmula'!J62,55)))</f>
        <v>1.302747239</v>
      </c>
      <c r="FQ62" s="118">
        <f t="array" ref="FQ62">MAX(INDEX(properties!A$1:CB$87,'Fórmula'!B62,55),INDEX(properties!A$1:CB$87,'Fórmula'!D62,55),INDEX(properties!A$1:CB$87,'Fórmula'!F62,55),INDEX(properties!A$1:CB$87,'Fórmula'!H62,55),INDEX(properties!A$1:CB$87,'Fórmula'!J62,55))</f>
        <v>2.7</v>
      </c>
      <c r="FR62" s="118">
        <f t="array" ref="FR62">MIN(IF(INDEX(properties!A$1:CB$87,'Fórmula'!B62,55)=0,10^6,INDEX(properties!A$1:CB$87,'Fórmula'!B62,55)),IF(INDEX(properties!A$1:CB$87,'Fórmula'!D62,55)=0,10^6,INDEX(properties!A$1:CB$87,'Fórmula'!D62,55)),IF(INDEX(properties!A$1:CB$87,'Fórmula'!F62,55)=0,10^6,INDEX(properties!A$1:CB$87,'Fórmula'!F62,55)),IF(INDEX(properties!A$1:CB$87,'Fórmula'!H62,55)=0,10^6,INDEX(properties!A$1:CB$87,'Fórmula'!H62,55)),IF(INDEX(properties!A$1:CB$87,'Fórmula'!J62,55)=0,10^6,INDEX(properties!A$1:CB$87,'Fórmula'!J62,55)))</f>
        <v>0.00143</v>
      </c>
      <c r="FS62" s="118">
        <f t="shared" si="29"/>
        <v>2.69857</v>
      </c>
      <c r="FT62" s="119">
        <f t="array" ref="FT62">(('Fórmula'!C62)/('Fórmula'!C62+'Fórmula'!E62+'Fórmula'!G62+'Fórmula'!I62+'Fórmula'!K62))*(INDEX(properties!A$1:CB$87,'Fórmula'!B62,56))+(('Fórmula'!E62)/('Fórmula'!C62+'Fórmula'!E62+'Fórmula'!G62+'Fórmula'!I62+'Fórmula'!K62))*(INDEX(properties!A$1:CB$87,'Fórmula'!D62,56))+(('Fórmula'!G62)/('Fórmula'!C62+'Fórmula'!E62+'Fórmula'!G62+'Fórmula'!I62+'Fórmula'!K62))*(INDEX(properties!A$1:CB$87,'Fórmula'!F62,56))+(('Fórmula'!I62)/('Fórmula'!C62+'Fórmula'!E62+'Fórmula'!G62+'Fórmula'!I62+'Fórmula'!K62))*(INDEX(properties!A$1:CB$87,'Fórmula'!H62,56))+(('Fórmula'!K62)/('Fórmula'!C62+'Fórmula'!E62+'Fórmula'!G62+'Fórmula'!I62+'Fórmula'!K62))*(INDEX(properties!A$1:CB$87,'Fórmula'!J62,56))</f>
        <v>0.8916666667</v>
      </c>
      <c r="FU62" s="119">
        <f t="array" ref="FU62">'Fórmula'!C62*(INDEX(properties!A$1:CB$87,'Fórmula'!B62,56))+'Fórmula'!E62*(INDEX(properties!A$1:CB$87,'Fórmula'!D62,56))+'Fórmula'!G62*(INDEX(properties!A$1:CB$87,'Fórmula'!F62,56))+'Fórmula'!I62*(INDEX(properties!A$1:CB$87,'Fórmula'!H62,56))+'Fórmula'!K62*(INDEX(properties!A$1:CB$87,'Fórmula'!J62,56))</f>
        <v>5.35</v>
      </c>
      <c r="FV62" s="119">
        <f t="array" ref="FV62">VARP(IF(INDEX(properties!A$1:CB$87,'Fórmula'!B62,56)&lt;&gt;"",INDEX(properties!A$1:CB$87,'Fórmula'!B62,56)),IF(INDEX(properties!A$1:CB$87,'Fórmula'!D62,56)&lt;&gt;"",INDEX(properties!A$1:CB$87,'Fórmula'!D62,56)),IF(INDEX(properties!A$1:CB$87,'Fórmula'!F62,56)&lt;&gt;"",INDEX(properties!A$1:CB$87,'Fórmula'!F62,56)),IF(INDEX(properties!A$1:CB$87,'Fórmula'!H62,56)&lt;&gt;"",INDEX(properties!A$1:CB$87,'Fórmula'!H62,56)),IF(INDEX(properties!A$1:CB$87,'Fórmula'!J62,56)&lt;&gt;"",INDEX(properties!A$1:CB$87,'Fórmula'!J62,56)))</f>
        <v>0.181536</v>
      </c>
      <c r="FW62" s="119">
        <f t="array" ref="FW62">MAX(INDEX(properties!A$1:CB$87,'Fórmula'!B62,56),INDEX(properties!A$1:CB$87,'Fórmula'!D62,56),INDEX(properties!A$1:CB$87,'Fórmula'!F62,56),INDEX(properties!A$1:CB$87,'Fórmula'!H62,56),INDEX(properties!A$1:CB$87,'Fórmula'!J62,56))</f>
        <v>0.92</v>
      </c>
      <c r="FX62" s="119">
        <f t="array" ref="FX62">MIN(IF(INDEX(properties!A$1:CB$87,'Fórmula'!B62,56)=0,10^6,INDEX(properties!A$1:CB$87,'Fórmula'!B62,56)),IF(INDEX(properties!A$1:CB$87,'Fórmula'!D62,56)=0,10^6,INDEX(properties!A$1:CB$87,'Fórmula'!D62,56)),IF(INDEX(properties!A$1:CB$87,'Fórmula'!F62,56)=0,10^6,INDEX(properties!A$1:CB$87,'Fórmula'!F62,56)),IF(INDEX(properties!A$1:CB$87,'Fórmula'!H62,56)=0,10^6,INDEX(properties!A$1:CB$87,'Fórmula'!H62,56)),IF(INDEX(properties!A$1:CB$87,'Fórmula'!J62,56)=0,10^6,INDEX(properties!A$1:CB$87,'Fórmula'!J62,56)))</f>
        <v>0.77</v>
      </c>
      <c r="FY62" s="119">
        <f t="shared" si="30"/>
        <v>0.15</v>
      </c>
      <c r="FZ62" s="104">
        <f t="array" ref="FZ62">(('Fórmula'!C62)/('Fórmula'!C62+'Fórmula'!E62+'Fórmula'!G62+'Fórmula'!I62+'Fórmula'!K62))*(INDEX(properties!A$1:CB$87,'Fórmula'!B62,57))+(('Fórmula'!E62)/('Fórmula'!C62+'Fórmula'!E62+'Fórmula'!G62+'Fórmula'!I62+'Fórmula'!K62))*(INDEX(properties!A$1:CB$87,'Fórmula'!D62,57))+(('Fórmula'!G62)/('Fórmula'!C62+'Fórmula'!E62+'Fórmula'!G62+'Fórmula'!I62+'Fórmula'!K62))*(INDEX(properties!A$1:CB$87,'Fórmula'!F62,57))+(('Fórmula'!I62)/('Fórmula'!C62+'Fórmula'!E62+'Fórmula'!G62+'Fórmula'!I62+'Fórmula'!K62))*(INDEX(properties!A$1:CB$87,'Fórmula'!H62,57))+(('Fórmula'!K62)/('Fórmula'!C62+'Fórmula'!E62+'Fórmula'!G62+'Fórmula'!I62+'Fórmula'!K62))*(INDEX(properties!A$1:CB$87,'Fórmula'!J62,57))</f>
        <v>2.056226667</v>
      </c>
      <c r="GA62" s="104">
        <f t="array" ref="GA62">'Fórmula'!C62*(INDEX(properties!A$1:CB$87,'Fórmula'!B62,57))+'Fórmula'!E62*(INDEX(properties!A$1:CB$87,'Fórmula'!D62,57))+'Fórmula'!G62*(INDEX(properties!A$1:CB$87,'Fórmula'!F62,57))+'Fórmula'!I62*(INDEX(properties!A$1:CB$87,'Fórmula'!H62,57))+'Fórmula'!K62*(INDEX(properties!A$1:CB$87,'Fórmula'!J62,57))</f>
        <v>12.33736</v>
      </c>
      <c r="GB62" s="104">
        <f t="array" ref="GB62">VARP(IF(INDEX(properties!A$1:CB$87,'Fórmula'!B62,57)&lt;&gt;"",INDEX(properties!A$1:CB$87,'Fórmula'!B62,57)),IF(INDEX(properties!A$1:CB$87,'Fórmula'!D62,57)&lt;&gt;"",INDEX(properties!A$1:CB$87,'Fórmula'!D62,57)),IF(INDEX(properties!A$1:CB$87,'Fórmula'!F62,57)&lt;&gt;"",INDEX(properties!A$1:CB$87,'Fórmula'!F62,57)),IF(INDEX(properties!A$1:CB$87,'Fórmula'!H62,57)&lt;&gt;"",INDEX(properties!A$1:CB$87,'Fórmula'!H62,57)),IF(INDEX(properties!A$1:CB$87,'Fórmula'!J62,57)&lt;&gt;"",INDEX(properties!A$1:CB$87,'Fórmula'!J62,57)))</f>
        <v>17.93388583</v>
      </c>
      <c r="GC62" s="104">
        <f t="array" ref="GC62">MAX(INDEX(properties!A$1:CB$87,'Fórmula'!B62,57),INDEX(properties!A$1:CB$87,'Fórmula'!D62,57),INDEX(properties!A$1:CB$87,'Fórmula'!F62,57),INDEX(properties!A$1:CB$87,'Fórmula'!H62,57),INDEX(properties!A$1:CB$87,'Fórmula'!J62,57))</f>
        <v>10.79</v>
      </c>
      <c r="GD62" s="104">
        <f t="array" ref="GD62">MIN(IF(INDEX(properties!A$1:CB$87,'Fórmula'!B62,57)=0,10^6,INDEX(properties!A$1:CB$87,'Fórmula'!B62,57)),IF(INDEX(properties!A$1:CB$87,'Fórmula'!D62,57)=0,10^6,INDEX(properties!A$1:CB$87,'Fórmula'!D62,57)),IF(INDEX(properties!A$1:CB$87,'Fórmula'!F62,57)=0,10^6,INDEX(properties!A$1:CB$87,'Fórmula'!F62,57)),IF(INDEX(properties!A$1:CB$87,'Fórmula'!H62,57)=0,10^6,INDEX(properties!A$1:CB$87,'Fórmula'!H62,57)),IF(INDEX(properties!A$1:CB$87,'Fórmula'!J62,57)=0,10^6,INDEX(properties!A$1:CB$87,'Fórmula'!J62,57)))</f>
        <v>0.22259</v>
      </c>
      <c r="GE62" s="104">
        <f t="shared" si="31"/>
        <v>10.56741</v>
      </c>
      <c r="GF62" s="105">
        <f t="array" ref="GF62">(('Fórmula'!C62)/('Fórmula'!C62+'Fórmula'!E62+'Fórmula'!G62+'Fórmula'!I62+'Fórmula'!K62))*(INDEX(properties!A$1:CB$87,'Fórmula'!B62,60))+(('Fórmula'!E62)/('Fórmula'!C62+'Fórmula'!E62+'Fórmula'!G62+'Fórmula'!I62+'Fórmula'!K62))*(INDEX(properties!A$1:CB$87,'Fórmula'!D62,60))+(('Fórmula'!G62)/('Fórmula'!C62+'Fórmula'!E62+'Fórmula'!G62+'Fórmula'!I62+'Fórmula'!K62))*(INDEX(properties!A$1:CB$87,'Fórmula'!F62,60))+(('Fórmula'!I62)/('Fórmula'!C62+'Fórmula'!E62+'Fórmula'!G62+'Fórmula'!I62+'Fórmula'!K62))*(INDEX(properties!A$1:CB$87,'Fórmula'!H62,60))+(('Fórmula'!K62)/('Fórmula'!C62+'Fórmula'!E62+'Fórmula'!G62+'Fórmula'!I62+'Fórmula'!K62))*(INDEX(properties!A$1:CB$87,'Fórmula'!J62,60))</f>
        <v>39.55699333</v>
      </c>
      <c r="GG62" s="105">
        <f t="array" ref="GG62">'Fórmula'!C62*(INDEX(properties!A$1:CB$87,'Fórmula'!B62,60))+'Fórmula'!E62*(INDEX(properties!A$1:CB$87,'Fórmula'!D62,60))+'Fórmula'!G62*(INDEX(properties!A$1:CB$87,'Fórmula'!F62,60))+'Fórmula'!I62*(INDEX(properties!A$1:CB$87,'Fórmula'!H62,60))+'Fórmula'!K62*(INDEX(properties!A$1:CB$87,'Fórmula'!J62,60))</f>
        <v>237.34196</v>
      </c>
      <c r="GH62" s="105">
        <f t="array" ref="GH62">VARP(IF(INDEX(properties!A$1:CB$87,'Fórmula'!B62,60)&lt;&gt;"",INDEX(properties!A$1:CB$87,'Fórmula'!B62,60)),IF(INDEX(properties!A$1:CB$87,'Fórmula'!D62,60)&lt;&gt;"",INDEX(properties!A$1:CB$87,'Fórmula'!D62,60)),IF(INDEX(properties!A$1:CB$87,'Fórmula'!F62,60)&lt;&gt;"",INDEX(properties!A$1:CB$87,'Fórmula'!F62,60)),IF(INDEX(properties!A$1:CB$87,'Fórmula'!H62,60)&lt;&gt;"",INDEX(properties!A$1:CB$87,'Fórmula'!H62,60)),IF(INDEX(properties!A$1:CB$87,'Fórmula'!J62,60)&lt;&gt;"",INDEX(properties!A$1:CB$87,'Fórmula'!J62,60)))</f>
        <v>8982.085857</v>
      </c>
      <c r="GI62" s="105">
        <f t="array" ref="GI62">MAX(INDEX(properties!A$1:CB$87,'Fórmula'!B62,60),INDEX(properties!A$1:CB$87,'Fórmula'!D62,60),INDEX(properties!A$1:CB$87,'Fórmula'!F62,60),INDEX(properties!A$1:CB$87,'Fórmula'!H62,60),INDEX(properties!A$1:CB$87,'Fórmula'!J62,60))</f>
        <v>237</v>
      </c>
      <c r="GJ62" s="105">
        <f t="array" ref="GJ62">MIN(IF(INDEX(properties!A$1:CB$87,'Fórmula'!B62,60)=0,10^6,INDEX(properties!A$1:CB$87,'Fórmula'!B62,60)),IF(INDEX(properties!A$1:CB$87,'Fórmula'!D62,60)=0,10^6,INDEX(properties!A$1:CB$87,'Fórmula'!D62,60)),IF(INDEX(properties!A$1:CB$87,'Fórmula'!F62,60)=0,10^6,INDEX(properties!A$1:CB$87,'Fórmula'!F62,60)),IF(INDEX(properties!A$1:CB$87,'Fórmula'!H62,60)=0,10^6,INDEX(properties!A$1:CB$87,'Fórmula'!H62,60)),IF(INDEX(properties!A$1:CB$87,'Fórmula'!J62,60)=0,10^6,INDEX(properties!A$1:CB$87,'Fórmula'!J62,60)))</f>
        <v>0.02674</v>
      </c>
      <c r="GK62" s="105">
        <f t="shared" si="32"/>
        <v>236.97326</v>
      </c>
      <c r="GL62" s="106">
        <f t="array" ref="GL62">(('Fórmula'!C62)/('Fórmula'!C62+'Fórmula'!E62+'Fórmula'!G62+'Fórmula'!I62+'Fórmula'!K62))*(INDEX(properties!A$1:CB$87,'Fórmula'!B62,62))+(('Fórmula'!E62)/('Fórmula'!C62+'Fórmula'!E62+'Fórmula'!G62+'Fórmula'!I62+'Fórmula'!K62))*(INDEX(properties!A$1:CB$87,'Fórmula'!D62,62))+(('Fórmula'!G62)/('Fórmula'!C62+'Fórmula'!E62+'Fórmula'!G62+'Fórmula'!I62+'Fórmula'!K62))*(INDEX(properties!A$1:CB$87,'Fórmula'!F62,62))+(('Fórmula'!I62)/('Fórmula'!C62+'Fórmula'!E62+'Fórmula'!G62+'Fórmula'!I62+'Fórmula'!K62))*(INDEX(properties!A$1:CB$87,'Fórmula'!H62,62))+(('Fórmula'!K62)/('Fórmula'!C62+'Fórmula'!E62+'Fórmula'!G62+'Fórmula'!I62+'Fórmula'!K62))*(INDEX(properties!A$1:CB$87,'Fórmula'!J62,62))</f>
        <v>2.883333333</v>
      </c>
      <c r="GM62" s="106">
        <f t="array" ref="GM62">'Fórmula'!C62*(INDEX(properties!A$1:CB$87,'Fórmula'!B62,62))+'Fórmula'!E62*(INDEX(properties!A$1:CB$87,'Fórmula'!D62,62))+'Fórmula'!G62*(INDEX(properties!A$1:CB$87,'Fórmula'!F62,62))+'Fórmula'!I62*(INDEX(properties!A$1:CB$87,'Fórmula'!H62,62))+'Fórmula'!K62*(INDEX(properties!A$1:CB$87,'Fórmula'!J62,62))</f>
        <v>17.3</v>
      </c>
      <c r="GN62" s="106">
        <f t="array" ref="GN62">VARP(IF(INDEX(properties!A$1:CB$87,'Fórmula'!B62,62)&lt;&gt;"",INDEX(properties!A$1:CB$87,'Fórmula'!B62,62)),IF(INDEX(properties!A$1:CB$87,'Fórmula'!D62,62)&lt;&gt;"",INDEX(properties!A$1:CB$87,'Fórmula'!D62,62)),IF(INDEX(properties!A$1:CB$87,'Fórmula'!F62,62)&lt;&gt;"",INDEX(properties!A$1:CB$87,'Fórmula'!F62,62)),IF(INDEX(properties!A$1:CB$87,'Fórmula'!H62,62)&lt;&gt;"",INDEX(properties!A$1:CB$87,'Fórmula'!H62,62)),IF(INDEX(properties!A$1:CB$87,'Fórmula'!J62,62)&lt;&gt;"",INDEX(properties!A$1:CB$87,'Fórmula'!J62,62)))</f>
        <v>2.459736</v>
      </c>
      <c r="GO62" s="106">
        <f t="array" ref="GO62">MAX(INDEX(properties!A$1:CB$87,'Fórmula'!B62,62),INDEX(properties!A$1:CB$87,'Fórmula'!D62,62),INDEX(properties!A$1:CB$87,'Fórmula'!F62,62),INDEX(properties!A$1:CB$87,'Fórmula'!H62,62),INDEX(properties!A$1:CB$87,'Fórmula'!J62,62))</f>
        <v>3.43</v>
      </c>
      <c r="GP62" s="106">
        <f t="array" ref="GP62">MIN(IF(INDEX(properties!A$1:CB$87,'Fórmula'!B62,62)=0,10^6,INDEX(properties!A$1:CB$87,'Fórmula'!B62,62)),IF(INDEX(properties!A$1:CB$87,'Fórmula'!D62,62)=0,10^6,INDEX(properties!A$1:CB$87,'Fórmula'!D62,62)),IF(INDEX(properties!A$1:CB$87,'Fórmula'!F62,62)=0,10^6,INDEX(properties!A$1:CB$87,'Fórmula'!F62,62)),IF(INDEX(properties!A$1:CB$87,'Fórmula'!H62,62)=0,10^6,INDEX(properties!A$1:CB$87,'Fórmula'!H62,62)),IF(INDEX(properties!A$1:CB$87,'Fórmula'!J62,62)=0,10^6,INDEX(properties!A$1:CB$87,'Fórmula'!J62,62)))</f>
        <v>2.62</v>
      </c>
      <c r="GQ62" s="106">
        <f t="shared" si="33"/>
        <v>0.81</v>
      </c>
      <c r="GR62" s="106">
        <f>'Fórmula'!Q62</f>
        <v>176</v>
      </c>
      <c r="GS62" s="107">
        <f>'Fórmula'!P62</f>
        <v>5</v>
      </c>
      <c r="GT62" s="113">
        <f>'Fórmula'!O62</f>
        <v>1.61</v>
      </c>
      <c r="GU62" s="114">
        <f>AVERAGE('Fórmula'!R62/'Fórmula'!S62,'Fórmula'!S62/'Fórmula'!T62,'Fórmula'!T62/'Fórmula'!R62)</f>
        <v>1.00857224</v>
      </c>
      <c r="GV62" s="125">
        <f>'Fórmula'!U62</f>
        <v>2268.44</v>
      </c>
      <c r="GW62" s="106">
        <f>'Fórmula'!N62</f>
        <v>0.03</v>
      </c>
    </row>
    <row r="63" ht="14.25" customHeight="1">
      <c r="A63" s="99" t="str">
        <f>'Fórmula'!A63</f>
        <v>BiPO4</v>
      </c>
      <c r="B63" s="101">
        <f t="array" ref="B63">(('Fórmula'!C63)/('Fórmula'!C63+'Fórmula'!E63+'Fórmula'!G63+'Fórmula'!I63+'Fórmula'!K63))*(INDEX(properties!A$1:CB$87,'Fórmula'!B63,3))+(('Fórmula'!E63)/('Fórmula'!C63+'Fórmula'!E63+'Fórmula'!G63+'Fórmula'!I63+'Fórmula'!K63))*(INDEX(properties!A$1:CB$87,'Fórmula'!D63,3))+(('Fórmula'!G63)/('Fórmula'!C63+'Fórmula'!E63+'Fórmula'!G63+'Fórmula'!I63+'Fórmula'!K63))*(INDEX(properties!A$1:CB$87,'Fórmula'!F63,3))+(('Fórmula'!I63)/('Fórmula'!C63+'Fórmula'!E63+'Fórmula'!G63+'Fórmula'!I63+'Fórmula'!K63))*(INDEX(properties!A$1:CB$87,'Fórmula'!H63,3))+(('Fórmula'!K63)/('Fórmula'!C63+'Fórmula'!E63+'Fórmula'!G63+'Fórmula'!I63+'Fórmula'!K63))*(INDEX(properties!A$1:CB$87,'Fórmula'!J63,3))</f>
        <v>50.658622</v>
      </c>
      <c r="C63" s="101">
        <f t="array" ref="C63">'Fórmula'!C63*(INDEX(properties!A$1:CB$87,'Fórmula'!B63,3))+'Fórmula'!E63*(INDEX(properties!A$1:CB$87,'Fórmula'!D63,3))+'Fórmula'!G63*(INDEX(properties!A$1:CB$87,'Fórmula'!F63,3))+'Fórmula'!I63*(INDEX(properties!A$1:CB$87,'Fórmula'!H63,3))+'Fórmula'!K63*(INDEX(properties!A$1:CB$87,'Fórmula'!J63,3))</f>
        <v>303.951732</v>
      </c>
      <c r="D63" s="101">
        <f t="array" ref="D63">VARP(IF(INDEX(properties!A$1:CB$87,'Fórmula'!B63,3)&lt;&gt;"",INDEX(properties!A$1:CB$87,'Fórmula'!B63,3)),IF(INDEX(properties!A$1:CB$87,'Fórmula'!D63,3)&lt;&gt;"",INDEX(properties!A$1:CB$87,'Fórmula'!D63,3)),IF(INDEX(properties!A$1:CB$87,'Fórmula'!F63,3)&lt;&gt;"",INDEX(properties!A$1:CB$87,'Fórmula'!F63,3)),IF(INDEX(properties!A$1:CB$87,'Fórmula'!H63,3)&lt;&gt;"",INDEX(properties!A$1:CB$87,'Fórmula'!H63,3)),IF(INDEX(properties!A$1:CB$87,'Fórmula'!J63,3)&lt;&gt;"",INDEX(properties!A$1:CB$87,'Fórmula'!J63,3)))</f>
        <v>6357.141534</v>
      </c>
      <c r="E63" s="101">
        <f t="array" ref="E63">MAX(INDEX(properties!A$1:CB$87,'Fórmula'!B63,3),INDEX(properties!A$1:CB$87,'Fórmula'!D63,3),INDEX(properties!A$1:CB$87,'Fórmula'!F63,3),INDEX(properties!A$1:CB$87,'Fórmula'!H63,3),INDEX(properties!A$1:CB$87,'Fórmula'!J63,3))</f>
        <v>208.98037</v>
      </c>
      <c r="F63" s="101">
        <f t="array" ref="F63">MIN(IF(INDEX(properties!A$1:CB$87,'Fórmula'!B63,3)=0,10^6,INDEX(properties!A$1:CB$87,'Fórmula'!B63,3)),IF(INDEX(properties!A$1:CB$87,'Fórmula'!D63,3)=0,10^6,INDEX(properties!A$1:CB$87,'Fórmula'!D63,3)),IF(INDEX(properties!A$1:CB$87,'Fórmula'!F63,3)=0,10^6,INDEX(properties!A$1:CB$87,'Fórmula'!F63,3)),IF(INDEX(properties!A$1:CB$87,'Fórmula'!H63,3)=0,10^6,INDEX(properties!A$1:CB$87,'Fórmula'!H63,3)),IF(INDEX(properties!A$1:CB$87,'Fórmula'!J63,3)=0,10^6,INDEX(properties!A$1:CB$87,'Fórmula'!J63,3)))</f>
        <v>15.9994</v>
      </c>
      <c r="G63" s="101">
        <f t="shared" si="1"/>
        <v>192.98097</v>
      </c>
      <c r="H63" s="102">
        <f t="array" ref="H63">(('Fórmula'!C63)/('Fórmula'!C63+'Fórmula'!E63+'Fórmula'!G63+'Fórmula'!I63+'Fórmula'!K63))*(INDEX(properties!A$1:CB$87,'Fórmula'!B63,4))+(('Fórmula'!E63)/('Fórmula'!C63+'Fórmula'!E63+'Fórmula'!G63+'Fórmula'!I63+'Fórmula'!K63))*(INDEX(properties!A$1:CB$87,'Fórmula'!D63,4))+(('Fórmula'!G63)/('Fórmula'!C63+'Fórmula'!E63+'Fórmula'!G63+'Fórmula'!I63+'Fórmula'!K63))*(INDEX(properties!A$1:CB$87,'Fórmula'!F63,4))+(('Fórmula'!I63)/('Fórmula'!C63+'Fórmula'!E63+'Fórmula'!G63+'Fórmula'!I63+'Fórmula'!K63))*(INDEX(properties!A$1:CB$87,'Fórmula'!H63,4))+(('Fórmula'!K63)/('Fórmula'!C63+'Fórmula'!E63+'Fórmula'!G63+'Fórmula'!I63+'Fórmula'!K63))*(INDEX(properties!A$1:CB$87,'Fórmula'!J63,4))</f>
        <v>21.66666667</v>
      </c>
      <c r="I63" s="102">
        <f t="array" ref="I63">'Fórmula'!C63*(INDEX(properties!A$1:CB$87,'Fórmula'!B63,4))+'Fórmula'!E63*(INDEX(properties!A$1:CB$87,'Fórmula'!D63,4))+'Fórmula'!G63*(INDEX(properties!A$1:CB$87,'Fórmula'!F63,4))+'Fórmula'!I63*(INDEX(properties!A$1:CB$87,'Fórmula'!H63,4))+'Fórmula'!K63*(INDEX(properties!A$1:CB$87,'Fórmula'!J63,4))</f>
        <v>130</v>
      </c>
      <c r="J63" s="102">
        <f t="array" ref="J63">VARP(IF(INDEX(properties!A$1:CB$87,'Fórmula'!B63,4)&lt;&gt;"",INDEX(properties!A$1:CB$87,'Fórmula'!B63,4)),IF(INDEX(properties!A$1:CB$87,'Fórmula'!D63,4)&lt;&gt;"",INDEX(properties!A$1:CB$87,'Fórmula'!D63,4)),IF(INDEX(properties!A$1:CB$87,'Fórmula'!F63,4)&lt;&gt;"",INDEX(properties!A$1:CB$87,'Fórmula'!F63,4)),IF(INDEX(properties!A$1:CB$87,'Fórmula'!H63,4)&lt;&gt;"",INDEX(properties!A$1:CB$87,'Fórmula'!H63,4)),IF(INDEX(properties!A$1:CB$87,'Fórmula'!J63,4)&lt;&gt;"",INDEX(properties!A$1:CB$87,'Fórmula'!J63,4)))</f>
        <v>986.16</v>
      </c>
      <c r="K63" s="102">
        <f t="array" ref="K63">MAX(INDEX(properties!A$1:CB$87,'Fórmula'!B63,4),INDEX(properties!A$1:CB$87,'Fórmula'!D63,4),INDEX(properties!A$1:CB$87,'Fórmula'!F63,4),INDEX(properties!A$1:CB$87,'Fórmula'!H63,4),INDEX(properties!A$1:CB$87,'Fórmula'!J63,4))</f>
        <v>83</v>
      </c>
      <c r="L63" s="102">
        <f t="array" ref="L63">MIN(IF(INDEX(properties!A$1:CB$87,'Fórmula'!B63,4)=0,10^6,INDEX(properties!A$1:CB$87,'Fórmula'!B63,4)),IF(INDEX(properties!A$1:CB$87,'Fórmula'!D63,4)=0,10^6,INDEX(properties!A$1:CB$87,'Fórmula'!D63,4)),IF(INDEX(properties!A$1:CB$87,'Fórmula'!F63,4)=0,10^6,INDEX(properties!A$1:CB$87,'Fórmula'!F63,4)),IF(INDEX(properties!A$1:CB$87,'Fórmula'!H63,4)=0,10^6,INDEX(properties!A$1:CB$87,'Fórmula'!H63,4)),IF(INDEX(properties!A$1:CB$87,'Fórmula'!J63,4)=0,10^6,INDEX(properties!A$1:CB$87,'Fórmula'!J63,4)))</f>
        <v>8</v>
      </c>
      <c r="M63" s="102">
        <f t="shared" si="2"/>
        <v>75</v>
      </c>
      <c r="N63" s="103">
        <f t="array" ref="N63">(('Fórmula'!C63)/('Fórmula'!C63+'Fórmula'!E63+'Fórmula'!G63+'Fórmula'!I63+'Fórmula'!K63))*(INDEX(properties!A$1:CB$87,'Fórmula'!B63,5))+(('Fórmula'!E63)/('Fórmula'!C63+'Fórmula'!E63+'Fórmula'!G63+'Fórmula'!I63+'Fórmula'!K63))*(INDEX(properties!A$1:CB$87,'Fórmula'!D63,5))+(('Fórmula'!G63)/('Fórmula'!C63+'Fórmula'!E63+'Fórmula'!G63+'Fórmula'!I63+'Fórmula'!K63))*(INDEX(properties!A$1:CB$87,'Fórmula'!F63,5))+(('Fórmula'!I63)/('Fórmula'!C63+'Fórmula'!E63+'Fórmula'!G63+'Fórmula'!I63+'Fórmula'!K63))*(INDEX(properties!A$1:CB$87,'Fórmula'!H63,5))+(('Fórmula'!K63)/('Fórmula'!C63+'Fórmula'!E63+'Fórmula'!G63+'Fórmula'!I63+'Fórmula'!K63))*(INDEX(properties!A$1:CB$87,'Fórmula'!J63,5))</f>
        <v>2.833333333</v>
      </c>
      <c r="O63" s="103">
        <f t="array" ref="O63">'Fórmula'!C63*(INDEX(properties!A$1:CB$87,'Fórmula'!B63,5))+'Fórmula'!E63*(INDEX(properties!A$1:CB$87,'Fórmula'!D63,5))+'Fórmula'!G63*(INDEX(properties!A$1:CB$87,'Fórmula'!F63,5))+'Fórmula'!I63*(INDEX(properties!A$1:CB$87,'Fórmula'!H63,5))+'Fórmula'!K63*(INDEX(properties!A$1:CB$87,'Fórmula'!J63,5))</f>
        <v>17</v>
      </c>
      <c r="P63" s="103">
        <f t="array" ref="P63">VARP(IF(INDEX(properties!A$1:CB$87,'Fórmula'!B63,5)&lt;&gt;"",INDEX(properties!A$1:CB$87,'Fórmula'!B63,5)),IF(INDEX(properties!A$1:CB$87,'Fórmula'!D63,5)&lt;&gt;"",INDEX(properties!A$1:CB$87,'Fórmula'!D63,5)),IF(INDEX(properties!A$1:CB$87,'Fórmula'!F63,5)&lt;&gt;"",INDEX(properties!A$1:CB$87,'Fórmula'!F63,5)),IF(INDEX(properties!A$1:CB$87,'Fórmula'!H63,5)&lt;&gt;"",INDEX(properties!A$1:CB$87,'Fórmula'!H63,5)),IF(INDEX(properties!A$1:CB$87,'Fórmula'!J63,5)&lt;&gt;"",INDEX(properties!A$1:CB$87,'Fórmula'!J63,5)))</f>
        <v>4.96</v>
      </c>
      <c r="Q63" s="103">
        <f t="array" ref="Q63">MAX(INDEX(properties!A$1:CB$87,'Fórmula'!B63,5),INDEX(properties!A$1:CB$87,'Fórmula'!D63,5),INDEX(properties!A$1:CB$87,'Fórmula'!F63,5),INDEX(properties!A$1:CB$87,'Fórmula'!H63,5),INDEX(properties!A$1:CB$87,'Fórmula'!J63,5))</f>
        <v>6</v>
      </c>
      <c r="R63" s="103">
        <f t="array" ref="R63">MIN(IF(INDEX(properties!A$1:CB$87,'Fórmula'!B63,5)=0,10^6,INDEX(properties!A$1:CB$87,'Fórmula'!B63,5)),IF(INDEX(properties!A$1:CB$87,'Fórmula'!D63,5)=0,10^6,INDEX(properties!A$1:CB$87,'Fórmula'!D63,5)),IF(INDEX(properties!A$1:CB$87,'Fórmula'!F63,5)=0,10^6,INDEX(properties!A$1:CB$87,'Fórmula'!F63,5)),IF(INDEX(properties!A$1:CB$87,'Fórmula'!H63,5)=0,10^6,INDEX(properties!A$1:CB$87,'Fórmula'!H63,5)),IF(INDEX(properties!A$1:CB$87,'Fórmula'!J63,5)=0,10^6,INDEX(properties!A$1:CB$87,'Fórmula'!J63,5)))</f>
        <v>2</v>
      </c>
      <c r="S63" s="103">
        <f t="shared" si="3"/>
        <v>4</v>
      </c>
      <c r="T63" s="104">
        <f t="array" ref="T63">(('Fórmula'!C63)/('Fórmula'!C63+'Fórmula'!E63+'Fórmula'!G63+'Fórmula'!I63+'Fórmula'!K63))*(INDEX(properties!A$1:CB$87,'Fórmula'!B63,6))+(('Fórmula'!E63)/('Fórmula'!C63+'Fórmula'!E63+'Fórmula'!G63+'Fórmula'!I63+'Fórmula'!K63))*(INDEX(properties!A$1:CB$87,'Fórmula'!D63,6))+(('Fórmula'!G63)/('Fórmula'!C63+'Fórmula'!E63+'Fórmula'!G63+'Fórmula'!I63+'Fórmula'!K63))*(INDEX(properties!A$1:CB$87,'Fórmula'!F63,6))+(('Fórmula'!I63)/('Fórmula'!C63+'Fórmula'!E63+'Fórmula'!G63+'Fórmula'!I63+'Fórmula'!K63))*(INDEX(properties!A$1:CB$87,'Fórmula'!H63,6))+(('Fórmula'!K63)/('Fórmula'!C63+'Fórmula'!E63+'Fórmula'!G63+'Fórmula'!I63+'Fórmula'!K63))*(INDEX(properties!A$1:CB$87,'Fórmula'!J63,6))</f>
        <v>15.66666667</v>
      </c>
      <c r="U63" s="104">
        <f t="array" ref="U63">'Fórmula'!C63*(INDEX(properties!A$1:CB$87,'Fórmula'!B63,6))+'Fórmula'!E63*(INDEX(properties!A$1:CB$87,'Fórmula'!D63,6))+'Fórmula'!G63*(INDEX(properties!A$1:CB$87,'Fórmula'!F63,6))+'Fórmula'!I63*(INDEX(properties!A$1:CB$87,'Fórmula'!H63,6))+'Fórmula'!K63*(INDEX(properties!A$1:CB$87,'Fórmula'!J63,6))</f>
        <v>94</v>
      </c>
      <c r="V63" s="103">
        <f t="array" ref="V63">VARP(IF(INDEX(properties!A$1:CB$87,'Fórmula'!B63,6)&lt;&gt;"",INDEX(properties!A$1:CB$87,'Fórmula'!B63,6)),IF(INDEX(properties!A$1:CB$87,'Fórmula'!D63,6)&lt;&gt;"",INDEX(properties!A$1:CB$87,'Fórmula'!D63,6)),IF(INDEX(properties!A$1:CB$87,'Fórmula'!F63,6)&lt;&gt;"",INDEX(properties!A$1:CB$87,'Fórmula'!F63,6)),IF(INDEX(properties!A$1:CB$87,'Fórmula'!H63,6)&lt;&gt;"",INDEX(properties!A$1:CB$87,'Fórmula'!H63,6)),IF(INDEX(properties!A$1:CB$87,'Fórmula'!J63,6)&lt;&gt;"",INDEX(properties!A$1:CB$87,'Fórmula'!J63,6)))</f>
        <v>56.56</v>
      </c>
      <c r="W63" s="104">
        <f t="array" ref="W63">MAX(INDEX(properties!A$1:CB$87,'Fórmula'!B63,6),INDEX(properties!A$1:CB$87,'Fórmula'!D63,6),INDEX(properties!A$1:CB$87,'Fórmula'!F63,6),INDEX(properties!A$1:CB$87,'Fórmula'!H63,4),INDEX(properties!A$1:CB$87,'Fórmula'!J63,6))</f>
        <v>16</v>
      </c>
      <c r="X63" s="104">
        <f t="array" ref="X63">MIN(IF(INDEX(properties!A$1:CB$87,'Fórmula'!B63,6)=0,10^6,INDEX(properties!A$1:CB$87,'Fórmula'!B63,6)),IF(INDEX(properties!A$1:CB$87,'Fórmula'!D63,6)=0,10^6,INDEX(properties!A$1:CB$87,'Fórmula'!D63,6)),IF(INDEX(properties!A$1:CB$87,'Fórmula'!F63,6)=0,10^6,INDEX(properties!A$1:CB$87,'Fórmula'!F63,6)),IF(INDEX(properties!A$1:CB$87,'Fórmula'!H63,6)=0,10^6,INDEX(properties!A$1:CB$87,'Fórmula'!H63,6)),IF(INDEX(properties!A$1:CB$87,'Fórmula'!J63,6)=0,10^6,INDEX(properties!A$1:CB$87,'Fórmula'!J63,6)))</f>
        <v>15</v>
      </c>
      <c r="Y63" s="104">
        <f t="shared" si="4"/>
        <v>1</v>
      </c>
      <c r="Z63" s="105">
        <f t="array" ref="Z63">(('Fórmula'!C63)/('Fórmula'!C63+'Fórmula'!E63+'Fórmula'!G63+'Fórmula'!I63+'Fórmula'!K63))*(INDEX(properties!A$1:CB$87,'Fórmula'!B63,9))+(('Fórmula'!E63)/('Fórmula'!C63+'Fórmula'!E63+'Fórmula'!G63+'Fórmula'!I63+'Fórmula'!K63))*(INDEX(properties!A$1:CB$87,'Fórmula'!D63,9))+(('Fórmula'!G63)/('Fórmula'!C63+'Fórmula'!E63+'Fórmula'!G63+'Fórmula'!I63+'Fórmula'!K63))*(INDEX(properties!A$1:CB$87,'Fórmula'!F63,9))+(('Fórmula'!I63)/('Fórmula'!C63+'Fórmula'!E63+'Fórmula'!G63+'Fórmula'!I63+'Fórmula'!K63))*(INDEX(properties!A$1:CB$87,'Fórmula'!H63,9))+(('Fórmula'!K63)/('Fórmula'!C63+'Fórmula'!E63+'Fórmula'!G63+'Fórmula'!I63+'Fórmula'!K63))*(INDEX(properties!A$1:CB$87,'Fórmula'!J63,9))</f>
        <v>86.16666667</v>
      </c>
      <c r="AA63" s="105">
        <f t="array" ref="AA63">'Fórmula'!C63*(INDEX(properties!A$1:CB$87,'Fórmula'!B63,9))+'Fórmula'!E63*(INDEX(properties!A$1:CB$87,'Fórmula'!D63,9))+'Fórmula'!G63*(INDEX(properties!A$1:CB$87,'Fórmula'!F63,9))+'Fórmula'!I63*(INDEX(properties!A$1:CB$87,'Fórmula'!H63,9))+'Fórmula'!K63*(INDEX(properties!A$1:CB$87,'Fórmula'!J63,9))</f>
        <v>517</v>
      </c>
      <c r="AB63" s="105">
        <f t="array" ref="AB63">VARP(IF(INDEX(properties!A$1:CB$87,'Fórmula'!B63,9)&lt;&gt;"",INDEX(properties!A$1:CB$87,'Fórmula'!B63,9)),IF(INDEX(properties!A$1:CB$87,'Fórmula'!D63,9)&lt;&gt;"",INDEX(properties!A$1:CB$87,'Fórmula'!D63,9)),IF(INDEX(properties!A$1:CB$87,'Fórmula'!F63,9)&lt;&gt;"",INDEX(properties!A$1:CB$87,'Fórmula'!F63,9)),IF(INDEX(properties!A$1:CB$87,'Fórmula'!H63,9)&lt;&gt;"",INDEX(properties!A$1:CB$87,'Fórmula'!H63,9)),IF(INDEX(properties!A$1:CB$87,'Fórmula'!J63,9)&lt;&gt;"",INDEX(properties!A$1:CB$87,'Fórmula'!J63,9)))</f>
        <v>1749.36</v>
      </c>
      <c r="AC63" s="105">
        <f t="array" ref="AC63">MAX(INDEX(properties!A$1:CB$87,'Fórmula'!B63,9),INDEX(properties!A$1:CB$87,'Fórmula'!D63,9),INDEX(properties!A$1:CB$87,'Fórmula'!F63,9),INDEX(properties!A$1:CB$87,'Fórmula'!H63,9),INDEX(properties!A$1:CB$87,'Fórmula'!J63,9))</f>
        <v>87</v>
      </c>
      <c r="AD63" s="105">
        <f t="array" ref="AD63">MIN(IF(INDEX(properties!A$1:CB$87,'Fórmula'!B63,9)=0,10^6,INDEX(properties!A$1:CB$87,'Fórmula'!B63,9)),IF(INDEX(properties!A$1:CB$87,'Fórmula'!D63,9)=0,10^6,INDEX(properties!A$1:CB$87,'Fórmula'!D63,9)),IF(INDEX(properties!A$1:CB$87,'Fórmula'!F63,9)=0,10^6,INDEX(properties!A$1:CB$87,'Fórmula'!F63,9)),IF(INDEX(properties!A$1:CB$87,'Fórmula'!H63,9)=0,10^6,INDEX(properties!A$1:CB$87,'Fórmula'!H63,9)),IF(INDEX(properties!A$1:CB$87,'Fórmula'!J63,9)=0,10^6,INDEX(properties!A$1:CB$87,'Fórmula'!J63,9)))</f>
        <v>83</v>
      </c>
      <c r="AE63" s="105">
        <f t="shared" si="5"/>
        <v>4</v>
      </c>
      <c r="AF63" s="106">
        <f t="array" ref="AF63">(('Fórmula'!C63)/('Fórmula'!C63+'Fórmula'!E63+'Fórmula'!G63+'Fórmula'!I63+'Fórmula'!K63))*(INDEX(properties!A$1:CB$87,'Fórmula'!B63,10))+(('Fórmula'!E63)/('Fórmula'!C63+'Fórmula'!E63+'Fórmula'!G63+'Fórmula'!I63+'Fórmula'!K63))*(INDEX(properties!A$1:CB$87,'Fórmula'!D63,10))+(('Fórmula'!G63)/('Fórmula'!C63+'Fórmula'!E63+'Fórmula'!G63+'Fórmula'!I63+'Fórmula'!K63))*(INDEX(properties!A$1:CB$87,'Fórmula'!F63,10))+(('Fórmula'!I63)/('Fórmula'!C63+'Fórmula'!E63+'Fórmula'!G63+'Fórmula'!I63+'Fórmula'!K63))*(INDEX(properties!A$1:CB$87,'Fórmula'!H63,10))+(('Fórmula'!K63)/('Fórmula'!C63+'Fórmula'!E63+'Fórmula'!G63+'Fórmula'!I63+'Fórmula'!K63))*(INDEX(properties!A$1:CB$87,'Fórmula'!J63,10))</f>
        <v>6.666666667</v>
      </c>
      <c r="AG63" s="106">
        <f t="array" ref="AG63">'Fórmula'!C63*(INDEX(properties!A$1:CB$87,'Fórmula'!B63,10))+'Fórmula'!E63*(INDEX(properties!A$1:CB$87,'Fórmula'!D63,10))+'Fórmula'!G63*(INDEX(properties!A$1:CB$87,'Fórmula'!F63,10))+'Fórmula'!I63*(INDEX(properties!A$1:CB$87,'Fórmula'!H63,10))+'Fórmula'!K63*(INDEX(properties!A$1:CB$87,'Fórmula'!J63,10))</f>
        <v>40</v>
      </c>
      <c r="AH63" s="106">
        <f t="array" ref="AH63">VARP(IF(INDEX(properties!A$1:CB$87,'Fórmula'!B63,10)&lt;&gt;"",INDEX(properties!A$1:CB$87,'Fórmula'!B63,10)),IF(INDEX(properties!A$1:CB$87,'Fórmula'!D63,10)&lt;&gt;"",INDEX(properties!A$1:CB$87,'Fórmula'!D63,10)),IF(INDEX(properties!A$1:CB$87,'Fórmula'!F63,10)&lt;&gt;"",INDEX(properties!A$1:CB$87,'Fórmula'!F63,10)),IF(INDEX(properties!A$1:CB$87,'Fórmula'!H63,10)&lt;&gt;"",INDEX(properties!A$1:CB$87,'Fórmula'!H63,10)),IF(INDEX(properties!A$1:CB$87,'Fórmula'!J63,10)&lt;&gt;"",INDEX(properties!A$1:CB$87,'Fórmula'!J63,10)))</f>
        <v>10.16</v>
      </c>
      <c r="AI63" s="106">
        <f t="array" ref="AI63">MAX(INDEX(properties!A$1:CB$87,'Fórmula'!B63,10),INDEX(properties!A$1:CB$87,'Fórmula'!D63,10),INDEX(properties!A$1:CB$87,'Fórmula'!F63,10),INDEX(properties!A$1:CB$87,'Fórmula'!H63,10),INDEX(properties!A$1:CB$87,'Fórmula'!J63,10))</f>
        <v>7</v>
      </c>
      <c r="AJ63" s="106">
        <f t="array" ref="AJ63">MIN(IF(INDEX(properties!A$1:CB$87,'Fórmula'!B63,10)=0,10^6,INDEX(properties!A$1:CB$87,'Fórmula'!B63,10)),IF(INDEX(properties!A$1:CB$87,'Fórmula'!D63,10)=0,10^6,INDEX(properties!A$1:CB$87,'Fórmula'!D63,10)),IF(INDEX(properties!A$1:CB$87,'Fórmula'!F63,10)=0,10^6,INDEX(properties!A$1:CB$87,'Fórmula'!F63,10)),IF(INDEX(properties!A$1:CB$87,'Fórmula'!H63,10)=0,10^6,INDEX(properties!A$1:CB$87,'Fórmula'!H63,10)),IF(INDEX(properties!A$1:CB$87,'Fórmula'!J63,10)=0,10^6,INDEX(properties!A$1:CB$87,'Fórmula'!J63,10)))</f>
        <v>5</v>
      </c>
      <c r="AK63" s="106">
        <f t="shared" si="6"/>
        <v>2</v>
      </c>
      <c r="AL63" s="107">
        <f t="array" ref="AL63">(('Fórmula'!C63)/('Fórmula'!C63+'Fórmula'!E63+'Fórmula'!G63+'Fórmula'!I63+'Fórmula'!K63))*(INDEX(properties!A$1:CB$87,'Fórmula'!B63,11))+(('Fórmula'!E63)/('Fórmula'!C63+'Fórmula'!E63+'Fórmula'!G63+'Fórmula'!I63+'Fórmula'!K63))*(INDEX(properties!A$1:CB$87,'Fórmula'!D63,11))+(('Fórmula'!G63)/('Fórmula'!C63+'Fórmula'!E63+'Fórmula'!G63+'Fórmula'!I63+'Fórmula'!K63))*(INDEX(properties!A$1:CB$87,'Fórmula'!F63,11))+(('Fórmula'!I63)/('Fórmula'!C63+'Fórmula'!E63+'Fórmula'!G63+'Fórmula'!I63+'Fórmula'!K63))*(INDEX(properties!A$1:CB$87,'Fórmula'!H63,11))+(('Fórmula'!K63)/('Fórmula'!C63+'Fórmula'!E63+'Fórmula'!G63+'Fórmula'!I63+'Fórmula'!K63))*(INDEX(properties!A$1:CB$87,'Fórmula'!J63,11))</f>
        <v>2</v>
      </c>
      <c r="AM63" s="107">
        <f t="array" ref="AM63">'Fórmula'!C63*(INDEX(properties!A$1:CB$87,'Fórmula'!B63,11))+'Fórmula'!E63*(INDEX(properties!A$1:CB$87,'Fórmula'!D63,11))+'Fórmula'!G63*(INDEX(properties!A$1:CB$87,'Fórmula'!F63,11))+'Fórmula'!I63*(INDEX(properties!A$1:CB$87,'Fórmula'!H63,11))+'Fórmula'!K63*(INDEX(properties!A$1:CB$87,'Fórmula'!J63,11))</f>
        <v>12</v>
      </c>
      <c r="AN63" s="107">
        <f t="array" ref="AN63">VARP(IF(INDEX(properties!A$1:CB$87,'Fórmula'!B63,11)&lt;&gt;"",INDEX(properties!A$1:CB$87,'Fórmula'!B63,11)),IF(INDEX(properties!A$1:CB$87,'Fórmula'!D63,11)&lt;&gt;"",INDEX(properties!A$1:CB$87,'Fórmula'!D63,11)),IF(INDEX(properties!A$1:CB$87,'Fórmula'!F63,11)&lt;&gt;"",INDEX(properties!A$1:CB$87,'Fórmula'!F63,11)),IF(INDEX(properties!A$1:CB$87,'Fórmula'!H63,11)&lt;&gt;"",INDEX(properties!A$1:CB$87,'Fórmula'!H63,11)),IF(INDEX(properties!A$1:CB$87,'Fórmula'!J63,11)&lt;&gt;"",INDEX(properties!A$1:CB$87,'Fórmula'!J63,11)))</f>
        <v>0.96</v>
      </c>
      <c r="AO63" s="107">
        <f t="array" ref="AO63">MAX(INDEX(properties!A$1:CB$87,'Fórmula'!B63,11),INDEX(properties!A$1:CB$87,'Fórmula'!D63,11),INDEX(properties!A$1:CB$87,'Fórmula'!F63,11),INDEX(properties!A$1:CB$87,'Fórmula'!H63,11),INDEX(properties!A$1:CB$87,'Fórmula'!J63,11))</f>
        <v>2</v>
      </c>
      <c r="AP63" s="107">
        <f t="array" ref="AP63">MIN(IF('Fórmula'!B63=87,10^6,INDEX(properties!A$1:CB$87,'Fórmula'!B63,11)),IF(('Fórmula'!D63)=87,10^6,INDEX(properties!A$1:CB$87,'Fórmula'!D63,11)),IF(('Fórmula'!F63)=87,10^6,INDEX(properties!A$1:CB$87,'Fórmula'!F63,11)),IF(('Fórmula'!H63)=87,10^6,INDEX(properties!A$1:CB$87,'Fórmula'!H63,11)),IF('Fórmula'!J63=87,10^6,INDEX(properties!A$1:CB$87,'Fórmula'!J63,11)))</f>
        <v>2</v>
      </c>
      <c r="AQ63" s="107">
        <f t="shared" si="7"/>
        <v>0</v>
      </c>
      <c r="AR63" s="108">
        <f t="array" ref="AR63">(('Fórmula'!C63)/('Fórmula'!C63+'Fórmula'!E63+'Fórmula'!G63+'Fórmula'!I63+'Fórmula'!K63))*(INDEX(properties!A$1:CB$87,'Fórmula'!B63,12))+(('Fórmula'!E63)/('Fórmula'!C63+'Fórmula'!E63+'Fórmula'!G63+'Fórmula'!I63+'Fórmula'!K63))*(INDEX(properties!A$1:CB$87,'Fórmula'!D63,12))+(('Fórmula'!G63)/('Fórmula'!C63+'Fórmula'!E63+'Fórmula'!G63+'Fórmula'!I63+'Fórmula'!K63))*(INDEX(properties!A$1:CB$87,'Fórmula'!F63,12))+(('Fórmula'!I63)/('Fórmula'!C63+'Fórmula'!E63+'Fórmula'!G63+'Fórmula'!I63+'Fórmula'!K63))*(INDEX(properties!A$1:CB$87,'Fórmula'!H63,12))+(('Fórmula'!K63)/('Fórmula'!C63+'Fórmula'!E63+'Fórmula'!G63+'Fórmula'!I63+'Fórmula'!K63))*(INDEX(properties!A$1:CB$87,'Fórmula'!J63,12))</f>
        <v>3.666666667</v>
      </c>
      <c r="AS63" s="108">
        <f t="array" ref="AS63">'Fórmula'!C63*(INDEX(properties!A$1:CB$87,'Fórmula'!B63,12))+'Fórmula'!E63*(INDEX(properties!A$1:CB$87,'Fórmula'!D63,12))+'Fórmula'!G63*(INDEX(properties!A$1:CB$87,'Fórmula'!F63,12))+'Fórmula'!I63*(INDEX(properties!A$1:CB$87,'Fórmula'!H63,12))+'Fórmula'!K63*(INDEX(properties!A$1:CB$87,'Fórmula'!J63,12))</f>
        <v>22</v>
      </c>
      <c r="AT63" s="108">
        <f t="array" ref="AT63">VARP(IF(INDEX(properties!A$1:CB$87,'Fórmula'!B63,12)&lt;&gt;"",INDEX(properties!A$1:CB$87,'Fórmula'!B63,12)),IF(INDEX(properties!A$1:CB$87,'Fórmula'!D63,12)&lt;&gt;"",INDEX(properties!A$1:CB$87,'Fórmula'!D63,12)),IF(INDEX(properties!A$1:CB$87,'Fórmula'!F63,12)&lt;&gt;"",INDEX(properties!A$1:CB$87,'Fórmula'!F63,12)),IF(INDEX(properties!A$1:CB$87,'Fórmula'!H63,12)&lt;&gt;"",INDEX(properties!A$1:CB$87,'Fórmula'!H63,12)),IF(INDEX(properties!A$1:CB$87,'Fórmula'!J63,12)&lt;&gt;"",INDEX(properties!A$1:CB$87,'Fórmula'!J63,12)))</f>
        <v>2.8</v>
      </c>
      <c r="AU63" s="108">
        <f t="array" ref="AU63">MAX(INDEX(properties!A$1:CB$87,'Fórmula'!B63,12),INDEX(properties!A$1:CB$87,'Fórmula'!D63,12),INDEX(properties!A$1:CB$87,'Fórmula'!F63,12),INDEX(properties!A$1:CB$87,'Fórmula'!H63,12),INDEX(properties!A$1:CB$87,'Fórmula'!J63,12))</f>
        <v>4</v>
      </c>
      <c r="AV63" s="108">
        <f t="array" ref="AV63">MIN(IF('Fórmula'!B63=87,10^6,INDEX(properties!A$1:CB$87,'Fórmula'!B63,12)),IF(('Fórmula'!D63)=87,10^6,INDEX(properties!A$1:CB$87,'Fórmula'!D63,12)),IF(('Fórmula'!F63)=87,10^6,INDEX(properties!A$1:CB$87,'Fórmula'!F63,12)),IF(('Fórmula'!H63)=87,10^6,INDEX(properties!A$1:CB$87,'Fórmula'!H63,12)),IF('Fórmula'!J63=87,10^6,INDEX(properties!A$1:CB$87,'Fórmula'!J63,12)))</f>
        <v>3</v>
      </c>
      <c r="AW63" s="108">
        <f t="shared" si="8"/>
        <v>1</v>
      </c>
      <c r="AX63" s="109">
        <f t="array" ref="AX63">(('Fórmula'!C63)/('Fórmula'!C63+'Fórmula'!E63+'Fórmula'!G63+'Fórmula'!I63+'Fórmula'!K63))*(INDEX(properties!A$1:CB$87,'Fórmula'!B63,13))+(('Fórmula'!E63)/('Fórmula'!C63+'Fórmula'!E63+'Fórmula'!G63+'Fórmula'!I63+'Fórmula'!K63))*(INDEX(properties!A$1:CB$87,'Fórmula'!D63,13))+(('Fórmula'!G63)/('Fórmula'!C63+'Fórmula'!E63+'Fórmula'!G63+'Fórmula'!I63+'Fórmula'!K63))*(INDEX(properties!A$1:CB$87,'Fórmula'!F63,13))+(('Fórmula'!I63)/('Fórmula'!C63+'Fórmula'!E63+'Fórmula'!G63+'Fórmula'!I63+'Fórmula'!K63))*(INDEX(properties!A$1:CB$87,'Fórmula'!H63,13))+(('Fórmula'!K63)/('Fórmula'!C63+'Fórmula'!E63+'Fórmula'!G63+'Fórmula'!I63+'Fórmula'!K63))*(INDEX(properties!A$1:CB$87,'Fórmula'!J63,13))</f>
        <v>1.666666667</v>
      </c>
      <c r="AY63" s="109">
        <f t="array" ref="AY63">'Fórmula'!C63*(INDEX(properties!A$1:CB$87,'Fórmula'!B63,13))+'Fórmula'!E63*(INDEX(properties!A$1:CB$87,'Fórmula'!D63,13))+'Fórmula'!G63*(INDEX(properties!A$1:CB$87,'Fórmula'!F63,13))+'Fórmula'!I63*(INDEX(properties!A$1:CB$87,'Fórmula'!H63,13))+'Fórmula'!K63*(INDEX(properties!A$1:CB$87,'Fórmula'!J63,13))</f>
        <v>10</v>
      </c>
      <c r="AZ63" s="109">
        <f t="array" ref="AZ63">VARP(IF(INDEX(properties!A$1:CB$87,'Fórmula'!B63,13)&lt;&gt;"",INDEX(properties!A$1:CB$87,'Fórmula'!B63,13)),IF(INDEX(properties!A$1:CB$87,'Fórmula'!D63,13)&lt;&gt;"",INDEX(properties!A$1:CB$87,'Fórmula'!D63,13)),IF(INDEX(properties!A$1:CB$87,'Fórmula'!F63,13)&lt;&gt;"",INDEX(properties!A$1:CB$87,'Fórmula'!F63,13)),IF(INDEX(properties!A$1:CB$87,'Fórmula'!H63,13)&lt;&gt;"",INDEX(properties!A$1:CB$87,'Fórmula'!H63,13)),IF(INDEX(properties!A$1:CB$87,'Fórmula'!J63,13)&lt;&gt;"",INDEX(properties!A$1:CB$87,'Fórmula'!J63,13)))</f>
        <v>16</v>
      </c>
      <c r="BA63" s="109">
        <f t="array" ref="BA63">MAX(INDEX(properties!A$1:CB$87,'Fórmula'!B63,13),INDEX(properties!A$1:CB$87,'Fórmula'!D63,13),INDEX(properties!A$1:CB$87,'Fórmula'!F63,13),INDEX(properties!A$1:CB$87,'Fórmula'!H63,13),INDEX(properties!A$1:CB$87,'Fórmula'!J63,13))</f>
        <v>10</v>
      </c>
      <c r="BB63" s="109">
        <f t="array" ref="BB63">MIN(IF('Fórmula'!B63=87,10^6,INDEX(properties!A$1:CB$87,'Fórmula'!B63,13)),IF(('Fórmula'!D63)=87,10^6,INDEX(properties!A$1:CB$87,'Fórmula'!D63,13)),IF(('Fórmula'!F63)=87,10^6,INDEX(properties!A$1:CB$87,'Fórmula'!F63,13)),IF(('Fórmula'!H63)=87,10^6,INDEX(properties!A$1:CB$87,'Fórmula'!H63,13)),IF('Fórmula'!J63=87,10^6,INDEX(properties!A$1:CB$87,'Fórmula'!J63,13)))</f>
        <v>0</v>
      </c>
      <c r="BC63" s="109">
        <f t="shared" si="9"/>
        <v>10</v>
      </c>
      <c r="BD63" s="110">
        <f t="array" ref="BD63">(('Fórmula'!C63)/('Fórmula'!C63+'Fórmula'!E63+'Fórmula'!G63+'Fórmula'!I63+'Fórmula'!K63))*(INDEX(properties!A$1:CB$87,'Fórmula'!B63,14))+(('Fórmula'!E63)/('Fórmula'!C63+'Fórmula'!E63+'Fórmula'!G63+'Fórmula'!I63+'Fórmula'!K63))*(INDEX(properties!A$1:CB$87,'Fórmula'!D63,14))+(('Fórmula'!G63)/('Fórmula'!C63+'Fórmula'!E63+'Fórmula'!G63+'Fórmula'!I63+'Fórmula'!K63))*(INDEX(properties!A$1:CB$87,'Fórmula'!F63,14))+(('Fórmula'!I63)/('Fórmula'!C63+'Fórmula'!E63+'Fórmula'!G63+'Fórmula'!I63+'Fórmula'!K63))*(INDEX(properties!A$1:CB$87,'Fórmula'!H63,14))+(('Fórmula'!K63)/('Fórmula'!C63+'Fórmula'!E63+'Fórmula'!G63+'Fórmula'!I63+'Fórmula'!K63))*(INDEX(properties!A$1:CB$87,'Fórmula'!J63,14))</f>
        <v>2.333333333</v>
      </c>
      <c r="BE63" s="110">
        <f t="array" ref="BE63">'Fórmula'!C63*(INDEX(properties!A$1:CB$87,'Fórmula'!B63,14))+'Fórmula'!E63*(INDEX(properties!A$1:CB$87,'Fórmula'!D63,14))+'Fórmula'!G63*(INDEX(properties!A$1:CB$87,'Fórmula'!F63,14))+'Fórmula'!I63*(INDEX(properties!A$1:CB$87,'Fórmula'!H63,14))+'Fórmula'!K63*(INDEX(properties!A$1:CB$87,'Fórmula'!J63,14))</f>
        <v>14</v>
      </c>
      <c r="BF63" s="110">
        <f t="array" ref="BF63">VARP(IF(INDEX(properties!A$1:CB$87,'Fórmula'!B63,14)&lt;&gt;"",INDEX(properties!A$1:CB$87,'Fórmula'!B63,14)),IF(INDEX(properties!A$1:CB$87,'Fórmula'!D63,14)&lt;&gt;"",INDEX(properties!A$1:CB$87,'Fórmula'!D63,14)),IF(INDEX(properties!A$1:CB$87,'Fórmula'!F63,14)&lt;&gt;"",INDEX(properties!A$1:CB$87,'Fórmula'!F63,14)),IF(INDEX(properties!A$1:CB$87,'Fórmula'!H63,14)&lt;&gt;"",INDEX(properties!A$1:CB$87,'Fórmula'!H63,14)),IF(INDEX(properties!A$1:CB$87,'Fórmula'!J63,14)&lt;&gt;"",INDEX(properties!A$1:CB$87,'Fórmula'!J63,14)))</f>
        <v>31.36</v>
      </c>
      <c r="BG63" s="110">
        <f t="array" ref="BG63">MAX(INDEX(properties!A$1:CB$87,'Fórmula'!B63,14),INDEX(properties!A$1:CB$87,'Fórmula'!D63,14),INDEX(properties!A$1:CB$87,'Fórmula'!F63,14),INDEX(properties!A$1:CB$87,'Fórmula'!H63,14),INDEX(properties!A$1:CB$87,'Fórmula'!J63,14))</f>
        <v>14</v>
      </c>
      <c r="BH63" s="110">
        <f t="array" ref="BH63">MIN(IF('Fórmula'!B63=87,10^6,INDEX(properties!A$1:CB$87,'Fórmula'!B63,14)),IF(('Fórmula'!D63)=87,10^6,INDEX(properties!A$1:CB$87,'Fórmula'!D63,14)),IF(('Fórmula'!F63)=87,10^6,INDEX(properties!A$1:CB$87,'Fórmula'!F63,14)),IF(('Fórmula'!H63)=87,10^6,INDEX(properties!A$1:CB$87,'Fórmula'!H63,14)),IF('Fórmula'!J63=87,10^6,INDEX(properties!A$1:CB$87,'Fórmula'!J63,14)))</f>
        <v>0</v>
      </c>
      <c r="BI63" s="110">
        <f t="shared" si="10"/>
        <v>14</v>
      </c>
      <c r="BJ63" s="111">
        <f t="array" ref="BJ63">(('Fórmula'!C63)/('Fórmula'!C63+'Fórmula'!E63+'Fórmula'!G63+'Fórmula'!I63+'Fórmula'!K63))*(INDEX(properties!A$1:CB$87,'Fórmula'!B63,19))+(('Fórmula'!E63)/('Fórmula'!C63+'Fórmula'!E63+'Fórmula'!G63+'Fórmula'!I63+'Fórmula'!K63))*(INDEX(properties!A$1:CB$87,'Fórmula'!D63,19))+(('Fórmula'!G63)/('Fórmula'!C63+'Fórmula'!E63+'Fórmula'!G63+'Fórmula'!I63+'Fórmula'!K63))*(INDEX(properties!A$1:CB$87,'Fórmula'!F63,19))+(('Fórmula'!I63)/('Fórmula'!C63+'Fórmula'!E63+'Fórmula'!G63+'Fórmula'!I63+'Fórmula'!K63))*(INDEX(properties!A$1:CB$87,'Fórmula'!H63,19))+(('Fórmula'!K63)/('Fórmula'!C63+'Fórmula'!E63+'Fórmula'!G63+'Fórmula'!I63+'Fórmula'!K63))*(INDEX(properties!A$1:CB$87,'Fórmula'!J63,19))</f>
        <v>9.666666667</v>
      </c>
      <c r="BK63" s="111">
        <f t="array" ref="BK63">'Fórmula'!C63*(INDEX(properties!A$1:CB$87,'Fórmula'!B63,19))+'Fórmula'!E63*(INDEX(properties!A$1:CB$87,'Fórmula'!D63,19))+'Fórmula'!G63*(INDEX(properties!A$1:CB$87,'Fórmula'!F63,19))+'Fórmula'!I63*(INDEX(properties!A$1:CB$87,'Fórmula'!H63,19))+'Fórmula'!K63*(INDEX(properties!A$1:CB$87,'Fórmula'!J63,19))</f>
        <v>58</v>
      </c>
      <c r="BL63" s="111">
        <f t="array" ref="BL63">VARP(IF(INDEX(properties!A$1:CB$87,'Fórmula'!B63,19)&lt;&gt;"",INDEX(properties!A$1:CB$87,'Fórmula'!B63,19)),IF(INDEX(properties!A$1:CB$87,'Fórmula'!D63,19)&lt;&gt;"",INDEX(properties!A$1:CB$87,'Fórmula'!D63,19)),IF(INDEX(properties!A$1:CB$87,'Fórmula'!F63,19)&lt;&gt;"",INDEX(properties!A$1:CB$87,'Fórmula'!F63,19)),IF(INDEX(properties!A$1:CB$87,'Fórmula'!H63,19)&lt;&gt;"",INDEX(properties!A$1:CB$87,'Fórmula'!H63,19)),IF(INDEX(properties!A$1:CB$87,'Fórmula'!J63,19)&lt;&gt;"",INDEX(properties!A$1:CB$87,'Fórmula'!J63,19)))</f>
        <v>116.4</v>
      </c>
      <c r="BM63" s="111">
        <f t="array" ref="BM63">MAX(INDEX(properties!A$1:CB$87,'Fórmula'!B63,19),INDEX(properties!A$1:CB$87,'Fórmula'!D63,19),INDEX(properties!A$1:CB$87,'Fórmula'!F63,19),INDEX(properties!A$1:CB$87,'Fórmula'!H63,19),INDEX(properties!A$1:CB$87,'Fórmula'!J63,19))</f>
        <v>29</v>
      </c>
      <c r="BN63" s="111">
        <f t="array" ref="BN63">MIN(IF(INDEX(properties!A$1:CB$87,'Fórmula'!B63,19)=0,10^6,INDEX(properties!A$1:CB$87,'Fórmula'!B63,19)),IF(INDEX(properties!A$1:CB$87,'Fórmula'!D63,19)=0,10^6,INDEX(properties!A$1:CB$87,'Fórmula'!D63,19)),IF(INDEX(properties!A$1:CB$87,'Fórmula'!F63,19)=0,10^6,INDEX(properties!A$1:CB$87,'Fórmula'!F63,19)),IF(INDEX(properties!A$1:CB$87,'Fórmula'!H63,19)=0,10^6,INDEX(properties!A$1:CB$87,'Fórmula'!H63,19)),IF(INDEX(properties!A$1:CB$87,'Fórmula'!J63,19)=0,10^6,INDEX(properties!A$1:CB$87,'Fórmula'!J63,19)))</f>
        <v>5</v>
      </c>
      <c r="BO63" s="111">
        <f t="shared" si="11"/>
        <v>24</v>
      </c>
      <c r="BP63" s="112">
        <f t="array" ref="BP63">(('Fórmula'!C63)/('Fórmula'!C63+'Fórmula'!E63+'Fórmula'!G63+'Fórmula'!I63+'Fórmula'!K63))*(INDEX(properties!A$1:CB$87,'Fórmula'!B63,20))+(('Fórmula'!E63)/('Fórmula'!C63+'Fórmula'!E63+'Fórmula'!G63+'Fórmula'!I63+'Fórmula'!K63))*(INDEX(properties!A$1:CB$87,'Fórmula'!D63,20))+(('Fórmula'!G63)/('Fórmula'!C63+'Fórmula'!E63+'Fórmula'!G63+'Fórmula'!I63+'Fórmula'!K63))*(INDEX(properties!A$1:CB$87,'Fórmula'!F63,20))+(('Fórmula'!I63)/('Fórmula'!C63+'Fórmula'!E63+'Fórmula'!G63+'Fórmula'!I63+'Fórmula'!K63))*(INDEX(properties!A$1:CB$87,'Fórmula'!H63,20))+(('Fórmula'!K63)/('Fórmula'!C63+'Fórmula'!E63+'Fórmula'!G63+'Fórmula'!I63+'Fórmula'!K63))*(INDEX(properties!A$1:CB$87,'Fórmula'!J63,20))</f>
        <v>5.666666667</v>
      </c>
      <c r="BQ63" s="112">
        <f t="array" ref="BQ63">'Fórmula'!C63*(INDEX(properties!A$1:CB$87,'Fórmula'!B63,20))+'Fórmula'!E63*(INDEX(properties!A$1:CB$87,'Fórmula'!D63,20))+'Fórmula'!G63*(INDEX(properties!A$1:CB$87,'Fórmula'!F63,20))+'Fórmula'!I63*(INDEX(properties!A$1:CB$87,'Fórmula'!H63,20))+'Fórmula'!K63*(INDEX(properties!A$1:CB$87,'Fórmula'!J63,20))</f>
        <v>34</v>
      </c>
      <c r="BR63" s="112">
        <f t="array" ref="BR63">VARP(IF(INDEX(properties!A$1:CB$87,'Fórmula'!B63,20)&lt;&gt;"",INDEX(properties!A$1:CB$87,'Fórmula'!B63,20)),IF(INDEX(properties!A$1:CB$87,'Fórmula'!D63,20)&lt;&gt;"",INDEX(properties!A$1:CB$87,'Fórmula'!D63,20)),IF(INDEX(properties!A$1:CB$87,'Fórmula'!F63,20)&lt;&gt;"",INDEX(properties!A$1:CB$87,'Fórmula'!F63,20)),IF(INDEX(properties!A$1:CB$87,'Fórmula'!H63,20)&lt;&gt;"",INDEX(properties!A$1:CB$87,'Fórmula'!H63,20)),IF(INDEX(properties!A$1:CB$87,'Fórmula'!J63,20)&lt;&gt;"",INDEX(properties!A$1:CB$87,'Fórmula'!J63,20)))</f>
        <v>6.96</v>
      </c>
      <c r="BS63" s="112">
        <f t="array" ref="BS63">MAX(INDEX(properties!A$1:CB$87,'Fórmula'!B63,20),INDEX(properties!A$1:CB$87,'Fórmula'!D63,20),INDEX(properties!A$1:CB$87,'Fórmula'!F63,20),INDEX(properties!A$1:CB$87,'Fórmula'!H63,20),INDEX(properties!A$1:CB$87,'Fórmula'!J63,20))</f>
        <v>6</v>
      </c>
      <c r="BT63" s="112">
        <f t="array" ref="BT63">MIN(IF(INDEX(properties!A$1:CB$87,'Fórmula'!B63,20)=0,10^6,INDEX(properties!A$1:CB$87,'Fórmula'!B63,20)),IF(INDEX(properties!A$1:CB$87,'Fórmula'!D63,20)=0,10^6,INDEX(properties!A$1:CB$87,'Fórmula'!D63,20)),IF(INDEX(properties!A$1:CB$87,'Fórmula'!F63,20)=0,10^6,INDEX(properties!A$1:CB$87,'Fórmula'!F63,20)),IF(INDEX(properties!A$1:CB$87,'Fórmula'!H63,20)=0,10^6,INDEX(properties!A$1:CB$87,'Fórmula'!H63,20)),IF(INDEX(properties!A$1:CB$87,'Fórmula'!J63,20)=0,10^6,INDEX(properties!A$1:CB$87,'Fórmula'!J63,20)))</f>
        <v>5</v>
      </c>
      <c r="BU63" s="112">
        <f t="shared" si="12"/>
        <v>1</v>
      </c>
      <c r="BV63" s="113">
        <f t="array" ref="BV63">(('Fórmula'!C63)/('Fórmula'!C63+'Fórmula'!E63+'Fórmula'!G63+'Fórmula'!I63+'Fórmula'!K63))*(INDEX(properties!A$1:CB$87,'Fórmula'!B63,21))+(('Fórmula'!E63)/('Fórmula'!C63+'Fórmula'!E63+'Fórmula'!G63+'Fórmula'!I63+'Fórmula'!K63))*(INDEX(properties!A$1:CB$87,'Fórmula'!D63,21))+(('Fórmula'!G63)/('Fórmula'!C63+'Fórmula'!E63+'Fórmula'!G63+'Fórmula'!I63+'Fórmula'!K63))*(INDEX(properties!A$1:CB$87,'Fórmula'!F63,21))+(('Fórmula'!I63)/('Fórmula'!C63+'Fórmula'!E63+'Fórmula'!G63+'Fórmula'!I63+'Fórmula'!K63))*(INDEX(properties!A$1:CB$87,'Fórmula'!H63,21))+(('Fórmula'!K63)/('Fórmula'!C63+'Fórmula'!E63+'Fórmula'!G63+'Fórmula'!I63+'Fórmula'!K63))*(INDEX(properties!A$1:CB$87,'Fórmula'!J63,21))</f>
        <v>5.666666667</v>
      </c>
      <c r="BW63" s="113">
        <f t="array" ref="BW63">'Fórmula'!C63*(INDEX(properties!A$1:CB$87,'Fórmula'!B63,21))+'Fórmula'!E63*(INDEX(properties!A$1:CB$87,'Fórmula'!D63,21))+'Fórmula'!G63*(INDEX(properties!A$1:CB$87,'Fórmula'!F63,21))+'Fórmula'!I63*(INDEX(properties!A$1:CB$87,'Fórmula'!H63,21))+'Fórmula'!K63*(INDEX(properties!A$1:CB$87,'Fórmula'!J63,21))</f>
        <v>34</v>
      </c>
      <c r="BX63" s="113">
        <f t="array" ref="BX63">VARP(IF(INDEX(properties!A$1:CB$87,'Fórmula'!B63,21)&lt;&gt;"",INDEX(properties!A$1:CB$87,'Fórmula'!B63,21)),IF(INDEX(properties!A$1:CB$87,'Fórmula'!D63,21)&lt;&gt;"",INDEX(properties!A$1:CB$87,'Fórmula'!D63,21)),IF(INDEX(properties!A$1:CB$87,'Fórmula'!F63,21)&lt;&gt;"",INDEX(properties!A$1:CB$87,'Fórmula'!F63,21)),IF(INDEX(properties!A$1:CB$87,'Fórmula'!H63,21)&lt;&gt;"",INDEX(properties!A$1:CB$87,'Fórmula'!H63,21)),IF(INDEX(properties!A$1:CB$87,'Fórmula'!J63,21)&lt;&gt;"",INDEX(properties!A$1:CB$87,'Fórmula'!J63,21)))</f>
        <v>6.96</v>
      </c>
      <c r="BY63" s="113">
        <f t="array" ref="BY63">MAX(INDEX(properties!A$1:CB$87,'Fórmula'!B63,21),INDEX(properties!A$1:CB$87,'Fórmula'!D63,21),INDEX(properties!A$1:CB$87,'Fórmula'!F63,21),INDEX(properties!A$1:CB$87,'Fórmula'!H63,21),INDEX(properties!A$1:CB$87,'Fórmula'!J63,21))</f>
        <v>6</v>
      </c>
      <c r="BZ63" s="113">
        <f t="array" ref="BZ63">MIN(IF(INDEX(properties!A$1:CB$87,'Fórmula'!B63,21)=0,10^6,INDEX(properties!A$1:CB$87,'Fórmula'!B63,21)),IF(INDEX(properties!A$1:CB$87,'Fórmula'!D63,21)=0,10^6,INDEX(properties!A$1:CB$87,'Fórmula'!D63,21)),IF(INDEX(properties!A$1:CB$87,'Fórmula'!F63,21)=0,10^6,INDEX(properties!A$1:CB$87,'Fórmula'!F63,21)),IF(INDEX(properties!A$1:CB$87,'Fórmula'!H63,21)=0,10^6,INDEX(properties!A$1:CB$87,'Fórmula'!H63,21)),IF(INDEX(properties!A$1:CB$87,'Fórmula'!J63,21)=0,10^6,INDEX(properties!A$1:CB$87,'Fórmula'!J63,21)))</f>
        <v>5</v>
      </c>
      <c r="CA63" s="113">
        <f t="shared" si="13"/>
        <v>1</v>
      </c>
      <c r="CB63" s="114">
        <f t="array" ref="CB63">(('Fórmula'!C63)/('Fórmula'!C63+'Fórmula'!E63+'Fórmula'!G63+'Fórmula'!I63+'Fórmula'!K63))*(INDEX(properties!A$1:CB$87,'Fórmula'!B63,23))+(('Fórmula'!E63)/('Fórmula'!C63+'Fórmula'!E63+'Fórmula'!G63+'Fórmula'!I63+'Fórmula'!K63))*(INDEX(properties!A$1:CB$87,'Fórmula'!D63,23))+(('Fórmula'!G63)/('Fórmula'!C63+'Fórmula'!E63+'Fórmula'!G63+'Fórmula'!I63+'Fórmula'!K63))*(INDEX(properties!A$1:CB$87,'Fórmula'!F63,23))+(('Fórmula'!I63)/('Fórmula'!C63+'Fórmula'!E63+'Fórmula'!G63+'Fórmula'!I63+'Fórmula'!K63))*(INDEX(properties!A$1:CB$87,'Fórmula'!H63,23))+(('Fórmula'!K63)/('Fórmula'!C63+'Fórmula'!E63+'Fórmula'!G63+'Fórmula'!I63+'Fórmula'!K63))*(INDEX(properties!A$1:CB$87,'Fórmula'!J63,23))</f>
        <v>1</v>
      </c>
      <c r="CC63" s="114">
        <f t="array" ref="CC63">'Fórmula'!C63*(INDEX(properties!A$1:CB$87,'Fórmula'!B63,23))+'Fórmula'!E63*(INDEX(properties!A$1:CB$87,'Fórmula'!D63,23))+'Fórmula'!G63*(INDEX(properties!A$1:CB$87,'Fórmula'!F63,23))+'Fórmula'!I63*(INDEX(properties!A$1:CB$87,'Fórmula'!H63,23))+'Fórmula'!K63*(INDEX(properties!A$1:CB$87,'Fórmula'!J63,23))</f>
        <v>6</v>
      </c>
      <c r="CD63" s="114">
        <f t="array" ref="CD63">VARP(IF(INDEX(properties!A$1:CB$87,'Fórmula'!B63,23)&lt;&gt;"",INDEX(properties!A$1:CB$87,'Fórmula'!B63,23)),IF(INDEX(properties!A$1:CB$87,'Fórmula'!D63,23)&lt;&gt;"",INDEX(properties!A$1:CB$87,'Fórmula'!D63,23)),IF(INDEX(properties!A$1:CB$87,'Fórmula'!F63,23)&lt;&gt;"",INDEX(properties!A$1:CB$87,'Fórmula'!F63,23)),IF(INDEX(properties!A$1:CB$87,'Fórmula'!H63,23)&lt;&gt;"",INDEX(properties!A$1:CB$87,'Fórmula'!H63,23)),IF(INDEX(properties!A$1:CB$87,'Fórmula'!J63,23)&lt;&gt;"",INDEX(properties!A$1:CB$87,'Fórmula'!J63,23)))</f>
        <v>2.16</v>
      </c>
      <c r="CE63" s="114">
        <f t="array" ref="CE63">MAX(INDEX(properties!A$1:CB$87,'Fórmula'!B63,23),INDEX(properties!A$1:CB$87,'Fórmula'!D63,23),INDEX(properties!A$1:CB$87,'Fórmula'!F63,23),INDEX(properties!A$1:CB$87,'Fórmula'!H63,23),INDEX(properties!A$1:CB$87,'Fórmula'!J63,23))</f>
        <v>3</v>
      </c>
      <c r="CF63" s="114">
        <f t="array" ref="CF63">MIN(IF('Fórmula'!B63=87,10^6,INDEX(properties!A$1:CB$87,'Fórmula'!B63,23)),IF(('Fórmula'!D63)=87,10^6,INDEX(properties!A$1:CB$87,'Fórmula'!D63,23)),IF(('Fórmula'!F63)=87,10^6,INDEX(properties!A$1:CB$87,'Fórmula'!F63,23)),IF(('Fórmula'!H63)=87,10^6,INDEX(properties!A$1:CB$87,'Fórmula'!H63,23)),IF('Fórmula'!J63=87,10^6,INDEX(properties!A$1:CB$87,'Fórmula'!J63,23)))</f>
        <v>0</v>
      </c>
      <c r="CG63" s="114">
        <f t="shared" si="14"/>
        <v>3</v>
      </c>
      <c r="CH63" s="115">
        <f t="array" ref="CH63">(('Fórmula'!C63)/('Fórmula'!C63+'Fórmula'!E63+'Fórmula'!G63+'Fórmula'!I63+'Fórmula'!K63))*(INDEX(properties!A$1:CB$87,'Fórmula'!B63,26))+(('Fórmula'!E63)/('Fórmula'!C63+'Fórmula'!E63+'Fórmula'!G63+'Fórmula'!I63+'Fórmula'!K63))*(INDEX(properties!A$1:CB$87,'Fórmula'!D63,26))+(('Fórmula'!G63)/('Fórmula'!C63+'Fórmula'!E63+'Fórmula'!G63+'Fórmula'!I63+'Fórmula'!K63))*(INDEX(properties!A$1:CB$87,'Fórmula'!F63,26))+(('Fórmula'!I63)/('Fórmula'!C63+'Fórmula'!E63+'Fórmula'!G63+'Fórmula'!I63+'Fórmula'!K63))*(INDEX(properties!A$1:CB$87,'Fórmula'!H63,26))+(('Fórmula'!K63)/('Fórmula'!C63+'Fórmula'!E63+'Fórmula'!G63+'Fórmula'!I63+'Fórmula'!K63))*(INDEX(properties!A$1:CB$87,'Fórmula'!J63,26))</f>
        <v>12.04076667</v>
      </c>
      <c r="CI63" s="115">
        <f t="array" ref="CI63">'Fórmula'!C63*(INDEX(properties!A$1:CB$87,'Fórmula'!B63,26))+'Fórmula'!E63*(INDEX(properties!A$1:CB$87,'Fórmula'!D63,26))+'Fórmula'!G63*(INDEX(properties!A$1:CB$87,'Fórmula'!F63,26))+'Fórmula'!I63*(INDEX(properties!A$1:CB$87,'Fórmula'!H63,26))+'Fórmula'!K63*(INDEX(properties!A$1:CB$87,'Fórmula'!J63,26))</f>
        <v>72.2446</v>
      </c>
      <c r="CJ63" s="115">
        <f t="array" ref="CJ63">VARP(IF(INDEX(properties!A$1:CB$87,'Fórmula'!B63,26)&lt;&gt;"",INDEX(properties!A$1:CB$87,'Fórmula'!B63,26)),IF(INDEX(properties!A$1:CB$87,'Fórmula'!D63,26)&lt;&gt;"",INDEX(properties!A$1:CB$87,'Fórmula'!D63,26)),IF(INDEX(properties!A$1:CB$87,'Fórmula'!F63,26)&lt;&gt;"",INDEX(properties!A$1:CB$87,'Fórmula'!F63,26)),IF(INDEX(properties!A$1:CB$87,'Fórmula'!H63,26)&lt;&gt;"",INDEX(properties!A$1:CB$87,'Fórmula'!H63,26)),IF(INDEX(properties!A$1:CB$87,'Fórmula'!J63,26)&lt;&gt;"",INDEX(properties!A$1:CB$87,'Fórmula'!J63,26)))</f>
        <v>30.28636959</v>
      </c>
      <c r="CK63" s="116">
        <f t="array" ref="CK63">MAX(INDEX(properties!A$1:CB$87,'Fórmula'!B63,26),INDEX(properties!A$1:CB$87,'Fórmula'!D63,26),INDEX(properties!A$1:CB$87,'Fórmula'!F63,26),INDEX(properties!A$1:CB$87,'Fórmula'!H63,26),INDEX(properties!A$1:CB$87,'Fórmula'!J63,26))</f>
        <v>13.6181</v>
      </c>
      <c r="CL63" s="116">
        <f t="array" ref="CL63">MIN(IF(INDEX(properties!A$1:CB$87,'Fórmula'!B63,26)=0,10^6,INDEX(properties!A$1:CB$87,'Fórmula'!B63,26)),IF(INDEX(properties!A$1:CB$87,'Fórmula'!D63,26)=0,10^6,INDEX(properties!A$1:CB$87,'Fórmula'!D63,26)),IF(INDEX(properties!A$1:CB$87,'Fórmula'!F63,26)=0,10^6,INDEX(properties!A$1:CB$87,'Fórmula'!F63,26)),IF(INDEX(properties!A$1:CB$87,'Fórmula'!H63,26)=0,10^6,INDEX(properties!A$1:CB$87,'Fórmula'!H63,26)),IF(INDEX(properties!A$1:CB$87,'Fórmula'!J63,26)=0,10^6,INDEX(properties!A$1:CB$87,'Fórmula'!J63,26)))</f>
        <v>7.2855</v>
      </c>
      <c r="CM63" s="115">
        <f t="shared" si="15"/>
        <v>6.3326</v>
      </c>
      <c r="CN63" s="117">
        <f t="array" ref="CN63">(('Fórmula'!C63)/('Fórmula'!C63+'Fórmula'!E63+'Fórmula'!G63+'Fórmula'!I63+'Fórmula'!K63))*(INDEX(properties!A$1:CB$87,'Fórmula'!B63,30))+(('Fórmula'!E63)/('Fórmula'!C63+'Fórmula'!E63+'Fórmula'!G63+'Fórmula'!I63+'Fórmula'!K63))*(INDEX(properties!A$1:CB$87,'Fórmula'!D63,30))+(('Fórmula'!G63)/('Fórmula'!C63+'Fórmula'!E63+'Fórmula'!G63+'Fórmula'!I63+'Fórmula'!K63))*(INDEX(properties!A$1:CB$87,'Fórmula'!F63,30))+(('Fórmula'!I63)/('Fórmula'!C63+'Fórmula'!E63+'Fórmula'!G63+'Fórmula'!I63+'Fórmula'!K63))*(INDEX(properties!A$1:CB$87,'Fórmula'!H63,30))+(('Fórmula'!K63)/('Fórmula'!C63+'Fórmula'!E63+'Fórmula'!G63+'Fórmula'!I63+'Fórmula'!K63))*(INDEX(properties!A$1:CB$87,'Fórmula'!J63,30))</f>
        <v>2.995</v>
      </c>
      <c r="CO63" s="117">
        <f t="array" ref="CO63">'Fórmula'!C63*(INDEX(properties!A$1:CB$87,'Fórmula'!B63,30))+'Fórmula'!E63*(INDEX(properties!A$1:CB$87,'Fórmula'!D63,30))+'Fórmula'!G63*(INDEX(properties!A$1:CB$87,'Fórmula'!F63,30))+'Fórmula'!I63*(INDEX(properties!A$1:CB$87,'Fórmula'!H63,30))+'Fórmula'!K63*(INDEX(properties!A$1:CB$87,'Fórmula'!J63,30))</f>
        <v>17.97</v>
      </c>
      <c r="CP63" s="117">
        <f t="array" ref="CP63">VARP(IF(INDEX(properties!A$1:CB$87,'Fórmula'!B63,30)&lt;&gt;"",INDEX(properties!A$1:CB$87,'Fórmula'!B63,30)),IF(INDEX(properties!A$1:CB$87,'Fórmula'!D63,30)&lt;&gt;"",INDEX(properties!A$1:CB$87,'Fórmula'!D63,30)),IF(INDEX(properties!A$1:CB$87,'Fórmula'!F63,30)&lt;&gt;"",INDEX(properties!A$1:CB$87,'Fórmula'!F63,30)),IF(INDEX(properties!A$1:CB$87,'Fórmula'!H63,30)&lt;&gt;"",INDEX(properties!A$1:CB$87,'Fórmula'!H63,30)),IF(INDEX(properties!A$1:CB$87,'Fórmula'!J63,30)&lt;&gt;"",INDEX(properties!A$1:CB$87,'Fórmula'!J63,30)))</f>
        <v>1.80112</v>
      </c>
      <c r="CQ63" s="117">
        <f t="array" ref="CQ63">MAX(INDEX(properties!A$1:CB$87,'Fórmula'!B63,30),INDEX(properties!A$1:CB$87,'Fórmula'!D63,30),INDEX(properties!A$1:CB$87,'Fórmula'!F63,30),INDEX(properties!A$1:CB$87,'Fórmula'!H63,30),INDEX(properties!A$1:CB$87,'Fórmula'!J63,30))</f>
        <v>3.44</v>
      </c>
      <c r="CR63" s="117">
        <f t="array" ref="CR63">MIN(IF(INDEX(properties!A$1:CB$87,'Fórmula'!B63,30)=0,10^6,INDEX(properties!A$1:CB$87,'Fórmula'!B63,30)),IF(INDEX(properties!A$1:CB$87,'Fórmula'!D63,30)=0,10^6,INDEX(properties!A$1:CB$87,'Fórmula'!D63,30)),IF(INDEX(properties!A$1:CB$87,'Fórmula'!F63,30)=0,10^6,INDEX(properties!A$1:CB$87,'Fórmula'!F63,30)),IF(INDEX(properties!A$1:CB$87,'Fórmula'!H63,30)=0,10^6,INDEX(properties!A$1:CB$87,'Fórmula'!H63,30)),IF(INDEX(properties!A$1:CB$87,'Fórmula'!J63,30)=0,10^6,INDEX(properties!A$1:CB$87,'Fórmula'!J63,30)))</f>
        <v>2.02</v>
      </c>
      <c r="CS63" s="117">
        <f t="shared" si="16"/>
        <v>1.42</v>
      </c>
      <c r="CT63" s="118">
        <f t="array" ref="CT63">(('Fórmula'!C63)/('Fórmula'!C63+'Fórmula'!E63+'Fórmula'!G63+'Fórmula'!I63+'Fórmula'!K63))*(INDEX(properties!A$1:CB$87,'Fórmula'!B63,31))+(('Fórmula'!E63)/('Fórmula'!C63+'Fórmula'!E63+'Fórmula'!G63+'Fórmula'!I63+'Fórmula'!K63))*(INDEX(properties!A$1:CB$87,'Fórmula'!D63,31))+(('Fórmula'!G63)/('Fórmula'!C63+'Fórmula'!E63+'Fórmula'!G63+'Fórmula'!I63+'Fórmula'!K63))*(INDEX(properties!A$1:CB$87,'Fórmula'!F63,31))+(('Fórmula'!I63)/('Fórmula'!C63+'Fórmula'!E63+'Fórmula'!G63+'Fórmula'!I63+'Fórmula'!K63))*(INDEX(properties!A$1:CB$87,'Fórmula'!H63,31))+(('Fórmula'!K63)/('Fórmula'!C63+'Fórmula'!E63+'Fórmula'!G63+'Fórmula'!I63+'Fórmula'!K63))*(INDEX(properties!A$1:CB$87,'Fórmula'!J63,31))</f>
        <v>2.956666667</v>
      </c>
      <c r="CU63" s="118">
        <f t="array" ref="CU63">'Fórmula'!C63*(INDEX(properties!A$1:CB$87,'Fórmula'!B63,31))+'Fórmula'!E63*(INDEX(properties!A$1:CB$87,'Fórmula'!D63,31))+'Fórmula'!G63*(INDEX(properties!A$1:CB$87,'Fórmula'!F63,31))+'Fórmula'!I63*(INDEX(properties!A$1:CB$87,'Fórmula'!H63,31))+'Fórmula'!K63*(INDEX(properties!A$1:CB$87,'Fórmula'!J63,31))</f>
        <v>17.74</v>
      </c>
      <c r="CV63" s="118">
        <f t="array" ref="CV63">VARP(IF(INDEX(properties!A$1:CB$87,'Fórmula'!B63,31)&lt;&gt;"",INDEX(properties!A$1:CB$87,'Fórmula'!B63,31)),IF(INDEX(properties!A$1:CB$87,'Fórmula'!D63,31)&lt;&gt;"",INDEX(properties!A$1:CB$87,'Fórmula'!D63,31)),IF(INDEX(properties!A$1:CB$87,'Fórmula'!F63,31)&lt;&gt;"",INDEX(properties!A$1:CB$87,'Fórmula'!F63,31)),IF(INDEX(properties!A$1:CB$87,'Fórmula'!H63,31)&lt;&gt;"",INDEX(properties!A$1:CB$87,'Fórmula'!H63,31)),IF(INDEX(properties!A$1:CB$87,'Fórmula'!J63,31)&lt;&gt;"",INDEX(properties!A$1:CB$87,'Fórmula'!J63,31)))</f>
        <v>1.775744</v>
      </c>
      <c r="CW63" s="118">
        <f t="array" ref="CW63">MAX(INDEX(properties!A$1:CB$87,'Fórmula'!B63,31),INDEX(properties!A$1:CB$87,'Fórmula'!D63,31),INDEX(properties!A$1:CB$87,'Fórmula'!F63,31),INDEX(properties!A$1:CB$87,'Fórmula'!H63,31),INDEX(properties!A$1:CB$87,'Fórmula'!J63,31))</f>
        <v>3.32</v>
      </c>
      <c r="CX63" s="118">
        <f t="array" ref="CX63">MIN(IF(INDEX(properties!A$1:CB$87,'Fórmula'!B63,31)=0,10^6,INDEX(properties!A$1:CB$87,'Fórmula'!B63,31)),IF(INDEX(properties!A$1:CB$87,'Fórmula'!D63,31)=0,10^6,INDEX(properties!A$1:CB$87,'Fórmula'!D63,31)),IF(INDEX(properties!A$1:CB$87,'Fórmula'!F63,31)=0,10^6,INDEX(properties!A$1:CB$87,'Fórmula'!F63,31)),IF(INDEX(properties!A$1:CB$87,'Fórmula'!H63,31)=0,10^6,INDEX(properties!A$1:CB$87,'Fórmula'!H63,31)),IF(INDEX(properties!A$1:CB$87,'Fórmula'!J63,31)=0,10^6,INDEX(properties!A$1:CB$87,'Fórmula'!J63,31)))</f>
        <v>2.14</v>
      </c>
      <c r="CY63" s="118">
        <f t="shared" si="17"/>
        <v>1.18</v>
      </c>
      <c r="CZ63" s="119">
        <f t="array" ref="CZ63">(('Fórmula'!C63)/('Fórmula'!C63+'Fórmula'!E63+'Fórmula'!G63+'Fórmula'!I63+'Fórmula'!K63))*(INDEX(properties!A$1:CB$87,'Fórmula'!B63,32))+(('Fórmula'!E63)/('Fórmula'!C63+'Fórmula'!E63+'Fórmula'!G63+'Fórmula'!I63+'Fórmula'!K63))*(INDEX(properties!A$1:CB$87,'Fórmula'!D63,32))+(('Fórmula'!G63)/('Fórmula'!C63+'Fórmula'!E63+'Fórmula'!G63+'Fórmula'!I63+'Fórmula'!K63))*(INDEX(properties!A$1:CB$87,'Fórmula'!F63,32))+(('Fórmula'!I63)/('Fórmula'!C63+'Fórmula'!E63+'Fórmula'!G63+'Fórmula'!I63+'Fórmula'!K63))*(INDEX(properties!A$1:CB$87,'Fórmula'!H63,32))+(('Fórmula'!K63)/('Fórmula'!C63+'Fórmula'!E63+'Fórmula'!G63+'Fórmula'!I63+'Fórmula'!K63))*(INDEX(properties!A$1:CB$87,'Fórmula'!J63,32))</f>
        <v>6.745</v>
      </c>
      <c r="DA63" s="119">
        <f t="array" ref="DA63">'Fórmula'!C63*(INDEX(properties!A$1:CB$87,'Fórmula'!B63,32))+'Fórmula'!E63*(INDEX(properties!A$1:CB$87,'Fórmula'!D63,32))+'Fórmula'!G63*(INDEX(properties!A$1:CB$87,'Fórmula'!F63,32))+'Fórmula'!I63*(INDEX(properties!A$1:CB$87,'Fórmula'!H63,32))+'Fórmula'!K63*(INDEX(properties!A$1:CB$87,'Fórmula'!J63,32))</f>
        <v>40.47</v>
      </c>
      <c r="DB63" s="119">
        <f t="array" ref="DB63">VARP(IF(INDEX(properties!A$1:CB$87,'Fórmula'!B63,32)&lt;&gt;"",INDEX(properties!A$1:CB$87,'Fórmula'!B63,32)),IF(INDEX(properties!A$1:CB$87,'Fórmula'!D63,32)&lt;&gt;"",INDEX(properties!A$1:CB$87,'Fórmula'!D63,32)),IF(INDEX(properties!A$1:CB$87,'Fórmula'!F63,32)&lt;&gt;"",INDEX(properties!A$1:CB$87,'Fórmula'!F63,32)),IF(INDEX(properties!A$1:CB$87,'Fórmula'!H63,32)&lt;&gt;"",INDEX(properties!A$1:CB$87,'Fórmula'!H63,32)),IF(INDEX(properties!A$1:CB$87,'Fórmula'!J63,32)&lt;&gt;"",INDEX(properties!A$1:CB$87,'Fórmula'!J63,32)))</f>
        <v>9.34152</v>
      </c>
      <c r="DC63" s="119">
        <f t="array" ref="DC63">MAX(INDEX(properties!A$1:CB$87,'Fórmula'!B63,32),INDEX(properties!A$1:CB$87,'Fórmula'!D63,32),INDEX(properties!A$1:CB$87,'Fórmula'!F63,32),INDEX(properties!A$1:CB$87,'Fórmula'!H63,32),INDEX(properties!A$1:CB$87,'Fórmula'!J63,32))</f>
        <v>7.54</v>
      </c>
      <c r="DD63" s="119">
        <f t="array" ref="DD63">MIN(IF(INDEX(properties!A$1:CB$87,'Fórmula'!B63,32)=0,10^6,INDEX(properties!A$1:CB$87,'Fórmula'!B63,32)),IF(INDEX(properties!A$1:CB$87,'Fórmula'!D63,32)=0,10^6,INDEX(properties!A$1:CB$87,'Fórmula'!D63,32)),IF(INDEX(properties!A$1:CB$87,'Fórmula'!F63,32)=0,10^6,INDEX(properties!A$1:CB$87,'Fórmula'!F63,32)),IF(INDEX(properties!A$1:CB$87,'Fórmula'!H63,32)=0,10^6,INDEX(properties!A$1:CB$87,'Fórmula'!H63,32)),IF(INDEX(properties!A$1:CB$87,'Fórmula'!J63,32)=0,10^6,INDEX(properties!A$1:CB$87,'Fórmula'!J63,32)))</f>
        <v>4.69</v>
      </c>
      <c r="DE63" s="119">
        <f t="shared" si="18"/>
        <v>2.85</v>
      </c>
      <c r="DF63" s="104">
        <f t="array" ref="DF63">(('Fórmula'!C63)/('Fórmula'!C63+'Fórmula'!E63+'Fórmula'!G63+'Fórmula'!I63+'Fórmula'!K63))*(INDEX(properties!A$1:CB$87,'Fórmula'!B63,34))+(('Fórmula'!E63)/('Fórmula'!C63+'Fórmula'!E63+'Fórmula'!G63+'Fórmula'!I63+'Fórmula'!K63))*(INDEX(properties!A$1:CB$87,'Fórmula'!D63,34))+(('Fórmula'!G63)/('Fórmula'!C63+'Fórmula'!E63+'Fórmula'!G63+'Fórmula'!I63+'Fórmula'!K63))*(INDEX(properties!A$1:CB$87,'Fórmula'!F63,34))+(('Fórmula'!I63)/('Fórmula'!C63+'Fórmula'!E63+'Fórmula'!G63+'Fórmula'!I63+'Fórmula'!K63))*(INDEX(properties!A$1:CB$87,'Fórmula'!H63,34))+(('Fórmula'!K63)/('Fórmula'!C63+'Fórmula'!E63+'Fórmula'!G63+'Fórmula'!I63+'Fórmula'!K63))*(INDEX(properties!A$1:CB$87,'Fórmula'!J63,34))</f>
        <v>3.117166667</v>
      </c>
      <c r="DG63" s="104">
        <f t="array" ref="DG63">'Fórmula'!C63*(INDEX(properties!A$1:CB$87,'Fórmula'!B63,34))+'Fórmula'!E63*(INDEX(properties!A$1:CB$87,'Fórmula'!D63,34))+'Fórmula'!G63*(INDEX(properties!A$1:CB$87,'Fórmula'!F63,34))+'Fórmula'!I63*(INDEX(properties!A$1:CB$87,'Fórmula'!H63,34))+'Fórmula'!K63*(INDEX(properties!A$1:CB$87,'Fórmula'!J63,34))</f>
        <v>18.703</v>
      </c>
      <c r="DH63" s="104">
        <f t="array" ref="DH63">VARP(IF(INDEX(properties!A$1:CB$87,'Fórmula'!B63,34)&lt;&gt;"",INDEX(properties!A$1:CB$87,'Fórmula'!B63,34)),IF(INDEX(properties!A$1:CB$87,'Fórmula'!D63,34)&lt;&gt;"",INDEX(properties!A$1:CB$87,'Fórmula'!D63,34)),IF(INDEX(properties!A$1:CB$87,'Fórmula'!F63,34)&lt;&gt;"",INDEX(properties!A$1:CB$87,'Fórmula'!F63,34)),IF(INDEX(properties!A$1:CB$87,'Fórmula'!H63,34)&lt;&gt;"",INDEX(properties!A$1:CB$87,'Fórmula'!H63,34)),IF(INDEX(properties!A$1:CB$87,'Fórmula'!J63,34)&lt;&gt;"",INDEX(properties!A$1:CB$87,'Fórmula'!J63,34)))</f>
        <v>1.95027664</v>
      </c>
      <c r="DI63" s="104">
        <f t="array" ref="DI63">MAX(INDEX(properties!A$1:CB$87,'Fórmula'!B63,34),INDEX(properties!A$1:CB$87,'Fórmula'!D63,34),INDEX(properties!A$1:CB$87,'Fórmula'!F63,34),INDEX(properties!A$1:CB$87,'Fórmula'!H63,34),INDEX(properties!A$1:CB$87,'Fórmula'!J63,34))</f>
        <v>3.61</v>
      </c>
      <c r="DJ63" s="104">
        <f t="array" ref="DJ63">MIN(IF(INDEX(properties!A$1:CB$87,'Fórmula'!B63,34)=0,10^6,INDEX(properties!A$1:CB$87,'Fórmula'!B63,34)),IF(INDEX(properties!A$1:CB$87,'Fórmula'!D63,34)=0,10^6,INDEX(properties!A$1:CB$87,'Fórmula'!D63,34)),IF(INDEX(properties!A$1:CB$87,'Fórmula'!F63,34)=0,10^6,INDEX(properties!A$1:CB$87,'Fórmula'!F63,34)),IF(INDEX(properties!A$1:CB$87,'Fórmula'!H63,34)=0,10^6,INDEX(properties!A$1:CB$87,'Fórmula'!H63,34)),IF(INDEX(properties!A$1:CB$87,'Fórmula'!J63,34)=0,10^6,INDEX(properties!A$1:CB$87,'Fórmula'!J63,34)))</f>
        <v>2.01</v>
      </c>
      <c r="DK63" s="104">
        <f t="shared" si="19"/>
        <v>1.6</v>
      </c>
      <c r="DL63" s="105">
        <f t="array" ref="DL63">(('Fórmula'!C63)/('Fórmula'!C63+'Fórmula'!E63+'Fórmula'!G63+'Fórmula'!I63+'Fórmula'!K63))*(INDEX(properties!A$1:CB$87,'Fórmula'!B63,37))+(('Fórmula'!E63)/('Fórmula'!C63+'Fórmula'!E63+'Fórmula'!G63+'Fórmula'!I63+'Fórmula'!K63))*(INDEX(properties!A$1:CB$87,'Fórmula'!D63,37))+(('Fórmula'!G63)/('Fórmula'!C63+'Fórmula'!E63+'Fórmula'!G63+'Fórmula'!I63+'Fórmula'!K63))*(INDEX(properties!A$1:CB$87,'Fórmula'!F63,37))+(('Fórmula'!I63)/('Fórmula'!C63+'Fórmula'!E63+'Fórmula'!G63+'Fórmula'!I63+'Fórmula'!K63))*(INDEX(properties!A$1:CB$87,'Fórmula'!H63,37))+(('Fórmula'!K63)/('Fórmula'!C63+'Fórmula'!E63+'Fórmula'!G63+'Fórmula'!I63+'Fórmula'!K63))*(INDEX(properties!A$1:CB$87,'Fórmula'!J63,37))</f>
        <v>2.95</v>
      </c>
      <c r="DM63" s="105">
        <f t="array" ref="DM63">'Fórmula'!C63*(INDEX(properties!A$1:CB$87,'Fórmula'!B63,37))+'Fórmula'!E63*(INDEX(properties!A$1:CB$87,'Fórmula'!D63,37))+'Fórmula'!G63*(INDEX(properties!A$1:CB$87,'Fórmula'!F63,37))+'Fórmula'!I63*(INDEX(properties!A$1:CB$87,'Fórmula'!H63,37))+'Fórmula'!K63*(INDEX(properties!A$1:CB$87,'Fórmula'!J63,37))</f>
        <v>17.7</v>
      </c>
      <c r="DN63" s="105">
        <f t="array" ref="DN63">VARP(IF(INDEX(properties!A$1:CB$87,'Fórmula'!B63,37)&lt;&gt;"",INDEX(properties!A$1:CB$87,'Fórmula'!B63,37)),IF(INDEX(properties!A$1:CB$87,'Fórmula'!D63,37)&lt;&gt;"",INDEX(properties!A$1:CB$87,'Fórmula'!D63,37)),IF(INDEX(properties!A$1:CB$87,'Fórmula'!F63,37)&lt;&gt;"",INDEX(properties!A$1:CB$87,'Fórmula'!F63,37)),IF(INDEX(properties!A$1:CB$87,'Fórmula'!H63,37)&lt;&gt;"",INDEX(properties!A$1:CB$87,'Fórmula'!H63,37)),IF(INDEX(properties!A$1:CB$87,'Fórmula'!J63,37)&lt;&gt;"",INDEX(properties!A$1:CB$87,'Fórmula'!J63,37)))</f>
        <v>1.7496</v>
      </c>
      <c r="DO63" s="105">
        <f t="array" ref="DO63">MAX(INDEX(properties!A$1:CB$87,'Fórmula'!B63,37),INDEX(properties!A$1:CB$87,'Fórmula'!D63,37),INDEX(properties!A$1:CB$87,'Fórmula'!F63,37),INDEX(properties!A$1:CB$87,'Fórmula'!H63,37),INDEX(properties!A$1:CB$87,'Fórmula'!J63,37))</f>
        <v>3.45</v>
      </c>
      <c r="DP63" s="105">
        <f t="array" ref="DP63">MIN(IF(INDEX(properties!A$1:CB$87,'Fórmula'!B63,37)=0,10^6,INDEX(properties!A$1:CB$87,'Fórmula'!B63,37)),IF(INDEX(properties!A$1:CB$87,'Fórmula'!D63,37)=0,10^6,INDEX(properties!A$1:CB$87,'Fórmula'!D63,37)),IF(INDEX(properties!A$1:CB$87,'Fórmula'!F63,37)=0,10^6,INDEX(properties!A$1:CB$87,'Fórmula'!F63,37)),IF(INDEX(properties!A$1:CB$87,'Fórmula'!H63,37)=0,10^6,INDEX(properties!A$1:CB$87,'Fórmula'!H63,37)),IF(INDEX(properties!A$1:CB$87,'Fórmula'!J63,37)=0,10^6,INDEX(properties!A$1:CB$87,'Fórmula'!J63,37)))</f>
        <v>1.8</v>
      </c>
      <c r="DQ63" s="105">
        <f t="shared" si="20"/>
        <v>1.65</v>
      </c>
      <c r="DR63" s="109">
        <f t="array" ref="DR63">(('Fórmula'!C63)/('Fórmula'!C63+'Fórmula'!E63+'Fórmula'!G63+'Fórmula'!I63+'Fórmula'!K63))*(INDEX(properties!A$1:CB$87,'Fórmula'!B63,39))+(('Fórmula'!E63)/('Fórmula'!C63+'Fórmula'!E63+'Fórmula'!G63+'Fórmula'!I63+'Fórmula'!K63))*(INDEX(properties!A$1:CB$87,'Fórmula'!D63,39))+(('Fórmula'!G63)/('Fórmula'!C63+'Fórmula'!E63+'Fórmula'!G63+'Fórmula'!I63+'Fórmula'!K63))*(INDEX(properties!A$1:CB$87,'Fórmula'!F63,39))+(('Fórmula'!I63)/('Fórmula'!C63+'Fórmula'!E63+'Fórmula'!G63+'Fórmula'!I63+'Fórmula'!K63))*(INDEX(properties!A$1:CB$87,'Fórmula'!H63,39))+(('Fórmula'!K63)/('Fórmula'!C63+'Fórmula'!E63+'Fórmula'!G63+'Fórmula'!I63+'Fórmula'!K63))*(INDEX(properties!A$1:CB$87,'Fórmula'!J63,39))</f>
        <v>0.7216666667</v>
      </c>
      <c r="DS63" s="109">
        <f t="array" ref="DS63">'Fórmula'!C63*(INDEX(properties!A$1:CB$87,'Fórmula'!B63,39))+'Fórmula'!E63*(INDEX(properties!A$1:CB$87,'Fórmula'!D63,39))+'Fórmula'!G63*(INDEX(properties!A$1:CB$87,'Fórmula'!F63,39))+'Fórmula'!I63*(INDEX(properties!A$1:CB$87,'Fórmula'!H63,39))+'Fórmula'!K63*(INDEX(properties!A$1:CB$87,'Fórmula'!J63,39))</f>
        <v>4.33</v>
      </c>
      <c r="DT63" s="109">
        <f t="array" ref="DT63">VARP(IF(INDEX(properties!A$1:CB$87,'Fórmula'!B63,39)&lt;&gt;"",INDEX(properties!A$1:CB$87,'Fórmula'!B63,39)),IF(INDEX(properties!A$1:CB$87,'Fórmula'!D63,39)&lt;&gt;"",INDEX(properties!A$1:CB$87,'Fórmula'!D63,39)),IF(INDEX(properties!A$1:CB$87,'Fórmula'!F63,39)&lt;&gt;"",INDEX(properties!A$1:CB$87,'Fórmula'!F63,39)),IF(INDEX(properties!A$1:CB$87,'Fórmula'!H63,39)&lt;&gt;"",INDEX(properties!A$1:CB$87,'Fórmula'!H63,39)),IF(INDEX(properties!A$1:CB$87,'Fórmula'!J63,39)&lt;&gt;"",INDEX(properties!A$1:CB$87,'Fórmula'!J63,39)))</f>
        <v>0.313056</v>
      </c>
      <c r="DU63" s="120">
        <f t="array" ref="DU63">MAX(INDEX(properties!A$1:CB$87,'Fórmula'!B63,39),INDEX(properties!A$1:CB$87,'Fórmula'!D63,39),INDEX(properties!A$1:CB$87,'Fórmula'!F63,39),INDEX(properties!A$1:CB$87,'Fórmula'!H63,39),INDEX(properties!A$1:CB$87,'Fórmula'!J63,39))</f>
        <v>1.43</v>
      </c>
      <c r="DV63" s="120">
        <f t="array" ref="DV63">MIN(IF(INDEX(properties!A$1:CB$87,'Fórmula'!B63,39)=0,10^6,INDEX(properties!A$1:CB$87,'Fórmula'!B63,39)),IF(INDEX(properties!A$1:CB$87,'Fórmula'!D63,39)=0,10^6,INDEX(properties!A$1:CB$87,'Fórmula'!D63,39)),IF(INDEX(properties!A$1:CB$87,'Fórmula'!F63,39)=0,10^6,INDEX(properties!A$1:CB$87,'Fórmula'!F63,39)),IF(INDEX(properties!A$1:CB$87,'Fórmula'!H63,39)=0,10^6,INDEX(properties!A$1:CB$87,'Fórmula'!H63,39)),IF(INDEX(properties!A$1:CB$87,'Fórmula'!J63,39)=0,10^6,INDEX(properties!A$1:CB$87,'Fórmula'!J63,39)))</f>
        <v>0.48</v>
      </c>
      <c r="DW63" s="109">
        <f t="shared" si="21"/>
        <v>0.95</v>
      </c>
      <c r="DX63" s="110">
        <f t="array" ref="DX63">(('Fórmula'!C63)/('Fórmula'!C63+'Fórmula'!E63+'Fórmula'!G63+'Fórmula'!I63+'Fórmula'!K63))*(INDEX(properties!A$1:CB$87,'Fórmula'!B63,40))+(('Fórmula'!E63)/('Fórmula'!C63+'Fórmula'!E63+'Fórmula'!G63+'Fórmula'!I63+'Fórmula'!K63))*(INDEX(properties!A$1:CB$87,'Fórmula'!D63,40))+(('Fórmula'!G63)/('Fórmula'!C63+'Fórmula'!E63+'Fórmula'!G63+'Fórmula'!I63+'Fórmula'!K63))*(INDEX(properties!A$1:CB$87,'Fórmula'!F63,40))+(('Fórmula'!I63)/('Fórmula'!C63+'Fórmula'!E63+'Fórmula'!G63+'Fórmula'!I63+'Fórmula'!K63))*(INDEX(properties!A$1:CB$87,'Fórmula'!H63,40))+(('Fórmula'!K63)/('Fórmula'!C63+'Fórmula'!E63+'Fórmula'!G63+'Fórmula'!I63+'Fórmula'!K63))*(INDEX(properties!A$1:CB$87,'Fórmula'!J63,40))</f>
        <v>0.9066666667</v>
      </c>
      <c r="DY63" s="110">
        <f t="array" ref="DY63">'Fórmula'!C63*(INDEX(properties!A$1:CB$87,'Fórmula'!B63,40))+'Fórmula'!E63*(INDEX(properties!A$1:CB$87,'Fórmula'!D63,40))+'Fórmula'!G63*(INDEX(properties!A$1:CB$87,'Fórmula'!F63,40))+'Fórmula'!I63*(INDEX(properties!A$1:CB$87,'Fórmula'!H63,40))+'Fórmula'!K63*(INDEX(properties!A$1:CB$87,'Fórmula'!J63,40))</f>
        <v>5.44</v>
      </c>
      <c r="DZ63" s="110">
        <f t="array" ref="DZ63">VARP(IF(INDEX(properties!A$1:CB$87,'Fórmula'!B63,40)&lt;&gt;"",INDEX(properties!A$1:CB$87,'Fórmula'!B63,40)),IF(INDEX(properties!A$1:CB$87,'Fórmula'!D63,40)&lt;&gt;"",INDEX(properties!A$1:CB$87,'Fórmula'!D63,40)),IF(INDEX(properties!A$1:CB$87,'Fórmula'!F63,40)&lt;&gt;"",INDEX(properties!A$1:CB$87,'Fórmula'!F63,40)),IF(INDEX(properties!A$1:CB$87,'Fórmula'!H63,40)&lt;&gt;"",INDEX(properties!A$1:CB$87,'Fórmula'!H63,40)),IF(INDEX(properties!A$1:CB$87,'Fórmula'!J63,40)&lt;&gt;"",INDEX(properties!A$1:CB$87,'Fórmula'!J63,40)))</f>
        <v>0.33512</v>
      </c>
      <c r="EA63" s="121">
        <f t="array" ref="EA63">MAX(INDEX(properties!A$1:CB$87,'Fórmula'!B63,40),INDEX(properties!A$1:CB$87,'Fórmula'!D63,40),INDEX(properties!A$1:CB$87,'Fórmula'!F63,40),INDEX(properties!A$1:CB$87,'Fórmula'!H63,40),INDEX(properties!A$1:CB$87,'Fórmula'!J63,40))</f>
        <v>1.46</v>
      </c>
      <c r="EB63" s="121">
        <f t="array" ref="EB63">MIN(IF(INDEX(properties!A$1:CB$87,'Fórmula'!B63,40)=0,10^6,INDEX(properties!A$1:CB$87,'Fórmula'!B63,40)),IF(INDEX(properties!A$1:CB$87,'Fórmula'!D63,40)=0,10^6,INDEX(properties!A$1:CB$87,'Fórmula'!D63,40)),IF(INDEX(properties!A$1:CB$87,'Fórmula'!F63,40)=0,10^6,INDEX(properties!A$1:CB$87,'Fórmula'!F63,40)),IF(INDEX(properties!A$1:CB$87,'Fórmula'!H63,40)=0,10^6,INDEX(properties!A$1:CB$87,'Fórmula'!H63,40)),IF(INDEX(properties!A$1:CB$87,'Fórmula'!J63,40)=0,10^6,INDEX(properties!A$1:CB$87,'Fórmula'!J63,40)))</f>
        <v>0.73</v>
      </c>
      <c r="EC63" s="110">
        <f t="shared" si="22"/>
        <v>0.73</v>
      </c>
      <c r="ED63" s="111">
        <f t="array" ref="ED63">(('Fórmula'!C63)/('Fórmula'!C63+'Fórmula'!E63+'Fórmula'!G63+'Fórmula'!I63+'Fórmula'!K63))*(INDEX(properties!A$1:CB$87,'Fórmula'!B63,41))+(('Fórmula'!E63)/('Fórmula'!C63+'Fórmula'!E63+'Fórmula'!G63+'Fórmula'!I63+'Fórmula'!K63))*(INDEX(properties!A$1:CB$87,'Fórmula'!D63,41))+(('Fórmula'!G63)/('Fórmula'!C63+'Fórmula'!E63+'Fórmula'!G63+'Fórmula'!I63+'Fórmula'!K63))*(INDEX(properties!A$1:CB$87,'Fórmula'!F63,41))+(('Fórmula'!I63)/('Fórmula'!C63+'Fórmula'!E63+'Fórmula'!G63+'Fórmula'!I63+'Fórmula'!K63))*(INDEX(properties!A$1:CB$87,'Fórmula'!H63,41))+(('Fórmula'!K63)/('Fórmula'!C63+'Fórmula'!E63+'Fórmula'!G63+'Fórmula'!I63+'Fórmula'!K63))*(INDEX(properties!A$1:CB$87,'Fórmula'!J63,41))</f>
        <v>1.131666667</v>
      </c>
      <c r="EE63" s="111">
        <f t="array" ref="EE63">'Fórmula'!C63*(INDEX(properties!A$1:CB$87,'Fórmula'!B63,41))+'Fórmula'!E63*(INDEX(properties!A$1:CB$87,'Fórmula'!D63,41))+'Fórmula'!G63*(INDEX(properties!A$1:CB$87,'Fórmula'!F63,41))+'Fórmula'!I63*(INDEX(properties!A$1:CB$87,'Fórmula'!H63,41))+'Fórmula'!K63*(INDEX(properties!A$1:CB$87,'Fórmula'!J63,41))</f>
        <v>6.79</v>
      </c>
      <c r="EF63" s="111">
        <f t="array" ref="EF63">VARP(IF(INDEX(properties!A$1:CB$87,'Fórmula'!B63,41)&lt;&gt;"",INDEX(properties!A$1:CB$87,'Fórmula'!B63,41)),IF(INDEX(properties!A$1:CB$87,'Fórmula'!D63,41)&lt;&gt;"",INDEX(properties!A$1:CB$87,'Fórmula'!D63,41)),IF(INDEX(properties!A$1:CB$87,'Fórmula'!F63,41)&lt;&gt;"",INDEX(properties!A$1:CB$87,'Fórmula'!F63,41)),IF(INDEX(properties!A$1:CB$87,'Fórmula'!H63,41)&lt;&gt;"",INDEX(properties!A$1:CB$87,'Fórmula'!H63,41)),IF(INDEX(properties!A$1:CB$87,'Fórmula'!J63,41)&lt;&gt;"",INDEX(properties!A$1:CB$87,'Fórmula'!J63,41)))</f>
        <v>0.296176</v>
      </c>
      <c r="EG63" s="122">
        <f t="array" ref="EG63">MAX(INDEX(properties!A$1:CB$87,'Fórmula'!B63,41),INDEX(properties!A$1:CB$87,'Fórmula'!D63,41),INDEX(properties!A$1:CB$87,'Fórmula'!F63,41),INDEX(properties!A$1:CB$87,'Fórmula'!H63,41),INDEX(properties!A$1:CB$87,'Fórmula'!J63,41))</f>
        <v>1.26</v>
      </c>
      <c r="EH63" s="122">
        <f t="array" ref="EH63">MIN(IF(INDEX(properties!A$1:CB$87,'Fórmula'!B63,41)=0,10^6,INDEX(properties!A$1:CB$87,'Fórmula'!B63,41)),IF(INDEX(properties!A$1:CB$87,'Fórmula'!D63,41)=0,10^6,INDEX(properties!A$1:CB$87,'Fórmula'!D63,41)),IF(INDEX(properties!A$1:CB$87,'Fórmula'!F63,41)=0,10^6,INDEX(properties!A$1:CB$87,'Fórmula'!F63,41)),IF(INDEX(properties!A$1:CB$87,'Fórmula'!H63,41)=0,10^6,INDEX(properties!A$1:CB$87,'Fórmula'!H63,41)),IF(INDEX(properties!A$1:CB$87,'Fórmula'!J63,41)=0,10^6,INDEX(properties!A$1:CB$87,'Fórmula'!J63,41)))</f>
        <v>0.58</v>
      </c>
      <c r="EI63" s="111">
        <f t="shared" si="23"/>
        <v>0.68</v>
      </c>
      <c r="EJ63" s="112">
        <f t="array" ref="EJ63">(('Fórmula'!C63)/('Fórmula'!C63+'Fórmula'!E63+'Fórmula'!G63+'Fórmula'!I63+'Fórmula'!K63))*(INDEX(properties!A$1:CB$87,'Fórmula'!B63,45))+(('Fórmula'!E63)/('Fórmula'!C63+'Fórmula'!E63+'Fórmula'!G63+'Fórmula'!I63+'Fórmula'!K63))*(INDEX(properties!A$1:CB$87,'Fórmula'!D63,45))+(('Fórmula'!G63)/('Fórmula'!C63+'Fórmula'!E63+'Fórmula'!G63+'Fórmula'!I63+'Fórmula'!K63))*(INDEX(properties!A$1:CB$87,'Fórmula'!F63,45))+(('Fórmula'!I63)/('Fórmula'!C63+'Fórmula'!E63+'Fórmula'!G63+'Fórmula'!I63+'Fórmula'!K63))*(INDEX(properties!A$1:CB$87,'Fórmula'!H63,45))+(('Fórmula'!K63)/('Fórmula'!C63+'Fórmula'!E63+'Fórmula'!G63+'Fórmula'!I63+'Fórmula'!K63))*(INDEX(properties!A$1:CB$87,'Fórmula'!J63,45))</f>
        <v>0.8533333333</v>
      </c>
      <c r="EK63" s="112">
        <f t="array" ref="EK63">'Fórmula'!C63*(INDEX(properties!A$1:CB$87,'Fórmula'!B63,45))+'Fórmula'!E63*(INDEX(properties!A$1:CB$87,'Fórmula'!D63,45))+'Fórmula'!G63*(INDEX(properties!A$1:CB$87,'Fórmula'!F63,45))+'Fórmula'!I63*(INDEX(properties!A$1:CB$87,'Fórmula'!H63,45))+'Fórmula'!K63*(INDEX(properties!A$1:CB$87,'Fórmula'!J63,45))</f>
        <v>5.12</v>
      </c>
      <c r="EL63" s="112">
        <f t="array" ref="EL63">VARP(IF(INDEX(properties!A$1:CB$87,'Fórmula'!B63,45)&lt;&gt;"",INDEX(properties!A$1:CB$87,'Fórmula'!B63,45)),IF(INDEX(properties!A$1:CB$87,'Fórmula'!D63,45)&lt;&gt;"",INDEX(properties!A$1:CB$87,'Fórmula'!D63,45)),IF(INDEX(properties!A$1:CB$87,'Fórmula'!F63,45)&lt;&gt;"",INDEX(properties!A$1:CB$87,'Fórmula'!F63,45)),IF(INDEX(properties!A$1:CB$87,'Fórmula'!H63,45)&lt;&gt;"",INDEX(properties!A$1:CB$87,'Fórmula'!H63,45)),IF(INDEX(properties!A$1:CB$87,'Fórmula'!J63,45)&lt;&gt;"",INDEX(properties!A$1:CB$87,'Fórmula'!J63,45)))</f>
        <v>0.601136</v>
      </c>
      <c r="EM63" s="123">
        <f t="array" ref="EM63">MAX(INDEX(properties!A$1:CB$87,'Fórmula'!B63,45),INDEX(properties!A$1:CB$87,'Fórmula'!D63,45),INDEX(properties!A$1:CB$87,'Fórmula'!F63,45),INDEX(properties!A$1:CB$87,'Fórmula'!H63,45),INDEX(properties!A$1:CB$87,'Fórmula'!J63,45))</f>
        <v>2</v>
      </c>
      <c r="EN63" s="123">
        <f t="array" ref="EN63">MIN(IF(INDEX(properties!A$1:CB$87,'Fórmula'!B63,45)=0,10^6,INDEX(properties!A$1:CB$87,'Fórmula'!B63,45)),IF(INDEX(properties!A$1:CB$87,'Fórmula'!D63,45)=0,10^6,INDEX(properties!A$1:CB$87,'Fórmula'!D63,45)),IF(INDEX(properties!A$1:CB$87,'Fórmula'!F63,45)=0,10^6,INDEX(properties!A$1:CB$87,'Fórmula'!F63,45)),IF(INDEX(properties!A$1:CB$87,'Fórmula'!H63,45)=0,10^6,INDEX(properties!A$1:CB$87,'Fórmula'!H63,45)),IF(INDEX(properties!A$1:CB$87,'Fórmula'!J63,45)=0,10^6,INDEX(properties!A$1:CB$87,'Fórmula'!J63,45)))</f>
        <v>0.47</v>
      </c>
      <c r="EO63" s="112">
        <f t="shared" si="24"/>
        <v>1.53</v>
      </c>
      <c r="EP63" s="113">
        <f t="array" ref="EP63">(('Fórmula'!C63)/('Fórmula'!C63+'Fórmula'!E63+'Fórmula'!G63+'Fórmula'!I63+'Fórmula'!K63))*(INDEX(properties!A$1:CB$87,'Fórmula'!B63,46))+(('Fórmula'!E63)/('Fórmula'!C63+'Fórmula'!E63+'Fórmula'!G63+'Fórmula'!I63+'Fórmula'!K63))*(INDEX(properties!A$1:CB$87,'Fórmula'!D63,46))+(('Fórmula'!G63)/('Fórmula'!C63+'Fórmula'!E63+'Fórmula'!G63+'Fórmula'!I63+'Fórmula'!K63))*(INDEX(properties!A$1:CB$87,'Fórmula'!F63,46))+(('Fórmula'!I63)/('Fórmula'!C63+'Fórmula'!E63+'Fórmula'!G63+'Fórmula'!I63+'Fórmula'!K63))*(INDEX(properties!A$1:CB$87,'Fórmula'!H63,46))+(('Fórmula'!K63)/('Fórmula'!C63+'Fórmula'!E63+'Fórmula'!G63+'Fórmula'!I63+'Fórmula'!K63))*(INDEX(properties!A$1:CB$87,'Fórmula'!J63,46))</f>
        <v>1.053333333</v>
      </c>
      <c r="EQ63" s="113">
        <f t="array" ref="EQ63">'Fórmula'!C63*(INDEX(properties!A$1:CB$87,'Fórmula'!B63,46))+'Fórmula'!E63*(INDEX(properties!A$1:CB$87,'Fórmula'!D63,46))+'Fórmula'!G63*(INDEX(properties!A$1:CB$87,'Fórmula'!F63,46))+'Fórmula'!I63*(INDEX(properties!A$1:CB$87,'Fórmula'!H63,46))+'Fórmula'!K63*(INDEX(properties!A$1:CB$87,'Fórmula'!J63,46))</f>
        <v>6.32</v>
      </c>
      <c r="ER63" s="113">
        <f t="array" ref="ER63">VARP(IF(INDEX(properties!A$1:CB$87,'Fórmula'!B63,46)&lt;&gt;"",INDEX(properties!A$1:CB$87,'Fórmula'!B63,46)),IF(INDEX(properties!A$1:CB$87,'Fórmula'!D63,46)&lt;&gt;"",INDEX(properties!A$1:CB$87,'Fórmula'!D63,46)),IF(INDEX(properties!A$1:CB$87,'Fórmula'!F63,46)&lt;&gt;"",INDEX(properties!A$1:CB$87,'Fórmula'!F63,46)),IF(INDEX(properties!A$1:CB$87,'Fórmula'!H63,46)&lt;&gt;"",INDEX(properties!A$1:CB$87,'Fórmula'!H63,46)),IF(INDEX(properties!A$1:CB$87,'Fórmula'!J63,46)&lt;&gt;"",INDEX(properties!A$1:CB$87,'Fórmula'!J63,46)))</f>
        <v>0.296376</v>
      </c>
      <c r="ES63" s="124">
        <f t="array" ref="ES63">MAX(INDEX(properties!A$1:CB$87,'Fórmula'!B63,46),INDEX(properties!A$1:CB$87,'Fórmula'!D63,46),INDEX(properties!A$1:CB$87,'Fórmula'!F63,46),INDEX(properties!A$1:CB$87,'Fórmula'!H63,46),INDEX(properties!A$1:CB$87,'Fórmula'!J63,46))</f>
        <v>1.21</v>
      </c>
      <c r="ET63" s="124">
        <f t="array" ref="ET63">MIN(IF(INDEX(properties!A$1:CB$87,'Fórmula'!B63,46)=0,10^6,INDEX(properties!A$1:CB$87,'Fórmula'!B63,46)),IF(INDEX(properties!A$1:CB$87,'Fórmula'!D63,46)=0,10^6,INDEX(properties!A$1:CB$87,'Fórmula'!D63,46)),IF(INDEX(properties!A$1:CB$87,'Fórmula'!F63,46)=0,10^6,INDEX(properties!A$1:CB$87,'Fórmula'!F63,46)),IF(INDEX(properties!A$1:CB$87,'Fórmula'!H63,46)=0,10^6,INDEX(properties!A$1:CB$87,'Fórmula'!H63,46)),IF(INDEX(properties!A$1:CB$87,'Fórmula'!J63,46)=0,10^6,INDEX(properties!A$1:CB$87,'Fórmula'!J63,46)))</f>
        <v>0.31</v>
      </c>
      <c r="EU63" s="113">
        <f t="shared" si="25"/>
        <v>0.9</v>
      </c>
      <c r="EV63" s="114">
        <f t="array" ref="EV63">(('Fórmula'!C63)/('Fórmula'!C63+'Fórmula'!E63+'Fórmula'!G63+'Fórmula'!I63+'Fórmula'!K63))*(INDEX(properties!A$1:CB$87,'Fórmula'!B63,52))+(('Fórmula'!E63)/('Fórmula'!C63+'Fórmula'!E63+'Fórmula'!G63+'Fórmula'!I63+'Fórmula'!K63))*(INDEX(properties!A$1:CB$87,'Fórmula'!D63,52))+(('Fórmula'!G63)/('Fórmula'!C63+'Fórmula'!E63+'Fórmula'!G63+'Fórmula'!I63+'Fórmula'!K63))*(INDEX(properties!A$1:CB$87,'Fórmula'!F63,52))+(('Fórmula'!I63)/('Fórmula'!C63+'Fórmula'!E63+'Fórmula'!G63+'Fórmula'!I63+'Fórmula'!K63))*(INDEX(properties!A$1:CB$87,'Fórmula'!H63,52))+(('Fórmula'!K63)/('Fórmula'!C63+'Fórmula'!E63+'Fórmula'!G63+'Fórmula'!I63+'Fórmula'!K63))*(INDEX(properties!A$1:CB$87,'Fórmula'!J63,52))</f>
        <v>2.362</v>
      </c>
      <c r="EW63" s="114">
        <f t="array" ref="EW63">'Fórmula'!C63*(INDEX(properties!A$1:CB$87,'Fórmula'!B63,52))+'Fórmula'!E63*(INDEX(properties!A$1:CB$87,'Fórmula'!D63,52))+'Fórmula'!G63*(INDEX(properties!A$1:CB$87,'Fórmula'!F63,52))+'Fórmula'!I63*(INDEX(properties!A$1:CB$87,'Fórmula'!H63,52))+'Fórmula'!K63*(INDEX(properties!A$1:CB$87,'Fórmula'!J63,52))</f>
        <v>14.172</v>
      </c>
      <c r="EX63" s="114">
        <f t="array" ref="EX63">VARP(IF(INDEX(properties!A$1:CB$87,'Fórmula'!B63,52)&lt;&gt;"",INDEX(properties!A$1:CB$87,'Fórmula'!B63,52)),IF(INDEX(properties!A$1:CB$87,'Fórmula'!D63,52)&lt;&gt;"",INDEX(properties!A$1:CB$87,'Fórmula'!D63,52)),IF(INDEX(properties!A$1:CB$87,'Fórmula'!F63,52)&lt;&gt;"",INDEX(properties!A$1:CB$87,'Fórmula'!F63,52)),IF(INDEX(properties!A$1:CB$87,'Fórmula'!H63,52)&lt;&gt;"",INDEX(properties!A$1:CB$87,'Fórmula'!H63,52)),IF(INDEX(properties!A$1:CB$87,'Fórmula'!J63,52)&lt;&gt;"",INDEX(properties!A$1:CB$87,'Fórmula'!J63,52)))</f>
        <v>8.10677584</v>
      </c>
      <c r="EY63" s="114">
        <f t="array" ref="EY63">MAX(INDEX(properties!A$1:CB$87,'Fórmula'!B63,52),INDEX(properties!A$1:CB$87,'Fórmula'!D63,52),INDEX(properties!A$1:CB$87,'Fórmula'!F63,52),INDEX(properties!A$1:CB$87,'Fórmula'!H63,52),INDEX(properties!A$1:CB$87,'Fórmula'!J63,52))</f>
        <v>7.4</v>
      </c>
      <c r="EZ63" s="114">
        <f t="array" ref="EZ63">MIN(IF(INDEX(properties!A$1:CB$87,'Fórmula'!B63,52)=0,10^6,INDEX(properties!A$1:CB$87,'Fórmula'!B63,52)),IF(INDEX(properties!A$1:CB$87,'Fórmula'!D63,52)=0,10^6,INDEX(properties!A$1:CB$87,'Fórmula'!D63,52)),IF(INDEX(properties!A$1:CB$87,'Fórmula'!F63,52)=0,10^6,INDEX(properties!A$1:CB$87,'Fórmula'!F63,52)),IF(INDEX(properties!A$1:CB$87,'Fórmula'!H63,52)=0,10^6,INDEX(properties!A$1:CB$87,'Fórmula'!H63,52)),IF(INDEX(properties!A$1:CB$87,'Fórmula'!J63,52)=0,10^6,INDEX(properties!A$1:CB$87,'Fórmula'!J63,52)))</f>
        <v>0.793</v>
      </c>
      <c r="FA63" s="114">
        <f t="shared" si="26"/>
        <v>6.607</v>
      </c>
      <c r="FB63" s="115">
        <f t="array" ref="FB63">(('Fórmula'!C63)/('Fórmula'!C63+'Fórmula'!E63+'Fórmula'!G63+'Fórmula'!I63+'Fórmula'!K63))*(INDEX(properties!A$1:CB$87,'Fórmula'!B63,53))+(('Fórmula'!E63)/('Fórmula'!C63+'Fórmula'!E63+'Fórmula'!G63+'Fórmula'!I63+'Fórmula'!K63))*(INDEX(properties!A$1:CB$87,'Fórmula'!D63,53))+(('Fórmula'!G63)/('Fórmula'!C63+'Fórmula'!E63+'Fórmula'!G63+'Fórmula'!I63+'Fórmula'!K63))*(INDEX(properties!A$1:CB$87,'Fórmula'!F63,53))+(('Fórmula'!I63)/('Fórmula'!C63+'Fórmula'!E63+'Fórmula'!G63+'Fórmula'!I63+'Fórmula'!K63))*(INDEX(properties!A$1:CB$87,'Fórmula'!H63,53))+(('Fórmula'!K63)/('Fórmula'!C63+'Fórmula'!E63+'Fórmula'!G63+'Fórmula'!I63+'Fórmula'!K63))*(INDEX(properties!A$1:CB$87,'Fórmula'!J63,53))</f>
        <v>180.0666667</v>
      </c>
      <c r="FC63" s="115">
        <f t="array" ref="FC63">'Fórmula'!C63*(INDEX(properties!A$1:CB$87,'Fórmula'!B63,53))+'Fórmula'!E63*(INDEX(properties!A$1:CB$87,'Fórmula'!D63,53))+'Fórmula'!G63*(INDEX(properties!A$1:CB$87,'Fórmula'!F63,53))+'Fórmula'!I63*(INDEX(properties!A$1:CB$87,'Fórmula'!H63,53))+'Fórmula'!K63*(INDEX(properties!A$1:CB$87,'Fórmula'!J63,53))</f>
        <v>1080.4</v>
      </c>
      <c r="FD63" s="115">
        <f t="array" ref="FD63">VARP(IF(INDEX(properties!A$1:CB$87,'Fórmula'!B63,53)&lt;&gt;"",INDEX(properties!A$1:CB$87,'Fórmula'!B63,53)),IF(INDEX(properties!A$1:CB$87,'Fórmula'!D63,53)&lt;&gt;"",INDEX(properties!A$1:CB$87,'Fórmula'!D63,53)),IF(INDEX(properties!A$1:CB$87,'Fórmula'!F63,53)&lt;&gt;"",INDEX(properties!A$1:CB$87,'Fórmula'!F63,53)),IF(INDEX(properties!A$1:CB$87,'Fórmula'!H63,53)&lt;&gt;"",INDEX(properties!A$1:CB$87,'Fórmula'!H63,53)),IF(INDEX(properties!A$1:CB$87,'Fórmula'!J63,53)&lt;&gt;"",INDEX(properties!A$1:CB$87,'Fórmula'!J63,53)))</f>
        <v>46375.6366</v>
      </c>
      <c r="FE63" s="115">
        <f t="array" ref="FE63">MAX(INDEX(properties!A$1:CB$87,'Fórmula'!B63,53),INDEX(properties!A$1:CB$87,'Fórmula'!D63,53),INDEX(properties!A$1:CB$87,'Fórmula'!F63,53),INDEX(properties!A$1:CB$87,'Fórmula'!H63,53),INDEX(properties!A$1:CB$87,'Fórmula'!J63,53))</f>
        <v>544.15</v>
      </c>
      <c r="FF63" s="115">
        <f t="array" ref="FF63">MIN(IF(INDEX(properties!A$1:CB$87,'Fórmula'!B63,53)=0,10^6,INDEX(properties!A$1:CB$87,'Fórmula'!B63,53)),IF(INDEX(properties!A$1:CB$87,'Fórmula'!D63,53)=0,10^6,INDEX(properties!A$1:CB$87,'Fórmula'!D63,53)),IF(INDEX(properties!A$1:CB$87,'Fórmula'!F63,53)=0,10^6,INDEX(properties!A$1:CB$87,'Fórmula'!F63,53)),IF(INDEX(properties!A$1:CB$87,'Fórmula'!H63,53)=0,10^6,INDEX(properties!A$1:CB$87,'Fórmula'!H63,53)),IF(INDEX(properties!A$1:CB$87,'Fórmula'!J63,53)=0,10^6,INDEX(properties!A$1:CB$87,'Fórmula'!J63,53)))</f>
        <v>54.75</v>
      </c>
      <c r="FG63" s="115">
        <f t="shared" si="27"/>
        <v>489.4</v>
      </c>
      <c r="FH63" s="117">
        <f t="array" ref="FH63">(('Fórmula'!C63)/('Fórmula'!C63+'Fórmula'!E63+'Fórmula'!G63+'Fórmula'!I63+'Fórmula'!K63))*(INDEX(properties!A$1:CB$87,'Fórmula'!B63,54))+(('Fórmula'!E63)/('Fórmula'!C63+'Fórmula'!E63+'Fórmula'!G63+'Fórmula'!I63+'Fórmula'!K63))*(INDEX(properties!A$1:CB$87,'Fórmula'!D63,54))+(('Fórmula'!G63)/('Fórmula'!C63+'Fórmula'!E63+'Fórmula'!G63+'Fórmula'!I63+'Fórmula'!K63))*(INDEX(properties!A$1:CB$87,'Fórmula'!F63,54))+(('Fórmula'!I63)/('Fórmula'!C63+'Fórmula'!E63+'Fórmula'!G63+'Fórmula'!I63+'Fórmula'!K63))*(INDEX(properties!A$1:CB$87,'Fórmula'!H63,54))+(('Fórmula'!K63)/('Fórmula'!C63+'Fórmula'!E63+'Fórmula'!G63+'Fórmula'!I63+'Fórmula'!K63))*(INDEX(properties!A$1:CB$87,'Fórmula'!J63,54))</f>
        <v>457.8166667</v>
      </c>
      <c r="FI63" s="117">
        <f t="array" ref="FI63">'Fórmula'!C63*(INDEX(properties!A$1:CB$87,'Fórmula'!B63,54))+'Fórmula'!E63*(INDEX(properties!A$1:CB$87,'Fórmula'!D63,54))+'Fórmula'!G63*(INDEX(properties!A$1:CB$87,'Fórmula'!F63,54))+'Fórmula'!I63*(INDEX(properties!A$1:CB$87,'Fórmula'!H63,54))+'Fórmula'!K63*(INDEX(properties!A$1:CB$87,'Fórmula'!J63,54))</f>
        <v>2746.9</v>
      </c>
      <c r="FJ63" s="117">
        <f t="array" ref="FJ63">VARP(IF(INDEX(properties!A$1:CB$87,'Fórmula'!B63,54)&lt;&gt;"",INDEX(properties!A$1:CB$87,'Fórmula'!B63,54)),IF(INDEX(properties!A$1:CB$87,'Fórmula'!D63,54)&lt;&gt;"",INDEX(properties!A$1:CB$87,'Fórmula'!D63,54)),IF(INDEX(properties!A$1:CB$87,'Fórmula'!F63,54)&lt;&gt;"",INDEX(properties!A$1:CB$87,'Fórmula'!F63,54)),IF(INDEX(properties!A$1:CB$87,'Fórmula'!H63,54)&lt;&gt;"",INDEX(properties!A$1:CB$87,'Fórmula'!H63,54)),IF(INDEX(properties!A$1:CB$87,'Fórmula'!J63,54)&lt;&gt;"",INDEX(properties!A$1:CB$87,'Fórmula'!J63,54)))</f>
        <v>489595.9894</v>
      </c>
      <c r="FK63" s="117">
        <f t="array" ref="FK63">MAX(INDEX(properties!A$1:CB$87,'Fórmula'!B63,54),INDEX(properties!A$1:CB$87,'Fórmula'!D63,54),INDEX(properties!A$1:CB$87,'Fórmula'!F63,54),INDEX(properties!A$1:CB$87,'Fórmula'!H63,54),INDEX(properties!A$1:CB$87,'Fórmula'!J63,54))</f>
        <v>1833.15</v>
      </c>
      <c r="FL63" s="117">
        <f t="array" ref="FL63">MIN(IF(INDEX(properties!A$1:CB$87,'Fórmula'!B63,54)=0,10^6,INDEX(properties!A$1:CB$87,'Fórmula'!B63,54)),IF(INDEX(properties!A$1:CB$87,'Fórmula'!D63,54)=0,10^6,INDEX(properties!A$1:CB$87,'Fórmula'!D63,54)),IF(INDEX(properties!A$1:CB$87,'Fórmula'!F63,54)=0,10^6,INDEX(properties!A$1:CB$87,'Fórmula'!F63,54)),IF(INDEX(properties!A$1:CB$87,'Fórmula'!H63,54)=0,10^6,INDEX(properties!A$1:CB$87,'Fórmula'!H63,54)),IF(INDEX(properties!A$1:CB$87,'Fórmula'!J63,54)=0,10^6,INDEX(properties!A$1:CB$87,'Fórmula'!J63,54)))</f>
        <v>90.15</v>
      </c>
      <c r="FM63" s="117">
        <f t="shared" si="28"/>
        <v>1743</v>
      </c>
      <c r="FN63" s="118">
        <f t="array" ref="FN63">(('Fórmula'!C63)/('Fórmula'!C63+'Fórmula'!E63+'Fórmula'!G63+'Fórmula'!I63+'Fórmula'!K63))*(INDEX(properties!A$1:CB$87,'Fórmula'!B63,55))+(('Fórmula'!E63)/('Fórmula'!C63+'Fórmula'!E63+'Fórmula'!G63+'Fórmula'!I63+'Fórmula'!K63))*(INDEX(properties!A$1:CB$87,'Fórmula'!D63,55))+(('Fórmula'!G63)/('Fórmula'!C63+'Fórmula'!E63+'Fórmula'!G63+'Fórmula'!I63+'Fórmula'!K63))*(INDEX(properties!A$1:CB$87,'Fórmula'!F63,55))+(('Fórmula'!I63)/('Fórmula'!C63+'Fórmula'!E63+'Fórmula'!G63+'Fórmula'!I63+'Fórmula'!K63))*(INDEX(properties!A$1:CB$87,'Fórmula'!H63,55))+(('Fórmula'!K63)/('Fórmula'!C63+'Fórmula'!E63+'Fórmula'!G63+'Fórmula'!I63+'Fórmula'!K63))*(INDEX(properties!A$1:CB$87,'Fórmula'!J63,55))</f>
        <v>1.929286667</v>
      </c>
      <c r="FO63" s="118">
        <f t="array" ref="FO63">'Fórmula'!C63*(INDEX(properties!A$1:CB$87,'Fórmula'!B63,55))+'Fórmula'!E63*(INDEX(properties!A$1:CB$87,'Fórmula'!D63,54))+'Fórmula'!G63*(INDEX(properties!A$1:CB$87,'Fórmula'!F63,55))+'Fórmula'!I63*(INDEX(properties!A$1:CB$87,'Fórmula'!H63,55))+'Fórmula'!K63*(INDEX(properties!A$1:CB$87,'Fórmula'!J63,55))</f>
        <v>562.90572</v>
      </c>
      <c r="FP63" s="118">
        <f t="array" ref="FP63">VARP(IF(INDEX(properties!A$1:CB$87,'Fórmula'!B63,55)&lt;&gt;"",INDEX(properties!A$1:CB$87,'Fórmula'!B63,55)),IF(INDEX(properties!A$1:CB$87,'Fórmula'!D63,55)&lt;&gt;"",INDEX(properties!A$1:CB$87,'Fórmula'!D63,55)),IF(INDEX(properties!A$1:CB$87,'Fórmula'!F63,55)&lt;&gt;"",INDEX(properties!A$1:CB$87,'Fórmula'!F63,55)),IF(INDEX(properties!A$1:CB$87,'Fórmula'!H63,55)&lt;&gt;"",INDEX(properties!A$1:CB$87,'Fórmula'!H63,55)),IF(INDEX(properties!A$1:CB$87,'Fórmula'!J63,55)&lt;&gt;"",INDEX(properties!A$1:CB$87,'Fórmula'!J63,55)))</f>
        <v>14.31906072</v>
      </c>
      <c r="FQ63" s="118">
        <f t="array" ref="FQ63">MAX(INDEX(properties!A$1:CB$87,'Fórmula'!B63,55),INDEX(properties!A$1:CB$87,'Fórmula'!D63,55),INDEX(properties!A$1:CB$87,'Fórmula'!F63,55),INDEX(properties!A$1:CB$87,'Fórmula'!H63,55),INDEX(properties!A$1:CB$87,'Fórmula'!J63,55))</f>
        <v>9.75</v>
      </c>
      <c r="FR63" s="118">
        <f t="array" ref="FR63">MIN(IF(INDEX(properties!A$1:CB$87,'Fórmula'!B63,55)=0,10^6,INDEX(properties!A$1:CB$87,'Fórmula'!B63,55)),IF(INDEX(properties!A$1:CB$87,'Fórmula'!D63,55)=0,10^6,INDEX(properties!A$1:CB$87,'Fórmula'!D63,55)),IF(INDEX(properties!A$1:CB$87,'Fórmula'!F63,55)=0,10^6,INDEX(properties!A$1:CB$87,'Fórmula'!F63,55)),IF(INDEX(properties!A$1:CB$87,'Fórmula'!H63,55)=0,10^6,INDEX(properties!A$1:CB$87,'Fórmula'!H63,55)),IF(INDEX(properties!A$1:CB$87,'Fórmula'!J63,55)=0,10^6,INDEX(properties!A$1:CB$87,'Fórmula'!J63,55)))</f>
        <v>0.00143</v>
      </c>
      <c r="FS63" s="118">
        <f t="shared" si="29"/>
        <v>9.74857</v>
      </c>
      <c r="FT63" s="119">
        <f t="array" ref="FT63">(('Fórmula'!C63)/('Fórmula'!C63+'Fórmula'!E63+'Fórmula'!G63+'Fórmula'!I63+'Fórmula'!K63))*(INDEX(properties!A$1:CB$87,'Fórmula'!B63,56))+(('Fórmula'!E63)/('Fórmula'!C63+'Fórmula'!E63+'Fórmula'!G63+'Fórmula'!I63+'Fórmula'!K63))*(INDEX(properties!A$1:CB$87,'Fórmula'!D63,56))+(('Fórmula'!G63)/('Fórmula'!C63+'Fórmula'!E63+'Fórmula'!G63+'Fórmula'!I63+'Fórmula'!K63))*(INDEX(properties!A$1:CB$87,'Fórmula'!F63,56))+(('Fórmula'!I63)/('Fórmula'!C63+'Fórmula'!E63+'Fórmula'!G63+'Fórmula'!I63+'Fórmula'!K63))*(INDEX(properties!A$1:CB$87,'Fórmula'!H63,56))+(('Fórmula'!K63)/('Fórmula'!C63+'Fórmula'!E63+'Fórmula'!G63+'Fórmula'!I63+'Fórmula'!K63))*(INDEX(properties!A$1:CB$87,'Fórmula'!J63,56))</f>
        <v>0.7616666667</v>
      </c>
      <c r="FU63" s="119">
        <f t="array" ref="FU63">'Fórmula'!C63*(INDEX(properties!A$1:CB$87,'Fórmula'!B63,56))+'Fórmula'!E63*(INDEX(properties!A$1:CB$87,'Fórmula'!D63,56))+'Fórmula'!G63*(INDEX(properties!A$1:CB$87,'Fórmula'!F63,56))+'Fórmula'!I63*(INDEX(properties!A$1:CB$87,'Fórmula'!H63,56))+'Fórmula'!K63*(INDEX(properties!A$1:CB$87,'Fórmula'!J63,56))</f>
        <v>4.57</v>
      </c>
      <c r="FV63" s="119">
        <f t="array" ref="FV63">VARP(IF(INDEX(properties!A$1:CB$87,'Fórmula'!B63,56)&lt;&gt;"",INDEX(properties!A$1:CB$87,'Fórmula'!B63,56)),IF(INDEX(properties!A$1:CB$87,'Fórmula'!D63,56)&lt;&gt;"",INDEX(properties!A$1:CB$87,'Fórmula'!D63,56)),IF(INDEX(properties!A$1:CB$87,'Fórmula'!F63,56)&lt;&gt;"",INDEX(properties!A$1:CB$87,'Fórmula'!F63,56)),IF(INDEX(properties!A$1:CB$87,'Fórmula'!H63,56)&lt;&gt;"",INDEX(properties!A$1:CB$87,'Fórmula'!H63,56)),IF(INDEX(properties!A$1:CB$87,'Fórmula'!J63,56)&lt;&gt;"",INDEX(properties!A$1:CB$87,'Fórmula'!J63,56)))</f>
        <v>0.159696</v>
      </c>
      <c r="FW63" s="119">
        <f t="array" ref="FW63">MAX(INDEX(properties!A$1:CB$87,'Fórmula'!B63,56),INDEX(properties!A$1:CB$87,'Fórmula'!D63,56),INDEX(properties!A$1:CB$87,'Fórmula'!F63,56),INDEX(properties!A$1:CB$87,'Fórmula'!H63,56),INDEX(properties!A$1:CB$87,'Fórmula'!J63,56))</f>
        <v>0.92</v>
      </c>
      <c r="FX63" s="119">
        <f t="array" ref="FX63">MIN(IF(INDEX(properties!A$1:CB$87,'Fórmula'!B63,56)=0,10^6,INDEX(properties!A$1:CB$87,'Fórmula'!B63,56)),IF(INDEX(properties!A$1:CB$87,'Fórmula'!D63,56)=0,10^6,INDEX(properties!A$1:CB$87,'Fórmula'!D63,56)),IF(INDEX(properties!A$1:CB$87,'Fórmula'!F63,56)=0,10^6,INDEX(properties!A$1:CB$87,'Fórmula'!F63,56)),IF(INDEX(properties!A$1:CB$87,'Fórmula'!H63,56)=0,10^6,INDEX(properties!A$1:CB$87,'Fórmula'!H63,56)),IF(INDEX(properties!A$1:CB$87,'Fórmula'!J63,56)=0,10^6,INDEX(properties!A$1:CB$87,'Fórmula'!J63,56)))</f>
        <v>0.12</v>
      </c>
      <c r="FY63" s="119">
        <f t="shared" si="30"/>
        <v>0.8</v>
      </c>
      <c r="FZ63" s="104">
        <f t="array" ref="FZ63">(('Fórmula'!C63)/('Fórmula'!C63+'Fórmula'!E63+'Fórmula'!G63+'Fórmula'!I63+'Fórmula'!K63))*(INDEX(properties!A$1:CB$87,'Fórmula'!B63,57))+(('Fórmula'!E63)/('Fórmula'!C63+'Fórmula'!E63+'Fórmula'!G63+'Fórmula'!I63+'Fórmula'!K63))*(INDEX(properties!A$1:CB$87,'Fórmula'!D63,57))+(('Fórmula'!G63)/('Fórmula'!C63+'Fórmula'!E63+'Fórmula'!G63+'Fórmula'!I63+'Fórmula'!K63))*(INDEX(properties!A$1:CB$87,'Fórmula'!F63,57))+(('Fórmula'!I63)/('Fórmula'!C63+'Fórmula'!E63+'Fórmula'!G63+'Fórmula'!I63+'Fórmula'!K63))*(INDEX(properties!A$1:CB$87,'Fórmula'!H63,57))+(('Fórmula'!K63)/('Fórmula'!C63+'Fórmula'!E63+'Fórmula'!G63+'Fórmula'!I63+'Fórmula'!K63))*(INDEX(properties!A$1:CB$87,'Fórmula'!J63,57))</f>
        <v>2.141226667</v>
      </c>
      <c r="GA63" s="104">
        <f t="array" ref="GA63">'Fórmula'!C63*(INDEX(properties!A$1:CB$87,'Fórmula'!B63,57))+'Fórmula'!E63*(INDEX(properties!A$1:CB$87,'Fórmula'!D63,57))+'Fórmula'!G63*(INDEX(properties!A$1:CB$87,'Fórmula'!F63,57))+'Fórmula'!I63*(INDEX(properties!A$1:CB$87,'Fórmula'!H63,57))+'Fórmula'!K63*(INDEX(properties!A$1:CB$87,'Fórmula'!J63,57))</f>
        <v>12.84736</v>
      </c>
      <c r="GB63" s="104">
        <f t="array" ref="GB63">VARP(IF(INDEX(properties!A$1:CB$87,'Fórmula'!B63,57)&lt;&gt;"",INDEX(properties!A$1:CB$87,'Fórmula'!B63,57)),IF(INDEX(properties!A$1:CB$87,'Fórmula'!D63,57)&lt;&gt;"",INDEX(properties!A$1:CB$87,'Fórmula'!D63,57)),IF(INDEX(properties!A$1:CB$87,'Fórmula'!F63,57)&lt;&gt;"",INDEX(properties!A$1:CB$87,'Fórmula'!F63,57)),IF(INDEX(properties!A$1:CB$87,'Fórmula'!H63,57)&lt;&gt;"",INDEX(properties!A$1:CB$87,'Fórmula'!H63,57)),IF(INDEX(properties!A$1:CB$87,'Fórmula'!J63,57)&lt;&gt;"",INDEX(properties!A$1:CB$87,'Fórmula'!J63,57)))</f>
        <v>19.70054256</v>
      </c>
      <c r="GC63" s="104">
        <f t="array" ref="GC63">MAX(INDEX(properties!A$1:CB$87,'Fórmula'!B63,57),INDEX(properties!A$1:CB$87,'Fórmula'!D63,57),INDEX(properties!A$1:CB$87,'Fórmula'!F63,57),INDEX(properties!A$1:CB$87,'Fórmula'!H63,57),INDEX(properties!A$1:CB$87,'Fórmula'!J63,57))</f>
        <v>11.3</v>
      </c>
      <c r="GD63" s="104">
        <f t="array" ref="GD63">MIN(IF(INDEX(properties!A$1:CB$87,'Fórmula'!B63,57)=0,10^6,INDEX(properties!A$1:CB$87,'Fórmula'!B63,57)),IF(INDEX(properties!A$1:CB$87,'Fórmula'!D63,57)=0,10^6,INDEX(properties!A$1:CB$87,'Fórmula'!D63,57)),IF(INDEX(properties!A$1:CB$87,'Fórmula'!F63,57)=0,10^6,INDEX(properties!A$1:CB$87,'Fórmula'!F63,57)),IF(INDEX(properties!A$1:CB$87,'Fórmula'!H63,57)=0,10^6,INDEX(properties!A$1:CB$87,'Fórmula'!H63,57)),IF(INDEX(properties!A$1:CB$87,'Fórmula'!J63,57)=0,10^6,INDEX(properties!A$1:CB$87,'Fórmula'!J63,57)))</f>
        <v>0.22259</v>
      </c>
      <c r="GE63" s="104">
        <f t="shared" si="31"/>
        <v>11.07741</v>
      </c>
      <c r="GF63" s="105">
        <f t="array" ref="GF63">(('Fórmula'!C63)/('Fórmula'!C63+'Fórmula'!E63+'Fórmula'!G63+'Fórmula'!I63+'Fórmula'!K63))*(INDEX(properties!A$1:CB$87,'Fórmula'!B63,60))+(('Fórmula'!E63)/('Fórmula'!C63+'Fórmula'!E63+'Fórmula'!G63+'Fórmula'!I63+'Fórmula'!K63))*(INDEX(properties!A$1:CB$87,'Fórmula'!D63,60))+(('Fórmula'!G63)/('Fórmula'!C63+'Fórmula'!E63+'Fórmula'!G63+'Fórmula'!I63+'Fórmula'!K63))*(INDEX(properties!A$1:CB$87,'Fórmula'!F63,60))+(('Fórmula'!I63)/('Fórmula'!C63+'Fórmula'!E63+'Fórmula'!G63+'Fórmula'!I63+'Fórmula'!K63))*(INDEX(properties!A$1:CB$87,'Fórmula'!H63,60))+(('Fórmula'!K63)/('Fórmula'!C63+'Fórmula'!E63+'Fórmula'!G63+'Fórmula'!I63+'Fórmula'!K63))*(INDEX(properties!A$1:CB$87,'Fórmula'!J63,60))</f>
        <v>1.36866</v>
      </c>
      <c r="GG63" s="105">
        <f t="array" ref="GG63">'Fórmula'!C63*(INDEX(properties!A$1:CB$87,'Fórmula'!B63,60))+'Fórmula'!E63*(INDEX(properties!A$1:CB$87,'Fórmula'!D63,60))+'Fórmula'!G63*(INDEX(properties!A$1:CB$87,'Fórmula'!F63,60))+'Fórmula'!I63*(INDEX(properties!A$1:CB$87,'Fórmula'!H63,60))+'Fórmula'!K63*(INDEX(properties!A$1:CB$87,'Fórmula'!J63,60))</f>
        <v>8.21196</v>
      </c>
      <c r="GH63" s="105">
        <f t="array" ref="GH63">VARP(IF(INDEX(properties!A$1:CB$87,'Fórmula'!B63,60)&lt;&gt;"",INDEX(properties!A$1:CB$87,'Fórmula'!B63,60)),IF(INDEX(properties!A$1:CB$87,'Fórmula'!D63,60)&lt;&gt;"",INDEX(properties!A$1:CB$87,'Fórmula'!D63,60)),IF(INDEX(properties!A$1:CB$87,'Fórmula'!F63,60)&lt;&gt;"",INDEX(properties!A$1:CB$87,'Fórmula'!F63,60)),IF(INDEX(properties!A$1:CB$87,'Fórmula'!H63,60)&lt;&gt;"",INDEX(properties!A$1:CB$87,'Fórmula'!H63,60)),IF(INDEX(properties!A$1:CB$87,'Fórmula'!J63,60)&lt;&gt;"",INDEX(properties!A$1:CB$87,'Fórmula'!J63,60)))</f>
        <v>9.753560188</v>
      </c>
      <c r="GI63" s="105">
        <f t="array" ref="GI63">MAX(INDEX(properties!A$1:CB$87,'Fórmula'!B63,60),INDEX(properties!A$1:CB$87,'Fórmula'!D63,60),INDEX(properties!A$1:CB$87,'Fórmula'!F63,60),INDEX(properties!A$1:CB$87,'Fórmula'!H63,60),INDEX(properties!A$1:CB$87,'Fórmula'!J63,60))</f>
        <v>7.87</v>
      </c>
      <c r="GJ63" s="105">
        <f t="array" ref="GJ63">MIN(IF(INDEX(properties!A$1:CB$87,'Fórmula'!B63,60)=0,10^6,INDEX(properties!A$1:CB$87,'Fórmula'!B63,60)),IF(INDEX(properties!A$1:CB$87,'Fórmula'!D63,60)=0,10^6,INDEX(properties!A$1:CB$87,'Fórmula'!D63,60)),IF(INDEX(properties!A$1:CB$87,'Fórmula'!F63,60)=0,10^6,INDEX(properties!A$1:CB$87,'Fórmula'!F63,60)),IF(INDEX(properties!A$1:CB$87,'Fórmula'!H63,60)=0,10^6,INDEX(properties!A$1:CB$87,'Fórmula'!H63,60)),IF(INDEX(properties!A$1:CB$87,'Fórmula'!J63,60)=0,10^6,INDEX(properties!A$1:CB$87,'Fórmula'!J63,60)))</f>
        <v>0.02674</v>
      </c>
      <c r="GK63" s="105">
        <f t="shared" si="32"/>
        <v>7.84326</v>
      </c>
      <c r="GL63" s="106">
        <f t="array" ref="GL63">(('Fórmula'!C63)/('Fórmula'!C63+'Fórmula'!E63+'Fórmula'!G63+'Fórmula'!I63+'Fórmula'!K63))*(INDEX(properties!A$1:CB$87,'Fórmula'!B63,62))+(('Fórmula'!E63)/('Fórmula'!C63+'Fórmula'!E63+'Fórmula'!G63+'Fórmula'!I63+'Fórmula'!K63))*(INDEX(properties!A$1:CB$87,'Fórmula'!D63,62))+(('Fórmula'!G63)/('Fórmula'!C63+'Fórmula'!E63+'Fórmula'!G63+'Fórmula'!I63+'Fórmula'!K63))*(INDEX(properties!A$1:CB$87,'Fórmula'!F63,62))+(('Fórmula'!I63)/('Fórmula'!C63+'Fórmula'!E63+'Fórmula'!G63+'Fórmula'!I63+'Fórmula'!K63))*(INDEX(properties!A$1:CB$87,'Fórmula'!H63,62))+(('Fórmula'!K63)/('Fórmula'!C63+'Fórmula'!E63+'Fórmula'!G63+'Fórmula'!I63+'Fórmula'!K63))*(INDEX(properties!A$1:CB$87,'Fórmula'!J63,62))</f>
        <v>2.681666667</v>
      </c>
      <c r="GM63" s="106">
        <f t="array" ref="GM63">'Fórmula'!C63*(INDEX(properties!A$1:CB$87,'Fórmula'!B63,62))+'Fórmula'!E63*(INDEX(properties!A$1:CB$87,'Fórmula'!D63,62))+'Fórmula'!G63*(INDEX(properties!A$1:CB$87,'Fórmula'!F63,62))+'Fórmula'!I63*(INDEX(properties!A$1:CB$87,'Fórmula'!H63,62))+'Fórmula'!K63*(INDEX(properties!A$1:CB$87,'Fórmula'!J63,62))</f>
        <v>16.09</v>
      </c>
      <c r="GN63" s="106">
        <f t="array" ref="GN63">VARP(IF(INDEX(properties!A$1:CB$87,'Fórmula'!B63,62)&lt;&gt;"",INDEX(properties!A$1:CB$87,'Fórmula'!B63,62)),IF(INDEX(properties!A$1:CB$87,'Fórmula'!D63,62)&lt;&gt;"",INDEX(properties!A$1:CB$87,'Fórmula'!D63,62)),IF(INDEX(properties!A$1:CB$87,'Fórmula'!F63,62)&lt;&gt;"",INDEX(properties!A$1:CB$87,'Fórmula'!F63,62)),IF(INDEX(properties!A$1:CB$87,'Fórmula'!H63,62)&lt;&gt;"",INDEX(properties!A$1:CB$87,'Fórmula'!H63,62)),IF(INDEX(properties!A$1:CB$87,'Fórmula'!J63,62)&lt;&gt;"",INDEX(properties!A$1:CB$87,'Fórmula'!J63,62)))</f>
        <v>1.967024</v>
      </c>
      <c r="GO63" s="106">
        <f t="array" ref="GO63">MAX(INDEX(properties!A$1:CB$87,'Fórmula'!B63,62),INDEX(properties!A$1:CB$87,'Fórmula'!D63,62),INDEX(properties!A$1:CB$87,'Fórmula'!F63,62),INDEX(properties!A$1:CB$87,'Fórmula'!H63,62),INDEX(properties!A$1:CB$87,'Fórmula'!J63,62))</f>
        <v>3.43</v>
      </c>
      <c r="GP63" s="106">
        <f t="array" ref="GP63">MIN(IF(INDEX(properties!A$1:CB$87,'Fórmula'!B63,62)=0,10^6,INDEX(properties!A$1:CB$87,'Fórmula'!B63,62)),IF(INDEX(properties!A$1:CB$87,'Fórmula'!D63,62)=0,10^6,INDEX(properties!A$1:CB$87,'Fórmula'!D63,62)),IF(INDEX(properties!A$1:CB$87,'Fórmula'!F63,62)=0,10^6,INDEX(properties!A$1:CB$87,'Fórmula'!F63,62)),IF(INDEX(properties!A$1:CB$87,'Fórmula'!H63,62)=0,10^6,INDEX(properties!A$1:CB$87,'Fórmula'!H63,62)),IF(INDEX(properties!A$1:CB$87,'Fórmula'!J63,62)=0,10^6,INDEX(properties!A$1:CB$87,'Fórmula'!J63,62)))</f>
        <v>2.18</v>
      </c>
      <c r="GQ63" s="106">
        <f t="shared" si="33"/>
        <v>1.25</v>
      </c>
      <c r="GR63" s="106">
        <f>'Fórmula'!Q63</f>
        <v>11</v>
      </c>
      <c r="GS63" s="107">
        <f>'Fórmula'!P63</f>
        <v>6</v>
      </c>
      <c r="GT63" s="113">
        <f>'Fórmula'!O63</f>
        <v>6.33</v>
      </c>
      <c r="GU63" s="114">
        <f>AVERAGE('Fórmula'!R63/'Fórmula'!S63,'Fórmula'!S63/'Fórmula'!T63,'Fórmula'!T63/'Fórmula'!R63)</f>
        <v>1.05324475</v>
      </c>
      <c r="GV63" s="125">
        <f>'Fórmula'!U63</f>
        <v>159.42</v>
      </c>
      <c r="GW63" s="106">
        <f>'Fórmula'!N63</f>
        <v>0.15</v>
      </c>
    </row>
    <row r="64" ht="14.25" customHeight="1">
      <c r="A64" s="99" t="str">
        <f>'Fórmula'!A64</f>
        <v>K3LaP2O8</v>
      </c>
      <c r="B64" s="100">
        <f t="array" ref="B64">(('Fórmula'!C64)/('Fórmula'!C64+'Fórmula'!E64+'Fórmula'!G64+'Fórmula'!I64+'Fórmula'!K64))*(INDEX(properties!A$1:CB$87,'Fórmula'!B64,3))+(('Fórmula'!E64)/('Fórmula'!C64+'Fórmula'!E64+'Fórmula'!G64+'Fórmula'!I64+'Fórmula'!K64))*(INDEX(properties!A$1:CB$87,'Fórmula'!D64,3))+(('Fórmula'!G64)/('Fórmula'!C64+'Fórmula'!E64+'Fórmula'!G64+'Fórmula'!I64+'Fórmula'!K64))*(INDEX(properties!A$1:CB$87,'Fórmula'!F64,3))+(('Fórmula'!I64)/('Fórmula'!C64+'Fórmula'!E64+'Fórmula'!G64+'Fórmula'!I64+'Fórmula'!K64))*(INDEX(properties!A$1:CB$87,'Fórmula'!H64,3))+(('Fórmula'!K64)/('Fórmula'!C64+'Fórmula'!E64+'Fórmula'!G64+'Fórmula'!I64+'Fórmula'!K64))*(INDEX(properties!A$1:CB$87,'Fórmula'!J64,3))</f>
        <v>31.867366</v>
      </c>
      <c r="C64" s="101">
        <f t="array" ref="C64">'Fórmula'!C64*(INDEX(properties!A$1:CB$87,'Fórmula'!B64,3))+'Fórmula'!E64*(INDEX(properties!A$1:CB$87,'Fórmula'!D64,3))+'Fórmula'!G64*(INDEX(properties!A$1:CB$87,'Fórmula'!F64,3))+'Fórmula'!I64*(INDEX(properties!A$1:CB$87,'Fórmula'!H64,3))+'Fórmula'!K64*(INDEX(properties!A$1:CB$87,'Fórmula'!J64,3))</f>
        <v>446.143124</v>
      </c>
      <c r="D64" s="101">
        <f t="array" ref="D64">VARP(IF(INDEX(properties!A$1:CB$87,'Fórmula'!B64,3)&lt;&gt;"",INDEX(properties!A$1:CB$87,'Fórmula'!B64,3)),IF(INDEX(properties!A$1:CB$87,'Fórmula'!D64,3)&lt;&gt;"",INDEX(properties!A$1:CB$87,'Fórmula'!D64,3)),IF(INDEX(properties!A$1:CB$87,'Fórmula'!F64,3)&lt;&gt;"",INDEX(properties!A$1:CB$87,'Fórmula'!F64,3)),IF(INDEX(properties!A$1:CB$87,'Fórmula'!H64,3)&lt;&gt;"",INDEX(properties!A$1:CB$87,'Fórmula'!H64,3)),IF(INDEX(properties!A$1:CB$87,'Fórmula'!J64,3)&lt;&gt;"",INDEX(properties!A$1:CB$87,'Fórmula'!J64,3)))</f>
        <v>2383.168608</v>
      </c>
      <c r="E64" s="101">
        <f t="array" ref="E64">MAX(INDEX(properties!A$1:CB$87,'Fórmula'!B64,3),INDEX(properties!A$1:CB$87,'Fórmula'!D64,3),INDEX(properties!A$1:CB$87,'Fórmula'!F64,3),INDEX(properties!A$1:CB$87,'Fórmula'!H64,3),INDEX(properties!A$1:CB$87,'Fórmula'!J64,3))</f>
        <v>138.9055</v>
      </c>
      <c r="F64" s="101">
        <f t="array" ref="F64">MIN(IF(INDEX(properties!A$1:CB$87,'Fórmula'!B64,3)=0,10^6,INDEX(properties!A$1:CB$87,'Fórmula'!B64,3)),IF(INDEX(properties!A$1:CB$87,'Fórmula'!D64,3)=0,10^6,INDEX(properties!A$1:CB$87,'Fórmula'!D64,3)),IF(INDEX(properties!A$1:CB$87,'Fórmula'!F64,3)=0,10^6,INDEX(properties!A$1:CB$87,'Fórmula'!F64,3)),IF(INDEX(properties!A$1:CB$87,'Fórmula'!H64,3)=0,10^6,INDEX(properties!A$1:CB$87,'Fórmula'!H64,3)),IF(INDEX(properties!A$1:CB$87,'Fórmula'!J64,3)=0,10^6,INDEX(properties!A$1:CB$87,'Fórmula'!J64,3)))</f>
        <v>15.9994</v>
      </c>
      <c r="G64" s="101">
        <f t="shared" si="1"/>
        <v>122.9061</v>
      </c>
      <c r="H64" s="102">
        <f t="array" ref="H64">(('Fórmula'!C64)/('Fórmula'!C64+'Fórmula'!E64+'Fórmula'!G64+'Fórmula'!I64+'Fórmula'!K64))*(INDEX(properties!A$1:CB$87,'Fórmula'!B64,4))+(('Fórmula'!E64)/('Fórmula'!C64+'Fórmula'!E64+'Fórmula'!G64+'Fórmula'!I64+'Fórmula'!K64))*(INDEX(properties!A$1:CB$87,'Fórmula'!D64,4))+(('Fórmula'!G64)/('Fórmula'!C64+'Fórmula'!E64+'Fórmula'!G64+'Fórmula'!I64+'Fórmula'!K64))*(INDEX(properties!A$1:CB$87,'Fórmula'!F64,4))+(('Fórmula'!I64)/('Fórmula'!C64+'Fórmula'!E64+'Fórmula'!G64+'Fórmula'!I64+'Fórmula'!K64))*(INDEX(properties!A$1:CB$87,'Fórmula'!H64,4))+(('Fórmula'!K64)/('Fórmula'!C64+'Fórmula'!E64+'Fórmula'!G64+'Fórmula'!I64+'Fórmula'!K64))*(INDEX(properties!A$1:CB$87,'Fórmula'!J64,4))</f>
        <v>14.85714286</v>
      </c>
      <c r="I64" s="102">
        <f t="array" ref="I64">'Fórmula'!C64*(INDEX(properties!A$1:CB$87,'Fórmula'!B64,4))+'Fórmula'!E64*(INDEX(properties!A$1:CB$87,'Fórmula'!D64,4))+'Fórmula'!G64*(INDEX(properties!A$1:CB$87,'Fórmula'!F64,4))+'Fórmula'!I64*(INDEX(properties!A$1:CB$87,'Fórmula'!H64,4))+'Fórmula'!K64*(INDEX(properties!A$1:CB$87,'Fórmula'!J64,4))</f>
        <v>208</v>
      </c>
      <c r="J64" s="102">
        <f t="array" ref="J64">VARP(IF(INDEX(properties!A$1:CB$87,'Fórmula'!B64,4)&lt;&gt;"",INDEX(properties!A$1:CB$87,'Fórmula'!B64,4)),IF(INDEX(properties!A$1:CB$87,'Fórmula'!D64,4)&lt;&gt;"",INDEX(properties!A$1:CB$87,'Fórmula'!D64,4)),IF(INDEX(properties!A$1:CB$87,'Fórmula'!F64,4)&lt;&gt;"",INDEX(properties!A$1:CB$87,'Fórmula'!F64,4)),IF(INDEX(properties!A$1:CB$87,'Fórmula'!H64,4)&lt;&gt;"",INDEX(properties!A$1:CB$87,'Fórmula'!H64,4)),IF(INDEX(properties!A$1:CB$87,'Fórmula'!J64,4)&lt;&gt;"",INDEX(properties!A$1:CB$87,'Fórmula'!J64,4)))</f>
        <v>387.76</v>
      </c>
      <c r="K64" s="102">
        <f t="array" ref="K64">MAX(INDEX(properties!A$1:CB$87,'Fórmula'!B64,4),INDEX(properties!A$1:CB$87,'Fórmula'!D64,4),INDEX(properties!A$1:CB$87,'Fórmula'!F64,4),INDEX(properties!A$1:CB$87,'Fórmula'!H64,4),INDEX(properties!A$1:CB$87,'Fórmula'!J64,4))</f>
        <v>57</v>
      </c>
      <c r="L64" s="102">
        <f t="array" ref="L64">MIN(IF(INDEX(properties!A$1:CB$87,'Fórmula'!B64,4)=0,10^6,INDEX(properties!A$1:CB$87,'Fórmula'!B64,4)),IF(INDEX(properties!A$1:CB$87,'Fórmula'!D64,4)=0,10^6,INDEX(properties!A$1:CB$87,'Fórmula'!D64,4)),IF(INDEX(properties!A$1:CB$87,'Fórmula'!F64,4)=0,10^6,INDEX(properties!A$1:CB$87,'Fórmula'!F64,4)),IF(INDEX(properties!A$1:CB$87,'Fórmula'!H64,4)=0,10^6,INDEX(properties!A$1:CB$87,'Fórmula'!H64,4)),IF(INDEX(properties!A$1:CB$87,'Fórmula'!J64,4)=0,10^6,INDEX(properties!A$1:CB$87,'Fórmula'!J64,4)))</f>
        <v>8</v>
      </c>
      <c r="M64" s="102">
        <f t="shared" si="2"/>
        <v>49</v>
      </c>
      <c r="N64" s="103">
        <f t="array" ref="N64">(('Fórmula'!C64)/('Fórmula'!C64+'Fórmula'!E64+'Fórmula'!G64+'Fórmula'!I64+'Fórmula'!K64))*(INDEX(properties!A$1:CB$87,'Fórmula'!B64,5))+(('Fórmula'!E64)/('Fórmula'!C64+'Fórmula'!E64+'Fórmula'!G64+'Fórmula'!I64+'Fórmula'!K64))*(INDEX(properties!A$1:CB$87,'Fórmula'!D64,5))+(('Fórmula'!G64)/('Fórmula'!C64+'Fórmula'!E64+'Fórmula'!G64+'Fórmula'!I64+'Fórmula'!K64))*(INDEX(properties!A$1:CB$87,'Fórmula'!F64,5))+(('Fórmula'!I64)/('Fórmula'!C64+'Fórmula'!E64+'Fórmula'!G64+'Fórmula'!I64+'Fórmula'!K64))*(INDEX(properties!A$1:CB$87,'Fórmula'!H64,5))+(('Fórmula'!K64)/('Fórmula'!C64+'Fórmula'!E64+'Fórmula'!G64+'Fórmula'!I64+'Fórmula'!K64))*(INDEX(properties!A$1:CB$87,'Fórmula'!J64,5))</f>
        <v>2.857142857</v>
      </c>
      <c r="O64" s="103">
        <f t="array" ref="O64">'Fórmula'!C64*(INDEX(properties!A$1:CB$87,'Fórmula'!B64,5))+'Fórmula'!E64*(INDEX(properties!A$1:CB$87,'Fórmula'!D64,5))+'Fórmula'!G64*(INDEX(properties!A$1:CB$87,'Fórmula'!F64,5))+'Fórmula'!I64*(INDEX(properties!A$1:CB$87,'Fórmula'!H64,5))+'Fórmula'!K64*(INDEX(properties!A$1:CB$87,'Fórmula'!J64,5))</f>
        <v>40</v>
      </c>
      <c r="P64" s="103">
        <f t="array" ref="P64">VARP(IF(INDEX(properties!A$1:CB$87,'Fórmula'!B64,5)&lt;&gt;"",INDEX(properties!A$1:CB$87,'Fórmula'!B64,5)),IF(INDEX(properties!A$1:CB$87,'Fórmula'!D64,5)&lt;&gt;"",INDEX(properties!A$1:CB$87,'Fórmula'!D64,5)),IF(INDEX(properties!A$1:CB$87,'Fórmula'!F64,5)&lt;&gt;"",INDEX(properties!A$1:CB$87,'Fórmula'!F64,5)),IF(INDEX(properties!A$1:CB$87,'Fórmula'!H64,5)&lt;&gt;"",INDEX(properties!A$1:CB$87,'Fórmula'!H64,5)),IF(INDEX(properties!A$1:CB$87,'Fórmula'!J64,5)&lt;&gt;"",INDEX(properties!A$1:CB$87,'Fórmula'!J64,5)))</f>
        <v>4</v>
      </c>
      <c r="Q64" s="103">
        <f t="array" ref="Q64">MAX(INDEX(properties!A$1:CB$87,'Fórmula'!B64,5),INDEX(properties!A$1:CB$87,'Fórmula'!D64,5),INDEX(properties!A$1:CB$87,'Fórmula'!F64,5),INDEX(properties!A$1:CB$87,'Fórmula'!H64,5),INDEX(properties!A$1:CB$87,'Fórmula'!J64,5))</f>
        <v>6</v>
      </c>
      <c r="R64" s="103">
        <f t="array" ref="R64">MIN(IF(INDEX(properties!A$1:CB$87,'Fórmula'!B64,5)=0,10^6,INDEX(properties!A$1:CB$87,'Fórmula'!B64,5)),IF(INDEX(properties!A$1:CB$87,'Fórmula'!D64,5)=0,10^6,INDEX(properties!A$1:CB$87,'Fórmula'!D64,5)),IF(INDEX(properties!A$1:CB$87,'Fórmula'!F64,5)=0,10^6,INDEX(properties!A$1:CB$87,'Fórmula'!F64,5)),IF(INDEX(properties!A$1:CB$87,'Fórmula'!H64,5)=0,10^6,INDEX(properties!A$1:CB$87,'Fórmula'!H64,5)),IF(INDEX(properties!A$1:CB$87,'Fórmula'!J64,5)=0,10^6,INDEX(properties!A$1:CB$87,'Fórmula'!J64,5)))</f>
        <v>2</v>
      </c>
      <c r="S64" s="103">
        <f t="shared" si="3"/>
        <v>4</v>
      </c>
      <c r="T64" s="104">
        <f t="array" ref="T64">(('Fórmula'!C64)/('Fórmula'!C64+'Fórmula'!E64+'Fórmula'!G64+'Fórmula'!I64+'Fórmula'!K64))*(INDEX(properties!A$1:CB$87,'Fórmula'!B64,6))+(('Fórmula'!E64)/('Fórmula'!C64+'Fórmula'!E64+'Fórmula'!G64+'Fórmula'!I64+'Fórmula'!K64))*(INDEX(properties!A$1:CB$87,'Fórmula'!D64,6))+(('Fórmula'!G64)/('Fórmula'!C64+'Fórmula'!E64+'Fórmula'!G64+'Fórmula'!I64+'Fórmula'!K64))*(INDEX(properties!A$1:CB$87,'Fórmula'!F64,6))+(('Fórmula'!I64)/('Fórmula'!C64+'Fórmula'!E64+'Fórmula'!G64+'Fórmula'!I64+'Fórmula'!K64))*(INDEX(properties!A$1:CB$87,'Fórmula'!H64,6))+(('Fórmula'!K64)/('Fórmula'!C64+'Fórmula'!E64+'Fórmula'!G64+'Fórmula'!I64+'Fórmula'!K64))*(INDEX(properties!A$1:CB$87,'Fórmula'!J64,6))</f>
        <v>11.71428571</v>
      </c>
      <c r="U64" s="104">
        <f t="array" ref="U64">'Fórmula'!C64*(INDEX(properties!A$1:CB$87,'Fórmula'!B64,6))+'Fórmula'!E64*(INDEX(properties!A$1:CB$87,'Fórmula'!D64,6))+'Fórmula'!G64*(INDEX(properties!A$1:CB$87,'Fórmula'!F64,6))+'Fórmula'!I64*(INDEX(properties!A$1:CB$87,'Fórmula'!H64,6))+'Fórmula'!K64*(INDEX(properties!A$1:CB$87,'Fórmula'!J64,6))</f>
        <v>164</v>
      </c>
      <c r="V64" s="103">
        <f t="array" ref="V64">VARP(IF(INDEX(properties!A$1:CB$87,'Fórmula'!B64,6)&lt;&gt;"",INDEX(properties!A$1:CB$87,'Fórmula'!B64,6)),IF(INDEX(properties!A$1:CB$87,'Fórmula'!D64,6)&lt;&gt;"",INDEX(properties!A$1:CB$87,'Fórmula'!D64,6)),IF(INDEX(properties!A$1:CB$87,'Fórmula'!F64,6)&lt;&gt;"",INDEX(properties!A$1:CB$87,'Fórmula'!F64,6)),IF(INDEX(properties!A$1:CB$87,'Fórmula'!H64,6)&lt;&gt;"",INDEX(properties!A$1:CB$87,'Fórmula'!H64,6)),IF(INDEX(properties!A$1:CB$87,'Fórmula'!J64,6)&lt;&gt;"",INDEX(properties!A$1:CB$87,'Fórmula'!J64,6)))</f>
        <v>49.2</v>
      </c>
      <c r="W64" s="104">
        <f t="array" ref="W64">MAX(INDEX(properties!A$1:CB$87,'Fórmula'!B64,6),INDEX(properties!A$1:CB$87,'Fórmula'!D64,6),INDEX(properties!A$1:CB$87,'Fórmula'!F64,6),INDEX(properties!A$1:CB$87,'Fórmula'!H64,4),INDEX(properties!A$1:CB$87,'Fórmula'!J64,6))</f>
        <v>15</v>
      </c>
      <c r="X64" s="104">
        <f t="array" ref="X64">MIN(IF(INDEX(properties!A$1:CB$87,'Fórmula'!B64,6)=0,10^6,INDEX(properties!A$1:CB$87,'Fórmula'!B64,6)),IF(INDEX(properties!A$1:CB$87,'Fórmula'!D64,6)=0,10^6,INDEX(properties!A$1:CB$87,'Fórmula'!D64,6)),IF(INDEX(properties!A$1:CB$87,'Fórmula'!F64,6)=0,10^6,INDEX(properties!A$1:CB$87,'Fórmula'!F64,6)),IF(INDEX(properties!A$1:CB$87,'Fórmula'!H64,6)=0,10^6,INDEX(properties!A$1:CB$87,'Fórmula'!H64,6)),IF(INDEX(properties!A$1:CB$87,'Fórmula'!J64,6)=0,10^6,INDEX(properties!A$1:CB$87,'Fórmula'!J64,6)))</f>
        <v>1</v>
      </c>
      <c r="Y64" s="104">
        <f t="shared" si="4"/>
        <v>14</v>
      </c>
      <c r="Z64" s="105">
        <f t="array" ref="Z64">(('Fórmula'!C64)/('Fórmula'!C64+'Fórmula'!E64+'Fórmula'!G64+'Fórmula'!I64+'Fórmula'!K64))*(INDEX(properties!A$1:CB$87,'Fórmula'!B64,9))+(('Fórmula'!E64)/('Fórmula'!C64+'Fórmula'!E64+'Fórmula'!G64+'Fórmula'!I64+'Fórmula'!K64))*(INDEX(properties!A$1:CB$87,'Fórmula'!D64,9))+(('Fórmula'!G64)/('Fórmula'!C64+'Fórmula'!E64+'Fórmula'!G64+'Fórmula'!I64+'Fórmula'!K64))*(INDEX(properties!A$1:CB$87,'Fórmula'!F64,9))+(('Fórmula'!I64)/('Fórmula'!C64+'Fórmula'!E64+'Fórmula'!G64+'Fórmula'!I64+'Fórmula'!K64))*(INDEX(properties!A$1:CB$87,'Fórmula'!H64,9))+(('Fórmula'!K64)/('Fórmula'!C64+'Fórmula'!E64+'Fórmula'!G64+'Fórmula'!I64+'Fórmula'!K64))*(INDEX(properties!A$1:CB$87,'Fórmula'!J64,9))</f>
        <v>63.14285714</v>
      </c>
      <c r="AA64" s="105">
        <f t="array" ref="AA64">'Fórmula'!C64*(INDEX(properties!A$1:CB$87,'Fórmula'!B64,9))+'Fórmula'!E64*(INDEX(properties!A$1:CB$87,'Fórmula'!D64,9))+'Fórmula'!G64*(INDEX(properties!A$1:CB$87,'Fórmula'!F64,9))+'Fórmula'!I64*(INDEX(properties!A$1:CB$87,'Fórmula'!H64,9))+'Fórmula'!K64*(INDEX(properties!A$1:CB$87,'Fórmula'!J64,9))</f>
        <v>884</v>
      </c>
      <c r="AB64" s="105">
        <f t="array" ref="AB64">VARP(IF(INDEX(properties!A$1:CB$87,'Fórmula'!B64,9)&lt;&gt;"",INDEX(properties!A$1:CB$87,'Fórmula'!B64,9)),IF(INDEX(properties!A$1:CB$87,'Fórmula'!D64,9)&lt;&gt;"",INDEX(properties!A$1:CB$87,'Fórmula'!D64,9)),IF(INDEX(properties!A$1:CB$87,'Fórmula'!F64,9)&lt;&gt;"",INDEX(properties!A$1:CB$87,'Fórmula'!F64,9)),IF(INDEX(properties!A$1:CB$87,'Fórmula'!H64,9)&lt;&gt;"",INDEX(properties!A$1:CB$87,'Fórmula'!H64,9)),IF(INDEX(properties!A$1:CB$87,'Fórmula'!J64,9)&lt;&gt;"",INDEX(properties!A$1:CB$87,'Fórmula'!J64,9)))</f>
        <v>1543.36</v>
      </c>
      <c r="AC64" s="105">
        <f t="array" ref="AC64">MAX(INDEX(properties!A$1:CB$87,'Fórmula'!B64,9),INDEX(properties!A$1:CB$87,'Fórmula'!D64,9),INDEX(properties!A$1:CB$87,'Fórmula'!F64,9),INDEX(properties!A$1:CB$87,'Fórmula'!H64,9),INDEX(properties!A$1:CB$87,'Fórmula'!J64,9))</f>
        <v>87</v>
      </c>
      <c r="AD64" s="105">
        <f t="array" ref="AD64">MIN(IF(INDEX(properties!A$1:CB$87,'Fórmula'!B64,9)=0,10^6,INDEX(properties!A$1:CB$87,'Fórmula'!B64,9)),IF(INDEX(properties!A$1:CB$87,'Fórmula'!D64,9)=0,10^6,INDEX(properties!A$1:CB$87,'Fórmula'!D64,9)),IF(INDEX(properties!A$1:CB$87,'Fórmula'!F64,9)=0,10^6,INDEX(properties!A$1:CB$87,'Fórmula'!F64,9)),IF(INDEX(properties!A$1:CB$87,'Fórmula'!H64,9)=0,10^6,INDEX(properties!A$1:CB$87,'Fórmula'!H64,9)),IF(INDEX(properties!A$1:CB$87,'Fórmula'!J64,9)=0,10^6,INDEX(properties!A$1:CB$87,'Fórmula'!J64,9)))</f>
        <v>3</v>
      </c>
      <c r="AE64" s="105">
        <f t="shared" si="5"/>
        <v>84</v>
      </c>
      <c r="AF64" s="106">
        <f t="array" ref="AF64">(('Fórmula'!C64)/('Fórmula'!C64+'Fórmula'!E64+'Fórmula'!G64+'Fórmula'!I64+'Fórmula'!K64))*(INDEX(properties!A$1:CB$87,'Fórmula'!B64,10))+(('Fórmula'!E64)/('Fórmula'!C64+'Fórmula'!E64+'Fórmula'!G64+'Fórmula'!I64+'Fórmula'!K64))*(INDEX(properties!A$1:CB$87,'Fórmula'!D64,10))+(('Fórmula'!G64)/('Fórmula'!C64+'Fórmula'!E64+'Fórmula'!G64+'Fórmula'!I64+'Fórmula'!K64))*(INDEX(properties!A$1:CB$87,'Fórmula'!F64,10))+(('Fórmula'!I64)/('Fórmula'!C64+'Fórmula'!E64+'Fórmula'!G64+'Fórmula'!I64+'Fórmula'!K64))*(INDEX(properties!A$1:CB$87,'Fórmula'!H64,10))+(('Fórmula'!K64)/('Fórmula'!C64+'Fórmula'!E64+'Fórmula'!G64+'Fórmula'!I64+'Fórmula'!K64))*(INDEX(properties!A$1:CB$87,'Fórmula'!J64,10))</f>
        <v>5.428571429</v>
      </c>
      <c r="AG64" s="106">
        <f t="array" ref="AG64">'Fórmula'!C64*(INDEX(properties!A$1:CB$87,'Fórmula'!B64,10))+'Fórmula'!E64*(INDEX(properties!A$1:CB$87,'Fórmula'!D64,10))+'Fórmula'!G64*(INDEX(properties!A$1:CB$87,'Fórmula'!F64,10))+'Fórmula'!I64*(INDEX(properties!A$1:CB$87,'Fórmula'!H64,10))+'Fórmula'!K64*(INDEX(properties!A$1:CB$87,'Fórmula'!J64,10))</f>
        <v>76</v>
      </c>
      <c r="AH64" s="106">
        <f t="array" ref="AH64">VARP(IF(INDEX(properties!A$1:CB$87,'Fórmula'!B64,10)&lt;&gt;"",INDEX(properties!A$1:CB$87,'Fórmula'!B64,10)),IF(INDEX(properties!A$1:CB$87,'Fórmula'!D64,10)&lt;&gt;"",INDEX(properties!A$1:CB$87,'Fórmula'!D64,10)),IF(INDEX(properties!A$1:CB$87,'Fórmula'!F64,10)&lt;&gt;"",INDEX(properties!A$1:CB$87,'Fórmula'!F64,10)),IF(INDEX(properties!A$1:CB$87,'Fórmula'!H64,10)&lt;&gt;"",INDEX(properties!A$1:CB$87,'Fórmula'!H64,10)),IF(INDEX(properties!A$1:CB$87,'Fórmula'!J64,10)&lt;&gt;"",INDEX(properties!A$1:CB$87,'Fórmula'!J64,10)))</f>
        <v>8.64</v>
      </c>
      <c r="AI64" s="106">
        <f t="array" ref="AI64">MAX(INDEX(properties!A$1:CB$87,'Fórmula'!B64,10),INDEX(properties!A$1:CB$87,'Fórmula'!D64,10),INDEX(properties!A$1:CB$87,'Fórmula'!F64,10),INDEX(properties!A$1:CB$87,'Fórmula'!H64,10),INDEX(properties!A$1:CB$87,'Fórmula'!J64,10))</f>
        <v>7</v>
      </c>
      <c r="AJ64" s="106">
        <f t="array" ref="AJ64">MIN(IF(INDEX(properties!A$1:CB$87,'Fórmula'!B64,10)=0,10^6,INDEX(properties!A$1:CB$87,'Fórmula'!B64,10)),IF(INDEX(properties!A$1:CB$87,'Fórmula'!D64,10)=0,10^6,INDEX(properties!A$1:CB$87,'Fórmula'!D64,10)),IF(INDEX(properties!A$1:CB$87,'Fórmula'!F64,10)=0,10^6,INDEX(properties!A$1:CB$87,'Fórmula'!F64,10)),IF(INDEX(properties!A$1:CB$87,'Fórmula'!H64,10)=0,10^6,INDEX(properties!A$1:CB$87,'Fórmula'!H64,10)),IF(INDEX(properties!A$1:CB$87,'Fórmula'!J64,10)=0,10^6,INDEX(properties!A$1:CB$87,'Fórmula'!J64,10)))</f>
        <v>1</v>
      </c>
      <c r="AK64" s="106">
        <f t="shared" si="6"/>
        <v>6</v>
      </c>
      <c r="AL64" s="107">
        <f t="array" ref="AL64">(('Fórmula'!C64)/('Fórmula'!C64+'Fórmula'!E64+'Fórmula'!G64+'Fórmula'!I64+'Fórmula'!K64))*(INDEX(properties!A$1:CB$87,'Fórmula'!B64,11))+(('Fórmula'!E64)/('Fórmula'!C64+'Fórmula'!E64+'Fórmula'!G64+'Fórmula'!I64+'Fórmula'!K64))*(INDEX(properties!A$1:CB$87,'Fórmula'!D64,11))+(('Fórmula'!G64)/('Fórmula'!C64+'Fórmula'!E64+'Fórmula'!G64+'Fórmula'!I64+'Fórmula'!K64))*(INDEX(properties!A$1:CB$87,'Fórmula'!F64,11))+(('Fórmula'!I64)/('Fórmula'!C64+'Fórmula'!E64+'Fórmula'!G64+'Fórmula'!I64+'Fórmula'!K64))*(INDEX(properties!A$1:CB$87,'Fórmula'!H64,11))+(('Fórmula'!K64)/('Fórmula'!C64+'Fórmula'!E64+'Fórmula'!G64+'Fórmula'!I64+'Fórmula'!K64))*(INDEX(properties!A$1:CB$87,'Fórmula'!J64,11))</f>
        <v>1.785714286</v>
      </c>
      <c r="AM64" s="107">
        <f t="array" ref="AM64">'Fórmula'!C64*(INDEX(properties!A$1:CB$87,'Fórmula'!B64,11))+'Fórmula'!E64*(INDEX(properties!A$1:CB$87,'Fórmula'!D64,11))+'Fórmula'!G64*(INDEX(properties!A$1:CB$87,'Fórmula'!F64,11))+'Fórmula'!I64*(INDEX(properties!A$1:CB$87,'Fórmula'!H64,11))+'Fórmula'!K64*(INDEX(properties!A$1:CB$87,'Fórmula'!J64,11))</f>
        <v>25</v>
      </c>
      <c r="AN64" s="107">
        <f t="array" ref="AN64">VARP(IF(INDEX(properties!A$1:CB$87,'Fórmula'!B64,11)&lt;&gt;"",INDEX(properties!A$1:CB$87,'Fórmula'!B64,11)),IF(INDEX(properties!A$1:CB$87,'Fórmula'!D64,11)&lt;&gt;"",INDEX(properties!A$1:CB$87,'Fórmula'!D64,11)),IF(INDEX(properties!A$1:CB$87,'Fórmula'!F64,11)&lt;&gt;"",INDEX(properties!A$1:CB$87,'Fórmula'!F64,11)),IF(INDEX(properties!A$1:CB$87,'Fórmula'!H64,11)&lt;&gt;"",INDEX(properties!A$1:CB$87,'Fórmula'!H64,11)),IF(INDEX(properties!A$1:CB$87,'Fórmula'!J64,11)&lt;&gt;"",INDEX(properties!A$1:CB$87,'Fórmula'!J64,11)))</f>
        <v>0.64</v>
      </c>
      <c r="AO64" s="107">
        <f t="array" ref="AO64">MAX(INDEX(properties!A$1:CB$87,'Fórmula'!B64,11),INDEX(properties!A$1:CB$87,'Fórmula'!D64,11),INDEX(properties!A$1:CB$87,'Fórmula'!F64,11),INDEX(properties!A$1:CB$87,'Fórmula'!H64,11),INDEX(properties!A$1:CB$87,'Fórmula'!J64,11))</f>
        <v>2</v>
      </c>
      <c r="AP64" s="107">
        <f t="array" ref="AP64">MIN(IF('Fórmula'!B64=87,10^6,INDEX(properties!A$1:CB$87,'Fórmula'!B64,11)),IF(('Fórmula'!D64)=87,10^6,INDEX(properties!A$1:CB$87,'Fórmula'!D64,11)),IF(('Fórmula'!F64)=87,10^6,INDEX(properties!A$1:CB$87,'Fórmula'!F64,11)),IF(('Fórmula'!H64)=87,10^6,INDEX(properties!A$1:CB$87,'Fórmula'!H64,11)),IF('Fórmula'!J64=87,10^6,INDEX(properties!A$1:CB$87,'Fórmula'!J64,11)))</f>
        <v>1</v>
      </c>
      <c r="AQ64" s="107">
        <f t="shared" si="7"/>
        <v>1</v>
      </c>
      <c r="AR64" s="108">
        <f t="array" ref="AR64">(('Fórmula'!C64)/('Fórmula'!C64+'Fórmula'!E64+'Fórmula'!G64+'Fórmula'!I64+'Fórmula'!K64))*(INDEX(properties!A$1:CB$87,'Fórmula'!B64,12))+(('Fórmula'!E64)/('Fórmula'!C64+'Fórmula'!E64+'Fórmula'!G64+'Fórmula'!I64+'Fórmula'!K64))*(INDEX(properties!A$1:CB$87,'Fórmula'!D64,12))+(('Fórmula'!G64)/('Fórmula'!C64+'Fórmula'!E64+'Fórmula'!G64+'Fórmula'!I64+'Fórmula'!K64))*(INDEX(properties!A$1:CB$87,'Fórmula'!F64,12))+(('Fórmula'!I64)/('Fórmula'!C64+'Fórmula'!E64+'Fórmula'!G64+'Fórmula'!I64+'Fórmula'!K64))*(INDEX(properties!A$1:CB$87,'Fórmula'!H64,12))+(('Fórmula'!K64)/('Fórmula'!C64+'Fórmula'!E64+'Fórmula'!G64+'Fórmula'!I64+'Fórmula'!K64))*(INDEX(properties!A$1:CB$87,'Fórmula'!J64,12))</f>
        <v>2.714285714</v>
      </c>
      <c r="AS64" s="108">
        <f t="array" ref="AS64">'Fórmula'!C64*(INDEX(properties!A$1:CB$87,'Fórmula'!B64,12))+'Fórmula'!E64*(INDEX(properties!A$1:CB$87,'Fórmula'!D64,12))+'Fórmula'!G64*(INDEX(properties!A$1:CB$87,'Fórmula'!F64,12))+'Fórmula'!I64*(INDEX(properties!A$1:CB$87,'Fórmula'!H64,12))+'Fórmula'!K64*(INDEX(properties!A$1:CB$87,'Fórmula'!J64,12))</f>
        <v>38</v>
      </c>
      <c r="AT64" s="108">
        <f t="array" ref="AT64">VARP(IF(INDEX(properties!A$1:CB$87,'Fórmula'!B64,12)&lt;&gt;"",INDEX(properties!A$1:CB$87,'Fórmula'!B64,12)),IF(INDEX(properties!A$1:CB$87,'Fórmula'!D64,12)&lt;&gt;"",INDEX(properties!A$1:CB$87,'Fórmula'!D64,12)),IF(INDEX(properties!A$1:CB$87,'Fórmula'!F64,12)&lt;&gt;"",INDEX(properties!A$1:CB$87,'Fórmula'!F64,12)),IF(INDEX(properties!A$1:CB$87,'Fórmula'!H64,12)&lt;&gt;"",INDEX(properties!A$1:CB$87,'Fórmula'!H64,12)),IF(INDEX(properties!A$1:CB$87,'Fórmula'!J64,12)&lt;&gt;"",INDEX(properties!A$1:CB$87,'Fórmula'!J64,12)))</f>
        <v>3.04</v>
      </c>
      <c r="AU64" s="108">
        <f t="array" ref="AU64">MAX(INDEX(properties!A$1:CB$87,'Fórmula'!B64,12),INDEX(properties!A$1:CB$87,'Fórmula'!D64,12),INDEX(properties!A$1:CB$87,'Fórmula'!F64,12),INDEX(properties!A$1:CB$87,'Fórmula'!H64,12),INDEX(properties!A$1:CB$87,'Fórmula'!J64,12))</f>
        <v>4</v>
      </c>
      <c r="AV64" s="108">
        <f t="array" ref="AV64">MIN(IF('Fórmula'!B64=87,10^6,INDEX(properties!A$1:CB$87,'Fórmula'!B64,12)),IF(('Fórmula'!D64)=87,10^6,INDEX(properties!A$1:CB$87,'Fórmula'!D64,12)),IF(('Fórmula'!F64)=87,10^6,INDEX(properties!A$1:CB$87,'Fórmula'!F64,12)),IF(('Fórmula'!H64)=87,10^6,INDEX(properties!A$1:CB$87,'Fórmula'!H64,12)),IF('Fórmula'!J64=87,10^6,INDEX(properties!A$1:CB$87,'Fórmula'!J64,12)))</f>
        <v>0</v>
      </c>
      <c r="AW64" s="108">
        <f t="shared" si="8"/>
        <v>4</v>
      </c>
      <c r="AX64" s="109">
        <f t="array" ref="AX64">(('Fórmula'!C64)/('Fórmula'!C64+'Fórmula'!E64+'Fórmula'!G64+'Fórmula'!I64+'Fórmula'!K64))*(INDEX(properties!A$1:CB$87,'Fórmula'!B64,13))+(('Fórmula'!E64)/('Fórmula'!C64+'Fórmula'!E64+'Fórmula'!G64+'Fórmula'!I64+'Fórmula'!K64))*(INDEX(properties!A$1:CB$87,'Fórmula'!D64,13))+(('Fórmula'!G64)/('Fórmula'!C64+'Fórmula'!E64+'Fórmula'!G64+'Fórmula'!I64+'Fórmula'!K64))*(INDEX(properties!A$1:CB$87,'Fórmula'!F64,13))+(('Fórmula'!I64)/('Fórmula'!C64+'Fórmula'!E64+'Fórmula'!G64+'Fórmula'!I64+'Fórmula'!K64))*(INDEX(properties!A$1:CB$87,'Fórmula'!H64,13))+(('Fórmula'!K64)/('Fórmula'!C64+'Fórmula'!E64+'Fórmula'!G64+'Fórmula'!I64+'Fórmula'!K64))*(INDEX(properties!A$1:CB$87,'Fórmula'!J64,13))</f>
        <v>0.07142857143</v>
      </c>
      <c r="AY64" s="109">
        <f t="array" ref="AY64">'Fórmula'!C64*(INDEX(properties!A$1:CB$87,'Fórmula'!B64,13))+'Fórmula'!E64*(INDEX(properties!A$1:CB$87,'Fórmula'!D64,13))+'Fórmula'!G64*(INDEX(properties!A$1:CB$87,'Fórmula'!F64,13))+'Fórmula'!I64*(INDEX(properties!A$1:CB$87,'Fórmula'!H64,13))+'Fórmula'!K64*(INDEX(properties!A$1:CB$87,'Fórmula'!J64,13))</f>
        <v>1</v>
      </c>
      <c r="AZ64" s="109">
        <f t="array" ref="AZ64">VARP(IF(INDEX(properties!A$1:CB$87,'Fórmula'!B64,13)&lt;&gt;"",INDEX(properties!A$1:CB$87,'Fórmula'!B64,13)),IF(INDEX(properties!A$1:CB$87,'Fórmula'!D64,13)&lt;&gt;"",INDEX(properties!A$1:CB$87,'Fórmula'!D64,13)),IF(INDEX(properties!A$1:CB$87,'Fórmula'!F64,13)&lt;&gt;"",INDEX(properties!A$1:CB$87,'Fórmula'!F64,13)),IF(INDEX(properties!A$1:CB$87,'Fórmula'!H64,13)&lt;&gt;"",INDEX(properties!A$1:CB$87,'Fórmula'!H64,13)),IF(INDEX(properties!A$1:CB$87,'Fórmula'!J64,13)&lt;&gt;"",INDEX(properties!A$1:CB$87,'Fórmula'!J64,13)))</f>
        <v>0.16</v>
      </c>
      <c r="BA64" s="109">
        <f t="array" ref="BA64">MAX(INDEX(properties!A$1:CB$87,'Fórmula'!B64,13),INDEX(properties!A$1:CB$87,'Fórmula'!D64,13),INDEX(properties!A$1:CB$87,'Fórmula'!F64,13),INDEX(properties!A$1:CB$87,'Fórmula'!H64,13),INDEX(properties!A$1:CB$87,'Fórmula'!J64,13))</f>
        <v>1</v>
      </c>
      <c r="BB64" s="109">
        <f t="array" ref="BB64">MIN(IF('Fórmula'!B64=87,10^6,INDEX(properties!A$1:CB$87,'Fórmula'!B64,13)),IF(('Fórmula'!D64)=87,10^6,INDEX(properties!A$1:CB$87,'Fórmula'!D64,13)),IF(('Fórmula'!F64)=87,10^6,INDEX(properties!A$1:CB$87,'Fórmula'!F64,13)),IF(('Fórmula'!H64)=87,10^6,INDEX(properties!A$1:CB$87,'Fórmula'!H64,13)),IF('Fórmula'!J64=87,10^6,INDEX(properties!A$1:CB$87,'Fórmula'!J64,13)))</f>
        <v>0</v>
      </c>
      <c r="BC64" s="109">
        <f t="shared" si="9"/>
        <v>1</v>
      </c>
      <c r="BD64" s="110">
        <f t="array" ref="BD64">(('Fórmula'!C64)/('Fórmula'!C64+'Fórmula'!E64+'Fórmula'!G64+'Fórmula'!I64+'Fórmula'!K64))*(INDEX(properties!A$1:CB$87,'Fórmula'!B64,14))+(('Fórmula'!E64)/('Fórmula'!C64+'Fórmula'!E64+'Fórmula'!G64+'Fórmula'!I64+'Fórmula'!K64))*(INDEX(properties!A$1:CB$87,'Fórmula'!D64,14))+(('Fórmula'!G64)/('Fórmula'!C64+'Fórmula'!E64+'Fórmula'!G64+'Fórmula'!I64+'Fórmula'!K64))*(INDEX(properties!A$1:CB$87,'Fórmula'!F64,14))+(('Fórmula'!I64)/('Fórmula'!C64+'Fórmula'!E64+'Fórmula'!G64+'Fórmula'!I64+'Fórmula'!K64))*(INDEX(properties!A$1:CB$87,'Fórmula'!H64,14))+(('Fórmula'!K64)/('Fórmula'!C64+'Fórmula'!E64+'Fórmula'!G64+'Fórmula'!I64+'Fórmula'!K64))*(INDEX(properties!A$1:CB$87,'Fórmula'!J64,14))</f>
        <v>0</v>
      </c>
      <c r="BE64" s="110">
        <f t="array" ref="BE64">'Fórmula'!C64*(INDEX(properties!A$1:CB$87,'Fórmula'!B64,14))+'Fórmula'!E64*(INDEX(properties!A$1:CB$87,'Fórmula'!D64,14))+'Fórmula'!G64*(INDEX(properties!A$1:CB$87,'Fórmula'!F64,14))+'Fórmula'!I64*(INDEX(properties!A$1:CB$87,'Fórmula'!H64,14))+'Fórmula'!K64*(INDEX(properties!A$1:CB$87,'Fórmula'!J64,14))</f>
        <v>0</v>
      </c>
      <c r="BF64" s="110">
        <f t="array" ref="BF64">VARP(IF(INDEX(properties!A$1:CB$87,'Fórmula'!B64,14)&lt;&gt;"",INDEX(properties!A$1:CB$87,'Fórmula'!B64,14)),IF(INDEX(properties!A$1:CB$87,'Fórmula'!D64,14)&lt;&gt;"",INDEX(properties!A$1:CB$87,'Fórmula'!D64,14)),IF(INDEX(properties!A$1:CB$87,'Fórmula'!F64,14)&lt;&gt;"",INDEX(properties!A$1:CB$87,'Fórmula'!F64,14)),IF(INDEX(properties!A$1:CB$87,'Fórmula'!H64,14)&lt;&gt;"",INDEX(properties!A$1:CB$87,'Fórmula'!H64,14)),IF(INDEX(properties!A$1:CB$87,'Fórmula'!J64,14)&lt;&gt;"",INDEX(properties!A$1:CB$87,'Fórmula'!J64,14)))</f>
        <v>0</v>
      </c>
      <c r="BG64" s="110">
        <f t="array" ref="BG64">MAX(INDEX(properties!A$1:CB$87,'Fórmula'!B64,14),INDEX(properties!A$1:CB$87,'Fórmula'!D64,14),INDEX(properties!A$1:CB$87,'Fórmula'!F64,14),INDEX(properties!A$1:CB$87,'Fórmula'!H64,14),INDEX(properties!A$1:CB$87,'Fórmula'!J64,14))</f>
        <v>0</v>
      </c>
      <c r="BH64" s="110">
        <f t="array" ref="BH64">MIN(IF('Fórmula'!B64=87,10^6,INDEX(properties!A$1:CB$87,'Fórmula'!B64,14)),IF(('Fórmula'!D64)=87,10^6,INDEX(properties!A$1:CB$87,'Fórmula'!D64,14)),IF(('Fórmula'!F64)=87,10^6,INDEX(properties!A$1:CB$87,'Fórmula'!F64,14)),IF(('Fórmula'!H64)=87,10^6,INDEX(properties!A$1:CB$87,'Fórmula'!H64,14)),IF('Fórmula'!J64=87,10^6,INDEX(properties!A$1:CB$87,'Fórmula'!J64,14)))</f>
        <v>0</v>
      </c>
      <c r="BI64" s="110">
        <f t="shared" si="10"/>
        <v>0</v>
      </c>
      <c r="BJ64" s="111">
        <f t="array" ref="BJ64">(('Fórmula'!C64)/('Fórmula'!C64+'Fórmula'!E64+'Fórmula'!G64+'Fórmula'!I64+'Fórmula'!K64))*(INDEX(properties!A$1:CB$87,'Fórmula'!B64,19))+(('Fórmula'!E64)/('Fórmula'!C64+'Fórmula'!E64+'Fórmula'!G64+'Fórmula'!I64+'Fórmula'!K64))*(INDEX(properties!A$1:CB$87,'Fórmula'!D64,19))+(('Fórmula'!G64)/('Fórmula'!C64+'Fórmula'!E64+'Fórmula'!G64+'Fórmula'!I64+'Fórmula'!K64))*(INDEX(properties!A$1:CB$87,'Fórmula'!F64,19))+(('Fórmula'!I64)/('Fórmula'!C64+'Fórmula'!E64+'Fórmula'!G64+'Fórmula'!I64+'Fórmula'!K64))*(INDEX(properties!A$1:CB$87,'Fórmula'!H64,19))+(('Fórmula'!K64)/('Fórmula'!C64+'Fórmula'!E64+'Fórmula'!G64+'Fórmula'!I64+'Fórmula'!K64))*(INDEX(properties!A$1:CB$87,'Fórmula'!J64,19))</f>
        <v>4.571428571</v>
      </c>
      <c r="BK64" s="111">
        <f t="array" ref="BK64">'Fórmula'!C64*(INDEX(properties!A$1:CB$87,'Fórmula'!B64,19))+'Fórmula'!E64*(INDEX(properties!A$1:CB$87,'Fórmula'!D64,19))+'Fórmula'!G64*(INDEX(properties!A$1:CB$87,'Fórmula'!F64,19))+'Fórmula'!I64*(INDEX(properties!A$1:CB$87,'Fórmula'!H64,19))+'Fórmula'!K64*(INDEX(properties!A$1:CB$87,'Fórmula'!J64,19))</f>
        <v>64</v>
      </c>
      <c r="BL64" s="111">
        <f t="array" ref="BL64">VARP(IF(INDEX(properties!A$1:CB$87,'Fórmula'!B64,19)&lt;&gt;"",INDEX(properties!A$1:CB$87,'Fórmula'!B64,19)),IF(INDEX(properties!A$1:CB$87,'Fórmula'!D64,19)&lt;&gt;"",INDEX(properties!A$1:CB$87,'Fórmula'!D64,19)),IF(INDEX(properties!A$1:CB$87,'Fórmula'!F64,19)&lt;&gt;"",INDEX(properties!A$1:CB$87,'Fórmula'!F64,19)),IF(INDEX(properties!A$1:CB$87,'Fórmula'!H64,19)&lt;&gt;"",INDEX(properties!A$1:CB$87,'Fórmula'!H64,19)),IF(INDEX(properties!A$1:CB$87,'Fórmula'!J64,19)&lt;&gt;"",INDEX(properties!A$1:CB$87,'Fórmula'!J64,19)))</f>
        <v>5.2</v>
      </c>
      <c r="BM64" s="111">
        <f t="array" ref="BM64">MAX(INDEX(properties!A$1:CB$87,'Fórmula'!B64,19),INDEX(properties!A$1:CB$87,'Fórmula'!D64,19),INDEX(properties!A$1:CB$87,'Fórmula'!F64,19),INDEX(properties!A$1:CB$87,'Fórmula'!H64,19),INDEX(properties!A$1:CB$87,'Fórmula'!J64,19))</f>
        <v>6</v>
      </c>
      <c r="BN64" s="111">
        <f t="array" ref="BN64">MIN(IF(INDEX(properties!A$1:CB$87,'Fórmula'!B64,19)=0,10^6,INDEX(properties!A$1:CB$87,'Fórmula'!B64,19)),IF(INDEX(properties!A$1:CB$87,'Fórmula'!D64,19)=0,10^6,INDEX(properties!A$1:CB$87,'Fórmula'!D64,19)),IF(INDEX(properties!A$1:CB$87,'Fórmula'!F64,19)=0,10^6,INDEX(properties!A$1:CB$87,'Fórmula'!F64,19)),IF(INDEX(properties!A$1:CB$87,'Fórmula'!H64,19)=0,10^6,INDEX(properties!A$1:CB$87,'Fórmula'!H64,19)),IF(INDEX(properties!A$1:CB$87,'Fórmula'!J64,19)=0,10^6,INDEX(properties!A$1:CB$87,'Fórmula'!J64,19)))</f>
        <v>1</v>
      </c>
      <c r="BO64" s="111">
        <f t="shared" si="11"/>
        <v>5</v>
      </c>
      <c r="BP64" s="112">
        <f t="array" ref="BP64">(('Fórmula'!C64)/('Fórmula'!C64+'Fórmula'!E64+'Fórmula'!G64+'Fórmula'!I64+'Fórmula'!K64))*(INDEX(properties!A$1:CB$87,'Fórmula'!B64,20))+(('Fórmula'!E64)/('Fórmula'!C64+'Fórmula'!E64+'Fórmula'!G64+'Fórmula'!I64+'Fórmula'!K64))*(INDEX(properties!A$1:CB$87,'Fórmula'!D64,20))+(('Fórmula'!G64)/('Fórmula'!C64+'Fórmula'!E64+'Fórmula'!G64+'Fórmula'!I64+'Fórmula'!K64))*(INDEX(properties!A$1:CB$87,'Fórmula'!F64,20))+(('Fórmula'!I64)/('Fórmula'!C64+'Fórmula'!E64+'Fórmula'!G64+'Fórmula'!I64+'Fórmula'!K64))*(INDEX(properties!A$1:CB$87,'Fórmula'!H64,20))+(('Fórmula'!K64)/('Fórmula'!C64+'Fórmula'!E64+'Fórmula'!G64+'Fórmula'!I64+'Fórmula'!K64))*(INDEX(properties!A$1:CB$87,'Fórmula'!J64,20))</f>
        <v>4.5</v>
      </c>
      <c r="BQ64" s="112">
        <f t="array" ref="BQ64">'Fórmula'!C64*(INDEX(properties!A$1:CB$87,'Fórmula'!B64,20))+'Fórmula'!E64*(INDEX(properties!A$1:CB$87,'Fórmula'!D64,20))+'Fórmula'!G64*(INDEX(properties!A$1:CB$87,'Fórmula'!F64,20))+'Fórmula'!I64*(INDEX(properties!A$1:CB$87,'Fórmula'!H64,20))+'Fórmula'!K64*(INDEX(properties!A$1:CB$87,'Fórmula'!J64,20))</f>
        <v>63</v>
      </c>
      <c r="BR64" s="112">
        <f t="array" ref="BR64">VARP(IF(INDEX(properties!A$1:CB$87,'Fórmula'!B64,20)&lt;&gt;"",INDEX(properties!A$1:CB$87,'Fórmula'!B64,20)),IF(INDEX(properties!A$1:CB$87,'Fórmula'!D64,20)&lt;&gt;"",INDEX(properties!A$1:CB$87,'Fórmula'!D64,20)),IF(INDEX(properties!A$1:CB$87,'Fórmula'!F64,20)&lt;&gt;"",INDEX(properties!A$1:CB$87,'Fórmula'!F64,20)),IF(INDEX(properties!A$1:CB$87,'Fórmula'!H64,20)&lt;&gt;"",INDEX(properties!A$1:CB$87,'Fórmula'!H64,20)),IF(INDEX(properties!A$1:CB$87,'Fórmula'!J64,20)&lt;&gt;"",INDEX(properties!A$1:CB$87,'Fórmula'!J64,20)))</f>
        <v>5.36</v>
      </c>
      <c r="BS64" s="112">
        <f t="array" ref="BS64">MAX(INDEX(properties!A$1:CB$87,'Fórmula'!B64,20),INDEX(properties!A$1:CB$87,'Fórmula'!D64,20),INDEX(properties!A$1:CB$87,'Fórmula'!F64,20),INDEX(properties!A$1:CB$87,'Fórmula'!H64,20),INDEX(properties!A$1:CB$87,'Fórmula'!J64,20))</f>
        <v>6</v>
      </c>
      <c r="BT64" s="112">
        <f t="array" ref="BT64">MIN(IF(INDEX(properties!A$1:CB$87,'Fórmula'!B64,20)=0,10^6,INDEX(properties!A$1:CB$87,'Fórmula'!B64,20)),IF(INDEX(properties!A$1:CB$87,'Fórmula'!D64,20)=0,10^6,INDEX(properties!A$1:CB$87,'Fórmula'!D64,20)),IF(INDEX(properties!A$1:CB$87,'Fórmula'!F64,20)=0,10^6,INDEX(properties!A$1:CB$87,'Fórmula'!F64,20)),IF(INDEX(properties!A$1:CB$87,'Fórmula'!H64,20)=0,10^6,INDEX(properties!A$1:CB$87,'Fórmula'!H64,20)),IF(INDEX(properties!A$1:CB$87,'Fórmula'!J64,20)=0,10^6,INDEX(properties!A$1:CB$87,'Fórmula'!J64,20)))</f>
        <v>1</v>
      </c>
      <c r="BU64" s="112">
        <f t="shared" si="12"/>
        <v>5</v>
      </c>
      <c r="BV64" s="113">
        <f t="array" ref="BV64">(('Fórmula'!C64)/('Fórmula'!C64+'Fórmula'!E64+'Fórmula'!G64+'Fórmula'!I64+'Fórmula'!K64))*(INDEX(properties!A$1:CB$87,'Fórmula'!B64,21))+(('Fórmula'!E64)/('Fórmula'!C64+'Fórmula'!E64+'Fórmula'!G64+'Fórmula'!I64+'Fórmula'!K64))*(INDEX(properties!A$1:CB$87,'Fórmula'!D64,21))+(('Fórmula'!G64)/('Fórmula'!C64+'Fórmula'!E64+'Fórmula'!G64+'Fórmula'!I64+'Fórmula'!K64))*(INDEX(properties!A$1:CB$87,'Fórmula'!F64,21))+(('Fórmula'!I64)/('Fórmula'!C64+'Fórmula'!E64+'Fórmula'!G64+'Fórmula'!I64+'Fórmula'!K64))*(INDEX(properties!A$1:CB$87,'Fórmula'!H64,21))+(('Fórmula'!K64)/('Fórmula'!C64+'Fórmula'!E64+'Fórmula'!G64+'Fórmula'!I64+'Fórmula'!K64))*(INDEX(properties!A$1:CB$87,'Fórmula'!J64,21))</f>
        <v>4.428571429</v>
      </c>
      <c r="BW64" s="113">
        <f t="array" ref="BW64">'Fórmula'!C64*(INDEX(properties!A$1:CB$87,'Fórmula'!B64,21))+'Fórmula'!E64*(INDEX(properties!A$1:CB$87,'Fórmula'!D64,21))+'Fórmula'!G64*(INDEX(properties!A$1:CB$87,'Fórmula'!F64,21))+'Fórmula'!I64*(INDEX(properties!A$1:CB$87,'Fórmula'!H64,21))+'Fórmula'!K64*(INDEX(properties!A$1:CB$87,'Fórmula'!J64,21))</f>
        <v>62</v>
      </c>
      <c r="BX64" s="113">
        <f t="array" ref="BX64">VARP(IF(INDEX(properties!A$1:CB$87,'Fórmula'!B64,21)&lt;&gt;"",INDEX(properties!A$1:CB$87,'Fórmula'!B64,21)),IF(INDEX(properties!A$1:CB$87,'Fórmula'!D64,21)&lt;&gt;"",INDEX(properties!A$1:CB$87,'Fórmula'!D64,21)),IF(INDEX(properties!A$1:CB$87,'Fórmula'!F64,21)&lt;&gt;"",INDEX(properties!A$1:CB$87,'Fórmula'!F64,21)),IF(INDEX(properties!A$1:CB$87,'Fórmula'!H64,21)&lt;&gt;"",INDEX(properties!A$1:CB$87,'Fórmula'!H64,21)),IF(INDEX(properties!A$1:CB$87,'Fórmula'!J64,21)&lt;&gt;"",INDEX(properties!A$1:CB$87,'Fórmula'!J64,21)))</f>
        <v>5.84</v>
      </c>
      <c r="BY64" s="113">
        <f t="array" ref="BY64">MAX(INDEX(properties!A$1:CB$87,'Fórmula'!B64,21),INDEX(properties!A$1:CB$87,'Fórmula'!D64,21),INDEX(properties!A$1:CB$87,'Fórmula'!F64,21),INDEX(properties!A$1:CB$87,'Fórmula'!H64,21),INDEX(properties!A$1:CB$87,'Fórmula'!J64,21))</f>
        <v>6</v>
      </c>
      <c r="BZ64" s="113">
        <f t="array" ref="BZ64">MIN(IF(INDEX(properties!A$1:CB$87,'Fórmula'!B64,21)=0,10^6,INDEX(properties!A$1:CB$87,'Fórmula'!B64,21)),IF(INDEX(properties!A$1:CB$87,'Fórmula'!D64,21)=0,10^6,INDEX(properties!A$1:CB$87,'Fórmula'!D64,21)),IF(INDEX(properties!A$1:CB$87,'Fórmula'!F64,21)=0,10^6,INDEX(properties!A$1:CB$87,'Fórmula'!F64,21)),IF(INDEX(properties!A$1:CB$87,'Fórmula'!H64,21)=0,10^6,INDEX(properties!A$1:CB$87,'Fórmula'!H64,21)),IF(INDEX(properties!A$1:CB$87,'Fórmula'!J64,21)=0,10^6,INDEX(properties!A$1:CB$87,'Fórmula'!J64,21)))</f>
        <v>1</v>
      </c>
      <c r="CA64" s="113">
        <f t="shared" si="13"/>
        <v>5</v>
      </c>
      <c r="CB64" s="114">
        <f t="array" ref="CB64">(('Fórmula'!C64)/('Fórmula'!C64+'Fórmula'!E64+'Fórmula'!G64+'Fórmula'!I64+'Fórmula'!K64))*(INDEX(properties!A$1:CB$87,'Fórmula'!B64,23))+(('Fórmula'!E64)/('Fórmula'!C64+'Fórmula'!E64+'Fórmula'!G64+'Fórmula'!I64+'Fórmula'!K64))*(INDEX(properties!A$1:CB$87,'Fórmula'!D64,23))+(('Fórmula'!G64)/('Fórmula'!C64+'Fórmula'!E64+'Fórmula'!G64+'Fórmula'!I64+'Fórmula'!K64))*(INDEX(properties!A$1:CB$87,'Fórmula'!F64,23))+(('Fórmula'!I64)/('Fórmula'!C64+'Fórmula'!E64+'Fórmula'!G64+'Fórmula'!I64+'Fórmula'!K64))*(INDEX(properties!A$1:CB$87,'Fórmula'!H64,23))+(('Fórmula'!K64)/('Fórmula'!C64+'Fórmula'!E64+'Fórmula'!G64+'Fórmula'!I64+'Fórmula'!K64))*(INDEX(properties!A$1:CB$87,'Fórmula'!J64,23))</f>
        <v>0.8571428571</v>
      </c>
      <c r="CC64" s="114">
        <f t="array" ref="CC64">'Fórmula'!C64*(INDEX(properties!A$1:CB$87,'Fórmula'!B64,23))+'Fórmula'!E64*(INDEX(properties!A$1:CB$87,'Fórmula'!D64,23))+'Fórmula'!G64*(INDEX(properties!A$1:CB$87,'Fórmula'!F64,23))+'Fórmula'!I64*(INDEX(properties!A$1:CB$87,'Fórmula'!H64,23))+'Fórmula'!K64*(INDEX(properties!A$1:CB$87,'Fórmula'!J64,23))</f>
        <v>12</v>
      </c>
      <c r="CD64" s="114">
        <f t="array" ref="CD64">VARP(IF(INDEX(properties!A$1:CB$87,'Fórmula'!B64,23)&lt;&gt;"",INDEX(properties!A$1:CB$87,'Fórmula'!B64,23)),IF(INDEX(properties!A$1:CB$87,'Fórmula'!D64,23)&lt;&gt;"",INDEX(properties!A$1:CB$87,'Fórmula'!D64,23)),IF(INDEX(properties!A$1:CB$87,'Fórmula'!F64,23)&lt;&gt;"",INDEX(properties!A$1:CB$87,'Fórmula'!F64,23)),IF(INDEX(properties!A$1:CB$87,'Fórmula'!H64,23)&lt;&gt;"",INDEX(properties!A$1:CB$87,'Fórmula'!H64,23)),IF(INDEX(properties!A$1:CB$87,'Fórmula'!J64,23)&lt;&gt;"",INDEX(properties!A$1:CB$87,'Fórmula'!J64,23)))</f>
        <v>1.84</v>
      </c>
      <c r="CE64" s="114">
        <f t="array" ref="CE64">MAX(INDEX(properties!A$1:CB$87,'Fórmula'!B64,23),INDEX(properties!A$1:CB$87,'Fórmula'!D64,23),INDEX(properties!A$1:CB$87,'Fórmula'!F64,23),INDEX(properties!A$1:CB$87,'Fórmula'!H64,23),INDEX(properties!A$1:CB$87,'Fórmula'!J64,23))</f>
        <v>3</v>
      </c>
      <c r="CF64" s="114">
        <f t="array" ref="CF64">MIN(IF('Fórmula'!B64=87,10^6,INDEX(properties!A$1:CB$87,'Fórmula'!B64,23)),IF(('Fórmula'!D64)=87,10^6,INDEX(properties!A$1:CB$87,'Fórmula'!D64,23)),IF(('Fórmula'!F64)=87,10^6,INDEX(properties!A$1:CB$87,'Fórmula'!F64,23)),IF(('Fórmula'!H64)=87,10^6,INDEX(properties!A$1:CB$87,'Fórmula'!H64,23)),IF('Fórmula'!J64=87,10^6,INDEX(properties!A$1:CB$87,'Fórmula'!J64,23)))</f>
        <v>0</v>
      </c>
      <c r="CG64" s="114">
        <f t="shared" si="14"/>
        <v>3</v>
      </c>
      <c r="CH64" s="115">
        <f t="array" ref="CH64">(('Fórmula'!C64)/('Fórmula'!C64+'Fórmula'!E64+'Fórmula'!G64+'Fórmula'!I64+'Fórmula'!K64))*(INDEX(properties!A$1:CB$87,'Fórmula'!B64,26))+(('Fórmula'!E64)/('Fórmula'!C64+'Fórmula'!E64+'Fórmula'!G64+'Fórmula'!I64+'Fórmula'!K64))*(INDEX(properties!A$1:CB$87,'Fórmula'!D64,26))+(('Fórmula'!G64)/('Fórmula'!C64+'Fórmula'!E64+'Fórmula'!G64+'Fórmula'!I64+'Fórmula'!K64))*(INDEX(properties!A$1:CB$87,'Fórmula'!F64,26))+(('Fórmula'!I64)/('Fórmula'!C64+'Fórmula'!E64+'Fórmula'!G64+'Fórmula'!I64+'Fórmula'!K64))*(INDEX(properties!A$1:CB$87,'Fórmula'!H64,26))+(('Fórmula'!K64)/('Fórmula'!C64+'Fórmula'!E64+'Fórmula'!G64+'Fórmula'!I64+'Fórmula'!K64))*(INDEX(properties!A$1:CB$87,'Fórmula'!J64,26))</f>
        <v>10.60837143</v>
      </c>
      <c r="CI64" s="115">
        <f t="array" ref="CI64">'Fórmula'!C64*(INDEX(properties!A$1:CB$87,'Fórmula'!B64,26))+'Fórmula'!E64*(INDEX(properties!A$1:CB$87,'Fórmula'!D64,26))+'Fórmula'!G64*(INDEX(properties!A$1:CB$87,'Fórmula'!F64,26))+'Fórmula'!I64*(INDEX(properties!A$1:CB$87,'Fórmula'!H64,26))+'Fórmula'!K64*(INDEX(properties!A$1:CB$87,'Fórmula'!J64,26))</f>
        <v>148.5172</v>
      </c>
      <c r="CJ64" s="115">
        <f t="array" ref="CJ64">VARP(IF(INDEX(properties!A$1:CB$87,'Fórmula'!B64,26)&lt;&gt;"",INDEX(properties!A$1:CB$87,'Fórmula'!B64,26)),IF(INDEX(properties!A$1:CB$87,'Fórmula'!D64,26)&lt;&gt;"",INDEX(properties!A$1:CB$87,'Fórmula'!D64,26)),IF(INDEX(properties!A$1:CB$87,'Fórmula'!F64,26)&lt;&gt;"",INDEX(properties!A$1:CB$87,'Fórmula'!F64,26)),IF(INDEX(properties!A$1:CB$87,'Fórmula'!H64,26)&lt;&gt;"",INDEX(properties!A$1:CB$87,'Fórmula'!H64,26)),IF(INDEX(properties!A$1:CB$87,'Fórmula'!J64,26)&lt;&gt;"",INDEX(properties!A$1:CB$87,'Fórmula'!J64,26)))</f>
        <v>22.77245485</v>
      </c>
      <c r="CK64" s="116">
        <f t="array" ref="CK64">MAX(INDEX(properties!A$1:CB$87,'Fórmula'!B64,26),INDEX(properties!A$1:CB$87,'Fórmula'!D64,26),INDEX(properties!A$1:CB$87,'Fórmula'!F64,26),INDEX(properties!A$1:CB$87,'Fórmula'!H64,26),INDEX(properties!A$1:CB$87,'Fórmula'!J64,26))</f>
        <v>13.6181</v>
      </c>
      <c r="CL64" s="116">
        <f t="array" ref="CL64">MIN(IF(INDEX(properties!A$1:CB$87,'Fórmula'!B64,26)=0,10^6,INDEX(properties!A$1:CB$87,'Fórmula'!B64,26)),IF(INDEX(properties!A$1:CB$87,'Fórmula'!D64,26)=0,10^6,INDEX(properties!A$1:CB$87,'Fórmula'!D64,26)),IF(INDEX(properties!A$1:CB$87,'Fórmula'!F64,26)=0,10^6,INDEX(properties!A$1:CB$87,'Fórmula'!F64,26)),IF(INDEX(properties!A$1:CB$87,'Fórmula'!H64,26)=0,10^6,INDEX(properties!A$1:CB$87,'Fórmula'!H64,26)),IF(INDEX(properties!A$1:CB$87,'Fórmula'!J64,26)=0,10^6,INDEX(properties!A$1:CB$87,'Fórmula'!J64,26)))</f>
        <v>4.3407</v>
      </c>
      <c r="CM64" s="115">
        <f t="shared" si="15"/>
        <v>9.2774</v>
      </c>
      <c r="CN64" s="117">
        <f t="array" ref="CN64">(('Fórmula'!C64)/('Fórmula'!C64+'Fórmula'!E64+'Fórmula'!G64+'Fórmula'!I64+'Fórmula'!K64))*(INDEX(properties!A$1:CB$87,'Fórmula'!B64,30))+(('Fórmula'!E64)/('Fórmula'!C64+'Fórmula'!E64+'Fórmula'!G64+'Fórmula'!I64+'Fórmula'!K64))*(INDEX(properties!A$1:CB$87,'Fórmula'!D64,30))+(('Fórmula'!G64)/('Fórmula'!C64+'Fórmula'!E64+'Fórmula'!G64+'Fórmula'!I64+'Fórmula'!K64))*(INDEX(properties!A$1:CB$87,'Fórmula'!F64,30))+(('Fórmula'!I64)/('Fórmula'!C64+'Fórmula'!E64+'Fórmula'!G64+'Fórmula'!I64+'Fórmula'!K64))*(INDEX(properties!A$1:CB$87,'Fórmula'!H64,30))+(('Fórmula'!K64)/('Fórmula'!C64+'Fórmula'!E64+'Fórmula'!G64+'Fórmula'!I64+'Fórmula'!K64))*(INDEX(properties!A$1:CB$87,'Fórmula'!J64,30))</f>
        <v>2.532857143</v>
      </c>
      <c r="CO64" s="117">
        <f t="array" ref="CO64">'Fórmula'!C64*(INDEX(properties!A$1:CB$87,'Fórmula'!B64,30))+'Fórmula'!E64*(INDEX(properties!A$1:CB$87,'Fórmula'!D64,30))+'Fórmula'!G64*(INDEX(properties!A$1:CB$87,'Fórmula'!F64,30))+'Fórmula'!I64*(INDEX(properties!A$1:CB$87,'Fórmula'!H64,30))+'Fórmula'!K64*(INDEX(properties!A$1:CB$87,'Fórmula'!J64,30))</f>
        <v>35.46</v>
      </c>
      <c r="CP64" s="117">
        <f t="array" ref="CP64">VARP(IF(INDEX(properties!A$1:CB$87,'Fórmula'!B64,30)&lt;&gt;"",INDEX(properties!A$1:CB$87,'Fórmula'!B64,30)),IF(INDEX(properties!A$1:CB$87,'Fórmula'!D64,30)&lt;&gt;"",INDEX(properties!A$1:CB$87,'Fórmula'!D64,30)),IF(INDEX(properties!A$1:CB$87,'Fórmula'!F64,30)&lt;&gt;"",INDEX(properties!A$1:CB$87,'Fórmula'!F64,30)),IF(INDEX(properties!A$1:CB$87,'Fórmula'!H64,30)&lt;&gt;"",INDEX(properties!A$1:CB$87,'Fórmula'!H64,30)),IF(INDEX(properties!A$1:CB$87,'Fórmula'!J64,30)&lt;&gt;"",INDEX(properties!A$1:CB$87,'Fórmula'!J64,30)))</f>
        <v>1.42232</v>
      </c>
      <c r="CQ64" s="117">
        <f t="array" ref="CQ64">MAX(INDEX(properties!A$1:CB$87,'Fórmula'!B64,30),INDEX(properties!A$1:CB$87,'Fórmula'!D64,30),INDEX(properties!A$1:CB$87,'Fórmula'!F64,30),INDEX(properties!A$1:CB$87,'Fórmula'!H64,30),INDEX(properties!A$1:CB$87,'Fórmula'!J64,30))</f>
        <v>3.44</v>
      </c>
      <c r="CR64" s="117">
        <f t="array" ref="CR64">MIN(IF(INDEX(properties!A$1:CB$87,'Fórmula'!B64,30)=0,10^6,INDEX(properties!A$1:CB$87,'Fórmula'!B64,30)),IF(INDEX(properties!A$1:CB$87,'Fórmula'!D64,30)=0,10^6,INDEX(properties!A$1:CB$87,'Fórmula'!D64,30)),IF(INDEX(properties!A$1:CB$87,'Fórmula'!F64,30)=0,10^6,INDEX(properties!A$1:CB$87,'Fórmula'!F64,30)),IF(INDEX(properties!A$1:CB$87,'Fórmula'!H64,30)=0,10^6,INDEX(properties!A$1:CB$87,'Fórmula'!H64,30)),IF(INDEX(properties!A$1:CB$87,'Fórmula'!J64,30)=0,10^6,INDEX(properties!A$1:CB$87,'Fórmula'!J64,30)))</f>
        <v>0.82</v>
      </c>
      <c r="CS64" s="117">
        <f t="shared" si="16"/>
        <v>2.62</v>
      </c>
      <c r="CT64" s="118">
        <f t="array" ref="CT64">(('Fórmula'!C64)/('Fórmula'!C64+'Fórmula'!E64+'Fórmula'!G64+'Fórmula'!I64+'Fórmula'!K64))*(INDEX(properties!A$1:CB$87,'Fórmula'!B64,31))+(('Fórmula'!E64)/('Fórmula'!C64+'Fórmula'!E64+'Fórmula'!G64+'Fórmula'!I64+'Fórmula'!K64))*(INDEX(properties!A$1:CB$87,'Fórmula'!D64,31))+(('Fórmula'!G64)/('Fórmula'!C64+'Fórmula'!E64+'Fórmula'!G64+'Fórmula'!I64+'Fórmula'!K64))*(INDEX(properties!A$1:CB$87,'Fórmula'!F64,31))+(('Fórmula'!I64)/('Fórmula'!C64+'Fórmula'!E64+'Fórmula'!G64+'Fórmula'!I64+'Fórmula'!K64))*(INDEX(properties!A$1:CB$87,'Fórmula'!H64,31))+(('Fórmula'!K64)/('Fórmula'!C64+'Fórmula'!E64+'Fórmula'!G64+'Fórmula'!I64+'Fórmula'!K64))*(INDEX(properties!A$1:CB$87,'Fórmula'!J64,31))</f>
        <v>2.496428571</v>
      </c>
      <c r="CU64" s="118">
        <f t="array" ref="CU64">'Fórmula'!C64*(INDEX(properties!A$1:CB$87,'Fórmula'!B64,31))+'Fórmula'!E64*(INDEX(properties!A$1:CB$87,'Fórmula'!D64,31))+'Fórmula'!G64*(INDEX(properties!A$1:CB$87,'Fórmula'!F64,31))+'Fórmula'!I64*(INDEX(properties!A$1:CB$87,'Fórmula'!H64,31))+'Fórmula'!K64*(INDEX(properties!A$1:CB$87,'Fórmula'!J64,31))</f>
        <v>34.95</v>
      </c>
      <c r="CV64" s="118">
        <f t="array" ref="CV64">VARP(IF(INDEX(properties!A$1:CB$87,'Fórmula'!B64,31)&lt;&gt;"",INDEX(properties!A$1:CB$87,'Fórmula'!B64,31)),IF(INDEX(properties!A$1:CB$87,'Fórmula'!D64,31)&lt;&gt;"",INDEX(properties!A$1:CB$87,'Fórmula'!D64,31)),IF(INDEX(properties!A$1:CB$87,'Fórmula'!F64,31)&lt;&gt;"",INDEX(properties!A$1:CB$87,'Fórmula'!F64,31)),IF(INDEX(properties!A$1:CB$87,'Fórmula'!H64,31)&lt;&gt;"",INDEX(properties!A$1:CB$87,'Fórmula'!H64,31)),IF(INDEX(properties!A$1:CB$87,'Fórmula'!J64,31)&lt;&gt;"",INDEX(properties!A$1:CB$87,'Fórmula'!J64,31)))</f>
        <v>1.346096</v>
      </c>
      <c r="CW64" s="118">
        <f t="array" ref="CW64">MAX(INDEX(properties!A$1:CB$87,'Fórmula'!B64,31),INDEX(properties!A$1:CB$87,'Fórmula'!D64,31),INDEX(properties!A$1:CB$87,'Fórmula'!F64,31),INDEX(properties!A$1:CB$87,'Fórmula'!H64,31),INDEX(properties!A$1:CB$87,'Fórmula'!J64,31))</f>
        <v>3.32</v>
      </c>
      <c r="CX64" s="118">
        <f t="array" ref="CX64">MIN(IF(INDEX(properties!A$1:CB$87,'Fórmula'!B64,31)=0,10^6,INDEX(properties!A$1:CB$87,'Fórmula'!B64,31)),IF(INDEX(properties!A$1:CB$87,'Fórmula'!D64,31)=0,10^6,INDEX(properties!A$1:CB$87,'Fórmula'!D64,31)),IF(INDEX(properties!A$1:CB$87,'Fórmula'!F64,31)=0,10^6,INDEX(properties!A$1:CB$87,'Fórmula'!F64,31)),IF(INDEX(properties!A$1:CB$87,'Fórmula'!H64,31)=0,10^6,INDEX(properties!A$1:CB$87,'Fórmula'!H64,31)),IF(INDEX(properties!A$1:CB$87,'Fórmula'!J64,31)=0,10^6,INDEX(properties!A$1:CB$87,'Fórmula'!J64,31)))</f>
        <v>0.8</v>
      </c>
      <c r="CY64" s="118">
        <f t="shared" si="17"/>
        <v>2.52</v>
      </c>
      <c r="CZ64" s="119">
        <f t="array" ref="CZ64">(('Fórmula'!C64)/('Fórmula'!C64+'Fórmula'!E64+'Fórmula'!G64+'Fórmula'!I64+'Fórmula'!K64))*(INDEX(properties!A$1:CB$87,'Fórmula'!B64,32))+(('Fórmula'!E64)/('Fórmula'!C64+'Fórmula'!E64+'Fórmula'!G64+'Fórmula'!I64+'Fórmula'!K64))*(INDEX(properties!A$1:CB$87,'Fórmula'!D64,32))+(('Fórmula'!G64)/('Fórmula'!C64+'Fórmula'!E64+'Fórmula'!G64+'Fórmula'!I64+'Fórmula'!K64))*(INDEX(properties!A$1:CB$87,'Fórmula'!F64,32))+(('Fórmula'!I64)/('Fórmula'!C64+'Fórmula'!E64+'Fórmula'!G64+'Fórmula'!I64+'Fórmula'!K64))*(INDEX(properties!A$1:CB$87,'Fórmula'!H64,32))+(('Fórmula'!K64)/('Fórmula'!C64+'Fórmula'!E64+'Fórmula'!G64+'Fórmula'!I64+'Fórmula'!K64))*(INDEX(properties!A$1:CB$87,'Fórmula'!J64,32))</f>
        <v>5.851428571</v>
      </c>
      <c r="DA64" s="119">
        <f t="array" ref="DA64">'Fórmula'!C64*(INDEX(properties!A$1:CB$87,'Fórmula'!B64,32))+'Fórmula'!E64*(INDEX(properties!A$1:CB$87,'Fórmula'!D64,32))+'Fórmula'!G64*(INDEX(properties!A$1:CB$87,'Fórmula'!F64,32))+'Fórmula'!I64*(INDEX(properties!A$1:CB$87,'Fórmula'!H64,32))+'Fórmula'!K64*(INDEX(properties!A$1:CB$87,'Fórmula'!J64,32))</f>
        <v>81.92</v>
      </c>
      <c r="DB64" s="119">
        <f t="array" ref="DB64">VARP(IF(INDEX(properties!A$1:CB$87,'Fórmula'!B64,32)&lt;&gt;"",INDEX(properties!A$1:CB$87,'Fórmula'!B64,32)),IF(INDEX(properties!A$1:CB$87,'Fórmula'!D64,32)&lt;&gt;"",INDEX(properties!A$1:CB$87,'Fórmula'!D64,32)),IF(INDEX(properties!A$1:CB$87,'Fórmula'!F64,32)&lt;&gt;"",INDEX(properties!A$1:CB$87,'Fórmula'!F64,32)),IF(INDEX(properties!A$1:CB$87,'Fórmula'!H64,32)&lt;&gt;"",INDEX(properties!A$1:CB$87,'Fórmula'!H64,32)),IF(INDEX(properties!A$1:CB$87,'Fórmula'!J64,32)&lt;&gt;"",INDEX(properties!A$1:CB$87,'Fórmula'!J64,32)))</f>
        <v>6.822784</v>
      </c>
      <c r="DC64" s="119">
        <f t="array" ref="DC64">MAX(INDEX(properties!A$1:CB$87,'Fórmula'!B64,32),INDEX(properties!A$1:CB$87,'Fórmula'!D64,32),INDEX(properties!A$1:CB$87,'Fórmula'!F64,32),INDEX(properties!A$1:CB$87,'Fórmula'!H64,32),INDEX(properties!A$1:CB$87,'Fórmula'!J64,32))</f>
        <v>7.54</v>
      </c>
      <c r="DD64" s="119">
        <f t="array" ref="DD64">MIN(IF(INDEX(properties!A$1:CB$87,'Fórmula'!B64,32)=0,10^6,INDEX(properties!A$1:CB$87,'Fórmula'!B64,32)),IF(INDEX(properties!A$1:CB$87,'Fórmula'!D64,32)=0,10^6,INDEX(properties!A$1:CB$87,'Fórmula'!D64,32)),IF(INDEX(properties!A$1:CB$87,'Fórmula'!F64,32)=0,10^6,INDEX(properties!A$1:CB$87,'Fórmula'!F64,32)),IF(INDEX(properties!A$1:CB$87,'Fórmula'!H64,32)=0,10^6,INDEX(properties!A$1:CB$87,'Fórmula'!H64,32)),IF(INDEX(properties!A$1:CB$87,'Fórmula'!J64,32)=0,10^6,INDEX(properties!A$1:CB$87,'Fórmula'!J64,32)))</f>
        <v>2.42</v>
      </c>
      <c r="DE64" s="119">
        <f t="shared" si="18"/>
        <v>5.12</v>
      </c>
      <c r="DF64" s="104">
        <f t="array" ref="DF64">(('Fórmula'!C64)/('Fórmula'!C64+'Fórmula'!E64+'Fórmula'!G64+'Fórmula'!I64+'Fórmula'!K64))*(INDEX(properties!A$1:CB$87,'Fórmula'!B64,34))+(('Fórmula'!E64)/('Fórmula'!C64+'Fórmula'!E64+'Fórmula'!G64+'Fórmula'!I64+'Fórmula'!K64))*(INDEX(properties!A$1:CB$87,'Fórmula'!D64,34))+(('Fórmula'!G64)/('Fórmula'!C64+'Fórmula'!E64+'Fórmula'!G64+'Fórmula'!I64+'Fórmula'!K64))*(INDEX(properties!A$1:CB$87,'Fórmula'!F64,34))+(('Fórmula'!I64)/('Fórmula'!C64+'Fórmula'!E64+'Fórmula'!G64+'Fórmula'!I64+'Fórmula'!K64))*(INDEX(properties!A$1:CB$87,'Fórmula'!H64,34))+(('Fórmula'!K64)/('Fórmula'!C64+'Fórmula'!E64+'Fórmula'!G64+'Fórmula'!I64+'Fórmula'!K64))*(INDEX(properties!A$1:CB$87,'Fórmula'!J64,34))</f>
        <v>2.619857143</v>
      </c>
      <c r="DG64" s="104">
        <f t="array" ref="DG64">'Fórmula'!C64*(INDEX(properties!A$1:CB$87,'Fórmula'!B64,34))+'Fórmula'!E64*(INDEX(properties!A$1:CB$87,'Fórmula'!D64,34))+'Fórmula'!G64*(INDEX(properties!A$1:CB$87,'Fórmula'!F64,34))+'Fórmula'!I64*(INDEX(properties!A$1:CB$87,'Fórmula'!H64,34))+'Fórmula'!K64*(INDEX(properties!A$1:CB$87,'Fórmula'!J64,34))</f>
        <v>36.678</v>
      </c>
      <c r="DH64" s="104">
        <f t="array" ref="DH64">VARP(IF(INDEX(properties!A$1:CB$87,'Fórmula'!B64,34)&lt;&gt;"",INDEX(properties!A$1:CB$87,'Fórmula'!B64,34)),IF(INDEX(properties!A$1:CB$87,'Fórmula'!D64,34)&lt;&gt;"",INDEX(properties!A$1:CB$87,'Fórmula'!D64,34)),IF(INDEX(properties!A$1:CB$87,'Fórmula'!F64,34)&lt;&gt;"",INDEX(properties!A$1:CB$87,'Fórmula'!F64,34)),IF(INDEX(properties!A$1:CB$87,'Fórmula'!H64,34)&lt;&gt;"",INDEX(properties!A$1:CB$87,'Fórmula'!H64,34)),IF(INDEX(properties!A$1:CB$87,'Fórmula'!J64,34)&lt;&gt;"",INDEX(properties!A$1:CB$87,'Fórmula'!J64,34)))</f>
        <v>1.60339424</v>
      </c>
      <c r="DI64" s="104">
        <f t="array" ref="DI64">MAX(INDEX(properties!A$1:CB$87,'Fórmula'!B64,34),INDEX(properties!A$1:CB$87,'Fórmula'!D64,34),INDEX(properties!A$1:CB$87,'Fórmula'!F64,34),INDEX(properties!A$1:CB$87,'Fórmula'!H64,34),INDEX(properties!A$1:CB$87,'Fórmula'!J64,34))</f>
        <v>3.61</v>
      </c>
      <c r="DJ64" s="104">
        <f t="array" ref="DJ64">MIN(IF(INDEX(properties!A$1:CB$87,'Fórmula'!B64,34)=0,10^6,INDEX(properties!A$1:CB$87,'Fórmula'!B64,34)),IF(INDEX(properties!A$1:CB$87,'Fórmula'!D64,34)=0,10^6,INDEX(properties!A$1:CB$87,'Fórmula'!D64,34)),IF(INDEX(properties!A$1:CB$87,'Fórmula'!F64,34)=0,10^6,INDEX(properties!A$1:CB$87,'Fórmula'!F64,34)),IF(INDEX(properties!A$1:CB$87,'Fórmula'!H64,34)=0,10^6,INDEX(properties!A$1:CB$87,'Fórmula'!H64,34)),IF(INDEX(properties!A$1:CB$87,'Fórmula'!J64,34)=0,10^6,INDEX(properties!A$1:CB$87,'Fórmula'!J64,34)))</f>
        <v>0.734</v>
      </c>
      <c r="DK64" s="104">
        <f t="shared" si="19"/>
        <v>2.876</v>
      </c>
      <c r="DL64" s="105">
        <f t="array" ref="DL64">(('Fórmula'!C64)/('Fórmula'!C64+'Fórmula'!E64+'Fórmula'!G64+'Fórmula'!I64+'Fórmula'!K64))*(INDEX(properties!A$1:CB$87,'Fórmula'!B64,37))+(('Fórmula'!E64)/('Fórmula'!C64+'Fórmula'!E64+'Fórmula'!G64+'Fórmula'!I64+'Fórmula'!K64))*(INDEX(properties!A$1:CB$87,'Fórmula'!D64,37))+(('Fórmula'!G64)/('Fórmula'!C64+'Fórmula'!E64+'Fórmula'!G64+'Fórmula'!I64+'Fórmula'!K64))*(INDEX(properties!A$1:CB$87,'Fórmula'!F64,37))+(('Fórmula'!I64)/('Fórmula'!C64+'Fórmula'!E64+'Fórmula'!G64+'Fórmula'!I64+'Fórmula'!K64))*(INDEX(properties!A$1:CB$87,'Fórmula'!H64,37))+(('Fórmula'!K64)/('Fórmula'!C64+'Fórmula'!E64+'Fórmula'!G64+'Fórmula'!I64+'Fórmula'!K64))*(INDEX(properties!A$1:CB$87,'Fórmula'!J64,37))</f>
        <v>2.528571429</v>
      </c>
      <c r="DM64" s="105">
        <f t="array" ref="DM64">'Fórmula'!C64*(INDEX(properties!A$1:CB$87,'Fórmula'!B64,37))+'Fórmula'!E64*(INDEX(properties!A$1:CB$87,'Fórmula'!D64,37))+'Fórmula'!G64*(INDEX(properties!A$1:CB$87,'Fórmula'!F64,37))+'Fórmula'!I64*(INDEX(properties!A$1:CB$87,'Fórmula'!H64,37))+'Fórmula'!K64*(INDEX(properties!A$1:CB$87,'Fórmula'!J64,37))</f>
        <v>35.4</v>
      </c>
      <c r="DN64" s="105">
        <f t="array" ref="DN64">VARP(IF(INDEX(properties!A$1:CB$87,'Fórmula'!B64,37)&lt;&gt;"",INDEX(properties!A$1:CB$87,'Fórmula'!B64,37)),IF(INDEX(properties!A$1:CB$87,'Fórmula'!D64,37)&lt;&gt;"",INDEX(properties!A$1:CB$87,'Fórmula'!D64,37)),IF(INDEX(properties!A$1:CB$87,'Fórmula'!F64,37)&lt;&gt;"",INDEX(properties!A$1:CB$87,'Fórmula'!F64,37)),IF(INDEX(properties!A$1:CB$87,'Fórmula'!H64,37)&lt;&gt;"",INDEX(properties!A$1:CB$87,'Fórmula'!H64,37)),IF(INDEX(properties!A$1:CB$87,'Fórmula'!J64,37)&lt;&gt;"",INDEX(properties!A$1:CB$87,'Fórmula'!J64,37)))</f>
        <v>1.3984</v>
      </c>
      <c r="DO64" s="105">
        <f t="array" ref="DO64">MAX(INDEX(properties!A$1:CB$87,'Fórmula'!B64,37),INDEX(properties!A$1:CB$87,'Fórmula'!D64,37),INDEX(properties!A$1:CB$87,'Fórmula'!F64,37),INDEX(properties!A$1:CB$87,'Fórmula'!H64,37),INDEX(properties!A$1:CB$87,'Fórmula'!J64,37))</f>
        <v>3.45</v>
      </c>
      <c r="DP64" s="105">
        <f t="array" ref="DP64">MIN(IF(INDEX(properties!A$1:CB$87,'Fórmula'!B64,37)=0,10^6,INDEX(properties!A$1:CB$87,'Fórmula'!B64,37)),IF(INDEX(properties!A$1:CB$87,'Fórmula'!D64,37)=0,10^6,INDEX(properties!A$1:CB$87,'Fórmula'!D64,37)),IF(INDEX(properties!A$1:CB$87,'Fórmula'!F64,37)=0,10^6,INDEX(properties!A$1:CB$87,'Fórmula'!F64,37)),IF(INDEX(properties!A$1:CB$87,'Fórmula'!H64,37)=0,10^6,INDEX(properties!A$1:CB$87,'Fórmula'!H64,37)),IF(INDEX(properties!A$1:CB$87,'Fórmula'!J64,37)=0,10^6,INDEX(properties!A$1:CB$87,'Fórmula'!J64,37)))</f>
        <v>0.8</v>
      </c>
      <c r="DQ64" s="105">
        <f t="shared" si="20"/>
        <v>2.65</v>
      </c>
      <c r="DR64" s="109">
        <f t="array" ref="DR64">(('Fórmula'!C64)/('Fórmula'!C64+'Fórmula'!E64+'Fórmula'!G64+'Fórmula'!I64+'Fórmula'!K64))*(INDEX(properties!A$1:CB$87,'Fórmula'!B64,39))+(('Fórmula'!E64)/('Fórmula'!C64+'Fórmula'!E64+'Fórmula'!G64+'Fórmula'!I64+'Fórmula'!K64))*(INDEX(properties!A$1:CB$87,'Fórmula'!D64,39))+(('Fórmula'!G64)/('Fórmula'!C64+'Fórmula'!E64+'Fórmula'!G64+'Fórmula'!I64+'Fórmula'!K64))*(INDEX(properties!A$1:CB$87,'Fórmula'!F64,39))+(('Fórmula'!I64)/('Fórmula'!C64+'Fórmula'!E64+'Fórmula'!G64+'Fórmula'!I64+'Fórmula'!K64))*(INDEX(properties!A$1:CB$87,'Fórmula'!H64,39))+(('Fórmula'!K64)/('Fórmula'!C64+'Fórmula'!E64+'Fórmula'!G64+'Fórmula'!I64+'Fórmula'!K64))*(INDEX(properties!A$1:CB$87,'Fórmula'!J64,39))</f>
        <v>1.074285714</v>
      </c>
      <c r="DS64" s="109">
        <f t="array" ref="DS64">'Fórmula'!C64*(INDEX(properties!A$1:CB$87,'Fórmula'!B64,39))+'Fórmula'!E64*(INDEX(properties!A$1:CB$87,'Fórmula'!D64,39))+'Fórmula'!G64*(INDEX(properties!A$1:CB$87,'Fórmula'!F64,39))+'Fórmula'!I64*(INDEX(properties!A$1:CB$87,'Fórmula'!H64,39))+'Fórmula'!K64*(INDEX(properties!A$1:CB$87,'Fórmula'!J64,39))</f>
        <v>15.04</v>
      </c>
      <c r="DT64" s="109">
        <f t="array" ref="DT64">VARP(IF(INDEX(properties!A$1:CB$87,'Fórmula'!B64,39)&lt;&gt;"",INDEX(properties!A$1:CB$87,'Fórmula'!B64,39)),IF(INDEX(properties!A$1:CB$87,'Fórmula'!D64,39)&lt;&gt;"",INDEX(properties!A$1:CB$87,'Fórmula'!D64,39)),IF(INDEX(properties!A$1:CB$87,'Fórmula'!F64,39)&lt;&gt;"",INDEX(properties!A$1:CB$87,'Fórmula'!F64,39)),IF(INDEX(properties!A$1:CB$87,'Fórmula'!H64,39)&lt;&gt;"",INDEX(properties!A$1:CB$87,'Fórmula'!H64,39)),IF(INDEX(properties!A$1:CB$87,'Fórmula'!J64,39)&lt;&gt;"",INDEX(properties!A$1:CB$87,'Fórmula'!J64,39)))</f>
        <v>0.815416</v>
      </c>
      <c r="DU64" s="120">
        <f t="array" ref="DU64">MAX(INDEX(properties!A$1:CB$87,'Fórmula'!B64,39),INDEX(properties!A$1:CB$87,'Fórmula'!D64,39),INDEX(properties!A$1:CB$87,'Fórmula'!F64,39),INDEX(properties!A$1:CB$87,'Fórmula'!H64,39),INDEX(properties!A$1:CB$87,'Fórmula'!J64,39))</f>
        <v>2.43</v>
      </c>
      <c r="DV64" s="120">
        <f t="array" ref="DV64">MIN(IF(INDEX(properties!A$1:CB$87,'Fórmula'!B64,39)=0,10^6,INDEX(properties!A$1:CB$87,'Fórmula'!B64,39)),IF(INDEX(properties!A$1:CB$87,'Fórmula'!D64,39)=0,10^6,INDEX(properties!A$1:CB$87,'Fórmula'!D64,39)),IF(INDEX(properties!A$1:CB$87,'Fórmula'!F64,39)=0,10^6,INDEX(properties!A$1:CB$87,'Fórmula'!F64,39)),IF(INDEX(properties!A$1:CB$87,'Fórmula'!H64,39)=0,10^6,INDEX(properties!A$1:CB$87,'Fórmula'!H64,39)),IF(INDEX(properties!A$1:CB$87,'Fórmula'!J64,39)=0,10^6,INDEX(properties!A$1:CB$87,'Fórmula'!J64,39)))</f>
        <v>0.48</v>
      </c>
      <c r="DW64" s="109">
        <f t="shared" si="21"/>
        <v>1.95</v>
      </c>
      <c r="DX64" s="110">
        <f t="array" ref="DX64">(('Fórmula'!C64)/('Fórmula'!C64+'Fórmula'!E64+'Fórmula'!G64+'Fórmula'!I64+'Fórmula'!K64))*(INDEX(properties!A$1:CB$87,'Fórmula'!B64,40))+(('Fórmula'!E64)/('Fórmula'!C64+'Fórmula'!E64+'Fórmula'!G64+'Fórmula'!I64+'Fórmula'!K64))*(INDEX(properties!A$1:CB$87,'Fórmula'!D64,40))+(('Fórmula'!G64)/('Fórmula'!C64+'Fórmula'!E64+'Fórmula'!G64+'Fórmula'!I64+'Fórmula'!K64))*(INDEX(properties!A$1:CB$87,'Fórmula'!F64,40))+(('Fórmula'!I64)/('Fórmula'!C64+'Fórmula'!E64+'Fórmula'!G64+'Fórmula'!I64+'Fórmula'!K64))*(INDEX(properties!A$1:CB$87,'Fórmula'!H64,40))+(('Fórmula'!K64)/('Fórmula'!C64+'Fórmula'!E64+'Fórmula'!G64+'Fórmula'!I64+'Fórmula'!K64))*(INDEX(properties!A$1:CB$87,'Fórmula'!J64,40))</f>
        <v>1.109285714</v>
      </c>
      <c r="DY64" s="110">
        <f t="array" ref="DY64">'Fórmula'!C64*(INDEX(properties!A$1:CB$87,'Fórmula'!B64,40))+'Fórmula'!E64*(INDEX(properties!A$1:CB$87,'Fórmula'!D64,40))+'Fórmula'!G64*(INDEX(properties!A$1:CB$87,'Fórmula'!F64,40))+'Fórmula'!I64*(INDEX(properties!A$1:CB$87,'Fórmula'!H64,40))+'Fórmula'!K64*(INDEX(properties!A$1:CB$87,'Fórmula'!J64,40))</f>
        <v>15.53</v>
      </c>
      <c r="DZ64" s="110">
        <f t="array" ref="DZ64">VARP(IF(INDEX(properties!A$1:CB$87,'Fórmula'!B64,40)&lt;&gt;"",INDEX(properties!A$1:CB$87,'Fórmula'!B64,40)),IF(INDEX(properties!A$1:CB$87,'Fórmula'!D64,40)&lt;&gt;"",INDEX(properties!A$1:CB$87,'Fórmula'!D64,40)),IF(INDEX(properties!A$1:CB$87,'Fórmula'!F64,40)&lt;&gt;"",INDEX(properties!A$1:CB$87,'Fórmula'!F64,40)),IF(INDEX(properties!A$1:CB$87,'Fórmula'!H64,40)&lt;&gt;"",INDEX(properties!A$1:CB$87,'Fórmula'!H64,40)),IF(INDEX(properties!A$1:CB$87,'Fórmula'!J64,40)&lt;&gt;"",INDEX(properties!A$1:CB$87,'Fórmula'!J64,40)))</f>
        <v>0.487096</v>
      </c>
      <c r="EA64" s="121">
        <f t="array" ref="EA64">MAX(INDEX(properties!A$1:CB$87,'Fórmula'!B64,40),INDEX(properties!A$1:CB$87,'Fórmula'!D64,40),INDEX(properties!A$1:CB$87,'Fórmula'!F64,40),INDEX(properties!A$1:CB$87,'Fórmula'!H64,40),INDEX(properties!A$1:CB$87,'Fórmula'!J64,40))</f>
        <v>1.96</v>
      </c>
      <c r="EB64" s="121">
        <f t="array" ref="EB64">MIN(IF(INDEX(properties!A$1:CB$87,'Fórmula'!B64,40)=0,10^6,INDEX(properties!A$1:CB$87,'Fórmula'!B64,40)),IF(INDEX(properties!A$1:CB$87,'Fórmula'!D64,40)=0,10^6,INDEX(properties!A$1:CB$87,'Fórmula'!D64,40)),IF(INDEX(properties!A$1:CB$87,'Fórmula'!F64,40)=0,10^6,INDEX(properties!A$1:CB$87,'Fórmula'!F64,40)),IF(INDEX(properties!A$1:CB$87,'Fórmula'!H64,40)=0,10^6,INDEX(properties!A$1:CB$87,'Fórmula'!H64,40)),IF(INDEX(properties!A$1:CB$87,'Fórmula'!J64,40)=0,10^6,INDEX(properties!A$1:CB$87,'Fórmula'!J64,40)))</f>
        <v>0.73</v>
      </c>
      <c r="EC64" s="110">
        <f t="shared" si="22"/>
        <v>1.23</v>
      </c>
      <c r="ED64" s="111">
        <f t="array" ref="ED64">(('Fórmula'!C64)/('Fórmula'!C64+'Fórmula'!E64+'Fórmula'!G64+'Fórmula'!I64+'Fórmula'!K64))*(INDEX(properties!A$1:CB$87,'Fórmula'!B64,41))+(('Fórmula'!E64)/('Fórmula'!C64+'Fórmula'!E64+'Fórmula'!G64+'Fórmula'!I64+'Fórmula'!K64))*(INDEX(properties!A$1:CB$87,'Fórmula'!D64,41))+(('Fórmula'!G64)/('Fórmula'!C64+'Fórmula'!E64+'Fórmula'!G64+'Fórmula'!I64+'Fórmula'!K64))*(INDEX(properties!A$1:CB$87,'Fórmula'!F64,41))+(('Fórmula'!I64)/('Fórmula'!C64+'Fórmula'!E64+'Fórmula'!G64+'Fórmula'!I64+'Fórmula'!K64))*(INDEX(properties!A$1:CB$87,'Fórmula'!H64,41))+(('Fórmula'!K64)/('Fórmula'!C64+'Fórmula'!E64+'Fórmula'!G64+'Fórmula'!I64+'Fórmula'!K64))*(INDEX(properties!A$1:CB$87,'Fórmula'!J64,41))</f>
        <v>1.212142857</v>
      </c>
      <c r="EE64" s="111">
        <f t="array" ref="EE64">'Fórmula'!C64*(INDEX(properties!A$1:CB$87,'Fórmula'!B64,41))+'Fórmula'!E64*(INDEX(properties!A$1:CB$87,'Fórmula'!D64,41))+'Fórmula'!G64*(INDEX(properties!A$1:CB$87,'Fórmula'!F64,41))+'Fórmula'!I64*(INDEX(properties!A$1:CB$87,'Fórmula'!H64,41))+'Fórmula'!K64*(INDEX(properties!A$1:CB$87,'Fórmula'!J64,41))</f>
        <v>16.97</v>
      </c>
      <c r="EF64" s="111">
        <f t="array" ref="EF64">VARP(IF(INDEX(properties!A$1:CB$87,'Fórmula'!B64,41)&lt;&gt;"",INDEX(properties!A$1:CB$87,'Fórmula'!B64,41)),IF(INDEX(properties!A$1:CB$87,'Fórmula'!D64,41)&lt;&gt;"",INDEX(properties!A$1:CB$87,'Fórmula'!D64,41)),IF(INDEX(properties!A$1:CB$87,'Fórmula'!F64,41)&lt;&gt;"",INDEX(properties!A$1:CB$87,'Fórmula'!F64,41)),IF(INDEX(properties!A$1:CB$87,'Fórmula'!H64,41)&lt;&gt;"",INDEX(properties!A$1:CB$87,'Fórmula'!H64,41)),IF(INDEX(properties!A$1:CB$87,'Fórmula'!J64,41)&lt;&gt;"",INDEX(properties!A$1:CB$87,'Fórmula'!J64,41)))</f>
        <v>0.299824</v>
      </c>
      <c r="EG64" s="122">
        <f t="array" ref="EG64">MAX(INDEX(properties!A$1:CB$87,'Fórmula'!B64,41),INDEX(properties!A$1:CB$87,'Fórmula'!D64,41),INDEX(properties!A$1:CB$87,'Fórmula'!F64,41),INDEX(properties!A$1:CB$87,'Fórmula'!H64,41),INDEX(properties!A$1:CB$87,'Fórmula'!J64,41))</f>
        <v>1.52</v>
      </c>
      <c r="EH64" s="122">
        <f t="array" ref="EH64">MIN(IF(INDEX(properties!A$1:CB$87,'Fórmula'!B64,41)=0,10^6,INDEX(properties!A$1:CB$87,'Fórmula'!B64,41)),IF(INDEX(properties!A$1:CB$87,'Fórmula'!D64,41)=0,10^6,INDEX(properties!A$1:CB$87,'Fórmula'!D64,41)),IF(INDEX(properties!A$1:CB$87,'Fórmula'!F64,41)=0,10^6,INDEX(properties!A$1:CB$87,'Fórmula'!F64,41)),IF(INDEX(properties!A$1:CB$87,'Fórmula'!H64,41)=0,10^6,INDEX(properties!A$1:CB$87,'Fórmula'!H64,41)),IF(INDEX(properties!A$1:CB$87,'Fórmula'!J64,41)=0,10^6,INDEX(properties!A$1:CB$87,'Fórmula'!J64,41)))</f>
        <v>0.58</v>
      </c>
      <c r="EI64" s="111">
        <f t="shared" si="23"/>
        <v>0.94</v>
      </c>
      <c r="EJ64" s="112">
        <f t="array" ref="EJ64">(('Fórmula'!C64)/('Fórmula'!C64+'Fórmula'!E64+'Fórmula'!G64+'Fórmula'!I64+'Fórmula'!K64))*(INDEX(properties!A$1:CB$87,'Fórmula'!B64,45))+(('Fórmula'!E64)/('Fórmula'!C64+'Fórmula'!E64+'Fórmula'!G64+'Fórmula'!I64+'Fórmula'!K64))*(INDEX(properties!A$1:CB$87,'Fórmula'!D64,45))+(('Fórmula'!G64)/('Fórmula'!C64+'Fórmula'!E64+'Fórmula'!G64+'Fórmula'!I64+'Fórmula'!K64))*(INDEX(properties!A$1:CB$87,'Fórmula'!F64,45))+(('Fórmula'!I64)/('Fórmula'!C64+'Fórmula'!E64+'Fórmula'!G64+'Fórmula'!I64+'Fórmula'!K64))*(INDEX(properties!A$1:CB$87,'Fórmula'!H64,45))+(('Fórmula'!K64)/('Fórmula'!C64+'Fórmula'!E64+'Fórmula'!G64+'Fórmula'!I64+'Fórmula'!K64))*(INDEX(properties!A$1:CB$87,'Fórmula'!J64,45))</f>
        <v>1.456428571</v>
      </c>
      <c r="EK64" s="112">
        <f t="array" ref="EK64">'Fórmula'!C64*(INDEX(properties!A$1:CB$87,'Fórmula'!B64,45))+'Fórmula'!E64*(INDEX(properties!A$1:CB$87,'Fórmula'!D64,45))+'Fórmula'!G64*(INDEX(properties!A$1:CB$87,'Fórmula'!F64,45))+'Fórmula'!I64*(INDEX(properties!A$1:CB$87,'Fórmula'!H64,45))+'Fórmula'!K64*(INDEX(properties!A$1:CB$87,'Fórmula'!J64,45))</f>
        <v>20.39</v>
      </c>
      <c r="EL64" s="112">
        <f t="array" ref="EL64">VARP(IF(INDEX(properties!A$1:CB$87,'Fórmula'!B64,45)&lt;&gt;"",INDEX(properties!A$1:CB$87,'Fórmula'!B64,45)),IF(INDEX(properties!A$1:CB$87,'Fórmula'!D64,45)&lt;&gt;"",INDEX(properties!A$1:CB$87,'Fórmula'!D64,45)),IF(INDEX(properties!A$1:CB$87,'Fórmula'!F64,45)&lt;&gt;"",INDEX(properties!A$1:CB$87,'Fórmula'!F64,45)),IF(INDEX(properties!A$1:CB$87,'Fórmula'!H64,45)&lt;&gt;"",INDEX(properties!A$1:CB$87,'Fórmula'!H64,45)),IF(INDEX(properties!A$1:CB$87,'Fórmula'!J64,45)&lt;&gt;"",INDEX(properties!A$1:CB$87,'Fórmula'!J64,45)))</f>
        <v>2.095784</v>
      </c>
      <c r="EM64" s="123">
        <f t="array" ref="EM64">MAX(INDEX(properties!A$1:CB$87,'Fórmula'!B64,45),INDEX(properties!A$1:CB$87,'Fórmula'!D64,45),INDEX(properties!A$1:CB$87,'Fórmula'!F64,45),INDEX(properties!A$1:CB$87,'Fórmula'!H64,45),INDEX(properties!A$1:CB$87,'Fórmula'!J64,45))</f>
        <v>3.69</v>
      </c>
      <c r="EN64" s="123">
        <f t="array" ref="EN64">MIN(IF(INDEX(properties!A$1:CB$87,'Fórmula'!B64,45)=0,10^6,INDEX(properties!A$1:CB$87,'Fórmula'!B64,45)),IF(INDEX(properties!A$1:CB$87,'Fórmula'!D64,45)=0,10^6,INDEX(properties!A$1:CB$87,'Fórmula'!D64,45)),IF(INDEX(properties!A$1:CB$87,'Fórmula'!F64,45)=0,10^6,INDEX(properties!A$1:CB$87,'Fórmula'!F64,45)),IF(INDEX(properties!A$1:CB$87,'Fórmula'!H64,45)=0,10^6,INDEX(properties!A$1:CB$87,'Fórmula'!H64,45)),IF(INDEX(properties!A$1:CB$87,'Fórmula'!J64,45)=0,10^6,INDEX(properties!A$1:CB$87,'Fórmula'!J64,45)))</f>
        <v>0.47</v>
      </c>
      <c r="EO64" s="112">
        <f t="shared" si="24"/>
        <v>3.22</v>
      </c>
      <c r="EP64" s="113">
        <f t="array" ref="EP64">(('Fórmula'!C64)/('Fórmula'!C64+'Fórmula'!E64+'Fórmula'!G64+'Fórmula'!I64+'Fórmula'!K64))*(INDEX(properties!A$1:CB$87,'Fórmula'!B64,46))+(('Fórmula'!E64)/('Fórmula'!C64+'Fórmula'!E64+'Fórmula'!G64+'Fórmula'!I64+'Fórmula'!K64))*(INDEX(properties!A$1:CB$87,'Fórmula'!D64,46))+(('Fórmula'!G64)/('Fórmula'!C64+'Fórmula'!E64+'Fórmula'!G64+'Fórmula'!I64+'Fórmula'!K64))*(INDEX(properties!A$1:CB$87,'Fórmula'!F64,46))+(('Fórmula'!I64)/('Fórmula'!C64+'Fórmula'!E64+'Fórmula'!G64+'Fórmula'!I64+'Fórmula'!K64))*(INDEX(properties!A$1:CB$87,'Fórmula'!H64,46))+(('Fórmula'!K64)/('Fórmula'!C64+'Fórmula'!E64+'Fórmula'!G64+'Fórmula'!I64+'Fórmula'!K64))*(INDEX(properties!A$1:CB$87,'Fórmula'!J64,46))</f>
        <v>1.158571429</v>
      </c>
      <c r="EQ64" s="113">
        <f t="array" ref="EQ64">'Fórmula'!C64*(INDEX(properties!A$1:CB$87,'Fórmula'!B64,46))+'Fórmula'!E64*(INDEX(properties!A$1:CB$87,'Fórmula'!D64,46))+'Fórmula'!G64*(INDEX(properties!A$1:CB$87,'Fórmula'!F64,46))+'Fórmula'!I64*(INDEX(properties!A$1:CB$87,'Fórmula'!H64,46))+'Fórmula'!K64*(INDEX(properties!A$1:CB$87,'Fórmula'!J64,46))</f>
        <v>16.22</v>
      </c>
      <c r="ER64" s="113">
        <f t="array" ref="ER64">VARP(IF(INDEX(properties!A$1:CB$87,'Fórmula'!B64,46)&lt;&gt;"",INDEX(properties!A$1:CB$87,'Fórmula'!B64,46)),IF(INDEX(properties!A$1:CB$87,'Fórmula'!D64,46)&lt;&gt;"",INDEX(properties!A$1:CB$87,'Fórmula'!D64,46)),IF(INDEX(properties!A$1:CB$87,'Fórmula'!F64,46)&lt;&gt;"",INDEX(properties!A$1:CB$87,'Fórmula'!F64,46)),IF(INDEX(properties!A$1:CB$87,'Fórmula'!H64,46)&lt;&gt;"",INDEX(properties!A$1:CB$87,'Fórmula'!H64,46)),IF(INDEX(properties!A$1:CB$87,'Fórmula'!J64,46)&lt;&gt;"",INDEX(properties!A$1:CB$87,'Fórmula'!J64,46)))</f>
        <v>0.36964</v>
      </c>
      <c r="ES64" s="124">
        <f t="array" ref="ES64">MAX(INDEX(properties!A$1:CB$87,'Fórmula'!B64,46),INDEX(properties!A$1:CB$87,'Fórmula'!D64,46),INDEX(properties!A$1:CB$87,'Fórmula'!F64,46),INDEX(properties!A$1:CB$87,'Fórmula'!H64,46),INDEX(properties!A$1:CB$87,'Fórmula'!J64,46))</f>
        <v>1.52</v>
      </c>
      <c r="ET64" s="124">
        <f t="array" ref="ET64">MIN(IF(INDEX(properties!A$1:CB$87,'Fórmula'!B64,46)=0,10^6,INDEX(properties!A$1:CB$87,'Fórmula'!B64,46)),IF(INDEX(properties!A$1:CB$87,'Fórmula'!D64,46)=0,10^6,INDEX(properties!A$1:CB$87,'Fórmula'!D64,46)),IF(INDEX(properties!A$1:CB$87,'Fórmula'!F64,46)=0,10^6,INDEX(properties!A$1:CB$87,'Fórmula'!F64,46)),IF(INDEX(properties!A$1:CB$87,'Fórmula'!H64,46)=0,10^6,INDEX(properties!A$1:CB$87,'Fórmula'!H64,46)),IF(INDEX(properties!A$1:CB$87,'Fórmula'!J64,46)=0,10^6,INDEX(properties!A$1:CB$87,'Fórmula'!J64,46)))</f>
        <v>0.31</v>
      </c>
      <c r="EU64" s="113">
        <f t="shared" si="25"/>
        <v>1.21</v>
      </c>
      <c r="EV64" s="114">
        <f t="array" ref="EV64">(('Fórmula'!C64)/('Fórmula'!C64+'Fórmula'!E64+'Fórmula'!G64+'Fórmula'!I64+'Fórmula'!K64))*(INDEX(properties!A$1:CB$87,'Fórmula'!B64,52))+(('Fórmula'!E64)/('Fórmula'!C64+'Fórmula'!E64+'Fórmula'!G64+'Fórmula'!I64+'Fórmula'!K64))*(INDEX(properties!A$1:CB$87,'Fórmula'!D64,52))+(('Fórmula'!G64)/('Fórmula'!C64+'Fórmula'!E64+'Fórmula'!G64+'Fórmula'!I64+'Fórmula'!K64))*(INDEX(properties!A$1:CB$87,'Fórmula'!F64,52))+(('Fórmula'!I64)/('Fórmula'!C64+'Fórmula'!E64+'Fórmula'!G64+'Fórmula'!I64+'Fórmula'!K64))*(INDEX(properties!A$1:CB$87,'Fórmula'!H64,52))+(('Fórmula'!K64)/('Fórmula'!C64+'Fórmula'!E64+'Fórmula'!G64+'Fórmula'!I64+'Fórmula'!K64))*(INDEX(properties!A$1:CB$87,'Fórmula'!J64,52))</f>
        <v>12.48885714</v>
      </c>
      <c r="EW64" s="114">
        <f t="array" ref="EW64">'Fórmula'!C64*(INDEX(properties!A$1:CB$87,'Fórmula'!B64,52))+'Fórmula'!E64*(INDEX(properties!A$1:CB$87,'Fórmula'!D64,52))+'Fórmula'!G64*(INDEX(properties!A$1:CB$87,'Fórmula'!F64,52))+'Fórmula'!I64*(INDEX(properties!A$1:CB$87,'Fórmula'!H64,52))+'Fórmula'!K64*(INDEX(properties!A$1:CB$87,'Fórmula'!J64,52))</f>
        <v>174.844</v>
      </c>
      <c r="EX64" s="114">
        <f t="array" ref="EX64">VARP(IF(INDEX(properties!A$1:CB$87,'Fórmula'!B64,52)&lt;&gt;"",INDEX(properties!A$1:CB$87,'Fórmula'!B64,52)),IF(INDEX(properties!A$1:CB$87,'Fórmula'!D64,52)&lt;&gt;"",INDEX(properties!A$1:CB$87,'Fórmula'!D64,52)),IF(INDEX(properties!A$1:CB$87,'Fórmula'!F64,52)&lt;&gt;"",INDEX(properties!A$1:CB$87,'Fórmula'!F64,52)),IF(INDEX(properties!A$1:CB$87,'Fórmula'!H64,52)&lt;&gt;"",INDEX(properties!A$1:CB$87,'Fórmula'!H64,52)),IF(INDEX(properties!A$1:CB$87,'Fórmula'!J64,52)&lt;&gt;"",INDEX(properties!A$1:CB$87,'Fórmula'!J64,52)))</f>
        <v>323.9075518</v>
      </c>
      <c r="EY64" s="114">
        <f t="array" ref="EY64">MAX(INDEX(properties!A$1:CB$87,'Fórmula'!B64,52),INDEX(properties!A$1:CB$87,'Fórmula'!D64,52),INDEX(properties!A$1:CB$87,'Fórmula'!F64,52),INDEX(properties!A$1:CB$87,'Fórmula'!H64,52),INDEX(properties!A$1:CB$87,'Fórmula'!J64,52))</f>
        <v>43.4</v>
      </c>
      <c r="EZ64" s="114">
        <f t="array" ref="EZ64">MIN(IF(INDEX(properties!A$1:CB$87,'Fórmula'!B64,52)=0,10^6,INDEX(properties!A$1:CB$87,'Fórmula'!B64,52)),IF(INDEX(properties!A$1:CB$87,'Fórmula'!D64,52)=0,10^6,INDEX(properties!A$1:CB$87,'Fórmula'!D64,52)),IF(INDEX(properties!A$1:CB$87,'Fórmula'!F64,52)=0,10^6,INDEX(properties!A$1:CB$87,'Fórmula'!F64,52)),IF(INDEX(properties!A$1:CB$87,'Fórmula'!H64,52)=0,10^6,INDEX(properties!A$1:CB$87,'Fórmula'!H64,52)),IF(INDEX(properties!A$1:CB$87,'Fórmula'!J64,52)=0,10^6,INDEX(properties!A$1:CB$87,'Fórmula'!J64,52)))</f>
        <v>0.793</v>
      </c>
      <c r="FA64" s="114">
        <f t="shared" si="26"/>
        <v>42.607</v>
      </c>
      <c r="FB64" s="115">
        <f t="array" ref="FB64">(('Fórmula'!C64)/('Fórmula'!C64+'Fórmula'!E64+'Fórmula'!G64+'Fórmula'!I64+'Fórmula'!K64))*(INDEX(properties!A$1:CB$87,'Fórmula'!B64,53))+(('Fórmula'!E64)/('Fórmula'!C64+'Fórmula'!E64+'Fórmula'!G64+'Fórmula'!I64+'Fórmula'!K64))*(INDEX(properties!A$1:CB$87,'Fórmula'!D64,53))+(('Fórmula'!G64)/('Fórmula'!C64+'Fórmula'!E64+'Fórmula'!G64+'Fórmula'!I64+'Fórmula'!K64))*(INDEX(properties!A$1:CB$87,'Fórmula'!F64,53))+(('Fórmula'!I64)/('Fórmula'!C64+'Fórmula'!E64+'Fórmula'!G64+'Fórmula'!I64+'Fórmula'!K64))*(INDEX(properties!A$1:CB$87,'Fórmula'!H64,53))+(('Fórmula'!K64)/('Fórmula'!C64+'Fórmula'!E64+'Fórmula'!G64+'Fórmula'!I64+'Fórmula'!K64))*(INDEX(properties!A$1:CB$87,'Fórmula'!J64,53))</f>
        <v>233.9178571</v>
      </c>
      <c r="FC64" s="115">
        <f t="array" ref="FC64">'Fórmula'!C64*(INDEX(properties!A$1:CB$87,'Fórmula'!B64,53))+'Fórmula'!E64*(INDEX(properties!A$1:CB$87,'Fórmula'!D64,53))+'Fórmula'!G64*(INDEX(properties!A$1:CB$87,'Fórmula'!F64,53))+'Fórmula'!I64*(INDEX(properties!A$1:CB$87,'Fórmula'!H64,53))+'Fórmula'!K64*(INDEX(properties!A$1:CB$87,'Fórmula'!J64,53))</f>
        <v>3274.85</v>
      </c>
      <c r="FD64" s="115">
        <f t="array" ref="FD64">VARP(IF(INDEX(properties!A$1:CB$87,'Fórmula'!B64,53)&lt;&gt;"",INDEX(properties!A$1:CB$87,'Fórmula'!B64,53)),IF(INDEX(properties!A$1:CB$87,'Fórmula'!D64,53)&lt;&gt;"",INDEX(properties!A$1:CB$87,'Fórmula'!D64,53)),IF(INDEX(properties!A$1:CB$87,'Fórmula'!F64,53)&lt;&gt;"",INDEX(properties!A$1:CB$87,'Fórmula'!F64,53)),IF(INDEX(properties!A$1:CB$87,'Fórmula'!H64,53)&lt;&gt;"",INDEX(properties!A$1:CB$87,'Fórmula'!H64,53)),IF(INDEX(properties!A$1:CB$87,'Fórmula'!J64,53)&lt;&gt;"",INDEX(properties!A$1:CB$87,'Fórmula'!J64,53)))</f>
        <v>183447.7054</v>
      </c>
      <c r="FE64" s="115">
        <f t="array" ref="FE64">MAX(INDEX(properties!A$1:CB$87,'Fórmula'!B64,53),INDEX(properties!A$1:CB$87,'Fórmula'!D64,53),INDEX(properties!A$1:CB$87,'Fórmula'!F64,53),INDEX(properties!A$1:CB$87,'Fórmula'!H64,53),INDEX(properties!A$1:CB$87,'Fórmula'!J64,53))</f>
        <v>1193.15</v>
      </c>
      <c r="FF64" s="115">
        <f t="array" ref="FF64">MIN(IF(INDEX(properties!A$1:CB$87,'Fórmula'!B64,53)=0,10^6,INDEX(properties!A$1:CB$87,'Fórmula'!B64,53)),IF(INDEX(properties!A$1:CB$87,'Fórmula'!D64,53)=0,10^6,INDEX(properties!A$1:CB$87,'Fórmula'!D64,53)),IF(INDEX(properties!A$1:CB$87,'Fórmula'!F64,53)=0,10^6,INDEX(properties!A$1:CB$87,'Fórmula'!F64,53)),IF(INDEX(properties!A$1:CB$87,'Fórmula'!H64,53)=0,10^6,INDEX(properties!A$1:CB$87,'Fórmula'!H64,53)),IF(INDEX(properties!A$1:CB$87,'Fórmula'!J64,53)=0,10^6,INDEX(properties!A$1:CB$87,'Fórmula'!J64,53)))</f>
        <v>54.75</v>
      </c>
      <c r="FG64" s="115">
        <f t="shared" si="27"/>
        <v>1138.4</v>
      </c>
      <c r="FH64" s="117">
        <f t="array" ref="FH64">(('Fórmula'!C64)/('Fórmula'!C64+'Fórmula'!E64+'Fórmula'!G64+'Fórmula'!I64+'Fórmula'!K64))*(INDEX(properties!A$1:CB$87,'Fórmula'!B64,54))+(('Fórmula'!E64)/('Fórmula'!C64+'Fórmula'!E64+'Fórmula'!G64+'Fórmula'!I64+'Fórmula'!K64))*(INDEX(properties!A$1:CB$87,'Fórmula'!D64,54))+(('Fórmula'!G64)/('Fórmula'!C64+'Fórmula'!E64+'Fórmula'!G64+'Fórmula'!I64+'Fórmula'!K64))*(INDEX(properties!A$1:CB$87,'Fórmula'!F64,54))+(('Fórmula'!I64)/('Fórmula'!C64+'Fórmula'!E64+'Fórmula'!G64+'Fórmula'!I64+'Fórmula'!K64))*(INDEX(properties!A$1:CB$87,'Fórmula'!H64,54))+(('Fórmula'!K64)/('Fórmula'!C64+'Fórmula'!E64+'Fórmula'!G64+'Fórmula'!I64+'Fórmula'!K64))*(INDEX(properties!A$1:CB$87,'Fórmula'!J64,54))</f>
        <v>618.15</v>
      </c>
      <c r="FI64" s="117">
        <f t="array" ref="FI64">'Fórmula'!C64*(INDEX(properties!A$1:CB$87,'Fórmula'!B64,54))+'Fórmula'!E64*(INDEX(properties!A$1:CB$87,'Fórmula'!D64,54))+'Fórmula'!G64*(INDEX(properties!A$1:CB$87,'Fórmula'!F64,54))+'Fórmula'!I64*(INDEX(properties!A$1:CB$87,'Fórmula'!H64,54))+'Fórmula'!K64*(INDEX(properties!A$1:CB$87,'Fórmula'!J64,54))</f>
        <v>8654.1</v>
      </c>
      <c r="FJ64" s="117">
        <f t="array" ref="FJ64">VARP(IF(INDEX(properties!A$1:CB$87,'Fórmula'!B64,54)&lt;&gt;"",INDEX(properties!A$1:CB$87,'Fórmula'!B64,54)),IF(INDEX(properties!A$1:CB$87,'Fórmula'!D64,54)&lt;&gt;"",INDEX(properties!A$1:CB$87,'Fórmula'!D64,54)),IF(INDEX(properties!A$1:CB$87,'Fórmula'!F64,54)&lt;&gt;"",INDEX(properties!A$1:CB$87,'Fórmula'!F64,54)),IF(INDEX(properties!A$1:CB$87,'Fórmula'!H64,54)&lt;&gt;"",INDEX(properties!A$1:CB$87,'Fórmula'!H64,54)),IF(INDEX(properties!A$1:CB$87,'Fórmula'!J64,54)&lt;&gt;"",INDEX(properties!A$1:CB$87,'Fórmula'!J64,54)))</f>
        <v>1886673.88</v>
      </c>
      <c r="FK64" s="117">
        <f t="array" ref="FK64">MAX(INDEX(properties!A$1:CB$87,'Fórmula'!B64,54),INDEX(properties!A$1:CB$87,'Fórmula'!D64,54),INDEX(properties!A$1:CB$87,'Fórmula'!F64,54),INDEX(properties!A$1:CB$87,'Fórmula'!H64,54),INDEX(properties!A$1:CB$87,'Fórmula'!J64,54))</f>
        <v>3727.15</v>
      </c>
      <c r="FL64" s="117">
        <f t="array" ref="FL64">MIN(IF(INDEX(properties!A$1:CB$87,'Fórmula'!B64,54)=0,10^6,INDEX(properties!A$1:CB$87,'Fórmula'!B64,54)),IF(INDEX(properties!A$1:CB$87,'Fórmula'!D64,54)=0,10^6,INDEX(properties!A$1:CB$87,'Fórmula'!D64,54)),IF(INDEX(properties!A$1:CB$87,'Fórmula'!F64,54)=0,10^6,INDEX(properties!A$1:CB$87,'Fórmula'!F64,54)),IF(INDEX(properties!A$1:CB$87,'Fórmula'!H64,54)=0,10^6,INDEX(properties!A$1:CB$87,'Fórmula'!H64,54)),IF(INDEX(properties!A$1:CB$87,'Fórmula'!J64,54)=0,10^6,INDEX(properties!A$1:CB$87,'Fórmula'!J64,54)))</f>
        <v>90.15</v>
      </c>
      <c r="FM64" s="117">
        <f t="shared" si="28"/>
        <v>3637</v>
      </c>
      <c r="FN64" s="118">
        <f t="array" ref="FN64">(('Fórmula'!C64)/('Fórmula'!C64+'Fórmula'!E64+'Fórmula'!G64+'Fórmula'!I64+'Fórmula'!K64))*(INDEX(properties!A$1:CB$87,'Fórmula'!B64,55))+(('Fórmula'!E64)/('Fórmula'!C64+'Fórmula'!E64+'Fórmula'!G64+'Fórmula'!I64+'Fórmula'!K64))*(INDEX(properties!A$1:CB$87,'Fórmula'!D64,55))+(('Fórmula'!G64)/('Fórmula'!C64+'Fórmula'!E64+'Fórmula'!G64+'Fórmula'!I64+'Fórmula'!K64))*(INDEX(properties!A$1:CB$87,'Fórmula'!F64,55))+(('Fórmula'!I64)/('Fórmula'!C64+'Fórmula'!E64+'Fórmula'!G64+'Fórmula'!I64+'Fórmula'!K64))*(INDEX(properties!A$1:CB$87,'Fórmula'!H64,55))+(('Fórmula'!K64)/('Fórmula'!C64+'Fórmula'!E64+'Fórmula'!G64+'Fórmula'!I64+'Fórmula'!K64))*(INDEX(properties!A$1:CB$87,'Fórmula'!J64,55))</f>
        <v>0.8843885714</v>
      </c>
      <c r="FO64" s="118">
        <f t="array" ref="FO64">'Fórmula'!C64*(INDEX(properties!A$1:CB$87,'Fórmula'!B64,55))+'Fórmula'!E64*(INDEX(properties!A$1:CB$87,'Fórmula'!D64,54))+'Fórmula'!G64*(INDEX(properties!A$1:CB$87,'Fórmula'!F64,55))+'Fórmula'!I64*(INDEX(properties!A$1:CB$87,'Fórmula'!H64,55))+'Fórmula'!K64*(INDEX(properties!A$1:CB$87,'Fórmula'!J64,55))</f>
        <v>3733.38144</v>
      </c>
      <c r="FP64" s="118">
        <f t="array" ref="FP64">VARP(IF(INDEX(properties!A$1:CB$87,'Fórmula'!B64,55)&lt;&gt;"",INDEX(properties!A$1:CB$87,'Fórmula'!B64,55)),IF(INDEX(properties!A$1:CB$87,'Fórmula'!D64,55)&lt;&gt;"",INDEX(properties!A$1:CB$87,'Fórmula'!D64,55)),IF(INDEX(properties!A$1:CB$87,'Fórmula'!F64,55)&lt;&gt;"",INDEX(properties!A$1:CB$87,'Fórmula'!F64,55)),IF(INDEX(properties!A$1:CB$87,'Fórmula'!H64,55)&lt;&gt;"",INDEX(properties!A$1:CB$87,'Fórmula'!H64,55)),IF(INDEX(properties!A$1:CB$87,'Fórmula'!J64,55)&lt;&gt;"",INDEX(properties!A$1:CB$87,'Fórmula'!J64,55)))</f>
        <v>5.255134175</v>
      </c>
      <c r="FQ64" s="118">
        <f t="array" ref="FQ64">MAX(INDEX(properties!A$1:CB$87,'Fórmula'!B64,55),INDEX(properties!A$1:CB$87,'Fórmula'!D64,55),INDEX(properties!A$1:CB$87,'Fórmula'!F64,55),INDEX(properties!A$1:CB$87,'Fórmula'!H64,55),INDEX(properties!A$1:CB$87,'Fórmula'!J64,55))</f>
        <v>6.15</v>
      </c>
      <c r="FR64" s="118">
        <f t="array" ref="FR64">MIN(IF(INDEX(properties!A$1:CB$87,'Fórmula'!B64,55)=0,10^6,INDEX(properties!A$1:CB$87,'Fórmula'!B64,55)),IF(INDEX(properties!A$1:CB$87,'Fórmula'!D64,55)=0,10^6,INDEX(properties!A$1:CB$87,'Fórmula'!D64,55)),IF(INDEX(properties!A$1:CB$87,'Fórmula'!F64,55)=0,10^6,INDEX(properties!A$1:CB$87,'Fórmula'!F64,55)),IF(INDEX(properties!A$1:CB$87,'Fórmula'!H64,55)=0,10^6,INDEX(properties!A$1:CB$87,'Fórmula'!H64,55)),IF(INDEX(properties!A$1:CB$87,'Fórmula'!J64,55)=0,10^6,INDEX(properties!A$1:CB$87,'Fórmula'!J64,55)))</f>
        <v>0.00143</v>
      </c>
      <c r="FS64" s="118">
        <f t="shared" si="29"/>
        <v>6.14857</v>
      </c>
      <c r="FT64" s="119">
        <f t="array" ref="FT64">(('Fórmula'!C64)/('Fórmula'!C64+'Fórmula'!E64+'Fórmula'!G64+'Fórmula'!I64+'Fórmula'!K64))*(INDEX(properties!A$1:CB$87,'Fórmula'!B64,56))+(('Fórmula'!E64)/('Fórmula'!C64+'Fórmula'!E64+'Fórmula'!G64+'Fórmula'!I64+'Fórmula'!K64))*(INDEX(properties!A$1:CB$87,'Fórmula'!D64,56))+(('Fórmula'!G64)/('Fórmula'!C64+'Fórmula'!E64+'Fórmula'!G64+'Fórmula'!I64+'Fórmula'!K64))*(INDEX(properties!A$1:CB$87,'Fórmula'!F64,56))+(('Fórmula'!I64)/('Fórmula'!C64+'Fórmula'!E64+'Fórmula'!G64+'Fórmula'!I64+'Fórmula'!K64))*(INDEX(properties!A$1:CB$87,'Fórmula'!H64,56))+(('Fórmula'!K64)/('Fórmula'!C64+'Fórmula'!E64+'Fórmula'!G64+'Fórmula'!I64+'Fórmula'!K64))*(INDEX(properties!A$1:CB$87,'Fórmula'!J64,56))</f>
        <v>0.81</v>
      </c>
      <c r="FU64" s="119">
        <f t="array" ref="FU64">'Fórmula'!C64*(INDEX(properties!A$1:CB$87,'Fórmula'!B64,56))+'Fórmula'!E64*(INDEX(properties!A$1:CB$87,'Fórmula'!D64,56))+'Fórmula'!G64*(INDEX(properties!A$1:CB$87,'Fórmula'!F64,56))+'Fórmula'!I64*(INDEX(properties!A$1:CB$87,'Fórmula'!H64,56))+'Fórmula'!K64*(INDEX(properties!A$1:CB$87,'Fórmula'!J64,56))</f>
        <v>11.34</v>
      </c>
      <c r="FV64" s="119">
        <f t="array" ref="FV64">VARP(IF(INDEX(properties!A$1:CB$87,'Fórmula'!B64,56)&lt;&gt;"",INDEX(properties!A$1:CB$87,'Fórmula'!B64,56)),IF(INDEX(properties!A$1:CB$87,'Fórmula'!D64,56)&lt;&gt;"",INDEX(properties!A$1:CB$87,'Fórmula'!D64,56)),IF(INDEX(properties!A$1:CB$87,'Fórmula'!F64,56)&lt;&gt;"",INDEX(properties!A$1:CB$87,'Fórmula'!F64,56)),IF(INDEX(properties!A$1:CB$87,'Fórmula'!H64,56)&lt;&gt;"",INDEX(properties!A$1:CB$87,'Fórmula'!H64,56)),IF(INDEX(properties!A$1:CB$87,'Fórmula'!J64,56)&lt;&gt;"",INDEX(properties!A$1:CB$87,'Fórmula'!J64,56)))</f>
        <v>0.130904</v>
      </c>
      <c r="FW64" s="119">
        <f t="array" ref="FW64">MAX(INDEX(properties!A$1:CB$87,'Fórmula'!B64,56),INDEX(properties!A$1:CB$87,'Fórmula'!D64,56),INDEX(properties!A$1:CB$87,'Fórmula'!F64,56),INDEX(properties!A$1:CB$87,'Fórmula'!H64,56),INDEX(properties!A$1:CB$87,'Fórmula'!J64,56))</f>
        <v>0.92</v>
      </c>
      <c r="FX64" s="119">
        <f t="array" ref="FX64">MIN(IF(INDEX(properties!A$1:CB$87,'Fórmula'!B64,56)=0,10^6,INDEX(properties!A$1:CB$87,'Fórmula'!B64,56)),IF(INDEX(properties!A$1:CB$87,'Fórmula'!D64,56)=0,10^6,INDEX(properties!A$1:CB$87,'Fórmula'!D64,56)),IF(INDEX(properties!A$1:CB$87,'Fórmula'!F64,56)=0,10^6,INDEX(properties!A$1:CB$87,'Fórmula'!F64,56)),IF(INDEX(properties!A$1:CB$87,'Fórmula'!H64,56)=0,10^6,INDEX(properties!A$1:CB$87,'Fórmula'!H64,56)),IF(INDEX(properties!A$1:CB$87,'Fórmula'!J64,56)=0,10^6,INDEX(properties!A$1:CB$87,'Fórmula'!J64,56)))</f>
        <v>0.19</v>
      </c>
      <c r="FY64" s="119">
        <f t="shared" si="30"/>
        <v>0.73</v>
      </c>
      <c r="FZ64" s="104">
        <f t="array" ref="FZ64">(('Fórmula'!C64)/('Fórmula'!C64+'Fórmula'!E64+'Fórmula'!G64+'Fórmula'!I64+'Fórmula'!K64))*(INDEX(properties!A$1:CB$87,'Fórmula'!B64,57))+(('Fórmula'!E64)/('Fórmula'!C64+'Fórmula'!E64+'Fórmula'!G64+'Fórmula'!I64+'Fórmula'!K64))*(INDEX(properties!A$1:CB$87,'Fórmula'!D64,57))+(('Fórmula'!G64)/('Fórmula'!C64+'Fórmula'!E64+'Fórmula'!G64+'Fórmula'!I64+'Fórmula'!K64))*(INDEX(properties!A$1:CB$87,'Fórmula'!F64,57))+(('Fórmula'!I64)/('Fórmula'!C64+'Fórmula'!E64+'Fórmula'!G64+'Fórmula'!I64+'Fórmula'!K64))*(INDEX(properties!A$1:CB$87,'Fórmula'!H64,57))+(('Fórmula'!K64)/('Fórmula'!C64+'Fórmula'!E64+'Fórmula'!G64+'Fórmula'!I64+'Fórmula'!K64))*(INDEX(properties!A$1:CB$87,'Fórmula'!J64,57))</f>
        <v>1.164051429</v>
      </c>
      <c r="GA64" s="104">
        <f t="array" ref="GA64">'Fórmula'!C64*(INDEX(properties!A$1:CB$87,'Fórmula'!B64,57))+'Fórmula'!E64*(INDEX(properties!A$1:CB$87,'Fórmula'!D64,57))+'Fórmula'!G64*(INDEX(properties!A$1:CB$87,'Fórmula'!F64,57))+'Fórmula'!I64*(INDEX(properties!A$1:CB$87,'Fórmula'!H64,57))+'Fórmula'!K64*(INDEX(properties!A$1:CB$87,'Fórmula'!J64,57))</f>
        <v>16.29672</v>
      </c>
      <c r="GB64" s="104">
        <f t="array" ref="GB64">VARP(IF(INDEX(properties!A$1:CB$87,'Fórmula'!B64,57)&lt;&gt;"",INDEX(properties!A$1:CB$87,'Fórmula'!B64,57)),IF(INDEX(properties!A$1:CB$87,'Fórmula'!D64,57)&lt;&gt;"",INDEX(properties!A$1:CB$87,'Fórmula'!D64,57)),IF(INDEX(properties!A$1:CB$87,'Fórmula'!F64,57)&lt;&gt;"",INDEX(properties!A$1:CB$87,'Fórmula'!F64,57)),IF(INDEX(properties!A$1:CB$87,'Fórmula'!H64,57)&lt;&gt;"",INDEX(properties!A$1:CB$87,'Fórmula'!H64,57)),IF(INDEX(properties!A$1:CB$87,'Fórmula'!J64,57)&lt;&gt;"",INDEX(properties!A$1:CB$87,'Fórmula'!J64,57)))</f>
        <v>5.329123194</v>
      </c>
      <c r="GC64" s="104">
        <f t="array" ref="GC64">MAX(INDEX(properties!A$1:CB$87,'Fórmula'!B64,57),INDEX(properties!A$1:CB$87,'Fórmula'!D64,57),INDEX(properties!A$1:CB$87,'Fórmula'!F64,57),INDEX(properties!A$1:CB$87,'Fórmula'!H64,57),INDEX(properties!A$1:CB$87,'Fórmula'!J64,57))</f>
        <v>6.2</v>
      </c>
      <c r="GD64" s="104">
        <f t="array" ref="GD64">MIN(IF(INDEX(properties!A$1:CB$87,'Fórmula'!B64,57)=0,10^6,INDEX(properties!A$1:CB$87,'Fórmula'!B64,57)),IF(INDEX(properties!A$1:CB$87,'Fórmula'!D64,57)=0,10^6,INDEX(properties!A$1:CB$87,'Fórmula'!D64,57)),IF(INDEX(properties!A$1:CB$87,'Fórmula'!F64,57)=0,10^6,INDEX(properties!A$1:CB$87,'Fórmula'!F64,57)),IF(INDEX(properties!A$1:CB$87,'Fórmula'!H64,57)=0,10^6,INDEX(properties!A$1:CB$87,'Fórmula'!H64,57)),IF(INDEX(properties!A$1:CB$87,'Fórmula'!J64,57)=0,10^6,INDEX(properties!A$1:CB$87,'Fórmula'!J64,57)))</f>
        <v>0.22259</v>
      </c>
      <c r="GE64" s="104">
        <f t="shared" si="31"/>
        <v>5.97741</v>
      </c>
      <c r="GF64" s="105">
        <f t="array" ref="GF64">(('Fórmula'!C64)/('Fórmula'!C64+'Fórmula'!E64+'Fórmula'!G64+'Fórmula'!I64+'Fórmula'!K64))*(INDEX(properties!A$1:CB$87,'Fórmula'!B64,60))+(('Fórmula'!E64)/('Fórmula'!C64+'Fórmula'!E64+'Fórmula'!G64+'Fórmula'!I64+'Fórmula'!K64))*(INDEX(properties!A$1:CB$87,'Fórmula'!D64,60))+(('Fórmula'!G64)/('Fórmula'!C64+'Fórmula'!E64+'Fórmula'!G64+'Fórmula'!I64+'Fórmula'!K64))*(INDEX(properties!A$1:CB$87,'Fórmula'!F64,60))+(('Fórmula'!I64)/('Fórmula'!C64+'Fórmula'!E64+'Fórmula'!G64+'Fórmula'!I64+'Fórmula'!K64))*(INDEX(properties!A$1:CB$87,'Fórmula'!H64,60))+(('Fórmula'!K64)/('Fórmula'!C64+'Fórmula'!E64+'Fórmula'!G64+'Fórmula'!I64+'Fórmula'!K64))*(INDEX(properties!A$1:CB$87,'Fórmula'!J64,60))</f>
        <v>22.95599429</v>
      </c>
      <c r="GG64" s="105">
        <f t="array" ref="GG64">'Fórmula'!C64*(INDEX(properties!A$1:CB$87,'Fórmula'!B64,60))+'Fórmula'!E64*(INDEX(properties!A$1:CB$87,'Fórmula'!D64,60))+'Fórmula'!G64*(INDEX(properties!A$1:CB$87,'Fórmula'!F64,60))+'Fórmula'!I64*(INDEX(properties!A$1:CB$87,'Fórmula'!H64,60))+'Fórmula'!K64*(INDEX(properties!A$1:CB$87,'Fórmula'!J64,60))</f>
        <v>321.38392</v>
      </c>
      <c r="GH64" s="105">
        <f t="array" ref="GH64">VARP(IF(INDEX(properties!A$1:CB$87,'Fórmula'!B64,60)&lt;&gt;"",INDEX(properties!A$1:CB$87,'Fórmula'!B64,60)),IF(INDEX(properties!A$1:CB$87,'Fórmula'!D64,60)&lt;&gt;"",INDEX(properties!A$1:CB$87,'Fórmula'!D64,60)),IF(INDEX(properties!A$1:CB$87,'Fórmula'!F64,60)&lt;&gt;"",INDEX(properties!A$1:CB$87,'Fórmula'!F64,60)),IF(INDEX(properties!A$1:CB$87,'Fórmula'!H64,60)&lt;&gt;"",INDEX(properties!A$1:CB$87,'Fórmula'!H64,60)),IF(INDEX(properties!A$1:CB$87,'Fórmula'!J64,60)&lt;&gt;"",INDEX(properties!A$1:CB$87,'Fórmula'!J64,60)))</f>
        <v>1593.871194</v>
      </c>
      <c r="GI64" s="105">
        <f t="array" ref="GI64">MAX(INDEX(properties!A$1:CB$87,'Fórmula'!B64,60),INDEX(properties!A$1:CB$87,'Fórmula'!D64,60),INDEX(properties!A$1:CB$87,'Fórmula'!F64,60),INDEX(properties!A$1:CB$87,'Fórmula'!H64,60),INDEX(properties!A$1:CB$87,'Fórmula'!J64,60))</f>
        <v>102.4</v>
      </c>
      <c r="GJ64" s="105">
        <f t="array" ref="GJ64">MIN(IF(INDEX(properties!A$1:CB$87,'Fórmula'!B64,60)=0,10^6,INDEX(properties!A$1:CB$87,'Fórmula'!B64,60)),IF(INDEX(properties!A$1:CB$87,'Fórmula'!D64,60)=0,10^6,INDEX(properties!A$1:CB$87,'Fórmula'!D64,60)),IF(INDEX(properties!A$1:CB$87,'Fórmula'!F64,60)=0,10^6,INDEX(properties!A$1:CB$87,'Fórmula'!F64,60)),IF(INDEX(properties!A$1:CB$87,'Fórmula'!H64,60)=0,10^6,INDEX(properties!A$1:CB$87,'Fórmula'!H64,60)),IF(INDEX(properties!A$1:CB$87,'Fórmula'!J64,60)=0,10^6,INDEX(properties!A$1:CB$87,'Fórmula'!J64,60)))</f>
        <v>0.02674</v>
      </c>
      <c r="GK64" s="105">
        <f t="shared" si="32"/>
        <v>102.37326</v>
      </c>
      <c r="GL64" s="106">
        <f t="array" ref="GL64">(('Fórmula'!C64)/('Fórmula'!C64+'Fórmula'!E64+'Fórmula'!G64+'Fórmula'!I64+'Fórmula'!K64))*(INDEX(properties!A$1:CB$87,'Fórmula'!B64,62))+(('Fórmula'!E64)/('Fórmula'!C64+'Fórmula'!E64+'Fórmula'!G64+'Fórmula'!I64+'Fórmula'!K64))*(INDEX(properties!A$1:CB$87,'Fórmula'!D64,62))+(('Fórmula'!G64)/('Fórmula'!C64+'Fórmula'!E64+'Fórmula'!G64+'Fórmula'!I64+'Fórmula'!K64))*(INDEX(properties!A$1:CB$87,'Fórmula'!F64,62))+(('Fórmula'!I64)/('Fórmula'!C64+'Fórmula'!E64+'Fórmula'!G64+'Fórmula'!I64+'Fórmula'!K64))*(INDEX(properties!A$1:CB$87,'Fórmula'!H64,62))+(('Fórmula'!K64)/('Fórmula'!C64+'Fórmula'!E64+'Fórmula'!G64+'Fórmula'!I64+'Fórmula'!K64))*(INDEX(properties!A$1:CB$87,'Fórmula'!J64,62))</f>
        <v>2.506571429</v>
      </c>
      <c r="GM64" s="106">
        <f t="array" ref="GM64">'Fórmula'!C64*(INDEX(properties!A$1:CB$87,'Fórmula'!B64,62))+'Fórmula'!E64*(INDEX(properties!A$1:CB$87,'Fórmula'!D64,62))+'Fórmula'!G64*(INDEX(properties!A$1:CB$87,'Fórmula'!F64,62))+'Fórmula'!I64*(INDEX(properties!A$1:CB$87,'Fórmula'!H64,62))+'Fórmula'!K64*(INDEX(properties!A$1:CB$87,'Fórmula'!J64,62))</f>
        <v>35.092</v>
      </c>
      <c r="GN64" s="106">
        <f t="array" ref="GN64">VARP(IF(INDEX(properties!A$1:CB$87,'Fórmula'!B64,62)&lt;&gt;"",INDEX(properties!A$1:CB$87,'Fórmula'!B64,62)),IF(INDEX(properties!A$1:CB$87,'Fórmula'!D64,62)&lt;&gt;"",INDEX(properties!A$1:CB$87,'Fórmula'!D64,62)),IF(INDEX(properties!A$1:CB$87,'Fórmula'!F64,62)&lt;&gt;"",INDEX(properties!A$1:CB$87,'Fórmula'!F64,62)),IF(INDEX(properties!A$1:CB$87,'Fórmula'!H64,62)&lt;&gt;"",INDEX(properties!A$1:CB$87,'Fórmula'!H64,62)),IF(INDEX(properties!A$1:CB$87,'Fórmula'!J64,62)&lt;&gt;"",INDEX(properties!A$1:CB$87,'Fórmula'!J64,62)))</f>
        <v>2.64874656</v>
      </c>
      <c r="GO64" s="106">
        <f t="array" ref="GO64">MAX(INDEX(properties!A$1:CB$87,'Fórmula'!B64,62),INDEX(properties!A$1:CB$87,'Fórmula'!D64,62),INDEX(properties!A$1:CB$87,'Fórmula'!F64,62),INDEX(properties!A$1:CB$87,'Fórmula'!H64,62),INDEX(properties!A$1:CB$87,'Fórmula'!J64,62))</f>
        <v>4.47</v>
      </c>
      <c r="GP64" s="106">
        <f t="array" ref="GP64">MIN(IF(INDEX(properties!A$1:CB$87,'Fórmula'!B64,62)=0,10^6,INDEX(properties!A$1:CB$87,'Fórmula'!B64,62)),IF(INDEX(properties!A$1:CB$87,'Fórmula'!D64,62)=0,10^6,INDEX(properties!A$1:CB$87,'Fórmula'!D64,62)),IF(INDEX(properties!A$1:CB$87,'Fórmula'!F64,62)=0,10^6,INDEX(properties!A$1:CB$87,'Fórmula'!F64,62)),IF(INDEX(properties!A$1:CB$87,'Fórmula'!H64,62)=0,10^6,INDEX(properties!A$1:CB$87,'Fórmula'!H64,62)),IF(INDEX(properties!A$1:CB$87,'Fórmula'!J64,62)=0,10^6,INDEX(properties!A$1:CB$87,'Fórmula'!J64,62)))</f>
        <v>0.934</v>
      </c>
      <c r="GQ64" s="106">
        <f t="shared" si="33"/>
        <v>3.536</v>
      </c>
      <c r="GR64" s="106">
        <f>'Fórmula'!Q64</f>
        <v>11</v>
      </c>
      <c r="GS64" s="107">
        <f>'Fórmula'!P64</f>
        <v>6</v>
      </c>
      <c r="GT64" s="113">
        <f>'Fórmula'!O64</f>
        <v>3.63</v>
      </c>
      <c r="GU64" s="114">
        <f>AVERAGE('Fórmula'!R64/'Fórmula'!S64,'Fórmula'!S64/'Fórmula'!T64,'Fórmula'!T64/'Fórmula'!R64)</f>
        <v>196.1850732</v>
      </c>
      <c r="GV64" s="125">
        <f>'Fórmula'!U64</f>
        <v>408.66</v>
      </c>
      <c r="GW64" s="106">
        <f>'Fórmula'!N64</f>
        <v>0.3</v>
      </c>
    </row>
    <row r="65" ht="14.25" customHeight="1">
      <c r="A65" s="99" t="str">
        <f>'Fórmula'!A65</f>
        <v>Sr3YB3O9</v>
      </c>
      <c r="B65" s="101">
        <f t="array" ref="B65">(('Fórmula'!C65)/('Fórmula'!C65+'Fórmula'!E65+'Fórmula'!G65+'Fórmula'!I65+'Fórmula'!K65))*(INDEX(properties!A$1:CB$87,'Fórmula'!B65,3))+(('Fórmula'!E65)/('Fórmula'!C65+'Fórmula'!E65+'Fórmula'!G65+'Fórmula'!I65+'Fórmula'!K65))*(INDEX(properties!A$1:CB$87,'Fórmula'!D65,3))+(('Fórmula'!G65)/('Fórmula'!C65+'Fórmula'!E65+'Fórmula'!G65+'Fórmula'!I65+'Fórmula'!K65))*(INDEX(properties!A$1:CB$87,'Fórmula'!F65,3))+(('Fórmula'!I65)/('Fórmula'!C65+'Fórmula'!E65+'Fórmula'!G65+'Fórmula'!I65+'Fórmula'!K65))*(INDEX(properties!A$1:CB$87,'Fórmula'!H65,3))+(('Fórmula'!K65)/('Fórmula'!C65+'Fórmula'!E65+'Fórmula'!G65+'Fórmula'!I65+'Fórmula'!K65))*(INDEX(properties!A$1:CB$87,'Fórmula'!J65,3))</f>
        <v>33.01209</v>
      </c>
      <c r="C65" s="101">
        <f t="array" ref="C65">'Fórmula'!C65*(INDEX(properties!A$1:CB$87,'Fórmula'!B65,3))+'Fórmula'!E65*(INDEX(properties!A$1:CB$87,'Fórmula'!D65,3))+'Fórmula'!G65*(INDEX(properties!A$1:CB$87,'Fórmula'!F65,3))+'Fórmula'!I65*(INDEX(properties!A$1:CB$87,'Fórmula'!H65,3))+'Fórmula'!K65*(INDEX(properties!A$1:CB$87,'Fórmula'!J65,3))</f>
        <v>528.19344</v>
      </c>
      <c r="D65" s="101">
        <f t="array" ref="D65">VARP(IF(INDEX(properties!A$1:CB$87,'Fórmula'!B65,3)&lt;&gt;"",INDEX(properties!A$1:CB$87,'Fórmula'!B65,3)),IF(INDEX(properties!A$1:CB$87,'Fórmula'!D65,3)&lt;&gt;"",INDEX(properties!A$1:CB$87,'Fórmula'!D65,3)),IF(INDEX(properties!A$1:CB$87,'Fórmula'!F65,3)&lt;&gt;"",INDEX(properties!A$1:CB$87,'Fórmula'!F65,3)),IF(INDEX(properties!A$1:CB$87,'Fórmula'!H65,3)&lt;&gt;"",INDEX(properties!A$1:CB$87,'Fórmula'!H65,3)),IF(INDEX(properties!A$1:CB$87,'Fórmula'!J65,3)&lt;&gt;"",INDEX(properties!A$1:CB$87,'Fórmula'!J65,3)))</f>
        <v>1537.049202</v>
      </c>
      <c r="E65" s="101">
        <f t="array" ref="E65">MAX(INDEX(properties!A$1:CB$87,'Fórmula'!B65,3),INDEX(properties!A$1:CB$87,'Fórmula'!D65,3),INDEX(properties!A$1:CB$87,'Fórmula'!F65,3),INDEX(properties!A$1:CB$87,'Fórmula'!H65,3),INDEX(properties!A$1:CB$87,'Fórmula'!J65,3))</f>
        <v>88.90584</v>
      </c>
      <c r="F65" s="101">
        <f t="array" ref="F65">MIN(IF(INDEX(properties!A$1:CB$87,'Fórmula'!B65,3)=0,10^6,INDEX(properties!A$1:CB$87,'Fórmula'!B65,3)),IF(INDEX(properties!A$1:CB$87,'Fórmula'!D65,3)=0,10^6,INDEX(properties!A$1:CB$87,'Fórmula'!D65,3)),IF(INDEX(properties!A$1:CB$87,'Fórmula'!F65,3)=0,10^6,INDEX(properties!A$1:CB$87,'Fórmula'!F65,3)),IF(INDEX(properties!A$1:CB$87,'Fórmula'!H65,3)=0,10^6,INDEX(properties!A$1:CB$87,'Fórmula'!H65,3)),IF(INDEX(properties!A$1:CB$87,'Fórmula'!J65,3)=0,10^6,INDEX(properties!A$1:CB$87,'Fórmula'!J65,3)))</f>
        <v>10.811</v>
      </c>
      <c r="G65" s="101">
        <f t="shared" si="1"/>
        <v>78.09484</v>
      </c>
      <c r="H65" s="102">
        <f t="array" ref="H65">(('Fórmula'!C65)/('Fórmula'!C65+'Fórmula'!E65+'Fórmula'!G65+'Fórmula'!I65+'Fórmula'!K65))*(INDEX(properties!A$1:CB$87,'Fórmula'!B65,4))+(('Fórmula'!E65)/('Fórmula'!C65+'Fórmula'!E65+'Fórmula'!G65+'Fórmula'!I65+'Fórmula'!K65))*(INDEX(properties!A$1:CB$87,'Fórmula'!D65,4))+(('Fórmula'!G65)/('Fórmula'!C65+'Fórmula'!E65+'Fórmula'!G65+'Fórmula'!I65+'Fórmula'!K65))*(INDEX(properties!A$1:CB$87,'Fórmula'!F65,4))+(('Fórmula'!I65)/('Fórmula'!C65+'Fórmula'!E65+'Fórmula'!G65+'Fórmula'!I65+'Fórmula'!K65))*(INDEX(properties!A$1:CB$87,'Fórmula'!H65,4))+(('Fórmula'!K65)/('Fórmula'!C65+'Fórmula'!E65+'Fórmula'!G65+'Fórmula'!I65+'Fórmula'!K65))*(INDEX(properties!A$1:CB$87,'Fórmula'!J65,4))</f>
        <v>15</v>
      </c>
      <c r="I65" s="102">
        <f t="array" ref="I65">'Fórmula'!C65*(INDEX(properties!A$1:CB$87,'Fórmula'!B65,4))+'Fórmula'!E65*(INDEX(properties!A$1:CB$87,'Fórmula'!D65,4))+'Fórmula'!G65*(INDEX(properties!A$1:CB$87,'Fórmula'!F65,4))+'Fórmula'!I65*(INDEX(properties!A$1:CB$87,'Fórmula'!H65,4))+'Fórmula'!K65*(INDEX(properties!A$1:CB$87,'Fórmula'!J65,4))</f>
        <v>240</v>
      </c>
      <c r="J65" s="102">
        <f t="array" ref="J65">VARP(IF(INDEX(properties!A$1:CB$87,'Fórmula'!B65,4)&lt;&gt;"",INDEX(properties!A$1:CB$87,'Fórmula'!B65,4)),IF(INDEX(properties!A$1:CB$87,'Fórmula'!D65,4)&lt;&gt;"",INDEX(properties!A$1:CB$87,'Fórmula'!D65,4)),IF(INDEX(properties!A$1:CB$87,'Fórmula'!F65,4)&lt;&gt;"",INDEX(properties!A$1:CB$87,'Fórmula'!F65,4)),IF(INDEX(properties!A$1:CB$87,'Fórmula'!H65,4)&lt;&gt;"",INDEX(properties!A$1:CB$87,'Fórmula'!H65,4)),IF(INDEX(properties!A$1:CB$87,'Fórmula'!J65,4)&lt;&gt;"",INDEX(properties!A$1:CB$87,'Fórmula'!J65,4)))</f>
        <v>286.8</v>
      </c>
      <c r="K65" s="102">
        <f t="array" ref="K65">MAX(INDEX(properties!A$1:CB$87,'Fórmula'!B65,4),INDEX(properties!A$1:CB$87,'Fórmula'!D65,4),INDEX(properties!A$1:CB$87,'Fórmula'!F65,4),INDEX(properties!A$1:CB$87,'Fórmula'!H65,4),INDEX(properties!A$1:CB$87,'Fórmula'!J65,4))</f>
        <v>39</v>
      </c>
      <c r="L65" s="102">
        <f t="array" ref="L65">MIN(IF(INDEX(properties!A$1:CB$87,'Fórmula'!B65,4)=0,10^6,INDEX(properties!A$1:CB$87,'Fórmula'!B65,4)),IF(INDEX(properties!A$1:CB$87,'Fórmula'!D65,4)=0,10^6,INDEX(properties!A$1:CB$87,'Fórmula'!D65,4)),IF(INDEX(properties!A$1:CB$87,'Fórmula'!F65,4)=0,10^6,INDEX(properties!A$1:CB$87,'Fórmula'!F65,4)),IF(INDEX(properties!A$1:CB$87,'Fórmula'!H65,4)=0,10^6,INDEX(properties!A$1:CB$87,'Fórmula'!H65,4)),IF(INDEX(properties!A$1:CB$87,'Fórmula'!J65,4)=0,10^6,INDEX(properties!A$1:CB$87,'Fórmula'!J65,4)))</f>
        <v>5</v>
      </c>
      <c r="M65" s="102">
        <f t="shared" si="2"/>
        <v>34</v>
      </c>
      <c r="N65" s="103">
        <f t="array" ref="N65">(('Fórmula'!C65)/('Fórmula'!C65+'Fórmula'!E65+'Fórmula'!G65+'Fórmula'!I65+'Fórmula'!K65))*(INDEX(properties!A$1:CB$87,'Fórmula'!B65,5))+(('Fórmula'!E65)/('Fórmula'!C65+'Fórmula'!E65+'Fórmula'!G65+'Fórmula'!I65+'Fórmula'!K65))*(INDEX(properties!A$1:CB$87,'Fórmula'!D65,5))+(('Fórmula'!G65)/('Fórmula'!C65+'Fórmula'!E65+'Fórmula'!G65+'Fórmula'!I65+'Fórmula'!K65))*(INDEX(properties!A$1:CB$87,'Fórmula'!F65,5))+(('Fórmula'!I65)/('Fórmula'!C65+'Fórmula'!E65+'Fórmula'!G65+'Fórmula'!I65+'Fórmula'!K65))*(INDEX(properties!A$1:CB$87,'Fórmula'!H65,5))+(('Fórmula'!K65)/('Fórmula'!C65+'Fórmula'!E65+'Fórmula'!G65+'Fórmula'!I65+'Fórmula'!K65))*(INDEX(properties!A$1:CB$87,'Fórmula'!J65,5))</f>
        <v>2.75</v>
      </c>
      <c r="O65" s="103">
        <f t="array" ref="O65">'Fórmula'!C65*(INDEX(properties!A$1:CB$87,'Fórmula'!B65,5))+'Fórmula'!E65*(INDEX(properties!A$1:CB$87,'Fórmula'!D65,5))+'Fórmula'!G65*(INDEX(properties!A$1:CB$87,'Fórmula'!F65,5))+'Fórmula'!I65*(INDEX(properties!A$1:CB$87,'Fórmula'!H65,5))+'Fórmula'!K65*(INDEX(properties!A$1:CB$87,'Fórmula'!J65,5))</f>
        <v>44</v>
      </c>
      <c r="P65" s="103">
        <f t="array" ref="P65">VARP(IF(INDEX(properties!A$1:CB$87,'Fórmula'!B65,5)&lt;&gt;"",INDEX(properties!A$1:CB$87,'Fórmula'!B65,5)),IF(INDEX(properties!A$1:CB$87,'Fórmula'!D65,5)&lt;&gt;"",INDEX(properties!A$1:CB$87,'Fórmula'!D65,5)),IF(INDEX(properties!A$1:CB$87,'Fórmula'!F65,5)&lt;&gt;"",INDEX(properties!A$1:CB$87,'Fórmula'!F65,5)),IF(INDEX(properties!A$1:CB$87,'Fórmula'!H65,5)&lt;&gt;"",INDEX(properties!A$1:CB$87,'Fórmula'!H65,5)),IF(INDEX(properties!A$1:CB$87,'Fórmula'!J65,5)&lt;&gt;"",INDEX(properties!A$1:CB$87,'Fórmula'!J65,5)))</f>
        <v>3.76</v>
      </c>
      <c r="Q65" s="103">
        <f t="array" ref="Q65">MAX(INDEX(properties!A$1:CB$87,'Fórmula'!B65,5),INDEX(properties!A$1:CB$87,'Fórmula'!D65,5),INDEX(properties!A$1:CB$87,'Fórmula'!F65,5),INDEX(properties!A$1:CB$87,'Fórmula'!H65,5),INDEX(properties!A$1:CB$87,'Fórmula'!J65,5))</f>
        <v>5</v>
      </c>
      <c r="R65" s="103">
        <f t="array" ref="R65">MIN(IF(INDEX(properties!A$1:CB$87,'Fórmula'!B65,5)=0,10^6,INDEX(properties!A$1:CB$87,'Fórmula'!B65,5)),IF(INDEX(properties!A$1:CB$87,'Fórmula'!D65,5)=0,10^6,INDEX(properties!A$1:CB$87,'Fórmula'!D65,5)),IF(INDEX(properties!A$1:CB$87,'Fórmula'!F65,5)=0,10^6,INDEX(properties!A$1:CB$87,'Fórmula'!F65,5)),IF(INDEX(properties!A$1:CB$87,'Fórmula'!H65,5)=0,10^6,INDEX(properties!A$1:CB$87,'Fórmula'!H65,5)),IF(INDEX(properties!A$1:CB$87,'Fórmula'!J65,5)=0,10^6,INDEX(properties!A$1:CB$87,'Fórmula'!J65,5)))</f>
        <v>2</v>
      </c>
      <c r="S65" s="103">
        <f t="shared" si="3"/>
        <v>3</v>
      </c>
      <c r="T65" s="104">
        <f t="array" ref="T65">(('Fórmula'!C65)/('Fórmula'!C65+'Fórmula'!E65+'Fórmula'!G65+'Fórmula'!I65+'Fórmula'!K65))*(INDEX(properties!A$1:CB$87,'Fórmula'!B65,6))+(('Fórmula'!E65)/('Fórmula'!C65+'Fórmula'!E65+'Fórmula'!G65+'Fórmula'!I65+'Fórmula'!K65))*(INDEX(properties!A$1:CB$87,'Fórmula'!D65,6))+(('Fórmula'!G65)/('Fórmula'!C65+'Fórmula'!E65+'Fórmula'!G65+'Fórmula'!I65+'Fórmula'!K65))*(INDEX(properties!A$1:CB$87,'Fórmula'!F65,6))+(('Fórmula'!I65)/('Fórmula'!C65+'Fórmula'!E65+'Fórmula'!G65+'Fórmula'!I65+'Fórmula'!K65))*(INDEX(properties!A$1:CB$87,'Fórmula'!H65,6))+(('Fórmula'!K65)/('Fórmula'!C65+'Fórmula'!E65+'Fórmula'!G65+'Fórmula'!I65+'Fórmula'!K65))*(INDEX(properties!A$1:CB$87,'Fórmula'!J65,6))</f>
        <v>12</v>
      </c>
      <c r="U65" s="104">
        <f t="array" ref="U65">'Fórmula'!C65*(INDEX(properties!A$1:CB$87,'Fórmula'!B65,6))+'Fórmula'!E65*(INDEX(properties!A$1:CB$87,'Fórmula'!D65,6))+'Fórmula'!G65*(INDEX(properties!A$1:CB$87,'Fórmula'!F65,6))+'Fórmula'!I65*(INDEX(properties!A$1:CB$87,'Fórmula'!H65,6))+'Fórmula'!K65*(INDEX(properties!A$1:CB$87,'Fórmula'!J65,6))</f>
        <v>192</v>
      </c>
      <c r="V65" s="103">
        <f t="array" ref="V65">VARP(IF(INDEX(properties!A$1:CB$87,'Fórmula'!B65,6)&lt;&gt;"",INDEX(properties!A$1:CB$87,'Fórmula'!B65,6)),IF(INDEX(properties!A$1:CB$87,'Fórmula'!D65,6)&lt;&gt;"",INDEX(properties!A$1:CB$87,'Fórmula'!D65,6)),IF(INDEX(properties!A$1:CB$87,'Fórmula'!F65,6)&lt;&gt;"",INDEX(properties!A$1:CB$87,'Fórmula'!F65,6)),IF(INDEX(properties!A$1:CB$87,'Fórmula'!H65,6)&lt;&gt;"",INDEX(properties!A$1:CB$87,'Fórmula'!H65,6)),IF(INDEX(properties!A$1:CB$87,'Fórmula'!J65,6)&lt;&gt;"",INDEX(properties!A$1:CB$87,'Fórmula'!J65,6)))</f>
        <v>41.36</v>
      </c>
      <c r="W65" s="104">
        <f t="array" ref="W65">MAX(INDEX(properties!A$1:CB$87,'Fórmula'!B65,6),INDEX(properties!A$1:CB$87,'Fórmula'!D65,6),INDEX(properties!A$1:CB$87,'Fórmula'!F65,6),INDEX(properties!A$1:CB$87,'Fórmula'!H65,4),INDEX(properties!A$1:CB$87,'Fórmula'!J65,6))</f>
        <v>13</v>
      </c>
      <c r="X65" s="104">
        <f t="array" ref="X65">MIN(IF(INDEX(properties!A$1:CB$87,'Fórmula'!B65,6)=0,10^6,INDEX(properties!A$1:CB$87,'Fórmula'!B65,6)),IF(INDEX(properties!A$1:CB$87,'Fórmula'!D65,6)=0,10^6,INDEX(properties!A$1:CB$87,'Fórmula'!D65,6)),IF(INDEX(properties!A$1:CB$87,'Fórmula'!F65,6)=0,10^6,INDEX(properties!A$1:CB$87,'Fórmula'!F65,6)),IF(INDEX(properties!A$1:CB$87,'Fórmula'!H65,6)=0,10^6,INDEX(properties!A$1:CB$87,'Fórmula'!H65,6)),IF(INDEX(properties!A$1:CB$87,'Fórmula'!J65,6)=0,10^6,INDEX(properties!A$1:CB$87,'Fórmula'!J65,6)))</f>
        <v>2</v>
      </c>
      <c r="Y65" s="104">
        <f t="shared" si="4"/>
        <v>11</v>
      </c>
      <c r="Z65" s="105">
        <f t="array" ref="Z65">(('Fórmula'!C65)/('Fórmula'!C65+'Fórmula'!E65+'Fórmula'!G65+'Fórmula'!I65+'Fórmula'!K65))*(INDEX(properties!A$1:CB$87,'Fórmula'!B65,9))+(('Fórmula'!E65)/('Fórmula'!C65+'Fórmula'!E65+'Fórmula'!G65+'Fórmula'!I65+'Fórmula'!K65))*(INDEX(properties!A$1:CB$87,'Fórmula'!D65,9))+(('Fórmula'!G65)/('Fórmula'!C65+'Fórmula'!E65+'Fórmula'!G65+'Fórmula'!I65+'Fórmula'!K65))*(INDEX(properties!A$1:CB$87,'Fórmula'!F65,9))+(('Fórmula'!I65)/('Fórmula'!C65+'Fórmula'!E65+'Fórmula'!G65+'Fórmula'!I65+'Fórmula'!K65))*(INDEX(properties!A$1:CB$87,'Fórmula'!H65,9))+(('Fórmula'!K65)/('Fórmula'!C65+'Fórmula'!E65+'Fórmula'!G65+'Fórmula'!I65+'Fórmula'!K65))*(INDEX(properties!A$1:CB$87,'Fórmula'!J65,9))</f>
        <v>64.6875</v>
      </c>
      <c r="AA65" s="105">
        <f t="array" ref="AA65">'Fórmula'!C65*(INDEX(properties!A$1:CB$87,'Fórmula'!B65,9))+'Fórmula'!E65*(INDEX(properties!A$1:CB$87,'Fórmula'!D65,9))+'Fórmula'!G65*(INDEX(properties!A$1:CB$87,'Fórmula'!F65,9))+'Fórmula'!I65*(INDEX(properties!A$1:CB$87,'Fórmula'!H65,9))+'Fórmula'!K65*(INDEX(properties!A$1:CB$87,'Fórmula'!J65,9))</f>
        <v>1035</v>
      </c>
      <c r="AB65" s="105">
        <f t="array" ref="AB65">VARP(IF(INDEX(properties!A$1:CB$87,'Fórmula'!B65,9)&lt;&gt;"",INDEX(properties!A$1:CB$87,'Fórmula'!B65,9)),IF(INDEX(properties!A$1:CB$87,'Fórmula'!D65,9)&lt;&gt;"",INDEX(properties!A$1:CB$87,'Fórmula'!D65,9)),IF(INDEX(properties!A$1:CB$87,'Fórmula'!F65,9)&lt;&gt;"",INDEX(properties!A$1:CB$87,'Fórmula'!F65,9)),IF(INDEX(properties!A$1:CB$87,'Fórmula'!H65,9)&lt;&gt;"",INDEX(properties!A$1:CB$87,'Fórmula'!H65,9)),IF(INDEX(properties!A$1:CB$87,'Fórmula'!J65,9)&lt;&gt;"",INDEX(properties!A$1:CB$87,'Fórmula'!J65,9)))</f>
        <v>1310.56</v>
      </c>
      <c r="AC65" s="105">
        <f t="array" ref="AC65">MAX(INDEX(properties!A$1:CB$87,'Fórmula'!B65,9),INDEX(properties!A$1:CB$87,'Fórmula'!D65,9),INDEX(properties!A$1:CB$87,'Fórmula'!F65,9),INDEX(properties!A$1:CB$87,'Fórmula'!H65,9),INDEX(properties!A$1:CB$87,'Fórmula'!J65,9))</f>
        <v>87</v>
      </c>
      <c r="AD65" s="105">
        <f t="array" ref="AD65">MIN(IF(INDEX(properties!A$1:CB$87,'Fórmula'!B65,9)=0,10^6,INDEX(properties!A$1:CB$87,'Fórmula'!B65,9)),IF(INDEX(properties!A$1:CB$87,'Fórmula'!D65,9)=0,10^6,INDEX(properties!A$1:CB$87,'Fórmula'!D65,9)),IF(INDEX(properties!A$1:CB$87,'Fórmula'!F65,9)=0,10^6,INDEX(properties!A$1:CB$87,'Fórmula'!F65,9)),IF(INDEX(properties!A$1:CB$87,'Fórmula'!H65,9)=0,10^6,INDEX(properties!A$1:CB$87,'Fórmula'!H65,9)),IF(INDEX(properties!A$1:CB$87,'Fórmula'!J65,9)=0,10^6,INDEX(properties!A$1:CB$87,'Fórmula'!J65,9)))</f>
        <v>8</v>
      </c>
      <c r="AE65" s="105">
        <f t="shared" si="5"/>
        <v>79</v>
      </c>
      <c r="AF65" s="106">
        <f t="array" ref="AF65">(('Fórmula'!C65)/('Fórmula'!C65+'Fórmula'!E65+'Fórmula'!G65+'Fórmula'!I65+'Fórmula'!K65))*(INDEX(properties!A$1:CB$87,'Fórmula'!B65,10))+(('Fórmula'!E65)/('Fórmula'!C65+'Fórmula'!E65+'Fórmula'!G65+'Fórmula'!I65+'Fórmula'!K65))*(INDEX(properties!A$1:CB$87,'Fórmula'!D65,10))+(('Fórmula'!G65)/('Fórmula'!C65+'Fórmula'!E65+'Fórmula'!G65+'Fórmula'!I65+'Fórmula'!K65))*(INDEX(properties!A$1:CB$87,'Fórmula'!F65,10))+(('Fórmula'!I65)/('Fórmula'!C65+'Fórmula'!E65+'Fórmula'!G65+'Fórmula'!I65+'Fórmula'!K65))*(INDEX(properties!A$1:CB$87,'Fórmula'!H65,10))+(('Fórmula'!K65)/('Fórmula'!C65+'Fórmula'!E65+'Fórmula'!G65+'Fórmula'!I65+'Fórmula'!K65))*(INDEX(properties!A$1:CB$87,'Fórmula'!J65,10))</f>
        <v>5.625</v>
      </c>
      <c r="AG65" s="106">
        <f t="array" ref="AG65">'Fórmula'!C65*(INDEX(properties!A$1:CB$87,'Fórmula'!B65,10))+'Fórmula'!E65*(INDEX(properties!A$1:CB$87,'Fórmula'!D65,10))+'Fórmula'!G65*(INDEX(properties!A$1:CB$87,'Fórmula'!F65,10))+'Fórmula'!I65*(INDEX(properties!A$1:CB$87,'Fórmula'!H65,10))+'Fórmula'!K65*(INDEX(properties!A$1:CB$87,'Fórmula'!J65,10))</f>
        <v>90</v>
      </c>
      <c r="AH65" s="106">
        <f t="array" ref="AH65">VARP(IF(INDEX(properties!A$1:CB$87,'Fórmula'!B65,10)&lt;&gt;"",INDEX(properties!A$1:CB$87,'Fórmula'!B65,10)),IF(INDEX(properties!A$1:CB$87,'Fórmula'!D65,10)&lt;&gt;"",INDEX(properties!A$1:CB$87,'Fórmula'!D65,10)),IF(INDEX(properties!A$1:CB$87,'Fórmula'!F65,10)&lt;&gt;"",INDEX(properties!A$1:CB$87,'Fórmula'!F65,10)),IF(INDEX(properties!A$1:CB$87,'Fórmula'!H65,10)&lt;&gt;"",INDEX(properties!A$1:CB$87,'Fórmula'!H65,10)),IF(INDEX(properties!A$1:CB$87,'Fórmula'!J65,10)&lt;&gt;"",INDEX(properties!A$1:CB$87,'Fórmula'!J65,10)))</f>
        <v>6.64</v>
      </c>
      <c r="AI65" s="106">
        <f t="array" ref="AI65">MAX(INDEX(properties!A$1:CB$87,'Fórmula'!B65,10),INDEX(properties!A$1:CB$87,'Fórmula'!D65,10),INDEX(properties!A$1:CB$87,'Fórmula'!F65,10),INDEX(properties!A$1:CB$87,'Fórmula'!H65,10),INDEX(properties!A$1:CB$87,'Fórmula'!J65,10))</f>
        <v>7</v>
      </c>
      <c r="AJ65" s="106">
        <f t="array" ref="AJ65">MIN(IF(INDEX(properties!A$1:CB$87,'Fórmula'!B65,10)=0,10^6,INDEX(properties!A$1:CB$87,'Fórmula'!B65,10)),IF(INDEX(properties!A$1:CB$87,'Fórmula'!D65,10)=0,10^6,INDEX(properties!A$1:CB$87,'Fórmula'!D65,10)),IF(INDEX(properties!A$1:CB$87,'Fórmula'!F65,10)=0,10^6,INDEX(properties!A$1:CB$87,'Fórmula'!F65,10)),IF(INDEX(properties!A$1:CB$87,'Fórmula'!H65,10)=0,10^6,INDEX(properties!A$1:CB$87,'Fórmula'!H65,10)),IF(INDEX(properties!A$1:CB$87,'Fórmula'!J65,10)=0,10^6,INDEX(properties!A$1:CB$87,'Fórmula'!J65,10)))</f>
        <v>2</v>
      </c>
      <c r="AK65" s="106">
        <f t="shared" si="6"/>
        <v>5</v>
      </c>
      <c r="AL65" s="107">
        <f t="array" ref="AL65">(('Fórmula'!C65)/('Fórmula'!C65+'Fórmula'!E65+'Fórmula'!G65+'Fórmula'!I65+'Fórmula'!K65))*(INDEX(properties!A$1:CB$87,'Fórmula'!B65,11))+(('Fórmula'!E65)/('Fórmula'!C65+'Fórmula'!E65+'Fórmula'!G65+'Fórmula'!I65+'Fórmula'!K65))*(INDEX(properties!A$1:CB$87,'Fórmula'!D65,11))+(('Fórmula'!G65)/('Fórmula'!C65+'Fórmula'!E65+'Fórmula'!G65+'Fórmula'!I65+'Fórmula'!K65))*(INDEX(properties!A$1:CB$87,'Fórmula'!F65,11))+(('Fórmula'!I65)/('Fórmula'!C65+'Fórmula'!E65+'Fórmula'!G65+'Fórmula'!I65+'Fórmula'!K65))*(INDEX(properties!A$1:CB$87,'Fórmula'!H65,11))+(('Fórmula'!K65)/('Fórmula'!C65+'Fórmula'!E65+'Fórmula'!G65+'Fórmula'!I65+'Fórmula'!K65))*(INDEX(properties!A$1:CB$87,'Fórmula'!J65,11))</f>
        <v>2</v>
      </c>
      <c r="AM65" s="107">
        <f t="array" ref="AM65">'Fórmula'!C65*(INDEX(properties!A$1:CB$87,'Fórmula'!B65,11))+'Fórmula'!E65*(INDEX(properties!A$1:CB$87,'Fórmula'!D65,11))+'Fórmula'!G65*(INDEX(properties!A$1:CB$87,'Fórmula'!F65,11))+'Fórmula'!I65*(INDEX(properties!A$1:CB$87,'Fórmula'!H65,11))+'Fórmula'!K65*(INDEX(properties!A$1:CB$87,'Fórmula'!J65,11))</f>
        <v>32</v>
      </c>
      <c r="AN65" s="107">
        <f t="array" ref="AN65">VARP(IF(INDEX(properties!A$1:CB$87,'Fórmula'!B65,11)&lt;&gt;"",INDEX(properties!A$1:CB$87,'Fórmula'!B65,11)),IF(INDEX(properties!A$1:CB$87,'Fórmula'!D65,11)&lt;&gt;"",INDEX(properties!A$1:CB$87,'Fórmula'!D65,11)),IF(INDEX(properties!A$1:CB$87,'Fórmula'!F65,11)&lt;&gt;"",INDEX(properties!A$1:CB$87,'Fórmula'!F65,11)),IF(INDEX(properties!A$1:CB$87,'Fórmula'!H65,11)&lt;&gt;"",INDEX(properties!A$1:CB$87,'Fórmula'!H65,11)),IF(INDEX(properties!A$1:CB$87,'Fórmula'!J65,11)&lt;&gt;"",INDEX(properties!A$1:CB$87,'Fórmula'!J65,11)))</f>
        <v>0.64</v>
      </c>
      <c r="AO65" s="107">
        <f t="array" ref="AO65">MAX(INDEX(properties!A$1:CB$87,'Fórmula'!B65,11),INDEX(properties!A$1:CB$87,'Fórmula'!D65,11),INDEX(properties!A$1:CB$87,'Fórmula'!F65,11),INDEX(properties!A$1:CB$87,'Fórmula'!H65,11),INDEX(properties!A$1:CB$87,'Fórmula'!J65,11))</f>
        <v>2</v>
      </c>
      <c r="AP65" s="107">
        <f t="array" ref="AP65">MIN(IF('Fórmula'!B65=87,10^6,INDEX(properties!A$1:CB$87,'Fórmula'!B65,11)),IF(('Fórmula'!D65)=87,10^6,INDEX(properties!A$1:CB$87,'Fórmula'!D65,11)),IF(('Fórmula'!F65)=87,10^6,INDEX(properties!A$1:CB$87,'Fórmula'!F65,11)),IF(('Fórmula'!H65)=87,10^6,INDEX(properties!A$1:CB$87,'Fórmula'!H65,11)),IF('Fórmula'!J65=87,10^6,INDEX(properties!A$1:CB$87,'Fórmula'!J65,11)))</f>
        <v>2</v>
      </c>
      <c r="AQ65" s="107">
        <f t="shared" si="7"/>
        <v>0</v>
      </c>
      <c r="AR65" s="108">
        <f t="array" ref="AR65">(('Fórmula'!C65)/('Fórmula'!C65+'Fórmula'!E65+'Fórmula'!G65+'Fórmula'!I65+'Fórmula'!K65))*(INDEX(properties!A$1:CB$87,'Fórmula'!B65,12))+(('Fórmula'!E65)/('Fórmula'!C65+'Fórmula'!E65+'Fórmula'!G65+'Fórmula'!I65+'Fórmula'!K65))*(INDEX(properties!A$1:CB$87,'Fórmula'!D65,12))+(('Fórmula'!G65)/('Fórmula'!C65+'Fórmula'!E65+'Fórmula'!G65+'Fórmula'!I65+'Fórmula'!K65))*(INDEX(properties!A$1:CB$87,'Fórmula'!F65,12))+(('Fórmula'!I65)/('Fórmula'!C65+'Fórmula'!E65+'Fórmula'!G65+'Fórmula'!I65+'Fórmula'!K65))*(INDEX(properties!A$1:CB$87,'Fórmula'!H65,12))+(('Fórmula'!K65)/('Fórmula'!C65+'Fórmula'!E65+'Fórmula'!G65+'Fórmula'!I65+'Fórmula'!K65))*(INDEX(properties!A$1:CB$87,'Fórmula'!J65,12))</f>
        <v>2.4375</v>
      </c>
      <c r="AS65" s="108">
        <f t="array" ref="AS65">'Fórmula'!C65*(INDEX(properties!A$1:CB$87,'Fórmula'!B65,12))+'Fórmula'!E65*(INDEX(properties!A$1:CB$87,'Fórmula'!D65,12))+'Fórmula'!G65*(INDEX(properties!A$1:CB$87,'Fórmula'!F65,12))+'Fórmula'!I65*(INDEX(properties!A$1:CB$87,'Fórmula'!H65,12))+'Fórmula'!K65*(INDEX(properties!A$1:CB$87,'Fórmula'!J65,12))</f>
        <v>39</v>
      </c>
      <c r="AT65" s="108">
        <f t="array" ref="AT65">VARP(IF(INDEX(properties!A$1:CB$87,'Fórmula'!B65,12)&lt;&gt;"",INDEX(properties!A$1:CB$87,'Fórmula'!B65,12)),IF(INDEX(properties!A$1:CB$87,'Fórmula'!D65,12)&lt;&gt;"",INDEX(properties!A$1:CB$87,'Fórmula'!D65,12)),IF(INDEX(properties!A$1:CB$87,'Fórmula'!F65,12)&lt;&gt;"",INDEX(properties!A$1:CB$87,'Fórmula'!F65,12)),IF(INDEX(properties!A$1:CB$87,'Fórmula'!H65,12)&lt;&gt;"",INDEX(properties!A$1:CB$87,'Fórmula'!H65,12)),IF(INDEX(properties!A$1:CB$87,'Fórmula'!J65,12)&lt;&gt;"",INDEX(properties!A$1:CB$87,'Fórmula'!J65,12)))</f>
        <v>2.4</v>
      </c>
      <c r="AU65" s="108">
        <f t="array" ref="AU65">MAX(INDEX(properties!A$1:CB$87,'Fórmula'!B65,12),INDEX(properties!A$1:CB$87,'Fórmula'!D65,12),INDEX(properties!A$1:CB$87,'Fórmula'!F65,12),INDEX(properties!A$1:CB$87,'Fórmula'!H65,12),INDEX(properties!A$1:CB$87,'Fórmula'!J65,12))</f>
        <v>4</v>
      </c>
      <c r="AV65" s="108">
        <f t="array" ref="AV65">MIN(IF('Fórmula'!B65=87,10^6,INDEX(properties!A$1:CB$87,'Fórmula'!B65,12)),IF(('Fórmula'!D65)=87,10^6,INDEX(properties!A$1:CB$87,'Fórmula'!D65,12)),IF(('Fórmula'!F65)=87,10^6,INDEX(properties!A$1:CB$87,'Fórmula'!F65,12)),IF(('Fórmula'!H65)=87,10^6,INDEX(properties!A$1:CB$87,'Fórmula'!H65,12)),IF('Fórmula'!J65=87,10^6,INDEX(properties!A$1:CB$87,'Fórmula'!J65,12)))</f>
        <v>0</v>
      </c>
      <c r="AW65" s="108">
        <f t="shared" si="8"/>
        <v>4</v>
      </c>
      <c r="AX65" s="109">
        <f t="array" ref="AX65">(('Fórmula'!C65)/('Fórmula'!C65+'Fórmula'!E65+'Fórmula'!G65+'Fórmula'!I65+'Fórmula'!K65))*(INDEX(properties!A$1:CB$87,'Fórmula'!B65,13))+(('Fórmula'!E65)/('Fórmula'!C65+'Fórmula'!E65+'Fórmula'!G65+'Fórmula'!I65+'Fórmula'!K65))*(INDEX(properties!A$1:CB$87,'Fórmula'!D65,13))+(('Fórmula'!G65)/('Fórmula'!C65+'Fórmula'!E65+'Fórmula'!G65+'Fórmula'!I65+'Fórmula'!K65))*(INDEX(properties!A$1:CB$87,'Fórmula'!F65,13))+(('Fórmula'!I65)/('Fórmula'!C65+'Fórmula'!E65+'Fórmula'!G65+'Fórmula'!I65+'Fórmula'!K65))*(INDEX(properties!A$1:CB$87,'Fórmula'!H65,13))+(('Fórmula'!K65)/('Fórmula'!C65+'Fórmula'!E65+'Fórmula'!G65+'Fórmula'!I65+'Fórmula'!K65))*(INDEX(properties!A$1:CB$87,'Fórmula'!J65,13))</f>
        <v>0.0625</v>
      </c>
      <c r="AY65" s="109">
        <f t="array" ref="AY65">'Fórmula'!C65*(INDEX(properties!A$1:CB$87,'Fórmula'!B65,13))+'Fórmula'!E65*(INDEX(properties!A$1:CB$87,'Fórmula'!D65,13))+'Fórmula'!G65*(INDEX(properties!A$1:CB$87,'Fórmula'!F65,13))+'Fórmula'!I65*(INDEX(properties!A$1:CB$87,'Fórmula'!H65,13))+'Fórmula'!K65*(INDEX(properties!A$1:CB$87,'Fórmula'!J65,13))</f>
        <v>1</v>
      </c>
      <c r="AZ65" s="109">
        <f t="array" ref="AZ65">VARP(IF(INDEX(properties!A$1:CB$87,'Fórmula'!B65,13)&lt;&gt;"",INDEX(properties!A$1:CB$87,'Fórmula'!B65,13)),IF(INDEX(properties!A$1:CB$87,'Fórmula'!D65,13)&lt;&gt;"",INDEX(properties!A$1:CB$87,'Fórmula'!D65,13)),IF(INDEX(properties!A$1:CB$87,'Fórmula'!F65,13)&lt;&gt;"",INDEX(properties!A$1:CB$87,'Fórmula'!F65,13)),IF(INDEX(properties!A$1:CB$87,'Fórmula'!H65,13)&lt;&gt;"",INDEX(properties!A$1:CB$87,'Fórmula'!H65,13)),IF(INDEX(properties!A$1:CB$87,'Fórmula'!J65,13)&lt;&gt;"",INDEX(properties!A$1:CB$87,'Fórmula'!J65,13)))</f>
        <v>0.16</v>
      </c>
      <c r="BA65" s="109">
        <f t="array" ref="BA65">MAX(INDEX(properties!A$1:CB$87,'Fórmula'!B65,13),INDEX(properties!A$1:CB$87,'Fórmula'!D65,13),INDEX(properties!A$1:CB$87,'Fórmula'!F65,13),INDEX(properties!A$1:CB$87,'Fórmula'!H65,13),INDEX(properties!A$1:CB$87,'Fórmula'!J65,13))</f>
        <v>1</v>
      </c>
      <c r="BB65" s="109">
        <f t="array" ref="BB65">MIN(IF('Fórmula'!B65=87,10^6,INDEX(properties!A$1:CB$87,'Fórmula'!B65,13)),IF(('Fórmula'!D65)=87,10^6,INDEX(properties!A$1:CB$87,'Fórmula'!D65,13)),IF(('Fórmula'!F65)=87,10^6,INDEX(properties!A$1:CB$87,'Fórmula'!F65,13)),IF(('Fórmula'!H65)=87,10^6,INDEX(properties!A$1:CB$87,'Fórmula'!H65,13)),IF('Fórmula'!J65=87,10^6,INDEX(properties!A$1:CB$87,'Fórmula'!J65,13)))</f>
        <v>0</v>
      </c>
      <c r="BC65" s="109">
        <f t="shared" si="9"/>
        <v>1</v>
      </c>
      <c r="BD65" s="110">
        <f t="array" ref="BD65">(('Fórmula'!C65)/('Fórmula'!C65+'Fórmula'!E65+'Fórmula'!G65+'Fórmula'!I65+'Fórmula'!K65))*(INDEX(properties!A$1:CB$87,'Fórmula'!B65,14))+(('Fórmula'!E65)/('Fórmula'!C65+'Fórmula'!E65+'Fórmula'!G65+'Fórmula'!I65+'Fórmula'!K65))*(INDEX(properties!A$1:CB$87,'Fórmula'!D65,14))+(('Fórmula'!G65)/('Fórmula'!C65+'Fórmula'!E65+'Fórmula'!G65+'Fórmula'!I65+'Fórmula'!K65))*(INDEX(properties!A$1:CB$87,'Fórmula'!F65,14))+(('Fórmula'!I65)/('Fórmula'!C65+'Fórmula'!E65+'Fórmula'!G65+'Fórmula'!I65+'Fórmula'!K65))*(INDEX(properties!A$1:CB$87,'Fórmula'!H65,14))+(('Fórmula'!K65)/('Fórmula'!C65+'Fórmula'!E65+'Fórmula'!G65+'Fórmula'!I65+'Fórmula'!K65))*(INDEX(properties!A$1:CB$87,'Fórmula'!J65,14))</f>
        <v>0</v>
      </c>
      <c r="BE65" s="110">
        <f t="array" ref="BE65">'Fórmula'!C65*(INDEX(properties!A$1:CB$87,'Fórmula'!B65,14))+'Fórmula'!E65*(INDEX(properties!A$1:CB$87,'Fórmula'!D65,14))+'Fórmula'!G65*(INDEX(properties!A$1:CB$87,'Fórmula'!F65,14))+'Fórmula'!I65*(INDEX(properties!A$1:CB$87,'Fórmula'!H65,14))+'Fórmula'!K65*(INDEX(properties!A$1:CB$87,'Fórmula'!J65,14))</f>
        <v>0</v>
      </c>
      <c r="BF65" s="110">
        <f t="array" ref="BF65">VARP(IF(INDEX(properties!A$1:CB$87,'Fórmula'!B65,14)&lt;&gt;"",INDEX(properties!A$1:CB$87,'Fórmula'!B65,14)),IF(INDEX(properties!A$1:CB$87,'Fórmula'!D65,14)&lt;&gt;"",INDEX(properties!A$1:CB$87,'Fórmula'!D65,14)),IF(INDEX(properties!A$1:CB$87,'Fórmula'!F65,14)&lt;&gt;"",INDEX(properties!A$1:CB$87,'Fórmula'!F65,14)),IF(INDEX(properties!A$1:CB$87,'Fórmula'!H65,14)&lt;&gt;"",INDEX(properties!A$1:CB$87,'Fórmula'!H65,14)),IF(INDEX(properties!A$1:CB$87,'Fórmula'!J65,14)&lt;&gt;"",INDEX(properties!A$1:CB$87,'Fórmula'!J65,14)))</f>
        <v>0</v>
      </c>
      <c r="BG65" s="110">
        <f t="array" ref="BG65">MAX(INDEX(properties!A$1:CB$87,'Fórmula'!B65,14),INDEX(properties!A$1:CB$87,'Fórmula'!D65,14),INDEX(properties!A$1:CB$87,'Fórmula'!F65,14),INDEX(properties!A$1:CB$87,'Fórmula'!H65,14),INDEX(properties!A$1:CB$87,'Fórmula'!J65,14))</f>
        <v>0</v>
      </c>
      <c r="BH65" s="110">
        <f t="array" ref="BH65">MIN(IF('Fórmula'!B65=87,10^6,INDEX(properties!A$1:CB$87,'Fórmula'!B65,14)),IF(('Fórmula'!D65)=87,10^6,INDEX(properties!A$1:CB$87,'Fórmula'!D65,14)),IF(('Fórmula'!F65)=87,10^6,INDEX(properties!A$1:CB$87,'Fórmula'!F65,14)),IF(('Fórmula'!H65)=87,10^6,INDEX(properties!A$1:CB$87,'Fórmula'!H65,14)),IF('Fórmula'!J65=87,10^6,INDEX(properties!A$1:CB$87,'Fórmula'!J65,14)))</f>
        <v>0</v>
      </c>
      <c r="BI65" s="110">
        <f t="shared" si="10"/>
        <v>0</v>
      </c>
      <c r="BJ65" s="111">
        <f t="array" ref="BJ65">(('Fórmula'!C65)/('Fórmula'!C65+'Fórmula'!E65+'Fórmula'!G65+'Fórmula'!I65+'Fórmula'!K65))*(INDEX(properties!A$1:CB$87,'Fórmula'!B65,19))+(('Fórmula'!E65)/('Fórmula'!C65+'Fórmula'!E65+'Fórmula'!G65+'Fórmula'!I65+'Fórmula'!K65))*(INDEX(properties!A$1:CB$87,'Fórmula'!D65,19))+(('Fórmula'!G65)/('Fórmula'!C65+'Fórmula'!E65+'Fórmula'!G65+'Fórmula'!I65+'Fórmula'!K65))*(INDEX(properties!A$1:CB$87,'Fórmula'!F65,19))+(('Fórmula'!I65)/('Fórmula'!C65+'Fórmula'!E65+'Fórmula'!G65+'Fórmula'!I65+'Fórmula'!K65))*(INDEX(properties!A$1:CB$87,'Fórmula'!H65,19))+(('Fórmula'!K65)/('Fórmula'!C65+'Fórmula'!E65+'Fórmula'!G65+'Fórmula'!I65+'Fórmula'!K65))*(INDEX(properties!A$1:CB$87,'Fórmula'!J65,19))</f>
        <v>4.5</v>
      </c>
      <c r="BK65" s="111">
        <f t="array" ref="BK65">'Fórmula'!C65*(INDEX(properties!A$1:CB$87,'Fórmula'!B65,19))+'Fórmula'!E65*(INDEX(properties!A$1:CB$87,'Fórmula'!D65,19))+'Fórmula'!G65*(INDEX(properties!A$1:CB$87,'Fórmula'!F65,19))+'Fórmula'!I65*(INDEX(properties!A$1:CB$87,'Fórmula'!H65,19))+'Fórmula'!K65*(INDEX(properties!A$1:CB$87,'Fórmula'!J65,19))</f>
        <v>72</v>
      </c>
      <c r="BL65" s="111">
        <f t="array" ref="BL65">VARP(IF(INDEX(properties!A$1:CB$87,'Fórmula'!B65,19)&lt;&gt;"",INDEX(properties!A$1:CB$87,'Fórmula'!B65,19)),IF(INDEX(properties!A$1:CB$87,'Fórmula'!D65,19)&lt;&gt;"",INDEX(properties!A$1:CB$87,'Fórmula'!D65,19)),IF(INDEX(properties!A$1:CB$87,'Fórmula'!F65,19)&lt;&gt;"",INDEX(properties!A$1:CB$87,'Fórmula'!F65,19)),IF(INDEX(properties!A$1:CB$87,'Fórmula'!H65,19)&lt;&gt;"",INDEX(properties!A$1:CB$87,'Fórmula'!H65,19)),IF(INDEX(properties!A$1:CB$87,'Fórmula'!J65,19)&lt;&gt;"",INDEX(properties!A$1:CB$87,'Fórmula'!J65,19)))</f>
        <v>3.76</v>
      </c>
      <c r="BM65" s="111">
        <f t="array" ref="BM65">MAX(INDEX(properties!A$1:CB$87,'Fórmula'!B65,19),INDEX(properties!A$1:CB$87,'Fórmula'!D65,19),INDEX(properties!A$1:CB$87,'Fórmula'!F65,19),INDEX(properties!A$1:CB$87,'Fórmula'!H65,19),INDEX(properties!A$1:CB$87,'Fórmula'!J65,19))</f>
        <v>6</v>
      </c>
      <c r="BN65" s="111">
        <f t="array" ref="BN65">MIN(IF(INDEX(properties!A$1:CB$87,'Fórmula'!B65,19)=0,10^6,INDEX(properties!A$1:CB$87,'Fórmula'!B65,19)),IF(INDEX(properties!A$1:CB$87,'Fórmula'!D65,19)=0,10^6,INDEX(properties!A$1:CB$87,'Fórmula'!D65,19)),IF(INDEX(properties!A$1:CB$87,'Fórmula'!F65,19)=0,10^6,INDEX(properties!A$1:CB$87,'Fórmula'!F65,19)),IF(INDEX(properties!A$1:CB$87,'Fórmula'!H65,19)=0,10^6,INDEX(properties!A$1:CB$87,'Fórmula'!H65,19)),IF(INDEX(properties!A$1:CB$87,'Fórmula'!J65,19)=0,10^6,INDEX(properties!A$1:CB$87,'Fórmula'!J65,19)))</f>
        <v>2</v>
      </c>
      <c r="BO65" s="111">
        <f t="shared" si="11"/>
        <v>4</v>
      </c>
      <c r="BP65" s="112">
        <f t="array" ref="BP65">(('Fórmula'!C65)/('Fórmula'!C65+'Fórmula'!E65+'Fórmula'!G65+'Fórmula'!I65+'Fórmula'!K65))*(INDEX(properties!A$1:CB$87,'Fórmula'!B65,20))+(('Fórmula'!E65)/('Fórmula'!C65+'Fórmula'!E65+'Fórmula'!G65+'Fórmula'!I65+'Fórmula'!K65))*(INDEX(properties!A$1:CB$87,'Fórmula'!D65,20))+(('Fórmula'!G65)/('Fórmula'!C65+'Fórmula'!E65+'Fórmula'!G65+'Fórmula'!I65+'Fórmula'!K65))*(INDEX(properties!A$1:CB$87,'Fórmula'!F65,20))+(('Fórmula'!I65)/('Fórmula'!C65+'Fórmula'!E65+'Fórmula'!G65+'Fórmula'!I65+'Fórmula'!K65))*(INDEX(properties!A$1:CB$87,'Fórmula'!H65,20))+(('Fórmula'!K65)/('Fórmula'!C65+'Fórmula'!E65+'Fórmula'!G65+'Fórmula'!I65+'Fórmula'!K65))*(INDEX(properties!A$1:CB$87,'Fórmula'!J65,20))</f>
        <v>4.4375</v>
      </c>
      <c r="BQ65" s="112">
        <f t="array" ref="BQ65">'Fórmula'!C65*(INDEX(properties!A$1:CB$87,'Fórmula'!B65,20))+'Fórmula'!E65*(INDEX(properties!A$1:CB$87,'Fórmula'!D65,20))+'Fórmula'!G65*(INDEX(properties!A$1:CB$87,'Fórmula'!F65,20))+'Fórmula'!I65*(INDEX(properties!A$1:CB$87,'Fórmula'!H65,20))+'Fórmula'!K65*(INDEX(properties!A$1:CB$87,'Fórmula'!J65,20))</f>
        <v>71</v>
      </c>
      <c r="BR65" s="112">
        <f t="array" ref="BR65">VARP(IF(INDEX(properties!A$1:CB$87,'Fórmula'!B65,20)&lt;&gt;"",INDEX(properties!A$1:CB$87,'Fórmula'!B65,20)),IF(INDEX(properties!A$1:CB$87,'Fórmula'!D65,20)&lt;&gt;"",INDEX(properties!A$1:CB$87,'Fórmula'!D65,20)),IF(INDEX(properties!A$1:CB$87,'Fórmula'!F65,20)&lt;&gt;"",INDEX(properties!A$1:CB$87,'Fórmula'!F65,20)),IF(INDEX(properties!A$1:CB$87,'Fórmula'!H65,20)&lt;&gt;"",INDEX(properties!A$1:CB$87,'Fórmula'!H65,20)),IF(INDEX(properties!A$1:CB$87,'Fórmula'!J65,20)&lt;&gt;"",INDEX(properties!A$1:CB$87,'Fórmula'!J65,20)))</f>
        <v>3.84</v>
      </c>
      <c r="BS65" s="112">
        <f t="array" ref="BS65">MAX(INDEX(properties!A$1:CB$87,'Fórmula'!B65,20),INDEX(properties!A$1:CB$87,'Fórmula'!D65,20),INDEX(properties!A$1:CB$87,'Fórmula'!F65,20),INDEX(properties!A$1:CB$87,'Fórmula'!H65,20),INDEX(properties!A$1:CB$87,'Fórmula'!J65,20))</f>
        <v>6</v>
      </c>
      <c r="BT65" s="112">
        <f t="array" ref="BT65">MIN(IF(INDEX(properties!A$1:CB$87,'Fórmula'!B65,20)=0,10^6,INDEX(properties!A$1:CB$87,'Fórmula'!B65,20)),IF(INDEX(properties!A$1:CB$87,'Fórmula'!D65,20)=0,10^6,INDEX(properties!A$1:CB$87,'Fórmula'!D65,20)),IF(INDEX(properties!A$1:CB$87,'Fórmula'!F65,20)=0,10^6,INDEX(properties!A$1:CB$87,'Fórmula'!F65,20)),IF(INDEX(properties!A$1:CB$87,'Fórmula'!H65,20)=0,10^6,INDEX(properties!A$1:CB$87,'Fórmula'!H65,20)),IF(INDEX(properties!A$1:CB$87,'Fórmula'!J65,20)=0,10^6,INDEX(properties!A$1:CB$87,'Fórmula'!J65,20)))</f>
        <v>2</v>
      </c>
      <c r="BU65" s="112">
        <f t="shared" si="12"/>
        <v>4</v>
      </c>
      <c r="BV65" s="113">
        <f t="array" ref="BV65">(('Fórmula'!C65)/('Fórmula'!C65+'Fórmula'!E65+'Fórmula'!G65+'Fórmula'!I65+'Fórmula'!K65))*(INDEX(properties!A$1:CB$87,'Fórmula'!B65,21))+(('Fórmula'!E65)/('Fórmula'!C65+'Fórmula'!E65+'Fórmula'!G65+'Fórmula'!I65+'Fórmula'!K65))*(INDEX(properties!A$1:CB$87,'Fórmula'!D65,21))+(('Fórmula'!G65)/('Fórmula'!C65+'Fórmula'!E65+'Fórmula'!G65+'Fórmula'!I65+'Fórmula'!K65))*(INDEX(properties!A$1:CB$87,'Fórmula'!F65,21))+(('Fórmula'!I65)/('Fórmula'!C65+'Fórmula'!E65+'Fórmula'!G65+'Fórmula'!I65+'Fórmula'!K65))*(INDEX(properties!A$1:CB$87,'Fórmula'!H65,21))+(('Fórmula'!K65)/('Fórmula'!C65+'Fórmula'!E65+'Fórmula'!G65+'Fórmula'!I65+'Fórmula'!K65))*(INDEX(properties!A$1:CB$87,'Fórmula'!J65,21))</f>
        <v>4.375</v>
      </c>
      <c r="BW65" s="113">
        <f t="array" ref="BW65">'Fórmula'!C65*(INDEX(properties!A$1:CB$87,'Fórmula'!B65,21))+'Fórmula'!E65*(INDEX(properties!A$1:CB$87,'Fórmula'!D65,21))+'Fórmula'!G65*(INDEX(properties!A$1:CB$87,'Fórmula'!F65,21))+'Fórmula'!I65*(INDEX(properties!A$1:CB$87,'Fórmula'!H65,21))+'Fórmula'!K65*(INDEX(properties!A$1:CB$87,'Fórmula'!J65,21))</f>
        <v>70</v>
      </c>
      <c r="BX65" s="113">
        <f t="array" ref="BX65">VARP(IF(INDEX(properties!A$1:CB$87,'Fórmula'!B65,21)&lt;&gt;"",INDEX(properties!A$1:CB$87,'Fórmula'!B65,21)),IF(INDEX(properties!A$1:CB$87,'Fórmula'!D65,21)&lt;&gt;"",INDEX(properties!A$1:CB$87,'Fórmula'!D65,21)),IF(INDEX(properties!A$1:CB$87,'Fórmula'!F65,21)&lt;&gt;"",INDEX(properties!A$1:CB$87,'Fórmula'!F65,21)),IF(INDEX(properties!A$1:CB$87,'Fórmula'!H65,21)&lt;&gt;"",INDEX(properties!A$1:CB$87,'Fórmula'!H65,21)),IF(INDEX(properties!A$1:CB$87,'Fórmula'!J65,21)&lt;&gt;"",INDEX(properties!A$1:CB$87,'Fórmula'!J65,21)))</f>
        <v>4.24</v>
      </c>
      <c r="BY65" s="113">
        <f t="array" ref="BY65">MAX(INDEX(properties!A$1:CB$87,'Fórmula'!B65,21),INDEX(properties!A$1:CB$87,'Fórmula'!D65,21),INDEX(properties!A$1:CB$87,'Fórmula'!F65,21),INDEX(properties!A$1:CB$87,'Fórmula'!H65,21),INDEX(properties!A$1:CB$87,'Fórmula'!J65,21))</f>
        <v>6</v>
      </c>
      <c r="BZ65" s="113">
        <f t="array" ref="BZ65">MIN(IF(INDEX(properties!A$1:CB$87,'Fórmula'!B65,21)=0,10^6,INDEX(properties!A$1:CB$87,'Fórmula'!B65,21)),IF(INDEX(properties!A$1:CB$87,'Fórmula'!D65,21)=0,10^6,INDEX(properties!A$1:CB$87,'Fórmula'!D65,21)),IF(INDEX(properties!A$1:CB$87,'Fórmula'!F65,21)=0,10^6,INDEX(properties!A$1:CB$87,'Fórmula'!F65,21)),IF(INDEX(properties!A$1:CB$87,'Fórmula'!H65,21)=0,10^6,INDEX(properties!A$1:CB$87,'Fórmula'!H65,21)),IF(INDEX(properties!A$1:CB$87,'Fórmula'!J65,21)=0,10^6,INDEX(properties!A$1:CB$87,'Fórmula'!J65,21)))</f>
        <v>1</v>
      </c>
      <c r="CA65" s="113">
        <f t="shared" si="13"/>
        <v>5</v>
      </c>
      <c r="CB65" s="114">
        <f t="array" ref="CB65">(('Fórmula'!C65)/('Fórmula'!C65+'Fórmula'!E65+'Fórmula'!G65+'Fórmula'!I65+'Fórmula'!K65))*(INDEX(properties!A$1:CB$87,'Fórmula'!B65,23))+(('Fórmula'!E65)/('Fórmula'!C65+'Fórmula'!E65+'Fórmula'!G65+'Fórmula'!I65+'Fórmula'!K65))*(INDEX(properties!A$1:CB$87,'Fórmula'!D65,23))+(('Fórmula'!G65)/('Fórmula'!C65+'Fórmula'!E65+'Fórmula'!G65+'Fórmula'!I65+'Fórmula'!K65))*(INDEX(properties!A$1:CB$87,'Fórmula'!F65,23))+(('Fórmula'!I65)/('Fórmula'!C65+'Fórmula'!E65+'Fórmula'!G65+'Fórmula'!I65+'Fórmula'!K65))*(INDEX(properties!A$1:CB$87,'Fórmula'!H65,23))+(('Fórmula'!K65)/('Fórmula'!C65+'Fórmula'!E65+'Fórmula'!G65+'Fórmula'!I65+'Fórmula'!K65))*(INDEX(properties!A$1:CB$87,'Fórmula'!J65,23))</f>
        <v>1.125</v>
      </c>
      <c r="CC65" s="114">
        <f t="array" ref="CC65">'Fórmula'!C65*(INDEX(properties!A$1:CB$87,'Fórmula'!B65,23))+'Fórmula'!E65*(INDEX(properties!A$1:CB$87,'Fórmula'!D65,23))+'Fórmula'!G65*(INDEX(properties!A$1:CB$87,'Fórmula'!F65,23))+'Fórmula'!I65*(INDEX(properties!A$1:CB$87,'Fórmula'!H65,23))+'Fórmula'!K65*(INDEX(properties!A$1:CB$87,'Fórmula'!J65,23))</f>
        <v>18</v>
      </c>
      <c r="CD65" s="114">
        <f t="array" ref="CD65">VARP(IF(INDEX(properties!A$1:CB$87,'Fórmula'!B65,23)&lt;&gt;"",INDEX(properties!A$1:CB$87,'Fórmula'!B65,23)),IF(INDEX(properties!A$1:CB$87,'Fórmula'!D65,23)&lt;&gt;"",INDEX(properties!A$1:CB$87,'Fórmula'!D65,23)),IF(INDEX(properties!A$1:CB$87,'Fórmula'!F65,23)&lt;&gt;"",INDEX(properties!A$1:CB$87,'Fórmula'!F65,23)),IF(INDEX(properties!A$1:CB$87,'Fórmula'!H65,23)&lt;&gt;"",INDEX(properties!A$1:CB$87,'Fórmula'!H65,23)),IF(INDEX(properties!A$1:CB$87,'Fórmula'!J65,23)&lt;&gt;"",INDEX(properties!A$1:CB$87,'Fórmula'!J65,23)))</f>
        <v>1.84</v>
      </c>
      <c r="CE65" s="114">
        <f t="array" ref="CE65">MAX(INDEX(properties!A$1:CB$87,'Fórmula'!B65,23),INDEX(properties!A$1:CB$87,'Fórmula'!D65,23),INDEX(properties!A$1:CB$87,'Fórmula'!F65,23),INDEX(properties!A$1:CB$87,'Fórmula'!H65,23),INDEX(properties!A$1:CB$87,'Fórmula'!J65,23))</f>
        <v>3</v>
      </c>
      <c r="CF65" s="114">
        <f t="array" ref="CF65">MIN(IF('Fórmula'!B65=87,10^6,INDEX(properties!A$1:CB$87,'Fórmula'!B65,23)),IF(('Fórmula'!D65)=87,10^6,INDEX(properties!A$1:CB$87,'Fórmula'!D65,23)),IF(('Fórmula'!F65)=87,10^6,INDEX(properties!A$1:CB$87,'Fórmula'!F65,23)),IF(('Fórmula'!H65)=87,10^6,INDEX(properties!A$1:CB$87,'Fórmula'!H65,23)),IF('Fórmula'!J65=87,10^6,INDEX(properties!A$1:CB$87,'Fórmula'!J65,23)))</f>
        <v>0</v>
      </c>
      <c r="CG65" s="114">
        <f t="shared" si="14"/>
        <v>3</v>
      </c>
      <c r="CH65" s="115">
        <f t="array" ref="CH65">(('Fórmula'!C65)/('Fórmula'!C65+'Fórmula'!E65+'Fórmula'!G65+'Fórmula'!I65+'Fórmula'!K65))*(INDEX(properties!A$1:CB$87,'Fórmula'!B65,26))+(('Fórmula'!E65)/('Fórmula'!C65+'Fórmula'!E65+'Fórmula'!G65+'Fórmula'!I65+'Fórmula'!K65))*(INDEX(properties!A$1:CB$87,'Fórmula'!D65,26))+(('Fórmula'!G65)/('Fórmula'!C65+'Fórmula'!E65+'Fórmula'!G65+'Fórmula'!I65+'Fórmula'!K65))*(INDEX(properties!A$1:CB$87,'Fórmula'!F65,26))+(('Fórmula'!I65)/('Fórmula'!C65+'Fórmula'!E65+'Fórmula'!G65+'Fórmula'!I65+'Fórmula'!K65))*(INDEX(properties!A$1:CB$87,'Fórmula'!H65,26))+(('Fórmula'!K65)/('Fórmula'!C65+'Fórmula'!E65+'Fórmula'!G65+'Fórmula'!I65+'Fórmula'!K65))*(INDEX(properties!A$1:CB$87,'Fórmula'!J65,26))</f>
        <v>10.67243125</v>
      </c>
      <c r="CI65" s="115">
        <f t="array" ref="CI65">'Fórmula'!C65*(INDEX(properties!A$1:CB$87,'Fórmula'!B65,26))+'Fórmula'!E65*(INDEX(properties!A$1:CB$87,'Fórmula'!D65,26))+'Fórmula'!G65*(INDEX(properties!A$1:CB$87,'Fórmula'!F65,26))+'Fórmula'!I65*(INDEX(properties!A$1:CB$87,'Fórmula'!H65,26))+'Fórmula'!K65*(INDEX(properties!A$1:CB$87,'Fórmula'!J65,26))</f>
        <v>170.7589</v>
      </c>
      <c r="CJ65" s="115">
        <f t="array" ref="CJ65">VARP(IF(INDEX(properties!A$1:CB$87,'Fórmula'!B65,26)&lt;&gt;"",INDEX(properties!A$1:CB$87,'Fórmula'!B65,26)),IF(INDEX(properties!A$1:CB$87,'Fórmula'!D65,26)&lt;&gt;"",INDEX(properties!A$1:CB$87,'Fórmula'!D65,26)),IF(INDEX(properties!A$1:CB$87,'Fórmula'!F65,26)&lt;&gt;"",INDEX(properties!A$1:CB$87,'Fórmula'!F65,26)),IF(INDEX(properties!A$1:CB$87,'Fórmula'!H65,26)&lt;&gt;"",INDEX(properties!A$1:CB$87,'Fórmula'!H65,26)),IF(INDEX(properties!A$1:CB$87,'Fórmula'!J65,26)&lt;&gt;"",INDEX(properties!A$1:CB$87,'Fórmula'!J65,26)))</f>
        <v>19.30507615</v>
      </c>
      <c r="CK65" s="116">
        <f t="array" ref="CK65">MAX(INDEX(properties!A$1:CB$87,'Fórmula'!B65,26),INDEX(properties!A$1:CB$87,'Fórmula'!D65,26),INDEX(properties!A$1:CB$87,'Fórmula'!F65,26),INDEX(properties!A$1:CB$87,'Fórmula'!H65,26),INDEX(properties!A$1:CB$87,'Fórmula'!J65,26))</f>
        <v>13.6181</v>
      </c>
      <c r="CL65" s="116">
        <f t="array" ref="CL65">MIN(IF(INDEX(properties!A$1:CB$87,'Fórmula'!B65,26)=0,10^6,INDEX(properties!A$1:CB$87,'Fórmula'!B65,26)),IF(INDEX(properties!A$1:CB$87,'Fórmula'!D65,26)=0,10^6,INDEX(properties!A$1:CB$87,'Fórmula'!D65,26)),IF(INDEX(properties!A$1:CB$87,'Fórmula'!F65,26)=0,10^6,INDEX(properties!A$1:CB$87,'Fórmula'!F65,26)),IF(INDEX(properties!A$1:CB$87,'Fórmula'!H65,26)=0,10^6,INDEX(properties!A$1:CB$87,'Fórmula'!H65,26)),IF(INDEX(properties!A$1:CB$87,'Fórmula'!J65,26)=0,10^6,INDEX(properties!A$1:CB$87,'Fórmula'!J65,26)))</f>
        <v>5.6949</v>
      </c>
      <c r="CM65" s="115">
        <f t="shared" si="15"/>
        <v>7.9232</v>
      </c>
      <c r="CN65" s="117">
        <f t="array" ref="CN65">(('Fórmula'!C65)/('Fórmula'!C65+'Fórmula'!E65+'Fórmula'!G65+'Fórmula'!I65+'Fórmula'!K65))*(INDEX(properties!A$1:CB$87,'Fórmula'!B65,30))+(('Fórmula'!E65)/('Fórmula'!C65+'Fórmula'!E65+'Fórmula'!G65+'Fórmula'!I65+'Fórmula'!K65))*(INDEX(properties!A$1:CB$87,'Fórmula'!D65,30))+(('Fórmula'!G65)/('Fórmula'!C65+'Fórmula'!E65+'Fórmula'!G65+'Fórmula'!I65+'Fórmula'!K65))*(INDEX(properties!A$1:CB$87,'Fórmula'!F65,30))+(('Fórmula'!I65)/('Fórmula'!C65+'Fórmula'!E65+'Fórmula'!G65+'Fórmula'!I65+'Fórmula'!K65))*(INDEX(properties!A$1:CB$87,'Fórmula'!H65,30))+(('Fórmula'!K65)/('Fórmula'!C65+'Fórmula'!E65+'Fórmula'!G65+'Fórmula'!I65+'Fórmula'!K65))*(INDEX(properties!A$1:CB$87,'Fórmula'!J65,30))</f>
        <v>2.571875</v>
      </c>
      <c r="CO65" s="117">
        <f t="array" ref="CO65">'Fórmula'!C65*(INDEX(properties!A$1:CB$87,'Fórmula'!B65,30))+'Fórmula'!E65*(INDEX(properties!A$1:CB$87,'Fórmula'!D65,30))+'Fórmula'!G65*(INDEX(properties!A$1:CB$87,'Fórmula'!F65,30))+'Fórmula'!I65*(INDEX(properties!A$1:CB$87,'Fórmula'!H65,30))+'Fórmula'!K65*(INDEX(properties!A$1:CB$87,'Fórmula'!J65,30))</f>
        <v>41.15</v>
      </c>
      <c r="CP65" s="117">
        <f t="array" ref="CP65">VARP(IF(INDEX(properties!A$1:CB$87,'Fórmula'!B65,30)&lt;&gt;"",INDEX(properties!A$1:CB$87,'Fórmula'!B65,30)),IF(INDEX(properties!A$1:CB$87,'Fórmula'!D65,30)&lt;&gt;"",INDEX(properties!A$1:CB$87,'Fórmula'!D65,30)),IF(INDEX(properties!A$1:CB$87,'Fórmula'!F65,30)&lt;&gt;"",INDEX(properties!A$1:CB$87,'Fórmula'!F65,30)),IF(INDEX(properties!A$1:CB$87,'Fórmula'!H65,30)&lt;&gt;"",INDEX(properties!A$1:CB$87,'Fórmula'!H65,30)),IF(INDEX(properties!A$1:CB$87,'Fórmula'!J65,30)&lt;&gt;"",INDEX(properties!A$1:CB$87,'Fórmula'!J65,30)))</f>
        <v>1.33632</v>
      </c>
      <c r="CQ65" s="117">
        <f t="array" ref="CQ65">MAX(INDEX(properties!A$1:CB$87,'Fórmula'!B65,30),INDEX(properties!A$1:CB$87,'Fórmula'!D65,30),INDEX(properties!A$1:CB$87,'Fórmula'!F65,30),INDEX(properties!A$1:CB$87,'Fórmula'!H65,30),INDEX(properties!A$1:CB$87,'Fórmula'!J65,30))</f>
        <v>3.44</v>
      </c>
      <c r="CR65" s="117">
        <f t="array" ref="CR65">MIN(IF(INDEX(properties!A$1:CB$87,'Fórmula'!B65,30)=0,10^6,INDEX(properties!A$1:CB$87,'Fórmula'!B65,30)),IF(INDEX(properties!A$1:CB$87,'Fórmula'!D65,30)=0,10^6,INDEX(properties!A$1:CB$87,'Fórmula'!D65,30)),IF(INDEX(properties!A$1:CB$87,'Fórmula'!F65,30)=0,10^6,INDEX(properties!A$1:CB$87,'Fórmula'!F65,30)),IF(INDEX(properties!A$1:CB$87,'Fórmula'!H65,30)=0,10^6,INDEX(properties!A$1:CB$87,'Fórmula'!H65,30)),IF(INDEX(properties!A$1:CB$87,'Fórmula'!J65,30)=0,10^6,INDEX(properties!A$1:CB$87,'Fórmula'!J65,30)))</f>
        <v>0.95</v>
      </c>
      <c r="CS65" s="117">
        <f t="shared" si="16"/>
        <v>2.49</v>
      </c>
      <c r="CT65" s="118">
        <f t="array" ref="CT65">(('Fórmula'!C65)/('Fórmula'!C65+'Fórmula'!E65+'Fórmula'!G65+'Fórmula'!I65+'Fórmula'!K65))*(INDEX(properties!A$1:CB$87,'Fórmula'!B65,31))+(('Fórmula'!E65)/('Fórmula'!C65+'Fórmula'!E65+'Fórmula'!G65+'Fórmula'!I65+'Fórmula'!K65))*(INDEX(properties!A$1:CB$87,'Fórmula'!D65,31))+(('Fórmula'!G65)/('Fórmula'!C65+'Fórmula'!E65+'Fórmula'!G65+'Fórmula'!I65+'Fórmula'!K65))*(INDEX(properties!A$1:CB$87,'Fórmula'!F65,31))+(('Fórmula'!I65)/('Fórmula'!C65+'Fórmula'!E65+'Fórmula'!G65+'Fórmula'!I65+'Fórmula'!K65))*(INDEX(properties!A$1:CB$87,'Fórmula'!H65,31))+(('Fórmula'!K65)/('Fórmula'!C65+'Fórmula'!E65+'Fórmula'!G65+'Fórmula'!I65+'Fórmula'!K65))*(INDEX(properties!A$1:CB$87,'Fórmula'!J65,31))</f>
        <v>2.52375</v>
      </c>
      <c r="CU65" s="118">
        <f t="array" ref="CU65">'Fórmula'!C65*(INDEX(properties!A$1:CB$87,'Fórmula'!B65,31))+'Fórmula'!E65*(INDEX(properties!A$1:CB$87,'Fórmula'!D65,31))+'Fórmula'!G65*(INDEX(properties!A$1:CB$87,'Fórmula'!F65,31))+'Fórmula'!I65*(INDEX(properties!A$1:CB$87,'Fórmula'!H65,31))+'Fórmula'!K65*(INDEX(properties!A$1:CB$87,'Fórmula'!J65,31))</f>
        <v>40.38</v>
      </c>
      <c r="CV65" s="118">
        <f t="array" ref="CV65">VARP(IF(INDEX(properties!A$1:CB$87,'Fórmula'!B65,31)&lt;&gt;"",INDEX(properties!A$1:CB$87,'Fórmula'!B65,31)),IF(INDEX(properties!A$1:CB$87,'Fórmula'!D65,31)&lt;&gt;"",INDEX(properties!A$1:CB$87,'Fórmula'!D65,31)),IF(INDEX(properties!A$1:CB$87,'Fórmula'!F65,31)&lt;&gt;"",INDEX(properties!A$1:CB$87,'Fórmula'!F65,31)),IF(INDEX(properties!A$1:CB$87,'Fórmula'!H65,31)&lt;&gt;"",INDEX(properties!A$1:CB$87,'Fórmula'!H65,31)),IF(INDEX(properties!A$1:CB$87,'Fórmula'!J65,31)&lt;&gt;"",INDEX(properties!A$1:CB$87,'Fórmula'!J65,31)))</f>
        <v>1.170776</v>
      </c>
      <c r="CW65" s="118">
        <f t="array" ref="CW65">MAX(INDEX(properties!A$1:CB$87,'Fórmula'!B65,31),INDEX(properties!A$1:CB$87,'Fórmula'!D65,31),INDEX(properties!A$1:CB$87,'Fórmula'!F65,31),INDEX(properties!A$1:CB$87,'Fórmula'!H65,31),INDEX(properties!A$1:CB$87,'Fórmula'!J65,31))</f>
        <v>3.32</v>
      </c>
      <c r="CX65" s="118">
        <f t="array" ref="CX65">MIN(IF(INDEX(properties!A$1:CB$87,'Fórmula'!B65,31)=0,10^6,INDEX(properties!A$1:CB$87,'Fórmula'!B65,31)),IF(INDEX(properties!A$1:CB$87,'Fórmula'!D65,31)=0,10^6,INDEX(properties!A$1:CB$87,'Fórmula'!D65,31)),IF(INDEX(properties!A$1:CB$87,'Fórmula'!F65,31)=0,10^6,INDEX(properties!A$1:CB$87,'Fórmula'!F65,31)),IF(INDEX(properties!A$1:CB$87,'Fórmula'!H65,31)=0,10^6,INDEX(properties!A$1:CB$87,'Fórmula'!H65,31)),IF(INDEX(properties!A$1:CB$87,'Fórmula'!J65,31)=0,10^6,INDEX(properties!A$1:CB$87,'Fórmula'!J65,31)))</f>
        <v>1.13</v>
      </c>
      <c r="CY65" s="118">
        <f t="shared" si="17"/>
        <v>2.19</v>
      </c>
      <c r="CZ65" s="119">
        <f t="array" ref="CZ65">(('Fórmula'!C65)/('Fórmula'!C65+'Fórmula'!E65+'Fórmula'!G65+'Fórmula'!I65+'Fórmula'!K65))*(INDEX(properties!A$1:CB$87,'Fórmula'!B65,32))+(('Fórmula'!E65)/('Fórmula'!C65+'Fórmula'!E65+'Fórmula'!G65+'Fórmula'!I65+'Fórmula'!K65))*(INDEX(properties!A$1:CB$87,'Fórmula'!D65,32))+(('Fórmula'!G65)/('Fórmula'!C65+'Fórmula'!E65+'Fórmula'!G65+'Fórmula'!I65+'Fórmula'!K65))*(INDEX(properties!A$1:CB$87,'Fórmula'!F65,32))+(('Fórmula'!I65)/('Fórmula'!C65+'Fórmula'!E65+'Fórmula'!G65+'Fórmula'!I65+'Fórmula'!K65))*(INDEX(properties!A$1:CB$87,'Fórmula'!H65,32))+(('Fórmula'!K65)/('Fórmula'!C65+'Fórmula'!E65+'Fórmula'!G65+'Fórmula'!I65+'Fórmula'!K65))*(INDEX(properties!A$1:CB$87,'Fórmula'!J65,32))</f>
        <v>5.62</v>
      </c>
      <c r="DA65" s="119">
        <f t="array" ref="DA65">'Fórmula'!C65*(INDEX(properties!A$1:CB$87,'Fórmula'!B65,32))+'Fórmula'!E65*(INDEX(properties!A$1:CB$87,'Fórmula'!D65,32))+'Fórmula'!G65*(INDEX(properties!A$1:CB$87,'Fórmula'!F65,32))+'Fórmula'!I65*(INDEX(properties!A$1:CB$87,'Fórmula'!H65,32))+'Fórmula'!K65*(INDEX(properties!A$1:CB$87,'Fórmula'!J65,32))</f>
        <v>89.92</v>
      </c>
      <c r="DB65" s="119">
        <f t="array" ref="DB65">VARP(IF(INDEX(properties!A$1:CB$87,'Fórmula'!B65,32)&lt;&gt;"",INDEX(properties!A$1:CB$87,'Fórmula'!B65,32)),IF(INDEX(properties!A$1:CB$87,'Fórmula'!D65,32)&lt;&gt;"",INDEX(properties!A$1:CB$87,'Fórmula'!D65,32)),IF(INDEX(properties!A$1:CB$87,'Fórmula'!F65,32)&lt;&gt;"",INDEX(properties!A$1:CB$87,'Fórmula'!F65,32)),IF(INDEX(properties!A$1:CB$87,'Fórmula'!H65,32)&lt;&gt;"",INDEX(properties!A$1:CB$87,'Fórmula'!H65,32)),IF(INDEX(properties!A$1:CB$87,'Fórmula'!J65,32)&lt;&gt;"",INDEX(properties!A$1:CB$87,'Fórmula'!J65,32)))</f>
        <v>6.299144</v>
      </c>
      <c r="DC65" s="119">
        <f t="array" ref="DC65">MAX(INDEX(properties!A$1:CB$87,'Fórmula'!B65,32),INDEX(properties!A$1:CB$87,'Fórmula'!D65,32),INDEX(properties!A$1:CB$87,'Fórmula'!F65,32),INDEX(properties!A$1:CB$87,'Fórmula'!H65,32),INDEX(properties!A$1:CB$87,'Fórmula'!J65,32))</f>
        <v>7.54</v>
      </c>
      <c r="DD65" s="119">
        <f t="array" ref="DD65">MIN(IF(INDEX(properties!A$1:CB$87,'Fórmula'!B65,32)=0,10^6,INDEX(properties!A$1:CB$87,'Fórmula'!B65,32)),IF(INDEX(properties!A$1:CB$87,'Fórmula'!D65,32)=0,10^6,INDEX(properties!A$1:CB$87,'Fórmula'!D65,32)),IF(INDEX(properties!A$1:CB$87,'Fórmula'!F65,32)=0,10^6,INDEX(properties!A$1:CB$87,'Fórmula'!F65,32)),IF(INDEX(properties!A$1:CB$87,'Fórmula'!H65,32)=0,10^6,INDEX(properties!A$1:CB$87,'Fórmula'!H65,32)),IF(INDEX(properties!A$1:CB$87,'Fórmula'!J65,32)=0,10^6,INDEX(properties!A$1:CB$87,'Fórmula'!J65,32)))</f>
        <v>2</v>
      </c>
      <c r="DE65" s="119">
        <f t="shared" si="18"/>
        <v>5.54</v>
      </c>
      <c r="DF65" s="104">
        <f t="array" ref="DF65">(('Fórmula'!C65)/('Fórmula'!C65+'Fórmula'!E65+'Fórmula'!G65+'Fórmula'!I65+'Fórmula'!K65))*(INDEX(properties!A$1:CB$87,'Fórmula'!B65,34))+(('Fórmula'!E65)/('Fórmula'!C65+'Fórmula'!E65+'Fórmula'!G65+'Fórmula'!I65+'Fórmula'!K65))*(INDEX(properties!A$1:CB$87,'Fórmula'!D65,34))+(('Fórmula'!G65)/('Fórmula'!C65+'Fórmula'!E65+'Fórmula'!G65+'Fórmula'!I65+'Fórmula'!K65))*(INDEX(properties!A$1:CB$87,'Fórmula'!F65,34))+(('Fórmula'!I65)/('Fórmula'!C65+'Fórmula'!E65+'Fórmula'!G65+'Fórmula'!I65+'Fórmula'!K65))*(INDEX(properties!A$1:CB$87,'Fórmula'!H65,34))+(('Fórmula'!K65)/('Fórmula'!C65+'Fórmula'!E65+'Fórmula'!G65+'Fórmula'!I65+'Fórmula'!K65))*(INDEX(properties!A$1:CB$87,'Fórmula'!J65,34))</f>
        <v>2.66575</v>
      </c>
      <c r="DG65" s="104">
        <f t="array" ref="DG65">'Fórmula'!C65*(INDEX(properties!A$1:CB$87,'Fórmula'!B65,34))+'Fórmula'!E65*(INDEX(properties!A$1:CB$87,'Fórmula'!D65,34))+'Fórmula'!G65*(INDEX(properties!A$1:CB$87,'Fórmula'!F65,34))+'Fórmula'!I65*(INDEX(properties!A$1:CB$87,'Fórmula'!H65,34))+'Fórmula'!K65*(INDEX(properties!A$1:CB$87,'Fórmula'!J65,34))</f>
        <v>42.652</v>
      </c>
      <c r="DH65" s="104">
        <f t="array" ref="DH65">VARP(IF(INDEX(properties!A$1:CB$87,'Fórmula'!B65,34)&lt;&gt;"",INDEX(properties!A$1:CB$87,'Fórmula'!B65,34)),IF(INDEX(properties!A$1:CB$87,'Fórmula'!D65,34)&lt;&gt;"",INDEX(properties!A$1:CB$87,'Fórmula'!D65,34)),IF(INDEX(properties!A$1:CB$87,'Fórmula'!F65,34)&lt;&gt;"",INDEX(properties!A$1:CB$87,'Fórmula'!F65,34)),IF(INDEX(properties!A$1:CB$87,'Fórmula'!H65,34)&lt;&gt;"",INDEX(properties!A$1:CB$87,'Fórmula'!H65,34)),IF(INDEX(properties!A$1:CB$87,'Fórmula'!J65,34)&lt;&gt;"",INDEX(properties!A$1:CB$87,'Fórmula'!J65,34)))</f>
        <v>1.48531256</v>
      </c>
      <c r="DI65" s="104">
        <f t="array" ref="DI65">MAX(INDEX(properties!A$1:CB$87,'Fórmula'!B65,34),INDEX(properties!A$1:CB$87,'Fórmula'!D65,34),INDEX(properties!A$1:CB$87,'Fórmula'!F65,34),INDEX(properties!A$1:CB$87,'Fórmula'!H65,34),INDEX(properties!A$1:CB$87,'Fórmula'!J65,34))</f>
        <v>3.61</v>
      </c>
      <c r="DJ65" s="104">
        <f t="array" ref="DJ65">MIN(IF(INDEX(properties!A$1:CB$87,'Fórmula'!B65,34)=0,10^6,INDEX(properties!A$1:CB$87,'Fórmula'!B65,34)),IF(INDEX(properties!A$1:CB$87,'Fórmula'!D65,34)=0,10^6,INDEX(properties!A$1:CB$87,'Fórmula'!D65,34)),IF(INDEX(properties!A$1:CB$87,'Fórmula'!F65,34)=0,10^6,INDEX(properties!A$1:CB$87,'Fórmula'!F65,34)),IF(INDEX(properties!A$1:CB$87,'Fórmula'!H65,34)=0,10^6,INDEX(properties!A$1:CB$87,'Fórmula'!H65,34)),IF(INDEX(properties!A$1:CB$87,'Fórmula'!J65,34)=0,10^6,INDEX(properties!A$1:CB$87,'Fórmula'!J65,34)))</f>
        <v>0.963</v>
      </c>
      <c r="DK65" s="104">
        <f t="shared" si="19"/>
        <v>2.647</v>
      </c>
      <c r="DL65" s="105">
        <f t="array" ref="DL65">(('Fórmula'!C65)/('Fórmula'!C65+'Fórmula'!E65+'Fórmula'!G65+'Fórmula'!I65+'Fórmula'!K65))*(INDEX(properties!A$1:CB$87,'Fórmula'!B65,37))+(('Fórmula'!E65)/('Fórmula'!C65+'Fórmula'!E65+'Fórmula'!G65+'Fórmula'!I65+'Fórmula'!K65))*(INDEX(properties!A$1:CB$87,'Fórmula'!D65,37))+(('Fórmula'!G65)/('Fórmula'!C65+'Fórmula'!E65+'Fórmula'!G65+'Fórmula'!I65+'Fórmula'!K65))*(INDEX(properties!A$1:CB$87,'Fórmula'!F65,37))+(('Fórmula'!I65)/('Fórmula'!C65+'Fórmula'!E65+'Fórmula'!G65+'Fórmula'!I65+'Fórmula'!K65))*(INDEX(properties!A$1:CB$87,'Fórmula'!H65,37))+(('Fórmula'!K65)/('Fórmula'!C65+'Fórmula'!E65+'Fórmula'!G65+'Fórmula'!I65+'Fórmula'!K65))*(INDEX(properties!A$1:CB$87,'Fórmula'!J65,37))</f>
        <v>2.565625</v>
      </c>
      <c r="DM65" s="105">
        <f t="array" ref="DM65">'Fórmula'!C65*(INDEX(properties!A$1:CB$87,'Fórmula'!B65,37))+'Fórmula'!E65*(INDEX(properties!A$1:CB$87,'Fórmula'!D65,37))+'Fórmula'!G65*(INDEX(properties!A$1:CB$87,'Fórmula'!F65,37))+'Fórmula'!I65*(INDEX(properties!A$1:CB$87,'Fórmula'!H65,37))+'Fórmula'!K65*(INDEX(properties!A$1:CB$87,'Fórmula'!J65,37))</f>
        <v>41.05</v>
      </c>
      <c r="DN65" s="105">
        <f t="array" ref="DN65">VARP(IF(INDEX(properties!A$1:CB$87,'Fórmula'!B65,37)&lt;&gt;"",INDEX(properties!A$1:CB$87,'Fórmula'!B65,37)),IF(INDEX(properties!A$1:CB$87,'Fórmula'!D65,37)&lt;&gt;"",INDEX(properties!A$1:CB$87,'Fórmula'!D65,37)),IF(INDEX(properties!A$1:CB$87,'Fórmula'!F65,37)&lt;&gt;"",INDEX(properties!A$1:CB$87,'Fórmula'!F65,37)),IF(INDEX(properties!A$1:CB$87,'Fórmula'!H65,37)&lt;&gt;"",INDEX(properties!A$1:CB$87,'Fórmula'!H65,37)),IF(INDEX(properties!A$1:CB$87,'Fórmula'!J65,37)&lt;&gt;"",INDEX(properties!A$1:CB$87,'Fórmula'!J65,37)))</f>
        <v>1.2996</v>
      </c>
      <c r="DO65" s="105">
        <f t="array" ref="DO65">MAX(INDEX(properties!A$1:CB$87,'Fórmula'!B65,37),INDEX(properties!A$1:CB$87,'Fórmula'!D65,37),INDEX(properties!A$1:CB$87,'Fórmula'!F65,37),INDEX(properties!A$1:CB$87,'Fórmula'!H65,37),INDEX(properties!A$1:CB$87,'Fórmula'!J65,37))</f>
        <v>3.45</v>
      </c>
      <c r="DP65" s="105">
        <f t="array" ref="DP65">MIN(IF(INDEX(properties!A$1:CB$87,'Fórmula'!B65,37)=0,10^6,INDEX(properties!A$1:CB$87,'Fórmula'!B65,37)),IF(INDEX(properties!A$1:CB$87,'Fórmula'!D65,37)=0,10^6,INDEX(properties!A$1:CB$87,'Fórmula'!D65,37)),IF(INDEX(properties!A$1:CB$87,'Fórmula'!F65,37)=0,10^6,INDEX(properties!A$1:CB$87,'Fórmula'!F65,37)),IF(INDEX(properties!A$1:CB$87,'Fórmula'!H65,37)=0,10^6,INDEX(properties!A$1:CB$87,'Fórmula'!H65,37)),IF(INDEX(properties!A$1:CB$87,'Fórmula'!J65,37)=0,10^6,INDEX(properties!A$1:CB$87,'Fórmula'!J65,37)))</f>
        <v>1</v>
      </c>
      <c r="DQ65" s="105">
        <f t="shared" si="20"/>
        <v>2.45</v>
      </c>
      <c r="DR65" s="109">
        <f t="array" ref="DR65">(('Fórmula'!C65)/('Fórmula'!C65+'Fórmula'!E65+'Fórmula'!G65+'Fórmula'!I65+'Fórmula'!K65))*(INDEX(properties!A$1:CB$87,'Fórmula'!B65,39))+(('Fórmula'!E65)/('Fórmula'!C65+'Fórmula'!E65+'Fórmula'!G65+'Fórmula'!I65+'Fórmula'!K65))*(INDEX(properties!A$1:CB$87,'Fórmula'!D65,39))+(('Fórmula'!G65)/('Fórmula'!C65+'Fórmula'!E65+'Fórmula'!G65+'Fórmula'!I65+'Fórmula'!K65))*(INDEX(properties!A$1:CB$87,'Fórmula'!F65,39))+(('Fórmula'!I65)/('Fórmula'!C65+'Fórmula'!E65+'Fórmula'!G65+'Fórmula'!I65+'Fórmula'!K65))*(INDEX(properties!A$1:CB$87,'Fórmula'!H65,39))+(('Fórmula'!K65)/('Fórmula'!C65+'Fórmula'!E65+'Fórmula'!G65+'Fórmula'!I65+'Fórmula'!K65))*(INDEX(properties!A$1:CB$87,'Fórmula'!J65,39))</f>
        <v>0.97625</v>
      </c>
      <c r="DS65" s="109">
        <f t="array" ref="DS65">'Fórmula'!C65*(INDEX(properties!A$1:CB$87,'Fórmula'!B65,39))+'Fórmula'!E65*(INDEX(properties!A$1:CB$87,'Fórmula'!D65,39))+'Fórmula'!G65*(INDEX(properties!A$1:CB$87,'Fórmula'!F65,39))+'Fórmula'!I65*(INDEX(properties!A$1:CB$87,'Fórmula'!H65,39))+'Fórmula'!K65*(INDEX(properties!A$1:CB$87,'Fórmula'!J65,39))</f>
        <v>15.62</v>
      </c>
      <c r="DT65" s="109">
        <f t="array" ref="DT65">VARP(IF(INDEX(properties!A$1:CB$87,'Fórmula'!B65,39)&lt;&gt;"",INDEX(properties!A$1:CB$87,'Fórmula'!B65,39)),IF(INDEX(properties!A$1:CB$87,'Fórmula'!D65,39)&lt;&gt;"",INDEX(properties!A$1:CB$87,'Fórmula'!D65,39)),IF(INDEX(properties!A$1:CB$87,'Fórmula'!F65,39)&lt;&gt;"",INDEX(properties!A$1:CB$87,'Fórmula'!F65,39)),IF(INDEX(properties!A$1:CB$87,'Fórmula'!H65,39)&lt;&gt;"",INDEX(properties!A$1:CB$87,'Fórmula'!H65,39)),IF(INDEX(properties!A$1:CB$87,'Fórmula'!J65,39)&lt;&gt;"",INDEX(properties!A$1:CB$87,'Fórmula'!J65,39)))</f>
        <v>0.774136</v>
      </c>
      <c r="DU65" s="120">
        <f t="array" ref="DU65">MAX(INDEX(properties!A$1:CB$87,'Fórmula'!B65,39),INDEX(properties!A$1:CB$87,'Fórmula'!D65,39),INDEX(properties!A$1:CB$87,'Fórmula'!F65,39),INDEX(properties!A$1:CB$87,'Fórmula'!H65,39),INDEX(properties!A$1:CB$87,'Fórmula'!J65,39))</f>
        <v>2.19</v>
      </c>
      <c r="DV65" s="120">
        <f t="array" ref="DV65">MIN(IF(INDEX(properties!A$1:CB$87,'Fórmula'!B65,39)=0,10^6,INDEX(properties!A$1:CB$87,'Fórmula'!B65,39)),IF(INDEX(properties!A$1:CB$87,'Fórmula'!D65,39)=0,10^6,INDEX(properties!A$1:CB$87,'Fórmula'!D65,39)),IF(INDEX(properties!A$1:CB$87,'Fórmula'!F65,39)=0,10^6,INDEX(properties!A$1:CB$87,'Fórmula'!F65,39)),IF(INDEX(properties!A$1:CB$87,'Fórmula'!H65,39)=0,10^6,INDEX(properties!A$1:CB$87,'Fórmula'!H65,39)),IF(INDEX(properties!A$1:CB$87,'Fórmula'!J65,39)=0,10^6,INDEX(properties!A$1:CB$87,'Fórmula'!J65,39)))</f>
        <v>0.48</v>
      </c>
      <c r="DW65" s="109">
        <f t="shared" si="21"/>
        <v>1.71</v>
      </c>
      <c r="DX65" s="110">
        <f t="array" ref="DX65">(('Fórmula'!C65)/('Fórmula'!C65+'Fórmula'!E65+'Fórmula'!G65+'Fórmula'!I65+'Fórmula'!K65))*(INDEX(properties!A$1:CB$87,'Fórmula'!B65,40))+(('Fórmula'!E65)/('Fórmula'!C65+'Fórmula'!E65+'Fórmula'!G65+'Fórmula'!I65+'Fórmula'!K65))*(INDEX(properties!A$1:CB$87,'Fórmula'!D65,40))+(('Fórmula'!G65)/('Fórmula'!C65+'Fórmula'!E65+'Fórmula'!G65+'Fórmula'!I65+'Fórmula'!K65))*(INDEX(properties!A$1:CB$87,'Fórmula'!F65,40))+(('Fórmula'!I65)/('Fórmula'!C65+'Fórmula'!E65+'Fórmula'!G65+'Fórmula'!I65+'Fórmula'!K65))*(INDEX(properties!A$1:CB$87,'Fórmula'!H65,40))+(('Fórmula'!K65)/('Fórmula'!C65+'Fórmula'!E65+'Fórmula'!G65+'Fórmula'!I65+'Fórmula'!K65))*(INDEX(properties!A$1:CB$87,'Fórmula'!J65,40))</f>
        <v>1.025625</v>
      </c>
      <c r="DY65" s="110">
        <f t="array" ref="DY65">'Fórmula'!C65*(INDEX(properties!A$1:CB$87,'Fórmula'!B65,40))+'Fórmula'!E65*(INDEX(properties!A$1:CB$87,'Fórmula'!D65,40))+'Fórmula'!G65*(INDEX(properties!A$1:CB$87,'Fórmula'!F65,40))+'Fórmula'!I65*(INDEX(properties!A$1:CB$87,'Fórmula'!H65,40))+'Fórmula'!K65*(INDEX(properties!A$1:CB$87,'Fórmula'!J65,40))</f>
        <v>16.41</v>
      </c>
      <c r="DZ65" s="110">
        <f t="array" ref="DZ65">VARP(IF(INDEX(properties!A$1:CB$87,'Fórmula'!B65,40)&lt;&gt;"",INDEX(properties!A$1:CB$87,'Fórmula'!B65,40)),IF(INDEX(properties!A$1:CB$87,'Fórmula'!D65,40)&lt;&gt;"",INDEX(properties!A$1:CB$87,'Fórmula'!D65,40)),IF(INDEX(properties!A$1:CB$87,'Fórmula'!F65,40)&lt;&gt;"",INDEX(properties!A$1:CB$87,'Fórmula'!F65,40)),IF(INDEX(properties!A$1:CB$87,'Fórmula'!H65,40)&lt;&gt;"",INDEX(properties!A$1:CB$87,'Fórmula'!H65,40)),IF(INDEX(properties!A$1:CB$87,'Fórmula'!J65,40)&lt;&gt;"",INDEX(properties!A$1:CB$87,'Fórmula'!J65,40)))</f>
        <v>0.466896</v>
      </c>
      <c r="EA65" s="121">
        <f t="array" ref="EA65">MAX(INDEX(properties!A$1:CB$87,'Fórmula'!B65,40),INDEX(properties!A$1:CB$87,'Fórmula'!D65,40),INDEX(properties!A$1:CB$87,'Fórmula'!F65,40),INDEX(properties!A$1:CB$87,'Fórmula'!H65,40),INDEX(properties!A$1:CB$87,'Fórmula'!J65,40))</f>
        <v>1.92</v>
      </c>
      <c r="EB65" s="121">
        <f t="array" ref="EB65">MIN(IF(INDEX(properties!A$1:CB$87,'Fórmula'!B65,40)=0,10^6,INDEX(properties!A$1:CB$87,'Fórmula'!B65,40)),IF(INDEX(properties!A$1:CB$87,'Fórmula'!D65,40)=0,10^6,INDEX(properties!A$1:CB$87,'Fórmula'!D65,40)),IF(INDEX(properties!A$1:CB$87,'Fórmula'!F65,40)=0,10^6,INDEX(properties!A$1:CB$87,'Fórmula'!F65,40)),IF(INDEX(properties!A$1:CB$87,'Fórmula'!H65,40)=0,10^6,INDEX(properties!A$1:CB$87,'Fórmula'!H65,40)),IF(INDEX(properties!A$1:CB$87,'Fórmula'!J65,40)=0,10^6,INDEX(properties!A$1:CB$87,'Fórmula'!J65,40)))</f>
        <v>0.73</v>
      </c>
      <c r="EC65" s="110">
        <f t="shared" si="22"/>
        <v>1.19</v>
      </c>
      <c r="ED65" s="111">
        <f t="array" ref="ED65">(('Fórmula'!C65)/('Fórmula'!C65+'Fórmula'!E65+'Fórmula'!G65+'Fórmula'!I65+'Fórmula'!K65))*(INDEX(properties!A$1:CB$87,'Fórmula'!B65,41))+(('Fórmula'!E65)/('Fórmula'!C65+'Fórmula'!E65+'Fórmula'!G65+'Fórmula'!I65+'Fórmula'!K65))*(INDEX(properties!A$1:CB$87,'Fórmula'!D65,41))+(('Fórmula'!G65)/('Fórmula'!C65+'Fórmula'!E65+'Fórmula'!G65+'Fórmula'!I65+'Fórmula'!K65))*(INDEX(properties!A$1:CB$87,'Fórmula'!F65,41))+(('Fórmula'!I65)/('Fórmula'!C65+'Fórmula'!E65+'Fórmula'!G65+'Fórmula'!I65+'Fórmula'!K65))*(INDEX(properties!A$1:CB$87,'Fórmula'!H65,41))+(('Fórmula'!K65)/('Fórmula'!C65+'Fórmula'!E65+'Fórmula'!G65+'Fórmula'!I65+'Fórmula'!K65))*(INDEX(properties!A$1:CB$87,'Fórmula'!J65,41))</f>
        <v>1.098125</v>
      </c>
      <c r="EE65" s="111">
        <f t="array" ref="EE65">'Fórmula'!C65*(INDEX(properties!A$1:CB$87,'Fórmula'!B65,41))+'Fórmula'!E65*(INDEX(properties!A$1:CB$87,'Fórmula'!D65,41))+'Fórmula'!G65*(INDEX(properties!A$1:CB$87,'Fórmula'!F65,41))+'Fórmula'!I65*(INDEX(properties!A$1:CB$87,'Fórmula'!H65,41))+'Fórmula'!K65*(INDEX(properties!A$1:CB$87,'Fórmula'!J65,41))</f>
        <v>17.57</v>
      </c>
      <c r="EF65" s="111">
        <f t="array" ref="EF65">VARP(IF(INDEX(properties!A$1:CB$87,'Fórmula'!B65,41)&lt;&gt;"",INDEX(properties!A$1:CB$87,'Fórmula'!B65,41)),IF(INDEX(properties!A$1:CB$87,'Fórmula'!D65,41)&lt;&gt;"",INDEX(properties!A$1:CB$87,'Fórmula'!D65,41)),IF(INDEX(properties!A$1:CB$87,'Fórmula'!F65,41)&lt;&gt;"",INDEX(properties!A$1:CB$87,'Fórmula'!F65,41)),IF(INDEX(properties!A$1:CB$87,'Fórmula'!H65,41)&lt;&gt;"",INDEX(properties!A$1:CB$87,'Fórmula'!H65,41)),IF(INDEX(properties!A$1:CB$87,'Fórmula'!J65,41)&lt;&gt;"",INDEX(properties!A$1:CB$87,'Fórmula'!J65,41)))</f>
        <v>0.266304</v>
      </c>
      <c r="EG65" s="122">
        <f t="array" ref="EG65">MAX(INDEX(properties!A$1:CB$87,'Fórmula'!B65,41),INDEX(properties!A$1:CB$87,'Fórmula'!D65,41),INDEX(properties!A$1:CB$87,'Fórmula'!F65,41),INDEX(properties!A$1:CB$87,'Fórmula'!H65,41),INDEX(properties!A$1:CB$87,'Fórmula'!J65,41))</f>
        <v>1.32</v>
      </c>
      <c r="EH65" s="122">
        <f t="array" ref="EH65">MIN(IF(INDEX(properties!A$1:CB$87,'Fórmula'!B65,41)=0,10^6,INDEX(properties!A$1:CB$87,'Fórmula'!B65,41)),IF(INDEX(properties!A$1:CB$87,'Fórmula'!D65,41)=0,10^6,INDEX(properties!A$1:CB$87,'Fórmula'!D65,41)),IF(INDEX(properties!A$1:CB$87,'Fórmula'!F65,41)=0,10^6,INDEX(properties!A$1:CB$87,'Fórmula'!F65,41)),IF(INDEX(properties!A$1:CB$87,'Fórmula'!H65,41)=0,10^6,INDEX(properties!A$1:CB$87,'Fórmula'!H65,41)),IF(INDEX(properties!A$1:CB$87,'Fórmula'!J65,41)=0,10^6,INDEX(properties!A$1:CB$87,'Fórmula'!J65,41)))</f>
        <v>0.41</v>
      </c>
      <c r="EI65" s="111">
        <f t="shared" si="23"/>
        <v>0.91</v>
      </c>
      <c r="EJ65" s="112">
        <f t="array" ref="EJ65">(('Fórmula'!C65)/('Fórmula'!C65+'Fórmula'!E65+'Fórmula'!G65+'Fórmula'!I65+'Fórmula'!K65))*(INDEX(properties!A$1:CB$87,'Fórmula'!B65,45))+(('Fórmula'!E65)/('Fórmula'!C65+'Fórmula'!E65+'Fórmula'!G65+'Fórmula'!I65+'Fórmula'!K65))*(INDEX(properties!A$1:CB$87,'Fórmula'!D65,45))+(('Fórmula'!G65)/('Fórmula'!C65+'Fórmula'!E65+'Fórmula'!G65+'Fórmula'!I65+'Fórmula'!K65))*(INDEX(properties!A$1:CB$87,'Fórmula'!F65,45))+(('Fórmula'!I65)/('Fórmula'!C65+'Fórmula'!E65+'Fórmula'!G65+'Fórmula'!I65+'Fórmula'!K65))*(INDEX(properties!A$1:CB$87,'Fórmula'!H65,45))+(('Fórmula'!K65)/('Fórmula'!C65+'Fórmula'!E65+'Fórmula'!G65+'Fórmula'!I65+'Fórmula'!K65))*(INDEX(properties!A$1:CB$87,'Fórmula'!J65,45))</f>
        <v>1.2</v>
      </c>
      <c r="EK65" s="112">
        <f t="array" ref="EK65">'Fórmula'!C65*(INDEX(properties!A$1:CB$87,'Fórmula'!B65,45))+'Fórmula'!E65*(INDEX(properties!A$1:CB$87,'Fórmula'!D65,45))+'Fórmula'!G65*(INDEX(properties!A$1:CB$87,'Fórmula'!F65,45))+'Fórmula'!I65*(INDEX(properties!A$1:CB$87,'Fórmula'!H65,45))+'Fórmula'!K65*(INDEX(properties!A$1:CB$87,'Fórmula'!J65,45))</f>
        <v>19.2</v>
      </c>
      <c r="EL65" s="112">
        <f t="array" ref="EL65">VARP(IF(INDEX(properties!A$1:CB$87,'Fórmula'!B65,45)&lt;&gt;"",INDEX(properties!A$1:CB$87,'Fórmula'!B65,45)),IF(INDEX(properties!A$1:CB$87,'Fórmula'!D65,45)&lt;&gt;"",INDEX(properties!A$1:CB$87,'Fórmula'!D65,45)),IF(INDEX(properties!A$1:CB$87,'Fórmula'!F65,45)&lt;&gt;"",INDEX(properties!A$1:CB$87,'Fórmula'!F65,45)),IF(INDEX(properties!A$1:CB$87,'Fórmula'!H65,45)&lt;&gt;"",INDEX(properties!A$1:CB$87,'Fórmula'!H65,45)),IF(INDEX(properties!A$1:CB$87,'Fórmula'!J65,45)&lt;&gt;"",INDEX(properties!A$1:CB$87,'Fórmula'!J65,45)))</f>
        <v>1.759464</v>
      </c>
      <c r="EM65" s="123">
        <f t="array" ref="EM65">MAX(INDEX(properties!A$1:CB$87,'Fórmula'!B65,45),INDEX(properties!A$1:CB$87,'Fórmula'!D65,45),INDEX(properties!A$1:CB$87,'Fórmula'!F65,45),INDEX(properties!A$1:CB$87,'Fórmula'!H65,45),INDEX(properties!A$1:CB$87,'Fórmula'!J65,45))</f>
        <v>3.21</v>
      </c>
      <c r="EN65" s="123">
        <f t="array" ref="EN65">MIN(IF(INDEX(properties!A$1:CB$87,'Fórmula'!B65,45)=0,10^6,INDEX(properties!A$1:CB$87,'Fórmula'!B65,45)),IF(INDEX(properties!A$1:CB$87,'Fórmula'!D65,45)=0,10^6,INDEX(properties!A$1:CB$87,'Fórmula'!D65,45)),IF(INDEX(properties!A$1:CB$87,'Fórmula'!F65,45)=0,10^6,INDEX(properties!A$1:CB$87,'Fórmula'!F65,45)),IF(INDEX(properties!A$1:CB$87,'Fórmula'!H65,45)=0,10^6,INDEX(properties!A$1:CB$87,'Fórmula'!H65,45)),IF(INDEX(properties!A$1:CB$87,'Fórmula'!J65,45)=0,10^6,INDEX(properties!A$1:CB$87,'Fórmula'!J65,45)))</f>
        <v>0.47</v>
      </c>
      <c r="EO65" s="112">
        <f t="shared" si="24"/>
        <v>2.74</v>
      </c>
      <c r="EP65" s="113">
        <f t="array" ref="EP65">(('Fórmula'!C65)/('Fórmula'!C65+'Fórmula'!E65+'Fórmula'!G65+'Fórmula'!I65+'Fórmula'!K65))*(INDEX(properties!A$1:CB$87,'Fórmula'!B65,46))+(('Fórmula'!E65)/('Fórmula'!C65+'Fórmula'!E65+'Fórmula'!G65+'Fórmula'!I65+'Fórmula'!K65))*(INDEX(properties!A$1:CB$87,'Fórmula'!D65,46))+(('Fórmula'!G65)/('Fórmula'!C65+'Fórmula'!E65+'Fórmula'!G65+'Fórmula'!I65+'Fórmula'!K65))*(INDEX(properties!A$1:CB$87,'Fórmula'!F65,46))+(('Fórmula'!I65)/('Fórmula'!C65+'Fórmula'!E65+'Fórmula'!G65+'Fórmula'!I65+'Fórmula'!K65))*(INDEX(properties!A$1:CB$87,'Fórmula'!H65,46))+(('Fórmula'!K65)/('Fórmula'!C65+'Fórmula'!E65+'Fórmula'!G65+'Fórmula'!I65+'Fórmula'!K65))*(INDEX(properties!A$1:CB$87,'Fórmula'!J65,46))</f>
        <v>1.04</v>
      </c>
      <c r="EQ65" s="113">
        <f t="array" ref="EQ65">'Fórmula'!C65*(INDEX(properties!A$1:CB$87,'Fórmula'!B65,46))+'Fórmula'!E65*(INDEX(properties!A$1:CB$87,'Fórmula'!D65,46))+'Fórmula'!G65*(INDEX(properties!A$1:CB$87,'Fórmula'!F65,46))+'Fórmula'!I65*(INDEX(properties!A$1:CB$87,'Fórmula'!H65,46))+'Fórmula'!K65*(INDEX(properties!A$1:CB$87,'Fórmula'!J65,46))</f>
        <v>16.64</v>
      </c>
      <c r="ER65" s="113">
        <f t="array" ref="ER65">VARP(IF(INDEX(properties!A$1:CB$87,'Fórmula'!B65,46)&lt;&gt;"",INDEX(properties!A$1:CB$87,'Fórmula'!B65,46)),IF(INDEX(properties!A$1:CB$87,'Fórmula'!D65,46)&lt;&gt;"",INDEX(properties!A$1:CB$87,'Fórmula'!D65,46)),IF(INDEX(properties!A$1:CB$87,'Fórmula'!F65,46)&lt;&gt;"",INDEX(properties!A$1:CB$87,'Fórmula'!F65,46)),IF(INDEX(properties!A$1:CB$87,'Fórmula'!H65,46)&lt;&gt;"",INDEX(properties!A$1:CB$87,'Fórmula'!H65,46)),IF(INDEX(properties!A$1:CB$87,'Fórmula'!J65,46)&lt;&gt;"",INDEX(properties!A$1:CB$87,'Fórmula'!J65,46)))</f>
        <v>0.286424</v>
      </c>
      <c r="ES65" s="124">
        <f t="array" ref="ES65">MAX(INDEX(properties!A$1:CB$87,'Fórmula'!B65,46),INDEX(properties!A$1:CB$87,'Fórmula'!D65,46),INDEX(properties!A$1:CB$87,'Fórmula'!F65,46),INDEX(properties!A$1:CB$87,'Fórmula'!H65,46),INDEX(properties!A$1:CB$87,'Fórmula'!J65,46))</f>
        <v>1.32</v>
      </c>
      <c r="ET65" s="124">
        <f t="array" ref="ET65">MIN(IF(INDEX(properties!A$1:CB$87,'Fórmula'!B65,46)=0,10^6,INDEX(properties!A$1:CB$87,'Fórmula'!B65,46)),IF(INDEX(properties!A$1:CB$87,'Fórmula'!D65,46)=0,10^6,INDEX(properties!A$1:CB$87,'Fórmula'!D65,46)),IF(INDEX(properties!A$1:CB$87,'Fórmula'!F65,46)=0,10^6,INDEX(properties!A$1:CB$87,'Fórmula'!F65,46)),IF(INDEX(properties!A$1:CB$87,'Fórmula'!H65,46)=0,10^6,INDEX(properties!A$1:CB$87,'Fórmula'!H65,46)),IF(INDEX(properties!A$1:CB$87,'Fórmula'!J65,46)=0,10^6,INDEX(properties!A$1:CB$87,'Fórmula'!J65,46)))</f>
        <v>0.25</v>
      </c>
      <c r="EU65" s="113">
        <f t="shared" si="25"/>
        <v>1.07</v>
      </c>
      <c r="EV65" s="114">
        <f t="array" ref="EV65">(('Fórmula'!C65)/('Fórmula'!C65+'Fórmula'!E65+'Fórmula'!G65+'Fórmula'!I65+'Fórmula'!K65))*(INDEX(properties!A$1:CB$87,'Fórmula'!B65,52))+(('Fórmula'!E65)/('Fórmula'!C65+'Fórmula'!E65+'Fórmula'!G65+'Fórmula'!I65+'Fórmula'!K65))*(INDEX(properties!A$1:CB$87,'Fórmula'!D65,52))+(('Fórmula'!G65)/('Fórmula'!C65+'Fórmula'!E65+'Fórmula'!G65+'Fórmula'!I65+'Fórmula'!K65))*(INDEX(properties!A$1:CB$87,'Fórmula'!F65,52))+(('Fórmula'!I65)/('Fórmula'!C65+'Fórmula'!E65+'Fórmula'!G65+'Fórmula'!I65+'Fórmula'!K65))*(INDEX(properties!A$1:CB$87,'Fórmula'!H65,52))+(('Fórmula'!K65)/('Fórmula'!C65+'Fórmula'!E65+'Fórmula'!G65+'Fórmula'!I65+'Fórmula'!K65))*(INDEX(properties!A$1:CB$87,'Fórmula'!J65,52))</f>
        <v>7.6023125</v>
      </c>
      <c r="EW65" s="114">
        <f t="array" ref="EW65">'Fórmula'!C65*(INDEX(properties!A$1:CB$87,'Fórmula'!B65,52))+'Fórmula'!E65*(INDEX(properties!A$1:CB$87,'Fórmula'!D65,52))+'Fórmula'!G65*(INDEX(properties!A$1:CB$87,'Fórmula'!F65,52))+'Fórmula'!I65*(INDEX(properties!A$1:CB$87,'Fórmula'!H65,52))+'Fórmula'!K65*(INDEX(properties!A$1:CB$87,'Fórmula'!J65,52))</f>
        <v>121.637</v>
      </c>
      <c r="EX65" s="114">
        <f t="array" ref="EX65">VARP(IF(INDEX(properties!A$1:CB$87,'Fórmula'!B65,52)&lt;&gt;"",INDEX(properties!A$1:CB$87,'Fórmula'!B65,52)),IF(INDEX(properties!A$1:CB$87,'Fórmula'!D65,52)&lt;&gt;"",INDEX(properties!A$1:CB$87,'Fórmula'!D65,52)),IF(INDEX(properties!A$1:CB$87,'Fórmula'!F65,52)&lt;&gt;"",INDEX(properties!A$1:CB$87,'Fórmula'!F65,52)),IF(INDEX(properties!A$1:CB$87,'Fórmula'!H65,52)&lt;&gt;"",INDEX(properties!A$1:CB$87,'Fórmula'!H65,52)),IF(INDEX(properties!A$1:CB$87,'Fórmula'!J65,52)&lt;&gt;"",INDEX(properties!A$1:CB$87,'Fórmula'!J65,52)))</f>
        <v>140.2936638</v>
      </c>
      <c r="EY65" s="114">
        <f t="array" ref="EY65">MAX(INDEX(properties!A$1:CB$87,'Fórmula'!B65,52),INDEX(properties!A$1:CB$87,'Fórmula'!D65,52),INDEX(properties!A$1:CB$87,'Fórmula'!F65,52),INDEX(properties!A$1:CB$87,'Fórmula'!H65,52),INDEX(properties!A$1:CB$87,'Fórmula'!J65,52))</f>
        <v>27.6</v>
      </c>
      <c r="EZ65" s="114">
        <f t="array" ref="EZ65">MIN(IF(INDEX(properties!A$1:CB$87,'Fórmula'!B65,52)=0,10^6,INDEX(properties!A$1:CB$87,'Fórmula'!B65,52)),IF(INDEX(properties!A$1:CB$87,'Fórmula'!D65,52)=0,10^6,INDEX(properties!A$1:CB$87,'Fórmula'!D65,52)),IF(INDEX(properties!A$1:CB$87,'Fórmula'!F65,52)=0,10^6,INDEX(properties!A$1:CB$87,'Fórmula'!F65,52)),IF(INDEX(properties!A$1:CB$87,'Fórmula'!H65,52)=0,10^6,INDEX(properties!A$1:CB$87,'Fórmula'!H65,52)),IF(INDEX(properties!A$1:CB$87,'Fórmula'!J65,52)=0,10^6,INDEX(properties!A$1:CB$87,'Fórmula'!J65,52)))</f>
        <v>0.793</v>
      </c>
      <c r="FA65" s="114">
        <f t="shared" si="26"/>
        <v>26.807</v>
      </c>
      <c r="FB65" s="115">
        <f t="array" ref="FB65">(('Fórmula'!C65)/('Fórmula'!C65+'Fórmula'!E65+'Fórmula'!G65+'Fórmula'!I65+'Fórmula'!K65))*(INDEX(properties!A$1:CB$87,'Fórmula'!B65,53))+(('Fórmula'!E65)/('Fórmula'!C65+'Fórmula'!E65+'Fórmula'!G65+'Fórmula'!I65+'Fórmula'!K65))*(INDEX(properties!A$1:CB$87,'Fórmula'!D65,53))+(('Fórmula'!G65)/('Fórmula'!C65+'Fórmula'!E65+'Fórmula'!G65+'Fórmula'!I65+'Fórmula'!K65))*(INDEX(properties!A$1:CB$87,'Fórmula'!F65,53))+(('Fórmula'!I65)/('Fórmula'!C65+'Fórmula'!E65+'Fórmula'!G65+'Fórmula'!I65+'Fórmula'!K65))*(INDEX(properties!A$1:CB$87,'Fórmula'!H65,53))+(('Fórmula'!K65)/('Fórmula'!C65+'Fórmula'!E65+'Fórmula'!G65+'Fórmula'!I65+'Fórmula'!K65))*(INDEX(properties!A$1:CB$87,'Fórmula'!J65,53))</f>
        <v>779.4875</v>
      </c>
      <c r="FC65" s="115">
        <f t="array" ref="FC65">'Fórmula'!C65*(INDEX(properties!A$1:CB$87,'Fórmula'!B65,53))+'Fórmula'!E65*(INDEX(properties!A$1:CB$87,'Fórmula'!D65,53))+'Fórmula'!G65*(INDEX(properties!A$1:CB$87,'Fórmula'!F65,53))+'Fórmula'!I65*(INDEX(properties!A$1:CB$87,'Fórmula'!H65,53))+'Fórmula'!K65*(INDEX(properties!A$1:CB$87,'Fórmula'!J65,53))</f>
        <v>12471.8</v>
      </c>
      <c r="FD65" s="115">
        <f t="array" ref="FD65">VARP(IF(INDEX(properties!A$1:CB$87,'Fórmula'!B65,53)&lt;&gt;"",INDEX(properties!A$1:CB$87,'Fórmula'!B65,53)),IF(INDEX(properties!A$1:CB$87,'Fórmula'!D65,53)&lt;&gt;"",INDEX(properties!A$1:CB$87,'Fórmula'!D65,53)),IF(INDEX(properties!A$1:CB$87,'Fórmula'!F65,53)&lt;&gt;"",INDEX(properties!A$1:CB$87,'Fórmula'!F65,53)),IF(INDEX(properties!A$1:CB$87,'Fórmula'!H65,53)&lt;&gt;"",INDEX(properties!A$1:CB$87,'Fórmula'!H65,53)),IF(INDEX(properties!A$1:CB$87,'Fórmula'!J65,53)&lt;&gt;"",INDEX(properties!A$1:CB$87,'Fórmula'!J65,53)))</f>
        <v>869082.8044</v>
      </c>
      <c r="FE65" s="115">
        <f t="array" ref="FE65">MAX(INDEX(properties!A$1:CB$87,'Fórmula'!B65,53),INDEX(properties!A$1:CB$87,'Fórmula'!D65,53),INDEX(properties!A$1:CB$87,'Fórmula'!F65,53),INDEX(properties!A$1:CB$87,'Fórmula'!H65,53),INDEX(properties!A$1:CB$87,'Fórmula'!J65,53))</f>
        <v>2352.15</v>
      </c>
      <c r="FF65" s="115">
        <f t="array" ref="FF65">MIN(IF(INDEX(properties!A$1:CB$87,'Fórmula'!B65,53)=0,10^6,INDEX(properties!A$1:CB$87,'Fórmula'!B65,53)),IF(INDEX(properties!A$1:CB$87,'Fórmula'!D65,53)=0,10^6,INDEX(properties!A$1:CB$87,'Fórmula'!D65,53)),IF(INDEX(properties!A$1:CB$87,'Fórmula'!F65,53)=0,10^6,INDEX(properties!A$1:CB$87,'Fórmula'!F65,53)),IF(INDEX(properties!A$1:CB$87,'Fórmula'!H65,53)=0,10^6,INDEX(properties!A$1:CB$87,'Fórmula'!H65,53)),IF(INDEX(properties!A$1:CB$87,'Fórmula'!J65,53)=0,10^6,INDEX(properties!A$1:CB$87,'Fórmula'!J65,53)))</f>
        <v>54.75</v>
      </c>
      <c r="FG65" s="115">
        <f t="shared" si="27"/>
        <v>2297.4</v>
      </c>
      <c r="FH65" s="117">
        <f t="array" ref="FH65">(('Fórmula'!C65)/('Fórmula'!C65+'Fórmula'!E65+'Fórmula'!G65+'Fórmula'!I65+'Fórmula'!K65))*(INDEX(properties!A$1:CB$87,'Fórmula'!B65,54))+(('Fórmula'!E65)/('Fórmula'!C65+'Fórmula'!E65+'Fórmula'!G65+'Fórmula'!I65+'Fórmula'!K65))*(INDEX(properties!A$1:CB$87,'Fórmula'!D65,54))+(('Fórmula'!G65)/('Fórmula'!C65+'Fórmula'!E65+'Fórmula'!G65+'Fórmula'!I65+'Fórmula'!K65))*(INDEX(properties!A$1:CB$87,'Fórmula'!F65,54))+(('Fórmula'!I65)/('Fórmula'!C65+'Fórmula'!E65+'Fórmula'!G65+'Fórmula'!I65+'Fórmula'!K65))*(INDEX(properties!A$1:CB$87,'Fórmula'!H65,54))+(('Fórmula'!K65)/('Fórmula'!C65+'Fórmula'!E65+'Fórmula'!G65+'Fórmula'!I65+'Fórmula'!K65))*(INDEX(properties!A$1:CB$87,'Fórmula'!J65,54))</f>
        <v>1388.621875</v>
      </c>
      <c r="FI65" s="117">
        <f t="array" ref="FI65">'Fórmula'!C65*(INDEX(properties!A$1:CB$87,'Fórmula'!B65,54))+'Fórmula'!E65*(INDEX(properties!A$1:CB$87,'Fórmula'!D65,54))+'Fórmula'!G65*(INDEX(properties!A$1:CB$87,'Fórmula'!F65,54))+'Fórmula'!I65*(INDEX(properties!A$1:CB$87,'Fórmula'!H65,54))+'Fórmula'!K65*(INDEX(properties!A$1:CB$87,'Fórmula'!J65,54))</f>
        <v>22217.95</v>
      </c>
      <c r="FJ65" s="117">
        <f t="array" ref="FJ65">VARP(IF(INDEX(properties!A$1:CB$87,'Fórmula'!B65,54)&lt;&gt;"",INDEX(properties!A$1:CB$87,'Fórmula'!B65,54)),IF(INDEX(properties!A$1:CB$87,'Fórmula'!D65,54)&lt;&gt;"",INDEX(properties!A$1:CB$87,'Fórmula'!D65,54)),IF(INDEX(properties!A$1:CB$87,'Fórmula'!F65,54)&lt;&gt;"",INDEX(properties!A$1:CB$87,'Fórmula'!F65,54)),IF(INDEX(properties!A$1:CB$87,'Fórmula'!H65,54)&lt;&gt;"",INDEX(properties!A$1:CB$87,'Fórmula'!H65,54)),IF(INDEX(properties!A$1:CB$87,'Fórmula'!J65,54)&lt;&gt;"",INDEX(properties!A$1:CB$87,'Fórmula'!J65,54)))</f>
        <v>3101252.513</v>
      </c>
      <c r="FK65" s="117">
        <f t="array" ref="FK65">MAX(INDEX(properties!A$1:CB$87,'Fórmula'!B65,54),INDEX(properties!A$1:CB$87,'Fórmula'!D65,54),INDEX(properties!A$1:CB$87,'Fórmula'!F65,54),INDEX(properties!A$1:CB$87,'Fórmula'!H65,54),INDEX(properties!A$1:CB$87,'Fórmula'!J65,54))</f>
        <v>4275</v>
      </c>
      <c r="FL65" s="117">
        <f t="array" ref="FL65">MIN(IF(INDEX(properties!A$1:CB$87,'Fórmula'!B65,54)=0,10^6,INDEX(properties!A$1:CB$87,'Fórmula'!B65,54)),IF(INDEX(properties!A$1:CB$87,'Fórmula'!D65,54)=0,10^6,INDEX(properties!A$1:CB$87,'Fórmula'!D65,54)),IF(INDEX(properties!A$1:CB$87,'Fórmula'!F65,54)=0,10^6,INDEX(properties!A$1:CB$87,'Fórmula'!F65,54)),IF(INDEX(properties!A$1:CB$87,'Fórmula'!H65,54)=0,10^6,INDEX(properties!A$1:CB$87,'Fórmula'!H65,54)),IF(INDEX(properties!A$1:CB$87,'Fórmula'!J65,54)=0,10^6,INDEX(properties!A$1:CB$87,'Fórmula'!J65,54)))</f>
        <v>90.15</v>
      </c>
      <c r="FM65" s="117">
        <f t="shared" si="28"/>
        <v>4184.85</v>
      </c>
      <c r="FN65" s="118">
        <f t="array" ref="FN65">(('Fórmula'!C65)/('Fórmula'!C65+'Fórmula'!E65+'Fórmula'!G65+'Fórmula'!I65+'Fórmula'!K65))*(INDEX(properties!A$1:CB$87,'Fórmula'!B65,55))+(('Fórmula'!E65)/('Fórmula'!C65+'Fórmula'!E65+'Fórmula'!G65+'Fórmula'!I65+'Fórmula'!K65))*(INDEX(properties!A$1:CB$87,'Fórmula'!D65,55))+(('Fórmula'!G65)/('Fórmula'!C65+'Fórmula'!E65+'Fórmula'!G65+'Fórmula'!I65+'Fórmula'!K65))*(INDEX(properties!A$1:CB$87,'Fórmula'!F65,55))+(('Fórmula'!I65)/('Fórmula'!C65+'Fórmula'!E65+'Fórmula'!G65+'Fórmula'!I65+'Fórmula'!K65))*(INDEX(properties!A$1:CB$87,'Fórmula'!H65,55))+(('Fórmula'!K65)/('Fórmula'!C65+'Fórmula'!E65+'Fórmula'!G65+'Fórmula'!I65+'Fórmula'!K65))*(INDEX(properties!A$1:CB$87,'Fórmula'!J65,55))</f>
        <v>1.212054375</v>
      </c>
      <c r="FO65" s="118">
        <f t="array" ref="FO65">'Fórmula'!C65*(INDEX(properties!A$1:CB$87,'Fórmula'!B65,55))+'Fórmula'!E65*(INDEX(properties!A$1:CB$87,'Fórmula'!D65,54))+'Fórmula'!G65*(INDEX(properties!A$1:CB$87,'Fórmula'!F65,55))+'Fórmula'!I65*(INDEX(properties!A$1:CB$87,'Fórmula'!H65,55))+'Fórmula'!K65*(INDEX(properties!A$1:CB$87,'Fórmula'!J65,55))</f>
        <v>3625.07287</v>
      </c>
      <c r="FP65" s="118">
        <f t="array" ref="FP65">VARP(IF(INDEX(properties!A$1:CB$87,'Fórmula'!B65,55)&lt;&gt;"",INDEX(properties!A$1:CB$87,'Fórmula'!B65,55)),IF(INDEX(properties!A$1:CB$87,'Fórmula'!D65,55)&lt;&gt;"",INDEX(properties!A$1:CB$87,'Fórmula'!D65,55)),IF(INDEX(properties!A$1:CB$87,'Fórmula'!F65,55)&lt;&gt;"",INDEX(properties!A$1:CB$87,'Fórmula'!F65,55)),IF(INDEX(properties!A$1:CB$87,'Fórmula'!H65,55)&lt;&gt;"",INDEX(properties!A$1:CB$87,'Fórmula'!H65,55)),IF(INDEX(properties!A$1:CB$87,'Fórmula'!J65,55)&lt;&gt;"",INDEX(properties!A$1:CB$87,'Fórmula'!J65,55)))</f>
        <v>2.909056391</v>
      </c>
      <c r="FQ65" s="118">
        <f t="array" ref="FQ65">MAX(INDEX(properties!A$1:CB$87,'Fórmula'!B65,55),INDEX(properties!A$1:CB$87,'Fórmula'!D65,55),INDEX(properties!A$1:CB$87,'Fórmula'!F65,55),INDEX(properties!A$1:CB$87,'Fórmula'!H65,55),INDEX(properties!A$1:CB$87,'Fórmula'!J65,55))</f>
        <v>4.47</v>
      </c>
      <c r="FR65" s="118">
        <f t="array" ref="FR65">MIN(IF(INDEX(properties!A$1:CB$87,'Fórmula'!B65,55)=0,10^6,INDEX(properties!A$1:CB$87,'Fórmula'!B65,55)),IF(INDEX(properties!A$1:CB$87,'Fórmula'!D65,55)=0,10^6,INDEX(properties!A$1:CB$87,'Fórmula'!D65,55)),IF(INDEX(properties!A$1:CB$87,'Fórmula'!F65,55)=0,10^6,INDEX(properties!A$1:CB$87,'Fórmula'!F65,55)),IF(INDEX(properties!A$1:CB$87,'Fórmula'!H65,55)=0,10^6,INDEX(properties!A$1:CB$87,'Fórmula'!H65,55)),IF(INDEX(properties!A$1:CB$87,'Fórmula'!J65,55)=0,10^6,INDEX(properties!A$1:CB$87,'Fórmula'!J65,55)))</f>
        <v>0.00143</v>
      </c>
      <c r="FS65" s="118">
        <f t="shared" si="29"/>
        <v>4.46857</v>
      </c>
      <c r="FT65" s="119">
        <f t="array" ref="FT65">(('Fórmula'!C65)/('Fórmula'!C65+'Fórmula'!E65+'Fórmula'!G65+'Fórmula'!I65+'Fórmula'!K65))*(INDEX(properties!A$1:CB$87,'Fórmula'!B65,56))+(('Fórmula'!E65)/('Fórmula'!C65+'Fórmula'!E65+'Fórmula'!G65+'Fórmula'!I65+'Fórmula'!K65))*(INDEX(properties!A$1:CB$87,'Fórmula'!D65,56))+(('Fórmula'!G65)/('Fórmula'!C65+'Fórmula'!E65+'Fórmula'!G65+'Fórmula'!I65+'Fórmula'!K65))*(INDEX(properties!A$1:CB$87,'Fórmula'!F65,56))+(('Fórmula'!I65)/('Fórmula'!C65+'Fórmula'!E65+'Fórmula'!G65+'Fórmula'!I65+'Fórmula'!K65))*(INDEX(properties!A$1:CB$87,'Fórmula'!H65,56))+(('Fórmula'!K65)/('Fórmula'!C65+'Fórmula'!E65+'Fórmula'!G65+'Fórmula'!I65+'Fórmula'!K65))*(INDEX(properties!A$1:CB$87,'Fórmula'!J65,56))</f>
        <v>0.78375</v>
      </c>
      <c r="FU65" s="119">
        <f t="array" ref="FU65">'Fórmula'!C65*(INDEX(properties!A$1:CB$87,'Fórmula'!B65,56))+'Fórmula'!E65*(INDEX(properties!A$1:CB$87,'Fórmula'!D65,56))+'Fórmula'!G65*(INDEX(properties!A$1:CB$87,'Fórmula'!F65,56))+'Fórmula'!I65*(INDEX(properties!A$1:CB$87,'Fórmula'!H65,56))+'Fórmula'!K65*(INDEX(properties!A$1:CB$87,'Fórmula'!J65,56))</f>
        <v>12.54</v>
      </c>
      <c r="FV65" s="119">
        <f t="array" ref="FV65">VARP(IF(INDEX(properties!A$1:CB$87,'Fórmula'!B65,56)&lt;&gt;"",INDEX(properties!A$1:CB$87,'Fórmula'!B65,56)),IF(INDEX(properties!A$1:CB$87,'Fórmula'!D65,56)&lt;&gt;"",INDEX(properties!A$1:CB$87,'Fórmula'!D65,56)),IF(INDEX(properties!A$1:CB$87,'Fórmula'!F65,56)&lt;&gt;"",INDEX(properties!A$1:CB$87,'Fórmula'!F65,56)),IF(INDEX(properties!A$1:CB$87,'Fórmula'!H65,56)&lt;&gt;"",INDEX(properties!A$1:CB$87,'Fórmula'!H65,56)),IF(INDEX(properties!A$1:CB$87,'Fórmula'!J65,56)&lt;&gt;"",INDEX(properties!A$1:CB$87,'Fórmula'!J65,56)))</f>
        <v>0.155296</v>
      </c>
      <c r="FW65" s="119">
        <f t="array" ref="FW65">MAX(INDEX(properties!A$1:CB$87,'Fórmula'!B65,56),INDEX(properties!A$1:CB$87,'Fórmula'!D65,56),INDEX(properties!A$1:CB$87,'Fórmula'!F65,56),INDEX(properties!A$1:CB$87,'Fórmula'!H65,56),INDEX(properties!A$1:CB$87,'Fórmula'!J65,56))</f>
        <v>1.02</v>
      </c>
      <c r="FX65" s="119">
        <f t="array" ref="FX65">MIN(IF(INDEX(properties!A$1:CB$87,'Fórmula'!B65,56)=0,10^6,INDEX(properties!A$1:CB$87,'Fórmula'!B65,56)),IF(INDEX(properties!A$1:CB$87,'Fórmula'!D65,56)=0,10^6,INDEX(properties!A$1:CB$87,'Fórmula'!D65,56)),IF(INDEX(properties!A$1:CB$87,'Fórmula'!F65,56)=0,10^6,INDEX(properties!A$1:CB$87,'Fórmula'!F65,56)),IF(INDEX(properties!A$1:CB$87,'Fórmula'!H65,56)=0,10^6,INDEX(properties!A$1:CB$87,'Fórmula'!H65,56)),IF(INDEX(properties!A$1:CB$87,'Fórmula'!J65,56)=0,10^6,INDEX(properties!A$1:CB$87,'Fórmula'!J65,56)))</f>
        <v>0.3</v>
      </c>
      <c r="FY65" s="119">
        <f t="shared" si="30"/>
        <v>0.72</v>
      </c>
      <c r="FZ65" s="104">
        <f t="array" ref="FZ65">(('Fórmula'!C65)/('Fórmula'!C65+'Fórmula'!E65+'Fórmula'!G65+'Fórmula'!I65+'Fórmula'!K65))*(INDEX(properties!A$1:CB$87,'Fórmula'!B65,57))+(('Fórmula'!E65)/('Fórmula'!C65+'Fórmula'!E65+'Fórmula'!G65+'Fórmula'!I65+'Fórmula'!K65))*(INDEX(properties!A$1:CB$87,'Fórmula'!D65,57))+(('Fórmula'!G65)/('Fórmula'!C65+'Fórmula'!E65+'Fórmula'!G65+'Fórmula'!I65+'Fórmula'!K65))*(INDEX(properties!A$1:CB$87,'Fórmula'!F65,57))+(('Fórmula'!I65)/('Fórmula'!C65+'Fórmula'!E65+'Fórmula'!G65+'Fórmula'!I65+'Fórmula'!K65))*(INDEX(properties!A$1:CB$87,'Fórmula'!H65,57))+(('Fórmula'!K65)/('Fórmula'!C65+'Fórmula'!E65+'Fórmula'!G65+'Fórmula'!I65+'Fórmula'!K65))*(INDEX(properties!A$1:CB$87,'Fórmula'!J65,57))</f>
        <v>11.80645688</v>
      </c>
      <c r="GA65" s="104">
        <f t="array" ref="GA65">'Fórmula'!C65*(INDEX(properties!A$1:CB$87,'Fórmula'!B65,57))+'Fórmula'!E65*(INDEX(properties!A$1:CB$87,'Fórmula'!D65,57))+'Fórmula'!G65*(INDEX(properties!A$1:CB$87,'Fórmula'!F65,57))+'Fórmula'!I65*(INDEX(properties!A$1:CB$87,'Fórmula'!H65,57))+'Fórmula'!K65*(INDEX(properties!A$1:CB$87,'Fórmula'!J65,57))</f>
        <v>188.90331</v>
      </c>
      <c r="GB65" s="104">
        <f t="array" ref="GB65">VARP(IF(INDEX(properties!A$1:CB$87,'Fórmula'!B65,57)&lt;&gt;"",INDEX(properties!A$1:CB$87,'Fórmula'!B65,57)),IF(INDEX(properties!A$1:CB$87,'Fórmula'!D65,57)&lt;&gt;"",INDEX(properties!A$1:CB$87,'Fórmula'!D65,57)),IF(INDEX(properties!A$1:CB$87,'Fórmula'!F65,57)&lt;&gt;"",INDEX(properties!A$1:CB$87,'Fórmula'!F65,57)),IF(INDEX(properties!A$1:CB$87,'Fórmula'!H65,57)&lt;&gt;"",INDEX(properties!A$1:CB$87,'Fórmula'!H65,57)),IF(INDEX(properties!A$1:CB$87,'Fórmula'!J65,57)&lt;&gt;"",INDEX(properties!A$1:CB$87,'Fórmula'!J65,57)))</f>
        <v>347.1008041</v>
      </c>
      <c r="GC65" s="104">
        <f t="array" ref="GC65">MAX(INDEX(properties!A$1:CB$87,'Fórmula'!B65,57),INDEX(properties!A$1:CB$87,'Fórmula'!D65,57),INDEX(properties!A$1:CB$87,'Fórmula'!F65,57),INDEX(properties!A$1:CB$87,'Fórmula'!H65,57),INDEX(properties!A$1:CB$87,'Fórmula'!J65,57))</f>
        <v>50.2</v>
      </c>
      <c r="GD65" s="104">
        <f t="array" ref="GD65">MIN(IF(INDEX(properties!A$1:CB$87,'Fórmula'!B65,57)=0,10^6,INDEX(properties!A$1:CB$87,'Fórmula'!B65,57)),IF(INDEX(properties!A$1:CB$87,'Fórmula'!D65,57)=0,10^6,INDEX(properties!A$1:CB$87,'Fórmula'!D65,57)),IF(INDEX(properties!A$1:CB$87,'Fórmula'!F65,57)=0,10^6,INDEX(properties!A$1:CB$87,'Fórmula'!F65,57)),IF(INDEX(properties!A$1:CB$87,'Fórmula'!H65,57)=0,10^6,INDEX(properties!A$1:CB$87,'Fórmula'!H65,57)),IF(INDEX(properties!A$1:CB$87,'Fórmula'!J65,57)=0,10^6,INDEX(properties!A$1:CB$87,'Fórmula'!J65,57)))</f>
        <v>0.22259</v>
      </c>
      <c r="GE65" s="104">
        <f t="shared" si="31"/>
        <v>49.97741</v>
      </c>
      <c r="GF65" s="105">
        <f t="array" ref="GF65">(('Fórmula'!C65)/('Fórmula'!C65+'Fórmula'!E65+'Fórmula'!G65+'Fórmula'!I65+'Fórmula'!K65))*(INDEX(properties!A$1:CB$87,'Fórmula'!B65,60))+(('Fórmula'!E65)/('Fórmula'!C65+'Fórmula'!E65+'Fórmula'!G65+'Fórmula'!I65+'Fórmula'!K65))*(INDEX(properties!A$1:CB$87,'Fórmula'!D65,60))+(('Fórmula'!G65)/('Fórmula'!C65+'Fórmula'!E65+'Fórmula'!G65+'Fórmula'!I65+'Fórmula'!K65))*(INDEX(properties!A$1:CB$87,'Fórmula'!F65,60))+(('Fórmula'!I65)/('Fórmula'!C65+'Fórmula'!E65+'Fórmula'!G65+'Fórmula'!I65+'Fórmula'!K65))*(INDEX(properties!A$1:CB$87,'Fórmula'!H65,60))+(('Fórmula'!K65)/('Fórmula'!C65+'Fórmula'!E65+'Fórmula'!G65+'Fórmula'!I65+'Fórmula'!K65))*(INDEX(properties!A$1:CB$87,'Fórmula'!J65,60))</f>
        <v>12.77129125</v>
      </c>
      <c r="GG65" s="105">
        <f t="array" ref="GG65">'Fórmula'!C65*(INDEX(properties!A$1:CB$87,'Fórmula'!B65,60))+'Fórmula'!E65*(INDEX(properties!A$1:CB$87,'Fórmula'!D65,60))+'Fórmula'!G65*(INDEX(properties!A$1:CB$87,'Fórmula'!F65,60))+'Fórmula'!I65*(INDEX(properties!A$1:CB$87,'Fórmula'!H65,60))+'Fórmula'!K65*(INDEX(properties!A$1:CB$87,'Fórmula'!J65,60))</f>
        <v>204.34066</v>
      </c>
      <c r="GH65" s="105">
        <f t="array" ref="GH65">VARP(IF(INDEX(properties!A$1:CB$87,'Fórmula'!B65,60)&lt;&gt;"",INDEX(properties!A$1:CB$87,'Fórmula'!B65,60)),IF(INDEX(properties!A$1:CB$87,'Fórmula'!D65,60)&lt;&gt;"",INDEX(properties!A$1:CB$87,'Fórmula'!D65,60)),IF(INDEX(properties!A$1:CB$87,'Fórmula'!F65,60)&lt;&gt;"",INDEX(properties!A$1:CB$87,'Fórmula'!F65,60)),IF(INDEX(properties!A$1:CB$87,'Fórmula'!H65,60)&lt;&gt;"",INDEX(properties!A$1:CB$87,'Fórmula'!H65,60)),IF(INDEX(properties!A$1:CB$87,'Fórmula'!J65,60)&lt;&gt;"",INDEX(properties!A$1:CB$87,'Fórmula'!J65,60)))</f>
        <v>201.206048</v>
      </c>
      <c r="GI65" s="105">
        <f t="array" ref="GI65">MAX(INDEX(properties!A$1:CB$87,'Fórmula'!B65,60),INDEX(properties!A$1:CB$87,'Fórmula'!D65,60),INDEX(properties!A$1:CB$87,'Fórmula'!F65,60),INDEX(properties!A$1:CB$87,'Fórmula'!H65,60),INDEX(properties!A$1:CB$87,'Fórmula'!J65,60))</f>
        <v>35.3</v>
      </c>
      <c r="GJ65" s="105">
        <f t="array" ref="GJ65">MIN(IF(INDEX(properties!A$1:CB$87,'Fórmula'!B65,60)=0,10^6,INDEX(properties!A$1:CB$87,'Fórmula'!B65,60)),IF(INDEX(properties!A$1:CB$87,'Fórmula'!D65,60)=0,10^6,INDEX(properties!A$1:CB$87,'Fórmula'!D65,60)),IF(INDEX(properties!A$1:CB$87,'Fórmula'!F65,60)=0,10^6,INDEX(properties!A$1:CB$87,'Fórmula'!F65,60)),IF(INDEX(properties!A$1:CB$87,'Fórmula'!H65,60)=0,10^6,INDEX(properties!A$1:CB$87,'Fórmula'!H65,60)),IF(INDEX(properties!A$1:CB$87,'Fórmula'!J65,60)=0,10^6,INDEX(properties!A$1:CB$87,'Fórmula'!J65,60)))</f>
        <v>0.02674</v>
      </c>
      <c r="GK65" s="105">
        <f t="shared" si="32"/>
        <v>35.27326</v>
      </c>
      <c r="GL65" s="106">
        <f t="array" ref="GL65">(('Fórmula'!C65)/('Fórmula'!C65+'Fórmula'!E65+'Fórmula'!G65+'Fórmula'!I65+'Fórmula'!K65))*(INDEX(properties!A$1:CB$87,'Fórmula'!B65,62))+(('Fórmula'!E65)/('Fórmula'!C65+'Fórmula'!E65+'Fórmula'!G65+'Fórmula'!I65+'Fórmula'!K65))*(INDEX(properties!A$1:CB$87,'Fórmula'!D65,62))+(('Fórmula'!G65)/('Fórmula'!C65+'Fórmula'!E65+'Fórmula'!G65+'Fórmula'!I65+'Fórmula'!K65))*(INDEX(properties!A$1:CB$87,'Fórmula'!F65,62))+(('Fórmula'!I65)/('Fórmula'!C65+'Fórmula'!E65+'Fórmula'!G65+'Fórmula'!I65+'Fórmula'!K65))*(INDEX(properties!A$1:CB$87,'Fórmula'!H65,62))+(('Fórmula'!K65)/('Fórmula'!C65+'Fórmula'!E65+'Fórmula'!G65+'Fórmula'!I65+'Fórmula'!K65))*(INDEX(properties!A$1:CB$87,'Fórmula'!J65,62))</f>
        <v>3.15875</v>
      </c>
      <c r="GM65" s="106">
        <f t="array" ref="GM65">'Fórmula'!C65*(INDEX(properties!A$1:CB$87,'Fórmula'!B65,62))+'Fórmula'!E65*(INDEX(properties!A$1:CB$87,'Fórmula'!D65,62))+'Fórmula'!G65*(INDEX(properties!A$1:CB$87,'Fórmula'!F65,62))+'Fórmula'!I65*(INDEX(properties!A$1:CB$87,'Fórmula'!H65,62))+'Fórmula'!K65*(INDEX(properties!A$1:CB$87,'Fórmula'!J65,62))</f>
        <v>50.54</v>
      </c>
      <c r="GN65" s="106">
        <f t="array" ref="GN65">VARP(IF(INDEX(properties!A$1:CB$87,'Fórmula'!B65,62)&lt;&gt;"",INDEX(properties!A$1:CB$87,'Fórmula'!B65,62)),IF(INDEX(properties!A$1:CB$87,'Fórmula'!D65,62)&lt;&gt;"",INDEX(properties!A$1:CB$87,'Fórmula'!D65,62)),IF(INDEX(properties!A$1:CB$87,'Fórmula'!F65,62)&lt;&gt;"",INDEX(properties!A$1:CB$87,'Fórmula'!F65,62)),IF(INDEX(properties!A$1:CB$87,'Fórmula'!H65,62)&lt;&gt;"",INDEX(properties!A$1:CB$87,'Fórmula'!H65,62)),IF(INDEX(properties!A$1:CB$87,'Fórmula'!J65,62)&lt;&gt;"",INDEX(properties!A$1:CB$87,'Fórmula'!J65,62)))</f>
        <v>4.101944</v>
      </c>
      <c r="GO65" s="106">
        <f t="array" ref="GO65">MAX(INDEX(properties!A$1:CB$87,'Fórmula'!B65,62),INDEX(properties!A$1:CB$87,'Fórmula'!D65,62),INDEX(properties!A$1:CB$87,'Fórmula'!F65,62),INDEX(properties!A$1:CB$87,'Fórmula'!H65,62),INDEX(properties!A$1:CB$87,'Fórmula'!J65,62))</f>
        <v>5.81</v>
      </c>
      <c r="GP65" s="106">
        <f t="array" ref="GP65">MIN(IF(INDEX(properties!A$1:CB$87,'Fórmula'!B65,62)=0,10^6,INDEX(properties!A$1:CB$87,'Fórmula'!B65,62)),IF(INDEX(properties!A$1:CB$87,'Fórmula'!D65,62)=0,10^6,INDEX(properties!A$1:CB$87,'Fórmula'!D65,62)),IF(INDEX(properties!A$1:CB$87,'Fórmula'!F65,62)=0,10^6,INDEX(properties!A$1:CB$87,'Fórmula'!F65,62)),IF(INDEX(properties!A$1:CB$87,'Fórmula'!H65,62)=0,10^6,INDEX(properties!A$1:CB$87,'Fórmula'!H65,62)),IF(INDEX(properties!A$1:CB$87,'Fórmula'!J65,62)=0,10^6,INDEX(properties!A$1:CB$87,'Fórmula'!J65,62)))</f>
        <v>1.72</v>
      </c>
      <c r="GQ65" s="106">
        <f t="shared" si="33"/>
        <v>4.09</v>
      </c>
      <c r="GR65" s="106">
        <f>'Fórmula'!Q65</f>
        <v>148</v>
      </c>
      <c r="GS65" s="107">
        <f>'Fórmula'!P65</f>
        <v>4</v>
      </c>
      <c r="GT65" s="113" t="str">
        <f>'Fórmula'!O65</f>
        <v>4.17</v>
      </c>
      <c r="GU65" s="114">
        <f>AVERAGE('Fórmula'!R65/'Fórmula'!S65,'Fórmula'!S65/'Fórmula'!T65,'Fórmula'!T65/'Fórmula'!R65)</f>
        <v>1.030230705</v>
      </c>
      <c r="GV65" s="125">
        <f>'Fórmula'!U65</f>
        <v>1261.17</v>
      </c>
      <c r="GW65" s="106">
        <f>'Fórmula'!N65</f>
        <v>0.15</v>
      </c>
    </row>
    <row r="66" ht="14.25" customHeight="1">
      <c r="A66" s="99" t="str">
        <f>'Fórmula'!A66</f>
        <v>NaBaScSi2O7</v>
      </c>
      <c r="B66" s="100">
        <f t="array" ref="B66">(('Fórmula'!C66)/('Fórmula'!C66+'Fórmula'!E66+'Fórmula'!G66+'Fórmula'!I66+'Fórmula'!K66))*(INDEX(properties!A$1:CB$87,'Fórmula'!B66,3))+(('Fórmula'!E66)/('Fórmula'!C66+'Fórmula'!E66+'Fórmula'!G66+'Fórmula'!I66+'Fórmula'!K66))*(INDEX(properties!A$1:CB$87,'Fórmula'!D66,3))+(('Fórmula'!G66)/('Fórmula'!C66+'Fórmula'!E66+'Fórmula'!G66+'Fórmula'!I66+'Fórmula'!K66))*(INDEX(properties!A$1:CB$87,'Fórmula'!F66,3))+(('Fórmula'!I66)/('Fórmula'!C66+'Fórmula'!E66+'Fórmula'!G66+'Fórmula'!I66+'Fórmula'!K66))*(INDEX(properties!A$1:CB$87,'Fórmula'!H66,3))+(('Fórmula'!K66)/('Fórmula'!C66+'Fórmula'!E66+'Fórmula'!G66+'Fórmula'!I66+'Fórmula'!K66))*(INDEX(properties!A$1:CB$87,'Fórmula'!J66,3))</f>
        <v>31.1199565</v>
      </c>
      <c r="C66" s="101">
        <f t="array" ref="C66">'Fórmula'!C66*(INDEX(properties!A$1:CB$87,'Fórmula'!B66,3))+'Fórmula'!E66*(INDEX(properties!A$1:CB$87,'Fórmula'!D66,3))+'Fórmula'!G66*(INDEX(properties!A$1:CB$87,'Fórmula'!F66,3))+'Fórmula'!I66*(INDEX(properties!A$1:CB$87,'Fórmula'!H66,3))+'Fórmula'!K66*(INDEX(properties!A$1:CB$87,'Fórmula'!J66,3))</f>
        <v>373.439478</v>
      </c>
      <c r="D66" s="101">
        <f t="array" ref="D66">VARP(IF(INDEX(properties!A$1:CB$87,'Fórmula'!B66,3)&lt;&gt;"",INDEX(properties!A$1:CB$87,'Fórmula'!B66,3)),IF(INDEX(properties!A$1:CB$87,'Fórmula'!D66,3)&lt;&gt;"",INDEX(properties!A$1:CB$87,'Fórmula'!D66,3)),IF(INDEX(properties!A$1:CB$87,'Fórmula'!F66,3)&lt;&gt;"",INDEX(properties!A$1:CB$87,'Fórmula'!F66,3)),IF(INDEX(properties!A$1:CB$87,'Fórmula'!H66,3)&lt;&gt;"",INDEX(properties!A$1:CB$87,'Fórmula'!H66,3)),IF(INDEX(properties!A$1:CB$87,'Fórmula'!J66,3)&lt;&gt;"",INDEX(properties!A$1:CB$87,'Fórmula'!J66,3)))</f>
        <v>2003.440795</v>
      </c>
      <c r="E66" s="101">
        <f t="array" ref="E66">MAX(INDEX(properties!A$1:CB$87,'Fórmula'!B66,3),INDEX(properties!A$1:CB$87,'Fórmula'!D66,3),INDEX(properties!A$1:CB$87,'Fórmula'!F66,3),INDEX(properties!A$1:CB$87,'Fórmula'!H66,3),INDEX(properties!A$1:CB$87,'Fórmula'!J66,3))</f>
        <v>137.327</v>
      </c>
      <c r="F66" s="101">
        <f t="array" ref="F66">MIN(IF(INDEX(properties!A$1:CB$87,'Fórmula'!B66,3)=0,10^6,INDEX(properties!A$1:CB$87,'Fórmula'!B66,3)),IF(INDEX(properties!A$1:CB$87,'Fórmula'!D66,3)=0,10^6,INDEX(properties!A$1:CB$87,'Fórmula'!D66,3)),IF(INDEX(properties!A$1:CB$87,'Fórmula'!F66,3)=0,10^6,INDEX(properties!A$1:CB$87,'Fórmula'!F66,3)),IF(INDEX(properties!A$1:CB$87,'Fórmula'!H66,3)=0,10^6,INDEX(properties!A$1:CB$87,'Fórmula'!H66,3)),IF(INDEX(properties!A$1:CB$87,'Fórmula'!J66,3)=0,10^6,INDEX(properties!A$1:CB$87,'Fórmula'!J66,3)))</f>
        <v>15.9994</v>
      </c>
      <c r="G66" s="101">
        <f t="shared" si="1"/>
        <v>121.3276</v>
      </c>
      <c r="H66" s="102">
        <f t="array" ref="H66">(('Fórmula'!C66)/('Fórmula'!C66+'Fórmula'!E66+'Fórmula'!G66+'Fórmula'!I66+'Fórmula'!K66))*(INDEX(properties!A$1:CB$87,'Fórmula'!B66,4))+(('Fórmula'!E66)/('Fórmula'!C66+'Fórmula'!E66+'Fórmula'!G66+'Fórmula'!I66+'Fórmula'!K66))*(INDEX(properties!A$1:CB$87,'Fórmula'!D66,4))+(('Fórmula'!G66)/('Fórmula'!C66+'Fórmula'!E66+'Fórmula'!G66+'Fórmula'!I66+'Fórmula'!K66))*(INDEX(properties!A$1:CB$87,'Fórmula'!F66,4))+(('Fórmula'!I66)/('Fórmula'!C66+'Fórmula'!E66+'Fórmula'!G66+'Fórmula'!I66+'Fórmula'!K66))*(INDEX(properties!A$1:CB$87,'Fórmula'!H66,4))+(('Fórmula'!K66)/('Fórmula'!C66+'Fórmula'!E66+'Fórmula'!G66+'Fórmula'!I66+'Fórmula'!K66))*(INDEX(properties!A$1:CB$87,'Fórmula'!J66,4))</f>
        <v>14.33333333</v>
      </c>
      <c r="I66" s="102">
        <f t="array" ref="I66">'Fórmula'!C66*(INDEX(properties!A$1:CB$87,'Fórmula'!B66,4))+'Fórmula'!E66*(INDEX(properties!A$1:CB$87,'Fórmula'!D66,4))+'Fórmula'!G66*(INDEX(properties!A$1:CB$87,'Fórmula'!F66,4))+'Fórmula'!I66*(INDEX(properties!A$1:CB$87,'Fórmula'!H66,4))+'Fórmula'!K66*(INDEX(properties!A$1:CB$87,'Fórmula'!J66,4))</f>
        <v>172</v>
      </c>
      <c r="J66" s="102">
        <f t="array" ref="J66">VARP(IF(INDEX(properties!A$1:CB$87,'Fórmula'!B66,4)&lt;&gt;"",INDEX(properties!A$1:CB$87,'Fórmula'!B66,4)),IF(INDEX(properties!A$1:CB$87,'Fórmula'!D66,4)&lt;&gt;"",INDEX(properties!A$1:CB$87,'Fórmula'!D66,4)),IF(INDEX(properties!A$1:CB$87,'Fórmula'!F66,4)&lt;&gt;"",INDEX(properties!A$1:CB$87,'Fórmula'!F66,4)),IF(INDEX(properties!A$1:CB$87,'Fórmula'!H66,4)&lt;&gt;"",INDEX(properties!A$1:CB$87,'Fórmula'!H66,4)),IF(INDEX(properties!A$1:CB$87,'Fórmula'!J66,4)&lt;&gt;"",INDEX(properties!A$1:CB$87,'Fórmula'!J66,4)))</f>
        <v>307.6</v>
      </c>
      <c r="K66" s="102">
        <f t="array" ref="K66">MAX(INDEX(properties!A$1:CB$87,'Fórmula'!B66,4),INDEX(properties!A$1:CB$87,'Fórmula'!D66,4),INDEX(properties!A$1:CB$87,'Fórmula'!F66,4),INDEX(properties!A$1:CB$87,'Fórmula'!H66,4),INDEX(properties!A$1:CB$87,'Fórmula'!J66,4))</f>
        <v>56</v>
      </c>
      <c r="L66" s="102">
        <f t="array" ref="L66">MIN(IF(INDEX(properties!A$1:CB$87,'Fórmula'!B66,4)=0,10^6,INDEX(properties!A$1:CB$87,'Fórmula'!B66,4)),IF(INDEX(properties!A$1:CB$87,'Fórmula'!D66,4)=0,10^6,INDEX(properties!A$1:CB$87,'Fórmula'!D66,4)),IF(INDEX(properties!A$1:CB$87,'Fórmula'!F66,4)=0,10^6,INDEX(properties!A$1:CB$87,'Fórmula'!F66,4)),IF(INDEX(properties!A$1:CB$87,'Fórmula'!H66,4)=0,10^6,INDEX(properties!A$1:CB$87,'Fórmula'!H66,4)),IF(INDEX(properties!A$1:CB$87,'Fórmula'!J66,4)=0,10^6,INDEX(properties!A$1:CB$87,'Fórmula'!J66,4)))</f>
        <v>8</v>
      </c>
      <c r="M66" s="102">
        <f t="shared" si="2"/>
        <v>48</v>
      </c>
      <c r="N66" s="103">
        <f t="array" ref="N66">(('Fórmula'!C66)/('Fórmula'!C66+'Fórmula'!E66+'Fórmula'!G66+'Fórmula'!I66+'Fórmula'!K66))*(INDEX(properties!A$1:CB$87,'Fórmula'!B66,5))+(('Fórmula'!E66)/('Fórmula'!C66+'Fórmula'!E66+'Fórmula'!G66+'Fórmula'!I66+'Fórmula'!K66))*(INDEX(properties!A$1:CB$87,'Fórmula'!D66,5))+(('Fórmula'!G66)/('Fórmula'!C66+'Fórmula'!E66+'Fórmula'!G66+'Fórmula'!I66+'Fórmula'!K66))*(INDEX(properties!A$1:CB$87,'Fórmula'!F66,5))+(('Fórmula'!I66)/('Fórmula'!C66+'Fórmula'!E66+'Fórmula'!G66+'Fórmula'!I66+'Fórmula'!K66))*(INDEX(properties!A$1:CB$87,'Fórmula'!H66,5))+(('Fórmula'!K66)/('Fórmula'!C66+'Fórmula'!E66+'Fórmula'!G66+'Fórmula'!I66+'Fórmula'!K66))*(INDEX(properties!A$1:CB$87,'Fórmula'!J66,5))</f>
        <v>2.75</v>
      </c>
      <c r="O66" s="103">
        <f t="array" ref="O66">'Fórmula'!C66*(INDEX(properties!A$1:CB$87,'Fórmula'!B66,5))+'Fórmula'!E66*(INDEX(properties!A$1:CB$87,'Fórmula'!D66,5))+'Fórmula'!G66*(INDEX(properties!A$1:CB$87,'Fórmula'!F66,5))+'Fórmula'!I66*(INDEX(properties!A$1:CB$87,'Fórmula'!H66,5))+'Fórmula'!K66*(INDEX(properties!A$1:CB$87,'Fórmula'!J66,5))</f>
        <v>33</v>
      </c>
      <c r="P66" s="103">
        <f t="array" ref="P66">VARP(IF(INDEX(properties!A$1:CB$87,'Fórmula'!B66,5)&lt;&gt;"",INDEX(properties!A$1:CB$87,'Fórmula'!B66,5)),IF(INDEX(properties!A$1:CB$87,'Fórmula'!D66,5)&lt;&gt;"",INDEX(properties!A$1:CB$87,'Fórmula'!D66,5)),IF(INDEX(properties!A$1:CB$87,'Fórmula'!F66,5)&lt;&gt;"",INDEX(properties!A$1:CB$87,'Fórmula'!F66,5)),IF(INDEX(properties!A$1:CB$87,'Fórmula'!H66,5)&lt;&gt;"",INDEX(properties!A$1:CB$87,'Fórmula'!H66,5)),IF(INDEX(properties!A$1:CB$87,'Fórmula'!J66,5)&lt;&gt;"",INDEX(properties!A$1:CB$87,'Fórmula'!J66,5)))</f>
        <v>1.84</v>
      </c>
      <c r="Q66" s="103">
        <f t="array" ref="Q66">MAX(INDEX(properties!A$1:CB$87,'Fórmula'!B66,5),INDEX(properties!A$1:CB$87,'Fórmula'!D66,5),INDEX(properties!A$1:CB$87,'Fórmula'!F66,5),INDEX(properties!A$1:CB$87,'Fórmula'!H66,5),INDEX(properties!A$1:CB$87,'Fórmula'!J66,5))</f>
        <v>6</v>
      </c>
      <c r="R66" s="103">
        <f t="array" ref="R66">MIN(IF(INDEX(properties!A$1:CB$87,'Fórmula'!B66,5)=0,10^6,INDEX(properties!A$1:CB$87,'Fórmula'!B66,5)),IF(INDEX(properties!A$1:CB$87,'Fórmula'!D66,5)=0,10^6,INDEX(properties!A$1:CB$87,'Fórmula'!D66,5)),IF(INDEX(properties!A$1:CB$87,'Fórmula'!F66,5)=0,10^6,INDEX(properties!A$1:CB$87,'Fórmula'!F66,5)),IF(INDEX(properties!A$1:CB$87,'Fórmula'!H66,5)=0,10^6,INDEX(properties!A$1:CB$87,'Fórmula'!H66,5)),IF(INDEX(properties!A$1:CB$87,'Fórmula'!J66,5)=0,10^6,INDEX(properties!A$1:CB$87,'Fórmula'!J66,5)))</f>
        <v>2</v>
      </c>
      <c r="S66" s="103">
        <f t="shared" si="3"/>
        <v>4</v>
      </c>
      <c r="T66" s="104">
        <f t="array" ref="T66">(('Fórmula'!C66)/('Fórmula'!C66+'Fórmula'!E66+'Fórmula'!G66+'Fórmula'!I66+'Fórmula'!K66))*(INDEX(properties!A$1:CB$87,'Fórmula'!B66,6))+(('Fórmula'!E66)/('Fórmula'!C66+'Fórmula'!E66+'Fórmula'!G66+'Fórmula'!I66+'Fórmula'!K66))*(INDEX(properties!A$1:CB$87,'Fórmula'!D66,6))+(('Fórmula'!G66)/('Fórmula'!C66+'Fórmula'!E66+'Fórmula'!G66+'Fórmula'!I66+'Fórmula'!K66))*(INDEX(properties!A$1:CB$87,'Fórmula'!F66,6))+(('Fórmula'!I66)/('Fórmula'!C66+'Fórmula'!E66+'Fórmula'!G66+'Fórmula'!I66+'Fórmula'!K66))*(INDEX(properties!A$1:CB$87,'Fórmula'!H66,6))+(('Fórmula'!K66)/('Fórmula'!C66+'Fórmula'!E66+'Fórmula'!G66+'Fórmula'!I66+'Fórmula'!K66))*(INDEX(properties!A$1:CB$87,'Fórmula'!J66,6))</f>
        <v>12.16666667</v>
      </c>
      <c r="U66" s="104">
        <f t="array" ref="U66">'Fórmula'!C66*(INDEX(properties!A$1:CB$87,'Fórmula'!B66,6))+'Fórmula'!E66*(INDEX(properties!A$1:CB$87,'Fórmula'!D66,6))+'Fórmula'!G66*(INDEX(properties!A$1:CB$87,'Fórmula'!F66,6))+'Fórmula'!I66*(INDEX(properties!A$1:CB$87,'Fórmula'!H66,6))+'Fórmula'!K66*(INDEX(properties!A$1:CB$87,'Fórmula'!J66,6))</f>
        <v>146</v>
      </c>
      <c r="V66" s="103">
        <f t="array" ref="V66">VARP(IF(INDEX(properties!A$1:CB$87,'Fórmula'!B66,6)&lt;&gt;"",INDEX(properties!A$1:CB$87,'Fórmula'!B66,6)),IF(INDEX(properties!A$1:CB$87,'Fórmula'!D66,6)&lt;&gt;"",INDEX(properties!A$1:CB$87,'Fórmula'!D66,6)),IF(INDEX(properties!A$1:CB$87,'Fórmula'!F66,6)&lt;&gt;"",INDEX(properties!A$1:CB$87,'Fórmula'!F66,6)),IF(INDEX(properties!A$1:CB$87,'Fórmula'!H66,6)&lt;&gt;"",INDEX(properties!A$1:CB$87,'Fórmula'!H66,6)),IF(INDEX(properties!A$1:CB$87,'Fórmula'!J66,6)&lt;&gt;"",INDEX(properties!A$1:CB$87,'Fórmula'!J66,6)))</f>
        <v>41.36</v>
      </c>
      <c r="W66" s="104">
        <f t="array" ref="W66">MAX(INDEX(properties!A$1:CB$87,'Fórmula'!B66,6),INDEX(properties!A$1:CB$87,'Fórmula'!D66,6),INDEX(properties!A$1:CB$87,'Fórmula'!F66,6),INDEX(properties!A$1:CB$87,'Fórmula'!H66,4),INDEX(properties!A$1:CB$87,'Fórmula'!J66,6))</f>
        <v>16</v>
      </c>
      <c r="X66" s="104">
        <f t="array" ref="X66">MIN(IF(INDEX(properties!A$1:CB$87,'Fórmula'!B66,6)=0,10^6,INDEX(properties!A$1:CB$87,'Fórmula'!B66,6)),IF(INDEX(properties!A$1:CB$87,'Fórmula'!D66,6)=0,10^6,INDEX(properties!A$1:CB$87,'Fórmula'!D66,6)),IF(INDEX(properties!A$1:CB$87,'Fórmula'!F66,6)=0,10^6,INDEX(properties!A$1:CB$87,'Fórmula'!F66,6)),IF(INDEX(properties!A$1:CB$87,'Fórmula'!H66,6)=0,10^6,INDEX(properties!A$1:CB$87,'Fórmula'!H66,6)),IF(INDEX(properties!A$1:CB$87,'Fórmula'!J66,6)=0,10^6,INDEX(properties!A$1:CB$87,'Fórmula'!J66,6)))</f>
        <v>1</v>
      </c>
      <c r="Y66" s="104">
        <f t="shared" si="4"/>
        <v>15</v>
      </c>
      <c r="Z66" s="105">
        <f t="array" ref="Z66">(('Fórmula'!C66)/('Fórmula'!C66+'Fórmula'!E66+'Fórmula'!G66+'Fórmula'!I66+'Fórmula'!K66))*(INDEX(properties!A$1:CB$87,'Fórmula'!B66,9))+(('Fórmula'!E66)/('Fórmula'!C66+'Fórmula'!E66+'Fórmula'!G66+'Fórmula'!I66+'Fórmula'!K66))*(INDEX(properties!A$1:CB$87,'Fórmula'!D66,9))+(('Fórmula'!G66)/('Fórmula'!C66+'Fórmula'!E66+'Fórmula'!G66+'Fórmula'!I66+'Fórmula'!K66))*(INDEX(properties!A$1:CB$87,'Fórmula'!F66,9))+(('Fórmula'!I66)/('Fórmula'!C66+'Fórmula'!E66+'Fórmula'!G66+'Fórmula'!I66+'Fórmula'!K66))*(INDEX(properties!A$1:CB$87,'Fórmula'!H66,9))+(('Fórmula'!K66)/('Fórmula'!C66+'Fórmula'!E66+'Fórmula'!G66+'Fórmula'!I66+'Fórmula'!K66))*(INDEX(properties!A$1:CB$87,'Fórmula'!J66,9))</f>
        <v>65.58333333</v>
      </c>
      <c r="AA66" s="105">
        <f t="array" ref="AA66">'Fórmula'!C66*(INDEX(properties!A$1:CB$87,'Fórmula'!B66,9))+'Fórmula'!E66*(INDEX(properties!A$1:CB$87,'Fórmula'!D66,9))+'Fórmula'!G66*(INDEX(properties!A$1:CB$87,'Fórmula'!F66,9))+'Fórmula'!I66*(INDEX(properties!A$1:CB$87,'Fórmula'!H66,9))+'Fórmula'!K66*(INDEX(properties!A$1:CB$87,'Fórmula'!J66,9))</f>
        <v>787</v>
      </c>
      <c r="AB66" s="105">
        <f t="array" ref="AB66">VARP(IF(INDEX(properties!A$1:CB$87,'Fórmula'!B66,9)&lt;&gt;"",INDEX(properties!A$1:CB$87,'Fórmula'!B66,9)),IF(INDEX(properties!A$1:CB$87,'Fórmula'!D66,9)&lt;&gt;"",INDEX(properties!A$1:CB$87,'Fórmula'!D66,9)),IF(INDEX(properties!A$1:CB$87,'Fórmula'!F66,9)&lt;&gt;"",INDEX(properties!A$1:CB$87,'Fórmula'!F66,9)),IF(INDEX(properties!A$1:CB$87,'Fórmula'!H66,9)&lt;&gt;"",INDEX(properties!A$1:CB$87,'Fórmula'!H66,9)),IF(INDEX(properties!A$1:CB$87,'Fórmula'!J66,9)&lt;&gt;"",INDEX(properties!A$1:CB$87,'Fórmula'!J66,9)))</f>
        <v>1373.04</v>
      </c>
      <c r="AC66" s="105">
        <f t="array" ref="AC66">MAX(INDEX(properties!A$1:CB$87,'Fórmula'!B66,9),INDEX(properties!A$1:CB$87,'Fórmula'!D66,9),INDEX(properties!A$1:CB$87,'Fórmula'!F66,9),INDEX(properties!A$1:CB$87,'Fórmula'!H66,9),INDEX(properties!A$1:CB$87,'Fórmula'!J66,9))</f>
        <v>87</v>
      </c>
      <c r="AD66" s="105">
        <f t="array" ref="AD66">MIN(IF(INDEX(properties!A$1:CB$87,'Fórmula'!B66,9)=0,10^6,INDEX(properties!A$1:CB$87,'Fórmula'!B66,9)),IF(INDEX(properties!A$1:CB$87,'Fórmula'!D66,9)=0,10^6,INDEX(properties!A$1:CB$87,'Fórmula'!D66,9)),IF(INDEX(properties!A$1:CB$87,'Fórmula'!F66,9)=0,10^6,INDEX(properties!A$1:CB$87,'Fórmula'!F66,9)),IF(INDEX(properties!A$1:CB$87,'Fórmula'!H66,9)=0,10^6,INDEX(properties!A$1:CB$87,'Fórmula'!H66,9)),IF(INDEX(properties!A$1:CB$87,'Fórmula'!J66,9)=0,10^6,INDEX(properties!A$1:CB$87,'Fórmula'!J66,9)))</f>
        <v>2</v>
      </c>
      <c r="AE66" s="105">
        <f t="shared" si="5"/>
        <v>85</v>
      </c>
      <c r="AF66" s="106">
        <f t="array" ref="AF66">(('Fórmula'!C66)/('Fórmula'!C66+'Fórmula'!E66+'Fórmula'!G66+'Fórmula'!I66+'Fórmula'!K66))*(INDEX(properties!A$1:CB$87,'Fórmula'!B66,10))+(('Fórmula'!E66)/('Fórmula'!C66+'Fórmula'!E66+'Fórmula'!G66+'Fórmula'!I66+'Fórmula'!K66))*(INDEX(properties!A$1:CB$87,'Fórmula'!D66,10))+(('Fórmula'!G66)/('Fórmula'!C66+'Fórmula'!E66+'Fórmula'!G66+'Fórmula'!I66+'Fórmula'!K66))*(INDEX(properties!A$1:CB$87,'Fórmula'!F66,10))+(('Fórmula'!I66)/('Fórmula'!C66+'Fórmula'!E66+'Fórmula'!G66+'Fórmula'!I66+'Fórmula'!K66))*(INDEX(properties!A$1:CB$87,'Fórmula'!H66,10))+(('Fórmula'!K66)/('Fórmula'!C66+'Fórmula'!E66+'Fórmula'!G66+'Fórmula'!I66+'Fórmula'!K66))*(INDEX(properties!A$1:CB$87,'Fórmula'!J66,10))</f>
        <v>5.583333333</v>
      </c>
      <c r="AG66" s="106">
        <f t="array" ref="AG66">'Fórmula'!C66*(INDEX(properties!A$1:CB$87,'Fórmula'!B66,10))+'Fórmula'!E66*(INDEX(properties!A$1:CB$87,'Fórmula'!D66,10))+'Fórmula'!G66*(INDEX(properties!A$1:CB$87,'Fórmula'!F66,10))+'Fórmula'!I66*(INDEX(properties!A$1:CB$87,'Fórmula'!H66,10))+'Fórmula'!K66*(INDEX(properties!A$1:CB$87,'Fórmula'!J66,10))</f>
        <v>67</v>
      </c>
      <c r="AH66" s="106">
        <f t="array" ref="AH66">VARP(IF(INDEX(properties!A$1:CB$87,'Fórmula'!B66,10)&lt;&gt;"",INDEX(properties!A$1:CB$87,'Fórmula'!B66,10)),IF(INDEX(properties!A$1:CB$87,'Fórmula'!D66,10)&lt;&gt;"",INDEX(properties!A$1:CB$87,'Fórmula'!D66,10)),IF(INDEX(properties!A$1:CB$87,'Fórmula'!F66,10)&lt;&gt;"",INDEX(properties!A$1:CB$87,'Fórmula'!F66,10)),IF(INDEX(properties!A$1:CB$87,'Fórmula'!H66,10)&lt;&gt;"",INDEX(properties!A$1:CB$87,'Fórmula'!H66,10)),IF(INDEX(properties!A$1:CB$87,'Fórmula'!J66,10)&lt;&gt;"",INDEX(properties!A$1:CB$87,'Fórmula'!J66,10)))</f>
        <v>5.36</v>
      </c>
      <c r="AI66" s="106">
        <f t="array" ref="AI66">MAX(INDEX(properties!A$1:CB$87,'Fórmula'!B66,10),INDEX(properties!A$1:CB$87,'Fórmula'!D66,10),INDEX(properties!A$1:CB$87,'Fórmula'!F66,10),INDEX(properties!A$1:CB$87,'Fórmula'!H66,10),INDEX(properties!A$1:CB$87,'Fórmula'!J66,10))</f>
        <v>7</v>
      </c>
      <c r="AJ66" s="106">
        <f t="array" ref="AJ66">MIN(IF(INDEX(properties!A$1:CB$87,'Fórmula'!B66,10)=0,10^6,INDEX(properties!A$1:CB$87,'Fórmula'!B66,10)),IF(INDEX(properties!A$1:CB$87,'Fórmula'!D66,10)=0,10^6,INDEX(properties!A$1:CB$87,'Fórmula'!D66,10)),IF(INDEX(properties!A$1:CB$87,'Fórmula'!F66,10)=0,10^6,INDEX(properties!A$1:CB$87,'Fórmula'!F66,10)),IF(INDEX(properties!A$1:CB$87,'Fórmula'!H66,10)=0,10^6,INDEX(properties!A$1:CB$87,'Fórmula'!H66,10)),IF(INDEX(properties!A$1:CB$87,'Fórmula'!J66,10)=0,10^6,INDEX(properties!A$1:CB$87,'Fórmula'!J66,10)))</f>
        <v>1</v>
      </c>
      <c r="AK66" s="106">
        <f t="shared" si="6"/>
        <v>6</v>
      </c>
      <c r="AL66" s="107">
        <f t="array" ref="AL66">(('Fórmula'!C66)/('Fórmula'!C66+'Fórmula'!E66+'Fórmula'!G66+'Fórmula'!I66+'Fórmula'!K66))*(INDEX(properties!A$1:CB$87,'Fórmula'!B66,11))+(('Fórmula'!E66)/('Fórmula'!C66+'Fórmula'!E66+'Fórmula'!G66+'Fórmula'!I66+'Fórmula'!K66))*(INDEX(properties!A$1:CB$87,'Fórmula'!D66,11))+(('Fórmula'!G66)/('Fórmula'!C66+'Fórmula'!E66+'Fórmula'!G66+'Fórmula'!I66+'Fórmula'!K66))*(INDEX(properties!A$1:CB$87,'Fórmula'!F66,11))+(('Fórmula'!I66)/('Fórmula'!C66+'Fórmula'!E66+'Fórmula'!G66+'Fórmula'!I66+'Fórmula'!K66))*(INDEX(properties!A$1:CB$87,'Fórmula'!H66,11))+(('Fórmula'!K66)/('Fórmula'!C66+'Fórmula'!E66+'Fórmula'!G66+'Fórmula'!I66+'Fórmula'!K66))*(INDEX(properties!A$1:CB$87,'Fórmula'!J66,11))</f>
        <v>1.916666667</v>
      </c>
      <c r="AM66" s="107">
        <f t="array" ref="AM66">'Fórmula'!C66*(INDEX(properties!A$1:CB$87,'Fórmula'!B66,11))+'Fórmula'!E66*(INDEX(properties!A$1:CB$87,'Fórmula'!D66,11))+'Fórmula'!G66*(INDEX(properties!A$1:CB$87,'Fórmula'!F66,11))+'Fórmula'!I66*(INDEX(properties!A$1:CB$87,'Fórmula'!H66,11))+'Fórmula'!K66*(INDEX(properties!A$1:CB$87,'Fórmula'!J66,11))</f>
        <v>23</v>
      </c>
      <c r="AN66" s="107">
        <f t="array" ref="AN66">VARP(IF(INDEX(properties!A$1:CB$87,'Fórmula'!B66,11)&lt;&gt;"",INDEX(properties!A$1:CB$87,'Fórmula'!B66,11)),IF(INDEX(properties!A$1:CB$87,'Fórmula'!D66,11)&lt;&gt;"",INDEX(properties!A$1:CB$87,'Fórmula'!D66,11)),IF(INDEX(properties!A$1:CB$87,'Fórmula'!F66,11)&lt;&gt;"",INDEX(properties!A$1:CB$87,'Fórmula'!F66,11)),IF(INDEX(properties!A$1:CB$87,'Fórmula'!H66,11)&lt;&gt;"",INDEX(properties!A$1:CB$87,'Fórmula'!H66,11)),IF(INDEX(properties!A$1:CB$87,'Fórmula'!J66,11)&lt;&gt;"",INDEX(properties!A$1:CB$87,'Fórmula'!J66,11)))</f>
        <v>0.16</v>
      </c>
      <c r="AO66" s="107">
        <f t="array" ref="AO66">MAX(INDEX(properties!A$1:CB$87,'Fórmula'!B66,11),INDEX(properties!A$1:CB$87,'Fórmula'!D66,11),INDEX(properties!A$1:CB$87,'Fórmula'!F66,11),INDEX(properties!A$1:CB$87,'Fórmula'!H66,11),INDEX(properties!A$1:CB$87,'Fórmula'!J66,11))</f>
        <v>2</v>
      </c>
      <c r="AP66" s="107">
        <f t="array" ref="AP66">MIN(IF('Fórmula'!B66=87,10^6,INDEX(properties!A$1:CB$87,'Fórmula'!B66,11)),IF(('Fórmula'!D66)=87,10^6,INDEX(properties!A$1:CB$87,'Fórmula'!D66,11)),IF(('Fórmula'!F66)=87,10^6,INDEX(properties!A$1:CB$87,'Fórmula'!F66,11)),IF(('Fórmula'!H66)=87,10^6,INDEX(properties!A$1:CB$87,'Fórmula'!H66,11)),IF('Fórmula'!J66=87,10^6,INDEX(properties!A$1:CB$87,'Fórmula'!J66,11)))</f>
        <v>1</v>
      </c>
      <c r="AQ66" s="107">
        <f t="shared" si="7"/>
        <v>1</v>
      </c>
      <c r="AR66" s="108">
        <f t="array" ref="AR66">(('Fórmula'!C66)/('Fórmula'!C66+'Fórmula'!E66+'Fórmula'!G66+'Fórmula'!I66+'Fórmula'!K66))*(INDEX(properties!A$1:CB$87,'Fórmula'!B66,12))+(('Fórmula'!E66)/('Fórmula'!C66+'Fórmula'!E66+'Fórmula'!G66+'Fórmula'!I66+'Fórmula'!K66))*(INDEX(properties!A$1:CB$87,'Fórmula'!D66,12))+(('Fórmula'!G66)/('Fórmula'!C66+'Fórmula'!E66+'Fórmula'!G66+'Fórmula'!I66+'Fórmula'!K66))*(INDEX(properties!A$1:CB$87,'Fórmula'!F66,12))+(('Fórmula'!I66)/('Fórmula'!C66+'Fórmula'!E66+'Fórmula'!G66+'Fórmula'!I66+'Fórmula'!K66))*(INDEX(properties!A$1:CB$87,'Fórmula'!H66,12))+(('Fórmula'!K66)/('Fórmula'!C66+'Fórmula'!E66+'Fórmula'!G66+'Fórmula'!I66+'Fórmula'!K66))*(INDEX(properties!A$1:CB$87,'Fórmula'!J66,12))</f>
        <v>2.666666667</v>
      </c>
      <c r="AS66" s="108">
        <f t="array" ref="AS66">'Fórmula'!C66*(INDEX(properties!A$1:CB$87,'Fórmula'!B66,12))+'Fórmula'!E66*(INDEX(properties!A$1:CB$87,'Fórmula'!D66,12))+'Fórmula'!G66*(INDEX(properties!A$1:CB$87,'Fórmula'!F66,12))+'Fórmula'!I66*(INDEX(properties!A$1:CB$87,'Fórmula'!H66,12))+'Fórmula'!K66*(INDEX(properties!A$1:CB$87,'Fórmula'!J66,12))</f>
        <v>32</v>
      </c>
      <c r="AT66" s="108">
        <f t="array" ref="AT66">VARP(IF(INDEX(properties!A$1:CB$87,'Fórmula'!B66,12)&lt;&gt;"",INDEX(properties!A$1:CB$87,'Fórmula'!B66,12)),IF(INDEX(properties!A$1:CB$87,'Fórmula'!D66,12)&lt;&gt;"",INDEX(properties!A$1:CB$87,'Fórmula'!D66,12)),IF(INDEX(properties!A$1:CB$87,'Fórmula'!F66,12)&lt;&gt;"",INDEX(properties!A$1:CB$87,'Fórmula'!F66,12)),IF(INDEX(properties!A$1:CB$87,'Fórmula'!H66,12)&lt;&gt;"",INDEX(properties!A$1:CB$87,'Fórmula'!H66,12)),IF(INDEX(properties!A$1:CB$87,'Fórmula'!J66,12)&lt;&gt;"",INDEX(properties!A$1:CB$87,'Fórmula'!J66,12)))</f>
        <v>2.56</v>
      </c>
      <c r="AU66" s="108">
        <f t="array" ref="AU66">MAX(INDEX(properties!A$1:CB$87,'Fórmula'!B66,12),INDEX(properties!A$1:CB$87,'Fórmula'!D66,12),INDEX(properties!A$1:CB$87,'Fórmula'!F66,12),INDEX(properties!A$1:CB$87,'Fórmula'!H66,12),INDEX(properties!A$1:CB$87,'Fórmula'!J66,12))</f>
        <v>4</v>
      </c>
      <c r="AV66" s="108">
        <f t="array" ref="AV66">MIN(IF('Fórmula'!B66=87,10^6,INDEX(properties!A$1:CB$87,'Fórmula'!B66,12)),IF(('Fórmula'!D66)=87,10^6,INDEX(properties!A$1:CB$87,'Fórmula'!D66,12)),IF(('Fórmula'!F66)=87,10^6,INDEX(properties!A$1:CB$87,'Fórmula'!F66,12)),IF(('Fórmula'!H66)=87,10^6,INDEX(properties!A$1:CB$87,'Fórmula'!H66,12)),IF('Fórmula'!J66=87,10^6,INDEX(properties!A$1:CB$87,'Fórmula'!J66,12)))</f>
        <v>0</v>
      </c>
      <c r="AW66" s="108">
        <f t="shared" si="8"/>
        <v>4</v>
      </c>
      <c r="AX66" s="109">
        <f t="array" ref="AX66">(('Fórmula'!C66)/('Fórmula'!C66+'Fórmula'!E66+'Fórmula'!G66+'Fórmula'!I66+'Fórmula'!K66))*(INDEX(properties!A$1:CB$87,'Fórmula'!B66,13))+(('Fórmula'!E66)/('Fórmula'!C66+'Fórmula'!E66+'Fórmula'!G66+'Fórmula'!I66+'Fórmula'!K66))*(INDEX(properties!A$1:CB$87,'Fórmula'!D66,13))+(('Fórmula'!G66)/('Fórmula'!C66+'Fórmula'!E66+'Fórmula'!G66+'Fórmula'!I66+'Fórmula'!K66))*(INDEX(properties!A$1:CB$87,'Fórmula'!F66,13))+(('Fórmula'!I66)/('Fórmula'!C66+'Fórmula'!E66+'Fórmula'!G66+'Fórmula'!I66+'Fórmula'!K66))*(INDEX(properties!A$1:CB$87,'Fórmula'!H66,13))+(('Fórmula'!K66)/('Fórmula'!C66+'Fórmula'!E66+'Fórmula'!G66+'Fórmula'!I66+'Fórmula'!K66))*(INDEX(properties!A$1:CB$87,'Fórmula'!J66,13))</f>
        <v>0.08333333333</v>
      </c>
      <c r="AY66" s="109">
        <f t="array" ref="AY66">'Fórmula'!C66*(INDEX(properties!A$1:CB$87,'Fórmula'!B66,13))+'Fórmula'!E66*(INDEX(properties!A$1:CB$87,'Fórmula'!D66,13))+'Fórmula'!G66*(INDEX(properties!A$1:CB$87,'Fórmula'!F66,13))+'Fórmula'!I66*(INDEX(properties!A$1:CB$87,'Fórmula'!H66,13))+'Fórmula'!K66*(INDEX(properties!A$1:CB$87,'Fórmula'!J66,13))</f>
        <v>1</v>
      </c>
      <c r="AZ66" s="109">
        <f t="array" ref="AZ66">VARP(IF(INDEX(properties!A$1:CB$87,'Fórmula'!B66,13)&lt;&gt;"",INDEX(properties!A$1:CB$87,'Fórmula'!B66,13)),IF(INDEX(properties!A$1:CB$87,'Fórmula'!D66,13)&lt;&gt;"",INDEX(properties!A$1:CB$87,'Fórmula'!D66,13)),IF(INDEX(properties!A$1:CB$87,'Fórmula'!F66,13)&lt;&gt;"",INDEX(properties!A$1:CB$87,'Fórmula'!F66,13)),IF(INDEX(properties!A$1:CB$87,'Fórmula'!H66,13)&lt;&gt;"",INDEX(properties!A$1:CB$87,'Fórmula'!H66,13)),IF(INDEX(properties!A$1:CB$87,'Fórmula'!J66,13)&lt;&gt;"",INDEX(properties!A$1:CB$87,'Fórmula'!J66,13)))</f>
        <v>0.16</v>
      </c>
      <c r="BA66" s="109">
        <f t="array" ref="BA66">MAX(INDEX(properties!A$1:CB$87,'Fórmula'!B66,13),INDEX(properties!A$1:CB$87,'Fórmula'!D66,13),INDEX(properties!A$1:CB$87,'Fórmula'!F66,13),INDEX(properties!A$1:CB$87,'Fórmula'!H66,13),INDEX(properties!A$1:CB$87,'Fórmula'!J66,13))</f>
        <v>1</v>
      </c>
      <c r="BB66" s="109">
        <f t="array" ref="BB66">MIN(IF('Fórmula'!B66=87,10^6,INDEX(properties!A$1:CB$87,'Fórmula'!B66,13)),IF(('Fórmula'!D66)=87,10^6,INDEX(properties!A$1:CB$87,'Fórmula'!D66,13)),IF(('Fórmula'!F66)=87,10^6,INDEX(properties!A$1:CB$87,'Fórmula'!F66,13)),IF(('Fórmula'!H66)=87,10^6,INDEX(properties!A$1:CB$87,'Fórmula'!H66,13)),IF('Fórmula'!J66=87,10^6,INDEX(properties!A$1:CB$87,'Fórmula'!J66,13)))</f>
        <v>0</v>
      </c>
      <c r="BC66" s="109">
        <f t="shared" si="9"/>
        <v>1</v>
      </c>
      <c r="BD66" s="110">
        <f t="array" ref="BD66">(('Fórmula'!C66)/('Fórmula'!C66+'Fórmula'!E66+'Fórmula'!G66+'Fórmula'!I66+'Fórmula'!K66))*(INDEX(properties!A$1:CB$87,'Fórmula'!B66,14))+(('Fórmula'!E66)/('Fórmula'!C66+'Fórmula'!E66+'Fórmula'!G66+'Fórmula'!I66+'Fórmula'!K66))*(INDEX(properties!A$1:CB$87,'Fórmula'!D66,14))+(('Fórmula'!G66)/('Fórmula'!C66+'Fórmula'!E66+'Fórmula'!G66+'Fórmula'!I66+'Fórmula'!K66))*(INDEX(properties!A$1:CB$87,'Fórmula'!F66,14))+(('Fórmula'!I66)/('Fórmula'!C66+'Fórmula'!E66+'Fórmula'!G66+'Fórmula'!I66+'Fórmula'!K66))*(INDEX(properties!A$1:CB$87,'Fórmula'!H66,14))+(('Fórmula'!K66)/('Fórmula'!C66+'Fórmula'!E66+'Fórmula'!G66+'Fórmula'!I66+'Fórmula'!K66))*(INDEX(properties!A$1:CB$87,'Fórmula'!J66,14))</f>
        <v>0</v>
      </c>
      <c r="BE66" s="110">
        <f t="array" ref="BE66">'Fórmula'!C66*(INDEX(properties!A$1:CB$87,'Fórmula'!B66,14))+'Fórmula'!E66*(INDEX(properties!A$1:CB$87,'Fórmula'!D66,14))+'Fórmula'!G66*(INDEX(properties!A$1:CB$87,'Fórmula'!F66,14))+'Fórmula'!I66*(INDEX(properties!A$1:CB$87,'Fórmula'!H66,14))+'Fórmula'!K66*(INDEX(properties!A$1:CB$87,'Fórmula'!J66,14))</f>
        <v>0</v>
      </c>
      <c r="BF66" s="110">
        <f t="array" ref="BF66">VARP(IF(INDEX(properties!A$1:CB$87,'Fórmula'!B66,14)&lt;&gt;"",INDEX(properties!A$1:CB$87,'Fórmula'!B66,14)),IF(INDEX(properties!A$1:CB$87,'Fórmula'!D66,14)&lt;&gt;"",INDEX(properties!A$1:CB$87,'Fórmula'!D66,14)),IF(INDEX(properties!A$1:CB$87,'Fórmula'!F66,14)&lt;&gt;"",INDEX(properties!A$1:CB$87,'Fórmula'!F66,14)),IF(INDEX(properties!A$1:CB$87,'Fórmula'!H66,14)&lt;&gt;"",INDEX(properties!A$1:CB$87,'Fórmula'!H66,14)),IF(INDEX(properties!A$1:CB$87,'Fórmula'!J66,14)&lt;&gt;"",INDEX(properties!A$1:CB$87,'Fórmula'!J66,14)))</f>
        <v>0</v>
      </c>
      <c r="BG66" s="110">
        <f t="array" ref="BG66">MAX(INDEX(properties!A$1:CB$87,'Fórmula'!B66,14),INDEX(properties!A$1:CB$87,'Fórmula'!D66,14),INDEX(properties!A$1:CB$87,'Fórmula'!F66,14),INDEX(properties!A$1:CB$87,'Fórmula'!H66,14),INDEX(properties!A$1:CB$87,'Fórmula'!J66,14))</f>
        <v>0</v>
      </c>
      <c r="BH66" s="110">
        <f t="array" ref="BH66">MIN(IF('Fórmula'!B66=87,10^6,INDEX(properties!A$1:CB$87,'Fórmula'!B66,14)),IF(('Fórmula'!D66)=87,10^6,INDEX(properties!A$1:CB$87,'Fórmula'!D66,14)),IF(('Fórmula'!F66)=87,10^6,INDEX(properties!A$1:CB$87,'Fórmula'!F66,14)),IF(('Fórmula'!H66)=87,10^6,INDEX(properties!A$1:CB$87,'Fórmula'!H66,14)),IF('Fórmula'!J66=87,10^6,INDEX(properties!A$1:CB$87,'Fórmula'!J66,14)))</f>
        <v>0</v>
      </c>
      <c r="BI66" s="110">
        <f t="shared" si="10"/>
        <v>0</v>
      </c>
      <c r="BJ66" s="111">
        <f t="array" ref="BJ66">(('Fórmula'!C66)/('Fórmula'!C66+'Fórmula'!E66+'Fórmula'!G66+'Fórmula'!I66+'Fórmula'!K66))*(INDEX(properties!A$1:CB$87,'Fórmula'!B66,19))+(('Fórmula'!E66)/('Fórmula'!C66+'Fórmula'!E66+'Fórmula'!G66+'Fórmula'!I66+'Fórmula'!K66))*(INDEX(properties!A$1:CB$87,'Fórmula'!D66,19))+(('Fórmula'!G66)/('Fórmula'!C66+'Fórmula'!E66+'Fórmula'!G66+'Fórmula'!I66+'Fórmula'!K66))*(INDEX(properties!A$1:CB$87,'Fórmula'!F66,19))+(('Fórmula'!I66)/('Fórmula'!C66+'Fórmula'!E66+'Fórmula'!G66+'Fórmula'!I66+'Fórmula'!K66))*(INDEX(properties!A$1:CB$87,'Fórmula'!H66,19))+(('Fórmula'!K66)/('Fórmula'!C66+'Fórmula'!E66+'Fórmula'!G66+'Fórmula'!I66+'Fórmula'!K66))*(INDEX(properties!A$1:CB$87,'Fórmula'!J66,19))</f>
        <v>4.666666667</v>
      </c>
      <c r="BK66" s="111">
        <f t="array" ref="BK66">'Fórmula'!C66*(INDEX(properties!A$1:CB$87,'Fórmula'!B66,19))+'Fórmula'!E66*(INDEX(properties!A$1:CB$87,'Fórmula'!D66,19))+'Fórmula'!G66*(INDEX(properties!A$1:CB$87,'Fórmula'!F66,19))+'Fórmula'!I66*(INDEX(properties!A$1:CB$87,'Fórmula'!H66,19))+'Fórmula'!K66*(INDEX(properties!A$1:CB$87,'Fórmula'!J66,19))</f>
        <v>56</v>
      </c>
      <c r="BL66" s="111">
        <f t="array" ref="BL66">VARP(IF(INDEX(properties!A$1:CB$87,'Fórmula'!B66,19)&lt;&gt;"",INDEX(properties!A$1:CB$87,'Fórmula'!B66,19)),IF(INDEX(properties!A$1:CB$87,'Fórmula'!D66,19)&lt;&gt;"",INDEX(properties!A$1:CB$87,'Fórmula'!D66,19)),IF(INDEX(properties!A$1:CB$87,'Fórmula'!F66,19)&lt;&gt;"",INDEX(properties!A$1:CB$87,'Fórmula'!F66,19)),IF(INDEX(properties!A$1:CB$87,'Fórmula'!H66,19)&lt;&gt;"",INDEX(properties!A$1:CB$87,'Fórmula'!H66,19)),IF(INDEX(properties!A$1:CB$87,'Fórmula'!J66,19)&lt;&gt;"",INDEX(properties!A$1:CB$87,'Fórmula'!J66,19)))</f>
        <v>2.96</v>
      </c>
      <c r="BM66" s="111">
        <f t="array" ref="BM66">MAX(INDEX(properties!A$1:CB$87,'Fórmula'!B66,19),INDEX(properties!A$1:CB$87,'Fórmula'!D66,19),INDEX(properties!A$1:CB$87,'Fórmula'!F66,19),INDEX(properties!A$1:CB$87,'Fórmula'!H66,19),INDEX(properties!A$1:CB$87,'Fórmula'!J66,19))</f>
        <v>6</v>
      </c>
      <c r="BN66" s="111">
        <f t="array" ref="BN66">MIN(IF(INDEX(properties!A$1:CB$87,'Fórmula'!B66,19)=0,10^6,INDEX(properties!A$1:CB$87,'Fórmula'!B66,19)),IF(INDEX(properties!A$1:CB$87,'Fórmula'!D66,19)=0,10^6,INDEX(properties!A$1:CB$87,'Fórmula'!D66,19)),IF(INDEX(properties!A$1:CB$87,'Fórmula'!F66,19)=0,10^6,INDEX(properties!A$1:CB$87,'Fórmula'!F66,19)),IF(INDEX(properties!A$1:CB$87,'Fórmula'!H66,19)=0,10^6,INDEX(properties!A$1:CB$87,'Fórmula'!H66,19)),IF(INDEX(properties!A$1:CB$87,'Fórmula'!J66,19)=0,10^6,INDEX(properties!A$1:CB$87,'Fórmula'!J66,19)))</f>
        <v>1</v>
      </c>
      <c r="BO66" s="111">
        <f t="shared" si="11"/>
        <v>5</v>
      </c>
      <c r="BP66" s="112">
        <f t="array" ref="BP66">(('Fórmula'!C66)/('Fórmula'!C66+'Fórmula'!E66+'Fórmula'!G66+'Fórmula'!I66+'Fórmula'!K66))*(INDEX(properties!A$1:CB$87,'Fórmula'!B66,20))+(('Fórmula'!E66)/('Fórmula'!C66+'Fórmula'!E66+'Fórmula'!G66+'Fórmula'!I66+'Fórmula'!K66))*(INDEX(properties!A$1:CB$87,'Fórmula'!D66,20))+(('Fórmula'!G66)/('Fórmula'!C66+'Fórmula'!E66+'Fórmula'!G66+'Fórmula'!I66+'Fórmula'!K66))*(INDEX(properties!A$1:CB$87,'Fórmula'!F66,20))+(('Fórmula'!I66)/('Fórmula'!C66+'Fórmula'!E66+'Fórmula'!G66+'Fórmula'!I66+'Fórmula'!K66))*(INDEX(properties!A$1:CB$87,'Fórmula'!H66,20))+(('Fórmula'!K66)/('Fórmula'!C66+'Fórmula'!E66+'Fórmula'!G66+'Fórmula'!I66+'Fórmula'!K66))*(INDEX(properties!A$1:CB$87,'Fórmula'!J66,20))</f>
        <v>4.583333333</v>
      </c>
      <c r="BQ66" s="112">
        <f t="array" ref="BQ66">'Fórmula'!C66*(INDEX(properties!A$1:CB$87,'Fórmula'!B66,20))+'Fórmula'!E66*(INDEX(properties!A$1:CB$87,'Fórmula'!D66,20))+'Fórmula'!G66*(INDEX(properties!A$1:CB$87,'Fórmula'!F66,20))+'Fórmula'!I66*(INDEX(properties!A$1:CB$87,'Fórmula'!H66,20))+'Fórmula'!K66*(INDEX(properties!A$1:CB$87,'Fórmula'!J66,20))</f>
        <v>55</v>
      </c>
      <c r="BR66" s="112">
        <f t="array" ref="BR66">VARP(IF(INDEX(properties!A$1:CB$87,'Fórmula'!B66,20)&lt;&gt;"",INDEX(properties!A$1:CB$87,'Fórmula'!B66,20)),IF(INDEX(properties!A$1:CB$87,'Fórmula'!D66,20)&lt;&gt;"",INDEX(properties!A$1:CB$87,'Fórmula'!D66,20)),IF(INDEX(properties!A$1:CB$87,'Fórmula'!F66,20)&lt;&gt;"",INDEX(properties!A$1:CB$87,'Fórmula'!F66,20)),IF(INDEX(properties!A$1:CB$87,'Fórmula'!H66,20)&lt;&gt;"",INDEX(properties!A$1:CB$87,'Fórmula'!H66,20)),IF(INDEX(properties!A$1:CB$87,'Fórmula'!J66,20)&lt;&gt;"",INDEX(properties!A$1:CB$87,'Fórmula'!J66,20)))</f>
        <v>3.2</v>
      </c>
      <c r="BS66" s="112">
        <f t="array" ref="BS66">MAX(INDEX(properties!A$1:CB$87,'Fórmula'!B66,20),INDEX(properties!A$1:CB$87,'Fórmula'!D66,20),INDEX(properties!A$1:CB$87,'Fórmula'!F66,20),INDEX(properties!A$1:CB$87,'Fórmula'!H66,20),INDEX(properties!A$1:CB$87,'Fórmula'!J66,20))</f>
        <v>6</v>
      </c>
      <c r="BT66" s="112">
        <f t="array" ref="BT66">MIN(IF(INDEX(properties!A$1:CB$87,'Fórmula'!B66,20)=0,10^6,INDEX(properties!A$1:CB$87,'Fórmula'!B66,20)),IF(INDEX(properties!A$1:CB$87,'Fórmula'!D66,20)=0,10^6,INDEX(properties!A$1:CB$87,'Fórmula'!D66,20)),IF(INDEX(properties!A$1:CB$87,'Fórmula'!F66,20)=0,10^6,INDEX(properties!A$1:CB$87,'Fórmula'!F66,20)),IF(INDEX(properties!A$1:CB$87,'Fórmula'!H66,20)=0,10^6,INDEX(properties!A$1:CB$87,'Fórmula'!H66,20)),IF(INDEX(properties!A$1:CB$87,'Fórmula'!J66,20)=0,10^6,INDEX(properties!A$1:CB$87,'Fórmula'!J66,20)))</f>
        <v>1</v>
      </c>
      <c r="BU66" s="112">
        <f t="shared" si="12"/>
        <v>5</v>
      </c>
      <c r="BV66" s="113">
        <f t="array" ref="BV66">(('Fórmula'!C66)/('Fórmula'!C66+'Fórmula'!E66+'Fórmula'!G66+'Fórmula'!I66+'Fórmula'!K66))*(INDEX(properties!A$1:CB$87,'Fórmula'!B66,21))+(('Fórmula'!E66)/('Fórmula'!C66+'Fórmula'!E66+'Fórmula'!G66+'Fórmula'!I66+'Fórmula'!K66))*(INDEX(properties!A$1:CB$87,'Fórmula'!D66,21))+(('Fórmula'!G66)/('Fórmula'!C66+'Fórmula'!E66+'Fórmula'!G66+'Fórmula'!I66+'Fórmula'!K66))*(INDEX(properties!A$1:CB$87,'Fórmula'!F66,21))+(('Fórmula'!I66)/('Fórmula'!C66+'Fórmula'!E66+'Fórmula'!G66+'Fórmula'!I66+'Fórmula'!K66))*(INDEX(properties!A$1:CB$87,'Fórmula'!H66,21))+(('Fórmula'!K66)/('Fórmula'!C66+'Fórmula'!E66+'Fórmula'!G66+'Fórmula'!I66+'Fórmula'!K66))*(INDEX(properties!A$1:CB$87,'Fórmula'!J66,21))</f>
        <v>4.5</v>
      </c>
      <c r="BW66" s="113">
        <f t="array" ref="BW66">'Fórmula'!C66*(INDEX(properties!A$1:CB$87,'Fórmula'!B66,21))+'Fórmula'!E66*(INDEX(properties!A$1:CB$87,'Fórmula'!D66,21))+'Fórmula'!G66*(INDEX(properties!A$1:CB$87,'Fórmula'!F66,21))+'Fórmula'!I66*(INDEX(properties!A$1:CB$87,'Fórmula'!H66,21))+'Fórmula'!K66*(INDEX(properties!A$1:CB$87,'Fórmula'!J66,21))</f>
        <v>54</v>
      </c>
      <c r="BX66" s="113">
        <f t="array" ref="BX66">VARP(IF(INDEX(properties!A$1:CB$87,'Fórmula'!B66,21)&lt;&gt;"",INDEX(properties!A$1:CB$87,'Fórmula'!B66,21)),IF(INDEX(properties!A$1:CB$87,'Fórmula'!D66,21)&lt;&gt;"",INDEX(properties!A$1:CB$87,'Fórmula'!D66,21)),IF(INDEX(properties!A$1:CB$87,'Fórmula'!F66,21)&lt;&gt;"",INDEX(properties!A$1:CB$87,'Fórmula'!F66,21)),IF(INDEX(properties!A$1:CB$87,'Fórmula'!H66,21)&lt;&gt;"",INDEX(properties!A$1:CB$87,'Fórmula'!H66,21)),IF(INDEX(properties!A$1:CB$87,'Fórmula'!J66,21)&lt;&gt;"",INDEX(properties!A$1:CB$87,'Fórmula'!J66,21)))</f>
        <v>3.76</v>
      </c>
      <c r="BY66" s="113">
        <f t="array" ref="BY66">MAX(INDEX(properties!A$1:CB$87,'Fórmula'!B66,21),INDEX(properties!A$1:CB$87,'Fórmula'!D66,21),INDEX(properties!A$1:CB$87,'Fórmula'!F66,21),INDEX(properties!A$1:CB$87,'Fórmula'!H66,21),INDEX(properties!A$1:CB$87,'Fórmula'!J66,21))</f>
        <v>6</v>
      </c>
      <c r="BZ66" s="113">
        <f t="array" ref="BZ66">MIN(IF(INDEX(properties!A$1:CB$87,'Fórmula'!B66,21)=0,10^6,INDEX(properties!A$1:CB$87,'Fórmula'!B66,21)),IF(INDEX(properties!A$1:CB$87,'Fórmula'!D66,21)=0,10^6,INDEX(properties!A$1:CB$87,'Fórmula'!D66,21)),IF(INDEX(properties!A$1:CB$87,'Fórmula'!F66,21)=0,10^6,INDEX(properties!A$1:CB$87,'Fórmula'!F66,21)),IF(INDEX(properties!A$1:CB$87,'Fórmula'!H66,21)=0,10^6,INDEX(properties!A$1:CB$87,'Fórmula'!H66,21)),IF(INDEX(properties!A$1:CB$87,'Fórmula'!J66,21)=0,10^6,INDEX(properties!A$1:CB$87,'Fórmula'!J66,21)))</f>
        <v>1</v>
      </c>
      <c r="CA66" s="113">
        <f t="shared" si="13"/>
        <v>5</v>
      </c>
      <c r="CB66" s="114">
        <f t="array" ref="CB66">(('Fórmula'!C66)/('Fórmula'!C66+'Fórmula'!E66+'Fórmula'!G66+'Fórmula'!I66+'Fórmula'!K66))*(INDEX(properties!A$1:CB$87,'Fórmula'!B66,23))+(('Fórmula'!E66)/('Fórmula'!C66+'Fórmula'!E66+'Fórmula'!G66+'Fórmula'!I66+'Fórmula'!K66))*(INDEX(properties!A$1:CB$87,'Fórmula'!D66,23))+(('Fórmula'!G66)/('Fórmula'!C66+'Fórmula'!E66+'Fórmula'!G66+'Fórmula'!I66+'Fórmula'!K66))*(INDEX(properties!A$1:CB$87,'Fórmula'!F66,23))+(('Fórmula'!I66)/('Fórmula'!C66+'Fórmula'!E66+'Fórmula'!G66+'Fórmula'!I66+'Fórmula'!K66))*(INDEX(properties!A$1:CB$87,'Fórmula'!H66,23))+(('Fórmula'!K66)/('Fórmula'!C66+'Fórmula'!E66+'Fórmula'!G66+'Fórmula'!I66+'Fórmula'!K66))*(INDEX(properties!A$1:CB$87,'Fórmula'!J66,23))</f>
        <v>1.166666667</v>
      </c>
      <c r="CC66" s="114">
        <f t="array" ref="CC66">'Fórmula'!C66*(INDEX(properties!A$1:CB$87,'Fórmula'!B66,23))+'Fórmula'!E66*(INDEX(properties!A$1:CB$87,'Fórmula'!D66,23))+'Fórmula'!G66*(INDEX(properties!A$1:CB$87,'Fórmula'!F66,23))+'Fórmula'!I66*(INDEX(properties!A$1:CB$87,'Fórmula'!H66,23))+'Fórmula'!K66*(INDEX(properties!A$1:CB$87,'Fórmula'!J66,23))</f>
        <v>14</v>
      </c>
      <c r="CD66" s="114">
        <f t="array" ref="CD66">VARP(IF(INDEX(properties!A$1:CB$87,'Fórmula'!B66,23)&lt;&gt;"",INDEX(properties!A$1:CB$87,'Fórmula'!B66,23)),IF(INDEX(properties!A$1:CB$87,'Fórmula'!D66,23)&lt;&gt;"",INDEX(properties!A$1:CB$87,'Fórmula'!D66,23)),IF(INDEX(properties!A$1:CB$87,'Fórmula'!F66,23)&lt;&gt;"",INDEX(properties!A$1:CB$87,'Fórmula'!F66,23)),IF(INDEX(properties!A$1:CB$87,'Fórmula'!H66,23)&lt;&gt;"",INDEX(properties!A$1:CB$87,'Fórmula'!H66,23)),IF(INDEX(properties!A$1:CB$87,'Fórmula'!J66,23)&lt;&gt;"",INDEX(properties!A$1:CB$87,'Fórmula'!J66,23)))</f>
        <v>2</v>
      </c>
      <c r="CE66" s="114">
        <f t="array" ref="CE66">MAX(INDEX(properties!A$1:CB$87,'Fórmula'!B66,23),INDEX(properties!A$1:CB$87,'Fórmula'!D66,23),INDEX(properties!A$1:CB$87,'Fórmula'!F66,23),INDEX(properties!A$1:CB$87,'Fórmula'!H66,23),INDEX(properties!A$1:CB$87,'Fórmula'!J66,23))</f>
        <v>4</v>
      </c>
      <c r="CF66" s="114">
        <f t="array" ref="CF66">MIN(IF('Fórmula'!B66=87,10^6,INDEX(properties!A$1:CB$87,'Fórmula'!B66,23)),IF(('Fórmula'!D66)=87,10^6,INDEX(properties!A$1:CB$87,'Fórmula'!D66,23)),IF(('Fórmula'!F66)=87,10^6,INDEX(properties!A$1:CB$87,'Fórmula'!F66,23)),IF(('Fórmula'!H66)=87,10^6,INDEX(properties!A$1:CB$87,'Fórmula'!H66,23)),IF('Fórmula'!J66=87,10^6,INDEX(properties!A$1:CB$87,'Fórmula'!J66,23)))</f>
        <v>0</v>
      </c>
      <c r="CG66" s="114">
        <f t="shared" si="14"/>
        <v>4</v>
      </c>
      <c r="CH66" s="115">
        <f t="array" ref="CH66">(('Fórmula'!C66)/('Fórmula'!C66+'Fórmula'!E66+'Fórmula'!G66+'Fórmula'!I66+'Fórmula'!K66))*(INDEX(properties!A$1:CB$87,'Fórmula'!B66,26))+(('Fórmula'!E66)/('Fórmula'!C66+'Fórmula'!E66+'Fórmula'!G66+'Fórmula'!I66+'Fórmula'!K66))*(INDEX(properties!A$1:CB$87,'Fórmula'!D66,26))+(('Fórmula'!G66)/('Fórmula'!C66+'Fórmula'!E66+'Fórmula'!G66+'Fórmula'!I66+'Fórmula'!K66))*(INDEX(properties!A$1:CB$87,'Fórmula'!F66,26))+(('Fórmula'!I66)/('Fórmula'!C66+'Fórmula'!E66+'Fórmula'!G66+'Fórmula'!I66+'Fórmula'!K66))*(INDEX(properties!A$1:CB$87,'Fórmula'!H66,26))+(('Fórmula'!K66)/('Fórmula'!C66+'Fórmula'!E66+'Fórmula'!G66+'Fórmula'!I66+'Fórmula'!K66))*(INDEX(properties!A$1:CB$87,'Fórmula'!J66,26))</f>
        <v>10.71186667</v>
      </c>
      <c r="CI66" s="115">
        <f t="array" ref="CI66">'Fórmula'!C66*(INDEX(properties!A$1:CB$87,'Fórmula'!B66,26))+'Fórmula'!E66*(INDEX(properties!A$1:CB$87,'Fórmula'!D66,26))+'Fórmula'!G66*(INDEX(properties!A$1:CB$87,'Fórmula'!F66,26))+'Fórmula'!I66*(INDEX(properties!A$1:CB$87,'Fórmula'!H66,26))+'Fórmula'!K66*(INDEX(properties!A$1:CB$87,'Fórmula'!J66,26))</f>
        <v>128.5424</v>
      </c>
      <c r="CJ66" s="115">
        <f t="array" ref="CJ66">VARP(IF(INDEX(properties!A$1:CB$87,'Fórmula'!B66,26)&lt;&gt;"",INDEX(properties!A$1:CB$87,'Fórmula'!B66,26)),IF(INDEX(properties!A$1:CB$87,'Fórmula'!D66,26)&lt;&gt;"",INDEX(properties!A$1:CB$87,'Fórmula'!D66,26)),IF(INDEX(properties!A$1:CB$87,'Fórmula'!F66,26)&lt;&gt;"",INDEX(properties!A$1:CB$87,'Fórmula'!F66,26)),IF(INDEX(properties!A$1:CB$87,'Fórmula'!H66,26)&lt;&gt;"",INDEX(properties!A$1:CB$87,'Fórmula'!H66,26)),IF(INDEX(properties!A$1:CB$87,'Fórmula'!J66,26)&lt;&gt;"",INDEX(properties!A$1:CB$87,'Fórmula'!J66,26)))</f>
        <v>9.853467274</v>
      </c>
      <c r="CK66" s="116">
        <f t="array" ref="CK66">MAX(INDEX(properties!A$1:CB$87,'Fórmula'!B66,26),INDEX(properties!A$1:CB$87,'Fórmula'!D66,26),INDEX(properties!A$1:CB$87,'Fórmula'!F66,26),INDEX(properties!A$1:CB$87,'Fórmula'!H66,26),INDEX(properties!A$1:CB$87,'Fórmula'!J66,26))</f>
        <v>13.6181</v>
      </c>
      <c r="CL66" s="116">
        <f t="array" ref="CL66">MIN(IF(INDEX(properties!A$1:CB$87,'Fórmula'!B66,26)=0,10^6,INDEX(properties!A$1:CB$87,'Fórmula'!B66,26)),IF(INDEX(properties!A$1:CB$87,'Fórmula'!D66,26)=0,10^6,INDEX(properties!A$1:CB$87,'Fórmula'!D66,26)),IF(INDEX(properties!A$1:CB$87,'Fórmula'!F66,26)=0,10^6,INDEX(properties!A$1:CB$87,'Fórmula'!F66,26)),IF(INDEX(properties!A$1:CB$87,'Fórmula'!H66,26)=0,10^6,INDEX(properties!A$1:CB$87,'Fórmula'!H66,26)),IF(INDEX(properties!A$1:CB$87,'Fórmula'!J66,26)=0,10^6,INDEX(properties!A$1:CB$87,'Fórmula'!J66,26)))</f>
        <v>5.1391</v>
      </c>
      <c r="CM66" s="115">
        <f t="shared" si="15"/>
        <v>8.479</v>
      </c>
      <c r="CN66" s="117">
        <f t="array" ref="CN66">(('Fórmula'!C66)/('Fórmula'!C66+'Fórmula'!E66+'Fórmula'!G66+'Fórmula'!I66+'Fórmula'!K66))*(INDEX(properties!A$1:CB$87,'Fórmula'!B66,30))+(('Fórmula'!E66)/('Fórmula'!C66+'Fórmula'!E66+'Fórmula'!G66+'Fórmula'!I66+'Fórmula'!K66))*(INDEX(properties!A$1:CB$87,'Fórmula'!D66,30))+(('Fórmula'!G66)/('Fórmula'!C66+'Fórmula'!E66+'Fórmula'!G66+'Fórmula'!I66+'Fórmula'!K66))*(INDEX(properties!A$1:CB$87,'Fórmula'!F66,30))+(('Fórmula'!I66)/('Fórmula'!C66+'Fórmula'!E66+'Fórmula'!G66+'Fórmula'!I66+'Fórmula'!K66))*(INDEX(properties!A$1:CB$87,'Fórmula'!H66,30))+(('Fórmula'!K66)/('Fórmula'!C66+'Fórmula'!E66+'Fórmula'!G66+'Fórmula'!I66+'Fórmula'!K66))*(INDEX(properties!A$1:CB$87,'Fórmula'!J66,30))</f>
        <v>2.588333333</v>
      </c>
      <c r="CO66" s="117">
        <f t="array" ref="CO66">'Fórmula'!C66*(INDEX(properties!A$1:CB$87,'Fórmula'!B66,30))+'Fórmula'!E66*(INDEX(properties!A$1:CB$87,'Fórmula'!D66,30))+'Fórmula'!G66*(INDEX(properties!A$1:CB$87,'Fórmula'!F66,30))+'Fórmula'!I66*(INDEX(properties!A$1:CB$87,'Fórmula'!H66,30))+'Fórmula'!K66*(INDEX(properties!A$1:CB$87,'Fórmula'!J66,30))</f>
        <v>31.06</v>
      </c>
      <c r="CP66" s="117">
        <f t="array" ref="CP66">VARP(IF(INDEX(properties!A$1:CB$87,'Fórmula'!B66,30)&lt;&gt;"",INDEX(properties!A$1:CB$87,'Fórmula'!B66,30)),IF(INDEX(properties!A$1:CB$87,'Fórmula'!D66,30)&lt;&gt;"",INDEX(properties!A$1:CB$87,'Fórmula'!D66,30)),IF(INDEX(properties!A$1:CB$87,'Fórmula'!F66,30)&lt;&gt;"",INDEX(properties!A$1:CB$87,'Fórmula'!F66,30)),IF(INDEX(properties!A$1:CB$87,'Fórmula'!H66,30)&lt;&gt;"",INDEX(properties!A$1:CB$87,'Fórmula'!H66,30)),IF(INDEX(properties!A$1:CB$87,'Fórmula'!J66,30)&lt;&gt;"",INDEX(properties!A$1:CB$87,'Fórmula'!J66,30)))</f>
        <v>0.886424</v>
      </c>
      <c r="CQ66" s="117">
        <f t="array" ref="CQ66">MAX(INDEX(properties!A$1:CB$87,'Fórmula'!B66,30),INDEX(properties!A$1:CB$87,'Fórmula'!D66,30),INDEX(properties!A$1:CB$87,'Fórmula'!F66,30),INDEX(properties!A$1:CB$87,'Fórmula'!H66,30),INDEX(properties!A$1:CB$87,'Fórmula'!J66,30))</f>
        <v>3.44</v>
      </c>
      <c r="CR66" s="117">
        <f t="array" ref="CR66">MIN(IF(INDEX(properties!A$1:CB$87,'Fórmula'!B66,30)=0,10^6,INDEX(properties!A$1:CB$87,'Fórmula'!B66,30)),IF(INDEX(properties!A$1:CB$87,'Fórmula'!D66,30)=0,10^6,INDEX(properties!A$1:CB$87,'Fórmula'!D66,30)),IF(INDEX(properties!A$1:CB$87,'Fórmula'!F66,30)=0,10^6,INDEX(properties!A$1:CB$87,'Fórmula'!F66,30)),IF(INDEX(properties!A$1:CB$87,'Fórmula'!H66,30)=0,10^6,INDEX(properties!A$1:CB$87,'Fórmula'!H66,30)),IF(INDEX(properties!A$1:CB$87,'Fórmula'!J66,30)=0,10^6,INDEX(properties!A$1:CB$87,'Fórmula'!J66,30)))</f>
        <v>0.89</v>
      </c>
      <c r="CS66" s="117">
        <f t="shared" si="16"/>
        <v>2.55</v>
      </c>
      <c r="CT66" s="118">
        <f t="array" ref="CT66">(('Fórmula'!C66)/('Fórmula'!C66+'Fórmula'!E66+'Fórmula'!G66+'Fórmula'!I66+'Fórmula'!K66))*(INDEX(properties!A$1:CB$87,'Fórmula'!B66,31))+(('Fórmula'!E66)/('Fórmula'!C66+'Fórmula'!E66+'Fórmula'!G66+'Fórmula'!I66+'Fórmula'!K66))*(INDEX(properties!A$1:CB$87,'Fórmula'!D66,31))+(('Fórmula'!G66)/('Fórmula'!C66+'Fórmula'!E66+'Fórmula'!G66+'Fórmula'!I66+'Fórmula'!K66))*(INDEX(properties!A$1:CB$87,'Fórmula'!F66,31))+(('Fórmula'!I66)/('Fórmula'!C66+'Fórmula'!E66+'Fórmula'!G66+'Fórmula'!I66+'Fórmula'!K66))*(INDEX(properties!A$1:CB$87,'Fórmula'!H66,31))+(('Fórmula'!K66)/('Fórmula'!C66+'Fórmula'!E66+'Fórmula'!G66+'Fórmula'!I66+'Fórmula'!K66))*(INDEX(properties!A$1:CB$87,'Fórmula'!J66,31))</f>
        <v>2.555833333</v>
      </c>
      <c r="CU66" s="118">
        <f t="array" ref="CU66">'Fórmula'!C66*(INDEX(properties!A$1:CB$87,'Fórmula'!B66,31))+'Fórmula'!E66*(INDEX(properties!A$1:CB$87,'Fórmula'!D66,31))+'Fórmula'!G66*(INDEX(properties!A$1:CB$87,'Fórmula'!F66,31))+'Fórmula'!I66*(INDEX(properties!A$1:CB$87,'Fórmula'!H66,31))+'Fórmula'!K66*(INDEX(properties!A$1:CB$87,'Fórmula'!J66,31))</f>
        <v>30.67</v>
      </c>
      <c r="CV66" s="118">
        <f t="array" ref="CV66">VARP(IF(INDEX(properties!A$1:CB$87,'Fórmula'!B66,31)&lt;&gt;"",INDEX(properties!A$1:CB$87,'Fórmula'!B66,31)),IF(INDEX(properties!A$1:CB$87,'Fórmula'!D66,31)&lt;&gt;"",INDEX(properties!A$1:CB$87,'Fórmula'!D66,31)),IF(INDEX(properties!A$1:CB$87,'Fórmula'!F66,31)&lt;&gt;"",INDEX(properties!A$1:CB$87,'Fórmula'!F66,31)),IF(INDEX(properties!A$1:CB$87,'Fórmula'!H66,31)&lt;&gt;"",INDEX(properties!A$1:CB$87,'Fórmula'!H66,31)),IF(INDEX(properties!A$1:CB$87,'Fórmula'!J66,31)&lt;&gt;"",INDEX(properties!A$1:CB$87,'Fórmula'!J66,31)))</f>
        <v>0.753744</v>
      </c>
      <c r="CW66" s="118">
        <f t="array" ref="CW66">MAX(INDEX(properties!A$1:CB$87,'Fórmula'!B66,31),INDEX(properties!A$1:CB$87,'Fórmula'!D66,31),INDEX(properties!A$1:CB$87,'Fórmula'!F66,31),INDEX(properties!A$1:CB$87,'Fórmula'!H66,31),INDEX(properties!A$1:CB$87,'Fórmula'!J66,31))</f>
        <v>3.32</v>
      </c>
      <c r="CX66" s="118">
        <f t="array" ref="CX66">MIN(IF(INDEX(properties!A$1:CB$87,'Fórmula'!B66,31)=0,10^6,INDEX(properties!A$1:CB$87,'Fórmula'!B66,31)),IF(INDEX(properties!A$1:CB$87,'Fórmula'!D66,31)=0,10^6,INDEX(properties!A$1:CB$87,'Fórmula'!D66,31)),IF(INDEX(properties!A$1:CB$87,'Fórmula'!F66,31)=0,10^6,INDEX(properties!A$1:CB$87,'Fórmula'!F66,31)),IF(INDEX(properties!A$1:CB$87,'Fórmula'!H66,31)=0,10^6,INDEX(properties!A$1:CB$87,'Fórmula'!H66,31)),IF(INDEX(properties!A$1:CB$87,'Fórmula'!J66,31)=0,10^6,INDEX(properties!A$1:CB$87,'Fórmula'!J66,31)))</f>
        <v>0.89</v>
      </c>
      <c r="CY66" s="118">
        <f t="shared" si="17"/>
        <v>2.43</v>
      </c>
      <c r="CZ66" s="119">
        <f t="array" ref="CZ66">(('Fórmula'!C66)/('Fórmula'!C66+'Fórmula'!E66+'Fórmula'!G66+'Fórmula'!I66+'Fórmula'!K66))*(INDEX(properties!A$1:CB$87,'Fórmula'!B66,32))+(('Fórmula'!E66)/('Fórmula'!C66+'Fórmula'!E66+'Fórmula'!G66+'Fórmula'!I66+'Fórmula'!K66))*(INDEX(properties!A$1:CB$87,'Fórmula'!D66,32))+(('Fórmula'!G66)/('Fórmula'!C66+'Fórmula'!E66+'Fórmula'!G66+'Fórmula'!I66+'Fórmula'!K66))*(INDEX(properties!A$1:CB$87,'Fórmula'!F66,32))+(('Fórmula'!I66)/('Fórmula'!C66+'Fórmula'!E66+'Fórmula'!G66+'Fórmula'!I66+'Fórmula'!K66))*(INDEX(properties!A$1:CB$87,'Fórmula'!H66,32))+(('Fórmula'!K66)/('Fórmula'!C66+'Fórmula'!E66+'Fórmula'!G66+'Fórmula'!I66+'Fórmula'!K66))*(INDEX(properties!A$1:CB$87,'Fórmula'!J66,32))</f>
        <v>5.909166667</v>
      </c>
      <c r="DA66" s="119">
        <f t="array" ref="DA66">'Fórmula'!C66*(INDEX(properties!A$1:CB$87,'Fórmula'!B66,32))+'Fórmula'!E66*(INDEX(properties!A$1:CB$87,'Fórmula'!D66,32))+'Fórmula'!G66*(INDEX(properties!A$1:CB$87,'Fórmula'!F66,32))+'Fórmula'!I66*(INDEX(properties!A$1:CB$87,'Fórmula'!H66,32))+'Fórmula'!K66*(INDEX(properties!A$1:CB$87,'Fórmula'!J66,32))</f>
        <v>70.91</v>
      </c>
      <c r="DB66" s="119">
        <f t="array" ref="DB66">VARP(IF(INDEX(properties!A$1:CB$87,'Fórmula'!B66,32)&lt;&gt;"",INDEX(properties!A$1:CB$87,'Fórmula'!B66,32)),IF(INDEX(properties!A$1:CB$87,'Fórmula'!D66,32)&lt;&gt;"",INDEX(properties!A$1:CB$87,'Fórmula'!D66,32)),IF(INDEX(properties!A$1:CB$87,'Fórmula'!F66,32)&lt;&gt;"",INDEX(properties!A$1:CB$87,'Fórmula'!F66,32)),IF(INDEX(properties!A$1:CB$87,'Fórmula'!H66,32)&lt;&gt;"",INDEX(properties!A$1:CB$87,'Fórmula'!H66,32)),IF(INDEX(properties!A$1:CB$87,'Fórmula'!J66,32)&lt;&gt;"",INDEX(properties!A$1:CB$87,'Fórmula'!J66,32)))</f>
        <v>3.45612</v>
      </c>
      <c r="DC66" s="119">
        <f t="array" ref="DC66">MAX(INDEX(properties!A$1:CB$87,'Fórmula'!B66,32),INDEX(properties!A$1:CB$87,'Fórmula'!D66,32),INDEX(properties!A$1:CB$87,'Fórmula'!F66,32),INDEX(properties!A$1:CB$87,'Fórmula'!H66,32),INDEX(properties!A$1:CB$87,'Fórmula'!J66,32))</f>
        <v>7.54</v>
      </c>
      <c r="DD66" s="119">
        <f t="array" ref="DD66">MIN(IF(INDEX(properties!A$1:CB$87,'Fórmula'!B66,32)=0,10^6,INDEX(properties!A$1:CB$87,'Fórmula'!B66,32)),IF(INDEX(properties!A$1:CB$87,'Fórmula'!D66,32)=0,10^6,INDEX(properties!A$1:CB$87,'Fórmula'!D66,32)),IF(INDEX(properties!A$1:CB$87,'Fórmula'!F66,32)=0,10^6,INDEX(properties!A$1:CB$87,'Fórmula'!F66,32)),IF(INDEX(properties!A$1:CB$87,'Fórmula'!H66,32)=0,10^6,INDEX(properties!A$1:CB$87,'Fórmula'!H66,32)),IF(INDEX(properties!A$1:CB$87,'Fórmula'!J66,32)=0,10^6,INDEX(properties!A$1:CB$87,'Fórmula'!J66,32)))</f>
        <v>2.4</v>
      </c>
      <c r="DE66" s="119">
        <f t="shared" si="18"/>
        <v>5.14</v>
      </c>
      <c r="DF66" s="104">
        <f t="array" ref="DF66">(('Fórmula'!C66)/('Fórmula'!C66+'Fórmula'!E66+'Fórmula'!G66+'Fórmula'!I66+'Fórmula'!K66))*(INDEX(properties!A$1:CB$87,'Fórmula'!B66,34))+(('Fórmula'!E66)/('Fórmula'!C66+'Fórmula'!E66+'Fórmula'!G66+'Fórmula'!I66+'Fórmula'!K66))*(INDEX(properties!A$1:CB$87,'Fórmula'!D66,34))+(('Fórmula'!G66)/('Fórmula'!C66+'Fórmula'!E66+'Fórmula'!G66+'Fórmula'!I66+'Fórmula'!K66))*(INDEX(properties!A$1:CB$87,'Fórmula'!F66,34))+(('Fórmula'!I66)/('Fórmula'!C66+'Fórmula'!E66+'Fórmula'!G66+'Fórmula'!I66+'Fórmula'!K66))*(INDEX(properties!A$1:CB$87,'Fórmula'!H66,34))+(('Fórmula'!K66)/('Fórmula'!C66+'Fórmula'!E66+'Fórmula'!G66+'Fórmula'!I66+'Fórmula'!K66))*(INDEX(properties!A$1:CB$87,'Fórmula'!J66,34))</f>
        <v>2.670166667</v>
      </c>
      <c r="DG66" s="104">
        <f t="array" ref="DG66">'Fórmula'!C66*(INDEX(properties!A$1:CB$87,'Fórmula'!B66,34))+'Fórmula'!E66*(INDEX(properties!A$1:CB$87,'Fórmula'!D66,34))+'Fórmula'!G66*(INDEX(properties!A$1:CB$87,'Fórmula'!F66,34))+'Fórmula'!I66*(INDEX(properties!A$1:CB$87,'Fórmula'!H66,34))+'Fórmula'!K66*(INDEX(properties!A$1:CB$87,'Fórmula'!J66,34))</f>
        <v>32.042</v>
      </c>
      <c r="DH66" s="104">
        <f t="array" ref="DH66">VARP(IF(INDEX(properties!A$1:CB$87,'Fórmula'!B66,34)&lt;&gt;"",INDEX(properties!A$1:CB$87,'Fórmula'!B66,34)),IF(INDEX(properties!A$1:CB$87,'Fórmula'!D66,34)&lt;&gt;"",INDEX(properties!A$1:CB$87,'Fórmula'!D66,34)),IF(INDEX(properties!A$1:CB$87,'Fórmula'!F66,34)&lt;&gt;"",INDEX(properties!A$1:CB$87,'Fórmula'!F66,34)),IF(INDEX(properties!A$1:CB$87,'Fórmula'!H66,34)&lt;&gt;"",INDEX(properties!A$1:CB$87,'Fórmula'!H66,34)),IF(INDEX(properties!A$1:CB$87,'Fórmula'!J66,34)&lt;&gt;"",INDEX(properties!A$1:CB$87,'Fórmula'!J66,34)))</f>
        <v>1.06318936</v>
      </c>
      <c r="DI66" s="104">
        <f t="array" ref="DI66">MAX(INDEX(properties!A$1:CB$87,'Fórmula'!B66,34),INDEX(properties!A$1:CB$87,'Fórmula'!D66,34),INDEX(properties!A$1:CB$87,'Fórmula'!F66,34),INDEX(properties!A$1:CB$87,'Fórmula'!H66,34),INDEX(properties!A$1:CB$87,'Fórmula'!J66,34))</f>
        <v>3.61</v>
      </c>
      <c r="DJ66" s="104">
        <f t="array" ref="DJ66">MIN(IF(INDEX(properties!A$1:CB$87,'Fórmula'!B66,34)=0,10^6,INDEX(properties!A$1:CB$87,'Fórmula'!B66,34)),IF(INDEX(properties!A$1:CB$87,'Fórmula'!D66,34)=0,10^6,INDEX(properties!A$1:CB$87,'Fórmula'!D66,34)),IF(INDEX(properties!A$1:CB$87,'Fórmula'!F66,34)=0,10^6,INDEX(properties!A$1:CB$87,'Fórmula'!F66,34)),IF(INDEX(properties!A$1:CB$87,'Fórmula'!H66,34)=0,10^6,INDEX(properties!A$1:CB$87,'Fórmula'!H66,34)),IF(INDEX(properties!A$1:CB$87,'Fórmula'!J66,34)=0,10^6,INDEX(properties!A$1:CB$87,'Fórmula'!J66,34)))</f>
        <v>0.869</v>
      </c>
      <c r="DK66" s="104">
        <f t="shared" si="19"/>
        <v>2.741</v>
      </c>
      <c r="DL66" s="105">
        <f t="array" ref="DL66">(('Fórmula'!C66)/('Fórmula'!C66+'Fórmula'!E66+'Fórmula'!G66+'Fórmula'!I66+'Fórmula'!K66))*(INDEX(properties!A$1:CB$87,'Fórmula'!B66,37))+(('Fórmula'!E66)/('Fórmula'!C66+'Fórmula'!E66+'Fórmula'!G66+'Fórmula'!I66+'Fórmula'!K66))*(INDEX(properties!A$1:CB$87,'Fórmula'!D66,37))+(('Fórmula'!G66)/('Fórmula'!C66+'Fórmula'!E66+'Fórmula'!G66+'Fórmula'!I66+'Fórmula'!K66))*(INDEX(properties!A$1:CB$87,'Fórmula'!F66,37))+(('Fórmula'!I66)/('Fórmula'!C66+'Fórmula'!E66+'Fórmula'!G66+'Fórmula'!I66+'Fórmula'!K66))*(INDEX(properties!A$1:CB$87,'Fórmula'!H66,37))+(('Fórmula'!K66)/('Fórmula'!C66+'Fórmula'!E66+'Fórmula'!G66+'Fórmula'!I66+'Fórmula'!K66))*(INDEX(properties!A$1:CB$87,'Fórmula'!J66,37))</f>
        <v>2.570833333</v>
      </c>
      <c r="DM66" s="105">
        <f t="array" ref="DM66">'Fórmula'!C66*(INDEX(properties!A$1:CB$87,'Fórmula'!B66,37))+'Fórmula'!E66*(INDEX(properties!A$1:CB$87,'Fórmula'!D66,37))+'Fórmula'!G66*(INDEX(properties!A$1:CB$87,'Fórmula'!F66,37))+'Fórmula'!I66*(INDEX(properties!A$1:CB$87,'Fórmula'!H66,37))+'Fórmula'!K66*(INDEX(properties!A$1:CB$87,'Fórmula'!J66,37))</f>
        <v>30.85</v>
      </c>
      <c r="DN66" s="105">
        <f t="array" ref="DN66">VARP(IF(INDEX(properties!A$1:CB$87,'Fórmula'!B66,37)&lt;&gt;"",INDEX(properties!A$1:CB$87,'Fórmula'!B66,37)),IF(INDEX(properties!A$1:CB$87,'Fórmula'!D66,37)&lt;&gt;"",INDEX(properties!A$1:CB$87,'Fórmula'!D66,37)),IF(INDEX(properties!A$1:CB$87,'Fórmula'!F66,37)&lt;&gt;"",INDEX(properties!A$1:CB$87,'Fórmula'!F66,37)),IF(INDEX(properties!A$1:CB$87,'Fórmula'!H66,37)&lt;&gt;"",INDEX(properties!A$1:CB$87,'Fórmula'!H66,37)),IF(INDEX(properties!A$1:CB$87,'Fórmula'!J66,37)&lt;&gt;"",INDEX(properties!A$1:CB$87,'Fórmula'!J66,37)))</f>
        <v>0.9016</v>
      </c>
      <c r="DO66" s="105">
        <f t="array" ref="DO66">MAX(INDEX(properties!A$1:CB$87,'Fórmula'!B66,37),INDEX(properties!A$1:CB$87,'Fórmula'!D66,37),INDEX(properties!A$1:CB$87,'Fórmula'!F66,37),INDEX(properties!A$1:CB$87,'Fórmula'!H66,37),INDEX(properties!A$1:CB$87,'Fórmula'!J66,37))</f>
        <v>3.45</v>
      </c>
      <c r="DP66" s="105">
        <f t="array" ref="DP66">MIN(IF(INDEX(properties!A$1:CB$87,'Fórmula'!B66,37)=0,10^6,INDEX(properties!A$1:CB$87,'Fórmula'!B66,37)),IF(INDEX(properties!A$1:CB$87,'Fórmula'!D66,37)=0,10^6,INDEX(properties!A$1:CB$87,'Fórmula'!D66,37)),IF(INDEX(properties!A$1:CB$87,'Fórmula'!F66,37)=0,10^6,INDEX(properties!A$1:CB$87,'Fórmula'!F66,37)),IF(INDEX(properties!A$1:CB$87,'Fórmula'!H66,37)=0,10^6,INDEX(properties!A$1:CB$87,'Fórmula'!H66,37)),IF(INDEX(properties!A$1:CB$87,'Fórmula'!J66,37)=0,10^6,INDEX(properties!A$1:CB$87,'Fórmula'!J66,37)))</f>
        <v>0.9</v>
      </c>
      <c r="DQ66" s="105">
        <f t="shared" si="20"/>
        <v>2.55</v>
      </c>
      <c r="DR66" s="109">
        <f t="array" ref="DR66">(('Fórmula'!C66)/('Fórmula'!C66+'Fórmula'!E66+'Fórmula'!G66+'Fórmula'!I66+'Fórmula'!K66))*(INDEX(properties!A$1:CB$87,'Fórmula'!B66,39))+(('Fórmula'!E66)/('Fórmula'!C66+'Fórmula'!E66+'Fórmula'!G66+'Fórmula'!I66+'Fórmula'!K66))*(INDEX(properties!A$1:CB$87,'Fórmula'!D66,39))+(('Fórmula'!G66)/('Fórmula'!C66+'Fórmula'!E66+'Fórmula'!G66+'Fórmula'!I66+'Fórmula'!K66))*(INDEX(properties!A$1:CB$87,'Fórmula'!F66,39))+(('Fórmula'!I66)/('Fórmula'!C66+'Fórmula'!E66+'Fórmula'!G66+'Fórmula'!I66+'Fórmula'!K66))*(INDEX(properties!A$1:CB$87,'Fórmula'!H66,39))+(('Fórmula'!K66)/('Fórmula'!C66+'Fórmula'!E66+'Fórmula'!G66+'Fórmula'!I66+'Fórmula'!K66))*(INDEX(properties!A$1:CB$87,'Fórmula'!J66,39))</f>
        <v>0.9875</v>
      </c>
      <c r="DS66" s="109">
        <f t="array" ref="DS66">'Fórmula'!C66*(INDEX(properties!A$1:CB$87,'Fórmula'!B66,39))+'Fórmula'!E66*(INDEX(properties!A$1:CB$87,'Fórmula'!D66,39))+'Fórmula'!G66*(INDEX(properties!A$1:CB$87,'Fórmula'!F66,39))+'Fórmula'!I66*(INDEX(properties!A$1:CB$87,'Fórmula'!H66,39))+'Fórmula'!K66*(INDEX(properties!A$1:CB$87,'Fórmula'!J66,39))</f>
        <v>11.85</v>
      </c>
      <c r="DT66" s="109">
        <f t="array" ref="DT66">VARP(IF(INDEX(properties!A$1:CB$87,'Fórmula'!B66,39)&lt;&gt;"",INDEX(properties!A$1:CB$87,'Fórmula'!B66,39)),IF(INDEX(properties!A$1:CB$87,'Fórmula'!D66,39)&lt;&gt;"",INDEX(properties!A$1:CB$87,'Fórmula'!D66,39)),IF(INDEX(properties!A$1:CB$87,'Fórmula'!F66,39)&lt;&gt;"",INDEX(properties!A$1:CB$87,'Fórmula'!F66,39)),IF(INDEX(properties!A$1:CB$87,'Fórmula'!H66,39)&lt;&gt;"",INDEX(properties!A$1:CB$87,'Fórmula'!H66,39)),IF(INDEX(properties!A$1:CB$87,'Fórmula'!J66,39)&lt;&gt;"",INDEX(properties!A$1:CB$87,'Fórmula'!J66,39)))</f>
        <v>0.500616</v>
      </c>
      <c r="DU66" s="120">
        <f t="array" ref="DU66">MAX(INDEX(properties!A$1:CB$87,'Fórmula'!B66,39),INDEX(properties!A$1:CB$87,'Fórmula'!D66,39),INDEX(properties!A$1:CB$87,'Fórmula'!F66,39),INDEX(properties!A$1:CB$87,'Fórmula'!H66,39),INDEX(properties!A$1:CB$87,'Fórmula'!J66,39))</f>
        <v>2.53</v>
      </c>
      <c r="DV66" s="120">
        <f t="array" ref="DV66">MIN(IF(INDEX(properties!A$1:CB$87,'Fórmula'!B66,39)=0,10^6,INDEX(properties!A$1:CB$87,'Fórmula'!B66,39)),IF(INDEX(properties!A$1:CB$87,'Fórmula'!D66,39)=0,10^6,INDEX(properties!A$1:CB$87,'Fórmula'!D66,39)),IF(INDEX(properties!A$1:CB$87,'Fórmula'!F66,39)=0,10^6,INDEX(properties!A$1:CB$87,'Fórmula'!F66,39)),IF(INDEX(properties!A$1:CB$87,'Fórmula'!H66,39)=0,10^6,INDEX(properties!A$1:CB$87,'Fórmula'!H66,39)),IF(INDEX(properties!A$1:CB$87,'Fórmula'!J66,39)=0,10^6,INDEX(properties!A$1:CB$87,'Fórmula'!J66,39)))</f>
        <v>0.48</v>
      </c>
      <c r="DW66" s="109">
        <f t="shared" si="21"/>
        <v>2.05</v>
      </c>
      <c r="DX66" s="110">
        <f t="array" ref="DX66">(('Fórmula'!C66)/('Fórmula'!C66+'Fórmula'!E66+'Fórmula'!G66+'Fórmula'!I66+'Fórmula'!K66))*(INDEX(properties!A$1:CB$87,'Fórmula'!B66,40))+(('Fórmula'!E66)/('Fórmula'!C66+'Fórmula'!E66+'Fórmula'!G66+'Fórmula'!I66+'Fórmula'!K66))*(INDEX(properties!A$1:CB$87,'Fórmula'!D66,40))+(('Fórmula'!G66)/('Fórmula'!C66+'Fórmula'!E66+'Fórmula'!G66+'Fórmula'!I66+'Fórmula'!K66))*(INDEX(properties!A$1:CB$87,'Fórmula'!F66,40))+(('Fórmula'!I66)/('Fórmula'!C66+'Fórmula'!E66+'Fórmula'!G66+'Fórmula'!I66+'Fórmula'!K66))*(INDEX(properties!A$1:CB$87,'Fórmula'!H66,40))+(('Fórmula'!K66)/('Fórmula'!C66+'Fórmula'!E66+'Fórmula'!G66+'Fórmula'!I66+'Fórmula'!K66))*(INDEX(properties!A$1:CB$87,'Fórmula'!J66,40))</f>
        <v>1.024166667</v>
      </c>
      <c r="DY66" s="110">
        <f t="array" ref="DY66">'Fórmula'!C66*(INDEX(properties!A$1:CB$87,'Fórmula'!B66,40))+'Fórmula'!E66*(INDEX(properties!A$1:CB$87,'Fórmula'!D66,40))+'Fórmula'!G66*(INDEX(properties!A$1:CB$87,'Fórmula'!F66,40))+'Fórmula'!I66*(INDEX(properties!A$1:CB$87,'Fórmula'!H66,40))+'Fórmula'!K66*(INDEX(properties!A$1:CB$87,'Fórmula'!J66,40))</f>
        <v>12.29</v>
      </c>
      <c r="DZ66" s="110">
        <f t="array" ref="DZ66">VARP(IF(INDEX(properties!A$1:CB$87,'Fórmula'!B66,40)&lt;&gt;"",INDEX(properties!A$1:CB$87,'Fórmula'!B66,40)),IF(INDEX(properties!A$1:CB$87,'Fórmula'!D66,40)&lt;&gt;"",INDEX(properties!A$1:CB$87,'Fórmula'!D66,40)),IF(INDEX(properties!A$1:CB$87,'Fórmula'!F66,40)&lt;&gt;"",INDEX(properties!A$1:CB$87,'Fórmula'!F66,40)),IF(INDEX(properties!A$1:CB$87,'Fórmula'!H66,40)&lt;&gt;"",INDEX(properties!A$1:CB$87,'Fórmula'!H66,40)),IF(INDEX(properties!A$1:CB$87,'Fórmula'!J66,40)&lt;&gt;"",INDEX(properties!A$1:CB$87,'Fórmula'!J66,40)))</f>
        <v>0.17652</v>
      </c>
      <c r="EA66" s="121">
        <f t="array" ref="EA66">MAX(INDEX(properties!A$1:CB$87,'Fórmula'!B66,40),INDEX(properties!A$1:CB$87,'Fórmula'!D66,40),INDEX(properties!A$1:CB$87,'Fórmula'!F66,40),INDEX(properties!A$1:CB$87,'Fórmula'!H66,40),INDEX(properties!A$1:CB$87,'Fórmula'!J66,40))</f>
        <v>1.98</v>
      </c>
      <c r="EB66" s="121">
        <f t="array" ref="EB66">MIN(IF(INDEX(properties!A$1:CB$87,'Fórmula'!B66,40)=0,10^6,INDEX(properties!A$1:CB$87,'Fórmula'!B66,40)),IF(INDEX(properties!A$1:CB$87,'Fórmula'!D66,40)=0,10^6,INDEX(properties!A$1:CB$87,'Fórmula'!D66,40)),IF(INDEX(properties!A$1:CB$87,'Fórmula'!F66,40)=0,10^6,INDEX(properties!A$1:CB$87,'Fórmula'!F66,40)),IF(INDEX(properties!A$1:CB$87,'Fórmula'!H66,40)=0,10^6,INDEX(properties!A$1:CB$87,'Fórmula'!H66,40)),IF(INDEX(properties!A$1:CB$87,'Fórmula'!J66,40)=0,10^6,INDEX(properties!A$1:CB$87,'Fórmula'!J66,40)))</f>
        <v>0.73</v>
      </c>
      <c r="EC66" s="110">
        <f t="shared" si="22"/>
        <v>1.25</v>
      </c>
      <c r="ED66" s="111">
        <f t="array" ref="ED66">(('Fórmula'!C66)/('Fórmula'!C66+'Fórmula'!E66+'Fórmula'!G66+'Fórmula'!I66+'Fórmula'!K66))*(INDEX(properties!A$1:CB$87,'Fórmula'!B66,41))+(('Fórmula'!E66)/('Fórmula'!C66+'Fórmula'!E66+'Fórmula'!G66+'Fórmula'!I66+'Fórmula'!K66))*(INDEX(properties!A$1:CB$87,'Fórmula'!D66,41))+(('Fórmula'!G66)/('Fórmula'!C66+'Fórmula'!E66+'Fórmula'!G66+'Fórmula'!I66+'Fórmula'!K66))*(INDEX(properties!A$1:CB$87,'Fórmula'!F66,41))+(('Fórmula'!I66)/('Fórmula'!C66+'Fórmula'!E66+'Fórmula'!G66+'Fórmula'!I66+'Fórmula'!K66))*(INDEX(properties!A$1:CB$87,'Fórmula'!H66,41))+(('Fórmula'!K66)/('Fórmula'!C66+'Fórmula'!E66+'Fórmula'!G66+'Fórmula'!I66+'Fórmula'!K66))*(INDEX(properties!A$1:CB$87,'Fórmula'!J66,41))</f>
        <v>1.12</v>
      </c>
      <c r="EE66" s="111">
        <f t="array" ref="EE66">'Fórmula'!C66*(INDEX(properties!A$1:CB$87,'Fórmula'!B66,41))+'Fórmula'!E66*(INDEX(properties!A$1:CB$87,'Fórmula'!D66,41))+'Fórmula'!G66*(INDEX(properties!A$1:CB$87,'Fórmula'!F66,41))+'Fórmula'!I66*(INDEX(properties!A$1:CB$87,'Fórmula'!H66,41))+'Fórmula'!K66*(INDEX(properties!A$1:CB$87,'Fórmula'!J66,41))</f>
        <v>13.44</v>
      </c>
      <c r="EF66" s="111">
        <f t="array" ref="EF66">VARP(IF(INDEX(properties!A$1:CB$87,'Fórmula'!B66,41)&lt;&gt;"",INDEX(properties!A$1:CB$87,'Fórmula'!B66,41)),IF(INDEX(properties!A$1:CB$87,'Fórmula'!D66,41)&lt;&gt;"",INDEX(properties!A$1:CB$87,'Fórmula'!D66,41)),IF(INDEX(properties!A$1:CB$87,'Fórmula'!F66,41)&lt;&gt;"",INDEX(properties!A$1:CB$87,'Fórmula'!F66,41)),IF(INDEX(properties!A$1:CB$87,'Fórmula'!H66,41)&lt;&gt;"",INDEX(properties!A$1:CB$87,'Fórmula'!H66,41)),IF(INDEX(properties!A$1:CB$87,'Fórmula'!J66,41)&lt;&gt;"",INDEX(properties!A$1:CB$87,'Fórmula'!J66,41)))</f>
        <v>0.106776</v>
      </c>
      <c r="EG66" s="122">
        <f t="array" ref="EG66">MAX(INDEX(properties!A$1:CB$87,'Fórmula'!B66,41),INDEX(properties!A$1:CB$87,'Fórmula'!D66,41),INDEX(properties!A$1:CB$87,'Fórmula'!F66,41),INDEX(properties!A$1:CB$87,'Fórmula'!H66,41),INDEX(properties!A$1:CB$87,'Fórmula'!J66,41))</f>
        <v>1.49</v>
      </c>
      <c r="EH66" s="122">
        <f t="array" ref="EH66">MIN(IF(INDEX(properties!A$1:CB$87,'Fórmula'!B66,41)=0,10^6,INDEX(properties!A$1:CB$87,'Fórmula'!B66,41)),IF(INDEX(properties!A$1:CB$87,'Fórmula'!D66,41)=0,10^6,INDEX(properties!A$1:CB$87,'Fórmula'!D66,41)),IF(INDEX(properties!A$1:CB$87,'Fórmula'!F66,41)=0,10^6,INDEX(properties!A$1:CB$87,'Fórmula'!F66,41)),IF(INDEX(properties!A$1:CB$87,'Fórmula'!H66,41)=0,10^6,INDEX(properties!A$1:CB$87,'Fórmula'!H66,41)),IF(INDEX(properties!A$1:CB$87,'Fórmula'!J66,41)=0,10^6,INDEX(properties!A$1:CB$87,'Fórmula'!J66,41)))</f>
        <v>0.54</v>
      </c>
      <c r="EI66" s="111">
        <f t="shared" si="23"/>
        <v>0.95</v>
      </c>
      <c r="EJ66" s="112">
        <f t="array" ref="EJ66">(('Fórmula'!C66)/('Fórmula'!C66+'Fórmula'!E66+'Fórmula'!G66+'Fórmula'!I66+'Fórmula'!K66))*(INDEX(properties!A$1:CB$87,'Fórmula'!B66,45))+(('Fórmula'!E66)/('Fórmula'!C66+'Fórmula'!E66+'Fórmula'!G66+'Fórmula'!I66+'Fórmula'!K66))*(INDEX(properties!A$1:CB$87,'Fórmula'!D66,45))+(('Fórmula'!G66)/('Fórmula'!C66+'Fórmula'!E66+'Fórmula'!G66+'Fórmula'!I66+'Fórmula'!K66))*(INDEX(properties!A$1:CB$87,'Fórmula'!F66,45))+(('Fórmula'!I66)/('Fórmula'!C66+'Fórmula'!E66+'Fórmula'!G66+'Fórmula'!I66+'Fórmula'!K66))*(INDEX(properties!A$1:CB$87,'Fórmula'!H66,45))+(('Fórmula'!K66)/('Fórmula'!C66+'Fórmula'!E66+'Fórmula'!G66+'Fórmula'!I66+'Fórmula'!K66))*(INDEX(properties!A$1:CB$87,'Fórmula'!J66,45))</f>
        <v>1.244166667</v>
      </c>
      <c r="EK66" s="112">
        <f t="array" ref="EK66">'Fórmula'!C66*(INDEX(properties!A$1:CB$87,'Fórmula'!B66,45))+'Fórmula'!E66*(INDEX(properties!A$1:CB$87,'Fórmula'!D66,45))+'Fórmula'!G66*(INDEX(properties!A$1:CB$87,'Fórmula'!F66,45))+'Fórmula'!I66*(INDEX(properties!A$1:CB$87,'Fórmula'!H66,45))+'Fórmula'!K66*(INDEX(properties!A$1:CB$87,'Fórmula'!J66,45))</f>
        <v>14.93</v>
      </c>
      <c r="EL66" s="112">
        <f t="array" ref="EL66">VARP(IF(INDEX(properties!A$1:CB$87,'Fórmula'!B66,45)&lt;&gt;"",INDEX(properties!A$1:CB$87,'Fórmula'!B66,45)),IF(INDEX(properties!A$1:CB$87,'Fórmula'!D66,45)&lt;&gt;"",INDEX(properties!A$1:CB$87,'Fórmula'!D66,45)),IF(INDEX(properties!A$1:CB$87,'Fórmula'!F66,45)&lt;&gt;"",INDEX(properties!A$1:CB$87,'Fórmula'!F66,45)),IF(INDEX(properties!A$1:CB$87,'Fórmula'!H66,45)&lt;&gt;"",INDEX(properties!A$1:CB$87,'Fórmula'!H66,45)),IF(INDEX(properties!A$1:CB$87,'Fórmula'!J66,45)&lt;&gt;"",INDEX(properties!A$1:CB$87,'Fórmula'!J66,45)))</f>
        <v>1.105416</v>
      </c>
      <c r="EM66" s="123">
        <f t="array" ref="EM66">MAX(INDEX(properties!A$1:CB$87,'Fórmula'!B66,45),INDEX(properties!A$1:CB$87,'Fórmula'!D66,45),INDEX(properties!A$1:CB$87,'Fórmula'!F66,45),INDEX(properties!A$1:CB$87,'Fórmula'!H66,45),INDEX(properties!A$1:CB$87,'Fórmula'!J66,45))</f>
        <v>3.4</v>
      </c>
      <c r="EN66" s="123">
        <f t="array" ref="EN66">MIN(IF(INDEX(properties!A$1:CB$87,'Fórmula'!B66,45)=0,10^6,INDEX(properties!A$1:CB$87,'Fórmula'!B66,45)),IF(INDEX(properties!A$1:CB$87,'Fórmula'!D66,45)=0,10^6,INDEX(properties!A$1:CB$87,'Fórmula'!D66,45)),IF(INDEX(properties!A$1:CB$87,'Fórmula'!F66,45)=0,10^6,INDEX(properties!A$1:CB$87,'Fórmula'!F66,45)),IF(INDEX(properties!A$1:CB$87,'Fórmula'!H66,45)=0,10^6,INDEX(properties!A$1:CB$87,'Fórmula'!H66,45)),IF(INDEX(properties!A$1:CB$87,'Fórmula'!J66,45)=0,10^6,INDEX(properties!A$1:CB$87,'Fórmula'!J66,45)))</f>
        <v>0.47</v>
      </c>
      <c r="EO66" s="112">
        <f t="shared" si="24"/>
        <v>2.93</v>
      </c>
      <c r="EP66" s="113">
        <f t="array" ref="EP66">(('Fórmula'!C66)/('Fórmula'!C66+'Fórmula'!E66+'Fórmula'!G66+'Fórmula'!I66+'Fórmula'!K66))*(INDEX(properties!A$1:CB$87,'Fórmula'!B66,46))+(('Fórmula'!E66)/('Fórmula'!C66+'Fórmula'!E66+'Fórmula'!G66+'Fórmula'!I66+'Fórmula'!K66))*(INDEX(properties!A$1:CB$87,'Fórmula'!D66,46))+(('Fórmula'!G66)/('Fórmula'!C66+'Fórmula'!E66+'Fórmula'!G66+'Fórmula'!I66+'Fórmula'!K66))*(INDEX(properties!A$1:CB$87,'Fórmula'!F66,46))+(('Fórmula'!I66)/('Fórmula'!C66+'Fórmula'!E66+'Fórmula'!G66+'Fórmula'!I66+'Fórmula'!K66))*(INDEX(properties!A$1:CB$87,'Fórmula'!H66,46))+(('Fórmula'!K66)/('Fórmula'!C66+'Fórmula'!E66+'Fórmula'!G66+'Fórmula'!I66+'Fórmula'!K66))*(INDEX(properties!A$1:CB$87,'Fórmula'!J66,46))</f>
        <v>1.0675</v>
      </c>
      <c r="EQ66" s="113">
        <f t="array" ref="EQ66">'Fórmula'!C66*(INDEX(properties!A$1:CB$87,'Fórmula'!B66,46))+'Fórmula'!E66*(INDEX(properties!A$1:CB$87,'Fórmula'!D66,46))+'Fórmula'!G66*(INDEX(properties!A$1:CB$87,'Fórmula'!F66,46))+'Fórmula'!I66*(INDEX(properties!A$1:CB$87,'Fórmula'!H66,46))+'Fórmula'!K66*(INDEX(properties!A$1:CB$87,'Fórmula'!J66,46))</f>
        <v>12.81</v>
      </c>
      <c r="ER66" s="113">
        <f t="array" ref="ER66">VARP(IF(INDEX(properties!A$1:CB$87,'Fórmula'!B66,46)&lt;&gt;"",INDEX(properties!A$1:CB$87,'Fórmula'!B66,46)),IF(INDEX(properties!A$1:CB$87,'Fórmula'!D66,46)&lt;&gt;"",INDEX(properties!A$1:CB$87,'Fórmula'!D66,46)),IF(INDEX(properties!A$1:CB$87,'Fórmula'!F66,46)&lt;&gt;"",INDEX(properties!A$1:CB$87,'Fórmula'!F66,46)),IF(INDEX(properties!A$1:CB$87,'Fórmula'!H66,46)&lt;&gt;"",INDEX(properties!A$1:CB$87,'Fórmula'!H66,46)),IF(INDEX(properties!A$1:CB$87,'Fórmula'!J66,46)&lt;&gt;"",INDEX(properties!A$1:CB$87,'Fórmula'!J66,46)))</f>
        <v>0.13548</v>
      </c>
      <c r="ES66" s="124">
        <f t="array" ref="ES66">MAX(INDEX(properties!A$1:CB$87,'Fórmula'!B66,46),INDEX(properties!A$1:CB$87,'Fórmula'!D66,46),INDEX(properties!A$1:CB$87,'Fórmula'!F66,46),INDEX(properties!A$1:CB$87,'Fórmula'!H66,46),INDEX(properties!A$1:CB$87,'Fórmula'!J66,46))</f>
        <v>1.49</v>
      </c>
      <c r="ET66" s="124">
        <f t="array" ref="ET66">MIN(IF(INDEX(properties!A$1:CB$87,'Fórmula'!B66,46)=0,10^6,INDEX(properties!A$1:CB$87,'Fórmula'!B66,46)),IF(INDEX(properties!A$1:CB$87,'Fórmula'!D66,46)=0,10^6,INDEX(properties!A$1:CB$87,'Fórmula'!D66,46)),IF(INDEX(properties!A$1:CB$87,'Fórmula'!F66,46)=0,10^6,INDEX(properties!A$1:CB$87,'Fórmula'!F66,46)),IF(INDEX(properties!A$1:CB$87,'Fórmula'!H66,46)=0,10^6,INDEX(properties!A$1:CB$87,'Fórmula'!H66,46)),IF(INDEX(properties!A$1:CB$87,'Fórmula'!J66,46)=0,10^6,INDEX(properties!A$1:CB$87,'Fórmula'!J66,46)))</f>
        <v>0.4</v>
      </c>
      <c r="EU66" s="113">
        <f t="shared" si="25"/>
        <v>1.09</v>
      </c>
      <c r="EV66" s="114">
        <f t="array" ref="EV66">(('Fórmula'!C66)/('Fórmula'!C66+'Fórmula'!E66+'Fórmula'!G66+'Fórmula'!I66+'Fórmula'!K66))*(INDEX(properties!A$1:CB$87,'Fórmula'!B66,52))+(('Fórmula'!E66)/('Fórmula'!C66+'Fórmula'!E66+'Fórmula'!G66+'Fórmula'!I66+'Fórmula'!K66))*(INDEX(properties!A$1:CB$87,'Fórmula'!D66,52))+(('Fórmula'!G66)/('Fórmula'!C66+'Fórmula'!E66+'Fórmula'!G66+'Fórmula'!I66+'Fórmula'!K66))*(INDEX(properties!A$1:CB$87,'Fórmula'!F66,52))+(('Fórmula'!I66)/('Fórmula'!C66+'Fórmula'!E66+'Fórmula'!G66+'Fórmula'!I66+'Fórmula'!K66))*(INDEX(properties!A$1:CB$87,'Fórmula'!H66,52))+(('Fórmula'!K66)/('Fórmula'!C66+'Fórmula'!E66+'Fórmula'!G66+'Fórmula'!I66+'Fórmula'!K66))*(INDEX(properties!A$1:CB$87,'Fórmula'!J66,52))</f>
        <v>8.120916667</v>
      </c>
      <c r="EW66" s="114">
        <f t="array" ref="EW66">'Fórmula'!C66*(INDEX(properties!A$1:CB$87,'Fórmula'!B66,52))+'Fórmula'!E66*(INDEX(properties!A$1:CB$87,'Fórmula'!D66,52))+'Fórmula'!G66*(INDEX(properties!A$1:CB$87,'Fórmula'!F66,52))+'Fórmula'!I66*(INDEX(properties!A$1:CB$87,'Fórmula'!H66,52))+'Fórmula'!K66*(INDEX(properties!A$1:CB$87,'Fórmula'!J66,52))</f>
        <v>97.451</v>
      </c>
      <c r="EX66" s="114">
        <f t="array" ref="EX66">VARP(IF(INDEX(properties!A$1:CB$87,'Fórmula'!B66,52)&lt;&gt;"",INDEX(properties!A$1:CB$87,'Fórmula'!B66,52)),IF(INDEX(properties!A$1:CB$87,'Fórmula'!D66,52)&lt;&gt;"",INDEX(properties!A$1:CB$87,'Fórmula'!D66,52)),IF(INDEX(properties!A$1:CB$87,'Fórmula'!F66,52)&lt;&gt;"",INDEX(properties!A$1:CB$87,'Fórmula'!F66,52)),IF(INDEX(properties!A$1:CB$87,'Fórmula'!H66,52)&lt;&gt;"",INDEX(properties!A$1:CB$87,'Fórmula'!H66,52)),IF(INDEX(properties!A$1:CB$87,'Fórmula'!J66,52)&lt;&gt;"",INDEX(properties!A$1:CB$87,'Fórmula'!J66,52)))</f>
        <v>191.1330558</v>
      </c>
      <c r="EY66" s="114">
        <f t="array" ref="EY66">MAX(INDEX(properties!A$1:CB$87,'Fórmula'!B66,52),INDEX(properties!A$1:CB$87,'Fórmula'!D66,52),INDEX(properties!A$1:CB$87,'Fórmula'!F66,52),INDEX(properties!A$1:CB$87,'Fórmula'!H66,52),INDEX(properties!A$1:CB$87,'Fórmula'!J66,52))</f>
        <v>39.7</v>
      </c>
      <c r="EZ66" s="114">
        <f t="array" ref="EZ66">MIN(IF(INDEX(properties!A$1:CB$87,'Fórmula'!B66,52)=0,10^6,INDEX(properties!A$1:CB$87,'Fórmula'!B66,52)),IF(INDEX(properties!A$1:CB$87,'Fórmula'!D66,52)=0,10^6,INDEX(properties!A$1:CB$87,'Fórmula'!D66,52)),IF(INDEX(properties!A$1:CB$87,'Fórmula'!F66,52)=0,10^6,INDEX(properties!A$1:CB$87,'Fórmula'!F66,52)),IF(INDEX(properties!A$1:CB$87,'Fórmula'!H66,52)=0,10^6,INDEX(properties!A$1:CB$87,'Fórmula'!H66,52)),IF(INDEX(properties!A$1:CB$87,'Fórmula'!J66,52)=0,10^6,INDEX(properties!A$1:CB$87,'Fórmula'!J66,52)))</f>
        <v>0.793</v>
      </c>
      <c r="FA66" s="114">
        <f t="shared" si="26"/>
        <v>38.907</v>
      </c>
      <c r="FB66" s="115">
        <f t="array" ref="FB66">(('Fórmula'!C66)/('Fórmula'!C66+'Fórmula'!E66+'Fórmula'!G66+'Fórmula'!I66+'Fórmula'!K66))*(INDEX(properties!A$1:CB$87,'Fórmula'!B66,53))+(('Fórmula'!E66)/('Fórmula'!C66+'Fórmula'!E66+'Fórmula'!G66+'Fórmula'!I66+'Fórmula'!K66))*(INDEX(properties!A$1:CB$87,'Fórmula'!D66,53))+(('Fórmula'!G66)/('Fórmula'!C66+'Fórmula'!E66+'Fórmula'!G66+'Fórmula'!I66+'Fórmula'!K66))*(INDEX(properties!A$1:CB$87,'Fórmula'!F66,53))+(('Fórmula'!I66)/('Fórmula'!C66+'Fórmula'!E66+'Fórmula'!G66+'Fórmula'!I66+'Fórmula'!K66))*(INDEX(properties!A$1:CB$87,'Fórmula'!H66,53))+(('Fórmula'!K66)/('Fórmula'!C66+'Fórmula'!E66+'Fórmula'!G66+'Fórmula'!I66+'Fórmula'!K66))*(INDEX(properties!A$1:CB$87,'Fórmula'!J66,53))</f>
        <v>577.7333333</v>
      </c>
      <c r="FC66" s="115">
        <f t="array" ref="FC66">'Fórmula'!C66*(INDEX(properties!A$1:CB$87,'Fórmula'!B66,53))+'Fórmula'!E66*(INDEX(properties!A$1:CB$87,'Fórmula'!D66,53))+'Fórmula'!G66*(INDEX(properties!A$1:CB$87,'Fórmula'!F66,53))+'Fórmula'!I66*(INDEX(properties!A$1:CB$87,'Fórmula'!H66,53))+'Fórmula'!K66*(INDEX(properties!A$1:CB$87,'Fórmula'!J66,53))</f>
        <v>6932.8</v>
      </c>
      <c r="FD66" s="115">
        <f t="array" ref="FD66">VARP(IF(INDEX(properties!A$1:CB$87,'Fórmula'!B66,53)&lt;&gt;"",INDEX(properties!A$1:CB$87,'Fórmula'!B66,53)),IF(INDEX(properties!A$1:CB$87,'Fórmula'!D66,53)&lt;&gt;"",INDEX(properties!A$1:CB$87,'Fórmula'!D66,53)),IF(INDEX(properties!A$1:CB$87,'Fórmula'!F66,53)&lt;&gt;"",INDEX(properties!A$1:CB$87,'Fórmula'!F66,53)),IF(INDEX(properties!A$1:CB$87,'Fórmula'!H66,53)&lt;&gt;"",INDEX(properties!A$1:CB$87,'Fórmula'!H66,53)),IF(INDEX(properties!A$1:CB$87,'Fórmula'!J66,53)&lt;&gt;"",INDEX(properties!A$1:CB$87,'Fórmula'!J66,53)))</f>
        <v>483499.1136</v>
      </c>
      <c r="FE66" s="115">
        <f t="array" ref="FE66">MAX(INDEX(properties!A$1:CB$87,'Fórmula'!B66,53),INDEX(properties!A$1:CB$87,'Fórmula'!D66,53),INDEX(properties!A$1:CB$87,'Fórmula'!F66,53),INDEX(properties!A$1:CB$87,'Fórmula'!H66,53),INDEX(properties!A$1:CB$87,'Fórmula'!J66,53))</f>
        <v>1814.15</v>
      </c>
      <c r="FF66" s="115">
        <f t="array" ref="FF66">MIN(IF(INDEX(properties!A$1:CB$87,'Fórmula'!B66,53)=0,10^6,INDEX(properties!A$1:CB$87,'Fórmula'!B66,53)),IF(INDEX(properties!A$1:CB$87,'Fórmula'!D66,53)=0,10^6,INDEX(properties!A$1:CB$87,'Fórmula'!D66,53)),IF(INDEX(properties!A$1:CB$87,'Fórmula'!F66,53)=0,10^6,INDEX(properties!A$1:CB$87,'Fórmula'!F66,53)),IF(INDEX(properties!A$1:CB$87,'Fórmula'!H66,53)=0,10^6,INDEX(properties!A$1:CB$87,'Fórmula'!H66,53)),IF(INDEX(properties!A$1:CB$87,'Fórmula'!J66,53)=0,10^6,INDEX(properties!A$1:CB$87,'Fórmula'!J66,53)))</f>
        <v>54.75</v>
      </c>
      <c r="FG66" s="115">
        <f t="shared" si="27"/>
        <v>1759.4</v>
      </c>
      <c r="FH66" s="117">
        <f t="array" ref="FH66">(('Fórmula'!C66)/('Fórmula'!C66+'Fórmula'!E66+'Fórmula'!G66+'Fórmula'!I66+'Fórmula'!K66))*(INDEX(properties!A$1:CB$87,'Fórmula'!B66,54))+(('Fórmula'!E66)/('Fórmula'!C66+'Fórmula'!E66+'Fórmula'!G66+'Fórmula'!I66+'Fórmula'!K66))*(INDEX(properties!A$1:CB$87,'Fórmula'!D66,54))+(('Fórmula'!G66)/('Fórmula'!C66+'Fórmula'!E66+'Fórmula'!G66+'Fórmula'!I66+'Fórmula'!K66))*(INDEX(properties!A$1:CB$87,'Fórmula'!F66,54))+(('Fórmula'!I66)/('Fórmula'!C66+'Fórmula'!E66+'Fórmula'!G66+'Fórmula'!I66+'Fórmula'!K66))*(INDEX(properties!A$1:CB$87,'Fórmula'!H66,54))+(('Fórmula'!K66)/('Fórmula'!C66+'Fórmula'!E66+'Fórmula'!G66+'Fórmula'!I66+'Fórmula'!K66))*(INDEX(properties!A$1:CB$87,'Fórmula'!J66,54))</f>
        <v>1005.15</v>
      </c>
      <c r="FI66" s="117">
        <f t="array" ref="FI66">'Fórmula'!C66*(INDEX(properties!A$1:CB$87,'Fórmula'!B66,54))+'Fórmula'!E66*(INDEX(properties!A$1:CB$87,'Fórmula'!D66,54))+'Fórmula'!G66*(INDEX(properties!A$1:CB$87,'Fórmula'!F66,54))+'Fórmula'!I66*(INDEX(properties!A$1:CB$87,'Fórmula'!H66,54))+'Fórmula'!K66*(INDEX(properties!A$1:CB$87,'Fórmula'!J66,54))</f>
        <v>12061.8</v>
      </c>
      <c r="FJ66" s="117">
        <f t="array" ref="FJ66">VARP(IF(INDEX(properties!A$1:CB$87,'Fórmula'!B66,54)&lt;&gt;"",INDEX(properties!A$1:CB$87,'Fórmula'!B66,54)),IF(INDEX(properties!A$1:CB$87,'Fórmula'!D66,54)&lt;&gt;"",INDEX(properties!A$1:CB$87,'Fórmula'!D66,54)),IF(INDEX(properties!A$1:CB$87,'Fórmula'!F66,54)&lt;&gt;"",INDEX(properties!A$1:CB$87,'Fórmula'!F66,54)),IF(INDEX(properties!A$1:CB$87,'Fórmula'!H66,54)&lt;&gt;"",INDEX(properties!A$1:CB$87,'Fórmula'!H66,54)),IF(INDEX(properties!A$1:CB$87,'Fórmula'!J66,54)&lt;&gt;"",INDEX(properties!A$1:CB$87,'Fórmula'!J66,54)))</f>
        <v>1147576.24</v>
      </c>
      <c r="FK66" s="117">
        <f t="array" ref="FK66">MAX(INDEX(properties!A$1:CB$87,'Fórmula'!B66,54),INDEX(properties!A$1:CB$87,'Fórmula'!D66,54),INDEX(properties!A$1:CB$87,'Fórmula'!F66,54),INDEX(properties!A$1:CB$87,'Fórmula'!H66,54),INDEX(properties!A$1:CB$87,'Fórmula'!J66,54))</f>
        <v>3105.15</v>
      </c>
      <c r="FL66" s="117">
        <f t="array" ref="FL66">MIN(IF(INDEX(properties!A$1:CB$87,'Fórmula'!B66,54)=0,10^6,INDEX(properties!A$1:CB$87,'Fórmula'!B66,54)),IF(INDEX(properties!A$1:CB$87,'Fórmula'!D66,54)=0,10^6,INDEX(properties!A$1:CB$87,'Fórmula'!D66,54)),IF(INDEX(properties!A$1:CB$87,'Fórmula'!F66,54)=0,10^6,INDEX(properties!A$1:CB$87,'Fórmula'!F66,54)),IF(INDEX(properties!A$1:CB$87,'Fórmula'!H66,54)=0,10^6,INDEX(properties!A$1:CB$87,'Fórmula'!H66,54)),IF(INDEX(properties!A$1:CB$87,'Fórmula'!J66,54)=0,10^6,INDEX(properties!A$1:CB$87,'Fórmula'!J66,54)))</f>
        <v>90.15</v>
      </c>
      <c r="FM66" s="117">
        <f t="shared" si="28"/>
        <v>3015</v>
      </c>
      <c r="FN66" s="118">
        <f t="array" ref="FN66">(('Fórmula'!C66)/('Fórmula'!C66+'Fórmula'!E66+'Fórmula'!G66+'Fórmula'!I66+'Fórmula'!K66))*(INDEX(properties!A$1:CB$87,'Fórmula'!B66,55))+(('Fórmula'!E66)/('Fórmula'!C66+'Fórmula'!E66+'Fórmula'!G66+'Fórmula'!I66+'Fórmula'!K66))*(INDEX(properties!A$1:CB$87,'Fórmula'!D66,55))+(('Fórmula'!G66)/('Fórmula'!C66+'Fórmula'!E66+'Fórmula'!G66+'Fórmula'!I66+'Fórmula'!K66))*(INDEX(properties!A$1:CB$87,'Fórmula'!F66,55))+(('Fórmula'!I66)/('Fórmula'!C66+'Fórmula'!E66+'Fórmula'!G66+'Fórmula'!I66+'Fórmula'!K66))*(INDEX(properties!A$1:CB$87,'Fórmula'!H66,55))+(('Fórmula'!K66)/('Fórmula'!C66+'Fórmula'!E66+'Fórmula'!G66+'Fórmula'!I66+'Fórmula'!K66))*(INDEX(properties!A$1:CB$87,'Fórmula'!J66,55))</f>
        <v>1.0109175</v>
      </c>
      <c r="FO66" s="118">
        <f t="array" ref="FO66">'Fórmula'!C66*(INDEX(properties!A$1:CB$87,'Fórmula'!B66,55))+'Fórmula'!E66*(INDEX(properties!A$1:CB$87,'Fórmula'!D66,54))+'Fórmula'!G66*(INDEX(properties!A$1:CB$87,'Fórmula'!F66,55))+'Fórmula'!I66*(INDEX(properties!A$1:CB$87,'Fórmula'!H66,55))+'Fórmula'!K66*(INDEX(properties!A$1:CB$87,'Fórmula'!J66,55))</f>
        <v>1921.78101</v>
      </c>
      <c r="FP66" s="118">
        <f t="array" ref="FP66">VARP(IF(INDEX(properties!A$1:CB$87,'Fórmula'!B66,55)&lt;&gt;"",INDEX(properties!A$1:CB$87,'Fórmula'!B66,55)),IF(INDEX(properties!A$1:CB$87,'Fórmula'!D66,55)&lt;&gt;"",INDEX(properties!A$1:CB$87,'Fórmula'!D66,55)),IF(INDEX(properties!A$1:CB$87,'Fórmula'!F66,55)&lt;&gt;"",INDEX(properties!A$1:CB$87,'Fórmula'!F66,55)),IF(INDEX(properties!A$1:CB$87,'Fórmula'!H66,55)&lt;&gt;"",INDEX(properties!A$1:CB$87,'Fórmula'!H66,55)),IF(INDEX(properties!A$1:CB$87,'Fórmula'!J66,55)&lt;&gt;"",INDEX(properties!A$1:CB$87,'Fórmula'!J66,55)))</f>
        <v>1.676701197</v>
      </c>
      <c r="FQ66" s="118">
        <f t="array" ref="FQ66">MAX(INDEX(properties!A$1:CB$87,'Fórmula'!B66,55),INDEX(properties!A$1:CB$87,'Fórmula'!D66,55),INDEX(properties!A$1:CB$87,'Fórmula'!F66,55),INDEX(properties!A$1:CB$87,'Fórmula'!H66,55),INDEX(properties!A$1:CB$87,'Fórmula'!J66,55))</f>
        <v>3.5</v>
      </c>
      <c r="FR66" s="118">
        <f t="array" ref="FR66">MIN(IF(INDEX(properties!A$1:CB$87,'Fórmula'!B66,55)=0,10^6,INDEX(properties!A$1:CB$87,'Fórmula'!B66,55)),IF(INDEX(properties!A$1:CB$87,'Fórmula'!D66,55)=0,10^6,INDEX(properties!A$1:CB$87,'Fórmula'!D66,55)),IF(INDEX(properties!A$1:CB$87,'Fórmula'!F66,55)=0,10^6,INDEX(properties!A$1:CB$87,'Fórmula'!F66,55)),IF(INDEX(properties!A$1:CB$87,'Fórmula'!H66,55)=0,10^6,INDEX(properties!A$1:CB$87,'Fórmula'!H66,55)),IF(INDEX(properties!A$1:CB$87,'Fórmula'!J66,55)=0,10^6,INDEX(properties!A$1:CB$87,'Fórmula'!J66,55)))</f>
        <v>0.00143</v>
      </c>
      <c r="FS66" s="118">
        <f t="shared" si="29"/>
        <v>3.49857</v>
      </c>
      <c r="FT66" s="119">
        <f t="array" ref="FT66">(('Fórmula'!C66)/('Fórmula'!C66+'Fórmula'!E66+'Fórmula'!G66+'Fórmula'!I66+'Fórmula'!K66))*(INDEX(properties!A$1:CB$87,'Fórmula'!B66,56))+(('Fórmula'!E66)/('Fórmula'!C66+'Fórmula'!E66+'Fórmula'!G66+'Fórmula'!I66+'Fórmula'!K66))*(INDEX(properties!A$1:CB$87,'Fórmula'!D66,56))+(('Fórmula'!G66)/('Fórmula'!C66+'Fórmula'!E66+'Fórmula'!G66+'Fórmula'!I66+'Fórmula'!K66))*(INDEX(properties!A$1:CB$87,'Fórmula'!F66,56))+(('Fórmula'!I66)/('Fórmula'!C66+'Fórmula'!E66+'Fórmula'!G66+'Fórmula'!I66+'Fórmula'!K66))*(INDEX(properties!A$1:CB$87,'Fórmula'!H66,56))+(('Fórmula'!K66)/('Fórmula'!C66+'Fórmula'!E66+'Fórmula'!G66+'Fórmula'!I66+'Fórmula'!K66))*(INDEX(properties!A$1:CB$87,'Fórmula'!J66,56))</f>
        <v>0.8245</v>
      </c>
      <c r="FU66" s="119">
        <f t="array" ref="FU66">'Fórmula'!C66*(INDEX(properties!A$1:CB$87,'Fórmula'!B66,56))+'Fórmula'!E66*(INDEX(properties!A$1:CB$87,'Fórmula'!D66,56))+'Fórmula'!G66*(INDEX(properties!A$1:CB$87,'Fórmula'!F66,56))+'Fórmula'!I66*(INDEX(properties!A$1:CB$87,'Fórmula'!H66,56))+'Fórmula'!K66*(INDEX(properties!A$1:CB$87,'Fórmula'!J66,56))</f>
        <v>9.894</v>
      </c>
      <c r="FV66" s="119">
        <f t="array" ref="FV66">VARP(IF(INDEX(properties!A$1:CB$87,'Fórmula'!B66,56)&lt;&gt;"",INDEX(properties!A$1:CB$87,'Fórmula'!B66,56)),IF(INDEX(properties!A$1:CB$87,'Fórmula'!D66,56)&lt;&gt;"",INDEX(properties!A$1:CB$87,'Fórmula'!D66,56)),IF(INDEX(properties!A$1:CB$87,'Fórmula'!F66,56)&lt;&gt;"",INDEX(properties!A$1:CB$87,'Fórmula'!F66,56)),IF(INDEX(properties!A$1:CB$87,'Fórmula'!H66,56)&lt;&gt;"",INDEX(properties!A$1:CB$87,'Fórmula'!H66,56)),IF(INDEX(properties!A$1:CB$87,'Fórmula'!J66,56)&lt;&gt;"",INDEX(properties!A$1:CB$87,'Fórmula'!J66,56)))</f>
        <v>0.11600736</v>
      </c>
      <c r="FW66" s="119">
        <f t="array" ref="FW66">MAX(INDEX(properties!A$1:CB$87,'Fórmula'!B66,56),INDEX(properties!A$1:CB$87,'Fórmula'!D66,56),INDEX(properties!A$1:CB$87,'Fórmula'!F66,56),INDEX(properties!A$1:CB$87,'Fórmula'!H66,56),INDEX(properties!A$1:CB$87,'Fórmula'!J66,56))</f>
        <v>1.23</v>
      </c>
      <c r="FX66" s="119">
        <f t="array" ref="FX66">MIN(IF(INDEX(properties!A$1:CB$87,'Fórmula'!B66,56)=0,10^6,INDEX(properties!A$1:CB$87,'Fórmula'!B66,56)),IF(INDEX(properties!A$1:CB$87,'Fórmula'!D66,56)=0,10^6,INDEX(properties!A$1:CB$87,'Fórmula'!D66,56)),IF(INDEX(properties!A$1:CB$87,'Fórmula'!F66,56)=0,10^6,INDEX(properties!A$1:CB$87,'Fórmula'!F66,56)),IF(INDEX(properties!A$1:CB$87,'Fórmula'!H66,56)=0,10^6,INDEX(properties!A$1:CB$87,'Fórmula'!H66,56)),IF(INDEX(properties!A$1:CB$87,'Fórmula'!J66,56)=0,10^6,INDEX(properties!A$1:CB$87,'Fórmula'!J66,56)))</f>
        <v>0.204</v>
      </c>
      <c r="FY66" s="119">
        <f t="shared" si="30"/>
        <v>1.026</v>
      </c>
      <c r="FZ66" s="104">
        <f t="array" ref="FZ66">(('Fórmula'!C66)/('Fórmula'!C66+'Fórmula'!E66+'Fórmula'!G66+'Fórmula'!I66+'Fórmula'!K66))*(INDEX(properties!A$1:CB$87,'Fórmula'!B66,57))+(('Fórmula'!E66)/('Fórmula'!C66+'Fórmula'!E66+'Fórmula'!G66+'Fórmula'!I66+'Fórmula'!K66))*(INDEX(properties!A$1:CB$87,'Fórmula'!D66,57))+(('Fórmula'!G66)/('Fórmula'!C66+'Fórmula'!E66+'Fórmula'!G66+'Fórmula'!I66+'Fórmula'!K66))*(INDEX(properties!A$1:CB$87,'Fórmula'!F66,57))+(('Fórmula'!I66)/('Fórmula'!C66+'Fórmula'!E66+'Fórmula'!G66+'Fórmula'!I66+'Fórmula'!K66))*(INDEX(properties!A$1:CB$87,'Fórmula'!H66,57))+(('Fórmula'!K66)/('Fórmula'!C66+'Fórmula'!E66+'Fórmula'!G66+'Fórmula'!I66+'Fórmula'!K66))*(INDEX(properties!A$1:CB$87,'Fórmula'!J66,57))</f>
        <v>10.5921775</v>
      </c>
      <c r="GA66" s="104">
        <f t="array" ref="GA66">'Fórmula'!C66*(INDEX(properties!A$1:CB$87,'Fórmula'!B66,57))+'Fórmula'!E66*(INDEX(properties!A$1:CB$87,'Fórmula'!D66,57))+'Fórmula'!G66*(INDEX(properties!A$1:CB$87,'Fórmula'!F66,57))+'Fórmula'!I66*(INDEX(properties!A$1:CB$87,'Fórmula'!H66,57))+'Fórmula'!K66*(INDEX(properties!A$1:CB$87,'Fórmula'!J66,57))</f>
        <v>127.10613</v>
      </c>
      <c r="GB66" s="104">
        <f t="array" ref="GB66">VARP(IF(INDEX(properties!A$1:CB$87,'Fórmula'!B66,57)&lt;&gt;"",INDEX(properties!A$1:CB$87,'Fórmula'!B66,57)),IF(INDEX(properties!A$1:CB$87,'Fórmula'!D66,57)&lt;&gt;"",INDEX(properties!A$1:CB$87,'Fórmula'!D66,57)),IF(INDEX(properties!A$1:CB$87,'Fórmula'!F66,57)&lt;&gt;"",INDEX(properties!A$1:CB$87,'Fórmula'!F66,57)),IF(INDEX(properties!A$1:CB$87,'Fórmula'!H66,57)&lt;&gt;"",INDEX(properties!A$1:CB$87,'Fórmula'!H66,57)),IF(INDEX(properties!A$1:CB$87,'Fórmula'!J66,57)&lt;&gt;"",INDEX(properties!A$1:CB$87,'Fórmula'!J66,57)))</f>
        <v>337.8693437</v>
      </c>
      <c r="GC66" s="104">
        <f t="array" ref="GC66">MAX(INDEX(properties!A$1:CB$87,'Fórmula'!B66,57),INDEX(properties!A$1:CB$87,'Fórmula'!D66,57),INDEX(properties!A$1:CB$87,'Fórmula'!F66,57),INDEX(properties!A$1:CB$87,'Fórmula'!H66,57),INDEX(properties!A$1:CB$87,'Fórmula'!J66,57))</f>
        <v>50.55</v>
      </c>
      <c r="GD66" s="104">
        <f t="array" ref="GD66">MIN(IF(INDEX(properties!A$1:CB$87,'Fórmula'!B66,57)=0,10^6,INDEX(properties!A$1:CB$87,'Fórmula'!B66,57)),IF(INDEX(properties!A$1:CB$87,'Fórmula'!D66,57)=0,10^6,INDEX(properties!A$1:CB$87,'Fórmula'!D66,57)),IF(INDEX(properties!A$1:CB$87,'Fórmula'!F66,57)=0,10^6,INDEX(properties!A$1:CB$87,'Fórmula'!F66,57)),IF(INDEX(properties!A$1:CB$87,'Fórmula'!H66,57)=0,10^6,INDEX(properties!A$1:CB$87,'Fórmula'!H66,57)),IF(INDEX(properties!A$1:CB$87,'Fórmula'!J66,57)=0,10^6,INDEX(properties!A$1:CB$87,'Fórmula'!J66,57)))</f>
        <v>0.22259</v>
      </c>
      <c r="GE66" s="104">
        <f t="shared" si="31"/>
        <v>50.32741</v>
      </c>
      <c r="GF66" s="105">
        <f t="array" ref="GF66">(('Fórmula'!C66)/('Fórmula'!C66+'Fórmula'!E66+'Fórmula'!G66+'Fórmula'!I66+'Fórmula'!K66))*(INDEX(properties!A$1:CB$87,'Fórmula'!B66,60))+(('Fórmula'!E66)/('Fórmula'!C66+'Fórmula'!E66+'Fórmula'!G66+'Fórmula'!I66+'Fórmula'!K66))*(INDEX(properties!A$1:CB$87,'Fórmula'!D66,60))+(('Fórmula'!G66)/('Fórmula'!C66+'Fórmula'!E66+'Fórmula'!G66+'Fórmula'!I66+'Fórmula'!K66))*(INDEX(properties!A$1:CB$87,'Fórmula'!F66,60))+(('Fórmula'!I66)/('Fórmula'!C66+'Fórmula'!E66+'Fórmula'!G66+'Fórmula'!I66+'Fórmula'!K66))*(INDEX(properties!A$1:CB$87,'Fórmula'!H66,60))+(('Fórmula'!K66)/('Fórmula'!C66+'Fórmula'!E66+'Fórmula'!G66+'Fórmula'!I66+'Fórmula'!K66))*(INDEX(properties!A$1:CB$87,'Fórmula'!J66,60))</f>
        <v>39.282265</v>
      </c>
      <c r="GG66" s="105">
        <f t="array" ref="GG66">'Fórmula'!C66*(INDEX(properties!A$1:CB$87,'Fórmula'!B66,60))+'Fórmula'!E66*(INDEX(properties!A$1:CB$87,'Fórmula'!D66,60))+'Fórmula'!G66*(INDEX(properties!A$1:CB$87,'Fórmula'!F66,60))+'Fórmula'!I66*(INDEX(properties!A$1:CB$87,'Fórmula'!H66,60))+'Fórmula'!K66*(INDEX(properties!A$1:CB$87,'Fórmula'!J66,60))</f>
        <v>471.38718</v>
      </c>
      <c r="GH66" s="105">
        <f t="array" ref="GH66">VARP(IF(INDEX(properties!A$1:CB$87,'Fórmula'!B66,60)&lt;&gt;"",INDEX(properties!A$1:CB$87,'Fórmula'!B66,60)),IF(INDEX(properties!A$1:CB$87,'Fórmula'!D66,60)&lt;&gt;"",INDEX(properties!A$1:CB$87,'Fórmula'!D66,60)),IF(INDEX(properties!A$1:CB$87,'Fórmula'!F66,60)&lt;&gt;"",INDEX(properties!A$1:CB$87,'Fórmula'!F66,60)),IF(INDEX(properties!A$1:CB$87,'Fórmula'!H66,60)&lt;&gt;"",INDEX(properties!A$1:CB$87,'Fórmula'!H66,60)),IF(INDEX(properties!A$1:CB$87,'Fórmula'!J66,60)&lt;&gt;"",INDEX(properties!A$1:CB$87,'Fórmula'!J66,60)))</f>
        <v>4295.619125</v>
      </c>
      <c r="GI66" s="105">
        <f t="array" ref="GI66">MAX(INDEX(properties!A$1:CB$87,'Fórmula'!B66,60),INDEX(properties!A$1:CB$87,'Fórmula'!D66,60),INDEX(properties!A$1:CB$87,'Fórmula'!F66,60),INDEX(properties!A$1:CB$87,'Fórmula'!H66,60),INDEX(properties!A$1:CB$87,'Fórmula'!J66,60))</f>
        <v>148</v>
      </c>
      <c r="GJ66" s="105">
        <f t="array" ref="GJ66">MIN(IF(INDEX(properties!A$1:CB$87,'Fórmula'!B66,60)=0,10^6,INDEX(properties!A$1:CB$87,'Fórmula'!B66,60)),IF(INDEX(properties!A$1:CB$87,'Fórmula'!D66,60)=0,10^6,INDEX(properties!A$1:CB$87,'Fórmula'!D66,60)),IF(INDEX(properties!A$1:CB$87,'Fórmula'!F66,60)=0,10^6,INDEX(properties!A$1:CB$87,'Fórmula'!F66,60)),IF(INDEX(properties!A$1:CB$87,'Fórmula'!H66,60)=0,10^6,INDEX(properties!A$1:CB$87,'Fórmula'!H66,60)),IF(INDEX(properties!A$1:CB$87,'Fórmula'!J66,60)=0,10^6,INDEX(properties!A$1:CB$87,'Fórmula'!J66,60)))</f>
        <v>0.02674</v>
      </c>
      <c r="GK66" s="105">
        <f t="shared" si="32"/>
        <v>147.97326</v>
      </c>
      <c r="GL66" s="106">
        <f t="array" ref="GL66">(('Fórmula'!C66)/('Fórmula'!C66+'Fórmula'!E66+'Fórmula'!G66+'Fórmula'!I66+'Fórmula'!K66))*(INDEX(properties!A$1:CB$87,'Fórmula'!B66,62))+(('Fórmula'!E66)/('Fórmula'!C66+'Fórmula'!E66+'Fórmula'!G66+'Fórmula'!I66+'Fórmula'!K66))*(INDEX(properties!A$1:CB$87,'Fórmula'!D66,62))+(('Fórmula'!G66)/('Fórmula'!C66+'Fórmula'!E66+'Fórmula'!G66+'Fórmula'!I66+'Fórmula'!K66))*(INDEX(properties!A$1:CB$87,'Fórmula'!F66,62))+(('Fórmula'!I66)/('Fórmula'!C66+'Fórmula'!E66+'Fórmula'!G66+'Fórmula'!I66+'Fórmula'!K66))*(INDEX(properties!A$1:CB$87,'Fórmula'!H66,62))+(('Fórmula'!K66)/('Fórmula'!C66+'Fórmula'!E66+'Fórmula'!G66+'Fórmula'!I66+'Fórmula'!K66))*(INDEX(properties!A$1:CB$87,'Fórmula'!J66,62))</f>
        <v>2.876083333</v>
      </c>
      <c r="GM66" s="106">
        <f t="array" ref="GM66">'Fórmula'!C66*(INDEX(properties!A$1:CB$87,'Fórmula'!B66,62))+'Fórmula'!E66*(INDEX(properties!A$1:CB$87,'Fórmula'!D66,62))+'Fórmula'!G66*(INDEX(properties!A$1:CB$87,'Fórmula'!F66,62))+'Fórmula'!I66*(INDEX(properties!A$1:CB$87,'Fórmula'!H66,62))+'Fórmula'!K66*(INDEX(properties!A$1:CB$87,'Fórmula'!J66,62))</f>
        <v>34.513</v>
      </c>
      <c r="GN66" s="106">
        <f t="array" ref="GN66">VARP(IF(INDEX(properties!A$1:CB$87,'Fórmula'!B66,62)&lt;&gt;"",INDEX(properties!A$1:CB$87,'Fórmula'!B66,62)),IF(INDEX(properties!A$1:CB$87,'Fórmula'!D66,62)&lt;&gt;"",INDEX(properties!A$1:CB$87,'Fórmula'!D66,62)),IF(INDEX(properties!A$1:CB$87,'Fórmula'!F66,62)&lt;&gt;"",INDEX(properties!A$1:CB$87,'Fórmula'!F66,62)),IF(INDEX(properties!A$1:CB$87,'Fórmula'!H66,62)&lt;&gt;"",INDEX(properties!A$1:CB$87,'Fórmula'!H66,62)),IF(INDEX(properties!A$1:CB$87,'Fórmula'!J66,62)&lt;&gt;"",INDEX(properties!A$1:CB$87,'Fórmula'!J66,62)))</f>
        <v>1.64839104</v>
      </c>
      <c r="GO66" s="106">
        <f t="array" ref="GO66">MAX(INDEX(properties!A$1:CB$87,'Fórmula'!B66,62),INDEX(properties!A$1:CB$87,'Fórmula'!D66,62),INDEX(properties!A$1:CB$87,'Fórmula'!F66,62),INDEX(properties!A$1:CB$87,'Fórmula'!H66,62),INDEX(properties!A$1:CB$87,'Fórmula'!J66,62))</f>
        <v>4.63</v>
      </c>
      <c r="GP66" s="106">
        <f t="array" ref="GP66">MIN(IF(INDEX(properties!A$1:CB$87,'Fórmula'!B66,62)=0,10^6,INDEX(properties!A$1:CB$87,'Fórmula'!B66,62)),IF(INDEX(properties!A$1:CB$87,'Fórmula'!D66,62)=0,10^6,INDEX(properties!A$1:CB$87,'Fórmula'!D66,62)),IF(INDEX(properties!A$1:CB$87,'Fórmula'!F66,62)=0,10^6,INDEX(properties!A$1:CB$87,'Fórmula'!F66,62)),IF(INDEX(properties!A$1:CB$87,'Fórmula'!H66,62)=0,10^6,INDEX(properties!A$1:CB$87,'Fórmula'!H66,62)),IF(INDEX(properties!A$1:CB$87,'Fórmula'!J66,62)=0,10^6,INDEX(properties!A$1:CB$87,'Fórmula'!J66,62)))</f>
        <v>1.113</v>
      </c>
      <c r="GQ66" s="106">
        <f t="shared" si="33"/>
        <v>3.517</v>
      </c>
      <c r="GR66" s="106">
        <f>'Fórmula'!Q66</f>
        <v>11</v>
      </c>
      <c r="GS66" s="107">
        <f>'Fórmula'!P66</f>
        <v>6</v>
      </c>
      <c r="GT66" s="113">
        <f>'Fórmula'!O66</f>
        <v>3.87</v>
      </c>
      <c r="GU66" s="114">
        <f>AVERAGE('Fórmula'!R66/'Fórmula'!S66,'Fórmula'!S66/'Fórmula'!T66,'Fórmula'!T66/'Fórmula'!R66)</f>
        <v>1.047666361</v>
      </c>
      <c r="GV66" s="125">
        <f>'Fórmula'!U66</f>
        <v>320.47</v>
      </c>
      <c r="GW66" s="106">
        <f>'Fórmula'!N66</f>
        <v>0.0125</v>
      </c>
    </row>
    <row r="67" ht="14.25" customHeight="1">
      <c r="A67" s="99" t="str">
        <f>'Fórmula'!A67</f>
        <v>Gd2Zr2O7</v>
      </c>
      <c r="B67" s="101">
        <f t="array" ref="B67">(('Fórmula'!C67)/('Fórmula'!C67+'Fórmula'!E67+'Fórmula'!G67+'Fórmula'!I67+'Fórmula'!K67))*(INDEX(properties!A$1:CB$87,'Fórmula'!B67,3))+(('Fórmula'!E67)/('Fórmula'!C67+'Fórmula'!E67+'Fórmula'!G67+'Fórmula'!I67+'Fórmula'!K67))*(INDEX(properties!A$1:CB$87,'Fórmula'!D67,3))+(('Fórmula'!G67)/('Fórmula'!C67+'Fórmula'!E67+'Fórmula'!G67+'Fórmula'!I67+'Fórmula'!K67))*(INDEX(properties!A$1:CB$87,'Fórmula'!F67,3))+(('Fórmula'!I67)/('Fórmula'!C67+'Fórmula'!E67+'Fórmula'!G67+'Fórmula'!I67+'Fórmula'!K67))*(INDEX(properties!A$1:CB$87,'Fórmula'!H67,3))+(('Fórmula'!K67)/('Fórmula'!C67+'Fórmula'!E67+'Fórmula'!G67+'Fórmula'!I67+'Fórmula'!K67))*(INDEX(properties!A$1:CB$87,'Fórmula'!J67,3))</f>
        <v>55.35852727</v>
      </c>
      <c r="C67" s="101">
        <f t="array" ref="C67">'Fórmula'!C67*(INDEX(properties!A$1:CB$87,'Fórmula'!B67,3))+'Fórmula'!E67*(INDEX(properties!A$1:CB$87,'Fórmula'!D67,3))+'Fórmula'!G67*(INDEX(properties!A$1:CB$87,'Fórmula'!F67,3))+'Fórmula'!I67*(INDEX(properties!A$1:CB$87,'Fórmula'!H67,3))+'Fórmula'!K67*(INDEX(properties!A$1:CB$87,'Fórmula'!J67,3))</f>
        <v>608.9438</v>
      </c>
      <c r="D67" s="101">
        <f t="array" ref="D67">VARP(IF(INDEX(properties!A$1:CB$87,'Fórmula'!B67,3)&lt;&gt;"",INDEX(properties!A$1:CB$87,'Fórmula'!B67,3)),IF(INDEX(properties!A$1:CB$87,'Fórmula'!D67,3)&lt;&gt;"",INDEX(properties!A$1:CB$87,'Fórmula'!D67,3)),IF(INDEX(properties!A$1:CB$87,'Fórmula'!F67,3)&lt;&gt;"",INDEX(properties!A$1:CB$87,'Fórmula'!F67,3)),IF(INDEX(properties!A$1:CB$87,'Fórmula'!H67,3)&lt;&gt;"",INDEX(properties!A$1:CB$87,'Fórmula'!H67,3)),IF(INDEX(properties!A$1:CB$87,'Fórmula'!J67,3)&lt;&gt;"",INDEX(properties!A$1:CB$87,'Fórmula'!J67,3)))</f>
        <v>3863.225123</v>
      </c>
      <c r="E67" s="101">
        <f t="array" ref="E67">MAX(INDEX(properties!A$1:CB$87,'Fórmula'!B67,3),INDEX(properties!A$1:CB$87,'Fórmula'!D67,3),INDEX(properties!A$1:CB$87,'Fórmula'!F67,3),INDEX(properties!A$1:CB$87,'Fórmula'!H67,3),INDEX(properties!A$1:CB$87,'Fórmula'!J67,3))</f>
        <v>157.25</v>
      </c>
      <c r="F67" s="101">
        <f t="array" ref="F67">MIN(IF(INDEX(properties!A$1:CB$87,'Fórmula'!B67,3)=0,10^6,INDEX(properties!A$1:CB$87,'Fórmula'!B67,3)),IF(INDEX(properties!A$1:CB$87,'Fórmula'!D67,3)=0,10^6,INDEX(properties!A$1:CB$87,'Fórmula'!D67,3)),IF(INDEX(properties!A$1:CB$87,'Fórmula'!F67,3)=0,10^6,INDEX(properties!A$1:CB$87,'Fórmula'!F67,3)),IF(INDEX(properties!A$1:CB$87,'Fórmula'!H67,3)=0,10^6,INDEX(properties!A$1:CB$87,'Fórmula'!H67,3)),IF(INDEX(properties!A$1:CB$87,'Fórmula'!J67,3)=0,10^6,INDEX(properties!A$1:CB$87,'Fórmula'!J67,3)))</f>
        <v>15.9994</v>
      </c>
      <c r="G67" s="101">
        <f t="shared" si="1"/>
        <v>141.2506</v>
      </c>
      <c r="H67" s="102">
        <f t="array" ref="H67">(('Fórmula'!C67)/('Fórmula'!C67+'Fórmula'!E67+'Fórmula'!G67+'Fórmula'!I67+'Fórmula'!K67))*(INDEX(properties!A$1:CB$87,'Fórmula'!B67,4))+(('Fórmula'!E67)/('Fórmula'!C67+'Fórmula'!E67+'Fórmula'!G67+'Fórmula'!I67+'Fórmula'!K67))*(INDEX(properties!A$1:CB$87,'Fórmula'!D67,4))+(('Fórmula'!G67)/('Fórmula'!C67+'Fórmula'!E67+'Fórmula'!G67+'Fórmula'!I67+'Fórmula'!K67))*(INDEX(properties!A$1:CB$87,'Fórmula'!F67,4))+(('Fórmula'!I67)/('Fórmula'!C67+'Fórmula'!E67+'Fórmula'!G67+'Fórmula'!I67+'Fórmula'!K67))*(INDEX(properties!A$1:CB$87,'Fórmula'!H67,4))+(('Fórmula'!K67)/('Fórmula'!C67+'Fórmula'!E67+'Fórmula'!G67+'Fórmula'!I67+'Fórmula'!K67))*(INDEX(properties!A$1:CB$87,'Fórmula'!J67,4))</f>
        <v>24</v>
      </c>
      <c r="I67" s="102">
        <f t="array" ref="I67">'Fórmula'!C67*(INDEX(properties!A$1:CB$87,'Fórmula'!B67,4))+'Fórmula'!E67*(INDEX(properties!A$1:CB$87,'Fórmula'!D67,4))+'Fórmula'!G67*(INDEX(properties!A$1:CB$87,'Fórmula'!F67,4))+'Fórmula'!I67*(INDEX(properties!A$1:CB$87,'Fórmula'!H67,4))+'Fórmula'!K67*(INDEX(properties!A$1:CB$87,'Fórmula'!J67,4))</f>
        <v>264</v>
      </c>
      <c r="J67" s="102">
        <f t="array" ref="J67">VARP(IF(INDEX(properties!A$1:CB$87,'Fórmula'!B67,4)&lt;&gt;"",INDEX(properties!A$1:CB$87,'Fórmula'!B67,4)),IF(INDEX(properties!A$1:CB$87,'Fórmula'!D67,4)&lt;&gt;"",INDEX(properties!A$1:CB$87,'Fórmula'!D67,4)),IF(INDEX(properties!A$1:CB$87,'Fórmula'!F67,4)&lt;&gt;"",INDEX(properties!A$1:CB$87,'Fórmula'!F67,4)),IF(INDEX(properties!A$1:CB$87,'Fórmula'!H67,4)&lt;&gt;"",INDEX(properties!A$1:CB$87,'Fórmula'!H67,4)),IF(INDEX(properties!A$1:CB$87,'Fórmula'!J67,4)&lt;&gt;"",INDEX(properties!A$1:CB$87,'Fórmula'!J67,4)))</f>
        <v>650.24</v>
      </c>
      <c r="K67" s="102">
        <f t="array" ref="K67">MAX(INDEX(properties!A$1:CB$87,'Fórmula'!B67,4),INDEX(properties!A$1:CB$87,'Fórmula'!D67,4),INDEX(properties!A$1:CB$87,'Fórmula'!F67,4),INDEX(properties!A$1:CB$87,'Fórmula'!H67,4),INDEX(properties!A$1:CB$87,'Fórmula'!J67,4))</f>
        <v>64</v>
      </c>
      <c r="L67" s="102">
        <f t="array" ref="L67">MIN(IF(INDEX(properties!A$1:CB$87,'Fórmula'!B67,4)=0,10^6,INDEX(properties!A$1:CB$87,'Fórmula'!B67,4)),IF(INDEX(properties!A$1:CB$87,'Fórmula'!D67,4)=0,10^6,INDEX(properties!A$1:CB$87,'Fórmula'!D67,4)),IF(INDEX(properties!A$1:CB$87,'Fórmula'!F67,4)=0,10^6,INDEX(properties!A$1:CB$87,'Fórmula'!F67,4)),IF(INDEX(properties!A$1:CB$87,'Fórmula'!H67,4)=0,10^6,INDEX(properties!A$1:CB$87,'Fórmula'!H67,4)),IF(INDEX(properties!A$1:CB$87,'Fórmula'!J67,4)=0,10^6,INDEX(properties!A$1:CB$87,'Fórmula'!J67,4)))</f>
        <v>8</v>
      </c>
      <c r="M67" s="102">
        <f t="shared" si="2"/>
        <v>56</v>
      </c>
      <c r="N67" s="103">
        <f t="array" ref="N67">(('Fórmula'!C67)/('Fórmula'!C67+'Fórmula'!E67+'Fórmula'!G67+'Fórmula'!I67+'Fórmula'!K67))*(INDEX(properties!A$1:CB$87,'Fórmula'!B67,5))+(('Fórmula'!E67)/('Fórmula'!C67+'Fórmula'!E67+'Fórmula'!G67+'Fórmula'!I67+'Fórmula'!K67))*(INDEX(properties!A$1:CB$87,'Fórmula'!D67,5))+(('Fórmula'!G67)/('Fórmula'!C67+'Fórmula'!E67+'Fórmula'!G67+'Fórmula'!I67+'Fórmula'!K67))*(INDEX(properties!A$1:CB$87,'Fórmula'!F67,5))+(('Fórmula'!I67)/('Fórmula'!C67+'Fórmula'!E67+'Fórmula'!G67+'Fórmula'!I67+'Fórmula'!K67))*(INDEX(properties!A$1:CB$87,'Fórmula'!H67,5))+(('Fórmula'!K67)/('Fórmula'!C67+'Fórmula'!E67+'Fórmula'!G67+'Fórmula'!I67+'Fórmula'!K67))*(INDEX(properties!A$1:CB$87,'Fórmula'!J67,5))</f>
        <v>3.272727273</v>
      </c>
      <c r="O67" s="103">
        <f t="array" ref="O67">'Fórmula'!C67*(INDEX(properties!A$1:CB$87,'Fórmula'!B67,5))+'Fórmula'!E67*(INDEX(properties!A$1:CB$87,'Fórmula'!D67,5))+'Fórmula'!G67*(INDEX(properties!A$1:CB$87,'Fórmula'!F67,5))+'Fórmula'!I67*(INDEX(properties!A$1:CB$87,'Fórmula'!H67,5))+'Fórmula'!K67*(INDEX(properties!A$1:CB$87,'Fórmula'!J67,5))</f>
        <v>36</v>
      </c>
      <c r="P67" s="103">
        <f t="array" ref="P67">VARP(IF(INDEX(properties!A$1:CB$87,'Fórmula'!B67,5)&lt;&gt;"",INDEX(properties!A$1:CB$87,'Fórmula'!B67,5)),IF(INDEX(properties!A$1:CB$87,'Fórmula'!D67,5)&lt;&gt;"",INDEX(properties!A$1:CB$87,'Fórmula'!D67,5)),IF(INDEX(properties!A$1:CB$87,'Fórmula'!F67,5)&lt;&gt;"",INDEX(properties!A$1:CB$87,'Fórmula'!F67,5)),IF(INDEX(properties!A$1:CB$87,'Fórmula'!H67,5)&lt;&gt;"",INDEX(properties!A$1:CB$87,'Fórmula'!H67,5)),IF(INDEX(properties!A$1:CB$87,'Fórmula'!J67,5)&lt;&gt;"",INDEX(properties!A$1:CB$87,'Fórmula'!J67,5)))</f>
        <v>6.24</v>
      </c>
      <c r="Q67" s="103">
        <f t="array" ref="Q67">MAX(INDEX(properties!A$1:CB$87,'Fórmula'!B67,5),INDEX(properties!A$1:CB$87,'Fórmula'!D67,5),INDEX(properties!A$1:CB$87,'Fórmula'!F67,5),INDEX(properties!A$1:CB$87,'Fórmula'!H67,5),INDEX(properties!A$1:CB$87,'Fórmula'!J67,5))</f>
        <v>6</v>
      </c>
      <c r="R67" s="103">
        <f t="array" ref="R67">MIN(IF(INDEX(properties!A$1:CB$87,'Fórmula'!B67,5)=0,10^6,INDEX(properties!A$1:CB$87,'Fórmula'!B67,5)),IF(INDEX(properties!A$1:CB$87,'Fórmula'!D67,5)=0,10^6,INDEX(properties!A$1:CB$87,'Fórmula'!D67,5)),IF(INDEX(properties!A$1:CB$87,'Fórmula'!F67,5)=0,10^6,INDEX(properties!A$1:CB$87,'Fórmula'!F67,5)),IF(INDEX(properties!A$1:CB$87,'Fórmula'!H67,5)=0,10^6,INDEX(properties!A$1:CB$87,'Fórmula'!H67,5)),IF(INDEX(properties!A$1:CB$87,'Fórmula'!J67,5)=0,10^6,INDEX(properties!A$1:CB$87,'Fórmula'!J67,5)))</f>
        <v>2</v>
      </c>
      <c r="S67" s="103">
        <f t="shared" si="3"/>
        <v>4</v>
      </c>
      <c r="T67" s="104">
        <f t="array" ref="T67">(('Fórmula'!C67)/('Fórmula'!C67+'Fórmula'!E67+'Fórmula'!G67+'Fórmula'!I67+'Fórmula'!K67))*(INDEX(properties!A$1:CB$87,'Fórmula'!B67,6))+(('Fórmula'!E67)/('Fórmula'!C67+'Fórmula'!E67+'Fórmula'!G67+'Fórmula'!I67+'Fórmula'!K67))*(INDEX(properties!A$1:CB$87,'Fórmula'!D67,6))+(('Fórmula'!G67)/('Fórmula'!C67+'Fórmula'!E67+'Fórmula'!G67+'Fórmula'!I67+'Fórmula'!K67))*(INDEX(properties!A$1:CB$87,'Fórmula'!F67,6))+(('Fórmula'!I67)/('Fórmula'!C67+'Fórmula'!E67+'Fórmula'!G67+'Fórmula'!I67+'Fórmula'!K67))*(INDEX(properties!A$1:CB$87,'Fórmula'!H67,6))+(('Fórmula'!K67)/('Fórmula'!C67+'Fórmula'!E67+'Fórmula'!G67+'Fórmula'!I67+'Fórmula'!K67))*(INDEX(properties!A$1:CB$87,'Fórmula'!J67,6))</f>
        <v>11.45454545</v>
      </c>
      <c r="U67" s="104">
        <f t="array" ref="U67">'Fórmula'!C67*(INDEX(properties!A$1:CB$87,'Fórmula'!B67,6))+'Fórmula'!E67*(INDEX(properties!A$1:CB$87,'Fórmula'!D67,6))+'Fórmula'!G67*(INDEX(properties!A$1:CB$87,'Fórmula'!F67,6))+'Fórmula'!I67*(INDEX(properties!A$1:CB$87,'Fórmula'!H67,6))+'Fórmula'!K67*(INDEX(properties!A$1:CB$87,'Fórmula'!J67,6))</f>
        <v>126</v>
      </c>
      <c r="V67" s="103">
        <f t="array" ref="V67">VARP(IF(INDEX(properties!A$1:CB$87,'Fórmula'!B67,6)&lt;&gt;"",INDEX(properties!A$1:CB$87,'Fórmula'!B67,6)),IF(INDEX(properties!A$1:CB$87,'Fórmula'!D67,6)&lt;&gt;"",INDEX(properties!A$1:CB$87,'Fórmula'!D67,6)),IF(INDEX(properties!A$1:CB$87,'Fórmula'!F67,6)&lt;&gt;"",INDEX(properties!A$1:CB$87,'Fórmula'!F67,6)),IF(INDEX(properties!A$1:CB$87,'Fórmula'!H67,6)&lt;&gt;"",INDEX(properties!A$1:CB$87,'Fórmula'!H67,6)),IF(INDEX(properties!A$1:CB$87,'Fórmula'!J67,6)&lt;&gt;"",INDEX(properties!A$1:CB$87,'Fórmula'!J67,6)))</f>
        <v>35.04</v>
      </c>
      <c r="W67" s="104">
        <f t="array" ref="W67">MAX(INDEX(properties!A$1:CB$87,'Fórmula'!B67,6),INDEX(properties!A$1:CB$87,'Fórmula'!D67,6),INDEX(properties!A$1:CB$87,'Fórmula'!F67,6),INDEX(properties!A$1:CB$87,'Fórmula'!H67,4),INDEX(properties!A$1:CB$87,'Fórmula'!J67,6))</f>
        <v>16</v>
      </c>
      <c r="X67" s="104">
        <f t="array" ref="X67">MIN(IF(INDEX(properties!A$1:CB$87,'Fórmula'!B67,6)=0,10^6,INDEX(properties!A$1:CB$87,'Fórmula'!B67,6)),IF(INDEX(properties!A$1:CB$87,'Fórmula'!D67,6)=0,10^6,INDEX(properties!A$1:CB$87,'Fórmula'!D67,6)),IF(INDEX(properties!A$1:CB$87,'Fórmula'!F67,6)=0,10^6,INDEX(properties!A$1:CB$87,'Fórmula'!F67,6)),IF(INDEX(properties!A$1:CB$87,'Fórmula'!H67,6)=0,10^6,INDEX(properties!A$1:CB$87,'Fórmula'!H67,6)),IF(INDEX(properties!A$1:CB$87,'Fórmula'!J67,6)=0,10^6,INDEX(properties!A$1:CB$87,'Fórmula'!J67,6)))</f>
        <v>3</v>
      </c>
      <c r="Y67" s="104">
        <f t="shared" si="4"/>
        <v>13</v>
      </c>
      <c r="Z67" s="105">
        <f t="array" ref="Z67">(('Fórmula'!C67)/('Fórmula'!C67+'Fórmula'!E67+'Fórmula'!G67+'Fórmula'!I67+'Fórmula'!K67))*(INDEX(properties!A$1:CB$87,'Fórmula'!B67,9))+(('Fórmula'!E67)/('Fórmula'!C67+'Fórmula'!E67+'Fórmula'!G67+'Fórmula'!I67+'Fórmula'!K67))*(INDEX(properties!A$1:CB$87,'Fórmula'!D67,9))+(('Fórmula'!G67)/('Fórmula'!C67+'Fórmula'!E67+'Fórmula'!G67+'Fórmula'!I67+'Fórmula'!K67))*(INDEX(properties!A$1:CB$87,'Fórmula'!F67,9))+(('Fórmula'!I67)/('Fórmula'!C67+'Fórmula'!E67+'Fórmula'!G67+'Fórmula'!I67+'Fórmula'!K67))*(INDEX(properties!A$1:CB$87,'Fórmula'!H67,9))+(('Fórmula'!K67)/('Fórmula'!C67+'Fórmula'!E67+'Fórmula'!G67+'Fórmula'!I67+'Fórmula'!K67))*(INDEX(properties!A$1:CB$87,'Fórmula'!J67,9))</f>
        <v>68.27272727</v>
      </c>
      <c r="AA67" s="105">
        <f t="array" ref="AA67">'Fórmula'!C67*(INDEX(properties!A$1:CB$87,'Fórmula'!B67,9))+'Fórmula'!E67*(INDEX(properties!A$1:CB$87,'Fórmula'!D67,9))+'Fórmula'!G67*(INDEX(properties!A$1:CB$87,'Fórmula'!F67,9))+'Fórmula'!I67*(INDEX(properties!A$1:CB$87,'Fórmula'!H67,9))+'Fórmula'!K67*(INDEX(properties!A$1:CB$87,'Fórmula'!J67,9))</f>
        <v>751</v>
      </c>
      <c r="AB67" s="105">
        <f t="array" ref="AB67">VARP(IF(INDEX(properties!A$1:CB$87,'Fórmula'!B67,9)&lt;&gt;"",INDEX(properties!A$1:CB$87,'Fórmula'!B67,9)),IF(INDEX(properties!A$1:CB$87,'Fórmula'!D67,9)&lt;&gt;"",INDEX(properties!A$1:CB$87,'Fórmula'!D67,9)),IF(INDEX(properties!A$1:CB$87,'Fórmula'!F67,9)&lt;&gt;"",INDEX(properties!A$1:CB$87,'Fórmula'!F67,9)),IF(INDEX(properties!A$1:CB$87,'Fórmula'!H67,9)&lt;&gt;"",INDEX(properties!A$1:CB$87,'Fórmula'!H67,9)),IF(INDEX(properties!A$1:CB$87,'Fórmula'!J67,9)&lt;&gt;"",INDEX(properties!A$1:CB$87,'Fórmula'!J67,9)))</f>
        <v>1048.24</v>
      </c>
      <c r="AC67" s="105">
        <f t="array" ref="AC67">MAX(INDEX(properties!A$1:CB$87,'Fórmula'!B67,9),INDEX(properties!A$1:CB$87,'Fórmula'!D67,9),INDEX(properties!A$1:CB$87,'Fórmula'!F67,9),INDEX(properties!A$1:CB$87,'Fórmula'!H67,9),INDEX(properties!A$1:CB$87,'Fórmula'!J67,9))</f>
        <v>87</v>
      </c>
      <c r="AD67" s="105">
        <f t="array" ref="AD67">MIN(IF(INDEX(properties!A$1:CB$87,'Fórmula'!B67,9)=0,10^6,INDEX(properties!A$1:CB$87,'Fórmula'!B67,9)),IF(INDEX(properties!A$1:CB$87,'Fórmula'!D67,9)=0,10^6,INDEX(properties!A$1:CB$87,'Fórmula'!D67,9)),IF(INDEX(properties!A$1:CB$87,'Fórmula'!F67,9)=0,10^6,INDEX(properties!A$1:CB$87,'Fórmula'!F67,9)),IF(INDEX(properties!A$1:CB$87,'Fórmula'!H67,9)=0,10^6,INDEX(properties!A$1:CB$87,'Fórmula'!H67,9)),IF(INDEX(properties!A$1:CB$87,'Fórmula'!J67,9)=0,10^6,INDEX(properties!A$1:CB$87,'Fórmula'!J67,9)))</f>
        <v>27</v>
      </c>
      <c r="AE67" s="105">
        <f t="shared" si="5"/>
        <v>60</v>
      </c>
      <c r="AF67" s="106">
        <f t="array" ref="AF67">(('Fórmula'!C67)/('Fórmula'!C67+'Fórmula'!E67+'Fórmula'!G67+'Fórmula'!I67+'Fórmula'!K67))*(INDEX(properties!A$1:CB$87,'Fórmula'!B67,10))+(('Fórmula'!E67)/('Fórmula'!C67+'Fórmula'!E67+'Fórmula'!G67+'Fórmula'!I67+'Fórmula'!K67))*(INDEX(properties!A$1:CB$87,'Fórmula'!D67,10))+(('Fórmula'!G67)/('Fórmula'!C67+'Fórmula'!E67+'Fórmula'!G67+'Fórmula'!I67+'Fórmula'!K67))*(INDEX(properties!A$1:CB$87,'Fórmula'!F67,10))+(('Fórmula'!I67)/('Fórmula'!C67+'Fórmula'!E67+'Fórmula'!G67+'Fórmula'!I67+'Fórmula'!K67))*(INDEX(properties!A$1:CB$87,'Fórmula'!H67,10))+(('Fórmula'!K67)/('Fórmula'!C67+'Fórmula'!E67+'Fórmula'!G67+'Fórmula'!I67+'Fórmula'!K67))*(INDEX(properties!A$1:CB$87,'Fórmula'!J67,10))</f>
        <v>5.727272727</v>
      </c>
      <c r="AG67" s="106">
        <f t="array" ref="AG67">'Fórmula'!C67*(INDEX(properties!A$1:CB$87,'Fórmula'!B67,10))+'Fórmula'!E67*(INDEX(properties!A$1:CB$87,'Fórmula'!D67,10))+'Fórmula'!G67*(INDEX(properties!A$1:CB$87,'Fórmula'!F67,10))+'Fórmula'!I67*(INDEX(properties!A$1:CB$87,'Fórmula'!H67,10))+'Fórmula'!K67*(INDEX(properties!A$1:CB$87,'Fórmula'!J67,10))</f>
        <v>63</v>
      </c>
      <c r="AH67" s="106">
        <f t="array" ref="AH67">VARP(IF(INDEX(properties!A$1:CB$87,'Fórmula'!B67,10)&lt;&gt;"",INDEX(properties!A$1:CB$87,'Fórmula'!B67,10)),IF(INDEX(properties!A$1:CB$87,'Fórmula'!D67,10)&lt;&gt;"",INDEX(properties!A$1:CB$87,'Fórmula'!D67,10)),IF(INDEX(properties!A$1:CB$87,'Fórmula'!F67,10)&lt;&gt;"",INDEX(properties!A$1:CB$87,'Fórmula'!F67,10)),IF(INDEX(properties!A$1:CB$87,'Fórmula'!H67,10)&lt;&gt;"",INDEX(properties!A$1:CB$87,'Fórmula'!H67,10)),IF(INDEX(properties!A$1:CB$87,'Fórmula'!J67,10)&lt;&gt;"",INDEX(properties!A$1:CB$87,'Fórmula'!J67,10)))</f>
        <v>6.96</v>
      </c>
      <c r="AI67" s="106">
        <f t="array" ref="AI67">MAX(INDEX(properties!A$1:CB$87,'Fórmula'!B67,10),INDEX(properties!A$1:CB$87,'Fórmula'!D67,10),INDEX(properties!A$1:CB$87,'Fórmula'!F67,10),INDEX(properties!A$1:CB$87,'Fórmula'!H67,10),INDEX(properties!A$1:CB$87,'Fórmula'!J67,10))</f>
        <v>7</v>
      </c>
      <c r="AJ67" s="106">
        <f t="array" ref="AJ67">MIN(IF(INDEX(properties!A$1:CB$87,'Fórmula'!B67,10)=0,10^6,INDEX(properties!A$1:CB$87,'Fórmula'!B67,10)),IF(INDEX(properties!A$1:CB$87,'Fórmula'!D67,10)=0,10^6,INDEX(properties!A$1:CB$87,'Fórmula'!D67,10)),IF(INDEX(properties!A$1:CB$87,'Fórmula'!F67,10)=0,10^6,INDEX(properties!A$1:CB$87,'Fórmula'!F67,10)),IF(INDEX(properties!A$1:CB$87,'Fórmula'!H67,10)=0,10^6,INDEX(properties!A$1:CB$87,'Fórmula'!H67,10)),IF(INDEX(properties!A$1:CB$87,'Fórmula'!J67,10)=0,10^6,INDEX(properties!A$1:CB$87,'Fórmula'!J67,10)))</f>
        <v>3</v>
      </c>
      <c r="AK67" s="106">
        <f t="shared" si="6"/>
        <v>4</v>
      </c>
      <c r="AL67" s="107">
        <f t="array" ref="AL67">(('Fórmula'!C67)/('Fórmula'!C67+'Fórmula'!E67+'Fórmula'!G67+'Fórmula'!I67+'Fórmula'!K67))*(INDEX(properties!A$1:CB$87,'Fórmula'!B67,11))+(('Fórmula'!E67)/('Fórmula'!C67+'Fórmula'!E67+'Fórmula'!G67+'Fórmula'!I67+'Fórmula'!K67))*(INDEX(properties!A$1:CB$87,'Fórmula'!D67,11))+(('Fórmula'!G67)/('Fórmula'!C67+'Fórmula'!E67+'Fórmula'!G67+'Fórmula'!I67+'Fórmula'!K67))*(INDEX(properties!A$1:CB$87,'Fórmula'!F67,11))+(('Fórmula'!I67)/('Fórmula'!C67+'Fórmula'!E67+'Fórmula'!G67+'Fórmula'!I67+'Fórmula'!K67))*(INDEX(properties!A$1:CB$87,'Fórmula'!H67,11))+(('Fórmula'!K67)/('Fórmula'!C67+'Fórmula'!E67+'Fórmula'!G67+'Fórmula'!I67+'Fórmula'!K67))*(INDEX(properties!A$1:CB$87,'Fórmula'!J67,11))</f>
        <v>2</v>
      </c>
      <c r="AM67" s="107">
        <f t="array" ref="AM67">'Fórmula'!C67*(INDEX(properties!A$1:CB$87,'Fórmula'!B67,11))+'Fórmula'!E67*(INDEX(properties!A$1:CB$87,'Fórmula'!D67,11))+'Fórmula'!G67*(INDEX(properties!A$1:CB$87,'Fórmula'!F67,11))+'Fórmula'!I67*(INDEX(properties!A$1:CB$87,'Fórmula'!H67,11))+'Fórmula'!K67*(INDEX(properties!A$1:CB$87,'Fórmula'!J67,11))</f>
        <v>22</v>
      </c>
      <c r="AN67" s="107">
        <f t="array" ref="AN67">VARP(IF(INDEX(properties!A$1:CB$87,'Fórmula'!B67,11)&lt;&gt;"",INDEX(properties!A$1:CB$87,'Fórmula'!B67,11)),IF(INDEX(properties!A$1:CB$87,'Fórmula'!D67,11)&lt;&gt;"",INDEX(properties!A$1:CB$87,'Fórmula'!D67,11)),IF(INDEX(properties!A$1:CB$87,'Fórmula'!F67,11)&lt;&gt;"",INDEX(properties!A$1:CB$87,'Fórmula'!F67,11)),IF(INDEX(properties!A$1:CB$87,'Fórmula'!H67,11)&lt;&gt;"",INDEX(properties!A$1:CB$87,'Fórmula'!H67,11)),IF(INDEX(properties!A$1:CB$87,'Fórmula'!J67,11)&lt;&gt;"",INDEX(properties!A$1:CB$87,'Fórmula'!J67,11)))</f>
        <v>0.96</v>
      </c>
      <c r="AO67" s="107">
        <f t="array" ref="AO67">MAX(INDEX(properties!A$1:CB$87,'Fórmula'!B67,11),INDEX(properties!A$1:CB$87,'Fórmula'!D67,11),INDEX(properties!A$1:CB$87,'Fórmula'!F67,11),INDEX(properties!A$1:CB$87,'Fórmula'!H67,11),INDEX(properties!A$1:CB$87,'Fórmula'!J67,11))</f>
        <v>2</v>
      </c>
      <c r="AP67" s="107">
        <f t="array" ref="AP67">MIN(IF('Fórmula'!B67=87,10^6,INDEX(properties!A$1:CB$87,'Fórmula'!B67,11)),IF(('Fórmula'!D67)=87,10^6,INDEX(properties!A$1:CB$87,'Fórmula'!D67,11)),IF(('Fórmula'!F67)=87,10^6,INDEX(properties!A$1:CB$87,'Fórmula'!F67,11)),IF(('Fórmula'!H67)=87,10^6,INDEX(properties!A$1:CB$87,'Fórmula'!H67,11)),IF('Fórmula'!J67=87,10^6,INDEX(properties!A$1:CB$87,'Fórmula'!J67,11)))</f>
        <v>2</v>
      </c>
      <c r="AQ67" s="107">
        <f t="shared" si="7"/>
        <v>0</v>
      </c>
      <c r="AR67" s="108">
        <f t="array" ref="AR67">(('Fórmula'!C67)/('Fórmula'!C67+'Fórmula'!E67+'Fórmula'!G67+'Fórmula'!I67+'Fórmula'!K67))*(INDEX(properties!A$1:CB$87,'Fórmula'!B67,12))+(('Fórmula'!E67)/('Fórmula'!C67+'Fórmula'!E67+'Fórmula'!G67+'Fórmula'!I67+'Fórmula'!K67))*(INDEX(properties!A$1:CB$87,'Fórmula'!D67,12))+(('Fórmula'!G67)/('Fórmula'!C67+'Fórmula'!E67+'Fórmula'!G67+'Fórmula'!I67+'Fórmula'!K67))*(INDEX(properties!A$1:CB$87,'Fórmula'!F67,12))+(('Fórmula'!I67)/('Fórmula'!C67+'Fórmula'!E67+'Fórmula'!G67+'Fórmula'!I67+'Fórmula'!K67))*(INDEX(properties!A$1:CB$87,'Fórmula'!H67,12))+(('Fórmula'!K67)/('Fórmula'!C67+'Fórmula'!E67+'Fórmula'!G67+'Fórmula'!I67+'Fórmula'!K67))*(INDEX(properties!A$1:CB$87,'Fórmula'!J67,12))</f>
        <v>2.545454545</v>
      </c>
      <c r="AS67" s="108">
        <f t="array" ref="AS67">'Fórmula'!C67*(INDEX(properties!A$1:CB$87,'Fórmula'!B67,12))+'Fórmula'!E67*(INDEX(properties!A$1:CB$87,'Fórmula'!D67,12))+'Fórmula'!G67*(INDEX(properties!A$1:CB$87,'Fórmula'!F67,12))+'Fórmula'!I67*(INDEX(properties!A$1:CB$87,'Fórmula'!H67,12))+'Fórmula'!K67*(INDEX(properties!A$1:CB$87,'Fórmula'!J67,12))</f>
        <v>28</v>
      </c>
      <c r="AT67" s="108">
        <f t="array" ref="AT67">VARP(IF(INDEX(properties!A$1:CB$87,'Fórmula'!B67,12)&lt;&gt;"",INDEX(properties!A$1:CB$87,'Fórmula'!B67,12)),IF(INDEX(properties!A$1:CB$87,'Fórmula'!D67,12)&lt;&gt;"",INDEX(properties!A$1:CB$87,'Fórmula'!D67,12)),IF(INDEX(properties!A$1:CB$87,'Fórmula'!F67,12)&lt;&gt;"",INDEX(properties!A$1:CB$87,'Fórmula'!F67,12)),IF(INDEX(properties!A$1:CB$87,'Fórmula'!H67,12)&lt;&gt;"",INDEX(properties!A$1:CB$87,'Fórmula'!H67,12)),IF(INDEX(properties!A$1:CB$87,'Fórmula'!J67,12)&lt;&gt;"",INDEX(properties!A$1:CB$87,'Fórmula'!J67,12)))</f>
        <v>2.56</v>
      </c>
      <c r="AU67" s="108">
        <f t="array" ref="AU67">MAX(INDEX(properties!A$1:CB$87,'Fórmula'!B67,12),INDEX(properties!A$1:CB$87,'Fórmula'!D67,12),INDEX(properties!A$1:CB$87,'Fórmula'!F67,12),INDEX(properties!A$1:CB$87,'Fórmula'!H67,12),INDEX(properties!A$1:CB$87,'Fórmula'!J67,12))</f>
        <v>4</v>
      </c>
      <c r="AV67" s="108">
        <f t="array" ref="AV67">MIN(IF('Fórmula'!B67=87,10^6,INDEX(properties!A$1:CB$87,'Fórmula'!B67,12)),IF(('Fórmula'!D67)=87,10^6,INDEX(properties!A$1:CB$87,'Fórmula'!D67,12)),IF(('Fórmula'!F67)=87,10^6,INDEX(properties!A$1:CB$87,'Fórmula'!F67,12)),IF(('Fórmula'!H67)=87,10^6,INDEX(properties!A$1:CB$87,'Fórmula'!H67,12)),IF('Fórmula'!J67=87,10^6,INDEX(properties!A$1:CB$87,'Fórmula'!J67,12)))</f>
        <v>0</v>
      </c>
      <c r="AW67" s="108">
        <f t="shared" si="8"/>
        <v>4</v>
      </c>
      <c r="AX67" s="109">
        <f t="array" ref="AX67">(('Fórmula'!C67)/('Fórmula'!C67+'Fórmula'!E67+'Fórmula'!G67+'Fórmula'!I67+'Fórmula'!K67))*(INDEX(properties!A$1:CB$87,'Fórmula'!B67,13))+(('Fórmula'!E67)/('Fórmula'!C67+'Fórmula'!E67+'Fórmula'!G67+'Fórmula'!I67+'Fórmula'!K67))*(INDEX(properties!A$1:CB$87,'Fórmula'!D67,13))+(('Fórmula'!G67)/('Fórmula'!C67+'Fórmula'!E67+'Fórmula'!G67+'Fórmula'!I67+'Fórmula'!K67))*(INDEX(properties!A$1:CB$87,'Fórmula'!F67,13))+(('Fórmula'!I67)/('Fórmula'!C67+'Fórmula'!E67+'Fórmula'!G67+'Fórmula'!I67+'Fórmula'!K67))*(INDEX(properties!A$1:CB$87,'Fórmula'!H67,13))+(('Fórmula'!K67)/('Fórmula'!C67+'Fórmula'!E67+'Fórmula'!G67+'Fórmula'!I67+'Fórmula'!K67))*(INDEX(properties!A$1:CB$87,'Fórmula'!J67,13))</f>
        <v>0.5454545455</v>
      </c>
      <c r="AY67" s="109">
        <f t="array" ref="AY67">'Fórmula'!C67*(INDEX(properties!A$1:CB$87,'Fórmula'!B67,13))+'Fórmula'!E67*(INDEX(properties!A$1:CB$87,'Fórmula'!D67,13))+'Fórmula'!G67*(INDEX(properties!A$1:CB$87,'Fórmula'!F67,13))+'Fórmula'!I67*(INDEX(properties!A$1:CB$87,'Fórmula'!H67,13))+'Fórmula'!K67*(INDEX(properties!A$1:CB$87,'Fórmula'!J67,13))</f>
        <v>6</v>
      </c>
      <c r="AZ67" s="109">
        <f t="array" ref="AZ67">VARP(IF(INDEX(properties!A$1:CB$87,'Fórmula'!B67,13)&lt;&gt;"",INDEX(properties!A$1:CB$87,'Fórmula'!B67,13)),IF(INDEX(properties!A$1:CB$87,'Fórmula'!D67,13)&lt;&gt;"",INDEX(properties!A$1:CB$87,'Fórmula'!D67,13)),IF(INDEX(properties!A$1:CB$87,'Fórmula'!F67,13)&lt;&gt;"",INDEX(properties!A$1:CB$87,'Fórmula'!F67,13)),IF(INDEX(properties!A$1:CB$87,'Fórmula'!H67,13)&lt;&gt;"",INDEX(properties!A$1:CB$87,'Fórmula'!H67,13)),IF(INDEX(properties!A$1:CB$87,'Fórmula'!J67,13)&lt;&gt;"",INDEX(properties!A$1:CB$87,'Fórmula'!J67,13)))</f>
        <v>0.64</v>
      </c>
      <c r="BA67" s="109">
        <f t="array" ref="BA67">MAX(INDEX(properties!A$1:CB$87,'Fórmula'!B67,13),INDEX(properties!A$1:CB$87,'Fórmula'!D67,13),INDEX(properties!A$1:CB$87,'Fórmula'!F67,13),INDEX(properties!A$1:CB$87,'Fórmula'!H67,13),INDEX(properties!A$1:CB$87,'Fórmula'!J67,13))</f>
        <v>2</v>
      </c>
      <c r="BB67" s="109">
        <f t="array" ref="BB67">MIN(IF('Fórmula'!B67=87,10^6,INDEX(properties!A$1:CB$87,'Fórmula'!B67,13)),IF(('Fórmula'!D67)=87,10^6,INDEX(properties!A$1:CB$87,'Fórmula'!D67,13)),IF(('Fórmula'!F67)=87,10^6,INDEX(properties!A$1:CB$87,'Fórmula'!F67,13)),IF(('Fórmula'!H67)=87,10^6,INDEX(properties!A$1:CB$87,'Fórmula'!H67,13)),IF('Fórmula'!J67=87,10^6,INDEX(properties!A$1:CB$87,'Fórmula'!J67,13)))</f>
        <v>0</v>
      </c>
      <c r="BC67" s="109">
        <f t="shared" si="9"/>
        <v>2</v>
      </c>
      <c r="BD67" s="110">
        <f t="array" ref="BD67">(('Fórmula'!C67)/('Fórmula'!C67+'Fórmula'!E67+'Fórmula'!G67+'Fórmula'!I67+'Fórmula'!K67))*(INDEX(properties!A$1:CB$87,'Fórmula'!B67,14))+(('Fórmula'!E67)/('Fórmula'!C67+'Fórmula'!E67+'Fórmula'!G67+'Fórmula'!I67+'Fórmula'!K67))*(INDEX(properties!A$1:CB$87,'Fórmula'!D67,14))+(('Fórmula'!G67)/('Fórmula'!C67+'Fórmula'!E67+'Fórmula'!G67+'Fórmula'!I67+'Fórmula'!K67))*(INDEX(properties!A$1:CB$87,'Fórmula'!F67,14))+(('Fórmula'!I67)/('Fórmula'!C67+'Fórmula'!E67+'Fórmula'!G67+'Fórmula'!I67+'Fórmula'!K67))*(INDEX(properties!A$1:CB$87,'Fórmula'!H67,14))+(('Fórmula'!K67)/('Fórmula'!C67+'Fórmula'!E67+'Fórmula'!G67+'Fórmula'!I67+'Fórmula'!K67))*(INDEX(properties!A$1:CB$87,'Fórmula'!J67,14))</f>
        <v>1.272727273</v>
      </c>
      <c r="BE67" s="110">
        <f t="array" ref="BE67">'Fórmula'!C67*(INDEX(properties!A$1:CB$87,'Fórmula'!B67,14))+'Fórmula'!E67*(INDEX(properties!A$1:CB$87,'Fórmula'!D67,14))+'Fórmula'!G67*(INDEX(properties!A$1:CB$87,'Fórmula'!F67,14))+'Fórmula'!I67*(INDEX(properties!A$1:CB$87,'Fórmula'!H67,14))+'Fórmula'!K67*(INDEX(properties!A$1:CB$87,'Fórmula'!J67,14))</f>
        <v>14</v>
      </c>
      <c r="BF67" s="110">
        <f t="array" ref="BF67">VARP(IF(INDEX(properties!A$1:CB$87,'Fórmula'!B67,14)&lt;&gt;"",INDEX(properties!A$1:CB$87,'Fórmula'!B67,14)),IF(INDEX(properties!A$1:CB$87,'Fórmula'!D67,14)&lt;&gt;"",INDEX(properties!A$1:CB$87,'Fórmula'!D67,14)),IF(INDEX(properties!A$1:CB$87,'Fórmula'!F67,14)&lt;&gt;"",INDEX(properties!A$1:CB$87,'Fórmula'!F67,14)),IF(INDEX(properties!A$1:CB$87,'Fórmula'!H67,14)&lt;&gt;"",INDEX(properties!A$1:CB$87,'Fórmula'!H67,14)),IF(INDEX(properties!A$1:CB$87,'Fórmula'!J67,14)&lt;&gt;"",INDEX(properties!A$1:CB$87,'Fórmula'!J67,14)))</f>
        <v>7.84</v>
      </c>
      <c r="BG67" s="110">
        <f t="array" ref="BG67">MAX(INDEX(properties!A$1:CB$87,'Fórmula'!B67,14),INDEX(properties!A$1:CB$87,'Fórmula'!D67,14),INDEX(properties!A$1:CB$87,'Fórmula'!F67,14),INDEX(properties!A$1:CB$87,'Fórmula'!H67,14),INDEX(properties!A$1:CB$87,'Fórmula'!J67,14))</f>
        <v>7</v>
      </c>
      <c r="BH67" s="110">
        <f t="array" ref="BH67">MIN(IF('Fórmula'!B67=87,10^6,INDEX(properties!A$1:CB$87,'Fórmula'!B67,14)),IF(('Fórmula'!D67)=87,10^6,INDEX(properties!A$1:CB$87,'Fórmula'!D67,14)),IF(('Fórmula'!F67)=87,10^6,INDEX(properties!A$1:CB$87,'Fórmula'!F67,14)),IF(('Fórmula'!H67)=87,10^6,INDEX(properties!A$1:CB$87,'Fórmula'!H67,14)),IF('Fórmula'!J67=87,10^6,INDEX(properties!A$1:CB$87,'Fórmula'!J67,14)))</f>
        <v>0</v>
      </c>
      <c r="BI67" s="110">
        <f t="shared" si="10"/>
        <v>7</v>
      </c>
      <c r="BJ67" s="111">
        <f t="array" ref="BJ67">(('Fórmula'!C67)/('Fórmula'!C67+'Fórmula'!E67+'Fórmula'!G67+'Fórmula'!I67+'Fórmula'!K67))*(INDEX(properties!A$1:CB$87,'Fórmula'!B67,19))+(('Fórmula'!E67)/('Fórmula'!C67+'Fórmula'!E67+'Fórmula'!G67+'Fórmula'!I67+'Fórmula'!K67))*(INDEX(properties!A$1:CB$87,'Fórmula'!D67,19))+(('Fórmula'!G67)/('Fórmula'!C67+'Fórmula'!E67+'Fórmula'!G67+'Fórmula'!I67+'Fórmula'!K67))*(INDEX(properties!A$1:CB$87,'Fórmula'!F67,19))+(('Fórmula'!I67)/('Fórmula'!C67+'Fórmula'!E67+'Fórmula'!G67+'Fórmula'!I67+'Fórmula'!K67))*(INDEX(properties!A$1:CB$87,'Fórmula'!H67,19))+(('Fórmula'!K67)/('Fórmula'!C67+'Fórmula'!E67+'Fórmula'!G67+'Fórmula'!I67+'Fórmula'!K67))*(INDEX(properties!A$1:CB$87,'Fórmula'!J67,19))</f>
        <v>6.363636364</v>
      </c>
      <c r="BK67" s="111">
        <f t="array" ref="BK67">'Fórmula'!C67*(INDEX(properties!A$1:CB$87,'Fórmula'!B67,19))+'Fórmula'!E67*(INDEX(properties!A$1:CB$87,'Fórmula'!D67,19))+'Fórmula'!G67*(INDEX(properties!A$1:CB$87,'Fórmula'!F67,19))+'Fórmula'!I67*(INDEX(properties!A$1:CB$87,'Fórmula'!H67,19))+'Fórmula'!K67*(INDEX(properties!A$1:CB$87,'Fórmula'!J67,19))</f>
        <v>70</v>
      </c>
      <c r="BL67" s="111">
        <f t="array" ref="BL67">VARP(IF(INDEX(properties!A$1:CB$87,'Fórmula'!B67,19)&lt;&gt;"",INDEX(properties!A$1:CB$87,'Fórmula'!B67,19)),IF(INDEX(properties!A$1:CB$87,'Fórmula'!D67,19)&lt;&gt;"",INDEX(properties!A$1:CB$87,'Fórmula'!D67,19)),IF(INDEX(properties!A$1:CB$87,'Fórmula'!F67,19)&lt;&gt;"",INDEX(properties!A$1:CB$87,'Fórmula'!F67,19)),IF(INDEX(properties!A$1:CB$87,'Fórmula'!H67,19)&lt;&gt;"",INDEX(properties!A$1:CB$87,'Fórmula'!H67,19)),IF(INDEX(properties!A$1:CB$87,'Fórmula'!J67,19)&lt;&gt;"",INDEX(properties!A$1:CB$87,'Fórmula'!J67,19)))</f>
        <v>14.4</v>
      </c>
      <c r="BM67" s="111">
        <f t="array" ref="BM67">MAX(INDEX(properties!A$1:CB$87,'Fórmula'!B67,19),INDEX(properties!A$1:CB$87,'Fórmula'!D67,19),INDEX(properties!A$1:CB$87,'Fórmula'!F67,19),INDEX(properties!A$1:CB$87,'Fórmula'!H67,19),INDEX(properties!A$1:CB$87,'Fórmula'!J67,19))</f>
        <v>10</v>
      </c>
      <c r="BN67" s="111">
        <f t="array" ref="BN67">MIN(IF(INDEX(properties!A$1:CB$87,'Fórmula'!B67,19)=0,10^6,INDEX(properties!A$1:CB$87,'Fórmula'!B67,19)),IF(INDEX(properties!A$1:CB$87,'Fórmula'!D67,19)=0,10^6,INDEX(properties!A$1:CB$87,'Fórmula'!D67,19)),IF(INDEX(properties!A$1:CB$87,'Fórmula'!F67,19)=0,10^6,INDEX(properties!A$1:CB$87,'Fórmula'!F67,19)),IF(INDEX(properties!A$1:CB$87,'Fórmula'!H67,19)=0,10^6,INDEX(properties!A$1:CB$87,'Fórmula'!H67,19)),IF(INDEX(properties!A$1:CB$87,'Fórmula'!J67,19)=0,10^6,INDEX(properties!A$1:CB$87,'Fórmula'!J67,19)))</f>
        <v>4</v>
      </c>
      <c r="BO67" s="111">
        <f t="shared" si="11"/>
        <v>6</v>
      </c>
      <c r="BP67" s="112">
        <f t="array" ref="BP67">(('Fórmula'!C67)/('Fórmula'!C67+'Fórmula'!E67+'Fórmula'!G67+'Fórmula'!I67+'Fórmula'!K67))*(INDEX(properties!A$1:CB$87,'Fórmula'!B67,20))+(('Fórmula'!E67)/('Fórmula'!C67+'Fórmula'!E67+'Fórmula'!G67+'Fórmula'!I67+'Fórmula'!K67))*(INDEX(properties!A$1:CB$87,'Fórmula'!D67,20))+(('Fórmula'!G67)/('Fórmula'!C67+'Fórmula'!E67+'Fórmula'!G67+'Fórmula'!I67+'Fórmula'!K67))*(INDEX(properties!A$1:CB$87,'Fórmula'!F67,20))+(('Fórmula'!I67)/('Fórmula'!C67+'Fórmula'!E67+'Fórmula'!G67+'Fórmula'!I67+'Fórmula'!K67))*(INDEX(properties!A$1:CB$87,'Fórmula'!H67,20))+(('Fórmula'!K67)/('Fórmula'!C67+'Fórmula'!E67+'Fórmula'!G67+'Fórmula'!I67+'Fórmula'!K67))*(INDEX(properties!A$1:CB$87,'Fórmula'!J67,20))</f>
        <v>4.545454545</v>
      </c>
      <c r="BQ67" s="112">
        <f t="array" ref="BQ67">'Fórmula'!C67*(INDEX(properties!A$1:CB$87,'Fórmula'!B67,20))+'Fórmula'!E67*(INDEX(properties!A$1:CB$87,'Fórmula'!D67,20))+'Fórmula'!G67*(INDEX(properties!A$1:CB$87,'Fórmula'!F67,20))+'Fórmula'!I67*(INDEX(properties!A$1:CB$87,'Fórmula'!H67,20))+'Fórmula'!K67*(INDEX(properties!A$1:CB$87,'Fórmula'!J67,20))</f>
        <v>50</v>
      </c>
      <c r="BR67" s="112">
        <f t="array" ref="BR67">VARP(IF(INDEX(properties!A$1:CB$87,'Fórmula'!B67,20)&lt;&gt;"",INDEX(properties!A$1:CB$87,'Fórmula'!B67,20)),IF(INDEX(properties!A$1:CB$87,'Fórmula'!D67,20)&lt;&gt;"",INDEX(properties!A$1:CB$87,'Fórmula'!D67,20)),IF(INDEX(properties!A$1:CB$87,'Fórmula'!F67,20)&lt;&gt;"",INDEX(properties!A$1:CB$87,'Fórmula'!F67,20)),IF(INDEX(properties!A$1:CB$87,'Fórmula'!H67,20)&lt;&gt;"",INDEX(properties!A$1:CB$87,'Fórmula'!H67,20)),IF(INDEX(properties!A$1:CB$87,'Fórmula'!J67,20)&lt;&gt;"",INDEX(properties!A$1:CB$87,'Fórmula'!J67,20)))</f>
        <v>4.8</v>
      </c>
      <c r="BS67" s="112">
        <f t="array" ref="BS67">MAX(INDEX(properties!A$1:CB$87,'Fórmula'!B67,20),INDEX(properties!A$1:CB$87,'Fórmula'!D67,20),INDEX(properties!A$1:CB$87,'Fórmula'!F67,20),INDEX(properties!A$1:CB$87,'Fórmula'!H67,20),INDEX(properties!A$1:CB$87,'Fórmula'!J67,20))</f>
        <v>6</v>
      </c>
      <c r="BT67" s="112">
        <f t="array" ref="BT67">MIN(IF(INDEX(properties!A$1:CB$87,'Fórmula'!B67,20)=0,10^6,INDEX(properties!A$1:CB$87,'Fórmula'!B67,20)),IF(INDEX(properties!A$1:CB$87,'Fórmula'!D67,20)=0,10^6,INDEX(properties!A$1:CB$87,'Fórmula'!D67,20)),IF(INDEX(properties!A$1:CB$87,'Fórmula'!F67,20)=0,10^6,INDEX(properties!A$1:CB$87,'Fórmula'!F67,20)),IF(INDEX(properties!A$1:CB$87,'Fórmula'!H67,20)=0,10^6,INDEX(properties!A$1:CB$87,'Fórmula'!H67,20)),IF(INDEX(properties!A$1:CB$87,'Fórmula'!J67,20)=0,10^6,INDEX(properties!A$1:CB$87,'Fórmula'!J67,20)))</f>
        <v>2</v>
      </c>
      <c r="BU67" s="112">
        <f t="shared" si="12"/>
        <v>4</v>
      </c>
      <c r="BV67" s="113">
        <f t="array" ref="BV67">(('Fórmula'!C67)/('Fórmula'!C67+'Fórmula'!E67+'Fórmula'!G67+'Fórmula'!I67+'Fórmula'!K67))*(INDEX(properties!A$1:CB$87,'Fórmula'!B67,21))+(('Fórmula'!E67)/('Fórmula'!C67+'Fórmula'!E67+'Fórmula'!G67+'Fórmula'!I67+'Fórmula'!K67))*(INDEX(properties!A$1:CB$87,'Fórmula'!D67,21))+(('Fórmula'!G67)/('Fórmula'!C67+'Fórmula'!E67+'Fórmula'!G67+'Fórmula'!I67+'Fórmula'!K67))*(INDEX(properties!A$1:CB$87,'Fórmula'!F67,21))+(('Fórmula'!I67)/('Fórmula'!C67+'Fórmula'!E67+'Fórmula'!G67+'Fórmula'!I67+'Fórmula'!K67))*(INDEX(properties!A$1:CB$87,'Fórmula'!H67,21))+(('Fórmula'!K67)/('Fórmula'!C67+'Fórmula'!E67+'Fórmula'!G67+'Fórmula'!I67+'Fórmula'!K67))*(INDEX(properties!A$1:CB$87,'Fórmula'!J67,21))</f>
        <v>4.727272727</v>
      </c>
      <c r="BW67" s="113">
        <f t="array" ref="BW67">'Fórmula'!C67*(INDEX(properties!A$1:CB$87,'Fórmula'!B67,21))+'Fórmula'!E67*(INDEX(properties!A$1:CB$87,'Fórmula'!D67,21))+'Fórmula'!G67*(INDEX(properties!A$1:CB$87,'Fórmula'!F67,21))+'Fórmula'!I67*(INDEX(properties!A$1:CB$87,'Fórmula'!H67,21))+'Fórmula'!K67*(INDEX(properties!A$1:CB$87,'Fórmula'!J67,21))</f>
        <v>52</v>
      </c>
      <c r="BX67" s="113">
        <f t="array" ref="BX67">VARP(IF(INDEX(properties!A$1:CB$87,'Fórmula'!B67,21)&lt;&gt;"",INDEX(properties!A$1:CB$87,'Fórmula'!B67,21)),IF(INDEX(properties!A$1:CB$87,'Fórmula'!D67,21)&lt;&gt;"",INDEX(properties!A$1:CB$87,'Fórmula'!D67,21)),IF(INDEX(properties!A$1:CB$87,'Fórmula'!F67,21)&lt;&gt;"",INDEX(properties!A$1:CB$87,'Fórmula'!F67,21)),IF(INDEX(properties!A$1:CB$87,'Fórmula'!H67,21)&lt;&gt;"",INDEX(properties!A$1:CB$87,'Fórmula'!H67,21)),IF(INDEX(properties!A$1:CB$87,'Fórmula'!J67,21)&lt;&gt;"",INDEX(properties!A$1:CB$87,'Fórmula'!J67,21)))</f>
        <v>4.96</v>
      </c>
      <c r="BY67" s="113">
        <f t="array" ref="BY67">MAX(INDEX(properties!A$1:CB$87,'Fórmula'!B67,21),INDEX(properties!A$1:CB$87,'Fórmula'!D67,21),INDEX(properties!A$1:CB$87,'Fórmula'!F67,21),INDEX(properties!A$1:CB$87,'Fórmula'!H67,21),INDEX(properties!A$1:CB$87,'Fórmula'!J67,21))</f>
        <v>6</v>
      </c>
      <c r="BZ67" s="113">
        <f t="array" ref="BZ67">MIN(IF(INDEX(properties!A$1:CB$87,'Fórmula'!B67,21)=0,10^6,INDEX(properties!A$1:CB$87,'Fórmula'!B67,21)),IF(INDEX(properties!A$1:CB$87,'Fórmula'!D67,21)=0,10^6,INDEX(properties!A$1:CB$87,'Fórmula'!D67,21)),IF(INDEX(properties!A$1:CB$87,'Fórmula'!F67,21)=0,10^6,INDEX(properties!A$1:CB$87,'Fórmula'!F67,21)),IF(INDEX(properties!A$1:CB$87,'Fórmula'!H67,21)=0,10^6,INDEX(properties!A$1:CB$87,'Fórmula'!H67,21)),IF(INDEX(properties!A$1:CB$87,'Fórmula'!J67,21)=0,10^6,INDEX(properties!A$1:CB$87,'Fórmula'!J67,21)))</f>
        <v>2</v>
      </c>
      <c r="CA67" s="113">
        <f t="shared" si="13"/>
        <v>4</v>
      </c>
      <c r="CB67" s="114">
        <f t="array" ref="CB67">(('Fórmula'!C67)/('Fórmula'!C67+'Fórmula'!E67+'Fórmula'!G67+'Fórmula'!I67+'Fórmula'!K67))*(INDEX(properties!A$1:CB$87,'Fórmula'!B67,23))+(('Fórmula'!E67)/('Fórmula'!C67+'Fórmula'!E67+'Fórmula'!G67+'Fórmula'!I67+'Fórmula'!K67))*(INDEX(properties!A$1:CB$87,'Fórmula'!D67,23))+(('Fórmula'!G67)/('Fórmula'!C67+'Fórmula'!E67+'Fórmula'!G67+'Fórmula'!I67+'Fórmula'!K67))*(INDEX(properties!A$1:CB$87,'Fórmula'!F67,23))+(('Fórmula'!I67)/('Fórmula'!C67+'Fórmula'!E67+'Fórmula'!G67+'Fórmula'!I67+'Fórmula'!K67))*(INDEX(properties!A$1:CB$87,'Fórmula'!H67,23))+(('Fórmula'!K67)/('Fórmula'!C67+'Fórmula'!E67+'Fórmula'!G67+'Fórmula'!I67+'Fórmula'!K67))*(INDEX(properties!A$1:CB$87,'Fórmula'!J67,23))</f>
        <v>1.272727273</v>
      </c>
      <c r="CC67" s="114">
        <f t="array" ref="CC67">'Fórmula'!C67*(INDEX(properties!A$1:CB$87,'Fórmula'!B67,23))+'Fórmula'!E67*(INDEX(properties!A$1:CB$87,'Fórmula'!D67,23))+'Fórmula'!G67*(INDEX(properties!A$1:CB$87,'Fórmula'!F67,23))+'Fórmula'!I67*(INDEX(properties!A$1:CB$87,'Fórmula'!H67,23))+'Fórmula'!K67*(INDEX(properties!A$1:CB$87,'Fórmula'!J67,23))</f>
        <v>14</v>
      </c>
      <c r="CD67" s="114">
        <f t="array" ref="CD67">VARP(IF(INDEX(properties!A$1:CB$87,'Fórmula'!B67,23)&lt;&gt;"",INDEX(properties!A$1:CB$87,'Fórmula'!B67,23)),IF(INDEX(properties!A$1:CB$87,'Fórmula'!D67,23)&lt;&gt;"",INDEX(properties!A$1:CB$87,'Fórmula'!D67,23)),IF(INDEX(properties!A$1:CB$87,'Fórmula'!F67,23)&lt;&gt;"",INDEX(properties!A$1:CB$87,'Fórmula'!F67,23)),IF(INDEX(properties!A$1:CB$87,'Fórmula'!H67,23)&lt;&gt;"",INDEX(properties!A$1:CB$87,'Fórmula'!H67,23)),IF(INDEX(properties!A$1:CB$87,'Fórmula'!J67,23)&lt;&gt;"",INDEX(properties!A$1:CB$87,'Fórmula'!J67,23)))</f>
        <v>3.04</v>
      </c>
      <c r="CE67" s="114">
        <f t="array" ref="CE67">MAX(INDEX(properties!A$1:CB$87,'Fórmula'!B67,23),INDEX(properties!A$1:CB$87,'Fórmula'!D67,23),INDEX(properties!A$1:CB$87,'Fórmula'!F67,23),INDEX(properties!A$1:CB$87,'Fórmula'!H67,23),INDEX(properties!A$1:CB$87,'Fórmula'!J67,23))</f>
        <v>4</v>
      </c>
      <c r="CF67" s="114">
        <f t="array" ref="CF67">MIN(IF('Fórmula'!B67=87,10^6,INDEX(properties!A$1:CB$87,'Fórmula'!B67,23)),IF(('Fórmula'!D67)=87,10^6,INDEX(properties!A$1:CB$87,'Fórmula'!D67,23)),IF(('Fórmula'!F67)=87,10^6,INDEX(properties!A$1:CB$87,'Fórmula'!F67,23)),IF(('Fórmula'!H67)=87,10^6,INDEX(properties!A$1:CB$87,'Fórmula'!H67,23)),IF('Fórmula'!J67=87,10^6,INDEX(properties!A$1:CB$87,'Fórmula'!J67,23)))</f>
        <v>0</v>
      </c>
      <c r="CG67" s="114">
        <f t="shared" si="14"/>
        <v>4</v>
      </c>
      <c r="CH67" s="115">
        <f t="array" ref="CH67">(('Fórmula'!C67)/('Fórmula'!C67+'Fórmula'!E67+'Fórmula'!G67+'Fórmula'!I67+'Fórmula'!K67))*(INDEX(properties!A$1:CB$87,'Fórmula'!B67,26))+(('Fórmula'!E67)/('Fórmula'!C67+'Fórmula'!E67+'Fórmula'!G67+'Fórmula'!I67+'Fórmula'!K67))*(INDEX(properties!A$1:CB$87,'Fórmula'!D67,26))+(('Fórmula'!G67)/('Fórmula'!C67+'Fórmula'!E67+'Fórmula'!G67+'Fórmula'!I67+'Fórmula'!K67))*(INDEX(properties!A$1:CB$87,'Fórmula'!F67,26))+(('Fórmula'!I67)/('Fórmula'!C67+'Fórmula'!E67+'Fórmula'!G67+'Fórmula'!I67+'Fórmula'!K67))*(INDEX(properties!A$1:CB$87,'Fórmula'!H67,26))+(('Fórmula'!K67)/('Fórmula'!C67+'Fórmula'!E67+'Fórmula'!G67+'Fórmula'!I67+'Fórmula'!K67))*(INDEX(properties!A$1:CB$87,'Fórmula'!J67,26))</f>
        <v>10.99037273</v>
      </c>
      <c r="CI67" s="115">
        <f t="array" ref="CI67">'Fórmula'!C67*(INDEX(properties!A$1:CB$87,'Fórmula'!B67,26))+'Fórmula'!E67*(INDEX(properties!A$1:CB$87,'Fórmula'!D67,26))+'Fórmula'!G67*(INDEX(properties!A$1:CB$87,'Fórmula'!F67,26))+'Fórmula'!I67*(INDEX(properties!A$1:CB$87,'Fórmula'!H67,26))+'Fórmula'!K67*(INDEX(properties!A$1:CB$87,'Fórmula'!J67,26))</f>
        <v>120.8941</v>
      </c>
      <c r="CJ67" s="115">
        <f t="array" ref="CJ67">VARP(IF(INDEX(properties!A$1:CB$87,'Fórmula'!B67,26)&lt;&gt;"",INDEX(properties!A$1:CB$87,'Fórmula'!B67,26)),IF(INDEX(properties!A$1:CB$87,'Fórmula'!D67,26)&lt;&gt;"",INDEX(properties!A$1:CB$87,'Fórmula'!D67,26)),IF(INDEX(properties!A$1:CB$87,'Fórmula'!F67,26)&lt;&gt;"",INDEX(properties!A$1:CB$87,'Fórmula'!F67,26)),IF(INDEX(properties!A$1:CB$87,'Fórmula'!H67,26)&lt;&gt;"",INDEX(properties!A$1:CB$87,'Fórmula'!H67,26)),IF(INDEX(properties!A$1:CB$87,'Fórmula'!J67,26)&lt;&gt;"",INDEX(properties!A$1:CB$87,'Fórmula'!J67,26)))</f>
        <v>25.57406164</v>
      </c>
      <c r="CK67" s="116">
        <f t="array" ref="CK67">MAX(INDEX(properties!A$1:CB$87,'Fórmula'!B67,26),INDEX(properties!A$1:CB$87,'Fórmula'!D67,26),INDEX(properties!A$1:CB$87,'Fórmula'!F67,26),INDEX(properties!A$1:CB$87,'Fórmula'!H67,26),INDEX(properties!A$1:CB$87,'Fórmula'!J67,26))</f>
        <v>13.6181</v>
      </c>
      <c r="CL67" s="116">
        <f t="array" ref="CL67">MIN(IF(INDEX(properties!A$1:CB$87,'Fórmula'!B67,26)=0,10^6,INDEX(properties!A$1:CB$87,'Fórmula'!B67,26)),IF(INDEX(properties!A$1:CB$87,'Fórmula'!D67,26)=0,10^6,INDEX(properties!A$1:CB$87,'Fórmula'!D67,26)),IF(INDEX(properties!A$1:CB$87,'Fórmula'!F67,26)=0,10^6,INDEX(properties!A$1:CB$87,'Fórmula'!F67,26)),IF(INDEX(properties!A$1:CB$87,'Fórmula'!H67,26)=0,10^6,INDEX(properties!A$1:CB$87,'Fórmula'!H67,26)),IF(INDEX(properties!A$1:CB$87,'Fórmula'!J67,26)=0,10^6,INDEX(properties!A$1:CB$87,'Fórmula'!J67,26)))</f>
        <v>6.1498</v>
      </c>
      <c r="CM67" s="115">
        <f t="shared" si="15"/>
        <v>7.4683</v>
      </c>
      <c r="CN67" s="117">
        <f t="array" ref="CN67">(('Fórmula'!C67)/('Fórmula'!C67+'Fórmula'!E67+'Fórmula'!G67+'Fórmula'!I67+'Fórmula'!K67))*(INDEX(properties!A$1:CB$87,'Fórmula'!B67,30))+(('Fórmula'!E67)/('Fórmula'!C67+'Fórmula'!E67+'Fórmula'!G67+'Fórmula'!I67+'Fórmula'!K67))*(INDEX(properties!A$1:CB$87,'Fórmula'!D67,30))+(('Fórmula'!G67)/('Fórmula'!C67+'Fórmula'!E67+'Fórmula'!G67+'Fórmula'!I67+'Fórmula'!K67))*(INDEX(properties!A$1:CB$87,'Fórmula'!F67,30))+(('Fórmula'!I67)/('Fórmula'!C67+'Fórmula'!E67+'Fórmula'!G67+'Fórmula'!I67+'Fórmula'!K67))*(INDEX(properties!A$1:CB$87,'Fórmula'!H67,30))+(('Fórmula'!K67)/('Fórmula'!C67+'Fórmula'!E67+'Fórmula'!G67+'Fórmula'!I67+'Fórmula'!K67))*(INDEX(properties!A$1:CB$87,'Fórmula'!J67,30))</f>
        <v>2.649090909</v>
      </c>
      <c r="CO67" s="117">
        <f t="array" ref="CO67">'Fórmula'!C67*(INDEX(properties!A$1:CB$87,'Fórmula'!B67,30))+'Fórmula'!E67*(INDEX(properties!A$1:CB$87,'Fórmula'!D67,30))+'Fórmula'!G67*(INDEX(properties!A$1:CB$87,'Fórmula'!F67,30))+'Fórmula'!I67*(INDEX(properties!A$1:CB$87,'Fórmula'!H67,30))+'Fórmula'!K67*(INDEX(properties!A$1:CB$87,'Fórmula'!J67,30))</f>
        <v>29.14</v>
      </c>
      <c r="CP67" s="117">
        <f t="array" ref="CP67">VARP(IF(INDEX(properties!A$1:CB$87,'Fórmula'!B67,30)&lt;&gt;"",INDEX(properties!A$1:CB$87,'Fórmula'!B67,30)),IF(INDEX(properties!A$1:CB$87,'Fórmula'!D67,30)&lt;&gt;"",INDEX(properties!A$1:CB$87,'Fórmula'!D67,30)),IF(INDEX(properties!A$1:CB$87,'Fórmula'!F67,30)&lt;&gt;"",INDEX(properties!A$1:CB$87,'Fórmula'!F67,30)),IF(INDEX(properties!A$1:CB$87,'Fórmula'!H67,30)&lt;&gt;"",INDEX(properties!A$1:CB$87,'Fórmula'!H67,30)),IF(INDEX(properties!A$1:CB$87,'Fórmula'!J67,30)&lt;&gt;"",INDEX(properties!A$1:CB$87,'Fórmula'!J67,30)))</f>
        <v>1.582864</v>
      </c>
      <c r="CQ67" s="117">
        <f t="array" ref="CQ67">MAX(INDEX(properties!A$1:CB$87,'Fórmula'!B67,30),INDEX(properties!A$1:CB$87,'Fórmula'!D67,30),INDEX(properties!A$1:CB$87,'Fórmula'!F67,30),INDEX(properties!A$1:CB$87,'Fórmula'!H67,30),INDEX(properties!A$1:CB$87,'Fórmula'!J67,30))</f>
        <v>3.44</v>
      </c>
      <c r="CR67" s="117">
        <f t="array" ref="CR67">MIN(IF(INDEX(properties!A$1:CB$87,'Fórmula'!B67,30)=0,10^6,INDEX(properties!A$1:CB$87,'Fórmula'!B67,30)),IF(INDEX(properties!A$1:CB$87,'Fórmula'!D67,30)=0,10^6,INDEX(properties!A$1:CB$87,'Fórmula'!D67,30)),IF(INDEX(properties!A$1:CB$87,'Fórmula'!F67,30)=0,10^6,INDEX(properties!A$1:CB$87,'Fórmula'!F67,30)),IF(INDEX(properties!A$1:CB$87,'Fórmula'!H67,30)=0,10^6,INDEX(properties!A$1:CB$87,'Fórmula'!H67,30)),IF(INDEX(properties!A$1:CB$87,'Fórmula'!J67,30)=0,10^6,INDEX(properties!A$1:CB$87,'Fórmula'!J67,30)))</f>
        <v>1.2</v>
      </c>
      <c r="CS67" s="117">
        <f t="shared" si="16"/>
        <v>2.24</v>
      </c>
      <c r="CT67" s="118">
        <f t="array" ref="CT67">(('Fórmula'!C67)/('Fórmula'!C67+'Fórmula'!E67+'Fórmula'!G67+'Fórmula'!I67+'Fórmula'!K67))*(INDEX(properties!A$1:CB$87,'Fórmula'!B67,31))+(('Fórmula'!E67)/('Fórmula'!C67+'Fórmula'!E67+'Fórmula'!G67+'Fórmula'!I67+'Fórmula'!K67))*(INDEX(properties!A$1:CB$87,'Fórmula'!D67,31))+(('Fórmula'!G67)/('Fórmula'!C67+'Fórmula'!E67+'Fórmula'!G67+'Fórmula'!I67+'Fórmula'!K67))*(INDEX(properties!A$1:CB$87,'Fórmula'!F67,31))+(('Fórmula'!I67)/('Fórmula'!C67+'Fórmula'!E67+'Fórmula'!G67+'Fórmula'!I67+'Fórmula'!K67))*(INDEX(properties!A$1:CB$87,'Fórmula'!H67,31))+(('Fórmula'!K67)/('Fórmula'!C67+'Fórmula'!E67+'Fórmula'!G67+'Fórmula'!I67+'Fórmula'!K67))*(INDEX(properties!A$1:CB$87,'Fórmula'!J67,31))</f>
        <v>2.621818182</v>
      </c>
      <c r="CU67" s="118">
        <f t="array" ref="CU67">'Fórmula'!C67*(INDEX(properties!A$1:CB$87,'Fórmula'!B67,31))+'Fórmula'!E67*(INDEX(properties!A$1:CB$87,'Fórmula'!D67,31))+'Fórmula'!G67*(INDEX(properties!A$1:CB$87,'Fórmula'!F67,31))+'Fórmula'!I67*(INDEX(properties!A$1:CB$87,'Fórmula'!H67,31))+'Fórmula'!K67*(INDEX(properties!A$1:CB$87,'Fórmula'!J67,31))</f>
        <v>28.84</v>
      </c>
      <c r="CV67" s="118">
        <f t="array" ref="CV67">VARP(IF(INDEX(properties!A$1:CB$87,'Fórmula'!B67,31)&lt;&gt;"",INDEX(properties!A$1:CB$87,'Fórmula'!B67,31)),IF(INDEX(properties!A$1:CB$87,'Fórmula'!D67,31)&lt;&gt;"",INDEX(properties!A$1:CB$87,'Fórmula'!D67,31)),IF(INDEX(properties!A$1:CB$87,'Fórmula'!F67,31)&lt;&gt;"",INDEX(properties!A$1:CB$87,'Fórmula'!F67,31)),IF(INDEX(properties!A$1:CB$87,'Fórmula'!H67,31)&lt;&gt;"",INDEX(properties!A$1:CB$87,'Fórmula'!H67,31)),IF(INDEX(properties!A$1:CB$87,'Fórmula'!J67,31)&lt;&gt;"",INDEX(properties!A$1:CB$87,'Fórmula'!J67,31)))</f>
        <v>1.526304</v>
      </c>
      <c r="CW67" s="118">
        <f t="array" ref="CW67">MAX(INDEX(properties!A$1:CB$87,'Fórmula'!B67,31),INDEX(properties!A$1:CB$87,'Fórmula'!D67,31),INDEX(properties!A$1:CB$87,'Fórmula'!F67,31),INDEX(properties!A$1:CB$87,'Fórmula'!H67,31),INDEX(properties!A$1:CB$87,'Fórmula'!J67,31))</f>
        <v>3.32</v>
      </c>
      <c r="CX67" s="118">
        <f t="array" ref="CX67">MIN(IF(INDEX(properties!A$1:CB$87,'Fórmula'!B67,31)=0,10^6,INDEX(properties!A$1:CB$87,'Fórmula'!B67,31)),IF(INDEX(properties!A$1:CB$87,'Fórmula'!D67,31)=0,10^6,INDEX(properties!A$1:CB$87,'Fórmula'!D67,31)),IF(INDEX(properties!A$1:CB$87,'Fórmula'!F67,31)=0,10^6,INDEX(properties!A$1:CB$87,'Fórmula'!F67,31)),IF(INDEX(properties!A$1:CB$87,'Fórmula'!H67,31)=0,10^6,INDEX(properties!A$1:CB$87,'Fórmula'!H67,31)),IF(INDEX(properties!A$1:CB$87,'Fórmula'!J67,31)=0,10^6,INDEX(properties!A$1:CB$87,'Fórmula'!J67,31)))</f>
        <v>1.1</v>
      </c>
      <c r="CY67" s="118">
        <f t="shared" si="17"/>
        <v>2.22</v>
      </c>
      <c r="CZ67" s="119">
        <f t="array" ref="CZ67">(('Fórmula'!C67)/('Fórmula'!C67+'Fórmula'!E67+'Fórmula'!G67+'Fórmula'!I67+'Fórmula'!K67))*(INDEX(properties!A$1:CB$87,'Fórmula'!B67,32))+(('Fórmula'!E67)/('Fórmula'!C67+'Fórmula'!E67+'Fórmula'!G67+'Fórmula'!I67+'Fórmula'!K67))*(INDEX(properties!A$1:CB$87,'Fórmula'!D67,32))+(('Fórmula'!G67)/('Fórmula'!C67+'Fórmula'!E67+'Fórmula'!G67+'Fórmula'!I67+'Fórmula'!K67))*(INDEX(properties!A$1:CB$87,'Fórmula'!F67,32))+(('Fórmula'!I67)/('Fórmula'!C67+'Fórmula'!E67+'Fórmula'!G67+'Fórmula'!I67+'Fórmula'!K67))*(INDEX(properties!A$1:CB$87,'Fórmula'!H67,32))+(('Fórmula'!K67)/('Fórmula'!C67+'Fórmula'!E67+'Fórmula'!G67+'Fórmula'!I67+'Fórmula'!K67))*(INDEX(properties!A$1:CB$87,'Fórmula'!J67,32))</f>
        <v>6.023636364</v>
      </c>
      <c r="DA67" s="119">
        <f t="array" ref="DA67">'Fórmula'!C67*(INDEX(properties!A$1:CB$87,'Fórmula'!B67,32))+'Fórmula'!E67*(INDEX(properties!A$1:CB$87,'Fórmula'!D67,32))+'Fórmula'!G67*(INDEX(properties!A$1:CB$87,'Fórmula'!F67,32))+'Fórmula'!I67*(INDEX(properties!A$1:CB$87,'Fórmula'!H67,32))+'Fórmula'!K67*(INDEX(properties!A$1:CB$87,'Fórmula'!J67,32))</f>
        <v>66.26</v>
      </c>
      <c r="DB67" s="119">
        <f t="array" ref="DB67">VARP(IF(INDEX(properties!A$1:CB$87,'Fórmula'!B67,32)&lt;&gt;"",INDEX(properties!A$1:CB$87,'Fórmula'!B67,32)),IF(INDEX(properties!A$1:CB$87,'Fórmula'!D67,32)&lt;&gt;"",INDEX(properties!A$1:CB$87,'Fórmula'!D67,32)),IF(INDEX(properties!A$1:CB$87,'Fórmula'!F67,32)&lt;&gt;"",INDEX(properties!A$1:CB$87,'Fórmula'!F67,32)),IF(INDEX(properties!A$1:CB$87,'Fórmula'!H67,32)&lt;&gt;"",INDEX(properties!A$1:CB$87,'Fórmula'!H67,32)),IF(INDEX(properties!A$1:CB$87,'Fórmula'!J67,32)&lt;&gt;"",INDEX(properties!A$1:CB$87,'Fórmula'!J67,32)))</f>
        <v>7.785504</v>
      </c>
      <c r="DC67" s="119">
        <f t="array" ref="DC67">MAX(INDEX(properties!A$1:CB$87,'Fórmula'!B67,32),INDEX(properties!A$1:CB$87,'Fórmula'!D67,32),INDEX(properties!A$1:CB$87,'Fórmula'!F67,32),INDEX(properties!A$1:CB$87,'Fórmula'!H67,32),INDEX(properties!A$1:CB$87,'Fórmula'!J67,32))</f>
        <v>7.54</v>
      </c>
      <c r="DD67" s="119">
        <f t="array" ref="DD67">MIN(IF(INDEX(properties!A$1:CB$87,'Fórmula'!B67,32)=0,10^6,INDEX(properties!A$1:CB$87,'Fórmula'!B67,32)),IF(INDEX(properties!A$1:CB$87,'Fórmula'!D67,32)=0,10^6,INDEX(properties!A$1:CB$87,'Fórmula'!D67,32)),IF(INDEX(properties!A$1:CB$87,'Fórmula'!F67,32)=0,10^6,INDEX(properties!A$1:CB$87,'Fórmula'!F67,32)),IF(INDEX(properties!A$1:CB$87,'Fórmula'!H67,32)=0,10^6,INDEX(properties!A$1:CB$87,'Fórmula'!H67,32)),IF(INDEX(properties!A$1:CB$87,'Fórmula'!J67,32)=0,10^6,INDEX(properties!A$1:CB$87,'Fórmula'!J67,32)))</f>
        <v>3.1</v>
      </c>
      <c r="DE67" s="119">
        <f t="shared" si="18"/>
        <v>4.44</v>
      </c>
      <c r="DF67" s="104">
        <f t="array" ref="DF67">(('Fórmula'!C67)/('Fórmula'!C67+'Fórmula'!E67+'Fórmula'!G67+'Fórmula'!I67+'Fórmula'!K67))*(INDEX(properties!A$1:CB$87,'Fórmula'!B67,34))+(('Fórmula'!E67)/('Fórmula'!C67+'Fórmula'!E67+'Fórmula'!G67+'Fórmula'!I67+'Fórmula'!K67))*(INDEX(properties!A$1:CB$87,'Fórmula'!D67,34))+(('Fórmula'!G67)/('Fórmula'!C67+'Fórmula'!E67+'Fórmula'!G67+'Fórmula'!I67+'Fórmula'!K67))*(INDEX(properties!A$1:CB$87,'Fórmula'!F67,34))+(('Fórmula'!I67)/('Fórmula'!C67+'Fórmula'!E67+'Fórmula'!G67+'Fórmula'!I67+'Fórmula'!K67))*(INDEX(properties!A$1:CB$87,'Fórmula'!H67,34))+(('Fórmula'!K67)/('Fórmula'!C67+'Fórmula'!E67+'Fórmula'!G67+'Fórmula'!I67+'Fórmula'!K67))*(INDEX(properties!A$1:CB$87,'Fórmula'!J67,34))</f>
        <v>2.735454545</v>
      </c>
      <c r="DG67" s="104">
        <f t="array" ref="DG67">'Fórmula'!C67*(INDEX(properties!A$1:CB$87,'Fórmula'!B67,34))+'Fórmula'!E67*(INDEX(properties!A$1:CB$87,'Fórmula'!D67,34))+'Fórmula'!G67*(INDEX(properties!A$1:CB$87,'Fórmula'!F67,34))+'Fórmula'!I67*(INDEX(properties!A$1:CB$87,'Fórmula'!H67,34))+'Fórmula'!K67*(INDEX(properties!A$1:CB$87,'Fórmula'!J67,34))</f>
        <v>30.09</v>
      </c>
      <c r="DH67" s="104">
        <f t="array" ref="DH67">VARP(IF(INDEX(properties!A$1:CB$87,'Fórmula'!B67,34)&lt;&gt;"",INDEX(properties!A$1:CB$87,'Fórmula'!B67,34)),IF(INDEX(properties!A$1:CB$87,'Fórmula'!D67,34)&lt;&gt;"",INDEX(properties!A$1:CB$87,'Fórmula'!D67,34)),IF(INDEX(properties!A$1:CB$87,'Fórmula'!F67,34)&lt;&gt;"",INDEX(properties!A$1:CB$87,'Fórmula'!F67,34)),IF(INDEX(properties!A$1:CB$87,'Fórmula'!H67,34)&lt;&gt;"",INDEX(properties!A$1:CB$87,'Fórmula'!H67,34)),IF(INDEX(properties!A$1:CB$87,'Fórmula'!J67,34)&lt;&gt;"",INDEX(properties!A$1:CB$87,'Fórmula'!J67,34)))</f>
        <v>1.742904</v>
      </c>
      <c r="DI67" s="104">
        <f t="array" ref="DI67">MAX(INDEX(properties!A$1:CB$87,'Fórmula'!B67,34),INDEX(properties!A$1:CB$87,'Fórmula'!D67,34),INDEX(properties!A$1:CB$87,'Fórmula'!F67,34),INDEX(properties!A$1:CB$87,'Fórmula'!H67,34),INDEX(properties!A$1:CB$87,'Fórmula'!J67,34))</f>
        <v>3.61</v>
      </c>
      <c r="DJ67" s="104">
        <f t="array" ref="DJ67">MIN(IF(INDEX(properties!A$1:CB$87,'Fórmula'!B67,34)=0,10^6,INDEX(properties!A$1:CB$87,'Fórmula'!B67,34)),IF(INDEX(properties!A$1:CB$87,'Fórmula'!D67,34)=0,10^6,INDEX(properties!A$1:CB$87,'Fórmula'!D67,34)),IF(INDEX(properties!A$1:CB$87,'Fórmula'!F67,34)=0,10^6,INDEX(properties!A$1:CB$87,'Fórmula'!F67,34)),IF(INDEX(properties!A$1:CB$87,'Fórmula'!H67,34)=0,10^6,INDEX(properties!A$1:CB$87,'Fórmula'!H67,34)),IF(INDEX(properties!A$1:CB$87,'Fórmula'!J67,34)=0,10^6,INDEX(properties!A$1:CB$87,'Fórmula'!J67,34)))</f>
        <v>1.09</v>
      </c>
      <c r="DK67" s="104">
        <f t="shared" si="19"/>
        <v>2.52</v>
      </c>
      <c r="DL67" s="105" t="str">
        <f t="array" ref="DL67">(('Fórmula'!C67)/('Fórmula'!C67+'Fórmula'!E67+'Fórmula'!G67+'Fórmula'!I67+'Fórmula'!K67))*(INDEX(properties!A$1:CB$87,'Fórmula'!B67,37))+(('Fórmula'!E67)/('Fórmula'!C67+'Fórmula'!E67+'Fórmula'!G67+'Fórmula'!I67+'Fórmula'!K67))*(INDEX(properties!A$1:CB$87,'Fórmula'!D67,37))+(('Fórmula'!G67)/('Fórmula'!C67+'Fórmula'!E67+'Fórmula'!G67+'Fórmula'!I67+'Fórmula'!K67))*(INDEX(properties!A$1:CB$87,'Fórmula'!F67,37))+(('Fórmula'!I67)/('Fórmula'!C67+'Fórmula'!E67+'Fórmula'!G67+'Fórmula'!I67+'Fórmula'!K67))*(INDEX(properties!A$1:CB$87,'Fórmula'!H67,37))+(('Fórmula'!K67)/('Fórmula'!C67+'Fórmula'!E67+'Fórmula'!G67+'Fórmula'!I67+'Fórmula'!K67))*(INDEX(properties!A$1:CB$87,'Fórmula'!J67,37))</f>
        <v>#VALUE!</v>
      </c>
      <c r="DM67" s="105" t="str">
        <f t="array" ref="DM67">'Fórmula'!C67*(INDEX(properties!A$1:CB$87,'Fórmula'!B67,37))+'Fórmula'!E67*(INDEX(properties!A$1:CB$87,'Fórmula'!D67,37))+'Fórmula'!G67*(INDEX(properties!A$1:CB$87,'Fórmula'!F67,37))+'Fórmula'!I67*(INDEX(properties!A$1:CB$87,'Fórmula'!H67,37))+'Fórmula'!K67*(INDEX(properties!A$1:CB$87,'Fórmula'!J67,37))</f>
        <v>#VALUE!</v>
      </c>
      <c r="DN67" s="105">
        <f t="array" ref="DN67">VARP(IF(INDEX(properties!A$1:CB$87,'Fórmula'!B67,37)&lt;&gt;"",INDEX(properties!A$1:CB$87,'Fórmula'!B67,37)),IF(INDEX(properties!A$1:CB$87,'Fórmula'!D67,37)&lt;&gt;"",INDEX(properties!A$1:CB$87,'Fórmula'!D67,37)),IF(INDEX(properties!A$1:CB$87,'Fórmula'!F67,37)&lt;&gt;"",INDEX(properties!A$1:CB$87,'Fórmula'!F67,37)),IF(INDEX(properties!A$1:CB$87,'Fórmula'!H67,37)&lt;&gt;"",INDEX(properties!A$1:CB$87,'Fórmula'!H67,37)),IF(INDEX(properties!A$1:CB$87,'Fórmula'!J67,37)&lt;&gt;"",INDEX(properties!A$1:CB$87,'Fórmula'!J67,37)))</f>
        <v>2.02171875</v>
      </c>
      <c r="DO67" s="105">
        <f t="array" ref="DO67">MAX(INDEX(properties!A$1:CB$87,'Fórmula'!B67,37),INDEX(properties!A$1:CB$87,'Fórmula'!D67,37),INDEX(properties!A$1:CB$87,'Fórmula'!F67,37),INDEX(properties!A$1:CB$87,'Fórmula'!H67,37),INDEX(properties!A$1:CB$87,'Fórmula'!J67,37))</f>
        <v>3.45</v>
      </c>
      <c r="DP67" s="105">
        <f t="array" ref="DP67">MIN(IF(INDEX(properties!A$1:CB$87,'Fórmula'!B67,37)=0,10^6,INDEX(properties!A$1:CB$87,'Fórmula'!B67,37)),IF(INDEX(properties!A$1:CB$87,'Fórmula'!D67,37)=0,10^6,INDEX(properties!A$1:CB$87,'Fórmula'!D67,37)),IF(INDEX(properties!A$1:CB$87,'Fórmula'!F67,37)=0,10^6,INDEX(properties!A$1:CB$87,'Fórmula'!F67,37)),IF(INDEX(properties!A$1:CB$87,'Fórmula'!H67,37)=0,10^6,INDEX(properties!A$1:CB$87,'Fórmula'!H67,37)),IF(INDEX(properties!A$1:CB$87,'Fórmula'!J67,37)=0,10^6,INDEX(properties!A$1:CB$87,'Fórmula'!J67,37)))</f>
        <v>1.6</v>
      </c>
      <c r="DQ67" s="105">
        <f t="shared" si="20"/>
        <v>1.85</v>
      </c>
      <c r="DR67" s="109">
        <f t="array" ref="DR67">(('Fórmula'!C67)/('Fórmula'!C67+'Fórmula'!E67+'Fórmula'!G67+'Fórmula'!I67+'Fórmula'!K67))*(INDEX(properties!A$1:CB$87,'Fórmula'!B67,39))+(('Fórmula'!E67)/('Fórmula'!C67+'Fórmula'!E67+'Fórmula'!G67+'Fórmula'!I67+'Fórmula'!K67))*(INDEX(properties!A$1:CB$87,'Fórmula'!D67,39))+(('Fórmula'!G67)/('Fórmula'!C67+'Fórmula'!E67+'Fórmula'!G67+'Fórmula'!I67+'Fórmula'!K67))*(INDEX(properties!A$1:CB$87,'Fórmula'!F67,39))+(('Fórmula'!I67)/('Fórmula'!C67+'Fórmula'!E67+'Fórmula'!G67+'Fórmula'!I67+'Fórmula'!K67))*(INDEX(properties!A$1:CB$87,'Fórmula'!H67,39))+(('Fórmula'!K67)/('Fórmula'!C67+'Fórmula'!E67+'Fórmula'!G67+'Fórmula'!I67+'Fórmula'!K67))*(INDEX(properties!A$1:CB$87,'Fórmula'!J67,39))</f>
        <v>1.103636364</v>
      </c>
      <c r="DS67" s="109">
        <f t="array" ref="DS67">'Fórmula'!C67*(INDEX(properties!A$1:CB$87,'Fórmula'!B67,39))+'Fórmula'!E67*(INDEX(properties!A$1:CB$87,'Fórmula'!D67,39))+'Fórmula'!G67*(INDEX(properties!A$1:CB$87,'Fórmula'!F67,39))+'Fórmula'!I67*(INDEX(properties!A$1:CB$87,'Fórmula'!H67,39))+'Fórmula'!K67*(INDEX(properties!A$1:CB$87,'Fórmula'!J67,39))</f>
        <v>12.14</v>
      </c>
      <c r="DT67" s="109">
        <f t="array" ref="DT67">VARP(IF(INDEX(properties!A$1:CB$87,'Fórmula'!B67,39)&lt;&gt;"",INDEX(properties!A$1:CB$87,'Fórmula'!B67,39)),IF(INDEX(properties!A$1:CB$87,'Fórmula'!D67,39)&lt;&gt;"",INDEX(properties!A$1:CB$87,'Fórmula'!D67,39)),IF(INDEX(properties!A$1:CB$87,'Fórmula'!F67,39)&lt;&gt;"",INDEX(properties!A$1:CB$87,'Fórmula'!F67,39)),IF(INDEX(properties!A$1:CB$87,'Fórmula'!H67,39)&lt;&gt;"",INDEX(properties!A$1:CB$87,'Fórmula'!H67,39)),IF(INDEX(properties!A$1:CB$87,'Fórmula'!J67,39)&lt;&gt;"",INDEX(properties!A$1:CB$87,'Fórmula'!J67,39)))</f>
        <v>1.031904</v>
      </c>
      <c r="DU67" s="120">
        <f t="array" ref="DU67">MAX(INDEX(properties!A$1:CB$87,'Fórmula'!B67,39),INDEX(properties!A$1:CB$87,'Fórmula'!D67,39),INDEX(properties!A$1:CB$87,'Fórmula'!F67,39),INDEX(properties!A$1:CB$87,'Fórmula'!H67,39),INDEX(properties!A$1:CB$87,'Fórmula'!J67,39))</f>
        <v>2.33</v>
      </c>
      <c r="DV67" s="120">
        <f t="array" ref="DV67">MIN(IF(INDEX(properties!A$1:CB$87,'Fórmula'!B67,39)=0,10^6,INDEX(properties!A$1:CB$87,'Fórmula'!B67,39)),IF(INDEX(properties!A$1:CB$87,'Fórmula'!D67,39)=0,10^6,INDEX(properties!A$1:CB$87,'Fórmula'!D67,39)),IF(INDEX(properties!A$1:CB$87,'Fórmula'!F67,39)=0,10^6,INDEX(properties!A$1:CB$87,'Fórmula'!F67,39)),IF(INDEX(properties!A$1:CB$87,'Fórmula'!H67,39)=0,10^6,INDEX(properties!A$1:CB$87,'Fórmula'!H67,39)),IF(INDEX(properties!A$1:CB$87,'Fórmula'!J67,39)=0,10^6,INDEX(properties!A$1:CB$87,'Fórmula'!J67,39)))</f>
        <v>0.48</v>
      </c>
      <c r="DW67" s="109">
        <f t="shared" si="21"/>
        <v>1.85</v>
      </c>
      <c r="DX67" s="110">
        <f t="array" ref="DX67">(('Fórmula'!C67)/('Fórmula'!C67+'Fórmula'!E67+'Fórmula'!G67+'Fórmula'!I67+'Fórmula'!K67))*(INDEX(properties!A$1:CB$87,'Fórmula'!B67,40))+(('Fórmula'!E67)/('Fórmula'!C67+'Fórmula'!E67+'Fórmula'!G67+'Fórmula'!I67+'Fórmula'!K67))*(INDEX(properties!A$1:CB$87,'Fórmula'!D67,40))+(('Fórmula'!G67)/('Fórmula'!C67+'Fórmula'!E67+'Fórmula'!G67+'Fórmula'!I67+'Fórmula'!K67))*(INDEX(properties!A$1:CB$87,'Fórmula'!F67,40))+(('Fórmula'!I67)/('Fórmula'!C67+'Fórmula'!E67+'Fórmula'!G67+'Fórmula'!I67+'Fórmula'!K67))*(INDEX(properties!A$1:CB$87,'Fórmula'!H67,40))+(('Fórmula'!K67)/('Fórmula'!C67+'Fórmula'!E67+'Fórmula'!G67+'Fórmula'!I67+'Fórmula'!K67))*(INDEX(properties!A$1:CB$87,'Fórmula'!J67,40))</f>
        <v>1.026363636</v>
      </c>
      <c r="DY67" s="110">
        <f t="array" ref="DY67">'Fórmula'!C67*(INDEX(properties!A$1:CB$87,'Fórmula'!B67,40))+'Fórmula'!E67*(INDEX(properties!A$1:CB$87,'Fórmula'!D67,40))+'Fórmula'!G67*(INDEX(properties!A$1:CB$87,'Fórmula'!F67,40))+'Fórmula'!I67*(INDEX(properties!A$1:CB$87,'Fórmula'!H67,40))+'Fórmula'!K67*(INDEX(properties!A$1:CB$87,'Fórmula'!J67,40))</f>
        <v>11.29</v>
      </c>
      <c r="DZ67" s="110">
        <f t="array" ref="DZ67">VARP(IF(INDEX(properties!A$1:CB$87,'Fórmula'!B67,40)&lt;&gt;"",INDEX(properties!A$1:CB$87,'Fórmula'!B67,40)),IF(INDEX(properties!A$1:CB$87,'Fórmula'!D67,40)&lt;&gt;"",INDEX(properties!A$1:CB$87,'Fórmula'!D67,40)),IF(INDEX(properties!A$1:CB$87,'Fórmula'!F67,40)&lt;&gt;"",INDEX(properties!A$1:CB$87,'Fórmula'!F67,40)),IF(INDEX(properties!A$1:CB$87,'Fórmula'!H67,40)&lt;&gt;"",INDEX(properties!A$1:CB$87,'Fórmula'!H67,40)),IF(INDEX(properties!A$1:CB$87,'Fórmula'!J67,40)&lt;&gt;"",INDEX(properties!A$1:CB$87,'Fórmula'!J67,40)))</f>
        <v>0.479384</v>
      </c>
      <c r="EA67" s="121">
        <f t="array" ref="EA67">MAX(INDEX(properties!A$1:CB$87,'Fórmula'!B67,40),INDEX(properties!A$1:CB$87,'Fórmula'!D67,40),INDEX(properties!A$1:CB$87,'Fórmula'!F67,40),INDEX(properties!A$1:CB$87,'Fórmula'!H67,40),INDEX(properties!A$1:CB$87,'Fórmula'!J67,40))</f>
        <v>1.61</v>
      </c>
      <c r="EB67" s="121">
        <f t="array" ref="EB67">MIN(IF(INDEX(properties!A$1:CB$87,'Fórmula'!B67,40)=0,10^6,INDEX(properties!A$1:CB$87,'Fórmula'!B67,40)),IF(INDEX(properties!A$1:CB$87,'Fórmula'!D67,40)=0,10^6,INDEX(properties!A$1:CB$87,'Fórmula'!D67,40)),IF(INDEX(properties!A$1:CB$87,'Fórmula'!F67,40)=0,10^6,INDEX(properties!A$1:CB$87,'Fórmula'!F67,40)),IF(INDEX(properties!A$1:CB$87,'Fórmula'!H67,40)=0,10^6,INDEX(properties!A$1:CB$87,'Fórmula'!H67,40)),IF(INDEX(properties!A$1:CB$87,'Fórmula'!J67,40)=0,10^6,INDEX(properties!A$1:CB$87,'Fórmula'!J67,40)))</f>
        <v>0.73</v>
      </c>
      <c r="EC67" s="110">
        <f t="shared" si="22"/>
        <v>0.88</v>
      </c>
      <c r="ED67" s="111">
        <f t="array" ref="ED67">(('Fórmula'!C67)/('Fórmula'!C67+'Fórmula'!E67+'Fórmula'!G67+'Fórmula'!I67+'Fórmula'!K67))*(INDEX(properties!A$1:CB$87,'Fórmula'!B67,41))+(('Fórmula'!E67)/('Fórmula'!C67+'Fórmula'!E67+'Fórmula'!G67+'Fórmula'!I67+'Fórmula'!K67))*(INDEX(properties!A$1:CB$87,'Fórmula'!D67,41))+(('Fórmula'!G67)/('Fórmula'!C67+'Fórmula'!E67+'Fórmula'!G67+'Fórmula'!I67+'Fórmula'!K67))*(INDEX(properties!A$1:CB$87,'Fórmula'!F67,41))+(('Fórmula'!I67)/('Fórmula'!C67+'Fórmula'!E67+'Fórmula'!G67+'Fórmula'!I67+'Fórmula'!K67))*(INDEX(properties!A$1:CB$87,'Fórmula'!H67,41))+(('Fórmula'!K67)/('Fórmula'!C67+'Fórmula'!E67+'Fórmula'!G67+'Fórmula'!I67+'Fórmula'!K67))*(INDEX(properties!A$1:CB$87,'Fórmula'!J67,41))</f>
        <v>1.154545455</v>
      </c>
      <c r="EE67" s="111">
        <f t="array" ref="EE67">'Fórmula'!C67*(INDEX(properties!A$1:CB$87,'Fórmula'!B67,41))+'Fórmula'!E67*(INDEX(properties!A$1:CB$87,'Fórmula'!D67,41))+'Fórmula'!G67*(INDEX(properties!A$1:CB$87,'Fórmula'!F67,41))+'Fórmula'!I67*(INDEX(properties!A$1:CB$87,'Fórmula'!H67,41))+'Fórmula'!K67*(INDEX(properties!A$1:CB$87,'Fórmula'!J67,41))</f>
        <v>12.7</v>
      </c>
      <c r="EF67" s="111">
        <f t="array" ref="EF67">VARP(IF(INDEX(properties!A$1:CB$87,'Fórmula'!B67,41)&lt;&gt;"",INDEX(properties!A$1:CB$87,'Fórmula'!B67,41)),IF(INDEX(properties!A$1:CB$87,'Fórmula'!D67,41)&lt;&gt;"",INDEX(properties!A$1:CB$87,'Fórmula'!D67,41)),IF(INDEX(properties!A$1:CB$87,'Fórmula'!F67,41)&lt;&gt;"",INDEX(properties!A$1:CB$87,'Fórmula'!F67,41)),IF(INDEX(properties!A$1:CB$87,'Fórmula'!H67,41)&lt;&gt;"",INDEX(properties!A$1:CB$87,'Fórmula'!H67,41)),IF(INDEX(properties!A$1:CB$87,'Fórmula'!J67,41)&lt;&gt;"",INDEX(properties!A$1:CB$87,'Fórmula'!J67,41)))</f>
        <v>0.28912</v>
      </c>
      <c r="EG67" s="122">
        <f t="array" ref="EG67">MAX(INDEX(properties!A$1:CB$87,'Fórmula'!B67,41),INDEX(properties!A$1:CB$87,'Fórmula'!D67,41),INDEX(properties!A$1:CB$87,'Fórmula'!F67,41),INDEX(properties!A$1:CB$87,'Fórmula'!H67,41),INDEX(properties!A$1:CB$87,'Fórmula'!J67,41))</f>
        <v>1.26</v>
      </c>
      <c r="EH67" s="122">
        <f t="array" ref="EH67">MIN(IF(INDEX(properties!A$1:CB$87,'Fórmula'!B67,41)=0,10^6,INDEX(properties!A$1:CB$87,'Fórmula'!B67,41)),IF(INDEX(properties!A$1:CB$87,'Fórmula'!D67,41)=0,10^6,INDEX(properties!A$1:CB$87,'Fórmula'!D67,41)),IF(INDEX(properties!A$1:CB$87,'Fórmula'!F67,41)=0,10^6,INDEX(properties!A$1:CB$87,'Fórmula'!F67,41)),IF(INDEX(properties!A$1:CB$87,'Fórmula'!H67,41)=0,10^6,INDEX(properties!A$1:CB$87,'Fórmula'!H67,41)),IF(INDEX(properties!A$1:CB$87,'Fórmula'!J67,41)=0,10^6,INDEX(properties!A$1:CB$87,'Fórmula'!J67,41)))</f>
        <v>0.86</v>
      </c>
      <c r="EI67" s="111">
        <f t="shared" si="23"/>
        <v>0.4</v>
      </c>
      <c r="EJ67" s="112">
        <f t="array" ref="EJ67">(('Fórmula'!C67)/('Fórmula'!C67+'Fórmula'!E67+'Fórmula'!G67+'Fórmula'!I67+'Fórmula'!K67))*(INDEX(properties!A$1:CB$87,'Fórmula'!B67,45))+(('Fórmula'!E67)/('Fórmula'!C67+'Fórmula'!E67+'Fórmula'!G67+'Fórmula'!I67+'Fórmula'!K67))*(INDEX(properties!A$1:CB$87,'Fórmula'!D67,45))+(('Fórmula'!G67)/('Fórmula'!C67+'Fórmula'!E67+'Fórmula'!G67+'Fórmula'!I67+'Fórmula'!K67))*(INDEX(properties!A$1:CB$87,'Fórmula'!F67,45))+(('Fórmula'!I67)/('Fórmula'!C67+'Fórmula'!E67+'Fórmula'!G67+'Fórmula'!I67+'Fórmula'!K67))*(INDEX(properties!A$1:CB$87,'Fórmula'!H67,45))+(('Fórmula'!K67)/('Fórmula'!C67+'Fórmula'!E67+'Fórmula'!G67+'Fórmula'!I67+'Fórmula'!K67))*(INDEX(properties!A$1:CB$87,'Fórmula'!J67,45))</f>
        <v>1.524545455</v>
      </c>
      <c r="EK67" s="112">
        <f t="array" ref="EK67">'Fórmula'!C67*(INDEX(properties!A$1:CB$87,'Fórmula'!B67,45))+'Fórmula'!E67*(INDEX(properties!A$1:CB$87,'Fórmula'!D67,45))+'Fórmula'!G67*(INDEX(properties!A$1:CB$87,'Fórmula'!F67,45))+'Fórmula'!I67*(INDEX(properties!A$1:CB$87,'Fórmula'!H67,45))+'Fórmula'!K67*(INDEX(properties!A$1:CB$87,'Fórmula'!J67,45))</f>
        <v>16.77</v>
      </c>
      <c r="EL67" s="112">
        <f t="array" ref="EL67">VARP(IF(INDEX(properties!A$1:CB$87,'Fórmula'!B67,45)&lt;&gt;"",INDEX(properties!A$1:CB$87,'Fórmula'!B67,45)),IF(INDEX(properties!A$1:CB$87,'Fórmula'!D67,45)&lt;&gt;"",INDEX(properties!A$1:CB$87,'Fórmula'!D67,45)),IF(INDEX(properties!A$1:CB$87,'Fórmula'!F67,45)&lt;&gt;"",INDEX(properties!A$1:CB$87,'Fórmula'!F67,45)),IF(INDEX(properties!A$1:CB$87,'Fórmula'!H67,45)&lt;&gt;"",INDEX(properties!A$1:CB$87,'Fórmula'!H67,45)),IF(INDEX(properties!A$1:CB$87,'Fórmula'!J67,45)&lt;&gt;"",INDEX(properties!A$1:CB$87,'Fórmula'!J67,45)))</f>
        <v>2.624216</v>
      </c>
      <c r="EM67" s="123">
        <f t="array" ref="EM67">MAX(INDEX(properties!A$1:CB$87,'Fórmula'!B67,45),INDEX(properties!A$1:CB$87,'Fórmula'!D67,45),INDEX(properties!A$1:CB$87,'Fórmula'!F67,45),INDEX(properties!A$1:CB$87,'Fórmula'!H67,45),INDEX(properties!A$1:CB$87,'Fórmula'!J67,45))</f>
        <v>3.91</v>
      </c>
      <c r="EN67" s="123">
        <f t="array" ref="EN67">MIN(IF(INDEX(properties!A$1:CB$87,'Fórmula'!B67,45)=0,10^6,INDEX(properties!A$1:CB$87,'Fórmula'!B67,45)),IF(INDEX(properties!A$1:CB$87,'Fórmula'!D67,45)=0,10^6,INDEX(properties!A$1:CB$87,'Fórmula'!D67,45)),IF(INDEX(properties!A$1:CB$87,'Fórmula'!F67,45)=0,10^6,INDEX(properties!A$1:CB$87,'Fórmula'!F67,45)),IF(INDEX(properties!A$1:CB$87,'Fórmula'!H67,45)=0,10^6,INDEX(properties!A$1:CB$87,'Fórmula'!H67,45)),IF(INDEX(properties!A$1:CB$87,'Fórmula'!J67,45)=0,10^6,INDEX(properties!A$1:CB$87,'Fórmula'!J67,45)))</f>
        <v>0.47</v>
      </c>
      <c r="EO67" s="112">
        <f t="shared" si="24"/>
        <v>3.44</v>
      </c>
      <c r="EP67" s="113">
        <f t="array" ref="EP67">(('Fórmula'!C67)/('Fórmula'!C67+'Fórmula'!E67+'Fórmula'!G67+'Fórmula'!I67+'Fórmula'!K67))*(INDEX(properties!A$1:CB$87,'Fórmula'!B67,46))+(('Fórmula'!E67)/('Fórmula'!C67+'Fórmula'!E67+'Fórmula'!G67+'Fórmula'!I67+'Fórmula'!K67))*(INDEX(properties!A$1:CB$87,'Fórmula'!D67,46))+(('Fórmula'!G67)/('Fórmula'!C67+'Fórmula'!E67+'Fórmula'!G67+'Fórmula'!I67+'Fórmula'!K67))*(INDEX(properties!A$1:CB$87,'Fórmula'!F67,46))+(('Fórmula'!I67)/('Fórmula'!C67+'Fórmula'!E67+'Fórmula'!G67+'Fórmula'!I67+'Fórmula'!K67))*(INDEX(properties!A$1:CB$87,'Fórmula'!H67,46))+(('Fórmula'!K67)/('Fórmula'!C67+'Fórmula'!E67+'Fórmula'!G67+'Fórmula'!I67+'Fórmula'!K67))*(INDEX(properties!A$1:CB$87,'Fórmula'!J67,46))</f>
        <v>1.122727273</v>
      </c>
      <c r="EQ67" s="113">
        <f t="array" ref="EQ67">'Fórmula'!C67*(INDEX(properties!A$1:CB$87,'Fórmula'!B67,46))+'Fórmula'!E67*(INDEX(properties!A$1:CB$87,'Fórmula'!D67,46))+'Fórmula'!G67*(INDEX(properties!A$1:CB$87,'Fórmula'!F67,46))+'Fórmula'!I67*(INDEX(properties!A$1:CB$87,'Fórmula'!H67,46))+'Fórmula'!K67*(INDEX(properties!A$1:CB$87,'Fórmula'!J67,46))</f>
        <v>12.35</v>
      </c>
      <c r="ER67" s="113">
        <f t="array" ref="ER67">VARP(IF(INDEX(properties!A$1:CB$87,'Fórmula'!B67,46)&lt;&gt;"",INDEX(properties!A$1:CB$87,'Fórmula'!B67,46)),IF(INDEX(properties!A$1:CB$87,'Fórmula'!D67,46)&lt;&gt;"",INDEX(properties!A$1:CB$87,'Fórmula'!D67,46)),IF(INDEX(properties!A$1:CB$87,'Fórmula'!F67,46)&lt;&gt;"",INDEX(properties!A$1:CB$87,'Fórmula'!F67,46)),IF(INDEX(properties!A$1:CB$87,'Fórmula'!H67,46)&lt;&gt;"",INDEX(properties!A$1:CB$87,'Fórmula'!H67,46)),IF(INDEX(properties!A$1:CB$87,'Fórmula'!J67,46)&lt;&gt;"",INDEX(properties!A$1:CB$87,'Fórmula'!J67,46)))</f>
        <v>0.27712</v>
      </c>
      <c r="ES67" s="124">
        <f t="array" ref="ES67">MAX(INDEX(properties!A$1:CB$87,'Fórmula'!B67,46),INDEX(properties!A$1:CB$87,'Fórmula'!D67,46),INDEX(properties!A$1:CB$87,'Fórmula'!F67,46),INDEX(properties!A$1:CB$87,'Fórmula'!H67,46),INDEX(properties!A$1:CB$87,'Fórmula'!J67,46))</f>
        <v>1.21</v>
      </c>
      <c r="ET67" s="124">
        <f t="array" ref="ET67">MIN(IF(INDEX(properties!A$1:CB$87,'Fórmula'!B67,46)=0,10^6,INDEX(properties!A$1:CB$87,'Fórmula'!B67,46)),IF(INDEX(properties!A$1:CB$87,'Fórmula'!D67,46)=0,10^6,INDEX(properties!A$1:CB$87,'Fórmula'!D67,46)),IF(INDEX(properties!A$1:CB$87,'Fórmula'!F67,46)=0,10^6,INDEX(properties!A$1:CB$87,'Fórmula'!F67,46)),IF(INDEX(properties!A$1:CB$87,'Fórmula'!H67,46)=0,10^6,INDEX(properties!A$1:CB$87,'Fórmula'!H67,46)),IF(INDEX(properties!A$1:CB$87,'Fórmula'!J67,46)=0,10^6,INDEX(properties!A$1:CB$87,'Fórmula'!J67,46)))</f>
        <v>0.86</v>
      </c>
      <c r="EU67" s="113">
        <f t="shared" si="25"/>
        <v>0.35</v>
      </c>
      <c r="EV67" s="114">
        <f t="array" ref="EV67">(('Fórmula'!C67)/('Fórmula'!C67+'Fórmula'!E67+'Fórmula'!G67+'Fórmula'!I67+'Fórmula'!K67))*(INDEX(properties!A$1:CB$87,'Fórmula'!B67,52))+(('Fórmula'!E67)/('Fórmula'!C67+'Fórmula'!E67+'Fórmula'!G67+'Fórmula'!I67+'Fórmula'!K67))*(INDEX(properties!A$1:CB$87,'Fórmula'!D67,52))+(('Fórmula'!G67)/('Fórmula'!C67+'Fórmula'!E67+'Fórmula'!G67+'Fórmula'!I67+'Fórmula'!K67))*(INDEX(properties!A$1:CB$87,'Fórmula'!F67,52))+(('Fórmula'!I67)/('Fórmula'!C67+'Fórmula'!E67+'Fórmula'!G67+'Fórmula'!I67+'Fórmula'!K67))*(INDEX(properties!A$1:CB$87,'Fórmula'!H67,52))+(('Fórmula'!K67)/('Fórmula'!C67+'Fórmula'!E67+'Fórmula'!G67+'Fórmula'!I67+'Fórmula'!K67))*(INDEX(properties!A$1:CB$87,'Fórmula'!J67,52))</f>
        <v>8.031909091</v>
      </c>
      <c r="EW67" s="114">
        <f t="array" ref="EW67">'Fórmula'!C67*(INDEX(properties!A$1:CB$87,'Fórmula'!B67,52))+'Fórmula'!E67*(INDEX(properties!A$1:CB$87,'Fórmula'!D67,52))+'Fórmula'!G67*(INDEX(properties!A$1:CB$87,'Fórmula'!F67,52))+'Fórmula'!I67*(INDEX(properties!A$1:CB$87,'Fórmula'!H67,52))+'Fórmula'!K67*(INDEX(properties!A$1:CB$87,'Fórmula'!J67,52))</f>
        <v>88.351</v>
      </c>
      <c r="EX67" s="114">
        <f t="array" ref="EX67">VARP(IF(INDEX(properties!A$1:CB$87,'Fórmula'!B67,52)&lt;&gt;"",INDEX(properties!A$1:CB$87,'Fórmula'!B67,52)),IF(INDEX(properties!A$1:CB$87,'Fórmula'!D67,52)&lt;&gt;"",INDEX(properties!A$1:CB$87,'Fórmula'!D67,52)),IF(INDEX(properties!A$1:CB$87,'Fórmula'!F67,52)&lt;&gt;"",INDEX(properties!A$1:CB$87,'Fórmula'!F67,52)),IF(INDEX(properties!A$1:CB$87,'Fórmula'!H67,52)&lt;&gt;"",INDEX(properties!A$1:CB$87,'Fórmula'!H67,52)),IF(INDEX(properties!A$1:CB$87,'Fórmula'!J67,52)&lt;&gt;"",INDEX(properties!A$1:CB$87,'Fórmula'!J67,52)))</f>
        <v>103.4477998</v>
      </c>
      <c r="EY67" s="114">
        <f t="array" ref="EY67">MAX(INDEX(properties!A$1:CB$87,'Fórmula'!B67,52),INDEX(properties!A$1:CB$87,'Fórmula'!D67,52),INDEX(properties!A$1:CB$87,'Fórmula'!F67,52),INDEX(properties!A$1:CB$87,'Fórmula'!H67,52),INDEX(properties!A$1:CB$87,'Fórmula'!J67,52))</f>
        <v>23.5</v>
      </c>
      <c r="EZ67" s="114">
        <f t="array" ref="EZ67">MIN(IF(INDEX(properties!A$1:CB$87,'Fórmula'!B67,52)=0,10^6,INDEX(properties!A$1:CB$87,'Fórmula'!B67,52)),IF(INDEX(properties!A$1:CB$87,'Fórmula'!D67,52)=0,10^6,INDEX(properties!A$1:CB$87,'Fórmula'!D67,52)),IF(INDEX(properties!A$1:CB$87,'Fórmula'!F67,52)=0,10^6,INDEX(properties!A$1:CB$87,'Fórmula'!F67,52)),IF(INDEX(properties!A$1:CB$87,'Fórmula'!H67,52)=0,10^6,INDEX(properties!A$1:CB$87,'Fórmula'!H67,52)),IF(INDEX(properties!A$1:CB$87,'Fórmula'!J67,52)=0,10^6,INDEX(properties!A$1:CB$87,'Fórmula'!J67,52)))</f>
        <v>0.793</v>
      </c>
      <c r="FA67" s="114">
        <f t="shared" si="26"/>
        <v>22.707</v>
      </c>
      <c r="FB67" s="115">
        <f t="array" ref="FB67">(('Fórmula'!C67)/('Fórmula'!C67+'Fórmula'!E67+'Fórmula'!G67+'Fórmula'!I67+'Fórmula'!K67))*(INDEX(properties!A$1:CB$87,'Fórmula'!B67,53))+(('Fórmula'!E67)/('Fórmula'!C67+'Fórmula'!E67+'Fórmula'!G67+'Fórmula'!I67+'Fórmula'!K67))*(INDEX(properties!A$1:CB$87,'Fórmula'!D67,53))+(('Fórmula'!G67)/('Fórmula'!C67+'Fórmula'!E67+'Fórmula'!G67+'Fórmula'!I67+'Fórmula'!K67))*(INDEX(properties!A$1:CB$87,'Fórmula'!F67,53))+(('Fórmula'!I67)/('Fórmula'!C67+'Fórmula'!E67+'Fórmula'!G67+'Fórmula'!I67+'Fórmula'!K67))*(INDEX(properties!A$1:CB$87,'Fórmula'!H67,53))+(('Fórmula'!K67)/('Fórmula'!C67+'Fórmula'!E67+'Fórmula'!G67+'Fórmula'!I67+'Fórmula'!K67))*(INDEX(properties!A$1:CB$87,'Fórmula'!J67,53))</f>
        <v>709.6227273</v>
      </c>
      <c r="FC67" s="115">
        <f t="array" ref="FC67">'Fórmula'!C67*(INDEX(properties!A$1:CB$87,'Fórmula'!B67,53))+'Fórmula'!E67*(INDEX(properties!A$1:CB$87,'Fórmula'!D67,53))+'Fórmula'!G67*(INDEX(properties!A$1:CB$87,'Fórmula'!F67,53))+'Fórmula'!I67*(INDEX(properties!A$1:CB$87,'Fórmula'!H67,53))+'Fórmula'!K67*(INDEX(properties!A$1:CB$87,'Fórmula'!J67,53))</f>
        <v>7805.85</v>
      </c>
      <c r="FD67" s="115">
        <f t="array" ref="FD67">VARP(IF(INDEX(properties!A$1:CB$87,'Fórmula'!B67,53)&lt;&gt;"",INDEX(properties!A$1:CB$87,'Fórmula'!B67,53)),IF(INDEX(properties!A$1:CB$87,'Fórmula'!D67,53)&lt;&gt;"",INDEX(properties!A$1:CB$87,'Fórmula'!D67,53)),IF(INDEX(properties!A$1:CB$87,'Fórmula'!F67,53)&lt;&gt;"",INDEX(properties!A$1:CB$87,'Fórmula'!F67,53)),IF(INDEX(properties!A$1:CB$87,'Fórmula'!H67,53)&lt;&gt;"",INDEX(properties!A$1:CB$87,'Fórmula'!H67,53)),IF(INDEX(properties!A$1:CB$87,'Fórmula'!J67,53)&lt;&gt;"",INDEX(properties!A$1:CB$87,'Fórmula'!J67,53)))</f>
        <v>839701.0774</v>
      </c>
      <c r="FE67" s="115">
        <f t="array" ref="FE67">MAX(INDEX(properties!A$1:CB$87,'Fórmula'!B67,53),INDEX(properties!A$1:CB$87,'Fórmula'!D67,53),INDEX(properties!A$1:CB$87,'Fórmula'!F67,53),INDEX(properties!A$1:CB$87,'Fórmula'!H67,53),INDEX(properties!A$1:CB$87,'Fórmula'!J67,53))</f>
        <v>2125.15</v>
      </c>
      <c r="FF67" s="115">
        <f t="array" ref="FF67">MIN(IF(INDEX(properties!A$1:CB$87,'Fórmula'!B67,53)=0,10^6,INDEX(properties!A$1:CB$87,'Fórmula'!B67,53)),IF(INDEX(properties!A$1:CB$87,'Fórmula'!D67,53)=0,10^6,INDEX(properties!A$1:CB$87,'Fórmula'!D67,53)),IF(INDEX(properties!A$1:CB$87,'Fórmula'!F67,53)=0,10^6,INDEX(properties!A$1:CB$87,'Fórmula'!F67,53)),IF(INDEX(properties!A$1:CB$87,'Fórmula'!H67,53)=0,10^6,INDEX(properties!A$1:CB$87,'Fórmula'!H67,53)),IF(INDEX(properties!A$1:CB$87,'Fórmula'!J67,53)=0,10^6,INDEX(properties!A$1:CB$87,'Fórmula'!J67,53)))</f>
        <v>54.75</v>
      </c>
      <c r="FG67" s="115">
        <f t="shared" si="27"/>
        <v>2070.4</v>
      </c>
      <c r="FH67" s="117">
        <f t="array" ref="FH67">(('Fórmula'!C67)/('Fórmula'!C67+'Fórmula'!E67+'Fórmula'!G67+'Fórmula'!I67+'Fórmula'!K67))*(INDEX(properties!A$1:CB$87,'Fórmula'!B67,54))+(('Fórmula'!E67)/('Fórmula'!C67+'Fórmula'!E67+'Fórmula'!G67+'Fórmula'!I67+'Fórmula'!K67))*(INDEX(properties!A$1:CB$87,'Fórmula'!D67,54))+(('Fórmula'!G67)/('Fórmula'!C67+'Fórmula'!E67+'Fórmula'!G67+'Fórmula'!I67+'Fórmula'!K67))*(INDEX(properties!A$1:CB$87,'Fórmula'!F67,54))+(('Fórmula'!I67)/('Fórmula'!C67+'Fórmula'!E67+'Fórmula'!G67+'Fórmula'!I67+'Fórmula'!K67))*(INDEX(properties!A$1:CB$87,'Fórmula'!H67,54))+(('Fórmula'!K67)/('Fórmula'!C67+'Fórmula'!E67+'Fórmula'!G67+'Fórmula'!I67+'Fórmula'!K67))*(INDEX(properties!A$1:CB$87,'Fórmula'!J67,54))</f>
        <v>1547.604545</v>
      </c>
      <c r="FI67" s="117">
        <f t="array" ref="FI67">'Fórmula'!C67*(INDEX(properties!A$1:CB$87,'Fórmula'!B67,54))+'Fórmula'!E67*(INDEX(properties!A$1:CB$87,'Fórmula'!D67,54))+'Fórmula'!G67*(INDEX(properties!A$1:CB$87,'Fórmula'!F67,54))+'Fórmula'!I67*(INDEX(properties!A$1:CB$87,'Fórmula'!H67,54))+'Fórmula'!K67*(INDEX(properties!A$1:CB$87,'Fórmula'!J67,54))</f>
        <v>17023.65</v>
      </c>
      <c r="FJ67" s="117">
        <f t="array" ref="FJ67">VARP(IF(INDEX(properties!A$1:CB$87,'Fórmula'!B67,54)&lt;&gt;"",INDEX(properties!A$1:CB$87,'Fórmula'!B67,54)),IF(INDEX(properties!A$1:CB$87,'Fórmula'!D67,54)&lt;&gt;"",INDEX(properties!A$1:CB$87,'Fórmula'!D67,54)),IF(INDEX(properties!A$1:CB$87,'Fórmula'!F67,54)&lt;&gt;"",INDEX(properties!A$1:CB$87,'Fórmula'!F67,54)),IF(INDEX(properties!A$1:CB$87,'Fórmula'!H67,54)&lt;&gt;"",INDEX(properties!A$1:CB$87,'Fórmula'!H67,54)),IF(INDEX(properties!A$1:CB$87,'Fórmula'!J67,54)&lt;&gt;"",INDEX(properties!A$1:CB$87,'Fórmula'!J67,54)))</f>
        <v>4094830.229</v>
      </c>
      <c r="FK67" s="117">
        <f t="array" ref="FK67">MAX(INDEX(properties!A$1:CB$87,'Fórmula'!B67,54),INDEX(properties!A$1:CB$87,'Fórmula'!D67,54),INDEX(properties!A$1:CB$87,'Fórmula'!F67,54),INDEX(properties!A$1:CB$87,'Fórmula'!H67,54),INDEX(properties!A$1:CB$87,'Fórmula'!J67,54))</f>
        <v>4650.15</v>
      </c>
      <c r="FL67" s="117">
        <f t="array" ref="FL67">MIN(IF(INDEX(properties!A$1:CB$87,'Fórmula'!B67,54)=0,10^6,INDEX(properties!A$1:CB$87,'Fórmula'!B67,54)),IF(INDEX(properties!A$1:CB$87,'Fórmula'!D67,54)=0,10^6,INDEX(properties!A$1:CB$87,'Fórmula'!D67,54)),IF(INDEX(properties!A$1:CB$87,'Fórmula'!F67,54)=0,10^6,INDEX(properties!A$1:CB$87,'Fórmula'!F67,54)),IF(INDEX(properties!A$1:CB$87,'Fórmula'!H67,54)=0,10^6,INDEX(properties!A$1:CB$87,'Fórmula'!H67,54)),IF(INDEX(properties!A$1:CB$87,'Fórmula'!J67,54)=0,10^6,INDEX(properties!A$1:CB$87,'Fórmula'!J67,54)))</f>
        <v>90.15</v>
      </c>
      <c r="FM67" s="117">
        <f t="shared" si="28"/>
        <v>4560</v>
      </c>
      <c r="FN67" s="118">
        <f t="array" ref="FN67">(('Fórmula'!C67)/('Fórmula'!C67+'Fórmula'!E67+'Fórmula'!G67+'Fórmula'!I67+'Fórmula'!K67))*(INDEX(properties!A$1:CB$87,'Fórmula'!B67,55))+(('Fórmula'!E67)/('Fórmula'!C67+'Fórmula'!E67+'Fórmula'!G67+'Fórmula'!I67+'Fórmula'!K67))*(INDEX(properties!A$1:CB$87,'Fórmula'!D67,55))+(('Fórmula'!G67)/('Fórmula'!C67+'Fórmula'!E67+'Fórmula'!G67+'Fórmula'!I67+'Fórmula'!K67))*(INDEX(properties!A$1:CB$87,'Fórmula'!F67,55))+(('Fórmula'!I67)/('Fórmula'!C67+'Fórmula'!E67+'Fórmula'!G67+'Fórmula'!I67+'Fórmula'!K67))*(INDEX(properties!A$1:CB$87,'Fórmula'!H67,55))+(('Fórmula'!K67)/('Fórmula'!C67+'Fórmula'!E67+'Fórmula'!G67+'Fórmula'!I67+'Fórmula'!K67))*(INDEX(properties!A$1:CB$87,'Fórmula'!J67,55))</f>
        <v>2.62091</v>
      </c>
      <c r="FO67" s="118">
        <f t="array" ref="FO67">'Fórmula'!C67*(INDEX(properties!A$1:CB$87,'Fórmula'!B67,55))+'Fórmula'!E67*(INDEX(properties!A$1:CB$87,'Fórmula'!D67,54))+'Fórmula'!G67*(INDEX(properties!A$1:CB$87,'Fórmula'!F67,55))+'Fórmula'!I67*(INDEX(properties!A$1:CB$87,'Fórmula'!H67,55))+'Fórmula'!K67*(INDEX(properties!A$1:CB$87,'Fórmula'!J67,55))</f>
        <v>9316.11001</v>
      </c>
      <c r="FP67" s="118">
        <f t="array" ref="FP67">VARP(IF(INDEX(properties!A$1:CB$87,'Fórmula'!B67,55)&lt;&gt;"",INDEX(properties!A$1:CB$87,'Fórmula'!B67,55)),IF(INDEX(properties!A$1:CB$87,'Fórmula'!D67,55)&lt;&gt;"",INDEX(properties!A$1:CB$87,'Fórmula'!D67,55)),IF(INDEX(properties!A$1:CB$87,'Fórmula'!F67,55)&lt;&gt;"",INDEX(properties!A$1:CB$87,'Fórmula'!F67,55)),IF(INDEX(properties!A$1:CB$87,'Fórmula'!H67,55)&lt;&gt;"",INDEX(properties!A$1:CB$87,'Fórmula'!H67,55)),IF(INDEX(properties!A$1:CB$87,'Fórmula'!J67,55)&lt;&gt;"",INDEX(properties!A$1:CB$87,'Fórmula'!J67,55)))</f>
        <v>12.65044782</v>
      </c>
      <c r="FQ67" s="118">
        <f t="array" ref="FQ67">MAX(INDEX(properties!A$1:CB$87,'Fórmula'!B67,55),INDEX(properties!A$1:CB$87,'Fórmula'!D67,55),INDEX(properties!A$1:CB$87,'Fórmula'!F67,55),INDEX(properties!A$1:CB$87,'Fórmula'!H67,55),INDEX(properties!A$1:CB$87,'Fórmula'!J67,55))</f>
        <v>7.9</v>
      </c>
      <c r="FR67" s="118">
        <f t="array" ref="FR67">MIN(IF(INDEX(properties!A$1:CB$87,'Fórmula'!B67,55)=0,10^6,INDEX(properties!A$1:CB$87,'Fórmula'!B67,55)),IF(INDEX(properties!A$1:CB$87,'Fórmula'!D67,55)=0,10^6,INDEX(properties!A$1:CB$87,'Fórmula'!D67,55)),IF(INDEX(properties!A$1:CB$87,'Fórmula'!F67,55)=0,10^6,INDEX(properties!A$1:CB$87,'Fórmula'!F67,55)),IF(INDEX(properties!A$1:CB$87,'Fórmula'!H67,55)=0,10^6,INDEX(properties!A$1:CB$87,'Fórmula'!H67,55)),IF(INDEX(properties!A$1:CB$87,'Fórmula'!J67,55)=0,10^6,INDEX(properties!A$1:CB$87,'Fórmula'!J67,55)))</f>
        <v>0.00143</v>
      </c>
      <c r="FS67" s="118">
        <f t="shared" si="29"/>
        <v>7.89857</v>
      </c>
      <c r="FT67" s="119">
        <f t="array" ref="FT67">(('Fórmula'!C67)/('Fórmula'!C67+'Fórmula'!E67+'Fórmula'!G67+'Fórmula'!I67+'Fórmula'!K67))*(INDEX(properties!A$1:CB$87,'Fórmula'!B67,56))+(('Fórmula'!E67)/('Fórmula'!C67+'Fórmula'!E67+'Fórmula'!G67+'Fórmula'!I67+'Fórmula'!K67))*(INDEX(properties!A$1:CB$87,'Fórmula'!D67,56))+(('Fórmula'!G67)/('Fórmula'!C67+'Fórmula'!E67+'Fórmula'!G67+'Fórmula'!I67+'Fórmula'!K67))*(INDEX(properties!A$1:CB$87,'Fórmula'!F67,56))+(('Fórmula'!I67)/('Fórmula'!C67+'Fórmula'!E67+'Fórmula'!G67+'Fórmula'!I67+'Fórmula'!K67))*(INDEX(properties!A$1:CB$87,'Fórmula'!H67,56))+(('Fórmula'!K67)/('Fórmula'!C67+'Fórmula'!E67+'Fórmula'!G67+'Fórmula'!I67+'Fórmula'!K67))*(INDEX(properties!A$1:CB$87,'Fórmula'!J67,56))</f>
        <v>0.6763636364</v>
      </c>
      <c r="FU67" s="119">
        <f t="array" ref="FU67">'Fórmula'!C67*(INDEX(properties!A$1:CB$87,'Fórmula'!B67,56))+'Fórmula'!E67*(INDEX(properties!A$1:CB$87,'Fórmula'!D67,56))+'Fórmula'!G67*(INDEX(properties!A$1:CB$87,'Fórmula'!F67,56))+'Fórmula'!I67*(INDEX(properties!A$1:CB$87,'Fórmula'!H67,56))+'Fórmula'!K67*(INDEX(properties!A$1:CB$87,'Fórmula'!J67,56))</f>
        <v>7.44</v>
      </c>
      <c r="FV67" s="119">
        <f t="array" ref="FV67">VARP(IF(INDEX(properties!A$1:CB$87,'Fórmula'!B67,56)&lt;&gt;"",INDEX(properties!A$1:CB$87,'Fórmula'!B67,56)),IF(INDEX(properties!A$1:CB$87,'Fórmula'!D67,56)&lt;&gt;"",INDEX(properties!A$1:CB$87,'Fórmula'!D67,56)),IF(INDEX(properties!A$1:CB$87,'Fórmula'!F67,56)&lt;&gt;"",INDEX(properties!A$1:CB$87,'Fórmula'!F67,56)),IF(INDEX(properties!A$1:CB$87,'Fórmula'!H67,56)&lt;&gt;"",INDEX(properties!A$1:CB$87,'Fórmula'!H67,56)),IF(INDEX(properties!A$1:CB$87,'Fórmula'!J67,56)&lt;&gt;"",INDEX(properties!A$1:CB$87,'Fórmula'!J67,56)))</f>
        <v>0.113784</v>
      </c>
      <c r="FW67" s="119">
        <f t="array" ref="FW67">MAX(INDEX(properties!A$1:CB$87,'Fórmula'!B67,56),INDEX(properties!A$1:CB$87,'Fórmula'!D67,56),INDEX(properties!A$1:CB$87,'Fórmula'!F67,56),INDEX(properties!A$1:CB$87,'Fórmula'!H67,56),INDEX(properties!A$1:CB$87,'Fórmula'!J67,56))</f>
        <v>0.92</v>
      </c>
      <c r="FX67" s="119">
        <f t="array" ref="FX67">MIN(IF(INDEX(properties!A$1:CB$87,'Fórmula'!B67,56)=0,10^6,INDEX(properties!A$1:CB$87,'Fórmula'!B67,56)),IF(INDEX(properties!A$1:CB$87,'Fórmula'!D67,56)=0,10^6,INDEX(properties!A$1:CB$87,'Fórmula'!D67,56)),IF(INDEX(properties!A$1:CB$87,'Fórmula'!F67,56)=0,10^6,INDEX(properties!A$1:CB$87,'Fórmula'!F67,56)),IF(INDEX(properties!A$1:CB$87,'Fórmula'!H67,56)=0,10^6,INDEX(properties!A$1:CB$87,'Fórmula'!H67,56)),IF(INDEX(properties!A$1:CB$87,'Fórmula'!J67,56)=0,10^6,INDEX(properties!A$1:CB$87,'Fórmula'!J67,56)))</f>
        <v>0.23</v>
      </c>
      <c r="FY67" s="119">
        <f t="shared" si="30"/>
        <v>0.69</v>
      </c>
      <c r="FZ67" s="104">
        <f t="array" ref="FZ67">(('Fórmula'!C67)/('Fórmula'!C67+'Fórmula'!E67+'Fórmula'!G67+'Fórmula'!I67+'Fórmula'!K67))*(INDEX(properties!A$1:CB$87,'Fórmula'!B67,57))+(('Fórmula'!E67)/('Fórmula'!C67+'Fórmula'!E67+'Fórmula'!G67+'Fórmula'!I67+'Fórmula'!K67))*(INDEX(properties!A$1:CB$87,'Fórmula'!D67,57))+(('Fórmula'!G67)/('Fórmula'!C67+'Fórmula'!E67+'Fórmula'!G67+'Fórmula'!I67+'Fórmula'!K67))*(INDEX(properties!A$1:CB$87,'Fórmula'!F67,57))+(('Fórmula'!I67)/('Fórmula'!C67+'Fórmula'!E67+'Fórmula'!G67+'Fórmula'!I67+'Fórmula'!K67))*(INDEX(properties!A$1:CB$87,'Fórmula'!H67,57))+(('Fórmula'!K67)/('Fórmula'!C67+'Fórmula'!E67+'Fórmula'!G67+'Fórmula'!I67+'Fórmula'!K67))*(INDEX(properties!A$1:CB$87,'Fórmula'!J67,57))</f>
        <v>5.041648182</v>
      </c>
      <c r="GA67" s="104">
        <f t="array" ref="GA67">'Fórmula'!C67*(INDEX(properties!A$1:CB$87,'Fórmula'!B67,57))+'Fórmula'!E67*(INDEX(properties!A$1:CB$87,'Fórmula'!D67,57))+'Fórmula'!G67*(INDEX(properties!A$1:CB$87,'Fórmula'!F67,57))+'Fórmula'!I67*(INDEX(properties!A$1:CB$87,'Fórmula'!H67,57))+'Fórmula'!K67*(INDEX(properties!A$1:CB$87,'Fórmula'!J67,57))</f>
        <v>55.45813</v>
      </c>
      <c r="GB67" s="104">
        <f t="array" ref="GB67">VARP(IF(INDEX(properties!A$1:CB$87,'Fórmula'!B67,57)&lt;&gt;"",INDEX(properties!A$1:CB$87,'Fórmula'!B67,57)),IF(INDEX(properties!A$1:CB$87,'Fórmula'!D67,57)&lt;&gt;"",INDEX(properties!A$1:CB$87,'Fórmula'!D67,57)),IF(INDEX(properties!A$1:CB$87,'Fórmula'!F67,57)&lt;&gt;"",INDEX(properties!A$1:CB$87,'Fórmula'!F67,57)),IF(INDEX(properties!A$1:CB$87,'Fórmula'!H67,57)&lt;&gt;"",INDEX(properties!A$1:CB$87,'Fórmula'!H67,57)),IF(INDEX(properties!A$1:CB$87,'Fórmula'!J67,57)&lt;&gt;"",INDEX(properties!A$1:CB$87,'Fórmula'!J67,57)))</f>
        <v>47.79842337</v>
      </c>
      <c r="GC67" s="104">
        <f t="array" ref="GC67">MAX(INDEX(properties!A$1:CB$87,'Fórmula'!B67,57),INDEX(properties!A$1:CB$87,'Fórmula'!D67,57),INDEX(properties!A$1:CB$87,'Fórmula'!F67,57),INDEX(properties!A$1:CB$87,'Fórmula'!H67,57),INDEX(properties!A$1:CB$87,'Fórmula'!J67,57))</f>
        <v>16.9</v>
      </c>
      <c r="GD67" s="104">
        <f t="array" ref="GD67">MIN(IF(INDEX(properties!A$1:CB$87,'Fórmula'!B67,57)=0,10^6,INDEX(properties!A$1:CB$87,'Fórmula'!B67,57)),IF(INDEX(properties!A$1:CB$87,'Fórmula'!D67,57)=0,10^6,INDEX(properties!A$1:CB$87,'Fórmula'!D67,57)),IF(INDEX(properties!A$1:CB$87,'Fórmula'!F67,57)=0,10^6,INDEX(properties!A$1:CB$87,'Fórmula'!F67,57)),IF(INDEX(properties!A$1:CB$87,'Fórmula'!H67,57)=0,10^6,INDEX(properties!A$1:CB$87,'Fórmula'!H67,57)),IF(INDEX(properties!A$1:CB$87,'Fórmula'!J67,57)=0,10^6,INDEX(properties!A$1:CB$87,'Fórmula'!J67,57)))</f>
        <v>0.22259</v>
      </c>
      <c r="GE67" s="104">
        <f t="shared" si="31"/>
        <v>16.67741</v>
      </c>
      <c r="GF67" s="105">
        <f t="array" ref="GF67">(('Fórmula'!C67)/('Fórmula'!C67+'Fórmula'!E67+'Fórmula'!G67+'Fórmula'!I67+'Fórmula'!K67))*(INDEX(properties!A$1:CB$87,'Fórmula'!B67,60))+(('Fórmula'!E67)/('Fórmula'!C67+'Fórmula'!E67+'Fórmula'!G67+'Fórmula'!I67+'Fórmula'!K67))*(INDEX(properties!A$1:CB$87,'Fórmula'!D67,60))+(('Fórmula'!G67)/('Fórmula'!C67+'Fórmula'!E67+'Fórmula'!G67+'Fórmula'!I67+'Fórmula'!K67))*(INDEX(properties!A$1:CB$87,'Fórmula'!F67,60))+(('Fórmula'!I67)/('Fórmula'!C67+'Fórmula'!E67+'Fórmula'!G67+'Fórmula'!I67+'Fórmula'!K67))*(INDEX(properties!A$1:CB$87,'Fórmula'!H67,60))+(('Fórmula'!K67)/('Fórmula'!C67+'Fórmula'!E67+'Fórmula'!G67+'Fórmula'!I67+'Fórmula'!K67))*(INDEX(properties!A$1:CB$87,'Fórmula'!J67,60))</f>
        <v>6.071561818</v>
      </c>
      <c r="GG67" s="105">
        <f t="array" ref="GG67">'Fórmula'!C67*(INDEX(properties!A$1:CB$87,'Fórmula'!B67,60))+'Fórmula'!E67*(INDEX(properties!A$1:CB$87,'Fórmula'!D67,60))+'Fórmula'!G67*(INDEX(properties!A$1:CB$87,'Fórmula'!F67,60))+'Fórmula'!I67*(INDEX(properties!A$1:CB$87,'Fórmula'!H67,60))+'Fórmula'!K67*(INDEX(properties!A$1:CB$87,'Fórmula'!J67,60))</f>
        <v>66.78718</v>
      </c>
      <c r="GH67" s="105">
        <f t="array" ref="GH67">VARP(IF(INDEX(properties!A$1:CB$87,'Fórmula'!B67,60)&lt;&gt;"",INDEX(properties!A$1:CB$87,'Fórmula'!B67,60)),IF(INDEX(properties!A$1:CB$87,'Fórmula'!D67,60)&lt;&gt;"",INDEX(properties!A$1:CB$87,'Fórmula'!D67,60)),IF(INDEX(properties!A$1:CB$87,'Fórmula'!F67,60)&lt;&gt;"",INDEX(properties!A$1:CB$87,'Fórmula'!F67,60)),IF(INDEX(properties!A$1:CB$87,'Fórmula'!H67,60)&lt;&gt;"",INDEX(properties!A$1:CB$87,'Fórmula'!H67,60)),IF(INDEX(properties!A$1:CB$87,'Fórmula'!J67,60)&lt;&gt;"",INDEX(properties!A$1:CB$87,'Fórmula'!J67,60)))</f>
        <v>81.10327904</v>
      </c>
      <c r="GI67" s="105">
        <f t="array" ref="GI67">MAX(INDEX(properties!A$1:CB$87,'Fórmula'!B67,60),INDEX(properties!A$1:CB$87,'Fórmula'!D67,60),INDEX(properties!A$1:CB$87,'Fórmula'!F67,60),INDEX(properties!A$1:CB$87,'Fórmula'!H67,60),INDEX(properties!A$1:CB$87,'Fórmula'!J67,60))</f>
        <v>22.7</v>
      </c>
      <c r="GJ67" s="105">
        <f t="array" ref="GJ67">MIN(IF(INDEX(properties!A$1:CB$87,'Fórmula'!B67,60)=0,10^6,INDEX(properties!A$1:CB$87,'Fórmula'!B67,60)),IF(INDEX(properties!A$1:CB$87,'Fórmula'!D67,60)=0,10^6,INDEX(properties!A$1:CB$87,'Fórmula'!D67,60)),IF(INDEX(properties!A$1:CB$87,'Fórmula'!F67,60)=0,10^6,INDEX(properties!A$1:CB$87,'Fórmula'!F67,60)),IF(INDEX(properties!A$1:CB$87,'Fórmula'!H67,60)=0,10^6,INDEX(properties!A$1:CB$87,'Fórmula'!H67,60)),IF(INDEX(properties!A$1:CB$87,'Fórmula'!J67,60)=0,10^6,INDEX(properties!A$1:CB$87,'Fórmula'!J67,60)))</f>
        <v>0.02674</v>
      </c>
      <c r="GK67" s="105">
        <f t="shared" si="32"/>
        <v>22.67326</v>
      </c>
      <c r="GL67" s="106">
        <f t="array" ref="GL67">(('Fórmula'!C67)/('Fórmula'!C67+'Fórmula'!E67+'Fórmula'!G67+'Fórmula'!I67+'Fórmula'!K67))*(INDEX(properties!A$1:CB$87,'Fórmula'!B67,62))+(('Fórmula'!E67)/('Fórmula'!C67+'Fórmula'!E67+'Fórmula'!G67+'Fórmula'!I67+'Fórmula'!K67))*(INDEX(properties!A$1:CB$87,'Fórmula'!D67,62))+(('Fórmula'!G67)/('Fórmula'!C67+'Fórmula'!E67+'Fórmula'!G67+'Fórmula'!I67+'Fórmula'!K67))*(INDEX(properties!A$1:CB$87,'Fórmula'!F67,62))+(('Fórmula'!I67)/('Fórmula'!C67+'Fórmula'!E67+'Fórmula'!G67+'Fórmula'!I67+'Fórmula'!K67))*(INDEX(properties!A$1:CB$87,'Fórmula'!H67,62))+(('Fórmula'!K67)/('Fórmula'!C67+'Fórmula'!E67+'Fórmula'!G67+'Fórmula'!I67+'Fórmula'!K67))*(INDEX(properties!A$1:CB$87,'Fórmula'!J67,62))</f>
        <v>3.556363636</v>
      </c>
      <c r="GM67" s="106">
        <f t="array" ref="GM67">'Fórmula'!C67*(INDEX(properties!A$1:CB$87,'Fórmula'!B67,62))+'Fórmula'!E67*(INDEX(properties!A$1:CB$87,'Fórmula'!D67,62))+'Fórmula'!G67*(INDEX(properties!A$1:CB$87,'Fórmula'!F67,62))+'Fórmula'!I67*(INDEX(properties!A$1:CB$87,'Fórmula'!H67,62))+'Fórmula'!K67*(INDEX(properties!A$1:CB$87,'Fórmula'!J67,62))</f>
        <v>39.12</v>
      </c>
      <c r="GN67" s="106">
        <f t="array" ref="GN67">VARP(IF(INDEX(properties!A$1:CB$87,'Fórmula'!B67,62)&lt;&gt;"",INDEX(properties!A$1:CB$87,'Fórmula'!B67,62)),IF(INDEX(properties!A$1:CB$87,'Fórmula'!D67,62)&lt;&gt;"",INDEX(properties!A$1:CB$87,'Fórmula'!D67,62)),IF(INDEX(properties!A$1:CB$87,'Fórmula'!F67,62)&lt;&gt;"",INDEX(properties!A$1:CB$87,'Fórmula'!F67,62)),IF(INDEX(properties!A$1:CB$87,'Fórmula'!H67,62)&lt;&gt;"",INDEX(properties!A$1:CB$87,'Fórmula'!H67,62)),IF(INDEX(properties!A$1:CB$87,'Fórmula'!J67,62)&lt;&gt;"",INDEX(properties!A$1:CB$87,'Fórmula'!J67,62)))</f>
        <v>5.842896</v>
      </c>
      <c r="GO67" s="106">
        <f t="array" ref="GO67">MAX(INDEX(properties!A$1:CB$87,'Fórmula'!B67,62),INDEX(properties!A$1:CB$87,'Fórmula'!D67,62),INDEX(properties!A$1:CB$87,'Fórmula'!F67,62),INDEX(properties!A$1:CB$87,'Fórmula'!H67,62),INDEX(properties!A$1:CB$87,'Fórmula'!J67,62))</f>
        <v>6.25</v>
      </c>
      <c r="GP67" s="106">
        <f t="array" ref="GP67">MIN(IF(INDEX(properties!A$1:CB$87,'Fórmula'!B67,62)=0,10^6,INDEX(properties!A$1:CB$87,'Fórmula'!B67,62)),IF(INDEX(properties!A$1:CB$87,'Fórmula'!D67,62)=0,10^6,INDEX(properties!A$1:CB$87,'Fórmula'!D67,62)),IF(INDEX(properties!A$1:CB$87,'Fórmula'!F67,62)=0,10^6,INDEX(properties!A$1:CB$87,'Fórmula'!F67,62)),IF(INDEX(properties!A$1:CB$87,'Fórmula'!H67,62)=0,10^6,INDEX(properties!A$1:CB$87,'Fórmula'!H67,62)),IF(INDEX(properties!A$1:CB$87,'Fórmula'!J67,62)=0,10^6,INDEX(properties!A$1:CB$87,'Fórmula'!J67,62)))</f>
        <v>2.62</v>
      </c>
      <c r="GQ67" s="106">
        <f t="shared" si="33"/>
        <v>3.63</v>
      </c>
      <c r="GR67" s="106">
        <f>'Fórmula'!Q67</f>
        <v>225</v>
      </c>
      <c r="GS67" s="107">
        <f>'Fórmula'!P67</f>
        <v>1</v>
      </c>
      <c r="GT67" s="113">
        <f>'Fórmula'!O67</f>
        <v>6.92</v>
      </c>
      <c r="GU67" s="114">
        <f>AVERAGE('Fórmula'!R67/'Fórmula'!S67,'Fórmula'!S67/'Fórmula'!T67,'Fórmula'!T67/'Fórmula'!R67)</f>
        <v>1</v>
      </c>
      <c r="GV67" s="125">
        <f>'Fórmula'!U67</f>
        <v>146.21</v>
      </c>
      <c r="GW67" s="106">
        <f>'Fórmula'!N67</f>
        <v>0.05</v>
      </c>
    </row>
    <row r="68" ht="14.25" customHeight="1">
      <c r="A68" s="99" t="str">
        <f>'Fórmula'!A68</f>
        <v>Ba2SiO4</v>
      </c>
      <c r="B68" s="101">
        <f t="array" ref="B68">(('Fórmula'!C68)/('Fórmula'!C68+'Fórmula'!E68+'Fórmula'!G68+'Fórmula'!I68+'Fórmula'!K68))*(INDEX(properties!A$1:CB$87,'Fórmula'!B68,3))+(('Fórmula'!E68)/('Fórmula'!C68+'Fórmula'!E68+'Fórmula'!G68+'Fórmula'!I68+'Fórmula'!K68))*(INDEX(properties!A$1:CB$87,'Fórmula'!D68,3))+(('Fórmula'!G68)/('Fórmula'!C68+'Fórmula'!E68+'Fórmula'!G68+'Fórmula'!I68+'Fórmula'!K68))*(INDEX(properties!A$1:CB$87,'Fórmula'!F68,3))+(('Fórmula'!I68)/('Fórmula'!C68+'Fórmula'!E68+'Fórmula'!G68+'Fórmula'!I68+'Fórmula'!K68))*(INDEX(properties!A$1:CB$87,'Fórmula'!H68,3))+(('Fórmula'!K68)/('Fórmula'!C68+'Fórmula'!E68+'Fórmula'!G68+'Fórmula'!I68+'Fórmula'!K68))*(INDEX(properties!A$1:CB$87,'Fórmula'!J68,3))</f>
        <v>52.39101429</v>
      </c>
      <c r="C68" s="101">
        <f t="array" ref="C68">'Fórmula'!C68*(INDEX(properties!A$1:CB$87,'Fórmula'!B68,3))+'Fórmula'!E68*(INDEX(properties!A$1:CB$87,'Fórmula'!D68,3))+'Fórmula'!G68*(INDEX(properties!A$1:CB$87,'Fórmula'!F68,3))+'Fórmula'!I68*(INDEX(properties!A$1:CB$87,'Fórmula'!H68,3))+'Fórmula'!K68*(INDEX(properties!A$1:CB$87,'Fórmula'!J68,3))</f>
        <v>366.7371</v>
      </c>
      <c r="D68" s="101">
        <f t="array" ref="D68">VARP(IF(INDEX(properties!A$1:CB$87,'Fórmula'!B68,3)&lt;&gt;"",INDEX(properties!A$1:CB$87,'Fórmula'!B68,3)),IF(INDEX(properties!A$1:CB$87,'Fórmula'!D68,3)&lt;&gt;"",INDEX(properties!A$1:CB$87,'Fórmula'!D68,3)),IF(INDEX(properties!A$1:CB$87,'Fórmula'!F68,3)&lt;&gt;"",INDEX(properties!A$1:CB$87,'Fórmula'!F68,3)),IF(INDEX(properties!A$1:CB$87,'Fórmula'!H68,3)&lt;&gt;"",INDEX(properties!A$1:CB$87,'Fórmula'!H68,3)),IF(INDEX(properties!A$1:CB$87,'Fórmula'!J68,3)&lt;&gt;"",INDEX(properties!A$1:CB$87,'Fórmula'!J68,3)))</f>
        <v>2664.285109</v>
      </c>
      <c r="E68" s="101">
        <f t="array" ref="E68">MAX(INDEX(properties!A$1:CB$87,'Fórmula'!B68,3),INDEX(properties!A$1:CB$87,'Fórmula'!D68,3),INDEX(properties!A$1:CB$87,'Fórmula'!F68,3),INDEX(properties!A$1:CB$87,'Fórmula'!H68,3),INDEX(properties!A$1:CB$87,'Fórmula'!J68,3))</f>
        <v>137.327</v>
      </c>
      <c r="F68" s="101">
        <f t="array" ref="F68">MIN(IF(INDEX(properties!A$1:CB$87,'Fórmula'!B68,3)=0,10^6,INDEX(properties!A$1:CB$87,'Fórmula'!B68,3)),IF(INDEX(properties!A$1:CB$87,'Fórmula'!D68,3)=0,10^6,INDEX(properties!A$1:CB$87,'Fórmula'!D68,3)),IF(INDEX(properties!A$1:CB$87,'Fórmula'!F68,3)=0,10^6,INDEX(properties!A$1:CB$87,'Fórmula'!F68,3)),IF(INDEX(properties!A$1:CB$87,'Fórmula'!H68,3)=0,10^6,INDEX(properties!A$1:CB$87,'Fórmula'!H68,3)),IF(INDEX(properties!A$1:CB$87,'Fórmula'!J68,3)=0,10^6,INDEX(properties!A$1:CB$87,'Fórmula'!J68,3)))</f>
        <v>15.9994</v>
      </c>
      <c r="G68" s="101">
        <f t="shared" si="1"/>
        <v>121.3276</v>
      </c>
      <c r="H68" s="102">
        <f t="array" ref="H68">(('Fórmula'!C68)/('Fórmula'!C68+'Fórmula'!E68+'Fórmula'!G68+'Fórmula'!I68+'Fórmula'!K68))*(INDEX(properties!A$1:CB$87,'Fórmula'!B68,4))+(('Fórmula'!E68)/('Fórmula'!C68+'Fórmula'!E68+'Fórmula'!G68+'Fórmula'!I68+'Fórmula'!K68))*(INDEX(properties!A$1:CB$87,'Fórmula'!D68,4))+(('Fórmula'!G68)/('Fórmula'!C68+'Fórmula'!E68+'Fórmula'!G68+'Fórmula'!I68+'Fórmula'!K68))*(INDEX(properties!A$1:CB$87,'Fórmula'!F68,4))+(('Fórmula'!I68)/('Fórmula'!C68+'Fórmula'!E68+'Fórmula'!G68+'Fórmula'!I68+'Fórmula'!K68))*(INDEX(properties!A$1:CB$87,'Fórmula'!H68,4))+(('Fórmula'!K68)/('Fórmula'!C68+'Fórmula'!E68+'Fórmula'!G68+'Fórmula'!I68+'Fórmula'!K68))*(INDEX(properties!A$1:CB$87,'Fórmula'!J68,4))</f>
        <v>22.57142857</v>
      </c>
      <c r="I68" s="102">
        <f t="array" ref="I68">'Fórmula'!C68*(INDEX(properties!A$1:CB$87,'Fórmula'!B68,4))+'Fórmula'!E68*(INDEX(properties!A$1:CB$87,'Fórmula'!D68,4))+'Fórmula'!G68*(INDEX(properties!A$1:CB$87,'Fórmula'!F68,4))+'Fórmula'!I68*(INDEX(properties!A$1:CB$87,'Fórmula'!H68,4))+'Fórmula'!K68*(INDEX(properties!A$1:CB$87,'Fórmula'!J68,4))</f>
        <v>158</v>
      </c>
      <c r="J68" s="102">
        <f t="array" ref="J68">VARP(IF(INDEX(properties!A$1:CB$87,'Fórmula'!B68,4)&lt;&gt;"",INDEX(properties!A$1:CB$87,'Fórmula'!B68,4)),IF(INDEX(properties!A$1:CB$87,'Fórmula'!D68,4)&lt;&gt;"",INDEX(properties!A$1:CB$87,'Fórmula'!D68,4)),IF(INDEX(properties!A$1:CB$87,'Fórmula'!F68,4)&lt;&gt;"",INDEX(properties!A$1:CB$87,'Fórmula'!F68,4)),IF(INDEX(properties!A$1:CB$87,'Fórmula'!H68,4)&lt;&gt;"",INDEX(properties!A$1:CB$87,'Fórmula'!H68,4)),IF(INDEX(properties!A$1:CB$87,'Fórmula'!J68,4)&lt;&gt;"",INDEX(properties!A$1:CB$87,'Fórmula'!J68,4)))</f>
        <v>435.84</v>
      </c>
      <c r="K68" s="102">
        <f t="array" ref="K68">MAX(INDEX(properties!A$1:CB$87,'Fórmula'!B68,4),INDEX(properties!A$1:CB$87,'Fórmula'!D68,4),INDEX(properties!A$1:CB$87,'Fórmula'!F68,4),INDEX(properties!A$1:CB$87,'Fórmula'!H68,4),INDEX(properties!A$1:CB$87,'Fórmula'!J68,4))</f>
        <v>56</v>
      </c>
      <c r="L68" s="102">
        <f t="array" ref="L68">MIN(IF(INDEX(properties!A$1:CB$87,'Fórmula'!B68,4)=0,10^6,INDEX(properties!A$1:CB$87,'Fórmula'!B68,4)),IF(INDEX(properties!A$1:CB$87,'Fórmula'!D68,4)=0,10^6,INDEX(properties!A$1:CB$87,'Fórmula'!D68,4)),IF(INDEX(properties!A$1:CB$87,'Fórmula'!F68,4)=0,10^6,INDEX(properties!A$1:CB$87,'Fórmula'!F68,4)),IF(INDEX(properties!A$1:CB$87,'Fórmula'!H68,4)=0,10^6,INDEX(properties!A$1:CB$87,'Fórmula'!H68,4)),IF(INDEX(properties!A$1:CB$87,'Fórmula'!J68,4)=0,10^6,INDEX(properties!A$1:CB$87,'Fórmula'!J68,4)))</f>
        <v>8</v>
      </c>
      <c r="M68" s="102">
        <f t="shared" si="2"/>
        <v>48</v>
      </c>
      <c r="N68" s="103">
        <f t="array" ref="N68">(('Fórmula'!C68)/('Fórmula'!C68+'Fórmula'!E68+'Fórmula'!G68+'Fórmula'!I68+'Fórmula'!K68))*(INDEX(properties!A$1:CB$87,'Fórmula'!B68,5))+(('Fórmula'!E68)/('Fórmula'!C68+'Fórmula'!E68+'Fórmula'!G68+'Fórmula'!I68+'Fórmula'!K68))*(INDEX(properties!A$1:CB$87,'Fórmula'!D68,5))+(('Fórmula'!G68)/('Fórmula'!C68+'Fórmula'!E68+'Fórmula'!G68+'Fórmula'!I68+'Fórmula'!K68))*(INDEX(properties!A$1:CB$87,'Fórmula'!F68,5))+(('Fórmula'!I68)/('Fórmula'!C68+'Fórmula'!E68+'Fórmula'!G68+'Fórmula'!I68+'Fórmula'!K68))*(INDEX(properties!A$1:CB$87,'Fórmula'!H68,5))+(('Fórmula'!K68)/('Fórmula'!C68+'Fórmula'!E68+'Fórmula'!G68+'Fórmula'!I68+'Fórmula'!K68))*(INDEX(properties!A$1:CB$87,'Fórmula'!J68,5))</f>
        <v>3.285714286</v>
      </c>
      <c r="O68" s="103">
        <f t="array" ref="O68">'Fórmula'!C68*(INDEX(properties!A$1:CB$87,'Fórmula'!B68,5))+'Fórmula'!E68*(INDEX(properties!A$1:CB$87,'Fórmula'!D68,5))+'Fórmula'!G68*(INDEX(properties!A$1:CB$87,'Fórmula'!F68,5))+'Fórmula'!I68*(INDEX(properties!A$1:CB$87,'Fórmula'!H68,5))+'Fórmula'!K68*(INDEX(properties!A$1:CB$87,'Fórmula'!J68,5))</f>
        <v>23</v>
      </c>
      <c r="P68" s="103">
        <f t="array" ref="P68">VARP(IF(INDEX(properties!A$1:CB$87,'Fórmula'!B68,5)&lt;&gt;"",INDEX(properties!A$1:CB$87,'Fórmula'!B68,5)),IF(INDEX(properties!A$1:CB$87,'Fórmula'!D68,5)&lt;&gt;"",INDEX(properties!A$1:CB$87,'Fórmula'!D68,5)),IF(INDEX(properties!A$1:CB$87,'Fórmula'!F68,5)&lt;&gt;"",INDEX(properties!A$1:CB$87,'Fórmula'!F68,5)),IF(INDEX(properties!A$1:CB$87,'Fórmula'!H68,5)&lt;&gt;"",INDEX(properties!A$1:CB$87,'Fórmula'!H68,5)),IF(INDEX(properties!A$1:CB$87,'Fórmula'!J68,5)&lt;&gt;"",INDEX(properties!A$1:CB$87,'Fórmula'!J68,5)))</f>
        <v>4.96</v>
      </c>
      <c r="Q68" s="103">
        <f t="array" ref="Q68">MAX(INDEX(properties!A$1:CB$87,'Fórmula'!B68,5),INDEX(properties!A$1:CB$87,'Fórmula'!D68,5),INDEX(properties!A$1:CB$87,'Fórmula'!F68,5),INDEX(properties!A$1:CB$87,'Fórmula'!H68,5),INDEX(properties!A$1:CB$87,'Fórmula'!J68,5))</f>
        <v>6</v>
      </c>
      <c r="R68" s="103">
        <f t="array" ref="R68">MIN(IF(INDEX(properties!A$1:CB$87,'Fórmula'!B68,5)=0,10^6,INDEX(properties!A$1:CB$87,'Fórmula'!B68,5)),IF(INDEX(properties!A$1:CB$87,'Fórmula'!D68,5)=0,10^6,INDEX(properties!A$1:CB$87,'Fórmula'!D68,5)),IF(INDEX(properties!A$1:CB$87,'Fórmula'!F68,5)=0,10^6,INDEX(properties!A$1:CB$87,'Fórmula'!F68,5)),IF(INDEX(properties!A$1:CB$87,'Fórmula'!H68,5)=0,10^6,INDEX(properties!A$1:CB$87,'Fórmula'!H68,5)),IF(INDEX(properties!A$1:CB$87,'Fórmula'!J68,5)=0,10^6,INDEX(properties!A$1:CB$87,'Fórmula'!J68,5)))</f>
        <v>2</v>
      </c>
      <c r="S68" s="103">
        <f t="shared" si="3"/>
        <v>4</v>
      </c>
      <c r="T68" s="104">
        <f t="array" ref="T68">(('Fórmula'!C68)/('Fórmula'!C68+'Fórmula'!E68+'Fórmula'!G68+'Fórmula'!I68+'Fórmula'!K68))*(INDEX(properties!A$1:CB$87,'Fórmula'!B68,6))+(('Fórmula'!E68)/('Fórmula'!C68+'Fórmula'!E68+'Fórmula'!G68+'Fórmula'!I68+'Fórmula'!K68))*(INDEX(properties!A$1:CB$87,'Fórmula'!D68,6))+(('Fórmula'!G68)/('Fórmula'!C68+'Fórmula'!E68+'Fórmula'!G68+'Fórmula'!I68+'Fórmula'!K68))*(INDEX(properties!A$1:CB$87,'Fórmula'!F68,6))+(('Fórmula'!I68)/('Fórmula'!C68+'Fórmula'!E68+'Fórmula'!G68+'Fórmula'!I68+'Fórmula'!K68))*(INDEX(properties!A$1:CB$87,'Fórmula'!H68,6))+(('Fórmula'!K68)/('Fórmula'!C68+'Fórmula'!E68+'Fórmula'!G68+'Fórmula'!I68+'Fórmula'!K68))*(INDEX(properties!A$1:CB$87,'Fórmula'!J68,6))</f>
        <v>11.71428571</v>
      </c>
      <c r="U68" s="104">
        <f t="array" ref="U68">'Fórmula'!C68*(INDEX(properties!A$1:CB$87,'Fórmula'!B68,6))+'Fórmula'!E68*(INDEX(properties!A$1:CB$87,'Fórmula'!D68,6))+'Fórmula'!G68*(INDEX(properties!A$1:CB$87,'Fórmula'!F68,6))+'Fórmula'!I68*(INDEX(properties!A$1:CB$87,'Fórmula'!H68,6))+'Fórmula'!K68*(INDEX(properties!A$1:CB$87,'Fórmula'!J68,6))</f>
        <v>82</v>
      </c>
      <c r="V68" s="103">
        <f t="array" ref="V68">VARP(IF(INDEX(properties!A$1:CB$87,'Fórmula'!B68,6)&lt;&gt;"",INDEX(properties!A$1:CB$87,'Fórmula'!B68,6)),IF(INDEX(properties!A$1:CB$87,'Fórmula'!D68,6)&lt;&gt;"",INDEX(properties!A$1:CB$87,'Fórmula'!D68,6)),IF(INDEX(properties!A$1:CB$87,'Fórmula'!F68,6)&lt;&gt;"",INDEX(properties!A$1:CB$87,'Fórmula'!F68,6)),IF(INDEX(properties!A$1:CB$87,'Fórmula'!H68,6)&lt;&gt;"",INDEX(properties!A$1:CB$87,'Fórmula'!H68,6)),IF(INDEX(properties!A$1:CB$87,'Fórmula'!J68,6)&lt;&gt;"",INDEX(properties!A$1:CB$87,'Fórmula'!J68,6)))</f>
        <v>50.24</v>
      </c>
      <c r="W68" s="104">
        <f t="array" ref="W68">MAX(INDEX(properties!A$1:CB$87,'Fórmula'!B68,6),INDEX(properties!A$1:CB$87,'Fórmula'!D68,6),INDEX(properties!A$1:CB$87,'Fórmula'!F68,6),INDEX(properties!A$1:CB$87,'Fórmula'!H68,4),INDEX(properties!A$1:CB$87,'Fórmula'!J68,6))</f>
        <v>16</v>
      </c>
      <c r="X68" s="104">
        <f t="array" ref="X68">MIN(IF(INDEX(properties!A$1:CB$87,'Fórmula'!B68,6)=0,10^6,INDEX(properties!A$1:CB$87,'Fórmula'!B68,6)),IF(INDEX(properties!A$1:CB$87,'Fórmula'!D68,6)=0,10^6,INDEX(properties!A$1:CB$87,'Fórmula'!D68,6)),IF(INDEX(properties!A$1:CB$87,'Fórmula'!F68,6)=0,10^6,INDEX(properties!A$1:CB$87,'Fórmula'!F68,6)),IF(INDEX(properties!A$1:CB$87,'Fórmula'!H68,6)=0,10^6,INDEX(properties!A$1:CB$87,'Fórmula'!H68,6)),IF(INDEX(properties!A$1:CB$87,'Fórmula'!J68,6)=0,10^6,INDEX(properties!A$1:CB$87,'Fórmula'!J68,6)))</f>
        <v>2</v>
      </c>
      <c r="Y68" s="104">
        <f t="shared" si="4"/>
        <v>14</v>
      </c>
      <c r="Z68" s="105">
        <f t="array" ref="Z68">(('Fórmula'!C68)/('Fórmula'!C68+'Fórmula'!E68+'Fórmula'!G68+'Fórmula'!I68+'Fórmula'!K68))*(INDEX(properties!A$1:CB$87,'Fórmula'!B68,9))+(('Fórmula'!E68)/('Fórmula'!C68+'Fórmula'!E68+'Fórmula'!G68+'Fórmula'!I68+'Fórmula'!K68))*(INDEX(properties!A$1:CB$87,'Fórmula'!D68,9))+(('Fórmula'!G68)/('Fórmula'!C68+'Fórmula'!E68+'Fórmula'!G68+'Fórmula'!I68+'Fórmula'!K68))*(INDEX(properties!A$1:CB$87,'Fórmula'!F68,9))+(('Fórmula'!I68)/('Fórmula'!C68+'Fórmula'!E68+'Fórmula'!G68+'Fórmula'!I68+'Fórmula'!K68))*(INDEX(properties!A$1:CB$87,'Fórmula'!H68,9))+(('Fórmula'!K68)/('Fórmula'!C68+'Fórmula'!E68+'Fórmula'!G68+'Fórmula'!I68+'Fórmula'!K68))*(INDEX(properties!A$1:CB$87,'Fórmula'!J68,9))</f>
        <v>63.42857143</v>
      </c>
      <c r="AA68" s="105">
        <f t="array" ref="AA68">'Fórmula'!C68*(INDEX(properties!A$1:CB$87,'Fórmula'!B68,9))+'Fórmula'!E68*(INDEX(properties!A$1:CB$87,'Fórmula'!D68,9))+'Fórmula'!G68*(INDEX(properties!A$1:CB$87,'Fórmula'!F68,9))+'Fórmula'!I68*(INDEX(properties!A$1:CB$87,'Fórmula'!H68,9))+'Fórmula'!K68*(INDEX(properties!A$1:CB$87,'Fórmula'!J68,9))</f>
        <v>444</v>
      </c>
      <c r="AB68" s="105">
        <f t="array" ref="AB68">VARP(IF(INDEX(properties!A$1:CB$87,'Fórmula'!B68,9)&lt;&gt;"",INDEX(properties!A$1:CB$87,'Fórmula'!B68,9)),IF(INDEX(properties!A$1:CB$87,'Fórmula'!D68,9)&lt;&gt;"",INDEX(properties!A$1:CB$87,'Fórmula'!D68,9)),IF(INDEX(properties!A$1:CB$87,'Fórmula'!F68,9)&lt;&gt;"",INDEX(properties!A$1:CB$87,'Fórmula'!F68,9)),IF(INDEX(properties!A$1:CB$87,'Fórmula'!H68,9)&lt;&gt;"",INDEX(properties!A$1:CB$87,'Fórmula'!H68,9)),IF(INDEX(properties!A$1:CB$87,'Fórmula'!J68,9)&lt;&gt;"",INDEX(properties!A$1:CB$87,'Fórmula'!J68,9)))</f>
        <v>1535.76</v>
      </c>
      <c r="AC68" s="105">
        <f t="array" ref="AC68">MAX(INDEX(properties!A$1:CB$87,'Fórmula'!B68,9),INDEX(properties!A$1:CB$87,'Fórmula'!D68,9),INDEX(properties!A$1:CB$87,'Fórmula'!F68,9),INDEX(properties!A$1:CB$87,'Fórmula'!H68,9),INDEX(properties!A$1:CB$87,'Fórmula'!J68,9))</f>
        <v>87</v>
      </c>
      <c r="AD68" s="105">
        <f t="array" ref="AD68">MIN(IF(INDEX(properties!A$1:CB$87,'Fórmula'!B68,9)=0,10^6,INDEX(properties!A$1:CB$87,'Fórmula'!B68,9)),IF(INDEX(properties!A$1:CB$87,'Fórmula'!D68,9)=0,10^6,INDEX(properties!A$1:CB$87,'Fórmula'!D68,9)),IF(INDEX(properties!A$1:CB$87,'Fórmula'!F68,9)=0,10^6,INDEX(properties!A$1:CB$87,'Fórmula'!F68,9)),IF(INDEX(properties!A$1:CB$87,'Fórmula'!H68,9)=0,10^6,INDEX(properties!A$1:CB$87,'Fórmula'!H68,9)),IF(INDEX(properties!A$1:CB$87,'Fórmula'!J68,9)=0,10^6,INDEX(properties!A$1:CB$87,'Fórmula'!J68,9)))</f>
        <v>9</v>
      </c>
      <c r="AE68" s="105">
        <f t="shared" si="5"/>
        <v>78</v>
      </c>
      <c r="AF68" s="106">
        <f t="array" ref="AF68">(('Fórmula'!C68)/('Fórmula'!C68+'Fórmula'!E68+'Fórmula'!G68+'Fórmula'!I68+'Fórmula'!K68))*(INDEX(properties!A$1:CB$87,'Fórmula'!B68,10))+(('Fórmula'!E68)/('Fórmula'!C68+'Fórmula'!E68+'Fórmula'!G68+'Fórmula'!I68+'Fórmula'!K68))*(INDEX(properties!A$1:CB$87,'Fórmula'!D68,10))+(('Fórmula'!G68)/('Fórmula'!C68+'Fórmula'!E68+'Fórmula'!G68+'Fórmula'!I68+'Fórmula'!K68))*(INDEX(properties!A$1:CB$87,'Fórmula'!F68,10))+(('Fórmula'!I68)/('Fórmula'!C68+'Fórmula'!E68+'Fórmula'!G68+'Fórmula'!I68+'Fórmula'!K68))*(INDEX(properties!A$1:CB$87,'Fórmula'!H68,10))+(('Fórmula'!K68)/('Fórmula'!C68+'Fórmula'!E68+'Fórmula'!G68+'Fórmula'!I68+'Fórmula'!K68))*(INDEX(properties!A$1:CB$87,'Fórmula'!J68,10))</f>
        <v>5.428571429</v>
      </c>
      <c r="AG68" s="106">
        <f t="array" ref="AG68">'Fórmula'!C68*(INDEX(properties!A$1:CB$87,'Fórmula'!B68,10))+'Fórmula'!E68*(INDEX(properties!A$1:CB$87,'Fórmula'!D68,10))+'Fórmula'!G68*(INDEX(properties!A$1:CB$87,'Fórmula'!F68,10))+'Fórmula'!I68*(INDEX(properties!A$1:CB$87,'Fórmula'!H68,10))+'Fórmula'!K68*(INDEX(properties!A$1:CB$87,'Fórmula'!J68,10))</f>
        <v>38</v>
      </c>
      <c r="AH68" s="106">
        <f t="array" ref="AH68">VARP(IF(INDEX(properties!A$1:CB$87,'Fórmula'!B68,10)&lt;&gt;"",INDEX(properties!A$1:CB$87,'Fórmula'!B68,10)),IF(INDEX(properties!A$1:CB$87,'Fórmula'!D68,10)&lt;&gt;"",INDEX(properties!A$1:CB$87,'Fórmula'!D68,10)),IF(INDEX(properties!A$1:CB$87,'Fórmula'!F68,10)&lt;&gt;"",INDEX(properties!A$1:CB$87,'Fórmula'!F68,10)),IF(INDEX(properties!A$1:CB$87,'Fórmula'!H68,10)&lt;&gt;"",INDEX(properties!A$1:CB$87,'Fórmula'!H68,10)),IF(INDEX(properties!A$1:CB$87,'Fórmula'!J68,10)&lt;&gt;"",INDEX(properties!A$1:CB$87,'Fórmula'!J68,10)))</f>
        <v>8.8</v>
      </c>
      <c r="AI68" s="106">
        <f t="array" ref="AI68">MAX(INDEX(properties!A$1:CB$87,'Fórmula'!B68,10),INDEX(properties!A$1:CB$87,'Fórmula'!D68,10),INDEX(properties!A$1:CB$87,'Fórmula'!F68,10),INDEX(properties!A$1:CB$87,'Fórmula'!H68,10),INDEX(properties!A$1:CB$87,'Fórmula'!J68,10))</f>
        <v>7</v>
      </c>
      <c r="AJ68" s="106">
        <f t="array" ref="AJ68">MIN(IF(INDEX(properties!A$1:CB$87,'Fórmula'!B68,10)=0,10^6,INDEX(properties!A$1:CB$87,'Fórmula'!B68,10)),IF(INDEX(properties!A$1:CB$87,'Fórmula'!D68,10)=0,10^6,INDEX(properties!A$1:CB$87,'Fórmula'!D68,10)),IF(INDEX(properties!A$1:CB$87,'Fórmula'!F68,10)=0,10^6,INDEX(properties!A$1:CB$87,'Fórmula'!F68,10)),IF(INDEX(properties!A$1:CB$87,'Fórmula'!H68,10)=0,10^6,INDEX(properties!A$1:CB$87,'Fórmula'!H68,10)),IF(INDEX(properties!A$1:CB$87,'Fórmula'!J68,10)=0,10^6,INDEX(properties!A$1:CB$87,'Fórmula'!J68,10)))</f>
        <v>2</v>
      </c>
      <c r="AK68" s="106">
        <f t="shared" si="6"/>
        <v>5</v>
      </c>
      <c r="AL68" s="107">
        <f t="array" ref="AL68">(('Fórmula'!C68)/('Fórmula'!C68+'Fórmula'!E68+'Fórmula'!G68+'Fórmula'!I68+'Fórmula'!K68))*(INDEX(properties!A$1:CB$87,'Fórmula'!B68,11))+(('Fórmula'!E68)/('Fórmula'!C68+'Fórmula'!E68+'Fórmula'!G68+'Fórmula'!I68+'Fórmula'!K68))*(INDEX(properties!A$1:CB$87,'Fórmula'!D68,11))+(('Fórmula'!G68)/('Fórmula'!C68+'Fórmula'!E68+'Fórmula'!G68+'Fórmula'!I68+'Fórmula'!K68))*(INDEX(properties!A$1:CB$87,'Fórmula'!F68,11))+(('Fórmula'!I68)/('Fórmula'!C68+'Fórmula'!E68+'Fórmula'!G68+'Fórmula'!I68+'Fórmula'!K68))*(INDEX(properties!A$1:CB$87,'Fórmula'!H68,11))+(('Fórmula'!K68)/('Fórmula'!C68+'Fórmula'!E68+'Fórmula'!G68+'Fórmula'!I68+'Fórmula'!K68))*(INDEX(properties!A$1:CB$87,'Fórmula'!J68,11))</f>
        <v>2</v>
      </c>
      <c r="AM68" s="107">
        <f t="array" ref="AM68">'Fórmula'!C68*(INDEX(properties!A$1:CB$87,'Fórmula'!B68,11))+'Fórmula'!E68*(INDEX(properties!A$1:CB$87,'Fórmula'!D68,11))+'Fórmula'!G68*(INDEX(properties!A$1:CB$87,'Fórmula'!F68,11))+'Fórmula'!I68*(INDEX(properties!A$1:CB$87,'Fórmula'!H68,11))+'Fórmula'!K68*(INDEX(properties!A$1:CB$87,'Fórmula'!J68,11))</f>
        <v>14</v>
      </c>
      <c r="AN68" s="107">
        <f t="array" ref="AN68">VARP(IF(INDEX(properties!A$1:CB$87,'Fórmula'!B68,11)&lt;&gt;"",INDEX(properties!A$1:CB$87,'Fórmula'!B68,11)),IF(INDEX(properties!A$1:CB$87,'Fórmula'!D68,11)&lt;&gt;"",INDEX(properties!A$1:CB$87,'Fórmula'!D68,11)),IF(INDEX(properties!A$1:CB$87,'Fórmula'!F68,11)&lt;&gt;"",INDEX(properties!A$1:CB$87,'Fórmula'!F68,11)),IF(INDEX(properties!A$1:CB$87,'Fórmula'!H68,11)&lt;&gt;"",INDEX(properties!A$1:CB$87,'Fórmula'!H68,11)),IF(INDEX(properties!A$1:CB$87,'Fórmula'!J68,11)&lt;&gt;"",INDEX(properties!A$1:CB$87,'Fórmula'!J68,11)))</f>
        <v>0.96</v>
      </c>
      <c r="AO68" s="107">
        <f t="array" ref="AO68">MAX(INDEX(properties!A$1:CB$87,'Fórmula'!B68,11),INDEX(properties!A$1:CB$87,'Fórmula'!D68,11),INDEX(properties!A$1:CB$87,'Fórmula'!F68,11),INDEX(properties!A$1:CB$87,'Fórmula'!H68,11),INDEX(properties!A$1:CB$87,'Fórmula'!J68,11))</f>
        <v>2</v>
      </c>
      <c r="AP68" s="107">
        <f t="array" ref="AP68">MIN(IF('Fórmula'!B68=87,10^6,INDEX(properties!A$1:CB$87,'Fórmula'!B68,11)),IF(('Fórmula'!D68)=87,10^6,INDEX(properties!A$1:CB$87,'Fórmula'!D68,11)),IF(('Fórmula'!F68)=87,10^6,INDEX(properties!A$1:CB$87,'Fórmula'!F68,11)),IF(('Fórmula'!H68)=87,10^6,INDEX(properties!A$1:CB$87,'Fórmula'!H68,11)),IF('Fórmula'!J68=87,10^6,INDEX(properties!A$1:CB$87,'Fórmula'!J68,11)))</f>
        <v>2</v>
      </c>
      <c r="AQ68" s="107">
        <f t="shared" si="7"/>
        <v>0</v>
      </c>
      <c r="AR68" s="108">
        <f t="array" ref="AR68">(('Fórmula'!C68)/('Fórmula'!C68+'Fórmula'!E68+'Fórmula'!G68+'Fórmula'!I68+'Fórmula'!K68))*(INDEX(properties!A$1:CB$87,'Fórmula'!B68,12))+(('Fórmula'!E68)/('Fórmula'!C68+'Fórmula'!E68+'Fórmula'!G68+'Fórmula'!I68+'Fórmula'!K68))*(INDEX(properties!A$1:CB$87,'Fórmula'!D68,12))+(('Fórmula'!G68)/('Fórmula'!C68+'Fórmula'!E68+'Fórmula'!G68+'Fórmula'!I68+'Fórmula'!K68))*(INDEX(properties!A$1:CB$87,'Fórmula'!F68,12))+(('Fórmula'!I68)/('Fórmula'!C68+'Fórmula'!E68+'Fórmula'!G68+'Fórmula'!I68+'Fórmula'!K68))*(INDEX(properties!A$1:CB$87,'Fórmula'!H68,12))+(('Fórmula'!K68)/('Fórmula'!C68+'Fórmula'!E68+'Fórmula'!G68+'Fórmula'!I68+'Fórmula'!K68))*(INDEX(properties!A$1:CB$87,'Fórmula'!J68,12))</f>
        <v>2.571428571</v>
      </c>
      <c r="AS68" s="108">
        <f t="array" ref="AS68">'Fórmula'!C68*(INDEX(properties!A$1:CB$87,'Fórmula'!B68,12))+'Fórmula'!E68*(INDEX(properties!A$1:CB$87,'Fórmula'!D68,12))+'Fórmula'!G68*(INDEX(properties!A$1:CB$87,'Fórmula'!F68,12))+'Fórmula'!I68*(INDEX(properties!A$1:CB$87,'Fórmula'!H68,12))+'Fórmula'!K68*(INDEX(properties!A$1:CB$87,'Fórmula'!J68,12))</f>
        <v>18</v>
      </c>
      <c r="AT68" s="108">
        <f t="array" ref="AT68">VARP(IF(INDEX(properties!A$1:CB$87,'Fórmula'!B68,12)&lt;&gt;"",INDEX(properties!A$1:CB$87,'Fórmula'!B68,12)),IF(INDEX(properties!A$1:CB$87,'Fórmula'!D68,12)&lt;&gt;"",INDEX(properties!A$1:CB$87,'Fórmula'!D68,12)),IF(INDEX(properties!A$1:CB$87,'Fórmula'!F68,12)&lt;&gt;"",INDEX(properties!A$1:CB$87,'Fórmula'!F68,12)),IF(INDEX(properties!A$1:CB$87,'Fórmula'!H68,12)&lt;&gt;"",INDEX(properties!A$1:CB$87,'Fórmula'!H68,12)),IF(INDEX(properties!A$1:CB$87,'Fórmula'!J68,12)&lt;&gt;"",INDEX(properties!A$1:CB$87,'Fórmula'!J68,12)))</f>
        <v>2.56</v>
      </c>
      <c r="AU68" s="108">
        <f t="array" ref="AU68">MAX(INDEX(properties!A$1:CB$87,'Fórmula'!B68,12),INDEX(properties!A$1:CB$87,'Fórmula'!D68,12),INDEX(properties!A$1:CB$87,'Fórmula'!F68,12),INDEX(properties!A$1:CB$87,'Fórmula'!H68,12),INDEX(properties!A$1:CB$87,'Fórmula'!J68,12))</f>
        <v>4</v>
      </c>
      <c r="AV68" s="108">
        <f t="array" ref="AV68">MIN(IF('Fórmula'!B68=87,10^6,INDEX(properties!A$1:CB$87,'Fórmula'!B68,12)),IF(('Fórmula'!D68)=87,10^6,INDEX(properties!A$1:CB$87,'Fórmula'!D68,12)),IF(('Fórmula'!F68)=87,10^6,INDEX(properties!A$1:CB$87,'Fórmula'!F68,12)),IF(('Fórmula'!H68)=87,10^6,INDEX(properties!A$1:CB$87,'Fórmula'!H68,12)),IF('Fórmula'!J68=87,10^6,INDEX(properties!A$1:CB$87,'Fórmula'!J68,12)))</f>
        <v>0</v>
      </c>
      <c r="AW68" s="108">
        <f t="shared" si="8"/>
        <v>4</v>
      </c>
      <c r="AX68" s="109">
        <f t="array" ref="AX68">(('Fórmula'!C68)/('Fórmula'!C68+'Fórmula'!E68+'Fórmula'!G68+'Fórmula'!I68+'Fórmula'!K68))*(INDEX(properties!A$1:CB$87,'Fórmula'!B68,13))+(('Fórmula'!E68)/('Fórmula'!C68+'Fórmula'!E68+'Fórmula'!G68+'Fórmula'!I68+'Fórmula'!K68))*(INDEX(properties!A$1:CB$87,'Fórmula'!D68,13))+(('Fórmula'!G68)/('Fórmula'!C68+'Fórmula'!E68+'Fórmula'!G68+'Fórmula'!I68+'Fórmula'!K68))*(INDEX(properties!A$1:CB$87,'Fórmula'!F68,13))+(('Fórmula'!I68)/('Fórmula'!C68+'Fórmula'!E68+'Fórmula'!G68+'Fórmula'!I68+'Fórmula'!K68))*(INDEX(properties!A$1:CB$87,'Fórmula'!H68,13))+(('Fórmula'!K68)/('Fórmula'!C68+'Fórmula'!E68+'Fórmula'!G68+'Fórmula'!I68+'Fórmula'!K68))*(INDEX(properties!A$1:CB$87,'Fórmula'!J68,13))</f>
        <v>0</v>
      </c>
      <c r="AY68" s="109">
        <f t="array" ref="AY68">'Fórmula'!C68*(INDEX(properties!A$1:CB$87,'Fórmula'!B68,13))+'Fórmula'!E68*(INDEX(properties!A$1:CB$87,'Fórmula'!D68,13))+'Fórmula'!G68*(INDEX(properties!A$1:CB$87,'Fórmula'!F68,13))+'Fórmula'!I68*(INDEX(properties!A$1:CB$87,'Fórmula'!H68,13))+'Fórmula'!K68*(INDEX(properties!A$1:CB$87,'Fórmula'!J68,13))</f>
        <v>0</v>
      </c>
      <c r="AZ68" s="109">
        <f t="array" ref="AZ68">VARP(IF(INDEX(properties!A$1:CB$87,'Fórmula'!B68,13)&lt;&gt;"",INDEX(properties!A$1:CB$87,'Fórmula'!B68,13)),IF(INDEX(properties!A$1:CB$87,'Fórmula'!D68,13)&lt;&gt;"",INDEX(properties!A$1:CB$87,'Fórmula'!D68,13)),IF(INDEX(properties!A$1:CB$87,'Fórmula'!F68,13)&lt;&gt;"",INDEX(properties!A$1:CB$87,'Fórmula'!F68,13)),IF(INDEX(properties!A$1:CB$87,'Fórmula'!H68,13)&lt;&gt;"",INDEX(properties!A$1:CB$87,'Fórmula'!H68,13)),IF(INDEX(properties!A$1:CB$87,'Fórmula'!J68,13)&lt;&gt;"",INDEX(properties!A$1:CB$87,'Fórmula'!J68,13)))</f>
        <v>0</v>
      </c>
      <c r="BA68" s="109">
        <f t="array" ref="BA68">MAX(INDEX(properties!A$1:CB$87,'Fórmula'!B68,13),INDEX(properties!A$1:CB$87,'Fórmula'!D68,13),INDEX(properties!A$1:CB$87,'Fórmula'!F68,13),INDEX(properties!A$1:CB$87,'Fórmula'!H68,13),INDEX(properties!A$1:CB$87,'Fórmula'!J68,13))</f>
        <v>0</v>
      </c>
      <c r="BB68" s="109">
        <f t="array" ref="BB68">MIN(IF('Fórmula'!B68=87,10^6,INDEX(properties!A$1:CB$87,'Fórmula'!B68,13)),IF(('Fórmula'!D68)=87,10^6,INDEX(properties!A$1:CB$87,'Fórmula'!D68,13)),IF(('Fórmula'!F68)=87,10^6,INDEX(properties!A$1:CB$87,'Fórmula'!F68,13)),IF(('Fórmula'!H68)=87,10^6,INDEX(properties!A$1:CB$87,'Fórmula'!H68,13)),IF('Fórmula'!J68=87,10^6,INDEX(properties!A$1:CB$87,'Fórmula'!J68,13)))</f>
        <v>0</v>
      </c>
      <c r="BC68" s="109">
        <f t="shared" si="9"/>
        <v>0</v>
      </c>
      <c r="BD68" s="110">
        <f t="array" ref="BD68">(('Fórmula'!C68)/('Fórmula'!C68+'Fórmula'!E68+'Fórmula'!G68+'Fórmula'!I68+'Fórmula'!K68))*(INDEX(properties!A$1:CB$87,'Fórmula'!B68,14))+(('Fórmula'!E68)/('Fórmula'!C68+'Fórmula'!E68+'Fórmula'!G68+'Fórmula'!I68+'Fórmula'!K68))*(INDEX(properties!A$1:CB$87,'Fórmula'!D68,14))+(('Fórmula'!G68)/('Fórmula'!C68+'Fórmula'!E68+'Fórmula'!G68+'Fórmula'!I68+'Fórmula'!K68))*(INDEX(properties!A$1:CB$87,'Fórmula'!F68,14))+(('Fórmula'!I68)/('Fórmula'!C68+'Fórmula'!E68+'Fórmula'!G68+'Fórmula'!I68+'Fórmula'!K68))*(INDEX(properties!A$1:CB$87,'Fórmula'!H68,14))+(('Fórmula'!K68)/('Fórmula'!C68+'Fórmula'!E68+'Fórmula'!G68+'Fórmula'!I68+'Fórmula'!K68))*(INDEX(properties!A$1:CB$87,'Fórmula'!J68,14))</f>
        <v>0</v>
      </c>
      <c r="BE68" s="110">
        <f t="array" ref="BE68">'Fórmula'!C68*(INDEX(properties!A$1:CB$87,'Fórmula'!B68,14))+'Fórmula'!E68*(INDEX(properties!A$1:CB$87,'Fórmula'!D68,14))+'Fórmula'!G68*(INDEX(properties!A$1:CB$87,'Fórmula'!F68,14))+'Fórmula'!I68*(INDEX(properties!A$1:CB$87,'Fórmula'!H68,14))+'Fórmula'!K68*(INDEX(properties!A$1:CB$87,'Fórmula'!J68,14))</f>
        <v>0</v>
      </c>
      <c r="BF68" s="110">
        <f t="array" ref="BF68">VARP(IF(INDEX(properties!A$1:CB$87,'Fórmula'!B68,14)&lt;&gt;"",INDEX(properties!A$1:CB$87,'Fórmula'!B68,14)),IF(INDEX(properties!A$1:CB$87,'Fórmula'!D68,14)&lt;&gt;"",INDEX(properties!A$1:CB$87,'Fórmula'!D68,14)),IF(INDEX(properties!A$1:CB$87,'Fórmula'!F68,14)&lt;&gt;"",INDEX(properties!A$1:CB$87,'Fórmula'!F68,14)),IF(INDEX(properties!A$1:CB$87,'Fórmula'!H68,14)&lt;&gt;"",INDEX(properties!A$1:CB$87,'Fórmula'!H68,14)),IF(INDEX(properties!A$1:CB$87,'Fórmula'!J68,14)&lt;&gt;"",INDEX(properties!A$1:CB$87,'Fórmula'!J68,14)))</f>
        <v>0</v>
      </c>
      <c r="BG68" s="110">
        <f t="array" ref="BG68">MAX(INDEX(properties!A$1:CB$87,'Fórmula'!B68,14),INDEX(properties!A$1:CB$87,'Fórmula'!D68,14),INDEX(properties!A$1:CB$87,'Fórmula'!F68,14),INDEX(properties!A$1:CB$87,'Fórmula'!H68,14),INDEX(properties!A$1:CB$87,'Fórmula'!J68,14))</f>
        <v>0</v>
      </c>
      <c r="BH68" s="110">
        <f t="array" ref="BH68">MIN(IF('Fórmula'!B68=87,10^6,INDEX(properties!A$1:CB$87,'Fórmula'!B68,14)),IF(('Fórmula'!D68)=87,10^6,INDEX(properties!A$1:CB$87,'Fórmula'!D68,14)),IF(('Fórmula'!F68)=87,10^6,INDEX(properties!A$1:CB$87,'Fórmula'!F68,14)),IF(('Fórmula'!H68)=87,10^6,INDEX(properties!A$1:CB$87,'Fórmula'!H68,14)),IF('Fórmula'!J68=87,10^6,INDEX(properties!A$1:CB$87,'Fórmula'!J68,14)))</f>
        <v>0</v>
      </c>
      <c r="BI68" s="110">
        <f t="shared" si="10"/>
        <v>0</v>
      </c>
      <c r="BJ68" s="111">
        <f t="array" ref="BJ68">(('Fórmula'!C68)/('Fórmula'!C68+'Fórmula'!E68+'Fórmula'!G68+'Fórmula'!I68+'Fórmula'!K68))*(INDEX(properties!A$1:CB$87,'Fórmula'!B68,19))+(('Fórmula'!E68)/('Fórmula'!C68+'Fórmula'!E68+'Fórmula'!G68+'Fórmula'!I68+'Fórmula'!K68))*(INDEX(properties!A$1:CB$87,'Fórmula'!D68,19))+(('Fórmula'!G68)/('Fórmula'!C68+'Fórmula'!E68+'Fórmula'!G68+'Fórmula'!I68+'Fórmula'!K68))*(INDEX(properties!A$1:CB$87,'Fórmula'!F68,19))+(('Fórmula'!I68)/('Fórmula'!C68+'Fórmula'!E68+'Fórmula'!G68+'Fórmula'!I68+'Fórmula'!K68))*(INDEX(properties!A$1:CB$87,'Fórmula'!H68,19))+(('Fórmula'!K68)/('Fórmula'!C68+'Fórmula'!E68+'Fórmula'!G68+'Fórmula'!I68+'Fórmula'!K68))*(INDEX(properties!A$1:CB$87,'Fórmula'!J68,19))</f>
        <v>4.571428571</v>
      </c>
      <c r="BK68" s="111">
        <f t="array" ref="BK68">'Fórmula'!C68*(INDEX(properties!A$1:CB$87,'Fórmula'!B68,19))+'Fórmula'!E68*(INDEX(properties!A$1:CB$87,'Fórmula'!D68,19))+'Fórmula'!G68*(INDEX(properties!A$1:CB$87,'Fórmula'!F68,19))+'Fórmula'!I68*(INDEX(properties!A$1:CB$87,'Fórmula'!H68,19))+'Fórmula'!K68*(INDEX(properties!A$1:CB$87,'Fórmula'!J68,19))</f>
        <v>32</v>
      </c>
      <c r="BL68" s="111">
        <f t="array" ref="BL68">VARP(IF(INDEX(properties!A$1:CB$87,'Fórmula'!B68,19)&lt;&gt;"",INDEX(properties!A$1:CB$87,'Fórmula'!B68,19)),IF(INDEX(properties!A$1:CB$87,'Fórmula'!D68,19)&lt;&gt;"",INDEX(properties!A$1:CB$87,'Fórmula'!D68,19)),IF(INDEX(properties!A$1:CB$87,'Fórmula'!F68,19)&lt;&gt;"",INDEX(properties!A$1:CB$87,'Fórmula'!F68,19)),IF(INDEX(properties!A$1:CB$87,'Fórmula'!H68,19)&lt;&gt;"",INDEX(properties!A$1:CB$87,'Fórmula'!H68,19)),IF(INDEX(properties!A$1:CB$87,'Fórmula'!J68,19)&lt;&gt;"",INDEX(properties!A$1:CB$87,'Fórmula'!J68,19)))</f>
        <v>5.44</v>
      </c>
      <c r="BM68" s="111">
        <f t="array" ref="BM68">MAX(INDEX(properties!A$1:CB$87,'Fórmula'!B68,19),INDEX(properties!A$1:CB$87,'Fórmula'!D68,19),INDEX(properties!A$1:CB$87,'Fórmula'!F68,19),INDEX(properties!A$1:CB$87,'Fórmula'!H68,19),INDEX(properties!A$1:CB$87,'Fórmula'!J68,19))</f>
        <v>6</v>
      </c>
      <c r="BN68" s="111">
        <f t="array" ref="BN68">MIN(IF(INDEX(properties!A$1:CB$87,'Fórmula'!B68,19)=0,10^6,INDEX(properties!A$1:CB$87,'Fórmula'!B68,19)),IF(INDEX(properties!A$1:CB$87,'Fórmula'!D68,19)=0,10^6,INDEX(properties!A$1:CB$87,'Fórmula'!D68,19)),IF(INDEX(properties!A$1:CB$87,'Fórmula'!F68,19)=0,10^6,INDEX(properties!A$1:CB$87,'Fórmula'!F68,19)),IF(INDEX(properties!A$1:CB$87,'Fórmula'!H68,19)=0,10^6,INDEX(properties!A$1:CB$87,'Fórmula'!H68,19)),IF(INDEX(properties!A$1:CB$87,'Fórmula'!J68,19)=0,10^6,INDEX(properties!A$1:CB$87,'Fórmula'!J68,19)))</f>
        <v>2</v>
      </c>
      <c r="BO68" s="111">
        <f t="shared" si="11"/>
        <v>4</v>
      </c>
      <c r="BP68" s="112">
        <f t="array" ref="BP68">(('Fórmula'!C68)/('Fórmula'!C68+'Fórmula'!E68+'Fórmula'!G68+'Fórmula'!I68+'Fórmula'!K68))*(INDEX(properties!A$1:CB$87,'Fórmula'!B68,20))+(('Fórmula'!E68)/('Fórmula'!C68+'Fórmula'!E68+'Fórmula'!G68+'Fórmula'!I68+'Fórmula'!K68))*(INDEX(properties!A$1:CB$87,'Fórmula'!D68,20))+(('Fórmula'!G68)/('Fórmula'!C68+'Fórmula'!E68+'Fórmula'!G68+'Fórmula'!I68+'Fórmula'!K68))*(INDEX(properties!A$1:CB$87,'Fórmula'!F68,20))+(('Fórmula'!I68)/('Fórmula'!C68+'Fórmula'!E68+'Fórmula'!G68+'Fórmula'!I68+'Fórmula'!K68))*(INDEX(properties!A$1:CB$87,'Fórmula'!H68,20))+(('Fórmula'!K68)/('Fórmula'!C68+'Fórmula'!E68+'Fórmula'!G68+'Fórmula'!I68+'Fórmula'!K68))*(INDEX(properties!A$1:CB$87,'Fórmula'!J68,20))</f>
        <v>4.571428571</v>
      </c>
      <c r="BQ68" s="112">
        <f t="array" ref="BQ68">'Fórmula'!C68*(INDEX(properties!A$1:CB$87,'Fórmula'!B68,20))+'Fórmula'!E68*(INDEX(properties!A$1:CB$87,'Fórmula'!D68,20))+'Fórmula'!G68*(INDEX(properties!A$1:CB$87,'Fórmula'!F68,20))+'Fórmula'!I68*(INDEX(properties!A$1:CB$87,'Fórmula'!H68,20))+'Fórmula'!K68*(INDEX(properties!A$1:CB$87,'Fórmula'!J68,20))</f>
        <v>32</v>
      </c>
      <c r="BR68" s="112">
        <f t="array" ref="BR68">VARP(IF(INDEX(properties!A$1:CB$87,'Fórmula'!B68,20)&lt;&gt;"",INDEX(properties!A$1:CB$87,'Fórmula'!B68,20)),IF(INDEX(properties!A$1:CB$87,'Fórmula'!D68,20)&lt;&gt;"",INDEX(properties!A$1:CB$87,'Fórmula'!D68,20)),IF(INDEX(properties!A$1:CB$87,'Fórmula'!F68,20)&lt;&gt;"",INDEX(properties!A$1:CB$87,'Fórmula'!F68,20)),IF(INDEX(properties!A$1:CB$87,'Fórmula'!H68,20)&lt;&gt;"",INDEX(properties!A$1:CB$87,'Fórmula'!H68,20)),IF(INDEX(properties!A$1:CB$87,'Fórmula'!J68,20)&lt;&gt;"",INDEX(properties!A$1:CB$87,'Fórmula'!J68,20)))</f>
        <v>5.44</v>
      </c>
      <c r="BS68" s="112">
        <f t="array" ref="BS68">MAX(INDEX(properties!A$1:CB$87,'Fórmula'!B68,20),INDEX(properties!A$1:CB$87,'Fórmula'!D68,20),INDEX(properties!A$1:CB$87,'Fórmula'!F68,20),INDEX(properties!A$1:CB$87,'Fórmula'!H68,20),INDEX(properties!A$1:CB$87,'Fórmula'!J68,20))</f>
        <v>6</v>
      </c>
      <c r="BT68" s="112">
        <f t="array" ref="BT68">MIN(IF(INDEX(properties!A$1:CB$87,'Fórmula'!B68,20)=0,10^6,INDEX(properties!A$1:CB$87,'Fórmula'!B68,20)),IF(INDEX(properties!A$1:CB$87,'Fórmula'!D68,20)=0,10^6,INDEX(properties!A$1:CB$87,'Fórmula'!D68,20)),IF(INDEX(properties!A$1:CB$87,'Fórmula'!F68,20)=0,10^6,INDEX(properties!A$1:CB$87,'Fórmula'!F68,20)),IF(INDEX(properties!A$1:CB$87,'Fórmula'!H68,20)=0,10^6,INDEX(properties!A$1:CB$87,'Fórmula'!H68,20)),IF(INDEX(properties!A$1:CB$87,'Fórmula'!J68,20)=0,10^6,INDEX(properties!A$1:CB$87,'Fórmula'!J68,20)))</f>
        <v>2</v>
      </c>
      <c r="BU68" s="112">
        <f t="shared" si="12"/>
        <v>4</v>
      </c>
      <c r="BV68" s="113">
        <f t="array" ref="BV68">(('Fórmula'!C68)/('Fórmula'!C68+'Fórmula'!E68+'Fórmula'!G68+'Fórmula'!I68+'Fórmula'!K68))*(INDEX(properties!A$1:CB$87,'Fórmula'!B68,21))+(('Fórmula'!E68)/('Fórmula'!C68+'Fórmula'!E68+'Fórmula'!G68+'Fórmula'!I68+'Fórmula'!K68))*(INDEX(properties!A$1:CB$87,'Fórmula'!D68,21))+(('Fórmula'!G68)/('Fórmula'!C68+'Fórmula'!E68+'Fórmula'!G68+'Fórmula'!I68+'Fórmula'!K68))*(INDEX(properties!A$1:CB$87,'Fórmula'!F68,21))+(('Fórmula'!I68)/('Fórmula'!C68+'Fórmula'!E68+'Fórmula'!G68+'Fórmula'!I68+'Fórmula'!K68))*(INDEX(properties!A$1:CB$87,'Fórmula'!H68,21))+(('Fórmula'!K68)/('Fórmula'!C68+'Fórmula'!E68+'Fórmula'!G68+'Fórmula'!I68+'Fórmula'!K68))*(INDEX(properties!A$1:CB$87,'Fórmula'!J68,21))</f>
        <v>4.571428571</v>
      </c>
      <c r="BW68" s="113">
        <f t="array" ref="BW68">'Fórmula'!C68*(INDEX(properties!A$1:CB$87,'Fórmula'!B68,21))+'Fórmula'!E68*(INDEX(properties!A$1:CB$87,'Fórmula'!D68,21))+'Fórmula'!G68*(INDEX(properties!A$1:CB$87,'Fórmula'!F68,21))+'Fórmula'!I68*(INDEX(properties!A$1:CB$87,'Fórmula'!H68,21))+'Fórmula'!K68*(INDEX(properties!A$1:CB$87,'Fórmula'!J68,21))</f>
        <v>32</v>
      </c>
      <c r="BX68" s="113">
        <f t="array" ref="BX68">VARP(IF(INDEX(properties!A$1:CB$87,'Fórmula'!B68,21)&lt;&gt;"",INDEX(properties!A$1:CB$87,'Fórmula'!B68,21)),IF(INDEX(properties!A$1:CB$87,'Fórmula'!D68,21)&lt;&gt;"",INDEX(properties!A$1:CB$87,'Fórmula'!D68,21)),IF(INDEX(properties!A$1:CB$87,'Fórmula'!F68,21)&lt;&gt;"",INDEX(properties!A$1:CB$87,'Fórmula'!F68,21)),IF(INDEX(properties!A$1:CB$87,'Fórmula'!H68,21)&lt;&gt;"",INDEX(properties!A$1:CB$87,'Fórmula'!H68,21)),IF(INDEX(properties!A$1:CB$87,'Fórmula'!J68,21)&lt;&gt;"",INDEX(properties!A$1:CB$87,'Fórmula'!J68,21)))</f>
        <v>5.44</v>
      </c>
      <c r="BY68" s="113">
        <f t="array" ref="BY68">MAX(INDEX(properties!A$1:CB$87,'Fórmula'!B68,21),INDEX(properties!A$1:CB$87,'Fórmula'!D68,21),INDEX(properties!A$1:CB$87,'Fórmula'!F68,21),INDEX(properties!A$1:CB$87,'Fórmula'!H68,21),INDEX(properties!A$1:CB$87,'Fórmula'!J68,21))</f>
        <v>6</v>
      </c>
      <c r="BZ68" s="113">
        <f t="array" ref="BZ68">MIN(IF(INDEX(properties!A$1:CB$87,'Fórmula'!B68,21)=0,10^6,INDEX(properties!A$1:CB$87,'Fórmula'!B68,21)),IF(INDEX(properties!A$1:CB$87,'Fórmula'!D68,21)=0,10^6,INDEX(properties!A$1:CB$87,'Fórmula'!D68,21)),IF(INDEX(properties!A$1:CB$87,'Fórmula'!F68,21)=0,10^6,INDEX(properties!A$1:CB$87,'Fórmula'!F68,21)),IF(INDEX(properties!A$1:CB$87,'Fórmula'!H68,21)=0,10^6,INDEX(properties!A$1:CB$87,'Fórmula'!H68,21)),IF(INDEX(properties!A$1:CB$87,'Fórmula'!J68,21)=0,10^6,INDEX(properties!A$1:CB$87,'Fórmula'!J68,21)))</f>
        <v>2</v>
      </c>
      <c r="CA68" s="113">
        <f t="shared" si="13"/>
        <v>4</v>
      </c>
      <c r="CB68" s="114">
        <f t="array" ref="CB68">(('Fórmula'!C68)/('Fórmula'!C68+'Fórmula'!E68+'Fórmula'!G68+'Fórmula'!I68+'Fórmula'!K68))*(INDEX(properties!A$1:CB$87,'Fórmula'!B68,23))+(('Fórmula'!E68)/('Fórmula'!C68+'Fórmula'!E68+'Fórmula'!G68+'Fórmula'!I68+'Fórmula'!K68))*(INDEX(properties!A$1:CB$87,'Fórmula'!D68,23))+(('Fórmula'!G68)/('Fórmula'!C68+'Fórmula'!E68+'Fórmula'!G68+'Fórmula'!I68+'Fórmula'!K68))*(INDEX(properties!A$1:CB$87,'Fórmula'!F68,23))+(('Fórmula'!I68)/('Fórmula'!C68+'Fórmula'!E68+'Fórmula'!G68+'Fórmula'!I68+'Fórmula'!K68))*(INDEX(properties!A$1:CB$87,'Fórmula'!H68,23))+(('Fórmula'!K68)/('Fórmula'!C68+'Fórmula'!E68+'Fórmula'!G68+'Fórmula'!I68+'Fórmula'!K68))*(INDEX(properties!A$1:CB$87,'Fórmula'!J68,23))</f>
        <v>1.142857143</v>
      </c>
      <c r="CC68" s="114">
        <f t="array" ref="CC68">'Fórmula'!C68*(INDEX(properties!A$1:CB$87,'Fórmula'!B68,23))+'Fórmula'!E68*(INDEX(properties!A$1:CB$87,'Fórmula'!D68,23))+'Fórmula'!G68*(INDEX(properties!A$1:CB$87,'Fórmula'!F68,23))+'Fórmula'!I68*(INDEX(properties!A$1:CB$87,'Fórmula'!H68,23))+'Fórmula'!K68*(INDEX(properties!A$1:CB$87,'Fórmula'!J68,23))</f>
        <v>8</v>
      </c>
      <c r="CD68" s="114">
        <f t="array" ref="CD68">VARP(IF(INDEX(properties!A$1:CB$87,'Fórmula'!B68,23)&lt;&gt;"",INDEX(properties!A$1:CB$87,'Fórmula'!B68,23)),IF(INDEX(properties!A$1:CB$87,'Fórmula'!D68,23)&lt;&gt;"",INDEX(properties!A$1:CB$87,'Fórmula'!D68,23)),IF(INDEX(properties!A$1:CB$87,'Fórmula'!F68,23)&lt;&gt;"",INDEX(properties!A$1:CB$87,'Fórmula'!F68,23)),IF(INDEX(properties!A$1:CB$87,'Fórmula'!H68,23)&lt;&gt;"",INDEX(properties!A$1:CB$87,'Fórmula'!H68,23)),IF(INDEX(properties!A$1:CB$87,'Fórmula'!J68,23)&lt;&gt;"",INDEX(properties!A$1:CB$87,'Fórmula'!J68,23)))</f>
        <v>2.56</v>
      </c>
      <c r="CE68" s="114">
        <f t="array" ref="CE68">MAX(INDEX(properties!A$1:CB$87,'Fórmula'!B68,23),INDEX(properties!A$1:CB$87,'Fórmula'!D68,23),INDEX(properties!A$1:CB$87,'Fórmula'!F68,23),INDEX(properties!A$1:CB$87,'Fórmula'!H68,23),INDEX(properties!A$1:CB$87,'Fórmula'!J68,23))</f>
        <v>4</v>
      </c>
      <c r="CF68" s="114">
        <f t="array" ref="CF68">MIN(IF('Fórmula'!B68=87,10^6,INDEX(properties!A$1:CB$87,'Fórmula'!B68,23)),IF(('Fórmula'!D68)=87,10^6,INDEX(properties!A$1:CB$87,'Fórmula'!D68,23)),IF(('Fórmula'!F68)=87,10^6,INDEX(properties!A$1:CB$87,'Fórmula'!F68,23)),IF(('Fórmula'!H68)=87,10^6,INDEX(properties!A$1:CB$87,'Fórmula'!H68,23)),IF('Fórmula'!J68=87,10^6,INDEX(properties!A$1:CB$87,'Fórmula'!J68,23)))</f>
        <v>0</v>
      </c>
      <c r="CG68" s="114">
        <f t="shared" si="14"/>
        <v>4</v>
      </c>
      <c r="CH68" s="115">
        <f t="array" ref="CH68">(('Fórmula'!C68)/('Fórmula'!C68+'Fórmula'!E68+'Fórmula'!G68+'Fórmula'!I68+'Fórmula'!K68))*(INDEX(properties!A$1:CB$87,'Fórmula'!B68,26))+(('Fórmula'!E68)/('Fórmula'!C68+'Fórmula'!E68+'Fórmula'!G68+'Fórmula'!I68+'Fórmula'!K68))*(INDEX(properties!A$1:CB$87,'Fórmula'!D68,26))+(('Fórmula'!G68)/('Fórmula'!C68+'Fórmula'!E68+'Fórmula'!G68+'Fórmula'!I68+'Fórmula'!K68))*(INDEX(properties!A$1:CB$87,'Fórmula'!F68,26))+(('Fórmula'!I68)/('Fórmula'!C68+'Fórmula'!E68+'Fórmula'!G68+'Fórmula'!I68+'Fórmula'!K68))*(INDEX(properties!A$1:CB$87,'Fórmula'!H68,26))+(('Fórmula'!K68)/('Fórmula'!C68+'Fórmula'!E68+'Fórmula'!G68+'Fórmula'!I68+'Fórmula'!K68))*(INDEX(properties!A$1:CB$87,'Fórmula'!J68,26))</f>
        <v>10.43535714</v>
      </c>
      <c r="CI68" s="115">
        <f t="array" ref="CI68">'Fórmula'!C68*(INDEX(properties!A$1:CB$87,'Fórmula'!B68,26))+'Fórmula'!E68*(INDEX(properties!A$1:CB$87,'Fórmula'!D68,26))+'Fórmula'!G68*(INDEX(properties!A$1:CB$87,'Fórmula'!F68,26))+'Fórmula'!I68*(INDEX(properties!A$1:CB$87,'Fórmula'!H68,26))+'Fórmula'!K68*(INDEX(properties!A$1:CB$87,'Fórmula'!J68,26))</f>
        <v>73.0475</v>
      </c>
      <c r="CJ68" s="115">
        <f t="array" ref="CJ68">VARP(IF(INDEX(properties!A$1:CB$87,'Fórmula'!B68,26)&lt;&gt;"",INDEX(properties!A$1:CB$87,'Fórmula'!B68,26)),IF(INDEX(properties!A$1:CB$87,'Fórmula'!D68,26)&lt;&gt;"",INDEX(properties!A$1:CB$87,'Fórmula'!D68,26)),IF(INDEX(properties!A$1:CB$87,'Fórmula'!F68,26)&lt;&gt;"",INDEX(properties!A$1:CB$87,'Fórmula'!F68,26)),IF(INDEX(properties!A$1:CB$87,'Fórmula'!H68,26)&lt;&gt;"",INDEX(properties!A$1:CB$87,'Fórmula'!H68,26)),IF(INDEX(properties!A$1:CB$87,'Fórmula'!J68,26)&lt;&gt;"",INDEX(properties!A$1:CB$87,'Fórmula'!J68,26)))</f>
        <v>26.69288179</v>
      </c>
      <c r="CK68" s="116">
        <f t="array" ref="CK68">MAX(INDEX(properties!A$1:CB$87,'Fórmula'!B68,26),INDEX(properties!A$1:CB$87,'Fórmula'!D68,26),INDEX(properties!A$1:CB$87,'Fórmula'!F68,26),INDEX(properties!A$1:CB$87,'Fórmula'!H68,26),INDEX(properties!A$1:CB$87,'Fórmula'!J68,26))</f>
        <v>13.6181</v>
      </c>
      <c r="CL68" s="116">
        <f t="array" ref="CL68">MIN(IF(INDEX(properties!A$1:CB$87,'Fórmula'!B68,26)=0,10^6,INDEX(properties!A$1:CB$87,'Fórmula'!B68,26)),IF(INDEX(properties!A$1:CB$87,'Fórmula'!D68,26)=0,10^6,INDEX(properties!A$1:CB$87,'Fórmula'!D68,26)),IF(INDEX(properties!A$1:CB$87,'Fórmula'!F68,26)=0,10^6,INDEX(properties!A$1:CB$87,'Fórmula'!F68,26)),IF(INDEX(properties!A$1:CB$87,'Fórmula'!H68,26)=0,10^6,INDEX(properties!A$1:CB$87,'Fórmula'!H68,26)),IF(INDEX(properties!A$1:CB$87,'Fórmula'!J68,26)=0,10^6,INDEX(properties!A$1:CB$87,'Fórmula'!J68,26)))</f>
        <v>5.2117</v>
      </c>
      <c r="CM68" s="115">
        <f t="shared" si="15"/>
        <v>8.4064</v>
      </c>
      <c r="CN68" s="117">
        <f t="array" ref="CN68">(('Fórmula'!C68)/('Fórmula'!C68+'Fórmula'!E68+'Fórmula'!G68+'Fórmula'!I68+'Fórmula'!K68))*(INDEX(properties!A$1:CB$87,'Fórmula'!B68,30))+(('Fórmula'!E68)/('Fórmula'!C68+'Fórmula'!E68+'Fórmula'!G68+'Fórmula'!I68+'Fórmula'!K68))*(INDEX(properties!A$1:CB$87,'Fórmula'!D68,30))+(('Fórmula'!G68)/('Fórmula'!C68+'Fórmula'!E68+'Fórmula'!G68+'Fórmula'!I68+'Fórmula'!K68))*(INDEX(properties!A$1:CB$87,'Fórmula'!F68,30))+(('Fórmula'!I68)/('Fórmula'!C68+'Fórmula'!E68+'Fórmula'!G68+'Fórmula'!I68+'Fórmula'!K68))*(INDEX(properties!A$1:CB$87,'Fórmula'!H68,30))+(('Fórmula'!K68)/('Fórmula'!C68+'Fórmula'!E68+'Fórmula'!G68+'Fórmula'!I68+'Fórmula'!K68))*(INDEX(properties!A$1:CB$87,'Fórmula'!J68,30))</f>
        <v>2.491428571</v>
      </c>
      <c r="CO68" s="117">
        <f t="array" ref="CO68">'Fórmula'!C68*(INDEX(properties!A$1:CB$87,'Fórmula'!B68,30))+'Fórmula'!E68*(INDEX(properties!A$1:CB$87,'Fórmula'!D68,30))+'Fórmula'!G68*(INDEX(properties!A$1:CB$87,'Fórmula'!F68,30))+'Fórmula'!I68*(INDEX(properties!A$1:CB$87,'Fórmula'!H68,30))+'Fórmula'!K68*(INDEX(properties!A$1:CB$87,'Fórmula'!J68,30))</f>
        <v>17.44</v>
      </c>
      <c r="CP68" s="117">
        <f t="array" ref="CP68">VARP(IF(INDEX(properties!A$1:CB$87,'Fórmula'!B68,30)&lt;&gt;"",INDEX(properties!A$1:CB$87,'Fórmula'!B68,30)),IF(INDEX(properties!A$1:CB$87,'Fórmula'!D68,30)&lt;&gt;"",INDEX(properties!A$1:CB$87,'Fórmula'!D68,30)),IF(INDEX(properties!A$1:CB$87,'Fórmula'!F68,30)&lt;&gt;"",INDEX(properties!A$1:CB$87,'Fórmula'!F68,30)),IF(INDEX(properties!A$1:CB$87,'Fórmula'!H68,30)&lt;&gt;"",INDEX(properties!A$1:CB$87,'Fórmula'!H68,30)),IF(INDEX(properties!A$1:CB$87,'Fórmula'!J68,30)&lt;&gt;"",INDEX(properties!A$1:CB$87,'Fórmula'!J68,30)))</f>
        <v>1.694624</v>
      </c>
      <c r="CQ68" s="117">
        <f t="array" ref="CQ68">MAX(INDEX(properties!A$1:CB$87,'Fórmula'!B68,30),INDEX(properties!A$1:CB$87,'Fórmula'!D68,30),INDEX(properties!A$1:CB$87,'Fórmula'!F68,30),INDEX(properties!A$1:CB$87,'Fórmula'!H68,30),INDEX(properties!A$1:CB$87,'Fórmula'!J68,30))</f>
        <v>3.44</v>
      </c>
      <c r="CR68" s="117">
        <f t="array" ref="CR68">MIN(IF(INDEX(properties!A$1:CB$87,'Fórmula'!B68,30)=0,10^6,INDEX(properties!A$1:CB$87,'Fórmula'!B68,30)),IF(INDEX(properties!A$1:CB$87,'Fórmula'!D68,30)=0,10^6,INDEX(properties!A$1:CB$87,'Fórmula'!D68,30)),IF(INDEX(properties!A$1:CB$87,'Fórmula'!F68,30)=0,10^6,INDEX(properties!A$1:CB$87,'Fórmula'!F68,30)),IF(INDEX(properties!A$1:CB$87,'Fórmula'!H68,30)=0,10^6,INDEX(properties!A$1:CB$87,'Fórmula'!H68,30)),IF(INDEX(properties!A$1:CB$87,'Fórmula'!J68,30)=0,10^6,INDEX(properties!A$1:CB$87,'Fórmula'!J68,30)))</f>
        <v>0.89</v>
      </c>
      <c r="CS68" s="117">
        <f t="shared" si="16"/>
        <v>2.55</v>
      </c>
      <c r="CT68" s="118">
        <f t="array" ref="CT68">(('Fórmula'!C68)/('Fórmula'!C68+'Fórmula'!E68+'Fórmula'!G68+'Fórmula'!I68+'Fórmula'!K68))*(INDEX(properties!A$1:CB$87,'Fórmula'!B68,31))+(('Fórmula'!E68)/('Fórmula'!C68+'Fórmula'!E68+'Fórmula'!G68+'Fórmula'!I68+'Fórmula'!K68))*(INDEX(properties!A$1:CB$87,'Fórmula'!D68,31))+(('Fórmula'!G68)/('Fórmula'!C68+'Fórmula'!E68+'Fórmula'!G68+'Fórmula'!I68+'Fórmula'!K68))*(INDEX(properties!A$1:CB$87,'Fórmula'!F68,31))+(('Fórmula'!I68)/('Fórmula'!C68+'Fórmula'!E68+'Fórmula'!G68+'Fórmula'!I68+'Fórmula'!K68))*(INDEX(properties!A$1:CB$87,'Fórmula'!H68,31))+(('Fórmula'!K68)/('Fórmula'!C68+'Fórmula'!E68+'Fórmula'!G68+'Fórmula'!I68+'Fórmula'!K68))*(INDEX(properties!A$1:CB$87,'Fórmula'!J68,31))</f>
        <v>2.488571429</v>
      </c>
      <c r="CU68" s="118">
        <f t="array" ref="CU68">'Fórmula'!C68*(INDEX(properties!A$1:CB$87,'Fórmula'!B68,31))+'Fórmula'!E68*(INDEX(properties!A$1:CB$87,'Fórmula'!D68,31))+'Fórmula'!G68*(INDEX(properties!A$1:CB$87,'Fórmula'!F68,31))+'Fórmula'!I68*(INDEX(properties!A$1:CB$87,'Fórmula'!H68,31))+'Fórmula'!K68*(INDEX(properties!A$1:CB$87,'Fórmula'!J68,31))</f>
        <v>17.42</v>
      </c>
      <c r="CV68" s="118">
        <f t="array" ref="CV68">VARP(IF(INDEX(properties!A$1:CB$87,'Fórmula'!B68,31)&lt;&gt;"",INDEX(properties!A$1:CB$87,'Fórmula'!B68,31)),IF(INDEX(properties!A$1:CB$87,'Fórmula'!D68,31)&lt;&gt;"",INDEX(properties!A$1:CB$87,'Fórmula'!D68,31)),IF(INDEX(properties!A$1:CB$87,'Fórmula'!F68,31)&lt;&gt;"",INDEX(properties!A$1:CB$87,'Fórmula'!F68,31)),IF(INDEX(properties!A$1:CB$87,'Fórmula'!H68,31)&lt;&gt;"",INDEX(properties!A$1:CB$87,'Fórmula'!H68,31)),IF(INDEX(properties!A$1:CB$87,'Fórmula'!J68,31)&lt;&gt;"",INDEX(properties!A$1:CB$87,'Fórmula'!J68,31)))</f>
        <v>1.593664</v>
      </c>
      <c r="CW68" s="118">
        <f t="array" ref="CW68">MAX(INDEX(properties!A$1:CB$87,'Fórmula'!B68,31),INDEX(properties!A$1:CB$87,'Fórmula'!D68,31),INDEX(properties!A$1:CB$87,'Fórmula'!F68,31),INDEX(properties!A$1:CB$87,'Fórmula'!H68,31),INDEX(properties!A$1:CB$87,'Fórmula'!J68,31))</f>
        <v>3.32</v>
      </c>
      <c r="CX68" s="118">
        <f t="array" ref="CX68">MIN(IF(INDEX(properties!A$1:CB$87,'Fórmula'!B68,31)=0,10^6,INDEX(properties!A$1:CB$87,'Fórmula'!B68,31)),IF(INDEX(properties!A$1:CB$87,'Fórmula'!D68,31)=0,10^6,INDEX(properties!A$1:CB$87,'Fórmula'!D68,31)),IF(INDEX(properties!A$1:CB$87,'Fórmula'!F68,31)=0,10^6,INDEX(properties!A$1:CB$87,'Fórmula'!F68,31)),IF(INDEX(properties!A$1:CB$87,'Fórmula'!H68,31)=0,10^6,INDEX(properties!A$1:CB$87,'Fórmula'!H68,31)),IF(INDEX(properties!A$1:CB$87,'Fórmula'!J68,31)=0,10^6,INDEX(properties!A$1:CB$87,'Fórmula'!J68,31)))</f>
        <v>1.08</v>
      </c>
      <c r="CY68" s="118">
        <f t="shared" si="17"/>
        <v>2.24</v>
      </c>
      <c r="CZ68" s="119">
        <f t="array" ref="CZ68">(('Fórmula'!C68)/('Fórmula'!C68+'Fórmula'!E68+'Fórmula'!G68+'Fórmula'!I68+'Fórmula'!K68))*(INDEX(properties!A$1:CB$87,'Fórmula'!B68,32))+(('Fórmula'!E68)/('Fórmula'!C68+'Fórmula'!E68+'Fórmula'!G68+'Fórmula'!I68+'Fórmula'!K68))*(INDEX(properties!A$1:CB$87,'Fórmula'!D68,32))+(('Fórmula'!G68)/('Fórmula'!C68+'Fórmula'!E68+'Fórmula'!G68+'Fórmula'!I68+'Fórmula'!K68))*(INDEX(properties!A$1:CB$87,'Fórmula'!F68,32))+(('Fórmula'!I68)/('Fórmula'!C68+'Fórmula'!E68+'Fórmula'!G68+'Fórmula'!I68+'Fórmula'!K68))*(INDEX(properties!A$1:CB$87,'Fórmula'!H68,32))+(('Fórmula'!K68)/('Fórmula'!C68+'Fórmula'!E68+'Fórmula'!G68+'Fórmula'!I68+'Fórmula'!K68))*(INDEX(properties!A$1:CB$87,'Fórmula'!J68,32))</f>
        <v>5.675714286</v>
      </c>
      <c r="DA68" s="119">
        <f t="array" ref="DA68">'Fórmula'!C68*(INDEX(properties!A$1:CB$87,'Fórmula'!B68,32))+'Fórmula'!E68*(INDEX(properties!A$1:CB$87,'Fórmula'!D68,32))+'Fórmula'!G68*(INDEX(properties!A$1:CB$87,'Fórmula'!F68,32))+'Fórmula'!I68*(INDEX(properties!A$1:CB$87,'Fórmula'!H68,32))+'Fórmula'!K68*(INDEX(properties!A$1:CB$87,'Fórmula'!J68,32))</f>
        <v>39.73</v>
      </c>
      <c r="DB68" s="119">
        <f t="array" ref="DB68">VARP(IF(INDEX(properties!A$1:CB$87,'Fórmula'!B68,32)&lt;&gt;"",INDEX(properties!A$1:CB$87,'Fórmula'!B68,32)),IF(INDEX(properties!A$1:CB$87,'Fórmula'!D68,32)&lt;&gt;"",INDEX(properties!A$1:CB$87,'Fórmula'!D68,32)),IF(INDEX(properties!A$1:CB$87,'Fórmula'!F68,32)&lt;&gt;"",INDEX(properties!A$1:CB$87,'Fórmula'!F68,32)),IF(INDEX(properties!A$1:CB$87,'Fórmula'!H68,32)&lt;&gt;"",INDEX(properties!A$1:CB$87,'Fórmula'!H68,32)),IF(INDEX(properties!A$1:CB$87,'Fórmula'!J68,32)&lt;&gt;"",INDEX(properties!A$1:CB$87,'Fórmula'!J68,32)))</f>
        <v>8.417536</v>
      </c>
      <c r="DC68" s="119">
        <f t="array" ref="DC68">MAX(INDEX(properties!A$1:CB$87,'Fórmula'!B68,32),INDEX(properties!A$1:CB$87,'Fórmula'!D68,32),INDEX(properties!A$1:CB$87,'Fórmula'!F68,32),INDEX(properties!A$1:CB$87,'Fórmula'!H68,32),INDEX(properties!A$1:CB$87,'Fórmula'!J68,32))</f>
        <v>7.54</v>
      </c>
      <c r="DD68" s="119">
        <f t="array" ref="DD68">MIN(IF(INDEX(properties!A$1:CB$87,'Fórmula'!B68,32)=0,10^6,INDEX(properties!A$1:CB$87,'Fórmula'!B68,32)),IF(INDEX(properties!A$1:CB$87,'Fórmula'!D68,32)=0,10^6,INDEX(properties!A$1:CB$87,'Fórmula'!D68,32)),IF(INDEX(properties!A$1:CB$87,'Fórmula'!F68,32)=0,10^6,INDEX(properties!A$1:CB$87,'Fórmula'!F68,32)),IF(INDEX(properties!A$1:CB$87,'Fórmula'!H68,32)=0,10^6,INDEX(properties!A$1:CB$87,'Fórmula'!H68,32)),IF(INDEX(properties!A$1:CB$87,'Fórmula'!J68,32)=0,10^6,INDEX(properties!A$1:CB$87,'Fórmula'!J68,32)))</f>
        <v>2.4</v>
      </c>
      <c r="DE68" s="119">
        <f t="shared" si="18"/>
        <v>5.14</v>
      </c>
      <c r="DF68" s="104">
        <f t="array" ref="DF68">(('Fórmula'!C68)/('Fórmula'!C68+'Fórmula'!E68+'Fórmula'!G68+'Fórmula'!I68+'Fórmula'!K68))*(INDEX(properties!A$1:CB$87,'Fórmula'!B68,34))+(('Fórmula'!E68)/('Fórmula'!C68+'Fórmula'!E68+'Fórmula'!G68+'Fórmula'!I68+'Fórmula'!K68))*(INDEX(properties!A$1:CB$87,'Fórmula'!D68,34))+(('Fórmula'!G68)/('Fórmula'!C68+'Fórmula'!E68+'Fórmula'!G68+'Fórmula'!I68+'Fórmula'!K68))*(INDEX(properties!A$1:CB$87,'Fórmula'!F68,34))+(('Fórmula'!I68)/('Fórmula'!C68+'Fórmula'!E68+'Fórmula'!G68+'Fórmula'!I68+'Fórmula'!K68))*(INDEX(properties!A$1:CB$87,'Fórmula'!H68,34))+(('Fórmula'!K68)/('Fórmula'!C68+'Fórmula'!E68+'Fórmula'!G68+'Fórmula'!I68+'Fórmula'!K68))*(INDEX(properties!A$1:CB$87,'Fórmula'!J68,34))</f>
        <v>2.588285714</v>
      </c>
      <c r="DG68" s="104">
        <f t="array" ref="DG68">'Fórmula'!C68*(INDEX(properties!A$1:CB$87,'Fórmula'!B68,34))+'Fórmula'!E68*(INDEX(properties!A$1:CB$87,'Fórmula'!D68,34))+'Fórmula'!G68*(INDEX(properties!A$1:CB$87,'Fórmula'!F68,34))+'Fórmula'!I68*(INDEX(properties!A$1:CB$87,'Fórmula'!H68,34))+'Fórmula'!K68*(INDEX(properties!A$1:CB$87,'Fórmula'!J68,34))</f>
        <v>18.118</v>
      </c>
      <c r="DH68" s="104">
        <f t="array" ref="DH68">VARP(IF(INDEX(properties!A$1:CB$87,'Fórmula'!B68,34)&lt;&gt;"",INDEX(properties!A$1:CB$87,'Fórmula'!B68,34)),IF(INDEX(properties!A$1:CB$87,'Fórmula'!D68,34)&lt;&gt;"",INDEX(properties!A$1:CB$87,'Fórmula'!D68,34)),IF(INDEX(properties!A$1:CB$87,'Fórmula'!F68,34)&lt;&gt;"",INDEX(properties!A$1:CB$87,'Fórmula'!F68,34)),IF(INDEX(properties!A$1:CB$87,'Fórmula'!H68,34)&lt;&gt;"",INDEX(properties!A$1:CB$87,'Fórmula'!H68,34)),IF(INDEX(properties!A$1:CB$87,'Fórmula'!J68,34)&lt;&gt;"",INDEX(properties!A$1:CB$87,'Fórmula'!J68,34)))</f>
        <v>1.85387744</v>
      </c>
      <c r="DI68" s="104">
        <f t="array" ref="DI68">MAX(INDEX(properties!A$1:CB$87,'Fórmula'!B68,34),INDEX(properties!A$1:CB$87,'Fórmula'!D68,34),INDEX(properties!A$1:CB$87,'Fórmula'!F68,34),INDEX(properties!A$1:CB$87,'Fórmula'!H68,34),INDEX(properties!A$1:CB$87,'Fórmula'!J68,34))</f>
        <v>3.61</v>
      </c>
      <c r="DJ68" s="104">
        <f t="array" ref="DJ68">MIN(IF(INDEX(properties!A$1:CB$87,'Fórmula'!B68,34)=0,10^6,INDEX(properties!A$1:CB$87,'Fórmula'!B68,34)),IF(INDEX(properties!A$1:CB$87,'Fórmula'!D68,34)=0,10^6,INDEX(properties!A$1:CB$87,'Fórmula'!D68,34)),IF(INDEX(properties!A$1:CB$87,'Fórmula'!F68,34)=0,10^6,INDEX(properties!A$1:CB$87,'Fórmula'!F68,34)),IF(INDEX(properties!A$1:CB$87,'Fórmula'!H68,34)=0,10^6,INDEX(properties!A$1:CB$87,'Fórmula'!H68,34)),IF(INDEX(properties!A$1:CB$87,'Fórmula'!J68,34)=0,10^6,INDEX(properties!A$1:CB$87,'Fórmula'!J68,34)))</f>
        <v>0.881</v>
      </c>
      <c r="DK68" s="104">
        <f t="shared" si="19"/>
        <v>2.729</v>
      </c>
      <c r="DL68" s="105">
        <f t="array" ref="DL68">(('Fórmula'!C68)/('Fórmula'!C68+'Fórmula'!E68+'Fórmula'!G68+'Fórmula'!I68+'Fórmula'!K68))*(INDEX(properties!A$1:CB$87,'Fórmula'!B68,37))+(('Fórmula'!E68)/('Fórmula'!C68+'Fórmula'!E68+'Fórmula'!G68+'Fórmula'!I68+'Fórmula'!K68))*(INDEX(properties!A$1:CB$87,'Fórmula'!D68,37))+(('Fórmula'!G68)/('Fórmula'!C68+'Fórmula'!E68+'Fórmula'!G68+'Fórmula'!I68+'Fórmula'!K68))*(INDEX(properties!A$1:CB$87,'Fórmula'!F68,37))+(('Fórmula'!I68)/('Fórmula'!C68+'Fórmula'!E68+'Fórmula'!G68+'Fórmula'!I68+'Fórmula'!K68))*(INDEX(properties!A$1:CB$87,'Fórmula'!H68,37))+(('Fórmula'!K68)/('Fórmula'!C68+'Fórmula'!E68+'Fórmula'!G68+'Fórmula'!I68+'Fórmula'!K68))*(INDEX(properties!A$1:CB$87,'Fórmula'!J68,37))</f>
        <v>2.485714286</v>
      </c>
      <c r="DM68" s="105">
        <f t="array" ref="DM68">'Fórmula'!C68*(INDEX(properties!A$1:CB$87,'Fórmula'!B68,37))+'Fórmula'!E68*(INDEX(properties!A$1:CB$87,'Fórmula'!D68,37))+'Fórmula'!G68*(INDEX(properties!A$1:CB$87,'Fórmula'!F68,37))+'Fórmula'!I68*(INDEX(properties!A$1:CB$87,'Fórmula'!H68,37))+'Fórmula'!K68*(INDEX(properties!A$1:CB$87,'Fórmula'!J68,37))</f>
        <v>17.4</v>
      </c>
      <c r="DN68" s="105">
        <f t="array" ref="DN68">VARP(IF(INDEX(properties!A$1:CB$87,'Fórmula'!B68,37)&lt;&gt;"",INDEX(properties!A$1:CB$87,'Fórmula'!B68,37)),IF(INDEX(properties!A$1:CB$87,'Fórmula'!D68,37)&lt;&gt;"",INDEX(properties!A$1:CB$87,'Fórmula'!D68,37)),IF(INDEX(properties!A$1:CB$87,'Fórmula'!F68,37)&lt;&gt;"",INDEX(properties!A$1:CB$87,'Fórmula'!F68,37)),IF(INDEX(properties!A$1:CB$87,'Fórmula'!H68,37)&lt;&gt;"",INDEX(properties!A$1:CB$87,'Fórmula'!H68,37)),IF(INDEX(properties!A$1:CB$87,'Fórmula'!J68,37)&lt;&gt;"",INDEX(properties!A$1:CB$87,'Fórmula'!J68,37)))</f>
        <v>1.6776</v>
      </c>
      <c r="DO68" s="105">
        <f t="array" ref="DO68">MAX(INDEX(properties!A$1:CB$87,'Fórmula'!B68,37),INDEX(properties!A$1:CB$87,'Fórmula'!D68,37),INDEX(properties!A$1:CB$87,'Fórmula'!F68,37),INDEX(properties!A$1:CB$87,'Fórmula'!H68,37),INDEX(properties!A$1:CB$87,'Fórmula'!J68,37))</f>
        <v>3.45</v>
      </c>
      <c r="DP68" s="105">
        <f t="array" ref="DP68">MIN(IF(INDEX(properties!A$1:CB$87,'Fórmula'!B68,37)=0,10^6,INDEX(properties!A$1:CB$87,'Fórmula'!B68,37)),IF(INDEX(properties!A$1:CB$87,'Fórmula'!D68,37)=0,10^6,INDEX(properties!A$1:CB$87,'Fórmula'!D68,37)),IF(INDEX(properties!A$1:CB$87,'Fórmula'!F68,37)=0,10^6,INDEX(properties!A$1:CB$87,'Fórmula'!F68,37)),IF(INDEX(properties!A$1:CB$87,'Fórmula'!H68,37)=0,10^6,INDEX(properties!A$1:CB$87,'Fórmula'!H68,37)),IF(INDEX(properties!A$1:CB$87,'Fórmula'!J68,37)=0,10^6,INDEX(properties!A$1:CB$87,'Fórmula'!J68,37)))</f>
        <v>0.9</v>
      </c>
      <c r="DQ68" s="105">
        <f t="shared" si="20"/>
        <v>2.55</v>
      </c>
      <c r="DR68" s="109">
        <f t="array" ref="DR68">(('Fórmula'!C68)/('Fórmula'!C68+'Fórmula'!E68+'Fórmula'!G68+'Fórmula'!I68+'Fórmula'!K68))*(INDEX(properties!A$1:CB$87,'Fórmula'!B68,39))+(('Fórmula'!E68)/('Fórmula'!C68+'Fórmula'!E68+'Fórmula'!G68+'Fórmula'!I68+'Fórmula'!K68))*(INDEX(properties!A$1:CB$87,'Fórmula'!D68,39))+(('Fórmula'!G68)/('Fórmula'!C68+'Fórmula'!E68+'Fórmula'!G68+'Fórmula'!I68+'Fórmula'!K68))*(INDEX(properties!A$1:CB$87,'Fórmula'!F68,39))+(('Fórmula'!I68)/('Fórmula'!C68+'Fórmula'!E68+'Fórmula'!G68+'Fórmula'!I68+'Fórmula'!K68))*(INDEX(properties!A$1:CB$87,'Fórmula'!H68,39))+(('Fórmula'!K68)/('Fórmula'!C68+'Fórmula'!E68+'Fórmula'!G68+'Fórmula'!I68+'Fórmula'!K68))*(INDEX(properties!A$1:CB$87,'Fórmula'!J68,39))</f>
        <v>1.155714286</v>
      </c>
      <c r="DS68" s="109">
        <f t="array" ref="DS68">'Fórmula'!C68*(INDEX(properties!A$1:CB$87,'Fórmula'!B68,39))+'Fórmula'!E68*(INDEX(properties!A$1:CB$87,'Fórmula'!D68,39))+'Fórmula'!G68*(INDEX(properties!A$1:CB$87,'Fórmula'!F68,39))+'Fórmula'!I68*(INDEX(properties!A$1:CB$87,'Fórmula'!H68,39))+'Fórmula'!K68*(INDEX(properties!A$1:CB$87,'Fórmula'!J68,39))</f>
        <v>8.09</v>
      </c>
      <c r="DT68" s="109">
        <f t="array" ref="DT68">VARP(IF(INDEX(properties!A$1:CB$87,'Fórmula'!B68,39)&lt;&gt;"",INDEX(properties!A$1:CB$87,'Fórmula'!B68,39)),IF(INDEX(properties!A$1:CB$87,'Fórmula'!D68,39)&lt;&gt;"",INDEX(properties!A$1:CB$87,'Fórmula'!D68,39)),IF(INDEX(properties!A$1:CB$87,'Fórmula'!F68,39)&lt;&gt;"",INDEX(properties!A$1:CB$87,'Fórmula'!F68,39)),IF(INDEX(properties!A$1:CB$87,'Fórmula'!H68,39)&lt;&gt;"",INDEX(properties!A$1:CB$87,'Fórmula'!H68,39)),IF(INDEX(properties!A$1:CB$87,'Fórmula'!J68,39)&lt;&gt;"",INDEX(properties!A$1:CB$87,'Fórmula'!J68,39)))</f>
        <v>0.893704</v>
      </c>
      <c r="DU68" s="120">
        <f t="array" ref="DU68">MAX(INDEX(properties!A$1:CB$87,'Fórmula'!B68,39),INDEX(properties!A$1:CB$87,'Fórmula'!D68,39),INDEX(properties!A$1:CB$87,'Fórmula'!F68,39),INDEX(properties!A$1:CB$87,'Fórmula'!H68,39),INDEX(properties!A$1:CB$87,'Fórmula'!J68,39))</f>
        <v>2.53</v>
      </c>
      <c r="DV68" s="120">
        <f t="array" ref="DV68">MIN(IF(INDEX(properties!A$1:CB$87,'Fórmula'!B68,39)=0,10^6,INDEX(properties!A$1:CB$87,'Fórmula'!B68,39)),IF(INDEX(properties!A$1:CB$87,'Fórmula'!D68,39)=0,10^6,INDEX(properties!A$1:CB$87,'Fórmula'!D68,39)),IF(INDEX(properties!A$1:CB$87,'Fórmula'!F68,39)=0,10^6,INDEX(properties!A$1:CB$87,'Fórmula'!F68,39)),IF(INDEX(properties!A$1:CB$87,'Fórmula'!H68,39)=0,10^6,INDEX(properties!A$1:CB$87,'Fórmula'!H68,39)),IF(INDEX(properties!A$1:CB$87,'Fórmula'!J68,39)=0,10^6,INDEX(properties!A$1:CB$87,'Fórmula'!J68,39)))</f>
        <v>0.48</v>
      </c>
      <c r="DW68" s="109">
        <f t="shared" si="21"/>
        <v>2.05</v>
      </c>
      <c r="DX68" s="110">
        <f t="array" ref="DX68">(('Fórmula'!C68)/('Fórmula'!C68+'Fórmula'!E68+'Fórmula'!G68+'Fórmula'!I68+'Fórmula'!K68))*(INDEX(properties!A$1:CB$87,'Fórmula'!B68,40))+(('Fórmula'!E68)/('Fórmula'!C68+'Fórmula'!E68+'Fórmula'!G68+'Fórmula'!I68+'Fórmula'!K68))*(INDEX(properties!A$1:CB$87,'Fórmula'!D68,40))+(('Fórmula'!G68)/('Fórmula'!C68+'Fórmula'!E68+'Fórmula'!G68+'Fórmula'!I68+'Fórmula'!K68))*(INDEX(properties!A$1:CB$87,'Fórmula'!F68,40))+(('Fórmula'!I68)/('Fórmula'!C68+'Fórmula'!E68+'Fórmula'!G68+'Fórmula'!I68+'Fórmula'!K68))*(INDEX(properties!A$1:CB$87,'Fórmula'!H68,40))+(('Fórmula'!K68)/('Fórmula'!C68+'Fórmula'!E68+'Fórmula'!G68+'Fórmula'!I68+'Fórmula'!K68))*(INDEX(properties!A$1:CB$87,'Fórmula'!J68,40))</f>
        <v>1.141428571</v>
      </c>
      <c r="DY68" s="110">
        <f t="array" ref="DY68">'Fórmula'!C68*(INDEX(properties!A$1:CB$87,'Fórmula'!B68,40))+'Fórmula'!E68*(INDEX(properties!A$1:CB$87,'Fórmula'!D68,40))+'Fórmula'!G68*(INDEX(properties!A$1:CB$87,'Fórmula'!F68,40))+'Fórmula'!I68*(INDEX(properties!A$1:CB$87,'Fórmula'!H68,40))+'Fórmula'!K68*(INDEX(properties!A$1:CB$87,'Fórmula'!J68,40))</f>
        <v>7.99</v>
      </c>
      <c r="DZ68" s="110">
        <f t="array" ref="DZ68">VARP(IF(INDEX(properties!A$1:CB$87,'Fórmula'!B68,40)&lt;&gt;"",INDEX(properties!A$1:CB$87,'Fórmula'!B68,40)),IF(INDEX(properties!A$1:CB$87,'Fórmula'!D68,40)&lt;&gt;"",INDEX(properties!A$1:CB$87,'Fórmula'!D68,40)),IF(INDEX(properties!A$1:CB$87,'Fórmula'!F68,40)&lt;&gt;"",INDEX(properties!A$1:CB$87,'Fórmula'!F68,40)),IF(INDEX(properties!A$1:CB$87,'Fórmula'!H68,40)&lt;&gt;"",INDEX(properties!A$1:CB$87,'Fórmula'!H68,40)),IF(INDEX(properties!A$1:CB$87,'Fórmula'!J68,40)&lt;&gt;"",INDEX(properties!A$1:CB$87,'Fórmula'!J68,40)))</f>
        <v>0.553384</v>
      </c>
      <c r="EA68" s="121">
        <f t="array" ref="EA68">MAX(INDEX(properties!A$1:CB$87,'Fórmula'!B68,40),INDEX(properties!A$1:CB$87,'Fórmula'!D68,40),INDEX(properties!A$1:CB$87,'Fórmula'!F68,40),INDEX(properties!A$1:CB$87,'Fórmula'!H68,40),INDEX(properties!A$1:CB$87,'Fórmula'!J68,40))</f>
        <v>1.98</v>
      </c>
      <c r="EB68" s="121">
        <f t="array" ref="EB68">MIN(IF(INDEX(properties!A$1:CB$87,'Fórmula'!B68,40)=0,10^6,INDEX(properties!A$1:CB$87,'Fórmula'!B68,40)),IF(INDEX(properties!A$1:CB$87,'Fórmula'!D68,40)=0,10^6,INDEX(properties!A$1:CB$87,'Fórmula'!D68,40)),IF(INDEX(properties!A$1:CB$87,'Fórmula'!F68,40)=0,10^6,INDEX(properties!A$1:CB$87,'Fórmula'!F68,40)),IF(INDEX(properties!A$1:CB$87,'Fórmula'!H68,40)=0,10^6,INDEX(properties!A$1:CB$87,'Fórmula'!H68,40)),IF(INDEX(properties!A$1:CB$87,'Fórmula'!J68,40)=0,10^6,INDEX(properties!A$1:CB$87,'Fórmula'!J68,40)))</f>
        <v>0.73</v>
      </c>
      <c r="EC68" s="110">
        <f t="shared" si="22"/>
        <v>1.25</v>
      </c>
      <c r="ED68" s="111">
        <f t="array" ref="ED68">(('Fórmula'!C68)/('Fórmula'!C68+'Fórmula'!E68+'Fórmula'!G68+'Fórmula'!I68+'Fórmula'!K68))*(INDEX(properties!A$1:CB$87,'Fórmula'!B68,41))+(('Fórmula'!E68)/('Fórmula'!C68+'Fórmula'!E68+'Fórmula'!G68+'Fórmula'!I68+'Fórmula'!K68))*(INDEX(properties!A$1:CB$87,'Fórmula'!D68,41))+(('Fórmula'!G68)/('Fórmula'!C68+'Fórmula'!E68+'Fórmula'!G68+'Fórmula'!I68+'Fórmula'!K68))*(INDEX(properties!A$1:CB$87,'Fórmula'!F68,41))+(('Fórmula'!I68)/('Fórmula'!C68+'Fórmula'!E68+'Fórmula'!G68+'Fórmula'!I68+'Fórmula'!K68))*(INDEX(properties!A$1:CB$87,'Fórmula'!H68,41))+(('Fórmula'!K68)/('Fórmula'!C68+'Fórmula'!E68+'Fórmula'!G68+'Fórmula'!I68+'Fórmula'!K68))*(INDEX(properties!A$1:CB$87,'Fórmula'!J68,41))</f>
        <v>1.222857143</v>
      </c>
      <c r="EE68" s="111">
        <f t="array" ref="EE68">'Fórmula'!C68*(INDEX(properties!A$1:CB$87,'Fórmula'!B68,41))+'Fórmula'!E68*(INDEX(properties!A$1:CB$87,'Fórmula'!D68,41))+'Fórmula'!G68*(INDEX(properties!A$1:CB$87,'Fórmula'!F68,41))+'Fórmula'!I68*(INDEX(properties!A$1:CB$87,'Fórmula'!H68,41))+'Fórmula'!K68*(INDEX(properties!A$1:CB$87,'Fórmula'!J68,41))</f>
        <v>8.56</v>
      </c>
      <c r="EF68" s="111">
        <f t="array" ref="EF68">VARP(IF(INDEX(properties!A$1:CB$87,'Fórmula'!B68,41)&lt;&gt;"",INDEX(properties!A$1:CB$87,'Fórmula'!B68,41)),IF(INDEX(properties!A$1:CB$87,'Fórmula'!D68,41)&lt;&gt;"",INDEX(properties!A$1:CB$87,'Fórmula'!D68,41)),IF(INDEX(properties!A$1:CB$87,'Fórmula'!F68,41)&lt;&gt;"",INDEX(properties!A$1:CB$87,'Fórmula'!F68,41)),IF(INDEX(properties!A$1:CB$87,'Fórmula'!H68,41)&lt;&gt;"",INDEX(properties!A$1:CB$87,'Fórmula'!H68,41)),IF(INDEX(properties!A$1:CB$87,'Fórmula'!J68,41)&lt;&gt;"",INDEX(properties!A$1:CB$87,'Fórmula'!J68,41)))</f>
        <v>0.386896</v>
      </c>
      <c r="EG68" s="122">
        <f t="array" ref="EG68">MAX(INDEX(properties!A$1:CB$87,'Fórmula'!B68,41),INDEX(properties!A$1:CB$87,'Fórmula'!D68,41),INDEX(properties!A$1:CB$87,'Fórmula'!F68,41),INDEX(properties!A$1:CB$87,'Fórmula'!H68,41),INDEX(properties!A$1:CB$87,'Fórmula'!J68,41))</f>
        <v>1.49</v>
      </c>
      <c r="EH68" s="122">
        <f t="array" ref="EH68">MIN(IF(INDEX(properties!A$1:CB$87,'Fórmula'!B68,41)=0,10^6,INDEX(properties!A$1:CB$87,'Fórmula'!B68,41)),IF(INDEX(properties!A$1:CB$87,'Fórmula'!D68,41)=0,10^6,INDEX(properties!A$1:CB$87,'Fórmula'!D68,41)),IF(INDEX(properties!A$1:CB$87,'Fórmula'!F68,41)=0,10^6,INDEX(properties!A$1:CB$87,'Fórmula'!F68,41)),IF(INDEX(properties!A$1:CB$87,'Fórmula'!H68,41)=0,10^6,INDEX(properties!A$1:CB$87,'Fórmula'!H68,41)),IF(INDEX(properties!A$1:CB$87,'Fórmula'!J68,41)=0,10^6,INDEX(properties!A$1:CB$87,'Fórmula'!J68,41)))</f>
        <v>0.54</v>
      </c>
      <c r="EI68" s="111">
        <f t="shared" si="23"/>
        <v>0.95</v>
      </c>
      <c r="EJ68" s="112">
        <f t="array" ref="EJ68">(('Fórmula'!C68)/('Fórmula'!C68+'Fórmula'!E68+'Fórmula'!G68+'Fórmula'!I68+'Fórmula'!K68))*(INDEX(properties!A$1:CB$87,'Fórmula'!B68,45))+(('Fórmula'!E68)/('Fórmula'!C68+'Fórmula'!E68+'Fórmula'!G68+'Fórmula'!I68+'Fórmula'!K68))*(INDEX(properties!A$1:CB$87,'Fórmula'!D68,45))+(('Fórmula'!G68)/('Fórmula'!C68+'Fórmula'!E68+'Fórmula'!G68+'Fórmula'!I68+'Fórmula'!K68))*(INDEX(properties!A$1:CB$87,'Fórmula'!F68,45))+(('Fórmula'!I68)/('Fórmula'!C68+'Fórmula'!E68+'Fórmula'!G68+'Fórmula'!I68+'Fórmula'!K68))*(INDEX(properties!A$1:CB$87,'Fórmula'!H68,45))+(('Fórmula'!K68)/('Fórmula'!C68+'Fórmula'!E68+'Fórmula'!G68+'Fórmula'!I68+'Fórmula'!K68))*(INDEX(properties!A$1:CB$87,'Fórmula'!J68,45))</f>
        <v>1.442857143</v>
      </c>
      <c r="EK68" s="112">
        <f t="array" ref="EK68">'Fórmula'!C68*(INDEX(properties!A$1:CB$87,'Fórmula'!B68,45))+'Fórmula'!E68*(INDEX(properties!A$1:CB$87,'Fórmula'!D68,45))+'Fórmula'!G68*(INDEX(properties!A$1:CB$87,'Fórmula'!F68,45))+'Fórmula'!I68*(INDEX(properties!A$1:CB$87,'Fórmula'!H68,45))+'Fórmula'!K68*(INDEX(properties!A$1:CB$87,'Fórmula'!J68,45))</f>
        <v>10.1</v>
      </c>
      <c r="EL68" s="112">
        <f t="array" ref="EL68">VARP(IF(INDEX(properties!A$1:CB$87,'Fórmula'!B68,45)&lt;&gt;"",INDEX(properties!A$1:CB$87,'Fórmula'!B68,45)),IF(INDEX(properties!A$1:CB$87,'Fórmula'!D68,45)&lt;&gt;"",INDEX(properties!A$1:CB$87,'Fórmula'!D68,45)),IF(INDEX(properties!A$1:CB$87,'Fórmula'!F68,45)&lt;&gt;"",INDEX(properties!A$1:CB$87,'Fórmula'!F68,45)),IF(INDEX(properties!A$1:CB$87,'Fórmula'!H68,45)&lt;&gt;"",INDEX(properties!A$1:CB$87,'Fórmula'!H68,45)),IF(INDEX(properties!A$1:CB$87,'Fórmula'!J68,45)&lt;&gt;"",INDEX(properties!A$1:CB$87,'Fórmula'!J68,45)))</f>
        <v>1.640096</v>
      </c>
      <c r="EM68" s="123">
        <f t="array" ref="EM68">MAX(INDEX(properties!A$1:CB$87,'Fórmula'!B68,45),INDEX(properties!A$1:CB$87,'Fórmula'!D68,45),INDEX(properties!A$1:CB$87,'Fórmula'!F68,45),INDEX(properties!A$1:CB$87,'Fórmula'!H68,45),INDEX(properties!A$1:CB$87,'Fórmula'!J68,45))</f>
        <v>3.4</v>
      </c>
      <c r="EN68" s="123">
        <f t="array" ref="EN68">MIN(IF(INDEX(properties!A$1:CB$87,'Fórmula'!B68,45)=0,10^6,INDEX(properties!A$1:CB$87,'Fórmula'!B68,45)),IF(INDEX(properties!A$1:CB$87,'Fórmula'!D68,45)=0,10^6,INDEX(properties!A$1:CB$87,'Fórmula'!D68,45)),IF(INDEX(properties!A$1:CB$87,'Fórmula'!F68,45)=0,10^6,INDEX(properties!A$1:CB$87,'Fórmula'!F68,45)),IF(INDEX(properties!A$1:CB$87,'Fórmula'!H68,45)=0,10^6,INDEX(properties!A$1:CB$87,'Fórmula'!H68,45)),IF(INDEX(properties!A$1:CB$87,'Fórmula'!J68,45)=0,10^6,INDEX(properties!A$1:CB$87,'Fórmula'!J68,45)))</f>
        <v>0.47</v>
      </c>
      <c r="EO68" s="112">
        <f t="shared" si="24"/>
        <v>2.93</v>
      </c>
      <c r="EP68" s="113">
        <f t="array" ref="EP68">(('Fórmula'!C68)/('Fórmula'!C68+'Fórmula'!E68+'Fórmula'!G68+'Fórmula'!I68+'Fórmula'!K68))*(INDEX(properties!A$1:CB$87,'Fórmula'!B68,46))+(('Fórmula'!E68)/('Fórmula'!C68+'Fórmula'!E68+'Fórmula'!G68+'Fórmula'!I68+'Fórmula'!K68))*(INDEX(properties!A$1:CB$87,'Fórmula'!D68,46))+(('Fórmula'!G68)/('Fórmula'!C68+'Fórmula'!E68+'Fórmula'!G68+'Fórmula'!I68+'Fórmula'!K68))*(INDEX(properties!A$1:CB$87,'Fórmula'!F68,46))+(('Fórmula'!I68)/('Fórmula'!C68+'Fórmula'!E68+'Fórmula'!G68+'Fórmula'!I68+'Fórmula'!K68))*(INDEX(properties!A$1:CB$87,'Fórmula'!H68,46))+(('Fórmula'!K68)/('Fórmula'!C68+'Fórmula'!E68+'Fórmula'!G68+'Fórmula'!I68+'Fórmula'!K68))*(INDEX(properties!A$1:CB$87,'Fórmula'!J68,46))</f>
        <v>1.174285714</v>
      </c>
      <c r="EQ68" s="113">
        <f t="array" ref="EQ68">'Fórmula'!C68*(INDEX(properties!A$1:CB$87,'Fórmula'!B68,46))+'Fórmula'!E68*(INDEX(properties!A$1:CB$87,'Fórmula'!D68,46))+'Fórmula'!G68*(INDEX(properties!A$1:CB$87,'Fórmula'!F68,46))+'Fórmula'!I68*(INDEX(properties!A$1:CB$87,'Fórmula'!H68,46))+'Fórmula'!K68*(INDEX(properties!A$1:CB$87,'Fórmula'!J68,46))</f>
        <v>8.22</v>
      </c>
      <c r="ER68" s="113">
        <f t="array" ref="ER68">VARP(IF(INDEX(properties!A$1:CB$87,'Fórmula'!B68,46)&lt;&gt;"",INDEX(properties!A$1:CB$87,'Fórmula'!B68,46)),IF(INDEX(properties!A$1:CB$87,'Fórmula'!D68,46)&lt;&gt;"",INDEX(properties!A$1:CB$87,'Fórmula'!D68,46)),IF(INDEX(properties!A$1:CB$87,'Fórmula'!F68,46)&lt;&gt;"",INDEX(properties!A$1:CB$87,'Fórmula'!F68,46)),IF(INDEX(properties!A$1:CB$87,'Fórmula'!H68,46)&lt;&gt;"",INDEX(properties!A$1:CB$87,'Fórmula'!H68,46)),IF(INDEX(properties!A$1:CB$87,'Fórmula'!J68,46)&lt;&gt;"",INDEX(properties!A$1:CB$87,'Fórmula'!J68,46)))</f>
        <v>0.38444</v>
      </c>
      <c r="ES68" s="124">
        <f t="array" ref="ES68">MAX(INDEX(properties!A$1:CB$87,'Fórmula'!B68,46),INDEX(properties!A$1:CB$87,'Fórmula'!D68,46),INDEX(properties!A$1:CB$87,'Fórmula'!F68,46),INDEX(properties!A$1:CB$87,'Fórmula'!H68,46),INDEX(properties!A$1:CB$87,'Fórmula'!J68,46))</f>
        <v>1.49</v>
      </c>
      <c r="ET68" s="124">
        <f t="array" ref="ET68">MIN(IF(INDEX(properties!A$1:CB$87,'Fórmula'!B68,46)=0,10^6,INDEX(properties!A$1:CB$87,'Fórmula'!B68,46)),IF(INDEX(properties!A$1:CB$87,'Fórmula'!D68,46)=0,10^6,INDEX(properties!A$1:CB$87,'Fórmula'!D68,46)),IF(INDEX(properties!A$1:CB$87,'Fórmula'!F68,46)=0,10^6,INDEX(properties!A$1:CB$87,'Fórmula'!F68,46)),IF(INDEX(properties!A$1:CB$87,'Fórmula'!H68,46)=0,10^6,INDEX(properties!A$1:CB$87,'Fórmula'!H68,46)),IF(INDEX(properties!A$1:CB$87,'Fórmula'!J68,46)=0,10^6,INDEX(properties!A$1:CB$87,'Fórmula'!J68,46)))</f>
        <v>0.4</v>
      </c>
      <c r="EU68" s="113">
        <f t="shared" si="25"/>
        <v>1.09</v>
      </c>
      <c r="EV68" s="114">
        <f t="array" ref="EV68">(('Fórmula'!C68)/('Fórmula'!C68+'Fórmula'!E68+'Fórmula'!G68+'Fórmula'!I68+'Fórmula'!K68))*(INDEX(properties!A$1:CB$87,'Fórmula'!B68,52))+(('Fórmula'!E68)/('Fórmula'!C68+'Fórmula'!E68+'Fórmula'!G68+'Fórmula'!I68+'Fórmula'!K68))*(INDEX(properties!A$1:CB$87,'Fórmula'!D68,52))+(('Fórmula'!G68)/('Fórmula'!C68+'Fórmula'!E68+'Fórmula'!G68+'Fórmula'!I68+'Fórmula'!K68))*(INDEX(properties!A$1:CB$87,'Fórmula'!F68,52))+(('Fórmula'!I68)/('Fórmula'!C68+'Fórmula'!E68+'Fórmula'!G68+'Fórmula'!I68+'Fórmula'!K68))*(INDEX(properties!A$1:CB$87,'Fórmula'!H68,52))+(('Fórmula'!K68)/('Fórmula'!C68+'Fórmula'!E68+'Fórmula'!G68+'Fórmula'!I68+'Fórmula'!K68))*(INDEX(properties!A$1:CB$87,'Fórmula'!J68,52))</f>
        <v>12.56742857</v>
      </c>
      <c r="EW68" s="114">
        <f t="array" ref="EW68">'Fórmula'!C68*(INDEX(properties!A$1:CB$87,'Fórmula'!B68,52))+'Fórmula'!E68*(INDEX(properties!A$1:CB$87,'Fórmula'!D68,52))+'Fórmula'!G68*(INDEX(properties!A$1:CB$87,'Fórmula'!F68,52))+'Fórmula'!I68*(INDEX(properties!A$1:CB$87,'Fórmula'!H68,52))+'Fórmula'!K68*(INDEX(properties!A$1:CB$87,'Fórmula'!J68,52))</f>
        <v>87.972</v>
      </c>
      <c r="EX68" s="114">
        <f t="array" ref="EX68">VARP(IF(INDEX(properties!A$1:CB$87,'Fórmula'!B68,52)&lt;&gt;"",INDEX(properties!A$1:CB$87,'Fórmula'!B68,52)),IF(INDEX(properties!A$1:CB$87,'Fórmula'!D68,52)&lt;&gt;"",INDEX(properties!A$1:CB$87,'Fórmula'!D68,52)),IF(INDEX(properties!A$1:CB$87,'Fórmula'!F68,52)&lt;&gt;"",INDEX(properties!A$1:CB$87,'Fórmula'!F68,52)),IF(INDEX(properties!A$1:CB$87,'Fórmula'!H68,52)&lt;&gt;"",INDEX(properties!A$1:CB$87,'Fórmula'!H68,52)),IF(INDEX(properties!A$1:CB$87,'Fórmula'!J68,52)&lt;&gt;"",INDEX(properties!A$1:CB$87,'Fórmula'!J68,52)))</f>
        <v>236.9290718</v>
      </c>
      <c r="EY68" s="114">
        <f t="array" ref="EY68">MAX(INDEX(properties!A$1:CB$87,'Fórmula'!B68,52),INDEX(properties!A$1:CB$87,'Fórmula'!D68,52),INDEX(properties!A$1:CB$87,'Fórmula'!F68,52),INDEX(properties!A$1:CB$87,'Fórmula'!H68,52),INDEX(properties!A$1:CB$87,'Fórmula'!J68,52))</f>
        <v>39.7</v>
      </c>
      <c r="EZ68" s="114">
        <f t="array" ref="EZ68">MIN(IF(INDEX(properties!A$1:CB$87,'Fórmula'!B68,52)=0,10^6,INDEX(properties!A$1:CB$87,'Fórmula'!B68,52)),IF(INDEX(properties!A$1:CB$87,'Fórmula'!D68,52)=0,10^6,INDEX(properties!A$1:CB$87,'Fórmula'!D68,52)),IF(INDEX(properties!A$1:CB$87,'Fórmula'!F68,52)=0,10^6,INDEX(properties!A$1:CB$87,'Fórmula'!F68,52)),IF(INDEX(properties!A$1:CB$87,'Fórmula'!H68,52)=0,10^6,INDEX(properties!A$1:CB$87,'Fórmula'!H68,52)),IF(INDEX(properties!A$1:CB$87,'Fórmula'!J68,52)=0,10^6,INDEX(properties!A$1:CB$87,'Fórmula'!J68,52)))</f>
        <v>0.793</v>
      </c>
      <c r="FA68" s="114">
        <f t="shared" si="26"/>
        <v>38.907</v>
      </c>
      <c r="FB68" s="115">
        <f t="array" ref="FB68">(('Fórmula'!C68)/('Fórmula'!C68+'Fórmula'!E68+'Fórmula'!G68+'Fórmula'!I68+'Fórmula'!K68))*(INDEX(properties!A$1:CB$87,'Fórmula'!B68,53))+(('Fórmula'!E68)/('Fórmula'!C68+'Fórmula'!E68+'Fórmula'!G68+'Fórmula'!I68+'Fórmula'!K68))*(INDEX(properties!A$1:CB$87,'Fórmula'!D68,53))+(('Fórmula'!G68)/('Fórmula'!C68+'Fórmula'!E68+'Fórmula'!G68+'Fórmula'!I68+'Fórmula'!K68))*(INDEX(properties!A$1:CB$87,'Fórmula'!F68,53))+(('Fórmula'!I68)/('Fórmula'!C68+'Fórmula'!E68+'Fórmula'!G68+'Fórmula'!I68+'Fórmula'!K68))*(INDEX(properties!A$1:CB$87,'Fórmula'!H68,53))+(('Fórmula'!K68)/('Fórmula'!C68+'Fórmula'!E68+'Fórmula'!G68+'Fórmula'!I68+'Fórmula'!K68))*(INDEX(properties!A$1:CB$87,'Fórmula'!J68,53))</f>
        <v>556.9214286</v>
      </c>
      <c r="FC68" s="115">
        <f t="array" ref="FC68">'Fórmula'!C68*(INDEX(properties!A$1:CB$87,'Fórmula'!B68,53))+'Fórmula'!E68*(INDEX(properties!A$1:CB$87,'Fórmula'!D68,53))+'Fórmula'!G68*(INDEX(properties!A$1:CB$87,'Fórmula'!F68,53))+'Fórmula'!I68*(INDEX(properties!A$1:CB$87,'Fórmula'!H68,53))+'Fórmula'!K68*(INDEX(properties!A$1:CB$87,'Fórmula'!J68,53))</f>
        <v>3898.45</v>
      </c>
      <c r="FD68" s="115">
        <f t="array" ref="FD68">VARP(IF(INDEX(properties!A$1:CB$87,'Fórmula'!B68,53)&lt;&gt;"",INDEX(properties!A$1:CB$87,'Fórmula'!B68,53)),IF(INDEX(properties!A$1:CB$87,'Fórmula'!D68,53)&lt;&gt;"",INDEX(properties!A$1:CB$87,'Fórmula'!D68,53)),IF(INDEX(properties!A$1:CB$87,'Fórmula'!F68,53)&lt;&gt;"",INDEX(properties!A$1:CB$87,'Fórmula'!F68,53)),IF(INDEX(properties!A$1:CB$87,'Fórmula'!H68,53)&lt;&gt;"",INDEX(properties!A$1:CB$87,'Fórmula'!H68,53)),IF(INDEX(properties!A$1:CB$87,'Fórmula'!J68,53)&lt;&gt;"",INDEX(properties!A$1:CB$87,'Fórmula'!J68,53)))</f>
        <v>467020.1974</v>
      </c>
      <c r="FE68" s="115">
        <f t="array" ref="FE68">MAX(INDEX(properties!A$1:CB$87,'Fórmula'!B68,53),INDEX(properties!A$1:CB$87,'Fórmula'!D68,53),INDEX(properties!A$1:CB$87,'Fórmula'!F68,53),INDEX(properties!A$1:CB$87,'Fórmula'!H68,53),INDEX(properties!A$1:CB$87,'Fórmula'!J68,53))</f>
        <v>1683.15</v>
      </c>
      <c r="FF68" s="115">
        <f t="array" ref="FF68">MIN(IF(INDEX(properties!A$1:CB$87,'Fórmula'!B68,53)=0,10^6,INDEX(properties!A$1:CB$87,'Fórmula'!B68,53)),IF(INDEX(properties!A$1:CB$87,'Fórmula'!D68,53)=0,10^6,INDEX(properties!A$1:CB$87,'Fórmula'!D68,53)),IF(INDEX(properties!A$1:CB$87,'Fórmula'!F68,53)=0,10^6,INDEX(properties!A$1:CB$87,'Fórmula'!F68,53)),IF(INDEX(properties!A$1:CB$87,'Fórmula'!H68,53)=0,10^6,INDEX(properties!A$1:CB$87,'Fórmula'!H68,53)),IF(INDEX(properties!A$1:CB$87,'Fórmula'!J68,53)=0,10^6,INDEX(properties!A$1:CB$87,'Fórmula'!J68,53)))</f>
        <v>54.75</v>
      </c>
      <c r="FG68" s="115">
        <f t="shared" si="27"/>
        <v>1628.4</v>
      </c>
      <c r="FH68" s="117">
        <f t="array" ref="FH68">(('Fórmula'!C68)/('Fórmula'!C68+'Fórmula'!E68+'Fórmula'!G68+'Fórmula'!I68+'Fórmula'!K68))*(INDEX(properties!A$1:CB$87,'Fórmula'!B68,54))+(('Fórmula'!E68)/('Fórmula'!C68+'Fórmula'!E68+'Fórmula'!G68+'Fórmula'!I68+'Fórmula'!K68))*(INDEX(properties!A$1:CB$87,'Fórmula'!D68,54))+(('Fórmula'!G68)/('Fórmula'!C68+'Fórmula'!E68+'Fórmula'!G68+'Fórmula'!I68+'Fórmula'!K68))*(INDEX(properties!A$1:CB$87,'Fórmula'!F68,54))+(('Fórmula'!I68)/('Fórmula'!C68+'Fórmula'!E68+'Fórmula'!G68+'Fórmula'!I68+'Fórmula'!K68))*(INDEX(properties!A$1:CB$87,'Fórmula'!H68,54))+(('Fórmula'!K68)/('Fórmula'!C68+'Fórmula'!E68+'Fórmula'!G68+'Fórmula'!I68+'Fórmula'!K68))*(INDEX(properties!A$1:CB$87,'Fórmula'!J68,54))</f>
        <v>973.5785714</v>
      </c>
      <c r="FI68" s="117">
        <f t="array" ref="FI68">'Fórmula'!C68*(INDEX(properties!A$1:CB$87,'Fórmula'!B68,54))+'Fórmula'!E68*(INDEX(properties!A$1:CB$87,'Fórmula'!D68,54))+'Fórmula'!G68*(INDEX(properties!A$1:CB$87,'Fórmula'!F68,54))+'Fórmula'!I68*(INDEX(properties!A$1:CB$87,'Fórmula'!H68,54))+'Fórmula'!K68*(INDEX(properties!A$1:CB$87,'Fórmula'!J68,54))</f>
        <v>6815.05</v>
      </c>
      <c r="FJ68" s="117">
        <f t="array" ref="FJ68">VARP(IF(INDEX(properties!A$1:CB$87,'Fórmula'!B68,54)&lt;&gt;"",INDEX(properties!A$1:CB$87,'Fórmula'!B68,54)),IF(INDEX(properties!A$1:CB$87,'Fórmula'!D68,54)&lt;&gt;"",INDEX(properties!A$1:CB$87,'Fórmula'!D68,54)),IF(INDEX(properties!A$1:CB$87,'Fórmula'!F68,54)&lt;&gt;"",INDEX(properties!A$1:CB$87,'Fórmula'!F68,54)),IF(INDEX(properties!A$1:CB$87,'Fórmula'!H68,54)&lt;&gt;"",INDEX(properties!A$1:CB$87,'Fórmula'!H68,54)),IF(INDEX(properties!A$1:CB$87,'Fórmula'!J68,54)&lt;&gt;"",INDEX(properties!A$1:CB$87,'Fórmula'!J68,54)))</f>
        <v>1257075.309</v>
      </c>
      <c r="FK68" s="117">
        <f t="array" ref="FK68">MAX(INDEX(properties!A$1:CB$87,'Fórmula'!B68,54),INDEX(properties!A$1:CB$87,'Fórmula'!D68,54),INDEX(properties!A$1:CB$87,'Fórmula'!F68,54),INDEX(properties!A$1:CB$87,'Fórmula'!H68,54),INDEX(properties!A$1:CB$87,'Fórmula'!J68,54))</f>
        <v>2628.15</v>
      </c>
      <c r="FL68" s="117">
        <f t="array" ref="FL68">MIN(IF(INDEX(properties!A$1:CB$87,'Fórmula'!B68,54)=0,10^6,INDEX(properties!A$1:CB$87,'Fórmula'!B68,54)),IF(INDEX(properties!A$1:CB$87,'Fórmula'!D68,54)=0,10^6,INDEX(properties!A$1:CB$87,'Fórmula'!D68,54)),IF(INDEX(properties!A$1:CB$87,'Fórmula'!F68,54)=0,10^6,INDEX(properties!A$1:CB$87,'Fórmula'!F68,54)),IF(INDEX(properties!A$1:CB$87,'Fórmula'!H68,54)=0,10^6,INDEX(properties!A$1:CB$87,'Fórmula'!H68,54)),IF(INDEX(properties!A$1:CB$87,'Fórmula'!J68,54)=0,10^6,INDEX(properties!A$1:CB$87,'Fórmula'!J68,54)))</f>
        <v>90.15</v>
      </c>
      <c r="FM68" s="117">
        <f t="shared" si="28"/>
        <v>2538</v>
      </c>
      <c r="FN68" s="118">
        <f t="array" ref="FN68">(('Fórmula'!C68)/('Fórmula'!C68+'Fórmula'!E68+'Fórmula'!G68+'Fórmula'!I68+'Fórmula'!K68))*(INDEX(properties!A$1:CB$87,'Fórmula'!B68,55))+(('Fórmula'!E68)/('Fórmula'!C68+'Fórmula'!E68+'Fórmula'!G68+'Fórmula'!I68+'Fórmula'!K68))*(INDEX(properties!A$1:CB$87,'Fórmula'!D68,55))+(('Fórmula'!G68)/('Fórmula'!C68+'Fórmula'!E68+'Fórmula'!G68+'Fórmula'!I68+'Fórmula'!K68))*(INDEX(properties!A$1:CB$87,'Fórmula'!F68,55))+(('Fórmula'!I68)/('Fórmula'!C68+'Fórmula'!E68+'Fórmula'!G68+'Fórmula'!I68+'Fórmula'!K68))*(INDEX(properties!A$1:CB$87,'Fórmula'!H68,55))+(('Fórmula'!K68)/('Fórmula'!C68+'Fórmula'!E68+'Fórmula'!G68+'Fórmula'!I68+'Fórmula'!K68))*(INDEX(properties!A$1:CB$87,'Fórmula'!J68,55))</f>
        <v>1.333674286</v>
      </c>
      <c r="FO68" s="118">
        <f t="array" ref="FO68">'Fórmula'!C68*(INDEX(properties!A$1:CB$87,'Fórmula'!B68,55))+'Fórmula'!E68*(INDEX(properties!A$1:CB$87,'Fórmula'!D68,54))+'Fórmula'!G68*(INDEX(properties!A$1:CB$87,'Fórmula'!F68,55))+'Fórmula'!I68*(INDEX(properties!A$1:CB$87,'Fórmula'!H68,55))+'Fórmula'!K68*(INDEX(properties!A$1:CB$87,'Fórmula'!J68,55))</f>
        <v>2635.15572</v>
      </c>
      <c r="FP68" s="118">
        <f t="array" ref="FP68">VARP(IF(INDEX(properties!A$1:CB$87,'Fórmula'!B68,55)&lt;&gt;"",INDEX(properties!A$1:CB$87,'Fórmula'!B68,55)),IF(INDEX(properties!A$1:CB$87,'Fórmula'!D68,55)&lt;&gt;"",INDEX(properties!A$1:CB$87,'Fórmula'!D68,55)),IF(INDEX(properties!A$1:CB$87,'Fórmula'!F68,55)&lt;&gt;"",INDEX(properties!A$1:CB$87,'Fórmula'!F68,55)),IF(INDEX(properties!A$1:CB$87,'Fórmula'!H68,55)&lt;&gt;"",INDEX(properties!A$1:CB$87,'Fórmula'!H68,55)),IF(INDEX(properties!A$1:CB$87,'Fórmula'!J68,55)&lt;&gt;"",INDEX(properties!A$1:CB$87,'Fórmula'!J68,55)))</f>
        <v>2.175557375</v>
      </c>
      <c r="FQ68" s="118">
        <f t="array" ref="FQ68">MAX(INDEX(properties!A$1:CB$87,'Fórmula'!B68,55),INDEX(properties!A$1:CB$87,'Fórmula'!D68,55),INDEX(properties!A$1:CB$87,'Fórmula'!F68,55),INDEX(properties!A$1:CB$87,'Fórmula'!H68,55),INDEX(properties!A$1:CB$87,'Fórmula'!J68,55))</f>
        <v>3.5</v>
      </c>
      <c r="FR68" s="118">
        <f t="array" ref="FR68">MIN(IF(INDEX(properties!A$1:CB$87,'Fórmula'!B68,55)=0,10^6,INDEX(properties!A$1:CB$87,'Fórmula'!B68,55)),IF(INDEX(properties!A$1:CB$87,'Fórmula'!D68,55)=0,10^6,INDEX(properties!A$1:CB$87,'Fórmula'!D68,55)),IF(INDEX(properties!A$1:CB$87,'Fórmula'!F68,55)=0,10^6,INDEX(properties!A$1:CB$87,'Fórmula'!F68,55)),IF(INDEX(properties!A$1:CB$87,'Fórmula'!H68,55)=0,10^6,INDEX(properties!A$1:CB$87,'Fórmula'!H68,55)),IF(INDEX(properties!A$1:CB$87,'Fórmula'!J68,55)=0,10^6,INDEX(properties!A$1:CB$87,'Fórmula'!J68,55)))</f>
        <v>0.00143</v>
      </c>
      <c r="FS68" s="118">
        <f t="shared" si="29"/>
        <v>3.49857</v>
      </c>
      <c r="FT68" s="119">
        <f t="array" ref="FT68">(('Fórmula'!C68)/('Fórmula'!C68+'Fórmula'!E68+'Fórmula'!G68+'Fórmula'!I68+'Fórmula'!K68))*(INDEX(properties!A$1:CB$87,'Fórmula'!B68,56))+(('Fórmula'!E68)/('Fórmula'!C68+'Fórmula'!E68+'Fórmula'!G68+'Fórmula'!I68+'Fórmula'!K68))*(INDEX(properties!A$1:CB$87,'Fórmula'!D68,56))+(('Fórmula'!G68)/('Fórmula'!C68+'Fórmula'!E68+'Fórmula'!G68+'Fórmula'!I68+'Fórmula'!K68))*(INDEX(properties!A$1:CB$87,'Fórmula'!F68,56))+(('Fórmula'!I68)/('Fórmula'!C68+'Fórmula'!E68+'Fórmula'!G68+'Fórmula'!I68+'Fórmula'!K68))*(INDEX(properties!A$1:CB$87,'Fórmula'!H68,56))+(('Fórmula'!K68)/('Fórmula'!C68+'Fórmula'!E68+'Fórmula'!G68+'Fórmula'!I68+'Fórmula'!K68))*(INDEX(properties!A$1:CB$87,'Fórmula'!J68,56))</f>
        <v>0.6854285714</v>
      </c>
      <c r="FU68" s="119">
        <f t="array" ref="FU68">'Fórmula'!C68*(INDEX(properties!A$1:CB$87,'Fórmula'!B68,56))+'Fórmula'!E68*(INDEX(properties!A$1:CB$87,'Fórmula'!D68,56))+'Fórmula'!G68*(INDEX(properties!A$1:CB$87,'Fórmula'!F68,56))+'Fórmula'!I68*(INDEX(properties!A$1:CB$87,'Fórmula'!H68,56))+'Fórmula'!K68*(INDEX(properties!A$1:CB$87,'Fórmula'!J68,56))</f>
        <v>4.798</v>
      </c>
      <c r="FV68" s="119">
        <f t="array" ref="FV68">VARP(IF(INDEX(properties!A$1:CB$87,'Fórmula'!B68,56)&lt;&gt;"",INDEX(properties!A$1:CB$87,'Fórmula'!B68,56)),IF(INDEX(properties!A$1:CB$87,'Fórmula'!D68,56)&lt;&gt;"",INDEX(properties!A$1:CB$87,'Fórmula'!D68,56)),IF(INDEX(properties!A$1:CB$87,'Fórmula'!F68,56)&lt;&gt;"",INDEX(properties!A$1:CB$87,'Fórmula'!F68,56)),IF(INDEX(properties!A$1:CB$87,'Fórmula'!H68,56)&lt;&gt;"",INDEX(properties!A$1:CB$87,'Fórmula'!H68,56)),IF(INDEX(properties!A$1:CB$87,'Fórmula'!J68,56)&lt;&gt;"",INDEX(properties!A$1:CB$87,'Fórmula'!J68,56)))</f>
        <v>0.14388096</v>
      </c>
      <c r="FW68" s="119">
        <f t="array" ref="FW68">MAX(INDEX(properties!A$1:CB$87,'Fórmula'!B68,56),INDEX(properties!A$1:CB$87,'Fórmula'!D68,56),INDEX(properties!A$1:CB$87,'Fórmula'!F68,56),INDEX(properties!A$1:CB$87,'Fórmula'!H68,56),INDEX(properties!A$1:CB$87,'Fórmula'!J68,56))</f>
        <v>0.92</v>
      </c>
      <c r="FX68" s="119">
        <f t="array" ref="FX68">MIN(IF(INDEX(properties!A$1:CB$87,'Fórmula'!B68,56)=0,10^6,INDEX(properties!A$1:CB$87,'Fórmula'!B68,56)),IF(INDEX(properties!A$1:CB$87,'Fórmula'!D68,56)=0,10^6,INDEX(properties!A$1:CB$87,'Fórmula'!D68,56)),IF(INDEX(properties!A$1:CB$87,'Fórmula'!F68,56)=0,10^6,INDEX(properties!A$1:CB$87,'Fórmula'!F68,56)),IF(INDEX(properties!A$1:CB$87,'Fórmula'!H68,56)=0,10^6,INDEX(properties!A$1:CB$87,'Fórmula'!H68,56)),IF(INDEX(properties!A$1:CB$87,'Fórmula'!J68,56)=0,10^6,INDEX(properties!A$1:CB$87,'Fórmula'!J68,56)))</f>
        <v>0.204</v>
      </c>
      <c r="FY68" s="119">
        <f t="shared" si="30"/>
        <v>0.716</v>
      </c>
      <c r="FZ68" s="104">
        <f t="array" ref="FZ68">(('Fórmula'!C68)/('Fórmula'!C68+'Fórmula'!E68+'Fórmula'!G68+'Fórmula'!I68+'Fórmula'!K68))*(INDEX(properties!A$1:CB$87,'Fórmula'!B68,57))+(('Fórmula'!E68)/('Fórmula'!C68+'Fórmula'!E68+'Fórmula'!G68+'Fórmula'!I68+'Fórmula'!K68))*(INDEX(properties!A$1:CB$87,'Fórmula'!D68,57))+(('Fórmula'!G68)/('Fórmula'!C68+'Fórmula'!E68+'Fórmula'!G68+'Fórmula'!I68+'Fórmula'!K68))*(INDEX(properties!A$1:CB$87,'Fórmula'!F68,57))+(('Fórmula'!I68)/('Fórmula'!C68+'Fórmula'!E68+'Fórmula'!G68+'Fórmula'!I68+'Fórmula'!K68))*(INDEX(properties!A$1:CB$87,'Fórmula'!H68,57))+(('Fórmula'!K68)/('Fórmula'!C68+'Fórmula'!E68+'Fórmula'!G68+'Fórmula'!I68+'Fórmula'!K68))*(INDEX(properties!A$1:CB$87,'Fórmula'!J68,57))</f>
        <v>9.562908571</v>
      </c>
      <c r="GA68" s="104">
        <f t="array" ref="GA68">'Fórmula'!C68*(INDEX(properties!A$1:CB$87,'Fórmula'!B68,57))+'Fórmula'!E68*(INDEX(properties!A$1:CB$87,'Fórmula'!D68,57))+'Fórmula'!G68*(INDEX(properties!A$1:CB$87,'Fórmula'!F68,57))+'Fórmula'!I68*(INDEX(properties!A$1:CB$87,'Fórmula'!H68,57))+'Fórmula'!K68*(INDEX(properties!A$1:CB$87,'Fórmula'!J68,57))</f>
        <v>66.94036</v>
      </c>
      <c r="GB68" s="104">
        <f t="array" ref="GB68">VARP(IF(INDEX(properties!A$1:CB$87,'Fórmula'!B68,57)&lt;&gt;"",INDEX(properties!A$1:CB$87,'Fórmula'!B68,57)),IF(INDEX(properties!A$1:CB$87,'Fórmula'!D68,57)&lt;&gt;"",INDEX(properties!A$1:CB$87,'Fórmula'!D68,57)),IF(INDEX(properties!A$1:CB$87,'Fórmula'!F68,57)&lt;&gt;"",INDEX(properties!A$1:CB$87,'Fórmula'!F68,57)),IF(INDEX(properties!A$1:CB$87,'Fórmula'!H68,57)&lt;&gt;"",INDEX(properties!A$1:CB$87,'Fórmula'!H68,57)),IF(INDEX(properties!A$1:CB$87,'Fórmula'!J68,57)&lt;&gt;"",INDEX(properties!A$1:CB$87,'Fórmula'!J68,57)))</f>
        <v>386.0871676</v>
      </c>
      <c r="GC68" s="104">
        <f t="array" ref="GC68">MAX(INDEX(properties!A$1:CB$87,'Fórmula'!B68,57),INDEX(properties!A$1:CB$87,'Fórmula'!D68,57),INDEX(properties!A$1:CB$87,'Fórmula'!F68,57),INDEX(properties!A$1:CB$87,'Fórmula'!H68,57),INDEX(properties!A$1:CB$87,'Fórmula'!J68,57))</f>
        <v>50.55</v>
      </c>
      <c r="GD68" s="104">
        <f t="array" ref="GD68">MIN(IF(INDEX(properties!A$1:CB$87,'Fórmula'!B68,57)=0,10^6,INDEX(properties!A$1:CB$87,'Fórmula'!B68,57)),IF(INDEX(properties!A$1:CB$87,'Fórmula'!D68,57)=0,10^6,INDEX(properties!A$1:CB$87,'Fórmula'!D68,57)),IF(INDEX(properties!A$1:CB$87,'Fórmula'!F68,57)=0,10^6,INDEX(properties!A$1:CB$87,'Fórmula'!F68,57)),IF(INDEX(properties!A$1:CB$87,'Fórmula'!H68,57)=0,10^6,INDEX(properties!A$1:CB$87,'Fórmula'!H68,57)),IF(INDEX(properties!A$1:CB$87,'Fórmula'!J68,57)=0,10^6,INDEX(properties!A$1:CB$87,'Fórmula'!J68,57)))</f>
        <v>0.22259</v>
      </c>
      <c r="GE68" s="104">
        <f t="shared" si="31"/>
        <v>50.32741</v>
      </c>
      <c r="GF68" s="105">
        <f t="array" ref="GF68">(('Fórmula'!C68)/('Fórmula'!C68+'Fórmula'!E68+'Fórmula'!G68+'Fórmula'!I68+'Fórmula'!K68))*(INDEX(properties!A$1:CB$87,'Fórmula'!B68,60))+(('Fórmula'!E68)/('Fórmula'!C68+'Fórmula'!E68+'Fórmula'!G68+'Fórmula'!I68+'Fórmula'!K68))*(INDEX(properties!A$1:CB$87,'Fórmula'!D68,60))+(('Fórmula'!G68)/('Fórmula'!C68+'Fórmula'!E68+'Fórmula'!G68+'Fórmula'!I68+'Fórmula'!K68))*(INDEX(properties!A$1:CB$87,'Fórmula'!F68,60))+(('Fórmula'!I68)/('Fórmula'!C68+'Fórmula'!E68+'Fórmula'!G68+'Fórmula'!I68+'Fórmula'!K68))*(INDEX(properties!A$1:CB$87,'Fórmula'!H68,60))+(('Fórmula'!K68)/('Fórmula'!C68+'Fórmula'!E68+'Fórmula'!G68+'Fórmula'!I68+'Fórmula'!K68))*(INDEX(properties!A$1:CB$87,'Fórmula'!J68,60))</f>
        <v>26.41528</v>
      </c>
      <c r="GG68" s="105">
        <f t="array" ref="GG68">'Fórmula'!C68*(INDEX(properties!A$1:CB$87,'Fórmula'!B68,60))+'Fórmula'!E68*(INDEX(properties!A$1:CB$87,'Fórmula'!D68,60))+'Fórmula'!G68*(INDEX(properties!A$1:CB$87,'Fórmula'!F68,60))+'Fórmula'!I68*(INDEX(properties!A$1:CB$87,'Fórmula'!H68,60))+'Fórmula'!K68*(INDEX(properties!A$1:CB$87,'Fórmula'!J68,60))</f>
        <v>184.90696</v>
      </c>
      <c r="GH68" s="105">
        <f t="array" ref="GH68">VARP(IF(INDEX(properties!A$1:CB$87,'Fórmula'!B68,60)&lt;&gt;"",INDEX(properties!A$1:CB$87,'Fórmula'!B68,60)),IF(INDEX(properties!A$1:CB$87,'Fórmula'!D68,60)&lt;&gt;"",INDEX(properties!A$1:CB$87,'Fórmula'!D68,60)),IF(INDEX(properties!A$1:CB$87,'Fórmula'!F68,60)&lt;&gt;"",INDEX(properties!A$1:CB$87,'Fórmula'!F68,60)),IF(INDEX(properties!A$1:CB$87,'Fórmula'!H68,60)&lt;&gt;"",INDEX(properties!A$1:CB$87,'Fórmula'!H68,60)),IF(INDEX(properties!A$1:CB$87,'Fórmula'!J68,60)&lt;&gt;"",INDEX(properties!A$1:CB$87,'Fórmula'!J68,60)))</f>
        <v>3340.597752</v>
      </c>
      <c r="GI68" s="105">
        <f t="array" ref="GI68">MAX(INDEX(properties!A$1:CB$87,'Fórmula'!B68,60),INDEX(properties!A$1:CB$87,'Fórmula'!D68,60),INDEX(properties!A$1:CB$87,'Fórmula'!F68,60),INDEX(properties!A$1:CB$87,'Fórmula'!H68,60),INDEX(properties!A$1:CB$87,'Fórmula'!J68,60))</f>
        <v>148</v>
      </c>
      <c r="GJ68" s="105">
        <f t="array" ref="GJ68">MIN(IF(INDEX(properties!A$1:CB$87,'Fórmula'!B68,60)=0,10^6,INDEX(properties!A$1:CB$87,'Fórmula'!B68,60)),IF(INDEX(properties!A$1:CB$87,'Fórmula'!D68,60)=0,10^6,INDEX(properties!A$1:CB$87,'Fórmula'!D68,60)),IF(INDEX(properties!A$1:CB$87,'Fórmula'!F68,60)=0,10^6,INDEX(properties!A$1:CB$87,'Fórmula'!F68,60)),IF(INDEX(properties!A$1:CB$87,'Fórmula'!H68,60)=0,10^6,INDEX(properties!A$1:CB$87,'Fórmula'!H68,60)),IF(INDEX(properties!A$1:CB$87,'Fórmula'!J68,60)=0,10^6,INDEX(properties!A$1:CB$87,'Fórmula'!J68,60)))</f>
        <v>0.02674</v>
      </c>
      <c r="GK68" s="105">
        <f t="shared" si="32"/>
        <v>147.97326</v>
      </c>
      <c r="GL68" s="106">
        <f t="array" ref="GL68">(('Fórmula'!C68)/('Fórmula'!C68+'Fórmula'!E68+'Fórmula'!G68+'Fórmula'!I68+'Fórmula'!K68))*(INDEX(properties!A$1:CB$87,'Fórmula'!B68,62))+(('Fórmula'!E68)/('Fórmula'!C68+'Fórmula'!E68+'Fórmula'!G68+'Fórmula'!I68+'Fórmula'!K68))*(INDEX(properties!A$1:CB$87,'Fórmula'!D68,62))+(('Fórmula'!G68)/('Fórmula'!C68+'Fórmula'!E68+'Fórmula'!G68+'Fórmula'!I68+'Fórmula'!K68))*(INDEX(properties!A$1:CB$87,'Fórmula'!F68,62))+(('Fórmula'!I68)/('Fórmula'!C68+'Fórmula'!E68+'Fórmula'!G68+'Fórmula'!I68+'Fórmula'!K68))*(INDEX(properties!A$1:CB$87,'Fórmula'!H68,62))+(('Fórmula'!K68)/('Fórmula'!C68+'Fórmula'!E68+'Fórmula'!G68+'Fórmula'!I68+'Fórmula'!K68))*(INDEX(properties!A$1:CB$87,'Fórmula'!J68,62))</f>
        <v>2.701428571</v>
      </c>
      <c r="GM68" s="106">
        <f t="array" ref="GM68">'Fórmula'!C68*(INDEX(properties!A$1:CB$87,'Fórmula'!B68,62))+'Fórmula'!E68*(INDEX(properties!A$1:CB$87,'Fórmula'!D68,62))+'Fórmula'!G68*(INDEX(properties!A$1:CB$87,'Fórmula'!F68,62))+'Fórmula'!I68*(INDEX(properties!A$1:CB$87,'Fórmula'!H68,62))+'Fórmula'!K68*(INDEX(properties!A$1:CB$87,'Fórmula'!J68,62))</f>
        <v>18.91</v>
      </c>
      <c r="GN68" s="106">
        <f t="array" ref="GN68">VARP(IF(INDEX(properties!A$1:CB$87,'Fórmula'!B68,62)&lt;&gt;"",INDEX(properties!A$1:CB$87,'Fórmula'!B68,62)),IF(INDEX(properties!A$1:CB$87,'Fórmula'!D68,62)&lt;&gt;"",INDEX(properties!A$1:CB$87,'Fórmula'!D68,62)),IF(INDEX(properties!A$1:CB$87,'Fórmula'!F68,62)&lt;&gt;"",INDEX(properties!A$1:CB$87,'Fórmula'!F68,62)),IF(INDEX(properties!A$1:CB$87,'Fórmula'!H68,62)&lt;&gt;"",INDEX(properties!A$1:CB$87,'Fórmula'!H68,62)),IF(INDEX(properties!A$1:CB$87,'Fórmula'!J68,62)&lt;&gt;"",INDEX(properties!A$1:CB$87,'Fórmula'!J68,62)))</f>
        <v>3.03336</v>
      </c>
      <c r="GO68" s="106">
        <f t="array" ref="GO68">MAX(INDEX(properties!A$1:CB$87,'Fórmula'!B68,62),INDEX(properties!A$1:CB$87,'Fórmula'!D68,62),INDEX(properties!A$1:CB$87,'Fórmula'!F68,62),INDEX(properties!A$1:CB$87,'Fórmula'!H68,62),INDEX(properties!A$1:CB$87,'Fórmula'!J68,62))</f>
        <v>4.63</v>
      </c>
      <c r="GP68" s="106">
        <f t="array" ref="GP68">MIN(IF(INDEX(properties!A$1:CB$87,'Fórmula'!B68,62)=0,10^6,INDEX(properties!A$1:CB$87,'Fórmula'!B68,62)),IF(INDEX(properties!A$1:CB$87,'Fórmula'!D68,62)=0,10^6,INDEX(properties!A$1:CB$87,'Fórmula'!D68,62)),IF(INDEX(properties!A$1:CB$87,'Fórmula'!F68,62)=0,10^6,INDEX(properties!A$1:CB$87,'Fórmula'!F68,62)),IF(INDEX(properties!A$1:CB$87,'Fórmula'!H68,62)=0,10^6,INDEX(properties!A$1:CB$87,'Fórmula'!H68,62)),IF(INDEX(properties!A$1:CB$87,'Fórmula'!J68,62)=0,10^6,INDEX(properties!A$1:CB$87,'Fórmula'!J68,62)))</f>
        <v>1.9</v>
      </c>
      <c r="GQ68" s="106">
        <f t="shared" si="33"/>
        <v>2.73</v>
      </c>
      <c r="GR68" s="106">
        <f>'Fórmula'!Q68</f>
        <v>62</v>
      </c>
      <c r="GS68" s="107">
        <f>'Fórmula'!P68</f>
        <v>3</v>
      </c>
      <c r="GT68" s="113">
        <f>'Fórmula'!O68</f>
        <v>5.47</v>
      </c>
      <c r="GU68" s="114">
        <f>AVERAGE('Fórmula'!R68/'Fórmula'!S68,'Fórmula'!S68/'Fórmula'!T68,'Fórmula'!T68/'Fórmula'!R68)</f>
        <v>1.073927215</v>
      </c>
      <c r="GV68" s="125">
        <f>'Fórmula'!U68</f>
        <v>445.63</v>
      </c>
      <c r="GW68" s="106">
        <f>'Fórmula'!N68</f>
        <v>0.04</v>
      </c>
    </row>
    <row r="69" ht="14.25" customHeight="1">
      <c r="A69" s="99" t="str">
        <f>'Fórmula'!A69</f>
        <v>LiNa3P2O7</v>
      </c>
      <c r="B69" s="101">
        <f t="array" ref="B69">(('Fórmula'!C69)/('Fórmula'!C69+'Fórmula'!E69+'Fórmula'!G69+'Fórmula'!I69+'Fórmula'!K69))*(INDEX(properties!A$1:CB$87,'Fórmula'!B69,3))+(('Fórmula'!E69)/('Fórmula'!C69+'Fórmula'!E69+'Fórmula'!G69+'Fórmula'!I69+'Fórmula'!K69))*(INDEX(properties!A$1:CB$87,'Fórmula'!D69,3))+(('Fórmula'!G69)/('Fórmula'!C69+'Fórmula'!E69+'Fórmula'!G69+'Fórmula'!I69+'Fórmula'!K69))*(INDEX(properties!A$1:CB$87,'Fórmula'!F69,3))+(('Fórmula'!I69)/('Fórmula'!C69+'Fórmula'!E69+'Fórmula'!G69+'Fórmula'!I69+'Fórmula'!K69))*(INDEX(properties!A$1:CB$87,'Fórmula'!H69,3))+(('Fórmula'!K69)/('Fórmula'!C69+'Fórmula'!E69+'Fórmula'!G69+'Fórmula'!I69+'Fórmula'!K69))*(INDEX(properties!A$1:CB$87,'Fórmula'!J69,3))</f>
        <v>19.21950985</v>
      </c>
      <c r="C69" s="101">
        <f t="array" ref="C69">'Fórmula'!C69*(INDEX(properties!A$1:CB$87,'Fórmula'!B69,3))+'Fórmula'!E69*(INDEX(properties!A$1:CB$87,'Fórmula'!D69,3))+'Fórmula'!G69*(INDEX(properties!A$1:CB$87,'Fórmula'!F69,3))+'Fórmula'!I69*(INDEX(properties!A$1:CB$87,'Fórmula'!H69,3))+'Fórmula'!K69*(INDEX(properties!A$1:CB$87,'Fórmula'!J69,3))</f>
        <v>249.853628</v>
      </c>
      <c r="D69" s="101">
        <f t="array" ref="D69">VARP(IF(INDEX(properties!A$1:CB$87,'Fórmula'!B69,3)&lt;&gt;"",INDEX(properties!A$1:CB$87,'Fórmula'!B69,3)),IF(INDEX(properties!A$1:CB$87,'Fórmula'!D69,3)&lt;&gt;"",INDEX(properties!A$1:CB$87,'Fórmula'!D69,3)),IF(INDEX(properties!A$1:CB$87,'Fórmula'!F69,3)&lt;&gt;"",INDEX(properties!A$1:CB$87,'Fórmula'!F69,3)),IF(INDEX(properties!A$1:CB$87,'Fórmula'!H69,3)&lt;&gt;"",INDEX(properties!A$1:CB$87,'Fórmula'!H69,3)),IF(INDEX(properties!A$1:CB$87,'Fórmula'!J69,3)&lt;&gt;"",INDEX(properties!A$1:CB$87,'Fórmula'!J69,3)))</f>
        <v>121.8437513</v>
      </c>
      <c r="E69" s="101">
        <f t="array" ref="E69">MAX(INDEX(properties!A$1:CB$87,'Fórmula'!B69,3),INDEX(properties!A$1:CB$87,'Fórmula'!D69,3),INDEX(properties!A$1:CB$87,'Fórmula'!F69,3),INDEX(properties!A$1:CB$87,'Fórmula'!H69,3),INDEX(properties!A$1:CB$87,'Fórmula'!J69,3))</f>
        <v>30.973762</v>
      </c>
      <c r="F69" s="101">
        <f t="array" ref="F69">MIN(IF(INDEX(properties!A$1:CB$87,'Fórmula'!B69,3)=0,10^6,INDEX(properties!A$1:CB$87,'Fórmula'!B69,3)),IF(INDEX(properties!A$1:CB$87,'Fórmula'!D69,3)=0,10^6,INDEX(properties!A$1:CB$87,'Fórmula'!D69,3)),IF(INDEX(properties!A$1:CB$87,'Fórmula'!F69,3)=0,10^6,INDEX(properties!A$1:CB$87,'Fórmula'!F69,3)),IF(INDEX(properties!A$1:CB$87,'Fórmula'!H69,3)=0,10^6,INDEX(properties!A$1:CB$87,'Fórmula'!H69,3)),IF(INDEX(properties!A$1:CB$87,'Fórmula'!J69,3)=0,10^6,INDEX(properties!A$1:CB$87,'Fórmula'!J69,3)))</f>
        <v>6.941</v>
      </c>
      <c r="G69" s="101">
        <f t="shared" si="1"/>
        <v>24.032762</v>
      </c>
      <c r="H69" s="102">
        <f t="array" ref="H69">(('Fórmula'!C69)/('Fórmula'!C69+'Fórmula'!E69+'Fórmula'!G69+'Fórmula'!I69+'Fórmula'!K69))*(INDEX(properties!A$1:CB$87,'Fórmula'!B69,4))+(('Fórmula'!E69)/('Fórmula'!C69+'Fórmula'!E69+'Fórmula'!G69+'Fórmula'!I69+'Fórmula'!K69))*(INDEX(properties!A$1:CB$87,'Fórmula'!D69,4))+(('Fórmula'!G69)/('Fórmula'!C69+'Fórmula'!E69+'Fórmula'!G69+'Fórmula'!I69+'Fórmula'!K69))*(INDEX(properties!A$1:CB$87,'Fórmula'!F69,4))+(('Fórmula'!I69)/('Fórmula'!C69+'Fórmula'!E69+'Fórmula'!G69+'Fórmula'!I69+'Fórmula'!K69))*(INDEX(properties!A$1:CB$87,'Fórmula'!H69,4))+(('Fórmula'!K69)/('Fórmula'!C69+'Fórmula'!E69+'Fórmula'!G69+'Fórmula'!I69+'Fórmula'!K69))*(INDEX(properties!A$1:CB$87,'Fórmula'!J69,4))</f>
        <v>9.384615385</v>
      </c>
      <c r="I69" s="102">
        <f t="array" ref="I69">'Fórmula'!C69*(INDEX(properties!A$1:CB$87,'Fórmula'!B69,4))+'Fórmula'!E69*(INDEX(properties!A$1:CB$87,'Fórmula'!D69,4))+'Fórmula'!G69*(INDEX(properties!A$1:CB$87,'Fórmula'!F69,4))+'Fórmula'!I69*(INDEX(properties!A$1:CB$87,'Fórmula'!H69,4))+'Fórmula'!K69*(INDEX(properties!A$1:CB$87,'Fórmula'!J69,4))</f>
        <v>122</v>
      </c>
      <c r="J69" s="102">
        <f t="array" ref="J69">VARP(IF(INDEX(properties!A$1:CB$87,'Fórmula'!B69,4)&lt;&gt;"",INDEX(properties!A$1:CB$87,'Fórmula'!B69,4)),IF(INDEX(properties!A$1:CB$87,'Fórmula'!D69,4)&lt;&gt;"",INDEX(properties!A$1:CB$87,'Fórmula'!D69,4)),IF(INDEX(properties!A$1:CB$87,'Fórmula'!F69,4)&lt;&gt;"",INDEX(properties!A$1:CB$87,'Fórmula'!F69,4)),IF(INDEX(properties!A$1:CB$87,'Fórmula'!H69,4)&lt;&gt;"",INDEX(properties!A$1:CB$87,'Fórmula'!H69,4)),IF(INDEX(properties!A$1:CB$87,'Fórmula'!J69,4)&lt;&gt;"",INDEX(properties!A$1:CB$87,'Fórmula'!J69,4)))</f>
        <v>29.04</v>
      </c>
      <c r="K69" s="102">
        <f t="array" ref="K69">MAX(INDEX(properties!A$1:CB$87,'Fórmula'!B69,4),INDEX(properties!A$1:CB$87,'Fórmula'!D69,4),INDEX(properties!A$1:CB$87,'Fórmula'!F69,4),INDEX(properties!A$1:CB$87,'Fórmula'!H69,4),INDEX(properties!A$1:CB$87,'Fórmula'!J69,4))</f>
        <v>15</v>
      </c>
      <c r="L69" s="102">
        <f t="array" ref="L69">MIN(IF(INDEX(properties!A$1:CB$87,'Fórmula'!B69,4)=0,10^6,INDEX(properties!A$1:CB$87,'Fórmula'!B69,4)),IF(INDEX(properties!A$1:CB$87,'Fórmula'!D69,4)=0,10^6,INDEX(properties!A$1:CB$87,'Fórmula'!D69,4)),IF(INDEX(properties!A$1:CB$87,'Fórmula'!F69,4)=0,10^6,INDEX(properties!A$1:CB$87,'Fórmula'!F69,4)),IF(INDEX(properties!A$1:CB$87,'Fórmula'!H69,4)=0,10^6,INDEX(properties!A$1:CB$87,'Fórmula'!H69,4)),IF(INDEX(properties!A$1:CB$87,'Fórmula'!J69,4)=0,10^6,INDEX(properties!A$1:CB$87,'Fórmula'!J69,4)))</f>
        <v>3</v>
      </c>
      <c r="M69" s="102">
        <f t="shared" si="2"/>
        <v>12</v>
      </c>
      <c r="N69" s="103">
        <f t="array" ref="N69">(('Fórmula'!C69)/('Fórmula'!C69+'Fórmula'!E69+'Fórmula'!G69+'Fórmula'!I69+'Fórmula'!K69))*(INDEX(properties!A$1:CB$87,'Fórmula'!B69,5))+(('Fórmula'!E69)/('Fórmula'!C69+'Fórmula'!E69+'Fórmula'!G69+'Fórmula'!I69+'Fórmula'!K69))*(INDEX(properties!A$1:CB$87,'Fórmula'!D69,5))+(('Fórmula'!G69)/('Fórmula'!C69+'Fórmula'!E69+'Fórmula'!G69+'Fórmula'!I69+'Fórmula'!K69))*(INDEX(properties!A$1:CB$87,'Fórmula'!F69,5))+(('Fórmula'!I69)/('Fórmula'!C69+'Fórmula'!E69+'Fórmula'!G69+'Fórmula'!I69+'Fórmula'!K69))*(INDEX(properties!A$1:CB$87,'Fórmula'!H69,5))+(('Fórmula'!K69)/('Fórmula'!C69+'Fórmula'!E69+'Fórmula'!G69+'Fórmula'!I69+'Fórmula'!K69))*(INDEX(properties!A$1:CB$87,'Fórmula'!J69,5))</f>
        <v>2.384615385</v>
      </c>
      <c r="O69" s="103">
        <f t="array" ref="O69">'Fórmula'!C69*(INDEX(properties!A$1:CB$87,'Fórmula'!B69,5))+'Fórmula'!E69*(INDEX(properties!A$1:CB$87,'Fórmula'!D69,5))+'Fórmula'!G69*(INDEX(properties!A$1:CB$87,'Fórmula'!F69,5))+'Fórmula'!I69*(INDEX(properties!A$1:CB$87,'Fórmula'!H69,5))+'Fórmula'!K69*(INDEX(properties!A$1:CB$87,'Fórmula'!J69,5))</f>
        <v>31</v>
      </c>
      <c r="P69" s="103">
        <f t="array" ref="P69">VARP(IF(INDEX(properties!A$1:CB$87,'Fórmula'!B69,5)&lt;&gt;"",INDEX(properties!A$1:CB$87,'Fórmula'!B69,5)),IF(INDEX(properties!A$1:CB$87,'Fórmula'!D69,5)&lt;&gt;"",INDEX(properties!A$1:CB$87,'Fórmula'!D69,5)),IF(INDEX(properties!A$1:CB$87,'Fórmula'!F69,5)&lt;&gt;"",INDEX(properties!A$1:CB$87,'Fórmula'!F69,5)),IF(INDEX(properties!A$1:CB$87,'Fórmula'!H69,5)&lt;&gt;"",INDEX(properties!A$1:CB$87,'Fórmula'!H69,5)),IF(INDEX(properties!A$1:CB$87,'Fórmula'!J69,5)&lt;&gt;"",INDEX(properties!A$1:CB$87,'Fórmula'!J69,5)))</f>
        <v>1.2</v>
      </c>
      <c r="Q69" s="103">
        <f t="array" ref="Q69">MAX(INDEX(properties!A$1:CB$87,'Fórmula'!B69,5),INDEX(properties!A$1:CB$87,'Fórmula'!D69,5),INDEX(properties!A$1:CB$87,'Fórmula'!F69,5),INDEX(properties!A$1:CB$87,'Fórmula'!H69,5),INDEX(properties!A$1:CB$87,'Fórmula'!J69,5))</f>
        <v>3</v>
      </c>
      <c r="R69" s="103">
        <f t="array" ref="R69">MIN(IF(INDEX(properties!A$1:CB$87,'Fórmula'!B69,5)=0,10^6,INDEX(properties!A$1:CB$87,'Fórmula'!B69,5)),IF(INDEX(properties!A$1:CB$87,'Fórmula'!D69,5)=0,10^6,INDEX(properties!A$1:CB$87,'Fórmula'!D69,5)),IF(INDEX(properties!A$1:CB$87,'Fórmula'!F69,5)=0,10^6,INDEX(properties!A$1:CB$87,'Fórmula'!F69,5)),IF(INDEX(properties!A$1:CB$87,'Fórmula'!H69,5)=0,10^6,INDEX(properties!A$1:CB$87,'Fórmula'!H69,5)),IF(INDEX(properties!A$1:CB$87,'Fórmula'!J69,5)=0,10^6,INDEX(properties!A$1:CB$87,'Fórmula'!J69,5)))</f>
        <v>2</v>
      </c>
      <c r="S69" s="103">
        <f t="shared" si="3"/>
        <v>1</v>
      </c>
      <c r="T69" s="104">
        <f t="array" ref="T69">(('Fórmula'!C69)/('Fórmula'!C69+'Fórmula'!E69+'Fórmula'!G69+'Fórmula'!I69+'Fórmula'!K69))*(INDEX(properties!A$1:CB$87,'Fórmula'!B69,6))+(('Fórmula'!E69)/('Fórmula'!C69+'Fórmula'!E69+'Fórmula'!G69+'Fórmula'!I69+'Fórmula'!K69))*(INDEX(properties!A$1:CB$87,'Fórmula'!D69,6))+(('Fórmula'!G69)/('Fórmula'!C69+'Fórmula'!E69+'Fórmula'!G69+'Fórmula'!I69+'Fórmula'!K69))*(INDEX(properties!A$1:CB$87,'Fórmula'!F69,6))+(('Fórmula'!I69)/('Fórmula'!C69+'Fórmula'!E69+'Fórmula'!G69+'Fórmula'!I69+'Fórmula'!K69))*(INDEX(properties!A$1:CB$87,'Fórmula'!H69,6))+(('Fórmula'!K69)/('Fórmula'!C69+'Fórmula'!E69+'Fórmula'!G69+'Fórmula'!I69+'Fórmula'!K69))*(INDEX(properties!A$1:CB$87,'Fórmula'!J69,6))</f>
        <v>11.23076923</v>
      </c>
      <c r="U69" s="104">
        <f t="array" ref="U69">'Fórmula'!C69*(INDEX(properties!A$1:CB$87,'Fórmula'!B69,6))+'Fórmula'!E69*(INDEX(properties!A$1:CB$87,'Fórmula'!D69,6))+'Fórmula'!G69*(INDEX(properties!A$1:CB$87,'Fórmula'!F69,6))+'Fórmula'!I69*(INDEX(properties!A$1:CB$87,'Fórmula'!H69,6))+'Fórmula'!K69*(INDEX(properties!A$1:CB$87,'Fórmula'!J69,6))</f>
        <v>146</v>
      </c>
      <c r="V69" s="103">
        <f t="array" ref="V69">VARP(IF(INDEX(properties!A$1:CB$87,'Fórmula'!B69,6)&lt;&gt;"",INDEX(properties!A$1:CB$87,'Fórmula'!B69,6)),IF(INDEX(properties!A$1:CB$87,'Fórmula'!D69,6)&lt;&gt;"",INDEX(properties!A$1:CB$87,'Fórmula'!D69,6)),IF(INDEX(properties!A$1:CB$87,'Fórmula'!F69,6)&lt;&gt;"",INDEX(properties!A$1:CB$87,'Fórmula'!F69,6)),IF(INDEX(properties!A$1:CB$87,'Fórmula'!H69,6)&lt;&gt;"",INDEX(properties!A$1:CB$87,'Fórmula'!H69,6)),IF(INDEX(properties!A$1:CB$87,'Fórmula'!J69,6)&lt;&gt;"",INDEX(properties!A$1:CB$87,'Fórmula'!J69,6)))</f>
        <v>53.04</v>
      </c>
      <c r="W69" s="104">
        <f t="array" ref="W69">MAX(INDEX(properties!A$1:CB$87,'Fórmula'!B69,6),INDEX(properties!A$1:CB$87,'Fórmula'!D69,6),INDEX(properties!A$1:CB$87,'Fórmula'!F69,6),INDEX(properties!A$1:CB$87,'Fórmula'!H69,4),INDEX(properties!A$1:CB$87,'Fórmula'!J69,6))</f>
        <v>15</v>
      </c>
      <c r="X69" s="104">
        <f t="array" ref="X69">MIN(IF(INDEX(properties!A$1:CB$87,'Fórmula'!B69,6)=0,10^6,INDEX(properties!A$1:CB$87,'Fórmula'!B69,6)),IF(INDEX(properties!A$1:CB$87,'Fórmula'!D69,6)=0,10^6,INDEX(properties!A$1:CB$87,'Fórmula'!D69,6)),IF(INDEX(properties!A$1:CB$87,'Fórmula'!F69,6)=0,10^6,INDEX(properties!A$1:CB$87,'Fórmula'!F69,6)),IF(INDEX(properties!A$1:CB$87,'Fórmula'!H69,6)=0,10^6,INDEX(properties!A$1:CB$87,'Fórmula'!H69,6)),IF(INDEX(properties!A$1:CB$87,'Fórmula'!J69,6)=0,10^6,INDEX(properties!A$1:CB$87,'Fórmula'!J69,6)))</f>
        <v>1</v>
      </c>
      <c r="Y69" s="104">
        <f t="shared" si="4"/>
        <v>14</v>
      </c>
      <c r="Z69" s="105">
        <f t="array" ref="Z69">(('Fórmula'!C69)/('Fórmula'!C69+'Fórmula'!E69+'Fórmula'!G69+'Fórmula'!I69+'Fórmula'!K69))*(INDEX(properties!A$1:CB$87,'Fórmula'!B69,9))+(('Fórmula'!E69)/('Fórmula'!C69+'Fórmula'!E69+'Fórmula'!G69+'Fórmula'!I69+'Fórmula'!K69))*(INDEX(properties!A$1:CB$87,'Fórmula'!D69,9))+(('Fórmula'!G69)/('Fórmula'!C69+'Fórmula'!E69+'Fórmula'!G69+'Fórmula'!I69+'Fórmula'!K69))*(INDEX(properties!A$1:CB$87,'Fórmula'!F69,9))+(('Fórmula'!I69)/('Fórmula'!C69+'Fórmula'!E69+'Fórmula'!G69+'Fórmula'!I69+'Fórmula'!K69))*(INDEX(properties!A$1:CB$87,'Fórmula'!H69,9))+(('Fórmula'!K69)/('Fórmula'!C69+'Fórmula'!E69+'Fórmula'!G69+'Fórmula'!I69+'Fórmula'!K69))*(INDEX(properties!A$1:CB$87,'Fórmula'!J69,9))</f>
        <v>60.15384615</v>
      </c>
      <c r="AA69" s="105">
        <f t="array" ref="AA69">'Fórmula'!C69*(INDEX(properties!A$1:CB$87,'Fórmula'!B69,9))+'Fórmula'!E69*(INDEX(properties!A$1:CB$87,'Fórmula'!D69,9))+'Fórmula'!G69*(INDEX(properties!A$1:CB$87,'Fórmula'!F69,9))+'Fórmula'!I69*(INDEX(properties!A$1:CB$87,'Fórmula'!H69,9))+'Fórmula'!K69*(INDEX(properties!A$1:CB$87,'Fórmula'!J69,9))</f>
        <v>782</v>
      </c>
      <c r="AB69" s="105">
        <f t="array" ref="AB69">VARP(IF(INDEX(properties!A$1:CB$87,'Fórmula'!B69,9)&lt;&gt;"",INDEX(properties!A$1:CB$87,'Fórmula'!B69,9)),IF(INDEX(properties!A$1:CB$87,'Fórmula'!D69,9)&lt;&gt;"",INDEX(properties!A$1:CB$87,'Fórmula'!D69,9)),IF(INDEX(properties!A$1:CB$87,'Fórmula'!F69,9)&lt;&gt;"",INDEX(properties!A$1:CB$87,'Fórmula'!F69,9)),IF(INDEX(properties!A$1:CB$87,'Fórmula'!H69,9)&lt;&gt;"",INDEX(properties!A$1:CB$87,'Fórmula'!H69,9)),IF(INDEX(properties!A$1:CB$87,'Fórmula'!J69,9)&lt;&gt;"",INDEX(properties!A$1:CB$87,'Fórmula'!J69,9)))</f>
        <v>1695.44</v>
      </c>
      <c r="AC69" s="105">
        <f t="array" ref="AC69">MAX(INDEX(properties!A$1:CB$87,'Fórmula'!B69,9),INDEX(properties!A$1:CB$87,'Fórmula'!D69,9),INDEX(properties!A$1:CB$87,'Fórmula'!F69,9),INDEX(properties!A$1:CB$87,'Fórmula'!H69,9),INDEX(properties!A$1:CB$87,'Fórmula'!J69,9))</f>
        <v>87</v>
      </c>
      <c r="AD69" s="105">
        <f t="array" ref="AD69">MIN(IF(INDEX(properties!A$1:CB$87,'Fórmula'!B69,9)=0,10^6,INDEX(properties!A$1:CB$87,'Fórmula'!B69,9)),IF(INDEX(properties!A$1:CB$87,'Fórmula'!D69,9)=0,10^6,INDEX(properties!A$1:CB$87,'Fórmula'!D69,9)),IF(INDEX(properties!A$1:CB$87,'Fórmula'!F69,9)=0,10^6,INDEX(properties!A$1:CB$87,'Fórmula'!F69,9)),IF(INDEX(properties!A$1:CB$87,'Fórmula'!H69,9)=0,10^6,INDEX(properties!A$1:CB$87,'Fórmula'!H69,9)),IF(INDEX(properties!A$1:CB$87,'Fórmula'!J69,9)=0,10^6,INDEX(properties!A$1:CB$87,'Fórmula'!J69,9)))</f>
        <v>1</v>
      </c>
      <c r="AE69" s="105">
        <f t="shared" si="5"/>
        <v>86</v>
      </c>
      <c r="AF69" s="106">
        <f t="array" ref="AF69">(('Fórmula'!C69)/('Fórmula'!C69+'Fórmula'!E69+'Fórmula'!G69+'Fórmula'!I69+'Fórmula'!K69))*(INDEX(properties!A$1:CB$87,'Fórmula'!B69,10))+(('Fórmula'!E69)/('Fórmula'!C69+'Fórmula'!E69+'Fórmula'!G69+'Fórmula'!I69+'Fórmula'!K69))*(INDEX(properties!A$1:CB$87,'Fórmula'!D69,10))+(('Fórmula'!G69)/('Fórmula'!C69+'Fórmula'!E69+'Fórmula'!G69+'Fórmula'!I69+'Fórmula'!K69))*(INDEX(properties!A$1:CB$87,'Fórmula'!F69,10))+(('Fórmula'!I69)/('Fórmula'!C69+'Fórmula'!E69+'Fórmula'!G69+'Fórmula'!I69+'Fórmula'!K69))*(INDEX(properties!A$1:CB$87,'Fórmula'!H69,10))+(('Fórmula'!K69)/('Fórmula'!C69+'Fórmula'!E69+'Fórmula'!G69+'Fórmula'!I69+'Fórmula'!K69))*(INDEX(properties!A$1:CB$87,'Fórmula'!J69,10))</f>
        <v>5.153846154</v>
      </c>
      <c r="AG69" s="106">
        <f t="array" ref="AG69">'Fórmula'!C69*(INDEX(properties!A$1:CB$87,'Fórmula'!B69,10))+'Fórmula'!E69*(INDEX(properties!A$1:CB$87,'Fórmula'!D69,10))+'Fórmula'!G69*(INDEX(properties!A$1:CB$87,'Fórmula'!F69,10))+'Fórmula'!I69*(INDEX(properties!A$1:CB$87,'Fórmula'!H69,10))+'Fórmula'!K69*(INDEX(properties!A$1:CB$87,'Fórmula'!J69,10))</f>
        <v>67</v>
      </c>
      <c r="AH69" s="106">
        <f t="array" ref="AH69">VARP(IF(INDEX(properties!A$1:CB$87,'Fórmula'!B69,10)&lt;&gt;"",INDEX(properties!A$1:CB$87,'Fórmula'!B69,10)),IF(INDEX(properties!A$1:CB$87,'Fórmula'!D69,10)&lt;&gt;"",INDEX(properties!A$1:CB$87,'Fórmula'!D69,10)),IF(INDEX(properties!A$1:CB$87,'Fórmula'!F69,10)&lt;&gt;"",INDEX(properties!A$1:CB$87,'Fórmula'!F69,10)),IF(INDEX(properties!A$1:CB$87,'Fórmula'!H69,10)&lt;&gt;"",INDEX(properties!A$1:CB$87,'Fórmula'!H69,10)),IF(INDEX(properties!A$1:CB$87,'Fórmula'!J69,10)&lt;&gt;"",INDEX(properties!A$1:CB$87,'Fórmula'!J69,10)))</f>
        <v>9.76</v>
      </c>
      <c r="AI69" s="106">
        <f t="array" ref="AI69">MAX(INDEX(properties!A$1:CB$87,'Fórmula'!B69,10),INDEX(properties!A$1:CB$87,'Fórmula'!D69,10),INDEX(properties!A$1:CB$87,'Fórmula'!F69,10),INDEX(properties!A$1:CB$87,'Fórmula'!H69,10),INDEX(properties!A$1:CB$87,'Fórmula'!J69,10))</f>
        <v>7</v>
      </c>
      <c r="AJ69" s="106">
        <f t="array" ref="AJ69">MIN(IF(INDEX(properties!A$1:CB$87,'Fórmula'!B69,10)=0,10^6,INDEX(properties!A$1:CB$87,'Fórmula'!B69,10)),IF(INDEX(properties!A$1:CB$87,'Fórmula'!D69,10)=0,10^6,INDEX(properties!A$1:CB$87,'Fórmula'!D69,10)),IF(INDEX(properties!A$1:CB$87,'Fórmula'!F69,10)=0,10^6,INDEX(properties!A$1:CB$87,'Fórmula'!F69,10)),IF(INDEX(properties!A$1:CB$87,'Fórmula'!H69,10)=0,10^6,INDEX(properties!A$1:CB$87,'Fórmula'!H69,10)),IF(INDEX(properties!A$1:CB$87,'Fórmula'!J69,10)=0,10^6,INDEX(properties!A$1:CB$87,'Fórmula'!J69,10)))</f>
        <v>1</v>
      </c>
      <c r="AK69" s="106">
        <f t="shared" si="6"/>
        <v>6</v>
      </c>
      <c r="AL69" s="107">
        <f t="array" ref="AL69">(('Fórmula'!C69)/('Fórmula'!C69+'Fórmula'!E69+'Fórmula'!G69+'Fórmula'!I69+'Fórmula'!K69))*(INDEX(properties!A$1:CB$87,'Fórmula'!B69,11))+(('Fórmula'!E69)/('Fórmula'!C69+'Fórmula'!E69+'Fórmula'!G69+'Fórmula'!I69+'Fórmula'!K69))*(INDEX(properties!A$1:CB$87,'Fórmula'!D69,11))+(('Fórmula'!G69)/('Fórmula'!C69+'Fórmula'!E69+'Fórmula'!G69+'Fórmula'!I69+'Fórmula'!K69))*(INDEX(properties!A$1:CB$87,'Fórmula'!F69,11))+(('Fórmula'!I69)/('Fórmula'!C69+'Fórmula'!E69+'Fórmula'!G69+'Fórmula'!I69+'Fórmula'!K69))*(INDEX(properties!A$1:CB$87,'Fórmula'!H69,11))+(('Fórmula'!K69)/('Fórmula'!C69+'Fórmula'!E69+'Fórmula'!G69+'Fórmula'!I69+'Fórmula'!K69))*(INDEX(properties!A$1:CB$87,'Fórmula'!J69,11))</f>
        <v>1.692307692</v>
      </c>
      <c r="AM69" s="107">
        <f t="array" ref="AM69">'Fórmula'!C69*(INDEX(properties!A$1:CB$87,'Fórmula'!B69,11))+'Fórmula'!E69*(INDEX(properties!A$1:CB$87,'Fórmula'!D69,11))+'Fórmula'!G69*(INDEX(properties!A$1:CB$87,'Fórmula'!F69,11))+'Fórmula'!I69*(INDEX(properties!A$1:CB$87,'Fórmula'!H69,11))+'Fórmula'!K69*(INDEX(properties!A$1:CB$87,'Fórmula'!J69,11))</f>
        <v>22</v>
      </c>
      <c r="AN69" s="107">
        <f t="array" ref="AN69">VARP(IF(INDEX(properties!A$1:CB$87,'Fórmula'!B69,11)&lt;&gt;"",INDEX(properties!A$1:CB$87,'Fórmula'!B69,11)),IF(INDEX(properties!A$1:CB$87,'Fórmula'!D69,11)&lt;&gt;"",INDEX(properties!A$1:CB$87,'Fórmula'!D69,11)),IF(INDEX(properties!A$1:CB$87,'Fórmula'!F69,11)&lt;&gt;"",INDEX(properties!A$1:CB$87,'Fórmula'!F69,11)),IF(INDEX(properties!A$1:CB$87,'Fórmula'!H69,11)&lt;&gt;"",INDEX(properties!A$1:CB$87,'Fórmula'!H69,11)),IF(INDEX(properties!A$1:CB$87,'Fórmula'!J69,11)&lt;&gt;"",INDEX(properties!A$1:CB$87,'Fórmula'!J69,11)))</f>
        <v>0.56</v>
      </c>
      <c r="AO69" s="107">
        <f t="array" ref="AO69">MAX(INDEX(properties!A$1:CB$87,'Fórmula'!B69,11),INDEX(properties!A$1:CB$87,'Fórmula'!D69,11),INDEX(properties!A$1:CB$87,'Fórmula'!F69,11),INDEX(properties!A$1:CB$87,'Fórmula'!H69,11),INDEX(properties!A$1:CB$87,'Fórmula'!J69,11))</f>
        <v>2</v>
      </c>
      <c r="AP69" s="107">
        <f t="array" ref="AP69">MIN(IF('Fórmula'!B69=87,10^6,INDEX(properties!A$1:CB$87,'Fórmula'!B69,11)),IF(('Fórmula'!D69)=87,10^6,INDEX(properties!A$1:CB$87,'Fórmula'!D69,11)),IF(('Fórmula'!F69)=87,10^6,INDEX(properties!A$1:CB$87,'Fórmula'!F69,11)),IF(('Fórmula'!H69)=87,10^6,INDEX(properties!A$1:CB$87,'Fórmula'!H69,11)),IF('Fórmula'!J69=87,10^6,INDEX(properties!A$1:CB$87,'Fórmula'!J69,11)))</f>
        <v>1</v>
      </c>
      <c r="AQ69" s="107">
        <f t="shared" si="7"/>
        <v>1</v>
      </c>
      <c r="AR69" s="108">
        <f t="array" ref="AR69">(('Fórmula'!C69)/('Fórmula'!C69+'Fórmula'!E69+'Fórmula'!G69+'Fórmula'!I69+'Fórmula'!K69))*(INDEX(properties!A$1:CB$87,'Fórmula'!B69,12))+(('Fórmula'!E69)/('Fórmula'!C69+'Fórmula'!E69+'Fórmula'!G69+'Fórmula'!I69+'Fórmula'!K69))*(INDEX(properties!A$1:CB$87,'Fórmula'!D69,12))+(('Fórmula'!G69)/('Fórmula'!C69+'Fórmula'!E69+'Fórmula'!G69+'Fórmula'!I69+'Fórmula'!K69))*(INDEX(properties!A$1:CB$87,'Fórmula'!F69,12))+(('Fórmula'!I69)/('Fórmula'!C69+'Fórmula'!E69+'Fórmula'!G69+'Fórmula'!I69+'Fórmula'!K69))*(INDEX(properties!A$1:CB$87,'Fórmula'!H69,12))+(('Fórmula'!K69)/('Fórmula'!C69+'Fórmula'!E69+'Fórmula'!G69+'Fórmula'!I69+'Fórmula'!K69))*(INDEX(properties!A$1:CB$87,'Fórmula'!J69,12))</f>
        <v>2.615384615</v>
      </c>
      <c r="AS69" s="108">
        <f t="array" ref="AS69">'Fórmula'!C69*(INDEX(properties!A$1:CB$87,'Fórmula'!B69,12))+'Fórmula'!E69*(INDEX(properties!A$1:CB$87,'Fórmula'!D69,12))+'Fórmula'!G69*(INDEX(properties!A$1:CB$87,'Fórmula'!F69,12))+'Fórmula'!I69*(INDEX(properties!A$1:CB$87,'Fórmula'!H69,12))+'Fórmula'!K69*(INDEX(properties!A$1:CB$87,'Fórmula'!J69,12))</f>
        <v>34</v>
      </c>
      <c r="AT69" s="108">
        <f t="array" ref="AT69">VARP(IF(INDEX(properties!A$1:CB$87,'Fórmula'!B69,12)&lt;&gt;"",INDEX(properties!A$1:CB$87,'Fórmula'!B69,12)),IF(INDEX(properties!A$1:CB$87,'Fórmula'!D69,12)&lt;&gt;"",INDEX(properties!A$1:CB$87,'Fórmula'!D69,12)),IF(INDEX(properties!A$1:CB$87,'Fórmula'!F69,12)&lt;&gt;"",INDEX(properties!A$1:CB$87,'Fórmula'!F69,12)),IF(INDEX(properties!A$1:CB$87,'Fórmula'!H69,12)&lt;&gt;"",INDEX(properties!A$1:CB$87,'Fórmula'!H69,12)),IF(INDEX(properties!A$1:CB$87,'Fórmula'!J69,12)&lt;&gt;"",INDEX(properties!A$1:CB$87,'Fórmula'!J69,12)))</f>
        <v>3.04</v>
      </c>
      <c r="AU69" s="108">
        <f t="array" ref="AU69">MAX(INDEX(properties!A$1:CB$87,'Fórmula'!B69,12),INDEX(properties!A$1:CB$87,'Fórmula'!D69,12),INDEX(properties!A$1:CB$87,'Fórmula'!F69,12),INDEX(properties!A$1:CB$87,'Fórmula'!H69,12),INDEX(properties!A$1:CB$87,'Fórmula'!J69,12))</f>
        <v>4</v>
      </c>
      <c r="AV69" s="108">
        <f t="array" ref="AV69">MIN(IF('Fórmula'!B69=87,10^6,INDEX(properties!A$1:CB$87,'Fórmula'!B69,12)),IF(('Fórmula'!D69)=87,10^6,INDEX(properties!A$1:CB$87,'Fórmula'!D69,12)),IF(('Fórmula'!F69)=87,10^6,INDEX(properties!A$1:CB$87,'Fórmula'!F69,12)),IF(('Fórmula'!H69)=87,10^6,INDEX(properties!A$1:CB$87,'Fórmula'!H69,12)),IF('Fórmula'!J69=87,10^6,INDEX(properties!A$1:CB$87,'Fórmula'!J69,12)))</f>
        <v>0</v>
      </c>
      <c r="AW69" s="108">
        <f t="shared" si="8"/>
        <v>4</v>
      </c>
      <c r="AX69" s="109">
        <f t="array" ref="AX69">(('Fórmula'!C69)/('Fórmula'!C69+'Fórmula'!E69+'Fórmula'!G69+'Fórmula'!I69+'Fórmula'!K69))*(INDEX(properties!A$1:CB$87,'Fórmula'!B69,13))+(('Fórmula'!E69)/('Fórmula'!C69+'Fórmula'!E69+'Fórmula'!G69+'Fórmula'!I69+'Fórmula'!K69))*(INDEX(properties!A$1:CB$87,'Fórmula'!D69,13))+(('Fórmula'!G69)/('Fórmula'!C69+'Fórmula'!E69+'Fórmula'!G69+'Fórmula'!I69+'Fórmula'!K69))*(INDEX(properties!A$1:CB$87,'Fórmula'!F69,13))+(('Fórmula'!I69)/('Fórmula'!C69+'Fórmula'!E69+'Fórmula'!G69+'Fórmula'!I69+'Fórmula'!K69))*(INDEX(properties!A$1:CB$87,'Fórmula'!H69,13))+(('Fórmula'!K69)/('Fórmula'!C69+'Fórmula'!E69+'Fórmula'!G69+'Fórmula'!I69+'Fórmula'!K69))*(INDEX(properties!A$1:CB$87,'Fórmula'!J69,13))</f>
        <v>0</v>
      </c>
      <c r="AY69" s="109">
        <f t="array" ref="AY69">'Fórmula'!C69*(INDEX(properties!A$1:CB$87,'Fórmula'!B69,13))+'Fórmula'!E69*(INDEX(properties!A$1:CB$87,'Fórmula'!D69,13))+'Fórmula'!G69*(INDEX(properties!A$1:CB$87,'Fórmula'!F69,13))+'Fórmula'!I69*(INDEX(properties!A$1:CB$87,'Fórmula'!H69,13))+'Fórmula'!K69*(INDEX(properties!A$1:CB$87,'Fórmula'!J69,13))</f>
        <v>0</v>
      </c>
      <c r="AZ69" s="109">
        <f t="array" ref="AZ69">VARP(IF(INDEX(properties!A$1:CB$87,'Fórmula'!B69,13)&lt;&gt;"",INDEX(properties!A$1:CB$87,'Fórmula'!B69,13)),IF(INDEX(properties!A$1:CB$87,'Fórmula'!D69,13)&lt;&gt;"",INDEX(properties!A$1:CB$87,'Fórmula'!D69,13)),IF(INDEX(properties!A$1:CB$87,'Fórmula'!F69,13)&lt;&gt;"",INDEX(properties!A$1:CB$87,'Fórmula'!F69,13)),IF(INDEX(properties!A$1:CB$87,'Fórmula'!H69,13)&lt;&gt;"",INDEX(properties!A$1:CB$87,'Fórmula'!H69,13)),IF(INDEX(properties!A$1:CB$87,'Fórmula'!J69,13)&lt;&gt;"",INDEX(properties!A$1:CB$87,'Fórmula'!J69,13)))</f>
        <v>0</v>
      </c>
      <c r="BA69" s="109">
        <f t="array" ref="BA69">MAX(INDEX(properties!A$1:CB$87,'Fórmula'!B69,13),INDEX(properties!A$1:CB$87,'Fórmula'!D69,13),INDEX(properties!A$1:CB$87,'Fórmula'!F69,13),INDEX(properties!A$1:CB$87,'Fórmula'!H69,13),INDEX(properties!A$1:CB$87,'Fórmula'!J69,13))</f>
        <v>0</v>
      </c>
      <c r="BB69" s="109">
        <f t="array" ref="BB69">MIN(IF('Fórmula'!B69=87,10^6,INDEX(properties!A$1:CB$87,'Fórmula'!B69,13)),IF(('Fórmula'!D69)=87,10^6,INDEX(properties!A$1:CB$87,'Fórmula'!D69,13)),IF(('Fórmula'!F69)=87,10^6,INDEX(properties!A$1:CB$87,'Fórmula'!F69,13)),IF(('Fórmula'!H69)=87,10^6,INDEX(properties!A$1:CB$87,'Fórmula'!H69,13)),IF('Fórmula'!J69=87,10^6,INDEX(properties!A$1:CB$87,'Fórmula'!J69,13)))</f>
        <v>0</v>
      </c>
      <c r="BC69" s="109">
        <f t="shared" si="9"/>
        <v>0</v>
      </c>
      <c r="BD69" s="110">
        <f t="array" ref="BD69">(('Fórmula'!C69)/('Fórmula'!C69+'Fórmula'!E69+'Fórmula'!G69+'Fórmula'!I69+'Fórmula'!K69))*(INDEX(properties!A$1:CB$87,'Fórmula'!B69,14))+(('Fórmula'!E69)/('Fórmula'!C69+'Fórmula'!E69+'Fórmula'!G69+'Fórmula'!I69+'Fórmula'!K69))*(INDEX(properties!A$1:CB$87,'Fórmula'!D69,14))+(('Fórmula'!G69)/('Fórmula'!C69+'Fórmula'!E69+'Fórmula'!G69+'Fórmula'!I69+'Fórmula'!K69))*(INDEX(properties!A$1:CB$87,'Fórmula'!F69,14))+(('Fórmula'!I69)/('Fórmula'!C69+'Fórmula'!E69+'Fórmula'!G69+'Fórmula'!I69+'Fórmula'!K69))*(INDEX(properties!A$1:CB$87,'Fórmula'!H69,14))+(('Fórmula'!K69)/('Fórmula'!C69+'Fórmula'!E69+'Fórmula'!G69+'Fórmula'!I69+'Fórmula'!K69))*(INDEX(properties!A$1:CB$87,'Fórmula'!J69,14))</f>
        <v>0</v>
      </c>
      <c r="BE69" s="110">
        <f t="array" ref="BE69">'Fórmula'!C69*(INDEX(properties!A$1:CB$87,'Fórmula'!B69,14))+'Fórmula'!E69*(INDEX(properties!A$1:CB$87,'Fórmula'!D69,14))+'Fórmula'!G69*(INDEX(properties!A$1:CB$87,'Fórmula'!F69,14))+'Fórmula'!I69*(INDEX(properties!A$1:CB$87,'Fórmula'!H69,14))+'Fórmula'!K69*(INDEX(properties!A$1:CB$87,'Fórmula'!J69,14))</f>
        <v>0</v>
      </c>
      <c r="BF69" s="110">
        <f t="array" ref="BF69">VARP(IF(INDEX(properties!A$1:CB$87,'Fórmula'!B69,14)&lt;&gt;"",INDEX(properties!A$1:CB$87,'Fórmula'!B69,14)),IF(INDEX(properties!A$1:CB$87,'Fórmula'!D69,14)&lt;&gt;"",INDEX(properties!A$1:CB$87,'Fórmula'!D69,14)),IF(INDEX(properties!A$1:CB$87,'Fórmula'!F69,14)&lt;&gt;"",INDEX(properties!A$1:CB$87,'Fórmula'!F69,14)),IF(INDEX(properties!A$1:CB$87,'Fórmula'!H69,14)&lt;&gt;"",INDEX(properties!A$1:CB$87,'Fórmula'!H69,14)),IF(INDEX(properties!A$1:CB$87,'Fórmula'!J69,14)&lt;&gt;"",INDEX(properties!A$1:CB$87,'Fórmula'!J69,14)))</f>
        <v>0</v>
      </c>
      <c r="BG69" s="110">
        <f t="array" ref="BG69">MAX(INDEX(properties!A$1:CB$87,'Fórmula'!B69,14),INDEX(properties!A$1:CB$87,'Fórmula'!D69,14),INDEX(properties!A$1:CB$87,'Fórmula'!F69,14),INDEX(properties!A$1:CB$87,'Fórmula'!H69,14),INDEX(properties!A$1:CB$87,'Fórmula'!J69,14))</f>
        <v>0</v>
      </c>
      <c r="BH69" s="110">
        <f t="array" ref="BH69">MIN(IF('Fórmula'!B69=87,10^6,INDEX(properties!A$1:CB$87,'Fórmula'!B69,14)),IF(('Fórmula'!D69)=87,10^6,INDEX(properties!A$1:CB$87,'Fórmula'!D69,14)),IF(('Fórmula'!F69)=87,10^6,INDEX(properties!A$1:CB$87,'Fórmula'!F69,14)),IF(('Fórmula'!H69)=87,10^6,INDEX(properties!A$1:CB$87,'Fórmula'!H69,14)),IF('Fórmula'!J69=87,10^6,INDEX(properties!A$1:CB$87,'Fórmula'!J69,14)))</f>
        <v>0</v>
      </c>
      <c r="BI69" s="110">
        <f t="shared" si="10"/>
        <v>0</v>
      </c>
      <c r="BJ69" s="111">
        <f t="array" ref="BJ69">(('Fórmula'!C69)/('Fórmula'!C69+'Fórmula'!E69+'Fórmula'!G69+'Fórmula'!I69+'Fórmula'!K69))*(INDEX(properties!A$1:CB$87,'Fórmula'!B69,19))+(('Fórmula'!E69)/('Fórmula'!C69+'Fórmula'!E69+'Fórmula'!G69+'Fórmula'!I69+'Fórmula'!K69))*(INDEX(properties!A$1:CB$87,'Fórmula'!D69,19))+(('Fórmula'!G69)/('Fórmula'!C69+'Fórmula'!E69+'Fórmula'!G69+'Fórmula'!I69+'Fórmula'!K69))*(INDEX(properties!A$1:CB$87,'Fórmula'!F69,19))+(('Fórmula'!I69)/('Fórmula'!C69+'Fórmula'!E69+'Fórmula'!G69+'Fórmula'!I69+'Fórmula'!K69))*(INDEX(properties!A$1:CB$87,'Fórmula'!H69,19))+(('Fórmula'!K69)/('Fórmula'!C69+'Fórmula'!E69+'Fórmula'!G69+'Fórmula'!I69+'Fórmula'!K69))*(INDEX(properties!A$1:CB$87,'Fórmula'!J69,19))</f>
        <v>4.307692308</v>
      </c>
      <c r="BK69" s="111">
        <f t="array" ref="BK69">'Fórmula'!C69*(INDEX(properties!A$1:CB$87,'Fórmula'!B69,19))+'Fórmula'!E69*(INDEX(properties!A$1:CB$87,'Fórmula'!D69,19))+'Fórmula'!G69*(INDEX(properties!A$1:CB$87,'Fórmula'!F69,19))+'Fórmula'!I69*(INDEX(properties!A$1:CB$87,'Fórmula'!H69,19))+'Fórmula'!K69*(INDEX(properties!A$1:CB$87,'Fórmula'!J69,19))</f>
        <v>56</v>
      </c>
      <c r="BL69" s="111">
        <f t="array" ref="BL69">VARP(IF(INDEX(properties!A$1:CB$87,'Fórmula'!B69,19)&lt;&gt;"",INDEX(properties!A$1:CB$87,'Fórmula'!B69,19)),IF(INDEX(properties!A$1:CB$87,'Fórmula'!D69,19)&lt;&gt;"",INDEX(properties!A$1:CB$87,'Fórmula'!D69,19)),IF(INDEX(properties!A$1:CB$87,'Fórmula'!F69,19)&lt;&gt;"",INDEX(properties!A$1:CB$87,'Fórmula'!F69,19)),IF(INDEX(properties!A$1:CB$87,'Fórmula'!H69,19)&lt;&gt;"",INDEX(properties!A$1:CB$87,'Fórmula'!H69,19)),IF(INDEX(properties!A$1:CB$87,'Fórmula'!J69,19)&lt;&gt;"",INDEX(properties!A$1:CB$87,'Fórmula'!J69,19)))</f>
        <v>5.84</v>
      </c>
      <c r="BM69" s="111">
        <f t="array" ref="BM69">MAX(INDEX(properties!A$1:CB$87,'Fórmula'!B69,19),INDEX(properties!A$1:CB$87,'Fórmula'!D69,19),INDEX(properties!A$1:CB$87,'Fórmula'!F69,19),INDEX(properties!A$1:CB$87,'Fórmula'!H69,19),INDEX(properties!A$1:CB$87,'Fórmula'!J69,19))</f>
        <v>6</v>
      </c>
      <c r="BN69" s="111">
        <f t="array" ref="BN69">MIN(IF(INDEX(properties!A$1:CB$87,'Fórmula'!B69,19)=0,10^6,INDEX(properties!A$1:CB$87,'Fórmula'!B69,19)),IF(INDEX(properties!A$1:CB$87,'Fórmula'!D69,19)=0,10^6,INDEX(properties!A$1:CB$87,'Fórmula'!D69,19)),IF(INDEX(properties!A$1:CB$87,'Fórmula'!F69,19)=0,10^6,INDEX(properties!A$1:CB$87,'Fórmula'!F69,19)),IF(INDEX(properties!A$1:CB$87,'Fórmula'!H69,19)=0,10^6,INDEX(properties!A$1:CB$87,'Fórmula'!H69,19)),IF(INDEX(properties!A$1:CB$87,'Fórmula'!J69,19)=0,10^6,INDEX(properties!A$1:CB$87,'Fórmula'!J69,19)))</f>
        <v>1</v>
      </c>
      <c r="BO69" s="111">
        <f t="shared" si="11"/>
        <v>5</v>
      </c>
      <c r="BP69" s="112">
        <f t="array" ref="BP69">(('Fórmula'!C69)/('Fórmula'!C69+'Fórmula'!E69+'Fórmula'!G69+'Fórmula'!I69+'Fórmula'!K69))*(INDEX(properties!A$1:CB$87,'Fórmula'!B69,20))+(('Fórmula'!E69)/('Fórmula'!C69+'Fórmula'!E69+'Fórmula'!G69+'Fórmula'!I69+'Fórmula'!K69))*(INDEX(properties!A$1:CB$87,'Fórmula'!D69,20))+(('Fórmula'!G69)/('Fórmula'!C69+'Fórmula'!E69+'Fórmula'!G69+'Fórmula'!I69+'Fórmula'!K69))*(INDEX(properties!A$1:CB$87,'Fórmula'!F69,20))+(('Fórmula'!I69)/('Fórmula'!C69+'Fórmula'!E69+'Fórmula'!G69+'Fórmula'!I69+'Fórmula'!K69))*(INDEX(properties!A$1:CB$87,'Fórmula'!H69,20))+(('Fórmula'!K69)/('Fórmula'!C69+'Fórmula'!E69+'Fórmula'!G69+'Fórmula'!I69+'Fórmula'!K69))*(INDEX(properties!A$1:CB$87,'Fórmula'!J69,20))</f>
        <v>4.307692308</v>
      </c>
      <c r="BQ69" s="112">
        <f t="array" ref="BQ69">'Fórmula'!C69*(INDEX(properties!A$1:CB$87,'Fórmula'!B69,20))+'Fórmula'!E69*(INDEX(properties!A$1:CB$87,'Fórmula'!D69,20))+'Fórmula'!G69*(INDEX(properties!A$1:CB$87,'Fórmula'!F69,20))+'Fórmula'!I69*(INDEX(properties!A$1:CB$87,'Fórmula'!H69,20))+'Fórmula'!K69*(INDEX(properties!A$1:CB$87,'Fórmula'!J69,20))</f>
        <v>56</v>
      </c>
      <c r="BR69" s="112">
        <f t="array" ref="BR69">VARP(IF(INDEX(properties!A$1:CB$87,'Fórmula'!B69,20)&lt;&gt;"",INDEX(properties!A$1:CB$87,'Fórmula'!B69,20)),IF(INDEX(properties!A$1:CB$87,'Fórmula'!D69,20)&lt;&gt;"",INDEX(properties!A$1:CB$87,'Fórmula'!D69,20)),IF(INDEX(properties!A$1:CB$87,'Fórmula'!F69,20)&lt;&gt;"",INDEX(properties!A$1:CB$87,'Fórmula'!F69,20)),IF(INDEX(properties!A$1:CB$87,'Fórmula'!H69,20)&lt;&gt;"",INDEX(properties!A$1:CB$87,'Fórmula'!H69,20)),IF(INDEX(properties!A$1:CB$87,'Fórmula'!J69,20)&lt;&gt;"",INDEX(properties!A$1:CB$87,'Fórmula'!J69,20)))</f>
        <v>5.84</v>
      </c>
      <c r="BS69" s="112">
        <f t="array" ref="BS69">MAX(INDEX(properties!A$1:CB$87,'Fórmula'!B69,20),INDEX(properties!A$1:CB$87,'Fórmula'!D69,20),INDEX(properties!A$1:CB$87,'Fórmula'!F69,20),INDEX(properties!A$1:CB$87,'Fórmula'!H69,20),INDEX(properties!A$1:CB$87,'Fórmula'!J69,20))</f>
        <v>6</v>
      </c>
      <c r="BT69" s="112">
        <f t="array" ref="BT69">MIN(IF(INDEX(properties!A$1:CB$87,'Fórmula'!B69,20)=0,10^6,INDEX(properties!A$1:CB$87,'Fórmula'!B69,20)),IF(INDEX(properties!A$1:CB$87,'Fórmula'!D69,20)=0,10^6,INDEX(properties!A$1:CB$87,'Fórmula'!D69,20)),IF(INDEX(properties!A$1:CB$87,'Fórmula'!F69,20)=0,10^6,INDEX(properties!A$1:CB$87,'Fórmula'!F69,20)),IF(INDEX(properties!A$1:CB$87,'Fórmula'!H69,20)=0,10^6,INDEX(properties!A$1:CB$87,'Fórmula'!H69,20)),IF(INDEX(properties!A$1:CB$87,'Fórmula'!J69,20)=0,10^6,INDEX(properties!A$1:CB$87,'Fórmula'!J69,20)))</f>
        <v>1</v>
      </c>
      <c r="BU69" s="112">
        <f t="shared" si="12"/>
        <v>5</v>
      </c>
      <c r="BV69" s="113">
        <f t="array" ref="BV69">(('Fórmula'!C69)/('Fórmula'!C69+'Fórmula'!E69+'Fórmula'!G69+'Fórmula'!I69+'Fórmula'!K69))*(INDEX(properties!A$1:CB$87,'Fórmula'!B69,21))+(('Fórmula'!E69)/('Fórmula'!C69+'Fórmula'!E69+'Fórmula'!G69+'Fórmula'!I69+'Fórmula'!K69))*(INDEX(properties!A$1:CB$87,'Fórmula'!D69,21))+(('Fórmula'!G69)/('Fórmula'!C69+'Fórmula'!E69+'Fórmula'!G69+'Fórmula'!I69+'Fórmula'!K69))*(INDEX(properties!A$1:CB$87,'Fórmula'!F69,21))+(('Fórmula'!I69)/('Fórmula'!C69+'Fórmula'!E69+'Fórmula'!G69+'Fórmula'!I69+'Fórmula'!K69))*(INDEX(properties!A$1:CB$87,'Fórmula'!H69,21))+(('Fórmula'!K69)/('Fórmula'!C69+'Fórmula'!E69+'Fórmula'!G69+'Fórmula'!I69+'Fórmula'!K69))*(INDEX(properties!A$1:CB$87,'Fórmula'!J69,21))</f>
        <v>4.307692308</v>
      </c>
      <c r="BW69" s="113">
        <f t="array" ref="BW69">'Fórmula'!C69*(INDEX(properties!A$1:CB$87,'Fórmula'!B69,21))+'Fórmula'!E69*(INDEX(properties!A$1:CB$87,'Fórmula'!D69,21))+'Fórmula'!G69*(INDEX(properties!A$1:CB$87,'Fórmula'!F69,21))+'Fórmula'!I69*(INDEX(properties!A$1:CB$87,'Fórmula'!H69,21))+'Fórmula'!K69*(INDEX(properties!A$1:CB$87,'Fórmula'!J69,21))</f>
        <v>56</v>
      </c>
      <c r="BX69" s="113">
        <f t="array" ref="BX69">VARP(IF(INDEX(properties!A$1:CB$87,'Fórmula'!B69,21)&lt;&gt;"",INDEX(properties!A$1:CB$87,'Fórmula'!B69,21)),IF(INDEX(properties!A$1:CB$87,'Fórmula'!D69,21)&lt;&gt;"",INDEX(properties!A$1:CB$87,'Fórmula'!D69,21)),IF(INDEX(properties!A$1:CB$87,'Fórmula'!F69,21)&lt;&gt;"",INDEX(properties!A$1:CB$87,'Fórmula'!F69,21)),IF(INDEX(properties!A$1:CB$87,'Fórmula'!H69,21)&lt;&gt;"",INDEX(properties!A$1:CB$87,'Fórmula'!H69,21)),IF(INDEX(properties!A$1:CB$87,'Fórmula'!J69,21)&lt;&gt;"",INDEX(properties!A$1:CB$87,'Fórmula'!J69,21)))</f>
        <v>5.84</v>
      </c>
      <c r="BY69" s="113">
        <f t="array" ref="BY69">MAX(INDEX(properties!A$1:CB$87,'Fórmula'!B69,21),INDEX(properties!A$1:CB$87,'Fórmula'!D69,21),INDEX(properties!A$1:CB$87,'Fórmula'!F69,21),INDEX(properties!A$1:CB$87,'Fórmula'!H69,21),INDEX(properties!A$1:CB$87,'Fórmula'!J69,21))</f>
        <v>6</v>
      </c>
      <c r="BZ69" s="113">
        <f t="array" ref="BZ69">MIN(IF(INDEX(properties!A$1:CB$87,'Fórmula'!B69,21)=0,10^6,INDEX(properties!A$1:CB$87,'Fórmula'!B69,21)),IF(INDEX(properties!A$1:CB$87,'Fórmula'!D69,21)=0,10^6,INDEX(properties!A$1:CB$87,'Fórmula'!D69,21)),IF(INDEX(properties!A$1:CB$87,'Fórmula'!F69,21)=0,10^6,INDEX(properties!A$1:CB$87,'Fórmula'!F69,21)),IF(INDEX(properties!A$1:CB$87,'Fórmula'!H69,21)=0,10^6,INDEX(properties!A$1:CB$87,'Fórmula'!H69,21)),IF(INDEX(properties!A$1:CB$87,'Fórmula'!J69,21)=0,10^6,INDEX(properties!A$1:CB$87,'Fórmula'!J69,21)))</f>
        <v>1</v>
      </c>
      <c r="CA69" s="113">
        <f t="shared" si="13"/>
        <v>5</v>
      </c>
      <c r="CB69" s="114">
        <f t="array" ref="CB69">(('Fórmula'!C69)/('Fórmula'!C69+'Fórmula'!E69+'Fórmula'!G69+'Fórmula'!I69+'Fórmula'!K69))*(INDEX(properties!A$1:CB$87,'Fórmula'!B69,23))+(('Fórmula'!E69)/('Fórmula'!C69+'Fórmula'!E69+'Fórmula'!G69+'Fórmula'!I69+'Fórmula'!K69))*(INDEX(properties!A$1:CB$87,'Fórmula'!D69,23))+(('Fórmula'!G69)/('Fórmula'!C69+'Fórmula'!E69+'Fórmula'!G69+'Fórmula'!I69+'Fórmula'!K69))*(INDEX(properties!A$1:CB$87,'Fórmula'!F69,23))+(('Fórmula'!I69)/('Fórmula'!C69+'Fórmula'!E69+'Fórmula'!G69+'Fórmula'!I69+'Fórmula'!K69))*(INDEX(properties!A$1:CB$87,'Fórmula'!H69,23))+(('Fórmula'!K69)/('Fórmula'!C69+'Fórmula'!E69+'Fórmula'!G69+'Fórmula'!I69+'Fórmula'!K69))*(INDEX(properties!A$1:CB$87,'Fórmula'!J69,23))</f>
        <v>0.7692307692</v>
      </c>
      <c r="CC69" s="114">
        <f t="array" ref="CC69">'Fórmula'!C69*(INDEX(properties!A$1:CB$87,'Fórmula'!B69,23))+'Fórmula'!E69*(INDEX(properties!A$1:CB$87,'Fórmula'!D69,23))+'Fórmula'!G69*(INDEX(properties!A$1:CB$87,'Fórmula'!F69,23))+'Fórmula'!I69*(INDEX(properties!A$1:CB$87,'Fórmula'!H69,23))+'Fórmula'!K69*(INDEX(properties!A$1:CB$87,'Fórmula'!J69,23))</f>
        <v>10</v>
      </c>
      <c r="CD69" s="114">
        <f t="array" ref="CD69">VARP(IF(INDEX(properties!A$1:CB$87,'Fórmula'!B69,23)&lt;&gt;"",INDEX(properties!A$1:CB$87,'Fórmula'!B69,23)),IF(INDEX(properties!A$1:CB$87,'Fórmula'!D69,23)&lt;&gt;"",INDEX(properties!A$1:CB$87,'Fórmula'!D69,23)),IF(INDEX(properties!A$1:CB$87,'Fórmula'!F69,23)&lt;&gt;"",INDEX(properties!A$1:CB$87,'Fórmula'!F69,23)),IF(INDEX(properties!A$1:CB$87,'Fórmula'!H69,23)&lt;&gt;"",INDEX(properties!A$1:CB$87,'Fórmula'!H69,23)),IF(INDEX(properties!A$1:CB$87,'Fórmula'!J69,23)&lt;&gt;"",INDEX(properties!A$1:CB$87,'Fórmula'!J69,23)))</f>
        <v>1.2</v>
      </c>
      <c r="CE69" s="114">
        <f t="array" ref="CE69">MAX(INDEX(properties!A$1:CB$87,'Fórmula'!B69,23),INDEX(properties!A$1:CB$87,'Fórmula'!D69,23),INDEX(properties!A$1:CB$87,'Fórmula'!F69,23),INDEX(properties!A$1:CB$87,'Fórmula'!H69,23),INDEX(properties!A$1:CB$87,'Fórmula'!J69,23))</f>
        <v>3</v>
      </c>
      <c r="CF69" s="114">
        <f t="array" ref="CF69">MIN(IF('Fórmula'!B69=87,10^6,INDEX(properties!A$1:CB$87,'Fórmula'!B69,23)),IF(('Fórmula'!D69)=87,10^6,INDEX(properties!A$1:CB$87,'Fórmula'!D69,23)),IF(('Fórmula'!F69)=87,10^6,INDEX(properties!A$1:CB$87,'Fórmula'!F69,23)),IF(('Fórmula'!H69)=87,10^6,INDEX(properties!A$1:CB$87,'Fórmula'!H69,23)),IF('Fórmula'!J69=87,10^6,INDEX(properties!A$1:CB$87,'Fórmula'!J69,23)))</f>
        <v>0</v>
      </c>
      <c r="CG69" s="114">
        <f t="shared" si="14"/>
        <v>3</v>
      </c>
      <c r="CH69" s="115">
        <f t="array" ref="CH69">(('Fórmula'!C69)/('Fórmula'!C69+'Fórmula'!E69+'Fórmula'!G69+'Fórmula'!I69+'Fórmula'!K69))*(INDEX(properties!A$1:CB$87,'Fórmula'!B69,26))+(('Fórmula'!E69)/('Fórmula'!C69+'Fórmula'!E69+'Fórmula'!G69+'Fórmula'!I69+'Fórmula'!K69))*(INDEX(properties!A$1:CB$87,'Fórmula'!D69,26))+(('Fórmula'!G69)/('Fórmula'!C69+'Fórmula'!E69+'Fórmula'!G69+'Fórmula'!I69+'Fórmula'!K69))*(INDEX(properties!A$1:CB$87,'Fórmula'!F69,26))+(('Fórmula'!I69)/('Fórmula'!C69+'Fórmula'!E69+'Fórmula'!G69+'Fórmula'!I69+'Fórmula'!K69))*(INDEX(properties!A$1:CB$87,'Fórmula'!H69,26))+(('Fórmula'!K69)/('Fórmula'!C69+'Fórmula'!E69+'Fórmula'!G69+'Fórmula'!I69+'Fórmula'!K69))*(INDEX(properties!A$1:CB$87,'Fórmula'!J69,26))</f>
        <v>10.54685385</v>
      </c>
      <c r="CI69" s="115">
        <f t="array" ref="CI69">'Fórmula'!C69*(INDEX(properties!A$1:CB$87,'Fórmula'!B69,26))+'Fórmula'!E69*(INDEX(properties!A$1:CB$87,'Fórmula'!D69,26))+'Fórmula'!G69*(INDEX(properties!A$1:CB$87,'Fórmula'!F69,26))+'Fórmula'!I69*(INDEX(properties!A$1:CB$87,'Fórmula'!H69,26))+'Fórmula'!K69*(INDEX(properties!A$1:CB$87,'Fórmula'!J69,26))</f>
        <v>137.1091</v>
      </c>
      <c r="CJ69" s="115">
        <f t="array" ref="CJ69">VARP(IF(INDEX(properties!A$1:CB$87,'Fórmula'!B69,26)&lt;&gt;"",INDEX(properties!A$1:CB$87,'Fórmula'!B69,26)),IF(INDEX(properties!A$1:CB$87,'Fórmula'!D69,26)&lt;&gt;"",INDEX(properties!A$1:CB$87,'Fórmula'!D69,26)),IF(INDEX(properties!A$1:CB$87,'Fórmula'!F69,26)&lt;&gt;"",INDEX(properties!A$1:CB$87,'Fórmula'!F69,26)),IF(INDEX(properties!A$1:CB$87,'Fórmula'!H69,26)&lt;&gt;"",INDEX(properties!A$1:CB$87,'Fórmula'!H69,26)),IF(INDEX(properties!A$1:CB$87,'Fórmula'!J69,26)&lt;&gt;"",INDEX(properties!A$1:CB$87,'Fórmula'!J69,26)))</f>
        <v>22.19586895</v>
      </c>
      <c r="CK69" s="116">
        <f t="array" ref="CK69">MAX(INDEX(properties!A$1:CB$87,'Fórmula'!B69,26),INDEX(properties!A$1:CB$87,'Fórmula'!D69,26),INDEX(properties!A$1:CB$87,'Fórmula'!F69,26),INDEX(properties!A$1:CB$87,'Fórmula'!H69,26),INDEX(properties!A$1:CB$87,'Fórmula'!J69,26))</f>
        <v>13.6181</v>
      </c>
      <c r="CL69" s="116">
        <f t="array" ref="CL69">MIN(IF(INDEX(properties!A$1:CB$87,'Fórmula'!B69,26)=0,10^6,INDEX(properties!A$1:CB$87,'Fórmula'!B69,26)),IF(INDEX(properties!A$1:CB$87,'Fórmula'!D69,26)=0,10^6,INDEX(properties!A$1:CB$87,'Fórmula'!D69,26)),IF(INDEX(properties!A$1:CB$87,'Fórmula'!F69,26)=0,10^6,INDEX(properties!A$1:CB$87,'Fórmula'!F69,26)),IF(INDEX(properties!A$1:CB$87,'Fórmula'!H69,26)=0,10^6,INDEX(properties!A$1:CB$87,'Fórmula'!H69,26)),IF(INDEX(properties!A$1:CB$87,'Fórmula'!J69,26)=0,10^6,INDEX(properties!A$1:CB$87,'Fórmula'!J69,26)))</f>
        <v>5.1391</v>
      </c>
      <c r="CM69" s="115">
        <f t="shared" si="15"/>
        <v>8.479</v>
      </c>
      <c r="CN69" s="117">
        <f t="array" ref="CN69">(('Fórmula'!C69)/('Fórmula'!C69+'Fórmula'!E69+'Fórmula'!G69+'Fórmula'!I69+'Fórmula'!K69))*(INDEX(properties!A$1:CB$87,'Fórmula'!B69,30))+(('Fórmula'!E69)/('Fórmula'!C69+'Fórmula'!E69+'Fórmula'!G69+'Fórmula'!I69+'Fórmula'!K69))*(INDEX(properties!A$1:CB$87,'Fórmula'!D69,30))+(('Fórmula'!G69)/('Fórmula'!C69+'Fórmula'!E69+'Fórmula'!G69+'Fórmula'!I69+'Fórmula'!K69))*(INDEX(properties!A$1:CB$87,'Fórmula'!F69,30))+(('Fórmula'!I69)/('Fórmula'!C69+'Fórmula'!E69+'Fórmula'!G69+'Fórmula'!I69+'Fórmula'!K69))*(INDEX(properties!A$1:CB$87,'Fórmula'!H69,30))+(('Fórmula'!K69)/('Fórmula'!C69+'Fórmula'!E69+'Fórmula'!G69+'Fórmula'!I69+'Fórmula'!K69))*(INDEX(properties!A$1:CB$87,'Fórmula'!J69,30))</f>
        <v>2.479230769</v>
      </c>
      <c r="CO69" s="117">
        <f t="array" ref="CO69">'Fórmula'!C69*(INDEX(properties!A$1:CB$87,'Fórmula'!B69,30))+'Fórmula'!E69*(INDEX(properties!A$1:CB$87,'Fórmula'!D69,30))+'Fórmula'!G69*(INDEX(properties!A$1:CB$87,'Fórmula'!F69,30))+'Fórmula'!I69*(INDEX(properties!A$1:CB$87,'Fórmula'!H69,30))+'Fórmula'!K69*(INDEX(properties!A$1:CB$87,'Fórmula'!J69,30))</f>
        <v>32.23</v>
      </c>
      <c r="CP69" s="117">
        <f t="array" ref="CP69">VARP(IF(INDEX(properties!A$1:CB$87,'Fórmula'!B69,30)&lt;&gt;"",INDEX(properties!A$1:CB$87,'Fórmula'!B69,30)),IF(INDEX(properties!A$1:CB$87,'Fórmula'!D69,30)&lt;&gt;"",INDEX(properties!A$1:CB$87,'Fórmula'!D69,30)),IF(INDEX(properties!A$1:CB$87,'Fórmula'!F69,30)&lt;&gt;"",INDEX(properties!A$1:CB$87,'Fórmula'!F69,30)),IF(INDEX(properties!A$1:CB$87,'Fórmula'!H69,30)&lt;&gt;"",INDEX(properties!A$1:CB$87,'Fórmula'!H69,30)),IF(INDEX(properties!A$1:CB$87,'Fórmula'!J69,30)&lt;&gt;"",INDEX(properties!A$1:CB$87,'Fórmula'!J69,30)))</f>
        <v>1.416936</v>
      </c>
      <c r="CQ69" s="117">
        <f t="array" ref="CQ69">MAX(INDEX(properties!A$1:CB$87,'Fórmula'!B69,30),INDEX(properties!A$1:CB$87,'Fórmula'!D69,30),INDEX(properties!A$1:CB$87,'Fórmula'!F69,30),INDEX(properties!A$1:CB$87,'Fórmula'!H69,30),INDEX(properties!A$1:CB$87,'Fórmula'!J69,30))</f>
        <v>3.44</v>
      </c>
      <c r="CR69" s="117">
        <f t="array" ref="CR69">MIN(IF(INDEX(properties!A$1:CB$87,'Fórmula'!B69,30)=0,10^6,INDEX(properties!A$1:CB$87,'Fórmula'!B69,30)),IF(INDEX(properties!A$1:CB$87,'Fórmula'!D69,30)=0,10^6,INDEX(properties!A$1:CB$87,'Fórmula'!D69,30)),IF(INDEX(properties!A$1:CB$87,'Fórmula'!F69,30)=0,10^6,INDEX(properties!A$1:CB$87,'Fórmula'!F69,30)),IF(INDEX(properties!A$1:CB$87,'Fórmula'!H69,30)=0,10^6,INDEX(properties!A$1:CB$87,'Fórmula'!H69,30)),IF(INDEX(properties!A$1:CB$87,'Fórmula'!J69,30)=0,10^6,INDEX(properties!A$1:CB$87,'Fórmula'!J69,30)))</f>
        <v>0.93</v>
      </c>
      <c r="CS69" s="117">
        <f t="shared" si="16"/>
        <v>2.51</v>
      </c>
      <c r="CT69" s="118">
        <f t="array" ref="CT69">(('Fórmula'!C69)/('Fórmula'!C69+'Fórmula'!E69+'Fórmula'!G69+'Fórmula'!I69+'Fórmula'!K69))*(INDEX(properties!A$1:CB$87,'Fórmula'!B69,31))+(('Fórmula'!E69)/('Fórmula'!C69+'Fórmula'!E69+'Fórmula'!G69+'Fórmula'!I69+'Fórmula'!K69))*(INDEX(properties!A$1:CB$87,'Fórmula'!D69,31))+(('Fórmula'!G69)/('Fórmula'!C69+'Fórmula'!E69+'Fórmula'!G69+'Fórmula'!I69+'Fórmula'!K69))*(INDEX(properties!A$1:CB$87,'Fórmula'!F69,31))+(('Fórmula'!I69)/('Fórmula'!C69+'Fórmula'!E69+'Fórmula'!G69+'Fórmula'!I69+'Fórmula'!K69))*(INDEX(properties!A$1:CB$87,'Fórmula'!H69,31))+(('Fórmula'!K69)/('Fórmula'!C69+'Fórmula'!E69+'Fórmula'!G69+'Fórmula'!I69+'Fórmula'!K69))*(INDEX(properties!A$1:CB$87,'Fórmula'!J69,31))</f>
        <v>2.419230769</v>
      </c>
      <c r="CU69" s="118">
        <f t="array" ref="CU69">'Fórmula'!C69*(INDEX(properties!A$1:CB$87,'Fórmula'!B69,31))+'Fórmula'!E69*(INDEX(properties!A$1:CB$87,'Fórmula'!D69,31))+'Fórmula'!G69*(INDEX(properties!A$1:CB$87,'Fórmula'!F69,31))+'Fórmula'!I69*(INDEX(properties!A$1:CB$87,'Fórmula'!H69,31))+'Fórmula'!K69*(INDEX(properties!A$1:CB$87,'Fórmula'!J69,31))</f>
        <v>31.45</v>
      </c>
      <c r="CV69" s="118">
        <f t="array" ref="CV69">VARP(IF(INDEX(properties!A$1:CB$87,'Fórmula'!B69,31)&lt;&gt;"",INDEX(properties!A$1:CB$87,'Fórmula'!B69,31)),IF(INDEX(properties!A$1:CB$87,'Fórmula'!D69,31)&lt;&gt;"",INDEX(properties!A$1:CB$87,'Fórmula'!D69,31)),IF(INDEX(properties!A$1:CB$87,'Fórmula'!F69,31)&lt;&gt;"",INDEX(properties!A$1:CB$87,'Fórmula'!F69,31)),IF(INDEX(properties!A$1:CB$87,'Fórmula'!H69,31)&lt;&gt;"",INDEX(properties!A$1:CB$87,'Fórmula'!H69,31)),IF(INDEX(properties!A$1:CB$87,'Fórmula'!J69,31)&lt;&gt;"",INDEX(properties!A$1:CB$87,'Fórmula'!J69,31)))</f>
        <v>1.393184</v>
      </c>
      <c r="CW69" s="118">
        <f t="array" ref="CW69">MAX(INDEX(properties!A$1:CB$87,'Fórmula'!B69,31),INDEX(properties!A$1:CB$87,'Fórmula'!D69,31),INDEX(properties!A$1:CB$87,'Fórmula'!F69,31),INDEX(properties!A$1:CB$87,'Fórmula'!H69,31),INDEX(properties!A$1:CB$87,'Fórmula'!J69,31))</f>
        <v>3.32</v>
      </c>
      <c r="CX69" s="118">
        <f t="array" ref="CX69">MIN(IF(INDEX(properties!A$1:CB$87,'Fórmula'!B69,31)=0,10^6,INDEX(properties!A$1:CB$87,'Fórmula'!B69,31)),IF(INDEX(properties!A$1:CB$87,'Fórmula'!D69,31)=0,10^6,INDEX(properties!A$1:CB$87,'Fórmula'!D69,31)),IF(INDEX(properties!A$1:CB$87,'Fórmula'!F69,31)=0,10^6,INDEX(properties!A$1:CB$87,'Fórmula'!F69,31)),IF(INDEX(properties!A$1:CB$87,'Fórmula'!H69,31)=0,10^6,INDEX(properties!A$1:CB$87,'Fórmula'!H69,31)),IF(INDEX(properties!A$1:CB$87,'Fórmula'!J69,31)=0,10^6,INDEX(properties!A$1:CB$87,'Fórmula'!J69,31)))</f>
        <v>0.89</v>
      </c>
      <c r="CY69" s="118">
        <f t="shared" si="17"/>
        <v>2.43</v>
      </c>
      <c r="CZ69" s="119">
        <f t="array" ref="CZ69">(('Fórmula'!C69)/('Fórmula'!C69+'Fórmula'!E69+'Fórmula'!G69+'Fórmula'!I69+'Fórmula'!K69))*(INDEX(properties!A$1:CB$87,'Fórmula'!B69,32))+(('Fórmula'!E69)/('Fórmula'!C69+'Fórmula'!E69+'Fórmula'!G69+'Fórmula'!I69+'Fórmula'!K69))*(INDEX(properties!A$1:CB$87,'Fórmula'!D69,32))+(('Fórmula'!G69)/('Fórmula'!C69+'Fórmula'!E69+'Fórmula'!G69+'Fórmula'!I69+'Fórmula'!K69))*(INDEX(properties!A$1:CB$87,'Fórmula'!F69,32))+(('Fórmula'!I69)/('Fórmula'!C69+'Fórmula'!E69+'Fórmula'!G69+'Fórmula'!I69+'Fórmula'!K69))*(INDEX(properties!A$1:CB$87,'Fórmula'!H69,32))+(('Fórmula'!K69)/('Fórmula'!C69+'Fórmula'!E69+'Fórmula'!G69+'Fórmula'!I69+'Fórmula'!K69))*(INDEX(properties!A$1:CB$87,'Fórmula'!J69,32))</f>
        <v>5.813846154</v>
      </c>
      <c r="DA69" s="119">
        <f t="array" ref="DA69">'Fórmula'!C69*(INDEX(properties!A$1:CB$87,'Fórmula'!B69,32))+'Fórmula'!E69*(INDEX(properties!A$1:CB$87,'Fórmula'!D69,32))+'Fórmula'!G69*(INDEX(properties!A$1:CB$87,'Fórmula'!F69,32))+'Fórmula'!I69*(INDEX(properties!A$1:CB$87,'Fórmula'!H69,32))+'Fórmula'!K69*(INDEX(properties!A$1:CB$87,'Fórmula'!J69,32))</f>
        <v>75.58</v>
      </c>
      <c r="DB69" s="119">
        <f t="array" ref="DB69">VARP(IF(INDEX(properties!A$1:CB$87,'Fórmula'!B69,32)&lt;&gt;"",INDEX(properties!A$1:CB$87,'Fórmula'!B69,32)),IF(INDEX(properties!A$1:CB$87,'Fórmula'!D69,32)&lt;&gt;"",INDEX(properties!A$1:CB$87,'Fórmula'!D69,32)),IF(INDEX(properties!A$1:CB$87,'Fórmula'!F69,32)&lt;&gt;"",INDEX(properties!A$1:CB$87,'Fórmula'!F69,32)),IF(INDEX(properties!A$1:CB$87,'Fórmula'!H69,32)&lt;&gt;"",INDEX(properties!A$1:CB$87,'Fórmula'!H69,32)),IF(INDEX(properties!A$1:CB$87,'Fórmula'!J69,32)&lt;&gt;"",INDEX(properties!A$1:CB$87,'Fórmula'!J69,32)))</f>
        <v>6.653304</v>
      </c>
      <c r="DC69" s="119">
        <f t="array" ref="DC69">MAX(INDEX(properties!A$1:CB$87,'Fórmula'!B69,32),INDEX(properties!A$1:CB$87,'Fórmula'!D69,32),INDEX(properties!A$1:CB$87,'Fórmula'!F69,32),INDEX(properties!A$1:CB$87,'Fórmula'!H69,32),INDEX(properties!A$1:CB$87,'Fórmula'!J69,32))</f>
        <v>7.54</v>
      </c>
      <c r="DD69" s="119">
        <f t="array" ref="DD69">MIN(IF(INDEX(properties!A$1:CB$87,'Fórmula'!B69,32)=0,10^6,INDEX(properties!A$1:CB$87,'Fórmula'!B69,32)),IF(INDEX(properties!A$1:CB$87,'Fórmula'!D69,32)=0,10^6,INDEX(properties!A$1:CB$87,'Fórmula'!D69,32)),IF(INDEX(properties!A$1:CB$87,'Fórmula'!F69,32)=0,10^6,INDEX(properties!A$1:CB$87,'Fórmula'!F69,32)),IF(INDEX(properties!A$1:CB$87,'Fórmula'!H69,32)=0,10^6,INDEX(properties!A$1:CB$87,'Fórmula'!H69,32)),IF(INDEX(properties!A$1:CB$87,'Fórmula'!J69,32)=0,10^6,INDEX(properties!A$1:CB$87,'Fórmula'!J69,32)))</f>
        <v>2.85</v>
      </c>
      <c r="DE69" s="119">
        <f t="shared" si="18"/>
        <v>4.69</v>
      </c>
      <c r="DF69" s="104">
        <f t="array" ref="DF69">(('Fórmula'!C69)/('Fórmula'!C69+'Fórmula'!E69+'Fórmula'!G69+'Fórmula'!I69+'Fórmula'!K69))*(INDEX(properties!A$1:CB$87,'Fórmula'!B69,34))+(('Fórmula'!E69)/('Fórmula'!C69+'Fórmula'!E69+'Fórmula'!G69+'Fórmula'!I69+'Fórmula'!K69))*(INDEX(properties!A$1:CB$87,'Fórmula'!D69,34))+(('Fórmula'!G69)/('Fórmula'!C69+'Fórmula'!E69+'Fórmula'!G69+'Fórmula'!I69+'Fórmula'!K69))*(INDEX(properties!A$1:CB$87,'Fórmula'!F69,34))+(('Fórmula'!I69)/('Fórmula'!C69+'Fórmula'!E69+'Fórmula'!G69+'Fórmula'!I69+'Fórmula'!K69))*(INDEX(properties!A$1:CB$87,'Fórmula'!H69,34))+(('Fórmula'!K69)/('Fórmula'!C69+'Fórmula'!E69+'Fórmula'!G69+'Fórmula'!I69+'Fórmula'!K69))*(INDEX(properties!A$1:CB$87,'Fórmula'!J69,34))</f>
        <v>2.561153846</v>
      </c>
      <c r="DG69" s="104">
        <f t="array" ref="DG69">'Fórmula'!C69*(INDEX(properties!A$1:CB$87,'Fórmula'!B69,34))+'Fórmula'!E69*(INDEX(properties!A$1:CB$87,'Fórmula'!D69,34))+'Fórmula'!G69*(INDEX(properties!A$1:CB$87,'Fórmula'!F69,34))+'Fórmula'!I69*(INDEX(properties!A$1:CB$87,'Fórmula'!H69,34))+'Fórmula'!K69*(INDEX(properties!A$1:CB$87,'Fórmula'!J69,34))</f>
        <v>33.295</v>
      </c>
      <c r="DH69" s="104">
        <f t="array" ref="DH69">VARP(IF(INDEX(properties!A$1:CB$87,'Fórmula'!B69,34)&lt;&gt;"",INDEX(properties!A$1:CB$87,'Fórmula'!B69,34)),IF(INDEX(properties!A$1:CB$87,'Fórmula'!D69,34)&lt;&gt;"",INDEX(properties!A$1:CB$87,'Fórmula'!D69,34)),IF(INDEX(properties!A$1:CB$87,'Fórmula'!F69,34)&lt;&gt;"",INDEX(properties!A$1:CB$87,'Fórmula'!F69,34)),IF(INDEX(properties!A$1:CB$87,'Fórmula'!H69,34)&lt;&gt;"",INDEX(properties!A$1:CB$87,'Fórmula'!H69,34)),IF(INDEX(properties!A$1:CB$87,'Fórmula'!J69,34)&lt;&gt;"",INDEX(properties!A$1:CB$87,'Fórmula'!J69,34)))</f>
        <v>1.60177336</v>
      </c>
      <c r="DI69" s="104">
        <f t="array" ref="DI69">MAX(INDEX(properties!A$1:CB$87,'Fórmula'!B69,34),INDEX(properties!A$1:CB$87,'Fórmula'!D69,34),INDEX(properties!A$1:CB$87,'Fórmula'!F69,34),INDEX(properties!A$1:CB$87,'Fórmula'!H69,34),INDEX(properties!A$1:CB$87,'Fórmula'!J69,34))</f>
        <v>3.61</v>
      </c>
      <c r="DJ69" s="104">
        <f t="array" ref="DJ69">MIN(IF(INDEX(properties!A$1:CB$87,'Fórmula'!B69,34)=0,10^6,INDEX(properties!A$1:CB$87,'Fórmula'!B69,34)),IF(INDEX(properties!A$1:CB$87,'Fórmula'!D69,34)=0,10^6,INDEX(properties!A$1:CB$87,'Fórmula'!D69,34)),IF(INDEX(properties!A$1:CB$87,'Fórmula'!F69,34)=0,10^6,INDEX(properties!A$1:CB$87,'Fórmula'!F69,34)),IF(INDEX(properties!A$1:CB$87,'Fórmula'!H69,34)=0,10^6,INDEX(properties!A$1:CB$87,'Fórmula'!H69,34)),IF(INDEX(properties!A$1:CB$87,'Fórmula'!J69,34)=0,10^6,INDEX(properties!A$1:CB$87,'Fórmula'!J69,34)))</f>
        <v>0.869</v>
      </c>
      <c r="DK69" s="104">
        <f t="shared" si="19"/>
        <v>2.741</v>
      </c>
      <c r="DL69" s="105">
        <f t="array" ref="DL69">(('Fórmula'!C69)/('Fórmula'!C69+'Fórmula'!E69+'Fórmula'!G69+'Fórmula'!I69+'Fórmula'!K69))*(INDEX(properties!A$1:CB$87,'Fórmula'!B69,37))+(('Fórmula'!E69)/('Fórmula'!C69+'Fórmula'!E69+'Fórmula'!G69+'Fórmula'!I69+'Fórmula'!K69))*(INDEX(properties!A$1:CB$87,'Fórmula'!D69,37))+(('Fórmula'!G69)/('Fórmula'!C69+'Fórmula'!E69+'Fórmula'!G69+'Fórmula'!I69+'Fórmula'!K69))*(INDEX(properties!A$1:CB$87,'Fórmula'!F69,37))+(('Fórmula'!I69)/('Fórmula'!C69+'Fórmula'!E69+'Fórmula'!G69+'Fórmula'!I69+'Fórmula'!K69))*(INDEX(properties!A$1:CB$87,'Fórmula'!H69,37))+(('Fórmula'!K69)/('Fórmula'!C69+'Fórmula'!E69+'Fórmula'!G69+'Fórmula'!I69+'Fórmula'!K69))*(INDEX(properties!A$1:CB$87,'Fórmula'!J69,37))</f>
        <v>2.461538462</v>
      </c>
      <c r="DM69" s="105">
        <f t="array" ref="DM69">'Fórmula'!C69*(INDEX(properties!A$1:CB$87,'Fórmula'!B69,37))+'Fórmula'!E69*(INDEX(properties!A$1:CB$87,'Fórmula'!D69,37))+'Fórmula'!G69*(INDEX(properties!A$1:CB$87,'Fórmula'!F69,37))+'Fórmula'!I69*(INDEX(properties!A$1:CB$87,'Fórmula'!H69,37))+'Fórmula'!K69*(INDEX(properties!A$1:CB$87,'Fórmula'!J69,37))</f>
        <v>32</v>
      </c>
      <c r="DN69" s="105">
        <f t="array" ref="DN69">VARP(IF(INDEX(properties!A$1:CB$87,'Fórmula'!B69,37)&lt;&gt;"",INDEX(properties!A$1:CB$87,'Fórmula'!B69,37)),IF(INDEX(properties!A$1:CB$87,'Fórmula'!D69,37)&lt;&gt;"",INDEX(properties!A$1:CB$87,'Fórmula'!D69,37)),IF(INDEX(properties!A$1:CB$87,'Fórmula'!F69,37)&lt;&gt;"",INDEX(properties!A$1:CB$87,'Fórmula'!F69,37)),IF(INDEX(properties!A$1:CB$87,'Fórmula'!H69,37)&lt;&gt;"",INDEX(properties!A$1:CB$87,'Fórmula'!H69,37)),IF(INDEX(properties!A$1:CB$87,'Fórmula'!J69,37)&lt;&gt;"",INDEX(properties!A$1:CB$87,'Fórmula'!J69,37)))</f>
        <v>1.4146</v>
      </c>
      <c r="DO69" s="105">
        <f t="array" ref="DO69">MAX(INDEX(properties!A$1:CB$87,'Fórmula'!B69,37),INDEX(properties!A$1:CB$87,'Fórmula'!D69,37),INDEX(properties!A$1:CB$87,'Fórmula'!F69,37),INDEX(properties!A$1:CB$87,'Fórmula'!H69,37),INDEX(properties!A$1:CB$87,'Fórmula'!J69,37))</f>
        <v>3.45</v>
      </c>
      <c r="DP69" s="105">
        <f t="array" ref="DP69">MIN(IF(INDEX(properties!A$1:CB$87,'Fórmula'!B69,37)=0,10^6,INDEX(properties!A$1:CB$87,'Fórmula'!B69,37)),IF(INDEX(properties!A$1:CB$87,'Fórmula'!D69,37)=0,10^6,INDEX(properties!A$1:CB$87,'Fórmula'!D69,37)),IF(INDEX(properties!A$1:CB$87,'Fórmula'!F69,37)=0,10^6,INDEX(properties!A$1:CB$87,'Fórmula'!F69,37)),IF(INDEX(properties!A$1:CB$87,'Fórmula'!H69,37)=0,10^6,INDEX(properties!A$1:CB$87,'Fórmula'!H69,37)),IF(INDEX(properties!A$1:CB$87,'Fórmula'!J69,37)=0,10^6,INDEX(properties!A$1:CB$87,'Fórmula'!J69,37)))</f>
        <v>0.9</v>
      </c>
      <c r="DQ69" s="105">
        <f t="shared" si="20"/>
        <v>2.55</v>
      </c>
      <c r="DR69" s="109">
        <f t="array" ref="DR69">(('Fórmula'!C69)/('Fórmula'!C69+'Fórmula'!E69+'Fórmula'!G69+'Fórmula'!I69+'Fórmula'!K69))*(INDEX(properties!A$1:CB$87,'Fórmula'!B69,39))+(('Fórmula'!E69)/('Fórmula'!C69+'Fórmula'!E69+'Fórmula'!G69+'Fórmula'!I69+'Fórmula'!K69))*(INDEX(properties!A$1:CB$87,'Fórmula'!D69,39))+(('Fórmula'!G69)/('Fórmula'!C69+'Fórmula'!E69+'Fórmula'!G69+'Fórmula'!I69+'Fórmula'!K69))*(INDEX(properties!A$1:CB$87,'Fórmula'!F69,39))+(('Fórmula'!I69)/('Fórmula'!C69+'Fórmula'!E69+'Fórmula'!G69+'Fórmula'!I69+'Fórmula'!K69))*(INDEX(properties!A$1:CB$87,'Fórmula'!H69,39))+(('Fórmula'!K69)/('Fórmula'!C69+'Fórmula'!E69+'Fórmula'!G69+'Fórmula'!I69+'Fórmula'!K69))*(INDEX(properties!A$1:CB$87,'Fórmula'!J69,39))</f>
        <v>0.9761538462</v>
      </c>
      <c r="DS69" s="109">
        <f t="array" ref="DS69">'Fórmula'!C69*(INDEX(properties!A$1:CB$87,'Fórmula'!B69,39))+'Fórmula'!E69*(INDEX(properties!A$1:CB$87,'Fórmula'!D69,39))+'Fórmula'!G69*(INDEX(properties!A$1:CB$87,'Fórmula'!F69,39))+'Fórmula'!I69*(INDEX(properties!A$1:CB$87,'Fórmula'!H69,39))+'Fórmula'!K69*(INDEX(properties!A$1:CB$87,'Fórmula'!J69,39))</f>
        <v>12.69</v>
      </c>
      <c r="DT69" s="109">
        <f t="array" ref="DT69">VARP(IF(INDEX(properties!A$1:CB$87,'Fórmula'!B69,39)&lt;&gt;"",INDEX(properties!A$1:CB$87,'Fórmula'!B69,39)),IF(INDEX(properties!A$1:CB$87,'Fórmula'!D69,39)&lt;&gt;"",INDEX(properties!A$1:CB$87,'Fórmula'!D69,39)),IF(INDEX(properties!A$1:CB$87,'Fórmula'!F69,39)&lt;&gt;"",INDEX(properties!A$1:CB$87,'Fórmula'!F69,39)),IF(INDEX(properties!A$1:CB$87,'Fórmula'!H69,39)&lt;&gt;"",INDEX(properties!A$1:CB$87,'Fórmula'!H69,39)),IF(INDEX(properties!A$1:CB$87,'Fórmula'!J69,39)&lt;&gt;"",INDEX(properties!A$1:CB$87,'Fórmula'!J69,39)))</f>
        <v>0.505904</v>
      </c>
      <c r="DU69" s="120">
        <f t="array" ref="DU69">MAX(INDEX(properties!A$1:CB$87,'Fórmula'!B69,39),INDEX(properties!A$1:CB$87,'Fórmula'!D69,39),INDEX(properties!A$1:CB$87,'Fórmula'!F69,39),INDEX(properties!A$1:CB$87,'Fórmula'!H69,39),INDEX(properties!A$1:CB$87,'Fórmula'!J69,39))</f>
        <v>1.9</v>
      </c>
      <c r="DV69" s="120">
        <f t="array" ref="DV69">MIN(IF(INDEX(properties!A$1:CB$87,'Fórmula'!B69,39)=0,10^6,INDEX(properties!A$1:CB$87,'Fórmula'!B69,39)),IF(INDEX(properties!A$1:CB$87,'Fórmula'!D69,39)=0,10^6,INDEX(properties!A$1:CB$87,'Fórmula'!D69,39)),IF(INDEX(properties!A$1:CB$87,'Fórmula'!F69,39)=0,10^6,INDEX(properties!A$1:CB$87,'Fórmula'!F69,39)),IF(INDEX(properties!A$1:CB$87,'Fórmula'!H69,39)=0,10^6,INDEX(properties!A$1:CB$87,'Fórmula'!H69,39)),IF(INDEX(properties!A$1:CB$87,'Fórmula'!J69,39)=0,10^6,INDEX(properties!A$1:CB$87,'Fórmula'!J69,39)))</f>
        <v>0.48</v>
      </c>
      <c r="DW69" s="109">
        <f t="shared" si="21"/>
        <v>1.42</v>
      </c>
      <c r="DX69" s="110">
        <f t="array" ref="DX69">(('Fórmula'!C69)/('Fórmula'!C69+'Fórmula'!E69+'Fórmula'!G69+'Fórmula'!I69+'Fórmula'!K69))*(INDEX(properties!A$1:CB$87,'Fórmula'!B69,40))+(('Fórmula'!E69)/('Fórmula'!C69+'Fórmula'!E69+'Fórmula'!G69+'Fórmula'!I69+'Fórmula'!K69))*(INDEX(properties!A$1:CB$87,'Fórmula'!D69,40))+(('Fórmula'!G69)/('Fórmula'!C69+'Fórmula'!E69+'Fórmula'!G69+'Fórmula'!I69+'Fórmula'!K69))*(INDEX(properties!A$1:CB$87,'Fórmula'!F69,40))+(('Fórmula'!I69)/('Fórmula'!C69+'Fórmula'!E69+'Fórmula'!G69+'Fórmula'!I69+'Fórmula'!K69))*(INDEX(properties!A$1:CB$87,'Fórmula'!H69,40))+(('Fórmula'!K69)/('Fórmula'!C69+'Fórmula'!E69+'Fórmula'!G69+'Fórmula'!I69+'Fórmula'!K69))*(INDEX(properties!A$1:CB$87,'Fórmula'!J69,40))</f>
        <v>1.014615385</v>
      </c>
      <c r="DY69" s="110">
        <f t="array" ref="DY69">'Fórmula'!C69*(INDEX(properties!A$1:CB$87,'Fórmula'!B69,40))+'Fórmula'!E69*(INDEX(properties!A$1:CB$87,'Fórmula'!D69,40))+'Fórmula'!G69*(INDEX(properties!A$1:CB$87,'Fórmula'!F69,40))+'Fórmula'!I69*(INDEX(properties!A$1:CB$87,'Fórmula'!H69,40))+'Fórmula'!K69*(INDEX(properties!A$1:CB$87,'Fórmula'!J69,40))</f>
        <v>13.19</v>
      </c>
      <c r="DZ69" s="110">
        <f t="array" ref="DZ69">VARP(IF(INDEX(properties!A$1:CB$87,'Fórmula'!B69,40)&lt;&gt;"",INDEX(properties!A$1:CB$87,'Fórmula'!B69,40)),IF(INDEX(properties!A$1:CB$87,'Fórmula'!D69,40)&lt;&gt;"",INDEX(properties!A$1:CB$87,'Fórmula'!D69,40)),IF(INDEX(properties!A$1:CB$87,'Fórmula'!F69,40)&lt;&gt;"",INDEX(properties!A$1:CB$87,'Fórmula'!F69,40)),IF(INDEX(properties!A$1:CB$87,'Fórmula'!H69,40)&lt;&gt;"",INDEX(properties!A$1:CB$87,'Fórmula'!H69,40)),IF(INDEX(properties!A$1:CB$87,'Fórmula'!J69,40)&lt;&gt;"",INDEX(properties!A$1:CB$87,'Fórmula'!J69,40)))</f>
        <v>0.292384</v>
      </c>
      <c r="EA69" s="121">
        <f t="array" ref="EA69">MAX(INDEX(properties!A$1:CB$87,'Fórmula'!B69,40),INDEX(properties!A$1:CB$87,'Fórmula'!D69,40),INDEX(properties!A$1:CB$87,'Fórmula'!F69,40),INDEX(properties!A$1:CB$87,'Fórmula'!H69,40),INDEX(properties!A$1:CB$87,'Fórmula'!J69,40))</f>
        <v>1.54</v>
      </c>
      <c r="EB69" s="121">
        <f t="array" ref="EB69">MIN(IF(INDEX(properties!A$1:CB$87,'Fórmula'!B69,40)=0,10^6,INDEX(properties!A$1:CB$87,'Fórmula'!B69,40)),IF(INDEX(properties!A$1:CB$87,'Fórmula'!D69,40)=0,10^6,INDEX(properties!A$1:CB$87,'Fórmula'!D69,40)),IF(INDEX(properties!A$1:CB$87,'Fórmula'!F69,40)=0,10^6,INDEX(properties!A$1:CB$87,'Fórmula'!F69,40)),IF(INDEX(properties!A$1:CB$87,'Fórmula'!H69,40)=0,10^6,INDEX(properties!A$1:CB$87,'Fórmula'!H69,40)),IF(INDEX(properties!A$1:CB$87,'Fórmula'!J69,40)=0,10^6,INDEX(properties!A$1:CB$87,'Fórmula'!J69,40)))</f>
        <v>0.73</v>
      </c>
      <c r="EC69" s="110">
        <f t="shared" si="22"/>
        <v>0.81</v>
      </c>
      <c r="ED69" s="111">
        <f t="array" ref="ED69">(('Fórmula'!C69)/('Fórmula'!C69+'Fórmula'!E69+'Fórmula'!G69+'Fórmula'!I69+'Fórmula'!K69))*(INDEX(properties!A$1:CB$87,'Fórmula'!B69,41))+(('Fórmula'!E69)/('Fórmula'!C69+'Fórmula'!E69+'Fórmula'!G69+'Fórmula'!I69+'Fórmula'!K69))*(INDEX(properties!A$1:CB$87,'Fórmula'!D69,41))+(('Fórmula'!G69)/('Fórmula'!C69+'Fórmula'!E69+'Fórmula'!G69+'Fórmula'!I69+'Fórmula'!K69))*(INDEX(properties!A$1:CB$87,'Fórmula'!F69,41))+(('Fórmula'!I69)/('Fórmula'!C69+'Fórmula'!E69+'Fórmula'!G69+'Fórmula'!I69+'Fórmula'!K69))*(INDEX(properties!A$1:CB$87,'Fórmula'!H69,41))+(('Fórmula'!K69)/('Fórmula'!C69+'Fórmula'!E69+'Fórmula'!G69+'Fórmula'!I69+'Fórmula'!K69))*(INDEX(properties!A$1:CB$87,'Fórmula'!J69,41))</f>
        <v>1.104615385</v>
      </c>
      <c r="EE69" s="111">
        <f t="array" ref="EE69">'Fórmula'!C69*(INDEX(properties!A$1:CB$87,'Fórmula'!B69,41))+'Fórmula'!E69*(INDEX(properties!A$1:CB$87,'Fórmula'!D69,41))+'Fórmula'!G69*(INDEX(properties!A$1:CB$87,'Fórmula'!F69,41))+'Fórmula'!I69*(INDEX(properties!A$1:CB$87,'Fórmula'!H69,41))+'Fórmula'!K69*(INDEX(properties!A$1:CB$87,'Fórmula'!J69,41))</f>
        <v>14.36</v>
      </c>
      <c r="EF69" s="111">
        <f t="array" ref="EF69">VARP(IF(INDEX(properties!A$1:CB$87,'Fórmula'!B69,41)&lt;&gt;"",INDEX(properties!A$1:CB$87,'Fórmula'!B69,41)),IF(INDEX(properties!A$1:CB$87,'Fórmula'!D69,41)&lt;&gt;"",INDEX(properties!A$1:CB$87,'Fórmula'!D69,41)),IF(INDEX(properties!A$1:CB$87,'Fórmula'!F69,41)&lt;&gt;"",INDEX(properties!A$1:CB$87,'Fórmula'!F69,41)),IF(INDEX(properties!A$1:CB$87,'Fórmula'!H69,41)&lt;&gt;"",INDEX(properties!A$1:CB$87,'Fórmula'!H69,41)),IF(INDEX(properties!A$1:CB$87,'Fórmula'!J69,41)&lt;&gt;"",INDEX(properties!A$1:CB$87,'Fórmula'!J69,41)))</f>
        <v>0.20752</v>
      </c>
      <c r="EG69" s="122">
        <f t="array" ref="EG69">MAX(INDEX(properties!A$1:CB$87,'Fórmula'!B69,41),INDEX(properties!A$1:CB$87,'Fórmula'!D69,41),INDEX(properties!A$1:CB$87,'Fórmula'!F69,41),INDEX(properties!A$1:CB$87,'Fórmula'!H69,41),INDEX(properties!A$1:CB$87,'Fórmula'!J69,41))</f>
        <v>1.26</v>
      </c>
      <c r="EH69" s="122">
        <f t="array" ref="EH69">MIN(IF(INDEX(properties!A$1:CB$87,'Fórmula'!B69,41)=0,10^6,INDEX(properties!A$1:CB$87,'Fórmula'!B69,41)),IF(INDEX(properties!A$1:CB$87,'Fórmula'!D69,41)=0,10^6,INDEX(properties!A$1:CB$87,'Fórmula'!D69,41)),IF(INDEX(properties!A$1:CB$87,'Fórmula'!F69,41)=0,10^6,INDEX(properties!A$1:CB$87,'Fórmula'!F69,41)),IF(INDEX(properties!A$1:CB$87,'Fórmula'!H69,41)=0,10^6,INDEX(properties!A$1:CB$87,'Fórmula'!H69,41)),IF(INDEX(properties!A$1:CB$87,'Fórmula'!J69,41)=0,10^6,INDEX(properties!A$1:CB$87,'Fórmula'!J69,41)))</f>
        <v>0.58</v>
      </c>
      <c r="EI69" s="111">
        <f t="shared" si="23"/>
        <v>0.68</v>
      </c>
      <c r="EJ69" s="112">
        <f t="array" ref="EJ69">(('Fórmula'!C69)/('Fórmula'!C69+'Fórmula'!E69+'Fórmula'!G69+'Fórmula'!I69+'Fórmula'!K69))*(INDEX(properties!A$1:CB$87,'Fórmula'!B69,45))+(('Fórmula'!E69)/('Fórmula'!C69+'Fórmula'!E69+'Fórmula'!G69+'Fórmula'!I69+'Fórmula'!K69))*(INDEX(properties!A$1:CB$87,'Fórmula'!D69,45))+(('Fórmula'!G69)/('Fórmula'!C69+'Fórmula'!E69+'Fórmula'!G69+'Fórmula'!I69+'Fórmula'!K69))*(INDEX(properties!A$1:CB$87,'Fórmula'!F69,45))+(('Fórmula'!I69)/('Fórmula'!C69+'Fórmula'!E69+'Fórmula'!G69+'Fórmula'!I69+'Fórmula'!K69))*(INDEX(properties!A$1:CB$87,'Fórmula'!H69,45))+(('Fórmula'!K69)/('Fórmula'!C69+'Fórmula'!E69+'Fórmula'!G69+'Fórmula'!I69+'Fórmula'!K69))*(INDEX(properties!A$1:CB$87,'Fórmula'!J69,45))</f>
        <v>1.179230769</v>
      </c>
      <c r="EK69" s="112">
        <f t="array" ref="EK69">'Fórmula'!C69*(INDEX(properties!A$1:CB$87,'Fórmula'!B69,45))+'Fórmula'!E69*(INDEX(properties!A$1:CB$87,'Fórmula'!D69,45))+'Fórmula'!G69*(INDEX(properties!A$1:CB$87,'Fórmula'!F69,45))+'Fórmula'!I69*(INDEX(properties!A$1:CB$87,'Fórmula'!H69,45))+'Fórmula'!K69*(INDEX(properties!A$1:CB$87,'Fórmula'!J69,45))</f>
        <v>15.33</v>
      </c>
      <c r="EL69" s="112">
        <f t="array" ref="EL69">VARP(IF(INDEX(properties!A$1:CB$87,'Fórmula'!B69,45)&lt;&gt;"",INDEX(properties!A$1:CB$87,'Fórmula'!B69,45)),IF(INDEX(properties!A$1:CB$87,'Fórmula'!D69,45)&lt;&gt;"",INDEX(properties!A$1:CB$87,'Fórmula'!D69,45)),IF(INDEX(properties!A$1:CB$87,'Fórmula'!F69,45)&lt;&gt;"",INDEX(properties!A$1:CB$87,'Fórmula'!F69,45)),IF(INDEX(properties!A$1:CB$87,'Fórmula'!H69,45)&lt;&gt;"",INDEX(properties!A$1:CB$87,'Fórmula'!H69,45)),IF(INDEX(properties!A$1:CB$87,'Fórmula'!J69,45)&lt;&gt;"",INDEX(properties!A$1:CB$87,'Fórmula'!J69,45)))</f>
        <v>0.848984</v>
      </c>
      <c r="EM69" s="123">
        <f t="array" ref="EM69">MAX(INDEX(properties!A$1:CB$87,'Fórmula'!B69,45),INDEX(properties!A$1:CB$87,'Fórmula'!D69,45),INDEX(properties!A$1:CB$87,'Fórmula'!F69,45),INDEX(properties!A$1:CB$87,'Fórmula'!H69,45),INDEX(properties!A$1:CB$87,'Fórmula'!J69,45))</f>
        <v>2.65</v>
      </c>
      <c r="EN69" s="123">
        <f t="array" ref="EN69">MIN(IF(INDEX(properties!A$1:CB$87,'Fórmula'!B69,45)=0,10^6,INDEX(properties!A$1:CB$87,'Fórmula'!B69,45)),IF(INDEX(properties!A$1:CB$87,'Fórmula'!D69,45)=0,10^6,INDEX(properties!A$1:CB$87,'Fórmula'!D69,45)),IF(INDEX(properties!A$1:CB$87,'Fórmula'!F69,45)=0,10^6,INDEX(properties!A$1:CB$87,'Fórmula'!F69,45)),IF(INDEX(properties!A$1:CB$87,'Fórmula'!H69,45)=0,10^6,INDEX(properties!A$1:CB$87,'Fórmula'!H69,45)),IF(INDEX(properties!A$1:CB$87,'Fórmula'!J69,45)=0,10^6,INDEX(properties!A$1:CB$87,'Fórmula'!J69,45)))</f>
        <v>0.47</v>
      </c>
      <c r="EO69" s="112">
        <f t="shared" si="24"/>
        <v>2.18</v>
      </c>
      <c r="EP69" s="113">
        <f t="array" ref="EP69">(('Fórmula'!C69)/('Fórmula'!C69+'Fórmula'!E69+'Fórmula'!G69+'Fórmula'!I69+'Fórmula'!K69))*(INDEX(properties!A$1:CB$87,'Fórmula'!B69,46))+(('Fórmula'!E69)/('Fórmula'!C69+'Fórmula'!E69+'Fórmula'!G69+'Fórmula'!I69+'Fórmula'!K69))*(INDEX(properties!A$1:CB$87,'Fórmula'!D69,46))+(('Fórmula'!G69)/('Fórmula'!C69+'Fórmula'!E69+'Fórmula'!G69+'Fórmula'!I69+'Fórmula'!K69))*(INDEX(properties!A$1:CB$87,'Fórmula'!F69,46))+(('Fórmula'!I69)/('Fórmula'!C69+'Fórmula'!E69+'Fórmula'!G69+'Fórmula'!I69+'Fórmula'!K69))*(INDEX(properties!A$1:CB$87,'Fórmula'!H69,46))+(('Fórmula'!K69)/('Fórmula'!C69+'Fórmula'!E69+'Fórmula'!G69+'Fórmula'!I69+'Fórmula'!K69))*(INDEX(properties!A$1:CB$87,'Fórmula'!J69,46))</f>
        <v>1.036153846</v>
      </c>
      <c r="EQ69" s="113">
        <f t="array" ref="EQ69">'Fórmula'!C69*(INDEX(properties!A$1:CB$87,'Fórmula'!B69,46))+'Fórmula'!E69*(INDEX(properties!A$1:CB$87,'Fórmula'!D69,46))+'Fórmula'!G69*(INDEX(properties!A$1:CB$87,'Fórmula'!F69,46))+'Fórmula'!I69*(INDEX(properties!A$1:CB$87,'Fórmula'!H69,46))+'Fórmula'!K69*(INDEX(properties!A$1:CB$87,'Fórmula'!J69,46))</f>
        <v>13.47</v>
      </c>
      <c r="ER69" s="113">
        <f t="array" ref="ER69">VARP(IF(INDEX(properties!A$1:CB$87,'Fórmula'!B69,46)&lt;&gt;"",INDEX(properties!A$1:CB$87,'Fórmula'!B69,46)),IF(INDEX(properties!A$1:CB$87,'Fórmula'!D69,46)&lt;&gt;"",INDEX(properties!A$1:CB$87,'Fórmula'!D69,46)),IF(INDEX(properties!A$1:CB$87,'Fórmula'!F69,46)&lt;&gt;"",INDEX(properties!A$1:CB$87,'Fórmula'!F69,46)),IF(INDEX(properties!A$1:CB$87,'Fórmula'!H69,46)&lt;&gt;"",INDEX(properties!A$1:CB$87,'Fórmula'!H69,46)),IF(INDEX(properties!A$1:CB$87,'Fórmula'!J69,46)&lt;&gt;"",INDEX(properties!A$1:CB$87,'Fórmula'!J69,46)))</f>
        <v>0.230504</v>
      </c>
      <c r="ES69" s="124">
        <f t="array" ref="ES69">MAX(INDEX(properties!A$1:CB$87,'Fórmula'!B69,46),INDEX(properties!A$1:CB$87,'Fórmula'!D69,46),INDEX(properties!A$1:CB$87,'Fórmula'!F69,46),INDEX(properties!A$1:CB$87,'Fórmula'!H69,46),INDEX(properties!A$1:CB$87,'Fórmula'!J69,46))</f>
        <v>1.21</v>
      </c>
      <c r="ET69" s="124">
        <f t="array" ref="ET69">MIN(IF(INDEX(properties!A$1:CB$87,'Fórmula'!B69,46)=0,10^6,INDEX(properties!A$1:CB$87,'Fórmula'!B69,46)),IF(INDEX(properties!A$1:CB$87,'Fórmula'!D69,46)=0,10^6,INDEX(properties!A$1:CB$87,'Fórmula'!D69,46)),IF(INDEX(properties!A$1:CB$87,'Fórmula'!F69,46)=0,10^6,INDEX(properties!A$1:CB$87,'Fórmula'!F69,46)),IF(INDEX(properties!A$1:CB$87,'Fórmula'!H69,46)=0,10^6,INDEX(properties!A$1:CB$87,'Fórmula'!H69,46)),IF(INDEX(properties!A$1:CB$87,'Fórmula'!J69,46)=0,10^6,INDEX(properties!A$1:CB$87,'Fórmula'!J69,46)))</f>
        <v>0.31</v>
      </c>
      <c r="EU69" s="113">
        <f t="shared" si="25"/>
        <v>0.9</v>
      </c>
      <c r="EV69" s="114">
        <f t="array" ref="EV69">(('Fórmula'!C69)/('Fórmula'!C69+'Fórmula'!E69+'Fórmula'!G69+'Fórmula'!I69+'Fórmula'!K69))*(INDEX(properties!A$1:CB$87,'Fórmula'!B69,52))+(('Fórmula'!E69)/('Fórmula'!C69+'Fórmula'!E69+'Fórmula'!G69+'Fórmula'!I69+'Fórmula'!K69))*(INDEX(properties!A$1:CB$87,'Fórmula'!D69,52))+(('Fórmula'!G69)/('Fórmula'!C69+'Fórmula'!E69+'Fórmula'!G69+'Fórmula'!I69+'Fórmula'!K69))*(INDEX(properties!A$1:CB$87,'Fórmula'!F69,52))+(('Fórmula'!I69)/('Fórmula'!C69+'Fórmula'!E69+'Fórmula'!G69+'Fórmula'!I69+'Fórmula'!K69))*(INDEX(properties!A$1:CB$87,'Fórmula'!H69,52))+(('Fórmula'!K69)/('Fórmula'!C69+'Fórmula'!E69+'Fórmula'!G69+'Fórmula'!I69+'Fórmula'!K69))*(INDEX(properties!A$1:CB$87,'Fórmula'!J69,52))</f>
        <v>8.296230769</v>
      </c>
      <c r="EW69" s="114">
        <f t="array" ref="EW69">'Fórmula'!C69*(INDEX(properties!A$1:CB$87,'Fórmula'!B69,52))+'Fórmula'!E69*(INDEX(properties!A$1:CB$87,'Fórmula'!D69,52))+'Fórmula'!G69*(INDEX(properties!A$1:CB$87,'Fórmula'!F69,52))+'Fórmula'!I69*(INDEX(properties!A$1:CB$87,'Fórmula'!H69,52))+'Fórmula'!K69*(INDEX(properties!A$1:CB$87,'Fórmula'!J69,52))</f>
        <v>107.851</v>
      </c>
      <c r="EX69" s="114">
        <f t="array" ref="EX69">VARP(IF(INDEX(properties!A$1:CB$87,'Fórmula'!B69,52)&lt;&gt;"",INDEX(properties!A$1:CB$87,'Fórmula'!B69,52)),IF(INDEX(properties!A$1:CB$87,'Fórmula'!D69,52)&lt;&gt;"",INDEX(properties!A$1:CB$87,'Fórmula'!D69,52)),IF(INDEX(properties!A$1:CB$87,'Fórmula'!F69,52)&lt;&gt;"",INDEX(properties!A$1:CB$87,'Fórmula'!F69,52)),IF(INDEX(properties!A$1:CB$87,'Fórmula'!H69,52)&lt;&gt;"",INDEX(properties!A$1:CB$87,'Fórmula'!H69,52)),IF(INDEX(properties!A$1:CB$87,'Fórmula'!J69,52)&lt;&gt;"",INDEX(properties!A$1:CB$87,'Fórmula'!J69,52)))</f>
        <v>122.8254558</v>
      </c>
      <c r="EY69" s="114">
        <f t="array" ref="EY69">MAX(INDEX(properties!A$1:CB$87,'Fórmula'!B69,52),INDEX(properties!A$1:CB$87,'Fórmula'!D69,52),INDEX(properties!A$1:CB$87,'Fórmula'!F69,52),INDEX(properties!A$1:CB$87,'Fórmula'!H69,52),INDEX(properties!A$1:CB$87,'Fórmula'!J69,52))</f>
        <v>24.3</v>
      </c>
      <c r="EZ69" s="114">
        <f t="array" ref="EZ69">MIN(IF(INDEX(properties!A$1:CB$87,'Fórmula'!B69,52)=0,10^6,INDEX(properties!A$1:CB$87,'Fórmula'!B69,52)),IF(INDEX(properties!A$1:CB$87,'Fórmula'!D69,52)=0,10^6,INDEX(properties!A$1:CB$87,'Fórmula'!D69,52)),IF(INDEX(properties!A$1:CB$87,'Fórmula'!F69,52)=0,10^6,INDEX(properties!A$1:CB$87,'Fórmula'!F69,52)),IF(INDEX(properties!A$1:CB$87,'Fórmula'!H69,52)=0,10^6,INDEX(properties!A$1:CB$87,'Fórmula'!H69,52)),IF(INDEX(properties!A$1:CB$87,'Fórmula'!J69,52)=0,10^6,INDEX(properties!A$1:CB$87,'Fórmula'!J69,52)))</f>
        <v>0.793</v>
      </c>
      <c r="FA69" s="114">
        <f t="shared" si="26"/>
        <v>23.507</v>
      </c>
      <c r="FB69" s="115">
        <f t="array" ref="FB69">(('Fórmula'!C69)/('Fórmula'!C69+'Fórmula'!E69+'Fórmula'!G69+'Fórmula'!I69+'Fórmula'!K69))*(INDEX(properties!A$1:CB$87,'Fórmula'!B69,53))+(('Fórmula'!E69)/('Fórmula'!C69+'Fórmula'!E69+'Fórmula'!G69+'Fórmula'!I69+'Fórmula'!K69))*(INDEX(properties!A$1:CB$87,'Fórmula'!D69,53))+(('Fórmula'!G69)/('Fórmula'!C69+'Fórmula'!E69+'Fórmula'!G69+'Fórmula'!I69+'Fórmula'!K69))*(INDEX(properties!A$1:CB$87,'Fórmula'!F69,53))+(('Fórmula'!I69)/('Fórmula'!C69+'Fórmula'!E69+'Fórmula'!G69+'Fórmula'!I69+'Fórmula'!K69))*(INDEX(properties!A$1:CB$87,'Fórmula'!H69,53))+(('Fórmula'!K69)/('Fórmula'!C69+'Fórmula'!E69+'Fórmula'!G69+'Fórmula'!I69+'Fórmula'!K69))*(INDEX(properties!A$1:CB$87,'Fórmula'!J69,53))</f>
        <v>198.7884615</v>
      </c>
      <c r="FC69" s="115">
        <f t="array" ref="FC69">'Fórmula'!C69*(INDEX(properties!A$1:CB$87,'Fórmula'!B69,53))+'Fórmula'!E69*(INDEX(properties!A$1:CB$87,'Fórmula'!D69,53))+'Fórmula'!G69*(INDEX(properties!A$1:CB$87,'Fórmula'!F69,53))+'Fórmula'!I69*(INDEX(properties!A$1:CB$87,'Fórmula'!H69,53))+'Fórmula'!K69*(INDEX(properties!A$1:CB$87,'Fórmula'!J69,53))</f>
        <v>2584.25</v>
      </c>
      <c r="FD69" s="115">
        <f t="array" ref="FD69">VARP(IF(INDEX(properties!A$1:CB$87,'Fórmula'!B69,53)&lt;&gt;"",INDEX(properties!A$1:CB$87,'Fórmula'!B69,53)),IF(INDEX(properties!A$1:CB$87,'Fórmula'!D69,53)&lt;&gt;"",INDEX(properties!A$1:CB$87,'Fórmula'!D69,53)),IF(INDEX(properties!A$1:CB$87,'Fórmula'!F69,53)&lt;&gt;"",INDEX(properties!A$1:CB$87,'Fórmula'!F69,53)),IF(INDEX(properties!A$1:CB$87,'Fórmula'!H69,53)&lt;&gt;"",INDEX(properties!A$1:CB$87,'Fórmula'!H69,53)),IF(INDEX(properties!A$1:CB$87,'Fórmula'!J69,53)&lt;&gt;"",INDEX(properties!A$1:CB$87,'Fórmula'!J69,53)))</f>
        <v>32135.4076</v>
      </c>
      <c r="FE69" s="115">
        <f t="array" ref="FE69">MAX(INDEX(properties!A$1:CB$87,'Fórmula'!B69,53),INDEX(properties!A$1:CB$87,'Fórmula'!D69,53),INDEX(properties!A$1:CB$87,'Fórmula'!F69,53),INDEX(properties!A$1:CB$87,'Fórmula'!H69,53),INDEX(properties!A$1:CB$87,'Fórmula'!J69,53))</f>
        <v>453.65</v>
      </c>
      <c r="FF69" s="115">
        <f t="array" ref="FF69">MIN(IF(INDEX(properties!A$1:CB$87,'Fórmula'!B69,53)=0,10^6,INDEX(properties!A$1:CB$87,'Fórmula'!B69,53)),IF(INDEX(properties!A$1:CB$87,'Fórmula'!D69,53)=0,10^6,INDEX(properties!A$1:CB$87,'Fórmula'!D69,53)),IF(INDEX(properties!A$1:CB$87,'Fórmula'!F69,53)=0,10^6,INDEX(properties!A$1:CB$87,'Fórmula'!F69,53)),IF(INDEX(properties!A$1:CB$87,'Fórmula'!H69,53)=0,10^6,INDEX(properties!A$1:CB$87,'Fórmula'!H69,53)),IF(INDEX(properties!A$1:CB$87,'Fórmula'!J69,53)=0,10^6,INDEX(properties!A$1:CB$87,'Fórmula'!J69,53)))</f>
        <v>54.75</v>
      </c>
      <c r="FG69" s="115">
        <f t="shared" si="27"/>
        <v>398.9</v>
      </c>
      <c r="FH69" s="117">
        <f t="array" ref="FH69">(('Fórmula'!C69)/('Fórmula'!C69+'Fórmula'!E69+'Fórmula'!G69+'Fórmula'!I69+'Fórmula'!K69))*(INDEX(properties!A$1:CB$87,'Fórmula'!B69,54))+(('Fórmula'!E69)/('Fórmula'!C69+'Fórmula'!E69+'Fórmula'!G69+'Fórmula'!I69+'Fórmula'!K69))*(INDEX(properties!A$1:CB$87,'Fórmula'!D69,54))+(('Fórmula'!G69)/('Fórmula'!C69+'Fórmula'!E69+'Fórmula'!G69+'Fórmula'!I69+'Fórmula'!K69))*(INDEX(properties!A$1:CB$87,'Fórmula'!F69,54))+(('Fórmula'!I69)/('Fórmula'!C69+'Fórmula'!E69+'Fórmula'!G69+'Fórmula'!I69+'Fórmula'!K69))*(INDEX(properties!A$1:CB$87,'Fórmula'!H69,54))+(('Fórmula'!K69)/('Fórmula'!C69+'Fórmula'!E69+'Fórmula'!G69+'Fórmula'!I69+'Fórmula'!K69))*(INDEX(properties!A$1:CB$87,'Fórmula'!J69,54))</f>
        <v>524.6884615</v>
      </c>
      <c r="FI69" s="117">
        <f t="array" ref="FI69">'Fórmula'!C69*(INDEX(properties!A$1:CB$87,'Fórmula'!B69,54))+'Fórmula'!E69*(INDEX(properties!A$1:CB$87,'Fórmula'!D69,54))+'Fórmula'!G69*(INDEX(properties!A$1:CB$87,'Fórmula'!F69,54))+'Fórmula'!I69*(INDEX(properties!A$1:CB$87,'Fórmula'!H69,54))+'Fórmula'!K69*(INDEX(properties!A$1:CB$87,'Fórmula'!J69,54))</f>
        <v>6820.95</v>
      </c>
      <c r="FJ69" s="117">
        <f t="array" ref="FJ69">VARP(IF(INDEX(properties!A$1:CB$87,'Fórmula'!B69,54)&lt;&gt;"",INDEX(properties!A$1:CB$87,'Fórmula'!B69,54)),IF(INDEX(properties!A$1:CB$87,'Fórmula'!D69,54)&lt;&gt;"",INDEX(properties!A$1:CB$87,'Fórmula'!D69,54)),IF(INDEX(properties!A$1:CB$87,'Fórmula'!F69,54)&lt;&gt;"",INDEX(properties!A$1:CB$87,'Fórmula'!F69,54)),IF(INDEX(properties!A$1:CB$87,'Fórmula'!H69,54)&lt;&gt;"",INDEX(properties!A$1:CB$87,'Fórmula'!H69,54)),IF(INDEX(properties!A$1:CB$87,'Fórmula'!J69,54)&lt;&gt;"",INDEX(properties!A$1:CB$87,'Fórmula'!J69,54)))</f>
        <v>385519.1316</v>
      </c>
      <c r="FK69" s="117">
        <f t="array" ref="FK69">MAX(INDEX(properties!A$1:CB$87,'Fórmula'!B69,54),INDEX(properties!A$1:CB$87,'Fórmula'!D69,54),INDEX(properties!A$1:CB$87,'Fórmula'!F69,54),INDEX(properties!A$1:CB$87,'Fórmula'!H69,54),INDEX(properties!A$1:CB$87,'Fórmula'!J69,54))</f>
        <v>1615.15</v>
      </c>
      <c r="FL69" s="117">
        <f t="array" ref="FL69">MIN(IF(INDEX(properties!A$1:CB$87,'Fórmula'!B69,54)=0,10^6,INDEX(properties!A$1:CB$87,'Fórmula'!B69,54)),IF(INDEX(properties!A$1:CB$87,'Fórmula'!D69,54)=0,10^6,INDEX(properties!A$1:CB$87,'Fórmula'!D69,54)),IF(INDEX(properties!A$1:CB$87,'Fórmula'!F69,54)=0,10^6,INDEX(properties!A$1:CB$87,'Fórmula'!F69,54)),IF(INDEX(properties!A$1:CB$87,'Fórmula'!H69,54)=0,10^6,INDEX(properties!A$1:CB$87,'Fórmula'!H69,54)),IF(INDEX(properties!A$1:CB$87,'Fórmula'!J69,54)=0,10^6,INDEX(properties!A$1:CB$87,'Fórmula'!J69,54)))</f>
        <v>90.15</v>
      </c>
      <c r="FM69" s="117">
        <f t="shared" si="28"/>
        <v>1525</v>
      </c>
      <c r="FN69" s="118">
        <f t="array" ref="FN69">(('Fórmula'!C69)/('Fórmula'!C69+'Fórmula'!E69+'Fórmula'!G69+'Fórmula'!I69+'Fórmula'!K69))*(INDEX(properties!A$1:CB$87,'Fórmula'!B69,55))+(('Fórmula'!E69)/('Fórmula'!C69+'Fórmula'!E69+'Fórmula'!G69+'Fórmula'!I69+'Fórmula'!K69))*(INDEX(properties!A$1:CB$87,'Fórmula'!D69,55))+(('Fórmula'!G69)/('Fórmula'!C69+'Fórmula'!E69+'Fórmula'!G69+'Fórmula'!I69+'Fórmula'!K69))*(INDEX(properties!A$1:CB$87,'Fórmula'!F69,55))+(('Fórmula'!I69)/('Fórmula'!C69+'Fórmula'!E69+'Fórmula'!G69+'Fórmula'!I69+'Fórmula'!K69))*(INDEX(properties!A$1:CB$87,'Fórmula'!H69,55))+(('Fórmula'!K69)/('Fórmula'!C69+'Fórmula'!E69+'Fórmula'!G69+'Fórmula'!I69+'Fórmula'!K69))*(INDEX(properties!A$1:CB$87,'Fórmula'!J69,55))</f>
        <v>0.5460007692</v>
      </c>
      <c r="FO69" s="118">
        <f t="array" ref="FO69">'Fórmula'!C69*(INDEX(properties!A$1:CB$87,'Fórmula'!B69,55))+'Fórmula'!E69*(INDEX(properties!A$1:CB$87,'Fórmula'!D69,54))+'Fórmula'!G69*(INDEX(properties!A$1:CB$87,'Fórmula'!F69,55))+'Fórmula'!I69*(INDEX(properties!A$1:CB$87,'Fórmula'!H69,55))+'Fórmula'!K69*(INDEX(properties!A$1:CB$87,'Fórmula'!J69,55))</f>
        <v>3472.63501</v>
      </c>
      <c r="FP69" s="118">
        <f t="array" ref="FP69">VARP(IF(INDEX(properties!A$1:CB$87,'Fórmula'!B69,55)&lt;&gt;"",INDEX(properties!A$1:CB$87,'Fórmula'!B69,55)),IF(INDEX(properties!A$1:CB$87,'Fórmula'!D69,55)&lt;&gt;"",INDEX(properties!A$1:CB$87,'Fórmula'!D69,55)),IF(INDEX(properties!A$1:CB$87,'Fórmula'!F69,55)&lt;&gt;"",INDEX(properties!A$1:CB$87,'Fórmula'!F69,55)),IF(INDEX(properties!A$1:CB$87,'Fórmula'!H69,55)&lt;&gt;"",INDEX(properties!A$1:CB$87,'Fórmula'!H69,55)),IF(INDEX(properties!A$1:CB$87,'Fórmula'!J69,55)&lt;&gt;"",INDEX(properties!A$1:CB$87,'Fórmula'!J69,55)))</f>
        <v>0.4654219928</v>
      </c>
      <c r="FQ69" s="118">
        <f t="array" ref="FQ69">MAX(INDEX(properties!A$1:CB$87,'Fórmula'!B69,55),INDEX(properties!A$1:CB$87,'Fórmula'!D69,55),INDEX(properties!A$1:CB$87,'Fórmula'!F69,55),INDEX(properties!A$1:CB$87,'Fórmula'!H69,55),INDEX(properties!A$1:CB$87,'Fórmula'!J69,55))</f>
        <v>1.82</v>
      </c>
      <c r="FR69" s="118">
        <f t="array" ref="FR69">MIN(IF(INDEX(properties!A$1:CB$87,'Fórmula'!B69,55)=0,10^6,INDEX(properties!A$1:CB$87,'Fórmula'!B69,55)),IF(INDEX(properties!A$1:CB$87,'Fórmula'!D69,55)=0,10^6,INDEX(properties!A$1:CB$87,'Fórmula'!D69,55)),IF(INDEX(properties!A$1:CB$87,'Fórmula'!F69,55)=0,10^6,INDEX(properties!A$1:CB$87,'Fórmula'!F69,55)),IF(INDEX(properties!A$1:CB$87,'Fórmula'!H69,55)=0,10^6,INDEX(properties!A$1:CB$87,'Fórmula'!H69,55)),IF(INDEX(properties!A$1:CB$87,'Fórmula'!J69,55)=0,10^6,INDEX(properties!A$1:CB$87,'Fórmula'!J69,55)))</f>
        <v>0.00143</v>
      </c>
      <c r="FS69" s="118">
        <f t="shared" si="29"/>
        <v>1.81857</v>
      </c>
      <c r="FT69" s="119">
        <f t="array" ref="FT69">(('Fórmula'!C69)/('Fórmula'!C69+'Fórmula'!E69+'Fórmula'!G69+'Fórmula'!I69+'Fórmula'!K69))*(INDEX(properties!A$1:CB$87,'Fórmula'!B69,56))+(('Fórmula'!E69)/('Fórmula'!C69+'Fórmula'!E69+'Fórmula'!G69+'Fórmula'!I69+'Fórmula'!K69))*(INDEX(properties!A$1:CB$87,'Fórmula'!D69,56))+(('Fórmula'!G69)/('Fórmula'!C69+'Fórmula'!E69+'Fórmula'!G69+'Fórmula'!I69+'Fórmula'!K69))*(INDEX(properties!A$1:CB$87,'Fórmula'!F69,56))+(('Fórmula'!I69)/('Fórmula'!C69+'Fórmula'!E69+'Fórmula'!G69+'Fórmula'!I69+'Fórmula'!K69))*(INDEX(properties!A$1:CB$87,'Fórmula'!H69,56))+(('Fórmula'!K69)/('Fórmula'!C69+'Fórmula'!E69+'Fórmula'!G69+'Fórmula'!I69+'Fórmula'!K69))*(INDEX(properties!A$1:CB$87,'Fórmula'!J69,56))</f>
        <v>1.174615385</v>
      </c>
      <c r="FU69" s="119">
        <f t="array" ref="FU69">'Fórmula'!C69*(INDEX(properties!A$1:CB$87,'Fórmula'!B69,56))+'Fórmula'!E69*(INDEX(properties!A$1:CB$87,'Fórmula'!D69,56))+'Fórmula'!G69*(INDEX(properties!A$1:CB$87,'Fórmula'!F69,56))+'Fórmula'!I69*(INDEX(properties!A$1:CB$87,'Fórmula'!H69,56))+'Fórmula'!K69*(INDEX(properties!A$1:CB$87,'Fórmula'!J69,56))</f>
        <v>15.27</v>
      </c>
      <c r="FV69" s="119">
        <f t="array" ref="FV69">VARP(IF(INDEX(properties!A$1:CB$87,'Fórmula'!B69,56)&lt;&gt;"",INDEX(properties!A$1:CB$87,'Fórmula'!B69,56)),IF(INDEX(properties!A$1:CB$87,'Fórmula'!D69,56)&lt;&gt;"",INDEX(properties!A$1:CB$87,'Fórmula'!D69,56)),IF(INDEX(properties!A$1:CB$87,'Fórmula'!F69,56)&lt;&gt;"",INDEX(properties!A$1:CB$87,'Fórmula'!F69,56)),IF(INDEX(properties!A$1:CB$87,'Fórmula'!H69,56)&lt;&gt;"",INDEX(properties!A$1:CB$87,'Fórmula'!H69,56)),IF(INDEX(properties!A$1:CB$87,'Fórmula'!J69,56)&lt;&gt;"",INDEX(properties!A$1:CB$87,'Fórmula'!J69,56)))</f>
        <v>1.482024</v>
      </c>
      <c r="FW69" s="119">
        <f t="array" ref="FW69">MAX(INDEX(properties!A$1:CB$87,'Fórmula'!B69,56),INDEX(properties!A$1:CB$87,'Fórmula'!D69,56),INDEX(properties!A$1:CB$87,'Fórmula'!F69,56),INDEX(properties!A$1:CB$87,'Fórmula'!H69,56),INDEX(properties!A$1:CB$87,'Fórmula'!J69,56))</f>
        <v>3.6</v>
      </c>
      <c r="FX69" s="119">
        <f t="array" ref="FX69">MIN(IF(INDEX(properties!A$1:CB$87,'Fórmula'!B69,56)=0,10^6,INDEX(properties!A$1:CB$87,'Fórmula'!B69,56)),IF(INDEX(properties!A$1:CB$87,'Fórmula'!D69,56)=0,10^6,INDEX(properties!A$1:CB$87,'Fórmula'!D69,56)),IF(INDEX(properties!A$1:CB$87,'Fórmula'!F69,56)=0,10^6,INDEX(properties!A$1:CB$87,'Fórmula'!F69,56)),IF(INDEX(properties!A$1:CB$87,'Fórmula'!H69,56)=0,10^6,INDEX(properties!A$1:CB$87,'Fórmula'!H69,56)),IF(INDEX(properties!A$1:CB$87,'Fórmula'!J69,56)=0,10^6,INDEX(properties!A$1:CB$87,'Fórmula'!J69,56)))</f>
        <v>0.77</v>
      </c>
      <c r="FY69" s="119">
        <f t="shared" si="30"/>
        <v>2.83</v>
      </c>
      <c r="FZ69" s="104">
        <f t="array" ref="FZ69">(('Fórmula'!C69)/('Fórmula'!C69+'Fórmula'!E69+'Fórmula'!G69+'Fórmula'!I69+'Fórmula'!K69))*(INDEX(properties!A$1:CB$87,'Fórmula'!B69,57))+(('Fórmula'!E69)/('Fórmula'!C69+'Fórmula'!E69+'Fórmula'!G69+'Fórmula'!I69+'Fórmula'!K69))*(INDEX(properties!A$1:CB$87,'Fórmula'!D69,57))+(('Fórmula'!G69)/('Fórmula'!C69+'Fórmula'!E69+'Fórmula'!G69+'Fórmula'!I69+'Fórmula'!K69))*(INDEX(properties!A$1:CB$87,'Fórmula'!F69,57))+(('Fórmula'!I69)/('Fórmula'!C69+'Fórmula'!E69+'Fórmula'!G69+'Fórmula'!I69+'Fórmula'!K69))*(INDEX(properties!A$1:CB$87,'Fórmula'!H69,57))+(('Fórmula'!K69)/('Fórmula'!C69+'Fórmula'!E69+'Fórmula'!G69+'Fórmula'!I69+'Fórmula'!K69))*(INDEX(properties!A$1:CB$87,'Fórmula'!J69,57))</f>
        <v>1.051240769</v>
      </c>
      <c r="GA69" s="104">
        <f t="array" ref="GA69">'Fórmula'!C69*(INDEX(properties!A$1:CB$87,'Fórmula'!B69,57))+'Fórmula'!E69*(INDEX(properties!A$1:CB$87,'Fórmula'!D69,57))+'Fórmula'!G69*(INDEX(properties!A$1:CB$87,'Fórmula'!F69,57))+'Fórmula'!I69*(INDEX(properties!A$1:CB$87,'Fórmula'!H69,57))+'Fórmula'!K69*(INDEX(properties!A$1:CB$87,'Fórmula'!J69,57))</f>
        <v>13.66613</v>
      </c>
      <c r="GB69" s="104">
        <f t="array" ref="GB69">VARP(IF(INDEX(properties!A$1:CB$87,'Fórmula'!B69,57)&lt;&gt;"",INDEX(properties!A$1:CB$87,'Fórmula'!B69,57)),IF(INDEX(properties!A$1:CB$87,'Fórmula'!D69,57)&lt;&gt;"",INDEX(properties!A$1:CB$87,'Fórmula'!D69,57)),IF(INDEX(properties!A$1:CB$87,'Fórmula'!F69,57)&lt;&gt;"",INDEX(properties!A$1:CB$87,'Fórmula'!F69,57)),IF(INDEX(properties!A$1:CB$87,'Fórmula'!H69,57)&lt;&gt;"",INDEX(properties!A$1:CB$87,'Fórmula'!H69,57)),IF(INDEX(properties!A$1:CB$87,'Fórmula'!J69,57)&lt;&gt;"",INDEX(properties!A$1:CB$87,'Fórmula'!J69,57)))</f>
        <v>1.567792973</v>
      </c>
      <c r="GC69" s="104">
        <f t="array" ref="GC69">MAX(INDEX(properties!A$1:CB$87,'Fórmula'!B69,57),INDEX(properties!A$1:CB$87,'Fórmula'!D69,57),INDEX(properties!A$1:CB$87,'Fórmula'!F69,57),INDEX(properties!A$1:CB$87,'Fórmula'!H69,57),INDEX(properties!A$1:CB$87,'Fórmula'!J69,57))</f>
        <v>3</v>
      </c>
      <c r="GD69" s="104">
        <f t="array" ref="GD69">MIN(IF(INDEX(properties!A$1:CB$87,'Fórmula'!B69,57)=0,10^6,INDEX(properties!A$1:CB$87,'Fórmula'!B69,57)),IF(INDEX(properties!A$1:CB$87,'Fórmula'!D69,57)=0,10^6,INDEX(properties!A$1:CB$87,'Fórmula'!D69,57)),IF(INDEX(properties!A$1:CB$87,'Fórmula'!F69,57)=0,10^6,INDEX(properties!A$1:CB$87,'Fórmula'!F69,57)),IF(INDEX(properties!A$1:CB$87,'Fórmula'!H69,57)=0,10^6,INDEX(properties!A$1:CB$87,'Fórmula'!H69,57)),IF(INDEX(properties!A$1:CB$87,'Fórmula'!J69,57)=0,10^6,INDEX(properties!A$1:CB$87,'Fórmula'!J69,57)))</f>
        <v>0.22259</v>
      </c>
      <c r="GE69" s="104">
        <f t="shared" si="31"/>
        <v>2.77741</v>
      </c>
      <c r="GF69" s="105">
        <f t="array" ref="GF69">(('Fórmula'!C69)/('Fórmula'!C69+'Fórmula'!E69+'Fórmula'!G69+'Fórmula'!I69+'Fórmula'!K69))*(INDEX(properties!A$1:CB$87,'Fórmula'!B69,60))+(('Fórmula'!E69)/('Fórmula'!C69+'Fórmula'!E69+'Fórmula'!G69+'Fórmula'!I69+'Fórmula'!K69))*(INDEX(properties!A$1:CB$87,'Fórmula'!D69,60))+(('Fórmula'!G69)/('Fórmula'!C69+'Fórmula'!E69+'Fórmula'!G69+'Fórmula'!I69+'Fórmula'!K69))*(INDEX(properties!A$1:CB$87,'Fórmula'!F69,60))+(('Fórmula'!I69)/('Fórmula'!C69+'Fórmula'!E69+'Fórmula'!G69+'Fórmula'!I69+'Fórmula'!K69))*(INDEX(properties!A$1:CB$87,'Fórmula'!H69,60))+(('Fórmula'!K69)/('Fórmula'!C69+'Fórmula'!E69+'Fórmula'!G69+'Fórmula'!I69+'Fórmula'!K69))*(INDEX(properties!A$1:CB$87,'Fórmula'!J69,60))</f>
        <v>39.10439846</v>
      </c>
      <c r="GG69" s="105">
        <f t="array" ref="GG69">'Fórmula'!C69*(INDEX(properties!A$1:CB$87,'Fórmula'!B69,60))+'Fórmula'!E69*(INDEX(properties!A$1:CB$87,'Fórmula'!D69,60))+'Fórmula'!G69*(INDEX(properties!A$1:CB$87,'Fórmula'!F69,60))+'Fórmula'!I69*(INDEX(properties!A$1:CB$87,'Fórmula'!H69,60))+'Fórmula'!K69*(INDEX(properties!A$1:CB$87,'Fórmula'!J69,60))</f>
        <v>508.35718</v>
      </c>
      <c r="GH69" s="105">
        <f t="array" ref="GH69">VARP(IF(INDEX(properties!A$1:CB$87,'Fórmula'!B69,60)&lt;&gt;"",INDEX(properties!A$1:CB$87,'Fórmula'!B69,60)),IF(INDEX(properties!A$1:CB$87,'Fórmula'!D69,60)&lt;&gt;"",INDEX(properties!A$1:CB$87,'Fórmula'!D69,60)),IF(INDEX(properties!A$1:CB$87,'Fórmula'!F69,60)&lt;&gt;"",INDEX(properties!A$1:CB$87,'Fórmula'!F69,60)),IF(INDEX(properties!A$1:CB$87,'Fórmula'!H69,60)&lt;&gt;"",INDEX(properties!A$1:CB$87,'Fórmula'!H69,60)),IF(INDEX(properties!A$1:CB$87,'Fórmula'!J69,60)&lt;&gt;"",INDEX(properties!A$1:CB$87,'Fórmula'!J69,60)))</f>
        <v>3368.68087</v>
      </c>
      <c r="GI69" s="105">
        <f t="array" ref="GI69">MAX(INDEX(properties!A$1:CB$87,'Fórmula'!B69,60),INDEX(properties!A$1:CB$87,'Fórmula'!D69,60),INDEX(properties!A$1:CB$87,'Fórmula'!F69,60),INDEX(properties!A$1:CB$87,'Fórmula'!H69,60),INDEX(properties!A$1:CB$87,'Fórmula'!J69,60))</f>
        <v>141</v>
      </c>
      <c r="GJ69" s="105">
        <f t="array" ref="GJ69">MIN(IF(INDEX(properties!A$1:CB$87,'Fórmula'!B69,60)=0,10^6,INDEX(properties!A$1:CB$87,'Fórmula'!B69,60)),IF(INDEX(properties!A$1:CB$87,'Fórmula'!D69,60)=0,10^6,INDEX(properties!A$1:CB$87,'Fórmula'!D69,60)),IF(INDEX(properties!A$1:CB$87,'Fórmula'!F69,60)=0,10^6,INDEX(properties!A$1:CB$87,'Fórmula'!F69,60)),IF(INDEX(properties!A$1:CB$87,'Fórmula'!H69,60)=0,10^6,INDEX(properties!A$1:CB$87,'Fórmula'!H69,60)),IF(INDEX(properties!A$1:CB$87,'Fórmula'!J69,60)=0,10^6,INDEX(properties!A$1:CB$87,'Fórmula'!J69,60)))</f>
        <v>0.02674</v>
      </c>
      <c r="GK69" s="105">
        <f t="shared" si="32"/>
        <v>140.97326</v>
      </c>
      <c r="GL69" s="106">
        <f t="array" ref="GL69">(('Fórmula'!C69)/('Fórmula'!C69+'Fórmula'!E69+'Fórmula'!G69+'Fórmula'!I69+'Fórmula'!K69))*(INDEX(properties!A$1:CB$87,'Fórmula'!B69,62))+(('Fórmula'!E69)/('Fórmula'!C69+'Fórmula'!E69+'Fórmula'!G69+'Fórmula'!I69+'Fórmula'!K69))*(INDEX(properties!A$1:CB$87,'Fórmula'!D69,62))+(('Fórmula'!G69)/('Fórmula'!C69+'Fórmula'!E69+'Fórmula'!G69+'Fórmula'!I69+'Fórmula'!K69))*(INDEX(properties!A$1:CB$87,'Fórmula'!F69,62))+(('Fórmula'!I69)/('Fórmula'!C69+'Fórmula'!E69+'Fórmula'!G69+'Fórmula'!I69+'Fórmula'!K69))*(INDEX(properties!A$1:CB$87,'Fórmula'!H69,62))+(('Fórmula'!K69)/('Fórmula'!C69+'Fórmula'!E69+'Fórmula'!G69+'Fórmula'!I69+'Fórmula'!K69))*(INDEX(properties!A$1:CB$87,'Fórmula'!J69,62))</f>
        <v>2.320692308</v>
      </c>
      <c r="GM69" s="106">
        <f t="array" ref="GM69">'Fórmula'!C69*(INDEX(properties!A$1:CB$87,'Fórmula'!B69,62))+'Fórmula'!E69*(INDEX(properties!A$1:CB$87,'Fórmula'!D69,62))+'Fórmula'!G69*(INDEX(properties!A$1:CB$87,'Fórmula'!F69,62))+'Fórmula'!I69*(INDEX(properties!A$1:CB$87,'Fórmula'!H69,62))+'Fórmula'!K69*(INDEX(properties!A$1:CB$87,'Fórmula'!J69,62))</f>
        <v>30.169</v>
      </c>
      <c r="GN69" s="106">
        <f t="array" ref="GN69">VARP(IF(INDEX(properties!A$1:CB$87,'Fórmula'!B69,62)&lt;&gt;"",INDEX(properties!A$1:CB$87,'Fórmula'!B69,62)),IF(INDEX(properties!A$1:CB$87,'Fórmula'!D69,62)&lt;&gt;"",INDEX(properties!A$1:CB$87,'Fórmula'!D69,62)),IF(INDEX(properties!A$1:CB$87,'Fórmula'!F69,62)&lt;&gt;"",INDEX(properties!A$1:CB$87,'Fórmula'!F69,62)),IF(INDEX(properties!A$1:CB$87,'Fórmula'!H69,62)&lt;&gt;"",INDEX(properties!A$1:CB$87,'Fórmula'!H69,62)),IF(INDEX(properties!A$1:CB$87,'Fórmula'!J69,62)&lt;&gt;"",INDEX(properties!A$1:CB$87,'Fórmula'!J69,62)))</f>
        <v>1.41231984</v>
      </c>
      <c r="GO69" s="106">
        <f t="array" ref="GO69">MAX(INDEX(properties!A$1:CB$87,'Fórmula'!B69,62),INDEX(properties!A$1:CB$87,'Fórmula'!D69,62),INDEX(properties!A$1:CB$87,'Fórmula'!F69,62),INDEX(properties!A$1:CB$87,'Fórmula'!H69,62),INDEX(properties!A$1:CB$87,'Fórmula'!J69,62))</f>
        <v>3.43</v>
      </c>
      <c r="GP69" s="106">
        <f t="array" ref="GP69">MIN(IF(INDEX(properties!A$1:CB$87,'Fórmula'!B69,62)=0,10^6,INDEX(properties!A$1:CB$87,'Fórmula'!B69,62)),IF(INDEX(properties!A$1:CB$87,'Fórmula'!D69,62)=0,10^6,INDEX(properties!A$1:CB$87,'Fórmula'!D69,62)),IF(INDEX(properties!A$1:CB$87,'Fórmula'!F69,62)=0,10^6,INDEX(properties!A$1:CB$87,'Fórmula'!F69,62)),IF(INDEX(properties!A$1:CB$87,'Fórmula'!H69,62)=0,10^6,INDEX(properties!A$1:CB$87,'Fórmula'!H69,62)),IF(INDEX(properties!A$1:CB$87,'Fórmula'!J69,62)=0,10^6,INDEX(properties!A$1:CB$87,'Fórmula'!J69,62)))</f>
        <v>1.113</v>
      </c>
      <c r="GQ69" s="106">
        <f t="shared" si="33"/>
        <v>2.317</v>
      </c>
      <c r="GR69" s="106">
        <f>'Fórmula'!Q69</f>
        <v>20</v>
      </c>
      <c r="GS69" s="107">
        <f>'Fórmula'!P69</f>
        <v>3</v>
      </c>
      <c r="GT69" s="113">
        <f>'Fórmula'!O69</f>
        <v>2.69</v>
      </c>
      <c r="GU69" s="114">
        <f>AVERAGE('Fórmula'!R69/'Fórmula'!S69,'Fórmula'!S69/'Fórmula'!T69,'Fórmula'!T69/'Fórmula'!R69)</f>
        <v>1.193098392</v>
      </c>
      <c r="GV69" s="125">
        <f>'Fórmula'!U69</f>
        <v>616.51</v>
      </c>
      <c r="GW69" s="106">
        <f>'Fórmula'!N69</f>
        <v>0.09</v>
      </c>
    </row>
    <row r="70" ht="14.25" customHeight="1">
      <c r="A70" s="99" t="str">
        <f>'Fórmula'!A70</f>
        <v>Bi2O3</v>
      </c>
      <c r="B70" s="101">
        <f t="array" ref="B70">(('Fórmula'!C70)/('Fórmula'!C70+'Fórmula'!E70+'Fórmula'!G70+'Fórmula'!I70+'Fórmula'!K70))*(INDEX(properties!A$1:CB$87,'Fórmula'!B70,3))+(('Fórmula'!E70)/('Fórmula'!C70+'Fórmula'!E70+'Fórmula'!G70+'Fórmula'!I70+'Fórmula'!K70))*(INDEX(properties!A$1:CB$87,'Fórmula'!D70,3))+(('Fórmula'!G70)/('Fórmula'!C70+'Fórmula'!E70+'Fórmula'!G70+'Fórmula'!I70+'Fórmula'!K70))*(INDEX(properties!A$1:CB$87,'Fórmula'!F70,3))+(('Fórmula'!I70)/('Fórmula'!C70+'Fórmula'!E70+'Fórmula'!G70+'Fórmula'!I70+'Fórmula'!K70))*(INDEX(properties!A$1:CB$87,'Fórmula'!H70,3))+(('Fórmula'!K70)/('Fórmula'!C70+'Fórmula'!E70+'Fórmula'!G70+'Fórmula'!I70+'Fórmula'!K70))*(INDEX(properties!A$1:CB$87,'Fórmula'!J70,3))</f>
        <v>93.191788</v>
      </c>
      <c r="C70" s="101">
        <f t="array" ref="C70">'Fórmula'!C70*(INDEX(properties!A$1:CB$87,'Fórmula'!B70,3))+'Fórmula'!E70*(INDEX(properties!A$1:CB$87,'Fórmula'!D70,3))+'Fórmula'!G70*(INDEX(properties!A$1:CB$87,'Fórmula'!F70,3))+'Fórmula'!I70*(INDEX(properties!A$1:CB$87,'Fórmula'!H70,3))+'Fórmula'!K70*(INDEX(properties!A$1:CB$87,'Fórmula'!J70,3))</f>
        <v>465.95894</v>
      </c>
      <c r="D70" s="101">
        <f t="array" ref="D70">VARP(IF(INDEX(properties!A$1:CB$87,'Fórmula'!B70,3)&lt;&gt;"",INDEX(properties!A$1:CB$87,'Fórmula'!B70,3)),IF(INDEX(properties!A$1:CB$87,'Fórmula'!D70,3)&lt;&gt;"",INDEX(properties!A$1:CB$87,'Fórmula'!D70,3)),IF(INDEX(properties!A$1:CB$87,'Fórmula'!F70,3)&lt;&gt;"",INDEX(properties!A$1:CB$87,'Fórmula'!F70,3)),IF(INDEX(properties!A$1:CB$87,'Fórmula'!H70,3)&lt;&gt;"",INDEX(properties!A$1:CB$87,'Fórmula'!H70,3)),IF(INDEX(properties!A$1:CB$87,'Fórmula'!J70,3)&lt;&gt;"",INDEX(properties!A$1:CB$87,'Fórmula'!J70,3)))</f>
        <v>6761.119293</v>
      </c>
      <c r="E70" s="101">
        <f t="array" ref="E70">MAX(INDEX(properties!A$1:CB$87,'Fórmula'!B70,3),INDEX(properties!A$1:CB$87,'Fórmula'!D70,3),INDEX(properties!A$1:CB$87,'Fórmula'!F70,3),INDEX(properties!A$1:CB$87,'Fórmula'!H70,3),INDEX(properties!A$1:CB$87,'Fórmula'!J70,3))</f>
        <v>208.98037</v>
      </c>
      <c r="F70" s="101">
        <f t="array" ref="F70">MIN(IF(INDEX(properties!A$1:CB$87,'Fórmula'!B70,3)=0,10^6,INDEX(properties!A$1:CB$87,'Fórmula'!B70,3)),IF(INDEX(properties!A$1:CB$87,'Fórmula'!D70,3)=0,10^6,INDEX(properties!A$1:CB$87,'Fórmula'!D70,3)),IF(INDEX(properties!A$1:CB$87,'Fórmula'!F70,3)=0,10^6,INDEX(properties!A$1:CB$87,'Fórmula'!F70,3)),IF(INDEX(properties!A$1:CB$87,'Fórmula'!H70,3)=0,10^6,INDEX(properties!A$1:CB$87,'Fórmula'!H70,3)),IF(INDEX(properties!A$1:CB$87,'Fórmula'!J70,3)=0,10^6,INDEX(properties!A$1:CB$87,'Fórmula'!J70,3)))</f>
        <v>15.9994</v>
      </c>
      <c r="G70" s="101">
        <f t="shared" si="1"/>
        <v>192.98097</v>
      </c>
      <c r="H70" s="102">
        <f t="array" ref="H70">(('Fórmula'!C70)/('Fórmula'!C70+'Fórmula'!E70+'Fórmula'!G70+'Fórmula'!I70+'Fórmula'!K70))*(INDEX(properties!A$1:CB$87,'Fórmula'!B70,4))+(('Fórmula'!E70)/('Fórmula'!C70+'Fórmula'!E70+'Fórmula'!G70+'Fórmula'!I70+'Fórmula'!K70))*(INDEX(properties!A$1:CB$87,'Fórmula'!D70,4))+(('Fórmula'!G70)/('Fórmula'!C70+'Fórmula'!E70+'Fórmula'!G70+'Fórmula'!I70+'Fórmula'!K70))*(INDEX(properties!A$1:CB$87,'Fórmula'!F70,4))+(('Fórmula'!I70)/('Fórmula'!C70+'Fórmula'!E70+'Fórmula'!G70+'Fórmula'!I70+'Fórmula'!K70))*(INDEX(properties!A$1:CB$87,'Fórmula'!H70,4))+(('Fórmula'!K70)/('Fórmula'!C70+'Fórmula'!E70+'Fórmula'!G70+'Fórmula'!I70+'Fórmula'!K70))*(INDEX(properties!A$1:CB$87,'Fórmula'!J70,4))</f>
        <v>38</v>
      </c>
      <c r="I70" s="102">
        <f t="array" ref="I70">'Fórmula'!C70*(INDEX(properties!A$1:CB$87,'Fórmula'!B70,4))+'Fórmula'!E70*(INDEX(properties!A$1:CB$87,'Fórmula'!D70,4))+'Fórmula'!G70*(INDEX(properties!A$1:CB$87,'Fórmula'!F70,4))+'Fórmula'!I70*(INDEX(properties!A$1:CB$87,'Fórmula'!H70,4))+'Fórmula'!K70*(INDEX(properties!A$1:CB$87,'Fórmula'!J70,4))</f>
        <v>190</v>
      </c>
      <c r="J70" s="102">
        <f t="array" ref="J70">VARP(IF(INDEX(properties!A$1:CB$87,'Fórmula'!B70,4)&lt;&gt;"",INDEX(properties!A$1:CB$87,'Fórmula'!B70,4)),IF(INDEX(properties!A$1:CB$87,'Fórmula'!D70,4)&lt;&gt;"",INDEX(properties!A$1:CB$87,'Fórmula'!D70,4)),IF(INDEX(properties!A$1:CB$87,'Fórmula'!F70,4)&lt;&gt;"",INDEX(properties!A$1:CB$87,'Fórmula'!F70,4)),IF(INDEX(properties!A$1:CB$87,'Fórmula'!H70,4)&lt;&gt;"",INDEX(properties!A$1:CB$87,'Fórmula'!H70,4)),IF(INDEX(properties!A$1:CB$87,'Fórmula'!J70,4)&lt;&gt;"",INDEX(properties!A$1:CB$87,'Fórmula'!J70,4)))</f>
        <v>1059.36</v>
      </c>
      <c r="K70" s="102">
        <f t="array" ref="K70">MAX(INDEX(properties!A$1:CB$87,'Fórmula'!B70,4),INDEX(properties!A$1:CB$87,'Fórmula'!D70,4),INDEX(properties!A$1:CB$87,'Fórmula'!F70,4),INDEX(properties!A$1:CB$87,'Fórmula'!H70,4),INDEX(properties!A$1:CB$87,'Fórmula'!J70,4))</f>
        <v>83</v>
      </c>
      <c r="L70" s="102">
        <f t="array" ref="L70">MIN(IF(INDEX(properties!A$1:CB$87,'Fórmula'!B70,4)=0,10^6,INDEX(properties!A$1:CB$87,'Fórmula'!B70,4)),IF(INDEX(properties!A$1:CB$87,'Fórmula'!D70,4)=0,10^6,INDEX(properties!A$1:CB$87,'Fórmula'!D70,4)),IF(INDEX(properties!A$1:CB$87,'Fórmula'!F70,4)=0,10^6,INDEX(properties!A$1:CB$87,'Fórmula'!F70,4)),IF(INDEX(properties!A$1:CB$87,'Fórmula'!H70,4)=0,10^6,INDEX(properties!A$1:CB$87,'Fórmula'!H70,4)),IF(INDEX(properties!A$1:CB$87,'Fórmula'!J70,4)=0,10^6,INDEX(properties!A$1:CB$87,'Fórmula'!J70,4)))</f>
        <v>8</v>
      </c>
      <c r="M70" s="102">
        <f t="shared" si="2"/>
        <v>75</v>
      </c>
      <c r="N70" s="103">
        <f t="array" ref="N70">(('Fórmula'!C70)/('Fórmula'!C70+'Fórmula'!E70+'Fórmula'!G70+'Fórmula'!I70+'Fórmula'!K70))*(INDEX(properties!A$1:CB$87,'Fórmula'!B70,5))+(('Fórmula'!E70)/('Fórmula'!C70+'Fórmula'!E70+'Fórmula'!G70+'Fórmula'!I70+'Fórmula'!K70))*(INDEX(properties!A$1:CB$87,'Fórmula'!D70,5))+(('Fórmula'!G70)/('Fórmula'!C70+'Fórmula'!E70+'Fórmula'!G70+'Fórmula'!I70+'Fórmula'!K70))*(INDEX(properties!A$1:CB$87,'Fórmula'!F70,5))+(('Fórmula'!I70)/('Fórmula'!C70+'Fórmula'!E70+'Fórmula'!G70+'Fórmula'!I70+'Fórmula'!K70))*(INDEX(properties!A$1:CB$87,'Fórmula'!H70,5))+(('Fórmula'!K70)/('Fórmula'!C70+'Fórmula'!E70+'Fórmula'!G70+'Fórmula'!I70+'Fórmula'!K70))*(INDEX(properties!A$1:CB$87,'Fórmula'!J70,5))</f>
        <v>3.6</v>
      </c>
      <c r="O70" s="103">
        <f t="array" ref="O70">'Fórmula'!C70*(INDEX(properties!A$1:CB$87,'Fórmula'!B70,5))+'Fórmula'!E70*(INDEX(properties!A$1:CB$87,'Fórmula'!D70,5))+'Fórmula'!G70*(INDEX(properties!A$1:CB$87,'Fórmula'!F70,5))+'Fórmula'!I70*(INDEX(properties!A$1:CB$87,'Fórmula'!H70,5))+'Fórmula'!K70*(INDEX(properties!A$1:CB$87,'Fórmula'!J70,5))</f>
        <v>18</v>
      </c>
      <c r="P70" s="103">
        <f t="array" ref="P70">VARP(IF(INDEX(properties!A$1:CB$87,'Fórmula'!B70,5)&lt;&gt;"",INDEX(properties!A$1:CB$87,'Fórmula'!B70,5)),IF(INDEX(properties!A$1:CB$87,'Fórmula'!D70,5)&lt;&gt;"",INDEX(properties!A$1:CB$87,'Fórmula'!D70,5)),IF(INDEX(properties!A$1:CB$87,'Fórmula'!F70,5)&lt;&gt;"",INDEX(properties!A$1:CB$87,'Fórmula'!F70,5)),IF(INDEX(properties!A$1:CB$87,'Fórmula'!H70,5)&lt;&gt;"",INDEX(properties!A$1:CB$87,'Fórmula'!H70,5)),IF(INDEX(properties!A$1:CB$87,'Fórmula'!J70,5)&lt;&gt;"",INDEX(properties!A$1:CB$87,'Fórmula'!J70,5)))</f>
        <v>5.44</v>
      </c>
      <c r="Q70" s="103">
        <f t="array" ref="Q70">MAX(INDEX(properties!A$1:CB$87,'Fórmula'!B70,5),INDEX(properties!A$1:CB$87,'Fórmula'!D70,5),INDEX(properties!A$1:CB$87,'Fórmula'!F70,5),INDEX(properties!A$1:CB$87,'Fórmula'!H70,5),INDEX(properties!A$1:CB$87,'Fórmula'!J70,5))</f>
        <v>6</v>
      </c>
      <c r="R70" s="103">
        <f t="array" ref="R70">MIN(IF(INDEX(properties!A$1:CB$87,'Fórmula'!B70,5)=0,10^6,INDEX(properties!A$1:CB$87,'Fórmula'!B70,5)),IF(INDEX(properties!A$1:CB$87,'Fórmula'!D70,5)=0,10^6,INDEX(properties!A$1:CB$87,'Fórmula'!D70,5)),IF(INDEX(properties!A$1:CB$87,'Fórmula'!F70,5)=0,10^6,INDEX(properties!A$1:CB$87,'Fórmula'!F70,5)),IF(INDEX(properties!A$1:CB$87,'Fórmula'!H70,5)=0,10^6,INDEX(properties!A$1:CB$87,'Fórmula'!H70,5)),IF(INDEX(properties!A$1:CB$87,'Fórmula'!J70,5)=0,10^6,INDEX(properties!A$1:CB$87,'Fórmula'!J70,5)))</f>
        <v>2</v>
      </c>
      <c r="S70" s="103">
        <f t="shared" si="3"/>
        <v>4</v>
      </c>
      <c r="T70" s="104">
        <f t="array" ref="T70">(('Fórmula'!C70)/('Fórmula'!C70+'Fórmula'!E70+'Fórmula'!G70+'Fórmula'!I70+'Fórmula'!K70))*(INDEX(properties!A$1:CB$87,'Fórmula'!B70,6))+(('Fórmula'!E70)/('Fórmula'!C70+'Fórmula'!E70+'Fórmula'!G70+'Fórmula'!I70+'Fórmula'!K70))*(INDEX(properties!A$1:CB$87,'Fórmula'!D70,6))+(('Fórmula'!G70)/('Fórmula'!C70+'Fórmula'!E70+'Fórmula'!G70+'Fórmula'!I70+'Fórmula'!K70))*(INDEX(properties!A$1:CB$87,'Fórmula'!F70,6))+(('Fórmula'!I70)/('Fórmula'!C70+'Fórmula'!E70+'Fórmula'!G70+'Fórmula'!I70+'Fórmula'!K70))*(INDEX(properties!A$1:CB$87,'Fórmula'!H70,6))+(('Fórmula'!K70)/('Fórmula'!C70+'Fórmula'!E70+'Fórmula'!G70+'Fórmula'!I70+'Fórmula'!K70))*(INDEX(properties!A$1:CB$87,'Fórmula'!J70,6))</f>
        <v>15.6</v>
      </c>
      <c r="U70" s="104">
        <f t="array" ref="U70">'Fórmula'!C70*(INDEX(properties!A$1:CB$87,'Fórmula'!B70,6))+'Fórmula'!E70*(INDEX(properties!A$1:CB$87,'Fórmula'!D70,6))+'Fórmula'!G70*(INDEX(properties!A$1:CB$87,'Fórmula'!F70,6))+'Fórmula'!I70*(INDEX(properties!A$1:CB$87,'Fórmula'!H70,6))+'Fórmula'!K70*(INDEX(properties!A$1:CB$87,'Fórmula'!J70,6))</f>
        <v>78</v>
      </c>
      <c r="V70" s="103">
        <f t="array" ref="V70">VARP(IF(INDEX(properties!A$1:CB$87,'Fórmula'!B70,6)&lt;&gt;"",INDEX(properties!A$1:CB$87,'Fórmula'!B70,6)),IF(INDEX(properties!A$1:CB$87,'Fórmula'!D70,6)&lt;&gt;"",INDEX(properties!A$1:CB$87,'Fórmula'!D70,6)),IF(INDEX(properties!A$1:CB$87,'Fórmula'!F70,6)&lt;&gt;"",INDEX(properties!A$1:CB$87,'Fórmula'!F70,6)),IF(INDEX(properties!A$1:CB$87,'Fórmula'!H70,6)&lt;&gt;"",INDEX(properties!A$1:CB$87,'Fórmula'!H70,6)),IF(INDEX(properties!A$1:CB$87,'Fórmula'!J70,6)&lt;&gt;"",INDEX(properties!A$1:CB$87,'Fórmula'!J70,6)))</f>
        <v>57.76</v>
      </c>
      <c r="W70" s="104">
        <f t="array" ref="W70">MAX(INDEX(properties!A$1:CB$87,'Fórmula'!B70,6),INDEX(properties!A$1:CB$87,'Fórmula'!D70,6),INDEX(properties!A$1:CB$87,'Fórmula'!F70,6),INDEX(properties!A$1:CB$87,'Fórmula'!H70,4),INDEX(properties!A$1:CB$87,'Fórmula'!J70,6))</f>
        <v>16</v>
      </c>
      <c r="X70" s="104">
        <f t="array" ref="X70">MIN(IF(INDEX(properties!A$1:CB$87,'Fórmula'!B70,6)=0,10^6,INDEX(properties!A$1:CB$87,'Fórmula'!B70,6)),IF(INDEX(properties!A$1:CB$87,'Fórmula'!D70,6)=0,10^6,INDEX(properties!A$1:CB$87,'Fórmula'!D70,6)),IF(INDEX(properties!A$1:CB$87,'Fórmula'!F70,6)=0,10^6,INDEX(properties!A$1:CB$87,'Fórmula'!F70,6)),IF(INDEX(properties!A$1:CB$87,'Fórmula'!H70,6)=0,10^6,INDEX(properties!A$1:CB$87,'Fórmula'!H70,6)),IF(INDEX(properties!A$1:CB$87,'Fórmula'!J70,6)=0,10^6,INDEX(properties!A$1:CB$87,'Fórmula'!J70,6)))</f>
        <v>15</v>
      </c>
      <c r="Y70" s="104">
        <f t="shared" si="4"/>
        <v>1</v>
      </c>
      <c r="Z70" s="105">
        <f t="array" ref="Z70">(('Fórmula'!C70)/('Fórmula'!C70+'Fórmula'!E70+'Fórmula'!G70+'Fórmula'!I70+'Fórmula'!K70))*(INDEX(properties!A$1:CB$87,'Fórmula'!B70,9))+(('Fórmula'!E70)/('Fórmula'!C70+'Fórmula'!E70+'Fórmula'!G70+'Fórmula'!I70+'Fórmula'!K70))*(INDEX(properties!A$1:CB$87,'Fórmula'!D70,9))+(('Fórmula'!G70)/('Fórmula'!C70+'Fórmula'!E70+'Fórmula'!G70+'Fórmula'!I70+'Fórmula'!K70))*(INDEX(properties!A$1:CB$87,'Fórmula'!F70,9))+(('Fórmula'!I70)/('Fórmula'!C70+'Fórmula'!E70+'Fórmula'!G70+'Fórmula'!I70+'Fórmula'!K70))*(INDEX(properties!A$1:CB$87,'Fórmula'!H70,9))+(('Fórmula'!K70)/('Fórmula'!C70+'Fórmula'!E70+'Fórmula'!G70+'Fórmula'!I70+'Fórmula'!K70))*(INDEX(properties!A$1:CB$87,'Fórmula'!J70,9))</f>
        <v>86.6</v>
      </c>
      <c r="AA70" s="105">
        <f t="array" ref="AA70">'Fórmula'!C70*(INDEX(properties!A$1:CB$87,'Fórmula'!B70,9))+'Fórmula'!E70*(INDEX(properties!A$1:CB$87,'Fórmula'!D70,9))+'Fórmula'!G70*(INDEX(properties!A$1:CB$87,'Fórmula'!F70,9))+'Fórmula'!I70*(INDEX(properties!A$1:CB$87,'Fórmula'!H70,9))+'Fórmula'!K70*(INDEX(properties!A$1:CB$87,'Fórmula'!J70,9))</f>
        <v>433</v>
      </c>
      <c r="AB70" s="105">
        <f t="array" ref="AB70">VARP(IF(INDEX(properties!A$1:CB$87,'Fórmula'!B70,9)&lt;&gt;"",INDEX(properties!A$1:CB$87,'Fórmula'!B70,9)),IF(INDEX(properties!A$1:CB$87,'Fórmula'!D70,9)&lt;&gt;"",INDEX(properties!A$1:CB$87,'Fórmula'!D70,9)),IF(INDEX(properties!A$1:CB$87,'Fórmula'!F70,9)&lt;&gt;"",INDEX(properties!A$1:CB$87,'Fórmula'!F70,9)),IF(INDEX(properties!A$1:CB$87,'Fórmula'!H70,9)&lt;&gt;"",INDEX(properties!A$1:CB$87,'Fórmula'!H70,9)),IF(INDEX(properties!A$1:CB$87,'Fórmula'!J70,9)&lt;&gt;"",INDEX(properties!A$1:CB$87,'Fórmula'!J70,9)))</f>
        <v>1795.84</v>
      </c>
      <c r="AC70" s="105">
        <f t="array" ref="AC70">MAX(INDEX(properties!A$1:CB$87,'Fórmula'!B70,9),INDEX(properties!A$1:CB$87,'Fórmula'!D70,9),INDEX(properties!A$1:CB$87,'Fórmula'!F70,9),INDEX(properties!A$1:CB$87,'Fórmula'!H70,9),INDEX(properties!A$1:CB$87,'Fórmula'!J70,9))</f>
        <v>87</v>
      </c>
      <c r="AD70" s="105">
        <f t="array" ref="AD70">MIN(IF(INDEX(properties!A$1:CB$87,'Fórmula'!B70,9)=0,10^6,INDEX(properties!A$1:CB$87,'Fórmula'!B70,9)),IF(INDEX(properties!A$1:CB$87,'Fórmula'!D70,9)=0,10^6,INDEX(properties!A$1:CB$87,'Fórmula'!D70,9)),IF(INDEX(properties!A$1:CB$87,'Fórmula'!F70,9)=0,10^6,INDEX(properties!A$1:CB$87,'Fórmula'!F70,9)),IF(INDEX(properties!A$1:CB$87,'Fórmula'!H70,9)=0,10^6,INDEX(properties!A$1:CB$87,'Fórmula'!H70,9)),IF(INDEX(properties!A$1:CB$87,'Fórmula'!J70,9)=0,10^6,INDEX(properties!A$1:CB$87,'Fórmula'!J70,9)))</f>
        <v>86</v>
      </c>
      <c r="AE70" s="105">
        <f t="shared" si="5"/>
        <v>1</v>
      </c>
      <c r="AF70" s="106">
        <f t="array" ref="AF70">(('Fórmula'!C70)/('Fórmula'!C70+'Fórmula'!E70+'Fórmula'!G70+'Fórmula'!I70+'Fórmula'!K70))*(INDEX(properties!A$1:CB$87,'Fórmula'!B70,10))+(('Fórmula'!E70)/('Fórmula'!C70+'Fórmula'!E70+'Fórmula'!G70+'Fórmula'!I70+'Fórmula'!K70))*(INDEX(properties!A$1:CB$87,'Fórmula'!D70,10))+(('Fórmula'!G70)/('Fórmula'!C70+'Fórmula'!E70+'Fórmula'!G70+'Fórmula'!I70+'Fórmula'!K70))*(INDEX(properties!A$1:CB$87,'Fórmula'!F70,10))+(('Fórmula'!I70)/('Fórmula'!C70+'Fórmula'!E70+'Fórmula'!G70+'Fórmula'!I70+'Fórmula'!K70))*(INDEX(properties!A$1:CB$87,'Fórmula'!H70,10))+(('Fórmula'!K70)/('Fórmula'!C70+'Fórmula'!E70+'Fórmula'!G70+'Fórmula'!I70+'Fórmula'!K70))*(INDEX(properties!A$1:CB$87,'Fórmula'!J70,10))</f>
        <v>6.2</v>
      </c>
      <c r="AG70" s="106">
        <f t="array" ref="AG70">'Fórmula'!C70*(INDEX(properties!A$1:CB$87,'Fórmula'!B70,10))+'Fórmula'!E70*(INDEX(properties!A$1:CB$87,'Fórmula'!D70,10))+'Fórmula'!G70*(INDEX(properties!A$1:CB$87,'Fórmula'!F70,10))+'Fórmula'!I70*(INDEX(properties!A$1:CB$87,'Fórmula'!H70,10))+'Fórmula'!K70*(INDEX(properties!A$1:CB$87,'Fórmula'!J70,10))</f>
        <v>31</v>
      </c>
      <c r="AH70" s="106">
        <f t="array" ref="AH70">VARP(IF(INDEX(properties!A$1:CB$87,'Fórmula'!B70,10)&lt;&gt;"",INDEX(properties!A$1:CB$87,'Fórmula'!B70,10)),IF(INDEX(properties!A$1:CB$87,'Fórmula'!D70,10)&lt;&gt;"",INDEX(properties!A$1:CB$87,'Fórmula'!D70,10)),IF(INDEX(properties!A$1:CB$87,'Fórmula'!F70,10)&lt;&gt;"",INDEX(properties!A$1:CB$87,'Fórmula'!F70,10)),IF(INDEX(properties!A$1:CB$87,'Fórmula'!H70,10)&lt;&gt;"",INDEX(properties!A$1:CB$87,'Fórmula'!H70,10)),IF(INDEX(properties!A$1:CB$87,'Fórmula'!J70,10)&lt;&gt;"",INDEX(properties!A$1:CB$87,'Fórmula'!J70,10)))</f>
        <v>9.04</v>
      </c>
      <c r="AI70" s="106">
        <f t="array" ref="AI70">MAX(INDEX(properties!A$1:CB$87,'Fórmula'!B70,10),INDEX(properties!A$1:CB$87,'Fórmula'!D70,10),INDEX(properties!A$1:CB$87,'Fórmula'!F70,10),INDEX(properties!A$1:CB$87,'Fórmula'!H70,10),INDEX(properties!A$1:CB$87,'Fórmula'!J70,10))</f>
        <v>7</v>
      </c>
      <c r="AJ70" s="106">
        <f t="array" ref="AJ70">MIN(IF(INDEX(properties!A$1:CB$87,'Fórmula'!B70,10)=0,10^6,INDEX(properties!A$1:CB$87,'Fórmula'!B70,10)),IF(INDEX(properties!A$1:CB$87,'Fórmula'!D70,10)=0,10^6,INDEX(properties!A$1:CB$87,'Fórmula'!D70,10)),IF(INDEX(properties!A$1:CB$87,'Fórmula'!F70,10)=0,10^6,INDEX(properties!A$1:CB$87,'Fórmula'!F70,10)),IF(INDEX(properties!A$1:CB$87,'Fórmula'!H70,10)=0,10^6,INDEX(properties!A$1:CB$87,'Fórmula'!H70,10)),IF(INDEX(properties!A$1:CB$87,'Fórmula'!J70,10)=0,10^6,INDEX(properties!A$1:CB$87,'Fórmula'!J70,10)))</f>
        <v>5</v>
      </c>
      <c r="AK70" s="106">
        <f t="shared" si="6"/>
        <v>2</v>
      </c>
      <c r="AL70" s="107">
        <f t="array" ref="AL70">(('Fórmula'!C70)/('Fórmula'!C70+'Fórmula'!E70+'Fórmula'!G70+'Fórmula'!I70+'Fórmula'!K70))*(INDEX(properties!A$1:CB$87,'Fórmula'!B70,11))+(('Fórmula'!E70)/('Fórmula'!C70+'Fórmula'!E70+'Fórmula'!G70+'Fórmula'!I70+'Fórmula'!K70))*(INDEX(properties!A$1:CB$87,'Fórmula'!D70,11))+(('Fórmula'!G70)/('Fórmula'!C70+'Fórmula'!E70+'Fórmula'!G70+'Fórmula'!I70+'Fórmula'!K70))*(INDEX(properties!A$1:CB$87,'Fórmula'!F70,11))+(('Fórmula'!I70)/('Fórmula'!C70+'Fórmula'!E70+'Fórmula'!G70+'Fórmula'!I70+'Fórmula'!K70))*(INDEX(properties!A$1:CB$87,'Fórmula'!H70,11))+(('Fórmula'!K70)/('Fórmula'!C70+'Fórmula'!E70+'Fórmula'!G70+'Fórmula'!I70+'Fórmula'!K70))*(INDEX(properties!A$1:CB$87,'Fórmula'!J70,11))</f>
        <v>2</v>
      </c>
      <c r="AM70" s="107">
        <f t="array" ref="AM70">'Fórmula'!C70*(INDEX(properties!A$1:CB$87,'Fórmula'!B70,11))+'Fórmula'!E70*(INDEX(properties!A$1:CB$87,'Fórmula'!D70,11))+'Fórmula'!G70*(INDEX(properties!A$1:CB$87,'Fórmula'!F70,11))+'Fórmula'!I70*(INDEX(properties!A$1:CB$87,'Fórmula'!H70,11))+'Fórmula'!K70*(INDEX(properties!A$1:CB$87,'Fórmula'!J70,11))</f>
        <v>10</v>
      </c>
      <c r="AN70" s="107">
        <f t="array" ref="AN70">VARP(IF(INDEX(properties!A$1:CB$87,'Fórmula'!B70,11)&lt;&gt;"",INDEX(properties!A$1:CB$87,'Fórmula'!B70,11)),IF(INDEX(properties!A$1:CB$87,'Fórmula'!D70,11)&lt;&gt;"",INDEX(properties!A$1:CB$87,'Fórmula'!D70,11)),IF(INDEX(properties!A$1:CB$87,'Fórmula'!F70,11)&lt;&gt;"",INDEX(properties!A$1:CB$87,'Fórmula'!F70,11)),IF(INDEX(properties!A$1:CB$87,'Fórmula'!H70,11)&lt;&gt;"",INDEX(properties!A$1:CB$87,'Fórmula'!H70,11)),IF(INDEX(properties!A$1:CB$87,'Fórmula'!J70,11)&lt;&gt;"",INDEX(properties!A$1:CB$87,'Fórmula'!J70,11)))</f>
        <v>0.96</v>
      </c>
      <c r="AO70" s="107">
        <f t="array" ref="AO70">MAX(INDEX(properties!A$1:CB$87,'Fórmula'!B70,11),INDEX(properties!A$1:CB$87,'Fórmula'!D70,11),INDEX(properties!A$1:CB$87,'Fórmula'!F70,11),INDEX(properties!A$1:CB$87,'Fórmula'!H70,11),INDEX(properties!A$1:CB$87,'Fórmula'!J70,11))</f>
        <v>2</v>
      </c>
      <c r="AP70" s="107">
        <f t="array" ref="AP70">MIN(IF('Fórmula'!B70=87,10^6,INDEX(properties!A$1:CB$87,'Fórmula'!B70,11)),IF(('Fórmula'!D70)=87,10^6,INDEX(properties!A$1:CB$87,'Fórmula'!D70,11)),IF(('Fórmula'!F70)=87,10^6,INDEX(properties!A$1:CB$87,'Fórmula'!F70,11)),IF(('Fórmula'!H70)=87,10^6,INDEX(properties!A$1:CB$87,'Fórmula'!H70,11)),IF('Fórmula'!J70=87,10^6,INDEX(properties!A$1:CB$87,'Fórmula'!J70,11)))</f>
        <v>2</v>
      </c>
      <c r="AQ70" s="107">
        <f t="shared" si="7"/>
        <v>0</v>
      </c>
      <c r="AR70" s="108">
        <f t="array" ref="AR70">(('Fórmula'!C70)/('Fórmula'!C70+'Fórmula'!E70+'Fórmula'!G70+'Fórmula'!I70+'Fórmula'!K70))*(INDEX(properties!A$1:CB$87,'Fórmula'!B70,12))+(('Fórmula'!E70)/('Fórmula'!C70+'Fórmula'!E70+'Fórmula'!G70+'Fórmula'!I70+'Fórmula'!K70))*(INDEX(properties!A$1:CB$87,'Fórmula'!D70,12))+(('Fórmula'!G70)/('Fórmula'!C70+'Fórmula'!E70+'Fórmula'!G70+'Fórmula'!I70+'Fórmula'!K70))*(INDEX(properties!A$1:CB$87,'Fórmula'!F70,12))+(('Fórmula'!I70)/('Fórmula'!C70+'Fórmula'!E70+'Fórmula'!G70+'Fórmula'!I70+'Fórmula'!K70))*(INDEX(properties!A$1:CB$87,'Fórmula'!H70,12))+(('Fórmula'!K70)/('Fórmula'!C70+'Fórmula'!E70+'Fórmula'!G70+'Fórmula'!I70+'Fórmula'!K70))*(INDEX(properties!A$1:CB$87,'Fórmula'!J70,12))</f>
        <v>3.6</v>
      </c>
      <c r="AS70" s="108">
        <f t="array" ref="AS70">'Fórmula'!C70*(INDEX(properties!A$1:CB$87,'Fórmula'!B70,12))+'Fórmula'!E70*(INDEX(properties!A$1:CB$87,'Fórmula'!D70,12))+'Fórmula'!G70*(INDEX(properties!A$1:CB$87,'Fórmula'!F70,12))+'Fórmula'!I70*(INDEX(properties!A$1:CB$87,'Fórmula'!H70,12))+'Fórmula'!K70*(INDEX(properties!A$1:CB$87,'Fórmula'!J70,12))</f>
        <v>18</v>
      </c>
      <c r="AT70" s="108">
        <f t="array" ref="AT70">VARP(IF(INDEX(properties!A$1:CB$87,'Fórmula'!B70,12)&lt;&gt;"",INDEX(properties!A$1:CB$87,'Fórmula'!B70,12)),IF(INDEX(properties!A$1:CB$87,'Fórmula'!D70,12)&lt;&gt;"",INDEX(properties!A$1:CB$87,'Fórmula'!D70,12)),IF(INDEX(properties!A$1:CB$87,'Fórmula'!F70,12)&lt;&gt;"",INDEX(properties!A$1:CB$87,'Fórmula'!F70,12)),IF(INDEX(properties!A$1:CB$87,'Fórmula'!H70,12)&lt;&gt;"",INDEX(properties!A$1:CB$87,'Fórmula'!H70,12)),IF(INDEX(properties!A$1:CB$87,'Fórmula'!J70,12)&lt;&gt;"",INDEX(properties!A$1:CB$87,'Fórmula'!J70,12)))</f>
        <v>3.04</v>
      </c>
      <c r="AU70" s="108">
        <f t="array" ref="AU70">MAX(INDEX(properties!A$1:CB$87,'Fórmula'!B70,12),INDEX(properties!A$1:CB$87,'Fórmula'!D70,12),INDEX(properties!A$1:CB$87,'Fórmula'!F70,12),INDEX(properties!A$1:CB$87,'Fórmula'!H70,12),INDEX(properties!A$1:CB$87,'Fórmula'!J70,12))</f>
        <v>4</v>
      </c>
      <c r="AV70" s="108">
        <f t="array" ref="AV70">MIN(IF('Fórmula'!B70=87,10^6,INDEX(properties!A$1:CB$87,'Fórmula'!B70,12)),IF(('Fórmula'!D70)=87,10^6,INDEX(properties!A$1:CB$87,'Fórmula'!D70,12)),IF(('Fórmula'!F70)=87,10^6,INDEX(properties!A$1:CB$87,'Fórmula'!F70,12)),IF(('Fórmula'!H70)=87,10^6,INDEX(properties!A$1:CB$87,'Fórmula'!H70,12)),IF('Fórmula'!J70=87,10^6,INDEX(properties!A$1:CB$87,'Fórmula'!J70,12)))</f>
        <v>3</v>
      </c>
      <c r="AW70" s="108">
        <f t="shared" si="8"/>
        <v>1</v>
      </c>
      <c r="AX70" s="109">
        <f t="array" ref="AX70">(('Fórmula'!C70)/('Fórmula'!C70+'Fórmula'!E70+'Fórmula'!G70+'Fórmula'!I70+'Fórmula'!K70))*(INDEX(properties!A$1:CB$87,'Fórmula'!B70,13))+(('Fórmula'!E70)/('Fórmula'!C70+'Fórmula'!E70+'Fórmula'!G70+'Fórmula'!I70+'Fórmula'!K70))*(INDEX(properties!A$1:CB$87,'Fórmula'!D70,13))+(('Fórmula'!G70)/('Fórmula'!C70+'Fórmula'!E70+'Fórmula'!G70+'Fórmula'!I70+'Fórmula'!K70))*(INDEX(properties!A$1:CB$87,'Fórmula'!F70,13))+(('Fórmula'!I70)/('Fórmula'!C70+'Fórmula'!E70+'Fórmula'!G70+'Fórmula'!I70+'Fórmula'!K70))*(INDEX(properties!A$1:CB$87,'Fórmula'!H70,13))+(('Fórmula'!K70)/('Fórmula'!C70+'Fórmula'!E70+'Fórmula'!G70+'Fórmula'!I70+'Fórmula'!K70))*(INDEX(properties!A$1:CB$87,'Fórmula'!J70,13))</f>
        <v>4</v>
      </c>
      <c r="AY70" s="109">
        <f t="array" ref="AY70">'Fórmula'!C70*(INDEX(properties!A$1:CB$87,'Fórmula'!B70,13))+'Fórmula'!E70*(INDEX(properties!A$1:CB$87,'Fórmula'!D70,13))+'Fórmula'!G70*(INDEX(properties!A$1:CB$87,'Fórmula'!F70,13))+'Fórmula'!I70*(INDEX(properties!A$1:CB$87,'Fórmula'!H70,13))+'Fórmula'!K70*(INDEX(properties!A$1:CB$87,'Fórmula'!J70,13))</f>
        <v>20</v>
      </c>
      <c r="AZ70" s="109">
        <f t="array" ref="AZ70">VARP(IF(INDEX(properties!A$1:CB$87,'Fórmula'!B70,13)&lt;&gt;"",INDEX(properties!A$1:CB$87,'Fórmula'!B70,13)),IF(INDEX(properties!A$1:CB$87,'Fórmula'!D70,13)&lt;&gt;"",INDEX(properties!A$1:CB$87,'Fórmula'!D70,13)),IF(INDEX(properties!A$1:CB$87,'Fórmula'!F70,13)&lt;&gt;"",INDEX(properties!A$1:CB$87,'Fórmula'!F70,13)),IF(INDEX(properties!A$1:CB$87,'Fórmula'!H70,13)&lt;&gt;"",INDEX(properties!A$1:CB$87,'Fórmula'!H70,13)),IF(INDEX(properties!A$1:CB$87,'Fórmula'!J70,13)&lt;&gt;"",INDEX(properties!A$1:CB$87,'Fórmula'!J70,13)))</f>
        <v>16</v>
      </c>
      <c r="BA70" s="109">
        <f t="array" ref="BA70">MAX(INDEX(properties!A$1:CB$87,'Fórmula'!B70,13),INDEX(properties!A$1:CB$87,'Fórmula'!D70,13),INDEX(properties!A$1:CB$87,'Fórmula'!F70,13),INDEX(properties!A$1:CB$87,'Fórmula'!H70,13),INDEX(properties!A$1:CB$87,'Fórmula'!J70,13))</f>
        <v>10</v>
      </c>
      <c r="BB70" s="109">
        <f t="array" ref="BB70">MIN(IF('Fórmula'!B70=87,10^6,INDEX(properties!A$1:CB$87,'Fórmula'!B70,13)),IF(('Fórmula'!D70)=87,10^6,INDEX(properties!A$1:CB$87,'Fórmula'!D70,13)),IF(('Fórmula'!F70)=87,10^6,INDEX(properties!A$1:CB$87,'Fórmula'!F70,13)),IF(('Fórmula'!H70)=87,10^6,INDEX(properties!A$1:CB$87,'Fórmula'!H70,13)),IF('Fórmula'!J70=87,10^6,INDEX(properties!A$1:CB$87,'Fórmula'!J70,13)))</f>
        <v>0</v>
      </c>
      <c r="BC70" s="109">
        <f t="shared" si="9"/>
        <v>10</v>
      </c>
      <c r="BD70" s="110">
        <f t="array" ref="BD70">(('Fórmula'!C70)/('Fórmula'!C70+'Fórmula'!E70+'Fórmula'!G70+'Fórmula'!I70+'Fórmula'!K70))*(INDEX(properties!A$1:CB$87,'Fórmula'!B70,14))+(('Fórmula'!E70)/('Fórmula'!C70+'Fórmula'!E70+'Fórmula'!G70+'Fórmula'!I70+'Fórmula'!K70))*(INDEX(properties!A$1:CB$87,'Fórmula'!D70,14))+(('Fórmula'!G70)/('Fórmula'!C70+'Fórmula'!E70+'Fórmula'!G70+'Fórmula'!I70+'Fórmula'!K70))*(INDEX(properties!A$1:CB$87,'Fórmula'!F70,14))+(('Fórmula'!I70)/('Fórmula'!C70+'Fórmula'!E70+'Fórmula'!G70+'Fórmula'!I70+'Fórmula'!K70))*(INDEX(properties!A$1:CB$87,'Fórmula'!H70,14))+(('Fórmula'!K70)/('Fórmula'!C70+'Fórmula'!E70+'Fórmula'!G70+'Fórmula'!I70+'Fórmula'!K70))*(INDEX(properties!A$1:CB$87,'Fórmula'!J70,14))</f>
        <v>5.6</v>
      </c>
      <c r="BE70" s="110">
        <f t="array" ref="BE70">'Fórmula'!C70*(INDEX(properties!A$1:CB$87,'Fórmula'!B70,14))+'Fórmula'!E70*(INDEX(properties!A$1:CB$87,'Fórmula'!D70,14))+'Fórmula'!G70*(INDEX(properties!A$1:CB$87,'Fórmula'!F70,14))+'Fórmula'!I70*(INDEX(properties!A$1:CB$87,'Fórmula'!H70,14))+'Fórmula'!K70*(INDEX(properties!A$1:CB$87,'Fórmula'!J70,14))</f>
        <v>28</v>
      </c>
      <c r="BF70" s="110">
        <f t="array" ref="BF70">VARP(IF(INDEX(properties!A$1:CB$87,'Fórmula'!B70,14)&lt;&gt;"",INDEX(properties!A$1:CB$87,'Fórmula'!B70,14)),IF(INDEX(properties!A$1:CB$87,'Fórmula'!D70,14)&lt;&gt;"",INDEX(properties!A$1:CB$87,'Fórmula'!D70,14)),IF(INDEX(properties!A$1:CB$87,'Fórmula'!F70,14)&lt;&gt;"",INDEX(properties!A$1:CB$87,'Fórmula'!F70,14)),IF(INDEX(properties!A$1:CB$87,'Fórmula'!H70,14)&lt;&gt;"",INDEX(properties!A$1:CB$87,'Fórmula'!H70,14)),IF(INDEX(properties!A$1:CB$87,'Fórmula'!J70,14)&lt;&gt;"",INDEX(properties!A$1:CB$87,'Fórmula'!J70,14)))</f>
        <v>31.36</v>
      </c>
      <c r="BG70" s="110">
        <f t="array" ref="BG70">MAX(INDEX(properties!A$1:CB$87,'Fórmula'!B70,14),INDEX(properties!A$1:CB$87,'Fórmula'!D70,14),INDEX(properties!A$1:CB$87,'Fórmula'!F70,14),INDEX(properties!A$1:CB$87,'Fórmula'!H70,14),INDEX(properties!A$1:CB$87,'Fórmula'!J70,14))</f>
        <v>14</v>
      </c>
      <c r="BH70" s="110">
        <f t="array" ref="BH70">MIN(IF('Fórmula'!B70=87,10^6,INDEX(properties!A$1:CB$87,'Fórmula'!B70,14)),IF(('Fórmula'!D70)=87,10^6,INDEX(properties!A$1:CB$87,'Fórmula'!D70,14)),IF(('Fórmula'!F70)=87,10^6,INDEX(properties!A$1:CB$87,'Fórmula'!F70,14)),IF(('Fórmula'!H70)=87,10^6,INDEX(properties!A$1:CB$87,'Fórmula'!H70,14)),IF('Fórmula'!J70=87,10^6,INDEX(properties!A$1:CB$87,'Fórmula'!J70,14)))</f>
        <v>0</v>
      </c>
      <c r="BI70" s="110">
        <f t="shared" si="10"/>
        <v>14</v>
      </c>
      <c r="BJ70" s="111">
        <f t="array" ref="BJ70">(('Fórmula'!C70)/('Fórmula'!C70+'Fórmula'!E70+'Fórmula'!G70+'Fórmula'!I70+'Fórmula'!K70))*(INDEX(properties!A$1:CB$87,'Fórmula'!B70,19))+(('Fórmula'!E70)/('Fórmula'!C70+'Fórmula'!E70+'Fórmula'!G70+'Fórmula'!I70+'Fórmula'!K70))*(INDEX(properties!A$1:CB$87,'Fórmula'!D70,19))+(('Fórmula'!G70)/('Fórmula'!C70+'Fórmula'!E70+'Fórmula'!G70+'Fórmula'!I70+'Fórmula'!K70))*(INDEX(properties!A$1:CB$87,'Fórmula'!F70,19))+(('Fórmula'!I70)/('Fórmula'!C70+'Fórmula'!E70+'Fórmula'!G70+'Fórmula'!I70+'Fórmula'!K70))*(INDEX(properties!A$1:CB$87,'Fórmula'!H70,19))+(('Fórmula'!K70)/('Fórmula'!C70+'Fórmula'!E70+'Fórmula'!G70+'Fórmula'!I70+'Fórmula'!K70))*(INDEX(properties!A$1:CB$87,'Fórmula'!J70,19))</f>
        <v>15.2</v>
      </c>
      <c r="BK70" s="111">
        <f t="array" ref="BK70">'Fórmula'!C70*(INDEX(properties!A$1:CB$87,'Fórmula'!B70,19))+'Fórmula'!E70*(INDEX(properties!A$1:CB$87,'Fórmula'!D70,19))+'Fórmula'!G70*(INDEX(properties!A$1:CB$87,'Fórmula'!F70,19))+'Fórmula'!I70*(INDEX(properties!A$1:CB$87,'Fórmula'!H70,19))+'Fórmula'!K70*(INDEX(properties!A$1:CB$87,'Fórmula'!J70,19))</f>
        <v>76</v>
      </c>
      <c r="BL70" s="111">
        <f t="array" ref="BL70">VARP(IF(INDEX(properties!A$1:CB$87,'Fórmula'!B70,19)&lt;&gt;"",INDEX(properties!A$1:CB$87,'Fórmula'!B70,19)),IF(INDEX(properties!A$1:CB$87,'Fórmula'!D70,19)&lt;&gt;"",INDEX(properties!A$1:CB$87,'Fórmula'!D70,19)),IF(INDEX(properties!A$1:CB$87,'Fórmula'!F70,19)&lt;&gt;"",INDEX(properties!A$1:CB$87,'Fórmula'!F70,19)),IF(INDEX(properties!A$1:CB$87,'Fórmula'!H70,19)&lt;&gt;"",INDEX(properties!A$1:CB$87,'Fórmula'!H70,19)),IF(INDEX(properties!A$1:CB$87,'Fórmula'!J70,19)&lt;&gt;"",INDEX(properties!A$1:CB$87,'Fórmula'!J70,19)))</f>
        <v>126.4</v>
      </c>
      <c r="BM70" s="111">
        <f t="array" ref="BM70">MAX(INDEX(properties!A$1:CB$87,'Fórmula'!B70,19),INDEX(properties!A$1:CB$87,'Fórmula'!D70,19),INDEX(properties!A$1:CB$87,'Fórmula'!F70,19),INDEX(properties!A$1:CB$87,'Fórmula'!H70,19),INDEX(properties!A$1:CB$87,'Fórmula'!J70,19))</f>
        <v>29</v>
      </c>
      <c r="BN70" s="111">
        <f t="array" ref="BN70">MIN(IF(INDEX(properties!A$1:CB$87,'Fórmula'!B70,19)=0,10^6,INDEX(properties!A$1:CB$87,'Fórmula'!B70,19)),IF(INDEX(properties!A$1:CB$87,'Fórmula'!D70,19)=0,10^6,INDEX(properties!A$1:CB$87,'Fórmula'!D70,19)),IF(INDEX(properties!A$1:CB$87,'Fórmula'!F70,19)=0,10^6,INDEX(properties!A$1:CB$87,'Fórmula'!F70,19)),IF(INDEX(properties!A$1:CB$87,'Fórmula'!H70,19)=0,10^6,INDEX(properties!A$1:CB$87,'Fórmula'!H70,19)),IF(INDEX(properties!A$1:CB$87,'Fórmula'!J70,19)=0,10^6,INDEX(properties!A$1:CB$87,'Fórmula'!J70,19)))</f>
        <v>6</v>
      </c>
      <c r="BO70" s="111">
        <f t="shared" si="11"/>
        <v>23</v>
      </c>
      <c r="BP70" s="112">
        <f t="array" ref="BP70">(('Fórmula'!C70)/('Fórmula'!C70+'Fórmula'!E70+'Fórmula'!G70+'Fórmula'!I70+'Fórmula'!K70))*(INDEX(properties!A$1:CB$87,'Fórmula'!B70,20))+(('Fórmula'!E70)/('Fórmula'!C70+'Fórmula'!E70+'Fórmula'!G70+'Fórmula'!I70+'Fórmula'!K70))*(INDEX(properties!A$1:CB$87,'Fórmula'!D70,20))+(('Fórmula'!G70)/('Fórmula'!C70+'Fórmula'!E70+'Fórmula'!G70+'Fórmula'!I70+'Fórmula'!K70))*(INDEX(properties!A$1:CB$87,'Fórmula'!F70,20))+(('Fórmula'!I70)/('Fórmula'!C70+'Fórmula'!E70+'Fórmula'!G70+'Fórmula'!I70+'Fórmula'!K70))*(INDEX(properties!A$1:CB$87,'Fórmula'!H70,20))+(('Fórmula'!K70)/('Fórmula'!C70+'Fórmula'!E70+'Fórmula'!G70+'Fórmula'!I70+'Fórmula'!K70))*(INDEX(properties!A$1:CB$87,'Fórmula'!J70,20))</f>
        <v>5.6</v>
      </c>
      <c r="BQ70" s="112">
        <f t="array" ref="BQ70">'Fórmula'!C70*(INDEX(properties!A$1:CB$87,'Fórmula'!B70,20))+'Fórmula'!E70*(INDEX(properties!A$1:CB$87,'Fórmula'!D70,20))+'Fórmula'!G70*(INDEX(properties!A$1:CB$87,'Fórmula'!F70,20))+'Fórmula'!I70*(INDEX(properties!A$1:CB$87,'Fórmula'!H70,20))+'Fórmula'!K70*(INDEX(properties!A$1:CB$87,'Fórmula'!J70,20))</f>
        <v>28</v>
      </c>
      <c r="BR70" s="112">
        <f t="array" ref="BR70">VARP(IF(INDEX(properties!A$1:CB$87,'Fórmula'!B70,20)&lt;&gt;"",INDEX(properties!A$1:CB$87,'Fórmula'!B70,20)),IF(INDEX(properties!A$1:CB$87,'Fórmula'!D70,20)&lt;&gt;"",INDEX(properties!A$1:CB$87,'Fórmula'!D70,20)),IF(INDEX(properties!A$1:CB$87,'Fórmula'!F70,20)&lt;&gt;"",INDEX(properties!A$1:CB$87,'Fórmula'!F70,20)),IF(INDEX(properties!A$1:CB$87,'Fórmula'!H70,20)&lt;&gt;"",INDEX(properties!A$1:CB$87,'Fórmula'!H70,20)),IF(INDEX(properties!A$1:CB$87,'Fórmula'!J70,20)&lt;&gt;"",INDEX(properties!A$1:CB$87,'Fórmula'!J70,20)))</f>
        <v>7.36</v>
      </c>
      <c r="BS70" s="112">
        <f t="array" ref="BS70">MAX(INDEX(properties!A$1:CB$87,'Fórmula'!B70,20),INDEX(properties!A$1:CB$87,'Fórmula'!D70,20),INDEX(properties!A$1:CB$87,'Fórmula'!F70,20),INDEX(properties!A$1:CB$87,'Fórmula'!H70,20),INDEX(properties!A$1:CB$87,'Fórmula'!J70,20))</f>
        <v>6</v>
      </c>
      <c r="BT70" s="112">
        <f t="array" ref="BT70">MIN(IF(INDEX(properties!A$1:CB$87,'Fórmula'!B70,20)=0,10^6,INDEX(properties!A$1:CB$87,'Fórmula'!B70,20)),IF(INDEX(properties!A$1:CB$87,'Fórmula'!D70,20)=0,10^6,INDEX(properties!A$1:CB$87,'Fórmula'!D70,20)),IF(INDEX(properties!A$1:CB$87,'Fórmula'!F70,20)=0,10^6,INDEX(properties!A$1:CB$87,'Fórmula'!F70,20)),IF(INDEX(properties!A$1:CB$87,'Fórmula'!H70,20)=0,10^6,INDEX(properties!A$1:CB$87,'Fórmula'!H70,20)),IF(INDEX(properties!A$1:CB$87,'Fórmula'!J70,20)=0,10^6,INDEX(properties!A$1:CB$87,'Fórmula'!J70,20)))</f>
        <v>5</v>
      </c>
      <c r="BU70" s="112">
        <f t="shared" si="12"/>
        <v>1</v>
      </c>
      <c r="BV70" s="113">
        <f t="array" ref="BV70">(('Fórmula'!C70)/('Fórmula'!C70+'Fórmula'!E70+'Fórmula'!G70+'Fórmula'!I70+'Fórmula'!K70))*(INDEX(properties!A$1:CB$87,'Fórmula'!B70,21))+(('Fórmula'!E70)/('Fórmula'!C70+'Fórmula'!E70+'Fórmula'!G70+'Fórmula'!I70+'Fórmula'!K70))*(INDEX(properties!A$1:CB$87,'Fórmula'!D70,21))+(('Fórmula'!G70)/('Fórmula'!C70+'Fórmula'!E70+'Fórmula'!G70+'Fórmula'!I70+'Fórmula'!K70))*(INDEX(properties!A$1:CB$87,'Fórmula'!F70,21))+(('Fórmula'!I70)/('Fórmula'!C70+'Fórmula'!E70+'Fórmula'!G70+'Fórmula'!I70+'Fórmula'!K70))*(INDEX(properties!A$1:CB$87,'Fórmula'!H70,21))+(('Fórmula'!K70)/('Fórmula'!C70+'Fórmula'!E70+'Fórmula'!G70+'Fórmula'!I70+'Fórmula'!K70))*(INDEX(properties!A$1:CB$87,'Fórmula'!J70,21))</f>
        <v>5.6</v>
      </c>
      <c r="BW70" s="113">
        <f t="array" ref="BW70">'Fórmula'!C70*(INDEX(properties!A$1:CB$87,'Fórmula'!B70,21))+'Fórmula'!E70*(INDEX(properties!A$1:CB$87,'Fórmula'!D70,21))+'Fórmula'!G70*(INDEX(properties!A$1:CB$87,'Fórmula'!F70,21))+'Fórmula'!I70*(INDEX(properties!A$1:CB$87,'Fórmula'!H70,21))+'Fórmula'!K70*(INDEX(properties!A$1:CB$87,'Fórmula'!J70,21))</f>
        <v>28</v>
      </c>
      <c r="BX70" s="113">
        <f t="array" ref="BX70">VARP(IF(INDEX(properties!A$1:CB$87,'Fórmula'!B70,21)&lt;&gt;"",INDEX(properties!A$1:CB$87,'Fórmula'!B70,21)),IF(INDEX(properties!A$1:CB$87,'Fórmula'!D70,21)&lt;&gt;"",INDEX(properties!A$1:CB$87,'Fórmula'!D70,21)),IF(INDEX(properties!A$1:CB$87,'Fórmula'!F70,21)&lt;&gt;"",INDEX(properties!A$1:CB$87,'Fórmula'!F70,21)),IF(INDEX(properties!A$1:CB$87,'Fórmula'!H70,21)&lt;&gt;"",INDEX(properties!A$1:CB$87,'Fórmula'!H70,21)),IF(INDEX(properties!A$1:CB$87,'Fórmula'!J70,21)&lt;&gt;"",INDEX(properties!A$1:CB$87,'Fórmula'!J70,21)))</f>
        <v>7.36</v>
      </c>
      <c r="BY70" s="113">
        <f t="array" ref="BY70">MAX(INDEX(properties!A$1:CB$87,'Fórmula'!B70,21),INDEX(properties!A$1:CB$87,'Fórmula'!D70,21),INDEX(properties!A$1:CB$87,'Fórmula'!F70,21),INDEX(properties!A$1:CB$87,'Fórmula'!H70,21),INDEX(properties!A$1:CB$87,'Fórmula'!J70,21))</f>
        <v>6</v>
      </c>
      <c r="BZ70" s="113">
        <f t="array" ref="BZ70">MIN(IF(INDEX(properties!A$1:CB$87,'Fórmula'!B70,21)=0,10^6,INDEX(properties!A$1:CB$87,'Fórmula'!B70,21)),IF(INDEX(properties!A$1:CB$87,'Fórmula'!D70,21)=0,10^6,INDEX(properties!A$1:CB$87,'Fórmula'!D70,21)),IF(INDEX(properties!A$1:CB$87,'Fórmula'!F70,21)=0,10^6,INDEX(properties!A$1:CB$87,'Fórmula'!F70,21)),IF(INDEX(properties!A$1:CB$87,'Fórmula'!H70,21)=0,10^6,INDEX(properties!A$1:CB$87,'Fórmula'!H70,21)),IF(INDEX(properties!A$1:CB$87,'Fórmula'!J70,21)=0,10^6,INDEX(properties!A$1:CB$87,'Fórmula'!J70,21)))</f>
        <v>5</v>
      </c>
      <c r="CA70" s="113">
        <f t="shared" si="13"/>
        <v>1</v>
      </c>
      <c r="CB70" s="114">
        <f t="array" ref="CB70">(('Fórmula'!C70)/('Fórmula'!C70+'Fórmula'!E70+'Fórmula'!G70+'Fórmula'!I70+'Fórmula'!K70))*(INDEX(properties!A$1:CB$87,'Fórmula'!B70,23))+(('Fórmula'!E70)/('Fórmula'!C70+'Fórmula'!E70+'Fórmula'!G70+'Fórmula'!I70+'Fórmula'!K70))*(INDEX(properties!A$1:CB$87,'Fórmula'!D70,23))+(('Fórmula'!G70)/('Fórmula'!C70+'Fórmula'!E70+'Fórmula'!G70+'Fórmula'!I70+'Fórmula'!K70))*(INDEX(properties!A$1:CB$87,'Fórmula'!F70,23))+(('Fórmula'!I70)/('Fórmula'!C70+'Fórmula'!E70+'Fórmula'!G70+'Fórmula'!I70+'Fórmula'!K70))*(INDEX(properties!A$1:CB$87,'Fórmula'!H70,23))+(('Fórmula'!K70)/('Fórmula'!C70+'Fórmula'!E70+'Fórmula'!G70+'Fórmula'!I70+'Fórmula'!K70))*(INDEX(properties!A$1:CB$87,'Fórmula'!J70,23))</f>
        <v>1.2</v>
      </c>
      <c r="CC70" s="114">
        <f t="array" ref="CC70">'Fórmula'!C70*(INDEX(properties!A$1:CB$87,'Fórmula'!B70,23))+'Fórmula'!E70*(INDEX(properties!A$1:CB$87,'Fórmula'!D70,23))+'Fórmula'!G70*(INDEX(properties!A$1:CB$87,'Fórmula'!F70,23))+'Fórmula'!I70*(INDEX(properties!A$1:CB$87,'Fórmula'!H70,23))+'Fórmula'!K70*(INDEX(properties!A$1:CB$87,'Fórmula'!J70,23))</f>
        <v>6</v>
      </c>
      <c r="CD70" s="114">
        <f t="array" ref="CD70">VARP(IF(INDEX(properties!A$1:CB$87,'Fórmula'!B70,23)&lt;&gt;"",INDEX(properties!A$1:CB$87,'Fórmula'!B70,23)),IF(INDEX(properties!A$1:CB$87,'Fórmula'!D70,23)&lt;&gt;"",INDEX(properties!A$1:CB$87,'Fórmula'!D70,23)),IF(INDEX(properties!A$1:CB$87,'Fórmula'!F70,23)&lt;&gt;"",INDEX(properties!A$1:CB$87,'Fórmula'!F70,23)),IF(INDEX(properties!A$1:CB$87,'Fórmula'!H70,23)&lt;&gt;"",INDEX(properties!A$1:CB$87,'Fórmula'!H70,23)),IF(INDEX(properties!A$1:CB$87,'Fórmula'!J70,23)&lt;&gt;"",INDEX(properties!A$1:CB$87,'Fórmula'!J70,23)))</f>
        <v>1.44</v>
      </c>
      <c r="CE70" s="114">
        <f t="array" ref="CE70">MAX(INDEX(properties!A$1:CB$87,'Fórmula'!B70,23),INDEX(properties!A$1:CB$87,'Fórmula'!D70,23),INDEX(properties!A$1:CB$87,'Fórmula'!F70,23),INDEX(properties!A$1:CB$87,'Fórmula'!H70,23),INDEX(properties!A$1:CB$87,'Fórmula'!J70,23))</f>
        <v>3</v>
      </c>
      <c r="CF70" s="114">
        <f t="array" ref="CF70">MIN(IF('Fórmula'!B70=87,10^6,INDEX(properties!A$1:CB$87,'Fórmula'!B70,23)),IF(('Fórmula'!D70)=87,10^6,INDEX(properties!A$1:CB$87,'Fórmula'!D70,23)),IF(('Fórmula'!F70)=87,10^6,INDEX(properties!A$1:CB$87,'Fórmula'!F70,23)),IF(('Fórmula'!H70)=87,10^6,INDEX(properties!A$1:CB$87,'Fórmula'!H70,23)),IF('Fórmula'!J70=87,10^6,INDEX(properties!A$1:CB$87,'Fórmula'!J70,23)))</f>
        <v>0</v>
      </c>
      <c r="CG70" s="114">
        <f t="shared" si="14"/>
        <v>3</v>
      </c>
      <c r="CH70" s="115">
        <f t="array" ref="CH70">(('Fórmula'!C70)/('Fórmula'!C70+'Fórmula'!E70+'Fórmula'!G70+'Fórmula'!I70+'Fórmula'!K70))*(INDEX(properties!A$1:CB$87,'Fórmula'!B70,26))+(('Fórmula'!E70)/('Fórmula'!C70+'Fórmula'!E70+'Fórmula'!G70+'Fórmula'!I70+'Fórmula'!K70))*(INDEX(properties!A$1:CB$87,'Fórmula'!D70,26))+(('Fórmula'!G70)/('Fórmula'!C70+'Fórmula'!E70+'Fórmula'!G70+'Fórmula'!I70+'Fórmula'!K70))*(INDEX(properties!A$1:CB$87,'Fórmula'!F70,26))+(('Fórmula'!I70)/('Fórmula'!C70+'Fórmula'!E70+'Fórmula'!G70+'Fórmula'!I70+'Fórmula'!K70))*(INDEX(properties!A$1:CB$87,'Fórmula'!H70,26))+(('Fórmula'!K70)/('Fórmula'!C70+'Fórmula'!E70+'Fórmula'!G70+'Fórmula'!I70+'Fórmula'!K70))*(INDEX(properties!A$1:CB$87,'Fórmula'!J70,26))</f>
        <v>11.08506</v>
      </c>
      <c r="CI70" s="115">
        <f t="array" ref="CI70">'Fórmula'!C70*(INDEX(properties!A$1:CB$87,'Fórmula'!B70,26))+'Fórmula'!E70*(INDEX(properties!A$1:CB$87,'Fórmula'!D70,26))+'Fórmula'!G70*(INDEX(properties!A$1:CB$87,'Fórmula'!F70,26))+'Fórmula'!I70*(INDEX(properties!A$1:CB$87,'Fórmula'!H70,26))+'Fórmula'!K70*(INDEX(properties!A$1:CB$87,'Fórmula'!J70,26))</f>
        <v>55.4253</v>
      </c>
      <c r="CJ70" s="115">
        <f t="array" ref="CJ70">VARP(IF(INDEX(properties!A$1:CB$87,'Fórmula'!B70,26)&lt;&gt;"",INDEX(properties!A$1:CB$87,'Fórmula'!B70,26)),IF(INDEX(properties!A$1:CB$87,'Fórmula'!D70,26)&lt;&gt;"",INDEX(properties!A$1:CB$87,'Fórmula'!D70,26)),IF(INDEX(properties!A$1:CB$87,'Fórmula'!F70,26)&lt;&gt;"",INDEX(properties!A$1:CB$87,'Fórmula'!F70,26)),IF(INDEX(properties!A$1:CB$87,'Fórmula'!H70,26)&lt;&gt;"",INDEX(properties!A$1:CB$87,'Fórmula'!H70,26)),IF(INDEX(properties!A$1:CB$87,'Fórmula'!J70,26)&lt;&gt;"",INDEX(properties!A$1:CB$87,'Fórmula'!J70,26)))</f>
        <v>30.22781185</v>
      </c>
      <c r="CK70" s="116">
        <f t="array" ref="CK70">MAX(INDEX(properties!A$1:CB$87,'Fórmula'!B70,26),INDEX(properties!A$1:CB$87,'Fórmula'!D70,26),INDEX(properties!A$1:CB$87,'Fórmula'!F70,26),INDEX(properties!A$1:CB$87,'Fórmula'!H70,26),INDEX(properties!A$1:CB$87,'Fórmula'!J70,26))</f>
        <v>13.6181</v>
      </c>
      <c r="CL70" s="116">
        <f t="array" ref="CL70">MIN(IF(INDEX(properties!A$1:CB$87,'Fórmula'!B70,26)=0,10^6,INDEX(properties!A$1:CB$87,'Fórmula'!B70,26)),IF(INDEX(properties!A$1:CB$87,'Fórmula'!D70,26)=0,10^6,INDEX(properties!A$1:CB$87,'Fórmula'!D70,26)),IF(INDEX(properties!A$1:CB$87,'Fórmula'!F70,26)=0,10^6,INDEX(properties!A$1:CB$87,'Fórmula'!F70,26)),IF(INDEX(properties!A$1:CB$87,'Fórmula'!H70,26)=0,10^6,INDEX(properties!A$1:CB$87,'Fórmula'!H70,26)),IF(INDEX(properties!A$1:CB$87,'Fórmula'!J70,26)=0,10^6,INDEX(properties!A$1:CB$87,'Fórmula'!J70,26)))</f>
        <v>7.2855</v>
      </c>
      <c r="CM70" s="115">
        <f t="shared" si="15"/>
        <v>6.3326</v>
      </c>
      <c r="CN70" s="117">
        <f t="array" ref="CN70">(('Fórmula'!C70)/('Fórmula'!C70+'Fórmula'!E70+'Fórmula'!G70+'Fórmula'!I70+'Fórmula'!K70))*(INDEX(properties!A$1:CB$87,'Fórmula'!B70,30))+(('Fórmula'!E70)/('Fórmula'!C70+'Fórmula'!E70+'Fórmula'!G70+'Fórmula'!I70+'Fórmula'!K70))*(INDEX(properties!A$1:CB$87,'Fórmula'!D70,30))+(('Fórmula'!G70)/('Fórmula'!C70+'Fórmula'!E70+'Fórmula'!G70+'Fórmula'!I70+'Fórmula'!K70))*(INDEX(properties!A$1:CB$87,'Fórmula'!F70,30))+(('Fórmula'!I70)/('Fórmula'!C70+'Fórmula'!E70+'Fórmula'!G70+'Fórmula'!I70+'Fórmula'!K70))*(INDEX(properties!A$1:CB$87,'Fórmula'!H70,30))+(('Fórmula'!K70)/('Fórmula'!C70+'Fórmula'!E70+'Fórmula'!G70+'Fórmula'!I70+'Fórmula'!K70))*(INDEX(properties!A$1:CB$87,'Fórmula'!J70,30))</f>
        <v>2.872</v>
      </c>
      <c r="CO70" s="117">
        <f t="array" ref="CO70">'Fórmula'!C70*(INDEX(properties!A$1:CB$87,'Fórmula'!B70,30))+'Fórmula'!E70*(INDEX(properties!A$1:CB$87,'Fórmula'!D70,30))+'Fórmula'!G70*(INDEX(properties!A$1:CB$87,'Fórmula'!F70,30))+'Fórmula'!I70*(INDEX(properties!A$1:CB$87,'Fórmula'!H70,30))+'Fórmula'!K70*(INDEX(properties!A$1:CB$87,'Fórmula'!J70,30))</f>
        <v>14.36</v>
      </c>
      <c r="CP70" s="117">
        <f t="array" ref="CP70">VARP(IF(INDEX(properties!A$1:CB$87,'Fórmula'!B70,30)&lt;&gt;"",INDEX(properties!A$1:CB$87,'Fórmula'!B70,30)),IF(INDEX(properties!A$1:CB$87,'Fórmula'!D70,30)&lt;&gt;"",INDEX(properties!A$1:CB$87,'Fórmula'!D70,30)),IF(INDEX(properties!A$1:CB$87,'Fórmula'!F70,30)&lt;&gt;"",INDEX(properties!A$1:CB$87,'Fórmula'!F70,30)),IF(INDEX(properties!A$1:CB$87,'Fórmula'!H70,30)&lt;&gt;"",INDEX(properties!A$1:CB$87,'Fórmula'!H70,30)),IF(INDEX(properties!A$1:CB$87,'Fórmula'!J70,30)&lt;&gt;"",INDEX(properties!A$1:CB$87,'Fórmula'!J70,30)))</f>
        <v>1.990336</v>
      </c>
      <c r="CQ70" s="117">
        <f t="array" ref="CQ70">MAX(INDEX(properties!A$1:CB$87,'Fórmula'!B70,30),INDEX(properties!A$1:CB$87,'Fórmula'!D70,30),INDEX(properties!A$1:CB$87,'Fórmula'!F70,30),INDEX(properties!A$1:CB$87,'Fórmula'!H70,30),INDEX(properties!A$1:CB$87,'Fórmula'!J70,30))</f>
        <v>3.44</v>
      </c>
      <c r="CR70" s="117">
        <f t="array" ref="CR70">MIN(IF(INDEX(properties!A$1:CB$87,'Fórmula'!B70,30)=0,10^6,INDEX(properties!A$1:CB$87,'Fórmula'!B70,30)),IF(INDEX(properties!A$1:CB$87,'Fórmula'!D70,30)=0,10^6,INDEX(properties!A$1:CB$87,'Fórmula'!D70,30)),IF(INDEX(properties!A$1:CB$87,'Fórmula'!F70,30)=0,10^6,INDEX(properties!A$1:CB$87,'Fórmula'!F70,30)),IF(INDEX(properties!A$1:CB$87,'Fórmula'!H70,30)=0,10^6,INDEX(properties!A$1:CB$87,'Fórmula'!H70,30)),IF(INDEX(properties!A$1:CB$87,'Fórmula'!J70,30)=0,10^6,INDEX(properties!A$1:CB$87,'Fórmula'!J70,30)))</f>
        <v>2.02</v>
      </c>
      <c r="CS70" s="117">
        <f t="shared" si="16"/>
        <v>1.42</v>
      </c>
      <c r="CT70" s="118">
        <f t="array" ref="CT70">(('Fórmula'!C70)/('Fórmula'!C70+'Fórmula'!E70+'Fórmula'!G70+'Fórmula'!I70+'Fórmula'!K70))*(INDEX(properties!A$1:CB$87,'Fórmula'!B70,31))+(('Fórmula'!E70)/('Fórmula'!C70+'Fórmula'!E70+'Fórmula'!G70+'Fórmula'!I70+'Fórmula'!K70))*(INDEX(properties!A$1:CB$87,'Fórmula'!D70,31))+(('Fórmula'!G70)/('Fórmula'!C70+'Fórmula'!E70+'Fórmula'!G70+'Fórmula'!I70+'Fórmula'!K70))*(INDEX(properties!A$1:CB$87,'Fórmula'!F70,31))+(('Fórmula'!I70)/('Fórmula'!C70+'Fórmula'!E70+'Fórmula'!G70+'Fórmula'!I70+'Fórmula'!K70))*(INDEX(properties!A$1:CB$87,'Fórmula'!H70,31))+(('Fórmula'!K70)/('Fórmula'!C70+'Fórmula'!E70+'Fórmula'!G70+'Fórmula'!I70+'Fórmula'!K70))*(INDEX(properties!A$1:CB$87,'Fórmula'!J70,31))</f>
        <v>2.848</v>
      </c>
      <c r="CU70" s="118">
        <f t="array" ref="CU70">'Fórmula'!C70*(INDEX(properties!A$1:CB$87,'Fórmula'!B70,31))+'Fórmula'!E70*(INDEX(properties!A$1:CB$87,'Fórmula'!D70,31))+'Fórmula'!G70*(INDEX(properties!A$1:CB$87,'Fórmula'!F70,31))+'Fórmula'!I70*(INDEX(properties!A$1:CB$87,'Fórmula'!H70,31))+'Fórmula'!K70*(INDEX(properties!A$1:CB$87,'Fórmula'!J70,31))</f>
        <v>14.24</v>
      </c>
      <c r="CV70" s="118">
        <f t="array" ref="CV70">VARP(IF(INDEX(properties!A$1:CB$87,'Fórmula'!B70,31)&lt;&gt;"",INDEX(properties!A$1:CB$87,'Fórmula'!B70,31)),IF(INDEX(properties!A$1:CB$87,'Fórmula'!D70,31)&lt;&gt;"",INDEX(properties!A$1:CB$87,'Fórmula'!D70,31)),IF(INDEX(properties!A$1:CB$87,'Fórmula'!F70,31)&lt;&gt;"",INDEX(properties!A$1:CB$87,'Fórmula'!F70,31)),IF(INDEX(properties!A$1:CB$87,'Fórmula'!H70,31)&lt;&gt;"",INDEX(properties!A$1:CB$87,'Fórmula'!H70,31)),IF(INDEX(properties!A$1:CB$87,'Fórmula'!J70,31)&lt;&gt;"",INDEX(properties!A$1:CB$87,'Fórmula'!J70,31)))</f>
        <v>1.927936</v>
      </c>
      <c r="CW70" s="118">
        <f t="array" ref="CW70">MAX(INDEX(properties!A$1:CB$87,'Fórmula'!B70,31),INDEX(properties!A$1:CB$87,'Fórmula'!D70,31),INDEX(properties!A$1:CB$87,'Fórmula'!F70,31),INDEX(properties!A$1:CB$87,'Fórmula'!H70,31),INDEX(properties!A$1:CB$87,'Fórmula'!J70,31))</f>
        <v>3.32</v>
      </c>
      <c r="CX70" s="118">
        <f t="array" ref="CX70">MIN(IF(INDEX(properties!A$1:CB$87,'Fórmula'!B70,31)=0,10^6,INDEX(properties!A$1:CB$87,'Fórmula'!B70,31)),IF(INDEX(properties!A$1:CB$87,'Fórmula'!D70,31)=0,10^6,INDEX(properties!A$1:CB$87,'Fórmula'!D70,31)),IF(INDEX(properties!A$1:CB$87,'Fórmula'!F70,31)=0,10^6,INDEX(properties!A$1:CB$87,'Fórmula'!F70,31)),IF(INDEX(properties!A$1:CB$87,'Fórmula'!H70,31)=0,10^6,INDEX(properties!A$1:CB$87,'Fórmula'!H70,31)),IF(INDEX(properties!A$1:CB$87,'Fórmula'!J70,31)=0,10^6,INDEX(properties!A$1:CB$87,'Fórmula'!J70,31)))</f>
        <v>2.14</v>
      </c>
      <c r="CY70" s="118">
        <f t="shared" si="17"/>
        <v>1.18</v>
      </c>
      <c r="CZ70" s="119">
        <f t="array" ref="CZ70">(('Fórmula'!C70)/('Fórmula'!C70+'Fórmula'!E70+'Fórmula'!G70+'Fórmula'!I70+'Fórmula'!K70))*(INDEX(properties!A$1:CB$87,'Fórmula'!B70,32))+(('Fórmula'!E70)/('Fórmula'!C70+'Fórmula'!E70+'Fórmula'!G70+'Fórmula'!I70+'Fórmula'!K70))*(INDEX(properties!A$1:CB$87,'Fórmula'!D70,32))+(('Fórmula'!G70)/('Fórmula'!C70+'Fórmula'!E70+'Fórmula'!G70+'Fórmula'!I70+'Fórmula'!K70))*(INDEX(properties!A$1:CB$87,'Fórmula'!F70,32))+(('Fórmula'!I70)/('Fórmula'!C70+'Fórmula'!E70+'Fórmula'!G70+'Fórmula'!I70+'Fórmula'!K70))*(INDEX(properties!A$1:CB$87,'Fórmula'!H70,32))+(('Fórmula'!K70)/('Fórmula'!C70+'Fórmula'!E70+'Fórmula'!G70+'Fórmula'!I70+'Fórmula'!K70))*(INDEX(properties!A$1:CB$87,'Fórmula'!J70,32))</f>
        <v>6.4</v>
      </c>
      <c r="DA70" s="119">
        <f t="array" ref="DA70">'Fórmula'!C70*(INDEX(properties!A$1:CB$87,'Fórmula'!B70,32))+'Fórmula'!E70*(INDEX(properties!A$1:CB$87,'Fórmula'!D70,32))+'Fórmula'!G70*(INDEX(properties!A$1:CB$87,'Fórmula'!F70,32))+'Fórmula'!I70*(INDEX(properties!A$1:CB$87,'Fórmula'!H70,32))+'Fórmula'!K70*(INDEX(properties!A$1:CB$87,'Fórmula'!J70,32))</f>
        <v>32</v>
      </c>
      <c r="DB70" s="119">
        <f t="array" ref="DB70">VARP(IF(INDEX(properties!A$1:CB$87,'Fórmula'!B70,32)&lt;&gt;"",INDEX(properties!A$1:CB$87,'Fórmula'!B70,32)),IF(INDEX(properties!A$1:CB$87,'Fórmula'!D70,32)&lt;&gt;"",INDEX(properties!A$1:CB$87,'Fórmula'!D70,32)),IF(INDEX(properties!A$1:CB$87,'Fórmula'!F70,32)&lt;&gt;"",INDEX(properties!A$1:CB$87,'Fórmula'!F70,32)),IF(INDEX(properties!A$1:CB$87,'Fórmula'!H70,32)&lt;&gt;"",INDEX(properties!A$1:CB$87,'Fórmula'!H70,32)),IF(INDEX(properties!A$1:CB$87,'Fórmula'!J70,32)&lt;&gt;"",INDEX(properties!A$1:CB$87,'Fórmula'!J70,32)))</f>
        <v>9.786624</v>
      </c>
      <c r="DC70" s="119">
        <f t="array" ref="DC70">MAX(INDEX(properties!A$1:CB$87,'Fórmula'!B70,32),INDEX(properties!A$1:CB$87,'Fórmula'!D70,32),INDEX(properties!A$1:CB$87,'Fórmula'!F70,32),INDEX(properties!A$1:CB$87,'Fórmula'!H70,32),INDEX(properties!A$1:CB$87,'Fórmula'!J70,32))</f>
        <v>7.54</v>
      </c>
      <c r="DD70" s="119">
        <f t="array" ref="DD70">MIN(IF(INDEX(properties!A$1:CB$87,'Fórmula'!B70,32)=0,10^6,INDEX(properties!A$1:CB$87,'Fórmula'!B70,32)),IF(INDEX(properties!A$1:CB$87,'Fórmula'!D70,32)=0,10^6,INDEX(properties!A$1:CB$87,'Fórmula'!D70,32)),IF(INDEX(properties!A$1:CB$87,'Fórmula'!F70,32)=0,10^6,INDEX(properties!A$1:CB$87,'Fórmula'!F70,32)),IF(INDEX(properties!A$1:CB$87,'Fórmula'!H70,32)=0,10^6,INDEX(properties!A$1:CB$87,'Fórmula'!H70,32)),IF(INDEX(properties!A$1:CB$87,'Fórmula'!J70,32)=0,10^6,INDEX(properties!A$1:CB$87,'Fórmula'!J70,32)))</f>
        <v>4.69</v>
      </c>
      <c r="DE70" s="119">
        <f t="shared" si="18"/>
        <v>2.85</v>
      </c>
      <c r="DF70" s="104">
        <f t="array" ref="DF70">(('Fórmula'!C70)/('Fórmula'!C70+'Fórmula'!E70+'Fórmula'!G70+'Fórmula'!I70+'Fórmula'!K70))*(INDEX(properties!A$1:CB$87,'Fórmula'!B70,34))+(('Fórmula'!E70)/('Fórmula'!C70+'Fórmula'!E70+'Fórmula'!G70+'Fórmula'!I70+'Fórmula'!K70))*(INDEX(properties!A$1:CB$87,'Fórmula'!D70,34))+(('Fórmula'!G70)/('Fórmula'!C70+'Fórmula'!E70+'Fórmula'!G70+'Fórmula'!I70+'Fórmula'!K70))*(INDEX(properties!A$1:CB$87,'Fórmula'!F70,34))+(('Fórmula'!I70)/('Fórmula'!C70+'Fórmula'!E70+'Fórmula'!G70+'Fórmula'!I70+'Fórmula'!K70))*(INDEX(properties!A$1:CB$87,'Fórmula'!H70,34))+(('Fórmula'!K70)/('Fórmula'!C70+'Fórmula'!E70+'Fórmula'!G70+'Fórmula'!I70+'Fórmula'!K70))*(INDEX(properties!A$1:CB$87,'Fórmula'!J70,34))</f>
        <v>2.97</v>
      </c>
      <c r="DG70" s="104">
        <f t="array" ref="DG70">'Fórmula'!C70*(INDEX(properties!A$1:CB$87,'Fórmula'!B70,34))+'Fórmula'!E70*(INDEX(properties!A$1:CB$87,'Fórmula'!D70,34))+'Fórmula'!G70*(INDEX(properties!A$1:CB$87,'Fórmula'!F70,34))+'Fórmula'!I70*(INDEX(properties!A$1:CB$87,'Fórmula'!H70,34))+'Fórmula'!K70*(INDEX(properties!A$1:CB$87,'Fórmula'!J70,34))</f>
        <v>14.85</v>
      </c>
      <c r="DH70" s="104">
        <f t="array" ref="DH70">VARP(IF(INDEX(properties!A$1:CB$87,'Fórmula'!B70,34)&lt;&gt;"",INDEX(properties!A$1:CB$87,'Fórmula'!B70,34)),IF(INDEX(properties!A$1:CB$87,'Fórmula'!D70,34)&lt;&gt;"",INDEX(properties!A$1:CB$87,'Fórmula'!D70,34)),IF(INDEX(properties!A$1:CB$87,'Fórmula'!F70,34)&lt;&gt;"",INDEX(properties!A$1:CB$87,'Fórmula'!F70,34)),IF(INDEX(properties!A$1:CB$87,'Fórmula'!H70,34)&lt;&gt;"",INDEX(properties!A$1:CB$87,'Fórmula'!H70,34)),IF(INDEX(properties!A$1:CB$87,'Fórmula'!J70,34)&lt;&gt;"",INDEX(properties!A$1:CB$87,'Fórmula'!J70,34)))</f>
        <v>2.151064</v>
      </c>
      <c r="DI70" s="104">
        <f t="array" ref="DI70">MAX(INDEX(properties!A$1:CB$87,'Fórmula'!B70,34),INDEX(properties!A$1:CB$87,'Fórmula'!D70,34),INDEX(properties!A$1:CB$87,'Fórmula'!F70,34),INDEX(properties!A$1:CB$87,'Fórmula'!H70,34),INDEX(properties!A$1:CB$87,'Fórmula'!J70,34))</f>
        <v>3.61</v>
      </c>
      <c r="DJ70" s="104">
        <f t="array" ref="DJ70">MIN(IF(INDEX(properties!A$1:CB$87,'Fórmula'!B70,34)=0,10^6,INDEX(properties!A$1:CB$87,'Fórmula'!B70,34)),IF(INDEX(properties!A$1:CB$87,'Fórmula'!D70,34)=0,10^6,INDEX(properties!A$1:CB$87,'Fórmula'!D70,34)),IF(INDEX(properties!A$1:CB$87,'Fórmula'!F70,34)=0,10^6,INDEX(properties!A$1:CB$87,'Fórmula'!F70,34)),IF(INDEX(properties!A$1:CB$87,'Fórmula'!H70,34)=0,10^6,INDEX(properties!A$1:CB$87,'Fórmula'!H70,34)),IF(INDEX(properties!A$1:CB$87,'Fórmula'!J70,34)=0,10^6,INDEX(properties!A$1:CB$87,'Fórmula'!J70,34)))</f>
        <v>2.01</v>
      </c>
      <c r="DK70" s="104">
        <f t="shared" si="19"/>
        <v>1.6</v>
      </c>
      <c r="DL70" s="105">
        <f t="array" ref="DL70">(('Fórmula'!C70)/('Fórmula'!C70+'Fórmula'!E70+'Fórmula'!G70+'Fórmula'!I70+'Fórmula'!K70))*(INDEX(properties!A$1:CB$87,'Fórmula'!B70,37))+(('Fórmula'!E70)/('Fórmula'!C70+'Fórmula'!E70+'Fórmula'!G70+'Fórmula'!I70+'Fórmula'!K70))*(INDEX(properties!A$1:CB$87,'Fórmula'!D70,37))+(('Fórmula'!G70)/('Fórmula'!C70+'Fórmula'!E70+'Fórmula'!G70+'Fórmula'!I70+'Fórmula'!K70))*(INDEX(properties!A$1:CB$87,'Fórmula'!F70,37))+(('Fórmula'!I70)/('Fórmula'!C70+'Fórmula'!E70+'Fórmula'!G70+'Fórmula'!I70+'Fórmula'!K70))*(INDEX(properties!A$1:CB$87,'Fórmula'!H70,37))+(('Fórmula'!K70)/('Fórmula'!C70+'Fórmula'!E70+'Fórmula'!G70+'Fórmula'!I70+'Fórmula'!K70))*(INDEX(properties!A$1:CB$87,'Fórmula'!J70,37))</f>
        <v>2.79</v>
      </c>
      <c r="DM70" s="105">
        <f t="array" ref="DM70">'Fórmula'!C70*(INDEX(properties!A$1:CB$87,'Fórmula'!B70,37))+'Fórmula'!E70*(INDEX(properties!A$1:CB$87,'Fórmula'!D70,37))+'Fórmula'!G70*(INDEX(properties!A$1:CB$87,'Fórmula'!F70,37))+'Fórmula'!I70*(INDEX(properties!A$1:CB$87,'Fórmula'!H70,37))+'Fórmula'!K70*(INDEX(properties!A$1:CB$87,'Fórmula'!J70,37))</f>
        <v>13.95</v>
      </c>
      <c r="DN70" s="105">
        <f t="array" ref="DN70">VARP(IF(INDEX(properties!A$1:CB$87,'Fórmula'!B70,37)&lt;&gt;"",INDEX(properties!A$1:CB$87,'Fórmula'!B70,37)),IF(INDEX(properties!A$1:CB$87,'Fórmula'!D70,37)&lt;&gt;"",INDEX(properties!A$1:CB$87,'Fórmula'!D70,37)),IF(INDEX(properties!A$1:CB$87,'Fórmula'!F70,37)&lt;&gt;"",INDEX(properties!A$1:CB$87,'Fórmula'!F70,37)),IF(INDEX(properties!A$1:CB$87,'Fórmula'!H70,37)&lt;&gt;"",INDEX(properties!A$1:CB$87,'Fórmula'!H70,37)),IF(INDEX(properties!A$1:CB$87,'Fórmula'!J70,37)&lt;&gt;"",INDEX(properties!A$1:CB$87,'Fórmula'!J70,37)))</f>
        <v>1.926</v>
      </c>
      <c r="DO70" s="105">
        <f t="array" ref="DO70">MAX(INDEX(properties!A$1:CB$87,'Fórmula'!B70,37),INDEX(properties!A$1:CB$87,'Fórmula'!D70,37),INDEX(properties!A$1:CB$87,'Fórmula'!F70,37),INDEX(properties!A$1:CB$87,'Fórmula'!H70,37),INDEX(properties!A$1:CB$87,'Fórmula'!J70,37))</f>
        <v>3.45</v>
      </c>
      <c r="DP70" s="105">
        <f t="array" ref="DP70">MIN(IF(INDEX(properties!A$1:CB$87,'Fórmula'!B70,37)=0,10^6,INDEX(properties!A$1:CB$87,'Fórmula'!B70,37)),IF(INDEX(properties!A$1:CB$87,'Fórmula'!D70,37)=0,10^6,INDEX(properties!A$1:CB$87,'Fórmula'!D70,37)),IF(INDEX(properties!A$1:CB$87,'Fórmula'!F70,37)=0,10^6,INDEX(properties!A$1:CB$87,'Fórmula'!F70,37)),IF(INDEX(properties!A$1:CB$87,'Fórmula'!H70,37)=0,10^6,INDEX(properties!A$1:CB$87,'Fórmula'!H70,37)),IF(INDEX(properties!A$1:CB$87,'Fórmula'!J70,37)=0,10^6,INDEX(properties!A$1:CB$87,'Fórmula'!J70,37)))</f>
        <v>1.8</v>
      </c>
      <c r="DQ70" s="105">
        <f t="shared" si="20"/>
        <v>1.65</v>
      </c>
      <c r="DR70" s="109">
        <f t="array" ref="DR70">(('Fórmula'!C70)/('Fórmula'!C70+'Fórmula'!E70+'Fórmula'!G70+'Fórmula'!I70+'Fórmula'!K70))*(INDEX(properties!A$1:CB$87,'Fórmula'!B70,39))+(('Fórmula'!E70)/('Fórmula'!C70+'Fórmula'!E70+'Fórmula'!G70+'Fórmula'!I70+'Fórmula'!K70))*(INDEX(properties!A$1:CB$87,'Fórmula'!D70,39))+(('Fórmula'!G70)/('Fórmula'!C70+'Fórmula'!E70+'Fórmula'!G70+'Fórmula'!I70+'Fórmula'!K70))*(INDEX(properties!A$1:CB$87,'Fórmula'!F70,39))+(('Fórmula'!I70)/('Fórmula'!C70+'Fórmula'!E70+'Fórmula'!G70+'Fórmula'!I70+'Fórmula'!K70))*(INDEX(properties!A$1:CB$87,'Fórmula'!H70,39))+(('Fórmula'!K70)/('Fórmula'!C70+'Fórmula'!E70+'Fórmula'!G70+'Fórmula'!I70+'Fórmula'!K70))*(INDEX(properties!A$1:CB$87,'Fórmula'!J70,39))</f>
        <v>0.86</v>
      </c>
      <c r="DS70" s="109">
        <f t="array" ref="DS70">'Fórmula'!C70*(INDEX(properties!A$1:CB$87,'Fórmula'!B70,39))+'Fórmula'!E70*(INDEX(properties!A$1:CB$87,'Fórmula'!D70,39))+'Fórmula'!G70*(INDEX(properties!A$1:CB$87,'Fórmula'!F70,39))+'Fórmula'!I70*(INDEX(properties!A$1:CB$87,'Fórmula'!H70,39))+'Fórmula'!K70*(INDEX(properties!A$1:CB$87,'Fórmula'!J70,39))</f>
        <v>4.3</v>
      </c>
      <c r="DT70" s="109">
        <f t="array" ref="DT70">VARP(IF(INDEX(properties!A$1:CB$87,'Fórmula'!B70,39)&lt;&gt;"",INDEX(properties!A$1:CB$87,'Fórmula'!B70,39)),IF(INDEX(properties!A$1:CB$87,'Fórmula'!D70,39)&lt;&gt;"",INDEX(properties!A$1:CB$87,'Fórmula'!D70,39)),IF(INDEX(properties!A$1:CB$87,'Fórmula'!F70,39)&lt;&gt;"",INDEX(properties!A$1:CB$87,'Fórmula'!F70,39)),IF(INDEX(properties!A$1:CB$87,'Fórmula'!H70,39)&lt;&gt;"",INDEX(properties!A$1:CB$87,'Fórmula'!H70,39)),IF(INDEX(properties!A$1:CB$87,'Fórmula'!J70,39)&lt;&gt;"",INDEX(properties!A$1:CB$87,'Fórmula'!J70,39)))</f>
        <v>0.309136</v>
      </c>
      <c r="DU70" s="120">
        <f t="array" ref="DU70">MAX(INDEX(properties!A$1:CB$87,'Fórmula'!B70,39),INDEX(properties!A$1:CB$87,'Fórmula'!D70,39),INDEX(properties!A$1:CB$87,'Fórmula'!F70,39),INDEX(properties!A$1:CB$87,'Fórmula'!H70,39),INDEX(properties!A$1:CB$87,'Fórmula'!J70,39))</f>
        <v>1.43</v>
      </c>
      <c r="DV70" s="120">
        <f t="array" ref="DV70">MIN(IF(INDEX(properties!A$1:CB$87,'Fórmula'!B70,39)=0,10^6,INDEX(properties!A$1:CB$87,'Fórmula'!B70,39)),IF(INDEX(properties!A$1:CB$87,'Fórmula'!D70,39)=0,10^6,INDEX(properties!A$1:CB$87,'Fórmula'!D70,39)),IF(INDEX(properties!A$1:CB$87,'Fórmula'!F70,39)=0,10^6,INDEX(properties!A$1:CB$87,'Fórmula'!F70,39)),IF(INDEX(properties!A$1:CB$87,'Fórmula'!H70,39)=0,10^6,INDEX(properties!A$1:CB$87,'Fórmula'!H70,39)),IF(INDEX(properties!A$1:CB$87,'Fórmula'!J70,39)=0,10^6,INDEX(properties!A$1:CB$87,'Fórmula'!J70,39)))</f>
        <v>0.48</v>
      </c>
      <c r="DW70" s="109">
        <f t="shared" si="21"/>
        <v>0.95</v>
      </c>
      <c r="DX70" s="110">
        <f t="array" ref="DX70">(('Fórmula'!C70)/('Fórmula'!C70+'Fórmula'!E70+'Fórmula'!G70+'Fórmula'!I70+'Fórmula'!K70))*(INDEX(properties!A$1:CB$87,'Fórmula'!B70,40))+(('Fórmula'!E70)/('Fórmula'!C70+'Fórmula'!E70+'Fórmula'!G70+'Fórmula'!I70+'Fórmula'!K70))*(INDEX(properties!A$1:CB$87,'Fórmula'!D70,40))+(('Fórmula'!G70)/('Fórmula'!C70+'Fórmula'!E70+'Fórmula'!G70+'Fórmula'!I70+'Fórmula'!K70))*(INDEX(properties!A$1:CB$87,'Fórmula'!F70,40))+(('Fórmula'!I70)/('Fórmula'!C70+'Fórmula'!E70+'Fórmula'!G70+'Fórmula'!I70+'Fórmula'!K70))*(INDEX(properties!A$1:CB$87,'Fórmula'!H70,40))+(('Fórmula'!K70)/('Fórmula'!C70+'Fórmula'!E70+'Fórmula'!G70+'Fórmula'!I70+'Fórmula'!K70))*(INDEX(properties!A$1:CB$87,'Fórmula'!J70,40))</f>
        <v>1.022</v>
      </c>
      <c r="DY70" s="110">
        <f t="array" ref="DY70">'Fórmula'!C70*(INDEX(properties!A$1:CB$87,'Fórmula'!B70,40))+'Fórmula'!E70*(INDEX(properties!A$1:CB$87,'Fórmula'!D70,40))+'Fórmula'!G70*(INDEX(properties!A$1:CB$87,'Fórmula'!F70,40))+'Fórmula'!I70*(INDEX(properties!A$1:CB$87,'Fórmula'!H70,40))+'Fórmula'!K70*(INDEX(properties!A$1:CB$87,'Fórmula'!J70,40))</f>
        <v>5.11</v>
      </c>
      <c r="DZ70" s="110">
        <f t="array" ref="DZ70">VARP(IF(INDEX(properties!A$1:CB$87,'Fórmula'!B70,40)&lt;&gt;"",INDEX(properties!A$1:CB$87,'Fórmula'!B70,40)),IF(INDEX(properties!A$1:CB$87,'Fórmula'!D70,40)&lt;&gt;"",INDEX(properties!A$1:CB$87,'Fórmula'!D70,40)),IF(INDEX(properties!A$1:CB$87,'Fórmula'!F70,40)&lt;&gt;"",INDEX(properties!A$1:CB$87,'Fórmula'!F70,40)),IF(INDEX(properties!A$1:CB$87,'Fórmula'!H70,40)&lt;&gt;"",INDEX(properties!A$1:CB$87,'Fórmula'!H70,40)),IF(INDEX(properties!A$1:CB$87,'Fórmula'!J70,40)&lt;&gt;"",INDEX(properties!A$1:CB$87,'Fórmula'!J70,40)))</f>
        <v>0.341056</v>
      </c>
      <c r="EA70" s="121">
        <f t="array" ref="EA70">MAX(INDEX(properties!A$1:CB$87,'Fórmula'!B70,40),INDEX(properties!A$1:CB$87,'Fórmula'!D70,40),INDEX(properties!A$1:CB$87,'Fórmula'!F70,40),INDEX(properties!A$1:CB$87,'Fórmula'!H70,40),INDEX(properties!A$1:CB$87,'Fórmula'!J70,40))</f>
        <v>1.46</v>
      </c>
      <c r="EB70" s="121">
        <f t="array" ref="EB70">MIN(IF(INDEX(properties!A$1:CB$87,'Fórmula'!B70,40)=0,10^6,INDEX(properties!A$1:CB$87,'Fórmula'!B70,40)),IF(INDEX(properties!A$1:CB$87,'Fórmula'!D70,40)=0,10^6,INDEX(properties!A$1:CB$87,'Fórmula'!D70,40)),IF(INDEX(properties!A$1:CB$87,'Fórmula'!F70,40)=0,10^6,INDEX(properties!A$1:CB$87,'Fórmula'!F70,40)),IF(INDEX(properties!A$1:CB$87,'Fórmula'!H70,40)=0,10^6,INDEX(properties!A$1:CB$87,'Fórmula'!H70,40)),IF(INDEX(properties!A$1:CB$87,'Fórmula'!J70,40)=0,10^6,INDEX(properties!A$1:CB$87,'Fórmula'!J70,40)))</f>
        <v>0.73</v>
      </c>
      <c r="EC70" s="110">
        <f t="shared" si="22"/>
        <v>0.73</v>
      </c>
      <c r="ED70" s="111">
        <f t="array" ref="ED70">(('Fórmula'!C70)/('Fórmula'!C70+'Fórmula'!E70+'Fórmula'!G70+'Fórmula'!I70+'Fórmula'!K70))*(INDEX(properties!A$1:CB$87,'Fórmula'!B70,41))+(('Fórmula'!E70)/('Fórmula'!C70+'Fórmula'!E70+'Fórmula'!G70+'Fórmula'!I70+'Fórmula'!K70))*(INDEX(properties!A$1:CB$87,'Fórmula'!D70,41))+(('Fórmula'!G70)/('Fórmula'!C70+'Fórmula'!E70+'Fórmula'!G70+'Fórmula'!I70+'Fórmula'!K70))*(INDEX(properties!A$1:CB$87,'Fórmula'!F70,41))+(('Fórmula'!I70)/('Fórmula'!C70+'Fórmula'!E70+'Fórmula'!G70+'Fórmula'!I70+'Fórmula'!K70))*(INDEX(properties!A$1:CB$87,'Fórmula'!H70,41))+(('Fórmula'!K70)/('Fórmula'!C70+'Fórmula'!E70+'Fórmula'!G70+'Fórmula'!I70+'Fórmula'!K70))*(INDEX(properties!A$1:CB$87,'Fórmula'!J70,41))</f>
        <v>1.224</v>
      </c>
      <c r="EE70" s="111">
        <f t="array" ref="EE70">'Fórmula'!C70*(INDEX(properties!A$1:CB$87,'Fórmula'!B70,41))+'Fórmula'!E70*(INDEX(properties!A$1:CB$87,'Fórmula'!D70,41))+'Fórmula'!G70*(INDEX(properties!A$1:CB$87,'Fórmula'!F70,41))+'Fórmula'!I70*(INDEX(properties!A$1:CB$87,'Fórmula'!H70,41))+'Fórmula'!K70*(INDEX(properties!A$1:CB$87,'Fórmula'!J70,41))</f>
        <v>6.12</v>
      </c>
      <c r="EF70" s="111">
        <f t="array" ref="EF70">VARP(IF(INDEX(properties!A$1:CB$87,'Fórmula'!B70,41)&lt;&gt;"",INDEX(properties!A$1:CB$87,'Fórmula'!B70,41)),IF(INDEX(properties!A$1:CB$87,'Fórmula'!D70,41)&lt;&gt;"",INDEX(properties!A$1:CB$87,'Fórmula'!D70,41)),IF(INDEX(properties!A$1:CB$87,'Fórmula'!F70,41)&lt;&gt;"",INDEX(properties!A$1:CB$87,'Fórmula'!F70,41)),IF(INDEX(properties!A$1:CB$87,'Fórmula'!H70,41)&lt;&gt;"",INDEX(properties!A$1:CB$87,'Fórmula'!H70,41)),IF(INDEX(properties!A$1:CB$87,'Fórmula'!J70,41)&lt;&gt;"",INDEX(properties!A$1:CB$87,'Fórmula'!J70,41)))</f>
        <v>0.355104</v>
      </c>
      <c r="EG70" s="122">
        <f t="array" ref="EG70">MAX(INDEX(properties!A$1:CB$87,'Fórmula'!B70,41),INDEX(properties!A$1:CB$87,'Fórmula'!D70,41),INDEX(properties!A$1:CB$87,'Fórmula'!F70,41),INDEX(properties!A$1:CB$87,'Fórmula'!H70,41),INDEX(properties!A$1:CB$87,'Fórmula'!J70,41))</f>
        <v>1.26</v>
      </c>
      <c r="EH70" s="122">
        <f t="array" ref="EH70">MIN(IF(INDEX(properties!A$1:CB$87,'Fórmula'!B70,41)=0,10^6,INDEX(properties!A$1:CB$87,'Fórmula'!B70,41)),IF(INDEX(properties!A$1:CB$87,'Fórmula'!D70,41)=0,10^6,INDEX(properties!A$1:CB$87,'Fórmula'!D70,41)),IF(INDEX(properties!A$1:CB$87,'Fórmula'!F70,41)=0,10^6,INDEX(properties!A$1:CB$87,'Fórmula'!F70,41)),IF(INDEX(properties!A$1:CB$87,'Fórmula'!H70,41)=0,10^6,INDEX(properties!A$1:CB$87,'Fórmula'!H70,41)),IF(INDEX(properties!A$1:CB$87,'Fórmula'!J70,41)=0,10^6,INDEX(properties!A$1:CB$87,'Fórmula'!J70,41)))</f>
        <v>1.17</v>
      </c>
      <c r="EI70" s="111">
        <f t="shared" si="23"/>
        <v>0.09</v>
      </c>
      <c r="EJ70" s="112">
        <f t="array" ref="EJ70">(('Fórmula'!C70)/('Fórmula'!C70+'Fórmula'!E70+'Fórmula'!G70+'Fórmula'!I70+'Fórmula'!K70))*(INDEX(properties!A$1:CB$87,'Fórmula'!B70,45))+(('Fórmula'!E70)/('Fórmula'!C70+'Fórmula'!E70+'Fórmula'!G70+'Fórmula'!I70+'Fórmula'!K70))*(INDEX(properties!A$1:CB$87,'Fórmula'!D70,45))+(('Fórmula'!G70)/('Fórmula'!C70+'Fórmula'!E70+'Fórmula'!G70+'Fórmula'!I70+'Fórmula'!K70))*(INDEX(properties!A$1:CB$87,'Fórmula'!F70,45))+(('Fórmula'!I70)/('Fórmula'!C70+'Fórmula'!E70+'Fórmula'!G70+'Fórmula'!I70+'Fórmula'!K70))*(INDEX(properties!A$1:CB$87,'Fórmula'!H70,45))+(('Fórmula'!K70)/('Fórmula'!C70+'Fórmula'!E70+'Fórmula'!G70+'Fórmula'!I70+'Fórmula'!K70))*(INDEX(properties!A$1:CB$87,'Fórmula'!J70,45))</f>
        <v>1.082</v>
      </c>
      <c r="EK70" s="112">
        <f t="array" ref="EK70">'Fórmula'!C70*(INDEX(properties!A$1:CB$87,'Fórmula'!B70,45))+'Fórmula'!E70*(INDEX(properties!A$1:CB$87,'Fórmula'!D70,45))+'Fórmula'!G70*(INDEX(properties!A$1:CB$87,'Fórmula'!F70,45))+'Fórmula'!I70*(INDEX(properties!A$1:CB$87,'Fórmula'!H70,45))+'Fórmula'!K70*(INDEX(properties!A$1:CB$87,'Fórmula'!J70,45))</f>
        <v>5.41</v>
      </c>
      <c r="EL70" s="112">
        <f t="array" ref="EL70">VARP(IF(INDEX(properties!A$1:CB$87,'Fórmula'!B70,45)&lt;&gt;"",INDEX(properties!A$1:CB$87,'Fórmula'!B70,45)),IF(INDEX(properties!A$1:CB$87,'Fórmula'!D70,45)&lt;&gt;"",INDEX(properties!A$1:CB$87,'Fórmula'!D70,45)),IF(INDEX(properties!A$1:CB$87,'Fórmula'!F70,45)&lt;&gt;"",INDEX(properties!A$1:CB$87,'Fórmula'!F70,45)),IF(INDEX(properties!A$1:CB$87,'Fórmula'!H70,45)&lt;&gt;"",INDEX(properties!A$1:CB$87,'Fórmula'!H70,45)),IF(INDEX(properties!A$1:CB$87,'Fórmula'!J70,45)&lt;&gt;"",INDEX(properties!A$1:CB$87,'Fórmula'!J70,45)))</f>
        <v>0.600144</v>
      </c>
      <c r="EM70" s="123">
        <f t="array" ref="EM70">MAX(INDEX(properties!A$1:CB$87,'Fórmula'!B70,45),INDEX(properties!A$1:CB$87,'Fórmula'!D70,45),INDEX(properties!A$1:CB$87,'Fórmula'!F70,45),INDEX(properties!A$1:CB$87,'Fórmula'!H70,45),INDEX(properties!A$1:CB$87,'Fórmula'!J70,45))</f>
        <v>2</v>
      </c>
      <c r="EN70" s="123">
        <f t="array" ref="EN70">MIN(IF(INDEX(properties!A$1:CB$87,'Fórmula'!B70,45)=0,10^6,INDEX(properties!A$1:CB$87,'Fórmula'!B70,45)),IF(INDEX(properties!A$1:CB$87,'Fórmula'!D70,45)=0,10^6,INDEX(properties!A$1:CB$87,'Fórmula'!D70,45)),IF(INDEX(properties!A$1:CB$87,'Fórmula'!F70,45)=0,10^6,INDEX(properties!A$1:CB$87,'Fórmula'!F70,45)),IF(INDEX(properties!A$1:CB$87,'Fórmula'!H70,45)=0,10^6,INDEX(properties!A$1:CB$87,'Fórmula'!H70,45)),IF(INDEX(properties!A$1:CB$87,'Fórmula'!J70,45)=0,10^6,INDEX(properties!A$1:CB$87,'Fórmula'!J70,45)))</f>
        <v>0.47</v>
      </c>
      <c r="EO70" s="112">
        <f t="shared" si="24"/>
        <v>1.53</v>
      </c>
      <c r="EP70" s="113">
        <f t="array" ref="EP70">(('Fórmula'!C70)/('Fórmula'!C70+'Fórmula'!E70+'Fórmula'!G70+'Fórmula'!I70+'Fórmula'!K70))*(INDEX(properties!A$1:CB$87,'Fórmula'!B70,46))+(('Fórmula'!E70)/('Fórmula'!C70+'Fórmula'!E70+'Fórmula'!G70+'Fórmula'!I70+'Fórmula'!K70))*(INDEX(properties!A$1:CB$87,'Fórmula'!D70,46))+(('Fórmula'!G70)/('Fórmula'!C70+'Fórmula'!E70+'Fórmula'!G70+'Fórmula'!I70+'Fórmula'!K70))*(INDEX(properties!A$1:CB$87,'Fórmula'!F70,46))+(('Fórmula'!I70)/('Fórmula'!C70+'Fórmula'!E70+'Fórmula'!G70+'Fórmula'!I70+'Fórmula'!K70))*(INDEX(properties!A$1:CB$87,'Fórmula'!H70,46))+(('Fórmula'!K70)/('Fórmula'!C70+'Fórmula'!E70+'Fórmula'!G70+'Fórmula'!I70+'Fórmula'!K70))*(INDEX(properties!A$1:CB$87,'Fórmula'!J70,46))</f>
        <v>1.194</v>
      </c>
      <c r="EQ70" s="113">
        <f t="array" ref="EQ70">'Fórmula'!C70*(INDEX(properties!A$1:CB$87,'Fórmula'!B70,46))+'Fórmula'!E70*(INDEX(properties!A$1:CB$87,'Fórmula'!D70,46))+'Fórmula'!G70*(INDEX(properties!A$1:CB$87,'Fórmula'!F70,46))+'Fórmula'!I70*(INDEX(properties!A$1:CB$87,'Fórmula'!H70,46))+'Fórmula'!K70*(INDEX(properties!A$1:CB$87,'Fórmula'!J70,46))</f>
        <v>5.97</v>
      </c>
      <c r="ER70" s="113">
        <f t="array" ref="ER70">VARP(IF(INDEX(properties!A$1:CB$87,'Fórmula'!B70,46)&lt;&gt;"",INDEX(properties!A$1:CB$87,'Fórmula'!B70,46)),IF(INDEX(properties!A$1:CB$87,'Fórmula'!D70,46)&lt;&gt;"",INDEX(properties!A$1:CB$87,'Fórmula'!D70,46)),IF(INDEX(properties!A$1:CB$87,'Fórmula'!F70,46)&lt;&gt;"",INDEX(properties!A$1:CB$87,'Fórmula'!F70,46)),IF(INDEX(properties!A$1:CB$87,'Fórmula'!H70,46)&lt;&gt;"",INDEX(properties!A$1:CB$87,'Fórmula'!H70,46)),IF(INDEX(properties!A$1:CB$87,'Fórmula'!J70,46)&lt;&gt;"",INDEX(properties!A$1:CB$87,'Fórmula'!J70,46)))</f>
        <v>0.340024</v>
      </c>
      <c r="ES70" s="124">
        <f t="array" ref="ES70">MAX(INDEX(properties!A$1:CB$87,'Fórmula'!B70,46),INDEX(properties!A$1:CB$87,'Fórmula'!D70,46),INDEX(properties!A$1:CB$87,'Fórmula'!F70,46),INDEX(properties!A$1:CB$87,'Fórmula'!H70,46),INDEX(properties!A$1:CB$87,'Fórmula'!J70,46))</f>
        <v>1.21</v>
      </c>
      <c r="ET70" s="124">
        <f t="array" ref="ET70">MIN(IF(INDEX(properties!A$1:CB$87,'Fórmula'!B70,46)=0,10^6,INDEX(properties!A$1:CB$87,'Fórmula'!B70,46)),IF(INDEX(properties!A$1:CB$87,'Fórmula'!D70,46)=0,10^6,INDEX(properties!A$1:CB$87,'Fórmula'!D70,46)),IF(INDEX(properties!A$1:CB$87,'Fórmula'!F70,46)=0,10^6,INDEX(properties!A$1:CB$87,'Fórmula'!F70,46)),IF(INDEX(properties!A$1:CB$87,'Fórmula'!H70,46)=0,10^6,INDEX(properties!A$1:CB$87,'Fórmula'!H70,46)),IF(INDEX(properties!A$1:CB$87,'Fórmula'!J70,46)=0,10^6,INDEX(properties!A$1:CB$87,'Fórmula'!J70,46)))</f>
        <v>1.17</v>
      </c>
      <c r="EU70" s="113">
        <f t="shared" si="25"/>
        <v>0.04</v>
      </c>
      <c r="EV70" s="114">
        <f t="array" ref="EV70">(('Fórmula'!C70)/('Fórmula'!C70+'Fórmula'!E70+'Fórmula'!G70+'Fórmula'!I70+'Fórmula'!K70))*(INDEX(properties!A$1:CB$87,'Fórmula'!B70,52))+(('Fórmula'!E70)/('Fórmula'!C70+'Fórmula'!E70+'Fórmula'!G70+'Fórmula'!I70+'Fórmula'!K70))*(INDEX(properties!A$1:CB$87,'Fórmula'!D70,52))+(('Fórmula'!G70)/('Fórmula'!C70+'Fórmula'!E70+'Fórmula'!G70+'Fórmula'!I70+'Fórmula'!K70))*(INDEX(properties!A$1:CB$87,'Fórmula'!F70,52))+(('Fórmula'!I70)/('Fórmula'!C70+'Fórmula'!E70+'Fórmula'!G70+'Fórmula'!I70+'Fórmula'!K70))*(INDEX(properties!A$1:CB$87,'Fórmula'!H70,52))+(('Fórmula'!K70)/('Fórmula'!C70+'Fórmula'!E70+'Fórmula'!G70+'Fórmula'!I70+'Fórmula'!K70))*(INDEX(properties!A$1:CB$87,'Fórmula'!J70,52))</f>
        <v>3.4358</v>
      </c>
      <c r="EW70" s="114">
        <f t="array" ref="EW70">'Fórmula'!C70*(INDEX(properties!A$1:CB$87,'Fórmula'!B70,52))+'Fórmula'!E70*(INDEX(properties!A$1:CB$87,'Fórmula'!D70,52))+'Fórmula'!G70*(INDEX(properties!A$1:CB$87,'Fórmula'!F70,52))+'Fórmula'!I70*(INDEX(properties!A$1:CB$87,'Fórmula'!H70,52))+'Fórmula'!K70*(INDEX(properties!A$1:CB$87,'Fórmula'!J70,52))</f>
        <v>17.179</v>
      </c>
      <c r="EX70" s="114">
        <f t="array" ref="EX70">VARP(IF(INDEX(properties!A$1:CB$87,'Fórmula'!B70,52)&lt;&gt;"",INDEX(properties!A$1:CB$87,'Fórmula'!B70,52)),IF(INDEX(properties!A$1:CB$87,'Fórmula'!D70,52)&lt;&gt;"",INDEX(properties!A$1:CB$87,'Fórmula'!D70,52)),IF(INDEX(properties!A$1:CB$87,'Fórmula'!F70,52)&lt;&gt;"",INDEX(properties!A$1:CB$87,'Fórmula'!F70,52)),IF(INDEX(properties!A$1:CB$87,'Fórmula'!H70,52)&lt;&gt;"",INDEX(properties!A$1:CB$87,'Fórmula'!H70,52)),IF(INDEX(properties!A$1:CB$87,'Fórmula'!J70,52)&lt;&gt;"",INDEX(properties!A$1:CB$87,'Fórmula'!J70,52)))</f>
        <v>8.39275984</v>
      </c>
      <c r="EY70" s="114">
        <f t="array" ref="EY70">MAX(INDEX(properties!A$1:CB$87,'Fórmula'!B70,52),INDEX(properties!A$1:CB$87,'Fórmula'!D70,52),INDEX(properties!A$1:CB$87,'Fórmula'!F70,52),INDEX(properties!A$1:CB$87,'Fórmula'!H70,52),INDEX(properties!A$1:CB$87,'Fórmula'!J70,52))</f>
        <v>7.4</v>
      </c>
      <c r="EZ70" s="114">
        <f t="array" ref="EZ70">MIN(IF(INDEX(properties!A$1:CB$87,'Fórmula'!B70,52)=0,10^6,INDEX(properties!A$1:CB$87,'Fórmula'!B70,52)),IF(INDEX(properties!A$1:CB$87,'Fórmula'!D70,52)=0,10^6,INDEX(properties!A$1:CB$87,'Fórmula'!D70,52)),IF(INDEX(properties!A$1:CB$87,'Fórmula'!F70,52)=0,10^6,INDEX(properties!A$1:CB$87,'Fórmula'!F70,52)),IF(INDEX(properties!A$1:CB$87,'Fórmula'!H70,52)=0,10^6,INDEX(properties!A$1:CB$87,'Fórmula'!H70,52)),IF(INDEX(properties!A$1:CB$87,'Fórmula'!J70,52)=0,10^6,INDEX(properties!A$1:CB$87,'Fórmula'!J70,52)))</f>
        <v>0.793</v>
      </c>
      <c r="FA70" s="114">
        <f t="shared" si="26"/>
        <v>6.607</v>
      </c>
      <c r="FB70" s="115">
        <f t="array" ref="FB70">(('Fórmula'!C70)/('Fórmula'!C70+'Fórmula'!E70+'Fórmula'!G70+'Fórmula'!I70+'Fórmula'!K70))*(INDEX(properties!A$1:CB$87,'Fórmula'!B70,53))+(('Fórmula'!E70)/('Fórmula'!C70+'Fórmula'!E70+'Fórmula'!G70+'Fórmula'!I70+'Fórmula'!K70))*(INDEX(properties!A$1:CB$87,'Fórmula'!D70,53))+(('Fórmula'!G70)/('Fórmula'!C70+'Fórmula'!E70+'Fórmula'!G70+'Fórmula'!I70+'Fórmula'!K70))*(INDEX(properties!A$1:CB$87,'Fórmula'!F70,53))+(('Fórmula'!I70)/('Fórmula'!C70+'Fórmula'!E70+'Fórmula'!G70+'Fórmula'!I70+'Fórmula'!K70))*(INDEX(properties!A$1:CB$87,'Fórmula'!H70,53))+(('Fórmula'!K70)/('Fórmula'!C70+'Fórmula'!E70+'Fórmula'!G70+'Fórmula'!I70+'Fórmula'!K70))*(INDEX(properties!A$1:CB$87,'Fórmula'!J70,53))</f>
        <v>250.51</v>
      </c>
      <c r="FC70" s="115">
        <f t="array" ref="FC70">'Fórmula'!C70*(INDEX(properties!A$1:CB$87,'Fórmula'!B70,53))+'Fórmula'!E70*(INDEX(properties!A$1:CB$87,'Fórmula'!D70,53))+'Fórmula'!G70*(INDEX(properties!A$1:CB$87,'Fórmula'!F70,53))+'Fórmula'!I70*(INDEX(properties!A$1:CB$87,'Fórmula'!H70,53))+'Fórmula'!K70*(INDEX(properties!A$1:CB$87,'Fórmula'!J70,53))</f>
        <v>1252.55</v>
      </c>
      <c r="FD70" s="115">
        <f t="array" ref="FD70">VARP(IF(INDEX(properties!A$1:CB$87,'Fórmula'!B70,53)&lt;&gt;"",INDEX(properties!A$1:CB$87,'Fórmula'!B70,53)),IF(INDEX(properties!A$1:CB$87,'Fórmula'!D70,53)&lt;&gt;"",INDEX(properties!A$1:CB$87,'Fórmula'!D70,53)),IF(INDEX(properties!A$1:CB$87,'Fórmula'!F70,53)&lt;&gt;"",INDEX(properties!A$1:CB$87,'Fórmula'!F70,53)),IF(INDEX(properties!A$1:CB$87,'Fórmula'!H70,53)&lt;&gt;"",INDEX(properties!A$1:CB$87,'Fórmula'!H70,53)),IF(INDEX(properties!A$1:CB$87,'Fórmula'!J70,53)&lt;&gt;"",INDEX(properties!A$1:CB$87,'Fórmula'!J70,53)))</f>
        <v>45472.1086</v>
      </c>
      <c r="FE70" s="115">
        <f t="array" ref="FE70">MAX(INDEX(properties!A$1:CB$87,'Fórmula'!B70,53),INDEX(properties!A$1:CB$87,'Fórmula'!D70,53),INDEX(properties!A$1:CB$87,'Fórmula'!F70,53),INDEX(properties!A$1:CB$87,'Fórmula'!H70,53),INDEX(properties!A$1:CB$87,'Fórmula'!J70,53))</f>
        <v>544.15</v>
      </c>
      <c r="FF70" s="115">
        <f t="array" ref="FF70">MIN(IF(INDEX(properties!A$1:CB$87,'Fórmula'!B70,53)=0,10^6,INDEX(properties!A$1:CB$87,'Fórmula'!B70,53)),IF(INDEX(properties!A$1:CB$87,'Fórmula'!D70,53)=0,10^6,INDEX(properties!A$1:CB$87,'Fórmula'!D70,53)),IF(INDEX(properties!A$1:CB$87,'Fórmula'!F70,53)=0,10^6,INDEX(properties!A$1:CB$87,'Fórmula'!F70,53)),IF(INDEX(properties!A$1:CB$87,'Fórmula'!H70,53)=0,10^6,INDEX(properties!A$1:CB$87,'Fórmula'!H70,53)),IF(INDEX(properties!A$1:CB$87,'Fórmula'!J70,53)=0,10^6,INDEX(properties!A$1:CB$87,'Fórmula'!J70,53)))</f>
        <v>54.75</v>
      </c>
      <c r="FG70" s="115">
        <f t="shared" si="27"/>
        <v>489.4</v>
      </c>
      <c r="FH70" s="117">
        <f t="array" ref="FH70">(('Fórmula'!C70)/('Fórmula'!C70+'Fórmula'!E70+'Fórmula'!G70+'Fórmula'!I70+'Fórmula'!K70))*(INDEX(properties!A$1:CB$87,'Fórmula'!B70,54))+(('Fórmula'!E70)/('Fórmula'!C70+'Fórmula'!E70+'Fórmula'!G70+'Fórmula'!I70+'Fórmula'!K70))*(INDEX(properties!A$1:CB$87,'Fórmula'!D70,54))+(('Fórmula'!G70)/('Fórmula'!C70+'Fórmula'!E70+'Fórmula'!G70+'Fórmula'!I70+'Fórmula'!K70))*(INDEX(properties!A$1:CB$87,'Fórmula'!F70,54))+(('Fórmula'!I70)/('Fórmula'!C70+'Fórmula'!E70+'Fórmula'!G70+'Fórmula'!I70+'Fórmula'!K70))*(INDEX(properties!A$1:CB$87,'Fórmula'!H70,54))+(('Fórmula'!K70)/('Fórmula'!C70+'Fórmula'!E70+'Fórmula'!G70+'Fórmula'!I70+'Fórmula'!K70))*(INDEX(properties!A$1:CB$87,'Fórmula'!J70,54))</f>
        <v>787.35</v>
      </c>
      <c r="FI70" s="117">
        <f t="array" ref="FI70">'Fórmula'!C70*(INDEX(properties!A$1:CB$87,'Fórmula'!B70,54))+'Fórmula'!E70*(INDEX(properties!A$1:CB$87,'Fórmula'!D70,54))+'Fórmula'!G70*(INDEX(properties!A$1:CB$87,'Fórmula'!F70,54))+'Fórmula'!I70*(INDEX(properties!A$1:CB$87,'Fórmula'!H70,54))+'Fórmula'!K70*(INDEX(properties!A$1:CB$87,'Fórmula'!J70,54))</f>
        <v>3936.75</v>
      </c>
      <c r="FJ70" s="117">
        <f t="array" ref="FJ70">VARP(IF(INDEX(properties!A$1:CB$87,'Fórmula'!B70,54)&lt;&gt;"",INDEX(properties!A$1:CB$87,'Fórmula'!B70,54)),IF(INDEX(properties!A$1:CB$87,'Fórmula'!D70,54)&lt;&gt;"",INDEX(properties!A$1:CB$87,'Fórmula'!D70,54)),IF(INDEX(properties!A$1:CB$87,'Fórmula'!F70,54)&lt;&gt;"",INDEX(properties!A$1:CB$87,'Fórmula'!F70,54)),IF(INDEX(properties!A$1:CB$87,'Fórmula'!H70,54)&lt;&gt;"",INDEX(properties!A$1:CB$87,'Fórmula'!H70,54)),IF(INDEX(properties!A$1:CB$87,'Fórmula'!J70,54)&lt;&gt;"",INDEX(properties!A$1:CB$87,'Fórmula'!J70,54)))</f>
        <v>525749.8734</v>
      </c>
      <c r="FK70" s="117">
        <f t="array" ref="FK70">MAX(INDEX(properties!A$1:CB$87,'Fórmula'!B70,54),INDEX(properties!A$1:CB$87,'Fórmula'!D70,54),INDEX(properties!A$1:CB$87,'Fórmula'!F70,54),INDEX(properties!A$1:CB$87,'Fórmula'!H70,54),INDEX(properties!A$1:CB$87,'Fórmula'!J70,54))</f>
        <v>1833.15</v>
      </c>
      <c r="FL70" s="117">
        <f t="array" ref="FL70">MIN(IF(INDEX(properties!A$1:CB$87,'Fórmula'!B70,54)=0,10^6,INDEX(properties!A$1:CB$87,'Fórmula'!B70,54)),IF(INDEX(properties!A$1:CB$87,'Fórmula'!D70,54)=0,10^6,INDEX(properties!A$1:CB$87,'Fórmula'!D70,54)),IF(INDEX(properties!A$1:CB$87,'Fórmula'!F70,54)=0,10^6,INDEX(properties!A$1:CB$87,'Fórmula'!F70,54)),IF(INDEX(properties!A$1:CB$87,'Fórmula'!H70,54)=0,10^6,INDEX(properties!A$1:CB$87,'Fórmula'!H70,54)),IF(INDEX(properties!A$1:CB$87,'Fórmula'!J70,54)=0,10^6,INDEX(properties!A$1:CB$87,'Fórmula'!J70,54)))</f>
        <v>90.15</v>
      </c>
      <c r="FM70" s="117">
        <f t="shared" si="28"/>
        <v>1743</v>
      </c>
      <c r="FN70" s="118">
        <f t="array" ref="FN70">(('Fórmula'!C70)/('Fórmula'!C70+'Fórmula'!E70+'Fórmula'!G70+'Fórmula'!I70+'Fórmula'!K70))*(INDEX(properties!A$1:CB$87,'Fórmula'!B70,55))+(('Fórmula'!E70)/('Fórmula'!C70+'Fórmula'!E70+'Fórmula'!G70+'Fórmula'!I70+'Fórmula'!K70))*(INDEX(properties!A$1:CB$87,'Fórmula'!D70,55))+(('Fórmula'!G70)/('Fórmula'!C70+'Fórmula'!E70+'Fórmula'!G70+'Fórmula'!I70+'Fórmula'!K70))*(INDEX(properties!A$1:CB$87,'Fórmula'!F70,55))+(('Fórmula'!I70)/('Fórmula'!C70+'Fórmula'!E70+'Fórmula'!G70+'Fórmula'!I70+'Fórmula'!K70))*(INDEX(properties!A$1:CB$87,'Fórmula'!H70,55))+(('Fórmula'!K70)/('Fórmula'!C70+'Fórmula'!E70+'Fórmula'!G70+'Fórmula'!I70+'Fórmula'!K70))*(INDEX(properties!A$1:CB$87,'Fórmula'!J70,55))</f>
        <v>3.900858</v>
      </c>
      <c r="FO70" s="118">
        <f t="array" ref="FO70">'Fórmula'!C70*(INDEX(properties!A$1:CB$87,'Fórmula'!B70,55))+'Fórmula'!E70*(INDEX(properties!A$1:CB$87,'Fórmula'!D70,54))+'Fórmula'!G70*(INDEX(properties!A$1:CB$87,'Fórmula'!F70,55))+'Fórmula'!I70*(INDEX(properties!A$1:CB$87,'Fórmula'!H70,55))+'Fórmula'!K70*(INDEX(properties!A$1:CB$87,'Fórmula'!J70,55))</f>
        <v>289.95</v>
      </c>
      <c r="FP70" s="118">
        <f t="array" ref="FP70">VARP(IF(INDEX(properties!A$1:CB$87,'Fórmula'!B70,55)&lt;&gt;"",INDEX(properties!A$1:CB$87,'Fórmula'!B70,55)),IF(INDEX(properties!A$1:CB$87,'Fórmula'!D70,55)&lt;&gt;"",INDEX(properties!A$1:CB$87,'Fórmula'!D70,55)),IF(INDEX(properties!A$1:CB$87,'Fórmula'!F70,55)&lt;&gt;"",INDEX(properties!A$1:CB$87,'Fórmula'!F70,55)),IF(INDEX(properties!A$1:CB$87,'Fórmula'!H70,55)&lt;&gt;"",INDEX(properties!A$1:CB$87,'Fórmula'!H70,55)),IF(INDEX(properties!A$1:CB$87,'Fórmula'!J70,55)&lt;&gt;"",INDEX(properties!A$1:CB$87,'Fórmula'!J70,55)))</f>
        <v>15.20888493</v>
      </c>
      <c r="FQ70" s="118">
        <f t="array" ref="FQ70">MAX(INDEX(properties!A$1:CB$87,'Fórmula'!B70,55),INDEX(properties!A$1:CB$87,'Fórmula'!D70,55),INDEX(properties!A$1:CB$87,'Fórmula'!F70,55),INDEX(properties!A$1:CB$87,'Fórmula'!H70,55),INDEX(properties!A$1:CB$87,'Fórmula'!J70,55))</f>
        <v>9.75</v>
      </c>
      <c r="FR70" s="118">
        <f t="array" ref="FR70">MIN(IF(INDEX(properties!A$1:CB$87,'Fórmula'!B70,55)=0,10^6,INDEX(properties!A$1:CB$87,'Fórmula'!B70,55)),IF(INDEX(properties!A$1:CB$87,'Fórmula'!D70,55)=0,10^6,INDEX(properties!A$1:CB$87,'Fórmula'!D70,55)),IF(INDEX(properties!A$1:CB$87,'Fórmula'!F70,55)=0,10^6,INDEX(properties!A$1:CB$87,'Fórmula'!F70,55)),IF(INDEX(properties!A$1:CB$87,'Fórmula'!H70,55)=0,10^6,INDEX(properties!A$1:CB$87,'Fórmula'!H70,55)),IF(INDEX(properties!A$1:CB$87,'Fórmula'!J70,55)=0,10^6,INDEX(properties!A$1:CB$87,'Fórmula'!J70,55)))</f>
        <v>0.00143</v>
      </c>
      <c r="FS70" s="118">
        <f t="shared" si="29"/>
        <v>9.74857</v>
      </c>
      <c r="FT70" s="119">
        <f t="array" ref="FT70">(('Fórmula'!C70)/('Fórmula'!C70+'Fórmula'!E70+'Fórmula'!G70+'Fórmula'!I70+'Fórmula'!K70))*(INDEX(properties!A$1:CB$87,'Fórmula'!B70,56))+(('Fórmula'!E70)/('Fórmula'!C70+'Fórmula'!E70+'Fórmula'!G70+'Fórmula'!I70+'Fórmula'!K70))*(INDEX(properties!A$1:CB$87,'Fórmula'!D70,56))+(('Fórmula'!G70)/('Fórmula'!C70+'Fórmula'!E70+'Fórmula'!G70+'Fórmula'!I70+'Fórmula'!K70))*(INDEX(properties!A$1:CB$87,'Fórmula'!F70,56))+(('Fórmula'!I70)/('Fórmula'!C70+'Fórmula'!E70+'Fórmula'!G70+'Fórmula'!I70+'Fórmula'!K70))*(INDEX(properties!A$1:CB$87,'Fórmula'!H70,56))+(('Fórmula'!K70)/('Fórmula'!C70+'Fórmula'!E70+'Fórmula'!G70+'Fórmula'!I70+'Fórmula'!K70))*(INDEX(properties!A$1:CB$87,'Fórmula'!J70,56))</f>
        <v>0.6</v>
      </c>
      <c r="FU70" s="119">
        <f t="array" ref="FU70">'Fórmula'!C70*(INDEX(properties!A$1:CB$87,'Fórmula'!B70,56))+'Fórmula'!E70*(INDEX(properties!A$1:CB$87,'Fórmula'!D70,56))+'Fórmula'!G70*(INDEX(properties!A$1:CB$87,'Fórmula'!F70,56))+'Fórmula'!I70*(INDEX(properties!A$1:CB$87,'Fórmula'!H70,56))+'Fórmula'!K70*(INDEX(properties!A$1:CB$87,'Fórmula'!J70,56))</f>
        <v>3</v>
      </c>
      <c r="FV70" s="119">
        <f t="array" ref="FV70">VARP(IF(INDEX(properties!A$1:CB$87,'Fórmula'!B70,56)&lt;&gt;"",INDEX(properties!A$1:CB$87,'Fórmula'!B70,56)),IF(INDEX(properties!A$1:CB$87,'Fórmula'!D70,56)&lt;&gt;"",INDEX(properties!A$1:CB$87,'Fórmula'!D70,56)),IF(INDEX(properties!A$1:CB$87,'Fórmula'!F70,56)&lt;&gt;"",INDEX(properties!A$1:CB$87,'Fórmula'!F70,56)),IF(INDEX(properties!A$1:CB$87,'Fórmula'!H70,56)&lt;&gt;"",INDEX(properties!A$1:CB$87,'Fórmula'!H70,56)),IF(INDEX(properties!A$1:CB$87,'Fórmula'!J70,56)&lt;&gt;"",INDEX(properties!A$1:CB$87,'Fórmula'!J70,56)))</f>
        <v>0.128896</v>
      </c>
      <c r="FW70" s="119">
        <f t="array" ref="FW70">MAX(INDEX(properties!A$1:CB$87,'Fórmula'!B70,56),INDEX(properties!A$1:CB$87,'Fórmula'!D70,56),INDEX(properties!A$1:CB$87,'Fórmula'!F70,56),INDEX(properties!A$1:CB$87,'Fórmula'!H70,56),INDEX(properties!A$1:CB$87,'Fórmula'!J70,56))</f>
        <v>0.92</v>
      </c>
      <c r="FX70" s="119">
        <f t="array" ref="FX70">MIN(IF(INDEX(properties!A$1:CB$87,'Fórmula'!B70,56)=0,10^6,INDEX(properties!A$1:CB$87,'Fórmula'!B70,56)),IF(INDEX(properties!A$1:CB$87,'Fórmula'!D70,56)=0,10^6,INDEX(properties!A$1:CB$87,'Fórmula'!D70,56)),IF(INDEX(properties!A$1:CB$87,'Fórmula'!F70,56)=0,10^6,INDEX(properties!A$1:CB$87,'Fórmula'!F70,56)),IF(INDEX(properties!A$1:CB$87,'Fórmula'!H70,56)=0,10^6,INDEX(properties!A$1:CB$87,'Fórmula'!H70,56)),IF(INDEX(properties!A$1:CB$87,'Fórmula'!J70,56)=0,10^6,INDEX(properties!A$1:CB$87,'Fórmula'!J70,56)))</f>
        <v>0.12</v>
      </c>
      <c r="FY70" s="119">
        <f t="shared" si="30"/>
        <v>0.8</v>
      </c>
      <c r="FZ70" s="104">
        <f t="array" ref="FZ70">(('Fórmula'!C70)/('Fórmula'!C70+'Fórmula'!E70+'Fórmula'!G70+'Fórmula'!I70+'Fórmula'!K70))*(INDEX(properties!A$1:CB$87,'Fórmula'!B70,57))+(('Fórmula'!E70)/('Fórmula'!C70+'Fórmula'!E70+'Fórmula'!G70+'Fórmula'!I70+'Fórmula'!K70))*(INDEX(properties!A$1:CB$87,'Fórmula'!D70,57))+(('Fórmula'!G70)/('Fórmula'!C70+'Fórmula'!E70+'Fórmula'!G70+'Fórmula'!I70+'Fórmula'!K70))*(INDEX(properties!A$1:CB$87,'Fórmula'!F70,57))+(('Fórmula'!I70)/('Fórmula'!C70+'Fórmula'!E70+'Fórmula'!G70+'Fórmula'!I70+'Fórmula'!K70))*(INDEX(properties!A$1:CB$87,'Fórmula'!H70,57))+(('Fórmula'!K70)/('Fórmula'!C70+'Fórmula'!E70+'Fórmula'!G70+'Fórmula'!I70+'Fórmula'!K70))*(INDEX(properties!A$1:CB$87,'Fórmula'!J70,57))</f>
        <v>4.653554</v>
      </c>
      <c r="GA70" s="104">
        <f t="array" ref="GA70">'Fórmula'!C70*(INDEX(properties!A$1:CB$87,'Fórmula'!B70,57))+'Fórmula'!E70*(INDEX(properties!A$1:CB$87,'Fórmula'!D70,57))+'Fórmula'!G70*(INDEX(properties!A$1:CB$87,'Fórmula'!F70,57))+'Fórmula'!I70*(INDEX(properties!A$1:CB$87,'Fórmula'!H70,57))+'Fórmula'!K70*(INDEX(properties!A$1:CB$87,'Fórmula'!J70,57))</f>
        <v>23.26777</v>
      </c>
      <c r="GB70" s="104">
        <f t="array" ref="GB70">VARP(IF(INDEX(properties!A$1:CB$87,'Fórmula'!B70,57)&lt;&gt;"",INDEX(properties!A$1:CB$87,'Fórmula'!B70,57)),IF(INDEX(properties!A$1:CB$87,'Fórmula'!D70,57)&lt;&gt;"",INDEX(properties!A$1:CB$87,'Fórmula'!D70,57)),IF(INDEX(properties!A$1:CB$87,'Fórmula'!F70,57)&lt;&gt;"",INDEX(properties!A$1:CB$87,'Fórmula'!F70,57)),IF(INDEX(properties!A$1:CB$87,'Fórmula'!H70,57)&lt;&gt;"",INDEX(properties!A$1:CB$87,'Fórmula'!H70,57)),IF(INDEX(properties!A$1:CB$87,'Fórmula'!J70,57)&lt;&gt;"",INDEX(properties!A$1:CB$87,'Fórmula'!J70,57)))</f>
        <v>20.23710605</v>
      </c>
      <c r="GC70" s="104">
        <f t="array" ref="GC70">MAX(INDEX(properties!A$1:CB$87,'Fórmula'!B70,57),INDEX(properties!A$1:CB$87,'Fórmula'!D70,57),INDEX(properties!A$1:CB$87,'Fórmula'!F70,57),INDEX(properties!A$1:CB$87,'Fórmula'!H70,57),INDEX(properties!A$1:CB$87,'Fórmula'!J70,57))</f>
        <v>11.3</v>
      </c>
      <c r="GD70" s="104">
        <f t="array" ref="GD70">MIN(IF(INDEX(properties!A$1:CB$87,'Fórmula'!B70,57)=0,10^6,INDEX(properties!A$1:CB$87,'Fórmula'!B70,57)),IF(INDEX(properties!A$1:CB$87,'Fórmula'!D70,57)=0,10^6,INDEX(properties!A$1:CB$87,'Fórmula'!D70,57)),IF(INDEX(properties!A$1:CB$87,'Fórmula'!F70,57)=0,10^6,INDEX(properties!A$1:CB$87,'Fórmula'!F70,57)),IF(INDEX(properties!A$1:CB$87,'Fórmula'!H70,57)=0,10^6,INDEX(properties!A$1:CB$87,'Fórmula'!H70,57)),IF(INDEX(properties!A$1:CB$87,'Fórmula'!J70,57)=0,10^6,INDEX(properties!A$1:CB$87,'Fórmula'!J70,57)))</f>
        <v>0.22259</v>
      </c>
      <c r="GE70" s="104">
        <f t="shared" si="31"/>
        <v>11.07741</v>
      </c>
      <c r="GF70" s="105">
        <f t="array" ref="GF70">(('Fórmula'!C70)/('Fórmula'!C70+'Fórmula'!E70+'Fórmula'!G70+'Fórmula'!I70+'Fórmula'!K70))*(INDEX(properties!A$1:CB$87,'Fórmula'!B70,60))+(('Fórmula'!E70)/('Fórmula'!C70+'Fórmula'!E70+'Fórmula'!G70+'Fórmula'!I70+'Fórmula'!K70))*(INDEX(properties!A$1:CB$87,'Fórmula'!D70,60))+(('Fórmula'!G70)/('Fórmula'!C70+'Fórmula'!E70+'Fórmula'!G70+'Fórmula'!I70+'Fórmula'!K70))*(INDEX(properties!A$1:CB$87,'Fórmula'!F70,60))+(('Fórmula'!I70)/('Fórmula'!C70+'Fórmula'!E70+'Fórmula'!G70+'Fórmula'!I70+'Fórmula'!K70))*(INDEX(properties!A$1:CB$87,'Fórmula'!H70,60))+(('Fórmula'!K70)/('Fórmula'!C70+'Fórmula'!E70+'Fórmula'!G70+'Fórmula'!I70+'Fórmula'!K70))*(INDEX(properties!A$1:CB$87,'Fórmula'!J70,60))</f>
        <v>3.164044</v>
      </c>
      <c r="GG70" s="105">
        <f t="array" ref="GG70">'Fórmula'!C70*(INDEX(properties!A$1:CB$87,'Fórmula'!B70,60))+'Fórmula'!E70*(INDEX(properties!A$1:CB$87,'Fórmula'!D70,60))+'Fórmula'!G70*(INDEX(properties!A$1:CB$87,'Fórmula'!F70,60))+'Fórmula'!I70*(INDEX(properties!A$1:CB$87,'Fórmula'!H70,60))+'Fórmula'!K70*(INDEX(properties!A$1:CB$87,'Fórmula'!J70,60))</f>
        <v>15.82022</v>
      </c>
      <c r="GH70" s="105">
        <f t="array" ref="GH70">VARP(IF(INDEX(properties!A$1:CB$87,'Fórmula'!B70,60)&lt;&gt;"",INDEX(properties!A$1:CB$87,'Fórmula'!B70,60)),IF(INDEX(properties!A$1:CB$87,'Fórmula'!D70,60)&lt;&gt;"",INDEX(properties!A$1:CB$87,'Fórmula'!D70,60)),IF(INDEX(properties!A$1:CB$87,'Fórmula'!F70,60)&lt;&gt;"",INDEX(properties!A$1:CB$87,'Fórmula'!F70,60)),IF(INDEX(properties!A$1:CB$87,'Fórmula'!H70,60)&lt;&gt;"",INDEX(properties!A$1:CB$87,'Fórmula'!H70,60)),IF(INDEX(properties!A$1:CB$87,'Fórmula'!J70,60)&lt;&gt;"",INDEX(properties!A$1:CB$87,'Fórmula'!J70,60)))</f>
        <v>9.8931829</v>
      </c>
      <c r="GI70" s="105">
        <f t="array" ref="GI70">MAX(INDEX(properties!A$1:CB$87,'Fórmula'!B70,60),INDEX(properties!A$1:CB$87,'Fórmula'!D70,60),INDEX(properties!A$1:CB$87,'Fórmula'!F70,60),INDEX(properties!A$1:CB$87,'Fórmula'!H70,60),INDEX(properties!A$1:CB$87,'Fórmula'!J70,60))</f>
        <v>7.87</v>
      </c>
      <c r="GJ70" s="105">
        <f t="array" ref="GJ70">MIN(IF(INDEX(properties!A$1:CB$87,'Fórmula'!B70,60)=0,10^6,INDEX(properties!A$1:CB$87,'Fórmula'!B70,60)),IF(INDEX(properties!A$1:CB$87,'Fórmula'!D70,60)=0,10^6,INDEX(properties!A$1:CB$87,'Fórmula'!D70,60)),IF(INDEX(properties!A$1:CB$87,'Fórmula'!F70,60)=0,10^6,INDEX(properties!A$1:CB$87,'Fórmula'!F70,60)),IF(INDEX(properties!A$1:CB$87,'Fórmula'!H70,60)=0,10^6,INDEX(properties!A$1:CB$87,'Fórmula'!H70,60)),IF(INDEX(properties!A$1:CB$87,'Fórmula'!J70,60)=0,10^6,INDEX(properties!A$1:CB$87,'Fórmula'!J70,60)))</f>
        <v>0.02674</v>
      </c>
      <c r="GK70" s="105">
        <f t="shared" si="32"/>
        <v>7.84326</v>
      </c>
      <c r="GL70" s="106">
        <f t="array" ref="GL70">(('Fórmula'!C70)/('Fórmula'!C70+'Fórmula'!E70+'Fórmula'!G70+'Fórmula'!I70+'Fórmula'!K70))*(INDEX(properties!A$1:CB$87,'Fórmula'!B70,62))+(('Fórmula'!E70)/('Fórmula'!C70+'Fórmula'!E70+'Fórmula'!G70+'Fórmula'!I70+'Fórmula'!K70))*(INDEX(properties!A$1:CB$87,'Fórmula'!D70,62))+(('Fórmula'!G70)/('Fórmula'!C70+'Fórmula'!E70+'Fórmula'!G70+'Fórmula'!I70+'Fórmula'!K70))*(INDEX(properties!A$1:CB$87,'Fórmula'!F70,62))+(('Fórmula'!I70)/('Fórmula'!C70+'Fórmula'!E70+'Fórmula'!G70+'Fórmula'!I70+'Fórmula'!K70))*(INDEX(properties!A$1:CB$87,'Fórmula'!H70,62))+(('Fórmula'!K70)/('Fórmula'!C70+'Fórmula'!E70+'Fórmula'!G70+'Fórmula'!I70+'Fórmula'!K70))*(INDEX(properties!A$1:CB$87,'Fórmula'!J70,62))</f>
        <v>2.444</v>
      </c>
      <c r="GM70" s="106">
        <f t="array" ref="GM70">'Fórmula'!C70*(INDEX(properties!A$1:CB$87,'Fórmula'!B70,62))+'Fórmula'!E70*(INDEX(properties!A$1:CB$87,'Fórmula'!D70,62))+'Fórmula'!G70*(INDEX(properties!A$1:CB$87,'Fórmula'!F70,62))+'Fórmula'!I70*(INDEX(properties!A$1:CB$87,'Fórmula'!H70,62))+'Fórmula'!K70*(INDEX(properties!A$1:CB$87,'Fórmula'!J70,62))</f>
        <v>12.22</v>
      </c>
      <c r="GN70" s="106">
        <f t="array" ref="GN70">VARP(IF(INDEX(properties!A$1:CB$87,'Fórmula'!B70,62)&lt;&gt;"",INDEX(properties!A$1:CB$87,'Fórmula'!B70,62)),IF(INDEX(properties!A$1:CB$87,'Fórmula'!D70,62)&lt;&gt;"",INDEX(properties!A$1:CB$87,'Fórmula'!D70,62)),IF(INDEX(properties!A$1:CB$87,'Fórmula'!F70,62)&lt;&gt;"",INDEX(properties!A$1:CB$87,'Fórmula'!F70,62)),IF(INDEX(properties!A$1:CB$87,'Fórmula'!H70,62)&lt;&gt;"",INDEX(properties!A$1:CB$87,'Fórmula'!H70,62)),IF(INDEX(properties!A$1:CB$87,'Fórmula'!J70,62)&lt;&gt;"",INDEX(properties!A$1:CB$87,'Fórmula'!J70,62)))</f>
        <v>1.40176</v>
      </c>
      <c r="GO70" s="106">
        <f t="array" ref="GO70">MAX(INDEX(properties!A$1:CB$87,'Fórmula'!B70,62),INDEX(properties!A$1:CB$87,'Fórmula'!D70,62),INDEX(properties!A$1:CB$87,'Fórmula'!F70,62),INDEX(properties!A$1:CB$87,'Fórmula'!H70,62),INDEX(properties!A$1:CB$87,'Fórmula'!J70,62))</f>
        <v>2.62</v>
      </c>
      <c r="GP70" s="106">
        <f t="array" ref="GP70">MIN(IF(INDEX(properties!A$1:CB$87,'Fórmula'!B70,62)=0,10^6,INDEX(properties!A$1:CB$87,'Fórmula'!B70,62)),IF(INDEX(properties!A$1:CB$87,'Fórmula'!D70,62)=0,10^6,INDEX(properties!A$1:CB$87,'Fórmula'!D70,62)),IF(INDEX(properties!A$1:CB$87,'Fórmula'!F70,62)=0,10^6,INDEX(properties!A$1:CB$87,'Fórmula'!F70,62)),IF(INDEX(properties!A$1:CB$87,'Fórmula'!H70,62)=0,10^6,INDEX(properties!A$1:CB$87,'Fórmula'!H70,62)),IF(INDEX(properties!A$1:CB$87,'Fórmula'!J70,62)=0,10^6,INDEX(properties!A$1:CB$87,'Fórmula'!J70,62)))</f>
        <v>2.18</v>
      </c>
      <c r="GQ70" s="106">
        <f t="shared" si="33"/>
        <v>0.44</v>
      </c>
      <c r="GR70" s="106">
        <f>'Fórmula'!Q70</f>
        <v>197</v>
      </c>
      <c r="GS70" s="107">
        <f>'Fórmula'!P70</f>
        <v>1</v>
      </c>
      <c r="GT70" s="113">
        <f>'Fórmula'!O70</f>
        <v>9.41</v>
      </c>
      <c r="GU70" s="114">
        <f>AVERAGE('Fórmula'!R70/'Fórmula'!S70,'Fórmula'!S70/'Fórmula'!T70,'Fórmula'!T70/'Fórmula'!R70)</f>
        <v>1</v>
      </c>
      <c r="GV70" s="125">
        <f>'Fórmula'!U70</f>
        <v>1069.34</v>
      </c>
      <c r="GW70" s="106">
        <f>'Fórmula'!N70</f>
        <v>0.05</v>
      </c>
    </row>
    <row r="71" ht="14.25" customHeight="1">
      <c r="A71" s="99" t="str">
        <f>'Fórmula'!A71</f>
        <v>LiBaBO3</v>
      </c>
      <c r="B71" s="100">
        <f t="array" ref="B71">(('Fórmula'!C71)/('Fórmula'!C71+'Fórmula'!E71+'Fórmula'!G71+'Fórmula'!I71+'Fórmula'!K71))*(INDEX(properties!A$1:CB$87,'Fórmula'!B71,3))+(('Fórmula'!E71)/('Fórmula'!C71+'Fórmula'!E71+'Fórmula'!G71+'Fórmula'!I71+'Fórmula'!K71))*(INDEX(properties!A$1:CB$87,'Fórmula'!D71,3))+(('Fórmula'!G71)/('Fórmula'!C71+'Fórmula'!E71+'Fórmula'!G71+'Fórmula'!I71+'Fórmula'!K71))*(INDEX(properties!A$1:CB$87,'Fórmula'!F71,3))+(('Fórmula'!I71)/('Fórmula'!C71+'Fórmula'!E71+'Fórmula'!G71+'Fórmula'!I71+'Fórmula'!K71))*(INDEX(properties!A$1:CB$87,'Fórmula'!H71,3))+(('Fórmula'!K71)/('Fórmula'!C71+'Fórmula'!E71+'Fórmula'!G71+'Fórmula'!I71+'Fórmula'!K71))*(INDEX(properties!A$1:CB$87,'Fórmula'!J71,3))</f>
        <v>33.8462</v>
      </c>
      <c r="C71" s="101">
        <f t="array" ref="C71">'Fórmula'!C71*(INDEX(properties!A$1:CB$87,'Fórmula'!B71,3))+'Fórmula'!E71*(INDEX(properties!A$1:CB$87,'Fórmula'!D71,3))+'Fórmula'!G71*(INDEX(properties!A$1:CB$87,'Fórmula'!F71,3))+'Fórmula'!I71*(INDEX(properties!A$1:CB$87,'Fórmula'!H71,3))+'Fórmula'!K71*(INDEX(properties!A$1:CB$87,'Fórmula'!J71,3))</f>
        <v>203.0772</v>
      </c>
      <c r="D71" s="101">
        <f t="array" ref="D71">VARP(IF(INDEX(properties!A$1:CB$87,'Fórmula'!B71,3)&lt;&gt;"",INDEX(properties!A$1:CB$87,'Fórmula'!B71,3)),IF(INDEX(properties!A$1:CB$87,'Fórmula'!D71,3)&lt;&gt;"",INDEX(properties!A$1:CB$87,'Fórmula'!D71,3)),IF(INDEX(properties!A$1:CB$87,'Fórmula'!F71,3)&lt;&gt;"",INDEX(properties!A$1:CB$87,'Fórmula'!F71,3)),IF(INDEX(properties!A$1:CB$87,'Fórmula'!H71,3)&lt;&gt;"",INDEX(properties!A$1:CB$87,'Fórmula'!H71,3)),IF(INDEX(properties!A$1:CB$87,'Fórmula'!J71,3)&lt;&gt;"",INDEX(properties!A$1:CB$87,'Fórmula'!J71,3)))</f>
        <v>2685.235428</v>
      </c>
      <c r="E71" s="101">
        <f t="array" ref="E71">MAX(INDEX(properties!A$1:CB$87,'Fórmula'!B71,3),INDEX(properties!A$1:CB$87,'Fórmula'!D71,3),INDEX(properties!A$1:CB$87,'Fórmula'!F71,3),INDEX(properties!A$1:CB$87,'Fórmula'!H71,3),INDEX(properties!A$1:CB$87,'Fórmula'!J71,3))</f>
        <v>137.327</v>
      </c>
      <c r="F71" s="101">
        <f t="array" ref="F71">MIN(IF(INDEX(properties!A$1:CB$87,'Fórmula'!B71,3)=0,10^6,INDEX(properties!A$1:CB$87,'Fórmula'!B71,3)),IF(INDEX(properties!A$1:CB$87,'Fórmula'!D71,3)=0,10^6,INDEX(properties!A$1:CB$87,'Fórmula'!D71,3)),IF(INDEX(properties!A$1:CB$87,'Fórmula'!F71,3)=0,10^6,INDEX(properties!A$1:CB$87,'Fórmula'!F71,3)),IF(INDEX(properties!A$1:CB$87,'Fórmula'!H71,3)=0,10^6,INDEX(properties!A$1:CB$87,'Fórmula'!H71,3)),IF(INDEX(properties!A$1:CB$87,'Fórmula'!J71,3)=0,10^6,INDEX(properties!A$1:CB$87,'Fórmula'!J71,3)))</f>
        <v>6.941</v>
      </c>
      <c r="G71" s="101">
        <f t="shared" si="1"/>
        <v>130.386</v>
      </c>
      <c r="H71" s="102">
        <f t="array" ref="H71">(('Fórmula'!C71)/('Fórmula'!C71+'Fórmula'!E71+'Fórmula'!G71+'Fórmula'!I71+'Fórmula'!K71))*(INDEX(properties!A$1:CB$87,'Fórmula'!B71,4))+(('Fórmula'!E71)/('Fórmula'!C71+'Fórmula'!E71+'Fórmula'!G71+'Fórmula'!I71+'Fórmula'!K71))*(INDEX(properties!A$1:CB$87,'Fórmula'!D71,4))+(('Fórmula'!G71)/('Fórmula'!C71+'Fórmula'!E71+'Fórmula'!G71+'Fórmula'!I71+'Fórmula'!K71))*(INDEX(properties!A$1:CB$87,'Fórmula'!F71,4))+(('Fórmula'!I71)/('Fórmula'!C71+'Fórmula'!E71+'Fórmula'!G71+'Fórmula'!I71+'Fórmula'!K71))*(INDEX(properties!A$1:CB$87,'Fórmula'!H71,4))+(('Fórmula'!K71)/('Fórmula'!C71+'Fórmula'!E71+'Fórmula'!G71+'Fórmula'!I71+'Fórmula'!K71))*(INDEX(properties!A$1:CB$87,'Fórmula'!J71,4))</f>
        <v>14.66666667</v>
      </c>
      <c r="I71" s="102">
        <f t="array" ref="I71">'Fórmula'!C71*(INDEX(properties!A$1:CB$87,'Fórmula'!B71,4))+'Fórmula'!E71*(INDEX(properties!A$1:CB$87,'Fórmula'!D71,4))+'Fórmula'!G71*(INDEX(properties!A$1:CB$87,'Fórmula'!F71,4))+'Fórmula'!I71*(INDEX(properties!A$1:CB$87,'Fórmula'!H71,4))+'Fórmula'!K71*(INDEX(properties!A$1:CB$87,'Fórmula'!J71,4))</f>
        <v>88</v>
      </c>
      <c r="J71" s="102">
        <f t="array" ref="J71">VARP(IF(INDEX(properties!A$1:CB$87,'Fórmula'!B71,4)&lt;&gt;"",INDEX(properties!A$1:CB$87,'Fórmula'!B71,4)),IF(INDEX(properties!A$1:CB$87,'Fórmula'!D71,4)&lt;&gt;"",INDEX(properties!A$1:CB$87,'Fórmula'!D71,4)),IF(INDEX(properties!A$1:CB$87,'Fórmula'!F71,4)&lt;&gt;"",INDEX(properties!A$1:CB$87,'Fórmula'!F71,4)),IF(INDEX(properties!A$1:CB$87,'Fórmula'!H71,4)&lt;&gt;"",INDEX(properties!A$1:CB$87,'Fórmula'!H71,4)),IF(INDEX(properties!A$1:CB$87,'Fórmula'!J71,4)&lt;&gt;"",INDEX(properties!A$1:CB$87,'Fórmula'!J71,4)))</f>
        <v>439.44</v>
      </c>
      <c r="K71" s="102">
        <f t="array" ref="K71">MAX(INDEX(properties!A$1:CB$87,'Fórmula'!B71,4),INDEX(properties!A$1:CB$87,'Fórmula'!D71,4),INDEX(properties!A$1:CB$87,'Fórmula'!F71,4),INDEX(properties!A$1:CB$87,'Fórmula'!H71,4),INDEX(properties!A$1:CB$87,'Fórmula'!J71,4))</f>
        <v>56</v>
      </c>
      <c r="L71" s="102">
        <f t="array" ref="L71">MIN(IF(INDEX(properties!A$1:CB$87,'Fórmula'!B71,4)=0,10^6,INDEX(properties!A$1:CB$87,'Fórmula'!B71,4)),IF(INDEX(properties!A$1:CB$87,'Fórmula'!D71,4)=0,10^6,INDEX(properties!A$1:CB$87,'Fórmula'!D71,4)),IF(INDEX(properties!A$1:CB$87,'Fórmula'!F71,4)=0,10^6,INDEX(properties!A$1:CB$87,'Fórmula'!F71,4)),IF(INDEX(properties!A$1:CB$87,'Fórmula'!H71,4)=0,10^6,INDEX(properties!A$1:CB$87,'Fórmula'!H71,4)),IF(INDEX(properties!A$1:CB$87,'Fórmula'!J71,4)=0,10^6,INDEX(properties!A$1:CB$87,'Fórmula'!J71,4)))</f>
        <v>3</v>
      </c>
      <c r="M71" s="102">
        <f t="shared" si="2"/>
        <v>53</v>
      </c>
      <c r="N71" s="103">
        <f t="array" ref="N71">(('Fórmula'!C71)/('Fórmula'!C71+'Fórmula'!E71+'Fórmula'!G71+'Fórmula'!I71+'Fórmula'!K71))*(INDEX(properties!A$1:CB$87,'Fórmula'!B71,5))+(('Fórmula'!E71)/('Fórmula'!C71+'Fórmula'!E71+'Fórmula'!G71+'Fórmula'!I71+'Fórmula'!K71))*(INDEX(properties!A$1:CB$87,'Fórmula'!D71,5))+(('Fórmula'!G71)/('Fórmula'!C71+'Fórmula'!E71+'Fórmula'!G71+'Fórmula'!I71+'Fórmula'!K71))*(INDEX(properties!A$1:CB$87,'Fórmula'!F71,5))+(('Fórmula'!I71)/('Fórmula'!C71+'Fórmula'!E71+'Fórmula'!G71+'Fórmula'!I71+'Fórmula'!K71))*(INDEX(properties!A$1:CB$87,'Fórmula'!H71,5))+(('Fórmula'!K71)/('Fórmula'!C71+'Fórmula'!E71+'Fórmula'!G71+'Fórmula'!I71+'Fórmula'!K71))*(INDEX(properties!A$1:CB$87,'Fórmula'!J71,5))</f>
        <v>2.666666667</v>
      </c>
      <c r="O71" s="103">
        <f t="array" ref="O71">'Fórmula'!C71*(INDEX(properties!A$1:CB$87,'Fórmula'!B71,5))+'Fórmula'!E71*(INDEX(properties!A$1:CB$87,'Fórmula'!D71,5))+'Fórmula'!G71*(INDEX(properties!A$1:CB$87,'Fórmula'!F71,5))+'Fórmula'!I71*(INDEX(properties!A$1:CB$87,'Fórmula'!H71,5))+'Fórmula'!K71*(INDEX(properties!A$1:CB$87,'Fórmula'!J71,5))</f>
        <v>16</v>
      </c>
      <c r="P71" s="103">
        <f t="array" ref="P71">VARP(IF(INDEX(properties!A$1:CB$87,'Fórmula'!B71,5)&lt;&gt;"",INDEX(properties!A$1:CB$87,'Fórmula'!B71,5)),IF(INDEX(properties!A$1:CB$87,'Fórmula'!D71,5)&lt;&gt;"",INDEX(properties!A$1:CB$87,'Fórmula'!D71,5)),IF(INDEX(properties!A$1:CB$87,'Fórmula'!F71,5)&lt;&gt;"",INDEX(properties!A$1:CB$87,'Fórmula'!F71,5)),IF(INDEX(properties!A$1:CB$87,'Fórmula'!H71,5)&lt;&gt;"",INDEX(properties!A$1:CB$87,'Fórmula'!H71,5)),IF(INDEX(properties!A$1:CB$87,'Fórmula'!J71,5)&lt;&gt;"",INDEX(properties!A$1:CB$87,'Fórmula'!J71,5)))</f>
        <v>3.84</v>
      </c>
      <c r="Q71" s="103">
        <f t="array" ref="Q71">MAX(INDEX(properties!A$1:CB$87,'Fórmula'!B71,5),INDEX(properties!A$1:CB$87,'Fórmula'!D71,5),INDEX(properties!A$1:CB$87,'Fórmula'!F71,5),INDEX(properties!A$1:CB$87,'Fórmula'!H71,5),INDEX(properties!A$1:CB$87,'Fórmula'!J71,5))</f>
        <v>6</v>
      </c>
      <c r="R71" s="103">
        <f t="array" ref="R71">MIN(IF(INDEX(properties!A$1:CB$87,'Fórmula'!B71,5)=0,10^6,INDEX(properties!A$1:CB$87,'Fórmula'!B71,5)),IF(INDEX(properties!A$1:CB$87,'Fórmula'!D71,5)=0,10^6,INDEX(properties!A$1:CB$87,'Fórmula'!D71,5)),IF(INDEX(properties!A$1:CB$87,'Fórmula'!F71,5)=0,10^6,INDEX(properties!A$1:CB$87,'Fórmula'!F71,5)),IF(INDEX(properties!A$1:CB$87,'Fórmula'!H71,5)=0,10^6,INDEX(properties!A$1:CB$87,'Fórmula'!H71,5)),IF(INDEX(properties!A$1:CB$87,'Fórmula'!J71,5)=0,10^6,INDEX(properties!A$1:CB$87,'Fórmula'!J71,5)))</f>
        <v>2</v>
      </c>
      <c r="S71" s="103">
        <f t="shared" si="3"/>
        <v>4</v>
      </c>
      <c r="T71" s="104">
        <f t="array" ref="T71">(('Fórmula'!C71)/('Fórmula'!C71+'Fórmula'!E71+'Fórmula'!G71+'Fórmula'!I71+'Fórmula'!K71))*(INDEX(properties!A$1:CB$87,'Fórmula'!B71,6))+(('Fórmula'!E71)/('Fórmula'!C71+'Fórmula'!E71+'Fórmula'!G71+'Fórmula'!I71+'Fórmula'!K71))*(INDEX(properties!A$1:CB$87,'Fórmula'!D71,6))+(('Fórmula'!G71)/('Fórmula'!C71+'Fórmula'!E71+'Fórmula'!G71+'Fórmula'!I71+'Fórmula'!K71))*(INDEX(properties!A$1:CB$87,'Fórmula'!F71,6))+(('Fórmula'!I71)/('Fórmula'!C71+'Fórmula'!E71+'Fórmula'!G71+'Fórmula'!I71+'Fórmula'!K71))*(INDEX(properties!A$1:CB$87,'Fórmula'!H71,6))+(('Fórmula'!K71)/('Fórmula'!C71+'Fórmula'!E71+'Fórmula'!G71+'Fórmula'!I71+'Fórmula'!K71))*(INDEX(properties!A$1:CB$87,'Fórmula'!J71,6))</f>
        <v>10.66666667</v>
      </c>
      <c r="U71" s="104">
        <f t="array" ref="U71">'Fórmula'!C71*(INDEX(properties!A$1:CB$87,'Fórmula'!B71,6))+'Fórmula'!E71*(INDEX(properties!A$1:CB$87,'Fórmula'!D71,6))+'Fórmula'!G71*(INDEX(properties!A$1:CB$87,'Fórmula'!F71,6))+'Fórmula'!I71*(INDEX(properties!A$1:CB$87,'Fórmula'!H71,6))+'Fórmula'!K71*(INDEX(properties!A$1:CB$87,'Fórmula'!J71,6))</f>
        <v>64</v>
      </c>
      <c r="V71" s="103">
        <f t="array" ref="V71">VARP(IF(INDEX(properties!A$1:CB$87,'Fórmula'!B71,6)&lt;&gt;"",INDEX(properties!A$1:CB$87,'Fórmula'!B71,6)),IF(INDEX(properties!A$1:CB$87,'Fórmula'!D71,6)&lt;&gt;"",INDEX(properties!A$1:CB$87,'Fórmula'!D71,6)),IF(INDEX(properties!A$1:CB$87,'Fórmula'!F71,6)&lt;&gt;"",INDEX(properties!A$1:CB$87,'Fórmula'!F71,6)),IF(INDEX(properties!A$1:CB$87,'Fórmula'!H71,6)&lt;&gt;"",INDEX(properties!A$1:CB$87,'Fórmula'!H71,6)),IF(INDEX(properties!A$1:CB$87,'Fórmula'!J71,6)&lt;&gt;"",INDEX(properties!A$1:CB$87,'Fórmula'!J71,6)))</f>
        <v>45.04</v>
      </c>
      <c r="W71" s="104">
        <f t="array" ref="W71">MAX(INDEX(properties!A$1:CB$87,'Fórmula'!B71,6),INDEX(properties!A$1:CB$87,'Fórmula'!D71,6),INDEX(properties!A$1:CB$87,'Fórmula'!F71,6),INDEX(properties!A$1:CB$87,'Fórmula'!H71,4),INDEX(properties!A$1:CB$87,'Fórmula'!J71,6))</f>
        <v>13</v>
      </c>
      <c r="X71" s="104">
        <f t="array" ref="X71">MIN(IF(INDEX(properties!A$1:CB$87,'Fórmula'!B71,6)=0,10^6,INDEX(properties!A$1:CB$87,'Fórmula'!B71,6)),IF(INDEX(properties!A$1:CB$87,'Fórmula'!D71,6)=0,10^6,INDEX(properties!A$1:CB$87,'Fórmula'!D71,6)),IF(INDEX(properties!A$1:CB$87,'Fórmula'!F71,6)=0,10^6,INDEX(properties!A$1:CB$87,'Fórmula'!F71,6)),IF(INDEX(properties!A$1:CB$87,'Fórmula'!H71,6)=0,10^6,INDEX(properties!A$1:CB$87,'Fórmula'!H71,6)),IF(INDEX(properties!A$1:CB$87,'Fórmula'!J71,6)=0,10^6,INDEX(properties!A$1:CB$87,'Fórmula'!J71,6)))</f>
        <v>1</v>
      </c>
      <c r="Y71" s="104">
        <f t="shared" si="4"/>
        <v>12</v>
      </c>
      <c r="Z71" s="105">
        <f t="array" ref="Z71">(('Fórmula'!C71)/('Fórmula'!C71+'Fórmula'!E71+'Fórmula'!G71+'Fórmula'!I71+'Fórmula'!K71))*(INDEX(properties!A$1:CB$87,'Fórmula'!B71,9))+(('Fórmula'!E71)/('Fórmula'!C71+'Fórmula'!E71+'Fórmula'!G71+'Fórmula'!I71+'Fórmula'!K71))*(INDEX(properties!A$1:CB$87,'Fórmula'!D71,9))+(('Fórmula'!G71)/('Fórmula'!C71+'Fórmula'!E71+'Fórmula'!G71+'Fórmula'!I71+'Fórmula'!K71))*(INDEX(properties!A$1:CB$87,'Fórmula'!F71,9))+(('Fórmula'!I71)/('Fórmula'!C71+'Fórmula'!E71+'Fórmula'!G71+'Fórmula'!I71+'Fórmula'!K71))*(INDEX(properties!A$1:CB$87,'Fórmula'!H71,9))+(('Fórmula'!K71)/('Fórmula'!C71+'Fórmula'!E71+'Fórmula'!G71+'Fórmula'!I71+'Fórmula'!K71))*(INDEX(properties!A$1:CB$87,'Fórmula'!J71,9))</f>
        <v>57.16666667</v>
      </c>
      <c r="AA71" s="105">
        <f t="array" ref="AA71">'Fórmula'!C71*(INDEX(properties!A$1:CB$87,'Fórmula'!B71,9))+'Fórmula'!E71*(INDEX(properties!A$1:CB$87,'Fórmula'!D71,9))+'Fórmula'!G71*(INDEX(properties!A$1:CB$87,'Fórmula'!F71,9))+'Fórmula'!I71*(INDEX(properties!A$1:CB$87,'Fórmula'!H71,9))+'Fórmula'!K71*(INDEX(properties!A$1:CB$87,'Fórmula'!J71,9))</f>
        <v>343</v>
      </c>
      <c r="AB71" s="105">
        <f t="array" ref="AB71">VARP(IF(INDEX(properties!A$1:CB$87,'Fórmula'!B71,9)&lt;&gt;"",INDEX(properties!A$1:CB$87,'Fórmula'!B71,9)),IF(INDEX(properties!A$1:CB$87,'Fórmula'!D71,9)&lt;&gt;"",INDEX(properties!A$1:CB$87,'Fórmula'!D71,9)),IF(INDEX(properties!A$1:CB$87,'Fórmula'!F71,9)&lt;&gt;"",INDEX(properties!A$1:CB$87,'Fórmula'!F71,9)),IF(INDEX(properties!A$1:CB$87,'Fórmula'!H71,9)&lt;&gt;"",INDEX(properties!A$1:CB$87,'Fórmula'!H71,9)),IF(INDEX(properties!A$1:CB$87,'Fórmula'!J71,9)&lt;&gt;"",INDEX(properties!A$1:CB$87,'Fórmula'!J71,9)))</f>
        <v>1424.56</v>
      </c>
      <c r="AC71" s="105">
        <f t="array" ref="AC71">MAX(INDEX(properties!A$1:CB$87,'Fórmula'!B71,9),INDEX(properties!A$1:CB$87,'Fórmula'!D71,9),INDEX(properties!A$1:CB$87,'Fórmula'!F71,9),INDEX(properties!A$1:CB$87,'Fórmula'!H71,9),INDEX(properties!A$1:CB$87,'Fórmula'!J71,9))</f>
        <v>87</v>
      </c>
      <c r="AD71" s="105">
        <f t="array" ref="AD71">MIN(IF(INDEX(properties!A$1:CB$87,'Fórmula'!B71,9)=0,10^6,INDEX(properties!A$1:CB$87,'Fórmula'!B71,9)),IF(INDEX(properties!A$1:CB$87,'Fórmula'!D71,9)=0,10^6,INDEX(properties!A$1:CB$87,'Fórmula'!D71,9)),IF(INDEX(properties!A$1:CB$87,'Fórmula'!F71,9)=0,10^6,INDEX(properties!A$1:CB$87,'Fórmula'!F71,9)),IF(INDEX(properties!A$1:CB$87,'Fórmula'!H71,9)=0,10^6,INDEX(properties!A$1:CB$87,'Fórmula'!H71,9)),IF(INDEX(properties!A$1:CB$87,'Fórmula'!J71,9)=0,10^6,INDEX(properties!A$1:CB$87,'Fórmula'!J71,9)))</f>
        <v>1</v>
      </c>
      <c r="AE71" s="105">
        <f t="shared" si="5"/>
        <v>86</v>
      </c>
      <c r="AF71" s="106">
        <f t="array" ref="AF71">(('Fórmula'!C71)/('Fórmula'!C71+'Fórmula'!E71+'Fórmula'!G71+'Fórmula'!I71+'Fórmula'!K71))*(INDEX(properties!A$1:CB$87,'Fórmula'!B71,10))+(('Fórmula'!E71)/('Fórmula'!C71+'Fórmula'!E71+'Fórmula'!G71+'Fórmula'!I71+'Fórmula'!K71))*(INDEX(properties!A$1:CB$87,'Fórmula'!D71,10))+(('Fórmula'!G71)/('Fórmula'!C71+'Fórmula'!E71+'Fórmula'!G71+'Fórmula'!I71+'Fórmula'!K71))*(INDEX(properties!A$1:CB$87,'Fórmula'!F71,10))+(('Fórmula'!I71)/('Fórmula'!C71+'Fórmula'!E71+'Fórmula'!G71+'Fórmula'!I71+'Fórmula'!K71))*(INDEX(properties!A$1:CB$87,'Fórmula'!H71,10))+(('Fórmula'!K71)/('Fórmula'!C71+'Fórmula'!E71+'Fórmula'!G71+'Fórmula'!I71+'Fórmula'!K71))*(INDEX(properties!A$1:CB$87,'Fórmula'!J71,10))</f>
        <v>5</v>
      </c>
      <c r="AG71" s="106">
        <f t="array" ref="AG71">'Fórmula'!C71*(INDEX(properties!A$1:CB$87,'Fórmula'!B71,10))+'Fórmula'!E71*(INDEX(properties!A$1:CB$87,'Fórmula'!D71,10))+'Fórmula'!G71*(INDEX(properties!A$1:CB$87,'Fórmula'!F71,10))+'Fórmula'!I71*(INDEX(properties!A$1:CB$87,'Fórmula'!H71,10))+'Fórmula'!K71*(INDEX(properties!A$1:CB$87,'Fórmula'!J71,10))</f>
        <v>30</v>
      </c>
      <c r="AH71" s="106">
        <f t="array" ref="AH71">VARP(IF(INDEX(properties!A$1:CB$87,'Fórmula'!B71,10)&lt;&gt;"",INDEX(properties!A$1:CB$87,'Fórmula'!B71,10)),IF(INDEX(properties!A$1:CB$87,'Fórmula'!D71,10)&lt;&gt;"",INDEX(properties!A$1:CB$87,'Fórmula'!D71,10)),IF(INDEX(properties!A$1:CB$87,'Fórmula'!F71,10)&lt;&gt;"",INDEX(properties!A$1:CB$87,'Fórmula'!F71,10)),IF(INDEX(properties!A$1:CB$87,'Fórmula'!H71,10)&lt;&gt;"",INDEX(properties!A$1:CB$87,'Fórmula'!H71,10)),IF(INDEX(properties!A$1:CB$87,'Fórmula'!J71,10)&lt;&gt;"",INDEX(properties!A$1:CB$87,'Fórmula'!J71,10)))</f>
        <v>7.76</v>
      </c>
      <c r="AI71" s="106">
        <f t="array" ref="AI71">MAX(INDEX(properties!A$1:CB$87,'Fórmula'!B71,10),INDEX(properties!A$1:CB$87,'Fórmula'!D71,10),INDEX(properties!A$1:CB$87,'Fórmula'!F71,10),INDEX(properties!A$1:CB$87,'Fórmula'!H71,10),INDEX(properties!A$1:CB$87,'Fórmula'!J71,10))</f>
        <v>7</v>
      </c>
      <c r="AJ71" s="106">
        <f t="array" ref="AJ71">MIN(IF(INDEX(properties!A$1:CB$87,'Fórmula'!B71,10)=0,10^6,INDEX(properties!A$1:CB$87,'Fórmula'!B71,10)),IF(INDEX(properties!A$1:CB$87,'Fórmula'!D71,10)=0,10^6,INDEX(properties!A$1:CB$87,'Fórmula'!D71,10)),IF(INDEX(properties!A$1:CB$87,'Fórmula'!F71,10)=0,10^6,INDEX(properties!A$1:CB$87,'Fórmula'!F71,10)),IF(INDEX(properties!A$1:CB$87,'Fórmula'!H71,10)=0,10^6,INDEX(properties!A$1:CB$87,'Fórmula'!H71,10)),IF(INDEX(properties!A$1:CB$87,'Fórmula'!J71,10)=0,10^6,INDEX(properties!A$1:CB$87,'Fórmula'!J71,10)))</f>
        <v>1</v>
      </c>
      <c r="AK71" s="106">
        <f t="shared" si="6"/>
        <v>6</v>
      </c>
      <c r="AL71" s="107">
        <f t="array" ref="AL71">(('Fórmula'!C71)/('Fórmula'!C71+'Fórmula'!E71+'Fórmula'!G71+'Fórmula'!I71+'Fórmula'!K71))*(INDEX(properties!A$1:CB$87,'Fórmula'!B71,11))+(('Fórmula'!E71)/('Fórmula'!C71+'Fórmula'!E71+'Fórmula'!G71+'Fórmula'!I71+'Fórmula'!K71))*(INDEX(properties!A$1:CB$87,'Fórmula'!D71,11))+(('Fórmula'!G71)/('Fórmula'!C71+'Fórmula'!E71+'Fórmula'!G71+'Fórmula'!I71+'Fórmula'!K71))*(INDEX(properties!A$1:CB$87,'Fórmula'!F71,11))+(('Fórmula'!I71)/('Fórmula'!C71+'Fórmula'!E71+'Fórmula'!G71+'Fórmula'!I71+'Fórmula'!K71))*(INDEX(properties!A$1:CB$87,'Fórmula'!H71,11))+(('Fórmula'!K71)/('Fórmula'!C71+'Fórmula'!E71+'Fórmula'!G71+'Fórmula'!I71+'Fórmula'!K71))*(INDEX(properties!A$1:CB$87,'Fórmula'!J71,11))</f>
        <v>1.833333333</v>
      </c>
      <c r="AM71" s="107">
        <f t="array" ref="AM71">'Fórmula'!C71*(INDEX(properties!A$1:CB$87,'Fórmula'!B71,11))+'Fórmula'!E71*(INDEX(properties!A$1:CB$87,'Fórmula'!D71,11))+'Fórmula'!G71*(INDEX(properties!A$1:CB$87,'Fórmula'!F71,11))+'Fórmula'!I71*(INDEX(properties!A$1:CB$87,'Fórmula'!H71,11))+'Fórmula'!K71*(INDEX(properties!A$1:CB$87,'Fórmula'!J71,11))</f>
        <v>11</v>
      </c>
      <c r="AN71" s="107">
        <f t="array" ref="AN71">VARP(IF(INDEX(properties!A$1:CB$87,'Fórmula'!B71,11)&lt;&gt;"",INDEX(properties!A$1:CB$87,'Fórmula'!B71,11)),IF(INDEX(properties!A$1:CB$87,'Fórmula'!D71,11)&lt;&gt;"",INDEX(properties!A$1:CB$87,'Fórmula'!D71,11)),IF(INDEX(properties!A$1:CB$87,'Fórmula'!F71,11)&lt;&gt;"",INDEX(properties!A$1:CB$87,'Fórmula'!F71,11)),IF(INDEX(properties!A$1:CB$87,'Fórmula'!H71,11)&lt;&gt;"",INDEX(properties!A$1:CB$87,'Fórmula'!H71,11)),IF(INDEX(properties!A$1:CB$87,'Fórmula'!J71,11)&lt;&gt;"",INDEX(properties!A$1:CB$87,'Fórmula'!J71,11)))</f>
        <v>0.64</v>
      </c>
      <c r="AO71" s="107">
        <f t="array" ref="AO71">MAX(INDEX(properties!A$1:CB$87,'Fórmula'!B71,11),INDEX(properties!A$1:CB$87,'Fórmula'!D71,11),INDEX(properties!A$1:CB$87,'Fórmula'!F71,11),INDEX(properties!A$1:CB$87,'Fórmula'!H71,11),INDEX(properties!A$1:CB$87,'Fórmula'!J71,11))</f>
        <v>2</v>
      </c>
      <c r="AP71" s="107">
        <f t="array" ref="AP71">MIN(IF('Fórmula'!B71=87,10^6,INDEX(properties!A$1:CB$87,'Fórmula'!B71,11)),IF(('Fórmula'!D71)=87,10^6,INDEX(properties!A$1:CB$87,'Fórmula'!D71,11)),IF(('Fórmula'!F71)=87,10^6,INDEX(properties!A$1:CB$87,'Fórmula'!F71,11)),IF(('Fórmula'!H71)=87,10^6,INDEX(properties!A$1:CB$87,'Fórmula'!H71,11)),IF('Fórmula'!J71=87,10^6,INDEX(properties!A$1:CB$87,'Fórmula'!J71,11)))</f>
        <v>1</v>
      </c>
      <c r="AQ71" s="107">
        <f t="shared" si="7"/>
        <v>1</v>
      </c>
      <c r="AR71" s="108">
        <f t="array" ref="AR71">(('Fórmula'!C71)/('Fórmula'!C71+'Fórmula'!E71+'Fórmula'!G71+'Fórmula'!I71+'Fórmula'!K71))*(INDEX(properties!A$1:CB$87,'Fórmula'!B71,12))+(('Fórmula'!E71)/('Fórmula'!C71+'Fórmula'!E71+'Fórmula'!G71+'Fórmula'!I71+'Fórmula'!K71))*(INDEX(properties!A$1:CB$87,'Fórmula'!D71,12))+(('Fórmula'!G71)/('Fórmula'!C71+'Fórmula'!E71+'Fórmula'!G71+'Fórmula'!I71+'Fórmula'!K71))*(INDEX(properties!A$1:CB$87,'Fórmula'!F71,12))+(('Fórmula'!I71)/('Fórmula'!C71+'Fórmula'!E71+'Fórmula'!G71+'Fórmula'!I71+'Fórmula'!K71))*(INDEX(properties!A$1:CB$87,'Fórmula'!H71,12))+(('Fórmula'!K71)/('Fórmula'!C71+'Fórmula'!E71+'Fórmula'!G71+'Fórmula'!I71+'Fórmula'!K71))*(INDEX(properties!A$1:CB$87,'Fórmula'!J71,12))</f>
        <v>2.166666667</v>
      </c>
      <c r="AS71" s="108">
        <f t="array" ref="AS71">'Fórmula'!C71*(INDEX(properties!A$1:CB$87,'Fórmula'!B71,12))+'Fórmula'!E71*(INDEX(properties!A$1:CB$87,'Fórmula'!D71,12))+'Fórmula'!G71*(INDEX(properties!A$1:CB$87,'Fórmula'!F71,12))+'Fórmula'!I71*(INDEX(properties!A$1:CB$87,'Fórmula'!H71,12))+'Fórmula'!K71*(INDEX(properties!A$1:CB$87,'Fórmula'!J71,12))</f>
        <v>13</v>
      </c>
      <c r="AT71" s="108">
        <f t="array" ref="AT71">VARP(IF(INDEX(properties!A$1:CB$87,'Fórmula'!B71,12)&lt;&gt;"",INDEX(properties!A$1:CB$87,'Fórmula'!B71,12)),IF(INDEX(properties!A$1:CB$87,'Fórmula'!D71,12)&lt;&gt;"",INDEX(properties!A$1:CB$87,'Fórmula'!D71,12)),IF(INDEX(properties!A$1:CB$87,'Fórmula'!F71,12)&lt;&gt;"",INDEX(properties!A$1:CB$87,'Fórmula'!F71,12)),IF(INDEX(properties!A$1:CB$87,'Fórmula'!H71,12)&lt;&gt;"",INDEX(properties!A$1:CB$87,'Fórmula'!H71,12)),IF(INDEX(properties!A$1:CB$87,'Fórmula'!J71,12)&lt;&gt;"",INDEX(properties!A$1:CB$87,'Fórmula'!J71,12)))</f>
        <v>2.4</v>
      </c>
      <c r="AU71" s="108">
        <f t="array" ref="AU71">MAX(INDEX(properties!A$1:CB$87,'Fórmula'!B71,12),INDEX(properties!A$1:CB$87,'Fórmula'!D71,12),INDEX(properties!A$1:CB$87,'Fórmula'!F71,12),INDEX(properties!A$1:CB$87,'Fórmula'!H71,12),INDEX(properties!A$1:CB$87,'Fórmula'!J71,12))</f>
        <v>4</v>
      </c>
      <c r="AV71" s="108">
        <f t="array" ref="AV71">MIN(IF('Fórmula'!B71=87,10^6,INDEX(properties!A$1:CB$87,'Fórmula'!B71,12)),IF(('Fórmula'!D71)=87,10^6,INDEX(properties!A$1:CB$87,'Fórmula'!D71,12)),IF(('Fórmula'!F71)=87,10^6,INDEX(properties!A$1:CB$87,'Fórmula'!F71,12)),IF(('Fórmula'!H71)=87,10^6,INDEX(properties!A$1:CB$87,'Fórmula'!H71,12)),IF('Fórmula'!J71=87,10^6,INDEX(properties!A$1:CB$87,'Fórmula'!J71,12)))</f>
        <v>0</v>
      </c>
      <c r="AW71" s="108">
        <f t="shared" si="8"/>
        <v>4</v>
      </c>
      <c r="AX71" s="109">
        <f t="array" ref="AX71">(('Fórmula'!C71)/('Fórmula'!C71+'Fórmula'!E71+'Fórmula'!G71+'Fórmula'!I71+'Fórmula'!K71))*(INDEX(properties!A$1:CB$87,'Fórmula'!B71,13))+(('Fórmula'!E71)/('Fórmula'!C71+'Fórmula'!E71+'Fórmula'!G71+'Fórmula'!I71+'Fórmula'!K71))*(INDEX(properties!A$1:CB$87,'Fórmula'!D71,13))+(('Fórmula'!G71)/('Fórmula'!C71+'Fórmula'!E71+'Fórmula'!G71+'Fórmula'!I71+'Fórmula'!K71))*(INDEX(properties!A$1:CB$87,'Fórmula'!F71,13))+(('Fórmula'!I71)/('Fórmula'!C71+'Fórmula'!E71+'Fórmula'!G71+'Fórmula'!I71+'Fórmula'!K71))*(INDEX(properties!A$1:CB$87,'Fórmula'!H71,13))+(('Fórmula'!K71)/('Fórmula'!C71+'Fórmula'!E71+'Fórmula'!G71+'Fórmula'!I71+'Fórmula'!K71))*(INDEX(properties!A$1:CB$87,'Fórmula'!J71,13))</f>
        <v>0</v>
      </c>
      <c r="AY71" s="109">
        <f t="array" ref="AY71">'Fórmula'!C71*(INDEX(properties!A$1:CB$87,'Fórmula'!B71,13))+'Fórmula'!E71*(INDEX(properties!A$1:CB$87,'Fórmula'!D71,13))+'Fórmula'!G71*(INDEX(properties!A$1:CB$87,'Fórmula'!F71,13))+'Fórmula'!I71*(INDEX(properties!A$1:CB$87,'Fórmula'!H71,13))+'Fórmula'!K71*(INDEX(properties!A$1:CB$87,'Fórmula'!J71,13))</f>
        <v>0</v>
      </c>
      <c r="AZ71" s="109">
        <f t="array" ref="AZ71">VARP(IF(INDEX(properties!A$1:CB$87,'Fórmula'!B71,13)&lt;&gt;"",INDEX(properties!A$1:CB$87,'Fórmula'!B71,13)),IF(INDEX(properties!A$1:CB$87,'Fórmula'!D71,13)&lt;&gt;"",INDEX(properties!A$1:CB$87,'Fórmula'!D71,13)),IF(INDEX(properties!A$1:CB$87,'Fórmula'!F71,13)&lt;&gt;"",INDEX(properties!A$1:CB$87,'Fórmula'!F71,13)),IF(INDEX(properties!A$1:CB$87,'Fórmula'!H71,13)&lt;&gt;"",INDEX(properties!A$1:CB$87,'Fórmula'!H71,13)),IF(INDEX(properties!A$1:CB$87,'Fórmula'!J71,13)&lt;&gt;"",INDEX(properties!A$1:CB$87,'Fórmula'!J71,13)))</f>
        <v>0</v>
      </c>
      <c r="BA71" s="109">
        <f t="array" ref="BA71">MAX(INDEX(properties!A$1:CB$87,'Fórmula'!B71,13),INDEX(properties!A$1:CB$87,'Fórmula'!D71,13),INDEX(properties!A$1:CB$87,'Fórmula'!F71,13),INDEX(properties!A$1:CB$87,'Fórmula'!H71,13),INDEX(properties!A$1:CB$87,'Fórmula'!J71,13))</f>
        <v>0</v>
      </c>
      <c r="BB71" s="109">
        <f t="array" ref="BB71">MIN(IF('Fórmula'!B71=87,10^6,INDEX(properties!A$1:CB$87,'Fórmula'!B71,13)),IF(('Fórmula'!D71)=87,10^6,INDEX(properties!A$1:CB$87,'Fórmula'!D71,13)),IF(('Fórmula'!F71)=87,10^6,INDEX(properties!A$1:CB$87,'Fórmula'!F71,13)),IF(('Fórmula'!H71)=87,10^6,INDEX(properties!A$1:CB$87,'Fórmula'!H71,13)),IF('Fórmula'!J71=87,10^6,INDEX(properties!A$1:CB$87,'Fórmula'!J71,13)))</f>
        <v>0</v>
      </c>
      <c r="BC71" s="109">
        <f t="shared" si="9"/>
        <v>0</v>
      </c>
      <c r="BD71" s="110">
        <f t="array" ref="BD71">(('Fórmula'!C71)/('Fórmula'!C71+'Fórmula'!E71+'Fórmula'!G71+'Fórmula'!I71+'Fórmula'!K71))*(INDEX(properties!A$1:CB$87,'Fórmula'!B71,14))+(('Fórmula'!E71)/('Fórmula'!C71+'Fórmula'!E71+'Fórmula'!G71+'Fórmula'!I71+'Fórmula'!K71))*(INDEX(properties!A$1:CB$87,'Fórmula'!D71,14))+(('Fórmula'!G71)/('Fórmula'!C71+'Fórmula'!E71+'Fórmula'!G71+'Fórmula'!I71+'Fórmula'!K71))*(INDEX(properties!A$1:CB$87,'Fórmula'!F71,14))+(('Fórmula'!I71)/('Fórmula'!C71+'Fórmula'!E71+'Fórmula'!G71+'Fórmula'!I71+'Fórmula'!K71))*(INDEX(properties!A$1:CB$87,'Fórmula'!H71,14))+(('Fórmula'!K71)/('Fórmula'!C71+'Fórmula'!E71+'Fórmula'!G71+'Fórmula'!I71+'Fórmula'!K71))*(INDEX(properties!A$1:CB$87,'Fórmula'!J71,14))</f>
        <v>0</v>
      </c>
      <c r="BE71" s="110">
        <f t="array" ref="BE71">'Fórmula'!C71*(INDEX(properties!A$1:CB$87,'Fórmula'!B71,14))+'Fórmula'!E71*(INDEX(properties!A$1:CB$87,'Fórmula'!D71,14))+'Fórmula'!G71*(INDEX(properties!A$1:CB$87,'Fórmula'!F71,14))+'Fórmula'!I71*(INDEX(properties!A$1:CB$87,'Fórmula'!H71,14))+'Fórmula'!K71*(INDEX(properties!A$1:CB$87,'Fórmula'!J71,14))</f>
        <v>0</v>
      </c>
      <c r="BF71" s="110">
        <f t="array" ref="BF71">VARP(IF(INDEX(properties!A$1:CB$87,'Fórmula'!B71,14)&lt;&gt;"",INDEX(properties!A$1:CB$87,'Fórmula'!B71,14)),IF(INDEX(properties!A$1:CB$87,'Fórmula'!D71,14)&lt;&gt;"",INDEX(properties!A$1:CB$87,'Fórmula'!D71,14)),IF(INDEX(properties!A$1:CB$87,'Fórmula'!F71,14)&lt;&gt;"",INDEX(properties!A$1:CB$87,'Fórmula'!F71,14)),IF(INDEX(properties!A$1:CB$87,'Fórmula'!H71,14)&lt;&gt;"",INDEX(properties!A$1:CB$87,'Fórmula'!H71,14)),IF(INDEX(properties!A$1:CB$87,'Fórmula'!J71,14)&lt;&gt;"",INDEX(properties!A$1:CB$87,'Fórmula'!J71,14)))</f>
        <v>0</v>
      </c>
      <c r="BG71" s="110">
        <f t="array" ref="BG71">MAX(INDEX(properties!A$1:CB$87,'Fórmula'!B71,14),INDEX(properties!A$1:CB$87,'Fórmula'!D71,14),INDEX(properties!A$1:CB$87,'Fórmula'!F71,14),INDEX(properties!A$1:CB$87,'Fórmula'!H71,14),INDEX(properties!A$1:CB$87,'Fórmula'!J71,14))</f>
        <v>0</v>
      </c>
      <c r="BH71" s="110">
        <f t="array" ref="BH71">MIN(IF('Fórmula'!B71=87,10^6,INDEX(properties!A$1:CB$87,'Fórmula'!B71,14)),IF(('Fórmula'!D71)=87,10^6,INDEX(properties!A$1:CB$87,'Fórmula'!D71,14)),IF(('Fórmula'!F71)=87,10^6,INDEX(properties!A$1:CB$87,'Fórmula'!F71,14)),IF(('Fórmula'!H71)=87,10^6,INDEX(properties!A$1:CB$87,'Fórmula'!H71,14)),IF('Fórmula'!J71=87,10^6,INDEX(properties!A$1:CB$87,'Fórmula'!J71,14)))</f>
        <v>0</v>
      </c>
      <c r="BI71" s="110">
        <f t="shared" si="10"/>
        <v>0</v>
      </c>
      <c r="BJ71" s="111">
        <f t="array" ref="BJ71">(('Fórmula'!C71)/('Fórmula'!C71+'Fórmula'!E71+'Fórmula'!G71+'Fórmula'!I71+'Fórmula'!K71))*(INDEX(properties!A$1:CB$87,'Fórmula'!B71,19))+(('Fórmula'!E71)/('Fórmula'!C71+'Fórmula'!E71+'Fórmula'!G71+'Fórmula'!I71+'Fórmula'!K71))*(INDEX(properties!A$1:CB$87,'Fórmula'!D71,19))+(('Fórmula'!G71)/('Fórmula'!C71+'Fórmula'!E71+'Fórmula'!G71+'Fórmula'!I71+'Fórmula'!K71))*(INDEX(properties!A$1:CB$87,'Fórmula'!F71,19))+(('Fórmula'!I71)/('Fórmula'!C71+'Fórmula'!E71+'Fórmula'!G71+'Fórmula'!I71+'Fórmula'!K71))*(INDEX(properties!A$1:CB$87,'Fórmula'!H71,19))+(('Fórmula'!K71)/('Fórmula'!C71+'Fórmula'!E71+'Fórmula'!G71+'Fórmula'!I71+'Fórmula'!K71))*(INDEX(properties!A$1:CB$87,'Fórmula'!J71,19))</f>
        <v>4</v>
      </c>
      <c r="BK71" s="111">
        <f t="array" ref="BK71">'Fórmula'!C71*(INDEX(properties!A$1:CB$87,'Fórmula'!B71,19))+'Fórmula'!E71*(INDEX(properties!A$1:CB$87,'Fórmula'!D71,19))+'Fórmula'!G71*(INDEX(properties!A$1:CB$87,'Fórmula'!F71,19))+'Fórmula'!I71*(INDEX(properties!A$1:CB$87,'Fórmula'!H71,19))+'Fórmula'!K71*(INDEX(properties!A$1:CB$87,'Fórmula'!J71,19))</f>
        <v>24</v>
      </c>
      <c r="BL71" s="111">
        <f t="array" ref="BL71">VARP(IF(INDEX(properties!A$1:CB$87,'Fórmula'!B71,19)&lt;&gt;"",INDEX(properties!A$1:CB$87,'Fórmula'!B71,19)),IF(INDEX(properties!A$1:CB$87,'Fórmula'!D71,19)&lt;&gt;"",INDEX(properties!A$1:CB$87,'Fórmula'!D71,19)),IF(INDEX(properties!A$1:CB$87,'Fórmula'!F71,19)&lt;&gt;"",INDEX(properties!A$1:CB$87,'Fórmula'!F71,19)),IF(INDEX(properties!A$1:CB$87,'Fórmula'!H71,19)&lt;&gt;"",INDEX(properties!A$1:CB$87,'Fórmula'!H71,19)),IF(INDEX(properties!A$1:CB$87,'Fórmula'!J71,19)&lt;&gt;"",INDEX(properties!A$1:CB$87,'Fórmula'!J71,19)))</f>
        <v>4.24</v>
      </c>
      <c r="BM71" s="111">
        <f t="array" ref="BM71">MAX(INDEX(properties!A$1:CB$87,'Fórmula'!B71,19),INDEX(properties!A$1:CB$87,'Fórmula'!D71,19),INDEX(properties!A$1:CB$87,'Fórmula'!F71,19),INDEX(properties!A$1:CB$87,'Fórmula'!H71,19),INDEX(properties!A$1:CB$87,'Fórmula'!J71,19))</f>
        <v>6</v>
      </c>
      <c r="BN71" s="111">
        <f t="array" ref="BN71">MIN(IF(INDEX(properties!A$1:CB$87,'Fórmula'!B71,19)=0,10^6,INDEX(properties!A$1:CB$87,'Fórmula'!B71,19)),IF(INDEX(properties!A$1:CB$87,'Fórmula'!D71,19)=0,10^6,INDEX(properties!A$1:CB$87,'Fórmula'!D71,19)),IF(INDEX(properties!A$1:CB$87,'Fórmula'!F71,19)=0,10^6,INDEX(properties!A$1:CB$87,'Fórmula'!F71,19)),IF(INDEX(properties!A$1:CB$87,'Fórmula'!H71,19)=0,10^6,INDEX(properties!A$1:CB$87,'Fórmula'!H71,19)),IF(INDEX(properties!A$1:CB$87,'Fórmula'!J71,19)=0,10^6,INDEX(properties!A$1:CB$87,'Fórmula'!J71,19)))</f>
        <v>1</v>
      </c>
      <c r="BO71" s="111">
        <f t="shared" si="11"/>
        <v>5</v>
      </c>
      <c r="BP71" s="112">
        <f t="array" ref="BP71">(('Fórmula'!C71)/('Fórmula'!C71+'Fórmula'!E71+'Fórmula'!G71+'Fórmula'!I71+'Fórmula'!K71))*(INDEX(properties!A$1:CB$87,'Fórmula'!B71,20))+(('Fórmula'!E71)/('Fórmula'!C71+'Fórmula'!E71+'Fórmula'!G71+'Fórmula'!I71+'Fórmula'!K71))*(INDEX(properties!A$1:CB$87,'Fórmula'!D71,20))+(('Fórmula'!G71)/('Fórmula'!C71+'Fórmula'!E71+'Fórmula'!G71+'Fórmula'!I71+'Fórmula'!K71))*(INDEX(properties!A$1:CB$87,'Fórmula'!F71,20))+(('Fórmula'!I71)/('Fórmula'!C71+'Fórmula'!E71+'Fórmula'!G71+'Fórmula'!I71+'Fórmula'!K71))*(INDEX(properties!A$1:CB$87,'Fórmula'!H71,20))+(('Fórmula'!K71)/('Fórmula'!C71+'Fórmula'!E71+'Fórmula'!G71+'Fórmula'!I71+'Fórmula'!K71))*(INDEX(properties!A$1:CB$87,'Fórmula'!J71,20))</f>
        <v>4</v>
      </c>
      <c r="BQ71" s="112">
        <f t="array" ref="BQ71">'Fórmula'!C71*(INDEX(properties!A$1:CB$87,'Fórmula'!B71,20))+'Fórmula'!E71*(INDEX(properties!A$1:CB$87,'Fórmula'!D71,20))+'Fórmula'!G71*(INDEX(properties!A$1:CB$87,'Fórmula'!F71,20))+'Fórmula'!I71*(INDEX(properties!A$1:CB$87,'Fórmula'!H71,20))+'Fórmula'!K71*(INDEX(properties!A$1:CB$87,'Fórmula'!J71,20))</f>
        <v>24</v>
      </c>
      <c r="BR71" s="112">
        <f t="array" ref="BR71">VARP(IF(INDEX(properties!A$1:CB$87,'Fórmula'!B71,20)&lt;&gt;"",INDEX(properties!A$1:CB$87,'Fórmula'!B71,20)),IF(INDEX(properties!A$1:CB$87,'Fórmula'!D71,20)&lt;&gt;"",INDEX(properties!A$1:CB$87,'Fórmula'!D71,20)),IF(INDEX(properties!A$1:CB$87,'Fórmula'!F71,20)&lt;&gt;"",INDEX(properties!A$1:CB$87,'Fórmula'!F71,20)),IF(INDEX(properties!A$1:CB$87,'Fórmula'!H71,20)&lt;&gt;"",INDEX(properties!A$1:CB$87,'Fórmula'!H71,20)),IF(INDEX(properties!A$1:CB$87,'Fórmula'!J71,20)&lt;&gt;"",INDEX(properties!A$1:CB$87,'Fórmula'!J71,20)))</f>
        <v>4.24</v>
      </c>
      <c r="BS71" s="112">
        <f t="array" ref="BS71">MAX(INDEX(properties!A$1:CB$87,'Fórmula'!B71,20),INDEX(properties!A$1:CB$87,'Fórmula'!D71,20),INDEX(properties!A$1:CB$87,'Fórmula'!F71,20),INDEX(properties!A$1:CB$87,'Fórmula'!H71,20),INDEX(properties!A$1:CB$87,'Fórmula'!J71,20))</f>
        <v>6</v>
      </c>
      <c r="BT71" s="112">
        <f t="array" ref="BT71">MIN(IF(INDEX(properties!A$1:CB$87,'Fórmula'!B71,20)=0,10^6,INDEX(properties!A$1:CB$87,'Fórmula'!B71,20)),IF(INDEX(properties!A$1:CB$87,'Fórmula'!D71,20)=0,10^6,INDEX(properties!A$1:CB$87,'Fórmula'!D71,20)),IF(INDEX(properties!A$1:CB$87,'Fórmula'!F71,20)=0,10^6,INDEX(properties!A$1:CB$87,'Fórmula'!F71,20)),IF(INDEX(properties!A$1:CB$87,'Fórmula'!H71,20)=0,10^6,INDEX(properties!A$1:CB$87,'Fórmula'!H71,20)),IF(INDEX(properties!A$1:CB$87,'Fórmula'!J71,20)=0,10^6,INDEX(properties!A$1:CB$87,'Fórmula'!J71,20)))</f>
        <v>1</v>
      </c>
      <c r="BU71" s="112">
        <f t="shared" si="12"/>
        <v>5</v>
      </c>
      <c r="BV71" s="113">
        <f t="array" ref="BV71">(('Fórmula'!C71)/('Fórmula'!C71+'Fórmula'!E71+'Fórmula'!G71+'Fórmula'!I71+'Fórmula'!K71))*(INDEX(properties!A$1:CB$87,'Fórmula'!B71,21))+(('Fórmula'!E71)/('Fórmula'!C71+'Fórmula'!E71+'Fórmula'!G71+'Fórmula'!I71+'Fórmula'!K71))*(INDEX(properties!A$1:CB$87,'Fórmula'!D71,21))+(('Fórmula'!G71)/('Fórmula'!C71+'Fórmula'!E71+'Fórmula'!G71+'Fórmula'!I71+'Fórmula'!K71))*(INDEX(properties!A$1:CB$87,'Fórmula'!F71,21))+(('Fórmula'!I71)/('Fórmula'!C71+'Fórmula'!E71+'Fórmula'!G71+'Fórmula'!I71+'Fórmula'!K71))*(INDEX(properties!A$1:CB$87,'Fórmula'!H71,21))+(('Fórmula'!K71)/('Fórmula'!C71+'Fórmula'!E71+'Fórmula'!G71+'Fórmula'!I71+'Fórmula'!K71))*(INDEX(properties!A$1:CB$87,'Fórmula'!J71,21))</f>
        <v>4</v>
      </c>
      <c r="BW71" s="113">
        <f t="array" ref="BW71">'Fórmula'!C71*(INDEX(properties!A$1:CB$87,'Fórmula'!B71,21))+'Fórmula'!E71*(INDEX(properties!A$1:CB$87,'Fórmula'!D71,21))+'Fórmula'!G71*(INDEX(properties!A$1:CB$87,'Fórmula'!F71,21))+'Fórmula'!I71*(INDEX(properties!A$1:CB$87,'Fórmula'!H71,21))+'Fórmula'!K71*(INDEX(properties!A$1:CB$87,'Fórmula'!J71,21))</f>
        <v>24</v>
      </c>
      <c r="BX71" s="113">
        <f t="array" ref="BX71">VARP(IF(INDEX(properties!A$1:CB$87,'Fórmula'!B71,21)&lt;&gt;"",INDEX(properties!A$1:CB$87,'Fórmula'!B71,21)),IF(INDEX(properties!A$1:CB$87,'Fórmula'!D71,21)&lt;&gt;"",INDEX(properties!A$1:CB$87,'Fórmula'!D71,21)),IF(INDEX(properties!A$1:CB$87,'Fórmula'!F71,21)&lt;&gt;"",INDEX(properties!A$1:CB$87,'Fórmula'!F71,21)),IF(INDEX(properties!A$1:CB$87,'Fórmula'!H71,21)&lt;&gt;"",INDEX(properties!A$1:CB$87,'Fórmula'!H71,21)),IF(INDEX(properties!A$1:CB$87,'Fórmula'!J71,21)&lt;&gt;"",INDEX(properties!A$1:CB$87,'Fórmula'!J71,21)))</f>
        <v>4.24</v>
      </c>
      <c r="BY71" s="113">
        <f t="array" ref="BY71">MAX(INDEX(properties!A$1:CB$87,'Fórmula'!B71,21),INDEX(properties!A$1:CB$87,'Fórmula'!D71,21),INDEX(properties!A$1:CB$87,'Fórmula'!F71,21),INDEX(properties!A$1:CB$87,'Fórmula'!H71,21),INDEX(properties!A$1:CB$87,'Fórmula'!J71,21))</f>
        <v>6</v>
      </c>
      <c r="BZ71" s="113">
        <f t="array" ref="BZ71">MIN(IF(INDEX(properties!A$1:CB$87,'Fórmula'!B71,21)=0,10^6,INDEX(properties!A$1:CB$87,'Fórmula'!B71,21)),IF(INDEX(properties!A$1:CB$87,'Fórmula'!D71,21)=0,10^6,INDEX(properties!A$1:CB$87,'Fórmula'!D71,21)),IF(INDEX(properties!A$1:CB$87,'Fórmula'!F71,21)=0,10^6,INDEX(properties!A$1:CB$87,'Fórmula'!F71,21)),IF(INDEX(properties!A$1:CB$87,'Fórmula'!H71,21)=0,10^6,INDEX(properties!A$1:CB$87,'Fórmula'!H71,21)),IF(INDEX(properties!A$1:CB$87,'Fórmula'!J71,21)=0,10^6,INDEX(properties!A$1:CB$87,'Fórmula'!J71,21)))</f>
        <v>1</v>
      </c>
      <c r="CA71" s="113">
        <f t="shared" si="13"/>
        <v>5</v>
      </c>
      <c r="CB71" s="114">
        <f t="array" ref="CB71">(('Fórmula'!C71)/('Fórmula'!C71+'Fórmula'!E71+'Fórmula'!G71+'Fórmula'!I71+'Fórmula'!K71))*(INDEX(properties!A$1:CB$87,'Fórmula'!B71,23))+(('Fórmula'!E71)/('Fórmula'!C71+'Fórmula'!E71+'Fórmula'!G71+'Fórmula'!I71+'Fórmula'!K71))*(INDEX(properties!A$1:CB$87,'Fórmula'!D71,23))+(('Fórmula'!G71)/('Fórmula'!C71+'Fórmula'!E71+'Fórmula'!G71+'Fórmula'!I71+'Fórmula'!K71))*(INDEX(properties!A$1:CB$87,'Fórmula'!F71,23))+(('Fórmula'!I71)/('Fórmula'!C71+'Fórmula'!E71+'Fórmula'!G71+'Fórmula'!I71+'Fórmula'!K71))*(INDEX(properties!A$1:CB$87,'Fórmula'!H71,23))+(('Fórmula'!K71)/('Fórmula'!C71+'Fórmula'!E71+'Fórmula'!G71+'Fórmula'!I71+'Fórmula'!K71))*(INDEX(properties!A$1:CB$87,'Fórmula'!J71,23))</f>
        <v>1</v>
      </c>
      <c r="CC71" s="114">
        <f t="array" ref="CC71">'Fórmula'!C71*(INDEX(properties!A$1:CB$87,'Fórmula'!B71,23))+'Fórmula'!E71*(INDEX(properties!A$1:CB$87,'Fórmula'!D71,23))+'Fórmula'!G71*(INDEX(properties!A$1:CB$87,'Fórmula'!F71,23))+'Fórmula'!I71*(INDEX(properties!A$1:CB$87,'Fórmula'!H71,23))+'Fórmula'!K71*(INDEX(properties!A$1:CB$87,'Fórmula'!J71,23))</f>
        <v>6</v>
      </c>
      <c r="CD71" s="114">
        <f t="array" ref="CD71">VARP(IF(INDEX(properties!A$1:CB$87,'Fórmula'!B71,23)&lt;&gt;"",INDEX(properties!A$1:CB$87,'Fórmula'!B71,23)),IF(INDEX(properties!A$1:CB$87,'Fórmula'!D71,23)&lt;&gt;"",INDEX(properties!A$1:CB$87,'Fórmula'!D71,23)),IF(INDEX(properties!A$1:CB$87,'Fórmula'!F71,23)&lt;&gt;"",INDEX(properties!A$1:CB$87,'Fórmula'!F71,23)),IF(INDEX(properties!A$1:CB$87,'Fórmula'!H71,23)&lt;&gt;"",INDEX(properties!A$1:CB$87,'Fórmula'!H71,23)),IF(INDEX(properties!A$1:CB$87,'Fórmula'!J71,23)&lt;&gt;"",INDEX(properties!A$1:CB$87,'Fórmula'!J71,23)))</f>
        <v>1.36</v>
      </c>
      <c r="CE71" s="114">
        <f t="array" ref="CE71">MAX(INDEX(properties!A$1:CB$87,'Fórmula'!B71,23),INDEX(properties!A$1:CB$87,'Fórmula'!D71,23),INDEX(properties!A$1:CB$87,'Fórmula'!F71,23),INDEX(properties!A$1:CB$87,'Fórmula'!H71,23),INDEX(properties!A$1:CB$87,'Fórmula'!J71,23))</f>
        <v>3</v>
      </c>
      <c r="CF71" s="114">
        <f t="array" ref="CF71">MIN(IF('Fórmula'!B71=87,10^6,INDEX(properties!A$1:CB$87,'Fórmula'!B71,23)),IF(('Fórmula'!D71)=87,10^6,INDEX(properties!A$1:CB$87,'Fórmula'!D71,23)),IF(('Fórmula'!F71)=87,10^6,INDEX(properties!A$1:CB$87,'Fórmula'!F71,23)),IF(('Fórmula'!H71)=87,10^6,INDEX(properties!A$1:CB$87,'Fórmula'!H71,23)),IF('Fórmula'!J71=87,10^6,INDEX(properties!A$1:CB$87,'Fórmula'!J71,23)))</f>
        <v>0</v>
      </c>
      <c r="CG71" s="114">
        <f t="shared" si="14"/>
        <v>3</v>
      </c>
      <c r="CH71" s="115">
        <f t="array" ref="CH71">(('Fórmula'!C71)/('Fórmula'!C71+'Fórmula'!E71+'Fórmula'!G71+'Fórmula'!I71+'Fórmula'!K71))*(INDEX(properties!A$1:CB$87,'Fórmula'!B71,26))+(('Fórmula'!E71)/('Fórmula'!C71+'Fórmula'!E71+'Fórmula'!G71+'Fórmula'!I71+'Fórmula'!K71))*(INDEX(properties!A$1:CB$87,'Fórmula'!D71,26))+(('Fórmula'!G71)/('Fórmula'!C71+'Fórmula'!E71+'Fórmula'!G71+'Fórmula'!I71+'Fórmula'!K71))*(INDEX(properties!A$1:CB$87,'Fórmula'!F71,26))+(('Fórmula'!I71)/('Fórmula'!C71+'Fórmula'!E71+'Fórmula'!G71+'Fórmula'!I71+'Fórmula'!K71))*(INDEX(properties!A$1:CB$87,'Fórmula'!H71,26))+(('Fórmula'!K71)/('Fórmula'!C71+'Fórmula'!E71+'Fórmula'!G71+'Fórmula'!I71+'Fórmula'!K71))*(INDEX(properties!A$1:CB$87,'Fórmula'!J71,26))</f>
        <v>9.959283333</v>
      </c>
      <c r="CI71" s="115">
        <f t="array" ref="CI71">'Fórmula'!C71*(INDEX(properties!A$1:CB$87,'Fórmula'!B71,26))+'Fórmula'!E71*(INDEX(properties!A$1:CB$87,'Fórmula'!D71,26))+'Fórmula'!G71*(INDEX(properties!A$1:CB$87,'Fórmula'!F71,26))+'Fórmula'!I71*(INDEX(properties!A$1:CB$87,'Fórmula'!H71,26))+'Fórmula'!K71*(INDEX(properties!A$1:CB$87,'Fórmula'!J71,26))</f>
        <v>59.7557</v>
      </c>
      <c r="CJ71" s="115">
        <f t="array" ref="CJ71">VARP(IF(INDEX(properties!A$1:CB$87,'Fórmula'!B71,26)&lt;&gt;"",INDEX(properties!A$1:CB$87,'Fórmula'!B71,26)),IF(INDEX(properties!A$1:CB$87,'Fórmula'!D71,26)&lt;&gt;"",INDEX(properties!A$1:CB$87,'Fórmula'!D71,26)),IF(INDEX(properties!A$1:CB$87,'Fórmula'!F71,26)&lt;&gt;"",INDEX(properties!A$1:CB$87,'Fórmula'!F71,26)),IF(INDEX(properties!A$1:CB$87,'Fórmula'!H71,26)&lt;&gt;"",INDEX(properties!A$1:CB$87,'Fórmula'!H71,26)),IF(INDEX(properties!A$1:CB$87,'Fórmula'!J71,26)&lt;&gt;"",INDEX(properties!A$1:CB$87,'Fórmula'!J71,26)))</f>
        <v>19.80762427</v>
      </c>
      <c r="CK71" s="116">
        <f t="array" ref="CK71">MAX(INDEX(properties!A$1:CB$87,'Fórmula'!B71,26),INDEX(properties!A$1:CB$87,'Fórmula'!D71,26),INDEX(properties!A$1:CB$87,'Fórmula'!F71,26),INDEX(properties!A$1:CB$87,'Fórmula'!H71,26),INDEX(properties!A$1:CB$87,'Fórmula'!J71,26))</f>
        <v>13.6181</v>
      </c>
      <c r="CL71" s="116">
        <f t="array" ref="CL71">MIN(IF(INDEX(properties!A$1:CB$87,'Fórmula'!B71,26)=0,10^6,INDEX(properties!A$1:CB$87,'Fórmula'!B71,26)),IF(INDEX(properties!A$1:CB$87,'Fórmula'!D71,26)=0,10^6,INDEX(properties!A$1:CB$87,'Fórmula'!D71,26)),IF(INDEX(properties!A$1:CB$87,'Fórmula'!F71,26)=0,10^6,INDEX(properties!A$1:CB$87,'Fórmula'!F71,26)),IF(INDEX(properties!A$1:CB$87,'Fórmula'!H71,26)=0,10^6,INDEX(properties!A$1:CB$87,'Fórmula'!H71,26)),IF(INDEX(properties!A$1:CB$87,'Fórmula'!J71,26)=0,10^6,INDEX(properties!A$1:CB$87,'Fórmula'!J71,26)))</f>
        <v>5.2117</v>
      </c>
      <c r="CM71" s="115">
        <f t="shared" si="15"/>
        <v>8.4064</v>
      </c>
      <c r="CN71" s="117">
        <f t="array" ref="CN71">(('Fórmula'!C71)/('Fórmula'!C71+'Fórmula'!E71+'Fórmula'!G71+'Fórmula'!I71+'Fórmula'!K71))*(INDEX(properties!A$1:CB$87,'Fórmula'!B71,30))+(('Fórmula'!E71)/('Fórmula'!C71+'Fórmula'!E71+'Fórmula'!G71+'Fórmula'!I71+'Fórmula'!K71))*(INDEX(properties!A$1:CB$87,'Fórmula'!D71,30))+(('Fórmula'!G71)/('Fórmula'!C71+'Fórmula'!E71+'Fórmula'!G71+'Fórmula'!I71+'Fórmula'!K71))*(INDEX(properties!A$1:CB$87,'Fórmula'!F71,30))+(('Fórmula'!I71)/('Fórmula'!C71+'Fórmula'!E71+'Fórmula'!G71+'Fórmula'!I71+'Fórmula'!K71))*(INDEX(properties!A$1:CB$87,'Fórmula'!H71,30))+(('Fórmula'!K71)/('Fórmula'!C71+'Fórmula'!E71+'Fórmula'!G71+'Fórmula'!I71+'Fórmula'!K71))*(INDEX(properties!A$1:CB$87,'Fórmula'!J71,30))</f>
        <v>2.371666667</v>
      </c>
      <c r="CO71" s="117">
        <f t="array" ref="CO71">'Fórmula'!C71*(INDEX(properties!A$1:CB$87,'Fórmula'!B71,30))+'Fórmula'!E71*(INDEX(properties!A$1:CB$87,'Fórmula'!D71,30))+'Fórmula'!G71*(INDEX(properties!A$1:CB$87,'Fórmula'!F71,30))+'Fórmula'!I71*(INDEX(properties!A$1:CB$87,'Fórmula'!H71,30))+'Fórmula'!K71*(INDEX(properties!A$1:CB$87,'Fórmula'!J71,30))</f>
        <v>14.23</v>
      </c>
      <c r="CP71" s="117">
        <f t="array" ref="CP71">VARP(IF(INDEX(properties!A$1:CB$87,'Fórmula'!B71,30)&lt;&gt;"",INDEX(properties!A$1:CB$87,'Fórmula'!B71,30)),IF(INDEX(properties!A$1:CB$87,'Fórmula'!D71,30)&lt;&gt;"",INDEX(properties!A$1:CB$87,'Fórmula'!D71,30)),IF(INDEX(properties!A$1:CB$87,'Fórmula'!F71,30)&lt;&gt;"",INDEX(properties!A$1:CB$87,'Fórmula'!F71,30)),IF(INDEX(properties!A$1:CB$87,'Fórmula'!H71,30)&lt;&gt;"",INDEX(properties!A$1:CB$87,'Fórmula'!H71,30)),IF(INDEX(properties!A$1:CB$87,'Fórmula'!J71,30)&lt;&gt;"",INDEX(properties!A$1:CB$87,'Fórmula'!J71,30)))</f>
        <v>1.38864</v>
      </c>
      <c r="CQ71" s="117">
        <f t="array" ref="CQ71">MAX(INDEX(properties!A$1:CB$87,'Fórmula'!B71,30),INDEX(properties!A$1:CB$87,'Fórmula'!D71,30),INDEX(properties!A$1:CB$87,'Fórmula'!F71,30),INDEX(properties!A$1:CB$87,'Fórmula'!H71,30),INDEX(properties!A$1:CB$87,'Fórmula'!J71,30))</f>
        <v>3.44</v>
      </c>
      <c r="CR71" s="117">
        <f t="array" ref="CR71">MIN(IF(INDEX(properties!A$1:CB$87,'Fórmula'!B71,30)=0,10^6,INDEX(properties!A$1:CB$87,'Fórmula'!B71,30)),IF(INDEX(properties!A$1:CB$87,'Fórmula'!D71,30)=0,10^6,INDEX(properties!A$1:CB$87,'Fórmula'!D71,30)),IF(INDEX(properties!A$1:CB$87,'Fórmula'!F71,30)=0,10^6,INDEX(properties!A$1:CB$87,'Fórmula'!F71,30)),IF(INDEX(properties!A$1:CB$87,'Fórmula'!H71,30)=0,10^6,INDEX(properties!A$1:CB$87,'Fórmula'!H71,30)),IF(INDEX(properties!A$1:CB$87,'Fórmula'!J71,30)=0,10^6,INDEX(properties!A$1:CB$87,'Fórmula'!J71,30)))</f>
        <v>0.89</v>
      </c>
      <c r="CS71" s="117">
        <f t="shared" si="16"/>
        <v>2.55</v>
      </c>
      <c r="CT71" s="118">
        <f t="array" ref="CT71">(('Fórmula'!C71)/('Fórmula'!C71+'Fórmula'!E71+'Fórmula'!G71+'Fórmula'!I71+'Fórmula'!K71))*(INDEX(properties!A$1:CB$87,'Fórmula'!B71,31))+(('Fórmula'!E71)/('Fórmula'!C71+'Fórmula'!E71+'Fórmula'!G71+'Fórmula'!I71+'Fórmula'!K71))*(INDEX(properties!A$1:CB$87,'Fórmula'!D71,31))+(('Fórmula'!G71)/('Fórmula'!C71+'Fórmula'!E71+'Fórmula'!G71+'Fórmula'!I71+'Fórmula'!K71))*(INDEX(properties!A$1:CB$87,'Fórmula'!F71,31))+(('Fórmula'!I71)/('Fórmula'!C71+'Fórmula'!E71+'Fórmula'!G71+'Fórmula'!I71+'Fórmula'!K71))*(INDEX(properties!A$1:CB$87,'Fórmula'!H71,31))+(('Fórmula'!K71)/('Fórmula'!C71+'Fórmula'!E71+'Fórmula'!G71+'Fórmula'!I71+'Fórmula'!K71))*(INDEX(properties!A$1:CB$87,'Fórmula'!J71,31))</f>
        <v>2.306666667</v>
      </c>
      <c r="CU71" s="118">
        <f t="array" ref="CU71">'Fórmula'!C71*(INDEX(properties!A$1:CB$87,'Fórmula'!B71,31))+'Fórmula'!E71*(INDEX(properties!A$1:CB$87,'Fórmula'!D71,31))+'Fórmula'!G71*(INDEX(properties!A$1:CB$87,'Fórmula'!F71,31))+'Fórmula'!I71*(INDEX(properties!A$1:CB$87,'Fórmula'!H71,31))+'Fórmula'!K71*(INDEX(properties!A$1:CB$87,'Fórmula'!J71,31))</f>
        <v>13.84</v>
      </c>
      <c r="CV71" s="118">
        <f t="array" ref="CV71">VARP(IF(INDEX(properties!A$1:CB$87,'Fórmula'!B71,31)&lt;&gt;"",INDEX(properties!A$1:CB$87,'Fórmula'!B71,31)),IF(INDEX(properties!A$1:CB$87,'Fórmula'!D71,31)&lt;&gt;"",INDEX(properties!A$1:CB$87,'Fórmula'!D71,31)),IF(INDEX(properties!A$1:CB$87,'Fórmula'!F71,31)&lt;&gt;"",INDEX(properties!A$1:CB$87,'Fórmula'!F71,31)),IF(INDEX(properties!A$1:CB$87,'Fórmula'!H71,31)&lt;&gt;"",INDEX(properties!A$1:CB$87,'Fórmula'!H71,31)),IF(INDEX(properties!A$1:CB$87,'Fórmula'!J71,31)&lt;&gt;"",INDEX(properties!A$1:CB$87,'Fórmula'!J71,31)))</f>
        <v>1.24816</v>
      </c>
      <c r="CW71" s="118">
        <f t="array" ref="CW71">MAX(INDEX(properties!A$1:CB$87,'Fórmula'!B71,31),INDEX(properties!A$1:CB$87,'Fórmula'!D71,31),INDEX(properties!A$1:CB$87,'Fórmula'!F71,31),INDEX(properties!A$1:CB$87,'Fórmula'!H71,31),INDEX(properties!A$1:CB$87,'Fórmula'!J71,31))</f>
        <v>3.32</v>
      </c>
      <c r="CX71" s="118">
        <f t="array" ref="CX71">MIN(IF(INDEX(properties!A$1:CB$87,'Fórmula'!B71,31)=0,10^6,INDEX(properties!A$1:CB$87,'Fórmula'!B71,31)),IF(INDEX(properties!A$1:CB$87,'Fórmula'!D71,31)=0,10^6,INDEX(properties!A$1:CB$87,'Fórmula'!D71,31)),IF(INDEX(properties!A$1:CB$87,'Fórmula'!F71,31)=0,10^6,INDEX(properties!A$1:CB$87,'Fórmula'!F71,31)),IF(INDEX(properties!A$1:CB$87,'Fórmula'!H71,31)=0,10^6,INDEX(properties!A$1:CB$87,'Fórmula'!H71,31)),IF(INDEX(properties!A$1:CB$87,'Fórmula'!J71,31)=0,10^6,INDEX(properties!A$1:CB$87,'Fórmula'!J71,31)))</f>
        <v>0.9</v>
      </c>
      <c r="CY71" s="118">
        <f t="shared" si="17"/>
        <v>2.42</v>
      </c>
      <c r="CZ71" s="119">
        <f t="array" ref="CZ71">(('Fórmula'!C71)/('Fórmula'!C71+'Fórmula'!E71+'Fórmula'!G71+'Fórmula'!I71+'Fórmula'!K71))*(INDEX(properties!A$1:CB$87,'Fórmula'!B71,32))+(('Fórmula'!E71)/('Fórmula'!C71+'Fórmula'!E71+'Fórmula'!G71+'Fórmula'!I71+'Fórmula'!K71))*(INDEX(properties!A$1:CB$87,'Fórmula'!D71,32))+(('Fórmula'!G71)/('Fórmula'!C71+'Fórmula'!E71+'Fórmula'!G71+'Fórmula'!I71+'Fórmula'!K71))*(INDEX(properties!A$1:CB$87,'Fórmula'!F71,32))+(('Fórmula'!I71)/('Fórmula'!C71+'Fórmula'!E71+'Fórmula'!G71+'Fórmula'!I71+'Fórmula'!K71))*(INDEX(properties!A$1:CB$87,'Fórmula'!H71,32))+(('Fórmula'!K71)/('Fórmula'!C71+'Fórmula'!E71+'Fórmula'!G71+'Fórmula'!I71+'Fórmula'!K71))*(INDEX(properties!A$1:CB$87,'Fórmula'!J71,32))</f>
        <v>5.386666667</v>
      </c>
      <c r="DA71" s="119">
        <f t="array" ref="DA71">'Fórmula'!C71*(INDEX(properties!A$1:CB$87,'Fórmula'!B71,32))+'Fórmula'!E71*(INDEX(properties!A$1:CB$87,'Fórmula'!D71,32))+'Fórmula'!G71*(INDEX(properties!A$1:CB$87,'Fórmula'!F71,32))+'Fórmula'!I71*(INDEX(properties!A$1:CB$87,'Fórmula'!H71,32))+'Fórmula'!K71*(INDEX(properties!A$1:CB$87,'Fórmula'!J71,32))</f>
        <v>32.32</v>
      </c>
      <c r="DB71" s="119">
        <f t="array" ref="DB71">VARP(IF(INDEX(properties!A$1:CB$87,'Fórmula'!B71,32)&lt;&gt;"",INDEX(properties!A$1:CB$87,'Fórmula'!B71,32)),IF(INDEX(properties!A$1:CB$87,'Fórmula'!D71,32)&lt;&gt;"",INDEX(properties!A$1:CB$87,'Fórmula'!D71,32)),IF(INDEX(properties!A$1:CB$87,'Fórmula'!F71,32)&lt;&gt;"",INDEX(properties!A$1:CB$87,'Fórmula'!F71,32)),IF(INDEX(properties!A$1:CB$87,'Fórmula'!H71,32)&lt;&gt;"",INDEX(properties!A$1:CB$87,'Fórmula'!H71,32)),IF(INDEX(properties!A$1:CB$87,'Fórmula'!J71,32)&lt;&gt;"",INDEX(properties!A$1:CB$87,'Fórmula'!J71,32)))</f>
        <v>6.126456</v>
      </c>
      <c r="DC71" s="119">
        <f t="array" ref="DC71">MAX(INDEX(properties!A$1:CB$87,'Fórmula'!B71,32),INDEX(properties!A$1:CB$87,'Fórmula'!D71,32),INDEX(properties!A$1:CB$87,'Fórmula'!F71,32),INDEX(properties!A$1:CB$87,'Fórmula'!H71,32),INDEX(properties!A$1:CB$87,'Fórmula'!J71,32))</f>
        <v>7.54</v>
      </c>
      <c r="DD71" s="119">
        <f t="array" ref="DD71">MIN(IF(INDEX(properties!A$1:CB$87,'Fórmula'!B71,32)=0,10^6,INDEX(properties!A$1:CB$87,'Fórmula'!B71,32)),IF(INDEX(properties!A$1:CB$87,'Fórmula'!D71,32)=0,10^6,INDEX(properties!A$1:CB$87,'Fórmula'!D71,32)),IF(INDEX(properties!A$1:CB$87,'Fórmula'!F71,32)=0,10^6,INDEX(properties!A$1:CB$87,'Fórmula'!F71,32)),IF(INDEX(properties!A$1:CB$87,'Fórmula'!H71,32)=0,10^6,INDEX(properties!A$1:CB$87,'Fórmula'!H71,32)),IF(INDEX(properties!A$1:CB$87,'Fórmula'!J71,32)=0,10^6,INDEX(properties!A$1:CB$87,'Fórmula'!J71,32)))</f>
        <v>2.4</v>
      </c>
      <c r="DE71" s="119">
        <f t="shared" si="18"/>
        <v>5.14</v>
      </c>
      <c r="DF71" s="104">
        <f t="array" ref="DF71">(('Fórmula'!C71)/('Fórmula'!C71+'Fórmula'!E71+'Fórmula'!G71+'Fórmula'!I71+'Fórmula'!K71))*(INDEX(properties!A$1:CB$87,'Fórmula'!B71,34))+(('Fórmula'!E71)/('Fórmula'!C71+'Fórmula'!E71+'Fórmula'!G71+'Fórmula'!I71+'Fórmula'!K71))*(INDEX(properties!A$1:CB$87,'Fórmula'!D71,34))+(('Fórmula'!G71)/('Fórmula'!C71+'Fórmula'!E71+'Fórmula'!G71+'Fórmula'!I71+'Fórmula'!K71))*(INDEX(properties!A$1:CB$87,'Fórmula'!F71,34))+(('Fórmula'!I71)/('Fórmula'!C71+'Fórmula'!E71+'Fórmula'!G71+'Fórmula'!I71+'Fórmula'!K71))*(INDEX(properties!A$1:CB$87,'Fórmula'!H71,34))+(('Fórmula'!K71)/('Fórmula'!C71+'Fórmula'!E71+'Fórmula'!G71+'Fórmula'!I71+'Fórmula'!K71))*(INDEX(properties!A$1:CB$87,'Fórmula'!J71,34))</f>
        <v>2.445666667</v>
      </c>
      <c r="DG71" s="104">
        <f t="array" ref="DG71">'Fórmula'!C71*(INDEX(properties!A$1:CB$87,'Fórmula'!B71,34))+'Fórmula'!E71*(INDEX(properties!A$1:CB$87,'Fórmula'!D71,34))+'Fórmula'!G71*(INDEX(properties!A$1:CB$87,'Fórmula'!F71,34))+'Fórmula'!I71*(INDEX(properties!A$1:CB$87,'Fórmula'!H71,34))+'Fórmula'!K71*(INDEX(properties!A$1:CB$87,'Fórmula'!J71,34))</f>
        <v>14.674</v>
      </c>
      <c r="DH71" s="104">
        <f t="array" ref="DH71">VARP(IF(INDEX(properties!A$1:CB$87,'Fórmula'!B71,34)&lt;&gt;"",INDEX(properties!A$1:CB$87,'Fórmula'!B71,34)),IF(INDEX(properties!A$1:CB$87,'Fórmula'!D71,34)&lt;&gt;"",INDEX(properties!A$1:CB$87,'Fórmula'!D71,34)),IF(INDEX(properties!A$1:CB$87,'Fórmula'!F71,34)&lt;&gt;"",INDEX(properties!A$1:CB$87,'Fórmula'!F71,34)),IF(INDEX(properties!A$1:CB$87,'Fórmula'!H71,34)&lt;&gt;"",INDEX(properties!A$1:CB$87,'Fórmula'!H71,34)),IF(INDEX(properties!A$1:CB$87,'Fórmula'!J71,34)&lt;&gt;"",INDEX(properties!A$1:CB$87,'Fórmula'!J71,34)))</f>
        <v>1.54683656</v>
      </c>
      <c r="DI71" s="104">
        <f t="array" ref="DI71">MAX(INDEX(properties!A$1:CB$87,'Fórmula'!B71,34),INDEX(properties!A$1:CB$87,'Fórmula'!D71,34),INDEX(properties!A$1:CB$87,'Fórmula'!F71,34),INDEX(properties!A$1:CB$87,'Fórmula'!H71,34),INDEX(properties!A$1:CB$87,'Fórmula'!J71,34))</f>
        <v>3.61</v>
      </c>
      <c r="DJ71" s="104">
        <f t="array" ref="DJ71">MIN(IF(INDEX(properties!A$1:CB$87,'Fórmula'!B71,34)=0,10^6,INDEX(properties!A$1:CB$87,'Fórmula'!B71,34)),IF(INDEX(properties!A$1:CB$87,'Fórmula'!D71,34)=0,10^6,INDEX(properties!A$1:CB$87,'Fórmula'!D71,34)),IF(INDEX(properties!A$1:CB$87,'Fórmula'!F71,34)=0,10^6,INDEX(properties!A$1:CB$87,'Fórmula'!F71,34)),IF(INDEX(properties!A$1:CB$87,'Fórmula'!H71,34)=0,10^6,INDEX(properties!A$1:CB$87,'Fórmula'!H71,34)),IF(INDEX(properties!A$1:CB$87,'Fórmula'!J71,34)=0,10^6,INDEX(properties!A$1:CB$87,'Fórmula'!J71,34)))</f>
        <v>0.881</v>
      </c>
      <c r="DK71" s="104">
        <f t="shared" si="19"/>
        <v>2.729</v>
      </c>
      <c r="DL71" s="105">
        <f t="array" ref="DL71">(('Fórmula'!C71)/('Fórmula'!C71+'Fórmula'!E71+'Fórmula'!G71+'Fórmula'!I71+'Fórmula'!K71))*(INDEX(properties!A$1:CB$87,'Fórmula'!B71,37))+(('Fórmula'!E71)/('Fórmula'!C71+'Fórmula'!E71+'Fórmula'!G71+'Fórmula'!I71+'Fórmula'!K71))*(INDEX(properties!A$1:CB$87,'Fórmula'!D71,37))+(('Fórmula'!G71)/('Fórmula'!C71+'Fórmula'!E71+'Fórmula'!G71+'Fórmula'!I71+'Fórmula'!K71))*(INDEX(properties!A$1:CB$87,'Fórmula'!F71,37))+(('Fórmula'!I71)/('Fórmula'!C71+'Fórmula'!E71+'Fórmula'!G71+'Fórmula'!I71+'Fórmula'!K71))*(INDEX(properties!A$1:CB$87,'Fórmula'!H71,37))+(('Fórmula'!K71)/('Fórmula'!C71+'Fórmula'!E71+'Fórmula'!G71+'Fórmula'!I71+'Fórmula'!K71))*(INDEX(properties!A$1:CB$87,'Fórmula'!J71,37))</f>
        <v>2.35</v>
      </c>
      <c r="DM71" s="105">
        <f t="array" ref="DM71">'Fórmula'!C71*(INDEX(properties!A$1:CB$87,'Fórmula'!B71,37))+'Fórmula'!E71*(INDEX(properties!A$1:CB$87,'Fórmula'!D71,37))+'Fórmula'!G71*(INDEX(properties!A$1:CB$87,'Fórmula'!F71,37))+'Fórmula'!I71*(INDEX(properties!A$1:CB$87,'Fórmula'!H71,37))+'Fórmula'!K71*(INDEX(properties!A$1:CB$87,'Fórmula'!J71,37))</f>
        <v>14.1</v>
      </c>
      <c r="DN71" s="105">
        <f t="array" ref="DN71">VARP(IF(INDEX(properties!A$1:CB$87,'Fórmula'!B71,37)&lt;&gt;"",INDEX(properties!A$1:CB$87,'Fórmula'!B71,37)),IF(INDEX(properties!A$1:CB$87,'Fórmula'!D71,37)&lt;&gt;"",INDEX(properties!A$1:CB$87,'Fórmula'!D71,37)),IF(INDEX(properties!A$1:CB$87,'Fórmula'!F71,37)&lt;&gt;"",INDEX(properties!A$1:CB$87,'Fórmula'!F71,37)),IF(INDEX(properties!A$1:CB$87,'Fórmula'!H71,37)&lt;&gt;"",INDEX(properties!A$1:CB$87,'Fórmula'!H71,37)),IF(INDEX(properties!A$1:CB$87,'Fórmula'!J71,37)&lt;&gt;"",INDEX(properties!A$1:CB$87,'Fórmula'!J71,37)))</f>
        <v>1.3714</v>
      </c>
      <c r="DO71" s="105">
        <f t="array" ref="DO71">MAX(INDEX(properties!A$1:CB$87,'Fórmula'!B71,37),INDEX(properties!A$1:CB$87,'Fórmula'!D71,37),INDEX(properties!A$1:CB$87,'Fórmula'!F71,37),INDEX(properties!A$1:CB$87,'Fórmula'!H71,37),INDEX(properties!A$1:CB$87,'Fórmula'!J71,37))</f>
        <v>3.45</v>
      </c>
      <c r="DP71" s="105">
        <f t="array" ref="DP71">MIN(IF(INDEX(properties!A$1:CB$87,'Fórmula'!B71,37)=0,10^6,INDEX(properties!A$1:CB$87,'Fórmula'!B71,37)),IF(INDEX(properties!A$1:CB$87,'Fórmula'!D71,37)=0,10^6,INDEX(properties!A$1:CB$87,'Fórmula'!D71,37)),IF(INDEX(properties!A$1:CB$87,'Fórmula'!F71,37)=0,10^6,INDEX(properties!A$1:CB$87,'Fórmula'!F71,37)),IF(INDEX(properties!A$1:CB$87,'Fórmula'!H71,37)=0,10^6,INDEX(properties!A$1:CB$87,'Fórmula'!H71,37)),IF(INDEX(properties!A$1:CB$87,'Fórmula'!J71,37)=0,10^6,INDEX(properties!A$1:CB$87,'Fórmula'!J71,37)))</f>
        <v>0.9</v>
      </c>
      <c r="DQ71" s="105">
        <f t="shared" si="20"/>
        <v>2.55</v>
      </c>
      <c r="DR71" s="109">
        <f t="array" ref="DR71">(('Fórmula'!C71)/('Fórmula'!C71+'Fórmula'!E71+'Fórmula'!G71+'Fórmula'!I71+'Fórmula'!K71))*(INDEX(properties!A$1:CB$87,'Fórmula'!B71,39))+(('Fórmula'!E71)/('Fórmula'!C71+'Fórmula'!E71+'Fórmula'!G71+'Fórmula'!I71+'Fórmula'!K71))*(INDEX(properties!A$1:CB$87,'Fórmula'!D71,39))+(('Fórmula'!G71)/('Fórmula'!C71+'Fórmula'!E71+'Fórmula'!G71+'Fórmula'!I71+'Fórmula'!K71))*(INDEX(properties!A$1:CB$87,'Fórmula'!F71,39))+(('Fórmula'!I71)/('Fórmula'!C71+'Fórmula'!E71+'Fórmula'!G71+'Fórmula'!I71+'Fórmula'!K71))*(INDEX(properties!A$1:CB$87,'Fórmula'!H71,39))+(('Fórmula'!K71)/('Fórmula'!C71+'Fórmula'!E71+'Fórmula'!G71+'Fórmula'!I71+'Fórmula'!K71))*(INDEX(properties!A$1:CB$87,'Fórmula'!J71,39))</f>
        <v>1.085</v>
      </c>
      <c r="DS71" s="109">
        <f t="array" ref="DS71">'Fórmula'!C71*(INDEX(properties!A$1:CB$87,'Fórmula'!B71,39))+'Fórmula'!E71*(INDEX(properties!A$1:CB$87,'Fórmula'!D71,39))+'Fórmula'!G71*(INDEX(properties!A$1:CB$87,'Fórmula'!F71,39))+'Fórmula'!I71*(INDEX(properties!A$1:CB$87,'Fórmula'!H71,39))+'Fórmula'!K71*(INDEX(properties!A$1:CB$87,'Fórmula'!J71,39))</f>
        <v>6.51</v>
      </c>
      <c r="DT71" s="109">
        <f t="array" ref="DT71">VARP(IF(INDEX(properties!A$1:CB$87,'Fórmula'!B71,39)&lt;&gt;"",INDEX(properties!A$1:CB$87,'Fórmula'!B71,39)),IF(INDEX(properties!A$1:CB$87,'Fórmula'!D71,39)&lt;&gt;"",INDEX(properties!A$1:CB$87,'Fórmula'!D71,39)),IF(INDEX(properties!A$1:CB$87,'Fórmula'!F71,39)&lt;&gt;"",INDEX(properties!A$1:CB$87,'Fórmula'!F71,39)),IF(INDEX(properties!A$1:CB$87,'Fórmula'!H71,39)&lt;&gt;"",INDEX(properties!A$1:CB$87,'Fórmula'!H71,39)),IF(INDEX(properties!A$1:CB$87,'Fórmula'!J71,39)&lt;&gt;"",INDEX(properties!A$1:CB$87,'Fórmula'!J71,39)))</f>
        <v>0.80332</v>
      </c>
      <c r="DU71" s="120">
        <f t="array" ref="DU71">MAX(INDEX(properties!A$1:CB$87,'Fórmula'!B71,39),INDEX(properties!A$1:CB$87,'Fórmula'!D71,39),INDEX(properties!A$1:CB$87,'Fórmula'!F71,39),INDEX(properties!A$1:CB$87,'Fórmula'!H71,39),INDEX(properties!A$1:CB$87,'Fórmula'!J71,39))</f>
        <v>2.53</v>
      </c>
      <c r="DV71" s="120">
        <f t="array" ref="DV71">MIN(IF(INDEX(properties!A$1:CB$87,'Fórmula'!B71,39)=0,10^6,INDEX(properties!A$1:CB$87,'Fórmula'!B71,39)),IF(INDEX(properties!A$1:CB$87,'Fórmula'!D71,39)=0,10^6,INDEX(properties!A$1:CB$87,'Fórmula'!D71,39)),IF(INDEX(properties!A$1:CB$87,'Fórmula'!F71,39)=0,10^6,INDEX(properties!A$1:CB$87,'Fórmula'!F71,39)),IF(INDEX(properties!A$1:CB$87,'Fórmula'!H71,39)=0,10^6,INDEX(properties!A$1:CB$87,'Fórmula'!H71,39)),IF(INDEX(properties!A$1:CB$87,'Fórmula'!J71,39)=0,10^6,INDEX(properties!A$1:CB$87,'Fórmula'!J71,39)))</f>
        <v>0.48</v>
      </c>
      <c r="DW71" s="109">
        <f t="shared" si="21"/>
        <v>2.05</v>
      </c>
      <c r="DX71" s="110">
        <f t="array" ref="DX71">(('Fórmula'!C71)/('Fórmula'!C71+'Fórmula'!E71+'Fórmula'!G71+'Fórmula'!I71+'Fórmula'!K71))*(INDEX(properties!A$1:CB$87,'Fórmula'!B71,40))+(('Fórmula'!E71)/('Fórmula'!C71+'Fórmula'!E71+'Fórmula'!G71+'Fórmula'!I71+'Fórmula'!K71))*(INDEX(properties!A$1:CB$87,'Fórmula'!D71,40))+(('Fórmula'!G71)/('Fórmula'!C71+'Fórmula'!E71+'Fórmula'!G71+'Fórmula'!I71+'Fórmula'!K71))*(INDEX(properties!A$1:CB$87,'Fórmula'!F71,40))+(('Fórmula'!I71)/('Fórmula'!C71+'Fórmula'!E71+'Fórmula'!G71+'Fórmula'!I71+'Fórmula'!K71))*(INDEX(properties!A$1:CB$87,'Fórmula'!H71,40))+(('Fórmula'!K71)/('Fórmula'!C71+'Fórmula'!E71+'Fórmula'!G71+'Fórmula'!I71+'Fórmula'!K71))*(INDEX(properties!A$1:CB$87,'Fórmula'!J71,40))</f>
        <v>1.055</v>
      </c>
      <c r="DY71" s="110">
        <f t="array" ref="DY71">'Fórmula'!C71*(INDEX(properties!A$1:CB$87,'Fórmula'!B71,40))+'Fórmula'!E71*(INDEX(properties!A$1:CB$87,'Fórmula'!D71,40))+'Fórmula'!G71*(INDEX(properties!A$1:CB$87,'Fórmula'!F71,40))+'Fórmula'!I71*(INDEX(properties!A$1:CB$87,'Fórmula'!H71,40))+'Fórmula'!K71*(INDEX(properties!A$1:CB$87,'Fórmula'!J71,40))</f>
        <v>6.33</v>
      </c>
      <c r="DZ71" s="110">
        <f t="array" ref="DZ71">VARP(IF(INDEX(properties!A$1:CB$87,'Fórmula'!B71,40)&lt;&gt;"",INDEX(properties!A$1:CB$87,'Fórmula'!B71,40)),IF(INDEX(properties!A$1:CB$87,'Fórmula'!D71,40)&lt;&gt;"",INDEX(properties!A$1:CB$87,'Fórmula'!D71,40)),IF(INDEX(properties!A$1:CB$87,'Fórmula'!F71,40)&lt;&gt;"",INDEX(properties!A$1:CB$87,'Fórmula'!F71,40)),IF(INDEX(properties!A$1:CB$87,'Fórmula'!H71,40)&lt;&gt;"",INDEX(properties!A$1:CB$87,'Fórmula'!H71,40)),IF(INDEX(properties!A$1:CB$87,'Fórmula'!J71,40)&lt;&gt;"",INDEX(properties!A$1:CB$87,'Fórmula'!J71,40)))</f>
        <v>0.435584</v>
      </c>
      <c r="EA71" s="121">
        <f t="array" ref="EA71">MAX(INDEX(properties!A$1:CB$87,'Fórmula'!B71,40),INDEX(properties!A$1:CB$87,'Fórmula'!D71,40),INDEX(properties!A$1:CB$87,'Fórmula'!F71,40),INDEX(properties!A$1:CB$87,'Fórmula'!H71,40),INDEX(properties!A$1:CB$87,'Fórmula'!J71,40))</f>
        <v>1.98</v>
      </c>
      <c r="EB71" s="121">
        <f t="array" ref="EB71">MIN(IF(INDEX(properties!A$1:CB$87,'Fórmula'!B71,40)=0,10^6,INDEX(properties!A$1:CB$87,'Fórmula'!B71,40)),IF(INDEX(properties!A$1:CB$87,'Fórmula'!D71,40)=0,10^6,INDEX(properties!A$1:CB$87,'Fórmula'!D71,40)),IF(INDEX(properties!A$1:CB$87,'Fórmula'!F71,40)=0,10^6,INDEX(properties!A$1:CB$87,'Fórmula'!F71,40)),IF(INDEX(properties!A$1:CB$87,'Fórmula'!H71,40)=0,10^6,INDEX(properties!A$1:CB$87,'Fórmula'!H71,40)),IF(INDEX(properties!A$1:CB$87,'Fórmula'!J71,40)=0,10^6,INDEX(properties!A$1:CB$87,'Fórmula'!J71,40)))</f>
        <v>0.73</v>
      </c>
      <c r="EC71" s="110">
        <f t="shared" si="22"/>
        <v>1.25</v>
      </c>
      <c r="ED71" s="111">
        <f t="array" ref="ED71">(('Fórmula'!C71)/('Fórmula'!C71+'Fórmula'!E71+'Fórmula'!G71+'Fórmula'!I71+'Fórmula'!K71))*(INDEX(properties!A$1:CB$87,'Fórmula'!B71,41))+(('Fórmula'!E71)/('Fórmula'!C71+'Fórmula'!E71+'Fórmula'!G71+'Fórmula'!I71+'Fórmula'!K71))*(INDEX(properties!A$1:CB$87,'Fórmula'!D71,41))+(('Fórmula'!G71)/('Fórmula'!C71+'Fórmula'!E71+'Fórmula'!G71+'Fórmula'!I71+'Fórmula'!K71))*(INDEX(properties!A$1:CB$87,'Fórmula'!F71,41))+(('Fórmula'!I71)/('Fórmula'!C71+'Fórmula'!E71+'Fórmula'!G71+'Fórmula'!I71+'Fórmula'!K71))*(INDEX(properties!A$1:CB$87,'Fórmula'!H71,41))+(('Fórmula'!K71)/('Fórmula'!C71+'Fórmula'!E71+'Fórmula'!G71+'Fórmula'!I71+'Fórmula'!K71))*(INDEX(properties!A$1:CB$87,'Fórmula'!J71,41))</f>
        <v>1.096666667</v>
      </c>
      <c r="EE71" s="111">
        <f t="array" ref="EE71">'Fórmula'!C71*(INDEX(properties!A$1:CB$87,'Fórmula'!B71,41))+'Fórmula'!E71*(INDEX(properties!A$1:CB$87,'Fórmula'!D71,41))+'Fórmula'!G71*(INDEX(properties!A$1:CB$87,'Fórmula'!F71,41))+'Fórmula'!I71*(INDEX(properties!A$1:CB$87,'Fórmula'!H71,41))+'Fórmula'!K71*(INDEX(properties!A$1:CB$87,'Fórmula'!J71,41))</f>
        <v>6.58</v>
      </c>
      <c r="EF71" s="111">
        <f t="array" ref="EF71">VARP(IF(INDEX(properties!A$1:CB$87,'Fórmula'!B71,41)&lt;&gt;"",INDEX(properties!A$1:CB$87,'Fórmula'!B71,41)),IF(INDEX(properties!A$1:CB$87,'Fórmula'!D71,41)&lt;&gt;"",INDEX(properties!A$1:CB$87,'Fórmula'!D71,41)),IF(INDEX(properties!A$1:CB$87,'Fórmula'!F71,41)&lt;&gt;"",INDEX(properties!A$1:CB$87,'Fórmula'!F71,41)),IF(INDEX(properties!A$1:CB$87,'Fórmula'!H71,41)&lt;&gt;"",INDEX(properties!A$1:CB$87,'Fórmula'!H71,41)),IF(INDEX(properties!A$1:CB$87,'Fórmula'!J71,41)&lt;&gt;"",INDEX(properties!A$1:CB$87,'Fórmula'!J71,41)))</f>
        <v>0.297816</v>
      </c>
      <c r="EG71" s="122">
        <f t="array" ref="EG71">MAX(INDEX(properties!A$1:CB$87,'Fórmula'!B71,41),INDEX(properties!A$1:CB$87,'Fórmula'!D71,41),INDEX(properties!A$1:CB$87,'Fórmula'!F71,41),INDEX(properties!A$1:CB$87,'Fórmula'!H71,41),INDEX(properties!A$1:CB$87,'Fórmula'!J71,41))</f>
        <v>1.49</v>
      </c>
      <c r="EH71" s="122">
        <f t="array" ref="EH71">MIN(IF(INDEX(properties!A$1:CB$87,'Fórmula'!B71,41)=0,10^6,INDEX(properties!A$1:CB$87,'Fórmula'!B71,41)),IF(INDEX(properties!A$1:CB$87,'Fórmula'!D71,41)=0,10^6,INDEX(properties!A$1:CB$87,'Fórmula'!D71,41)),IF(INDEX(properties!A$1:CB$87,'Fórmula'!F71,41)=0,10^6,INDEX(properties!A$1:CB$87,'Fórmula'!F71,41)),IF(INDEX(properties!A$1:CB$87,'Fórmula'!H71,41)=0,10^6,INDEX(properties!A$1:CB$87,'Fórmula'!H71,41)),IF(INDEX(properties!A$1:CB$87,'Fórmula'!J71,41)=0,10^6,INDEX(properties!A$1:CB$87,'Fórmula'!J71,41)))</f>
        <v>0.41</v>
      </c>
      <c r="EI71" s="111">
        <f t="shared" si="23"/>
        <v>1.08</v>
      </c>
      <c r="EJ71" s="112">
        <f t="array" ref="EJ71">(('Fórmula'!C71)/('Fórmula'!C71+'Fórmula'!E71+'Fórmula'!G71+'Fórmula'!I71+'Fórmula'!K71))*(INDEX(properties!A$1:CB$87,'Fórmula'!B71,45))+(('Fórmula'!E71)/('Fórmula'!C71+'Fórmula'!E71+'Fórmula'!G71+'Fórmula'!I71+'Fórmula'!K71))*(INDEX(properties!A$1:CB$87,'Fórmula'!D71,45))+(('Fórmula'!G71)/('Fórmula'!C71+'Fórmula'!E71+'Fórmula'!G71+'Fórmula'!I71+'Fórmula'!K71))*(INDEX(properties!A$1:CB$87,'Fórmula'!F71,45))+(('Fórmula'!I71)/('Fórmula'!C71+'Fórmula'!E71+'Fórmula'!G71+'Fórmula'!I71+'Fórmula'!K71))*(INDEX(properties!A$1:CB$87,'Fórmula'!H71,45))+(('Fórmula'!K71)/('Fórmula'!C71+'Fórmula'!E71+'Fórmula'!G71+'Fórmula'!I71+'Fórmula'!K71))*(INDEX(properties!A$1:CB$87,'Fórmula'!J71,45))</f>
        <v>1.203333333</v>
      </c>
      <c r="EK71" s="112">
        <f t="array" ref="EK71">'Fórmula'!C71*(INDEX(properties!A$1:CB$87,'Fórmula'!B71,45))+'Fórmula'!E71*(INDEX(properties!A$1:CB$87,'Fórmula'!D71,45))+'Fórmula'!G71*(INDEX(properties!A$1:CB$87,'Fórmula'!F71,45))+'Fórmula'!I71*(INDEX(properties!A$1:CB$87,'Fórmula'!H71,45))+'Fórmula'!K71*(INDEX(properties!A$1:CB$87,'Fórmula'!J71,45))</f>
        <v>7.22</v>
      </c>
      <c r="EL71" s="112">
        <f t="array" ref="EL71">VARP(IF(INDEX(properties!A$1:CB$87,'Fórmula'!B71,45)&lt;&gt;"",INDEX(properties!A$1:CB$87,'Fórmula'!B71,45)),IF(INDEX(properties!A$1:CB$87,'Fórmula'!D71,45)&lt;&gt;"",INDEX(properties!A$1:CB$87,'Fórmula'!D71,45)),IF(INDEX(properties!A$1:CB$87,'Fórmula'!F71,45)&lt;&gt;"",INDEX(properties!A$1:CB$87,'Fórmula'!F71,45)),IF(INDEX(properties!A$1:CB$87,'Fórmula'!H71,45)&lt;&gt;"",INDEX(properties!A$1:CB$87,'Fórmula'!H71,45)),IF(INDEX(properties!A$1:CB$87,'Fórmula'!J71,45)&lt;&gt;"",INDEX(properties!A$1:CB$87,'Fórmula'!J71,45)))</f>
        <v>1.425064</v>
      </c>
      <c r="EM71" s="123">
        <f t="array" ref="EM71">MAX(INDEX(properties!A$1:CB$87,'Fórmula'!B71,45),INDEX(properties!A$1:CB$87,'Fórmula'!D71,45),INDEX(properties!A$1:CB$87,'Fórmula'!F71,45),INDEX(properties!A$1:CB$87,'Fórmula'!H71,45),INDEX(properties!A$1:CB$87,'Fórmula'!J71,45))</f>
        <v>3.4</v>
      </c>
      <c r="EN71" s="123">
        <f t="array" ref="EN71">MIN(IF(INDEX(properties!A$1:CB$87,'Fórmula'!B71,45)=0,10^6,INDEX(properties!A$1:CB$87,'Fórmula'!B71,45)),IF(INDEX(properties!A$1:CB$87,'Fórmula'!D71,45)=0,10^6,INDEX(properties!A$1:CB$87,'Fórmula'!D71,45)),IF(INDEX(properties!A$1:CB$87,'Fórmula'!F71,45)=0,10^6,INDEX(properties!A$1:CB$87,'Fórmula'!F71,45)),IF(INDEX(properties!A$1:CB$87,'Fórmula'!H71,45)=0,10^6,INDEX(properties!A$1:CB$87,'Fórmula'!H71,45)),IF(INDEX(properties!A$1:CB$87,'Fórmula'!J71,45)=0,10^6,INDEX(properties!A$1:CB$87,'Fórmula'!J71,45)))</f>
        <v>0.47</v>
      </c>
      <c r="EO71" s="112">
        <f t="shared" si="24"/>
        <v>2.93</v>
      </c>
      <c r="EP71" s="113">
        <f t="array" ref="EP71">(('Fórmula'!C71)/('Fórmula'!C71+'Fórmula'!E71+'Fórmula'!G71+'Fórmula'!I71+'Fórmula'!K71))*(INDEX(properties!A$1:CB$87,'Fórmula'!B71,46))+(('Fórmula'!E71)/('Fórmula'!C71+'Fórmula'!E71+'Fórmula'!G71+'Fórmula'!I71+'Fórmula'!K71))*(INDEX(properties!A$1:CB$87,'Fórmula'!D71,46))+(('Fórmula'!G71)/('Fórmula'!C71+'Fórmula'!E71+'Fórmula'!G71+'Fórmula'!I71+'Fórmula'!K71))*(INDEX(properties!A$1:CB$87,'Fórmula'!F71,46))+(('Fórmula'!I71)/('Fórmula'!C71+'Fórmula'!E71+'Fórmula'!G71+'Fórmula'!I71+'Fórmula'!K71))*(INDEX(properties!A$1:CB$87,'Fórmula'!H71,46))+(('Fórmula'!K71)/('Fórmula'!C71+'Fórmula'!E71+'Fórmula'!G71+'Fórmula'!I71+'Fórmula'!K71))*(INDEX(properties!A$1:CB$87,'Fórmula'!J71,46))</f>
        <v>1.045</v>
      </c>
      <c r="EQ71" s="113">
        <f t="array" ref="EQ71">'Fórmula'!C71*(INDEX(properties!A$1:CB$87,'Fórmula'!B71,46))+'Fórmula'!E71*(INDEX(properties!A$1:CB$87,'Fórmula'!D71,46))+'Fórmula'!G71*(INDEX(properties!A$1:CB$87,'Fórmula'!F71,46))+'Fórmula'!I71*(INDEX(properties!A$1:CB$87,'Fórmula'!H71,46))+'Fórmula'!K71*(INDEX(properties!A$1:CB$87,'Fórmula'!J71,46))</f>
        <v>6.27</v>
      </c>
      <c r="ER71" s="113">
        <f t="array" ref="ER71">VARP(IF(INDEX(properties!A$1:CB$87,'Fórmula'!B71,46)&lt;&gt;"",INDEX(properties!A$1:CB$87,'Fórmula'!B71,46)),IF(INDEX(properties!A$1:CB$87,'Fórmula'!D71,46)&lt;&gt;"",INDEX(properties!A$1:CB$87,'Fórmula'!D71,46)),IF(INDEX(properties!A$1:CB$87,'Fórmula'!F71,46)&lt;&gt;"",INDEX(properties!A$1:CB$87,'Fórmula'!F71,46)),IF(INDEX(properties!A$1:CB$87,'Fórmula'!H71,46)&lt;&gt;"",INDEX(properties!A$1:CB$87,'Fórmula'!H71,46)),IF(INDEX(properties!A$1:CB$87,'Fórmula'!J71,46)&lt;&gt;"",INDEX(properties!A$1:CB$87,'Fórmula'!J71,46)))</f>
        <v>0.31844</v>
      </c>
      <c r="ES71" s="124">
        <f t="array" ref="ES71">MAX(INDEX(properties!A$1:CB$87,'Fórmula'!B71,46),INDEX(properties!A$1:CB$87,'Fórmula'!D71,46),INDEX(properties!A$1:CB$87,'Fórmula'!F71,46),INDEX(properties!A$1:CB$87,'Fórmula'!H71,46),INDEX(properties!A$1:CB$87,'Fórmula'!J71,46))</f>
        <v>1.49</v>
      </c>
      <c r="ET71" s="124">
        <f t="array" ref="ET71">MIN(IF(INDEX(properties!A$1:CB$87,'Fórmula'!B71,46)=0,10^6,INDEX(properties!A$1:CB$87,'Fórmula'!B71,46)),IF(INDEX(properties!A$1:CB$87,'Fórmula'!D71,46)=0,10^6,INDEX(properties!A$1:CB$87,'Fórmula'!D71,46)),IF(INDEX(properties!A$1:CB$87,'Fórmula'!F71,46)=0,10^6,INDEX(properties!A$1:CB$87,'Fórmula'!F71,46)),IF(INDEX(properties!A$1:CB$87,'Fórmula'!H71,46)=0,10^6,INDEX(properties!A$1:CB$87,'Fórmula'!H71,46)),IF(INDEX(properties!A$1:CB$87,'Fórmula'!J71,46)=0,10^6,INDEX(properties!A$1:CB$87,'Fórmula'!J71,46)))</f>
        <v>0.25</v>
      </c>
      <c r="EU71" s="113">
        <f t="shared" si="25"/>
        <v>1.24</v>
      </c>
      <c r="EV71" s="114">
        <f t="array" ref="EV71">(('Fórmula'!C71)/('Fórmula'!C71+'Fórmula'!E71+'Fórmula'!G71+'Fórmula'!I71+'Fórmula'!K71))*(INDEX(properties!A$1:CB$87,'Fórmula'!B71,52))+(('Fórmula'!E71)/('Fórmula'!C71+'Fórmula'!E71+'Fórmula'!G71+'Fórmula'!I71+'Fórmula'!K71))*(INDEX(properties!A$1:CB$87,'Fórmula'!D71,52))+(('Fórmula'!G71)/('Fórmula'!C71+'Fórmula'!E71+'Fórmula'!G71+'Fórmula'!I71+'Fórmula'!K71))*(INDEX(properties!A$1:CB$87,'Fórmula'!F71,52))+(('Fórmula'!I71)/('Fórmula'!C71+'Fórmula'!E71+'Fórmula'!G71+'Fórmula'!I71+'Fórmula'!K71))*(INDEX(properties!A$1:CB$87,'Fórmula'!H71,52))+(('Fórmula'!K71)/('Fórmula'!C71+'Fórmula'!E71+'Fórmula'!G71+'Fórmula'!I71+'Fórmula'!K71))*(INDEX(properties!A$1:CB$87,'Fórmula'!J71,52))</f>
        <v>11.56316667</v>
      </c>
      <c r="EW71" s="114">
        <f t="array" ref="EW71">'Fórmula'!C71*(INDEX(properties!A$1:CB$87,'Fórmula'!B71,52))+'Fórmula'!E71*(INDEX(properties!A$1:CB$87,'Fórmula'!D71,52))+'Fórmula'!G71*(INDEX(properties!A$1:CB$87,'Fórmula'!F71,52))+'Fórmula'!I71*(INDEX(properties!A$1:CB$87,'Fórmula'!H71,52))+'Fórmula'!K71*(INDEX(properties!A$1:CB$87,'Fórmula'!J71,52))</f>
        <v>69.379</v>
      </c>
      <c r="EX71" s="114">
        <f t="array" ref="EX71">VARP(IF(INDEX(properties!A$1:CB$87,'Fórmula'!B71,52)&lt;&gt;"",INDEX(properties!A$1:CB$87,'Fórmula'!B71,52)),IF(INDEX(properties!A$1:CB$87,'Fórmula'!D71,52)&lt;&gt;"",INDEX(properties!A$1:CB$87,'Fórmula'!D71,52)),IF(INDEX(properties!A$1:CB$87,'Fórmula'!F71,52)&lt;&gt;"",INDEX(properties!A$1:CB$87,'Fórmula'!F71,52)),IF(INDEX(properties!A$1:CB$87,'Fórmula'!H71,52)&lt;&gt;"",INDEX(properties!A$1:CB$87,'Fórmula'!H71,52)),IF(INDEX(properties!A$1:CB$87,'Fórmula'!J71,52)&lt;&gt;"",INDEX(properties!A$1:CB$87,'Fórmula'!J71,52)))</f>
        <v>251.4061358</v>
      </c>
      <c r="EY71" s="114">
        <f t="array" ref="EY71">MAX(INDEX(properties!A$1:CB$87,'Fórmula'!B71,52),INDEX(properties!A$1:CB$87,'Fórmula'!D71,52),INDEX(properties!A$1:CB$87,'Fórmula'!F71,52),INDEX(properties!A$1:CB$87,'Fórmula'!H71,52),INDEX(properties!A$1:CB$87,'Fórmula'!J71,52))</f>
        <v>39.7</v>
      </c>
      <c r="EZ71" s="114">
        <f t="array" ref="EZ71">MIN(IF(INDEX(properties!A$1:CB$87,'Fórmula'!B71,52)=0,10^6,INDEX(properties!A$1:CB$87,'Fórmula'!B71,52)),IF(INDEX(properties!A$1:CB$87,'Fórmula'!D71,52)=0,10^6,INDEX(properties!A$1:CB$87,'Fórmula'!D71,52)),IF(INDEX(properties!A$1:CB$87,'Fórmula'!F71,52)=0,10^6,INDEX(properties!A$1:CB$87,'Fórmula'!F71,52)),IF(INDEX(properties!A$1:CB$87,'Fórmula'!H71,52)=0,10^6,INDEX(properties!A$1:CB$87,'Fórmula'!H71,52)),IF(INDEX(properties!A$1:CB$87,'Fórmula'!J71,52)=0,10^6,INDEX(properties!A$1:CB$87,'Fórmula'!J71,52)))</f>
        <v>0.793</v>
      </c>
      <c r="FA71" s="114">
        <f t="shared" si="26"/>
        <v>38.907</v>
      </c>
      <c r="FB71" s="115">
        <f t="array" ref="FB71">(('Fórmula'!C71)/('Fórmula'!C71+'Fórmula'!E71+'Fórmula'!G71+'Fórmula'!I71+'Fórmula'!K71))*(INDEX(properties!A$1:CB$87,'Fórmula'!B71,53))+(('Fórmula'!E71)/('Fórmula'!C71+'Fórmula'!E71+'Fórmula'!G71+'Fórmula'!I71+'Fórmula'!K71))*(INDEX(properties!A$1:CB$87,'Fórmula'!D71,53))+(('Fórmula'!G71)/('Fórmula'!C71+'Fórmula'!E71+'Fórmula'!G71+'Fórmula'!I71+'Fórmula'!K71))*(INDEX(properties!A$1:CB$87,'Fórmula'!F71,53))+(('Fórmula'!I71)/('Fórmula'!C71+'Fórmula'!E71+'Fórmula'!G71+'Fórmula'!I71+'Fórmula'!K71))*(INDEX(properties!A$1:CB$87,'Fórmula'!H71,53))+(('Fórmula'!K71)/('Fórmula'!C71+'Fórmula'!E71+'Fórmula'!G71+'Fórmula'!I71+'Fórmula'!K71))*(INDEX(properties!A$1:CB$87,'Fórmula'!J71,53))</f>
        <v>661.3666667</v>
      </c>
      <c r="FC71" s="115">
        <f t="array" ref="FC71">'Fórmula'!C71*(INDEX(properties!A$1:CB$87,'Fórmula'!B71,53))+'Fórmula'!E71*(INDEX(properties!A$1:CB$87,'Fórmula'!D71,53))+'Fórmula'!G71*(INDEX(properties!A$1:CB$87,'Fórmula'!F71,53))+'Fórmula'!I71*(INDEX(properties!A$1:CB$87,'Fórmula'!H71,53))+'Fórmula'!K71*(INDEX(properties!A$1:CB$87,'Fórmula'!J71,53))</f>
        <v>3968.2</v>
      </c>
      <c r="FD71" s="115">
        <f t="array" ref="FD71">VARP(IF(INDEX(properties!A$1:CB$87,'Fórmula'!B71,53)&lt;&gt;"",INDEX(properties!A$1:CB$87,'Fórmula'!B71,53)),IF(INDEX(properties!A$1:CB$87,'Fórmula'!D71,53)&lt;&gt;"",INDEX(properties!A$1:CB$87,'Fórmula'!D71,53)),IF(INDEX(properties!A$1:CB$87,'Fórmula'!F71,53)&lt;&gt;"",INDEX(properties!A$1:CB$87,'Fórmula'!F71,53)),IF(INDEX(properties!A$1:CB$87,'Fórmula'!H71,53)&lt;&gt;"",INDEX(properties!A$1:CB$87,'Fórmula'!H71,53)),IF(INDEX(properties!A$1:CB$87,'Fórmula'!J71,53)&lt;&gt;"",INDEX(properties!A$1:CB$87,'Fórmula'!J71,53)))</f>
        <v>751959.1584</v>
      </c>
      <c r="FE71" s="115">
        <f t="array" ref="FE71">MAX(INDEX(properties!A$1:CB$87,'Fórmula'!B71,53),INDEX(properties!A$1:CB$87,'Fórmula'!D71,53),INDEX(properties!A$1:CB$87,'Fórmula'!F71,53),INDEX(properties!A$1:CB$87,'Fórmula'!H71,53),INDEX(properties!A$1:CB$87,'Fórmula'!J71,53))</f>
        <v>2352.15</v>
      </c>
      <c r="FF71" s="115">
        <f t="array" ref="FF71">MIN(IF(INDEX(properties!A$1:CB$87,'Fórmula'!B71,53)=0,10^6,INDEX(properties!A$1:CB$87,'Fórmula'!B71,53)),IF(INDEX(properties!A$1:CB$87,'Fórmula'!D71,53)=0,10^6,INDEX(properties!A$1:CB$87,'Fórmula'!D71,53)),IF(INDEX(properties!A$1:CB$87,'Fórmula'!F71,53)=0,10^6,INDEX(properties!A$1:CB$87,'Fórmula'!F71,53)),IF(INDEX(properties!A$1:CB$87,'Fórmula'!H71,53)=0,10^6,INDEX(properties!A$1:CB$87,'Fórmula'!H71,53)),IF(INDEX(properties!A$1:CB$87,'Fórmula'!J71,53)=0,10^6,INDEX(properties!A$1:CB$87,'Fórmula'!J71,53)))</f>
        <v>54.75</v>
      </c>
      <c r="FG71" s="115">
        <f t="shared" si="27"/>
        <v>2297.4</v>
      </c>
      <c r="FH71" s="117">
        <f t="array" ref="FH71">(('Fórmula'!C71)/('Fórmula'!C71+'Fórmula'!E71+'Fórmula'!G71+'Fórmula'!I71+'Fórmula'!K71))*(INDEX(properties!A$1:CB$87,'Fórmula'!B71,54))+(('Fórmula'!E71)/('Fórmula'!C71+'Fórmula'!E71+'Fórmula'!G71+'Fórmula'!I71+'Fórmula'!K71))*(INDEX(properties!A$1:CB$87,'Fórmula'!D71,54))+(('Fórmula'!G71)/('Fórmula'!C71+'Fórmula'!E71+'Fórmula'!G71+'Fórmula'!I71+'Fórmula'!K71))*(INDEX(properties!A$1:CB$87,'Fórmula'!F71,54))+(('Fórmula'!I71)/('Fórmula'!C71+'Fórmula'!E71+'Fórmula'!G71+'Fórmula'!I71+'Fórmula'!K71))*(INDEX(properties!A$1:CB$87,'Fórmula'!H71,54))+(('Fórmula'!K71)/('Fórmula'!C71+'Fórmula'!E71+'Fórmula'!G71+'Fórmula'!I71+'Fórmula'!K71))*(INDEX(properties!A$1:CB$87,'Fórmula'!J71,54))</f>
        <v>1345.625</v>
      </c>
      <c r="FI71" s="117">
        <f t="array" ref="FI71">'Fórmula'!C71*(INDEX(properties!A$1:CB$87,'Fórmula'!B71,54))+'Fórmula'!E71*(INDEX(properties!A$1:CB$87,'Fórmula'!D71,54))+'Fórmula'!G71*(INDEX(properties!A$1:CB$87,'Fórmula'!F71,54))+'Fórmula'!I71*(INDEX(properties!A$1:CB$87,'Fórmula'!H71,54))+'Fórmula'!K71*(INDEX(properties!A$1:CB$87,'Fórmula'!J71,54))</f>
        <v>8073.75</v>
      </c>
      <c r="FJ71" s="117">
        <f t="array" ref="FJ71">VARP(IF(INDEX(properties!A$1:CB$87,'Fórmula'!B71,54)&lt;&gt;"",INDEX(properties!A$1:CB$87,'Fórmula'!B71,54)),IF(INDEX(properties!A$1:CB$87,'Fórmula'!D71,54)&lt;&gt;"",INDEX(properties!A$1:CB$87,'Fórmula'!D71,54)),IF(INDEX(properties!A$1:CB$87,'Fórmula'!F71,54)&lt;&gt;"",INDEX(properties!A$1:CB$87,'Fórmula'!F71,54)),IF(INDEX(properties!A$1:CB$87,'Fórmula'!H71,54)&lt;&gt;"",INDEX(properties!A$1:CB$87,'Fórmula'!H71,54)),IF(INDEX(properties!A$1:CB$87,'Fórmula'!J71,54)&lt;&gt;"",INDEX(properties!A$1:CB$87,'Fórmula'!J71,54)))</f>
        <v>2418258.777</v>
      </c>
      <c r="FK71" s="117">
        <f t="array" ref="FK71">MAX(INDEX(properties!A$1:CB$87,'Fórmula'!B71,54),INDEX(properties!A$1:CB$87,'Fórmula'!D71,54),INDEX(properties!A$1:CB$87,'Fórmula'!F71,54),INDEX(properties!A$1:CB$87,'Fórmula'!H71,54),INDEX(properties!A$1:CB$87,'Fórmula'!J71,54))</f>
        <v>4275</v>
      </c>
      <c r="FL71" s="117">
        <f t="array" ref="FL71">MIN(IF(INDEX(properties!A$1:CB$87,'Fórmula'!B71,54)=0,10^6,INDEX(properties!A$1:CB$87,'Fórmula'!B71,54)),IF(INDEX(properties!A$1:CB$87,'Fórmula'!D71,54)=0,10^6,INDEX(properties!A$1:CB$87,'Fórmula'!D71,54)),IF(INDEX(properties!A$1:CB$87,'Fórmula'!F71,54)=0,10^6,INDEX(properties!A$1:CB$87,'Fórmula'!F71,54)),IF(INDEX(properties!A$1:CB$87,'Fórmula'!H71,54)=0,10^6,INDEX(properties!A$1:CB$87,'Fórmula'!H71,54)),IF(INDEX(properties!A$1:CB$87,'Fórmula'!J71,54)=0,10^6,INDEX(properties!A$1:CB$87,'Fórmula'!J71,54)))</f>
        <v>90.15</v>
      </c>
      <c r="FM71" s="117">
        <f t="shared" si="28"/>
        <v>4184.85</v>
      </c>
      <c r="FN71" s="118">
        <f t="array" ref="FN71">(('Fórmula'!C71)/('Fórmula'!C71+'Fórmula'!E71+'Fórmula'!G71+'Fórmula'!I71+'Fórmula'!K71))*(INDEX(properties!A$1:CB$87,'Fórmula'!B71,55))+(('Fórmula'!E71)/('Fórmula'!C71+'Fórmula'!E71+'Fórmula'!G71+'Fórmula'!I71+'Fórmula'!K71))*(INDEX(properties!A$1:CB$87,'Fórmula'!D71,55))+(('Fórmula'!G71)/('Fórmula'!C71+'Fórmula'!E71+'Fórmula'!G71+'Fórmula'!I71+'Fórmula'!K71))*(INDEX(properties!A$1:CB$87,'Fórmula'!F71,55))+(('Fórmula'!I71)/('Fórmula'!C71+'Fórmula'!E71+'Fórmula'!G71+'Fórmula'!I71+'Fórmula'!K71))*(INDEX(properties!A$1:CB$87,'Fórmula'!H71,55))+(('Fórmula'!K71)/('Fórmula'!C71+'Fórmula'!E71+'Fórmula'!G71+'Fórmula'!I71+'Fórmula'!K71))*(INDEX(properties!A$1:CB$87,'Fórmula'!J71,55))</f>
        <v>1.063215</v>
      </c>
      <c r="FO71" s="118">
        <f t="array" ref="FO71">'Fórmula'!C71*(INDEX(properties!A$1:CB$87,'Fórmula'!B71,55))+'Fórmula'!E71*(INDEX(properties!A$1:CB$87,'Fórmula'!D71,54))+'Fórmula'!G71*(INDEX(properties!A$1:CB$87,'Fórmula'!F71,55))+'Fórmula'!I71*(INDEX(properties!A$1:CB$87,'Fórmula'!H71,55))+'Fórmula'!K71*(INDEX(properties!A$1:CB$87,'Fórmula'!J71,55))</f>
        <v>1916.02929</v>
      </c>
      <c r="FP71" s="118">
        <f t="array" ref="FP71">VARP(IF(INDEX(properties!A$1:CB$87,'Fórmula'!B71,55)&lt;&gt;"",INDEX(properties!A$1:CB$87,'Fórmula'!B71,55)),IF(INDEX(properties!A$1:CB$87,'Fórmula'!D71,55)&lt;&gt;"",INDEX(properties!A$1:CB$87,'Fórmula'!D71,55)),IF(INDEX(properties!A$1:CB$87,'Fórmula'!F71,55)&lt;&gt;"",INDEX(properties!A$1:CB$87,'Fórmula'!F71,55)),IF(INDEX(properties!A$1:CB$87,'Fórmula'!H71,55)&lt;&gt;"",INDEX(properties!A$1:CB$87,'Fórmula'!H71,55)),IF(INDEX(properties!A$1:CB$87,'Fórmula'!J71,55)&lt;&gt;"",INDEX(properties!A$1:CB$87,'Fórmula'!J71,55)))</f>
        <v>1.976011027</v>
      </c>
      <c r="FQ71" s="118">
        <f t="array" ref="FQ71">MAX(INDEX(properties!A$1:CB$87,'Fórmula'!B71,55),INDEX(properties!A$1:CB$87,'Fórmula'!D71,55),INDEX(properties!A$1:CB$87,'Fórmula'!F71,55),INDEX(properties!A$1:CB$87,'Fórmula'!H71,55),INDEX(properties!A$1:CB$87,'Fórmula'!J71,55))</f>
        <v>3.5</v>
      </c>
      <c r="FR71" s="118">
        <f t="array" ref="FR71">MIN(IF(INDEX(properties!A$1:CB$87,'Fórmula'!B71,55)=0,10^6,INDEX(properties!A$1:CB$87,'Fórmula'!B71,55)),IF(INDEX(properties!A$1:CB$87,'Fórmula'!D71,55)=0,10^6,INDEX(properties!A$1:CB$87,'Fórmula'!D71,55)),IF(INDEX(properties!A$1:CB$87,'Fórmula'!F71,55)=0,10^6,INDEX(properties!A$1:CB$87,'Fórmula'!F71,55)),IF(INDEX(properties!A$1:CB$87,'Fórmula'!H71,55)=0,10^6,INDEX(properties!A$1:CB$87,'Fórmula'!H71,55)),IF(INDEX(properties!A$1:CB$87,'Fórmula'!J71,55)=0,10^6,INDEX(properties!A$1:CB$87,'Fórmula'!J71,55)))</f>
        <v>0.00143</v>
      </c>
      <c r="FS71" s="118">
        <f t="shared" si="29"/>
        <v>3.49857</v>
      </c>
      <c r="FT71" s="119">
        <f t="array" ref="FT71">(('Fórmula'!C71)/('Fórmula'!C71+'Fórmula'!E71+'Fórmula'!G71+'Fórmula'!I71+'Fórmula'!K71))*(INDEX(properties!A$1:CB$87,'Fórmula'!B71,56))+(('Fórmula'!E71)/('Fórmula'!C71+'Fórmula'!E71+'Fórmula'!G71+'Fórmula'!I71+'Fórmula'!K71))*(INDEX(properties!A$1:CB$87,'Fórmula'!D71,56))+(('Fórmula'!G71)/('Fórmula'!C71+'Fórmula'!E71+'Fórmula'!G71+'Fórmula'!I71+'Fórmula'!K71))*(INDEX(properties!A$1:CB$87,'Fórmula'!F71,56))+(('Fórmula'!I71)/('Fórmula'!C71+'Fórmula'!E71+'Fórmula'!G71+'Fórmula'!I71+'Fórmula'!K71))*(INDEX(properties!A$1:CB$87,'Fórmula'!H71,56))+(('Fórmula'!K71)/('Fórmula'!C71+'Fórmula'!E71+'Fórmula'!G71+'Fórmula'!I71+'Fórmula'!K71))*(INDEX(properties!A$1:CB$87,'Fórmula'!J71,56))</f>
        <v>1.264</v>
      </c>
      <c r="FU71" s="119">
        <f t="array" ref="FU71">'Fórmula'!C71*(INDEX(properties!A$1:CB$87,'Fórmula'!B71,56))+'Fórmula'!E71*(INDEX(properties!A$1:CB$87,'Fórmula'!D71,56))+'Fórmula'!G71*(INDEX(properties!A$1:CB$87,'Fórmula'!F71,56))+'Fórmula'!I71*(INDEX(properties!A$1:CB$87,'Fórmula'!H71,56))+'Fórmula'!K71*(INDEX(properties!A$1:CB$87,'Fórmula'!J71,56))</f>
        <v>7.584</v>
      </c>
      <c r="FV71" s="119">
        <f t="array" ref="FV71">VARP(IF(INDEX(properties!A$1:CB$87,'Fórmula'!B71,56)&lt;&gt;"",INDEX(properties!A$1:CB$87,'Fórmula'!B71,56)),IF(INDEX(properties!A$1:CB$87,'Fórmula'!D71,56)&lt;&gt;"",INDEX(properties!A$1:CB$87,'Fórmula'!D71,56)),IF(INDEX(properties!A$1:CB$87,'Fórmula'!F71,56)&lt;&gt;"",INDEX(properties!A$1:CB$87,'Fórmula'!F71,56)),IF(INDEX(properties!A$1:CB$87,'Fórmula'!H71,56)&lt;&gt;"",INDEX(properties!A$1:CB$87,'Fórmula'!H71,56)),IF(INDEX(properties!A$1:CB$87,'Fórmula'!J71,56)&lt;&gt;"",INDEX(properties!A$1:CB$87,'Fórmula'!J71,56)))</f>
        <v>1.65794176</v>
      </c>
      <c r="FW71" s="119">
        <f t="array" ref="FW71">MAX(INDEX(properties!A$1:CB$87,'Fórmula'!B71,56),INDEX(properties!A$1:CB$87,'Fórmula'!D71,56),INDEX(properties!A$1:CB$87,'Fórmula'!F71,56),INDEX(properties!A$1:CB$87,'Fórmula'!H71,56),INDEX(properties!A$1:CB$87,'Fórmula'!J71,56))</f>
        <v>3.6</v>
      </c>
      <c r="FX71" s="119">
        <f t="array" ref="FX71">MIN(IF(INDEX(properties!A$1:CB$87,'Fórmula'!B71,56)=0,10^6,INDEX(properties!A$1:CB$87,'Fórmula'!B71,56)),IF(INDEX(properties!A$1:CB$87,'Fórmula'!D71,56)=0,10^6,INDEX(properties!A$1:CB$87,'Fórmula'!D71,56)),IF(INDEX(properties!A$1:CB$87,'Fórmula'!F71,56)=0,10^6,INDEX(properties!A$1:CB$87,'Fórmula'!F71,56)),IF(INDEX(properties!A$1:CB$87,'Fórmula'!H71,56)=0,10^6,INDEX(properties!A$1:CB$87,'Fórmula'!H71,56)),IF(INDEX(properties!A$1:CB$87,'Fórmula'!J71,56)=0,10^6,INDEX(properties!A$1:CB$87,'Fórmula'!J71,56)))</f>
        <v>0.204</v>
      </c>
      <c r="FY71" s="119">
        <f t="shared" si="30"/>
        <v>3.396</v>
      </c>
      <c r="FZ71" s="104">
        <f t="array" ref="FZ71">(('Fórmula'!C71)/('Fórmula'!C71+'Fórmula'!E71+'Fórmula'!G71+'Fórmula'!I71+'Fórmula'!K71))*(INDEX(properties!A$1:CB$87,'Fórmula'!B71,57))+(('Fórmula'!E71)/('Fórmula'!C71+'Fórmula'!E71+'Fórmula'!G71+'Fórmula'!I71+'Fórmula'!K71))*(INDEX(properties!A$1:CB$87,'Fórmula'!D71,57))+(('Fórmula'!G71)/('Fórmula'!C71+'Fórmula'!E71+'Fórmula'!G71+'Fórmula'!I71+'Fórmula'!K71))*(INDEX(properties!A$1:CB$87,'Fórmula'!F71,57))+(('Fórmula'!I71)/('Fórmula'!C71+'Fórmula'!E71+'Fórmula'!G71+'Fórmula'!I71+'Fórmula'!K71))*(INDEX(properties!A$1:CB$87,'Fórmula'!H71,57))+(('Fórmula'!K71)/('Fórmula'!C71+'Fórmula'!E71+'Fórmula'!G71+'Fórmula'!I71+'Fórmula'!K71))*(INDEX(properties!A$1:CB$87,'Fórmula'!J71,57))</f>
        <v>10.26962833</v>
      </c>
      <c r="GA71" s="104">
        <f t="array" ref="GA71">'Fórmula'!C71*(INDEX(properties!A$1:CB$87,'Fórmula'!B71,57))+'Fórmula'!E71*(INDEX(properties!A$1:CB$87,'Fórmula'!D71,57))+'Fórmula'!G71*(INDEX(properties!A$1:CB$87,'Fórmula'!F71,57))+'Fórmula'!I71*(INDEX(properties!A$1:CB$87,'Fórmula'!H71,57))+'Fórmula'!K71*(INDEX(properties!A$1:CB$87,'Fórmula'!J71,57))</f>
        <v>61.61777</v>
      </c>
      <c r="GB71" s="104">
        <f t="array" ref="GB71">VARP(IF(INDEX(properties!A$1:CB$87,'Fórmula'!B71,57)&lt;&gt;"",INDEX(properties!A$1:CB$87,'Fórmula'!B71,57)),IF(INDEX(properties!A$1:CB$87,'Fórmula'!D71,57)&lt;&gt;"",INDEX(properties!A$1:CB$87,'Fórmula'!D71,57)),IF(INDEX(properties!A$1:CB$87,'Fórmula'!F71,57)&lt;&gt;"",INDEX(properties!A$1:CB$87,'Fórmula'!F71,57)),IF(INDEX(properties!A$1:CB$87,'Fórmula'!H71,57)&lt;&gt;"",INDEX(properties!A$1:CB$87,'Fórmula'!H71,57)),IF(INDEX(properties!A$1:CB$87,'Fórmula'!J71,57)&lt;&gt;"",INDEX(properties!A$1:CB$87,'Fórmula'!J71,57)))</f>
        <v>368.1469786</v>
      </c>
      <c r="GC71" s="104">
        <f t="array" ref="GC71">MAX(INDEX(properties!A$1:CB$87,'Fórmula'!B71,57),INDEX(properties!A$1:CB$87,'Fórmula'!D71,57),INDEX(properties!A$1:CB$87,'Fórmula'!F71,57),INDEX(properties!A$1:CB$87,'Fórmula'!H71,57),INDEX(properties!A$1:CB$87,'Fórmula'!J71,57))</f>
        <v>50.2</v>
      </c>
      <c r="GD71" s="104">
        <f t="array" ref="GD71">MIN(IF(INDEX(properties!A$1:CB$87,'Fórmula'!B71,57)=0,10^6,INDEX(properties!A$1:CB$87,'Fórmula'!B71,57)),IF(INDEX(properties!A$1:CB$87,'Fórmula'!D71,57)=0,10^6,INDEX(properties!A$1:CB$87,'Fórmula'!D71,57)),IF(INDEX(properties!A$1:CB$87,'Fórmula'!F71,57)=0,10^6,INDEX(properties!A$1:CB$87,'Fórmula'!F71,57)),IF(INDEX(properties!A$1:CB$87,'Fórmula'!H71,57)=0,10^6,INDEX(properties!A$1:CB$87,'Fórmula'!H71,57)),IF(INDEX(properties!A$1:CB$87,'Fórmula'!J71,57)=0,10^6,INDEX(properties!A$1:CB$87,'Fórmula'!J71,57)))</f>
        <v>0.22259</v>
      </c>
      <c r="GE71" s="104">
        <f t="shared" si="31"/>
        <v>49.97741</v>
      </c>
      <c r="GF71" s="105">
        <f t="array" ref="GF71">(('Fórmula'!C71)/('Fórmula'!C71+'Fórmula'!E71+'Fórmula'!G71+'Fórmula'!I71+'Fórmula'!K71))*(INDEX(properties!A$1:CB$87,'Fórmula'!B71,60))+(('Fórmula'!E71)/('Fórmula'!C71+'Fórmula'!E71+'Fórmula'!G71+'Fórmula'!I71+'Fórmula'!K71))*(INDEX(properties!A$1:CB$87,'Fórmula'!D71,60))+(('Fórmula'!G71)/('Fórmula'!C71+'Fórmula'!E71+'Fórmula'!G71+'Fórmula'!I71+'Fórmula'!K71))*(INDEX(properties!A$1:CB$87,'Fórmula'!F71,60))+(('Fórmula'!I71)/('Fórmula'!C71+'Fórmula'!E71+'Fórmula'!G71+'Fórmula'!I71+'Fórmula'!K71))*(INDEX(properties!A$1:CB$87,'Fórmula'!H71,60))+(('Fórmula'!K71)/('Fórmula'!C71+'Fórmula'!E71+'Fórmula'!G71+'Fórmula'!I71+'Fórmula'!K71))*(INDEX(properties!A$1:CB$87,'Fórmula'!J71,60))</f>
        <v>21.69670333</v>
      </c>
      <c r="GG71" s="105">
        <f t="array" ref="GG71">'Fórmula'!C71*(INDEX(properties!A$1:CB$87,'Fórmula'!B71,60))+'Fórmula'!E71*(INDEX(properties!A$1:CB$87,'Fórmula'!D71,60))+'Fórmula'!G71*(INDEX(properties!A$1:CB$87,'Fórmula'!F71,60))+'Fórmula'!I71*(INDEX(properties!A$1:CB$87,'Fórmula'!H71,60))+'Fórmula'!K71*(INDEX(properties!A$1:CB$87,'Fórmula'!J71,60))</f>
        <v>130.18022</v>
      </c>
      <c r="GH71" s="105">
        <f t="array" ref="GH71">VARP(IF(INDEX(properties!A$1:CB$87,'Fórmula'!B71,60)&lt;&gt;"",INDEX(properties!A$1:CB$87,'Fórmula'!B71,60)),IF(INDEX(properties!A$1:CB$87,'Fórmula'!D71,60)&lt;&gt;"",INDEX(properties!A$1:CB$87,'Fórmula'!D71,60)),IF(INDEX(properties!A$1:CB$87,'Fórmula'!F71,60)&lt;&gt;"",INDEX(properties!A$1:CB$87,'Fórmula'!F71,60)),IF(INDEX(properties!A$1:CB$87,'Fórmula'!H71,60)&lt;&gt;"",INDEX(properties!A$1:CB$87,'Fórmula'!H71,60)),IF(INDEX(properties!A$1:CB$87,'Fórmula'!J71,60)&lt;&gt;"",INDEX(properties!A$1:CB$87,'Fórmula'!J71,60)))</f>
        <v>971.0114045</v>
      </c>
      <c r="GI71" s="105">
        <f t="array" ref="GI71">MAX(INDEX(properties!A$1:CB$87,'Fórmula'!B71,60),INDEX(properties!A$1:CB$87,'Fórmula'!D71,60),INDEX(properties!A$1:CB$87,'Fórmula'!F71,60),INDEX(properties!A$1:CB$87,'Fórmula'!H71,60),INDEX(properties!A$1:CB$87,'Fórmula'!J71,60))</f>
        <v>84.7</v>
      </c>
      <c r="GJ71" s="105">
        <f t="array" ref="GJ71">MIN(IF(INDEX(properties!A$1:CB$87,'Fórmula'!B71,60)=0,10^6,INDEX(properties!A$1:CB$87,'Fórmula'!B71,60)),IF(INDEX(properties!A$1:CB$87,'Fórmula'!D71,60)=0,10^6,INDEX(properties!A$1:CB$87,'Fórmula'!D71,60)),IF(INDEX(properties!A$1:CB$87,'Fórmula'!F71,60)=0,10^6,INDEX(properties!A$1:CB$87,'Fórmula'!F71,60)),IF(INDEX(properties!A$1:CB$87,'Fórmula'!H71,60)=0,10^6,INDEX(properties!A$1:CB$87,'Fórmula'!H71,60)),IF(INDEX(properties!A$1:CB$87,'Fórmula'!J71,60)=0,10^6,INDEX(properties!A$1:CB$87,'Fórmula'!J71,60)))</f>
        <v>0.02674</v>
      </c>
      <c r="GK71" s="105">
        <f t="shared" si="32"/>
        <v>84.67326</v>
      </c>
      <c r="GL71" s="106">
        <f t="array" ref="GL71">(('Fórmula'!C71)/('Fórmula'!C71+'Fórmula'!E71+'Fórmula'!G71+'Fórmula'!I71+'Fórmula'!K71))*(INDEX(properties!A$1:CB$87,'Fórmula'!B71,62))+(('Fórmula'!E71)/('Fórmula'!C71+'Fórmula'!E71+'Fórmula'!G71+'Fórmula'!I71+'Fórmula'!K71))*(INDEX(properties!A$1:CB$87,'Fórmula'!D71,62))+(('Fórmula'!G71)/('Fórmula'!C71+'Fórmula'!E71+'Fórmula'!G71+'Fórmula'!I71+'Fórmula'!K71))*(INDEX(properties!A$1:CB$87,'Fórmula'!F71,62))+(('Fórmula'!I71)/('Fórmula'!C71+'Fórmula'!E71+'Fórmula'!G71+'Fórmula'!I71+'Fórmula'!K71))*(INDEX(properties!A$1:CB$87,'Fórmula'!H71,62))+(('Fórmula'!K71)/('Fórmula'!C71+'Fórmula'!E71+'Fórmula'!G71+'Fórmula'!I71+'Fórmula'!K71))*(INDEX(properties!A$1:CB$87,'Fórmula'!J71,62))</f>
        <v>2.866666667</v>
      </c>
      <c r="GM71" s="106">
        <f t="array" ref="GM71">'Fórmula'!C71*(INDEX(properties!A$1:CB$87,'Fórmula'!B71,62))+'Fórmula'!E71*(INDEX(properties!A$1:CB$87,'Fórmula'!D71,62))+'Fórmula'!G71*(INDEX(properties!A$1:CB$87,'Fórmula'!F71,62))+'Fórmula'!I71*(INDEX(properties!A$1:CB$87,'Fórmula'!H71,62))+'Fórmula'!K71*(INDEX(properties!A$1:CB$87,'Fórmula'!J71,62))</f>
        <v>17.2</v>
      </c>
      <c r="GN71" s="106">
        <f t="array" ref="GN71">VARP(IF(INDEX(properties!A$1:CB$87,'Fórmula'!B71,62)&lt;&gt;"",INDEX(properties!A$1:CB$87,'Fórmula'!B71,62)),IF(INDEX(properties!A$1:CB$87,'Fórmula'!D71,62)&lt;&gt;"",INDEX(properties!A$1:CB$87,'Fórmula'!D71,62)),IF(INDEX(properties!A$1:CB$87,'Fórmula'!F71,62)&lt;&gt;"",INDEX(properties!A$1:CB$87,'Fórmula'!F71,62)),IF(INDEX(properties!A$1:CB$87,'Fórmula'!H71,62)&lt;&gt;"",INDEX(properties!A$1:CB$87,'Fórmula'!H71,62)),IF(INDEX(properties!A$1:CB$87,'Fórmula'!J71,62)&lt;&gt;"",INDEX(properties!A$1:CB$87,'Fórmula'!J71,62)))</f>
        <v>3.655816</v>
      </c>
      <c r="GO71" s="106">
        <f t="array" ref="GO71">MAX(INDEX(properties!A$1:CB$87,'Fórmula'!B71,62),INDEX(properties!A$1:CB$87,'Fórmula'!D71,62),INDEX(properties!A$1:CB$87,'Fórmula'!F71,62),INDEX(properties!A$1:CB$87,'Fórmula'!H71,62),INDEX(properties!A$1:CB$87,'Fórmula'!J71,62))</f>
        <v>5.81</v>
      </c>
      <c r="GP71" s="106">
        <f t="array" ref="GP71">MIN(IF(INDEX(properties!A$1:CB$87,'Fórmula'!B71,62)=0,10^6,INDEX(properties!A$1:CB$87,'Fórmula'!B71,62)),IF(INDEX(properties!A$1:CB$87,'Fórmula'!D71,62)=0,10^6,INDEX(properties!A$1:CB$87,'Fórmula'!D71,62)),IF(INDEX(properties!A$1:CB$87,'Fórmula'!F71,62)=0,10^6,INDEX(properties!A$1:CB$87,'Fórmula'!F71,62)),IF(INDEX(properties!A$1:CB$87,'Fórmula'!H71,62)=0,10^6,INDEX(properties!A$1:CB$87,'Fórmula'!H71,62)),IF(INDEX(properties!A$1:CB$87,'Fórmula'!J71,62)=0,10^6,INDEX(properties!A$1:CB$87,'Fórmula'!J71,62)))</f>
        <v>1.63</v>
      </c>
      <c r="GQ71" s="106">
        <f t="shared" si="33"/>
        <v>4.18</v>
      </c>
      <c r="GR71" s="106">
        <f>'Fórmula'!Q71</f>
        <v>14</v>
      </c>
      <c r="GS71" s="107">
        <f>'Fórmula'!P71</f>
        <v>6</v>
      </c>
      <c r="GT71" s="113">
        <f>'Fórmula'!O71</f>
        <v>4.67</v>
      </c>
      <c r="GU71" s="114">
        <f>AVERAGE('Fórmula'!R71/'Fórmula'!S71,'Fórmula'!S71/'Fórmula'!T71,'Fórmula'!T71/'Fórmula'!R71)</f>
        <v>1.003330563</v>
      </c>
      <c r="GV71" s="125">
        <f>'Fórmula'!U71</f>
        <v>288.75</v>
      </c>
      <c r="GW71" s="106">
        <f>'Fórmula'!N71</f>
        <v>0.03</v>
      </c>
    </row>
    <row r="72" ht="14.25" customHeight="1">
      <c r="A72" s="99" t="str">
        <f>'Fórmula'!A72</f>
        <v>SrSO4</v>
      </c>
      <c r="B72" s="101">
        <f t="array" ref="B72">(('Fórmula'!C72)/('Fórmula'!C72+'Fórmula'!E72+'Fórmula'!G72+'Fórmula'!I72+'Fórmula'!K72))*(INDEX(properties!A$1:CB$87,'Fórmula'!B72,3))+(('Fórmula'!E72)/('Fórmula'!C72+'Fórmula'!E72+'Fórmula'!G72+'Fórmula'!I72+'Fórmula'!K72))*(INDEX(properties!A$1:CB$87,'Fórmula'!D72,3))+(('Fórmula'!G72)/('Fórmula'!C72+'Fórmula'!E72+'Fórmula'!G72+'Fórmula'!I72+'Fórmula'!K72))*(INDEX(properties!A$1:CB$87,'Fórmula'!F72,3))+(('Fórmula'!I72)/('Fórmula'!C72+'Fórmula'!E72+'Fórmula'!G72+'Fórmula'!I72+'Fórmula'!K72))*(INDEX(properties!A$1:CB$87,'Fórmula'!H72,3))+(('Fórmula'!K72)/('Fórmula'!C72+'Fórmula'!E72+'Fórmula'!G72+'Fórmula'!I72+'Fórmula'!K72))*(INDEX(properties!A$1:CB$87,'Fórmula'!J72,3))</f>
        <v>30.61393333</v>
      </c>
      <c r="C72" s="101">
        <f t="array" ref="C72">'Fórmula'!C72*(INDEX(properties!A$1:CB$87,'Fórmula'!B72,3))+'Fórmula'!E72*(INDEX(properties!A$1:CB$87,'Fórmula'!D72,3))+'Fórmula'!G72*(INDEX(properties!A$1:CB$87,'Fórmula'!F72,3))+'Fórmula'!I72*(INDEX(properties!A$1:CB$87,'Fórmula'!H72,3))+'Fórmula'!K72*(INDEX(properties!A$1:CB$87,'Fórmula'!J72,3))</f>
        <v>183.6836</v>
      </c>
      <c r="D72" s="101">
        <f t="array" ref="D72">VARP(IF(INDEX(properties!A$1:CB$87,'Fórmula'!B72,3)&lt;&gt;"",INDEX(properties!A$1:CB$87,'Fórmula'!B72,3)),IF(INDEX(properties!A$1:CB$87,'Fórmula'!D72,3)&lt;&gt;"",INDEX(properties!A$1:CB$87,'Fórmula'!D72,3)),IF(INDEX(properties!A$1:CB$87,'Fórmula'!F72,3)&lt;&gt;"",INDEX(properties!A$1:CB$87,'Fórmula'!F72,3)),IF(INDEX(properties!A$1:CB$87,'Fórmula'!H72,3)&lt;&gt;"",INDEX(properties!A$1:CB$87,'Fórmula'!H72,3)),IF(INDEX(properties!A$1:CB$87,'Fórmula'!J72,3)&lt;&gt;"",INDEX(properties!A$1:CB$87,'Fórmula'!J72,3)))</f>
        <v>1055.8736</v>
      </c>
      <c r="E72" s="101">
        <f t="array" ref="E72">MAX(INDEX(properties!A$1:CB$87,'Fórmula'!B72,3),INDEX(properties!A$1:CB$87,'Fórmula'!D72,3),INDEX(properties!A$1:CB$87,'Fórmula'!F72,3),INDEX(properties!A$1:CB$87,'Fórmula'!H72,3),INDEX(properties!A$1:CB$87,'Fórmula'!J72,3))</f>
        <v>87.62</v>
      </c>
      <c r="F72" s="101">
        <f t="array" ref="F72">MIN(IF(INDEX(properties!A$1:CB$87,'Fórmula'!B72,3)=0,10^6,INDEX(properties!A$1:CB$87,'Fórmula'!B72,3)),IF(INDEX(properties!A$1:CB$87,'Fórmula'!D72,3)=0,10^6,INDEX(properties!A$1:CB$87,'Fórmula'!D72,3)),IF(INDEX(properties!A$1:CB$87,'Fórmula'!F72,3)=0,10^6,INDEX(properties!A$1:CB$87,'Fórmula'!F72,3)),IF(INDEX(properties!A$1:CB$87,'Fórmula'!H72,3)=0,10^6,INDEX(properties!A$1:CB$87,'Fórmula'!H72,3)),IF(INDEX(properties!A$1:CB$87,'Fórmula'!J72,3)=0,10^6,INDEX(properties!A$1:CB$87,'Fórmula'!J72,3)))</f>
        <v>15.9994</v>
      </c>
      <c r="G72" s="101">
        <f t="shared" si="1"/>
        <v>71.6206</v>
      </c>
      <c r="H72" s="102">
        <f t="array" ref="H72">(('Fórmula'!C72)/('Fórmula'!C72+'Fórmula'!E72+'Fórmula'!G72+'Fórmula'!I72+'Fórmula'!K72))*(INDEX(properties!A$1:CB$87,'Fórmula'!B72,4))+(('Fórmula'!E72)/('Fórmula'!C72+'Fórmula'!E72+'Fórmula'!G72+'Fórmula'!I72+'Fórmula'!K72))*(INDEX(properties!A$1:CB$87,'Fórmula'!D72,4))+(('Fórmula'!G72)/('Fórmula'!C72+'Fórmula'!E72+'Fórmula'!G72+'Fórmula'!I72+'Fórmula'!K72))*(INDEX(properties!A$1:CB$87,'Fórmula'!F72,4))+(('Fórmula'!I72)/('Fórmula'!C72+'Fórmula'!E72+'Fórmula'!G72+'Fórmula'!I72+'Fórmula'!K72))*(INDEX(properties!A$1:CB$87,'Fórmula'!H72,4))+(('Fórmula'!K72)/('Fórmula'!C72+'Fórmula'!E72+'Fórmula'!G72+'Fórmula'!I72+'Fórmula'!K72))*(INDEX(properties!A$1:CB$87,'Fórmula'!J72,4))</f>
        <v>14.33333333</v>
      </c>
      <c r="I72" s="102">
        <f t="array" ref="I72">'Fórmula'!C72*(INDEX(properties!A$1:CB$87,'Fórmula'!B72,4))+'Fórmula'!E72*(INDEX(properties!A$1:CB$87,'Fórmula'!D72,4))+'Fórmula'!G72*(INDEX(properties!A$1:CB$87,'Fórmula'!F72,4))+'Fórmula'!I72*(INDEX(properties!A$1:CB$87,'Fórmula'!H72,4))+'Fórmula'!K72*(INDEX(properties!A$1:CB$87,'Fórmula'!J72,4))</f>
        <v>86</v>
      </c>
      <c r="J72" s="102">
        <f t="array" ref="J72">VARP(IF(INDEX(properties!A$1:CB$87,'Fórmula'!B72,4)&lt;&gt;"",INDEX(properties!A$1:CB$87,'Fórmula'!B72,4)),IF(INDEX(properties!A$1:CB$87,'Fórmula'!D72,4)&lt;&gt;"",INDEX(properties!A$1:CB$87,'Fórmula'!D72,4)),IF(INDEX(properties!A$1:CB$87,'Fórmula'!F72,4)&lt;&gt;"",INDEX(properties!A$1:CB$87,'Fórmula'!F72,4)),IF(INDEX(properties!A$1:CB$87,'Fórmula'!H72,4)&lt;&gt;"",INDEX(properties!A$1:CB$87,'Fórmula'!H72,4)),IF(INDEX(properties!A$1:CB$87,'Fórmula'!J72,4)&lt;&gt;"",INDEX(properties!A$1:CB$87,'Fórmula'!J72,4)))</f>
        <v>199.04</v>
      </c>
      <c r="K72" s="102">
        <f t="array" ref="K72">MAX(INDEX(properties!A$1:CB$87,'Fórmula'!B72,4),INDEX(properties!A$1:CB$87,'Fórmula'!D72,4),INDEX(properties!A$1:CB$87,'Fórmula'!F72,4),INDEX(properties!A$1:CB$87,'Fórmula'!H72,4),INDEX(properties!A$1:CB$87,'Fórmula'!J72,4))</f>
        <v>38</v>
      </c>
      <c r="L72" s="102">
        <f t="array" ref="L72">MIN(IF(INDEX(properties!A$1:CB$87,'Fórmula'!B72,4)=0,10^6,INDEX(properties!A$1:CB$87,'Fórmula'!B72,4)),IF(INDEX(properties!A$1:CB$87,'Fórmula'!D72,4)=0,10^6,INDEX(properties!A$1:CB$87,'Fórmula'!D72,4)),IF(INDEX(properties!A$1:CB$87,'Fórmula'!F72,4)=0,10^6,INDEX(properties!A$1:CB$87,'Fórmula'!F72,4)),IF(INDEX(properties!A$1:CB$87,'Fórmula'!H72,4)=0,10^6,INDEX(properties!A$1:CB$87,'Fórmula'!H72,4)),IF(INDEX(properties!A$1:CB$87,'Fórmula'!J72,4)=0,10^6,INDEX(properties!A$1:CB$87,'Fórmula'!J72,4)))</f>
        <v>8</v>
      </c>
      <c r="M72" s="102">
        <f t="shared" si="2"/>
        <v>30</v>
      </c>
      <c r="N72" s="103">
        <f t="array" ref="N72">(('Fórmula'!C72)/('Fórmula'!C72+'Fórmula'!E72+'Fórmula'!G72+'Fórmula'!I72+'Fórmula'!K72))*(INDEX(properties!A$1:CB$87,'Fórmula'!B72,5))+(('Fórmula'!E72)/('Fórmula'!C72+'Fórmula'!E72+'Fórmula'!G72+'Fórmula'!I72+'Fórmula'!K72))*(INDEX(properties!A$1:CB$87,'Fórmula'!D72,5))+(('Fórmula'!G72)/('Fórmula'!C72+'Fórmula'!E72+'Fórmula'!G72+'Fórmula'!I72+'Fórmula'!K72))*(INDEX(properties!A$1:CB$87,'Fórmula'!F72,5))+(('Fórmula'!I72)/('Fórmula'!C72+'Fórmula'!E72+'Fórmula'!G72+'Fórmula'!I72+'Fórmula'!K72))*(INDEX(properties!A$1:CB$87,'Fórmula'!H72,5))+(('Fórmula'!K72)/('Fórmula'!C72+'Fórmula'!E72+'Fórmula'!G72+'Fórmula'!I72+'Fórmula'!K72))*(INDEX(properties!A$1:CB$87,'Fórmula'!J72,5))</f>
        <v>2.666666667</v>
      </c>
      <c r="O72" s="103">
        <f t="array" ref="O72">'Fórmula'!C72*(INDEX(properties!A$1:CB$87,'Fórmula'!B72,5))+'Fórmula'!E72*(INDEX(properties!A$1:CB$87,'Fórmula'!D72,5))+'Fórmula'!G72*(INDEX(properties!A$1:CB$87,'Fórmula'!F72,5))+'Fórmula'!I72*(INDEX(properties!A$1:CB$87,'Fórmula'!H72,5))+'Fórmula'!K72*(INDEX(properties!A$1:CB$87,'Fórmula'!J72,5))</f>
        <v>16</v>
      </c>
      <c r="P72" s="103">
        <f t="array" ref="P72">VARP(IF(INDEX(properties!A$1:CB$87,'Fórmula'!B72,5)&lt;&gt;"",INDEX(properties!A$1:CB$87,'Fórmula'!B72,5)),IF(INDEX(properties!A$1:CB$87,'Fórmula'!D72,5)&lt;&gt;"",INDEX(properties!A$1:CB$87,'Fórmula'!D72,5)),IF(INDEX(properties!A$1:CB$87,'Fórmula'!F72,5)&lt;&gt;"",INDEX(properties!A$1:CB$87,'Fórmula'!F72,5)),IF(INDEX(properties!A$1:CB$87,'Fórmula'!H72,5)&lt;&gt;"",INDEX(properties!A$1:CB$87,'Fórmula'!H72,5)),IF(INDEX(properties!A$1:CB$87,'Fórmula'!J72,5)&lt;&gt;"",INDEX(properties!A$1:CB$87,'Fórmula'!J72,5)))</f>
        <v>3.6</v>
      </c>
      <c r="Q72" s="103">
        <f t="array" ref="Q72">MAX(INDEX(properties!A$1:CB$87,'Fórmula'!B72,5),INDEX(properties!A$1:CB$87,'Fórmula'!D72,5),INDEX(properties!A$1:CB$87,'Fórmula'!F72,5),INDEX(properties!A$1:CB$87,'Fórmula'!H72,5),INDEX(properties!A$1:CB$87,'Fórmula'!J72,5))</f>
        <v>5</v>
      </c>
      <c r="R72" s="103">
        <f t="array" ref="R72">MIN(IF(INDEX(properties!A$1:CB$87,'Fórmula'!B72,5)=0,10^6,INDEX(properties!A$1:CB$87,'Fórmula'!B72,5)),IF(INDEX(properties!A$1:CB$87,'Fórmula'!D72,5)=0,10^6,INDEX(properties!A$1:CB$87,'Fórmula'!D72,5)),IF(INDEX(properties!A$1:CB$87,'Fórmula'!F72,5)=0,10^6,INDEX(properties!A$1:CB$87,'Fórmula'!F72,5)),IF(INDEX(properties!A$1:CB$87,'Fórmula'!H72,5)=0,10^6,INDEX(properties!A$1:CB$87,'Fórmula'!H72,5)),IF(INDEX(properties!A$1:CB$87,'Fórmula'!J72,5)=0,10^6,INDEX(properties!A$1:CB$87,'Fórmula'!J72,5)))</f>
        <v>2</v>
      </c>
      <c r="S72" s="103">
        <f t="shared" si="3"/>
        <v>3</v>
      </c>
      <c r="T72" s="104">
        <f t="array" ref="T72">(('Fórmula'!C72)/('Fórmula'!C72+'Fórmula'!E72+'Fórmula'!G72+'Fórmula'!I72+'Fórmula'!K72))*(INDEX(properties!A$1:CB$87,'Fórmula'!B72,6))+(('Fórmula'!E72)/('Fórmula'!C72+'Fórmula'!E72+'Fórmula'!G72+'Fórmula'!I72+'Fórmula'!K72))*(INDEX(properties!A$1:CB$87,'Fórmula'!D72,6))+(('Fórmula'!G72)/('Fórmula'!C72+'Fórmula'!E72+'Fórmula'!G72+'Fórmula'!I72+'Fórmula'!K72))*(INDEX(properties!A$1:CB$87,'Fórmula'!F72,6))+(('Fórmula'!I72)/('Fórmula'!C72+'Fórmula'!E72+'Fórmula'!G72+'Fórmula'!I72+'Fórmula'!K72))*(INDEX(properties!A$1:CB$87,'Fórmula'!H72,6))+(('Fórmula'!K72)/('Fórmula'!C72+'Fórmula'!E72+'Fórmula'!G72+'Fórmula'!I72+'Fórmula'!K72))*(INDEX(properties!A$1:CB$87,'Fórmula'!J72,6))</f>
        <v>13.66666667</v>
      </c>
      <c r="U72" s="104">
        <f t="array" ref="U72">'Fórmula'!C72*(INDEX(properties!A$1:CB$87,'Fórmula'!B72,6))+'Fórmula'!E72*(INDEX(properties!A$1:CB$87,'Fórmula'!D72,6))+'Fórmula'!G72*(INDEX(properties!A$1:CB$87,'Fórmula'!F72,6))+'Fórmula'!I72*(INDEX(properties!A$1:CB$87,'Fórmula'!H72,6))+'Fórmula'!K72*(INDEX(properties!A$1:CB$87,'Fórmula'!J72,6))</f>
        <v>82</v>
      </c>
      <c r="V72" s="103">
        <f t="array" ref="V72">VARP(IF(INDEX(properties!A$1:CB$87,'Fórmula'!B72,6)&lt;&gt;"",INDEX(properties!A$1:CB$87,'Fórmula'!B72,6)),IF(INDEX(properties!A$1:CB$87,'Fórmula'!D72,6)&lt;&gt;"",INDEX(properties!A$1:CB$87,'Fórmula'!D72,6)),IF(INDEX(properties!A$1:CB$87,'Fórmula'!F72,6)&lt;&gt;"",INDEX(properties!A$1:CB$87,'Fórmula'!F72,6)),IF(INDEX(properties!A$1:CB$87,'Fórmula'!H72,6)&lt;&gt;"",INDEX(properties!A$1:CB$87,'Fórmula'!H72,6)),IF(INDEX(properties!A$1:CB$87,'Fórmula'!J72,6)&lt;&gt;"",INDEX(properties!A$1:CB$87,'Fórmula'!J72,6)))</f>
        <v>56.96</v>
      </c>
      <c r="W72" s="104">
        <f t="array" ref="W72">MAX(INDEX(properties!A$1:CB$87,'Fórmula'!B72,6),INDEX(properties!A$1:CB$87,'Fórmula'!D72,6),INDEX(properties!A$1:CB$87,'Fórmula'!F72,6),INDEX(properties!A$1:CB$87,'Fórmula'!H72,4),INDEX(properties!A$1:CB$87,'Fórmula'!J72,6))</f>
        <v>16</v>
      </c>
      <c r="X72" s="104">
        <f t="array" ref="X72">MIN(IF(INDEX(properties!A$1:CB$87,'Fórmula'!B72,6)=0,10^6,INDEX(properties!A$1:CB$87,'Fórmula'!B72,6)),IF(INDEX(properties!A$1:CB$87,'Fórmula'!D72,6)=0,10^6,INDEX(properties!A$1:CB$87,'Fórmula'!D72,6)),IF(INDEX(properties!A$1:CB$87,'Fórmula'!F72,6)=0,10^6,INDEX(properties!A$1:CB$87,'Fórmula'!F72,6)),IF(INDEX(properties!A$1:CB$87,'Fórmula'!H72,6)=0,10^6,INDEX(properties!A$1:CB$87,'Fórmula'!H72,6)),IF(INDEX(properties!A$1:CB$87,'Fórmula'!J72,6)=0,10^6,INDEX(properties!A$1:CB$87,'Fórmula'!J72,6)))</f>
        <v>2</v>
      </c>
      <c r="Y72" s="104">
        <f t="shared" si="4"/>
        <v>14</v>
      </c>
      <c r="Z72" s="105">
        <f t="array" ref="Z72">(('Fórmula'!C72)/('Fórmula'!C72+'Fórmula'!E72+'Fórmula'!G72+'Fórmula'!I72+'Fórmula'!K72))*(INDEX(properties!A$1:CB$87,'Fórmula'!B72,9))+(('Fórmula'!E72)/('Fórmula'!C72+'Fórmula'!E72+'Fórmula'!G72+'Fórmula'!I72+'Fórmula'!K72))*(INDEX(properties!A$1:CB$87,'Fórmula'!D72,9))+(('Fórmula'!G72)/('Fórmula'!C72+'Fórmula'!E72+'Fórmula'!G72+'Fórmula'!I72+'Fórmula'!K72))*(INDEX(properties!A$1:CB$87,'Fórmula'!F72,9))+(('Fórmula'!I72)/('Fórmula'!C72+'Fórmula'!E72+'Fórmula'!G72+'Fórmula'!I72+'Fórmula'!K72))*(INDEX(properties!A$1:CB$87,'Fórmula'!H72,9))+(('Fórmula'!K72)/('Fórmula'!C72+'Fórmula'!E72+'Fórmula'!G72+'Fórmula'!I72+'Fórmula'!K72))*(INDEX(properties!A$1:CB$87,'Fórmula'!J72,9))</f>
        <v>74</v>
      </c>
      <c r="AA72" s="105">
        <f t="array" ref="AA72">'Fórmula'!C72*(INDEX(properties!A$1:CB$87,'Fórmula'!B72,9))+'Fórmula'!E72*(INDEX(properties!A$1:CB$87,'Fórmula'!D72,9))+'Fórmula'!G72*(INDEX(properties!A$1:CB$87,'Fórmula'!F72,9))+'Fórmula'!I72*(INDEX(properties!A$1:CB$87,'Fórmula'!H72,9))+'Fórmula'!K72*(INDEX(properties!A$1:CB$87,'Fórmula'!J72,9))</f>
        <v>444</v>
      </c>
      <c r="AB72" s="105">
        <f t="array" ref="AB72">VARP(IF(INDEX(properties!A$1:CB$87,'Fórmula'!B72,9)&lt;&gt;"",INDEX(properties!A$1:CB$87,'Fórmula'!B72,9)),IF(INDEX(properties!A$1:CB$87,'Fórmula'!D72,9)&lt;&gt;"",INDEX(properties!A$1:CB$87,'Fórmula'!D72,9)),IF(INDEX(properties!A$1:CB$87,'Fórmula'!F72,9)&lt;&gt;"",INDEX(properties!A$1:CB$87,'Fórmula'!F72,9)),IF(INDEX(properties!A$1:CB$87,'Fórmula'!H72,9)&lt;&gt;"",INDEX(properties!A$1:CB$87,'Fórmula'!H72,9)),IF(INDEX(properties!A$1:CB$87,'Fórmula'!J72,9)&lt;&gt;"",INDEX(properties!A$1:CB$87,'Fórmula'!J72,9)))</f>
        <v>1735.84</v>
      </c>
      <c r="AC72" s="105">
        <f t="array" ref="AC72">MAX(INDEX(properties!A$1:CB$87,'Fórmula'!B72,9),INDEX(properties!A$1:CB$87,'Fórmula'!D72,9),INDEX(properties!A$1:CB$87,'Fórmula'!F72,9),INDEX(properties!A$1:CB$87,'Fórmula'!H72,9),INDEX(properties!A$1:CB$87,'Fórmula'!J72,9))</f>
        <v>88</v>
      </c>
      <c r="AD72" s="105">
        <f t="array" ref="AD72">MIN(IF(INDEX(properties!A$1:CB$87,'Fórmula'!B72,9)=0,10^6,INDEX(properties!A$1:CB$87,'Fórmula'!B72,9)),IF(INDEX(properties!A$1:CB$87,'Fórmula'!D72,9)=0,10^6,INDEX(properties!A$1:CB$87,'Fórmula'!D72,9)),IF(INDEX(properties!A$1:CB$87,'Fórmula'!F72,9)=0,10^6,INDEX(properties!A$1:CB$87,'Fórmula'!F72,9)),IF(INDEX(properties!A$1:CB$87,'Fórmula'!H72,9)=0,10^6,INDEX(properties!A$1:CB$87,'Fórmula'!H72,9)),IF(INDEX(properties!A$1:CB$87,'Fórmula'!J72,9)=0,10^6,INDEX(properties!A$1:CB$87,'Fórmula'!J72,9)))</f>
        <v>8</v>
      </c>
      <c r="AE72" s="105">
        <f t="shared" si="5"/>
        <v>80</v>
      </c>
      <c r="AF72" s="106">
        <f t="array" ref="AF72">(('Fórmula'!C72)/('Fórmula'!C72+'Fórmula'!E72+'Fórmula'!G72+'Fórmula'!I72+'Fórmula'!K72))*(INDEX(properties!A$1:CB$87,'Fórmula'!B72,10))+(('Fórmula'!E72)/('Fórmula'!C72+'Fórmula'!E72+'Fórmula'!G72+'Fórmula'!I72+'Fórmula'!K72))*(INDEX(properties!A$1:CB$87,'Fórmula'!D72,10))+(('Fórmula'!G72)/('Fórmula'!C72+'Fórmula'!E72+'Fórmula'!G72+'Fórmula'!I72+'Fórmula'!K72))*(INDEX(properties!A$1:CB$87,'Fórmula'!F72,10))+(('Fórmula'!I72)/('Fórmula'!C72+'Fórmula'!E72+'Fórmula'!G72+'Fórmula'!I72+'Fórmula'!K72))*(INDEX(properties!A$1:CB$87,'Fórmula'!H72,10))+(('Fórmula'!K72)/('Fórmula'!C72+'Fórmula'!E72+'Fórmula'!G72+'Fórmula'!I72+'Fórmula'!K72))*(INDEX(properties!A$1:CB$87,'Fórmula'!J72,10))</f>
        <v>6.166666667</v>
      </c>
      <c r="AG72" s="106">
        <f t="array" ref="AG72">'Fórmula'!C72*(INDEX(properties!A$1:CB$87,'Fórmula'!B72,10))+'Fórmula'!E72*(INDEX(properties!A$1:CB$87,'Fórmula'!D72,10))+'Fórmula'!G72*(INDEX(properties!A$1:CB$87,'Fórmula'!F72,10))+'Fórmula'!I72*(INDEX(properties!A$1:CB$87,'Fórmula'!H72,10))+'Fórmula'!K72*(INDEX(properties!A$1:CB$87,'Fórmula'!J72,10))</f>
        <v>37</v>
      </c>
      <c r="AH72" s="106">
        <f t="array" ref="AH72">VARP(IF(INDEX(properties!A$1:CB$87,'Fórmula'!B72,10)&lt;&gt;"",INDEX(properties!A$1:CB$87,'Fórmula'!B72,10)),IF(INDEX(properties!A$1:CB$87,'Fórmula'!D72,10)&lt;&gt;"",INDEX(properties!A$1:CB$87,'Fórmula'!D72,10)),IF(INDEX(properties!A$1:CB$87,'Fórmula'!F72,10)&lt;&gt;"",INDEX(properties!A$1:CB$87,'Fórmula'!F72,10)),IF(INDEX(properties!A$1:CB$87,'Fórmula'!H72,10)&lt;&gt;"",INDEX(properties!A$1:CB$87,'Fórmula'!H72,10)),IF(INDEX(properties!A$1:CB$87,'Fórmula'!J72,10)&lt;&gt;"",INDEX(properties!A$1:CB$87,'Fórmula'!J72,10)))</f>
        <v>10.16</v>
      </c>
      <c r="AI72" s="106">
        <f t="array" ref="AI72">MAX(INDEX(properties!A$1:CB$87,'Fórmula'!B72,10),INDEX(properties!A$1:CB$87,'Fórmula'!D72,10),INDEX(properties!A$1:CB$87,'Fórmula'!F72,10),INDEX(properties!A$1:CB$87,'Fórmula'!H72,10),INDEX(properties!A$1:CB$87,'Fórmula'!J72,10))</f>
        <v>7</v>
      </c>
      <c r="AJ72" s="106">
        <f t="array" ref="AJ72">MIN(IF(INDEX(properties!A$1:CB$87,'Fórmula'!B72,10)=0,10^6,INDEX(properties!A$1:CB$87,'Fórmula'!B72,10)),IF(INDEX(properties!A$1:CB$87,'Fórmula'!D72,10)=0,10^6,INDEX(properties!A$1:CB$87,'Fórmula'!D72,10)),IF(INDEX(properties!A$1:CB$87,'Fórmula'!F72,10)=0,10^6,INDEX(properties!A$1:CB$87,'Fórmula'!F72,10)),IF(INDEX(properties!A$1:CB$87,'Fórmula'!H72,10)=0,10^6,INDEX(properties!A$1:CB$87,'Fórmula'!H72,10)),IF(INDEX(properties!A$1:CB$87,'Fórmula'!J72,10)=0,10^6,INDEX(properties!A$1:CB$87,'Fórmula'!J72,10)))</f>
        <v>2</v>
      </c>
      <c r="AK72" s="106">
        <f t="shared" si="6"/>
        <v>5</v>
      </c>
      <c r="AL72" s="107">
        <f t="array" ref="AL72">(('Fórmula'!C72)/('Fórmula'!C72+'Fórmula'!E72+'Fórmula'!G72+'Fórmula'!I72+'Fórmula'!K72))*(INDEX(properties!A$1:CB$87,'Fórmula'!B72,11))+(('Fórmula'!E72)/('Fórmula'!C72+'Fórmula'!E72+'Fórmula'!G72+'Fórmula'!I72+'Fórmula'!K72))*(INDEX(properties!A$1:CB$87,'Fórmula'!D72,11))+(('Fórmula'!G72)/('Fórmula'!C72+'Fórmula'!E72+'Fórmula'!G72+'Fórmula'!I72+'Fórmula'!K72))*(INDEX(properties!A$1:CB$87,'Fórmula'!F72,11))+(('Fórmula'!I72)/('Fórmula'!C72+'Fórmula'!E72+'Fórmula'!G72+'Fórmula'!I72+'Fórmula'!K72))*(INDEX(properties!A$1:CB$87,'Fórmula'!H72,11))+(('Fórmula'!K72)/('Fórmula'!C72+'Fórmula'!E72+'Fórmula'!G72+'Fórmula'!I72+'Fórmula'!K72))*(INDEX(properties!A$1:CB$87,'Fórmula'!J72,11))</f>
        <v>2</v>
      </c>
      <c r="AM72" s="107">
        <f t="array" ref="AM72">'Fórmula'!C72*(INDEX(properties!A$1:CB$87,'Fórmula'!B72,11))+'Fórmula'!E72*(INDEX(properties!A$1:CB$87,'Fórmula'!D72,11))+'Fórmula'!G72*(INDEX(properties!A$1:CB$87,'Fórmula'!F72,11))+'Fórmula'!I72*(INDEX(properties!A$1:CB$87,'Fórmula'!H72,11))+'Fórmula'!K72*(INDEX(properties!A$1:CB$87,'Fórmula'!J72,11))</f>
        <v>12</v>
      </c>
      <c r="AN72" s="107">
        <f t="array" ref="AN72">VARP(IF(INDEX(properties!A$1:CB$87,'Fórmula'!B72,11)&lt;&gt;"",INDEX(properties!A$1:CB$87,'Fórmula'!B72,11)),IF(INDEX(properties!A$1:CB$87,'Fórmula'!D72,11)&lt;&gt;"",INDEX(properties!A$1:CB$87,'Fórmula'!D72,11)),IF(INDEX(properties!A$1:CB$87,'Fórmula'!F72,11)&lt;&gt;"",INDEX(properties!A$1:CB$87,'Fórmula'!F72,11)),IF(INDEX(properties!A$1:CB$87,'Fórmula'!H72,11)&lt;&gt;"",INDEX(properties!A$1:CB$87,'Fórmula'!H72,11)),IF(INDEX(properties!A$1:CB$87,'Fórmula'!J72,11)&lt;&gt;"",INDEX(properties!A$1:CB$87,'Fórmula'!J72,11)))</f>
        <v>0.96</v>
      </c>
      <c r="AO72" s="107">
        <f t="array" ref="AO72">MAX(INDEX(properties!A$1:CB$87,'Fórmula'!B72,11),INDEX(properties!A$1:CB$87,'Fórmula'!D72,11),INDEX(properties!A$1:CB$87,'Fórmula'!F72,11),INDEX(properties!A$1:CB$87,'Fórmula'!H72,11),INDEX(properties!A$1:CB$87,'Fórmula'!J72,11))</f>
        <v>2</v>
      </c>
      <c r="AP72" s="107">
        <f t="array" ref="AP72">MIN(IF('Fórmula'!B72=87,10^6,INDEX(properties!A$1:CB$87,'Fórmula'!B72,11)),IF(('Fórmula'!D72)=87,10^6,INDEX(properties!A$1:CB$87,'Fórmula'!D72,11)),IF(('Fórmula'!F72)=87,10^6,INDEX(properties!A$1:CB$87,'Fórmula'!F72,11)),IF(('Fórmula'!H72)=87,10^6,INDEX(properties!A$1:CB$87,'Fórmula'!H72,11)),IF('Fórmula'!J72=87,10^6,INDEX(properties!A$1:CB$87,'Fórmula'!J72,11)))</f>
        <v>2</v>
      </c>
      <c r="AQ72" s="107">
        <f t="shared" si="7"/>
        <v>0</v>
      </c>
      <c r="AR72" s="108">
        <f t="array" ref="AR72">(('Fórmula'!C72)/('Fórmula'!C72+'Fórmula'!E72+'Fórmula'!G72+'Fórmula'!I72+'Fórmula'!K72))*(INDEX(properties!A$1:CB$87,'Fórmula'!B72,12))+(('Fórmula'!E72)/('Fórmula'!C72+'Fórmula'!E72+'Fórmula'!G72+'Fórmula'!I72+'Fórmula'!K72))*(INDEX(properties!A$1:CB$87,'Fórmula'!D72,12))+(('Fórmula'!G72)/('Fórmula'!C72+'Fórmula'!E72+'Fórmula'!G72+'Fórmula'!I72+'Fórmula'!K72))*(INDEX(properties!A$1:CB$87,'Fórmula'!F72,12))+(('Fórmula'!I72)/('Fórmula'!C72+'Fórmula'!E72+'Fórmula'!G72+'Fórmula'!I72+'Fórmula'!K72))*(INDEX(properties!A$1:CB$87,'Fórmula'!H72,12))+(('Fórmula'!K72)/('Fórmula'!C72+'Fórmula'!E72+'Fórmula'!G72+'Fórmula'!I72+'Fórmula'!K72))*(INDEX(properties!A$1:CB$87,'Fórmula'!J72,12))</f>
        <v>3.333333333</v>
      </c>
      <c r="AS72" s="108">
        <f t="array" ref="AS72">'Fórmula'!C72*(INDEX(properties!A$1:CB$87,'Fórmula'!B72,12))+'Fórmula'!E72*(INDEX(properties!A$1:CB$87,'Fórmula'!D72,12))+'Fórmula'!G72*(INDEX(properties!A$1:CB$87,'Fórmula'!F72,12))+'Fórmula'!I72*(INDEX(properties!A$1:CB$87,'Fórmula'!H72,12))+'Fórmula'!K72*(INDEX(properties!A$1:CB$87,'Fórmula'!J72,12))</f>
        <v>20</v>
      </c>
      <c r="AT72" s="108">
        <f t="array" ref="AT72">VARP(IF(INDEX(properties!A$1:CB$87,'Fórmula'!B72,12)&lt;&gt;"",INDEX(properties!A$1:CB$87,'Fórmula'!B72,12)),IF(INDEX(properties!A$1:CB$87,'Fórmula'!D72,12)&lt;&gt;"",INDEX(properties!A$1:CB$87,'Fórmula'!D72,12)),IF(INDEX(properties!A$1:CB$87,'Fórmula'!F72,12)&lt;&gt;"",INDEX(properties!A$1:CB$87,'Fórmula'!F72,12)),IF(INDEX(properties!A$1:CB$87,'Fórmula'!H72,12)&lt;&gt;"",INDEX(properties!A$1:CB$87,'Fórmula'!H72,12)),IF(INDEX(properties!A$1:CB$87,'Fórmula'!J72,12)&lt;&gt;"",INDEX(properties!A$1:CB$87,'Fórmula'!J72,12)))</f>
        <v>3.84</v>
      </c>
      <c r="AU72" s="108">
        <f t="array" ref="AU72">MAX(INDEX(properties!A$1:CB$87,'Fórmula'!B72,12),INDEX(properties!A$1:CB$87,'Fórmula'!D72,12),INDEX(properties!A$1:CB$87,'Fórmula'!F72,12),INDEX(properties!A$1:CB$87,'Fórmula'!H72,12),INDEX(properties!A$1:CB$87,'Fórmula'!J72,12))</f>
        <v>4</v>
      </c>
      <c r="AV72" s="108">
        <f t="array" ref="AV72">MIN(IF('Fórmula'!B72=87,10^6,INDEX(properties!A$1:CB$87,'Fórmula'!B72,12)),IF(('Fórmula'!D72)=87,10^6,INDEX(properties!A$1:CB$87,'Fórmula'!D72,12)),IF(('Fórmula'!F72)=87,10^6,INDEX(properties!A$1:CB$87,'Fórmula'!F72,12)),IF(('Fórmula'!H72)=87,10^6,INDEX(properties!A$1:CB$87,'Fórmula'!H72,12)),IF('Fórmula'!J72=87,10^6,INDEX(properties!A$1:CB$87,'Fórmula'!J72,12)))</f>
        <v>0</v>
      </c>
      <c r="AW72" s="108">
        <f t="shared" si="8"/>
        <v>4</v>
      </c>
      <c r="AX72" s="109">
        <f t="array" ref="AX72">(('Fórmula'!C72)/('Fórmula'!C72+'Fórmula'!E72+'Fórmula'!G72+'Fórmula'!I72+'Fórmula'!K72))*(INDEX(properties!A$1:CB$87,'Fórmula'!B72,13))+(('Fórmula'!E72)/('Fórmula'!C72+'Fórmula'!E72+'Fórmula'!G72+'Fórmula'!I72+'Fórmula'!K72))*(INDEX(properties!A$1:CB$87,'Fórmula'!D72,13))+(('Fórmula'!G72)/('Fórmula'!C72+'Fórmula'!E72+'Fórmula'!G72+'Fórmula'!I72+'Fórmula'!K72))*(INDEX(properties!A$1:CB$87,'Fórmula'!F72,13))+(('Fórmula'!I72)/('Fórmula'!C72+'Fórmula'!E72+'Fórmula'!G72+'Fórmula'!I72+'Fórmula'!K72))*(INDEX(properties!A$1:CB$87,'Fórmula'!H72,13))+(('Fórmula'!K72)/('Fórmula'!C72+'Fórmula'!E72+'Fórmula'!G72+'Fórmula'!I72+'Fórmula'!K72))*(INDEX(properties!A$1:CB$87,'Fórmula'!J72,13))</f>
        <v>0</v>
      </c>
      <c r="AY72" s="109">
        <f t="array" ref="AY72">'Fórmula'!C72*(INDEX(properties!A$1:CB$87,'Fórmula'!B72,13))+'Fórmula'!E72*(INDEX(properties!A$1:CB$87,'Fórmula'!D72,13))+'Fórmula'!G72*(INDEX(properties!A$1:CB$87,'Fórmula'!F72,13))+'Fórmula'!I72*(INDEX(properties!A$1:CB$87,'Fórmula'!H72,13))+'Fórmula'!K72*(INDEX(properties!A$1:CB$87,'Fórmula'!J72,13))</f>
        <v>0</v>
      </c>
      <c r="AZ72" s="109">
        <f t="array" ref="AZ72">VARP(IF(INDEX(properties!A$1:CB$87,'Fórmula'!B72,13)&lt;&gt;"",INDEX(properties!A$1:CB$87,'Fórmula'!B72,13)),IF(INDEX(properties!A$1:CB$87,'Fórmula'!D72,13)&lt;&gt;"",INDEX(properties!A$1:CB$87,'Fórmula'!D72,13)),IF(INDEX(properties!A$1:CB$87,'Fórmula'!F72,13)&lt;&gt;"",INDEX(properties!A$1:CB$87,'Fórmula'!F72,13)),IF(INDEX(properties!A$1:CB$87,'Fórmula'!H72,13)&lt;&gt;"",INDEX(properties!A$1:CB$87,'Fórmula'!H72,13)),IF(INDEX(properties!A$1:CB$87,'Fórmula'!J72,13)&lt;&gt;"",INDEX(properties!A$1:CB$87,'Fórmula'!J72,13)))</f>
        <v>0</v>
      </c>
      <c r="BA72" s="109">
        <f t="array" ref="BA72">MAX(INDEX(properties!A$1:CB$87,'Fórmula'!B72,13),INDEX(properties!A$1:CB$87,'Fórmula'!D72,13),INDEX(properties!A$1:CB$87,'Fórmula'!F72,13),INDEX(properties!A$1:CB$87,'Fórmula'!H72,13),INDEX(properties!A$1:CB$87,'Fórmula'!J72,13))</f>
        <v>0</v>
      </c>
      <c r="BB72" s="109">
        <f t="array" ref="BB72">MIN(IF('Fórmula'!B72=87,10^6,INDEX(properties!A$1:CB$87,'Fórmula'!B72,13)),IF(('Fórmula'!D72)=87,10^6,INDEX(properties!A$1:CB$87,'Fórmula'!D72,13)),IF(('Fórmula'!F72)=87,10^6,INDEX(properties!A$1:CB$87,'Fórmula'!F72,13)),IF(('Fórmula'!H72)=87,10^6,INDEX(properties!A$1:CB$87,'Fórmula'!H72,13)),IF('Fórmula'!J72=87,10^6,INDEX(properties!A$1:CB$87,'Fórmula'!J72,13)))</f>
        <v>0</v>
      </c>
      <c r="BC72" s="109">
        <f t="shared" si="9"/>
        <v>0</v>
      </c>
      <c r="BD72" s="110">
        <f t="array" ref="BD72">(('Fórmula'!C72)/('Fórmula'!C72+'Fórmula'!E72+'Fórmula'!G72+'Fórmula'!I72+'Fórmula'!K72))*(INDEX(properties!A$1:CB$87,'Fórmula'!B72,14))+(('Fórmula'!E72)/('Fórmula'!C72+'Fórmula'!E72+'Fórmula'!G72+'Fórmula'!I72+'Fórmula'!K72))*(INDEX(properties!A$1:CB$87,'Fórmula'!D72,14))+(('Fórmula'!G72)/('Fórmula'!C72+'Fórmula'!E72+'Fórmula'!G72+'Fórmula'!I72+'Fórmula'!K72))*(INDEX(properties!A$1:CB$87,'Fórmula'!F72,14))+(('Fórmula'!I72)/('Fórmula'!C72+'Fórmula'!E72+'Fórmula'!G72+'Fórmula'!I72+'Fórmula'!K72))*(INDEX(properties!A$1:CB$87,'Fórmula'!H72,14))+(('Fórmula'!K72)/('Fórmula'!C72+'Fórmula'!E72+'Fórmula'!G72+'Fórmula'!I72+'Fórmula'!K72))*(INDEX(properties!A$1:CB$87,'Fórmula'!J72,14))</f>
        <v>0</v>
      </c>
      <c r="BE72" s="110">
        <f t="array" ref="BE72">'Fórmula'!C72*(INDEX(properties!A$1:CB$87,'Fórmula'!B72,14))+'Fórmula'!E72*(INDEX(properties!A$1:CB$87,'Fórmula'!D72,14))+'Fórmula'!G72*(INDEX(properties!A$1:CB$87,'Fórmula'!F72,14))+'Fórmula'!I72*(INDEX(properties!A$1:CB$87,'Fórmula'!H72,14))+'Fórmula'!K72*(INDEX(properties!A$1:CB$87,'Fórmula'!J72,14))</f>
        <v>0</v>
      </c>
      <c r="BF72" s="110">
        <f t="array" ref="BF72">VARP(IF(INDEX(properties!A$1:CB$87,'Fórmula'!B72,14)&lt;&gt;"",INDEX(properties!A$1:CB$87,'Fórmula'!B72,14)),IF(INDEX(properties!A$1:CB$87,'Fórmula'!D72,14)&lt;&gt;"",INDEX(properties!A$1:CB$87,'Fórmula'!D72,14)),IF(INDEX(properties!A$1:CB$87,'Fórmula'!F72,14)&lt;&gt;"",INDEX(properties!A$1:CB$87,'Fórmula'!F72,14)),IF(INDEX(properties!A$1:CB$87,'Fórmula'!H72,14)&lt;&gt;"",INDEX(properties!A$1:CB$87,'Fórmula'!H72,14)),IF(INDEX(properties!A$1:CB$87,'Fórmula'!J72,14)&lt;&gt;"",INDEX(properties!A$1:CB$87,'Fórmula'!J72,14)))</f>
        <v>0</v>
      </c>
      <c r="BG72" s="110">
        <f t="array" ref="BG72">MAX(INDEX(properties!A$1:CB$87,'Fórmula'!B72,14),INDEX(properties!A$1:CB$87,'Fórmula'!D72,14),INDEX(properties!A$1:CB$87,'Fórmula'!F72,14),INDEX(properties!A$1:CB$87,'Fórmula'!H72,14),INDEX(properties!A$1:CB$87,'Fórmula'!J72,14))</f>
        <v>0</v>
      </c>
      <c r="BH72" s="110">
        <f t="array" ref="BH72">MIN(IF('Fórmula'!B72=87,10^6,INDEX(properties!A$1:CB$87,'Fórmula'!B72,14)),IF(('Fórmula'!D72)=87,10^6,INDEX(properties!A$1:CB$87,'Fórmula'!D72,14)),IF(('Fórmula'!F72)=87,10^6,INDEX(properties!A$1:CB$87,'Fórmula'!F72,14)),IF(('Fórmula'!H72)=87,10^6,INDEX(properties!A$1:CB$87,'Fórmula'!H72,14)),IF('Fórmula'!J72=87,10^6,INDEX(properties!A$1:CB$87,'Fórmula'!J72,14)))</f>
        <v>0</v>
      </c>
      <c r="BI72" s="110">
        <f t="shared" si="10"/>
        <v>0</v>
      </c>
      <c r="BJ72" s="111">
        <f t="array" ref="BJ72">(('Fórmula'!C72)/('Fórmula'!C72+'Fórmula'!E72+'Fórmula'!G72+'Fórmula'!I72+'Fórmula'!K72))*(INDEX(properties!A$1:CB$87,'Fórmula'!B72,19))+(('Fórmula'!E72)/('Fórmula'!C72+'Fórmula'!E72+'Fórmula'!G72+'Fórmula'!I72+'Fórmula'!K72))*(INDEX(properties!A$1:CB$87,'Fórmula'!D72,19))+(('Fórmula'!G72)/('Fórmula'!C72+'Fórmula'!E72+'Fórmula'!G72+'Fórmula'!I72+'Fórmula'!K72))*(INDEX(properties!A$1:CB$87,'Fórmula'!F72,19))+(('Fórmula'!I72)/('Fórmula'!C72+'Fórmula'!E72+'Fórmula'!G72+'Fórmula'!I72+'Fórmula'!K72))*(INDEX(properties!A$1:CB$87,'Fórmula'!H72,19))+(('Fórmula'!K72)/('Fórmula'!C72+'Fórmula'!E72+'Fórmula'!G72+'Fórmula'!I72+'Fórmula'!K72))*(INDEX(properties!A$1:CB$87,'Fórmula'!J72,19))</f>
        <v>5.333333333</v>
      </c>
      <c r="BK72" s="111">
        <f t="array" ref="BK72">'Fórmula'!C72*(INDEX(properties!A$1:CB$87,'Fórmula'!B72,19))+'Fórmula'!E72*(INDEX(properties!A$1:CB$87,'Fórmula'!D72,19))+'Fórmula'!G72*(INDEX(properties!A$1:CB$87,'Fórmula'!F72,19))+'Fórmula'!I72*(INDEX(properties!A$1:CB$87,'Fórmula'!H72,19))+'Fórmula'!K72*(INDEX(properties!A$1:CB$87,'Fórmula'!J72,19))</f>
        <v>32</v>
      </c>
      <c r="BL72" s="111">
        <f t="array" ref="BL72">VARP(IF(INDEX(properties!A$1:CB$87,'Fórmula'!B72,19)&lt;&gt;"",INDEX(properties!A$1:CB$87,'Fórmula'!B72,19)),IF(INDEX(properties!A$1:CB$87,'Fórmula'!D72,19)&lt;&gt;"",INDEX(properties!A$1:CB$87,'Fórmula'!D72,19)),IF(INDEX(properties!A$1:CB$87,'Fórmula'!F72,19)&lt;&gt;"",INDEX(properties!A$1:CB$87,'Fórmula'!F72,19)),IF(INDEX(properties!A$1:CB$87,'Fórmula'!H72,19)&lt;&gt;"",INDEX(properties!A$1:CB$87,'Fórmula'!H72,19)),IF(INDEX(properties!A$1:CB$87,'Fórmula'!J72,19)&lt;&gt;"",INDEX(properties!A$1:CB$87,'Fórmula'!J72,19)))</f>
        <v>7.36</v>
      </c>
      <c r="BM72" s="111">
        <f t="array" ref="BM72">MAX(INDEX(properties!A$1:CB$87,'Fórmula'!B72,19),INDEX(properties!A$1:CB$87,'Fórmula'!D72,19),INDEX(properties!A$1:CB$87,'Fórmula'!F72,19),INDEX(properties!A$1:CB$87,'Fórmula'!H72,19),INDEX(properties!A$1:CB$87,'Fórmula'!J72,19))</f>
        <v>6</v>
      </c>
      <c r="BN72" s="111">
        <f t="array" ref="BN72">MIN(IF(INDEX(properties!A$1:CB$87,'Fórmula'!B72,19)=0,10^6,INDEX(properties!A$1:CB$87,'Fórmula'!B72,19)),IF(INDEX(properties!A$1:CB$87,'Fórmula'!D72,19)=0,10^6,INDEX(properties!A$1:CB$87,'Fórmula'!D72,19)),IF(INDEX(properties!A$1:CB$87,'Fórmula'!F72,19)=0,10^6,INDEX(properties!A$1:CB$87,'Fórmula'!F72,19)),IF(INDEX(properties!A$1:CB$87,'Fórmula'!H72,19)=0,10^6,INDEX(properties!A$1:CB$87,'Fórmula'!H72,19)),IF(INDEX(properties!A$1:CB$87,'Fórmula'!J72,19)=0,10^6,INDEX(properties!A$1:CB$87,'Fórmula'!J72,19)))</f>
        <v>2</v>
      </c>
      <c r="BO72" s="111">
        <f t="shared" si="11"/>
        <v>4</v>
      </c>
      <c r="BP72" s="112">
        <f t="array" ref="BP72">(('Fórmula'!C72)/('Fórmula'!C72+'Fórmula'!E72+'Fórmula'!G72+'Fórmula'!I72+'Fórmula'!K72))*(INDEX(properties!A$1:CB$87,'Fórmula'!B72,20))+(('Fórmula'!E72)/('Fórmula'!C72+'Fórmula'!E72+'Fórmula'!G72+'Fórmula'!I72+'Fórmula'!K72))*(INDEX(properties!A$1:CB$87,'Fórmula'!D72,20))+(('Fórmula'!G72)/('Fórmula'!C72+'Fórmula'!E72+'Fórmula'!G72+'Fórmula'!I72+'Fórmula'!K72))*(INDEX(properties!A$1:CB$87,'Fórmula'!F72,20))+(('Fórmula'!I72)/('Fórmula'!C72+'Fórmula'!E72+'Fórmula'!G72+'Fórmula'!I72+'Fórmula'!K72))*(INDEX(properties!A$1:CB$87,'Fórmula'!H72,20))+(('Fórmula'!K72)/('Fórmula'!C72+'Fórmula'!E72+'Fórmula'!G72+'Fórmula'!I72+'Fórmula'!K72))*(INDEX(properties!A$1:CB$87,'Fórmula'!J72,20))</f>
        <v>5.333333333</v>
      </c>
      <c r="BQ72" s="112">
        <f t="array" ref="BQ72">'Fórmula'!C72*(INDEX(properties!A$1:CB$87,'Fórmula'!B72,20))+'Fórmula'!E72*(INDEX(properties!A$1:CB$87,'Fórmula'!D72,20))+'Fórmula'!G72*(INDEX(properties!A$1:CB$87,'Fórmula'!F72,20))+'Fórmula'!I72*(INDEX(properties!A$1:CB$87,'Fórmula'!H72,20))+'Fórmula'!K72*(INDEX(properties!A$1:CB$87,'Fórmula'!J72,20))</f>
        <v>32</v>
      </c>
      <c r="BR72" s="112">
        <f t="array" ref="BR72">VARP(IF(INDEX(properties!A$1:CB$87,'Fórmula'!B72,20)&lt;&gt;"",INDEX(properties!A$1:CB$87,'Fórmula'!B72,20)),IF(INDEX(properties!A$1:CB$87,'Fórmula'!D72,20)&lt;&gt;"",INDEX(properties!A$1:CB$87,'Fórmula'!D72,20)),IF(INDEX(properties!A$1:CB$87,'Fórmula'!F72,20)&lt;&gt;"",INDEX(properties!A$1:CB$87,'Fórmula'!F72,20)),IF(INDEX(properties!A$1:CB$87,'Fórmula'!H72,20)&lt;&gt;"",INDEX(properties!A$1:CB$87,'Fórmula'!H72,20)),IF(INDEX(properties!A$1:CB$87,'Fórmula'!J72,20)&lt;&gt;"",INDEX(properties!A$1:CB$87,'Fórmula'!J72,20)))</f>
        <v>7.36</v>
      </c>
      <c r="BS72" s="112">
        <f t="array" ref="BS72">MAX(INDEX(properties!A$1:CB$87,'Fórmula'!B72,20),INDEX(properties!A$1:CB$87,'Fórmula'!D72,20),INDEX(properties!A$1:CB$87,'Fórmula'!F72,20),INDEX(properties!A$1:CB$87,'Fórmula'!H72,20),INDEX(properties!A$1:CB$87,'Fórmula'!J72,20))</f>
        <v>6</v>
      </c>
      <c r="BT72" s="112">
        <f t="array" ref="BT72">MIN(IF(INDEX(properties!A$1:CB$87,'Fórmula'!B72,20)=0,10^6,INDEX(properties!A$1:CB$87,'Fórmula'!B72,20)),IF(INDEX(properties!A$1:CB$87,'Fórmula'!D72,20)=0,10^6,INDEX(properties!A$1:CB$87,'Fórmula'!D72,20)),IF(INDEX(properties!A$1:CB$87,'Fórmula'!F72,20)=0,10^6,INDEX(properties!A$1:CB$87,'Fórmula'!F72,20)),IF(INDEX(properties!A$1:CB$87,'Fórmula'!H72,20)=0,10^6,INDEX(properties!A$1:CB$87,'Fórmula'!H72,20)),IF(INDEX(properties!A$1:CB$87,'Fórmula'!J72,20)=0,10^6,INDEX(properties!A$1:CB$87,'Fórmula'!J72,20)))</f>
        <v>2</v>
      </c>
      <c r="BU72" s="112">
        <f t="shared" si="12"/>
        <v>4</v>
      </c>
      <c r="BV72" s="113">
        <f t="array" ref="BV72">(('Fórmula'!C72)/('Fórmula'!C72+'Fórmula'!E72+'Fórmula'!G72+'Fórmula'!I72+'Fórmula'!K72))*(INDEX(properties!A$1:CB$87,'Fórmula'!B72,21))+(('Fórmula'!E72)/('Fórmula'!C72+'Fórmula'!E72+'Fórmula'!G72+'Fórmula'!I72+'Fórmula'!K72))*(INDEX(properties!A$1:CB$87,'Fórmula'!D72,21))+(('Fórmula'!G72)/('Fórmula'!C72+'Fórmula'!E72+'Fórmula'!G72+'Fórmula'!I72+'Fórmula'!K72))*(INDEX(properties!A$1:CB$87,'Fórmula'!F72,21))+(('Fórmula'!I72)/('Fórmula'!C72+'Fórmula'!E72+'Fórmula'!G72+'Fórmula'!I72+'Fórmula'!K72))*(INDEX(properties!A$1:CB$87,'Fórmula'!H72,21))+(('Fórmula'!K72)/('Fórmula'!C72+'Fórmula'!E72+'Fórmula'!G72+'Fórmula'!I72+'Fórmula'!K72))*(INDEX(properties!A$1:CB$87,'Fórmula'!J72,21))</f>
        <v>5.333333333</v>
      </c>
      <c r="BW72" s="113">
        <f t="array" ref="BW72">'Fórmula'!C72*(INDEX(properties!A$1:CB$87,'Fórmula'!B72,21))+'Fórmula'!E72*(INDEX(properties!A$1:CB$87,'Fórmula'!D72,21))+'Fórmula'!G72*(INDEX(properties!A$1:CB$87,'Fórmula'!F72,21))+'Fórmula'!I72*(INDEX(properties!A$1:CB$87,'Fórmula'!H72,21))+'Fórmula'!K72*(INDEX(properties!A$1:CB$87,'Fórmula'!J72,21))</f>
        <v>32</v>
      </c>
      <c r="BX72" s="113">
        <f t="array" ref="BX72">VARP(IF(INDEX(properties!A$1:CB$87,'Fórmula'!B72,21)&lt;&gt;"",INDEX(properties!A$1:CB$87,'Fórmula'!B72,21)),IF(INDEX(properties!A$1:CB$87,'Fórmula'!D72,21)&lt;&gt;"",INDEX(properties!A$1:CB$87,'Fórmula'!D72,21)),IF(INDEX(properties!A$1:CB$87,'Fórmula'!F72,21)&lt;&gt;"",INDEX(properties!A$1:CB$87,'Fórmula'!F72,21)),IF(INDEX(properties!A$1:CB$87,'Fórmula'!H72,21)&lt;&gt;"",INDEX(properties!A$1:CB$87,'Fórmula'!H72,21)),IF(INDEX(properties!A$1:CB$87,'Fórmula'!J72,21)&lt;&gt;"",INDEX(properties!A$1:CB$87,'Fórmula'!J72,21)))</f>
        <v>7.36</v>
      </c>
      <c r="BY72" s="113">
        <f t="array" ref="BY72">MAX(INDEX(properties!A$1:CB$87,'Fórmula'!B72,21),INDEX(properties!A$1:CB$87,'Fórmula'!D72,21),INDEX(properties!A$1:CB$87,'Fórmula'!F72,21),INDEX(properties!A$1:CB$87,'Fórmula'!H72,21),INDEX(properties!A$1:CB$87,'Fórmula'!J72,21))</f>
        <v>6</v>
      </c>
      <c r="BZ72" s="113">
        <f t="array" ref="BZ72">MIN(IF(INDEX(properties!A$1:CB$87,'Fórmula'!B72,21)=0,10^6,INDEX(properties!A$1:CB$87,'Fórmula'!B72,21)),IF(INDEX(properties!A$1:CB$87,'Fórmula'!D72,21)=0,10^6,INDEX(properties!A$1:CB$87,'Fórmula'!D72,21)),IF(INDEX(properties!A$1:CB$87,'Fórmula'!F72,21)=0,10^6,INDEX(properties!A$1:CB$87,'Fórmula'!F72,21)),IF(INDEX(properties!A$1:CB$87,'Fórmula'!H72,21)=0,10^6,INDEX(properties!A$1:CB$87,'Fórmula'!H72,21)),IF(INDEX(properties!A$1:CB$87,'Fórmula'!J72,21)=0,10^6,INDEX(properties!A$1:CB$87,'Fórmula'!J72,21)))</f>
        <v>2</v>
      </c>
      <c r="CA72" s="113">
        <f t="shared" si="13"/>
        <v>4</v>
      </c>
      <c r="CB72" s="114">
        <f t="array" ref="CB72">(('Fórmula'!C72)/('Fórmula'!C72+'Fórmula'!E72+'Fórmula'!G72+'Fórmula'!I72+'Fórmula'!K72))*(INDEX(properties!A$1:CB$87,'Fórmula'!B72,23))+(('Fórmula'!E72)/('Fórmula'!C72+'Fórmula'!E72+'Fórmula'!G72+'Fórmula'!I72+'Fórmula'!K72))*(INDEX(properties!A$1:CB$87,'Fórmula'!D72,23))+(('Fórmula'!G72)/('Fórmula'!C72+'Fórmula'!E72+'Fórmula'!G72+'Fórmula'!I72+'Fórmula'!K72))*(INDEX(properties!A$1:CB$87,'Fórmula'!F72,23))+(('Fórmula'!I72)/('Fórmula'!C72+'Fórmula'!E72+'Fórmula'!G72+'Fórmula'!I72+'Fórmula'!K72))*(INDEX(properties!A$1:CB$87,'Fórmula'!H72,23))+(('Fórmula'!K72)/('Fórmula'!C72+'Fórmula'!E72+'Fórmula'!G72+'Fórmula'!I72+'Fórmula'!K72))*(INDEX(properties!A$1:CB$87,'Fórmula'!J72,23))</f>
        <v>0.6666666667</v>
      </c>
      <c r="CC72" s="114">
        <f t="array" ref="CC72">'Fórmula'!C72*(INDEX(properties!A$1:CB$87,'Fórmula'!B72,23))+'Fórmula'!E72*(INDEX(properties!A$1:CB$87,'Fórmula'!D72,23))+'Fórmula'!G72*(INDEX(properties!A$1:CB$87,'Fórmula'!F72,23))+'Fórmula'!I72*(INDEX(properties!A$1:CB$87,'Fórmula'!H72,23))+'Fórmula'!K72*(INDEX(properties!A$1:CB$87,'Fórmula'!J72,23))</f>
        <v>4</v>
      </c>
      <c r="CD72" s="114">
        <f t="array" ref="CD72">VARP(IF(INDEX(properties!A$1:CB$87,'Fórmula'!B72,23)&lt;&gt;"",INDEX(properties!A$1:CB$87,'Fórmula'!B72,23)),IF(INDEX(properties!A$1:CB$87,'Fórmula'!D72,23)&lt;&gt;"",INDEX(properties!A$1:CB$87,'Fórmula'!D72,23)),IF(INDEX(properties!A$1:CB$87,'Fórmula'!F72,23)&lt;&gt;"",INDEX(properties!A$1:CB$87,'Fórmula'!F72,23)),IF(INDEX(properties!A$1:CB$87,'Fórmula'!H72,23)&lt;&gt;"",INDEX(properties!A$1:CB$87,'Fórmula'!H72,23)),IF(INDEX(properties!A$1:CB$87,'Fórmula'!J72,23)&lt;&gt;"",INDEX(properties!A$1:CB$87,'Fórmula'!J72,23)))</f>
        <v>0.96</v>
      </c>
      <c r="CE72" s="114">
        <f t="array" ref="CE72">MAX(INDEX(properties!A$1:CB$87,'Fórmula'!B72,23),INDEX(properties!A$1:CB$87,'Fórmula'!D72,23),INDEX(properties!A$1:CB$87,'Fórmula'!F72,23),INDEX(properties!A$1:CB$87,'Fórmula'!H72,23),INDEX(properties!A$1:CB$87,'Fórmula'!J72,23))</f>
        <v>2</v>
      </c>
      <c r="CF72" s="114">
        <f t="array" ref="CF72">MIN(IF('Fórmula'!B72=87,10^6,INDEX(properties!A$1:CB$87,'Fórmula'!B72,23)),IF(('Fórmula'!D72)=87,10^6,INDEX(properties!A$1:CB$87,'Fórmula'!D72,23)),IF(('Fórmula'!F72)=87,10^6,INDEX(properties!A$1:CB$87,'Fórmula'!F72,23)),IF(('Fórmula'!H72)=87,10^6,INDEX(properties!A$1:CB$87,'Fórmula'!H72,23)),IF('Fórmula'!J72=87,10^6,INDEX(properties!A$1:CB$87,'Fórmula'!J72,23)))</f>
        <v>0</v>
      </c>
      <c r="CG72" s="114">
        <f t="shared" si="14"/>
        <v>2</v>
      </c>
      <c r="CH72" s="115">
        <f t="array" ref="CH72">(('Fórmula'!C72)/('Fórmula'!C72+'Fórmula'!E72+'Fórmula'!G72+'Fórmula'!I72+'Fórmula'!K72))*(INDEX(properties!A$1:CB$87,'Fórmula'!B72,26))+(('Fórmula'!E72)/('Fórmula'!C72+'Fórmula'!E72+'Fórmula'!G72+'Fórmula'!I72+'Fórmula'!K72))*(INDEX(properties!A$1:CB$87,'Fórmula'!D72,26))+(('Fórmula'!G72)/('Fórmula'!C72+'Fórmula'!E72+'Fórmula'!G72+'Fórmula'!I72+'Fórmula'!K72))*(INDEX(properties!A$1:CB$87,'Fórmula'!F72,26))+(('Fórmula'!I72)/('Fórmula'!C72+'Fórmula'!E72+'Fórmula'!G72+'Fórmula'!I72+'Fórmula'!K72))*(INDEX(properties!A$1:CB$87,'Fórmula'!H72,26))+(('Fórmula'!K72)/('Fórmula'!C72+'Fórmula'!E72+'Fórmula'!G72+'Fórmula'!I72+'Fórmula'!K72))*(INDEX(properties!A$1:CB$87,'Fórmula'!J72,26))</f>
        <v>11.75455</v>
      </c>
      <c r="CI72" s="115">
        <f t="array" ref="CI72">'Fórmula'!C72*(INDEX(properties!A$1:CB$87,'Fórmula'!B72,26))+'Fórmula'!E72*(INDEX(properties!A$1:CB$87,'Fórmula'!D72,26))+'Fórmula'!G72*(INDEX(properties!A$1:CB$87,'Fórmula'!F72,26))+'Fórmula'!I72*(INDEX(properties!A$1:CB$87,'Fórmula'!H72,26))+'Fórmula'!K72*(INDEX(properties!A$1:CB$87,'Fórmula'!J72,26))</f>
        <v>70.5273</v>
      </c>
      <c r="CJ72" s="115">
        <f t="array" ref="CJ72">VARP(IF(INDEX(properties!A$1:CB$87,'Fórmula'!B72,26)&lt;&gt;"",INDEX(properties!A$1:CB$87,'Fórmula'!B72,26)),IF(INDEX(properties!A$1:CB$87,'Fórmula'!D72,26)&lt;&gt;"",INDEX(properties!A$1:CB$87,'Fórmula'!D72,26)),IF(INDEX(properties!A$1:CB$87,'Fórmula'!F72,26)&lt;&gt;"",INDEX(properties!A$1:CB$87,'Fórmula'!F72,26)),IF(INDEX(properties!A$1:CB$87,'Fórmula'!H72,26)&lt;&gt;"",INDEX(properties!A$1:CB$87,'Fórmula'!H72,26)),IF(INDEX(properties!A$1:CB$87,'Fórmula'!J72,26)&lt;&gt;"",INDEX(properties!A$1:CB$87,'Fórmula'!J72,26)))</f>
        <v>29.82334956</v>
      </c>
      <c r="CK72" s="116">
        <f t="array" ref="CK72">MAX(INDEX(properties!A$1:CB$87,'Fórmula'!B72,26),INDEX(properties!A$1:CB$87,'Fórmula'!D72,26),INDEX(properties!A$1:CB$87,'Fórmula'!F72,26),INDEX(properties!A$1:CB$87,'Fórmula'!H72,26),INDEX(properties!A$1:CB$87,'Fórmula'!J72,26))</f>
        <v>13.6181</v>
      </c>
      <c r="CL72" s="116">
        <f t="array" ref="CL72">MIN(IF(INDEX(properties!A$1:CB$87,'Fórmula'!B72,26)=0,10^6,INDEX(properties!A$1:CB$87,'Fórmula'!B72,26)),IF(INDEX(properties!A$1:CB$87,'Fórmula'!D72,26)=0,10^6,INDEX(properties!A$1:CB$87,'Fórmula'!D72,26)),IF(INDEX(properties!A$1:CB$87,'Fórmula'!F72,26)=0,10^6,INDEX(properties!A$1:CB$87,'Fórmula'!F72,26)),IF(INDEX(properties!A$1:CB$87,'Fórmula'!H72,26)=0,10^6,INDEX(properties!A$1:CB$87,'Fórmula'!H72,26)),IF(INDEX(properties!A$1:CB$87,'Fórmula'!J72,26)=0,10^6,INDEX(properties!A$1:CB$87,'Fórmula'!J72,26)))</f>
        <v>5.6949</v>
      </c>
      <c r="CM72" s="115">
        <f t="shared" si="15"/>
        <v>7.9232</v>
      </c>
      <c r="CN72" s="117">
        <f t="array" ref="CN72">(('Fórmula'!C72)/('Fórmula'!C72+'Fórmula'!E72+'Fórmula'!G72+'Fórmula'!I72+'Fórmula'!K72))*(INDEX(properties!A$1:CB$87,'Fórmula'!B72,30))+(('Fórmula'!E72)/('Fórmula'!C72+'Fórmula'!E72+'Fórmula'!G72+'Fórmula'!I72+'Fórmula'!K72))*(INDEX(properties!A$1:CB$87,'Fórmula'!D72,30))+(('Fórmula'!G72)/('Fórmula'!C72+'Fórmula'!E72+'Fórmula'!G72+'Fórmula'!I72+'Fórmula'!K72))*(INDEX(properties!A$1:CB$87,'Fórmula'!F72,30))+(('Fórmula'!I72)/('Fórmula'!C72+'Fórmula'!E72+'Fórmula'!G72+'Fórmula'!I72+'Fórmula'!K72))*(INDEX(properties!A$1:CB$87,'Fórmula'!H72,30))+(('Fórmula'!K72)/('Fórmula'!C72+'Fórmula'!E72+'Fórmula'!G72+'Fórmula'!I72+'Fórmula'!K72))*(INDEX(properties!A$1:CB$87,'Fórmula'!J72,30))</f>
        <v>2.881666667</v>
      </c>
      <c r="CO72" s="117">
        <f t="array" ref="CO72">'Fórmula'!C72*(INDEX(properties!A$1:CB$87,'Fórmula'!B72,30))+'Fórmula'!E72*(INDEX(properties!A$1:CB$87,'Fórmula'!D72,30))+'Fórmula'!G72*(INDEX(properties!A$1:CB$87,'Fórmula'!F72,30))+'Fórmula'!I72*(INDEX(properties!A$1:CB$87,'Fórmula'!H72,30))+'Fórmula'!K72*(INDEX(properties!A$1:CB$87,'Fórmula'!J72,30))</f>
        <v>17.29</v>
      </c>
      <c r="CP72" s="117">
        <f t="array" ref="CP72">VARP(IF(INDEX(properties!A$1:CB$87,'Fórmula'!B72,30)&lt;&gt;"",INDEX(properties!A$1:CB$87,'Fórmula'!B72,30)),IF(INDEX(properties!A$1:CB$87,'Fórmula'!D72,30)&lt;&gt;"",INDEX(properties!A$1:CB$87,'Fórmula'!D72,30)),IF(INDEX(properties!A$1:CB$87,'Fórmula'!F72,30)&lt;&gt;"",INDEX(properties!A$1:CB$87,'Fórmula'!F72,30)),IF(INDEX(properties!A$1:CB$87,'Fórmula'!H72,30)&lt;&gt;"",INDEX(properties!A$1:CB$87,'Fórmula'!H72,30)),IF(INDEX(properties!A$1:CB$87,'Fórmula'!J72,30)&lt;&gt;"",INDEX(properties!A$1:CB$87,'Fórmula'!J72,30)))</f>
        <v>1.935264</v>
      </c>
      <c r="CQ72" s="117">
        <f t="array" ref="CQ72">MAX(INDEX(properties!A$1:CB$87,'Fórmula'!B72,30),INDEX(properties!A$1:CB$87,'Fórmula'!D72,30),INDEX(properties!A$1:CB$87,'Fórmula'!F72,30),INDEX(properties!A$1:CB$87,'Fórmula'!H72,30),INDEX(properties!A$1:CB$87,'Fórmula'!J72,30))</f>
        <v>3.44</v>
      </c>
      <c r="CR72" s="117">
        <f t="array" ref="CR72">MIN(IF(INDEX(properties!A$1:CB$87,'Fórmula'!B72,30)=0,10^6,INDEX(properties!A$1:CB$87,'Fórmula'!B72,30)),IF(INDEX(properties!A$1:CB$87,'Fórmula'!D72,30)=0,10^6,INDEX(properties!A$1:CB$87,'Fórmula'!D72,30)),IF(INDEX(properties!A$1:CB$87,'Fórmula'!F72,30)=0,10^6,INDEX(properties!A$1:CB$87,'Fórmula'!F72,30)),IF(INDEX(properties!A$1:CB$87,'Fórmula'!H72,30)=0,10^6,INDEX(properties!A$1:CB$87,'Fórmula'!H72,30)),IF(INDEX(properties!A$1:CB$87,'Fórmula'!J72,30)=0,10^6,INDEX(properties!A$1:CB$87,'Fórmula'!J72,30)))</f>
        <v>0.95</v>
      </c>
      <c r="CS72" s="117">
        <f t="shared" si="16"/>
        <v>2.49</v>
      </c>
      <c r="CT72" s="118">
        <f t="array" ref="CT72">(('Fórmula'!C72)/('Fórmula'!C72+'Fórmula'!E72+'Fórmula'!G72+'Fórmula'!I72+'Fórmula'!K72))*(INDEX(properties!A$1:CB$87,'Fórmula'!B72,31))+(('Fórmula'!E72)/('Fórmula'!C72+'Fórmula'!E72+'Fórmula'!G72+'Fórmula'!I72+'Fórmula'!K72))*(INDEX(properties!A$1:CB$87,'Fórmula'!D72,31))+(('Fórmula'!G72)/('Fórmula'!C72+'Fórmula'!E72+'Fórmula'!G72+'Fórmula'!I72+'Fórmula'!K72))*(INDEX(properties!A$1:CB$87,'Fórmula'!F72,31))+(('Fórmula'!I72)/('Fórmula'!C72+'Fórmula'!E72+'Fórmula'!G72+'Fórmula'!I72+'Fórmula'!K72))*(INDEX(properties!A$1:CB$87,'Fórmula'!H72,31))+(('Fórmula'!K72)/('Fórmula'!C72+'Fórmula'!E72+'Fórmula'!G72+'Fórmula'!I72+'Fórmula'!K72))*(INDEX(properties!A$1:CB$87,'Fórmula'!J72,31))</f>
        <v>2.843333333</v>
      </c>
      <c r="CU72" s="118">
        <f t="array" ref="CU72">'Fórmula'!C72*(INDEX(properties!A$1:CB$87,'Fórmula'!B72,31))+'Fórmula'!E72*(INDEX(properties!A$1:CB$87,'Fórmula'!D72,31))+'Fórmula'!G72*(INDEX(properties!A$1:CB$87,'Fórmula'!F72,31))+'Fórmula'!I72*(INDEX(properties!A$1:CB$87,'Fórmula'!H72,31))+'Fórmula'!K72*(INDEX(properties!A$1:CB$87,'Fórmula'!J72,31))</f>
        <v>17.06</v>
      </c>
      <c r="CV72" s="118">
        <f t="array" ref="CV72">VARP(IF(INDEX(properties!A$1:CB$87,'Fórmula'!B72,31)&lt;&gt;"",INDEX(properties!A$1:CB$87,'Fórmula'!B72,31)),IF(INDEX(properties!A$1:CB$87,'Fórmula'!D72,31)&lt;&gt;"",INDEX(properties!A$1:CB$87,'Fórmula'!D72,31)),IF(INDEX(properties!A$1:CB$87,'Fórmula'!F72,31)&lt;&gt;"",INDEX(properties!A$1:CB$87,'Fórmula'!F72,31)),IF(INDEX(properties!A$1:CB$87,'Fórmula'!H72,31)&lt;&gt;"",INDEX(properties!A$1:CB$87,'Fórmula'!H72,31)),IF(INDEX(properties!A$1:CB$87,'Fórmula'!J72,31)&lt;&gt;"",INDEX(properties!A$1:CB$87,'Fórmula'!J72,31)))</f>
        <v>1.84796</v>
      </c>
      <c r="CW72" s="118">
        <f t="array" ref="CW72">MAX(INDEX(properties!A$1:CB$87,'Fórmula'!B72,31),INDEX(properties!A$1:CB$87,'Fórmula'!D72,31),INDEX(properties!A$1:CB$87,'Fórmula'!F72,31),INDEX(properties!A$1:CB$87,'Fórmula'!H72,31),INDEX(properties!A$1:CB$87,'Fórmula'!J72,31))</f>
        <v>3.32</v>
      </c>
      <c r="CX72" s="118">
        <f t="array" ref="CX72">MIN(IF(INDEX(properties!A$1:CB$87,'Fórmula'!B72,31)=0,10^6,INDEX(properties!A$1:CB$87,'Fórmula'!B72,31)),IF(INDEX(properties!A$1:CB$87,'Fórmula'!D72,31)=0,10^6,INDEX(properties!A$1:CB$87,'Fórmula'!D72,31)),IF(INDEX(properties!A$1:CB$87,'Fórmula'!F72,31)=0,10^6,INDEX(properties!A$1:CB$87,'Fórmula'!F72,31)),IF(INDEX(properties!A$1:CB$87,'Fórmula'!H72,31)=0,10^6,INDEX(properties!A$1:CB$87,'Fórmula'!H72,31)),IF(INDEX(properties!A$1:CB$87,'Fórmula'!J72,31)=0,10^6,INDEX(properties!A$1:CB$87,'Fórmula'!J72,31)))</f>
        <v>1.13</v>
      </c>
      <c r="CY72" s="118">
        <f t="shared" si="17"/>
        <v>2.19</v>
      </c>
      <c r="CZ72" s="119">
        <f t="array" ref="CZ72">(('Fórmula'!C72)/('Fórmula'!C72+'Fórmula'!E72+'Fórmula'!G72+'Fórmula'!I72+'Fórmula'!K72))*(INDEX(properties!A$1:CB$87,'Fórmula'!B72,32))+(('Fórmula'!E72)/('Fórmula'!C72+'Fórmula'!E72+'Fórmula'!G72+'Fórmula'!I72+'Fórmula'!K72))*(INDEX(properties!A$1:CB$87,'Fórmula'!D72,32))+(('Fórmula'!G72)/('Fórmula'!C72+'Fórmula'!E72+'Fórmula'!G72+'Fórmula'!I72+'Fórmula'!K72))*(INDEX(properties!A$1:CB$87,'Fórmula'!F72,32))+(('Fórmula'!I72)/('Fórmula'!C72+'Fórmula'!E72+'Fórmula'!G72+'Fórmula'!I72+'Fórmula'!K72))*(INDEX(properties!A$1:CB$87,'Fórmula'!H72,32))+(('Fórmula'!K72)/('Fórmula'!C72+'Fórmula'!E72+'Fórmula'!G72+'Fórmula'!I72+'Fórmula'!K72))*(INDEX(properties!A$1:CB$87,'Fórmula'!J72,32))</f>
        <v>6.396666667</v>
      </c>
      <c r="DA72" s="119">
        <f t="array" ref="DA72">'Fórmula'!C72*(INDEX(properties!A$1:CB$87,'Fórmula'!B72,32))+'Fórmula'!E72*(INDEX(properties!A$1:CB$87,'Fórmula'!D72,32))+'Fórmula'!G72*(INDEX(properties!A$1:CB$87,'Fórmula'!F72,32))+'Fórmula'!I72*(INDEX(properties!A$1:CB$87,'Fórmula'!H72,32))+'Fórmula'!K72*(INDEX(properties!A$1:CB$87,'Fórmula'!J72,32))</f>
        <v>38.38</v>
      </c>
      <c r="DB72" s="119">
        <f t="array" ref="DB72">VARP(IF(INDEX(properties!A$1:CB$87,'Fórmula'!B72,32)&lt;&gt;"",INDEX(properties!A$1:CB$87,'Fórmula'!B72,32)),IF(INDEX(properties!A$1:CB$87,'Fórmula'!D72,32)&lt;&gt;"",INDEX(properties!A$1:CB$87,'Fórmula'!D72,32)),IF(INDEX(properties!A$1:CB$87,'Fórmula'!F72,32)&lt;&gt;"",INDEX(properties!A$1:CB$87,'Fórmula'!F72,32)),IF(INDEX(properties!A$1:CB$87,'Fórmula'!H72,32)&lt;&gt;"",INDEX(properties!A$1:CB$87,'Fórmula'!H72,32)),IF(INDEX(properties!A$1:CB$87,'Fórmula'!J72,32)&lt;&gt;"",INDEX(properties!A$1:CB$87,'Fórmula'!J72,32)))</f>
        <v>9.972896</v>
      </c>
      <c r="DC72" s="119">
        <f t="array" ref="DC72">MAX(INDEX(properties!A$1:CB$87,'Fórmula'!B72,32),INDEX(properties!A$1:CB$87,'Fórmula'!D72,32),INDEX(properties!A$1:CB$87,'Fórmula'!F72,32),INDEX(properties!A$1:CB$87,'Fórmula'!H72,32),INDEX(properties!A$1:CB$87,'Fórmula'!J72,32))</f>
        <v>7.54</v>
      </c>
      <c r="DD72" s="119">
        <f t="array" ref="DD72">MIN(IF(INDEX(properties!A$1:CB$87,'Fórmula'!B72,32)=0,10^6,INDEX(properties!A$1:CB$87,'Fórmula'!B72,32)),IF(INDEX(properties!A$1:CB$87,'Fórmula'!D72,32)=0,10^6,INDEX(properties!A$1:CB$87,'Fórmula'!D72,32)),IF(INDEX(properties!A$1:CB$87,'Fórmula'!F72,32)=0,10^6,INDEX(properties!A$1:CB$87,'Fórmula'!F72,32)),IF(INDEX(properties!A$1:CB$87,'Fórmula'!H72,32)=0,10^6,INDEX(properties!A$1:CB$87,'Fórmula'!H72,32)),IF(INDEX(properties!A$1:CB$87,'Fórmula'!J72,32)=0,10^6,INDEX(properties!A$1:CB$87,'Fórmula'!J72,32)))</f>
        <v>2</v>
      </c>
      <c r="DE72" s="119">
        <f t="shared" si="18"/>
        <v>5.54</v>
      </c>
      <c r="DF72" s="104">
        <f t="array" ref="DF72">(('Fórmula'!C72)/('Fórmula'!C72+'Fórmula'!E72+'Fórmula'!G72+'Fórmula'!I72+'Fórmula'!K72))*(INDEX(properties!A$1:CB$87,'Fórmula'!B72,34))+(('Fórmula'!E72)/('Fórmula'!C72+'Fórmula'!E72+'Fórmula'!G72+'Fórmula'!I72+'Fórmula'!K72))*(INDEX(properties!A$1:CB$87,'Fórmula'!D72,34))+(('Fórmula'!G72)/('Fórmula'!C72+'Fórmula'!E72+'Fórmula'!G72+'Fórmula'!I72+'Fórmula'!K72))*(INDEX(properties!A$1:CB$87,'Fórmula'!F72,34))+(('Fórmula'!I72)/('Fórmula'!C72+'Fórmula'!E72+'Fórmula'!G72+'Fórmula'!I72+'Fórmula'!K72))*(INDEX(properties!A$1:CB$87,'Fórmula'!H72,34))+(('Fórmula'!K72)/('Fórmula'!C72+'Fórmula'!E72+'Fórmula'!G72+'Fórmula'!I72+'Fórmula'!K72))*(INDEX(properties!A$1:CB$87,'Fórmula'!J72,34))</f>
        <v>2.998666667</v>
      </c>
      <c r="DG72" s="104">
        <f t="array" ref="DG72">'Fórmula'!C72*(INDEX(properties!A$1:CB$87,'Fórmula'!B72,34))+'Fórmula'!E72*(INDEX(properties!A$1:CB$87,'Fórmula'!D72,34))+'Fórmula'!G72*(INDEX(properties!A$1:CB$87,'Fórmula'!F72,34))+'Fórmula'!I72*(INDEX(properties!A$1:CB$87,'Fórmula'!H72,34))+'Fórmula'!K72*(INDEX(properties!A$1:CB$87,'Fórmula'!J72,34))</f>
        <v>17.992</v>
      </c>
      <c r="DH72" s="104">
        <f t="array" ref="DH72">VARP(IF(INDEX(properties!A$1:CB$87,'Fórmula'!B72,34)&lt;&gt;"",INDEX(properties!A$1:CB$87,'Fórmula'!B72,34)),IF(INDEX(properties!A$1:CB$87,'Fórmula'!D72,34)&lt;&gt;"",INDEX(properties!A$1:CB$87,'Fórmula'!D72,34)),IF(INDEX(properties!A$1:CB$87,'Fórmula'!F72,34)&lt;&gt;"",INDEX(properties!A$1:CB$87,'Fórmula'!F72,34)),IF(INDEX(properties!A$1:CB$87,'Fórmula'!H72,34)&lt;&gt;"",INDEX(properties!A$1:CB$87,'Fórmula'!H72,34)),IF(INDEX(properties!A$1:CB$87,'Fórmula'!J72,34)&lt;&gt;"",INDEX(properties!A$1:CB$87,'Fórmula'!J72,34)))</f>
        <v>2.08070824</v>
      </c>
      <c r="DI72" s="104">
        <f t="array" ref="DI72">MAX(INDEX(properties!A$1:CB$87,'Fórmula'!B72,34),INDEX(properties!A$1:CB$87,'Fórmula'!D72,34),INDEX(properties!A$1:CB$87,'Fórmula'!F72,34),INDEX(properties!A$1:CB$87,'Fórmula'!H72,34),INDEX(properties!A$1:CB$87,'Fórmula'!J72,34))</f>
        <v>3.61</v>
      </c>
      <c r="DJ72" s="104">
        <f t="array" ref="DJ72">MIN(IF(INDEX(properties!A$1:CB$87,'Fórmula'!B72,34)=0,10^6,INDEX(properties!A$1:CB$87,'Fórmula'!B72,34)),IF(INDEX(properties!A$1:CB$87,'Fórmula'!D72,34)=0,10^6,INDEX(properties!A$1:CB$87,'Fórmula'!D72,34)),IF(INDEX(properties!A$1:CB$87,'Fórmula'!F72,34)=0,10^6,INDEX(properties!A$1:CB$87,'Fórmula'!F72,34)),IF(INDEX(properties!A$1:CB$87,'Fórmula'!H72,34)=0,10^6,INDEX(properties!A$1:CB$87,'Fórmula'!H72,34)),IF(INDEX(properties!A$1:CB$87,'Fórmula'!J72,34)=0,10^6,INDEX(properties!A$1:CB$87,'Fórmula'!J72,34)))</f>
        <v>0.963</v>
      </c>
      <c r="DK72" s="104">
        <f t="shared" si="19"/>
        <v>2.647</v>
      </c>
      <c r="DL72" s="105">
        <f t="array" ref="DL72">(('Fórmula'!C72)/('Fórmula'!C72+'Fórmula'!E72+'Fórmula'!G72+'Fórmula'!I72+'Fórmula'!K72))*(INDEX(properties!A$1:CB$87,'Fórmula'!B72,37))+(('Fórmula'!E72)/('Fórmula'!C72+'Fórmula'!E72+'Fórmula'!G72+'Fórmula'!I72+'Fórmula'!K72))*(INDEX(properties!A$1:CB$87,'Fórmula'!D72,37))+(('Fórmula'!G72)/('Fórmula'!C72+'Fórmula'!E72+'Fórmula'!G72+'Fórmula'!I72+'Fórmula'!K72))*(INDEX(properties!A$1:CB$87,'Fórmula'!F72,37))+(('Fórmula'!I72)/('Fórmula'!C72+'Fórmula'!E72+'Fórmula'!G72+'Fórmula'!I72+'Fórmula'!K72))*(INDEX(properties!A$1:CB$87,'Fórmula'!H72,37))+(('Fórmula'!K72)/('Fórmula'!C72+'Fórmula'!E72+'Fórmula'!G72+'Fórmula'!I72+'Fórmula'!K72))*(INDEX(properties!A$1:CB$87,'Fórmula'!J72,37))</f>
        <v>2.888333333</v>
      </c>
      <c r="DM72" s="105">
        <f t="array" ref="DM72">'Fórmula'!C72*(INDEX(properties!A$1:CB$87,'Fórmula'!B72,37))+'Fórmula'!E72*(INDEX(properties!A$1:CB$87,'Fórmula'!D72,37))+'Fórmula'!G72*(INDEX(properties!A$1:CB$87,'Fórmula'!F72,37))+'Fórmula'!I72*(INDEX(properties!A$1:CB$87,'Fórmula'!H72,37))+'Fórmula'!K72*(INDEX(properties!A$1:CB$87,'Fórmula'!J72,37))</f>
        <v>17.33</v>
      </c>
      <c r="DN72" s="105">
        <f t="array" ref="DN72">VARP(IF(INDEX(properties!A$1:CB$87,'Fórmula'!B72,37)&lt;&gt;"",INDEX(properties!A$1:CB$87,'Fórmula'!B72,37)),IF(INDEX(properties!A$1:CB$87,'Fórmula'!D72,37)&lt;&gt;"",INDEX(properties!A$1:CB$87,'Fórmula'!D72,37)),IF(INDEX(properties!A$1:CB$87,'Fórmula'!F72,37)&lt;&gt;"",INDEX(properties!A$1:CB$87,'Fórmula'!F72,37)),IF(INDEX(properties!A$1:CB$87,'Fórmula'!H72,37)&lt;&gt;"",INDEX(properties!A$1:CB$87,'Fórmula'!H72,37)),IF(INDEX(properties!A$1:CB$87,'Fórmula'!J72,37)&lt;&gt;"",INDEX(properties!A$1:CB$87,'Fórmula'!J72,37)))</f>
        <v>1.911864</v>
      </c>
      <c r="DO72" s="105">
        <f t="array" ref="DO72">MAX(INDEX(properties!A$1:CB$87,'Fórmula'!B72,37),INDEX(properties!A$1:CB$87,'Fórmula'!D72,37),INDEX(properties!A$1:CB$87,'Fórmula'!F72,37),INDEX(properties!A$1:CB$87,'Fórmula'!H72,37),INDEX(properties!A$1:CB$87,'Fórmula'!J72,37))</f>
        <v>3.45</v>
      </c>
      <c r="DP72" s="105">
        <f t="array" ref="DP72">MIN(IF(INDEX(properties!A$1:CB$87,'Fórmula'!B72,37)=0,10^6,INDEX(properties!A$1:CB$87,'Fórmula'!B72,37)),IF(INDEX(properties!A$1:CB$87,'Fórmula'!D72,37)=0,10^6,INDEX(properties!A$1:CB$87,'Fórmula'!D72,37)),IF(INDEX(properties!A$1:CB$87,'Fórmula'!F72,37)=0,10^6,INDEX(properties!A$1:CB$87,'Fórmula'!F72,37)),IF(INDEX(properties!A$1:CB$87,'Fórmula'!H72,37)=0,10^6,INDEX(properties!A$1:CB$87,'Fórmula'!H72,37)),IF(INDEX(properties!A$1:CB$87,'Fórmula'!J72,37)=0,10^6,INDEX(properties!A$1:CB$87,'Fórmula'!J72,37)))</f>
        <v>1</v>
      </c>
      <c r="DQ72" s="105">
        <f t="shared" si="20"/>
        <v>2.45</v>
      </c>
      <c r="DR72" s="109">
        <f t="array" ref="DR72">(('Fórmula'!C72)/('Fórmula'!C72+'Fórmula'!E72+'Fórmula'!G72+'Fórmula'!I72+'Fórmula'!K72))*(INDEX(properties!A$1:CB$87,'Fórmula'!B72,39))+(('Fórmula'!E72)/('Fórmula'!C72+'Fórmula'!E72+'Fórmula'!G72+'Fórmula'!I72+'Fórmula'!K72))*(INDEX(properties!A$1:CB$87,'Fórmula'!D72,39))+(('Fórmula'!G72)/('Fórmula'!C72+'Fórmula'!E72+'Fórmula'!G72+'Fórmula'!I72+'Fórmula'!K72))*(INDEX(properties!A$1:CB$87,'Fórmula'!F72,39))+(('Fórmula'!I72)/('Fórmula'!C72+'Fórmula'!E72+'Fórmula'!G72+'Fórmula'!I72+'Fórmula'!K72))*(INDEX(properties!A$1:CB$87,'Fórmula'!H72,39))+(('Fórmula'!K72)/('Fórmula'!C72+'Fórmula'!E72+'Fórmula'!G72+'Fórmula'!I72+'Fórmula'!K72))*(INDEX(properties!A$1:CB$87,'Fórmula'!J72,39))</f>
        <v>0.8316666667</v>
      </c>
      <c r="DS72" s="109">
        <f t="array" ref="DS72">'Fórmula'!C72*(INDEX(properties!A$1:CB$87,'Fórmula'!B72,39))+'Fórmula'!E72*(INDEX(properties!A$1:CB$87,'Fórmula'!D72,39))+'Fórmula'!G72*(INDEX(properties!A$1:CB$87,'Fórmula'!F72,39))+'Fórmula'!I72*(INDEX(properties!A$1:CB$87,'Fórmula'!H72,39))+'Fórmula'!K72*(INDEX(properties!A$1:CB$87,'Fórmula'!J72,39))</f>
        <v>4.99</v>
      </c>
      <c r="DT72" s="109">
        <f t="array" ref="DT72">VARP(IF(INDEX(properties!A$1:CB$87,'Fórmula'!B72,39)&lt;&gt;"",INDEX(properties!A$1:CB$87,'Fórmula'!B72,39)),IF(INDEX(properties!A$1:CB$87,'Fórmula'!D72,39)&lt;&gt;"",INDEX(properties!A$1:CB$87,'Fórmula'!D72,39)),IF(INDEX(properties!A$1:CB$87,'Fórmula'!F72,39)&lt;&gt;"",INDEX(properties!A$1:CB$87,'Fórmula'!F72,39)),IF(INDEX(properties!A$1:CB$87,'Fórmula'!H72,39)&lt;&gt;"",INDEX(properties!A$1:CB$87,'Fórmula'!H72,39)),IF(INDEX(properties!A$1:CB$87,'Fórmula'!J72,39)&lt;&gt;"",INDEX(properties!A$1:CB$87,'Fórmula'!J72,39)))</f>
        <v>0.65608</v>
      </c>
      <c r="DU72" s="120">
        <f t="array" ref="DU72">MAX(INDEX(properties!A$1:CB$87,'Fórmula'!B72,39),INDEX(properties!A$1:CB$87,'Fórmula'!D72,39),INDEX(properties!A$1:CB$87,'Fórmula'!F72,39),INDEX(properties!A$1:CB$87,'Fórmula'!H72,39),INDEX(properties!A$1:CB$87,'Fórmula'!J72,39))</f>
        <v>2.19</v>
      </c>
      <c r="DV72" s="120">
        <f t="array" ref="DV72">MIN(IF(INDEX(properties!A$1:CB$87,'Fórmula'!B72,39)=0,10^6,INDEX(properties!A$1:CB$87,'Fórmula'!B72,39)),IF(INDEX(properties!A$1:CB$87,'Fórmula'!D72,39)=0,10^6,INDEX(properties!A$1:CB$87,'Fórmula'!D72,39)),IF(INDEX(properties!A$1:CB$87,'Fórmula'!F72,39)=0,10^6,INDEX(properties!A$1:CB$87,'Fórmula'!F72,39)),IF(INDEX(properties!A$1:CB$87,'Fórmula'!H72,39)=0,10^6,INDEX(properties!A$1:CB$87,'Fórmula'!H72,39)),IF(INDEX(properties!A$1:CB$87,'Fórmula'!J72,39)=0,10^6,INDEX(properties!A$1:CB$87,'Fórmula'!J72,39)))</f>
        <v>0.48</v>
      </c>
      <c r="DW72" s="109">
        <f t="shared" si="21"/>
        <v>1.71</v>
      </c>
      <c r="DX72" s="110">
        <f t="array" ref="DX72">(('Fórmula'!C72)/('Fórmula'!C72+'Fórmula'!E72+'Fórmula'!G72+'Fórmula'!I72+'Fórmula'!K72))*(INDEX(properties!A$1:CB$87,'Fórmula'!B72,40))+(('Fórmula'!E72)/('Fórmula'!C72+'Fórmula'!E72+'Fórmula'!G72+'Fórmula'!I72+'Fórmula'!K72))*(INDEX(properties!A$1:CB$87,'Fórmula'!D72,40))+(('Fórmula'!G72)/('Fórmula'!C72+'Fórmula'!E72+'Fórmula'!G72+'Fórmula'!I72+'Fórmula'!K72))*(INDEX(properties!A$1:CB$87,'Fórmula'!F72,40))+(('Fórmula'!I72)/('Fórmula'!C72+'Fórmula'!E72+'Fórmula'!G72+'Fórmula'!I72+'Fórmula'!K72))*(INDEX(properties!A$1:CB$87,'Fórmula'!H72,40))+(('Fórmula'!K72)/('Fórmula'!C72+'Fórmula'!E72+'Fórmula'!G72+'Fórmula'!I72+'Fórmula'!K72))*(INDEX(properties!A$1:CB$87,'Fórmula'!J72,40))</f>
        <v>0.9766666667</v>
      </c>
      <c r="DY72" s="110">
        <f t="array" ref="DY72">'Fórmula'!C72*(INDEX(properties!A$1:CB$87,'Fórmula'!B72,40))+'Fórmula'!E72*(INDEX(properties!A$1:CB$87,'Fórmula'!D72,40))+'Fórmula'!G72*(INDEX(properties!A$1:CB$87,'Fórmula'!F72,40))+'Fórmula'!I72*(INDEX(properties!A$1:CB$87,'Fórmula'!H72,40))+'Fórmula'!K72*(INDEX(properties!A$1:CB$87,'Fórmula'!J72,40))</f>
        <v>5.86</v>
      </c>
      <c r="DZ72" s="110">
        <f t="array" ref="DZ72">VARP(IF(INDEX(properties!A$1:CB$87,'Fórmula'!B72,40)&lt;&gt;"",INDEX(properties!A$1:CB$87,'Fórmula'!B72,40)),IF(INDEX(properties!A$1:CB$87,'Fórmula'!D72,40)&lt;&gt;"",INDEX(properties!A$1:CB$87,'Fórmula'!D72,40)),IF(INDEX(properties!A$1:CB$87,'Fórmula'!F72,40)&lt;&gt;"",INDEX(properties!A$1:CB$87,'Fórmula'!F72,40)),IF(INDEX(properties!A$1:CB$87,'Fórmula'!H72,40)&lt;&gt;"",INDEX(properties!A$1:CB$87,'Fórmula'!H72,40)),IF(INDEX(properties!A$1:CB$87,'Fórmula'!J72,40)&lt;&gt;"",INDEX(properties!A$1:CB$87,'Fórmula'!J72,40)))</f>
        <v>0.513184</v>
      </c>
      <c r="EA72" s="121">
        <f t="array" ref="EA72">MAX(INDEX(properties!A$1:CB$87,'Fórmula'!B72,40),INDEX(properties!A$1:CB$87,'Fórmula'!D72,40),INDEX(properties!A$1:CB$87,'Fórmula'!F72,40),INDEX(properties!A$1:CB$87,'Fórmula'!H72,40),INDEX(properties!A$1:CB$87,'Fórmula'!J72,40))</f>
        <v>1.92</v>
      </c>
      <c r="EB72" s="121">
        <f t="array" ref="EB72">MIN(IF(INDEX(properties!A$1:CB$87,'Fórmula'!B72,40)=0,10^6,INDEX(properties!A$1:CB$87,'Fórmula'!B72,40)),IF(INDEX(properties!A$1:CB$87,'Fórmula'!D72,40)=0,10^6,INDEX(properties!A$1:CB$87,'Fórmula'!D72,40)),IF(INDEX(properties!A$1:CB$87,'Fórmula'!F72,40)=0,10^6,INDEX(properties!A$1:CB$87,'Fórmula'!F72,40)),IF(INDEX(properties!A$1:CB$87,'Fórmula'!H72,40)=0,10^6,INDEX(properties!A$1:CB$87,'Fórmula'!H72,40)),IF(INDEX(properties!A$1:CB$87,'Fórmula'!J72,40)=0,10^6,INDEX(properties!A$1:CB$87,'Fórmula'!J72,40)))</f>
        <v>0.73</v>
      </c>
      <c r="EC72" s="110">
        <f t="shared" si="22"/>
        <v>1.19</v>
      </c>
      <c r="ED72" s="111">
        <f t="array" ref="ED72">(('Fórmula'!C72)/('Fórmula'!C72+'Fórmula'!E72+'Fórmula'!G72+'Fórmula'!I72+'Fórmula'!K72))*(INDEX(properties!A$1:CB$87,'Fórmula'!B72,41))+(('Fórmula'!E72)/('Fórmula'!C72+'Fórmula'!E72+'Fórmula'!G72+'Fórmula'!I72+'Fórmula'!K72))*(INDEX(properties!A$1:CB$87,'Fórmula'!D72,41))+(('Fórmula'!G72)/('Fórmula'!C72+'Fórmula'!E72+'Fórmula'!G72+'Fórmula'!I72+'Fórmula'!K72))*(INDEX(properties!A$1:CB$87,'Fórmula'!F72,41))+(('Fórmula'!I72)/('Fórmula'!C72+'Fórmula'!E72+'Fórmula'!G72+'Fórmula'!I72+'Fórmula'!K72))*(INDEX(properties!A$1:CB$87,'Fórmula'!H72,41))+(('Fórmula'!K72)/('Fórmula'!C72+'Fórmula'!E72+'Fórmula'!G72+'Fórmula'!I72+'Fórmula'!K72))*(INDEX(properties!A$1:CB$87,'Fórmula'!J72,41))</f>
        <v>1.343333333</v>
      </c>
      <c r="EE72" s="111">
        <f t="array" ref="EE72">'Fórmula'!C72*(INDEX(properties!A$1:CB$87,'Fórmula'!B72,41))+'Fórmula'!E72*(INDEX(properties!A$1:CB$87,'Fórmula'!D72,41))+'Fórmula'!G72*(INDEX(properties!A$1:CB$87,'Fórmula'!F72,41))+'Fórmula'!I72*(INDEX(properties!A$1:CB$87,'Fórmula'!H72,41))+'Fórmula'!K72*(INDEX(properties!A$1:CB$87,'Fórmula'!J72,41))</f>
        <v>8.06</v>
      </c>
      <c r="EF72" s="111">
        <f t="array" ref="EF72">VARP(IF(INDEX(properties!A$1:CB$87,'Fórmula'!B72,41)&lt;&gt;"",INDEX(properties!A$1:CB$87,'Fórmula'!B72,41)),IF(INDEX(properties!A$1:CB$87,'Fórmula'!D72,41)&lt;&gt;"",INDEX(properties!A$1:CB$87,'Fórmula'!D72,41)),IF(INDEX(properties!A$1:CB$87,'Fórmula'!F72,41)&lt;&gt;"",INDEX(properties!A$1:CB$87,'Fórmula'!F72,41)),IF(INDEX(properties!A$1:CB$87,'Fórmula'!H72,41)&lt;&gt;"",INDEX(properties!A$1:CB$87,'Fórmula'!H72,41)),IF(INDEX(properties!A$1:CB$87,'Fórmula'!J72,41)&lt;&gt;"",INDEX(properties!A$1:CB$87,'Fórmula'!J72,41)))</f>
        <v>0.511264</v>
      </c>
      <c r="EG72" s="122">
        <f t="array" ref="EG72">MAX(INDEX(properties!A$1:CB$87,'Fórmula'!B72,41),INDEX(properties!A$1:CB$87,'Fórmula'!D72,41),INDEX(properties!A$1:CB$87,'Fórmula'!F72,41),INDEX(properties!A$1:CB$87,'Fórmula'!H72,41),INDEX(properties!A$1:CB$87,'Fórmula'!J72,41))</f>
        <v>1.7</v>
      </c>
      <c r="EH72" s="122">
        <f t="array" ref="EH72">MIN(IF(INDEX(properties!A$1:CB$87,'Fórmula'!B72,41)=0,10^6,INDEX(properties!A$1:CB$87,'Fórmula'!B72,41)),IF(INDEX(properties!A$1:CB$87,'Fórmula'!D72,41)=0,10^6,INDEX(properties!A$1:CB$87,'Fórmula'!D72,41)),IF(INDEX(properties!A$1:CB$87,'Fórmula'!F72,41)=0,10^6,INDEX(properties!A$1:CB$87,'Fórmula'!F72,41)),IF(INDEX(properties!A$1:CB$87,'Fórmula'!H72,41)=0,10^6,INDEX(properties!A$1:CB$87,'Fórmula'!H72,41)),IF(INDEX(properties!A$1:CB$87,'Fórmula'!J72,41)=0,10^6,INDEX(properties!A$1:CB$87,'Fórmula'!J72,41)))</f>
        <v>1.26</v>
      </c>
      <c r="EI72" s="111">
        <f t="shared" si="23"/>
        <v>0.44</v>
      </c>
      <c r="EJ72" s="112">
        <f t="array" ref="EJ72">(('Fórmula'!C72)/('Fórmula'!C72+'Fórmula'!E72+'Fórmula'!G72+'Fórmula'!I72+'Fórmula'!K72))*(INDEX(properties!A$1:CB$87,'Fórmula'!B72,45))+(('Fórmula'!E72)/('Fórmula'!C72+'Fórmula'!E72+'Fórmula'!G72+'Fórmula'!I72+'Fórmula'!K72))*(INDEX(properties!A$1:CB$87,'Fórmula'!D72,45))+(('Fórmula'!G72)/('Fórmula'!C72+'Fórmula'!E72+'Fórmula'!G72+'Fórmula'!I72+'Fórmula'!K72))*(INDEX(properties!A$1:CB$87,'Fórmula'!F72,45))+(('Fórmula'!I72)/('Fórmula'!C72+'Fórmula'!E72+'Fórmula'!G72+'Fórmula'!I72+'Fórmula'!K72))*(INDEX(properties!A$1:CB$87,'Fórmula'!H72,45))+(('Fórmula'!K72)/('Fórmula'!C72+'Fórmula'!E72+'Fórmula'!G72+'Fórmula'!I72+'Fórmula'!K72))*(INDEX(properties!A$1:CB$87,'Fórmula'!J72,45))</f>
        <v>1.031666667</v>
      </c>
      <c r="EK72" s="112">
        <f t="array" ref="EK72">'Fórmula'!C72*(INDEX(properties!A$1:CB$87,'Fórmula'!B72,45))+'Fórmula'!E72*(INDEX(properties!A$1:CB$87,'Fórmula'!D72,45))+'Fórmula'!G72*(INDEX(properties!A$1:CB$87,'Fórmula'!F72,45))+'Fórmula'!I72*(INDEX(properties!A$1:CB$87,'Fórmula'!H72,45))+'Fórmula'!K72*(INDEX(properties!A$1:CB$87,'Fórmula'!J72,45))</f>
        <v>6.19</v>
      </c>
      <c r="EL72" s="112">
        <f t="array" ref="EL72">VARP(IF(INDEX(properties!A$1:CB$87,'Fórmula'!B72,45)&lt;&gt;"",INDEX(properties!A$1:CB$87,'Fórmula'!B72,45)),IF(INDEX(properties!A$1:CB$87,'Fórmula'!D72,45)&lt;&gt;"",INDEX(properties!A$1:CB$87,'Fórmula'!D72,45)),IF(INDEX(properties!A$1:CB$87,'Fórmula'!F72,45)&lt;&gt;"",INDEX(properties!A$1:CB$87,'Fórmula'!F72,45)),IF(INDEX(properties!A$1:CB$87,'Fórmula'!H72,45)&lt;&gt;"",INDEX(properties!A$1:CB$87,'Fórmula'!H72,45)),IF(INDEX(properties!A$1:CB$87,'Fórmula'!J72,45)&lt;&gt;"",INDEX(properties!A$1:CB$87,'Fórmula'!J72,45)))</f>
        <v>1.433064</v>
      </c>
      <c r="EM72" s="123">
        <f t="array" ref="EM72">MAX(INDEX(properties!A$1:CB$87,'Fórmula'!B72,45),INDEX(properties!A$1:CB$87,'Fórmula'!D72,45),INDEX(properties!A$1:CB$87,'Fórmula'!F72,45),INDEX(properties!A$1:CB$87,'Fórmula'!H72,45),INDEX(properties!A$1:CB$87,'Fórmula'!J72,45))</f>
        <v>3.21</v>
      </c>
      <c r="EN72" s="123">
        <f t="array" ref="EN72">MIN(IF(INDEX(properties!A$1:CB$87,'Fórmula'!B72,45)=0,10^6,INDEX(properties!A$1:CB$87,'Fórmula'!B72,45)),IF(INDEX(properties!A$1:CB$87,'Fórmula'!D72,45)=0,10^6,INDEX(properties!A$1:CB$87,'Fórmula'!D72,45)),IF(INDEX(properties!A$1:CB$87,'Fórmula'!F72,45)=0,10^6,INDEX(properties!A$1:CB$87,'Fórmula'!F72,45)),IF(INDEX(properties!A$1:CB$87,'Fórmula'!H72,45)=0,10^6,INDEX(properties!A$1:CB$87,'Fórmula'!H72,45)),IF(INDEX(properties!A$1:CB$87,'Fórmula'!J72,45)=0,10^6,INDEX(properties!A$1:CB$87,'Fórmula'!J72,45)))</f>
        <v>0.47</v>
      </c>
      <c r="EO72" s="112">
        <f t="shared" si="24"/>
        <v>2.74</v>
      </c>
      <c r="EP72" s="113">
        <f t="array" ref="EP72">(('Fórmula'!C72)/('Fórmula'!C72+'Fórmula'!E72+'Fórmula'!G72+'Fórmula'!I72+'Fórmula'!K72))*(INDEX(properties!A$1:CB$87,'Fórmula'!B72,46))+(('Fórmula'!E72)/('Fórmula'!C72+'Fórmula'!E72+'Fórmula'!G72+'Fórmula'!I72+'Fórmula'!K72))*(INDEX(properties!A$1:CB$87,'Fórmula'!D72,46))+(('Fórmula'!G72)/('Fórmula'!C72+'Fórmula'!E72+'Fórmula'!G72+'Fórmula'!I72+'Fórmula'!K72))*(INDEX(properties!A$1:CB$87,'Fórmula'!F72,46))+(('Fórmula'!I72)/('Fórmula'!C72+'Fórmula'!E72+'Fórmula'!G72+'Fórmula'!I72+'Fórmula'!K72))*(INDEX(properties!A$1:CB$87,'Fórmula'!H72,46))+(('Fórmula'!K72)/('Fórmula'!C72+'Fórmula'!E72+'Fórmula'!G72+'Fórmula'!I72+'Fórmula'!K72))*(INDEX(properties!A$1:CB$87,'Fórmula'!J72,46))</f>
        <v>1.098333333</v>
      </c>
      <c r="EQ72" s="113">
        <f t="array" ref="EQ72">'Fórmula'!C72*(INDEX(properties!A$1:CB$87,'Fórmula'!B72,46))+'Fórmula'!E72*(INDEX(properties!A$1:CB$87,'Fórmula'!D72,46))+'Fórmula'!G72*(INDEX(properties!A$1:CB$87,'Fórmula'!F72,46))+'Fórmula'!I72*(INDEX(properties!A$1:CB$87,'Fórmula'!H72,46))+'Fórmula'!K72*(INDEX(properties!A$1:CB$87,'Fórmula'!J72,46))</f>
        <v>6.59</v>
      </c>
      <c r="ER72" s="113">
        <f t="array" ref="ER72">VARP(IF(INDEX(properties!A$1:CB$87,'Fórmula'!B72,46)&lt;&gt;"",INDEX(properties!A$1:CB$87,'Fórmula'!B72,46)),IF(INDEX(properties!A$1:CB$87,'Fórmula'!D72,46)&lt;&gt;"",INDEX(properties!A$1:CB$87,'Fórmula'!D72,46)),IF(INDEX(properties!A$1:CB$87,'Fórmula'!F72,46)&lt;&gt;"",INDEX(properties!A$1:CB$87,'Fórmula'!F72,46)),IF(INDEX(properties!A$1:CB$87,'Fórmula'!H72,46)&lt;&gt;"",INDEX(properties!A$1:CB$87,'Fórmula'!H72,46)),IF(INDEX(properties!A$1:CB$87,'Fórmula'!J72,46)&lt;&gt;"",INDEX(properties!A$1:CB$87,'Fórmula'!J72,46)))</f>
        <v>0.327816</v>
      </c>
      <c r="ES72" s="124">
        <f t="array" ref="ES72">MAX(INDEX(properties!A$1:CB$87,'Fórmula'!B72,46),INDEX(properties!A$1:CB$87,'Fórmula'!D72,46),INDEX(properties!A$1:CB$87,'Fórmula'!F72,46),INDEX(properties!A$1:CB$87,'Fórmula'!H72,46),INDEX(properties!A$1:CB$87,'Fórmula'!J72,46))</f>
        <v>1.32</v>
      </c>
      <c r="ET72" s="124">
        <f t="array" ref="ET72">MIN(IF(INDEX(properties!A$1:CB$87,'Fórmula'!B72,46)=0,10^6,INDEX(properties!A$1:CB$87,'Fórmula'!B72,46)),IF(INDEX(properties!A$1:CB$87,'Fórmula'!D72,46)=0,10^6,INDEX(properties!A$1:CB$87,'Fórmula'!D72,46)),IF(INDEX(properties!A$1:CB$87,'Fórmula'!F72,46)=0,10^6,INDEX(properties!A$1:CB$87,'Fórmula'!F72,46)),IF(INDEX(properties!A$1:CB$87,'Fórmula'!H72,46)=0,10^6,INDEX(properties!A$1:CB$87,'Fórmula'!H72,46)),IF(INDEX(properties!A$1:CB$87,'Fórmula'!J72,46)=0,10^6,INDEX(properties!A$1:CB$87,'Fórmula'!J72,46)))</f>
        <v>0.43</v>
      </c>
      <c r="EU72" s="113">
        <f t="shared" si="25"/>
        <v>0.89</v>
      </c>
      <c r="EV72" s="114">
        <f t="array" ref="EV72">(('Fórmula'!C72)/('Fórmula'!C72+'Fórmula'!E72+'Fórmula'!G72+'Fórmula'!I72+'Fórmula'!K72))*(INDEX(properties!A$1:CB$87,'Fórmula'!B72,52))+(('Fórmula'!E72)/('Fórmula'!C72+'Fórmula'!E72+'Fórmula'!G72+'Fórmula'!I72+'Fórmula'!K72))*(INDEX(properties!A$1:CB$87,'Fórmula'!D72,52))+(('Fórmula'!G72)/('Fórmula'!C72+'Fórmula'!E72+'Fórmula'!G72+'Fórmula'!I72+'Fórmula'!K72))*(INDEX(properties!A$1:CB$87,'Fórmula'!F72,52))+(('Fórmula'!I72)/('Fórmula'!C72+'Fórmula'!E72+'Fórmula'!G72+'Fórmula'!I72+'Fórmula'!K72))*(INDEX(properties!A$1:CB$87,'Fórmula'!H72,52))+(('Fórmula'!K72)/('Fórmula'!C72+'Fórmula'!E72+'Fórmula'!G72+'Fórmula'!I72+'Fórmula'!K72))*(INDEX(properties!A$1:CB$87,'Fórmula'!J72,52))</f>
        <v>5.612</v>
      </c>
      <c r="EW72" s="114">
        <f t="array" ref="EW72">'Fórmula'!C72*(INDEX(properties!A$1:CB$87,'Fórmula'!B72,52))+'Fórmula'!E72*(INDEX(properties!A$1:CB$87,'Fórmula'!D72,52))+'Fórmula'!G72*(INDEX(properties!A$1:CB$87,'Fórmula'!F72,52))+'Fórmula'!I72*(INDEX(properties!A$1:CB$87,'Fórmula'!H72,52))+'Fórmula'!K72*(INDEX(properties!A$1:CB$87,'Fórmula'!J72,52))</f>
        <v>33.672</v>
      </c>
      <c r="EX72" s="114">
        <f t="array" ref="EX72">VARP(IF(INDEX(properties!A$1:CB$87,'Fórmula'!B72,52)&lt;&gt;"",INDEX(properties!A$1:CB$87,'Fórmula'!B72,52)),IF(INDEX(properties!A$1:CB$87,'Fórmula'!D72,52)&lt;&gt;"",INDEX(properties!A$1:CB$87,'Fórmula'!D72,52)),IF(INDEX(properties!A$1:CB$87,'Fórmula'!F72,52)&lt;&gt;"",INDEX(properties!A$1:CB$87,'Fórmula'!F72,52)),IF(INDEX(properties!A$1:CB$87,'Fórmula'!H72,52)&lt;&gt;"",INDEX(properties!A$1:CB$87,'Fórmula'!H72,52)),IF(INDEX(properties!A$1:CB$87,'Fórmula'!J72,52)&lt;&gt;"",INDEX(properties!A$1:CB$87,'Fórmula'!J72,52)))</f>
        <v>114.9896958</v>
      </c>
      <c r="EY72" s="114">
        <f t="array" ref="EY72">MAX(INDEX(properties!A$1:CB$87,'Fórmula'!B72,52),INDEX(properties!A$1:CB$87,'Fórmula'!D72,52),INDEX(properties!A$1:CB$87,'Fórmula'!F72,52),INDEX(properties!A$1:CB$87,'Fórmula'!H72,52),INDEX(properties!A$1:CB$87,'Fórmula'!J72,52))</f>
        <v>27.6</v>
      </c>
      <c r="EZ72" s="114">
        <f t="array" ref="EZ72">MIN(IF(INDEX(properties!A$1:CB$87,'Fórmula'!B72,52)=0,10^6,INDEX(properties!A$1:CB$87,'Fórmula'!B72,52)),IF(INDEX(properties!A$1:CB$87,'Fórmula'!D72,52)=0,10^6,INDEX(properties!A$1:CB$87,'Fórmula'!D72,52)),IF(INDEX(properties!A$1:CB$87,'Fórmula'!F72,52)=0,10^6,INDEX(properties!A$1:CB$87,'Fórmula'!F72,52)),IF(INDEX(properties!A$1:CB$87,'Fórmula'!H72,52)=0,10^6,INDEX(properties!A$1:CB$87,'Fórmula'!H72,52)),IF(INDEX(properties!A$1:CB$87,'Fórmula'!J72,52)=0,10^6,INDEX(properties!A$1:CB$87,'Fórmula'!J72,52)))</f>
        <v>0.793</v>
      </c>
      <c r="FA72" s="114">
        <f t="shared" si="26"/>
        <v>26.807</v>
      </c>
      <c r="FB72" s="115">
        <f t="array" ref="FB72">(('Fórmula'!C72)/('Fórmula'!C72+'Fórmula'!E72+'Fórmula'!G72+'Fórmula'!I72+'Fórmula'!K72))*(INDEX(properties!A$1:CB$87,'Fórmula'!B72,53))+(('Fórmula'!E72)/('Fórmula'!C72+'Fórmula'!E72+'Fórmula'!G72+'Fórmula'!I72+'Fórmula'!K72))*(INDEX(properties!A$1:CB$87,'Fórmula'!D72,53))+(('Fórmula'!G72)/('Fórmula'!C72+'Fórmula'!E72+'Fórmula'!G72+'Fórmula'!I72+'Fórmula'!K72))*(INDEX(properties!A$1:CB$87,'Fórmula'!F72,53))+(('Fórmula'!I72)/('Fórmula'!C72+'Fórmula'!E72+'Fórmula'!G72+'Fórmula'!I72+'Fórmula'!K72))*(INDEX(properties!A$1:CB$87,'Fórmula'!H72,53))+(('Fórmula'!K72)/('Fórmula'!C72+'Fórmula'!E72+'Fórmula'!G72+'Fórmula'!I72+'Fórmula'!K72))*(INDEX(properties!A$1:CB$87,'Fórmula'!J72,53))</f>
        <v>274.5166667</v>
      </c>
      <c r="FC72" s="115">
        <f t="array" ref="FC72">'Fórmula'!C72*(INDEX(properties!A$1:CB$87,'Fórmula'!B72,53))+'Fórmula'!E72*(INDEX(properties!A$1:CB$87,'Fórmula'!D72,53))+'Fórmula'!G72*(INDEX(properties!A$1:CB$87,'Fórmula'!F72,53))+'Fórmula'!I72*(INDEX(properties!A$1:CB$87,'Fórmula'!H72,53))+'Fórmula'!K72*(INDEX(properties!A$1:CB$87,'Fórmula'!J72,53))</f>
        <v>1647.1</v>
      </c>
      <c r="FD72" s="115">
        <f t="array" ref="FD72">VARP(IF(INDEX(properties!A$1:CB$87,'Fórmula'!B72,53)&lt;&gt;"",INDEX(properties!A$1:CB$87,'Fórmula'!B72,53)),IF(INDEX(properties!A$1:CB$87,'Fórmula'!D72,53)&lt;&gt;"",INDEX(properties!A$1:CB$87,'Fórmula'!D72,53)),IF(INDEX(properties!A$1:CB$87,'Fórmula'!F72,53)&lt;&gt;"",INDEX(properties!A$1:CB$87,'Fórmula'!F72,53)),IF(INDEX(properties!A$1:CB$87,'Fórmula'!H72,53)&lt;&gt;"",INDEX(properties!A$1:CB$87,'Fórmula'!H72,53)),IF(INDEX(properties!A$1:CB$87,'Fórmula'!J72,53)&lt;&gt;"",INDEX(properties!A$1:CB$87,'Fórmula'!J72,53)))</f>
        <v>159652.5526</v>
      </c>
      <c r="FE72" s="115">
        <f t="array" ref="FE72">MAX(INDEX(properties!A$1:CB$87,'Fórmula'!B72,53),INDEX(properties!A$1:CB$87,'Fórmula'!D72,53),INDEX(properties!A$1:CB$87,'Fórmula'!F72,53),INDEX(properties!A$1:CB$87,'Fórmula'!H72,53),INDEX(properties!A$1:CB$87,'Fórmula'!J72,53))</f>
        <v>1042.15</v>
      </c>
      <c r="FF72" s="115">
        <f t="array" ref="FF72">MIN(IF(INDEX(properties!A$1:CB$87,'Fórmula'!B72,53)=0,10^6,INDEX(properties!A$1:CB$87,'Fórmula'!B72,53)),IF(INDEX(properties!A$1:CB$87,'Fórmula'!D72,53)=0,10^6,INDEX(properties!A$1:CB$87,'Fórmula'!D72,53)),IF(INDEX(properties!A$1:CB$87,'Fórmula'!F72,53)=0,10^6,INDEX(properties!A$1:CB$87,'Fórmula'!F72,53)),IF(INDEX(properties!A$1:CB$87,'Fórmula'!H72,53)=0,10^6,INDEX(properties!A$1:CB$87,'Fórmula'!H72,53)),IF(INDEX(properties!A$1:CB$87,'Fórmula'!J72,53)=0,10^6,INDEX(properties!A$1:CB$87,'Fórmula'!J72,53)))</f>
        <v>54.75</v>
      </c>
      <c r="FG72" s="115">
        <f t="shared" si="27"/>
        <v>987.4</v>
      </c>
      <c r="FH72" s="117">
        <f t="array" ref="FH72">(('Fórmula'!C72)/('Fórmula'!C72+'Fórmula'!E72+'Fórmula'!G72+'Fórmula'!I72+'Fórmula'!K72))*(INDEX(properties!A$1:CB$87,'Fórmula'!B72,54))+(('Fórmula'!E72)/('Fórmula'!C72+'Fórmula'!E72+'Fórmula'!G72+'Fórmula'!I72+'Fórmula'!K72))*(INDEX(properties!A$1:CB$87,'Fórmula'!D72,54))+(('Fórmula'!G72)/('Fórmula'!C72+'Fórmula'!E72+'Fórmula'!G72+'Fórmula'!I72+'Fórmula'!K72))*(INDEX(properties!A$1:CB$87,'Fórmula'!F72,54))+(('Fórmula'!I72)/('Fórmula'!C72+'Fórmula'!E72+'Fórmula'!G72+'Fórmula'!I72+'Fórmula'!K72))*(INDEX(properties!A$1:CB$87,'Fórmula'!H72,54))+(('Fórmula'!K72)/('Fórmula'!C72+'Fórmula'!E72+'Fórmula'!G72+'Fórmula'!I72+'Fórmula'!K72))*(INDEX(properties!A$1:CB$87,'Fórmula'!J72,54))</f>
        <v>455.9333333</v>
      </c>
      <c r="FI72" s="117">
        <f t="array" ref="FI72">'Fórmula'!C72*(INDEX(properties!A$1:CB$87,'Fórmula'!B72,54))+'Fórmula'!E72*(INDEX(properties!A$1:CB$87,'Fórmula'!D72,54))+'Fórmula'!G72*(INDEX(properties!A$1:CB$87,'Fórmula'!F72,54))+'Fórmula'!I72*(INDEX(properties!A$1:CB$87,'Fórmula'!H72,54))+'Fórmula'!K72*(INDEX(properties!A$1:CB$87,'Fórmula'!J72,54))</f>
        <v>2735.6</v>
      </c>
      <c r="FJ72" s="117">
        <f t="array" ref="FJ72">VARP(IF(INDEX(properties!A$1:CB$87,'Fórmula'!B72,54)&lt;&gt;"",INDEX(properties!A$1:CB$87,'Fórmula'!B72,54)),IF(INDEX(properties!A$1:CB$87,'Fórmula'!D72,54)&lt;&gt;"",INDEX(properties!A$1:CB$87,'Fórmula'!D72,54)),IF(INDEX(properties!A$1:CB$87,'Fórmula'!F72,54)&lt;&gt;"",INDEX(properties!A$1:CB$87,'Fórmula'!F72,54)),IF(INDEX(properties!A$1:CB$87,'Fórmula'!H72,54)&lt;&gt;"",INDEX(properties!A$1:CB$87,'Fórmula'!H72,54)),IF(INDEX(properties!A$1:CB$87,'Fórmula'!J72,54)&lt;&gt;"",INDEX(properties!A$1:CB$87,'Fórmula'!J72,54)))</f>
        <v>410837.7726</v>
      </c>
      <c r="FK72" s="117">
        <f t="array" ref="FK72">MAX(INDEX(properties!A$1:CB$87,'Fórmula'!B72,54),INDEX(properties!A$1:CB$87,'Fórmula'!D72,54),INDEX(properties!A$1:CB$87,'Fórmula'!F72,54),INDEX(properties!A$1:CB$87,'Fórmula'!H72,54),INDEX(properties!A$1:CB$87,'Fórmula'!J72,54))</f>
        <v>1657.15</v>
      </c>
      <c r="FL72" s="117">
        <f t="array" ref="FL72">MIN(IF(INDEX(properties!A$1:CB$87,'Fórmula'!B72,54)=0,10^6,INDEX(properties!A$1:CB$87,'Fórmula'!B72,54)),IF(INDEX(properties!A$1:CB$87,'Fórmula'!D72,54)=0,10^6,INDEX(properties!A$1:CB$87,'Fórmula'!D72,54)),IF(INDEX(properties!A$1:CB$87,'Fórmula'!F72,54)=0,10^6,INDEX(properties!A$1:CB$87,'Fórmula'!F72,54)),IF(INDEX(properties!A$1:CB$87,'Fórmula'!H72,54)=0,10^6,INDEX(properties!A$1:CB$87,'Fórmula'!H72,54)),IF(INDEX(properties!A$1:CB$87,'Fórmula'!J72,54)=0,10^6,INDEX(properties!A$1:CB$87,'Fórmula'!J72,54)))</f>
        <v>90.15</v>
      </c>
      <c r="FM72" s="117">
        <f t="shared" si="28"/>
        <v>1567</v>
      </c>
      <c r="FN72" s="118">
        <f t="array" ref="FN72">(('Fórmula'!C72)/('Fórmula'!C72+'Fórmula'!E72+'Fórmula'!G72+'Fórmula'!I72+'Fórmula'!K72))*(INDEX(properties!A$1:CB$87,'Fórmula'!B72,55))+(('Fórmula'!E72)/('Fórmula'!C72+'Fórmula'!E72+'Fórmula'!G72+'Fórmula'!I72+'Fórmula'!K72))*(INDEX(properties!A$1:CB$87,'Fórmula'!D72,55))+(('Fórmula'!G72)/('Fórmula'!C72+'Fórmula'!E72+'Fórmula'!G72+'Fórmula'!I72+'Fórmula'!K72))*(INDEX(properties!A$1:CB$87,'Fórmula'!F72,55))+(('Fórmula'!I72)/('Fórmula'!C72+'Fórmula'!E72+'Fórmula'!G72+'Fórmula'!I72+'Fórmula'!K72))*(INDEX(properties!A$1:CB$87,'Fórmula'!H72,55))+(('Fórmula'!K72)/('Fórmula'!C72+'Fórmula'!E72+'Fórmula'!G72+'Fórmula'!I72+'Fórmula'!K72))*(INDEX(properties!A$1:CB$87,'Fórmula'!J72,55))</f>
        <v>0.7842866667</v>
      </c>
      <c r="FO72" s="118">
        <f t="array" ref="FO72">'Fórmula'!C72*(INDEX(properties!A$1:CB$87,'Fórmula'!B72,55))+'Fórmula'!E72*(INDEX(properties!A$1:CB$87,'Fórmula'!D72,54))+'Fórmula'!G72*(INDEX(properties!A$1:CB$87,'Fórmula'!F72,55))+'Fórmula'!I72*(INDEX(properties!A$1:CB$87,'Fórmula'!H72,55))+'Fórmula'!K72*(INDEX(properties!A$1:CB$87,'Fórmula'!J72,55))</f>
        <v>720.48572</v>
      </c>
      <c r="FP72" s="118">
        <f t="array" ref="FP72">VARP(IF(INDEX(properties!A$1:CB$87,'Fórmula'!B72,55)&lt;&gt;"",INDEX(properties!A$1:CB$87,'Fórmula'!B72,55)),IF(INDEX(properties!A$1:CB$87,'Fórmula'!D72,55)&lt;&gt;"",INDEX(properties!A$1:CB$87,'Fórmula'!D72,55)),IF(INDEX(properties!A$1:CB$87,'Fórmula'!F72,55)&lt;&gt;"",INDEX(properties!A$1:CB$87,'Fórmula'!F72,55)),IF(INDEX(properties!A$1:CB$87,'Fórmula'!H72,55)&lt;&gt;"",INDEX(properties!A$1:CB$87,'Fórmula'!H72,55)),IF(INDEX(properties!A$1:CB$87,'Fórmula'!J72,55)&lt;&gt;"",INDEX(properties!A$1:CB$87,'Fórmula'!J72,55)))</f>
        <v>1.356222647</v>
      </c>
      <c r="FQ72" s="118">
        <f t="array" ref="FQ72">MAX(INDEX(properties!A$1:CB$87,'Fórmula'!B72,55),INDEX(properties!A$1:CB$87,'Fórmula'!D72,55),INDEX(properties!A$1:CB$87,'Fórmula'!F72,55),INDEX(properties!A$1:CB$87,'Fórmula'!H72,55),INDEX(properties!A$1:CB$87,'Fórmula'!J72,55))</f>
        <v>2.63</v>
      </c>
      <c r="FR72" s="118">
        <f t="array" ref="FR72">MIN(IF(INDEX(properties!A$1:CB$87,'Fórmula'!B72,55)=0,10^6,INDEX(properties!A$1:CB$87,'Fórmula'!B72,55)),IF(INDEX(properties!A$1:CB$87,'Fórmula'!D72,55)=0,10^6,INDEX(properties!A$1:CB$87,'Fórmula'!D72,55)),IF(INDEX(properties!A$1:CB$87,'Fórmula'!F72,55)=0,10^6,INDEX(properties!A$1:CB$87,'Fórmula'!F72,55)),IF(INDEX(properties!A$1:CB$87,'Fórmula'!H72,55)=0,10^6,INDEX(properties!A$1:CB$87,'Fórmula'!H72,55)),IF(INDEX(properties!A$1:CB$87,'Fórmula'!J72,55)=0,10^6,INDEX(properties!A$1:CB$87,'Fórmula'!J72,55)))</f>
        <v>0.00143</v>
      </c>
      <c r="FS72" s="118">
        <f t="shared" si="29"/>
        <v>2.62857</v>
      </c>
      <c r="FT72" s="119">
        <f t="array" ref="FT72">(('Fórmula'!C72)/('Fórmula'!C72+'Fórmula'!E72+'Fórmula'!G72+'Fórmula'!I72+'Fórmula'!K72))*(INDEX(properties!A$1:CB$87,'Fórmula'!B72,56))+(('Fórmula'!E72)/('Fórmula'!C72+'Fórmula'!E72+'Fórmula'!G72+'Fórmula'!I72+'Fórmula'!K72))*(INDEX(properties!A$1:CB$87,'Fórmula'!D72,56))+(('Fórmula'!G72)/('Fórmula'!C72+'Fórmula'!E72+'Fórmula'!G72+'Fórmula'!I72+'Fórmula'!K72))*(INDEX(properties!A$1:CB$87,'Fórmula'!F72,56))+(('Fórmula'!I72)/('Fórmula'!C72+'Fórmula'!E72+'Fórmula'!G72+'Fórmula'!I72+'Fórmula'!K72))*(INDEX(properties!A$1:CB$87,'Fórmula'!H72,56))+(('Fórmula'!K72)/('Fórmula'!C72+'Fórmula'!E72+'Fórmula'!G72+'Fórmula'!I72+'Fórmula'!K72))*(INDEX(properties!A$1:CB$87,'Fórmula'!J72,56))</f>
        <v>0.7816666667</v>
      </c>
      <c r="FU72" s="119">
        <f t="array" ref="FU72">'Fórmula'!C72*(INDEX(properties!A$1:CB$87,'Fórmula'!B72,56))+'Fórmula'!E72*(INDEX(properties!A$1:CB$87,'Fórmula'!D72,56))+'Fórmula'!G72*(INDEX(properties!A$1:CB$87,'Fórmula'!F72,56))+'Fórmula'!I72*(INDEX(properties!A$1:CB$87,'Fórmula'!H72,56))+'Fórmula'!K72*(INDEX(properties!A$1:CB$87,'Fórmula'!J72,56))</f>
        <v>4.69</v>
      </c>
      <c r="FV72" s="119">
        <f t="array" ref="FV72">VARP(IF(INDEX(properties!A$1:CB$87,'Fórmula'!B72,56)&lt;&gt;"",INDEX(properties!A$1:CB$87,'Fórmula'!B72,56)),IF(INDEX(properties!A$1:CB$87,'Fórmula'!D72,56)&lt;&gt;"",INDEX(properties!A$1:CB$87,'Fórmula'!D72,56)),IF(INDEX(properties!A$1:CB$87,'Fórmula'!F72,56)&lt;&gt;"",INDEX(properties!A$1:CB$87,'Fórmula'!F72,56)),IF(INDEX(properties!A$1:CB$87,'Fórmula'!H72,56)&lt;&gt;"",INDEX(properties!A$1:CB$87,'Fórmula'!H72,56)),IF(INDEX(properties!A$1:CB$87,'Fórmula'!J72,56)&lt;&gt;"",INDEX(properties!A$1:CB$87,'Fórmula'!J72,56)))</f>
        <v>0.139104</v>
      </c>
      <c r="FW72" s="119">
        <f t="array" ref="FW72">MAX(INDEX(properties!A$1:CB$87,'Fórmula'!B72,56),INDEX(properties!A$1:CB$87,'Fórmula'!D72,56),INDEX(properties!A$1:CB$87,'Fórmula'!F72,56),INDEX(properties!A$1:CB$87,'Fórmula'!H72,56),INDEX(properties!A$1:CB$87,'Fórmula'!J72,56))</f>
        <v>0.92</v>
      </c>
      <c r="FX72" s="119">
        <f t="array" ref="FX72">MIN(IF(INDEX(properties!A$1:CB$87,'Fórmula'!B72,56)=0,10^6,INDEX(properties!A$1:CB$87,'Fórmula'!B72,56)),IF(INDEX(properties!A$1:CB$87,'Fórmula'!D72,56)=0,10^6,INDEX(properties!A$1:CB$87,'Fórmula'!D72,56)),IF(INDEX(properties!A$1:CB$87,'Fórmula'!F72,56)=0,10^6,INDEX(properties!A$1:CB$87,'Fórmula'!F72,56)),IF(INDEX(properties!A$1:CB$87,'Fórmula'!H72,56)=0,10^6,INDEX(properties!A$1:CB$87,'Fórmula'!H72,56)),IF(INDEX(properties!A$1:CB$87,'Fórmula'!J72,56)=0,10^6,INDEX(properties!A$1:CB$87,'Fórmula'!J72,56)))</f>
        <v>0.3</v>
      </c>
      <c r="FY72" s="119">
        <f t="shared" si="30"/>
        <v>0.62</v>
      </c>
      <c r="FZ72" s="104">
        <f t="array" ref="FZ72">(('Fórmula'!C72)/('Fórmula'!C72+'Fórmula'!E72+'Fórmula'!G72+'Fórmula'!I72+'Fórmula'!K72))*(INDEX(properties!A$1:CB$87,'Fórmula'!B72,57))+(('Fórmula'!E72)/('Fórmula'!C72+'Fórmula'!E72+'Fórmula'!G72+'Fórmula'!I72+'Fórmula'!K72))*(INDEX(properties!A$1:CB$87,'Fórmula'!D72,57))+(('Fórmula'!G72)/('Fórmula'!C72+'Fórmula'!E72+'Fórmula'!G72+'Fórmula'!I72+'Fórmula'!K72))*(INDEX(properties!A$1:CB$87,'Fórmula'!F72,57))+(('Fórmula'!I72)/('Fórmula'!C72+'Fórmula'!E72+'Fórmula'!G72+'Fórmula'!I72+'Fórmula'!K72))*(INDEX(properties!A$1:CB$87,'Fórmula'!H72,57))+(('Fórmula'!K72)/('Fórmula'!C72+'Fórmula'!E72+'Fórmula'!G72+'Fórmula'!I72+'Fórmula'!K72))*(INDEX(properties!A$1:CB$87,'Fórmula'!J72,57))</f>
        <v>1.817976667</v>
      </c>
      <c r="GA72" s="104">
        <f t="array" ref="GA72">'Fórmula'!C72*(INDEX(properties!A$1:CB$87,'Fórmula'!B72,57))+'Fórmula'!E72*(INDEX(properties!A$1:CB$87,'Fórmula'!D72,57))+'Fórmula'!G72*(INDEX(properties!A$1:CB$87,'Fórmula'!F72,57))+'Fórmula'!I72*(INDEX(properties!A$1:CB$87,'Fórmula'!H72,57))+'Fórmula'!K72*(INDEX(properties!A$1:CB$87,'Fórmula'!J72,57))</f>
        <v>10.90786</v>
      </c>
      <c r="GB72" s="104">
        <f t="array" ref="GB72">VARP(IF(INDEX(properties!A$1:CB$87,'Fórmula'!B72,57)&lt;&gt;"",INDEX(properties!A$1:CB$87,'Fórmula'!B72,57)),IF(INDEX(properties!A$1:CB$87,'Fórmula'!D72,57)&lt;&gt;"",INDEX(properties!A$1:CB$87,'Fórmula'!D72,57)),IF(INDEX(properties!A$1:CB$87,'Fórmula'!F72,57)&lt;&gt;"",INDEX(properties!A$1:CB$87,'Fórmula'!F72,57)),IF(INDEX(properties!A$1:CB$87,'Fórmula'!H72,57)&lt;&gt;"",INDEX(properties!A$1:CB$87,'Fórmula'!H72,57)),IF(INDEX(properties!A$1:CB$87,'Fórmula'!J72,57)&lt;&gt;"",INDEX(properties!A$1:CB$87,'Fórmula'!J72,57)))</f>
        <v>10.18349278</v>
      </c>
      <c r="GC72" s="104">
        <f t="array" ref="GC72">MAX(INDEX(properties!A$1:CB$87,'Fórmula'!B72,57),INDEX(properties!A$1:CB$87,'Fórmula'!D72,57),INDEX(properties!A$1:CB$87,'Fórmula'!F72,57),INDEX(properties!A$1:CB$87,'Fórmula'!H72,57),INDEX(properties!A$1:CB$87,'Fórmula'!J72,57))</f>
        <v>8.3</v>
      </c>
      <c r="GD72" s="104">
        <f t="array" ref="GD72">MIN(IF(INDEX(properties!A$1:CB$87,'Fórmula'!B72,57)=0,10^6,INDEX(properties!A$1:CB$87,'Fórmula'!B72,57)),IF(INDEX(properties!A$1:CB$87,'Fórmula'!D72,57)=0,10^6,INDEX(properties!A$1:CB$87,'Fórmula'!D72,57)),IF(INDEX(properties!A$1:CB$87,'Fórmula'!F72,57)=0,10^6,INDEX(properties!A$1:CB$87,'Fórmula'!F72,57)),IF(INDEX(properties!A$1:CB$87,'Fórmula'!H72,57)=0,10^6,INDEX(properties!A$1:CB$87,'Fórmula'!H72,57)),IF(INDEX(properties!A$1:CB$87,'Fórmula'!J72,57)=0,10^6,INDEX(properties!A$1:CB$87,'Fórmula'!J72,57)))</f>
        <v>0.22259</v>
      </c>
      <c r="GE72" s="104">
        <f t="shared" si="31"/>
        <v>8.07741</v>
      </c>
      <c r="GF72" s="105">
        <f t="array" ref="GF72">(('Fórmula'!C72)/('Fórmula'!C72+'Fórmula'!E72+'Fórmula'!G72+'Fórmula'!I72+'Fórmula'!K72))*(INDEX(properties!A$1:CB$87,'Fórmula'!B72,60))+(('Fórmula'!E72)/('Fórmula'!C72+'Fórmula'!E72+'Fórmula'!G72+'Fórmula'!I72+'Fórmula'!K72))*(INDEX(properties!A$1:CB$87,'Fórmula'!D72,60))+(('Fórmula'!G72)/('Fórmula'!C72+'Fórmula'!E72+'Fórmula'!G72+'Fórmula'!I72+'Fórmula'!K72))*(INDEX(properties!A$1:CB$87,'Fórmula'!F72,60))+(('Fórmula'!I72)/('Fórmula'!C72+'Fórmula'!E72+'Fórmula'!G72+'Fórmula'!I72+'Fórmula'!K72))*(INDEX(properties!A$1:CB$87,'Fórmula'!H72,60))+(('Fórmula'!K72)/('Fórmula'!C72+'Fórmula'!E72+'Fórmula'!G72+'Fórmula'!I72+'Fórmula'!K72))*(INDEX(properties!A$1:CB$87,'Fórmula'!J72,60))</f>
        <v>5.945993333</v>
      </c>
      <c r="GG72" s="105">
        <f t="array" ref="GG72">'Fórmula'!C72*(INDEX(properties!A$1:CB$87,'Fórmula'!B72,60))+'Fórmula'!E72*(INDEX(properties!A$1:CB$87,'Fórmula'!D72,60))+'Fórmula'!G72*(INDEX(properties!A$1:CB$87,'Fórmula'!F72,60))+'Fórmula'!I72*(INDEX(properties!A$1:CB$87,'Fórmula'!H72,60))+'Fórmula'!K72*(INDEX(properties!A$1:CB$87,'Fórmula'!J72,60))</f>
        <v>35.67596</v>
      </c>
      <c r="GH72" s="105">
        <f t="array" ref="GH72">VARP(IF(INDEX(properties!A$1:CB$87,'Fórmula'!B72,60)&lt;&gt;"",INDEX(properties!A$1:CB$87,'Fórmula'!B72,60)),IF(INDEX(properties!A$1:CB$87,'Fórmula'!D72,60)&lt;&gt;"",INDEX(properties!A$1:CB$87,'Fórmula'!D72,60)),IF(INDEX(properties!A$1:CB$87,'Fórmula'!F72,60)&lt;&gt;"",INDEX(properties!A$1:CB$87,'Fórmula'!F72,60)),IF(INDEX(properties!A$1:CB$87,'Fórmula'!H72,60)&lt;&gt;"",INDEX(properties!A$1:CB$87,'Fórmula'!H72,60)),IF(INDEX(properties!A$1:CB$87,'Fórmula'!J72,60)&lt;&gt;"",INDEX(properties!A$1:CB$87,'Fórmula'!J72,60)))</f>
        <v>198.550347</v>
      </c>
      <c r="GI72" s="105">
        <f t="array" ref="GI72">MAX(INDEX(properties!A$1:CB$87,'Fórmula'!B72,60),INDEX(properties!A$1:CB$87,'Fórmula'!D72,60),INDEX(properties!A$1:CB$87,'Fórmula'!F72,60),INDEX(properties!A$1:CB$87,'Fórmula'!H72,60),INDEX(properties!A$1:CB$87,'Fórmula'!J72,60))</f>
        <v>35.3</v>
      </c>
      <c r="GJ72" s="105">
        <f t="array" ref="GJ72">MIN(IF(INDEX(properties!A$1:CB$87,'Fórmula'!B72,60)=0,10^6,INDEX(properties!A$1:CB$87,'Fórmula'!B72,60)),IF(INDEX(properties!A$1:CB$87,'Fórmula'!D72,60)=0,10^6,INDEX(properties!A$1:CB$87,'Fórmula'!D72,60)),IF(INDEX(properties!A$1:CB$87,'Fórmula'!F72,60)=0,10^6,INDEX(properties!A$1:CB$87,'Fórmula'!F72,60)),IF(INDEX(properties!A$1:CB$87,'Fórmula'!H72,60)=0,10^6,INDEX(properties!A$1:CB$87,'Fórmula'!H72,60)),IF(INDEX(properties!A$1:CB$87,'Fórmula'!J72,60)=0,10^6,INDEX(properties!A$1:CB$87,'Fórmula'!J72,60)))</f>
        <v>0.02674</v>
      </c>
      <c r="GK72" s="105">
        <f t="shared" si="32"/>
        <v>35.27326</v>
      </c>
      <c r="GL72" s="106">
        <f t="array" ref="GL72">(('Fórmula'!C72)/('Fórmula'!C72+'Fórmula'!E72+'Fórmula'!G72+'Fórmula'!I72+'Fórmula'!K72))*(INDEX(properties!A$1:CB$87,'Fórmula'!B72,62))+(('Fórmula'!E72)/('Fórmula'!C72+'Fórmula'!E72+'Fórmula'!G72+'Fórmula'!I72+'Fórmula'!K72))*(INDEX(properties!A$1:CB$87,'Fórmula'!D72,62))+(('Fórmula'!G72)/('Fórmula'!C72+'Fórmula'!E72+'Fórmula'!G72+'Fórmula'!I72+'Fórmula'!K72))*(INDEX(properties!A$1:CB$87,'Fórmula'!F72,62))+(('Fórmula'!I72)/('Fórmula'!C72+'Fórmula'!E72+'Fórmula'!G72+'Fórmula'!I72+'Fórmula'!K72))*(INDEX(properties!A$1:CB$87,'Fórmula'!H72,62))+(('Fórmula'!K72)/('Fórmula'!C72+'Fórmula'!E72+'Fórmula'!G72+'Fórmula'!I72+'Fórmula'!K72))*(INDEX(properties!A$1:CB$87,'Fórmula'!J72,62))</f>
        <v>2.508333333</v>
      </c>
      <c r="GM72" s="106">
        <f t="array" ref="GM72">'Fórmula'!C72*(INDEX(properties!A$1:CB$87,'Fórmula'!B72,62))+'Fórmula'!E72*(INDEX(properties!A$1:CB$87,'Fórmula'!D72,62))+'Fórmula'!G72*(INDEX(properties!A$1:CB$87,'Fórmula'!F72,62))+'Fórmula'!I72*(INDEX(properties!A$1:CB$87,'Fórmula'!H72,62))+'Fórmula'!K72*(INDEX(properties!A$1:CB$87,'Fórmula'!J72,62))</f>
        <v>15.05</v>
      </c>
      <c r="GN72" s="106">
        <f t="array" ref="GN72">VARP(IF(INDEX(properties!A$1:CB$87,'Fórmula'!B72,62)&lt;&gt;"",INDEX(properties!A$1:CB$87,'Fórmula'!B72,62)),IF(INDEX(properties!A$1:CB$87,'Fórmula'!D72,62)&lt;&gt;"",INDEX(properties!A$1:CB$87,'Fórmula'!D72,62)),IF(INDEX(properties!A$1:CB$87,'Fórmula'!F72,62)&lt;&gt;"",INDEX(properties!A$1:CB$87,'Fórmula'!F72,62)),IF(INDEX(properties!A$1:CB$87,'Fórmula'!H72,62)&lt;&gt;"",INDEX(properties!A$1:CB$87,'Fórmula'!H72,62)),IF(INDEX(properties!A$1:CB$87,'Fórmula'!J72,62)&lt;&gt;"",INDEX(properties!A$1:CB$87,'Fórmula'!J72,62)))</f>
        <v>1.521216</v>
      </c>
      <c r="GO72" s="106">
        <f t="array" ref="GO72">MAX(INDEX(properties!A$1:CB$87,'Fórmula'!B72,62),INDEX(properties!A$1:CB$87,'Fórmula'!D72,62),INDEX(properties!A$1:CB$87,'Fórmula'!F72,62),INDEX(properties!A$1:CB$87,'Fórmula'!H72,62),INDEX(properties!A$1:CB$87,'Fórmula'!J72,62))</f>
        <v>2.85</v>
      </c>
      <c r="GP72" s="106">
        <f t="array" ref="GP72">MIN(IF(INDEX(properties!A$1:CB$87,'Fórmula'!B72,62)=0,10^6,INDEX(properties!A$1:CB$87,'Fórmula'!B72,62)),IF(INDEX(properties!A$1:CB$87,'Fórmula'!D72,62)=0,10^6,INDEX(properties!A$1:CB$87,'Fórmula'!D72,62)),IF(INDEX(properties!A$1:CB$87,'Fórmula'!F72,62)=0,10^6,INDEX(properties!A$1:CB$87,'Fórmula'!F72,62)),IF(INDEX(properties!A$1:CB$87,'Fórmula'!H72,62)=0,10^6,INDEX(properties!A$1:CB$87,'Fórmula'!H72,62)),IF(INDEX(properties!A$1:CB$87,'Fórmula'!J72,62)=0,10^6,INDEX(properties!A$1:CB$87,'Fórmula'!J72,62)))</f>
        <v>1.72</v>
      </c>
      <c r="GQ72" s="106">
        <f t="shared" si="33"/>
        <v>1.13</v>
      </c>
      <c r="GR72" s="106">
        <f>'Fórmula'!Q72</f>
        <v>62</v>
      </c>
      <c r="GS72" s="107">
        <f>'Fórmula'!P72</f>
        <v>3</v>
      </c>
      <c r="GT72" s="113">
        <f>'Fórmula'!O72</f>
        <v>3.97</v>
      </c>
      <c r="GU72" s="114">
        <f>AVERAGE('Fórmula'!R72/'Fórmula'!S72,'Fórmula'!S72/'Fórmula'!T72,'Fórmula'!T72/'Fórmula'!R72)</f>
        <v>1.054519011</v>
      </c>
      <c r="GV72" s="125">
        <f>'Fórmula'!U72</f>
        <v>307.14</v>
      </c>
      <c r="GW72" s="106">
        <f>'Fórmula'!N72</f>
        <v>0.02</v>
      </c>
    </row>
    <row r="73" ht="14.25" customHeight="1">
      <c r="A73" s="99" t="str">
        <f>'Fórmula'!A73</f>
        <v>LiAl7B4O17</v>
      </c>
      <c r="B73" s="100">
        <f t="array" ref="B73">(('Fórmula'!C73)/('Fórmula'!C73+'Fórmula'!E73+'Fórmula'!G73+'Fórmula'!I73+'Fórmula'!K73))*(INDEX(properties!A$1:CB$87,'Fórmula'!B73,3))+(('Fórmula'!E73)/('Fórmula'!C73+'Fórmula'!E73+'Fórmula'!G73+'Fórmula'!I73+'Fórmula'!K73))*(INDEX(properties!A$1:CB$87,'Fórmula'!D73,3))+(('Fórmula'!G73)/('Fórmula'!C73+'Fórmula'!E73+'Fórmula'!G73+'Fórmula'!I73+'Fórmula'!K73))*(INDEX(properties!A$1:CB$87,'Fórmula'!F73,3))+(('Fórmula'!I73)/('Fórmula'!C73+'Fórmula'!E73+'Fórmula'!G73+'Fórmula'!I73+'Fórmula'!K73))*(INDEX(properties!A$1:CB$87,'Fórmula'!H73,3))+(('Fórmula'!K73)/('Fórmula'!C73+'Fórmula'!E73+'Fórmula'!G73+'Fórmula'!I73+'Fórmula'!K73))*(INDEX(properties!A$1:CB$87,'Fórmula'!J73,3))</f>
        <v>17.62226114</v>
      </c>
      <c r="C73" s="101">
        <f t="array" ref="C73">'Fórmula'!C73*(INDEX(properties!A$1:CB$87,'Fórmula'!B73,3))+'Fórmula'!E73*(INDEX(properties!A$1:CB$87,'Fórmula'!D73,3))+'Fórmula'!G73*(INDEX(properties!A$1:CB$87,'Fórmula'!F73,3))+'Fórmula'!I73*(INDEX(properties!A$1:CB$87,'Fórmula'!H73,3))+'Fórmula'!K73*(INDEX(properties!A$1:CB$87,'Fórmula'!J73,3))</f>
        <v>511.045573</v>
      </c>
      <c r="D73" s="101">
        <f t="array" ref="D73">VARP(IF(INDEX(properties!A$1:CB$87,'Fórmula'!B73,3)&lt;&gt;"",INDEX(properties!A$1:CB$87,'Fórmula'!B73,3)),IF(INDEX(properties!A$1:CB$87,'Fórmula'!D73,3)&lt;&gt;"",INDEX(properties!A$1:CB$87,'Fórmula'!D73,3)),IF(INDEX(properties!A$1:CB$87,'Fórmula'!F73,3)&lt;&gt;"",INDEX(properties!A$1:CB$87,'Fórmula'!F73,3)),IF(INDEX(properties!A$1:CB$87,'Fórmula'!H73,3)&lt;&gt;"",INDEX(properties!A$1:CB$87,'Fórmula'!H73,3)),IF(INDEX(properties!A$1:CB$87,'Fórmula'!J73,3)&lt;&gt;"",INDEX(properties!A$1:CB$87,'Fórmula'!J73,3)))</f>
        <v>82.26829465</v>
      </c>
      <c r="E73" s="101">
        <f t="array" ref="E73">MAX(INDEX(properties!A$1:CB$87,'Fórmula'!B73,3),INDEX(properties!A$1:CB$87,'Fórmula'!D73,3),INDEX(properties!A$1:CB$87,'Fórmula'!F73,3),INDEX(properties!A$1:CB$87,'Fórmula'!H73,3),INDEX(properties!A$1:CB$87,'Fórmula'!J73,3))</f>
        <v>26.981539</v>
      </c>
      <c r="F73" s="101">
        <f t="array" ref="F73">MIN(IF(INDEX(properties!A$1:CB$87,'Fórmula'!B73,3)=0,10^6,INDEX(properties!A$1:CB$87,'Fórmula'!B73,3)),IF(INDEX(properties!A$1:CB$87,'Fórmula'!D73,3)=0,10^6,INDEX(properties!A$1:CB$87,'Fórmula'!D73,3)),IF(INDEX(properties!A$1:CB$87,'Fórmula'!F73,3)=0,10^6,INDEX(properties!A$1:CB$87,'Fórmula'!F73,3)),IF(INDEX(properties!A$1:CB$87,'Fórmula'!H73,3)=0,10^6,INDEX(properties!A$1:CB$87,'Fórmula'!H73,3)),IF(INDEX(properties!A$1:CB$87,'Fórmula'!J73,3)=0,10^6,INDEX(properties!A$1:CB$87,'Fórmula'!J73,3)))</f>
        <v>6.941</v>
      </c>
      <c r="G73" s="101">
        <f t="shared" si="1"/>
        <v>20.040539</v>
      </c>
      <c r="H73" s="102">
        <f t="array" ref="H73">(('Fórmula'!C73)/('Fórmula'!C73+'Fórmula'!E73+'Fórmula'!G73+'Fórmula'!I73+'Fórmula'!K73))*(INDEX(properties!A$1:CB$87,'Fórmula'!B73,4))+(('Fórmula'!E73)/('Fórmula'!C73+'Fórmula'!E73+'Fórmula'!G73+'Fórmula'!I73+'Fórmula'!K73))*(INDEX(properties!A$1:CB$87,'Fórmula'!D73,4))+(('Fórmula'!G73)/('Fórmula'!C73+'Fórmula'!E73+'Fórmula'!G73+'Fórmula'!I73+'Fórmula'!K73))*(INDEX(properties!A$1:CB$87,'Fórmula'!F73,4))+(('Fórmula'!I73)/('Fórmula'!C73+'Fórmula'!E73+'Fórmula'!G73+'Fórmula'!I73+'Fórmula'!K73))*(INDEX(properties!A$1:CB$87,'Fórmula'!H73,4))+(('Fórmula'!K73)/('Fórmula'!C73+'Fórmula'!E73+'Fórmula'!G73+'Fórmula'!I73+'Fórmula'!K73))*(INDEX(properties!A$1:CB$87,'Fórmula'!J73,4))</f>
        <v>8.620689655</v>
      </c>
      <c r="I73" s="102">
        <f t="array" ref="I73">'Fórmula'!C73*(INDEX(properties!A$1:CB$87,'Fórmula'!B73,4))+'Fórmula'!E73*(INDEX(properties!A$1:CB$87,'Fórmula'!D73,4))+'Fórmula'!G73*(INDEX(properties!A$1:CB$87,'Fórmula'!F73,4))+'Fórmula'!I73*(INDEX(properties!A$1:CB$87,'Fórmula'!H73,4))+'Fórmula'!K73*(INDEX(properties!A$1:CB$87,'Fórmula'!J73,4))</f>
        <v>250</v>
      </c>
      <c r="J73" s="102">
        <f t="array" ref="J73">VARP(IF(INDEX(properties!A$1:CB$87,'Fórmula'!B73,4)&lt;&gt;"",INDEX(properties!A$1:CB$87,'Fórmula'!B73,4)),IF(INDEX(properties!A$1:CB$87,'Fórmula'!D73,4)&lt;&gt;"",INDEX(properties!A$1:CB$87,'Fórmula'!D73,4)),IF(INDEX(properties!A$1:CB$87,'Fórmula'!F73,4)&lt;&gt;"",INDEX(properties!A$1:CB$87,'Fórmula'!F73,4)),IF(INDEX(properties!A$1:CB$87,'Fórmula'!H73,4)&lt;&gt;"",INDEX(properties!A$1:CB$87,'Fórmula'!H73,4)),IF(INDEX(properties!A$1:CB$87,'Fórmula'!J73,4)&lt;&gt;"",INDEX(properties!A$1:CB$87,'Fórmula'!J73,4)))</f>
        <v>19.76</v>
      </c>
      <c r="K73" s="102">
        <f t="array" ref="K73">MAX(INDEX(properties!A$1:CB$87,'Fórmula'!B73,4),INDEX(properties!A$1:CB$87,'Fórmula'!D73,4),INDEX(properties!A$1:CB$87,'Fórmula'!F73,4),INDEX(properties!A$1:CB$87,'Fórmula'!H73,4),INDEX(properties!A$1:CB$87,'Fórmula'!J73,4))</f>
        <v>13</v>
      </c>
      <c r="L73" s="102">
        <f t="array" ref="L73">MIN(IF(INDEX(properties!A$1:CB$87,'Fórmula'!B73,4)=0,10^6,INDEX(properties!A$1:CB$87,'Fórmula'!B73,4)),IF(INDEX(properties!A$1:CB$87,'Fórmula'!D73,4)=0,10^6,INDEX(properties!A$1:CB$87,'Fórmula'!D73,4)),IF(INDEX(properties!A$1:CB$87,'Fórmula'!F73,4)=0,10^6,INDEX(properties!A$1:CB$87,'Fórmula'!F73,4)),IF(INDEX(properties!A$1:CB$87,'Fórmula'!H73,4)=0,10^6,INDEX(properties!A$1:CB$87,'Fórmula'!H73,4)),IF(INDEX(properties!A$1:CB$87,'Fórmula'!J73,4)=0,10^6,INDEX(properties!A$1:CB$87,'Fórmula'!J73,4)))</f>
        <v>3</v>
      </c>
      <c r="M73" s="102">
        <f t="shared" si="2"/>
        <v>10</v>
      </c>
      <c r="N73" s="103">
        <f t="array" ref="N73">(('Fórmula'!C73)/('Fórmula'!C73+'Fórmula'!E73+'Fórmula'!G73+'Fórmula'!I73+'Fórmula'!K73))*(INDEX(properties!A$1:CB$87,'Fórmula'!B73,5))+(('Fórmula'!E73)/('Fórmula'!C73+'Fórmula'!E73+'Fórmula'!G73+'Fórmula'!I73+'Fórmula'!K73))*(INDEX(properties!A$1:CB$87,'Fórmula'!D73,5))+(('Fórmula'!G73)/('Fórmula'!C73+'Fórmula'!E73+'Fórmula'!G73+'Fórmula'!I73+'Fórmula'!K73))*(INDEX(properties!A$1:CB$87,'Fórmula'!F73,5))+(('Fórmula'!I73)/('Fórmula'!C73+'Fórmula'!E73+'Fórmula'!G73+'Fórmula'!I73+'Fórmula'!K73))*(INDEX(properties!A$1:CB$87,'Fórmula'!H73,5))+(('Fórmula'!K73)/('Fórmula'!C73+'Fórmula'!E73+'Fórmula'!G73+'Fórmula'!I73+'Fórmula'!K73))*(INDEX(properties!A$1:CB$87,'Fórmula'!J73,5))</f>
        <v>2.24137931</v>
      </c>
      <c r="O73" s="103">
        <f t="array" ref="O73">'Fórmula'!C73*(INDEX(properties!A$1:CB$87,'Fórmula'!B73,5))+'Fórmula'!E73*(INDEX(properties!A$1:CB$87,'Fórmula'!D73,5))+'Fórmula'!G73*(INDEX(properties!A$1:CB$87,'Fórmula'!F73,5))+'Fórmula'!I73*(INDEX(properties!A$1:CB$87,'Fórmula'!H73,5))+'Fórmula'!K73*(INDEX(properties!A$1:CB$87,'Fórmula'!J73,5))</f>
        <v>65</v>
      </c>
      <c r="P73" s="103">
        <f t="array" ref="P73">VARP(IF(INDEX(properties!A$1:CB$87,'Fórmula'!B73,5)&lt;&gt;"",INDEX(properties!A$1:CB$87,'Fórmula'!B73,5)),IF(INDEX(properties!A$1:CB$87,'Fórmula'!D73,5)&lt;&gt;"",INDEX(properties!A$1:CB$87,'Fórmula'!D73,5)),IF(INDEX(properties!A$1:CB$87,'Fórmula'!F73,5)&lt;&gt;"",INDEX(properties!A$1:CB$87,'Fórmula'!F73,5)),IF(INDEX(properties!A$1:CB$87,'Fórmula'!H73,5)&lt;&gt;"",INDEX(properties!A$1:CB$87,'Fórmula'!H73,5)),IF(INDEX(properties!A$1:CB$87,'Fórmula'!J73,5)&lt;&gt;"",INDEX(properties!A$1:CB$87,'Fórmula'!J73,5)))</f>
        <v>0.96</v>
      </c>
      <c r="Q73" s="103">
        <f t="array" ref="Q73">MAX(INDEX(properties!A$1:CB$87,'Fórmula'!B73,5),INDEX(properties!A$1:CB$87,'Fórmula'!D73,5),INDEX(properties!A$1:CB$87,'Fórmula'!F73,5),INDEX(properties!A$1:CB$87,'Fórmula'!H73,5),INDEX(properties!A$1:CB$87,'Fórmula'!J73,5))</f>
        <v>3</v>
      </c>
      <c r="R73" s="103">
        <f t="array" ref="R73">MIN(IF(INDEX(properties!A$1:CB$87,'Fórmula'!B73,5)=0,10^6,INDEX(properties!A$1:CB$87,'Fórmula'!B73,5)),IF(INDEX(properties!A$1:CB$87,'Fórmula'!D73,5)=0,10^6,INDEX(properties!A$1:CB$87,'Fórmula'!D73,5)),IF(INDEX(properties!A$1:CB$87,'Fórmula'!F73,5)=0,10^6,INDEX(properties!A$1:CB$87,'Fórmula'!F73,5)),IF(INDEX(properties!A$1:CB$87,'Fórmula'!H73,5)=0,10^6,INDEX(properties!A$1:CB$87,'Fórmula'!H73,5)),IF(INDEX(properties!A$1:CB$87,'Fórmula'!J73,5)=0,10^6,INDEX(properties!A$1:CB$87,'Fórmula'!J73,5)))</f>
        <v>2</v>
      </c>
      <c r="S73" s="103">
        <f t="shared" si="3"/>
        <v>1</v>
      </c>
      <c r="T73" s="104">
        <f t="array" ref="T73">(('Fórmula'!C73)/('Fórmula'!C73+'Fórmula'!E73+'Fórmula'!G73+'Fórmula'!I73+'Fórmula'!K73))*(INDEX(properties!A$1:CB$87,'Fórmula'!B73,6))+(('Fórmula'!E73)/('Fórmula'!C73+'Fórmula'!E73+'Fórmula'!G73+'Fórmula'!I73+'Fórmula'!K73))*(INDEX(properties!A$1:CB$87,'Fórmula'!D73,6))+(('Fórmula'!G73)/('Fórmula'!C73+'Fórmula'!E73+'Fórmula'!G73+'Fórmula'!I73+'Fórmula'!K73))*(INDEX(properties!A$1:CB$87,'Fórmula'!F73,6))+(('Fórmula'!I73)/('Fórmula'!C73+'Fórmula'!E73+'Fórmula'!G73+'Fórmula'!I73+'Fórmula'!K73))*(INDEX(properties!A$1:CB$87,'Fórmula'!H73,6))+(('Fórmula'!K73)/('Fórmula'!C73+'Fórmula'!E73+'Fórmula'!G73+'Fórmula'!I73+'Fórmula'!K73))*(INDEX(properties!A$1:CB$87,'Fórmula'!J73,6))</f>
        <v>14.34482759</v>
      </c>
      <c r="U73" s="104">
        <f t="array" ref="U73">'Fórmula'!C73*(INDEX(properties!A$1:CB$87,'Fórmula'!B73,6))+'Fórmula'!E73*(INDEX(properties!A$1:CB$87,'Fórmula'!D73,6))+'Fórmula'!G73*(INDEX(properties!A$1:CB$87,'Fórmula'!F73,6))+'Fórmula'!I73*(INDEX(properties!A$1:CB$87,'Fórmula'!H73,6))+'Fórmula'!K73*(INDEX(properties!A$1:CB$87,'Fórmula'!J73,6))</f>
        <v>416</v>
      </c>
      <c r="V73" s="103">
        <f t="array" ref="V73">VARP(IF(INDEX(properties!A$1:CB$87,'Fórmula'!B73,6)&lt;&gt;"",INDEX(properties!A$1:CB$87,'Fórmula'!B73,6)),IF(INDEX(properties!A$1:CB$87,'Fórmula'!D73,6)&lt;&gt;"",INDEX(properties!A$1:CB$87,'Fórmula'!D73,6)),IF(INDEX(properties!A$1:CB$87,'Fórmula'!F73,6)&lt;&gt;"",INDEX(properties!A$1:CB$87,'Fórmula'!F73,6)),IF(INDEX(properties!A$1:CB$87,'Fórmula'!H73,6)&lt;&gt;"",INDEX(properties!A$1:CB$87,'Fórmula'!H73,6)),IF(INDEX(properties!A$1:CB$87,'Fórmula'!J73,6)&lt;&gt;"",INDEX(properties!A$1:CB$87,'Fórmula'!J73,6)))</f>
        <v>45.04</v>
      </c>
      <c r="W73" s="104">
        <f t="array" ref="W73">MAX(INDEX(properties!A$1:CB$87,'Fórmula'!B73,6),INDEX(properties!A$1:CB$87,'Fórmula'!D73,6),INDEX(properties!A$1:CB$87,'Fórmula'!F73,6),INDEX(properties!A$1:CB$87,'Fórmula'!H73,4),INDEX(properties!A$1:CB$87,'Fórmula'!J73,6))</f>
        <v>13</v>
      </c>
      <c r="X73" s="104">
        <f t="array" ref="X73">MIN(IF(INDEX(properties!A$1:CB$87,'Fórmula'!B73,6)=0,10^6,INDEX(properties!A$1:CB$87,'Fórmula'!B73,6)),IF(INDEX(properties!A$1:CB$87,'Fórmula'!D73,6)=0,10^6,INDEX(properties!A$1:CB$87,'Fórmula'!D73,6)),IF(INDEX(properties!A$1:CB$87,'Fórmula'!F73,6)=0,10^6,INDEX(properties!A$1:CB$87,'Fórmula'!F73,6)),IF(INDEX(properties!A$1:CB$87,'Fórmula'!H73,6)=0,10^6,INDEX(properties!A$1:CB$87,'Fórmula'!H73,6)),IF(INDEX(properties!A$1:CB$87,'Fórmula'!J73,6)=0,10^6,INDEX(properties!A$1:CB$87,'Fórmula'!J73,6)))</f>
        <v>1</v>
      </c>
      <c r="Y73" s="104">
        <f t="shared" si="4"/>
        <v>12</v>
      </c>
      <c r="Z73" s="105">
        <f t="array" ref="Z73">(('Fórmula'!C73)/('Fórmula'!C73+'Fórmula'!E73+'Fórmula'!G73+'Fórmula'!I73+'Fórmula'!K73))*(INDEX(properties!A$1:CB$87,'Fórmula'!B73,9))+(('Fórmula'!E73)/('Fórmula'!C73+'Fórmula'!E73+'Fórmula'!G73+'Fórmula'!I73+'Fórmula'!K73))*(INDEX(properties!A$1:CB$87,'Fórmula'!D73,9))+(('Fórmula'!G73)/('Fórmula'!C73+'Fórmula'!E73+'Fórmula'!G73+'Fórmula'!I73+'Fórmula'!K73))*(INDEX(properties!A$1:CB$87,'Fórmula'!F73,9))+(('Fórmula'!I73)/('Fórmula'!C73+'Fórmula'!E73+'Fórmula'!G73+'Fórmula'!I73+'Fórmula'!K73))*(INDEX(properties!A$1:CB$87,'Fórmula'!H73,9))+(('Fórmula'!K73)/('Fórmula'!C73+'Fórmula'!E73+'Fórmula'!G73+'Fórmula'!I73+'Fórmula'!K73))*(INDEX(properties!A$1:CB$87,'Fórmula'!J73,9))</f>
        <v>78.5862069</v>
      </c>
      <c r="AA73" s="105">
        <f t="array" ref="AA73">'Fórmula'!C73*(INDEX(properties!A$1:CB$87,'Fórmula'!B73,9))+'Fórmula'!E73*(INDEX(properties!A$1:CB$87,'Fórmula'!D73,9))+'Fórmula'!G73*(INDEX(properties!A$1:CB$87,'Fórmula'!F73,9))+'Fórmula'!I73*(INDEX(properties!A$1:CB$87,'Fórmula'!H73,9))+'Fórmula'!K73*(INDEX(properties!A$1:CB$87,'Fórmula'!J73,9))</f>
        <v>2279</v>
      </c>
      <c r="AB73" s="105">
        <f t="array" ref="AB73">VARP(IF(INDEX(properties!A$1:CB$87,'Fórmula'!B73,9)&lt;&gt;"",INDEX(properties!A$1:CB$87,'Fórmula'!B73,9)),IF(INDEX(properties!A$1:CB$87,'Fórmula'!D73,9)&lt;&gt;"",INDEX(properties!A$1:CB$87,'Fórmula'!D73,9)),IF(INDEX(properties!A$1:CB$87,'Fórmula'!F73,9)&lt;&gt;"",INDEX(properties!A$1:CB$87,'Fórmula'!F73,9)),IF(INDEX(properties!A$1:CB$87,'Fórmula'!H73,9)&lt;&gt;"",INDEX(properties!A$1:CB$87,'Fórmula'!H73,9)),IF(INDEX(properties!A$1:CB$87,'Fórmula'!J73,9)&lt;&gt;"",INDEX(properties!A$1:CB$87,'Fórmula'!J73,9)))</f>
        <v>1445.04</v>
      </c>
      <c r="AC73" s="105">
        <f t="array" ref="AC73">MAX(INDEX(properties!A$1:CB$87,'Fórmula'!B73,9),INDEX(properties!A$1:CB$87,'Fórmula'!D73,9),INDEX(properties!A$1:CB$87,'Fórmula'!F73,9),INDEX(properties!A$1:CB$87,'Fórmula'!H73,9),INDEX(properties!A$1:CB$87,'Fórmula'!J73,9))</f>
        <v>87</v>
      </c>
      <c r="AD73" s="105">
        <f t="array" ref="AD73">MIN(IF(INDEX(properties!A$1:CB$87,'Fórmula'!B73,9)=0,10^6,INDEX(properties!A$1:CB$87,'Fórmula'!B73,9)),IF(INDEX(properties!A$1:CB$87,'Fórmula'!D73,9)=0,10^6,INDEX(properties!A$1:CB$87,'Fórmula'!D73,9)),IF(INDEX(properties!A$1:CB$87,'Fórmula'!F73,9)=0,10^6,INDEX(properties!A$1:CB$87,'Fórmula'!F73,9)),IF(INDEX(properties!A$1:CB$87,'Fórmula'!H73,9)=0,10^6,INDEX(properties!A$1:CB$87,'Fórmula'!H73,9)),IF(INDEX(properties!A$1:CB$87,'Fórmula'!J73,9)=0,10^6,INDEX(properties!A$1:CB$87,'Fórmula'!J73,9)))</f>
        <v>1</v>
      </c>
      <c r="AE73" s="105">
        <f t="shared" si="5"/>
        <v>86</v>
      </c>
      <c r="AF73" s="106">
        <f t="array" ref="AF73">(('Fórmula'!C73)/('Fórmula'!C73+'Fórmula'!E73+'Fórmula'!G73+'Fórmula'!I73+'Fórmula'!K73))*(INDEX(properties!A$1:CB$87,'Fórmula'!B73,10))+(('Fórmula'!E73)/('Fórmula'!C73+'Fórmula'!E73+'Fórmula'!G73+'Fórmula'!I73+'Fórmula'!K73))*(INDEX(properties!A$1:CB$87,'Fórmula'!D73,10))+(('Fórmula'!G73)/('Fórmula'!C73+'Fórmula'!E73+'Fórmula'!G73+'Fórmula'!I73+'Fórmula'!K73))*(INDEX(properties!A$1:CB$87,'Fórmula'!F73,10))+(('Fórmula'!I73)/('Fórmula'!C73+'Fórmula'!E73+'Fórmula'!G73+'Fórmula'!I73+'Fórmula'!K73))*(INDEX(properties!A$1:CB$87,'Fórmula'!H73,10))+(('Fórmula'!K73)/('Fórmula'!C73+'Fórmula'!E73+'Fórmula'!G73+'Fórmula'!I73+'Fórmula'!K73))*(INDEX(properties!A$1:CB$87,'Fórmula'!J73,10))</f>
        <v>6.172413793</v>
      </c>
      <c r="AG73" s="106">
        <f t="array" ref="AG73">'Fórmula'!C73*(INDEX(properties!A$1:CB$87,'Fórmula'!B73,10))+'Fórmula'!E73*(INDEX(properties!A$1:CB$87,'Fórmula'!D73,10))+'Fórmula'!G73*(INDEX(properties!A$1:CB$87,'Fórmula'!F73,10))+'Fórmula'!I73*(INDEX(properties!A$1:CB$87,'Fórmula'!H73,10))+'Fórmula'!K73*(INDEX(properties!A$1:CB$87,'Fórmula'!J73,10))</f>
        <v>179</v>
      </c>
      <c r="AH73" s="106">
        <f t="array" ref="AH73">VARP(IF(INDEX(properties!A$1:CB$87,'Fórmula'!B73,10)&lt;&gt;"",INDEX(properties!A$1:CB$87,'Fórmula'!B73,10)),IF(INDEX(properties!A$1:CB$87,'Fórmula'!D73,10)&lt;&gt;"",INDEX(properties!A$1:CB$87,'Fórmula'!D73,10)),IF(INDEX(properties!A$1:CB$87,'Fórmula'!F73,10)&lt;&gt;"",INDEX(properties!A$1:CB$87,'Fórmula'!F73,10)),IF(INDEX(properties!A$1:CB$87,'Fórmula'!H73,10)&lt;&gt;"",INDEX(properties!A$1:CB$87,'Fórmula'!H73,10)),IF(INDEX(properties!A$1:CB$87,'Fórmula'!J73,10)&lt;&gt;"",INDEX(properties!A$1:CB$87,'Fórmula'!J73,10)))</f>
        <v>7.76</v>
      </c>
      <c r="AI73" s="106">
        <f t="array" ref="AI73">MAX(INDEX(properties!A$1:CB$87,'Fórmula'!B73,10),INDEX(properties!A$1:CB$87,'Fórmula'!D73,10),INDEX(properties!A$1:CB$87,'Fórmula'!F73,10),INDEX(properties!A$1:CB$87,'Fórmula'!H73,10),INDEX(properties!A$1:CB$87,'Fórmula'!J73,10))</f>
        <v>7</v>
      </c>
      <c r="AJ73" s="106">
        <f t="array" ref="AJ73">MIN(IF(INDEX(properties!A$1:CB$87,'Fórmula'!B73,10)=0,10^6,INDEX(properties!A$1:CB$87,'Fórmula'!B73,10)),IF(INDEX(properties!A$1:CB$87,'Fórmula'!D73,10)=0,10^6,INDEX(properties!A$1:CB$87,'Fórmula'!D73,10)),IF(INDEX(properties!A$1:CB$87,'Fórmula'!F73,10)=0,10^6,INDEX(properties!A$1:CB$87,'Fórmula'!F73,10)),IF(INDEX(properties!A$1:CB$87,'Fórmula'!H73,10)=0,10^6,INDEX(properties!A$1:CB$87,'Fórmula'!H73,10)),IF(INDEX(properties!A$1:CB$87,'Fórmula'!J73,10)=0,10^6,INDEX(properties!A$1:CB$87,'Fórmula'!J73,10)))</f>
        <v>1</v>
      </c>
      <c r="AK73" s="106">
        <f t="shared" si="6"/>
        <v>6</v>
      </c>
      <c r="AL73" s="107">
        <f t="array" ref="AL73">(('Fórmula'!C73)/('Fórmula'!C73+'Fórmula'!E73+'Fórmula'!G73+'Fórmula'!I73+'Fórmula'!K73))*(INDEX(properties!A$1:CB$87,'Fórmula'!B73,11))+(('Fórmula'!E73)/('Fórmula'!C73+'Fórmula'!E73+'Fórmula'!G73+'Fórmula'!I73+'Fórmula'!K73))*(INDEX(properties!A$1:CB$87,'Fórmula'!D73,11))+(('Fórmula'!G73)/('Fórmula'!C73+'Fórmula'!E73+'Fórmula'!G73+'Fórmula'!I73+'Fórmula'!K73))*(INDEX(properties!A$1:CB$87,'Fórmula'!F73,11))+(('Fórmula'!I73)/('Fórmula'!C73+'Fórmula'!E73+'Fórmula'!G73+'Fórmula'!I73+'Fórmula'!K73))*(INDEX(properties!A$1:CB$87,'Fórmula'!H73,11))+(('Fórmula'!K73)/('Fórmula'!C73+'Fórmula'!E73+'Fórmula'!G73+'Fórmula'!I73+'Fórmula'!K73))*(INDEX(properties!A$1:CB$87,'Fórmula'!J73,11))</f>
        <v>1.965517241</v>
      </c>
      <c r="AM73" s="107">
        <f t="array" ref="AM73">'Fórmula'!C73*(INDEX(properties!A$1:CB$87,'Fórmula'!B73,11))+'Fórmula'!E73*(INDEX(properties!A$1:CB$87,'Fórmula'!D73,11))+'Fórmula'!G73*(INDEX(properties!A$1:CB$87,'Fórmula'!F73,11))+'Fórmula'!I73*(INDEX(properties!A$1:CB$87,'Fórmula'!H73,11))+'Fórmula'!K73*(INDEX(properties!A$1:CB$87,'Fórmula'!J73,11))</f>
        <v>57</v>
      </c>
      <c r="AN73" s="107">
        <f t="array" ref="AN73">VARP(IF(INDEX(properties!A$1:CB$87,'Fórmula'!B73,11)&lt;&gt;"",INDEX(properties!A$1:CB$87,'Fórmula'!B73,11)),IF(INDEX(properties!A$1:CB$87,'Fórmula'!D73,11)&lt;&gt;"",INDEX(properties!A$1:CB$87,'Fórmula'!D73,11)),IF(INDEX(properties!A$1:CB$87,'Fórmula'!F73,11)&lt;&gt;"",INDEX(properties!A$1:CB$87,'Fórmula'!F73,11)),IF(INDEX(properties!A$1:CB$87,'Fórmula'!H73,11)&lt;&gt;"",INDEX(properties!A$1:CB$87,'Fórmula'!H73,11)),IF(INDEX(properties!A$1:CB$87,'Fórmula'!J73,11)&lt;&gt;"",INDEX(properties!A$1:CB$87,'Fórmula'!J73,11)))</f>
        <v>0.64</v>
      </c>
      <c r="AO73" s="107">
        <f t="array" ref="AO73">MAX(INDEX(properties!A$1:CB$87,'Fórmula'!B73,11),INDEX(properties!A$1:CB$87,'Fórmula'!D73,11),INDEX(properties!A$1:CB$87,'Fórmula'!F73,11),INDEX(properties!A$1:CB$87,'Fórmula'!H73,11),INDEX(properties!A$1:CB$87,'Fórmula'!J73,11))</f>
        <v>2</v>
      </c>
      <c r="AP73" s="107">
        <f t="array" ref="AP73">MIN(IF('Fórmula'!B73=87,10^6,INDEX(properties!A$1:CB$87,'Fórmula'!B73,11)),IF(('Fórmula'!D73)=87,10^6,INDEX(properties!A$1:CB$87,'Fórmula'!D73,11)),IF(('Fórmula'!F73)=87,10^6,INDEX(properties!A$1:CB$87,'Fórmula'!F73,11)),IF(('Fórmula'!H73)=87,10^6,INDEX(properties!A$1:CB$87,'Fórmula'!H73,11)),IF('Fórmula'!J73=87,10^6,INDEX(properties!A$1:CB$87,'Fórmula'!J73,11)))</f>
        <v>1</v>
      </c>
      <c r="AQ73" s="107">
        <f t="shared" si="7"/>
        <v>1</v>
      </c>
      <c r="AR73" s="108">
        <f t="array" ref="AR73">(('Fórmula'!C73)/('Fórmula'!C73+'Fórmula'!E73+'Fórmula'!G73+'Fórmula'!I73+'Fórmula'!K73))*(INDEX(properties!A$1:CB$87,'Fórmula'!B73,12))+(('Fórmula'!E73)/('Fórmula'!C73+'Fórmula'!E73+'Fórmula'!G73+'Fórmula'!I73+'Fórmula'!K73))*(INDEX(properties!A$1:CB$87,'Fórmula'!D73,12))+(('Fórmula'!G73)/('Fórmula'!C73+'Fórmula'!E73+'Fórmula'!G73+'Fórmula'!I73+'Fórmula'!K73))*(INDEX(properties!A$1:CB$87,'Fórmula'!F73,12))+(('Fórmula'!I73)/('Fórmula'!C73+'Fórmula'!E73+'Fórmula'!G73+'Fórmula'!I73+'Fórmula'!K73))*(INDEX(properties!A$1:CB$87,'Fórmula'!H73,12))+(('Fórmula'!K73)/('Fórmula'!C73+'Fórmula'!E73+'Fórmula'!G73+'Fórmula'!I73+'Fórmula'!K73))*(INDEX(properties!A$1:CB$87,'Fórmula'!J73,12))</f>
        <v>2.724137931</v>
      </c>
      <c r="AS73" s="108">
        <f t="array" ref="AS73">'Fórmula'!C73*(INDEX(properties!A$1:CB$87,'Fórmula'!B73,12))+'Fórmula'!E73*(INDEX(properties!A$1:CB$87,'Fórmula'!D73,12))+'Fórmula'!G73*(INDEX(properties!A$1:CB$87,'Fórmula'!F73,12))+'Fórmula'!I73*(INDEX(properties!A$1:CB$87,'Fórmula'!H73,12))+'Fórmula'!K73*(INDEX(properties!A$1:CB$87,'Fórmula'!J73,12))</f>
        <v>79</v>
      </c>
      <c r="AT73" s="108">
        <f t="array" ref="AT73">VARP(IF(INDEX(properties!A$1:CB$87,'Fórmula'!B73,12)&lt;&gt;"",INDEX(properties!A$1:CB$87,'Fórmula'!B73,12)),IF(INDEX(properties!A$1:CB$87,'Fórmula'!D73,12)&lt;&gt;"",INDEX(properties!A$1:CB$87,'Fórmula'!D73,12)),IF(INDEX(properties!A$1:CB$87,'Fórmula'!F73,12)&lt;&gt;"",INDEX(properties!A$1:CB$87,'Fórmula'!F73,12)),IF(INDEX(properties!A$1:CB$87,'Fórmula'!H73,12)&lt;&gt;"",INDEX(properties!A$1:CB$87,'Fórmula'!H73,12)),IF(INDEX(properties!A$1:CB$87,'Fórmula'!J73,12)&lt;&gt;"",INDEX(properties!A$1:CB$87,'Fórmula'!J73,12)))</f>
        <v>2.16</v>
      </c>
      <c r="AU73" s="108">
        <f t="array" ref="AU73">MAX(INDEX(properties!A$1:CB$87,'Fórmula'!B73,12),INDEX(properties!A$1:CB$87,'Fórmula'!D73,12),INDEX(properties!A$1:CB$87,'Fórmula'!F73,12),INDEX(properties!A$1:CB$87,'Fórmula'!H73,12),INDEX(properties!A$1:CB$87,'Fórmula'!J73,12))</f>
        <v>4</v>
      </c>
      <c r="AV73" s="108">
        <f t="array" ref="AV73">MIN(IF('Fórmula'!B73=87,10^6,INDEX(properties!A$1:CB$87,'Fórmula'!B73,12)),IF(('Fórmula'!D73)=87,10^6,INDEX(properties!A$1:CB$87,'Fórmula'!D73,12)),IF(('Fórmula'!F73)=87,10^6,INDEX(properties!A$1:CB$87,'Fórmula'!F73,12)),IF(('Fórmula'!H73)=87,10^6,INDEX(properties!A$1:CB$87,'Fórmula'!H73,12)),IF('Fórmula'!J73=87,10^6,INDEX(properties!A$1:CB$87,'Fórmula'!J73,12)))</f>
        <v>0</v>
      </c>
      <c r="AW73" s="108">
        <f t="shared" si="8"/>
        <v>4</v>
      </c>
      <c r="AX73" s="109">
        <f t="array" ref="AX73">(('Fórmula'!C73)/('Fórmula'!C73+'Fórmula'!E73+'Fórmula'!G73+'Fórmula'!I73+'Fórmula'!K73))*(INDEX(properties!A$1:CB$87,'Fórmula'!B73,13))+(('Fórmula'!E73)/('Fórmula'!C73+'Fórmula'!E73+'Fórmula'!G73+'Fórmula'!I73+'Fórmula'!K73))*(INDEX(properties!A$1:CB$87,'Fórmula'!D73,13))+(('Fórmula'!G73)/('Fórmula'!C73+'Fórmula'!E73+'Fórmula'!G73+'Fórmula'!I73+'Fórmula'!K73))*(INDEX(properties!A$1:CB$87,'Fórmula'!F73,13))+(('Fórmula'!I73)/('Fórmula'!C73+'Fórmula'!E73+'Fórmula'!G73+'Fórmula'!I73+'Fórmula'!K73))*(INDEX(properties!A$1:CB$87,'Fórmula'!H73,13))+(('Fórmula'!K73)/('Fórmula'!C73+'Fórmula'!E73+'Fórmula'!G73+'Fórmula'!I73+'Fórmula'!K73))*(INDEX(properties!A$1:CB$87,'Fórmula'!J73,13))</f>
        <v>0</v>
      </c>
      <c r="AY73" s="109">
        <f t="array" ref="AY73">'Fórmula'!C73*(INDEX(properties!A$1:CB$87,'Fórmula'!B73,13))+'Fórmula'!E73*(INDEX(properties!A$1:CB$87,'Fórmula'!D73,13))+'Fórmula'!G73*(INDEX(properties!A$1:CB$87,'Fórmula'!F73,13))+'Fórmula'!I73*(INDEX(properties!A$1:CB$87,'Fórmula'!H73,13))+'Fórmula'!K73*(INDEX(properties!A$1:CB$87,'Fórmula'!J73,13))</f>
        <v>0</v>
      </c>
      <c r="AZ73" s="109">
        <f t="array" ref="AZ73">VARP(IF(INDEX(properties!A$1:CB$87,'Fórmula'!B73,13)&lt;&gt;"",INDEX(properties!A$1:CB$87,'Fórmula'!B73,13)),IF(INDEX(properties!A$1:CB$87,'Fórmula'!D73,13)&lt;&gt;"",INDEX(properties!A$1:CB$87,'Fórmula'!D73,13)),IF(INDEX(properties!A$1:CB$87,'Fórmula'!F73,13)&lt;&gt;"",INDEX(properties!A$1:CB$87,'Fórmula'!F73,13)),IF(INDEX(properties!A$1:CB$87,'Fórmula'!H73,13)&lt;&gt;"",INDEX(properties!A$1:CB$87,'Fórmula'!H73,13)),IF(INDEX(properties!A$1:CB$87,'Fórmula'!J73,13)&lt;&gt;"",INDEX(properties!A$1:CB$87,'Fórmula'!J73,13)))</f>
        <v>0</v>
      </c>
      <c r="BA73" s="109">
        <f t="array" ref="BA73">MAX(INDEX(properties!A$1:CB$87,'Fórmula'!B73,13),INDEX(properties!A$1:CB$87,'Fórmula'!D73,13),INDEX(properties!A$1:CB$87,'Fórmula'!F73,13),INDEX(properties!A$1:CB$87,'Fórmula'!H73,13),INDEX(properties!A$1:CB$87,'Fórmula'!J73,13))</f>
        <v>0</v>
      </c>
      <c r="BB73" s="109">
        <f t="array" ref="BB73">MIN(IF('Fórmula'!B73=87,10^6,INDEX(properties!A$1:CB$87,'Fórmula'!B73,13)),IF(('Fórmula'!D73)=87,10^6,INDEX(properties!A$1:CB$87,'Fórmula'!D73,13)),IF(('Fórmula'!F73)=87,10^6,INDEX(properties!A$1:CB$87,'Fórmula'!F73,13)),IF(('Fórmula'!H73)=87,10^6,INDEX(properties!A$1:CB$87,'Fórmula'!H73,13)),IF('Fórmula'!J73=87,10^6,INDEX(properties!A$1:CB$87,'Fórmula'!J73,13)))</f>
        <v>0</v>
      </c>
      <c r="BC73" s="109">
        <f t="shared" si="9"/>
        <v>0</v>
      </c>
      <c r="BD73" s="110">
        <f t="array" ref="BD73">(('Fórmula'!C73)/('Fórmula'!C73+'Fórmula'!E73+'Fórmula'!G73+'Fórmula'!I73+'Fórmula'!K73))*(INDEX(properties!A$1:CB$87,'Fórmula'!B73,14))+(('Fórmula'!E73)/('Fórmula'!C73+'Fórmula'!E73+'Fórmula'!G73+'Fórmula'!I73+'Fórmula'!K73))*(INDEX(properties!A$1:CB$87,'Fórmula'!D73,14))+(('Fórmula'!G73)/('Fórmula'!C73+'Fórmula'!E73+'Fórmula'!G73+'Fórmula'!I73+'Fórmula'!K73))*(INDEX(properties!A$1:CB$87,'Fórmula'!F73,14))+(('Fórmula'!I73)/('Fórmula'!C73+'Fórmula'!E73+'Fórmula'!G73+'Fórmula'!I73+'Fórmula'!K73))*(INDEX(properties!A$1:CB$87,'Fórmula'!H73,14))+(('Fórmula'!K73)/('Fórmula'!C73+'Fórmula'!E73+'Fórmula'!G73+'Fórmula'!I73+'Fórmula'!K73))*(INDEX(properties!A$1:CB$87,'Fórmula'!J73,14))</f>
        <v>0</v>
      </c>
      <c r="BE73" s="110">
        <f t="array" ref="BE73">'Fórmula'!C73*(INDEX(properties!A$1:CB$87,'Fórmula'!B73,14))+'Fórmula'!E73*(INDEX(properties!A$1:CB$87,'Fórmula'!D73,14))+'Fórmula'!G73*(INDEX(properties!A$1:CB$87,'Fórmula'!F73,14))+'Fórmula'!I73*(INDEX(properties!A$1:CB$87,'Fórmula'!H73,14))+'Fórmula'!K73*(INDEX(properties!A$1:CB$87,'Fórmula'!J73,14))</f>
        <v>0</v>
      </c>
      <c r="BF73" s="110">
        <f t="array" ref="BF73">VARP(IF(INDEX(properties!A$1:CB$87,'Fórmula'!B73,14)&lt;&gt;"",INDEX(properties!A$1:CB$87,'Fórmula'!B73,14)),IF(INDEX(properties!A$1:CB$87,'Fórmula'!D73,14)&lt;&gt;"",INDEX(properties!A$1:CB$87,'Fórmula'!D73,14)),IF(INDEX(properties!A$1:CB$87,'Fórmula'!F73,14)&lt;&gt;"",INDEX(properties!A$1:CB$87,'Fórmula'!F73,14)),IF(INDEX(properties!A$1:CB$87,'Fórmula'!H73,14)&lt;&gt;"",INDEX(properties!A$1:CB$87,'Fórmula'!H73,14)),IF(INDEX(properties!A$1:CB$87,'Fórmula'!J73,14)&lt;&gt;"",INDEX(properties!A$1:CB$87,'Fórmula'!J73,14)))</f>
        <v>0</v>
      </c>
      <c r="BG73" s="110">
        <f t="array" ref="BG73">MAX(INDEX(properties!A$1:CB$87,'Fórmula'!B73,14),INDEX(properties!A$1:CB$87,'Fórmula'!D73,14),INDEX(properties!A$1:CB$87,'Fórmula'!F73,14),INDEX(properties!A$1:CB$87,'Fórmula'!H73,14),INDEX(properties!A$1:CB$87,'Fórmula'!J73,14))</f>
        <v>0</v>
      </c>
      <c r="BH73" s="110">
        <f t="array" ref="BH73">MIN(IF('Fórmula'!B73=87,10^6,INDEX(properties!A$1:CB$87,'Fórmula'!B73,14)),IF(('Fórmula'!D73)=87,10^6,INDEX(properties!A$1:CB$87,'Fórmula'!D73,14)),IF(('Fórmula'!F73)=87,10^6,INDEX(properties!A$1:CB$87,'Fórmula'!F73,14)),IF(('Fórmula'!H73)=87,10^6,INDEX(properties!A$1:CB$87,'Fórmula'!H73,14)),IF('Fórmula'!J73=87,10^6,INDEX(properties!A$1:CB$87,'Fórmula'!J73,14)))</f>
        <v>0</v>
      </c>
      <c r="BI73" s="110">
        <f t="shared" si="10"/>
        <v>0</v>
      </c>
      <c r="BJ73" s="111">
        <f t="array" ref="BJ73">(('Fórmula'!C73)/('Fórmula'!C73+'Fórmula'!E73+'Fórmula'!G73+'Fórmula'!I73+'Fórmula'!K73))*(INDEX(properties!A$1:CB$87,'Fórmula'!B73,19))+(('Fórmula'!E73)/('Fórmula'!C73+'Fórmula'!E73+'Fórmula'!G73+'Fórmula'!I73+'Fórmula'!K73))*(INDEX(properties!A$1:CB$87,'Fórmula'!D73,19))+(('Fórmula'!G73)/('Fórmula'!C73+'Fórmula'!E73+'Fórmula'!G73+'Fórmula'!I73+'Fórmula'!K73))*(INDEX(properties!A$1:CB$87,'Fórmula'!F73,19))+(('Fórmula'!I73)/('Fórmula'!C73+'Fórmula'!E73+'Fórmula'!G73+'Fórmula'!I73+'Fórmula'!K73))*(INDEX(properties!A$1:CB$87,'Fórmula'!H73,19))+(('Fórmula'!K73)/('Fórmula'!C73+'Fórmula'!E73+'Fórmula'!G73+'Fórmula'!I73+'Fórmula'!K73))*(INDEX(properties!A$1:CB$87,'Fórmula'!J73,19))</f>
        <v>4.689655172</v>
      </c>
      <c r="BK73" s="111">
        <f t="array" ref="BK73">'Fórmula'!C73*(INDEX(properties!A$1:CB$87,'Fórmula'!B73,19))+'Fórmula'!E73*(INDEX(properties!A$1:CB$87,'Fórmula'!D73,19))+'Fórmula'!G73*(INDEX(properties!A$1:CB$87,'Fórmula'!F73,19))+'Fórmula'!I73*(INDEX(properties!A$1:CB$87,'Fórmula'!H73,19))+'Fórmula'!K73*(INDEX(properties!A$1:CB$87,'Fórmula'!J73,19))</f>
        <v>136</v>
      </c>
      <c r="BL73" s="111">
        <f t="array" ref="BL73">VARP(IF(INDEX(properties!A$1:CB$87,'Fórmula'!B73,19)&lt;&gt;"",INDEX(properties!A$1:CB$87,'Fórmula'!B73,19)),IF(INDEX(properties!A$1:CB$87,'Fórmula'!D73,19)&lt;&gt;"",INDEX(properties!A$1:CB$87,'Fórmula'!D73,19)),IF(INDEX(properties!A$1:CB$87,'Fórmula'!F73,19)&lt;&gt;"",INDEX(properties!A$1:CB$87,'Fórmula'!F73,19)),IF(INDEX(properties!A$1:CB$87,'Fórmula'!H73,19)&lt;&gt;"",INDEX(properties!A$1:CB$87,'Fórmula'!H73,19)),IF(INDEX(properties!A$1:CB$87,'Fórmula'!J73,19)&lt;&gt;"",INDEX(properties!A$1:CB$87,'Fórmula'!J73,19)))</f>
        <v>4.24</v>
      </c>
      <c r="BM73" s="111">
        <f t="array" ref="BM73">MAX(INDEX(properties!A$1:CB$87,'Fórmula'!B73,19),INDEX(properties!A$1:CB$87,'Fórmula'!D73,19),INDEX(properties!A$1:CB$87,'Fórmula'!F73,19),INDEX(properties!A$1:CB$87,'Fórmula'!H73,19),INDEX(properties!A$1:CB$87,'Fórmula'!J73,19))</f>
        <v>6</v>
      </c>
      <c r="BN73" s="111">
        <f t="array" ref="BN73">MIN(IF(INDEX(properties!A$1:CB$87,'Fórmula'!B73,19)=0,10^6,INDEX(properties!A$1:CB$87,'Fórmula'!B73,19)),IF(INDEX(properties!A$1:CB$87,'Fórmula'!D73,19)=0,10^6,INDEX(properties!A$1:CB$87,'Fórmula'!D73,19)),IF(INDEX(properties!A$1:CB$87,'Fórmula'!F73,19)=0,10^6,INDEX(properties!A$1:CB$87,'Fórmula'!F73,19)),IF(INDEX(properties!A$1:CB$87,'Fórmula'!H73,19)=0,10^6,INDEX(properties!A$1:CB$87,'Fórmula'!H73,19)),IF(INDEX(properties!A$1:CB$87,'Fórmula'!J73,19)=0,10^6,INDEX(properties!A$1:CB$87,'Fórmula'!J73,19)))</f>
        <v>1</v>
      </c>
      <c r="BO73" s="111">
        <f t="shared" si="11"/>
        <v>5</v>
      </c>
      <c r="BP73" s="112">
        <f t="array" ref="BP73">(('Fórmula'!C73)/('Fórmula'!C73+'Fórmula'!E73+'Fórmula'!G73+'Fórmula'!I73+'Fórmula'!K73))*(INDEX(properties!A$1:CB$87,'Fórmula'!B73,20))+(('Fórmula'!E73)/('Fórmula'!C73+'Fórmula'!E73+'Fórmula'!G73+'Fórmula'!I73+'Fórmula'!K73))*(INDEX(properties!A$1:CB$87,'Fórmula'!D73,20))+(('Fórmula'!G73)/('Fórmula'!C73+'Fórmula'!E73+'Fórmula'!G73+'Fórmula'!I73+'Fórmula'!K73))*(INDEX(properties!A$1:CB$87,'Fórmula'!F73,20))+(('Fórmula'!I73)/('Fórmula'!C73+'Fórmula'!E73+'Fórmula'!G73+'Fórmula'!I73+'Fórmula'!K73))*(INDEX(properties!A$1:CB$87,'Fórmula'!H73,20))+(('Fórmula'!K73)/('Fórmula'!C73+'Fórmula'!E73+'Fórmula'!G73+'Fórmula'!I73+'Fórmula'!K73))*(INDEX(properties!A$1:CB$87,'Fórmula'!J73,20))</f>
        <v>4.689655172</v>
      </c>
      <c r="BQ73" s="112">
        <f t="array" ref="BQ73">'Fórmula'!C73*(INDEX(properties!A$1:CB$87,'Fórmula'!B73,20))+'Fórmula'!E73*(INDEX(properties!A$1:CB$87,'Fórmula'!D73,20))+'Fórmula'!G73*(INDEX(properties!A$1:CB$87,'Fórmula'!F73,20))+'Fórmula'!I73*(INDEX(properties!A$1:CB$87,'Fórmula'!H73,20))+'Fórmula'!K73*(INDEX(properties!A$1:CB$87,'Fórmula'!J73,20))</f>
        <v>136</v>
      </c>
      <c r="BR73" s="112">
        <f t="array" ref="BR73">VARP(IF(INDEX(properties!A$1:CB$87,'Fórmula'!B73,20)&lt;&gt;"",INDEX(properties!A$1:CB$87,'Fórmula'!B73,20)),IF(INDEX(properties!A$1:CB$87,'Fórmula'!D73,20)&lt;&gt;"",INDEX(properties!A$1:CB$87,'Fórmula'!D73,20)),IF(INDEX(properties!A$1:CB$87,'Fórmula'!F73,20)&lt;&gt;"",INDEX(properties!A$1:CB$87,'Fórmula'!F73,20)),IF(INDEX(properties!A$1:CB$87,'Fórmula'!H73,20)&lt;&gt;"",INDEX(properties!A$1:CB$87,'Fórmula'!H73,20)),IF(INDEX(properties!A$1:CB$87,'Fórmula'!J73,20)&lt;&gt;"",INDEX(properties!A$1:CB$87,'Fórmula'!J73,20)))</f>
        <v>4.24</v>
      </c>
      <c r="BS73" s="112">
        <f t="array" ref="BS73">MAX(INDEX(properties!A$1:CB$87,'Fórmula'!B73,20),INDEX(properties!A$1:CB$87,'Fórmula'!D73,20),INDEX(properties!A$1:CB$87,'Fórmula'!F73,20),INDEX(properties!A$1:CB$87,'Fórmula'!H73,20),INDEX(properties!A$1:CB$87,'Fórmula'!J73,20))</f>
        <v>6</v>
      </c>
      <c r="BT73" s="112">
        <f t="array" ref="BT73">MIN(IF(INDEX(properties!A$1:CB$87,'Fórmula'!B73,20)=0,10^6,INDEX(properties!A$1:CB$87,'Fórmula'!B73,20)),IF(INDEX(properties!A$1:CB$87,'Fórmula'!D73,20)=0,10^6,INDEX(properties!A$1:CB$87,'Fórmula'!D73,20)),IF(INDEX(properties!A$1:CB$87,'Fórmula'!F73,20)=0,10^6,INDEX(properties!A$1:CB$87,'Fórmula'!F73,20)),IF(INDEX(properties!A$1:CB$87,'Fórmula'!H73,20)=0,10^6,INDEX(properties!A$1:CB$87,'Fórmula'!H73,20)),IF(INDEX(properties!A$1:CB$87,'Fórmula'!J73,20)=0,10^6,INDEX(properties!A$1:CB$87,'Fórmula'!J73,20)))</f>
        <v>1</v>
      </c>
      <c r="BU73" s="112">
        <f t="shared" si="12"/>
        <v>5</v>
      </c>
      <c r="BV73" s="113">
        <f t="array" ref="BV73">(('Fórmula'!C73)/('Fórmula'!C73+'Fórmula'!E73+'Fórmula'!G73+'Fórmula'!I73+'Fórmula'!K73))*(INDEX(properties!A$1:CB$87,'Fórmula'!B73,21))+(('Fórmula'!E73)/('Fórmula'!C73+'Fórmula'!E73+'Fórmula'!G73+'Fórmula'!I73+'Fórmula'!K73))*(INDEX(properties!A$1:CB$87,'Fórmula'!D73,21))+(('Fórmula'!G73)/('Fórmula'!C73+'Fórmula'!E73+'Fórmula'!G73+'Fórmula'!I73+'Fórmula'!K73))*(INDEX(properties!A$1:CB$87,'Fórmula'!F73,21))+(('Fórmula'!I73)/('Fórmula'!C73+'Fórmula'!E73+'Fórmula'!G73+'Fórmula'!I73+'Fórmula'!K73))*(INDEX(properties!A$1:CB$87,'Fórmula'!H73,21))+(('Fórmula'!K73)/('Fórmula'!C73+'Fórmula'!E73+'Fórmula'!G73+'Fórmula'!I73+'Fórmula'!K73))*(INDEX(properties!A$1:CB$87,'Fórmula'!J73,21))</f>
        <v>4.689655172</v>
      </c>
      <c r="BW73" s="113">
        <f t="array" ref="BW73">'Fórmula'!C73*(INDEX(properties!A$1:CB$87,'Fórmula'!B73,21))+'Fórmula'!E73*(INDEX(properties!A$1:CB$87,'Fórmula'!D73,21))+'Fórmula'!G73*(INDEX(properties!A$1:CB$87,'Fórmula'!F73,21))+'Fórmula'!I73*(INDEX(properties!A$1:CB$87,'Fórmula'!H73,21))+'Fórmula'!K73*(INDEX(properties!A$1:CB$87,'Fórmula'!J73,21))</f>
        <v>136</v>
      </c>
      <c r="BX73" s="113">
        <f t="array" ref="BX73">VARP(IF(INDEX(properties!A$1:CB$87,'Fórmula'!B73,21)&lt;&gt;"",INDEX(properties!A$1:CB$87,'Fórmula'!B73,21)),IF(INDEX(properties!A$1:CB$87,'Fórmula'!D73,21)&lt;&gt;"",INDEX(properties!A$1:CB$87,'Fórmula'!D73,21)),IF(INDEX(properties!A$1:CB$87,'Fórmula'!F73,21)&lt;&gt;"",INDEX(properties!A$1:CB$87,'Fórmula'!F73,21)),IF(INDEX(properties!A$1:CB$87,'Fórmula'!H73,21)&lt;&gt;"",INDEX(properties!A$1:CB$87,'Fórmula'!H73,21)),IF(INDEX(properties!A$1:CB$87,'Fórmula'!J73,21)&lt;&gt;"",INDEX(properties!A$1:CB$87,'Fórmula'!J73,21)))</f>
        <v>4.24</v>
      </c>
      <c r="BY73" s="113">
        <f t="array" ref="BY73">MAX(INDEX(properties!A$1:CB$87,'Fórmula'!B73,21),INDEX(properties!A$1:CB$87,'Fórmula'!D73,21),INDEX(properties!A$1:CB$87,'Fórmula'!F73,21),INDEX(properties!A$1:CB$87,'Fórmula'!H73,21),INDEX(properties!A$1:CB$87,'Fórmula'!J73,21))</f>
        <v>6</v>
      </c>
      <c r="BZ73" s="113">
        <f t="array" ref="BZ73">MIN(IF(INDEX(properties!A$1:CB$87,'Fórmula'!B73,21)=0,10^6,INDEX(properties!A$1:CB$87,'Fórmula'!B73,21)),IF(INDEX(properties!A$1:CB$87,'Fórmula'!D73,21)=0,10^6,INDEX(properties!A$1:CB$87,'Fórmula'!D73,21)),IF(INDEX(properties!A$1:CB$87,'Fórmula'!F73,21)=0,10^6,INDEX(properties!A$1:CB$87,'Fórmula'!F73,21)),IF(INDEX(properties!A$1:CB$87,'Fórmula'!H73,21)=0,10^6,INDEX(properties!A$1:CB$87,'Fórmula'!H73,21)),IF(INDEX(properties!A$1:CB$87,'Fórmula'!J73,21)=0,10^6,INDEX(properties!A$1:CB$87,'Fórmula'!J73,21)))</f>
        <v>1</v>
      </c>
      <c r="CA73" s="113">
        <f t="shared" si="13"/>
        <v>5</v>
      </c>
      <c r="CB73" s="114">
        <f t="array" ref="CB73">(('Fórmula'!C73)/('Fórmula'!C73+'Fórmula'!E73+'Fórmula'!G73+'Fórmula'!I73+'Fórmula'!K73))*(INDEX(properties!A$1:CB$87,'Fórmula'!B73,23))+(('Fórmula'!E73)/('Fórmula'!C73+'Fórmula'!E73+'Fórmula'!G73+'Fórmula'!I73+'Fórmula'!K73))*(INDEX(properties!A$1:CB$87,'Fórmula'!D73,23))+(('Fórmula'!G73)/('Fórmula'!C73+'Fórmula'!E73+'Fórmula'!G73+'Fórmula'!I73+'Fórmula'!K73))*(INDEX(properties!A$1:CB$87,'Fórmula'!F73,23))+(('Fórmula'!I73)/('Fórmula'!C73+'Fórmula'!E73+'Fórmula'!G73+'Fórmula'!I73+'Fórmula'!K73))*(INDEX(properties!A$1:CB$87,'Fórmula'!H73,23))+(('Fórmula'!K73)/('Fórmula'!C73+'Fórmula'!E73+'Fórmula'!G73+'Fórmula'!I73+'Fórmula'!K73))*(INDEX(properties!A$1:CB$87,'Fórmula'!J73,23))</f>
        <v>1.172413793</v>
      </c>
      <c r="CC73" s="114">
        <f t="array" ref="CC73">'Fórmula'!C73*(INDEX(properties!A$1:CB$87,'Fórmula'!B73,23))+'Fórmula'!E73*(INDEX(properties!A$1:CB$87,'Fórmula'!D73,23))+'Fórmula'!G73*(INDEX(properties!A$1:CB$87,'Fórmula'!F73,23))+'Fórmula'!I73*(INDEX(properties!A$1:CB$87,'Fórmula'!H73,23))+'Fórmula'!K73*(INDEX(properties!A$1:CB$87,'Fórmula'!J73,23))</f>
        <v>34</v>
      </c>
      <c r="CD73" s="114">
        <f t="array" ref="CD73">VARP(IF(INDEX(properties!A$1:CB$87,'Fórmula'!B73,23)&lt;&gt;"",INDEX(properties!A$1:CB$87,'Fórmula'!B73,23)),IF(INDEX(properties!A$1:CB$87,'Fórmula'!D73,23)&lt;&gt;"",INDEX(properties!A$1:CB$87,'Fórmula'!D73,23)),IF(INDEX(properties!A$1:CB$87,'Fórmula'!F73,23)&lt;&gt;"",INDEX(properties!A$1:CB$87,'Fórmula'!F73,23)),IF(INDEX(properties!A$1:CB$87,'Fórmula'!H73,23)&lt;&gt;"",INDEX(properties!A$1:CB$87,'Fórmula'!H73,23)),IF(INDEX(properties!A$1:CB$87,'Fórmula'!J73,23)&lt;&gt;"",INDEX(properties!A$1:CB$87,'Fórmula'!J73,23)))</f>
        <v>1.84</v>
      </c>
      <c r="CE73" s="114">
        <f t="array" ref="CE73">MAX(INDEX(properties!A$1:CB$87,'Fórmula'!B73,23),INDEX(properties!A$1:CB$87,'Fórmula'!D73,23),INDEX(properties!A$1:CB$87,'Fórmula'!F73,23),INDEX(properties!A$1:CB$87,'Fórmula'!H73,23),INDEX(properties!A$1:CB$87,'Fórmula'!J73,23))</f>
        <v>3</v>
      </c>
      <c r="CF73" s="114">
        <f t="array" ref="CF73">MIN(IF('Fórmula'!B73=87,10^6,INDEX(properties!A$1:CB$87,'Fórmula'!B73,23)),IF(('Fórmula'!D73)=87,10^6,INDEX(properties!A$1:CB$87,'Fórmula'!D73,23)),IF(('Fórmula'!F73)=87,10^6,INDEX(properties!A$1:CB$87,'Fórmula'!F73,23)),IF(('Fórmula'!H73)=87,10^6,INDEX(properties!A$1:CB$87,'Fórmula'!H73,23)),IF('Fórmula'!J73=87,10^6,INDEX(properties!A$1:CB$87,'Fórmula'!J73,23)))</f>
        <v>0</v>
      </c>
      <c r="CG73" s="114">
        <f t="shared" si="14"/>
        <v>3</v>
      </c>
      <c r="CH73" s="115">
        <f t="array" ref="CH73">(('Fórmula'!C73)/('Fórmula'!C73+'Fórmula'!E73+'Fórmula'!G73+'Fórmula'!I73+'Fórmula'!K73))*(INDEX(properties!A$1:CB$87,'Fórmula'!B73,26))+(('Fórmula'!E73)/('Fórmula'!C73+'Fórmula'!E73+'Fórmula'!G73+'Fórmula'!I73+'Fórmula'!K73))*(INDEX(properties!A$1:CB$87,'Fórmula'!D73,26))+(('Fórmula'!G73)/('Fórmula'!C73+'Fórmula'!E73+'Fórmula'!G73+'Fórmula'!I73+'Fórmula'!K73))*(INDEX(properties!A$1:CB$87,'Fórmula'!F73,26))+(('Fórmula'!I73)/('Fórmula'!C73+'Fórmula'!E73+'Fórmula'!G73+'Fórmula'!I73+'Fórmula'!K73))*(INDEX(properties!A$1:CB$87,'Fórmula'!H73,26))+(('Fórmula'!K73)/('Fórmula'!C73+'Fórmula'!E73+'Fórmula'!G73+'Fórmula'!I73+'Fórmula'!K73))*(INDEX(properties!A$1:CB$87,'Fórmula'!J73,26))</f>
        <v>10.75834483</v>
      </c>
      <c r="CI73" s="115">
        <f t="array" ref="CI73">'Fórmula'!C73*(INDEX(properties!A$1:CB$87,'Fórmula'!B73,26))+'Fórmula'!E73*(INDEX(properties!A$1:CB$87,'Fórmula'!D73,26))+'Fórmula'!G73*(INDEX(properties!A$1:CB$87,'Fórmula'!F73,26))+'Fórmula'!I73*(INDEX(properties!A$1:CB$87,'Fórmula'!H73,26))+'Fórmula'!K73*(INDEX(properties!A$1:CB$87,'Fórmula'!J73,26))</f>
        <v>311.992</v>
      </c>
      <c r="CJ73" s="115">
        <f t="array" ref="CJ73">VARP(IF(INDEX(properties!A$1:CB$87,'Fórmula'!B73,26)&lt;&gt;"",INDEX(properties!A$1:CB$87,'Fórmula'!B73,26)),IF(INDEX(properties!A$1:CB$87,'Fórmula'!D73,26)&lt;&gt;"",INDEX(properties!A$1:CB$87,'Fórmula'!D73,26)),IF(INDEX(properties!A$1:CB$87,'Fórmula'!F73,26)&lt;&gt;"",INDEX(properties!A$1:CB$87,'Fórmula'!F73,26)),IF(INDEX(properties!A$1:CB$87,'Fórmula'!H73,26)&lt;&gt;"",INDEX(properties!A$1:CB$87,'Fórmula'!H73,26)),IF(INDEX(properties!A$1:CB$87,'Fórmula'!J73,26)&lt;&gt;"",INDEX(properties!A$1:CB$87,'Fórmula'!J73,26)))</f>
        <v>19.50338439</v>
      </c>
      <c r="CK73" s="116">
        <f t="array" ref="CK73">MAX(INDEX(properties!A$1:CB$87,'Fórmula'!B73,26),INDEX(properties!A$1:CB$87,'Fórmula'!D73,26),INDEX(properties!A$1:CB$87,'Fórmula'!F73,26),INDEX(properties!A$1:CB$87,'Fórmula'!H73,26),INDEX(properties!A$1:CB$87,'Fórmula'!J73,26))</f>
        <v>13.6181</v>
      </c>
      <c r="CL73" s="116">
        <f t="array" ref="CL73">MIN(IF(INDEX(properties!A$1:CB$87,'Fórmula'!B73,26)=0,10^6,INDEX(properties!A$1:CB$87,'Fórmula'!B73,26)),IF(INDEX(properties!A$1:CB$87,'Fórmula'!D73,26)=0,10^6,INDEX(properties!A$1:CB$87,'Fórmula'!D73,26)),IF(INDEX(properties!A$1:CB$87,'Fórmula'!F73,26)=0,10^6,INDEX(properties!A$1:CB$87,'Fórmula'!F73,26)),IF(INDEX(properties!A$1:CB$87,'Fórmula'!H73,26)=0,10^6,INDEX(properties!A$1:CB$87,'Fórmula'!H73,26)),IF(INDEX(properties!A$1:CB$87,'Fórmula'!J73,26)=0,10^6,INDEX(properties!A$1:CB$87,'Fórmula'!J73,26)))</f>
        <v>5.3917</v>
      </c>
      <c r="CM73" s="115">
        <f t="shared" si="15"/>
        <v>8.2264</v>
      </c>
      <c r="CN73" s="117">
        <f t="array" ref="CN73">(('Fórmula'!C73)/('Fórmula'!C73+'Fórmula'!E73+'Fórmula'!G73+'Fórmula'!I73+'Fórmula'!K73))*(INDEX(properties!A$1:CB$87,'Fórmula'!B73,30))+(('Fórmula'!E73)/('Fórmula'!C73+'Fórmula'!E73+'Fórmula'!G73+'Fórmula'!I73+'Fórmula'!K73))*(INDEX(properties!A$1:CB$87,'Fórmula'!D73,30))+(('Fórmula'!G73)/('Fórmula'!C73+'Fórmula'!E73+'Fórmula'!G73+'Fórmula'!I73+'Fórmula'!K73))*(INDEX(properties!A$1:CB$87,'Fórmula'!F73,30))+(('Fórmula'!I73)/('Fórmula'!C73+'Fórmula'!E73+'Fórmula'!G73+'Fórmula'!I73+'Fórmula'!K73))*(INDEX(properties!A$1:CB$87,'Fórmula'!H73,30))+(('Fórmula'!K73)/('Fórmula'!C73+'Fórmula'!E73+'Fórmula'!G73+'Fórmula'!I73+'Fórmula'!K73))*(INDEX(properties!A$1:CB$87,'Fórmula'!J73,30))</f>
        <v>2.720344828</v>
      </c>
      <c r="CO73" s="117">
        <f t="array" ref="CO73">'Fórmula'!C73*(INDEX(properties!A$1:CB$87,'Fórmula'!B73,30))+'Fórmula'!E73*(INDEX(properties!A$1:CB$87,'Fórmula'!D73,30))+'Fórmula'!G73*(INDEX(properties!A$1:CB$87,'Fórmula'!F73,30))+'Fórmula'!I73*(INDEX(properties!A$1:CB$87,'Fórmula'!H73,30))+'Fórmula'!K73*(INDEX(properties!A$1:CB$87,'Fórmula'!J73,30))</f>
        <v>78.89</v>
      </c>
      <c r="CP73" s="117">
        <f t="array" ref="CP73">VARP(IF(INDEX(properties!A$1:CB$87,'Fórmula'!B73,30)&lt;&gt;"",INDEX(properties!A$1:CB$87,'Fórmula'!B73,30)),IF(INDEX(properties!A$1:CB$87,'Fórmula'!D73,30)&lt;&gt;"",INDEX(properties!A$1:CB$87,'Fórmula'!D73,30)),IF(INDEX(properties!A$1:CB$87,'Fórmula'!F73,30)&lt;&gt;"",INDEX(properties!A$1:CB$87,'Fórmula'!F73,30)),IF(INDEX(properties!A$1:CB$87,'Fórmula'!H73,30)&lt;&gt;"",INDEX(properties!A$1:CB$87,'Fórmula'!H73,30)),IF(INDEX(properties!A$1:CB$87,'Fórmula'!J73,30)&lt;&gt;"",INDEX(properties!A$1:CB$87,'Fórmula'!J73,30)))</f>
        <v>1.304544</v>
      </c>
      <c r="CQ73" s="117">
        <f t="array" ref="CQ73">MAX(INDEX(properties!A$1:CB$87,'Fórmula'!B73,30),INDEX(properties!A$1:CB$87,'Fórmula'!D73,30),INDEX(properties!A$1:CB$87,'Fórmula'!F73,30),INDEX(properties!A$1:CB$87,'Fórmula'!H73,30),INDEX(properties!A$1:CB$87,'Fórmula'!J73,30))</f>
        <v>3.44</v>
      </c>
      <c r="CR73" s="117">
        <f t="array" ref="CR73">MIN(IF(INDEX(properties!A$1:CB$87,'Fórmula'!B73,30)=0,10^6,INDEX(properties!A$1:CB$87,'Fórmula'!B73,30)),IF(INDEX(properties!A$1:CB$87,'Fórmula'!D73,30)=0,10^6,INDEX(properties!A$1:CB$87,'Fórmula'!D73,30)),IF(INDEX(properties!A$1:CB$87,'Fórmula'!F73,30)=0,10^6,INDEX(properties!A$1:CB$87,'Fórmula'!F73,30)),IF(INDEX(properties!A$1:CB$87,'Fórmula'!H73,30)=0,10^6,INDEX(properties!A$1:CB$87,'Fórmula'!H73,30)),IF(INDEX(properties!A$1:CB$87,'Fórmula'!J73,30)=0,10^6,INDEX(properties!A$1:CB$87,'Fórmula'!J73,30)))</f>
        <v>0.98</v>
      </c>
      <c r="CS73" s="117">
        <f t="shared" si="16"/>
        <v>2.46</v>
      </c>
      <c r="CT73" s="118">
        <f t="array" ref="CT73">(('Fórmula'!C73)/('Fórmula'!C73+'Fórmula'!E73+'Fórmula'!G73+'Fórmula'!I73+'Fórmula'!K73))*(INDEX(properties!A$1:CB$87,'Fórmula'!B73,31))+(('Fórmula'!E73)/('Fórmula'!C73+'Fórmula'!E73+'Fórmula'!G73+'Fórmula'!I73+'Fórmula'!K73))*(INDEX(properties!A$1:CB$87,'Fórmula'!D73,31))+(('Fórmula'!G73)/('Fórmula'!C73+'Fórmula'!E73+'Fórmula'!G73+'Fórmula'!I73+'Fórmula'!K73))*(INDEX(properties!A$1:CB$87,'Fórmula'!F73,31))+(('Fórmula'!I73)/('Fórmula'!C73+'Fórmula'!E73+'Fórmula'!G73+'Fórmula'!I73+'Fórmula'!K73))*(INDEX(properties!A$1:CB$87,'Fórmula'!H73,31))+(('Fórmula'!K73)/('Fórmula'!C73+'Fórmula'!E73+'Fórmula'!G73+'Fórmula'!I73+'Fórmula'!K73))*(INDEX(properties!A$1:CB$87,'Fórmula'!J73,31))</f>
        <v>2.635172414</v>
      </c>
      <c r="CU73" s="118">
        <f t="array" ref="CU73">'Fórmula'!C73*(INDEX(properties!A$1:CB$87,'Fórmula'!B73,31))+'Fórmula'!E73*(INDEX(properties!A$1:CB$87,'Fórmula'!D73,31))+'Fórmula'!G73*(INDEX(properties!A$1:CB$87,'Fórmula'!F73,31))+'Fórmula'!I73*(INDEX(properties!A$1:CB$87,'Fórmula'!H73,31))+'Fórmula'!K73*(INDEX(properties!A$1:CB$87,'Fórmula'!J73,31))</f>
        <v>76.42</v>
      </c>
      <c r="CV73" s="118">
        <f t="array" ref="CV73">VARP(IF(INDEX(properties!A$1:CB$87,'Fórmula'!B73,31)&lt;&gt;"",INDEX(properties!A$1:CB$87,'Fórmula'!B73,31)),IF(INDEX(properties!A$1:CB$87,'Fórmula'!D73,31)&lt;&gt;"",INDEX(properties!A$1:CB$87,'Fórmula'!D73,31)),IF(INDEX(properties!A$1:CB$87,'Fórmula'!F73,31)&lt;&gt;"",INDEX(properties!A$1:CB$87,'Fórmula'!F73,31)),IF(INDEX(properties!A$1:CB$87,'Fórmula'!H73,31)&lt;&gt;"",INDEX(properties!A$1:CB$87,'Fórmula'!H73,31)),IF(INDEX(properties!A$1:CB$87,'Fórmula'!J73,31)&lt;&gt;"",INDEX(properties!A$1:CB$87,'Fórmula'!J73,31)))</f>
        <v>1.217696</v>
      </c>
      <c r="CW73" s="118">
        <f t="array" ref="CW73">MAX(INDEX(properties!A$1:CB$87,'Fórmula'!B73,31),INDEX(properties!A$1:CB$87,'Fórmula'!D73,31),INDEX(properties!A$1:CB$87,'Fórmula'!F73,31),INDEX(properties!A$1:CB$87,'Fórmula'!H73,31),INDEX(properties!A$1:CB$87,'Fórmula'!J73,31))</f>
        <v>3.32</v>
      </c>
      <c r="CX73" s="118">
        <f t="array" ref="CX73">MIN(IF(INDEX(properties!A$1:CB$87,'Fórmula'!B73,31)=0,10^6,INDEX(properties!A$1:CB$87,'Fórmula'!B73,31)),IF(INDEX(properties!A$1:CB$87,'Fórmula'!D73,31)=0,10^6,INDEX(properties!A$1:CB$87,'Fórmula'!D73,31)),IF(INDEX(properties!A$1:CB$87,'Fórmula'!F73,31)=0,10^6,INDEX(properties!A$1:CB$87,'Fórmula'!F73,31)),IF(INDEX(properties!A$1:CB$87,'Fórmula'!H73,31)=0,10^6,INDEX(properties!A$1:CB$87,'Fórmula'!H73,31)),IF(INDEX(properties!A$1:CB$87,'Fórmula'!J73,31)=0,10^6,INDEX(properties!A$1:CB$87,'Fórmula'!J73,31)))</f>
        <v>0.9</v>
      </c>
      <c r="CY73" s="118">
        <f t="shared" si="17"/>
        <v>2.42</v>
      </c>
      <c r="CZ73" s="119">
        <f t="array" ref="CZ73">(('Fórmula'!C73)/('Fórmula'!C73+'Fórmula'!E73+'Fórmula'!G73+'Fórmula'!I73+'Fórmula'!K73))*(INDEX(properties!A$1:CB$87,'Fórmula'!B73,32))+(('Fórmula'!E73)/('Fórmula'!C73+'Fórmula'!E73+'Fórmula'!G73+'Fórmula'!I73+'Fórmula'!K73))*(INDEX(properties!A$1:CB$87,'Fórmula'!D73,32))+(('Fórmula'!G73)/('Fórmula'!C73+'Fórmula'!E73+'Fórmula'!G73+'Fórmula'!I73+'Fórmula'!K73))*(INDEX(properties!A$1:CB$87,'Fórmula'!F73,32))+(('Fórmula'!I73)/('Fórmula'!C73+'Fórmula'!E73+'Fórmula'!G73+'Fórmula'!I73+'Fórmula'!K73))*(INDEX(properties!A$1:CB$87,'Fórmula'!H73,32))+(('Fórmula'!K73)/('Fórmula'!C73+'Fórmula'!E73+'Fórmula'!G73+'Fórmula'!I73+'Fórmula'!K73))*(INDEX(properties!A$1:CB$87,'Fórmula'!J73,32))</f>
        <v>5.895172414</v>
      </c>
      <c r="DA73" s="119">
        <f t="array" ref="DA73">'Fórmula'!C73*(INDEX(properties!A$1:CB$87,'Fórmula'!B73,32))+'Fórmula'!E73*(INDEX(properties!A$1:CB$87,'Fórmula'!D73,32))+'Fórmula'!G73*(INDEX(properties!A$1:CB$87,'Fórmula'!F73,32))+'Fórmula'!I73*(INDEX(properties!A$1:CB$87,'Fórmula'!H73,32))+'Fórmula'!K73*(INDEX(properties!A$1:CB$87,'Fórmula'!J73,32))</f>
        <v>170.96</v>
      </c>
      <c r="DB73" s="119">
        <f t="array" ref="DB73">VARP(IF(INDEX(properties!A$1:CB$87,'Fórmula'!B73,32)&lt;&gt;"",INDEX(properties!A$1:CB$87,'Fórmula'!B73,32)),IF(INDEX(properties!A$1:CB$87,'Fórmula'!D73,32)&lt;&gt;"",INDEX(properties!A$1:CB$87,'Fórmula'!D73,32)),IF(INDEX(properties!A$1:CB$87,'Fórmula'!F73,32)&lt;&gt;"",INDEX(properties!A$1:CB$87,'Fórmula'!F73,32)),IF(INDEX(properties!A$1:CB$87,'Fórmula'!H73,32)&lt;&gt;"",INDEX(properties!A$1:CB$87,'Fórmula'!H73,32)),IF(INDEX(properties!A$1:CB$87,'Fórmula'!J73,32)&lt;&gt;"",INDEX(properties!A$1:CB$87,'Fórmula'!J73,32)))</f>
        <v>5.888744</v>
      </c>
      <c r="DC73" s="119">
        <f t="array" ref="DC73">MAX(INDEX(properties!A$1:CB$87,'Fórmula'!B73,32),INDEX(properties!A$1:CB$87,'Fórmula'!D73,32),INDEX(properties!A$1:CB$87,'Fórmula'!F73,32),INDEX(properties!A$1:CB$87,'Fórmula'!H73,32),INDEX(properties!A$1:CB$87,'Fórmula'!J73,32))</f>
        <v>7.54</v>
      </c>
      <c r="DD73" s="119">
        <f t="array" ref="DD73">MIN(IF(INDEX(properties!A$1:CB$87,'Fórmula'!B73,32)=0,10^6,INDEX(properties!A$1:CB$87,'Fórmula'!B73,32)),IF(INDEX(properties!A$1:CB$87,'Fórmula'!D73,32)=0,10^6,INDEX(properties!A$1:CB$87,'Fórmula'!D73,32)),IF(INDEX(properties!A$1:CB$87,'Fórmula'!F73,32)=0,10^6,INDEX(properties!A$1:CB$87,'Fórmula'!F73,32)),IF(INDEX(properties!A$1:CB$87,'Fórmula'!H73,32)=0,10^6,INDEX(properties!A$1:CB$87,'Fórmula'!H73,32)),IF(INDEX(properties!A$1:CB$87,'Fórmula'!J73,32)=0,10^6,INDEX(properties!A$1:CB$87,'Fórmula'!J73,32)))</f>
        <v>3.01</v>
      </c>
      <c r="DE73" s="119">
        <f t="shared" si="18"/>
        <v>4.53</v>
      </c>
      <c r="DF73" s="104">
        <f t="array" ref="DF73">(('Fórmula'!C73)/('Fórmula'!C73+'Fórmula'!E73+'Fórmula'!G73+'Fórmula'!I73+'Fórmula'!K73))*(INDEX(properties!A$1:CB$87,'Fórmula'!B73,34))+(('Fórmula'!E73)/('Fórmula'!C73+'Fórmula'!E73+'Fórmula'!G73+'Fórmula'!I73+'Fórmula'!K73))*(INDEX(properties!A$1:CB$87,'Fórmula'!D73,34))+(('Fórmula'!G73)/('Fórmula'!C73+'Fórmula'!E73+'Fórmula'!G73+'Fórmula'!I73+'Fórmula'!K73))*(INDEX(properties!A$1:CB$87,'Fórmula'!F73,34))+(('Fórmula'!I73)/('Fórmula'!C73+'Fórmula'!E73+'Fórmula'!G73+'Fórmula'!I73+'Fórmula'!K73))*(INDEX(properties!A$1:CB$87,'Fórmula'!H73,34))+(('Fórmula'!K73)/('Fórmula'!C73+'Fórmula'!E73+'Fórmula'!G73+'Fórmula'!I73+'Fórmula'!K73))*(INDEX(properties!A$1:CB$87,'Fórmula'!J73,34))</f>
        <v>2.819896552</v>
      </c>
      <c r="DG73" s="104">
        <f t="array" ref="DG73">'Fórmula'!C73*(INDEX(properties!A$1:CB$87,'Fórmula'!B73,34))+'Fórmula'!E73*(INDEX(properties!A$1:CB$87,'Fórmula'!D73,34))+'Fórmula'!G73*(INDEX(properties!A$1:CB$87,'Fórmula'!F73,34))+'Fórmula'!I73*(INDEX(properties!A$1:CB$87,'Fórmula'!H73,34))+'Fórmula'!K73*(INDEX(properties!A$1:CB$87,'Fórmula'!J73,34))</f>
        <v>81.777</v>
      </c>
      <c r="DH73" s="104">
        <f t="array" ref="DH73">VARP(IF(INDEX(properties!A$1:CB$87,'Fórmula'!B73,34)&lt;&gt;"",INDEX(properties!A$1:CB$87,'Fórmula'!B73,34)),IF(INDEX(properties!A$1:CB$87,'Fórmula'!D73,34)&lt;&gt;"",INDEX(properties!A$1:CB$87,'Fórmula'!D73,34)),IF(INDEX(properties!A$1:CB$87,'Fórmula'!F73,34)&lt;&gt;"",INDEX(properties!A$1:CB$87,'Fórmula'!F73,34)),IF(INDEX(properties!A$1:CB$87,'Fórmula'!H73,34)&lt;&gt;"",INDEX(properties!A$1:CB$87,'Fórmula'!H73,34)),IF(INDEX(properties!A$1:CB$87,'Fórmula'!J73,34)&lt;&gt;"",INDEX(properties!A$1:CB$87,'Fórmula'!J73,34)))</f>
        <v>1.45401896</v>
      </c>
      <c r="DI73" s="104">
        <f t="array" ref="DI73">MAX(INDEX(properties!A$1:CB$87,'Fórmula'!B73,34),INDEX(properties!A$1:CB$87,'Fórmula'!D73,34),INDEX(properties!A$1:CB$87,'Fórmula'!F73,34),INDEX(properties!A$1:CB$87,'Fórmula'!H73,34),INDEX(properties!A$1:CB$87,'Fórmula'!J73,34))</f>
        <v>3.61</v>
      </c>
      <c r="DJ73" s="104">
        <f t="array" ref="DJ73">MIN(IF(INDEX(properties!A$1:CB$87,'Fórmula'!B73,34)=0,10^6,INDEX(properties!A$1:CB$87,'Fórmula'!B73,34)),IF(INDEX(properties!A$1:CB$87,'Fórmula'!D73,34)=0,10^6,INDEX(properties!A$1:CB$87,'Fórmula'!D73,34)),IF(INDEX(properties!A$1:CB$87,'Fórmula'!F73,34)=0,10^6,INDEX(properties!A$1:CB$87,'Fórmula'!F73,34)),IF(INDEX(properties!A$1:CB$87,'Fórmula'!H73,34)=0,10^6,INDEX(properties!A$1:CB$87,'Fórmula'!H73,34)),IF(INDEX(properties!A$1:CB$87,'Fórmula'!J73,34)=0,10^6,INDEX(properties!A$1:CB$87,'Fórmula'!J73,34)))</f>
        <v>0.912</v>
      </c>
      <c r="DK73" s="104">
        <f t="shared" si="19"/>
        <v>2.698</v>
      </c>
      <c r="DL73" s="105">
        <f t="array" ref="DL73">(('Fórmula'!C73)/('Fórmula'!C73+'Fórmula'!E73+'Fórmula'!G73+'Fórmula'!I73+'Fórmula'!K73))*(INDEX(properties!A$1:CB$87,'Fórmula'!B73,37))+(('Fórmula'!E73)/('Fórmula'!C73+'Fórmula'!E73+'Fórmula'!G73+'Fórmula'!I73+'Fórmula'!K73))*(INDEX(properties!A$1:CB$87,'Fórmula'!D73,37))+(('Fórmula'!G73)/('Fórmula'!C73+'Fórmula'!E73+'Fórmula'!G73+'Fórmula'!I73+'Fórmula'!K73))*(INDEX(properties!A$1:CB$87,'Fórmula'!F73,37))+(('Fórmula'!I73)/('Fórmula'!C73+'Fórmula'!E73+'Fórmula'!G73+'Fórmula'!I73+'Fórmula'!K73))*(INDEX(properties!A$1:CB$87,'Fórmula'!H73,37))+(('Fórmula'!K73)/('Fórmula'!C73+'Fórmula'!E73+'Fórmula'!G73+'Fórmula'!I73+'Fórmula'!K73))*(INDEX(properties!A$1:CB$87,'Fórmula'!J73,37))</f>
        <v>2.679310345</v>
      </c>
      <c r="DM73" s="105">
        <f t="array" ref="DM73">'Fórmula'!C73*(INDEX(properties!A$1:CB$87,'Fórmula'!B73,37))+'Fórmula'!E73*(INDEX(properties!A$1:CB$87,'Fórmula'!D73,37))+'Fórmula'!G73*(INDEX(properties!A$1:CB$87,'Fórmula'!F73,37))+'Fórmula'!I73*(INDEX(properties!A$1:CB$87,'Fórmula'!H73,37))+'Fórmula'!K73*(INDEX(properties!A$1:CB$87,'Fórmula'!J73,37))</f>
        <v>77.7</v>
      </c>
      <c r="DN73" s="105">
        <f t="array" ref="DN73">VARP(IF(INDEX(properties!A$1:CB$87,'Fórmula'!B73,37)&lt;&gt;"",INDEX(properties!A$1:CB$87,'Fórmula'!B73,37)),IF(INDEX(properties!A$1:CB$87,'Fórmula'!D73,37)&lt;&gt;"",INDEX(properties!A$1:CB$87,'Fórmula'!D73,37)),IF(INDEX(properties!A$1:CB$87,'Fórmula'!F73,37)&lt;&gt;"",INDEX(properties!A$1:CB$87,'Fórmula'!F73,37)),IF(INDEX(properties!A$1:CB$87,'Fórmula'!H73,37)&lt;&gt;"",INDEX(properties!A$1:CB$87,'Fórmula'!H73,37)),IF(INDEX(properties!A$1:CB$87,'Fórmula'!J73,37)&lt;&gt;"",INDEX(properties!A$1:CB$87,'Fórmula'!J73,37)))</f>
        <v>1.2994</v>
      </c>
      <c r="DO73" s="105">
        <f t="array" ref="DO73">MAX(INDEX(properties!A$1:CB$87,'Fórmula'!B73,37),INDEX(properties!A$1:CB$87,'Fórmula'!D73,37),INDEX(properties!A$1:CB$87,'Fórmula'!F73,37),INDEX(properties!A$1:CB$87,'Fórmula'!H73,37),INDEX(properties!A$1:CB$87,'Fórmula'!J73,37))</f>
        <v>3.45</v>
      </c>
      <c r="DP73" s="105">
        <f t="array" ref="DP73">MIN(IF(INDEX(properties!A$1:CB$87,'Fórmula'!B73,37)=0,10^6,INDEX(properties!A$1:CB$87,'Fórmula'!B73,37)),IF(INDEX(properties!A$1:CB$87,'Fórmula'!D73,37)=0,10^6,INDEX(properties!A$1:CB$87,'Fórmula'!D73,37)),IF(INDEX(properties!A$1:CB$87,'Fórmula'!F73,37)=0,10^6,INDEX(properties!A$1:CB$87,'Fórmula'!F73,37)),IF(INDEX(properties!A$1:CB$87,'Fórmula'!H73,37)=0,10^6,INDEX(properties!A$1:CB$87,'Fórmula'!H73,37)),IF(INDEX(properties!A$1:CB$87,'Fórmula'!J73,37)=0,10^6,INDEX(properties!A$1:CB$87,'Fórmula'!J73,37)))</f>
        <v>0.95</v>
      </c>
      <c r="DQ73" s="105">
        <f t="shared" si="20"/>
        <v>2.5</v>
      </c>
      <c r="DR73" s="109">
        <f t="array" ref="DR73">(('Fórmula'!C73)/('Fórmula'!C73+'Fórmula'!E73+'Fórmula'!G73+'Fórmula'!I73+'Fórmula'!K73))*(INDEX(properties!A$1:CB$87,'Fórmula'!B73,39))+(('Fórmula'!E73)/('Fórmula'!C73+'Fórmula'!E73+'Fórmula'!G73+'Fórmula'!I73+'Fórmula'!K73))*(INDEX(properties!A$1:CB$87,'Fórmula'!D73,39))+(('Fórmula'!G73)/('Fórmula'!C73+'Fórmula'!E73+'Fórmula'!G73+'Fórmula'!I73+'Fórmula'!K73))*(INDEX(properties!A$1:CB$87,'Fórmula'!F73,39))+(('Fórmula'!I73)/('Fórmula'!C73+'Fórmula'!E73+'Fórmula'!G73+'Fórmula'!I73+'Fórmula'!K73))*(INDEX(properties!A$1:CB$87,'Fórmula'!H73,39))+(('Fórmula'!K73)/('Fórmula'!C73+'Fórmula'!E73+'Fórmula'!G73+'Fórmula'!I73+'Fórmula'!K73))*(INDEX(properties!A$1:CB$87,'Fórmula'!J73,39))</f>
        <v>0.7437931034</v>
      </c>
      <c r="DS73" s="109">
        <f t="array" ref="DS73">'Fórmula'!C73*(INDEX(properties!A$1:CB$87,'Fórmula'!B73,39))+'Fórmula'!E73*(INDEX(properties!A$1:CB$87,'Fórmula'!D73,39))+'Fórmula'!G73*(INDEX(properties!A$1:CB$87,'Fórmula'!F73,39))+'Fórmula'!I73*(INDEX(properties!A$1:CB$87,'Fórmula'!H73,39))+'Fórmula'!K73*(INDEX(properties!A$1:CB$87,'Fórmula'!J73,39))</f>
        <v>21.57</v>
      </c>
      <c r="DT73" s="109">
        <f t="array" ref="DT73">VARP(IF(INDEX(properties!A$1:CB$87,'Fórmula'!B73,39)&lt;&gt;"",INDEX(properties!A$1:CB$87,'Fórmula'!B73,39)),IF(INDEX(properties!A$1:CB$87,'Fórmula'!D73,39)&lt;&gt;"",INDEX(properties!A$1:CB$87,'Fórmula'!D73,39)),IF(INDEX(properties!A$1:CB$87,'Fórmula'!F73,39)&lt;&gt;"",INDEX(properties!A$1:CB$87,'Fórmula'!F73,39)),IF(INDEX(properties!A$1:CB$87,'Fórmula'!H73,39)&lt;&gt;"",INDEX(properties!A$1:CB$87,'Fórmula'!H73,39)),IF(INDEX(properties!A$1:CB$87,'Fórmula'!J73,39)&lt;&gt;"",INDEX(properties!A$1:CB$87,'Fórmula'!J73,39)))</f>
        <v>0.32812</v>
      </c>
      <c r="DU73" s="120">
        <f t="array" ref="DU73">MAX(INDEX(properties!A$1:CB$87,'Fórmula'!B73,39),INDEX(properties!A$1:CB$87,'Fórmula'!D73,39),INDEX(properties!A$1:CB$87,'Fórmula'!F73,39),INDEX(properties!A$1:CB$87,'Fórmula'!H73,39),INDEX(properties!A$1:CB$87,'Fórmula'!J73,39))</f>
        <v>1.67</v>
      </c>
      <c r="DV73" s="120">
        <f t="array" ref="DV73">MIN(IF(INDEX(properties!A$1:CB$87,'Fórmula'!B73,39)=0,10^6,INDEX(properties!A$1:CB$87,'Fórmula'!B73,39)),IF(INDEX(properties!A$1:CB$87,'Fórmula'!D73,39)=0,10^6,INDEX(properties!A$1:CB$87,'Fórmula'!D73,39)),IF(INDEX(properties!A$1:CB$87,'Fórmula'!F73,39)=0,10^6,INDEX(properties!A$1:CB$87,'Fórmula'!F73,39)),IF(INDEX(properties!A$1:CB$87,'Fórmula'!H73,39)=0,10^6,INDEX(properties!A$1:CB$87,'Fórmula'!H73,39)),IF(INDEX(properties!A$1:CB$87,'Fórmula'!J73,39)=0,10^6,INDEX(properties!A$1:CB$87,'Fórmula'!J73,39)))</f>
        <v>0.48</v>
      </c>
      <c r="DW73" s="109">
        <f t="shared" si="21"/>
        <v>1.19</v>
      </c>
      <c r="DX73" s="110">
        <f t="array" ref="DX73">(('Fórmula'!C73)/('Fórmula'!C73+'Fórmula'!E73+'Fórmula'!G73+'Fórmula'!I73+'Fórmula'!K73))*(INDEX(properties!A$1:CB$87,'Fórmula'!B73,40))+(('Fórmula'!E73)/('Fórmula'!C73+'Fórmula'!E73+'Fórmula'!G73+'Fórmula'!I73+'Fórmula'!K73))*(INDEX(properties!A$1:CB$87,'Fórmula'!D73,40))+(('Fórmula'!G73)/('Fórmula'!C73+'Fórmula'!E73+'Fórmula'!G73+'Fórmula'!I73+'Fórmula'!K73))*(INDEX(properties!A$1:CB$87,'Fórmula'!F73,40))+(('Fórmula'!I73)/('Fórmula'!C73+'Fórmula'!E73+'Fórmula'!G73+'Fórmula'!I73+'Fórmula'!K73))*(INDEX(properties!A$1:CB$87,'Fórmula'!H73,40))+(('Fórmula'!K73)/('Fórmula'!C73+'Fórmula'!E73+'Fórmula'!G73+'Fórmula'!I73+'Fórmula'!K73))*(INDEX(properties!A$1:CB$87,'Fórmula'!J73,40))</f>
        <v>0.8720689655</v>
      </c>
      <c r="DY73" s="110">
        <f t="array" ref="DY73">'Fórmula'!C73*(INDEX(properties!A$1:CB$87,'Fórmula'!B73,40))+'Fórmula'!E73*(INDEX(properties!A$1:CB$87,'Fórmula'!D73,40))+'Fórmula'!G73*(INDEX(properties!A$1:CB$87,'Fórmula'!F73,40))+'Fórmula'!I73*(INDEX(properties!A$1:CB$87,'Fórmula'!H73,40))+'Fórmula'!K73*(INDEX(properties!A$1:CB$87,'Fórmula'!J73,40))</f>
        <v>25.29</v>
      </c>
      <c r="DZ73" s="110">
        <f t="array" ref="DZ73">VARP(IF(INDEX(properties!A$1:CB$87,'Fórmula'!B73,40)&lt;&gt;"",INDEX(properties!A$1:CB$87,'Fórmula'!B73,40)),IF(INDEX(properties!A$1:CB$87,'Fórmula'!D73,40)&lt;&gt;"",INDEX(properties!A$1:CB$87,'Fórmula'!D73,40)),IF(INDEX(properties!A$1:CB$87,'Fórmula'!F73,40)&lt;&gt;"",INDEX(properties!A$1:CB$87,'Fórmula'!F73,40)),IF(INDEX(properties!A$1:CB$87,'Fórmula'!H73,40)&lt;&gt;"",INDEX(properties!A$1:CB$87,'Fórmula'!H73,40)),IF(INDEX(properties!A$1:CB$87,'Fórmula'!J73,40)&lt;&gt;"",INDEX(properties!A$1:CB$87,'Fórmula'!J73,40)))</f>
        <v>0.216064</v>
      </c>
      <c r="EA73" s="121">
        <f t="array" ref="EA73">MAX(INDEX(properties!A$1:CB$87,'Fórmula'!B73,40),INDEX(properties!A$1:CB$87,'Fórmula'!D73,40),INDEX(properties!A$1:CB$87,'Fórmula'!F73,40),INDEX(properties!A$1:CB$87,'Fórmula'!H73,40),INDEX(properties!A$1:CB$87,'Fórmula'!J73,40))</f>
        <v>1.34</v>
      </c>
      <c r="EB73" s="121">
        <f t="array" ref="EB73">MIN(IF(INDEX(properties!A$1:CB$87,'Fórmula'!B73,40)=0,10^6,INDEX(properties!A$1:CB$87,'Fórmula'!B73,40)),IF(INDEX(properties!A$1:CB$87,'Fórmula'!D73,40)=0,10^6,INDEX(properties!A$1:CB$87,'Fórmula'!D73,40)),IF(INDEX(properties!A$1:CB$87,'Fórmula'!F73,40)=0,10^6,INDEX(properties!A$1:CB$87,'Fórmula'!F73,40)),IF(INDEX(properties!A$1:CB$87,'Fórmula'!H73,40)=0,10^6,INDEX(properties!A$1:CB$87,'Fórmula'!H73,40)),IF(INDEX(properties!A$1:CB$87,'Fórmula'!J73,40)=0,10^6,INDEX(properties!A$1:CB$87,'Fórmula'!J73,40)))</f>
        <v>0.73</v>
      </c>
      <c r="EC73" s="110">
        <f t="shared" si="22"/>
        <v>0.61</v>
      </c>
      <c r="ED73" s="111">
        <f t="array" ref="ED73">(('Fórmula'!C73)/('Fórmula'!C73+'Fórmula'!E73+'Fórmula'!G73+'Fórmula'!I73+'Fórmula'!K73))*(INDEX(properties!A$1:CB$87,'Fórmula'!B73,41))+(('Fórmula'!E73)/('Fórmula'!C73+'Fórmula'!E73+'Fórmula'!G73+'Fórmula'!I73+'Fórmula'!K73))*(INDEX(properties!A$1:CB$87,'Fórmula'!D73,41))+(('Fórmula'!G73)/('Fórmula'!C73+'Fórmula'!E73+'Fórmula'!G73+'Fórmula'!I73+'Fórmula'!K73))*(INDEX(properties!A$1:CB$87,'Fórmula'!F73,41))+(('Fórmula'!I73)/('Fórmula'!C73+'Fórmula'!E73+'Fórmula'!G73+'Fórmula'!I73+'Fórmula'!K73))*(INDEX(properties!A$1:CB$87,'Fórmula'!H73,41))+(('Fórmula'!K73)/('Fórmula'!C73+'Fórmula'!E73+'Fórmula'!G73+'Fórmula'!I73+'Fórmula'!K73))*(INDEX(properties!A$1:CB$87,'Fórmula'!J73,41))</f>
        <v>0.9903448276</v>
      </c>
      <c r="EE73" s="111">
        <f t="array" ref="EE73">'Fórmula'!C73*(INDEX(properties!A$1:CB$87,'Fórmula'!B73,41))+'Fórmula'!E73*(INDEX(properties!A$1:CB$87,'Fórmula'!D73,41))+'Fórmula'!G73*(INDEX(properties!A$1:CB$87,'Fórmula'!F73,41))+'Fórmula'!I73*(INDEX(properties!A$1:CB$87,'Fórmula'!H73,41))+'Fórmula'!K73*(INDEX(properties!A$1:CB$87,'Fórmula'!J73,41))</f>
        <v>28.72</v>
      </c>
      <c r="EF73" s="111">
        <f t="array" ref="EF73">VARP(IF(INDEX(properties!A$1:CB$87,'Fórmula'!B73,41)&lt;&gt;"",INDEX(properties!A$1:CB$87,'Fórmula'!B73,41)),IF(INDEX(properties!A$1:CB$87,'Fórmula'!D73,41)&lt;&gt;"",INDEX(properties!A$1:CB$87,'Fórmula'!D73,41)),IF(INDEX(properties!A$1:CB$87,'Fórmula'!F73,41)&lt;&gt;"",INDEX(properties!A$1:CB$87,'Fórmula'!F73,41)),IF(INDEX(properties!A$1:CB$87,'Fórmula'!H73,41)&lt;&gt;"",INDEX(properties!A$1:CB$87,'Fórmula'!H73,41)),IF(INDEX(properties!A$1:CB$87,'Fórmula'!J73,41)&lt;&gt;"",INDEX(properties!A$1:CB$87,'Fórmula'!J73,41)))</f>
        <v>0.18312</v>
      </c>
      <c r="EG73" s="122">
        <f t="array" ref="EG73">MAX(INDEX(properties!A$1:CB$87,'Fórmula'!B73,41),INDEX(properties!A$1:CB$87,'Fórmula'!D73,41),INDEX(properties!A$1:CB$87,'Fórmula'!F73,41),INDEX(properties!A$1:CB$87,'Fórmula'!H73,41),INDEX(properties!A$1:CB$87,'Fórmula'!J73,41))</f>
        <v>1.26</v>
      </c>
      <c r="EH73" s="122">
        <f t="array" ref="EH73">MIN(IF(INDEX(properties!A$1:CB$87,'Fórmula'!B73,41)=0,10^6,INDEX(properties!A$1:CB$87,'Fórmula'!B73,41)),IF(INDEX(properties!A$1:CB$87,'Fórmula'!D73,41)=0,10^6,INDEX(properties!A$1:CB$87,'Fórmula'!D73,41)),IF(INDEX(properties!A$1:CB$87,'Fórmula'!F73,41)=0,10^6,INDEX(properties!A$1:CB$87,'Fórmula'!F73,41)),IF(INDEX(properties!A$1:CB$87,'Fórmula'!H73,41)=0,10^6,INDEX(properties!A$1:CB$87,'Fórmula'!H73,41)),IF(INDEX(properties!A$1:CB$87,'Fórmula'!J73,41)=0,10^6,INDEX(properties!A$1:CB$87,'Fórmula'!J73,41)))</f>
        <v>0.41</v>
      </c>
      <c r="EI73" s="111">
        <f t="shared" si="23"/>
        <v>0.85</v>
      </c>
      <c r="EJ73" s="112">
        <f t="array" ref="EJ73">(('Fórmula'!C73)/('Fórmula'!C73+'Fórmula'!E73+'Fórmula'!G73+'Fórmula'!I73+'Fórmula'!K73))*(INDEX(properties!A$1:CB$87,'Fórmula'!B73,45))+(('Fórmula'!E73)/('Fórmula'!C73+'Fórmula'!E73+'Fórmula'!G73+'Fórmula'!I73+'Fórmula'!K73))*(INDEX(properties!A$1:CB$87,'Fórmula'!D73,45))+(('Fórmula'!G73)/('Fórmula'!C73+'Fórmula'!E73+'Fórmula'!G73+'Fórmula'!I73+'Fórmula'!K73))*(INDEX(properties!A$1:CB$87,'Fórmula'!F73,45))+(('Fórmula'!I73)/('Fórmula'!C73+'Fórmula'!E73+'Fórmula'!G73+'Fórmula'!I73+'Fórmula'!K73))*(INDEX(properties!A$1:CB$87,'Fórmula'!H73,45))+(('Fórmula'!K73)/('Fórmula'!C73+'Fórmula'!E73+'Fórmula'!G73+'Fórmula'!I73+'Fórmula'!K73))*(INDEX(properties!A$1:CB$87,'Fórmula'!J73,45))</f>
        <v>0.8468965517</v>
      </c>
      <c r="EK73" s="112">
        <f t="array" ref="EK73">'Fórmula'!C73*(INDEX(properties!A$1:CB$87,'Fórmula'!B73,45))+'Fórmula'!E73*(INDEX(properties!A$1:CB$87,'Fórmula'!D73,45))+'Fórmula'!G73*(INDEX(properties!A$1:CB$87,'Fórmula'!F73,45))+'Fórmula'!I73*(INDEX(properties!A$1:CB$87,'Fórmula'!H73,45))+'Fórmula'!K73*(INDEX(properties!A$1:CB$87,'Fórmula'!J73,45))</f>
        <v>24.56</v>
      </c>
      <c r="EL73" s="112">
        <f t="array" ref="EL73">VARP(IF(INDEX(properties!A$1:CB$87,'Fórmula'!B73,45)&lt;&gt;"",INDEX(properties!A$1:CB$87,'Fórmula'!B73,45)),IF(INDEX(properties!A$1:CB$87,'Fórmula'!D73,45)&lt;&gt;"",INDEX(properties!A$1:CB$87,'Fórmula'!D73,45)),IF(INDEX(properties!A$1:CB$87,'Fórmula'!F73,45)&lt;&gt;"",INDEX(properties!A$1:CB$87,'Fórmula'!F73,45)),IF(INDEX(properties!A$1:CB$87,'Fórmula'!H73,45)&lt;&gt;"",INDEX(properties!A$1:CB$87,'Fórmula'!H73,45)),IF(INDEX(properties!A$1:CB$87,'Fórmula'!J73,45)&lt;&gt;"",INDEX(properties!A$1:CB$87,'Fórmula'!J73,45)))</f>
        <v>0.423336</v>
      </c>
      <c r="EM73" s="123">
        <f t="array" ref="EM73">MAX(INDEX(properties!A$1:CB$87,'Fórmula'!B73,45),INDEX(properties!A$1:CB$87,'Fórmula'!D73,45),INDEX(properties!A$1:CB$87,'Fórmula'!F73,45),INDEX(properties!A$1:CB$87,'Fórmula'!H73,45),INDEX(properties!A$1:CB$87,'Fórmula'!J73,45))</f>
        <v>1.68</v>
      </c>
      <c r="EN73" s="123">
        <f t="array" ref="EN73">MIN(IF(INDEX(properties!A$1:CB$87,'Fórmula'!B73,45)=0,10^6,INDEX(properties!A$1:CB$87,'Fórmula'!B73,45)),IF(INDEX(properties!A$1:CB$87,'Fórmula'!D73,45)=0,10^6,INDEX(properties!A$1:CB$87,'Fórmula'!D73,45)),IF(INDEX(properties!A$1:CB$87,'Fórmula'!F73,45)=0,10^6,INDEX(properties!A$1:CB$87,'Fórmula'!F73,45)),IF(INDEX(properties!A$1:CB$87,'Fórmula'!H73,45)=0,10^6,INDEX(properties!A$1:CB$87,'Fórmula'!H73,45)),IF(INDEX(properties!A$1:CB$87,'Fórmula'!J73,45)=0,10^6,INDEX(properties!A$1:CB$87,'Fórmula'!J73,45)))</f>
        <v>0.47</v>
      </c>
      <c r="EO73" s="112">
        <f t="shared" si="24"/>
        <v>1.21</v>
      </c>
      <c r="EP73" s="113">
        <f t="array" ref="EP73">(('Fórmula'!C73)/('Fórmula'!C73+'Fórmula'!E73+'Fórmula'!G73+'Fórmula'!I73+'Fórmula'!K73))*(INDEX(properties!A$1:CB$87,'Fórmula'!B73,46))+(('Fórmula'!E73)/('Fórmula'!C73+'Fórmula'!E73+'Fórmula'!G73+'Fórmula'!I73+'Fórmula'!K73))*(INDEX(properties!A$1:CB$87,'Fórmula'!D73,46))+(('Fórmula'!G73)/('Fórmula'!C73+'Fórmula'!E73+'Fórmula'!G73+'Fórmula'!I73+'Fórmula'!K73))*(INDEX(properties!A$1:CB$87,'Fórmula'!F73,46))+(('Fórmula'!I73)/('Fórmula'!C73+'Fórmula'!E73+'Fórmula'!G73+'Fórmula'!I73+'Fórmula'!K73))*(INDEX(properties!A$1:CB$87,'Fórmula'!H73,46))+(('Fórmula'!K73)/('Fórmula'!C73+'Fórmula'!E73+'Fórmula'!G73+'Fórmula'!I73+'Fórmula'!K73))*(INDEX(properties!A$1:CB$87,'Fórmula'!J73,46))</f>
        <v>0.9027586207</v>
      </c>
      <c r="EQ73" s="113">
        <f t="array" ref="EQ73">'Fórmula'!C73*(INDEX(properties!A$1:CB$87,'Fórmula'!B73,46))+'Fórmula'!E73*(INDEX(properties!A$1:CB$87,'Fórmula'!D73,46))+'Fórmula'!G73*(INDEX(properties!A$1:CB$87,'Fórmula'!F73,46))+'Fórmula'!I73*(INDEX(properties!A$1:CB$87,'Fórmula'!H73,46))+'Fórmula'!K73*(INDEX(properties!A$1:CB$87,'Fórmula'!J73,46))</f>
        <v>26.18</v>
      </c>
      <c r="ER73" s="113">
        <f t="array" ref="ER73">VARP(IF(INDEX(properties!A$1:CB$87,'Fórmula'!B73,46)&lt;&gt;"",INDEX(properties!A$1:CB$87,'Fórmula'!B73,46)),IF(INDEX(properties!A$1:CB$87,'Fórmula'!D73,46)&lt;&gt;"",INDEX(properties!A$1:CB$87,'Fórmula'!D73,46)),IF(INDEX(properties!A$1:CB$87,'Fórmula'!F73,46)&lt;&gt;"",INDEX(properties!A$1:CB$87,'Fórmula'!F73,46)),IF(INDEX(properties!A$1:CB$87,'Fórmula'!H73,46)&lt;&gt;"",INDEX(properties!A$1:CB$87,'Fórmula'!H73,46)),IF(INDEX(properties!A$1:CB$87,'Fórmula'!J73,46)&lt;&gt;"",INDEX(properties!A$1:CB$87,'Fórmula'!J73,46)))</f>
        <v>0.189416</v>
      </c>
      <c r="ES73" s="124">
        <f t="array" ref="ES73">MAX(INDEX(properties!A$1:CB$87,'Fórmula'!B73,46),INDEX(properties!A$1:CB$87,'Fórmula'!D73,46),INDEX(properties!A$1:CB$87,'Fórmula'!F73,46),INDEX(properties!A$1:CB$87,'Fórmula'!H73,46),INDEX(properties!A$1:CB$87,'Fórmula'!J73,46))</f>
        <v>1.21</v>
      </c>
      <c r="ET73" s="124">
        <f t="array" ref="ET73">MIN(IF(INDEX(properties!A$1:CB$87,'Fórmula'!B73,46)=0,10^6,INDEX(properties!A$1:CB$87,'Fórmula'!B73,46)),IF(INDEX(properties!A$1:CB$87,'Fórmula'!D73,46)=0,10^6,INDEX(properties!A$1:CB$87,'Fórmula'!D73,46)),IF(INDEX(properties!A$1:CB$87,'Fórmula'!F73,46)=0,10^6,INDEX(properties!A$1:CB$87,'Fórmula'!F73,46)),IF(INDEX(properties!A$1:CB$87,'Fórmula'!H73,46)=0,10^6,INDEX(properties!A$1:CB$87,'Fórmula'!H73,46)),IF(INDEX(properties!A$1:CB$87,'Fórmula'!J73,46)=0,10^6,INDEX(properties!A$1:CB$87,'Fórmula'!J73,46)))</f>
        <v>0.25</v>
      </c>
      <c r="EU73" s="113">
        <f t="shared" si="25"/>
        <v>0.96</v>
      </c>
      <c r="EV73" s="114">
        <f t="array" ref="EV73">(('Fórmula'!C73)/('Fórmula'!C73+'Fórmula'!E73+'Fórmula'!G73+'Fórmula'!I73+'Fórmula'!K73))*(INDEX(properties!A$1:CB$87,'Fórmula'!B73,52))+(('Fórmula'!E73)/('Fórmula'!C73+'Fórmula'!E73+'Fórmula'!G73+'Fórmula'!I73+'Fórmula'!K73))*(INDEX(properties!A$1:CB$87,'Fórmula'!D73,52))+(('Fórmula'!G73)/('Fórmula'!C73+'Fórmula'!E73+'Fórmula'!G73+'Fórmula'!I73+'Fórmula'!K73))*(INDEX(properties!A$1:CB$87,'Fórmula'!F73,52))+(('Fórmula'!I73)/('Fórmula'!C73+'Fórmula'!E73+'Fórmula'!G73+'Fórmula'!I73+'Fórmula'!K73))*(INDEX(properties!A$1:CB$87,'Fórmula'!H73,52))+(('Fórmula'!K73)/('Fórmula'!C73+'Fórmula'!E73+'Fórmula'!G73+'Fórmula'!I73+'Fórmula'!K73))*(INDEX(properties!A$1:CB$87,'Fórmula'!J73,52))</f>
        <v>3.720034483</v>
      </c>
      <c r="EW73" s="114">
        <f t="array" ref="EW73">'Fórmula'!C73*(INDEX(properties!A$1:CB$87,'Fórmula'!B73,52))+'Fórmula'!E73*(INDEX(properties!A$1:CB$87,'Fórmula'!D73,52))+'Fórmula'!G73*(INDEX(properties!A$1:CB$87,'Fórmula'!F73,52))+'Fórmula'!I73*(INDEX(properties!A$1:CB$87,'Fórmula'!H73,52))+'Fórmula'!K73*(INDEX(properties!A$1:CB$87,'Fórmula'!J73,52))</f>
        <v>107.881</v>
      </c>
      <c r="EX73" s="114">
        <f t="array" ref="EX73">VARP(IF(INDEX(properties!A$1:CB$87,'Fórmula'!B73,52)&lt;&gt;"",INDEX(properties!A$1:CB$87,'Fórmula'!B73,52)),IF(INDEX(properties!A$1:CB$87,'Fórmula'!D73,52)&lt;&gt;"",INDEX(properties!A$1:CB$87,'Fórmula'!D73,52)),IF(INDEX(properties!A$1:CB$87,'Fórmula'!F73,52)&lt;&gt;"",INDEX(properties!A$1:CB$87,'Fórmula'!F73,52)),IF(INDEX(properties!A$1:CB$87,'Fórmula'!H73,52)&lt;&gt;"",INDEX(properties!A$1:CB$87,'Fórmula'!H73,52)),IF(INDEX(properties!A$1:CB$87,'Fórmula'!J73,52)&lt;&gt;"",INDEX(properties!A$1:CB$87,'Fórmula'!J73,52)))</f>
        <v>80.82375184</v>
      </c>
      <c r="EY73" s="114">
        <f t="array" ref="EY73">MAX(INDEX(properties!A$1:CB$87,'Fórmula'!B73,52),INDEX(properties!A$1:CB$87,'Fórmula'!D73,52),INDEX(properties!A$1:CB$87,'Fórmula'!F73,52),INDEX(properties!A$1:CB$87,'Fórmula'!H73,52),INDEX(properties!A$1:CB$87,'Fórmula'!J73,52))</f>
        <v>24.3</v>
      </c>
      <c r="EZ73" s="114">
        <f t="array" ref="EZ73">MIN(IF(INDEX(properties!A$1:CB$87,'Fórmula'!B73,52)=0,10^6,INDEX(properties!A$1:CB$87,'Fórmula'!B73,52)),IF(INDEX(properties!A$1:CB$87,'Fórmula'!D73,52)=0,10^6,INDEX(properties!A$1:CB$87,'Fórmula'!D73,52)),IF(INDEX(properties!A$1:CB$87,'Fórmula'!F73,52)=0,10^6,INDEX(properties!A$1:CB$87,'Fórmula'!F73,52)),IF(INDEX(properties!A$1:CB$87,'Fórmula'!H73,52)=0,10^6,INDEX(properties!A$1:CB$87,'Fórmula'!H73,52)),IF(INDEX(properties!A$1:CB$87,'Fórmula'!J73,52)=0,10^6,INDEX(properties!A$1:CB$87,'Fórmula'!J73,52)))</f>
        <v>0.793</v>
      </c>
      <c r="FA73" s="114">
        <f t="shared" si="26"/>
        <v>23.507</v>
      </c>
      <c r="FB73" s="115">
        <f t="array" ref="FB73">(('Fórmula'!C73)/('Fórmula'!C73+'Fórmula'!E73+'Fórmula'!G73+'Fórmula'!I73+'Fórmula'!K73))*(INDEX(properties!A$1:CB$87,'Fórmula'!B73,53))+(('Fórmula'!E73)/('Fórmula'!C73+'Fórmula'!E73+'Fórmula'!G73+'Fórmula'!I73+'Fórmula'!K73))*(INDEX(properties!A$1:CB$87,'Fórmula'!D73,53))+(('Fórmula'!G73)/('Fórmula'!C73+'Fórmula'!E73+'Fórmula'!G73+'Fórmula'!I73+'Fórmula'!K73))*(INDEX(properties!A$1:CB$87,'Fórmula'!F73,53))+(('Fórmula'!I73)/('Fórmula'!C73+'Fórmula'!E73+'Fórmula'!G73+'Fórmula'!I73+'Fórmula'!K73))*(INDEX(properties!A$1:CB$87,'Fórmula'!H73,53))+(('Fórmula'!K73)/('Fórmula'!C73+'Fórmula'!E73+'Fórmula'!G73+'Fórmula'!I73+'Fórmula'!K73))*(INDEX(properties!A$1:CB$87,'Fórmula'!J73,53))</f>
        <v>597.4155172</v>
      </c>
      <c r="FC73" s="115">
        <f t="array" ref="FC73">'Fórmula'!C73*(INDEX(properties!A$1:CB$87,'Fórmula'!B73,53))+'Fórmula'!E73*(INDEX(properties!A$1:CB$87,'Fórmula'!D73,53))+'Fórmula'!G73*(INDEX(properties!A$1:CB$87,'Fórmula'!F73,53))+'Fórmula'!I73*(INDEX(properties!A$1:CB$87,'Fórmula'!H73,53))+'Fórmula'!K73*(INDEX(properties!A$1:CB$87,'Fórmula'!J73,53))</f>
        <v>17325.05</v>
      </c>
      <c r="FD73" s="115">
        <f t="array" ref="FD73">VARP(IF(INDEX(properties!A$1:CB$87,'Fórmula'!B73,53)&lt;&gt;"",INDEX(properties!A$1:CB$87,'Fórmula'!B73,53)),IF(INDEX(properties!A$1:CB$87,'Fórmula'!D73,53)&lt;&gt;"",INDEX(properties!A$1:CB$87,'Fórmula'!D73,53)),IF(INDEX(properties!A$1:CB$87,'Fórmula'!F73,53)&lt;&gt;"",INDEX(properties!A$1:CB$87,'Fórmula'!F73,53)),IF(INDEX(properties!A$1:CB$87,'Fórmula'!H73,53)&lt;&gt;"",INDEX(properties!A$1:CB$87,'Fórmula'!H73,53)),IF(INDEX(properties!A$1:CB$87,'Fórmula'!J73,53)&lt;&gt;"",INDEX(properties!A$1:CB$87,'Fórmula'!J73,53)))</f>
        <v>746748.4984</v>
      </c>
      <c r="FE73" s="115">
        <f t="array" ref="FE73">MAX(INDEX(properties!A$1:CB$87,'Fórmula'!B73,53),INDEX(properties!A$1:CB$87,'Fórmula'!D73,53),INDEX(properties!A$1:CB$87,'Fórmula'!F73,53),INDEX(properties!A$1:CB$87,'Fórmula'!H73,53),INDEX(properties!A$1:CB$87,'Fórmula'!J73,53))</f>
        <v>2352.15</v>
      </c>
      <c r="FF73" s="115">
        <f t="array" ref="FF73">MIN(IF(INDEX(properties!A$1:CB$87,'Fórmula'!B73,53)=0,10^6,INDEX(properties!A$1:CB$87,'Fórmula'!B73,53)),IF(INDEX(properties!A$1:CB$87,'Fórmula'!D73,53)=0,10^6,INDEX(properties!A$1:CB$87,'Fórmula'!D73,53)),IF(INDEX(properties!A$1:CB$87,'Fórmula'!F73,53)=0,10^6,INDEX(properties!A$1:CB$87,'Fórmula'!F73,53)),IF(INDEX(properties!A$1:CB$87,'Fórmula'!H73,53)=0,10^6,INDEX(properties!A$1:CB$87,'Fórmula'!H73,53)),IF(INDEX(properties!A$1:CB$87,'Fórmula'!J73,53)=0,10^6,INDEX(properties!A$1:CB$87,'Fórmula'!J73,53)))</f>
        <v>54.75</v>
      </c>
      <c r="FG73" s="115">
        <f t="shared" si="27"/>
        <v>2297.4</v>
      </c>
      <c r="FH73" s="117">
        <f t="array" ref="FH73">(('Fórmula'!C73)/('Fórmula'!C73+'Fórmula'!E73+'Fórmula'!G73+'Fórmula'!I73+'Fórmula'!K73))*(INDEX(properties!A$1:CB$87,'Fórmula'!B73,54))+(('Fórmula'!E73)/('Fórmula'!C73+'Fórmula'!E73+'Fórmula'!G73+'Fórmula'!I73+'Fórmula'!K73))*(INDEX(properties!A$1:CB$87,'Fórmula'!D73,54))+(('Fórmula'!G73)/('Fórmula'!C73+'Fórmula'!E73+'Fórmula'!G73+'Fórmula'!I73+'Fórmula'!K73))*(INDEX(properties!A$1:CB$87,'Fórmula'!F73,54))+(('Fórmula'!I73)/('Fórmula'!C73+'Fórmula'!E73+'Fórmula'!G73+'Fórmula'!I73+'Fórmula'!K73))*(INDEX(properties!A$1:CB$87,'Fórmula'!H73,54))+(('Fórmula'!K73)/('Fórmula'!C73+'Fórmula'!E73+'Fórmula'!G73+'Fórmula'!I73+'Fórmula'!K73))*(INDEX(properties!A$1:CB$87,'Fórmula'!J73,54))</f>
        <v>1359.612069</v>
      </c>
      <c r="FI73" s="117">
        <f t="array" ref="FI73">'Fórmula'!C73*(INDEX(properties!A$1:CB$87,'Fórmula'!B73,54))+'Fórmula'!E73*(INDEX(properties!A$1:CB$87,'Fórmula'!D73,54))+'Fórmula'!G73*(INDEX(properties!A$1:CB$87,'Fórmula'!F73,54))+'Fórmula'!I73*(INDEX(properties!A$1:CB$87,'Fórmula'!H73,54))+'Fórmula'!K73*(INDEX(properties!A$1:CB$87,'Fórmula'!J73,54))</f>
        <v>39428.75</v>
      </c>
      <c r="FJ73" s="117">
        <f t="array" ref="FJ73">VARP(IF(INDEX(properties!A$1:CB$87,'Fórmula'!B73,54)&lt;&gt;"",INDEX(properties!A$1:CB$87,'Fórmula'!B73,54)),IF(INDEX(properties!A$1:CB$87,'Fórmula'!D73,54)&lt;&gt;"",INDEX(properties!A$1:CB$87,'Fórmula'!D73,54)),IF(INDEX(properties!A$1:CB$87,'Fórmula'!F73,54)&lt;&gt;"",INDEX(properties!A$1:CB$87,'Fórmula'!F73,54)),IF(INDEX(properties!A$1:CB$87,'Fórmula'!H73,54)&lt;&gt;"",INDEX(properties!A$1:CB$87,'Fórmula'!H73,54)),IF(INDEX(properties!A$1:CB$87,'Fórmula'!J73,54)&lt;&gt;"",INDEX(properties!A$1:CB$87,'Fórmula'!J73,54)))</f>
        <v>2638326.785</v>
      </c>
      <c r="FK73" s="117">
        <f t="array" ref="FK73">MAX(INDEX(properties!A$1:CB$87,'Fórmula'!B73,54),INDEX(properties!A$1:CB$87,'Fórmula'!D73,54),INDEX(properties!A$1:CB$87,'Fórmula'!F73,54),INDEX(properties!A$1:CB$87,'Fórmula'!H73,54),INDEX(properties!A$1:CB$87,'Fórmula'!J73,54))</f>
        <v>4275</v>
      </c>
      <c r="FL73" s="117">
        <f t="array" ref="FL73">MIN(IF(INDEX(properties!A$1:CB$87,'Fórmula'!B73,54)=0,10^6,INDEX(properties!A$1:CB$87,'Fórmula'!B73,54)),IF(INDEX(properties!A$1:CB$87,'Fórmula'!D73,54)=0,10^6,INDEX(properties!A$1:CB$87,'Fórmula'!D73,54)),IF(INDEX(properties!A$1:CB$87,'Fórmula'!F73,54)=0,10^6,INDEX(properties!A$1:CB$87,'Fórmula'!F73,54)),IF(INDEX(properties!A$1:CB$87,'Fórmula'!H73,54)=0,10^6,INDEX(properties!A$1:CB$87,'Fórmula'!H73,54)),IF(INDEX(properties!A$1:CB$87,'Fórmula'!J73,54)=0,10^6,INDEX(properties!A$1:CB$87,'Fórmula'!J73,54)))</f>
        <v>90.15</v>
      </c>
      <c r="FM73" s="117">
        <f t="shared" si="28"/>
        <v>4184.85</v>
      </c>
      <c r="FN73" s="118">
        <f t="array" ref="FN73">(('Fórmula'!C73)/('Fórmula'!C73+'Fórmula'!E73+'Fórmula'!G73+'Fórmula'!I73+'Fórmula'!K73))*(INDEX(properties!A$1:CB$87,'Fórmula'!B73,55))+(('Fórmula'!E73)/('Fórmula'!C73+'Fórmula'!E73+'Fórmula'!G73+'Fórmula'!I73+'Fórmula'!K73))*(INDEX(properties!A$1:CB$87,'Fórmula'!D73,55))+(('Fórmula'!G73)/('Fórmula'!C73+'Fórmula'!E73+'Fórmula'!G73+'Fórmula'!I73+'Fórmula'!K73))*(INDEX(properties!A$1:CB$87,'Fórmula'!F73,55))+(('Fórmula'!I73)/('Fórmula'!C73+'Fórmula'!E73+'Fórmula'!G73+'Fórmula'!I73+'Fórmula'!K73))*(INDEX(properties!A$1:CB$87,'Fórmula'!H73,55))+(('Fórmula'!K73)/('Fórmula'!C73+'Fórmula'!E73+'Fórmula'!G73+'Fórmula'!I73+'Fórmula'!K73))*(INDEX(properties!A$1:CB$87,'Fórmula'!J73,55))</f>
        <v>0.9937693103</v>
      </c>
      <c r="FO73" s="118">
        <f t="array" ref="FO73">'Fórmula'!C73*(INDEX(properties!A$1:CB$87,'Fórmula'!B73,55))+'Fórmula'!E73*(INDEX(properties!A$1:CB$87,'Fórmula'!D73,54))+'Fórmula'!G73*(INDEX(properties!A$1:CB$87,'Fórmula'!F73,55))+'Fórmula'!I73*(INDEX(properties!A$1:CB$87,'Fórmula'!H73,55))+'Fórmula'!K73*(INDEX(properties!A$1:CB$87,'Fórmula'!J73,55))</f>
        <v>19190.96931</v>
      </c>
      <c r="FP73" s="118">
        <f t="array" ref="FP73">VARP(IF(INDEX(properties!A$1:CB$87,'Fórmula'!B73,55)&lt;&gt;"",INDEX(properties!A$1:CB$87,'Fórmula'!B73,55)),IF(INDEX(properties!A$1:CB$87,'Fórmula'!D73,55)&lt;&gt;"",INDEX(properties!A$1:CB$87,'Fórmula'!D73,55)),IF(INDEX(properties!A$1:CB$87,'Fórmula'!F73,55)&lt;&gt;"",INDEX(properties!A$1:CB$87,'Fórmula'!F73,55)),IF(INDEX(properties!A$1:CB$87,'Fórmula'!H73,55)&lt;&gt;"",INDEX(properties!A$1:CB$87,'Fórmula'!H73,55)),IF(INDEX(properties!A$1:CB$87,'Fórmula'!J73,55)&lt;&gt;"",INDEX(properties!A$1:CB$87,'Fórmula'!J73,55)))</f>
        <v>1.366502547</v>
      </c>
      <c r="FQ73" s="118">
        <f t="array" ref="FQ73">MAX(INDEX(properties!A$1:CB$87,'Fórmula'!B73,55),INDEX(properties!A$1:CB$87,'Fórmula'!D73,55),INDEX(properties!A$1:CB$87,'Fórmula'!F73,55),INDEX(properties!A$1:CB$87,'Fórmula'!H73,55),INDEX(properties!A$1:CB$87,'Fórmula'!J73,55))</f>
        <v>2.7</v>
      </c>
      <c r="FR73" s="118">
        <f t="array" ref="FR73">MIN(IF(INDEX(properties!A$1:CB$87,'Fórmula'!B73,55)=0,10^6,INDEX(properties!A$1:CB$87,'Fórmula'!B73,55)),IF(INDEX(properties!A$1:CB$87,'Fórmula'!D73,55)=0,10^6,INDEX(properties!A$1:CB$87,'Fórmula'!D73,55)),IF(INDEX(properties!A$1:CB$87,'Fórmula'!F73,55)=0,10^6,INDEX(properties!A$1:CB$87,'Fórmula'!F73,55)),IF(INDEX(properties!A$1:CB$87,'Fórmula'!H73,55)=0,10^6,INDEX(properties!A$1:CB$87,'Fórmula'!H73,55)),IF(INDEX(properties!A$1:CB$87,'Fórmula'!J73,55)=0,10^6,INDEX(properties!A$1:CB$87,'Fórmula'!J73,55)))</f>
        <v>0.00143</v>
      </c>
      <c r="FS73" s="118">
        <f t="shared" si="29"/>
        <v>2.69857</v>
      </c>
      <c r="FT73" s="119">
        <f t="array" ref="FT73">(('Fórmula'!C73)/('Fórmula'!C73+'Fórmula'!E73+'Fórmula'!G73+'Fórmula'!I73+'Fórmula'!K73))*(INDEX(properties!A$1:CB$87,'Fórmula'!B73,56))+(('Fórmula'!E73)/('Fórmula'!C73+'Fórmula'!E73+'Fórmula'!G73+'Fórmula'!I73+'Fórmula'!K73))*(INDEX(properties!A$1:CB$87,'Fórmula'!D73,56))+(('Fórmula'!G73)/('Fórmula'!C73+'Fórmula'!E73+'Fórmula'!G73+'Fórmula'!I73+'Fórmula'!K73))*(INDEX(properties!A$1:CB$87,'Fórmula'!F73,56))+(('Fórmula'!I73)/('Fórmula'!C73+'Fórmula'!E73+'Fórmula'!G73+'Fórmula'!I73+'Fórmula'!K73))*(INDEX(properties!A$1:CB$87,'Fórmula'!H73,56))+(('Fórmula'!K73)/('Fórmula'!C73+'Fórmula'!E73+'Fórmula'!G73+'Fórmula'!I73+'Fórmula'!K73))*(INDEX(properties!A$1:CB$87,'Fórmula'!J73,56))</f>
        <v>1.02137931</v>
      </c>
      <c r="FU73" s="119">
        <f t="array" ref="FU73">'Fórmula'!C73*(INDEX(properties!A$1:CB$87,'Fórmula'!B73,56))+'Fórmula'!E73*(INDEX(properties!A$1:CB$87,'Fórmula'!D73,56))+'Fórmula'!G73*(INDEX(properties!A$1:CB$87,'Fórmula'!F73,56))+'Fórmula'!I73*(INDEX(properties!A$1:CB$87,'Fórmula'!H73,56))+'Fórmula'!K73*(INDEX(properties!A$1:CB$87,'Fórmula'!J73,56))</f>
        <v>29.62</v>
      </c>
      <c r="FV73" s="119">
        <f t="array" ref="FV73">VARP(IF(INDEX(properties!A$1:CB$87,'Fórmula'!B73,56)&lt;&gt;"",INDEX(properties!A$1:CB$87,'Fórmula'!B73,56)),IF(INDEX(properties!A$1:CB$87,'Fórmula'!D73,56)&lt;&gt;"",INDEX(properties!A$1:CB$87,'Fórmula'!D73,56)),IF(INDEX(properties!A$1:CB$87,'Fórmula'!F73,56)&lt;&gt;"",INDEX(properties!A$1:CB$87,'Fórmula'!F73,56)),IF(INDEX(properties!A$1:CB$87,'Fórmula'!H73,56)&lt;&gt;"",INDEX(properties!A$1:CB$87,'Fórmula'!H73,56)),IF(INDEX(properties!A$1:CB$87,'Fórmula'!J73,56)&lt;&gt;"",INDEX(properties!A$1:CB$87,'Fórmula'!J73,56)))</f>
        <v>1.472416</v>
      </c>
      <c r="FW73" s="119">
        <f t="array" ref="FW73">MAX(INDEX(properties!A$1:CB$87,'Fórmula'!B73,56),INDEX(properties!A$1:CB$87,'Fórmula'!D73,56),INDEX(properties!A$1:CB$87,'Fórmula'!F73,56),INDEX(properties!A$1:CB$87,'Fórmula'!H73,56),INDEX(properties!A$1:CB$87,'Fórmula'!J73,56))</f>
        <v>3.6</v>
      </c>
      <c r="FX73" s="119">
        <f t="array" ref="FX73">MIN(IF(INDEX(properties!A$1:CB$87,'Fórmula'!B73,56)=0,10^6,INDEX(properties!A$1:CB$87,'Fórmula'!B73,56)),IF(INDEX(properties!A$1:CB$87,'Fórmula'!D73,56)=0,10^6,INDEX(properties!A$1:CB$87,'Fórmula'!D73,56)),IF(INDEX(properties!A$1:CB$87,'Fórmula'!F73,56)=0,10^6,INDEX(properties!A$1:CB$87,'Fórmula'!F73,56)),IF(INDEX(properties!A$1:CB$87,'Fórmula'!H73,56)=0,10^6,INDEX(properties!A$1:CB$87,'Fórmula'!H73,56)),IF(INDEX(properties!A$1:CB$87,'Fórmula'!J73,56)=0,10^6,INDEX(properties!A$1:CB$87,'Fórmula'!J73,56)))</f>
        <v>0.9</v>
      </c>
      <c r="FY73" s="119">
        <f t="shared" si="30"/>
        <v>2.7</v>
      </c>
      <c r="FZ73" s="104">
        <f t="array" ref="FZ73">(('Fórmula'!C73)/('Fórmula'!C73+'Fórmula'!E73+'Fórmula'!G73+'Fórmula'!I73+'Fórmula'!K73))*(INDEX(properties!A$1:CB$87,'Fórmula'!B73,57))+(('Fórmula'!E73)/('Fórmula'!C73+'Fórmula'!E73+'Fórmula'!G73+'Fórmula'!I73+'Fórmula'!K73))*(INDEX(properties!A$1:CB$87,'Fórmula'!D73,57))+(('Fórmula'!G73)/('Fórmula'!C73+'Fórmula'!E73+'Fórmula'!G73+'Fórmula'!I73+'Fórmula'!K73))*(INDEX(properties!A$1:CB$87,'Fórmula'!F73,57))+(('Fórmula'!I73)/('Fórmula'!C73+'Fórmula'!E73+'Fórmula'!G73+'Fórmula'!I73+'Fórmula'!K73))*(INDEX(properties!A$1:CB$87,'Fórmula'!H73,57))+(('Fórmula'!K73)/('Fórmula'!C73+'Fórmula'!E73+'Fórmula'!G73+'Fórmula'!I73+'Fórmula'!K73))*(INDEX(properties!A$1:CB$87,'Fórmula'!J73,57))</f>
        <v>9.762552759</v>
      </c>
      <c r="GA73" s="104">
        <f t="array" ref="GA73">'Fórmula'!C73*(INDEX(properties!A$1:CB$87,'Fórmula'!B73,57))+'Fórmula'!E73*(INDEX(properties!A$1:CB$87,'Fórmula'!D73,57))+'Fórmula'!G73*(INDEX(properties!A$1:CB$87,'Fórmula'!F73,57))+'Fórmula'!I73*(INDEX(properties!A$1:CB$87,'Fórmula'!H73,57))+'Fórmula'!K73*(INDEX(properties!A$1:CB$87,'Fórmula'!J73,57))</f>
        <v>283.11403</v>
      </c>
      <c r="GB73" s="104">
        <f t="array" ref="GB73">VARP(IF(INDEX(properties!A$1:CB$87,'Fórmula'!B73,57)&lt;&gt;"",INDEX(properties!A$1:CB$87,'Fórmula'!B73,57)),IF(INDEX(properties!A$1:CB$87,'Fórmula'!D73,57)&lt;&gt;"",INDEX(properties!A$1:CB$87,'Fórmula'!D73,57)),IF(INDEX(properties!A$1:CB$87,'Fórmula'!F73,57)&lt;&gt;"",INDEX(properties!A$1:CB$87,'Fórmula'!F73,57)),IF(INDEX(properties!A$1:CB$87,'Fórmula'!H73,57)&lt;&gt;"",INDEX(properties!A$1:CB$87,'Fórmula'!H73,57)),IF(INDEX(properties!A$1:CB$87,'Fórmula'!J73,57)&lt;&gt;"",INDEX(properties!A$1:CB$87,'Fórmula'!J73,57)))</f>
        <v>364.1724607</v>
      </c>
      <c r="GC73" s="104">
        <f t="array" ref="GC73">MAX(INDEX(properties!A$1:CB$87,'Fórmula'!B73,57),INDEX(properties!A$1:CB$87,'Fórmula'!D73,57),INDEX(properties!A$1:CB$87,'Fórmula'!F73,57),INDEX(properties!A$1:CB$87,'Fórmula'!H73,57),INDEX(properties!A$1:CB$87,'Fórmula'!J73,57))</f>
        <v>50.2</v>
      </c>
      <c r="GD73" s="104">
        <f t="array" ref="GD73">MIN(IF(INDEX(properties!A$1:CB$87,'Fórmula'!B73,57)=0,10^6,INDEX(properties!A$1:CB$87,'Fórmula'!B73,57)),IF(INDEX(properties!A$1:CB$87,'Fórmula'!D73,57)=0,10^6,INDEX(properties!A$1:CB$87,'Fórmula'!D73,57)),IF(INDEX(properties!A$1:CB$87,'Fórmula'!F73,57)=0,10^6,INDEX(properties!A$1:CB$87,'Fórmula'!F73,57)),IF(INDEX(properties!A$1:CB$87,'Fórmula'!H73,57)=0,10^6,INDEX(properties!A$1:CB$87,'Fórmula'!H73,57)),IF(INDEX(properties!A$1:CB$87,'Fórmula'!J73,57)=0,10^6,INDEX(properties!A$1:CB$87,'Fórmula'!J73,57)))</f>
        <v>0.22259</v>
      </c>
      <c r="GE73" s="104">
        <f t="shared" si="31"/>
        <v>49.97741</v>
      </c>
      <c r="GF73" s="105">
        <f t="array" ref="GF73">(('Fórmula'!C73)/('Fórmula'!C73+'Fórmula'!E73+'Fórmula'!G73+'Fórmula'!I73+'Fórmula'!K73))*(INDEX(properties!A$1:CB$87,'Fórmula'!B73,60))+(('Fórmula'!E73)/('Fórmula'!C73+'Fórmula'!E73+'Fórmula'!G73+'Fórmula'!I73+'Fórmula'!K73))*(INDEX(properties!A$1:CB$87,'Fórmula'!D73,60))+(('Fórmula'!G73)/('Fórmula'!C73+'Fórmula'!E73+'Fórmula'!G73+'Fórmula'!I73+'Fórmula'!K73))*(INDEX(properties!A$1:CB$87,'Fórmula'!F73,60))+(('Fórmula'!I73)/('Fórmula'!C73+'Fórmula'!E73+'Fórmula'!G73+'Fórmula'!I73+'Fórmula'!K73))*(INDEX(properties!A$1:CB$87,'Fórmula'!H73,60))+(('Fórmula'!K73)/('Fórmula'!C73+'Fórmula'!E73+'Fórmula'!G73+'Fórmula'!I73+'Fórmula'!K73))*(INDEX(properties!A$1:CB$87,'Fórmula'!J73,60))</f>
        <v>63.86739931</v>
      </c>
      <c r="GG73" s="105">
        <f t="array" ref="GG73">'Fórmula'!C73*(INDEX(properties!A$1:CB$87,'Fórmula'!B73,60))+'Fórmula'!E73*(INDEX(properties!A$1:CB$87,'Fórmula'!D73,60))+'Fórmula'!G73*(INDEX(properties!A$1:CB$87,'Fórmula'!F73,60))+'Fórmula'!I73*(INDEX(properties!A$1:CB$87,'Fórmula'!H73,60))+'Fórmula'!K73*(INDEX(properties!A$1:CB$87,'Fórmula'!J73,60))</f>
        <v>1852.15458</v>
      </c>
      <c r="GH73" s="105">
        <f t="array" ref="GH73">VARP(IF(INDEX(properties!A$1:CB$87,'Fórmula'!B73,60)&lt;&gt;"",INDEX(properties!A$1:CB$87,'Fórmula'!B73,60)),IF(INDEX(properties!A$1:CB$87,'Fórmula'!D73,60)&lt;&gt;"",INDEX(properties!A$1:CB$87,'Fórmula'!D73,60)),IF(INDEX(properties!A$1:CB$87,'Fórmula'!F73,60)&lt;&gt;"",INDEX(properties!A$1:CB$87,'Fórmula'!F73,60)),IF(INDEX(properties!A$1:CB$87,'Fórmula'!H73,60)&lt;&gt;"",INDEX(properties!A$1:CB$87,'Fórmula'!H73,60)),IF(INDEX(properties!A$1:CB$87,'Fórmula'!J73,60)&lt;&gt;"",INDEX(properties!A$1:CB$87,'Fórmula'!J73,60)))</f>
        <v>7950.004575</v>
      </c>
      <c r="GI73" s="105">
        <f t="array" ref="GI73">MAX(INDEX(properties!A$1:CB$87,'Fórmula'!B73,60),INDEX(properties!A$1:CB$87,'Fórmula'!D73,60),INDEX(properties!A$1:CB$87,'Fórmula'!F73,60),INDEX(properties!A$1:CB$87,'Fórmula'!H73,60),INDEX(properties!A$1:CB$87,'Fórmula'!J73,60))</f>
        <v>237</v>
      </c>
      <c r="GJ73" s="105">
        <f t="array" ref="GJ73">MIN(IF(INDEX(properties!A$1:CB$87,'Fórmula'!B73,60)=0,10^6,INDEX(properties!A$1:CB$87,'Fórmula'!B73,60)),IF(INDEX(properties!A$1:CB$87,'Fórmula'!D73,60)=0,10^6,INDEX(properties!A$1:CB$87,'Fórmula'!D73,60)),IF(INDEX(properties!A$1:CB$87,'Fórmula'!F73,60)=0,10^6,INDEX(properties!A$1:CB$87,'Fórmula'!F73,60)),IF(INDEX(properties!A$1:CB$87,'Fórmula'!H73,60)=0,10^6,INDEX(properties!A$1:CB$87,'Fórmula'!H73,60)),IF(INDEX(properties!A$1:CB$87,'Fórmula'!J73,60)=0,10^6,INDEX(properties!A$1:CB$87,'Fórmula'!J73,60)))</f>
        <v>0.02674</v>
      </c>
      <c r="GK73" s="105">
        <f t="shared" si="32"/>
        <v>236.97326</v>
      </c>
      <c r="GL73" s="106">
        <f t="array" ref="GL73">(('Fórmula'!C73)/('Fórmula'!C73+'Fórmula'!E73+'Fórmula'!G73+'Fórmula'!I73+'Fórmula'!K73))*(INDEX(properties!A$1:CB$87,'Fórmula'!B73,62))+(('Fórmula'!E73)/('Fórmula'!C73+'Fórmula'!E73+'Fórmula'!G73+'Fórmula'!I73+'Fórmula'!K73))*(INDEX(properties!A$1:CB$87,'Fórmula'!D73,62))+(('Fórmula'!G73)/('Fórmula'!C73+'Fórmula'!E73+'Fórmula'!G73+'Fórmula'!I73+'Fórmula'!K73))*(INDEX(properties!A$1:CB$87,'Fórmula'!F73,62))+(('Fórmula'!I73)/('Fórmula'!C73+'Fórmula'!E73+'Fórmula'!G73+'Fórmula'!I73+'Fórmula'!K73))*(INDEX(properties!A$1:CB$87,'Fórmula'!H73,62))+(('Fórmula'!K73)/('Fórmula'!C73+'Fórmula'!E73+'Fórmula'!G73+'Fórmula'!I73+'Fórmula'!K73))*(INDEX(properties!A$1:CB$87,'Fórmula'!J73,62))</f>
        <v>3.211724138</v>
      </c>
      <c r="GM73" s="106">
        <f t="array" ref="GM73">'Fórmula'!C73*(INDEX(properties!A$1:CB$87,'Fórmula'!B73,62))+'Fórmula'!E73*(INDEX(properties!A$1:CB$87,'Fórmula'!D73,62))+'Fórmula'!G73*(INDEX(properties!A$1:CB$87,'Fórmula'!F73,62))+'Fórmula'!I73*(INDEX(properties!A$1:CB$87,'Fórmula'!H73,62))+'Fórmula'!K73*(INDEX(properties!A$1:CB$87,'Fórmula'!J73,62))</f>
        <v>93.14</v>
      </c>
      <c r="GN73" s="106">
        <f t="array" ref="GN73">VARP(IF(INDEX(properties!A$1:CB$87,'Fórmula'!B73,62)&lt;&gt;"",INDEX(properties!A$1:CB$87,'Fórmula'!B73,62)),IF(INDEX(properties!A$1:CB$87,'Fórmula'!D73,62)&lt;&gt;"",INDEX(properties!A$1:CB$87,'Fórmula'!D73,62)),IF(INDEX(properties!A$1:CB$87,'Fórmula'!F73,62)&lt;&gt;"",INDEX(properties!A$1:CB$87,'Fórmula'!F73,62)),IF(INDEX(properties!A$1:CB$87,'Fórmula'!H73,62)&lt;&gt;"",INDEX(properties!A$1:CB$87,'Fórmula'!H73,62)),IF(INDEX(properties!A$1:CB$87,'Fórmula'!J73,62)&lt;&gt;"",INDEX(properties!A$1:CB$87,'Fórmula'!J73,62)))</f>
        <v>3.7178</v>
      </c>
      <c r="GO73" s="106">
        <f t="array" ref="GO73">MAX(INDEX(properties!A$1:CB$87,'Fórmula'!B73,62),INDEX(properties!A$1:CB$87,'Fórmula'!D73,62),INDEX(properties!A$1:CB$87,'Fórmula'!F73,62),INDEX(properties!A$1:CB$87,'Fórmula'!H73,62),INDEX(properties!A$1:CB$87,'Fórmula'!J73,62))</f>
        <v>5.81</v>
      </c>
      <c r="GP73" s="106">
        <f t="array" ref="GP73">MIN(IF(INDEX(properties!A$1:CB$87,'Fórmula'!B73,62)=0,10^6,INDEX(properties!A$1:CB$87,'Fórmula'!B73,62)),IF(INDEX(properties!A$1:CB$87,'Fórmula'!D73,62)=0,10^6,INDEX(properties!A$1:CB$87,'Fórmula'!D73,62)),IF(INDEX(properties!A$1:CB$87,'Fórmula'!F73,62)=0,10^6,INDEX(properties!A$1:CB$87,'Fórmula'!F73,62)),IF(INDEX(properties!A$1:CB$87,'Fórmula'!H73,62)=0,10^6,INDEX(properties!A$1:CB$87,'Fórmula'!H73,62)),IF(INDEX(properties!A$1:CB$87,'Fórmula'!J73,62)=0,10^6,INDEX(properties!A$1:CB$87,'Fórmula'!J73,62)))</f>
        <v>1.63</v>
      </c>
      <c r="GQ73" s="106">
        <f t="shared" si="33"/>
        <v>4.18</v>
      </c>
      <c r="GR73" s="106">
        <f>'Fórmula'!Q73</f>
        <v>87</v>
      </c>
      <c r="GS73" s="107">
        <f>'Fórmula'!P73</f>
        <v>2</v>
      </c>
      <c r="GT73" s="113">
        <f>'Fórmula'!O73</f>
        <v>2.71</v>
      </c>
      <c r="GU73" s="114">
        <f>AVERAGE('Fórmula'!R73/'Fórmula'!S73,'Fórmula'!S73/'Fórmula'!T73,'Fórmula'!T73/'Fórmula'!R73)</f>
        <v>1.136080367</v>
      </c>
      <c r="GV73" s="125">
        <f>'Fórmula'!U73</f>
        <v>625.49</v>
      </c>
      <c r="GW73" s="106">
        <f>'Fórmula'!N73</f>
        <v>0.02</v>
      </c>
    </row>
    <row r="74" ht="14.25" customHeight="1">
      <c r="A74" s="99" t="str">
        <f>'Fórmula'!A74</f>
        <v>CaWO4</v>
      </c>
      <c r="B74" s="101">
        <f t="array" ref="B74">(('Fórmula'!C74)/('Fórmula'!C74+'Fórmula'!E74+'Fórmula'!G74+'Fórmula'!I74+'Fórmula'!K74))*(INDEX(properties!A$1:CB$87,'Fórmula'!B74,3))+(('Fórmula'!E74)/('Fórmula'!C74+'Fórmula'!E74+'Fórmula'!G74+'Fórmula'!I74+'Fórmula'!K74))*(INDEX(properties!A$1:CB$87,'Fórmula'!D74,3))+(('Fórmula'!G74)/('Fórmula'!C74+'Fórmula'!E74+'Fórmula'!G74+'Fórmula'!I74+'Fórmula'!K74))*(INDEX(properties!A$1:CB$87,'Fórmula'!F74,3))+(('Fórmula'!I74)/('Fórmula'!C74+'Fórmula'!E74+'Fórmula'!G74+'Fórmula'!I74+'Fórmula'!K74))*(INDEX(properties!A$1:CB$87,'Fórmula'!H74,3))+(('Fórmula'!K74)/('Fórmula'!C74+'Fórmula'!E74+'Fórmula'!G74+'Fórmula'!I74+'Fórmula'!K74))*(INDEX(properties!A$1:CB$87,'Fórmula'!J74,3))</f>
        <v>47.98593333</v>
      </c>
      <c r="C74" s="101">
        <f t="array" ref="C74">'Fórmula'!C74*(INDEX(properties!A$1:CB$87,'Fórmula'!B74,3))+'Fórmula'!E74*(INDEX(properties!A$1:CB$87,'Fórmula'!D74,3))+'Fórmula'!G74*(INDEX(properties!A$1:CB$87,'Fórmula'!F74,3))+'Fórmula'!I74*(INDEX(properties!A$1:CB$87,'Fórmula'!H74,3))+'Fórmula'!K74*(INDEX(properties!A$1:CB$87,'Fórmula'!J74,3))</f>
        <v>287.9156</v>
      </c>
      <c r="D74" s="101">
        <f t="array" ref="D74">VARP(IF(INDEX(properties!A$1:CB$87,'Fórmula'!B74,3)&lt;&gt;"",INDEX(properties!A$1:CB$87,'Fórmula'!B74,3)),IF(INDEX(properties!A$1:CB$87,'Fórmula'!D74,3)&lt;&gt;"",INDEX(properties!A$1:CB$87,'Fórmula'!D74,3)),IF(INDEX(properties!A$1:CB$87,'Fórmula'!F74,3)&lt;&gt;"",INDEX(properties!A$1:CB$87,'Fórmula'!F74,3)),IF(INDEX(properties!A$1:CB$87,'Fórmula'!H74,3)&lt;&gt;"",INDEX(properties!A$1:CB$87,'Fórmula'!H74,3)),IF(INDEX(properties!A$1:CB$87,'Fórmula'!J74,3)&lt;&gt;"",INDEX(properties!A$1:CB$87,'Fórmula'!J74,3)))</f>
        <v>4829.460144</v>
      </c>
      <c r="E74" s="101">
        <f t="array" ref="E74">MAX(INDEX(properties!A$1:CB$87,'Fórmula'!B74,3),INDEX(properties!A$1:CB$87,'Fórmula'!D74,3),INDEX(properties!A$1:CB$87,'Fórmula'!F74,3),INDEX(properties!A$1:CB$87,'Fórmula'!H74,3),INDEX(properties!A$1:CB$87,'Fórmula'!J74,3))</f>
        <v>183.84</v>
      </c>
      <c r="F74" s="101">
        <f t="array" ref="F74">MIN(IF(INDEX(properties!A$1:CB$87,'Fórmula'!B74,3)=0,10^6,INDEX(properties!A$1:CB$87,'Fórmula'!B74,3)),IF(INDEX(properties!A$1:CB$87,'Fórmula'!D74,3)=0,10^6,INDEX(properties!A$1:CB$87,'Fórmula'!D74,3)),IF(INDEX(properties!A$1:CB$87,'Fórmula'!F74,3)=0,10^6,INDEX(properties!A$1:CB$87,'Fórmula'!F74,3)),IF(INDEX(properties!A$1:CB$87,'Fórmula'!H74,3)=0,10^6,INDEX(properties!A$1:CB$87,'Fórmula'!H74,3)),IF(INDEX(properties!A$1:CB$87,'Fórmula'!J74,3)=0,10^6,INDEX(properties!A$1:CB$87,'Fórmula'!J74,3)))</f>
        <v>15.9994</v>
      </c>
      <c r="G74" s="101">
        <f t="shared" si="1"/>
        <v>167.8406</v>
      </c>
      <c r="H74" s="102">
        <f t="array" ref="H74">(('Fórmula'!C74)/('Fórmula'!C74+'Fórmula'!E74+'Fórmula'!G74+'Fórmula'!I74+'Fórmula'!K74))*(INDEX(properties!A$1:CB$87,'Fórmula'!B74,4))+(('Fórmula'!E74)/('Fórmula'!C74+'Fórmula'!E74+'Fórmula'!G74+'Fórmula'!I74+'Fórmula'!K74))*(INDEX(properties!A$1:CB$87,'Fórmula'!D74,4))+(('Fórmula'!G74)/('Fórmula'!C74+'Fórmula'!E74+'Fórmula'!G74+'Fórmula'!I74+'Fórmula'!K74))*(INDEX(properties!A$1:CB$87,'Fórmula'!F74,4))+(('Fórmula'!I74)/('Fórmula'!C74+'Fórmula'!E74+'Fórmula'!G74+'Fórmula'!I74+'Fórmula'!K74))*(INDEX(properties!A$1:CB$87,'Fórmula'!H74,4))+(('Fórmula'!K74)/('Fórmula'!C74+'Fórmula'!E74+'Fórmula'!G74+'Fórmula'!I74+'Fórmula'!K74))*(INDEX(properties!A$1:CB$87,'Fórmula'!J74,4))</f>
        <v>21</v>
      </c>
      <c r="I74" s="102">
        <f t="array" ref="I74">'Fórmula'!C74*(INDEX(properties!A$1:CB$87,'Fórmula'!B74,4))+'Fórmula'!E74*(INDEX(properties!A$1:CB$87,'Fórmula'!D74,4))+'Fórmula'!G74*(INDEX(properties!A$1:CB$87,'Fórmula'!F74,4))+'Fórmula'!I74*(INDEX(properties!A$1:CB$87,'Fórmula'!H74,4))+'Fórmula'!K74*(INDEX(properties!A$1:CB$87,'Fórmula'!J74,4))</f>
        <v>126</v>
      </c>
      <c r="J74" s="102">
        <f t="array" ref="J74">VARP(IF(INDEX(properties!A$1:CB$87,'Fórmula'!B74,4)&lt;&gt;"",INDEX(properties!A$1:CB$87,'Fórmula'!B74,4)),IF(INDEX(properties!A$1:CB$87,'Fórmula'!D74,4)&lt;&gt;"",INDEX(properties!A$1:CB$87,'Fórmula'!D74,4)),IF(INDEX(properties!A$1:CB$87,'Fórmula'!F74,4)&lt;&gt;"",INDEX(properties!A$1:CB$87,'Fórmula'!F74,4)),IF(INDEX(properties!A$1:CB$87,'Fórmula'!H74,4)&lt;&gt;"",INDEX(properties!A$1:CB$87,'Fórmula'!H74,4)),IF(INDEX(properties!A$1:CB$87,'Fórmula'!J74,4)&lt;&gt;"",INDEX(properties!A$1:CB$87,'Fórmula'!J74,4)))</f>
        <v>771.84</v>
      </c>
      <c r="K74" s="102">
        <f t="array" ref="K74">MAX(INDEX(properties!A$1:CB$87,'Fórmula'!B74,4),INDEX(properties!A$1:CB$87,'Fórmula'!D74,4),INDEX(properties!A$1:CB$87,'Fórmula'!F74,4),INDEX(properties!A$1:CB$87,'Fórmula'!H74,4),INDEX(properties!A$1:CB$87,'Fórmula'!J74,4))</f>
        <v>74</v>
      </c>
      <c r="L74" s="102">
        <f t="array" ref="L74">MIN(IF(INDEX(properties!A$1:CB$87,'Fórmula'!B74,4)=0,10^6,INDEX(properties!A$1:CB$87,'Fórmula'!B74,4)),IF(INDEX(properties!A$1:CB$87,'Fórmula'!D74,4)=0,10^6,INDEX(properties!A$1:CB$87,'Fórmula'!D74,4)),IF(INDEX(properties!A$1:CB$87,'Fórmula'!F74,4)=0,10^6,INDEX(properties!A$1:CB$87,'Fórmula'!F74,4)),IF(INDEX(properties!A$1:CB$87,'Fórmula'!H74,4)=0,10^6,INDEX(properties!A$1:CB$87,'Fórmula'!H74,4)),IF(INDEX(properties!A$1:CB$87,'Fórmula'!J74,4)=0,10^6,INDEX(properties!A$1:CB$87,'Fórmula'!J74,4)))</f>
        <v>8</v>
      </c>
      <c r="M74" s="102">
        <f t="shared" si="2"/>
        <v>66</v>
      </c>
      <c r="N74" s="103">
        <f t="array" ref="N74">(('Fórmula'!C74)/('Fórmula'!C74+'Fórmula'!E74+'Fórmula'!G74+'Fórmula'!I74+'Fórmula'!K74))*(INDEX(properties!A$1:CB$87,'Fórmula'!B74,5))+(('Fórmula'!E74)/('Fórmula'!C74+'Fórmula'!E74+'Fórmula'!G74+'Fórmula'!I74+'Fórmula'!K74))*(INDEX(properties!A$1:CB$87,'Fórmula'!D74,5))+(('Fórmula'!G74)/('Fórmula'!C74+'Fórmula'!E74+'Fórmula'!G74+'Fórmula'!I74+'Fórmula'!K74))*(INDEX(properties!A$1:CB$87,'Fórmula'!F74,5))+(('Fórmula'!I74)/('Fórmula'!C74+'Fórmula'!E74+'Fórmula'!G74+'Fórmula'!I74+'Fórmula'!K74))*(INDEX(properties!A$1:CB$87,'Fórmula'!H74,5))+(('Fórmula'!K74)/('Fórmula'!C74+'Fórmula'!E74+'Fórmula'!G74+'Fórmula'!I74+'Fórmula'!K74))*(INDEX(properties!A$1:CB$87,'Fórmula'!J74,5))</f>
        <v>3</v>
      </c>
      <c r="O74" s="103">
        <f t="array" ref="O74">'Fórmula'!C74*(INDEX(properties!A$1:CB$87,'Fórmula'!B74,5))+'Fórmula'!E74*(INDEX(properties!A$1:CB$87,'Fórmula'!D74,5))+'Fórmula'!G74*(INDEX(properties!A$1:CB$87,'Fórmula'!F74,5))+'Fórmula'!I74*(INDEX(properties!A$1:CB$87,'Fórmula'!H74,5))+'Fórmula'!K74*(INDEX(properties!A$1:CB$87,'Fórmula'!J74,5))</f>
        <v>18</v>
      </c>
      <c r="P74" s="103">
        <f t="array" ref="P74">VARP(IF(INDEX(properties!A$1:CB$87,'Fórmula'!B74,5)&lt;&gt;"",INDEX(properties!A$1:CB$87,'Fórmula'!B74,5)),IF(INDEX(properties!A$1:CB$87,'Fórmula'!D74,5)&lt;&gt;"",INDEX(properties!A$1:CB$87,'Fórmula'!D74,5)),IF(INDEX(properties!A$1:CB$87,'Fórmula'!F74,5)&lt;&gt;"",INDEX(properties!A$1:CB$87,'Fórmula'!F74,5)),IF(INDEX(properties!A$1:CB$87,'Fórmula'!H74,5)&lt;&gt;"",INDEX(properties!A$1:CB$87,'Fórmula'!H74,5)),IF(INDEX(properties!A$1:CB$87,'Fórmula'!J74,5)&lt;&gt;"",INDEX(properties!A$1:CB$87,'Fórmula'!J74,5)))</f>
        <v>5.44</v>
      </c>
      <c r="Q74" s="103">
        <f t="array" ref="Q74">MAX(INDEX(properties!A$1:CB$87,'Fórmula'!B74,5),INDEX(properties!A$1:CB$87,'Fórmula'!D74,5),INDEX(properties!A$1:CB$87,'Fórmula'!F74,5),INDEX(properties!A$1:CB$87,'Fórmula'!H74,5),INDEX(properties!A$1:CB$87,'Fórmula'!J74,5))</f>
        <v>6</v>
      </c>
      <c r="R74" s="103">
        <f t="array" ref="R74">MIN(IF(INDEX(properties!A$1:CB$87,'Fórmula'!B74,5)=0,10^6,INDEX(properties!A$1:CB$87,'Fórmula'!B74,5)),IF(INDEX(properties!A$1:CB$87,'Fórmula'!D74,5)=0,10^6,INDEX(properties!A$1:CB$87,'Fórmula'!D74,5)),IF(INDEX(properties!A$1:CB$87,'Fórmula'!F74,5)=0,10^6,INDEX(properties!A$1:CB$87,'Fórmula'!F74,5)),IF(INDEX(properties!A$1:CB$87,'Fórmula'!H74,5)=0,10^6,INDEX(properties!A$1:CB$87,'Fórmula'!H74,5)),IF(INDEX(properties!A$1:CB$87,'Fórmula'!J74,5)=0,10^6,INDEX(properties!A$1:CB$87,'Fórmula'!J74,5)))</f>
        <v>2</v>
      </c>
      <c r="S74" s="103">
        <f t="shared" si="3"/>
        <v>4</v>
      </c>
      <c r="T74" s="104">
        <f t="array" ref="T74">(('Fórmula'!C74)/('Fórmula'!C74+'Fórmula'!E74+'Fórmula'!G74+'Fórmula'!I74+'Fórmula'!K74))*(INDEX(properties!A$1:CB$87,'Fórmula'!B74,6))+(('Fórmula'!E74)/('Fórmula'!C74+'Fórmula'!E74+'Fórmula'!G74+'Fórmula'!I74+'Fórmula'!K74))*(INDEX(properties!A$1:CB$87,'Fórmula'!D74,6))+(('Fórmula'!G74)/('Fórmula'!C74+'Fórmula'!E74+'Fórmula'!G74+'Fórmula'!I74+'Fórmula'!K74))*(INDEX(properties!A$1:CB$87,'Fórmula'!F74,6))+(('Fórmula'!I74)/('Fórmula'!C74+'Fórmula'!E74+'Fórmula'!G74+'Fórmula'!I74+'Fórmula'!K74))*(INDEX(properties!A$1:CB$87,'Fórmula'!H74,6))+(('Fórmula'!K74)/('Fórmula'!C74+'Fórmula'!E74+'Fórmula'!G74+'Fórmula'!I74+'Fórmula'!K74))*(INDEX(properties!A$1:CB$87,'Fórmula'!J74,6))</f>
        <v>12</v>
      </c>
      <c r="U74" s="104">
        <f t="array" ref="U74">'Fórmula'!C74*(INDEX(properties!A$1:CB$87,'Fórmula'!B74,6))+'Fórmula'!E74*(INDEX(properties!A$1:CB$87,'Fórmula'!D74,6))+'Fórmula'!G74*(INDEX(properties!A$1:CB$87,'Fórmula'!F74,6))+'Fórmula'!I74*(INDEX(properties!A$1:CB$87,'Fórmula'!H74,6))+'Fórmula'!K74*(INDEX(properties!A$1:CB$87,'Fórmula'!J74,6))</f>
        <v>72</v>
      </c>
      <c r="V74" s="103">
        <f t="array" ref="V74">VARP(IF(INDEX(properties!A$1:CB$87,'Fórmula'!B74,6)&lt;&gt;"",INDEX(properties!A$1:CB$87,'Fórmula'!B74,6)),IF(INDEX(properties!A$1:CB$87,'Fórmula'!D74,6)&lt;&gt;"",INDEX(properties!A$1:CB$87,'Fórmula'!D74,6)),IF(INDEX(properties!A$1:CB$87,'Fórmula'!F74,6)&lt;&gt;"",INDEX(properties!A$1:CB$87,'Fórmula'!F74,6)),IF(INDEX(properties!A$1:CB$87,'Fórmula'!H74,6)&lt;&gt;"",INDEX(properties!A$1:CB$87,'Fórmula'!H74,6)),IF(INDEX(properties!A$1:CB$87,'Fórmula'!J74,6)&lt;&gt;"",INDEX(properties!A$1:CB$87,'Fórmula'!J74,6)))</f>
        <v>36.16</v>
      </c>
      <c r="W74" s="104">
        <f t="array" ref="W74">MAX(INDEX(properties!A$1:CB$87,'Fórmula'!B74,6),INDEX(properties!A$1:CB$87,'Fórmula'!D74,6),INDEX(properties!A$1:CB$87,'Fórmula'!F74,6),INDEX(properties!A$1:CB$87,'Fórmula'!H74,4),INDEX(properties!A$1:CB$87,'Fórmula'!J74,6))</f>
        <v>16</v>
      </c>
      <c r="X74" s="104">
        <f t="array" ref="X74">MIN(IF(INDEX(properties!A$1:CB$87,'Fórmula'!B74,6)=0,10^6,INDEX(properties!A$1:CB$87,'Fórmula'!B74,6)),IF(INDEX(properties!A$1:CB$87,'Fórmula'!D74,6)=0,10^6,INDEX(properties!A$1:CB$87,'Fórmula'!D74,6)),IF(INDEX(properties!A$1:CB$87,'Fórmula'!F74,6)=0,10^6,INDEX(properties!A$1:CB$87,'Fórmula'!F74,6)),IF(INDEX(properties!A$1:CB$87,'Fórmula'!H74,6)=0,10^6,INDEX(properties!A$1:CB$87,'Fórmula'!H74,6)),IF(INDEX(properties!A$1:CB$87,'Fórmula'!J74,6)=0,10^6,INDEX(properties!A$1:CB$87,'Fórmula'!J74,6)))</f>
        <v>2</v>
      </c>
      <c r="Y74" s="104">
        <f t="shared" si="4"/>
        <v>14</v>
      </c>
      <c r="Z74" s="105">
        <f t="array" ref="Z74">(('Fórmula'!C74)/('Fórmula'!C74+'Fórmula'!E74+'Fórmula'!G74+'Fórmula'!I74+'Fórmula'!K74))*(INDEX(properties!A$1:CB$87,'Fórmula'!B74,9))+(('Fórmula'!E74)/('Fórmula'!C74+'Fórmula'!E74+'Fórmula'!G74+'Fórmula'!I74+'Fórmula'!K74))*(INDEX(properties!A$1:CB$87,'Fórmula'!D74,9))+(('Fórmula'!G74)/('Fórmula'!C74+'Fórmula'!E74+'Fórmula'!G74+'Fórmula'!I74+'Fórmula'!K74))*(INDEX(properties!A$1:CB$87,'Fórmula'!F74,9))+(('Fórmula'!I74)/('Fórmula'!C74+'Fórmula'!E74+'Fórmula'!G74+'Fórmula'!I74+'Fórmula'!K74))*(INDEX(properties!A$1:CB$87,'Fórmula'!H74,9))+(('Fórmula'!K74)/('Fórmula'!C74+'Fórmula'!E74+'Fórmula'!G74+'Fórmula'!I74+'Fórmula'!K74))*(INDEX(properties!A$1:CB$87,'Fórmula'!J74,9))</f>
        <v>67.66666667</v>
      </c>
      <c r="AA74" s="105">
        <f t="array" ref="AA74">'Fórmula'!C74*(INDEX(properties!A$1:CB$87,'Fórmula'!B74,9))+'Fórmula'!E74*(INDEX(properties!A$1:CB$87,'Fórmula'!D74,9))+'Fórmula'!G74*(INDEX(properties!A$1:CB$87,'Fórmula'!F74,9))+'Fórmula'!I74*(INDEX(properties!A$1:CB$87,'Fórmula'!H74,9))+'Fórmula'!K74*(INDEX(properties!A$1:CB$87,'Fórmula'!J74,9))</f>
        <v>406</v>
      </c>
      <c r="AB74" s="105">
        <f t="array" ref="AB74">VARP(IF(INDEX(properties!A$1:CB$87,'Fórmula'!B74,9)&lt;&gt;"",INDEX(properties!A$1:CB$87,'Fórmula'!B74,9)),IF(INDEX(properties!A$1:CB$87,'Fórmula'!D74,9)&lt;&gt;"",INDEX(properties!A$1:CB$87,'Fórmula'!D74,9)),IF(INDEX(properties!A$1:CB$87,'Fórmula'!F74,9)&lt;&gt;"",INDEX(properties!A$1:CB$87,'Fórmula'!F74,9)),IF(INDEX(properties!A$1:CB$87,'Fórmula'!H74,9)&lt;&gt;"",INDEX(properties!A$1:CB$87,'Fórmula'!H74,9)),IF(INDEX(properties!A$1:CB$87,'Fórmula'!J74,9)&lt;&gt;"",INDEX(properties!A$1:CB$87,'Fórmula'!J74,9)))</f>
        <v>1202.8</v>
      </c>
      <c r="AC74" s="105">
        <f t="array" ref="AC74">MAX(INDEX(properties!A$1:CB$87,'Fórmula'!B74,9),INDEX(properties!A$1:CB$87,'Fórmula'!D74,9),INDEX(properties!A$1:CB$87,'Fórmula'!F74,9),INDEX(properties!A$1:CB$87,'Fórmula'!H74,9),INDEX(properties!A$1:CB$87,'Fórmula'!J74,9))</f>
        <v>87</v>
      </c>
      <c r="AD74" s="105">
        <f t="array" ref="AD74">MIN(IF(INDEX(properties!A$1:CB$87,'Fórmula'!B74,9)=0,10^6,INDEX(properties!A$1:CB$87,'Fórmula'!B74,9)),IF(INDEX(properties!A$1:CB$87,'Fórmula'!D74,9)=0,10^6,INDEX(properties!A$1:CB$87,'Fórmula'!D74,9)),IF(INDEX(properties!A$1:CB$87,'Fórmula'!F74,9)=0,10^6,INDEX(properties!A$1:CB$87,'Fórmula'!F74,9)),IF(INDEX(properties!A$1:CB$87,'Fórmula'!H74,9)=0,10^6,INDEX(properties!A$1:CB$87,'Fórmula'!H74,9)),IF(INDEX(properties!A$1:CB$87,'Fórmula'!J74,9)=0,10^6,INDEX(properties!A$1:CB$87,'Fórmula'!J74,9)))</f>
        <v>7</v>
      </c>
      <c r="AE74" s="105">
        <f t="shared" si="5"/>
        <v>80</v>
      </c>
      <c r="AF74" s="106">
        <f t="array" ref="AF74">(('Fórmula'!C74)/('Fórmula'!C74+'Fórmula'!E74+'Fórmula'!G74+'Fórmula'!I74+'Fórmula'!K74))*(INDEX(properties!A$1:CB$87,'Fórmula'!B74,10))+(('Fórmula'!E74)/('Fórmula'!C74+'Fórmula'!E74+'Fórmula'!G74+'Fórmula'!I74+'Fórmula'!K74))*(INDEX(properties!A$1:CB$87,'Fórmula'!D74,10))+(('Fórmula'!G74)/('Fórmula'!C74+'Fórmula'!E74+'Fórmula'!G74+'Fórmula'!I74+'Fórmula'!K74))*(INDEX(properties!A$1:CB$87,'Fórmula'!F74,10))+(('Fórmula'!I74)/('Fórmula'!C74+'Fórmula'!E74+'Fórmula'!G74+'Fórmula'!I74+'Fórmula'!K74))*(INDEX(properties!A$1:CB$87,'Fórmula'!H74,10))+(('Fórmula'!K74)/('Fórmula'!C74+'Fórmula'!E74+'Fórmula'!G74+'Fórmula'!I74+'Fórmula'!K74))*(INDEX(properties!A$1:CB$87,'Fórmula'!J74,10))</f>
        <v>5.666666667</v>
      </c>
      <c r="AG74" s="106">
        <f t="array" ref="AG74">'Fórmula'!C74*(INDEX(properties!A$1:CB$87,'Fórmula'!B74,10))+'Fórmula'!E74*(INDEX(properties!A$1:CB$87,'Fórmula'!D74,10))+'Fórmula'!G74*(INDEX(properties!A$1:CB$87,'Fórmula'!F74,10))+'Fórmula'!I74*(INDEX(properties!A$1:CB$87,'Fórmula'!H74,10))+'Fórmula'!K74*(INDEX(properties!A$1:CB$87,'Fórmula'!J74,10))</f>
        <v>34</v>
      </c>
      <c r="AH74" s="106">
        <f t="array" ref="AH74">VARP(IF(INDEX(properties!A$1:CB$87,'Fórmula'!B74,10)&lt;&gt;"",INDEX(properties!A$1:CB$87,'Fórmula'!B74,10)),IF(INDEX(properties!A$1:CB$87,'Fórmula'!D74,10)&lt;&gt;"",INDEX(properties!A$1:CB$87,'Fórmula'!D74,10)),IF(INDEX(properties!A$1:CB$87,'Fórmula'!F74,10)&lt;&gt;"",INDEX(properties!A$1:CB$87,'Fórmula'!F74,10)),IF(INDEX(properties!A$1:CB$87,'Fórmula'!H74,10)&lt;&gt;"",INDEX(properties!A$1:CB$87,'Fórmula'!H74,10)),IF(INDEX(properties!A$1:CB$87,'Fórmula'!J74,10)&lt;&gt;"",INDEX(properties!A$1:CB$87,'Fórmula'!J74,10)))</f>
        <v>7.04</v>
      </c>
      <c r="AI74" s="106">
        <f t="array" ref="AI74">MAX(INDEX(properties!A$1:CB$87,'Fórmula'!B74,10),INDEX(properties!A$1:CB$87,'Fórmula'!D74,10),INDEX(properties!A$1:CB$87,'Fórmula'!F74,10),INDEX(properties!A$1:CB$87,'Fórmula'!H74,10),INDEX(properties!A$1:CB$87,'Fórmula'!J74,10))</f>
        <v>7</v>
      </c>
      <c r="AJ74" s="106">
        <f t="array" ref="AJ74">MIN(IF(INDEX(properties!A$1:CB$87,'Fórmula'!B74,10)=0,10^6,INDEX(properties!A$1:CB$87,'Fórmula'!B74,10)),IF(INDEX(properties!A$1:CB$87,'Fórmula'!D74,10)=0,10^6,INDEX(properties!A$1:CB$87,'Fórmula'!D74,10)),IF(INDEX(properties!A$1:CB$87,'Fórmula'!F74,10)=0,10^6,INDEX(properties!A$1:CB$87,'Fórmula'!F74,10)),IF(INDEX(properties!A$1:CB$87,'Fórmula'!H74,10)=0,10^6,INDEX(properties!A$1:CB$87,'Fórmula'!H74,10)),IF(INDEX(properties!A$1:CB$87,'Fórmula'!J74,10)=0,10^6,INDEX(properties!A$1:CB$87,'Fórmula'!J74,10)))</f>
        <v>2</v>
      </c>
      <c r="AK74" s="106">
        <f t="shared" si="6"/>
        <v>5</v>
      </c>
      <c r="AL74" s="107">
        <f t="array" ref="AL74">(('Fórmula'!C74)/('Fórmula'!C74+'Fórmula'!E74+'Fórmula'!G74+'Fórmula'!I74+'Fórmula'!K74))*(INDEX(properties!A$1:CB$87,'Fórmula'!B74,11))+(('Fórmula'!E74)/('Fórmula'!C74+'Fórmula'!E74+'Fórmula'!G74+'Fórmula'!I74+'Fórmula'!K74))*(INDEX(properties!A$1:CB$87,'Fórmula'!D74,11))+(('Fórmula'!G74)/('Fórmula'!C74+'Fórmula'!E74+'Fórmula'!G74+'Fórmula'!I74+'Fórmula'!K74))*(INDEX(properties!A$1:CB$87,'Fórmula'!F74,11))+(('Fórmula'!I74)/('Fórmula'!C74+'Fórmula'!E74+'Fórmula'!G74+'Fórmula'!I74+'Fórmula'!K74))*(INDEX(properties!A$1:CB$87,'Fórmula'!H74,11))+(('Fórmula'!K74)/('Fórmula'!C74+'Fórmula'!E74+'Fórmula'!G74+'Fórmula'!I74+'Fórmula'!K74))*(INDEX(properties!A$1:CB$87,'Fórmula'!J74,11))</f>
        <v>2</v>
      </c>
      <c r="AM74" s="107">
        <f t="array" ref="AM74">'Fórmula'!C74*(INDEX(properties!A$1:CB$87,'Fórmula'!B74,11))+'Fórmula'!E74*(INDEX(properties!A$1:CB$87,'Fórmula'!D74,11))+'Fórmula'!G74*(INDEX(properties!A$1:CB$87,'Fórmula'!F74,11))+'Fórmula'!I74*(INDEX(properties!A$1:CB$87,'Fórmula'!H74,11))+'Fórmula'!K74*(INDEX(properties!A$1:CB$87,'Fórmula'!J74,11))</f>
        <v>12</v>
      </c>
      <c r="AN74" s="107">
        <f t="array" ref="AN74">VARP(IF(INDEX(properties!A$1:CB$87,'Fórmula'!B74,11)&lt;&gt;"",INDEX(properties!A$1:CB$87,'Fórmula'!B74,11)),IF(INDEX(properties!A$1:CB$87,'Fórmula'!D74,11)&lt;&gt;"",INDEX(properties!A$1:CB$87,'Fórmula'!D74,11)),IF(INDEX(properties!A$1:CB$87,'Fórmula'!F74,11)&lt;&gt;"",INDEX(properties!A$1:CB$87,'Fórmula'!F74,11)),IF(INDEX(properties!A$1:CB$87,'Fórmula'!H74,11)&lt;&gt;"",INDEX(properties!A$1:CB$87,'Fórmula'!H74,11)),IF(INDEX(properties!A$1:CB$87,'Fórmula'!J74,11)&lt;&gt;"",INDEX(properties!A$1:CB$87,'Fórmula'!J74,11)))</f>
        <v>0.96</v>
      </c>
      <c r="AO74" s="107">
        <f t="array" ref="AO74">MAX(INDEX(properties!A$1:CB$87,'Fórmula'!B74,11),INDEX(properties!A$1:CB$87,'Fórmula'!D74,11),INDEX(properties!A$1:CB$87,'Fórmula'!F74,11),INDEX(properties!A$1:CB$87,'Fórmula'!H74,11),INDEX(properties!A$1:CB$87,'Fórmula'!J74,11))</f>
        <v>2</v>
      </c>
      <c r="AP74" s="107">
        <f t="array" ref="AP74">MIN(IF('Fórmula'!B74=87,10^6,INDEX(properties!A$1:CB$87,'Fórmula'!B74,11)),IF(('Fórmula'!D74)=87,10^6,INDEX(properties!A$1:CB$87,'Fórmula'!D74,11)),IF(('Fórmula'!F74)=87,10^6,INDEX(properties!A$1:CB$87,'Fórmula'!F74,11)),IF(('Fórmula'!H74)=87,10^6,INDEX(properties!A$1:CB$87,'Fórmula'!H74,11)),IF('Fórmula'!J74=87,10^6,INDEX(properties!A$1:CB$87,'Fórmula'!J74,11)))</f>
        <v>2</v>
      </c>
      <c r="AQ74" s="107">
        <f t="shared" si="7"/>
        <v>0</v>
      </c>
      <c r="AR74" s="108">
        <f t="array" ref="AR74">(('Fórmula'!C74)/('Fórmula'!C74+'Fórmula'!E74+'Fórmula'!G74+'Fórmula'!I74+'Fórmula'!K74))*(INDEX(properties!A$1:CB$87,'Fórmula'!B74,12))+(('Fórmula'!E74)/('Fórmula'!C74+'Fórmula'!E74+'Fórmula'!G74+'Fórmula'!I74+'Fórmula'!K74))*(INDEX(properties!A$1:CB$87,'Fórmula'!D74,12))+(('Fórmula'!G74)/('Fórmula'!C74+'Fórmula'!E74+'Fórmula'!G74+'Fórmula'!I74+'Fórmula'!K74))*(INDEX(properties!A$1:CB$87,'Fórmula'!F74,12))+(('Fórmula'!I74)/('Fórmula'!C74+'Fórmula'!E74+'Fórmula'!G74+'Fórmula'!I74+'Fórmula'!K74))*(INDEX(properties!A$1:CB$87,'Fórmula'!H74,12))+(('Fórmula'!K74)/('Fórmula'!C74+'Fórmula'!E74+'Fórmula'!G74+'Fórmula'!I74+'Fórmula'!K74))*(INDEX(properties!A$1:CB$87,'Fórmula'!J74,12))</f>
        <v>2.666666667</v>
      </c>
      <c r="AS74" s="108">
        <f t="array" ref="AS74">'Fórmula'!C74*(INDEX(properties!A$1:CB$87,'Fórmula'!B74,12))+'Fórmula'!E74*(INDEX(properties!A$1:CB$87,'Fórmula'!D74,12))+'Fórmula'!G74*(INDEX(properties!A$1:CB$87,'Fórmula'!F74,12))+'Fórmula'!I74*(INDEX(properties!A$1:CB$87,'Fórmula'!H74,12))+'Fórmula'!K74*(INDEX(properties!A$1:CB$87,'Fórmula'!J74,12))</f>
        <v>16</v>
      </c>
      <c r="AT74" s="108">
        <f t="array" ref="AT74">VARP(IF(INDEX(properties!A$1:CB$87,'Fórmula'!B74,12)&lt;&gt;"",INDEX(properties!A$1:CB$87,'Fórmula'!B74,12)),IF(INDEX(properties!A$1:CB$87,'Fórmula'!D74,12)&lt;&gt;"",INDEX(properties!A$1:CB$87,'Fórmula'!D74,12)),IF(INDEX(properties!A$1:CB$87,'Fórmula'!F74,12)&lt;&gt;"",INDEX(properties!A$1:CB$87,'Fórmula'!F74,12)),IF(INDEX(properties!A$1:CB$87,'Fórmula'!H74,12)&lt;&gt;"",INDEX(properties!A$1:CB$87,'Fórmula'!H74,12)),IF(INDEX(properties!A$1:CB$87,'Fórmula'!J74,12)&lt;&gt;"",INDEX(properties!A$1:CB$87,'Fórmula'!J74,12)))</f>
        <v>2.56</v>
      </c>
      <c r="AU74" s="108">
        <f t="array" ref="AU74">MAX(INDEX(properties!A$1:CB$87,'Fórmula'!B74,12),INDEX(properties!A$1:CB$87,'Fórmula'!D74,12),INDEX(properties!A$1:CB$87,'Fórmula'!F74,12),INDEX(properties!A$1:CB$87,'Fórmula'!H74,12),INDEX(properties!A$1:CB$87,'Fórmula'!J74,12))</f>
        <v>4</v>
      </c>
      <c r="AV74" s="108">
        <f t="array" ref="AV74">MIN(IF('Fórmula'!B74=87,10^6,INDEX(properties!A$1:CB$87,'Fórmula'!B74,12)),IF(('Fórmula'!D74)=87,10^6,INDEX(properties!A$1:CB$87,'Fórmula'!D74,12)),IF(('Fórmula'!F74)=87,10^6,INDEX(properties!A$1:CB$87,'Fórmula'!F74,12)),IF(('Fórmula'!H74)=87,10^6,INDEX(properties!A$1:CB$87,'Fórmula'!H74,12)),IF('Fórmula'!J74=87,10^6,INDEX(properties!A$1:CB$87,'Fórmula'!J74,12)))</f>
        <v>0</v>
      </c>
      <c r="AW74" s="108">
        <f t="shared" si="8"/>
        <v>4</v>
      </c>
      <c r="AX74" s="109">
        <f t="array" ref="AX74">(('Fórmula'!C74)/('Fórmula'!C74+'Fórmula'!E74+'Fórmula'!G74+'Fórmula'!I74+'Fórmula'!K74))*(INDEX(properties!A$1:CB$87,'Fórmula'!B74,13))+(('Fórmula'!E74)/('Fórmula'!C74+'Fórmula'!E74+'Fórmula'!G74+'Fórmula'!I74+'Fórmula'!K74))*(INDEX(properties!A$1:CB$87,'Fórmula'!D74,13))+(('Fórmula'!G74)/('Fórmula'!C74+'Fórmula'!E74+'Fórmula'!G74+'Fórmula'!I74+'Fórmula'!K74))*(INDEX(properties!A$1:CB$87,'Fórmula'!F74,13))+(('Fórmula'!I74)/('Fórmula'!C74+'Fórmula'!E74+'Fórmula'!G74+'Fórmula'!I74+'Fórmula'!K74))*(INDEX(properties!A$1:CB$87,'Fórmula'!H74,13))+(('Fórmula'!K74)/('Fórmula'!C74+'Fórmula'!E74+'Fórmula'!G74+'Fórmula'!I74+'Fórmula'!K74))*(INDEX(properties!A$1:CB$87,'Fórmula'!J74,13))</f>
        <v>0.6666666667</v>
      </c>
      <c r="AY74" s="109">
        <f t="array" ref="AY74">'Fórmula'!C74*(INDEX(properties!A$1:CB$87,'Fórmula'!B74,13))+'Fórmula'!E74*(INDEX(properties!A$1:CB$87,'Fórmula'!D74,13))+'Fórmula'!G74*(INDEX(properties!A$1:CB$87,'Fórmula'!F74,13))+'Fórmula'!I74*(INDEX(properties!A$1:CB$87,'Fórmula'!H74,13))+'Fórmula'!K74*(INDEX(properties!A$1:CB$87,'Fórmula'!J74,13))</f>
        <v>4</v>
      </c>
      <c r="AZ74" s="109">
        <f t="array" ref="AZ74">VARP(IF(INDEX(properties!A$1:CB$87,'Fórmula'!B74,13)&lt;&gt;"",INDEX(properties!A$1:CB$87,'Fórmula'!B74,13)),IF(INDEX(properties!A$1:CB$87,'Fórmula'!D74,13)&lt;&gt;"",INDEX(properties!A$1:CB$87,'Fórmula'!D74,13)),IF(INDEX(properties!A$1:CB$87,'Fórmula'!F74,13)&lt;&gt;"",INDEX(properties!A$1:CB$87,'Fórmula'!F74,13)),IF(INDEX(properties!A$1:CB$87,'Fórmula'!H74,13)&lt;&gt;"",INDEX(properties!A$1:CB$87,'Fórmula'!H74,13)),IF(INDEX(properties!A$1:CB$87,'Fórmula'!J74,13)&lt;&gt;"",INDEX(properties!A$1:CB$87,'Fórmula'!J74,13)))</f>
        <v>2.56</v>
      </c>
      <c r="BA74" s="109">
        <f t="array" ref="BA74">MAX(INDEX(properties!A$1:CB$87,'Fórmula'!B74,13),INDEX(properties!A$1:CB$87,'Fórmula'!D74,13),INDEX(properties!A$1:CB$87,'Fórmula'!F74,13),INDEX(properties!A$1:CB$87,'Fórmula'!H74,13),INDEX(properties!A$1:CB$87,'Fórmula'!J74,13))</f>
        <v>4</v>
      </c>
      <c r="BB74" s="109">
        <f t="array" ref="BB74">MIN(IF('Fórmula'!B74=87,10^6,INDEX(properties!A$1:CB$87,'Fórmula'!B74,13)),IF(('Fórmula'!D74)=87,10^6,INDEX(properties!A$1:CB$87,'Fórmula'!D74,13)),IF(('Fórmula'!F74)=87,10^6,INDEX(properties!A$1:CB$87,'Fórmula'!F74,13)),IF(('Fórmula'!H74)=87,10^6,INDEX(properties!A$1:CB$87,'Fórmula'!H74,13)),IF('Fórmula'!J74=87,10^6,INDEX(properties!A$1:CB$87,'Fórmula'!J74,13)))</f>
        <v>0</v>
      </c>
      <c r="BC74" s="109">
        <f t="shared" si="9"/>
        <v>4</v>
      </c>
      <c r="BD74" s="110">
        <f t="array" ref="BD74">(('Fórmula'!C74)/('Fórmula'!C74+'Fórmula'!E74+'Fórmula'!G74+'Fórmula'!I74+'Fórmula'!K74))*(INDEX(properties!A$1:CB$87,'Fórmula'!B74,14))+(('Fórmula'!E74)/('Fórmula'!C74+'Fórmula'!E74+'Fórmula'!G74+'Fórmula'!I74+'Fórmula'!K74))*(INDEX(properties!A$1:CB$87,'Fórmula'!D74,14))+(('Fórmula'!G74)/('Fórmula'!C74+'Fórmula'!E74+'Fórmula'!G74+'Fórmula'!I74+'Fórmula'!K74))*(INDEX(properties!A$1:CB$87,'Fórmula'!F74,14))+(('Fórmula'!I74)/('Fórmula'!C74+'Fórmula'!E74+'Fórmula'!G74+'Fórmula'!I74+'Fórmula'!K74))*(INDEX(properties!A$1:CB$87,'Fórmula'!H74,14))+(('Fórmula'!K74)/('Fórmula'!C74+'Fórmula'!E74+'Fórmula'!G74+'Fórmula'!I74+'Fórmula'!K74))*(INDEX(properties!A$1:CB$87,'Fórmula'!J74,14))</f>
        <v>2.333333333</v>
      </c>
      <c r="BE74" s="110">
        <f t="array" ref="BE74">'Fórmula'!C74*(INDEX(properties!A$1:CB$87,'Fórmula'!B74,14))+'Fórmula'!E74*(INDEX(properties!A$1:CB$87,'Fórmula'!D74,14))+'Fórmula'!G74*(INDEX(properties!A$1:CB$87,'Fórmula'!F74,14))+'Fórmula'!I74*(INDEX(properties!A$1:CB$87,'Fórmula'!H74,14))+'Fórmula'!K74*(INDEX(properties!A$1:CB$87,'Fórmula'!J74,14))</f>
        <v>14</v>
      </c>
      <c r="BF74" s="110">
        <f t="array" ref="BF74">VARP(IF(INDEX(properties!A$1:CB$87,'Fórmula'!B74,14)&lt;&gt;"",INDEX(properties!A$1:CB$87,'Fórmula'!B74,14)),IF(INDEX(properties!A$1:CB$87,'Fórmula'!D74,14)&lt;&gt;"",INDEX(properties!A$1:CB$87,'Fórmula'!D74,14)),IF(INDEX(properties!A$1:CB$87,'Fórmula'!F74,14)&lt;&gt;"",INDEX(properties!A$1:CB$87,'Fórmula'!F74,14)),IF(INDEX(properties!A$1:CB$87,'Fórmula'!H74,14)&lt;&gt;"",INDEX(properties!A$1:CB$87,'Fórmula'!H74,14)),IF(INDEX(properties!A$1:CB$87,'Fórmula'!J74,14)&lt;&gt;"",INDEX(properties!A$1:CB$87,'Fórmula'!J74,14)))</f>
        <v>31.36</v>
      </c>
      <c r="BG74" s="110">
        <f t="array" ref="BG74">MAX(INDEX(properties!A$1:CB$87,'Fórmula'!B74,14),INDEX(properties!A$1:CB$87,'Fórmula'!D74,14),INDEX(properties!A$1:CB$87,'Fórmula'!F74,14),INDEX(properties!A$1:CB$87,'Fórmula'!H74,14),INDEX(properties!A$1:CB$87,'Fórmula'!J74,14))</f>
        <v>14</v>
      </c>
      <c r="BH74" s="110">
        <f t="array" ref="BH74">MIN(IF('Fórmula'!B74=87,10^6,INDEX(properties!A$1:CB$87,'Fórmula'!B74,14)),IF(('Fórmula'!D74)=87,10^6,INDEX(properties!A$1:CB$87,'Fórmula'!D74,14)),IF(('Fórmula'!F74)=87,10^6,INDEX(properties!A$1:CB$87,'Fórmula'!F74,14)),IF(('Fórmula'!H74)=87,10^6,INDEX(properties!A$1:CB$87,'Fórmula'!H74,14)),IF('Fórmula'!J74=87,10^6,INDEX(properties!A$1:CB$87,'Fórmula'!J74,14)))</f>
        <v>0</v>
      </c>
      <c r="BI74" s="110">
        <f t="shared" si="10"/>
        <v>14</v>
      </c>
      <c r="BJ74" s="111">
        <f t="array" ref="BJ74">(('Fórmula'!C74)/('Fórmula'!C74+'Fórmula'!E74+'Fórmula'!G74+'Fórmula'!I74+'Fórmula'!K74))*(INDEX(properties!A$1:CB$87,'Fórmula'!B74,19))+(('Fórmula'!E74)/('Fórmula'!C74+'Fórmula'!E74+'Fórmula'!G74+'Fórmula'!I74+'Fórmula'!K74))*(INDEX(properties!A$1:CB$87,'Fórmula'!D74,19))+(('Fórmula'!G74)/('Fórmula'!C74+'Fórmula'!E74+'Fórmula'!G74+'Fórmula'!I74+'Fórmula'!K74))*(INDEX(properties!A$1:CB$87,'Fórmula'!F74,19))+(('Fórmula'!I74)/('Fórmula'!C74+'Fórmula'!E74+'Fórmula'!G74+'Fórmula'!I74+'Fórmula'!K74))*(INDEX(properties!A$1:CB$87,'Fórmula'!H74,19))+(('Fórmula'!K74)/('Fórmula'!C74+'Fórmula'!E74+'Fórmula'!G74+'Fórmula'!I74+'Fórmula'!K74))*(INDEX(properties!A$1:CB$87,'Fórmula'!J74,19))</f>
        <v>7.666666667</v>
      </c>
      <c r="BK74" s="111">
        <f t="array" ref="BK74">'Fórmula'!C74*(INDEX(properties!A$1:CB$87,'Fórmula'!B74,19))+'Fórmula'!E74*(INDEX(properties!A$1:CB$87,'Fórmula'!D74,19))+'Fórmula'!G74*(INDEX(properties!A$1:CB$87,'Fórmula'!F74,19))+'Fórmula'!I74*(INDEX(properties!A$1:CB$87,'Fórmula'!H74,19))+'Fórmula'!K74*(INDEX(properties!A$1:CB$87,'Fórmula'!J74,19))</f>
        <v>46</v>
      </c>
      <c r="BL74" s="111">
        <f t="array" ref="BL74">VARP(IF(INDEX(properties!A$1:CB$87,'Fórmula'!B74,19)&lt;&gt;"",INDEX(properties!A$1:CB$87,'Fórmula'!B74,19)),IF(INDEX(properties!A$1:CB$87,'Fórmula'!D74,19)&lt;&gt;"",INDEX(properties!A$1:CB$87,'Fórmula'!D74,19)),IF(INDEX(properties!A$1:CB$87,'Fórmula'!F74,19)&lt;&gt;"",INDEX(properties!A$1:CB$87,'Fórmula'!F74,19)),IF(INDEX(properties!A$1:CB$87,'Fórmula'!H74,19)&lt;&gt;"",INDEX(properties!A$1:CB$87,'Fórmula'!H74,19)),IF(INDEX(properties!A$1:CB$87,'Fórmula'!J74,19)&lt;&gt;"",INDEX(properties!A$1:CB$87,'Fórmula'!J74,19)))</f>
        <v>56.64</v>
      </c>
      <c r="BM74" s="111">
        <f t="array" ref="BM74">MAX(INDEX(properties!A$1:CB$87,'Fórmula'!B74,19),INDEX(properties!A$1:CB$87,'Fórmula'!D74,19),INDEX(properties!A$1:CB$87,'Fórmula'!F74,19),INDEX(properties!A$1:CB$87,'Fórmula'!H74,19),INDEX(properties!A$1:CB$87,'Fórmula'!J74,19))</f>
        <v>20</v>
      </c>
      <c r="BN74" s="111">
        <f t="array" ref="BN74">MIN(IF(INDEX(properties!A$1:CB$87,'Fórmula'!B74,19)=0,10^6,INDEX(properties!A$1:CB$87,'Fórmula'!B74,19)),IF(INDEX(properties!A$1:CB$87,'Fórmula'!D74,19)=0,10^6,INDEX(properties!A$1:CB$87,'Fórmula'!D74,19)),IF(INDEX(properties!A$1:CB$87,'Fórmula'!F74,19)=0,10^6,INDEX(properties!A$1:CB$87,'Fórmula'!F74,19)),IF(INDEX(properties!A$1:CB$87,'Fórmula'!H74,19)=0,10^6,INDEX(properties!A$1:CB$87,'Fórmula'!H74,19)),IF(INDEX(properties!A$1:CB$87,'Fórmula'!J74,19)=0,10^6,INDEX(properties!A$1:CB$87,'Fórmula'!J74,19)))</f>
        <v>2</v>
      </c>
      <c r="BO74" s="111">
        <f t="shared" si="11"/>
        <v>18</v>
      </c>
      <c r="BP74" s="112">
        <f t="array" ref="BP74">(('Fórmula'!C74)/('Fórmula'!C74+'Fórmula'!E74+'Fórmula'!G74+'Fórmula'!I74+'Fórmula'!K74))*(INDEX(properties!A$1:CB$87,'Fórmula'!B74,20))+(('Fórmula'!E74)/('Fórmula'!C74+'Fórmula'!E74+'Fórmula'!G74+'Fórmula'!I74+'Fórmula'!K74))*(INDEX(properties!A$1:CB$87,'Fórmula'!D74,20))+(('Fórmula'!G74)/('Fórmula'!C74+'Fórmula'!E74+'Fórmula'!G74+'Fórmula'!I74+'Fórmula'!K74))*(INDEX(properties!A$1:CB$87,'Fórmula'!F74,20))+(('Fórmula'!I74)/('Fórmula'!C74+'Fórmula'!E74+'Fórmula'!G74+'Fórmula'!I74+'Fórmula'!K74))*(INDEX(properties!A$1:CB$87,'Fórmula'!H74,20))+(('Fórmula'!K74)/('Fórmula'!C74+'Fórmula'!E74+'Fórmula'!G74+'Fórmula'!I74+'Fórmula'!K74))*(INDEX(properties!A$1:CB$87,'Fórmula'!J74,20))</f>
        <v>4.666666667</v>
      </c>
      <c r="BQ74" s="112">
        <f t="array" ref="BQ74">'Fórmula'!C74*(INDEX(properties!A$1:CB$87,'Fórmula'!B74,20))+'Fórmula'!E74*(INDEX(properties!A$1:CB$87,'Fórmula'!D74,20))+'Fórmula'!G74*(INDEX(properties!A$1:CB$87,'Fórmula'!F74,20))+'Fórmula'!I74*(INDEX(properties!A$1:CB$87,'Fórmula'!H74,20))+'Fórmula'!K74*(INDEX(properties!A$1:CB$87,'Fórmula'!J74,20))</f>
        <v>28</v>
      </c>
      <c r="BR74" s="112">
        <f t="array" ref="BR74">VARP(IF(INDEX(properties!A$1:CB$87,'Fórmula'!B74,20)&lt;&gt;"",INDEX(properties!A$1:CB$87,'Fórmula'!B74,20)),IF(INDEX(properties!A$1:CB$87,'Fórmula'!D74,20)&lt;&gt;"",INDEX(properties!A$1:CB$87,'Fórmula'!D74,20)),IF(INDEX(properties!A$1:CB$87,'Fórmula'!F74,20)&lt;&gt;"",INDEX(properties!A$1:CB$87,'Fórmula'!F74,20)),IF(INDEX(properties!A$1:CB$87,'Fórmula'!H74,20)&lt;&gt;"",INDEX(properties!A$1:CB$87,'Fórmula'!H74,20)),IF(INDEX(properties!A$1:CB$87,'Fórmula'!J74,20)&lt;&gt;"",INDEX(properties!A$1:CB$87,'Fórmula'!J74,20)))</f>
        <v>4.8</v>
      </c>
      <c r="BS74" s="112">
        <f t="array" ref="BS74">MAX(INDEX(properties!A$1:CB$87,'Fórmula'!B74,20),INDEX(properties!A$1:CB$87,'Fórmula'!D74,20),INDEX(properties!A$1:CB$87,'Fórmula'!F74,20),INDEX(properties!A$1:CB$87,'Fórmula'!H74,20),INDEX(properties!A$1:CB$87,'Fórmula'!J74,20))</f>
        <v>6</v>
      </c>
      <c r="BT74" s="112">
        <f t="array" ref="BT74">MIN(IF(INDEX(properties!A$1:CB$87,'Fórmula'!B74,20)=0,10^6,INDEX(properties!A$1:CB$87,'Fórmula'!B74,20)),IF(INDEX(properties!A$1:CB$87,'Fórmula'!D74,20)=0,10^6,INDEX(properties!A$1:CB$87,'Fórmula'!D74,20)),IF(INDEX(properties!A$1:CB$87,'Fórmula'!F74,20)=0,10^6,INDEX(properties!A$1:CB$87,'Fórmula'!F74,20)),IF(INDEX(properties!A$1:CB$87,'Fórmula'!H74,20)=0,10^6,INDEX(properties!A$1:CB$87,'Fórmula'!H74,20)),IF(INDEX(properties!A$1:CB$87,'Fórmula'!J74,20)=0,10^6,INDEX(properties!A$1:CB$87,'Fórmula'!J74,20)))</f>
        <v>2</v>
      </c>
      <c r="BU74" s="112">
        <f t="shared" si="12"/>
        <v>4</v>
      </c>
      <c r="BV74" s="113">
        <f t="array" ref="BV74">(('Fórmula'!C74)/('Fórmula'!C74+'Fórmula'!E74+'Fórmula'!G74+'Fórmula'!I74+'Fórmula'!K74))*(INDEX(properties!A$1:CB$87,'Fórmula'!B74,21))+(('Fórmula'!E74)/('Fórmula'!C74+'Fórmula'!E74+'Fórmula'!G74+'Fórmula'!I74+'Fórmula'!K74))*(INDEX(properties!A$1:CB$87,'Fórmula'!D74,21))+(('Fórmula'!G74)/('Fórmula'!C74+'Fórmula'!E74+'Fórmula'!G74+'Fórmula'!I74+'Fórmula'!K74))*(INDEX(properties!A$1:CB$87,'Fórmula'!F74,21))+(('Fórmula'!I74)/('Fórmula'!C74+'Fórmula'!E74+'Fórmula'!G74+'Fórmula'!I74+'Fórmula'!K74))*(INDEX(properties!A$1:CB$87,'Fórmula'!H74,21))+(('Fórmula'!K74)/('Fórmula'!C74+'Fórmula'!E74+'Fórmula'!G74+'Fórmula'!I74+'Fórmula'!K74))*(INDEX(properties!A$1:CB$87,'Fórmula'!J74,21))</f>
        <v>5</v>
      </c>
      <c r="BW74" s="113">
        <f t="array" ref="BW74">'Fórmula'!C74*(INDEX(properties!A$1:CB$87,'Fórmula'!B74,21))+'Fórmula'!E74*(INDEX(properties!A$1:CB$87,'Fórmula'!D74,21))+'Fórmula'!G74*(INDEX(properties!A$1:CB$87,'Fórmula'!F74,21))+'Fórmula'!I74*(INDEX(properties!A$1:CB$87,'Fórmula'!H74,21))+'Fórmula'!K74*(INDEX(properties!A$1:CB$87,'Fórmula'!J74,21))</f>
        <v>30</v>
      </c>
      <c r="BX74" s="113">
        <f t="array" ref="BX74">VARP(IF(INDEX(properties!A$1:CB$87,'Fórmula'!B74,21)&lt;&gt;"",INDEX(properties!A$1:CB$87,'Fórmula'!B74,21)),IF(INDEX(properties!A$1:CB$87,'Fórmula'!D74,21)&lt;&gt;"",INDEX(properties!A$1:CB$87,'Fórmula'!D74,21)),IF(INDEX(properties!A$1:CB$87,'Fórmula'!F74,21)&lt;&gt;"",INDEX(properties!A$1:CB$87,'Fórmula'!F74,21)),IF(INDEX(properties!A$1:CB$87,'Fórmula'!H74,21)&lt;&gt;"",INDEX(properties!A$1:CB$87,'Fórmula'!H74,21)),IF(INDEX(properties!A$1:CB$87,'Fórmula'!J74,21)&lt;&gt;"",INDEX(properties!A$1:CB$87,'Fórmula'!J74,21)))</f>
        <v>5.44</v>
      </c>
      <c r="BY74" s="113">
        <f t="array" ref="BY74">MAX(INDEX(properties!A$1:CB$87,'Fórmula'!B74,21),INDEX(properties!A$1:CB$87,'Fórmula'!D74,21),INDEX(properties!A$1:CB$87,'Fórmula'!F74,21),INDEX(properties!A$1:CB$87,'Fórmula'!H74,21),INDEX(properties!A$1:CB$87,'Fórmula'!J74,21))</f>
        <v>6</v>
      </c>
      <c r="BZ74" s="113">
        <f t="array" ref="BZ74">MIN(IF(INDEX(properties!A$1:CB$87,'Fórmula'!B74,21)=0,10^6,INDEX(properties!A$1:CB$87,'Fórmula'!B74,21)),IF(INDEX(properties!A$1:CB$87,'Fórmula'!D74,21)=0,10^6,INDEX(properties!A$1:CB$87,'Fórmula'!D74,21)),IF(INDEX(properties!A$1:CB$87,'Fórmula'!F74,21)=0,10^6,INDEX(properties!A$1:CB$87,'Fórmula'!F74,21)),IF(INDEX(properties!A$1:CB$87,'Fórmula'!H74,21)=0,10^6,INDEX(properties!A$1:CB$87,'Fórmula'!H74,21)),IF(INDEX(properties!A$1:CB$87,'Fórmula'!J74,21)=0,10^6,INDEX(properties!A$1:CB$87,'Fórmula'!J74,21)))</f>
        <v>2</v>
      </c>
      <c r="CA74" s="113">
        <f t="shared" si="13"/>
        <v>4</v>
      </c>
      <c r="CB74" s="114">
        <f t="array" ref="CB74">(('Fórmula'!C74)/('Fórmula'!C74+'Fórmula'!E74+'Fórmula'!G74+'Fórmula'!I74+'Fórmula'!K74))*(INDEX(properties!A$1:CB$87,'Fórmula'!B74,23))+(('Fórmula'!E74)/('Fórmula'!C74+'Fórmula'!E74+'Fórmula'!G74+'Fórmula'!I74+'Fórmula'!K74))*(INDEX(properties!A$1:CB$87,'Fórmula'!D74,23))+(('Fórmula'!G74)/('Fórmula'!C74+'Fórmula'!E74+'Fórmula'!G74+'Fórmula'!I74+'Fórmula'!K74))*(INDEX(properties!A$1:CB$87,'Fórmula'!F74,23))+(('Fórmula'!I74)/('Fórmula'!C74+'Fórmula'!E74+'Fórmula'!G74+'Fórmula'!I74+'Fórmula'!K74))*(INDEX(properties!A$1:CB$87,'Fórmula'!H74,23))+(('Fórmula'!K74)/('Fórmula'!C74+'Fórmula'!E74+'Fórmula'!G74+'Fórmula'!I74+'Fórmula'!K74))*(INDEX(properties!A$1:CB$87,'Fórmula'!J74,23))</f>
        <v>1.296666667</v>
      </c>
      <c r="CC74" s="114">
        <f t="array" ref="CC74">'Fórmula'!C74*(INDEX(properties!A$1:CB$87,'Fórmula'!B74,23))+'Fórmula'!E74*(INDEX(properties!A$1:CB$87,'Fórmula'!D74,23))+'Fórmula'!G74*(INDEX(properties!A$1:CB$87,'Fórmula'!F74,23))+'Fórmula'!I74*(INDEX(properties!A$1:CB$87,'Fórmula'!H74,23))+'Fórmula'!K74*(INDEX(properties!A$1:CB$87,'Fórmula'!J74,23))</f>
        <v>7.78</v>
      </c>
      <c r="CD74" s="114">
        <f t="array" ref="CD74">VARP(IF(INDEX(properties!A$1:CB$87,'Fórmula'!B74,23)&lt;&gt;"",INDEX(properties!A$1:CB$87,'Fórmula'!B74,23)),IF(INDEX(properties!A$1:CB$87,'Fórmula'!D74,23)&lt;&gt;"",INDEX(properties!A$1:CB$87,'Fórmula'!D74,23)),IF(INDEX(properties!A$1:CB$87,'Fórmula'!F74,23)&lt;&gt;"",INDEX(properties!A$1:CB$87,'Fórmula'!F74,23)),IF(INDEX(properties!A$1:CB$87,'Fórmula'!H74,23)&lt;&gt;"",INDEX(properties!A$1:CB$87,'Fórmula'!H74,23)),IF(INDEX(properties!A$1:CB$87,'Fórmula'!J74,23)&lt;&gt;"",INDEX(properties!A$1:CB$87,'Fórmula'!J74,23)))</f>
        <v>5.060544</v>
      </c>
      <c r="CE74" s="114">
        <f t="array" ref="CE74">MAX(INDEX(properties!A$1:CB$87,'Fórmula'!B74,23),INDEX(properties!A$1:CB$87,'Fórmula'!D74,23),INDEX(properties!A$1:CB$87,'Fórmula'!F74,23),INDEX(properties!A$1:CB$87,'Fórmula'!H74,23),INDEX(properties!A$1:CB$87,'Fórmula'!J74,23))</f>
        <v>5.78</v>
      </c>
      <c r="CF74" s="114">
        <f t="array" ref="CF74">MIN(IF('Fórmula'!B74=87,10^6,INDEX(properties!A$1:CB$87,'Fórmula'!B74,23)),IF(('Fórmula'!D74)=87,10^6,INDEX(properties!A$1:CB$87,'Fórmula'!D74,23)),IF(('Fórmula'!F74)=87,10^6,INDEX(properties!A$1:CB$87,'Fórmula'!F74,23)),IF(('Fórmula'!H74)=87,10^6,INDEX(properties!A$1:CB$87,'Fórmula'!H74,23)),IF('Fórmula'!J74=87,10^6,INDEX(properties!A$1:CB$87,'Fórmula'!J74,23)))</f>
        <v>0</v>
      </c>
      <c r="CG74" s="114">
        <f t="shared" si="14"/>
        <v>5.78</v>
      </c>
      <c r="CH74" s="115">
        <f t="array" ref="CH74">(('Fórmula'!C74)/('Fórmula'!C74+'Fórmula'!E74+'Fórmula'!G74+'Fórmula'!I74+'Fórmula'!K74))*(INDEX(properties!A$1:CB$87,'Fórmula'!B74,26))+(('Fórmula'!E74)/('Fórmula'!C74+'Fórmula'!E74+'Fórmula'!G74+'Fórmula'!I74+'Fórmula'!K74))*(INDEX(properties!A$1:CB$87,'Fórmula'!D74,26))+(('Fórmula'!G74)/('Fórmula'!C74+'Fórmula'!E74+'Fórmula'!G74+'Fórmula'!I74+'Fórmula'!K74))*(INDEX(properties!A$1:CB$87,'Fórmula'!F74,26))+(('Fórmula'!I74)/('Fórmula'!C74+'Fórmula'!E74+'Fórmula'!G74+'Fórmula'!I74+'Fórmula'!K74))*(INDEX(properties!A$1:CB$87,'Fórmula'!H74,26))+(('Fórmula'!K74)/('Fórmula'!C74+'Fórmula'!E74+'Fórmula'!G74+'Fórmula'!I74+'Fórmula'!K74))*(INDEX(properties!A$1:CB$87,'Fórmula'!J74,26))</f>
        <v>11.40826667</v>
      </c>
      <c r="CI74" s="115">
        <f t="array" ref="CI74">'Fórmula'!C74*(INDEX(properties!A$1:CB$87,'Fórmula'!B74,26))+'Fórmula'!E74*(INDEX(properties!A$1:CB$87,'Fórmula'!D74,26))+'Fórmula'!G74*(INDEX(properties!A$1:CB$87,'Fórmula'!F74,26))+'Fórmula'!I74*(INDEX(properties!A$1:CB$87,'Fórmula'!H74,26))+'Fórmula'!K74*(INDEX(properties!A$1:CB$87,'Fórmula'!J74,26))</f>
        <v>68.4496</v>
      </c>
      <c r="CJ74" s="115">
        <f t="array" ref="CJ74">VARP(IF(INDEX(properties!A$1:CB$87,'Fórmula'!B74,26)&lt;&gt;"",INDEX(properties!A$1:CB$87,'Fórmula'!B74,26)),IF(INDEX(properties!A$1:CB$87,'Fórmula'!D74,26)&lt;&gt;"",INDEX(properties!A$1:CB$87,'Fórmula'!D74,26)),IF(INDEX(properties!A$1:CB$87,'Fórmula'!F74,26)&lt;&gt;"",INDEX(properties!A$1:CB$87,'Fórmula'!F74,26)),IF(INDEX(properties!A$1:CB$87,'Fórmula'!H74,26)&lt;&gt;"",INDEX(properties!A$1:CB$87,'Fórmula'!H74,26)),IF(INDEX(properties!A$1:CB$87,'Fórmula'!J74,26)&lt;&gt;"",INDEX(properties!A$1:CB$87,'Fórmula'!J74,26)))</f>
        <v>26.47324829</v>
      </c>
      <c r="CK74" s="116">
        <f t="array" ref="CK74">MAX(INDEX(properties!A$1:CB$87,'Fórmula'!B74,26),INDEX(properties!A$1:CB$87,'Fórmula'!D74,26),INDEX(properties!A$1:CB$87,'Fórmula'!F74,26),INDEX(properties!A$1:CB$87,'Fórmula'!H74,26),INDEX(properties!A$1:CB$87,'Fórmula'!J74,26))</f>
        <v>13.6181</v>
      </c>
      <c r="CL74" s="116">
        <f t="array" ref="CL74">MIN(IF(INDEX(properties!A$1:CB$87,'Fórmula'!B74,26)=0,10^6,INDEX(properties!A$1:CB$87,'Fórmula'!B74,26)),IF(INDEX(properties!A$1:CB$87,'Fórmula'!D74,26)=0,10^6,INDEX(properties!A$1:CB$87,'Fórmula'!D74,26)),IF(INDEX(properties!A$1:CB$87,'Fórmula'!F74,26)=0,10^6,INDEX(properties!A$1:CB$87,'Fórmula'!F74,26)),IF(INDEX(properties!A$1:CB$87,'Fórmula'!H74,26)=0,10^6,INDEX(properties!A$1:CB$87,'Fórmula'!H74,26)),IF(INDEX(properties!A$1:CB$87,'Fórmula'!J74,26)=0,10^6,INDEX(properties!A$1:CB$87,'Fórmula'!J74,26)))</f>
        <v>6.1132</v>
      </c>
      <c r="CM74" s="115">
        <f t="shared" si="15"/>
        <v>7.5049</v>
      </c>
      <c r="CN74" s="117">
        <f t="array" ref="CN74">(('Fórmula'!C74)/('Fórmula'!C74+'Fórmula'!E74+'Fórmula'!G74+'Fórmula'!I74+'Fórmula'!K74))*(INDEX(properties!A$1:CB$87,'Fórmula'!B74,30))+(('Fórmula'!E74)/('Fórmula'!C74+'Fórmula'!E74+'Fórmula'!G74+'Fórmula'!I74+'Fórmula'!K74))*(INDEX(properties!A$1:CB$87,'Fórmula'!D74,30))+(('Fórmula'!G74)/('Fórmula'!C74+'Fórmula'!E74+'Fórmula'!G74+'Fórmula'!I74+'Fórmula'!K74))*(INDEX(properties!A$1:CB$87,'Fórmula'!F74,30))+(('Fórmula'!I74)/('Fórmula'!C74+'Fórmula'!E74+'Fórmula'!G74+'Fórmula'!I74+'Fórmula'!K74))*(INDEX(properties!A$1:CB$87,'Fórmula'!H74,30))+(('Fórmula'!K74)/('Fórmula'!C74+'Fórmula'!E74+'Fórmula'!G74+'Fórmula'!I74+'Fórmula'!K74))*(INDEX(properties!A$1:CB$87,'Fórmula'!J74,30))</f>
        <v>2.853333333</v>
      </c>
      <c r="CO74" s="117">
        <f t="array" ref="CO74">'Fórmula'!C74*(INDEX(properties!A$1:CB$87,'Fórmula'!B74,30))+'Fórmula'!E74*(INDEX(properties!A$1:CB$87,'Fórmula'!D74,30))+'Fórmula'!G74*(INDEX(properties!A$1:CB$87,'Fórmula'!F74,30))+'Fórmula'!I74*(INDEX(properties!A$1:CB$87,'Fórmula'!H74,30))+'Fórmula'!K74*(INDEX(properties!A$1:CB$87,'Fórmula'!J74,30))</f>
        <v>17.12</v>
      </c>
      <c r="CP74" s="117">
        <f t="array" ref="CP74">VARP(IF(INDEX(properties!A$1:CB$87,'Fórmula'!B74,30)&lt;&gt;"",INDEX(properties!A$1:CB$87,'Fórmula'!B74,30)),IF(INDEX(properties!A$1:CB$87,'Fórmula'!D74,30)&lt;&gt;"",INDEX(properties!A$1:CB$87,'Fórmula'!D74,30)),IF(INDEX(properties!A$1:CB$87,'Fórmula'!F74,30)&lt;&gt;"",INDEX(properties!A$1:CB$87,'Fórmula'!F74,30)),IF(INDEX(properties!A$1:CB$87,'Fórmula'!H74,30)&lt;&gt;"",INDEX(properties!A$1:CB$87,'Fórmula'!H74,30)),IF(INDEX(properties!A$1:CB$87,'Fórmula'!J74,30)&lt;&gt;"",INDEX(properties!A$1:CB$87,'Fórmula'!J74,30)))</f>
        <v>1.83104</v>
      </c>
      <c r="CQ74" s="117">
        <f t="array" ref="CQ74">MAX(INDEX(properties!A$1:CB$87,'Fórmula'!B74,30),INDEX(properties!A$1:CB$87,'Fórmula'!D74,30),INDEX(properties!A$1:CB$87,'Fórmula'!F74,30),INDEX(properties!A$1:CB$87,'Fórmula'!H74,30),INDEX(properties!A$1:CB$87,'Fórmula'!J74,30))</f>
        <v>3.44</v>
      </c>
      <c r="CR74" s="117">
        <f t="array" ref="CR74">MIN(IF(INDEX(properties!A$1:CB$87,'Fórmula'!B74,30)=0,10^6,INDEX(properties!A$1:CB$87,'Fórmula'!B74,30)),IF(INDEX(properties!A$1:CB$87,'Fórmula'!D74,30)=0,10^6,INDEX(properties!A$1:CB$87,'Fórmula'!D74,30)),IF(INDEX(properties!A$1:CB$87,'Fórmula'!F74,30)=0,10^6,INDEX(properties!A$1:CB$87,'Fórmula'!F74,30)),IF(INDEX(properties!A$1:CB$87,'Fórmula'!H74,30)=0,10^6,INDEX(properties!A$1:CB$87,'Fórmula'!H74,30)),IF(INDEX(properties!A$1:CB$87,'Fórmula'!J74,30)=0,10^6,INDEX(properties!A$1:CB$87,'Fórmula'!J74,30)))</f>
        <v>1</v>
      </c>
      <c r="CS74" s="117">
        <f t="shared" si="16"/>
        <v>2.44</v>
      </c>
      <c r="CT74" s="118">
        <f t="array" ref="CT74">(('Fórmula'!C74)/('Fórmula'!C74+'Fórmula'!E74+'Fórmula'!G74+'Fórmula'!I74+'Fórmula'!K74))*(INDEX(properties!A$1:CB$87,'Fórmula'!B74,31))+(('Fórmula'!E74)/('Fórmula'!C74+'Fórmula'!E74+'Fórmula'!G74+'Fórmula'!I74+'Fórmula'!K74))*(INDEX(properties!A$1:CB$87,'Fórmula'!D74,31))+(('Fórmula'!G74)/('Fórmula'!C74+'Fórmula'!E74+'Fórmula'!G74+'Fórmula'!I74+'Fórmula'!K74))*(INDEX(properties!A$1:CB$87,'Fórmula'!F74,31))+(('Fórmula'!I74)/('Fórmula'!C74+'Fórmula'!E74+'Fórmula'!G74+'Fórmula'!I74+'Fórmula'!K74))*(INDEX(properties!A$1:CB$87,'Fórmula'!H74,31))+(('Fórmula'!K74)/('Fórmula'!C74+'Fórmula'!E74+'Fórmula'!G74+'Fórmula'!I74+'Fórmula'!K74))*(INDEX(properties!A$1:CB$87,'Fórmula'!J74,31))</f>
        <v>2.706666667</v>
      </c>
      <c r="CU74" s="118">
        <f t="array" ref="CU74">'Fórmula'!C74*(INDEX(properties!A$1:CB$87,'Fórmula'!B74,31))+'Fórmula'!E74*(INDEX(properties!A$1:CB$87,'Fórmula'!D74,31))+'Fórmula'!G74*(INDEX(properties!A$1:CB$87,'Fórmula'!F74,31))+'Fórmula'!I74*(INDEX(properties!A$1:CB$87,'Fórmula'!H74,31))+'Fórmula'!K74*(INDEX(properties!A$1:CB$87,'Fórmula'!J74,31))</f>
        <v>16.24</v>
      </c>
      <c r="CV74" s="118">
        <f t="array" ref="CV74">VARP(IF(INDEX(properties!A$1:CB$87,'Fórmula'!B74,31)&lt;&gt;"",INDEX(properties!A$1:CB$87,'Fórmula'!B74,31)),IF(INDEX(properties!A$1:CB$87,'Fórmula'!D74,31)&lt;&gt;"",INDEX(properties!A$1:CB$87,'Fórmula'!D74,31)),IF(INDEX(properties!A$1:CB$87,'Fórmula'!F74,31)&lt;&gt;"",INDEX(properties!A$1:CB$87,'Fórmula'!F74,31)),IF(INDEX(properties!A$1:CB$87,'Fórmula'!H74,31)&lt;&gt;"",INDEX(properties!A$1:CB$87,'Fórmula'!H74,31)),IF(INDEX(properties!A$1:CB$87,'Fórmula'!J74,31)&lt;&gt;"",INDEX(properties!A$1:CB$87,'Fórmula'!J74,31)))</f>
        <v>1.541544</v>
      </c>
      <c r="CW74" s="118">
        <f t="array" ref="CW74">MAX(INDEX(properties!A$1:CB$87,'Fórmula'!B74,31),INDEX(properties!A$1:CB$87,'Fórmula'!D74,31),INDEX(properties!A$1:CB$87,'Fórmula'!F74,31),INDEX(properties!A$1:CB$87,'Fórmula'!H74,31),INDEX(properties!A$1:CB$87,'Fórmula'!J74,31))</f>
        <v>3.32</v>
      </c>
      <c r="CX74" s="118">
        <f t="array" ref="CX74">MIN(IF(INDEX(properties!A$1:CB$87,'Fórmula'!B74,31)=0,10^6,INDEX(properties!A$1:CB$87,'Fórmula'!B74,31)),IF(INDEX(properties!A$1:CB$87,'Fórmula'!D74,31)=0,10^6,INDEX(properties!A$1:CB$87,'Fórmula'!D74,31)),IF(INDEX(properties!A$1:CB$87,'Fórmula'!F74,31)=0,10^6,INDEX(properties!A$1:CB$87,'Fórmula'!F74,31)),IF(INDEX(properties!A$1:CB$87,'Fórmula'!H74,31)=0,10^6,INDEX(properties!A$1:CB$87,'Fórmula'!H74,31)),IF(INDEX(properties!A$1:CB$87,'Fórmula'!J74,31)=0,10^6,INDEX(properties!A$1:CB$87,'Fórmula'!J74,31)))</f>
        <v>1.17</v>
      </c>
      <c r="CY74" s="118">
        <f t="shared" si="17"/>
        <v>2.15</v>
      </c>
      <c r="CZ74" s="119">
        <f t="array" ref="CZ74">(('Fórmula'!C74)/('Fórmula'!C74+'Fórmula'!E74+'Fórmula'!G74+'Fórmula'!I74+'Fórmula'!K74))*(INDEX(properties!A$1:CB$87,'Fórmula'!B74,32))+(('Fórmula'!E74)/('Fórmula'!C74+'Fórmula'!E74+'Fórmula'!G74+'Fórmula'!I74+'Fórmula'!K74))*(INDEX(properties!A$1:CB$87,'Fórmula'!D74,32))+(('Fórmula'!G74)/('Fórmula'!C74+'Fórmula'!E74+'Fórmula'!G74+'Fórmula'!I74+'Fórmula'!K74))*(INDEX(properties!A$1:CB$87,'Fórmula'!F74,32))+(('Fórmula'!I74)/('Fórmula'!C74+'Fórmula'!E74+'Fórmula'!G74+'Fórmula'!I74+'Fórmula'!K74))*(INDEX(properties!A$1:CB$87,'Fórmula'!H74,32))+(('Fórmula'!K74)/('Fórmula'!C74+'Fórmula'!E74+'Fórmula'!G74+'Fórmula'!I74+'Fórmula'!K74))*(INDEX(properties!A$1:CB$87,'Fórmula'!J74,32))</f>
        <v>6.126666667</v>
      </c>
      <c r="DA74" s="119">
        <f t="array" ref="DA74">'Fórmula'!C74*(INDEX(properties!A$1:CB$87,'Fórmula'!B74,32))+'Fórmula'!E74*(INDEX(properties!A$1:CB$87,'Fórmula'!D74,32))+'Fórmula'!G74*(INDEX(properties!A$1:CB$87,'Fórmula'!F74,32))+'Fórmula'!I74*(INDEX(properties!A$1:CB$87,'Fórmula'!H74,32))+'Fórmula'!K74*(INDEX(properties!A$1:CB$87,'Fórmula'!J74,32))</f>
        <v>36.76</v>
      </c>
      <c r="DB74" s="119">
        <f t="array" ref="DB74">VARP(IF(INDEX(properties!A$1:CB$87,'Fórmula'!B74,32)&lt;&gt;"",INDEX(properties!A$1:CB$87,'Fórmula'!B74,32)),IF(INDEX(properties!A$1:CB$87,'Fórmula'!D74,32)&lt;&gt;"",INDEX(properties!A$1:CB$87,'Fórmula'!D74,32)),IF(INDEX(properties!A$1:CB$87,'Fórmula'!F74,32)&lt;&gt;"",INDEX(properties!A$1:CB$87,'Fórmula'!F74,32)),IF(INDEX(properties!A$1:CB$87,'Fórmula'!H74,32)&lt;&gt;"",INDEX(properties!A$1:CB$87,'Fórmula'!H74,32)),IF(INDEX(properties!A$1:CB$87,'Fórmula'!J74,32)&lt;&gt;"",INDEX(properties!A$1:CB$87,'Fórmula'!J74,32)))</f>
        <v>8.212736</v>
      </c>
      <c r="DC74" s="119">
        <f t="array" ref="DC74">MAX(INDEX(properties!A$1:CB$87,'Fórmula'!B74,32),INDEX(properties!A$1:CB$87,'Fórmula'!D74,32),INDEX(properties!A$1:CB$87,'Fórmula'!F74,32),INDEX(properties!A$1:CB$87,'Fórmula'!H74,32),INDEX(properties!A$1:CB$87,'Fórmula'!J74,32))</f>
        <v>7.54</v>
      </c>
      <c r="DD74" s="119">
        <f t="array" ref="DD74">MIN(IF(INDEX(properties!A$1:CB$87,'Fórmula'!B74,32)=0,10^6,INDEX(properties!A$1:CB$87,'Fórmula'!B74,32)),IF(INDEX(properties!A$1:CB$87,'Fórmula'!D74,32)=0,10^6,INDEX(properties!A$1:CB$87,'Fórmula'!D74,32)),IF(INDEX(properties!A$1:CB$87,'Fórmula'!F74,32)=0,10^6,INDEX(properties!A$1:CB$87,'Fórmula'!F74,32)),IF(INDEX(properties!A$1:CB$87,'Fórmula'!H74,32)=0,10^6,INDEX(properties!A$1:CB$87,'Fórmula'!H74,32)),IF(INDEX(properties!A$1:CB$87,'Fórmula'!J74,32)=0,10^6,INDEX(properties!A$1:CB$87,'Fórmula'!J74,32)))</f>
        <v>2.2</v>
      </c>
      <c r="DE74" s="119">
        <f t="shared" si="18"/>
        <v>5.34</v>
      </c>
      <c r="DF74" s="104">
        <f t="array" ref="DF74">(('Fórmula'!C74)/('Fórmula'!C74+'Fórmula'!E74+'Fórmula'!G74+'Fórmula'!I74+'Fórmula'!K74))*(INDEX(properties!A$1:CB$87,'Fórmula'!B74,34))+(('Fórmula'!E74)/('Fórmula'!C74+'Fórmula'!E74+'Fórmula'!G74+'Fórmula'!I74+'Fórmula'!K74))*(INDEX(properties!A$1:CB$87,'Fórmula'!D74,34))+(('Fórmula'!G74)/('Fórmula'!C74+'Fórmula'!E74+'Fórmula'!G74+'Fórmula'!I74+'Fórmula'!K74))*(INDEX(properties!A$1:CB$87,'Fórmula'!F74,34))+(('Fórmula'!I74)/('Fórmula'!C74+'Fórmula'!E74+'Fórmula'!G74+'Fórmula'!I74+'Fórmula'!K74))*(INDEX(properties!A$1:CB$87,'Fórmula'!H74,34))+(('Fórmula'!K74)/('Fórmula'!C74+'Fórmula'!E74+'Fórmula'!G74+'Fórmula'!I74+'Fórmula'!K74))*(INDEX(properties!A$1:CB$87,'Fórmula'!J74,34))</f>
        <v>2.824</v>
      </c>
      <c r="DG74" s="104">
        <f t="array" ref="DG74">'Fórmula'!C74*(INDEX(properties!A$1:CB$87,'Fórmula'!B74,34))+'Fórmula'!E74*(INDEX(properties!A$1:CB$87,'Fórmula'!D74,34))+'Fórmula'!G74*(INDEX(properties!A$1:CB$87,'Fórmula'!F74,34))+'Fórmula'!I74*(INDEX(properties!A$1:CB$87,'Fórmula'!H74,34))+'Fórmula'!K74*(INDEX(properties!A$1:CB$87,'Fórmula'!J74,34))</f>
        <v>16.944</v>
      </c>
      <c r="DH74" s="104">
        <f t="array" ref="DH74">VARP(IF(INDEX(properties!A$1:CB$87,'Fórmula'!B74,34)&lt;&gt;"",INDEX(properties!A$1:CB$87,'Fórmula'!B74,34)),IF(INDEX(properties!A$1:CB$87,'Fórmula'!D74,34)&lt;&gt;"",INDEX(properties!A$1:CB$87,'Fórmula'!D74,34)),IF(INDEX(properties!A$1:CB$87,'Fórmula'!F74,34)&lt;&gt;"",INDEX(properties!A$1:CB$87,'Fórmula'!F74,34)),IF(INDEX(properties!A$1:CB$87,'Fórmula'!H74,34)&lt;&gt;"",INDEX(properties!A$1:CB$87,'Fórmula'!H74,34)),IF(INDEX(properties!A$1:CB$87,'Fórmula'!J74,34)&lt;&gt;"",INDEX(properties!A$1:CB$87,'Fórmula'!J74,34)))</f>
        <v>1.75719136</v>
      </c>
      <c r="DI74" s="104">
        <f t="array" ref="DI74">MAX(INDEX(properties!A$1:CB$87,'Fórmula'!B74,34),INDEX(properties!A$1:CB$87,'Fórmula'!D74,34),INDEX(properties!A$1:CB$87,'Fórmula'!F74,34),INDEX(properties!A$1:CB$87,'Fórmula'!H74,34),INDEX(properties!A$1:CB$87,'Fórmula'!J74,34))</f>
        <v>3.61</v>
      </c>
      <c r="DJ74" s="104">
        <f t="array" ref="DJ74">MIN(IF(INDEX(properties!A$1:CB$87,'Fórmula'!B74,34)=0,10^6,INDEX(properties!A$1:CB$87,'Fórmula'!B74,34)),IF(INDEX(properties!A$1:CB$87,'Fórmula'!D74,34)=0,10^6,INDEX(properties!A$1:CB$87,'Fórmula'!D74,34)),IF(INDEX(properties!A$1:CB$87,'Fórmula'!F74,34)=0,10^6,INDEX(properties!A$1:CB$87,'Fórmula'!F74,34)),IF(INDEX(properties!A$1:CB$87,'Fórmula'!H74,34)=0,10^6,INDEX(properties!A$1:CB$87,'Fórmula'!H74,34)),IF(INDEX(properties!A$1:CB$87,'Fórmula'!J74,34)=0,10^6,INDEX(properties!A$1:CB$87,'Fórmula'!J74,34)))</f>
        <v>1.034</v>
      </c>
      <c r="DK74" s="104">
        <f t="shared" si="19"/>
        <v>2.576</v>
      </c>
      <c r="DL74" s="105" t="str">
        <f t="array" ref="DL74">(('Fórmula'!C74)/('Fórmula'!C74+'Fórmula'!E74+'Fórmula'!G74+'Fórmula'!I74+'Fórmula'!K74))*(INDEX(properties!A$1:CB$87,'Fórmula'!B74,37))+(('Fórmula'!E74)/('Fórmula'!C74+'Fórmula'!E74+'Fórmula'!G74+'Fórmula'!I74+'Fórmula'!K74))*(INDEX(properties!A$1:CB$87,'Fórmula'!D74,37))+(('Fórmula'!G74)/('Fórmula'!C74+'Fórmula'!E74+'Fórmula'!G74+'Fórmula'!I74+'Fórmula'!K74))*(INDEX(properties!A$1:CB$87,'Fórmula'!F74,37))+(('Fórmula'!I74)/('Fórmula'!C74+'Fórmula'!E74+'Fórmula'!G74+'Fórmula'!I74+'Fórmula'!K74))*(INDEX(properties!A$1:CB$87,'Fórmula'!H74,37))+(('Fórmula'!K74)/('Fórmula'!C74+'Fórmula'!E74+'Fórmula'!G74+'Fórmula'!I74+'Fórmula'!K74))*(INDEX(properties!A$1:CB$87,'Fórmula'!J74,37))</f>
        <v>#VALUE!</v>
      </c>
      <c r="DM74" s="105" t="str">
        <f t="array" ref="DM74">'Fórmula'!C74*(INDEX(properties!A$1:CB$87,'Fórmula'!B74,37))+'Fórmula'!E74*(INDEX(properties!A$1:CB$87,'Fórmula'!D74,37))+'Fórmula'!G74*(INDEX(properties!A$1:CB$87,'Fórmula'!F74,37))+'Fórmula'!I74*(INDEX(properties!A$1:CB$87,'Fórmula'!H74,37))+'Fórmula'!K74*(INDEX(properties!A$1:CB$87,'Fórmula'!J74,37))</f>
        <v>#VALUE!</v>
      </c>
      <c r="DN74" s="105">
        <f t="array" ref="DN74">VARP(IF(INDEX(properties!A$1:CB$87,'Fórmula'!B74,37)&lt;&gt;"",INDEX(properties!A$1:CB$87,'Fórmula'!B74,37)),IF(INDEX(properties!A$1:CB$87,'Fórmula'!D74,37)&lt;&gt;"",INDEX(properties!A$1:CB$87,'Fórmula'!D74,37)),IF(INDEX(properties!A$1:CB$87,'Fórmula'!F74,37)&lt;&gt;"",INDEX(properties!A$1:CB$87,'Fórmula'!F74,37)),IF(INDEX(properties!A$1:CB$87,'Fórmula'!H74,37)&lt;&gt;"",INDEX(properties!A$1:CB$87,'Fórmula'!H74,37)),IF(INDEX(properties!A$1:CB$87,'Fórmula'!J74,37)&lt;&gt;"",INDEX(properties!A$1:CB$87,'Fórmula'!J74,37)))</f>
        <v>1.98796875</v>
      </c>
      <c r="DO74" s="105">
        <f t="array" ref="DO74">MAX(INDEX(properties!A$1:CB$87,'Fórmula'!B74,37),INDEX(properties!A$1:CB$87,'Fórmula'!D74,37),INDEX(properties!A$1:CB$87,'Fórmula'!F74,37),INDEX(properties!A$1:CB$87,'Fórmula'!H74,37),INDEX(properties!A$1:CB$87,'Fórmula'!J74,37))</f>
        <v>3.45</v>
      </c>
      <c r="DP74" s="105">
        <f t="array" ref="DP74">MIN(IF(INDEX(properties!A$1:CB$87,'Fórmula'!B74,37)=0,10^6,INDEX(properties!A$1:CB$87,'Fórmula'!B74,37)),IF(INDEX(properties!A$1:CB$87,'Fórmula'!D74,37)=0,10^6,INDEX(properties!A$1:CB$87,'Fórmula'!D74,37)),IF(INDEX(properties!A$1:CB$87,'Fórmula'!F74,37)=0,10^6,INDEX(properties!A$1:CB$87,'Fórmula'!F74,37)),IF(INDEX(properties!A$1:CB$87,'Fórmula'!H74,37)=0,10^6,INDEX(properties!A$1:CB$87,'Fórmula'!H74,37)),IF(INDEX(properties!A$1:CB$87,'Fórmula'!J74,37)=0,10^6,INDEX(properties!A$1:CB$87,'Fórmula'!J74,37)))</f>
        <v>1</v>
      </c>
      <c r="DQ74" s="105">
        <f t="shared" si="20"/>
        <v>2.45</v>
      </c>
      <c r="DR74" s="109">
        <f t="array" ref="DR74">(('Fórmula'!C74)/('Fórmula'!C74+'Fórmula'!E74+'Fórmula'!G74+'Fórmula'!I74+'Fórmula'!K74))*(INDEX(properties!A$1:CB$87,'Fórmula'!B74,39))+(('Fórmula'!E74)/('Fórmula'!C74+'Fórmula'!E74+'Fórmula'!G74+'Fórmula'!I74+'Fórmula'!K74))*(INDEX(properties!A$1:CB$87,'Fórmula'!D74,39))+(('Fórmula'!G74)/('Fórmula'!C74+'Fórmula'!E74+'Fórmula'!G74+'Fórmula'!I74+'Fórmula'!K74))*(INDEX(properties!A$1:CB$87,'Fórmula'!F74,39))+(('Fórmula'!I74)/('Fórmula'!C74+'Fórmula'!E74+'Fórmula'!G74+'Fórmula'!I74+'Fórmula'!K74))*(INDEX(properties!A$1:CB$87,'Fórmula'!H74,39))+(('Fórmula'!K74)/('Fórmula'!C74+'Fórmula'!E74+'Fórmula'!G74+'Fórmula'!I74+'Fórmula'!K74))*(INDEX(properties!A$1:CB$87,'Fórmula'!J74,39))</f>
        <v>0.965</v>
      </c>
      <c r="DS74" s="109">
        <f t="array" ref="DS74">'Fórmula'!C74*(INDEX(properties!A$1:CB$87,'Fórmula'!B74,39))+'Fórmula'!E74*(INDEX(properties!A$1:CB$87,'Fórmula'!D74,39))+'Fórmula'!G74*(INDEX(properties!A$1:CB$87,'Fórmula'!F74,39))+'Fórmula'!I74*(INDEX(properties!A$1:CB$87,'Fórmula'!H74,39))+'Fórmula'!K74*(INDEX(properties!A$1:CB$87,'Fórmula'!J74,39))</f>
        <v>5.79</v>
      </c>
      <c r="DT74" s="109">
        <f t="array" ref="DT74">VARP(IF(INDEX(properties!A$1:CB$87,'Fórmula'!B74,39)&lt;&gt;"",INDEX(properties!A$1:CB$87,'Fórmula'!B74,39)),IF(INDEX(properties!A$1:CB$87,'Fórmula'!D74,39)&lt;&gt;"",INDEX(properties!A$1:CB$87,'Fórmula'!D74,39)),IF(INDEX(properties!A$1:CB$87,'Fórmula'!F74,39)&lt;&gt;"",INDEX(properties!A$1:CB$87,'Fórmula'!F74,39)),IF(INDEX(properties!A$1:CB$87,'Fórmula'!H74,39)&lt;&gt;"",INDEX(properties!A$1:CB$87,'Fórmula'!H74,39)),IF(INDEX(properties!A$1:CB$87,'Fórmula'!J74,39)&lt;&gt;"",INDEX(properties!A$1:CB$87,'Fórmula'!J74,39)))</f>
        <v>0.78688</v>
      </c>
      <c r="DU74" s="120">
        <f t="array" ref="DU74">MAX(INDEX(properties!A$1:CB$87,'Fórmula'!B74,39),INDEX(properties!A$1:CB$87,'Fórmula'!D74,39),INDEX(properties!A$1:CB$87,'Fórmula'!F74,39),INDEX(properties!A$1:CB$87,'Fórmula'!H74,39),INDEX(properties!A$1:CB$87,'Fórmula'!J74,39))</f>
        <v>1.94</v>
      </c>
      <c r="DV74" s="120">
        <f t="array" ref="DV74">MIN(IF(INDEX(properties!A$1:CB$87,'Fórmula'!B74,39)=0,10^6,INDEX(properties!A$1:CB$87,'Fórmula'!B74,39)),IF(INDEX(properties!A$1:CB$87,'Fórmula'!D74,39)=0,10^6,INDEX(properties!A$1:CB$87,'Fórmula'!D74,39)),IF(INDEX(properties!A$1:CB$87,'Fórmula'!F74,39)=0,10^6,INDEX(properties!A$1:CB$87,'Fórmula'!F74,39)),IF(INDEX(properties!A$1:CB$87,'Fórmula'!H74,39)=0,10^6,INDEX(properties!A$1:CB$87,'Fórmula'!H74,39)),IF(INDEX(properties!A$1:CB$87,'Fórmula'!J74,39)=0,10^6,INDEX(properties!A$1:CB$87,'Fórmula'!J74,39)))</f>
        <v>0.48</v>
      </c>
      <c r="DW74" s="109">
        <f t="shared" si="21"/>
        <v>1.46</v>
      </c>
      <c r="DX74" s="110">
        <f t="array" ref="DX74">(('Fórmula'!C74)/('Fórmula'!C74+'Fórmula'!E74+'Fórmula'!G74+'Fórmula'!I74+'Fórmula'!K74))*(INDEX(properties!A$1:CB$87,'Fórmula'!B74,40))+(('Fórmula'!E74)/('Fórmula'!C74+'Fórmula'!E74+'Fórmula'!G74+'Fórmula'!I74+'Fórmula'!K74))*(INDEX(properties!A$1:CB$87,'Fórmula'!D74,40))+(('Fórmula'!G74)/('Fórmula'!C74+'Fórmula'!E74+'Fórmula'!G74+'Fórmula'!I74+'Fórmula'!K74))*(INDEX(properties!A$1:CB$87,'Fórmula'!F74,40))+(('Fórmula'!I74)/('Fórmula'!C74+'Fórmula'!E74+'Fórmula'!G74+'Fórmula'!I74+'Fórmula'!K74))*(INDEX(properties!A$1:CB$87,'Fórmula'!H74,40))+(('Fórmula'!K74)/('Fórmula'!C74+'Fórmula'!E74+'Fórmula'!G74+'Fórmula'!I74+'Fórmula'!K74))*(INDEX(properties!A$1:CB$87,'Fórmula'!J74,40))</f>
        <v>1.02</v>
      </c>
      <c r="DY74" s="110">
        <f t="array" ref="DY74">'Fórmula'!C74*(INDEX(properties!A$1:CB$87,'Fórmula'!B74,40))+'Fórmula'!E74*(INDEX(properties!A$1:CB$87,'Fórmula'!D74,40))+'Fórmula'!G74*(INDEX(properties!A$1:CB$87,'Fórmula'!F74,40))+'Fórmula'!I74*(INDEX(properties!A$1:CB$87,'Fórmula'!H74,40))+'Fórmula'!K74*(INDEX(properties!A$1:CB$87,'Fórmula'!J74,40))</f>
        <v>6.12</v>
      </c>
      <c r="DZ74" s="110">
        <f t="array" ref="DZ74">VARP(IF(INDEX(properties!A$1:CB$87,'Fórmula'!B74,40)&lt;&gt;"",INDEX(properties!A$1:CB$87,'Fórmula'!B74,40)),IF(INDEX(properties!A$1:CB$87,'Fórmula'!D74,40)&lt;&gt;"",INDEX(properties!A$1:CB$87,'Fórmula'!D74,40)),IF(INDEX(properties!A$1:CB$87,'Fórmula'!F74,40)&lt;&gt;"",INDEX(properties!A$1:CB$87,'Fórmula'!F74,40)),IF(INDEX(properties!A$1:CB$87,'Fórmula'!H74,40)&lt;&gt;"",INDEX(properties!A$1:CB$87,'Fórmula'!H74,40)),IF(INDEX(properties!A$1:CB$87,'Fórmula'!J74,40)&lt;&gt;"",INDEX(properties!A$1:CB$87,'Fórmula'!J74,40)))</f>
        <v>0.520624</v>
      </c>
      <c r="EA74" s="121">
        <f t="array" ref="EA74">MAX(INDEX(properties!A$1:CB$87,'Fórmula'!B74,40),INDEX(properties!A$1:CB$87,'Fórmula'!D74,40),INDEX(properties!A$1:CB$87,'Fórmula'!F74,40),INDEX(properties!A$1:CB$87,'Fórmula'!H74,40),INDEX(properties!A$1:CB$87,'Fórmula'!J74,40))</f>
        <v>1.74</v>
      </c>
      <c r="EB74" s="121">
        <f t="array" ref="EB74">MIN(IF(INDEX(properties!A$1:CB$87,'Fórmula'!B74,40)=0,10^6,INDEX(properties!A$1:CB$87,'Fórmula'!B74,40)),IF(INDEX(properties!A$1:CB$87,'Fórmula'!D74,40)=0,10^6,INDEX(properties!A$1:CB$87,'Fórmula'!D74,40)),IF(INDEX(properties!A$1:CB$87,'Fórmula'!F74,40)=0,10^6,INDEX(properties!A$1:CB$87,'Fórmula'!F74,40)),IF(INDEX(properties!A$1:CB$87,'Fórmula'!H74,40)=0,10^6,INDEX(properties!A$1:CB$87,'Fórmula'!H74,40)),IF(INDEX(properties!A$1:CB$87,'Fórmula'!J74,40)=0,10^6,INDEX(properties!A$1:CB$87,'Fórmula'!J74,40)))</f>
        <v>0.73</v>
      </c>
      <c r="EC74" s="110">
        <f t="shared" si="22"/>
        <v>1.01</v>
      </c>
      <c r="ED74" s="111">
        <f t="array" ref="ED74">(('Fórmula'!C74)/('Fórmula'!C74+'Fórmula'!E74+'Fórmula'!G74+'Fórmula'!I74+'Fórmula'!K74))*(INDEX(properties!A$1:CB$87,'Fórmula'!B74,41))+(('Fórmula'!E74)/('Fórmula'!C74+'Fórmula'!E74+'Fórmula'!G74+'Fórmula'!I74+'Fórmula'!K74))*(INDEX(properties!A$1:CB$87,'Fórmula'!D74,41))+(('Fórmula'!G74)/('Fórmula'!C74+'Fórmula'!E74+'Fórmula'!G74+'Fórmula'!I74+'Fórmula'!K74))*(INDEX(properties!A$1:CB$87,'Fórmula'!F74,41))+(('Fórmula'!I74)/('Fórmula'!C74+'Fórmula'!E74+'Fórmula'!G74+'Fórmula'!I74+'Fórmula'!K74))*(INDEX(properties!A$1:CB$87,'Fórmula'!H74,41))+(('Fórmula'!K74)/('Fórmula'!C74+'Fórmula'!E74+'Fórmula'!G74+'Fórmula'!I74+'Fórmula'!K74))*(INDEX(properties!A$1:CB$87,'Fórmula'!J74,41))</f>
        <v>1.163333333</v>
      </c>
      <c r="EE74" s="111">
        <f t="array" ref="EE74">'Fórmula'!C74*(INDEX(properties!A$1:CB$87,'Fórmula'!B74,41))+'Fórmula'!E74*(INDEX(properties!A$1:CB$87,'Fórmula'!D74,41))+'Fórmula'!G74*(INDEX(properties!A$1:CB$87,'Fórmula'!F74,41))+'Fórmula'!I74*(INDEX(properties!A$1:CB$87,'Fórmula'!H74,41))+'Fórmula'!K74*(INDEX(properties!A$1:CB$87,'Fórmula'!J74,41))</f>
        <v>6.98</v>
      </c>
      <c r="EF74" s="111">
        <f t="array" ref="EF74">VARP(IF(INDEX(properties!A$1:CB$87,'Fórmula'!B74,41)&lt;&gt;"",INDEX(properties!A$1:CB$87,'Fórmula'!B74,41)),IF(INDEX(properties!A$1:CB$87,'Fórmula'!D74,41)&lt;&gt;"",INDEX(properties!A$1:CB$87,'Fórmula'!D74,41)),IF(INDEX(properties!A$1:CB$87,'Fórmula'!F74,41)&lt;&gt;"",INDEX(properties!A$1:CB$87,'Fórmula'!F74,41)),IF(INDEX(properties!A$1:CB$87,'Fórmula'!H74,41)&lt;&gt;"",INDEX(properties!A$1:CB$87,'Fórmula'!H74,41)),IF(INDEX(properties!A$1:CB$87,'Fórmula'!J74,41)&lt;&gt;"",INDEX(properties!A$1:CB$87,'Fórmula'!J74,41)))</f>
        <v>0.29584</v>
      </c>
      <c r="EG74" s="122">
        <f t="array" ref="EG74">MAX(INDEX(properties!A$1:CB$87,'Fórmula'!B74,41),INDEX(properties!A$1:CB$87,'Fórmula'!D74,41),INDEX(properties!A$1:CB$87,'Fórmula'!F74,41),INDEX(properties!A$1:CB$87,'Fórmula'!H74,41),INDEX(properties!A$1:CB$87,'Fórmula'!J74,41))</f>
        <v>1.26</v>
      </c>
      <c r="EH74" s="122">
        <f t="array" ref="EH74">MIN(IF(INDEX(properties!A$1:CB$87,'Fórmula'!B74,41)=0,10^6,INDEX(properties!A$1:CB$87,'Fórmula'!B74,41)),IF(INDEX(properties!A$1:CB$87,'Fórmula'!D74,41)=0,10^6,INDEX(properties!A$1:CB$87,'Fórmula'!D74,41)),IF(INDEX(properties!A$1:CB$87,'Fórmula'!F74,41)=0,10^6,INDEX(properties!A$1:CB$87,'Fórmula'!F74,41)),IF(INDEX(properties!A$1:CB$87,'Fórmula'!H74,41)=0,10^6,INDEX(properties!A$1:CB$87,'Fórmula'!H74,41)),IF(INDEX(properties!A$1:CB$87,'Fórmula'!J74,41)=0,10^6,INDEX(properties!A$1:CB$87,'Fórmula'!J74,41)))</f>
        <v>0.8</v>
      </c>
      <c r="EI74" s="111">
        <f t="shared" si="23"/>
        <v>0.46</v>
      </c>
      <c r="EJ74" s="112">
        <f t="array" ref="EJ74">(('Fórmula'!C74)/('Fórmula'!C74+'Fórmula'!E74+'Fórmula'!G74+'Fórmula'!I74+'Fórmula'!K74))*(INDEX(properties!A$1:CB$87,'Fórmula'!B74,45))+(('Fórmula'!E74)/('Fórmula'!C74+'Fórmula'!E74+'Fórmula'!G74+'Fórmula'!I74+'Fórmula'!K74))*(INDEX(properties!A$1:CB$87,'Fórmula'!D74,45))+(('Fórmula'!G74)/('Fórmula'!C74+'Fórmula'!E74+'Fórmula'!G74+'Fórmula'!I74+'Fórmula'!K74))*(INDEX(properties!A$1:CB$87,'Fórmula'!F74,45))+(('Fórmula'!I74)/('Fórmula'!C74+'Fórmula'!E74+'Fórmula'!G74+'Fórmula'!I74+'Fórmula'!K74))*(INDEX(properties!A$1:CB$87,'Fórmula'!H74,45))+(('Fórmula'!K74)/('Fórmula'!C74+'Fórmula'!E74+'Fórmula'!G74+'Fórmula'!I74+'Fórmula'!K74))*(INDEX(properties!A$1:CB$87,'Fórmula'!J74,45))</f>
        <v>1.27</v>
      </c>
      <c r="EK74" s="112">
        <f t="array" ref="EK74">'Fórmula'!C74*(INDEX(properties!A$1:CB$87,'Fórmula'!B74,45))+'Fórmula'!E74*(INDEX(properties!A$1:CB$87,'Fórmula'!D74,45))+'Fórmula'!G74*(INDEX(properties!A$1:CB$87,'Fórmula'!F74,45))+'Fórmula'!I74*(INDEX(properties!A$1:CB$87,'Fórmula'!H74,45))+'Fórmula'!K74*(INDEX(properties!A$1:CB$87,'Fórmula'!J74,45))</f>
        <v>7.62</v>
      </c>
      <c r="EL74" s="112">
        <f t="array" ref="EL74">VARP(IF(INDEX(properties!A$1:CB$87,'Fórmula'!B74,45)&lt;&gt;"",INDEX(properties!A$1:CB$87,'Fórmula'!B74,45)),IF(INDEX(properties!A$1:CB$87,'Fórmula'!D74,45)&lt;&gt;"",INDEX(properties!A$1:CB$87,'Fórmula'!D74,45)),IF(INDEX(properties!A$1:CB$87,'Fórmula'!F74,45)&lt;&gt;"",INDEX(properties!A$1:CB$87,'Fórmula'!F74,45)),IF(INDEX(properties!A$1:CB$87,'Fórmula'!H74,45)&lt;&gt;"",INDEX(properties!A$1:CB$87,'Fórmula'!H74,45)),IF(INDEX(properties!A$1:CB$87,'Fórmula'!J74,45)&lt;&gt;"",INDEX(properties!A$1:CB$87,'Fórmula'!J74,45)))</f>
        <v>1.803136</v>
      </c>
      <c r="EM74" s="123">
        <f t="array" ref="EM74">MAX(INDEX(properties!A$1:CB$87,'Fórmula'!B74,45),INDEX(properties!A$1:CB$87,'Fórmula'!D74,45),INDEX(properties!A$1:CB$87,'Fórmula'!F74,45),INDEX(properties!A$1:CB$87,'Fórmula'!H74,45),INDEX(properties!A$1:CB$87,'Fórmula'!J74,45))</f>
        <v>3</v>
      </c>
      <c r="EN74" s="123">
        <f t="array" ref="EN74">MIN(IF(INDEX(properties!A$1:CB$87,'Fórmula'!B74,45)=0,10^6,INDEX(properties!A$1:CB$87,'Fórmula'!B74,45)),IF(INDEX(properties!A$1:CB$87,'Fórmula'!D74,45)=0,10^6,INDEX(properties!A$1:CB$87,'Fórmula'!D74,45)),IF(INDEX(properties!A$1:CB$87,'Fórmula'!F74,45)=0,10^6,INDEX(properties!A$1:CB$87,'Fórmula'!F74,45)),IF(INDEX(properties!A$1:CB$87,'Fórmula'!H74,45)=0,10^6,INDEX(properties!A$1:CB$87,'Fórmula'!H74,45)),IF(INDEX(properties!A$1:CB$87,'Fórmula'!J74,45)=0,10^6,INDEX(properties!A$1:CB$87,'Fórmula'!J74,45)))</f>
        <v>0.47</v>
      </c>
      <c r="EO74" s="112">
        <f t="shared" si="24"/>
        <v>2.53</v>
      </c>
      <c r="EP74" s="113">
        <f t="array" ref="EP74">(('Fórmula'!C74)/('Fórmula'!C74+'Fórmula'!E74+'Fórmula'!G74+'Fórmula'!I74+'Fórmula'!K74))*(INDEX(properties!A$1:CB$87,'Fórmula'!B74,46))+(('Fórmula'!E74)/('Fórmula'!C74+'Fórmula'!E74+'Fórmula'!G74+'Fórmula'!I74+'Fórmula'!K74))*(INDEX(properties!A$1:CB$87,'Fórmula'!D74,46))+(('Fórmula'!G74)/('Fórmula'!C74+'Fórmula'!E74+'Fórmula'!G74+'Fórmula'!I74+'Fórmula'!K74))*(INDEX(properties!A$1:CB$87,'Fórmula'!F74,46))+(('Fórmula'!I74)/('Fórmula'!C74+'Fórmula'!E74+'Fórmula'!G74+'Fórmula'!I74+'Fórmula'!K74))*(INDEX(properties!A$1:CB$87,'Fórmula'!H74,46))+(('Fórmula'!K74)/('Fórmula'!C74+'Fórmula'!E74+'Fórmula'!G74+'Fórmula'!I74+'Fórmula'!K74))*(INDEX(properties!A$1:CB$87,'Fórmula'!J74,46))</f>
        <v>1.12</v>
      </c>
      <c r="EQ74" s="113">
        <f t="array" ref="EQ74">'Fórmula'!C74*(INDEX(properties!A$1:CB$87,'Fórmula'!B74,46))+'Fórmula'!E74*(INDEX(properties!A$1:CB$87,'Fórmula'!D74,46))+'Fórmula'!G74*(INDEX(properties!A$1:CB$87,'Fórmula'!F74,46))+'Fórmula'!I74*(INDEX(properties!A$1:CB$87,'Fórmula'!H74,46))+'Fórmula'!K74*(INDEX(properties!A$1:CB$87,'Fórmula'!J74,46))</f>
        <v>6.72</v>
      </c>
      <c r="ER74" s="113">
        <f t="array" ref="ER74">VARP(IF(INDEX(properties!A$1:CB$87,'Fórmula'!B74,46)&lt;&gt;"",INDEX(properties!A$1:CB$87,'Fórmula'!B74,46)),IF(INDEX(properties!A$1:CB$87,'Fórmula'!D74,46)&lt;&gt;"",INDEX(properties!A$1:CB$87,'Fórmula'!D74,46)),IF(INDEX(properties!A$1:CB$87,'Fórmula'!F74,46)&lt;&gt;"",INDEX(properties!A$1:CB$87,'Fórmula'!F74,46)),IF(INDEX(properties!A$1:CB$87,'Fórmula'!H74,46)&lt;&gt;"",INDEX(properties!A$1:CB$87,'Fórmula'!H74,46)),IF(INDEX(properties!A$1:CB$87,'Fórmula'!J74,46)&lt;&gt;"",INDEX(properties!A$1:CB$87,'Fórmula'!J74,46)))</f>
        <v>0.280336</v>
      </c>
      <c r="ES74" s="124">
        <f t="array" ref="ES74">MAX(INDEX(properties!A$1:CB$87,'Fórmula'!B74,46),INDEX(properties!A$1:CB$87,'Fórmula'!D74,46),INDEX(properties!A$1:CB$87,'Fórmula'!F74,46),INDEX(properties!A$1:CB$87,'Fórmula'!H74,46),INDEX(properties!A$1:CB$87,'Fórmula'!J74,46))</f>
        <v>1.21</v>
      </c>
      <c r="ET74" s="124">
        <f t="array" ref="ET74">MIN(IF(INDEX(properties!A$1:CB$87,'Fórmula'!B74,46)=0,10^6,INDEX(properties!A$1:CB$87,'Fórmula'!B74,46)),IF(INDEX(properties!A$1:CB$87,'Fórmula'!D74,46)=0,10^6,INDEX(properties!A$1:CB$87,'Fórmula'!D74,46)),IF(INDEX(properties!A$1:CB$87,'Fórmula'!F74,46)=0,10^6,INDEX(properties!A$1:CB$87,'Fórmula'!F74,46)),IF(INDEX(properties!A$1:CB$87,'Fórmula'!H74,46)=0,10^6,INDEX(properties!A$1:CB$87,'Fórmula'!H74,46)),IF(INDEX(properties!A$1:CB$87,'Fórmula'!J74,46)=0,10^6,INDEX(properties!A$1:CB$87,'Fórmula'!J74,46)))</f>
        <v>0.74</v>
      </c>
      <c r="EU74" s="113">
        <f t="shared" si="25"/>
        <v>0.47</v>
      </c>
      <c r="EV74" s="114">
        <f t="array" ref="EV74">(('Fórmula'!C74)/('Fórmula'!C74+'Fórmula'!E74+'Fórmula'!G74+'Fórmula'!I74+'Fórmula'!K74))*(INDEX(properties!A$1:CB$87,'Fórmula'!B74,52))+(('Fórmula'!E74)/('Fórmula'!C74+'Fórmula'!E74+'Fórmula'!G74+'Fórmula'!I74+'Fórmula'!K74))*(INDEX(properties!A$1:CB$87,'Fórmula'!D74,52))+(('Fórmula'!G74)/('Fórmula'!C74+'Fórmula'!E74+'Fórmula'!G74+'Fórmula'!I74+'Fórmula'!K74))*(INDEX(properties!A$1:CB$87,'Fórmula'!F74,52))+(('Fórmula'!I74)/('Fórmula'!C74+'Fórmula'!E74+'Fórmula'!G74+'Fórmula'!I74+'Fórmula'!K74))*(INDEX(properties!A$1:CB$87,'Fórmula'!H74,52))+(('Fórmula'!K74)/('Fórmula'!C74+'Fórmula'!E74+'Fórmula'!G74+'Fórmula'!I74+'Fórmula'!K74))*(INDEX(properties!A$1:CB$87,'Fórmula'!J74,52))</f>
        <v>6.178666667</v>
      </c>
      <c r="EW74" s="114">
        <f t="array" ref="EW74">'Fórmula'!C74*(INDEX(properties!A$1:CB$87,'Fórmula'!B74,52))+'Fórmula'!E74*(INDEX(properties!A$1:CB$87,'Fórmula'!D74,52))+'Fórmula'!G74*(INDEX(properties!A$1:CB$87,'Fórmula'!F74,52))+'Fórmula'!I74*(INDEX(properties!A$1:CB$87,'Fórmula'!H74,52))+'Fórmula'!K74*(INDEX(properties!A$1:CB$87,'Fórmula'!J74,52))</f>
        <v>37.072</v>
      </c>
      <c r="EX74" s="114">
        <f t="array" ref="EX74">VARP(IF(INDEX(properties!A$1:CB$87,'Fórmula'!B74,52)&lt;&gt;"",INDEX(properties!A$1:CB$87,'Fórmula'!B74,52)),IF(INDEX(properties!A$1:CB$87,'Fórmula'!D74,52)&lt;&gt;"",INDEX(properties!A$1:CB$87,'Fórmula'!D74,52)),IF(INDEX(properties!A$1:CB$87,'Fórmula'!F74,52)&lt;&gt;"",INDEX(properties!A$1:CB$87,'Fórmula'!F74,52)),IF(INDEX(properties!A$1:CB$87,'Fórmula'!H74,52)&lt;&gt;"",INDEX(properties!A$1:CB$87,'Fórmula'!H74,52)),IF(INDEX(properties!A$1:CB$87,'Fórmula'!J74,52)&lt;&gt;"",INDEX(properties!A$1:CB$87,'Fórmula'!J74,52)))</f>
        <v>80.59159984</v>
      </c>
      <c r="EY74" s="114">
        <f t="array" ref="EY74">MAX(INDEX(properties!A$1:CB$87,'Fórmula'!B74,52),INDEX(properties!A$1:CB$87,'Fórmula'!D74,52),INDEX(properties!A$1:CB$87,'Fórmula'!F74,52),INDEX(properties!A$1:CB$87,'Fórmula'!H74,52),INDEX(properties!A$1:CB$87,'Fórmula'!J74,52))</f>
        <v>22.8</v>
      </c>
      <c r="EZ74" s="114">
        <f t="array" ref="EZ74">MIN(IF(INDEX(properties!A$1:CB$87,'Fórmula'!B74,52)=0,10^6,INDEX(properties!A$1:CB$87,'Fórmula'!B74,52)),IF(INDEX(properties!A$1:CB$87,'Fórmula'!D74,52)=0,10^6,INDEX(properties!A$1:CB$87,'Fórmula'!D74,52)),IF(INDEX(properties!A$1:CB$87,'Fórmula'!F74,52)=0,10^6,INDEX(properties!A$1:CB$87,'Fórmula'!F74,52)),IF(INDEX(properties!A$1:CB$87,'Fórmula'!H74,52)=0,10^6,INDEX(properties!A$1:CB$87,'Fórmula'!H74,52)),IF(INDEX(properties!A$1:CB$87,'Fórmula'!J74,52)=0,10^6,INDEX(properties!A$1:CB$87,'Fórmula'!J74,52)))</f>
        <v>0.793</v>
      </c>
      <c r="FA74" s="114">
        <f t="shared" si="26"/>
        <v>22.007</v>
      </c>
      <c r="FB74" s="115">
        <f t="array" ref="FB74">(('Fórmula'!C74)/('Fórmula'!C74+'Fórmula'!E74+'Fórmula'!G74+'Fórmula'!I74+'Fórmula'!K74))*(INDEX(properties!A$1:CB$87,'Fórmula'!B74,53))+(('Fórmula'!E74)/('Fórmula'!C74+'Fórmula'!E74+'Fórmula'!G74+'Fórmula'!I74+'Fórmula'!K74))*(INDEX(properties!A$1:CB$87,'Fórmula'!D74,53))+(('Fórmula'!G74)/('Fórmula'!C74+'Fórmula'!E74+'Fórmula'!G74+'Fórmula'!I74+'Fórmula'!K74))*(INDEX(properties!A$1:CB$87,'Fórmula'!F74,53))+(('Fórmula'!I74)/('Fórmula'!C74+'Fórmula'!E74+'Fórmula'!G74+'Fórmula'!I74+'Fórmula'!K74))*(INDEX(properties!A$1:CB$87,'Fórmula'!H74,53))+(('Fórmula'!K74)/('Fórmula'!C74+'Fórmula'!E74+'Fórmula'!G74+'Fórmula'!I74+'Fórmula'!K74))*(INDEX(properties!A$1:CB$87,'Fórmula'!J74,53))</f>
        <v>835.7166667</v>
      </c>
      <c r="FC74" s="115">
        <f t="array" ref="FC74">'Fórmula'!C74*(INDEX(properties!A$1:CB$87,'Fórmula'!B74,53))+'Fórmula'!E74*(INDEX(properties!A$1:CB$87,'Fórmula'!D74,53))+'Fórmula'!G74*(INDEX(properties!A$1:CB$87,'Fórmula'!F74,53))+'Fórmula'!I74*(INDEX(properties!A$1:CB$87,'Fórmula'!H74,53))+'Fórmula'!K74*(INDEX(properties!A$1:CB$87,'Fórmula'!J74,53))</f>
        <v>5014.3</v>
      </c>
      <c r="FD74" s="115">
        <f t="array" ref="FD74">VARP(IF(INDEX(properties!A$1:CB$87,'Fórmula'!B74,53)&lt;&gt;"",INDEX(properties!A$1:CB$87,'Fórmula'!B74,53)),IF(INDEX(properties!A$1:CB$87,'Fórmula'!D74,53)&lt;&gt;"",INDEX(properties!A$1:CB$87,'Fórmula'!D74,53)),IF(INDEX(properties!A$1:CB$87,'Fórmula'!F74,53)&lt;&gt;"",INDEX(properties!A$1:CB$87,'Fórmula'!F74,53)),IF(INDEX(properties!A$1:CB$87,'Fórmula'!H74,53)&lt;&gt;"",INDEX(properties!A$1:CB$87,'Fórmula'!H74,53)),IF(INDEX(properties!A$1:CB$87,'Fórmula'!J74,53)&lt;&gt;"",INDEX(properties!A$1:CB$87,'Fórmula'!J74,53)))</f>
        <v>2020174.421</v>
      </c>
      <c r="FE74" s="115">
        <f t="array" ref="FE74">MAX(INDEX(properties!A$1:CB$87,'Fórmula'!B74,53),INDEX(properties!A$1:CB$87,'Fórmula'!D74,53),INDEX(properties!A$1:CB$87,'Fórmula'!F74,53),INDEX(properties!A$1:CB$87,'Fórmula'!H74,53),INDEX(properties!A$1:CB$87,'Fórmula'!J74,53))</f>
        <v>3683.15</v>
      </c>
      <c r="FF74" s="115">
        <f t="array" ref="FF74">MIN(IF(INDEX(properties!A$1:CB$87,'Fórmula'!B74,53)=0,10^6,INDEX(properties!A$1:CB$87,'Fórmula'!B74,53)),IF(INDEX(properties!A$1:CB$87,'Fórmula'!D74,53)=0,10^6,INDEX(properties!A$1:CB$87,'Fórmula'!D74,53)),IF(INDEX(properties!A$1:CB$87,'Fórmula'!F74,53)=0,10^6,INDEX(properties!A$1:CB$87,'Fórmula'!F74,53)),IF(INDEX(properties!A$1:CB$87,'Fórmula'!H74,53)=0,10^6,INDEX(properties!A$1:CB$87,'Fórmula'!H74,53)),IF(INDEX(properties!A$1:CB$87,'Fórmula'!J74,53)=0,10^6,INDEX(properties!A$1:CB$87,'Fórmula'!J74,53)))</f>
        <v>54.75</v>
      </c>
      <c r="FG74" s="115">
        <f t="shared" si="27"/>
        <v>3628.4</v>
      </c>
      <c r="FH74" s="117">
        <f t="array" ref="FH74">(('Fórmula'!C74)/('Fórmula'!C74+'Fórmula'!E74+'Fórmula'!G74+'Fórmula'!I74+'Fórmula'!K74))*(INDEX(properties!A$1:CB$87,'Fórmula'!B74,54))+(('Fórmula'!E74)/('Fórmula'!C74+'Fórmula'!E74+'Fórmula'!G74+'Fórmula'!I74+'Fórmula'!K74))*(INDEX(properties!A$1:CB$87,'Fórmula'!D74,54))+(('Fórmula'!G74)/('Fórmula'!C74+'Fórmula'!E74+'Fórmula'!G74+'Fórmula'!I74+'Fórmula'!K74))*(INDEX(properties!A$1:CB$87,'Fórmula'!F74,54))+(('Fórmula'!I74)/('Fórmula'!C74+'Fórmula'!E74+'Fórmula'!G74+'Fórmula'!I74+'Fórmula'!K74))*(INDEX(properties!A$1:CB$87,'Fórmula'!H74,54))+(('Fórmula'!K74)/('Fórmula'!C74+'Fórmula'!E74+'Fórmula'!G74+'Fórmula'!I74+'Fórmula'!K74))*(INDEX(properties!A$1:CB$87,'Fórmula'!J74,54))</f>
        <v>1341.816667</v>
      </c>
      <c r="FI74" s="117">
        <f t="array" ref="FI74">'Fórmula'!C74*(INDEX(properties!A$1:CB$87,'Fórmula'!B74,54))+'Fórmula'!E74*(INDEX(properties!A$1:CB$87,'Fórmula'!D74,54))+'Fórmula'!G74*(INDEX(properties!A$1:CB$87,'Fórmula'!F74,54))+'Fórmula'!I74*(INDEX(properties!A$1:CB$87,'Fórmula'!H74,54))+'Fórmula'!K74*(INDEX(properties!A$1:CB$87,'Fórmula'!J74,54))</f>
        <v>8050.9</v>
      </c>
      <c r="FJ74" s="117">
        <f t="array" ref="FJ74">VARP(IF(INDEX(properties!A$1:CB$87,'Fórmula'!B74,54)&lt;&gt;"",INDEX(properties!A$1:CB$87,'Fórmula'!B74,54)),IF(INDEX(properties!A$1:CB$87,'Fórmula'!D74,54)&lt;&gt;"",INDEX(properties!A$1:CB$87,'Fórmula'!D74,54)),IF(INDEX(properties!A$1:CB$87,'Fórmula'!F74,54)&lt;&gt;"",INDEX(properties!A$1:CB$87,'Fórmula'!F74,54)),IF(INDEX(properties!A$1:CB$87,'Fórmula'!H74,54)&lt;&gt;"",INDEX(properties!A$1:CB$87,'Fórmula'!H74,54)),IF(INDEX(properties!A$1:CB$87,'Fórmula'!J74,54)&lt;&gt;"",INDEX(properties!A$1:CB$87,'Fórmula'!J74,54)))</f>
        <v>5238178.325</v>
      </c>
      <c r="FK74" s="117">
        <f t="array" ref="FK74">MAX(INDEX(properties!A$1:CB$87,'Fórmula'!B74,54),INDEX(properties!A$1:CB$87,'Fórmula'!D74,54),INDEX(properties!A$1:CB$87,'Fórmula'!F74,54),INDEX(properties!A$1:CB$87,'Fórmula'!H74,54),INDEX(properties!A$1:CB$87,'Fórmula'!J74,54))</f>
        <v>5933.15</v>
      </c>
      <c r="FL74" s="117">
        <f t="array" ref="FL74">MIN(IF(INDEX(properties!A$1:CB$87,'Fórmula'!B74,54)=0,10^6,INDEX(properties!A$1:CB$87,'Fórmula'!B74,54)),IF(INDEX(properties!A$1:CB$87,'Fórmula'!D74,54)=0,10^6,INDEX(properties!A$1:CB$87,'Fórmula'!D74,54)),IF(INDEX(properties!A$1:CB$87,'Fórmula'!F74,54)=0,10^6,INDEX(properties!A$1:CB$87,'Fórmula'!F74,54)),IF(INDEX(properties!A$1:CB$87,'Fórmula'!H74,54)=0,10^6,INDEX(properties!A$1:CB$87,'Fórmula'!H74,54)),IF(INDEX(properties!A$1:CB$87,'Fórmula'!J74,54)=0,10^6,INDEX(properties!A$1:CB$87,'Fórmula'!J74,54)))</f>
        <v>90.15</v>
      </c>
      <c r="FM74" s="117">
        <f t="shared" si="28"/>
        <v>5843</v>
      </c>
      <c r="FN74" s="118">
        <f t="array" ref="FN74">(('Fórmula'!C74)/('Fórmula'!C74+'Fórmula'!E74+'Fórmula'!G74+'Fórmula'!I74+'Fórmula'!K74))*(INDEX(properties!A$1:CB$87,'Fórmula'!B74,55))+(('Fórmula'!E74)/('Fórmula'!C74+'Fórmula'!E74+'Fórmula'!G74+'Fórmula'!I74+'Fórmula'!K74))*(INDEX(properties!A$1:CB$87,'Fórmula'!D74,55))+(('Fórmula'!G74)/('Fórmula'!C74+'Fórmula'!E74+'Fórmula'!G74+'Fórmula'!I74+'Fórmula'!K74))*(INDEX(properties!A$1:CB$87,'Fórmula'!F74,55))+(('Fórmula'!I74)/('Fórmula'!C74+'Fórmula'!E74+'Fórmula'!G74+'Fórmula'!I74+'Fórmula'!K74))*(INDEX(properties!A$1:CB$87,'Fórmula'!H74,55))+(('Fórmula'!K74)/('Fórmula'!C74+'Fórmula'!E74+'Fórmula'!G74+'Fórmula'!I74+'Fórmula'!K74))*(INDEX(properties!A$1:CB$87,'Fórmula'!J74,55))</f>
        <v>3.475953333</v>
      </c>
      <c r="FO74" s="118">
        <f t="array" ref="FO74">'Fórmula'!C74*(INDEX(properties!A$1:CB$87,'Fórmula'!B74,55))+'Fórmula'!E74*(INDEX(properties!A$1:CB$87,'Fórmula'!D74,54))+'Fórmula'!G74*(INDEX(properties!A$1:CB$87,'Fórmula'!F74,55))+'Fórmula'!I74*(INDEX(properties!A$1:CB$87,'Fórmula'!H74,55))+'Fórmula'!K74*(INDEX(properties!A$1:CB$87,'Fórmula'!J74,55))</f>
        <v>5934.70572</v>
      </c>
      <c r="FP74" s="118">
        <f t="array" ref="FP74">VARP(IF(INDEX(properties!A$1:CB$87,'Fórmula'!B74,55)&lt;&gt;"",INDEX(properties!A$1:CB$87,'Fórmula'!B74,55)),IF(INDEX(properties!A$1:CB$87,'Fórmula'!D74,55)&lt;&gt;"",INDEX(properties!A$1:CB$87,'Fórmula'!D74,55)),IF(INDEX(properties!A$1:CB$87,'Fórmula'!F74,55)&lt;&gt;"",INDEX(properties!A$1:CB$87,'Fórmula'!F74,55)),IF(INDEX(properties!A$1:CB$87,'Fórmula'!H74,55)&lt;&gt;"",INDEX(properties!A$1:CB$87,'Fórmula'!H74,55)),IF(INDEX(properties!A$1:CB$87,'Fórmula'!J74,55)&lt;&gt;"",INDEX(properties!A$1:CB$87,'Fórmula'!J74,55)))</f>
        <v>57.58721509</v>
      </c>
      <c r="FQ74" s="118">
        <f t="array" ref="FQ74">MAX(INDEX(properties!A$1:CB$87,'Fórmula'!B74,55),INDEX(properties!A$1:CB$87,'Fórmula'!D74,55),INDEX(properties!A$1:CB$87,'Fórmula'!F74,55),INDEX(properties!A$1:CB$87,'Fórmula'!H74,55),INDEX(properties!A$1:CB$87,'Fórmula'!J74,55))</f>
        <v>19.3</v>
      </c>
      <c r="FR74" s="118">
        <f t="array" ref="FR74">MIN(IF(INDEX(properties!A$1:CB$87,'Fórmula'!B74,55)=0,10^6,INDEX(properties!A$1:CB$87,'Fórmula'!B74,55)),IF(INDEX(properties!A$1:CB$87,'Fórmula'!D74,55)=0,10^6,INDEX(properties!A$1:CB$87,'Fórmula'!D74,55)),IF(INDEX(properties!A$1:CB$87,'Fórmula'!F74,55)=0,10^6,INDEX(properties!A$1:CB$87,'Fórmula'!F74,55)),IF(INDEX(properties!A$1:CB$87,'Fórmula'!H74,55)=0,10^6,INDEX(properties!A$1:CB$87,'Fórmula'!H74,55)),IF(INDEX(properties!A$1:CB$87,'Fórmula'!J74,55)=0,10^6,INDEX(properties!A$1:CB$87,'Fórmula'!J74,55)))</f>
        <v>0.00143</v>
      </c>
      <c r="FS74" s="118">
        <f t="shared" si="29"/>
        <v>19.29857</v>
      </c>
      <c r="FT74" s="119">
        <f t="array" ref="FT74">(('Fórmula'!C74)/('Fórmula'!C74+'Fórmula'!E74+'Fórmula'!G74+'Fórmula'!I74+'Fórmula'!K74))*(INDEX(properties!A$1:CB$87,'Fórmula'!B74,56))+(('Fórmula'!E74)/('Fórmula'!C74+'Fórmula'!E74+'Fórmula'!G74+'Fórmula'!I74+'Fórmula'!K74))*(INDEX(properties!A$1:CB$87,'Fórmula'!D74,56))+(('Fórmula'!G74)/('Fórmula'!C74+'Fórmula'!E74+'Fórmula'!G74+'Fórmula'!I74+'Fórmula'!K74))*(INDEX(properties!A$1:CB$87,'Fórmula'!F74,56))+(('Fórmula'!I74)/('Fórmula'!C74+'Fórmula'!E74+'Fórmula'!G74+'Fórmula'!I74+'Fórmula'!K74))*(INDEX(properties!A$1:CB$87,'Fórmula'!H74,56))+(('Fórmula'!K74)/('Fórmula'!C74+'Fórmula'!E74+'Fórmula'!G74+'Fórmula'!I74+'Fórmula'!K74))*(INDEX(properties!A$1:CB$87,'Fórmula'!J74,56))</f>
        <v>0.74</v>
      </c>
      <c r="FU74" s="119">
        <f t="array" ref="FU74">'Fórmula'!C74*(INDEX(properties!A$1:CB$87,'Fórmula'!B74,56))+'Fórmula'!E74*(INDEX(properties!A$1:CB$87,'Fórmula'!D74,56))+'Fórmula'!G74*(INDEX(properties!A$1:CB$87,'Fórmula'!F74,56))+'Fórmula'!I74*(INDEX(properties!A$1:CB$87,'Fórmula'!H74,56))+'Fórmula'!K74*(INDEX(properties!A$1:CB$87,'Fórmula'!J74,56))</f>
        <v>4.44</v>
      </c>
      <c r="FV74" s="119">
        <f t="array" ref="FV74">VARP(IF(INDEX(properties!A$1:CB$87,'Fórmula'!B74,56)&lt;&gt;"",INDEX(properties!A$1:CB$87,'Fórmula'!B74,56)),IF(INDEX(properties!A$1:CB$87,'Fórmula'!D74,56)&lt;&gt;"",INDEX(properties!A$1:CB$87,'Fórmula'!D74,56)),IF(INDEX(properties!A$1:CB$87,'Fórmula'!F74,56)&lt;&gt;"",INDEX(properties!A$1:CB$87,'Fórmula'!F74,56)),IF(INDEX(properties!A$1:CB$87,'Fórmula'!H74,56)&lt;&gt;"",INDEX(properties!A$1:CB$87,'Fórmula'!H74,56)),IF(INDEX(properties!A$1:CB$87,'Fórmula'!J74,56)&lt;&gt;"",INDEX(properties!A$1:CB$87,'Fórmula'!J74,56)))</f>
        <v>0.139144</v>
      </c>
      <c r="FW74" s="119">
        <f t="array" ref="FW74">MAX(INDEX(properties!A$1:CB$87,'Fórmula'!B74,56),INDEX(properties!A$1:CB$87,'Fórmula'!D74,56),INDEX(properties!A$1:CB$87,'Fórmula'!F74,56),INDEX(properties!A$1:CB$87,'Fórmula'!H74,56),INDEX(properties!A$1:CB$87,'Fórmula'!J74,56))</f>
        <v>0.92</v>
      </c>
      <c r="FX74" s="119">
        <f t="array" ref="FX74">MIN(IF(INDEX(properties!A$1:CB$87,'Fórmula'!B74,56)=0,10^6,INDEX(properties!A$1:CB$87,'Fórmula'!B74,56)),IF(INDEX(properties!A$1:CB$87,'Fórmula'!D74,56)=0,10^6,INDEX(properties!A$1:CB$87,'Fórmula'!D74,56)),IF(INDEX(properties!A$1:CB$87,'Fórmula'!F74,56)=0,10^6,INDEX(properties!A$1:CB$87,'Fórmula'!F74,56)),IF(INDEX(properties!A$1:CB$87,'Fórmula'!H74,56)=0,10^6,INDEX(properties!A$1:CB$87,'Fórmula'!H74,56)),IF(INDEX(properties!A$1:CB$87,'Fórmula'!J74,56)=0,10^6,INDEX(properties!A$1:CB$87,'Fórmula'!J74,56)))</f>
        <v>0.13</v>
      </c>
      <c r="FY74" s="119">
        <f t="shared" si="30"/>
        <v>0.79</v>
      </c>
      <c r="FZ74" s="104">
        <f t="array" ref="FZ74">(('Fórmula'!C74)/('Fórmula'!C74+'Fórmula'!E74+'Fórmula'!G74+'Fórmula'!I74+'Fórmula'!K74))*(INDEX(properties!A$1:CB$87,'Fórmula'!B74,57))+(('Fórmula'!E74)/('Fórmula'!C74+'Fórmula'!E74+'Fórmula'!G74+'Fórmula'!I74+'Fórmula'!K74))*(INDEX(properties!A$1:CB$87,'Fórmula'!D74,57))+(('Fórmula'!G74)/('Fórmula'!C74+'Fórmula'!E74+'Fórmula'!G74+'Fórmula'!I74+'Fórmula'!K74))*(INDEX(properties!A$1:CB$87,'Fórmula'!F74,57))+(('Fórmula'!I74)/('Fórmula'!C74+'Fórmula'!E74+'Fórmula'!G74+'Fórmula'!I74+'Fórmula'!K74))*(INDEX(properties!A$1:CB$87,'Fórmula'!H74,57))+(('Fórmula'!K74)/('Fórmula'!C74+'Fórmula'!E74+'Fórmula'!G74+'Fórmula'!I74+'Fórmula'!K74))*(INDEX(properties!A$1:CB$87,'Fórmula'!J74,57))</f>
        <v>7.471726667</v>
      </c>
      <c r="GA74" s="104">
        <f t="array" ref="GA74">'Fórmula'!C74*(INDEX(properties!A$1:CB$87,'Fórmula'!B74,57))+'Fórmula'!E74*(INDEX(properties!A$1:CB$87,'Fórmula'!D74,57))+'Fórmula'!G74*(INDEX(properties!A$1:CB$87,'Fórmula'!F74,57))+'Fórmula'!I74*(INDEX(properties!A$1:CB$87,'Fórmula'!H74,57))+'Fórmula'!K74*(INDEX(properties!A$1:CB$87,'Fórmula'!J74,57))</f>
        <v>44.83036</v>
      </c>
      <c r="GB74" s="104">
        <f t="array" ref="GB74">VARP(IF(INDEX(properties!A$1:CB$87,'Fórmula'!B74,57)&lt;&gt;"",INDEX(properties!A$1:CB$87,'Fórmula'!B74,57)),IF(INDEX(properties!A$1:CB$87,'Fórmula'!D74,57)&lt;&gt;"",INDEX(properties!A$1:CB$87,'Fórmula'!D74,57)),IF(INDEX(properties!A$1:CB$87,'Fórmula'!F74,57)&lt;&gt;"",INDEX(properties!A$1:CB$87,'Fórmula'!F74,57)),IF(INDEX(properties!A$1:CB$87,'Fórmula'!H74,57)&lt;&gt;"",INDEX(properties!A$1:CB$87,'Fórmula'!H74,57)),IF(INDEX(properties!A$1:CB$87,'Fórmula'!J74,57)&lt;&gt;"",INDEX(properties!A$1:CB$87,'Fórmula'!J74,57)))</f>
        <v>187.214855</v>
      </c>
      <c r="GC74" s="104">
        <f t="array" ref="GC74">MAX(INDEX(properties!A$1:CB$87,'Fórmula'!B74,57),INDEX(properties!A$1:CB$87,'Fórmula'!D74,57),INDEX(properties!A$1:CB$87,'Fórmula'!F74,57),INDEX(properties!A$1:CB$87,'Fórmula'!H74,57),INDEX(properties!A$1:CB$87,'Fórmula'!J74,57))</f>
        <v>35.4</v>
      </c>
      <c r="GD74" s="104">
        <f t="array" ref="GD74">MIN(IF(INDEX(properties!A$1:CB$87,'Fórmula'!B74,57)=0,10^6,INDEX(properties!A$1:CB$87,'Fórmula'!B74,57)),IF(INDEX(properties!A$1:CB$87,'Fórmula'!D74,57)=0,10^6,INDEX(properties!A$1:CB$87,'Fórmula'!D74,57)),IF(INDEX(properties!A$1:CB$87,'Fórmula'!F74,57)=0,10^6,INDEX(properties!A$1:CB$87,'Fórmula'!F74,57)),IF(INDEX(properties!A$1:CB$87,'Fórmula'!H74,57)=0,10^6,INDEX(properties!A$1:CB$87,'Fórmula'!H74,57)),IF(INDEX(properties!A$1:CB$87,'Fórmula'!J74,57)=0,10^6,INDEX(properties!A$1:CB$87,'Fórmula'!J74,57)))</f>
        <v>0.22259</v>
      </c>
      <c r="GE74" s="104">
        <f t="shared" si="31"/>
        <v>35.17741</v>
      </c>
      <c r="GF74" s="105">
        <f t="array" ref="GF74">(('Fórmula'!C74)/('Fórmula'!C74+'Fórmula'!E74+'Fórmula'!G74+'Fórmula'!I74+'Fórmula'!K74))*(INDEX(properties!A$1:CB$87,'Fórmula'!B74,60))+(('Fórmula'!E74)/('Fórmula'!C74+'Fórmula'!E74+'Fórmula'!G74+'Fórmula'!I74+'Fórmula'!K74))*(INDEX(properties!A$1:CB$87,'Fórmula'!D74,60))+(('Fórmula'!G74)/('Fórmula'!C74+'Fórmula'!E74+'Fórmula'!G74+'Fórmula'!I74+'Fórmula'!K74))*(INDEX(properties!A$1:CB$87,'Fórmula'!F74,60))+(('Fórmula'!I74)/('Fórmula'!C74+'Fórmula'!E74+'Fórmula'!G74+'Fórmula'!I74+'Fórmula'!K74))*(INDEX(properties!A$1:CB$87,'Fórmula'!H74,60))+(('Fórmula'!K74)/('Fórmula'!C74+'Fórmula'!E74+'Fórmula'!G74+'Fórmula'!I74+'Fórmula'!K74))*(INDEX(properties!A$1:CB$87,'Fórmula'!J74,60))</f>
        <v>62.35116</v>
      </c>
      <c r="GG74" s="105">
        <f t="array" ref="GG74">'Fórmula'!C74*(INDEX(properties!A$1:CB$87,'Fórmula'!B74,60))+'Fórmula'!E74*(INDEX(properties!A$1:CB$87,'Fórmula'!D74,60))+'Fórmula'!G74*(INDEX(properties!A$1:CB$87,'Fórmula'!F74,60))+'Fórmula'!I74*(INDEX(properties!A$1:CB$87,'Fórmula'!H74,60))+'Fórmula'!K74*(INDEX(properties!A$1:CB$87,'Fórmula'!J74,60))</f>
        <v>374.10696</v>
      </c>
      <c r="GH74" s="105">
        <f t="array" ref="GH74">VARP(IF(INDEX(properties!A$1:CB$87,'Fórmula'!B74,60)&lt;&gt;"",INDEX(properties!A$1:CB$87,'Fórmula'!B74,60)),IF(INDEX(properties!A$1:CB$87,'Fórmula'!D74,60)&lt;&gt;"",INDEX(properties!A$1:CB$87,'Fórmula'!D74,60)),IF(INDEX(properties!A$1:CB$87,'Fórmula'!F74,60)&lt;&gt;"",INDEX(properties!A$1:CB$87,'Fórmula'!F74,60)),IF(INDEX(properties!A$1:CB$87,'Fórmula'!H74,60)&lt;&gt;"",INDEX(properties!A$1:CB$87,'Fórmula'!H74,60)),IF(INDEX(properties!A$1:CB$87,'Fórmula'!J74,60)&lt;&gt;"",INDEX(properties!A$1:CB$87,'Fórmula'!J74,60)))</f>
        <v>8459.360054</v>
      </c>
      <c r="GI74" s="105">
        <f t="array" ref="GI74">MAX(INDEX(properties!A$1:CB$87,'Fórmula'!B74,60),INDEX(properties!A$1:CB$87,'Fórmula'!D74,60),INDEX(properties!A$1:CB$87,'Fórmula'!F74,60),INDEX(properties!A$1:CB$87,'Fórmula'!H74,60),INDEX(properties!A$1:CB$87,'Fórmula'!J74,60))</f>
        <v>200</v>
      </c>
      <c r="GJ74" s="105">
        <f t="array" ref="GJ74">MIN(IF(INDEX(properties!A$1:CB$87,'Fórmula'!B74,60)=0,10^6,INDEX(properties!A$1:CB$87,'Fórmula'!B74,60)),IF(INDEX(properties!A$1:CB$87,'Fórmula'!D74,60)=0,10^6,INDEX(properties!A$1:CB$87,'Fórmula'!D74,60)),IF(INDEX(properties!A$1:CB$87,'Fórmula'!F74,60)=0,10^6,INDEX(properties!A$1:CB$87,'Fórmula'!F74,60)),IF(INDEX(properties!A$1:CB$87,'Fórmula'!H74,60)=0,10^6,INDEX(properties!A$1:CB$87,'Fórmula'!H74,60)),IF(INDEX(properties!A$1:CB$87,'Fórmula'!J74,60)=0,10^6,INDEX(properties!A$1:CB$87,'Fórmula'!J74,60)))</f>
        <v>0.02674</v>
      </c>
      <c r="GK74" s="105">
        <f t="shared" si="32"/>
        <v>199.97326</v>
      </c>
      <c r="GL74" s="106">
        <f t="array" ref="GL74">(('Fórmula'!C74)/('Fórmula'!C74+'Fórmula'!E74+'Fórmula'!G74+'Fórmula'!I74+'Fórmula'!K74))*(INDEX(properties!A$1:CB$87,'Fórmula'!B74,62))+(('Fórmula'!E74)/('Fórmula'!C74+'Fórmula'!E74+'Fórmula'!G74+'Fórmula'!I74+'Fórmula'!K74))*(INDEX(properties!A$1:CB$87,'Fórmula'!D74,62))+(('Fórmula'!G74)/('Fórmula'!C74+'Fórmula'!E74+'Fórmula'!G74+'Fórmula'!I74+'Fórmula'!K74))*(INDEX(properties!A$1:CB$87,'Fórmula'!F74,62))+(('Fórmula'!I74)/('Fórmula'!C74+'Fórmula'!E74+'Fórmula'!G74+'Fórmula'!I74+'Fórmula'!K74))*(INDEX(properties!A$1:CB$87,'Fórmula'!H74,62))+(('Fórmula'!K74)/('Fórmula'!C74+'Fórmula'!E74+'Fórmula'!G74+'Fórmula'!I74+'Fórmula'!K74))*(INDEX(properties!A$1:CB$87,'Fórmula'!J74,62))</f>
        <v>3.536666667</v>
      </c>
      <c r="GM74" s="106">
        <f t="array" ref="GM74">'Fórmula'!C74*(INDEX(properties!A$1:CB$87,'Fórmula'!B74,62))+'Fórmula'!E74*(INDEX(properties!A$1:CB$87,'Fórmula'!D74,62))+'Fórmula'!G74*(INDEX(properties!A$1:CB$87,'Fórmula'!F74,62))+'Fórmula'!I74*(INDEX(properties!A$1:CB$87,'Fórmula'!H74,62))+'Fórmula'!K74*(INDEX(properties!A$1:CB$87,'Fórmula'!J74,62))</f>
        <v>21.22</v>
      </c>
      <c r="GN74" s="106">
        <f t="array" ref="GN74">VARP(IF(INDEX(properties!A$1:CB$87,'Fórmula'!B74,62)&lt;&gt;"",INDEX(properties!A$1:CB$87,'Fórmula'!B74,62)),IF(INDEX(properties!A$1:CB$87,'Fórmula'!D74,62)&lt;&gt;"",INDEX(properties!A$1:CB$87,'Fórmula'!D74,62)),IF(INDEX(properties!A$1:CB$87,'Fórmula'!F74,62)&lt;&gt;"",INDEX(properties!A$1:CB$87,'Fórmula'!F74,62)),IF(INDEX(properties!A$1:CB$87,'Fórmula'!H74,62)&lt;&gt;"",INDEX(properties!A$1:CB$87,'Fórmula'!H74,62)),IF(INDEX(properties!A$1:CB$87,'Fórmula'!J74,62)&lt;&gt;"",INDEX(properties!A$1:CB$87,'Fórmula'!J74,62)))</f>
        <v>10.752416</v>
      </c>
      <c r="GO74" s="106">
        <f t="array" ref="GO74">MAX(INDEX(properties!A$1:CB$87,'Fórmula'!B74,62),INDEX(properties!A$1:CB$87,'Fórmula'!D74,62),INDEX(properties!A$1:CB$87,'Fórmula'!F74,62),INDEX(properties!A$1:CB$87,'Fórmula'!H74,62),INDEX(properties!A$1:CB$87,'Fórmula'!J74,62))</f>
        <v>8.9</v>
      </c>
      <c r="GP74" s="106">
        <f t="array" ref="GP74">MIN(IF(INDEX(properties!A$1:CB$87,'Fórmula'!B74,62)=0,10^6,INDEX(properties!A$1:CB$87,'Fórmula'!B74,62)),IF(INDEX(properties!A$1:CB$87,'Fórmula'!D74,62)=0,10^6,INDEX(properties!A$1:CB$87,'Fórmula'!D74,62)),IF(INDEX(properties!A$1:CB$87,'Fórmula'!F74,62)=0,10^6,INDEX(properties!A$1:CB$87,'Fórmula'!F74,62)),IF(INDEX(properties!A$1:CB$87,'Fórmula'!H74,62)=0,10^6,INDEX(properties!A$1:CB$87,'Fórmula'!H74,62)),IF(INDEX(properties!A$1:CB$87,'Fórmula'!J74,62)=0,10^6,INDEX(properties!A$1:CB$87,'Fórmula'!J74,62)))</f>
        <v>1.84</v>
      </c>
      <c r="GQ74" s="106">
        <f t="shared" si="33"/>
        <v>7.06</v>
      </c>
      <c r="GR74" s="106">
        <f>'Fórmula'!Q74</f>
        <v>88</v>
      </c>
      <c r="GS74" s="107">
        <f>'Fórmula'!P74</f>
        <v>2</v>
      </c>
      <c r="GT74" s="113">
        <f>'Fórmula'!O74</f>
        <v>6.15</v>
      </c>
      <c r="GU74" s="114">
        <f>AVERAGE('Fórmula'!R74/'Fórmula'!S74,'Fórmula'!S74/'Fórmula'!T74,'Fórmula'!T74/'Fórmula'!R74)</f>
        <v>1.209024139</v>
      </c>
      <c r="GV74" s="125">
        <f>'Fórmula'!U74</f>
        <v>310.74</v>
      </c>
      <c r="GW74" s="106">
        <f>'Fórmula'!N74</f>
        <v>0.03</v>
      </c>
    </row>
    <row r="75" ht="14.25" customHeight="1">
      <c r="A75" s="99" t="str">
        <f>'Fórmula'!A75</f>
        <v>NaCaGaSi2O7</v>
      </c>
      <c r="B75" s="100">
        <f t="array" ref="B75">(('Fórmula'!C75)/('Fórmula'!C75+'Fórmula'!E75+'Fórmula'!G75+'Fórmula'!I75+'Fórmula'!K75))*(INDEX(properties!A$1:CB$87,'Fórmula'!B75,3))+(('Fórmula'!E75)/('Fórmula'!C75+'Fórmula'!E75+'Fórmula'!G75+'Fórmula'!I75+'Fórmula'!K75))*(INDEX(properties!A$1:CB$87,'Fórmula'!D75,3))+(('Fórmula'!G75)/('Fórmula'!C75+'Fórmula'!E75+'Fórmula'!G75+'Fórmula'!I75+'Fórmula'!K75))*(INDEX(properties!A$1:CB$87,'Fórmula'!F75,3))+(('Fórmula'!I75)/('Fórmula'!C75+'Fórmula'!E75+'Fórmula'!G75+'Fórmula'!I75+'Fórmula'!K75))*(INDEX(properties!A$1:CB$87,'Fórmula'!H75,3))+(('Fórmula'!K75)/('Fórmula'!C75+'Fórmula'!E75+'Fórmula'!G75+'Fórmula'!I75+'Fórmula'!K75))*(INDEX(properties!A$1:CB$87,'Fórmula'!J75,3))</f>
        <v>25.07979733</v>
      </c>
      <c r="C75" s="101">
        <f t="array" ref="C75">'Fórmula'!C75*(INDEX(properties!A$1:CB$87,'Fórmula'!B75,3))+'Fórmula'!E75*(INDEX(properties!A$1:CB$87,'Fórmula'!D75,3))+'Fórmula'!G75*(INDEX(properties!A$1:CB$87,'Fórmula'!F75,3))+'Fórmula'!I75*(INDEX(properties!A$1:CB$87,'Fórmula'!H75,3))+'Fórmula'!K75*(INDEX(properties!A$1:CB$87,'Fórmula'!J75,3))</f>
        <v>300.957568</v>
      </c>
      <c r="D75" s="101">
        <f t="array" ref="D75">VARP(IF(INDEX(properties!A$1:CB$87,'Fórmula'!B75,3)&lt;&gt;"",INDEX(properties!A$1:CB$87,'Fórmula'!B75,3)),IF(INDEX(properties!A$1:CB$87,'Fórmula'!D75,3)&lt;&gt;"",INDEX(properties!A$1:CB$87,'Fórmula'!D75,3)),IF(INDEX(properties!A$1:CB$87,'Fórmula'!F75,3)&lt;&gt;"",INDEX(properties!A$1:CB$87,'Fórmula'!F75,3)),IF(INDEX(properties!A$1:CB$87,'Fórmula'!H75,3)&lt;&gt;"",INDEX(properties!A$1:CB$87,'Fórmula'!H75,3)),IF(INDEX(properties!A$1:CB$87,'Fórmula'!J75,3)&lt;&gt;"",INDEX(properties!A$1:CB$87,'Fórmula'!J75,3)))</f>
        <v>356.769594</v>
      </c>
      <c r="E75" s="101">
        <f t="array" ref="E75">MAX(INDEX(properties!A$1:CB$87,'Fórmula'!B75,3),INDEX(properties!A$1:CB$87,'Fórmula'!D75,3),INDEX(properties!A$1:CB$87,'Fórmula'!F75,3),INDEX(properties!A$1:CB$87,'Fórmula'!H75,3),INDEX(properties!A$1:CB$87,'Fórmula'!J75,3))</f>
        <v>69.723</v>
      </c>
      <c r="F75" s="101">
        <f t="array" ref="F75">MIN(IF(INDEX(properties!A$1:CB$87,'Fórmula'!B75,3)=0,10^6,INDEX(properties!A$1:CB$87,'Fórmula'!B75,3)),IF(INDEX(properties!A$1:CB$87,'Fórmula'!D75,3)=0,10^6,INDEX(properties!A$1:CB$87,'Fórmula'!D75,3)),IF(INDEX(properties!A$1:CB$87,'Fórmula'!F75,3)=0,10^6,INDEX(properties!A$1:CB$87,'Fórmula'!F75,3)),IF(INDEX(properties!A$1:CB$87,'Fórmula'!H75,3)=0,10^6,INDEX(properties!A$1:CB$87,'Fórmula'!H75,3)),IF(INDEX(properties!A$1:CB$87,'Fórmula'!J75,3)=0,10^6,INDEX(properties!A$1:CB$87,'Fórmula'!J75,3)))</f>
        <v>15.9994</v>
      </c>
      <c r="G75" s="101">
        <f t="shared" si="1"/>
        <v>53.7236</v>
      </c>
      <c r="H75" s="102">
        <f t="array" ref="H75">(('Fórmula'!C75)/('Fórmula'!C75+'Fórmula'!E75+'Fórmula'!G75+'Fórmula'!I75+'Fórmula'!K75))*(INDEX(properties!A$1:CB$87,'Fórmula'!B75,4))+(('Fórmula'!E75)/('Fórmula'!C75+'Fórmula'!E75+'Fórmula'!G75+'Fórmula'!I75+'Fórmula'!K75))*(INDEX(properties!A$1:CB$87,'Fórmula'!D75,4))+(('Fórmula'!G75)/('Fórmula'!C75+'Fórmula'!E75+'Fórmula'!G75+'Fórmula'!I75+'Fórmula'!K75))*(INDEX(properties!A$1:CB$87,'Fórmula'!F75,4))+(('Fórmula'!I75)/('Fórmula'!C75+'Fórmula'!E75+'Fórmula'!G75+'Fórmula'!I75+'Fórmula'!K75))*(INDEX(properties!A$1:CB$87,'Fórmula'!H75,4))+(('Fórmula'!K75)/('Fórmula'!C75+'Fórmula'!E75+'Fórmula'!G75+'Fórmula'!I75+'Fórmula'!K75))*(INDEX(properties!A$1:CB$87,'Fórmula'!J75,4))</f>
        <v>12.16666667</v>
      </c>
      <c r="I75" s="102">
        <f t="array" ref="I75">'Fórmula'!C75*(INDEX(properties!A$1:CB$87,'Fórmula'!B75,4))+'Fórmula'!E75*(INDEX(properties!A$1:CB$87,'Fórmula'!D75,4))+'Fórmula'!G75*(INDEX(properties!A$1:CB$87,'Fórmula'!F75,4))+'Fórmula'!I75*(INDEX(properties!A$1:CB$87,'Fórmula'!H75,4))+'Fórmula'!K75*(INDEX(properties!A$1:CB$87,'Fórmula'!J75,4))</f>
        <v>146</v>
      </c>
      <c r="J75" s="102">
        <f t="array" ref="J75">VARP(IF(INDEX(properties!A$1:CB$87,'Fórmula'!B75,4)&lt;&gt;"",INDEX(properties!A$1:CB$87,'Fórmula'!B75,4)),IF(INDEX(properties!A$1:CB$87,'Fórmula'!D75,4)&lt;&gt;"",INDEX(properties!A$1:CB$87,'Fórmula'!D75,4)),IF(INDEX(properties!A$1:CB$87,'Fórmula'!F75,4)&lt;&gt;"",INDEX(properties!A$1:CB$87,'Fórmula'!F75,4)),IF(INDEX(properties!A$1:CB$87,'Fórmula'!H75,4)&lt;&gt;"",INDEX(properties!A$1:CB$87,'Fórmula'!H75,4)),IF(INDEX(properties!A$1:CB$87,'Fórmula'!J75,4)&lt;&gt;"",INDEX(properties!A$1:CB$87,'Fórmula'!J75,4)))</f>
        <v>66.16</v>
      </c>
      <c r="K75" s="102">
        <f t="array" ref="K75">MAX(INDEX(properties!A$1:CB$87,'Fórmula'!B75,4),INDEX(properties!A$1:CB$87,'Fórmula'!D75,4),INDEX(properties!A$1:CB$87,'Fórmula'!F75,4),INDEX(properties!A$1:CB$87,'Fórmula'!H75,4),INDEX(properties!A$1:CB$87,'Fórmula'!J75,4))</f>
        <v>31</v>
      </c>
      <c r="L75" s="102">
        <f t="array" ref="L75">MIN(IF(INDEX(properties!A$1:CB$87,'Fórmula'!B75,4)=0,10^6,INDEX(properties!A$1:CB$87,'Fórmula'!B75,4)),IF(INDEX(properties!A$1:CB$87,'Fórmula'!D75,4)=0,10^6,INDEX(properties!A$1:CB$87,'Fórmula'!D75,4)),IF(INDEX(properties!A$1:CB$87,'Fórmula'!F75,4)=0,10^6,INDEX(properties!A$1:CB$87,'Fórmula'!F75,4)),IF(INDEX(properties!A$1:CB$87,'Fórmula'!H75,4)=0,10^6,INDEX(properties!A$1:CB$87,'Fórmula'!H75,4)),IF(INDEX(properties!A$1:CB$87,'Fórmula'!J75,4)=0,10^6,INDEX(properties!A$1:CB$87,'Fórmula'!J75,4)))</f>
        <v>8</v>
      </c>
      <c r="M75" s="102">
        <f t="shared" si="2"/>
        <v>23</v>
      </c>
      <c r="N75" s="103">
        <f t="array" ref="N75">(('Fórmula'!C75)/('Fórmula'!C75+'Fórmula'!E75+'Fórmula'!G75+'Fórmula'!I75+'Fórmula'!K75))*(INDEX(properties!A$1:CB$87,'Fórmula'!B75,5))+(('Fórmula'!E75)/('Fórmula'!C75+'Fórmula'!E75+'Fórmula'!G75+'Fórmula'!I75+'Fórmula'!K75))*(INDEX(properties!A$1:CB$87,'Fórmula'!D75,5))+(('Fórmula'!G75)/('Fórmula'!C75+'Fórmula'!E75+'Fórmula'!G75+'Fórmula'!I75+'Fórmula'!K75))*(INDEX(properties!A$1:CB$87,'Fórmula'!F75,5))+(('Fórmula'!I75)/('Fórmula'!C75+'Fórmula'!E75+'Fórmula'!G75+'Fórmula'!I75+'Fórmula'!K75))*(INDEX(properties!A$1:CB$87,'Fórmula'!H75,5))+(('Fórmula'!K75)/('Fórmula'!C75+'Fórmula'!E75+'Fórmula'!G75+'Fórmula'!I75+'Fórmula'!K75))*(INDEX(properties!A$1:CB$87,'Fórmula'!J75,5))</f>
        <v>2.583333333</v>
      </c>
      <c r="O75" s="103">
        <f t="array" ref="O75">'Fórmula'!C75*(INDEX(properties!A$1:CB$87,'Fórmula'!B75,5))+'Fórmula'!E75*(INDEX(properties!A$1:CB$87,'Fórmula'!D75,5))+'Fórmula'!G75*(INDEX(properties!A$1:CB$87,'Fórmula'!F75,5))+'Fórmula'!I75*(INDEX(properties!A$1:CB$87,'Fórmula'!H75,5))+'Fórmula'!K75*(INDEX(properties!A$1:CB$87,'Fórmula'!J75,5))</f>
        <v>31</v>
      </c>
      <c r="P75" s="103">
        <f t="array" ref="P75">VARP(IF(INDEX(properties!A$1:CB$87,'Fórmula'!B75,5)&lt;&gt;"",INDEX(properties!A$1:CB$87,'Fórmula'!B75,5)),IF(INDEX(properties!A$1:CB$87,'Fórmula'!D75,5)&lt;&gt;"",INDEX(properties!A$1:CB$87,'Fórmula'!D75,5)),IF(INDEX(properties!A$1:CB$87,'Fórmula'!F75,5)&lt;&gt;"",INDEX(properties!A$1:CB$87,'Fórmula'!F75,5)),IF(INDEX(properties!A$1:CB$87,'Fórmula'!H75,5)&lt;&gt;"",INDEX(properties!A$1:CB$87,'Fórmula'!H75,5)),IF(INDEX(properties!A$1:CB$87,'Fórmula'!J75,5)&lt;&gt;"",INDEX(properties!A$1:CB$87,'Fórmula'!J75,5)))</f>
        <v>0.56</v>
      </c>
      <c r="Q75" s="103">
        <f t="array" ref="Q75">MAX(INDEX(properties!A$1:CB$87,'Fórmula'!B75,5),INDEX(properties!A$1:CB$87,'Fórmula'!D75,5),INDEX(properties!A$1:CB$87,'Fórmula'!F75,5),INDEX(properties!A$1:CB$87,'Fórmula'!H75,5),INDEX(properties!A$1:CB$87,'Fórmula'!J75,5))</f>
        <v>4</v>
      </c>
      <c r="R75" s="103">
        <f t="array" ref="R75">MIN(IF(INDEX(properties!A$1:CB$87,'Fórmula'!B75,5)=0,10^6,INDEX(properties!A$1:CB$87,'Fórmula'!B75,5)),IF(INDEX(properties!A$1:CB$87,'Fórmula'!D75,5)=0,10^6,INDEX(properties!A$1:CB$87,'Fórmula'!D75,5)),IF(INDEX(properties!A$1:CB$87,'Fórmula'!F75,5)=0,10^6,INDEX(properties!A$1:CB$87,'Fórmula'!F75,5)),IF(INDEX(properties!A$1:CB$87,'Fórmula'!H75,5)=0,10^6,INDEX(properties!A$1:CB$87,'Fórmula'!H75,5)),IF(INDEX(properties!A$1:CB$87,'Fórmula'!J75,5)=0,10^6,INDEX(properties!A$1:CB$87,'Fórmula'!J75,5)))</f>
        <v>2</v>
      </c>
      <c r="S75" s="103">
        <f t="shared" si="3"/>
        <v>2</v>
      </c>
      <c r="T75" s="104">
        <f t="array" ref="T75">(('Fórmula'!C75)/('Fórmula'!C75+'Fórmula'!E75+'Fórmula'!G75+'Fórmula'!I75+'Fórmula'!K75))*(INDEX(properties!A$1:CB$87,'Fórmula'!B75,6))+(('Fórmula'!E75)/('Fórmula'!C75+'Fórmula'!E75+'Fórmula'!G75+'Fórmula'!I75+'Fórmula'!K75))*(INDEX(properties!A$1:CB$87,'Fórmula'!D75,6))+(('Fórmula'!G75)/('Fórmula'!C75+'Fórmula'!E75+'Fórmula'!G75+'Fórmula'!I75+'Fórmula'!K75))*(INDEX(properties!A$1:CB$87,'Fórmula'!F75,6))+(('Fórmula'!I75)/('Fórmula'!C75+'Fórmula'!E75+'Fórmula'!G75+'Fórmula'!I75+'Fórmula'!K75))*(INDEX(properties!A$1:CB$87,'Fórmula'!H75,6))+(('Fórmula'!K75)/('Fórmula'!C75+'Fórmula'!E75+'Fórmula'!G75+'Fórmula'!I75+'Fórmula'!K75))*(INDEX(properties!A$1:CB$87,'Fórmula'!J75,6))</f>
        <v>13</v>
      </c>
      <c r="U75" s="104">
        <f t="array" ref="U75">'Fórmula'!C75*(INDEX(properties!A$1:CB$87,'Fórmula'!B75,6))+'Fórmula'!E75*(INDEX(properties!A$1:CB$87,'Fórmula'!D75,6))+'Fórmula'!G75*(INDEX(properties!A$1:CB$87,'Fórmula'!F75,6))+'Fórmula'!I75*(INDEX(properties!A$1:CB$87,'Fórmula'!H75,6))+'Fórmula'!K75*(INDEX(properties!A$1:CB$87,'Fórmula'!J75,6))</f>
        <v>156</v>
      </c>
      <c r="V75" s="103">
        <f t="array" ref="V75">VARP(IF(INDEX(properties!A$1:CB$87,'Fórmula'!B75,6)&lt;&gt;"",INDEX(properties!A$1:CB$87,'Fórmula'!B75,6)),IF(INDEX(properties!A$1:CB$87,'Fórmula'!D75,6)&lt;&gt;"",INDEX(properties!A$1:CB$87,'Fórmula'!D75,6)),IF(INDEX(properties!A$1:CB$87,'Fórmula'!F75,6)&lt;&gt;"",INDEX(properties!A$1:CB$87,'Fórmula'!F75,6)),IF(INDEX(properties!A$1:CB$87,'Fórmula'!H75,6)&lt;&gt;"",INDEX(properties!A$1:CB$87,'Fórmula'!H75,6)),IF(INDEX(properties!A$1:CB$87,'Fórmula'!J75,6)&lt;&gt;"",INDEX(properties!A$1:CB$87,'Fórmula'!J75,6)))</f>
        <v>40.56</v>
      </c>
      <c r="W75" s="104">
        <f t="array" ref="W75">MAX(INDEX(properties!A$1:CB$87,'Fórmula'!B75,6),INDEX(properties!A$1:CB$87,'Fórmula'!D75,6),INDEX(properties!A$1:CB$87,'Fórmula'!F75,6),INDEX(properties!A$1:CB$87,'Fórmula'!H75,4),INDEX(properties!A$1:CB$87,'Fórmula'!J75,6))</f>
        <v>16</v>
      </c>
      <c r="X75" s="104">
        <f t="array" ref="X75">MIN(IF(INDEX(properties!A$1:CB$87,'Fórmula'!B75,6)=0,10^6,INDEX(properties!A$1:CB$87,'Fórmula'!B75,6)),IF(INDEX(properties!A$1:CB$87,'Fórmula'!D75,6)=0,10^6,INDEX(properties!A$1:CB$87,'Fórmula'!D75,6)),IF(INDEX(properties!A$1:CB$87,'Fórmula'!F75,6)=0,10^6,INDEX(properties!A$1:CB$87,'Fórmula'!F75,6)),IF(INDEX(properties!A$1:CB$87,'Fórmula'!H75,6)=0,10^6,INDEX(properties!A$1:CB$87,'Fórmula'!H75,6)),IF(INDEX(properties!A$1:CB$87,'Fórmula'!J75,6)=0,10^6,INDEX(properties!A$1:CB$87,'Fórmula'!J75,6)))</f>
        <v>1</v>
      </c>
      <c r="Y75" s="104">
        <f t="shared" si="4"/>
        <v>15</v>
      </c>
      <c r="Z75" s="105">
        <f t="array" ref="Z75">(('Fórmula'!C75)/('Fórmula'!C75+'Fórmula'!E75+'Fórmula'!G75+'Fórmula'!I75+'Fórmula'!K75))*(INDEX(properties!A$1:CB$87,'Fórmula'!B75,9))+(('Fórmula'!E75)/('Fórmula'!C75+'Fórmula'!E75+'Fórmula'!G75+'Fórmula'!I75+'Fórmula'!K75))*(INDEX(properties!A$1:CB$87,'Fórmula'!D75,9))+(('Fórmula'!G75)/('Fórmula'!C75+'Fórmula'!E75+'Fórmula'!G75+'Fórmula'!I75+'Fórmula'!K75))*(INDEX(properties!A$1:CB$87,'Fórmula'!F75,9))+(('Fórmula'!I75)/('Fórmula'!C75+'Fórmula'!E75+'Fórmula'!G75+'Fórmula'!I75+'Fórmula'!K75))*(INDEX(properties!A$1:CB$87,'Fórmula'!H75,9))+(('Fórmula'!K75)/('Fórmula'!C75+'Fórmula'!E75+'Fórmula'!G75+'Fórmula'!I75+'Fórmula'!K75))*(INDEX(properties!A$1:CB$87,'Fórmula'!J75,9))</f>
        <v>70.66666667</v>
      </c>
      <c r="AA75" s="105">
        <f t="array" ref="AA75">'Fórmula'!C75*(INDEX(properties!A$1:CB$87,'Fórmula'!B75,9))+'Fórmula'!E75*(INDEX(properties!A$1:CB$87,'Fórmula'!D75,9))+'Fórmula'!G75*(INDEX(properties!A$1:CB$87,'Fórmula'!F75,9))+'Fórmula'!I75*(INDEX(properties!A$1:CB$87,'Fórmula'!H75,9))+'Fórmula'!K75*(INDEX(properties!A$1:CB$87,'Fórmula'!J75,9))</f>
        <v>848</v>
      </c>
      <c r="AB75" s="105">
        <f t="array" ref="AB75">VARP(IF(INDEX(properties!A$1:CB$87,'Fórmula'!B75,9)&lt;&gt;"",INDEX(properties!A$1:CB$87,'Fórmula'!B75,9)),IF(INDEX(properties!A$1:CB$87,'Fórmula'!D75,9)&lt;&gt;"",INDEX(properties!A$1:CB$87,'Fórmula'!D75,9)),IF(INDEX(properties!A$1:CB$87,'Fórmula'!F75,9)&lt;&gt;"",INDEX(properties!A$1:CB$87,'Fórmula'!F75,9)),IF(INDEX(properties!A$1:CB$87,'Fórmula'!H75,9)&lt;&gt;"",INDEX(properties!A$1:CB$87,'Fórmula'!H75,9)),IF(INDEX(properties!A$1:CB$87,'Fórmula'!J75,9)&lt;&gt;"",INDEX(properties!A$1:CB$87,'Fórmula'!J75,9)))</f>
        <v>1376.24</v>
      </c>
      <c r="AC75" s="105">
        <f t="array" ref="AC75">MAX(INDEX(properties!A$1:CB$87,'Fórmula'!B75,9),INDEX(properties!A$1:CB$87,'Fórmula'!D75,9),INDEX(properties!A$1:CB$87,'Fórmula'!F75,9),INDEX(properties!A$1:CB$87,'Fórmula'!H75,9),INDEX(properties!A$1:CB$87,'Fórmula'!J75,9))</f>
        <v>87</v>
      </c>
      <c r="AD75" s="105">
        <f t="array" ref="AD75">MIN(IF(INDEX(properties!A$1:CB$87,'Fórmula'!B75,9)=0,10^6,INDEX(properties!A$1:CB$87,'Fórmula'!B75,9)),IF(INDEX(properties!A$1:CB$87,'Fórmula'!D75,9)=0,10^6,INDEX(properties!A$1:CB$87,'Fórmula'!D75,9)),IF(INDEX(properties!A$1:CB$87,'Fórmula'!F75,9)=0,10^6,INDEX(properties!A$1:CB$87,'Fórmula'!F75,9)),IF(INDEX(properties!A$1:CB$87,'Fórmula'!H75,9)=0,10^6,INDEX(properties!A$1:CB$87,'Fórmula'!H75,9)),IF(INDEX(properties!A$1:CB$87,'Fórmula'!J75,9)=0,10^6,INDEX(properties!A$1:CB$87,'Fórmula'!J75,9)))</f>
        <v>2</v>
      </c>
      <c r="AE75" s="105">
        <f t="shared" si="5"/>
        <v>85</v>
      </c>
      <c r="AF75" s="106">
        <f t="array" ref="AF75">(('Fórmula'!C75)/('Fórmula'!C75+'Fórmula'!E75+'Fórmula'!G75+'Fórmula'!I75+'Fórmula'!K75))*(INDEX(properties!A$1:CB$87,'Fórmula'!B75,10))+(('Fórmula'!E75)/('Fórmula'!C75+'Fórmula'!E75+'Fórmula'!G75+'Fórmula'!I75+'Fórmula'!K75))*(INDEX(properties!A$1:CB$87,'Fórmula'!D75,10))+(('Fórmula'!G75)/('Fórmula'!C75+'Fórmula'!E75+'Fórmula'!G75+'Fórmula'!I75+'Fórmula'!K75))*(INDEX(properties!A$1:CB$87,'Fórmula'!F75,10))+(('Fórmula'!I75)/('Fórmula'!C75+'Fórmula'!E75+'Fórmula'!G75+'Fórmula'!I75+'Fórmula'!K75))*(INDEX(properties!A$1:CB$87,'Fórmula'!H75,10))+(('Fórmula'!K75)/('Fórmula'!C75+'Fórmula'!E75+'Fórmula'!G75+'Fórmula'!I75+'Fórmula'!K75))*(INDEX(properties!A$1:CB$87,'Fórmula'!J75,10))</f>
        <v>5.75</v>
      </c>
      <c r="AG75" s="106">
        <f t="array" ref="AG75">'Fórmula'!C75*(INDEX(properties!A$1:CB$87,'Fórmula'!B75,10))+'Fórmula'!E75*(INDEX(properties!A$1:CB$87,'Fórmula'!D75,10))+'Fórmula'!G75*(INDEX(properties!A$1:CB$87,'Fórmula'!F75,10))+'Fórmula'!I75*(INDEX(properties!A$1:CB$87,'Fórmula'!H75,10))+'Fórmula'!K75*(INDEX(properties!A$1:CB$87,'Fórmula'!J75,10))</f>
        <v>69</v>
      </c>
      <c r="AH75" s="106">
        <f t="array" ref="AH75">VARP(IF(INDEX(properties!A$1:CB$87,'Fórmula'!B75,10)&lt;&gt;"",INDEX(properties!A$1:CB$87,'Fórmula'!B75,10)),IF(INDEX(properties!A$1:CB$87,'Fórmula'!D75,10)&lt;&gt;"",INDEX(properties!A$1:CB$87,'Fórmula'!D75,10)),IF(INDEX(properties!A$1:CB$87,'Fórmula'!F75,10)&lt;&gt;"",INDEX(properties!A$1:CB$87,'Fórmula'!F75,10)),IF(INDEX(properties!A$1:CB$87,'Fórmula'!H75,10)&lt;&gt;"",INDEX(properties!A$1:CB$87,'Fórmula'!H75,10)),IF(INDEX(properties!A$1:CB$87,'Fórmula'!J75,10)&lt;&gt;"",INDEX(properties!A$1:CB$87,'Fórmula'!J75,10)))</f>
        <v>5.36</v>
      </c>
      <c r="AI75" s="106">
        <f t="array" ref="AI75">MAX(INDEX(properties!A$1:CB$87,'Fórmula'!B75,10),INDEX(properties!A$1:CB$87,'Fórmula'!D75,10),INDEX(properties!A$1:CB$87,'Fórmula'!F75,10),INDEX(properties!A$1:CB$87,'Fórmula'!H75,10),INDEX(properties!A$1:CB$87,'Fórmula'!J75,10))</f>
        <v>7</v>
      </c>
      <c r="AJ75" s="106">
        <f t="array" ref="AJ75">MIN(IF(INDEX(properties!A$1:CB$87,'Fórmula'!B75,10)=0,10^6,INDEX(properties!A$1:CB$87,'Fórmula'!B75,10)),IF(INDEX(properties!A$1:CB$87,'Fórmula'!D75,10)=0,10^6,INDEX(properties!A$1:CB$87,'Fórmula'!D75,10)),IF(INDEX(properties!A$1:CB$87,'Fórmula'!F75,10)=0,10^6,INDEX(properties!A$1:CB$87,'Fórmula'!F75,10)),IF(INDEX(properties!A$1:CB$87,'Fórmula'!H75,10)=0,10^6,INDEX(properties!A$1:CB$87,'Fórmula'!H75,10)),IF(INDEX(properties!A$1:CB$87,'Fórmula'!J75,10)=0,10^6,INDEX(properties!A$1:CB$87,'Fórmula'!J75,10)))</f>
        <v>1</v>
      </c>
      <c r="AK75" s="106">
        <f t="shared" si="6"/>
        <v>6</v>
      </c>
      <c r="AL75" s="107">
        <f t="array" ref="AL75">(('Fórmula'!C75)/('Fórmula'!C75+'Fórmula'!E75+'Fórmula'!G75+'Fórmula'!I75+'Fórmula'!K75))*(INDEX(properties!A$1:CB$87,'Fórmula'!B75,11))+(('Fórmula'!E75)/('Fórmula'!C75+'Fórmula'!E75+'Fórmula'!G75+'Fórmula'!I75+'Fórmula'!K75))*(INDEX(properties!A$1:CB$87,'Fórmula'!D75,11))+(('Fórmula'!G75)/('Fórmula'!C75+'Fórmula'!E75+'Fórmula'!G75+'Fórmula'!I75+'Fórmula'!K75))*(INDEX(properties!A$1:CB$87,'Fórmula'!F75,11))+(('Fórmula'!I75)/('Fórmula'!C75+'Fórmula'!E75+'Fórmula'!G75+'Fórmula'!I75+'Fórmula'!K75))*(INDEX(properties!A$1:CB$87,'Fórmula'!H75,11))+(('Fórmula'!K75)/('Fórmula'!C75+'Fórmula'!E75+'Fórmula'!G75+'Fórmula'!I75+'Fórmula'!K75))*(INDEX(properties!A$1:CB$87,'Fórmula'!J75,11))</f>
        <v>1.916666667</v>
      </c>
      <c r="AM75" s="107">
        <f t="array" ref="AM75">'Fórmula'!C75*(INDEX(properties!A$1:CB$87,'Fórmula'!B75,11))+'Fórmula'!E75*(INDEX(properties!A$1:CB$87,'Fórmula'!D75,11))+'Fórmula'!G75*(INDEX(properties!A$1:CB$87,'Fórmula'!F75,11))+'Fórmula'!I75*(INDEX(properties!A$1:CB$87,'Fórmula'!H75,11))+'Fórmula'!K75*(INDEX(properties!A$1:CB$87,'Fórmula'!J75,11))</f>
        <v>23</v>
      </c>
      <c r="AN75" s="107">
        <f t="array" ref="AN75">VARP(IF(INDEX(properties!A$1:CB$87,'Fórmula'!B75,11)&lt;&gt;"",INDEX(properties!A$1:CB$87,'Fórmula'!B75,11)),IF(INDEX(properties!A$1:CB$87,'Fórmula'!D75,11)&lt;&gt;"",INDEX(properties!A$1:CB$87,'Fórmula'!D75,11)),IF(INDEX(properties!A$1:CB$87,'Fórmula'!F75,11)&lt;&gt;"",INDEX(properties!A$1:CB$87,'Fórmula'!F75,11)),IF(INDEX(properties!A$1:CB$87,'Fórmula'!H75,11)&lt;&gt;"",INDEX(properties!A$1:CB$87,'Fórmula'!H75,11)),IF(INDEX(properties!A$1:CB$87,'Fórmula'!J75,11)&lt;&gt;"",INDEX(properties!A$1:CB$87,'Fórmula'!J75,11)))</f>
        <v>0.16</v>
      </c>
      <c r="AO75" s="107">
        <f t="array" ref="AO75">MAX(INDEX(properties!A$1:CB$87,'Fórmula'!B75,11),INDEX(properties!A$1:CB$87,'Fórmula'!D75,11),INDEX(properties!A$1:CB$87,'Fórmula'!F75,11),INDEX(properties!A$1:CB$87,'Fórmula'!H75,11),INDEX(properties!A$1:CB$87,'Fórmula'!J75,11))</f>
        <v>2</v>
      </c>
      <c r="AP75" s="107">
        <f t="array" ref="AP75">MIN(IF('Fórmula'!B75=87,10^6,INDEX(properties!A$1:CB$87,'Fórmula'!B75,11)),IF(('Fórmula'!D75)=87,10^6,INDEX(properties!A$1:CB$87,'Fórmula'!D75,11)),IF(('Fórmula'!F75)=87,10^6,INDEX(properties!A$1:CB$87,'Fórmula'!F75,11)),IF(('Fórmula'!H75)=87,10^6,INDEX(properties!A$1:CB$87,'Fórmula'!H75,11)),IF('Fórmula'!J75=87,10^6,INDEX(properties!A$1:CB$87,'Fórmula'!J75,11)))</f>
        <v>1</v>
      </c>
      <c r="AQ75" s="107">
        <f t="shared" si="7"/>
        <v>1</v>
      </c>
      <c r="AR75" s="108">
        <f t="array" ref="AR75">(('Fórmula'!C75)/('Fórmula'!C75+'Fórmula'!E75+'Fórmula'!G75+'Fórmula'!I75+'Fórmula'!K75))*(INDEX(properties!A$1:CB$87,'Fórmula'!B75,12))+(('Fórmula'!E75)/('Fórmula'!C75+'Fórmula'!E75+'Fórmula'!G75+'Fórmula'!I75+'Fórmula'!K75))*(INDEX(properties!A$1:CB$87,'Fórmula'!D75,12))+(('Fórmula'!G75)/('Fórmula'!C75+'Fórmula'!E75+'Fórmula'!G75+'Fórmula'!I75+'Fórmula'!K75))*(INDEX(properties!A$1:CB$87,'Fórmula'!F75,12))+(('Fórmula'!I75)/('Fórmula'!C75+'Fórmula'!E75+'Fórmula'!G75+'Fórmula'!I75+'Fórmula'!K75))*(INDEX(properties!A$1:CB$87,'Fórmula'!H75,12))+(('Fórmula'!K75)/('Fórmula'!C75+'Fórmula'!E75+'Fórmula'!G75+'Fórmula'!I75+'Fórmula'!K75))*(INDEX(properties!A$1:CB$87,'Fórmula'!J75,12))</f>
        <v>2.75</v>
      </c>
      <c r="AS75" s="108">
        <f t="array" ref="AS75">'Fórmula'!C75*(INDEX(properties!A$1:CB$87,'Fórmula'!B75,12))+'Fórmula'!E75*(INDEX(properties!A$1:CB$87,'Fórmula'!D75,12))+'Fórmula'!G75*(INDEX(properties!A$1:CB$87,'Fórmula'!F75,12))+'Fórmula'!I75*(INDEX(properties!A$1:CB$87,'Fórmula'!H75,12))+'Fórmula'!K75*(INDEX(properties!A$1:CB$87,'Fórmula'!J75,12))</f>
        <v>33</v>
      </c>
      <c r="AT75" s="108">
        <f t="array" ref="AT75">VARP(IF(INDEX(properties!A$1:CB$87,'Fórmula'!B75,12)&lt;&gt;"",INDEX(properties!A$1:CB$87,'Fórmula'!B75,12)),IF(INDEX(properties!A$1:CB$87,'Fórmula'!D75,12)&lt;&gt;"",INDEX(properties!A$1:CB$87,'Fórmula'!D75,12)),IF(INDEX(properties!A$1:CB$87,'Fórmula'!F75,12)&lt;&gt;"",INDEX(properties!A$1:CB$87,'Fórmula'!F75,12)),IF(INDEX(properties!A$1:CB$87,'Fórmula'!H75,12)&lt;&gt;"",INDEX(properties!A$1:CB$87,'Fórmula'!H75,12)),IF(INDEX(properties!A$1:CB$87,'Fórmula'!J75,12)&lt;&gt;"",INDEX(properties!A$1:CB$87,'Fórmula'!J75,12)))</f>
        <v>2.24</v>
      </c>
      <c r="AU75" s="108">
        <f t="array" ref="AU75">MAX(INDEX(properties!A$1:CB$87,'Fórmula'!B75,12),INDEX(properties!A$1:CB$87,'Fórmula'!D75,12),INDEX(properties!A$1:CB$87,'Fórmula'!F75,12),INDEX(properties!A$1:CB$87,'Fórmula'!H75,12),INDEX(properties!A$1:CB$87,'Fórmula'!J75,12))</f>
        <v>4</v>
      </c>
      <c r="AV75" s="108">
        <f t="array" ref="AV75">MIN(IF('Fórmula'!B75=87,10^6,INDEX(properties!A$1:CB$87,'Fórmula'!B75,12)),IF(('Fórmula'!D75)=87,10^6,INDEX(properties!A$1:CB$87,'Fórmula'!D75,12)),IF(('Fórmula'!F75)=87,10^6,INDEX(properties!A$1:CB$87,'Fórmula'!F75,12)),IF(('Fórmula'!H75)=87,10^6,INDEX(properties!A$1:CB$87,'Fórmula'!H75,12)),IF('Fórmula'!J75=87,10^6,INDEX(properties!A$1:CB$87,'Fórmula'!J75,12)))</f>
        <v>0</v>
      </c>
      <c r="AW75" s="108">
        <f t="shared" si="8"/>
        <v>4</v>
      </c>
      <c r="AX75" s="109">
        <f t="array" ref="AX75">(('Fórmula'!C75)/('Fórmula'!C75+'Fórmula'!E75+'Fórmula'!G75+'Fórmula'!I75+'Fórmula'!K75))*(INDEX(properties!A$1:CB$87,'Fórmula'!B75,13))+(('Fórmula'!E75)/('Fórmula'!C75+'Fórmula'!E75+'Fórmula'!G75+'Fórmula'!I75+'Fórmula'!K75))*(INDEX(properties!A$1:CB$87,'Fórmula'!D75,13))+(('Fórmula'!G75)/('Fórmula'!C75+'Fórmula'!E75+'Fórmula'!G75+'Fórmula'!I75+'Fórmula'!K75))*(INDEX(properties!A$1:CB$87,'Fórmula'!F75,13))+(('Fórmula'!I75)/('Fórmula'!C75+'Fórmula'!E75+'Fórmula'!G75+'Fórmula'!I75+'Fórmula'!K75))*(INDEX(properties!A$1:CB$87,'Fórmula'!H75,13))+(('Fórmula'!K75)/('Fórmula'!C75+'Fórmula'!E75+'Fórmula'!G75+'Fórmula'!I75+'Fórmula'!K75))*(INDEX(properties!A$1:CB$87,'Fórmula'!J75,13))</f>
        <v>0.8333333333</v>
      </c>
      <c r="AY75" s="109">
        <f t="array" ref="AY75">'Fórmula'!C75*(INDEX(properties!A$1:CB$87,'Fórmula'!B75,13))+'Fórmula'!E75*(INDEX(properties!A$1:CB$87,'Fórmula'!D75,13))+'Fórmula'!G75*(INDEX(properties!A$1:CB$87,'Fórmula'!F75,13))+'Fórmula'!I75*(INDEX(properties!A$1:CB$87,'Fórmula'!H75,13))+'Fórmula'!K75*(INDEX(properties!A$1:CB$87,'Fórmula'!J75,13))</f>
        <v>10</v>
      </c>
      <c r="AZ75" s="109">
        <f t="array" ref="AZ75">VARP(IF(INDEX(properties!A$1:CB$87,'Fórmula'!B75,13)&lt;&gt;"",INDEX(properties!A$1:CB$87,'Fórmula'!B75,13)),IF(INDEX(properties!A$1:CB$87,'Fórmula'!D75,13)&lt;&gt;"",INDEX(properties!A$1:CB$87,'Fórmula'!D75,13)),IF(INDEX(properties!A$1:CB$87,'Fórmula'!F75,13)&lt;&gt;"",INDEX(properties!A$1:CB$87,'Fórmula'!F75,13)),IF(INDEX(properties!A$1:CB$87,'Fórmula'!H75,13)&lt;&gt;"",INDEX(properties!A$1:CB$87,'Fórmula'!H75,13)),IF(INDEX(properties!A$1:CB$87,'Fórmula'!J75,13)&lt;&gt;"",INDEX(properties!A$1:CB$87,'Fórmula'!J75,13)))</f>
        <v>16</v>
      </c>
      <c r="BA75" s="109">
        <f t="array" ref="BA75">MAX(INDEX(properties!A$1:CB$87,'Fórmula'!B75,13),INDEX(properties!A$1:CB$87,'Fórmula'!D75,13),INDEX(properties!A$1:CB$87,'Fórmula'!F75,13),INDEX(properties!A$1:CB$87,'Fórmula'!H75,13),INDEX(properties!A$1:CB$87,'Fórmula'!J75,13))</f>
        <v>10</v>
      </c>
      <c r="BB75" s="109">
        <f t="array" ref="BB75">MIN(IF('Fórmula'!B75=87,10^6,INDEX(properties!A$1:CB$87,'Fórmula'!B75,13)),IF(('Fórmula'!D75)=87,10^6,INDEX(properties!A$1:CB$87,'Fórmula'!D75,13)),IF(('Fórmula'!F75)=87,10^6,INDEX(properties!A$1:CB$87,'Fórmula'!F75,13)),IF(('Fórmula'!H75)=87,10^6,INDEX(properties!A$1:CB$87,'Fórmula'!H75,13)),IF('Fórmula'!J75=87,10^6,INDEX(properties!A$1:CB$87,'Fórmula'!J75,13)))</f>
        <v>0</v>
      </c>
      <c r="BC75" s="109">
        <f t="shared" si="9"/>
        <v>10</v>
      </c>
      <c r="BD75" s="110">
        <f t="array" ref="BD75">(('Fórmula'!C75)/('Fórmula'!C75+'Fórmula'!E75+'Fórmula'!G75+'Fórmula'!I75+'Fórmula'!K75))*(INDEX(properties!A$1:CB$87,'Fórmula'!B75,14))+(('Fórmula'!E75)/('Fórmula'!C75+'Fórmula'!E75+'Fórmula'!G75+'Fórmula'!I75+'Fórmula'!K75))*(INDEX(properties!A$1:CB$87,'Fórmula'!D75,14))+(('Fórmula'!G75)/('Fórmula'!C75+'Fórmula'!E75+'Fórmula'!G75+'Fórmula'!I75+'Fórmula'!K75))*(INDEX(properties!A$1:CB$87,'Fórmula'!F75,14))+(('Fórmula'!I75)/('Fórmula'!C75+'Fórmula'!E75+'Fórmula'!G75+'Fórmula'!I75+'Fórmula'!K75))*(INDEX(properties!A$1:CB$87,'Fórmula'!H75,14))+(('Fórmula'!K75)/('Fórmula'!C75+'Fórmula'!E75+'Fórmula'!G75+'Fórmula'!I75+'Fórmula'!K75))*(INDEX(properties!A$1:CB$87,'Fórmula'!J75,14))</f>
        <v>0</v>
      </c>
      <c r="BE75" s="110">
        <f t="array" ref="BE75">'Fórmula'!C75*(INDEX(properties!A$1:CB$87,'Fórmula'!B75,14))+'Fórmula'!E75*(INDEX(properties!A$1:CB$87,'Fórmula'!D75,14))+'Fórmula'!G75*(INDEX(properties!A$1:CB$87,'Fórmula'!F75,14))+'Fórmula'!I75*(INDEX(properties!A$1:CB$87,'Fórmula'!H75,14))+'Fórmula'!K75*(INDEX(properties!A$1:CB$87,'Fórmula'!J75,14))</f>
        <v>0</v>
      </c>
      <c r="BF75" s="110">
        <f t="array" ref="BF75">VARP(IF(INDEX(properties!A$1:CB$87,'Fórmula'!B75,14)&lt;&gt;"",INDEX(properties!A$1:CB$87,'Fórmula'!B75,14)),IF(INDEX(properties!A$1:CB$87,'Fórmula'!D75,14)&lt;&gt;"",INDEX(properties!A$1:CB$87,'Fórmula'!D75,14)),IF(INDEX(properties!A$1:CB$87,'Fórmula'!F75,14)&lt;&gt;"",INDEX(properties!A$1:CB$87,'Fórmula'!F75,14)),IF(INDEX(properties!A$1:CB$87,'Fórmula'!H75,14)&lt;&gt;"",INDEX(properties!A$1:CB$87,'Fórmula'!H75,14)),IF(INDEX(properties!A$1:CB$87,'Fórmula'!J75,14)&lt;&gt;"",INDEX(properties!A$1:CB$87,'Fórmula'!J75,14)))</f>
        <v>0</v>
      </c>
      <c r="BG75" s="110">
        <f t="array" ref="BG75">MAX(INDEX(properties!A$1:CB$87,'Fórmula'!B75,14),INDEX(properties!A$1:CB$87,'Fórmula'!D75,14),INDEX(properties!A$1:CB$87,'Fórmula'!F75,14),INDEX(properties!A$1:CB$87,'Fórmula'!H75,14),INDEX(properties!A$1:CB$87,'Fórmula'!J75,14))</f>
        <v>0</v>
      </c>
      <c r="BH75" s="110">
        <f t="array" ref="BH75">MIN(IF('Fórmula'!B75=87,10^6,INDEX(properties!A$1:CB$87,'Fórmula'!B75,14)),IF(('Fórmula'!D75)=87,10^6,INDEX(properties!A$1:CB$87,'Fórmula'!D75,14)),IF(('Fórmula'!F75)=87,10^6,INDEX(properties!A$1:CB$87,'Fórmula'!F75,14)),IF(('Fórmula'!H75)=87,10^6,INDEX(properties!A$1:CB$87,'Fórmula'!H75,14)),IF('Fórmula'!J75=87,10^6,INDEX(properties!A$1:CB$87,'Fórmula'!J75,14)))</f>
        <v>0</v>
      </c>
      <c r="BI75" s="110">
        <f t="shared" si="10"/>
        <v>0</v>
      </c>
      <c r="BJ75" s="111">
        <f t="array" ref="BJ75">(('Fórmula'!C75)/('Fórmula'!C75+'Fórmula'!E75+'Fórmula'!G75+'Fórmula'!I75+'Fórmula'!K75))*(INDEX(properties!A$1:CB$87,'Fórmula'!B75,19))+(('Fórmula'!E75)/('Fórmula'!C75+'Fórmula'!E75+'Fórmula'!G75+'Fórmula'!I75+'Fórmula'!K75))*(INDEX(properties!A$1:CB$87,'Fórmula'!D75,19))+(('Fórmula'!G75)/('Fórmula'!C75+'Fórmula'!E75+'Fórmula'!G75+'Fórmula'!I75+'Fórmula'!K75))*(INDEX(properties!A$1:CB$87,'Fórmula'!F75,19))+(('Fórmula'!I75)/('Fórmula'!C75+'Fórmula'!E75+'Fórmula'!G75+'Fórmula'!I75+'Fórmula'!K75))*(INDEX(properties!A$1:CB$87,'Fórmula'!H75,19))+(('Fórmula'!K75)/('Fórmula'!C75+'Fórmula'!E75+'Fórmula'!G75+'Fórmula'!I75+'Fórmula'!K75))*(INDEX(properties!A$1:CB$87,'Fórmula'!J75,19))</f>
        <v>5.5</v>
      </c>
      <c r="BK75" s="111">
        <f t="array" ref="BK75">'Fórmula'!C75*(INDEX(properties!A$1:CB$87,'Fórmula'!B75,19))+'Fórmula'!E75*(INDEX(properties!A$1:CB$87,'Fórmula'!D75,19))+'Fórmula'!G75*(INDEX(properties!A$1:CB$87,'Fórmula'!F75,19))+'Fórmula'!I75*(INDEX(properties!A$1:CB$87,'Fórmula'!H75,19))+'Fórmula'!K75*(INDEX(properties!A$1:CB$87,'Fórmula'!J75,19))</f>
        <v>66</v>
      </c>
      <c r="BL75" s="111">
        <f t="array" ref="BL75">VARP(IF(INDEX(properties!A$1:CB$87,'Fórmula'!B75,19)&lt;&gt;"",INDEX(properties!A$1:CB$87,'Fórmula'!B75,19)),IF(INDEX(properties!A$1:CB$87,'Fórmula'!D75,19)&lt;&gt;"",INDEX(properties!A$1:CB$87,'Fórmula'!D75,19)),IF(INDEX(properties!A$1:CB$87,'Fórmula'!F75,19)&lt;&gt;"",INDEX(properties!A$1:CB$87,'Fórmula'!F75,19)),IF(INDEX(properties!A$1:CB$87,'Fórmula'!H75,19)&lt;&gt;"",INDEX(properties!A$1:CB$87,'Fórmula'!H75,19)),IF(INDEX(properties!A$1:CB$87,'Fórmula'!J75,19)&lt;&gt;"",INDEX(properties!A$1:CB$87,'Fórmula'!J75,19)))</f>
        <v>18.16</v>
      </c>
      <c r="BM75" s="111">
        <f t="array" ref="BM75">MAX(INDEX(properties!A$1:CB$87,'Fórmula'!B75,19),INDEX(properties!A$1:CB$87,'Fórmula'!D75,19),INDEX(properties!A$1:CB$87,'Fórmula'!F75,19),INDEX(properties!A$1:CB$87,'Fórmula'!H75,19),INDEX(properties!A$1:CB$87,'Fórmula'!J75,19))</f>
        <v>13</v>
      </c>
      <c r="BN75" s="111">
        <f t="array" ref="BN75">MIN(IF(INDEX(properties!A$1:CB$87,'Fórmula'!B75,19)=0,10^6,INDEX(properties!A$1:CB$87,'Fórmula'!B75,19)),IF(INDEX(properties!A$1:CB$87,'Fórmula'!D75,19)=0,10^6,INDEX(properties!A$1:CB$87,'Fórmula'!D75,19)),IF(INDEX(properties!A$1:CB$87,'Fórmula'!F75,19)=0,10^6,INDEX(properties!A$1:CB$87,'Fórmula'!F75,19)),IF(INDEX(properties!A$1:CB$87,'Fórmula'!H75,19)=0,10^6,INDEX(properties!A$1:CB$87,'Fórmula'!H75,19)),IF(INDEX(properties!A$1:CB$87,'Fórmula'!J75,19)=0,10^6,INDEX(properties!A$1:CB$87,'Fórmula'!J75,19)))</f>
        <v>1</v>
      </c>
      <c r="BO75" s="111">
        <f t="shared" si="11"/>
        <v>12</v>
      </c>
      <c r="BP75" s="112">
        <f t="array" ref="BP75">(('Fórmula'!C75)/('Fórmula'!C75+'Fórmula'!E75+'Fórmula'!G75+'Fórmula'!I75+'Fórmula'!K75))*(INDEX(properties!A$1:CB$87,'Fórmula'!B75,20))+(('Fórmula'!E75)/('Fórmula'!C75+'Fórmula'!E75+'Fórmula'!G75+'Fórmula'!I75+'Fórmula'!K75))*(INDEX(properties!A$1:CB$87,'Fórmula'!D75,20))+(('Fórmula'!G75)/('Fórmula'!C75+'Fórmula'!E75+'Fórmula'!G75+'Fórmula'!I75+'Fórmula'!K75))*(INDEX(properties!A$1:CB$87,'Fórmula'!F75,20))+(('Fórmula'!I75)/('Fórmula'!C75+'Fórmula'!E75+'Fórmula'!G75+'Fórmula'!I75+'Fórmula'!K75))*(INDEX(properties!A$1:CB$87,'Fórmula'!H75,20))+(('Fórmula'!K75)/('Fórmula'!C75+'Fórmula'!E75+'Fórmula'!G75+'Fórmula'!I75+'Fórmula'!K75))*(INDEX(properties!A$1:CB$87,'Fórmula'!J75,20))</f>
        <v>4.666666667</v>
      </c>
      <c r="BQ75" s="112">
        <f t="array" ref="BQ75">'Fórmula'!C75*(INDEX(properties!A$1:CB$87,'Fórmula'!B75,20))+'Fórmula'!E75*(INDEX(properties!A$1:CB$87,'Fórmula'!D75,20))+'Fórmula'!G75*(INDEX(properties!A$1:CB$87,'Fórmula'!F75,20))+'Fórmula'!I75*(INDEX(properties!A$1:CB$87,'Fórmula'!H75,20))+'Fórmula'!K75*(INDEX(properties!A$1:CB$87,'Fórmula'!J75,20))</f>
        <v>56</v>
      </c>
      <c r="BR75" s="112">
        <f t="array" ref="BR75">VARP(IF(INDEX(properties!A$1:CB$87,'Fórmula'!B75,20)&lt;&gt;"",INDEX(properties!A$1:CB$87,'Fórmula'!B75,20)),IF(INDEX(properties!A$1:CB$87,'Fórmula'!D75,20)&lt;&gt;"",INDEX(properties!A$1:CB$87,'Fórmula'!D75,20)),IF(INDEX(properties!A$1:CB$87,'Fórmula'!F75,20)&lt;&gt;"",INDEX(properties!A$1:CB$87,'Fórmula'!F75,20)),IF(INDEX(properties!A$1:CB$87,'Fórmula'!H75,20)&lt;&gt;"",INDEX(properties!A$1:CB$87,'Fórmula'!H75,20)),IF(INDEX(properties!A$1:CB$87,'Fórmula'!J75,20)&lt;&gt;"",INDEX(properties!A$1:CB$87,'Fórmula'!J75,20)))</f>
        <v>2.96</v>
      </c>
      <c r="BS75" s="112">
        <f t="array" ref="BS75">MAX(INDEX(properties!A$1:CB$87,'Fórmula'!B75,20),INDEX(properties!A$1:CB$87,'Fórmula'!D75,20),INDEX(properties!A$1:CB$87,'Fórmula'!F75,20),INDEX(properties!A$1:CB$87,'Fórmula'!H75,20),INDEX(properties!A$1:CB$87,'Fórmula'!J75,20))</f>
        <v>6</v>
      </c>
      <c r="BT75" s="112">
        <f t="array" ref="BT75">MIN(IF(INDEX(properties!A$1:CB$87,'Fórmula'!B75,20)=0,10^6,INDEX(properties!A$1:CB$87,'Fórmula'!B75,20)),IF(INDEX(properties!A$1:CB$87,'Fórmula'!D75,20)=0,10^6,INDEX(properties!A$1:CB$87,'Fórmula'!D75,20)),IF(INDEX(properties!A$1:CB$87,'Fórmula'!F75,20)=0,10^6,INDEX(properties!A$1:CB$87,'Fórmula'!F75,20)),IF(INDEX(properties!A$1:CB$87,'Fórmula'!H75,20)=0,10^6,INDEX(properties!A$1:CB$87,'Fórmula'!H75,20)),IF(INDEX(properties!A$1:CB$87,'Fórmula'!J75,20)=0,10^6,INDEX(properties!A$1:CB$87,'Fórmula'!J75,20)))</f>
        <v>1</v>
      </c>
      <c r="BU75" s="112">
        <f t="shared" si="12"/>
        <v>5</v>
      </c>
      <c r="BV75" s="113">
        <f t="array" ref="BV75">(('Fórmula'!C75)/('Fórmula'!C75+'Fórmula'!E75+'Fórmula'!G75+'Fórmula'!I75+'Fórmula'!K75))*(INDEX(properties!A$1:CB$87,'Fórmula'!B75,21))+(('Fórmula'!E75)/('Fórmula'!C75+'Fórmula'!E75+'Fórmula'!G75+'Fórmula'!I75+'Fórmula'!K75))*(INDEX(properties!A$1:CB$87,'Fórmula'!D75,21))+(('Fórmula'!G75)/('Fórmula'!C75+'Fórmula'!E75+'Fórmula'!G75+'Fórmula'!I75+'Fórmula'!K75))*(INDEX(properties!A$1:CB$87,'Fórmula'!F75,21))+(('Fórmula'!I75)/('Fórmula'!C75+'Fórmula'!E75+'Fórmula'!G75+'Fórmula'!I75+'Fórmula'!K75))*(INDEX(properties!A$1:CB$87,'Fórmula'!H75,21))+(('Fórmula'!K75)/('Fórmula'!C75+'Fórmula'!E75+'Fórmula'!G75+'Fórmula'!I75+'Fórmula'!K75))*(INDEX(properties!A$1:CB$87,'Fórmula'!J75,21))</f>
        <v>4.666666667</v>
      </c>
      <c r="BW75" s="113">
        <f t="array" ref="BW75">'Fórmula'!C75*(INDEX(properties!A$1:CB$87,'Fórmula'!B75,21))+'Fórmula'!E75*(INDEX(properties!A$1:CB$87,'Fórmula'!D75,21))+'Fórmula'!G75*(INDEX(properties!A$1:CB$87,'Fórmula'!F75,21))+'Fórmula'!I75*(INDEX(properties!A$1:CB$87,'Fórmula'!H75,21))+'Fórmula'!K75*(INDEX(properties!A$1:CB$87,'Fórmula'!J75,21))</f>
        <v>56</v>
      </c>
      <c r="BX75" s="113">
        <f t="array" ref="BX75">VARP(IF(INDEX(properties!A$1:CB$87,'Fórmula'!B75,21)&lt;&gt;"",INDEX(properties!A$1:CB$87,'Fórmula'!B75,21)),IF(INDEX(properties!A$1:CB$87,'Fórmula'!D75,21)&lt;&gt;"",INDEX(properties!A$1:CB$87,'Fórmula'!D75,21)),IF(INDEX(properties!A$1:CB$87,'Fórmula'!F75,21)&lt;&gt;"",INDEX(properties!A$1:CB$87,'Fórmula'!F75,21)),IF(INDEX(properties!A$1:CB$87,'Fórmula'!H75,21)&lt;&gt;"",INDEX(properties!A$1:CB$87,'Fórmula'!H75,21)),IF(INDEX(properties!A$1:CB$87,'Fórmula'!J75,21)&lt;&gt;"",INDEX(properties!A$1:CB$87,'Fórmula'!J75,21)))</f>
        <v>2.96</v>
      </c>
      <c r="BY75" s="113">
        <f t="array" ref="BY75">MAX(INDEX(properties!A$1:CB$87,'Fórmula'!B75,21),INDEX(properties!A$1:CB$87,'Fórmula'!D75,21),INDEX(properties!A$1:CB$87,'Fórmula'!F75,21),INDEX(properties!A$1:CB$87,'Fórmula'!H75,21),INDEX(properties!A$1:CB$87,'Fórmula'!J75,21))</f>
        <v>6</v>
      </c>
      <c r="BZ75" s="113">
        <f t="array" ref="BZ75">MIN(IF(INDEX(properties!A$1:CB$87,'Fórmula'!B75,21)=0,10^6,INDEX(properties!A$1:CB$87,'Fórmula'!B75,21)),IF(INDEX(properties!A$1:CB$87,'Fórmula'!D75,21)=0,10^6,INDEX(properties!A$1:CB$87,'Fórmula'!D75,21)),IF(INDEX(properties!A$1:CB$87,'Fórmula'!F75,21)=0,10^6,INDEX(properties!A$1:CB$87,'Fórmula'!F75,21)),IF(INDEX(properties!A$1:CB$87,'Fórmula'!H75,21)=0,10^6,INDEX(properties!A$1:CB$87,'Fórmula'!H75,21)),IF(INDEX(properties!A$1:CB$87,'Fórmula'!J75,21)=0,10^6,INDEX(properties!A$1:CB$87,'Fórmula'!J75,21)))</f>
        <v>1</v>
      </c>
      <c r="CA75" s="113">
        <f t="shared" si="13"/>
        <v>5</v>
      </c>
      <c r="CB75" s="114">
        <f t="array" ref="CB75">(('Fórmula'!C75)/('Fórmula'!C75+'Fórmula'!E75+'Fórmula'!G75+'Fórmula'!I75+'Fórmula'!K75))*(INDEX(properties!A$1:CB$87,'Fórmula'!B75,23))+(('Fórmula'!E75)/('Fórmula'!C75+'Fórmula'!E75+'Fórmula'!G75+'Fórmula'!I75+'Fórmula'!K75))*(INDEX(properties!A$1:CB$87,'Fórmula'!D75,23))+(('Fórmula'!G75)/('Fórmula'!C75+'Fórmula'!E75+'Fórmula'!G75+'Fórmula'!I75+'Fórmula'!K75))*(INDEX(properties!A$1:CB$87,'Fórmula'!F75,23))+(('Fórmula'!I75)/('Fórmula'!C75+'Fórmula'!E75+'Fórmula'!G75+'Fórmula'!I75+'Fórmula'!K75))*(INDEX(properties!A$1:CB$87,'Fórmula'!H75,23))+(('Fórmula'!K75)/('Fórmula'!C75+'Fórmula'!E75+'Fórmula'!G75+'Fórmula'!I75+'Fórmula'!K75))*(INDEX(properties!A$1:CB$87,'Fórmula'!J75,23))</f>
        <v>1.203333333</v>
      </c>
      <c r="CC75" s="114">
        <f t="array" ref="CC75">'Fórmula'!C75*(INDEX(properties!A$1:CB$87,'Fórmula'!B75,23))+'Fórmula'!E75*(INDEX(properties!A$1:CB$87,'Fórmula'!D75,23))+'Fórmula'!G75*(INDEX(properties!A$1:CB$87,'Fórmula'!F75,23))+'Fórmula'!I75*(INDEX(properties!A$1:CB$87,'Fórmula'!H75,23))+'Fórmula'!K75*(INDEX(properties!A$1:CB$87,'Fórmula'!J75,23))</f>
        <v>14.44</v>
      </c>
      <c r="CD75" s="114">
        <f t="array" ref="CD75">VARP(IF(INDEX(properties!A$1:CB$87,'Fórmula'!B75,23)&lt;&gt;"",INDEX(properties!A$1:CB$87,'Fórmula'!B75,23)),IF(INDEX(properties!A$1:CB$87,'Fórmula'!D75,23)&lt;&gt;"",INDEX(properties!A$1:CB$87,'Fórmula'!D75,23)),IF(INDEX(properties!A$1:CB$87,'Fórmula'!F75,23)&lt;&gt;"",INDEX(properties!A$1:CB$87,'Fórmula'!F75,23)),IF(INDEX(properties!A$1:CB$87,'Fórmula'!H75,23)&lt;&gt;"",INDEX(properties!A$1:CB$87,'Fórmula'!H75,23)),IF(INDEX(properties!A$1:CB$87,'Fórmula'!J75,23)&lt;&gt;"",INDEX(properties!A$1:CB$87,'Fórmula'!J75,23)))</f>
        <v>2.206976</v>
      </c>
      <c r="CE75" s="114">
        <f t="array" ref="CE75">MAX(INDEX(properties!A$1:CB$87,'Fórmula'!B75,23),INDEX(properties!A$1:CB$87,'Fórmula'!D75,23),INDEX(properties!A$1:CB$87,'Fórmula'!F75,23),INDEX(properties!A$1:CB$87,'Fórmula'!H75,23),INDEX(properties!A$1:CB$87,'Fórmula'!J75,23))</f>
        <v>4</v>
      </c>
      <c r="CF75" s="114">
        <f t="array" ref="CF75">MIN(IF('Fórmula'!B75=87,10^6,INDEX(properties!A$1:CB$87,'Fórmula'!B75,23)),IF(('Fórmula'!D75)=87,10^6,INDEX(properties!A$1:CB$87,'Fórmula'!D75,23)),IF(('Fórmula'!F75)=87,10^6,INDEX(properties!A$1:CB$87,'Fórmula'!F75,23)),IF(('Fórmula'!H75)=87,10^6,INDEX(properties!A$1:CB$87,'Fórmula'!H75,23)),IF('Fórmula'!J75=87,10^6,INDEX(properties!A$1:CB$87,'Fórmula'!J75,23)))</f>
        <v>0</v>
      </c>
      <c r="CG75" s="114">
        <f t="shared" si="14"/>
        <v>4</v>
      </c>
      <c r="CH75" s="115">
        <f t="array" ref="CH75">(('Fórmula'!C75)/('Fórmula'!C75+'Fórmula'!E75+'Fórmula'!G75+'Fórmula'!I75+'Fórmula'!K75))*(INDEX(properties!A$1:CB$87,'Fórmula'!B75,26))+(('Fórmula'!E75)/('Fórmula'!C75+'Fórmula'!E75+'Fórmula'!G75+'Fórmula'!I75+'Fórmula'!K75))*(INDEX(properties!A$1:CB$87,'Fórmula'!D75,26))+(('Fórmula'!G75)/('Fórmula'!C75+'Fórmula'!E75+'Fórmula'!G75+'Fórmula'!I75+'Fórmula'!K75))*(INDEX(properties!A$1:CB$87,'Fórmula'!F75,26))+(('Fórmula'!I75)/('Fórmula'!C75+'Fórmula'!E75+'Fórmula'!G75+'Fórmula'!I75+'Fórmula'!K75))*(INDEX(properties!A$1:CB$87,'Fórmula'!H75,26))+(('Fórmula'!K75)/('Fórmula'!C75+'Fórmula'!E75+'Fórmula'!G75+'Fórmula'!I75+'Fórmula'!K75))*(INDEX(properties!A$1:CB$87,'Fórmula'!J75,26))</f>
        <v>10.74014167</v>
      </c>
      <c r="CI75" s="115">
        <f t="array" ref="CI75">'Fórmula'!C75*(INDEX(properties!A$1:CB$87,'Fórmula'!B75,26))+'Fórmula'!E75*(INDEX(properties!A$1:CB$87,'Fórmula'!D75,26))+'Fórmula'!G75*(INDEX(properties!A$1:CB$87,'Fórmula'!F75,26))+'Fórmula'!I75*(INDEX(properties!A$1:CB$87,'Fórmula'!H75,26))+'Fórmula'!K75*(INDEX(properties!A$1:CB$87,'Fórmula'!J75,26))</f>
        <v>128.8817</v>
      </c>
      <c r="CJ75" s="115">
        <f t="array" ref="CJ75">VARP(IF(INDEX(properties!A$1:CB$87,'Fórmula'!B75,26)&lt;&gt;"",INDEX(properties!A$1:CB$87,'Fórmula'!B75,26)),IF(INDEX(properties!A$1:CB$87,'Fórmula'!D75,26)&lt;&gt;"",INDEX(properties!A$1:CB$87,'Fórmula'!D75,26)),IF(INDEX(properties!A$1:CB$87,'Fórmula'!F75,26)&lt;&gt;"",INDEX(properties!A$1:CB$87,'Fórmula'!F75,26)),IF(INDEX(properties!A$1:CB$87,'Fórmula'!H75,26)&lt;&gt;"",INDEX(properties!A$1:CB$87,'Fórmula'!H75,26)),IF(INDEX(properties!A$1:CB$87,'Fórmula'!J75,26)&lt;&gt;"",INDEX(properties!A$1:CB$87,'Fórmula'!J75,26)))</f>
        <v>9.42841849</v>
      </c>
      <c r="CK75" s="116">
        <f t="array" ref="CK75">MAX(INDEX(properties!A$1:CB$87,'Fórmula'!B75,26),INDEX(properties!A$1:CB$87,'Fórmula'!D75,26),INDEX(properties!A$1:CB$87,'Fórmula'!F75,26),INDEX(properties!A$1:CB$87,'Fórmula'!H75,26),INDEX(properties!A$1:CB$87,'Fórmula'!J75,26))</f>
        <v>13.6181</v>
      </c>
      <c r="CL75" s="116">
        <f t="array" ref="CL75">MIN(IF(INDEX(properties!A$1:CB$87,'Fórmula'!B75,26)=0,10^6,INDEX(properties!A$1:CB$87,'Fórmula'!B75,26)),IF(INDEX(properties!A$1:CB$87,'Fórmula'!D75,26)=0,10^6,INDEX(properties!A$1:CB$87,'Fórmula'!D75,26)),IF(INDEX(properties!A$1:CB$87,'Fórmula'!F75,26)=0,10^6,INDEX(properties!A$1:CB$87,'Fórmula'!F75,26)),IF(INDEX(properties!A$1:CB$87,'Fórmula'!H75,26)=0,10^6,INDEX(properties!A$1:CB$87,'Fórmula'!H75,26)),IF(INDEX(properties!A$1:CB$87,'Fórmula'!J75,26)=0,10^6,INDEX(properties!A$1:CB$87,'Fórmula'!J75,26)))</f>
        <v>5.1391</v>
      </c>
      <c r="CM75" s="115">
        <f t="shared" si="15"/>
        <v>8.479</v>
      </c>
      <c r="CN75" s="117">
        <f t="array" ref="CN75">(('Fórmula'!C75)/('Fórmula'!C75+'Fórmula'!E75+'Fórmula'!G75+'Fórmula'!I75+'Fórmula'!K75))*(INDEX(properties!A$1:CB$87,'Fórmula'!B75,30))+(('Fórmula'!E75)/('Fórmula'!C75+'Fórmula'!E75+'Fórmula'!G75+'Fórmula'!I75+'Fórmula'!K75))*(INDEX(properties!A$1:CB$87,'Fórmula'!D75,30))+(('Fórmula'!G75)/('Fórmula'!C75+'Fórmula'!E75+'Fórmula'!G75+'Fórmula'!I75+'Fórmula'!K75))*(INDEX(properties!A$1:CB$87,'Fórmula'!F75,30))+(('Fórmula'!I75)/('Fórmula'!C75+'Fórmula'!E75+'Fórmula'!G75+'Fórmula'!I75+'Fórmula'!K75))*(INDEX(properties!A$1:CB$87,'Fórmula'!H75,30))+(('Fórmula'!K75)/('Fórmula'!C75+'Fórmula'!E75+'Fórmula'!G75+'Fórmula'!I75+'Fórmula'!K75))*(INDEX(properties!A$1:CB$87,'Fórmula'!J75,30))</f>
        <v>2.635</v>
      </c>
      <c r="CO75" s="117">
        <f t="array" ref="CO75">'Fórmula'!C75*(INDEX(properties!A$1:CB$87,'Fórmula'!B75,30))+'Fórmula'!E75*(INDEX(properties!A$1:CB$87,'Fórmula'!D75,30))+'Fórmula'!G75*(INDEX(properties!A$1:CB$87,'Fórmula'!F75,30))+'Fórmula'!I75*(INDEX(properties!A$1:CB$87,'Fórmula'!H75,30))+'Fórmula'!K75*(INDEX(properties!A$1:CB$87,'Fórmula'!J75,30))</f>
        <v>31.62</v>
      </c>
      <c r="CP75" s="117">
        <f t="array" ref="CP75">VARP(IF(INDEX(properties!A$1:CB$87,'Fórmula'!B75,30)&lt;&gt;"",INDEX(properties!A$1:CB$87,'Fórmula'!B75,30)),IF(INDEX(properties!A$1:CB$87,'Fórmula'!D75,30)&lt;&gt;"",INDEX(properties!A$1:CB$87,'Fórmula'!D75,30)),IF(INDEX(properties!A$1:CB$87,'Fórmula'!F75,30)&lt;&gt;"",INDEX(properties!A$1:CB$87,'Fórmula'!F75,30)),IF(INDEX(properties!A$1:CB$87,'Fórmula'!H75,30)&lt;&gt;"",INDEX(properties!A$1:CB$87,'Fórmula'!H75,30)),IF(INDEX(properties!A$1:CB$87,'Fórmula'!J75,30)&lt;&gt;"",INDEX(properties!A$1:CB$87,'Fórmula'!J75,30)))</f>
        <v>0.819064</v>
      </c>
      <c r="CQ75" s="117">
        <f t="array" ref="CQ75">MAX(INDEX(properties!A$1:CB$87,'Fórmula'!B75,30),INDEX(properties!A$1:CB$87,'Fórmula'!D75,30),INDEX(properties!A$1:CB$87,'Fórmula'!F75,30),INDEX(properties!A$1:CB$87,'Fórmula'!H75,30),INDEX(properties!A$1:CB$87,'Fórmula'!J75,30))</f>
        <v>3.44</v>
      </c>
      <c r="CR75" s="117">
        <f t="array" ref="CR75">MIN(IF(INDEX(properties!A$1:CB$87,'Fórmula'!B75,30)=0,10^6,INDEX(properties!A$1:CB$87,'Fórmula'!B75,30)),IF(INDEX(properties!A$1:CB$87,'Fórmula'!D75,30)=0,10^6,INDEX(properties!A$1:CB$87,'Fórmula'!D75,30)),IF(INDEX(properties!A$1:CB$87,'Fórmula'!F75,30)=0,10^6,INDEX(properties!A$1:CB$87,'Fórmula'!F75,30)),IF(INDEX(properties!A$1:CB$87,'Fórmula'!H75,30)=0,10^6,INDEX(properties!A$1:CB$87,'Fórmula'!H75,30)),IF(INDEX(properties!A$1:CB$87,'Fórmula'!J75,30)=0,10^6,INDEX(properties!A$1:CB$87,'Fórmula'!J75,30)))</f>
        <v>0.93</v>
      </c>
      <c r="CS75" s="117">
        <f t="shared" si="16"/>
        <v>2.51</v>
      </c>
      <c r="CT75" s="118">
        <f t="array" ref="CT75">(('Fórmula'!C75)/('Fórmula'!C75+'Fórmula'!E75+'Fórmula'!G75+'Fórmula'!I75+'Fórmula'!K75))*(INDEX(properties!A$1:CB$87,'Fórmula'!B75,31))+(('Fórmula'!E75)/('Fórmula'!C75+'Fórmula'!E75+'Fórmula'!G75+'Fórmula'!I75+'Fórmula'!K75))*(INDEX(properties!A$1:CB$87,'Fórmula'!D75,31))+(('Fórmula'!G75)/('Fórmula'!C75+'Fórmula'!E75+'Fórmula'!G75+'Fórmula'!I75+'Fórmula'!K75))*(INDEX(properties!A$1:CB$87,'Fórmula'!F75,31))+(('Fórmula'!I75)/('Fórmula'!C75+'Fórmula'!E75+'Fórmula'!G75+'Fórmula'!I75+'Fórmula'!K75))*(INDEX(properties!A$1:CB$87,'Fórmula'!H75,31))+(('Fórmula'!K75)/('Fórmula'!C75+'Fórmula'!E75+'Fórmula'!G75+'Fórmula'!I75+'Fórmula'!K75))*(INDEX(properties!A$1:CB$87,'Fórmula'!J75,31))</f>
        <v>2.58</v>
      </c>
      <c r="CU75" s="118">
        <f t="array" ref="CU75">'Fórmula'!C75*(INDEX(properties!A$1:CB$87,'Fórmula'!B75,31))+'Fórmula'!E75*(INDEX(properties!A$1:CB$87,'Fórmula'!D75,31))+'Fórmula'!G75*(INDEX(properties!A$1:CB$87,'Fórmula'!F75,31))+'Fórmula'!I75*(INDEX(properties!A$1:CB$87,'Fórmula'!H75,31))+'Fórmula'!K75*(INDEX(properties!A$1:CB$87,'Fórmula'!J75,31))</f>
        <v>30.96</v>
      </c>
      <c r="CV75" s="118">
        <f t="array" ref="CV75">VARP(IF(INDEX(properties!A$1:CB$87,'Fórmula'!B75,31)&lt;&gt;"",INDEX(properties!A$1:CB$87,'Fórmula'!B75,31)),IF(INDEX(properties!A$1:CB$87,'Fórmula'!D75,31)&lt;&gt;"",INDEX(properties!A$1:CB$87,'Fórmula'!D75,31)),IF(INDEX(properties!A$1:CB$87,'Fórmula'!F75,31)&lt;&gt;"",INDEX(properties!A$1:CB$87,'Fórmula'!F75,31)),IF(INDEX(properties!A$1:CB$87,'Fórmula'!H75,31)&lt;&gt;"",INDEX(properties!A$1:CB$87,'Fórmula'!H75,31)),IF(INDEX(properties!A$1:CB$87,'Fórmula'!J75,31)&lt;&gt;"",INDEX(properties!A$1:CB$87,'Fórmula'!J75,31)))</f>
        <v>0.715416</v>
      </c>
      <c r="CW75" s="118">
        <f t="array" ref="CW75">MAX(INDEX(properties!A$1:CB$87,'Fórmula'!B75,31),INDEX(properties!A$1:CB$87,'Fórmula'!D75,31),INDEX(properties!A$1:CB$87,'Fórmula'!F75,31),INDEX(properties!A$1:CB$87,'Fórmula'!H75,31),INDEX(properties!A$1:CB$87,'Fórmula'!J75,31))</f>
        <v>3.32</v>
      </c>
      <c r="CX75" s="118">
        <f t="array" ref="CX75">MIN(IF(INDEX(properties!A$1:CB$87,'Fórmula'!B75,31)=0,10^6,INDEX(properties!A$1:CB$87,'Fórmula'!B75,31)),IF(INDEX(properties!A$1:CB$87,'Fórmula'!D75,31)=0,10^6,INDEX(properties!A$1:CB$87,'Fórmula'!D75,31)),IF(INDEX(properties!A$1:CB$87,'Fórmula'!F75,31)=0,10^6,INDEX(properties!A$1:CB$87,'Fórmula'!F75,31)),IF(INDEX(properties!A$1:CB$87,'Fórmula'!H75,31)=0,10^6,INDEX(properties!A$1:CB$87,'Fórmula'!H75,31)),IF(INDEX(properties!A$1:CB$87,'Fórmula'!J75,31)=0,10^6,INDEX(properties!A$1:CB$87,'Fórmula'!J75,31)))</f>
        <v>0.89</v>
      </c>
      <c r="CY75" s="118">
        <f t="shared" si="17"/>
        <v>2.43</v>
      </c>
      <c r="CZ75" s="119">
        <f t="array" ref="CZ75">(('Fórmula'!C75)/('Fórmula'!C75+'Fórmula'!E75+'Fórmula'!G75+'Fórmula'!I75+'Fórmula'!K75))*(INDEX(properties!A$1:CB$87,'Fórmula'!B75,32))+(('Fórmula'!E75)/('Fórmula'!C75+'Fórmula'!E75+'Fórmula'!G75+'Fórmula'!I75+'Fórmula'!K75))*(INDEX(properties!A$1:CB$87,'Fórmula'!D75,32))+(('Fórmula'!G75)/('Fórmula'!C75+'Fórmula'!E75+'Fórmula'!G75+'Fórmula'!I75+'Fórmula'!K75))*(INDEX(properties!A$1:CB$87,'Fórmula'!F75,32))+(('Fórmula'!I75)/('Fórmula'!C75+'Fórmula'!E75+'Fórmula'!G75+'Fórmula'!I75+'Fórmula'!K75))*(INDEX(properties!A$1:CB$87,'Fórmula'!H75,32))+(('Fórmula'!K75)/('Fórmula'!C75+'Fórmula'!E75+'Fórmula'!G75+'Fórmula'!I75+'Fórmula'!K75))*(INDEX(properties!A$1:CB$87,'Fórmula'!J75,32))</f>
        <v>5.880833333</v>
      </c>
      <c r="DA75" s="119">
        <f t="array" ref="DA75">'Fórmula'!C75*(INDEX(properties!A$1:CB$87,'Fórmula'!B75,32))+'Fórmula'!E75*(INDEX(properties!A$1:CB$87,'Fórmula'!D75,32))+'Fórmula'!G75*(INDEX(properties!A$1:CB$87,'Fórmula'!F75,32))+'Fórmula'!I75*(INDEX(properties!A$1:CB$87,'Fórmula'!H75,32))+'Fórmula'!K75*(INDEX(properties!A$1:CB$87,'Fórmula'!J75,32))</f>
        <v>70.57</v>
      </c>
      <c r="DB75" s="119">
        <f t="array" ref="DB75">VARP(IF(INDEX(properties!A$1:CB$87,'Fórmula'!B75,32)&lt;&gt;"",INDEX(properties!A$1:CB$87,'Fórmula'!B75,32)),IF(INDEX(properties!A$1:CB$87,'Fórmula'!D75,32)&lt;&gt;"",INDEX(properties!A$1:CB$87,'Fórmula'!D75,32)),IF(INDEX(properties!A$1:CB$87,'Fórmula'!F75,32)&lt;&gt;"",INDEX(properties!A$1:CB$87,'Fórmula'!F75,32)),IF(INDEX(properties!A$1:CB$87,'Fórmula'!H75,32)&lt;&gt;"",INDEX(properties!A$1:CB$87,'Fórmula'!H75,32)),IF(INDEX(properties!A$1:CB$87,'Fórmula'!J75,32)&lt;&gt;"",INDEX(properties!A$1:CB$87,'Fórmula'!J75,32)))</f>
        <v>3.652856</v>
      </c>
      <c r="DC75" s="119">
        <f t="array" ref="DC75">MAX(INDEX(properties!A$1:CB$87,'Fórmula'!B75,32),INDEX(properties!A$1:CB$87,'Fórmula'!D75,32),INDEX(properties!A$1:CB$87,'Fórmula'!F75,32),INDEX(properties!A$1:CB$87,'Fórmula'!H75,32),INDEX(properties!A$1:CB$87,'Fórmula'!J75,32))</f>
        <v>7.54</v>
      </c>
      <c r="DD75" s="119">
        <f t="array" ref="DD75">MIN(IF(INDEX(properties!A$1:CB$87,'Fórmula'!B75,32)=0,10^6,INDEX(properties!A$1:CB$87,'Fórmula'!B75,32)),IF(INDEX(properties!A$1:CB$87,'Fórmula'!D75,32)=0,10^6,INDEX(properties!A$1:CB$87,'Fórmula'!D75,32)),IF(INDEX(properties!A$1:CB$87,'Fórmula'!F75,32)=0,10^6,INDEX(properties!A$1:CB$87,'Fórmula'!F75,32)),IF(INDEX(properties!A$1:CB$87,'Fórmula'!H75,32)=0,10^6,INDEX(properties!A$1:CB$87,'Fórmula'!H75,32)),IF(INDEX(properties!A$1:CB$87,'Fórmula'!J75,32)=0,10^6,INDEX(properties!A$1:CB$87,'Fórmula'!J75,32)))</f>
        <v>2.2</v>
      </c>
      <c r="DE75" s="119">
        <f t="shared" si="18"/>
        <v>5.34</v>
      </c>
      <c r="DF75" s="104">
        <f t="array" ref="DF75">(('Fórmula'!C75)/('Fórmula'!C75+'Fórmula'!E75+'Fórmula'!G75+'Fórmula'!I75+'Fórmula'!K75))*(INDEX(properties!A$1:CB$87,'Fórmula'!B75,34))+(('Fórmula'!E75)/('Fórmula'!C75+'Fórmula'!E75+'Fórmula'!G75+'Fórmula'!I75+'Fórmula'!K75))*(INDEX(properties!A$1:CB$87,'Fórmula'!D75,34))+(('Fórmula'!G75)/('Fórmula'!C75+'Fórmula'!E75+'Fórmula'!G75+'Fórmula'!I75+'Fórmula'!K75))*(INDEX(properties!A$1:CB$87,'Fórmula'!F75,34))+(('Fórmula'!I75)/('Fórmula'!C75+'Fórmula'!E75+'Fórmula'!G75+'Fórmula'!I75+'Fórmula'!K75))*(INDEX(properties!A$1:CB$87,'Fórmula'!H75,34))+(('Fórmula'!K75)/('Fórmula'!C75+'Fórmula'!E75+'Fórmula'!G75+'Fórmula'!I75+'Fórmula'!K75))*(INDEX(properties!A$1:CB$87,'Fórmula'!J75,34))</f>
        <v>2.730083333</v>
      </c>
      <c r="DG75" s="104">
        <f t="array" ref="DG75">'Fórmula'!C75*(INDEX(properties!A$1:CB$87,'Fórmula'!B75,34))+'Fórmula'!E75*(INDEX(properties!A$1:CB$87,'Fórmula'!D75,34))+'Fórmula'!G75*(INDEX(properties!A$1:CB$87,'Fórmula'!F75,34))+'Fórmula'!I75*(INDEX(properties!A$1:CB$87,'Fórmula'!H75,34))+'Fórmula'!K75*(INDEX(properties!A$1:CB$87,'Fórmula'!J75,34))</f>
        <v>32.761</v>
      </c>
      <c r="DH75" s="104">
        <f t="array" ref="DH75">VARP(IF(INDEX(properties!A$1:CB$87,'Fórmula'!B75,34)&lt;&gt;"",INDEX(properties!A$1:CB$87,'Fórmula'!B75,34)),IF(INDEX(properties!A$1:CB$87,'Fórmula'!D75,34)&lt;&gt;"",INDEX(properties!A$1:CB$87,'Fórmula'!D75,34)),IF(INDEX(properties!A$1:CB$87,'Fórmula'!F75,34)&lt;&gt;"",INDEX(properties!A$1:CB$87,'Fórmula'!F75,34)),IF(INDEX(properties!A$1:CB$87,'Fórmula'!H75,34)&lt;&gt;"",INDEX(properties!A$1:CB$87,'Fórmula'!H75,34)),IF(INDEX(properties!A$1:CB$87,'Fórmula'!J75,34)&lt;&gt;"",INDEX(properties!A$1:CB$87,'Fórmula'!J75,34)))</f>
        <v>0.9476328</v>
      </c>
      <c r="DI75" s="104">
        <f t="array" ref="DI75">MAX(INDEX(properties!A$1:CB$87,'Fórmula'!B75,34),INDEX(properties!A$1:CB$87,'Fórmula'!D75,34),INDEX(properties!A$1:CB$87,'Fórmula'!F75,34),INDEX(properties!A$1:CB$87,'Fórmula'!H75,34),INDEX(properties!A$1:CB$87,'Fórmula'!J75,34))</f>
        <v>3.61</v>
      </c>
      <c r="DJ75" s="104">
        <f t="array" ref="DJ75">MIN(IF(INDEX(properties!A$1:CB$87,'Fórmula'!B75,34)=0,10^6,INDEX(properties!A$1:CB$87,'Fórmula'!B75,34)),IF(INDEX(properties!A$1:CB$87,'Fórmula'!D75,34)=0,10^6,INDEX(properties!A$1:CB$87,'Fórmula'!D75,34)),IF(INDEX(properties!A$1:CB$87,'Fórmula'!F75,34)=0,10^6,INDEX(properties!A$1:CB$87,'Fórmula'!F75,34)),IF(INDEX(properties!A$1:CB$87,'Fórmula'!H75,34)=0,10^6,INDEX(properties!A$1:CB$87,'Fórmula'!H75,34)),IF(INDEX(properties!A$1:CB$87,'Fórmula'!J75,34)=0,10^6,INDEX(properties!A$1:CB$87,'Fórmula'!J75,34)))</f>
        <v>0.869</v>
      </c>
      <c r="DK75" s="104">
        <f t="shared" si="19"/>
        <v>2.741</v>
      </c>
      <c r="DL75" s="105">
        <f t="array" ref="DL75">(('Fórmula'!C75)/('Fórmula'!C75+'Fórmula'!E75+'Fórmula'!G75+'Fórmula'!I75+'Fórmula'!K75))*(INDEX(properties!A$1:CB$87,'Fórmula'!B75,37))+(('Fórmula'!E75)/('Fórmula'!C75+'Fórmula'!E75+'Fórmula'!G75+'Fórmula'!I75+'Fórmula'!K75))*(INDEX(properties!A$1:CB$87,'Fórmula'!D75,37))+(('Fórmula'!G75)/('Fórmula'!C75+'Fórmula'!E75+'Fórmula'!G75+'Fórmula'!I75+'Fórmula'!K75))*(INDEX(properties!A$1:CB$87,'Fórmula'!F75,37))+(('Fórmula'!I75)/('Fórmula'!C75+'Fórmula'!E75+'Fórmula'!G75+'Fórmula'!I75+'Fórmula'!K75))*(INDEX(properties!A$1:CB$87,'Fórmula'!H75,37))+(('Fórmula'!K75)/('Fórmula'!C75+'Fórmula'!E75+'Fórmula'!G75+'Fórmula'!I75+'Fórmula'!K75))*(INDEX(properties!A$1:CB$87,'Fórmula'!J75,37))</f>
        <v>2.5875</v>
      </c>
      <c r="DM75" s="105">
        <f t="array" ref="DM75">'Fórmula'!C75*(INDEX(properties!A$1:CB$87,'Fórmula'!B75,37))+'Fórmula'!E75*(INDEX(properties!A$1:CB$87,'Fórmula'!D75,37))+'Fórmula'!G75*(INDEX(properties!A$1:CB$87,'Fórmula'!F75,37))+'Fórmula'!I75*(INDEX(properties!A$1:CB$87,'Fórmula'!H75,37))+'Fórmula'!K75*(INDEX(properties!A$1:CB$87,'Fórmula'!J75,37))</f>
        <v>31.05</v>
      </c>
      <c r="DN75" s="105">
        <f t="array" ref="DN75">VARP(IF(INDEX(properties!A$1:CB$87,'Fórmula'!B75,37)&lt;&gt;"",INDEX(properties!A$1:CB$87,'Fórmula'!B75,37)),IF(INDEX(properties!A$1:CB$87,'Fórmula'!D75,37)&lt;&gt;"",INDEX(properties!A$1:CB$87,'Fórmula'!D75,37)),IF(INDEX(properties!A$1:CB$87,'Fórmula'!F75,37)&lt;&gt;"",INDEX(properties!A$1:CB$87,'Fórmula'!F75,37)),IF(INDEX(properties!A$1:CB$87,'Fórmula'!H75,37)&lt;&gt;"",INDEX(properties!A$1:CB$87,'Fórmula'!H75,37)),IF(INDEX(properties!A$1:CB$87,'Fórmula'!J75,37)&lt;&gt;"",INDEX(properties!A$1:CB$87,'Fórmula'!J75,37)))</f>
        <v>0.8584</v>
      </c>
      <c r="DO75" s="105">
        <f t="array" ref="DO75">MAX(INDEX(properties!A$1:CB$87,'Fórmula'!B75,37),INDEX(properties!A$1:CB$87,'Fórmula'!D75,37),INDEX(properties!A$1:CB$87,'Fórmula'!F75,37),INDEX(properties!A$1:CB$87,'Fórmula'!H75,37),INDEX(properties!A$1:CB$87,'Fórmula'!J75,37))</f>
        <v>3.45</v>
      </c>
      <c r="DP75" s="105">
        <f t="array" ref="DP75">MIN(IF(INDEX(properties!A$1:CB$87,'Fórmula'!B75,37)=0,10^6,INDEX(properties!A$1:CB$87,'Fórmula'!B75,37)),IF(INDEX(properties!A$1:CB$87,'Fórmula'!D75,37)=0,10^6,INDEX(properties!A$1:CB$87,'Fórmula'!D75,37)),IF(INDEX(properties!A$1:CB$87,'Fórmula'!F75,37)=0,10^6,INDEX(properties!A$1:CB$87,'Fórmula'!F75,37)),IF(INDEX(properties!A$1:CB$87,'Fórmula'!H75,37)=0,10^6,INDEX(properties!A$1:CB$87,'Fórmula'!H75,37)),IF(INDEX(properties!A$1:CB$87,'Fórmula'!J75,37)=0,10^6,INDEX(properties!A$1:CB$87,'Fórmula'!J75,37)))</f>
        <v>0.9</v>
      </c>
      <c r="DQ75" s="105">
        <f t="shared" si="20"/>
        <v>2.55</v>
      </c>
      <c r="DR75" s="109">
        <f t="array" ref="DR75">(('Fórmula'!C75)/('Fórmula'!C75+'Fórmula'!E75+'Fórmula'!G75+'Fórmula'!I75+'Fórmula'!K75))*(INDEX(properties!A$1:CB$87,'Fórmula'!B75,39))+(('Fórmula'!E75)/('Fórmula'!C75+'Fórmula'!E75+'Fórmula'!G75+'Fórmula'!I75+'Fórmula'!K75))*(INDEX(properties!A$1:CB$87,'Fórmula'!D75,39))+(('Fórmula'!G75)/('Fórmula'!C75+'Fórmula'!E75+'Fórmula'!G75+'Fórmula'!I75+'Fórmula'!K75))*(INDEX(properties!A$1:CB$87,'Fórmula'!F75,39))+(('Fórmula'!I75)/('Fórmula'!C75+'Fórmula'!E75+'Fórmula'!G75+'Fórmula'!I75+'Fórmula'!K75))*(INDEX(properties!A$1:CB$87,'Fórmula'!H75,39))+(('Fórmula'!K75)/('Fórmula'!C75+'Fórmula'!E75+'Fórmula'!G75+'Fórmula'!I75+'Fórmula'!K75))*(INDEX(properties!A$1:CB$87,'Fórmula'!J75,39))</f>
        <v>0.8983333333</v>
      </c>
      <c r="DS75" s="109">
        <f t="array" ref="DS75">'Fórmula'!C75*(INDEX(properties!A$1:CB$87,'Fórmula'!B75,39))+'Fórmula'!E75*(INDEX(properties!A$1:CB$87,'Fórmula'!D75,39))+'Fórmula'!G75*(INDEX(properties!A$1:CB$87,'Fórmula'!F75,39))+'Fórmula'!I75*(INDEX(properties!A$1:CB$87,'Fórmula'!H75,39))+'Fórmula'!K75*(INDEX(properties!A$1:CB$87,'Fórmula'!J75,39))</f>
        <v>10.78</v>
      </c>
      <c r="DT75" s="109">
        <f t="array" ref="DT75">VARP(IF(INDEX(properties!A$1:CB$87,'Fórmula'!B75,39)&lt;&gt;"",INDEX(properties!A$1:CB$87,'Fórmula'!B75,39)),IF(INDEX(properties!A$1:CB$87,'Fórmula'!D75,39)&lt;&gt;"",INDEX(properties!A$1:CB$87,'Fórmula'!D75,39)),IF(INDEX(properties!A$1:CB$87,'Fórmula'!F75,39)&lt;&gt;"",INDEX(properties!A$1:CB$87,'Fórmula'!F75,39)),IF(INDEX(properties!A$1:CB$87,'Fórmula'!H75,39)&lt;&gt;"",INDEX(properties!A$1:CB$87,'Fórmula'!H75,39)),IF(INDEX(properties!A$1:CB$87,'Fórmula'!J75,39)&lt;&gt;"",INDEX(properties!A$1:CB$87,'Fórmula'!J75,39)))</f>
        <v>0.292976</v>
      </c>
      <c r="DU75" s="120">
        <f t="array" ref="DU75">MAX(INDEX(properties!A$1:CB$87,'Fórmula'!B75,39),INDEX(properties!A$1:CB$87,'Fórmula'!D75,39),INDEX(properties!A$1:CB$87,'Fórmula'!F75,39),INDEX(properties!A$1:CB$87,'Fórmula'!H75,39),INDEX(properties!A$1:CB$87,'Fórmula'!J75,39))</f>
        <v>1.94</v>
      </c>
      <c r="DV75" s="120">
        <f t="array" ref="DV75">MIN(IF(INDEX(properties!A$1:CB$87,'Fórmula'!B75,39)=0,10^6,INDEX(properties!A$1:CB$87,'Fórmula'!B75,39)),IF(INDEX(properties!A$1:CB$87,'Fórmula'!D75,39)=0,10^6,INDEX(properties!A$1:CB$87,'Fórmula'!D75,39)),IF(INDEX(properties!A$1:CB$87,'Fórmula'!F75,39)=0,10^6,INDEX(properties!A$1:CB$87,'Fórmula'!F75,39)),IF(INDEX(properties!A$1:CB$87,'Fórmula'!H75,39)=0,10^6,INDEX(properties!A$1:CB$87,'Fórmula'!H75,39)),IF(INDEX(properties!A$1:CB$87,'Fórmula'!J75,39)=0,10^6,INDEX(properties!A$1:CB$87,'Fórmula'!J75,39)))</f>
        <v>0.48</v>
      </c>
      <c r="DW75" s="109">
        <f t="shared" si="21"/>
        <v>1.46</v>
      </c>
      <c r="DX75" s="110">
        <f t="array" ref="DX75">(('Fórmula'!C75)/('Fórmula'!C75+'Fórmula'!E75+'Fórmula'!G75+'Fórmula'!I75+'Fórmula'!K75))*(INDEX(properties!A$1:CB$87,'Fórmula'!B75,40))+(('Fórmula'!E75)/('Fórmula'!C75+'Fórmula'!E75+'Fórmula'!G75+'Fórmula'!I75+'Fórmula'!K75))*(INDEX(properties!A$1:CB$87,'Fórmula'!D75,40))+(('Fórmula'!G75)/('Fórmula'!C75+'Fórmula'!E75+'Fórmula'!G75+'Fórmula'!I75+'Fórmula'!K75))*(INDEX(properties!A$1:CB$87,'Fórmula'!F75,40))+(('Fórmula'!I75)/('Fórmula'!C75+'Fórmula'!E75+'Fórmula'!G75+'Fórmula'!I75+'Fórmula'!K75))*(INDEX(properties!A$1:CB$87,'Fórmula'!H75,40))+(('Fórmula'!K75)/('Fórmula'!C75+'Fórmula'!E75+'Fórmula'!G75+'Fórmula'!I75+'Fórmula'!K75))*(INDEX(properties!A$1:CB$87,'Fórmula'!J75,40))</f>
        <v>0.9891666667</v>
      </c>
      <c r="DY75" s="110">
        <f t="array" ref="DY75">'Fórmula'!C75*(INDEX(properties!A$1:CB$87,'Fórmula'!B75,40))+'Fórmula'!E75*(INDEX(properties!A$1:CB$87,'Fórmula'!D75,40))+'Fórmula'!G75*(INDEX(properties!A$1:CB$87,'Fórmula'!F75,40))+'Fórmula'!I75*(INDEX(properties!A$1:CB$87,'Fórmula'!H75,40))+'Fórmula'!K75*(INDEX(properties!A$1:CB$87,'Fórmula'!J75,40))</f>
        <v>11.87</v>
      </c>
      <c r="DZ75" s="110">
        <f t="array" ref="DZ75">VARP(IF(INDEX(properties!A$1:CB$87,'Fórmula'!B75,40)&lt;&gt;"",INDEX(properties!A$1:CB$87,'Fórmula'!B75,40)),IF(INDEX(properties!A$1:CB$87,'Fórmula'!D75,40)&lt;&gt;"",INDEX(properties!A$1:CB$87,'Fórmula'!D75,40)),IF(INDEX(properties!A$1:CB$87,'Fórmula'!F75,40)&lt;&gt;"",INDEX(properties!A$1:CB$87,'Fórmula'!F75,40)),IF(INDEX(properties!A$1:CB$87,'Fórmula'!H75,40)&lt;&gt;"",INDEX(properties!A$1:CB$87,'Fórmula'!H75,40)),IF(INDEX(properties!A$1:CB$87,'Fórmula'!J75,40)&lt;&gt;"",INDEX(properties!A$1:CB$87,'Fórmula'!J75,40)))</f>
        <v>0.122184</v>
      </c>
      <c r="EA75" s="121">
        <f t="array" ref="EA75">MAX(INDEX(properties!A$1:CB$87,'Fórmula'!B75,40),INDEX(properties!A$1:CB$87,'Fórmula'!D75,40),INDEX(properties!A$1:CB$87,'Fórmula'!F75,40),INDEX(properties!A$1:CB$87,'Fórmula'!H75,40),INDEX(properties!A$1:CB$87,'Fórmula'!J75,40))</f>
        <v>1.74</v>
      </c>
      <c r="EB75" s="121">
        <f t="array" ref="EB75">MIN(IF(INDEX(properties!A$1:CB$87,'Fórmula'!B75,40)=0,10^6,INDEX(properties!A$1:CB$87,'Fórmula'!B75,40)),IF(INDEX(properties!A$1:CB$87,'Fórmula'!D75,40)=0,10^6,INDEX(properties!A$1:CB$87,'Fórmula'!D75,40)),IF(INDEX(properties!A$1:CB$87,'Fórmula'!F75,40)=0,10^6,INDEX(properties!A$1:CB$87,'Fórmula'!F75,40)),IF(INDEX(properties!A$1:CB$87,'Fórmula'!H75,40)=0,10^6,INDEX(properties!A$1:CB$87,'Fórmula'!H75,40)),IF(INDEX(properties!A$1:CB$87,'Fórmula'!J75,40)=0,10^6,INDEX(properties!A$1:CB$87,'Fórmula'!J75,40)))</f>
        <v>0.73</v>
      </c>
      <c r="EC75" s="110">
        <f t="shared" si="22"/>
        <v>1.01</v>
      </c>
      <c r="ED75" s="111">
        <f t="array" ref="ED75">(('Fórmula'!C75)/('Fórmula'!C75+'Fórmula'!E75+'Fórmula'!G75+'Fórmula'!I75+'Fórmula'!K75))*(INDEX(properties!A$1:CB$87,'Fórmula'!B75,41))+(('Fórmula'!E75)/('Fórmula'!C75+'Fórmula'!E75+'Fórmula'!G75+'Fórmula'!I75+'Fórmula'!K75))*(INDEX(properties!A$1:CB$87,'Fórmula'!D75,41))+(('Fórmula'!G75)/('Fórmula'!C75+'Fórmula'!E75+'Fórmula'!G75+'Fórmula'!I75+'Fórmula'!K75))*(INDEX(properties!A$1:CB$87,'Fórmula'!F75,41))+(('Fórmula'!I75)/('Fórmula'!C75+'Fórmula'!E75+'Fórmula'!G75+'Fórmula'!I75+'Fórmula'!K75))*(INDEX(properties!A$1:CB$87,'Fórmula'!H75,41))+(('Fórmula'!K75)/('Fórmula'!C75+'Fórmula'!E75+'Fórmula'!G75+'Fórmula'!I75+'Fórmula'!K75))*(INDEX(properties!A$1:CB$87,'Fórmula'!J75,41))</f>
        <v>1.08</v>
      </c>
      <c r="EE75" s="111">
        <f t="array" ref="EE75">'Fórmula'!C75*(INDEX(properties!A$1:CB$87,'Fórmula'!B75,41))+'Fórmula'!E75*(INDEX(properties!A$1:CB$87,'Fórmula'!D75,41))+'Fórmula'!G75*(INDEX(properties!A$1:CB$87,'Fórmula'!F75,41))+'Fórmula'!I75*(INDEX(properties!A$1:CB$87,'Fórmula'!H75,41))+'Fórmula'!K75*(INDEX(properties!A$1:CB$87,'Fórmula'!J75,41))</f>
        <v>12.96</v>
      </c>
      <c r="EF75" s="111">
        <f t="array" ref="EF75">VARP(IF(INDEX(properties!A$1:CB$87,'Fórmula'!B75,41)&lt;&gt;"",INDEX(properties!A$1:CB$87,'Fórmula'!B75,41)),IF(INDEX(properties!A$1:CB$87,'Fórmula'!D75,41)&lt;&gt;"",INDEX(properties!A$1:CB$87,'Fórmula'!D75,41)),IF(INDEX(properties!A$1:CB$87,'Fórmula'!F75,41)&lt;&gt;"",INDEX(properties!A$1:CB$87,'Fórmula'!F75,41)),IF(INDEX(properties!A$1:CB$87,'Fórmula'!H75,41)&lt;&gt;"",INDEX(properties!A$1:CB$87,'Fórmula'!H75,41)),IF(INDEX(properties!A$1:CB$87,'Fórmula'!J75,41)&lt;&gt;"",INDEX(properties!A$1:CB$87,'Fórmula'!J75,41)))</f>
        <v>0.075616</v>
      </c>
      <c r="EG75" s="122">
        <f t="array" ref="EG75">MAX(INDEX(properties!A$1:CB$87,'Fórmula'!B75,41),INDEX(properties!A$1:CB$87,'Fórmula'!D75,41),INDEX(properties!A$1:CB$87,'Fórmula'!F75,41),INDEX(properties!A$1:CB$87,'Fórmula'!H75,41),INDEX(properties!A$1:CB$87,'Fórmula'!J75,41))</f>
        <v>1.26</v>
      </c>
      <c r="EH75" s="122">
        <f t="array" ref="EH75">MIN(IF(INDEX(properties!A$1:CB$87,'Fórmula'!B75,41)=0,10^6,INDEX(properties!A$1:CB$87,'Fórmula'!B75,41)),IF(INDEX(properties!A$1:CB$87,'Fórmula'!D75,41)=0,10^6,INDEX(properties!A$1:CB$87,'Fórmula'!D75,41)),IF(INDEX(properties!A$1:CB$87,'Fórmula'!F75,41)=0,10^6,INDEX(properties!A$1:CB$87,'Fórmula'!F75,41)),IF(INDEX(properties!A$1:CB$87,'Fórmula'!H75,41)=0,10^6,INDEX(properties!A$1:CB$87,'Fórmula'!H75,41)),IF(INDEX(properties!A$1:CB$87,'Fórmula'!J75,41)=0,10^6,INDEX(properties!A$1:CB$87,'Fórmula'!J75,41)))</f>
        <v>0.54</v>
      </c>
      <c r="EI75" s="111">
        <f t="shared" si="23"/>
        <v>0.72</v>
      </c>
      <c r="EJ75" s="112">
        <f t="array" ref="EJ75">(('Fórmula'!C75)/('Fórmula'!C75+'Fórmula'!E75+'Fórmula'!G75+'Fórmula'!I75+'Fórmula'!K75))*(INDEX(properties!A$1:CB$87,'Fórmula'!B75,45))+(('Fórmula'!E75)/('Fórmula'!C75+'Fórmula'!E75+'Fórmula'!G75+'Fórmula'!I75+'Fórmula'!K75))*(INDEX(properties!A$1:CB$87,'Fórmula'!D75,45))+(('Fórmula'!G75)/('Fórmula'!C75+'Fórmula'!E75+'Fórmula'!G75+'Fórmula'!I75+'Fórmula'!K75))*(INDEX(properties!A$1:CB$87,'Fórmula'!F75,45))+(('Fórmula'!I75)/('Fórmula'!C75+'Fórmula'!E75+'Fórmula'!G75+'Fórmula'!I75+'Fórmula'!K75))*(INDEX(properties!A$1:CB$87,'Fórmula'!H75,45))+(('Fórmula'!K75)/('Fórmula'!C75+'Fórmula'!E75+'Fórmula'!G75+'Fórmula'!I75+'Fórmula'!K75))*(INDEX(properties!A$1:CB$87,'Fórmula'!J75,45))</f>
        <v>1.123333333</v>
      </c>
      <c r="EK75" s="112">
        <f t="array" ref="EK75">'Fórmula'!C75*(INDEX(properties!A$1:CB$87,'Fórmula'!B75,45))+'Fórmula'!E75*(INDEX(properties!A$1:CB$87,'Fórmula'!D75,45))+'Fórmula'!G75*(INDEX(properties!A$1:CB$87,'Fórmula'!F75,45))+'Fórmula'!I75*(INDEX(properties!A$1:CB$87,'Fórmula'!H75,45))+'Fórmula'!K75*(INDEX(properties!A$1:CB$87,'Fórmula'!J75,45))</f>
        <v>13.48</v>
      </c>
      <c r="EL75" s="112">
        <f t="array" ref="EL75">VARP(IF(INDEX(properties!A$1:CB$87,'Fórmula'!B75,45)&lt;&gt;"",INDEX(properties!A$1:CB$87,'Fórmula'!B75,45)),IF(INDEX(properties!A$1:CB$87,'Fórmula'!D75,45)&lt;&gt;"",INDEX(properties!A$1:CB$87,'Fórmula'!D75,45)),IF(INDEX(properties!A$1:CB$87,'Fórmula'!F75,45)&lt;&gt;"",INDEX(properties!A$1:CB$87,'Fórmula'!F75,45)),IF(INDEX(properties!A$1:CB$87,'Fórmula'!H75,45)&lt;&gt;"",INDEX(properties!A$1:CB$87,'Fórmula'!H75,45)),IF(INDEX(properties!A$1:CB$87,'Fórmula'!J75,45)&lt;&gt;"",INDEX(properties!A$1:CB$87,'Fórmula'!J75,45)))</f>
        <v>0.814856</v>
      </c>
      <c r="EM75" s="123">
        <f t="array" ref="EM75">MAX(INDEX(properties!A$1:CB$87,'Fórmula'!B75,45),INDEX(properties!A$1:CB$87,'Fórmula'!D75,45),INDEX(properties!A$1:CB$87,'Fórmula'!F75,45),INDEX(properties!A$1:CB$87,'Fórmula'!H75,45),INDEX(properties!A$1:CB$87,'Fórmula'!J75,45))</f>
        <v>3</v>
      </c>
      <c r="EN75" s="123">
        <f t="array" ref="EN75">MIN(IF(INDEX(properties!A$1:CB$87,'Fórmula'!B75,45)=0,10^6,INDEX(properties!A$1:CB$87,'Fórmula'!B75,45)),IF(INDEX(properties!A$1:CB$87,'Fórmula'!D75,45)=0,10^6,INDEX(properties!A$1:CB$87,'Fórmula'!D75,45)),IF(INDEX(properties!A$1:CB$87,'Fórmula'!F75,45)=0,10^6,INDEX(properties!A$1:CB$87,'Fórmula'!F75,45)),IF(INDEX(properties!A$1:CB$87,'Fórmula'!H75,45)=0,10^6,INDEX(properties!A$1:CB$87,'Fórmula'!H75,45)),IF(INDEX(properties!A$1:CB$87,'Fórmula'!J75,45)=0,10^6,INDEX(properties!A$1:CB$87,'Fórmula'!J75,45)))</f>
        <v>0.47</v>
      </c>
      <c r="EO75" s="112">
        <f t="shared" si="24"/>
        <v>2.53</v>
      </c>
      <c r="EP75" s="113">
        <f t="array" ref="EP75">(('Fórmula'!C75)/('Fórmula'!C75+'Fórmula'!E75+'Fórmula'!G75+'Fórmula'!I75+'Fórmula'!K75))*(INDEX(properties!A$1:CB$87,'Fórmula'!B75,46))+(('Fórmula'!E75)/('Fórmula'!C75+'Fórmula'!E75+'Fórmula'!G75+'Fórmula'!I75+'Fórmula'!K75))*(INDEX(properties!A$1:CB$87,'Fórmula'!D75,46))+(('Fórmula'!G75)/('Fórmula'!C75+'Fórmula'!E75+'Fórmula'!G75+'Fórmula'!I75+'Fórmula'!K75))*(INDEX(properties!A$1:CB$87,'Fórmula'!F75,46))+(('Fórmula'!I75)/('Fórmula'!C75+'Fórmula'!E75+'Fórmula'!G75+'Fórmula'!I75+'Fórmula'!K75))*(INDEX(properties!A$1:CB$87,'Fórmula'!H75,46))+(('Fórmula'!K75)/('Fórmula'!C75+'Fórmula'!E75+'Fórmula'!G75+'Fórmula'!I75+'Fórmula'!K75))*(INDEX(properties!A$1:CB$87,'Fórmula'!J75,46))</f>
        <v>1.0275</v>
      </c>
      <c r="EQ75" s="113">
        <f t="array" ref="EQ75">'Fórmula'!C75*(INDEX(properties!A$1:CB$87,'Fórmula'!B75,46))+'Fórmula'!E75*(INDEX(properties!A$1:CB$87,'Fórmula'!D75,46))+'Fórmula'!G75*(INDEX(properties!A$1:CB$87,'Fórmula'!F75,46))+'Fórmula'!I75*(INDEX(properties!A$1:CB$87,'Fórmula'!H75,46))+'Fórmula'!K75*(INDEX(properties!A$1:CB$87,'Fórmula'!J75,46))</f>
        <v>12.33</v>
      </c>
      <c r="ER75" s="113">
        <f t="array" ref="ER75">VARP(IF(INDEX(properties!A$1:CB$87,'Fórmula'!B75,46)&lt;&gt;"",INDEX(properties!A$1:CB$87,'Fórmula'!B75,46)),IF(INDEX(properties!A$1:CB$87,'Fórmula'!D75,46)&lt;&gt;"",INDEX(properties!A$1:CB$87,'Fórmula'!D75,46)),IF(INDEX(properties!A$1:CB$87,'Fórmula'!F75,46)&lt;&gt;"",INDEX(properties!A$1:CB$87,'Fórmula'!F75,46)),IF(INDEX(properties!A$1:CB$87,'Fórmula'!H75,46)&lt;&gt;"",INDEX(properties!A$1:CB$87,'Fórmula'!H75,46)),IF(INDEX(properties!A$1:CB$87,'Fórmula'!J75,46)&lt;&gt;"",INDEX(properties!A$1:CB$87,'Fórmula'!J75,46)))</f>
        <v>0.097024</v>
      </c>
      <c r="ES75" s="124">
        <f t="array" ref="ES75">MAX(INDEX(properties!A$1:CB$87,'Fórmula'!B75,46),INDEX(properties!A$1:CB$87,'Fórmula'!D75,46),INDEX(properties!A$1:CB$87,'Fórmula'!F75,46),INDEX(properties!A$1:CB$87,'Fórmula'!H75,46),INDEX(properties!A$1:CB$87,'Fórmula'!J75,46))</f>
        <v>1.21</v>
      </c>
      <c r="ET75" s="124">
        <f t="array" ref="ET75">MIN(IF(INDEX(properties!A$1:CB$87,'Fórmula'!B75,46)=0,10^6,INDEX(properties!A$1:CB$87,'Fórmula'!B75,46)),IF(INDEX(properties!A$1:CB$87,'Fórmula'!D75,46)=0,10^6,INDEX(properties!A$1:CB$87,'Fórmula'!D75,46)),IF(INDEX(properties!A$1:CB$87,'Fórmula'!F75,46)=0,10^6,INDEX(properties!A$1:CB$87,'Fórmula'!F75,46)),IF(INDEX(properties!A$1:CB$87,'Fórmula'!H75,46)=0,10^6,INDEX(properties!A$1:CB$87,'Fórmula'!H75,46)),IF(INDEX(properties!A$1:CB$87,'Fórmula'!J75,46)=0,10^6,INDEX(properties!A$1:CB$87,'Fórmula'!J75,46)))</f>
        <v>0.4</v>
      </c>
      <c r="EU75" s="113">
        <f t="shared" si="25"/>
        <v>0.81</v>
      </c>
      <c r="EV75" s="114">
        <f t="array" ref="EV75">(('Fórmula'!C75)/('Fórmula'!C75+'Fórmula'!E75+'Fórmula'!G75+'Fórmula'!I75+'Fórmula'!K75))*(INDEX(properties!A$1:CB$87,'Fórmula'!B75,52))+(('Fórmula'!E75)/('Fórmula'!C75+'Fórmula'!E75+'Fórmula'!G75+'Fórmula'!I75+'Fórmula'!K75))*(INDEX(properties!A$1:CB$87,'Fórmula'!D75,52))+(('Fórmula'!G75)/('Fórmula'!C75+'Fórmula'!E75+'Fórmula'!G75+'Fórmula'!I75+'Fórmula'!K75))*(INDEX(properties!A$1:CB$87,'Fórmula'!F75,52))+(('Fórmula'!I75)/('Fórmula'!C75+'Fórmula'!E75+'Fórmula'!G75+'Fórmula'!I75+'Fórmula'!K75))*(INDEX(properties!A$1:CB$87,'Fórmula'!H75,52))+(('Fórmula'!K75)/('Fórmula'!C75+'Fórmula'!E75+'Fórmula'!G75+'Fórmula'!I75+'Fórmula'!K75))*(INDEX(properties!A$1:CB$87,'Fórmula'!J75,52))</f>
        <v>5.90425</v>
      </c>
      <c r="EW75" s="114">
        <f t="array" ref="EW75">'Fórmula'!C75*(INDEX(properties!A$1:CB$87,'Fórmula'!B75,52))+'Fórmula'!E75*(INDEX(properties!A$1:CB$87,'Fórmula'!D75,52))+'Fórmula'!G75*(INDEX(properties!A$1:CB$87,'Fórmula'!F75,52))+'Fórmula'!I75*(INDEX(properties!A$1:CB$87,'Fórmula'!H75,52))+'Fórmula'!K75*(INDEX(properties!A$1:CB$87,'Fórmula'!J75,52))</f>
        <v>70.851</v>
      </c>
      <c r="EX75" s="114">
        <f t="array" ref="EX75">VARP(IF(INDEX(properties!A$1:CB$87,'Fórmula'!B75,52)&lt;&gt;"",INDEX(properties!A$1:CB$87,'Fórmula'!B75,52)),IF(INDEX(properties!A$1:CB$87,'Fórmula'!D75,52)&lt;&gt;"",INDEX(properties!A$1:CB$87,'Fórmula'!D75,52)),IF(INDEX(properties!A$1:CB$87,'Fórmula'!F75,52)&lt;&gt;"",INDEX(properties!A$1:CB$87,'Fórmula'!F75,52)),IF(INDEX(properties!A$1:CB$87,'Fórmula'!H75,52)&lt;&gt;"",INDEX(properties!A$1:CB$87,'Fórmula'!H75,52)),IF(INDEX(properties!A$1:CB$87,'Fórmula'!J75,52)&lt;&gt;"",INDEX(properties!A$1:CB$87,'Fórmula'!J75,52)))</f>
        <v>87.09415984</v>
      </c>
      <c r="EY75" s="114">
        <f t="array" ref="EY75">MAX(INDEX(properties!A$1:CB$87,'Fórmula'!B75,52),INDEX(properties!A$1:CB$87,'Fórmula'!D75,52),INDEX(properties!A$1:CB$87,'Fórmula'!F75,52),INDEX(properties!A$1:CB$87,'Fórmula'!H75,52),INDEX(properties!A$1:CB$87,'Fórmula'!J75,52))</f>
        <v>23.6</v>
      </c>
      <c r="EZ75" s="114">
        <f t="array" ref="EZ75">MIN(IF(INDEX(properties!A$1:CB$87,'Fórmula'!B75,52)=0,10^6,INDEX(properties!A$1:CB$87,'Fórmula'!B75,52)),IF(INDEX(properties!A$1:CB$87,'Fórmula'!D75,52)=0,10^6,INDEX(properties!A$1:CB$87,'Fórmula'!D75,52)),IF(INDEX(properties!A$1:CB$87,'Fórmula'!F75,52)=0,10^6,INDEX(properties!A$1:CB$87,'Fórmula'!F75,52)),IF(INDEX(properties!A$1:CB$87,'Fórmula'!H75,52)=0,10^6,INDEX(properties!A$1:CB$87,'Fórmula'!H75,52)),IF(INDEX(properties!A$1:CB$87,'Fórmula'!J75,52)=0,10^6,INDEX(properties!A$1:CB$87,'Fórmula'!J75,52)))</f>
        <v>0.793</v>
      </c>
      <c r="FA75" s="114">
        <f t="shared" si="26"/>
        <v>22.807</v>
      </c>
      <c r="FB75" s="115">
        <f t="array" ref="FB75">(('Fórmula'!C75)/('Fórmula'!C75+'Fórmula'!E75+'Fórmula'!G75+'Fórmula'!I75+'Fórmula'!K75))*(INDEX(properties!A$1:CB$87,'Fórmula'!B75,53))+(('Fórmula'!E75)/('Fórmula'!C75+'Fórmula'!E75+'Fórmula'!G75+'Fórmula'!I75+'Fórmula'!K75))*(INDEX(properties!A$1:CB$87,'Fórmula'!D75,53))+(('Fórmula'!G75)/('Fórmula'!C75+'Fórmula'!E75+'Fórmula'!G75+'Fórmula'!I75+'Fórmula'!K75))*(INDEX(properties!A$1:CB$87,'Fórmula'!F75,53))+(('Fórmula'!I75)/('Fórmula'!C75+'Fórmula'!E75+'Fórmula'!G75+'Fórmula'!I75+'Fórmula'!K75))*(INDEX(properties!A$1:CB$87,'Fórmula'!H75,53))+(('Fórmula'!K75)/('Fórmula'!C75+'Fórmula'!E75+'Fórmula'!G75+'Fórmula'!I75+'Fórmula'!K75))*(INDEX(properties!A$1:CB$87,'Fórmula'!J75,53))</f>
        <v>461.3</v>
      </c>
      <c r="FC75" s="115">
        <f t="array" ref="FC75">'Fórmula'!C75*(INDEX(properties!A$1:CB$87,'Fórmula'!B75,53))+'Fórmula'!E75*(INDEX(properties!A$1:CB$87,'Fórmula'!D75,53))+'Fórmula'!G75*(INDEX(properties!A$1:CB$87,'Fórmula'!F75,53))+'Fórmula'!I75*(INDEX(properties!A$1:CB$87,'Fórmula'!H75,53))+'Fórmula'!K75*(INDEX(properties!A$1:CB$87,'Fórmula'!J75,53))</f>
        <v>5535.6</v>
      </c>
      <c r="FD75" s="115">
        <f t="array" ref="FD75">VARP(IF(INDEX(properties!A$1:CB$87,'Fórmula'!B75,53)&lt;&gt;"",INDEX(properties!A$1:CB$87,'Fórmula'!B75,53)),IF(INDEX(properties!A$1:CB$87,'Fórmula'!D75,53)&lt;&gt;"",INDEX(properties!A$1:CB$87,'Fórmula'!D75,53)),IF(INDEX(properties!A$1:CB$87,'Fórmula'!F75,53)&lt;&gt;"",INDEX(properties!A$1:CB$87,'Fórmula'!F75,53)),IF(INDEX(properties!A$1:CB$87,'Fórmula'!H75,53)&lt;&gt;"",INDEX(properties!A$1:CB$87,'Fórmula'!H75,53)),IF(INDEX(properties!A$1:CB$87,'Fórmula'!J75,53)&lt;&gt;"",INDEX(properties!A$1:CB$87,'Fórmula'!J75,53)))</f>
        <v>363721.3984</v>
      </c>
      <c r="FE75" s="115">
        <f t="array" ref="FE75">MAX(INDEX(properties!A$1:CB$87,'Fórmula'!B75,53),INDEX(properties!A$1:CB$87,'Fórmula'!D75,53),INDEX(properties!A$1:CB$87,'Fórmula'!F75,53),INDEX(properties!A$1:CB$87,'Fórmula'!H75,53),INDEX(properties!A$1:CB$87,'Fórmula'!J75,53))</f>
        <v>1683.15</v>
      </c>
      <c r="FF75" s="115">
        <f t="array" ref="FF75">MIN(IF(INDEX(properties!A$1:CB$87,'Fórmula'!B75,53)=0,10^6,INDEX(properties!A$1:CB$87,'Fórmula'!B75,53)),IF(INDEX(properties!A$1:CB$87,'Fórmula'!D75,53)=0,10^6,INDEX(properties!A$1:CB$87,'Fórmula'!D75,53)),IF(INDEX(properties!A$1:CB$87,'Fórmula'!F75,53)=0,10^6,INDEX(properties!A$1:CB$87,'Fórmula'!F75,53)),IF(INDEX(properties!A$1:CB$87,'Fórmula'!H75,53)=0,10^6,INDEX(properties!A$1:CB$87,'Fórmula'!H75,53)),IF(INDEX(properties!A$1:CB$87,'Fórmula'!J75,53)=0,10^6,INDEX(properties!A$1:CB$87,'Fórmula'!J75,53)))</f>
        <v>54.75</v>
      </c>
      <c r="FG75" s="115">
        <f t="shared" si="27"/>
        <v>1628.4</v>
      </c>
      <c r="FH75" s="117">
        <f t="array" ref="FH75">(('Fórmula'!C75)/('Fórmula'!C75+'Fórmula'!E75+'Fórmula'!G75+'Fórmula'!I75+'Fórmula'!K75))*(INDEX(properties!A$1:CB$87,'Fórmula'!B75,54))+(('Fórmula'!E75)/('Fórmula'!C75+'Fórmula'!E75+'Fórmula'!G75+'Fórmula'!I75+'Fórmula'!K75))*(INDEX(properties!A$1:CB$87,'Fórmula'!D75,54))+(('Fórmula'!G75)/('Fórmula'!C75+'Fórmula'!E75+'Fórmula'!G75+'Fórmula'!I75+'Fórmula'!K75))*(INDEX(properties!A$1:CB$87,'Fórmula'!F75,54))+(('Fórmula'!I75)/('Fórmula'!C75+'Fórmula'!E75+'Fórmula'!G75+'Fórmula'!I75+'Fórmula'!K75))*(INDEX(properties!A$1:CB$87,'Fórmula'!H75,54))+(('Fórmula'!K75)/('Fórmula'!C75+'Fórmula'!E75+'Fórmula'!G75+'Fórmula'!I75+'Fórmula'!K75))*(INDEX(properties!A$1:CB$87,'Fórmula'!J75,54))</f>
        <v>956.4</v>
      </c>
      <c r="FI75" s="117">
        <f t="array" ref="FI75">'Fórmula'!C75*(INDEX(properties!A$1:CB$87,'Fórmula'!B75,54))+'Fórmula'!E75*(INDEX(properties!A$1:CB$87,'Fórmula'!D75,54))+'Fórmula'!G75*(INDEX(properties!A$1:CB$87,'Fórmula'!F75,54))+'Fórmula'!I75*(INDEX(properties!A$1:CB$87,'Fórmula'!H75,54))+'Fórmula'!K75*(INDEX(properties!A$1:CB$87,'Fórmula'!J75,54))</f>
        <v>11476.8</v>
      </c>
      <c r="FJ75" s="117">
        <f t="array" ref="FJ75">VARP(IF(INDEX(properties!A$1:CB$87,'Fórmula'!B75,54)&lt;&gt;"",INDEX(properties!A$1:CB$87,'Fórmula'!B75,54)),IF(INDEX(properties!A$1:CB$87,'Fórmula'!D75,54)&lt;&gt;"",INDEX(properties!A$1:CB$87,'Fórmula'!D75,54)),IF(INDEX(properties!A$1:CB$87,'Fórmula'!F75,54)&lt;&gt;"",INDEX(properties!A$1:CB$87,'Fórmula'!F75,54)),IF(INDEX(properties!A$1:CB$87,'Fórmula'!H75,54)&lt;&gt;"",INDEX(properties!A$1:CB$87,'Fórmula'!H75,54)),IF(INDEX(properties!A$1:CB$87,'Fórmula'!J75,54)&lt;&gt;"",INDEX(properties!A$1:CB$87,'Fórmula'!J75,54)))</f>
        <v>939519.04</v>
      </c>
      <c r="FK75" s="117">
        <f t="array" ref="FK75">MAX(INDEX(properties!A$1:CB$87,'Fórmula'!B75,54),INDEX(properties!A$1:CB$87,'Fórmula'!D75,54),INDEX(properties!A$1:CB$87,'Fórmula'!F75,54),INDEX(properties!A$1:CB$87,'Fórmula'!H75,54),INDEX(properties!A$1:CB$87,'Fórmula'!J75,54))</f>
        <v>2676.15</v>
      </c>
      <c r="FL75" s="117">
        <f t="array" ref="FL75">MIN(IF(INDEX(properties!A$1:CB$87,'Fórmula'!B75,54)=0,10^6,INDEX(properties!A$1:CB$87,'Fórmula'!B75,54)),IF(INDEX(properties!A$1:CB$87,'Fórmula'!D75,54)=0,10^6,INDEX(properties!A$1:CB$87,'Fórmula'!D75,54)),IF(INDEX(properties!A$1:CB$87,'Fórmula'!F75,54)=0,10^6,INDEX(properties!A$1:CB$87,'Fórmula'!F75,54)),IF(INDEX(properties!A$1:CB$87,'Fórmula'!H75,54)=0,10^6,INDEX(properties!A$1:CB$87,'Fórmula'!H75,54)),IF(INDEX(properties!A$1:CB$87,'Fórmula'!J75,54)=0,10^6,INDEX(properties!A$1:CB$87,'Fórmula'!J75,54)))</f>
        <v>90.15</v>
      </c>
      <c r="FM75" s="117">
        <f t="shared" si="28"/>
        <v>2586</v>
      </c>
      <c r="FN75" s="118">
        <f t="array" ref="FN75">(('Fórmula'!C75)/('Fórmula'!C75+'Fórmula'!E75+'Fórmula'!G75+'Fórmula'!I75+'Fórmula'!K75))*(INDEX(properties!A$1:CB$87,'Fórmula'!B75,55))+(('Fórmula'!E75)/('Fórmula'!C75+'Fórmula'!E75+'Fórmula'!G75+'Fórmula'!I75+'Fórmula'!K75))*(INDEX(properties!A$1:CB$87,'Fórmula'!D75,55))+(('Fórmula'!G75)/('Fórmula'!C75+'Fórmula'!E75+'Fórmula'!G75+'Fórmula'!I75+'Fórmula'!K75))*(INDEX(properties!A$1:CB$87,'Fórmula'!F75,55))+(('Fórmula'!I75)/('Fórmula'!C75+'Fórmula'!E75+'Fórmula'!G75+'Fórmula'!I75+'Fórmula'!K75))*(INDEX(properties!A$1:CB$87,'Fórmula'!H75,55))+(('Fórmula'!K75)/('Fórmula'!C75+'Fórmula'!E75+'Fórmula'!G75+'Fórmula'!I75+'Fórmula'!K75))*(INDEX(properties!A$1:CB$87,'Fórmula'!J75,55))</f>
        <v>1.0909175</v>
      </c>
      <c r="FO75" s="118">
        <f t="array" ref="FO75">'Fórmula'!C75*(INDEX(properties!A$1:CB$87,'Fórmula'!B75,55))+'Fórmula'!E75*(INDEX(properties!A$1:CB$87,'Fórmula'!D75,54))+'Fórmula'!G75*(INDEX(properties!A$1:CB$87,'Fórmula'!F75,55))+'Fórmula'!I75*(INDEX(properties!A$1:CB$87,'Fórmula'!H75,55))+'Fórmula'!K75*(INDEX(properties!A$1:CB$87,'Fórmula'!J75,55))</f>
        <v>1768.69101</v>
      </c>
      <c r="FP75" s="118">
        <f t="array" ref="FP75">VARP(IF(INDEX(properties!A$1:CB$87,'Fórmula'!B75,55)&lt;&gt;"",INDEX(properties!A$1:CB$87,'Fórmula'!B75,55)),IF(INDEX(properties!A$1:CB$87,'Fórmula'!D75,55)&lt;&gt;"",INDEX(properties!A$1:CB$87,'Fórmula'!D75,55)),IF(INDEX(properties!A$1:CB$87,'Fórmula'!F75,55)&lt;&gt;"",INDEX(properties!A$1:CB$87,'Fórmula'!F75,55)),IF(INDEX(properties!A$1:CB$87,'Fórmula'!H75,55)&lt;&gt;"",INDEX(properties!A$1:CB$87,'Fórmula'!H75,55)),IF(INDEX(properties!A$1:CB$87,'Fórmula'!J75,55)&lt;&gt;"",INDEX(properties!A$1:CB$87,'Fórmula'!J75,55)))</f>
        <v>4.092258573</v>
      </c>
      <c r="FQ75" s="118">
        <f t="array" ref="FQ75">MAX(INDEX(properties!A$1:CB$87,'Fórmula'!B75,55),INDEX(properties!A$1:CB$87,'Fórmula'!D75,55),INDEX(properties!A$1:CB$87,'Fórmula'!F75,55),INDEX(properties!A$1:CB$87,'Fórmula'!H75,55),INDEX(properties!A$1:CB$87,'Fórmula'!J75,55))</f>
        <v>5.9</v>
      </c>
      <c r="FR75" s="118">
        <f t="array" ref="FR75">MIN(IF(INDEX(properties!A$1:CB$87,'Fórmula'!B75,55)=0,10^6,INDEX(properties!A$1:CB$87,'Fórmula'!B75,55)),IF(INDEX(properties!A$1:CB$87,'Fórmula'!D75,55)=0,10^6,INDEX(properties!A$1:CB$87,'Fórmula'!D75,55)),IF(INDEX(properties!A$1:CB$87,'Fórmula'!F75,55)=0,10^6,INDEX(properties!A$1:CB$87,'Fórmula'!F75,55)),IF(INDEX(properties!A$1:CB$87,'Fórmula'!H75,55)=0,10^6,INDEX(properties!A$1:CB$87,'Fórmula'!H75,55)),IF(INDEX(properties!A$1:CB$87,'Fórmula'!J75,55)=0,10^6,INDEX(properties!A$1:CB$87,'Fórmula'!J75,55)))</f>
        <v>0.00143</v>
      </c>
      <c r="FS75" s="118">
        <f t="shared" si="29"/>
        <v>5.89857</v>
      </c>
      <c r="FT75" s="119">
        <f t="array" ref="FT75">(('Fórmula'!C75)/('Fórmula'!C75+'Fórmula'!E75+'Fórmula'!G75+'Fórmula'!I75+'Fórmula'!K75))*(INDEX(properties!A$1:CB$87,'Fórmula'!B75,56))+(('Fórmula'!E75)/('Fórmula'!C75+'Fórmula'!E75+'Fórmula'!G75+'Fórmula'!I75+'Fórmula'!K75))*(INDEX(properties!A$1:CB$87,'Fórmula'!D75,56))+(('Fórmula'!G75)/('Fórmula'!C75+'Fórmula'!E75+'Fórmula'!G75+'Fórmula'!I75+'Fórmula'!K75))*(INDEX(properties!A$1:CB$87,'Fórmula'!F75,56))+(('Fórmula'!I75)/('Fórmula'!C75+'Fórmula'!E75+'Fórmula'!G75+'Fórmula'!I75+'Fórmula'!K75))*(INDEX(properties!A$1:CB$87,'Fórmula'!H75,56))+(('Fórmula'!K75)/('Fórmula'!C75+'Fórmula'!E75+'Fórmula'!G75+'Fórmula'!I75+'Fórmula'!K75))*(INDEX(properties!A$1:CB$87,'Fórmula'!J75,56))</f>
        <v>0.8408333333</v>
      </c>
      <c r="FU75" s="119">
        <f t="array" ref="FU75">'Fórmula'!C75*(INDEX(properties!A$1:CB$87,'Fórmula'!B75,56))+'Fórmula'!E75*(INDEX(properties!A$1:CB$87,'Fórmula'!D75,56))+'Fórmula'!G75*(INDEX(properties!A$1:CB$87,'Fórmula'!F75,56))+'Fórmula'!I75*(INDEX(properties!A$1:CB$87,'Fórmula'!H75,56))+'Fórmula'!K75*(INDEX(properties!A$1:CB$87,'Fórmula'!J75,56))</f>
        <v>10.09</v>
      </c>
      <c r="FV75" s="119">
        <f t="array" ref="FV75">VARP(IF(INDEX(properties!A$1:CB$87,'Fórmula'!B75,56)&lt;&gt;"",INDEX(properties!A$1:CB$87,'Fórmula'!B75,56)),IF(INDEX(properties!A$1:CB$87,'Fórmula'!D75,56)&lt;&gt;"",INDEX(properties!A$1:CB$87,'Fórmula'!D75,56)),IF(INDEX(properties!A$1:CB$87,'Fórmula'!F75,56)&lt;&gt;"",INDEX(properties!A$1:CB$87,'Fórmula'!F75,56)),IF(INDEX(properties!A$1:CB$87,'Fórmula'!H75,56)&lt;&gt;"",INDEX(properties!A$1:CB$87,'Fórmula'!H75,56)),IF(INDEX(properties!A$1:CB$87,'Fórmula'!J75,56)&lt;&gt;"",INDEX(properties!A$1:CB$87,'Fórmula'!J75,56)))</f>
        <v>0.083456</v>
      </c>
      <c r="FW75" s="119">
        <f t="array" ref="FW75">MAX(INDEX(properties!A$1:CB$87,'Fórmula'!B75,56),INDEX(properties!A$1:CB$87,'Fórmula'!D75,56),INDEX(properties!A$1:CB$87,'Fórmula'!F75,56),INDEX(properties!A$1:CB$87,'Fórmula'!H75,56),INDEX(properties!A$1:CB$87,'Fórmula'!J75,56))</f>
        <v>1.23</v>
      </c>
      <c r="FX75" s="119">
        <f t="array" ref="FX75">MIN(IF(INDEX(properties!A$1:CB$87,'Fórmula'!B75,56)=0,10^6,INDEX(properties!A$1:CB$87,'Fórmula'!B75,56)),IF(INDEX(properties!A$1:CB$87,'Fórmula'!D75,56)=0,10^6,INDEX(properties!A$1:CB$87,'Fórmula'!D75,56)),IF(INDEX(properties!A$1:CB$87,'Fórmula'!F75,56)=0,10^6,INDEX(properties!A$1:CB$87,'Fórmula'!F75,56)),IF(INDEX(properties!A$1:CB$87,'Fórmula'!H75,56)=0,10^6,INDEX(properties!A$1:CB$87,'Fórmula'!H75,56)),IF(INDEX(properties!A$1:CB$87,'Fórmula'!J75,56)=0,10^6,INDEX(properties!A$1:CB$87,'Fórmula'!J75,56)))</f>
        <v>0.37</v>
      </c>
      <c r="FY75" s="119">
        <f t="shared" si="30"/>
        <v>0.86</v>
      </c>
      <c r="FZ75" s="104">
        <f t="array" ref="FZ75">(('Fórmula'!C75)/('Fórmula'!C75+'Fórmula'!E75+'Fórmula'!G75+'Fórmula'!I75+'Fórmula'!K75))*(INDEX(properties!A$1:CB$87,'Fórmula'!B75,57))+(('Fórmula'!E75)/('Fórmula'!C75+'Fórmula'!E75+'Fórmula'!G75+'Fórmula'!I75+'Fórmula'!K75))*(INDEX(properties!A$1:CB$87,'Fórmula'!D75,57))+(('Fórmula'!G75)/('Fórmula'!C75+'Fórmula'!E75+'Fórmula'!G75+'Fórmula'!I75+'Fórmula'!K75))*(INDEX(properties!A$1:CB$87,'Fórmula'!F75,57))+(('Fórmula'!I75)/('Fórmula'!C75+'Fórmula'!E75+'Fórmula'!G75+'Fórmula'!I75+'Fórmula'!K75))*(INDEX(properties!A$1:CB$87,'Fórmula'!H75,57))+(('Fórmula'!K75)/('Fórmula'!C75+'Fórmula'!E75+'Fórmula'!G75+'Fórmula'!I75+'Fórmula'!K75))*(INDEX(properties!A$1:CB$87,'Fórmula'!J75,57))</f>
        <v>9.948844167</v>
      </c>
      <c r="GA75" s="104">
        <f t="array" ref="GA75">'Fórmula'!C75*(INDEX(properties!A$1:CB$87,'Fórmula'!B75,57))+'Fórmula'!E75*(INDEX(properties!A$1:CB$87,'Fórmula'!D75,57))+'Fórmula'!G75*(INDEX(properties!A$1:CB$87,'Fórmula'!F75,57))+'Fórmula'!I75*(INDEX(properties!A$1:CB$87,'Fórmula'!H75,57))+'Fórmula'!K75*(INDEX(properties!A$1:CB$87,'Fórmula'!J75,57))</f>
        <v>119.38613</v>
      </c>
      <c r="GB75" s="104">
        <f t="array" ref="GB75">VARP(IF(INDEX(properties!A$1:CB$87,'Fórmula'!B75,57)&lt;&gt;"",INDEX(properties!A$1:CB$87,'Fórmula'!B75,57)),IF(INDEX(properties!A$1:CB$87,'Fórmula'!D75,57)&lt;&gt;"",INDEX(properties!A$1:CB$87,'Fórmula'!D75,57)),IF(INDEX(properties!A$1:CB$87,'Fórmula'!F75,57)&lt;&gt;"",INDEX(properties!A$1:CB$87,'Fórmula'!F75,57)),IF(INDEX(properties!A$1:CB$87,'Fórmula'!H75,57)&lt;&gt;"",INDEX(properties!A$1:CB$87,'Fórmula'!H75,57)),IF(INDEX(properties!A$1:CB$87,'Fórmula'!J75,57)&lt;&gt;"",INDEX(properties!A$1:CB$87,'Fórmula'!J75,57)))</f>
        <v>351.003084</v>
      </c>
      <c r="GC75" s="104">
        <f t="array" ref="GC75">MAX(INDEX(properties!A$1:CB$87,'Fórmula'!B75,57),INDEX(properties!A$1:CB$87,'Fórmula'!D75,57),INDEX(properties!A$1:CB$87,'Fórmula'!F75,57),INDEX(properties!A$1:CB$87,'Fórmula'!H75,57),INDEX(properties!A$1:CB$87,'Fórmula'!J75,57))</f>
        <v>50.55</v>
      </c>
      <c r="GD75" s="104">
        <f t="array" ref="GD75">MIN(IF(INDEX(properties!A$1:CB$87,'Fórmula'!B75,57)=0,10^6,INDEX(properties!A$1:CB$87,'Fórmula'!B75,57)),IF(INDEX(properties!A$1:CB$87,'Fórmula'!D75,57)=0,10^6,INDEX(properties!A$1:CB$87,'Fórmula'!D75,57)),IF(INDEX(properties!A$1:CB$87,'Fórmula'!F75,57)=0,10^6,INDEX(properties!A$1:CB$87,'Fórmula'!F75,57)),IF(INDEX(properties!A$1:CB$87,'Fórmula'!H75,57)=0,10^6,INDEX(properties!A$1:CB$87,'Fórmula'!H75,57)),IF(INDEX(properties!A$1:CB$87,'Fórmula'!J75,57)=0,10^6,INDEX(properties!A$1:CB$87,'Fórmula'!J75,57)))</f>
        <v>0.22259</v>
      </c>
      <c r="GE75" s="104">
        <f t="shared" si="31"/>
        <v>50.32741</v>
      </c>
      <c r="GF75" s="105">
        <f t="array" ref="GF75">(('Fórmula'!C75)/('Fórmula'!C75+'Fórmula'!E75+'Fórmula'!G75+'Fórmula'!I75+'Fórmula'!K75))*(INDEX(properties!A$1:CB$87,'Fórmula'!B75,60))+(('Fórmula'!E75)/('Fórmula'!C75+'Fórmula'!E75+'Fórmula'!G75+'Fórmula'!I75+'Fórmula'!K75))*(INDEX(properties!A$1:CB$87,'Fórmula'!D75,60))+(('Fórmula'!G75)/('Fórmula'!C75+'Fórmula'!E75+'Fórmula'!G75+'Fórmula'!I75+'Fórmula'!K75))*(INDEX(properties!A$1:CB$87,'Fórmula'!F75,60))+(('Fórmula'!I75)/('Fórmula'!C75+'Fórmula'!E75+'Fórmula'!G75+'Fórmula'!I75+'Fórmula'!K75))*(INDEX(properties!A$1:CB$87,'Fórmula'!H75,60))+(('Fórmula'!K75)/('Fórmula'!C75+'Fórmula'!E75+'Fórmula'!G75+'Fórmula'!I75+'Fórmula'!K75))*(INDEX(properties!A$1:CB$87,'Fórmula'!J75,60))</f>
        <v>56.482265</v>
      </c>
      <c r="GG75" s="105">
        <f t="array" ref="GG75">'Fórmula'!C75*(INDEX(properties!A$1:CB$87,'Fórmula'!B75,60))+'Fórmula'!E75*(INDEX(properties!A$1:CB$87,'Fórmula'!D75,60))+'Fórmula'!G75*(INDEX(properties!A$1:CB$87,'Fórmula'!F75,60))+'Fórmula'!I75*(INDEX(properties!A$1:CB$87,'Fórmula'!H75,60))+'Fórmula'!K75*(INDEX(properties!A$1:CB$87,'Fórmula'!J75,60))</f>
        <v>677.78718</v>
      </c>
      <c r="GH75" s="105">
        <f t="array" ref="GH75">VARP(IF(INDEX(properties!A$1:CB$87,'Fórmula'!B75,60)&lt;&gt;"",INDEX(properties!A$1:CB$87,'Fórmula'!B75,60)),IF(INDEX(properties!A$1:CB$87,'Fórmula'!D75,60)&lt;&gt;"",INDEX(properties!A$1:CB$87,'Fórmula'!D75,60)),IF(INDEX(properties!A$1:CB$87,'Fórmula'!F75,60)&lt;&gt;"",INDEX(properties!A$1:CB$87,'Fórmula'!F75,60)),IF(INDEX(properties!A$1:CB$87,'Fórmula'!H75,60)&lt;&gt;"",INDEX(properties!A$1:CB$87,'Fórmula'!H75,60)),IF(INDEX(properties!A$1:CB$87,'Fórmula'!J75,60)&lt;&gt;"",INDEX(properties!A$1:CB$87,'Fórmula'!J75,60)))</f>
        <v>5466.492794</v>
      </c>
      <c r="GI75" s="105">
        <f t="array" ref="GI75">MAX(INDEX(properties!A$1:CB$87,'Fórmula'!B75,60),INDEX(properties!A$1:CB$87,'Fórmula'!D75,60),INDEX(properties!A$1:CB$87,'Fórmula'!F75,60),INDEX(properties!A$1:CB$87,'Fórmula'!H75,60),INDEX(properties!A$1:CB$87,'Fórmula'!J75,60))</f>
        <v>200</v>
      </c>
      <c r="GJ75" s="105">
        <f t="array" ref="GJ75">MIN(IF(INDEX(properties!A$1:CB$87,'Fórmula'!B75,60)=0,10^6,INDEX(properties!A$1:CB$87,'Fórmula'!B75,60)),IF(INDEX(properties!A$1:CB$87,'Fórmula'!D75,60)=0,10^6,INDEX(properties!A$1:CB$87,'Fórmula'!D75,60)),IF(INDEX(properties!A$1:CB$87,'Fórmula'!F75,60)=0,10^6,INDEX(properties!A$1:CB$87,'Fórmula'!F75,60)),IF(INDEX(properties!A$1:CB$87,'Fórmula'!H75,60)=0,10^6,INDEX(properties!A$1:CB$87,'Fórmula'!H75,60)),IF(INDEX(properties!A$1:CB$87,'Fórmula'!J75,60)=0,10^6,INDEX(properties!A$1:CB$87,'Fórmula'!J75,60)))</f>
        <v>0.02674</v>
      </c>
      <c r="GK75" s="105">
        <f t="shared" si="32"/>
        <v>199.97326</v>
      </c>
      <c r="GL75" s="106">
        <f t="array" ref="GL75">(('Fórmula'!C75)/('Fórmula'!C75+'Fórmula'!E75+'Fórmula'!G75+'Fórmula'!I75+'Fórmula'!K75))*(INDEX(properties!A$1:CB$87,'Fórmula'!B75,62))+(('Fórmula'!E75)/('Fórmula'!C75+'Fórmula'!E75+'Fórmula'!G75+'Fórmula'!I75+'Fórmula'!K75))*(INDEX(properties!A$1:CB$87,'Fórmula'!D75,62))+(('Fórmula'!G75)/('Fórmula'!C75+'Fórmula'!E75+'Fórmula'!G75+'Fórmula'!I75+'Fórmula'!K75))*(INDEX(properties!A$1:CB$87,'Fórmula'!F75,62))+(('Fórmula'!I75)/('Fórmula'!C75+'Fórmula'!E75+'Fórmula'!G75+'Fórmula'!I75+'Fórmula'!K75))*(INDEX(properties!A$1:CB$87,'Fórmula'!H75,62))+(('Fórmula'!K75)/('Fórmula'!C75+'Fórmula'!E75+'Fórmula'!G75+'Fórmula'!I75+'Fórmula'!K75))*(INDEX(properties!A$1:CB$87,'Fórmula'!J75,62))</f>
        <v>2.78025</v>
      </c>
      <c r="GM75" s="106">
        <f t="array" ref="GM75">'Fórmula'!C75*(INDEX(properties!A$1:CB$87,'Fórmula'!B75,62))+'Fórmula'!E75*(INDEX(properties!A$1:CB$87,'Fórmula'!D75,62))+'Fórmula'!G75*(INDEX(properties!A$1:CB$87,'Fórmula'!F75,62))+'Fórmula'!I75*(INDEX(properties!A$1:CB$87,'Fórmula'!H75,62))+'Fórmula'!K75*(INDEX(properties!A$1:CB$87,'Fórmula'!J75,62))</f>
        <v>33.363</v>
      </c>
      <c r="GN75" s="106">
        <f t="array" ref="GN75">VARP(IF(INDEX(properties!A$1:CB$87,'Fórmula'!B75,62)&lt;&gt;"",INDEX(properties!A$1:CB$87,'Fórmula'!B75,62)),IF(INDEX(properties!A$1:CB$87,'Fórmula'!D75,62)&lt;&gt;"",INDEX(properties!A$1:CB$87,'Fórmula'!D75,62)),IF(INDEX(properties!A$1:CB$87,'Fórmula'!F75,62)&lt;&gt;"",INDEX(properties!A$1:CB$87,'Fórmula'!F75,62)),IF(INDEX(properties!A$1:CB$87,'Fórmula'!H75,62)&lt;&gt;"",INDEX(properties!A$1:CB$87,'Fórmula'!H75,62)),IF(INDEX(properties!A$1:CB$87,'Fórmula'!J75,62)&lt;&gt;"",INDEX(properties!A$1:CB$87,'Fórmula'!J75,62)))</f>
        <v>1.39082704</v>
      </c>
      <c r="GO75" s="106">
        <f t="array" ref="GO75">MAX(INDEX(properties!A$1:CB$87,'Fórmula'!B75,62),INDEX(properties!A$1:CB$87,'Fórmula'!D75,62),INDEX(properties!A$1:CB$87,'Fórmula'!F75,62),INDEX(properties!A$1:CB$87,'Fórmula'!H75,62),INDEX(properties!A$1:CB$87,'Fórmula'!J75,62))</f>
        <v>4.63</v>
      </c>
      <c r="GP75" s="106">
        <f t="array" ref="GP75">MIN(IF(INDEX(properties!A$1:CB$87,'Fórmula'!B75,62)=0,10^6,INDEX(properties!A$1:CB$87,'Fórmula'!B75,62)),IF(INDEX(properties!A$1:CB$87,'Fórmula'!D75,62)=0,10^6,INDEX(properties!A$1:CB$87,'Fórmula'!D75,62)),IF(INDEX(properties!A$1:CB$87,'Fórmula'!F75,62)=0,10^6,INDEX(properties!A$1:CB$87,'Fórmula'!F75,62)),IF(INDEX(properties!A$1:CB$87,'Fórmula'!H75,62)=0,10^6,INDEX(properties!A$1:CB$87,'Fórmula'!H75,62)),IF(INDEX(properties!A$1:CB$87,'Fórmula'!J75,62)=0,10^6,INDEX(properties!A$1:CB$87,'Fórmula'!J75,62)))</f>
        <v>1.113</v>
      </c>
      <c r="GQ75" s="106">
        <f t="shared" si="33"/>
        <v>3.517</v>
      </c>
      <c r="GR75" s="106">
        <f>'Fórmula'!Q75</f>
        <v>113</v>
      </c>
      <c r="GS75" s="107">
        <f>'Fórmula'!P75</f>
        <v>2</v>
      </c>
      <c r="GT75" s="113">
        <f>'Fórmula'!O75</f>
        <v>3.33</v>
      </c>
      <c r="GU75" s="114">
        <f>AVERAGE('Fórmula'!R75/'Fórmula'!S75,'Fórmula'!S75/'Fórmula'!T75,'Fórmula'!T75/'Fórmula'!R75)</f>
        <v>1.060573382</v>
      </c>
      <c r="GV75" s="125">
        <f>'Fórmula'!U75</f>
        <v>300.55</v>
      </c>
      <c r="GW75" s="106">
        <f>'Fórmula'!N75</f>
        <v>0.15</v>
      </c>
    </row>
    <row r="76" ht="14.25" customHeight="1">
      <c r="A76" s="99" t="str">
        <f>'Fórmula'!A76</f>
        <v>BaWO4</v>
      </c>
      <c r="B76" s="101">
        <f t="array" ref="B76">(('Fórmula'!C76)/('Fórmula'!C76+'Fórmula'!E76+'Fórmula'!G76+'Fórmula'!I76+'Fórmula'!K76))*(INDEX(properties!A$1:CB$87,'Fórmula'!B76,3))+(('Fórmula'!E76)/('Fórmula'!C76+'Fórmula'!E76+'Fórmula'!G76+'Fórmula'!I76+'Fórmula'!K76))*(INDEX(properties!A$1:CB$87,'Fórmula'!D76,3))+(('Fórmula'!G76)/('Fórmula'!C76+'Fórmula'!E76+'Fórmula'!G76+'Fórmula'!I76+'Fórmula'!K76))*(INDEX(properties!A$1:CB$87,'Fórmula'!F76,3))+(('Fórmula'!I76)/('Fórmula'!C76+'Fórmula'!E76+'Fórmula'!G76+'Fórmula'!I76+'Fórmula'!K76))*(INDEX(properties!A$1:CB$87,'Fórmula'!H76,3))+(('Fórmula'!K76)/('Fórmula'!C76+'Fórmula'!E76+'Fórmula'!G76+'Fórmula'!I76+'Fórmula'!K76))*(INDEX(properties!A$1:CB$87,'Fórmula'!J76,3))</f>
        <v>64.1941</v>
      </c>
      <c r="C76" s="101">
        <f t="array" ref="C76">'Fórmula'!C76*(INDEX(properties!A$1:CB$87,'Fórmula'!B76,3))+'Fórmula'!E76*(INDEX(properties!A$1:CB$87,'Fórmula'!D76,3))+'Fórmula'!G76*(INDEX(properties!A$1:CB$87,'Fórmula'!F76,3))+'Fórmula'!I76*(INDEX(properties!A$1:CB$87,'Fórmula'!H76,3))+'Fórmula'!K76*(INDEX(properties!A$1:CB$87,'Fórmula'!J76,3))</f>
        <v>385.1646</v>
      </c>
      <c r="D76" s="101">
        <f t="array" ref="D76">VARP(IF(INDEX(properties!A$1:CB$87,'Fórmula'!B76,3)&lt;&gt;"",INDEX(properties!A$1:CB$87,'Fórmula'!B76,3)),IF(INDEX(properties!A$1:CB$87,'Fórmula'!D76,3)&lt;&gt;"",INDEX(properties!A$1:CB$87,'Fórmula'!D76,3)),IF(INDEX(properties!A$1:CB$87,'Fórmula'!F76,3)&lt;&gt;"",INDEX(properties!A$1:CB$87,'Fórmula'!F76,3)),IF(INDEX(properties!A$1:CB$87,'Fórmula'!H76,3)&lt;&gt;"",INDEX(properties!A$1:CB$87,'Fórmula'!H76,3)),IF(INDEX(properties!A$1:CB$87,'Fórmula'!J76,3)&lt;&gt;"",INDEX(properties!A$1:CB$87,'Fórmula'!J76,3)))</f>
        <v>6035.119014</v>
      </c>
      <c r="E76" s="101">
        <f t="array" ref="E76">MAX(INDEX(properties!A$1:CB$87,'Fórmula'!B76,3),INDEX(properties!A$1:CB$87,'Fórmula'!D76,3),INDEX(properties!A$1:CB$87,'Fórmula'!F76,3),INDEX(properties!A$1:CB$87,'Fórmula'!H76,3),INDEX(properties!A$1:CB$87,'Fórmula'!J76,3))</f>
        <v>183.84</v>
      </c>
      <c r="F76" s="101">
        <f t="array" ref="F76">MIN(IF(INDEX(properties!A$1:CB$87,'Fórmula'!B76,3)=0,10^6,INDEX(properties!A$1:CB$87,'Fórmula'!B76,3)),IF(INDEX(properties!A$1:CB$87,'Fórmula'!D76,3)=0,10^6,INDEX(properties!A$1:CB$87,'Fórmula'!D76,3)),IF(INDEX(properties!A$1:CB$87,'Fórmula'!F76,3)=0,10^6,INDEX(properties!A$1:CB$87,'Fórmula'!F76,3)),IF(INDEX(properties!A$1:CB$87,'Fórmula'!H76,3)=0,10^6,INDEX(properties!A$1:CB$87,'Fórmula'!H76,3)),IF(INDEX(properties!A$1:CB$87,'Fórmula'!J76,3)=0,10^6,INDEX(properties!A$1:CB$87,'Fórmula'!J76,3)))</f>
        <v>15.9994</v>
      </c>
      <c r="G76" s="101">
        <f t="shared" si="1"/>
        <v>167.8406</v>
      </c>
      <c r="H76" s="102">
        <f t="array" ref="H76">(('Fórmula'!C76)/('Fórmula'!C76+'Fórmula'!E76+'Fórmula'!G76+'Fórmula'!I76+'Fórmula'!K76))*(INDEX(properties!A$1:CB$87,'Fórmula'!B76,4))+(('Fórmula'!E76)/('Fórmula'!C76+'Fórmula'!E76+'Fórmula'!G76+'Fórmula'!I76+'Fórmula'!K76))*(INDEX(properties!A$1:CB$87,'Fórmula'!D76,4))+(('Fórmula'!G76)/('Fórmula'!C76+'Fórmula'!E76+'Fórmula'!G76+'Fórmula'!I76+'Fórmula'!K76))*(INDEX(properties!A$1:CB$87,'Fórmula'!F76,4))+(('Fórmula'!I76)/('Fórmula'!C76+'Fórmula'!E76+'Fórmula'!G76+'Fórmula'!I76+'Fórmula'!K76))*(INDEX(properties!A$1:CB$87,'Fórmula'!H76,4))+(('Fórmula'!K76)/('Fórmula'!C76+'Fórmula'!E76+'Fórmula'!G76+'Fórmula'!I76+'Fórmula'!K76))*(INDEX(properties!A$1:CB$87,'Fórmula'!J76,4))</f>
        <v>27</v>
      </c>
      <c r="I76" s="102">
        <f t="array" ref="I76">'Fórmula'!C76*(INDEX(properties!A$1:CB$87,'Fórmula'!B76,4))+'Fórmula'!E76*(INDEX(properties!A$1:CB$87,'Fórmula'!D76,4))+'Fórmula'!G76*(INDEX(properties!A$1:CB$87,'Fórmula'!F76,4))+'Fórmula'!I76*(INDEX(properties!A$1:CB$87,'Fórmula'!H76,4))+'Fórmula'!K76*(INDEX(properties!A$1:CB$87,'Fórmula'!J76,4))</f>
        <v>162</v>
      </c>
      <c r="J76" s="102">
        <f t="array" ref="J76">VARP(IF(INDEX(properties!A$1:CB$87,'Fórmula'!B76,4)&lt;&gt;"",INDEX(properties!A$1:CB$87,'Fórmula'!B76,4)),IF(INDEX(properties!A$1:CB$87,'Fórmula'!D76,4)&lt;&gt;"",INDEX(properties!A$1:CB$87,'Fórmula'!D76,4)),IF(INDEX(properties!A$1:CB$87,'Fórmula'!F76,4)&lt;&gt;"",INDEX(properties!A$1:CB$87,'Fórmula'!F76,4)),IF(INDEX(properties!A$1:CB$87,'Fórmula'!H76,4)&lt;&gt;"",INDEX(properties!A$1:CB$87,'Fórmula'!H76,4)),IF(INDEX(properties!A$1:CB$87,'Fórmula'!J76,4)&lt;&gt;"",INDEX(properties!A$1:CB$87,'Fórmula'!J76,4)))</f>
        <v>973.44</v>
      </c>
      <c r="K76" s="102">
        <f t="array" ref="K76">MAX(INDEX(properties!A$1:CB$87,'Fórmula'!B76,4),INDEX(properties!A$1:CB$87,'Fórmula'!D76,4),INDEX(properties!A$1:CB$87,'Fórmula'!F76,4),INDEX(properties!A$1:CB$87,'Fórmula'!H76,4),INDEX(properties!A$1:CB$87,'Fórmula'!J76,4))</f>
        <v>74</v>
      </c>
      <c r="L76" s="102">
        <f t="array" ref="L76">MIN(IF(INDEX(properties!A$1:CB$87,'Fórmula'!B76,4)=0,10^6,INDEX(properties!A$1:CB$87,'Fórmula'!B76,4)),IF(INDEX(properties!A$1:CB$87,'Fórmula'!D76,4)=0,10^6,INDEX(properties!A$1:CB$87,'Fórmula'!D76,4)),IF(INDEX(properties!A$1:CB$87,'Fórmula'!F76,4)=0,10^6,INDEX(properties!A$1:CB$87,'Fórmula'!F76,4)),IF(INDEX(properties!A$1:CB$87,'Fórmula'!H76,4)=0,10^6,INDEX(properties!A$1:CB$87,'Fórmula'!H76,4)),IF(INDEX(properties!A$1:CB$87,'Fórmula'!J76,4)=0,10^6,INDEX(properties!A$1:CB$87,'Fórmula'!J76,4)))</f>
        <v>8</v>
      </c>
      <c r="M76" s="102">
        <f t="shared" si="2"/>
        <v>66</v>
      </c>
      <c r="N76" s="103">
        <f t="array" ref="N76">(('Fórmula'!C76)/('Fórmula'!C76+'Fórmula'!E76+'Fórmula'!G76+'Fórmula'!I76+'Fórmula'!K76))*(INDEX(properties!A$1:CB$87,'Fórmula'!B76,5))+(('Fórmula'!E76)/('Fórmula'!C76+'Fórmula'!E76+'Fórmula'!G76+'Fórmula'!I76+'Fórmula'!K76))*(INDEX(properties!A$1:CB$87,'Fórmula'!D76,5))+(('Fórmula'!G76)/('Fórmula'!C76+'Fórmula'!E76+'Fórmula'!G76+'Fórmula'!I76+'Fórmula'!K76))*(INDEX(properties!A$1:CB$87,'Fórmula'!F76,5))+(('Fórmula'!I76)/('Fórmula'!C76+'Fórmula'!E76+'Fórmula'!G76+'Fórmula'!I76+'Fórmula'!K76))*(INDEX(properties!A$1:CB$87,'Fórmula'!H76,5))+(('Fórmula'!K76)/('Fórmula'!C76+'Fórmula'!E76+'Fórmula'!G76+'Fórmula'!I76+'Fórmula'!K76))*(INDEX(properties!A$1:CB$87,'Fórmula'!J76,5))</f>
        <v>3.333333333</v>
      </c>
      <c r="O76" s="103">
        <f t="array" ref="O76">'Fórmula'!C76*(INDEX(properties!A$1:CB$87,'Fórmula'!B76,5))+'Fórmula'!E76*(INDEX(properties!A$1:CB$87,'Fórmula'!D76,5))+'Fórmula'!G76*(INDEX(properties!A$1:CB$87,'Fórmula'!F76,5))+'Fórmula'!I76*(INDEX(properties!A$1:CB$87,'Fórmula'!H76,5))+'Fórmula'!K76*(INDEX(properties!A$1:CB$87,'Fórmula'!J76,5))</f>
        <v>20</v>
      </c>
      <c r="P76" s="103">
        <f t="array" ref="P76">VARP(IF(INDEX(properties!A$1:CB$87,'Fórmula'!B76,5)&lt;&gt;"",INDEX(properties!A$1:CB$87,'Fórmula'!B76,5)),IF(INDEX(properties!A$1:CB$87,'Fórmula'!D76,5)&lt;&gt;"",INDEX(properties!A$1:CB$87,'Fórmula'!D76,5)),IF(INDEX(properties!A$1:CB$87,'Fórmula'!F76,5)&lt;&gt;"",INDEX(properties!A$1:CB$87,'Fórmula'!F76,5)),IF(INDEX(properties!A$1:CB$87,'Fórmula'!H76,5)&lt;&gt;"",INDEX(properties!A$1:CB$87,'Fórmula'!H76,5)),IF(INDEX(properties!A$1:CB$87,'Fórmula'!J76,5)&lt;&gt;"",INDEX(properties!A$1:CB$87,'Fórmula'!J76,5)))</f>
        <v>7.36</v>
      </c>
      <c r="Q76" s="103">
        <f t="array" ref="Q76">MAX(INDEX(properties!A$1:CB$87,'Fórmula'!B76,5),INDEX(properties!A$1:CB$87,'Fórmula'!D76,5),INDEX(properties!A$1:CB$87,'Fórmula'!F76,5),INDEX(properties!A$1:CB$87,'Fórmula'!H76,5),INDEX(properties!A$1:CB$87,'Fórmula'!J76,5))</f>
        <v>6</v>
      </c>
      <c r="R76" s="103">
        <f t="array" ref="R76">MIN(IF(INDEX(properties!A$1:CB$87,'Fórmula'!B76,5)=0,10^6,INDEX(properties!A$1:CB$87,'Fórmula'!B76,5)),IF(INDEX(properties!A$1:CB$87,'Fórmula'!D76,5)=0,10^6,INDEX(properties!A$1:CB$87,'Fórmula'!D76,5)),IF(INDEX(properties!A$1:CB$87,'Fórmula'!F76,5)=0,10^6,INDEX(properties!A$1:CB$87,'Fórmula'!F76,5)),IF(INDEX(properties!A$1:CB$87,'Fórmula'!H76,5)=0,10^6,INDEX(properties!A$1:CB$87,'Fórmula'!H76,5)),IF(INDEX(properties!A$1:CB$87,'Fórmula'!J76,5)=0,10^6,INDEX(properties!A$1:CB$87,'Fórmula'!J76,5)))</f>
        <v>2</v>
      </c>
      <c r="S76" s="103">
        <f t="shared" si="3"/>
        <v>4</v>
      </c>
      <c r="T76" s="104">
        <f t="array" ref="T76">(('Fórmula'!C76)/('Fórmula'!C76+'Fórmula'!E76+'Fórmula'!G76+'Fórmula'!I76+'Fórmula'!K76))*(INDEX(properties!A$1:CB$87,'Fórmula'!B76,6))+(('Fórmula'!E76)/('Fórmula'!C76+'Fórmula'!E76+'Fórmula'!G76+'Fórmula'!I76+'Fórmula'!K76))*(INDEX(properties!A$1:CB$87,'Fórmula'!D76,6))+(('Fórmula'!G76)/('Fórmula'!C76+'Fórmula'!E76+'Fórmula'!G76+'Fórmula'!I76+'Fórmula'!K76))*(INDEX(properties!A$1:CB$87,'Fórmula'!F76,6))+(('Fórmula'!I76)/('Fórmula'!C76+'Fórmula'!E76+'Fórmula'!G76+'Fórmula'!I76+'Fórmula'!K76))*(INDEX(properties!A$1:CB$87,'Fórmula'!H76,6))+(('Fórmula'!K76)/('Fórmula'!C76+'Fórmula'!E76+'Fórmula'!G76+'Fórmula'!I76+'Fórmula'!K76))*(INDEX(properties!A$1:CB$87,'Fórmula'!J76,6))</f>
        <v>12</v>
      </c>
      <c r="U76" s="104">
        <f t="array" ref="U76">'Fórmula'!C76*(INDEX(properties!A$1:CB$87,'Fórmula'!B76,6))+'Fórmula'!E76*(INDEX(properties!A$1:CB$87,'Fórmula'!D76,6))+'Fórmula'!G76*(INDEX(properties!A$1:CB$87,'Fórmula'!F76,6))+'Fórmula'!I76*(INDEX(properties!A$1:CB$87,'Fórmula'!H76,6))+'Fórmula'!K76*(INDEX(properties!A$1:CB$87,'Fórmula'!J76,6))</f>
        <v>72</v>
      </c>
      <c r="V76" s="103">
        <f t="array" ref="V76">VARP(IF(INDEX(properties!A$1:CB$87,'Fórmula'!B76,6)&lt;&gt;"",INDEX(properties!A$1:CB$87,'Fórmula'!B76,6)),IF(INDEX(properties!A$1:CB$87,'Fórmula'!D76,6)&lt;&gt;"",INDEX(properties!A$1:CB$87,'Fórmula'!D76,6)),IF(INDEX(properties!A$1:CB$87,'Fórmula'!F76,6)&lt;&gt;"",INDEX(properties!A$1:CB$87,'Fórmula'!F76,6)),IF(INDEX(properties!A$1:CB$87,'Fórmula'!H76,6)&lt;&gt;"",INDEX(properties!A$1:CB$87,'Fórmula'!H76,6)),IF(INDEX(properties!A$1:CB$87,'Fórmula'!J76,6)&lt;&gt;"",INDEX(properties!A$1:CB$87,'Fórmula'!J76,6)))</f>
        <v>36.16</v>
      </c>
      <c r="W76" s="104">
        <f t="array" ref="W76">MAX(INDEX(properties!A$1:CB$87,'Fórmula'!B76,6),INDEX(properties!A$1:CB$87,'Fórmula'!D76,6),INDEX(properties!A$1:CB$87,'Fórmula'!F76,6),INDEX(properties!A$1:CB$87,'Fórmula'!H76,4),INDEX(properties!A$1:CB$87,'Fórmula'!J76,6))</f>
        <v>16</v>
      </c>
      <c r="X76" s="104">
        <f t="array" ref="X76">MIN(IF(INDEX(properties!A$1:CB$87,'Fórmula'!B76,6)=0,10^6,INDEX(properties!A$1:CB$87,'Fórmula'!B76,6)),IF(INDEX(properties!A$1:CB$87,'Fórmula'!D76,6)=0,10^6,INDEX(properties!A$1:CB$87,'Fórmula'!D76,6)),IF(INDEX(properties!A$1:CB$87,'Fórmula'!F76,6)=0,10^6,INDEX(properties!A$1:CB$87,'Fórmula'!F76,6)),IF(INDEX(properties!A$1:CB$87,'Fórmula'!H76,6)=0,10^6,INDEX(properties!A$1:CB$87,'Fórmula'!H76,6)),IF(INDEX(properties!A$1:CB$87,'Fórmula'!J76,6)=0,10^6,INDEX(properties!A$1:CB$87,'Fórmula'!J76,6)))</f>
        <v>2</v>
      </c>
      <c r="Y76" s="104">
        <f t="shared" si="4"/>
        <v>14</v>
      </c>
      <c r="Z76" s="105">
        <f t="array" ref="Z76">(('Fórmula'!C76)/('Fórmula'!C76+'Fórmula'!E76+'Fórmula'!G76+'Fórmula'!I76+'Fórmula'!K76))*(INDEX(properties!A$1:CB$87,'Fórmula'!B76,9))+(('Fórmula'!E76)/('Fórmula'!C76+'Fórmula'!E76+'Fórmula'!G76+'Fórmula'!I76+'Fórmula'!K76))*(INDEX(properties!A$1:CB$87,'Fórmula'!D76,9))+(('Fórmula'!G76)/('Fórmula'!C76+'Fórmula'!E76+'Fórmula'!G76+'Fórmula'!I76+'Fórmula'!K76))*(INDEX(properties!A$1:CB$87,'Fórmula'!F76,9))+(('Fórmula'!I76)/('Fórmula'!C76+'Fórmula'!E76+'Fórmula'!G76+'Fórmula'!I76+'Fórmula'!K76))*(INDEX(properties!A$1:CB$87,'Fórmula'!H76,9))+(('Fórmula'!K76)/('Fórmula'!C76+'Fórmula'!E76+'Fórmula'!G76+'Fórmula'!I76+'Fórmula'!K76))*(INDEX(properties!A$1:CB$87,'Fórmula'!J76,9))</f>
        <v>68</v>
      </c>
      <c r="AA76" s="105">
        <f t="array" ref="AA76">'Fórmula'!C76*(INDEX(properties!A$1:CB$87,'Fórmula'!B76,9))+'Fórmula'!E76*(INDEX(properties!A$1:CB$87,'Fórmula'!D76,9))+'Fórmula'!G76*(INDEX(properties!A$1:CB$87,'Fórmula'!F76,9))+'Fórmula'!I76*(INDEX(properties!A$1:CB$87,'Fórmula'!H76,9))+'Fórmula'!K76*(INDEX(properties!A$1:CB$87,'Fórmula'!J76,9))</f>
        <v>408</v>
      </c>
      <c r="AB76" s="105">
        <f t="array" ref="AB76">VARP(IF(INDEX(properties!A$1:CB$87,'Fórmula'!B76,9)&lt;&gt;"",INDEX(properties!A$1:CB$87,'Fórmula'!B76,9)),IF(INDEX(properties!A$1:CB$87,'Fórmula'!D76,9)&lt;&gt;"",INDEX(properties!A$1:CB$87,'Fórmula'!D76,9)),IF(INDEX(properties!A$1:CB$87,'Fórmula'!F76,9)&lt;&gt;"",INDEX(properties!A$1:CB$87,'Fórmula'!F76,9)),IF(INDEX(properties!A$1:CB$87,'Fórmula'!H76,9)&lt;&gt;"",INDEX(properties!A$1:CB$87,'Fórmula'!H76,9)),IF(INDEX(properties!A$1:CB$87,'Fórmula'!J76,9)&lt;&gt;"",INDEX(properties!A$1:CB$87,'Fórmula'!J76,9)))</f>
        <v>1185.84</v>
      </c>
      <c r="AC76" s="105">
        <f t="array" ref="AC76">MAX(INDEX(properties!A$1:CB$87,'Fórmula'!B76,9),INDEX(properties!A$1:CB$87,'Fórmula'!D76,9),INDEX(properties!A$1:CB$87,'Fórmula'!F76,9),INDEX(properties!A$1:CB$87,'Fórmula'!H76,9),INDEX(properties!A$1:CB$87,'Fórmula'!J76,9))</f>
        <v>87</v>
      </c>
      <c r="AD76" s="105">
        <f t="array" ref="AD76">MIN(IF(INDEX(properties!A$1:CB$87,'Fórmula'!B76,9)=0,10^6,INDEX(properties!A$1:CB$87,'Fórmula'!B76,9)),IF(INDEX(properties!A$1:CB$87,'Fórmula'!D76,9)=0,10^6,INDEX(properties!A$1:CB$87,'Fórmula'!D76,9)),IF(INDEX(properties!A$1:CB$87,'Fórmula'!F76,9)=0,10^6,INDEX(properties!A$1:CB$87,'Fórmula'!F76,9)),IF(INDEX(properties!A$1:CB$87,'Fórmula'!H76,9)=0,10^6,INDEX(properties!A$1:CB$87,'Fórmula'!H76,9)),IF(INDEX(properties!A$1:CB$87,'Fórmula'!J76,9)=0,10^6,INDEX(properties!A$1:CB$87,'Fórmula'!J76,9)))</f>
        <v>9</v>
      </c>
      <c r="AE76" s="105">
        <f t="shared" si="5"/>
        <v>78</v>
      </c>
      <c r="AF76" s="106">
        <f t="array" ref="AF76">(('Fórmula'!C76)/('Fórmula'!C76+'Fórmula'!E76+'Fórmula'!G76+'Fórmula'!I76+'Fórmula'!K76))*(INDEX(properties!A$1:CB$87,'Fórmula'!B76,10))+(('Fórmula'!E76)/('Fórmula'!C76+'Fórmula'!E76+'Fórmula'!G76+'Fórmula'!I76+'Fórmula'!K76))*(INDEX(properties!A$1:CB$87,'Fórmula'!D76,10))+(('Fórmula'!G76)/('Fórmula'!C76+'Fórmula'!E76+'Fórmula'!G76+'Fórmula'!I76+'Fórmula'!K76))*(INDEX(properties!A$1:CB$87,'Fórmula'!F76,10))+(('Fórmula'!I76)/('Fórmula'!C76+'Fórmula'!E76+'Fórmula'!G76+'Fórmula'!I76+'Fórmula'!K76))*(INDEX(properties!A$1:CB$87,'Fórmula'!H76,10))+(('Fórmula'!K76)/('Fórmula'!C76+'Fórmula'!E76+'Fórmula'!G76+'Fórmula'!I76+'Fórmula'!K76))*(INDEX(properties!A$1:CB$87,'Fórmula'!J76,10))</f>
        <v>5.666666667</v>
      </c>
      <c r="AG76" s="106">
        <f t="array" ref="AG76">'Fórmula'!C76*(INDEX(properties!A$1:CB$87,'Fórmula'!B76,10))+'Fórmula'!E76*(INDEX(properties!A$1:CB$87,'Fórmula'!D76,10))+'Fórmula'!G76*(INDEX(properties!A$1:CB$87,'Fórmula'!F76,10))+'Fórmula'!I76*(INDEX(properties!A$1:CB$87,'Fórmula'!H76,10))+'Fórmula'!K76*(INDEX(properties!A$1:CB$87,'Fórmula'!J76,10))</f>
        <v>34</v>
      </c>
      <c r="AH76" s="106">
        <f t="array" ref="AH76">VARP(IF(INDEX(properties!A$1:CB$87,'Fórmula'!B76,10)&lt;&gt;"",INDEX(properties!A$1:CB$87,'Fórmula'!B76,10)),IF(INDEX(properties!A$1:CB$87,'Fórmula'!D76,10)&lt;&gt;"",INDEX(properties!A$1:CB$87,'Fórmula'!D76,10)),IF(INDEX(properties!A$1:CB$87,'Fórmula'!F76,10)&lt;&gt;"",INDEX(properties!A$1:CB$87,'Fórmula'!F76,10)),IF(INDEX(properties!A$1:CB$87,'Fórmula'!H76,10)&lt;&gt;"",INDEX(properties!A$1:CB$87,'Fórmula'!H76,10)),IF(INDEX(properties!A$1:CB$87,'Fórmula'!J76,10)&lt;&gt;"",INDEX(properties!A$1:CB$87,'Fórmula'!J76,10)))</f>
        <v>7.04</v>
      </c>
      <c r="AI76" s="106">
        <f t="array" ref="AI76">MAX(INDEX(properties!A$1:CB$87,'Fórmula'!B76,10),INDEX(properties!A$1:CB$87,'Fórmula'!D76,10),INDEX(properties!A$1:CB$87,'Fórmula'!F76,10),INDEX(properties!A$1:CB$87,'Fórmula'!H76,10),INDEX(properties!A$1:CB$87,'Fórmula'!J76,10))</f>
        <v>7</v>
      </c>
      <c r="AJ76" s="106">
        <f t="array" ref="AJ76">MIN(IF(INDEX(properties!A$1:CB$87,'Fórmula'!B76,10)=0,10^6,INDEX(properties!A$1:CB$87,'Fórmula'!B76,10)),IF(INDEX(properties!A$1:CB$87,'Fórmula'!D76,10)=0,10^6,INDEX(properties!A$1:CB$87,'Fórmula'!D76,10)),IF(INDEX(properties!A$1:CB$87,'Fórmula'!F76,10)=0,10^6,INDEX(properties!A$1:CB$87,'Fórmula'!F76,10)),IF(INDEX(properties!A$1:CB$87,'Fórmula'!H76,10)=0,10^6,INDEX(properties!A$1:CB$87,'Fórmula'!H76,10)),IF(INDEX(properties!A$1:CB$87,'Fórmula'!J76,10)=0,10^6,INDEX(properties!A$1:CB$87,'Fórmula'!J76,10)))</f>
        <v>2</v>
      </c>
      <c r="AK76" s="106">
        <f t="shared" si="6"/>
        <v>5</v>
      </c>
      <c r="AL76" s="107">
        <f t="array" ref="AL76">(('Fórmula'!C76)/('Fórmula'!C76+'Fórmula'!E76+'Fórmula'!G76+'Fórmula'!I76+'Fórmula'!K76))*(INDEX(properties!A$1:CB$87,'Fórmula'!B76,11))+(('Fórmula'!E76)/('Fórmula'!C76+'Fórmula'!E76+'Fórmula'!G76+'Fórmula'!I76+'Fórmula'!K76))*(INDEX(properties!A$1:CB$87,'Fórmula'!D76,11))+(('Fórmula'!G76)/('Fórmula'!C76+'Fórmula'!E76+'Fórmula'!G76+'Fórmula'!I76+'Fórmula'!K76))*(INDEX(properties!A$1:CB$87,'Fórmula'!F76,11))+(('Fórmula'!I76)/('Fórmula'!C76+'Fórmula'!E76+'Fórmula'!G76+'Fórmula'!I76+'Fórmula'!K76))*(INDEX(properties!A$1:CB$87,'Fórmula'!H76,11))+(('Fórmula'!K76)/('Fórmula'!C76+'Fórmula'!E76+'Fórmula'!G76+'Fórmula'!I76+'Fórmula'!K76))*(INDEX(properties!A$1:CB$87,'Fórmula'!J76,11))</f>
        <v>2</v>
      </c>
      <c r="AM76" s="107">
        <f t="array" ref="AM76">'Fórmula'!C76*(INDEX(properties!A$1:CB$87,'Fórmula'!B76,11))+'Fórmula'!E76*(INDEX(properties!A$1:CB$87,'Fórmula'!D76,11))+'Fórmula'!G76*(INDEX(properties!A$1:CB$87,'Fórmula'!F76,11))+'Fórmula'!I76*(INDEX(properties!A$1:CB$87,'Fórmula'!H76,11))+'Fórmula'!K76*(INDEX(properties!A$1:CB$87,'Fórmula'!J76,11))</f>
        <v>12</v>
      </c>
      <c r="AN76" s="107">
        <f t="array" ref="AN76">VARP(IF(INDEX(properties!A$1:CB$87,'Fórmula'!B76,11)&lt;&gt;"",INDEX(properties!A$1:CB$87,'Fórmula'!B76,11)),IF(INDEX(properties!A$1:CB$87,'Fórmula'!D76,11)&lt;&gt;"",INDEX(properties!A$1:CB$87,'Fórmula'!D76,11)),IF(INDEX(properties!A$1:CB$87,'Fórmula'!F76,11)&lt;&gt;"",INDEX(properties!A$1:CB$87,'Fórmula'!F76,11)),IF(INDEX(properties!A$1:CB$87,'Fórmula'!H76,11)&lt;&gt;"",INDEX(properties!A$1:CB$87,'Fórmula'!H76,11)),IF(INDEX(properties!A$1:CB$87,'Fórmula'!J76,11)&lt;&gt;"",INDEX(properties!A$1:CB$87,'Fórmula'!J76,11)))</f>
        <v>0.96</v>
      </c>
      <c r="AO76" s="107">
        <f t="array" ref="AO76">MAX(INDEX(properties!A$1:CB$87,'Fórmula'!B76,11),INDEX(properties!A$1:CB$87,'Fórmula'!D76,11),INDEX(properties!A$1:CB$87,'Fórmula'!F76,11),INDEX(properties!A$1:CB$87,'Fórmula'!H76,11),INDEX(properties!A$1:CB$87,'Fórmula'!J76,11))</f>
        <v>2</v>
      </c>
      <c r="AP76" s="107">
        <f t="array" ref="AP76">MIN(IF('Fórmula'!B76=87,10^6,INDEX(properties!A$1:CB$87,'Fórmula'!B76,11)),IF(('Fórmula'!D76)=87,10^6,INDEX(properties!A$1:CB$87,'Fórmula'!D76,11)),IF(('Fórmula'!F76)=87,10^6,INDEX(properties!A$1:CB$87,'Fórmula'!F76,11)),IF(('Fórmula'!H76)=87,10^6,INDEX(properties!A$1:CB$87,'Fórmula'!H76,11)),IF('Fórmula'!J76=87,10^6,INDEX(properties!A$1:CB$87,'Fórmula'!J76,11)))</f>
        <v>2</v>
      </c>
      <c r="AQ76" s="107">
        <f t="shared" si="7"/>
        <v>0</v>
      </c>
      <c r="AR76" s="108">
        <f t="array" ref="AR76">(('Fórmula'!C76)/('Fórmula'!C76+'Fórmula'!E76+'Fórmula'!G76+'Fórmula'!I76+'Fórmula'!K76))*(INDEX(properties!A$1:CB$87,'Fórmula'!B76,12))+(('Fórmula'!E76)/('Fórmula'!C76+'Fórmula'!E76+'Fórmula'!G76+'Fórmula'!I76+'Fórmula'!K76))*(INDEX(properties!A$1:CB$87,'Fórmula'!D76,12))+(('Fórmula'!G76)/('Fórmula'!C76+'Fórmula'!E76+'Fórmula'!G76+'Fórmula'!I76+'Fórmula'!K76))*(INDEX(properties!A$1:CB$87,'Fórmula'!F76,12))+(('Fórmula'!I76)/('Fórmula'!C76+'Fórmula'!E76+'Fórmula'!G76+'Fórmula'!I76+'Fórmula'!K76))*(INDEX(properties!A$1:CB$87,'Fórmula'!H76,12))+(('Fórmula'!K76)/('Fórmula'!C76+'Fórmula'!E76+'Fórmula'!G76+'Fórmula'!I76+'Fórmula'!K76))*(INDEX(properties!A$1:CB$87,'Fórmula'!J76,12))</f>
        <v>2.666666667</v>
      </c>
      <c r="AS76" s="108">
        <f t="array" ref="AS76">'Fórmula'!C76*(INDEX(properties!A$1:CB$87,'Fórmula'!B76,12))+'Fórmula'!E76*(INDEX(properties!A$1:CB$87,'Fórmula'!D76,12))+'Fórmula'!G76*(INDEX(properties!A$1:CB$87,'Fórmula'!F76,12))+'Fórmula'!I76*(INDEX(properties!A$1:CB$87,'Fórmula'!H76,12))+'Fórmula'!K76*(INDEX(properties!A$1:CB$87,'Fórmula'!J76,12))</f>
        <v>16</v>
      </c>
      <c r="AT76" s="108">
        <f t="array" ref="AT76">VARP(IF(INDEX(properties!A$1:CB$87,'Fórmula'!B76,12)&lt;&gt;"",INDEX(properties!A$1:CB$87,'Fórmula'!B76,12)),IF(INDEX(properties!A$1:CB$87,'Fórmula'!D76,12)&lt;&gt;"",INDEX(properties!A$1:CB$87,'Fórmula'!D76,12)),IF(INDEX(properties!A$1:CB$87,'Fórmula'!F76,12)&lt;&gt;"",INDEX(properties!A$1:CB$87,'Fórmula'!F76,12)),IF(INDEX(properties!A$1:CB$87,'Fórmula'!H76,12)&lt;&gt;"",INDEX(properties!A$1:CB$87,'Fórmula'!H76,12)),IF(INDEX(properties!A$1:CB$87,'Fórmula'!J76,12)&lt;&gt;"",INDEX(properties!A$1:CB$87,'Fórmula'!J76,12)))</f>
        <v>2.56</v>
      </c>
      <c r="AU76" s="108">
        <f t="array" ref="AU76">MAX(INDEX(properties!A$1:CB$87,'Fórmula'!B76,12),INDEX(properties!A$1:CB$87,'Fórmula'!D76,12),INDEX(properties!A$1:CB$87,'Fórmula'!F76,12),INDEX(properties!A$1:CB$87,'Fórmula'!H76,12),INDEX(properties!A$1:CB$87,'Fórmula'!J76,12))</f>
        <v>4</v>
      </c>
      <c r="AV76" s="108">
        <f t="array" ref="AV76">MIN(IF('Fórmula'!B76=87,10^6,INDEX(properties!A$1:CB$87,'Fórmula'!B76,12)),IF(('Fórmula'!D76)=87,10^6,INDEX(properties!A$1:CB$87,'Fórmula'!D76,12)),IF(('Fórmula'!F76)=87,10^6,INDEX(properties!A$1:CB$87,'Fórmula'!F76,12)),IF(('Fórmula'!H76)=87,10^6,INDEX(properties!A$1:CB$87,'Fórmula'!H76,12)),IF('Fórmula'!J76=87,10^6,INDEX(properties!A$1:CB$87,'Fórmula'!J76,12)))</f>
        <v>0</v>
      </c>
      <c r="AW76" s="108">
        <f t="shared" si="8"/>
        <v>4</v>
      </c>
      <c r="AX76" s="109">
        <f t="array" ref="AX76">(('Fórmula'!C76)/('Fórmula'!C76+'Fórmula'!E76+'Fórmula'!G76+'Fórmula'!I76+'Fórmula'!K76))*(INDEX(properties!A$1:CB$87,'Fórmula'!B76,13))+(('Fórmula'!E76)/('Fórmula'!C76+'Fórmula'!E76+'Fórmula'!G76+'Fórmula'!I76+'Fórmula'!K76))*(INDEX(properties!A$1:CB$87,'Fórmula'!D76,13))+(('Fórmula'!G76)/('Fórmula'!C76+'Fórmula'!E76+'Fórmula'!G76+'Fórmula'!I76+'Fórmula'!K76))*(INDEX(properties!A$1:CB$87,'Fórmula'!F76,13))+(('Fórmula'!I76)/('Fórmula'!C76+'Fórmula'!E76+'Fórmula'!G76+'Fórmula'!I76+'Fórmula'!K76))*(INDEX(properties!A$1:CB$87,'Fórmula'!H76,13))+(('Fórmula'!K76)/('Fórmula'!C76+'Fórmula'!E76+'Fórmula'!G76+'Fórmula'!I76+'Fórmula'!K76))*(INDEX(properties!A$1:CB$87,'Fórmula'!J76,13))</f>
        <v>0.6666666667</v>
      </c>
      <c r="AY76" s="109">
        <f t="array" ref="AY76">'Fórmula'!C76*(INDEX(properties!A$1:CB$87,'Fórmula'!B76,13))+'Fórmula'!E76*(INDEX(properties!A$1:CB$87,'Fórmula'!D76,13))+'Fórmula'!G76*(INDEX(properties!A$1:CB$87,'Fórmula'!F76,13))+'Fórmula'!I76*(INDEX(properties!A$1:CB$87,'Fórmula'!H76,13))+'Fórmula'!K76*(INDEX(properties!A$1:CB$87,'Fórmula'!J76,13))</f>
        <v>4</v>
      </c>
      <c r="AZ76" s="109">
        <f t="array" ref="AZ76">VARP(IF(INDEX(properties!A$1:CB$87,'Fórmula'!B76,13)&lt;&gt;"",INDEX(properties!A$1:CB$87,'Fórmula'!B76,13)),IF(INDEX(properties!A$1:CB$87,'Fórmula'!D76,13)&lt;&gt;"",INDEX(properties!A$1:CB$87,'Fórmula'!D76,13)),IF(INDEX(properties!A$1:CB$87,'Fórmula'!F76,13)&lt;&gt;"",INDEX(properties!A$1:CB$87,'Fórmula'!F76,13)),IF(INDEX(properties!A$1:CB$87,'Fórmula'!H76,13)&lt;&gt;"",INDEX(properties!A$1:CB$87,'Fórmula'!H76,13)),IF(INDEX(properties!A$1:CB$87,'Fórmula'!J76,13)&lt;&gt;"",INDEX(properties!A$1:CB$87,'Fórmula'!J76,13)))</f>
        <v>2.56</v>
      </c>
      <c r="BA76" s="109">
        <f t="array" ref="BA76">MAX(INDEX(properties!A$1:CB$87,'Fórmula'!B76,13),INDEX(properties!A$1:CB$87,'Fórmula'!D76,13),INDEX(properties!A$1:CB$87,'Fórmula'!F76,13),INDEX(properties!A$1:CB$87,'Fórmula'!H76,13),INDEX(properties!A$1:CB$87,'Fórmula'!J76,13))</f>
        <v>4</v>
      </c>
      <c r="BB76" s="109">
        <f t="array" ref="BB76">MIN(IF('Fórmula'!B76=87,10^6,INDEX(properties!A$1:CB$87,'Fórmula'!B76,13)),IF(('Fórmula'!D76)=87,10^6,INDEX(properties!A$1:CB$87,'Fórmula'!D76,13)),IF(('Fórmula'!F76)=87,10^6,INDEX(properties!A$1:CB$87,'Fórmula'!F76,13)),IF(('Fórmula'!H76)=87,10^6,INDEX(properties!A$1:CB$87,'Fórmula'!H76,13)),IF('Fórmula'!J76=87,10^6,INDEX(properties!A$1:CB$87,'Fórmula'!J76,13)))</f>
        <v>0</v>
      </c>
      <c r="BC76" s="109">
        <f t="shared" si="9"/>
        <v>4</v>
      </c>
      <c r="BD76" s="110">
        <f t="array" ref="BD76">(('Fórmula'!C76)/('Fórmula'!C76+'Fórmula'!E76+'Fórmula'!G76+'Fórmula'!I76+'Fórmula'!K76))*(INDEX(properties!A$1:CB$87,'Fórmula'!B76,14))+(('Fórmula'!E76)/('Fórmula'!C76+'Fórmula'!E76+'Fórmula'!G76+'Fórmula'!I76+'Fórmula'!K76))*(INDEX(properties!A$1:CB$87,'Fórmula'!D76,14))+(('Fórmula'!G76)/('Fórmula'!C76+'Fórmula'!E76+'Fórmula'!G76+'Fórmula'!I76+'Fórmula'!K76))*(INDEX(properties!A$1:CB$87,'Fórmula'!F76,14))+(('Fórmula'!I76)/('Fórmula'!C76+'Fórmula'!E76+'Fórmula'!G76+'Fórmula'!I76+'Fórmula'!K76))*(INDEX(properties!A$1:CB$87,'Fórmula'!H76,14))+(('Fórmula'!K76)/('Fórmula'!C76+'Fórmula'!E76+'Fórmula'!G76+'Fórmula'!I76+'Fórmula'!K76))*(INDEX(properties!A$1:CB$87,'Fórmula'!J76,14))</f>
        <v>2.333333333</v>
      </c>
      <c r="BE76" s="110">
        <f t="array" ref="BE76">'Fórmula'!C76*(INDEX(properties!A$1:CB$87,'Fórmula'!B76,14))+'Fórmula'!E76*(INDEX(properties!A$1:CB$87,'Fórmula'!D76,14))+'Fórmula'!G76*(INDEX(properties!A$1:CB$87,'Fórmula'!F76,14))+'Fórmula'!I76*(INDEX(properties!A$1:CB$87,'Fórmula'!H76,14))+'Fórmula'!K76*(INDEX(properties!A$1:CB$87,'Fórmula'!J76,14))</f>
        <v>14</v>
      </c>
      <c r="BF76" s="110">
        <f t="array" ref="BF76">VARP(IF(INDEX(properties!A$1:CB$87,'Fórmula'!B76,14)&lt;&gt;"",INDEX(properties!A$1:CB$87,'Fórmula'!B76,14)),IF(INDEX(properties!A$1:CB$87,'Fórmula'!D76,14)&lt;&gt;"",INDEX(properties!A$1:CB$87,'Fórmula'!D76,14)),IF(INDEX(properties!A$1:CB$87,'Fórmula'!F76,14)&lt;&gt;"",INDEX(properties!A$1:CB$87,'Fórmula'!F76,14)),IF(INDEX(properties!A$1:CB$87,'Fórmula'!H76,14)&lt;&gt;"",INDEX(properties!A$1:CB$87,'Fórmula'!H76,14)),IF(INDEX(properties!A$1:CB$87,'Fórmula'!J76,14)&lt;&gt;"",INDEX(properties!A$1:CB$87,'Fórmula'!J76,14)))</f>
        <v>31.36</v>
      </c>
      <c r="BG76" s="110">
        <f t="array" ref="BG76">MAX(INDEX(properties!A$1:CB$87,'Fórmula'!B76,14),INDEX(properties!A$1:CB$87,'Fórmula'!D76,14),INDEX(properties!A$1:CB$87,'Fórmula'!F76,14),INDEX(properties!A$1:CB$87,'Fórmula'!H76,14),INDEX(properties!A$1:CB$87,'Fórmula'!J76,14))</f>
        <v>14</v>
      </c>
      <c r="BH76" s="110">
        <f t="array" ref="BH76">MIN(IF('Fórmula'!B76=87,10^6,INDEX(properties!A$1:CB$87,'Fórmula'!B76,14)),IF(('Fórmula'!D76)=87,10^6,INDEX(properties!A$1:CB$87,'Fórmula'!D76,14)),IF(('Fórmula'!F76)=87,10^6,INDEX(properties!A$1:CB$87,'Fórmula'!F76,14)),IF(('Fórmula'!H76)=87,10^6,INDEX(properties!A$1:CB$87,'Fórmula'!H76,14)),IF('Fórmula'!J76=87,10^6,INDEX(properties!A$1:CB$87,'Fórmula'!J76,14)))</f>
        <v>0</v>
      </c>
      <c r="BI76" s="110">
        <f t="shared" si="10"/>
        <v>14</v>
      </c>
      <c r="BJ76" s="111">
        <f t="array" ref="BJ76">(('Fórmula'!C76)/('Fórmula'!C76+'Fórmula'!E76+'Fórmula'!G76+'Fórmula'!I76+'Fórmula'!K76))*(INDEX(properties!A$1:CB$87,'Fórmula'!B76,19))+(('Fórmula'!E76)/('Fórmula'!C76+'Fórmula'!E76+'Fórmula'!G76+'Fórmula'!I76+'Fórmula'!K76))*(INDEX(properties!A$1:CB$87,'Fórmula'!D76,19))+(('Fórmula'!G76)/('Fórmula'!C76+'Fórmula'!E76+'Fórmula'!G76+'Fórmula'!I76+'Fórmula'!K76))*(INDEX(properties!A$1:CB$87,'Fórmula'!F76,19))+(('Fórmula'!I76)/('Fórmula'!C76+'Fórmula'!E76+'Fórmula'!G76+'Fórmula'!I76+'Fórmula'!K76))*(INDEX(properties!A$1:CB$87,'Fórmula'!H76,19))+(('Fórmula'!K76)/('Fórmula'!C76+'Fórmula'!E76+'Fórmula'!G76+'Fórmula'!I76+'Fórmula'!K76))*(INDEX(properties!A$1:CB$87,'Fórmula'!J76,19))</f>
        <v>7.666666667</v>
      </c>
      <c r="BK76" s="111">
        <f t="array" ref="BK76">'Fórmula'!C76*(INDEX(properties!A$1:CB$87,'Fórmula'!B76,19))+'Fórmula'!E76*(INDEX(properties!A$1:CB$87,'Fórmula'!D76,19))+'Fórmula'!G76*(INDEX(properties!A$1:CB$87,'Fórmula'!F76,19))+'Fórmula'!I76*(INDEX(properties!A$1:CB$87,'Fórmula'!H76,19))+'Fórmula'!K76*(INDEX(properties!A$1:CB$87,'Fórmula'!J76,19))</f>
        <v>46</v>
      </c>
      <c r="BL76" s="111">
        <f t="array" ref="BL76">VARP(IF(INDEX(properties!A$1:CB$87,'Fórmula'!B76,19)&lt;&gt;"",INDEX(properties!A$1:CB$87,'Fórmula'!B76,19)),IF(INDEX(properties!A$1:CB$87,'Fórmula'!D76,19)&lt;&gt;"",INDEX(properties!A$1:CB$87,'Fórmula'!D76,19)),IF(INDEX(properties!A$1:CB$87,'Fórmula'!F76,19)&lt;&gt;"",INDEX(properties!A$1:CB$87,'Fórmula'!F76,19)),IF(INDEX(properties!A$1:CB$87,'Fórmula'!H76,19)&lt;&gt;"",INDEX(properties!A$1:CB$87,'Fórmula'!H76,19)),IF(INDEX(properties!A$1:CB$87,'Fórmula'!J76,19)&lt;&gt;"",INDEX(properties!A$1:CB$87,'Fórmula'!J76,19)))</f>
        <v>56.64</v>
      </c>
      <c r="BM76" s="111">
        <f t="array" ref="BM76">MAX(INDEX(properties!A$1:CB$87,'Fórmula'!B76,19),INDEX(properties!A$1:CB$87,'Fórmula'!D76,19),INDEX(properties!A$1:CB$87,'Fórmula'!F76,19),INDEX(properties!A$1:CB$87,'Fórmula'!H76,19),INDEX(properties!A$1:CB$87,'Fórmula'!J76,19))</f>
        <v>20</v>
      </c>
      <c r="BN76" s="111">
        <f t="array" ref="BN76">MIN(IF(INDEX(properties!A$1:CB$87,'Fórmula'!B76,19)=0,10^6,INDEX(properties!A$1:CB$87,'Fórmula'!B76,19)),IF(INDEX(properties!A$1:CB$87,'Fórmula'!D76,19)=0,10^6,INDEX(properties!A$1:CB$87,'Fórmula'!D76,19)),IF(INDEX(properties!A$1:CB$87,'Fórmula'!F76,19)=0,10^6,INDEX(properties!A$1:CB$87,'Fórmula'!F76,19)),IF(INDEX(properties!A$1:CB$87,'Fórmula'!H76,19)=0,10^6,INDEX(properties!A$1:CB$87,'Fórmula'!H76,19)),IF(INDEX(properties!A$1:CB$87,'Fórmula'!J76,19)=0,10^6,INDEX(properties!A$1:CB$87,'Fórmula'!J76,19)))</f>
        <v>2</v>
      </c>
      <c r="BO76" s="111">
        <f t="shared" si="11"/>
        <v>18</v>
      </c>
      <c r="BP76" s="112">
        <f t="array" ref="BP76">(('Fórmula'!C76)/('Fórmula'!C76+'Fórmula'!E76+'Fórmula'!G76+'Fórmula'!I76+'Fórmula'!K76))*(INDEX(properties!A$1:CB$87,'Fórmula'!B76,20))+(('Fórmula'!E76)/('Fórmula'!C76+'Fórmula'!E76+'Fórmula'!G76+'Fórmula'!I76+'Fórmula'!K76))*(INDEX(properties!A$1:CB$87,'Fórmula'!D76,20))+(('Fórmula'!G76)/('Fórmula'!C76+'Fórmula'!E76+'Fórmula'!G76+'Fórmula'!I76+'Fórmula'!K76))*(INDEX(properties!A$1:CB$87,'Fórmula'!F76,20))+(('Fórmula'!I76)/('Fórmula'!C76+'Fórmula'!E76+'Fórmula'!G76+'Fórmula'!I76+'Fórmula'!K76))*(INDEX(properties!A$1:CB$87,'Fórmula'!H76,20))+(('Fórmula'!K76)/('Fórmula'!C76+'Fórmula'!E76+'Fórmula'!G76+'Fórmula'!I76+'Fórmula'!K76))*(INDEX(properties!A$1:CB$87,'Fórmula'!J76,20))</f>
        <v>4.666666667</v>
      </c>
      <c r="BQ76" s="112">
        <f t="array" ref="BQ76">'Fórmula'!C76*(INDEX(properties!A$1:CB$87,'Fórmula'!B76,20))+'Fórmula'!E76*(INDEX(properties!A$1:CB$87,'Fórmula'!D76,20))+'Fórmula'!G76*(INDEX(properties!A$1:CB$87,'Fórmula'!F76,20))+'Fórmula'!I76*(INDEX(properties!A$1:CB$87,'Fórmula'!H76,20))+'Fórmula'!K76*(INDEX(properties!A$1:CB$87,'Fórmula'!J76,20))</f>
        <v>28</v>
      </c>
      <c r="BR76" s="112">
        <f t="array" ref="BR76">VARP(IF(INDEX(properties!A$1:CB$87,'Fórmula'!B76,20)&lt;&gt;"",INDEX(properties!A$1:CB$87,'Fórmula'!B76,20)),IF(INDEX(properties!A$1:CB$87,'Fórmula'!D76,20)&lt;&gt;"",INDEX(properties!A$1:CB$87,'Fórmula'!D76,20)),IF(INDEX(properties!A$1:CB$87,'Fórmula'!F76,20)&lt;&gt;"",INDEX(properties!A$1:CB$87,'Fórmula'!F76,20)),IF(INDEX(properties!A$1:CB$87,'Fórmula'!H76,20)&lt;&gt;"",INDEX(properties!A$1:CB$87,'Fórmula'!H76,20)),IF(INDEX(properties!A$1:CB$87,'Fórmula'!J76,20)&lt;&gt;"",INDEX(properties!A$1:CB$87,'Fórmula'!J76,20)))</f>
        <v>4.8</v>
      </c>
      <c r="BS76" s="112">
        <f t="array" ref="BS76">MAX(INDEX(properties!A$1:CB$87,'Fórmula'!B76,20),INDEX(properties!A$1:CB$87,'Fórmula'!D76,20),INDEX(properties!A$1:CB$87,'Fórmula'!F76,20),INDEX(properties!A$1:CB$87,'Fórmula'!H76,20),INDEX(properties!A$1:CB$87,'Fórmula'!J76,20))</f>
        <v>6</v>
      </c>
      <c r="BT76" s="112">
        <f t="array" ref="BT76">MIN(IF(INDEX(properties!A$1:CB$87,'Fórmula'!B76,20)=0,10^6,INDEX(properties!A$1:CB$87,'Fórmula'!B76,20)),IF(INDEX(properties!A$1:CB$87,'Fórmula'!D76,20)=0,10^6,INDEX(properties!A$1:CB$87,'Fórmula'!D76,20)),IF(INDEX(properties!A$1:CB$87,'Fórmula'!F76,20)=0,10^6,INDEX(properties!A$1:CB$87,'Fórmula'!F76,20)),IF(INDEX(properties!A$1:CB$87,'Fórmula'!H76,20)=0,10^6,INDEX(properties!A$1:CB$87,'Fórmula'!H76,20)),IF(INDEX(properties!A$1:CB$87,'Fórmula'!J76,20)=0,10^6,INDEX(properties!A$1:CB$87,'Fórmula'!J76,20)))</f>
        <v>2</v>
      </c>
      <c r="BU76" s="112">
        <f t="shared" si="12"/>
        <v>4</v>
      </c>
      <c r="BV76" s="113">
        <f t="array" ref="BV76">(('Fórmula'!C76)/('Fórmula'!C76+'Fórmula'!E76+'Fórmula'!G76+'Fórmula'!I76+'Fórmula'!K76))*(INDEX(properties!A$1:CB$87,'Fórmula'!B76,21))+(('Fórmula'!E76)/('Fórmula'!C76+'Fórmula'!E76+'Fórmula'!G76+'Fórmula'!I76+'Fórmula'!K76))*(INDEX(properties!A$1:CB$87,'Fórmula'!D76,21))+(('Fórmula'!G76)/('Fórmula'!C76+'Fórmula'!E76+'Fórmula'!G76+'Fórmula'!I76+'Fórmula'!K76))*(INDEX(properties!A$1:CB$87,'Fórmula'!F76,21))+(('Fórmula'!I76)/('Fórmula'!C76+'Fórmula'!E76+'Fórmula'!G76+'Fórmula'!I76+'Fórmula'!K76))*(INDEX(properties!A$1:CB$87,'Fórmula'!H76,21))+(('Fórmula'!K76)/('Fórmula'!C76+'Fórmula'!E76+'Fórmula'!G76+'Fórmula'!I76+'Fórmula'!K76))*(INDEX(properties!A$1:CB$87,'Fórmula'!J76,21))</f>
        <v>5</v>
      </c>
      <c r="BW76" s="113">
        <f t="array" ref="BW76">'Fórmula'!C76*(INDEX(properties!A$1:CB$87,'Fórmula'!B76,21))+'Fórmula'!E76*(INDEX(properties!A$1:CB$87,'Fórmula'!D76,21))+'Fórmula'!G76*(INDEX(properties!A$1:CB$87,'Fórmula'!F76,21))+'Fórmula'!I76*(INDEX(properties!A$1:CB$87,'Fórmula'!H76,21))+'Fórmula'!K76*(INDEX(properties!A$1:CB$87,'Fórmula'!J76,21))</f>
        <v>30</v>
      </c>
      <c r="BX76" s="113">
        <f t="array" ref="BX76">VARP(IF(INDEX(properties!A$1:CB$87,'Fórmula'!B76,21)&lt;&gt;"",INDEX(properties!A$1:CB$87,'Fórmula'!B76,21)),IF(INDEX(properties!A$1:CB$87,'Fórmula'!D76,21)&lt;&gt;"",INDEX(properties!A$1:CB$87,'Fórmula'!D76,21)),IF(INDEX(properties!A$1:CB$87,'Fórmula'!F76,21)&lt;&gt;"",INDEX(properties!A$1:CB$87,'Fórmula'!F76,21)),IF(INDEX(properties!A$1:CB$87,'Fórmula'!H76,21)&lt;&gt;"",INDEX(properties!A$1:CB$87,'Fórmula'!H76,21)),IF(INDEX(properties!A$1:CB$87,'Fórmula'!J76,21)&lt;&gt;"",INDEX(properties!A$1:CB$87,'Fórmula'!J76,21)))</f>
        <v>5.44</v>
      </c>
      <c r="BY76" s="113">
        <f t="array" ref="BY76">MAX(INDEX(properties!A$1:CB$87,'Fórmula'!B76,21),INDEX(properties!A$1:CB$87,'Fórmula'!D76,21),INDEX(properties!A$1:CB$87,'Fórmula'!F76,21),INDEX(properties!A$1:CB$87,'Fórmula'!H76,21),INDEX(properties!A$1:CB$87,'Fórmula'!J76,21))</f>
        <v>6</v>
      </c>
      <c r="BZ76" s="113">
        <f t="array" ref="BZ76">MIN(IF(INDEX(properties!A$1:CB$87,'Fórmula'!B76,21)=0,10^6,INDEX(properties!A$1:CB$87,'Fórmula'!B76,21)),IF(INDEX(properties!A$1:CB$87,'Fórmula'!D76,21)=0,10^6,INDEX(properties!A$1:CB$87,'Fórmula'!D76,21)),IF(INDEX(properties!A$1:CB$87,'Fórmula'!F76,21)=0,10^6,INDEX(properties!A$1:CB$87,'Fórmula'!F76,21)),IF(INDEX(properties!A$1:CB$87,'Fórmula'!H76,21)=0,10^6,INDEX(properties!A$1:CB$87,'Fórmula'!H76,21)),IF(INDEX(properties!A$1:CB$87,'Fórmula'!J76,21)=0,10^6,INDEX(properties!A$1:CB$87,'Fórmula'!J76,21)))</f>
        <v>2</v>
      </c>
      <c r="CA76" s="113">
        <f t="shared" si="13"/>
        <v>4</v>
      </c>
      <c r="CB76" s="114">
        <f t="array" ref="CB76">(('Fórmula'!C76)/('Fórmula'!C76+'Fórmula'!E76+'Fórmula'!G76+'Fórmula'!I76+'Fórmula'!K76))*(INDEX(properties!A$1:CB$87,'Fórmula'!B76,23))+(('Fórmula'!E76)/('Fórmula'!C76+'Fórmula'!E76+'Fórmula'!G76+'Fórmula'!I76+'Fórmula'!K76))*(INDEX(properties!A$1:CB$87,'Fórmula'!D76,23))+(('Fórmula'!G76)/('Fórmula'!C76+'Fórmula'!E76+'Fórmula'!G76+'Fórmula'!I76+'Fórmula'!K76))*(INDEX(properties!A$1:CB$87,'Fórmula'!F76,23))+(('Fórmula'!I76)/('Fórmula'!C76+'Fórmula'!E76+'Fórmula'!G76+'Fórmula'!I76+'Fórmula'!K76))*(INDEX(properties!A$1:CB$87,'Fórmula'!H76,23))+(('Fórmula'!K76)/('Fórmula'!C76+'Fórmula'!E76+'Fórmula'!G76+'Fórmula'!I76+'Fórmula'!K76))*(INDEX(properties!A$1:CB$87,'Fórmula'!J76,23))</f>
        <v>1.296666667</v>
      </c>
      <c r="CC76" s="114">
        <f t="array" ref="CC76">'Fórmula'!C76*(INDEX(properties!A$1:CB$87,'Fórmula'!B76,23))+'Fórmula'!E76*(INDEX(properties!A$1:CB$87,'Fórmula'!D76,23))+'Fórmula'!G76*(INDEX(properties!A$1:CB$87,'Fórmula'!F76,23))+'Fórmula'!I76*(INDEX(properties!A$1:CB$87,'Fórmula'!H76,23))+'Fórmula'!K76*(INDEX(properties!A$1:CB$87,'Fórmula'!J76,23))</f>
        <v>7.78</v>
      </c>
      <c r="CD76" s="114">
        <f t="array" ref="CD76">VARP(IF(INDEX(properties!A$1:CB$87,'Fórmula'!B76,23)&lt;&gt;"",INDEX(properties!A$1:CB$87,'Fórmula'!B76,23)),IF(INDEX(properties!A$1:CB$87,'Fórmula'!D76,23)&lt;&gt;"",INDEX(properties!A$1:CB$87,'Fórmula'!D76,23)),IF(INDEX(properties!A$1:CB$87,'Fórmula'!F76,23)&lt;&gt;"",INDEX(properties!A$1:CB$87,'Fórmula'!F76,23)),IF(INDEX(properties!A$1:CB$87,'Fórmula'!H76,23)&lt;&gt;"",INDEX(properties!A$1:CB$87,'Fórmula'!H76,23)),IF(INDEX(properties!A$1:CB$87,'Fórmula'!J76,23)&lt;&gt;"",INDEX(properties!A$1:CB$87,'Fórmula'!J76,23)))</f>
        <v>5.060544</v>
      </c>
      <c r="CE76" s="114">
        <f t="array" ref="CE76">MAX(INDEX(properties!A$1:CB$87,'Fórmula'!B76,23),INDEX(properties!A$1:CB$87,'Fórmula'!D76,23),INDEX(properties!A$1:CB$87,'Fórmula'!F76,23),INDEX(properties!A$1:CB$87,'Fórmula'!H76,23),INDEX(properties!A$1:CB$87,'Fórmula'!J76,23))</f>
        <v>5.78</v>
      </c>
      <c r="CF76" s="114">
        <f t="array" ref="CF76">MIN(IF('Fórmula'!B76=87,10^6,INDEX(properties!A$1:CB$87,'Fórmula'!B76,23)),IF(('Fórmula'!D76)=87,10^6,INDEX(properties!A$1:CB$87,'Fórmula'!D76,23)),IF(('Fórmula'!F76)=87,10^6,INDEX(properties!A$1:CB$87,'Fórmula'!F76,23)),IF(('Fórmula'!H76)=87,10^6,INDEX(properties!A$1:CB$87,'Fórmula'!H76,23)),IF('Fórmula'!J76=87,10^6,INDEX(properties!A$1:CB$87,'Fórmula'!J76,23)))</f>
        <v>0</v>
      </c>
      <c r="CG76" s="114">
        <f t="shared" si="14"/>
        <v>5.78</v>
      </c>
      <c r="CH76" s="115">
        <f t="array" ref="CH76">(('Fórmula'!C76)/('Fórmula'!C76+'Fórmula'!E76+'Fórmula'!G76+'Fórmula'!I76+'Fórmula'!K76))*(INDEX(properties!A$1:CB$87,'Fórmula'!B76,26))+(('Fórmula'!E76)/('Fórmula'!C76+'Fórmula'!E76+'Fórmula'!G76+'Fórmula'!I76+'Fórmula'!K76))*(INDEX(properties!A$1:CB$87,'Fórmula'!D76,26))+(('Fórmula'!G76)/('Fórmula'!C76+'Fórmula'!E76+'Fórmula'!G76+'Fórmula'!I76+'Fórmula'!K76))*(INDEX(properties!A$1:CB$87,'Fórmula'!F76,26))+(('Fórmula'!I76)/('Fórmula'!C76+'Fórmula'!E76+'Fórmula'!G76+'Fórmula'!I76+'Fórmula'!K76))*(INDEX(properties!A$1:CB$87,'Fórmula'!H76,26))+(('Fórmula'!K76)/('Fórmula'!C76+'Fórmula'!E76+'Fórmula'!G76+'Fórmula'!I76+'Fórmula'!K76))*(INDEX(properties!A$1:CB$87,'Fórmula'!J76,26))</f>
        <v>11.25801667</v>
      </c>
      <c r="CI76" s="115">
        <f t="array" ref="CI76">'Fórmula'!C76*(INDEX(properties!A$1:CB$87,'Fórmula'!B76,26))+'Fórmula'!E76*(INDEX(properties!A$1:CB$87,'Fórmula'!D76,26))+'Fórmula'!G76*(INDEX(properties!A$1:CB$87,'Fórmula'!F76,26))+'Fórmula'!I76*(INDEX(properties!A$1:CB$87,'Fórmula'!H76,26))+'Fórmula'!K76*(INDEX(properties!A$1:CB$87,'Fórmula'!J76,26))</f>
        <v>67.5481</v>
      </c>
      <c r="CJ76" s="115">
        <f t="array" ref="CJ76">VARP(IF(INDEX(properties!A$1:CB$87,'Fórmula'!B76,26)&lt;&gt;"",INDEX(properties!A$1:CB$87,'Fórmula'!B76,26)),IF(INDEX(properties!A$1:CB$87,'Fórmula'!D76,26)&lt;&gt;"",INDEX(properties!A$1:CB$87,'Fórmula'!D76,26)),IF(INDEX(properties!A$1:CB$87,'Fórmula'!F76,26)&lt;&gt;"",INDEX(properties!A$1:CB$87,'Fórmula'!F76,26)),IF(INDEX(properties!A$1:CB$87,'Fórmula'!H76,26)&lt;&gt;"",INDEX(properties!A$1:CB$87,'Fórmula'!H76,26)),IF(INDEX(properties!A$1:CB$87,'Fórmula'!J76,26)&lt;&gt;"",INDEX(properties!A$1:CB$87,'Fórmula'!J76,26)))</f>
        <v>26.38903376</v>
      </c>
      <c r="CK76" s="116">
        <f t="array" ref="CK76">MAX(INDEX(properties!A$1:CB$87,'Fórmula'!B76,26),INDEX(properties!A$1:CB$87,'Fórmula'!D76,26),INDEX(properties!A$1:CB$87,'Fórmula'!F76,26),INDEX(properties!A$1:CB$87,'Fórmula'!H76,26),INDEX(properties!A$1:CB$87,'Fórmula'!J76,26))</f>
        <v>13.6181</v>
      </c>
      <c r="CL76" s="116">
        <f t="array" ref="CL76">MIN(IF(INDEX(properties!A$1:CB$87,'Fórmula'!B76,26)=0,10^6,INDEX(properties!A$1:CB$87,'Fórmula'!B76,26)),IF(INDEX(properties!A$1:CB$87,'Fórmula'!D76,26)=0,10^6,INDEX(properties!A$1:CB$87,'Fórmula'!D76,26)),IF(INDEX(properties!A$1:CB$87,'Fórmula'!F76,26)=0,10^6,INDEX(properties!A$1:CB$87,'Fórmula'!F76,26)),IF(INDEX(properties!A$1:CB$87,'Fórmula'!H76,26)=0,10^6,INDEX(properties!A$1:CB$87,'Fórmula'!H76,26)),IF(INDEX(properties!A$1:CB$87,'Fórmula'!J76,26)=0,10^6,INDEX(properties!A$1:CB$87,'Fórmula'!J76,26)))</f>
        <v>5.2117</v>
      </c>
      <c r="CM76" s="115">
        <f t="shared" si="15"/>
        <v>8.4064</v>
      </c>
      <c r="CN76" s="117">
        <f t="array" ref="CN76">(('Fórmula'!C76)/('Fórmula'!C76+'Fórmula'!E76+'Fórmula'!G76+'Fórmula'!I76+'Fórmula'!K76))*(INDEX(properties!A$1:CB$87,'Fórmula'!B76,30))+(('Fórmula'!E76)/('Fórmula'!C76+'Fórmula'!E76+'Fórmula'!G76+'Fórmula'!I76+'Fórmula'!K76))*(INDEX(properties!A$1:CB$87,'Fórmula'!D76,30))+(('Fórmula'!G76)/('Fórmula'!C76+'Fórmula'!E76+'Fórmula'!G76+'Fórmula'!I76+'Fórmula'!K76))*(INDEX(properties!A$1:CB$87,'Fórmula'!F76,30))+(('Fórmula'!I76)/('Fórmula'!C76+'Fórmula'!E76+'Fórmula'!G76+'Fórmula'!I76+'Fórmula'!K76))*(INDEX(properties!A$1:CB$87,'Fórmula'!H76,30))+(('Fórmula'!K76)/('Fórmula'!C76+'Fórmula'!E76+'Fórmula'!G76+'Fórmula'!I76+'Fórmula'!K76))*(INDEX(properties!A$1:CB$87,'Fórmula'!J76,30))</f>
        <v>2.835</v>
      </c>
      <c r="CO76" s="117">
        <f t="array" ref="CO76">'Fórmula'!C76*(INDEX(properties!A$1:CB$87,'Fórmula'!B76,30))+'Fórmula'!E76*(INDEX(properties!A$1:CB$87,'Fórmula'!D76,30))+'Fórmula'!G76*(INDEX(properties!A$1:CB$87,'Fórmula'!F76,30))+'Fórmula'!I76*(INDEX(properties!A$1:CB$87,'Fórmula'!H76,30))+'Fórmula'!K76*(INDEX(properties!A$1:CB$87,'Fórmula'!J76,30))</f>
        <v>17.01</v>
      </c>
      <c r="CP76" s="117">
        <f t="array" ref="CP76">VARP(IF(INDEX(properties!A$1:CB$87,'Fórmula'!B76,30)&lt;&gt;"",INDEX(properties!A$1:CB$87,'Fórmula'!B76,30)),IF(INDEX(properties!A$1:CB$87,'Fórmula'!D76,30)&lt;&gt;"",INDEX(properties!A$1:CB$87,'Fórmula'!D76,30)),IF(INDEX(properties!A$1:CB$87,'Fórmula'!F76,30)&lt;&gt;"",INDEX(properties!A$1:CB$87,'Fórmula'!F76,30)),IF(INDEX(properties!A$1:CB$87,'Fórmula'!H76,30)&lt;&gt;"",INDEX(properties!A$1:CB$87,'Fórmula'!H76,30)),IF(INDEX(properties!A$1:CB$87,'Fórmula'!J76,30)&lt;&gt;"",INDEX(properties!A$1:CB$87,'Fórmula'!J76,30)))</f>
        <v>1.848816</v>
      </c>
      <c r="CQ76" s="117">
        <f t="array" ref="CQ76">MAX(INDEX(properties!A$1:CB$87,'Fórmula'!B76,30),INDEX(properties!A$1:CB$87,'Fórmula'!D76,30),INDEX(properties!A$1:CB$87,'Fórmula'!F76,30),INDEX(properties!A$1:CB$87,'Fórmula'!H76,30),INDEX(properties!A$1:CB$87,'Fórmula'!J76,30))</f>
        <v>3.44</v>
      </c>
      <c r="CR76" s="117">
        <f t="array" ref="CR76">MIN(IF(INDEX(properties!A$1:CB$87,'Fórmula'!B76,30)=0,10^6,INDEX(properties!A$1:CB$87,'Fórmula'!B76,30)),IF(INDEX(properties!A$1:CB$87,'Fórmula'!D76,30)=0,10^6,INDEX(properties!A$1:CB$87,'Fórmula'!D76,30)),IF(INDEX(properties!A$1:CB$87,'Fórmula'!F76,30)=0,10^6,INDEX(properties!A$1:CB$87,'Fórmula'!F76,30)),IF(INDEX(properties!A$1:CB$87,'Fórmula'!H76,30)=0,10^6,INDEX(properties!A$1:CB$87,'Fórmula'!H76,30)),IF(INDEX(properties!A$1:CB$87,'Fórmula'!J76,30)=0,10^6,INDEX(properties!A$1:CB$87,'Fórmula'!J76,30)))</f>
        <v>0.89</v>
      </c>
      <c r="CS76" s="117">
        <f t="shared" si="16"/>
        <v>2.55</v>
      </c>
      <c r="CT76" s="118">
        <f t="array" ref="CT76">(('Fórmula'!C76)/('Fórmula'!C76+'Fórmula'!E76+'Fórmula'!G76+'Fórmula'!I76+'Fórmula'!K76))*(INDEX(properties!A$1:CB$87,'Fórmula'!B76,31))+(('Fórmula'!E76)/('Fórmula'!C76+'Fórmula'!E76+'Fórmula'!G76+'Fórmula'!I76+'Fórmula'!K76))*(INDEX(properties!A$1:CB$87,'Fórmula'!D76,31))+(('Fórmula'!G76)/('Fórmula'!C76+'Fórmula'!E76+'Fórmula'!G76+'Fórmula'!I76+'Fórmula'!K76))*(INDEX(properties!A$1:CB$87,'Fórmula'!F76,31))+(('Fórmula'!I76)/('Fórmula'!C76+'Fórmula'!E76+'Fórmula'!G76+'Fórmula'!I76+'Fórmula'!K76))*(INDEX(properties!A$1:CB$87,'Fórmula'!H76,31))+(('Fórmula'!K76)/('Fórmula'!C76+'Fórmula'!E76+'Fórmula'!G76+'Fórmula'!I76+'Fórmula'!K76))*(INDEX(properties!A$1:CB$87,'Fórmula'!J76,31))</f>
        <v>2.691666667</v>
      </c>
      <c r="CU76" s="118">
        <f t="array" ref="CU76">'Fórmula'!C76*(INDEX(properties!A$1:CB$87,'Fórmula'!B76,31))+'Fórmula'!E76*(INDEX(properties!A$1:CB$87,'Fórmula'!D76,31))+'Fórmula'!G76*(INDEX(properties!A$1:CB$87,'Fórmula'!F76,31))+'Fórmula'!I76*(INDEX(properties!A$1:CB$87,'Fórmula'!H76,31))+'Fórmula'!K76*(INDEX(properties!A$1:CB$87,'Fórmula'!J76,31))</f>
        <v>16.15</v>
      </c>
      <c r="CV76" s="118">
        <f t="array" ref="CV76">VARP(IF(INDEX(properties!A$1:CB$87,'Fórmula'!B76,31)&lt;&gt;"",INDEX(properties!A$1:CB$87,'Fórmula'!B76,31)),IF(INDEX(properties!A$1:CB$87,'Fórmula'!D76,31)&lt;&gt;"",INDEX(properties!A$1:CB$87,'Fórmula'!D76,31)),IF(INDEX(properties!A$1:CB$87,'Fórmula'!F76,31)&lt;&gt;"",INDEX(properties!A$1:CB$87,'Fórmula'!F76,31)),IF(INDEX(properties!A$1:CB$87,'Fórmula'!H76,31)&lt;&gt;"",INDEX(properties!A$1:CB$87,'Fórmula'!H76,31)),IF(INDEX(properties!A$1:CB$87,'Fórmula'!J76,31)&lt;&gt;"",INDEX(properties!A$1:CB$87,'Fórmula'!J76,31)))</f>
        <v>1.545936</v>
      </c>
      <c r="CW76" s="118">
        <f t="array" ref="CW76">MAX(INDEX(properties!A$1:CB$87,'Fórmula'!B76,31),INDEX(properties!A$1:CB$87,'Fórmula'!D76,31),INDEX(properties!A$1:CB$87,'Fórmula'!F76,31),INDEX(properties!A$1:CB$87,'Fórmula'!H76,31),INDEX(properties!A$1:CB$87,'Fórmula'!J76,31))</f>
        <v>3.32</v>
      </c>
      <c r="CX76" s="118">
        <f t="array" ref="CX76">MIN(IF(INDEX(properties!A$1:CB$87,'Fórmula'!B76,31)=0,10^6,INDEX(properties!A$1:CB$87,'Fórmula'!B76,31)),IF(INDEX(properties!A$1:CB$87,'Fórmula'!D76,31)=0,10^6,INDEX(properties!A$1:CB$87,'Fórmula'!D76,31)),IF(INDEX(properties!A$1:CB$87,'Fórmula'!F76,31)=0,10^6,INDEX(properties!A$1:CB$87,'Fórmula'!F76,31)),IF(INDEX(properties!A$1:CB$87,'Fórmula'!H76,31)=0,10^6,INDEX(properties!A$1:CB$87,'Fórmula'!H76,31)),IF(INDEX(properties!A$1:CB$87,'Fórmula'!J76,31)=0,10^6,INDEX(properties!A$1:CB$87,'Fórmula'!J76,31)))</f>
        <v>1.08</v>
      </c>
      <c r="CY76" s="118">
        <f t="shared" si="17"/>
        <v>2.24</v>
      </c>
      <c r="CZ76" s="119">
        <f t="array" ref="CZ76">(('Fórmula'!C76)/('Fórmula'!C76+'Fórmula'!E76+'Fórmula'!G76+'Fórmula'!I76+'Fórmula'!K76))*(INDEX(properties!A$1:CB$87,'Fórmula'!B76,32))+(('Fórmula'!E76)/('Fórmula'!C76+'Fórmula'!E76+'Fórmula'!G76+'Fórmula'!I76+'Fórmula'!K76))*(INDEX(properties!A$1:CB$87,'Fórmula'!D76,32))+(('Fórmula'!G76)/('Fórmula'!C76+'Fórmula'!E76+'Fórmula'!G76+'Fórmula'!I76+'Fórmula'!K76))*(INDEX(properties!A$1:CB$87,'Fórmula'!F76,32))+(('Fórmula'!I76)/('Fórmula'!C76+'Fórmula'!E76+'Fórmula'!G76+'Fórmula'!I76+'Fórmula'!K76))*(INDEX(properties!A$1:CB$87,'Fórmula'!H76,32))+(('Fórmula'!K76)/('Fórmula'!C76+'Fórmula'!E76+'Fórmula'!G76+'Fórmula'!I76+'Fórmula'!K76))*(INDEX(properties!A$1:CB$87,'Fórmula'!J76,32))</f>
        <v>6.16</v>
      </c>
      <c r="DA76" s="119">
        <f t="array" ref="DA76">'Fórmula'!C76*(INDEX(properties!A$1:CB$87,'Fórmula'!B76,32))+'Fórmula'!E76*(INDEX(properties!A$1:CB$87,'Fórmula'!D76,32))+'Fórmula'!G76*(INDEX(properties!A$1:CB$87,'Fórmula'!F76,32))+'Fórmula'!I76*(INDEX(properties!A$1:CB$87,'Fórmula'!H76,32))+'Fórmula'!K76*(INDEX(properties!A$1:CB$87,'Fórmula'!J76,32))</f>
        <v>36.96</v>
      </c>
      <c r="DB76" s="119">
        <f t="array" ref="DB76">VARP(IF(INDEX(properties!A$1:CB$87,'Fórmula'!B76,32)&lt;&gt;"",INDEX(properties!A$1:CB$87,'Fórmula'!B76,32)),IF(INDEX(properties!A$1:CB$87,'Fórmula'!D76,32)&lt;&gt;"",INDEX(properties!A$1:CB$87,'Fórmula'!D76,32)),IF(INDEX(properties!A$1:CB$87,'Fórmula'!F76,32)&lt;&gt;"",INDEX(properties!A$1:CB$87,'Fórmula'!F76,32)),IF(INDEX(properties!A$1:CB$87,'Fórmula'!H76,32)&lt;&gt;"",INDEX(properties!A$1:CB$87,'Fórmula'!H76,32)),IF(INDEX(properties!A$1:CB$87,'Fórmula'!J76,32)&lt;&gt;"",INDEX(properties!A$1:CB$87,'Fórmula'!J76,32)))</f>
        <v>8.168896</v>
      </c>
      <c r="DC76" s="119">
        <f t="array" ref="DC76">MAX(INDEX(properties!A$1:CB$87,'Fórmula'!B76,32),INDEX(properties!A$1:CB$87,'Fórmula'!D76,32),INDEX(properties!A$1:CB$87,'Fórmula'!F76,32),INDEX(properties!A$1:CB$87,'Fórmula'!H76,32),INDEX(properties!A$1:CB$87,'Fórmula'!J76,32))</f>
        <v>7.54</v>
      </c>
      <c r="DD76" s="119">
        <f t="array" ref="DD76">MIN(IF(INDEX(properties!A$1:CB$87,'Fórmula'!B76,32)=0,10^6,INDEX(properties!A$1:CB$87,'Fórmula'!B76,32)),IF(INDEX(properties!A$1:CB$87,'Fórmula'!D76,32)=0,10^6,INDEX(properties!A$1:CB$87,'Fórmula'!D76,32)),IF(INDEX(properties!A$1:CB$87,'Fórmula'!F76,32)=0,10^6,INDEX(properties!A$1:CB$87,'Fórmula'!F76,32)),IF(INDEX(properties!A$1:CB$87,'Fórmula'!H76,32)=0,10^6,INDEX(properties!A$1:CB$87,'Fórmula'!H76,32)),IF(INDEX(properties!A$1:CB$87,'Fórmula'!J76,32)=0,10^6,INDEX(properties!A$1:CB$87,'Fórmula'!J76,32)))</f>
        <v>2.4</v>
      </c>
      <c r="DE76" s="119">
        <f t="shared" si="18"/>
        <v>5.14</v>
      </c>
      <c r="DF76" s="104">
        <f t="array" ref="DF76">(('Fórmula'!C76)/('Fórmula'!C76+'Fórmula'!E76+'Fórmula'!G76+'Fórmula'!I76+'Fórmula'!K76))*(INDEX(properties!A$1:CB$87,'Fórmula'!B76,34))+(('Fórmula'!E76)/('Fórmula'!C76+'Fórmula'!E76+'Fórmula'!G76+'Fórmula'!I76+'Fórmula'!K76))*(INDEX(properties!A$1:CB$87,'Fórmula'!D76,34))+(('Fórmula'!G76)/('Fórmula'!C76+'Fórmula'!E76+'Fórmula'!G76+'Fórmula'!I76+'Fórmula'!K76))*(INDEX(properties!A$1:CB$87,'Fórmula'!F76,34))+(('Fórmula'!I76)/('Fórmula'!C76+'Fórmula'!E76+'Fórmula'!G76+'Fórmula'!I76+'Fórmula'!K76))*(INDEX(properties!A$1:CB$87,'Fórmula'!H76,34))+(('Fórmula'!K76)/('Fórmula'!C76+'Fórmula'!E76+'Fórmula'!G76+'Fórmula'!I76+'Fórmula'!K76))*(INDEX(properties!A$1:CB$87,'Fórmula'!J76,34))</f>
        <v>2.7985</v>
      </c>
      <c r="DG76" s="104">
        <f t="array" ref="DG76">'Fórmula'!C76*(INDEX(properties!A$1:CB$87,'Fórmula'!B76,34))+'Fórmula'!E76*(INDEX(properties!A$1:CB$87,'Fórmula'!D76,34))+'Fórmula'!G76*(INDEX(properties!A$1:CB$87,'Fórmula'!F76,34))+'Fórmula'!I76*(INDEX(properties!A$1:CB$87,'Fórmula'!H76,34))+'Fórmula'!K76*(INDEX(properties!A$1:CB$87,'Fórmula'!J76,34))</f>
        <v>16.791</v>
      </c>
      <c r="DH76" s="104">
        <f t="array" ref="DH76">VARP(IF(INDEX(properties!A$1:CB$87,'Fórmula'!B76,34)&lt;&gt;"",INDEX(properties!A$1:CB$87,'Fórmula'!B76,34)),IF(INDEX(properties!A$1:CB$87,'Fórmula'!D76,34)&lt;&gt;"",INDEX(properties!A$1:CB$87,'Fórmula'!D76,34)),IF(INDEX(properties!A$1:CB$87,'Fórmula'!F76,34)&lt;&gt;"",INDEX(properties!A$1:CB$87,'Fórmula'!F76,34)),IF(INDEX(properties!A$1:CB$87,'Fórmula'!H76,34)&lt;&gt;"",INDEX(properties!A$1:CB$87,'Fórmula'!H76,34)),IF(INDEX(properties!A$1:CB$87,'Fórmula'!J76,34)&lt;&gt;"",INDEX(properties!A$1:CB$87,'Fórmula'!J76,34)))</f>
        <v>1.77249136</v>
      </c>
      <c r="DI76" s="104">
        <f t="array" ref="DI76">MAX(INDEX(properties!A$1:CB$87,'Fórmula'!B76,34),INDEX(properties!A$1:CB$87,'Fórmula'!D76,34),INDEX(properties!A$1:CB$87,'Fórmula'!F76,34),INDEX(properties!A$1:CB$87,'Fórmula'!H76,34),INDEX(properties!A$1:CB$87,'Fórmula'!J76,34))</f>
        <v>3.61</v>
      </c>
      <c r="DJ76" s="104">
        <f t="array" ref="DJ76">MIN(IF(INDEX(properties!A$1:CB$87,'Fórmula'!B76,34)=0,10^6,INDEX(properties!A$1:CB$87,'Fórmula'!B76,34)),IF(INDEX(properties!A$1:CB$87,'Fórmula'!D76,34)=0,10^6,INDEX(properties!A$1:CB$87,'Fórmula'!D76,34)),IF(INDEX(properties!A$1:CB$87,'Fórmula'!F76,34)=0,10^6,INDEX(properties!A$1:CB$87,'Fórmula'!F76,34)),IF(INDEX(properties!A$1:CB$87,'Fórmula'!H76,34)=0,10^6,INDEX(properties!A$1:CB$87,'Fórmula'!H76,34)),IF(INDEX(properties!A$1:CB$87,'Fórmula'!J76,34)=0,10^6,INDEX(properties!A$1:CB$87,'Fórmula'!J76,34)))</f>
        <v>0.881</v>
      </c>
      <c r="DK76" s="104">
        <f t="shared" si="19"/>
        <v>2.729</v>
      </c>
      <c r="DL76" s="105" t="str">
        <f t="array" ref="DL76">(('Fórmula'!C76)/('Fórmula'!C76+'Fórmula'!E76+'Fórmula'!G76+'Fórmula'!I76+'Fórmula'!K76))*(INDEX(properties!A$1:CB$87,'Fórmula'!B76,37))+(('Fórmula'!E76)/('Fórmula'!C76+'Fórmula'!E76+'Fórmula'!G76+'Fórmula'!I76+'Fórmula'!K76))*(INDEX(properties!A$1:CB$87,'Fórmula'!D76,37))+(('Fórmula'!G76)/('Fórmula'!C76+'Fórmula'!E76+'Fórmula'!G76+'Fórmula'!I76+'Fórmula'!K76))*(INDEX(properties!A$1:CB$87,'Fórmula'!F76,37))+(('Fórmula'!I76)/('Fórmula'!C76+'Fórmula'!E76+'Fórmula'!G76+'Fórmula'!I76+'Fórmula'!K76))*(INDEX(properties!A$1:CB$87,'Fórmula'!H76,37))+(('Fórmula'!K76)/('Fórmula'!C76+'Fórmula'!E76+'Fórmula'!G76+'Fórmula'!I76+'Fórmula'!K76))*(INDEX(properties!A$1:CB$87,'Fórmula'!J76,37))</f>
        <v>#VALUE!</v>
      </c>
      <c r="DM76" s="105" t="str">
        <f t="array" ref="DM76">'Fórmula'!C76*(INDEX(properties!A$1:CB$87,'Fórmula'!B76,37))+'Fórmula'!E76*(INDEX(properties!A$1:CB$87,'Fórmula'!D76,37))+'Fórmula'!G76*(INDEX(properties!A$1:CB$87,'Fórmula'!F76,37))+'Fórmula'!I76*(INDEX(properties!A$1:CB$87,'Fórmula'!H76,37))+'Fórmula'!K76*(INDEX(properties!A$1:CB$87,'Fórmula'!J76,37))</f>
        <v>#VALUE!</v>
      </c>
      <c r="DN76" s="105">
        <f t="array" ref="DN76">VARP(IF(INDEX(properties!A$1:CB$87,'Fórmula'!B76,37)&lt;&gt;"",INDEX(properties!A$1:CB$87,'Fórmula'!B76,37)),IF(INDEX(properties!A$1:CB$87,'Fórmula'!D76,37)&lt;&gt;"",INDEX(properties!A$1:CB$87,'Fórmula'!D76,37)),IF(INDEX(properties!A$1:CB$87,'Fórmula'!F76,37)&lt;&gt;"",INDEX(properties!A$1:CB$87,'Fórmula'!F76,37)),IF(INDEX(properties!A$1:CB$87,'Fórmula'!H76,37)&lt;&gt;"",INDEX(properties!A$1:CB$87,'Fórmula'!H76,37)),IF(INDEX(properties!A$1:CB$87,'Fórmula'!J76,37)&lt;&gt;"",INDEX(properties!A$1:CB$87,'Fórmula'!J76,37)))</f>
        <v>1.99546875</v>
      </c>
      <c r="DO76" s="105">
        <f t="array" ref="DO76">MAX(INDEX(properties!A$1:CB$87,'Fórmula'!B76,37),INDEX(properties!A$1:CB$87,'Fórmula'!D76,37),INDEX(properties!A$1:CB$87,'Fórmula'!F76,37),INDEX(properties!A$1:CB$87,'Fórmula'!H76,37),INDEX(properties!A$1:CB$87,'Fórmula'!J76,37))</f>
        <v>3.45</v>
      </c>
      <c r="DP76" s="105">
        <f t="array" ref="DP76">MIN(IF(INDEX(properties!A$1:CB$87,'Fórmula'!B76,37)=0,10^6,INDEX(properties!A$1:CB$87,'Fórmula'!B76,37)),IF(INDEX(properties!A$1:CB$87,'Fórmula'!D76,37)=0,10^6,INDEX(properties!A$1:CB$87,'Fórmula'!D76,37)),IF(INDEX(properties!A$1:CB$87,'Fórmula'!F76,37)=0,10^6,INDEX(properties!A$1:CB$87,'Fórmula'!F76,37)),IF(INDEX(properties!A$1:CB$87,'Fórmula'!H76,37)=0,10^6,INDEX(properties!A$1:CB$87,'Fórmula'!H76,37)),IF(INDEX(properties!A$1:CB$87,'Fórmula'!J76,37)=0,10^6,INDEX(properties!A$1:CB$87,'Fórmula'!J76,37)))</f>
        <v>0.9</v>
      </c>
      <c r="DQ76" s="105">
        <f t="shared" si="20"/>
        <v>2.55</v>
      </c>
      <c r="DR76" s="109">
        <f t="array" ref="DR76">(('Fórmula'!C76)/('Fórmula'!C76+'Fórmula'!E76+'Fórmula'!G76+'Fórmula'!I76+'Fórmula'!K76))*(INDEX(properties!A$1:CB$87,'Fórmula'!B76,39))+(('Fórmula'!E76)/('Fórmula'!C76+'Fórmula'!E76+'Fórmula'!G76+'Fórmula'!I76+'Fórmula'!K76))*(INDEX(properties!A$1:CB$87,'Fórmula'!D76,39))+(('Fórmula'!G76)/('Fórmula'!C76+'Fórmula'!E76+'Fórmula'!G76+'Fórmula'!I76+'Fórmula'!K76))*(INDEX(properties!A$1:CB$87,'Fórmula'!F76,39))+(('Fórmula'!I76)/('Fórmula'!C76+'Fórmula'!E76+'Fórmula'!G76+'Fórmula'!I76+'Fórmula'!K76))*(INDEX(properties!A$1:CB$87,'Fórmula'!H76,39))+(('Fórmula'!K76)/('Fórmula'!C76+'Fórmula'!E76+'Fórmula'!G76+'Fórmula'!I76+'Fórmula'!K76))*(INDEX(properties!A$1:CB$87,'Fórmula'!J76,39))</f>
        <v>1.063333333</v>
      </c>
      <c r="DS76" s="109">
        <f t="array" ref="DS76">'Fórmula'!C76*(INDEX(properties!A$1:CB$87,'Fórmula'!B76,39))+'Fórmula'!E76*(INDEX(properties!A$1:CB$87,'Fórmula'!D76,39))+'Fórmula'!G76*(INDEX(properties!A$1:CB$87,'Fórmula'!F76,39))+'Fórmula'!I76*(INDEX(properties!A$1:CB$87,'Fórmula'!H76,39))+'Fórmula'!K76*(INDEX(properties!A$1:CB$87,'Fórmula'!J76,39))</f>
        <v>6.38</v>
      </c>
      <c r="DT76" s="109">
        <f t="array" ref="DT76">VARP(IF(INDEX(properties!A$1:CB$87,'Fórmula'!B76,39)&lt;&gt;"",INDEX(properties!A$1:CB$87,'Fórmula'!B76,39)),IF(INDEX(properties!A$1:CB$87,'Fórmula'!D76,39)&lt;&gt;"",INDEX(properties!A$1:CB$87,'Fórmula'!D76,39)),IF(INDEX(properties!A$1:CB$87,'Fórmula'!F76,39)&lt;&gt;"",INDEX(properties!A$1:CB$87,'Fórmula'!F76,39)),IF(INDEX(properties!A$1:CB$87,'Fórmula'!H76,39)&lt;&gt;"",INDEX(properties!A$1:CB$87,'Fórmula'!H76,39)),IF(INDEX(properties!A$1:CB$87,'Fórmula'!J76,39)&lt;&gt;"",INDEX(properties!A$1:CB$87,'Fórmula'!J76,39)))</f>
        <v>1.095096</v>
      </c>
      <c r="DU76" s="120">
        <f t="array" ref="DU76">MAX(INDEX(properties!A$1:CB$87,'Fórmula'!B76,39),INDEX(properties!A$1:CB$87,'Fórmula'!D76,39),INDEX(properties!A$1:CB$87,'Fórmula'!F76,39),INDEX(properties!A$1:CB$87,'Fórmula'!H76,39),INDEX(properties!A$1:CB$87,'Fórmula'!J76,39))</f>
        <v>2.53</v>
      </c>
      <c r="DV76" s="120">
        <f t="array" ref="DV76">MIN(IF(INDEX(properties!A$1:CB$87,'Fórmula'!B76,39)=0,10^6,INDEX(properties!A$1:CB$87,'Fórmula'!B76,39)),IF(INDEX(properties!A$1:CB$87,'Fórmula'!D76,39)=0,10^6,INDEX(properties!A$1:CB$87,'Fórmula'!D76,39)),IF(INDEX(properties!A$1:CB$87,'Fórmula'!F76,39)=0,10^6,INDEX(properties!A$1:CB$87,'Fórmula'!F76,39)),IF(INDEX(properties!A$1:CB$87,'Fórmula'!H76,39)=0,10^6,INDEX(properties!A$1:CB$87,'Fórmula'!H76,39)),IF(INDEX(properties!A$1:CB$87,'Fórmula'!J76,39)=0,10^6,INDEX(properties!A$1:CB$87,'Fórmula'!J76,39)))</f>
        <v>0.48</v>
      </c>
      <c r="DW76" s="109">
        <f t="shared" si="21"/>
        <v>2.05</v>
      </c>
      <c r="DX76" s="110">
        <f t="array" ref="DX76">(('Fórmula'!C76)/('Fórmula'!C76+'Fórmula'!E76+'Fórmula'!G76+'Fórmula'!I76+'Fórmula'!K76))*(INDEX(properties!A$1:CB$87,'Fórmula'!B76,40))+(('Fórmula'!E76)/('Fórmula'!C76+'Fórmula'!E76+'Fórmula'!G76+'Fórmula'!I76+'Fórmula'!K76))*(INDEX(properties!A$1:CB$87,'Fórmula'!D76,40))+(('Fórmula'!G76)/('Fórmula'!C76+'Fórmula'!E76+'Fórmula'!G76+'Fórmula'!I76+'Fórmula'!K76))*(INDEX(properties!A$1:CB$87,'Fórmula'!F76,40))+(('Fórmula'!I76)/('Fórmula'!C76+'Fórmula'!E76+'Fórmula'!G76+'Fórmula'!I76+'Fórmula'!K76))*(INDEX(properties!A$1:CB$87,'Fórmula'!H76,40))+(('Fórmula'!K76)/('Fórmula'!C76+'Fórmula'!E76+'Fórmula'!G76+'Fórmula'!I76+'Fórmula'!K76))*(INDEX(properties!A$1:CB$87,'Fórmula'!J76,40))</f>
        <v>1.06</v>
      </c>
      <c r="DY76" s="110">
        <f t="array" ref="DY76">'Fórmula'!C76*(INDEX(properties!A$1:CB$87,'Fórmula'!B76,40))+'Fórmula'!E76*(INDEX(properties!A$1:CB$87,'Fórmula'!D76,40))+'Fórmula'!G76*(INDEX(properties!A$1:CB$87,'Fórmula'!F76,40))+'Fórmula'!I76*(INDEX(properties!A$1:CB$87,'Fórmula'!H76,40))+'Fórmula'!K76*(INDEX(properties!A$1:CB$87,'Fórmula'!J76,40))</f>
        <v>6.36</v>
      </c>
      <c r="DZ76" s="110">
        <f t="array" ref="DZ76">VARP(IF(INDEX(properties!A$1:CB$87,'Fórmula'!B76,40)&lt;&gt;"",INDEX(properties!A$1:CB$87,'Fórmula'!B76,40)),IF(INDEX(properties!A$1:CB$87,'Fórmula'!D76,40)&lt;&gt;"",INDEX(properties!A$1:CB$87,'Fórmula'!D76,40)),IF(INDEX(properties!A$1:CB$87,'Fórmula'!F76,40)&lt;&gt;"",INDEX(properties!A$1:CB$87,'Fórmula'!F76,40)),IF(INDEX(properties!A$1:CB$87,'Fórmula'!H76,40)&lt;&gt;"",INDEX(properties!A$1:CB$87,'Fórmula'!H76,40)),IF(INDEX(properties!A$1:CB$87,'Fórmula'!J76,40)&lt;&gt;"",INDEX(properties!A$1:CB$87,'Fórmula'!J76,40)))</f>
        <v>0.621424</v>
      </c>
      <c r="EA76" s="121">
        <f t="array" ref="EA76">MAX(INDEX(properties!A$1:CB$87,'Fórmula'!B76,40),INDEX(properties!A$1:CB$87,'Fórmula'!D76,40),INDEX(properties!A$1:CB$87,'Fórmula'!F76,40),INDEX(properties!A$1:CB$87,'Fórmula'!H76,40),INDEX(properties!A$1:CB$87,'Fórmula'!J76,40))</f>
        <v>1.98</v>
      </c>
      <c r="EB76" s="121">
        <f t="array" ref="EB76">MIN(IF(INDEX(properties!A$1:CB$87,'Fórmula'!B76,40)=0,10^6,INDEX(properties!A$1:CB$87,'Fórmula'!B76,40)),IF(INDEX(properties!A$1:CB$87,'Fórmula'!D76,40)=0,10^6,INDEX(properties!A$1:CB$87,'Fórmula'!D76,40)),IF(INDEX(properties!A$1:CB$87,'Fórmula'!F76,40)=0,10^6,INDEX(properties!A$1:CB$87,'Fórmula'!F76,40)),IF(INDEX(properties!A$1:CB$87,'Fórmula'!H76,40)=0,10^6,INDEX(properties!A$1:CB$87,'Fórmula'!H76,40)),IF(INDEX(properties!A$1:CB$87,'Fórmula'!J76,40)=0,10^6,INDEX(properties!A$1:CB$87,'Fórmula'!J76,40)))</f>
        <v>0.73</v>
      </c>
      <c r="EC76" s="110">
        <f t="shared" si="22"/>
        <v>1.25</v>
      </c>
      <c r="ED76" s="111">
        <f t="array" ref="ED76">(('Fórmula'!C76)/('Fórmula'!C76+'Fórmula'!E76+'Fórmula'!G76+'Fórmula'!I76+'Fórmula'!K76))*(INDEX(properties!A$1:CB$87,'Fórmula'!B76,41))+(('Fórmula'!E76)/('Fórmula'!C76+'Fórmula'!E76+'Fórmula'!G76+'Fórmula'!I76+'Fórmula'!K76))*(INDEX(properties!A$1:CB$87,'Fórmula'!D76,41))+(('Fórmula'!G76)/('Fórmula'!C76+'Fórmula'!E76+'Fórmula'!G76+'Fórmula'!I76+'Fórmula'!K76))*(INDEX(properties!A$1:CB$87,'Fórmula'!F76,41))+(('Fórmula'!I76)/('Fórmula'!C76+'Fórmula'!E76+'Fórmula'!G76+'Fórmula'!I76+'Fórmula'!K76))*(INDEX(properties!A$1:CB$87,'Fórmula'!H76,41))+(('Fórmula'!K76)/('Fórmula'!C76+'Fórmula'!E76+'Fórmula'!G76+'Fórmula'!I76+'Fórmula'!K76))*(INDEX(properties!A$1:CB$87,'Fórmula'!J76,41))</f>
        <v>1.221666667</v>
      </c>
      <c r="EE76" s="111">
        <f t="array" ref="EE76">'Fórmula'!C76*(INDEX(properties!A$1:CB$87,'Fórmula'!B76,41))+'Fórmula'!E76*(INDEX(properties!A$1:CB$87,'Fórmula'!D76,41))+'Fórmula'!G76*(INDEX(properties!A$1:CB$87,'Fórmula'!F76,41))+'Fórmula'!I76*(INDEX(properties!A$1:CB$87,'Fórmula'!H76,41))+'Fórmula'!K76*(INDEX(properties!A$1:CB$87,'Fórmula'!J76,41))</f>
        <v>7.33</v>
      </c>
      <c r="EF76" s="111">
        <f t="array" ref="EF76">VARP(IF(INDEX(properties!A$1:CB$87,'Fórmula'!B76,41)&lt;&gt;"",INDEX(properties!A$1:CB$87,'Fórmula'!B76,41)),IF(INDEX(properties!A$1:CB$87,'Fórmula'!D76,41)&lt;&gt;"",INDEX(properties!A$1:CB$87,'Fórmula'!D76,41)),IF(INDEX(properties!A$1:CB$87,'Fórmula'!F76,41)&lt;&gt;"",INDEX(properties!A$1:CB$87,'Fórmula'!F76,41)),IF(INDEX(properties!A$1:CB$87,'Fórmula'!H76,41)&lt;&gt;"",INDEX(properties!A$1:CB$87,'Fórmula'!H76,41)),IF(INDEX(properties!A$1:CB$87,'Fórmula'!J76,41)&lt;&gt;"",INDEX(properties!A$1:CB$87,'Fórmula'!J76,41)))</f>
        <v>0.38544</v>
      </c>
      <c r="EG76" s="122">
        <f t="array" ref="EG76">MAX(INDEX(properties!A$1:CB$87,'Fórmula'!B76,41),INDEX(properties!A$1:CB$87,'Fórmula'!D76,41),INDEX(properties!A$1:CB$87,'Fórmula'!F76,41),INDEX(properties!A$1:CB$87,'Fórmula'!H76,41),INDEX(properties!A$1:CB$87,'Fórmula'!J76,41))</f>
        <v>1.49</v>
      </c>
      <c r="EH76" s="122">
        <f t="array" ref="EH76">MIN(IF(INDEX(properties!A$1:CB$87,'Fórmula'!B76,41)=0,10^6,INDEX(properties!A$1:CB$87,'Fórmula'!B76,41)),IF(INDEX(properties!A$1:CB$87,'Fórmula'!D76,41)=0,10^6,INDEX(properties!A$1:CB$87,'Fórmula'!D76,41)),IF(INDEX(properties!A$1:CB$87,'Fórmula'!F76,41)=0,10^6,INDEX(properties!A$1:CB$87,'Fórmula'!F76,41)),IF(INDEX(properties!A$1:CB$87,'Fórmula'!H76,41)=0,10^6,INDEX(properties!A$1:CB$87,'Fórmula'!H76,41)),IF(INDEX(properties!A$1:CB$87,'Fórmula'!J76,41)=0,10^6,INDEX(properties!A$1:CB$87,'Fórmula'!J76,41)))</f>
        <v>0.8</v>
      </c>
      <c r="EI76" s="111">
        <f t="shared" si="23"/>
        <v>0.69</v>
      </c>
      <c r="EJ76" s="112">
        <f t="array" ref="EJ76">(('Fórmula'!C76)/('Fórmula'!C76+'Fórmula'!E76+'Fórmula'!G76+'Fórmula'!I76+'Fórmula'!K76))*(INDEX(properties!A$1:CB$87,'Fórmula'!B76,45))+(('Fórmula'!E76)/('Fórmula'!C76+'Fórmula'!E76+'Fórmula'!G76+'Fórmula'!I76+'Fórmula'!K76))*(INDEX(properties!A$1:CB$87,'Fórmula'!D76,45))+(('Fórmula'!G76)/('Fórmula'!C76+'Fórmula'!E76+'Fórmula'!G76+'Fórmula'!I76+'Fórmula'!K76))*(INDEX(properties!A$1:CB$87,'Fórmula'!F76,45))+(('Fórmula'!I76)/('Fórmula'!C76+'Fórmula'!E76+'Fórmula'!G76+'Fórmula'!I76+'Fórmula'!K76))*(INDEX(properties!A$1:CB$87,'Fórmula'!H76,45))+(('Fórmula'!K76)/('Fórmula'!C76+'Fórmula'!E76+'Fórmula'!G76+'Fórmula'!I76+'Fórmula'!K76))*(INDEX(properties!A$1:CB$87,'Fórmula'!J76,45))</f>
        <v>1.336666667</v>
      </c>
      <c r="EK76" s="112">
        <f t="array" ref="EK76">'Fórmula'!C76*(INDEX(properties!A$1:CB$87,'Fórmula'!B76,45))+'Fórmula'!E76*(INDEX(properties!A$1:CB$87,'Fórmula'!D76,45))+'Fórmula'!G76*(INDEX(properties!A$1:CB$87,'Fórmula'!F76,45))+'Fórmula'!I76*(INDEX(properties!A$1:CB$87,'Fórmula'!H76,45))+'Fórmula'!K76*(INDEX(properties!A$1:CB$87,'Fórmula'!J76,45))</f>
        <v>8.02</v>
      </c>
      <c r="EL76" s="112">
        <f t="array" ref="EL76">VARP(IF(INDEX(properties!A$1:CB$87,'Fórmula'!B76,45)&lt;&gt;"",INDEX(properties!A$1:CB$87,'Fórmula'!B76,45)),IF(INDEX(properties!A$1:CB$87,'Fórmula'!D76,45)&lt;&gt;"",INDEX(properties!A$1:CB$87,'Fórmula'!D76,45)),IF(INDEX(properties!A$1:CB$87,'Fórmula'!F76,45)&lt;&gt;"",INDEX(properties!A$1:CB$87,'Fórmula'!F76,45)),IF(INDEX(properties!A$1:CB$87,'Fórmula'!H76,45)&lt;&gt;"",INDEX(properties!A$1:CB$87,'Fórmula'!H76,45)),IF(INDEX(properties!A$1:CB$87,'Fórmula'!J76,45)&lt;&gt;"",INDEX(properties!A$1:CB$87,'Fórmula'!J76,45)))</f>
        <v>2.110016</v>
      </c>
      <c r="EM76" s="123">
        <f t="array" ref="EM76">MAX(INDEX(properties!A$1:CB$87,'Fórmula'!B76,45),INDEX(properties!A$1:CB$87,'Fórmula'!D76,45),INDEX(properties!A$1:CB$87,'Fórmula'!F76,45),INDEX(properties!A$1:CB$87,'Fórmula'!H76,45),INDEX(properties!A$1:CB$87,'Fórmula'!J76,45))</f>
        <v>3.4</v>
      </c>
      <c r="EN76" s="123">
        <f t="array" ref="EN76">MIN(IF(INDEX(properties!A$1:CB$87,'Fórmula'!B76,45)=0,10^6,INDEX(properties!A$1:CB$87,'Fórmula'!B76,45)),IF(INDEX(properties!A$1:CB$87,'Fórmula'!D76,45)=0,10^6,INDEX(properties!A$1:CB$87,'Fórmula'!D76,45)),IF(INDEX(properties!A$1:CB$87,'Fórmula'!F76,45)=0,10^6,INDEX(properties!A$1:CB$87,'Fórmula'!F76,45)),IF(INDEX(properties!A$1:CB$87,'Fórmula'!H76,45)=0,10^6,INDEX(properties!A$1:CB$87,'Fórmula'!H76,45)),IF(INDEX(properties!A$1:CB$87,'Fórmula'!J76,45)=0,10^6,INDEX(properties!A$1:CB$87,'Fórmula'!J76,45)))</f>
        <v>0.47</v>
      </c>
      <c r="EO76" s="112">
        <f t="shared" si="24"/>
        <v>2.93</v>
      </c>
      <c r="EP76" s="113">
        <f t="array" ref="EP76">(('Fórmula'!C76)/('Fórmula'!C76+'Fórmula'!E76+'Fórmula'!G76+'Fórmula'!I76+'Fórmula'!K76))*(INDEX(properties!A$1:CB$87,'Fórmula'!B76,46))+(('Fórmula'!E76)/('Fórmula'!C76+'Fórmula'!E76+'Fórmula'!G76+'Fórmula'!I76+'Fórmula'!K76))*(INDEX(properties!A$1:CB$87,'Fórmula'!D76,46))+(('Fórmula'!G76)/('Fórmula'!C76+'Fórmula'!E76+'Fórmula'!G76+'Fórmula'!I76+'Fórmula'!K76))*(INDEX(properties!A$1:CB$87,'Fórmula'!F76,46))+(('Fórmula'!I76)/('Fórmula'!C76+'Fórmula'!E76+'Fórmula'!G76+'Fórmula'!I76+'Fórmula'!K76))*(INDEX(properties!A$1:CB$87,'Fórmula'!H76,46))+(('Fórmula'!K76)/('Fórmula'!C76+'Fórmula'!E76+'Fórmula'!G76+'Fórmula'!I76+'Fórmula'!K76))*(INDEX(properties!A$1:CB$87,'Fórmula'!J76,46))</f>
        <v>1.178333333</v>
      </c>
      <c r="EQ76" s="113">
        <f t="array" ref="EQ76">'Fórmula'!C76*(INDEX(properties!A$1:CB$87,'Fórmula'!B76,46))+'Fórmula'!E76*(INDEX(properties!A$1:CB$87,'Fórmula'!D76,46))+'Fórmula'!G76*(INDEX(properties!A$1:CB$87,'Fórmula'!F76,46))+'Fórmula'!I76*(INDEX(properties!A$1:CB$87,'Fórmula'!H76,46))+'Fórmula'!K76*(INDEX(properties!A$1:CB$87,'Fórmula'!J76,46))</f>
        <v>7.07</v>
      </c>
      <c r="ER76" s="113">
        <f t="array" ref="ER76">VARP(IF(INDEX(properties!A$1:CB$87,'Fórmula'!B76,46)&lt;&gt;"",INDEX(properties!A$1:CB$87,'Fórmula'!B76,46)),IF(INDEX(properties!A$1:CB$87,'Fórmula'!D76,46)&lt;&gt;"",INDEX(properties!A$1:CB$87,'Fórmula'!D76,46)),IF(INDEX(properties!A$1:CB$87,'Fórmula'!F76,46)&lt;&gt;"",INDEX(properties!A$1:CB$87,'Fórmula'!F76,46)),IF(INDEX(properties!A$1:CB$87,'Fórmula'!H76,46)&lt;&gt;"",INDEX(properties!A$1:CB$87,'Fórmula'!H76,46)),IF(INDEX(properties!A$1:CB$87,'Fórmula'!J76,46)&lt;&gt;"",INDEX(properties!A$1:CB$87,'Fórmula'!J76,46)))</f>
        <v>0.373016</v>
      </c>
      <c r="ES76" s="124">
        <f t="array" ref="ES76">MAX(INDEX(properties!A$1:CB$87,'Fórmula'!B76,46),INDEX(properties!A$1:CB$87,'Fórmula'!D76,46),INDEX(properties!A$1:CB$87,'Fórmula'!F76,46),INDEX(properties!A$1:CB$87,'Fórmula'!H76,46),INDEX(properties!A$1:CB$87,'Fórmula'!J76,46))</f>
        <v>1.49</v>
      </c>
      <c r="ET76" s="124">
        <f t="array" ref="ET76">MIN(IF(INDEX(properties!A$1:CB$87,'Fórmula'!B76,46)=0,10^6,INDEX(properties!A$1:CB$87,'Fórmula'!B76,46)),IF(INDEX(properties!A$1:CB$87,'Fórmula'!D76,46)=0,10^6,INDEX(properties!A$1:CB$87,'Fórmula'!D76,46)),IF(INDEX(properties!A$1:CB$87,'Fórmula'!F76,46)=0,10^6,INDEX(properties!A$1:CB$87,'Fórmula'!F76,46)),IF(INDEX(properties!A$1:CB$87,'Fórmula'!H76,46)=0,10^6,INDEX(properties!A$1:CB$87,'Fórmula'!H76,46)),IF(INDEX(properties!A$1:CB$87,'Fórmula'!J76,46)=0,10^6,INDEX(properties!A$1:CB$87,'Fórmula'!J76,46)))</f>
        <v>0.74</v>
      </c>
      <c r="EU76" s="113">
        <f t="shared" si="25"/>
        <v>0.75</v>
      </c>
      <c r="EV76" s="114">
        <f t="array" ref="EV76">(('Fórmula'!C76)/('Fórmula'!C76+'Fórmula'!E76+'Fórmula'!G76+'Fórmula'!I76+'Fórmula'!K76))*(INDEX(properties!A$1:CB$87,'Fórmula'!B76,52))+(('Fórmula'!E76)/('Fórmula'!C76+'Fórmula'!E76+'Fórmula'!G76+'Fórmula'!I76+'Fórmula'!K76))*(INDEX(properties!A$1:CB$87,'Fórmula'!D76,52))+(('Fórmula'!G76)/('Fórmula'!C76+'Fórmula'!E76+'Fórmula'!G76+'Fórmula'!I76+'Fórmula'!K76))*(INDEX(properties!A$1:CB$87,'Fórmula'!F76,52))+(('Fórmula'!I76)/('Fórmula'!C76+'Fórmula'!E76+'Fórmula'!G76+'Fórmula'!I76+'Fórmula'!K76))*(INDEX(properties!A$1:CB$87,'Fórmula'!H76,52))+(('Fórmula'!K76)/('Fórmula'!C76+'Fórmula'!E76+'Fórmula'!G76+'Fórmula'!I76+'Fórmula'!K76))*(INDEX(properties!A$1:CB$87,'Fórmula'!J76,52))</f>
        <v>8.995333333</v>
      </c>
      <c r="EW76" s="114">
        <f t="array" ref="EW76">'Fórmula'!C76*(INDEX(properties!A$1:CB$87,'Fórmula'!B76,52))+'Fórmula'!E76*(INDEX(properties!A$1:CB$87,'Fórmula'!D76,52))+'Fórmula'!G76*(INDEX(properties!A$1:CB$87,'Fórmula'!F76,52))+'Fórmula'!I76*(INDEX(properties!A$1:CB$87,'Fórmula'!H76,52))+'Fórmula'!K76*(INDEX(properties!A$1:CB$87,'Fórmula'!J76,52))</f>
        <v>53.972</v>
      </c>
      <c r="EX76" s="114">
        <f t="array" ref="EX76">VARP(IF(INDEX(properties!A$1:CB$87,'Fórmula'!B76,52)&lt;&gt;"",INDEX(properties!A$1:CB$87,'Fórmula'!B76,52)),IF(INDEX(properties!A$1:CB$87,'Fórmula'!D76,52)&lt;&gt;"",INDEX(properties!A$1:CB$87,'Fórmula'!D76,52)),IF(INDEX(properties!A$1:CB$87,'Fórmula'!F76,52)&lt;&gt;"",INDEX(properties!A$1:CB$87,'Fórmula'!F76,52)),IF(INDEX(properties!A$1:CB$87,'Fórmula'!H76,52)&lt;&gt;"",INDEX(properties!A$1:CB$87,'Fórmula'!H76,52)),IF(INDEX(properties!A$1:CB$87,'Fórmula'!J76,52)&lt;&gt;"",INDEX(properties!A$1:CB$87,'Fórmula'!J76,52)))</f>
        <v>233.5122638</v>
      </c>
      <c r="EY76" s="114">
        <f t="array" ref="EY76">MAX(INDEX(properties!A$1:CB$87,'Fórmula'!B76,52),INDEX(properties!A$1:CB$87,'Fórmula'!D76,52),INDEX(properties!A$1:CB$87,'Fórmula'!F76,52),INDEX(properties!A$1:CB$87,'Fórmula'!H76,52),INDEX(properties!A$1:CB$87,'Fórmula'!J76,52))</f>
        <v>39.7</v>
      </c>
      <c r="EZ76" s="114">
        <f t="array" ref="EZ76">MIN(IF(INDEX(properties!A$1:CB$87,'Fórmula'!B76,52)=0,10^6,INDEX(properties!A$1:CB$87,'Fórmula'!B76,52)),IF(INDEX(properties!A$1:CB$87,'Fórmula'!D76,52)=0,10^6,INDEX(properties!A$1:CB$87,'Fórmula'!D76,52)),IF(INDEX(properties!A$1:CB$87,'Fórmula'!F76,52)=0,10^6,INDEX(properties!A$1:CB$87,'Fórmula'!F76,52)),IF(INDEX(properties!A$1:CB$87,'Fórmula'!H76,52)=0,10^6,INDEX(properties!A$1:CB$87,'Fórmula'!H76,52)),IF(INDEX(properties!A$1:CB$87,'Fórmula'!J76,52)=0,10^6,INDEX(properties!A$1:CB$87,'Fórmula'!J76,52)))</f>
        <v>0.793</v>
      </c>
      <c r="FA76" s="114">
        <f t="shared" si="26"/>
        <v>38.907</v>
      </c>
      <c r="FB76" s="115">
        <f t="array" ref="FB76">(('Fórmula'!C76)/('Fórmula'!C76+'Fórmula'!E76+'Fórmula'!G76+'Fórmula'!I76+'Fórmula'!K76))*(INDEX(properties!A$1:CB$87,'Fórmula'!B76,53))+(('Fórmula'!E76)/('Fórmula'!C76+'Fórmula'!E76+'Fórmula'!G76+'Fórmula'!I76+'Fórmula'!K76))*(INDEX(properties!A$1:CB$87,'Fórmula'!D76,53))+(('Fórmula'!G76)/('Fórmula'!C76+'Fórmula'!E76+'Fórmula'!G76+'Fórmula'!I76+'Fórmula'!K76))*(INDEX(properties!A$1:CB$87,'Fórmula'!F76,53))+(('Fórmula'!I76)/('Fórmula'!C76+'Fórmula'!E76+'Fórmula'!G76+'Fórmula'!I76+'Fórmula'!K76))*(INDEX(properties!A$1:CB$87,'Fórmula'!H76,53))+(('Fórmula'!K76)/('Fórmula'!C76+'Fórmula'!E76+'Fórmula'!G76+'Fórmula'!I76+'Fórmula'!K76))*(INDEX(properties!A$1:CB$87,'Fórmula'!J76,53))</f>
        <v>816.7166667</v>
      </c>
      <c r="FC76" s="115">
        <f t="array" ref="FC76">'Fórmula'!C76*(INDEX(properties!A$1:CB$87,'Fórmula'!B76,53))+'Fórmula'!E76*(INDEX(properties!A$1:CB$87,'Fórmula'!D76,53))+'Fórmula'!G76*(INDEX(properties!A$1:CB$87,'Fórmula'!F76,53))+'Fórmula'!I76*(INDEX(properties!A$1:CB$87,'Fórmula'!H76,53))+'Fórmula'!K76*(INDEX(properties!A$1:CB$87,'Fórmula'!J76,53))</f>
        <v>4900.3</v>
      </c>
      <c r="FD76" s="115">
        <f t="array" ref="FD76">VARP(IF(INDEX(properties!A$1:CB$87,'Fórmula'!B76,53)&lt;&gt;"",INDEX(properties!A$1:CB$87,'Fórmula'!B76,53)),IF(INDEX(properties!A$1:CB$87,'Fórmula'!D76,53)&lt;&gt;"",INDEX(properties!A$1:CB$87,'Fórmula'!D76,53)),IF(INDEX(properties!A$1:CB$87,'Fórmula'!F76,53)&lt;&gt;"",INDEX(properties!A$1:CB$87,'Fórmula'!F76,53)),IF(INDEX(properties!A$1:CB$87,'Fórmula'!H76,53)&lt;&gt;"",INDEX(properties!A$1:CB$87,'Fórmula'!H76,53)),IF(INDEX(properties!A$1:CB$87,'Fórmula'!J76,53)&lt;&gt;"",INDEX(properties!A$1:CB$87,'Fórmula'!J76,53)))</f>
        <v>2015772.197</v>
      </c>
      <c r="FE76" s="115">
        <f t="array" ref="FE76">MAX(INDEX(properties!A$1:CB$87,'Fórmula'!B76,53),INDEX(properties!A$1:CB$87,'Fórmula'!D76,53),INDEX(properties!A$1:CB$87,'Fórmula'!F76,53),INDEX(properties!A$1:CB$87,'Fórmula'!H76,53),INDEX(properties!A$1:CB$87,'Fórmula'!J76,53))</f>
        <v>3683.15</v>
      </c>
      <c r="FF76" s="115">
        <f t="array" ref="FF76">MIN(IF(INDEX(properties!A$1:CB$87,'Fórmula'!B76,53)=0,10^6,INDEX(properties!A$1:CB$87,'Fórmula'!B76,53)),IF(INDEX(properties!A$1:CB$87,'Fórmula'!D76,53)=0,10^6,INDEX(properties!A$1:CB$87,'Fórmula'!D76,53)),IF(INDEX(properties!A$1:CB$87,'Fórmula'!F76,53)=0,10^6,INDEX(properties!A$1:CB$87,'Fórmula'!F76,53)),IF(INDEX(properties!A$1:CB$87,'Fórmula'!H76,53)=0,10^6,INDEX(properties!A$1:CB$87,'Fórmula'!H76,53)),IF(INDEX(properties!A$1:CB$87,'Fórmula'!J76,53)=0,10^6,INDEX(properties!A$1:CB$87,'Fórmula'!J76,53)))</f>
        <v>54.75</v>
      </c>
      <c r="FG76" s="115">
        <f t="shared" si="27"/>
        <v>3628.4</v>
      </c>
      <c r="FH76" s="117">
        <f t="array" ref="FH76">(('Fórmula'!C76)/('Fórmula'!C76+'Fórmula'!E76+'Fórmula'!G76+'Fórmula'!I76+'Fórmula'!K76))*(INDEX(properties!A$1:CB$87,'Fórmula'!B76,54))+(('Fórmula'!E76)/('Fórmula'!C76+'Fórmula'!E76+'Fórmula'!G76+'Fórmula'!I76+'Fórmula'!K76))*(INDEX(properties!A$1:CB$87,'Fórmula'!D76,54))+(('Fórmula'!G76)/('Fórmula'!C76+'Fórmula'!E76+'Fórmula'!G76+'Fórmula'!I76+'Fórmula'!K76))*(INDEX(properties!A$1:CB$87,'Fórmula'!F76,54))+(('Fórmula'!I76)/('Fórmula'!C76+'Fórmula'!E76+'Fórmula'!G76+'Fórmula'!I76+'Fórmula'!K76))*(INDEX(properties!A$1:CB$87,'Fórmula'!H76,54))+(('Fórmula'!K76)/('Fórmula'!C76+'Fórmula'!E76+'Fórmula'!G76+'Fórmula'!I76+'Fórmula'!K76))*(INDEX(properties!A$1:CB$87,'Fórmula'!J76,54))</f>
        <v>1367.816667</v>
      </c>
      <c r="FI76" s="117">
        <f t="array" ref="FI76">'Fórmula'!C76*(INDEX(properties!A$1:CB$87,'Fórmula'!B76,54))+'Fórmula'!E76*(INDEX(properties!A$1:CB$87,'Fórmula'!D76,54))+'Fórmula'!G76*(INDEX(properties!A$1:CB$87,'Fórmula'!F76,54))+'Fórmula'!I76*(INDEX(properties!A$1:CB$87,'Fórmula'!H76,54))+'Fórmula'!K76*(INDEX(properties!A$1:CB$87,'Fórmula'!J76,54))</f>
        <v>8206.9</v>
      </c>
      <c r="FJ76" s="117">
        <f t="array" ref="FJ76">VARP(IF(INDEX(properties!A$1:CB$87,'Fórmula'!B76,54)&lt;&gt;"",INDEX(properties!A$1:CB$87,'Fórmula'!B76,54)),IF(INDEX(properties!A$1:CB$87,'Fórmula'!D76,54)&lt;&gt;"",INDEX(properties!A$1:CB$87,'Fórmula'!D76,54)),IF(INDEX(properties!A$1:CB$87,'Fórmula'!F76,54)&lt;&gt;"",INDEX(properties!A$1:CB$87,'Fórmula'!F76,54)),IF(INDEX(properties!A$1:CB$87,'Fórmula'!H76,54)&lt;&gt;"",INDEX(properties!A$1:CB$87,'Fórmula'!H76,54)),IF(INDEX(properties!A$1:CB$87,'Fórmula'!J76,54)&lt;&gt;"",INDEX(properties!A$1:CB$87,'Fórmula'!J76,54)))</f>
        <v>5254618.229</v>
      </c>
      <c r="FK76" s="117">
        <f t="array" ref="FK76">MAX(INDEX(properties!A$1:CB$87,'Fórmula'!B76,54),INDEX(properties!A$1:CB$87,'Fórmula'!D76,54),INDEX(properties!A$1:CB$87,'Fórmula'!F76,54),INDEX(properties!A$1:CB$87,'Fórmula'!H76,54),INDEX(properties!A$1:CB$87,'Fórmula'!J76,54))</f>
        <v>5933.15</v>
      </c>
      <c r="FL76" s="117">
        <f t="array" ref="FL76">MIN(IF(INDEX(properties!A$1:CB$87,'Fórmula'!B76,54)=0,10^6,INDEX(properties!A$1:CB$87,'Fórmula'!B76,54)),IF(INDEX(properties!A$1:CB$87,'Fórmula'!D76,54)=0,10^6,INDEX(properties!A$1:CB$87,'Fórmula'!D76,54)),IF(INDEX(properties!A$1:CB$87,'Fórmula'!F76,54)=0,10^6,INDEX(properties!A$1:CB$87,'Fórmula'!F76,54)),IF(INDEX(properties!A$1:CB$87,'Fórmula'!H76,54)=0,10^6,INDEX(properties!A$1:CB$87,'Fórmula'!H76,54)),IF(INDEX(properties!A$1:CB$87,'Fórmula'!J76,54)=0,10^6,INDEX(properties!A$1:CB$87,'Fórmula'!J76,54)))</f>
        <v>90.15</v>
      </c>
      <c r="FM76" s="117">
        <f t="shared" si="28"/>
        <v>5843</v>
      </c>
      <c r="FN76" s="118">
        <f t="array" ref="FN76">(('Fórmula'!C76)/('Fórmula'!C76+'Fórmula'!E76+'Fórmula'!G76+'Fórmula'!I76+'Fórmula'!K76))*(INDEX(properties!A$1:CB$87,'Fórmula'!B76,55))+(('Fórmula'!E76)/('Fórmula'!C76+'Fórmula'!E76+'Fórmula'!G76+'Fórmula'!I76+'Fórmula'!K76))*(INDEX(properties!A$1:CB$87,'Fórmula'!D76,55))+(('Fórmula'!G76)/('Fórmula'!C76+'Fórmula'!E76+'Fórmula'!G76+'Fórmula'!I76+'Fórmula'!K76))*(INDEX(properties!A$1:CB$87,'Fórmula'!F76,55))+(('Fórmula'!I76)/('Fórmula'!C76+'Fórmula'!E76+'Fórmula'!G76+'Fórmula'!I76+'Fórmula'!K76))*(INDEX(properties!A$1:CB$87,'Fórmula'!H76,55))+(('Fórmula'!K76)/('Fórmula'!C76+'Fórmula'!E76+'Fórmula'!G76+'Fórmula'!I76+'Fórmula'!K76))*(INDEX(properties!A$1:CB$87,'Fórmula'!J76,55))</f>
        <v>3.800953333</v>
      </c>
      <c r="FO76" s="118">
        <f t="array" ref="FO76">'Fórmula'!C76*(INDEX(properties!A$1:CB$87,'Fórmula'!B76,55))+'Fórmula'!E76*(INDEX(properties!A$1:CB$87,'Fórmula'!D76,54))+'Fórmula'!G76*(INDEX(properties!A$1:CB$87,'Fórmula'!F76,55))+'Fórmula'!I76*(INDEX(properties!A$1:CB$87,'Fórmula'!H76,55))+'Fórmula'!K76*(INDEX(properties!A$1:CB$87,'Fórmula'!J76,55))</f>
        <v>5936.65572</v>
      </c>
      <c r="FP76" s="118">
        <f t="array" ref="FP76">VARP(IF(INDEX(properties!A$1:CB$87,'Fórmula'!B76,55)&lt;&gt;"",INDEX(properties!A$1:CB$87,'Fórmula'!B76,55)),IF(INDEX(properties!A$1:CB$87,'Fórmula'!D76,55)&lt;&gt;"",INDEX(properties!A$1:CB$87,'Fórmula'!D76,55)),IF(INDEX(properties!A$1:CB$87,'Fórmula'!F76,55)&lt;&gt;"",INDEX(properties!A$1:CB$87,'Fórmula'!F76,55)),IF(INDEX(properties!A$1:CB$87,'Fórmula'!H76,55)&lt;&gt;"",INDEX(properties!A$1:CB$87,'Fórmula'!H76,55)),IF(INDEX(properties!A$1:CB$87,'Fórmula'!J76,55)&lt;&gt;"",INDEX(properties!A$1:CB$87,'Fórmula'!J76,55)))</f>
        <v>56.15179201</v>
      </c>
      <c r="FQ76" s="118">
        <f t="array" ref="FQ76">MAX(INDEX(properties!A$1:CB$87,'Fórmula'!B76,55),INDEX(properties!A$1:CB$87,'Fórmula'!D76,55),INDEX(properties!A$1:CB$87,'Fórmula'!F76,55),INDEX(properties!A$1:CB$87,'Fórmula'!H76,55),INDEX(properties!A$1:CB$87,'Fórmula'!J76,55))</f>
        <v>19.3</v>
      </c>
      <c r="FR76" s="118">
        <f t="array" ref="FR76">MIN(IF(INDEX(properties!A$1:CB$87,'Fórmula'!B76,55)=0,10^6,INDEX(properties!A$1:CB$87,'Fórmula'!B76,55)),IF(INDEX(properties!A$1:CB$87,'Fórmula'!D76,55)=0,10^6,INDEX(properties!A$1:CB$87,'Fórmula'!D76,55)),IF(INDEX(properties!A$1:CB$87,'Fórmula'!F76,55)=0,10^6,INDEX(properties!A$1:CB$87,'Fórmula'!F76,55)),IF(INDEX(properties!A$1:CB$87,'Fórmula'!H76,55)=0,10^6,INDEX(properties!A$1:CB$87,'Fórmula'!H76,55)),IF(INDEX(properties!A$1:CB$87,'Fórmula'!J76,55)=0,10^6,INDEX(properties!A$1:CB$87,'Fórmula'!J76,55)))</f>
        <v>0.00143</v>
      </c>
      <c r="FS76" s="118">
        <f t="shared" si="29"/>
        <v>19.29857</v>
      </c>
      <c r="FT76" s="119">
        <f t="array" ref="FT76">(('Fórmula'!C76)/('Fórmula'!C76+'Fórmula'!E76+'Fórmula'!G76+'Fórmula'!I76+'Fórmula'!K76))*(INDEX(properties!A$1:CB$87,'Fórmula'!B76,56))+(('Fórmula'!E76)/('Fórmula'!C76+'Fórmula'!E76+'Fórmula'!G76+'Fórmula'!I76+'Fórmula'!K76))*(INDEX(properties!A$1:CB$87,'Fórmula'!D76,56))+(('Fórmula'!G76)/('Fórmula'!C76+'Fórmula'!E76+'Fórmula'!G76+'Fórmula'!I76+'Fórmula'!K76))*(INDEX(properties!A$1:CB$87,'Fórmula'!F76,56))+(('Fórmula'!I76)/('Fórmula'!C76+'Fórmula'!E76+'Fórmula'!G76+'Fórmula'!I76+'Fórmula'!K76))*(INDEX(properties!A$1:CB$87,'Fórmula'!H76,56))+(('Fórmula'!K76)/('Fórmula'!C76+'Fórmula'!E76+'Fórmula'!G76+'Fórmula'!I76+'Fórmula'!K76))*(INDEX(properties!A$1:CB$87,'Fórmula'!J76,56))</f>
        <v>0.669</v>
      </c>
      <c r="FU76" s="119">
        <f t="array" ref="FU76">'Fórmula'!C76*(INDEX(properties!A$1:CB$87,'Fórmula'!B76,56))+'Fórmula'!E76*(INDEX(properties!A$1:CB$87,'Fórmula'!D76,56))+'Fórmula'!G76*(INDEX(properties!A$1:CB$87,'Fórmula'!F76,56))+'Fórmula'!I76*(INDEX(properties!A$1:CB$87,'Fórmula'!H76,56))+'Fórmula'!K76*(INDEX(properties!A$1:CB$87,'Fórmula'!J76,56))</f>
        <v>4.014</v>
      </c>
      <c r="FV76" s="119">
        <f t="array" ref="FV76">VARP(IF(INDEX(properties!A$1:CB$87,'Fórmula'!B76,56)&lt;&gt;"",INDEX(properties!A$1:CB$87,'Fórmula'!B76,56)),IF(INDEX(properties!A$1:CB$87,'Fórmula'!D76,56)&lt;&gt;"",INDEX(properties!A$1:CB$87,'Fórmula'!D76,56)),IF(INDEX(properties!A$1:CB$87,'Fórmula'!F76,56)&lt;&gt;"",INDEX(properties!A$1:CB$87,'Fórmula'!F76,56)),IF(INDEX(properties!A$1:CB$87,'Fórmula'!H76,56)&lt;&gt;"",INDEX(properties!A$1:CB$87,'Fórmula'!H76,56)),IF(INDEX(properties!A$1:CB$87,'Fórmula'!J76,56)&lt;&gt;"",INDEX(properties!A$1:CB$87,'Fórmula'!J76,56)))</f>
        <v>0.11808256</v>
      </c>
      <c r="FW76" s="119">
        <f t="array" ref="FW76">MAX(INDEX(properties!A$1:CB$87,'Fórmula'!B76,56),INDEX(properties!A$1:CB$87,'Fórmula'!D76,56),INDEX(properties!A$1:CB$87,'Fórmula'!F76,56),INDEX(properties!A$1:CB$87,'Fórmula'!H76,56),INDEX(properties!A$1:CB$87,'Fórmula'!J76,56))</f>
        <v>0.92</v>
      </c>
      <c r="FX76" s="119">
        <f t="array" ref="FX76">MIN(IF(INDEX(properties!A$1:CB$87,'Fórmula'!B76,56)=0,10^6,INDEX(properties!A$1:CB$87,'Fórmula'!B76,56)),IF(INDEX(properties!A$1:CB$87,'Fórmula'!D76,56)=0,10^6,INDEX(properties!A$1:CB$87,'Fórmula'!D76,56)),IF(INDEX(properties!A$1:CB$87,'Fórmula'!F76,56)=0,10^6,INDEX(properties!A$1:CB$87,'Fórmula'!F76,56)),IF(INDEX(properties!A$1:CB$87,'Fórmula'!H76,56)=0,10^6,INDEX(properties!A$1:CB$87,'Fórmula'!H76,56)),IF(INDEX(properties!A$1:CB$87,'Fórmula'!J76,56)=0,10^6,INDEX(properties!A$1:CB$87,'Fórmula'!J76,56)))</f>
        <v>0.13</v>
      </c>
      <c r="FY76" s="119">
        <f t="shared" si="30"/>
        <v>0.79</v>
      </c>
      <c r="FZ76" s="104">
        <f t="array" ref="FZ76">(('Fórmula'!C76)/('Fórmula'!C76+'Fórmula'!E76+'Fórmula'!G76+'Fórmula'!I76+'Fórmula'!K76))*(INDEX(properties!A$1:CB$87,'Fórmula'!B76,57))+(('Fórmula'!E76)/('Fórmula'!C76+'Fórmula'!E76+'Fórmula'!G76+'Fórmula'!I76+'Fórmula'!K76))*(INDEX(properties!A$1:CB$87,'Fórmula'!D76,57))+(('Fórmula'!G76)/('Fórmula'!C76+'Fórmula'!E76+'Fórmula'!G76+'Fórmula'!I76+'Fórmula'!K76))*(INDEX(properties!A$1:CB$87,'Fórmula'!F76,57))+(('Fórmula'!I76)/('Fórmula'!C76+'Fórmula'!E76+'Fórmula'!G76+'Fórmula'!I76+'Fórmula'!K76))*(INDEX(properties!A$1:CB$87,'Fórmula'!H76,57))+(('Fórmula'!K76)/('Fórmula'!C76+'Fórmula'!E76+'Fórmula'!G76+'Fórmula'!I76+'Fórmula'!K76))*(INDEX(properties!A$1:CB$87,'Fórmula'!J76,57))</f>
        <v>7.34006</v>
      </c>
      <c r="GA76" s="104">
        <f t="array" ref="GA76">'Fórmula'!C76*(INDEX(properties!A$1:CB$87,'Fórmula'!B76,57))+'Fórmula'!E76*(INDEX(properties!A$1:CB$87,'Fórmula'!D76,57))+'Fórmula'!G76*(INDEX(properties!A$1:CB$87,'Fórmula'!F76,57))+'Fórmula'!I76*(INDEX(properties!A$1:CB$87,'Fórmula'!H76,57))+'Fórmula'!K76*(INDEX(properties!A$1:CB$87,'Fórmula'!J76,57))</f>
        <v>44.04036</v>
      </c>
      <c r="GB76" s="104">
        <f t="array" ref="GB76">VARP(IF(INDEX(properties!A$1:CB$87,'Fórmula'!B76,57)&lt;&gt;"",INDEX(properties!A$1:CB$87,'Fórmula'!B76,57)),IF(INDEX(properties!A$1:CB$87,'Fórmula'!D76,57)&lt;&gt;"",INDEX(properties!A$1:CB$87,'Fórmula'!D76,57)),IF(INDEX(properties!A$1:CB$87,'Fórmula'!F76,57)&lt;&gt;"",INDEX(properties!A$1:CB$87,'Fórmula'!F76,57)),IF(INDEX(properties!A$1:CB$87,'Fórmula'!H76,57)&lt;&gt;"",INDEX(properties!A$1:CB$87,'Fórmula'!H76,57)),IF(INDEX(properties!A$1:CB$87,'Fórmula'!J76,57)&lt;&gt;"",INDEX(properties!A$1:CB$87,'Fórmula'!J76,57)))</f>
        <v>187.4071467</v>
      </c>
      <c r="GC76" s="104">
        <f t="array" ref="GC76">MAX(INDEX(properties!A$1:CB$87,'Fórmula'!B76,57),INDEX(properties!A$1:CB$87,'Fórmula'!D76,57),INDEX(properties!A$1:CB$87,'Fórmula'!F76,57),INDEX(properties!A$1:CB$87,'Fórmula'!H76,57),INDEX(properties!A$1:CB$87,'Fórmula'!J76,57))</f>
        <v>35.4</v>
      </c>
      <c r="GD76" s="104">
        <f t="array" ref="GD76">MIN(IF(INDEX(properties!A$1:CB$87,'Fórmula'!B76,57)=0,10^6,INDEX(properties!A$1:CB$87,'Fórmula'!B76,57)),IF(INDEX(properties!A$1:CB$87,'Fórmula'!D76,57)=0,10^6,INDEX(properties!A$1:CB$87,'Fórmula'!D76,57)),IF(INDEX(properties!A$1:CB$87,'Fórmula'!F76,57)=0,10^6,INDEX(properties!A$1:CB$87,'Fórmula'!F76,57)),IF(INDEX(properties!A$1:CB$87,'Fórmula'!H76,57)=0,10^6,INDEX(properties!A$1:CB$87,'Fórmula'!H76,57)),IF(INDEX(properties!A$1:CB$87,'Fórmula'!J76,57)=0,10^6,INDEX(properties!A$1:CB$87,'Fórmula'!J76,57)))</f>
        <v>0.22259</v>
      </c>
      <c r="GE76" s="104">
        <f t="shared" si="31"/>
        <v>35.17741</v>
      </c>
      <c r="GF76" s="105">
        <f t="array" ref="GF76">(('Fórmula'!C76)/('Fórmula'!C76+'Fórmula'!E76+'Fórmula'!G76+'Fórmula'!I76+'Fórmula'!K76))*(INDEX(properties!A$1:CB$87,'Fórmula'!B76,60))+(('Fórmula'!E76)/('Fórmula'!C76+'Fórmula'!E76+'Fórmula'!G76+'Fórmula'!I76+'Fórmula'!K76))*(INDEX(properties!A$1:CB$87,'Fórmula'!D76,60))+(('Fórmula'!G76)/('Fórmula'!C76+'Fórmula'!E76+'Fórmula'!G76+'Fórmula'!I76+'Fórmula'!K76))*(INDEX(properties!A$1:CB$87,'Fórmula'!F76,60))+(('Fórmula'!I76)/('Fórmula'!C76+'Fórmula'!E76+'Fórmula'!G76+'Fórmula'!I76+'Fórmula'!K76))*(INDEX(properties!A$1:CB$87,'Fórmula'!H76,60))+(('Fórmula'!K76)/('Fórmula'!C76+'Fórmula'!E76+'Fórmula'!G76+'Fórmula'!I76+'Fórmula'!K76))*(INDEX(properties!A$1:CB$87,'Fórmula'!J76,60))</f>
        <v>32.08449333</v>
      </c>
      <c r="GG76" s="105">
        <f t="array" ref="GG76">'Fórmula'!C76*(INDEX(properties!A$1:CB$87,'Fórmula'!B76,60))+'Fórmula'!E76*(INDEX(properties!A$1:CB$87,'Fórmula'!D76,60))+'Fórmula'!G76*(INDEX(properties!A$1:CB$87,'Fórmula'!F76,60))+'Fórmula'!I76*(INDEX(properties!A$1:CB$87,'Fórmula'!H76,60))+'Fórmula'!K76*(INDEX(properties!A$1:CB$87,'Fórmula'!J76,60))</f>
        <v>192.50696</v>
      </c>
      <c r="GH76" s="105">
        <f t="array" ref="GH76">VARP(IF(INDEX(properties!A$1:CB$87,'Fórmula'!B76,60)&lt;&gt;"",INDEX(properties!A$1:CB$87,'Fórmula'!B76,60)),IF(INDEX(properties!A$1:CB$87,'Fórmula'!D76,60)&lt;&gt;"",INDEX(properties!A$1:CB$87,'Fórmula'!D76,60)),IF(INDEX(properties!A$1:CB$87,'Fórmula'!F76,60)&lt;&gt;"",INDEX(properties!A$1:CB$87,'Fórmula'!F76,60)),IF(INDEX(properties!A$1:CB$87,'Fórmula'!H76,60)&lt;&gt;"",INDEX(properties!A$1:CB$87,'Fórmula'!H76,60)),IF(INDEX(properties!A$1:CB$87,'Fórmula'!J76,60)&lt;&gt;"",INDEX(properties!A$1:CB$87,'Fórmula'!J76,60)))</f>
        <v>4641.790132</v>
      </c>
      <c r="GI76" s="105">
        <f t="array" ref="GI76">MAX(INDEX(properties!A$1:CB$87,'Fórmula'!B76,60),INDEX(properties!A$1:CB$87,'Fórmula'!D76,60),INDEX(properties!A$1:CB$87,'Fórmula'!F76,60),INDEX(properties!A$1:CB$87,'Fórmula'!H76,60),INDEX(properties!A$1:CB$87,'Fórmula'!J76,60))</f>
        <v>174</v>
      </c>
      <c r="GJ76" s="105">
        <f t="array" ref="GJ76">MIN(IF(INDEX(properties!A$1:CB$87,'Fórmula'!B76,60)=0,10^6,INDEX(properties!A$1:CB$87,'Fórmula'!B76,60)),IF(INDEX(properties!A$1:CB$87,'Fórmula'!D76,60)=0,10^6,INDEX(properties!A$1:CB$87,'Fórmula'!D76,60)),IF(INDEX(properties!A$1:CB$87,'Fórmula'!F76,60)=0,10^6,INDEX(properties!A$1:CB$87,'Fórmula'!F76,60)),IF(INDEX(properties!A$1:CB$87,'Fórmula'!H76,60)=0,10^6,INDEX(properties!A$1:CB$87,'Fórmula'!H76,60)),IF(INDEX(properties!A$1:CB$87,'Fórmula'!J76,60)=0,10^6,INDEX(properties!A$1:CB$87,'Fórmula'!J76,60)))</f>
        <v>0.02674</v>
      </c>
      <c r="GK76" s="105">
        <f t="shared" si="32"/>
        <v>173.97326</v>
      </c>
      <c r="GL76" s="106">
        <f t="array" ref="GL76">(('Fórmula'!C76)/('Fórmula'!C76+'Fórmula'!E76+'Fórmula'!G76+'Fórmula'!I76+'Fórmula'!K76))*(INDEX(properties!A$1:CB$87,'Fórmula'!B76,62))+(('Fórmula'!E76)/('Fórmula'!C76+'Fórmula'!E76+'Fórmula'!G76+'Fórmula'!I76+'Fórmula'!K76))*(INDEX(properties!A$1:CB$87,'Fórmula'!D76,62))+(('Fórmula'!G76)/('Fórmula'!C76+'Fórmula'!E76+'Fórmula'!G76+'Fórmula'!I76+'Fórmula'!K76))*(INDEX(properties!A$1:CB$87,'Fórmula'!F76,62))+(('Fórmula'!I76)/('Fórmula'!C76+'Fórmula'!E76+'Fórmula'!G76+'Fórmula'!I76+'Fórmula'!K76))*(INDEX(properties!A$1:CB$87,'Fórmula'!H76,62))+(('Fórmula'!K76)/('Fórmula'!C76+'Fórmula'!E76+'Fórmula'!G76+'Fórmula'!I76+'Fórmula'!K76))*(INDEX(properties!A$1:CB$87,'Fórmula'!J76,62))</f>
        <v>3.546666667</v>
      </c>
      <c r="GM76" s="106">
        <f t="array" ref="GM76">'Fórmula'!C76*(INDEX(properties!A$1:CB$87,'Fórmula'!B76,62))+'Fórmula'!E76*(INDEX(properties!A$1:CB$87,'Fórmula'!D76,62))+'Fórmula'!G76*(INDEX(properties!A$1:CB$87,'Fórmula'!F76,62))+'Fórmula'!I76*(INDEX(properties!A$1:CB$87,'Fórmula'!H76,62))+'Fórmula'!K76*(INDEX(properties!A$1:CB$87,'Fórmula'!J76,62))</f>
        <v>21.28</v>
      </c>
      <c r="GN76" s="106">
        <f t="array" ref="GN76">VARP(IF(INDEX(properties!A$1:CB$87,'Fórmula'!B76,62)&lt;&gt;"",INDEX(properties!A$1:CB$87,'Fórmula'!B76,62)),IF(INDEX(properties!A$1:CB$87,'Fórmula'!D76,62)&lt;&gt;"",INDEX(properties!A$1:CB$87,'Fórmula'!D76,62)),IF(INDEX(properties!A$1:CB$87,'Fórmula'!F76,62)&lt;&gt;"",INDEX(properties!A$1:CB$87,'Fórmula'!F76,62)),IF(INDEX(properties!A$1:CB$87,'Fórmula'!H76,62)&lt;&gt;"",INDEX(properties!A$1:CB$87,'Fórmula'!H76,62)),IF(INDEX(properties!A$1:CB$87,'Fórmula'!J76,62)&lt;&gt;"",INDEX(properties!A$1:CB$87,'Fórmula'!J76,62)))</f>
        <v>10.733024</v>
      </c>
      <c r="GO76" s="106">
        <f t="array" ref="GO76">MAX(INDEX(properties!A$1:CB$87,'Fórmula'!B76,62),INDEX(properties!A$1:CB$87,'Fórmula'!D76,62),INDEX(properties!A$1:CB$87,'Fórmula'!F76,62),INDEX(properties!A$1:CB$87,'Fórmula'!H76,62),INDEX(properties!A$1:CB$87,'Fórmula'!J76,62))</f>
        <v>8.9</v>
      </c>
      <c r="GP76" s="106">
        <f t="array" ref="GP76">MIN(IF(INDEX(properties!A$1:CB$87,'Fórmula'!B76,62)=0,10^6,INDEX(properties!A$1:CB$87,'Fórmula'!B76,62)),IF(INDEX(properties!A$1:CB$87,'Fórmula'!D76,62)=0,10^6,INDEX(properties!A$1:CB$87,'Fórmula'!D76,62)),IF(INDEX(properties!A$1:CB$87,'Fórmula'!F76,62)=0,10^6,INDEX(properties!A$1:CB$87,'Fórmula'!F76,62)),IF(INDEX(properties!A$1:CB$87,'Fórmula'!H76,62)=0,10^6,INDEX(properties!A$1:CB$87,'Fórmula'!H76,62)),IF(INDEX(properties!A$1:CB$87,'Fórmula'!J76,62)=0,10^6,INDEX(properties!A$1:CB$87,'Fórmula'!J76,62)))</f>
        <v>1.9</v>
      </c>
      <c r="GQ76" s="106">
        <f t="shared" si="33"/>
        <v>7</v>
      </c>
      <c r="GR76" s="106">
        <f>'Fórmula'!Q76</f>
        <v>88</v>
      </c>
      <c r="GS76" s="107">
        <f>'Fórmula'!P76</f>
        <v>2</v>
      </c>
      <c r="GT76" s="113">
        <f>'Fórmula'!O76</f>
        <v>6.36</v>
      </c>
      <c r="GU76" s="114">
        <f>AVERAGE('Fórmula'!R76/'Fórmula'!S76,'Fórmula'!S76/'Fórmula'!T76,'Fórmula'!T76/'Fórmula'!R76)</f>
        <v>1.235849619</v>
      </c>
      <c r="GV76" s="125">
        <f>'Fórmula'!U76</f>
        <v>402.11</v>
      </c>
      <c r="GW76" s="106">
        <f>'Fórmula'!N76</f>
        <v>0.12</v>
      </c>
    </row>
    <row r="77" ht="14.25" customHeight="1">
      <c r="A77" s="99" t="str">
        <f>'Fórmula'!A77</f>
        <v>SrLaGa3O7</v>
      </c>
      <c r="B77" s="101">
        <f t="array" ref="B77">(('Fórmula'!C77)/('Fórmula'!C77+'Fórmula'!E77+'Fórmula'!G77+'Fórmula'!I77+'Fórmula'!K77))*(INDEX(properties!A$1:CB$87,'Fórmula'!B77,3))+(('Fórmula'!E77)/('Fórmula'!C77+'Fórmula'!E77+'Fórmula'!G77+'Fórmula'!I77+'Fórmula'!K77))*(INDEX(properties!A$1:CB$87,'Fórmula'!D77,3))+(('Fórmula'!G77)/('Fórmula'!C77+'Fórmula'!E77+'Fórmula'!G77+'Fórmula'!I77+'Fórmula'!K77))*(INDEX(properties!A$1:CB$87,'Fórmula'!F77,3))+(('Fórmula'!I77)/('Fórmula'!C77+'Fórmula'!E77+'Fórmula'!G77+'Fórmula'!I77+'Fórmula'!K77))*(INDEX(properties!A$1:CB$87,'Fórmula'!H77,3))+(('Fórmula'!K77)/('Fórmula'!C77+'Fórmula'!E77+'Fórmula'!G77+'Fórmula'!I77+'Fórmula'!K77))*(INDEX(properties!A$1:CB$87,'Fórmula'!J77,3))</f>
        <v>45.64085833</v>
      </c>
      <c r="C77" s="101">
        <f t="array" ref="C77">'Fórmula'!C77*(INDEX(properties!A$1:CB$87,'Fórmula'!B77,3))+'Fórmula'!E77*(INDEX(properties!A$1:CB$87,'Fórmula'!D77,3))+'Fórmula'!G77*(INDEX(properties!A$1:CB$87,'Fórmula'!F77,3))+'Fórmula'!I77*(INDEX(properties!A$1:CB$87,'Fórmula'!H77,3))+'Fórmula'!K77*(INDEX(properties!A$1:CB$87,'Fórmula'!J77,3))</f>
        <v>547.6903</v>
      </c>
      <c r="D77" s="101">
        <f t="array" ref="D77">VARP(IF(INDEX(properties!A$1:CB$87,'Fórmula'!B77,3)&lt;&gt;"",INDEX(properties!A$1:CB$87,'Fórmula'!B77,3)),IF(INDEX(properties!A$1:CB$87,'Fórmula'!D77,3)&lt;&gt;"",INDEX(properties!A$1:CB$87,'Fórmula'!D77,3)),IF(INDEX(properties!A$1:CB$87,'Fórmula'!F77,3)&lt;&gt;"",INDEX(properties!A$1:CB$87,'Fórmula'!F77,3)),IF(INDEX(properties!A$1:CB$87,'Fórmula'!H77,3)&lt;&gt;"",INDEX(properties!A$1:CB$87,'Fórmula'!H77,3)),IF(INDEX(properties!A$1:CB$87,'Fórmula'!J77,3)&lt;&gt;"",INDEX(properties!A$1:CB$87,'Fórmula'!J77,3)))</f>
        <v>2517.90593</v>
      </c>
      <c r="E77" s="101">
        <f t="array" ref="E77">MAX(INDEX(properties!A$1:CB$87,'Fórmula'!B77,3),INDEX(properties!A$1:CB$87,'Fórmula'!D77,3),INDEX(properties!A$1:CB$87,'Fórmula'!F77,3),INDEX(properties!A$1:CB$87,'Fórmula'!H77,3),INDEX(properties!A$1:CB$87,'Fórmula'!J77,3))</f>
        <v>138.9055</v>
      </c>
      <c r="F77" s="101">
        <f t="array" ref="F77">MIN(IF(INDEX(properties!A$1:CB$87,'Fórmula'!B77,3)=0,10^6,INDEX(properties!A$1:CB$87,'Fórmula'!B77,3)),IF(INDEX(properties!A$1:CB$87,'Fórmula'!D77,3)=0,10^6,INDEX(properties!A$1:CB$87,'Fórmula'!D77,3)),IF(INDEX(properties!A$1:CB$87,'Fórmula'!F77,3)=0,10^6,INDEX(properties!A$1:CB$87,'Fórmula'!F77,3)),IF(INDEX(properties!A$1:CB$87,'Fórmula'!H77,3)=0,10^6,INDEX(properties!A$1:CB$87,'Fórmula'!H77,3)),IF(INDEX(properties!A$1:CB$87,'Fórmula'!J77,3)=0,10^6,INDEX(properties!A$1:CB$87,'Fórmula'!J77,3)))</f>
        <v>15.9994</v>
      </c>
      <c r="G77" s="101">
        <f t="shared" si="1"/>
        <v>122.9061</v>
      </c>
      <c r="H77" s="102">
        <f t="array" ref="H77">(('Fórmula'!C77)/('Fórmula'!C77+'Fórmula'!E77+'Fórmula'!G77+'Fórmula'!I77+'Fórmula'!K77))*(INDEX(properties!A$1:CB$87,'Fórmula'!B77,4))+(('Fórmula'!E77)/('Fórmula'!C77+'Fórmula'!E77+'Fórmula'!G77+'Fórmula'!I77+'Fórmula'!K77))*(INDEX(properties!A$1:CB$87,'Fórmula'!D77,4))+(('Fórmula'!G77)/('Fórmula'!C77+'Fórmula'!E77+'Fórmula'!G77+'Fórmula'!I77+'Fórmula'!K77))*(INDEX(properties!A$1:CB$87,'Fórmula'!F77,4))+(('Fórmula'!I77)/('Fórmula'!C77+'Fórmula'!E77+'Fórmula'!G77+'Fórmula'!I77+'Fórmula'!K77))*(INDEX(properties!A$1:CB$87,'Fórmula'!H77,4))+(('Fórmula'!K77)/('Fórmula'!C77+'Fórmula'!E77+'Fórmula'!G77+'Fórmula'!I77+'Fórmula'!K77))*(INDEX(properties!A$1:CB$87,'Fórmula'!J77,4))</f>
        <v>20.33333333</v>
      </c>
      <c r="I77" s="102">
        <f t="array" ref="I77">'Fórmula'!C77*(INDEX(properties!A$1:CB$87,'Fórmula'!B77,4))+'Fórmula'!E77*(INDEX(properties!A$1:CB$87,'Fórmula'!D77,4))+'Fórmula'!G77*(INDEX(properties!A$1:CB$87,'Fórmula'!F77,4))+'Fórmula'!I77*(INDEX(properties!A$1:CB$87,'Fórmula'!H77,4))+'Fórmula'!K77*(INDEX(properties!A$1:CB$87,'Fórmula'!J77,4))</f>
        <v>244</v>
      </c>
      <c r="J77" s="102">
        <f t="array" ref="J77">VARP(IF(INDEX(properties!A$1:CB$87,'Fórmula'!B77,4)&lt;&gt;"",INDEX(properties!A$1:CB$87,'Fórmula'!B77,4)),IF(INDEX(properties!A$1:CB$87,'Fórmula'!D77,4)&lt;&gt;"",INDEX(properties!A$1:CB$87,'Fórmula'!D77,4)),IF(INDEX(properties!A$1:CB$87,'Fórmula'!F77,4)&lt;&gt;"",INDEX(properties!A$1:CB$87,'Fórmula'!F77,4)),IF(INDEX(properties!A$1:CB$87,'Fórmula'!H77,4)&lt;&gt;"",INDEX(properties!A$1:CB$87,'Fórmula'!H77,4)),IF(INDEX(properties!A$1:CB$87,'Fórmula'!J77,4)&lt;&gt;"",INDEX(properties!A$1:CB$87,'Fórmula'!J77,4)))</f>
        <v>425.36</v>
      </c>
      <c r="K77" s="102">
        <f t="array" ref="K77">MAX(INDEX(properties!A$1:CB$87,'Fórmula'!B77,4),INDEX(properties!A$1:CB$87,'Fórmula'!D77,4),INDEX(properties!A$1:CB$87,'Fórmula'!F77,4),INDEX(properties!A$1:CB$87,'Fórmula'!H77,4),INDEX(properties!A$1:CB$87,'Fórmula'!J77,4))</f>
        <v>57</v>
      </c>
      <c r="L77" s="102">
        <f t="array" ref="L77">MIN(IF(INDEX(properties!A$1:CB$87,'Fórmula'!B77,4)=0,10^6,INDEX(properties!A$1:CB$87,'Fórmula'!B77,4)),IF(INDEX(properties!A$1:CB$87,'Fórmula'!D77,4)=0,10^6,INDEX(properties!A$1:CB$87,'Fórmula'!D77,4)),IF(INDEX(properties!A$1:CB$87,'Fórmula'!F77,4)=0,10^6,INDEX(properties!A$1:CB$87,'Fórmula'!F77,4)),IF(INDEX(properties!A$1:CB$87,'Fórmula'!H77,4)=0,10^6,INDEX(properties!A$1:CB$87,'Fórmula'!H77,4)),IF(INDEX(properties!A$1:CB$87,'Fórmula'!J77,4)=0,10^6,INDEX(properties!A$1:CB$87,'Fórmula'!J77,4)))</f>
        <v>8</v>
      </c>
      <c r="M77" s="102">
        <f t="shared" si="2"/>
        <v>49</v>
      </c>
      <c r="N77" s="103">
        <f t="array" ref="N77">(('Fórmula'!C77)/('Fórmula'!C77+'Fórmula'!E77+'Fórmula'!G77+'Fórmula'!I77+'Fórmula'!K77))*(INDEX(properties!A$1:CB$87,'Fórmula'!B77,5))+(('Fórmula'!E77)/('Fórmula'!C77+'Fórmula'!E77+'Fórmula'!G77+'Fórmula'!I77+'Fórmula'!K77))*(INDEX(properties!A$1:CB$87,'Fórmula'!D77,5))+(('Fórmula'!G77)/('Fórmula'!C77+'Fórmula'!E77+'Fórmula'!G77+'Fórmula'!I77+'Fórmula'!K77))*(INDEX(properties!A$1:CB$87,'Fórmula'!F77,5))+(('Fórmula'!I77)/('Fórmula'!C77+'Fórmula'!E77+'Fórmula'!G77+'Fórmula'!I77+'Fórmula'!K77))*(INDEX(properties!A$1:CB$87,'Fórmula'!H77,5))+(('Fórmula'!K77)/('Fórmula'!C77+'Fórmula'!E77+'Fórmula'!G77+'Fórmula'!I77+'Fórmula'!K77))*(INDEX(properties!A$1:CB$87,'Fórmula'!J77,5))</f>
        <v>3.083333333</v>
      </c>
      <c r="O77" s="103">
        <f t="array" ref="O77">'Fórmula'!C77*(INDEX(properties!A$1:CB$87,'Fórmula'!B77,5))+'Fórmula'!E77*(INDEX(properties!A$1:CB$87,'Fórmula'!D77,5))+'Fórmula'!G77*(INDEX(properties!A$1:CB$87,'Fórmula'!F77,5))+'Fórmula'!I77*(INDEX(properties!A$1:CB$87,'Fórmula'!H77,5))+'Fórmula'!K77*(INDEX(properties!A$1:CB$87,'Fórmula'!J77,5))</f>
        <v>37</v>
      </c>
      <c r="P77" s="103">
        <f t="array" ref="P77">VARP(IF(INDEX(properties!A$1:CB$87,'Fórmula'!B77,5)&lt;&gt;"",INDEX(properties!A$1:CB$87,'Fórmula'!B77,5)),IF(INDEX(properties!A$1:CB$87,'Fórmula'!D77,5)&lt;&gt;"",INDEX(properties!A$1:CB$87,'Fórmula'!D77,5)),IF(INDEX(properties!A$1:CB$87,'Fórmula'!F77,5)&lt;&gt;"",INDEX(properties!A$1:CB$87,'Fórmula'!F77,5)),IF(INDEX(properties!A$1:CB$87,'Fórmula'!H77,5)&lt;&gt;"",INDEX(properties!A$1:CB$87,'Fórmula'!H77,5)),IF(INDEX(properties!A$1:CB$87,'Fórmula'!J77,5)&lt;&gt;"",INDEX(properties!A$1:CB$87,'Fórmula'!J77,5)))</f>
        <v>4.64</v>
      </c>
      <c r="Q77" s="103">
        <f t="array" ref="Q77">MAX(INDEX(properties!A$1:CB$87,'Fórmula'!B77,5),INDEX(properties!A$1:CB$87,'Fórmula'!D77,5),INDEX(properties!A$1:CB$87,'Fórmula'!F77,5),INDEX(properties!A$1:CB$87,'Fórmula'!H77,5),INDEX(properties!A$1:CB$87,'Fórmula'!J77,5))</f>
        <v>6</v>
      </c>
      <c r="R77" s="103">
        <f t="array" ref="R77">MIN(IF(INDEX(properties!A$1:CB$87,'Fórmula'!B77,5)=0,10^6,INDEX(properties!A$1:CB$87,'Fórmula'!B77,5)),IF(INDEX(properties!A$1:CB$87,'Fórmula'!D77,5)=0,10^6,INDEX(properties!A$1:CB$87,'Fórmula'!D77,5)),IF(INDEX(properties!A$1:CB$87,'Fórmula'!F77,5)=0,10^6,INDEX(properties!A$1:CB$87,'Fórmula'!F77,5)),IF(INDEX(properties!A$1:CB$87,'Fórmula'!H77,5)=0,10^6,INDEX(properties!A$1:CB$87,'Fórmula'!H77,5)),IF(INDEX(properties!A$1:CB$87,'Fórmula'!J77,5)=0,10^6,INDEX(properties!A$1:CB$87,'Fórmula'!J77,5)))</f>
        <v>2</v>
      </c>
      <c r="S77" s="103">
        <f t="shared" si="3"/>
        <v>4</v>
      </c>
      <c r="T77" s="104">
        <f t="array" ref="T77">(('Fórmula'!C77)/('Fórmula'!C77+'Fórmula'!E77+'Fórmula'!G77+'Fórmula'!I77+'Fórmula'!K77))*(INDEX(properties!A$1:CB$87,'Fórmula'!B77,6))+(('Fórmula'!E77)/('Fórmula'!C77+'Fórmula'!E77+'Fórmula'!G77+'Fórmula'!I77+'Fórmula'!K77))*(INDEX(properties!A$1:CB$87,'Fórmula'!D77,6))+(('Fórmula'!G77)/('Fórmula'!C77+'Fórmula'!E77+'Fórmula'!G77+'Fórmula'!I77+'Fórmula'!K77))*(INDEX(properties!A$1:CB$87,'Fórmula'!F77,6))+(('Fórmula'!I77)/('Fórmula'!C77+'Fórmula'!E77+'Fórmula'!G77+'Fórmula'!I77+'Fórmula'!K77))*(INDEX(properties!A$1:CB$87,'Fórmula'!H77,6))+(('Fórmula'!K77)/('Fórmula'!C77+'Fórmula'!E77+'Fórmula'!G77+'Fórmula'!I77+'Fórmula'!K77))*(INDEX(properties!A$1:CB$87,'Fórmula'!J77,6))</f>
        <v>13</v>
      </c>
      <c r="U77" s="104">
        <f t="array" ref="U77">'Fórmula'!C77*(INDEX(properties!A$1:CB$87,'Fórmula'!B77,6))+'Fórmula'!E77*(INDEX(properties!A$1:CB$87,'Fórmula'!D77,6))+'Fórmula'!G77*(INDEX(properties!A$1:CB$87,'Fórmula'!F77,6))+'Fórmula'!I77*(INDEX(properties!A$1:CB$87,'Fórmula'!H77,6))+'Fórmula'!K77*(INDEX(properties!A$1:CB$87,'Fórmula'!J77,6))</f>
        <v>156</v>
      </c>
      <c r="V77" s="103">
        <f t="array" ref="V77">VARP(IF(INDEX(properties!A$1:CB$87,'Fórmula'!B77,6)&lt;&gt;"",INDEX(properties!A$1:CB$87,'Fórmula'!B77,6)),IF(INDEX(properties!A$1:CB$87,'Fórmula'!D77,6)&lt;&gt;"",INDEX(properties!A$1:CB$87,'Fórmula'!D77,6)),IF(INDEX(properties!A$1:CB$87,'Fórmula'!F77,6)&lt;&gt;"",INDEX(properties!A$1:CB$87,'Fórmula'!F77,6)),IF(INDEX(properties!A$1:CB$87,'Fórmula'!H77,6)&lt;&gt;"",INDEX(properties!A$1:CB$87,'Fórmula'!H77,6)),IF(INDEX(properties!A$1:CB$87,'Fórmula'!J77,6)&lt;&gt;"",INDEX(properties!A$1:CB$87,'Fórmula'!J77,6)))</f>
        <v>41.36</v>
      </c>
      <c r="W77" s="104">
        <f t="array" ref="W77">MAX(INDEX(properties!A$1:CB$87,'Fórmula'!B77,6),INDEX(properties!A$1:CB$87,'Fórmula'!D77,6),INDEX(properties!A$1:CB$87,'Fórmula'!F77,6),INDEX(properties!A$1:CB$87,'Fórmula'!H77,4),INDEX(properties!A$1:CB$87,'Fórmula'!J77,6))</f>
        <v>13</v>
      </c>
      <c r="X77" s="104">
        <f t="array" ref="X77">MIN(IF(INDEX(properties!A$1:CB$87,'Fórmula'!B77,6)=0,10^6,INDEX(properties!A$1:CB$87,'Fórmula'!B77,6)),IF(INDEX(properties!A$1:CB$87,'Fórmula'!D77,6)=0,10^6,INDEX(properties!A$1:CB$87,'Fórmula'!D77,6)),IF(INDEX(properties!A$1:CB$87,'Fórmula'!F77,6)=0,10^6,INDEX(properties!A$1:CB$87,'Fórmula'!F77,6)),IF(INDEX(properties!A$1:CB$87,'Fórmula'!H77,6)=0,10^6,INDEX(properties!A$1:CB$87,'Fórmula'!H77,6)),IF(INDEX(properties!A$1:CB$87,'Fórmula'!J77,6)=0,10^6,INDEX(properties!A$1:CB$87,'Fórmula'!J77,6)))</f>
        <v>2</v>
      </c>
      <c r="Y77" s="104">
        <f t="shared" si="4"/>
        <v>11</v>
      </c>
      <c r="Z77" s="105">
        <f t="array" ref="Z77">(('Fórmula'!C77)/('Fórmula'!C77+'Fórmula'!E77+'Fórmula'!G77+'Fórmula'!I77+'Fórmula'!K77))*(INDEX(properties!A$1:CB$87,'Fórmula'!B77,9))+(('Fórmula'!E77)/('Fórmula'!C77+'Fórmula'!E77+'Fórmula'!G77+'Fórmula'!I77+'Fórmula'!K77))*(INDEX(properties!A$1:CB$87,'Fórmula'!D77,9))+(('Fórmula'!G77)/('Fórmula'!C77+'Fórmula'!E77+'Fórmula'!G77+'Fórmula'!I77+'Fórmula'!K77))*(INDEX(properties!A$1:CB$87,'Fórmula'!F77,9))+(('Fórmula'!I77)/('Fórmula'!C77+'Fórmula'!E77+'Fórmula'!G77+'Fórmula'!I77+'Fórmula'!K77))*(INDEX(properties!A$1:CB$87,'Fórmula'!H77,9))+(('Fórmula'!K77)/('Fórmula'!C77+'Fórmula'!E77+'Fórmula'!G77+'Fórmula'!I77+'Fórmula'!K77))*(INDEX(properties!A$1:CB$87,'Fórmula'!J77,9))</f>
        <v>71</v>
      </c>
      <c r="AA77" s="105">
        <f t="array" ref="AA77">'Fórmula'!C77*(INDEX(properties!A$1:CB$87,'Fórmula'!B77,9))+'Fórmula'!E77*(INDEX(properties!A$1:CB$87,'Fórmula'!D77,9))+'Fórmula'!G77*(INDEX(properties!A$1:CB$87,'Fórmula'!F77,9))+'Fórmula'!I77*(INDEX(properties!A$1:CB$87,'Fórmula'!H77,9))+'Fórmula'!K77*(INDEX(properties!A$1:CB$87,'Fórmula'!J77,9))</f>
        <v>852</v>
      </c>
      <c r="AB77" s="105">
        <f t="array" ref="AB77">VARP(IF(INDEX(properties!A$1:CB$87,'Fórmula'!B77,9)&lt;&gt;"",INDEX(properties!A$1:CB$87,'Fórmula'!B77,9)),IF(INDEX(properties!A$1:CB$87,'Fórmula'!D77,9)&lt;&gt;"",INDEX(properties!A$1:CB$87,'Fórmula'!D77,9)),IF(INDEX(properties!A$1:CB$87,'Fórmula'!F77,9)&lt;&gt;"",INDEX(properties!A$1:CB$87,'Fórmula'!F77,9)),IF(INDEX(properties!A$1:CB$87,'Fórmula'!H77,9)&lt;&gt;"",INDEX(properties!A$1:CB$87,'Fórmula'!H77,9)),IF(INDEX(properties!A$1:CB$87,'Fórmula'!J77,9)&lt;&gt;"",INDEX(properties!A$1:CB$87,'Fórmula'!J77,9)))</f>
        <v>1330.64</v>
      </c>
      <c r="AC77" s="105">
        <f t="array" ref="AC77">MAX(INDEX(properties!A$1:CB$87,'Fórmula'!B77,9),INDEX(properties!A$1:CB$87,'Fórmula'!D77,9),INDEX(properties!A$1:CB$87,'Fórmula'!F77,9),INDEX(properties!A$1:CB$87,'Fórmula'!H77,9),INDEX(properties!A$1:CB$87,'Fórmula'!J77,9))</f>
        <v>87</v>
      </c>
      <c r="AD77" s="105">
        <f t="array" ref="AD77">MIN(IF(INDEX(properties!A$1:CB$87,'Fórmula'!B77,9)=0,10^6,INDEX(properties!A$1:CB$87,'Fórmula'!B77,9)),IF(INDEX(properties!A$1:CB$87,'Fórmula'!D77,9)=0,10^6,INDEX(properties!A$1:CB$87,'Fórmula'!D77,9)),IF(INDEX(properties!A$1:CB$87,'Fórmula'!F77,9)=0,10^6,INDEX(properties!A$1:CB$87,'Fórmula'!F77,9)),IF(INDEX(properties!A$1:CB$87,'Fórmula'!H77,9)=0,10^6,INDEX(properties!A$1:CB$87,'Fórmula'!H77,9)),IF(INDEX(properties!A$1:CB$87,'Fórmula'!J77,9)=0,10^6,INDEX(properties!A$1:CB$87,'Fórmula'!J77,9)))</f>
        <v>8</v>
      </c>
      <c r="AE77" s="105">
        <f t="shared" si="5"/>
        <v>79</v>
      </c>
      <c r="AF77" s="106">
        <f t="array" ref="AF77">(('Fórmula'!C77)/('Fórmula'!C77+'Fórmula'!E77+'Fórmula'!G77+'Fórmula'!I77+'Fórmula'!K77))*(INDEX(properties!A$1:CB$87,'Fórmula'!B77,10))+(('Fórmula'!E77)/('Fórmula'!C77+'Fórmula'!E77+'Fórmula'!G77+'Fórmula'!I77+'Fórmula'!K77))*(INDEX(properties!A$1:CB$87,'Fórmula'!D77,10))+(('Fórmula'!G77)/('Fórmula'!C77+'Fórmula'!E77+'Fórmula'!G77+'Fórmula'!I77+'Fórmula'!K77))*(INDEX(properties!A$1:CB$87,'Fórmula'!F77,10))+(('Fórmula'!I77)/('Fórmula'!C77+'Fórmula'!E77+'Fórmula'!G77+'Fórmula'!I77+'Fórmula'!K77))*(INDEX(properties!A$1:CB$87,'Fórmula'!H77,10))+(('Fórmula'!K77)/('Fórmula'!C77+'Fórmula'!E77+'Fórmula'!G77+'Fórmula'!I77+'Fórmula'!K77))*(INDEX(properties!A$1:CB$87,'Fórmula'!J77,10))</f>
        <v>5.75</v>
      </c>
      <c r="AG77" s="106">
        <f t="array" ref="AG77">'Fórmula'!C77*(INDEX(properties!A$1:CB$87,'Fórmula'!B77,10))+'Fórmula'!E77*(INDEX(properties!A$1:CB$87,'Fórmula'!D77,10))+'Fórmula'!G77*(INDEX(properties!A$1:CB$87,'Fórmula'!F77,10))+'Fórmula'!I77*(INDEX(properties!A$1:CB$87,'Fórmula'!H77,10))+'Fórmula'!K77*(INDEX(properties!A$1:CB$87,'Fórmula'!J77,10))</f>
        <v>69</v>
      </c>
      <c r="AH77" s="106">
        <f t="array" ref="AH77">VARP(IF(INDEX(properties!A$1:CB$87,'Fórmula'!B77,10)&lt;&gt;"",INDEX(properties!A$1:CB$87,'Fórmula'!B77,10)),IF(INDEX(properties!A$1:CB$87,'Fórmula'!D77,10)&lt;&gt;"",INDEX(properties!A$1:CB$87,'Fórmula'!D77,10)),IF(INDEX(properties!A$1:CB$87,'Fórmula'!F77,10)&lt;&gt;"",INDEX(properties!A$1:CB$87,'Fórmula'!F77,10)),IF(INDEX(properties!A$1:CB$87,'Fórmula'!H77,10)&lt;&gt;"",INDEX(properties!A$1:CB$87,'Fórmula'!H77,10)),IF(INDEX(properties!A$1:CB$87,'Fórmula'!J77,10)&lt;&gt;"",INDEX(properties!A$1:CB$87,'Fórmula'!J77,10)))</f>
        <v>5.84</v>
      </c>
      <c r="AI77" s="106">
        <f t="array" ref="AI77">MAX(INDEX(properties!A$1:CB$87,'Fórmula'!B77,10),INDEX(properties!A$1:CB$87,'Fórmula'!D77,10),INDEX(properties!A$1:CB$87,'Fórmula'!F77,10),INDEX(properties!A$1:CB$87,'Fórmula'!H77,10),INDEX(properties!A$1:CB$87,'Fórmula'!J77,10))</f>
        <v>7</v>
      </c>
      <c r="AJ77" s="106">
        <f t="array" ref="AJ77">MIN(IF(INDEX(properties!A$1:CB$87,'Fórmula'!B77,10)=0,10^6,INDEX(properties!A$1:CB$87,'Fórmula'!B77,10)),IF(INDEX(properties!A$1:CB$87,'Fórmula'!D77,10)=0,10^6,INDEX(properties!A$1:CB$87,'Fórmula'!D77,10)),IF(INDEX(properties!A$1:CB$87,'Fórmula'!F77,10)=0,10^6,INDEX(properties!A$1:CB$87,'Fórmula'!F77,10)),IF(INDEX(properties!A$1:CB$87,'Fórmula'!H77,10)=0,10^6,INDEX(properties!A$1:CB$87,'Fórmula'!H77,10)),IF(INDEX(properties!A$1:CB$87,'Fórmula'!J77,10)=0,10^6,INDEX(properties!A$1:CB$87,'Fórmula'!J77,10)))</f>
        <v>2</v>
      </c>
      <c r="AK77" s="106">
        <f t="shared" si="6"/>
        <v>5</v>
      </c>
      <c r="AL77" s="107">
        <f t="array" ref="AL77">(('Fórmula'!C77)/('Fórmula'!C77+'Fórmula'!E77+'Fórmula'!G77+'Fórmula'!I77+'Fórmula'!K77))*(INDEX(properties!A$1:CB$87,'Fórmula'!B77,11))+(('Fórmula'!E77)/('Fórmula'!C77+'Fórmula'!E77+'Fórmula'!G77+'Fórmula'!I77+'Fórmula'!K77))*(INDEX(properties!A$1:CB$87,'Fórmula'!D77,11))+(('Fórmula'!G77)/('Fórmula'!C77+'Fórmula'!E77+'Fórmula'!G77+'Fórmula'!I77+'Fórmula'!K77))*(INDEX(properties!A$1:CB$87,'Fórmula'!F77,11))+(('Fórmula'!I77)/('Fórmula'!C77+'Fórmula'!E77+'Fórmula'!G77+'Fórmula'!I77+'Fórmula'!K77))*(INDEX(properties!A$1:CB$87,'Fórmula'!H77,11))+(('Fórmula'!K77)/('Fórmula'!C77+'Fórmula'!E77+'Fórmula'!G77+'Fórmula'!I77+'Fórmula'!K77))*(INDEX(properties!A$1:CB$87,'Fórmula'!J77,11))</f>
        <v>2</v>
      </c>
      <c r="AM77" s="107">
        <f t="array" ref="AM77">'Fórmula'!C77*(INDEX(properties!A$1:CB$87,'Fórmula'!B77,11))+'Fórmula'!E77*(INDEX(properties!A$1:CB$87,'Fórmula'!D77,11))+'Fórmula'!G77*(INDEX(properties!A$1:CB$87,'Fórmula'!F77,11))+'Fórmula'!I77*(INDEX(properties!A$1:CB$87,'Fórmula'!H77,11))+'Fórmula'!K77*(INDEX(properties!A$1:CB$87,'Fórmula'!J77,11))</f>
        <v>24</v>
      </c>
      <c r="AN77" s="107">
        <f t="array" ref="AN77">VARP(IF(INDEX(properties!A$1:CB$87,'Fórmula'!B77,11)&lt;&gt;"",INDEX(properties!A$1:CB$87,'Fórmula'!B77,11)),IF(INDEX(properties!A$1:CB$87,'Fórmula'!D77,11)&lt;&gt;"",INDEX(properties!A$1:CB$87,'Fórmula'!D77,11)),IF(INDEX(properties!A$1:CB$87,'Fórmula'!F77,11)&lt;&gt;"",INDEX(properties!A$1:CB$87,'Fórmula'!F77,11)),IF(INDEX(properties!A$1:CB$87,'Fórmula'!H77,11)&lt;&gt;"",INDEX(properties!A$1:CB$87,'Fórmula'!H77,11)),IF(INDEX(properties!A$1:CB$87,'Fórmula'!J77,11)&lt;&gt;"",INDEX(properties!A$1:CB$87,'Fórmula'!J77,11)))</f>
        <v>0.64</v>
      </c>
      <c r="AO77" s="107">
        <f t="array" ref="AO77">MAX(INDEX(properties!A$1:CB$87,'Fórmula'!B77,11),INDEX(properties!A$1:CB$87,'Fórmula'!D77,11),INDEX(properties!A$1:CB$87,'Fórmula'!F77,11),INDEX(properties!A$1:CB$87,'Fórmula'!H77,11),INDEX(properties!A$1:CB$87,'Fórmula'!J77,11))</f>
        <v>2</v>
      </c>
      <c r="AP77" s="107">
        <f t="array" ref="AP77">MIN(IF('Fórmula'!B77=87,10^6,INDEX(properties!A$1:CB$87,'Fórmula'!B77,11)),IF(('Fórmula'!D77)=87,10^6,INDEX(properties!A$1:CB$87,'Fórmula'!D77,11)),IF(('Fórmula'!F77)=87,10^6,INDEX(properties!A$1:CB$87,'Fórmula'!F77,11)),IF(('Fórmula'!H77)=87,10^6,INDEX(properties!A$1:CB$87,'Fórmula'!H77,11)),IF('Fórmula'!J77=87,10^6,INDEX(properties!A$1:CB$87,'Fórmula'!J77,11)))</f>
        <v>2</v>
      </c>
      <c r="AQ77" s="107">
        <f t="shared" si="7"/>
        <v>0</v>
      </c>
      <c r="AR77" s="108">
        <f t="array" ref="AR77">(('Fórmula'!C77)/('Fórmula'!C77+'Fórmula'!E77+'Fórmula'!G77+'Fórmula'!I77+'Fórmula'!K77))*(INDEX(properties!A$1:CB$87,'Fórmula'!B77,12))+(('Fórmula'!E77)/('Fórmula'!C77+'Fórmula'!E77+'Fórmula'!G77+'Fórmula'!I77+'Fórmula'!K77))*(INDEX(properties!A$1:CB$87,'Fórmula'!D77,12))+(('Fórmula'!G77)/('Fórmula'!C77+'Fórmula'!E77+'Fórmula'!G77+'Fórmula'!I77+'Fórmula'!K77))*(INDEX(properties!A$1:CB$87,'Fórmula'!F77,12))+(('Fórmula'!I77)/('Fórmula'!C77+'Fórmula'!E77+'Fórmula'!G77+'Fórmula'!I77+'Fórmula'!K77))*(INDEX(properties!A$1:CB$87,'Fórmula'!H77,12))+(('Fórmula'!K77)/('Fórmula'!C77+'Fórmula'!E77+'Fórmula'!G77+'Fórmula'!I77+'Fórmula'!K77))*(INDEX(properties!A$1:CB$87,'Fórmula'!J77,12))</f>
        <v>2.583333333</v>
      </c>
      <c r="AS77" s="108">
        <f t="array" ref="AS77">'Fórmula'!C77*(INDEX(properties!A$1:CB$87,'Fórmula'!B77,12))+'Fórmula'!E77*(INDEX(properties!A$1:CB$87,'Fórmula'!D77,12))+'Fórmula'!G77*(INDEX(properties!A$1:CB$87,'Fórmula'!F77,12))+'Fórmula'!I77*(INDEX(properties!A$1:CB$87,'Fórmula'!H77,12))+'Fórmula'!K77*(INDEX(properties!A$1:CB$87,'Fórmula'!J77,12))</f>
        <v>31</v>
      </c>
      <c r="AT77" s="108">
        <f t="array" ref="AT77">VARP(IF(INDEX(properties!A$1:CB$87,'Fórmula'!B77,12)&lt;&gt;"",INDEX(properties!A$1:CB$87,'Fórmula'!B77,12)),IF(INDEX(properties!A$1:CB$87,'Fórmula'!D77,12)&lt;&gt;"",INDEX(properties!A$1:CB$87,'Fórmula'!D77,12)),IF(INDEX(properties!A$1:CB$87,'Fórmula'!F77,12)&lt;&gt;"",INDEX(properties!A$1:CB$87,'Fórmula'!F77,12)),IF(INDEX(properties!A$1:CB$87,'Fórmula'!H77,12)&lt;&gt;"",INDEX(properties!A$1:CB$87,'Fórmula'!H77,12)),IF(INDEX(properties!A$1:CB$87,'Fórmula'!J77,12)&lt;&gt;"",INDEX(properties!A$1:CB$87,'Fórmula'!J77,12)))</f>
        <v>2.4</v>
      </c>
      <c r="AU77" s="108">
        <f t="array" ref="AU77">MAX(INDEX(properties!A$1:CB$87,'Fórmula'!B77,12),INDEX(properties!A$1:CB$87,'Fórmula'!D77,12),INDEX(properties!A$1:CB$87,'Fórmula'!F77,12),INDEX(properties!A$1:CB$87,'Fórmula'!H77,12),INDEX(properties!A$1:CB$87,'Fórmula'!J77,12))</f>
        <v>4</v>
      </c>
      <c r="AV77" s="108">
        <f t="array" ref="AV77">MIN(IF('Fórmula'!B77=87,10^6,INDEX(properties!A$1:CB$87,'Fórmula'!B77,12)),IF(('Fórmula'!D77)=87,10^6,INDEX(properties!A$1:CB$87,'Fórmula'!D77,12)),IF(('Fórmula'!F77)=87,10^6,INDEX(properties!A$1:CB$87,'Fórmula'!F77,12)),IF(('Fórmula'!H77)=87,10^6,INDEX(properties!A$1:CB$87,'Fórmula'!H77,12)),IF('Fórmula'!J77=87,10^6,INDEX(properties!A$1:CB$87,'Fórmula'!J77,12)))</f>
        <v>0</v>
      </c>
      <c r="AW77" s="108">
        <f t="shared" si="8"/>
        <v>4</v>
      </c>
      <c r="AX77" s="109">
        <f t="array" ref="AX77">(('Fórmula'!C77)/('Fórmula'!C77+'Fórmula'!E77+'Fórmula'!G77+'Fórmula'!I77+'Fórmula'!K77))*(INDEX(properties!A$1:CB$87,'Fórmula'!B77,13))+(('Fórmula'!E77)/('Fórmula'!C77+'Fórmula'!E77+'Fórmula'!G77+'Fórmula'!I77+'Fórmula'!K77))*(INDEX(properties!A$1:CB$87,'Fórmula'!D77,13))+(('Fórmula'!G77)/('Fórmula'!C77+'Fórmula'!E77+'Fórmula'!G77+'Fórmula'!I77+'Fórmula'!K77))*(INDEX(properties!A$1:CB$87,'Fórmula'!F77,13))+(('Fórmula'!I77)/('Fórmula'!C77+'Fórmula'!E77+'Fórmula'!G77+'Fórmula'!I77+'Fórmula'!K77))*(INDEX(properties!A$1:CB$87,'Fórmula'!H77,13))+(('Fórmula'!K77)/('Fórmula'!C77+'Fórmula'!E77+'Fórmula'!G77+'Fórmula'!I77+'Fórmula'!K77))*(INDEX(properties!A$1:CB$87,'Fórmula'!J77,13))</f>
        <v>2.583333333</v>
      </c>
      <c r="AY77" s="109">
        <f t="array" ref="AY77">'Fórmula'!C77*(INDEX(properties!A$1:CB$87,'Fórmula'!B77,13))+'Fórmula'!E77*(INDEX(properties!A$1:CB$87,'Fórmula'!D77,13))+'Fórmula'!G77*(INDEX(properties!A$1:CB$87,'Fórmula'!F77,13))+'Fórmula'!I77*(INDEX(properties!A$1:CB$87,'Fórmula'!H77,13))+'Fórmula'!K77*(INDEX(properties!A$1:CB$87,'Fórmula'!J77,13))</f>
        <v>31</v>
      </c>
      <c r="AZ77" s="109">
        <f t="array" ref="AZ77">VARP(IF(INDEX(properties!A$1:CB$87,'Fórmula'!B77,13)&lt;&gt;"",INDEX(properties!A$1:CB$87,'Fórmula'!B77,13)),IF(INDEX(properties!A$1:CB$87,'Fórmula'!D77,13)&lt;&gt;"",INDEX(properties!A$1:CB$87,'Fórmula'!D77,13)),IF(INDEX(properties!A$1:CB$87,'Fórmula'!F77,13)&lt;&gt;"",INDEX(properties!A$1:CB$87,'Fórmula'!F77,13)),IF(INDEX(properties!A$1:CB$87,'Fórmula'!H77,13)&lt;&gt;"",INDEX(properties!A$1:CB$87,'Fórmula'!H77,13)),IF(INDEX(properties!A$1:CB$87,'Fórmula'!J77,13)&lt;&gt;"",INDEX(properties!A$1:CB$87,'Fórmula'!J77,13)))</f>
        <v>15.36</v>
      </c>
      <c r="BA77" s="109">
        <f t="array" ref="BA77">MAX(INDEX(properties!A$1:CB$87,'Fórmula'!B77,13),INDEX(properties!A$1:CB$87,'Fórmula'!D77,13),INDEX(properties!A$1:CB$87,'Fórmula'!F77,13),INDEX(properties!A$1:CB$87,'Fórmula'!H77,13),INDEX(properties!A$1:CB$87,'Fórmula'!J77,13))</f>
        <v>10</v>
      </c>
      <c r="BB77" s="109">
        <f t="array" ref="BB77">MIN(IF('Fórmula'!B77=87,10^6,INDEX(properties!A$1:CB$87,'Fórmula'!B77,13)),IF(('Fórmula'!D77)=87,10^6,INDEX(properties!A$1:CB$87,'Fórmula'!D77,13)),IF(('Fórmula'!F77)=87,10^6,INDEX(properties!A$1:CB$87,'Fórmula'!F77,13)),IF(('Fórmula'!H77)=87,10^6,INDEX(properties!A$1:CB$87,'Fórmula'!H77,13)),IF('Fórmula'!J77=87,10^6,INDEX(properties!A$1:CB$87,'Fórmula'!J77,13)))</f>
        <v>0</v>
      </c>
      <c r="BC77" s="109">
        <f t="shared" si="9"/>
        <v>10</v>
      </c>
      <c r="BD77" s="110">
        <f t="array" ref="BD77">(('Fórmula'!C77)/('Fórmula'!C77+'Fórmula'!E77+'Fórmula'!G77+'Fórmula'!I77+'Fórmula'!K77))*(INDEX(properties!A$1:CB$87,'Fórmula'!B77,14))+(('Fórmula'!E77)/('Fórmula'!C77+'Fórmula'!E77+'Fórmula'!G77+'Fórmula'!I77+'Fórmula'!K77))*(INDEX(properties!A$1:CB$87,'Fórmula'!D77,14))+(('Fórmula'!G77)/('Fórmula'!C77+'Fórmula'!E77+'Fórmula'!G77+'Fórmula'!I77+'Fórmula'!K77))*(INDEX(properties!A$1:CB$87,'Fórmula'!F77,14))+(('Fórmula'!I77)/('Fórmula'!C77+'Fórmula'!E77+'Fórmula'!G77+'Fórmula'!I77+'Fórmula'!K77))*(INDEX(properties!A$1:CB$87,'Fórmula'!H77,14))+(('Fórmula'!K77)/('Fórmula'!C77+'Fórmula'!E77+'Fórmula'!G77+'Fórmula'!I77+'Fórmula'!K77))*(INDEX(properties!A$1:CB$87,'Fórmula'!J77,14))</f>
        <v>0</v>
      </c>
      <c r="BE77" s="110">
        <f t="array" ref="BE77">'Fórmula'!C77*(INDEX(properties!A$1:CB$87,'Fórmula'!B77,14))+'Fórmula'!E77*(INDEX(properties!A$1:CB$87,'Fórmula'!D77,14))+'Fórmula'!G77*(INDEX(properties!A$1:CB$87,'Fórmula'!F77,14))+'Fórmula'!I77*(INDEX(properties!A$1:CB$87,'Fórmula'!H77,14))+'Fórmula'!K77*(INDEX(properties!A$1:CB$87,'Fórmula'!J77,14))</f>
        <v>0</v>
      </c>
      <c r="BF77" s="110">
        <f t="array" ref="BF77">VARP(IF(INDEX(properties!A$1:CB$87,'Fórmula'!B77,14)&lt;&gt;"",INDEX(properties!A$1:CB$87,'Fórmula'!B77,14)),IF(INDEX(properties!A$1:CB$87,'Fórmula'!D77,14)&lt;&gt;"",INDEX(properties!A$1:CB$87,'Fórmula'!D77,14)),IF(INDEX(properties!A$1:CB$87,'Fórmula'!F77,14)&lt;&gt;"",INDEX(properties!A$1:CB$87,'Fórmula'!F77,14)),IF(INDEX(properties!A$1:CB$87,'Fórmula'!H77,14)&lt;&gt;"",INDEX(properties!A$1:CB$87,'Fórmula'!H77,14)),IF(INDEX(properties!A$1:CB$87,'Fórmula'!J77,14)&lt;&gt;"",INDEX(properties!A$1:CB$87,'Fórmula'!J77,14)))</f>
        <v>0</v>
      </c>
      <c r="BG77" s="110">
        <f t="array" ref="BG77">MAX(INDEX(properties!A$1:CB$87,'Fórmula'!B77,14),INDEX(properties!A$1:CB$87,'Fórmula'!D77,14),INDEX(properties!A$1:CB$87,'Fórmula'!F77,14),INDEX(properties!A$1:CB$87,'Fórmula'!H77,14),INDEX(properties!A$1:CB$87,'Fórmula'!J77,14))</f>
        <v>0</v>
      </c>
      <c r="BH77" s="110">
        <f t="array" ref="BH77">MIN(IF('Fórmula'!B77=87,10^6,INDEX(properties!A$1:CB$87,'Fórmula'!B77,14)),IF(('Fórmula'!D77)=87,10^6,INDEX(properties!A$1:CB$87,'Fórmula'!D77,14)),IF(('Fórmula'!F77)=87,10^6,INDEX(properties!A$1:CB$87,'Fórmula'!F77,14)),IF(('Fórmula'!H77)=87,10^6,INDEX(properties!A$1:CB$87,'Fórmula'!H77,14)),IF('Fórmula'!J77=87,10^6,INDEX(properties!A$1:CB$87,'Fórmula'!J77,14)))</f>
        <v>0</v>
      </c>
      <c r="BI77" s="110">
        <f t="shared" si="10"/>
        <v>0</v>
      </c>
      <c r="BJ77" s="111">
        <f t="array" ref="BJ77">(('Fórmula'!C77)/('Fórmula'!C77+'Fórmula'!E77+'Fórmula'!G77+'Fórmula'!I77+'Fórmula'!K77))*(INDEX(properties!A$1:CB$87,'Fórmula'!B77,19))+(('Fórmula'!E77)/('Fórmula'!C77+'Fórmula'!E77+'Fórmula'!G77+'Fórmula'!I77+'Fórmula'!K77))*(INDEX(properties!A$1:CB$87,'Fórmula'!D77,19))+(('Fórmula'!G77)/('Fórmula'!C77+'Fórmula'!E77+'Fórmula'!G77+'Fórmula'!I77+'Fórmula'!K77))*(INDEX(properties!A$1:CB$87,'Fórmula'!F77,19))+(('Fórmula'!I77)/('Fórmula'!C77+'Fórmula'!E77+'Fórmula'!G77+'Fórmula'!I77+'Fórmula'!K77))*(INDEX(properties!A$1:CB$87,'Fórmula'!H77,19))+(('Fórmula'!K77)/('Fórmula'!C77+'Fórmula'!E77+'Fórmula'!G77+'Fórmula'!I77+'Fórmula'!K77))*(INDEX(properties!A$1:CB$87,'Fórmula'!J77,19))</f>
        <v>7.166666667</v>
      </c>
      <c r="BK77" s="111">
        <f t="array" ref="BK77">'Fórmula'!C77*(INDEX(properties!A$1:CB$87,'Fórmula'!B77,19))+'Fórmula'!E77*(INDEX(properties!A$1:CB$87,'Fórmula'!D77,19))+'Fórmula'!G77*(INDEX(properties!A$1:CB$87,'Fórmula'!F77,19))+'Fórmula'!I77*(INDEX(properties!A$1:CB$87,'Fórmula'!H77,19))+'Fórmula'!K77*(INDEX(properties!A$1:CB$87,'Fórmula'!J77,19))</f>
        <v>86</v>
      </c>
      <c r="BL77" s="111">
        <f t="array" ref="BL77">VARP(IF(INDEX(properties!A$1:CB$87,'Fórmula'!B77,19)&lt;&gt;"",INDEX(properties!A$1:CB$87,'Fórmula'!B77,19)),IF(INDEX(properties!A$1:CB$87,'Fórmula'!D77,19)&lt;&gt;"",INDEX(properties!A$1:CB$87,'Fórmula'!D77,19)),IF(INDEX(properties!A$1:CB$87,'Fórmula'!F77,19)&lt;&gt;"",INDEX(properties!A$1:CB$87,'Fórmula'!F77,19)),IF(INDEX(properties!A$1:CB$87,'Fórmula'!H77,19)&lt;&gt;"",INDEX(properties!A$1:CB$87,'Fórmula'!H77,19)),IF(INDEX(properties!A$1:CB$87,'Fórmula'!J77,19)&lt;&gt;"",INDEX(properties!A$1:CB$87,'Fórmula'!J77,19)))</f>
        <v>20.56</v>
      </c>
      <c r="BM77" s="111">
        <f t="array" ref="BM77">MAX(INDEX(properties!A$1:CB$87,'Fórmula'!B77,19),INDEX(properties!A$1:CB$87,'Fórmula'!D77,19),INDEX(properties!A$1:CB$87,'Fórmula'!F77,19),INDEX(properties!A$1:CB$87,'Fórmula'!H77,19),INDEX(properties!A$1:CB$87,'Fórmula'!J77,19))</f>
        <v>13</v>
      </c>
      <c r="BN77" s="111">
        <f t="array" ref="BN77">MIN(IF(INDEX(properties!A$1:CB$87,'Fórmula'!B77,19)=0,10^6,INDEX(properties!A$1:CB$87,'Fórmula'!B77,19)),IF(INDEX(properties!A$1:CB$87,'Fórmula'!D77,19)=0,10^6,INDEX(properties!A$1:CB$87,'Fórmula'!D77,19)),IF(INDEX(properties!A$1:CB$87,'Fórmula'!F77,19)=0,10^6,INDEX(properties!A$1:CB$87,'Fórmula'!F77,19)),IF(INDEX(properties!A$1:CB$87,'Fórmula'!H77,19)=0,10^6,INDEX(properties!A$1:CB$87,'Fórmula'!H77,19)),IF(INDEX(properties!A$1:CB$87,'Fórmula'!J77,19)=0,10^6,INDEX(properties!A$1:CB$87,'Fórmula'!J77,19)))</f>
        <v>2</v>
      </c>
      <c r="BO77" s="111">
        <f t="shared" si="11"/>
        <v>11</v>
      </c>
      <c r="BP77" s="112">
        <f t="array" ref="BP77">(('Fórmula'!C77)/('Fórmula'!C77+'Fórmula'!E77+'Fórmula'!G77+'Fórmula'!I77+'Fórmula'!K77))*(INDEX(properties!A$1:CB$87,'Fórmula'!B77,20))+(('Fórmula'!E77)/('Fórmula'!C77+'Fórmula'!E77+'Fórmula'!G77+'Fórmula'!I77+'Fórmula'!K77))*(INDEX(properties!A$1:CB$87,'Fórmula'!D77,20))+(('Fórmula'!G77)/('Fórmula'!C77+'Fórmula'!E77+'Fórmula'!G77+'Fórmula'!I77+'Fórmula'!K77))*(INDEX(properties!A$1:CB$87,'Fórmula'!F77,20))+(('Fórmula'!I77)/('Fórmula'!C77+'Fórmula'!E77+'Fórmula'!G77+'Fórmula'!I77+'Fórmula'!K77))*(INDEX(properties!A$1:CB$87,'Fórmula'!H77,20))+(('Fórmula'!K77)/('Fórmula'!C77+'Fórmula'!E77+'Fórmula'!G77+'Fórmula'!I77+'Fórmula'!K77))*(INDEX(properties!A$1:CB$87,'Fórmula'!J77,20))</f>
        <v>4.583333333</v>
      </c>
      <c r="BQ77" s="112">
        <f t="array" ref="BQ77">'Fórmula'!C77*(INDEX(properties!A$1:CB$87,'Fórmula'!B77,20))+'Fórmula'!E77*(INDEX(properties!A$1:CB$87,'Fórmula'!D77,20))+'Fórmula'!G77*(INDEX(properties!A$1:CB$87,'Fórmula'!F77,20))+'Fórmula'!I77*(INDEX(properties!A$1:CB$87,'Fórmula'!H77,20))+'Fórmula'!K77*(INDEX(properties!A$1:CB$87,'Fórmula'!J77,20))</f>
        <v>55</v>
      </c>
      <c r="BR77" s="112">
        <f t="array" ref="BR77">VARP(IF(INDEX(properties!A$1:CB$87,'Fórmula'!B77,20)&lt;&gt;"",INDEX(properties!A$1:CB$87,'Fórmula'!B77,20)),IF(INDEX(properties!A$1:CB$87,'Fórmula'!D77,20)&lt;&gt;"",INDEX(properties!A$1:CB$87,'Fórmula'!D77,20)),IF(INDEX(properties!A$1:CB$87,'Fórmula'!F77,20)&lt;&gt;"",INDEX(properties!A$1:CB$87,'Fórmula'!F77,20)),IF(INDEX(properties!A$1:CB$87,'Fórmula'!H77,20)&lt;&gt;"",INDEX(properties!A$1:CB$87,'Fórmula'!H77,20)),IF(INDEX(properties!A$1:CB$87,'Fórmula'!J77,20)&lt;&gt;"",INDEX(properties!A$1:CB$87,'Fórmula'!J77,20)))</f>
        <v>3.84</v>
      </c>
      <c r="BS77" s="112">
        <f t="array" ref="BS77">MAX(INDEX(properties!A$1:CB$87,'Fórmula'!B77,20),INDEX(properties!A$1:CB$87,'Fórmula'!D77,20),INDEX(properties!A$1:CB$87,'Fórmula'!F77,20),INDEX(properties!A$1:CB$87,'Fórmula'!H77,20),INDEX(properties!A$1:CB$87,'Fórmula'!J77,20))</f>
        <v>6</v>
      </c>
      <c r="BT77" s="112">
        <f t="array" ref="BT77">MIN(IF(INDEX(properties!A$1:CB$87,'Fórmula'!B77,20)=0,10^6,INDEX(properties!A$1:CB$87,'Fórmula'!B77,20)),IF(INDEX(properties!A$1:CB$87,'Fórmula'!D77,20)=0,10^6,INDEX(properties!A$1:CB$87,'Fórmula'!D77,20)),IF(INDEX(properties!A$1:CB$87,'Fórmula'!F77,20)=0,10^6,INDEX(properties!A$1:CB$87,'Fórmula'!F77,20)),IF(INDEX(properties!A$1:CB$87,'Fórmula'!H77,20)=0,10^6,INDEX(properties!A$1:CB$87,'Fórmula'!H77,20)),IF(INDEX(properties!A$1:CB$87,'Fórmula'!J77,20)=0,10^6,INDEX(properties!A$1:CB$87,'Fórmula'!J77,20)))</f>
        <v>2</v>
      </c>
      <c r="BU77" s="112">
        <f t="shared" si="12"/>
        <v>4</v>
      </c>
      <c r="BV77" s="113">
        <f t="array" ref="BV77">(('Fórmula'!C77)/('Fórmula'!C77+'Fórmula'!E77+'Fórmula'!G77+'Fórmula'!I77+'Fórmula'!K77))*(INDEX(properties!A$1:CB$87,'Fórmula'!B77,21))+(('Fórmula'!E77)/('Fórmula'!C77+'Fórmula'!E77+'Fórmula'!G77+'Fórmula'!I77+'Fórmula'!K77))*(INDEX(properties!A$1:CB$87,'Fórmula'!D77,21))+(('Fórmula'!G77)/('Fórmula'!C77+'Fórmula'!E77+'Fórmula'!G77+'Fórmula'!I77+'Fórmula'!K77))*(INDEX(properties!A$1:CB$87,'Fórmula'!F77,21))+(('Fórmula'!I77)/('Fórmula'!C77+'Fórmula'!E77+'Fórmula'!G77+'Fórmula'!I77+'Fórmula'!K77))*(INDEX(properties!A$1:CB$87,'Fórmula'!H77,21))+(('Fórmula'!K77)/('Fórmula'!C77+'Fórmula'!E77+'Fórmula'!G77+'Fórmula'!I77+'Fórmula'!K77))*(INDEX(properties!A$1:CB$87,'Fórmula'!J77,21))</f>
        <v>4.5</v>
      </c>
      <c r="BW77" s="113">
        <f t="array" ref="BW77">'Fórmula'!C77*(INDEX(properties!A$1:CB$87,'Fórmula'!B77,21))+'Fórmula'!E77*(INDEX(properties!A$1:CB$87,'Fórmula'!D77,21))+'Fórmula'!G77*(INDEX(properties!A$1:CB$87,'Fórmula'!F77,21))+'Fórmula'!I77*(INDEX(properties!A$1:CB$87,'Fórmula'!H77,21))+'Fórmula'!K77*(INDEX(properties!A$1:CB$87,'Fórmula'!J77,21))</f>
        <v>54</v>
      </c>
      <c r="BX77" s="113">
        <f t="array" ref="BX77">VARP(IF(INDEX(properties!A$1:CB$87,'Fórmula'!B77,21)&lt;&gt;"",INDEX(properties!A$1:CB$87,'Fórmula'!B77,21)),IF(INDEX(properties!A$1:CB$87,'Fórmula'!D77,21)&lt;&gt;"",INDEX(properties!A$1:CB$87,'Fórmula'!D77,21)),IF(INDEX(properties!A$1:CB$87,'Fórmula'!F77,21)&lt;&gt;"",INDEX(properties!A$1:CB$87,'Fórmula'!F77,21)),IF(INDEX(properties!A$1:CB$87,'Fórmula'!H77,21)&lt;&gt;"",INDEX(properties!A$1:CB$87,'Fórmula'!H77,21)),IF(INDEX(properties!A$1:CB$87,'Fórmula'!J77,21)&lt;&gt;"",INDEX(properties!A$1:CB$87,'Fórmula'!J77,21)))</f>
        <v>4.24</v>
      </c>
      <c r="BY77" s="113">
        <f t="array" ref="BY77">MAX(INDEX(properties!A$1:CB$87,'Fórmula'!B77,21),INDEX(properties!A$1:CB$87,'Fórmula'!D77,21),INDEX(properties!A$1:CB$87,'Fórmula'!F77,21),INDEX(properties!A$1:CB$87,'Fórmula'!H77,21),INDEX(properties!A$1:CB$87,'Fórmula'!J77,21))</f>
        <v>6</v>
      </c>
      <c r="BZ77" s="113">
        <f t="array" ref="BZ77">MIN(IF(INDEX(properties!A$1:CB$87,'Fórmula'!B77,21)=0,10^6,INDEX(properties!A$1:CB$87,'Fórmula'!B77,21)),IF(INDEX(properties!A$1:CB$87,'Fórmula'!D77,21)=0,10^6,INDEX(properties!A$1:CB$87,'Fórmula'!D77,21)),IF(INDEX(properties!A$1:CB$87,'Fórmula'!F77,21)=0,10^6,INDEX(properties!A$1:CB$87,'Fórmula'!F77,21)),IF(INDEX(properties!A$1:CB$87,'Fórmula'!H77,21)=0,10^6,INDEX(properties!A$1:CB$87,'Fórmula'!H77,21)),IF(INDEX(properties!A$1:CB$87,'Fórmula'!J77,21)=0,10^6,INDEX(properties!A$1:CB$87,'Fórmula'!J77,21)))</f>
        <v>1</v>
      </c>
      <c r="CA77" s="113">
        <f t="shared" si="13"/>
        <v>5</v>
      </c>
      <c r="CB77" s="114">
        <f t="array" ref="CB77">(('Fórmula'!C77)/('Fórmula'!C77+'Fórmula'!E77+'Fórmula'!G77+'Fórmula'!I77+'Fórmula'!K77))*(INDEX(properties!A$1:CB$87,'Fórmula'!B77,23))+(('Fórmula'!E77)/('Fórmula'!C77+'Fórmula'!E77+'Fórmula'!G77+'Fórmula'!I77+'Fórmula'!K77))*(INDEX(properties!A$1:CB$87,'Fórmula'!D77,23))+(('Fórmula'!G77)/('Fórmula'!C77+'Fórmula'!E77+'Fórmula'!G77+'Fórmula'!I77+'Fórmula'!K77))*(INDEX(properties!A$1:CB$87,'Fórmula'!F77,23))+(('Fórmula'!I77)/('Fórmula'!C77+'Fórmula'!E77+'Fórmula'!G77+'Fórmula'!I77+'Fórmula'!K77))*(INDEX(properties!A$1:CB$87,'Fórmula'!H77,23))+(('Fórmula'!K77)/('Fórmula'!C77+'Fórmula'!E77+'Fórmula'!G77+'Fórmula'!I77+'Fórmula'!K77))*(INDEX(properties!A$1:CB$87,'Fórmula'!J77,23))</f>
        <v>1.276666667</v>
      </c>
      <c r="CC77" s="114">
        <f t="array" ref="CC77">'Fórmula'!C77*(INDEX(properties!A$1:CB$87,'Fórmula'!B77,23))+'Fórmula'!E77*(INDEX(properties!A$1:CB$87,'Fórmula'!D77,23))+'Fórmula'!G77*(INDEX(properties!A$1:CB$87,'Fórmula'!F77,23))+'Fórmula'!I77*(INDEX(properties!A$1:CB$87,'Fórmula'!H77,23))+'Fórmula'!K77*(INDEX(properties!A$1:CB$87,'Fórmula'!J77,23))</f>
        <v>15.32</v>
      </c>
      <c r="CD77" s="114">
        <f t="array" ref="CD77">VARP(IF(INDEX(properties!A$1:CB$87,'Fórmula'!B77,23)&lt;&gt;"",INDEX(properties!A$1:CB$87,'Fórmula'!B77,23)),IF(INDEX(properties!A$1:CB$87,'Fórmula'!D77,23)&lt;&gt;"",INDEX(properties!A$1:CB$87,'Fórmula'!D77,23)),IF(INDEX(properties!A$1:CB$87,'Fórmula'!F77,23)&lt;&gt;"",INDEX(properties!A$1:CB$87,'Fórmula'!F77,23)),IF(INDEX(properties!A$1:CB$87,'Fórmula'!H77,23)&lt;&gt;"",INDEX(properties!A$1:CB$87,'Fórmula'!H77,23)),IF(INDEX(properties!A$1:CB$87,'Fórmula'!J77,23)&lt;&gt;"",INDEX(properties!A$1:CB$87,'Fórmula'!J77,23)))</f>
        <v>2.117376</v>
      </c>
      <c r="CE77" s="114">
        <f t="array" ref="CE77">MAX(INDEX(properties!A$1:CB$87,'Fórmula'!B77,23),INDEX(properties!A$1:CB$87,'Fórmula'!D77,23),INDEX(properties!A$1:CB$87,'Fórmula'!F77,23),INDEX(properties!A$1:CB$87,'Fórmula'!H77,23),INDEX(properties!A$1:CB$87,'Fórmula'!J77,23))</f>
        <v>3.44</v>
      </c>
      <c r="CF77" s="114">
        <f t="array" ref="CF77">MIN(IF('Fórmula'!B77=87,10^6,INDEX(properties!A$1:CB$87,'Fórmula'!B77,23)),IF(('Fórmula'!D77)=87,10^6,INDEX(properties!A$1:CB$87,'Fórmula'!D77,23)),IF(('Fórmula'!F77)=87,10^6,INDEX(properties!A$1:CB$87,'Fórmula'!F77,23)),IF(('Fórmula'!H77)=87,10^6,INDEX(properties!A$1:CB$87,'Fórmula'!H77,23)),IF('Fórmula'!J77=87,10^6,INDEX(properties!A$1:CB$87,'Fórmula'!J77,23)))</f>
        <v>0</v>
      </c>
      <c r="CG77" s="114">
        <f t="shared" si="14"/>
        <v>3.44</v>
      </c>
      <c r="CH77" s="115">
        <f t="array" ref="CH77">(('Fórmula'!C77)/('Fórmula'!C77+'Fórmula'!E77+'Fórmula'!G77+'Fórmula'!I77+'Fórmula'!K77))*(INDEX(properties!A$1:CB$87,'Fórmula'!B77,26))+(('Fórmula'!E77)/('Fórmula'!C77+'Fórmula'!E77+'Fórmula'!G77+'Fórmula'!I77+'Fórmula'!K77))*(INDEX(properties!A$1:CB$87,'Fórmula'!D77,26))+(('Fórmula'!G77)/('Fórmula'!C77+'Fórmula'!E77+'Fórmula'!G77+'Fórmula'!I77+'Fórmula'!K77))*(INDEX(properties!A$1:CB$87,'Fórmula'!F77,26))+(('Fórmula'!I77)/('Fórmula'!C77+'Fórmula'!E77+'Fórmula'!G77+'Fórmula'!I77+'Fórmula'!K77))*(INDEX(properties!A$1:CB$87,'Fórmula'!H77,26))+(('Fórmula'!K77)/('Fórmula'!C77+'Fórmula'!E77+'Fórmula'!G77+'Fórmula'!I77+'Fórmula'!K77))*(INDEX(properties!A$1:CB$87,'Fórmula'!J77,26))</f>
        <v>10.38303333</v>
      </c>
      <c r="CI77" s="115">
        <f t="array" ref="CI77">'Fórmula'!C77*(INDEX(properties!A$1:CB$87,'Fórmula'!B77,26))+'Fórmula'!E77*(INDEX(properties!A$1:CB$87,'Fórmula'!D77,26))+'Fórmula'!G77*(INDEX(properties!A$1:CB$87,'Fórmula'!F77,26))+'Fórmula'!I77*(INDEX(properties!A$1:CB$87,'Fórmula'!H77,26))+'Fórmula'!K77*(INDEX(properties!A$1:CB$87,'Fórmula'!J77,26))</f>
        <v>124.5964</v>
      </c>
      <c r="CJ77" s="115">
        <f t="array" ref="CJ77">VARP(IF(INDEX(properties!A$1:CB$87,'Fórmula'!B77,26)&lt;&gt;"",INDEX(properties!A$1:CB$87,'Fórmula'!B77,26)),IF(INDEX(properties!A$1:CB$87,'Fórmula'!D77,26)&lt;&gt;"",INDEX(properties!A$1:CB$87,'Fórmula'!D77,26)),IF(INDEX(properties!A$1:CB$87,'Fórmula'!F77,26)&lt;&gt;"",INDEX(properties!A$1:CB$87,'Fórmula'!F77,26)),IF(INDEX(properties!A$1:CB$87,'Fórmula'!H77,26)&lt;&gt;"",INDEX(properties!A$1:CB$87,'Fórmula'!H77,26)),IF(INDEX(properties!A$1:CB$87,'Fórmula'!J77,26)&lt;&gt;"",INDEX(properties!A$1:CB$87,'Fórmula'!J77,26)))</f>
        <v>18.82988248</v>
      </c>
      <c r="CK77" s="116">
        <f t="array" ref="CK77">MAX(INDEX(properties!A$1:CB$87,'Fórmula'!B77,26),INDEX(properties!A$1:CB$87,'Fórmula'!D77,26),INDEX(properties!A$1:CB$87,'Fórmula'!F77,26),INDEX(properties!A$1:CB$87,'Fórmula'!H77,26),INDEX(properties!A$1:CB$87,'Fórmula'!J77,26))</f>
        <v>13.6181</v>
      </c>
      <c r="CL77" s="116">
        <f t="array" ref="CL77">MIN(IF(INDEX(properties!A$1:CB$87,'Fórmula'!B77,26)=0,10^6,INDEX(properties!A$1:CB$87,'Fórmula'!B77,26)),IF(INDEX(properties!A$1:CB$87,'Fórmula'!D77,26)=0,10^6,INDEX(properties!A$1:CB$87,'Fórmula'!D77,26)),IF(INDEX(properties!A$1:CB$87,'Fórmula'!F77,26)=0,10^6,INDEX(properties!A$1:CB$87,'Fórmula'!F77,26)),IF(INDEX(properties!A$1:CB$87,'Fórmula'!H77,26)=0,10^6,INDEX(properties!A$1:CB$87,'Fórmula'!H77,26)),IF(INDEX(properties!A$1:CB$87,'Fórmula'!J77,26)=0,10^6,INDEX(properties!A$1:CB$87,'Fórmula'!J77,26)))</f>
        <v>5.5769</v>
      </c>
      <c r="CM77" s="115">
        <f t="shared" si="15"/>
        <v>8.0412</v>
      </c>
      <c r="CN77" s="117">
        <f t="array" ref="CN77">(('Fórmula'!C77)/('Fórmula'!C77+'Fórmula'!E77+'Fórmula'!G77+'Fórmula'!I77+'Fórmula'!K77))*(INDEX(properties!A$1:CB$87,'Fórmula'!B77,30))+(('Fórmula'!E77)/('Fórmula'!C77+'Fórmula'!E77+'Fórmula'!G77+'Fórmula'!I77+'Fórmula'!K77))*(INDEX(properties!A$1:CB$87,'Fórmula'!D77,30))+(('Fórmula'!G77)/('Fórmula'!C77+'Fórmula'!E77+'Fórmula'!G77+'Fórmula'!I77+'Fórmula'!K77))*(INDEX(properties!A$1:CB$87,'Fórmula'!F77,30))+(('Fórmula'!I77)/('Fórmula'!C77+'Fórmula'!E77+'Fórmula'!G77+'Fórmula'!I77+'Fórmula'!K77))*(INDEX(properties!A$1:CB$87,'Fórmula'!H77,30))+(('Fórmula'!K77)/('Fórmula'!C77+'Fórmula'!E77+'Fórmula'!G77+'Fórmula'!I77+'Fórmula'!K77))*(INDEX(properties!A$1:CB$87,'Fórmula'!J77,30))</f>
        <v>2.63</v>
      </c>
      <c r="CO77" s="117">
        <f t="array" ref="CO77">'Fórmula'!C77*(INDEX(properties!A$1:CB$87,'Fórmula'!B77,30))+'Fórmula'!E77*(INDEX(properties!A$1:CB$87,'Fórmula'!D77,30))+'Fórmula'!G77*(INDEX(properties!A$1:CB$87,'Fórmula'!F77,30))+'Fórmula'!I77*(INDEX(properties!A$1:CB$87,'Fórmula'!H77,30))+'Fórmula'!K77*(INDEX(properties!A$1:CB$87,'Fórmula'!J77,30))</f>
        <v>31.56</v>
      </c>
      <c r="CP77" s="117">
        <f t="array" ref="CP77">VARP(IF(INDEX(properties!A$1:CB$87,'Fórmula'!B77,30)&lt;&gt;"",INDEX(properties!A$1:CB$87,'Fórmula'!B77,30)),IF(INDEX(properties!A$1:CB$87,'Fórmula'!D77,30)&lt;&gt;"",INDEX(properties!A$1:CB$87,'Fórmula'!D77,30)),IF(INDEX(properties!A$1:CB$87,'Fórmula'!F77,30)&lt;&gt;"",INDEX(properties!A$1:CB$87,'Fórmula'!F77,30)),IF(INDEX(properties!A$1:CB$87,'Fórmula'!H77,30)&lt;&gt;"",INDEX(properties!A$1:CB$87,'Fórmula'!H77,30)),IF(INDEX(properties!A$1:CB$87,'Fórmula'!J77,30)&lt;&gt;"",INDEX(properties!A$1:CB$87,'Fórmula'!J77,30)))</f>
        <v>1.31284</v>
      </c>
      <c r="CQ77" s="117">
        <f t="array" ref="CQ77">MAX(INDEX(properties!A$1:CB$87,'Fórmula'!B77,30),INDEX(properties!A$1:CB$87,'Fórmula'!D77,30),INDEX(properties!A$1:CB$87,'Fórmula'!F77,30),INDEX(properties!A$1:CB$87,'Fórmula'!H77,30),INDEX(properties!A$1:CB$87,'Fórmula'!J77,30))</f>
        <v>3.44</v>
      </c>
      <c r="CR77" s="117">
        <f t="array" ref="CR77">MIN(IF(INDEX(properties!A$1:CB$87,'Fórmula'!B77,30)=0,10^6,INDEX(properties!A$1:CB$87,'Fórmula'!B77,30)),IF(INDEX(properties!A$1:CB$87,'Fórmula'!D77,30)=0,10^6,INDEX(properties!A$1:CB$87,'Fórmula'!D77,30)),IF(INDEX(properties!A$1:CB$87,'Fórmula'!F77,30)=0,10^6,INDEX(properties!A$1:CB$87,'Fórmula'!F77,30)),IF(INDEX(properties!A$1:CB$87,'Fórmula'!H77,30)=0,10^6,INDEX(properties!A$1:CB$87,'Fórmula'!H77,30)),IF(INDEX(properties!A$1:CB$87,'Fórmula'!J77,30)=0,10^6,INDEX(properties!A$1:CB$87,'Fórmula'!J77,30)))</f>
        <v>0.95</v>
      </c>
      <c r="CS77" s="117">
        <f t="shared" si="16"/>
        <v>2.49</v>
      </c>
      <c r="CT77" s="118">
        <f t="array" ref="CT77">(('Fórmula'!C77)/('Fórmula'!C77+'Fórmula'!E77+'Fórmula'!G77+'Fórmula'!I77+'Fórmula'!K77))*(INDEX(properties!A$1:CB$87,'Fórmula'!B77,31))+(('Fórmula'!E77)/('Fórmula'!C77+'Fórmula'!E77+'Fórmula'!G77+'Fórmula'!I77+'Fórmula'!K77))*(INDEX(properties!A$1:CB$87,'Fórmula'!D77,31))+(('Fórmula'!G77)/('Fórmula'!C77+'Fórmula'!E77+'Fórmula'!G77+'Fórmula'!I77+'Fórmula'!K77))*(INDEX(properties!A$1:CB$87,'Fórmula'!F77,31))+(('Fórmula'!I77)/('Fórmula'!C77+'Fórmula'!E77+'Fórmula'!G77+'Fórmula'!I77+'Fórmula'!K77))*(INDEX(properties!A$1:CB$87,'Fórmula'!H77,31))+(('Fórmula'!K77)/('Fórmula'!C77+'Fórmula'!E77+'Fórmula'!G77+'Fórmula'!I77+'Fórmula'!K77))*(INDEX(properties!A$1:CB$87,'Fórmula'!J77,31))</f>
        <v>2.568333333</v>
      </c>
      <c r="CU77" s="118">
        <f t="array" ref="CU77">'Fórmula'!C77*(INDEX(properties!A$1:CB$87,'Fórmula'!B77,31))+'Fórmula'!E77*(INDEX(properties!A$1:CB$87,'Fórmula'!D77,31))+'Fórmula'!G77*(INDEX(properties!A$1:CB$87,'Fórmula'!F77,31))+'Fórmula'!I77*(INDEX(properties!A$1:CB$87,'Fórmula'!H77,31))+'Fórmula'!K77*(INDEX(properties!A$1:CB$87,'Fórmula'!J77,31))</f>
        <v>30.82</v>
      </c>
      <c r="CV77" s="118">
        <f t="array" ref="CV77">VARP(IF(INDEX(properties!A$1:CB$87,'Fórmula'!B77,31)&lt;&gt;"",INDEX(properties!A$1:CB$87,'Fórmula'!B77,31)),IF(INDEX(properties!A$1:CB$87,'Fórmula'!D77,31)&lt;&gt;"",INDEX(properties!A$1:CB$87,'Fórmula'!D77,31)),IF(INDEX(properties!A$1:CB$87,'Fórmula'!F77,31)&lt;&gt;"",INDEX(properties!A$1:CB$87,'Fórmula'!F77,31)),IF(INDEX(properties!A$1:CB$87,'Fórmula'!H77,31)&lt;&gt;"",INDEX(properties!A$1:CB$87,'Fórmula'!H77,31)),IF(INDEX(properties!A$1:CB$87,'Fórmula'!J77,31)&lt;&gt;"",INDEX(properties!A$1:CB$87,'Fórmula'!J77,31)))</f>
        <v>1.15236</v>
      </c>
      <c r="CW77" s="118">
        <f t="array" ref="CW77">MAX(INDEX(properties!A$1:CB$87,'Fórmula'!B77,31),INDEX(properties!A$1:CB$87,'Fórmula'!D77,31),INDEX(properties!A$1:CB$87,'Fórmula'!F77,31),INDEX(properties!A$1:CB$87,'Fórmula'!H77,31),INDEX(properties!A$1:CB$87,'Fórmula'!J77,31))</f>
        <v>3.32</v>
      </c>
      <c r="CX77" s="118">
        <f t="array" ref="CX77">MIN(IF(INDEX(properties!A$1:CB$87,'Fórmula'!B77,31)=0,10^6,INDEX(properties!A$1:CB$87,'Fórmula'!B77,31)),IF(INDEX(properties!A$1:CB$87,'Fórmula'!D77,31)=0,10^6,INDEX(properties!A$1:CB$87,'Fórmula'!D77,31)),IF(INDEX(properties!A$1:CB$87,'Fórmula'!F77,31)=0,10^6,INDEX(properties!A$1:CB$87,'Fórmula'!F77,31)),IF(INDEX(properties!A$1:CB$87,'Fórmula'!H77,31)=0,10^6,INDEX(properties!A$1:CB$87,'Fórmula'!H77,31)),IF(INDEX(properties!A$1:CB$87,'Fórmula'!J77,31)=0,10^6,INDEX(properties!A$1:CB$87,'Fórmula'!J77,31)))</f>
        <v>1.13</v>
      </c>
      <c r="CY77" s="118">
        <f t="shared" si="17"/>
        <v>2.19</v>
      </c>
      <c r="CZ77" s="119">
        <f t="array" ref="CZ77">(('Fórmula'!C77)/('Fórmula'!C77+'Fórmula'!E77+'Fórmula'!G77+'Fórmula'!I77+'Fórmula'!K77))*(INDEX(properties!A$1:CB$87,'Fórmula'!B77,32))+(('Fórmula'!E77)/('Fórmula'!C77+'Fórmula'!E77+'Fórmula'!G77+'Fórmula'!I77+'Fórmula'!K77))*(INDEX(properties!A$1:CB$87,'Fórmula'!D77,32))+(('Fórmula'!G77)/('Fórmula'!C77+'Fórmula'!E77+'Fórmula'!G77+'Fórmula'!I77+'Fórmula'!K77))*(INDEX(properties!A$1:CB$87,'Fórmula'!F77,32))+(('Fórmula'!I77)/('Fórmula'!C77+'Fórmula'!E77+'Fórmula'!G77+'Fórmula'!I77+'Fórmula'!K77))*(INDEX(properties!A$1:CB$87,'Fórmula'!H77,32))+(('Fórmula'!K77)/('Fórmula'!C77+'Fórmula'!E77+'Fórmula'!G77+'Fórmula'!I77+'Fórmula'!K77))*(INDEX(properties!A$1:CB$87,'Fórmula'!J77,32))</f>
        <v>5.623333333</v>
      </c>
      <c r="DA77" s="119">
        <f t="array" ref="DA77">'Fórmula'!C77*(INDEX(properties!A$1:CB$87,'Fórmula'!B77,32))+'Fórmula'!E77*(INDEX(properties!A$1:CB$87,'Fórmula'!D77,32))+'Fórmula'!G77*(INDEX(properties!A$1:CB$87,'Fórmula'!F77,32))+'Fórmula'!I77*(INDEX(properties!A$1:CB$87,'Fórmula'!H77,32))+'Fórmula'!K77*(INDEX(properties!A$1:CB$87,'Fórmula'!J77,32))</f>
        <v>67.48</v>
      </c>
      <c r="DB77" s="119">
        <f t="array" ref="DB77">VARP(IF(INDEX(properties!A$1:CB$87,'Fórmula'!B77,32)&lt;&gt;"",INDEX(properties!A$1:CB$87,'Fórmula'!B77,32)),IF(INDEX(properties!A$1:CB$87,'Fórmula'!D77,32)&lt;&gt;"",INDEX(properties!A$1:CB$87,'Fórmula'!D77,32)),IF(INDEX(properties!A$1:CB$87,'Fórmula'!F77,32)&lt;&gt;"",INDEX(properties!A$1:CB$87,'Fórmula'!F77,32)),IF(INDEX(properties!A$1:CB$87,'Fórmula'!H77,32)&lt;&gt;"",INDEX(properties!A$1:CB$87,'Fórmula'!H77,32)),IF(INDEX(properties!A$1:CB$87,'Fórmula'!J77,32)&lt;&gt;"",INDEX(properties!A$1:CB$87,'Fórmula'!J77,32)))</f>
        <v>6.104096</v>
      </c>
      <c r="DC77" s="119">
        <f t="array" ref="DC77">MAX(INDEX(properties!A$1:CB$87,'Fórmula'!B77,32),INDEX(properties!A$1:CB$87,'Fórmula'!D77,32),INDEX(properties!A$1:CB$87,'Fórmula'!F77,32),INDEX(properties!A$1:CB$87,'Fórmula'!H77,32),INDEX(properties!A$1:CB$87,'Fórmula'!J77,32))</f>
        <v>7.54</v>
      </c>
      <c r="DD77" s="119">
        <f t="array" ref="DD77">MIN(IF(INDEX(properties!A$1:CB$87,'Fórmula'!B77,32)=0,10^6,INDEX(properties!A$1:CB$87,'Fórmula'!B77,32)),IF(INDEX(properties!A$1:CB$87,'Fórmula'!D77,32)=0,10^6,INDEX(properties!A$1:CB$87,'Fórmula'!D77,32)),IF(INDEX(properties!A$1:CB$87,'Fórmula'!F77,32)=0,10^6,INDEX(properties!A$1:CB$87,'Fórmula'!F77,32)),IF(INDEX(properties!A$1:CB$87,'Fórmula'!H77,32)=0,10^6,INDEX(properties!A$1:CB$87,'Fórmula'!H77,32)),IF(INDEX(properties!A$1:CB$87,'Fórmula'!J77,32)=0,10^6,INDEX(properties!A$1:CB$87,'Fórmula'!J77,32)))</f>
        <v>2</v>
      </c>
      <c r="DE77" s="119">
        <f t="shared" si="18"/>
        <v>5.54</v>
      </c>
      <c r="DF77" s="104">
        <f t="array" ref="DF77">(('Fórmula'!C77)/('Fórmula'!C77+'Fórmula'!E77+'Fórmula'!G77+'Fórmula'!I77+'Fórmula'!K77))*(INDEX(properties!A$1:CB$87,'Fórmula'!B77,34))+(('Fórmula'!E77)/('Fórmula'!C77+'Fórmula'!E77+'Fórmula'!G77+'Fórmula'!I77+'Fórmula'!K77))*(INDEX(properties!A$1:CB$87,'Fórmula'!D77,34))+(('Fórmula'!G77)/('Fórmula'!C77+'Fórmula'!E77+'Fórmula'!G77+'Fórmula'!I77+'Fórmula'!K77))*(INDEX(properties!A$1:CB$87,'Fórmula'!F77,34))+(('Fórmula'!I77)/('Fórmula'!C77+'Fórmula'!E77+'Fórmula'!G77+'Fórmula'!I77+'Fórmula'!K77))*(INDEX(properties!A$1:CB$87,'Fórmula'!H77,34))+(('Fórmula'!K77)/('Fórmula'!C77+'Fórmula'!E77+'Fórmula'!G77+'Fórmula'!I77+'Fórmula'!K77))*(INDEX(properties!A$1:CB$87,'Fórmula'!J77,34))</f>
        <v>2.715916667</v>
      </c>
      <c r="DG77" s="104">
        <f t="array" ref="DG77">'Fórmula'!C77*(INDEX(properties!A$1:CB$87,'Fórmula'!B77,34))+'Fórmula'!E77*(INDEX(properties!A$1:CB$87,'Fórmula'!D77,34))+'Fórmula'!G77*(INDEX(properties!A$1:CB$87,'Fórmula'!F77,34))+'Fórmula'!I77*(INDEX(properties!A$1:CB$87,'Fórmula'!H77,34))+'Fórmula'!K77*(INDEX(properties!A$1:CB$87,'Fórmula'!J77,34))</f>
        <v>32.591</v>
      </c>
      <c r="DH77" s="104">
        <f t="array" ref="DH77">VARP(IF(INDEX(properties!A$1:CB$87,'Fórmula'!B77,34)&lt;&gt;"",INDEX(properties!A$1:CB$87,'Fórmula'!B77,34)),IF(INDEX(properties!A$1:CB$87,'Fórmula'!D77,34)&lt;&gt;"",INDEX(properties!A$1:CB$87,'Fórmula'!D77,34)),IF(INDEX(properties!A$1:CB$87,'Fórmula'!F77,34)&lt;&gt;"",INDEX(properties!A$1:CB$87,'Fórmula'!F77,34)),IF(INDEX(properties!A$1:CB$87,'Fórmula'!H77,34)&lt;&gt;"",INDEX(properties!A$1:CB$87,'Fórmula'!H77,34)),IF(INDEX(properties!A$1:CB$87,'Fórmula'!J77,34)&lt;&gt;"",INDEX(properties!A$1:CB$87,'Fórmula'!J77,34)))</f>
        <v>1.44455856</v>
      </c>
      <c r="DI77" s="104">
        <f t="array" ref="DI77">MAX(INDEX(properties!A$1:CB$87,'Fórmula'!B77,34),INDEX(properties!A$1:CB$87,'Fórmula'!D77,34),INDEX(properties!A$1:CB$87,'Fórmula'!F77,34),INDEX(properties!A$1:CB$87,'Fórmula'!H77,34),INDEX(properties!A$1:CB$87,'Fórmula'!J77,34))</f>
        <v>3.61</v>
      </c>
      <c r="DJ77" s="104">
        <f t="array" ref="DJ77">MIN(IF(INDEX(properties!A$1:CB$87,'Fórmula'!B77,34)=0,10^6,INDEX(properties!A$1:CB$87,'Fórmula'!B77,34)),IF(INDEX(properties!A$1:CB$87,'Fórmula'!D77,34)=0,10^6,INDEX(properties!A$1:CB$87,'Fórmula'!D77,34)),IF(INDEX(properties!A$1:CB$87,'Fórmula'!F77,34)=0,10^6,INDEX(properties!A$1:CB$87,'Fórmula'!F77,34)),IF(INDEX(properties!A$1:CB$87,'Fórmula'!H77,34)=0,10^6,INDEX(properties!A$1:CB$87,'Fórmula'!H77,34)),IF(INDEX(properties!A$1:CB$87,'Fórmula'!J77,34)=0,10^6,INDEX(properties!A$1:CB$87,'Fórmula'!J77,34)))</f>
        <v>0.963</v>
      </c>
      <c r="DK77" s="104">
        <f t="shared" si="19"/>
        <v>2.647</v>
      </c>
      <c r="DL77" s="105">
        <f t="array" ref="DL77">(('Fórmula'!C77)/('Fórmula'!C77+'Fórmula'!E77+'Fórmula'!G77+'Fórmula'!I77+'Fórmula'!K77))*(INDEX(properties!A$1:CB$87,'Fórmula'!B77,37))+(('Fórmula'!E77)/('Fórmula'!C77+'Fórmula'!E77+'Fórmula'!G77+'Fórmula'!I77+'Fórmula'!K77))*(INDEX(properties!A$1:CB$87,'Fórmula'!D77,37))+(('Fórmula'!G77)/('Fórmula'!C77+'Fórmula'!E77+'Fórmula'!G77+'Fórmula'!I77+'Fórmula'!K77))*(INDEX(properties!A$1:CB$87,'Fórmula'!F77,37))+(('Fórmula'!I77)/('Fórmula'!C77+'Fórmula'!E77+'Fórmula'!G77+'Fórmula'!I77+'Fórmula'!K77))*(INDEX(properties!A$1:CB$87,'Fórmula'!H77,37))+(('Fórmula'!K77)/('Fórmula'!C77+'Fórmula'!E77+'Fórmula'!G77+'Fórmula'!I77+'Fórmula'!K77))*(INDEX(properties!A$1:CB$87,'Fórmula'!J77,37))</f>
        <v>2.545833333</v>
      </c>
      <c r="DM77" s="105">
        <f t="array" ref="DM77">'Fórmula'!C77*(INDEX(properties!A$1:CB$87,'Fórmula'!B77,37))+'Fórmula'!E77*(INDEX(properties!A$1:CB$87,'Fórmula'!D77,37))+'Fórmula'!G77*(INDEX(properties!A$1:CB$87,'Fórmula'!F77,37))+'Fórmula'!I77*(INDEX(properties!A$1:CB$87,'Fórmula'!H77,37))+'Fórmula'!K77*(INDEX(properties!A$1:CB$87,'Fórmula'!J77,37))</f>
        <v>30.55</v>
      </c>
      <c r="DN77" s="105">
        <f t="array" ref="DN77">VARP(IF(INDEX(properties!A$1:CB$87,'Fórmula'!B77,37)&lt;&gt;"",INDEX(properties!A$1:CB$87,'Fórmula'!B77,37)),IF(INDEX(properties!A$1:CB$87,'Fórmula'!D77,37)&lt;&gt;"",INDEX(properties!A$1:CB$87,'Fórmula'!D77,37)),IF(INDEX(properties!A$1:CB$87,'Fórmula'!F77,37)&lt;&gt;"",INDEX(properties!A$1:CB$87,'Fórmula'!F77,37)),IF(INDEX(properties!A$1:CB$87,'Fórmula'!H77,37)&lt;&gt;"",INDEX(properties!A$1:CB$87,'Fórmula'!H77,37)),IF(INDEX(properties!A$1:CB$87,'Fórmula'!J77,37)&lt;&gt;"",INDEX(properties!A$1:CB$87,'Fórmula'!J77,37)))</f>
        <v>1.2724</v>
      </c>
      <c r="DO77" s="105">
        <f t="array" ref="DO77">MAX(INDEX(properties!A$1:CB$87,'Fórmula'!B77,37),INDEX(properties!A$1:CB$87,'Fórmula'!D77,37),INDEX(properties!A$1:CB$87,'Fórmula'!F77,37),INDEX(properties!A$1:CB$87,'Fórmula'!H77,37),INDEX(properties!A$1:CB$87,'Fórmula'!J77,37))</f>
        <v>3.45</v>
      </c>
      <c r="DP77" s="105">
        <f t="array" ref="DP77">MIN(IF(INDEX(properties!A$1:CB$87,'Fórmula'!B77,37)=0,10^6,INDEX(properties!A$1:CB$87,'Fórmula'!B77,37)),IF(INDEX(properties!A$1:CB$87,'Fórmula'!D77,37)=0,10^6,INDEX(properties!A$1:CB$87,'Fórmula'!D77,37)),IF(INDEX(properties!A$1:CB$87,'Fórmula'!F77,37)=0,10^6,INDEX(properties!A$1:CB$87,'Fórmula'!F77,37)),IF(INDEX(properties!A$1:CB$87,'Fórmula'!H77,37)=0,10^6,INDEX(properties!A$1:CB$87,'Fórmula'!H77,37)),IF(INDEX(properties!A$1:CB$87,'Fórmula'!J77,37)=0,10^6,INDEX(properties!A$1:CB$87,'Fórmula'!J77,37)))</f>
        <v>1</v>
      </c>
      <c r="DQ77" s="105">
        <f t="shared" si="20"/>
        <v>2.45</v>
      </c>
      <c r="DR77" s="109">
        <f t="array" ref="DR77">(('Fórmula'!C77)/('Fórmula'!C77+'Fórmula'!E77+'Fórmula'!G77+'Fórmula'!I77+'Fórmula'!K77))*(INDEX(properties!A$1:CB$87,'Fórmula'!B77,39))+(('Fórmula'!E77)/('Fórmula'!C77+'Fórmula'!E77+'Fórmula'!G77+'Fórmula'!I77+'Fórmula'!K77))*(INDEX(properties!A$1:CB$87,'Fórmula'!D77,39))+(('Fórmula'!G77)/('Fórmula'!C77+'Fórmula'!E77+'Fórmula'!G77+'Fórmula'!I77+'Fórmula'!K77))*(INDEX(properties!A$1:CB$87,'Fórmula'!F77,39))+(('Fórmula'!I77)/('Fórmula'!C77+'Fórmula'!E77+'Fórmula'!G77+'Fórmula'!I77+'Fórmula'!K77))*(INDEX(properties!A$1:CB$87,'Fórmula'!H77,39))+(('Fórmula'!K77)/('Fórmula'!C77+'Fórmula'!E77+'Fórmula'!G77+'Fórmula'!I77+'Fórmula'!K77))*(INDEX(properties!A$1:CB$87,'Fórmula'!J77,39))</f>
        <v>0.965</v>
      </c>
      <c r="DS77" s="109">
        <f t="array" ref="DS77">'Fórmula'!C77*(INDEX(properties!A$1:CB$87,'Fórmula'!B77,39))+'Fórmula'!E77*(INDEX(properties!A$1:CB$87,'Fórmula'!D77,39))+'Fórmula'!G77*(INDEX(properties!A$1:CB$87,'Fórmula'!F77,39))+'Fórmula'!I77*(INDEX(properties!A$1:CB$87,'Fórmula'!H77,39))+'Fórmula'!K77*(INDEX(properties!A$1:CB$87,'Fórmula'!J77,39))</f>
        <v>11.58</v>
      </c>
      <c r="DT77" s="109">
        <f t="array" ref="DT77">VARP(IF(INDEX(properties!A$1:CB$87,'Fórmula'!B77,39)&lt;&gt;"",INDEX(properties!A$1:CB$87,'Fórmula'!B77,39)),IF(INDEX(properties!A$1:CB$87,'Fórmula'!D77,39)&lt;&gt;"",INDEX(properties!A$1:CB$87,'Fórmula'!D77,39)),IF(INDEX(properties!A$1:CB$87,'Fórmula'!F77,39)&lt;&gt;"",INDEX(properties!A$1:CB$87,'Fórmula'!F77,39)),IF(INDEX(properties!A$1:CB$87,'Fórmula'!H77,39)&lt;&gt;"",INDEX(properties!A$1:CB$87,'Fórmula'!H77,39)),IF(INDEX(properties!A$1:CB$87,'Fórmula'!J77,39)&lt;&gt;"",INDEX(properties!A$1:CB$87,'Fórmula'!J77,39)))</f>
        <v>0.705304</v>
      </c>
      <c r="DU77" s="120">
        <f t="array" ref="DU77">MAX(INDEX(properties!A$1:CB$87,'Fórmula'!B77,39),INDEX(properties!A$1:CB$87,'Fórmula'!D77,39),INDEX(properties!A$1:CB$87,'Fórmula'!F77,39),INDEX(properties!A$1:CB$87,'Fórmula'!H77,39),INDEX(properties!A$1:CB$87,'Fórmula'!J77,39))</f>
        <v>2.19</v>
      </c>
      <c r="DV77" s="120">
        <f t="array" ref="DV77">MIN(IF(INDEX(properties!A$1:CB$87,'Fórmula'!B77,39)=0,10^6,INDEX(properties!A$1:CB$87,'Fórmula'!B77,39)),IF(INDEX(properties!A$1:CB$87,'Fórmula'!D77,39)=0,10^6,INDEX(properties!A$1:CB$87,'Fórmula'!D77,39)),IF(INDEX(properties!A$1:CB$87,'Fórmula'!F77,39)=0,10^6,INDEX(properties!A$1:CB$87,'Fórmula'!F77,39)),IF(INDEX(properties!A$1:CB$87,'Fórmula'!H77,39)=0,10^6,INDEX(properties!A$1:CB$87,'Fórmula'!H77,39)),IF(INDEX(properties!A$1:CB$87,'Fórmula'!J77,39)=0,10^6,INDEX(properties!A$1:CB$87,'Fórmula'!J77,39)))</f>
        <v>0.48</v>
      </c>
      <c r="DW77" s="109">
        <f t="shared" si="21"/>
        <v>1.71</v>
      </c>
      <c r="DX77" s="110">
        <f t="array" ref="DX77">(('Fórmula'!C77)/('Fórmula'!C77+'Fórmula'!E77+'Fórmula'!G77+'Fórmula'!I77+'Fórmula'!K77))*(INDEX(properties!A$1:CB$87,'Fórmula'!B77,40))+(('Fórmula'!E77)/('Fórmula'!C77+'Fórmula'!E77+'Fórmula'!G77+'Fórmula'!I77+'Fórmula'!K77))*(INDEX(properties!A$1:CB$87,'Fórmula'!D77,40))+(('Fórmula'!G77)/('Fórmula'!C77+'Fórmula'!E77+'Fórmula'!G77+'Fórmula'!I77+'Fórmula'!K77))*(INDEX(properties!A$1:CB$87,'Fórmula'!F77,40))+(('Fórmula'!I77)/('Fórmula'!C77+'Fórmula'!E77+'Fórmula'!G77+'Fórmula'!I77+'Fórmula'!K77))*(INDEX(properties!A$1:CB$87,'Fórmula'!H77,40))+(('Fórmula'!K77)/('Fórmula'!C77+'Fórmula'!E77+'Fórmula'!G77+'Fórmula'!I77+'Fórmula'!K77))*(INDEX(properties!A$1:CB$87,'Fórmula'!J77,40))</f>
        <v>1.041666667</v>
      </c>
      <c r="DY77" s="110">
        <f t="array" ref="DY77">'Fórmula'!C77*(INDEX(properties!A$1:CB$87,'Fórmula'!B77,40))+'Fórmula'!E77*(INDEX(properties!A$1:CB$87,'Fórmula'!D77,40))+'Fórmula'!G77*(INDEX(properties!A$1:CB$87,'Fórmula'!F77,40))+'Fórmula'!I77*(INDEX(properties!A$1:CB$87,'Fórmula'!H77,40))+'Fórmula'!K77*(INDEX(properties!A$1:CB$87,'Fórmula'!J77,40))</f>
        <v>12.5</v>
      </c>
      <c r="DZ77" s="110">
        <f t="array" ref="DZ77">VARP(IF(INDEX(properties!A$1:CB$87,'Fórmula'!B77,40)&lt;&gt;"",INDEX(properties!A$1:CB$87,'Fórmula'!B77,40)),IF(INDEX(properties!A$1:CB$87,'Fórmula'!D77,40)&lt;&gt;"",INDEX(properties!A$1:CB$87,'Fórmula'!D77,40)),IF(INDEX(properties!A$1:CB$87,'Fórmula'!F77,40)&lt;&gt;"",INDEX(properties!A$1:CB$87,'Fórmula'!F77,40)),IF(INDEX(properties!A$1:CB$87,'Fórmula'!H77,40)&lt;&gt;"",INDEX(properties!A$1:CB$87,'Fórmula'!H77,40)),IF(INDEX(properties!A$1:CB$87,'Fórmula'!J77,40)&lt;&gt;"",INDEX(properties!A$1:CB$87,'Fórmula'!J77,40)))</f>
        <v>0.4782</v>
      </c>
      <c r="EA77" s="121">
        <f t="array" ref="EA77">MAX(INDEX(properties!A$1:CB$87,'Fórmula'!B77,40),INDEX(properties!A$1:CB$87,'Fórmula'!D77,40),INDEX(properties!A$1:CB$87,'Fórmula'!F77,40),INDEX(properties!A$1:CB$87,'Fórmula'!H77,40),INDEX(properties!A$1:CB$87,'Fórmula'!J77,40))</f>
        <v>1.92</v>
      </c>
      <c r="EB77" s="121">
        <f t="array" ref="EB77">MIN(IF(INDEX(properties!A$1:CB$87,'Fórmula'!B77,40)=0,10^6,INDEX(properties!A$1:CB$87,'Fórmula'!B77,40)),IF(INDEX(properties!A$1:CB$87,'Fórmula'!D77,40)=0,10^6,INDEX(properties!A$1:CB$87,'Fórmula'!D77,40)),IF(INDEX(properties!A$1:CB$87,'Fórmula'!F77,40)=0,10^6,INDEX(properties!A$1:CB$87,'Fórmula'!F77,40)),IF(INDEX(properties!A$1:CB$87,'Fórmula'!H77,40)=0,10^6,INDEX(properties!A$1:CB$87,'Fórmula'!H77,40)),IF(INDEX(properties!A$1:CB$87,'Fórmula'!J77,40)=0,10^6,INDEX(properties!A$1:CB$87,'Fórmula'!J77,40)))</f>
        <v>0.73</v>
      </c>
      <c r="EC77" s="110">
        <f t="shared" si="22"/>
        <v>1.19</v>
      </c>
      <c r="ED77" s="111">
        <f t="array" ref="ED77">(('Fórmula'!C77)/('Fórmula'!C77+'Fórmula'!E77+'Fórmula'!G77+'Fórmula'!I77+'Fórmula'!K77))*(INDEX(properties!A$1:CB$87,'Fórmula'!B77,41))+(('Fórmula'!E77)/('Fórmula'!C77+'Fórmula'!E77+'Fórmula'!G77+'Fórmula'!I77+'Fórmula'!K77))*(INDEX(properties!A$1:CB$87,'Fórmula'!D77,41))+(('Fórmula'!G77)/('Fórmula'!C77+'Fórmula'!E77+'Fórmula'!G77+'Fórmula'!I77+'Fórmula'!K77))*(INDEX(properties!A$1:CB$87,'Fórmula'!F77,41))+(('Fórmula'!I77)/('Fórmula'!C77+'Fórmula'!E77+'Fórmula'!G77+'Fórmula'!I77+'Fórmula'!K77))*(INDEX(properties!A$1:CB$87,'Fórmula'!H77,41))+(('Fórmula'!K77)/('Fórmula'!C77+'Fórmula'!E77+'Fórmula'!G77+'Fórmula'!I77+'Fórmula'!K77))*(INDEX(properties!A$1:CB$87,'Fórmula'!J77,41))</f>
        <v>1.1325</v>
      </c>
      <c r="EE77" s="111">
        <f t="array" ref="EE77">'Fórmula'!C77*(INDEX(properties!A$1:CB$87,'Fórmula'!B77,41))+'Fórmula'!E77*(INDEX(properties!A$1:CB$87,'Fórmula'!D77,41))+'Fórmula'!G77*(INDEX(properties!A$1:CB$87,'Fórmula'!F77,41))+'Fórmula'!I77*(INDEX(properties!A$1:CB$87,'Fórmula'!H77,41))+'Fórmula'!K77*(INDEX(properties!A$1:CB$87,'Fórmula'!J77,41))</f>
        <v>13.59</v>
      </c>
      <c r="EF77" s="111">
        <f t="array" ref="EF77">VARP(IF(INDEX(properties!A$1:CB$87,'Fórmula'!B77,41)&lt;&gt;"",INDEX(properties!A$1:CB$87,'Fórmula'!B77,41)),IF(INDEX(properties!A$1:CB$87,'Fórmula'!D77,41)&lt;&gt;"",INDEX(properties!A$1:CB$87,'Fórmula'!D77,41)),IF(INDEX(properties!A$1:CB$87,'Fórmula'!F77,41)&lt;&gt;"",INDEX(properties!A$1:CB$87,'Fórmula'!F77,41)),IF(INDEX(properties!A$1:CB$87,'Fórmula'!H77,41)&lt;&gt;"",INDEX(properties!A$1:CB$87,'Fórmula'!H77,41)),IF(INDEX(properties!A$1:CB$87,'Fórmula'!J77,41)&lt;&gt;"",INDEX(properties!A$1:CB$87,'Fórmula'!J77,41)))</f>
        <v>0.241696</v>
      </c>
      <c r="EG77" s="122">
        <f t="array" ref="EG77">MAX(INDEX(properties!A$1:CB$87,'Fórmula'!B77,41),INDEX(properties!A$1:CB$87,'Fórmula'!D77,41),INDEX(properties!A$1:CB$87,'Fórmula'!F77,41),INDEX(properties!A$1:CB$87,'Fórmula'!H77,41),INDEX(properties!A$1:CB$87,'Fórmula'!J77,41))</f>
        <v>1.32</v>
      </c>
      <c r="EH77" s="122">
        <f t="array" ref="EH77">MIN(IF(INDEX(properties!A$1:CB$87,'Fórmula'!B77,41)=0,10^6,INDEX(properties!A$1:CB$87,'Fórmula'!B77,41)),IF(INDEX(properties!A$1:CB$87,'Fórmula'!D77,41)=0,10^6,INDEX(properties!A$1:CB$87,'Fórmula'!D77,41)),IF(INDEX(properties!A$1:CB$87,'Fórmula'!F77,41)=0,10^6,INDEX(properties!A$1:CB$87,'Fórmula'!F77,41)),IF(INDEX(properties!A$1:CB$87,'Fórmula'!H77,41)=0,10^6,INDEX(properties!A$1:CB$87,'Fórmula'!H77,41)),IF(INDEX(properties!A$1:CB$87,'Fórmula'!J77,41)=0,10^6,INDEX(properties!A$1:CB$87,'Fórmula'!J77,41)))</f>
        <v>0.76</v>
      </c>
      <c r="EI77" s="111">
        <f t="shared" si="23"/>
        <v>0.56</v>
      </c>
      <c r="EJ77" s="112">
        <f t="array" ref="EJ77">(('Fórmula'!C77)/('Fórmula'!C77+'Fórmula'!E77+'Fórmula'!G77+'Fórmula'!I77+'Fórmula'!K77))*(INDEX(properties!A$1:CB$87,'Fórmula'!B77,45))+(('Fórmula'!E77)/('Fórmula'!C77+'Fórmula'!E77+'Fórmula'!G77+'Fórmula'!I77+'Fórmula'!K77))*(INDEX(properties!A$1:CB$87,'Fórmula'!D77,45))+(('Fórmula'!G77)/('Fórmula'!C77+'Fórmula'!E77+'Fórmula'!G77+'Fórmula'!I77+'Fórmula'!K77))*(INDEX(properties!A$1:CB$87,'Fórmula'!F77,45))+(('Fórmula'!I77)/('Fórmula'!C77+'Fórmula'!E77+'Fórmula'!G77+'Fórmula'!I77+'Fórmula'!K77))*(INDEX(properties!A$1:CB$87,'Fórmula'!H77,45))+(('Fórmula'!K77)/('Fórmula'!C77+'Fórmula'!E77+'Fórmula'!G77+'Fórmula'!I77+'Fórmula'!K77))*(INDEX(properties!A$1:CB$87,'Fórmula'!J77,45))</f>
        <v>1.223333333</v>
      </c>
      <c r="EK77" s="112">
        <f t="array" ref="EK77">'Fórmula'!C77*(INDEX(properties!A$1:CB$87,'Fórmula'!B77,45))+'Fórmula'!E77*(INDEX(properties!A$1:CB$87,'Fórmula'!D77,45))+'Fórmula'!G77*(INDEX(properties!A$1:CB$87,'Fórmula'!F77,45))+'Fórmula'!I77*(INDEX(properties!A$1:CB$87,'Fórmula'!H77,45))+'Fórmula'!K77*(INDEX(properties!A$1:CB$87,'Fórmula'!J77,45))</f>
        <v>14.68</v>
      </c>
      <c r="EL77" s="112">
        <f t="array" ref="EL77">VARP(IF(INDEX(properties!A$1:CB$87,'Fórmula'!B77,45)&lt;&gt;"",INDEX(properties!A$1:CB$87,'Fórmula'!B77,45)),IF(INDEX(properties!A$1:CB$87,'Fórmula'!D77,45)&lt;&gt;"",INDEX(properties!A$1:CB$87,'Fórmula'!D77,45)),IF(INDEX(properties!A$1:CB$87,'Fórmula'!F77,45)&lt;&gt;"",INDEX(properties!A$1:CB$87,'Fórmula'!F77,45)),IF(INDEX(properties!A$1:CB$87,'Fórmula'!H77,45)&lt;&gt;"",INDEX(properties!A$1:CB$87,'Fórmula'!H77,45)),IF(INDEX(properties!A$1:CB$87,'Fórmula'!J77,45)&lt;&gt;"",INDEX(properties!A$1:CB$87,'Fórmula'!J77,45)))</f>
        <v>1.717416</v>
      </c>
      <c r="EM77" s="123">
        <f t="array" ref="EM77">MAX(INDEX(properties!A$1:CB$87,'Fórmula'!B77,45),INDEX(properties!A$1:CB$87,'Fórmula'!D77,45),INDEX(properties!A$1:CB$87,'Fórmula'!F77,45),INDEX(properties!A$1:CB$87,'Fórmula'!H77,45),INDEX(properties!A$1:CB$87,'Fórmula'!J77,45))</f>
        <v>3.21</v>
      </c>
      <c r="EN77" s="123">
        <f t="array" ref="EN77">MIN(IF(INDEX(properties!A$1:CB$87,'Fórmula'!B77,45)=0,10^6,INDEX(properties!A$1:CB$87,'Fórmula'!B77,45)),IF(INDEX(properties!A$1:CB$87,'Fórmula'!D77,45)=0,10^6,INDEX(properties!A$1:CB$87,'Fórmula'!D77,45)),IF(INDEX(properties!A$1:CB$87,'Fórmula'!F77,45)=0,10^6,INDEX(properties!A$1:CB$87,'Fórmula'!F77,45)),IF(INDEX(properties!A$1:CB$87,'Fórmula'!H77,45)=0,10^6,INDEX(properties!A$1:CB$87,'Fórmula'!H77,45)),IF(INDEX(properties!A$1:CB$87,'Fórmula'!J77,45)=0,10^6,INDEX(properties!A$1:CB$87,'Fórmula'!J77,45)))</f>
        <v>0.47</v>
      </c>
      <c r="EO77" s="112">
        <f t="shared" si="24"/>
        <v>2.74</v>
      </c>
      <c r="EP77" s="113">
        <f t="array" ref="EP77">(('Fórmula'!C77)/('Fórmula'!C77+'Fórmula'!E77+'Fórmula'!G77+'Fórmula'!I77+'Fórmula'!K77))*(INDEX(properties!A$1:CB$87,'Fórmula'!B77,46))+(('Fórmula'!E77)/('Fórmula'!C77+'Fórmula'!E77+'Fórmula'!G77+'Fórmula'!I77+'Fórmula'!K77))*(INDEX(properties!A$1:CB$87,'Fórmula'!D77,46))+(('Fórmula'!G77)/('Fórmula'!C77+'Fórmula'!E77+'Fórmula'!G77+'Fórmula'!I77+'Fórmula'!K77))*(INDEX(properties!A$1:CB$87,'Fórmula'!F77,46))+(('Fórmula'!I77)/('Fórmula'!C77+'Fórmula'!E77+'Fórmula'!G77+'Fórmula'!I77+'Fórmula'!K77))*(INDEX(properties!A$1:CB$87,'Fórmula'!H77,46))+(('Fórmula'!K77)/('Fórmula'!C77+'Fórmula'!E77+'Fórmula'!G77+'Fórmula'!I77+'Fórmula'!K77))*(INDEX(properties!A$1:CB$87,'Fórmula'!J77,46))</f>
        <v>1.119166667</v>
      </c>
      <c r="EQ77" s="113">
        <f t="array" ref="EQ77">'Fórmula'!C77*(INDEX(properties!A$1:CB$87,'Fórmula'!B77,46))+'Fórmula'!E77*(INDEX(properties!A$1:CB$87,'Fórmula'!D77,46))+'Fórmula'!G77*(INDEX(properties!A$1:CB$87,'Fórmula'!F77,46))+'Fórmula'!I77*(INDEX(properties!A$1:CB$87,'Fórmula'!H77,46))+'Fórmula'!K77*(INDEX(properties!A$1:CB$87,'Fórmula'!J77,46))</f>
        <v>13.43</v>
      </c>
      <c r="ER77" s="113">
        <f t="array" ref="ER77">VARP(IF(INDEX(properties!A$1:CB$87,'Fórmula'!B77,46)&lt;&gt;"",INDEX(properties!A$1:CB$87,'Fórmula'!B77,46)),IF(INDEX(properties!A$1:CB$87,'Fórmula'!D77,46)&lt;&gt;"",INDEX(properties!A$1:CB$87,'Fórmula'!D77,46)),IF(INDEX(properties!A$1:CB$87,'Fórmula'!F77,46)&lt;&gt;"",INDEX(properties!A$1:CB$87,'Fórmula'!F77,46)),IF(INDEX(properties!A$1:CB$87,'Fórmula'!H77,46)&lt;&gt;"",INDEX(properties!A$1:CB$87,'Fórmula'!H77,46)),IF(INDEX(properties!A$1:CB$87,'Fórmula'!J77,46)&lt;&gt;"",INDEX(properties!A$1:CB$87,'Fórmula'!J77,46)))</f>
        <v>0.26184</v>
      </c>
      <c r="ES77" s="124">
        <f t="array" ref="ES77">MAX(INDEX(properties!A$1:CB$87,'Fórmula'!B77,46),INDEX(properties!A$1:CB$87,'Fórmula'!D77,46),INDEX(properties!A$1:CB$87,'Fórmula'!F77,46),INDEX(properties!A$1:CB$87,'Fórmula'!H77,46),INDEX(properties!A$1:CB$87,'Fórmula'!J77,46))</f>
        <v>1.36</v>
      </c>
      <c r="ET77" s="124">
        <f t="array" ref="ET77">MIN(IF(INDEX(properties!A$1:CB$87,'Fórmula'!B77,46)=0,10^6,INDEX(properties!A$1:CB$87,'Fórmula'!B77,46)),IF(INDEX(properties!A$1:CB$87,'Fórmula'!D77,46)=0,10^6,INDEX(properties!A$1:CB$87,'Fórmula'!D77,46)),IF(INDEX(properties!A$1:CB$87,'Fórmula'!F77,46)=0,10^6,INDEX(properties!A$1:CB$87,'Fórmula'!F77,46)),IF(INDEX(properties!A$1:CB$87,'Fórmula'!H77,46)=0,10^6,INDEX(properties!A$1:CB$87,'Fórmula'!H77,46)),IF(INDEX(properties!A$1:CB$87,'Fórmula'!J77,46)=0,10^6,INDEX(properties!A$1:CB$87,'Fórmula'!J77,46)))</f>
        <v>0.76</v>
      </c>
      <c r="EU77" s="113">
        <f t="shared" si="25"/>
        <v>0.6</v>
      </c>
      <c r="EV77" s="114">
        <f t="array" ref="EV77">(('Fórmula'!C77)/('Fórmula'!C77+'Fórmula'!E77+'Fórmula'!G77+'Fórmula'!I77+'Fórmula'!K77))*(INDEX(properties!A$1:CB$87,'Fórmula'!B77,52))+(('Fórmula'!E77)/('Fórmula'!C77+'Fórmula'!E77+'Fórmula'!G77+'Fórmula'!I77+'Fórmula'!K77))*(INDEX(properties!A$1:CB$87,'Fórmula'!D77,52))+(('Fórmula'!G77)/('Fórmula'!C77+'Fórmula'!E77+'Fórmula'!G77+'Fórmula'!I77+'Fórmula'!K77))*(INDEX(properties!A$1:CB$87,'Fórmula'!F77,52))+(('Fórmula'!I77)/('Fórmula'!C77+'Fórmula'!E77+'Fórmula'!G77+'Fórmula'!I77+'Fórmula'!K77))*(INDEX(properties!A$1:CB$87,'Fórmula'!H77,52))+(('Fórmula'!K77)/('Fórmula'!C77+'Fórmula'!E77+'Fórmula'!G77+'Fórmula'!I77+'Fórmula'!K77))*(INDEX(properties!A$1:CB$87,'Fórmula'!J77,52))</f>
        <v>7.37925</v>
      </c>
      <c r="EW77" s="114">
        <f t="array" ref="EW77">'Fórmula'!C77*(INDEX(properties!A$1:CB$87,'Fórmula'!B77,52))+'Fórmula'!E77*(INDEX(properties!A$1:CB$87,'Fórmula'!D77,52))+'Fórmula'!G77*(INDEX(properties!A$1:CB$87,'Fórmula'!F77,52))+'Fórmula'!I77*(INDEX(properties!A$1:CB$87,'Fórmula'!H77,52))+'Fórmula'!K77*(INDEX(properties!A$1:CB$87,'Fórmula'!J77,52))</f>
        <v>88.551</v>
      </c>
      <c r="EX77" s="114">
        <f t="array" ref="EX77">VARP(IF(INDEX(properties!A$1:CB$87,'Fórmula'!B77,52)&lt;&gt;"",INDEX(properties!A$1:CB$87,'Fórmula'!B77,52)),IF(INDEX(properties!A$1:CB$87,'Fórmula'!D77,52)&lt;&gt;"",INDEX(properties!A$1:CB$87,'Fórmula'!D77,52)),IF(INDEX(properties!A$1:CB$87,'Fórmula'!F77,52)&lt;&gt;"",INDEX(properties!A$1:CB$87,'Fórmula'!F77,52)),IF(INDEX(properties!A$1:CB$87,'Fórmula'!H77,52)&lt;&gt;"",INDEX(properties!A$1:CB$87,'Fórmula'!H77,52)),IF(INDEX(properties!A$1:CB$87,'Fórmula'!J77,52)&lt;&gt;"",INDEX(properties!A$1:CB$87,'Fórmula'!J77,52)))</f>
        <v>176.2892238</v>
      </c>
      <c r="EY77" s="114">
        <f t="array" ref="EY77">MAX(INDEX(properties!A$1:CB$87,'Fórmula'!B77,52),INDEX(properties!A$1:CB$87,'Fórmula'!D77,52),INDEX(properties!A$1:CB$87,'Fórmula'!F77,52),INDEX(properties!A$1:CB$87,'Fórmula'!H77,52),INDEX(properties!A$1:CB$87,'Fórmula'!J77,52))</f>
        <v>31.1</v>
      </c>
      <c r="EZ77" s="114">
        <f t="array" ref="EZ77">MIN(IF(INDEX(properties!A$1:CB$87,'Fórmula'!B77,52)=0,10^6,INDEX(properties!A$1:CB$87,'Fórmula'!B77,52)),IF(INDEX(properties!A$1:CB$87,'Fórmula'!D77,52)=0,10^6,INDEX(properties!A$1:CB$87,'Fórmula'!D77,52)),IF(INDEX(properties!A$1:CB$87,'Fórmula'!F77,52)=0,10^6,INDEX(properties!A$1:CB$87,'Fórmula'!F77,52)),IF(INDEX(properties!A$1:CB$87,'Fórmula'!H77,52)=0,10^6,INDEX(properties!A$1:CB$87,'Fórmula'!H77,52)),IF(INDEX(properties!A$1:CB$87,'Fórmula'!J77,52)=0,10^6,INDEX(properties!A$1:CB$87,'Fórmula'!J77,52)))</f>
        <v>0.793</v>
      </c>
      <c r="FA77" s="114">
        <f t="shared" si="26"/>
        <v>30.307</v>
      </c>
      <c r="FB77" s="115">
        <f t="array" ref="FB77">(('Fórmula'!C77)/('Fórmula'!C77+'Fórmula'!E77+'Fórmula'!G77+'Fórmula'!I77+'Fórmula'!K77))*(INDEX(properties!A$1:CB$87,'Fórmula'!B77,53))+(('Fórmula'!E77)/('Fórmula'!C77+'Fórmula'!E77+'Fórmula'!G77+'Fórmula'!I77+'Fórmula'!K77))*(INDEX(properties!A$1:CB$87,'Fórmula'!D77,53))+(('Fórmula'!G77)/('Fórmula'!C77+'Fórmula'!E77+'Fórmula'!G77+'Fórmula'!I77+'Fórmula'!K77))*(INDEX(properties!A$1:CB$87,'Fórmula'!F77,53))+(('Fórmula'!I77)/('Fórmula'!C77+'Fórmula'!E77+'Fórmula'!G77+'Fórmula'!I77+'Fórmula'!K77))*(INDEX(properties!A$1:CB$87,'Fórmula'!H77,53))+(('Fórmula'!K77)/('Fórmula'!C77+'Fórmula'!E77+'Fórmula'!G77+'Fórmula'!I77+'Fórmula'!K77))*(INDEX(properties!A$1:CB$87,'Fórmula'!J77,53))</f>
        <v>293.95</v>
      </c>
      <c r="FC77" s="115">
        <f t="array" ref="FC77">'Fórmula'!C77*(INDEX(properties!A$1:CB$87,'Fórmula'!B77,53))+'Fórmula'!E77*(INDEX(properties!A$1:CB$87,'Fórmula'!D77,53))+'Fórmula'!G77*(INDEX(properties!A$1:CB$87,'Fórmula'!F77,53))+'Fórmula'!I77*(INDEX(properties!A$1:CB$87,'Fórmula'!H77,53))+'Fórmula'!K77*(INDEX(properties!A$1:CB$87,'Fórmula'!J77,53))</f>
        <v>3527.4</v>
      </c>
      <c r="FD77" s="115">
        <f t="array" ref="FD77">VARP(IF(INDEX(properties!A$1:CB$87,'Fórmula'!B77,53)&lt;&gt;"",INDEX(properties!A$1:CB$87,'Fórmula'!B77,53)),IF(INDEX(properties!A$1:CB$87,'Fórmula'!D77,53)&lt;&gt;"",INDEX(properties!A$1:CB$87,'Fórmula'!D77,53)),IF(INDEX(properties!A$1:CB$87,'Fórmula'!F77,53)&lt;&gt;"",INDEX(properties!A$1:CB$87,'Fórmula'!F77,53)),IF(INDEX(properties!A$1:CB$87,'Fórmula'!H77,53)&lt;&gt;"",INDEX(properties!A$1:CB$87,'Fórmula'!H77,53)),IF(INDEX(properties!A$1:CB$87,'Fórmula'!J77,53)&lt;&gt;"",INDEX(properties!A$1:CB$87,'Fórmula'!J77,53)))</f>
        <v>251946.002</v>
      </c>
      <c r="FE77" s="115">
        <f t="array" ref="FE77">MAX(INDEX(properties!A$1:CB$87,'Fórmula'!B77,53),INDEX(properties!A$1:CB$87,'Fórmula'!D77,53),INDEX(properties!A$1:CB$87,'Fórmula'!F77,53),INDEX(properties!A$1:CB$87,'Fórmula'!H77,53),INDEX(properties!A$1:CB$87,'Fórmula'!J77,53))</f>
        <v>1193.15</v>
      </c>
      <c r="FF77" s="115">
        <f t="array" ref="FF77">MIN(IF(INDEX(properties!A$1:CB$87,'Fórmula'!B77,53)=0,10^6,INDEX(properties!A$1:CB$87,'Fórmula'!B77,53)),IF(INDEX(properties!A$1:CB$87,'Fórmula'!D77,53)=0,10^6,INDEX(properties!A$1:CB$87,'Fórmula'!D77,53)),IF(INDEX(properties!A$1:CB$87,'Fórmula'!F77,53)=0,10^6,INDEX(properties!A$1:CB$87,'Fórmula'!F77,53)),IF(INDEX(properties!A$1:CB$87,'Fórmula'!H77,53)=0,10^6,INDEX(properties!A$1:CB$87,'Fórmula'!H77,53)),IF(INDEX(properties!A$1:CB$87,'Fórmula'!J77,53)=0,10^6,INDEX(properties!A$1:CB$87,'Fórmula'!J77,53)))</f>
        <v>54.75</v>
      </c>
      <c r="FG77" s="115">
        <f t="shared" si="27"/>
        <v>1138.4</v>
      </c>
      <c r="FH77" s="117">
        <f t="array" ref="FH77">(('Fórmula'!C77)/('Fórmula'!C77+'Fórmula'!E77+'Fórmula'!G77+'Fórmula'!I77+'Fórmula'!K77))*(INDEX(properties!A$1:CB$87,'Fórmula'!B77,54))+(('Fórmula'!E77)/('Fórmula'!C77+'Fórmula'!E77+'Fórmula'!G77+'Fórmula'!I77+'Fórmula'!K77))*(INDEX(properties!A$1:CB$87,'Fórmula'!D77,54))+(('Fórmula'!G77)/('Fórmula'!C77+'Fórmula'!E77+'Fórmula'!G77+'Fórmula'!I77+'Fórmula'!K77))*(INDEX(properties!A$1:CB$87,'Fórmula'!F77,54))+(('Fórmula'!I77)/('Fórmula'!C77+'Fórmula'!E77+'Fórmula'!G77+'Fórmula'!I77+'Fórmula'!K77))*(INDEX(properties!A$1:CB$87,'Fórmula'!H77,54))+(('Fórmula'!K77)/('Fórmula'!C77+'Fórmula'!E77+'Fórmula'!G77+'Fórmula'!I77+'Fórmula'!K77))*(INDEX(properties!A$1:CB$87,'Fórmula'!J77,54))</f>
        <v>1170.316667</v>
      </c>
      <c r="FI77" s="117">
        <f t="array" ref="FI77">'Fórmula'!C77*(INDEX(properties!A$1:CB$87,'Fórmula'!B77,54))+'Fórmula'!E77*(INDEX(properties!A$1:CB$87,'Fórmula'!D77,54))+'Fórmula'!G77*(INDEX(properties!A$1:CB$87,'Fórmula'!F77,54))+'Fórmula'!I77*(INDEX(properties!A$1:CB$87,'Fórmula'!H77,54))+'Fórmula'!K77*(INDEX(properties!A$1:CB$87,'Fórmula'!J77,54))</f>
        <v>14043.8</v>
      </c>
      <c r="FJ77" s="117">
        <f t="array" ref="FJ77">VARP(IF(INDEX(properties!A$1:CB$87,'Fórmula'!B77,54)&lt;&gt;"",INDEX(properties!A$1:CB$87,'Fórmula'!B77,54)),IF(INDEX(properties!A$1:CB$87,'Fórmula'!D77,54)&lt;&gt;"",INDEX(properties!A$1:CB$87,'Fórmula'!D77,54)),IF(INDEX(properties!A$1:CB$87,'Fórmula'!F77,54)&lt;&gt;"",INDEX(properties!A$1:CB$87,'Fórmula'!F77,54)),IF(INDEX(properties!A$1:CB$87,'Fórmula'!H77,54)&lt;&gt;"",INDEX(properties!A$1:CB$87,'Fórmula'!H77,54)),IF(INDEX(properties!A$1:CB$87,'Fórmula'!J77,54)&lt;&gt;"",INDEX(properties!A$1:CB$87,'Fórmula'!J77,54)))</f>
        <v>2104248.604</v>
      </c>
      <c r="FK77" s="117">
        <f t="array" ref="FK77">MAX(INDEX(properties!A$1:CB$87,'Fórmula'!B77,54),INDEX(properties!A$1:CB$87,'Fórmula'!D77,54),INDEX(properties!A$1:CB$87,'Fórmula'!F77,54),INDEX(properties!A$1:CB$87,'Fórmula'!H77,54),INDEX(properties!A$1:CB$87,'Fórmula'!J77,54))</f>
        <v>3727.15</v>
      </c>
      <c r="FL77" s="117">
        <f t="array" ref="FL77">MIN(IF(INDEX(properties!A$1:CB$87,'Fórmula'!B77,54)=0,10^6,INDEX(properties!A$1:CB$87,'Fórmula'!B77,54)),IF(INDEX(properties!A$1:CB$87,'Fórmula'!D77,54)=0,10^6,INDEX(properties!A$1:CB$87,'Fórmula'!D77,54)),IF(INDEX(properties!A$1:CB$87,'Fórmula'!F77,54)=0,10^6,INDEX(properties!A$1:CB$87,'Fórmula'!F77,54)),IF(INDEX(properties!A$1:CB$87,'Fórmula'!H77,54)=0,10^6,INDEX(properties!A$1:CB$87,'Fórmula'!H77,54)),IF(INDEX(properties!A$1:CB$87,'Fórmula'!J77,54)=0,10^6,INDEX(properties!A$1:CB$87,'Fórmula'!J77,54)))</f>
        <v>90.15</v>
      </c>
      <c r="FM77" s="117">
        <f t="shared" si="28"/>
        <v>3637</v>
      </c>
      <c r="FN77" s="118">
        <f t="array" ref="FN77">(('Fórmula'!C77)/('Fórmula'!C77+'Fórmula'!E77+'Fórmula'!G77+'Fórmula'!I77+'Fórmula'!K77))*(INDEX(properties!A$1:CB$87,'Fórmula'!B77,55))+(('Fórmula'!E77)/('Fórmula'!C77+'Fórmula'!E77+'Fórmula'!G77+'Fórmula'!I77+'Fórmula'!K77))*(INDEX(properties!A$1:CB$87,'Fórmula'!D77,55))+(('Fórmula'!G77)/('Fórmula'!C77+'Fórmula'!E77+'Fórmula'!G77+'Fórmula'!I77+'Fórmula'!K77))*(INDEX(properties!A$1:CB$87,'Fórmula'!F77,55))+(('Fórmula'!I77)/('Fórmula'!C77+'Fórmula'!E77+'Fórmula'!G77+'Fórmula'!I77+'Fórmula'!K77))*(INDEX(properties!A$1:CB$87,'Fórmula'!H77,55))+(('Fórmula'!K77)/('Fórmula'!C77+'Fórmula'!E77+'Fórmula'!G77+'Fórmula'!I77+'Fórmula'!K77))*(INDEX(properties!A$1:CB$87,'Fórmula'!J77,55))</f>
        <v>2.207500833</v>
      </c>
      <c r="FO77" s="118">
        <f t="array" ref="FO77">'Fórmula'!C77*(INDEX(properties!A$1:CB$87,'Fórmula'!B77,55))+'Fórmula'!E77*(INDEX(properties!A$1:CB$87,'Fórmula'!D77,54))+'Fórmula'!G77*(INDEX(properties!A$1:CB$87,'Fórmula'!F77,55))+'Fórmula'!I77*(INDEX(properties!A$1:CB$87,'Fórmula'!H77,55))+'Fórmula'!K77*(INDEX(properties!A$1:CB$87,'Fórmula'!J77,55))</f>
        <v>3747.49001</v>
      </c>
      <c r="FP77" s="118">
        <f t="array" ref="FP77">VARP(IF(INDEX(properties!A$1:CB$87,'Fórmula'!B77,55)&lt;&gt;"",INDEX(properties!A$1:CB$87,'Fórmula'!B77,55)),IF(INDEX(properties!A$1:CB$87,'Fórmula'!D77,55)&lt;&gt;"",INDEX(properties!A$1:CB$87,'Fórmula'!D77,55)),IF(INDEX(properties!A$1:CB$87,'Fórmula'!F77,55)&lt;&gt;"",INDEX(properties!A$1:CB$87,'Fórmula'!F77,55)),IF(INDEX(properties!A$1:CB$87,'Fórmula'!H77,55)&lt;&gt;"",INDEX(properties!A$1:CB$87,'Fórmula'!H77,55)),IF(INDEX(properties!A$1:CB$87,'Fórmula'!J77,55)&lt;&gt;"",INDEX(properties!A$1:CB$87,'Fórmula'!J77,55)))</f>
        <v>7.288104935</v>
      </c>
      <c r="FQ77" s="118">
        <f t="array" ref="FQ77">MAX(INDEX(properties!A$1:CB$87,'Fórmula'!B77,55),INDEX(properties!A$1:CB$87,'Fórmula'!D77,55),INDEX(properties!A$1:CB$87,'Fórmula'!F77,55),INDEX(properties!A$1:CB$87,'Fórmula'!H77,55),INDEX(properties!A$1:CB$87,'Fórmula'!J77,55))</f>
        <v>6.15</v>
      </c>
      <c r="FR77" s="118">
        <f t="array" ref="FR77">MIN(IF(INDEX(properties!A$1:CB$87,'Fórmula'!B77,55)=0,10^6,INDEX(properties!A$1:CB$87,'Fórmula'!B77,55)),IF(INDEX(properties!A$1:CB$87,'Fórmula'!D77,55)=0,10^6,INDEX(properties!A$1:CB$87,'Fórmula'!D77,55)),IF(INDEX(properties!A$1:CB$87,'Fórmula'!F77,55)=0,10^6,INDEX(properties!A$1:CB$87,'Fórmula'!F77,55)),IF(INDEX(properties!A$1:CB$87,'Fórmula'!H77,55)=0,10^6,INDEX(properties!A$1:CB$87,'Fórmula'!H77,55)),IF(INDEX(properties!A$1:CB$87,'Fórmula'!J77,55)=0,10^6,INDEX(properties!A$1:CB$87,'Fórmula'!J77,55)))</f>
        <v>0.00143</v>
      </c>
      <c r="FS77" s="118">
        <f t="shared" si="29"/>
        <v>6.14857</v>
      </c>
      <c r="FT77" s="119">
        <f t="array" ref="FT77">(('Fórmula'!C77)/('Fórmula'!C77+'Fórmula'!E77+'Fórmula'!G77+'Fórmula'!I77+'Fórmula'!K77))*(INDEX(properties!A$1:CB$87,'Fórmula'!B77,56))+(('Fórmula'!E77)/('Fórmula'!C77+'Fórmula'!E77+'Fórmula'!G77+'Fórmula'!I77+'Fórmula'!K77))*(INDEX(properties!A$1:CB$87,'Fórmula'!D77,56))+(('Fórmula'!G77)/('Fórmula'!C77+'Fórmula'!E77+'Fórmula'!G77+'Fórmula'!I77+'Fórmula'!K77))*(INDEX(properties!A$1:CB$87,'Fórmula'!F77,56))+(('Fórmula'!I77)/('Fórmula'!C77+'Fórmula'!E77+'Fórmula'!G77+'Fórmula'!I77+'Fórmula'!K77))*(INDEX(properties!A$1:CB$87,'Fórmula'!H77,56))+(('Fórmula'!K77)/('Fórmula'!C77+'Fórmula'!E77+'Fórmula'!G77+'Fórmula'!I77+'Fórmula'!K77))*(INDEX(properties!A$1:CB$87,'Fórmula'!J77,56))</f>
        <v>0.67</v>
      </c>
      <c r="FU77" s="119">
        <f t="array" ref="FU77">'Fórmula'!C77*(INDEX(properties!A$1:CB$87,'Fórmula'!B77,56))+'Fórmula'!E77*(INDEX(properties!A$1:CB$87,'Fórmula'!D77,56))+'Fórmula'!G77*(INDEX(properties!A$1:CB$87,'Fórmula'!F77,56))+'Fórmula'!I77*(INDEX(properties!A$1:CB$87,'Fórmula'!H77,56))+'Fórmula'!K77*(INDEX(properties!A$1:CB$87,'Fórmula'!J77,56))</f>
        <v>8.04</v>
      </c>
      <c r="FV77" s="119">
        <f t="array" ref="FV77">VARP(IF(INDEX(properties!A$1:CB$87,'Fórmula'!B77,56)&lt;&gt;"",INDEX(properties!A$1:CB$87,'Fórmula'!B77,56)),IF(INDEX(properties!A$1:CB$87,'Fórmula'!D77,56)&lt;&gt;"",INDEX(properties!A$1:CB$87,'Fórmula'!D77,56)),IF(INDEX(properties!A$1:CB$87,'Fórmula'!F77,56)&lt;&gt;"",INDEX(properties!A$1:CB$87,'Fórmula'!F77,56)),IF(INDEX(properties!A$1:CB$87,'Fórmula'!H77,56)&lt;&gt;"",INDEX(properties!A$1:CB$87,'Fórmula'!H77,56)),IF(INDEX(properties!A$1:CB$87,'Fórmula'!J77,56)&lt;&gt;"",INDEX(properties!A$1:CB$87,'Fórmula'!J77,56)))</f>
        <v>0.095144</v>
      </c>
      <c r="FW77" s="119">
        <f t="array" ref="FW77">MAX(INDEX(properties!A$1:CB$87,'Fórmula'!B77,56),INDEX(properties!A$1:CB$87,'Fórmula'!D77,56),INDEX(properties!A$1:CB$87,'Fórmula'!F77,56),INDEX(properties!A$1:CB$87,'Fórmula'!H77,56),INDEX(properties!A$1:CB$87,'Fórmula'!J77,56))</f>
        <v>0.92</v>
      </c>
      <c r="FX77" s="119">
        <f t="array" ref="FX77">MIN(IF(INDEX(properties!A$1:CB$87,'Fórmula'!B77,56)=0,10^6,INDEX(properties!A$1:CB$87,'Fórmula'!B77,56)),IF(INDEX(properties!A$1:CB$87,'Fórmula'!D77,56)=0,10^6,INDEX(properties!A$1:CB$87,'Fórmula'!D77,56)),IF(INDEX(properties!A$1:CB$87,'Fórmula'!F77,56)=0,10^6,INDEX(properties!A$1:CB$87,'Fórmula'!F77,56)),IF(INDEX(properties!A$1:CB$87,'Fórmula'!H77,56)=0,10^6,INDEX(properties!A$1:CB$87,'Fórmula'!H77,56)),IF(INDEX(properties!A$1:CB$87,'Fórmula'!J77,56)=0,10^6,INDEX(properties!A$1:CB$87,'Fórmula'!J77,56)))</f>
        <v>0.19</v>
      </c>
      <c r="FY77" s="119">
        <f t="shared" si="30"/>
        <v>0.73</v>
      </c>
      <c r="FZ77" s="104">
        <f t="array" ref="FZ77">(('Fórmula'!C77)/('Fórmula'!C77+'Fórmula'!E77+'Fórmula'!G77+'Fórmula'!I77+'Fórmula'!K77))*(INDEX(properties!A$1:CB$87,'Fórmula'!B77,57))+(('Fórmula'!E77)/('Fórmula'!C77+'Fórmula'!E77+'Fórmula'!G77+'Fórmula'!I77+'Fórmula'!K77))*(INDEX(properties!A$1:CB$87,'Fórmula'!D77,57))+(('Fórmula'!G77)/('Fórmula'!C77+'Fórmula'!E77+'Fórmula'!G77+'Fórmula'!I77+'Fórmula'!K77))*(INDEX(properties!A$1:CB$87,'Fórmula'!F77,57))+(('Fórmula'!I77)/('Fórmula'!C77+'Fórmula'!E77+'Fórmula'!G77+'Fórmula'!I77+'Fórmula'!K77))*(INDEX(properties!A$1:CB$87,'Fórmula'!H77,57))+(('Fórmula'!K77)/('Fórmula'!C77+'Fórmula'!E77+'Fórmula'!G77+'Fórmula'!I77+'Fórmula'!K77))*(INDEX(properties!A$1:CB$87,'Fórmula'!J77,57))</f>
        <v>2.7356775</v>
      </c>
      <c r="GA77" s="104">
        <f t="array" ref="GA77">'Fórmula'!C77*(INDEX(properties!A$1:CB$87,'Fórmula'!B77,57))+'Fórmula'!E77*(INDEX(properties!A$1:CB$87,'Fórmula'!D77,57))+'Fórmula'!G77*(INDEX(properties!A$1:CB$87,'Fórmula'!F77,57))+'Fórmula'!I77*(INDEX(properties!A$1:CB$87,'Fórmula'!H77,57))+'Fórmula'!K77*(INDEX(properties!A$1:CB$87,'Fórmula'!J77,57))</f>
        <v>32.82813</v>
      </c>
      <c r="GB77" s="104">
        <f t="array" ref="GB77">VARP(IF(INDEX(properties!A$1:CB$87,'Fórmula'!B77,57)&lt;&gt;"",INDEX(properties!A$1:CB$87,'Fórmula'!B77,57)),IF(INDEX(properties!A$1:CB$87,'Fórmula'!D77,57)&lt;&gt;"",INDEX(properties!A$1:CB$87,'Fórmula'!D77,57)),IF(INDEX(properties!A$1:CB$87,'Fórmula'!F77,57)&lt;&gt;"",INDEX(properties!A$1:CB$87,'Fórmula'!F77,57)),IF(INDEX(properties!A$1:CB$87,'Fórmula'!H77,57)&lt;&gt;"",INDEX(properties!A$1:CB$87,'Fórmula'!H77,57)),IF(INDEX(properties!A$1:CB$87,'Fórmula'!J77,57)&lt;&gt;"",INDEX(properties!A$1:CB$87,'Fórmula'!J77,57)))</f>
        <v>11.22147676</v>
      </c>
      <c r="GC77" s="104">
        <f t="array" ref="GC77">MAX(INDEX(properties!A$1:CB$87,'Fórmula'!B77,57),INDEX(properties!A$1:CB$87,'Fórmula'!D77,57),INDEX(properties!A$1:CB$87,'Fórmula'!F77,57),INDEX(properties!A$1:CB$87,'Fórmula'!H77,57),INDEX(properties!A$1:CB$87,'Fórmula'!J77,57))</f>
        <v>8.3</v>
      </c>
      <c r="GD77" s="104">
        <f t="array" ref="GD77">MIN(IF(INDEX(properties!A$1:CB$87,'Fórmula'!B77,57)=0,10^6,INDEX(properties!A$1:CB$87,'Fórmula'!B77,57)),IF(INDEX(properties!A$1:CB$87,'Fórmula'!D77,57)=0,10^6,INDEX(properties!A$1:CB$87,'Fórmula'!D77,57)),IF(INDEX(properties!A$1:CB$87,'Fórmula'!F77,57)=0,10^6,INDEX(properties!A$1:CB$87,'Fórmula'!F77,57)),IF(INDEX(properties!A$1:CB$87,'Fórmula'!H77,57)=0,10^6,INDEX(properties!A$1:CB$87,'Fórmula'!H77,57)),IF(INDEX(properties!A$1:CB$87,'Fórmula'!J77,57)=0,10^6,INDEX(properties!A$1:CB$87,'Fórmula'!J77,57)))</f>
        <v>0.22259</v>
      </c>
      <c r="GE77" s="104">
        <f t="shared" si="31"/>
        <v>8.07741</v>
      </c>
      <c r="GF77" s="105">
        <f t="array" ref="GF77">(('Fórmula'!C77)/('Fórmula'!C77+'Fórmula'!E77+'Fórmula'!G77+'Fórmula'!I77+'Fórmula'!K77))*(INDEX(properties!A$1:CB$87,'Fórmula'!B77,60))+(('Fórmula'!E77)/('Fórmula'!C77+'Fórmula'!E77+'Fórmula'!G77+'Fórmula'!I77+'Fórmula'!K77))*(INDEX(properties!A$1:CB$87,'Fórmula'!D77,60))+(('Fórmula'!G77)/('Fórmula'!C77+'Fórmula'!E77+'Fórmula'!G77+'Fórmula'!I77+'Fórmula'!K77))*(INDEX(properties!A$1:CB$87,'Fórmula'!F77,60))+(('Fórmula'!I77)/('Fórmula'!C77+'Fórmula'!E77+'Fórmula'!G77+'Fórmula'!I77+'Fórmula'!K77))*(INDEX(properties!A$1:CB$87,'Fórmula'!H77,60))+(('Fórmula'!K77)/('Fórmula'!C77+'Fórmula'!E77+'Fórmula'!G77+'Fórmula'!I77+'Fórmula'!K77))*(INDEX(properties!A$1:CB$87,'Fórmula'!J77,60))</f>
        <v>14.232265</v>
      </c>
      <c r="GG77" s="105">
        <f t="array" ref="GG77">'Fórmula'!C77*(INDEX(properties!A$1:CB$87,'Fórmula'!B77,60))+'Fórmula'!E77*(INDEX(properties!A$1:CB$87,'Fórmula'!D77,60))+'Fórmula'!G77*(INDEX(properties!A$1:CB$87,'Fórmula'!F77,60))+'Fórmula'!I77*(INDEX(properties!A$1:CB$87,'Fórmula'!H77,60))+'Fórmula'!K77*(INDEX(properties!A$1:CB$87,'Fórmula'!J77,60))</f>
        <v>170.78718</v>
      </c>
      <c r="GH77" s="105">
        <f t="array" ref="GH77">VARP(IF(INDEX(properties!A$1:CB$87,'Fórmula'!B77,60)&lt;&gt;"",INDEX(properties!A$1:CB$87,'Fórmula'!B77,60)),IF(INDEX(properties!A$1:CB$87,'Fórmula'!D77,60)&lt;&gt;"",INDEX(properties!A$1:CB$87,'Fórmula'!D77,60)),IF(INDEX(properties!A$1:CB$87,'Fórmula'!F77,60)&lt;&gt;"",INDEX(properties!A$1:CB$87,'Fórmula'!F77,60)),IF(INDEX(properties!A$1:CB$87,'Fórmula'!H77,60)&lt;&gt;"",INDEX(properties!A$1:CB$87,'Fórmula'!H77,60)),IF(INDEX(properties!A$1:CB$87,'Fórmula'!J77,60)&lt;&gt;"",INDEX(properties!A$1:CB$87,'Fórmula'!J77,60)))</f>
        <v>295.4544699</v>
      </c>
      <c r="GI77" s="105">
        <f t="array" ref="GI77">MAX(INDEX(properties!A$1:CB$87,'Fórmula'!B77,60),INDEX(properties!A$1:CB$87,'Fórmula'!D77,60),INDEX(properties!A$1:CB$87,'Fórmula'!F77,60),INDEX(properties!A$1:CB$87,'Fórmula'!H77,60),INDEX(properties!A$1:CB$87,'Fórmula'!J77,60))</f>
        <v>40.6</v>
      </c>
      <c r="GJ77" s="105">
        <f t="array" ref="GJ77">MIN(IF(INDEX(properties!A$1:CB$87,'Fórmula'!B77,60)=0,10^6,INDEX(properties!A$1:CB$87,'Fórmula'!B77,60)),IF(INDEX(properties!A$1:CB$87,'Fórmula'!D77,60)=0,10^6,INDEX(properties!A$1:CB$87,'Fórmula'!D77,60)),IF(INDEX(properties!A$1:CB$87,'Fórmula'!F77,60)=0,10^6,INDEX(properties!A$1:CB$87,'Fórmula'!F77,60)),IF(INDEX(properties!A$1:CB$87,'Fórmula'!H77,60)=0,10^6,INDEX(properties!A$1:CB$87,'Fórmula'!H77,60)),IF(INDEX(properties!A$1:CB$87,'Fórmula'!J77,60)=0,10^6,INDEX(properties!A$1:CB$87,'Fórmula'!J77,60)))</f>
        <v>0.02674</v>
      </c>
      <c r="GK77" s="105">
        <f t="shared" si="32"/>
        <v>40.57326</v>
      </c>
      <c r="GL77" s="106">
        <f t="array" ref="GL77">(('Fórmula'!C77)/('Fórmula'!C77+'Fórmula'!E77+'Fórmula'!G77+'Fórmula'!I77+'Fórmula'!K77))*(INDEX(properties!A$1:CB$87,'Fórmula'!B77,62))+(('Fórmula'!E77)/('Fórmula'!C77+'Fórmula'!E77+'Fórmula'!G77+'Fórmula'!I77+'Fórmula'!K77))*(INDEX(properties!A$1:CB$87,'Fórmula'!D77,62))+(('Fórmula'!G77)/('Fórmula'!C77+'Fórmula'!E77+'Fórmula'!G77+'Fórmula'!I77+'Fórmula'!K77))*(INDEX(properties!A$1:CB$87,'Fórmula'!F77,62))+(('Fórmula'!I77)/('Fórmula'!C77+'Fórmula'!E77+'Fórmula'!G77+'Fórmula'!I77+'Fórmula'!K77))*(INDEX(properties!A$1:CB$87,'Fórmula'!H77,62))+(('Fórmula'!K77)/('Fórmula'!C77+'Fórmula'!E77+'Fórmula'!G77+'Fórmula'!I77+'Fórmula'!K77))*(INDEX(properties!A$1:CB$87,'Fórmula'!J77,62))</f>
        <v>2.746666667</v>
      </c>
      <c r="GM77" s="106">
        <f t="array" ref="GM77">'Fórmula'!C77*(INDEX(properties!A$1:CB$87,'Fórmula'!B77,62))+'Fórmula'!E77*(INDEX(properties!A$1:CB$87,'Fórmula'!D77,62))+'Fórmula'!G77*(INDEX(properties!A$1:CB$87,'Fórmula'!F77,62))+'Fórmula'!I77*(INDEX(properties!A$1:CB$87,'Fórmula'!H77,62))+'Fórmula'!K77*(INDEX(properties!A$1:CB$87,'Fórmula'!J77,62))</f>
        <v>32.96</v>
      </c>
      <c r="GN77" s="106">
        <f t="array" ref="GN77">VARP(IF(INDEX(properties!A$1:CB$87,'Fórmula'!B77,62)&lt;&gt;"",INDEX(properties!A$1:CB$87,'Fórmula'!B77,62)),IF(INDEX(properties!A$1:CB$87,'Fórmula'!D77,62)&lt;&gt;"",INDEX(properties!A$1:CB$87,'Fórmula'!D77,62)),IF(INDEX(properties!A$1:CB$87,'Fórmula'!F77,62)&lt;&gt;"",INDEX(properties!A$1:CB$87,'Fórmula'!F77,62)),IF(INDEX(properties!A$1:CB$87,'Fórmula'!H77,62)&lt;&gt;"",INDEX(properties!A$1:CB$87,'Fórmula'!H77,62)),IF(INDEX(properties!A$1:CB$87,'Fórmula'!J77,62)&lt;&gt;"",INDEX(properties!A$1:CB$87,'Fórmula'!J77,62)))</f>
        <v>2.138984</v>
      </c>
      <c r="GO77" s="106">
        <f t="array" ref="GO77">MAX(INDEX(properties!A$1:CB$87,'Fórmula'!B77,62),INDEX(properties!A$1:CB$87,'Fórmula'!D77,62),INDEX(properties!A$1:CB$87,'Fórmula'!F77,62),INDEX(properties!A$1:CB$87,'Fórmula'!H77,62),INDEX(properties!A$1:CB$87,'Fórmula'!J77,62))</f>
        <v>4.47</v>
      </c>
      <c r="GP77" s="106">
        <f t="array" ref="GP77">MIN(IF(INDEX(properties!A$1:CB$87,'Fórmula'!B77,62)=0,10^6,INDEX(properties!A$1:CB$87,'Fórmula'!B77,62)),IF(INDEX(properties!A$1:CB$87,'Fórmula'!D77,62)=0,10^6,INDEX(properties!A$1:CB$87,'Fórmula'!D77,62)),IF(INDEX(properties!A$1:CB$87,'Fórmula'!F77,62)=0,10^6,INDEX(properties!A$1:CB$87,'Fórmula'!F77,62)),IF(INDEX(properties!A$1:CB$87,'Fórmula'!H77,62)=0,10^6,INDEX(properties!A$1:CB$87,'Fórmula'!H77,62)),IF(INDEX(properties!A$1:CB$87,'Fórmula'!J77,62)=0,10^6,INDEX(properties!A$1:CB$87,'Fórmula'!J77,62)))</f>
        <v>1.72</v>
      </c>
      <c r="GQ77" s="106">
        <f t="shared" si="33"/>
        <v>2.75</v>
      </c>
      <c r="GR77" s="106">
        <f>'Fórmula'!Q77</f>
        <v>113</v>
      </c>
      <c r="GS77" s="107">
        <f>'Fórmula'!P77</f>
        <v>2</v>
      </c>
      <c r="GT77" s="113">
        <f>'Fórmula'!O77</f>
        <v>5.26</v>
      </c>
      <c r="GU77" s="114">
        <f>AVERAGE('Fórmula'!R77/'Fórmula'!S77,'Fórmula'!S77/'Fórmula'!T77,'Fórmula'!T77/'Fórmula'!R77)</f>
        <v>1.057449097</v>
      </c>
      <c r="GV77" s="125">
        <f>'Fórmula'!U77</f>
        <v>344.85</v>
      </c>
      <c r="GW77" s="106">
        <f>'Fórmula'!N77</f>
        <v>0.05</v>
      </c>
    </row>
    <row r="78" ht="14.25" customHeight="1">
      <c r="A78" s="99" t="str">
        <f>'Fórmula'!A78</f>
        <v>NaAlO2</v>
      </c>
      <c r="B78" s="101">
        <f t="array" ref="B78">(('Fórmula'!C78)/('Fórmula'!C78+'Fórmula'!E78+'Fórmula'!G78+'Fórmula'!I78+'Fórmula'!K78))*(INDEX(properties!A$1:CB$87,'Fórmula'!B78,3))+(('Fórmula'!E78)/('Fórmula'!C78+'Fórmula'!E78+'Fórmula'!G78+'Fórmula'!I78+'Fórmula'!K78))*(INDEX(properties!A$1:CB$87,'Fórmula'!D78,3))+(('Fórmula'!G78)/('Fórmula'!C78+'Fórmula'!E78+'Fórmula'!G78+'Fórmula'!I78+'Fórmula'!K78))*(INDEX(properties!A$1:CB$87,'Fórmula'!F78,3))+(('Fórmula'!I78)/('Fórmula'!C78+'Fórmula'!E78+'Fórmula'!G78+'Fórmula'!I78+'Fórmula'!K78))*(INDEX(properties!A$1:CB$87,'Fórmula'!H78,3))+(('Fórmula'!K78)/('Fórmula'!C78+'Fórmula'!E78+'Fórmula'!G78+'Fórmula'!I78+'Fórmula'!K78))*(INDEX(properties!A$1:CB$87,'Fórmula'!J78,3))</f>
        <v>20.49252675</v>
      </c>
      <c r="C78" s="101">
        <f t="array" ref="C78">'Fórmula'!C78*(INDEX(properties!A$1:CB$87,'Fórmula'!B78,3))+'Fórmula'!E78*(INDEX(properties!A$1:CB$87,'Fórmula'!D78,3))+'Fórmula'!G78*(INDEX(properties!A$1:CB$87,'Fórmula'!F78,3))+'Fórmula'!I78*(INDEX(properties!A$1:CB$87,'Fórmula'!H78,3))+'Fórmula'!K78*(INDEX(properties!A$1:CB$87,'Fórmula'!J78,3))</f>
        <v>81.970107</v>
      </c>
      <c r="D78" s="101">
        <f t="array" ref="D78">VARP(IF(INDEX(properties!A$1:CB$87,'Fórmula'!B78,3)&lt;&gt;"",INDEX(properties!A$1:CB$87,'Fórmula'!B78,3)),IF(INDEX(properties!A$1:CB$87,'Fórmula'!D78,3)&lt;&gt;"",INDEX(properties!A$1:CB$87,'Fórmula'!D78,3)),IF(INDEX(properties!A$1:CB$87,'Fórmula'!F78,3)&lt;&gt;"",INDEX(properties!A$1:CB$87,'Fórmula'!F78,3)),IF(INDEX(properties!A$1:CB$87,'Fórmula'!H78,3)&lt;&gt;"",INDEX(properties!A$1:CB$87,'Fórmula'!H78,3)),IF(INDEX(properties!A$1:CB$87,'Fórmula'!J78,3)&lt;&gt;"",INDEX(properties!A$1:CB$87,'Fórmula'!J78,3)))</f>
        <v>128.4173687</v>
      </c>
      <c r="E78" s="101">
        <f t="array" ref="E78">MAX(INDEX(properties!A$1:CB$87,'Fórmula'!B78,3),INDEX(properties!A$1:CB$87,'Fórmula'!D78,3),INDEX(properties!A$1:CB$87,'Fórmula'!F78,3),INDEX(properties!A$1:CB$87,'Fórmula'!H78,3),INDEX(properties!A$1:CB$87,'Fórmula'!J78,3))</f>
        <v>26.981539</v>
      </c>
      <c r="F78" s="101">
        <f t="array" ref="F78">MIN(IF(INDEX(properties!A$1:CB$87,'Fórmula'!B78,3)=0,10^6,INDEX(properties!A$1:CB$87,'Fórmula'!B78,3)),IF(INDEX(properties!A$1:CB$87,'Fórmula'!D78,3)=0,10^6,INDEX(properties!A$1:CB$87,'Fórmula'!D78,3)),IF(INDEX(properties!A$1:CB$87,'Fórmula'!F78,3)=0,10^6,INDEX(properties!A$1:CB$87,'Fórmula'!F78,3)),IF(INDEX(properties!A$1:CB$87,'Fórmula'!H78,3)=0,10^6,INDEX(properties!A$1:CB$87,'Fórmula'!H78,3)),IF(INDEX(properties!A$1:CB$87,'Fórmula'!J78,3)=0,10^6,INDEX(properties!A$1:CB$87,'Fórmula'!J78,3)))</f>
        <v>15.9994</v>
      </c>
      <c r="G78" s="101">
        <f t="shared" si="1"/>
        <v>10.982139</v>
      </c>
      <c r="H78" s="102">
        <f t="array" ref="H78">(('Fórmula'!C78)/('Fórmula'!C78+'Fórmula'!E78+'Fórmula'!G78+'Fórmula'!I78+'Fórmula'!K78))*(INDEX(properties!A$1:CB$87,'Fórmula'!B78,4))+(('Fórmula'!E78)/('Fórmula'!C78+'Fórmula'!E78+'Fórmula'!G78+'Fórmula'!I78+'Fórmula'!K78))*(INDEX(properties!A$1:CB$87,'Fórmula'!D78,4))+(('Fórmula'!G78)/('Fórmula'!C78+'Fórmula'!E78+'Fórmula'!G78+'Fórmula'!I78+'Fórmula'!K78))*(INDEX(properties!A$1:CB$87,'Fórmula'!F78,4))+(('Fórmula'!I78)/('Fórmula'!C78+'Fórmula'!E78+'Fórmula'!G78+'Fórmula'!I78+'Fórmula'!K78))*(INDEX(properties!A$1:CB$87,'Fórmula'!H78,4))+(('Fórmula'!K78)/('Fórmula'!C78+'Fórmula'!E78+'Fórmula'!G78+'Fórmula'!I78+'Fórmula'!K78))*(INDEX(properties!A$1:CB$87,'Fórmula'!J78,4))</f>
        <v>10</v>
      </c>
      <c r="I78" s="102">
        <f t="array" ref="I78">'Fórmula'!C78*(INDEX(properties!A$1:CB$87,'Fórmula'!B78,4))+'Fórmula'!E78*(INDEX(properties!A$1:CB$87,'Fórmula'!D78,4))+'Fórmula'!G78*(INDEX(properties!A$1:CB$87,'Fórmula'!F78,4))+'Fórmula'!I78*(INDEX(properties!A$1:CB$87,'Fórmula'!H78,4))+'Fórmula'!K78*(INDEX(properties!A$1:CB$87,'Fórmula'!J78,4))</f>
        <v>40</v>
      </c>
      <c r="J78" s="102">
        <f t="array" ref="J78">VARP(IF(INDEX(properties!A$1:CB$87,'Fórmula'!B78,4)&lt;&gt;"",INDEX(properties!A$1:CB$87,'Fórmula'!B78,4)),IF(INDEX(properties!A$1:CB$87,'Fórmula'!D78,4)&lt;&gt;"",INDEX(properties!A$1:CB$87,'Fórmula'!D78,4)),IF(INDEX(properties!A$1:CB$87,'Fórmula'!F78,4)&lt;&gt;"",INDEX(properties!A$1:CB$87,'Fórmula'!F78,4)),IF(INDEX(properties!A$1:CB$87,'Fórmula'!H78,4)&lt;&gt;"",INDEX(properties!A$1:CB$87,'Fórmula'!H78,4)),IF(INDEX(properties!A$1:CB$87,'Fórmula'!J78,4)&lt;&gt;"",INDEX(properties!A$1:CB$87,'Fórmula'!J78,4)))</f>
        <v>29.84</v>
      </c>
      <c r="K78" s="102">
        <f t="array" ref="K78">MAX(INDEX(properties!A$1:CB$87,'Fórmula'!B78,4),INDEX(properties!A$1:CB$87,'Fórmula'!D78,4),INDEX(properties!A$1:CB$87,'Fórmula'!F78,4),INDEX(properties!A$1:CB$87,'Fórmula'!H78,4),INDEX(properties!A$1:CB$87,'Fórmula'!J78,4))</f>
        <v>13</v>
      </c>
      <c r="L78" s="102">
        <f t="array" ref="L78">MIN(IF(INDEX(properties!A$1:CB$87,'Fórmula'!B78,4)=0,10^6,INDEX(properties!A$1:CB$87,'Fórmula'!B78,4)),IF(INDEX(properties!A$1:CB$87,'Fórmula'!D78,4)=0,10^6,INDEX(properties!A$1:CB$87,'Fórmula'!D78,4)),IF(INDEX(properties!A$1:CB$87,'Fórmula'!F78,4)=0,10^6,INDEX(properties!A$1:CB$87,'Fórmula'!F78,4)),IF(INDEX(properties!A$1:CB$87,'Fórmula'!H78,4)=0,10^6,INDEX(properties!A$1:CB$87,'Fórmula'!H78,4)),IF(INDEX(properties!A$1:CB$87,'Fórmula'!J78,4)=0,10^6,INDEX(properties!A$1:CB$87,'Fórmula'!J78,4)))</f>
        <v>8</v>
      </c>
      <c r="M78" s="102">
        <f t="shared" si="2"/>
        <v>5</v>
      </c>
      <c r="N78" s="103">
        <f t="array" ref="N78">(('Fórmula'!C78)/('Fórmula'!C78+'Fórmula'!E78+'Fórmula'!G78+'Fórmula'!I78+'Fórmula'!K78))*(INDEX(properties!A$1:CB$87,'Fórmula'!B78,5))+(('Fórmula'!E78)/('Fórmula'!C78+'Fórmula'!E78+'Fórmula'!G78+'Fórmula'!I78+'Fórmula'!K78))*(INDEX(properties!A$1:CB$87,'Fórmula'!D78,5))+(('Fórmula'!G78)/('Fórmula'!C78+'Fórmula'!E78+'Fórmula'!G78+'Fórmula'!I78+'Fórmula'!K78))*(INDEX(properties!A$1:CB$87,'Fórmula'!F78,5))+(('Fórmula'!I78)/('Fórmula'!C78+'Fórmula'!E78+'Fórmula'!G78+'Fórmula'!I78+'Fórmula'!K78))*(INDEX(properties!A$1:CB$87,'Fórmula'!H78,5))+(('Fórmula'!K78)/('Fórmula'!C78+'Fórmula'!E78+'Fórmula'!G78+'Fórmula'!I78+'Fórmula'!K78))*(INDEX(properties!A$1:CB$87,'Fórmula'!J78,5))</f>
        <v>2.5</v>
      </c>
      <c r="O78" s="103">
        <f t="array" ref="O78">'Fórmula'!C78*(INDEX(properties!A$1:CB$87,'Fórmula'!B78,5))+'Fórmula'!E78*(INDEX(properties!A$1:CB$87,'Fórmula'!D78,5))+'Fórmula'!G78*(INDEX(properties!A$1:CB$87,'Fórmula'!F78,5))+'Fórmula'!I78*(INDEX(properties!A$1:CB$87,'Fórmula'!H78,5))+'Fórmula'!K78*(INDEX(properties!A$1:CB$87,'Fórmula'!J78,5))</f>
        <v>10</v>
      </c>
      <c r="P78" s="103">
        <f t="array" ref="P78">VARP(IF(INDEX(properties!A$1:CB$87,'Fórmula'!B78,5)&lt;&gt;"",INDEX(properties!A$1:CB$87,'Fórmula'!B78,5)),IF(INDEX(properties!A$1:CB$87,'Fórmula'!D78,5)&lt;&gt;"",INDEX(properties!A$1:CB$87,'Fórmula'!D78,5)),IF(INDEX(properties!A$1:CB$87,'Fórmula'!F78,5)&lt;&gt;"",INDEX(properties!A$1:CB$87,'Fórmula'!F78,5)),IF(INDEX(properties!A$1:CB$87,'Fórmula'!H78,5)&lt;&gt;"",INDEX(properties!A$1:CB$87,'Fórmula'!H78,5)),IF(INDEX(properties!A$1:CB$87,'Fórmula'!J78,5)&lt;&gt;"",INDEX(properties!A$1:CB$87,'Fórmula'!J78,5)))</f>
        <v>1.84</v>
      </c>
      <c r="Q78" s="103">
        <f t="array" ref="Q78">MAX(INDEX(properties!A$1:CB$87,'Fórmula'!B78,5),INDEX(properties!A$1:CB$87,'Fórmula'!D78,5),INDEX(properties!A$1:CB$87,'Fórmula'!F78,5),INDEX(properties!A$1:CB$87,'Fórmula'!H78,5),INDEX(properties!A$1:CB$87,'Fórmula'!J78,5))</f>
        <v>3</v>
      </c>
      <c r="R78" s="103">
        <f t="array" ref="R78">MIN(IF(INDEX(properties!A$1:CB$87,'Fórmula'!B78,5)=0,10^6,INDEX(properties!A$1:CB$87,'Fórmula'!B78,5)),IF(INDEX(properties!A$1:CB$87,'Fórmula'!D78,5)=0,10^6,INDEX(properties!A$1:CB$87,'Fórmula'!D78,5)),IF(INDEX(properties!A$1:CB$87,'Fórmula'!F78,5)=0,10^6,INDEX(properties!A$1:CB$87,'Fórmula'!F78,5)),IF(INDEX(properties!A$1:CB$87,'Fórmula'!H78,5)=0,10^6,INDEX(properties!A$1:CB$87,'Fórmula'!H78,5)),IF(INDEX(properties!A$1:CB$87,'Fórmula'!J78,5)=0,10^6,INDEX(properties!A$1:CB$87,'Fórmula'!J78,5)))</f>
        <v>2</v>
      </c>
      <c r="S78" s="103">
        <f t="shared" si="3"/>
        <v>1</v>
      </c>
      <c r="T78" s="104">
        <f t="array" ref="T78">(('Fórmula'!C78)/('Fórmula'!C78+'Fórmula'!E78+'Fórmula'!G78+'Fórmula'!I78+'Fórmula'!K78))*(INDEX(properties!A$1:CB$87,'Fórmula'!B78,6))+(('Fórmula'!E78)/('Fórmula'!C78+'Fórmula'!E78+'Fórmula'!G78+'Fórmula'!I78+'Fórmula'!K78))*(INDEX(properties!A$1:CB$87,'Fórmula'!D78,6))+(('Fórmula'!G78)/('Fórmula'!C78+'Fórmula'!E78+'Fórmula'!G78+'Fórmula'!I78+'Fórmula'!K78))*(INDEX(properties!A$1:CB$87,'Fórmula'!F78,6))+(('Fórmula'!I78)/('Fórmula'!C78+'Fórmula'!E78+'Fórmula'!G78+'Fórmula'!I78+'Fórmula'!K78))*(INDEX(properties!A$1:CB$87,'Fórmula'!H78,6))+(('Fórmula'!K78)/('Fórmula'!C78+'Fórmula'!E78+'Fórmula'!G78+'Fórmula'!I78+'Fórmula'!K78))*(INDEX(properties!A$1:CB$87,'Fórmula'!J78,6))</f>
        <v>11.5</v>
      </c>
      <c r="U78" s="104">
        <f t="array" ref="U78">'Fórmula'!C78*(INDEX(properties!A$1:CB$87,'Fórmula'!B78,6))+'Fórmula'!E78*(INDEX(properties!A$1:CB$87,'Fórmula'!D78,6))+'Fórmula'!G78*(INDEX(properties!A$1:CB$87,'Fórmula'!F78,6))+'Fórmula'!I78*(INDEX(properties!A$1:CB$87,'Fórmula'!H78,6))+'Fórmula'!K78*(INDEX(properties!A$1:CB$87,'Fórmula'!J78,6))</f>
        <v>46</v>
      </c>
      <c r="V78" s="103">
        <f t="array" ref="V78">VARP(IF(INDEX(properties!A$1:CB$87,'Fórmula'!B78,6)&lt;&gt;"",INDEX(properties!A$1:CB$87,'Fórmula'!B78,6)),IF(INDEX(properties!A$1:CB$87,'Fórmula'!D78,6)&lt;&gt;"",INDEX(properties!A$1:CB$87,'Fórmula'!D78,6)),IF(INDEX(properties!A$1:CB$87,'Fórmula'!F78,6)&lt;&gt;"",INDEX(properties!A$1:CB$87,'Fórmula'!F78,6)),IF(INDEX(properties!A$1:CB$87,'Fórmula'!H78,6)&lt;&gt;"",INDEX(properties!A$1:CB$87,'Fórmula'!H78,6)),IF(INDEX(properties!A$1:CB$87,'Fórmula'!J78,6)&lt;&gt;"",INDEX(properties!A$1:CB$87,'Fórmula'!J78,6)))</f>
        <v>49.2</v>
      </c>
      <c r="W78" s="104">
        <f t="array" ref="W78">MAX(INDEX(properties!A$1:CB$87,'Fórmula'!B78,6),INDEX(properties!A$1:CB$87,'Fórmula'!D78,6),INDEX(properties!A$1:CB$87,'Fórmula'!F78,6),INDEX(properties!A$1:CB$87,'Fórmula'!H78,4),INDEX(properties!A$1:CB$87,'Fórmula'!J78,6))</f>
        <v>16</v>
      </c>
      <c r="X78" s="104">
        <f t="array" ref="X78">MIN(IF(INDEX(properties!A$1:CB$87,'Fórmula'!B78,6)=0,10^6,INDEX(properties!A$1:CB$87,'Fórmula'!B78,6)),IF(INDEX(properties!A$1:CB$87,'Fórmula'!D78,6)=0,10^6,INDEX(properties!A$1:CB$87,'Fórmula'!D78,6)),IF(INDEX(properties!A$1:CB$87,'Fórmula'!F78,6)=0,10^6,INDEX(properties!A$1:CB$87,'Fórmula'!F78,6)),IF(INDEX(properties!A$1:CB$87,'Fórmula'!H78,6)=0,10^6,INDEX(properties!A$1:CB$87,'Fórmula'!H78,6)),IF(INDEX(properties!A$1:CB$87,'Fórmula'!J78,6)=0,10^6,INDEX(properties!A$1:CB$87,'Fórmula'!J78,6)))</f>
        <v>1</v>
      </c>
      <c r="Y78" s="104">
        <f t="shared" si="4"/>
        <v>15</v>
      </c>
      <c r="Z78" s="105">
        <f t="array" ref="Z78">(('Fórmula'!C78)/('Fórmula'!C78+'Fórmula'!E78+'Fórmula'!G78+'Fórmula'!I78+'Fórmula'!K78))*(INDEX(properties!A$1:CB$87,'Fórmula'!B78,9))+(('Fórmula'!E78)/('Fórmula'!C78+'Fórmula'!E78+'Fórmula'!G78+'Fórmula'!I78+'Fórmula'!K78))*(INDEX(properties!A$1:CB$87,'Fórmula'!D78,9))+(('Fórmula'!G78)/('Fórmula'!C78+'Fórmula'!E78+'Fórmula'!G78+'Fórmula'!I78+'Fórmula'!K78))*(INDEX(properties!A$1:CB$87,'Fórmula'!F78,9))+(('Fórmula'!I78)/('Fórmula'!C78+'Fórmula'!E78+'Fórmula'!G78+'Fórmula'!I78+'Fórmula'!K78))*(INDEX(properties!A$1:CB$87,'Fórmula'!H78,9))+(('Fórmula'!K78)/('Fórmula'!C78+'Fórmula'!E78+'Fórmula'!G78+'Fórmula'!I78+'Fórmula'!K78))*(INDEX(properties!A$1:CB$87,'Fórmula'!J78,9))</f>
        <v>62.25</v>
      </c>
      <c r="AA78" s="105">
        <f t="array" ref="AA78">'Fórmula'!C78*(INDEX(properties!A$1:CB$87,'Fórmula'!B78,9))+'Fórmula'!E78*(INDEX(properties!A$1:CB$87,'Fórmula'!D78,9))+'Fórmula'!G78*(INDEX(properties!A$1:CB$87,'Fórmula'!F78,9))+'Fórmula'!I78*(INDEX(properties!A$1:CB$87,'Fórmula'!H78,9))+'Fórmula'!K78*(INDEX(properties!A$1:CB$87,'Fórmula'!J78,9))</f>
        <v>249</v>
      </c>
      <c r="AB78" s="105">
        <f t="array" ref="AB78">VARP(IF(INDEX(properties!A$1:CB$87,'Fórmula'!B78,9)&lt;&gt;"",INDEX(properties!A$1:CB$87,'Fórmula'!B78,9)),IF(INDEX(properties!A$1:CB$87,'Fórmula'!D78,9)&lt;&gt;"",INDEX(properties!A$1:CB$87,'Fórmula'!D78,9)),IF(INDEX(properties!A$1:CB$87,'Fórmula'!F78,9)&lt;&gt;"",INDEX(properties!A$1:CB$87,'Fórmula'!F78,9)),IF(INDEX(properties!A$1:CB$87,'Fórmula'!H78,9)&lt;&gt;"",INDEX(properties!A$1:CB$87,'Fórmula'!H78,9)),IF(INDEX(properties!A$1:CB$87,'Fórmula'!J78,9)&lt;&gt;"",INDEX(properties!A$1:CB$87,'Fórmula'!J78,9)))</f>
        <v>1530.64</v>
      </c>
      <c r="AC78" s="105">
        <f t="array" ref="AC78">MAX(INDEX(properties!A$1:CB$87,'Fórmula'!B78,9),INDEX(properties!A$1:CB$87,'Fórmula'!D78,9),INDEX(properties!A$1:CB$87,'Fórmula'!F78,9),INDEX(properties!A$1:CB$87,'Fórmula'!H78,9),INDEX(properties!A$1:CB$87,'Fórmula'!J78,9))</f>
        <v>87</v>
      </c>
      <c r="AD78" s="105">
        <f t="array" ref="AD78">MIN(IF(INDEX(properties!A$1:CB$87,'Fórmula'!B78,9)=0,10^6,INDEX(properties!A$1:CB$87,'Fórmula'!B78,9)),IF(INDEX(properties!A$1:CB$87,'Fórmula'!D78,9)=0,10^6,INDEX(properties!A$1:CB$87,'Fórmula'!D78,9)),IF(INDEX(properties!A$1:CB$87,'Fórmula'!F78,9)=0,10^6,INDEX(properties!A$1:CB$87,'Fórmula'!F78,9)),IF(INDEX(properties!A$1:CB$87,'Fórmula'!H78,9)=0,10^6,INDEX(properties!A$1:CB$87,'Fórmula'!H78,9)),IF(INDEX(properties!A$1:CB$87,'Fórmula'!J78,9)=0,10^6,INDEX(properties!A$1:CB$87,'Fórmula'!J78,9)))</f>
        <v>2</v>
      </c>
      <c r="AE78" s="105">
        <f t="shared" si="5"/>
        <v>85</v>
      </c>
      <c r="AF78" s="106">
        <f t="array" ref="AF78">(('Fórmula'!C78)/('Fórmula'!C78+'Fórmula'!E78+'Fórmula'!G78+'Fórmula'!I78+'Fórmula'!K78))*(INDEX(properties!A$1:CB$87,'Fórmula'!B78,10))+(('Fórmula'!E78)/('Fórmula'!C78+'Fórmula'!E78+'Fórmula'!G78+'Fórmula'!I78+'Fórmula'!K78))*(INDEX(properties!A$1:CB$87,'Fórmula'!D78,10))+(('Fórmula'!G78)/('Fórmula'!C78+'Fórmula'!E78+'Fórmula'!G78+'Fórmula'!I78+'Fórmula'!K78))*(INDEX(properties!A$1:CB$87,'Fórmula'!F78,10))+(('Fórmula'!I78)/('Fórmula'!C78+'Fórmula'!E78+'Fórmula'!G78+'Fórmula'!I78+'Fórmula'!K78))*(INDEX(properties!A$1:CB$87,'Fórmula'!H78,10))+(('Fórmula'!K78)/('Fórmula'!C78+'Fórmula'!E78+'Fórmula'!G78+'Fórmula'!I78+'Fórmula'!K78))*(INDEX(properties!A$1:CB$87,'Fórmula'!J78,10))</f>
        <v>5</v>
      </c>
      <c r="AG78" s="106">
        <f t="array" ref="AG78">'Fórmula'!C78*(INDEX(properties!A$1:CB$87,'Fórmula'!B78,10))+'Fórmula'!E78*(INDEX(properties!A$1:CB$87,'Fórmula'!D78,10))+'Fórmula'!G78*(INDEX(properties!A$1:CB$87,'Fórmula'!F78,10))+'Fórmula'!I78*(INDEX(properties!A$1:CB$87,'Fórmula'!H78,10))+'Fórmula'!K78*(INDEX(properties!A$1:CB$87,'Fórmula'!J78,10))</f>
        <v>20</v>
      </c>
      <c r="AH78" s="106">
        <f t="array" ref="AH78">VARP(IF(INDEX(properties!A$1:CB$87,'Fórmula'!B78,10)&lt;&gt;"",INDEX(properties!A$1:CB$87,'Fórmula'!B78,10)),IF(INDEX(properties!A$1:CB$87,'Fórmula'!D78,10)&lt;&gt;"",INDEX(properties!A$1:CB$87,'Fórmula'!D78,10)),IF(INDEX(properties!A$1:CB$87,'Fórmula'!F78,10)&lt;&gt;"",INDEX(properties!A$1:CB$87,'Fórmula'!F78,10)),IF(INDEX(properties!A$1:CB$87,'Fórmula'!H78,10)&lt;&gt;"",INDEX(properties!A$1:CB$87,'Fórmula'!H78,10)),IF(INDEX(properties!A$1:CB$87,'Fórmula'!J78,10)&lt;&gt;"",INDEX(properties!A$1:CB$87,'Fórmula'!J78,10)))</f>
        <v>8.24</v>
      </c>
      <c r="AI78" s="106">
        <f t="array" ref="AI78">MAX(INDEX(properties!A$1:CB$87,'Fórmula'!B78,10),INDEX(properties!A$1:CB$87,'Fórmula'!D78,10),INDEX(properties!A$1:CB$87,'Fórmula'!F78,10),INDEX(properties!A$1:CB$87,'Fórmula'!H78,10),INDEX(properties!A$1:CB$87,'Fórmula'!J78,10))</f>
        <v>7</v>
      </c>
      <c r="AJ78" s="106">
        <f t="array" ref="AJ78">MIN(IF(INDEX(properties!A$1:CB$87,'Fórmula'!B78,10)=0,10^6,INDEX(properties!A$1:CB$87,'Fórmula'!B78,10)),IF(INDEX(properties!A$1:CB$87,'Fórmula'!D78,10)=0,10^6,INDEX(properties!A$1:CB$87,'Fórmula'!D78,10)),IF(INDEX(properties!A$1:CB$87,'Fórmula'!F78,10)=0,10^6,INDEX(properties!A$1:CB$87,'Fórmula'!F78,10)),IF(INDEX(properties!A$1:CB$87,'Fórmula'!H78,10)=0,10^6,INDEX(properties!A$1:CB$87,'Fórmula'!H78,10)),IF(INDEX(properties!A$1:CB$87,'Fórmula'!J78,10)=0,10^6,INDEX(properties!A$1:CB$87,'Fórmula'!J78,10)))</f>
        <v>1</v>
      </c>
      <c r="AK78" s="106">
        <f t="shared" si="6"/>
        <v>6</v>
      </c>
      <c r="AL78" s="107">
        <f t="array" ref="AL78">(('Fórmula'!C78)/('Fórmula'!C78+'Fórmula'!E78+'Fórmula'!G78+'Fórmula'!I78+'Fórmula'!K78))*(INDEX(properties!A$1:CB$87,'Fórmula'!B78,11))+(('Fórmula'!E78)/('Fórmula'!C78+'Fórmula'!E78+'Fórmula'!G78+'Fórmula'!I78+'Fórmula'!K78))*(INDEX(properties!A$1:CB$87,'Fórmula'!D78,11))+(('Fórmula'!G78)/('Fórmula'!C78+'Fórmula'!E78+'Fórmula'!G78+'Fórmula'!I78+'Fórmula'!K78))*(INDEX(properties!A$1:CB$87,'Fórmula'!F78,11))+(('Fórmula'!I78)/('Fórmula'!C78+'Fórmula'!E78+'Fórmula'!G78+'Fórmula'!I78+'Fórmula'!K78))*(INDEX(properties!A$1:CB$87,'Fórmula'!H78,11))+(('Fórmula'!K78)/('Fórmula'!C78+'Fórmula'!E78+'Fórmula'!G78+'Fórmula'!I78+'Fórmula'!K78))*(INDEX(properties!A$1:CB$87,'Fórmula'!J78,11))</f>
        <v>1.75</v>
      </c>
      <c r="AM78" s="107">
        <f t="array" ref="AM78">'Fórmula'!C78*(INDEX(properties!A$1:CB$87,'Fórmula'!B78,11))+'Fórmula'!E78*(INDEX(properties!A$1:CB$87,'Fórmula'!D78,11))+'Fórmula'!G78*(INDEX(properties!A$1:CB$87,'Fórmula'!F78,11))+'Fórmula'!I78*(INDEX(properties!A$1:CB$87,'Fórmula'!H78,11))+'Fórmula'!K78*(INDEX(properties!A$1:CB$87,'Fórmula'!J78,11))</f>
        <v>7</v>
      </c>
      <c r="AN78" s="107">
        <f t="array" ref="AN78">VARP(IF(INDEX(properties!A$1:CB$87,'Fórmula'!B78,11)&lt;&gt;"",INDEX(properties!A$1:CB$87,'Fórmula'!B78,11)),IF(INDEX(properties!A$1:CB$87,'Fórmula'!D78,11)&lt;&gt;"",INDEX(properties!A$1:CB$87,'Fórmula'!D78,11)),IF(INDEX(properties!A$1:CB$87,'Fórmula'!F78,11)&lt;&gt;"",INDEX(properties!A$1:CB$87,'Fórmula'!F78,11)),IF(INDEX(properties!A$1:CB$87,'Fórmula'!H78,11)&lt;&gt;"",INDEX(properties!A$1:CB$87,'Fórmula'!H78,11)),IF(INDEX(properties!A$1:CB$87,'Fórmula'!J78,11)&lt;&gt;"",INDEX(properties!A$1:CB$87,'Fórmula'!J78,11)))</f>
        <v>0.8</v>
      </c>
      <c r="AO78" s="107">
        <f t="array" ref="AO78">MAX(INDEX(properties!A$1:CB$87,'Fórmula'!B78,11),INDEX(properties!A$1:CB$87,'Fórmula'!D78,11),INDEX(properties!A$1:CB$87,'Fórmula'!F78,11),INDEX(properties!A$1:CB$87,'Fórmula'!H78,11),INDEX(properties!A$1:CB$87,'Fórmula'!J78,11))</f>
        <v>2</v>
      </c>
      <c r="AP78" s="107">
        <f t="array" ref="AP78">MIN(IF('Fórmula'!B78=87,10^6,INDEX(properties!A$1:CB$87,'Fórmula'!B78,11)),IF(('Fórmula'!D78)=87,10^6,INDEX(properties!A$1:CB$87,'Fórmula'!D78,11)),IF(('Fórmula'!F78)=87,10^6,INDEX(properties!A$1:CB$87,'Fórmula'!F78,11)),IF(('Fórmula'!H78)=87,10^6,INDEX(properties!A$1:CB$87,'Fórmula'!H78,11)),IF('Fórmula'!J78=87,10^6,INDEX(properties!A$1:CB$87,'Fórmula'!J78,11)))</f>
        <v>1</v>
      </c>
      <c r="AQ78" s="107">
        <f t="shared" si="7"/>
        <v>1</v>
      </c>
      <c r="AR78" s="108">
        <f t="array" ref="AR78">(('Fórmula'!C78)/('Fórmula'!C78+'Fórmula'!E78+'Fórmula'!G78+'Fórmula'!I78+'Fórmula'!K78))*(INDEX(properties!A$1:CB$87,'Fórmula'!B78,12))+(('Fórmula'!E78)/('Fórmula'!C78+'Fórmula'!E78+'Fórmula'!G78+'Fórmula'!I78+'Fórmula'!K78))*(INDEX(properties!A$1:CB$87,'Fórmula'!D78,12))+(('Fórmula'!G78)/('Fórmula'!C78+'Fórmula'!E78+'Fórmula'!G78+'Fórmula'!I78+'Fórmula'!K78))*(INDEX(properties!A$1:CB$87,'Fórmula'!F78,12))+(('Fórmula'!I78)/('Fórmula'!C78+'Fórmula'!E78+'Fórmula'!G78+'Fórmula'!I78+'Fórmula'!K78))*(INDEX(properties!A$1:CB$87,'Fórmula'!H78,12))+(('Fórmula'!K78)/('Fórmula'!C78+'Fórmula'!E78+'Fórmula'!G78+'Fórmula'!I78+'Fórmula'!K78))*(INDEX(properties!A$1:CB$87,'Fórmula'!J78,12))</f>
        <v>2.25</v>
      </c>
      <c r="AS78" s="108">
        <f t="array" ref="AS78">'Fórmula'!C78*(INDEX(properties!A$1:CB$87,'Fórmula'!B78,12))+'Fórmula'!E78*(INDEX(properties!A$1:CB$87,'Fórmula'!D78,12))+'Fórmula'!G78*(INDEX(properties!A$1:CB$87,'Fórmula'!F78,12))+'Fórmula'!I78*(INDEX(properties!A$1:CB$87,'Fórmula'!H78,12))+'Fórmula'!K78*(INDEX(properties!A$1:CB$87,'Fórmula'!J78,12))</f>
        <v>9</v>
      </c>
      <c r="AT78" s="108">
        <f t="array" ref="AT78">VARP(IF(INDEX(properties!A$1:CB$87,'Fórmula'!B78,12)&lt;&gt;"",INDEX(properties!A$1:CB$87,'Fórmula'!B78,12)),IF(INDEX(properties!A$1:CB$87,'Fórmula'!D78,12)&lt;&gt;"",INDEX(properties!A$1:CB$87,'Fórmula'!D78,12)),IF(INDEX(properties!A$1:CB$87,'Fórmula'!F78,12)&lt;&gt;"",INDEX(properties!A$1:CB$87,'Fórmula'!F78,12)),IF(INDEX(properties!A$1:CB$87,'Fórmula'!H78,12)&lt;&gt;"",INDEX(properties!A$1:CB$87,'Fórmula'!H78,12)),IF(INDEX(properties!A$1:CB$87,'Fórmula'!J78,12)&lt;&gt;"",INDEX(properties!A$1:CB$87,'Fórmula'!J78,12)))</f>
        <v>2.4</v>
      </c>
      <c r="AU78" s="108">
        <f t="array" ref="AU78">MAX(INDEX(properties!A$1:CB$87,'Fórmula'!B78,12),INDEX(properties!A$1:CB$87,'Fórmula'!D78,12),INDEX(properties!A$1:CB$87,'Fórmula'!F78,12),INDEX(properties!A$1:CB$87,'Fórmula'!H78,12),INDEX(properties!A$1:CB$87,'Fórmula'!J78,12))</f>
        <v>4</v>
      </c>
      <c r="AV78" s="108">
        <f t="array" ref="AV78">MIN(IF('Fórmula'!B78=87,10^6,INDEX(properties!A$1:CB$87,'Fórmula'!B78,12)),IF(('Fórmula'!D78)=87,10^6,INDEX(properties!A$1:CB$87,'Fórmula'!D78,12)),IF(('Fórmula'!F78)=87,10^6,INDEX(properties!A$1:CB$87,'Fórmula'!F78,12)),IF(('Fórmula'!H78)=87,10^6,INDEX(properties!A$1:CB$87,'Fórmula'!H78,12)),IF('Fórmula'!J78=87,10^6,INDEX(properties!A$1:CB$87,'Fórmula'!J78,12)))</f>
        <v>0</v>
      </c>
      <c r="AW78" s="108">
        <f t="shared" si="8"/>
        <v>4</v>
      </c>
      <c r="AX78" s="109">
        <f t="array" ref="AX78">(('Fórmula'!C78)/('Fórmula'!C78+'Fórmula'!E78+'Fórmula'!G78+'Fórmula'!I78+'Fórmula'!K78))*(INDEX(properties!A$1:CB$87,'Fórmula'!B78,13))+(('Fórmula'!E78)/('Fórmula'!C78+'Fórmula'!E78+'Fórmula'!G78+'Fórmula'!I78+'Fórmula'!K78))*(INDEX(properties!A$1:CB$87,'Fórmula'!D78,13))+(('Fórmula'!G78)/('Fórmula'!C78+'Fórmula'!E78+'Fórmula'!G78+'Fórmula'!I78+'Fórmula'!K78))*(INDEX(properties!A$1:CB$87,'Fórmula'!F78,13))+(('Fórmula'!I78)/('Fórmula'!C78+'Fórmula'!E78+'Fórmula'!G78+'Fórmula'!I78+'Fórmula'!K78))*(INDEX(properties!A$1:CB$87,'Fórmula'!H78,13))+(('Fórmula'!K78)/('Fórmula'!C78+'Fórmula'!E78+'Fórmula'!G78+'Fórmula'!I78+'Fórmula'!K78))*(INDEX(properties!A$1:CB$87,'Fórmula'!J78,13))</f>
        <v>0</v>
      </c>
      <c r="AY78" s="109">
        <f t="array" ref="AY78">'Fórmula'!C78*(INDEX(properties!A$1:CB$87,'Fórmula'!B78,13))+'Fórmula'!E78*(INDEX(properties!A$1:CB$87,'Fórmula'!D78,13))+'Fórmula'!G78*(INDEX(properties!A$1:CB$87,'Fórmula'!F78,13))+'Fórmula'!I78*(INDEX(properties!A$1:CB$87,'Fórmula'!H78,13))+'Fórmula'!K78*(INDEX(properties!A$1:CB$87,'Fórmula'!J78,13))</f>
        <v>0</v>
      </c>
      <c r="AZ78" s="109">
        <f t="array" ref="AZ78">VARP(IF(INDEX(properties!A$1:CB$87,'Fórmula'!B78,13)&lt;&gt;"",INDEX(properties!A$1:CB$87,'Fórmula'!B78,13)),IF(INDEX(properties!A$1:CB$87,'Fórmula'!D78,13)&lt;&gt;"",INDEX(properties!A$1:CB$87,'Fórmula'!D78,13)),IF(INDEX(properties!A$1:CB$87,'Fórmula'!F78,13)&lt;&gt;"",INDEX(properties!A$1:CB$87,'Fórmula'!F78,13)),IF(INDEX(properties!A$1:CB$87,'Fórmula'!H78,13)&lt;&gt;"",INDEX(properties!A$1:CB$87,'Fórmula'!H78,13)),IF(INDEX(properties!A$1:CB$87,'Fórmula'!J78,13)&lt;&gt;"",INDEX(properties!A$1:CB$87,'Fórmula'!J78,13)))</f>
        <v>0</v>
      </c>
      <c r="BA78" s="109">
        <f t="array" ref="BA78">MAX(INDEX(properties!A$1:CB$87,'Fórmula'!B78,13),INDEX(properties!A$1:CB$87,'Fórmula'!D78,13),INDEX(properties!A$1:CB$87,'Fórmula'!F78,13),INDEX(properties!A$1:CB$87,'Fórmula'!H78,13),INDEX(properties!A$1:CB$87,'Fórmula'!J78,13))</f>
        <v>0</v>
      </c>
      <c r="BB78" s="109">
        <f t="array" ref="BB78">MIN(IF('Fórmula'!B78=87,10^6,INDEX(properties!A$1:CB$87,'Fórmula'!B78,13)),IF(('Fórmula'!D78)=87,10^6,INDEX(properties!A$1:CB$87,'Fórmula'!D78,13)),IF(('Fórmula'!F78)=87,10^6,INDEX(properties!A$1:CB$87,'Fórmula'!F78,13)),IF(('Fórmula'!H78)=87,10^6,INDEX(properties!A$1:CB$87,'Fórmula'!H78,13)),IF('Fórmula'!J78=87,10^6,INDEX(properties!A$1:CB$87,'Fórmula'!J78,13)))</f>
        <v>0</v>
      </c>
      <c r="BC78" s="109">
        <f t="shared" si="9"/>
        <v>0</v>
      </c>
      <c r="BD78" s="110">
        <f t="array" ref="BD78">(('Fórmula'!C78)/('Fórmula'!C78+'Fórmula'!E78+'Fórmula'!G78+'Fórmula'!I78+'Fórmula'!K78))*(INDEX(properties!A$1:CB$87,'Fórmula'!B78,14))+(('Fórmula'!E78)/('Fórmula'!C78+'Fórmula'!E78+'Fórmula'!G78+'Fórmula'!I78+'Fórmula'!K78))*(INDEX(properties!A$1:CB$87,'Fórmula'!D78,14))+(('Fórmula'!G78)/('Fórmula'!C78+'Fórmula'!E78+'Fórmula'!G78+'Fórmula'!I78+'Fórmula'!K78))*(INDEX(properties!A$1:CB$87,'Fórmula'!F78,14))+(('Fórmula'!I78)/('Fórmula'!C78+'Fórmula'!E78+'Fórmula'!G78+'Fórmula'!I78+'Fórmula'!K78))*(INDEX(properties!A$1:CB$87,'Fórmula'!H78,14))+(('Fórmula'!K78)/('Fórmula'!C78+'Fórmula'!E78+'Fórmula'!G78+'Fórmula'!I78+'Fórmula'!K78))*(INDEX(properties!A$1:CB$87,'Fórmula'!J78,14))</f>
        <v>0</v>
      </c>
      <c r="BE78" s="110">
        <f t="array" ref="BE78">'Fórmula'!C78*(INDEX(properties!A$1:CB$87,'Fórmula'!B78,14))+'Fórmula'!E78*(INDEX(properties!A$1:CB$87,'Fórmula'!D78,14))+'Fórmula'!G78*(INDEX(properties!A$1:CB$87,'Fórmula'!F78,14))+'Fórmula'!I78*(INDEX(properties!A$1:CB$87,'Fórmula'!H78,14))+'Fórmula'!K78*(INDEX(properties!A$1:CB$87,'Fórmula'!J78,14))</f>
        <v>0</v>
      </c>
      <c r="BF78" s="110">
        <f t="array" ref="BF78">VARP(IF(INDEX(properties!A$1:CB$87,'Fórmula'!B78,14)&lt;&gt;"",INDEX(properties!A$1:CB$87,'Fórmula'!B78,14)),IF(INDEX(properties!A$1:CB$87,'Fórmula'!D78,14)&lt;&gt;"",INDEX(properties!A$1:CB$87,'Fórmula'!D78,14)),IF(INDEX(properties!A$1:CB$87,'Fórmula'!F78,14)&lt;&gt;"",INDEX(properties!A$1:CB$87,'Fórmula'!F78,14)),IF(INDEX(properties!A$1:CB$87,'Fórmula'!H78,14)&lt;&gt;"",INDEX(properties!A$1:CB$87,'Fórmula'!H78,14)),IF(INDEX(properties!A$1:CB$87,'Fórmula'!J78,14)&lt;&gt;"",INDEX(properties!A$1:CB$87,'Fórmula'!J78,14)))</f>
        <v>0</v>
      </c>
      <c r="BG78" s="110">
        <f t="array" ref="BG78">MAX(INDEX(properties!A$1:CB$87,'Fórmula'!B78,14),INDEX(properties!A$1:CB$87,'Fórmula'!D78,14),INDEX(properties!A$1:CB$87,'Fórmula'!F78,14),INDEX(properties!A$1:CB$87,'Fórmula'!H78,14),INDEX(properties!A$1:CB$87,'Fórmula'!J78,14))</f>
        <v>0</v>
      </c>
      <c r="BH78" s="110">
        <f t="array" ref="BH78">MIN(IF('Fórmula'!B78=87,10^6,INDEX(properties!A$1:CB$87,'Fórmula'!B78,14)),IF(('Fórmula'!D78)=87,10^6,INDEX(properties!A$1:CB$87,'Fórmula'!D78,14)),IF(('Fórmula'!F78)=87,10^6,INDEX(properties!A$1:CB$87,'Fórmula'!F78,14)),IF(('Fórmula'!H78)=87,10^6,INDEX(properties!A$1:CB$87,'Fórmula'!H78,14)),IF('Fórmula'!J78=87,10^6,INDEX(properties!A$1:CB$87,'Fórmula'!J78,14)))</f>
        <v>0</v>
      </c>
      <c r="BI78" s="110">
        <f t="shared" si="10"/>
        <v>0</v>
      </c>
      <c r="BJ78" s="111">
        <f t="array" ref="BJ78">(('Fórmula'!C78)/('Fórmula'!C78+'Fórmula'!E78+'Fórmula'!G78+'Fórmula'!I78+'Fórmula'!K78))*(INDEX(properties!A$1:CB$87,'Fórmula'!B78,19))+(('Fórmula'!E78)/('Fórmula'!C78+'Fórmula'!E78+'Fórmula'!G78+'Fórmula'!I78+'Fórmula'!K78))*(INDEX(properties!A$1:CB$87,'Fórmula'!D78,19))+(('Fórmula'!G78)/('Fórmula'!C78+'Fórmula'!E78+'Fórmula'!G78+'Fórmula'!I78+'Fórmula'!K78))*(INDEX(properties!A$1:CB$87,'Fórmula'!F78,19))+(('Fórmula'!I78)/('Fórmula'!C78+'Fórmula'!E78+'Fórmula'!G78+'Fórmula'!I78+'Fórmula'!K78))*(INDEX(properties!A$1:CB$87,'Fórmula'!H78,19))+(('Fórmula'!K78)/('Fórmula'!C78+'Fórmula'!E78+'Fórmula'!G78+'Fórmula'!I78+'Fórmula'!K78))*(INDEX(properties!A$1:CB$87,'Fórmula'!J78,19))</f>
        <v>4</v>
      </c>
      <c r="BK78" s="111">
        <f t="array" ref="BK78">'Fórmula'!C78*(INDEX(properties!A$1:CB$87,'Fórmula'!B78,19))+'Fórmula'!E78*(INDEX(properties!A$1:CB$87,'Fórmula'!D78,19))+'Fórmula'!G78*(INDEX(properties!A$1:CB$87,'Fórmula'!F78,19))+'Fórmula'!I78*(INDEX(properties!A$1:CB$87,'Fórmula'!H78,19))+'Fórmula'!K78*(INDEX(properties!A$1:CB$87,'Fórmula'!J78,19))</f>
        <v>16</v>
      </c>
      <c r="BL78" s="111">
        <f t="array" ref="BL78">VARP(IF(INDEX(properties!A$1:CB$87,'Fórmula'!B78,19)&lt;&gt;"",INDEX(properties!A$1:CB$87,'Fórmula'!B78,19)),IF(INDEX(properties!A$1:CB$87,'Fórmula'!D78,19)&lt;&gt;"",INDEX(properties!A$1:CB$87,'Fórmula'!D78,19)),IF(INDEX(properties!A$1:CB$87,'Fórmula'!F78,19)&lt;&gt;"",INDEX(properties!A$1:CB$87,'Fórmula'!F78,19)),IF(INDEX(properties!A$1:CB$87,'Fórmula'!H78,19)&lt;&gt;"",INDEX(properties!A$1:CB$87,'Fórmula'!H78,19)),IF(INDEX(properties!A$1:CB$87,'Fórmula'!J78,19)&lt;&gt;"",INDEX(properties!A$1:CB$87,'Fórmula'!J78,19)))</f>
        <v>5.2</v>
      </c>
      <c r="BM78" s="111">
        <f t="array" ref="BM78">MAX(INDEX(properties!A$1:CB$87,'Fórmula'!B78,19),INDEX(properties!A$1:CB$87,'Fórmula'!D78,19),INDEX(properties!A$1:CB$87,'Fórmula'!F78,19),INDEX(properties!A$1:CB$87,'Fórmula'!H78,19),INDEX(properties!A$1:CB$87,'Fórmula'!J78,19))</f>
        <v>6</v>
      </c>
      <c r="BN78" s="111">
        <f t="array" ref="BN78">MIN(IF(INDEX(properties!A$1:CB$87,'Fórmula'!B78,19)=0,10^6,INDEX(properties!A$1:CB$87,'Fórmula'!B78,19)),IF(INDEX(properties!A$1:CB$87,'Fórmula'!D78,19)=0,10^6,INDEX(properties!A$1:CB$87,'Fórmula'!D78,19)),IF(INDEX(properties!A$1:CB$87,'Fórmula'!F78,19)=0,10^6,INDEX(properties!A$1:CB$87,'Fórmula'!F78,19)),IF(INDEX(properties!A$1:CB$87,'Fórmula'!H78,19)=0,10^6,INDEX(properties!A$1:CB$87,'Fórmula'!H78,19)),IF(INDEX(properties!A$1:CB$87,'Fórmula'!J78,19)=0,10^6,INDEX(properties!A$1:CB$87,'Fórmula'!J78,19)))</f>
        <v>1</v>
      </c>
      <c r="BO78" s="111">
        <f t="shared" si="11"/>
        <v>5</v>
      </c>
      <c r="BP78" s="112">
        <f t="array" ref="BP78">(('Fórmula'!C78)/('Fórmula'!C78+'Fórmula'!E78+'Fórmula'!G78+'Fórmula'!I78+'Fórmula'!K78))*(INDEX(properties!A$1:CB$87,'Fórmula'!B78,20))+(('Fórmula'!E78)/('Fórmula'!C78+'Fórmula'!E78+'Fórmula'!G78+'Fórmula'!I78+'Fórmula'!K78))*(INDEX(properties!A$1:CB$87,'Fórmula'!D78,20))+(('Fórmula'!G78)/('Fórmula'!C78+'Fórmula'!E78+'Fórmula'!G78+'Fórmula'!I78+'Fórmula'!K78))*(INDEX(properties!A$1:CB$87,'Fórmula'!F78,20))+(('Fórmula'!I78)/('Fórmula'!C78+'Fórmula'!E78+'Fórmula'!G78+'Fórmula'!I78+'Fórmula'!K78))*(INDEX(properties!A$1:CB$87,'Fórmula'!H78,20))+(('Fórmula'!K78)/('Fórmula'!C78+'Fórmula'!E78+'Fórmula'!G78+'Fórmula'!I78+'Fórmula'!K78))*(INDEX(properties!A$1:CB$87,'Fórmula'!J78,20))</f>
        <v>4</v>
      </c>
      <c r="BQ78" s="112">
        <f t="array" ref="BQ78">'Fórmula'!C78*(INDEX(properties!A$1:CB$87,'Fórmula'!B78,20))+'Fórmula'!E78*(INDEX(properties!A$1:CB$87,'Fórmula'!D78,20))+'Fórmula'!G78*(INDEX(properties!A$1:CB$87,'Fórmula'!F78,20))+'Fórmula'!I78*(INDEX(properties!A$1:CB$87,'Fórmula'!H78,20))+'Fórmula'!K78*(INDEX(properties!A$1:CB$87,'Fórmula'!J78,20))</f>
        <v>16</v>
      </c>
      <c r="BR78" s="112">
        <f t="array" ref="BR78">VARP(IF(INDEX(properties!A$1:CB$87,'Fórmula'!B78,20)&lt;&gt;"",INDEX(properties!A$1:CB$87,'Fórmula'!B78,20)),IF(INDEX(properties!A$1:CB$87,'Fórmula'!D78,20)&lt;&gt;"",INDEX(properties!A$1:CB$87,'Fórmula'!D78,20)),IF(INDEX(properties!A$1:CB$87,'Fórmula'!F78,20)&lt;&gt;"",INDEX(properties!A$1:CB$87,'Fórmula'!F78,20)),IF(INDEX(properties!A$1:CB$87,'Fórmula'!H78,20)&lt;&gt;"",INDEX(properties!A$1:CB$87,'Fórmula'!H78,20)),IF(INDEX(properties!A$1:CB$87,'Fórmula'!J78,20)&lt;&gt;"",INDEX(properties!A$1:CB$87,'Fórmula'!J78,20)))</f>
        <v>5.2</v>
      </c>
      <c r="BS78" s="112">
        <f t="array" ref="BS78">MAX(INDEX(properties!A$1:CB$87,'Fórmula'!B78,20),INDEX(properties!A$1:CB$87,'Fórmula'!D78,20),INDEX(properties!A$1:CB$87,'Fórmula'!F78,20),INDEX(properties!A$1:CB$87,'Fórmula'!H78,20),INDEX(properties!A$1:CB$87,'Fórmula'!J78,20))</f>
        <v>6</v>
      </c>
      <c r="BT78" s="112">
        <f t="array" ref="BT78">MIN(IF(INDEX(properties!A$1:CB$87,'Fórmula'!B78,20)=0,10^6,INDEX(properties!A$1:CB$87,'Fórmula'!B78,20)),IF(INDEX(properties!A$1:CB$87,'Fórmula'!D78,20)=0,10^6,INDEX(properties!A$1:CB$87,'Fórmula'!D78,20)),IF(INDEX(properties!A$1:CB$87,'Fórmula'!F78,20)=0,10^6,INDEX(properties!A$1:CB$87,'Fórmula'!F78,20)),IF(INDEX(properties!A$1:CB$87,'Fórmula'!H78,20)=0,10^6,INDEX(properties!A$1:CB$87,'Fórmula'!H78,20)),IF(INDEX(properties!A$1:CB$87,'Fórmula'!J78,20)=0,10^6,INDEX(properties!A$1:CB$87,'Fórmula'!J78,20)))</f>
        <v>1</v>
      </c>
      <c r="BU78" s="112">
        <f t="shared" si="12"/>
        <v>5</v>
      </c>
      <c r="BV78" s="113">
        <f t="array" ref="BV78">(('Fórmula'!C78)/('Fórmula'!C78+'Fórmula'!E78+'Fórmula'!G78+'Fórmula'!I78+'Fórmula'!K78))*(INDEX(properties!A$1:CB$87,'Fórmula'!B78,21))+(('Fórmula'!E78)/('Fórmula'!C78+'Fórmula'!E78+'Fórmula'!G78+'Fórmula'!I78+'Fórmula'!K78))*(INDEX(properties!A$1:CB$87,'Fórmula'!D78,21))+(('Fórmula'!G78)/('Fórmula'!C78+'Fórmula'!E78+'Fórmula'!G78+'Fórmula'!I78+'Fórmula'!K78))*(INDEX(properties!A$1:CB$87,'Fórmula'!F78,21))+(('Fórmula'!I78)/('Fórmula'!C78+'Fórmula'!E78+'Fórmula'!G78+'Fórmula'!I78+'Fórmula'!K78))*(INDEX(properties!A$1:CB$87,'Fórmula'!H78,21))+(('Fórmula'!K78)/('Fórmula'!C78+'Fórmula'!E78+'Fórmula'!G78+'Fórmula'!I78+'Fórmula'!K78))*(INDEX(properties!A$1:CB$87,'Fórmula'!J78,21))</f>
        <v>4</v>
      </c>
      <c r="BW78" s="113">
        <f t="array" ref="BW78">'Fórmula'!C78*(INDEX(properties!A$1:CB$87,'Fórmula'!B78,21))+'Fórmula'!E78*(INDEX(properties!A$1:CB$87,'Fórmula'!D78,21))+'Fórmula'!G78*(INDEX(properties!A$1:CB$87,'Fórmula'!F78,21))+'Fórmula'!I78*(INDEX(properties!A$1:CB$87,'Fórmula'!H78,21))+'Fórmula'!K78*(INDEX(properties!A$1:CB$87,'Fórmula'!J78,21))</f>
        <v>16</v>
      </c>
      <c r="BX78" s="113">
        <f t="array" ref="BX78">VARP(IF(INDEX(properties!A$1:CB$87,'Fórmula'!B78,21)&lt;&gt;"",INDEX(properties!A$1:CB$87,'Fórmula'!B78,21)),IF(INDEX(properties!A$1:CB$87,'Fórmula'!D78,21)&lt;&gt;"",INDEX(properties!A$1:CB$87,'Fórmula'!D78,21)),IF(INDEX(properties!A$1:CB$87,'Fórmula'!F78,21)&lt;&gt;"",INDEX(properties!A$1:CB$87,'Fórmula'!F78,21)),IF(INDEX(properties!A$1:CB$87,'Fórmula'!H78,21)&lt;&gt;"",INDEX(properties!A$1:CB$87,'Fórmula'!H78,21)),IF(INDEX(properties!A$1:CB$87,'Fórmula'!J78,21)&lt;&gt;"",INDEX(properties!A$1:CB$87,'Fórmula'!J78,21)))</f>
        <v>5.2</v>
      </c>
      <c r="BY78" s="113">
        <f t="array" ref="BY78">MAX(INDEX(properties!A$1:CB$87,'Fórmula'!B78,21),INDEX(properties!A$1:CB$87,'Fórmula'!D78,21),INDEX(properties!A$1:CB$87,'Fórmula'!F78,21),INDEX(properties!A$1:CB$87,'Fórmula'!H78,21),INDEX(properties!A$1:CB$87,'Fórmula'!J78,21))</f>
        <v>6</v>
      </c>
      <c r="BZ78" s="113">
        <f t="array" ref="BZ78">MIN(IF(INDEX(properties!A$1:CB$87,'Fórmula'!B78,21)=0,10^6,INDEX(properties!A$1:CB$87,'Fórmula'!B78,21)),IF(INDEX(properties!A$1:CB$87,'Fórmula'!D78,21)=0,10^6,INDEX(properties!A$1:CB$87,'Fórmula'!D78,21)),IF(INDEX(properties!A$1:CB$87,'Fórmula'!F78,21)=0,10^6,INDEX(properties!A$1:CB$87,'Fórmula'!F78,21)),IF(INDEX(properties!A$1:CB$87,'Fórmula'!H78,21)=0,10^6,INDEX(properties!A$1:CB$87,'Fórmula'!H78,21)),IF(INDEX(properties!A$1:CB$87,'Fórmula'!J78,21)=0,10^6,INDEX(properties!A$1:CB$87,'Fórmula'!J78,21)))</f>
        <v>1</v>
      </c>
      <c r="CA78" s="113">
        <f t="shared" si="13"/>
        <v>5</v>
      </c>
      <c r="CB78" s="114">
        <f t="array" ref="CB78">(('Fórmula'!C78)/('Fórmula'!C78+'Fórmula'!E78+'Fórmula'!G78+'Fórmula'!I78+'Fórmula'!K78))*(INDEX(properties!A$1:CB$87,'Fórmula'!B78,23))+(('Fórmula'!E78)/('Fórmula'!C78+'Fórmula'!E78+'Fórmula'!G78+'Fórmula'!I78+'Fórmula'!K78))*(INDEX(properties!A$1:CB$87,'Fórmula'!D78,23))+(('Fórmula'!G78)/('Fórmula'!C78+'Fórmula'!E78+'Fórmula'!G78+'Fórmula'!I78+'Fórmula'!K78))*(INDEX(properties!A$1:CB$87,'Fórmula'!F78,23))+(('Fórmula'!I78)/('Fórmula'!C78+'Fórmula'!E78+'Fórmula'!G78+'Fórmula'!I78+'Fórmula'!K78))*(INDEX(properties!A$1:CB$87,'Fórmula'!H78,23))+(('Fórmula'!K78)/('Fórmula'!C78+'Fórmula'!E78+'Fórmula'!G78+'Fórmula'!I78+'Fórmula'!K78))*(INDEX(properties!A$1:CB$87,'Fórmula'!J78,23))</f>
        <v>1</v>
      </c>
      <c r="CC78" s="114">
        <f t="array" ref="CC78">'Fórmula'!C78*(INDEX(properties!A$1:CB$87,'Fórmula'!B78,23))+'Fórmula'!E78*(INDEX(properties!A$1:CB$87,'Fórmula'!D78,23))+'Fórmula'!G78*(INDEX(properties!A$1:CB$87,'Fórmula'!F78,23))+'Fórmula'!I78*(INDEX(properties!A$1:CB$87,'Fórmula'!H78,23))+'Fórmula'!K78*(INDEX(properties!A$1:CB$87,'Fórmula'!J78,23))</f>
        <v>4</v>
      </c>
      <c r="CD78" s="114">
        <f t="array" ref="CD78">VARP(IF(INDEX(properties!A$1:CB$87,'Fórmula'!B78,23)&lt;&gt;"",INDEX(properties!A$1:CB$87,'Fórmula'!B78,23)),IF(INDEX(properties!A$1:CB$87,'Fórmula'!D78,23)&lt;&gt;"",INDEX(properties!A$1:CB$87,'Fórmula'!D78,23)),IF(INDEX(properties!A$1:CB$87,'Fórmula'!F78,23)&lt;&gt;"",INDEX(properties!A$1:CB$87,'Fórmula'!F78,23)),IF(INDEX(properties!A$1:CB$87,'Fórmula'!H78,23)&lt;&gt;"",INDEX(properties!A$1:CB$87,'Fórmula'!H78,23)),IF(INDEX(properties!A$1:CB$87,'Fórmula'!J78,23)&lt;&gt;"",INDEX(properties!A$1:CB$87,'Fórmula'!J78,23)))</f>
        <v>1.36</v>
      </c>
      <c r="CE78" s="114">
        <f t="array" ref="CE78">MAX(INDEX(properties!A$1:CB$87,'Fórmula'!B78,23),INDEX(properties!A$1:CB$87,'Fórmula'!D78,23),INDEX(properties!A$1:CB$87,'Fórmula'!F78,23),INDEX(properties!A$1:CB$87,'Fórmula'!H78,23),INDEX(properties!A$1:CB$87,'Fórmula'!J78,23))</f>
        <v>3</v>
      </c>
      <c r="CF78" s="114">
        <f t="array" ref="CF78">MIN(IF('Fórmula'!B78=87,10^6,INDEX(properties!A$1:CB$87,'Fórmula'!B78,23)),IF(('Fórmula'!D78)=87,10^6,INDEX(properties!A$1:CB$87,'Fórmula'!D78,23)),IF(('Fórmula'!F78)=87,10^6,INDEX(properties!A$1:CB$87,'Fórmula'!F78,23)),IF(('Fórmula'!H78)=87,10^6,INDEX(properties!A$1:CB$87,'Fórmula'!H78,23)),IF('Fórmula'!J78=87,10^6,INDEX(properties!A$1:CB$87,'Fórmula'!J78,23)))</f>
        <v>0</v>
      </c>
      <c r="CG78" s="114">
        <f t="shared" si="14"/>
        <v>3</v>
      </c>
      <c r="CH78" s="115">
        <f t="array" ref="CH78">(('Fórmula'!C78)/('Fórmula'!C78+'Fórmula'!E78+'Fórmula'!G78+'Fórmula'!I78+'Fórmula'!K78))*(INDEX(properties!A$1:CB$87,'Fórmula'!B78,26))+(('Fórmula'!E78)/('Fórmula'!C78+'Fórmula'!E78+'Fórmula'!G78+'Fórmula'!I78+'Fórmula'!K78))*(INDEX(properties!A$1:CB$87,'Fórmula'!D78,26))+(('Fórmula'!G78)/('Fórmula'!C78+'Fórmula'!E78+'Fórmula'!G78+'Fórmula'!I78+'Fórmula'!K78))*(INDEX(properties!A$1:CB$87,'Fórmula'!F78,26))+(('Fórmula'!I78)/('Fórmula'!C78+'Fórmula'!E78+'Fórmula'!G78+'Fórmula'!I78+'Fórmula'!K78))*(INDEX(properties!A$1:CB$87,'Fórmula'!H78,26))+(('Fórmula'!K78)/('Fórmula'!C78+'Fórmula'!E78+'Fórmula'!G78+'Fórmula'!I78+'Fórmula'!K78))*(INDEX(properties!A$1:CB$87,'Fórmula'!J78,26))</f>
        <v>9.590275</v>
      </c>
      <c r="CI78" s="115">
        <f t="array" ref="CI78">'Fórmula'!C78*(INDEX(properties!A$1:CB$87,'Fórmula'!B78,26))+'Fórmula'!E78*(INDEX(properties!A$1:CB$87,'Fórmula'!D78,26))+'Fórmula'!G78*(INDEX(properties!A$1:CB$87,'Fórmula'!F78,26))+'Fórmula'!I78*(INDEX(properties!A$1:CB$87,'Fórmula'!H78,26))+'Fórmula'!K78*(INDEX(properties!A$1:CB$87,'Fórmula'!J78,26))</f>
        <v>38.3611</v>
      </c>
      <c r="CJ78" s="115">
        <f t="array" ref="CJ78">VARP(IF(INDEX(properties!A$1:CB$87,'Fórmula'!B78,26)&lt;&gt;"",INDEX(properties!A$1:CB$87,'Fórmula'!B78,26)),IF(INDEX(properties!A$1:CB$87,'Fórmula'!D78,26)&lt;&gt;"",INDEX(properties!A$1:CB$87,'Fórmula'!D78,26)),IF(INDEX(properties!A$1:CB$87,'Fórmula'!F78,26)&lt;&gt;"",INDEX(properties!A$1:CB$87,'Fórmula'!F78,26)),IF(INDEX(properties!A$1:CB$87,'Fórmula'!H78,26)&lt;&gt;"",INDEX(properties!A$1:CB$87,'Fórmula'!H78,26)),IF(INDEX(properties!A$1:CB$87,'Fórmula'!J78,26)&lt;&gt;"",INDEX(properties!A$1:CB$87,'Fórmula'!J78,26)))</f>
        <v>25.04991765</v>
      </c>
      <c r="CK78" s="116">
        <f t="array" ref="CK78">MAX(INDEX(properties!A$1:CB$87,'Fórmula'!B78,26),INDEX(properties!A$1:CB$87,'Fórmula'!D78,26),INDEX(properties!A$1:CB$87,'Fórmula'!F78,26),INDEX(properties!A$1:CB$87,'Fórmula'!H78,26),INDEX(properties!A$1:CB$87,'Fórmula'!J78,26))</f>
        <v>13.6181</v>
      </c>
      <c r="CL78" s="116">
        <f t="array" ref="CL78">MIN(IF(INDEX(properties!A$1:CB$87,'Fórmula'!B78,26)=0,10^6,INDEX(properties!A$1:CB$87,'Fórmula'!B78,26)),IF(INDEX(properties!A$1:CB$87,'Fórmula'!D78,26)=0,10^6,INDEX(properties!A$1:CB$87,'Fórmula'!D78,26)),IF(INDEX(properties!A$1:CB$87,'Fórmula'!F78,26)=0,10^6,INDEX(properties!A$1:CB$87,'Fórmula'!F78,26)),IF(INDEX(properties!A$1:CB$87,'Fórmula'!H78,26)=0,10^6,INDEX(properties!A$1:CB$87,'Fórmula'!H78,26)),IF(INDEX(properties!A$1:CB$87,'Fórmula'!J78,26)=0,10^6,INDEX(properties!A$1:CB$87,'Fórmula'!J78,26)))</f>
        <v>5.1391</v>
      </c>
      <c r="CM78" s="115">
        <f t="shared" si="15"/>
        <v>8.479</v>
      </c>
      <c r="CN78" s="117">
        <f t="array" ref="CN78">(('Fórmula'!C78)/('Fórmula'!C78+'Fórmula'!E78+'Fórmula'!G78+'Fórmula'!I78+'Fórmula'!K78))*(INDEX(properties!A$1:CB$87,'Fórmula'!B78,30))+(('Fórmula'!E78)/('Fórmula'!C78+'Fórmula'!E78+'Fórmula'!G78+'Fórmula'!I78+'Fórmula'!K78))*(INDEX(properties!A$1:CB$87,'Fórmula'!D78,30))+(('Fórmula'!G78)/('Fórmula'!C78+'Fórmula'!E78+'Fórmula'!G78+'Fórmula'!I78+'Fórmula'!K78))*(INDEX(properties!A$1:CB$87,'Fórmula'!F78,30))+(('Fórmula'!I78)/('Fórmula'!C78+'Fórmula'!E78+'Fórmula'!G78+'Fórmula'!I78+'Fórmula'!K78))*(INDEX(properties!A$1:CB$87,'Fórmula'!H78,30))+(('Fórmula'!K78)/('Fórmula'!C78+'Fórmula'!E78+'Fórmula'!G78+'Fórmula'!I78+'Fórmula'!K78))*(INDEX(properties!A$1:CB$87,'Fórmula'!J78,30))</f>
        <v>2.355</v>
      </c>
      <c r="CO78" s="117">
        <f t="array" ref="CO78">'Fórmula'!C78*(INDEX(properties!A$1:CB$87,'Fórmula'!B78,30))+'Fórmula'!E78*(INDEX(properties!A$1:CB$87,'Fórmula'!D78,30))+'Fórmula'!G78*(INDEX(properties!A$1:CB$87,'Fórmula'!F78,30))+'Fórmula'!I78*(INDEX(properties!A$1:CB$87,'Fórmula'!H78,30))+'Fórmula'!K78*(INDEX(properties!A$1:CB$87,'Fórmula'!J78,30))</f>
        <v>9.42</v>
      </c>
      <c r="CP78" s="117">
        <f t="array" ref="CP78">VARP(IF(INDEX(properties!A$1:CB$87,'Fórmula'!B78,30)&lt;&gt;"",INDEX(properties!A$1:CB$87,'Fórmula'!B78,30)),IF(INDEX(properties!A$1:CB$87,'Fórmula'!D78,30)&lt;&gt;"",INDEX(properties!A$1:CB$87,'Fórmula'!D78,30)),IF(INDEX(properties!A$1:CB$87,'Fórmula'!F78,30)&lt;&gt;"",INDEX(properties!A$1:CB$87,'Fórmula'!F78,30)),IF(INDEX(properties!A$1:CB$87,'Fórmula'!H78,30)&lt;&gt;"",INDEX(properties!A$1:CB$87,'Fórmula'!H78,30)),IF(INDEX(properties!A$1:CB$87,'Fórmula'!J78,30)&lt;&gt;"",INDEX(properties!A$1:CB$87,'Fórmula'!J78,30)))</f>
        <v>1.627704</v>
      </c>
      <c r="CQ78" s="117">
        <f t="array" ref="CQ78">MAX(INDEX(properties!A$1:CB$87,'Fórmula'!B78,30),INDEX(properties!A$1:CB$87,'Fórmula'!D78,30),INDEX(properties!A$1:CB$87,'Fórmula'!F78,30),INDEX(properties!A$1:CB$87,'Fórmula'!H78,30),INDEX(properties!A$1:CB$87,'Fórmula'!J78,30))</f>
        <v>3.44</v>
      </c>
      <c r="CR78" s="117">
        <f t="array" ref="CR78">MIN(IF(INDEX(properties!A$1:CB$87,'Fórmula'!B78,30)=0,10^6,INDEX(properties!A$1:CB$87,'Fórmula'!B78,30)),IF(INDEX(properties!A$1:CB$87,'Fórmula'!D78,30)=0,10^6,INDEX(properties!A$1:CB$87,'Fórmula'!D78,30)),IF(INDEX(properties!A$1:CB$87,'Fórmula'!F78,30)=0,10^6,INDEX(properties!A$1:CB$87,'Fórmula'!F78,30)),IF(INDEX(properties!A$1:CB$87,'Fórmula'!H78,30)=0,10^6,INDEX(properties!A$1:CB$87,'Fórmula'!H78,30)),IF(INDEX(properties!A$1:CB$87,'Fórmula'!J78,30)=0,10^6,INDEX(properties!A$1:CB$87,'Fórmula'!J78,30)))</f>
        <v>0.93</v>
      </c>
      <c r="CS78" s="117">
        <f t="shared" si="16"/>
        <v>2.51</v>
      </c>
      <c r="CT78" s="118">
        <f t="array" ref="CT78">(('Fórmula'!C78)/('Fórmula'!C78+'Fórmula'!E78+'Fórmula'!G78+'Fórmula'!I78+'Fórmula'!K78))*(INDEX(properties!A$1:CB$87,'Fórmula'!B78,31))+(('Fórmula'!E78)/('Fórmula'!C78+'Fórmula'!E78+'Fórmula'!G78+'Fórmula'!I78+'Fórmula'!K78))*(INDEX(properties!A$1:CB$87,'Fórmula'!D78,31))+(('Fórmula'!G78)/('Fórmula'!C78+'Fórmula'!E78+'Fórmula'!G78+'Fórmula'!I78+'Fórmula'!K78))*(INDEX(properties!A$1:CB$87,'Fórmula'!F78,31))+(('Fórmula'!I78)/('Fórmula'!C78+'Fórmula'!E78+'Fórmula'!G78+'Fórmula'!I78+'Fórmula'!K78))*(INDEX(properties!A$1:CB$87,'Fórmula'!H78,31))+(('Fórmula'!K78)/('Fórmula'!C78+'Fórmula'!E78+'Fórmula'!G78+'Fórmula'!I78+'Fórmula'!K78))*(INDEX(properties!A$1:CB$87,'Fórmula'!J78,31))</f>
        <v>2.2925</v>
      </c>
      <c r="CU78" s="118">
        <f t="array" ref="CU78">'Fórmula'!C78*(INDEX(properties!A$1:CB$87,'Fórmula'!B78,31))+'Fórmula'!E78*(INDEX(properties!A$1:CB$87,'Fórmula'!D78,31))+'Fórmula'!G78*(INDEX(properties!A$1:CB$87,'Fórmula'!F78,31))+'Fórmula'!I78*(INDEX(properties!A$1:CB$87,'Fórmula'!H78,31))+'Fórmula'!K78*(INDEX(properties!A$1:CB$87,'Fórmula'!J78,31))</f>
        <v>9.17</v>
      </c>
      <c r="CV78" s="118">
        <f t="array" ref="CV78">VARP(IF(INDEX(properties!A$1:CB$87,'Fórmula'!B78,31)&lt;&gt;"",INDEX(properties!A$1:CB$87,'Fórmula'!B78,31)),IF(INDEX(properties!A$1:CB$87,'Fórmula'!D78,31)&lt;&gt;"",INDEX(properties!A$1:CB$87,'Fórmula'!D78,31)),IF(INDEX(properties!A$1:CB$87,'Fórmula'!F78,31)&lt;&gt;"",INDEX(properties!A$1:CB$87,'Fórmula'!F78,31)),IF(INDEX(properties!A$1:CB$87,'Fórmula'!H78,31)&lt;&gt;"",INDEX(properties!A$1:CB$87,'Fórmula'!H78,31)),IF(INDEX(properties!A$1:CB$87,'Fórmula'!J78,31)&lt;&gt;"",INDEX(properties!A$1:CB$87,'Fórmula'!J78,31)))</f>
        <v>1.53192</v>
      </c>
      <c r="CW78" s="118">
        <f t="array" ref="CW78">MAX(INDEX(properties!A$1:CB$87,'Fórmula'!B78,31),INDEX(properties!A$1:CB$87,'Fórmula'!D78,31),INDEX(properties!A$1:CB$87,'Fórmula'!F78,31),INDEX(properties!A$1:CB$87,'Fórmula'!H78,31),INDEX(properties!A$1:CB$87,'Fórmula'!J78,31))</f>
        <v>3.32</v>
      </c>
      <c r="CX78" s="118">
        <f t="array" ref="CX78">MIN(IF(INDEX(properties!A$1:CB$87,'Fórmula'!B78,31)=0,10^6,INDEX(properties!A$1:CB$87,'Fórmula'!B78,31)),IF(INDEX(properties!A$1:CB$87,'Fórmula'!D78,31)=0,10^6,INDEX(properties!A$1:CB$87,'Fórmula'!D78,31)),IF(INDEX(properties!A$1:CB$87,'Fórmula'!F78,31)=0,10^6,INDEX(properties!A$1:CB$87,'Fórmula'!F78,31)),IF(INDEX(properties!A$1:CB$87,'Fórmula'!H78,31)=0,10^6,INDEX(properties!A$1:CB$87,'Fórmula'!H78,31)),IF(INDEX(properties!A$1:CB$87,'Fórmula'!J78,31)=0,10^6,INDEX(properties!A$1:CB$87,'Fórmula'!J78,31)))</f>
        <v>0.89</v>
      </c>
      <c r="CY78" s="118">
        <f t="shared" si="17"/>
        <v>2.43</v>
      </c>
      <c r="CZ78" s="119">
        <f t="array" ref="CZ78">(('Fórmula'!C78)/('Fórmula'!C78+'Fórmula'!E78+'Fórmula'!G78+'Fórmula'!I78+'Fórmula'!K78))*(INDEX(properties!A$1:CB$87,'Fórmula'!B78,32))+(('Fórmula'!E78)/('Fórmula'!C78+'Fórmula'!E78+'Fórmula'!G78+'Fórmula'!I78+'Fórmula'!K78))*(INDEX(properties!A$1:CB$87,'Fórmula'!D78,32))+(('Fórmula'!G78)/('Fórmula'!C78+'Fórmula'!E78+'Fórmula'!G78+'Fórmula'!I78+'Fórmula'!K78))*(INDEX(properties!A$1:CB$87,'Fórmula'!F78,32))+(('Fórmula'!I78)/('Fórmula'!C78+'Fórmula'!E78+'Fórmula'!G78+'Fórmula'!I78+'Fórmula'!K78))*(INDEX(properties!A$1:CB$87,'Fórmula'!H78,32))+(('Fórmula'!K78)/('Fórmula'!C78+'Fórmula'!E78+'Fórmula'!G78+'Fórmula'!I78+'Fórmula'!K78))*(INDEX(properties!A$1:CB$87,'Fórmula'!J78,32))</f>
        <v>5.29</v>
      </c>
      <c r="DA78" s="119">
        <f t="array" ref="DA78">'Fórmula'!C78*(INDEX(properties!A$1:CB$87,'Fórmula'!B78,32))+'Fórmula'!E78*(INDEX(properties!A$1:CB$87,'Fórmula'!D78,32))+'Fórmula'!G78*(INDEX(properties!A$1:CB$87,'Fórmula'!F78,32))+'Fórmula'!I78*(INDEX(properties!A$1:CB$87,'Fórmula'!H78,32))+'Fórmula'!K78*(INDEX(properties!A$1:CB$87,'Fórmula'!J78,32))</f>
        <v>21.16</v>
      </c>
      <c r="DB78" s="119">
        <f t="array" ref="DB78">VARP(IF(INDEX(properties!A$1:CB$87,'Fórmula'!B78,32)&lt;&gt;"",INDEX(properties!A$1:CB$87,'Fórmula'!B78,32)),IF(INDEX(properties!A$1:CB$87,'Fórmula'!D78,32)&lt;&gt;"",INDEX(properties!A$1:CB$87,'Fórmula'!D78,32)),IF(INDEX(properties!A$1:CB$87,'Fórmula'!F78,32)&lt;&gt;"",INDEX(properties!A$1:CB$87,'Fórmula'!F78,32)),IF(INDEX(properties!A$1:CB$87,'Fórmula'!H78,32)&lt;&gt;"",INDEX(properties!A$1:CB$87,'Fórmula'!H78,32)),IF(INDEX(properties!A$1:CB$87,'Fórmula'!J78,32)&lt;&gt;"",INDEX(properties!A$1:CB$87,'Fórmula'!J78,32)))</f>
        <v>7.661224</v>
      </c>
      <c r="DC78" s="119">
        <f t="array" ref="DC78">MAX(INDEX(properties!A$1:CB$87,'Fórmula'!B78,32),INDEX(properties!A$1:CB$87,'Fórmula'!D78,32),INDEX(properties!A$1:CB$87,'Fórmula'!F78,32),INDEX(properties!A$1:CB$87,'Fórmula'!H78,32),INDEX(properties!A$1:CB$87,'Fórmula'!J78,32))</f>
        <v>7.54</v>
      </c>
      <c r="DD78" s="119">
        <f t="array" ref="DD78">MIN(IF(INDEX(properties!A$1:CB$87,'Fórmula'!B78,32)=0,10^6,INDEX(properties!A$1:CB$87,'Fórmula'!B78,32)),IF(INDEX(properties!A$1:CB$87,'Fórmula'!D78,32)=0,10^6,INDEX(properties!A$1:CB$87,'Fórmula'!D78,32)),IF(INDEX(properties!A$1:CB$87,'Fórmula'!F78,32)=0,10^6,INDEX(properties!A$1:CB$87,'Fórmula'!F78,32)),IF(INDEX(properties!A$1:CB$87,'Fórmula'!H78,32)=0,10^6,INDEX(properties!A$1:CB$87,'Fórmula'!H78,32)),IF(INDEX(properties!A$1:CB$87,'Fórmula'!J78,32)=0,10^6,INDEX(properties!A$1:CB$87,'Fórmula'!J78,32)))</f>
        <v>2.85</v>
      </c>
      <c r="DE78" s="119">
        <f t="shared" si="18"/>
        <v>4.69</v>
      </c>
      <c r="DF78" s="104">
        <f t="array" ref="DF78">(('Fórmula'!C78)/('Fórmula'!C78+'Fórmula'!E78+'Fórmula'!G78+'Fórmula'!I78+'Fórmula'!K78))*(INDEX(properties!A$1:CB$87,'Fórmula'!B78,34))+(('Fórmula'!E78)/('Fórmula'!C78+'Fórmula'!E78+'Fórmula'!G78+'Fórmula'!I78+'Fórmula'!K78))*(INDEX(properties!A$1:CB$87,'Fórmula'!D78,34))+(('Fórmula'!G78)/('Fórmula'!C78+'Fórmula'!E78+'Fórmula'!G78+'Fórmula'!I78+'Fórmula'!K78))*(INDEX(properties!A$1:CB$87,'Fórmula'!F78,34))+(('Fórmula'!I78)/('Fórmula'!C78+'Fórmula'!E78+'Fórmula'!G78+'Fórmula'!I78+'Fórmula'!K78))*(INDEX(properties!A$1:CB$87,'Fórmula'!H78,34))+(('Fórmula'!K78)/('Fórmula'!C78+'Fórmula'!E78+'Fórmula'!G78+'Fórmula'!I78+'Fórmula'!K78))*(INDEX(properties!A$1:CB$87,'Fórmula'!J78,34))</f>
        <v>2.4255</v>
      </c>
      <c r="DG78" s="104">
        <f t="array" ref="DG78">'Fórmula'!C78*(INDEX(properties!A$1:CB$87,'Fórmula'!B78,34))+'Fórmula'!E78*(INDEX(properties!A$1:CB$87,'Fórmula'!D78,34))+'Fórmula'!G78*(INDEX(properties!A$1:CB$87,'Fórmula'!F78,34))+'Fórmula'!I78*(INDEX(properties!A$1:CB$87,'Fórmula'!H78,34))+'Fórmula'!K78*(INDEX(properties!A$1:CB$87,'Fórmula'!J78,34))</f>
        <v>9.702</v>
      </c>
      <c r="DH78" s="104">
        <f t="array" ref="DH78">VARP(IF(INDEX(properties!A$1:CB$87,'Fórmula'!B78,34)&lt;&gt;"",INDEX(properties!A$1:CB$87,'Fórmula'!B78,34)),IF(INDEX(properties!A$1:CB$87,'Fórmula'!D78,34)&lt;&gt;"",INDEX(properties!A$1:CB$87,'Fórmula'!D78,34)),IF(INDEX(properties!A$1:CB$87,'Fórmula'!F78,34)&lt;&gt;"",INDEX(properties!A$1:CB$87,'Fórmula'!F78,34)),IF(INDEX(properties!A$1:CB$87,'Fórmula'!H78,34)&lt;&gt;"",INDEX(properties!A$1:CB$87,'Fórmula'!H78,34)),IF(INDEX(properties!A$1:CB$87,'Fórmula'!J78,34)&lt;&gt;"",INDEX(properties!A$1:CB$87,'Fórmula'!J78,34)))</f>
        <v>1.79330744</v>
      </c>
      <c r="DI78" s="104">
        <f t="array" ref="DI78">MAX(INDEX(properties!A$1:CB$87,'Fórmula'!B78,34),INDEX(properties!A$1:CB$87,'Fórmula'!D78,34),INDEX(properties!A$1:CB$87,'Fórmula'!F78,34),INDEX(properties!A$1:CB$87,'Fórmula'!H78,34),INDEX(properties!A$1:CB$87,'Fórmula'!J78,34))</f>
        <v>3.61</v>
      </c>
      <c r="DJ78" s="104">
        <f t="array" ref="DJ78">MIN(IF(INDEX(properties!A$1:CB$87,'Fórmula'!B78,34)=0,10^6,INDEX(properties!A$1:CB$87,'Fórmula'!B78,34)),IF(INDEX(properties!A$1:CB$87,'Fórmula'!D78,34)=0,10^6,INDEX(properties!A$1:CB$87,'Fórmula'!D78,34)),IF(INDEX(properties!A$1:CB$87,'Fórmula'!F78,34)=0,10^6,INDEX(properties!A$1:CB$87,'Fórmula'!F78,34)),IF(INDEX(properties!A$1:CB$87,'Fórmula'!H78,34)=0,10^6,INDEX(properties!A$1:CB$87,'Fórmula'!H78,34)),IF(INDEX(properties!A$1:CB$87,'Fórmula'!J78,34)=0,10^6,INDEX(properties!A$1:CB$87,'Fórmula'!J78,34)))</f>
        <v>0.869</v>
      </c>
      <c r="DK78" s="104">
        <f t="shared" si="19"/>
        <v>2.741</v>
      </c>
      <c r="DL78" s="105">
        <f t="array" ref="DL78">(('Fórmula'!C78)/('Fórmula'!C78+'Fórmula'!E78+'Fórmula'!G78+'Fórmula'!I78+'Fórmula'!K78))*(INDEX(properties!A$1:CB$87,'Fórmula'!B78,37))+(('Fórmula'!E78)/('Fórmula'!C78+'Fórmula'!E78+'Fórmula'!G78+'Fórmula'!I78+'Fórmula'!K78))*(INDEX(properties!A$1:CB$87,'Fórmula'!D78,37))+(('Fórmula'!G78)/('Fórmula'!C78+'Fórmula'!E78+'Fórmula'!G78+'Fórmula'!I78+'Fórmula'!K78))*(INDEX(properties!A$1:CB$87,'Fórmula'!F78,37))+(('Fórmula'!I78)/('Fórmula'!C78+'Fórmula'!E78+'Fórmula'!G78+'Fórmula'!I78+'Fórmula'!K78))*(INDEX(properties!A$1:CB$87,'Fórmula'!H78,37))+(('Fórmula'!K78)/('Fórmula'!C78+'Fórmula'!E78+'Fórmula'!G78+'Fórmula'!I78+'Fórmula'!K78))*(INDEX(properties!A$1:CB$87,'Fórmula'!J78,37))</f>
        <v>2.325</v>
      </c>
      <c r="DM78" s="105">
        <f t="array" ref="DM78">'Fórmula'!C78*(INDEX(properties!A$1:CB$87,'Fórmula'!B78,37))+'Fórmula'!E78*(INDEX(properties!A$1:CB$87,'Fórmula'!D78,37))+'Fórmula'!G78*(INDEX(properties!A$1:CB$87,'Fórmula'!F78,37))+'Fórmula'!I78*(INDEX(properties!A$1:CB$87,'Fórmula'!H78,37))+'Fórmula'!K78*(INDEX(properties!A$1:CB$87,'Fórmula'!J78,37))</f>
        <v>9.3</v>
      </c>
      <c r="DN78" s="105">
        <f t="array" ref="DN78">VARP(IF(INDEX(properties!A$1:CB$87,'Fórmula'!B78,37)&lt;&gt;"",INDEX(properties!A$1:CB$87,'Fórmula'!B78,37)),IF(INDEX(properties!A$1:CB$87,'Fórmula'!D78,37)&lt;&gt;"",INDEX(properties!A$1:CB$87,'Fórmula'!D78,37)),IF(INDEX(properties!A$1:CB$87,'Fórmula'!F78,37)&lt;&gt;"",INDEX(properties!A$1:CB$87,'Fórmula'!F78,37)),IF(INDEX(properties!A$1:CB$87,'Fórmula'!H78,37)&lt;&gt;"",INDEX(properties!A$1:CB$87,'Fórmula'!H78,37)),IF(INDEX(properties!A$1:CB$87,'Fórmula'!J78,37)&lt;&gt;"",INDEX(properties!A$1:CB$87,'Fórmula'!J78,37)))</f>
        <v>1.6236</v>
      </c>
      <c r="DO78" s="105">
        <f t="array" ref="DO78">MAX(INDEX(properties!A$1:CB$87,'Fórmula'!B78,37),INDEX(properties!A$1:CB$87,'Fórmula'!D78,37),INDEX(properties!A$1:CB$87,'Fórmula'!F78,37),INDEX(properties!A$1:CB$87,'Fórmula'!H78,37),INDEX(properties!A$1:CB$87,'Fórmula'!J78,37))</f>
        <v>3.45</v>
      </c>
      <c r="DP78" s="105">
        <f t="array" ref="DP78">MIN(IF(INDEX(properties!A$1:CB$87,'Fórmula'!B78,37)=0,10^6,INDEX(properties!A$1:CB$87,'Fórmula'!B78,37)),IF(INDEX(properties!A$1:CB$87,'Fórmula'!D78,37)=0,10^6,INDEX(properties!A$1:CB$87,'Fórmula'!D78,37)),IF(INDEX(properties!A$1:CB$87,'Fórmula'!F78,37)=0,10^6,INDEX(properties!A$1:CB$87,'Fórmula'!F78,37)),IF(INDEX(properties!A$1:CB$87,'Fórmula'!H78,37)=0,10^6,INDEX(properties!A$1:CB$87,'Fórmula'!H78,37)),IF(INDEX(properties!A$1:CB$87,'Fórmula'!J78,37)=0,10^6,INDEX(properties!A$1:CB$87,'Fórmula'!J78,37)))</f>
        <v>0.9</v>
      </c>
      <c r="DQ78" s="105">
        <f t="shared" si="20"/>
        <v>2.55</v>
      </c>
      <c r="DR78" s="109">
        <f t="array" ref="DR78">(('Fórmula'!C78)/('Fórmula'!C78+'Fórmula'!E78+'Fórmula'!G78+'Fórmula'!I78+'Fórmula'!K78))*(INDEX(properties!A$1:CB$87,'Fórmula'!B78,39))+(('Fórmula'!E78)/('Fórmula'!C78+'Fórmula'!E78+'Fórmula'!G78+'Fórmula'!I78+'Fórmula'!K78))*(INDEX(properties!A$1:CB$87,'Fórmula'!D78,39))+(('Fórmula'!G78)/('Fórmula'!C78+'Fórmula'!E78+'Fórmula'!G78+'Fórmula'!I78+'Fórmula'!K78))*(INDEX(properties!A$1:CB$87,'Fórmula'!F78,39))+(('Fórmula'!I78)/('Fórmula'!C78+'Fórmula'!E78+'Fórmula'!G78+'Fórmula'!I78+'Fórmula'!K78))*(INDEX(properties!A$1:CB$87,'Fórmula'!H78,39))+(('Fórmula'!K78)/('Fórmula'!C78+'Fórmula'!E78+'Fórmula'!G78+'Fórmula'!I78+'Fórmula'!K78))*(INDEX(properties!A$1:CB$87,'Fórmula'!J78,39))</f>
        <v>1.01</v>
      </c>
      <c r="DS78" s="109">
        <f t="array" ref="DS78">'Fórmula'!C78*(INDEX(properties!A$1:CB$87,'Fórmula'!B78,39))+'Fórmula'!E78*(INDEX(properties!A$1:CB$87,'Fórmula'!D78,39))+'Fórmula'!G78*(INDEX(properties!A$1:CB$87,'Fórmula'!F78,39))+'Fórmula'!I78*(INDEX(properties!A$1:CB$87,'Fórmula'!H78,39))+'Fórmula'!K78*(INDEX(properties!A$1:CB$87,'Fórmula'!J78,39))</f>
        <v>4.04</v>
      </c>
      <c r="DT78" s="109">
        <f t="array" ref="DT78">VARP(IF(INDEX(properties!A$1:CB$87,'Fórmula'!B78,39)&lt;&gt;"",INDEX(properties!A$1:CB$87,'Fórmula'!B78,39)),IF(INDEX(properties!A$1:CB$87,'Fórmula'!D78,39)&lt;&gt;"",INDEX(properties!A$1:CB$87,'Fórmula'!D78,39)),IF(INDEX(properties!A$1:CB$87,'Fórmula'!F78,39)&lt;&gt;"",INDEX(properties!A$1:CB$87,'Fórmula'!F78,39)),IF(INDEX(properties!A$1:CB$87,'Fórmula'!H78,39)&lt;&gt;"",INDEX(properties!A$1:CB$87,'Fórmula'!H78,39)),IF(INDEX(properties!A$1:CB$87,'Fórmula'!J78,39)&lt;&gt;"",INDEX(properties!A$1:CB$87,'Fórmula'!J78,39)))</f>
        <v>0.539616</v>
      </c>
      <c r="DU78" s="120">
        <f t="array" ref="DU78">MAX(INDEX(properties!A$1:CB$87,'Fórmula'!B78,39),INDEX(properties!A$1:CB$87,'Fórmula'!D78,39),INDEX(properties!A$1:CB$87,'Fórmula'!F78,39),INDEX(properties!A$1:CB$87,'Fórmula'!H78,39),INDEX(properties!A$1:CB$87,'Fórmula'!J78,39))</f>
        <v>1.9</v>
      </c>
      <c r="DV78" s="120">
        <f t="array" ref="DV78">MIN(IF(INDEX(properties!A$1:CB$87,'Fórmula'!B78,39)=0,10^6,INDEX(properties!A$1:CB$87,'Fórmula'!B78,39)),IF(INDEX(properties!A$1:CB$87,'Fórmula'!D78,39)=0,10^6,INDEX(properties!A$1:CB$87,'Fórmula'!D78,39)),IF(INDEX(properties!A$1:CB$87,'Fórmula'!F78,39)=0,10^6,INDEX(properties!A$1:CB$87,'Fórmula'!F78,39)),IF(INDEX(properties!A$1:CB$87,'Fórmula'!H78,39)=0,10^6,INDEX(properties!A$1:CB$87,'Fórmula'!H78,39)),IF(INDEX(properties!A$1:CB$87,'Fórmula'!J78,39)=0,10^6,INDEX(properties!A$1:CB$87,'Fórmula'!J78,39)))</f>
        <v>0.48</v>
      </c>
      <c r="DW78" s="109">
        <f t="shared" si="21"/>
        <v>1.42</v>
      </c>
      <c r="DX78" s="110">
        <f t="array" ref="DX78">(('Fórmula'!C78)/('Fórmula'!C78+'Fórmula'!E78+'Fórmula'!G78+'Fórmula'!I78+'Fórmula'!K78))*(INDEX(properties!A$1:CB$87,'Fórmula'!B78,40))+(('Fórmula'!E78)/('Fórmula'!C78+'Fórmula'!E78+'Fórmula'!G78+'Fórmula'!I78+'Fórmula'!K78))*(INDEX(properties!A$1:CB$87,'Fórmula'!D78,40))+(('Fórmula'!G78)/('Fórmula'!C78+'Fórmula'!E78+'Fórmula'!G78+'Fórmula'!I78+'Fórmula'!K78))*(INDEX(properties!A$1:CB$87,'Fórmula'!F78,40))+(('Fórmula'!I78)/('Fórmula'!C78+'Fórmula'!E78+'Fórmula'!G78+'Fórmula'!I78+'Fórmula'!K78))*(INDEX(properties!A$1:CB$87,'Fórmula'!H78,40))+(('Fórmula'!K78)/('Fórmula'!C78+'Fórmula'!E78+'Fórmula'!G78+'Fórmula'!I78+'Fórmula'!K78))*(INDEX(properties!A$1:CB$87,'Fórmula'!J78,40))</f>
        <v>1.045</v>
      </c>
      <c r="DY78" s="110">
        <f t="array" ref="DY78">'Fórmula'!C78*(INDEX(properties!A$1:CB$87,'Fórmula'!B78,40))+'Fórmula'!E78*(INDEX(properties!A$1:CB$87,'Fórmula'!D78,40))+'Fórmula'!G78*(INDEX(properties!A$1:CB$87,'Fórmula'!F78,40))+'Fórmula'!I78*(INDEX(properties!A$1:CB$87,'Fórmula'!H78,40))+'Fórmula'!K78*(INDEX(properties!A$1:CB$87,'Fórmula'!J78,40))</f>
        <v>4.18</v>
      </c>
      <c r="DZ78" s="110">
        <f t="array" ref="DZ78">VARP(IF(INDEX(properties!A$1:CB$87,'Fórmula'!B78,40)&lt;&gt;"",INDEX(properties!A$1:CB$87,'Fórmula'!B78,40)),IF(INDEX(properties!A$1:CB$87,'Fórmula'!D78,40)&lt;&gt;"",INDEX(properties!A$1:CB$87,'Fórmula'!D78,40)),IF(INDEX(properties!A$1:CB$87,'Fórmula'!F78,40)&lt;&gt;"",INDEX(properties!A$1:CB$87,'Fórmula'!F78,40)),IF(INDEX(properties!A$1:CB$87,'Fórmula'!H78,40)&lt;&gt;"",INDEX(properties!A$1:CB$87,'Fórmula'!H78,40)),IF(INDEX(properties!A$1:CB$87,'Fórmula'!J78,40)&lt;&gt;"",INDEX(properties!A$1:CB$87,'Fórmula'!J78,40)))</f>
        <v>0.38328</v>
      </c>
      <c r="EA78" s="121">
        <f t="array" ref="EA78">MAX(INDEX(properties!A$1:CB$87,'Fórmula'!B78,40),INDEX(properties!A$1:CB$87,'Fórmula'!D78,40),INDEX(properties!A$1:CB$87,'Fórmula'!F78,40),INDEX(properties!A$1:CB$87,'Fórmula'!H78,40),INDEX(properties!A$1:CB$87,'Fórmula'!J78,40))</f>
        <v>1.54</v>
      </c>
      <c r="EB78" s="121">
        <f t="array" ref="EB78">MIN(IF(INDEX(properties!A$1:CB$87,'Fórmula'!B78,40)=0,10^6,INDEX(properties!A$1:CB$87,'Fórmula'!B78,40)),IF(INDEX(properties!A$1:CB$87,'Fórmula'!D78,40)=0,10^6,INDEX(properties!A$1:CB$87,'Fórmula'!D78,40)),IF(INDEX(properties!A$1:CB$87,'Fórmula'!F78,40)=0,10^6,INDEX(properties!A$1:CB$87,'Fórmula'!F78,40)),IF(INDEX(properties!A$1:CB$87,'Fórmula'!H78,40)=0,10^6,INDEX(properties!A$1:CB$87,'Fórmula'!H78,40)),IF(INDEX(properties!A$1:CB$87,'Fórmula'!J78,40)=0,10^6,INDEX(properties!A$1:CB$87,'Fórmula'!J78,40)))</f>
        <v>0.73</v>
      </c>
      <c r="EC78" s="110">
        <f t="shared" si="22"/>
        <v>0.81</v>
      </c>
      <c r="ED78" s="111">
        <f t="array" ref="ED78">(('Fórmula'!C78)/('Fórmula'!C78+'Fórmula'!E78+'Fórmula'!G78+'Fórmula'!I78+'Fórmula'!K78))*(INDEX(properties!A$1:CB$87,'Fórmula'!B78,41))+(('Fórmula'!E78)/('Fórmula'!C78+'Fórmula'!E78+'Fórmula'!G78+'Fórmula'!I78+'Fórmula'!K78))*(INDEX(properties!A$1:CB$87,'Fórmula'!D78,41))+(('Fórmula'!G78)/('Fórmula'!C78+'Fórmula'!E78+'Fórmula'!G78+'Fórmula'!I78+'Fórmula'!K78))*(INDEX(properties!A$1:CB$87,'Fórmula'!F78,41))+(('Fórmula'!I78)/('Fórmula'!C78+'Fórmula'!E78+'Fórmula'!G78+'Fórmula'!I78+'Fórmula'!K78))*(INDEX(properties!A$1:CB$87,'Fórmula'!H78,41))+(('Fórmula'!K78)/('Fórmula'!C78+'Fórmula'!E78+'Fórmula'!G78+'Fórmula'!I78+'Fórmula'!K78))*(INDEX(properties!A$1:CB$87,'Fórmula'!J78,41))</f>
        <v>1.09</v>
      </c>
      <c r="EE78" s="111">
        <f t="array" ref="EE78">'Fórmula'!C78*(INDEX(properties!A$1:CB$87,'Fórmula'!B78,41))+'Fórmula'!E78*(INDEX(properties!A$1:CB$87,'Fórmula'!D78,41))+'Fórmula'!G78*(INDEX(properties!A$1:CB$87,'Fórmula'!F78,41))+'Fórmula'!I78*(INDEX(properties!A$1:CB$87,'Fórmula'!H78,41))+'Fórmula'!K78*(INDEX(properties!A$1:CB$87,'Fórmula'!J78,41))</f>
        <v>4.36</v>
      </c>
      <c r="EF78" s="111">
        <f t="array" ref="EF78">VARP(IF(INDEX(properties!A$1:CB$87,'Fórmula'!B78,41)&lt;&gt;"",INDEX(properties!A$1:CB$87,'Fórmula'!B78,41)),IF(INDEX(properties!A$1:CB$87,'Fórmula'!D78,41)&lt;&gt;"",INDEX(properties!A$1:CB$87,'Fórmula'!D78,41)),IF(INDEX(properties!A$1:CB$87,'Fórmula'!F78,41)&lt;&gt;"",INDEX(properties!A$1:CB$87,'Fórmula'!F78,41)),IF(INDEX(properties!A$1:CB$87,'Fórmula'!H78,41)&lt;&gt;"",INDEX(properties!A$1:CB$87,'Fórmula'!H78,41)),IF(INDEX(properties!A$1:CB$87,'Fórmula'!J78,41)&lt;&gt;"",INDEX(properties!A$1:CB$87,'Fórmula'!J78,41)))</f>
        <v>0.29472</v>
      </c>
      <c r="EG78" s="122">
        <f t="array" ref="EG78">MAX(INDEX(properties!A$1:CB$87,'Fórmula'!B78,41),INDEX(properties!A$1:CB$87,'Fórmula'!D78,41),INDEX(properties!A$1:CB$87,'Fórmula'!F78,41),INDEX(properties!A$1:CB$87,'Fórmula'!H78,41),INDEX(properties!A$1:CB$87,'Fórmula'!J78,41))</f>
        <v>1.26</v>
      </c>
      <c r="EH78" s="122">
        <f t="array" ref="EH78">MIN(IF(INDEX(properties!A$1:CB$87,'Fórmula'!B78,41)=0,10^6,INDEX(properties!A$1:CB$87,'Fórmula'!B78,41)),IF(INDEX(properties!A$1:CB$87,'Fórmula'!D78,41)=0,10^6,INDEX(properties!A$1:CB$87,'Fórmula'!D78,41)),IF(INDEX(properties!A$1:CB$87,'Fórmula'!F78,41)=0,10^6,INDEX(properties!A$1:CB$87,'Fórmula'!F78,41)),IF(INDEX(properties!A$1:CB$87,'Fórmula'!H78,41)=0,10^6,INDEX(properties!A$1:CB$87,'Fórmula'!H78,41)),IF(INDEX(properties!A$1:CB$87,'Fórmula'!J78,41)=0,10^6,INDEX(properties!A$1:CB$87,'Fórmula'!J78,41)))</f>
        <v>0.68</v>
      </c>
      <c r="EI78" s="111">
        <f t="shared" si="23"/>
        <v>0.58</v>
      </c>
      <c r="EJ78" s="112">
        <f t="array" ref="EJ78">(('Fórmula'!C78)/('Fórmula'!C78+'Fórmula'!E78+'Fórmula'!G78+'Fórmula'!I78+'Fórmula'!K78))*(INDEX(properties!A$1:CB$87,'Fórmula'!B78,45))+(('Fórmula'!E78)/('Fórmula'!C78+'Fórmula'!E78+'Fórmula'!G78+'Fórmula'!I78+'Fórmula'!K78))*(INDEX(properties!A$1:CB$87,'Fórmula'!D78,45))+(('Fórmula'!G78)/('Fórmula'!C78+'Fórmula'!E78+'Fórmula'!G78+'Fórmula'!I78+'Fórmula'!K78))*(INDEX(properties!A$1:CB$87,'Fórmula'!F78,45))+(('Fórmula'!I78)/('Fórmula'!C78+'Fórmula'!E78+'Fórmula'!G78+'Fórmula'!I78+'Fórmula'!K78))*(INDEX(properties!A$1:CB$87,'Fórmula'!H78,45))+(('Fórmula'!K78)/('Fórmula'!C78+'Fórmula'!E78+'Fórmula'!G78+'Fórmula'!I78+'Fórmula'!K78))*(INDEX(properties!A$1:CB$87,'Fórmula'!J78,45))</f>
        <v>1.3175</v>
      </c>
      <c r="EK78" s="112">
        <f t="array" ref="EK78">'Fórmula'!C78*(INDEX(properties!A$1:CB$87,'Fórmula'!B78,45))+'Fórmula'!E78*(INDEX(properties!A$1:CB$87,'Fórmula'!D78,45))+'Fórmula'!G78*(INDEX(properties!A$1:CB$87,'Fórmula'!F78,45))+'Fórmula'!I78*(INDEX(properties!A$1:CB$87,'Fórmula'!H78,45))+'Fórmula'!K78*(INDEX(properties!A$1:CB$87,'Fórmula'!J78,45))</f>
        <v>5.27</v>
      </c>
      <c r="EL78" s="112">
        <f t="array" ref="EL78">VARP(IF(INDEX(properties!A$1:CB$87,'Fórmula'!B78,45)&lt;&gt;"",INDEX(properties!A$1:CB$87,'Fórmula'!B78,45)),IF(INDEX(properties!A$1:CB$87,'Fórmula'!D78,45)&lt;&gt;"",INDEX(properties!A$1:CB$87,'Fórmula'!D78,45)),IF(INDEX(properties!A$1:CB$87,'Fórmula'!F78,45)&lt;&gt;"",INDEX(properties!A$1:CB$87,'Fórmula'!F78,45)),IF(INDEX(properties!A$1:CB$87,'Fórmula'!H78,45)&lt;&gt;"",INDEX(properties!A$1:CB$87,'Fórmula'!H78,45)),IF(INDEX(properties!A$1:CB$87,'Fórmula'!J78,45)&lt;&gt;"",INDEX(properties!A$1:CB$87,'Fórmula'!J78,45)))</f>
        <v>1.09156</v>
      </c>
      <c r="EM78" s="123">
        <f t="array" ref="EM78">MAX(INDEX(properties!A$1:CB$87,'Fórmula'!B78,45),INDEX(properties!A$1:CB$87,'Fórmula'!D78,45),INDEX(properties!A$1:CB$87,'Fórmula'!F78,45),INDEX(properties!A$1:CB$87,'Fórmula'!H78,45),INDEX(properties!A$1:CB$87,'Fórmula'!J78,45))</f>
        <v>2.65</v>
      </c>
      <c r="EN78" s="123">
        <f t="array" ref="EN78">MIN(IF(INDEX(properties!A$1:CB$87,'Fórmula'!B78,45)=0,10^6,INDEX(properties!A$1:CB$87,'Fórmula'!B78,45)),IF(INDEX(properties!A$1:CB$87,'Fórmula'!D78,45)=0,10^6,INDEX(properties!A$1:CB$87,'Fórmula'!D78,45)),IF(INDEX(properties!A$1:CB$87,'Fórmula'!F78,45)=0,10^6,INDEX(properties!A$1:CB$87,'Fórmula'!F78,45)),IF(INDEX(properties!A$1:CB$87,'Fórmula'!H78,45)=0,10^6,INDEX(properties!A$1:CB$87,'Fórmula'!H78,45)),IF(INDEX(properties!A$1:CB$87,'Fórmula'!J78,45)=0,10^6,INDEX(properties!A$1:CB$87,'Fórmula'!J78,45)))</f>
        <v>0.47</v>
      </c>
      <c r="EO78" s="112">
        <f t="shared" si="24"/>
        <v>2.18</v>
      </c>
      <c r="EP78" s="113">
        <f t="array" ref="EP78">(('Fórmula'!C78)/('Fórmula'!C78+'Fórmula'!E78+'Fórmula'!G78+'Fórmula'!I78+'Fórmula'!K78))*(INDEX(properties!A$1:CB$87,'Fórmula'!B78,46))+(('Fórmula'!E78)/('Fórmula'!C78+'Fórmula'!E78+'Fórmula'!G78+'Fórmula'!I78+'Fórmula'!K78))*(INDEX(properties!A$1:CB$87,'Fórmula'!D78,46))+(('Fórmula'!G78)/('Fórmula'!C78+'Fórmula'!E78+'Fórmula'!G78+'Fórmula'!I78+'Fórmula'!K78))*(INDEX(properties!A$1:CB$87,'Fórmula'!F78,46))+(('Fórmula'!I78)/('Fórmula'!C78+'Fórmula'!E78+'Fórmula'!G78+'Fórmula'!I78+'Fórmula'!K78))*(INDEX(properties!A$1:CB$87,'Fórmula'!H78,46))+(('Fórmula'!K78)/('Fórmula'!C78+'Fórmula'!E78+'Fórmula'!G78+'Fórmula'!I78+'Fórmula'!K78))*(INDEX(properties!A$1:CB$87,'Fórmula'!J78,46))</f>
        <v>1.0275</v>
      </c>
      <c r="EQ78" s="113">
        <f t="array" ref="EQ78">'Fórmula'!C78*(INDEX(properties!A$1:CB$87,'Fórmula'!B78,46))+'Fórmula'!E78*(INDEX(properties!A$1:CB$87,'Fórmula'!D78,46))+'Fórmula'!G78*(INDEX(properties!A$1:CB$87,'Fórmula'!F78,46))+'Fórmula'!I78*(INDEX(properties!A$1:CB$87,'Fórmula'!H78,46))+'Fórmula'!K78*(INDEX(properties!A$1:CB$87,'Fórmula'!J78,46))</f>
        <v>4.11</v>
      </c>
      <c r="ER78" s="113">
        <f t="array" ref="ER78">VARP(IF(INDEX(properties!A$1:CB$87,'Fórmula'!B78,46)&lt;&gt;"",INDEX(properties!A$1:CB$87,'Fórmula'!B78,46)),IF(INDEX(properties!A$1:CB$87,'Fórmula'!D78,46)&lt;&gt;"",INDEX(properties!A$1:CB$87,'Fórmula'!D78,46)),IF(INDEX(properties!A$1:CB$87,'Fórmula'!F78,46)&lt;&gt;"",INDEX(properties!A$1:CB$87,'Fórmula'!F78,46)),IF(INDEX(properties!A$1:CB$87,'Fórmula'!H78,46)&lt;&gt;"",INDEX(properties!A$1:CB$87,'Fórmula'!H78,46)),IF(INDEX(properties!A$1:CB$87,'Fórmula'!J78,46)&lt;&gt;"",INDEX(properties!A$1:CB$87,'Fórmula'!J78,46)))</f>
        <v>0.28172</v>
      </c>
      <c r="ES78" s="124">
        <f t="array" ref="ES78">MAX(INDEX(properties!A$1:CB$87,'Fórmula'!B78,46),INDEX(properties!A$1:CB$87,'Fórmula'!D78,46),INDEX(properties!A$1:CB$87,'Fórmula'!F78,46),INDEX(properties!A$1:CB$87,'Fórmula'!H78,46),INDEX(properties!A$1:CB$87,'Fórmula'!J78,46))</f>
        <v>1.21</v>
      </c>
      <c r="ET78" s="124">
        <f t="array" ref="ET78">MIN(IF(INDEX(properties!A$1:CB$87,'Fórmula'!B78,46)=0,10^6,INDEX(properties!A$1:CB$87,'Fórmula'!B78,46)),IF(INDEX(properties!A$1:CB$87,'Fórmula'!D78,46)=0,10^6,INDEX(properties!A$1:CB$87,'Fórmula'!D78,46)),IF(INDEX(properties!A$1:CB$87,'Fórmula'!F78,46)=0,10^6,INDEX(properties!A$1:CB$87,'Fórmula'!F78,46)),IF(INDEX(properties!A$1:CB$87,'Fórmula'!H78,46)=0,10^6,INDEX(properties!A$1:CB$87,'Fórmula'!H78,46)),IF(INDEX(properties!A$1:CB$87,'Fórmula'!J78,46)=0,10^6,INDEX(properties!A$1:CB$87,'Fórmula'!J78,46)))</f>
        <v>0.53</v>
      </c>
      <c r="EU78" s="113">
        <f t="shared" si="25"/>
        <v>0.68</v>
      </c>
      <c r="EV78" s="114">
        <f t="array" ref="EV78">(('Fórmula'!C78)/('Fórmula'!C78+'Fórmula'!E78+'Fórmula'!G78+'Fórmula'!I78+'Fórmula'!K78))*(INDEX(properties!A$1:CB$87,'Fórmula'!B78,52))+(('Fórmula'!E78)/('Fórmula'!C78+'Fórmula'!E78+'Fórmula'!G78+'Fórmula'!I78+'Fórmula'!K78))*(INDEX(properties!A$1:CB$87,'Fórmula'!D78,52))+(('Fórmula'!G78)/('Fórmula'!C78+'Fórmula'!E78+'Fórmula'!G78+'Fórmula'!I78+'Fórmula'!K78))*(INDEX(properties!A$1:CB$87,'Fórmula'!F78,52))+(('Fórmula'!I78)/('Fórmula'!C78+'Fórmula'!E78+'Fórmula'!G78+'Fórmula'!I78+'Fórmula'!K78))*(INDEX(properties!A$1:CB$87,'Fórmula'!H78,52))+(('Fórmula'!K78)/('Fórmula'!C78+'Fórmula'!E78+'Fórmula'!G78+'Fórmula'!I78+'Fórmula'!K78))*(INDEX(properties!A$1:CB$87,'Fórmula'!J78,52))</f>
        <v>8.3715</v>
      </c>
      <c r="EW78" s="114">
        <f t="array" ref="EW78">'Fórmula'!C78*(INDEX(properties!A$1:CB$87,'Fórmula'!B78,52))+'Fórmula'!E78*(INDEX(properties!A$1:CB$87,'Fórmula'!D78,52))+'Fórmula'!G78*(INDEX(properties!A$1:CB$87,'Fórmula'!F78,52))+'Fórmula'!I78*(INDEX(properties!A$1:CB$87,'Fórmula'!H78,52))+'Fórmula'!K78*(INDEX(properties!A$1:CB$87,'Fórmula'!J78,52))</f>
        <v>33.486</v>
      </c>
      <c r="EX78" s="114">
        <f t="array" ref="EX78">VARP(IF(INDEX(properties!A$1:CB$87,'Fórmula'!B78,52)&lt;&gt;"",INDEX(properties!A$1:CB$87,'Fórmula'!B78,52)),IF(INDEX(properties!A$1:CB$87,'Fórmula'!D78,52)&lt;&gt;"",INDEX(properties!A$1:CB$87,'Fórmula'!D78,52)),IF(INDEX(properties!A$1:CB$87,'Fórmula'!F78,52)&lt;&gt;"",INDEX(properties!A$1:CB$87,'Fórmula'!F78,52)),IF(INDEX(properties!A$1:CB$87,'Fórmula'!H78,52)&lt;&gt;"",INDEX(properties!A$1:CB$87,'Fórmula'!H78,52)),IF(INDEX(properties!A$1:CB$87,'Fórmula'!J78,52)&lt;&gt;"",INDEX(properties!A$1:CB$87,'Fórmula'!J78,52)))</f>
        <v>82.54247984</v>
      </c>
      <c r="EY78" s="114">
        <f t="array" ref="EY78">MAX(INDEX(properties!A$1:CB$87,'Fórmula'!B78,52),INDEX(properties!A$1:CB$87,'Fórmula'!D78,52),INDEX(properties!A$1:CB$87,'Fórmula'!F78,52),INDEX(properties!A$1:CB$87,'Fórmula'!H78,52),INDEX(properties!A$1:CB$87,'Fórmula'!J78,52))</f>
        <v>23.6</v>
      </c>
      <c r="EZ78" s="114">
        <f t="array" ref="EZ78">MIN(IF(INDEX(properties!A$1:CB$87,'Fórmula'!B78,52)=0,10^6,INDEX(properties!A$1:CB$87,'Fórmula'!B78,52)),IF(INDEX(properties!A$1:CB$87,'Fórmula'!D78,52)=0,10^6,INDEX(properties!A$1:CB$87,'Fórmula'!D78,52)),IF(INDEX(properties!A$1:CB$87,'Fórmula'!F78,52)=0,10^6,INDEX(properties!A$1:CB$87,'Fórmula'!F78,52)),IF(INDEX(properties!A$1:CB$87,'Fórmula'!H78,52)=0,10^6,INDEX(properties!A$1:CB$87,'Fórmula'!H78,52)),IF(INDEX(properties!A$1:CB$87,'Fórmula'!J78,52)=0,10^6,INDEX(properties!A$1:CB$87,'Fórmula'!J78,52)))</f>
        <v>0.793</v>
      </c>
      <c r="FA78" s="114">
        <f t="shared" si="26"/>
        <v>22.807</v>
      </c>
      <c r="FB78" s="115">
        <f t="array" ref="FB78">(('Fórmula'!C78)/('Fórmula'!C78+'Fórmula'!E78+'Fórmula'!G78+'Fórmula'!I78+'Fórmula'!K78))*(INDEX(properties!A$1:CB$87,'Fórmula'!B78,53))+(('Fórmula'!E78)/('Fórmula'!C78+'Fórmula'!E78+'Fórmula'!G78+'Fórmula'!I78+'Fórmula'!K78))*(INDEX(properties!A$1:CB$87,'Fórmula'!D78,53))+(('Fórmula'!G78)/('Fórmula'!C78+'Fórmula'!E78+'Fórmula'!G78+'Fórmula'!I78+'Fórmula'!K78))*(INDEX(properties!A$1:CB$87,'Fórmula'!F78,53))+(('Fórmula'!I78)/('Fórmula'!C78+'Fórmula'!E78+'Fórmula'!G78+'Fórmula'!I78+'Fórmula'!K78))*(INDEX(properties!A$1:CB$87,'Fórmula'!H78,53))+(('Fórmula'!K78)/('Fórmula'!C78+'Fórmula'!E78+'Fórmula'!G78+'Fórmula'!I78+'Fórmula'!K78))*(INDEX(properties!A$1:CB$87,'Fórmula'!J78,53))</f>
        <v>353.4</v>
      </c>
      <c r="FC78" s="115">
        <f t="array" ref="FC78">'Fórmula'!C78*(INDEX(properties!A$1:CB$87,'Fórmula'!B78,53))+'Fórmula'!E78*(INDEX(properties!A$1:CB$87,'Fórmula'!D78,53))+'Fórmula'!G78*(INDEX(properties!A$1:CB$87,'Fórmula'!F78,53))+'Fórmula'!I78*(INDEX(properties!A$1:CB$87,'Fórmula'!H78,53))+'Fórmula'!K78*(INDEX(properties!A$1:CB$87,'Fórmula'!J78,53))</f>
        <v>1413.6</v>
      </c>
      <c r="FD78" s="115">
        <f t="array" ref="FD78">VARP(IF(INDEX(properties!A$1:CB$87,'Fórmula'!B78,53)&lt;&gt;"",INDEX(properties!A$1:CB$87,'Fórmula'!B78,53)),IF(INDEX(properties!A$1:CB$87,'Fórmula'!D78,53)&lt;&gt;"",INDEX(properties!A$1:CB$87,'Fórmula'!D78,53)),IF(INDEX(properties!A$1:CB$87,'Fórmula'!F78,53)&lt;&gt;"",INDEX(properties!A$1:CB$87,'Fórmula'!F78,53)),IF(INDEX(properties!A$1:CB$87,'Fórmula'!H78,53)&lt;&gt;"",INDEX(properties!A$1:CB$87,'Fórmula'!H78,53)),IF(INDEX(properties!A$1:CB$87,'Fórmula'!J78,53)&lt;&gt;"",INDEX(properties!A$1:CB$87,'Fórmula'!J78,53)))</f>
        <v>128415.1446</v>
      </c>
      <c r="FE78" s="115">
        <f t="array" ref="FE78">MAX(INDEX(properties!A$1:CB$87,'Fórmula'!B78,53),INDEX(properties!A$1:CB$87,'Fórmula'!D78,53),INDEX(properties!A$1:CB$87,'Fórmula'!F78,53),INDEX(properties!A$1:CB$87,'Fórmula'!H78,53),INDEX(properties!A$1:CB$87,'Fórmula'!J78,53))</f>
        <v>933.15</v>
      </c>
      <c r="FF78" s="115">
        <f t="array" ref="FF78">MIN(IF(INDEX(properties!A$1:CB$87,'Fórmula'!B78,53)=0,10^6,INDEX(properties!A$1:CB$87,'Fórmula'!B78,53)),IF(INDEX(properties!A$1:CB$87,'Fórmula'!D78,53)=0,10^6,INDEX(properties!A$1:CB$87,'Fórmula'!D78,53)),IF(INDEX(properties!A$1:CB$87,'Fórmula'!F78,53)=0,10^6,INDEX(properties!A$1:CB$87,'Fórmula'!F78,53)),IF(INDEX(properties!A$1:CB$87,'Fórmula'!H78,53)=0,10^6,INDEX(properties!A$1:CB$87,'Fórmula'!H78,53)),IF(INDEX(properties!A$1:CB$87,'Fórmula'!J78,53)=0,10^6,INDEX(properties!A$1:CB$87,'Fórmula'!J78,53)))</f>
        <v>54.75</v>
      </c>
      <c r="FG78" s="115">
        <f t="shared" si="27"/>
        <v>878.4</v>
      </c>
      <c r="FH78" s="117">
        <f t="array" ref="FH78">(('Fórmula'!C78)/('Fórmula'!C78+'Fórmula'!E78+'Fórmula'!G78+'Fórmula'!I78+'Fórmula'!K78))*(INDEX(properties!A$1:CB$87,'Fórmula'!B78,54))+(('Fórmula'!E78)/('Fórmula'!C78+'Fórmula'!E78+'Fórmula'!G78+'Fórmula'!I78+'Fórmula'!K78))*(INDEX(properties!A$1:CB$87,'Fórmula'!D78,54))+(('Fórmula'!G78)/('Fórmula'!C78+'Fórmula'!E78+'Fórmula'!G78+'Fórmula'!I78+'Fórmula'!K78))*(INDEX(properties!A$1:CB$87,'Fórmula'!F78,54))+(('Fórmula'!I78)/('Fórmula'!C78+'Fórmula'!E78+'Fórmula'!G78+'Fórmula'!I78+'Fórmula'!K78))*(INDEX(properties!A$1:CB$87,'Fórmula'!H78,54))+(('Fórmula'!K78)/('Fórmula'!C78+'Fórmula'!E78+'Fórmula'!G78+'Fórmula'!I78+'Fórmula'!K78))*(INDEX(properties!A$1:CB$87,'Fórmula'!J78,54))</f>
        <v>1019.15</v>
      </c>
      <c r="FI78" s="117">
        <f t="array" ref="FI78">'Fórmula'!C78*(INDEX(properties!A$1:CB$87,'Fórmula'!B78,54))+'Fórmula'!E78*(INDEX(properties!A$1:CB$87,'Fórmula'!D78,54))+'Fórmula'!G78*(INDEX(properties!A$1:CB$87,'Fórmula'!F78,54))+'Fórmula'!I78*(INDEX(properties!A$1:CB$87,'Fórmula'!H78,54))+'Fórmula'!K78*(INDEX(properties!A$1:CB$87,'Fórmula'!J78,54))</f>
        <v>4076.6</v>
      </c>
      <c r="FJ78" s="117">
        <f t="array" ref="FJ78">VARP(IF(INDEX(properties!A$1:CB$87,'Fórmula'!B78,54)&lt;&gt;"",INDEX(properties!A$1:CB$87,'Fórmula'!B78,54)),IF(INDEX(properties!A$1:CB$87,'Fórmula'!D78,54)&lt;&gt;"",INDEX(properties!A$1:CB$87,'Fórmula'!D78,54)),IF(INDEX(properties!A$1:CB$87,'Fórmula'!F78,54)&lt;&gt;"",INDEX(properties!A$1:CB$87,'Fórmula'!F78,54)),IF(INDEX(properties!A$1:CB$87,'Fórmula'!H78,54)&lt;&gt;"",INDEX(properties!A$1:CB$87,'Fórmula'!H78,54)),IF(INDEX(properties!A$1:CB$87,'Fórmula'!J78,54)&lt;&gt;"",INDEX(properties!A$1:CB$87,'Fórmula'!J78,54)))</f>
        <v>1134975.029</v>
      </c>
      <c r="FK78" s="117">
        <f t="array" ref="FK78">MAX(INDEX(properties!A$1:CB$87,'Fórmula'!B78,54),INDEX(properties!A$1:CB$87,'Fórmula'!D78,54),INDEX(properties!A$1:CB$87,'Fórmula'!F78,54),INDEX(properties!A$1:CB$87,'Fórmula'!H78,54),INDEX(properties!A$1:CB$87,'Fórmula'!J78,54))</f>
        <v>2740.15</v>
      </c>
      <c r="FL78" s="117">
        <f t="array" ref="FL78">MIN(IF(INDEX(properties!A$1:CB$87,'Fórmula'!B78,54)=0,10^6,INDEX(properties!A$1:CB$87,'Fórmula'!B78,54)),IF(INDEX(properties!A$1:CB$87,'Fórmula'!D78,54)=0,10^6,INDEX(properties!A$1:CB$87,'Fórmula'!D78,54)),IF(INDEX(properties!A$1:CB$87,'Fórmula'!F78,54)=0,10^6,INDEX(properties!A$1:CB$87,'Fórmula'!F78,54)),IF(INDEX(properties!A$1:CB$87,'Fórmula'!H78,54)=0,10^6,INDEX(properties!A$1:CB$87,'Fórmula'!H78,54)),IF(INDEX(properties!A$1:CB$87,'Fórmula'!J78,54)=0,10^6,INDEX(properties!A$1:CB$87,'Fórmula'!J78,54)))</f>
        <v>90.15</v>
      </c>
      <c r="FM78" s="117">
        <f t="shared" si="28"/>
        <v>2650</v>
      </c>
      <c r="FN78" s="118">
        <f t="array" ref="FN78">(('Fórmula'!C78)/('Fórmula'!C78+'Fórmula'!E78+'Fórmula'!G78+'Fórmula'!I78+'Fórmula'!K78))*(INDEX(properties!A$1:CB$87,'Fórmula'!B78,55))+(('Fórmula'!E78)/('Fórmula'!C78+'Fórmula'!E78+'Fórmula'!G78+'Fórmula'!I78+'Fórmula'!K78))*(INDEX(properties!A$1:CB$87,'Fórmula'!D78,55))+(('Fórmula'!G78)/('Fórmula'!C78+'Fórmula'!E78+'Fórmula'!G78+'Fórmula'!I78+'Fórmula'!K78))*(INDEX(properties!A$1:CB$87,'Fórmula'!F78,55))+(('Fórmula'!I78)/('Fórmula'!C78+'Fórmula'!E78+'Fórmula'!G78+'Fórmula'!I78+'Fórmula'!K78))*(INDEX(properties!A$1:CB$87,'Fórmula'!H78,55))+(('Fórmula'!K78)/('Fórmula'!C78+'Fórmula'!E78+'Fórmula'!G78+'Fórmula'!I78+'Fórmula'!K78))*(INDEX(properties!A$1:CB$87,'Fórmula'!J78,55))</f>
        <v>0.918465</v>
      </c>
      <c r="FO78" s="118">
        <f t="array" ref="FO78">'Fórmula'!C78*(INDEX(properties!A$1:CB$87,'Fórmula'!B78,55))+'Fórmula'!E78*(INDEX(properties!A$1:CB$87,'Fórmula'!D78,54))+'Fórmula'!G78*(INDEX(properties!A$1:CB$87,'Fórmula'!F78,55))+'Fórmula'!I78*(INDEX(properties!A$1:CB$87,'Fórmula'!H78,55))+'Fórmula'!K78*(INDEX(properties!A$1:CB$87,'Fórmula'!J78,55))</f>
        <v>2741.12386</v>
      </c>
      <c r="FP78" s="118">
        <f t="array" ref="FP78">VARP(IF(INDEX(properties!A$1:CB$87,'Fórmula'!B78,55)&lt;&gt;"",INDEX(properties!A$1:CB$87,'Fórmula'!B78,55)),IF(INDEX(properties!A$1:CB$87,'Fórmula'!D78,55)&lt;&gt;"",INDEX(properties!A$1:CB$87,'Fórmula'!D78,55)),IF(INDEX(properties!A$1:CB$87,'Fórmula'!F78,55)&lt;&gt;"",INDEX(properties!A$1:CB$87,'Fórmula'!F78,55)),IF(INDEX(properties!A$1:CB$87,'Fórmula'!H78,55)&lt;&gt;"",INDEX(properties!A$1:CB$87,'Fórmula'!H78,55)),IF(INDEX(properties!A$1:CB$87,'Fórmula'!J78,55)&lt;&gt;"",INDEX(properties!A$1:CB$87,'Fórmula'!J78,55)))</f>
        <v>1.107098925</v>
      </c>
      <c r="FQ78" s="118">
        <f t="array" ref="FQ78">MAX(INDEX(properties!A$1:CB$87,'Fórmula'!B78,55),INDEX(properties!A$1:CB$87,'Fórmula'!D78,55),INDEX(properties!A$1:CB$87,'Fórmula'!F78,55),INDEX(properties!A$1:CB$87,'Fórmula'!H78,55),INDEX(properties!A$1:CB$87,'Fórmula'!J78,55))</f>
        <v>2.7</v>
      </c>
      <c r="FR78" s="118">
        <f t="array" ref="FR78">MIN(IF(INDEX(properties!A$1:CB$87,'Fórmula'!B78,55)=0,10^6,INDEX(properties!A$1:CB$87,'Fórmula'!B78,55)),IF(INDEX(properties!A$1:CB$87,'Fórmula'!D78,55)=0,10^6,INDEX(properties!A$1:CB$87,'Fórmula'!D78,55)),IF(INDEX(properties!A$1:CB$87,'Fórmula'!F78,55)=0,10^6,INDEX(properties!A$1:CB$87,'Fórmula'!F78,55)),IF(INDEX(properties!A$1:CB$87,'Fórmula'!H78,55)=0,10^6,INDEX(properties!A$1:CB$87,'Fórmula'!H78,55)),IF(INDEX(properties!A$1:CB$87,'Fórmula'!J78,55)=0,10^6,INDEX(properties!A$1:CB$87,'Fórmula'!J78,55)))</f>
        <v>0.00143</v>
      </c>
      <c r="FS78" s="118">
        <f t="shared" si="29"/>
        <v>2.69857</v>
      </c>
      <c r="FT78" s="119">
        <f t="array" ref="FT78">(('Fórmula'!C78)/('Fórmula'!C78+'Fórmula'!E78+'Fórmula'!G78+'Fórmula'!I78+'Fórmula'!K78))*(INDEX(properties!A$1:CB$87,'Fórmula'!B78,56))+(('Fórmula'!E78)/('Fórmula'!C78+'Fórmula'!E78+'Fórmula'!G78+'Fórmula'!I78+'Fórmula'!K78))*(INDEX(properties!A$1:CB$87,'Fórmula'!D78,56))+(('Fórmula'!G78)/('Fórmula'!C78+'Fórmula'!E78+'Fórmula'!G78+'Fórmula'!I78+'Fórmula'!K78))*(INDEX(properties!A$1:CB$87,'Fórmula'!F78,56))+(('Fórmula'!I78)/('Fórmula'!C78+'Fórmula'!E78+'Fórmula'!G78+'Fórmula'!I78+'Fórmula'!K78))*(INDEX(properties!A$1:CB$87,'Fórmula'!H78,56))+(('Fórmula'!K78)/('Fórmula'!C78+'Fórmula'!E78+'Fórmula'!G78+'Fórmula'!I78+'Fórmula'!K78))*(INDEX(properties!A$1:CB$87,'Fórmula'!J78,56))</f>
        <v>0.9925</v>
      </c>
      <c r="FU78" s="119">
        <f t="array" ref="FU78">'Fórmula'!C78*(INDEX(properties!A$1:CB$87,'Fórmula'!B78,56))+'Fórmula'!E78*(INDEX(properties!A$1:CB$87,'Fórmula'!D78,56))+'Fórmula'!G78*(INDEX(properties!A$1:CB$87,'Fórmula'!F78,56))+'Fórmula'!I78*(INDEX(properties!A$1:CB$87,'Fórmula'!H78,56))+'Fórmula'!K78*(INDEX(properties!A$1:CB$87,'Fórmula'!J78,56))</f>
        <v>3.97</v>
      </c>
      <c r="FV78" s="119">
        <f t="array" ref="FV78">VARP(IF(INDEX(properties!A$1:CB$87,'Fórmula'!B78,56)&lt;&gt;"",INDEX(properties!A$1:CB$87,'Fórmula'!B78,56)),IF(INDEX(properties!A$1:CB$87,'Fórmula'!D78,56)&lt;&gt;"",INDEX(properties!A$1:CB$87,'Fórmula'!D78,56)),IF(INDEX(properties!A$1:CB$87,'Fórmula'!F78,56)&lt;&gt;"",INDEX(properties!A$1:CB$87,'Fórmula'!F78,56)),IF(INDEX(properties!A$1:CB$87,'Fórmula'!H78,56)&lt;&gt;"",INDEX(properties!A$1:CB$87,'Fórmula'!H78,56)),IF(INDEX(properties!A$1:CB$87,'Fórmula'!J78,56)&lt;&gt;"",INDEX(properties!A$1:CB$87,'Fórmula'!J78,56)))</f>
        <v>0.26176</v>
      </c>
      <c r="FW78" s="119">
        <f t="array" ref="FW78">MAX(INDEX(properties!A$1:CB$87,'Fórmula'!B78,56),INDEX(properties!A$1:CB$87,'Fórmula'!D78,56),INDEX(properties!A$1:CB$87,'Fórmula'!F78,56),INDEX(properties!A$1:CB$87,'Fórmula'!H78,56),INDEX(properties!A$1:CB$87,'Fórmula'!J78,56))</f>
        <v>1.23</v>
      </c>
      <c r="FX78" s="119">
        <f t="array" ref="FX78">MIN(IF(INDEX(properties!A$1:CB$87,'Fórmula'!B78,56)=0,10^6,INDEX(properties!A$1:CB$87,'Fórmula'!B78,56)),IF(INDEX(properties!A$1:CB$87,'Fórmula'!D78,56)=0,10^6,INDEX(properties!A$1:CB$87,'Fórmula'!D78,56)),IF(INDEX(properties!A$1:CB$87,'Fórmula'!F78,56)=0,10^6,INDEX(properties!A$1:CB$87,'Fórmula'!F78,56)),IF(INDEX(properties!A$1:CB$87,'Fórmula'!H78,56)=0,10^6,INDEX(properties!A$1:CB$87,'Fórmula'!H78,56)),IF(INDEX(properties!A$1:CB$87,'Fórmula'!J78,56)=0,10^6,INDEX(properties!A$1:CB$87,'Fórmula'!J78,56)))</f>
        <v>0.9</v>
      </c>
      <c r="FY78" s="119">
        <f t="shared" si="30"/>
        <v>0.33</v>
      </c>
      <c r="FZ78" s="104">
        <f t="array" ref="FZ78">(('Fórmula'!C78)/('Fórmula'!C78+'Fórmula'!E78+'Fórmula'!G78+'Fórmula'!I78+'Fórmula'!K78))*(INDEX(properties!A$1:CB$87,'Fórmula'!B78,57))+(('Fórmula'!E78)/('Fórmula'!C78+'Fórmula'!E78+'Fórmula'!G78+'Fórmula'!I78+'Fórmula'!K78))*(INDEX(properties!A$1:CB$87,'Fórmula'!D78,57))+(('Fórmula'!G78)/('Fórmula'!C78+'Fórmula'!E78+'Fórmula'!G78+'Fórmula'!I78+'Fórmula'!K78))*(INDEX(properties!A$1:CB$87,'Fórmula'!F78,57))+(('Fórmula'!I78)/('Fórmula'!C78+'Fórmula'!E78+'Fórmula'!G78+'Fórmula'!I78+'Fórmula'!K78))*(INDEX(properties!A$1:CB$87,'Fórmula'!H78,57))+(('Fórmula'!K78)/('Fórmula'!C78+'Fórmula'!E78+'Fórmula'!G78+'Fórmula'!I78+'Fórmula'!K78))*(INDEX(properties!A$1:CB$87,'Fórmula'!J78,57))</f>
        <v>3.458295</v>
      </c>
      <c r="GA78" s="104">
        <f t="array" ref="GA78">'Fórmula'!C78*(INDEX(properties!A$1:CB$87,'Fórmula'!B78,57))+'Fórmula'!E78*(INDEX(properties!A$1:CB$87,'Fórmula'!D78,57))+'Fórmula'!G78*(INDEX(properties!A$1:CB$87,'Fórmula'!F78,57))+'Fórmula'!I78*(INDEX(properties!A$1:CB$87,'Fórmula'!H78,57))+'Fórmula'!K78*(INDEX(properties!A$1:CB$87,'Fórmula'!J78,57))</f>
        <v>13.83318</v>
      </c>
      <c r="GB78" s="104">
        <f t="array" ref="GB78">VARP(IF(INDEX(properties!A$1:CB$87,'Fórmula'!B78,57)&lt;&gt;"",INDEX(properties!A$1:CB$87,'Fórmula'!B78,57)),IF(INDEX(properties!A$1:CB$87,'Fórmula'!D78,57)&lt;&gt;"",INDEX(properties!A$1:CB$87,'Fórmula'!D78,57)),IF(INDEX(properties!A$1:CB$87,'Fórmula'!F78,57)&lt;&gt;"",INDEX(properties!A$1:CB$87,'Fórmula'!F78,57)),IF(INDEX(properties!A$1:CB$87,'Fórmula'!H78,57)&lt;&gt;"",INDEX(properties!A$1:CB$87,'Fórmula'!H78,57)),IF(INDEX(properties!A$1:CB$87,'Fórmula'!J78,57)&lt;&gt;"",INDEX(properties!A$1:CB$87,'Fórmula'!J78,57)))</f>
        <v>17.23472366</v>
      </c>
      <c r="GC78" s="104">
        <f t="array" ref="GC78">MAX(INDEX(properties!A$1:CB$87,'Fórmula'!B78,57),INDEX(properties!A$1:CB$87,'Fórmula'!D78,57),INDEX(properties!A$1:CB$87,'Fórmula'!F78,57),INDEX(properties!A$1:CB$87,'Fórmula'!H78,57),INDEX(properties!A$1:CB$87,'Fórmula'!J78,57))</f>
        <v>10.79</v>
      </c>
      <c r="GD78" s="104">
        <f t="array" ref="GD78">MIN(IF(INDEX(properties!A$1:CB$87,'Fórmula'!B78,57)=0,10^6,INDEX(properties!A$1:CB$87,'Fórmula'!B78,57)),IF(INDEX(properties!A$1:CB$87,'Fórmula'!D78,57)=0,10^6,INDEX(properties!A$1:CB$87,'Fórmula'!D78,57)),IF(INDEX(properties!A$1:CB$87,'Fórmula'!F78,57)=0,10^6,INDEX(properties!A$1:CB$87,'Fórmula'!F78,57)),IF(INDEX(properties!A$1:CB$87,'Fórmula'!H78,57)=0,10^6,INDEX(properties!A$1:CB$87,'Fórmula'!H78,57)),IF(INDEX(properties!A$1:CB$87,'Fórmula'!J78,57)=0,10^6,INDEX(properties!A$1:CB$87,'Fórmula'!J78,57)))</f>
        <v>0.22259</v>
      </c>
      <c r="GE78" s="104">
        <f t="shared" si="31"/>
        <v>10.56741</v>
      </c>
      <c r="GF78" s="105">
        <f t="array" ref="GF78">(('Fórmula'!C78)/('Fórmula'!C78+'Fórmula'!E78+'Fórmula'!G78+'Fórmula'!I78+'Fórmula'!K78))*(INDEX(properties!A$1:CB$87,'Fórmula'!B78,60))+(('Fórmula'!E78)/('Fórmula'!C78+'Fórmula'!E78+'Fórmula'!G78+'Fórmula'!I78+'Fórmula'!K78))*(INDEX(properties!A$1:CB$87,'Fórmula'!D78,60))+(('Fórmula'!G78)/('Fórmula'!C78+'Fórmula'!E78+'Fórmula'!G78+'Fórmula'!I78+'Fórmula'!K78))*(INDEX(properties!A$1:CB$87,'Fórmula'!F78,60))+(('Fórmula'!I78)/('Fórmula'!C78+'Fórmula'!E78+'Fórmula'!G78+'Fórmula'!I78+'Fórmula'!K78))*(INDEX(properties!A$1:CB$87,'Fórmula'!H78,60))+(('Fórmula'!K78)/('Fórmula'!C78+'Fórmula'!E78+'Fórmula'!G78+'Fórmula'!I78+'Fórmula'!K78))*(INDEX(properties!A$1:CB$87,'Fórmula'!J78,60))</f>
        <v>94.51337</v>
      </c>
      <c r="GG78" s="105">
        <f t="array" ref="GG78">'Fórmula'!C78*(INDEX(properties!A$1:CB$87,'Fórmula'!B78,60))+'Fórmula'!E78*(INDEX(properties!A$1:CB$87,'Fórmula'!D78,60))+'Fórmula'!G78*(INDEX(properties!A$1:CB$87,'Fórmula'!F78,60))+'Fórmula'!I78*(INDEX(properties!A$1:CB$87,'Fórmula'!H78,60))+'Fórmula'!K78*(INDEX(properties!A$1:CB$87,'Fórmula'!J78,60))</f>
        <v>378.05348</v>
      </c>
      <c r="GH78" s="105">
        <f t="array" ref="GH78">VARP(IF(INDEX(properties!A$1:CB$87,'Fórmula'!B78,60)&lt;&gt;"",INDEX(properties!A$1:CB$87,'Fórmula'!B78,60)),IF(INDEX(properties!A$1:CB$87,'Fórmula'!D78,60)&lt;&gt;"",INDEX(properties!A$1:CB$87,'Fórmula'!D78,60)),IF(INDEX(properties!A$1:CB$87,'Fórmula'!F78,60)&lt;&gt;"",INDEX(properties!A$1:CB$87,'Fórmula'!F78,60)),IF(INDEX(properties!A$1:CB$87,'Fórmula'!H78,60)&lt;&gt;"",INDEX(properties!A$1:CB$87,'Fórmula'!H78,60)),IF(INDEX(properties!A$1:CB$87,'Fórmula'!J78,60)&lt;&gt;"",INDEX(properties!A$1:CB$87,'Fórmula'!J78,60)))</f>
        <v>9493.831497</v>
      </c>
      <c r="GI78" s="105">
        <f t="array" ref="GI78">MAX(INDEX(properties!A$1:CB$87,'Fórmula'!B78,60),INDEX(properties!A$1:CB$87,'Fórmula'!D78,60),INDEX(properties!A$1:CB$87,'Fórmula'!F78,60),INDEX(properties!A$1:CB$87,'Fórmula'!H78,60),INDEX(properties!A$1:CB$87,'Fórmula'!J78,60))</f>
        <v>237</v>
      </c>
      <c r="GJ78" s="105">
        <f t="array" ref="GJ78">MIN(IF(INDEX(properties!A$1:CB$87,'Fórmula'!B78,60)=0,10^6,INDEX(properties!A$1:CB$87,'Fórmula'!B78,60)),IF(INDEX(properties!A$1:CB$87,'Fórmula'!D78,60)=0,10^6,INDEX(properties!A$1:CB$87,'Fórmula'!D78,60)),IF(INDEX(properties!A$1:CB$87,'Fórmula'!F78,60)=0,10^6,INDEX(properties!A$1:CB$87,'Fórmula'!F78,60)),IF(INDEX(properties!A$1:CB$87,'Fórmula'!H78,60)=0,10^6,INDEX(properties!A$1:CB$87,'Fórmula'!H78,60)),IF(INDEX(properties!A$1:CB$87,'Fórmula'!J78,60)=0,10^6,INDEX(properties!A$1:CB$87,'Fórmula'!J78,60)))</f>
        <v>0.02674</v>
      </c>
      <c r="GK78" s="105">
        <f t="shared" si="32"/>
        <v>236.97326</v>
      </c>
      <c r="GL78" s="106">
        <f t="array" ref="GL78">(('Fórmula'!C78)/('Fórmula'!C78+'Fórmula'!E78+'Fórmula'!G78+'Fórmula'!I78+'Fórmula'!K78))*(INDEX(properties!A$1:CB$87,'Fórmula'!B78,62))+(('Fórmula'!E78)/('Fórmula'!C78+'Fórmula'!E78+'Fórmula'!G78+'Fórmula'!I78+'Fórmula'!K78))*(INDEX(properties!A$1:CB$87,'Fórmula'!D78,62))+(('Fórmula'!G78)/('Fórmula'!C78+'Fórmula'!E78+'Fórmula'!G78+'Fórmula'!I78+'Fórmula'!K78))*(INDEX(properties!A$1:CB$87,'Fórmula'!F78,62))+(('Fórmula'!I78)/('Fórmula'!C78+'Fórmula'!E78+'Fórmula'!G78+'Fórmula'!I78+'Fórmula'!K78))*(INDEX(properties!A$1:CB$87,'Fórmula'!H78,62))+(('Fórmula'!K78)/('Fórmula'!C78+'Fórmula'!E78+'Fórmula'!G78+'Fórmula'!I78+'Fórmula'!K78))*(INDEX(properties!A$1:CB$87,'Fórmula'!J78,62))</f>
        <v>2.43575</v>
      </c>
      <c r="GM78" s="106">
        <f t="array" ref="GM78">'Fórmula'!C78*(INDEX(properties!A$1:CB$87,'Fórmula'!B78,62))+'Fórmula'!E78*(INDEX(properties!A$1:CB$87,'Fórmula'!D78,62))+'Fórmula'!G78*(INDEX(properties!A$1:CB$87,'Fórmula'!F78,62))+'Fórmula'!I78*(INDEX(properties!A$1:CB$87,'Fórmula'!H78,62))+'Fórmula'!K78*(INDEX(properties!A$1:CB$87,'Fórmula'!J78,62))</f>
        <v>9.743</v>
      </c>
      <c r="GN78" s="106">
        <f t="array" ref="GN78">VARP(IF(INDEX(properties!A$1:CB$87,'Fórmula'!B78,62)&lt;&gt;"",INDEX(properties!A$1:CB$87,'Fórmula'!B78,62)),IF(INDEX(properties!A$1:CB$87,'Fórmula'!D78,62)&lt;&gt;"",INDEX(properties!A$1:CB$87,'Fórmula'!D78,62)),IF(INDEX(properties!A$1:CB$87,'Fórmula'!F78,62)&lt;&gt;"",INDEX(properties!A$1:CB$87,'Fórmula'!F78,62)),IF(INDEX(properties!A$1:CB$87,'Fórmula'!H78,62)&lt;&gt;"",INDEX(properties!A$1:CB$87,'Fórmula'!H78,62)),IF(INDEX(properties!A$1:CB$87,'Fórmula'!J78,62)&lt;&gt;"",INDEX(properties!A$1:CB$87,'Fórmula'!J78,62)))</f>
        <v>1.88956864</v>
      </c>
      <c r="GO78" s="106">
        <f t="array" ref="GO78">MAX(INDEX(properties!A$1:CB$87,'Fórmula'!B78,62),INDEX(properties!A$1:CB$87,'Fórmula'!D78,62),INDEX(properties!A$1:CB$87,'Fórmula'!F78,62),INDEX(properties!A$1:CB$87,'Fórmula'!H78,62),INDEX(properties!A$1:CB$87,'Fórmula'!J78,62))</f>
        <v>3.39</v>
      </c>
      <c r="GP78" s="106">
        <f t="array" ref="GP78">MIN(IF(INDEX(properties!A$1:CB$87,'Fórmula'!B78,62)=0,10^6,INDEX(properties!A$1:CB$87,'Fórmula'!B78,62)),IF(INDEX(properties!A$1:CB$87,'Fórmula'!D78,62)=0,10^6,INDEX(properties!A$1:CB$87,'Fórmula'!D78,62)),IF(INDEX(properties!A$1:CB$87,'Fórmula'!F78,62)=0,10^6,INDEX(properties!A$1:CB$87,'Fórmula'!F78,62)),IF(INDEX(properties!A$1:CB$87,'Fórmula'!H78,62)=0,10^6,INDEX(properties!A$1:CB$87,'Fórmula'!H78,62)),IF(INDEX(properties!A$1:CB$87,'Fórmula'!J78,62)=0,10^6,INDEX(properties!A$1:CB$87,'Fórmula'!J78,62)))</f>
        <v>1.113</v>
      </c>
      <c r="GQ78" s="106">
        <f t="shared" si="33"/>
        <v>2.277</v>
      </c>
      <c r="GR78" s="106">
        <f>'Fórmula'!Q78</f>
        <v>33</v>
      </c>
      <c r="GS78" s="107">
        <f>'Fórmula'!P78</f>
        <v>3</v>
      </c>
      <c r="GT78" s="113">
        <f>'Fórmula'!O78</f>
        <v>2.76</v>
      </c>
      <c r="GU78" s="114">
        <f>AVERAGE('Fórmula'!R78/'Fórmula'!S78,'Fórmula'!S78/'Fórmula'!T78,'Fórmula'!T78/'Fórmula'!R78)</f>
        <v>1.027560905</v>
      </c>
      <c r="GV78" s="125">
        <f>'Fórmula'!U78</f>
        <v>197.36</v>
      </c>
      <c r="GW78" s="106">
        <f>'Fórmula'!N78</f>
        <v>0.005</v>
      </c>
    </row>
    <row r="79" ht="14.25" customHeight="1">
      <c r="A79" s="99" t="str">
        <f>'Fórmula'!A79</f>
        <v>SrMoO4</v>
      </c>
      <c r="B79" s="101">
        <f t="array" ref="B79">(('Fórmula'!C79)/('Fórmula'!C79+'Fórmula'!E79+'Fórmula'!G79+'Fórmula'!I79+'Fórmula'!K79))*(INDEX(properties!A$1:CB$87,'Fórmula'!B79,3))+(('Fórmula'!E79)/('Fórmula'!C79+'Fórmula'!E79+'Fórmula'!G79+'Fórmula'!I79+'Fórmula'!K79))*(INDEX(properties!A$1:CB$87,'Fórmula'!D79,3))+(('Fórmula'!G79)/('Fórmula'!C79+'Fórmula'!E79+'Fórmula'!G79+'Fórmula'!I79+'Fórmula'!K79))*(INDEX(properties!A$1:CB$87,'Fórmula'!F79,3))+(('Fórmula'!I79)/('Fórmula'!C79+'Fórmula'!E79+'Fórmula'!G79+'Fórmula'!I79+'Fórmula'!K79))*(INDEX(properties!A$1:CB$87,'Fórmula'!H79,3))+(('Fórmula'!K79)/('Fórmula'!C79+'Fórmula'!E79+'Fórmula'!G79+'Fórmula'!I79+'Fórmula'!K79))*(INDEX(properties!A$1:CB$87,'Fórmula'!J79,3))</f>
        <v>41.26126667</v>
      </c>
      <c r="C79" s="101">
        <f t="array" ref="C79">'Fórmula'!C79*(INDEX(properties!A$1:CB$87,'Fórmula'!B79,3))+'Fórmula'!E79*(INDEX(properties!A$1:CB$87,'Fórmula'!D79,3))+'Fórmula'!G79*(INDEX(properties!A$1:CB$87,'Fórmula'!F79,3))+'Fórmula'!I79*(INDEX(properties!A$1:CB$87,'Fórmula'!H79,3))+'Fórmula'!K79*(INDEX(properties!A$1:CB$87,'Fórmula'!J79,3))</f>
        <v>247.5676</v>
      </c>
      <c r="D79" s="101">
        <f t="array" ref="D79">VARP(IF(INDEX(properties!A$1:CB$87,'Fórmula'!B79,3)&lt;&gt;"",INDEX(properties!A$1:CB$87,'Fórmula'!B79,3)),IF(INDEX(properties!A$1:CB$87,'Fórmula'!D79,3)&lt;&gt;"",INDEX(properties!A$1:CB$87,'Fórmula'!D79,3)),IF(INDEX(properties!A$1:CB$87,'Fórmula'!F79,3)&lt;&gt;"",INDEX(properties!A$1:CB$87,'Fórmula'!F79,3)),IF(INDEX(properties!A$1:CB$87,'Fórmula'!H79,3)&lt;&gt;"",INDEX(properties!A$1:CB$87,'Fórmula'!H79,3)),IF(INDEX(properties!A$1:CB$87,'Fórmula'!J79,3)&lt;&gt;"",INDEX(properties!A$1:CB$87,'Fórmula'!J79,3)))</f>
        <v>1834.811723</v>
      </c>
      <c r="E79" s="101">
        <f t="array" ref="E79">MAX(INDEX(properties!A$1:CB$87,'Fórmula'!B79,3),INDEX(properties!A$1:CB$87,'Fórmula'!D79,3),INDEX(properties!A$1:CB$87,'Fórmula'!F79,3),INDEX(properties!A$1:CB$87,'Fórmula'!H79,3),INDEX(properties!A$1:CB$87,'Fórmula'!J79,3))</f>
        <v>95.95</v>
      </c>
      <c r="F79" s="101">
        <f t="array" ref="F79">MIN(IF(INDEX(properties!A$1:CB$87,'Fórmula'!B79,3)=0,10^6,INDEX(properties!A$1:CB$87,'Fórmula'!B79,3)),IF(INDEX(properties!A$1:CB$87,'Fórmula'!D79,3)=0,10^6,INDEX(properties!A$1:CB$87,'Fórmula'!D79,3)),IF(INDEX(properties!A$1:CB$87,'Fórmula'!F79,3)=0,10^6,INDEX(properties!A$1:CB$87,'Fórmula'!F79,3)),IF(INDEX(properties!A$1:CB$87,'Fórmula'!H79,3)=0,10^6,INDEX(properties!A$1:CB$87,'Fórmula'!H79,3)),IF(INDEX(properties!A$1:CB$87,'Fórmula'!J79,3)=0,10^6,INDEX(properties!A$1:CB$87,'Fórmula'!J79,3)))</f>
        <v>15.9994</v>
      </c>
      <c r="G79" s="101">
        <f t="shared" si="1"/>
        <v>79.9506</v>
      </c>
      <c r="H79" s="102">
        <f t="array" ref="H79">(('Fórmula'!C79)/('Fórmula'!C79+'Fórmula'!E79+'Fórmula'!G79+'Fórmula'!I79+'Fórmula'!K79))*(INDEX(properties!A$1:CB$87,'Fórmula'!B79,4))+(('Fórmula'!E79)/('Fórmula'!C79+'Fórmula'!E79+'Fórmula'!G79+'Fórmula'!I79+'Fórmula'!K79))*(INDEX(properties!A$1:CB$87,'Fórmula'!D79,4))+(('Fórmula'!G79)/('Fórmula'!C79+'Fórmula'!E79+'Fórmula'!G79+'Fórmula'!I79+'Fórmula'!K79))*(INDEX(properties!A$1:CB$87,'Fórmula'!F79,4))+(('Fórmula'!I79)/('Fórmula'!C79+'Fórmula'!E79+'Fórmula'!G79+'Fórmula'!I79+'Fórmula'!K79))*(INDEX(properties!A$1:CB$87,'Fórmula'!H79,4))+(('Fórmula'!K79)/('Fórmula'!C79+'Fórmula'!E79+'Fórmula'!G79+'Fórmula'!I79+'Fórmula'!K79))*(INDEX(properties!A$1:CB$87,'Fórmula'!J79,4))</f>
        <v>18.66666667</v>
      </c>
      <c r="I79" s="102">
        <f t="array" ref="I79">'Fórmula'!C79*(INDEX(properties!A$1:CB$87,'Fórmula'!B79,4))+'Fórmula'!E79*(INDEX(properties!A$1:CB$87,'Fórmula'!D79,4))+'Fórmula'!G79*(INDEX(properties!A$1:CB$87,'Fórmula'!F79,4))+'Fórmula'!I79*(INDEX(properties!A$1:CB$87,'Fórmula'!H79,4))+'Fórmula'!K79*(INDEX(properties!A$1:CB$87,'Fórmula'!J79,4))</f>
        <v>112</v>
      </c>
      <c r="J79" s="102">
        <f t="array" ref="J79">VARP(IF(INDEX(properties!A$1:CB$87,'Fórmula'!B79,4)&lt;&gt;"",INDEX(properties!A$1:CB$87,'Fórmula'!B79,4)),IF(INDEX(properties!A$1:CB$87,'Fórmula'!D79,4)&lt;&gt;"",INDEX(properties!A$1:CB$87,'Fórmula'!D79,4)),IF(INDEX(properties!A$1:CB$87,'Fórmula'!F79,4)&lt;&gt;"",INDEX(properties!A$1:CB$87,'Fórmula'!F79,4)),IF(INDEX(properties!A$1:CB$87,'Fórmula'!H79,4)&lt;&gt;"",INDEX(properties!A$1:CB$87,'Fórmula'!H79,4)),IF(INDEX(properties!A$1:CB$87,'Fórmula'!J79,4)&lt;&gt;"",INDEX(properties!A$1:CB$87,'Fórmula'!J79,4)))</f>
        <v>344.64</v>
      </c>
      <c r="K79" s="102">
        <f t="array" ref="K79">MAX(INDEX(properties!A$1:CB$87,'Fórmula'!B79,4),INDEX(properties!A$1:CB$87,'Fórmula'!D79,4),INDEX(properties!A$1:CB$87,'Fórmula'!F79,4),INDEX(properties!A$1:CB$87,'Fórmula'!H79,4),INDEX(properties!A$1:CB$87,'Fórmula'!J79,4))</f>
        <v>42</v>
      </c>
      <c r="L79" s="102">
        <f t="array" ref="L79">MIN(IF(INDEX(properties!A$1:CB$87,'Fórmula'!B79,4)=0,10^6,INDEX(properties!A$1:CB$87,'Fórmula'!B79,4)),IF(INDEX(properties!A$1:CB$87,'Fórmula'!D79,4)=0,10^6,INDEX(properties!A$1:CB$87,'Fórmula'!D79,4)),IF(INDEX(properties!A$1:CB$87,'Fórmula'!F79,4)=0,10^6,INDEX(properties!A$1:CB$87,'Fórmula'!F79,4)),IF(INDEX(properties!A$1:CB$87,'Fórmula'!H79,4)=0,10^6,INDEX(properties!A$1:CB$87,'Fórmula'!H79,4)),IF(INDEX(properties!A$1:CB$87,'Fórmula'!J79,4)=0,10^6,INDEX(properties!A$1:CB$87,'Fórmula'!J79,4)))</f>
        <v>8</v>
      </c>
      <c r="M79" s="102">
        <f t="shared" si="2"/>
        <v>34</v>
      </c>
      <c r="N79" s="103">
        <f t="array" ref="N79">(('Fórmula'!C79)/('Fórmula'!C79+'Fórmula'!E79+'Fórmula'!G79+'Fórmula'!I79+'Fórmula'!K79))*(INDEX(properties!A$1:CB$87,'Fórmula'!B79,5))+(('Fórmula'!E79)/('Fórmula'!C79+'Fórmula'!E79+'Fórmula'!G79+'Fórmula'!I79+'Fórmula'!K79))*(INDEX(properties!A$1:CB$87,'Fórmula'!D79,5))+(('Fórmula'!G79)/('Fórmula'!C79+'Fórmula'!E79+'Fórmula'!G79+'Fórmula'!I79+'Fórmula'!K79))*(INDEX(properties!A$1:CB$87,'Fórmula'!F79,5))+(('Fórmula'!I79)/('Fórmula'!C79+'Fórmula'!E79+'Fórmula'!G79+'Fórmula'!I79+'Fórmula'!K79))*(INDEX(properties!A$1:CB$87,'Fórmula'!H79,5))+(('Fórmula'!K79)/('Fórmula'!C79+'Fórmula'!E79+'Fórmula'!G79+'Fórmula'!I79+'Fórmula'!K79))*(INDEX(properties!A$1:CB$87,'Fórmula'!J79,5))</f>
        <v>3</v>
      </c>
      <c r="O79" s="103">
        <f t="array" ref="O79">'Fórmula'!C79*(INDEX(properties!A$1:CB$87,'Fórmula'!B79,5))+'Fórmula'!E79*(INDEX(properties!A$1:CB$87,'Fórmula'!D79,5))+'Fórmula'!G79*(INDEX(properties!A$1:CB$87,'Fórmula'!F79,5))+'Fórmula'!I79*(INDEX(properties!A$1:CB$87,'Fórmula'!H79,5))+'Fórmula'!K79*(INDEX(properties!A$1:CB$87,'Fórmula'!J79,5))</f>
        <v>18</v>
      </c>
      <c r="P79" s="103">
        <f t="array" ref="P79">VARP(IF(INDEX(properties!A$1:CB$87,'Fórmula'!B79,5)&lt;&gt;"",INDEX(properties!A$1:CB$87,'Fórmula'!B79,5)),IF(INDEX(properties!A$1:CB$87,'Fórmula'!D79,5)&lt;&gt;"",INDEX(properties!A$1:CB$87,'Fórmula'!D79,5)),IF(INDEX(properties!A$1:CB$87,'Fórmula'!F79,5)&lt;&gt;"",INDEX(properties!A$1:CB$87,'Fórmula'!F79,5)),IF(INDEX(properties!A$1:CB$87,'Fórmula'!H79,5)&lt;&gt;"",INDEX(properties!A$1:CB$87,'Fórmula'!H79,5)),IF(INDEX(properties!A$1:CB$87,'Fórmula'!J79,5)&lt;&gt;"",INDEX(properties!A$1:CB$87,'Fórmula'!J79,5)))</f>
        <v>5.04</v>
      </c>
      <c r="Q79" s="103">
        <f t="array" ref="Q79">MAX(INDEX(properties!A$1:CB$87,'Fórmula'!B79,5),INDEX(properties!A$1:CB$87,'Fórmula'!D79,5),INDEX(properties!A$1:CB$87,'Fórmula'!F79,5),INDEX(properties!A$1:CB$87,'Fórmula'!H79,5),INDEX(properties!A$1:CB$87,'Fórmula'!J79,5))</f>
        <v>5</v>
      </c>
      <c r="R79" s="103">
        <f t="array" ref="R79">MIN(IF(INDEX(properties!A$1:CB$87,'Fórmula'!B79,5)=0,10^6,INDEX(properties!A$1:CB$87,'Fórmula'!B79,5)),IF(INDEX(properties!A$1:CB$87,'Fórmula'!D79,5)=0,10^6,INDEX(properties!A$1:CB$87,'Fórmula'!D79,5)),IF(INDEX(properties!A$1:CB$87,'Fórmula'!F79,5)=0,10^6,INDEX(properties!A$1:CB$87,'Fórmula'!F79,5)),IF(INDEX(properties!A$1:CB$87,'Fórmula'!H79,5)=0,10^6,INDEX(properties!A$1:CB$87,'Fórmula'!H79,5)),IF(INDEX(properties!A$1:CB$87,'Fórmula'!J79,5)=0,10^6,INDEX(properties!A$1:CB$87,'Fórmula'!J79,5)))</f>
        <v>2</v>
      </c>
      <c r="S79" s="103">
        <f t="shared" si="3"/>
        <v>3</v>
      </c>
      <c r="T79" s="104">
        <f t="array" ref="T79">(('Fórmula'!C79)/('Fórmula'!C79+'Fórmula'!E79+'Fórmula'!G79+'Fórmula'!I79+'Fórmula'!K79))*(INDEX(properties!A$1:CB$87,'Fórmula'!B79,6))+(('Fórmula'!E79)/('Fórmula'!C79+'Fórmula'!E79+'Fórmula'!G79+'Fórmula'!I79+'Fórmula'!K79))*(INDEX(properties!A$1:CB$87,'Fórmula'!D79,6))+(('Fórmula'!G79)/('Fórmula'!C79+'Fórmula'!E79+'Fórmula'!G79+'Fórmula'!I79+'Fórmula'!K79))*(INDEX(properties!A$1:CB$87,'Fórmula'!F79,6))+(('Fórmula'!I79)/('Fórmula'!C79+'Fórmula'!E79+'Fórmula'!G79+'Fórmula'!I79+'Fórmula'!K79))*(INDEX(properties!A$1:CB$87,'Fórmula'!H79,6))+(('Fórmula'!K79)/('Fórmula'!C79+'Fórmula'!E79+'Fórmula'!G79+'Fórmula'!I79+'Fórmula'!K79))*(INDEX(properties!A$1:CB$87,'Fórmula'!J79,6))</f>
        <v>12</v>
      </c>
      <c r="U79" s="104">
        <f t="array" ref="U79">'Fórmula'!C79*(INDEX(properties!A$1:CB$87,'Fórmula'!B79,6))+'Fórmula'!E79*(INDEX(properties!A$1:CB$87,'Fórmula'!D79,6))+'Fórmula'!G79*(INDEX(properties!A$1:CB$87,'Fórmula'!F79,6))+'Fórmula'!I79*(INDEX(properties!A$1:CB$87,'Fórmula'!H79,6))+'Fórmula'!K79*(INDEX(properties!A$1:CB$87,'Fórmula'!J79,6))</f>
        <v>72</v>
      </c>
      <c r="V79" s="103">
        <f t="array" ref="V79">VARP(IF(INDEX(properties!A$1:CB$87,'Fórmula'!B79,6)&lt;&gt;"",INDEX(properties!A$1:CB$87,'Fórmula'!B79,6)),IF(INDEX(properties!A$1:CB$87,'Fórmula'!D79,6)&lt;&gt;"",INDEX(properties!A$1:CB$87,'Fórmula'!D79,6)),IF(INDEX(properties!A$1:CB$87,'Fórmula'!F79,6)&lt;&gt;"",INDEX(properties!A$1:CB$87,'Fórmula'!F79,6)),IF(INDEX(properties!A$1:CB$87,'Fórmula'!H79,6)&lt;&gt;"",INDEX(properties!A$1:CB$87,'Fórmula'!H79,6)),IF(INDEX(properties!A$1:CB$87,'Fórmula'!J79,6)&lt;&gt;"",INDEX(properties!A$1:CB$87,'Fórmula'!J79,6)))</f>
        <v>36.16</v>
      </c>
      <c r="W79" s="104">
        <f t="array" ref="W79">MAX(INDEX(properties!A$1:CB$87,'Fórmula'!B79,6),INDEX(properties!A$1:CB$87,'Fórmula'!D79,6),INDEX(properties!A$1:CB$87,'Fórmula'!F79,6),INDEX(properties!A$1:CB$87,'Fórmula'!H79,4),INDEX(properties!A$1:CB$87,'Fórmula'!J79,6))</f>
        <v>16</v>
      </c>
      <c r="X79" s="104">
        <f t="array" ref="X79">MIN(IF(INDEX(properties!A$1:CB$87,'Fórmula'!B79,6)=0,10^6,INDEX(properties!A$1:CB$87,'Fórmula'!B79,6)),IF(INDEX(properties!A$1:CB$87,'Fórmula'!D79,6)=0,10^6,INDEX(properties!A$1:CB$87,'Fórmula'!D79,6)),IF(INDEX(properties!A$1:CB$87,'Fórmula'!F79,6)=0,10^6,INDEX(properties!A$1:CB$87,'Fórmula'!F79,6)),IF(INDEX(properties!A$1:CB$87,'Fórmula'!H79,6)=0,10^6,INDEX(properties!A$1:CB$87,'Fórmula'!H79,6)),IF(INDEX(properties!A$1:CB$87,'Fórmula'!J79,6)=0,10^6,INDEX(properties!A$1:CB$87,'Fórmula'!J79,6)))</f>
        <v>2</v>
      </c>
      <c r="Y79" s="104">
        <f t="shared" si="4"/>
        <v>14</v>
      </c>
      <c r="Z79" s="105">
        <f t="array" ref="Z79">(('Fórmula'!C79)/('Fórmula'!C79+'Fórmula'!E79+'Fórmula'!G79+'Fórmula'!I79+'Fórmula'!K79))*(INDEX(properties!A$1:CB$87,'Fórmula'!B79,9))+(('Fórmula'!E79)/('Fórmula'!C79+'Fórmula'!E79+'Fórmula'!G79+'Fórmula'!I79+'Fórmula'!K79))*(INDEX(properties!A$1:CB$87,'Fórmula'!D79,9))+(('Fórmula'!G79)/('Fórmula'!C79+'Fórmula'!E79+'Fórmula'!G79+'Fórmula'!I79+'Fórmula'!K79))*(INDEX(properties!A$1:CB$87,'Fórmula'!F79,9))+(('Fórmula'!I79)/('Fórmula'!C79+'Fórmula'!E79+'Fórmula'!G79+'Fórmula'!I79+'Fórmula'!K79))*(INDEX(properties!A$1:CB$87,'Fórmula'!H79,9))+(('Fórmula'!K79)/('Fórmula'!C79+'Fórmula'!E79+'Fórmula'!G79+'Fórmula'!I79+'Fórmula'!K79))*(INDEX(properties!A$1:CB$87,'Fórmula'!J79,9))</f>
        <v>67.66666667</v>
      </c>
      <c r="AA79" s="105">
        <f t="array" ref="AA79">'Fórmula'!C79*(INDEX(properties!A$1:CB$87,'Fórmula'!B79,9))+'Fórmula'!E79*(INDEX(properties!A$1:CB$87,'Fórmula'!D79,9))+'Fórmula'!G79*(INDEX(properties!A$1:CB$87,'Fórmula'!F79,9))+'Fórmula'!I79*(INDEX(properties!A$1:CB$87,'Fórmula'!H79,9))+'Fórmula'!K79*(INDEX(properties!A$1:CB$87,'Fórmula'!J79,9))</f>
        <v>406</v>
      </c>
      <c r="AB79" s="105">
        <f t="array" ref="AB79">VARP(IF(INDEX(properties!A$1:CB$87,'Fórmula'!B79,9)&lt;&gt;"",INDEX(properties!A$1:CB$87,'Fórmula'!B79,9)),IF(INDEX(properties!A$1:CB$87,'Fórmula'!D79,9)&lt;&gt;"",INDEX(properties!A$1:CB$87,'Fórmula'!D79,9)),IF(INDEX(properties!A$1:CB$87,'Fórmula'!F79,9)&lt;&gt;"",INDEX(properties!A$1:CB$87,'Fórmula'!F79,9)),IF(INDEX(properties!A$1:CB$87,'Fórmula'!H79,9)&lt;&gt;"",INDEX(properties!A$1:CB$87,'Fórmula'!H79,9)),IF(INDEX(properties!A$1:CB$87,'Fórmula'!J79,9)&lt;&gt;"",INDEX(properties!A$1:CB$87,'Fórmula'!J79,9)))</f>
        <v>1185.6</v>
      </c>
      <c r="AC79" s="105">
        <f t="array" ref="AC79">MAX(INDEX(properties!A$1:CB$87,'Fórmula'!B79,9),INDEX(properties!A$1:CB$87,'Fórmula'!D79,9),INDEX(properties!A$1:CB$87,'Fórmula'!F79,9),INDEX(properties!A$1:CB$87,'Fórmula'!H79,9),INDEX(properties!A$1:CB$87,'Fórmula'!J79,9))</f>
        <v>87</v>
      </c>
      <c r="AD79" s="105">
        <f t="array" ref="AD79">MIN(IF(INDEX(properties!A$1:CB$87,'Fórmula'!B79,9)=0,10^6,INDEX(properties!A$1:CB$87,'Fórmula'!B79,9)),IF(INDEX(properties!A$1:CB$87,'Fórmula'!D79,9)=0,10^6,INDEX(properties!A$1:CB$87,'Fórmula'!D79,9)),IF(INDEX(properties!A$1:CB$87,'Fórmula'!F79,9)=0,10^6,INDEX(properties!A$1:CB$87,'Fórmula'!F79,9)),IF(INDEX(properties!A$1:CB$87,'Fórmula'!H79,9)=0,10^6,INDEX(properties!A$1:CB$87,'Fórmula'!H79,9)),IF(INDEX(properties!A$1:CB$87,'Fórmula'!J79,9)=0,10^6,INDEX(properties!A$1:CB$87,'Fórmula'!J79,9)))</f>
        <v>8</v>
      </c>
      <c r="AE79" s="105">
        <f t="shared" si="5"/>
        <v>79</v>
      </c>
      <c r="AF79" s="106">
        <f t="array" ref="AF79">(('Fórmula'!C79)/('Fórmula'!C79+'Fórmula'!E79+'Fórmula'!G79+'Fórmula'!I79+'Fórmula'!K79))*(INDEX(properties!A$1:CB$87,'Fórmula'!B79,10))+(('Fórmula'!E79)/('Fórmula'!C79+'Fórmula'!E79+'Fórmula'!G79+'Fórmula'!I79+'Fórmula'!K79))*(INDEX(properties!A$1:CB$87,'Fórmula'!D79,10))+(('Fórmula'!G79)/('Fórmula'!C79+'Fórmula'!E79+'Fórmula'!G79+'Fórmula'!I79+'Fórmula'!K79))*(INDEX(properties!A$1:CB$87,'Fórmula'!F79,10))+(('Fórmula'!I79)/('Fórmula'!C79+'Fórmula'!E79+'Fórmula'!G79+'Fórmula'!I79+'Fórmula'!K79))*(INDEX(properties!A$1:CB$87,'Fórmula'!H79,10))+(('Fórmula'!K79)/('Fórmula'!C79+'Fórmula'!E79+'Fórmula'!G79+'Fórmula'!I79+'Fórmula'!K79))*(INDEX(properties!A$1:CB$87,'Fórmula'!J79,10))</f>
        <v>5.666666667</v>
      </c>
      <c r="AG79" s="106">
        <f t="array" ref="AG79">'Fórmula'!C79*(INDEX(properties!A$1:CB$87,'Fórmula'!B79,10))+'Fórmula'!E79*(INDEX(properties!A$1:CB$87,'Fórmula'!D79,10))+'Fórmula'!G79*(INDEX(properties!A$1:CB$87,'Fórmula'!F79,10))+'Fórmula'!I79*(INDEX(properties!A$1:CB$87,'Fórmula'!H79,10))+'Fórmula'!K79*(INDEX(properties!A$1:CB$87,'Fórmula'!J79,10))</f>
        <v>34</v>
      </c>
      <c r="AH79" s="106">
        <f t="array" ref="AH79">VARP(IF(INDEX(properties!A$1:CB$87,'Fórmula'!B79,10)&lt;&gt;"",INDEX(properties!A$1:CB$87,'Fórmula'!B79,10)),IF(INDEX(properties!A$1:CB$87,'Fórmula'!D79,10)&lt;&gt;"",INDEX(properties!A$1:CB$87,'Fórmula'!D79,10)),IF(INDEX(properties!A$1:CB$87,'Fórmula'!F79,10)&lt;&gt;"",INDEX(properties!A$1:CB$87,'Fórmula'!F79,10)),IF(INDEX(properties!A$1:CB$87,'Fórmula'!H79,10)&lt;&gt;"",INDEX(properties!A$1:CB$87,'Fórmula'!H79,10)),IF(INDEX(properties!A$1:CB$87,'Fórmula'!J79,10)&lt;&gt;"",INDEX(properties!A$1:CB$87,'Fórmula'!J79,10)))</f>
        <v>7.04</v>
      </c>
      <c r="AI79" s="106">
        <f t="array" ref="AI79">MAX(INDEX(properties!A$1:CB$87,'Fórmula'!B79,10),INDEX(properties!A$1:CB$87,'Fórmula'!D79,10),INDEX(properties!A$1:CB$87,'Fórmula'!F79,10),INDEX(properties!A$1:CB$87,'Fórmula'!H79,10),INDEX(properties!A$1:CB$87,'Fórmula'!J79,10))</f>
        <v>7</v>
      </c>
      <c r="AJ79" s="106">
        <f t="array" ref="AJ79">MIN(IF(INDEX(properties!A$1:CB$87,'Fórmula'!B79,10)=0,10^6,INDEX(properties!A$1:CB$87,'Fórmula'!B79,10)),IF(INDEX(properties!A$1:CB$87,'Fórmula'!D79,10)=0,10^6,INDEX(properties!A$1:CB$87,'Fórmula'!D79,10)),IF(INDEX(properties!A$1:CB$87,'Fórmula'!F79,10)=0,10^6,INDEX(properties!A$1:CB$87,'Fórmula'!F79,10)),IF(INDEX(properties!A$1:CB$87,'Fórmula'!H79,10)=0,10^6,INDEX(properties!A$1:CB$87,'Fórmula'!H79,10)),IF(INDEX(properties!A$1:CB$87,'Fórmula'!J79,10)=0,10^6,INDEX(properties!A$1:CB$87,'Fórmula'!J79,10)))</f>
        <v>2</v>
      </c>
      <c r="AK79" s="106">
        <f t="shared" si="6"/>
        <v>5</v>
      </c>
      <c r="AL79" s="107">
        <f t="array" ref="AL79">(('Fórmula'!C79)/('Fórmula'!C79+'Fórmula'!E79+'Fórmula'!G79+'Fórmula'!I79+'Fórmula'!K79))*(INDEX(properties!A$1:CB$87,'Fórmula'!B79,11))+(('Fórmula'!E79)/('Fórmula'!C79+'Fórmula'!E79+'Fórmula'!G79+'Fórmula'!I79+'Fórmula'!K79))*(INDEX(properties!A$1:CB$87,'Fórmula'!D79,11))+(('Fórmula'!G79)/('Fórmula'!C79+'Fórmula'!E79+'Fórmula'!G79+'Fórmula'!I79+'Fórmula'!K79))*(INDEX(properties!A$1:CB$87,'Fórmula'!F79,11))+(('Fórmula'!I79)/('Fórmula'!C79+'Fórmula'!E79+'Fórmula'!G79+'Fórmula'!I79+'Fórmula'!K79))*(INDEX(properties!A$1:CB$87,'Fórmula'!H79,11))+(('Fórmula'!K79)/('Fórmula'!C79+'Fórmula'!E79+'Fórmula'!G79+'Fórmula'!I79+'Fórmula'!K79))*(INDEX(properties!A$1:CB$87,'Fórmula'!J79,11))</f>
        <v>1.833333333</v>
      </c>
      <c r="AM79" s="107">
        <f t="array" ref="AM79">'Fórmula'!C79*(INDEX(properties!A$1:CB$87,'Fórmula'!B79,11))+'Fórmula'!E79*(INDEX(properties!A$1:CB$87,'Fórmula'!D79,11))+'Fórmula'!G79*(INDEX(properties!A$1:CB$87,'Fórmula'!F79,11))+'Fórmula'!I79*(INDEX(properties!A$1:CB$87,'Fórmula'!H79,11))+'Fórmula'!K79*(INDEX(properties!A$1:CB$87,'Fórmula'!J79,11))</f>
        <v>11</v>
      </c>
      <c r="AN79" s="107">
        <f t="array" ref="AN79">VARP(IF(INDEX(properties!A$1:CB$87,'Fórmula'!B79,11)&lt;&gt;"",INDEX(properties!A$1:CB$87,'Fórmula'!B79,11)),IF(INDEX(properties!A$1:CB$87,'Fórmula'!D79,11)&lt;&gt;"",INDEX(properties!A$1:CB$87,'Fórmula'!D79,11)),IF(INDEX(properties!A$1:CB$87,'Fórmula'!F79,11)&lt;&gt;"",INDEX(properties!A$1:CB$87,'Fórmula'!F79,11)),IF(INDEX(properties!A$1:CB$87,'Fórmula'!H79,11)&lt;&gt;"",INDEX(properties!A$1:CB$87,'Fórmula'!H79,11)),IF(INDEX(properties!A$1:CB$87,'Fórmula'!J79,11)&lt;&gt;"",INDEX(properties!A$1:CB$87,'Fórmula'!J79,11)))</f>
        <v>0.8</v>
      </c>
      <c r="AO79" s="107">
        <f t="array" ref="AO79">MAX(INDEX(properties!A$1:CB$87,'Fórmula'!B79,11),INDEX(properties!A$1:CB$87,'Fórmula'!D79,11),INDEX(properties!A$1:CB$87,'Fórmula'!F79,11),INDEX(properties!A$1:CB$87,'Fórmula'!H79,11),INDEX(properties!A$1:CB$87,'Fórmula'!J79,11))</f>
        <v>2</v>
      </c>
      <c r="AP79" s="107">
        <f t="array" ref="AP79">MIN(IF('Fórmula'!B79=87,10^6,INDEX(properties!A$1:CB$87,'Fórmula'!B79,11)),IF(('Fórmula'!D79)=87,10^6,INDEX(properties!A$1:CB$87,'Fórmula'!D79,11)),IF(('Fórmula'!F79)=87,10^6,INDEX(properties!A$1:CB$87,'Fórmula'!F79,11)),IF(('Fórmula'!H79)=87,10^6,INDEX(properties!A$1:CB$87,'Fórmula'!H79,11)),IF('Fórmula'!J79=87,10^6,INDEX(properties!A$1:CB$87,'Fórmula'!J79,11)))</f>
        <v>1</v>
      </c>
      <c r="AQ79" s="107">
        <f t="shared" si="7"/>
        <v>1</v>
      </c>
      <c r="AR79" s="108">
        <f t="array" ref="AR79">(('Fórmula'!C79)/('Fórmula'!C79+'Fórmula'!E79+'Fórmula'!G79+'Fórmula'!I79+'Fórmula'!K79))*(INDEX(properties!A$1:CB$87,'Fórmula'!B79,12))+(('Fórmula'!E79)/('Fórmula'!C79+'Fórmula'!E79+'Fórmula'!G79+'Fórmula'!I79+'Fórmula'!K79))*(INDEX(properties!A$1:CB$87,'Fórmula'!D79,12))+(('Fórmula'!G79)/('Fórmula'!C79+'Fórmula'!E79+'Fórmula'!G79+'Fórmula'!I79+'Fórmula'!K79))*(INDEX(properties!A$1:CB$87,'Fórmula'!F79,12))+(('Fórmula'!I79)/('Fórmula'!C79+'Fórmula'!E79+'Fórmula'!G79+'Fórmula'!I79+'Fórmula'!K79))*(INDEX(properties!A$1:CB$87,'Fórmula'!H79,12))+(('Fórmula'!K79)/('Fórmula'!C79+'Fórmula'!E79+'Fórmula'!G79+'Fórmula'!I79+'Fórmula'!K79))*(INDEX(properties!A$1:CB$87,'Fórmula'!J79,12))</f>
        <v>2.666666667</v>
      </c>
      <c r="AS79" s="108">
        <f t="array" ref="AS79">'Fórmula'!C79*(INDEX(properties!A$1:CB$87,'Fórmula'!B79,12))+'Fórmula'!E79*(INDEX(properties!A$1:CB$87,'Fórmula'!D79,12))+'Fórmula'!G79*(INDEX(properties!A$1:CB$87,'Fórmula'!F79,12))+'Fórmula'!I79*(INDEX(properties!A$1:CB$87,'Fórmula'!H79,12))+'Fórmula'!K79*(INDEX(properties!A$1:CB$87,'Fórmula'!J79,12))</f>
        <v>16</v>
      </c>
      <c r="AT79" s="108">
        <f t="array" ref="AT79">VARP(IF(INDEX(properties!A$1:CB$87,'Fórmula'!B79,12)&lt;&gt;"",INDEX(properties!A$1:CB$87,'Fórmula'!B79,12)),IF(INDEX(properties!A$1:CB$87,'Fórmula'!D79,12)&lt;&gt;"",INDEX(properties!A$1:CB$87,'Fórmula'!D79,12)),IF(INDEX(properties!A$1:CB$87,'Fórmula'!F79,12)&lt;&gt;"",INDEX(properties!A$1:CB$87,'Fórmula'!F79,12)),IF(INDEX(properties!A$1:CB$87,'Fórmula'!H79,12)&lt;&gt;"",INDEX(properties!A$1:CB$87,'Fórmula'!H79,12)),IF(INDEX(properties!A$1:CB$87,'Fórmula'!J79,12)&lt;&gt;"",INDEX(properties!A$1:CB$87,'Fórmula'!J79,12)))</f>
        <v>2.56</v>
      </c>
      <c r="AU79" s="108">
        <f t="array" ref="AU79">MAX(INDEX(properties!A$1:CB$87,'Fórmula'!B79,12),INDEX(properties!A$1:CB$87,'Fórmula'!D79,12),INDEX(properties!A$1:CB$87,'Fórmula'!F79,12),INDEX(properties!A$1:CB$87,'Fórmula'!H79,12),INDEX(properties!A$1:CB$87,'Fórmula'!J79,12))</f>
        <v>4</v>
      </c>
      <c r="AV79" s="108">
        <f t="array" ref="AV79">MIN(IF('Fórmula'!B79=87,10^6,INDEX(properties!A$1:CB$87,'Fórmula'!B79,12)),IF(('Fórmula'!D79)=87,10^6,INDEX(properties!A$1:CB$87,'Fórmula'!D79,12)),IF(('Fórmula'!F79)=87,10^6,INDEX(properties!A$1:CB$87,'Fórmula'!F79,12)),IF(('Fórmula'!H79)=87,10^6,INDEX(properties!A$1:CB$87,'Fórmula'!H79,12)),IF('Fórmula'!J79=87,10^6,INDEX(properties!A$1:CB$87,'Fórmula'!J79,12)))</f>
        <v>0</v>
      </c>
      <c r="AW79" s="108">
        <f t="shared" si="8"/>
        <v>4</v>
      </c>
      <c r="AX79" s="109">
        <f t="array" ref="AX79">(('Fórmula'!C79)/('Fórmula'!C79+'Fórmula'!E79+'Fórmula'!G79+'Fórmula'!I79+'Fórmula'!K79))*(INDEX(properties!A$1:CB$87,'Fórmula'!B79,13))+(('Fórmula'!E79)/('Fórmula'!C79+'Fórmula'!E79+'Fórmula'!G79+'Fórmula'!I79+'Fórmula'!K79))*(INDEX(properties!A$1:CB$87,'Fórmula'!D79,13))+(('Fórmula'!G79)/('Fórmula'!C79+'Fórmula'!E79+'Fórmula'!G79+'Fórmula'!I79+'Fórmula'!K79))*(INDEX(properties!A$1:CB$87,'Fórmula'!F79,13))+(('Fórmula'!I79)/('Fórmula'!C79+'Fórmula'!E79+'Fórmula'!G79+'Fórmula'!I79+'Fórmula'!K79))*(INDEX(properties!A$1:CB$87,'Fórmula'!H79,13))+(('Fórmula'!K79)/('Fórmula'!C79+'Fórmula'!E79+'Fórmula'!G79+'Fórmula'!I79+'Fórmula'!K79))*(INDEX(properties!A$1:CB$87,'Fórmula'!J79,13))</f>
        <v>0.8333333333</v>
      </c>
      <c r="AY79" s="109">
        <f t="array" ref="AY79">'Fórmula'!C79*(INDEX(properties!A$1:CB$87,'Fórmula'!B79,13))+'Fórmula'!E79*(INDEX(properties!A$1:CB$87,'Fórmula'!D79,13))+'Fórmula'!G79*(INDEX(properties!A$1:CB$87,'Fórmula'!F79,13))+'Fórmula'!I79*(INDEX(properties!A$1:CB$87,'Fórmula'!H79,13))+'Fórmula'!K79*(INDEX(properties!A$1:CB$87,'Fórmula'!J79,13))</f>
        <v>5</v>
      </c>
      <c r="AZ79" s="109">
        <f t="array" ref="AZ79">VARP(IF(INDEX(properties!A$1:CB$87,'Fórmula'!B79,13)&lt;&gt;"",INDEX(properties!A$1:CB$87,'Fórmula'!B79,13)),IF(INDEX(properties!A$1:CB$87,'Fórmula'!D79,13)&lt;&gt;"",INDEX(properties!A$1:CB$87,'Fórmula'!D79,13)),IF(INDEX(properties!A$1:CB$87,'Fórmula'!F79,13)&lt;&gt;"",INDEX(properties!A$1:CB$87,'Fórmula'!F79,13)),IF(INDEX(properties!A$1:CB$87,'Fórmula'!H79,13)&lt;&gt;"",INDEX(properties!A$1:CB$87,'Fórmula'!H79,13)),IF(INDEX(properties!A$1:CB$87,'Fórmula'!J79,13)&lt;&gt;"",INDEX(properties!A$1:CB$87,'Fórmula'!J79,13)))</f>
        <v>4</v>
      </c>
      <c r="BA79" s="109">
        <f t="array" ref="BA79">MAX(INDEX(properties!A$1:CB$87,'Fórmula'!B79,13),INDEX(properties!A$1:CB$87,'Fórmula'!D79,13),INDEX(properties!A$1:CB$87,'Fórmula'!F79,13),INDEX(properties!A$1:CB$87,'Fórmula'!H79,13),INDEX(properties!A$1:CB$87,'Fórmula'!J79,13))</f>
        <v>5</v>
      </c>
      <c r="BB79" s="109">
        <f t="array" ref="BB79">MIN(IF('Fórmula'!B79=87,10^6,INDEX(properties!A$1:CB$87,'Fórmula'!B79,13)),IF(('Fórmula'!D79)=87,10^6,INDEX(properties!A$1:CB$87,'Fórmula'!D79,13)),IF(('Fórmula'!F79)=87,10^6,INDEX(properties!A$1:CB$87,'Fórmula'!F79,13)),IF(('Fórmula'!H79)=87,10^6,INDEX(properties!A$1:CB$87,'Fórmula'!H79,13)),IF('Fórmula'!J79=87,10^6,INDEX(properties!A$1:CB$87,'Fórmula'!J79,13)))</f>
        <v>0</v>
      </c>
      <c r="BC79" s="109">
        <f t="shared" si="9"/>
        <v>5</v>
      </c>
      <c r="BD79" s="110">
        <f t="array" ref="BD79">(('Fórmula'!C79)/('Fórmula'!C79+'Fórmula'!E79+'Fórmula'!G79+'Fórmula'!I79+'Fórmula'!K79))*(INDEX(properties!A$1:CB$87,'Fórmula'!B79,14))+(('Fórmula'!E79)/('Fórmula'!C79+'Fórmula'!E79+'Fórmula'!G79+'Fórmula'!I79+'Fórmula'!K79))*(INDEX(properties!A$1:CB$87,'Fórmula'!D79,14))+(('Fórmula'!G79)/('Fórmula'!C79+'Fórmula'!E79+'Fórmula'!G79+'Fórmula'!I79+'Fórmula'!K79))*(INDEX(properties!A$1:CB$87,'Fórmula'!F79,14))+(('Fórmula'!I79)/('Fórmula'!C79+'Fórmula'!E79+'Fórmula'!G79+'Fórmula'!I79+'Fórmula'!K79))*(INDEX(properties!A$1:CB$87,'Fórmula'!H79,14))+(('Fórmula'!K79)/('Fórmula'!C79+'Fórmula'!E79+'Fórmula'!G79+'Fórmula'!I79+'Fórmula'!K79))*(INDEX(properties!A$1:CB$87,'Fórmula'!J79,14))</f>
        <v>0</v>
      </c>
      <c r="BE79" s="110">
        <f t="array" ref="BE79">'Fórmula'!C79*(INDEX(properties!A$1:CB$87,'Fórmula'!B79,14))+'Fórmula'!E79*(INDEX(properties!A$1:CB$87,'Fórmula'!D79,14))+'Fórmula'!G79*(INDEX(properties!A$1:CB$87,'Fórmula'!F79,14))+'Fórmula'!I79*(INDEX(properties!A$1:CB$87,'Fórmula'!H79,14))+'Fórmula'!K79*(INDEX(properties!A$1:CB$87,'Fórmula'!J79,14))</f>
        <v>0</v>
      </c>
      <c r="BF79" s="110">
        <f t="array" ref="BF79">VARP(IF(INDEX(properties!A$1:CB$87,'Fórmula'!B79,14)&lt;&gt;"",INDEX(properties!A$1:CB$87,'Fórmula'!B79,14)),IF(INDEX(properties!A$1:CB$87,'Fórmula'!D79,14)&lt;&gt;"",INDEX(properties!A$1:CB$87,'Fórmula'!D79,14)),IF(INDEX(properties!A$1:CB$87,'Fórmula'!F79,14)&lt;&gt;"",INDEX(properties!A$1:CB$87,'Fórmula'!F79,14)),IF(INDEX(properties!A$1:CB$87,'Fórmula'!H79,14)&lt;&gt;"",INDEX(properties!A$1:CB$87,'Fórmula'!H79,14)),IF(INDEX(properties!A$1:CB$87,'Fórmula'!J79,14)&lt;&gt;"",INDEX(properties!A$1:CB$87,'Fórmula'!J79,14)))</f>
        <v>0</v>
      </c>
      <c r="BG79" s="110">
        <f t="array" ref="BG79">MAX(INDEX(properties!A$1:CB$87,'Fórmula'!B79,14),INDEX(properties!A$1:CB$87,'Fórmula'!D79,14),INDEX(properties!A$1:CB$87,'Fórmula'!F79,14),INDEX(properties!A$1:CB$87,'Fórmula'!H79,14),INDEX(properties!A$1:CB$87,'Fórmula'!J79,14))</f>
        <v>0</v>
      </c>
      <c r="BH79" s="110">
        <f t="array" ref="BH79">MIN(IF('Fórmula'!B79=87,10^6,INDEX(properties!A$1:CB$87,'Fórmula'!B79,14)),IF(('Fórmula'!D79)=87,10^6,INDEX(properties!A$1:CB$87,'Fórmula'!D79,14)),IF(('Fórmula'!F79)=87,10^6,INDEX(properties!A$1:CB$87,'Fórmula'!F79,14)),IF(('Fórmula'!H79)=87,10^6,INDEX(properties!A$1:CB$87,'Fórmula'!H79,14)),IF('Fórmula'!J79=87,10^6,INDEX(properties!A$1:CB$87,'Fórmula'!J79,14)))</f>
        <v>0</v>
      </c>
      <c r="BI79" s="110">
        <f t="shared" si="10"/>
        <v>0</v>
      </c>
      <c r="BJ79" s="111">
        <f t="array" ref="BJ79">(('Fórmula'!C79)/('Fórmula'!C79+'Fórmula'!E79+'Fórmula'!G79+'Fórmula'!I79+'Fórmula'!K79))*(INDEX(properties!A$1:CB$87,'Fórmula'!B79,19))+(('Fórmula'!E79)/('Fórmula'!C79+'Fórmula'!E79+'Fórmula'!G79+'Fórmula'!I79+'Fórmula'!K79))*(INDEX(properties!A$1:CB$87,'Fórmula'!D79,19))+(('Fórmula'!G79)/('Fórmula'!C79+'Fórmula'!E79+'Fórmula'!G79+'Fórmula'!I79+'Fórmula'!K79))*(INDEX(properties!A$1:CB$87,'Fórmula'!F79,19))+(('Fórmula'!I79)/('Fórmula'!C79+'Fórmula'!E79+'Fórmula'!G79+'Fórmula'!I79+'Fórmula'!K79))*(INDEX(properties!A$1:CB$87,'Fórmula'!H79,19))+(('Fórmula'!K79)/('Fórmula'!C79+'Fórmula'!E79+'Fórmula'!G79+'Fórmula'!I79+'Fórmula'!K79))*(INDEX(properties!A$1:CB$87,'Fórmula'!J79,19))</f>
        <v>5.333333333</v>
      </c>
      <c r="BK79" s="111">
        <f t="array" ref="BK79">'Fórmula'!C79*(INDEX(properties!A$1:CB$87,'Fórmula'!B79,19))+'Fórmula'!E79*(INDEX(properties!A$1:CB$87,'Fórmula'!D79,19))+'Fórmula'!G79*(INDEX(properties!A$1:CB$87,'Fórmula'!F79,19))+'Fórmula'!I79*(INDEX(properties!A$1:CB$87,'Fórmula'!H79,19))+'Fórmula'!K79*(INDEX(properties!A$1:CB$87,'Fórmula'!J79,19))</f>
        <v>32</v>
      </c>
      <c r="BL79" s="111">
        <f t="array" ref="BL79">VARP(IF(INDEX(properties!A$1:CB$87,'Fórmula'!B79,19)&lt;&gt;"",INDEX(properties!A$1:CB$87,'Fórmula'!B79,19)),IF(INDEX(properties!A$1:CB$87,'Fórmula'!D79,19)&lt;&gt;"",INDEX(properties!A$1:CB$87,'Fórmula'!D79,19)),IF(INDEX(properties!A$1:CB$87,'Fórmula'!F79,19)&lt;&gt;"",INDEX(properties!A$1:CB$87,'Fórmula'!F79,19)),IF(INDEX(properties!A$1:CB$87,'Fórmula'!H79,19)&lt;&gt;"",INDEX(properties!A$1:CB$87,'Fórmula'!H79,19)),IF(INDEX(properties!A$1:CB$87,'Fórmula'!J79,19)&lt;&gt;"",INDEX(properties!A$1:CB$87,'Fórmula'!J79,19)))</f>
        <v>7.36</v>
      </c>
      <c r="BM79" s="111">
        <f t="array" ref="BM79">MAX(INDEX(properties!A$1:CB$87,'Fórmula'!B79,19),INDEX(properties!A$1:CB$87,'Fórmula'!D79,19),INDEX(properties!A$1:CB$87,'Fórmula'!F79,19),INDEX(properties!A$1:CB$87,'Fórmula'!H79,19),INDEX(properties!A$1:CB$87,'Fórmula'!J79,19))</f>
        <v>6</v>
      </c>
      <c r="BN79" s="111">
        <f t="array" ref="BN79">MIN(IF(INDEX(properties!A$1:CB$87,'Fórmula'!B79,19)=0,10^6,INDEX(properties!A$1:CB$87,'Fórmula'!B79,19)),IF(INDEX(properties!A$1:CB$87,'Fórmula'!D79,19)=0,10^6,INDEX(properties!A$1:CB$87,'Fórmula'!D79,19)),IF(INDEX(properties!A$1:CB$87,'Fórmula'!F79,19)=0,10^6,INDEX(properties!A$1:CB$87,'Fórmula'!F79,19)),IF(INDEX(properties!A$1:CB$87,'Fórmula'!H79,19)=0,10^6,INDEX(properties!A$1:CB$87,'Fórmula'!H79,19)),IF(INDEX(properties!A$1:CB$87,'Fórmula'!J79,19)=0,10^6,INDEX(properties!A$1:CB$87,'Fórmula'!J79,19)))</f>
        <v>2</v>
      </c>
      <c r="BO79" s="111">
        <f t="shared" si="11"/>
        <v>4</v>
      </c>
      <c r="BP79" s="112">
        <f t="array" ref="BP79">(('Fórmula'!C79)/('Fórmula'!C79+'Fórmula'!E79+'Fórmula'!G79+'Fórmula'!I79+'Fórmula'!K79))*(INDEX(properties!A$1:CB$87,'Fórmula'!B79,20))+(('Fórmula'!E79)/('Fórmula'!C79+'Fórmula'!E79+'Fórmula'!G79+'Fórmula'!I79+'Fórmula'!K79))*(INDEX(properties!A$1:CB$87,'Fórmula'!D79,20))+(('Fórmula'!G79)/('Fórmula'!C79+'Fórmula'!E79+'Fórmula'!G79+'Fórmula'!I79+'Fórmula'!K79))*(INDEX(properties!A$1:CB$87,'Fórmula'!F79,20))+(('Fórmula'!I79)/('Fórmula'!C79+'Fórmula'!E79+'Fórmula'!G79+'Fórmula'!I79+'Fórmula'!K79))*(INDEX(properties!A$1:CB$87,'Fórmula'!H79,20))+(('Fórmula'!K79)/('Fórmula'!C79+'Fórmula'!E79+'Fórmula'!G79+'Fórmula'!I79+'Fórmula'!K79))*(INDEX(properties!A$1:CB$87,'Fórmula'!J79,20))</f>
        <v>4.5</v>
      </c>
      <c r="BQ79" s="112">
        <f t="array" ref="BQ79">'Fórmula'!C79*(INDEX(properties!A$1:CB$87,'Fórmula'!B79,20))+'Fórmula'!E79*(INDEX(properties!A$1:CB$87,'Fórmula'!D79,20))+'Fórmula'!G79*(INDEX(properties!A$1:CB$87,'Fórmula'!F79,20))+'Fórmula'!I79*(INDEX(properties!A$1:CB$87,'Fórmula'!H79,20))+'Fórmula'!K79*(INDEX(properties!A$1:CB$87,'Fórmula'!J79,20))</f>
        <v>27</v>
      </c>
      <c r="BR79" s="112">
        <f t="array" ref="BR79">VARP(IF(INDEX(properties!A$1:CB$87,'Fórmula'!B79,20)&lt;&gt;"",INDEX(properties!A$1:CB$87,'Fórmula'!B79,20)),IF(INDEX(properties!A$1:CB$87,'Fórmula'!D79,20)&lt;&gt;"",INDEX(properties!A$1:CB$87,'Fórmula'!D79,20)),IF(INDEX(properties!A$1:CB$87,'Fórmula'!F79,20)&lt;&gt;"",INDEX(properties!A$1:CB$87,'Fórmula'!F79,20)),IF(INDEX(properties!A$1:CB$87,'Fórmula'!H79,20)&lt;&gt;"",INDEX(properties!A$1:CB$87,'Fórmula'!H79,20)),IF(INDEX(properties!A$1:CB$87,'Fórmula'!J79,20)&lt;&gt;"",INDEX(properties!A$1:CB$87,'Fórmula'!J79,20)))</f>
        <v>4.96</v>
      </c>
      <c r="BS79" s="112">
        <f t="array" ref="BS79">MAX(INDEX(properties!A$1:CB$87,'Fórmula'!B79,20),INDEX(properties!A$1:CB$87,'Fórmula'!D79,20),INDEX(properties!A$1:CB$87,'Fórmula'!F79,20),INDEX(properties!A$1:CB$87,'Fórmula'!H79,20),INDEX(properties!A$1:CB$87,'Fórmula'!J79,20))</f>
        <v>6</v>
      </c>
      <c r="BT79" s="112">
        <f t="array" ref="BT79">MIN(IF(INDEX(properties!A$1:CB$87,'Fórmula'!B79,20)=0,10^6,INDEX(properties!A$1:CB$87,'Fórmula'!B79,20)),IF(INDEX(properties!A$1:CB$87,'Fórmula'!D79,20)=0,10^6,INDEX(properties!A$1:CB$87,'Fórmula'!D79,20)),IF(INDEX(properties!A$1:CB$87,'Fórmula'!F79,20)=0,10^6,INDEX(properties!A$1:CB$87,'Fórmula'!F79,20)),IF(INDEX(properties!A$1:CB$87,'Fórmula'!H79,20)=0,10^6,INDEX(properties!A$1:CB$87,'Fórmula'!H79,20)),IF(INDEX(properties!A$1:CB$87,'Fórmula'!J79,20)=0,10^6,INDEX(properties!A$1:CB$87,'Fórmula'!J79,20)))</f>
        <v>1</v>
      </c>
      <c r="BU79" s="112">
        <f t="shared" si="12"/>
        <v>5</v>
      </c>
      <c r="BV79" s="113">
        <f t="array" ref="BV79">(('Fórmula'!C79)/('Fórmula'!C79+'Fórmula'!E79+'Fórmula'!G79+'Fórmula'!I79+'Fórmula'!K79))*(INDEX(properties!A$1:CB$87,'Fórmula'!B79,21))+(('Fórmula'!E79)/('Fórmula'!C79+'Fórmula'!E79+'Fórmula'!G79+'Fórmula'!I79+'Fórmula'!K79))*(INDEX(properties!A$1:CB$87,'Fórmula'!D79,21))+(('Fórmula'!G79)/('Fórmula'!C79+'Fórmula'!E79+'Fórmula'!G79+'Fórmula'!I79+'Fórmula'!K79))*(INDEX(properties!A$1:CB$87,'Fórmula'!F79,21))+(('Fórmula'!I79)/('Fórmula'!C79+'Fórmula'!E79+'Fórmula'!G79+'Fórmula'!I79+'Fórmula'!K79))*(INDEX(properties!A$1:CB$87,'Fórmula'!H79,21))+(('Fórmula'!K79)/('Fórmula'!C79+'Fórmula'!E79+'Fórmula'!G79+'Fórmula'!I79+'Fórmula'!K79))*(INDEX(properties!A$1:CB$87,'Fórmula'!J79,21))</f>
        <v>5</v>
      </c>
      <c r="BW79" s="113">
        <f t="array" ref="BW79">'Fórmula'!C79*(INDEX(properties!A$1:CB$87,'Fórmula'!B79,21))+'Fórmula'!E79*(INDEX(properties!A$1:CB$87,'Fórmula'!D79,21))+'Fórmula'!G79*(INDEX(properties!A$1:CB$87,'Fórmula'!F79,21))+'Fórmula'!I79*(INDEX(properties!A$1:CB$87,'Fórmula'!H79,21))+'Fórmula'!K79*(INDEX(properties!A$1:CB$87,'Fórmula'!J79,21))</f>
        <v>30</v>
      </c>
      <c r="BX79" s="113">
        <f t="array" ref="BX79">VARP(IF(INDEX(properties!A$1:CB$87,'Fórmula'!B79,21)&lt;&gt;"",INDEX(properties!A$1:CB$87,'Fórmula'!B79,21)),IF(INDEX(properties!A$1:CB$87,'Fórmula'!D79,21)&lt;&gt;"",INDEX(properties!A$1:CB$87,'Fórmula'!D79,21)),IF(INDEX(properties!A$1:CB$87,'Fórmula'!F79,21)&lt;&gt;"",INDEX(properties!A$1:CB$87,'Fórmula'!F79,21)),IF(INDEX(properties!A$1:CB$87,'Fórmula'!H79,21)&lt;&gt;"",INDEX(properties!A$1:CB$87,'Fórmula'!H79,21)),IF(INDEX(properties!A$1:CB$87,'Fórmula'!J79,21)&lt;&gt;"",INDEX(properties!A$1:CB$87,'Fórmula'!J79,21)))</f>
        <v>5.44</v>
      </c>
      <c r="BY79" s="113">
        <f t="array" ref="BY79">MAX(INDEX(properties!A$1:CB$87,'Fórmula'!B79,21),INDEX(properties!A$1:CB$87,'Fórmula'!D79,21),INDEX(properties!A$1:CB$87,'Fórmula'!F79,21),INDEX(properties!A$1:CB$87,'Fórmula'!H79,21),INDEX(properties!A$1:CB$87,'Fórmula'!J79,21))</f>
        <v>6</v>
      </c>
      <c r="BZ79" s="113">
        <f t="array" ref="BZ79">MIN(IF(INDEX(properties!A$1:CB$87,'Fórmula'!B79,21)=0,10^6,INDEX(properties!A$1:CB$87,'Fórmula'!B79,21)),IF(INDEX(properties!A$1:CB$87,'Fórmula'!D79,21)=0,10^6,INDEX(properties!A$1:CB$87,'Fórmula'!D79,21)),IF(INDEX(properties!A$1:CB$87,'Fórmula'!F79,21)=0,10^6,INDEX(properties!A$1:CB$87,'Fórmula'!F79,21)),IF(INDEX(properties!A$1:CB$87,'Fórmula'!H79,21)=0,10^6,INDEX(properties!A$1:CB$87,'Fórmula'!H79,21)),IF(INDEX(properties!A$1:CB$87,'Fórmula'!J79,21)=0,10^6,INDEX(properties!A$1:CB$87,'Fórmula'!J79,21)))</f>
        <v>2</v>
      </c>
      <c r="CA79" s="113">
        <f t="shared" si="13"/>
        <v>4</v>
      </c>
      <c r="CB79" s="114">
        <f t="array" ref="CB79">(('Fórmula'!C79)/('Fórmula'!C79+'Fórmula'!E79+'Fórmula'!G79+'Fórmula'!I79+'Fórmula'!K79))*(INDEX(properties!A$1:CB$87,'Fórmula'!B79,23))+(('Fórmula'!E79)/('Fórmula'!C79+'Fórmula'!E79+'Fórmula'!G79+'Fórmula'!I79+'Fórmula'!K79))*(INDEX(properties!A$1:CB$87,'Fórmula'!D79,23))+(('Fórmula'!G79)/('Fórmula'!C79+'Fórmula'!E79+'Fórmula'!G79+'Fórmula'!I79+'Fórmula'!K79))*(INDEX(properties!A$1:CB$87,'Fórmula'!F79,23))+(('Fórmula'!I79)/('Fórmula'!C79+'Fórmula'!E79+'Fórmula'!G79+'Fórmula'!I79+'Fórmula'!K79))*(INDEX(properties!A$1:CB$87,'Fórmula'!H79,23))+(('Fórmula'!K79)/('Fórmula'!C79+'Fórmula'!E79+'Fórmula'!G79+'Fórmula'!I79+'Fórmula'!K79))*(INDEX(properties!A$1:CB$87,'Fórmula'!J79,23))</f>
        <v>1.296666667</v>
      </c>
      <c r="CC79" s="114">
        <f t="array" ref="CC79">'Fórmula'!C79*(INDEX(properties!A$1:CB$87,'Fórmula'!B79,23))+'Fórmula'!E79*(INDEX(properties!A$1:CB$87,'Fórmula'!D79,23))+'Fórmula'!G79*(INDEX(properties!A$1:CB$87,'Fórmula'!F79,23))+'Fórmula'!I79*(INDEX(properties!A$1:CB$87,'Fórmula'!H79,23))+'Fórmula'!K79*(INDEX(properties!A$1:CB$87,'Fórmula'!J79,23))</f>
        <v>7.78</v>
      </c>
      <c r="CD79" s="114">
        <f t="array" ref="CD79">VARP(IF(INDEX(properties!A$1:CB$87,'Fórmula'!B79,23)&lt;&gt;"",INDEX(properties!A$1:CB$87,'Fórmula'!B79,23)),IF(INDEX(properties!A$1:CB$87,'Fórmula'!D79,23)&lt;&gt;"",INDEX(properties!A$1:CB$87,'Fórmula'!D79,23)),IF(INDEX(properties!A$1:CB$87,'Fórmula'!F79,23)&lt;&gt;"",INDEX(properties!A$1:CB$87,'Fórmula'!F79,23)),IF(INDEX(properties!A$1:CB$87,'Fórmula'!H79,23)&lt;&gt;"",INDEX(properties!A$1:CB$87,'Fórmula'!H79,23)),IF(INDEX(properties!A$1:CB$87,'Fórmula'!J79,23)&lt;&gt;"",INDEX(properties!A$1:CB$87,'Fórmula'!J79,23)))</f>
        <v>5.060544</v>
      </c>
      <c r="CE79" s="114">
        <f t="array" ref="CE79">MAX(INDEX(properties!A$1:CB$87,'Fórmula'!B79,23),INDEX(properties!A$1:CB$87,'Fórmula'!D79,23),INDEX(properties!A$1:CB$87,'Fórmula'!F79,23),INDEX(properties!A$1:CB$87,'Fórmula'!H79,23),INDEX(properties!A$1:CB$87,'Fórmula'!J79,23))</f>
        <v>5.78</v>
      </c>
      <c r="CF79" s="114">
        <f t="array" ref="CF79">MIN(IF('Fórmula'!B79=87,10^6,INDEX(properties!A$1:CB$87,'Fórmula'!B79,23)),IF(('Fórmula'!D79)=87,10^6,INDEX(properties!A$1:CB$87,'Fórmula'!D79,23)),IF(('Fórmula'!F79)=87,10^6,INDEX(properties!A$1:CB$87,'Fórmula'!F79,23)),IF(('Fórmula'!H79)=87,10^6,INDEX(properties!A$1:CB$87,'Fórmula'!H79,23)),IF('Fórmula'!J79=87,10^6,INDEX(properties!A$1:CB$87,'Fórmula'!J79,23)))</f>
        <v>0</v>
      </c>
      <c r="CG79" s="114">
        <f t="shared" si="14"/>
        <v>5.78</v>
      </c>
      <c r="CH79" s="115">
        <f t="array" ref="CH79">(('Fórmula'!C79)/('Fórmula'!C79+'Fórmula'!E79+'Fórmula'!G79+'Fórmula'!I79+'Fórmula'!K79))*(INDEX(properties!A$1:CB$87,'Fórmula'!B79,26))+(('Fórmula'!E79)/('Fórmula'!C79+'Fórmula'!E79+'Fórmula'!G79+'Fórmula'!I79+'Fórmula'!K79))*(INDEX(properties!A$1:CB$87,'Fórmula'!D79,26))+(('Fórmula'!G79)/('Fórmula'!C79+'Fórmula'!E79+'Fórmula'!G79+'Fórmula'!I79+'Fórmula'!K79))*(INDEX(properties!A$1:CB$87,'Fórmula'!F79,26))+(('Fórmula'!I79)/('Fórmula'!C79+'Fórmula'!E79+'Fórmula'!G79+'Fórmula'!I79+'Fórmula'!K79))*(INDEX(properties!A$1:CB$87,'Fórmula'!H79,26))+(('Fórmula'!K79)/('Fórmula'!C79+'Fórmula'!E79+'Fórmula'!G79+'Fórmula'!I79+'Fórmula'!K79))*(INDEX(properties!A$1:CB$87,'Fórmula'!J79,26))</f>
        <v>11.20995</v>
      </c>
      <c r="CI79" s="115">
        <f t="array" ref="CI79">'Fórmula'!C79*(INDEX(properties!A$1:CB$87,'Fórmula'!B79,26))+'Fórmula'!E79*(INDEX(properties!A$1:CB$87,'Fórmula'!D79,26))+'Fórmula'!G79*(INDEX(properties!A$1:CB$87,'Fórmula'!F79,26))+'Fórmula'!I79*(INDEX(properties!A$1:CB$87,'Fórmula'!H79,26))+'Fórmula'!K79*(INDEX(properties!A$1:CB$87,'Fórmula'!J79,26))</f>
        <v>67.2597</v>
      </c>
      <c r="CJ79" s="115">
        <f t="array" ref="CJ79">VARP(IF(INDEX(properties!A$1:CB$87,'Fórmula'!B79,26)&lt;&gt;"",INDEX(properties!A$1:CB$87,'Fórmula'!B79,26)),IF(INDEX(properties!A$1:CB$87,'Fórmula'!D79,26)&lt;&gt;"",INDEX(properties!A$1:CB$87,'Fórmula'!D79,26)),IF(INDEX(properties!A$1:CB$87,'Fórmula'!F79,26)&lt;&gt;"",INDEX(properties!A$1:CB$87,'Fórmula'!F79,26)),IF(INDEX(properties!A$1:CB$87,'Fórmula'!H79,26)&lt;&gt;"",INDEX(properties!A$1:CB$87,'Fórmula'!H79,26)),IF(INDEX(properties!A$1:CB$87,'Fórmula'!J79,26)&lt;&gt;"",INDEX(properties!A$1:CB$87,'Fórmula'!J79,26)))</f>
        <v>25.74752831</v>
      </c>
      <c r="CK79" s="116">
        <f t="array" ref="CK79">MAX(INDEX(properties!A$1:CB$87,'Fórmula'!B79,26),INDEX(properties!A$1:CB$87,'Fórmula'!D79,26),INDEX(properties!A$1:CB$87,'Fórmula'!F79,26),INDEX(properties!A$1:CB$87,'Fórmula'!H79,26),INDEX(properties!A$1:CB$87,'Fórmula'!J79,26))</f>
        <v>13.6181</v>
      </c>
      <c r="CL79" s="116">
        <f t="array" ref="CL79">MIN(IF(INDEX(properties!A$1:CB$87,'Fórmula'!B79,26)=0,10^6,INDEX(properties!A$1:CB$87,'Fórmula'!B79,26)),IF(INDEX(properties!A$1:CB$87,'Fórmula'!D79,26)=0,10^6,INDEX(properties!A$1:CB$87,'Fórmula'!D79,26)),IF(INDEX(properties!A$1:CB$87,'Fórmula'!F79,26)=0,10^6,INDEX(properties!A$1:CB$87,'Fórmula'!F79,26)),IF(INDEX(properties!A$1:CB$87,'Fórmula'!H79,26)=0,10^6,INDEX(properties!A$1:CB$87,'Fórmula'!H79,26)),IF(INDEX(properties!A$1:CB$87,'Fórmula'!J79,26)=0,10^6,INDEX(properties!A$1:CB$87,'Fórmula'!J79,26)))</f>
        <v>5.6949</v>
      </c>
      <c r="CM79" s="115">
        <f t="shared" si="15"/>
        <v>7.9232</v>
      </c>
      <c r="CN79" s="117">
        <f t="array" ref="CN79">(('Fórmula'!C79)/('Fórmula'!C79+'Fórmula'!E79+'Fórmula'!G79+'Fórmula'!I79+'Fórmula'!K79))*(INDEX(properties!A$1:CB$87,'Fórmula'!B79,30))+(('Fórmula'!E79)/('Fórmula'!C79+'Fórmula'!E79+'Fórmula'!G79+'Fórmula'!I79+'Fórmula'!K79))*(INDEX(properties!A$1:CB$87,'Fórmula'!D79,30))+(('Fórmula'!G79)/('Fórmula'!C79+'Fórmula'!E79+'Fórmula'!G79+'Fórmula'!I79+'Fórmula'!K79))*(INDEX(properties!A$1:CB$87,'Fórmula'!F79,30))+(('Fórmula'!I79)/('Fórmula'!C79+'Fórmula'!E79+'Fórmula'!G79+'Fórmula'!I79+'Fórmula'!K79))*(INDEX(properties!A$1:CB$87,'Fórmula'!H79,30))+(('Fórmula'!K79)/('Fórmula'!C79+'Fórmula'!E79+'Fórmula'!G79+'Fórmula'!I79+'Fórmula'!K79))*(INDEX(properties!A$1:CB$87,'Fórmula'!J79,30))</f>
        <v>2.811666667</v>
      </c>
      <c r="CO79" s="117">
        <f t="array" ref="CO79">'Fórmula'!C79*(INDEX(properties!A$1:CB$87,'Fórmula'!B79,30))+'Fórmula'!E79*(INDEX(properties!A$1:CB$87,'Fórmula'!D79,30))+'Fórmula'!G79*(INDEX(properties!A$1:CB$87,'Fórmula'!F79,30))+'Fórmula'!I79*(INDEX(properties!A$1:CB$87,'Fórmula'!H79,30))+'Fórmula'!K79*(INDEX(properties!A$1:CB$87,'Fórmula'!J79,30))</f>
        <v>16.87</v>
      </c>
      <c r="CP79" s="117">
        <f t="array" ref="CP79">VARP(IF(INDEX(properties!A$1:CB$87,'Fórmula'!B79,30)&lt;&gt;"",INDEX(properties!A$1:CB$87,'Fórmula'!B79,30)),IF(INDEX(properties!A$1:CB$87,'Fórmula'!D79,30)&lt;&gt;"",INDEX(properties!A$1:CB$87,'Fórmula'!D79,30)),IF(INDEX(properties!A$1:CB$87,'Fórmula'!F79,30)&lt;&gt;"",INDEX(properties!A$1:CB$87,'Fórmula'!F79,30)),IF(INDEX(properties!A$1:CB$87,'Fórmula'!H79,30)&lt;&gt;"",INDEX(properties!A$1:CB$87,'Fórmula'!H79,30)),IF(INDEX(properties!A$1:CB$87,'Fórmula'!J79,30)&lt;&gt;"",INDEX(properties!A$1:CB$87,'Fórmula'!J79,30)))</f>
        <v>1.76424</v>
      </c>
      <c r="CQ79" s="117">
        <f t="array" ref="CQ79">MAX(INDEX(properties!A$1:CB$87,'Fórmula'!B79,30),INDEX(properties!A$1:CB$87,'Fórmula'!D79,30),INDEX(properties!A$1:CB$87,'Fórmula'!F79,30),INDEX(properties!A$1:CB$87,'Fórmula'!H79,30),INDEX(properties!A$1:CB$87,'Fórmula'!J79,30))</f>
        <v>3.44</v>
      </c>
      <c r="CR79" s="117">
        <f t="array" ref="CR79">MIN(IF(INDEX(properties!A$1:CB$87,'Fórmula'!B79,30)=0,10^6,INDEX(properties!A$1:CB$87,'Fórmula'!B79,30)),IF(INDEX(properties!A$1:CB$87,'Fórmula'!D79,30)=0,10^6,INDEX(properties!A$1:CB$87,'Fórmula'!D79,30)),IF(INDEX(properties!A$1:CB$87,'Fórmula'!F79,30)=0,10^6,INDEX(properties!A$1:CB$87,'Fórmula'!F79,30)),IF(INDEX(properties!A$1:CB$87,'Fórmula'!H79,30)=0,10^6,INDEX(properties!A$1:CB$87,'Fórmula'!H79,30)),IF(INDEX(properties!A$1:CB$87,'Fórmula'!J79,30)=0,10^6,INDEX(properties!A$1:CB$87,'Fórmula'!J79,30)))</f>
        <v>0.95</v>
      </c>
      <c r="CS79" s="117">
        <f t="shared" si="16"/>
        <v>2.49</v>
      </c>
      <c r="CT79" s="118">
        <f t="array" ref="CT79">(('Fórmula'!C79)/('Fórmula'!C79+'Fórmula'!E79+'Fórmula'!G79+'Fórmula'!I79+'Fórmula'!K79))*(INDEX(properties!A$1:CB$87,'Fórmula'!B79,31))+(('Fórmula'!E79)/('Fórmula'!C79+'Fórmula'!E79+'Fórmula'!G79+'Fórmula'!I79+'Fórmula'!K79))*(INDEX(properties!A$1:CB$87,'Fórmula'!D79,31))+(('Fórmula'!G79)/('Fórmula'!C79+'Fórmula'!E79+'Fórmula'!G79+'Fórmula'!I79+'Fórmula'!K79))*(INDEX(properties!A$1:CB$87,'Fórmula'!F79,31))+(('Fórmula'!I79)/('Fórmula'!C79+'Fórmula'!E79+'Fórmula'!G79+'Fórmula'!I79+'Fórmula'!K79))*(INDEX(properties!A$1:CB$87,'Fórmula'!H79,31))+(('Fórmula'!K79)/('Fórmula'!C79+'Fórmula'!E79+'Fórmula'!G79+'Fórmula'!I79+'Fórmula'!K79))*(INDEX(properties!A$1:CB$87,'Fórmula'!J79,31))</f>
        <v>2.725</v>
      </c>
      <c r="CU79" s="118">
        <f t="array" ref="CU79">'Fórmula'!C79*(INDEX(properties!A$1:CB$87,'Fórmula'!B79,31))+'Fórmula'!E79*(INDEX(properties!A$1:CB$87,'Fórmula'!D79,31))+'Fórmula'!G79*(INDEX(properties!A$1:CB$87,'Fórmula'!F79,31))+'Fórmula'!I79*(INDEX(properties!A$1:CB$87,'Fórmula'!H79,31))+'Fórmula'!K79*(INDEX(properties!A$1:CB$87,'Fórmula'!J79,31))</f>
        <v>16.35</v>
      </c>
      <c r="CV79" s="118">
        <f t="array" ref="CV79">VARP(IF(INDEX(properties!A$1:CB$87,'Fórmula'!B79,31)&lt;&gt;"",INDEX(properties!A$1:CB$87,'Fórmula'!B79,31)),IF(INDEX(properties!A$1:CB$87,'Fórmula'!D79,31)&lt;&gt;"",INDEX(properties!A$1:CB$87,'Fórmula'!D79,31)),IF(INDEX(properties!A$1:CB$87,'Fórmula'!F79,31)&lt;&gt;"",INDEX(properties!A$1:CB$87,'Fórmula'!F79,31)),IF(INDEX(properties!A$1:CB$87,'Fórmula'!H79,31)&lt;&gt;"",INDEX(properties!A$1:CB$87,'Fórmula'!H79,31)),IF(INDEX(properties!A$1:CB$87,'Fórmula'!J79,31)&lt;&gt;"",INDEX(properties!A$1:CB$87,'Fórmula'!J79,31)))</f>
        <v>1.579296</v>
      </c>
      <c r="CW79" s="118">
        <f t="array" ref="CW79">MAX(INDEX(properties!A$1:CB$87,'Fórmula'!B79,31),INDEX(properties!A$1:CB$87,'Fórmula'!D79,31),INDEX(properties!A$1:CB$87,'Fórmula'!F79,31),INDEX(properties!A$1:CB$87,'Fórmula'!H79,31),INDEX(properties!A$1:CB$87,'Fórmula'!J79,31))</f>
        <v>3.32</v>
      </c>
      <c r="CX79" s="118">
        <f t="array" ref="CX79">MIN(IF(INDEX(properties!A$1:CB$87,'Fórmula'!B79,31)=0,10^6,INDEX(properties!A$1:CB$87,'Fórmula'!B79,31)),IF(INDEX(properties!A$1:CB$87,'Fórmula'!D79,31)=0,10^6,INDEX(properties!A$1:CB$87,'Fórmula'!D79,31)),IF(INDEX(properties!A$1:CB$87,'Fórmula'!F79,31)=0,10^6,INDEX(properties!A$1:CB$87,'Fórmula'!F79,31)),IF(INDEX(properties!A$1:CB$87,'Fórmula'!H79,31)=0,10^6,INDEX(properties!A$1:CB$87,'Fórmula'!H79,31)),IF(INDEX(properties!A$1:CB$87,'Fórmula'!J79,31)=0,10^6,INDEX(properties!A$1:CB$87,'Fórmula'!J79,31)))</f>
        <v>1.13</v>
      </c>
      <c r="CY79" s="118">
        <f t="shared" si="17"/>
        <v>2.19</v>
      </c>
      <c r="CZ79" s="119">
        <f t="array" ref="CZ79">(('Fórmula'!C79)/('Fórmula'!C79+'Fórmula'!E79+'Fórmula'!G79+'Fórmula'!I79+'Fórmula'!K79))*(INDEX(properties!A$1:CB$87,'Fórmula'!B79,32))+(('Fórmula'!E79)/('Fórmula'!C79+'Fórmula'!E79+'Fórmula'!G79+'Fórmula'!I79+'Fórmula'!K79))*(INDEX(properties!A$1:CB$87,'Fórmula'!D79,32))+(('Fórmula'!G79)/('Fórmula'!C79+'Fórmula'!E79+'Fórmula'!G79+'Fórmula'!I79+'Fórmula'!K79))*(INDEX(properties!A$1:CB$87,'Fórmula'!F79,32))+(('Fórmula'!I79)/('Fórmula'!C79+'Fórmula'!E79+'Fórmula'!G79+'Fórmula'!I79+'Fórmula'!K79))*(INDEX(properties!A$1:CB$87,'Fórmula'!H79,32))+(('Fórmula'!K79)/('Fórmula'!C79+'Fórmula'!E79+'Fórmula'!G79+'Fórmula'!I79+'Fórmula'!K79))*(INDEX(properties!A$1:CB$87,'Fórmula'!J79,32))</f>
        <v>6.01</v>
      </c>
      <c r="DA79" s="119">
        <f t="array" ref="DA79">'Fórmula'!C79*(INDEX(properties!A$1:CB$87,'Fórmula'!B79,32))+'Fórmula'!E79*(INDEX(properties!A$1:CB$87,'Fórmula'!D79,32))+'Fórmula'!G79*(INDEX(properties!A$1:CB$87,'Fórmula'!F79,32))+'Fórmula'!I79*(INDEX(properties!A$1:CB$87,'Fórmula'!H79,32))+'Fórmula'!K79*(INDEX(properties!A$1:CB$87,'Fórmula'!J79,32))</f>
        <v>36.06</v>
      </c>
      <c r="DB79" s="119">
        <f t="array" ref="DB79">VARP(IF(INDEX(properties!A$1:CB$87,'Fórmula'!B79,32)&lt;&gt;"",INDEX(properties!A$1:CB$87,'Fórmula'!B79,32)),IF(INDEX(properties!A$1:CB$87,'Fórmula'!D79,32)&lt;&gt;"",INDEX(properties!A$1:CB$87,'Fórmula'!D79,32)),IF(INDEX(properties!A$1:CB$87,'Fórmula'!F79,32)&lt;&gt;"",INDEX(properties!A$1:CB$87,'Fórmula'!F79,32)),IF(INDEX(properties!A$1:CB$87,'Fórmula'!H79,32)&lt;&gt;"",INDEX(properties!A$1:CB$87,'Fórmula'!H79,32)),IF(INDEX(properties!A$1:CB$87,'Fórmula'!J79,32)&lt;&gt;"",INDEX(properties!A$1:CB$87,'Fórmula'!J79,32)))</f>
        <v>7.986976</v>
      </c>
      <c r="DC79" s="119">
        <f t="array" ref="DC79">MAX(INDEX(properties!A$1:CB$87,'Fórmula'!B79,32),INDEX(properties!A$1:CB$87,'Fórmula'!D79,32),INDEX(properties!A$1:CB$87,'Fórmula'!F79,32),INDEX(properties!A$1:CB$87,'Fórmula'!H79,32),INDEX(properties!A$1:CB$87,'Fórmula'!J79,32))</f>
        <v>7.54</v>
      </c>
      <c r="DD79" s="119">
        <f t="array" ref="DD79">MIN(IF(INDEX(properties!A$1:CB$87,'Fórmula'!B79,32)=0,10^6,INDEX(properties!A$1:CB$87,'Fórmula'!B79,32)),IF(INDEX(properties!A$1:CB$87,'Fórmula'!D79,32)=0,10^6,INDEX(properties!A$1:CB$87,'Fórmula'!D79,32)),IF(INDEX(properties!A$1:CB$87,'Fórmula'!F79,32)=0,10^6,INDEX(properties!A$1:CB$87,'Fórmula'!F79,32)),IF(INDEX(properties!A$1:CB$87,'Fórmula'!H79,32)=0,10^6,INDEX(properties!A$1:CB$87,'Fórmula'!H79,32)),IF(INDEX(properties!A$1:CB$87,'Fórmula'!J79,32)=0,10^6,INDEX(properties!A$1:CB$87,'Fórmula'!J79,32)))</f>
        <v>2</v>
      </c>
      <c r="DE79" s="119">
        <f t="shared" si="18"/>
        <v>5.54</v>
      </c>
      <c r="DF79" s="104">
        <f t="array" ref="DF79">(('Fórmula'!C79)/('Fórmula'!C79+'Fórmula'!E79+'Fórmula'!G79+'Fórmula'!I79+'Fórmula'!K79))*(INDEX(properties!A$1:CB$87,'Fórmula'!B79,34))+(('Fórmula'!E79)/('Fórmula'!C79+'Fórmula'!E79+'Fórmula'!G79+'Fórmula'!I79+'Fórmula'!K79))*(INDEX(properties!A$1:CB$87,'Fórmula'!D79,34))+(('Fórmula'!G79)/('Fórmula'!C79+'Fórmula'!E79+'Fórmula'!G79+'Fórmula'!I79+'Fórmula'!K79))*(INDEX(properties!A$1:CB$87,'Fórmula'!F79,34))+(('Fórmula'!I79)/('Fórmula'!C79+'Fórmula'!E79+'Fórmula'!G79+'Fórmula'!I79+'Fórmula'!K79))*(INDEX(properties!A$1:CB$87,'Fórmula'!H79,34))+(('Fórmula'!K79)/('Fórmula'!C79+'Fórmula'!E79+'Fórmula'!G79+'Fórmula'!I79+'Fórmula'!K79))*(INDEX(properties!A$1:CB$87,'Fórmula'!J79,34))</f>
        <v>2.812166667</v>
      </c>
      <c r="DG79" s="104">
        <f t="array" ref="DG79">'Fórmula'!C79*(INDEX(properties!A$1:CB$87,'Fórmula'!B79,34))+'Fórmula'!E79*(INDEX(properties!A$1:CB$87,'Fórmula'!D79,34))+'Fórmula'!G79*(INDEX(properties!A$1:CB$87,'Fórmula'!F79,34))+'Fórmula'!I79*(INDEX(properties!A$1:CB$87,'Fórmula'!H79,34))+'Fórmula'!K79*(INDEX(properties!A$1:CB$87,'Fórmula'!J79,34))</f>
        <v>16.873</v>
      </c>
      <c r="DH79" s="104">
        <f t="array" ref="DH79">VARP(IF(INDEX(properties!A$1:CB$87,'Fórmula'!B79,34)&lt;&gt;"",INDEX(properties!A$1:CB$87,'Fórmula'!B79,34)),IF(INDEX(properties!A$1:CB$87,'Fórmula'!D79,34)&lt;&gt;"",INDEX(properties!A$1:CB$87,'Fórmula'!D79,34)),IF(INDEX(properties!A$1:CB$87,'Fórmula'!F79,34)&lt;&gt;"",INDEX(properties!A$1:CB$87,'Fórmula'!F79,34)),IF(INDEX(properties!A$1:CB$87,'Fórmula'!H79,34)&lt;&gt;"",INDEX(properties!A$1:CB$87,'Fórmula'!H79,34)),IF(INDEX(properties!A$1:CB$87,'Fórmula'!J79,34)&lt;&gt;"",INDEX(properties!A$1:CB$87,'Fórmula'!J79,34)))</f>
        <v>1.76335984</v>
      </c>
      <c r="DI79" s="104">
        <f t="array" ref="DI79">MAX(INDEX(properties!A$1:CB$87,'Fórmula'!B79,34),INDEX(properties!A$1:CB$87,'Fórmula'!D79,34),INDEX(properties!A$1:CB$87,'Fórmula'!F79,34),INDEX(properties!A$1:CB$87,'Fórmula'!H79,34),INDEX(properties!A$1:CB$87,'Fórmula'!J79,34))</f>
        <v>3.61</v>
      </c>
      <c r="DJ79" s="104">
        <f t="array" ref="DJ79">MIN(IF(INDEX(properties!A$1:CB$87,'Fórmula'!B79,34)=0,10^6,INDEX(properties!A$1:CB$87,'Fórmula'!B79,34)),IF(INDEX(properties!A$1:CB$87,'Fórmula'!D79,34)=0,10^6,INDEX(properties!A$1:CB$87,'Fórmula'!D79,34)),IF(INDEX(properties!A$1:CB$87,'Fórmula'!F79,34)=0,10^6,INDEX(properties!A$1:CB$87,'Fórmula'!F79,34)),IF(INDEX(properties!A$1:CB$87,'Fórmula'!H79,34)=0,10^6,INDEX(properties!A$1:CB$87,'Fórmula'!H79,34)),IF(INDEX(properties!A$1:CB$87,'Fórmula'!J79,34)=0,10^6,INDEX(properties!A$1:CB$87,'Fórmula'!J79,34)))</f>
        <v>0.963</v>
      </c>
      <c r="DK79" s="104">
        <f t="shared" si="19"/>
        <v>2.647</v>
      </c>
      <c r="DL79" s="105">
        <f t="array" ref="DL79">(('Fórmula'!C79)/('Fórmula'!C79+'Fórmula'!E79+'Fórmula'!G79+'Fórmula'!I79+'Fórmula'!K79))*(INDEX(properties!A$1:CB$87,'Fórmula'!B79,37))+(('Fórmula'!E79)/('Fórmula'!C79+'Fórmula'!E79+'Fórmula'!G79+'Fórmula'!I79+'Fórmula'!K79))*(INDEX(properties!A$1:CB$87,'Fórmula'!D79,37))+(('Fórmula'!G79)/('Fórmula'!C79+'Fórmula'!E79+'Fórmula'!G79+'Fórmula'!I79+'Fórmula'!K79))*(INDEX(properties!A$1:CB$87,'Fórmula'!F79,37))+(('Fórmula'!I79)/('Fórmula'!C79+'Fórmula'!E79+'Fórmula'!G79+'Fórmula'!I79+'Fórmula'!K79))*(INDEX(properties!A$1:CB$87,'Fórmula'!H79,37))+(('Fórmula'!K79)/('Fórmula'!C79+'Fórmula'!E79+'Fórmula'!G79+'Fórmula'!I79+'Fórmula'!K79))*(INDEX(properties!A$1:CB$87,'Fórmula'!J79,37))</f>
        <v>2.816666667</v>
      </c>
      <c r="DM79" s="105">
        <f t="array" ref="DM79">'Fórmula'!C79*(INDEX(properties!A$1:CB$87,'Fórmula'!B79,37))+'Fórmula'!E79*(INDEX(properties!A$1:CB$87,'Fórmula'!D79,37))+'Fórmula'!G79*(INDEX(properties!A$1:CB$87,'Fórmula'!F79,37))+'Fórmula'!I79*(INDEX(properties!A$1:CB$87,'Fórmula'!H79,37))+'Fórmula'!K79*(INDEX(properties!A$1:CB$87,'Fórmula'!J79,37))</f>
        <v>16.9</v>
      </c>
      <c r="DN79" s="105">
        <f t="array" ref="DN79">VARP(IF(INDEX(properties!A$1:CB$87,'Fórmula'!B79,37)&lt;&gt;"",INDEX(properties!A$1:CB$87,'Fórmula'!B79,37)),IF(INDEX(properties!A$1:CB$87,'Fórmula'!D79,37)&lt;&gt;"",INDEX(properties!A$1:CB$87,'Fórmula'!D79,37)),IF(INDEX(properties!A$1:CB$87,'Fórmula'!F79,37)&lt;&gt;"",INDEX(properties!A$1:CB$87,'Fórmula'!F79,37)),IF(INDEX(properties!A$1:CB$87,'Fórmula'!H79,37)&lt;&gt;"",INDEX(properties!A$1:CB$87,'Fórmula'!H79,37)),IF(INDEX(properties!A$1:CB$87,'Fórmula'!J79,37)&lt;&gt;"",INDEX(properties!A$1:CB$87,'Fórmula'!J79,37)))</f>
        <v>1.7464</v>
      </c>
      <c r="DO79" s="105">
        <f t="array" ref="DO79">MAX(INDEX(properties!A$1:CB$87,'Fórmula'!B79,37),INDEX(properties!A$1:CB$87,'Fórmula'!D79,37),INDEX(properties!A$1:CB$87,'Fórmula'!F79,37),INDEX(properties!A$1:CB$87,'Fórmula'!H79,37),INDEX(properties!A$1:CB$87,'Fórmula'!J79,37))</f>
        <v>3.45</v>
      </c>
      <c r="DP79" s="105">
        <f t="array" ref="DP79">MIN(IF(INDEX(properties!A$1:CB$87,'Fórmula'!B79,37)=0,10^6,INDEX(properties!A$1:CB$87,'Fórmula'!B79,37)),IF(INDEX(properties!A$1:CB$87,'Fórmula'!D79,37)=0,10^6,INDEX(properties!A$1:CB$87,'Fórmula'!D79,37)),IF(INDEX(properties!A$1:CB$87,'Fórmula'!F79,37)=0,10^6,INDEX(properties!A$1:CB$87,'Fórmula'!F79,37)),IF(INDEX(properties!A$1:CB$87,'Fórmula'!H79,37)=0,10^6,INDEX(properties!A$1:CB$87,'Fórmula'!H79,37)),IF(INDEX(properties!A$1:CB$87,'Fórmula'!J79,37)=0,10^6,INDEX(properties!A$1:CB$87,'Fórmula'!J79,37)))</f>
        <v>1</v>
      </c>
      <c r="DQ79" s="105">
        <f t="shared" si="20"/>
        <v>2.45</v>
      </c>
      <c r="DR79" s="109">
        <f t="array" ref="DR79">(('Fórmula'!C79)/('Fórmula'!C79+'Fórmula'!E79+'Fórmula'!G79+'Fórmula'!I79+'Fórmula'!K79))*(INDEX(properties!A$1:CB$87,'Fórmula'!B79,39))+(('Fórmula'!E79)/('Fórmula'!C79+'Fórmula'!E79+'Fórmula'!G79+'Fórmula'!I79+'Fórmula'!K79))*(INDEX(properties!A$1:CB$87,'Fórmula'!D79,39))+(('Fórmula'!G79)/('Fórmula'!C79+'Fórmula'!E79+'Fórmula'!G79+'Fórmula'!I79+'Fórmula'!K79))*(INDEX(properties!A$1:CB$87,'Fórmula'!F79,39))+(('Fórmula'!I79)/('Fórmula'!C79+'Fórmula'!E79+'Fórmula'!G79+'Fórmula'!I79+'Fórmula'!K79))*(INDEX(properties!A$1:CB$87,'Fórmula'!H79,39))+(('Fórmula'!K79)/('Fórmula'!C79+'Fórmula'!E79+'Fórmula'!G79+'Fórmula'!I79+'Fórmula'!K79))*(INDEX(properties!A$1:CB$87,'Fórmula'!J79,39))</f>
        <v>1.001666667</v>
      </c>
      <c r="DS79" s="109">
        <f t="array" ref="DS79">'Fórmula'!C79*(INDEX(properties!A$1:CB$87,'Fórmula'!B79,39))+'Fórmula'!E79*(INDEX(properties!A$1:CB$87,'Fórmula'!D79,39))+'Fórmula'!G79*(INDEX(properties!A$1:CB$87,'Fórmula'!F79,39))+'Fórmula'!I79*(INDEX(properties!A$1:CB$87,'Fórmula'!H79,39))+'Fórmula'!K79*(INDEX(properties!A$1:CB$87,'Fórmula'!J79,39))</f>
        <v>6.01</v>
      </c>
      <c r="DT79" s="109">
        <f t="array" ref="DT79">VARP(IF(INDEX(properties!A$1:CB$87,'Fórmula'!B79,39)&lt;&gt;"",INDEX(properties!A$1:CB$87,'Fórmula'!B79,39)),IF(INDEX(properties!A$1:CB$87,'Fórmula'!D79,39)&lt;&gt;"",INDEX(properties!A$1:CB$87,'Fórmula'!D79,39)),IF(INDEX(properties!A$1:CB$87,'Fórmula'!F79,39)&lt;&gt;"",INDEX(properties!A$1:CB$87,'Fórmula'!F79,39)),IF(INDEX(properties!A$1:CB$87,'Fórmula'!H79,39)&lt;&gt;"",INDEX(properties!A$1:CB$87,'Fórmula'!H79,39)),IF(INDEX(properties!A$1:CB$87,'Fórmula'!J79,39)&lt;&gt;"",INDEX(properties!A$1:CB$87,'Fórmula'!J79,39)))</f>
        <v>0.891904</v>
      </c>
      <c r="DU79" s="120">
        <f t="array" ref="DU79">MAX(INDEX(properties!A$1:CB$87,'Fórmula'!B79,39),INDEX(properties!A$1:CB$87,'Fórmula'!D79,39),INDEX(properties!A$1:CB$87,'Fórmula'!F79,39),INDEX(properties!A$1:CB$87,'Fórmula'!H79,39),INDEX(properties!A$1:CB$87,'Fórmula'!J79,39))</f>
        <v>2.19</v>
      </c>
      <c r="DV79" s="120">
        <f t="array" ref="DV79">MIN(IF(INDEX(properties!A$1:CB$87,'Fórmula'!B79,39)=0,10^6,INDEX(properties!A$1:CB$87,'Fórmula'!B79,39)),IF(INDEX(properties!A$1:CB$87,'Fórmula'!D79,39)=0,10^6,INDEX(properties!A$1:CB$87,'Fórmula'!D79,39)),IF(INDEX(properties!A$1:CB$87,'Fórmula'!F79,39)=0,10^6,INDEX(properties!A$1:CB$87,'Fórmula'!F79,39)),IF(INDEX(properties!A$1:CB$87,'Fórmula'!H79,39)=0,10^6,INDEX(properties!A$1:CB$87,'Fórmula'!H79,39)),IF(INDEX(properties!A$1:CB$87,'Fórmula'!J79,39)=0,10^6,INDEX(properties!A$1:CB$87,'Fórmula'!J79,39)))</f>
        <v>0.48</v>
      </c>
      <c r="DW79" s="109">
        <f t="shared" si="21"/>
        <v>1.71</v>
      </c>
      <c r="DX79" s="110">
        <f t="array" ref="DX79">(('Fórmula'!C79)/('Fórmula'!C79+'Fórmula'!E79+'Fórmula'!G79+'Fórmula'!I79+'Fórmula'!K79))*(INDEX(properties!A$1:CB$87,'Fórmula'!B79,40))+(('Fórmula'!E79)/('Fórmula'!C79+'Fórmula'!E79+'Fórmula'!G79+'Fórmula'!I79+'Fórmula'!K79))*(INDEX(properties!A$1:CB$87,'Fórmula'!D79,40))+(('Fórmula'!G79)/('Fórmula'!C79+'Fórmula'!E79+'Fórmula'!G79+'Fórmula'!I79+'Fórmula'!K79))*(INDEX(properties!A$1:CB$87,'Fórmula'!F79,40))+(('Fórmula'!I79)/('Fórmula'!C79+'Fórmula'!E79+'Fórmula'!G79+'Fórmula'!I79+'Fórmula'!K79))*(INDEX(properties!A$1:CB$87,'Fórmula'!H79,40))+(('Fórmula'!K79)/('Fórmula'!C79+'Fórmula'!E79+'Fórmula'!G79+'Fórmula'!I79+'Fórmula'!K79))*(INDEX(properties!A$1:CB$87,'Fórmula'!J79,40))</f>
        <v>1.048333333</v>
      </c>
      <c r="DY79" s="110">
        <f t="array" ref="DY79">'Fórmula'!C79*(INDEX(properties!A$1:CB$87,'Fórmula'!B79,40))+'Fórmula'!E79*(INDEX(properties!A$1:CB$87,'Fórmula'!D79,40))+'Fórmula'!G79*(INDEX(properties!A$1:CB$87,'Fórmula'!F79,40))+'Fórmula'!I79*(INDEX(properties!A$1:CB$87,'Fórmula'!H79,40))+'Fórmula'!K79*(INDEX(properties!A$1:CB$87,'Fórmula'!J79,40))</f>
        <v>6.29</v>
      </c>
      <c r="DZ79" s="110">
        <f t="array" ref="DZ79">VARP(IF(INDEX(properties!A$1:CB$87,'Fórmula'!B79,40)&lt;&gt;"",INDEX(properties!A$1:CB$87,'Fórmula'!B79,40)),IF(INDEX(properties!A$1:CB$87,'Fórmula'!D79,40)&lt;&gt;"",INDEX(properties!A$1:CB$87,'Fórmula'!D79,40)),IF(INDEX(properties!A$1:CB$87,'Fórmula'!F79,40)&lt;&gt;"",INDEX(properties!A$1:CB$87,'Fórmula'!F79,40)),IF(INDEX(properties!A$1:CB$87,'Fórmula'!H79,40)&lt;&gt;"",INDEX(properties!A$1:CB$87,'Fórmula'!H79,40)),IF(INDEX(properties!A$1:CB$87,'Fórmula'!J79,40)&lt;&gt;"",INDEX(properties!A$1:CB$87,'Fórmula'!J79,40)))</f>
        <v>0.59196</v>
      </c>
      <c r="EA79" s="121">
        <f t="array" ref="EA79">MAX(INDEX(properties!A$1:CB$87,'Fórmula'!B79,40),INDEX(properties!A$1:CB$87,'Fórmula'!D79,40),INDEX(properties!A$1:CB$87,'Fórmula'!F79,40),INDEX(properties!A$1:CB$87,'Fórmula'!H79,40),INDEX(properties!A$1:CB$87,'Fórmula'!J79,40))</f>
        <v>1.92</v>
      </c>
      <c r="EB79" s="121">
        <f t="array" ref="EB79">MIN(IF(INDEX(properties!A$1:CB$87,'Fórmula'!B79,40)=0,10^6,INDEX(properties!A$1:CB$87,'Fórmula'!B79,40)),IF(INDEX(properties!A$1:CB$87,'Fórmula'!D79,40)=0,10^6,INDEX(properties!A$1:CB$87,'Fórmula'!D79,40)),IF(INDEX(properties!A$1:CB$87,'Fórmula'!F79,40)=0,10^6,INDEX(properties!A$1:CB$87,'Fórmula'!F79,40)),IF(INDEX(properties!A$1:CB$87,'Fórmula'!H79,40)=0,10^6,INDEX(properties!A$1:CB$87,'Fórmula'!H79,40)),IF(INDEX(properties!A$1:CB$87,'Fórmula'!J79,40)=0,10^6,INDEX(properties!A$1:CB$87,'Fórmula'!J79,40)))</f>
        <v>0.73</v>
      </c>
      <c r="EC79" s="110">
        <f t="shared" si="22"/>
        <v>1.19</v>
      </c>
      <c r="ED79" s="111">
        <f t="array" ref="ED79">(('Fórmula'!C79)/('Fórmula'!C79+'Fórmula'!E79+'Fórmula'!G79+'Fórmula'!I79+'Fórmula'!K79))*(INDEX(properties!A$1:CB$87,'Fórmula'!B79,41))+(('Fórmula'!E79)/('Fórmula'!C79+'Fórmula'!E79+'Fórmula'!G79+'Fórmula'!I79+'Fórmula'!K79))*(INDEX(properties!A$1:CB$87,'Fórmula'!D79,41))+(('Fórmula'!G79)/('Fórmula'!C79+'Fórmula'!E79+'Fórmula'!G79+'Fórmula'!I79+'Fórmula'!K79))*(INDEX(properties!A$1:CB$87,'Fórmula'!F79,41))+(('Fórmula'!I79)/('Fórmula'!C79+'Fórmula'!E79+'Fórmula'!G79+'Fórmula'!I79+'Fórmula'!K79))*(INDEX(properties!A$1:CB$87,'Fórmula'!H79,41))+(('Fórmula'!K79)/('Fórmula'!C79+'Fórmula'!E79+'Fórmula'!G79+'Fórmula'!I79+'Fórmula'!K79))*(INDEX(properties!A$1:CB$87,'Fórmula'!J79,41))</f>
        <v>1.198333333</v>
      </c>
      <c r="EE79" s="111">
        <f t="array" ref="EE79">'Fórmula'!C79*(INDEX(properties!A$1:CB$87,'Fórmula'!B79,41))+'Fórmula'!E79*(INDEX(properties!A$1:CB$87,'Fórmula'!D79,41))+'Fórmula'!G79*(INDEX(properties!A$1:CB$87,'Fórmula'!F79,41))+'Fórmula'!I79*(INDEX(properties!A$1:CB$87,'Fórmula'!H79,41))+'Fórmula'!K79*(INDEX(properties!A$1:CB$87,'Fórmula'!J79,41))</f>
        <v>7.19</v>
      </c>
      <c r="EF79" s="111">
        <f t="array" ref="EF79">VARP(IF(INDEX(properties!A$1:CB$87,'Fórmula'!B79,41)&lt;&gt;"",INDEX(properties!A$1:CB$87,'Fórmula'!B79,41)),IF(INDEX(properties!A$1:CB$87,'Fórmula'!D79,41)&lt;&gt;"",INDEX(properties!A$1:CB$87,'Fórmula'!D79,41)),IF(INDEX(properties!A$1:CB$87,'Fórmula'!F79,41)&lt;&gt;"",INDEX(properties!A$1:CB$87,'Fórmula'!F79,41)),IF(INDEX(properties!A$1:CB$87,'Fórmula'!H79,41)&lt;&gt;"",INDEX(properties!A$1:CB$87,'Fórmula'!H79,41)),IF(INDEX(properties!A$1:CB$87,'Fórmula'!J79,41)&lt;&gt;"",INDEX(properties!A$1:CB$87,'Fórmula'!J79,41)))</f>
        <v>0.338656</v>
      </c>
      <c r="EG79" s="122">
        <f t="array" ref="EG79">MAX(INDEX(properties!A$1:CB$87,'Fórmula'!B79,41),INDEX(properties!A$1:CB$87,'Fórmula'!D79,41),INDEX(properties!A$1:CB$87,'Fórmula'!F79,41),INDEX(properties!A$1:CB$87,'Fórmula'!H79,41),INDEX(properties!A$1:CB$87,'Fórmula'!J79,41))</f>
        <v>1.32</v>
      </c>
      <c r="EH79" s="122">
        <f t="array" ref="EH79">MIN(IF(INDEX(properties!A$1:CB$87,'Fórmula'!B79,41)=0,10^6,INDEX(properties!A$1:CB$87,'Fórmula'!B79,41)),IF(INDEX(properties!A$1:CB$87,'Fórmula'!D79,41)=0,10^6,INDEX(properties!A$1:CB$87,'Fórmula'!D79,41)),IF(INDEX(properties!A$1:CB$87,'Fórmula'!F79,41)=0,10^6,INDEX(properties!A$1:CB$87,'Fórmula'!F79,41)),IF(INDEX(properties!A$1:CB$87,'Fórmula'!H79,41)=0,10^6,INDEX(properties!A$1:CB$87,'Fórmula'!H79,41)),IF(INDEX(properties!A$1:CB$87,'Fórmula'!J79,41)=0,10^6,INDEX(properties!A$1:CB$87,'Fórmula'!J79,41)))</f>
        <v>0.83</v>
      </c>
      <c r="EI79" s="111">
        <f t="shared" si="23"/>
        <v>0.49</v>
      </c>
      <c r="EJ79" s="112">
        <f t="array" ref="EJ79">(('Fórmula'!C79)/('Fórmula'!C79+'Fórmula'!E79+'Fórmula'!G79+'Fórmula'!I79+'Fórmula'!K79))*(INDEX(properties!A$1:CB$87,'Fórmula'!B79,45))+(('Fórmula'!E79)/('Fórmula'!C79+'Fórmula'!E79+'Fórmula'!G79+'Fórmula'!I79+'Fórmula'!K79))*(INDEX(properties!A$1:CB$87,'Fórmula'!D79,45))+(('Fórmula'!G79)/('Fórmula'!C79+'Fórmula'!E79+'Fórmula'!G79+'Fórmula'!I79+'Fórmula'!K79))*(INDEX(properties!A$1:CB$87,'Fórmula'!F79,45))+(('Fórmula'!I79)/('Fórmula'!C79+'Fórmula'!E79+'Fórmula'!G79+'Fórmula'!I79+'Fórmula'!K79))*(INDEX(properties!A$1:CB$87,'Fórmula'!H79,45))+(('Fórmula'!K79)/('Fórmula'!C79+'Fórmula'!E79+'Fórmula'!G79+'Fórmula'!I79+'Fórmula'!K79))*(INDEX(properties!A$1:CB$87,'Fórmula'!J79,45))</f>
        <v>1.301666667</v>
      </c>
      <c r="EK79" s="112">
        <f t="array" ref="EK79">'Fórmula'!C79*(INDEX(properties!A$1:CB$87,'Fórmula'!B79,45))+'Fórmula'!E79*(INDEX(properties!A$1:CB$87,'Fórmula'!D79,45))+'Fórmula'!G79*(INDEX(properties!A$1:CB$87,'Fórmula'!F79,45))+'Fórmula'!I79*(INDEX(properties!A$1:CB$87,'Fórmula'!H79,45))+'Fórmula'!K79*(INDEX(properties!A$1:CB$87,'Fórmula'!J79,45))</f>
        <v>7.81</v>
      </c>
      <c r="EL79" s="112">
        <f t="array" ref="EL79">VARP(IF(INDEX(properties!A$1:CB$87,'Fórmula'!B79,45)&lt;&gt;"",INDEX(properties!A$1:CB$87,'Fórmula'!B79,45)),IF(INDEX(properties!A$1:CB$87,'Fórmula'!D79,45)&lt;&gt;"",INDEX(properties!A$1:CB$87,'Fórmula'!D79,45)),IF(INDEX(properties!A$1:CB$87,'Fórmula'!F79,45)&lt;&gt;"",INDEX(properties!A$1:CB$87,'Fórmula'!F79,45)),IF(INDEX(properties!A$1:CB$87,'Fórmula'!H79,45)&lt;&gt;"",INDEX(properties!A$1:CB$87,'Fórmula'!H79,45)),IF(INDEX(properties!A$1:CB$87,'Fórmula'!J79,45)&lt;&gt;"",INDEX(properties!A$1:CB$87,'Fórmula'!J79,45)))</f>
        <v>1.94628</v>
      </c>
      <c r="EM79" s="123">
        <f t="array" ref="EM79">MAX(INDEX(properties!A$1:CB$87,'Fórmula'!B79,45),INDEX(properties!A$1:CB$87,'Fórmula'!D79,45),INDEX(properties!A$1:CB$87,'Fórmula'!F79,45),INDEX(properties!A$1:CB$87,'Fórmula'!H79,45),INDEX(properties!A$1:CB$87,'Fórmula'!J79,45))</f>
        <v>3.21</v>
      </c>
      <c r="EN79" s="123">
        <f t="array" ref="EN79">MIN(IF(INDEX(properties!A$1:CB$87,'Fórmula'!B79,45)=0,10^6,INDEX(properties!A$1:CB$87,'Fórmula'!B79,45)),IF(INDEX(properties!A$1:CB$87,'Fórmula'!D79,45)=0,10^6,INDEX(properties!A$1:CB$87,'Fórmula'!D79,45)),IF(INDEX(properties!A$1:CB$87,'Fórmula'!F79,45)=0,10^6,INDEX(properties!A$1:CB$87,'Fórmula'!F79,45)),IF(INDEX(properties!A$1:CB$87,'Fórmula'!H79,45)=0,10^6,INDEX(properties!A$1:CB$87,'Fórmula'!H79,45)),IF(INDEX(properties!A$1:CB$87,'Fórmula'!J79,45)=0,10^6,INDEX(properties!A$1:CB$87,'Fórmula'!J79,45)))</f>
        <v>0.47</v>
      </c>
      <c r="EO79" s="112">
        <f t="shared" si="24"/>
        <v>2.74</v>
      </c>
      <c r="EP79" s="113">
        <f t="array" ref="EP79">(('Fórmula'!C79)/('Fórmula'!C79+'Fórmula'!E79+'Fórmula'!G79+'Fórmula'!I79+'Fórmula'!K79))*(INDEX(properties!A$1:CB$87,'Fórmula'!B79,46))+(('Fórmula'!E79)/('Fórmula'!C79+'Fórmula'!E79+'Fórmula'!G79+'Fórmula'!I79+'Fórmula'!K79))*(INDEX(properties!A$1:CB$87,'Fórmula'!D79,46))+(('Fórmula'!G79)/('Fórmula'!C79+'Fórmula'!E79+'Fórmula'!G79+'Fórmula'!I79+'Fórmula'!K79))*(INDEX(properties!A$1:CB$87,'Fórmula'!F79,46))+(('Fórmula'!I79)/('Fórmula'!C79+'Fórmula'!E79+'Fórmula'!G79+'Fórmula'!I79+'Fórmula'!K79))*(INDEX(properties!A$1:CB$87,'Fórmula'!H79,46))+(('Fórmula'!K79)/('Fórmula'!C79+'Fórmula'!E79+'Fórmula'!G79+'Fórmula'!I79+'Fórmula'!K79))*(INDEX(properties!A$1:CB$87,'Fórmula'!J79,46))</f>
        <v>1.158333333</v>
      </c>
      <c r="EQ79" s="113">
        <f t="array" ref="EQ79">'Fórmula'!C79*(INDEX(properties!A$1:CB$87,'Fórmula'!B79,46))+'Fórmula'!E79*(INDEX(properties!A$1:CB$87,'Fórmula'!D79,46))+'Fórmula'!G79*(INDEX(properties!A$1:CB$87,'Fórmula'!F79,46))+'Fórmula'!I79*(INDEX(properties!A$1:CB$87,'Fórmula'!H79,46))+'Fórmula'!K79*(INDEX(properties!A$1:CB$87,'Fórmula'!J79,46))</f>
        <v>6.95</v>
      </c>
      <c r="ER79" s="113">
        <f t="array" ref="ER79">VARP(IF(INDEX(properties!A$1:CB$87,'Fórmula'!B79,46)&lt;&gt;"",INDEX(properties!A$1:CB$87,'Fórmula'!B79,46)),IF(INDEX(properties!A$1:CB$87,'Fórmula'!D79,46)&lt;&gt;"",INDEX(properties!A$1:CB$87,'Fórmula'!D79,46)),IF(INDEX(properties!A$1:CB$87,'Fórmula'!F79,46)&lt;&gt;"",INDEX(properties!A$1:CB$87,'Fórmula'!F79,46)),IF(INDEX(properties!A$1:CB$87,'Fórmula'!H79,46)&lt;&gt;"",INDEX(properties!A$1:CB$87,'Fórmula'!H79,46)),IF(INDEX(properties!A$1:CB$87,'Fórmula'!J79,46)&lt;&gt;"",INDEX(properties!A$1:CB$87,'Fórmula'!J79,46)))</f>
        <v>0.325224</v>
      </c>
      <c r="ES79" s="124">
        <f t="array" ref="ES79">MAX(INDEX(properties!A$1:CB$87,'Fórmula'!B79,46),INDEX(properties!A$1:CB$87,'Fórmula'!D79,46),INDEX(properties!A$1:CB$87,'Fórmula'!F79,46),INDEX(properties!A$1:CB$87,'Fórmula'!H79,46),INDEX(properties!A$1:CB$87,'Fórmula'!J79,46))</f>
        <v>1.32</v>
      </c>
      <c r="ET79" s="124">
        <f t="array" ref="ET79">MIN(IF(INDEX(properties!A$1:CB$87,'Fórmula'!B79,46)=0,10^6,INDEX(properties!A$1:CB$87,'Fórmula'!B79,46)),IF(INDEX(properties!A$1:CB$87,'Fórmula'!D79,46)=0,10^6,INDEX(properties!A$1:CB$87,'Fórmula'!D79,46)),IF(INDEX(properties!A$1:CB$87,'Fórmula'!F79,46)=0,10^6,INDEX(properties!A$1:CB$87,'Fórmula'!F79,46)),IF(INDEX(properties!A$1:CB$87,'Fórmula'!H79,46)=0,10^6,INDEX(properties!A$1:CB$87,'Fórmula'!H79,46)),IF(INDEX(properties!A$1:CB$87,'Fórmula'!J79,46)=0,10^6,INDEX(properties!A$1:CB$87,'Fórmula'!J79,46)))</f>
        <v>0.79</v>
      </c>
      <c r="EU79" s="113">
        <f t="shared" si="25"/>
        <v>0.53</v>
      </c>
      <c r="EV79" s="114">
        <f t="array" ref="EV79">(('Fórmula'!C79)/('Fórmula'!C79+'Fórmula'!E79+'Fórmula'!G79+'Fórmula'!I79+'Fórmula'!K79))*(INDEX(properties!A$1:CB$87,'Fórmula'!B79,52))+(('Fórmula'!E79)/('Fórmula'!C79+'Fórmula'!E79+'Fórmula'!G79+'Fórmula'!I79+'Fórmula'!K79))*(INDEX(properties!A$1:CB$87,'Fórmula'!D79,52))+(('Fórmula'!G79)/('Fórmula'!C79+'Fórmula'!E79+'Fórmula'!G79+'Fórmula'!I79+'Fórmula'!K79))*(INDEX(properties!A$1:CB$87,'Fórmula'!F79,52))+(('Fórmula'!I79)/('Fórmula'!C79+'Fórmula'!E79+'Fórmula'!G79+'Fórmula'!I79+'Fórmula'!K79))*(INDEX(properties!A$1:CB$87,'Fórmula'!H79,52))+(('Fórmula'!K79)/('Fórmula'!C79+'Fórmula'!E79+'Fórmula'!G79+'Fórmula'!I79+'Fórmula'!K79))*(INDEX(properties!A$1:CB$87,'Fórmula'!J79,52))</f>
        <v>7.262</v>
      </c>
      <c r="EW79" s="114">
        <f t="array" ref="EW79">'Fórmula'!C79*(INDEX(properties!A$1:CB$87,'Fórmula'!B79,52))+'Fórmula'!E79*(INDEX(properties!A$1:CB$87,'Fórmula'!D79,52))+'Fórmula'!G79*(INDEX(properties!A$1:CB$87,'Fórmula'!F79,52))+'Fórmula'!I79*(INDEX(properties!A$1:CB$87,'Fórmula'!H79,52))+'Fórmula'!K79*(INDEX(properties!A$1:CB$87,'Fórmula'!J79,52))</f>
        <v>43.572</v>
      </c>
      <c r="EX79" s="114">
        <f t="array" ref="EX79">VARP(IF(INDEX(properties!A$1:CB$87,'Fórmula'!B79,52)&lt;&gt;"",INDEX(properties!A$1:CB$87,'Fórmula'!B79,52)),IF(INDEX(properties!A$1:CB$87,'Fórmula'!D79,52)&lt;&gt;"",INDEX(properties!A$1:CB$87,'Fórmula'!D79,52)),IF(INDEX(properties!A$1:CB$87,'Fórmula'!F79,52)&lt;&gt;"",INDEX(properties!A$1:CB$87,'Fórmula'!F79,52)),IF(INDEX(properties!A$1:CB$87,'Fórmula'!H79,52)&lt;&gt;"",INDEX(properties!A$1:CB$87,'Fórmula'!H79,52)),IF(INDEX(properties!A$1:CB$87,'Fórmula'!J79,52)&lt;&gt;"",INDEX(properties!A$1:CB$87,'Fórmula'!J79,52)))</f>
        <v>117.3712398</v>
      </c>
      <c r="EY79" s="114">
        <f t="array" ref="EY79">MAX(INDEX(properties!A$1:CB$87,'Fórmula'!B79,52),INDEX(properties!A$1:CB$87,'Fórmula'!D79,52),INDEX(properties!A$1:CB$87,'Fórmula'!F79,52),INDEX(properties!A$1:CB$87,'Fórmula'!H79,52),INDEX(properties!A$1:CB$87,'Fórmula'!J79,52))</f>
        <v>27.6</v>
      </c>
      <c r="EZ79" s="114">
        <f t="array" ref="EZ79">MIN(IF(INDEX(properties!A$1:CB$87,'Fórmula'!B79,52)=0,10^6,INDEX(properties!A$1:CB$87,'Fórmula'!B79,52)),IF(INDEX(properties!A$1:CB$87,'Fórmula'!D79,52)=0,10^6,INDEX(properties!A$1:CB$87,'Fórmula'!D79,52)),IF(INDEX(properties!A$1:CB$87,'Fórmula'!F79,52)=0,10^6,INDEX(properties!A$1:CB$87,'Fórmula'!F79,52)),IF(INDEX(properties!A$1:CB$87,'Fórmula'!H79,52)=0,10^6,INDEX(properties!A$1:CB$87,'Fórmula'!H79,52)),IF(INDEX(properties!A$1:CB$87,'Fórmula'!J79,52)=0,10^6,INDEX(properties!A$1:CB$87,'Fórmula'!J79,52)))</f>
        <v>0.793</v>
      </c>
      <c r="FA79" s="114">
        <f t="shared" si="26"/>
        <v>26.807</v>
      </c>
      <c r="FB79" s="115">
        <f t="array" ref="FB79">(('Fórmula'!C79)/('Fórmula'!C79+'Fórmula'!E79+'Fórmula'!G79+'Fórmula'!I79+'Fórmula'!K79))*(INDEX(properties!A$1:CB$87,'Fórmula'!B79,53))+(('Fórmula'!E79)/('Fórmula'!C79+'Fórmula'!E79+'Fórmula'!G79+'Fórmula'!I79+'Fórmula'!K79))*(INDEX(properties!A$1:CB$87,'Fórmula'!D79,53))+(('Fórmula'!G79)/('Fórmula'!C79+'Fórmula'!E79+'Fórmula'!G79+'Fórmula'!I79+'Fórmula'!K79))*(INDEX(properties!A$1:CB$87,'Fórmula'!F79,53))+(('Fórmula'!I79)/('Fórmula'!C79+'Fórmula'!E79+'Fórmula'!G79+'Fórmula'!I79+'Fórmula'!K79))*(INDEX(properties!A$1:CB$87,'Fórmula'!H79,53))+(('Fórmula'!K79)/('Fórmula'!C79+'Fórmula'!E79+'Fórmula'!G79+'Fórmula'!I79+'Fórmula'!K79))*(INDEX(properties!A$1:CB$87,'Fórmula'!J79,53))</f>
        <v>691.8833333</v>
      </c>
      <c r="FC79" s="115">
        <f t="array" ref="FC79">'Fórmula'!C79*(INDEX(properties!A$1:CB$87,'Fórmula'!B79,53))+'Fórmula'!E79*(INDEX(properties!A$1:CB$87,'Fórmula'!D79,53))+'Fórmula'!G79*(INDEX(properties!A$1:CB$87,'Fórmula'!F79,53))+'Fórmula'!I79*(INDEX(properties!A$1:CB$87,'Fórmula'!H79,53))+'Fórmula'!K79*(INDEX(properties!A$1:CB$87,'Fórmula'!J79,53))</f>
        <v>4151.3</v>
      </c>
      <c r="FD79" s="115">
        <f t="array" ref="FD79">VARP(IF(INDEX(properties!A$1:CB$87,'Fórmula'!B79,53)&lt;&gt;"",INDEX(properties!A$1:CB$87,'Fórmula'!B79,53)),IF(INDEX(properties!A$1:CB$87,'Fórmula'!D79,53)&lt;&gt;"",INDEX(properties!A$1:CB$87,'Fórmula'!D79,53)),IF(INDEX(properties!A$1:CB$87,'Fórmula'!F79,53)&lt;&gt;"",INDEX(properties!A$1:CB$87,'Fórmula'!F79,53)),IF(INDEX(properties!A$1:CB$87,'Fórmula'!H79,53)&lt;&gt;"",INDEX(properties!A$1:CB$87,'Fórmula'!H79,53)),IF(INDEX(properties!A$1:CB$87,'Fórmula'!J79,53)&lt;&gt;"",INDEX(properties!A$1:CB$87,'Fórmula'!J79,53)))</f>
        <v>1252545.533</v>
      </c>
      <c r="FE79" s="115">
        <f t="array" ref="FE79">MAX(INDEX(properties!A$1:CB$87,'Fórmula'!B79,53),INDEX(properties!A$1:CB$87,'Fórmula'!D79,53),INDEX(properties!A$1:CB$87,'Fórmula'!F79,53),INDEX(properties!A$1:CB$87,'Fórmula'!H79,53),INDEX(properties!A$1:CB$87,'Fórmula'!J79,53))</f>
        <v>2890.15</v>
      </c>
      <c r="FF79" s="115">
        <f t="array" ref="FF79">MIN(IF(INDEX(properties!A$1:CB$87,'Fórmula'!B79,53)=0,10^6,INDEX(properties!A$1:CB$87,'Fórmula'!B79,53)),IF(INDEX(properties!A$1:CB$87,'Fórmula'!D79,53)=0,10^6,INDEX(properties!A$1:CB$87,'Fórmula'!D79,53)),IF(INDEX(properties!A$1:CB$87,'Fórmula'!F79,53)=0,10^6,INDEX(properties!A$1:CB$87,'Fórmula'!F79,53)),IF(INDEX(properties!A$1:CB$87,'Fórmula'!H79,53)=0,10^6,INDEX(properties!A$1:CB$87,'Fórmula'!H79,53)),IF(INDEX(properties!A$1:CB$87,'Fórmula'!J79,53)=0,10^6,INDEX(properties!A$1:CB$87,'Fórmula'!J79,53)))</f>
        <v>54.75</v>
      </c>
      <c r="FG79" s="115">
        <f t="shared" si="27"/>
        <v>2835.4</v>
      </c>
      <c r="FH79" s="117">
        <f t="array" ref="FH79">(('Fórmula'!C79)/('Fórmula'!C79+'Fórmula'!E79+'Fórmula'!G79+'Fórmula'!I79+'Fórmula'!K79))*(INDEX(properties!A$1:CB$87,'Fórmula'!B79,54))+(('Fórmula'!E79)/('Fórmula'!C79+'Fórmula'!E79+'Fórmula'!G79+'Fórmula'!I79+'Fórmula'!K79))*(INDEX(properties!A$1:CB$87,'Fórmula'!D79,54))+(('Fórmula'!G79)/('Fórmula'!C79+'Fórmula'!E79+'Fórmula'!G79+'Fórmula'!I79+'Fórmula'!K79))*(INDEX(properties!A$1:CB$87,'Fórmula'!F79,54))+(('Fórmula'!I79)/('Fórmula'!C79+'Fórmula'!E79+'Fórmula'!G79+'Fórmula'!I79+'Fórmula'!K79))*(INDEX(properties!A$1:CB$87,'Fórmula'!H79,54))+(('Fórmula'!K79)/('Fórmula'!C79+'Fórmula'!E79+'Fórmula'!G79+'Fórmula'!I79+'Fórmula'!K79))*(INDEX(properties!A$1:CB$87,'Fórmula'!J79,54))</f>
        <v>1150.483333</v>
      </c>
      <c r="FI79" s="117">
        <f t="array" ref="FI79">'Fórmula'!C79*(INDEX(properties!A$1:CB$87,'Fórmula'!B79,54))+'Fórmula'!E79*(INDEX(properties!A$1:CB$87,'Fórmula'!D79,54))+'Fórmula'!G79*(INDEX(properties!A$1:CB$87,'Fórmula'!F79,54))+'Fórmula'!I79*(INDEX(properties!A$1:CB$87,'Fórmula'!H79,54))+'Fórmula'!K79*(INDEX(properties!A$1:CB$87,'Fórmula'!J79,54))</f>
        <v>6902.9</v>
      </c>
      <c r="FJ79" s="117">
        <f t="array" ref="FJ79">VARP(IF(INDEX(properties!A$1:CB$87,'Fórmula'!B79,54)&lt;&gt;"",INDEX(properties!A$1:CB$87,'Fórmula'!B79,54)),IF(INDEX(properties!A$1:CB$87,'Fórmula'!D79,54)&lt;&gt;"",INDEX(properties!A$1:CB$87,'Fórmula'!D79,54)),IF(INDEX(properties!A$1:CB$87,'Fórmula'!F79,54)&lt;&gt;"",INDEX(properties!A$1:CB$87,'Fórmula'!F79,54)),IF(INDEX(properties!A$1:CB$87,'Fórmula'!H79,54)&lt;&gt;"",INDEX(properties!A$1:CB$87,'Fórmula'!H79,54)),IF(INDEX(properties!A$1:CB$87,'Fórmula'!J79,54)&lt;&gt;"",INDEX(properties!A$1:CB$87,'Fórmula'!J79,54)))</f>
        <v>3564217.013</v>
      </c>
      <c r="FK79" s="117">
        <f t="array" ref="FK79">MAX(INDEX(properties!A$1:CB$87,'Fórmula'!B79,54),INDEX(properties!A$1:CB$87,'Fórmula'!D79,54),INDEX(properties!A$1:CB$87,'Fórmula'!F79,54),INDEX(properties!A$1:CB$87,'Fórmula'!H79,54),INDEX(properties!A$1:CB$87,'Fórmula'!J79,54))</f>
        <v>4885.15</v>
      </c>
      <c r="FL79" s="117">
        <f t="array" ref="FL79">MIN(IF(INDEX(properties!A$1:CB$87,'Fórmula'!B79,54)=0,10^6,INDEX(properties!A$1:CB$87,'Fórmula'!B79,54)),IF(INDEX(properties!A$1:CB$87,'Fórmula'!D79,54)=0,10^6,INDEX(properties!A$1:CB$87,'Fórmula'!D79,54)),IF(INDEX(properties!A$1:CB$87,'Fórmula'!F79,54)=0,10^6,INDEX(properties!A$1:CB$87,'Fórmula'!F79,54)),IF(INDEX(properties!A$1:CB$87,'Fórmula'!H79,54)=0,10^6,INDEX(properties!A$1:CB$87,'Fórmula'!H79,54)),IF(INDEX(properties!A$1:CB$87,'Fórmula'!J79,54)=0,10^6,INDEX(properties!A$1:CB$87,'Fórmula'!J79,54)))</f>
        <v>90.15</v>
      </c>
      <c r="FM79" s="117">
        <f t="shared" si="28"/>
        <v>4795</v>
      </c>
      <c r="FN79" s="118">
        <f t="array" ref="FN79">(('Fórmula'!C79)/('Fórmula'!C79+'Fórmula'!E79+'Fórmula'!G79+'Fórmula'!I79+'Fórmula'!K79))*(INDEX(properties!A$1:CB$87,'Fórmula'!B79,55))+(('Fórmula'!E79)/('Fórmula'!C79+'Fórmula'!E79+'Fórmula'!G79+'Fórmula'!I79+'Fórmula'!K79))*(INDEX(properties!A$1:CB$87,'Fórmula'!D79,55))+(('Fórmula'!G79)/('Fórmula'!C79+'Fórmula'!E79+'Fórmula'!G79+'Fórmula'!I79+'Fórmula'!K79))*(INDEX(properties!A$1:CB$87,'Fórmula'!F79,55))+(('Fórmula'!I79)/('Fórmula'!C79+'Fórmula'!E79+'Fórmula'!G79+'Fórmula'!I79+'Fórmula'!K79))*(INDEX(properties!A$1:CB$87,'Fórmula'!H79,55))+(('Fórmula'!K79)/('Fórmula'!C79+'Fórmula'!E79+'Fórmula'!G79+'Fórmula'!I79+'Fórmula'!K79))*(INDEX(properties!A$1:CB$87,'Fórmula'!J79,55))</f>
        <v>2.139286667</v>
      </c>
      <c r="FO79" s="118">
        <f t="array" ref="FO79">'Fórmula'!C79*(INDEX(properties!A$1:CB$87,'Fórmula'!B79,55))+'Fórmula'!E79*(INDEX(properties!A$1:CB$87,'Fórmula'!D79,54))+'Fórmula'!G79*(INDEX(properties!A$1:CB$87,'Fórmula'!F79,55))+'Fórmula'!I79*(INDEX(properties!A$1:CB$87,'Fórmula'!H79,55))+'Fórmula'!K79*(INDEX(properties!A$1:CB$87,'Fórmula'!J79,55))</f>
        <v>4887.78572</v>
      </c>
      <c r="FP79" s="118">
        <f t="array" ref="FP79">VARP(IF(INDEX(properties!A$1:CB$87,'Fórmula'!B79,55)&lt;&gt;"",INDEX(properties!A$1:CB$87,'Fórmula'!B79,55)),IF(INDEX(properties!A$1:CB$87,'Fórmula'!D79,55)&lt;&gt;"",INDEX(properties!A$1:CB$87,'Fórmula'!D79,55)),IF(INDEX(properties!A$1:CB$87,'Fórmula'!F79,55)&lt;&gt;"",INDEX(properties!A$1:CB$87,'Fórmula'!F79,55)),IF(INDEX(properties!A$1:CB$87,'Fórmula'!H79,55)&lt;&gt;"",INDEX(properties!A$1:CB$87,'Fórmula'!H79,55)),IF(INDEX(properties!A$1:CB$87,'Fórmula'!J79,55)&lt;&gt;"",INDEX(properties!A$1:CB$87,'Fórmula'!J79,55)))</f>
        <v>15.60555658</v>
      </c>
      <c r="FQ79" s="118">
        <f t="array" ref="FQ79">MAX(INDEX(properties!A$1:CB$87,'Fórmula'!B79,55),INDEX(properties!A$1:CB$87,'Fórmula'!D79,55),INDEX(properties!A$1:CB$87,'Fórmula'!F79,55),INDEX(properties!A$1:CB$87,'Fórmula'!H79,55),INDEX(properties!A$1:CB$87,'Fórmula'!J79,55))</f>
        <v>10.2</v>
      </c>
      <c r="FR79" s="118">
        <f t="array" ref="FR79">MIN(IF(INDEX(properties!A$1:CB$87,'Fórmula'!B79,55)=0,10^6,INDEX(properties!A$1:CB$87,'Fórmula'!B79,55)),IF(INDEX(properties!A$1:CB$87,'Fórmula'!D79,55)=0,10^6,INDEX(properties!A$1:CB$87,'Fórmula'!D79,55)),IF(INDEX(properties!A$1:CB$87,'Fórmula'!F79,55)=0,10^6,INDEX(properties!A$1:CB$87,'Fórmula'!F79,55)),IF(INDEX(properties!A$1:CB$87,'Fórmula'!H79,55)=0,10^6,INDEX(properties!A$1:CB$87,'Fórmula'!H79,55)),IF(INDEX(properties!A$1:CB$87,'Fórmula'!J79,55)=0,10^6,INDEX(properties!A$1:CB$87,'Fórmula'!J79,55)))</f>
        <v>0.00143</v>
      </c>
      <c r="FS79" s="118">
        <f t="shared" si="29"/>
        <v>10.19857</v>
      </c>
      <c r="FT79" s="119">
        <f t="array" ref="FT79">(('Fórmula'!C79)/('Fórmula'!C79+'Fórmula'!E79+'Fórmula'!G79+'Fórmula'!I79+'Fórmula'!K79))*(INDEX(properties!A$1:CB$87,'Fórmula'!B79,56))+(('Fórmula'!E79)/('Fórmula'!C79+'Fórmula'!E79+'Fórmula'!G79+'Fórmula'!I79+'Fórmula'!K79))*(INDEX(properties!A$1:CB$87,'Fórmula'!D79,56))+(('Fórmula'!G79)/('Fórmula'!C79+'Fórmula'!E79+'Fórmula'!G79+'Fórmula'!I79+'Fórmula'!K79))*(INDEX(properties!A$1:CB$87,'Fórmula'!F79,56))+(('Fórmula'!I79)/('Fórmula'!C79+'Fórmula'!E79+'Fórmula'!G79+'Fórmula'!I79+'Fórmula'!K79))*(INDEX(properties!A$1:CB$87,'Fórmula'!H79,56))+(('Fórmula'!K79)/('Fórmula'!C79+'Fórmula'!E79+'Fórmula'!G79+'Fórmula'!I79+'Fórmula'!K79))*(INDEX(properties!A$1:CB$87,'Fórmula'!J79,56))</f>
        <v>0.705</v>
      </c>
      <c r="FU79" s="119">
        <f t="array" ref="FU79">'Fórmula'!C79*(INDEX(properties!A$1:CB$87,'Fórmula'!B79,56))+'Fórmula'!E79*(INDEX(properties!A$1:CB$87,'Fórmula'!D79,56))+'Fórmula'!G79*(INDEX(properties!A$1:CB$87,'Fórmula'!F79,56))+'Fórmula'!I79*(INDEX(properties!A$1:CB$87,'Fórmula'!H79,56))+'Fórmula'!K79*(INDEX(properties!A$1:CB$87,'Fórmula'!J79,56))</f>
        <v>4.23</v>
      </c>
      <c r="FV79" s="119">
        <f t="array" ref="FV79">VARP(IF(INDEX(properties!A$1:CB$87,'Fórmula'!B79,56)&lt;&gt;"",INDEX(properties!A$1:CB$87,'Fórmula'!B79,56)),IF(INDEX(properties!A$1:CB$87,'Fórmula'!D79,56)&lt;&gt;"",INDEX(properties!A$1:CB$87,'Fórmula'!D79,56)),IF(INDEX(properties!A$1:CB$87,'Fórmula'!F79,56)&lt;&gt;"",INDEX(properties!A$1:CB$87,'Fórmula'!F79,56)),IF(INDEX(properties!A$1:CB$87,'Fórmula'!H79,56)&lt;&gt;"",INDEX(properties!A$1:CB$87,'Fórmula'!H79,56)),IF(INDEX(properties!A$1:CB$87,'Fórmula'!J79,56)&lt;&gt;"",INDEX(properties!A$1:CB$87,'Fórmula'!J79,56)))</f>
        <v>0.113344</v>
      </c>
      <c r="FW79" s="119">
        <f t="array" ref="FW79">MAX(INDEX(properties!A$1:CB$87,'Fórmula'!B79,56),INDEX(properties!A$1:CB$87,'Fórmula'!D79,56),INDEX(properties!A$1:CB$87,'Fórmula'!F79,56),INDEX(properties!A$1:CB$87,'Fórmula'!H79,56),INDEX(properties!A$1:CB$87,'Fórmula'!J79,56))</f>
        <v>0.92</v>
      </c>
      <c r="FX79" s="119">
        <f t="array" ref="FX79">MIN(IF(INDEX(properties!A$1:CB$87,'Fórmula'!B79,56)=0,10^6,INDEX(properties!A$1:CB$87,'Fórmula'!B79,56)),IF(INDEX(properties!A$1:CB$87,'Fórmula'!D79,56)=0,10^6,INDEX(properties!A$1:CB$87,'Fórmula'!D79,56)),IF(INDEX(properties!A$1:CB$87,'Fórmula'!F79,56)=0,10^6,INDEX(properties!A$1:CB$87,'Fórmula'!F79,56)),IF(INDEX(properties!A$1:CB$87,'Fórmula'!H79,56)=0,10^6,INDEX(properties!A$1:CB$87,'Fórmula'!H79,56)),IF(INDEX(properties!A$1:CB$87,'Fórmula'!J79,56)=0,10^6,INDEX(properties!A$1:CB$87,'Fórmula'!J79,56)))</f>
        <v>0.25</v>
      </c>
      <c r="FY79" s="119">
        <f t="shared" si="30"/>
        <v>0.67</v>
      </c>
      <c r="FZ79" s="104">
        <f t="array" ref="FZ79">(('Fórmula'!C79)/('Fórmula'!C79+'Fórmula'!E79+'Fórmula'!G79+'Fórmula'!I79+'Fórmula'!K79))*(INDEX(properties!A$1:CB$87,'Fórmula'!B79,57))+(('Fórmula'!E79)/('Fórmula'!C79+'Fórmula'!E79+'Fórmula'!G79+'Fórmula'!I79+'Fórmula'!K79))*(INDEX(properties!A$1:CB$87,'Fórmula'!D79,57))+(('Fórmula'!G79)/('Fórmula'!C79+'Fórmula'!E79+'Fórmula'!G79+'Fórmula'!I79+'Fórmula'!K79))*(INDEX(properties!A$1:CB$87,'Fórmula'!F79,57))+(('Fórmula'!I79)/('Fórmula'!C79+'Fórmula'!E79+'Fórmula'!G79+'Fórmula'!I79+'Fórmula'!K79))*(INDEX(properties!A$1:CB$87,'Fórmula'!H79,57))+(('Fórmula'!K79)/('Fórmula'!C79+'Fórmula'!E79+'Fórmula'!G79+'Fórmula'!I79+'Fórmula'!K79))*(INDEX(properties!A$1:CB$87,'Fórmula'!J79,57))</f>
        <v>6.86506</v>
      </c>
      <c r="GA79" s="104">
        <f t="array" ref="GA79">'Fórmula'!C79*(INDEX(properties!A$1:CB$87,'Fórmula'!B79,57))+'Fórmula'!E79*(INDEX(properties!A$1:CB$87,'Fórmula'!D79,57))+'Fórmula'!G79*(INDEX(properties!A$1:CB$87,'Fórmula'!F79,57))+'Fórmula'!I79*(INDEX(properties!A$1:CB$87,'Fórmula'!H79,57))+'Fórmula'!K79*(INDEX(properties!A$1:CB$87,'Fórmula'!J79,57))</f>
        <v>41.19036</v>
      </c>
      <c r="GB79" s="104">
        <f t="array" ref="GB79">VARP(IF(INDEX(properties!A$1:CB$87,'Fórmula'!B79,57)&lt;&gt;"",INDEX(properties!A$1:CB$87,'Fórmula'!B79,57)),IF(INDEX(properties!A$1:CB$87,'Fórmula'!D79,57)&lt;&gt;"",INDEX(properties!A$1:CB$87,'Fórmula'!D79,57)),IF(INDEX(properties!A$1:CB$87,'Fórmula'!F79,57)&lt;&gt;"",INDEX(properties!A$1:CB$87,'Fórmula'!F79,57)),IF(INDEX(properties!A$1:CB$87,'Fórmula'!H79,57)&lt;&gt;"",INDEX(properties!A$1:CB$87,'Fórmula'!H79,57)),IF(INDEX(properties!A$1:CB$87,'Fórmula'!J79,57)&lt;&gt;"",INDEX(properties!A$1:CB$87,'Fórmula'!J79,57)))</f>
        <v>152.9046972</v>
      </c>
      <c r="GC79" s="104">
        <f t="array" ref="GC79">MAX(INDEX(properties!A$1:CB$87,'Fórmula'!B79,57),INDEX(properties!A$1:CB$87,'Fórmula'!D79,57),INDEX(properties!A$1:CB$87,'Fórmula'!F79,57),INDEX(properties!A$1:CB$87,'Fórmula'!H79,57),INDEX(properties!A$1:CB$87,'Fórmula'!J79,57))</f>
        <v>32</v>
      </c>
      <c r="GD79" s="104">
        <f t="array" ref="GD79">MIN(IF(INDEX(properties!A$1:CB$87,'Fórmula'!B79,57)=0,10^6,INDEX(properties!A$1:CB$87,'Fórmula'!B79,57)),IF(INDEX(properties!A$1:CB$87,'Fórmula'!D79,57)=0,10^6,INDEX(properties!A$1:CB$87,'Fórmula'!D79,57)),IF(INDEX(properties!A$1:CB$87,'Fórmula'!F79,57)=0,10^6,INDEX(properties!A$1:CB$87,'Fórmula'!F79,57)),IF(INDEX(properties!A$1:CB$87,'Fórmula'!H79,57)=0,10^6,INDEX(properties!A$1:CB$87,'Fórmula'!H79,57)),IF(INDEX(properties!A$1:CB$87,'Fórmula'!J79,57)=0,10^6,INDEX(properties!A$1:CB$87,'Fórmula'!J79,57)))</f>
        <v>0.22259</v>
      </c>
      <c r="GE79" s="104">
        <f t="shared" si="31"/>
        <v>31.77741</v>
      </c>
      <c r="GF79" s="105">
        <f t="array" ref="GF79">(('Fórmula'!C79)/('Fórmula'!C79+'Fórmula'!E79+'Fórmula'!G79+'Fórmula'!I79+'Fórmula'!K79))*(INDEX(properties!A$1:CB$87,'Fórmula'!B79,60))+(('Fórmula'!E79)/('Fórmula'!C79+'Fórmula'!E79+'Fórmula'!G79+'Fórmula'!I79+'Fórmula'!K79))*(INDEX(properties!A$1:CB$87,'Fórmula'!D79,60))+(('Fórmula'!G79)/('Fórmula'!C79+'Fórmula'!E79+'Fórmula'!G79+'Fórmula'!I79+'Fórmula'!K79))*(INDEX(properties!A$1:CB$87,'Fórmula'!F79,60))+(('Fórmula'!I79)/('Fórmula'!C79+'Fórmula'!E79+'Fórmula'!G79+'Fórmula'!I79+'Fórmula'!K79))*(INDEX(properties!A$1:CB$87,'Fórmula'!H79,60))+(('Fórmula'!K79)/('Fórmula'!C79+'Fórmula'!E79+'Fórmula'!G79+'Fórmula'!I79+'Fórmula'!K79))*(INDEX(properties!A$1:CB$87,'Fórmula'!J79,60))</f>
        <v>28.90116</v>
      </c>
      <c r="GG79" s="105">
        <f t="array" ref="GG79">'Fórmula'!C79*(INDEX(properties!A$1:CB$87,'Fórmula'!B79,60))+'Fórmula'!E79*(INDEX(properties!A$1:CB$87,'Fórmula'!D79,60))+'Fórmula'!G79*(INDEX(properties!A$1:CB$87,'Fórmula'!F79,60))+'Fórmula'!I79*(INDEX(properties!A$1:CB$87,'Fórmula'!H79,60))+'Fórmula'!K79*(INDEX(properties!A$1:CB$87,'Fórmula'!J79,60))</f>
        <v>173.40696</v>
      </c>
      <c r="GH79" s="105">
        <f t="array" ref="GH79">VARP(IF(INDEX(properties!A$1:CB$87,'Fórmula'!B79,60)&lt;&gt;"",INDEX(properties!A$1:CB$87,'Fórmula'!B79,60)),IF(INDEX(properties!A$1:CB$87,'Fórmula'!D79,60)&lt;&gt;"",INDEX(properties!A$1:CB$87,'Fórmula'!D79,60)),IF(INDEX(properties!A$1:CB$87,'Fórmula'!F79,60)&lt;&gt;"",INDEX(properties!A$1:CB$87,'Fórmula'!F79,60)),IF(INDEX(properties!A$1:CB$87,'Fórmula'!H79,60)&lt;&gt;"",INDEX(properties!A$1:CB$87,'Fórmula'!H79,60)),IF(INDEX(properties!A$1:CB$87,'Fórmula'!J79,60)&lt;&gt;"",INDEX(properties!A$1:CB$87,'Fórmula'!J79,60)))</f>
        <v>2856.331791</v>
      </c>
      <c r="GI79" s="105">
        <f t="array" ref="GI79">MAX(INDEX(properties!A$1:CB$87,'Fórmula'!B79,60),INDEX(properties!A$1:CB$87,'Fórmula'!D79,60),INDEX(properties!A$1:CB$87,'Fórmula'!F79,60),INDEX(properties!A$1:CB$87,'Fórmula'!H79,60),INDEX(properties!A$1:CB$87,'Fórmula'!J79,60))</f>
        <v>138</v>
      </c>
      <c r="GJ79" s="105">
        <f t="array" ref="GJ79">MIN(IF(INDEX(properties!A$1:CB$87,'Fórmula'!B79,60)=0,10^6,INDEX(properties!A$1:CB$87,'Fórmula'!B79,60)),IF(INDEX(properties!A$1:CB$87,'Fórmula'!D79,60)=0,10^6,INDEX(properties!A$1:CB$87,'Fórmula'!D79,60)),IF(INDEX(properties!A$1:CB$87,'Fórmula'!F79,60)=0,10^6,INDEX(properties!A$1:CB$87,'Fórmula'!F79,60)),IF(INDEX(properties!A$1:CB$87,'Fórmula'!H79,60)=0,10^6,INDEX(properties!A$1:CB$87,'Fórmula'!H79,60)),IF(INDEX(properties!A$1:CB$87,'Fórmula'!J79,60)=0,10^6,INDEX(properties!A$1:CB$87,'Fórmula'!J79,60)))</f>
        <v>0.02674</v>
      </c>
      <c r="GK79" s="105">
        <f t="shared" si="32"/>
        <v>137.97326</v>
      </c>
      <c r="GL79" s="106">
        <f t="array" ref="GL79">(('Fórmula'!C79)/('Fórmula'!C79+'Fórmula'!E79+'Fórmula'!G79+'Fórmula'!I79+'Fórmula'!K79))*(INDEX(properties!A$1:CB$87,'Fórmula'!B79,62))+(('Fórmula'!E79)/('Fórmula'!C79+'Fórmula'!E79+'Fórmula'!G79+'Fórmula'!I79+'Fórmula'!K79))*(INDEX(properties!A$1:CB$87,'Fórmula'!D79,62))+(('Fórmula'!G79)/('Fórmula'!C79+'Fórmula'!E79+'Fórmula'!G79+'Fórmula'!I79+'Fórmula'!K79))*(INDEX(properties!A$1:CB$87,'Fórmula'!F79,62))+(('Fórmula'!I79)/('Fórmula'!C79+'Fórmula'!E79+'Fórmula'!G79+'Fórmula'!I79+'Fórmula'!K79))*(INDEX(properties!A$1:CB$87,'Fórmula'!H79,62))+(('Fórmula'!K79)/('Fórmula'!C79+'Fórmula'!E79+'Fórmula'!G79+'Fórmula'!I79+'Fórmula'!K79))*(INDEX(properties!A$1:CB$87,'Fórmula'!J79,62))</f>
        <v>3.17</v>
      </c>
      <c r="GM79" s="106">
        <f t="array" ref="GM79">'Fórmula'!C79*(INDEX(properties!A$1:CB$87,'Fórmula'!B79,62))+'Fórmula'!E79*(INDEX(properties!A$1:CB$87,'Fórmula'!D79,62))+'Fórmula'!G79*(INDEX(properties!A$1:CB$87,'Fórmula'!F79,62))+'Fórmula'!I79*(INDEX(properties!A$1:CB$87,'Fórmula'!H79,62))+'Fórmula'!K79*(INDEX(properties!A$1:CB$87,'Fórmula'!J79,62))</f>
        <v>19.02</v>
      </c>
      <c r="GN79" s="106">
        <f t="array" ref="GN79">VARP(IF(INDEX(properties!A$1:CB$87,'Fórmula'!B79,62)&lt;&gt;"",INDEX(properties!A$1:CB$87,'Fórmula'!B79,62)),IF(INDEX(properties!A$1:CB$87,'Fórmula'!D79,62)&lt;&gt;"",INDEX(properties!A$1:CB$87,'Fórmula'!D79,62)),IF(INDEX(properties!A$1:CB$87,'Fórmula'!F79,62)&lt;&gt;"",INDEX(properties!A$1:CB$87,'Fórmula'!F79,62)),IF(INDEX(properties!A$1:CB$87,'Fórmula'!H79,62)&lt;&gt;"",INDEX(properties!A$1:CB$87,'Fórmula'!H79,62)),IF(INDEX(properties!A$1:CB$87,'Fórmula'!J79,62)&lt;&gt;"",INDEX(properties!A$1:CB$87,'Fórmula'!J79,62)))</f>
        <v>6.285216</v>
      </c>
      <c r="GO79" s="106">
        <f t="array" ref="GO79">MAX(INDEX(properties!A$1:CB$87,'Fórmula'!B79,62),INDEX(properties!A$1:CB$87,'Fórmula'!D79,62),INDEX(properties!A$1:CB$87,'Fórmula'!F79,62),INDEX(properties!A$1:CB$87,'Fórmula'!H79,62),INDEX(properties!A$1:CB$87,'Fórmula'!J79,62))</f>
        <v>6.82</v>
      </c>
      <c r="GP79" s="106">
        <f t="array" ref="GP79">MIN(IF(INDEX(properties!A$1:CB$87,'Fórmula'!B79,62)=0,10^6,INDEX(properties!A$1:CB$87,'Fórmula'!B79,62)),IF(INDEX(properties!A$1:CB$87,'Fórmula'!D79,62)=0,10^6,INDEX(properties!A$1:CB$87,'Fórmula'!D79,62)),IF(INDEX(properties!A$1:CB$87,'Fórmula'!F79,62)=0,10^6,INDEX(properties!A$1:CB$87,'Fórmula'!F79,62)),IF(INDEX(properties!A$1:CB$87,'Fórmula'!H79,62)=0,10^6,INDEX(properties!A$1:CB$87,'Fórmula'!H79,62)),IF(INDEX(properties!A$1:CB$87,'Fórmula'!J79,62)=0,10^6,INDEX(properties!A$1:CB$87,'Fórmula'!J79,62)))</f>
        <v>1.72</v>
      </c>
      <c r="GQ79" s="106">
        <f t="shared" si="33"/>
        <v>5.1</v>
      </c>
      <c r="GR79" s="106">
        <f>'Fórmula'!Q79</f>
        <v>88</v>
      </c>
      <c r="GS79" s="107">
        <f>'Fórmula'!P79</f>
        <v>2</v>
      </c>
      <c r="GT79" s="113">
        <f>'Fórmula'!O79</f>
        <v>4.69</v>
      </c>
      <c r="GU79" s="114">
        <f>AVERAGE('Fórmula'!R79/'Fórmula'!S79,'Fórmula'!S79/'Fórmula'!T79,'Fórmula'!T79/'Fórmula'!R79)</f>
        <v>1.225776366</v>
      </c>
      <c r="GV79" s="125">
        <f>'Fórmula'!U79</f>
        <v>350.97</v>
      </c>
      <c r="GW79" s="106">
        <f>'Fórmula'!N79</f>
        <v>0.05</v>
      </c>
    </row>
    <row r="80" ht="14.25" customHeight="1">
      <c r="A80" s="99" t="str">
        <f>'Fórmula'!A80</f>
        <v>Gd3Al5O12</v>
      </c>
      <c r="B80" s="100">
        <f t="array" ref="B80">(('Fórmula'!C80)/('Fórmula'!C80+'Fórmula'!E80+'Fórmula'!G80+'Fórmula'!I80+'Fórmula'!K80))*(INDEX(properties!A$1:CB$87,'Fórmula'!B80,3))+(('Fórmula'!E80)/('Fórmula'!C80+'Fórmula'!E80+'Fórmula'!G80+'Fórmula'!I80+'Fórmula'!K80))*(INDEX(properties!A$1:CB$87,'Fórmula'!D80,3))+(('Fórmula'!G80)/('Fórmula'!C80+'Fórmula'!E80+'Fórmula'!G80+'Fórmula'!I80+'Fórmula'!K80))*(INDEX(properties!A$1:CB$87,'Fórmula'!F80,3))+(('Fórmula'!I80)/('Fórmula'!C80+'Fórmula'!E80+'Fórmula'!G80+'Fórmula'!I80+'Fórmula'!K80))*(INDEX(properties!A$1:CB$87,'Fórmula'!H80,3))+(('Fórmula'!K80)/('Fórmula'!C80+'Fórmula'!E80+'Fórmula'!G80+'Fórmula'!I80+'Fórmula'!K80))*(INDEX(properties!A$1:CB$87,'Fórmula'!J80,3))</f>
        <v>39.93252475</v>
      </c>
      <c r="C80" s="101">
        <f t="array" ref="C80">'Fórmula'!C80*(INDEX(properties!A$1:CB$87,'Fórmula'!B80,3))+'Fórmula'!E80*(INDEX(properties!A$1:CB$87,'Fórmula'!D80,3))+'Fórmula'!G80*(INDEX(properties!A$1:CB$87,'Fórmula'!F80,3))+'Fórmula'!I80*(INDEX(properties!A$1:CB$87,'Fórmula'!H80,3))+'Fórmula'!K80*(INDEX(properties!A$1:CB$87,'Fórmula'!J80,3))</f>
        <v>798.650495</v>
      </c>
      <c r="D80" s="101">
        <f t="array" ref="D80">VARP(IF(INDEX(properties!A$1:CB$87,'Fórmula'!B80,3)&lt;&gt;"",INDEX(properties!A$1:CB$87,'Fórmula'!B80,3)),IF(INDEX(properties!A$1:CB$87,'Fórmula'!D80,3)&lt;&gt;"",INDEX(properties!A$1:CB$87,'Fórmula'!D80,3)),IF(INDEX(properties!A$1:CB$87,'Fórmula'!F80,3)&lt;&gt;"",INDEX(properties!A$1:CB$87,'Fórmula'!F80,3)),IF(INDEX(properties!A$1:CB$87,'Fórmula'!H80,3)&lt;&gt;"",INDEX(properties!A$1:CB$87,'Fórmula'!H80,3)),IF(INDEX(properties!A$1:CB$87,'Fórmula'!J80,3)&lt;&gt;"",INDEX(properties!A$1:CB$87,'Fórmula'!J80,3)))</f>
        <v>3538.612192</v>
      </c>
      <c r="E80" s="101">
        <f t="array" ref="E80">MAX(INDEX(properties!A$1:CB$87,'Fórmula'!B80,3),INDEX(properties!A$1:CB$87,'Fórmula'!D80,3),INDEX(properties!A$1:CB$87,'Fórmula'!F80,3),INDEX(properties!A$1:CB$87,'Fórmula'!H80,3),INDEX(properties!A$1:CB$87,'Fórmula'!J80,3))</f>
        <v>157.25</v>
      </c>
      <c r="F80" s="101">
        <f t="array" ref="F80">MIN(IF(INDEX(properties!A$1:CB$87,'Fórmula'!B80,3)=0,10^6,INDEX(properties!A$1:CB$87,'Fórmula'!B80,3)),IF(INDEX(properties!A$1:CB$87,'Fórmula'!D80,3)=0,10^6,INDEX(properties!A$1:CB$87,'Fórmula'!D80,3)),IF(INDEX(properties!A$1:CB$87,'Fórmula'!F80,3)=0,10^6,INDEX(properties!A$1:CB$87,'Fórmula'!F80,3)),IF(INDEX(properties!A$1:CB$87,'Fórmula'!H80,3)=0,10^6,INDEX(properties!A$1:CB$87,'Fórmula'!H80,3)),IF(INDEX(properties!A$1:CB$87,'Fórmula'!J80,3)=0,10^6,INDEX(properties!A$1:CB$87,'Fórmula'!J80,3)))</f>
        <v>15.9994</v>
      </c>
      <c r="G80" s="101">
        <f t="shared" si="1"/>
        <v>141.2506</v>
      </c>
      <c r="H80" s="102">
        <f t="array" ref="H80">(('Fórmula'!C80)/('Fórmula'!C80+'Fórmula'!E80+'Fórmula'!G80+'Fórmula'!I80+'Fórmula'!K80))*(INDEX(properties!A$1:CB$87,'Fórmula'!B80,4))+(('Fórmula'!E80)/('Fórmula'!C80+'Fórmula'!E80+'Fórmula'!G80+'Fórmula'!I80+'Fórmula'!K80))*(INDEX(properties!A$1:CB$87,'Fórmula'!D80,4))+(('Fórmula'!G80)/('Fórmula'!C80+'Fórmula'!E80+'Fórmula'!G80+'Fórmula'!I80+'Fórmula'!K80))*(INDEX(properties!A$1:CB$87,'Fórmula'!F80,4))+(('Fórmula'!I80)/('Fórmula'!C80+'Fórmula'!E80+'Fórmula'!G80+'Fórmula'!I80+'Fórmula'!K80))*(INDEX(properties!A$1:CB$87,'Fórmula'!H80,4))+(('Fórmula'!K80)/('Fórmula'!C80+'Fórmula'!E80+'Fórmula'!G80+'Fórmula'!I80+'Fórmula'!K80))*(INDEX(properties!A$1:CB$87,'Fórmula'!J80,4))</f>
        <v>17.65</v>
      </c>
      <c r="I80" s="102">
        <f t="array" ref="I80">'Fórmula'!C80*(INDEX(properties!A$1:CB$87,'Fórmula'!B80,4))+'Fórmula'!E80*(INDEX(properties!A$1:CB$87,'Fórmula'!D80,4))+'Fórmula'!G80*(INDEX(properties!A$1:CB$87,'Fórmula'!F80,4))+'Fórmula'!I80*(INDEX(properties!A$1:CB$87,'Fórmula'!H80,4))+'Fórmula'!K80*(INDEX(properties!A$1:CB$87,'Fórmula'!J80,4))</f>
        <v>353</v>
      </c>
      <c r="J80" s="102">
        <f t="array" ref="J80">VARP(IF(INDEX(properties!A$1:CB$87,'Fórmula'!B80,4)&lt;&gt;"",INDEX(properties!A$1:CB$87,'Fórmula'!B80,4)),IF(INDEX(properties!A$1:CB$87,'Fórmula'!D80,4)&lt;&gt;"",INDEX(properties!A$1:CB$87,'Fórmula'!D80,4)),IF(INDEX(properties!A$1:CB$87,'Fórmula'!F80,4)&lt;&gt;"",INDEX(properties!A$1:CB$87,'Fórmula'!F80,4)),IF(INDEX(properties!A$1:CB$87,'Fórmula'!H80,4)&lt;&gt;"",INDEX(properties!A$1:CB$87,'Fórmula'!H80,4)),IF(INDEX(properties!A$1:CB$87,'Fórmula'!J80,4)&lt;&gt;"",INDEX(properties!A$1:CB$87,'Fórmula'!J80,4)))</f>
        <v>576.8</v>
      </c>
      <c r="K80" s="102">
        <f t="array" ref="K80">MAX(INDEX(properties!A$1:CB$87,'Fórmula'!B80,4),INDEX(properties!A$1:CB$87,'Fórmula'!D80,4),INDEX(properties!A$1:CB$87,'Fórmula'!F80,4),INDEX(properties!A$1:CB$87,'Fórmula'!H80,4),INDEX(properties!A$1:CB$87,'Fórmula'!J80,4))</f>
        <v>64</v>
      </c>
      <c r="L80" s="102">
        <f t="array" ref="L80">MIN(IF(INDEX(properties!A$1:CB$87,'Fórmula'!B80,4)=0,10^6,INDEX(properties!A$1:CB$87,'Fórmula'!B80,4)),IF(INDEX(properties!A$1:CB$87,'Fórmula'!D80,4)=0,10^6,INDEX(properties!A$1:CB$87,'Fórmula'!D80,4)),IF(INDEX(properties!A$1:CB$87,'Fórmula'!F80,4)=0,10^6,INDEX(properties!A$1:CB$87,'Fórmula'!F80,4)),IF(INDEX(properties!A$1:CB$87,'Fórmula'!H80,4)=0,10^6,INDEX(properties!A$1:CB$87,'Fórmula'!H80,4)),IF(INDEX(properties!A$1:CB$87,'Fórmula'!J80,4)=0,10^6,INDEX(properties!A$1:CB$87,'Fórmula'!J80,4)))</f>
        <v>8</v>
      </c>
      <c r="M80" s="102">
        <f t="shared" si="2"/>
        <v>56</v>
      </c>
      <c r="N80" s="103">
        <f t="array" ref="N80">(('Fórmula'!C80)/('Fórmula'!C80+'Fórmula'!E80+'Fórmula'!G80+'Fórmula'!I80+'Fórmula'!K80))*(INDEX(properties!A$1:CB$87,'Fórmula'!B80,5))+(('Fórmula'!E80)/('Fórmula'!C80+'Fórmula'!E80+'Fórmula'!G80+'Fórmula'!I80+'Fórmula'!K80))*(INDEX(properties!A$1:CB$87,'Fórmula'!D80,5))+(('Fórmula'!G80)/('Fórmula'!C80+'Fórmula'!E80+'Fórmula'!G80+'Fórmula'!I80+'Fórmula'!K80))*(INDEX(properties!A$1:CB$87,'Fórmula'!F80,5))+(('Fórmula'!I80)/('Fórmula'!C80+'Fórmula'!E80+'Fórmula'!G80+'Fórmula'!I80+'Fórmula'!K80))*(INDEX(properties!A$1:CB$87,'Fórmula'!H80,5))+(('Fórmula'!K80)/('Fórmula'!C80+'Fórmula'!E80+'Fórmula'!G80+'Fórmula'!I80+'Fórmula'!K80))*(INDEX(properties!A$1:CB$87,'Fórmula'!J80,5))</f>
        <v>2.85</v>
      </c>
      <c r="O80" s="103">
        <f t="array" ref="O80">'Fórmula'!C80*(INDEX(properties!A$1:CB$87,'Fórmula'!B80,5))+'Fórmula'!E80*(INDEX(properties!A$1:CB$87,'Fórmula'!D80,5))+'Fórmula'!G80*(INDEX(properties!A$1:CB$87,'Fórmula'!F80,5))+'Fórmula'!I80*(INDEX(properties!A$1:CB$87,'Fórmula'!H80,5))+'Fórmula'!K80*(INDEX(properties!A$1:CB$87,'Fórmula'!J80,5))</f>
        <v>57</v>
      </c>
      <c r="P80" s="103">
        <f t="array" ref="P80">VARP(IF(INDEX(properties!A$1:CB$87,'Fórmula'!B80,5)&lt;&gt;"",INDEX(properties!A$1:CB$87,'Fórmula'!B80,5)),IF(INDEX(properties!A$1:CB$87,'Fórmula'!D80,5)&lt;&gt;"",INDEX(properties!A$1:CB$87,'Fórmula'!D80,5)),IF(INDEX(properties!A$1:CB$87,'Fórmula'!F80,5)&lt;&gt;"",INDEX(properties!A$1:CB$87,'Fórmula'!F80,5)),IF(INDEX(properties!A$1:CB$87,'Fórmula'!H80,5)&lt;&gt;"",INDEX(properties!A$1:CB$87,'Fórmula'!H80,5)),IF(INDEX(properties!A$1:CB$87,'Fórmula'!J80,5)&lt;&gt;"",INDEX(properties!A$1:CB$87,'Fórmula'!J80,5)))</f>
        <v>4.96</v>
      </c>
      <c r="Q80" s="103">
        <f t="array" ref="Q80">MAX(INDEX(properties!A$1:CB$87,'Fórmula'!B80,5),INDEX(properties!A$1:CB$87,'Fórmula'!D80,5),INDEX(properties!A$1:CB$87,'Fórmula'!F80,5),INDEX(properties!A$1:CB$87,'Fórmula'!H80,5),INDEX(properties!A$1:CB$87,'Fórmula'!J80,5))</f>
        <v>6</v>
      </c>
      <c r="R80" s="103">
        <f t="array" ref="R80">MIN(IF(INDEX(properties!A$1:CB$87,'Fórmula'!B80,5)=0,10^6,INDEX(properties!A$1:CB$87,'Fórmula'!B80,5)),IF(INDEX(properties!A$1:CB$87,'Fórmula'!D80,5)=0,10^6,INDEX(properties!A$1:CB$87,'Fórmula'!D80,5)),IF(INDEX(properties!A$1:CB$87,'Fórmula'!F80,5)=0,10^6,INDEX(properties!A$1:CB$87,'Fórmula'!F80,5)),IF(INDEX(properties!A$1:CB$87,'Fórmula'!H80,5)=0,10^6,INDEX(properties!A$1:CB$87,'Fórmula'!H80,5)),IF(INDEX(properties!A$1:CB$87,'Fórmula'!J80,5)=0,10^6,INDEX(properties!A$1:CB$87,'Fórmula'!J80,5)))</f>
        <v>2</v>
      </c>
      <c r="S80" s="103">
        <f t="shared" si="3"/>
        <v>4</v>
      </c>
      <c r="T80" s="104">
        <f t="array" ref="T80">(('Fórmula'!C80)/('Fórmula'!C80+'Fórmula'!E80+'Fórmula'!G80+'Fórmula'!I80+'Fórmula'!K80))*(INDEX(properties!A$1:CB$87,'Fórmula'!B80,6))+(('Fórmula'!E80)/('Fórmula'!C80+'Fórmula'!E80+'Fórmula'!G80+'Fórmula'!I80+'Fórmula'!K80))*(INDEX(properties!A$1:CB$87,'Fórmula'!D80,6))+(('Fórmula'!G80)/('Fórmula'!C80+'Fórmula'!E80+'Fórmula'!G80+'Fórmula'!I80+'Fórmula'!K80))*(INDEX(properties!A$1:CB$87,'Fórmula'!F80,6))+(('Fórmula'!I80)/('Fórmula'!C80+'Fórmula'!E80+'Fórmula'!G80+'Fórmula'!I80+'Fórmula'!K80))*(INDEX(properties!A$1:CB$87,'Fórmula'!H80,6))+(('Fórmula'!K80)/('Fórmula'!C80+'Fórmula'!E80+'Fórmula'!G80+'Fórmula'!I80+'Fórmula'!K80))*(INDEX(properties!A$1:CB$87,'Fórmula'!J80,6))</f>
        <v>13.3</v>
      </c>
      <c r="U80" s="104">
        <f t="array" ref="U80">'Fórmula'!C80*(INDEX(properties!A$1:CB$87,'Fórmula'!B80,6))+'Fórmula'!E80*(INDEX(properties!A$1:CB$87,'Fórmula'!D80,6))+'Fórmula'!G80*(INDEX(properties!A$1:CB$87,'Fórmula'!F80,6))+'Fórmula'!I80*(INDEX(properties!A$1:CB$87,'Fórmula'!H80,6))+'Fórmula'!K80*(INDEX(properties!A$1:CB$87,'Fórmula'!J80,6))</f>
        <v>266</v>
      </c>
      <c r="V80" s="103">
        <f t="array" ref="V80">VARP(IF(INDEX(properties!A$1:CB$87,'Fórmula'!B80,6)&lt;&gt;"",INDEX(properties!A$1:CB$87,'Fórmula'!B80,6)),IF(INDEX(properties!A$1:CB$87,'Fórmula'!D80,6)&lt;&gt;"",INDEX(properties!A$1:CB$87,'Fórmula'!D80,6)),IF(INDEX(properties!A$1:CB$87,'Fórmula'!F80,6)&lt;&gt;"",INDEX(properties!A$1:CB$87,'Fórmula'!F80,6)),IF(INDEX(properties!A$1:CB$87,'Fórmula'!H80,6)&lt;&gt;"",INDEX(properties!A$1:CB$87,'Fórmula'!H80,6)),IF(INDEX(properties!A$1:CB$87,'Fórmula'!J80,6)&lt;&gt;"",INDEX(properties!A$1:CB$87,'Fórmula'!J80,6)))</f>
        <v>45.84</v>
      </c>
      <c r="W80" s="104">
        <f t="array" ref="W80">MAX(INDEX(properties!A$1:CB$87,'Fórmula'!B80,6),INDEX(properties!A$1:CB$87,'Fórmula'!D80,6),INDEX(properties!A$1:CB$87,'Fórmula'!F80,6),INDEX(properties!A$1:CB$87,'Fórmula'!H80,4),INDEX(properties!A$1:CB$87,'Fórmula'!J80,6))</f>
        <v>16</v>
      </c>
      <c r="X80" s="104">
        <f t="array" ref="X80">MIN(IF(INDEX(properties!A$1:CB$87,'Fórmula'!B80,6)=0,10^6,INDEX(properties!A$1:CB$87,'Fórmula'!B80,6)),IF(INDEX(properties!A$1:CB$87,'Fórmula'!D80,6)=0,10^6,INDEX(properties!A$1:CB$87,'Fórmula'!D80,6)),IF(INDEX(properties!A$1:CB$87,'Fórmula'!F80,6)=0,10^6,INDEX(properties!A$1:CB$87,'Fórmula'!F80,6)),IF(INDEX(properties!A$1:CB$87,'Fórmula'!H80,6)=0,10^6,INDEX(properties!A$1:CB$87,'Fórmula'!H80,6)),IF(INDEX(properties!A$1:CB$87,'Fórmula'!J80,6)=0,10^6,INDEX(properties!A$1:CB$87,'Fórmula'!J80,6)))</f>
        <v>3</v>
      </c>
      <c r="Y80" s="104">
        <f t="shared" si="4"/>
        <v>13</v>
      </c>
      <c r="Z80" s="105">
        <f t="array" ref="Z80">(('Fórmula'!C80)/('Fórmula'!C80+'Fórmula'!E80+'Fórmula'!G80+'Fórmula'!I80+'Fórmula'!K80))*(INDEX(properties!A$1:CB$87,'Fórmula'!B80,9))+(('Fórmula'!E80)/('Fórmula'!C80+'Fórmula'!E80+'Fórmula'!G80+'Fórmula'!I80+'Fórmula'!K80))*(INDEX(properties!A$1:CB$87,'Fórmula'!D80,9))+(('Fórmula'!G80)/('Fórmula'!C80+'Fórmula'!E80+'Fórmula'!G80+'Fórmula'!I80+'Fórmula'!K80))*(INDEX(properties!A$1:CB$87,'Fórmula'!F80,9))+(('Fórmula'!I80)/('Fórmula'!C80+'Fórmula'!E80+'Fórmula'!G80+'Fórmula'!I80+'Fórmula'!K80))*(INDEX(properties!A$1:CB$87,'Fórmula'!H80,9))+(('Fórmula'!K80)/('Fórmula'!C80+'Fórmula'!E80+'Fórmula'!G80+'Fórmula'!I80+'Fórmula'!K80))*(INDEX(properties!A$1:CB$87,'Fórmula'!J80,9))</f>
        <v>74.5</v>
      </c>
      <c r="AA80" s="105">
        <f t="array" ref="AA80">'Fórmula'!C80*(INDEX(properties!A$1:CB$87,'Fórmula'!B80,9))+'Fórmula'!E80*(INDEX(properties!A$1:CB$87,'Fórmula'!D80,9))+'Fórmula'!G80*(INDEX(properties!A$1:CB$87,'Fórmula'!F80,9))+'Fórmula'!I80*(INDEX(properties!A$1:CB$87,'Fórmula'!H80,9))+'Fórmula'!K80*(INDEX(properties!A$1:CB$87,'Fórmula'!J80,9))</f>
        <v>1490</v>
      </c>
      <c r="AB80" s="105">
        <f t="array" ref="AB80">VARP(IF(INDEX(properties!A$1:CB$87,'Fórmula'!B80,9)&lt;&gt;"",INDEX(properties!A$1:CB$87,'Fórmula'!B80,9)),IF(INDEX(properties!A$1:CB$87,'Fórmula'!D80,9)&lt;&gt;"",INDEX(properties!A$1:CB$87,'Fórmula'!D80,9)),IF(INDEX(properties!A$1:CB$87,'Fórmula'!F80,9)&lt;&gt;"",INDEX(properties!A$1:CB$87,'Fórmula'!F80,9)),IF(INDEX(properties!A$1:CB$87,'Fórmula'!H80,9)&lt;&gt;"",INDEX(properties!A$1:CB$87,'Fórmula'!H80,9)),IF(INDEX(properties!A$1:CB$87,'Fórmula'!J80,9)&lt;&gt;"",INDEX(properties!A$1:CB$87,'Fórmula'!J80,9)))</f>
        <v>1326.64</v>
      </c>
      <c r="AC80" s="105">
        <f t="array" ref="AC80">MAX(INDEX(properties!A$1:CB$87,'Fórmula'!B80,9),INDEX(properties!A$1:CB$87,'Fórmula'!D80,9),INDEX(properties!A$1:CB$87,'Fórmula'!F80,9),INDEX(properties!A$1:CB$87,'Fórmula'!H80,9),INDEX(properties!A$1:CB$87,'Fórmula'!J80,9))</f>
        <v>87</v>
      </c>
      <c r="AD80" s="105">
        <f t="array" ref="AD80">MIN(IF(INDEX(properties!A$1:CB$87,'Fórmula'!B80,9)=0,10^6,INDEX(properties!A$1:CB$87,'Fórmula'!B80,9)),IF(INDEX(properties!A$1:CB$87,'Fórmula'!D80,9)=0,10^6,INDEX(properties!A$1:CB$87,'Fórmula'!D80,9)),IF(INDEX(properties!A$1:CB$87,'Fórmula'!F80,9)=0,10^6,INDEX(properties!A$1:CB$87,'Fórmula'!F80,9)),IF(INDEX(properties!A$1:CB$87,'Fórmula'!H80,9)=0,10^6,INDEX(properties!A$1:CB$87,'Fórmula'!H80,9)),IF(INDEX(properties!A$1:CB$87,'Fórmula'!J80,9)=0,10^6,INDEX(properties!A$1:CB$87,'Fórmula'!J80,9)))</f>
        <v>27</v>
      </c>
      <c r="AE80" s="105">
        <f t="shared" si="5"/>
        <v>60</v>
      </c>
      <c r="AF80" s="106">
        <f t="array" ref="AF80">(('Fórmula'!C80)/('Fórmula'!C80+'Fórmula'!E80+'Fórmula'!G80+'Fórmula'!I80+'Fórmula'!K80))*(INDEX(properties!A$1:CB$87,'Fórmula'!B80,10))+(('Fórmula'!E80)/('Fórmula'!C80+'Fórmula'!E80+'Fórmula'!G80+'Fórmula'!I80+'Fórmula'!K80))*(INDEX(properties!A$1:CB$87,'Fórmula'!D80,10))+(('Fórmula'!G80)/('Fórmula'!C80+'Fórmula'!E80+'Fórmula'!G80+'Fórmula'!I80+'Fórmula'!K80))*(INDEX(properties!A$1:CB$87,'Fórmula'!F80,10))+(('Fórmula'!I80)/('Fórmula'!C80+'Fórmula'!E80+'Fórmula'!G80+'Fórmula'!I80+'Fórmula'!K80))*(INDEX(properties!A$1:CB$87,'Fórmula'!H80,10))+(('Fórmula'!K80)/('Fórmula'!C80+'Fórmula'!E80+'Fórmula'!G80+'Fórmula'!I80+'Fórmula'!K80))*(INDEX(properties!A$1:CB$87,'Fórmula'!J80,10))</f>
        <v>5.9</v>
      </c>
      <c r="AG80" s="106">
        <f t="array" ref="AG80">'Fórmula'!C80*(INDEX(properties!A$1:CB$87,'Fórmula'!B80,10))+'Fórmula'!E80*(INDEX(properties!A$1:CB$87,'Fórmula'!D80,10))+'Fórmula'!G80*(INDEX(properties!A$1:CB$87,'Fórmula'!F80,10))+'Fórmula'!I80*(INDEX(properties!A$1:CB$87,'Fórmula'!H80,10))+'Fórmula'!K80*(INDEX(properties!A$1:CB$87,'Fórmula'!J80,10))</f>
        <v>118</v>
      </c>
      <c r="AH80" s="106">
        <f t="array" ref="AH80">VARP(IF(INDEX(properties!A$1:CB$87,'Fórmula'!B80,10)&lt;&gt;"",INDEX(properties!A$1:CB$87,'Fórmula'!B80,10)),IF(INDEX(properties!A$1:CB$87,'Fórmula'!D80,10)&lt;&gt;"",INDEX(properties!A$1:CB$87,'Fórmula'!D80,10)),IF(INDEX(properties!A$1:CB$87,'Fórmula'!F80,10)&lt;&gt;"",INDEX(properties!A$1:CB$87,'Fórmula'!F80,10)),IF(INDEX(properties!A$1:CB$87,'Fórmula'!H80,10)&lt;&gt;"",INDEX(properties!A$1:CB$87,'Fórmula'!H80,10)),IF(INDEX(properties!A$1:CB$87,'Fórmula'!J80,10)&lt;&gt;"",INDEX(properties!A$1:CB$87,'Fórmula'!J80,10)))</f>
        <v>7.6</v>
      </c>
      <c r="AI80" s="106">
        <f t="array" ref="AI80">MAX(INDEX(properties!A$1:CB$87,'Fórmula'!B80,10),INDEX(properties!A$1:CB$87,'Fórmula'!D80,10),INDEX(properties!A$1:CB$87,'Fórmula'!F80,10),INDEX(properties!A$1:CB$87,'Fórmula'!H80,10),INDEX(properties!A$1:CB$87,'Fórmula'!J80,10))</f>
        <v>7</v>
      </c>
      <c r="AJ80" s="106">
        <f t="array" ref="AJ80">MIN(IF(INDEX(properties!A$1:CB$87,'Fórmula'!B80,10)=0,10^6,INDEX(properties!A$1:CB$87,'Fórmula'!B80,10)),IF(INDEX(properties!A$1:CB$87,'Fórmula'!D80,10)=0,10^6,INDEX(properties!A$1:CB$87,'Fórmula'!D80,10)),IF(INDEX(properties!A$1:CB$87,'Fórmula'!F80,10)=0,10^6,INDEX(properties!A$1:CB$87,'Fórmula'!F80,10)),IF(INDEX(properties!A$1:CB$87,'Fórmula'!H80,10)=0,10^6,INDEX(properties!A$1:CB$87,'Fórmula'!H80,10)),IF(INDEX(properties!A$1:CB$87,'Fórmula'!J80,10)=0,10^6,INDEX(properties!A$1:CB$87,'Fórmula'!J80,10)))</f>
        <v>3</v>
      </c>
      <c r="AK80" s="106">
        <f t="shared" si="6"/>
        <v>4</v>
      </c>
      <c r="AL80" s="107">
        <f t="array" ref="AL80">(('Fórmula'!C80)/('Fórmula'!C80+'Fórmula'!E80+'Fórmula'!G80+'Fórmula'!I80+'Fórmula'!K80))*(INDEX(properties!A$1:CB$87,'Fórmula'!B80,11))+(('Fórmula'!E80)/('Fórmula'!C80+'Fórmula'!E80+'Fórmula'!G80+'Fórmula'!I80+'Fórmula'!K80))*(INDEX(properties!A$1:CB$87,'Fórmula'!D80,11))+(('Fórmula'!G80)/('Fórmula'!C80+'Fórmula'!E80+'Fórmula'!G80+'Fórmula'!I80+'Fórmula'!K80))*(INDEX(properties!A$1:CB$87,'Fórmula'!F80,11))+(('Fórmula'!I80)/('Fórmula'!C80+'Fórmula'!E80+'Fórmula'!G80+'Fórmula'!I80+'Fórmula'!K80))*(INDEX(properties!A$1:CB$87,'Fórmula'!H80,11))+(('Fórmula'!K80)/('Fórmula'!C80+'Fórmula'!E80+'Fórmula'!G80+'Fórmula'!I80+'Fórmula'!K80))*(INDEX(properties!A$1:CB$87,'Fórmula'!J80,11))</f>
        <v>2</v>
      </c>
      <c r="AM80" s="107">
        <f t="array" ref="AM80">'Fórmula'!C80*(INDEX(properties!A$1:CB$87,'Fórmula'!B80,11))+'Fórmula'!E80*(INDEX(properties!A$1:CB$87,'Fórmula'!D80,11))+'Fórmula'!G80*(INDEX(properties!A$1:CB$87,'Fórmula'!F80,11))+'Fórmula'!I80*(INDEX(properties!A$1:CB$87,'Fórmula'!H80,11))+'Fórmula'!K80*(INDEX(properties!A$1:CB$87,'Fórmula'!J80,11))</f>
        <v>40</v>
      </c>
      <c r="AN80" s="107">
        <f t="array" ref="AN80">VARP(IF(INDEX(properties!A$1:CB$87,'Fórmula'!B80,11)&lt;&gt;"",INDEX(properties!A$1:CB$87,'Fórmula'!B80,11)),IF(INDEX(properties!A$1:CB$87,'Fórmula'!D80,11)&lt;&gt;"",INDEX(properties!A$1:CB$87,'Fórmula'!D80,11)),IF(INDEX(properties!A$1:CB$87,'Fórmula'!F80,11)&lt;&gt;"",INDEX(properties!A$1:CB$87,'Fórmula'!F80,11)),IF(INDEX(properties!A$1:CB$87,'Fórmula'!H80,11)&lt;&gt;"",INDEX(properties!A$1:CB$87,'Fórmula'!H80,11)),IF(INDEX(properties!A$1:CB$87,'Fórmula'!J80,11)&lt;&gt;"",INDEX(properties!A$1:CB$87,'Fórmula'!J80,11)))</f>
        <v>0.96</v>
      </c>
      <c r="AO80" s="107">
        <f t="array" ref="AO80">MAX(INDEX(properties!A$1:CB$87,'Fórmula'!B80,11),INDEX(properties!A$1:CB$87,'Fórmula'!D80,11),INDEX(properties!A$1:CB$87,'Fórmula'!F80,11),INDEX(properties!A$1:CB$87,'Fórmula'!H80,11),INDEX(properties!A$1:CB$87,'Fórmula'!J80,11))</f>
        <v>2</v>
      </c>
      <c r="AP80" s="107">
        <f t="array" ref="AP80">MIN(IF('Fórmula'!B80=87,10^6,INDEX(properties!A$1:CB$87,'Fórmula'!B80,11)),IF(('Fórmula'!D80)=87,10^6,INDEX(properties!A$1:CB$87,'Fórmula'!D80,11)),IF(('Fórmula'!F80)=87,10^6,INDEX(properties!A$1:CB$87,'Fórmula'!F80,11)),IF(('Fórmula'!H80)=87,10^6,INDEX(properties!A$1:CB$87,'Fórmula'!H80,11)),IF('Fórmula'!J80=87,10^6,INDEX(properties!A$1:CB$87,'Fórmula'!J80,11)))</f>
        <v>2</v>
      </c>
      <c r="AQ80" s="107">
        <f t="shared" si="7"/>
        <v>0</v>
      </c>
      <c r="AR80" s="108">
        <f t="array" ref="AR80">(('Fórmula'!C80)/('Fórmula'!C80+'Fórmula'!E80+'Fórmula'!G80+'Fórmula'!I80+'Fórmula'!K80))*(INDEX(properties!A$1:CB$87,'Fórmula'!B80,12))+(('Fórmula'!E80)/('Fórmula'!C80+'Fórmula'!E80+'Fórmula'!G80+'Fórmula'!I80+'Fórmula'!K80))*(INDEX(properties!A$1:CB$87,'Fórmula'!D80,12))+(('Fórmula'!G80)/('Fórmula'!C80+'Fórmula'!E80+'Fórmula'!G80+'Fórmula'!I80+'Fórmula'!K80))*(INDEX(properties!A$1:CB$87,'Fórmula'!F80,12))+(('Fórmula'!I80)/('Fórmula'!C80+'Fórmula'!E80+'Fórmula'!G80+'Fórmula'!I80+'Fórmula'!K80))*(INDEX(properties!A$1:CB$87,'Fórmula'!H80,12))+(('Fórmula'!K80)/('Fórmula'!C80+'Fórmula'!E80+'Fórmula'!G80+'Fórmula'!I80+'Fórmula'!K80))*(INDEX(properties!A$1:CB$87,'Fórmula'!J80,12))</f>
        <v>2.65</v>
      </c>
      <c r="AS80" s="108">
        <f t="array" ref="AS80">'Fórmula'!C80*(INDEX(properties!A$1:CB$87,'Fórmula'!B80,12))+'Fórmula'!E80*(INDEX(properties!A$1:CB$87,'Fórmula'!D80,12))+'Fórmula'!G80*(INDEX(properties!A$1:CB$87,'Fórmula'!F80,12))+'Fórmula'!I80*(INDEX(properties!A$1:CB$87,'Fórmula'!H80,12))+'Fórmula'!K80*(INDEX(properties!A$1:CB$87,'Fórmula'!J80,12))</f>
        <v>53</v>
      </c>
      <c r="AT80" s="108">
        <f t="array" ref="AT80">VARP(IF(INDEX(properties!A$1:CB$87,'Fórmula'!B80,12)&lt;&gt;"",INDEX(properties!A$1:CB$87,'Fórmula'!B80,12)),IF(INDEX(properties!A$1:CB$87,'Fórmula'!D80,12)&lt;&gt;"",INDEX(properties!A$1:CB$87,'Fórmula'!D80,12)),IF(INDEX(properties!A$1:CB$87,'Fórmula'!F80,12)&lt;&gt;"",INDEX(properties!A$1:CB$87,'Fórmula'!F80,12)),IF(INDEX(properties!A$1:CB$87,'Fórmula'!H80,12)&lt;&gt;"",INDEX(properties!A$1:CB$87,'Fórmula'!H80,12)),IF(INDEX(properties!A$1:CB$87,'Fórmula'!J80,12)&lt;&gt;"",INDEX(properties!A$1:CB$87,'Fórmula'!J80,12)))</f>
        <v>2.4</v>
      </c>
      <c r="AU80" s="108">
        <f t="array" ref="AU80">MAX(INDEX(properties!A$1:CB$87,'Fórmula'!B80,12),INDEX(properties!A$1:CB$87,'Fórmula'!D80,12),INDEX(properties!A$1:CB$87,'Fórmula'!F80,12),INDEX(properties!A$1:CB$87,'Fórmula'!H80,12),INDEX(properties!A$1:CB$87,'Fórmula'!J80,12))</f>
        <v>4</v>
      </c>
      <c r="AV80" s="108">
        <f t="array" ref="AV80">MIN(IF('Fórmula'!B80=87,10^6,INDEX(properties!A$1:CB$87,'Fórmula'!B80,12)),IF(('Fórmula'!D80)=87,10^6,INDEX(properties!A$1:CB$87,'Fórmula'!D80,12)),IF(('Fórmula'!F80)=87,10^6,INDEX(properties!A$1:CB$87,'Fórmula'!F80,12)),IF(('Fórmula'!H80)=87,10^6,INDEX(properties!A$1:CB$87,'Fórmula'!H80,12)),IF('Fórmula'!J80=87,10^6,INDEX(properties!A$1:CB$87,'Fórmula'!J80,12)))</f>
        <v>0</v>
      </c>
      <c r="AW80" s="108">
        <f t="shared" si="8"/>
        <v>4</v>
      </c>
      <c r="AX80" s="109">
        <f t="array" ref="AX80">(('Fórmula'!C80)/('Fórmula'!C80+'Fórmula'!E80+'Fórmula'!G80+'Fórmula'!I80+'Fórmula'!K80))*(INDEX(properties!A$1:CB$87,'Fórmula'!B80,13))+(('Fórmula'!E80)/('Fórmula'!C80+'Fórmula'!E80+'Fórmula'!G80+'Fórmula'!I80+'Fórmula'!K80))*(INDEX(properties!A$1:CB$87,'Fórmula'!D80,13))+(('Fórmula'!G80)/('Fórmula'!C80+'Fórmula'!E80+'Fórmula'!G80+'Fórmula'!I80+'Fórmula'!K80))*(INDEX(properties!A$1:CB$87,'Fórmula'!F80,13))+(('Fórmula'!I80)/('Fórmula'!C80+'Fórmula'!E80+'Fórmula'!G80+'Fórmula'!I80+'Fórmula'!K80))*(INDEX(properties!A$1:CB$87,'Fórmula'!H80,13))+(('Fórmula'!K80)/('Fórmula'!C80+'Fórmula'!E80+'Fórmula'!G80+'Fórmula'!I80+'Fórmula'!K80))*(INDEX(properties!A$1:CB$87,'Fórmula'!J80,13))</f>
        <v>0.15</v>
      </c>
      <c r="AY80" s="109">
        <f t="array" ref="AY80">'Fórmula'!C80*(INDEX(properties!A$1:CB$87,'Fórmula'!B80,13))+'Fórmula'!E80*(INDEX(properties!A$1:CB$87,'Fórmula'!D80,13))+'Fórmula'!G80*(INDEX(properties!A$1:CB$87,'Fórmula'!F80,13))+'Fórmula'!I80*(INDEX(properties!A$1:CB$87,'Fórmula'!H80,13))+'Fórmula'!K80*(INDEX(properties!A$1:CB$87,'Fórmula'!J80,13))</f>
        <v>3</v>
      </c>
      <c r="AZ80" s="109">
        <f t="array" ref="AZ80">VARP(IF(INDEX(properties!A$1:CB$87,'Fórmula'!B80,13)&lt;&gt;"",INDEX(properties!A$1:CB$87,'Fórmula'!B80,13)),IF(INDEX(properties!A$1:CB$87,'Fórmula'!D80,13)&lt;&gt;"",INDEX(properties!A$1:CB$87,'Fórmula'!D80,13)),IF(INDEX(properties!A$1:CB$87,'Fórmula'!F80,13)&lt;&gt;"",INDEX(properties!A$1:CB$87,'Fórmula'!F80,13)),IF(INDEX(properties!A$1:CB$87,'Fórmula'!H80,13)&lt;&gt;"",INDEX(properties!A$1:CB$87,'Fórmula'!H80,13)),IF(INDEX(properties!A$1:CB$87,'Fórmula'!J80,13)&lt;&gt;"",INDEX(properties!A$1:CB$87,'Fórmula'!J80,13)))</f>
        <v>0.16</v>
      </c>
      <c r="BA80" s="109">
        <f t="array" ref="BA80">MAX(INDEX(properties!A$1:CB$87,'Fórmula'!B80,13),INDEX(properties!A$1:CB$87,'Fórmula'!D80,13),INDEX(properties!A$1:CB$87,'Fórmula'!F80,13),INDEX(properties!A$1:CB$87,'Fórmula'!H80,13),INDEX(properties!A$1:CB$87,'Fórmula'!J80,13))</f>
        <v>1</v>
      </c>
      <c r="BB80" s="109">
        <f t="array" ref="BB80">MIN(IF('Fórmula'!B80=87,10^6,INDEX(properties!A$1:CB$87,'Fórmula'!B80,13)),IF(('Fórmula'!D80)=87,10^6,INDEX(properties!A$1:CB$87,'Fórmula'!D80,13)),IF(('Fórmula'!F80)=87,10^6,INDEX(properties!A$1:CB$87,'Fórmula'!F80,13)),IF(('Fórmula'!H80)=87,10^6,INDEX(properties!A$1:CB$87,'Fórmula'!H80,13)),IF('Fórmula'!J80=87,10^6,INDEX(properties!A$1:CB$87,'Fórmula'!J80,13)))</f>
        <v>0</v>
      </c>
      <c r="BC80" s="109">
        <f t="shared" si="9"/>
        <v>1</v>
      </c>
      <c r="BD80" s="110">
        <f t="array" ref="BD80">(('Fórmula'!C80)/('Fórmula'!C80+'Fórmula'!E80+'Fórmula'!G80+'Fórmula'!I80+'Fórmula'!K80))*(INDEX(properties!A$1:CB$87,'Fórmula'!B80,14))+(('Fórmula'!E80)/('Fórmula'!C80+'Fórmula'!E80+'Fórmula'!G80+'Fórmula'!I80+'Fórmula'!K80))*(INDEX(properties!A$1:CB$87,'Fórmula'!D80,14))+(('Fórmula'!G80)/('Fórmula'!C80+'Fórmula'!E80+'Fórmula'!G80+'Fórmula'!I80+'Fórmula'!K80))*(INDEX(properties!A$1:CB$87,'Fórmula'!F80,14))+(('Fórmula'!I80)/('Fórmula'!C80+'Fórmula'!E80+'Fórmula'!G80+'Fórmula'!I80+'Fórmula'!K80))*(INDEX(properties!A$1:CB$87,'Fórmula'!H80,14))+(('Fórmula'!K80)/('Fórmula'!C80+'Fórmula'!E80+'Fórmula'!G80+'Fórmula'!I80+'Fórmula'!K80))*(INDEX(properties!A$1:CB$87,'Fórmula'!J80,14))</f>
        <v>1.05</v>
      </c>
      <c r="BE80" s="110">
        <f t="array" ref="BE80">'Fórmula'!C80*(INDEX(properties!A$1:CB$87,'Fórmula'!B80,14))+'Fórmula'!E80*(INDEX(properties!A$1:CB$87,'Fórmula'!D80,14))+'Fórmula'!G80*(INDEX(properties!A$1:CB$87,'Fórmula'!F80,14))+'Fórmula'!I80*(INDEX(properties!A$1:CB$87,'Fórmula'!H80,14))+'Fórmula'!K80*(INDEX(properties!A$1:CB$87,'Fórmula'!J80,14))</f>
        <v>21</v>
      </c>
      <c r="BF80" s="110">
        <f t="array" ref="BF80">VARP(IF(INDEX(properties!A$1:CB$87,'Fórmula'!B80,14)&lt;&gt;"",INDEX(properties!A$1:CB$87,'Fórmula'!B80,14)),IF(INDEX(properties!A$1:CB$87,'Fórmula'!D80,14)&lt;&gt;"",INDEX(properties!A$1:CB$87,'Fórmula'!D80,14)),IF(INDEX(properties!A$1:CB$87,'Fórmula'!F80,14)&lt;&gt;"",INDEX(properties!A$1:CB$87,'Fórmula'!F80,14)),IF(INDEX(properties!A$1:CB$87,'Fórmula'!H80,14)&lt;&gt;"",INDEX(properties!A$1:CB$87,'Fórmula'!H80,14)),IF(INDEX(properties!A$1:CB$87,'Fórmula'!J80,14)&lt;&gt;"",INDEX(properties!A$1:CB$87,'Fórmula'!J80,14)))</f>
        <v>7.84</v>
      </c>
      <c r="BG80" s="110">
        <f t="array" ref="BG80">MAX(INDEX(properties!A$1:CB$87,'Fórmula'!B80,14),INDEX(properties!A$1:CB$87,'Fórmula'!D80,14),INDEX(properties!A$1:CB$87,'Fórmula'!F80,14),INDEX(properties!A$1:CB$87,'Fórmula'!H80,14),INDEX(properties!A$1:CB$87,'Fórmula'!J80,14))</f>
        <v>7</v>
      </c>
      <c r="BH80" s="110">
        <f t="array" ref="BH80">MIN(IF('Fórmula'!B80=87,10^6,INDEX(properties!A$1:CB$87,'Fórmula'!B80,14)),IF(('Fórmula'!D80)=87,10^6,INDEX(properties!A$1:CB$87,'Fórmula'!D80,14)),IF(('Fórmula'!F80)=87,10^6,INDEX(properties!A$1:CB$87,'Fórmula'!F80,14)),IF(('Fórmula'!H80)=87,10^6,INDEX(properties!A$1:CB$87,'Fórmula'!H80,14)),IF('Fórmula'!J80=87,10^6,INDEX(properties!A$1:CB$87,'Fórmula'!J80,14)))</f>
        <v>0</v>
      </c>
      <c r="BI80" s="110">
        <f t="shared" si="10"/>
        <v>7</v>
      </c>
      <c r="BJ80" s="111">
        <f t="array" ref="BJ80">(('Fórmula'!C80)/('Fórmula'!C80+'Fórmula'!E80+'Fórmula'!G80+'Fórmula'!I80+'Fórmula'!K80))*(INDEX(properties!A$1:CB$87,'Fórmula'!B80,19))+(('Fórmula'!E80)/('Fórmula'!C80+'Fórmula'!E80+'Fórmula'!G80+'Fórmula'!I80+'Fórmula'!K80))*(INDEX(properties!A$1:CB$87,'Fórmula'!D80,19))+(('Fórmula'!G80)/('Fórmula'!C80+'Fórmula'!E80+'Fórmula'!G80+'Fórmula'!I80+'Fórmula'!K80))*(INDEX(properties!A$1:CB$87,'Fórmula'!F80,19))+(('Fórmula'!I80)/('Fórmula'!C80+'Fórmula'!E80+'Fórmula'!G80+'Fórmula'!I80+'Fórmula'!K80))*(INDEX(properties!A$1:CB$87,'Fórmula'!H80,19))+(('Fórmula'!K80)/('Fórmula'!C80+'Fórmula'!E80+'Fórmula'!G80+'Fórmula'!I80+'Fórmula'!K80))*(INDEX(properties!A$1:CB$87,'Fórmula'!J80,19))</f>
        <v>5.85</v>
      </c>
      <c r="BK80" s="111">
        <f t="array" ref="BK80">'Fórmula'!C80*(INDEX(properties!A$1:CB$87,'Fórmula'!B80,19))+'Fórmula'!E80*(INDEX(properties!A$1:CB$87,'Fórmula'!D80,19))+'Fórmula'!G80*(INDEX(properties!A$1:CB$87,'Fórmula'!F80,19))+'Fórmula'!I80*(INDEX(properties!A$1:CB$87,'Fórmula'!H80,19))+'Fórmula'!K80*(INDEX(properties!A$1:CB$87,'Fórmula'!J80,19))</f>
        <v>117</v>
      </c>
      <c r="BL80" s="111">
        <f t="array" ref="BL80">VARP(IF(INDEX(properties!A$1:CB$87,'Fórmula'!B80,19)&lt;&gt;"",INDEX(properties!A$1:CB$87,'Fórmula'!B80,19)),IF(INDEX(properties!A$1:CB$87,'Fórmula'!D80,19)&lt;&gt;"",INDEX(properties!A$1:CB$87,'Fórmula'!D80,19)),IF(INDEX(properties!A$1:CB$87,'Fórmula'!F80,19)&lt;&gt;"",INDEX(properties!A$1:CB$87,'Fórmula'!F80,19)),IF(INDEX(properties!A$1:CB$87,'Fórmula'!H80,19)&lt;&gt;"",INDEX(properties!A$1:CB$87,'Fórmula'!H80,19)),IF(INDEX(properties!A$1:CB$87,'Fórmula'!J80,19)&lt;&gt;"",INDEX(properties!A$1:CB$87,'Fórmula'!J80,19)))</f>
        <v>14.56</v>
      </c>
      <c r="BM80" s="111">
        <f t="array" ref="BM80">MAX(INDEX(properties!A$1:CB$87,'Fórmula'!B80,19),INDEX(properties!A$1:CB$87,'Fórmula'!D80,19),INDEX(properties!A$1:CB$87,'Fórmula'!F80,19),INDEX(properties!A$1:CB$87,'Fórmula'!H80,19),INDEX(properties!A$1:CB$87,'Fórmula'!J80,19))</f>
        <v>10</v>
      </c>
      <c r="BN80" s="111">
        <f t="array" ref="BN80">MIN(IF(INDEX(properties!A$1:CB$87,'Fórmula'!B80,19)=0,10^6,INDEX(properties!A$1:CB$87,'Fórmula'!B80,19)),IF(INDEX(properties!A$1:CB$87,'Fórmula'!D80,19)=0,10^6,INDEX(properties!A$1:CB$87,'Fórmula'!D80,19)),IF(INDEX(properties!A$1:CB$87,'Fórmula'!F80,19)=0,10^6,INDEX(properties!A$1:CB$87,'Fórmula'!F80,19)),IF(INDEX(properties!A$1:CB$87,'Fórmula'!H80,19)=0,10^6,INDEX(properties!A$1:CB$87,'Fórmula'!H80,19)),IF(INDEX(properties!A$1:CB$87,'Fórmula'!J80,19)=0,10^6,INDEX(properties!A$1:CB$87,'Fórmula'!J80,19)))</f>
        <v>3</v>
      </c>
      <c r="BO80" s="111">
        <f t="shared" si="11"/>
        <v>7</v>
      </c>
      <c r="BP80" s="112">
        <f t="array" ref="BP80">(('Fórmula'!C80)/('Fórmula'!C80+'Fórmula'!E80+'Fórmula'!G80+'Fórmula'!I80+'Fórmula'!K80))*(INDEX(properties!A$1:CB$87,'Fórmula'!B80,20))+(('Fórmula'!E80)/('Fórmula'!C80+'Fórmula'!E80+'Fórmula'!G80+'Fórmula'!I80+'Fórmula'!K80))*(INDEX(properties!A$1:CB$87,'Fórmula'!D80,20))+(('Fórmula'!G80)/('Fórmula'!C80+'Fórmula'!E80+'Fórmula'!G80+'Fórmula'!I80+'Fórmula'!K80))*(INDEX(properties!A$1:CB$87,'Fórmula'!F80,20))+(('Fórmula'!I80)/('Fórmula'!C80+'Fórmula'!E80+'Fórmula'!G80+'Fórmula'!I80+'Fórmula'!K80))*(INDEX(properties!A$1:CB$87,'Fórmula'!H80,20))+(('Fórmula'!K80)/('Fórmula'!C80+'Fórmula'!E80+'Fórmula'!G80+'Fórmula'!I80+'Fórmula'!K80))*(INDEX(properties!A$1:CB$87,'Fórmula'!J80,20))</f>
        <v>4.65</v>
      </c>
      <c r="BQ80" s="112">
        <f t="array" ref="BQ80">'Fórmula'!C80*(INDEX(properties!A$1:CB$87,'Fórmula'!B80,20))+'Fórmula'!E80*(INDEX(properties!A$1:CB$87,'Fórmula'!D80,20))+'Fórmula'!G80*(INDEX(properties!A$1:CB$87,'Fórmula'!F80,20))+'Fórmula'!I80*(INDEX(properties!A$1:CB$87,'Fórmula'!H80,20))+'Fórmula'!K80*(INDEX(properties!A$1:CB$87,'Fórmula'!J80,20))</f>
        <v>93</v>
      </c>
      <c r="BR80" s="112">
        <f t="array" ref="BR80">VARP(IF(INDEX(properties!A$1:CB$87,'Fórmula'!B80,20)&lt;&gt;"",INDEX(properties!A$1:CB$87,'Fórmula'!B80,20)),IF(INDEX(properties!A$1:CB$87,'Fórmula'!D80,20)&lt;&gt;"",INDEX(properties!A$1:CB$87,'Fórmula'!D80,20)),IF(INDEX(properties!A$1:CB$87,'Fórmula'!F80,20)&lt;&gt;"",INDEX(properties!A$1:CB$87,'Fórmula'!F80,20)),IF(INDEX(properties!A$1:CB$87,'Fórmula'!H80,20)&lt;&gt;"",INDEX(properties!A$1:CB$87,'Fórmula'!H80,20)),IF(INDEX(properties!A$1:CB$87,'Fórmula'!J80,20)&lt;&gt;"",INDEX(properties!A$1:CB$87,'Fórmula'!J80,20)))</f>
        <v>4.96</v>
      </c>
      <c r="BS80" s="112">
        <f t="array" ref="BS80">MAX(INDEX(properties!A$1:CB$87,'Fórmula'!B80,20),INDEX(properties!A$1:CB$87,'Fórmula'!D80,20),INDEX(properties!A$1:CB$87,'Fórmula'!F80,20),INDEX(properties!A$1:CB$87,'Fórmula'!H80,20),INDEX(properties!A$1:CB$87,'Fórmula'!J80,20))</f>
        <v>6</v>
      </c>
      <c r="BT80" s="112">
        <f t="array" ref="BT80">MIN(IF(INDEX(properties!A$1:CB$87,'Fórmula'!B80,20)=0,10^6,INDEX(properties!A$1:CB$87,'Fórmula'!B80,20)),IF(INDEX(properties!A$1:CB$87,'Fórmula'!D80,20)=0,10^6,INDEX(properties!A$1:CB$87,'Fórmula'!D80,20)),IF(INDEX(properties!A$1:CB$87,'Fórmula'!F80,20)=0,10^6,INDEX(properties!A$1:CB$87,'Fórmula'!F80,20)),IF(INDEX(properties!A$1:CB$87,'Fórmula'!H80,20)=0,10^6,INDEX(properties!A$1:CB$87,'Fórmula'!H80,20)),IF(INDEX(properties!A$1:CB$87,'Fórmula'!J80,20)=0,10^6,INDEX(properties!A$1:CB$87,'Fórmula'!J80,20)))</f>
        <v>2</v>
      </c>
      <c r="BU80" s="112">
        <f t="shared" si="12"/>
        <v>4</v>
      </c>
      <c r="BV80" s="113">
        <f t="array" ref="BV80">(('Fórmula'!C80)/('Fórmula'!C80+'Fórmula'!E80+'Fórmula'!G80+'Fórmula'!I80+'Fórmula'!K80))*(INDEX(properties!A$1:CB$87,'Fórmula'!B80,21))+(('Fórmula'!E80)/('Fórmula'!C80+'Fórmula'!E80+'Fórmula'!G80+'Fórmula'!I80+'Fórmula'!K80))*(INDEX(properties!A$1:CB$87,'Fórmula'!D80,21))+(('Fórmula'!G80)/('Fórmula'!C80+'Fórmula'!E80+'Fórmula'!G80+'Fórmula'!I80+'Fórmula'!K80))*(INDEX(properties!A$1:CB$87,'Fórmula'!F80,21))+(('Fórmula'!I80)/('Fórmula'!C80+'Fórmula'!E80+'Fórmula'!G80+'Fórmula'!I80+'Fórmula'!K80))*(INDEX(properties!A$1:CB$87,'Fórmula'!H80,21))+(('Fórmula'!K80)/('Fórmula'!C80+'Fórmula'!E80+'Fórmula'!G80+'Fórmula'!I80+'Fórmula'!K80))*(INDEX(properties!A$1:CB$87,'Fórmula'!J80,21))</f>
        <v>4.8</v>
      </c>
      <c r="BW80" s="113">
        <f t="array" ref="BW80">'Fórmula'!C80*(INDEX(properties!A$1:CB$87,'Fórmula'!B80,21))+'Fórmula'!E80*(INDEX(properties!A$1:CB$87,'Fórmula'!D80,21))+'Fórmula'!G80*(INDEX(properties!A$1:CB$87,'Fórmula'!F80,21))+'Fórmula'!I80*(INDEX(properties!A$1:CB$87,'Fórmula'!H80,21))+'Fórmula'!K80*(INDEX(properties!A$1:CB$87,'Fórmula'!J80,21))</f>
        <v>96</v>
      </c>
      <c r="BX80" s="113">
        <f t="array" ref="BX80">VARP(IF(INDEX(properties!A$1:CB$87,'Fórmula'!B80,21)&lt;&gt;"",INDEX(properties!A$1:CB$87,'Fórmula'!B80,21)),IF(INDEX(properties!A$1:CB$87,'Fórmula'!D80,21)&lt;&gt;"",INDEX(properties!A$1:CB$87,'Fórmula'!D80,21)),IF(INDEX(properties!A$1:CB$87,'Fórmula'!F80,21)&lt;&gt;"",INDEX(properties!A$1:CB$87,'Fórmula'!F80,21)),IF(INDEX(properties!A$1:CB$87,'Fórmula'!H80,21)&lt;&gt;"",INDEX(properties!A$1:CB$87,'Fórmula'!H80,21)),IF(INDEX(properties!A$1:CB$87,'Fórmula'!J80,21)&lt;&gt;"",INDEX(properties!A$1:CB$87,'Fórmula'!J80,21)))</f>
        <v>5.04</v>
      </c>
      <c r="BY80" s="113">
        <f t="array" ref="BY80">MAX(INDEX(properties!A$1:CB$87,'Fórmula'!B80,21),INDEX(properties!A$1:CB$87,'Fórmula'!D80,21),INDEX(properties!A$1:CB$87,'Fórmula'!F80,21),INDEX(properties!A$1:CB$87,'Fórmula'!H80,21),INDEX(properties!A$1:CB$87,'Fórmula'!J80,21))</f>
        <v>6</v>
      </c>
      <c r="BZ80" s="113">
        <f t="array" ref="BZ80">MIN(IF(INDEX(properties!A$1:CB$87,'Fórmula'!B80,21)=0,10^6,INDEX(properties!A$1:CB$87,'Fórmula'!B80,21)),IF(INDEX(properties!A$1:CB$87,'Fórmula'!D80,21)=0,10^6,INDEX(properties!A$1:CB$87,'Fórmula'!D80,21)),IF(INDEX(properties!A$1:CB$87,'Fórmula'!F80,21)=0,10^6,INDEX(properties!A$1:CB$87,'Fórmula'!F80,21)),IF(INDEX(properties!A$1:CB$87,'Fórmula'!H80,21)=0,10^6,INDEX(properties!A$1:CB$87,'Fórmula'!H80,21)),IF(INDEX(properties!A$1:CB$87,'Fórmula'!J80,21)=0,10^6,INDEX(properties!A$1:CB$87,'Fórmula'!J80,21)))</f>
        <v>3</v>
      </c>
      <c r="CA80" s="113">
        <f t="shared" si="13"/>
        <v>3</v>
      </c>
      <c r="CB80" s="114">
        <f t="array" ref="CB80">(('Fórmula'!C80)/('Fórmula'!C80+'Fórmula'!E80+'Fórmula'!G80+'Fórmula'!I80+'Fórmula'!K80))*(INDEX(properties!A$1:CB$87,'Fórmula'!B80,23))+(('Fórmula'!E80)/('Fórmula'!C80+'Fórmula'!E80+'Fórmula'!G80+'Fórmula'!I80+'Fórmula'!K80))*(INDEX(properties!A$1:CB$87,'Fórmula'!D80,23))+(('Fórmula'!G80)/('Fórmula'!C80+'Fórmula'!E80+'Fórmula'!G80+'Fórmula'!I80+'Fórmula'!K80))*(INDEX(properties!A$1:CB$87,'Fórmula'!F80,23))+(('Fórmula'!I80)/('Fórmula'!C80+'Fórmula'!E80+'Fórmula'!G80+'Fórmula'!I80+'Fórmula'!K80))*(INDEX(properties!A$1:CB$87,'Fórmula'!H80,23))+(('Fórmula'!K80)/('Fórmula'!C80+'Fórmula'!E80+'Fórmula'!G80+'Fórmula'!I80+'Fórmula'!K80))*(INDEX(properties!A$1:CB$87,'Fórmula'!J80,23))</f>
        <v>1.2</v>
      </c>
      <c r="CC80" s="114">
        <f t="array" ref="CC80">'Fórmula'!C80*(INDEX(properties!A$1:CB$87,'Fórmula'!B80,23))+'Fórmula'!E80*(INDEX(properties!A$1:CB$87,'Fórmula'!D80,23))+'Fórmula'!G80*(INDEX(properties!A$1:CB$87,'Fórmula'!F80,23))+'Fórmula'!I80*(INDEX(properties!A$1:CB$87,'Fórmula'!H80,23))+'Fórmula'!K80*(INDEX(properties!A$1:CB$87,'Fórmula'!J80,23))</f>
        <v>24</v>
      </c>
      <c r="CD80" s="114">
        <f t="array" ref="CD80">VARP(IF(INDEX(properties!A$1:CB$87,'Fórmula'!B80,23)&lt;&gt;"",INDEX(properties!A$1:CB$87,'Fórmula'!B80,23)),IF(INDEX(properties!A$1:CB$87,'Fórmula'!D80,23)&lt;&gt;"",INDEX(properties!A$1:CB$87,'Fórmula'!D80,23)),IF(INDEX(properties!A$1:CB$87,'Fórmula'!F80,23)&lt;&gt;"",INDEX(properties!A$1:CB$87,'Fórmula'!F80,23)),IF(INDEX(properties!A$1:CB$87,'Fórmula'!H80,23)&lt;&gt;"",INDEX(properties!A$1:CB$87,'Fórmula'!H80,23)),IF(INDEX(properties!A$1:CB$87,'Fórmula'!J80,23)&lt;&gt;"",INDEX(properties!A$1:CB$87,'Fórmula'!J80,23)))</f>
        <v>2.16</v>
      </c>
      <c r="CE80" s="114">
        <f t="array" ref="CE80">MAX(INDEX(properties!A$1:CB$87,'Fórmula'!B80,23),INDEX(properties!A$1:CB$87,'Fórmula'!D80,23),INDEX(properties!A$1:CB$87,'Fórmula'!F80,23),INDEX(properties!A$1:CB$87,'Fórmula'!H80,23),INDEX(properties!A$1:CB$87,'Fórmula'!J80,23))</f>
        <v>3</v>
      </c>
      <c r="CF80" s="114">
        <f t="array" ref="CF80">MIN(IF('Fórmula'!B80=87,10^6,INDEX(properties!A$1:CB$87,'Fórmula'!B80,23)),IF(('Fórmula'!D80)=87,10^6,INDEX(properties!A$1:CB$87,'Fórmula'!D80,23)),IF(('Fórmula'!F80)=87,10^6,INDEX(properties!A$1:CB$87,'Fórmula'!F80,23)),IF(('Fórmula'!H80)=87,10^6,INDEX(properties!A$1:CB$87,'Fórmula'!H80,23)),IF('Fórmula'!J80=87,10^6,INDEX(properties!A$1:CB$87,'Fórmula'!J80,23)))</f>
        <v>0</v>
      </c>
      <c r="CG80" s="114">
        <f t="shared" si="14"/>
        <v>3</v>
      </c>
      <c r="CH80" s="115">
        <f t="array" ref="CH80">(('Fórmula'!C80)/('Fórmula'!C80+'Fórmula'!E80+'Fórmula'!G80+'Fórmula'!I80+'Fórmula'!K80))*(INDEX(properties!A$1:CB$87,'Fórmula'!B80,26))+(('Fórmula'!E80)/('Fórmula'!C80+'Fórmula'!E80+'Fórmula'!G80+'Fórmula'!I80+'Fórmula'!K80))*(INDEX(properties!A$1:CB$87,'Fórmula'!D80,26))+(('Fórmula'!G80)/('Fórmula'!C80+'Fórmula'!E80+'Fórmula'!G80+'Fórmula'!I80+'Fórmula'!K80))*(INDEX(properties!A$1:CB$87,'Fórmula'!F80,26))+(('Fórmula'!I80)/('Fórmula'!C80+'Fórmula'!E80+'Fórmula'!G80+'Fórmula'!I80+'Fórmula'!K80))*(INDEX(properties!A$1:CB$87,'Fórmula'!H80,26))+(('Fórmula'!K80)/('Fórmula'!C80+'Fórmula'!E80+'Fórmula'!G80+'Fórmula'!I80+'Fórmula'!K80))*(INDEX(properties!A$1:CB$87,'Fórmula'!J80,26))</f>
        <v>10.58978</v>
      </c>
      <c r="CI80" s="115">
        <f t="array" ref="CI80">'Fórmula'!C80*(INDEX(properties!A$1:CB$87,'Fórmula'!B80,26))+'Fórmula'!E80*(INDEX(properties!A$1:CB$87,'Fórmula'!D80,26))+'Fórmula'!G80*(INDEX(properties!A$1:CB$87,'Fórmula'!F80,26))+'Fórmula'!I80*(INDEX(properties!A$1:CB$87,'Fórmula'!H80,26))+'Fórmula'!K80*(INDEX(properties!A$1:CB$87,'Fórmula'!J80,26))</f>
        <v>211.7956</v>
      </c>
      <c r="CJ80" s="115">
        <f t="array" ref="CJ80">VARP(IF(INDEX(properties!A$1:CB$87,'Fórmula'!B80,26)&lt;&gt;"",INDEX(properties!A$1:CB$87,'Fórmula'!B80,26)),IF(INDEX(properties!A$1:CB$87,'Fórmula'!D80,26)&lt;&gt;"",INDEX(properties!A$1:CB$87,'Fórmula'!D80,26)),IF(INDEX(properties!A$1:CB$87,'Fórmula'!F80,26)&lt;&gt;"",INDEX(properties!A$1:CB$87,'Fórmula'!F80,26)),IF(INDEX(properties!A$1:CB$87,'Fórmula'!H80,26)&lt;&gt;"",INDEX(properties!A$1:CB$87,'Fórmula'!H80,26)),IF(INDEX(properties!A$1:CB$87,'Fórmula'!J80,26)&lt;&gt;"",INDEX(properties!A$1:CB$87,'Fórmula'!J80,26)))</f>
        <v>25.29037531</v>
      </c>
      <c r="CK80" s="116">
        <f t="array" ref="CK80">MAX(INDEX(properties!A$1:CB$87,'Fórmula'!B80,26),INDEX(properties!A$1:CB$87,'Fórmula'!D80,26),INDEX(properties!A$1:CB$87,'Fórmula'!F80,26),INDEX(properties!A$1:CB$87,'Fórmula'!H80,26),INDEX(properties!A$1:CB$87,'Fórmula'!J80,26))</f>
        <v>13.6181</v>
      </c>
      <c r="CL80" s="116">
        <f t="array" ref="CL80">MIN(IF(INDEX(properties!A$1:CB$87,'Fórmula'!B80,26)=0,10^6,INDEX(properties!A$1:CB$87,'Fórmula'!B80,26)),IF(INDEX(properties!A$1:CB$87,'Fórmula'!D80,26)=0,10^6,INDEX(properties!A$1:CB$87,'Fórmula'!D80,26)),IF(INDEX(properties!A$1:CB$87,'Fórmula'!F80,26)=0,10^6,INDEX(properties!A$1:CB$87,'Fórmula'!F80,26)),IF(INDEX(properties!A$1:CB$87,'Fórmula'!H80,26)=0,10^6,INDEX(properties!A$1:CB$87,'Fórmula'!H80,26)),IF(INDEX(properties!A$1:CB$87,'Fórmula'!J80,26)=0,10^6,INDEX(properties!A$1:CB$87,'Fórmula'!J80,26)))</f>
        <v>5.9858</v>
      </c>
      <c r="CM80" s="115">
        <f t="shared" si="15"/>
        <v>7.6323</v>
      </c>
      <c r="CN80" s="117">
        <f t="array" ref="CN80">(('Fórmula'!C80)/('Fórmula'!C80+'Fórmula'!E80+'Fórmula'!G80+'Fórmula'!I80+'Fórmula'!K80))*(INDEX(properties!A$1:CB$87,'Fórmula'!B80,30))+(('Fórmula'!E80)/('Fórmula'!C80+'Fórmula'!E80+'Fórmula'!G80+'Fórmula'!I80+'Fórmula'!K80))*(INDEX(properties!A$1:CB$87,'Fórmula'!D80,30))+(('Fórmula'!G80)/('Fórmula'!C80+'Fórmula'!E80+'Fórmula'!G80+'Fórmula'!I80+'Fórmula'!K80))*(INDEX(properties!A$1:CB$87,'Fórmula'!F80,30))+(('Fórmula'!I80)/('Fórmula'!C80+'Fórmula'!E80+'Fórmula'!G80+'Fórmula'!I80+'Fórmula'!K80))*(INDEX(properties!A$1:CB$87,'Fórmula'!H80,30))+(('Fórmula'!K80)/('Fórmula'!C80+'Fórmula'!E80+'Fórmula'!G80+'Fórmula'!I80+'Fórmula'!K80))*(INDEX(properties!A$1:CB$87,'Fórmula'!J80,30))</f>
        <v>2.6465</v>
      </c>
      <c r="CO80" s="117">
        <f t="array" ref="CO80">'Fórmula'!C80*(INDEX(properties!A$1:CB$87,'Fórmula'!B80,30))+'Fórmula'!E80*(INDEX(properties!A$1:CB$87,'Fórmula'!D80,30))+'Fórmula'!G80*(INDEX(properties!A$1:CB$87,'Fórmula'!F80,30))+'Fórmula'!I80*(INDEX(properties!A$1:CB$87,'Fórmula'!H80,30))+'Fórmula'!K80*(INDEX(properties!A$1:CB$87,'Fórmula'!J80,30))</f>
        <v>52.93</v>
      </c>
      <c r="CP80" s="117">
        <f t="array" ref="CP80">VARP(IF(INDEX(properties!A$1:CB$87,'Fórmula'!B80,30)&lt;&gt;"",INDEX(properties!A$1:CB$87,'Fórmula'!B80,30)),IF(INDEX(properties!A$1:CB$87,'Fórmula'!D80,30)&lt;&gt;"",INDEX(properties!A$1:CB$87,'Fórmula'!D80,30)),IF(INDEX(properties!A$1:CB$87,'Fórmula'!F80,30)&lt;&gt;"",INDEX(properties!A$1:CB$87,'Fórmula'!F80,30)),IF(INDEX(properties!A$1:CB$87,'Fórmula'!H80,30)&lt;&gt;"",INDEX(properties!A$1:CB$87,'Fórmula'!H80,30)),IF(INDEX(properties!A$1:CB$87,'Fórmula'!J80,30)&lt;&gt;"",INDEX(properties!A$1:CB$87,'Fórmula'!J80,30)))</f>
        <v>1.61064</v>
      </c>
      <c r="CQ80" s="117">
        <f t="array" ref="CQ80">MAX(INDEX(properties!A$1:CB$87,'Fórmula'!B80,30),INDEX(properties!A$1:CB$87,'Fórmula'!D80,30),INDEX(properties!A$1:CB$87,'Fórmula'!F80,30),INDEX(properties!A$1:CB$87,'Fórmula'!H80,30),INDEX(properties!A$1:CB$87,'Fórmula'!J80,30))</f>
        <v>3.44</v>
      </c>
      <c r="CR80" s="117">
        <f t="array" ref="CR80">MIN(IF(INDEX(properties!A$1:CB$87,'Fórmula'!B80,30)=0,10^6,INDEX(properties!A$1:CB$87,'Fórmula'!B80,30)),IF(INDEX(properties!A$1:CB$87,'Fórmula'!D80,30)=0,10^6,INDEX(properties!A$1:CB$87,'Fórmula'!D80,30)),IF(INDEX(properties!A$1:CB$87,'Fórmula'!F80,30)=0,10^6,INDEX(properties!A$1:CB$87,'Fórmula'!F80,30)),IF(INDEX(properties!A$1:CB$87,'Fórmula'!H80,30)=0,10^6,INDEX(properties!A$1:CB$87,'Fórmula'!H80,30)),IF(INDEX(properties!A$1:CB$87,'Fórmula'!J80,30)=0,10^6,INDEX(properties!A$1:CB$87,'Fórmula'!J80,30)))</f>
        <v>1.2</v>
      </c>
      <c r="CS80" s="117">
        <f t="shared" si="16"/>
        <v>2.24</v>
      </c>
      <c r="CT80" s="118">
        <f t="array" ref="CT80">(('Fórmula'!C80)/('Fórmula'!C80+'Fórmula'!E80+'Fórmula'!G80+'Fórmula'!I80+'Fórmula'!K80))*(INDEX(properties!A$1:CB$87,'Fórmula'!B80,31))+(('Fórmula'!E80)/('Fórmula'!C80+'Fórmula'!E80+'Fórmula'!G80+'Fórmula'!I80+'Fórmula'!K80))*(INDEX(properties!A$1:CB$87,'Fórmula'!D80,31))+(('Fórmula'!G80)/('Fórmula'!C80+'Fórmula'!E80+'Fórmula'!G80+'Fórmula'!I80+'Fórmula'!K80))*(INDEX(properties!A$1:CB$87,'Fórmula'!F80,31))+(('Fórmula'!I80)/('Fórmula'!C80+'Fórmula'!E80+'Fórmula'!G80+'Fórmula'!I80+'Fórmula'!K80))*(INDEX(properties!A$1:CB$87,'Fórmula'!H80,31))+(('Fórmula'!K80)/('Fórmula'!C80+'Fórmula'!E80+'Fórmula'!G80+'Fórmula'!I80+'Fórmula'!K80))*(INDEX(properties!A$1:CB$87,'Fórmula'!J80,31))</f>
        <v>2.567</v>
      </c>
      <c r="CU80" s="118">
        <f t="array" ref="CU80">'Fórmula'!C80*(INDEX(properties!A$1:CB$87,'Fórmula'!B80,31))+'Fórmula'!E80*(INDEX(properties!A$1:CB$87,'Fórmula'!D80,31))+'Fórmula'!G80*(INDEX(properties!A$1:CB$87,'Fórmula'!F80,31))+'Fórmula'!I80*(INDEX(properties!A$1:CB$87,'Fórmula'!H80,31))+'Fórmula'!K80*(INDEX(properties!A$1:CB$87,'Fórmula'!J80,31))</f>
        <v>51.34</v>
      </c>
      <c r="CV80" s="118">
        <f t="array" ref="CV80">VARP(IF(INDEX(properties!A$1:CB$87,'Fórmula'!B80,31)&lt;&gt;"",INDEX(properties!A$1:CB$87,'Fórmula'!B80,31)),IF(INDEX(properties!A$1:CB$87,'Fórmula'!D80,31)&lt;&gt;"",INDEX(properties!A$1:CB$87,'Fórmula'!D80,31)),IF(INDEX(properties!A$1:CB$87,'Fórmula'!F80,31)&lt;&gt;"",INDEX(properties!A$1:CB$87,'Fórmula'!F80,31)),IF(INDEX(properties!A$1:CB$87,'Fórmula'!H80,31)&lt;&gt;"",INDEX(properties!A$1:CB$87,'Fórmula'!H80,31)),IF(INDEX(properties!A$1:CB$87,'Fórmula'!J80,31)&lt;&gt;"",INDEX(properties!A$1:CB$87,'Fórmula'!J80,31)))</f>
        <v>1.515456</v>
      </c>
      <c r="CW80" s="118">
        <f t="array" ref="CW80">MAX(INDEX(properties!A$1:CB$87,'Fórmula'!B80,31),INDEX(properties!A$1:CB$87,'Fórmula'!D80,31),INDEX(properties!A$1:CB$87,'Fórmula'!F80,31),INDEX(properties!A$1:CB$87,'Fórmula'!H80,31),INDEX(properties!A$1:CB$87,'Fórmula'!J80,31))</f>
        <v>3.32</v>
      </c>
      <c r="CX80" s="118">
        <f t="array" ref="CX80">MIN(IF(INDEX(properties!A$1:CB$87,'Fórmula'!B80,31)=0,10^6,INDEX(properties!A$1:CB$87,'Fórmula'!B80,31)),IF(INDEX(properties!A$1:CB$87,'Fórmula'!D80,31)=0,10^6,INDEX(properties!A$1:CB$87,'Fórmula'!D80,31)),IF(INDEX(properties!A$1:CB$87,'Fórmula'!F80,31)=0,10^6,INDEX(properties!A$1:CB$87,'Fórmula'!F80,31)),IF(INDEX(properties!A$1:CB$87,'Fórmula'!H80,31)=0,10^6,INDEX(properties!A$1:CB$87,'Fórmula'!H80,31)),IF(INDEX(properties!A$1:CB$87,'Fórmula'!J80,31)=0,10^6,INDEX(properties!A$1:CB$87,'Fórmula'!J80,31)))</f>
        <v>1.1</v>
      </c>
      <c r="CY80" s="118">
        <f t="shared" si="17"/>
        <v>2.22</v>
      </c>
      <c r="CZ80" s="119">
        <f t="array" ref="CZ80">(('Fórmula'!C80)/('Fórmula'!C80+'Fórmula'!E80+'Fórmula'!G80+'Fórmula'!I80+'Fórmula'!K80))*(INDEX(properties!A$1:CB$87,'Fórmula'!B80,32))+(('Fórmula'!E80)/('Fórmula'!C80+'Fórmula'!E80+'Fórmula'!G80+'Fórmula'!I80+'Fórmula'!K80))*(INDEX(properties!A$1:CB$87,'Fórmula'!D80,32))+(('Fórmula'!G80)/('Fórmula'!C80+'Fórmula'!E80+'Fórmula'!G80+'Fórmula'!I80+'Fórmula'!K80))*(INDEX(properties!A$1:CB$87,'Fórmula'!F80,32))+(('Fórmula'!I80)/('Fórmula'!C80+'Fórmula'!E80+'Fórmula'!G80+'Fórmula'!I80+'Fórmula'!K80))*(INDEX(properties!A$1:CB$87,'Fórmula'!H80,32))+(('Fórmula'!K80)/('Fórmula'!C80+'Fórmula'!E80+'Fórmula'!G80+'Fórmula'!I80+'Fórmula'!K80))*(INDEX(properties!A$1:CB$87,'Fórmula'!J80,32))</f>
        <v>5.7965</v>
      </c>
      <c r="DA80" s="119">
        <f t="array" ref="DA80">'Fórmula'!C80*(INDEX(properties!A$1:CB$87,'Fórmula'!B80,32))+'Fórmula'!E80*(INDEX(properties!A$1:CB$87,'Fórmula'!D80,32))+'Fórmula'!G80*(INDEX(properties!A$1:CB$87,'Fórmula'!F80,32))+'Fórmula'!I80*(INDEX(properties!A$1:CB$87,'Fórmula'!H80,32))+'Fórmula'!K80*(INDEX(properties!A$1:CB$87,'Fórmula'!J80,32))</f>
        <v>115.93</v>
      </c>
      <c r="DB80" s="119">
        <f t="array" ref="DB80">VARP(IF(INDEX(properties!A$1:CB$87,'Fórmula'!B80,32)&lt;&gt;"",INDEX(properties!A$1:CB$87,'Fórmula'!B80,32)),IF(INDEX(properties!A$1:CB$87,'Fórmula'!D80,32)&lt;&gt;"",INDEX(properties!A$1:CB$87,'Fórmula'!D80,32)),IF(INDEX(properties!A$1:CB$87,'Fórmula'!F80,32)&lt;&gt;"",INDEX(properties!A$1:CB$87,'Fórmula'!F80,32)),IF(INDEX(properties!A$1:CB$87,'Fórmula'!H80,32)&lt;&gt;"",INDEX(properties!A$1:CB$87,'Fórmula'!H80,32)),IF(INDEX(properties!A$1:CB$87,'Fórmula'!J80,32)&lt;&gt;"",INDEX(properties!A$1:CB$87,'Fórmula'!J80,32)))</f>
        <v>7.683824</v>
      </c>
      <c r="DC80" s="119">
        <f t="array" ref="DC80">MAX(INDEX(properties!A$1:CB$87,'Fórmula'!B80,32),INDEX(properties!A$1:CB$87,'Fórmula'!D80,32),INDEX(properties!A$1:CB$87,'Fórmula'!F80,32),INDEX(properties!A$1:CB$87,'Fórmula'!H80,32),INDEX(properties!A$1:CB$87,'Fórmula'!J80,32))</f>
        <v>7.54</v>
      </c>
      <c r="DD80" s="119">
        <f t="array" ref="DD80">MIN(IF(INDEX(properties!A$1:CB$87,'Fórmula'!B80,32)=0,10^6,INDEX(properties!A$1:CB$87,'Fórmula'!B80,32)),IF(INDEX(properties!A$1:CB$87,'Fórmula'!D80,32)=0,10^6,INDEX(properties!A$1:CB$87,'Fórmula'!D80,32)),IF(INDEX(properties!A$1:CB$87,'Fórmula'!F80,32)=0,10^6,INDEX(properties!A$1:CB$87,'Fórmula'!F80,32)),IF(INDEX(properties!A$1:CB$87,'Fórmula'!H80,32)=0,10^6,INDEX(properties!A$1:CB$87,'Fórmula'!H80,32)),IF(INDEX(properties!A$1:CB$87,'Fórmula'!J80,32)=0,10^6,INDEX(properties!A$1:CB$87,'Fórmula'!J80,32)))</f>
        <v>3.1</v>
      </c>
      <c r="DE80" s="119">
        <f t="shared" si="18"/>
        <v>4.44</v>
      </c>
      <c r="DF80" s="104">
        <f t="array" ref="DF80">(('Fórmula'!C80)/('Fórmula'!C80+'Fórmula'!E80+'Fórmula'!G80+'Fórmula'!I80+'Fórmula'!K80))*(INDEX(properties!A$1:CB$87,'Fórmula'!B80,34))+(('Fórmula'!E80)/('Fórmula'!C80+'Fórmula'!E80+'Fórmula'!G80+'Fórmula'!I80+'Fórmula'!K80))*(INDEX(properties!A$1:CB$87,'Fórmula'!D80,34))+(('Fórmula'!G80)/('Fórmula'!C80+'Fórmula'!E80+'Fórmula'!G80+'Fórmula'!I80+'Fórmula'!K80))*(INDEX(properties!A$1:CB$87,'Fórmula'!F80,34))+(('Fórmula'!I80)/('Fórmula'!C80+'Fórmula'!E80+'Fórmula'!G80+'Fórmula'!I80+'Fórmula'!K80))*(INDEX(properties!A$1:CB$87,'Fórmula'!H80,34))+(('Fórmula'!K80)/('Fórmula'!C80+'Fórmula'!E80+'Fórmula'!G80+'Fórmula'!I80+'Fórmula'!K80))*(INDEX(properties!A$1:CB$87,'Fórmula'!J80,34))</f>
        <v>2.73275</v>
      </c>
      <c r="DG80" s="104">
        <f t="array" ref="DG80">'Fórmula'!C80*(INDEX(properties!A$1:CB$87,'Fórmula'!B80,34))+'Fórmula'!E80*(INDEX(properties!A$1:CB$87,'Fórmula'!D80,34))+'Fórmula'!G80*(INDEX(properties!A$1:CB$87,'Fórmula'!F80,34))+'Fórmula'!I80*(INDEX(properties!A$1:CB$87,'Fórmula'!H80,34))+'Fórmula'!K80*(INDEX(properties!A$1:CB$87,'Fórmula'!J80,34))</f>
        <v>54.655</v>
      </c>
      <c r="DH80" s="104">
        <f t="array" ref="DH80">VARP(IF(INDEX(properties!A$1:CB$87,'Fórmula'!B80,34)&lt;&gt;"",INDEX(properties!A$1:CB$87,'Fórmula'!B80,34)),IF(INDEX(properties!A$1:CB$87,'Fórmula'!D80,34)&lt;&gt;"",INDEX(properties!A$1:CB$87,'Fórmula'!D80,34)),IF(INDEX(properties!A$1:CB$87,'Fórmula'!F80,34)&lt;&gt;"",INDEX(properties!A$1:CB$87,'Fórmula'!F80,34)),IF(INDEX(properties!A$1:CB$87,'Fórmula'!H80,34)&lt;&gt;"",INDEX(properties!A$1:CB$87,'Fórmula'!H80,34)),IF(INDEX(properties!A$1:CB$87,'Fórmula'!J80,34)&lt;&gt;"",INDEX(properties!A$1:CB$87,'Fórmula'!J80,34)))</f>
        <v>1.77023504</v>
      </c>
      <c r="DI80" s="104">
        <f t="array" ref="DI80">MAX(INDEX(properties!A$1:CB$87,'Fórmula'!B80,34),INDEX(properties!A$1:CB$87,'Fórmula'!D80,34),INDEX(properties!A$1:CB$87,'Fórmula'!F80,34),INDEX(properties!A$1:CB$87,'Fórmula'!H80,34),INDEX(properties!A$1:CB$87,'Fórmula'!J80,34))</f>
        <v>3.61</v>
      </c>
      <c r="DJ80" s="104">
        <f t="array" ref="DJ80">MIN(IF(INDEX(properties!A$1:CB$87,'Fórmula'!B80,34)=0,10^6,INDEX(properties!A$1:CB$87,'Fórmula'!B80,34)),IF(INDEX(properties!A$1:CB$87,'Fórmula'!D80,34)=0,10^6,INDEX(properties!A$1:CB$87,'Fórmula'!D80,34)),IF(INDEX(properties!A$1:CB$87,'Fórmula'!F80,34)=0,10^6,INDEX(properties!A$1:CB$87,'Fórmula'!F80,34)),IF(INDEX(properties!A$1:CB$87,'Fórmula'!H80,34)=0,10^6,INDEX(properties!A$1:CB$87,'Fórmula'!H80,34)),IF(INDEX(properties!A$1:CB$87,'Fórmula'!J80,34)=0,10^6,INDEX(properties!A$1:CB$87,'Fórmula'!J80,34)))</f>
        <v>1.09</v>
      </c>
      <c r="DK80" s="104">
        <f t="shared" si="19"/>
        <v>2.52</v>
      </c>
      <c r="DL80" s="105" t="str">
        <f t="array" ref="DL80">(('Fórmula'!C80)/('Fórmula'!C80+'Fórmula'!E80+'Fórmula'!G80+'Fórmula'!I80+'Fórmula'!K80))*(INDEX(properties!A$1:CB$87,'Fórmula'!B80,37))+(('Fórmula'!E80)/('Fórmula'!C80+'Fórmula'!E80+'Fórmula'!G80+'Fórmula'!I80+'Fórmula'!K80))*(INDEX(properties!A$1:CB$87,'Fórmula'!D80,37))+(('Fórmula'!G80)/('Fórmula'!C80+'Fórmula'!E80+'Fórmula'!G80+'Fórmula'!I80+'Fórmula'!K80))*(INDEX(properties!A$1:CB$87,'Fórmula'!F80,37))+(('Fórmula'!I80)/('Fórmula'!C80+'Fórmula'!E80+'Fórmula'!G80+'Fórmula'!I80+'Fórmula'!K80))*(INDEX(properties!A$1:CB$87,'Fórmula'!H80,37))+(('Fórmula'!K80)/('Fórmula'!C80+'Fórmula'!E80+'Fórmula'!G80+'Fórmula'!I80+'Fórmula'!K80))*(INDEX(properties!A$1:CB$87,'Fórmula'!J80,37))</f>
        <v>#VALUE!</v>
      </c>
      <c r="DM80" s="105" t="str">
        <f t="array" ref="DM80">'Fórmula'!C80*(INDEX(properties!A$1:CB$87,'Fórmula'!B80,37))+'Fórmula'!E80*(INDEX(properties!A$1:CB$87,'Fórmula'!D80,37))+'Fórmula'!G80*(INDEX(properties!A$1:CB$87,'Fórmula'!F80,37))+'Fórmula'!I80*(INDEX(properties!A$1:CB$87,'Fórmula'!H80,37))+'Fórmula'!K80*(INDEX(properties!A$1:CB$87,'Fórmula'!J80,37))</f>
        <v>#VALUE!</v>
      </c>
      <c r="DN80" s="105">
        <f t="array" ref="DN80">VARP(IF(INDEX(properties!A$1:CB$87,'Fórmula'!B80,37)&lt;&gt;"",INDEX(properties!A$1:CB$87,'Fórmula'!B80,37)),IF(INDEX(properties!A$1:CB$87,'Fórmula'!D80,37)&lt;&gt;"",INDEX(properties!A$1:CB$87,'Fórmula'!D80,37)),IF(INDEX(properties!A$1:CB$87,'Fórmula'!F80,37)&lt;&gt;"",INDEX(properties!A$1:CB$87,'Fórmula'!F80,37)),IF(INDEX(properties!A$1:CB$87,'Fórmula'!H80,37)&lt;&gt;"",INDEX(properties!A$1:CB$87,'Fórmula'!H80,37)),IF(INDEX(properties!A$1:CB$87,'Fórmula'!J80,37)&lt;&gt;"",INDEX(properties!A$1:CB$87,'Fórmula'!J80,37)))</f>
        <v>2.00671875</v>
      </c>
      <c r="DO80" s="105">
        <f t="array" ref="DO80">MAX(INDEX(properties!A$1:CB$87,'Fórmula'!B80,37),INDEX(properties!A$1:CB$87,'Fórmula'!D80,37),INDEX(properties!A$1:CB$87,'Fórmula'!F80,37),INDEX(properties!A$1:CB$87,'Fórmula'!H80,37),INDEX(properties!A$1:CB$87,'Fórmula'!J80,37))</f>
        <v>3.45</v>
      </c>
      <c r="DP80" s="105">
        <f t="array" ref="DP80">MIN(IF(INDEX(properties!A$1:CB$87,'Fórmula'!B80,37)=0,10^6,INDEX(properties!A$1:CB$87,'Fórmula'!B80,37)),IF(INDEX(properties!A$1:CB$87,'Fórmula'!D80,37)=0,10^6,INDEX(properties!A$1:CB$87,'Fórmula'!D80,37)),IF(INDEX(properties!A$1:CB$87,'Fórmula'!F80,37)=0,10^6,INDEX(properties!A$1:CB$87,'Fórmula'!F80,37)),IF(INDEX(properties!A$1:CB$87,'Fórmula'!H80,37)=0,10^6,INDEX(properties!A$1:CB$87,'Fórmula'!H80,37)),IF(INDEX(properties!A$1:CB$87,'Fórmula'!J80,37)=0,10^6,INDEX(properties!A$1:CB$87,'Fórmula'!J80,37)))</f>
        <v>1.5</v>
      </c>
      <c r="DQ80" s="105">
        <f t="shared" si="20"/>
        <v>1.95</v>
      </c>
      <c r="DR80" s="109">
        <f t="array" ref="DR80">(('Fórmula'!C80)/('Fórmula'!C80+'Fórmula'!E80+'Fórmula'!G80+'Fórmula'!I80+'Fórmula'!K80))*(INDEX(properties!A$1:CB$87,'Fórmula'!B80,39))+(('Fórmula'!E80)/('Fórmula'!C80+'Fórmula'!E80+'Fórmula'!G80+'Fórmula'!I80+'Fórmula'!K80))*(INDEX(properties!A$1:CB$87,'Fórmula'!D80,39))+(('Fórmula'!G80)/('Fórmula'!C80+'Fórmula'!E80+'Fórmula'!G80+'Fórmula'!I80+'Fórmula'!K80))*(INDEX(properties!A$1:CB$87,'Fórmula'!F80,39))+(('Fórmula'!I80)/('Fórmula'!C80+'Fórmula'!E80+'Fórmula'!G80+'Fórmula'!I80+'Fórmula'!K80))*(INDEX(properties!A$1:CB$87,'Fórmula'!H80,39))+(('Fórmula'!K80)/('Fórmula'!C80+'Fórmula'!E80+'Fórmula'!G80+'Fórmula'!I80+'Fórmula'!K80))*(INDEX(properties!A$1:CB$87,'Fórmula'!J80,39))</f>
        <v>0.9325</v>
      </c>
      <c r="DS80" s="109">
        <f t="array" ref="DS80">'Fórmula'!C80*(INDEX(properties!A$1:CB$87,'Fórmula'!B80,39))+'Fórmula'!E80*(INDEX(properties!A$1:CB$87,'Fórmula'!D80,39))+'Fórmula'!G80*(INDEX(properties!A$1:CB$87,'Fórmula'!F80,39))+'Fórmula'!I80*(INDEX(properties!A$1:CB$87,'Fórmula'!H80,39))+'Fórmula'!K80*(INDEX(properties!A$1:CB$87,'Fórmula'!J80,39))</f>
        <v>18.65</v>
      </c>
      <c r="DT80" s="109">
        <f t="array" ref="DT80">VARP(IF(INDEX(properties!A$1:CB$87,'Fórmula'!B80,39)&lt;&gt;"",INDEX(properties!A$1:CB$87,'Fórmula'!B80,39)),IF(INDEX(properties!A$1:CB$87,'Fórmula'!D80,39)&lt;&gt;"",INDEX(properties!A$1:CB$87,'Fórmula'!D80,39)),IF(INDEX(properties!A$1:CB$87,'Fórmula'!F80,39)&lt;&gt;"",INDEX(properties!A$1:CB$87,'Fórmula'!F80,39)),IF(INDEX(properties!A$1:CB$87,'Fórmula'!H80,39)&lt;&gt;"",INDEX(properties!A$1:CB$87,'Fórmula'!H80,39)),IF(INDEX(properties!A$1:CB$87,'Fórmula'!J80,39)&lt;&gt;"",INDEX(properties!A$1:CB$87,'Fórmula'!J80,39)))</f>
        <v>0.773536</v>
      </c>
      <c r="DU80" s="120">
        <f t="array" ref="DU80">MAX(INDEX(properties!A$1:CB$87,'Fórmula'!B80,39),INDEX(properties!A$1:CB$87,'Fórmula'!D80,39),INDEX(properties!A$1:CB$87,'Fórmula'!F80,39),INDEX(properties!A$1:CB$87,'Fórmula'!H80,39),INDEX(properties!A$1:CB$87,'Fórmula'!J80,39))</f>
        <v>2.33</v>
      </c>
      <c r="DV80" s="120">
        <f t="array" ref="DV80">MIN(IF(INDEX(properties!A$1:CB$87,'Fórmula'!B80,39)=0,10^6,INDEX(properties!A$1:CB$87,'Fórmula'!B80,39)),IF(INDEX(properties!A$1:CB$87,'Fórmula'!D80,39)=0,10^6,INDEX(properties!A$1:CB$87,'Fórmula'!D80,39)),IF(INDEX(properties!A$1:CB$87,'Fórmula'!F80,39)=0,10^6,INDEX(properties!A$1:CB$87,'Fórmula'!F80,39)),IF(INDEX(properties!A$1:CB$87,'Fórmula'!H80,39)=0,10^6,INDEX(properties!A$1:CB$87,'Fórmula'!H80,39)),IF(INDEX(properties!A$1:CB$87,'Fórmula'!J80,39)=0,10^6,INDEX(properties!A$1:CB$87,'Fórmula'!J80,39)))</f>
        <v>0.48</v>
      </c>
      <c r="DW80" s="109">
        <f t="shared" si="21"/>
        <v>1.85</v>
      </c>
      <c r="DX80" s="110">
        <f t="array" ref="DX80">(('Fórmula'!C80)/('Fórmula'!C80+'Fórmula'!E80+'Fórmula'!G80+'Fórmula'!I80+'Fórmula'!K80))*(INDEX(properties!A$1:CB$87,'Fórmula'!B80,40))+(('Fórmula'!E80)/('Fórmula'!C80+'Fórmula'!E80+'Fórmula'!G80+'Fórmula'!I80+'Fórmula'!K80))*(INDEX(properties!A$1:CB$87,'Fórmula'!D80,40))+(('Fórmula'!G80)/('Fórmula'!C80+'Fórmula'!E80+'Fórmula'!G80+'Fórmula'!I80+'Fórmula'!K80))*(INDEX(properties!A$1:CB$87,'Fórmula'!F80,40))+(('Fórmula'!I80)/('Fórmula'!C80+'Fórmula'!E80+'Fórmula'!G80+'Fórmula'!I80+'Fórmula'!K80))*(INDEX(properties!A$1:CB$87,'Fórmula'!H80,40))+(('Fórmula'!K80)/('Fórmula'!C80+'Fórmula'!E80+'Fórmula'!G80+'Fórmula'!I80+'Fórmula'!K80))*(INDEX(properties!A$1:CB$87,'Fórmula'!J80,40))</f>
        <v>0.9745</v>
      </c>
      <c r="DY80" s="110">
        <f t="array" ref="DY80">'Fórmula'!C80*(INDEX(properties!A$1:CB$87,'Fórmula'!B80,40))+'Fórmula'!E80*(INDEX(properties!A$1:CB$87,'Fórmula'!D80,40))+'Fórmula'!G80*(INDEX(properties!A$1:CB$87,'Fórmula'!F80,40))+'Fórmula'!I80*(INDEX(properties!A$1:CB$87,'Fórmula'!H80,40))+'Fórmula'!K80*(INDEX(properties!A$1:CB$87,'Fórmula'!J80,40))</f>
        <v>19.49</v>
      </c>
      <c r="DZ80" s="110">
        <f t="array" ref="DZ80">VARP(IF(INDEX(properties!A$1:CB$87,'Fórmula'!B80,40)&lt;&gt;"",INDEX(properties!A$1:CB$87,'Fórmula'!B80,40)),IF(INDEX(properties!A$1:CB$87,'Fórmula'!D80,40)&lt;&gt;"",INDEX(properties!A$1:CB$87,'Fórmula'!D80,40)),IF(INDEX(properties!A$1:CB$87,'Fórmula'!F80,40)&lt;&gt;"",INDEX(properties!A$1:CB$87,'Fórmula'!F80,40)),IF(INDEX(properties!A$1:CB$87,'Fórmula'!H80,40)&lt;&gt;"",INDEX(properties!A$1:CB$87,'Fórmula'!H80,40)),IF(INDEX(properties!A$1:CB$87,'Fórmula'!J80,40)&lt;&gt;"",INDEX(properties!A$1:CB$87,'Fórmula'!J80,40)))</f>
        <v>0.407864</v>
      </c>
      <c r="EA80" s="121">
        <f t="array" ref="EA80">MAX(INDEX(properties!A$1:CB$87,'Fórmula'!B80,40),INDEX(properties!A$1:CB$87,'Fórmula'!D80,40),INDEX(properties!A$1:CB$87,'Fórmula'!F80,40),INDEX(properties!A$1:CB$87,'Fórmula'!H80,40),INDEX(properties!A$1:CB$87,'Fórmula'!J80,40))</f>
        <v>1.61</v>
      </c>
      <c r="EB80" s="121">
        <f t="array" ref="EB80">MIN(IF(INDEX(properties!A$1:CB$87,'Fórmula'!B80,40)=0,10^6,INDEX(properties!A$1:CB$87,'Fórmula'!B80,40)),IF(INDEX(properties!A$1:CB$87,'Fórmula'!D80,40)=0,10^6,INDEX(properties!A$1:CB$87,'Fórmula'!D80,40)),IF(INDEX(properties!A$1:CB$87,'Fórmula'!F80,40)=0,10^6,INDEX(properties!A$1:CB$87,'Fórmula'!F80,40)),IF(INDEX(properties!A$1:CB$87,'Fórmula'!H80,40)=0,10^6,INDEX(properties!A$1:CB$87,'Fórmula'!H80,40)),IF(INDEX(properties!A$1:CB$87,'Fórmula'!J80,40)=0,10^6,INDEX(properties!A$1:CB$87,'Fórmula'!J80,40)))</f>
        <v>0.73</v>
      </c>
      <c r="EC80" s="110">
        <f t="shared" si="22"/>
        <v>0.88</v>
      </c>
      <c r="ED80" s="111">
        <f t="array" ref="ED80">(('Fórmula'!C80)/('Fórmula'!C80+'Fórmula'!E80+'Fórmula'!G80+'Fórmula'!I80+'Fórmula'!K80))*(INDEX(properties!A$1:CB$87,'Fórmula'!B80,41))+(('Fórmula'!E80)/('Fórmula'!C80+'Fórmula'!E80+'Fórmula'!G80+'Fórmula'!I80+'Fórmula'!K80))*(INDEX(properties!A$1:CB$87,'Fórmula'!D80,41))+(('Fórmula'!G80)/('Fórmula'!C80+'Fórmula'!E80+'Fórmula'!G80+'Fórmula'!I80+'Fórmula'!K80))*(INDEX(properties!A$1:CB$87,'Fórmula'!F80,41))+(('Fórmula'!I80)/('Fórmula'!C80+'Fórmula'!E80+'Fórmula'!G80+'Fórmula'!I80+'Fórmula'!K80))*(INDEX(properties!A$1:CB$87,'Fórmula'!H80,41))+(('Fórmula'!K80)/('Fórmula'!C80+'Fórmula'!E80+'Fórmula'!G80+'Fórmula'!I80+'Fórmula'!K80))*(INDEX(properties!A$1:CB$87,'Fórmula'!J80,41))</f>
        <v>1.088</v>
      </c>
      <c r="EE80" s="111">
        <f t="array" ref="EE80">'Fórmula'!C80*(INDEX(properties!A$1:CB$87,'Fórmula'!B80,41))+'Fórmula'!E80*(INDEX(properties!A$1:CB$87,'Fórmula'!D80,41))+'Fórmula'!G80*(INDEX(properties!A$1:CB$87,'Fórmula'!F80,41))+'Fórmula'!I80*(INDEX(properties!A$1:CB$87,'Fórmula'!H80,41))+'Fórmula'!K80*(INDEX(properties!A$1:CB$87,'Fórmula'!J80,41))</f>
        <v>21.76</v>
      </c>
      <c r="EF80" s="111">
        <f t="array" ref="EF80">VARP(IF(INDEX(properties!A$1:CB$87,'Fórmula'!B80,41)&lt;&gt;"",INDEX(properties!A$1:CB$87,'Fórmula'!B80,41)),IF(INDEX(properties!A$1:CB$87,'Fórmula'!D80,41)&lt;&gt;"",INDEX(properties!A$1:CB$87,'Fórmula'!D80,41)),IF(INDEX(properties!A$1:CB$87,'Fórmula'!F80,41)&lt;&gt;"",INDEX(properties!A$1:CB$87,'Fórmula'!F80,41)),IF(INDEX(properties!A$1:CB$87,'Fórmula'!H80,41)&lt;&gt;"",INDEX(properties!A$1:CB$87,'Fórmula'!H80,41)),IF(INDEX(properties!A$1:CB$87,'Fórmula'!J80,41)&lt;&gt;"",INDEX(properties!A$1:CB$87,'Fórmula'!J80,41)))</f>
        <v>0.278464</v>
      </c>
      <c r="EG80" s="122">
        <f t="array" ref="EG80">MAX(INDEX(properties!A$1:CB$87,'Fórmula'!B80,41),INDEX(properties!A$1:CB$87,'Fórmula'!D80,41),INDEX(properties!A$1:CB$87,'Fórmula'!F80,41),INDEX(properties!A$1:CB$87,'Fórmula'!H80,41),INDEX(properties!A$1:CB$87,'Fórmula'!J80,41))</f>
        <v>1.26</v>
      </c>
      <c r="EH80" s="122">
        <f t="array" ref="EH80">MIN(IF(INDEX(properties!A$1:CB$87,'Fórmula'!B80,41)=0,10^6,INDEX(properties!A$1:CB$87,'Fórmula'!B80,41)),IF(INDEX(properties!A$1:CB$87,'Fórmula'!D80,41)=0,10^6,INDEX(properties!A$1:CB$87,'Fórmula'!D80,41)),IF(INDEX(properties!A$1:CB$87,'Fórmula'!F80,41)=0,10^6,INDEX(properties!A$1:CB$87,'Fórmula'!F80,41)),IF(INDEX(properties!A$1:CB$87,'Fórmula'!H80,41)=0,10^6,INDEX(properties!A$1:CB$87,'Fórmula'!H80,41)),IF(INDEX(properties!A$1:CB$87,'Fórmula'!J80,41)=0,10^6,INDEX(properties!A$1:CB$87,'Fórmula'!J80,41)))</f>
        <v>0.68</v>
      </c>
      <c r="EI80" s="111">
        <f t="shared" si="23"/>
        <v>0.58</v>
      </c>
      <c r="EJ80" s="112">
        <f t="array" ref="EJ80">(('Fórmula'!C80)/('Fórmula'!C80+'Fórmula'!E80+'Fórmula'!G80+'Fórmula'!I80+'Fórmula'!K80))*(INDEX(properties!A$1:CB$87,'Fórmula'!B80,45))+(('Fórmula'!E80)/('Fórmula'!C80+'Fórmula'!E80+'Fórmula'!G80+'Fórmula'!I80+'Fórmula'!K80))*(INDEX(properties!A$1:CB$87,'Fórmula'!D80,45))+(('Fórmula'!G80)/('Fórmula'!C80+'Fórmula'!E80+'Fórmula'!G80+'Fórmula'!I80+'Fórmula'!K80))*(INDEX(properties!A$1:CB$87,'Fórmula'!F80,45))+(('Fórmula'!I80)/('Fórmula'!C80+'Fórmula'!E80+'Fórmula'!G80+'Fórmula'!I80+'Fórmula'!K80))*(INDEX(properties!A$1:CB$87,'Fórmula'!H80,45))+(('Fórmula'!K80)/('Fórmula'!C80+'Fórmula'!E80+'Fórmula'!G80+'Fórmula'!I80+'Fórmula'!K80))*(INDEX(properties!A$1:CB$87,'Fórmula'!J80,45))</f>
        <v>1.2885</v>
      </c>
      <c r="EK80" s="112">
        <f t="array" ref="EK80">'Fórmula'!C80*(INDEX(properties!A$1:CB$87,'Fórmula'!B80,45))+'Fórmula'!E80*(INDEX(properties!A$1:CB$87,'Fórmula'!D80,45))+'Fórmula'!G80*(INDEX(properties!A$1:CB$87,'Fórmula'!F80,45))+'Fórmula'!I80*(INDEX(properties!A$1:CB$87,'Fórmula'!H80,45))+'Fórmula'!K80*(INDEX(properties!A$1:CB$87,'Fórmula'!J80,45))</f>
        <v>25.77</v>
      </c>
      <c r="EL80" s="112">
        <f t="array" ref="EL80">VARP(IF(INDEX(properties!A$1:CB$87,'Fórmula'!B80,45)&lt;&gt;"",INDEX(properties!A$1:CB$87,'Fórmula'!B80,45)),IF(INDEX(properties!A$1:CB$87,'Fórmula'!D80,45)&lt;&gt;"",INDEX(properties!A$1:CB$87,'Fórmula'!D80,45)),IF(INDEX(properties!A$1:CB$87,'Fórmula'!F80,45)&lt;&gt;"",INDEX(properties!A$1:CB$87,'Fórmula'!F80,45)),IF(INDEX(properties!A$1:CB$87,'Fórmula'!H80,45)&lt;&gt;"",INDEX(properties!A$1:CB$87,'Fórmula'!H80,45)),IF(INDEX(properties!A$1:CB$87,'Fórmula'!J80,45)&lt;&gt;"",INDEX(properties!A$1:CB$87,'Fórmula'!J80,45)))</f>
        <v>2.197336</v>
      </c>
      <c r="EM80" s="123">
        <f t="array" ref="EM80">MAX(INDEX(properties!A$1:CB$87,'Fórmula'!B80,45),INDEX(properties!A$1:CB$87,'Fórmula'!D80,45),INDEX(properties!A$1:CB$87,'Fórmula'!F80,45),INDEX(properties!A$1:CB$87,'Fórmula'!H80,45),INDEX(properties!A$1:CB$87,'Fórmula'!J80,45))</f>
        <v>3.91</v>
      </c>
      <c r="EN80" s="123">
        <f t="array" ref="EN80">MIN(IF(INDEX(properties!A$1:CB$87,'Fórmula'!B80,45)=0,10^6,INDEX(properties!A$1:CB$87,'Fórmula'!B80,45)),IF(INDEX(properties!A$1:CB$87,'Fórmula'!D80,45)=0,10^6,INDEX(properties!A$1:CB$87,'Fórmula'!D80,45)),IF(INDEX(properties!A$1:CB$87,'Fórmula'!F80,45)=0,10^6,INDEX(properties!A$1:CB$87,'Fórmula'!F80,45)),IF(INDEX(properties!A$1:CB$87,'Fórmula'!H80,45)=0,10^6,INDEX(properties!A$1:CB$87,'Fórmula'!H80,45)),IF(INDEX(properties!A$1:CB$87,'Fórmula'!J80,45)=0,10^6,INDEX(properties!A$1:CB$87,'Fórmula'!J80,45)))</f>
        <v>0.47</v>
      </c>
      <c r="EO80" s="112">
        <f t="shared" si="24"/>
        <v>3.44</v>
      </c>
      <c r="EP80" s="113">
        <f t="array" ref="EP80">(('Fórmula'!C80)/('Fórmula'!C80+'Fórmula'!E80+'Fórmula'!G80+'Fórmula'!I80+'Fórmula'!K80))*(INDEX(properties!A$1:CB$87,'Fórmula'!B80,46))+(('Fórmula'!E80)/('Fórmula'!C80+'Fórmula'!E80+'Fórmula'!G80+'Fórmula'!I80+'Fórmula'!K80))*(INDEX(properties!A$1:CB$87,'Fórmula'!D80,46))+(('Fórmula'!G80)/('Fórmula'!C80+'Fórmula'!E80+'Fórmula'!G80+'Fórmula'!I80+'Fórmula'!K80))*(INDEX(properties!A$1:CB$87,'Fórmula'!F80,46))+(('Fórmula'!I80)/('Fórmula'!C80+'Fórmula'!E80+'Fórmula'!G80+'Fórmula'!I80+'Fórmula'!K80))*(INDEX(properties!A$1:CB$87,'Fórmula'!H80,46))+(('Fórmula'!K80)/('Fórmula'!C80+'Fórmula'!E80+'Fórmula'!G80+'Fórmula'!I80+'Fórmula'!K80))*(INDEX(properties!A$1:CB$87,'Fórmula'!J80,46))</f>
        <v>1.0205</v>
      </c>
      <c r="EQ80" s="113">
        <f t="array" ref="EQ80">'Fórmula'!C80*(INDEX(properties!A$1:CB$87,'Fórmula'!B80,46))+'Fórmula'!E80*(INDEX(properties!A$1:CB$87,'Fórmula'!D80,46))+'Fórmula'!G80*(INDEX(properties!A$1:CB$87,'Fórmula'!F80,46))+'Fórmula'!I80*(INDEX(properties!A$1:CB$87,'Fórmula'!H80,46))+'Fórmula'!K80*(INDEX(properties!A$1:CB$87,'Fórmula'!J80,46))</f>
        <v>20.41</v>
      </c>
      <c r="ER80" s="113">
        <f t="array" ref="ER80">VARP(IF(INDEX(properties!A$1:CB$87,'Fórmula'!B80,46)&lt;&gt;"",INDEX(properties!A$1:CB$87,'Fórmula'!B80,46)),IF(INDEX(properties!A$1:CB$87,'Fórmula'!D80,46)&lt;&gt;"",INDEX(properties!A$1:CB$87,'Fórmula'!D80,46)),IF(INDEX(properties!A$1:CB$87,'Fórmula'!F80,46)&lt;&gt;"",INDEX(properties!A$1:CB$87,'Fórmula'!F80,46)),IF(INDEX(properties!A$1:CB$87,'Fórmula'!H80,46)&lt;&gt;"",INDEX(properties!A$1:CB$87,'Fórmula'!H80,46)),IF(INDEX(properties!A$1:CB$87,'Fórmula'!J80,46)&lt;&gt;"",INDEX(properties!A$1:CB$87,'Fórmula'!J80,46)))</f>
        <v>0.264184</v>
      </c>
      <c r="ES80" s="124">
        <f t="array" ref="ES80">MAX(INDEX(properties!A$1:CB$87,'Fórmula'!B80,46),INDEX(properties!A$1:CB$87,'Fórmula'!D80,46),INDEX(properties!A$1:CB$87,'Fórmula'!F80,46),INDEX(properties!A$1:CB$87,'Fórmula'!H80,46),INDEX(properties!A$1:CB$87,'Fórmula'!J80,46))</f>
        <v>1.21</v>
      </c>
      <c r="ET80" s="124">
        <f t="array" ref="ET80">MIN(IF(INDEX(properties!A$1:CB$87,'Fórmula'!B80,46)=0,10^6,INDEX(properties!A$1:CB$87,'Fórmula'!B80,46)),IF(INDEX(properties!A$1:CB$87,'Fórmula'!D80,46)=0,10^6,INDEX(properties!A$1:CB$87,'Fórmula'!D80,46)),IF(INDEX(properties!A$1:CB$87,'Fórmula'!F80,46)=0,10^6,INDEX(properties!A$1:CB$87,'Fórmula'!F80,46)),IF(INDEX(properties!A$1:CB$87,'Fórmula'!H80,46)=0,10^6,INDEX(properties!A$1:CB$87,'Fórmula'!H80,46)),IF(INDEX(properties!A$1:CB$87,'Fórmula'!J80,46)=0,10^6,INDEX(properties!A$1:CB$87,'Fórmula'!J80,46)))</f>
        <v>0.53</v>
      </c>
      <c r="EU80" s="113">
        <f t="shared" si="25"/>
        <v>0.68</v>
      </c>
      <c r="EV80" s="114">
        <f t="array" ref="EV80">(('Fórmula'!C80)/('Fórmula'!C80+'Fórmula'!E80+'Fórmula'!G80+'Fórmula'!I80+'Fórmula'!K80))*(INDEX(properties!A$1:CB$87,'Fórmula'!B80,52))+(('Fórmula'!E80)/('Fórmula'!C80+'Fórmula'!E80+'Fórmula'!G80+'Fórmula'!I80+'Fórmula'!K80))*(INDEX(properties!A$1:CB$87,'Fórmula'!D80,52))+(('Fórmula'!G80)/('Fórmula'!C80+'Fórmula'!E80+'Fórmula'!G80+'Fórmula'!I80+'Fórmula'!K80))*(INDEX(properties!A$1:CB$87,'Fórmula'!F80,52))+(('Fórmula'!I80)/('Fórmula'!C80+'Fórmula'!E80+'Fórmula'!G80+'Fórmula'!I80+'Fórmula'!K80))*(INDEX(properties!A$1:CB$87,'Fórmula'!H80,52))+(('Fórmula'!K80)/('Fórmula'!C80+'Fórmula'!E80+'Fórmula'!G80+'Fórmula'!I80+'Fórmula'!K80))*(INDEX(properties!A$1:CB$87,'Fórmula'!J80,52))</f>
        <v>6.0758</v>
      </c>
      <c r="EW80" s="114">
        <f t="array" ref="EW80">'Fórmula'!C80*(INDEX(properties!A$1:CB$87,'Fórmula'!B80,52))+'Fórmula'!E80*(INDEX(properties!A$1:CB$87,'Fórmula'!D80,52))+'Fórmula'!G80*(INDEX(properties!A$1:CB$87,'Fórmula'!F80,52))+'Fórmula'!I80*(INDEX(properties!A$1:CB$87,'Fórmula'!H80,52))+'Fórmula'!K80*(INDEX(properties!A$1:CB$87,'Fórmula'!J80,52))</f>
        <v>121.516</v>
      </c>
      <c r="EX80" s="114">
        <f t="array" ref="EX80">VARP(IF(INDEX(properties!A$1:CB$87,'Fórmula'!B80,52)&lt;&gt;"",INDEX(properties!A$1:CB$87,'Fórmula'!B80,52)),IF(INDEX(properties!A$1:CB$87,'Fórmula'!D80,52)&lt;&gt;"",INDEX(properties!A$1:CB$87,'Fórmula'!D80,52)),IF(INDEX(properties!A$1:CB$87,'Fórmula'!F80,52)&lt;&gt;"",INDEX(properties!A$1:CB$87,'Fórmula'!F80,52)),IF(INDEX(properties!A$1:CB$87,'Fórmula'!H80,52)&lt;&gt;"",INDEX(properties!A$1:CB$87,'Fórmula'!H80,52)),IF(INDEX(properties!A$1:CB$87,'Fórmula'!J80,52)&lt;&gt;"",INDEX(properties!A$1:CB$87,'Fórmula'!J80,52)))</f>
        <v>81.86162384</v>
      </c>
      <c r="EY80" s="114">
        <f t="array" ref="EY80">MAX(INDEX(properties!A$1:CB$87,'Fórmula'!B80,52),INDEX(properties!A$1:CB$87,'Fórmula'!D80,52),INDEX(properties!A$1:CB$87,'Fórmula'!F80,52),INDEX(properties!A$1:CB$87,'Fórmula'!H80,52),INDEX(properties!A$1:CB$87,'Fórmula'!J80,52))</f>
        <v>23.5</v>
      </c>
      <c r="EZ80" s="114">
        <f t="array" ref="EZ80">MIN(IF(INDEX(properties!A$1:CB$87,'Fórmula'!B80,52)=0,10^6,INDEX(properties!A$1:CB$87,'Fórmula'!B80,52)),IF(INDEX(properties!A$1:CB$87,'Fórmula'!D80,52)=0,10^6,INDEX(properties!A$1:CB$87,'Fórmula'!D80,52)),IF(INDEX(properties!A$1:CB$87,'Fórmula'!F80,52)=0,10^6,INDEX(properties!A$1:CB$87,'Fórmula'!F80,52)),IF(INDEX(properties!A$1:CB$87,'Fórmula'!H80,52)=0,10^6,INDEX(properties!A$1:CB$87,'Fórmula'!H80,52)),IF(INDEX(properties!A$1:CB$87,'Fórmula'!J80,52)=0,10^6,INDEX(properties!A$1:CB$87,'Fórmula'!J80,52)))</f>
        <v>0.793</v>
      </c>
      <c r="FA80" s="114">
        <f t="shared" si="26"/>
        <v>22.707</v>
      </c>
      <c r="FB80" s="115">
        <f t="array" ref="FB80">(('Fórmula'!C80)/('Fórmula'!C80+'Fórmula'!E80+'Fórmula'!G80+'Fórmula'!I80+'Fórmula'!K80))*(INDEX(properties!A$1:CB$87,'Fórmula'!B80,53))+(('Fórmula'!E80)/('Fórmula'!C80+'Fórmula'!E80+'Fórmula'!G80+'Fórmula'!I80+'Fórmula'!K80))*(INDEX(properties!A$1:CB$87,'Fórmula'!D80,53))+(('Fórmula'!G80)/('Fórmula'!C80+'Fórmula'!E80+'Fórmula'!G80+'Fórmula'!I80+'Fórmula'!K80))*(INDEX(properties!A$1:CB$87,'Fórmula'!F80,53))+(('Fórmula'!I80)/('Fórmula'!C80+'Fórmula'!E80+'Fórmula'!G80+'Fórmula'!I80+'Fórmula'!K80))*(INDEX(properties!A$1:CB$87,'Fórmula'!H80,53))+(('Fórmula'!K80)/('Fórmula'!C80+'Fórmula'!E80+'Fórmula'!G80+'Fórmula'!I80+'Fórmula'!K80))*(INDEX(properties!A$1:CB$87,'Fórmula'!J80,53))</f>
        <v>504.06</v>
      </c>
      <c r="FC80" s="115">
        <f t="array" ref="FC80">'Fórmula'!C80*(INDEX(properties!A$1:CB$87,'Fórmula'!B80,53))+'Fórmula'!E80*(INDEX(properties!A$1:CB$87,'Fórmula'!D80,53))+'Fórmula'!G80*(INDEX(properties!A$1:CB$87,'Fórmula'!F80,53))+'Fórmula'!I80*(INDEX(properties!A$1:CB$87,'Fórmula'!H80,53))+'Fórmula'!K80*(INDEX(properties!A$1:CB$87,'Fórmula'!J80,53))</f>
        <v>10081.2</v>
      </c>
      <c r="FD80" s="115">
        <f t="array" ref="FD80">VARP(IF(INDEX(properties!A$1:CB$87,'Fórmula'!B80,53)&lt;&gt;"",INDEX(properties!A$1:CB$87,'Fórmula'!B80,53)),IF(INDEX(properties!A$1:CB$87,'Fórmula'!D80,53)&lt;&gt;"",INDEX(properties!A$1:CB$87,'Fórmula'!D80,53)),IF(INDEX(properties!A$1:CB$87,'Fórmula'!F80,53)&lt;&gt;"",INDEX(properties!A$1:CB$87,'Fórmula'!F80,53)),IF(INDEX(properties!A$1:CB$87,'Fórmula'!H80,53)&lt;&gt;"",INDEX(properties!A$1:CB$87,'Fórmula'!H80,53)),IF(INDEX(properties!A$1:CB$87,'Fórmula'!J80,53)&lt;&gt;"",INDEX(properties!A$1:CB$87,'Fórmula'!J80,53)))</f>
        <v>412898.3254</v>
      </c>
      <c r="FE80" s="115">
        <f t="array" ref="FE80">MAX(INDEX(properties!A$1:CB$87,'Fórmula'!B80,53),INDEX(properties!A$1:CB$87,'Fórmula'!D80,53),INDEX(properties!A$1:CB$87,'Fórmula'!F80,53),INDEX(properties!A$1:CB$87,'Fórmula'!H80,53),INDEX(properties!A$1:CB$87,'Fórmula'!J80,53))</f>
        <v>1586.15</v>
      </c>
      <c r="FF80" s="115">
        <f t="array" ref="FF80">MIN(IF(INDEX(properties!A$1:CB$87,'Fórmula'!B80,53)=0,10^6,INDEX(properties!A$1:CB$87,'Fórmula'!B80,53)),IF(INDEX(properties!A$1:CB$87,'Fórmula'!D80,53)=0,10^6,INDEX(properties!A$1:CB$87,'Fórmula'!D80,53)),IF(INDEX(properties!A$1:CB$87,'Fórmula'!F80,53)=0,10^6,INDEX(properties!A$1:CB$87,'Fórmula'!F80,53)),IF(INDEX(properties!A$1:CB$87,'Fórmula'!H80,53)=0,10^6,INDEX(properties!A$1:CB$87,'Fórmula'!H80,53)),IF(INDEX(properties!A$1:CB$87,'Fórmula'!J80,53)=0,10^6,INDEX(properties!A$1:CB$87,'Fórmula'!J80,53)))</f>
        <v>54.75</v>
      </c>
      <c r="FG80" s="115">
        <f t="shared" si="27"/>
        <v>1531.4</v>
      </c>
      <c r="FH80" s="117">
        <f t="array" ref="FH80">(('Fórmula'!C80)/('Fórmula'!C80+'Fórmula'!E80+'Fórmula'!G80+'Fórmula'!I80+'Fórmula'!K80))*(INDEX(properties!A$1:CB$87,'Fórmula'!B80,54))+(('Fórmula'!E80)/('Fórmula'!C80+'Fórmula'!E80+'Fórmula'!G80+'Fórmula'!I80+'Fórmula'!K80))*(INDEX(properties!A$1:CB$87,'Fórmula'!D80,54))+(('Fórmula'!G80)/('Fórmula'!C80+'Fórmula'!E80+'Fórmula'!G80+'Fórmula'!I80+'Fórmula'!K80))*(INDEX(properties!A$1:CB$87,'Fórmula'!F80,54))+(('Fórmula'!I80)/('Fórmula'!C80+'Fórmula'!E80+'Fórmula'!G80+'Fórmula'!I80+'Fórmula'!K80))*(INDEX(properties!A$1:CB$87,'Fórmula'!H80,54))+(('Fórmula'!K80)/('Fórmula'!C80+'Fórmula'!E80+'Fórmula'!G80+'Fórmula'!I80+'Fórmula'!K80))*(INDEX(properties!A$1:CB$87,'Fórmula'!J80,54))</f>
        <v>1271.05</v>
      </c>
      <c r="FI80" s="117">
        <f t="array" ref="FI80">'Fórmula'!C80*(INDEX(properties!A$1:CB$87,'Fórmula'!B80,54))+'Fórmula'!E80*(INDEX(properties!A$1:CB$87,'Fórmula'!D80,54))+'Fórmula'!G80*(INDEX(properties!A$1:CB$87,'Fórmula'!F80,54))+'Fórmula'!I80*(INDEX(properties!A$1:CB$87,'Fórmula'!H80,54))+'Fórmula'!K80*(INDEX(properties!A$1:CB$87,'Fórmula'!J80,54))</f>
        <v>25421</v>
      </c>
      <c r="FJ80" s="117">
        <f t="array" ref="FJ80">VARP(IF(INDEX(properties!A$1:CB$87,'Fórmula'!B80,54)&lt;&gt;"",INDEX(properties!A$1:CB$87,'Fórmula'!B80,54)),IF(INDEX(properties!A$1:CB$87,'Fórmula'!D80,54)&lt;&gt;"",INDEX(properties!A$1:CB$87,'Fórmula'!D80,54)),IF(INDEX(properties!A$1:CB$87,'Fórmula'!F80,54)&lt;&gt;"",INDEX(properties!A$1:CB$87,'Fórmula'!F80,54)),IF(INDEX(properties!A$1:CB$87,'Fórmula'!H80,54)&lt;&gt;"",INDEX(properties!A$1:CB$87,'Fórmula'!H80,54)),IF(INDEX(properties!A$1:CB$87,'Fórmula'!J80,54)&lt;&gt;"",INDEX(properties!A$1:CB$87,'Fórmula'!J80,54)))</f>
        <v>2391981.189</v>
      </c>
      <c r="FK80" s="117">
        <f t="array" ref="FK80">MAX(INDEX(properties!A$1:CB$87,'Fórmula'!B80,54),INDEX(properties!A$1:CB$87,'Fórmula'!D80,54),INDEX(properties!A$1:CB$87,'Fórmula'!F80,54),INDEX(properties!A$1:CB$87,'Fórmula'!H80,54),INDEX(properties!A$1:CB$87,'Fórmula'!J80,54))</f>
        <v>3546.15</v>
      </c>
      <c r="FL80" s="117">
        <f t="array" ref="FL80">MIN(IF(INDEX(properties!A$1:CB$87,'Fórmula'!B80,54)=0,10^6,INDEX(properties!A$1:CB$87,'Fórmula'!B80,54)),IF(INDEX(properties!A$1:CB$87,'Fórmula'!D80,54)=0,10^6,INDEX(properties!A$1:CB$87,'Fórmula'!D80,54)),IF(INDEX(properties!A$1:CB$87,'Fórmula'!F80,54)=0,10^6,INDEX(properties!A$1:CB$87,'Fórmula'!F80,54)),IF(INDEX(properties!A$1:CB$87,'Fórmula'!H80,54)=0,10^6,INDEX(properties!A$1:CB$87,'Fórmula'!H80,54)),IF(INDEX(properties!A$1:CB$87,'Fórmula'!J80,54)=0,10^6,INDEX(properties!A$1:CB$87,'Fórmula'!J80,54)))</f>
        <v>90.15</v>
      </c>
      <c r="FM80" s="117">
        <f t="shared" si="28"/>
        <v>3456</v>
      </c>
      <c r="FN80" s="118">
        <f t="array" ref="FN80">(('Fórmula'!C80)/('Fórmula'!C80+'Fórmula'!E80+'Fórmula'!G80+'Fórmula'!I80+'Fórmula'!K80))*(INDEX(properties!A$1:CB$87,'Fórmula'!B80,55))+(('Fórmula'!E80)/('Fórmula'!C80+'Fórmula'!E80+'Fórmula'!G80+'Fórmula'!I80+'Fórmula'!K80))*(INDEX(properties!A$1:CB$87,'Fórmula'!D80,55))+(('Fórmula'!G80)/('Fórmula'!C80+'Fórmula'!E80+'Fórmula'!G80+'Fórmula'!I80+'Fórmula'!K80))*(INDEX(properties!A$1:CB$87,'Fórmula'!F80,55))+(('Fórmula'!I80)/('Fórmula'!C80+'Fórmula'!E80+'Fórmula'!G80+'Fórmula'!I80+'Fórmula'!K80))*(INDEX(properties!A$1:CB$87,'Fórmula'!H80,55))+(('Fórmula'!K80)/('Fórmula'!C80+'Fórmula'!E80+'Fórmula'!G80+'Fórmula'!I80+'Fórmula'!K80))*(INDEX(properties!A$1:CB$87,'Fórmula'!J80,55))</f>
        <v>1.860858</v>
      </c>
      <c r="FO80" s="118">
        <f t="array" ref="FO80">'Fórmula'!C80*(INDEX(properties!A$1:CB$87,'Fórmula'!B80,55))+'Fórmula'!E80*(INDEX(properties!A$1:CB$87,'Fórmula'!D80,54))+'Fórmula'!G80*(INDEX(properties!A$1:CB$87,'Fórmula'!F80,55))+'Fórmula'!I80*(INDEX(properties!A$1:CB$87,'Fórmula'!H80,55))+'Fórmula'!K80*(INDEX(properties!A$1:CB$87,'Fórmula'!J80,55))</f>
        <v>13724.46716</v>
      </c>
      <c r="FP80" s="118">
        <f t="array" ref="FP80">VARP(IF(INDEX(properties!A$1:CB$87,'Fórmula'!B80,55)&lt;&gt;"",INDEX(properties!A$1:CB$87,'Fórmula'!B80,55)),IF(INDEX(properties!A$1:CB$87,'Fórmula'!D80,55)&lt;&gt;"",INDEX(properties!A$1:CB$87,'Fórmula'!D80,55)),IF(INDEX(properties!A$1:CB$87,'Fórmula'!F80,55)&lt;&gt;"",INDEX(properties!A$1:CB$87,'Fórmula'!F80,55)),IF(INDEX(properties!A$1:CB$87,'Fórmula'!H80,55)&lt;&gt;"",INDEX(properties!A$1:CB$87,'Fórmula'!H80,55)),IF(INDEX(properties!A$1:CB$87,'Fórmula'!J80,55)&lt;&gt;"",INDEX(properties!A$1:CB$87,'Fórmula'!J80,55)))</f>
        <v>9.444387687</v>
      </c>
      <c r="FQ80" s="118">
        <f t="array" ref="FQ80">MAX(INDEX(properties!A$1:CB$87,'Fórmula'!B80,55),INDEX(properties!A$1:CB$87,'Fórmula'!D80,55),INDEX(properties!A$1:CB$87,'Fórmula'!F80,55),INDEX(properties!A$1:CB$87,'Fórmula'!H80,55),INDEX(properties!A$1:CB$87,'Fórmula'!J80,55))</f>
        <v>7.9</v>
      </c>
      <c r="FR80" s="118">
        <f t="array" ref="FR80">MIN(IF(INDEX(properties!A$1:CB$87,'Fórmula'!B80,55)=0,10^6,INDEX(properties!A$1:CB$87,'Fórmula'!B80,55)),IF(INDEX(properties!A$1:CB$87,'Fórmula'!D80,55)=0,10^6,INDEX(properties!A$1:CB$87,'Fórmula'!D80,55)),IF(INDEX(properties!A$1:CB$87,'Fórmula'!F80,55)=0,10^6,INDEX(properties!A$1:CB$87,'Fórmula'!F80,55)),IF(INDEX(properties!A$1:CB$87,'Fórmula'!H80,55)=0,10^6,INDEX(properties!A$1:CB$87,'Fórmula'!H80,55)),IF(INDEX(properties!A$1:CB$87,'Fórmula'!J80,55)=0,10^6,INDEX(properties!A$1:CB$87,'Fórmula'!J80,55)))</f>
        <v>0.00143</v>
      </c>
      <c r="FS80" s="118">
        <f t="shared" si="29"/>
        <v>7.89857</v>
      </c>
      <c r="FT80" s="119">
        <f t="array" ref="FT80">(('Fórmula'!C80)/('Fórmula'!C80+'Fórmula'!E80+'Fórmula'!G80+'Fórmula'!I80+'Fórmula'!K80))*(INDEX(properties!A$1:CB$87,'Fórmula'!B80,56))+(('Fórmula'!E80)/('Fórmula'!C80+'Fórmula'!E80+'Fórmula'!G80+'Fórmula'!I80+'Fórmula'!K80))*(INDEX(properties!A$1:CB$87,'Fórmula'!D80,56))+(('Fórmula'!G80)/('Fórmula'!C80+'Fórmula'!E80+'Fórmula'!G80+'Fórmula'!I80+'Fórmula'!K80))*(INDEX(properties!A$1:CB$87,'Fórmula'!F80,56))+(('Fórmula'!I80)/('Fórmula'!C80+'Fórmula'!E80+'Fórmula'!G80+'Fórmula'!I80+'Fórmula'!K80))*(INDEX(properties!A$1:CB$87,'Fórmula'!H80,56))+(('Fórmula'!K80)/('Fórmula'!C80+'Fórmula'!E80+'Fórmula'!G80+'Fórmula'!I80+'Fórmula'!K80))*(INDEX(properties!A$1:CB$87,'Fórmula'!J80,56))</f>
        <v>0.8115</v>
      </c>
      <c r="FU80" s="119">
        <f t="array" ref="FU80">'Fórmula'!C80*(INDEX(properties!A$1:CB$87,'Fórmula'!B80,56))+'Fórmula'!E80*(INDEX(properties!A$1:CB$87,'Fórmula'!D80,56))+'Fórmula'!G80*(INDEX(properties!A$1:CB$87,'Fórmula'!F80,56))+'Fórmula'!I80*(INDEX(properties!A$1:CB$87,'Fórmula'!H80,56))+'Fórmula'!K80*(INDEX(properties!A$1:CB$87,'Fórmula'!J80,56))</f>
        <v>16.23</v>
      </c>
      <c r="FV80" s="119">
        <f t="array" ref="FV80">VARP(IF(INDEX(properties!A$1:CB$87,'Fórmula'!B80,56)&lt;&gt;"",INDEX(properties!A$1:CB$87,'Fórmula'!B80,56)),IF(INDEX(properties!A$1:CB$87,'Fórmula'!D80,56)&lt;&gt;"",INDEX(properties!A$1:CB$87,'Fórmula'!D80,56)),IF(INDEX(properties!A$1:CB$87,'Fórmula'!F80,56)&lt;&gt;"",INDEX(properties!A$1:CB$87,'Fórmula'!F80,56)),IF(INDEX(properties!A$1:CB$87,'Fórmula'!H80,56)&lt;&gt;"",INDEX(properties!A$1:CB$87,'Fórmula'!H80,56)),IF(INDEX(properties!A$1:CB$87,'Fórmula'!J80,56)&lt;&gt;"",INDEX(properties!A$1:CB$87,'Fórmula'!J80,56)))</f>
        <v>0.17376</v>
      </c>
      <c r="FW80" s="119">
        <f t="array" ref="FW80">MAX(INDEX(properties!A$1:CB$87,'Fórmula'!B80,56),INDEX(properties!A$1:CB$87,'Fórmula'!D80,56),INDEX(properties!A$1:CB$87,'Fórmula'!F80,56),INDEX(properties!A$1:CB$87,'Fórmula'!H80,56),INDEX(properties!A$1:CB$87,'Fórmula'!J80,56))</f>
        <v>0.92</v>
      </c>
      <c r="FX80" s="119">
        <f t="array" ref="FX80">MIN(IF(INDEX(properties!A$1:CB$87,'Fórmula'!B80,56)=0,10^6,INDEX(properties!A$1:CB$87,'Fórmula'!B80,56)),IF(INDEX(properties!A$1:CB$87,'Fórmula'!D80,56)=0,10^6,INDEX(properties!A$1:CB$87,'Fórmula'!D80,56)),IF(INDEX(properties!A$1:CB$87,'Fórmula'!F80,56)=0,10^6,INDEX(properties!A$1:CB$87,'Fórmula'!F80,56)),IF(INDEX(properties!A$1:CB$87,'Fórmula'!H80,56)=0,10^6,INDEX(properties!A$1:CB$87,'Fórmula'!H80,56)),IF(INDEX(properties!A$1:CB$87,'Fórmula'!J80,56)=0,10^6,INDEX(properties!A$1:CB$87,'Fórmula'!J80,56)))</f>
        <v>0.23</v>
      </c>
      <c r="FY80" s="119">
        <f t="shared" si="30"/>
        <v>0.69</v>
      </c>
      <c r="FZ80" s="104">
        <f t="array" ref="FZ80">(('Fórmula'!C80)/('Fórmula'!C80+'Fórmula'!E80+'Fórmula'!G80+'Fórmula'!I80+'Fórmula'!K80))*(INDEX(properties!A$1:CB$87,'Fórmula'!B80,57))+(('Fórmula'!E80)/('Fórmula'!C80+'Fórmula'!E80+'Fórmula'!G80+'Fórmula'!I80+'Fórmula'!K80))*(INDEX(properties!A$1:CB$87,'Fórmula'!D80,57))+(('Fórmula'!G80)/('Fórmula'!C80+'Fórmula'!E80+'Fórmula'!G80+'Fórmula'!I80+'Fórmula'!K80))*(INDEX(properties!A$1:CB$87,'Fórmula'!F80,57))+(('Fórmula'!I80)/('Fórmula'!C80+'Fórmula'!E80+'Fórmula'!G80+'Fórmula'!I80+'Fórmula'!K80))*(INDEX(properties!A$1:CB$87,'Fórmula'!H80,57))+(('Fórmula'!K80)/('Fórmula'!C80+'Fórmula'!E80+'Fórmula'!G80+'Fórmula'!I80+'Fórmula'!K80))*(INDEX(properties!A$1:CB$87,'Fórmula'!J80,57))</f>
        <v>4.338554</v>
      </c>
      <c r="GA80" s="104">
        <f t="array" ref="GA80">'Fórmula'!C80*(INDEX(properties!A$1:CB$87,'Fórmula'!B80,57))+'Fórmula'!E80*(INDEX(properties!A$1:CB$87,'Fórmula'!D80,57))+'Fórmula'!G80*(INDEX(properties!A$1:CB$87,'Fórmula'!F80,57))+'Fórmula'!I80*(INDEX(properties!A$1:CB$87,'Fórmula'!H80,57))+'Fórmula'!K80*(INDEX(properties!A$1:CB$87,'Fórmula'!J80,57))</f>
        <v>86.77108</v>
      </c>
      <c r="GB80" s="104">
        <f t="array" ref="GB80">VARP(IF(INDEX(properties!A$1:CB$87,'Fórmula'!B80,57)&lt;&gt;"",INDEX(properties!A$1:CB$87,'Fórmula'!B80,57)),IF(INDEX(properties!A$1:CB$87,'Fórmula'!D80,57)&lt;&gt;"",INDEX(properties!A$1:CB$87,'Fórmula'!D80,57)),IF(INDEX(properties!A$1:CB$87,'Fórmula'!F80,57)&lt;&gt;"",INDEX(properties!A$1:CB$87,'Fórmula'!F80,57)),IF(INDEX(properties!A$1:CB$87,'Fórmula'!H80,57)&lt;&gt;"",INDEX(properties!A$1:CB$87,'Fórmula'!H80,57)),IF(INDEX(properties!A$1:CB$87,'Fórmula'!J80,57)&lt;&gt;"",INDEX(properties!A$1:CB$87,'Fórmula'!J80,57)))</f>
        <v>25.74992136</v>
      </c>
      <c r="GC80" s="104">
        <f t="array" ref="GC80">MAX(INDEX(properties!A$1:CB$87,'Fórmula'!B80,57),INDEX(properties!A$1:CB$87,'Fórmula'!D80,57),INDEX(properties!A$1:CB$87,'Fórmula'!F80,57),INDEX(properties!A$1:CB$87,'Fórmula'!H80,57),INDEX(properties!A$1:CB$87,'Fórmula'!J80,57))</f>
        <v>10.79</v>
      </c>
      <c r="GD80" s="104">
        <f t="array" ref="GD80">MIN(IF(INDEX(properties!A$1:CB$87,'Fórmula'!B80,57)=0,10^6,INDEX(properties!A$1:CB$87,'Fórmula'!B80,57)),IF(INDEX(properties!A$1:CB$87,'Fórmula'!D80,57)=0,10^6,INDEX(properties!A$1:CB$87,'Fórmula'!D80,57)),IF(INDEX(properties!A$1:CB$87,'Fórmula'!F80,57)=0,10^6,INDEX(properties!A$1:CB$87,'Fórmula'!F80,57)),IF(INDEX(properties!A$1:CB$87,'Fórmula'!H80,57)=0,10^6,INDEX(properties!A$1:CB$87,'Fórmula'!H80,57)),IF(INDEX(properties!A$1:CB$87,'Fórmula'!J80,57)=0,10^6,INDEX(properties!A$1:CB$87,'Fórmula'!J80,57)))</f>
        <v>0.22259</v>
      </c>
      <c r="GE80" s="104">
        <f t="shared" si="31"/>
        <v>10.56741</v>
      </c>
      <c r="GF80" s="105">
        <f t="array" ref="GF80">(('Fórmula'!C80)/('Fórmula'!C80+'Fórmula'!E80+'Fórmula'!G80+'Fórmula'!I80+'Fórmula'!K80))*(INDEX(properties!A$1:CB$87,'Fórmula'!B80,60))+(('Fórmula'!E80)/('Fórmula'!C80+'Fórmula'!E80+'Fórmula'!G80+'Fórmula'!I80+'Fórmula'!K80))*(INDEX(properties!A$1:CB$87,'Fórmula'!D80,60))+(('Fórmula'!G80)/('Fórmula'!C80+'Fórmula'!E80+'Fórmula'!G80+'Fórmula'!I80+'Fórmula'!K80))*(INDEX(properties!A$1:CB$87,'Fórmula'!F80,60))+(('Fórmula'!I80)/('Fórmula'!C80+'Fórmula'!E80+'Fórmula'!G80+'Fórmula'!I80+'Fórmula'!K80))*(INDEX(properties!A$1:CB$87,'Fórmula'!H80,60))+(('Fórmula'!K80)/('Fórmula'!C80+'Fórmula'!E80+'Fórmula'!G80+'Fórmula'!I80+'Fórmula'!K80))*(INDEX(properties!A$1:CB$87,'Fórmula'!J80,60))</f>
        <v>60.856044</v>
      </c>
      <c r="GG80" s="105">
        <f t="array" ref="GG80">'Fórmula'!C80*(INDEX(properties!A$1:CB$87,'Fórmula'!B80,60))+'Fórmula'!E80*(INDEX(properties!A$1:CB$87,'Fórmula'!D80,60))+'Fórmula'!G80*(INDEX(properties!A$1:CB$87,'Fórmula'!F80,60))+'Fórmula'!I80*(INDEX(properties!A$1:CB$87,'Fórmula'!H80,60))+'Fórmula'!K80*(INDEX(properties!A$1:CB$87,'Fórmula'!J80,60))</f>
        <v>1217.12088</v>
      </c>
      <c r="GH80" s="105">
        <f t="array" ref="GH80">VARP(IF(INDEX(properties!A$1:CB$87,'Fórmula'!B80,60)&lt;&gt;"",INDEX(properties!A$1:CB$87,'Fórmula'!B80,60)),IF(INDEX(properties!A$1:CB$87,'Fórmula'!D80,60)&lt;&gt;"",INDEX(properties!A$1:CB$87,'Fórmula'!D80,60)),IF(INDEX(properties!A$1:CB$87,'Fórmula'!F80,60)&lt;&gt;"",INDEX(properties!A$1:CB$87,'Fórmula'!F80,60)),IF(INDEX(properties!A$1:CB$87,'Fórmula'!H80,60)&lt;&gt;"",INDEX(properties!A$1:CB$87,'Fórmula'!H80,60)),IF(INDEX(properties!A$1:CB$87,'Fórmula'!J80,60)&lt;&gt;"",INDEX(properties!A$1:CB$87,'Fórmula'!J80,60)))</f>
        <v>8803.512048</v>
      </c>
      <c r="GI80" s="105">
        <f t="array" ref="GI80">MAX(INDEX(properties!A$1:CB$87,'Fórmula'!B80,60),INDEX(properties!A$1:CB$87,'Fórmula'!D80,60),INDEX(properties!A$1:CB$87,'Fórmula'!F80,60),INDEX(properties!A$1:CB$87,'Fórmula'!H80,60),INDEX(properties!A$1:CB$87,'Fórmula'!J80,60))</f>
        <v>237</v>
      </c>
      <c r="GJ80" s="105">
        <f t="array" ref="GJ80">MIN(IF(INDEX(properties!A$1:CB$87,'Fórmula'!B80,60)=0,10^6,INDEX(properties!A$1:CB$87,'Fórmula'!B80,60)),IF(INDEX(properties!A$1:CB$87,'Fórmula'!D80,60)=0,10^6,INDEX(properties!A$1:CB$87,'Fórmula'!D80,60)),IF(INDEX(properties!A$1:CB$87,'Fórmula'!F80,60)=0,10^6,INDEX(properties!A$1:CB$87,'Fórmula'!F80,60)),IF(INDEX(properties!A$1:CB$87,'Fórmula'!H80,60)=0,10^6,INDEX(properties!A$1:CB$87,'Fórmula'!H80,60)),IF(INDEX(properties!A$1:CB$87,'Fórmula'!J80,60)=0,10^6,INDEX(properties!A$1:CB$87,'Fórmula'!J80,60)))</f>
        <v>0.02674</v>
      </c>
      <c r="GK80" s="105">
        <f t="shared" si="32"/>
        <v>236.97326</v>
      </c>
      <c r="GL80" s="106">
        <f t="array" ref="GL80">(('Fórmula'!C80)/('Fórmula'!C80+'Fórmula'!E80+'Fórmula'!G80+'Fórmula'!I80+'Fórmula'!K80))*(INDEX(properties!A$1:CB$87,'Fórmula'!B80,62))+(('Fórmula'!E80)/('Fórmula'!C80+'Fórmula'!E80+'Fórmula'!G80+'Fórmula'!I80+'Fórmula'!K80))*(INDEX(properties!A$1:CB$87,'Fórmula'!D80,62))+(('Fórmula'!G80)/('Fórmula'!C80+'Fórmula'!E80+'Fórmula'!G80+'Fórmula'!I80+'Fórmula'!K80))*(INDEX(properties!A$1:CB$87,'Fórmula'!F80,62))+(('Fórmula'!I80)/('Fórmula'!C80+'Fórmula'!E80+'Fórmula'!G80+'Fórmula'!I80+'Fórmula'!K80))*(INDEX(properties!A$1:CB$87,'Fórmula'!H80,62))+(('Fórmula'!K80)/('Fórmula'!C80+'Fórmula'!E80+'Fórmula'!G80+'Fórmula'!I80+'Fórmula'!K80))*(INDEX(properties!A$1:CB$87,'Fórmula'!J80,62))</f>
        <v>3.0405</v>
      </c>
      <c r="GM80" s="106">
        <f t="array" ref="GM80">'Fórmula'!C80*(INDEX(properties!A$1:CB$87,'Fórmula'!B80,62))+'Fórmula'!E80*(INDEX(properties!A$1:CB$87,'Fórmula'!D80,62))+'Fórmula'!G80*(INDEX(properties!A$1:CB$87,'Fórmula'!F80,62))+'Fórmula'!I80*(INDEX(properties!A$1:CB$87,'Fórmula'!H80,62))+'Fórmula'!K80*(INDEX(properties!A$1:CB$87,'Fórmula'!J80,62))</f>
        <v>60.81</v>
      </c>
      <c r="GN80" s="106">
        <f t="array" ref="GN80">VARP(IF(INDEX(properties!A$1:CB$87,'Fórmula'!B80,62)&lt;&gt;"",INDEX(properties!A$1:CB$87,'Fórmula'!B80,62)),IF(INDEX(properties!A$1:CB$87,'Fórmula'!D80,62)&lt;&gt;"",INDEX(properties!A$1:CB$87,'Fórmula'!D80,62)),IF(INDEX(properties!A$1:CB$87,'Fórmula'!F80,62)&lt;&gt;"",INDEX(properties!A$1:CB$87,'Fórmula'!F80,62)),IF(INDEX(properties!A$1:CB$87,'Fórmula'!H80,62)&lt;&gt;"",INDEX(properties!A$1:CB$87,'Fórmula'!H80,62)),IF(INDEX(properties!A$1:CB$87,'Fórmula'!J80,62)&lt;&gt;"",INDEX(properties!A$1:CB$87,'Fórmula'!J80,62)))</f>
        <v>2.97832</v>
      </c>
      <c r="GO80" s="106">
        <f t="array" ref="GO80">MAX(INDEX(properties!A$1:CB$87,'Fórmula'!B80,62),INDEX(properties!A$1:CB$87,'Fórmula'!D80,62),INDEX(properties!A$1:CB$87,'Fórmula'!F80,62),INDEX(properties!A$1:CB$87,'Fórmula'!H80,62),INDEX(properties!A$1:CB$87,'Fórmula'!J80,62))</f>
        <v>4.14</v>
      </c>
      <c r="GP80" s="106">
        <f t="array" ref="GP80">MIN(IF(INDEX(properties!A$1:CB$87,'Fórmula'!B80,62)=0,10^6,INDEX(properties!A$1:CB$87,'Fórmula'!B80,62)),IF(INDEX(properties!A$1:CB$87,'Fórmula'!D80,62)=0,10^6,INDEX(properties!A$1:CB$87,'Fórmula'!D80,62)),IF(INDEX(properties!A$1:CB$87,'Fórmula'!F80,62)=0,10^6,INDEX(properties!A$1:CB$87,'Fórmula'!F80,62)),IF(INDEX(properties!A$1:CB$87,'Fórmula'!H80,62)=0,10^6,INDEX(properties!A$1:CB$87,'Fórmula'!H80,62)),IF(INDEX(properties!A$1:CB$87,'Fórmula'!J80,62)=0,10^6,INDEX(properties!A$1:CB$87,'Fórmula'!J80,62)))</f>
        <v>2.62</v>
      </c>
      <c r="GQ80" s="106">
        <f t="shared" si="33"/>
        <v>1.52</v>
      </c>
      <c r="GR80" s="106">
        <f>'Fórmula'!Q80</f>
        <v>230</v>
      </c>
      <c r="GS80" s="107">
        <f>'Fórmula'!P80</f>
        <v>1</v>
      </c>
      <c r="GT80" s="113">
        <f>'Fórmula'!O80</f>
        <v>5.98</v>
      </c>
      <c r="GU80" s="114">
        <f>AVERAGE('Fórmula'!R80/'Fórmula'!S80,'Fórmula'!S80/'Fórmula'!T80,'Fórmula'!T80/'Fórmula'!R80)</f>
        <v>1</v>
      </c>
      <c r="GV80" s="125">
        <f>'Fórmula'!U80</f>
        <v>1775.39</v>
      </c>
      <c r="GW80" s="106">
        <f>'Fórmula'!N80</f>
        <v>0.1</v>
      </c>
    </row>
    <row r="81" ht="14.25" customHeight="1">
      <c r="A81" s="99" t="str">
        <f>'Fórmula'!A81</f>
        <v>Gd2SiO5</v>
      </c>
      <c r="B81" s="101">
        <f t="array" ref="B81">(('Fórmula'!C81)/('Fórmula'!C81+'Fórmula'!E81+'Fórmula'!G81+'Fórmula'!I81+'Fórmula'!K81))*(INDEX(properties!A$1:CB$87,'Fórmula'!B81,3))+(('Fórmula'!E81)/('Fórmula'!C81+'Fórmula'!E81+'Fórmula'!G81+'Fórmula'!I81+'Fórmula'!K81))*(INDEX(properties!A$1:CB$87,'Fórmula'!D81,3))+(('Fórmula'!G81)/('Fórmula'!C81+'Fórmula'!E81+'Fórmula'!G81+'Fórmula'!I81+'Fórmula'!K81))*(INDEX(properties!A$1:CB$87,'Fórmula'!F81,3))+(('Fórmula'!I81)/('Fórmula'!C81+'Fórmula'!E81+'Fórmula'!G81+'Fórmula'!I81+'Fórmula'!K81))*(INDEX(properties!A$1:CB$87,'Fórmula'!H81,3))+(('Fórmula'!K81)/('Fórmula'!C81+'Fórmula'!E81+'Fórmula'!G81+'Fórmula'!I81+'Fórmula'!K81))*(INDEX(properties!A$1:CB$87,'Fórmula'!J81,3))</f>
        <v>52.8228125</v>
      </c>
      <c r="C81" s="101">
        <f t="array" ref="C81">'Fórmula'!C81*(INDEX(properties!A$1:CB$87,'Fórmula'!B81,3))+'Fórmula'!E81*(INDEX(properties!A$1:CB$87,'Fórmula'!D81,3))+'Fórmula'!G81*(INDEX(properties!A$1:CB$87,'Fórmula'!F81,3))+'Fórmula'!I81*(INDEX(properties!A$1:CB$87,'Fórmula'!H81,3))+'Fórmula'!K81*(INDEX(properties!A$1:CB$87,'Fórmula'!J81,3))</f>
        <v>422.5825</v>
      </c>
      <c r="D81" s="101">
        <f t="array" ref="D81">VARP(IF(INDEX(properties!A$1:CB$87,'Fórmula'!B81,3)&lt;&gt;"",INDEX(properties!A$1:CB$87,'Fórmula'!B81,3)),IF(INDEX(properties!A$1:CB$87,'Fórmula'!D81,3)&lt;&gt;"",INDEX(properties!A$1:CB$87,'Fórmula'!D81,3)),IF(INDEX(properties!A$1:CB$87,'Fórmula'!F81,3)&lt;&gt;"",INDEX(properties!A$1:CB$87,'Fórmula'!F81,3)),IF(INDEX(properties!A$1:CB$87,'Fórmula'!H81,3)&lt;&gt;"",INDEX(properties!A$1:CB$87,'Fórmula'!H81,3)),IF(INDEX(properties!A$1:CB$87,'Fórmula'!J81,3)&lt;&gt;"",INDEX(properties!A$1:CB$87,'Fórmula'!J81,3)))</f>
        <v>3533.038044</v>
      </c>
      <c r="E81" s="101">
        <f t="array" ref="E81">MAX(INDEX(properties!A$1:CB$87,'Fórmula'!B81,3),INDEX(properties!A$1:CB$87,'Fórmula'!D81,3),INDEX(properties!A$1:CB$87,'Fórmula'!F81,3),INDEX(properties!A$1:CB$87,'Fórmula'!H81,3),INDEX(properties!A$1:CB$87,'Fórmula'!J81,3))</f>
        <v>157.25</v>
      </c>
      <c r="F81" s="101">
        <f t="array" ref="F81">MIN(IF(INDEX(properties!A$1:CB$87,'Fórmula'!B81,3)=0,10^6,INDEX(properties!A$1:CB$87,'Fórmula'!B81,3)),IF(INDEX(properties!A$1:CB$87,'Fórmula'!D81,3)=0,10^6,INDEX(properties!A$1:CB$87,'Fórmula'!D81,3)),IF(INDEX(properties!A$1:CB$87,'Fórmula'!F81,3)=0,10^6,INDEX(properties!A$1:CB$87,'Fórmula'!F81,3)),IF(INDEX(properties!A$1:CB$87,'Fórmula'!H81,3)=0,10^6,INDEX(properties!A$1:CB$87,'Fórmula'!H81,3)),IF(INDEX(properties!A$1:CB$87,'Fórmula'!J81,3)=0,10^6,INDEX(properties!A$1:CB$87,'Fórmula'!J81,3)))</f>
        <v>15.9994</v>
      </c>
      <c r="G81" s="101">
        <f t="shared" si="1"/>
        <v>141.2506</v>
      </c>
      <c r="H81" s="102">
        <f t="array" ref="H81">(('Fórmula'!C81)/('Fórmula'!C81+'Fórmula'!E81+'Fórmula'!G81+'Fórmula'!I81+'Fórmula'!K81))*(INDEX(properties!A$1:CB$87,'Fórmula'!B81,4))+(('Fórmula'!E81)/('Fórmula'!C81+'Fórmula'!E81+'Fórmula'!G81+'Fórmula'!I81+'Fórmula'!K81))*(INDEX(properties!A$1:CB$87,'Fórmula'!D81,4))+(('Fórmula'!G81)/('Fórmula'!C81+'Fórmula'!E81+'Fórmula'!G81+'Fórmula'!I81+'Fórmula'!K81))*(INDEX(properties!A$1:CB$87,'Fórmula'!F81,4))+(('Fórmula'!I81)/('Fórmula'!C81+'Fórmula'!E81+'Fórmula'!G81+'Fórmula'!I81+'Fórmula'!K81))*(INDEX(properties!A$1:CB$87,'Fórmula'!H81,4))+(('Fórmula'!K81)/('Fórmula'!C81+'Fórmula'!E81+'Fórmula'!G81+'Fórmula'!I81+'Fórmula'!K81))*(INDEX(properties!A$1:CB$87,'Fórmula'!J81,4))</f>
        <v>22.75</v>
      </c>
      <c r="I81" s="102">
        <f t="array" ref="I81">'Fórmula'!C81*(INDEX(properties!A$1:CB$87,'Fórmula'!B81,4))+'Fórmula'!E81*(INDEX(properties!A$1:CB$87,'Fórmula'!D81,4))+'Fórmula'!G81*(INDEX(properties!A$1:CB$87,'Fórmula'!F81,4))+'Fórmula'!I81*(INDEX(properties!A$1:CB$87,'Fórmula'!H81,4))+'Fórmula'!K81*(INDEX(properties!A$1:CB$87,'Fórmula'!J81,4))</f>
        <v>182</v>
      </c>
      <c r="J81" s="102">
        <f t="array" ref="J81">VARP(IF(INDEX(properties!A$1:CB$87,'Fórmula'!B81,4)&lt;&gt;"",INDEX(properties!A$1:CB$87,'Fórmula'!B81,4)),IF(INDEX(properties!A$1:CB$87,'Fórmula'!D81,4)&lt;&gt;"",INDEX(properties!A$1:CB$87,'Fórmula'!D81,4)),IF(INDEX(properties!A$1:CB$87,'Fórmula'!F81,4)&lt;&gt;"",INDEX(properties!A$1:CB$87,'Fórmula'!F81,4)),IF(INDEX(properties!A$1:CB$87,'Fórmula'!H81,4)&lt;&gt;"",INDEX(properties!A$1:CB$87,'Fórmula'!H81,4)),IF(INDEX(properties!A$1:CB$87,'Fórmula'!J81,4)&lt;&gt;"",INDEX(properties!A$1:CB$87,'Fórmula'!J81,4)))</f>
        <v>575.36</v>
      </c>
      <c r="K81" s="102">
        <f t="array" ref="K81">MAX(INDEX(properties!A$1:CB$87,'Fórmula'!B81,4),INDEX(properties!A$1:CB$87,'Fórmula'!D81,4),INDEX(properties!A$1:CB$87,'Fórmula'!F81,4),INDEX(properties!A$1:CB$87,'Fórmula'!H81,4),INDEX(properties!A$1:CB$87,'Fórmula'!J81,4))</f>
        <v>64</v>
      </c>
      <c r="L81" s="102">
        <f t="array" ref="L81">MIN(IF(INDEX(properties!A$1:CB$87,'Fórmula'!B81,4)=0,10^6,INDEX(properties!A$1:CB$87,'Fórmula'!B81,4)),IF(INDEX(properties!A$1:CB$87,'Fórmula'!D81,4)=0,10^6,INDEX(properties!A$1:CB$87,'Fórmula'!D81,4)),IF(INDEX(properties!A$1:CB$87,'Fórmula'!F81,4)=0,10^6,INDEX(properties!A$1:CB$87,'Fórmula'!F81,4)),IF(INDEX(properties!A$1:CB$87,'Fórmula'!H81,4)=0,10^6,INDEX(properties!A$1:CB$87,'Fórmula'!H81,4)),IF(INDEX(properties!A$1:CB$87,'Fórmula'!J81,4)=0,10^6,INDEX(properties!A$1:CB$87,'Fórmula'!J81,4)))</f>
        <v>8</v>
      </c>
      <c r="M81" s="102">
        <f t="shared" si="2"/>
        <v>56</v>
      </c>
      <c r="N81" s="103">
        <f t="array" ref="N81">(('Fórmula'!C81)/('Fórmula'!C81+'Fórmula'!E81+'Fórmula'!G81+'Fórmula'!I81+'Fórmula'!K81))*(INDEX(properties!A$1:CB$87,'Fórmula'!B81,5))+(('Fórmula'!E81)/('Fórmula'!C81+'Fórmula'!E81+'Fórmula'!G81+'Fórmula'!I81+'Fórmula'!K81))*(INDEX(properties!A$1:CB$87,'Fórmula'!D81,5))+(('Fórmula'!G81)/('Fórmula'!C81+'Fórmula'!E81+'Fórmula'!G81+'Fórmula'!I81+'Fórmula'!K81))*(INDEX(properties!A$1:CB$87,'Fórmula'!F81,5))+(('Fórmula'!I81)/('Fórmula'!C81+'Fórmula'!E81+'Fórmula'!G81+'Fórmula'!I81+'Fórmula'!K81))*(INDEX(properties!A$1:CB$87,'Fórmula'!H81,5))+(('Fórmula'!K81)/('Fórmula'!C81+'Fórmula'!E81+'Fórmula'!G81+'Fórmula'!I81+'Fórmula'!K81))*(INDEX(properties!A$1:CB$87,'Fórmula'!J81,5))</f>
        <v>3.125</v>
      </c>
      <c r="O81" s="103">
        <f t="array" ref="O81">'Fórmula'!C81*(INDEX(properties!A$1:CB$87,'Fórmula'!B81,5))+'Fórmula'!E81*(INDEX(properties!A$1:CB$87,'Fórmula'!D81,5))+'Fórmula'!G81*(INDEX(properties!A$1:CB$87,'Fórmula'!F81,5))+'Fórmula'!I81*(INDEX(properties!A$1:CB$87,'Fórmula'!H81,5))+'Fórmula'!K81*(INDEX(properties!A$1:CB$87,'Fórmula'!J81,5))</f>
        <v>25</v>
      </c>
      <c r="P81" s="103">
        <f t="array" ref="P81">VARP(IF(INDEX(properties!A$1:CB$87,'Fórmula'!B81,5)&lt;&gt;"",INDEX(properties!A$1:CB$87,'Fórmula'!B81,5)),IF(INDEX(properties!A$1:CB$87,'Fórmula'!D81,5)&lt;&gt;"",INDEX(properties!A$1:CB$87,'Fórmula'!D81,5)),IF(INDEX(properties!A$1:CB$87,'Fórmula'!F81,5)&lt;&gt;"",INDEX(properties!A$1:CB$87,'Fórmula'!F81,5)),IF(INDEX(properties!A$1:CB$87,'Fórmula'!H81,5)&lt;&gt;"",INDEX(properties!A$1:CB$87,'Fórmula'!H81,5)),IF(INDEX(properties!A$1:CB$87,'Fórmula'!J81,5)&lt;&gt;"",INDEX(properties!A$1:CB$87,'Fórmula'!J81,5)))</f>
        <v>4.96</v>
      </c>
      <c r="Q81" s="103">
        <f t="array" ref="Q81">MAX(INDEX(properties!A$1:CB$87,'Fórmula'!B81,5),INDEX(properties!A$1:CB$87,'Fórmula'!D81,5),INDEX(properties!A$1:CB$87,'Fórmula'!F81,5),INDEX(properties!A$1:CB$87,'Fórmula'!H81,5),INDEX(properties!A$1:CB$87,'Fórmula'!J81,5))</f>
        <v>6</v>
      </c>
      <c r="R81" s="103">
        <f t="array" ref="R81">MIN(IF(INDEX(properties!A$1:CB$87,'Fórmula'!B81,5)=0,10^6,INDEX(properties!A$1:CB$87,'Fórmula'!B81,5)),IF(INDEX(properties!A$1:CB$87,'Fórmula'!D81,5)=0,10^6,INDEX(properties!A$1:CB$87,'Fórmula'!D81,5)),IF(INDEX(properties!A$1:CB$87,'Fórmula'!F81,5)=0,10^6,INDEX(properties!A$1:CB$87,'Fórmula'!F81,5)),IF(INDEX(properties!A$1:CB$87,'Fórmula'!H81,5)=0,10^6,INDEX(properties!A$1:CB$87,'Fórmula'!H81,5)),IF(INDEX(properties!A$1:CB$87,'Fórmula'!J81,5)=0,10^6,INDEX(properties!A$1:CB$87,'Fórmula'!J81,5)))</f>
        <v>2</v>
      </c>
      <c r="S81" s="103">
        <f t="shared" si="3"/>
        <v>4</v>
      </c>
      <c r="T81" s="104">
        <f t="array" ref="T81">(('Fórmula'!C81)/('Fórmula'!C81+'Fórmula'!E81+'Fórmula'!G81+'Fórmula'!I81+'Fórmula'!K81))*(INDEX(properties!A$1:CB$87,'Fórmula'!B81,6))+(('Fórmula'!E81)/('Fórmula'!C81+'Fórmula'!E81+'Fórmula'!G81+'Fórmula'!I81+'Fórmula'!K81))*(INDEX(properties!A$1:CB$87,'Fórmula'!D81,6))+(('Fórmula'!G81)/('Fórmula'!C81+'Fórmula'!E81+'Fórmula'!G81+'Fórmula'!I81+'Fórmula'!K81))*(INDEX(properties!A$1:CB$87,'Fórmula'!F81,6))+(('Fórmula'!I81)/('Fórmula'!C81+'Fórmula'!E81+'Fórmula'!G81+'Fórmula'!I81+'Fórmula'!K81))*(INDEX(properties!A$1:CB$87,'Fórmula'!H81,6))+(('Fórmula'!K81)/('Fórmula'!C81+'Fórmula'!E81+'Fórmula'!G81+'Fórmula'!I81+'Fórmula'!K81))*(INDEX(properties!A$1:CB$87,'Fórmula'!J81,6))</f>
        <v>12.5</v>
      </c>
      <c r="U81" s="104">
        <f t="array" ref="U81">'Fórmula'!C81*(INDEX(properties!A$1:CB$87,'Fórmula'!B81,6))+'Fórmula'!E81*(INDEX(properties!A$1:CB$87,'Fórmula'!D81,6))+'Fórmula'!G81*(INDEX(properties!A$1:CB$87,'Fórmula'!F81,6))+'Fórmula'!I81*(INDEX(properties!A$1:CB$87,'Fórmula'!H81,6))+'Fórmula'!K81*(INDEX(properties!A$1:CB$87,'Fórmula'!J81,6))</f>
        <v>100</v>
      </c>
      <c r="V81" s="103">
        <f t="array" ref="V81">VARP(IF(INDEX(properties!A$1:CB$87,'Fórmula'!B81,6)&lt;&gt;"",INDEX(properties!A$1:CB$87,'Fórmula'!B81,6)),IF(INDEX(properties!A$1:CB$87,'Fórmula'!D81,6)&lt;&gt;"",INDEX(properties!A$1:CB$87,'Fórmula'!D81,6)),IF(INDEX(properties!A$1:CB$87,'Fórmula'!F81,6)&lt;&gt;"",INDEX(properties!A$1:CB$87,'Fórmula'!F81,6)),IF(INDEX(properties!A$1:CB$87,'Fórmula'!H81,6)&lt;&gt;"",INDEX(properties!A$1:CB$87,'Fórmula'!H81,6)),IF(INDEX(properties!A$1:CB$87,'Fórmula'!J81,6)&lt;&gt;"",INDEX(properties!A$1:CB$87,'Fórmula'!J81,6)))</f>
        <v>48.64</v>
      </c>
      <c r="W81" s="104">
        <f t="array" ref="W81">MAX(INDEX(properties!A$1:CB$87,'Fórmula'!B81,6),INDEX(properties!A$1:CB$87,'Fórmula'!D81,6),INDEX(properties!A$1:CB$87,'Fórmula'!F81,6),INDEX(properties!A$1:CB$87,'Fórmula'!H81,4),INDEX(properties!A$1:CB$87,'Fórmula'!J81,6))</f>
        <v>16</v>
      </c>
      <c r="X81" s="104">
        <f t="array" ref="X81">MIN(IF(INDEX(properties!A$1:CB$87,'Fórmula'!B81,6)=0,10^6,INDEX(properties!A$1:CB$87,'Fórmula'!B81,6)),IF(INDEX(properties!A$1:CB$87,'Fórmula'!D81,6)=0,10^6,INDEX(properties!A$1:CB$87,'Fórmula'!D81,6)),IF(INDEX(properties!A$1:CB$87,'Fórmula'!F81,6)=0,10^6,INDEX(properties!A$1:CB$87,'Fórmula'!F81,6)),IF(INDEX(properties!A$1:CB$87,'Fórmula'!H81,6)=0,10^6,INDEX(properties!A$1:CB$87,'Fórmula'!H81,6)),IF(INDEX(properties!A$1:CB$87,'Fórmula'!J81,6)=0,10^6,INDEX(properties!A$1:CB$87,'Fórmula'!J81,6)))</f>
        <v>3</v>
      </c>
      <c r="Y81" s="104">
        <f t="shared" si="4"/>
        <v>13</v>
      </c>
      <c r="Z81" s="105">
        <f t="array" ref="Z81">(('Fórmula'!C81)/('Fórmula'!C81+'Fórmula'!E81+'Fórmula'!G81+'Fórmula'!I81+'Fórmula'!K81))*(INDEX(properties!A$1:CB$87,'Fórmula'!B81,9))+(('Fórmula'!E81)/('Fórmula'!C81+'Fórmula'!E81+'Fórmula'!G81+'Fórmula'!I81+'Fórmula'!K81))*(INDEX(properties!A$1:CB$87,'Fórmula'!D81,9))+(('Fórmula'!G81)/('Fórmula'!C81+'Fórmula'!E81+'Fórmula'!G81+'Fórmula'!I81+'Fórmula'!K81))*(INDEX(properties!A$1:CB$87,'Fórmula'!F81,9))+(('Fórmula'!I81)/('Fórmula'!C81+'Fórmula'!E81+'Fórmula'!G81+'Fórmula'!I81+'Fórmula'!K81))*(INDEX(properties!A$1:CB$87,'Fórmula'!H81,9))+(('Fórmula'!K81)/('Fórmula'!C81+'Fórmula'!E81+'Fórmula'!G81+'Fórmula'!I81+'Fórmula'!K81))*(INDEX(properties!A$1:CB$87,'Fórmula'!J81,9))</f>
        <v>70.875</v>
      </c>
      <c r="AA81" s="105">
        <f t="array" ref="AA81">'Fórmula'!C81*(INDEX(properties!A$1:CB$87,'Fórmula'!B81,9))+'Fórmula'!E81*(INDEX(properties!A$1:CB$87,'Fórmula'!D81,9))+'Fórmula'!G81*(INDEX(properties!A$1:CB$87,'Fórmula'!F81,9))+'Fórmula'!I81*(INDEX(properties!A$1:CB$87,'Fórmula'!H81,9))+'Fórmula'!K81*(INDEX(properties!A$1:CB$87,'Fórmula'!J81,9))</f>
        <v>567</v>
      </c>
      <c r="AB81" s="105">
        <f t="array" ref="AB81">VARP(IF(INDEX(properties!A$1:CB$87,'Fórmula'!B81,9)&lt;&gt;"",INDEX(properties!A$1:CB$87,'Fórmula'!B81,9)),IF(INDEX(properties!A$1:CB$87,'Fórmula'!D81,9)&lt;&gt;"",INDEX(properties!A$1:CB$87,'Fórmula'!D81,9)),IF(INDEX(properties!A$1:CB$87,'Fórmula'!F81,9)&lt;&gt;"",INDEX(properties!A$1:CB$87,'Fórmula'!F81,9)),IF(INDEX(properties!A$1:CB$87,'Fórmula'!H81,9)&lt;&gt;"",INDEX(properties!A$1:CB$87,'Fórmula'!H81,9)),IF(INDEX(properties!A$1:CB$87,'Fórmula'!J81,9)&lt;&gt;"",INDEX(properties!A$1:CB$87,'Fórmula'!J81,9)))</f>
        <v>1401.84</v>
      </c>
      <c r="AC81" s="105">
        <f t="array" ref="AC81">MAX(INDEX(properties!A$1:CB$87,'Fórmula'!B81,9),INDEX(properties!A$1:CB$87,'Fórmula'!D81,9),INDEX(properties!A$1:CB$87,'Fórmula'!F81,9),INDEX(properties!A$1:CB$87,'Fórmula'!H81,9),INDEX(properties!A$1:CB$87,'Fórmula'!J81,9))</f>
        <v>87</v>
      </c>
      <c r="AD81" s="105">
        <f t="array" ref="AD81">MIN(IF(INDEX(properties!A$1:CB$87,'Fórmula'!B81,9)=0,10^6,INDEX(properties!A$1:CB$87,'Fórmula'!B81,9)),IF(INDEX(properties!A$1:CB$87,'Fórmula'!D81,9)=0,10^6,INDEX(properties!A$1:CB$87,'Fórmula'!D81,9)),IF(INDEX(properties!A$1:CB$87,'Fórmula'!F81,9)=0,10^6,INDEX(properties!A$1:CB$87,'Fórmula'!F81,9)),IF(INDEX(properties!A$1:CB$87,'Fórmula'!H81,9)=0,10^6,INDEX(properties!A$1:CB$87,'Fórmula'!H81,9)),IF(INDEX(properties!A$1:CB$87,'Fórmula'!J81,9)=0,10^6,INDEX(properties!A$1:CB$87,'Fórmula'!J81,9)))</f>
        <v>27</v>
      </c>
      <c r="AE81" s="105">
        <f t="shared" si="5"/>
        <v>60</v>
      </c>
      <c r="AF81" s="106">
        <f t="array" ref="AF81">(('Fórmula'!C81)/('Fórmula'!C81+'Fórmula'!E81+'Fórmula'!G81+'Fórmula'!I81+'Fórmula'!K81))*(INDEX(properties!A$1:CB$87,'Fórmula'!B81,10))+(('Fórmula'!E81)/('Fórmula'!C81+'Fórmula'!E81+'Fórmula'!G81+'Fórmula'!I81+'Fórmula'!K81))*(INDEX(properties!A$1:CB$87,'Fórmula'!D81,10))+(('Fórmula'!G81)/('Fórmula'!C81+'Fórmula'!E81+'Fórmula'!G81+'Fórmula'!I81+'Fórmula'!K81))*(INDEX(properties!A$1:CB$87,'Fórmula'!F81,10))+(('Fórmula'!I81)/('Fórmula'!C81+'Fórmula'!E81+'Fórmula'!G81+'Fórmula'!I81+'Fórmula'!K81))*(INDEX(properties!A$1:CB$87,'Fórmula'!H81,10))+(('Fórmula'!K81)/('Fórmula'!C81+'Fórmula'!E81+'Fórmula'!G81+'Fórmula'!I81+'Fórmula'!K81))*(INDEX(properties!A$1:CB$87,'Fórmula'!J81,10))</f>
        <v>5.875</v>
      </c>
      <c r="AG81" s="106">
        <f t="array" ref="AG81">'Fórmula'!C81*(INDEX(properties!A$1:CB$87,'Fórmula'!B81,10))+'Fórmula'!E81*(INDEX(properties!A$1:CB$87,'Fórmula'!D81,10))+'Fórmula'!G81*(INDEX(properties!A$1:CB$87,'Fórmula'!F81,10))+'Fórmula'!I81*(INDEX(properties!A$1:CB$87,'Fórmula'!H81,10))+'Fórmula'!K81*(INDEX(properties!A$1:CB$87,'Fórmula'!J81,10))</f>
        <v>47</v>
      </c>
      <c r="AH81" s="106">
        <f t="array" ref="AH81">VARP(IF(INDEX(properties!A$1:CB$87,'Fórmula'!B81,10)&lt;&gt;"",INDEX(properties!A$1:CB$87,'Fórmula'!B81,10)),IF(INDEX(properties!A$1:CB$87,'Fórmula'!D81,10)&lt;&gt;"",INDEX(properties!A$1:CB$87,'Fórmula'!D81,10)),IF(INDEX(properties!A$1:CB$87,'Fórmula'!F81,10)&lt;&gt;"",INDEX(properties!A$1:CB$87,'Fórmula'!F81,10)),IF(INDEX(properties!A$1:CB$87,'Fórmula'!H81,10)&lt;&gt;"",INDEX(properties!A$1:CB$87,'Fórmula'!H81,10)),IF(INDEX(properties!A$1:CB$87,'Fórmula'!J81,10)&lt;&gt;"",INDEX(properties!A$1:CB$87,'Fórmula'!J81,10)))</f>
        <v>8.56</v>
      </c>
      <c r="AI81" s="106">
        <f t="array" ref="AI81">MAX(INDEX(properties!A$1:CB$87,'Fórmula'!B81,10),INDEX(properties!A$1:CB$87,'Fórmula'!D81,10),INDEX(properties!A$1:CB$87,'Fórmula'!F81,10),INDEX(properties!A$1:CB$87,'Fórmula'!H81,10),INDEX(properties!A$1:CB$87,'Fórmula'!J81,10))</f>
        <v>7</v>
      </c>
      <c r="AJ81" s="106">
        <f t="array" ref="AJ81">MIN(IF(INDEX(properties!A$1:CB$87,'Fórmula'!B81,10)=0,10^6,INDEX(properties!A$1:CB$87,'Fórmula'!B81,10)),IF(INDEX(properties!A$1:CB$87,'Fórmula'!D81,10)=0,10^6,INDEX(properties!A$1:CB$87,'Fórmula'!D81,10)),IF(INDEX(properties!A$1:CB$87,'Fórmula'!F81,10)=0,10^6,INDEX(properties!A$1:CB$87,'Fórmula'!F81,10)),IF(INDEX(properties!A$1:CB$87,'Fórmula'!H81,10)=0,10^6,INDEX(properties!A$1:CB$87,'Fórmula'!H81,10)),IF(INDEX(properties!A$1:CB$87,'Fórmula'!J81,10)=0,10^6,INDEX(properties!A$1:CB$87,'Fórmula'!J81,10)))</f>
        <v>3</v>
      </c>
      <c r="AK81" s="106">
        <f t="shared" si="6"/>
        <v>4</v>
      </c>
      <c r="AL81" s="107">
        <f t="array" ref="AL81">(('Fórmula'!C81)/('Fórmula'!C81+'Fórmula'!E81+'Fórmula'!G81+'Fórmula'!I81+'Fórmula'!K81))*(INDEX(properties!A$1:CB$87,'Fórmula'!B81,11))+(('Fórmula'!E81)/('Fórmula'!C81+'Fórmula'!E81+'Fórmula'!G81+'Fórmula'!I81+'Fórmula'!K81))*(INDEX(properties!A$1:CB$87,'Fórmula'!D81,11))+(('Fórmula'!G81)/('Fórmula'!C81+'Fórmula'!E81+'Fórmula'!G81+'Fórmula'!I81+'Fórmula'!K81))*(INDEX(properties!A$1:CB$87,'Fórmula'!F81,11))+(('Fórmula'!I81)/('Fórmula'!C81+'Fórmula'!E81+'Fórmula'!G81+'Fórmula'!I81+'Fórmula'!K81))*(INDEX(properties!A$1:CB$87,'Fórmula'!H81,11))+(('Fórmula'!K81)/('Fórmula'!C81+'Fórmula'!E81+'Fórmula'!G81+'Fórmula'!I81+'Fórmula'!K81))*(INDEX(properties!A$1:CB$87,'Fórmula'!J81,11))</f>
        <v>2</v>
      </c>
      <c r="AM81" s="107">
        <f t="array" ref="AM81">'Fórmula'!C81*(INDEX(properties!A$1:CB$87,'Fórmula'!B81,11))+'Fórmula'!E81*(INDEX(properties!A$1:CB$87,'Fórmula'!D81,11))+'Fórmula'!G81*(INDEX(properties!A$1:CB$87,'Fórmula'!F81,11))+'Fórmula'!I81*(INDEX(properties!A$1:CB$87,'Fórmula'!H81,11))+'Fórmula'!K81*(INDEX(properties!A$1:CB$87,'Fórmula'!J81,11))</f>
        <v>16</v>
      </c>
      <c r="AN81" s="107">
        <f t="array" ref="AN81">VARP(IF(INDEX(properties!A$1:CB$87,'Fórmula'!B81,11)&lt;&gt;"",INDEX(properties!A$1:CB$87,'Fórmula'!B81,11)),IF(INDEX(properties!A$1:CB$87,'Fórmula'!D81,11)&lt;&gt;"",INDEX(properties!A$1:CB$87,'Fórmula'!D81,11)),IF(INDEX(properties!A$1:CB$87,'Fórmula'!F81,11)&lt;&gt;"",INDEX(properties!A$1:CB$87,'Fórmula'!F81,11)),IF(INDEX(properties!A$1:CB$87,'Fórmula'!H81,11)&lt;&gt;"",INDEX(properties!A$1:CB$87,'Fórmula'!H81,11)),IF(INDEX(properties!A$1:CB$87,'Fórmula'!J81,11)&lt;&gt;"",INDEX(properties!A$1:CB$87,'Fórmula'!J81,11)))</f>
        <v>0.96</v>
      </c>
      <c r="AO81" s="107">
        <f t="array" ref="AO81">MAX(INDEX(properties!A$1:CB$87,'Fórmula'!B81,11),INDEX(properties!A$1:CB$87,'Fórmula'!D81,11),INDEX(properties!A$1:CB$87,'Fórmula'!F81,11),INDEX(properties!A$1:CB$87,'Fórmula'!H81,11),INDEX(properties!A$1:CB$87,'Fórmula'!J81,11))</f>
        <v>2</v>
      </c>
      <c r="AP81" s="107">
        <f t="array" ref="AP81">MIN(IF('Fórmula'!B81=87,10^6,INDEX(properties!A$1:CB$87,'Fórmula'!B81,11)),IF(('Fórmula'!D81)=87,10^6,INDEX(properties!A$1:CB$87,'Fórmula'!D81,11)),IF(('Fórmula'!F81)=87,10^6,INDEX(properties!A$1:CB$87,'Fórmula'!F81,11)),IF(('Fórmula'!H81)=87,10^6,INDEX(properties!A$1:CB$87,'Fórmula'!H81,11)),IF('Fórmula'!J81=87,10^6,INDEX(properties!A$1:CB$87,'Fórmula'!J81,11)))</f>
        <v>2</v>
      </c>
      <c r="AQ81" s="107">
        <f t="shared" si="7"/>
        <v>0</v>
      </c>
      <c r="AR81" s="108">
        <f t="array" ref="AR81">(('Fórmula'!C81)/('Fórmula'!C81+'Fórmula'!E81+'Fórmula'!G81+'Fórmula'!I81+'Fórmula'!K81))*(INDEX(properties!A$1:CB$87,'Fórmula'!B81,12))+(('Fórmula'!E81)/('Fórmula'!C81+'Fórmula'!E81+'Fórmula'!G81+'Fórmula'!I81+'Fórmula'!K81))*(INDEX(properties!A$1:CB$87,'Fórmula'!D81,12))+(('Fórmula'!G81)/('Fórmula'!C81+'Fórmula'!E81+'Fórmula'!G81+'Fórmula'!I81+'Fórmula'!K81))*(INDEX(properties!A$1:CB$87,'Fórmula'!F81,12))+(('Fórmula'!I81)/('Fórmula'!C81+'Fórmula'!E81+'Fórmula'!G81+'Fórmula'!I81+'Fórmula'!K81))*(INDEX(properties!A$1:CB$87,'Fórmula'!H81,12))+(('Fórmula'!K81)/('Fórmula'!C81+'Fórmula'!E81+'Fórmula'!G81+'Fórmula'!I81+'Fórmula'!K81))*(INDEX(properties!A$1:CB$87,'Fórmula'!J81,12))</f>
        <v>2.75</v>
      </c>
      <c r="AS81" s="108">
        <f t="array" ref="AS81">'Fórmula'!C81*(INDEX(properties!A$1:CB$87,'Fórmula'!B81,12))+'Fórmula'!E81*(INDEX(properties!A$1:CB$87,'Fórmula'!D81,12))+'Fórmula'!G81*(INDEX(properties!A$1:CB$87,'Fórmula'!F81,12))+'Fórmula'!I81*(INDEX(properties!A$1:CB$87,'Fórmula'!H81,12))+'Fórmula'!K81*(INDEX(properties!A$1:CB$87,'Fórmula'!J81,12))</f>
        <v>22</v>
      </c>
      <c r="AT81" s="108">
        <f t="array" ref="AT81">VARP(IF(INDEX(properties!A$1:CB$87,'Fórmula'!B81,12)&lt;&gt;"",INDEX(properties!A$1:CB$87,'Fórmula'!B81,12)),IF(INDEX(properties!A$1:CB$87,'Fórmula'!D81,12)&lt;&gt;"",INDEX(properties!A$1:CB$87,'Fórmula'!D81,12)),IF(INDEX(properties!A$1:CB$87,'Fórmula'!F81,12)&lt;&gt;"",INDEX(properties!A$1:CB$87,'Fórmula'!F81,12)),IF(INDEX(properties!A$1:CB$87,'Fórmula'!H81,12)&lt;&gt;"",INDEX(properties!A$1:CB$87,'Fórmula'!H81,12)),IF(INDEX(properties!A$1:CB$87,'Fórmula'!J81,12)&lt;&gt;"",INDEX(properties!A$1:CB$87,'Fórmula'!J81,12)))</f>
        <v>2.56</v>
      </c>
      <c r="AU81" s="108">
        <f t="array" ref="AU81">MAX(INDEX(properties!A$1:CB$87,'Fórmula'!B81,12),INDEX(properties!A$1:CB$87,'Fórmula'!D81,12),INDEX(properties!A$1:CB$87,'Fórmula'!F81,12),INDEX(properties!A$1:CB$87,'Fórmula'!H81,12),INDEX(properties!A$1:CB$87,'Fórmula'!J81,12))</f>
        <v>4</v>
      </c>
      <c r="AV81" s="108">
        <f t="array" ref="AV81">MIN(IF('Fórmula'!B81=87,10^6,INDEX(properties!A$1:CB$87,'Fórmula'!B81,12)),IF(('Fórmula'!D81)=87,10^6,INDEX(properties!A$1:CB$87,'Fórmula'!D81,12)),IF(('Fórmula'!F81)=87,10^6,INDEX(properties!A$1:CB$87,'Fórmula'!F81,12)),IF(('Fórmula'!H81)=87,10^6,INDEX(properties!A$1:CB$87,'Fórmula'!H81,12)),IF('Fórmula'!J81=87,10^6,INDEX(properties!A$1:CB$87,'Fórmula'!J81,12)))</f>
        <v>0</v>
      </c>
      <c r="AW81" s="108">
        <f t="shared" si="8"/>
        <v>4</v>
      </c>
      <c r="AX81" s="109">
        <f t="array" ref="AX81">(('Fórmula'!C81)/('Fórmula'!C81+'Fórmula'!E81+'Fórmula'!G81+'Fórmula'!I81+'Fórmula'!K81))*(INDEX(properties!A$1:CB$87,'Fórmula'!B81,13))+(('Fórmula'!E81)/('Fórmula'!C81+'Fórmula'!E81+'Fórmula'!G81+'Fórmula'!I81+'Fórmula'!K81))*(INDEX(properties!A$1:CB$87,'Fórmula'!D81,13))+(('Fórmula'!G81)/('Fórmula'!C81+'Fórmula'!E81+'Fórmula'!G81+'Fórmula'!I81+'Fórmula'!K81))*(INDEX(properties!A$1:CB$87,'Fórmula'!F81,13))+(('Fórmula'!I81)/('Fórmula'!C81+'Fórmula'!E81+'Fórmula'!G81+'Fórmula'!I81+'Fórmula'!K81))*(INDEX(properties!A$1:CB$87,'Fórmula'!H81,13))+(('Fórmula'!K81)/('Fórmula'!C81+'Fórmula'!E81+'Fórmula'!G81+'Fórmula'!I81+'Fórmula'!K81))*(INDEX(properties!A$1:CB$87,'Fórmula'!J81,13))</f>
        <v>0.25</v>
      </c>
      <c r="AY81" s="109">
        <f t="array" ref="AY81">'Fórmula'!C81*(INDEX(properties!A$1:CB$87,'Fórmula'!B81,13))+'Fórmula'!E81*(INDEX(properties!A$1:CB$87,'Fórmula'!D81,13))+'Fórmula'!G81*(INDEX(properties!A$1:CB$87,'Fórmula'!F81,13))+'Fórmula'!I81*(INDEX(properties!A$1:CB$87,'Fórmula'!H81,13))+'Fórmula'!K81*(INDEX(properties!A$1:CB$87,'Fórmula'!J81,13))</f>
        <v>2</v>
      </c>
      <c r="AZ81" s="109">
        <f t="array" ref="AZ81">VARP(IF(INDEX(properties!A$1:CB$87,'Fórmula'!B81,13)&lt;&gt;"",INDEX(properties!A$1:CB$87,'Fórmula'!B81,13)),IF(INDEX(properties!A$1:CB$87,'Fórmula'!D81,13)&lt;&gt;"",INDEX(properties!A$1:CB$87,'Fórmula'!D81,13)),IF(INDEX(properties!A$1:CB$87,'Fórmula'!F81,13)&lt;&gt;"",INDEX(properties!A$1:CB$87,'Fórmula'!F81,13)),IF(INDEX(properties!A$1:CB$87,'Fórmula'!H81,13)&lt;&gt;"",INDEX(properties!A$1:CB$87,'Fórmula'!H81,13)),IF(INDEX(properties!A$1:CB$87,'Fórmula'!J81,13)&lt;&gt;"",INDEX(properties!A$1:CB$87,'Fórmula'!J81,13)))</f>
        <v>0.16</v>
      </c>
      <c r="BA81" s="109">
        <f t="array" ref="BA81">MAX(INDEX(properties!A$1:CB$87,'Fórmula'!B81,13),INDEX(properties!A$1:CB$87,'Fórmula'!D81,13),INDEX(properties!A$1:CB$87,'Fórmula'!F81,13),INDEX(properties!A$1:CB$87,'Fórmula'!H81,13),INDEX(properties!A$1:CB$87,'Fórmula'!J81,13))</f>
        <v>1</v>
      </c>
      <c r="BB81" s="109">
        <f t="array" ref="BB81">MIN(IF('Fórmula'!B81=87,10^6,INDEX(properties!A$1:CB$87,'Fórmula'!B81,13)),IF(('Fórmula'!D81)=87,10^6,INDEX(properties!A$1:CB$87,'Fórmula'!D81,13)),IF(('Fórmula'!F81)=87,10^6,INDEX(properties!A$1:CB$87,'Fórmula'!F81,13)),IF(('Fórmula'!H81)=87,10^6,INDEX(properties!A$1:CB$87,'Fórmula'!H81,13)),IF('Fórmula'!J81=87,10^6,INDEX(properties!A$1:CB$87,'Fórmula'!J81,13)))</f>
        <v>0</v>
      </c>
      <c r="BC81" s="109">
        <f t="shared" si="9"/>
        <v>1</v>
      </c>
      <c r="BD81" s="110">
        <f t="array" ref="BD81">(('Fórmula'!C81)/('Fórmula'!C81+'Fórmula'!E81+'Fórmula'!G81+'Fórmula'!I81+'Fórmula'!K81))*(INDEX(properties!A$1:CB$87,'Fórmula'!B81,14))+(('Fórmula'!E81)/('Fórmula'!C81+'Fórmula'!E81+'Fórmula'!G81+'Fórmula'!I81+'Fórmula'!K81))*(INDEX(properties!A$1:CB$87,'Fórmula'!D81,14))+(('Fórmula'!G81)/('Fórmula'!C81+'Fórmula'!E81+'Fórmula'!G81+'Fórmula'!I81+'Fórmula'!K81))*(INDEX(properties!A$1:CB$87,'Fórmula'!F81,14))+(('Fórmula'!I81)/('Fórmula'!C81+'Fórmula'!E81+'Fórmula'!G81+'Fórmula'!I81+'Fórmula'!K81))*(INDEX(properties!A$1:CB$87,'Fórmula'!H81,14))+(('Fórmula'!K81)/('Fórmula'!C81+'Fórmula'!E81+'Fórmula'!G81+'Fórmula'!I81+'Fórmula'!K81))*(INDEX(properties!A$1:CB$87,'Fórmula'!J81,14))</f>
        <v>1.75</v>
      </c>
      <c r="BE81" s="110">
        <f t="array" ref="BE81">'Fórmula'!C81*(INDEX(properties!A$1:CB$87,'Fórmula'!B81,14))+'Fórmula'!E81*(INDEX(properties!A$1:CB$87,'Fórmula'!D81,14))+'Fórmula'!G81*(INDEX(properties!A$1:CB$87,'Fórmula'!F81,14))+'Fórmula'!I81*(INDEX(properties!A$1:CB$87,'Fórmula'!H81,14))+'Fórmula'!K81*(INDEX(properties!A$1:CB$87,'Fórmula'!J81,14))</f>
        <v>14</v>
      </c>
      <c r="BF81" s="110">
        <f t="array" ref="BF81">VARP(IF(INDEX(properties!A$1:CB$87,'Fórmula'!B81,14)&lt;&gt;"",INDEX(properties!A$1:CB$87,'Fórmula'!B81,14)),IF(INDEX(properties!A$1:CB$87,'Fórmula'!D81,14)&lt;&gt;"",INDEX(properties!A$1:CB$87,'Fórmula'!D81,14)),IF(INDEX(properties!A$1:CB$87,'Fórmula'!F81,14)&lt;&gt;"",INDEX(properties!A$1:CB$87,'Fórmula'!F81,14)),IF(INDEX(properties!A$1:CB$87,'Fórmula'!H81,14)&lt;&gt;"",INDEX(properties!A$1:CB$87,'Fórmula'!H81,14)),IF(INDEX(properties!A$1:CB$87,'Fórmula'!J81,14)&lt;&gt;"",INDEX(properties!A$1:CB$87,'Fórmula'!J81,14)))</f>
        <v>7.84</v>
      </c>
      <c r="BG81" s="110">
        <f t="array" ref="BG81">MAX(INDEX(properties!A$1:CB$87,'Fórmula'!B81,14),INDEX(properties!A$1:CB$87,'Fórmula'!D81,14),INDEX(properties!A$1:CB$87,'Fórmula'!F81,14),INDEX(properties!A$1:CB$87,'Fórmula'!H81,14),INDEX(properties!A$1:CB$87,'Fórmula'!J81,14))</f>
        <v>7</v>
      </c>
      <c r="BH81" s="110">
        <f t="array" ref="BH81">MIN(IF('Fórmula'!B81=87,10^6,INDEX(properties!A$1:CB$87,'Fórmula'!B81,14)),IF(('Fórmula'!D81)=87,10^6,INDEX(properties!A$1:CB$87,'Fórmula'!D81,14)),IF(('Fórmula'!F81)=87,10^6,INDEX(properties!A$1:CB$87,'Fórmula'!F81,14)),IF(('Fórmula'!H81)=87,10^6,INDEX(properties!A$1:CB$87,'Fórmula'!H81,14)),IF('Fórmula'!J81=87,10^6,INDEX(properties!A$1:CB$87,'Fórmula'!J81,14)))</f>
        <v>0</v>
      </c>
      <c r="BI81" s="110">
        <f t="shared" si="10"/>
        <v>7</v>
      </c>
      <c r="BJ81" s="111">
        <f t="array" ref="BJ81">(('Fórmula'!C81)/('Fórmula'!C81+'Fórmula'!E81+'Fórmula'!G81+'Fórmula'!I81+'Fórmula'!K81))*(INDEX(properties!A$1:CB$87,'Fórmula'!B81,19))+(('Fórmula'!E81)/('Fórmula'!C81+'Fórmula'!E81+'Fórmula'!G81+'Fórmula'!I81+'Fórmula'!K81))*(INDEX(properties!A$1:CB$87,'Fórmula'!D81,19))+(('Fórmula'!G81)/('Fórmula'!C81+'Fórmula'!E81+'Fórmula'!G81+'Fórmula'!I81+'Fórmula'!K81))*(INDEX(properties!A$1:CB$87,'Fórmula'!F81,19))+(('Fórmula'!I81)/('Fórmula'!C81+'Fórmula'!E81+'Fórmula'!G81+'Fórmula'!I81+'Fórmula'!K81))*(INDEX(properties!A$1:CB$87,'Fórmula'!H81,19))+(('Fórmula'!K81)/('Fórmula'!C81+'Fórmula'!E81+'Fórmula'!G81+'Fórmula'!I81+'Fórmula'!K81))*(INDEX(properties!A$1:CB$87,'Fórmula'!J81,19))</f>
        <v>6.75</v>
      </c>
      <c r="BK81" s="111">
        <f t="array" ref="BK81">'Fórmula'!C81*(INDEX(properties!A$1:CB$87,'Fórmula'!B81,19))+'Fórmula'!E81*(INDEX(properties!A$1:CB$87,'Fórmula'!D81,19))+'Fórmula'!G81*(INDEX(properties!A$1:CB$87,'Fórmula'!F81,19))+'Fórmula'!I81*(INDEX(properties!A$1:CB$87,'Fórmula'!H81,19))+'Fórmula'!K81*(INDEX(properties!A$1:CB$87,'Fórmula'!J81,19))</f>
        <v>54</v>
      </c>
      <c r="BL81" s="111">
        <f t="array" ref="BL81">VARP(IF(INDEX(properties!A$1:CB$87,'Fórmula'!B81,19)&lt;&gt;"",INDEX(properties!A$1:CB$87,'Fórmula'!B81,19)),IF(INDEX(properties!A$1:CB$87,'Fórmula'!D81,19)&lt;&gt;"",INDEX(properties!A$1:CB$87,'Fórmula'!D81,19)),IF(INDEX(properties!A$1:CB$87,'Fórmula'!F81,19)&lt;&gt;"",INDEX(properties!A$1:CB$87,'Fórmula'!F81,19)),IF(INDEX(properties!A$1:CB$87,'Fórmula'!H81,19)&lt;&gt;"",INDEX(properties!A$1:CB$87,'Fórmula'!H81,19)),IF(INDEX(properties!A$1:CB$87,'Fórmula'!J81,19)&lt;&gt;"",INDEX(properties!A$1:CB$87,'Fórmula'!J81,19)))</f>
        <v>14.4</v>
      </c>
      <c r="BM81" s="111">
        <f t="array" ref="BM81">MAX(INDEX(properties!A$1:CB$87,'Fórmula'!B81,19),INDEX(properties!A$1:CB$87,'Fórmula'!D81,19),INDEX(properties!A$1:CB$87,'Fórmula'!F81,19),INDEX(properties!A$1:CB$87,'Fórmula'!H81,19),INDEX(properties!A$1:CB$87,'Fórmula'!J81,19))</f>
        <v>10</v>
      </c>
      <c r="BN81" s="111">
        <f t="array" ref="BN81">MIN(IF(INDEX(properties!A$1:CB$87,'Fórmula'!B81,19)=0,10^6,INDEX(properties!A$1:CB$87,'Fórmula'!B81,19)),IF(INDEX(properties!A$1:CB$87,'Fórmula'!D81,19)=0,10^6,INDEX(properties!A$1:CB$87,'Fórmula'!D81,19)),IF(INDEX(properties!A$1:CB$87,'Fórmula'!F81,19)=0,10^6,INDEX(properties!A$1:CB$87,'Fórmula'!F81,19)),IF(INDEX(properties!A$1:CB$87,'Fórmula'!H81,19)=0,10^6,INDEX(properties!A$1:CB$87,'Fórmula'!H81,19)),IF(INDEX(properties!A$1:CB$87,'Fórmula'!J81,19)=0,10^6,INDEX(properties!A$1:CB$87,'Fórmula'!J81,19)))</f>
        <v>4</v>
      </c>
      <c r="BO81" s="111">
        <f t="shared" si="11"/>
        <v>6</v>
      </c>
      <c r="BP81" s="112">
        <f t="array" ref="BP81">(('Fórmula'!C81)/('Fórmula'!C81+'Fórmula'!E81+'Fórmula'!G81+'Fórmula'!I81+'Fórmula'!K81))*(INDEX(properties!A$1:CB$87,'Fórmula'!B81,20))+(('Fórmula'!E81)/('Fórmula'!C81+'Fórmula'!E81+'Fórmula'!G81+'Fórmula'!I81+'Fórmula'!K81))*(INDEX(properties!A$1:CB$87,'Fórmula'!D81,20))+(('Fórmula'!G81)/('Fórmula'!C81+'Fórmula'!E81+'Fórmula'!G81+'Fórmula'!I81+'Fórmula'!K81))*(INDEX(properties!A$1:CB$87,'Fórmula'!F81,20))+(('Fórmula'!I81)/('Fórmula'!C81+'Fórmula'!E81+'Fórmula'!G81+'Fórmula'!I81+'Fórmula'!K81))*(INDEX(properties!A$1:CB$87,'Fórmula'!H81,20))+(('Fórmula'!K81)/('Fórmula'!C81+'Fórmula'!E81+'Fórmula'!G81+'Fórmula'!I81+'Fórmula'!K81))*(INDEX(properties!A$1:CB$87,'Fórmula'!J81,20))</f>
        <v>4.75</v>
      </c>
      <c r="BQ81" s="112">
        <f t="array" ref="BQ81">'Fórmula'!C81*(INDEX(properties!A$1:CB$87,'Fórmula'!B81,20))+'Fórmula'!E81*(INDEX(properties!A$1:CB$87,'Fórmula'!D81,20))+'Fórmula'!G81*(INDEX(properties!A$1:CB$87,'Fórmula'!F81,20))+'Fórmula'!I81*(INDEX(properties!A$1:CB$87,'Fórmula'!H81,20))+'Fórmula'!K81*(INDEX(properties!A$1:CB$87,'Fórmula'!J81,20))</f>
        <v>38</v>
      </c>
      <c r="BR81" s="112">
        <f t="array" ref="BR81">VARP(IF(INDEX(properties!A$1:CB$87,'Fórmula'!B81,20)&lt;&gt;"",INDEX(properties!A$1:CB$87,'Fórmula'!B81,20)),IF(INDEX(properties!A$1:CB$87,'Fórmula'!D81,20)&lt;&gt;"",INDEX(properties!A$1:CB$87,'Fórmula'!D81,20)),IF(INDEX(properties!A$1:CB$87,'Fórmula'!F81,20)&lt;&gt;"",INDEX(properties!A$1:CB$87,'Fórmula'!F81,20)),IF(INDEX(properties!A$1:CB$87,'Fórmula'!H81,20)&lt;&gt;"",INDEX(properties!A$1:CB$87,'Fórmula'!H81,20)),IF(INDEX(properties!A$1:CB$87,'Fórmula'!J81,20)&lt;&gt;"",INDEX(properties!A$1:CB$87,'Fórmula'!J81,20)))</f>
        <v>5.44</v>
      </c>
      <c r="BS81" s="112">
        <f t="array" ref="BS81">MAX(INDEX(properties!A$1:CB$87,'Fórmula'!B81,20),INDEX(properties!A$1:CB$87,'Fórmula'!D81,20),INDEX(properties!A$1:CB$87,'Fórmula'!F81,20),INDEX(properties!A$1:CB$87,'Fórmula'!H81,20),INDEX(properties!A$1:CB$87,'Fórmula'!J81,20))</f>
        <v>6</v>
      </c>
      <c r="BT81" s="112">
        <f t="array" ref="BT81">MIN(IF(INDEX(properties!A$1:CB$87,'Fórmula'!B81,20)=0,10^6,INDEX(properties!A$1:CB$87,'Fórmula'!B81,20)),IF(INDEX(properties!A$1:CB$87,'Fórmula'!D81,20)=0,10^6,INDEX(properties!A$1:CB$87,'Fórmula'!D81,20)),IF(INDEX(properties!A$1:CB$87,'Fórmula'!F81,20)=0,10^6,INDEX(properties!A$1:CB$87,'Fórmula'!F81,20)),IF(INDEX(properties!A$1:CB$87,'Fórmula'!H81,20)=0,10^6,INDEX(properties!A$1:CB$87,'Fórmula'!H81,20)),IF(INDEX(properties!A$1:CB$87,'Fórmula'!J81,20)=0,10^6,INDEX(properties!A$1:CB$87,'Fórmula'!J81,20)))</f>
        <v>2</v>
      </c>
      <c r="BU81" s="112">
        <f t="shared" si="12"/>
        <v>4</v>
      </c>
      <c r="BV81" s="113">
        <f t="array" ref="BV81">(('Fórmula'!C81)/('Fórmula'!C81+'Fórmula'!E81+'Fórmula'!G81+'Fórmula'!I81+'Fórmula'!K81))*(INDEX(properties!A$1:CB$87,'Fórmula'!B81,21))+(('Fórmula'!E81)/('Fórmula'!C81+'Fórmula'!E81+'Fórmula'!G81+'Fórmula'!I81+'Fórmula'!K81))*(INDEX(properties!A$1:CB$87,'Fórmula'!D81,21))+(('Fórmula'!G81)/('Fórmula'!C81+'Fórmula'!E81+'Fórmula'!G81+'Fórmula'!I81+'Fórmula'!K81))*(INDEX(properties!A$1:CB$87,'Fórmula'!F81,21))+(('Fórmula'!I81)/('Fórmula'!C81+'Fórmula'!E81+'Fórmula'!G81+'Fórmula'!I81+'Fórmula'!K81))*(INDEX(properties!A$1:CB$87,'Fórmula'!H81,21))+(('Fórmula'!K81)/('Fórmula'!C81+'Fórmula'!E81+'Fórmula'!G81+'Fórmula'!I81+'Fórmula'!K81))*(INDEX(properties!A$1:CB$87,'Fórmula'!J81,21))</f>
        <v>5</v>
      </c>
      <c r="BW81" s="113">
        <f t="array" ref="BW81">'Fórmula'!C81*(INDEX(properties!A$1:CB$87,'Fórmula'!B81,21))+'Fórmula'!E81*(INDEX(properties!A$1:CB$87,'Fórmula'!D81,21))+'Fórmula'!G81*(INDEX(properties!A$1:CB$87,'Fórmula'!F81,21))+'Fórmula'!I81*(INDEX(properties!A$1:CB$87,'Fórmula'!H81,21))+'Fórmula'!K81*(INDEX(properties!A$1:CB$87,'Fórmula'!J81,21))</f>
        <v>40</v>
      </c>
      <c r="BX81" s="113">
        <f t="array" ref="BX81">VARP(IF(INDEX(properties!A$1:CB$87,'Fórmula'!B81,21)&lt;&gt;"",INDEX(properties!A$1:CB$87,'Fórmula'!B81,21)),IF(INDEX(properties!A$1:CB$87,'Fórmula'!D81,21)&lt;&gt;"",INDEX(properties!A$1:CB$87,'Fórmula'!D81,21)),IF(INDEX(properties!A$1:CB$87,'Fórmula'!F81,21)&lt;&gt;"",INDEX(properties!A$1:CB$87,'Fórmula'!F81,21)),IF(INDEX(properties!A$1:CB$87,'Fórmula'!H81,21)&lt;&gt;"",INDEX(properties!A$1:CB$87,'Fórmula'!H81,21)),IF(INDEX(properties!A$1:CB$87,'Fórmula'!J81,21)&lt;&gt;"",INDEX(properties!A$1:CB$87,'Fórmula'!J81,21)))</f>
        <v>5.44</v>
      </c>
      <c r="BY81" s="113">
        <f t="array" ref="BY81">MAX(INDEX(properties!A$1:CB$87,'Fórmula'!B81,21),INDEX(properties!A$1:CB$87,'Fórmula'!D81,21),INDEX(properties!A$1:CB$87,'Fórmula'!F81,21),INDEX(properties!A$1:CB$87,'Fórmula'!H81,21),INDEX(properties!A$1:CB$87,'Fórmula'!J81,21))</f>
        <v>6</v>
      </c>
      <c r="BZ81" s="113">
        <f t="array" ref="BZ81">MIN(IF(INDEX(properties!A$1:CB$87,'Fórmula'!B81,21)=0,10^6,INDEX(properties!A$1:CB$87,'Fórmula'!B81,21)),IF(INDEX(properties!A$1:CB$87,'Fórmula'!D81,21)=0,10^6,INDEX(properties!A$1:CB$87,'Fórmula'!D81,21)),IF(INDEX(properties!A$1:CB$87,'Fórmula'!F81,21)=0,10^6,INDEX(properties!A$1:CB$87,'Fórmula'!F81,21)),IF(INDEX(properties!A$1:CB$87,'Fórmula'!H81,21)=0,10^6,INDEX(properties!A$1:CB$87,'Fórmula'!H81,21)),IF(INDEX(properties!A$1:CB$87,'Fórmula'!J81,21)=0,10^6,INDEX(properties!A$1:CB$87,'Fórmula'!J81,21)))</f>
        <v>3</v>
      </c>
      <c r="CA81" s="113">
        <f t="shared" si="13"/>
        <v>3</v>
      </c>
      <c r="CB81" s="114">
        <f t="array" ref="CB81">(('Fórmula'!C81)/('Fórmula'!C81+'Fórmula'!E81+'Fórmula'!G81+'Fórmula'!I81+'Fórmula'!K81))*(INDEX(properties!A$1:CB$87,'Fórmula'!B81,23))+(('Fórmula'!E81)/('Fórmula'!C81+'Fórmula'!E81+'Fórmula'!G81+'Fórmula'!I81+'Fórmula'!K81))*(INDEX(properties!A$1:CB$87,'Fórmula'!D81,23))+(('Fórmula'!G81)/('Fórmula'!C81+'Fórmula'!E81+'Fórmula'!G81+'Fórmula'!I81+'Fórmula'!K81))*(INDEX(properties!A$1:CB$87,'Fórmula'!F81,23))+(('Fórmula'!I81)/('Fórmula'!C81+'Fórmula'!E81+'Fórmula'!G81+'Fórmula'!I81+'Fórmula'!K81))*(INDEX(properties!A$1:CB$87,'Fórmula'!H81,23))+(('Fórmula'!K81)/('Fórmula'!C81+'Fórmula'!E81+'Fórmula'!G81+'Fórmula'!I81+'Fórmula'!K81))*(INDEX(properties!A$1:CB$87,'Fórmula'!J81,23))</f>
        <v>1.25</v>
      </c>
      <c r="CC81" s="114">
        <f t="array" ref="CC81">'Fórmula'!C81*(INDEX(properties!A$1:CB$87,'Fórmula'!B81,23))+'Fórmula'!E81*(INDEX(properties!A$1:CB$87,'Fórmula'!D81,23))+'Fórmula'!G81*(INDEX(properties!A$1:CB$87,'Fórmula'!F81,23))+'Fórmula'!I81*(INDEX(properties!A$1:CB$87,'Fórmula'!H81,23))+'Fórmula'!K81*(INDEX(properties!A$1:CB$87,'Fórmula'!J81,23))</f>
        <v>10</v>
      </c>
      <c r="CD81" s="114">
        <f t="array" ref="CD81">VARP(IF(INDEX(properties!A$1:CB$87,'Fórmula'!B81,23)&lt;&gt;"",INDEX(properties!A$1:CB$87,'Fórmula'!B81,23)),IF(INDEX(properties!A$1:CB$87,'Fórmula'!D81,23)&lt;&gt;"",INDEX(properties!A$1:CB$87,'Fórmula'!D81,23)),IF(INDEX(properties!A$1:CB$87,'Fórmula'!F81,23)&lt;&gt;"",INDEX(properties!A$1:CB$87,'Fórmula'!F81,23)),IF(INDEX(properties!A$1:CB$87,'Fórmula'!H81,23)&lt;&gt;"",INDEX(properties!A$1:CB$87,'Fórmula'!H81,23)),IF(INDEX(properties!A$1:CB$87,'Fórmula'!J81,23)&lt;&gt;"",INDEX(properties!A$1:CB$87,'Fórmula'!J81,23)))</f>
        <v>3.04</v>
      </c>
      <c r="CE81" s="114">
        <f t="array" ref="CE81">MAX(INDEX(properties!A$1:CB$87,'Fórmula'!B81,23),INDEX(properties!A$1:CB$87,'Fórmula'!D81,23),INDEX(properties!A$1:CB$87,'Fórmula'!F81,23),INDEX(properties!A$1:CB$87,'Fórmula'!H81,23),INDEX(properties!A$1:CB$87,'Fórmula'!J81,23))</f>
        <v>4</v>
      </c>
      <c r="CF81" s="114">
        <f t="array" ref="CF81">MIN(IF('Fórmula'!B81=87,10^6,INDEX(properties!A$1:CB$87,'Fórmula'!B81,23)),IF(('Fórmula'!D81)=87,10^6,INDEX(properties!A$1:CB$87,'Fórmula'!D81,23)),IF(('Fórmula'!F81)=87,10^6,INDEX(properties!A$1:CB$87,'Fórmula'!F81,23)),IF(('Fórmula'!H81)=87,10^6,INDEX(properties!A$1:CB$87,'Fórmula'!H81,23)),IF('Fórmula'!J81=87,10^6,INDEX(properties!A$1:CB$87,'Fórmula'!J81,23)))</f>
        <v>0</v>
      </c>
      <c r="CG81" s="114">
        <f t="shared" si="14"/>
        <v>4</v>
      </c>
      <c r="CH81" s="115">
        <f t="array" ref="CH81">(('Fórmula'!C81)/('Fórmula'!C81+'Fórmula'!E81+'Fórmula'!G81+'Fórmula'!I81+'Fórmula'!K81))*(INDEX(properties!A$1:CB$87,'Fórmula'!B81,26))+(('Fórmula'!E81)/('Fórmula'!C81+'Fórmula'!E81+'Fórmula'!G81+'Fórmula'!I81+'Fórmula'!K81))*(INDEX(properties!A$1:CB$87,'Fórmula'!D81,26))+(('Fórmula'!G81)/('Fórmula'!C81+'Fórmula'!E81+'Fórmula'!G81+'Fórmula'!I81+'Fórmula'!K81))*(INDEX(properties!A$1:CB$87,'Fórmula'!F81,26))+(('Fórmula'!I81)/('Fórmula'!C81+'Fórmula'!E81+'Fórmula'!G81+'Fórmula'!I81+'Fórmula'!K81))*(INDEX(properties!A$1:CB$87,'Fórmula'!H81,26))+(('Fórmula'!K81)/('Fórmula'!C81+'Fórmula'!E81+'Fórmula'!G81+'Fórmula'!I81+'Fórmula'!K81))*(INDEX(properties!A$1:CB$87,'Fórmula'!J81,26))</f>
        <v>11.067725</v>
      </c>
      <c r="CI81" s="115">
        <f t="array" ref="CI81">'Fórmula'!C81*(INDEX(properties!A$1:CB$87,'Fórmula'!B81,26))+'Fórmula'!E81*(INDEX(properties!A$1:CB$87,'Fórmula'!D81,26))+'Fórmula'!G81*(INDEX(properties!A$1:CB$87,'Fórmula'!F81,26))+'Fórmula'!I81*(INDEX(properties!A$1:CB$87,'Fórmula'!H81,26))+'Fórmula'!K81*(INDEX(properties!A$1:CB$87,'Fórmula'!J81,26))</f>
        <v>88.5418</v>
      </c>
      <c r="CJ81" s="115">
        <f t="array" ref="CJ81">VARP(IF(INDEX(properties!A$1:CB$87,'Fórmula'!B81,26)&lt;&gt;"",INDEX(properties!A$1:CB$87,'Fórmula'!B81,26)),IF(INDEX(properties!A$1:CB$87,'Fórmula'!D81,26)&lt;&gt;"",INDEX(properties!A$1:CB$87,'Fórmula'!D81,26)),IF(INDEX(properties!A$1:CB$87,'Fórmula'!F81,26)&lt;&gt;"",INDEX(properties!A$1:CB$87,'Fórmula'!F81,26)),IF(INDEX(properties!A$1:CB$87,'Fórmula'!H81,26)&lt;&gt;"",INDEX(properties!A$1:CB$87,'Fórmula'!H81,26)),IF(INDEX(properties!A$1:CB$87,'Fórmula'!J81,26)&lt;&gt;"",INDEX(properties!A$1:CB$87,'Fórmula'!J81,26)))</f>
        <v>26.76441754</v>
      </c>
      <c r="CK81" s="116">
        <f t="array" ref="CK81">MAX(INDEX(properties!A$1:CB$87,'Fórmula'!B81,26),INDEX(properties!A$1:CB$87,'Fórmula'!D81,26),INDEX(properties!A$1:CB$87,'Fórmula'!F81,26),INDEX(properties!A$1:CB$87,'Fórmula'!H81,26),INDEX(properties!A$1:CB$87,'Fórmula'!J81,26))</f>
        <v>13.6181</v>
      </c>
      <c r="CL81" s="116">
        <f t="array" ref="CL81">MIN(IF(INDEX(properties!A$1:CB$87,'Fórmula'!B81,26)=0,10^6,INDEX(properties!A$1:CB$87,'Fórmula'!B81,26)),IF(INDEX(properties!A$1:CB$87,'Fórmula'!D81,26)=0,10^6,INDEX(properties!A$1:CB$87,'Fórmula'!D81,26)),IF(INDEX(properties!A$1:CB$87,'Fórmula'!F81,26)=0,10^6,INDEX(properties!A$1:CB$87,'Fórmula'!F81,26)),IF(INDEX(properties!A$1:CB$87,'Fórmula'!H81,26)=0,10^6,INDEX(properties!A$1:CB$87,'Fórmula'!H81,26)),IF(INDEX(properties!A$1:CB$87,'Fórmula'!J81,26)=0,10^6,INDEX(properties!A$1:CB$87,'Fórmula'!J81,26)))</f>
        <v>6.1498</v>
      </c>
      <c r="CM81" s="115">
        <f t="shared" si="15"/>
        <v>7.4683</v>
      </c>
      <c r="CN81" s="117">
        <f t="array" ref="CN81">(('Fórmula'!C81)/('Fórmula'!C81+'Fórmula'!E81+'Fórmula'!G81+'Fórmula'!I81+'Fórmula'!K81))*(INDEX(properties!A$1:CB$87,'Fórmula'!B81,30))+(('Fórmula'!E81)/('Fórmula'!C81+'Fórmula'!E81+'Fórmula'!G81+'Fórmula'!I81+'Fórmula'!K81))*(INDEX(properties!A$1:CB$87,'Fórmula'!D81,30))+(('Fórmula'!G81)/('Fórmula'!C81+'Fórmula'!E81+'Fórmula'!G81+'Fórmula'!I81+'Fórmula'!K81))*(INDEX(properties!A$1:CB$87,'Fórmula'!F81,30))+(('Fórmula'!I81)/('Fórmula'!C81+'Fórmula'!E81+'Fórmula'!G81+'Fórmula'!I81+'Fórmula'!K81))*(INDEX(properties!A$1:CB$87,'Fórmula'!H81,30))+(('Fórmula'!K81)/('Fórmula'!C81+'Fórmula'!E81+'Fórmula'!G81+'Fórmula'!I81+'Fórmula'!K81))*(INDEX(properties!A$1:CB$87,'Fórmula'!J81,30))</f>
        <v>2.6875</v>
      </c>
      <c r="CO81" s="117">
        <f t="array" ref="CO81">'Fórmula'!C81*(INDEX(properties!A$1:CB$87,'Fórmula'!B81,30))+'Fórmula'!E81*(INDEX(properties!A$1:CB$87,'Fórmula'!D81,30))+'Fórmula'!G81*(INDEX(properties!A$1:CB$87,'Fórmula'!F81,30))+'Fórmula'!I81*(INDEX(properties!A$1:CB$87,'Fórmula'!H81,30))+'Fórmula'!K81*(INDEX(properties!A$1:CB$87,'Fórmula'!J81,30))</f>
        <v>21.5</v>
      </c>
      <c r="CP81" s="117">
        <f t="array" ref="CP81">VARP(IF(INDEX(properties!A$1:CB$87,'Fórmula'!B81,30)&lt;&gt;"",INDEX(properties!A$1:CB$87,'Fórmula'!B81,30)),IF(INDEX(properties!A$1:CB$87,'Fórmula'!D81,30)&lt;&gt;"",INDEX(properties!A$1:CB$87,'Fórmula'!D81,30)),IF(INDEX(properties!A$1:CB$87,'Fórmula'!F81,30)&lt;&gt;"",INDEX(properties!A$1:CB$87,'Fórmula'!F81,30)),IF(INDEX(properties!A$1:CB$87,'Fórmula'!H81,30)&lt;&gt;"",INDEX(properties!A$1:CB$87,'Fórmula'!H81,30)),IF(INDEX(properties!A$1:CB$87,'Fórmula'!J81,30)&lt;&gt;"",INDEX(properties!A$1:CB$87,'Fórmula'!J81,30)))</f>
        <v>1.665856</v>
      </c>
      <c r="CQ81" s="117">
        <f t="array" ref="CQ81">MAX(INDEX(properties!A$1:CB$87,'Fórmula'!B81,30),INDEX(properties!A$1:CB$87,'Fórmula'!D81,30),INDEX(properties!A$1:CB$87,'Fórmula'!F81,30),INDEX(properties!A$1:CB$87,'Fórmula'!H81,30),INDEX(properties!A$1:CB$87,'Fórmula'!J81,30))</f>
        <v>3.44</v>
      </c>
      <c r="CR81" s="117">
        <f t="array" ref="CR81">MIN(IF(INDEX(properties!A$1:CB$87,'Fórmula'!B81,30)=0,10^6,INDEX(properties!A$1:CB$87,'Fórmula'!B81,30)),IF(INDEX(properties!A$1:CB$87,'Fórmula'!D81,30)=0,10^6,INDEX(properties!A$1:CB$87,'Fórmula'!D81,30)),IF(INDEX(properties!A$1:CB$87,'Fórmula'!F81,30)=0,10^6,INDEX(properties!A$1:CB$87,'Fórmula'!F81,30)),IF(INDEX(properties!A$1:CB$87,'Fórmula'!H81,30)=0,10^6,INDEX(properties!A$1:CB$87,'Fórmula'!H81,30)),IF(INDEX(properties!A$1:CB$87,'Fórmula'!J81,30)=0,10^6,INDEX(properties!A$1:CB$87,'Fórmula'!J81,30)))</f>
        <v>1.2</v>
      </c>
      <c r="CS81" s="117">
        <f t="shared" si="16"/>
        <v>2.24</v>
      </c>
      <c r="CT81" s="118">
        <f t="array" ref="CT81">(('Fórmula'!C81)/('Fórmula'!C81+'Fórmula'!E81+'Fórmula'!G81+'Fórmula'!I81+'Fórmula'!K81))*(INDEX(properties!A$1:CB$87,'Fórmula'!B81,31))+(('Fórmula'!E81)/('Fórmula'!C81+'Fórmula'!E81+'Fórmula'!G81+'Fórmula'!I81+'Fórmula'!K81))*(INDEX(properties!A$1:CB$87,'Fórmula'!D81,31))+(('Fórmula'!G81)/('Fórmula'!C81+'Fórmula'!E81+'Fórmula'!G81+'Fórmula'!I81+'Fórmula'!K81))*(INDEX(properties!A$1:CB$87,'Fórmula'!F81,31))+(('Fórmula'!I81)/('Fórmula'!C81+'Fórmula'!E81+'Fórmula'!G81+'Fórmula'!I81+'Fórmula'!K81))*(INDEX(properties!A$1:CB$87,'Fórmula'!H81,31))+(('Fórmula'!K81)/('Fórmula'!C81+'Fórmula'!E81+'Fórmula'!G81+'Fórmula'!I81+'Fórmula'!K81))*(INDEX(properties!A$1:CB$87,'Fórmula'!J81,31))</f>
        <v>2.5975</v>
      </c>
      <c r="CU81" s="118">
        <f t="array" ref="CU81">'Fórmula'!C81*(INDEX(properties!A$1:CB$87,'Fórmula'!B81,31))+'Fórmula'!E81*(INDEX(properties!A$1:CB$87,'Fórmula'!D81,31))+'Fórmula'!G81*(INDEX(properties!A$1:CB$87,'Fórmula'!F81,31))+'Fórmula'!I81*(INDEX(properties!A$1:CB$87,'Fórmula'!H81,31))+'Fórmula'!K81*(INDEX(properties!A$1:CB$87,'Fórmula'!J81,31))</f>
        <v>20.78</v>
      </c>
      <c r="CV81" s="118">
        <f t="array" ref="CV81">VARP(IF(INDEX(properties!A$1:CB$87,'Fórmula'!B81,31)&lt;&gt;"",INDEX(properties!A$1:CB$87,'Fórmula'!B81,31)),IF(INDEX(properties!A$1:CB$87,'Fórmula'!D81,31)&lt;&gt;"",INDEX(properties!A$1:CB$87,'Fórmula'!D81,31)),IF(INDEX(properties!A$1:CB$87,'Fórmula'!F81,31)&lt;&gt;"",INDEX(properties!A$1:CB$87,'Fórmula'!F81,31)),IF(INDEX(properties!A$1:CB$87,'Fórmula'!H81,31)&lt;&gt;"",INDEX(properties!A$1:CB$87,'Fórmula'!H81,31)),IF(INDEX(properties!A$1:CB$87,'Fórmula'!J81,31)&lt;&gt;"",INDEX(properties!A$1:CB$87,'Fórmula'!J81,31)))</f>
        <v>1.59216</v>
      </c>
      <c r="CW81" s="118">
        <f t="array" ref="CW81">MAX(INDEX(properties!A$1:CB$87,'Fórmula'!B81,31),INDEX(properties!A$1:CB$87,'Fórmula'!D81,31),INDEX(properties!A$1:CB$87,'Fórmula'!F81,31),INDEX(properties!A$1:CB$87,'Fórmula'!H81,31),INDEX(properties!A$1:CB$87,'Fórmula'!J81,31))</f>
        <v>3.32</v>
      </c>
      <c r="CX81" s="118">
        <f t="array" ref="CX81">MIN(IF(INDEX(properties!A$1:CB$87,'Fórmula'!B81,31)=0,10^6,INDEX(properties!A$1:CB$87,'Fórmula'!B81,31)),IF(INDEX(properties!A$1:CB$87,'Fórmula'!D81,31)=0,10^6,INDEX(properties!A$1:CB$87,'Fórmula'!D81,31)),IF(INDEX(properties!A$1:CB$87,'Fórmula'!F81,31)=0,10^6,INDEX(properties!A$1:CB$87,'Fórmula'!F81,31)),IF(INDEX(properties!A$1:CB$87,'Fórmula'!H81,31)=0,10^6,INDEX(properties!A$1:CB$87,'Fórmula'!H81,31)),IF(INDEX(properties!A$1:CB$87,'Fórmula'!J81,31)=0,10^6,INDEX(properties!A$1:CB$87,'Fórmula'!J81,31)))</f>
        <v>1.1</v>
      </c>
      <c r="CY81" s="118">
        <f t="shared" si="17"/>
        <v>2.22</v>
      </c>
      <c r="CZ81" s="119">
        <f t="array" ref="CZ81">(('Fórmula'!C81)/('Fórmula'!C81+'Fórmula'!E81+'Fórmula'!G81+'Fórmula'!I81+'Fórmula'!K81))*(INDEX(properties!A$1:CB$87,'Fórmula'!B81,32))+(('Fórmula'!E81)/('Fórmula'!C81+'Fórmula'!E81+'Fórmula'!G81+'Fórmula'!I81+'Fórmula'!K81))*(INDEX(properties!A$1:CB$87,'Fórmula'!D81,32))+(('Fórmula'!G81)/('Fórmula'!C81+'Fórmula'!E81+'Fórmula'!G81+'Fórmula'!I81+'Fórmula'!K81))*(INDEX(properties!A$1:CB$87,'Fórmula'!F81,32))+(('Fórmula'!I81)/('Fórmula'!C81+'Fórmula'!E81+'Fórmula'!G81+'Fórmula'!I81+'Fórmula'!K81))*(INDEX(properties!A$1:CB$87,'Fórmula'!H81,32))+(('Fórmula'!K81)/('Fórmula'!C81+'Fórmula'!E81+'Fórmula'!G81+'Fórmula'!I81+'Fórmula'!K81))*(INDEX(properties!A$1:CB$87,'Fórmula'!J81,32))</f>
        <v>6.08375</v>
      </c>
      <c r="DA81" s="119">
        <f t="array" ref="DA81">'Fórmula'!C81*(INDEX(properties!A$1:CB$87,'Fórmula'!B81,32))+'Fórmula'!E81*(INDEX(properties!A$1:CB$87,'Fórmula'!D81,32))+'Fórmula'!G81*(INDEX(properties!A$1:CB$87,'Fórmula'!F81,32))+'Fórmula'!I81*(INDEX(properties!A$1:CB$87,'Fórmula'!H81,32))+'Fórmula'!K81*(INDEX(properties!A$1:CB$87,'Fórmula'!J81,32))</f>
        <v>48.67</v>
      </c>
      <c r="DB81" s="119">
        <f t="array" ref="DB81">VARP(IF(INDEX(properties!A$1:CB$87,'Fórmula'!B81,32)&lt;&gt;"",INDEX(properties!A$1:CB$87,'Fórmula'!B81,32)),IF(INDEX(properties!A$1:CB$87,'Fórmula'!D81,32)&lt;&gt;"",INDEX(properties!A$1:CB$87,'Fórmula'!D81,32)),IF(INDEX(properties!A$1:CB$87,'Fórmula'!F81,32)&lt;&gt;"",INDEX(properties!A$1:CB$87,'Fórmula'!F81,32)),IF(INDEX(properties!A$1:CB$87,'Fórmula'!H81,32)&lt;&gt;"",INDEX(properties!A$1:CB$87,'Fórmula'!H81,32)),IF(INDEX(properties!A$1:CB$87,'Fórmula'!J81,32)&lt;&gt;"",INDEX(properties!A$1:CB$87,'Fórmula'!J81,32)))</f>
        <v>8.344176</v>
      </c>
      <c r="DC81" s="119">
        <f t="array" ref="DC81">MAX(INDEX(properties!A$1:CB$87,'Fórmula'!B81,32),INDEX(properties!A$1:CB$87,'Fórmula'!D81,32),INDEX(properties!A$1:CB$87,'Fórmula'!F81,32),INDEX(properties!A$1:CB$87,'Fórmula'!H81,32),INDEX(properties!A$1:CB$87,'Fórmula'!J81,32))</f>
        <v>7.54</v>
      </c>
      <c r="DD81" s="119">
        <f t="array" ref="DD81">MIN(IF(INDEX(properties!A$1:CB$87,'Fórmula'!B81,32)=0,10^6,INDEX(properties!A$1:CB$87,'Fórmula'!B81,32)),IF(INDEX(properties!A$1:CB$87,'Fórmula'!D81,32)=0,10^6,INDEX(properties!A$1:CB$87,'Fórmula'!D81,32)),IF(INDEX(properties!A$1:CB$87,'Fórmula'!F81,32)=0,10^6,INDEX(properties!A$1:CB$87,'Fórmula'!F81,32)),IF(INDEX(properties!A$1:CB$87,'Fórmula'!H81,32)=0,10^6,INDEX(properties!A$1:CB$87,'Fórmula'!H81,32)),IF(INDEX(properties!A$1:CB$87,'Fórmula'!J81,32)=0,10^6,INDEX(properties!A$1:CB$87,'Fórmula'!J81,32)))</f>
        <v>3.1</v>
      </c>
      <c r="DE81" s="119">
        <f t="shared" si="18"/>
        <v>4.44</v>
      </c>
      <c r="DF81" s="104">
        <f t="array" ref="DF81">(('Fórmula'!C81)/('Fórmula'!C81+'Fórmula'!E81+'Fórmula'!G81+'Fórmula'!I81+'Fórmula'!K81))*(INDEX(properties!A$1:CB$87,'Fórmula'!B81,34))+(('Fórmula'!E81)/('Fórmula'!C81+'Fórmula'!E81+'Fórmula'!G81+'Fórmula'!I81+'Fórmula'!K81))*(INDEX(properties!A$1:CB$87,'Fórmula'!D81,34))+(('Fórmula'!G81)/('Fórmula'!C81+'Fórmula'!E81+'Fórmula'!G81+'Fórmula'!I81+'Fórmula'!K81))*(INDEX(properties!A$1:CB$87,'Fórmula'!F81,34))+(('Fórmula'!I81)/('Fórmula'!C81+'Fórmula'!E81+'Fórmula'!G81+'Fórmula'!I81+'Fórmula'!K81))*(INDEX(properties!A$1:CB$87,'Fórmula'!H81,34))+(('Fórmula'!K81)/('Fórmula'!C81+'Fórmula'!E81+'Fórmula'!G81+'Fórmula'!I81+'Fórmula'!K81))*(INDEX(properties!A$1:CB$87,'Fórmula'!J81,34))</f>
        <v>2.76825</v>
      </c>
      <c r="DG81" s="104">
        <f t="array" ref="DG81">'Fórmula'!C81*(INDEX(properties!A$1:CB$87,'Fórmula'!B81,34))+'Fórmula'!E81*(INDEX(properties!A$1:CB$87,'Fórmula'!D81,34))+'Fórmula'!G81*(INDEX(properties!A$1:CB$87,'Fórmula'!F81,34))+'Fórmula'!I81*(INDEX(properties!A$1:CB$87,'Fórmula'!H81,34))+'Fórmula'!K81*(INDEX(properties!A$1:CB$87,'Fórmula'!J81,34))</f>
        <v>22.146</v>
      </c>
      <c r="DH81" s="104">
        <f t="array" ref="DH81">VARP(IF(INDEX(properties!A$1:CB$87,'Fórmula'!B81,34)&lt;&gt;"",INDEX(properties!A$1:CB$87,'Fórmula'!B81,34)),IF(INDEX(properties!A$1:CB$87,'Fórmula'!D81,34)&lt;&gt;"",INDEX(properties!A$1:CB$87,'Fórmula'!D81,34)),IF(INDEX(properties!A$1:CB$87,'Fórmula'!F81,34)&lt;&gt;"",INDEX(properties!A$1:CB$87,'Fórmula'!F81,34)),IF(INDEX(properties!A$1:CB$87,'Fórmula'!H81,34)&lt;&gt;"",INDEX(properties!A$1:CB$87,'Fórmula'!H81,34)),IF(INDEX(properties!A$1:CB$87,'Fórmula'!J81,34)&lt;&gt;"",INDEX(properties!A$1:CB$87,'Fórmula'!J81,34)))</f>
        <v>1.82739296</v>
      </c>
      <c r="DI81" s="104">
        <f t="array" ref="DI81">MAX(INDEX(properties!A$1:CB$87,'Fórmula'!B81,34),INDEX(properties!A$1:CB$87,'Fórmula'!D81,34),INDEX(properties!A$1:CB$87,'Fórmula'!F81,34),INDEX(properties!A$1:CB$87,'Fórmula'!H81,34),INDEX(properties!A$1:CB$87,'Fórmula'!J81,34))</f>
        <v>3.61</v>
      </c>
      <c r="DJ81" s="104">
        <f t="array" ref="DJ81">MIN(IF(INDEX(properties!A$1:CB$87,'Fórmula'!B81,34)=0,10^6,INDEX(properties!A$1:CB$87,'Fórmula'!B81,34)),IF(INDEX(properties!A$1:CB$87,'Fórmula'!D81,34)=0,10^6,INDEX(properties!A$1:CB$87,'Fórmula'!D81,34)),IF(INDEX(properties!A$1:CB$87,'Fórmula'!F81,34)=0,10^6,INDEX(properties!A$1:CB$87,'Fórmula'!F81,34)),IF(INDEX(properties!A$1:CB$87,'Fórmula'!H81,34)=0,10^6,INDEX(properties!A$1:CB$87,'Fórmula'!H81,34)),IF(INDEX(properties!A$1:CB$87,'Fórmula'!J81,34)=0,10^6,INDEX(properties!A$1:CB$87,'Fórmula'!J81,34)))</f>
        <v>1.09</v>
      </c>
      <c r="DK81" s="104">
        <f t="shared" si="19"/>
        <v>2.52</v>
      </c>
      <c r="DL81" s="105" t="str">
        <f t="array" ref="DL81">(('Fórmula'!C81)/('Fórmula'!C81+'Fórmula'!E81+'Fórmula'!G81+'Fórmula'!I81+'Fórmula'!K81))*(INDEX(properties!A$1:CB$87,'Fórmula'!B81,37))+(('Fórmula'!E81)/('Fórmula'!C81+'Fórmula'!E81+'Fórmula'!G81+'Fórmula'!I81+'Fórmula'!K81))*(INDEX(properties!A$1:CB$87,'Fórmula'!D81,37))+(('Fórmula'!G81)/('Fórmula'!C81+'Fórmula'!E81+'Fórmula'!G81+'Fórmula'!I81+'Fórmula'!K81))*(INDEX(properties!A$1:CB$87,'Fórmula'!F81,37))+(('Fórmula'!I81)/('Fórmula'!C81+'Fórmula'!E81+'Fórmula'!G81+'Fórmula'!I81+'Fórmula'!K81))*(INDEX(properties!A$1:CB$87,'Fórmula'!H81,37))+(('Fórmula'!K81)/('Fórmula'!C81+'Fórmula'!E81+'Fórmula'!G81+'Fórmula'!I81+'Fórmula'!K81))*(INDEX(properties!A$1:CB$87,'Fórmula'!J81,37))</f>
        <v>#VALUE!</v>
      </c>
      <c r="DM81" s="105" t="str">
        <f t="array" ref="DM81">'Fórmula'!C81*(INDEX(properties!A$1:CB$87,'Fórmula'!B81,37))+'Fórmula'!E81*(INDEX(properties!A$1:CB$87,'Fórmula'!D81,37))+'Fórmula'!G81*(INDEX(properties!A$1:CB$87,'Fórmula'!F81,37))+'Fórmula'!I81*(INDEX(properties!A$1:CB$87,'Fórmula'!H81,37))+'Fórmula'!K81*(INDEX(properties!A$1:CB$87,'Fórmula'!J81,37))</f>
        <v>#VALUE!</v>
      </c>
      <c r="DN81" s="105">
        <f t="array" ref="DN81">VARP(IF(INDEX(properties!A$1:CB$87,'Fórmula'!B81,37)&lt;&gt;"",INDEX(properties!A$1:CB$87,'Fórmula'!B81,37)),IF(INDEX(properties!A$1:CB$87,'Fórmula'!D81,37)&lt;&gt;"",INDEX(properties!A$1:CB$87,'Fórmula'!D81,37)),IF(INDEX(properties!A$1:CB$87,'Fórmula'!F81,37)&lt;&gt;"",INDEX(properties!A$1:CB$87,'Fórmula'!F81,37)),IF(INDEX(properties!A$1:CB$87,'Fórmula'!H81,37)&lt;&gt;"",INDEX(properties!A$1:CB$87,'Fórmula'!H81,37)),IF(INDEX(properties!A$1:CB$87,'Fórmula'!J81,37)&lt;&gt;"",INDEX(properties!A$1:CB$87,'Fórmula'!J81,37)))</f>
        <v>2.06296875</v>
      </c>
      <c r="DO81" s="105">
        <f t="array" ref="DO81">MAX(INDEX(properties!A$1:CB$87,'Fórmula'!B81,37),INDEX(properties!A$1:CB$87,'Fórmula'!D81,37),INDEX(properties!A$1:CB$87,'Fórmula'!F81,37),INDEX(properties!A$1:CB$87,'Fórmula'!H81,37),INDEX(properties!A$1:CB$87,'Fórmula'!J81,37))</f>
        <v>3.45</v>
      </c>
      <c r="DP81" s="105">
        <f t="array" ref="DP81">MIN(IF(INDEX(properties!A$1:CB$87,'Fórmula'!B81,37)=0,10^6,INDEX(properties!A$1:CB$87,'Fórmula'!B81,37)),IF(INDEX(properties!A$1:CB$87,'Fórmula'!D81,37)=0,10^6,INDEX(properties!A$1:CB$87,'Fórmula'!D81,37)),IF(INDEX(properties!A$1:CB$87,'Fórmula'!F81,37)=0,10^6,INDEX(properties!A$1:CB$87,'Fórmula'!F81,37)),IF(INDEX(properties!A$1:CB$87,'Fórmula'!H81,37)=0,10^6,INDEX(properties!A$1:CB$87,'Fórmula'!H81,37)),IF(INDEX(properties!A$1:CB$87,'Fórmula'!J81,37)=0,10^6,INDEX(properties!A$1:CB$87,'Fórmula'!J81,37)))</f>
        <v>1.8</v>
      </c>
      <c r="DQ81" s="105">
        <f t="shared" si="20"/>
        <v>1.65</v>
      </c>
      <c r="DR81" s="109">
        <f t="array" ref="DR81">(('Fórmula'!C81)/('Fórmula'!C81+'Fórmula'!E81+'Fórmula'!G81+'Fórmula'!I81+'Fórmula'!K81))*(INDEX(properties!A$1:CB$87,'Fórmula'!B81,39))+(('Fórmula'!E81)/('Fórmula'!C81+'Fórmula'!E81+'Fórmula'!G81+'Fórmula'!I81+'Fórmula'!K81))*(INDEX(properties!A$1:CB$87,'Fórmula'!D81,39))+(('Fórmula'!G81)/('Fórmula'!C81+'Fórmula'!E81+'Fórmula'!G81+'Fórmula'!I81+'Fórmula'!K81))*(INDEX(properties!A$1:CB$87,'Fórmula'!F81,39))+(('Fórmula'!I81)/('Fórmula'!C81+'Fórmula'!E81+'Fórmula'!G81+'Fórmula'!I81+'Fórmula'!K81))*(INDEX(properties!A$1:CB$87,'Fórmula'!H81,39))+(('Fórmula'!K81)/('Fórmula'!C81+'Fórmula'!E81+'Fórmula'!G81+'Fórmula'!I81+'Fórmula'!K81))*(INDEX(properties!A$1:CB$87,'Fórmula'!J81,39))</f>
        <v>1.02125</v>
      </c>
      <c r="DS81" s="109">
        <f t="array" ref="DS81">'Fórmula'!C81*(INDEX(properties!A$1:CB$87,'Fórmula'!B81,39))+'Fórmula'!E81*(INDEX(properties!A$1:CB$87,'Fórmula'!D81,39))+'Fórmula'!G81*(INDEX(properties!A$1:CB$87,'Fórmula'!F81,39))+'Fórmula'!I81*(INDEX(properties!A$1:CB$87,'Fórmula'!H81,39))+'Fórmula'!K81*(INDEX(properties!A$1:CB$87,'Fórmula'!J81,39))</f>
        <v>8.17</v>
      </c>
      <c r="DT81" s="109">
        <f t="array" ref="DT81">VARP(IF(INDEX(properties!A$1:CB$87,'Fórmula'!B81,39)&lt;&gt;"",INDEX(properties!A$1:CB$87,'Fórmula'!B81,39)),IF(INDEX(properties!A$1:CB$87,'Fórmula'!D81,39)&lt;&gt;"",INDEX(properties!A$1:CB$87,'Fórmula'!D81,39)),IF(INDEX(properties!A$1:CB$87,'Fórmula'!F81,39)&lt;&gt;"",INDEX(properties!A$1:CB$87,'Fórmula'!F81,39)),IF(INDEX(properties!A$1:CB$87,'Fórmula'!H81,39)&lt;&gt;"",INDEX(properties!A$1:CB$87,'Fórmula'!H81,39)),IF(INDEX(properties!A$1:CB$87,'Fórmula'!J81,39)&lt;&gt;"",INDEX(properties!A$1:CB$87,'Fórmula'!J81,39)))</f>
        <v>0.763624</v>
      </c>
      <c r="DU81" s="120">
        <f t="array" ref="DU81">MAX(INDEX(properties!A$1:CB$87,'Fórmula'!B81,39),INDEX(properties!A$1:CB$87,'Fórmula'!D81,39),INDEX(properties!A$1:CB$87,'Fórmula'!F81,39),INDEX(properties!A$1:CB$87,'Fórmula'!H81,39),INDEX(properties!A$1:CB$87,'Fórmula'!J81,39))</f>
        <v>2.33</v>
      </c>
      <c r="DV81" s="120">
        <f t="array" ref="DV81">MIN(IF(INDEX(properties!A$1:CB$87,'Fórmula'!B81,39)=0,10^6,INDEX(properties!A$1:CB$87,'Fórmula'!B81,39)),IF(INDEX(properties!A$1:CB$87,'Fórmula'!D81,39)=0,10^6,INDEX(properties!A$1:CB$87,'Fórmula'!D81,39)),IF(INDEX(properties!A$1:CB$87,'Fórmula'!F81,39)=0,10^6,INDEX(properties!A$1:CB$87,'Fórmula'!F81,39)),IF(INDEX(properties!A$1:CB$87,'Fórmula'!H81,39)=0,10^6,INDEX(properties!A$1:CB$87,'Fórmula'!H81,39)),IF(INDEX(properties!A$1:CB$87,'Fórmula'!J81,39)=0,10^6,INDEX(properties!A$1:CB$87,'Fórmula'!J81,39)))</f>
        <v>0.48</v>
      </c>
      <c r="DW81" s="109">
        <f t="shared" si="21"/>
        <v>1.85</v>
      </c>
      <c r="DX81" s="110">
        <f t="array" ref="DX81">(('Fórmula'!C81)/('Fórmula'!C81+'Fórmula'!E81+'Fórmula'!G81+'Fórmula'!I81+'Fórmula'!K81))*(INDEX(properties!A$1:CB$87,'Fórmula'!B81,40))+(('Fórmula'!E81)/('Fórmula'!C81+'Fórmula'!E81+'Fórmula'!G81+'Fórmula'!I81+'Fórmula'!K81))*(INDEX(properties!A$1:CB$87,'Fórmula'!D81,40))+(('Fórmula'!G81)/('Fórmula'!C81+'Fórmula'!E81+'Fórmula'!G81+'Fórmula'!I81+'Fórmula'!K81))*(INDEX(properties!A$1:CB$87,'Fórmula'!F81,40))+(('Fórmula'!I81)/('Fórmula'!C81+'Fórmula'!E81+'Fórmula'!G81+'Fórmula'!I81+'Fórmula'!K81))*(INDEX(properties!A$1:CB$87,'Fórmula'!H81,40))+(('Fórmula'!K81)/('Fórmula'!C81+'Fórmula'!E81+'Fórmula'!G81+'Fórmula'!I81+'Fórmula'!K81))*(INDEX(properties!A$1:CB$87,'Fórmula'!J81,40))</f>
        <v>0.9975</v>
      </c>
      <c r="DY81" s="110">
        <f t="array" ref="DY81">'Fórmula'!C81*(INDEX(properties!A$1:CB$87,'Fórmula'!B81,40))+'Fórmula'!E81*(INDEX(properties!A$1:CB$87,'Fórmula'!D81,40))+'Fórmula'!G81*(INDEX(properties!A$1:CB$87,'Fórmula'!F81,40))+'Fórmula'!I81*(INDEX(properties!A$1:CB$87,'Fórmula'!H81,40))+'Fórmula'!K81*(INDEX(properties!A$1:CB$87,'Fórmula'!J81,40))</f>
        <v>7.98</v>
      </c>
      <c r="DZ81" s="110">
        <f t="array" ref="DZ81">VARP(IF(INDEX(properties!A$1:CB$87,'Fórmula'!B81,40)&lt;&gt;"",INDEX(properties!A$1:CB$87,'Fórmula'!B81,40)),IF(INDEX(properties!A$1:CB$87,'Fórmula'!D81,40)&lt;&gt;"",INDEX(properties!A$1:CB$87,'Fórmula'!D81,40)),IF(INDEX(properties!A$1:CB$87,'Fórmula'!F81,40)&lt;&gt;"",INDEX(properties!A$1:CB$87,'Fórmula'!F81,40)),IF(INDEX(properties!A$1:CB$87,'Fórmula'!H81,40)&lt;&gt;"",INDEX(properties!A$1:CB$87,'Fórmula'!H81,40)),IF(INDEX(properties!A$1:CB$87,'Fórmula'!J81,40)&lt;&gt;"",INDEX(properties!A$1:CB$87,'Fórmula'!J81,40)))</f>
        <v>0.39532</v>
      </c>
      <c r="EA81" s="121">
        <f t="array" ref="EA81">MAX(INDEX(properties!A$1:CB$87,'Fórmula'!B81,40),INDEX(properties!A$1:CB$87,'Fórmula'!D81,40),INDEX(properties!A$1:CB$87,'Fórmula'!F81,40),INDEX(properties!A$1:CB$87,'Fórmula'!H81,40),INDEX(properties!A$1:CB$87,'Fórmula'!J81,40))</f>
        <v>1.61</v>
      </c>
      <c r="EB81" s="121">
        <f t="array" ref="EB81">MIN(IF(INDEX(properties!A$1:CB$87,'Fórmula'!B81,40)=0,10^6,INDEX(properties!A$1:CB$87,'Fórmula'!B81,40)),IF(INDEX(properties!A$1:CB$87,'Fórmula'!D81,40)=0,10^6,INDEX(properties!A$1:CB$87,'Fórmula'!D81,40)),IF(INDEX(properties!A$1:CB$87,'Fórmula'!F81,40)=0,10^6,INDEX(properties!A$1:CB$87,'Fórmula'!F81,40)),IF(INDEX(properties!A$1:CB$87,'Fórmula'!H81,40)=0,10^6,INDEX(properties!A$1:CB$87,'Fórmula'!H81,40)),IF(INDEX(properties!A$1:CB$87,'Fórmula'!J81,40)=0,10^6,INDEX(properties!A$1:CB$87,'Fórmula'!J81,40)))</f>
        <v>0.73</v>
      </c>
      <c r="EC81" s="110">
        <f t="shared" si="22"/>
        <v>0.88</v>
      </c>
      <c r="ED81" s="111">
        <f t="array" ref="ED81">(('Fórmula'!C81)/('Fórmula'!C81+'Fórmula'!E81+'Fórmula'!G81+'Fórmula'!I81+'Fórmula'!K81))*(INDEX(properties!A$1:CB$87,'Fórmula'!B81,41))+(('Fórmula'!E81)/('Fórmula'!C81+'Fórmula'!E81+'Fórmula'!G81+'Fórmula'!I81+'Fórmula'!K81))*(INDEX(properties!A$1:CB$87,'Fórmula'!D81,41))+(('Fórmula'!G81)/('Fórmula'!C81+'Fórmula'!E81+'Fórmula'!G81+'Fórmula'!I81+'Fórmula'!K81))*(INDEX(properties!A$1:CB$87,'Fórmula'!F81,41))+(('Fórmula'!I81)/('Fórmula'!C81+'Fórmula'!E81+'Fórmula'!G81+'Fórmula'!I81+'Fórmula'!K81))*(INDEX(properties!A$1:CB$87,'Fórmula'!H81,41))+(('Fórmula'!K81)/('Fórmula'!C81+'Fórmula'!E81+'Fórmula'!G81+'Fórmula'!I81+'Fórmula'!K81))*(INDEX(properties!A$1:CB$87,'Fórmula'!J81,41))</f>
        <v>1.125</v>
      </c>
      <c r="EE81" s="111">
        <f t="array" ref="EE81">'Fórmula'!C81*(INDEX(properties!A$1:CB$87,'Fórmula'!B81,41))+'Fórmula'!E81*(INDEX(properties!A$1:CB$87,'Fórmula'!D81,41))+'Fórmula'!G81*(INDEX(properties!A$1:CB$87,'Fórmula'!F81,41))+'Fórmula'!I81*(INDEX(properties!A$1:CB$87,'Fórmula'!H81,41))+'Fórmula'!K81*(INDEX(properties!A$1:CB$87,'Fórmula'!J81,41))</f>
        <v>9</v>
      </c>
      <c r="EF81" s="111">
        <f t="array" ref="EF81">VARP(IF(INDEX(properties!A$1:CB$87,'Fórmula'!B81,41)&lt;&gt;"",INDEX(properties!A$1:CB$87,'Fórmula'!B81,41)),IF(INDEX(properties!A$1:CB$87,'Fórmula'!D81,41)&lt;&gt;"",INDEX(properties!A$1:CB$87,'Fórmula'!D81,41)),IF(INDEX(properties!A$1:CB$87,'Fórmula'!F81,41)&lt;&gt;"",INDEX(properties!A$1:CB$87,'Fórmula'!F81,41)),IF(INDEX(properties!A$1:CB$87,'Fórmula'!H81,41)&lt;&gt;"",INDEX(properties!A$1:CB$87,'Fórmula'!H81,41)),IF(INDEX(properties!A$1:CB$87,'Fórmula'!J81,41)&lt;&gt;"",INDEX(properties!A$1:CB$87,'Fórmula'!J81,41)))</f>
        <v>0.277344</v>
      </c>
      <c r="EG81" s="122">
        <f t="array" ref="EG81">MAX(INDEX(properties!A$1:CB$87,'Fórmula'!B81,41),INDEX(properties!A$1:CB$87,'Fórmula'!D81,41),INDEX(properties!A$1:CB$87,'Fórmula'!F81,41),INDEX(properties!A$1:CB$87,'Fórmula'!H81,41),INDEX(properties!A$1:CB$87,'Fórmula'!J81,41))</f>
        <v>1.26</v>
      </c>
      <c r="EH81" s="122">
        <f t="array" ref="EH81">MIN(IF(INDEX(properties!A$1:CB$87,'Fórmula'!B81,41)=0,10^6,INDEX(properties!A$1:CB$87,'Fórmula'!B81,41)),IF(INDEX(properties!A$1:CB$87,'Fórmula'!D81,41)=0,10^6,INDEX(properties!A$1:CB$87,'Fórmula'!D81,41)),IF(INDEX(properties!A$1:CB$87,'Fórmula'!F81,41)=0,10^6,INDEX(properties!A$1:CB$87,'Fórmula'!F81,41)),IF(INDEX(properties!A$1:CB$87,'Fórmula'!H81,41)=0,10^6,INDEX(properties!A$1:CB$87,'Fórmula'!H81,41)),IF(INDEX(properties!A$1:CB$87,'Fórmula'!J81,41)=0,10^6,INDEX(properties!A$1:CB$87,'Fórmula'!J81,41)))</f>
        <v>0.54</v>
      </c>
      <c r="EI81" s="111">
        <f t="shared" si="23"/>
        <v>0.72</v>
      </c>
      <c r="EJ81" s="112">
        <f t="array" ref="EJ81">(('Fórmula'!C81)/('Fórmula'!C81+'Fórmula'!E81+'Fórmula'!G81+'Fórmula'!I81+'Fórmula'!K81))*(INDEX(properties!A$1:CB$87,'Fórmula'!B81,45))+(('Fórmula'!E81)/('Fórmula'!C81+'Fórmula'!E81+'Fórmula'!G81+'Fórmula'!I81+'Fórmula'!K81))*(INDEX(properties!A$1:CB$87,'Fórmula'!D81,45))+(('Fórmula'!G81)/('Fórmula'!C81+'Fórmula'!E81+'Fórmula'!G81+'Fórmula'!I81+'Fórmula'!K81))*(INDEX(properties!A$1:CB$87,'Fórmula'!F81,45))+(('Fórmula'!I81)/('Fórmula'!C81+'Fórmula'!E81+'Fórmula'!G81+'Fórmula'!I81+'Fórmula'!K81))*(INDEX(properties!A$1:CB$87,'Fórmula'!H81,45))+(('Fórmula'!K81)/('Fórmula'!C81+'Fórmula'!E81+'Fórmula'!G81+'Fórmula'!I81+'Fórmula'!K81))*(INDEX(properties!A$1:CB$87,'Fórmula'!J81,45))</f>
        <v>1.44875</v>
      </c>
      <c r="EK81" s="112">
        <f t="array" ref="EK81">'Fórmula'!C81*(INDEX(properties!A$1:CB$87,'Fórmula'!B81,45))+'Fórmula'!E81*(INDEX(properties!A$1:CB$87,'Fórmula'!D81,45))+'Fórmula'!G81*(INDEX(properties!A$1:CB$87,'Fórmula'!F81,45))+'Fórmula'!I81*(INDEX(properties!A$1:CB$87,'Fórmula'!H81,45))+'Fórmula'!K81*(INDEX(properties!A$1:CB$87,'Fórmula'!J81,45))</f>
        <v>11.59</v>
      </c>
      <c r="EL81" s="112">
        <f t="array" ref="EL81">VARP(IF(INDEX(properties!A$1:CB$87,'Fórmula'!B81,45)&lt;&gt;"",INDEX(properties!A$1:CB$87,'Fórmula'!B81,45)),IF(INDEX(properties!A$1:CB$87,'Fórmula'!D81,45)&lt;&gt;"",INDEX(properties!A$1:CB$87,'Fórmula'!D81,45)),IF(INDEX(properties!A$1:CB$87,'Fórmula'!F81,45)&lt;&gt;"",INDEX(properties!A$1:CB$87,'Fórmula'!F81,45)),IF(INDEX(properties!A$1:CB$87,'Fórmula'!H81,45)&lt;&gt;"",INDEX(properties!A$1:CB$87,'Fórmula'!H81,45)),IF(INDEX(properties!A$1:CB$87,'Fórmula'!J81,45)&lt;&gt;"",INDEX(properties!A$1:CB$87,'Fórmula'!J81,45)))</f>
        <v>2.15948</v>
      </c>
      <c r="EM81" s="123">
        <f t="array" ref="EM81">MAX(INDEX(properties!A$1:CB$87,'Fórmula'!B81,45),INDEX(properties!A$1:CB$87,'Fórmula'!D81,45),INDEX(properties!A$1:CB$87,'Fórmula'!F81,45),INDEX(properties!A$1:CB$87,'Fórmula'!H81,45),INDEX(properties!A$1:CB$87,'Fórmula'!J81,45))</f>
        <v>3.91</v>
      </c>
      <c r="EN81" s="123">
        <f t="array" ref="EN81">MIN(IF(INDEX(properties!A$1:CB$87,'Fórmula'!B81,45)=0,10^6,INDEX(properties!A$1:CB$87,'Fórmula'!B81,45)),IF(INDEX(properties!A$1:CB$87,'Fórmula'!D81,45)=0,10^6,INDEX(properties!A$1:CB$87,'Fórmula'!D81,45)),IF(INDEX(properties!A$1:CB$87,'Fórmula'!F81,45)=0,10^6,INDEX(properties!A$1:CB$87,'Fórmula'!F81,45)),IF(INDEX(properties!A$1:CB$87,'Fórmula'!H81,45)=0,10^6,INDEX(properties!A$1:CB$87,'Fórmula'!H81,45)),IF(INDEX(properties!A$1:CB$87,'Fórmula'!J81,45)=0,10^6,INDEX(properties!A$1:CB$87,'Fórmula'!J81,45)))</f>
        <v>0.47</v>
      </c>
      <c r="EO81" s="112">
        <f t="shared" si="24"/>
        <v>3.44</v>
      </c>
      <c r="EP81" s="113">
        <f t="array" ref="EP81">(('Fórmula'!C81)/('Fórmula'!C81+'Fórmula'!E81+'Fórmula'!G81+'Fórmula'!I81+'Fórmula'!K81))*(INDEX(properties!A$1:CB$87,'Fórmula'!B81,46))+(('Fórmula'!E81)/('Fórmula'!C81+'Fórmula'!E81+'Fórmula'!G81+'Fórmula'!I81+'Fórmula'!K81))*(INDEX(properties!A$1:CB$87,'Fórmula'!D81,46))+(('Fórmula'!G81)/('Fórmula'!C81+'Fórmula'!E81+'Fórmula'!G81+'Fórmula'!I81+'Fórmula'!K81))*(INDEX(properties!A$1:CB$87,'Fórmula'!F81,46))+(('Fórmula'!I81)/('Fórmula'!C81+'Fórmula'!E81+'Fórmula'!G81+'Fórmula'!I81+'Fórmula'!K81))*(INDEX(properties!A$1:CB$87,'Fórmula'!H81,46))+(('Fórmula'!K81)/('Fórmula'!C81+'Fórmula'!E81+'Fórmula'!G81+'Fórmula'!I81+'Fórmula'!K81))*(INDEX(properties!A$1:CB$87,'Fórmula'!J81,46))</f>
        <v>1.07625</v>
      </c>
      <c r="EQ81" s="113">
        <f t="array" ref="EQ81">'Fórmula'!C81*(INDEX(properties!A$1:CB$87,'Fórmula'!B81,46))+'Fórmula'!E81*(INDEX(properties!A$1:CB$87,'Fórmula'!D81,46))+'Fórmula'!G81*(INDEX(properties!A$1:CB$87,'Fórmula'!F81,46))+'Fórmula'!I81*(INDEX(properties!A$1:CB$87,'Fórmula'!H81,46))+'Fórmula'!K81*(INDEX(properties!A$1:CB$87,'Fórmula'!J81,46))</f>
        <v>8.61</v>
      </c>
      <c r="ER81" s="113">
        <f t="array" ref="ER81">VARP(IF(INDEX(properties!A$1:CB$87,'Fórmula'!B81,46)&lt;&gt;"",INDEX(properties!A$1:CB$87,'Fórmula'!B81,46)),IF(INDEX(properties!A$1:CB$87,'Fórmula'!D81,46)&lt;&gt;"",INDEX(properties!A$1:CB$87,'Fórmula'!D81,46)),IF(INDEX(properties!A$1:CB$87,'Fórmula'!F81,46)&lt;&gt;"",INDEX(properties!A$1:CB$87,'Fórmula'!F81,46)),IF(INDEX(properties!A$1:CB$87,'Fórmula'!H81,46)&lt;&gt;"",INDEX(properties!A$1:CB$87,'Fórmula'!H81,46)),IF(INDEX(properties!A$1:CB$87,'Fórmula'!J81,46)&lt;&gt;"",INDEX(properties!A$1:CB$87,'Fórmula'!J81,46)))</f>
        <v>0.268656</v>
      </c>
      <c r="ES81" s="124">
        <f t="array" ref="ES81">MAX(INDEX(properties!A$1:CB$87,'Fórmula'!B81,46),INDEX(properties!A$1:CB$87,'Fórmula'!D81,46),INDEX(properties!A$1:CB$87,'Fórmula'!F81,46),INDEX(properties!A$1:CB$87,'Fórmula'!H81,46),INDEX(properties!A$1:CB$87,'Fórmula'!J81,46))</f>
        <v>1.21</v>
      </c>
      <c r="ET81" s="124">
        <f t="array" ref="ET81">MIN(IF(INDEX(properties!A$1:CB$87,'Fórmula'!B81,46)=0,10^6,INDEX(properties!A$1:CB$87,'Fórmula'!B81,46)),IF(INDEX(properties!A$1:CB$87,'Fórmula'!D81,46)=0,10^6,INDEX(properties!A$1:CB$87,'Fórmula'!D81,46)),IF(INDEX(properties!A$1:CB$87,'Fórmula'!F81,46)=0,10^6,INDEX(properties!A$1:CB$87,'Fórmula'!F81,46)),IF(INDEX(properties!A$1:CB$87,'Fórmula'!H81,46)=0,10^6,INDEX(properties!A$1:CB$87,'Fórmula'!H81,46)),IF(INDEX(properties!A$1:CB$87,'Fórmula'!J81,46)=0,10^6,INDEX(properties!A$1:CB$87,'Fórmula'!J81,46)))</f>
        <v>0.4</v>
      </c>
      <c r="EU81" s="113">
        <f t="shared" si="25"/>
        <v>0.81</v>
      </c>
      <c r="EV81" s="114">
        <f t="array" ref="EV81">(('Fórmula'!C81)/('Fórmula'!C81+'Fórmula'!E81+'Fórmula'!G81+'Fórmula'!I81+'Fórmula'!K81))*(INDEX(properties!A$1:CB$87,'Fórmula'!B81,52))+(('Fórmula'!E81)/('Fórmula'!C81+'Fórmula'!E81+'Fórmula'!G81+'Fórmula'!I81+'Fórmula'!K81))*(INDEX(properties!A$1:CB$87,'Fórmula'!D81,52))+(('Fórmula'!G81)/('Fórmula'!C81+'Fórmula'!E81+'Fórmula'!G81+'Fórmula'!I81+'Fórmula'!K81))*(INDEX(properties!A$1:CB$87,'Fórmula'!F81,52))+(('Fórmula'!I81)/('Fórmula'!C81+'Fórmula'!E81+'Fórmula'!G81+'Fórmula'!I81+'Fórmula'!K81))*(INDEX(properties!A$1:CB$87,'Fórmula'!H81,52))+(('Fórmula'!K81)/('Fórmula'!C81+'Fórmula'!E81+'Fórmula'!G81+'Fórmula'!I81+'Fórmula'!K81))*(INDEX(properties!A$1:CB$87,'Fórmula'!J81,52))</f>
        <v>7.045625</v>
      </c>
      <c r="EW81" s="114">
        <f t="array" ref="EW81">'Fórmula'!C81*(INDEX(properties!A$1:CB$87,'Fórmula'!B81,52))+'Fórmula'!E81*(INDEX(properties!A$1:CB$87,'Fórmula'!D81,52))+'Fórmula'!G81*(INDEX(properties!A$1:CB$87,'Fórmula'!F81,52))+'Fórmula'!I81*(INDEX(properties!A$1:CB$87,'Fórmula'!H81,52))+'Fórmula'!K81*(INDEX(properties!A$1:CB$87,'Fórmula'!J81,52))</f>
        <v>56.365</v>
      </c>
      <c r="EX81" s="114">
        <f t="array" ref="EX81">VARP(IF(INDEX(properties!A$1:CB$87,'Fórmula'!B81,52)&lt;&gt;"",INDEX(properties!A$1:CB$87,'Fórmula'!B81,52)),IF(INDEX(properties!A$1:CB$87,'Fórmula'!D81,52)&lt;&gt;"",INDEX(properties!A$1:CB$87,'Fórmula'!D81,52)),IF(INDEX(properties!A$1:CB$87,'Fórmula'!F81,52)&lt;&gt;"",INDEX(properties!A$1:CB$87,'Fórmula'!F81,52)),IF(INDEX(properties!A$1:CB$87,'Fórmula'!H81,52)&lt;&gt;"",INDEX(properties!A$1:CB$87,'Fórmula'!H81,52)),IF(INDEX(properties!A$1:CB$87,'Fórmula'!J81,52)&lt;&gt;"",INDEX(properties!A$1:CB$87,'Fórmula'!J81,52)))</f>
        <v>81.14079984</v>
      </c>
      <c r="EY81" s="114">
        <f t="array" ref="EY81">MAX(INDEX(properties!A$1:CB$87,'Fórmula'!B81,52),INDEX(properties!A$1:CB$87,'Fórmula'!D81,52),INDEX(properties!A$1:CB$87,'Fórmula'!F81,52),INDEX(properties!A$1:CB$87,'Fórmula'!H81,52),INDEX(properties!A$1:CB$87,'Fórmula'!J81,52))</f>
        <v>23.5</v>
      </c>
      <c r="EZ81" s="114">
        <f t="array" ref="EZ81">MIN(IF(INDEX(properties!A$1:CB$87,'Fórmula'!B81,52)=0,10^6,INDEX(properties!A$1:CB$87,'Fórmula'!B81,52)),IF(INDEX(properties!A$1:CB$87,'Fórmula'!D81,52)=0,10^6,INDEX(properties!A$1:CB$87,'Fórmula'!D81,52)),IF(INDEX(properties!A$1:CB$87,'Fórmula'!F81,52)=0,10^6,INDEX(properties!A$1:CB$87,'Fórmula'!F81,52)),IF(INDEX(properties!A$1:CB$87,'Fórmula'!H81,52)=0,10^6,INDEX(properties!A$1:CB$87,'Fórmula'!H81,52)),IF(INDEX(properties!A$1:CB$87,'Fórmula'!J81,52)=0,10^6,INDEX(properties!A$1:CB$87,'Fórmula'!J81,52)))</f>
        <v>0.793</v>
      </c>
      <c r="FA81" s="114">
        <f t="shared" si="26"/>
        <v>22.707</v>
      </c>
      <c r="FB81" s="115">
        <f t="array" ref="FB81">(('Fórmula'!C81)/('Fórmula'!C81+'Fórmula'!E81+'Fórmula'!G81+'Fórmula'!I81+'Fórmula'!K81))*(INDEX(properties!A$1:CB$87,'Fórmula'!B81,53))+(('Fórmula'!E81)/('Fórmula'!C81+'Fórmula'!E81+'Fórmula'!G81+'Fórmula'!I81+'Fórmula'!K81))*(INDEX(properties!A$1:CB$87,'Fórmula'!D81,53))+(('Fórmula'!G81)/('Fórmula'!C81+'Fórmula'!E81+'Fórmula'!G81+'Fórmula'!I81+'Fórmula'!K81))*(INDEX(properties!A$1:CB$87,'Fórmula'!F81,53))+(('Fórmula'!I81)/('Fórmula'!C81+'Fórmula'!E81+'Fórmula'!G81+'Fórmula'!I81+'Fórmula'!K81))*(INDEX(properties!A$1:CB$87,'Fórmula'!H81,53))+(('Fórmula'!K81)/('Fórmula'!C81+'Fórmula'!E81+'Fórmula'!G81+'Fórmula'!I81+'Fórmula'!K81))*(INDEX(properties!A$1:CB$87,'Fórmula'!J81,53))</f>
        <v>641.15</v>
      </c>
      <c r="FC81" s="115">
        <f t="array" ref="FC81">'Fórmula'!C81*(INDEX(properties!A$1:CB$87,'Fórmula'!B81,53))+'Fórmula'!E81*(INDEX(properties!A$1:CB$87,'Fórmula'!D81,53))+'Fórmula'!G81*(INDEX(properties!A$1:CB$87,'Fórmula'!F81,53))+'Fórmula'!I81*(INDEX(properties!A$1:CB$87,'Fórmula'!H81,53))+'Fórmula'!K81*(INDEX(properties!A$1:CB$87,'Fórmula'!J81,53))</f>
        <v>5129.2</v>
      </c>
      <c r="FD81" s="115">
        <f t="array" ref="FD81">VARP(IF(INDEX(properties!A$1:CB$87,'Fórmula'!B81,53)&lt;&gt;"",INDEX(properties!A$1:CB$87,'Fórmula'!B81,53)),IF(INDEX(properties!A$1:CB$87,'Fórmula'!D81,53)&lt;&gt;"",INDEX(properties!A$1:CB$87,'Fórmula'!D81,53)),IF(INDEX(properties!A$1:CB$87,'Fórmula'!F81,53)&lt;&gt;"",INDEX(properties!A$1:CB$87,'Fórmula'!F81,53)),IF(INDEX(properties!A$1:CB$87,'Fórmula'!H81,53)&lt;&gt;"",INDEX(properties!A$1:CB$87,'Fórmula'!H81,53)),IF(INDEX(properties!A$1:CB$87,'Fórmula'!J81,53)&lt;&gt;"",INDEX(properties!A$1:CB$87,'Fórmula'!J81,53)))</f>
        <v>628400.3254</v>
      </c>
      <c r="FE81" s="115">
        <f t="array" ref="FE81">MAX(INDEX(properties!A$1:CB$87,'Fórmula'!B81,53),INDEX(properties!A$1:CB$87,'Fórmula'!D81,53),INDEX(properties!A$1:CB$87,'Fórmula'!F81,53),INDEX(properties!A$1:CB$87,'Fórmula'!H81,53),INDEX(properties!A$1:CB$87,'Fórmula'!J81,53))</f>
        <v>1683.15</v>
      </c>
      <c r="FF81" s="115">
        <f t="array" ref="FF81">MIN(IF(INDEX(properties!A$1:CB$87,'Fórmula'!B81,53)=0,10^6,INDEX(properties!A$1:CB$87,'Fórmula'!B81,53)),IF(INDEX(properties!A$1:CB$87,'Fórmula'!D81,53)=0,10^6,INDEX(properties!A$1:CB$87,'Fórmula'!D81,53)),IF(INDEX(properties!A$1:CB$87,'Fórmula'!F81,53)=0,10^6,INDEX(properties!A$1:CB$87,'Fórmula'!F81,53)),IF(INDEX(properties!A$1:CB$87,'Fórmula'!H81,53)=0,10^6,INDEX(properties!A$1:CB$87,'Fórmula'!H81,53)),IF(INDEX(properties!A$1:CB$87,'Fórmula'!J81,53)=0,10^6,INDEX(properties!A$1:CB$87,'Fórmula'!J81,53)))</f>
        <v>54.75</v>
      </c>
      <c r="FG81" s="115">
        <f t="shared" si="27"/>
        <v>1628.4</v>
      </c>
      <c r="FH81" s="117">
        <f t="array" ref="FH81">(('Fórmula'!C81)/('Fórmula'!C81+'Fórmula'!E81+'Fórmula'!G81+'Fórmula'!I81+'Fórmula'!K81))*(INDEX(properties!A$1:CB$87,'Fórmula'!B81,54))+(('Fórmula'!E81)/('Fórmula'!C81+'Fórmula'!E81+'Fórmula'!G81+'Fórmula'!I81+'Fórmula'!K81))*(INDEX(properties!A$1:CB$87,'Fórmula'!D81,54))+(('Fórmula'!G81)/('Fórmula'!C81+'Fórmula'!E81+'Fórmula'!G81+'Fórmula'!I81+'Fórmula'!K81))*(INDEX(properties!A$1:CB$87,'Fórmula'!F81,54))+(('Fórmula'!I81)/('Fórmula'!C81+'Fórmula'!E81+'Fórmula'!G81+'Fórmula'!I81+'Fórmula'!K81))*(INDEX(properties!A$1:CB$87,'Fórmula'!H81,54))+(('Fórmula'!K81)/('Fórmula'!C81+'Fórmula'!E81+'Fórmula'!G81+'Fórmula'!I81+'Fórmula'!K81))*(INDEX(properties!A$1:CB$87,'Fórmula'!J81,54))</f>
        <v>1271.4</v>
      </c>
      <c r="FI81" s="117">
        <f t="array" ref="FI81">'Fórmula'!C81*(INDEX(properties!A$1:CB$87,'Fórmula'!B81,54))+'Fórmula'!E81*(INDEX(properties!A$1:CB$87,'Fórmula'!D81,54))+'Fórmula'!G81*(INDEX(properties!A$1:CB$87,'Fórmula'!F81,54))+'Fórmula'!I81*(INDEX(properties!A$1:CB$87,'Fórmula'!H81,54))+'Fórmula'!K81*(INDEX(properties!A$1:CB$87,'Fórmula'!J81,54))</f>
        <v>10171.2</v>
      </c>
      <c r="FJ81" s="117">
        <f t="array" ref="FJ81">VARP(IF(INDEX(properties!A$1:CB$87,'Fórmula'!B81,54)&lt;&gt;"",INDEX(properties!A$1:CB$87,'Fórmula'!B81,54)),IF(INDEX(properties!A$1:CB$87,'Fórmula'!D81,54)&lt;&gt;"",INDEX(properties!A$1:CB$87,'Fórmula'!D81,54)),IF(INDEX(properties!A$1:CB$87,'Fórmula'!F81,54)&lt;&gt;"",INDEX(properties!A$1:CB$87,'Fórmula'!F81,54)),IF(INDEX(properties!A$1:CB$87,'Fórmula'!H81,54)&lt;&gt;"",INDEX(properties!A$1:CB$87,'Fórmula'!H81,54)),IF(INDEX(properties!A$1:CB$87,'Fórmula'!J81,54)&lt;&gt;"",INDEX(properties!A$1:CB$87,'Fórmula'!J81,54)))</f>
        <v>2328362.501</v>
      </c>
      <c r="FK81" s="117">
        <f t="array" ref="FK81">MAX(INDEX(properties!A$1:CB$87,'Fórmula'!B81,54),INDEX(properties!A$1:CB$87,'Fórmula'!D81,54),INDEX(properties!A$1:CB$87,'Fórmula'!F81,54),INDEX(properties!A$1:CB$87,'Fórmula'!H81,54),INDEX(properties!A$1:CB$87,'Fórmula'!J81,54))</f>
        <v>3546.15</v>
      </c>
      <c r="FL81" s="117">
        <f t="array" ref="FL81">MIN(IF(INDEX(properties!A$1:CB$87,'Fórmula'!B81,54)=0,10^6,INDEX(properties!A$1:CB$87,'Fórmula'!B81,54)),IF(INDEX(properties!A$1:CB$87,'Fórmula'!D81,54)=0,10^6,INDEX(properties!A$1:CB$87,'Fórmula'!D81,54)),IF(INDEX(properties!A$1:CB$87,'Fórmula'!F81,54)=0,10^6,INDEX(properties!A$1:CB$87,'Fórmula'!F81,54)),IF(INDEX(properties!A$1:CB$87,'Fórmula'!H81,54)=0,10^6,INDEX(properties!A$1:CB$87,'Fórmula'!H81,54)),IF(INDEX(properties!A$1:CB$87,'Fórmula'!J81,54)=0,10^6,INDEX(properties!A$1:CB$87,'Fórmula'!J81,54)))</f>
        <v>90.15</v>
      </c>
      <c r="FM81" s="117">
        <f t="shared" si="28"/>
        <v>3456</v>
      </c>
      <c r="FN81" s="118">
        <f t="array" ref="FN81">(('Fórmula'!C81)/('Fórmula'!C81+'Fórmula'!E81+'Fórmula'!G81+'Fórmula'!I81+'Fórmula'!K81))*(INDEX(properties!A$1:CB$87,'Fórmula'!B81,55))+(('Fórmula'!E81)/('Fórmula'!C81+'Fórmula'!E81+'Fórmula'!G81+'Fórmula'!I81+'Fórmula'!K81))*(INDEX(properties!A$1:CB$87,'Fórmula'!D81,55))+(('Fórmula'!G81)/('Fórmula'!C81+'Fórmula'!E81+'Fórmula'!G81+'Fórmula'!I81+'Fórmula'!K81))*(INDEX(properties!A$1:CB$87,'Fórmula'!F81,55))+(('Fórmula'!I81)/('Fórmula'!C81+'Fórmula'!E81+'Fórmula'!G81+'Fórmula'!I81+'Fórmula'!K81))*(INDEX(properties!A$1:CB$87,'Fórmula'!H81,55))+(('Fórmula'!K81)/('Fórmula'!C81+'Fórmula'!E81+'Fórmula'!G81+'Fórmula'!I81+'Fórmula'!K81))*(INDEX(properties!A$1:CB$87,'Fórmula'!J81,55))</f>
        <v>2.26714375</v>
      </c>
      <c r="FO81" s="118">
        <f t="array" ref="FO81">'Fórmula'!C81*(INDEX(properties!A$1:CB$87,'Fórmula'!B81,55))+'Fórmula'!E81*(INDEX(properties!A$1:CB$87,'Fórmula'!D81,54))+'Fórmula'!G81*(INDEX(properties!A$1:CB$87,'Fórmula'!F81,55))+'Fórmula'!I81*(INDEX(properties!A$1:CB$87,'Fórmula'!H81,55))+'Fórmula'!K81*(INDEX(properties!A$1:CB$87,'Fórmula'!J81,55))</f>
        <v>2643.95715</v>
      </c>
      <c r="FP81" s="118">
        <f t="array" ref="FP81">VARP(IF(INDEX(properties!A$1:CB$87,'Fórmula'!B81,55)&lt;&gt;"",INDEX(properties!A$1:CB$87,'Fórmula'!B81,55)),IF(INDEX(properties!A$1:CB$87,'Fórmula'!D81,55)&lt;&gt;"",INDEX(properties!A$1:CB$87,'Fórmula'!D81,55)),IF(INDEX(properties!A$1:CB$87,'Fórmula'!F81,55)&lt;&gt;"",INDEX(properties!A$1:CB$87,'Fórmula'!F81,55)),IF(INDEX(properties!A$1:CB$87,'Fórmula'!H81,55)&lt;&gt;"",INDEX(properties!A$1:CB$87,'Fórmula'!H81,55)),IF(INDEX(properties!A$1:CB$87,'Fórmula'!J81,55)&lt;&gt;"",INDEX(properties!A$1:CB$87,'Fórmula'!J81,55)))</f>
        <v>9.380494015</v>
      </c>
      <c r="FQ81" s="118">
        <f t="array" ref="FQ81">MAX(INDEX(properties!A$1:CB$87,'Fórmula'!B81,55),INDEX(properties!A$1:CB$87,'Fórmula'!D81,55),INDEX(properties!A$1:CB$87,'Fórmula'!F81,55),INDEX(properties!A$1:CB$87,'Fórmula'!H81,55),INDEX(properties!A$1:CB$87,'Fórmula'!J81,55))</f>
        <v>7.9</v>
      </c>
      <c r="FR81" s="118">
        <f t="array" ref="FR81">MIN(IF(INDEX(properties!A$1:CB$87,'Fórmula'!B81,55)=0,10^6,INDEX(properties!A$1:CB$87,'Fórmula'!B81,55)),IF(INDEX(properties!A$1:CB$87,'Fórmula'!D81,55)=0,10^6,INDEX(properties!A$1:CB$87,'Fórmula'!D81,55)),IF(INDEX(properties!A$1:CB$87,'Fórmula'!F81,55)=0,10^6,INDEX(properties!A$1:CB$87,'Fórmula'!F81,55)),IF(INDEX(properties!A$1:CB$87,'Fórmula'!H81,55)=0,10^6,INDEX(properties!A$1:CB$87,'Fórmula'!H81,55)),IF(INDEX(properties!A$1:CB$87,'Fórmula'!J81,55)=0,10^6,INDEX(properties!A$1:CB$87,'Fórmula'!J81,55)))</f>
        <v>0.00143</v>
      </c>
      <c r="FS81" s="118">
        <f t="shared" si="29"/>
        <v>7.89857</v>
      </c>
      <c r="FT81" s="119">
        <f t="array" ref="FT81">(('Fórmula'!C81)/('Fórmula'!C81+'Fórmula'!E81+'Fórmula'!G81+'Fórmula'!I81+'Fórmula'!K81))*(INDEX(properties!A$1:CB$87,'Fórmula'!B81,56))+(('Fórmula'!E81)/('Fórmula'!C81+'Fórmula'!E81+'Fórmula'!G81+'Fórmula'!I81+'Fórmula'!K81))*(INDEX(properties!A$1:CB$87,'Fórmula'!D81,56))+(('Fórmula'!G81)/('Fórmula'!C81+'Fórmula'!E81+'Fórmula'!G81+'Fórmula'!I81+'Fórmula'!K81))*(INDEX(properties!A$1:CB$87,'Fórmula'!F81,56))+(('Fórmula'!I81)/('Fórmula'!C81+'Fórmula'!E81+'Fórmula'!G81+'Fórmula'!I81+'Fórmula'!K81))*(INDEX(properties!A$1:CB$87,'Fórmula'!H81,56))+(('Fórmula'!K81)/('Fórmula'!C81+'Fórmula'!E81+'Fórmula'!G81+'Fórmula'!I81+'Fórmula'!K81))*(INDEX(properties!A$1:CB$87,'Fórmula'!J81,56))</f>
        <v>0.72125</v>
      </c>
      <c r="FU81" s="119">
        <f t="array" ref="FU81">'Fórmula'!C81*(INDEX(properties!A$1:CB$87,'Fórmula'!B81,56))+'Fórmula'!E81*(INDEX(properties!A$1:CB$87,'Fórmula'!D81,56))+'Fórmula'!G81*(INDEX(properties!A$1:CB$87,'Fórmula'!F81,56))+'Fórmula'!I81*(INDEX(properties!A$1:CB$87,'Fórmula'!H81,56))+'Fórmula'!K81*(INDEX(properties!A$1:CB$87,'Fórmula'!J81,56))</f>
        <v>5.77</v>
      </c>
      <c r="FV81" s="119">
        <f t="array" ref="FV81">VARP(IF(INDEX(properties!A$1:CB$87,'Fórmula'!B81,56)&lt;&gt;"",INDEX(properties!A$1:CB$87,'Fórmula'!B81,56)),IF(INDEX(properties!A$1:CB$87,'Fórmula'!D81,56)&lt;&gt;"",INDEX(properties!A$1:CB$87,'Fórmula'!D81,56)),IF(INDEX(properties!A$1:CB$87,'Fórmula'!F81,56)&lt;&gt;"",INDEX(properties!A$1:CB$87,'Fórmula'!F81,56)),IF(INDEX(properties!A$1:CB$87,'Fórmula'!H81,56)&lt;&gt;"",INDEX(properties!A$1:CB$87,'Fórmula'!H81,56)),IF(INDEX(properties!A$1:CB$87,'Fórmula'!J81,56)&lt;&gt;"",INDEX(properties!A$1:CB$87,'Fórmula'!J81,56)))</f>
        <v>0.142296</v>
      </c>
      <c r="FW81" s="119">
        <f t="array" ref="FW81">MAX(INDEX(properties!A$1:CB$87,'Fórmula'!B81,56),INDEX(properties!A$1:CB$87,'Fórmula'!D81,56),INDEX(properties!A$1:CB$87,'Fórmula'!F81,56),INDEX(properties!A$1:CB$87,'Fórmula'!H81,56),INDEX(properties!A$1:CB$87,'Fórmula'!J81,56))</f>
        <v>0.92</v>
      </c>
      <c r="FX81" s="119">
        <f t="array" ref="FX81">MIN(IF(INDEX(properties!A$1:CB$87,'Fórmula'!B81,56)=0,10^6,INDEX(properties!A$1:CB$87,'Fórmula'!B81,56)),IF(INDEX(properties!A$1:CB$87,'Fórmula'!D81,56)=0,10^6,INDEX(properties!A$1:CB$87,'Fórmula'!D81,56)),IF(INDEX(properties!A$1:CB$87,'Fórmula'!F81,56)=0,10^6,INDEX(properties!A$1:CB$87,'Fórmula'!F81,56)),IF(INDEX(properties!A$1:CB$87,'Fórmula'!H81,56)=0,10^6,INDEX(properties!A$1:CB$87,'Fórmula'!H81,56)),IF(INDEX(properties!A$1:CB$87,'Fórmula'!J81,56)=0,10^6,INDEX(properties!A$1:CB$87,'Fórmula'!J81,56)))</f>
        <v>0.23</v>
      </c>
      <c r="FY81" s="119">
        <f t="shared" si="30"/>
        <v>0.69</v>
      </c>
      <c r="FZ81" s="104">
        <f t="array" ref="FZ81">(('Fórmula'!C81)/('Fórmula'!C81+'Fórmula'!E81+'Fórmula'!G81+'Fórmula'!I81+'Fórmula'!K81))*(INDEX(properties!A$1:CB$87,'Fórmula'!B81,57))+(('Fórmula'!E81)/('Fórmula'!C81+'Fórmula'!E81+'Fórmula'!G81+'Fórmula'!I81+'Fórmula'!K81))*(INDEX(properties!A$1:CB$87,'Fórmula'!D81,57))+(('Fórmula'!G81)/('Fórmula'!C81+'Fórmula'!E81+'Fórmula'!G81+'Fórmula'!I81+'Fórmula'!K81))*(INDEX(properties!A$1:CB$87,'Fórmula'!F81,57))+(('Fórmula'!I81)/('Fórmula'!C81+'Fórmula'!E81+'Fórmula'!G81+'Fórmula'!I81+'Fórmula'!K81))*(INDEX(properties!A$1:CB$87,'Fórmula'!H81,57))+(('Fórmula'!K81)/('Fórmula'!C81+'Fórmula'!E81+'Fórmula'!G81+'Fórmula'!I81+'Fórmula'!K81))*(INDEX(properties!A$1:CB$87,'Fórmula'!J81,57))</f>
        <v>8.97036875</v>
      </c>
      <c r="GA81" s="104">
        <f t="array" ref="GA81">'Fórmula'!C81*(INDEX(properties!A$1:CB$87,'Fórmula'!B81,57))+'Fórmula'!E81*(INDEX(properties!A$1:CB$87,'Fórmula'!D81,57))+'Fórmula'!G81*(INDEX(properties!A$1:CB$87,'Fórmula'!F81,57))+'Fórmula'!I81*(INDEX(properties!A$1:CB$87,'Fórmula'!H81,57))+'Fórmula'!K81*(INDEX(properties!A$1:CB$87,'Fórmula'!J81,57))</f>
        <v>71.76295</v>
      </c>
      <c r="GB81" s="104">
        <f t="array" ref="GB81">VARP(IF(INDEX(properties!A$1:CB$87,'Fórmula'!B81,57)&lt;&gt;"",INDEX(properties!A$1:CB$87,'Fórmula'!B81,57)),IF(INDEX(properties!A$1:CB$87,'Fórmula'!D81,57)&lt;&gt;"",INDEX(properties!A$1:CB$87,'Fórmula'!D81,57)),IF(INDEX(properties!A$1:CB$87,'Fórmula'!F81,57)&lt;&gt;"",INDEX(properties!A$1:CB$87,'Fórmula'!F81,57)),IF(INDEX(properties!A$1:CB$87,'Fórmula'!H81,57)&lt;&gt;"",INDEX(properties!A$1:CB$87,'Fórmula'!H81,57)),IF(INDEX(properties!A$1:CB$87,'Fórmula'!J81,57)&lt;&gt;"",INDEX(properties!A$1:CB$87,'Fórmula'!J81,57)))</f>
        <v>383.2954111</v>
      </c>
      <c r="GC81" s="104">
        <f t="array" ref="GC81">MAX(INDEX(properties!A$1:CB$87,'Fórmula'!B81,57),INDEX(properties!A$1:CB$87,'Fórmula'!D81,57),INDEX(properties!A$1:CB$87,'Fórmula'!F81,57),INDEX(properties!A$1:CB$87,'Fórmula'!H81,57),INDEX(properties!A$1:CB$87,'Fórmula'!J81,57))</f>
        <v>50.55</v>
      </c>
      <c r="GD81" s="104">
        <f t="array" ref="GD81">MIN(IF(INDEX(properties!A$1:CB$87,'Fórmula'!B81,57)=0,10^6,INDEX(properties!A$1:CB$87,'Fórmula'!B81,57)),IF(INDEX(properties!A$1:CB$87,'Fórmula'!D81,57)=0,10^6,INDEX(properties!A$1:CB$87,'Fórmula'!D81,57)),IF(INDEX(properties!A$1:CB$87,'Fórmula'!F81,57)=0,10^6,INDEX(properties!A$1:CB$87,'Fórmula'!F81,57)),IF(INDEX(properties!A$1:CB$87,'Fórmula'!H81,57)=0,10^6,INDEX(properties!A$1:CB$87,'Fórmula'!H81,57)),IF(INDEX(properties!A$1:CB$87,'Fórmula'!J81,57)=0,10^6,INDEX(properties!A$1:CB$87,'Fórmula'!J81,57)))</f>
        <v>0.22259</v>
      </c>
      <c r="GE81" s="104">
        <f t="shared" si="31"/>
        <v>50.32741</v>
      </c>
      <c r="GF81" s="105">
        <f t="array" ref="GF81">(('Fórmula'!C81)/('Fórmula'!C81+'Fórmula'!E81+'Fórmula'!G81+'Fórmula'!I81+'Fórmula'!K81))*(INDEX(properties!A$1:CB$87,'Fórmula'!B81,60))+(('Fórmula'!E81)/('Fórmula'!C81+'Fórmula'!E81+'Fórmula'!G81+'Fórmula'!I81+'Fórmula'!K81))*(INDEX(properties!A$1:CB$87,'Fórmula'!D81,60))+(('Fórmula'!G81)/('Fórmula'!C81+'Fórmula'!E81+'Fórmula'!G81+'Fórmula'!I81+'Fórmula'!K81))*(INDEX(properties!A$1:CB$87,'Fórmula'!F81,60))+(('Fórmula'!I81)/('Fórmula'!C81+'Fórmula'!E81+'Fórmula'!G81+'Fórmula'!I81+'Fórmula'!K81))*(INDEX(properties!A$1:CB$87,'Fórmula'!H81,60))+(('Fórmula'!K81)/('Fórmula'!C81+'Fórmula'!E81+'Fórmula'!G81+'Fórmula'!I81+'Fórmula'!K81))*(INDEX(properties!A$1:CB$87,'Fórmula'!J81,60))</f>
        <v>21.1667125</v>
      </c>
      <c r="GG81" s="105">
        <f t="array" ref="GG81">'Fórmula'!C81*(INDEX(properties!A$1:CB$87,'Fórmula'!B81,60))+'Fórmula'!E81*(INDEX(properties!A$1:CB$87,'Fórmula'!D81,60))+'Fórmula'!G81*(INDEX(properties!A$1:CB$87,'Fórmula'!F81,60))+'Fórmula'!I81*(INDEX(properties!A$1:CB$87,'Fórmula'!H81,60))+'Fórmula'!K81*(INDEX(properties!A$1:CB$87,'Fórmula'!J81,60))</f>
        <v>169.3337</v>
      </c>
      <c r="GH81" s="105">
        <f t="array" ref="GH81">VARP(IF(INDEX(properties!A$1:CB$87,'Fórmula'!B81,60)&lt;&gt;"",INDEX(properties!A$1:CB$87,'Fórmula'!B81,60)),IF(INDEX(properties!A$1:CB$87,'Fórmula'!D81,60)&lt;&gt;"",INDEX(properties!A$1:CB$87,'Fórmula'!D81,60)),IF(INDEX(properties!A$1:CB$87,'Fórmula'!F81,60)&lt;&gt;"",INDEX(properties!A$1:CB$87,'Fórmula'!F81,60)),IF(INDEX(properties!A$1:CB$87,'Fórmula'!H81,60)&lt;&gt;"",INDEX(properties!A$1:CB$87,'Fórmula'!H81,60)),IF(INDEX(properties!A$1:CB$87,'Fórmula'!J81,60)&lt;&gt;"",INDEX(properties!A$1:CB$87,'Fórmula'!J81,60)))</f>
        <v>3396.774437</v>
      </c>
      <c r="GI81" s="105">
        <f t="array" ref="GI81">MAX(INDEX(properties!A$1:CB$87,'Fórmula'!B81,60),INDEX(properties!A$1:CB$87,'Fórmula'!D81,60),INDEX(properties!A$1:CB$87,'Fórmula'!F81,60),INDEX(properties!A$1:CB$87,'Fórmula'!H81,60),INDEX(properties!A$1:CB$87,'Fórmula'!J81,60))</f>
        <v>148</v>
      </c>
      <c r="GJ81" s="105">
        <f t="array" ref="GJ81">MIN(IF(INDEX(properties!A$1:CB$87,'Fórmula'!B81,60)=0,10^6,INDEX(properties!A$1:CB$87,'Fórmula'!B81,60)),IF(INDEX(properties!A$1:CB$87,'Fórmula'!D81,60)=0,10^6,INDEX(properties!A$1:CB$87,'Fórmula'!D81,60)),IF(INDEX(properties!A$1:CB$87,'Fórmula'!F81,60)=0,10^6,INDEX(properties!A$1:CB$87,'Fórmula'!F81,60)),IF(INDEX(properties!A$1:CB$87,'Fórmula'!H81,60)=0,10^6,INDEX(properties!A$1:CB$87,'Fórmula'!H81,60)),IF(INDEX(properties!A$1:CB$87,'Fórmula'!J81,60)=0,10^6,INDEX(properties!A$1:CB$87,'Fórmula'!J81,60)))</f>
        <v>0.02674</v>
      </c>
      <c r="GK81" s="105">
        <f t="shared" si="32"/>
        <v>147.97326</v>
      </c>
      <c r="GL81" s="106">
        <f t="array" ref="GL81">(('Fórmula'!C81)/('Fórmula'!C81+'Fórmula'!E81+'Fórmula'!G81+'Fórmula'!I81+'Fórmula'!K81))*(INDEX(properties!A$1:CB$87,'Fórmula'!B81,62))+(('Fórmula'!E81)/('Fórmula'!C81+'Fórmula'!E81+'Fórmula'!G81+'Fórmula'!I81+'Fórmula'!K81))*(INDEX(properties!A$1:CB$87,'Fórmula'!D81,62))+(('Fórmula'!G81)/('Fórmula'!C81+'Fórmula'!E81+'Fórmula'!G81+'Fórmula'!I81+'Fórmula'!K81))*(INDEX(properties!A$1:CB$87,'Fórmula'!F81,62))+(('Fórmula'!I81)/('Fórmula'!C81+'Fórmula'!E81+'Fórmula'!G81+'Fórmula'!I81+'Fórmula'!K81))*(INDEX(properties!A$1:CB$87,'Fórmula'!H81,62))+(('Fórmula'!K81)/('Fórmula'!C81+'Fórmula'!E81+'Fórmula'!G81+'Fórmula'!I81+'Fórmula'!K81))*(INDEX(properties!A$1:CB$87,'Fórmula'!J81,62))</f>
        <v>3.25125</v>
      </c>
      <c r="GM81" s="106">
        <f t="array" ref="GM81">'Fórmula'!C81*(INDEX(properties!A$1:CB$87,'Fórmula'!B81,62))+'Fórmula'!E81*(INDEX(properties!A$1:CB$87,'Fórmula'!D81,62))+'Fórmula'!G81*(INDEX(properties!A$1:CB$87,'Fórmula'!F81,62))+'Fórmula'!I81*(INDEX(properties!A$1:CB$87,'Fórmula'!H81,62))+'Fórmula'!K81*(INDEX(properties!A$1:CB$87,'Fórmula'!J81,62))</f>
        <v>26.01</v>
      </c>
      <c r="GN81" s="106">
        <f t="array" ref="GN81">VARP(IF(INDEX(properties!A$1:CB$87,'Fórmula'!B81,62)&lt;&gt;"",INDEX(properties!A$1:CB$87,'Fórmula'!B81,62)),IF(INDEX(properties!A$1:CB$87,'Fórmula'!D81,62)&lt;&gt;"",INDEX(properties!A$1:CB$87,'Fórmula'!D81,62)),IF(INDEX(properties!A$1:CB$87,'Fórmula'!F81,62)&lt;&gt;"",INDEX(properties!A$1:CB$87,'Fórmula'!F81,62)),IF(INDEX(properties!A$1:CB$87,'Fórmula'!H81,62)&lt;&gt;"",INDEX(properties!A$1:CB$87,'Fórmula'!H81,62)),IF(INDEX(properties!A$1:CB$87,'Fórmula'!J81,62)&lt;&gt;"",INDEX(properties!A$1:CB$87,'Fórmula'!J81,62)))</f>
        <v>3.898896</v>
      </c>
      <c r="GO81" s="106">
        <f t="array" ref="GO81">MAX(INDEX(properties!A$1:CB$87,'Fórmula'!B81,62),INDEX(properties!A$1:CB$87,'Fórmula'!D81,62),INDEX(properties!A$1:CB$87,'Fórmula'!F81,62),INDEX(properties!A$1:CB$87,'Fórmula'!H81,62),INDEX(properties!A$1:CB$87,'Fórmula'!J81,62))</f>
        <v>4.63</v>
      </c>
      <c r="GP81" s="106">
        <f t="array" ref="GP81">MIN(IF(INDEX(properties!A$1:CB$87,'Fórmula'!B81,62)=0,10^6,INDEX(properties!A$1:CB$87,'Fórmula'!B81,62)),IF(INDEX(properties!A$1:CB$87,'Fórmula'!D81,62)=0,10^6,INDEX(properties!A$1:CB$87,'Fórmula'!D81,62)),IF(INDEX(properties!A$1:CB$87,'Fórmula'!F81,62)=0,10^6,INDEX(properties!A$1:CB$87,'Fórmula'!F81,62)),IF(INDEX(properties!A$1:CB$87,'Fórmula'!H81,62)=0,10^6,INDEX(properties!A$1:CB$87,'Fórmula'!H81,62)),IF(INDEX(properties!A$1:CB$87,'Fórmula'!J81,62)=0,10^6,INDEX(properties!A$1:CB$87,'Fórmula'!J81,62)))</f>
        <v>2.62</v>
      </c>
      <c r="GQ81" s="106">
        <f t="shared" si="33"/>
        <v>2.01</v>
      </c>
      <c r="GR81" s="106">
        <f>'Fórmula'!Q81</f>
        <v>14</v>
      </c>
      <c r="GS81" s="107">
        <f>'Fórmula'!P81</f>
        <v>6</v>
      </c>
      <c r="GT81" s="113">
        <f>'Fórmula'!O81</f>
        <v>6.77</v>
      </c>
      <c r="GU81" s="114">
        <f>AVERAGE('Fórmula'!R81/'Fórmula'!S81,'Fórmula'!S81/'Fórmula'!T81,'Fórmula'!T81/'Fórmula'!R81)</f>
        <v>1.026207829</v>
      </c>
      <c r="GV81" s="125">
        <f>'Fórmula'!U81</f>
        <v>414.43</v>
      </c>
      <c r="GW81" s="106">
        <f>'Fórmula'!N81</f>
        <v>0.05</v>
      </c>
    </row>
    <row r="82" ht="14.25" customHeight="1">
      <c r="A82" s="99" t="str">
        <f>'Fórmula'!A82</f>
        <v>SrWO4</v>
      </c>
      <c r="B82" s="101">
        <f t="array" ref="B82">(('Fórmula'!C82)/('Fórmula'!C82+'Fórmula'!E82+'Fórmula'!G82+'Fórmula'!I82+'Fórmula'!K82))*(INDEX(properties!A$1:CB$87,'Fórmula'!B82,3))+(('Fórmula'!E82)/('Fórmula'!C82+'Fórmula'!E82+'Fórmula'!G82+'Fórmula'!I82+'Fórmula'!K82))*(INDEX(properties!A$1:CB$87,'Fórmula'!D82,3))+(('Fórmula'!G82)/('Fórmula'!C82+'Fórmula'!E82+'Fórmula'!G82+'Fórmula'!I82+'Fórmula'!K82))*(INDEX(properties!A$1:CB$87,'Fórmula'!F82,3))+(('Fórmula'!I82)/('Fórmula'!C82+'Fórmula'!E82+'Fórmula'!G82+'Fórmula'!I82+'Fórmula'!K82))*(INDEX(properties!A$1:CB$87,'Fórmula'!H82,3))+(('Fórmula'!K82)/('Fórmula'!C82+'Fórmula'!E82+'Fórmula'!G82+'Fórmula'!I82+'Fórmula'!K82))*(INDEX(properties!A$1:CB$87,'Fórmula'!J82,3))</f>
        <v>55.9096</v>
      </c>
      <c r="C82" s="101">
        <f t="array" ref="C82">'Fórmula'!C82*(INDEX(properties!A$1:CB$87,'Fórmula'!B82,3))+'Fórmula'!E82*(INDEX(properties!A$1:CB$87,'Fórmula'!D82,3))+'Fórmula'!G82*(INDEX(properties!A$1:CB$87,'Fórmula'!F82,3))+'Fórmula'!I82*(INDEX(properties!A$1:CB$87,'Fórmula'!H82,3))+'Fórmula'!K82*(INDEX(properties!A$1:CB$87,'Fórmula'!J82,3))</f>
        <v>335.4576</v>
      </c>
      <c r="D82" s="101">
        <f t="array" ref="D82">VARP(IF(INDEX(properties!A$1:CB$87,'Fórmula'!B82,3)&lt;&gt;"",INDEX(properties!A$1:CB$87,'Fórmula'!B82,3)),IF(INDEX(properties!A$1:CB$87,'Fórmula'!D82,3)&lt;&gt;"",INDEX(properties!A$1:CB$87,'Fórmula'!D82,3)),IF(INDEX(properties!A$1:CB$87,'Fórmula'!F82,3)&lt;&gt;"",INDEX(properties!A$1:CB$87,'Fórmula'!F82,3)),IF(INDEX(properties!A$1:CB$87,'Fórmula'!H82,3)&lt;&gt;"",INDEX(properties!A$1:CB$87,'Fórmula'!H82,3)),IF(INDEX(properties!A$1:CB$87,'Fórmula'!J82,3)&lt;&gt;"",INDEX(properties!A$1:CB$87,'Fórmula'!J82,3)))</f>
        <v>5040.761894</v>
      </c>
      <c r="E82" s="101">
        <f t="array" ref="E82">MAX(INDEX(properties!A$1:CB$87,'Fórmula'!B82,3),INDEX(properties!A$1:CB$87,'Fórmula'!D82,3),INDEX(properties!A$1:CB$87,'Fórmula'!F82,3),INDEX(properties!A$1:CB$87,'Fórmula'!H82,3),INDEX(properties!A$1:CB$87,'Fórmula'!J82,3))</f>
        <v>183.84</v>
      </c>
      <c r="F82" s="101">
        <f t="array" ref="F82">MIN(IF(INDEX(properties!A$1:CB$87,'Fórmula'!B82,3)=0,10^6,INDEX(properties!A$1:CB$87,'Fórmula'!B82,3)),IF(INDEX(properties!A$1:CB$87,'Fórmula'!D82,3)=0,10^6,INDEX(properties!A$1:CB$87,'Fórmula'!D82,3)),IF(INDEX(properties!A$1:CB$87,'Fórmula'!F82,3)=0,10^6,INDEX(properties!A$1:CB$87,'Fórmula'!F82,3)),IF(INDEX(properties!A$1:CB$87,'Fórmula'!H82,3)=0,10^6,INDEX(properties!A$1:CB$87,'Fórmula'!H82,3)),IF(INDEX(properties!A$1:CB$87,'Fórmula'!J82,3)=0,10^6,INDEX(properties!A$1:CB$87,'Fórmula'!J82,3)))</f>
        <v>15.9994</v>
      </c>
      <c r="G82" s="101">
        <f t="shared" si="1"/>
        <v>167.8406</v>
      </c>
      <c r="H82" s="102">
        <f t="array" ref="H82">(('Fórmula'!C82)/('Fórmula'!C82+'Fórmula'!E82+'Fórmula'!G82+'Fórmula'!I82+'Fórmula'!K82))*(INDEX(properties!A$1:CB$87,'Fórmula'!B82,4))+(('Fórmula'!E82)/('Fórmula'!C82+'Fórmula'!E82+'Fórmula'!G82+'Fórmula'!I82+'Fórmula'!K82))*(INDEX(properties!A$1:CB$87,'Fórmula'!D82,4))+(('Fórmula'!G82)/('Fórmula'!C82+'Fórmula'!E82+'Fórmula'!G82+'Fórmula'!I82+'Fórmula'!K82))*(INDEX(properties!A$1:CB$87,'Fórmula'!F82,4))+(('Fórmula'!I82)/('Fórmula'!C82+'Fórmula'!E82+'Fórmula'!G82+'Fórmula'!I82+'Fórmula'!K82))*(INDEX(properties!A$1:CB$87,'Fórmula'!H82,4))+(('Fórmula'!K82)/('Fórmula'!C82+'Fórmula'!E82+'Fórmula'!G82+'Fórmula'!I82+'Fórmula'!K82))*(INDEX(properties!A$1:CB$87,'Fórmula'!J82,4))</f>
        <v>24</v>
      </c>
      <c r="I82" s="102">
        <f t="array" ref="I82">'Fórmula'!C82*(INDEX(properties!A$1:CB$87,'Fórmula'!B82,4))+'Fórmula'!E82*(INDEX(properties!A$1:CB$87,'Fórmula'!D82,4))+'Fórmula'!G82*(INDEX(properties!A$1:CB$87,'Fórmula'!F82,4))+'Fórmula'!I82*(INDEX(properties!A$1:CB$87,'Fórmula'!H82,4))+'Fórmula'!K82*(INDEX(properties!A$1:CB$87,'Fórmula'!J82,4))</f>
        <v>144</v>
      </c>
      <c r="J82" s="102">
        <f t="array" ref="J82">VARP(IF(INDEX(properties!A$1:CB$87,'Fórmula'!B82,4)&lt;&gt;"",INDEX(properties!A$1:CB$87,'Fórmula'!B82,4)),IF(INDEX(properties!A$1:CB$87,'Fórmula'!D82,4)&lt;&gt;"",INDEX(properties!A$1:CB$87,'Fórmula'!D82,4)),IF(INDEX(properties!A$1:CB$87,'Fórmula'!F82,4)&lt;&gt;"",INDEX(properties!A$1:CB$87,'Fórmula'!F82,4)),IF(INDEX(properties!A$1:CB$87,'Fórmula'!H82,4)&lt;&gt;"",INDEX(properties!A$1:CB$87,'Fórmula'!H82,4)),IF(INDEX(properties!A$1:CB$87,'Fórmula'!J82,4)&lt;&gt;"",INDEX(properties!A$1:CB$87,'Fórmula'!J82,4)))</f>
        <v>820.8</v>
      </c>
      <c r="K82" s="102">
        <f t="array" ref="K82">MAX(INDEX(properties!A$1:CB$87,'Fórmula'!B82,4),INDEX(properties!A$1:CB$87,'Fórmula'!D82,4),INDEX(properties!A$1:CB$87,'Fórmula'!F82,4),INDEX(properties!A$1:CB$87,'Fórmula'!H82,4),INDEX(properties!A$1:CB$87,'Fórmula'!J82,4))</f>
        <v>74</v>
      </c>
      <c r="L82" s="102">
        <f t="array" ref="L82">MIN(IF(INDEX(properties!A$1:CB$87,'Fórmula'!B82,4)=0,10^6,INDEX(properties!A$1:CB$87,'Fórmula'!B82,4)),IF(INDEX(properties!A$1:CB$87,'Fórmula'!D82,4)=0,10^6,INDEX(properties!A$1:CB$87,'Fórmula'!D82,4)),IF(INDEX(properties!A$1:CB$87,'Fórmula'!F82,4)=0,10^6,INDEX(properties!A$1:CB$87,'Fórmula'!F82,4)),IF(INDEX(properties!A$1:CB$87,'Fórmula'!H82,4)=0,10^6,INDEX(properties!A$1:CB$87,'Fórmula'!H82,4)),IF(INDEX(properties!A$1:CB$87,'Fórmula'!J82,4)=0,10^6,INDEX(properties!A$1:CB$87,'Fórmula'!J82,4)))</f>
        <v>8</v>
      </c>
      <c r="M82" s="102">
        <f t="shared" si="2"/>
        <v>66</v>
      </c>
      <c r="N82" s="103">
        <f t="array" ref="N82">(('Fórmula'!C82)/('Fórmula'!C82+'Fórmula'!E82+'Fórmula'!G82+'Fórmula'!I82+'Fórmula'!K82))*(INDEX(properties!A$1:CB$87,'Fórmula'!B82,5))+(('Fórmula'!E82)/('Fórmula'!C82+'Fórmula'!E82+'Fórmula'!G82+'Fórmula'!I82+'Fórmula'!K82))*(INDEX(properties!A$1:CB$87,'Fórmula'!D82,5))+(('Fórmula'!G82)/('Fórmula'!C82+'Fórmula'!E82+'Fórmula'!G82+'Fórmula'!I82+'Fórmula'!K82))*(INDEX(properties!A$1:CB$87,'Fórmula'!F82,5))+(('Fórmula'!I82)/('Fórmula'!C82+'Fórmula'!E82+'Fórmula'!G82+'Fórmula'!I82+'Fórmula'!K82))*(INDEX(properties!A$1:CB$87,'Fórmula'!H82,5))+(('Fórmula'!K82)/('Fórmula'!C82+'Fórmula'!E82+'Fórmula'!G82+'Fórmula'!I82+'Fórmula'!K82))*(INDEX(properties!A$1:CB$87,'Fórmula'!J82,5))</f>
        <v>3.166666667</v>
      </c>
      <c r="O82" s="103">
        <f t="array" ref="O82">'Fórmula'!C82*(INDEX(properties!A$1:CB$87,'Fórmula'!B82,5))+'Fórmula'!E82*(INDEX(properties!A$1:CB$87,'Fórmula'!D82,5))+'Fórmula'!G82*(INDEX(properties!A$1:CB$87,'Fórmula'!F82,5))+'Fórmula'!I82*(INDEX(properties!A$1:CB$87,'Fórmula'!H82,5))+'Fórmula'!K82*(INDEX(properties!A$1:CB$87,'Fórmula'!J82,5))</f>
        <v>19</v>
      </c>
      <c r="P82" s="103">
        <f t="array" ref="P82">VARP(IF(INDEX(properties!A$1:CB$87,'Fórmula'!B82,5)&lt;&gt;"",INDEX(properties!A$1:CB$87,'Fórmula'!B82,5)),IF(INDEX(properties!A$1:CB$87,'Fórmula'!D82,5)&lt;&gt;"",INDEX(properties!A$1:CB$87,'Fórmula'!D82,5)),IF(INDEX(properties!A$1:CB$87,'Fórmula'!F82,5)&lt;&gt;"",INDEX(properties!A$1:CB$87,'Fórmula'!F82,5)),IF(INDEX(properties!A$1:CB$87,'Fórmula'!H82,5)&lt;&gt;"",INDEX(properties!A$1:CB$87,'Fórmula'!H82,5)),IF(INDEX(properties!A$1:CB$87,'Fórmula'!J82,5)&lt;&gt;"",INDEX(properties!A$1:CB$87,'Fórmula'!J82,5)))</f>
        <v>6.24</v>
      </c>
      <c r="Q82" s="103">
        <f t="array" ref="Q82">MAX(INDEX(properties!A$1:CB$87,'Fórmula'!B82,5),INDEX(properties!A$1:CB$87,'Fórmula'!D82,5),INDEX(properties!A$1:CB$87,'Fórmula'!F82,5),INDEX(properties!A$1:CB$87,'Fórmula'!H82,5),INDEX(properties!A$1:CB$87,'Fórmula'!J82,5))</f>
        <v>6</v>
      </c>
      <c r="R82" s="103">
        <f t="array" ref="R82">MIN(IF(INDEX(properties!A$1:CB$87,'Fórmula'!B82,5)=0,10^6,INDEX(properties!A$1:CB$87,'Fórmula'!B82,5)),IF(INDEX(properties!A$1:CB$87,'Fórmula'!D82,5)=0,10^6,INDEX(properties!A$1:CB$87,'Fórmula'!D82,5)),IF(INDEX(properties!A$1:CB$87,'Fórmula'!F82,5)=0,10^6,INDEX(properties!A$1:CB$87,'Fórmula'!F82,5)),IF(INDEX(properties!A$1:CB$87,'Fórmula'!H82,5)=0,10^6,INDEX(properties!A$1:CB$87,'Fórmula'!H82,5)),IF(INDEX(properties!A$1:CB$87,'Fórmula'!J82,5)=0,10^6,INDEX(properties!A$1:CB$87,'Fórmula'!J82,5)))</f>
        <v>2</v>
      </c>
      <c r="S82" s="103">
        <f t="shared" si="3"/>
        <v>4</v>
      </c>
      <c r="T82" s="104">
        <f t="array" ref="T82">(('Fórmula'!C82)/('Fórmula'!C82+'Fórmula'!E82+'Fórmula'!G82+'Fórmula'!I82+'Fórmula'!K82))*(INDEX(properties!A$1:CB$87,'Fórmula'!B82,6))+(('Fórmula'!E82)/('Fórmula'!C82+'Fórmula'!E82+'Fórmula'!G82+'Fórmula'!I82+'Fórmula'!K82))*(INDEX(properties!A$1:CB$87,'Fórmula'!D82,6))+(('Fórmula'!G82)/('Fórmula'!C82+'Fórmula'!E82+'Fórmula'!G82+'Fórmula'!I82+'Fórmula'!K82))*(INDEX(properties!A$1:CB$87,'Fórmula'!F82,6))+(('Fórmula'!I82)/('Fórmula'!C82+'Fórmula'!E82+'Fórmula'!G82+'Fórmula'!I82+'Fórmula'!K82))*(INDEX(properties!A$1:CB$87,'Fórmula'!H82,6))+(('Fórmula'!K82)/('Fórmula'!C82+'Fórmula'!E82+'Fórmula'!G82+'Fórmula'!I82+'Fórmula'!K82))*(INDEX(properties!A$1:CB$87,'Fórmula'!J82,6))</f>
        <v>12</v>
      </c>
      <c r="U82" s="104">
        <f t="array" ref="U82">'Fórmula'!C82*(INDEX(properties!A$1:CB$87,'Fórmula'!B82,6))+'Fórmula'!E82*(INDEX(properties!A$1:CB$87,'Fórmula'!D82,6))+'Fórmula'!G82*(INDEX(properties!A$1:CB$87,'Fórmula'!F82,6))+'Fórmula'!I82*(INDEX(properties!A$1:CB$87,'Fórmula'!H82,6))+'Fórmula'!K82*(INDEX(properties!A$1:CB$87,'Fórmula'!J82,6))</f>
        <v>72</v>
      </c>
      <c r="V82" s="103">
        <f t="array" ref="V82">VARP(IF(INDEX(properties!A$1:CB$87,'Fórmula'!B82,6)&lt;&gt;"",INDEX(properties!A$1:CB$87,'Fórmula'!B82,6)),IF(INDEX(properties!A$1:CB$87,'Fórmula'!D82,6)&lt;&gt;"",INDEX(properties!A$1:CB$87,'Fórmula'!D82,6)),IF(INDEX(properties!A$1:CB$87,'Fórmula'!F82,6)&lt;&gt;"",INDEX(properties!A$1:CB$87,'Fórmula'!F82,6)),IF(INDEX(properties!A$1:CB$87,'Fórmula'!H82,6)&lt;&gt;"",INDEX(properties!A$1:CB$87,'Fórmula'!H82,6)),IF(INDEX(properties!A$1:CB$87,'Fórmula'!J82,6)&lt;&gt;"",INDEX(properties!A$1:CB$87,'Fórmula'!J82,6)))</f>
        <v>36.16</v>
      </c>
      <c r="W82" s="104">
        <f t="array" ref="W82">MAX(INDEX(properties!A$1:CB$87,'Fórmula'!B82,6),INDEX(properties!A$1:CB$87,'Fórmula'!D82,6),INDEX(properties!A$1:CB$87,'Fórmula'!F82,6),INDEX(properties!A$1:CB$87,'Fórmula'!H82,4),INDEX(properties!A$1:CB$87,'Fórmula'!J82,6))</f>
        <v>16</v>
      </c>
      <c r="X82" s="104">
        <f t="array" ref="X82">MIN(IF(INDEX(properties!A$1:CB$87,'Fórmula'!B82,6)=0,10^6,INDEX(properties!A$1:CB$87,'Fórmula'!B82,6)),IF(INDEX(properties!A$1:CB$87,'Fórmula'!D82,6)=0,10^6,INDEX(properties!A$1:CB$87,'Fórmula'!D82,6)),IF(INDEX(properties!A$1:CB$87,'Fórmula'!F82,6)=0,10^6,INDEX(properties!A$1:CB$87,'Fórmula'!F82,6)),IF(INDEX(properties!A$1:CB$87,'Fórmula'!H82,6)=0,10^6,INDEX(properties!A$1:CB$87,'Fórmula'!H82,6)),IF(INDEX(properties!A$1:CB$87,'Fórmula'!J82,6)=0,10^6,INDEX(properties!A$1:CB$87,'Fórmula'!J82,6)))</f>
        <v>2</v>
      </c>
      <c r="Y82" s="104">
        <f t="shared" si="4"/>
        <v>14</v>
      </c>
      <c r="Z82" s="105">
        <f t="array" ref="Z82">(('Fórmula'!C82)/('Fórmula'!C82+'Fórmula'!E82+'Fórmula'!G82+'Fórmula'!I82+'Fórmula'!K82))*(INDEX(properties!A$1:CB$87,'Fórmula'!B82,9))+(('Fórmula'!E82)/('Fórmula'!C82+'Fórmula'!E82+'Fórmula'!G82+'Fórmula'!I82+'Fórmula'!K82))*(INDEX(properties!A$1:CB$87,'Fórmula'!D82,9))+(('Fórmula'!G82)/('Fórmula'!C82+'Fórmula'!E82+'Fórmula'!G82+'Fórmula'!I82+'Fórmula'!K82))*(INDEX(properties!A$1:CB$87,'Fórmula'!F82,9))+(('Fórmula'!I82)/('Fórmula'!C82+'Fórmula'!E82+'Fórmula'!G82+'Fórmula'!I82+'Fórmula'!K82))*(INDEX(properties!A$1:CB$87,'Fórmula'!H82,9))+(('Fórmula'!K82)/('Fórmula'!C82+'Fórmula'!E82+'Fórmula'!G82+'Fórmula'!I82+'Fórmula'!K82))*(INDEX(properties!A$1:CB$87,'Fórmula'!J82,9))</f>
        <v>67.83333333</v>
      </c>
      <c r="AA82" s="105">
        <f t="array" ref="AA82">'Fórmula'!C82*(INDEX(properties!A$1:CB$87,'Fórmula'!B82,9))+'Fórmula'!E82*(INDEX(properties!A$1:CB$87,'Fórmula'!D82,9))+'Fórmula'!G82*(INDEX(properties!A$1:CB$87,'Fórmula'!F82,9))+'Fórmula'!I82*(INDEX(properties!A$1:CB$87,'Fórmula'!H82,9))+'Fórmula'!K82*(INDEX(properties!A$1:CB$87,'Fórmula'!J82,9))</f>
        <v>407</v>
      </c>
      <c r="AB82" s="105">
        <f t="array" ref="AB82">VARP(IF(INDEX(properties!A$1:CB$87,'Fórmula'!B82,9)&lt;&gt;"",INDEX(properties!A$1:CB$87,'Fórmula'!B82,9)),IF(INDEX(properties!A$1:CB$87,'Fórmula'!D82,9)&lt;&gt;"",INDEX(properties!A$1:CB$87,'Fórmula'!D82,9)),IF(INDEX(properties!A$1:CB$87,'Fórmula'!F82,9)&lt;&gt;"",INDEX(properties!A$1:CB$87,'Fórmula'!F82,9)),IF(INDEX(properties!A$1:CB$87,'Fórmula'!H82,9)&lt;&gt;"",INDEX(properties!A$1:CB$87,'Fórmula'!H82,9)),IF(INDEX(properties!A$1:CB$87,'Fórmula'!J82,9)&lt;&gt;"",INDEX(properties!A$1:CB$87,'Fórmula'!J82,9)))</f>
        <v>1194.16</v>
      </c>
      <c r="AC82" s="105">
        <f t="array" ref="AC82">MAX(INDEX(properties!A$1:CB$87,'Fórmula'!B82,9),INDEX(properties!A$1:CB$87,'Fórmula'!D82,9),INDEX(properties!A$1:CB$87,'Fórmula'!F82,9),INDEX(properties!A$1:CB$87,'Fórmula'!H82,9),INDEX(properties!A$1:CB$87,'Fórmula'!J82,9))</f>
        <v>87</v>
      </c>
      <c r="AD82" s="105">
        <f t="array" ref="AD82">MIN(IF(INDEX(properties!A$1:CB$87,'Fórmula'!B82,9)=0,10^6,INDEX(properties!A$1:CB$87,'Fórmula'!B82,9)),IF(INDEX(properties!A$1:CB$87,'Fórmula'!D82,9)=0,10^6,INDEX(properties!A$1:CB$87,'Fórmula'!D82,9)),IF(INDEX(properties!A$1:CB$87,'Fórmula'!F82,9)=0,10^6,INDEX(properties!A$1:CB$87,'Fórmula'!F82,9)),IF(INDEX(properties!A$1:CB$87,'Fórmula'!H82,9)=0,10^6,INDEX(properties!A$1:CB$87,'Fórmula'!H82,9)),IF(INDEX(properties!A$1:CB$87,'Fórmula'!J82,9)=0,10^6,INDEX(properties!A$1:CB$87,'Fórmula'!J82,9)))</f>
        <v>8</v>
      </c>
      <c r="AE82" s="105">
        <f t="shared" si="5"/>
        <v>79</v>
      </c>
      <c r="AF82" s="106">
        <f t="array" ref="AF82">(('Fórmula'!C82)/('Fórmula'!C82+'Fórmula'!E82+'Fórmula'!G82+'Fórmula'!I82+'Fórmula'!K82))*(INDEX(properties!A$1:CB$87,'Fórmula'!B82,10))+(('Fórmula'!E82)/('Fórmula'!C82+'Fórmula'!E82+'Fórmula'!G82+'Fórmula'!I82+'Fórmula'!K82))*(INDEX(properties!A$1:CB$87,'Fórmula'!D82,10))+(('Fórmula'!G82)/('Fórmula'!C82+'Fórmula'!E82+'Fórmula'!G82+'Fórmula'!I82+'Fórmula'!K82))*(INDEX(properties!A$1:CB$87,'Fórmula'!F82,10))+(('Fórmula'!I82)/('Fórmula'!C82+'Fórmula'!E82+'Fórmula'!G82+'Fórmula'!I82+'Fórmula'!K82))*(INDEX(properties!A$1:CB$87,'Fórmula'!H82,10))+(('Fórmula'!K82)/('Fórmula'!C82+'Fórmula'!E82+'Fórmula'!G82+'Fórmula'!I82+'Fórmula'!K82))*(INDEX(properties!A$1:CB$87,'Fórmula'!J82,10))</f>
        <v>5.666666667</v>
      </c>
      <c r="AG82" s="106">
        <f t="array" ref="AG82">'Fórmula'!C82*(INDEX(properties!A$1:CB$87,'Fórmula'!B82,10))+'Fórmula'!E82*(INDEX(properties!A$1:CB$87,'Fórmula'!D82,10))+'Fórmula'!G82*(INDEX(properties!A$1:CB$87,'Fórmula'!F82,10))+'Fórmula'!I82*(INDEX(properties!A$1:CB$87,'Fórmula'!H82,10))+'Fórmula'!K82*(INDEX(properties!A$1:CB$87,'Fórmula'!J82,10))</f>
        <v>34</v>
      </c>
      <c r="AH82" s="106">
        <f t="array" ref="AH82">VARP(IF(INDEX(properties!A$1:CB$87,'Fórmula'!B82,10)&lt;&gt;"",INDEX(properties!A$1:CB$87,'Fórmula'!B82,10)),IF(INDEX(properties!A$1:CB$87,'Fórmula'!D82,10)&lt;&gt;"",INDEX(properties!A$1:CB$87,'Fórmula'!D82,10)),IF(INDEX(properties!A$1:CB$87,'Fórmula'!F82,10)&lt;&gt;"",INDEX(properties!A$1:CB$87,'Fórmula'!F82,10)),IF(INDEX(properties!A$1:CB$87,'Fórmula'!H82,10)&lt;&gt;"",INDEX(properties!A$1:CB$87,'Fórmula'!H82,10)),IF(INDEX(properties!A$1:CB$87,'Fórmula'!J82,10)&lt;&gt;"",INDEX(properties!A$1:CB$87,'Fórmula'!J82,10)))</f>
        <v>7.04</v>
      </c>
      <c r="AI82" s="106">
        <f t="array" ref="AI82">MAX(INDEX(properties!A$1:CB$87,'Fórmula'!B82,10),INDEX(properties!A$1:CB$87,'Fórmula'!D82,10),INDEX(properties!A$1:CB$87,'Fórmula'!F82,10),INDEX(properties!A$1:CB$87,'Fórmula'!H82,10),INDEX(properties!A$1:CB$87,'Fórmula'!J82,10))</f>
        <v>7</v>
      </c>
      <c r="AJ82" s="106">
        <f t="array" ref="AJ82">MIN(IF(INDEX(properties!A$1:CB$87,'Fórmula'!B82,10)=0,10^6,INDEX(properties!A$1:CB$87,'Fórmula'!B82,10)),IF(INDEX(properties!A$1:CB$87,'Fórmula'!D82,10)=0,10^6,INDEX(properties!A$1:CB$87,'Fórmula'!D82,10)),IF(INDEX(properties!A$1:CB$87,'Fórmula'!F82,10)=0,10^6,INDEX(properties!A$1:CB$87,'Fórmula'!F82,10)),IF(INDEX(properties!A$1:CB$87,'Fórmula'!H82,10)=0,10^6,INDEX(properties!A$1:CB$87,'Fórmula'!H82,10)),IF(INDEX(properties!A$1:CB$87,'Fórmula'!J82,10)=0,10^6,INDEX(properties!A$1:CB$87,'Fórmula'!J82,10)))</f>
        <v>2</v>
      </c>
      <c r="AK82" s="106">
        <f t="shared" si="6"/>
        <v>5</v>
      </c>
      <c r="AL82" s="107">
        <f t="array" ref="AL82">(('Fórmula'!C82)/('Fórmula'!C82+'Fórmula'!E82+'Fórmula'!G82+'Fórmula'!I82+'Fórmula'!K82))*(INDEX(properties!A$1:CB$87,'Fórmula'!B82,11))+(('Fórmula'!E82)/('Fórmula'!C82+'Fórmula'!E82+'Fórmula'!G82+'Fórmula'!I82+'Fórmula'!K82))*(INDEX(properties!A$1:CB$87,'Fórmula'!D82,11))+(('Fórmula'!G82)/('Fórmula'!C82+'Fórmula'!E82+'Fórmula'!G82+'Fórmula'!I82+'Fórmula'!K82))*(INDEX(properties!A$1:CB$87,'Fórmula'!F82,11))+(('Fórmula'!I82)/('Fórmula'!C82+'Fórmula'!E82+'Fórmula'!G82+'Fórmula'!I82+'Fórmula'!K82))*(INDEX(properties!A$1:CB$87,'Fórmula'!H82,11))+(('Fórmula'!K82)/('Fórmula'!C82+'Fórmula'!E82+'Fórmula'!G82+'Fórmula'!I82+'Fórmula'!K82))*(INDEX(properties!A$1:CB$87,'Fórmula'!J82,11))</f>
        <v>2</v>
      </c>
      <c r="AM82" s="107">
        <f t="array" ref="AM82">'Fórmula'!C82*(INDEX(properties!A$1:CB$87,'Fórmula'!B82,11))+'Fórmula'!E82*(INDEX(properties!A$1:CB$87,'Fórmula'!D82,11))+'Fórmula'!G82*(INDEX(properties!A$1:CB$87,'Fórmula'!F82,11))+'Fórmula'!I82*(INDEX(properties!A$1:CB$87,'Fórmula'!H82,11))+'Fórmula'!K82*(INDEX(properties!A$1:CB$87,'Fórmula'!J82,11))</f>
        <v>12</v>
      </c>
      <c r="AN82" s="107">
        <f t="array" ref="AN82">VARP(IF(INDEX(properties!A$1:CB$87,'Fórmula'!B82,11)&lt;&gt;"",INDEX(properties!A$1:CB$87,'Fórmula'!B82,11)),IF(INDEX(properties!A$1:CB$87,'Fórmula'!D82,11)&lt;&gt;"",INDEX(properties!A$1:CB$87,'Fórmula'!D82,11)),IF(INDEX(properties!A$1:CB$87,'Fórmula'!F82,11)&lt;&gt;"",INDEX(properties!A$1:CB$87,'Fórmula'!F82,11)),IF(INDEX(properties!A$1:CB$87,'Fórmula'!H82,11)&lt;&gt;"",INDEX(properties!A$1:CB$87,'Fórmula'!H82,11)),IF(INDEX(properties!A$1:CB$87,'Fórmula'!J82,11)&lt;&gt;"",INDEX(properties!A$1:CB$87,'Fórmula'!J82,11)))</f>
        <v>0.96</v>
      </c>
      <c r="AO82" s="107">
        <f t="array" ref="AO82">MAX(INDEX(properties!A$1:CB$87,'Fórmula'!B82,11),INDEX(properties!A$1:CB$87,'Fórmula'!D82,11),INDEX(properties!A$1:CB$87,'Fórmula'!F82,11),INDEX(properties!A$1:CB$87,'Fórmula'!H82,11),INDEX(properties!A$1:CB$87,'Fórmula'!J82,11))</f>
        <v>2</v>
      </c>
      <c r="AP82" s="107">
        <f t="array" ref="AP82">MIN(IF('Fórmula'!B82=87,10^6,INDEX(properties!A$1:CB$87,'Fórmula'!B82,11)),IF(('Fórmula'!D82)=87,10^6,INDEX(properties!A$1:CB$87,'Fórmula'!D82,11)),IF(('Fórmula'!F82)=87,10^6,INDEX(properties!A$1:CB$87,'Fórmula'!F82,11)),IF(('Fórmula'!H82)=87,10^6,INDEX(properties!A$1:CB$87,'Fórmula'!H82,11)),IF('Fórmula'!J82=87,10^6,INDEX(properties!A$1:CB$87,'Fórmula'!J82,11)))</f>
        <v>2</v>
      </c>
      <c r="AQ82" s="107">
        <f t="shared" si="7"/>
        <v>0</v>
      </c>
      <c r="AR82" s="108">
        <f t="array" ref="AR82">(('Fórmula'!C82)/('Fórmula'!C82+'Fórmula'!E82+'Fórmula'!G82+'Fórmula'!I82+'Fórmula'!K82))*(INDEX(properties!A$1:CB$87,'Fórmula'!B82,12))+(('Fórmula'!E82)/('Fórmula'!C82+'Fórmula'!E82+'Fórmula'!G82+'Fórmula'!I82+'Fórmula'!K82))*(INDEX(properties!A$1:CB$87,'Fórmula'!D82,12))+(('Fórmula'!G82)/('Fórmula'!C82+'Fórmula'!E82+'Fórmula'!G82+'Fórmula'!I82+'Fórmula'!K82))*(INDEX(properties!A$1:CB$87,'Fórmula'!F82,12))+(('Fórmula'!I82)/('Fórmula'!C82+'Fórmula'!E82+'Fórmula'!G82+'Fórmula'!I82+'Fórmula'!K82))*(INDEX(properties!A$1:CB$87,'Fórmula'!H82,12))+(('Fórmula'!K82)/('Fórmula'!C82+'Fórmula'!E82+'Fórmula'!G82+'Fórmula'!I82+'Fórmula'!K82))*(INDEX(properties!A$1:CB$87,'Fórmula'!J82,12))</f>
        <v>2.666666667</v>
      </c>
      <c r="AS82" s="108">
        <f t="array" ref="AS82">'Fórmula'!C82*(INDEX(properties!A$1:CB$87,'Fórmula'!B82,12))+'Fórmula'!E82*(INDEX(properties!A$1:CB$87,'Fórmula'!D82,12))+'Fórmula'!G82*(INDEX(properties!A$1:CB$87,'Fórmula'!F82,12))+'Fórmula'!I82*(INDEX(properties!A$1:CB$87,'Fórmula'!H82,12))+'Fórmula'!K82*(INDEX(properties!A$1:CB$87,'Fórmula'!J82,12))</f>
        <v>16</v>
      </c>
      <c r="AT82" s="108">
        <f t="array" ref="AT82">VARP(IF(INDEX(properties!A$1:CB$87,'Fórmula'!B82,12)&lt;&gt;"",INDEX(properties!A$1:CB$87,'Fórmula'!B82,12)),IF(INDEX(properties!A$1:CB$87,'Fórmula'!D82,12)&lt;&gt;"",INDEX(properties!A$1:CB$87,'Fórmula'!D82,12)),IF(INDEX(properties!A$1:CB$87,'Fórmula'!F82,12)&lt;&gt;"",INDEX(properties!A$1:CB$87,'Fórmula'!F82,12)),IF(INDEX(properties!A$1:CB$87,'Fórmula'!H82,12)&lt;&gt;"",INDEX(properties!A$1:CB$87,'Fórmula'!H82,12)),IF(INDEX(properties!A$1:CB$87,'Fórmula'!J82,12)&lt;&gt;"",INDEX(properties!A$1:CB$87,'Fórmula'!J82,12)))</f>
        <v>2.56</v>
      </c>
      <c r="AU82" s="108">
        <f t="array" ref="AU82">MAX(INDEX(properties!A$1:CB$87,'Fórmula'!B82,12),INDEX(properties!A$1:CB$87,'Fórmula'!D82,12),INDEX(properties!A$1:CB$87,'Fórmula'!F82,12),INDEX(properties!A$1:CB$87,'Fórmula'!H82,12),INDEX(properties!A$1:CB$87,'Fórmula'!J82,12))</f>
        <v>4</v>
      </c>
      <c r="AV82" s="108">
        <f t="array" ref="AV82">MIN(IF('Fórmula'!B82=87,10^6,INDEX(properties!A$1:CB$87,'Fórmula'!B82,12)),IF(('Fórmula'!D82)=87,10^6,INDEX(properties!A$1:CB$87,'Fórmula'!D82,12)),IF(('Fórmula'!F82)=87,10^6,INDEX(properties!A$1:CB$87,'Fórmula'!F82,12)),IF(('Fórmula'!H82)=87,10^6,INDEX(properties!A$1:CB$87,'Fórmula'!H82,12)),IF('Fórmula'!J82=87,10^6,INDEX(properties!A$1:CB$87,'Fórmula'!J82,12)))</f>
        <v>0</v>
      </c>
      <c r="AW82" s="108">
        <f t="shared" si="8"/>
        <v>4</v>
      </c>
      <c r="AX82" s="109">
        <f t="array" ref="AX82">(('Fórmula'!C82)/('Fórmula'!C82+'Fórmula'!E82+'Fórmula'!G82+'Fórmula'!I82+'Fórmula'!K82))*(INDEX(properties!A$1:CB$87,'Fórmula'!B82,13))+(('Fórmula'!E82)/('Fórmula'!C82+'Fórmula'!E82+'Fórmula'!G82+'Fórmula'!I82+'Fórmula'!K82))*(INDEX(properties!A$1:CB$87,'Fórmula'!D82,13))+(('Fórmula'!G82)/('Fórmula'!C82+'Fórmula'!E82+'Fórmula'!G82+'Fórmula'!I82+'Fórmula'!K82))*(INDEX(properties!A$1:CB$87,'Fórmula'!F82,13))+(('Fórmula'!I82)/('Fórmula'!C82+'Fórmula'!E82+'Fórmula'!G82+'Fórmula'!I82+'Fórmula'!K82))*(INDEX(properties!A$1:CB$87,'Fórmula'!H82,13))+(('Fórmula'!K82)/('Fórmula'!C82+'Fórmula'!E82+'Fórmula'!G82+'Fórmula'!I82+'Fórmula'!K82))*(INDEX(properties!A$1:CB$87,'Fórmula'!J82,13))</f>
        <v>0.6666666667</v>
      </c>
      <c r="AY82" s="109">
        <f t="array" ref="AY82">'Fórmula'!C82*(INDEX(properties!A$1:CB$87,'Fórmula'!B82,13))+'Fórmula'!E82*(INDEX(properties!A$1:CB$87,'Fórmula'!D82,13))+'Fórmula'!G82*(INDEX(properties!A$1:CB$87,'Fórmula'!F82,13))+'Fórmula'!I82*(INDEX(properties!A$1:CB$87,'Fórmula'!H82,13))+'Fórmula'!K82*(INDEX(properties!A$1:CB$87,'Fórmula'!J82,13))</f>
        <v>4</v>
      </c>
      <c r="AZ82" s="109">
        <f t="array" ref="AZ82">VARP(IF(INDEX(properties!A$1:CB$87,'Fórmula'!B82,13)&lt;&gt;"",INDEX(properties!A$1:CB$87,'Fórmula'!B82,13)),IF(INDEX(properties!A$1:CB$87,'Fórmula'!D82,13)&lt;&gt;"",INDEX(properties!A$1:CB$87,'Fórmula'!D82,13)),IF(INDEX(properties!A$1:CB$87,'Fórmula'!F82,13)&lt;&gt;"",INDEX(properties!A$1:CB$87,'Fórmula'!F82,13)),IF(INDEX(properties!A$1:CB$87,'Fórmula'!H82,13)&lt;&gt;"",INDEX(properties!A$1:CB$87,'Fórmula'!H82,13)),IF(INDEX(properties!A$1:CB$87,'Fórmula'!J82,13)&lt;&gt;"",INDEX(properties!A$1:CB$87,'Fórmula'!J82,13)))</f>
        <v>2.56</v>
      </c>
      <c r="BA82" s="109">
        <f t="array" ref="BA82">MAX(INDEX(properties!A$1:CB$87,'Fórmula'!B82,13),INDEX(properties!A$1:CB$87,'Fórmula'!D82,13),INDEX(properties!A$1:CB$87,'Fórmula'!F82,13),INDEX(properties!A$1:CB$87,'Fórmula'!H82,13),INDEX(properties!A$1:CB$87,'Fórmula'!J82,13))</f>
        <v>4</v>
      </c>
      <c r="BB82" s="109">
        <f t="array" ref="BB82">MIN(IF('Fórmula'!B82=87,10^6,INDEX(properties!A$1:CB$87,'Fórmula'!B82,13)),IF(('Fórmula'!D82)=87,10^6,INDEX(properties!A$1:CB$87,'Fórmula'!D82,13)),IF(('Fórmula'!F82)=87,10^6,INDEX(properties!A$1:CB$87,'Fórmula'!F82,13)),IF(('Fórmula'!H82)=87,10^6,INDEX(properties!A$1:CB$87,'Fórmula'!H82,13)),IF('Fórmula'!J82=87,10^6,INDEX(properties!A$1:CB$87,'Fórmula'!J82,13)))</f>
        <v>0</v>
      </c>
      <c r="BC82" s="109">
        <f t="shared" si="9"/>
        <v>4</v>
      </c>
      <c r="BD82" s="110">
        <f t="array" ref="BD82">(('Fórmula'!C82)/('Fórmula'!C82+'Fórmula'!E82+'Fórmula'!G82+'Fórmula'!I82+'Fórmula'!K82))*(INDEX(properties!A$1:CB$87,'Fórmula'!B82,14))+(('Fórmula'!E82)/('Fórmula'!C82+'Fórmula'!E82+'Fórmula'!G82+'Fórmula'!I82+'Fórmula'!K82))*(INDEX(properties!A$1:CB$87,'Fórmula'!D82,14))+(('Fórmula'!G82)/('Fórmula'!C82+'Fórmula'!E82+'Fórmula'!G82+'Fórmula'!I82+'Fórmula'!K82))*(INDEX(properties!A$1:CB$87,'Fórmula'!F82,14))+(('Fórmula'!I82)/('Fórmula'!C82+'Fórmula'!E82+'Fórmula'!G82+'Fórmula'!I82+'Fórmula'!K82))*(INDEX(properties!A$1:CB$87,'Fórmula'!H82,14))+(('Fórmula'!K82)/('Fórmula'!C82+'Fórmula'!E82+'Fórmula'!G82+'Fórmula'!I82+'Fórmula'!K82))*(INDEX(properties!A$1:CB$87,'Fórmula'!J82,14))</f>
        <v>2.333333333</v>
      </c>
      <c r="BE82" s="110">
        <f t="array" ref="BE82">'Fórmula'!C82*(INDEX(properties!A$1:CB$87,'Fórmula'!B82,14))+'Fórmula'!E82*(INDEX(properties!A$1:CB$87,'Fórmula'!D82,14))+'Fórmula'!G82*(INDEX(properties!A$1:CB$87,'Fórmula'!F82,14))+'Fórmula'!I82*(INDEX(properties!A$1:CB$87,'Fórmula'!H82,14))+'Fórmula'!K82*(INDEX(properties!A$1:CB$87,'Fórmula'!J82,14))</f>
        <v>14</v>
      </c>
      <c r="BF82" s="110">
        <f t="array" ref="BF82">VARP(IF(INDEX(properties!A$1:CB$87,'Fórmula'!B82,14)&lt;&gt;"",INDEX(properties!A$1:CB$87,'Fórmula'!B82,14)),IF(INDEX(properties!A$1:CB$87,'Fórmula'!D82,14)&lt;&gt;"",INDEX(properties!A$1:CB$87,'Fórmula'!D82,14)),IF(INDEX(properties!A$1:CB$87,'Fórmula'!F82,14)&lt;&gt;"",INDEX(properties!A$1:CB$87,'Fórmula'!F82,14)),IF(INDEX(properties!A$1:CB$87,'Fórmula'!H82,14)&lt;&gt;"",INDEX(properties!A$1:CB$87,'Fórmula'!H82,14)),IF(INDEX(properties!A$1:CB$87,'Fórmula'!J82,14)&lt;&gt;"",INDEX(properties!A$1:CB$87,'Fórmula'!J82,14)))</f>
        <v>31.36</v>
      </c>
      <c r="BG82" s="110">
        <f t="array" ref="BG82">MAX(INDEX(properties!A$1:CB$87,'Fórmula'!B82,14),INDEX(properties!A$1:CB$87,'Fórmula'!D82,14),INDEX(properties!A$1:CB$87,'Fórmula'!F82,14),INDEX(properties!A$1:CB$87,'Fórmula'!H82,14),INDEX(properties!A$1:CB$87,'Fórmula'!J82,14))</f>
        <v>14</v>
      </c>
      <c r="BH82" s="110">
        <f t="array" ref="BH82">MIN(IF('Fórmula'!B82=87,10^6,INDEX(properties!A$1:CB$87,'Fórmula'!B82,14)),IF(('Fórmula'!D82)=87,10^6,INDEX(properties!A$1:CB$87,'Fórmula'!D82,14)),IF(('Fórmula'!F82)=87,10^6,INDEX(properties!A$1:CB$87,'Fórmula'!F82,14)),IF(('Fórmula'!H82)=87,10^6,INDEX(properties!A$1:CB$87,'Fórmula'!H82,14)),IF('Fórmula'!J82=87,10^6,INDEX(properties!A$1:CB$87,'Fórmula'!J82,14)))</f>
        <v>0</v>
      </c>
      <c r="BI82" s="110">
        <f t="shared" si="10"/>
        <v>14</v>
      </c>
      <c r="BJ82" s="111">
        <f t="array" ref="BJ82">(('Fórmula'!C82)/('Fórmula'!C82+'Fórmula'!E82+'Fórmula'!G82+'Fórmula'!I82+'Fórmula'!K82))*(INDEX(properties!A$1:CB$87,'Fórmula'!B82,19))+(('Fórmula'!E82)/('Fórmula'!C82+'Fórmula'!E82+'Fórmula'!G82+'Fórmula'!I82+'Fórmula'!K82))*(INDEX(properties!A$1:CB$87,'Fórmula'!D82,19))+(('Fórmula'!G82)/('Fórmula'!C82+'Fórmula'!E82+'Fórmula'!G82+'Fórmula'!I82+'Fórmula'!K82))*(INDEX(properties!A$1:CB$87,'Fórmula'!F82,19))+(('Fórmula'!I82)/('Fórmula'!C82+'Fórmula'!E82+'Fórmula'!G82+'Fórmula'!I82+'Fórmula'!K82))*(INDEX(properties!A$1:CB$87,'Fórmula'!H82,19))+(('Fórmula'!K82)/('Fórmula'!C82+'Fórmula'!E82+'Fórmula'!G82+'Fórmula'!I82+'Fórmula'!K82))*(INDEX(properties!A$1:CB$87,'Fórmula'!J82,19))</f>
        <v>7.666666667</v>
      </c>
      <c r="BK82" s="111">
        <f t="array" ref="BK82">'Fórmula'!C82*(INDEX(properties!A$1:CB$87,'Fórmula'!B82,19))+'Fórmula'!E82*(INDEX(properties!A$1:CB$87,'Fórmula'!D82,19))+'Fórmula'!G82*(INDEX(properties!A$1:CB$87,'Fórmula'!F82,19))+'Fórmula'!I82*(INDEX(properties!A$1:CB$87,'Fórmula'!H82,19))+'Fórmula'!K82*(INDEX(properties!A$1:CB$87,'Fórmula'!J82,19))</f>
        <v>46</v>
      </c>
      <c r="BL82" s="111">
        <f t="array" ref="BL82">VARP(IF(INDEX(properties!A$1:CB$87,'Fórmula'!B82,19)&lt;&gt;"",INDEX(properties!A$1:CB$87,'Fórmula'!B82,19)),IF(INDEX(properties!A$1:CB$87,'Fórmula'!D82,19)&lt;&gt;"",INDEX(properties!A$1:CB$87,'Fórmula'!D82,19)),IF(INDEX(properties!A$1:CB$87,'Fórmula'!F82,19)&lt;&gt;"",INDEX(properties!A$1:CB$87,'Fórmula'!F82,19)),IF(INDEX(properties!A$1:CB$87,'Fórmula'!H82,19)&lt;&gt;"",INDEX(properties!A$1:CB$87,'Fórmula'!H82,19)),IF(INDEX(properties!A$1:CB$87,'Fórmula'!J82,19)&lt;&gt;"",INDEX(properties!A$1:CB$87,'Fórmula'!J82,19)))</f>
        <v>56.64</v>
      </c>
      <c r="BM82" s="111">
        <f t="array" ref="BM82">MAX(INDEX(properties!A$1:CB$87,'Fórmula'!B82,19),INDEX(properties!A$1:CB$87,'Fórmula'!D82,19),INDEX(properties!A$1:CB$87,'Fórmula'!F82,19),INDEX(properties!A$1:CB$87,'Fórmula'!H82,19),INDEX(properties!A$1:CB$87,'Fórmula'!J82,19))</f>
        <v>20</v>
      </c>
      <c r="BN82" s="111">
        <f t="array" ref="BN82">MIN(IF(INDEX(properties!A$1:CB$87,'Fórmula'!B82,19)=0,10^6,INDEX(properties!A$1:CB$87,'Fórmula'!B82,19)),IF(INDEX(properties!A$1:CB$87,'Fórmula'!D82,19)=0,10^6,INDEX(properties!A$1:CB$87,'Fórmula'!D82,19)),IF(INDEX(properties!A$1:CB$87,'Fórmula'!F82,19)=0,10^6,INDEX(properties!A$1:CB$87,'Fórmula'!F82,19)),IF(INDEX(properties!A$1:CB$87,'Fórmula'!H82,19)=0,10^6,INDEX(properties!A$1:CB$87,'Fórmula'!H82,19)),IF(INDEX(properties!A$1:CB$87,'Fórmula'!J82,19)=0,10^6,INDEX(properties!A$1:CB$87,'Fórmula'!J82,19)))</f>
        <v>2</v>
      </c>
      <c r="BO82" s="111">
        <f t="shared" si="11"/>
        <v>18</v>
      </c>
      <c r="BP82" s="112">
        <f t="array" ref="BP82">(('Fórmula'!C82)/('Fórmula'!C82+'Fórmula'!E82+'Fórmula'!G82+'Fórmula'!I82+'Fórmula'!K82))*(INDEX(properties!A$1:CB$87,'Fórmula'!B82,20))+(('Fórmula'!E82)/('Fórmula'!C82+'Fórmula'!E82+'Fórmula'!G82+'Fórmula'!I82+'Fórmula'!K82))*(INDEX(properties!A$1:CB$87,'Fórmula'!D82,20))+(('Fórmula'!G82)/('Fórmula'!C82+'Fórmula'!E82+'Fórmula'!G82+'Fórmula'!I82+'Fórmula'!K82))*(INDEX(properties!A$1:CB$87,'Fórmula'!F82,20))+(('Fórmula'!I82)/('Fórmula'!C82+'Fórmula'!E82+'Fórmula'!G82+'Fórmula'!I82+'Fórmula'!K82))*(INDEX(properties!A$1:CB$87,'Fórmula'!H82,20))+(('Fórmula'!K82)/('Fórmula'!C82+'Fórmula'!E82+'Fórmula'!G82+'Fórmula'!I82+'Fórmula'!K82))*(INDEX(properties!A$1:CB$87,'Fórmula'!J82,20))</f>
        <v>4.666666667</v>
      </c>
      <c r="BQ82" s="112">
        <f t="array" ref="BQ82">'Fórmula'!C82*(INDEX(properties!A$1:CB$87,'Fórmula'!B82,20))+'Fórmula'!E82*(INDEX(properties!A$1:CB$87,'Fórmula'!D82,20))+'Fórmula'!G82*(INDEX(properties!A$1:CB$87,'Fórmula'!F82,20))+'Fórmula'!I82*(INDEX(properties!A$1:CB$87,'Fórmula'!H82,20))+'Fórmula'!K82*(INDEX(properties!A$1:CB$87,'Fórmula'!J82,20))</f>
        <v>28</v>
      </c>
      <c r="BR82" s="112">
        <f t="array" ref="BR82">VARP(IF(INDEX(properties!A$1:CB$87,'Fórmula'!B82,20)&lt;&gt;"",INDEX(properties!A$1:CB$87,'Fórmula'!B82,20)),IF(INDEX(properties!A$1:CB$87,'Fórmula'!D82,20)&lt;&gt;"",INDEX(properties!A$1:CB$87,'Fórmula'!D82,20)),IF(INDEX(properties!A$1:CB$87,'Fórmula'!F82,20)&lt;&gt;"",INDEX(properties!A$1:CB$87,'Fórmula'!F82,20)),IF(INDEX(properties!A$1:CB$87,'Fórmula'!H82,20)&lt;&gt;"",INDEX(properties!A$1:CB$87,'Fórmula'!H82,20)),IF(INDEX(properties!A$1:CB$87,'Fórmula'!J82,20)&lt;&gt;"",INDEX(properties!A$1:CB$87,'Fórmula'!J82,20)))</f>
        <v>4.8</v>
      </c>
      <c r="BS82" s="112">
        <f t="array" ref="BS82">MAX(INDEX(properties!A$1:CB$87,'Fórmula'!B82,20),INDEX(properties!A$1:CB$87,'Fórmula'!D82,20),INDEX(properties!A$1:CB$87,'Fórmula'!F82,20),INDEX(properties!A$1:CB$87,'Fórmula'!H82,20),INDEX(properties!A$1:CB$87,'Fórmula'!J82,20))</f>
        <v>6</v>
      </c>
      <c r="BT82" s="112">
        <f t="array" ref="BT82">MIN(IF(INDEX(properties!A$1:CB$87,'Fórmula'!B82,20)=0,10^6,INDEX(properties!A$1:CB$87,'Fórmula'!B82,20)),IF(INDEX(properties!A$1:CB$87,'Fórmula'!D82,20)=0,10^6,INDEX(properties!A$1:CB$87,'Fórmula'!D82,20)),IF(INDEX(properties!A$1:CB$87,'Fórmula'!F82,20)=0,10^6,INDEX(properties!A$1:CB$87,'Fórmula'!F82,20)),IF(INDEX(properties!A$1:CB$87,'Fórmula'!H82,20)=0,10^6,INDEX(properties!A$1:CB$87,'Fórmula'!H82,20)),IF(INDEX(properties!A$1:CB$87,'Fórmula'!J82,20)=0,10^6,INDEX(properties!A$1:CB$87,'Fórmula'!J82,20)))</f>
        <v>2</v>
      </c>
      <c r="BU82" s="112">
        <f t="shared" si="12"/>
        <v>4</v>
      </c>
      <c r="BV82" s="113">
        <f t="array" ref="BV82">(('Fórmula'!C82)/('Fórmula'!C82+'Fórmula'!E82+'Fórmula'!G82+'Fórmula'!I82+'Fórmula'!K82))*(INDEX(properties!A$1:CB$87,'Fórmula'!B82,21))+(('Fórmula'!E82)/('Fórmula'!C82+'Fórmula'!E82+'Fórmula'!G82+'Fórmula'!I82+'Fórmula'!K82))*(INDEX(properties!A$1:CB$87,'Fórmula'!D82,21))+(('Fórmula'!G82)/('Fórmula'!C82+'Fórmula'!E82+'Fórmula'!G82+'Fórmula'!I82+'Fórmula'!K82))*(INDEX(properties!A$1:CB$87,'Fórmula'!F82,21))+(('Fórmula'!I82)/('Fórmula'!C82+'Fórmula'!E82+'Fórmula'!G82+'Fórmula'!I82+'Fórmula'!K82))*(INDEX(properties!A$1:CB$87,'Fórmula'!H82,21))+(('Fórmula'!K82)/('Fórmula'!C82+'Fórmula'!E82+'Fórmula'!G82+'Fórmula'!I82+'Fórmula'!K82))*(INDEX(properties!A$1:CB$87,'Fórmula'!J82,21))</f>
        <v>5</v>
      </c>
      <c r="BW82" s="113">
        <f t="array" ref="BW82">'Fórmula'!C82*(INDEX(properties!A$1:CB$87,'Fórmula'!B82,21))+'Fórmula'!E82*(INDEX(properties!A$1:CB$87,'Fórmula'!D82,21))+'Fórmula'!G82*(INDEX(properties!A$1:CB$87,'Fórmula'!F82,21))+'Fórmula'!I82*(INDEX(properties!A$1:CB$87,'Fórmula'!H82,21))+'Fórmula'!K82*(INDEX(properties!A$1:CB$87,'Fórmula'!J82,21))</f>
        <v>30</v>
      </c>
      <c r="BX82" s="113">
        <f t="array" ref="BX82">VARP(IF(INDEX(properties!A$1:CB$87,'Fórmula'!B82,21)&lt;&gt;"",INDEX(properties!A$1:CB$87,'Fórmula'!B82,21)),IF(INDEX(properties!A$1:CB$87,'Fórmula'!D82,21)&lt;&gt;"",INDEX(properties!A$1:CB$87,'Fórmula'!D82,21)),IF(INDEX(properties!A$1:CB$87,'Fórmula'!F82,21)&lt;&gt;"",INDEX(properties!A$1:CB$87,'Fórmula'!F82,21)),IF(INDEX(properties!A$1:CB$87,'Fórmula'!H82,21)&lt;&gt;"",INDEX(properties!A$1:CB$87,'Fórmula'!H82,21)),IF(INDEX(properties!A$1:CB$87,'Fórmula'!J82,21)&lt;&gt;"",INDEX(properties!A$1:CB$87,'Fórmula'!J82,21)))</f>
        <v>5.44</v>
      </c>
      <c r="BY82" s="113">
        <f t="array" ref="BY82">MAX(INDEX(properties!A$1:CB$87,'Fórmula'!B82,21),INDEX(properties!A$1:CB$87,'Fórmula'!D82,21),INDEX(properties!A$1:CB$87,'Fórmula'!F82,21),INDEX(properties!A$1:CB$87,'Fórmula'!H82,21),INDEX(properties!A$1:CB$87,'Fórmula'!J82,21))</f>
        <v>6</v>
      </c>
      <c r="BZ82" s="113">
        <f t="array" ref="BZ82">MIN(IF(INDEX(properties!A$1:CB$87,'Fórmula'!B82,21)=0,10^6,INDEX(properties!A$1:CB$87,'Fórmula'!B82,21)),IF(INDEX(properties!A$1:CB$87,'Fórmula'!D82,21)=0,10^6,INDEX(properties!A$1:CB$87,'Fórmula'!D82,21)),IF(INDEX(properties!A$1:CB$87,'Fórmula'!F82,21)=0,10^6,INDEX(properties!A$1:CB$87,'Fórmula'!F82,21)),IF(INDEX(properties!A$1:CB$87,'Fórmula'!H82,21)=0,10^6,INDEX(properties!A$1:CB$87,'Fórmula'!H82,21)),IF(INDEX(properties!A$1:CB$87,'Fórmula'!J82,21)=0,10^6,INDEX(properties!A$1:CB$87,'Fórmula'!J82,21)))</f>
        <v>2</v>
      </c>
      <c r="CA82" s="113">
        <f t="shared" si="13"/>
        <v>4</v>
      </c>
      <c r="CB82" s="114">
        <f t="array" ref="CB82">(('Fórmula'!C82)/('Fórmula'!C82+'Fórmula'!E82+'Fórmula'!G82+'Fórmula'!I82+'Fórmula'!K82))*(INDEX(properties!A$1:CB$87,'Fórmula'!B82,23))+(('Fórmula'!E82)/('Fórmula'!C82+'Fórmula'!E82+'Fórmula'!G82+'Fórmula'!I82+'Fórmula'!K82))*(INDEX(properties!A$1:CB$87,'Fórmula'!D82,23))+(('Fórmula'!G82)/('Fórmula'!C82+'Fórmula'!E82+'Fórmula'!G82+'Fórmula'!I82+'Fórmula'!K82))*(INDEX(properties!A$1:CB$87,'Fórmula'!F82,23))+(('Fórmula'!I82)/('Fórmula'!C82+'Fórmula'!E82+'Fórmula'!G82+'Fórmula'!I82+'Fórmula'!K82))*(INDEX(properties!A$1:CB$87,'Fórmula'!H82,23))+(('Fórmula'!K82)/('Fórmula'!C82+'Fórmula'!E82+'Fórmula'!G82+'Fórmula'!I82+'Fórmula'!K82))*(INDEX(properties!A$1:CB$87,'Fórmula'!J82,23))</f>
        <v>1.296666667</v>
      </c>
      <c r="CC82" s="114">
        <f t="array" ref="CC82">'Fórmula'!C82*(INDEX(properties!A$1:CB$87,'Fórmula'!B82,23))+'Fórmula'!E82*(INDEX(properties!A$1:CB$87,'Fórmula'!D82,23))+'Fórmula'!G82*(INDEX(properties!A$1:CB$87,'Fórmula'!F82,23))+'Fórmula'!I82*(INDEX(properties!A$1:CB$87,'Fórmula'!H82,23))+'Fórmula'!K82*(INDEX(properties!A$1:CB$87,'Fórmula'!J82,23))</f>
        <v>7.78</v>
      </c>
      <c r="CD82" s="114">
        <f t="array" ref="CD82">VARP(IF(INDEX(properties!A$1:CB$87,'Fórmula'!B82,23)&lt;&gt;"",INDEX(properties!A$1:CB$87,'Fórmula'!B82,23)),IF(INDEX(properties!A$1:CB$87,'Fórmula'!D82,23)&lt;&gt;"",INDEX(properties!A$1:CB$87,'Fórmula'!D82,23)),IF(INDEX(properties!A$1:CB$87,'Fórmula'!F82,23)&lt;&gt;"",INDEX(properties!A$1:CB$87,'Fórmula'!F82,23)),IF(INDEX(properties!A$1:CB$87,'Fórmula'!H82,23)&lt;&gt;"",INDEX(properties!A$1:CB$87,'Fórmula'!H82,23)),IF(INDEX(properties!A$1:CB$87,'Fórmula'!J82,23)&lt;&gt;"",INDEX(properties!A$1:CB$87,'Fórmula'!J82,23)))</f>
        <v>5.060544</v>
      </c>
      <c r="CE82" s="114">
        <f t="array" ref="CE82">MAX(INDEX(properties!A$1:CB$87,'Fórmula'!B82,23),INDEX(properties!A$1:CB$87,'Fórmula'!D82,23),INDEX(properties!A$1:CB$87,'Fórmula'!F82,23),INDEX(properties!A$1:CB$87,'Fórmula'!H82,23),INDEX(properties!A$1:CB$87,'Fórmula'!J82,23))</f>
        <v>5.78</v>
      </c>
      <c r="CF82" s="114">
        <f t="array" ref="CF82">MIN(IF('Fórmula'!B82=87,10^6,INDEX(properties!A$1:CB$87,'Fórmula'!B82,23)),IF(('Fórmula'!D82)=87,10^6,INDEX(properties!A$1:CB$87,'Fórmula'!D82,23)),IF(('Fórmula'!F82)=87,10^6,INDEX(properties!A$1:CB$87,'Fórmula'!F82,23)),IF(('Fórmula'!H82)=87,10^6,INDEX(properties!A$1:CB$87,'Fórmula'!H82,23)),IF('Fórmula'!J82=87,10^6,INDEX(properties!A$1:CB$87,'Fórmula'!J82,23)))</f>
        <v>0</v>
      </c>
      <c r="CG82" s="114">
        <f t="shared" si="14"/>
        <v>5.78</v>
      </c>
      <c r="CH82" s="115">
        <f t="array" ref="CH82">(('Fórmula'!C82)/('Fórmula'!C82+'Fórmula'!E82+'Fórmula'!G82+'Fórmula'!I82+'Fórmula'!K82))*(INDEX(properties!A$1:CB$87,'Fórmula'!B82,26))+(('Fórmula'!E82)/('Fórmula'!C82+'Fórmula'!E82+'Fórmula'!G82+'Fórmula'!I82+'Fórmula'!K82))*(INDEX(properties!A$1:CB$87,'Fórmula'!D82,26))+(('Fórmula'!G82)/('Fórmula'!C82+'Fórmula'!E82+'Fórmula'!G82+'Fórmula'!I82+'Fórmula'!K82))*(INDEX(properties!A$1:CB$87,'Fórmula'!F82,26))+(('Fórmula'!I82)/('Fórmula'!C82+'Fórmula'!E82+'Fórmula'!G82+'Fórmula'!I82+'Fórmula'!K82))*(INDEX(properties!A$1:CB$87,'Fórmula'!H82,26))+(('Fórmula'!K82)/('Fórmula'!C82+'Fórmula'!E82+'Fórmula'!G82+'Fórmula'!I82+'Fórmula'!K82))*(INDEX(properties!A$1:CB$87,'Fórmula'!J82,26))</f>
        <v>11.33855</v>
      </c>
      <c r="CI82" s="115">
        <f t="array" ref="CI82">'Fórmula'!C82*(INDEX(properties!A$1:CB$87,'Fórmula'!B82,26))+'Fórmula'!E82*(INDEX(properties!A$1:CB$87,'Fórmula'!D82,26))+'Fórmula'!G82*(INDEX(properties!A$1:CB$87,'Fórmula'!F82,26))+'Fórmula'!I82*(INDEX(properties!A$1:CB$87,'Fórmula'!H82,26))+'Fórmula'!K82*(INDEX(properties!A$1:CB$87,'Fórmula'!J82,26))</f>
        <v>68.0313</v>
      </c>
      <c r="CJ82" s="115">
        <f t="array" ref="CJ82">VARP(IF(INDEX(properties!A$1:CB$87,'Fórmula'!B82,26)&lt;&gt;"",INDEX(properties!A$1:CB$87,'Fórmula'!B82,26)),IF(INDEX(properties!A$1:CB$87,'Fórmula'!D82,26)&lt;&gt;"",INDEX(properties!A$1:CB$87,'Fórmula'!D82,26)),IF(INDEX(properties!A$1:CB$87,'Fórmula'!F82,26)&lt;&gt;"",INDEX(properties!A$1:CB$87,'Fórmula'!F82,26)),IF(INDEX(properties!A$1:CB$87,'Fórmula'!H82,26)&lt;&gt;"",INDEX(properties!A$1:CB$87,'Fórmula'!H82,26)),IF(INDEX(properties!A$1:CB$87,'Fórmula'!J82,26)&lt;&gt;"",INDEX(properties!A$1:CB$87,'Fórmula'!J82,26)))</f>
        <v>26.40183276</v>
      </c>
      <c r="CK82" s="116">
        <f t="array" ref="CK82">MAX(INDEX(properties!A$1:CB$87,'Fórmula'!B82,26),INDEX(properties!A$1:CB$87,'Fórmula'!D82,26),INDEX(properties!A$1:CB$87,'Fórmula'!F82,26),INDEX(properties!A$1:CB$87,'Fórmula'!H82,26),INDEX(properties!A$1:CB$87,'Fórmula'!J82,26))</f>
        <v>13.6181</v>
      </c>
      <c r="CL82" s="116">
        <f t="array" ref="CL82">MIN(IF(INDEX(properties!A$1:CB$87,'Fórmula'!B82,26)=0,10^6,INDEX(properties!A$1:CB$87,'Fórmula'!B82,26)),IF(INDEX(properties!A$1:CB$87,'Fórmula'!D82,26)=0,10^6,INDEX(properties!A$1:CB$87,'Fórmula'!D82,26)),IF(INDEX(properties!A$1:CB$87,'Fórmula'!F82,26)=0,10^6,INDEX(properties!A$1:CB$87,'Fórmula'!F82,26)),IF(INDEX(properties!A$1:CB$87,'Fórmula'!H82,26)=0,10^6,INDEX(properties!A$1:CB$87,'Fórmula'!H82,26)),IF(INDEX(properties!A$1:CB$87,'Fórmula'!J82,26)=0,10^6,INDEX(properties!A$1:CB$87,'Fórmula'!J82,26)))</f>
        <v>5.6949</v>
      </c>
      <c r="CM82" s="115">
        <f t="shared" si="15"/>
        <v>7.9232</v>
      </c>
      <c r="CN82" s="117">
        <f t="array" ref="CN82">(('Fórmula'!C82)/('Fórmula'!C82+'Fórmula'!E82+'Fórmula'!G82+'Fórmula'!I82+'Fórmula'!K82))*(INDEX(properties!A$1:CB$87,'Fórmula'!B82,30))+(('Fórmula'!E82)/('Fórmula'!C82+'Fórmula'!E82+'Fórmula'!G82+'Fórmula'!I82+'Fórmula'!K82))*(INDEX(properties!A$1:CB$87,'Fórmula'!D82,30))+(('Fórmula'!G82)/('Fórmula'!C82+'Fórmula'!E82+'Fórmula'!G82+'Fórmula'!I82+'Fórmula'!K82))*(INDEX(properties!A$1:CB$87,'Fórmula'!F82,30))+(('Fórmula'!I82)/('Fórmula'!C82+'Fórmula'!E82+'Fórmula'!G82+'Fórmula'!I82+'Fórmula'!K82))*(INDEX(properties!A$1:CB$87,'Fórmula'!H82,30))+(('Fórmula'!K82)/('Fórmula'!C82+'Fórmula'!E82+'Fórmula'!G82+'Fórmula'!I82+'Fórmula'!K82))*(INDEX(properties!A$1:CB$87,'Fórmula'!J82,30))</f>
        <v>2.845</v>
      </c>
      <c r="CO82" s="117">
        <f t="array" ref="CO82">'Fórmula'!C82*(INDEX(properties!A$1:CB$87,'Fórmula'!B82,30))+'Fórmula'!E82*(INDEX(properties!A$1:CB$87,'Fórmula'!D82,30))+'Fórmula'!G82*(INDEX(properties!A$1:CB$87,'Fórmula'!F82,30))+'Fórmula'!I82*(INDEX(properties!A$1:CB$87,'Fórmula'!H82,30))+'Fórmula'!K82*(INDEX(properties!A$1:CB$87,'Fórmula'!J82,30))</f>
        <v>17.07</v>
      </c>
      <c r="CP82" s="117">
        <f t="array" ref="CP82">VARP(IF(INDEX(properties!A$1:CB$87,'Fórmula'!B82,30)&lt;&gt;"",INDEX(properties!A$1:CB$87,'Fórmula'!B82,30)),IF(INDEX(properties!A$1:CB$87,'Fórmula'!D82,30)&lt;&gt;"",INDEX(properties!A$1:CB$87,'Fórmula'!D82,30)),IF(INDEX(properties!A$1:CB$87,'Fórmula'!F82,30)&lt;&gt;"",INDEX(properties!A$1:CB$87,'Fórmula'!F82,30)),IF(INDEX(properties!A$1:CB$87,'Fórmula'!H82,30)&lt;&gt;"",INDEX(properties!A$1:CB$87,'Fórmula'!H82,30)),IF(INDEX(properties!A$1:CB$87,'Fórmula'!J82,30)&lt;&gt;"",INDEX(properties!A$1:CB$87,'Fórmula'!J82,30)))</f>
        <v>1.83864</v>
      </c>
      <c r="CQ82" s="117">
        <f t="array" ref="CQ82">MAX(INDEX(properties!A$1:CB$87,'Fórmula'!B82,30),INDEX(properties!A$1:CB$87,'Fórmula'!D82,30),INDEX(properties!A$1:CB$87,'Fórmula'!F82,30),INDEX(properties!A$1:CB$87,'Fórmula'!H82,30),INDEX(properties!A$1:CB$87,'Fórmula'!J82,30))</f>
        <v>3.44</v>
      </c>
      <c r="CR82" s="117">
        <f t="array" ref="CR82">MIN(IF(INDEX(properties!A$1:CB$87,'Fórmula'!B82,30)=0,10^6,INDEX(properties!A$1:CB$87,'Fórmula'!B82,30)),IF(INDEX(properties!A$1:CB$87,'Fórmula'!D82,30)=0,10^6,INDEX(properties!A$1:CB$87,'Fórmula'!D82,30)),IF(INDEX(properties!A$1:CB$87,'Fórmula'!F82,30)=0,10^6,INDEX(properties!A$1:CB$87,'Fórmula'!F82,30)),IF(INDEX(properties!A$1:CB$87,'Fórmula'!H82,30)=0,10^6,INDEX(properties!A$1:CB$87,'Fórmula'!H82,30)),IF(INDEX(properties!A$1:CB$87,'Fórmula'!J82,30)=0,10^6,INDEX(properties!A$1:CB$87,'Fórmula'!J82,30)))</f>
        <v>0.95</v>
      </c>
      <c r="CS82" s="117">
        <f t="shared" si="16"/>
        <v>2.49</v>
      </c>
      <c r="CT82" s="118">
        <f t="array" ref="CT82">(('Fórmula'!C82)/('Fórmula'!C82+'Fórmula'!E82+'Fórmula'!G82+'Fórmula'!I82+'Fórmula'!K82))*(INDEX(properties!A$1:CB$87,'Fórmula'!B82,31))+(('Fórmula'!E82)/('Fórmula'!C82+'Fórmula'!E82+'Fórmula'!G82+'Fórmula'!I82+'Fórmula'!K82))*(INDEX(properties!A$1:CB$87,'Fórmula'!D82,31))+(('Fórmula'!G82)/('Fórmula'!C82+'Fórmula'!E82+'Fórmula'!G82+'Fórmula'!I82+'Fórmula'!K82))*(INDEX(properties!A$1:CB$87,'Fórmula'!F82,31))+(('Fórmula'!I82)/('Fórmula'!C82+'Fórmula'!E82+'Fórmula'!G82+'Fórmula'!I82+'Fórmula'!K82))*(INDEX(properties!A$1:CB$87,'Fórmula'!H82,31))+(('Fórmula'!K82)/('Fórmula'!C82+'Fórmula'!E82+'Fórmula'!G82+'Fórmula'!I82+'Fórmula'!K82))*(INDEX(properties!A$1:CB$87,'Fórmula'!J82,31))</f>
        <v>2.7</v>
      </c>
      <c r="CU82" s="118">
        <f t="array" ref="CU82">'Fórmula'!C82*(INDEX(properties!A$1:CB$87,'Fórmula'!B82,31))+'Fórmula'!E82*(INDEX(properties!A$1:CB$87,'Fórmula'!D82,31))+'Fórmula'!G82*(INDEX(properties!A$1:CB$87,'Fórmula'!F82,31))+'Fórmula'!I82*(INDEX(properties!A$1:CB$87,'Fórmula'!H82,31))+'Fórmula'!K82*(INDEX(properties!A$1:CB$87,'Fórmula'!J82,31))</f>
        <v>16.2</v>
      </c>
      <c r="CV82" s="118">
        <f t="array" ref="CV82">VARP(IF(INDEX(properties!A$1:CB$87,'Fórmula'!B82,31)&lt;&gt;"",INDEX(properties!A$1:CB$87,'Fórmula'!B82,31)),IF(INDEX(properties!A$1:CB$87,'Fórmula'!D82,31)&lt;&gt;"",INDEX(properties!A$1:CB$87,'Fórmula'!D82,31)),IF(INDEX(properties!A$1:CB$87,'Fórmula'!F82,31)&lt;&gt;"",INDEX(properties!A$1:CB$87,'Fórmula'!F82,31)),IF(INDEX(properties!A$1:CB$87,'Fórmula'!H82,31)&lt;&gt;"",INDEX(properties!A$1:CB$87,'Fórmula'!H82,31)),IF(INDEX(properties!A$1:CB$87,'Fórmula'!J82,31)&lt;&gt;"",INDEX(properties!A$1:CB$87,'Fórmula'!J82,31)))</f>
        <v>1.543176</v>
      </c>
      <c r="CW82" s="118">
        <f t="array" ref="CW82">MAX(INDEX(properties!A$1:CB$87,'Fórmula'!B82,31),INDEX(properties!A$1:CB$87,'Fórmula'!D82,31),INDEX(properties!A$1:CB$87,'Fórmula'!F82,31),INDEX(properties!A$1:CB$87,'Fórmula'!H82,31),INDEX(properties!A$1:CB$87,'Fórmula'!J82,31))</f>
        <v>3.32</v>
      </c>
      <c r="CX82" s="118">
        <f t="array" ref="CX82">MIN(IF(INDEX(properties!A$1:CB$87,'Fórmula'!B82,31)=0,10^6,INDEX(properties!A$1:CB$87,'Fórmula'!B82,31)),IF(INDEX(properties!A$1:CB$87,'Fórmula'!D82,31)=0,10^6,INDEX(properties!A$1:CB$87,'Fórmula'!D82,31)),IF(INDEX(properties!A$1:CB$87,'Fórmula'!F82,31)=0,10^6,INDEX(properties!A$1:CB$87,'Fórmula'!F82,31)),IF(INDEX(properties!A$1:CB$87,'Fórmula'!H82,31)=0,10^6,INDEX(properties!A$1:CB$87,'Fórmula'!H82,31)),IF(INDEX(properties!A$1:CB$87,'Fórmula'!J82,31)=0,10^6,INDEX(properties!A$1:CB$87,'Fórmula'!J82,31)))</f>
        <v>1.13</v>
      </c>
      <c r="CY82" s="118">
        <f t="shared" si="17"/>
        <v>2.19</v>
      </c>
      <c r="CZ82" s="119">
        <f t="array" ref="CZ82">(('Fórmula'!C82)/('Fórmula'!C82+'Fórmula'!E82+'Fórmula'!G82+'Fórmula'!I82+'Fórmula'!K82))*(INDEX(properties!A$1:CB$87,'Fórmula'!B82,32))+(('Fórmula'!E82)/('Fórmula'!C82+'Fórmula'!E82+'Fórmula'!G82+'Fórmula'!I82+'Fórmula'!K82))*(INDEX(properties!A$1:CB$87,'Fórmula'!D82,32))+(('Fórmula'!G82)/('Fórmula'!C82+'Fórmula'!E82+'Fórmula'!G82+'Fórmula'!I82+'Fórmula'!K82))*(INDEX(properties!A$1:CB$87,'Fórmula'!F82,32))+(('Fórmula'!I82)/('Fórmula'!C82+'Fórmula'!E82+'Fórmula'!G82+'Fórmula'!I82+'Fórmula'!K82))*(INDEX(properties!A$1:CB$87,'Fórmula'!H82,32))+(('Fórmula'!K82)/('Fórmula'!C82+'Fórmula'!E82+'Fórmula'!G82+'Fórmula'!I82+'Fórmula'!K82))*(INDEX(properties!A$1:CB$87,'Fórmula'!J82,32))</f>
        <v>6.093333333</v>
      </c>
      <c r="DA82" s="119">
        <f t="array" ref="DA82">'Fórmula'!C82*(INDEX(properties!A$1:CB$87,'Fórmula'!B82,32))+'Fórmula'!E82*(INDEX(properties!A$1:CB$87,'Fórmula'!D82,32))+'Fórmula'!G82*(INDEX(properties!A$1:CB$87,'Fórmula'!F82,32))+'Fórmula'!I82*(INDEX(properties!A$1:CB$87,'Fórmula'!H82,32))+'Fórmula'!K82*(INDEX(properties!A$1:CB$87,'Fórmula'!J82,32))</f>
        <v>36.56</v>
      </c>
      <c r="DB82" s="119">
        <f t="array" ref="DB82">VARP(IF(INDEX(properties!A$1:CB$87,'Fórmula'!B82,32)&lt;&gt;"",INDEX(properties!A$1:CB$87,'Fórmula'!B82,32)),IF(INDEX(properties!A$1:CB$87,'Fórmula'!D82,32)&lt;&gt;"",INDEX(properties!A$1:CB$87,'Fórmula'!D82,32)),IF(INDEX(properties!A$1:CB$87,'Fórmula'!F82,32)&lt;&gt;"",INDEX(properties!A$1:CB$87,'Fórmula'!F82,32)),IF(INDEX(properties!A$1:CB$87,'Fórmula'!H82,32)&lt;&gt;"",INDEX(properties!A$1:CB$87,'Fórmula'!H82,32)),IF(INDEX(properties!A$1:CB$87,'Fórmula'!J82,32)&lt;&gt;"",INDEX(properties!A$1:CB$87,'Fórmula'!J82,32)))</f>
        <v>8.269376</v>
      </c>
      <c r="DC82" s="119">
        <f t="array" ref="DC82">MAX(INDEX(properties!A$1:CB$87,'Fórmula'!B82,32),INDEX(properties!A$1:CB$87,'Fórmula'!D82,32),INDEX(properties!A$1:CB$87,'Fórmula'!F82,32),INDEX(properties!A$1:CB$87,'Fórmula'!H82,32),INDEX(properties!A$1:CB$87,'Fórmula'!J82,32))</f>
        <v>7.54</v>
      </c>
      <c r="DD82" s="119">
        <f t="array" ref="DD82">MIN(IF(INDEX(properties!A$1:CB$87,'Fórmula'!B82,32)=0,10^6,INDEX(properties!A$1:CB$87,'Fórmula'!B82,32)),IF(INDEX(properties!A$1:CB$87,'Fórmula'!D82,32)=0,10^6,INDEX(properties!A$1:CB$87,'Fórmula'!D82,32)),IF(INDEX(properties!A$1:CB$87,'Fórmula'!F82,32)=0,10^6,INDEX(properties!A$1:CB$87,'Fórmula'!F82,32)),IF(INDEX(properties!A$1:CB$87,'Fórmula'!H82,32)=0,10^6,INDEX(properties!A$1:CB$87,'Fórmula'!H82,32)),IF(INDEX(properties!A$1:CB$87,'Fórmula'!J82,32)=0,10^6,INDEX(properties!A$1:CB$87,'Fórmula'!J82,32)))</f>
        <v>2</v>
      </c>
      <c r="DE82" s="119">
        <f t="shared" si="18"/>
        <v>5.54</v>
      </c>
      <c r="DF82" s="104">
        <f t="array" ref="DF82">(('Fórmula'!C82)/('Fórmula'!C82+'Fórmula'!E82+'Fórmula'!G82+'Fórmula'!I82+'Fórmula'!K82))*(INDEX(properties!A$1:CB$87,'Fórmula'!B82,34))+(('Fórmula'!E82)/('Fórmula'!C82+'Fórmula'!E82+'Fórmula'!G82+'Fórmula'!I82+'Fórmula'!K82))*(INDEX(properties!A$1:CB$87,'Fórmula'!D82,34))+(('Fórmula'!G82)/('Fórmula'!C82+'Fórmula'!E82+'Fórmula'!G82+'Fórmula'!I82+'Fórmula'!K82))*(INDEX(properties!A$1:CB$87,'Fórmula'!F82,34))+(('Fórmula'!I82)/('Fórmula'!C82+'Fórmula'!E82+'Fórmula'!G82+'Fórmula'!I82+'Fórmula'!K82))*(INDEX(properties!A$1:CB$87,'Fórmula'!H82,34))+(('Fórmula'!K82)/('Fórmula'!C82+'Fórmula'!E82+'Fórmula'!G82+'Fórmula'!I82+'Fórmula'!K82))*(INDEX(properties!A$1:CB$87,'Fórmula'!J82,34))</f>
        <v>2.812166667</v>
      </c>
      <c r="DG82" s="104">
        <f t="array" ref="DG82">'Fórmula'!C82*(INDEX(properties!A$1:CB$87,'Fórmula'!B82,34))+'Fórmula'!E82*(INDEX(properties!A$1:CB$87,'Fórmula'!D82,34))+'Fórmula'!G82*(INDEX(properties!A$1:CB$87,'Fórmula'!F82,34))+'Fórmula'!I82*(INDEX(properties!A$1:CB$87,'Fórmula'!H82,34))+'Fórmula'!K82*(INDEX(properties!A$1:CB$87,'Fórmula'!J82,34))</f>
        <v>16.873</v>
      </c>
      <c r="DH82" s="104">
        <f t="array" ref="DH82">VARP(IF(INDEX(properties!A$1:CB$87,'Fórmula'!B82,34)&lt;&gt;"",INDEX(properties!A$1:CB$87,'Fórmula'!B82,34)),IF(INDEX(properties!A$1:CB$87,'Fórmula'!D82,34)&lt;&gt;"",INDEX(properties!A$1:CB$87,'Fórmula'!D82,34)),IF(INDEX(properties!A$1:CB$87,'Fórmula'!F82,34)&lt;&gt;"",INDEX(properties!A$1:CB$87,'Fórmula'!F82,34)),IF(INDEX(properties!A$1:CB$87,'Fórmula'!H82,34)&lt;&gt;"",INDEX(properties!A$1:CB$87,'Fórmula'!H82,34)),IF(INDEX(properties!A$1:CB$87,'Fórmula'!J82,34)&lt;&gt;"",INDEX(properties!A$1:CB$87,'Fórmula'!J82,34)))</f>
        <v>1.76335984</v>
      </c>
      <c r="DI82" s="104">
        <f t="array" ref="DI82">MAX(INDEX(properties!A$1:CB$87,'Fórmula'!B82,34),INDEX(properties!A$1:CB$87,'Fórmula'!D82,34),INDEX(properties!A$1:CB$87,'Fórmula'!F82,34),INDEX(properties!A$1:CB$87,'Fórmula'!H82,34),INDEX(properties!A$1:CB$87,'Fórmula'!J82,34))</f>
        <v>3.61</v>
      </c>
      <c r="DJ82" s="104">
        <f t="array" ref="DJ82">MIN(IF(INDEX(properties!A$1:CB$87,'Fórmula'!B82,34)=0,10^6,INDEX(properties!A$1:CB$87,'Fórmula'!B82,34)),IF(INDEX(properties!A$1:CB$87,'Fórmula'!D82,34)=0,10^6,INDEX(properties!A$1:CB$87,'Fórmula'!D82,34)),IF(INDEX(properties!A$1:CB$87,'Fórmula'!F82,34)=0,10^6,INDEX(properties!A$1:CB$87,'Fórmula'!F82,34)),IF(INDEX(properties!A$1:CB$87,'Fórmula'!H82,34)=0,10^6,INDEX(properties!A$1:CB$87,'Fórmula'!H82,34)),IF(INDEX(properties!A$1:CB$87,'Fórmula'!J82,34)=0,10^6,INDEX(properties!A$1:CB$87,'Fórmula'!J82,34)))</f>
        <v>0.963</v>
      </c>
      <c r="DK82" s="104">
        <f t="shared" si="19"/>
        <v>2.647</v>
      </c>
      <c r="DL82" s="105" t="str">
        <f t="array" ref="DL82">(('Fórmula'!C82)/('Fórmula'!C82+'Fórmula'!E82+'Fórmula'!G82+'Fórmula'!I82+'Fórmula'!K82))*(INDEX(properties!A$1:CB$87,'Fórmula'!B82,37))+(('Fórmula'!E82)/('Fórmula'!C82+'Fórmula'!E82+'Fórmula'!G82+'Fórmula'!I82+'Fórmula'!K82))*(INDEX(properties!A$1:CB$87,'Fórmula'!D82,37))+(('Fórmula'!G82)/('Fórmula'!C82+'Fórmula'!E82+'Fórmula'!G82+'Fórmula'!I82+'Fórmula'!K82))*(INDEX(properties!A$1:CB$87,'Fórmula'!F82,37))+(('Fórmula'!I82)/('Fórmula'!C82+'Fórmula'!E82+'Fórmula'!G82+'Fórmula'!I82+'Fórmula'!K82))*(INDEX(properties!A$1:CB$87,'Fórmula'!H82,37))+(('Fórmula'!K82)/('Fórmula'!C82+'Fórmula'!E82+'Fórmula'!G82+'Fórmula'!I82+'Fórmula'!K82))*(INDEX(properties!A$1:CB$87,'Fórmula'!J82,37))</f>
        <v>#VALUE!</v>
      </c>
      <c r="DM82" s="105" t="str">
        <f t="array" ref="DM82">'Fórmula'!C82*(INDEX(properties!A$1:CB$87,'Fórmula'!B82,37))+'Fórmula'!E82*(INDEX(properties!A$1:CB$87,'Fórmula'!D82,37))+'Fórmula'!G82*(INDEX(properties!A$1:CB$87,'Fórmula'!F82,37))+'Fórmula'!I82*(INDEX(properties!A$1:CB$87,'Fórmula'!H82,37))+'Fórmula'!K82*(INDEX(properties!A$1:CB$87,'Fórmula'!J82,37))</f>
        <v>#VALUE!</v>
      </c>
      <c r="DN82" s="105">
        <f t="array" ref="DN82">VARP(IF(INDEX(properties!A$1:CB$87,'Fórmula'!B82,37)&lt;&gt;"",INDEX(properties!A$1:CB$87,'Fórmula'!B82,37)),IF(INDEX(properties!A$1:CB$87,'Fórmula'!D82,37)&lt;&gt;"",INDEX(properties!A$1:CB$87,'Fórmula'!D82,37)),IF(INDEX(properties!A$1:CB$87,'Fórmula'!F82,37)&lt;&gt;"",INDEX(properties!A$1:CB$87,'Fórmula'!F82,37)),IF(INDEX(properties!A$1:CB$87,'Fórmula'!H82,37)&lt;&gt;"",INDEX(properties!A$1:CB$87,'Fórmula'!H82,37)),IF(INDEX(properties!A$1:CB$87,'Fórmula'!J82,37)&lt;&gt;"",INDEX(properties!A$1:CB$87,'Fórmula'!J82,37)))</f>
        <v>1.98796875</v>
      </c>
      <c r="DO82" s="105">
        <f t="array" ref="DO82">MAX(INDEX(properties!A$1:CB$87,'Fórmula'!B82,37),INDEX(properties!A$1:CB$87,'Fórmula'!D82,37),INDEX(properties!A$1:CB$87,'Fórmula'!F82,37),INDEX(properties!A$1:CB$87,'Fórmula'!H82,37),INDEX(properties!A$1:CB$87,'Fórmula'!J82,37))</f>
        <v>3.45</v>
      </c>
      <c r="DP82" s="105">
        <f t="array" ref="DP82">MIN(IF(INDEX(properties!A$1:CB$87,'Fórmula'!B82,37)=0,10^6,INDEX(properties!A$1:CB$87,'Fórmula'!B82,37)),IF(INDEX(properties!A$1:CB$87,'Fórmula'!D82,37)=0,10^6,INDEX(properties!A$1:CB$87,'Fórmula'!D82,37)),IF(INDEX(properties!A$1:CB$87,'Fórmula'!F82,37)=0,10^6,INDEX(properties!A$1:CB$87,'Fórmula'!F82,37)),IF(INDEX(properties!A$1:CB$87,'Fórmula'!H82,37)=0,10^6,INDEX(properties!A$1:CB$87,'Fórmula'!H82,37)),IF(INDEX(properties!A$1:CB$87,'Fórmula'!J82,37)=0,10^6,INDEX(properties!A$1:CB$87,'Fórmula'!J82,37)))</f>
        <v>1</v>
      </c>
      <c r="DQ82" s="105">
        <f t="shared" si="20"/>
        <v>2.45</v>
      </c>
      <c r="DR82" s="109">
        <f t="array" ref="DR82">(('Fórmula'!C82)/('Fórmula'!C82+'Fórmula'!E82+'Fórmula'!G82+'Fórmula'!I82+'Fórmula'!K82))*(INDEX(properties!A$1:CB$87,'Fórmula'!B82,39))+(('Fórmula'!E82)/('Fórmula'!C82+'Fórmula'!E82+'Fórmula'!G82+'Fórmula'!I82+'Fórmula'!K82))*(INDEX(properties!A$1:CB$87,'Fórmula'!D82,39))+(('Fórmula'!G82)/('Fórmula'!C82+'Fórmula'!E82+'Fórmula'!G82+'Fórmula'!I82+'Fórmula'!K82))*(INDEX(properties!A$1:CB$87,'Fórmula'!F82,39))+(('Fórmula'!I82)/('Fórmula'!C82+'Fórmula'!E82+'Fórmula'!G82+'Fórmula'!I82+'Fórmula'!K82))*(INDEX(properties!A$1:CB$87,'Fórmula'!H82,39))+(('Fórmula'!K82)/('Fórmula'!C82+'Fórmula'!E82+'Fórmula'!G82+'Fórmula'!I82+'Fórmula'!K82))*(INDEX(properties!A$1:CB$87,'Fórmula'!J82,39))</f>
        <v>1.006666667</v>
      </c>
      <c r="DS82" s="109">
        <f t="array" ref="DS82">'Fórmula'!C82*(INDEX(properties!A$1:CB$87,'Fórmula'!B82,39))+'Fórmula'!E82*(INDEX(properties!A$1:CB$87,'Fórmula'!D82,39))+'Fórmula'!G82*(INDEX(properties!A$1:CB$87,'Fórmula'!F82,39))+'Fórmula'!I82*(INDEX(properties!A$1:CB$87,'Fórmula'!H82,39))+'Fórmula'!K82*(INDEX(properties!A$1:CB$87,'Fórmula'!J82,39))</f>
        <v>6.04</v>
      </c>
      <c r="DT82" s="109">
        <f t="array" ref="DT82">VARP(IF(INDEX(properties!A$1:CB$87,'Fórmula'!B82,39)&lt;&gt;"",INDEX(properties!A$1:CB$87,'Fórmula'!B82,39)),IF(INDEX(properties!A$1:CB$87,'Fórmula'!D82,39)&lt;&gt;"",INDEX(properties!A$1:CB$87,'Fórmula'!D82,39)),IF(INDEX(properties!A$1:CB$87,'Fórmula'!F82,39)&lt;&gt;"",INDEX(properties!A$1:CB$87,'Fórmula'!F82,39)),IF(INDEX(properties!A$1:CB$87,'Fórmula'!H82,39)&lt;&gt;"",INDEX(properties!A$1:CB$87,'Fórmula'!H82,39)),IF(INDEX(properties!A$1:CB$87,'Fórmula'!J82,39)&lt;&gt;"",INDEX(properties!A$1:CB$87,'Fórmula'!J82,39)))</f>
        <v>0.90388</v>
      </c>
      <c r="DU82" s="120">
        <f t="array" ref="DU82">MAX(INDEX(properties!A$1:CB$87,'Fórmula'!B82,39),INDEX(properties!A$1:CB$87,'Fórmula'!D82,39),INDEX(properties!A$1:CB$87,'Fórmula'!F82,39),INDEX(properties!A$1:CB$87,'Fórmula'!H82,39),INDEX(properties!A$1:CB$87,'Fórmula'!J82,39))</f>
        <v>2.19</v>
      </c>
      <c r="DV82" s="120">
        <f t="array" ref="DV82">MIN(IF(INDEX(properties!A$1:CB$87,'Fórmula'!B82,39)=0,10^6,INDEX(properties!A$1:CB$87,'Fórmula'!B82,39)),IF(INDEX(properties!A$1:CB$87,'Fórmula'!D82,39)=0,10^6,INDEX(properties!A$1:CB$87,'Fórmula'!D82,39)),IF(INDEX(properties!A$1:CB$87,'Fórmula'!F82,39)=0,10^6,INDEX(properties!A$1:CB$87,'Fórmula'!F82,39)),IF(INDEX(properties!A$1:CB$87,'Fórmula'!H82,39)=0,10^6,INDEX(properties!A$1:CB$87,'Fórmula'!H82,39)),IF(INDEX(properties!A$1:CB$87,'Fórmula'!J82,39)=0,10^6,INDEX(properties!A$1:CB$87,'Fórmula'!J82,39)))</f>
        <v>0.48</v>
      </c>
      <c r="DW82" s="109">
        <f t="shared" si="21"/>
        <v>1.71</v>
      </c>
      <c r="DX82" s="110">
        <f t="array" ref="DX82">(('Fórmula'!C82)/('Fórmula'!C82+'Fórmula'!E82+'Fórmula'!G82+'Fórmula'!I82+'Fórmula'!K82))*(INDEX(properties!A$1:CB$87,'Fórmula'!B82,40))+(('Fórmula'!E82)/('Fórmula'!C82+'Fórmula'!E82+'Fórmula'!G82+'Fórmula'!I82+'Fórmula'!K82))*(INDEX(properties!A$1:CB$87,'Fórmula'!D82,40))+(('Fórmula'!G82)/('Fórmula'!C82+'Fórmula'!E82+'Fórmula'!G82+'Fórmula'!I82+'Fórmula'!K82))*(INDEX(properties!A$1:CB$87,'Fórmula'!F82,40))+(('Fórmula'!I82)/('Fórmula'!C82+'Fórmula'!E82+'Fórmula'!G82+'Fórmula'!I82+'Fórmula'!K82))*(INDEX(properties!A$1:CB$87,'Fórmula'!H82,40))+(('Fórmula'!K82)/('Fórmula'!C82+'Fórmula'!E82+'Fórmula'!G82+'Fórmula'!I82+'Fórmula'!K82))*(INDEX(properties!A$1:CB$87,'Fórmula'!J82,40))</f>
        <v>1.05</v>
      </c>
      <c r="DY82" s="110">
        <f t="array" ref="DY82">'Fórmula'!C82*(INDEX(properties!A$1:CB$87,'Fórmula'!B82,40))+'Fórmula'!E82*(INDEX(properties!A$1:CB$87,'Fórmula'!D82,40))+'Fórmula'!G82*(INDEX(properties!A$1:CB$87,'Fórmula'!F82,40))+'Fórmula'!I82*(INDEX(properties!A$1:CB$87,'Fórmula'!H82,40))+'Fórmula'!K82*(INDEX(properties!A$1:CB$87,'Fórmula'!J82,40))</f>
        <v>6.3</v>
      </c>
      <c r="DZ82" s="110">
        <f t="array" ref="DZ82">VARP(IF(INDEX(properties!A$1:CB$87,'Fórmula'!B82,40)&lt;&gt;"",INDEX(properties!A$1:CB$87,'Fórmula'!B82,40)),IF(INDEX(properties!A$1:CB$87,'Fórmula'!D82,40)&lt;&gt;"",INDEX(properties!A$1:CB$87,'Fórmula'!D82,40)),IF(INDEX(properties!A$1:CB$87,'Fórmula'!F82,40)&lt;&gt;"",INDEX(properties!A$1:CB$87,'Fórmula'!F82,40)),IF(INDEX(properties!A$1:CB$87,'Fórmula'!H82,40)&lt;&gt;"",INDEX(properties!A$1:CB$87,'Fórmula'!H82,40)),IF(INDEX(properties!A$1:CB$87,'Fórmula'!J82,40)&lt;&gt;"",INDEX(properties!A$1:CB$87,'Fórmula'!J82,40)))</f>
        <v>0.594496</v>
      </c>
      <c r="EA82" s="121">
        <f t="array" ref="EA82">MAX(INDEX(properties!A$1:CB$87,'Fórmula'!B82,40),INDEX(properties!A$1:CB$87,'Fórmula'!D82,40),INDEX(properties!A$1:CB$87,'Fórmula'!F82,40),INDEX(properties!A$1:CB$87,'Fórmula'!H82,40),INDEX(properties!A$1:CB$87,'Fórmula'!J82,40))</f>
        <v>1.92</v>
      </c>
      <c r="EB82" s="121">
        <f t="array" ref="EB82">MIN(IF(INDEX(properties!A$1:CB$87,'Fórmula'!B82,40)=0,10^6,INDEX(properties!A$1:CB$87,'Fórmula'!B82,40)),IF(INDEX(properties!A$1:CB$87,'Fórmula'!D82,40)=0,10^6,INDEX(properties!A$1:CB$87,'Fórmula'!D82,40)),IF(INDEX(properties!A$1:CB$87,'Fórmula'!F82,40)=0,10^6,INDEX(properties!A$1:CB$87,'Fórmula'!F82,40)),IF(INDEX(properties!A$1:CB$87,'Fórmula'!H82,40)=0,10^6,INDEX(properties!A$1:CB$87,'Fórmula'!H82,40)),IF(INDEX(properties!A$1:CB$87,'Fórmula'!J82,40)=0,10^6,INDEX(properties!A$1:CB$87,'Fórmula'!J82,40)))</f>
        <v>0.73</v>
      </c>
      <c r="EC82" s="110">
        <f t="shared" si="22"/>
        <v>1.19</v>
      </c>
      <c r="ED82" s="111">
        <f t="array" ref="ED82">(('Fórmula'!C82)/('Fórmula'!C82+'Fórmula'!E82+'Fórmula'!G82+'Fórmula'!I82+'Fórmula'!K82))*(INDEX(properties!A$1:CB$87,'Fórmula'!B82,41))+(('Fórmula'!E82)/('Fórmula'!C82+'Fórmula'!E82+'Fórmula'!G82+'Fórmula'!I82+'Fórmula'!K82))*(INDEX(properties!A$1:CB$87,'Fórmula'!D82,41))+(('Fórmula'!G82)/('Fórmula'!C82+'Fórmula'!E82+'Fórmula'!G82+'Fórmula'!I82+'Fórmula'!K82))*(INDEX(properties!A$1:CB$87,'Fórmula'!F82,41))+(('Fórmula'!I82)/('Fórmula'!C82+'Fórmula'!E82+'Fórmula'!G82+'Fórmula'!I82+'Fórmula'!K82))*(INDEX(properties!A$1:CB$87,'Fórmula'!H82,41))+(('Fórmula'!K82)/('Fórmula'!C82+'Fórmula'!E82+'Fórmula'!G82+'Fórmula'!I82+'Fórmula'!K82))*(INDEX(properties!A$1:CB$87,'Fórmula'!J82,41))</f>
        <v>1.193333333</v>
      </c>
      <c r="EE82" s="111">
        <f t="array" ref="EE82">'Fórmula'!C82*(INDEX(properties!A$1:CB$87,'Fórmula'!B82,41))+'Fórmula'!E82*(INDEX(properties!A$1:CB$87,'Fórmula'!D82,41))+'Fórmula'!G82*(INDEX(properties!A$1:CB$87,'Fórmula'!F82,41))+'Fórmula'!I82*(INDEX(properties!A$1:CB$87,'Fórmula'!H82,41))+'Fórmula'!K82*(INDEX(properties!A$1:CB$87,'Fórmula'!J82,41))</f>
        <v>7.16</v>
      </c>
      <c r="EF82" s="111">
        <f t="array" ref="EF82">VARP(IF(INDEX(properties!A$1:CB$87,'Fórmula'!B82,41)&lt;&gt;"",INDEX(properties!A$1:CB$87,'Fórmula'!B82,41)),IF(INDEX(properties!A$1:CB$87,'Fórmula'!D82,41)&lt;&gt;"",INDEX(properties!A$1:CB$87,'Fórmula'!D82,41)),IF(INDEX(properties!A$1:CB$87,'Fórmula'!F82,41)&lt;&gt;"",INDEX(properties!A$1:CB$87,'Fórmula'!F82,41)),IF(INDEX(properties!A$1:CB$87,'Fórmula'!H82,41)&lt;&gt;"",INDEX(properties!A$1:CB$87,'Fórmula'!H82,41)),IF(INDEX(properties!A$1:CB$87,'Fórmula'!J82,41)&lt;&gt;"",INDEX(properties!A$1:CB$87,'Fórmula'!J82,41)))</f>
        <v>0.337024</v>
      </c>
      <c r="EG82" s="122">
        <f t="array" ref="EG82">MAX(INDEX(properties!A$1:CB$87,'Fórmula'!B82,41),INDEX(properties!A$1:CB$87,'Fórmula'!D82,41),INDEX(properties!A$1:CB$87,'Fórmula'!F82,41),INDEX(properties!A$1:CB$87,'Fórmula'!H82,41),INDEX(properties!A$1:CB$87,'Fórmula'!J82,41))</f>
        <v>1.32</v>
      </c>
      <c r="EH82" s="122">
        <f t="array" ref="EH82">MIN(IF(INDEX(properties!A$1:CB$87,'Fórmula'!B82,41)=0,10^6,INDEX(properties!A$1:CB$87,'Fórmula'!B82,41)),IF(INDEX(properties!A$1:CB$87,'Fórmula'!D82,41)=0,10^6,INDEX(properties!A$1:CB$87,'Fórmula'!D82,41)),IF(INDEX(properties!A$1:CB$87,'Fórmula'!F82,41)=0,10^6,INDEX(properties!A$1:CB$87,'Fórmula'!F82,41)),IF(INDEX(properties!A$1:CB$87,'Fórmula'!H82,41)=0,10^6,INDEX(properties!A$1:CB$87,'Fórmula'!H82,41)),IF(INDEX(properties!A$1:CB$87,'Fórmula'!J82,41)=0,10^6,INDEX(properties!A$1:CB$87,'Fórmula'!J82,41)))</f>
        <v>0.8</v>
      </c>
      <c r="EI82" s="111">
        <f t="shared" si="23"/>
        <v>0.52</v>
      </c>
      <c r="EJ82" s="112">
        <f t="array" ref="EJ82">(('Fórmula'!C82)/('Fórmula'!C82+'Fórmula'!E82+'Fórmula'!G82+'Fórmula'!I82+'Fórmula'!K82))*(INDEX(properties!A$1:CB$87,'Fórmula'!B82,45))+(('Fórmula'!E82)/('Fórmula'!C82+'Fórmula'!E82+'Fórmula'!G82+'Fórmula'!I82+'Fórmula'!K82))*(INDEX(properties!A$1:CB$87,'Fórmula'!D82,45))+(('Fórmula'!G82)/('Fórmula'!C82+'Fórmula'!E82+'Fórmula'!G82+'Fórmula'!I82+'Fórmula'!K82))*(INDEX(properties!A$1:CB$87,'Fórmula'!F82,45))+(('Fórmula'!I82)/('Fórmula'!C82+'Fórmula'!E82+'Fórmula'!G82+'Fórmula'!I82+'Fórmula'!K82))*(INDEX(properties!A$1:CB$87,'Fórmula'!H82,45))+(('Fórmula'!K82)/('Fórmula'!C82+'Fórmula'!E82+'Fórmula'!G82+'Fórmula'!I82+'Fórmula'!K82))*(INDEX(properties!A$1:CB$87,'Fórmula'!J82,45))</f>
        <v>1.305</v>
      </c>
      <c r="EK82" s="112">
        <f t="array" ref="EK82">'Fórmula'!C82*(INDEX(properties!A$1:CB$87,'Fórmula'!B82,45))+'Fórmula'!E82*(INDEX(properties!A$1:CB$87,'Fórmula'!D82,45))+'Fórmula'!G82*(INDEX(properties!A$1:CB$87,'Fórmula'!F82,45))+'Fórmula'!I82*(INDEX(properties!A$1:CB$87,'Fórmula'!H82,45))+'Fórmula'!K82*(INDEX(properties!A$1:CB$87,'Fórmula'!J82,45))</f>
        <v>7.83</v>
      </c>
      <c r="EL82" s="112">
        <f t="array" ref="EL82">VARP(IF(INDEX(properties!A$1:CB$87,'Fórmula'!B82,45)&lt;&gt;"",INDEX(properties!A$1:CB$87,'Fórmula'!B82,45)),IF(INDEX(properties!A$1:CB$87,'Fórmula'!D82,45)&lt;&gt;"",INDEX(properties!A$1:CB$87,'Fórmula'!D82,45)),IF(INDEX(properties!A$1:CB$87,'Fórmula'!F82,45)&lt;&gt;"",INDEX(properties!A$1:CB$87,'Fórmula'!F82,45)),IF(INDEX(properties!A$1:CB$87,'Fórmula'!H82,45)&lt;&gt;"",INDEX(properties!A$1:CB$87,'Fórmula'!H82,45)),IF(INDEX(properties!A$1:CB$87,'Fórmula'!J82,45)&lt;&gt;"",INDEX(properties!A$1:CB$87,'Fórmula'!J82,45)))</f>
        <v>1.957864</v>
      </c>
      <c r="EM82" s="123">
        <f t="array" ref="EM82">MAX(INDEX(properties!A$1:CB$87,'Fórmula'!B82,45),INDEX(properties!A$1:CB$87,'Fórmula'!D82,45),INDEX(properties!A$1:CB$87,'Fórmula'!F82,45),INDEX(properties!A$1:CB$87,'Fórmula'!H82,45),INDEX(properties!A$1:CB$87,'Fórmula'!J82,45))</f>
        <v>3.21</v>
      </c>
      <c r="EN82" s="123">
        <f t="array" ref="EN82">MIN(IF(INDEX(properties!A$1:CB$87,'Fórmula'!B82,45)=0,10^6,INDEX(properties!A$1:CB$87,'Fórmula'!B82,45)),IF(INDEX(properties!A$1:CB$87,'Fórmula'!D82,45)=0,10^6,INDEX(properties!A$1:CB$87,'Fórmula'!D82,45)),IF(INDEX(properties!A$1:CB$87,'Fórmula'!F82,45)=0,10^6,INDEX(properties!A$1:CB$87,'Fórmula'!F82,45)),IF(INDEX(properties!A$1:CB$87,'Fórmula'!H82,45)=0,10^6,INDEX(properties!A$1:CB$87,'Fórmula'!H82,45)),IF(INDEX(properties!A$1:CB$87,'Fórmula'!J82,45)=0,10^6,INDEX(properties!A$1:CB$87,'Fórmula'!J82,45)))</f>
        <v>0.47</v>
      </c>
      <c r="EO82" s="112">
        <f t="shared" si="24"/>
        <v>2.74</v>
      </c>
      <c r="EP82" s="113">
        <f t="array" ref="EP82">(('Fórmula'!C82)/('Fórmula'!C82+'Fórmula'!E82+'Fórmula'!G82+'Fórmula'!I82+'Fórmula'!K82))*(INDEX(properties!A$1:CB$87,'Fórmula'!B82,46))+(('Fórmula'!E82)/('Fórmula'!C82+'Fórmula'!E82+'Fórmula'!G82+'Fórmula'!I82+'Fórmula'!K82))*(INDEX(properties!A$1:CB$87,'Fórmula'!D82,46))+(('Fórmula'!G82)/('Fórmula'!C82+'Fórmula'!E82+'Fórmula'!G82+'Fórmula'!I82+'Fórmula'!K82))*(INDEX(properties!A$1:CB$87,'Fórmula'!F82,46))+(('Fórmula'!I82)/('Fórmula'!C82+'Fórmula'!E82+'Fórmula'!G82+'Fórmula'!I82+'Fórmula'!K82))*(INDEX(properties!A$1:CB$87,'Fórmula'!H82,46))+(('Fórmula'!K82)/('Fórmula'!C82+'Fórmula'!E82+'Fórmula'!G82+'Fórmula'!I82+'Fórmula'!K82))*(INDEX(properties!A$1:CB$87,'Fórmula'!J82,46))</f>
        <v>1.15</v>
      </c>
      <c r="EQ82" s="113">
        <f t="array" ref="EQ82">'Fórmula'!C82*(INDEX(properties!A$1:CB$87,'Fórmula'!B82,46))+'Fórmula'!E82*(INDEX(properties!A$1:CB$87,'Fórmula'!D82,46))+'Fórmula'!G82*(INDEX(properties!A$1:CB$87,'Fórmula'!F82,46))+'Fórmula'!I82*(INDEX(properties!A$1:CB$87,'Fórmula'!H82,46))+'Fórmula'!K82*(INDEX(properties!A$1:CB$87,'Fórmula'!J82,46))</f>
        <v>6.9</v>
      </c>
      <c r="ER82" s="113">
        <f t="array" ref="ER82">VARP(IF(INDEX(properties!A$1:CB$87,'Fórmula'!B82,46)&lt;&gt;"",INDEX(properties!A$1:CB$87,'Fórmula'!B82,46)),IF(INDEX(properties!A$1:CB$87,'Fórmula'!D82,46)&lt;&gt;"",INDEX(properties!A$1:CB$87,'Fórmula'!D82,46)),IF(INDEX(properties!A$1:CB$87,'Fórmula'!F82,46)&lt;&gt;"",INDEX(properties!A$1:CB$87,'Fórmula'!F82,46)),IF(INDEX(properties!A$1:CB$87,'Fórmula'!H82,46)&lt;&gt;"",INDEX(properties!A$1:CB$87,'Fórmula'!H82,46)),IF(INDEX(properties!A$1:CB$87,'Fórmula'!J82,46)&lt;&gt;"",INDEX(properties!A$1:CB$87,'Fórmula'!J82,46)))</f>
        <v>0.323104</v>
      </c>
      <c r="ES82" s="124">
        <f t="array" ref="ES82">MAX(INDEX(properties!A$1:CB$87,'Fórmula'!B82,46),INDEX(properties!A$1:CB$87,'Fórmula'!D82,46),INDEX(properties!A$1:CB$87,'Fórmula'!F82,46),INDEX(properties!A$1:CB$87,'Fórmula'!H82,46),INDEX(properties!A$1:CB$87,'Fórmula'!J82,46))</f>
        <v>1.32</v>
      </c>
      <c r="ET82" s="124">
        <f t="array" ref="ET82">MIN(IF(INDEX(properties!A$1:CB$87,'Fórmula'!B82,46)=0,10^6,INDEX(properties!A$1:CB$87,'Fórmula'!B82,46)),IF(INDEX(properties!A$1:CB$87,'Fórmula'!D82,46)=0,10^6,INDEX(properties!A$1:CB$87,'Fórmula'!D82,46)),IF(INDEX(properties!A$1:CB$87,'Fórmula'!F82,46)=0,10^6,INDEX(properties!A$1:CB$87,'Fórmula'!F82,46)),IF(INDEX(properties!A$1:CB$87,'Fórmula'!H82,46)=0,10^6,INDEX(properties!A$1:CB$87,'Fórmula'!H82,46)),IF(INDEX(properties!A$1:CB$87,'Fórmula'!J82,46)=0,10^6,INDEX(properties!A$1:CB$87,'Fórmula'!J82,46)))</f>
        <v>0.74</v>
      </c>
      <c r="EU82" s="113">
        <f t="shared" si="25"/>
        <v>0.58</v>
      </c>
      <c r="EV82" s="114">
        <f t="array" ref="EV82">(('Fórmula'!C82)/('Fórmula'!C82+'Fórmula'!E82+'Fórmula'!G82+'Fórmula'!I82+'Fórmula'!K82))*(INDEX(properties!A$1:CB$87,'Fórmula'!B82,52))+(('Fórmula'!E82)/('Fórmula'!C82+'Fórmula'!E82+'Fórmula'!G82+'Fórmula'!I82+'Fórmula'!K82))*(INDEX(properties!A$1:CB$87,'Fórmula'!D82,52))+(('Fórmula'!G82)/('Fórmula'!C82+'Fórmula'!E82+'Fórmula'!G82+'Fórmula'!I82+'Fórmula'!K82))*(INDEX(properties!A$1:CB$87,'Fórmula'!F82,52))+(('Fórmula'!I82)/('Fórmula'!C82+'Fórmula'!E82+'Fórmula'!G82+'Fórmula'!I82+'Fórmula'!K82))*(INDEX(properties!A$1:CB$87,'Fórmula'!H82,52))+(('Fórmula'!K82)/('Fórmula'!C82+'Fórmula'!E82+'Fórmula'!G82+'Fórmula'!I82+'Fórmula'!K82))*(INDEX(properties!A$1:CB$87,'Fórmula'!J82,52))</f>
        <v>6.978666667</v>
      </c>
      <c r="EW82" s="114">
        <f t="array" ref="EW82">'Fórmula'!C82*(INDEX(properties!A$1:CB$87,'Fórmula'!B82,52))+'Fórmula'!E82*(INDEX(properties!A$1:CB$87,'Fórmula'!D82,52))+'Fórmula'!G82*(INDEX(properties!A$1:CB$87,'Fórmula'!F82,52))+'Fórmula'!I82*(INDEX(properties!A$1:CB$87,'Fórmula'!H82,52))+'Fórmula'!K82*(INDEX(properties!A$1:CB$87,'Fórmula'!J82,52))</f>
        <v>41.872</v>
      </c>
      <c r="EX82" s="114">
        <f t="array" ref="EX82">VARP(IF(INDEX(properties!A$1:CB$87,'Fórmula'!B82,52)&lt;&gt;"",INDEX(properties!A$1:CB$87,'Fórmula'!B82,52)),IF(INDEX(properties!A$1:CB$87,'Fórmula'!D82,52)&lt;&gt;"",INDEX(properties!A$1:CB$87,'Fórmula'!D82,52)),IF(INDEX(properties!A$1:CB$87,'Fórmula'!F82,52)&lt;&gt;"",INDEX(properties!A$1:CB$87,'Fórmula'!F82,52)),IF(INDEX(properties!A$1:CB$87,'Fórmula'!H82,52)&lt;&gt;"",INDEX(properties!A$1:CB$87,'Fórmula'!H82,52)),IF(INDEX(properties!A$1:CB$87,'Fórmula'!J82,52)&lt;&gt;"",INDEX(properties!A$1:CB$87,'Fórmula'!J82,52)))</f>
        <v>114.7318878</v>
      </c>
      <c r="EY82" s="114">
        <f t="array" ref="EY82">MAX(INDEX(properties!A$1:CB$87,'Fórmula'!B82,52),INDEX(properties!A$1:CB$87,'Fórmula'!D82,52),INDEX(properties!A$1:CB$87,'Fórmula'!F82,52),INDEX(properties!A$1:CB$87,'Fórmula'!H82,52),INDEX(properties!A$1:CB$87,'Fórmula'!J82,52))</f>
        <v>27.6</v>
      </c>
      <c r="EZ82" s="114">
        <f t="array" ref="EZ82">MIN(IF(INDEX(properties!A$1:CB$87,'Fórmula'!B82,52)=0,10^6,INDEX(properties!A$1:CB$87,'Fórmula'!B82,52)),IF(INDEX(properties!A$1:CB$87,'Fórmula'!D82,52)=0,10^6,INDEX(properties!A$1:CB$87,'Fórmula'!D82,52)),IF(INDEX(properties!A$1:CB$87,'Fórmula'!F82,52)=0,10^6,INDEX(properties!A$1:CB$87,'Fórmula'!F82,52)),IF(INDEX(properties!A$1:CB$87,'Fórmula'!H82,52)=0,10^6,INDEX(properties!A$1:CB$87,'Fórmula'!H82,52)),IF(INDEX(properties!A$1:CB$87,'Fórmula'!J82,52)=0,10^6,INDEX(properties!A$1:CB$87,'Fórmula'!J82,52)))</f>
        <v>0.793</v>
      </c>
      <c r="FA82" s="114">
        <f t="shared" si="26"/>
        <v>26.807</v>
      </c>
      <c r="FB82" s="115">
        <f t="array" ref="FB82">(('Fórmula'!C82)/('Fórmula'!C82+'Fórmula'!E82+'Fórmula'!G82+'Fórmula'!I82+'Fórmula'!K82))*(INDEX(properties!A$1:CB$87,'Fórmula'!B82,53))+(('Fórmula'!E82)/('Fórmula'!C82+'Fórmula'!E82+'Fórmula'!G82+'Fórmula'!I82+'Fórmula'!K82))*(INDEX(properties!A$1:CB$87,'Fórmula'!D82,53))+(('Fórmula'!G82)/('Fórmula'!C82+'Fórmula'!E82+'Fórmula'!G82+'Fórmula'!I82+'Fórmula'!K82))*(INDEX(properties!A$1:CB$87,'Fórmula'!F82,53))+(('Fórmula'!I82)/('Fórmula'!C82+'Fórmula'!E82+'Fórmula'!G82+'Fórmula'!I82+'Fórmula'!K82))*(INDEX(properties!A$1:CB$87,'Fórmula'!H82,53))+(('Fórmula'!K82)/('Fórmula'!C82+'Fórmula'!E82+'Fórmula'!G82+'Fórmula'!I82+'Fórmula'!K82))*(INDEX(properties!A$1:CB$87,'Fórmula'!J82,53))</f>
        <v>824.05</v>
      </c>
      <c r="FC82" s="115">
        <f t="array" ref="FC82">'Fórmula'!C82*(INDEX(properties!A$1:CB$87,'Fórmula'!B82,53))+'Fórmula'!E82*(INDEX(properties!A$1:CB$87,'Fórmula'!D82,53))+'Fórmula'!G82*(INDEX(properties!A$1:CB$87,'Fórmula'!F82,53))+'Fórmula'!I82*(INDEX(properties!A$1:CB$87,'Fórmula'!H82,53))+'Fórmula'!K82*(INDEX(properties!A$1:CB$87,'Fórmula'!J82,53))</f>
        <v>4944.3</v>
      </c>
      <c r="FD82" s="115">
        <f t="array" ref="FD82">VARP(IF(INDEX(properties!A$1:CB$87,'Fórmula'!B82,53)&lt;&gt;"",INDEX(properties!A$1:CB$87,'Fórmula'!B82,53)),IF(INDEX(properties!A$1:CB$87,'Fórmula'!D82,53)&lt;&gt;"",INDEX(properties!A$1:CB$87,'Fórmula'!D82,53)),IF(INDEX(properties!A$1:CB$87,'Fórmula'!F82,53)&lt;&gt;"",INDEX(properties!A$1:CB$87,'Fórmula'!F82,53)),IF(INDEX(properties!A$1:CB$87,'Fórmula'!H82,53)&lt;&gt;"",INDEX(properties!A$1:CB$87,'Fórmula'!H82,53)),IF(INDEX(properties!A$1:CB$87,'Fórmula'!J82,53)&lt;&gt;"",INDEX(properties!A$1:CB$87,'Fórmula'!J82,53)))</f>
        <v>2016978.501</v>
      </c>
      <c r="FE82" s="115">
        <f t="array" ref="FE82">MAX(INDEX(properties!A$1:CB$87,'Fórmula'!B82,53),INDEX(properties!A$1:CB$87,'Fórmula'!D82,53),INDEX(properties!A$1:CB$87,'Fórmula'!F82,53),INDEX(properties!A$1:CB$87,'Fórmula'!H82,53),INDEX(properties!A$1:CB$87,'Fórmula'!J82,53))</f>
        <v>3683.15</v>
      </c>
      <c r="FF82" s="115">
        <f t="array" ref="FF82">MIN(IF(INDEX(properties!A$1:CB$87,'Fórmula'!B82,53)=0,10^6,INDEX(properties!A$1:CB$87,'Fórmula'!B82,53)),IF(INDEX(properties!A$1:CB$87,'Fórmula'!D82,53)=0,10^6,INDEX(properties!A$1:CB$87,'Fórmula'!D82,53)),IF(INDEX(properties!A$1:CB$87,'Fórmula'!F82,53)=0,10^6,INDEX(properties!A$1:CB$87,'Fórmula'!F82,53)),IF(INDEX(properties!A$1:CB$87,'Fórmula'!H82,53)=0,10^6,INDEX(properties!A$1:CB$87,'Fórmula'!H82,53)),IF(INDEX(properties!A$1:CB$87,'Fórmula'!J82,53)=0,10^6,INDEX(properties!A$1:CB$87,'Fórmula'!J82,53)))</f>
        <v>54.75</v>
      </c>
      <c r="FG82" s="115">
        <f t="shared" si="27"/>
        <v>3628.4</v>
      </c>
      <c r="FH82" s="117">
        <f t="array" ref="FH82">(('Fórmula'!C82)/('Fórmula'!C82+'Fórmula'!E82+'Fórmula'!G82+'Fórmula'!I82+'Fórmula'!K82))*(INDEX(properties!A$1:CB$87,'Fórmula'!B82,54))+(('Fórmula'!E82)/('Fórmula'!C82+'Fórmula'!E82+'Fórmula'!G82+'Fórmula'!I82+'Fórmula'!K82))*(INDEX(properties!A$1:CB$87,'Fórmula'!D82,54))+(('Fórmula'!G82)/('Fórmula'!C82+'Fórmula'!E82+'Fórmula'!G82+'Fórmula'!I82+'Fórmula'!K82))*(INDEX(properties!A$1:CB$87,'Fórmula'!F82,54))+(('Fórmula'!I82)/('Fórmula'!C82+'Fórmula'!E82+'Fórmula'!G82+'Fórmula'!I82+'Fórmula'!K82))*(INDEX(properties!A$1:CB$87,'Fórmula'!H82,54))+(('Fórmula'!K82)/('Fórmula'!C82+'Fórmula'!E82+'Fórmula'!G82+'Fórmula'!I82+'Fórmula'!K82))*(INDEX(properties!A$1:CB$87,'Fórmula'!J82,54))</f>
        <v>1325.15</v>
      </c>
      <c r="FI82" s="117">
        <f t="array" ref="FI82">'Fórmula'!C82*(INDEX(properties!A$1:CB$87,'Fórmula'!B82,54))+'Fórmula'!E82*(INDEX(properties!A$1:CB$87,'Fórmula'!D82,54))+'Fórmula'!G82*(INDEX(properties!A$1:CB$87,'Fórmula'!F82,54))+'Fórmula'!I82*(INDEX(properties!A$1:CB$87,'Fórmula'!H82,54))+'Fórmula'!K82*(INDEX(properties!A$1:CB$87,'Fórmula'!J82,54))</f>
        <v>7950.9</v>
      </c>
      <c r="FJ82" s="117">
        <f t="array" ref="FJ82">VARP(IF(INDEX(properties!A$1:CB$87,'Fórmula'!B82,54)&lt;&gt;"",INDEX(properties!A$1:CB$87,'Fórmula'!B82,54)),IF(INDEX(properties!A$1:CB$87,'Fórmula'!D82,54)&lt;&gt;"",INDEX(properties!A$1:CB$87,'Fórmula'!D82,54)),IF(INDEX(properties!A$1:CB$87,'Fórmula'!F82,54)&lt;&gt;"",INDEX(properties!A$1:CB$87,'Fórmula'!F82,54)),IF(INDEX(properties!A$1:CB$87,'Fórmula'!H82,54)&lt;&gt;"",INDEX(properties!A$1:CB$87,'Fórmula'!H82,54)),IF(INDEX(properties!A$1:CB$87,'Fórmula'!J82,54)&lt;&gt;"",INDEX(properties!A$1:CB$87,'Fórmula'!J82,54)))</f>
        <v>5231735.925</v>
      </c>
      <c r="FK82" s="117">
        <f t="array" ref="FK82">MAX(INDEX(properties!A$1:CB$87,'Fórmula'!B82,54),INDEX(properties!A$1:CB$87,'Fórmula'!D82,54),INDEX(properties!A$1:CB$87,'Fórmula'!F82,54),INDEX(properties!A$1:CB$87,'Fórmula'!H82,54),INDEX(properties!A$1:CB$87,'Fórmula'!J82,54))</f>
        <v>5933.15</v>
      </c>
      <c r="FL82" s="117">
        <f t="array" ref="FL82">MIN(IF(INDEX(properties!A$1:CB$87,'Fórmula'!B82,54)=0,10^6,INDEX(properties!A$1:CB$87,'Fórmula'!B82,54)),IF(INDEX(properties!A$1:CB$87,'Fórmula'!D82,54)=0,10^6,INDEX(properties!A$1:CB$87,'Fórmula'!D82,54)),IF(INDEX(properties!A$1:CB$87,'Fórmula'!F82,54)=0,10^6,INDEX(properties!A$1:CB$87,'Fórmula'!F82,54)),IF(INDEX(properties!A$1:CB$87,'Fórmula'!H82,54)=0,10^6,INDEX(properties!A$1:CB$87,'Fórmula'!H82,54)),IF(INDEX(properties!A$1:CB$87,'Fórmula'!J82,54)=0,10^6,INDEX(properties!A$1:CB$87,'Fórmula'!J82,54)))</f>
        <v>90.15</v>
      </c>
      <c r="FM82" s="117">
        <f t="shared" si="28"/>
        <v>5843</v>
      </c>
      <c r="FN82" s="118">
        <f t="array" ref="FN82">(('Fórmula'!C82)/('Fórmula'!C82+'Fórmula'!E82+'Fórmula'!G82+'Fórmula'!I82+'Fórmula'!K82))*(INDEX(properties!A$1:CB$87,'Fórmula'!B82,55))+(('Fórmula'!E82)/('Fórmula'!C82+'Fórmula'!E82+'Fórmula'!G82+'Fórmula'!I82+'Fórmula'!K82))*(INDEX(properties!A$1:CB$87,'Fórmula'!D82,55))+(('Fórmula'!G82)/('Fórmula'!C82+'Fórmula'!E82+'Fórmula'!G82+'Fórmula'!I82+'Fórmula'!K82))*(INDEX(properties!A$1:CB$87,'Fórmula'!F82,55))+(('Fórmula'!I82)/('Fórmula'!C82+'Fórmula'!E82+'Fórmula'!G82+'Fórmula'!I82+'Fórmula'!K82))*(INDEX(properties!A$1:CB$87,'Fórmula'!H82,55))+(('Fórmula'!K82)/('Fórmula'!C82+'Fórmula'!E82+'Fórmula'!G82+'Fórmula'!I82+'Fórmula'!K82))*(INDEX(properties!A$1:CB$87,'Fórmula'!J82,55))</f>
        <v>3.655953333</v>
      </c>
      <c r="FO82" s="118">
        <f t="array" ref="FO82">'Fórmula'!C82*(INDEX(properties!A$1:CB$87,'Fórmula'!B82,55))+'Fórmula'!E82*(INDEX(properties!A$1:CB$87,'Fórmula'!D82,54))+'Fórmula'!G82*(INDEX(properties!A$1:CB$87,'Fórmula'!F82,55))+'Fórmula'!I82*(INDEX(properties!A$1:CB$87,'Fórmula'!H82,55))+'Fórmula'!K82*(INDEX(properties!A$1:CB$87,'Fórmula'!J82,55))</f>
        <v>5935.78572</v>
      </c>
      <c r="FP82" s="118">
        <f t="array" ref="FP82">VARP(IF(INDEX(properties!A$1:CB$87,'Fórmula'!B82,55)&lt;&gt;"",INDEX(properties!A$1:CB$87,'Fórmula'!B82,55)),IF(INDEX(properties!A$1:CB$87,'Fórmula'!D82,55)&lt;&gt;"",INDEX(properties!A$1:CB$87,'Fórmula'!D82,55)),IF(INDEX(properties!A$1:CB$87,'Fórmula'!F82,55)&lt;&gt;"",INDEX(properties!A$1:CB$87,'Fórmula'!F82,55)),IF(INDEX(properties!A$1:CB$87,'Fórmula'!H82,55)&lt;&gt;"",INDEX(properties!A$1:CB$87,'Fórmula'!H82,55)),IF(INDEX(properties!A$1:CB$87,'Fórmula'!J82,55)&lt;&gt;"",INDEX(properties!A$1:CB$87,'Fórmula'!J82,55)))</f>
        <v>56.64187554</v>
      </c>
      <c r="FQ82" s="118">
        <f t="array" ref="FQ82">MAX(INDEX(properties!A$1:CB$87,'Fórmula'!B82,55),INDEX(properties!A$1:CB$87,'Fórmula'!D82,55),INDEX(properties!A$1:CB$87,'Fórmula'!F82,55),INDEX(properties!A$1:CB$87,'Fórmula'!H82,55),INDEX(properties!A$1:CB$87,'Fórmula'!J82,55))</f>
        <v>19.3</v>
      </c>
      <c r="FR82" s="118">
        <f t="array" ref="FR82">MIN(IF(INDEX(properties!A$1:CB$87,'Fórmula'!B82,55)=0,10^6,INDEX(properties!A$1:CB$87,'Fórmula'!B82,55)),IF(INDEX(properties!A$1:CB$87,'Fórmula'!D82,55)=0,10^6,INDEX(properties!A$1:CB$87,'Fórmula'!D82,55)),IF(INDEX(properties!A$1:CB$87,'Fórmula'!F82,55)=0,10^6,INDEX(properties!A$1:CB$87,'Fórmula'!F82,55)),IF(INDEX(properties!A$1:CB$87,'Fórmula'!H82,55)=0,10^6,INDEX(properties!A$1:CB$87,'Fórmula'!H82,55)),IF(INDEX(properties!A$1:CB$87,'Fórmula'!J82,55)=0,10^6,INDEX(properties!A$1:CB$87,'Fórmula'!J82,55)))</f>
        <v>0.00143</v>
      </c>
      <c r="FS82" s="118">
        <f t="shared" si="29"/>
        <v>19.29857</v>
      </c>
      <c r="FT82" s="119">
        <f t="array" ref="FT82">(('Fórmula'!C82)/('Fórmula'!C82+'Fórmula'!E82+'Fórmula'!G82+'Fórmula'!I82+'Fórmula'!K82))*(INDEX(properties!A$1:CB$87,'Fórmula'!B82,56))+(('Fórmula'!E82)/('Fórmula'!C82+'Fórmula'!E82+'Fórmula'!G82+'Fórmula'!I82+'Fórmula'!K82))*(INDEX(properties!A$1:CB$87,'Fórmula'!D82,56))+(('Fórmula'!G82)/('Fórmula'!C82+'Fórmula'!E82+'Fórmula'!G82+'Fórmula'!I82+'Fórmula'!K82))*(INDEX(properties!A$1:CB$87,'Fórmula'!F82,56))+(('Fórmula'!I82)/('Fórmula'!C82+'Fórmula'!E82+'Fórmula'!G82+'Fórmula'!I82+'Fórmula'!K82))*(INDEX(properties!A$1:CB$87,'Fórmula'!H82,56))+(('Fórmula'!K82)/('Fórmula'!C82+'Fórmula'!E82+'Fórmula'!G82+'Fórmula'!I82+'Fórmula'!K82))*(INDEX(properties!A$1:CB$87,'Fórmula'!J82,56))</f>
        <v>0.685</v>
      </c>
      <c r="FU82" s="119">
        <f t="array" ref="FU82">'Fórmula'!C82*(INDEX(properties!A$1:CB$87,'Fórmula'!B82,56))+'Fórmula'!E82*(INDEX(properties!A$1:CB$87,'Fórmula'!D82,56))+'Fórmula'!G82*(INDEX(properties!A$1:CB$87,'Fórmula'!F82,56))+'Fórmula'!I82*(INDEX(properties!A$1:CB$87,'Fórmula'!H82,56))+'Fórmula'!K82*(INDEX(properties!A$1:CB$87,'Fórmula'!J82,56))</f>
        <v>4.11</v>
      </c>
      <c r="FV82" s="119">
        <f t="array" ref="FV82">VARP(IF(INDEX(properties!A$1:CB$87,'Fórmula'!B82,56)&lt;&gt;"",INDEX(properties!A$1:CB$87,'Fórmula'!B82,56)),IF(INDEX(properties!A$1:CB$87,'Fórmula'!D82,56)&lt;&gt;"",INDEX(properties!A$1:CB$87,'Fórmula'!D82,56)),IF(INDEX(properties!A$1:CB$87,'Fórmula'!F82,56)&lt;&gt;"",INDEX(properties!A$1:CB$87,'Fórmula'!F82,56)),IF(INDEX(properties!A$1:CB$87,'Fórmula'!H82,56)&lt;&gt;"",INDEX(properties!A$1:CB$87,'Fórmula'!H82,56)),IF(INDEX(properties!A$1:CB$87,'Fórmula'!J82,56)&lt;&gt;"",INDEX(properties!A$1:CB$87,'Fórmula'!J82,56)))</f>
        <v>0.11776</v>
      </c>
      <c r="FW82" s="119">
        <f t="array" ref="FW82">MAX(INDEX(properties!A$1:CB$87,'Fórmula'!B82,56),INDEX(properties!A$1:CB$87,'Fórmula'!D82,56),INDEX(properties!A$1:CB$87,'Fórmula'!F82,56),INDEX(properties!A$1:CB$87,'Fórmula'!H82,56),INDEX(properties!A$1:CB$87,'Fórmula'!J82,56))</f>
        <v>0.92</v>
      </c>
      <c r="FX82" s="119">
        <f t="array" ref="FX82">MIN(IF(INDEX(properties!A$1:CB$87,'Fórmula'!B82,56)=0,10^6,INDEX(properties!A$1:CB$87,'Fórmula'!B82,56)),IF(INDEX(properties!A$1:CB$87,'Fórmula'!D82,56)=0,10^6,INDEX(properties!A$1:CB$87,'Fórmula'!D82,56)),IF(INDEX(properties!A$1:CB$87,'Fórmula'!F82,56)=0,10^6,INDEX(properties!A$1:CB$87,'Fórmula'!F82,56)),IF(INDEX(properties!A$1:CB$87,'Fórmula'!H82,56)=0,10^6,INDEX(properties!A$1:CB$87,'Fórmula'!H82,56)),IF(INDEX(properties!A$1:CB$87,'Fórmula'!J82,56)=0,10^6,INDEX(properties!A$1:CB$87,'Fórmula'!J82,56)))</f>
        <v>0.13</v>
      </c>
      <c r="FY82" s="119">
        <f t="shared" si="30"/>
        <v>0.79</v>
      </c>
      <c r="FZ82" s="104">
        <f t="array" ref="FZ82">(('Fórmula'!C82)/('Fórmula'!C82+'Fórmula'!E82+'Fórmula'!G82+'Fórmula'!I82+'Fórmula'!K82))*(INDEX(properties!A$1:CB$87,'Fórmula'!B82,57))+(('Fórmula'!E82)/('Fórmula'!C82+'Fórmula'!E82+'Fórmula'!G82+'Fórmula'!I82+'Fórmula'!K82))*(INDEX(properties!A$1:CB$87,'Fórmula'!D82,57))+(('Fórmula'!G82)/('Fórmula'!C82+'Fórmula'!E82+'Fórmula'!G82+'Fórmula'!I82+'Fórmula'!K82))*(INDEX(properties!A$1:CB$87,'Fórmula'!F82,57))+(('Fórmula'!I82)/('Fórmula'!C82+'Fórmula'!E82+'Fórmula'!G82+'Fórmula'!I82+'Fórmula'!K82))*(INDEX(properties!A$1:CB$87,'Fórmula'!H82,57))+(('Fórmula'!K82)/('Fórmula'!C82+'Fórmula'!E82+'Fórmula'!G82+'Fórmula'!I82+'Fórmula'!K82))*(INDEX(properties!A$1:CB$87,'Fórmula'!J82,57))</f>
        <v>7.431726667</v>
      </c>
      <c r="GA82" s="104">
        <f t="array" ref="GA82">'Fórmula'!C82*(INDEX(properties!A$1:CB$87,'Fórmula'!B82,57))+'Fórmula'!E82*(INDEX(properties!A$1:CB$87,'Fórmula'!D82,57))+'Fórmula'!G82*(INDEX(properties!A$1:CB$87,'Fórmula'!F82,57))+'Fórmula'!I82*(INDEX(properties!A$1:CB$87,'Fórmula'!H82,57))+'Fórmula'!K82*(INDEX(properties!A$1:CB$87,'Fórmula'!J82,57))</f>
        <v>44.59036</v>
      </c>
      <c r="GB82" s="104">
        <f t="array" ref="GB82">VARP(IF(INDEX(properties!A$1:CB$87,'Fórmula'!B82,57)&lt;&gt;"",INDEX(properties!A$1:CB$87,'Fórmula'!B82,57)),IF(INDEX(properties!A$1:CB$87,'Fórmula'!D82,57)&lt;&gt;"",INDEX(properties!A$1:CB$87,'Fórmula'!D82,57)),IF(INDEX(properties!A$1:CB$87,'Fórmula'!F82,57)&lt;&gt;"",INDEX(properties!A$1:CB$87,'Fórmula'!F82,57)),IF(INDEX(properties!A$1:CB$87,'Fórmula'!H82,57)&lt;&gt;"",INDEX(properties!A$1:CB$87,'Fórmula'!H82,57)),IF(INDEX(properties!A$1:CB$87,'Fórmula'!J82,57)&lt;&gt;"",INDEX(properties!A$1:CB$87,'Fórmula'!J82,57)))</f>
        <v>187.2521528</v>
      </c>
      <c r="GC82" s="104">
        <f t="array" ref="GC82">MAX(INDEX(properties!A$1:CB$87,'Fórmula'!B82,57),INDEX(properties!A$1:CB$87,'Fórmula'!D82,57),INDEX(properties!A$1:CB$87,'Fórmula'!F82,57),INDEX(properties!A$1:CB$87,'Fórmula'!H82,57),INDEX(properties!A$1:CB$87,'Fórmula'!J82,57))</f>
        <v>35.4</v>
      </c>
      <c r="GD82" s="104">
        <f t="array" ref="GD82">MIN(IF(INDEX(properties!A$1:CB$87,'Fórmula'!B82,57)=0,10^6,INDEX(properties!A$1:CB$87,'Fórmula'!B82,57)),IF(INDEX(properties!A$1:CB$87,'Fórmula'!D82,57)=0,10^6,INDEX(properties!A$1:CB$87,'Fórmula'!D82,57)),IF(INDEX(properties!A$1:CB$87,'Fórmula'!F82,57)=0,10^6,INDEX(properties!A$1:CB$87,'Fórmula'!F82,57)),IF(INDEX(properties!A$1:CB$87,'Fórmula'!H82,57)=0,10^6,INDEX(properties!A$1:CB$87,'Fórmula'!H82,57)),IF(INDEX(properties!A$1:CB$87,'Fórmula'!J82,57)=0,10^6,INDEX(properties!A$1:CB$87,'Fórmula'!J82,57)))</f>
        <v>0.22259</v>
      </c>
      <c r="GE82" s="104">
        <f t="shared" si="31"/>
        <v>35.17741</v>
      </c>
      <c r="GF82" s="105">
        <f t="array" ref="GF82">(('Fórmula'!C82)/('Fórmula'!C82+'Fórmula'!E82+'Fórmula'!G82+'Fórmula'!I82+'Fórmula'!K82))*(INDEX(properties!A$1:CB$87,'Fórmula'!B82,60))+(('Fórmula'!E82)/('Fórmula'!C82+'Fórmula'!E82+'Fórmula'!G82+'Fórmula'!I82+'Fórmula'!K82))*(INDEX(properties!A$1:CB$87,'Fórmula'!D82,60))+(('Fórmula'!G82)/('Fórmula'!C82+'Fórmula'!E82+'Fórmula'!G82+'Fórmula'!I82+'Fórmula'!K82))*(INDEX(properties!A$1:CB$87,'Fórmula'!F82,60))+(('Fórmula'!I82)/('Fórmula'!C82+'Fórmula'!E82+'Fórmula'!G82+'Fórmula'!I82+'Fórmula'!K82))*(INDEX(properties!A$1:CB$87,'Fórmula'!H82,60))+(('Fórmula'!K82)/('Fórmula'!C82+'Fórmula'!E82+'Fórmula'!G82+'Fórmula'!I82+'Fórmula'!K82))*(INDEX(properties!A$1:CB$87,'Fórmula'!J82,60))</f>
        <v>34.90116</v>
      </c>
      <c r="GG82" s="105">
        <f t="array" ref="GG82">'Fórmula'!C82*(INDEX(properties!A$1:CB$87,'Fórmula'!B82,60))+'Fórmula'!E82*(INDEX(properties!A$1:CB$87,'Fórmula'!D82,60))+'Fórmula'!G82*(INDEX(properties!A$1:CB$87,'Fórmula'!F82,60))+'Fórmula'!I82*(INDEX(properties!A$1:CB$87,'Fórmula'!H82,60))+'Fórmula'!K82*(INDEX(properties!A$1:CB$87,'Fórmula'!J82,60))</f>
        <v>209.40696</v>
      </c>
      <c r="GH82" s="105">
        <f t="array" ref="GH82">VARP(IF(INDEX(properties!A$1:CB$87,'Fórmula'!B82,60)&lt;&gt;"",INDEX(properties!A$1:CB$87,'Fórmula'!B82,60)),IF(INDEX(properties!A$1:CB$87,'Fórmula'!D82,60)&lt;&gt;"",INDEX(properties!A$1:CB$87,'Fórmula'!D82,60)),IF(INDEX(properties!A$1:CB$87,'Fórmula'!F82,60)&lt;&gt;"",INDEX(properties!A$1:CB$87,'Fórmula'!F82,60)),IF(INDEX(properties!A$1:CB$87,'Fórmula'!H82,60)&lt;&gt;"",INDEX(properties!A$1:CB$87,'Fórmula'!H82,60)),IF(INDEX(properties!A$1:CB$87,'Fórmula'!J82,60)&lt;&gt;"",INDEX(properties!A$1:CB$87,'Fórmula'!J82,60)))</f>
        <v>4551.71078</v>
      </c>
      <c r="GI82" s="105">
        <f t="array" ref="GI82">MAX(INDEX(properties!A$1:CB$87,'Fórmula'!B82,60),INDEX(properties!A$1:CB$87,'Fórmula'!D82,60),INDEX(properties!A$1:CB$87,'Fórmula'!F82,60),INDEX(properties!A$1:CB$87,'Fórmula'!H82,60),INDEX(properties!A$1:CB$87,'Fórmula'!J82,60))</f>
        <v>174</v>
      </c>
      <c r="GJ82" s="105">
        <f t="array" ref="GJ82">MIN(IF(INDEX(properties!A$1:CB$87,'Fórmula'!B82,60)=0,10^6,INDEX(properties!A$1:CB$87,'Fórmula'!B82,60)),IF(INDEX(properties!A$1:CB$87,'Fórmula'!D82,60)=0,10^6,INDEX(properties!A$1:CB$87,'Fórmula'!D82,60)),IF(INDEX(properties!A$1:CB$87,'Fórmula'!F82,60)=0,10^6,INDEX(properties!A$1:CB$87,'Fórmula'!F82,60)),IF(INDEX(properties!A$1:CB$87,'Fórmula'!H82,60)=0,10^6,INDEX(properties!A$1:CB$87,'Fórmula'!H82,60)),IF(INDEX(properties!A$1:CB$87,'Fórmula'!J82,60)=0,10^6,INDEX(properties!A$1:CB$87,'Fórmula'!J82,60)))</f>
        <v>0.02674</v>
      </c>
      <c r="GK82" s="105">
        <f t="shared" si="32"/>
        <v>173.97326</v>
      </c>
      <c r="GL82" s="106">
        <f t="array" ref="GL82">(('Fórmula'!C82)/('Fórmula'!C82+'Fórmula'!E82+'Fórmula'!G82+'Fórmula'!I82+'Fórmula'!K82))*(INDEX(properties!A$1:CB$87,'Fórmula'!B82,62))+(('Fórmula'!E82)/('Fórmula'!C82+'Fórmula'!E82+'Fórmula'!G82+'Fórmula'!I82+'Fórmula'!K82))*(INDEX(properties!A$1:CB$87,'Fórmula'!D82,62))+(('Fórmula'!G82)/('Fórmula'!C82+'Fórmula'!E82+'Fórmula'!G82+'Fórmula'!I82+'Fórmula'!K82))*(INDEX(properties!A$1:CB$87,'Fórmula'!F82,62))+(('Fórmula'!I82)/('Fórmula'!C82+'Fórmula'!E82+'Fórmula'!G82+'Fórmula'!I82+'Fórmula'!K82))*(INDEX(properties!A$1:CB$87,'Fórmula'!H82,62))+(('Fórmula'!K82)/('Fórmula'!C82+'Fórmula'!E82+'Fórmula'!G82+'Fórmula'!I82+'Fórmula'!K82))*(INDEX(properties!A$1:CB$87,'Fórmula'!J82,62))</f>
        <v>3.516666667</v>
      </c>
      <c r="GM82" s="106">
        <f t="array" ref="GM82">'Fórmula'!C82*(INDEX(properties!A$1:CB$87,'Fórmula'!B82,62))+'Fórmula'!E82*(INDEX(properties!A$1:CB$87,'Fórmula'!D82,62))+'Fórmula'!G82*(INDEX(properties!A$1:CB$87,'Fórmula'!F82,62))+'Fórmula'!I82*(INDEX(properties!A$1:CB$87,'Fórmula'!H82,62))+'Fórmula'!K82*(INDEX(properties!A$1:CB$87,'Fórmula'!J82,62))</f>
        <v>21.1</v>
      </c>
      <c r="GN82" s="106">
        <f t="array" ref="GN82">VARP(IF(INDEX(properties!A$1:CB$87,'Fórmula'!B82,62)&lt;&gt;"",INDEX(properties!A$1:CB$87,'Fórmula'!B82,62)),IF(INDEX(properties!A$1:CB$87,'Fórmula'!D82,62)&lt;&gt;"",INDEX(properties!A$1:CB$87,'Fórmula'!D82,62)),IF(INDEX(properties!A$1:CB$87,'Fórmula'!F82,62)&lt;&gt;"",INDEX(properties!A$1:CB$87,'Fórmula'!F82,62)),IF(INDEX(properties!A$1:CB$87,'Fórmula'!H82,62)&lt;&gt;"",INDEX(properties!A$1:CB$87,'Fórmula'!H82,62)),IF(INDEX(properties!A$1:CB$87,'Fórmula'!J82,62)&lt;&gt;"",INDEX(properties!A$1:CB$87,'Fórmula'!J82,62)))</f>
        <v>10.794656</v>
      </c>
      <c r="GO82" s="106">
        <f t="array" ref="GO82">MAX(INDEX(properties!A$1:CB$87,'Fórmula'!B82,62),INDEX(properties!A$1:CB$87,'Fórmula'!D82,62),INDEX(properties!A$1:CB$87,'Fórmula'!F82,62),INDEX(properties!A$1:CB$87,'Fórmula'!H82,62),INDEX(properties!A$1:CB$87,'Fórmula'!J82,62))</f>
        <v>8.9</v>
      </c>
      <c r="GP82" s="106">
        <f t="array" ref="GP82">MIN(IF(INDEX(properties!A$1:CB$87,'Fórmula'!B82,62)=0,10^6,INDEX(properties!A$1:CB$87,'Fórmula'!B82,62)),IF(INDEX(properties!A$1:CB$87,'Fórmula'!D82,62)=0,10^6,INDEX(properties!A$1:CB$87,'Fórmula'!D82,62)),IF(INDEX(properties!A$1:CB$87,'Fórmula'!F82,62)=0,10^6,INDEX(properties!A$1:CB$87,'Fórmula'!F82,62)),IF(INDEX(properties!A$1:CB$87,'Fórmula'!H82,62)=0,10^6,INDEX(properties!A$1:CB$87,'Fórmula'!H82,62)),IF(INDEX(properties!A$1:CB$87,'Fórmula'!J82,62)=0,10^6,INDEX(properties!A$1:CB$87,'Fórmula'!J82,62)))</f>
        <v>1.72</v>
      </c>
      <c r="GQ82" s="106">
        <f t="shared" si="33"/>
        <v>7.18</v>
      </c>
      <c r="GR82" s="106">
        <f>'Fórmula'!Q82</f>
        <v>14</v>
      </c>
      <c r="GS82" s="107">
        <f>'Fórmula'!P82</f>
        <v>6</v>
      </c>
      <c r="GT82" s="113">
        <f>'Fórmula'!O82</f>
        <v>8.8</v>
      </c>
      <c r="GU82" s="114">
        <f>AVERAGE('Fórmula'!R82/'Fórmula'!S82,'Fórmula'!S82/'Fórmula'!T82,'Fórmula'!T82/'Fórmula'!R82)</f>
        <v>1.033565316</v>
      </c>
      <c r="GV82" s="125">
        <f>'Fórmula'!U82</f>
        <v>153.11</v>
      </c>
      <c r="GW82" s="106">
        <f>'Fórmula'!N82</f>
        <v>0.12</v>
      </c>
    </row>
    <row r="83" ht="14.25" customHeight="1">
      <c r="A83" s="99" t="str">
        <f>'Fórmula'!A83</f>
        <v>NaCaPO4</v>
      </c>
      <c r="B83" s="100">
        <f t="array" ref="B83">(('Fórmula'!C83)/('Fórmula'!C83+'Fórmula'!E83+'Fórmula'!G83+'Fórmula'!I83+'Fórmula'!K83))*(INDEX(properties!A$1:CB$87,'Fórmula'!B83,3))+(('Fórmula'!E83)/('Fórmula'!C83+'Fórmula'!E83+'Fórmula'!G83+'Fórmula'!I83+'Fórmula'!K83))*(INDEX(properties!A$1:CB$87,'Fórmula'!D83,3))+(('Fórmula'!G83)/('Fórmula'!C83+'Fórmula'!E83+'Fórmula'!G83+'Fórmula'!I83+'Fórmula'!K83))*(INDEX(properties!A$1:CB$87,'Fórmula'!F83,3))+(('Fórmula'!I83)/('Fórmula'!C83+'Fórmula'!E83+'Fórmula'!G83+'Fórmula'!I83+'Fórmula'!K83))*(INDEX(properties!A$1:CB$87,'Fórmula'!H83,3))+(('Fórmula'!K83)/('Fórmula'!C83+'Fórmula'!E83+'Fórmula'!G83+'Fórmula'!I83+'Fórmula'!K83))*(INDEX(properties!A$1:CB$87,'Fórmula'!J83,3))</f>
        <v>22.57701857</v>
      </c>
      <c r="C83" s="101">
        <f t="array" ref="C83">'Fórmula'!C83*(INDEX(properties!A$1:CB$87,'Fórmula'!B83,3))+'Fórmula'!E83*(INDEX(properties!A$1:CB$87,'Fórmula'!D83,3))+'Fórmula'!G83*(INDEX(properties!A$1:CB$87,'Fórmula'!F83,3))+'Fórmula'!I83*(INDEX(properties!A$1:CB$87,'Fórmula'!H83,3))+'Fórmula'!K83*(INDEX(properties!A$1:CB$87,'Fórmula'!J83,3))</f>
        <v>158.03913</v>
      </c>
      <c r="D83" s="101">
        <f t="array" ref="D83">VARP(IF(INDEX(properties!A$1:CB$87,'Fórmula'!B83,3)&lt;&gt;"",INDEX(properties!A$1:CB$87,'Fórmula'!B83,3)),IF(INDEX(properties!A$1:CB$87,'Fórmula'!D83,3)&lt;&gt;"",INDEX(properties!A$1:CB$87,'Fórmula'!D83,3)),IF(INDEX(properties!A$1:CB$87,'Fórmula'!F83,3)&lt;&gt;"",INDEX(properties!A$1:CB$87,'Fórmula'!F83,3)),IF(INDEX(properties!A$1:CB$87,'Fórmula'!H83,3)&lt;&gt;"",INDEX(properties!A$1:CB$87,'Fórmula'!H83,3)),IF(INDEX(properties!A$1:CB$87,'Fórmula'!J83,3)&lt;&gt;"",INDEX(properties!A$1:CB$87,'Fórmula'!J83,3)))</f>
        <v>185.6657989</v>
      </c>
      <c r="E83" s="101">
        <f t="array" ref="E83">MAX(INDEX(properties!A$1:CB$87,'Fórmula'!B83,3),INDEX(properties!A$1:CB$87,'Fórmula'!D83,3),INDEX(properties!A$1:CB$87,'Fórmula'!F83,3),INDEX(properties!A$1:CB$87,'Fórmula'!H83,3),INDEX(properties!A$1:CB$87,'Fórmula'!J83,3))</f>
        <v>40.078</v>
      </c>
      <c r="F83" s="101">
        <f t="array" ref="F83">MIN(IF(INDEX(properties!A$1:CB$87,'Fórmula'!B83,3)=0,10^6,INDEX(properties!A$1:CB$87,'Fórmula'!B83,3)),IF(INDEX(properties!A$1:CB$87,'Fórmula'!D83,3)=0,10^6,INDEX(properties!A$1:CB$87,'Fórmula'!D83,3)),IF(INDEX(properties!A$1:CB$87,'Fórmula'!F83,3)=0,10^6,INDEX(properties!A$1:CB$87,'Fórmula'!F83,3)),IF(INDEX(properties!A$1:CB$87,'Fórmula'!H83,3)=0,10^6,INDEX(properties!A$1:CB$87,'Fórmula'!H83,3)),IF(INDEX(properties!A$1:CB$87,'Fórmula'!J83,3)=0,10^6,INDEX(properties!A$1:CB$87,'Fórmula'!J83,3)))</f>
        <v>15.9994</v>
      </c>
      <c r="G83" s="101">
        <f t="shared" si="1"/>
        <v>24.0786</v>
      </c>
      <c r="H83" s="102">
        <f t="array" ref="H83">(('Fórmula'!C83)/('Fórmula'!C83+'Fórmula'!E83+'Fórmula'!G83+'Fórmula'!I83+'Fórmula'!K83))*(INDEX(properties!A$1:CB$87,'Fórmula'!B83,4))+(('Fórmula'!E83)/('Fórmula'!C83+'Fórmula'!E83+'Fórmula'!G83+'Fórmula'!I83+'Fórmula'!K83))*(INDEX(properties!A$1:CB$87,'Fórmula'!D83,4))+(('Fórmula'!G83)/('Fórmula'!C83+'Fórmula'!E83+'Fórmula'!G83+'Fórmula'!I83+'Fórmula'!K83))*(INDEX(properties!A$1:CB$87,'Fórmula'!F83,4))+(('Fórmula'!I83)/('Fórmula'!C83+'Fórmula'!E83+'Fórmula'!G83+'Fórmula'!I83+'Fórmula'!K83))*(INDEX(properties!A$1:CB$87,'Fórmula'!H83,4))+(('Fórmula'!K83)/('Fórmula'!C83+'Fórmula'!E83+'Fórmula'!G83+'Fórmula'!I83+'Fórmula'!K83))*(INDEX(properties!A$1:CB$87,'Fórmula'!J83,4))</f>
        <v>11.14285714</v>
      </c>
      <c r="I83" s="102">
        <f t="array" ref="I83">'Fórmula'!C83*(INDEX(properties!A$1:CB$87,'Fórmula'!B83,4))+'Fórmula'!E83*(INDEX(properties!A$1:CB$87,'Fórmula'!D83,4))+'Fórmula'!G83*(INDEX(properties!A$1:CB$87,'Fórmula'!F83,4))+'Fórmula'!I83*(INDEX(properties!A$1:CB$87,'Fórmula'!H83,4))+'Fórmula'!K83*(INDEX(properties!A$1:CB$87,'Fórmula'!J83,4))</f>
        <v>78</v>
      </c>
      <c r="J83" s="102">
        <f t="array" ref="J83">VARP(IF(INDEX(properties!A$1:CB$87,'Fórmula'!B83,4)&lt;&gt;"",INDEX(properties!A$1:CB$87,'Fórmula'!B83,4)),IF(INDEX(properties!A$1:CB$87,'Fórmula'!D83,4)&lt;&gt;"",INDEX(properties!A$1:CB$87,'Fórmula'!D83,4)),IF(INDEX(properties!A$1:CB$87,'Fórmula'!F83,4)&lt;&gt;"",INDEX(properties!A$1:CB$87,'Fórmula'!F83,4)),IF(INDEX(properties!A$1:CB$87,'Fórmula'!H83,4)&lt;&gt;"",INDEX(properties!A$1:CB$87,'Fórmula'!H83,4)),IF(INDEX(properties!A$1:CB$87,'Fórmula'!J83,4)&lt;&gt;"",INDEX(properties!A$1:CB$87,'Fórmula'!J83,4)))</f>
        <v>45.36</v>
      </c>
      <c r="K83" s="102">
        <f t="array" ref="K83">MAX(INDEX(properties!A$1:CB$87,'Fórmula'!B83,4),INDEX(properties!A$1:CB$87,'Fórmula'!D83,4),INDEX(properties!A$1:CB$87,'Fórmula'!F83,4),INDEX(properties!A$1:CB$87,'Fórmula'!H83,4),INDEX(properties!A$1:CB$87,'Fórmula'!J83,4))</f>
        <v>20</v>
      </c>
      <c r="L83" s="102">
        <f t="array" ref="L83">MIN(IF(INDEX(properties!A$1:CB$87,'Fórmula'!B83,4)=0,10^6,INDEX(properties!A$1:CB$87,'Fórmula'!B83,4)),IF(INDEX(properties!A$1:CB$87,'Fórmula'!D83,4)=0,10^6,INDEX(properties!A$1:CB$87,'Fórmula'!D83,4)),IF(INDEX(properties!A$1:CB$87,'Fórmula'!F83,4)=0,10^6,INDEX(properties!A$1:CB$87,'Fórmula'!F83,4)),IF(INDEX(properties!A$1:CB$87,'Fórmula'!H83,4)=0,10^6,INDEX(properties!A$1:CB$87,'Fórmula'!H83,4)),IF(INDEX(properties!A$1:CB$87,'Fórmula'!J83,4)=0,10^6,INDEX(properties!A$1:CB$87,'Fórmula'!J83,4)))</f>
        <v>8</v>
      </c>
      <c r="M83" s="102">
        <f t="shared" si="2"/>
        <v>12</v>
      </c>
      <c r="N83" s="103">
        <f t="array" ref="N83">(('Fórmula'!C83)/('Fórmula'!C83+'Fórmula'!E83+'Fórmula'!G83+'Fórmula'!I83+'Fórmula'!K83))*(INDEX(properties!A$1:CB$87,'Fórmula'!B83,5))+(('Fórmula'!E83)/('Fórmula'!C83+'Fórmula'!E83+'Fórmula'!G83+'Fórmula'!I83+'Fórmula'!K83))*(INDEX(properties!A$1:CB$87,'Fórmula'!D83,5))+(('Fórmula'!G83)/('Fórmula'!C83+'Fórmula'!E83+'Fórmula'!G83+'Fórmula'!I83+'Fórmula'!K83))*(INDEX(properties!A$1:CB$87,'Fórmula'!F83,5))+(('Fórmula'!I83)/('Fórmula'!C83+'Fórmula'!E83+'Fórmula'!G83+'Fórmula'!I83+'Fórmula'!K83))*(INDEX(properties!A$1:CB$87,'Fórmula'!H83,5))+(('Fórmula'!K83)/('Fórmula'!C83+'Fórmula'!E83+'Fórmula'!G83+'Fórmula'!I83+'Fórmula'!K83))*(INDEX(properties!A$1:CB$87,'Fórmula'!J83,5))</f>
        <v>2.571428571</v>
      </c>
      <c r="O83" s="103">
        <f t="array" ref="O83">'Fórmula'!C83*(INDEX(properties!A$1:CB$87,'Fórmula'!B83,5))+'Fórmula'!E83*(INDEX(properties!A$1:CB$87,'Fórmula'!D83,5))+'Fórmula'!G83*(INDEX(properties!A$1:CB$87,'Fórmula'!F83,5))+'Fórmula'!I83*(INDEX(properties!A$1:CB$87,'Fórmula'!H83,5))+'Fórmula'!K83*(INDEX(properties!A$1:CB$87,'Fórmula'!J83,5))</f>
        <v>18</v>
      </c>
      <c r="P83" s="103">
        <f t="array" ref="P83">VARP(IF(INDEX(properties!A$1:CB$87,'Fórmula'!B83,5)&lt;&gt;"",INDEX(properties!A$1:CB$87,'Fórmula'!B83,5)),IF(INDEX(properties!A$1:CB$87,'Fórmula'!D83,5)&lt;&gt;"",INDEX(properties!A$1:CB$87,'Fórmula'!D83,5)),IF(INDEX(properties!A$1:CB$87,'Fórmula'!F83,5)&lt;&gt;"",INDEX(properties!A$1:CB$87,'Fórmula'!F83,5)),IF(INDEX(properties!A$1:CB$87,'Fórmula'!H83,5)&lt;&gt;"",INDEX(properties!A$1:CB$87,'Fórmula'!H83,5)),IF(INDEX(properties!A$1:CB$87,'Fórmula'!J83,5)&lt;&gt;"",INDEX(properties!A$1:CB$87,'Fórmula'!J83,5)))</f>
        <v>1.84</v>
      </c>
      <c r="Q83" s="103">
        <f t="array" ref="Q83">MAX(INDEX(properties!A$1:CB$87,'Fórmula'!B83,5),INDEX(properties!A$1:CB$87,'Fórmula'!D83,5),INDEX(properties!A$1:CB$87,'Fórmula'!F83,5),INDEX(properties!A$1:CB$87,'Fórmula'!H83,5),INDEX(properties!A$1:CB$87,'Fórmula'!J83,5))</f>
        <v>4</v>
      </c>
      <c r="R83" s="103">
        <f t="array" ref="R83">MIN(IF(INDEX(properties!A$1:CB$87,'Fórmula'!B83,5)=0,10^6,INDEX(properties!A$1:CB$87,'Fórmula'!B83,5)),IF(INDEX(properties!A$1:CB$87,'Fórmula'!D83,5)=0,10^6,INDEX(properties!A$1:CB$87,'Fórmula'!D83,5)),IF(INDEX(properties!A$1:CB$87,'Fórmula'!F83,5)=0,10^6,INDEX(properties!A$1:CB$87,'Fórmula'!F83,5)),IF(INDEX(properties!A$1:CB$87,'Fórmula'!H83,5)=0,10^6,INDEX(properties!A$1:CB$87,'Fórmula'!H83,5)),IF(INDEX(properties!A$1:CB$87,'Fórmula'!J83,5)=0,10^6,INDEX(properties!A$1:CB$87,'Fórmula'!J83,5)))</f>
        <v>2</v>
      </c>
      <c r="S83" s="103">
        <f t="shared" si="3"/>
        <v>2</v>
      </c>
      <c r="T83" s="104">
        <f t="array" ref="T83">(('Fórmula'!C83)/('Fórmula'!C83+'Fórmula'!E83+'Fórmula'!G83+'Fórmula'!I83+'Fórmula'!K83))*(INDEX(properties!A$1:CB$87,'Fórmula'!B83,6))+(('Fórmula'!E83)/('Fórmula'!C83+'Fórmula'!E83+'Fórmula'!G83+'Fórmula'!I83+'Fórmula'!K83))*(INDEX(properties!A$1:CB$87,'Fórmula'!D83,6))+(('Fórmula'!G83)/('Fórmula'!C83+'Fórmula'!E83+'Fórmula'!G83+'Fórmula'!I83+'Fórmula'!K83))*(INDEX(properties!A$1:CB$87,'Fórmula'!F83,6))+(('Fórmula'!I83)/('Fórmula'!C83+'Fórmula'!E83+'Fórmula'!G83+'Fórmula'!I83+'Fórmula'!K83))*(INDEX(properties!A$1:CB$87,'Fórmula'!H83,6))+(('Fórmula'!K83)/('Fórmula'!C83+'Fórmula'!E83+'Fórmula'!G83+'Fórmula'!I83+'Fórmula'!K83))*(INDEX(properties!A$1:CB$87,'Fórmula'!J83,6))</f>
        <v>11.71428571</v>
      </c>
      <c r="U83" s="104">
        <f t="array" ref="U83">'Fórmula'!C83*(INDEX(properties!A$1:CB$87,'Fórmula'!B83,6))+'Fórmula'!E83*(INDEX(properties!A$1:CB$87,'Fórmula'!D83,6))+'Fórmula'!G83*(INDEX(properties!A$1:CB$87,'Fórmula'!F83,6))+'Fórmula'!I83*(INDEX(properties!A$1:CB$87,'Fórmula'!H83,6))+'Fórmula'!K83*(INDEX(properties!A$1:CB$87,'Fórmula'!J83,6))</f>
        <v>82</v>
      </c>
      <c r="V83" s="103">
        <f t="array" ref="V83">VARP(IF(INDEX(properties!A$1:CB$87,'Fórmula'!B83,6)&lt;&gt;"",INDEX(properties!A$1:CB$87,'Fórmula'!B83,6)),IF(INDEX(properties!A$1:CB$87,'Fórmula'!D83,6)&lt;&gt;"",INDEX(properties!A$1:CB$87,'Fórmula'!D83,6)),IF(INDEX(properties!A$1:CB$87,'Fórmula'!F83,6)&lt;&gt;"",INDEX(properties!A$1:CB$87,'Fórmula'!F83,6)),IF(INDEX(properties!A$1:CB$87,'Fórmula'!H83,6)&lt;&gt;"",INDEX(properties!A$1:CB$87,'Fórmula'!H83,6)),IF(INDEX(properties!A$1:CB$87,'Fórmula'!J83,6)&lt;&gt;"",INDEX(properties!A$1:CB$87,'Fórmula'!J83,6)))</f>
        <v>50.96</v>
      </c>
      <c r="W83" s="104">
        <f t="array" ref="W83">MAX(INDEX(properties!A$1:CB$87,'Fórmula'!B83,6),INDEX(properties!A$1:CB$87,'Fórmula'!D83,6),INDEX(properties!A$1:CB$87,'Fórmula'!F83,6),INDEX(properties!A$1:CB$87,'Fórmula'!H83,4),INDEX(properties!A$1:CB$87,'Fórmula'!J83,6))</f>
        <v>15</v>
      </c>
      <c r="X83" s="104">
        <f t="array" ref="X83">MIN(IF(INDEX(properties!A$1:CB$87,'Fórmula'!B83,6)=0,10^6,INDEX(properties!A$1:CB$87,'Fórmula'!B83,6)),IF(INDEX(properties!A$1:CB$87,'Fórmula'!D83,6)=0,10^6,INDEX(properties!A$1:CB$87,'Fórmula'!D83,6)),IF(INDEX(properties!A$1:CB$87,'Fórmula'!F83,6)=0,10^6,INDEX(properties!A$1:CB$87,'Fórmula'!F83,6)),IF(INDEX(properties!A$1:CB$87,'Fórmula'!H83,6)=0,10^6,INDEX(properties!A$1:CB$87,'Fórmula'!H83,6)),IF(INDEX(properties!A$1:CB$87,'Fórmula'!J83,6)=0,10^6,INDEX(properties!A$1:CB$87,'Fórmula'!J83,6)))</f>
        <v>1</v>
      </c>
      <c r="Y83" s="104">
        <f t="shared" si="4"/>
        <v>14</v>
      </c>
      <c r="Z83" s="105">
        <f t="array" ref="Z83">(('Fórmula'!C83)/('Fórmula'!C83+'Fórmula'!E83+'Fórmula'!G83+'Fórmula'!I83+'Fórmula'!K83))*(INDEX(properties!A$1:CB$87,'Fórmula'!B83,9))+(('Fórmula'!E83)/('Fórmula'!C83+'Fórmula'!E83+'Fórmula'!G83+'Fórmula'!I83+'Fórmula'!K83))*(INDEX(properties!A$1:CB$87,'Fórmula'!D83,9))+(('Fórmula'!G83)/('Fórmula'!C83+'Fórmula'!E83+'Fórmula'!G83+'Fórmula'!I83+'Fórmula'!K83))*(INDEX(properties!A$1:CB$87,'Fórmula'!F83,9))+(('Fórmula'!I83)/('Fórmula'!C83+'Fórmula'!E83+'Fórmula'!G83+'Fórmula'!I83+'Fórmula'!K83))*(INDEX(properties!A$1:CB$87,'Fórmula'!H83,9))+(('Fórmula'!K83)/('Fórmula'!C83+'Fórmula'!E83+'Fórmula'!G83+'Fórmula'!I83+'Fórmula'!K83))*(INDEX(properties!A$1:CB$87,'Fórmula'!J83,9))</f>
        <v>62.85714286</v>
      </c>
      <c r="AA83" s="105">
        <f t="array" ref="AA83">'Fórmula'!C83*(INDEX(properties!A$1:CB$87,'Fórmula'!B83,9))+'Fórmula'!E83*(INDEX(properties!A$1:CB$87,'Fórmula'!D83,9))+'Fórmula'!G83*(INDEX(properties!A$1:CB$87,'Fórmula'!F83,9))+'Fórmula'!I83*(INDEX(properties!A$1:CB$87,'Fórmula'!H83,9))+'Fórmula'!K83*(INDEX(properties!A$1:CB$87,'Fórmula'!J83,9))</f>
        <v>440</v>
      </c>
      <c r="AB83" s="105">
        <f t="array" ref="AB83">VARP(IF(INDEX(properties!A$1:CB$87,'Fórmula'!B83,9)&lt;&gt;"",INDEX(properties!A$1:CB$87,'Fórmula'!B83,9)),IF(INDEX(properties!A$1:CB$87,'Fórmula'!D83,9)&lt;&gt;"",INDEX(properties!A$1:CB$87,'Fórmula'!D83,9)),IF(INDEX(properties!A$1:CB$87,'Fórmula'!F83,9)&lt;&gt;"",INDEX(properties!A$1:CB$87,'Fórmula'!F83,9)),IF(INDEX(properties!A$1:CB$87,'Fórmula'!H83,9)&lt;&gt;"",INDEX(properties!A$1:CB$87,'Fórmula'!H83,9)),IF(INDEX(properties!A$1:CB$87,'Fórmula'!J83,9)&lt;&gt;"",INDEX(properties!A$1:CB$87,'Fórmula'!J83,9)))</f>
        <v>1620.56</v>
      </c>
      <c r="AC83" s="105">
        <f t="array" ref="AC83">MAX(INDEX(properties!A$1:CB$87,'Fórmula'!B83,9),INDEX(properties!A$1:CB$87,'Fórmula'!D83,9),INDEX(properties!A$1:CB$87,'Fórmula'!F83,9),INDEX(properties!A$1:CB$87,'Fórmula'!H83,9),INDEX(properties!A$1:CB$87,'Fórmula'!J83,9))</f>
        <v>87</v>
      </c>
      <c r="AD83" s="105">
        <f t="array" ref="AD83">MIN(IF(INDEX(properties!A$1:CB$87,'Fórmula'!B83,9)=0,10^6,INDEX(properties!A$1:CB$87,'Fórmula'!B83,9)),IF(INDEX(properties!A$1:CB$87,'Fórmula'!D83,9)=0,10^6,INDEX(properties!A$1:CB$87,'Fórmula'!D83,9)),IF(INDEX(properties!A$1:CB$87,'Fórmula'!F83,9)=0,10^6,INDEX(properties!A$1:CB$87,'Fórmula'!F83,9)),IF(INDEX(properties!A$1:CB$87,'Fórmula'!H83,9)=0,10^6,INDEX(properties!A$1:CB$87,'Fórmula'!H83,9)),IF(INDEX(properties!A$1:CB$87,'Fórmula'!J83,9)=0,10^6,INDEX(properties!A$1:CB$87,'Fórmula'!J83,9)))</f>
        <v>2</v>
      </c>
      <c r="AE83" s="105">
        <f t="shared" si="5"/>
        <v>85</v>
      </c>
      <c r="AF83" s="106">
        <f t="array" ref="AF83">(('Fórmula'!C83)/('Fórmula'!C83+'Fórmula'!E83+'Fórmula'!G83+'Fórmula'!I83+'Fórmula'!K83))*(INDEX(properties!A$1:CB$87,'Fórmula'!B83,10))+(('Fórmula'!E83)/('Fórmula'!C83+'Fórmula'!E83+'Fórmula'!G83+'Fórmula'!I83+'Fórmula'!K83))*(INDEX(properties!A$1:CB$87,'Fórmula'!D83,10))+(('Fórmula'!G83)/('Fórmula'!C83+'Fórmula'!E83+'Fórmula'!G83+'Fórmula'!I83+'Fórmula'!K83))*(INDEX(properties!A$1:CB$87,'Fórmula'!F83,10))+(('Fórmula'!I83)/('Fórmula'!C83+'Fórmula'!E83+'Fórmula'!G83+'Fórmula'!I83+'Fórmula'!K83))*(INDEX(properties!A$1:CB$87,'Fórmula'!H83,10))+(('Fórmula'!K83)/('Fórmula'!C83+'Fórmula'!E83+'Fórmula'!G83+'Fórmula'!I83+'Fórmula'!K83))*(INDEX(properties!A$1:CB$87,'Fórmula'!J83,10))</f>
        <v>5.428571429</v>
      </c>
      <c r="AG83" s="106">
        <f t="array" ref="AG83">'Fórmula'!C83*(INDEX(properties!A$1:CB$87,'Fórmula'!B83,10))+'Fórmula'!E83*(INDEX(properties!A$1:CB$87,'Fórmula'!D83,10))+'Fórmula'!G83*(INDEX(properties!A$1:CB$87,'Fórmula'!F83,10))+'Fórmula'!I83*(INDEX(properties!A$1:CB$87,'Fórmula'!H83,10))+'Fórmula'!K83*(INDEX(properties!A$1:CB$87,'Fórmula'!J83,10))</f>
        <v>38</v>
      </c>
      <c r="AH83" s="106">
        <f t="array" ref="AH83">VARP(IF(INDEX(properties!A$1:CB$87,'Fórmula'!B83,10)&lt;&gt;"",INDEX(properties!A$1:CB$87,'Fórmula'!B83,10)),IF(INDEX(properties!A$1:CB$87,'Fórmula'!D83,10)&lt;&gt;"",INDEX(properties!A$1:CB$87,'Fórmula'!D83,10)),IF(INDEX(properties!A$1:CB$87,'Fórmula'!F83,10)&lt;&gt;"",INDEX(properties!A$1:CB$87,'Fórmula'!F83,10)),IF(INDEX(properties!A$1:CB$87,'Fórmula'!H83,10)&lt;&gt;"",INDEX(properties!A$1:CB$87,'Fórmula'!H83,10)),IF(INDEX(properties!A$1:CB$87,'Fórmula'!J83,10)&lt;&gt;"",INDEX(properties!A$1:CB$87,'Fórmula'!J83,10)))</f>
        <v>9.04</v>
      </c>
      <c r="AI83" s="106">
        <f t="array" ref="AI83">MAX(INDEX(properties!A$1:CB$87,'Fórmula'!B83,10),INDEX(properties!A$1:CB$87,'Fórmula'!D83,10),INDEX(properties!A$1:CB$87,'Fórmula'!F83,10),INDEX(properties!A$1:CB$87,'Fórmula'!H83,10),INDEX(properties!A$1:CB$87,'Fórmula'!J83,10))</f>
        <v>7</v>
      </c>
      <c r="AJ83" s="106">
        <f t="array" ref="AJ83">MIN(IF(INDEX(properties!A$1:CB$87,'Fórmula'!B83,10)=0,10^6,INDEX(properties!A$1:CB$87,'Fórmula'!B83,10)),IF(INDEX(properties!A$1:CB$87,'Fórmula'!D83,10)=0,10^6,INDEX(properties!A$1:CB$87,'Fórmula'!D83,10)),IF(INDEX(properties!A$1:CB$87,'Fórmula'!F83,10)=0,10^6,INDEX(properties!A$1:CB$87,'Fórmula'!F83,10)),IF(INDEX(properties!A$1:CB$87,'Fórmula'!H83,10)=0,10^6,INDEX(properties!A$1:CB$87,'Fórmula'!H83,10)),IF(INDEX(properties!A$1:CB$87,'Fórmula'!J83,10)=0,10^6,INDEX(properties!A$1:CB$87,'Fórmula'!J83,10)))</f>
        <v>1</v>
      </c>
      <c r="AK83" s="106">
        <f t="shared" si="6"/>
        <v>6</v>
      </c>
      <c r="AL83" s="107">
        <f t="array" ref="AL83">(('Fórmula'!C83)/('Fórmula'!C83+'Fórmula'!E83+'Fórmula'!G83+'Fórmula'!I83+'Fórmula'!K83))*(INDEX(properties!A$1:CB$87,'Fórmula'!B83,11))+(('Fórmula'!E83)/('Fórmula'!C83+'Fórmula'!E83+'Fórmula'!G83+'Fórmula'!I83+'Fórmula'!K83))*(INDEX(properties!A$1:CB$87,'Fórmula'!D83,11))+(('Fórmula'!G83)/('Fórmula'!C83+'Fórmula'!E83+'Fórmula'!G83+'Fórmula'!I83+'Fórmula'!K83))*(INDEX(properties!A$1:CB$87,'Fórmula'!F83,11))+(('Fórmula'!I83)/('Fórmula'!C83+'Fórmula'!E83+'Fórmula'!G83+'Fórmula'!I83+'Fórmula'!K83))*(INDEX(properties!A$1:CB$87,'Fórmula'!H83,11))+(('Fórmula'!K83)/('Fórmula'!C83+'Fórmula'!E83+'Fórmula'!G83+'Fórmula'!I83+'Fórmula'!K83))*(INDEX(properties!A$1:CB$87,'Fórmula'!J83,11))</f>
        <v>1.857142857</v>
      </c>
      <c r="AM83" s="107">
        <f t="array" ref="AM83">'Fórmula'!C83*(INDEX(properties!A$1:CB$87,'Fórmula'!B83,11))+'Fórmula'!E83*(INDEX(properties!A$1:CB$87,'Fórmula'!D83,11))+'Fórmula'!G83*(INDEX(properties!A$1:CB$87,'Fórmula'!F83,11))+'Fórmula'!I83*(INDEX(properties!A$1:CB$87,'Fórmula'!H83,11))+'Fórmula'!K83*(INDEX(properties!A$1:CB$87,'Fórmula'!J83,11))</f>
        <v>13</v>
      </c>
      <c r="AN83" s="107">
        <f t="array" ref="AN83">VARP(IF(INDEX(properties!A$1:CB$87,'Fórmula'!B83,11)&lt;&gt;"",INDEX(properties!A$1:CB$87,'Fórmula'!B83,11)),IF(INDEX(properties!A$1:CB$87,'Fórmula'!D83,11)&lt;&gt;"",INDEX(properties!A$1:CB$87,'Fórmula'!D83,11)),IF(INDEX(properties!A$1:CB$87,'Fórmula'!F83,11)&lt;&gt;"",INDEX(properties!A$1:CB$87,'Fórmula'!F83,11)),IF(INDEX(properties!A$1:CB$87,'Fórmula'!H83,11)&lt;&gt;"",INDEX(properties!A$1:CB$87,'Fórmula'!H83,11)),IF(INDEX(properties!A$1:CB$87,'Fórmula'!J83,11)&lt;&gt;"",INDEX(properties!A$1:CB$87,'Fórmula'!J83,11)))</f>
        <v>0.64</v>
      </c>
      <c r="AO83" s="107">
        <f t="array" ref="AO83">MAX(INDEX(properties!A$1:CB$87,'Fórmula'!B83,11),INDEX(properties!A$1:CB$87,'Fórmula'!D83,11),INDEX(properties!A$1:CB$87,'Fórmula'!F83,11),INDEX(properties!A$1:CB$87,'Fórmula'!H83,11),INDEX(properties!A$1:CB$87,'Fórmula'!J83,11))</f>
        <v>2</v>
      </c>
      <c r="AP83" s="107">
        <f t="array" ref="AP83">MIN(IF('Fórmula'!B83=87,10^6,INDEX(properties!A$1:CB$87,'Fórmula'!B83,11)),IF(('Fórmula'!D83)=87,10^6,INDEX(properties!A$1:CB$87,'Fórmula'!D83,11)),IF(('Fórmula'!F83)=87,10^6,INDEX(properties!A$1:CB$87,'Fórmula'!F83,11)),IF(('Fórmula'!H83)=87,10^6,INDEX(properties!A$1:CB$87,'Fórmula'!H83,11)),IF('Fórmula'!J83=87,10^6,INDEX(properties!A$1:CB$87,'Fórmula'!J83,11)))</f>
        <v>1</v>
      </c>
      <c r="AQ83" s="107">
        <f t="shared" si="7"/>
        <v>1</v>
      </c>
      <c r="AR83" s="108">
        <f t="array" ref="AR83">(('Fórmula'!C83)/('Fórmula'!C83+'Fórmula'!E83+'Fórmula'!G83+'Fórmula'!I83+'Fórmula'!K83))*(INDEX(properties!A$1:CB$87,'Fórmula'!B83,12))+(('Fórmula'!E83)/('Fórmula'!C83+'Fórmula'!E83+'Fórmula'!G83+'Fórmula'!I83+'Fórmula'!K83))*(INDEX(properties!A$1:CB$87,'Fórmula'!D83,12))+(('Fórmula'!G83)/('Fórmula'!C83+'Fórmula'!E83+'Fórmula'!G83+'Fórmula'!I83+'Fórmula'!K83))*(INDEX(properties!A$1:CB$87,'Fórmula'!F83,12))+(('Fórmula'!I83)/('Fórmula'!C83+'Fórmula'!E83+'Fórmula'!G83+'Fórmula'!I83+'Fórmula'!K83))*(INDEX(properties!A$1:CB$87,'Fórmula'!H83,12))+(('Fórmula'!K83)/('Fórmula'!C83+'Fórmula'!E83+'Fórmula'!G83+'Fórmula'!I83+'Fórmula'!K83))*(INDEX(properties!A$1:CB$87,'Fórmula'!J83,12))</f>
        <v>2.714285714</v>
      </c>
      <c r="AS83" s="108">
        <f t="array" ref="AS83">'Fórmula'!C83*(INDEX(properties!A$1:CB$87,'Fórmula'!B83,12))+'Fórmula'!E83*(INDEX(properties!A$1:CB$87,'Fórmula'!D83,12))+'Fórmula'!G83*(INDEX(properties!A$1:CB$87,'Fórmula'!F83,12))+'Fórmula'!I83*(INDEX(properties!A$1:CB$87,'Fórmula'!H83,12))+'Fórmula'!K83*(INDEX(properties!A$1:CB$87,'Fórmula'!J83,12))</f>
        <v>19</v>
      </c>
      <c r="AT83" s="108">
        <f t="array" ref="AT83">VARP(IF(INDEX(properties!A$1:CB$87,'Fórmula'!B83,12)&lt;&gt;"",INDEX(properties!A$1:CB$87,'Fórmula'!B83,12)),IF(INDEX(properties!A$1:CB$87,'Fórmula'!D83,12)&lt;&gt;"",INDEX(properties!A$1:CB$87,'Fórmula'!D83,12)),IF(INDEX(properties!A$1:CB$87,'Fórmula'!F83,12)&lt;&gt;"",INDEX(properties!A$1:CB$87,'Fórmula'!F83,12)),IF(INDEX(properties!A$1:CB$87,'Fórmula'!H83,12)&lt;&gt;"",INDEX(properties!A$1:CB$87,'Fórmula'!H83,12)),IF(INDEX(properties!A$1:CB$87,'Fórmula'!J83,12)&lt;&gt;"",INDEX(properties!A$1:CB$87,'Fórmula'!J83,12)))</f>
        <v>3.04</v>
      </c>
      <c r="AU83" s="108">
        <f t="array" ref="AU83">MAX(INDEX(properties!A$1:CB$87,'Fórmula'!B83,12),INDEX(properties!A$1:CB$87,'Fórmula'!D83,12),INDEX(properties!A$1:CB$87,'Fórmula'!F83,12),INDEX(properties!A$1:CB$87,'Fórmula'!H83,12),INDEX(properties!A$1:CB$87,'Fórmula'!J83,12))</f>
        <v>4</v>
      </c>
      <c r="AV83" s="108">
        <f t="array" ref="AV83">MIN(IF('Fórmula'!B83=87,10^6,INDEX(properties!A$1:CB$87,'Fórmula'!B83,12)),IF(('Fórmula'!D83)=87,10^6,INDEX(properties!A$1:CB$87,'Fórmula'!D83,12)),IF(('Fórmula'!F83)=87,10^6,INDEX(properties!A$1:CB$87,'Fórmula'!F83,12)),IF(('Fórmula'!H83)=87,10^6,INDEX(properties!A$1:CB$87,'Fórmula'!H83,12)),IF('Fórmula'!J83=87,10^6,INDEX(properties!A$1:CB$87,'Fórmula'!J83,12)))</f>
        <v>0</v>
      </c>
      <c r="AW83" s="108">
        <f t="shared" si="8"/>
        <v>4</v>
      </c>
      <c r="AX83" s="109">
        <f t="array" ref="AX83">(('Fórmula'!C83)/('Fórmula'!C83+'Fórmula'!E83+'Fórmula'!G83+'Fórmula'!I83+'Fórmula'!K83))*(INDEX(properties!A$1:CB$87,'Fórmula'!B83,13))+(('Fórmula'!E83)/('Fórmula'!C83+'Fórmula'!E83+'Fórmula'!G83+'Fórmula'!I83+'Fórmula'!K83))*(INDEX(properties!A$1:CB$87,'Fórmula'!D83,13))+(('Fórmula'!G83)/('Fórmula'!C83+'Fórmula'!E83+'Fórmula'!G83+'Fórmula'!I83+'Fórmula'!K83))*(INDEX(properties!A$1:CB$87,'Fórmula'!F83,13))+(('Fórmula'!I83)/('Fórmula'!C83+'Fórmula'!E83+'Fórmula'!G83+'Fórmula'!I83+'Fórmula'!K83))*(INDEX(properties!A$1:CB$87,'Fórmula'!H83,13))+(('Fórmula'!K83)/('Fórmula'!C83+'Fórmula'!E83+'Fórmula'!G83+'Fórmula'!I83+'Fórmula'!K83))*(INDEX(properties!A$1:CB$87,'Fórmula'!J83,13))</f>
        <v>0</v>
      </c>
      <c r="AY83" s="109">
        <f t="array" ref="AY83">'Fórmula'!C83*(INDEX(properties!A$1:CB$87,'Fórmula'!B83,13))+'Fórmula'!E83*(INDEX(properties!A$1:CB$87,'Fórmula'!D83,13))+'Fórmula'!G83*(INDEX(properties!A$1:CB$87,'Fórmula'!F83,13))+'Fórmula'!I83*(INDEX(properties!A$1:CB$87,'Fórmula'!H83,13))+'Fórmula'!K83*(INDEX(properties!A$1:CB$87,'Fórmula'!J83,13))</f>
        <v>0</v>
      </c>
      <c r="AZ83" s="109">
        <f t="array" ref="AZ83">VARP(IF(INDEX(properties!A$1:CB$87,'Fórmula'!B83,13)&lt;&gt;"",INDEX(properties!A$1:CB$87,'Fórmula'!B83,13)),IF(INDEX(properties!A$1:CB$87,'Fórmula'!D83,13)&lt;&gt;"",INDEX(properties!A$1:CB$87,'Fórmula'!D83,13)),IF(INDEX(properties!A$1:CB$87,'Fórmula'!F83,13)&lt;&gt;"",INDEX(properties!A$1:CB$87,'Fórmula'!F83,13)),IF(INDEX(properties!A$1:CB$87,'Fórmula'!H83,13)&lt;&gt;"",INDEX(properties!A$1:CB$87,'Fórmula'!H83,13)),IF(INDEX(properties!A$1:CB$87,'Fórmula'!J83,13)&lt;&gt;"",INDEX(properties!A$1:CB$87,'Fórmula'!J83,13)))</f>
        <v>0</v>
      </c>
      <c r="BA83" s="109">
        <f t="array" ref="BA83">MAX(INDEX(properties!A$1:CB$87,'Fórmula'!B83,13),INDEX(properties!A$1:CB$87,'Fórmula'!D83,13),INDEX(properties!A$1:CB$87,'Fórmula'!F83,13),INDEX(properties!A$1:CB$87,'Fórmula'!H83,13),INDEX(properties!A$1:CB$87,'Fórmula'!J83,13))</f>
        <v>0</v>
      </c>
      <c r="BB83" s="109">
        <f t="array" ref="BB83">MIN(IF('Fórmula'!B83=87,10^6,INDEX(properties!A$1:CB$87,'Fórmula'!B83,13)),IF(('Fórmula'!D83)=87,10^6,INDEX(properties!A$1:CB$87,'Fórmula'!D83,13)),IF(('Fórmula'!F83)=87,10^6,INDEX(properties!A$1:CB$87,'Fórmula'!F83,13)),IF(('Fórmula'!H83)=87,10^6,INDEX(properties!A$1:CB$87,'Fórmula'!H83,13)),IF('Fórmula'!J83=87,10^6,INDEX(properties!A$1:CB$87,'Fórmula'!J83,13)))</f>
        <v>0</v>
      </c>
      <c r="BC83" s="109">
        <f t="shared" si="9"/>
        <v>0</v>
      </c>
      <c r="BD83" s="110">
        <f t="array" ref="BD83">(('Fórmula'!C83)/('Fórmula'!C83+'Fórmula'!E83+'Fórmula'!G83+'Fórmula'!I83+'Fórmula'!K83))*(INDEX(properties!A$1:CB$87,'Fórmula'!B83,14))+(('Fórmula'!E83)/('Fórmula'!C83+'Fórmula'!E83+'Fórmula'!G83+'Fórmula'!I83+'Fórmula'!K83))*(INDEX(properties!A$1:CB$87,'Fórmula'!D83,14))+(('Fórmula'!G83)/('Fórmula'!C83+'Fórmula'!E83+'Fórmula'!G83+'Fórmula'!I83+'Fórmula'!K83))*(INDEX(properties!A$1:CB$87,'Fórmula'!F83,14))+(('Fórmula'!I83)/('Fórmula'!C83+'Fórmula'!E83+'Fórmula'!G83+'Fórmula'!I83+'Fórmula'!K83))*(INDEX(properties!A$1:CB$87,'Fórmula'!H83,14))+(('Fórmula'!K83)/('Fórmula'!C83+'Fórmula'!E83+'Fórmula'!G83+'Fórmula'!I83+'Fórmula'!K83))*(INDEX(properties!A$1:CB$87,'Fórmula'!J83,14))</f>
        <v>0</v>
      </c>
      <c r="BE83" s="110">
        <f t="array" ref="BE83">'Fórmula'!C83*(INDEX(properties!A$1:CB$87,'Fórmula'!B83,14))+'Fórmula'!E83*(INDEX(properties!A$1:CB$87,'Fórmula'!D83,14))+'Fórmula'!G83*(INDEX(properties!A$1:CB$87,'Fórmula'!F83,14))+'Fórmula'!I83*(INDEX(properties!A$1:CB$87,'Fórmula'!H83,14))+'Fórmula'!K83*(INDEX(properties!A$1:CB$87,'Fórmula'!J83,14))</f>
        <v>0</v>
      </c>
      <c r="BF83" s="110">
        <f t="array" ref="BF83">VARP(IF(INDEX(properties!A$1:CB$87,'Fórmula'!B83,14)&lt;&gt;"",INDEX(properties!A$1:CB$87,'Fórmula'!B83,14)),IF(INDEX(properties!A$1:CB$87,'Fórmula'!D83,14)&lt;&gt;"",INDEX(properties!A$1:CB$87,'Fórmula'!D83,14)),IF(INDEX(properties!A$1:CB$87,'Fórmula'!F83,14)&lt;&gt;"",INDEX(properties!A$1:CB$87,'Fórmula'!F83,14)),IF(INDEX(properties!A$1:CB$87,'Fórmula'!H83,14)&lt;&gt;"",INDEX(properties!A$1:CB$87,'Fórmula'!H83,14)),IF(INDEX(properties!A$1:CB$87,'Fórmula'!J83,14)&lt;&gt;"",INDEX(properties!A$1:CB$87,'Fórmula'!J83,14)))</f>
        <v>0</v>
      </c>
      <c r="BG83" s="110">
        <f t="array" ref="BG83">MAX(INDEX(properties!A$1:CB$87,'Fórmula'!B83,14),INDEX(properties!A$1:CB$87,'Fórmula'!D83,14),INDEX(properties!A$1:CB$87,'Fórmula'!F83,14),INDEX(properties!A$1:CB$87,'Fórmula'!H83,14),INDEX(properties!A$1:CB$87,'Fórmula'!J83,14))</f>
        <v>0</v>
      </c>
      <c r="BH83" s="110">
        <f t="array" ref="BH83">MIN(IF('Fórmula'!B83=87,10^6,INDEX(properties!A$1:CB$87,'Fórmula'!B83,14)),IF(('Fórmula'!D83)=87,10^6,INDEX(properties!A$1:CB$87,'Fórmula'!D83,14)),IF(('Fórmula'!F83)=87,10^6,INDEX(properties!A$1:CB$87,'Fórmula'!F83,14)),IF(('Fórmula'!H83)=87,10^6,INDEX(properties!A$1:CB$87,'Fórmula'!H83,14)),IF('Fórmula'!J83=87,10^6,INDEX(properties!A$1:CB$87,'Fórmula'!J83,14)))</f>
        <v>0</v>
      </c>
      <c r="BI83" s="110">
        <f t="shared" si="10"/>
        <v>0</v>
      </c>
      <c r="BJ83" s="111">
        <f t="array" ref="BJ83">(('Fórmula'!C83)/('Fórmula'!C83+'Fórmula'!E83+'Fórmula'!G83+'Fórmula'!I83+'Fórmula'!K83))*(INDEX(properties!A$1:CB$87,'Fórmula'!B83,19))+(('Fórmula'!E83)/('Fórmula'!C83+'Fórmula'!E83+'Fórmula'!G83+'Fórmula'!I83+'Fórmula'!K83))*(INDEX(properties!A$1:CB$87,'Fórmula'!D83,19))+(('Fórmula'!G83)/('Fórmula'!C83+'Fórmula'!E83+'Fórmula'!G83+'Fórmula'!I83+'Fórmula'!K83))*(INDEX(properties!A$1:CB$87,'Fórmula'!F83,19))+(('Fórmula'!I83)/('Fórmula'!C83+'Fórmula'!E83+'Fórmula'!G83+'Fórmula'!I83+'Fórmula'!K83))*(INDEX(properties!A$1:CB$87,'Fórmula'!H83,19))+(('Fórmula'!K83)/('Fórmula'!C83+'Fórmula'!E83+'Fórmula'!G83+'Fórmula'!I83+'Fórmula'!K83))*(INDEX(properties!A$1:CB$87,'Fórmula'!J83,19))</f>
        <v>4.571428571</v>
      </c>
      <c r="BK83" s="111">
        <f t="array" ref="BK83">'Fórmula'!C83*(INDEX(properties!A$1:CB$87,'Fórmula'!B83,19))+'Fórmula'!E83*(INDEX(properties!A$1:CB$87,'Fórmula'!D83,19))+'Fórmula'!G83*(INDEX(properties!A$1:CB$87,'Fórmula'!F83,19))+'Fórmula'!I83*(INDEX(properties!A$1:CB$87,'Fórmula'!H83,19))+'Fórmula'!K83*(INDEX(properties!A$1:CB$87,'Fórmula'!J83,19))</f>
        <v>32</v>
      </c>
      <c r="BL83" s="111">
        <f t="array" ref="BL83">VARP(IF(INDEX(properties!A$1:CB$87,'Fórmula'!B83,19)&lt;&gt;"",INDEX(properties!A$1:CB$87,'Fórmula'!B83,19)),IF(INDEX(properties!A$1:CB$87,'Fórmula'!D83,19)&lt;&gt;"",INDEX(properties!A$1:CB$87,'Fórmula'!D83,19)),IF(INDEX(properties!A$1:CB$87,'Fórmula'!F83,19)&lt;&gt;"",INDEX(properties!A$1:CB$87,'Fórmula'!F83,19)),IF(INDEX(properties!A$1:CB$87,'Fórmula'!H83,19)&lt;&gt;"",INDEX(properties!A$1:CB$87,'Fórmula'!H83,19)),IF(INDEX(properties!A$1:CB$87,'Fórmula'!J83,19)&lt;&gt;"",INDEX(properties!A$1:CB$87,'Fórmula'!J83,19)))</f>
        <v>5.36</v>
      </c>
      <c r="BM83" s="111">
        <f t="array" ref="BM83">MAX(INDEX(properties!A$1:CB$87,'Fórmula'!B83,19),INDEX(properties!A$1:CB$87,'Fórmula'!D83,19),INDEX(properties!A$1:CB$87,'Fórmula'!F83,19),INDEX(properties!A$1:CB$87,'Fórmula'!H83,19),INDEX(properties!A$1:CB$87,'Fórmula'!J83,19))</f>
        <v>6</v>
      </c>
      <c r="BN83" s="111">
        <f t="array" ref="BN83">MIN(IF(INDEX(properties!A$1:CB$87,'Fórmula'!B83,19)=0,10^6,INDEX(properties!A$1:CB$87,'Fórmula'!B83,19)),IF(INDEX(properties!A$1:CB$87,'Fórmula'!D83,19)=0,10^6,INDEX(properties!A$1:CB$87,'Fórmula'!D83,19)),IF(INDEX(properties!A$1:CB$87,'Fórmula'!F83,19)=0,10^6,INDEX(properties!A$1:CB$87,'Fórmula'!F83,19)),IF(INDEX(properties!A$1:CB$87,'Fórmula'!H83,19)=0,10^6,INDEX(properties!A$1:CB$87,'Fórmula'!H83,19)),IF(INDEX(properties!A$1:CB$87,'Fórmula'!J83,19)=0,10^6,INDEX(properties!A$1:CB$87,'Fórmula'!J83,19)))</f>
        <v>1</v>
      </c>
      <c r="BO83" s="111">
        <f t="shared" si="11"/>
        <v>5</v>
      </c>
      <c r="BP83" s="112">
        <f t="array" ref="BP83">(('Fórmula'!C83)/('Fórmula'!C83+'Fórmula'!E83+'Fórmula'!G83+'Fórmula'!I83+'Fórmula'!K83))*(INDEX(properties!A$1:CB$87,'Fórmula'!B83,20))+(('Fórmula'!E83)/('Fórmula'!C83+'Fórmula'!E83+'Fórmula'!G83+'Fórmula'!I83+'Fórmula'!K83))*(INDEX(properties!A$1:CB$87,'Fórmula'!D83,20))+(('Fórmula'!G83)/('Fórmula'!C83+'Fórmula'!E83+'Fórmula'!G83+'Fórmula'!I83+'Fórmula'!K83))*(INDEX(properties!A$1:CB$87,'Fórmula'!F83,20))+(('Fórmula'!I83)/('Fórmula'!C83+'Fórmula'!E83+'Fórmula'!G83+'Fórmula'!I83+'Fórmula'!K83))*(INDEX(properties!A$1:CB$87,'Fórmula'!H83,20))+(('Fórmula'!K83)/('Fórmula'!C83+'Fórmula'!E83+'Fórmula'!G83+'Fórmula'!I83+'Fórmula'!K83))*(INDEX(properties!A$1:CB$87,'Fórmula'!J83,20))</f>
        <v>4.571428571</v>
      </c>
      <c r="BQ83" s="112">
        <f t="array" ref="BQ83">'Fórmula'!C83*(INDEX(properties!A$1:CB$87,'Fórmula'!B83,20))+'Fórmula'!E83*(INDEX(properties!A$1:CB$87,'Fórmula'!D83,20))+'Fórmula'!G83*(INDEX(properties!A$1:CB$87,'Fórmula'!F83,20))+'Fórmula'!I83*(INDEX(properties!A$1:CB$87,'Fórmula'!H83,20))+'Fórmula'!K83*(INDEX(properties!A$1:CB$87,'Fórmula'!J83,20))</f>
        <v>32</v>
      </c>
      <c r="BR83" s="112">
        <f t="array" ref="BR83">VARP(IF(INDEX(properties!A$1:CB$87,'Fórmula'!B83,20)&lt;&gt;"",INDEX(properties!A$1:CB$87,'Fórmula'!B83,20)),IF(INDEX(properties!A$1:CB$87,'Fórmula'!D83,20)&lt;&gt;"",INDEX(properties!A$1:CB$87,'Fórmula'!D83,20)),IF(INDEX(properties!A$1:CB$87,'Fórmula'!F83,20)&lt;&gt;"",INDEX(properties!A$1:CB$87,'Fórmula'!F83,20)),IF(INDEX(properties!A$1:CB$87,'Fórmula'!H83,20)&lt;&gt;"",INDEX(properties!A$1:CB$87,'Fórmula'!H83,20)),IF(INDEX(properties!A$1:CB$87,'Fórmula'!J83,20)&lt;&gt;"",INDEX(properties!A$1:CB$87,'Fórmula'!J83,20)))</f>
        <v>5.36</v>
      </c>
      <c r="BS83" s="112">
        <f t="array" ref="BS83">MAX(INDEX(properties!A$1:CB$87,'Fórmula'!B83,20),INDEX(properties!A$1:CB$87,'Fórmula'!D83,20),INDEX(properties!A$1:CB$87,'Fórmula'!F83,20),INDEX(properties!A$1:CB$87,'Fórmula'!H83,20),INDEX(properties!A$1:CB$87,'Fórmula'!J83,20))</f>
        <v>6</v>
      </c>
      <c r="BT83" s="112">
        <f t="array" ref="BT83">MIN(IF(INDEX(properties!A$1:CB$87,'Fórmula'!B83,20)=0,10^6,INDEX(properties!A$1:CB$87,'Fórmula'!B83,20)),IF(INDEX(properties!A$1:CB$87,'Fórmula'!D83,20)=0,10^6,INDEX(properties!A$1:CB$87,'Fórmula'!D83,20)),IF(INDEX(properties!A$1:CB$87,'Fórmula'!F83,20)=0,10^6,INDEX(properties!A$1:CB$87,'Fórmula'!F83,20)),IF(INDEX(properties!A$1:CB$87,'Fórmula'!H83,20)=0,10^6,INDEX(properties!A$1:CB$87,'Fórmula'!H83,20)),IF(INDEX(properties!A$1:CB$87,'Fórmula'!J83,20)=0,10^6,INDEX(properties!A$1:CB$87,'Fórmula'!J83,20)))</f>
        <v>1</v>
      </c>
      <c r="BU83" s="112">
        <f t="shared" si="12"/>
        <v>5</v>
      </c>
      <c r="BV83" s="113">
        <f t="array" ref="BV83">(('Fórmula'!C83)/('Fórmula'!C83+'Fórmula'!E83+'Fórmula'!G83+'Fórmula'!I83+'Fórmula'!K83))*(INDEX(properties!A$1:CB$87,'Fórmula'!B83,21))+(('Fórmula'!E83)/('Fórmula'!C83+'Fórmula'!E83+'Fórmula'!G83+'Fórmula'!I83+'Fórmula'!K83))*(INDEX(properties!A$1:CB$87,'Fórmula'!D83,21))+(('Fórmula'!G83)/('Fórmula'!C83+'Fórmula'!E83+'Fórmula'!G83+'Fórmula'!I83+'Fórmula'!K83))*(INDEX(properties!A$1:CB$87,'Fórmula'!F83,21))+(('Fórmula'!I83)/('Fórmula'!C83+'Fórmula'!E83+'Fórmula'!G83+'Fórmula'!I83+'Fórmula'!K83))*(INDEX(properties!A$1:CB$87,'Fórmula'!H83,21))+(('Fórmula'!K83)/('Fórmula'!C83+'Fórmula'!E83+'Fórmula'!G83+'Fórmula'!I83+'Fórmula'!K83))*(INDEX(properties!A$1:CB$87,'Fórmula'!J83,21))</f>
        <v>4.571428571</v>
      </c>
      <c r="BW83" s="113">
        <f t="array" ref="BW83">'Fórmula'!C83*(INDEX(properties!A$1:CB$87,'Fórmula'!B83,21))+'Fórmula'!E83*(INDEX(properties!A$1:CB$87,'Fórmula'!D83,21))+'Fórmula'!G83*(INDEX(properties!A$1:CB$87,'Fórmula'!F83,21))+'Fórmula'!I83*(INDEX(properties!A$1:CB$87,'Fórmula'!H83,21))+'Fórmula'!K83*(INDEX(properties!A$1:CB$87,'Fórmula'!J83,21))</f>
        <v>32</v>
      </c>
      <c r="BX83" s="113">
        <f t="array" ref="BX83">VARP(IF(INDEX(properties!A$1:CB$87,'Fórmula'!B83,21)&lt;&gt;"",INDEX(properties!A$1:CB$87,'Fórmula'!B83,21)),IF(INDEX(properties!A$1:CB$87,'Fórmula'!D83,21)&lt;&gt;"",INDEX(properties!A$1:CB$87,'Fórmula'!D83,21)),IF(INDEX(properties!A$1:CB$87,'Fórmula'!F83,21)&lt;&gt;"",INDEX(properties!A$1:CB$87,'Fórmula'!F83,21)),IF(INDEX(properties!A$1:CB$87,'Fórmula'!H83,21)&lt;&gt;"",INDEX(properties!A$1:CB$87,'Fórmula'!H83,21)),IF(INDEX(properties!A$1:CB$87,'Fórmula'!J83,21)&lt;&gt;"",INDEX(properties!A$1:CB$87,'Fórmula'!J83,21)))</f>
        <v>5.36</v>
      </c>
      <c r="BY83" s="113">
        <f t="array" ref="BY83">MAX(INDEX(properties!A$1:CB$87,'Fórmula'!B83,21),INDEX(properties!A$1:CB$87,'Fórmula'!D83,21),INDEX(properties!A$1:CB$87,'Fórmula'!F83,21),INDEX(properties!A$1:CB$87,'Fórmula'!H83,21),INDEX(properties!A$1:CB$87,'Fórmula'!J83,21))</f>
        <v>6</v>
      </c>
      <c r="BZ83" s="113">
        <f t="array" ref="BZ83">MIN(IF(INDEX(properties!A$1:CB$87,'Fórmula'!B83,21)=0,10^6,INDEX(properties!A$1:CB$87,'Fórmula'!B83,21)),IF(INDEX(properties!A$1:CB$87,'Fórmula'!D83,21)=0,10^6,INDEX(properties!A$1:CB$87,'Fórmula'!D83,21)),IF(INDEX(properties!A$1:CB$87,'Fórmula'!F83,21)=0,10^6,INDEX(properties!A$1:CB$87,'Fórmula'!F83,21)),IF(INDEX(properties!A$1:CB$87,'Fórmula'!H83,21)=0,10^6,INDEX(properties!A$1:CB$87,'Fórmula'!H83,21)),IF(INDEX(properties!A$1:CB$87,'Fórmula'!J83,21)=0,10^6,INDEX(properties!A$1:CB$87,'Fórmula'!J83,21)))</f>
        <v>1</v>
      </c>
      <c r="CA83" s="113">
        <f t="shared" si="13"/>
        <v>5</v>
      </c>
      <c r="CB83" s="114">
        <f t="array" ref="CB83">(('Fórmula'!C83)/('Fórmula'!C83+'Fórmula'!E83+'Fórmula'!G83+'Fórmula'!I83+'Fórmula'!K83))*(INDEX(properties!A$1:CB$87,'Fórmula'!B83,23))+(('Fórmula'!E83)/('Fórmula'!C83+'Fórmula'!E83+'Fórmula'!G83+'Fórmula'!I83+'Fórmula'!K83))*(INDEX(properties!A$1:CB$87,'Fórmula'!D83,23))+(('Fórmula'!G83)/('Fórmula'!C83+'Fórmula'!E83+'Fórmula'!G83+'Fórmula'!I83+'Fórmula'!K83))*(INDEX(properties!A$1:CB$87,'Fórmula'!F83,23))+(('Fórmula'!I83)/('Fórmula'!C83+'Fórmula'!E83+'Fórmula'!G83+'Fórmula'!I83+'Fórmula'!K83))*(INDEX(properties!A$1:CB$87,'Fórmula'!H83,23))+(('Fórmula'!K83)/('Fórmula'!C83+'Fórmula'!E83+'Fórmula'!G83+'Fórmula'!I83+'Fórmula'!K83))*(INDEX(properties!A$1:CB$87,'Fórmula'!J83,23))</f>
        <v>0.8571428571</v>
      </c>
      <c r="CC83" s="114">
        <f t="array" ref="CC83">'Fórmula'!C83*(INDEX(properties!A$1:CB$87,'Fórmula'!B83,23))+'Fórmula'!E83*(INDEX(properties!A$1:CB$87,'Fórmula'!D83,23))+'Fórmula'!G83*(INDEX(properties!A$1:CB$87,'Fórmula'!F83,23))+'Fórmula'!I83*(INDEX(properties!A$1:CB$87,'Fórmula'!H83,23))+'Fórmula'!K83*(INDEX(properties!A$1:CB$87,'Fórmula'!J83,23))</f>
        <v>6</v>
      </c>
      <c r="CD83" s="114">
        <f t="array" ref="CD83">VARP(IF(INDEX(properties!A$1:CB$87,'Fórmula'!B83,23)&lt;&gt;"",INDEX(properties!A$1:CB$87,'Fórmula'!B83,23)),IF(INDEX(properties!A$1:CB$87,'Fórmula'!D83,23)&lt;&gt;"",INDEX(properties!A$1:CB$87,'Fórmula'!D83,23)),IF(INDEX(properties!A$1:CB$87,'Fórmula'!F83,23)&lt;&gt;"",INDEX(properties!A$1:CB$87,'Fórmula'!F83,23)),IF(INDEX(properties!A$1:CB$87,'Fórmula'!H83,23)&lt;&gt;"",INDEX(properties!A$1:CB$87,'Fórmula'!H83,23)),IF(INDEX(properties!A$1:CB$87,'Fórmula'!J83,23)&lt;&gt;"",INDEX(properties!A$1:CB$87,'Fórmula'!J83,23)))</f>
        <v>1.36</v>
      </c>
      <c r="CE83" s="114">
        <f t="array" ref="CE83">MAX(INDEX(properties!A$1:CB$87,'Fórmula'!B83,23),INDEX(properties!A$1:CB$87,'Fórmula'!D83,23),INDEX(properties!A$1:CB$87,'Fórmula'!F83,23),INDEX(properties!A$1:CB$87,'Fórmula'!H83,23),INDEX(properties!A$1:CB$87,'Fórmula'!J83,23))</f>
        <v>3</v>
      </c>
      <c r="CF83" s="114">
        <f t="array" ref="CF83">MIN(IF('Fórmula'!B83=87,10^6,INDEX(properties!A$1:CB$87,'Fórmula'!B83,23)),IF(('Fórmula'!D83)=87,10^6,INDEX(properties!A$1:CB$87,'Fórmula'!D83,23)),IF(('Fórmula'!F83)=87,10^6,INDEX(properties!A$1:CB$87,'Fórmula'!F83,23)),IF(('Fórmula'!H83)=87,10^6,INDEX(properties!A$1:CB$87,'Fórmula'!H83,23)),IF('Fórmula'!J83=87,10^6,INDEX(properties!A$1:CB$87,'Fórmula'!J83,23)))</f>
        <v>0</v>
      </c>
      <c r="CG83" s="114">
        <f t="shared" si="14"/>
        <v>3</v>
      </c>
      <c r="CH83" s="115">
        <f t="array" ref="CH83">(('Fórmula'!C83)/('Fórmula'!C83+'Fórmula'!E83+'Fórmula'!G83+'Fórmula'!I83+'Fórmula'!K83))*(INDEX(properties!A$1:CB$87,'Fórmula'!B83,26))+(('Fórmula'!E83)/('Fórmula'!C83+'Fórmula'!E83+'Fórmula'!G83+'Fórmula'!I83+'Fórmula'!K83))*(INDEX(properties!A$1:CB$87,'Fórmula'!D83,26))+(('Fórmula'!G83)/('Fórmula'!C83+'Fórmula'!E83+'Fórmula'!G83+'Fórmula'!I83+'Fórmula'!K83))*(INDEX(properties!A$1:CB$87,'Fórmula'!F83,26))+(('Fórmula'!I83)/('Fórmula'!C83+'Fórmula'!E83+'Fórmula'!G83+'Fórmula'!I83+'Fórmula'!K83))*(INDEX(properties!A$1:CB$87,'Fórmula'!H83,26))+(('Fórmula'!K83)/('Fórmula'!C83+'Fórmula'!E83+'Fórmula'!G83+'Fórmula'!I83+'Fórmula'!K83))*(INDEX(properties!A$1:CB$87,'Fórmula'!J83,26))</f>
        <v>10.88734286</v>
      </c>
      <c r="CI83" s="115">
        <f t="array" ref="CI83">'Fórmula'!C83*(INDEX(properties!A$1:CB$87,'Fórmula'!B83,26))+'Fórmula'!E83*(INDEX(properties!A$1:CB$87,'Fórmula'!D83,26))+'Fórmula'!G83*(INDEX(properties!A$1:CB$87,'Fórmula'!F83,26))+'Fórmula'!I83*(INDEX(properties!A$1:CB$87,'Fórmula'!H83,26))+'Fórmula'!K83*(INDEX(properties!A$1:CB$87,'Fórmula'!J83,26))</f>
        <v>76.2114</v>
      </c>
      <c r="CJ83" s="115">
        <f t="array" ref="CJ83">VARP(IF(INDEX(properties!A$1:CB$87,'Fórmula'!B83,26)&lt;&gt;"",INDEX(properties!A$1:CB$87,'Fórmula'!B83,26)),IF(INDEX(properties!A$1:CB$87,'Fórmula'!D83,26)&lt;&gt;"",INDEX(properties!A$1:CB$87,'Fórmula'!D83,26)),IF(INDEX(properties!A$1:CB$87,'Fórmula'!F83,26)&lt;&gt;"",INDEX(properties!A$1:CB$87,'Fórmula'!F83,26)),IF(INDEX(properties!A$1:CB$87,'Fórmula'!H83,26)&lt;&gt;"",INDEX(properties!A$1:CB$87,'Fórmula'!H83,26)),IF(INDEX(properties!A$1:CB$87,'Fórmula'!J83,26)&lt;&gt;"",INDEX(properties!A$1:CB$87,'Fórmula'!J83,26)))</f>
        <v>21.83603669</v>
      </c>
      <c r="CK83" s="116">
        <f t="array" ref="CK83">MAX(INDEX(properties!A$1:CB$87,'Fórmula'!B83,26),INDEX(properties!A$1:CB$87,'Fórmula'!D83,26),INDEX(properties!A$1:CB$87,'Fórmula'!F83,26),INDEX(properties!A$1:CB$87,'Fórmula'!H83,26),INDEX(properties!A$1:CB$87,'Fórmula'!J83,26))</f>
        <v>13.6181</v>
      </c>
      <c r="CL83" s="116">
        <f t="array" ref="CL83">MIN(IF(INDEX(properties!A$1:CB$87,'Fórmula'!B83,26)=0,10^6,INDEX(properties!A$1:CB$87,'Fórmula'!B83,26)),IF(INDEX(properties!A$1:CB$87,'Fórmula'!D83,26)=0,10^6,INDEX(properties!A$1:CB$87,'Fórmula'!D83,26)),IF(INDEX(properties!A$1:CB$87,'Fórmula'!F83,26)=0,10^6,INDEX(properties!A$1:CB$87,'Fórmula'!F83,26)),IF(INDEX(properties!A$1:CB$87,'Fórmula'!H83,26)=0,10^6,INDEX(properties!A$1:CB$87,'Fórmula'!H83,26)),IF(INDEX(properties!A$1:CB$87,'Fórmula'!J83,26)=0,10^6,INDEX(properties!A$1:CB$87,'Fórmula'!J83,26)))</f>
        <v>5.1391</v>
      </c>
      <c r="CM83" s="115">
        <f t="shared" si="15"/>
        <v>8.479</v>
      </c>
      <c r="CN83" s="117">
        <f t="array" ref="CN83">(('Fórmula'!C83)/('Fórmula'!C83+'Fórmula'!E83+'Fórmula'!G83+'Fórmula'!I83+'Fórmula'!K83))*(INDEX(properties!A$1:CB$87,'Fórmula'!B83,30))+(('Fórmula'!E83)/('Fórmula'!C83+'Fórmula'!E83+'Fórmula'!G83+'Fórmula'!I83+'Fórmula'!K83))*(INDEX(properties!A$1:CB$87,'Fórmula'!D83,30))+(('Fórmula'!G83)/('Fórmula'!C83+'Fórmula'!E83+'Fórmula'!G83+'Fórmula'!I83+'Fórmula'!K83))*(INDEX(properties!A$1:CB$87,'Fórmula'!F83,30))+(('Fórmula'!I83)/('Fórmula'!C83+'Fórmula'!E83+'Fórmula'!G83+'Fórmula'!I83+'Fórmula'!K83))*(INDEX(properties!A$1:CB$87,'Fórmula'!H83,30))+(('Fórmula'!K83)/('Fórmula'!C83+'Fórmula'!E83+'Fórmula'!G83+'Fórmula'!I83+'Fórmula'!K83))*(INDEX(properties!A$1:CB$87,'Fórmula'!J83,30))</f>
        <v>2.554285714</v>
      </c>
      <c r="CO83" s="117">
        <f t="array" ref="CO83">'Fórmula'!C83*(INDEX(properties!A$1:CB$87,'Fórmula'!B83,30))+'Fórmula'!E83*(INDEX(properties!A$1:CB$87,'Fórmula'!D83,30))+'Fórmula'!G83*(INDEX(properties!A$1:CB$87,'Fórmula'!F83,30))+'Fórmula'!I83*(INDEX(properties!A$1:CB$87,'Fórmula'!H83,30))+'Fórmula'!K83*(INDEX(properties!A$1:CB$87,'Fórmula'!J83,30))</f>
        <v>17.88</v>
      </c>
      <c r="CP83" s="117">
        <f t="array" ref="CP83">VARP(IF(INDEX(properties!A$1:CB$87,'Fórmula'!B83,30)&lt;&gt;"",INDEX(properties!A$1:CB$87,'Fórmula'!B83,30)),IF(INDEX(properties!A$1:CB$87,'Fórmula'!D83,30)&lt;&gt;"",INDEX(properties!A$1:CB$87,'Fórmula'!D83,30)),IF(INDEX(properties!A$1:CB$87,'Fórmula'!F83,30)&lt;&gt;"",INDEX(properties!A$1:CB$87,'Fórmula'!F83,30)),IF(INDEX(properties!A$1:CB$87,'Fórmula'!H83,30)&lt;&gt;"",INDEX(properties!A$1:CB$87,'Fórmula'!H83,30)),IF(INDEX(properties!A$1:CB$87,'Fórmula'!J83,30)&lt;&gt;"",INDEX(properties!A$1:CB$87,'Fórmula'!J83,30)))</f>
        <v>1.412776</v>
      </c>
      <c r="CQ83" s="117">
        <f t="array" ref="CQ83">MAX(INDEX(properties!A$1:CB$87,'Fórmula'!B83,30),INDEX(properties!A$1:CB$87,'Fórmula'!D83,30),INDEX(properties!A$1:CB$87,'Fórmula'!F83,30),INDEX(properties!A$1:CB$87,'Fórmula'!H83,30),INDEX(properties!A$1:CB$87,'Fórmula'!J83,30))</f>
        <v>3.44</v>
      </c>
      <c r="CR83" s="117">
        <f t="array" ref="CR83">MIN(IF(INDEX(properties!A$1:CB$87,'Fórmula'!B83,30)=0,10^6,INDEX(properties!A$1:CB$87,'Fórmula'!B83,30)),IF(INDEX(properties!A$1:CB$87,'Fórmula'!D83,30)=0,10^6,INDEX(properties!A$1:CB$87,'Fórmula'!D83,30)),IF(INDEX(properties!A$1:CB$87,'Fórmula'!F83,30)=0,10^6,INDEX(properties!A$1:CB$87,'Fórmula'!F83,30)),IF(INDEX(properties!A$1:CB$87,'Fórmula'!H83,30)=0,10^6,INDEX(properties!A$1:CB$87,'Fórmula'!H83,30)),IF(INDEX(properties!A$1:CB$87,'Fórmula'!J83,30)=0,10^6,INDEX(properties!A$1:CB$87,'Fórmula'!J83,30)))</f>
        <v>0.93</v>
      </c>
      <c r="CS83" s="117">
        <f t="shared" si="16"/>
        <v>2.51</v>
      </c>
      <c r="CT83" s="118">
        <f t="array" ref="CT83">(('Fórmula'!C83)/('Fórmula'!C83+'Fórmula'!E83+'Fórmula'!G83+'Fórmula'!I83+'Fórmula'!K83))*(INDEX(properties!A$1:CB$87,'Fórmula'!B83,31))+(('Fórmula'!E83)/('Fórmula'!C83+'Fórmula'!E83+'Fórmula'!G83+'Fórmula'!I83+'Fórmula'!K83))*(INDEX(properties!A$1:CB$87,'Fórmula'!D83,31))+(('Fórmula'!G83)/('Fórmula'!C83+'Fórmula'!E83+'Fórmula'!G83+'Fórmula'!I83+'Fórmula'!K83))*(INDEX(properties!A$1:CB$87,'Fórmula'!F83,31))+(('Fórmula'!I83)/('Fórmula'!C83+'Fórmula'!E83+'Fórmula'!G83+'Fórmula'!I83+'Fórmula'!K83))*(INDEX(properties!A$1:CB$87,'Fórmula'!H83,31))+(('Fórmula'!K83)/('Fórmula'!C83+'Fórmula'!E83+'Fórmula'!G83+'Fórmula'!I83+'Fórmula'!K83))*(INDEX(properties!A$1:CB$87,'Fórmula'!J83,31))</f>
        <v>2.522857143</v>
      </c>
      <c r="CU83" s="118">
        <f t="array" ref="CU83">'Fórmula'!C83*(INDEX(properties!A$1:CB$87,'Fórmula'!B83,31))+'Fórmula'!E83*(INDEX(properties!A$1:CB$87,'Fórmula'!D83,31))+'Fórmula'!G83*(INDEX(properties!A$1:CB$87,'Fórmula'!F83,31))+'Fórmula'!I83*(INDEX(properties!A$1:CB$87,'Fórmula'!H83,31))+'Fórmula'!K83*(INDEX(properties!A$1:CB$87,'Fórmula'!J83,31))</f>
        <v>17.66</v>
      </c>
      <c r="CV83" s="118">
        <f t="array" ref="CV83">VARP(IF(INDEX(properties!A$1:CB$87,'Fórmula'!B83,31)&lt;&gt;"",INDEX(properties!A$1:CB$87,'Fórmula'!B83,31)),IF(INDEX(properties!A$1:CB$87,'Fórmula'!D83,31)&lt;&gt;"",INDEX(properties!A$1:CB$87,'Fórmula'!D83,31)),IF(INDEX(properties!A$1:CB$87,'Fórmula'!F83,31)&lt;&gt;"",INDEX(properties!A$1:CB$87,'Fórmula'!F83,31)),IF(INDEX(properties!A$1:CB$87,'Fórmula'!H83,31)&lt;&gt;"",INDEX(properties!A$1:CB$87,'Fórmula'!H83,31)),IF(INDEX(properties!A$1:CB$87,'Fórmula'!J83,31)&lt;&gt;"",INDEX(properties!A$1:CB$87,'Fórmula'!J83,31)))</f>
        <v>1.34156</v>
      </c>
      <c r="CW83" s="118">
        <f t="array" ref="CW83">MAX(INDEX(properties!A$1:CB$87,'Fórmula'!B83,31),INDEX(properties!A$1:CB$87,'Fórmula'!D83,31),INDEX(properties!A$1:CB$87,'Fórmula'!F83,31),INDEX(properties!A$1:CB$87,'Fórmula'!H83,31),INDEX(properties!A$1:CB$87,'Fórmula'!J83,31))</f>
        <v>3.32</v>
      </c>
      <c r="CX83" s="118">
        <f t="array" ref="CX83">MIN(IF(INDEX(properties!A$1:CB$87,'Fórmula'!B83,31)=0,10^6,INDEX(properties!A$1:CB$87,'Fórmula'!B83,31)),IF(INDEX(properties!A$1:CB$87,'Fórmula'!D83,31)=0,10^6,INDEX(properties!A$1:CB$87,'Fórmula'!D83,31)),IF(INDEX(properties!A$1:CB$87,'Fórmula'!F83,31)=0,10^6,INDEX(properties!A$1:CB$87,'Fórmula'!F83,31)),IF(INDEX(properties!A$1:CB$87,'Fórmula'!H83,31)=0,10^6,INDEX(properties!A$1:CB$87,'Fórmula'!H83,31)),IF(INDEX(properties!A$1:CB$87,'Fórmula'!J83,31)=0,10^6,INDEX(properties!A$1:CB$87,'Fórmula'!J83,31)))</f>
        <v>0.89</v>
      </c>
      <c r="CY83" s="118">
        <f t="shared" si="17"/>
        <v>2.43</v>
      </c>
      <c r="CZ83" s="119">
        <f t="array" ref="CZ83">(('Fórmula'!C83)/('Fórmula'!C83+'Fórmula'!E83+'Fórmula'!G83+'Fórmula'!I83+'Fórmula'!K83))*(INDEX(properties!A$1:CB$87,'Fórmula'!B83,32))+(('Fórmula'!E83)/('Fórmula'!C83+'Fórmula'!E83+'Fórmula'!G83+'Fórmula'!I83+'Fórmula'!K83))*(INDEX(properties!A$1:CB$87,'Fórmula'!D83,32))+(('Fórmula'!G83)/('Fórmula'!C83+'Fórmula'!E83+'Fórmula'!G83+'Fórmula'!I83+'Fórmula'!K83))*(INDEX(properties!A$1:CB$87,'Fórmula'!F83,32))+(('Fórmula'!I83)/('Fórmula'!C83+'Fórmula'!E83+'Fórmula'!G83+'Fórmula'!I83+'Fórmula'!K83))*(INDEX(properties!A$1:CB$87,'Fórmula'!H83,32))+(('Fórmula'!K83)/('Fórmula'!C83+'Fórmula'!E83+'Fórmula'!G83+'Fórmula'!I83+'Fórmula'!K83))*(INDEX(properties!A$1:CB$87,'Fórmula'!J83,32))</f>
        <v>5.832857143</v>
      </c>
      <c r="DA83" s="119">
        <f t="array" ref="DA83">'Fórmula'!C83*(INDEX(properties!A$1:CB$87,'Fórmula'!B83,32))+'Fórmula'!E83*(INDEX(properties!A$1:CB$87,'Fórmula'!D83,32))+'Fórmula'!G83*(INDEX(properties!A$1:CB$87,'Fórmula'!F83,32))+'Fórmula'!I83*(INDEX(properties!A$1:CB$87,'Fórmula'!H83,32))+'Fórmula'!K83*(INDEX(properties!A$1:CB$87,'Fórmula'!J83,32))</f>
        <v>40.83</v>
      </c>
      <c r="DB83" s="119">
        <f t="array" ref="DB83">VARP(IF(INDEX(properties!A$1:CB$87,'Fórmula'!B83,32)&lt;&gt;"",INDEX(properties!A$1:CB$87,'Fórmula'!B83,32)),IF(INDEX(properties!A$1:CB$87,'Fórmula'!D83,32)&lt;&gt;"",INDEX(properties!A$1:CB$87,'Fórmula'!D83,32)),IF(INDEX(properties!A$1:CB$87,'Fórmula'!F83,32)&lt;&gt;"",INDEX(properties!A$1:CB$87,'Fórmula'!F83,32)),IF(INDEX(properties!A$1:CB$87,'Fórmula'!H83,32)&lt;&gt;"",INDEX(properties!A$1:CB$87,'Fórmula'!H83,32)),IF(INDEX(properties!A$1:CB$87,'Fórmula'!J83,32)&lt;&gt;"",INDEX(properties!A$1:CB$87,'Fórmula'!J83,32)))</f>
        <v>7.015536</v>
      </c>
      <c r="DC83" s="119">
        <f t="array" ref="DC83">MAX(INDEX(properties!A$1:CB$87,'Fórmula'!B83,32),INDEX(properties!A$1:CB$87,'Fórmula'!D83,32),INDEX(properties!A$1:CB$87,'Fórmula'!F83,32),INDEX(properties!A$1:CB$87,'Fórmula'!H83,32),INDEX(properties!A$1:CB$87,'Fórmula'!J83,32))</f>
        <v>7.54</v>
      </c>
      <c r="DD83" s="119">
        <f t="array" ref="DD83">MIN(IF(INDEX(properties!A$1:CB$87,'Fórmula'!B83,32)=0,10^6,INDEX(properties!A$1:CB$87,'Fórmula'!B83,32)),IF(INDEX(properties!A$1:CB$87,'Fórmula'!D83,32)=0,10^6,INDEX(properties!A$1:CB$87,'Fórmula'!D83,32)),IF(INDEX(properties!A$1:CB$87,'Fórmula'!F83,32)=0,10^6,INDEX(properties!A$1:CB$87,'Fórmula'!F83,32)),IF(INDEX(properties!A$1:CB$87,'Fórmula'!H83,32)=0,10^6,INDEX(properties!A$1:CB$87,'Fórmula'!H83,32)),IF(INDEX(properties!A$1:CB$87,'Fórmula'!J83,32)=0,10^6,INDEX(properties!A$1:CB$87,'Fórmula'!J83,32)))</f>
        <v>2.2</v>
      </c>
      <c r="DE83" s="119">
        <f t="shared" si="18"/>
        <v>5.34</v>
      </c>
      <c r="DF83" s="104">
        <f t="array" ref="DF83">(('Fórmula'!C83)/('Fórmula'!C83+'Fórmula'!E83+'Fórmula'!G83+'Fórmula'!I83+'Fórmula'!K83))*(INDEX(properties!A$1:CB$87,'Fórmula'!B83,34))+(('Fórmula'!E83)/('Fórmula'!C83+'Fórmula'!E83+'Fórmula'!G83+'Fórmula'!I83+'Fórmula'!K83))*(INDEX(properties!A$1:CB$87,'Fórmula'!D83,34))+(('Fórmula'!G83)/('Fórmula'!C83+'Fórmula'!E83+'Fórmula'!G83+'Fórmula'!I83+'Fórmula'!K83))*(INDEX(properties!A$1:CB$87,'Fórmula'!F83,34))+(('Fórmula'!I83)/('Fórmula'!C83+'Fórmula'!E83+'Fórmula'!G83+'Fórmula'!I83+'Fórmula'!K83))*(INDEX(properties!A$1:CB$87,'Fórmula'!H83,34))+(('Fórmula'!K83)/('Fórmula'!C83+'Fórmula'!E83+'Fórmula'!G83+'Fórmula'!I83+'Fórmula'!K83))*(INDEX(properties!A$1:CB$87,'Fórmula'!J83,34))</f>
        <v>2.656571429</v>
      </c>
      <c r="DG83" s="104">
        <f t="array" ref="DG83">'Fórmula'!C83*(INDEX(properties!A$1:CB$87,'Fórmula'!B83,34))+'Fórmula'!E83*(INDEX(properties!A$1:CB$87,'Fórmula'!D83,34))+'Fórmula'!G83*(INDEX(properties!A$1:CB$87,'Fórmula'!F83,34))+'Fórmula'!I83*(INDEX(properties!A$1:CB$87,'Fórmula'!H83,34))+'Fórmula'!K83*(INDEX(properties!A$1:CB$87,'Fórmula'!J83,34))</f>
        <v>18.596</v>
      </c>
      <c r="DH83" s="104">
        <f t="array" ref="DH83">VARP(IF(INDEX(properties!A$1:CB$87,'Fórmula'!B83,34)&lt;&gt;"",INDEX(properties!A$1:CB$87,'Fórmula'!B83,34)),IF(INDEX(properties!A$1:CB$87,'Fórmula'!D83,34)&lt;&gt;"",INDEX(properties!A$1:CB$87,'Fórmula'!D83,34)),IF(INDEX(properties!A$1:CB$87,'Fórmula'!F83,34)&lt;&gt;"",INDEX(properties!A$1:CB$87,'Fórmula'!F83,34)),IF(INDEX(properties!A$1:CB$87,'Fórmula'!H83,34)&lt;&gt;"",INDEX(properties!A$1:CB$87,'Fórmula'!H83,34)),IF(INDEX(properties!A$1:CB$87,'Fórmula'!J83,34)&lt;&gt;"",INDEX(properties!A$1:CB$87,'Fórmula'!J83,34)))</f>
        <v>1.57405496</v>
      </c>
      <c r="DI83" s="104">
        <f t="array" ref="DI83">MAX(INDEX(properties!A$1:CB$87,'Fórmula'!B83,34),INDEX(properties!A$1:CB$87,'Fórmula'!D83,34),INDEX(properties!A$1:CB$87,'Fórmula'!F83,34),INDEX(properties!A$1:CB$87,'Fórmula'!H83,34),INDEX(properties!A$1:CB$87,'Fórmula'!J83,34))</f>
        <v>3.61</v>
      </c>
      <c r="DJ83" s="104">
        <f t="array" ref="DJ83">MIN(IF(INDEX(properties!A$1:CB$87,'Fórmula'!B83,34)=0,10^6,INDEX(properties!A$1:CB$87,'Fórmula'!B83,34)),IF(INDEX(properties!A$1:CB$87,'Fórmula'!D83,34)=0,10^6,INDEX(properties!A$1:CB$87,'Fórmula'!D83,34)),IF(INDEX(properties!A$1:CB$87,'Fórmula'!F83,34)=0,10^6,INDEX(properties!A$1:CB$87,'Fórmula'!F83,34)),IF(INDEX(properties!A$1:CB$87,'Fórmula'!H83,34)=0,10^6,INDEX(properties!A$1:CB$87,'Fórmula'!H83,34)),IF(INDEX(properties!A$1:CB$87,'Fórmula'!J83,34)=0,10^6,INDEX(properties!A$1:CB$87,'Fórmula'!J83,34)))</f>
        <v>0.869</v>
      </c>
      <c r="DK83" s="104">
        <f t="shared" si="19"/>
        <v>2.741</v>
      </c>
      <c r="DL83" s="105">
        <f t="array" ref="DL83">(('Fórmula'!C83)/('Fórmula'!C83+'Fórmula'!E83+'Fórmula'!G83+'Fórmula'!I83+'Fórmula'!K83))*(INDEX(properties!A$1:CB$87,'Fórmula'!B83,37))+(('Fórmula'!E83)/('Fórmula'!C83+'Fórmula'!E83+'Fórmula'!G83+'Fórmula'!I83+'Fórmula'!K83))*(INDEX(properties!A$1:CB$87,'Fórmula'!D83,37))+(('Fórmula'!G83)/('Fórmula'!C83+'Fórmula'!E83+'Fórmula'!G83+'Fórmula'!I83+'Fórmula'!K83))*(INDEX(properties!A$1:CB$87,'Fórmula'!F83,37))+(('Fórmula'!I83)/('Fórmula'!C83+'Fórmula'!E83+'Fórmula'!G83+'Fórmula'!I83+'Fórmula'!K83))*(INDEX(properties!A$1:CB$87,'Fórmula'!H83,37))+(('Fórmula'!K83)/('Fórmula'!C83+'Fórmula'!E83+'Fórmula'!G83+'Fórmula'!I83+'Fórmula'!K83))*(INDEX(properties!A$1:CB$87,'Fórmula'!J83,37))</f>
        <v>2.542857143</v>
      </c>
      <c r="DM83" s="105">
        <f t="array" ref="DM83">'Fórmula'!C83*(INDEX(properties!A$1:CB$87,'Fórmula'!B83,37))+'Fórmula'!E83*(INDEX(properties!A$1:CB$87,'Fórmula'!D83,37))+'Fórmula'!G83*(INDEX(properties!A$1:CB$87,'Fórmula'!F83,37))+'Fórmula'!I83*(INDEX(properties!A$1:CB$87,'Fórmula'!H83,37))+'Fórmula'!K83*(INDEX(properties!A$1:CB$87,'Fórmula'!J83,37))</f>
        <v>17.8</v>
      </c>
      <c r="DN83" s="105">
        <f t="array" ref="DN83">VARP(IF(INDEX(properties!A$1:CB$87,'Fórmula'!B83,37)&lt;&gt;"",INDEX(properties!A$1:CB$87,'Fórmula'!B83,37)),IF(INDEX(properties!A$1:CB$87,'Fórmula'!D83,37)&lt;&gt;"",INDEX(properties!A$1:CB$87,'Fórmula'!D83,37)),IF(INDEX(properties!A$1:CB$87,'Fórmula'!F83,37)&lt;&gt;"",INDEX(properties!A$1:CB$87,'Fórmula'!F83,37)),IF(INDEX(properties!A$1:CB$87,'Fórmula'!H83,37)&lt;&gt;"",INDEX(properties!A$1:CB$87,'Fórmula'!H83,37)),IF(INDEX(properties!A$1:CB$87,'Fórmula'!J83,37)&lt;&gt;"",INDEX(properties!A$1:CB$87,'Fórmula'!J83,37)))</f>
        <v>1.4044</v>
      </c>
      <c r="DO83" s="105">
        <f t="array" ref="DO83">MAX(INDEX(properties!A$1:CB$87,'Fórmula'!B83,37),INDEX(properties!A$1:CB$87,'Fórmula'!D83,37),INDEX(properties!A$1:CB$87,'Fórmula'!F83,37),INDEX(properties!A$1:CB$87,'Fórmula'!H83,37),INDEX(properties!A$1:CB$87,'Fórmula'!J83,37))</f>
        <v>3.45</v>
      </c>
      <c r="DP83" s="105">
        <f t="array" ref="DP83">MIN(IF(INDEX(properties!A$1:CB$87,'Fórmula'!B83,37)=0,10^6,INDEX(properties!A$1:CB$87,'Fórmula'!B83,37)),IF(INDEX(properties!A$1:CB$87,'Fórmula'!D83,37)=0,10^6,INDEX(properties!A$1:CB$87,'Fórmula'!D83,37)),IF(INDEX(properties!A$1:CB$87,'Fórmula'!F83,37)=0,10^6,INDEX(properties!A$1:CB$87,'Fórmula'!F83,37)),IF(INDEX(properties!A$1:CB$87,'Fórmula'!H83,37)=0,10^6,INDEX(properties!A$1:CB$87,'Fórmula'!H83,37)),IF(INDEX(properties!A$1:CB$87,'Fórmula'!J83,37)=0,10^6,INDEX(properties!A$1:CB$87,'Fórmula'!J83,37)))</f>
        <v>0.9</v>
      </c>
      <c r="DQ83" s="105">
        <f t="shared" si="20"/>
        <v>2.55</v>
      </c>
      <c r="DR83" s="109">
        <f t="array" ref="DR83">(('Fórmula'!C83)/('Fórmula'!C83+'Fórmula'!E83+'Fórmula'!G83+'Fórmula'!I83+'Fórmula'!K83))*(INDEX(properties!A$1:CB$87,'Fórmula'!B83,39))+(('Fórmula'!E83)/('Fórmula'!C83+'Fórmula'!E83+'Fórmula'!G83+'Fórmula'!I83+'Fórmula'!K83))*(INDEX(properties!A$1:CB$87,'Fórmula'!D83,39))+(('Fórmula'!G83)/('Fórmula'!C83+'Fórmula'!E83+'Fórmula'!G83+'Fórmula'!I83+'Fórmula'!K83))*(INDEX(properties!A$1:CB$87,'Fórmula'!F83,39))+(('Fórmula'!I83)/('Fórmula'!C83+'Fórmula'!E83+'Fórmula'!G83+'Fórmula'!I83+'Fórmula'!K83))*(INDEX(properties!A$1:CB$87,'Fórmula'!H83,39))+(('Fórmula'!K83)/('Fórmula'!C83+'Fórmula'!E83+'Fórmula'!G83+'Fórmula'!I83+'Fórmula'!K83))*(INDEX(properties!A$1:CB$87,'Fórmula'!J83,39))</f>
        <v>0.9628571429</v>
      </c>
      <c r="DS83" s="109">
        <f t="array" ref="DS83">'Fórmula'!C83*(INDEX(properties!A$1:CB$87,'Fórmula'!B83,39))+'Fórmula'!E83*(INDEX(properties!A$1:CB$87,'Fórmula'!D83,39))+'Fórmula'!G83*(INDEX(properties!A$1:CB$87,'Fórmula'!F83,39))+'Fórmula'!I83*(INDEX(properties!A$1:CB$87,'Fórmula'!H83,39))+'Fórmula'!K83*(INDEX(properties!A$1:CB$87,'Fórmula'!J83,39))</f>
        <v>6.74</v>
      </c>
      <c r="DT83" s="109">
        <f t="array" ref="DT83">VARP(IF(INDEX(properties!A$1:CB$87,'Fórmula'!B83,39)&lt;&gt;"",INDEX(properties!A$1:CB$87,'Fórmula'!B83,39)),IF(INDEX(properties!A$1:CB$87,'Fórmula'!D83,39)&lt;&gt;"",INDEX(properties!A$1:CB$87,'Fórmula'!D83,39)),IF(INDEX(properties!A$1:CB$87,'Fórmula'!F83,39)&lt;&gt;"",INDEX(properties!A$1:CB$87,'Fórmula'!F83,39)),IF(INDEX(properties!A$1:CB$87,'Fórmula'!H83,39)&lt;&gt;"",INDEX(properties!A$1:CB$87,'Fórmula'!H83,39)),IF(INDEX(properties!A$1:CB$87,'Fórmula'!J83,39)&lt;&gt;"",INDEX(properties!A$1:CB$87,'Fórmula'!J83,39)))</f>
        <v>0.58928</v>
      </c>
      <c r="DU83" s="120">
        <f t="array" ref="DU83">MAX(INDEX(properties!A$1:CB$87,'Fórmula'!B83,39),INDEX(properties!A$1:CB$87,'Fórmula'!D83,39),INDEX(properties!A$1:CB$87,'Fórmula'!F83,39),INDEX(properties!A$1:CB$87,'Fórmula'!H83,39),INDEX(properties!A$1:CB$87,'Fórmula'!J83,39))</f>
        <v>1.94</v>
      </c>
      <c r="DV83" s="120">
        <f t="array" ref="DV83">MIN(IF(INDEX(properties!A$1:CB$87,'Fórmula'!B83,39)=0,10^6,INDEX(properties!A$1:CB$87,'Fórmula'!B83,39)),IF(INDEX(properties!A$1:CB$87,'Fórmula'!D83,39)=0,10^6,INDEX(properties!A$1:CB$87,'Fórmula'!D83,39)),IF(INDEX(properties!A$1:CB$87,'Fórmula'!F83,39)=0,10^6,INDEX(properties!A$1:CB$87,'Fórmula'!F83,39)),IF(INDEX(properties!A$1:CB$87,'Fórmula'!H83,39)=0,10^6,INDEX(properties!A$1:CB$87,'Fórmula'!H83,39)),IF(INDEX(properties!A$1:CB$87,'Fórmula'!J83,39)=0,10^6,INDEX(properties!A$1:CB$87,'Fórmula'!J83,39)))</f>
        <v>0.48</v>
      </c>
      <c r="DW83" s="109">
        <f t="shared" si="21"/>
        <v>1.46</v>
      </c>
      <c r="DX83" s="110">
        <f t="array" ref="DX83">(('Fórmula'!C83)/('Fórmula'!C83+'Fórmula'!E83+'Fórmula'!G83+'Fórmula'!I83+'Fórmula'!K83))*(INDEX(properties!A$1:CB$87,'Fórmula'!B83,40))+(('Fórmula'!E83)/('Fórmula'!C83+'Fórmula'!E83+'Fórmula'!G83+'Fórmula'!I83+'Fórmula'!K83))*(INDEX(properties!A$1:CB$87,'Fórmula'!D83,40))+(('Fórmula'!G83)/('Fórmula'!C83+'Fórmula'!E83+'Fórmula'!G83+'Fórmula'!I83+'Fórmula'!K83))*(INDEX(properties!A$1:CB$87,'Fórmula'!F83,40))+(('Fórmula'!I83)/('Fórmula'!C83+'Fórmula'!E83+'Fórmula'!G83+'Fórmula'!I83+'Fórmula'!K83))*(INDEX(properties!A$1:CB$87,'Fórmula'!H83,40))+(('Fórmula'!K83)/('Fórmula'!C83+'Fórmula'!E83+'Fórmula'!G83+'Fórmula'!I83+'Fórmula'!K83))*(INDEX(properties!A$1:CB$87,'Fórmula'!J83,40))</f>
        <v>1.037142857</v>
      </c>
      <c r="DY83" s="110">
        <f t="array" ref="DY83">'Fórmula'!C83*(INDEX(properties!A$1:CB$87,'Fórmula'!B83,40))+'Fórmula'!E83*(INDEX(properties!A$1:CB$87,'Fórmula'!D83,40))+'Fórmula'!G83*(INDEX(properties!A$1:CB$87,'Fórmula'!F83,40))+'Fórmula'!I83*(INDEX(properties!A$1:CB$87,'Fórmula'!H83,40))+'Fórmula'!K83*(INDEX(properties!A$1:CB$87,'Fórmula'!J83,40))</f>
        <v>7.26</v>
      </c>
      <c r="DZ83" s="110">
        <f t="array" ref="DZ83">VARP(IF(INDEX(properties!A$1:CB$87,'Fórmula'!B83,40)&lt;&gt;"",INDEX(properties!A$1:CB$87,'Fórmula'!B83,40)),IF(INDEX(properties!A$1:CB$87,'Fórmula'!D83,40)&lt;&gt;"",INDEX(properties!A$1:CB$87,'Fórmula'!D83,40)),IF(INDEX(properties!A$1:CB$87,'Fórmula'!F83,40)&lt;&gt;"",INDEX(properties!A$1:CB$87,'Fórmula'!F83,40)),IF(INDEX(properties!A$1:CB$87,'Fórmula'!H83,40)&lt;&gt;"",INDEX(properties!A$1:CB$87,'Fórmula'!H83,40)),IF(INDEX(properties!A$1:CB$87,'Fórmula'!J83,40)&lt;&gt;"",INDEX(properties!A$1:CB$87,'Fórmula'!J83,40)))</f>
        <v>0.382944</v>
      </c>
      <c r="EA83" s="121">
        <f t="array" ref="EA83">MAX(INDEX(properties!A$1:CB$87,'Fórmula'!B83,40),INDEX(properties!A$1:CB$87,'Fórmula'!D83,40),INDEX(properties!A$1:CB$87,'Fórmula'!F83,40),INDEX(properties!A$1:CB$87,'Fórmula'!H83,40),INDEX(properties!A$1:CB$87,'Fórmula'!J83,40))</f>
        <v>1.74</v>
      </c>
      <c r="EB83" s="121">
        <f t="array" ref="EB83">MIN(IF(INDEX(properties!A$1:CB$87,'Fórmula'!B83,40)=0,10^6,INDEX(properties!A$1:CB$87,'Fórmula'!B83,40)),IF(INDEX(properties!A$1:CB$87,'Fórmula'!D83,40)=0,10^6,INDEX(properties!A$1:CB$87,'Fórmula'!D83,40)),IF(INDEX(properties!A$1:CB$87,'Fórmula'!F83,40)=0,10^6,INDEX(properties!A$1:CB$87,'Fórmula'!F83,40)),IF(INDEX(properties!A$1:CB$87,'Fórmula'!H83,40)=0,10^6,INDEX(properties!A$1:CB$87,'Fórmula'!H83,40)),IF(INDEX(properties!A$1:CB$87,'Fórmula'!J83,40)=0,10^6,INDEX(properties!A$1:CB$87,'Fórmula'!J83,40)))</f>
        <v>0.73</v>
      </c>
      <c r="EC83" s="110">
        <f t="shared" si="22"/>
        <v>1.01</v>
      </c>
      <c r="ED83" s="111">
        <f t="array" ref="ED83">(('Fórmula'!C83)/('Fórmula'!C83+'Fórmula'!E83+'Fórmula'!G83+'Fórmula'!I83+'Fórmula'!K83))*(INDEX(properties!A$1:CB$87,'Fórmula'!B83,41))+(('Fórmula'!E83)/('Fórmula'!C83+'Fórmula'!E83+'Fórmula'!G83+'Fórmula'!I83+'Fórmula'!K83))*(INDEX(properties!A$1:CB$87,'Fórmula'!D83,41))+(('Fórmula'!G83)/('Fórmula'!C83+'Fórmula'!E83+'Fórmula'!G83+'Fórmula'!I83+'Fórmula'!K83))*(INDEX(properties!A$1:CB$87,'Fórmula'!F83,41))+(('Fórmula'!I83)/('Fórmula'!C83+'Fórmula'!E83+'Fórmula'!G83+'Fórmula'!I83+'Fórmula'!K83))*(INDEX(properties!A$1:CB$87,'Fórmula'!H83,41))+(('Fórmula'!K83)/('Fórmula'!C83+'Fórmula'!E83+'Fórmula'!G83+'Fórmula'!I83+'Fórmula'!K83))*(INDEX(properties!A$1:CB$87,'Fórmula'!J83,41))</f>
        <v>1.131428571</v>
      </c>
      <c r="EE83" s="111">
        <f t="array" ref="EE83">'Fórmula'!C83*(INDEX(properties!A$1:CB$87,'Fórmula'!B83,41))+'Fórmula'!E83*(INDEX(properties!A$1:CB$87,'Fórmula'!D83,41))+'Fórmula'!G83*(INDEX(properties!A$1:CB$87,'Fórmula'!F83,41))+'Fórmula'!I83*(INDEX(properties!A$1:CB$87,'Fórmula'!H83,41))+'Fórmula'!K83*(INDEX(properties!A$1:CB$87,'Fórmula'!J83,41))</f>
        <v>7.92</v>
      </c>
      <c r="EF83" s="111">
        <f t="array" ref="EF83">VARP(IF(INDEX(properties!A$1:CB$87,'Fórmula'!B83,41)&lt;&gt;"",INDEX(properties!A$1:CB$87,'Fórmula'!B83,41)),IF(INDEX(properties!A$1:CB$87,'Fórmula'!D83,41)&lt;&gt;"",INDEX(properties!A$1:CB$87,'Fórmula'!D83,41)),IF(INDEX(properties!A$1:CB$87,'Fórmula'!F83,41)&lt;&gt;"",INDEX(properties!A$1:CB$87,'Fórmula'!F83,41)),IF(INDEX(properties!A$1:CB$87,'Fórmula'!H83,41)&lt;&gt;"",INDEX(properties!A$1:CB$87,'Fórmula'!H83,41)),IF(INDEX(properties!A$1:CB$87,'Fórmula'!J83,41)&lt;&gt;"",INDEX(properties!A$1:CB$87,'Fórmula'!J83,41)))</f>
        <v>0.228256</v>
      </c>
      <c r="EG83" s="122">
        <f t="array" ref="EG83">MAX(INDEX(properties!A$1:CB$87,'Fórmula'!B83,41),INDEX(properties!A$1:CB$87,'Fórmula'!D83,41),INDEX(properties!A$1:CB$87,'Fórmula'!F83,41),INDEX(properties!A$1:CB$87,'Fórmula'!H83,41),INDEX(properties!A$1:CB$87,'Fórmula'!J83,41))</f>
        <v>1.26</v>
      </c>
      <c r="EH83" s="122">
        <f t="array" ref="EH83">MIN(IF(INDEX(properties!A$1:CB$87,'Fórmula'!B83,41)=0,10^6,INDEX(properties!A$1:CB$87,'Fórmula'!B83,41)),IF(INDEX(properties!A$1:CB$87,'Fórmula'!D83,41)=0,10^6,INDEX(properties!A$1:CB$87,'Fórmula'!D83,41)),IF(INDEX(properties!A$1:CB$87,'Fórmula'!F83,41)=0,10^6,INDEX(properties!A$1:CB$87,'Fórmula'!F83,41)),IF(INDEX(properties!A$1:CB$87,'Fórmula'!H83,41)=0,10^6,INDEX(properties!A$1:CB$87,'Fórmula'!H83,41)),IF(INDEX(properties!A$1:CB$87,'Fórmula'!J83,41)=0,10^6,INDEX(properties!A$1:CB$87,'Fórmula'!J83,41)))</f>
        <v>0.58</v>
      </c>
      <c r="EI83" s="111">
        <f t="shared" si="23"/>
        <v>0.68</v>
      </c>
      <c r="EJ83" s="112">
        <f t="array" ref="EJ83">(('Fórmula'!C83)/('Fórmula'!C83+'Fórmula'!E83+'Fórmula'!G83+'Fórmula'!I83+'Fórmula'!K83))*(INDEX(properties!A$1:CB$87,'Fórmula'!B83,45))+(('Fórmula'!E83)/('Fórmula'!C83+'Fórmula'!E83+'Fórmula'!G83+'Fórmula'!I83+'Fórmula'!K83))*(INDEX(properties!A$1:CB$87,'Fórmula'!D83,45))+(('Fórmula'!G83)/('Fórmula'!C83+'Fórmula'!E83+'Fórmula'!G83+'Fórmula'!I83+'Fórmula'!K83))*(INDEX(properties!A$1:CB$87,'Fórmula'!F83,45))+(('Fórmula'!I83)/('Fórmula'!C83+'Fórmula'!E83+'Fórmula'!G83+'Fórmula'!I83+'Fórmula'!K83))*(INDEX(properties!A$1:CB$87,'Fórmula'!H83,45))+(('Fórmula'!K83)/('Fórmula'!C83+'Fórmula'!E83+'Fórmula'!G83+'Fórmula'!I83+'Fórmula'!K83))*(INDEX(properties!A$1:CB$87,'Fórmula'!J83,45))</f>
        <v>1.252857143</v>
      </c>
      <c r="EK83" s="112">
        <f t="array" ref="EK83">'Fórmula'!C83*(INDEX(properties!A$1:CB$87,'Fórmula'!B83,45))+'Fórmula'!E83*(INDEX(properties!A$1:CB$87,'Fórmula'!D83,45))+'Fórmula'!G83*(INDEX(properties!A$1:CB$87,'Fórmula'!F83,45))+'Fórmula'!I83*(INDEX(properties!A$1:CB$87,'Fórmula'!H83,45))+'Fórmula'!K83*(INDEX(properties!A$1:CB$87,'Fórmula'!J83,45))</f>
        <v>8.77</v>
      </c>
      <c r="EL83" s="112">
        <f t="array" ref="EL83">VARP(IF(INDEX(properties!A$1:CB$87,'Fórmula'!B83,45)&lt;&gt;"",INDEX(properties!A$1:CB$87,'Fórmula'!B83,45)),IF(INDEX(properties!A$1:CB$87,'Fórmula'!D83,45)&lt;&gt;"",INDEX(properties!A$1:CB$87,'Fórmula'!D83,45)),IF(INDEX(properties!A$1:CB$87,'Fórmula'!F83,45)&lt;&gt;"",INDEX(properties!A$1:CB$87,'Fórmula'!F83,45)),IF(INDEX(properties!A$1:CB$87,'Fórmula'!H83,45)&lt;&gt;"",INDEX(properties!A$1:CB$87,'Fórmula'!H83,45)),IF(INDEX(properties!A$1:CB$87,'Fórmula'!J83,45)&lt;&gt;"",INDEX(properties!A$1:CB$87,'Fórmula'!J83,45)))</f>
        <v>1.389416</v>
      </c>
      <c r="EM83" s="123">
        <f t="array" ref="EM83">MAX(INDEX(properties!A$1:CB$87,'Fórmula'!B83,45),INDEX(properties!A$1:CB$87,'Fórmula'!D83,45),INDEX(properties!A$1:CB$87,'Fórmula'!F83,45),INDEX(properties!A$1:CB$87,'Fórmula'!H83,45),INDEX(properties!A$1:CB$87,'Fórmula'!J83,45))</f>
        <v>3</v>
      </c>
      <c r="EN83" s="123">
        <f t="array" ref="EN83">MIN(IF(INDEX(properties!A$1:CB$87,'Fórmula'!B83,45)=0,10^6,INDEX(properties!A$1:CB$87,'Fórmula'!B83,45)),IF(INDEX(properties!A$1:CB$87,'Fórmula'!D83,45)=0,10^6,INDEX(properties!A$1:CB$87,'Fórmula'!D83,45)),IF(INDEX(properties!A$1:CB$87,'Fórmula'!F83,45)=0,10^6,INDEX(properties!A$1:CB$87,'Fórmula'!F83,45)),IF(INDEX(properties!A$1:CB$87,'Fórmula'!H83,45)=0,10^6,INDEX(properties!A$1:CB$87,'Fórmula'!H83,45)),IF(INDEX(properties!A$1:CB$87,'Fórmula'!J83,45)=0,10^6,INDEX(properties!A$1:CB$87,'Fórmula'!J83,45)))</f>
        <v>0.47</v>
      </c>
      <c r="EO83" s="112">
        <f t="shared" si="24"/>
        <v>2.53</v>
      </c>
      <c r="EP83" s="113">
        <f t="array" ref="EP83">(('Fórmula'!C83)/('Fórmula'!C83+'Fórmula'!E83+'Fórmula'!G83+'Fórmula'!I83+'Fórmula'!K83))*(INDEX(properties!A$1:CB$87,'Fórmula'!B83,46))+(('Fórmula'!E83)/('Fórmula'!C83+'Fórmula'!E83+'Fórmula'!G83+'Fórmula'!I83+'Fórmula'!K83))*(INDEX(properties!A$1:CB$87,'Fórmula'!D83,46))+(('Fórmula'!G83)/('Fórmula'!C83+'Fórmula'!E83+'Fórmula'!G83+'Fórmula'!I83+'Fórmula'!K83))*(INDEX(properties!A$1:CB$87,'Fórmula'!F83,46))+(('Fórmula'!I83)/('Fórmula'!C83+'Fórmula'!E83+'Fórmula'!G83+'Fórmula'!I83+'Fórmula'!K83))*(INDEX(properties!A$1:CB$87,'Fórmula'!H83,46))+(('Fórmula'!K83)/('Fórmula'!C83+'Fórmula'!E83+'Fórmula'!G83+'Fórmula'!I83+'Fórmula'!K83))*(INDEX(properties!A$1:CB$87,'Fórmula'!J83,46))</f>
        <v>1.064285714</v>
      </c>
      <c r="EQ83" s="113">
        <f t="array" ref="EQ83">'Fórmula'!C83*(INDEX(properties!A$1:CB$87,'Fórmula'!B83,46))+'Fórmula'!E83*(INDEX(properties!A$1:CB$87,'Fórmula'!D83,46))+'Fórmula'!G83*(INDEX(properties!A$1:CB$87,'Fórmula'!F83,46))+'Fórmula'!I83*(INDEX(properties!A$1:CB$87,'Fórmula'!H83,46))+'Fórmula'!K83*(INDEX(properties!A$1:CB$87,'Fórmula'!J83,46))</f>
        <v>7.45</v>
      </c>
      <c r="ER83" s="113">
        <f t="array" ref="ER83">VARP(IF(INDEX(properties!A$1:CB$87,'Fórmula'!B83,46)&lt;&gt;"",INDEX(properties!A$1:CB$87,'Fórmula'!B83,46)),IF(INDEX(properties!A$1:CB$87,'Fórmula'!D83,46)&lt;&gt;"",INDEX(properties!A$1:CB$87,'Fórmula'!D83,46)),IF(INDEX(properties!A$1:CB$87,'Fórmula'!F83,46)&lt;&gt;"",INDEX(properties!A$1:CB$87,'Fórmula'!F83,46)),IF(INDEX(properties!A$1:CB$87,'Fórmula'!H83,46)&lt;&gt;"",INDEX(properties!A$1:CB$87,'Fórmula'!H83,46)),IF(INDEX(properties!A$1:CB$87,'Fórmula'!J83,46)&lt;&gt;"",INDEX(properties!A$1:CB$87,'Fórmula'!J83,46)))</f>
        <v>0.257384</v>
      </c>
      <c r="ES83" s="124">
        <f t="array" ref="ES83">MAX(INDEX(properties!A$1:CB$87,'Fórmula'!B83,46),INDEX(properties!A$1:CB$87,'Fórmula'!D83,46),INDEX(properties!A$1:CB$87,'Fórmula'!F83,46),INDEX(properties!A$1:CB$87,'Fórmula'!H83,46),INDEX(properties!A$1:CB$87,'Fórmula'!J83,46))</f>
        <v>1.21</v>
      </c>
      <c r="ET83" s="124">
        <f t="array" ref="ET83">MIN(IF(INDEX(properties!A$1:CB$87,'Fórmula'!B83,46)=0,10^6,INDEX(properties!A$1:CB$87,'Fórmula'!B83,46)),IF(INDEX(properties!A$1:CB$87,'Fórmula'!D83,46)=0,10^6,INDEX(properties!A$1:CB$87,'Fórmula'!D83,46)),IF(INDEX(properties!A$1:CB$87,'Fórmula'!F83,46)=0,10^6,INDEX(properties!A$1:CB$87,'Fórmula'!F83,46)),IF(INDEX(properties!A$1:CB$87,'Fórmula'!H83,46)=0,10^6,INDEX(properties!A$1:CB$87,'Fórmula'!H83,46)),IF(INDEX(properties!A$1:CB$87,'Fórmula'!J83,46)=0,10^6,INDEX(properties!A$1:CB$87,'Fórmula'!J83,46)))</f>
        <v>0.31</v>
      </c>
      <c r="EU83" s="113">
        <f t="shared" si="25"/>
        <v>0.9</v>
      </c>
      <c r="EV83" s="114">
        <f t="array" ref="EV83">(('Fórmula'!C83)/('Fórmula'!C83+'Fórmula'!E83+'Fórmula'!G83+'Fórmula'!I83+'Fórmula'!K83))*(INDEX(properties!A$1:CB$87,'Fórmula'!B83,52))+(('Fórmula'!E83)/('Fórmula'!C83+'Fórmula'!E83+'Fórmula'!G83+'Fórmula'!I83+'Fórmula'!K83))*(INDEX(properties!A$1:CB$87,'Fórmula'!D83,52))+(('Fórmula'!G83)/('Fórmula'!C83+'Fórmula'!E83+'Fórmula'!G83+'Fórmula'!I83+'Fórmula'!K83))*(INDEX(properties!A$1:CB$87,'Fórmula'!F83,52))+(('Fórmula'!I83)/('Fórmula'!C83+'Fórmula'!E83+'Fórmula'!G83+'Fórmula'!I83+'Fórmula'!K83))*(INDEX(properties!A$1:CB$87,'Fórmula'!H83,52))+(('Fórmula'!K83)/('Fórmula'!C83+'Fórmula'!E83+'Fórmula'!G83+'Fórmula'!I83+'Fórmula'!K83))*(INDEX(properties!A$1:CB$87,'Fórmula'!J83,52))</f>
        <v>7.596</v>
      </c>
      <c r="EW83" s="114">
        <f t="array" ref="EW83">'Fórmula'!C83*(INDEX(properties!A$1:CB$87,'Fórmula'!B83,52))+'Fórmula'!E83*(INDEX(properties!A$1:CB$87,'Fórmula'!D83,52))+'Fórmula'!G83*(INDEX(properties!A$1:CB$87,'Fórmula'!F83,52))+'Fórmula'!I83*(INDEX(properties!A$1:CB$87,'Fórmula'!H83,52))+'Fórmula'!K83*(INDEX(properties!A$1:CB$87,'Fórmula'!J83,52))</f>
        <v>53.172</v>
      </c>
      <c r="EX83" s="114">
        <f t="array" ref="EX83">VARP(IF(INDEX(properties!A$1:CB$87,'Fórmula'!B83,52)&lt;&gt;"",INDEX(properties!A$1:CB$87,'Fórmula'!B83,52)),IF(INDEX(properties!A$1:CB$87,'Fórmula'!D83,52)&lt;&gt;"",INDEX(properties!A$1:CB$87,'Fórmula'!D83,52)),IF(INDEX(properties!A$1:CB$87,'Fórmula'!F83,52)&lt;&gt;"",INDEX(properties!A$1:CB$87,'Fórmula'!F83,52)),IF(INDEX(properties!A$1:CB$87,'Fórmula'!H83,52)&lt;&gt;"",INDEX(properties!A$1:CB$87,'Fórmula'!H83,52)),IF(INDEX(properties!A$1:CB$87,'Fórmula'!J83,52)&lt;&gt;"",INDEX(properties!A$1:CB$87,'Fórmula'!J83,52)))</f>
        <v>114.8806158</v>
      </c>
      <c r="EY83" s="114">
        <f t="array" ref="EY83">MAX(INDEX(properties!A$1:CB$87,'Fórmula'!B83,52),INDEX(properties!A$1:CB$87,'Fórmula'!D83,52),INDEX(properties!A$1:CB$87,'Fórmula'!F83,52),INDEX(properties!A$1:CB$87,'Fórmula'!H83,52),INDEX(properties!A$1:CB$87,'Fórmula'!J83,52))</f>
        <v>23.6</v>
      </c>
      <c r="EZ83" s="114">
        <f t="array" ref="EZ83">MIN(IF(INDEX(properties!A$1:CB$87,'Fórmula'!B83,52)=0,10^6,INDEX(properties!A$1:CB$87,'Fórmula'!B83,52)),IF(INDEX(properties!A$1:CB$87,'Fórmula'!D83,52)=0,10^6,INDEX(properties!A$1:CB$87,'Fórmula'!D83,52)),IF(INDEX(properties!A$1:CB$87,'Fórmula'!F83,52)=0,10^6,INDEX(properties!A$1:CB$87,'Fórmula'!F83,52)),IF(INDEX(properties!A$1:CB$87,'Fórmula'!H83,52)=0,10^6,INDEX(properties!A$1:CB$87,'Fórmula'!H83,52)),IF(INDEX(properties!A$1:CB$87,'Fórmula'!J83,52)=0,10^6,INDEX(properties!A$1:CB$87,'Fórmula'!J83,52)))</f>
        <v>0.793</v>
      </c>
      <c r="FA83" s="114">
        <f t="shared" si="26"/>
        <v>22.807</v>
      </c>
      <c r="FB83" s="115">
        <f t="array" ref="FB83">(('Fórmula'!C83)/('Fórmula'!C83+'Fórmula'!E83+'Fórmula'!G83+'Fórmula'!I83+'Fórmula'!K83))*(INDEX(properties!A$1:CB$87,'Fórmula'!B83,53))+(('Fórmula'!E83)/('Fórmula'!C83+'Fórmula'!E83+'Fórmula'!G83+'Fórmula'!I83+'Fórmula'!K83))*(INDEX(properties!A$1:CB$87,'Fórmula'!D83,53))+(('Fórmula'!G83)/('Fórmula'!C83+'Fórmula'!E83+'Fórmula'!G83+'Fórmula'!I83+'Fórmula'!K83))*(INDEX(properties!A$1:CB$87,'Fórmula'!F83,53))+(('Fórmula'!I83)/('Fórmula'!C83+'Fórmula'!E83+'Fórmula'!G83+'Fórmula'!I83+'Fórmula'!K83))*(INDEX(properties!A$1:CB$87,'Fórmula'!H83,53))+(('Fórmula'!K83)/('Fórmula'!C83+'Fórmula'!E83+'Fórmula'!G83+'Fórmula'!I83+'Fórmula'!K83))*(INDEX(properties!A$1:CB$87,'Fórmula'!J83,53))</f>
        <v>288.4785714</v>
      </c>
      <c r="FC83" s="115">
        <f t="array" ref="FC83">'Fórmula'!C83*(INDEX(properties!A$1:CB$87,'Fórmula'!B83,53))+'Fórmula'!E83*(INDEX(properties!A$1:CB$87,'Fórmula'!D83,53))+'Fórmula'!G83*(INDEX(properties!A$1:CB$87,'Fórmula'!F83,53))+'Fórmula'!I83*(INDEX(properties!A$1:CB$87,'Fórmula'!H83,53))+'Fórmula'!K83*(INDEX(properties!A$1:CB$87,'Fórmula'!J83,53))</f>
        <v>2019.35</v>
      </c>
      <c r="FD83" s="115">
        <f t="array" ref="FD83">VARP(IF(INDEX(properties!A$1:CB$87,'Fórmula'!B83,53)&lt;&gt;"",INDEX(properties!A$1:CB$87,'Fórmula'!B83,53)),IF(INDEX(properties!A$1:CB$87,'Fórmula'!D83,53)&lt;&gt;"",INDEX(properties!A$1:CB$87,'Fórmula'!D83,53)),IF(INDEX(properties!A$1:CB$87,'Fórmula'!F83,53)&lt;&gt;"",INDEX(properties!A$1:CB$87,'Fórmula'!F83,53)),IF(INDEX(properties!A$1:CB$87,'Fórmula'!H83,53)&lt;&gt;"",INDEX(properties!A$1:CB$87,'Fórmula'!H83,53)),IF(INDEX(properties!A$1:CB$87,'Fórmula'!J83,53)&lt;&gt;"",INDEX(properties!A$1:CB$87,'Fórmula'!J83,53)))</f>
        <v>157969.4896</v>
      </c>
      <c r="FE83" s="115">
        <f t="array" ref="FE83">MAX(INDEX(properties!A$1:CB$87,'Fórmula'!B83,53),INDEX(properties!A$1:CB$87,'Fórmula'!D83,53),INDEX(properties!A$1:CB$87,'Fórmula'!F83,53),INDEX(properties!A$1:CB$87,'Fórmula'!H83,53),INDEX(properties!A$1:CB$87,'Fórmula'!J83,53))</f>
        <v>1112.15</v>
      </c>
      <c r="FF83" s="115">
        <f t="array" ref="FF83">MIN(IF(INDEX(properties!A$1:CB$87,'Fórmula'!B83,53)=0,10^6,INDEX(properties!A$1:CB$87,'Fórmula'!B83,53)),IF(INDEX(properties!A$1:CB$87,'Fórmula'!D83,53)=0,10^6,INDEX(properties!A$1:CB$87,'Fórmula'!D83,53)),IF(INDEX(properties!A$1:CB$87,'Fórmula'!F83,53)=0,10^6,INDEX(properties!A$1:CB$87,'Fórmula'!F83,53)),IF(INDEX(properties!A$1:CB$87,'Fórmula'!H83,53)=0,10^6,INDEX(properties!A$1:CB$87,'Fórmula'!H83,53)),IF(INDEX(properties!A$1:CB$87,'Fórmula'!J83,53)=0,10^6,INDEX(properties!A$1:CB$87,'Fórmula'!J83,53)))</f>
        <v>54.75</v>
      </c>
      <c r="FG83" s="115">
        <f t="shared" si="27"/>
        <v>1057.4</v>
      </c>
      <c r="FH83" s="117">
        <f t="array" ref="FH83">(('Fórmula'!C83)/('Fórmula'!C83+'Fórmula'!E83+'Fórmula'!G83+'Fórmula'!I83+'Fórmula'!K83))*(INDEX(properties!A$1:CB$87,'Fórmula'!B83,54))+(('Fórmula'!E83)/('Fórmula'!C83+'Fórmula'!E83+'Fórmula'!G83+'Fórmula'!I83+'Fórmula'!K83))*(INDEX(properties!A$1:CB$87,'Fórmula'!D83,54))+(('Fórmula'!G83)/('Fórmula'!C83+'Fórmula'!E83+'Fórmula'!G83+'Fórmula'!I83+'Fórmula'!K83))*(INDEX(properties!A$1:CB$87,'Fórmula'!F83,54))+(('Fórmula'!I83)/('Fórmula'!C83+'Fórmula'!E83+'Fórmula'!G83+'Fórmula'!I83+'Fórmula'!K83))*(INDEX(properties!A$1:CB$87,'Fórmula'!H83,54))+(('Fórmula'!K83)/('Fórmula'!C83+'Fórmula'!E83+'Fórmula'!G83+'Fórmula'!I83+'Fórmula'!K83))*(INDEX(properties!A$1:CB$87,'Fórmula'!J83,54))</f>
        <v>546.7214286</v>
      </c>
      <c r="FI83" s="117">
        <f t="array" ref="FI83">'Fórmula'!C83*(INDEX(properties!A$1:CB$87,'Fórmula'!B83,54))+'Fórmula'!E83*(INDEX(properties!A$1:CB$87,'Fórmula'!D83,54))+'Fórmula'!G83*(INDEX(properties!A$1:CB$87,'Fórmula'!F83,54))+'Fórmula'!I83*(INDEX(properties!A$1:CB$87,'Fórmula'!H83,54))+'Fórmula'!K83*(INDEX(properties!A$1:CB$87,'Fórmula'!J83,54))</f>
        <v>3827.05</v>
      </c>
      <c r="FJ83" s="117">
        <f t="array" ref="FJ83">VARP(IF(INDEX(properties!A$1:CB$87,'Fórmula'!B83,54)&lt;&gt;"",INDEX(properties!A$1:CB$87,'Fórmula'!B83,54)),IF(INDEX(properties!A$1:CB$87,'Fórmula'!D83,54)&lt;&gt;"",INDEX(properties!A$1:CB$87,'Fórmula'!D83,54)),IF(INDEX(properties!A$1:CB$87,'Fórmula'!F83,54)&lt;&gt;"",INDEX(properties!A$1:CB$87,'Fórmula'!F83,54)),IF(INDEX(properties!A$1:CB$87,'Fórmula'!H83,54)&lt;&gt;"",INDEX(properties!A$1:CB$87,'Fórmula'!H83,54)),IF(INDEX(properties!A$1:CB$87,'Fórmula'!J83,54)&lt;&gt;"",INDEX(properties!A$1:CB$87,'Fórmula'!J83,54)))</f>
        <v>441696.0356</v>
      </c>
      <c r="FK83" s="117">
        <f t="array" ref="FK83">MAX(INDEX(properties!A$1:CB$87,'Fórmula'!B83,54),INDEX(properties!A$1:CB$87,'Fórmula'!D83,54),INDEX(properties!A$1:CB$87,'Fórmula'!F83,54),INDEX(properties!A$1:CB$87,'Fórmula'!H83,54),INDEX(properties!A$1:CB$87,'Fórmula'!J83,54))</f>
        <v>1757.15</v>
      </c>
      <c r="FL83" s="117">
        <f t="array" ref="FL83">MIN(IF(INDEX(properties!A$1:CB$87,'Fórmula'!B83,54)=0,10^6,INDEX(properties!A$1:CB$87,'Fórmula'!B83,54)),IF(INDEX(properties!A$1:CB$87,'Fórmula'!D83,54)=0,10^6,INDEX(properties!A$1:CB$87,'Fórmula'!D83,54)),IF(INDEX(properties!A$1:CB$87,'Fórmula'!F83,54)=0,10^6,INDEX(properties!A$1:CB$87,'Fórmula'!F83,54)),IF(INDEX(properties!A$1:CB$87,'Fórmula'!H83,54)=0,10^6,INDEX(properties!A$1:CB$87,'Fórmula'!H83,54)),IF(INDEX(properties!A$1:CB$87,'Fórmula'!J83,54)=0,10^6,INDEX(properties!A$1:CB$87,'Fórmula'!J83,54)))</f>
        <v>90.15</v>
      </c>
      <c r="FM83" s="117">
        <f t="shared" si="28"/>
        <v>1667</v>
      </c>
      <c r="FN83" s="118">
        <f t="array" ref="FN83">(('Fórmula'!C83)/('Fórmula'!C83+'Fórmula'!E83+'Fórmula'!G83+'Fórmula'!I83+'Fórmula'!K83))*(INDEX(properties!A$1:CB$87,'Fórmula'!B83,55))+(('Fórmula'!E83)/('Fórmula'!C83+'Fórmula'!E83+'Fórmula'!G83+'Fórmula'!I83+'Fórmula'!K83))*(INDEX(properties!A$1:CB$87,'Fórmula'!D83,55))+(('Fórmula'!G83)/('Fórmula'!C83+'Fórmula'!E83+'Fórmula'!G83+'Fórmula'!I83+'Fórmula'!K83))*(INDEX(properties!A$1:CB$87,'Fórmula'!F83,55))+(('Fórmula'!I83)/('Fórmula'!C83+'Fórmula'!E83+'Fórmula'!G83+'Fórmula'!I83+'Fórmula'!K83))*(INDEX(properties!A$1:CB$87,'Fórmula'!H83,55))+(('Fórmula'!K83)/('Fórmula'!C83+'Fórmula'!E83+'Fórmula'!G83+'Fórmula'!I83+'Fórmula'!K83))*(INDEX(properties!A$1:CB$87,'Fórmula'!J83,55))</f>
        <v>0.62096</v>
      </c>
      <c r="FO83" s="118">
        <f t="array" ref="FO83">'Fórmula'!C83*(INDEX(properties!A$1:CB$87,'Fórmula'!B83,55))+'Fórmula'!E83*(INDEX(properties!A$1:CB$87,'Fórmula'!D83,54))+'Fórmula'!G83*(INDEX(properties!A$1:CB$87,'Fórmula'!F83,55))+'Fórmula'!I83*(INDEX(properties!A$1:CB$87,'Fórmula'!H83,55))+'Fórmula'!K83*(INDEX(properties!A$1:CB$87,'Fórmula'!J83,55))</f>
        <v>1759.94672</v>
      </c>
      <c r="FP83" s="118">
        <f t="array" ref="FP83">VARP(IF(INDEX(properties!A$1:CB$87,'Fórmula'!B83,55)&lt;&gt;"",INDEX(properties!A$1:CB$87,'Fórmula'!B83,55)),IF(INDEX(properties!A$1:CB$87,'Fórmula'!D83,55)&lt;&gt;"",INDEX(properties!A$1:CB$87,'Fórmula'!D83,55)),IF(INDEX(properties!A$1:CB$87,'Fórmula'!F83,55)&lt;&gt;"",INDEX(properties!A$1:CB$87,'Fórmula'!F83,55)),IF(INDEX(properties!A$1:CB$87,'Fórmula'!H83,55)&lt;&gt;"",INDEX(properties!A$1:CB$87,'Fórmula'!H83,55)),IF(INDEX(properties!A$1:CB$87,'Fórmula'!J83,55)&lt;&gt;"",INDEX(properties!A$1:CB$87,'Fórmula'!J83,55)))</f>
        <v>0.5772806768</v>
      </c>
      <c r="FQ83" s="118">
        <f t="array" ref="FQ83">MAX(INDEX(properties!A$1:CB$87,'Fórmula'!B83,55),INDEX(properties!A$1:CB$87,'Fórmula'!D83,55),INDEX(properties!A$1:CB$87,'Fórmula'!F83,55),INDEX(properties!A$1:CB$87,'Fórmula'!H83,55),INDEX(properties!A$1:CB$87,'Fórmula'!J83,55))</f>
        <v>1.82</v>
      </c>
      <c r="FR83" s="118">
        <f t="array" ref="FR83">MIN(IF(INDEX(properties!A$1:CB$87,'Fórmula'!B83,55)=0,10^6,INDEX(properties!A$1:CB$87,'Fórmula'!B83,55)),IF(INDEX(properties!A$1:CB$87,'Fórmula'!D83,55)=0,10^6,INDEX(properties!A$1:CB$87,'Fórmula'!D83,55)),IF(INDEX(properties!A$1:CB$87,'Fórmula'!F83,55)=0,10^6,INDEX(properties!A$1:CB$87,'Fórmula'!F83,55)),IF(INDEX(properties!A$1:CB$87,'Fórmula'!H83,55)=0,10^6,INDEX(properties!A$1:CB$87,'Fórmula'!H83,55)),IF(INDEX(properties!A$1:CB$87,'Fórmula'!J83,55)=0,10^6,INDEX(properties!A$1:CB$87,'Fórmula'!J83,55)))</f>
        <v>0.00143</v>
      </c>
      <c r="FS83" s="118">
        <f t="shared" si="29"/>
        <v>1.81857</v>
      </c>
      <c r="FT83" s="119">
        <f t="array" ref="FT83">(('Fórmula'!C83)/('Fórmula'!C83+'Fórmula'!E83+'Fórmula'!G83+'Fórmula'!I83+'Fórmula'!K83))*(INDEX(properties!A$1:CB$87,'Fórmula'!B83,56))+(('Fórmula'!E83)/('Fórmula'!C83+'Fórmula'!E83+'Fórmula'!G83+'Fórmula'!I83+'Fórmula'!K83))*(INDEX(properties!A$1:CB$87,'Fórmula'!D83,56))+(('Fórmula'!G83)/('Fórmula'!C83+'Fórmula'!E83+'Fórmula'!G83+'Fórmula'!I83+'Fórmula'!K83))*(INDEX(properties!A$1:CB$87,'Fórmula'!F83,56))+(('Fórmula'!I83)/('Fórmula'!C83+'Fórmula'!E83+'Fórmula'!G83+'Fórmula'!I83+'Fórmula'!K83))*(INDEX(properties!A$1:CB$87,'Fórmula'!H83,56))+(('Fórmula'!K83)/('Fórmula'!C83+'Fórmula'!E83+'Fórmula'!G83+'Fórmula'!I83+'Fórmula'!K83))*(INDEX(properties!A$1:CB$87,'Fórmula'!J83,56))</f>
        <v>0.9014285714</v>
      </c>
      <c r="FU83" s="119">
        <f t="array" ref="FU83">'Fórmula'!C83*(INDEX(properties!A$1:CB$87,'Fórmula'!B83,56))+'Fórmula'!E83*(INDEX(properties!A$1:CB$87,'Fórmula'!D83,56))+'Fórmula'!G83*(INDEX(properties!A$1:CB$87,'Fórmula'!F83,56))+'Fórmula'!I83*(INDEX(properties!A$1:CB$87,'Fórmula'!H83,56))+'Fórmula'!K83*(INDEX(properties!A$1:CB$87,'Fórmula'!J83,56))</f>
        <v>6.31</v>
      </c>
      <c r="FV83" s="119">
        <f t="array" ref="FV83">VARP(IF(INDEX(properties!A$1:CB$87,'Fórmula'!B83,56)&lt;&gt;"",INDEX(properties!A$1:CB$87,'Fórmula'!B83,56)),IF(INDEX(properties!A$1:CB$87,'Fórmula'!D83,56)&lt;&gt;"",INDEX(properties!A$1:CB$87,'Fórmula'!D83,56)),IF(INDEX(properties!A$1:CB$87,'Fórmula'!F83,56)&lt;&gt;"",INDEX(properties!A$1:CB$87,'Fórmula'!F83,56)),IF(INDEX(properties!A$1:CB$87,'Fórmula'!H83,56)&lt;&gt;"",INDEX(properties!A$1:CB$87,'Fórmula'!H83,56)),IF(INDEX(properties!A$1:CB$87,'Fórmula'!J83,56)&lt;&gt;"",INDEX(properties!A$1:CB$87,'Fórmula'!J83,56)))</f>
        <v>0.16572</v>
      </c>
      <c r="FW83" s="119">
        <f t="array" ref="FW83">MAX(INDEX(properties!A$1:CB$87,'Fórmula'!B83,56),INDEX(properties!A$1:CB$87,'Fórmula'!D83,56),INDEX(properties!A$1:CB$87,'Fórmula'!F83,56),INDEX(properties!A$1:CB$87,'Fórmula'!H83,56),INDEX(properties!A$1:CB$87,'Fórmula'!J83,56))</f>
        <v>1.23</v>
      </c>
      <c r="FX83" s="119">
        <f t="array" ref="FX83">MIN(IF(INDEX(properties!A$1:CB$87,'Fórmula'!B83,56)=0,10^6,INDEX(properties!A$1:CB$87,'Fórmula'!B83,56)),IF(INDEX(properties!A$1:CB$87,'Fórmula'!D83,56)=0,10^6,INDEX(properties!A$1:CB$87,'Fórmula'!D83,56)),IF(INDEX(properties!A$1:CB$87,'Fórmula'!F83,56)=0,10^6,INDEX(properties!A$1:CB$87,'Fórmula'!F83,56)),IF(INDEX(properties!A$1:CB$87,'Fórmula'!H83,56)=0,10^6,INDEX(properties!A$1:CB$87,'Fórmula'!H83,56)),IF(INDEX(properties!A$1:CB$87,'Fórmula'!J83,56)=0,10^6,INDEX(properties!A$1:CB$87,'Fórmula'!J83,56)))</f>
        <v>0.63</v>
      </c>
      <c r="FY83" s="119">
        <f t="shared" si="30"/>
        <v>0.6</v>
      </c>
      <c r="FZ83" s="104">
        <f t="array" ref="FZ83">(('Fórmula'!C83)/('Fórmula'!C83+'Fórmula'!E83+'Fórmula'!G83+'Fórmula'!I83+'Fórmula'!K83))*(INDEX(properties!A$1:CB$87,'Fórmula'!B83,57))+(('Fórmula'!E83)/('Fórmula'!C83+'Fórmula'!E83+'Fórmula'!G83+'Fórmula'!I83+'Fórmula'!K83))*(INDEX(properties!A$1:CB$87,'Fórmula'!D83,57))+(('Fórmula'!G83)/('Fórmula'!C83+'Fórmula'!E83+'Fórmula'!G83+'Fórmula'!I83+'Fórmula'!K83))*(INDEX(properties!A$1:CB$87,'Fórmula'!F83,57))+(('Fórmula'!I83)/('Fórmula'!C83+'Fórmula'!E83+'Fórmula'!G83+'Fórmula'!I83+'Fórmula'!K83))*(INDEX(properties!A$1:CB$87,'Fórmula'!H83,57))+(('Fórmula'!K83)/('Fórmula'!C83+'Fórmula'!E83+'Fórmula'!G83+'Fórmula'!I83+'Fórmula'!K83))*(INDEX(properties!A$1:CB$87,'Fórmula'!J83,57))</f>
        <v>1.812194286</v>
      </c>
      <c r="GA83" s="104">
        <f t="array" ref="GA83">'Fórmula'!C83*(INDEX(properties!A$1:CB$87,'Fórmula'!B83,57))+'Fórmula'!E83*(INDEX(properties!A$1:CB$87,'Fórmula'!D83,57))+'Fórmula'!G83*(INDEX(properties!A$1:CB$87,'Fórmula'!F83,57))+'Fórmula'!I83*(INDEX(properties!A$1:CB$87,'Fórmula'!H83,57))+'Fórmula'!K83*(INDEX(properties!A$1:CB$87,'Fórmula'!J83,57))</f>
        <v>12.68536</v>
      </c>
      <c r="GB83" s="104">
        <f t="array" ref="GB83">VARP(IF(INDEX(properties!A$1:CB$87,'Fórmula'!B83,57)&lt;&gt;"",INDEX(properties!A$1:CB$87,'Fórmula'!B83,57)),IF(INDEX(properties!A$1:CB$87,'Fórmula'!D83,57)&lt;&gt;"",INDEX(properties!A$1:CB$87,'Fórmula'!D83,57)),IF(INDEX(properties!A$1:CB$87,'Fórmula'!F83,57)&lt;&gt;"",INDEX(properties!A$1:CB$87,'Fórmula'!F83,57)),IF(INDEX(properties!A$1:CB$87,'Fórmula'!H83,57)&lt;&gt;"",INDEX(properties!A$1:CB$87,'Fórmula'!H83,57)),IF(INDEX(properties!A$1:CB$87,'Fórmula'!J83,57)&lt;&gt;"",INDEX(properties!A$1:CB$87,'Fórmula'!J83,57)))</f>
        <v>10.25558109</v>
      </c>
      <c r="GC83" s="104">
        <f t="array" ref="GC83">MAX(INDEX(properties!A$1:CB$87,'Fórmula'!B83,57),INDEX(properties!A$1:CB$87,'Fórmula'!D83,57),INDEX(properties!A$1:CB$87,'Fórmula'!F83,57),INDEX(properties!A$1:CB$87,'Fórmula'!H83,57),INDEX(properties!A$1:CB$87,'Fórmula'!J83,57))</f>
        <v>8.54</v>
      </c>
      <c r="GD83" s="104">
        <f t="array" ref="GD83">MIN(IF(INDEX(properties!A$1:CB$87,'Fórmula'!B83,57)=0,10^6,INDEX(properties!A$1:CB$87,'Fórmula'!B83,57)),IF(INDEX(properties!A$1:CB$87,'Fórmula'!D83,57)=0,10^6,INDEX(properties!A$1:CB$87,'Fórmula'!D83,57)),IF(INDEX(properties!A$1:CB$87,'Fórmula'!F83,57)=0,10^6,INDEX(properties!A$1:CB$87,'Fórmula'!F83,57)),IF(INDEX(properties!A$1:CB$87,'Fórmula'!H83,57)=0,10^6,INDEX(properties!A$1:CB$87,'Fórmula'!H83,57)),IF(INDEX(properties!A$1:CB$87,'Fórmula'!J83,57)=0,10^6,INDEX(properties!A$1:CB$87,'Fórmula'!J83,57)))</f>
        <v>0.22259</v>
      </c>
      <c r="GE83" s="104">
        <f t="shared" si="31"/>
        <v>8.31741</v>
      </c>
      <c r="GF83" s="105">
        <f t="array" ref="GF83">(('Fórmula'!C83)/('Fórmula'!C83+'Fórmula'!E83+'Fórmula'!G83+'Fórmula'!I83+'Fórmula'!K83))*(INDEX(properties!A$1:CB$87,'Fórmula'!B83,60))+(('Fórmula'!E83)/('Fórmula'!C83+'Fórmula'!E83+'Fórmula'!G83+'Fórmula'!I83+'Fórmula'!K83))*(INDEX(properties!A$1:CB$87,'Fórmula'!D83,60))+(('Fórmula'!G83)/('Fórmula'!C83+'Fórmula'!E83+'Fórmula'!G83+'Fórmula'!I83+'Fórmula'!K83))*(INDEX(properties!A$1:CB$87,'Fórmula'!F83,60))+(('Fórmula'!I83)/('Fórmula'!C83+'Fórmula'!E83+'Fórmula'!G83+'Fórmula'!I83+'Fórmula'!K83))*(INDEX(properties!A$1:CB$87,'Fórmula'!H83,60))+(('Fórmula'!K83)/('Fórmula'!C83+'Fórmula'!E83+'Fórmula'!G83+'Fórmula'!I83+'Fórmula'!K83))*(INDEX(properties!A$1:CB$87,'Fórmula'!J83,60))</f>
        <v>48.76313714</v>
      </c>
      <c r="GG83" s="105">
        <f t="array" ref="GG83">'Fórmula'!C83*(INDEX(properties!A$1:CB$87,'Fórmula'!B83,60))+'Fórmula'!E83*(INDEX(properties!A$1:CB$87,'Fórmula'!D83,60))+'Fórmula'!G83*(INDEX(properties!A$1:CB$87,'Fórmula'!F83,60))+'Fórmula'!I83*(INDEX(properties!A$1:CB$87,'Fórmula'!H83,60))+'Fórmula'!K83*(INDEX(properties!A$1:CB$87,'Fórmula'!J83,60))</f>
        <v>341.34196</v>
      </c>
      <c r="GH83" s="105">
        <f t="array" ref="GH83">VARP(IF(INDEX(properties!A$1:CB$87,'Fórmula'!B83,60)&lt;&gt;"",INDEX(properties!A$1:CB$87,'Fórmula'!B83,60)),IF(INDEX(properties!A$1:CB$87,'Fórmula'!D83,60)&lt;&gt;"",INDEX(properties!A$1:CB$87,'Fórmula'!D83,60)),IF(INDEX(properties!A$1:CB$87,'Fórmula'!F83,60)&lt;&gt;"",INDEX(properties!A$1:CB$87,'Fórmula'!F83,60)),IF(INDEX(properties!A$1:CB$87,'Fórmula'!H83,60)&lt;&gt;"",INDEX(properties!A$1:CB$87,'Fórmula'!H83,60)),IF(INDEX(properties!A$1:CB$87,'Fórmula'!J83,60)&lt;&gt;"",INDEX(properties!A$1:CB$87,'Fórmula'!J83,60)))</f>
        <v>7317.82818</v>
      </c>
      <c r="GI83" s="105">
        <f t="array" ref="GI83">MAX(INDEX(properties!A$1:CB$87,'Fórmula'!B83,60),INDEX(properties!A$1:CB$87,'Fórmula'!D83,60),INDEX(properties!A$1:CB$87,'Fórmula'!F83,60),INDEX(properties!A$1:CB$87,'Fórmula'!H83,60),INDEX(properties!A$1:CB$87,'Fórmula'!J83,60))</f>
        <v>200</v>
      </c>
      <c r="GJ83" s="105">
        <f t="array" ref="GJ83">MIN(IF(INDEX(properties!A$1:CB$87,'Fórmula'!B83,60)=0,10^6,INDEX(properties!A$1:CB$87,'Fórmula'!B83,60)),IF(INDEX(properties!A$1:CB$87,'Fórmula'!D83,60)=0,10^6,INDEX(properties!A$1:CB$87,'Fórmula'!D83,60)),IF(INDEX(properties!A$1:CB$87,'Fórmula'!F83,60)=0,10^6,INDEX(properties!A$1:CB$87,'Fórmula'!F83,60)),IF(INDEX(properties!A$1:CB$87,'Fórmula'!H83,60)=0,10^6,INDEX(properties!A$1:CB$87,'Fórmula'!H83,60)),IF(INDEX(properties!A$1:CB$87,'Fórmula'!J83,60)=0,10^6,INDEX(properties!A$1:CB$87,'Fórmula'!J83,60)))</f>
        <v>0.02674</v>
      </c>
      <c r="GK83" s="105">
        <f t="shared" si="32"/>
        <v>199.97326</v>
      </c>
      <c r="GL83" s="106">
        <f t="array" ref="GL83">(('Fórmula'!C83)/('Fórmula'!C83+'Fórmula'!E83+'Fórmula'!G83+'Fórmula'!I83+'Fórmula'!K83))*(INDEX(properties!A$1:CB$87,'Fórmula'!B83,62))+(('Fórmula'!E83)/('Fórmula'!C83+'Fórmula'!E83+'Fórmula'!G83+'Fórmula'!I83+'Fórmula'!K83))*(INDEX(properties!A$1:CB$87,'Fórmula'!D83,62))+(('Fórmula'!G83)/('Fórmula'!C83+'Fórmula'!E83+'Fórmula'!G83+'Fórmula'!I83+'Fórmula'!K83))*(INDEX(properties!A$1:CB$87,'Fórmula'!F83,62))+(('Fórmula'!I83)/('Fórmula'!C83+'Fórmula'!E83+'Fórmula'!G83+'Fórmula'!I83+'Fórmula'!K83))*(INDEX(properties!A$1:CB$87,'Fórmula'!H83,62))+(('Fórmula'!K83)/('Fórmula'!C83+'Fórmula'!E83+'Fórmula'!G83+'Fórmula'!I83+'Fórmula'!K83))*(INDEX(properties!A$1:CB$87,'Fórmula'!J83,62))</f>
        <v>2.409</v>
      </c>
      <c r="GM83" s="106">
        <f t="array" ref="GM83">'Fórmula'!C83*(INDEX(properties!A$1:CB$87,'Fórmula'!B83,62))+'Fórmula'!E83*(INDEX(properties!A$1:CB$87,'Fórmula'!D83,62))+'Fórmula'!G83*(INDEX(properties!A$1:CB$87,'Fórmula'!F83,62))+'Fórmula'!I83*(INDEX(properties!A$1:CB$87,'Fórmula'!H83,62))+'Fórmula'!K83*(INDEX(properties!A$1:CB$87,'Fórmula'!J83,62))</f>
        <v>16.863</v>
      </c>
      <c r="GN83" s="106">
        <f t="array" ref="GN83">VARP(IF(INDEX(properties!A$1:CB$87,'Fórmula'!B83,62)&lt;&gt;"",INDEX(properties!A$1:CB$87,'Fórmula'!B83,62)),IF(INDEX(properties!A$1:CB$87,'Fórmula'!D83,62)&lt;&gt;"",INDEX(properties!A$1:CB$87,'Fórmula'!D83,62)),IF(INDEX(properties!A$1:CB$87,'Fórmula'!F83,62)&lt;&gt;"",INDEX(properties!A$1:CB$87,'Fórmula'!F83,62)),IF(INDEX(properties!A$1:CB$87,'Fórmula'!H83,62)&lt;&gt;"",INDEX(properties!A$1:CB$87,'Fórmula'!H83,62)),IF(INDEX(properties!A$1:CB$87,'Fórmula'!J83,62)&lt;&gt;"",INDEX(properties!A$1:CB$87,'Fórmula'!J83,62)))</f>
        <v>1.40857344</v>
      </c>
      <c r="GO83" s="106">
        <f t="array" ref="GO83">MAX(INDEX(properties!A$1:CB$87,'Fórmula'!B83,62),INDEX(properties!A$1:CB$87,'Fórmula'!D83,62),INDEX(properties!A$1:CB$87,'Fórmula'!F83,62),INDEX(properties!A$1:CB$87,'Fórmula'!H83,62),INDEX(properties!A$1:CB$87,'Fórmula'!J83,62))</f>
        <v>3.43</v>
      </c>
      <c r="GP83" s="106">
        <f t="array" ref="GP83">MIN(IF(INDEX(properties!A$1:CB$87,'Fórmula'!B83,62)=0,10^6,INDEX(properties!A$1:CB$87,'Fórmula'!B83,62)),IF(INDEX(properties!A$1:CB$87,'Fórmula'!D83,62)=0,10^6,INDEX(properties!A$1:CB$87,'Fórmula'!D83,62)),IF(INDEX(properties!A$1:CB$87,'Fórmula'!F83,62)=0,10^6,INDEX(properties!A$1:CB$87,'Fórmula'!F83,62)),IF(INDEX(properties!A$1:CB$87,'Fórmula'!H83,62)=0,10^6,INDEX(properties!A$1:CB$87,'Fórmula'!H83,62)),IF(INDEX(properties!A$1:CB$87,'Fórmula'!J83,62)=0,10^6,INDEX(properties!A$1:CB$87,'Fórmula'!J83,62)))</f>
        <v>1.113</v>
      </c>
      <c r="GQ83" s="106">
        <f t="shared" si="33"/>
        <v>2.317</v>
      </c>
      <c r="GR83" s="106">
        <f>'Fórmula'!Q83</f>
        <v>33</v>
      </c>
      <c r="GS83" s="107">
        <f>'Fórmula'!P83</f>
        <v>3</v>
      </c>
      <c r="GT83" s="113">
        <f>'Fórmula'!O83</f>
        <v>3.11</v>
      </c>
      <c r="GU83" s="114">
        <f>AVERAGE('Fórmula'!R83/'Fórmula'!S83,'Fórmula'!S83/'Fórmula'!T83,'Fórmula'!T83/'Fórmula'!R83)</f>
        <v>1.602915628</v>
      </c>
      <c r="GV83" s="125">
        <f>'Fórmula'!U83</f>
        <v>1011.27</v>
      </c>
      <c r="GW83" s="106">
        <f>'Fórmula'!N83</f>
        <v>0.05</v>
      </c>
    </row>
    <row r="84" ht="14.25" customHeight="1">
      <c r="A84" s="99" t="str">
        <f>'Fórmula'!A84</f>
        <v>Ba3La2B4O12</v>
      </c>
      <c r="B84" s="101">
        <f t="array" ref="B84">(('Fórmula'!C84)/('Fórmula'!C84+'Fórmula'!E84+'Fórmula'!G84+'Fórmula'!I84+'Fórmula'!K84))*(INDEX(properties!A$1:CB$87,'Fórmula'!B84,3))+(('Fórmula'!E84)/('Fórmula'!C84+'Fórmula'!E84+'Fórmula'!G84+'Fórmula'!I84+'Fórmula'!K84))*(INDEX(properties!A$1:CB$87,'Fórmula'!D84,3))+(('Fórmula'!G84)/('Fórmula'!C84+'Fórmula'!E84+'Fórmula'!G84+'Fórmula'!I84+'Fórmula'!K84))*(INDEX(properties!A$1:CB$87,'Fórmula'!F84,3))+(('Fórmula'!I84)/('Fórmula'!C84+'Fórmula'!E84+'Fórmula'!G84+'Fórmula'!I84+'Fórmula'!K84))*(INDEX(properties!A$1:CB$87,'Fórmula'!H84,3))+(('Fórmula'!K84)/('Fórmula'!C84+'Fórmula'!E84+'Fórmula'!G84+'Fórmula'!I84+'Fórmula'!K84))*(INDEX(properties!A$1:CB$87,'Fórmula'!J84,3))</f>
        <v>44.04899048</v>
      </c>
      <c r="C84" s="101">
        <f t="array" ref="C84">'Fórmula'!C84*(INDEX(properties!A$1:CB$87,'Fórmula'!B84,3))+'Fórmula'!E84*(INDEX(properties!A$1:CB$87,'Fórmula'!D84,3))+'Fórmula'!G84*(INDEX(properties!A$1:CB$87,'Fórmula'!F84,3))+'Fórmula'!I84*(INDEX(properties!A$1:CB$87,'Fórmula'!H84,3))+'Fórmula'!K84*(INDEX(properties!A$1:CB$87,'Fórmula'!J84,3))</f>
        <v>925.0288</v>
      </c>
      <c r="D84" s="101">
        <f t="array" ref="D84">VARP(IF(INDEX(properties!A$1:CB$87,'Fórmula'!B84,3)&lt;&gt;"",INDEX(properties!A$1:CB$87,'Fórmula'!B84,3)),IF(INDEX(properties!A$1:CB$87,'Fórmula'!D84,3)&lt;&gt;"",INDEX(properties!A$1:CB$87,'Fórmula'!D84,3)),IF(INDEX(properties!A$1:CB$87,'Fórmula'!F84,3)&lt;&gt;"",INDEX(properties!A$1:CB$87,'Fórmula'!F84,3)),IF(INDEX(properties!A$1:CB$87,'Fórmula'!H84,3)&lt;&gt;"",INDEX(properties!A$1:CB$87,'Fórmula'!H84,3)),IF(INDEX(properties!A$1:CB$87,'Fórmula'!J84,3)&lt;&gt;"",INDEX(properties!A$1:CB$87,'Fórmula'!J84,3)))</f>
        <v>4031.860307</v>
      </c>
      <c r="E84" s="101">
        <f t="array" ref="E84">MAX(INDEX(properties!A$1:CB$87,'Fórmula'!B84,3),INDEX(properties!A$1:CB$87,'Fórmula'!D84,3),INDEX(properties!A$1:CB$87,'Fórmula'!F84,3),INDEX(properties!A$1:CB$87,'Fórmula'!H84,3),INDEX(properties!A$1:CB$87,'Fórmula'!J84,3))</f>
        <v>138.9055</v>
      </c>
      <c r="F84" s="101">
        <f t="array" ref="F84">MIN(IF(INDEX(properties!A$1:CB$87,'Fórmula'!B84,3)=0,10^6,INDEX(properties!A$1:CB$87,'Fórmula'!B84,3)),IF(INDEX(properties!A$1:CB$87,'Fórmula'!D84,3)=0,10^6,INDEX(properties!A$1:CB$87,'Fórmula'!D84,3)),IF(INDEX(properties!A$1:CB$87,'Fórmula'!F84,3)=0,10^6,INDEX(properties!A$1:CB$87,'Fórmula'!F84,3)),IF(INDEX(properties!A$1:CB$87,'Fórmula'!H84,3)=0,10^6,INDEX(properties!A$1:CB$87,'Fórmula'!H84,3)),IF(INDEX(properties!A$1:CB$87,'Fórmula'!J84,3)=0,10^6,INDEX(properties!A$1:CB$87,'Fórmula'!J84,3)))</f>
        <v>10.811</v>
      </c>
      <c r="G84" s="101">
        <f t="shared" si="1"/>
        <v>128.0945</v>
      </c>
      <c r="H84" s="102">
        <f t="array" ref="H84">(('Fórmula'!C84)/('Fórmula'!C84+'Fórmula'!E84+'Fórmula'!G84+'Fórmula'!I84+'Fórmula'!K84))*(INDEX(properties!A$1:CB$87,'Fórmula'!B84,4))+(('Fórmula'!E84)/('Fórmula'!C84+'Fórmula'!E84+'Fórmula'!G84+'Fórmula'!I84+'Fórmula'!K84))*(INDEX(properties!A$1:CB$87,'Fórmula'!D84,4))+(('Fórmula'!G84)/('Fórmula'!C84+'Fórmula'!E84+'Fórmula'!G84+'Fórmula'!I84+'Fórmula'!K84))*(INDEX(properties!A$1:CB$87,'Fórmula'!F84,4))+(('Fórmula'!I84)/('Fórmula'!C84+'Fórmula'!E84+'Fórmula'!G84+'Fórmula'!I84+'Fórmula'!K84))*(INDEX(properties!A$1:CB$87,'Fórmula'!H84,4))+(('Fórmula'!K84)/('Fórmula'!C84+'Fórmula'!E84+'Fórmula'!G84+'Fórmula'!I84+'Fórmula'!K84))*(INDEX(properties!A$1:CB$87,'Fórmula'!J84,4))</f>
        <v>18.95238095</v>
      </c>
      <c r="I84" s="102">
        <f t="array" ref="I84">'Fórmula'!C84*(INDEX(properties!A$1:CB$87,'Fórmula'!B84,4))+'Fórmula'!E84*(INDEX(properties!A$1:CB$87,'Fórmula'!D84,4))+'Fórmula'!G84*(INDEX(properties!A$1:CB$87,'Fórmula'!F84,4))+'Fórmula'!I84*(INDEX(properties!A$1:CB$87,'Fórmula'!H84,4))+'Fórmula'!K84*(INDEX(properties!A$1:CB$87,'Fórmula'!J84,4))</f>
        <v>398</v>
      </c>
      <c r="J84" s="102">
        <f t="array" ref="J84">VARP(IF(INDEX(properties!A$1:CB$87,'Fórmula'!B84,4)&lt;&gt;"",INDEX(properties!A$1:CB$87,'Fórmula'!B84,4)),IF(INDEX(properties!A$1:CB$87,'Fórmula'!D84,4)&lt;&gt;"",INDEX(properties!A$1:CB$87,'Fórmula'!D84,4)),IF(INDEX(properties!A$1:CB$87,'Fórmula'!F84,4)&lt;&gt;"",INDEX(properties!A$1:CB$87,'Fórmula'!F84,4)),IF(INDEX(properties!A$1:CB$87,'Fórmula'!H84,4)&lt;&gt;"",INDEX(properties!A$1:CB$87,'Fórmula'!H84,4)),IF(INDEX(properties!A$1:CB$87,'Fórmula'!J84,4)&lt;&gt;"",INDEX(properties!A$1:CB$87,'Fórmula'!J84,4)))</f>
        <v>659.76</v>
      </c>
      <c r="K84" s="102">
        <f t="array" ref="K84">MAX(INDEX(properties!A$1:CB$87,'Fórmula'!B84,4),INDEX(properties!A$1:CB$87,'Fórmula'!D84,4),INDEX(properties!A$1:CB$87,'Fórmula'!F84,4),INDEX(properties!A$1:CB$87,'Fórmula'!H84,4),INDEX(properties!A$1:CB$87,'Fórmula'!J84,4))</f>
        <v>57</v>
      </c>
      <c r="L84" s="102">
        <f t="array" ref="L84">MIN(IF(INDEX(properties!A$1:CB$87,'Fórmula'!B84,4)=0,10^6,INDEX(properties!A$1:CB$87,'Fórmula'!B84,4)),IF(INDEX(properties!A$1:CB$87,'Fórmula'!D84,4)=0,10^6,INDEX(properties!A$1:CB$87,'Fórmula'!D84,4)),IF(INDEX(properties!A$1:CB$87,'Fórmula'!F84,4)=0,10^6,INDEX(properties!A$1:CB$87,'Fórmula'!F84,4)),IF(INDEX(properties!A$1:CB$87,'Fórmula'!H84,4)=0,10^6,INDEX(properties!A$1:CB$87,'Fórmula'!H84,4)),IF(INDEX(properties!A$1:CB$87,'Fórmula'!J84,4)=0,10^6,INDEX(properties!A$1:CB$87,'Fórmula'!J84,4)))</f>
        <v>5</v>
      </c>
      <c r="M84" s="102">
        <f t="shared" si="2"/>
        <v>52</v>
      </c>
      <c r="N84" s="103">
        <f t="array" ref="N84">(('Fórmula'!C84)/('Fórmula'!C84+'Fórmula'!E84+'Fórmula'!G84+'Fórmula'!I84+'Fórmula'!K84))*(INDEX(properties!A$1:CB$87,'Fórmula'!B84,5))+(('Fórmula'!E84)/('Fórmula'!C84+'Fórmula'!E84+'Fórmula'!G84+'Fórmula'!I84+'Fórmula'!K84))*(INDEX(properties!A$1:CB$87,'Fórmula'!D84,5))+(('Fórmula'!G84)/('Fórmula'!C84+'Fórmula'!E84+'Fórmula'!G84+'Fórmula'!I84+'Fórmula'!K84))*(INDEX(properties!A$1:CB$87,'Fórmula'!F84,5))+(('Fórmula'!I84)/('Fórmula'!C84+'Fórmula'!E84+'Fórmula'!G84+'Fórmula'!I84+'Fórmula'!K84))*(INDEX(properties!A$1:CB$87,'Fórmula'!H84,5))+(('Fórmula'!K84)/('Fórmula'!C84+'Fórmula'!E84+'Fórmula'!G84+'Fórmula'!I84+'Fórmula'!K84))*(INDEX(properties!A$1:CB$87,'Fórmula'!J84,5))</f>
        <v>2.952380952</v>
      </c>
      <c r="O84" s="103">
        <f t="array" ref="O84">'Fórmula'!C84*(INDEX(properties!A$1:CB$87,'Fórmula'!B84,5))+'Fórmula'!E84*(INDEX(properties!A$1:CB$87,'Fórmula'!D84,5))+'Fórmula'!G84*(INDEX(properties!A$1:CB$87,'Fórmula'!F84,5))+'Fórmula'!I84*(INDEX(properties!A$1:CB$87,'Fórmula'!H84,5))+'Fórmula'!K84*(INDEX(properties!A$1:CB$87,'Fórmula'!J84,5))</f>
        <v>62</v>
      </c>
      <c r="P84" s="103">
        <f t="array" ref="P84">VARP(IF(INDEX(properties!A$1:CB$87,'Fórmula'!B84,5)&lt;&gt;"",INDEX(properties!A$1:CB$87,'Fórmula'!B84,5)),IF(INDEX(properties!A$1:CB$87,'Fórmula'!D84,5)&lt;&gt;"",INDEX(properties!A$1:CB$87,'Fórmula'!D84,5)),IF(INDEX(properties!A$1:CB$87,'Fórmula'!F84,5)&lt;&gt;"",INDEX(properties!A$1:CB$87,'Fórmula'!F84,5)),IF(INDEX(properties!A$1:CB$87,'Fórmula'!H84,5)&lt;&gt;"",INDEX(properties!A$1:CB$87,'Fórmula'!H84,5)),IF(INDEX(properties!A$1:CB$87,'Fórmula'!J84,5)&lt;&gt;"",INDEX(properties!A$1:CB$87,'Fórmula'!J84,5)))</f>
        <v>5.76</v>
      </c>
      <c r="Q84" s="103">
        <f t="array" ref="Q84">MAX(INDEX(properties!A$1:CB$87,'Fórmula'!B84,5),INDEX(properties!A$1:CB$87,'Fórmula'!D84,5),INDEX(properties!A$1:CB$87,'Fórmula'!F84,5),INDEX(properties!A$1:CB$87,'Fórmula'!H84,5),INDEX(properties!A$1:CB$87,'Fórmula'!J84,5))</f>
        <v>6</v>
      </c>
      <c r="R84" s="103">
        <f t="array" ref="R84">MIN(IF(INDEX(properties!A$1:CB$87,'Fórmula'!B84,5)=0,10^6,INDEX(properties!A$1:CB$87,'Fórmula'!B84,5)),IF(INDEX(properties!A$1:CB$87,'Fórmula'!D84,5)=0,10^6,INDEX(properties!A$1:CB$87,'Fórmula'!D84,5)),IF(INDEX(properties!A$1:CB$87,'Fórmula'!F84,5)=0,10^6,INDEX(properties!A$1:CB$87,'Fórmula'!F84,5)),IF(INDEX(properties!A$1:CB$87,'Fórmula'!H84,5)=0,10^6,INDEX(properties!A$1:CB$87,'Fórmula'!H84,5)),IF(INDEX(properties!A$1:CB$87,'Fórmula'!J84,5)=0,10^6,INDEX(properties!A$1:CB$87,'Fórmula'!J84,5)))</f>
        <v>2</v>
      </c>
      <c r="S84" s="103">
        <f t="shared" si="3"/>
        <v>4</v>
      </c>
      <c r="T84" s="104">
        <f t="array" ref="T84">(('Fórmula'!C84)/('Fórmula'!C84+'Fórmula'!E84+'Fórmula'!G84+'Fórmula'!I84+'Fórmula'!K84))*(INDEX(properties!A$1:CB$87,'Fórmula'!B84,6))+(('Fórmula'!E84)/('Fórmula'!C84+'Fórmula'!E84+'Fórmula'!G84+'Fórmula'!I84+'Fórmula'!K84))*(INDEX(properties!A$1:CB$87,'Fórmula'!D84,6))+(('Fórmula'!G84)/('Fórmula'!C84+'Fórmula'!E84+'Fórmula'!G84+'Fórmula'!I84+'Fórmula'!K84))*(INDEX(properties!A$1:CB$87,'Fórmula'!F84,6))+(('Fórmula'!I84)/('Fórmula'!C84+'Fórmula'!E84+'Fórmula'!G84+'Fórmula'!I84+'Fórmula'!K84))*(INDEX(properties!A$1:CB$87,'Fórmula'!H84,6))+(('Fórmula'!K84)/('Fórmula'!C84+'Fórmula'!E84+'Fórmula'!G84+'Fórmula'!I84+'Fórmula'!K84))*(INDEX(properties!A$1:CB$87,'Fórmula'!J84,6))</f>
        <v>12.19047619</v>
      </c>
      <c r="U84" s="104">
        <f t="array" ref="U84">'Fórmula'!C84*(INDEX(properties!A$1:CB$87,'Fórmula'!B84,6))+'Fórmula'!E84*(INDEX(properties!A$1:CB$87,'Fórmula'!D84,6))+'Fórmula'!G84*(INDEX(properties!A$1:CB$87,'Fórmula'!F84,6))+'Fórmula'!I84*(INDEX(properties!A$1:CB$87,'Fórmula'!H84,6))+'Fórmula'!K84*(INDEX(properties!A$1:CB$87,'Fórmula'!J84,6))</f>
        <v>256</v>
      </c>
      <c r="V84" s="103">
        <f t="array" ref="V84">VARP(IF(INDEX(properties!A$1:CB$87,'Fórmula'!B84,6)&lt;&gt;"",INDEX(properties!A$1:CB$87,'Fórmula'!B84,6)),IF(INDEX(properties!A$1:CB$87,'Fórmula'!D84,6)&lt;&gt;"",INDEX(properties!A$1:CB$87,'Fórmula'!D84,6)),IF(INDEX(properties!A$1:CB$87,'Fórmula'!F84,6)&lt;&gt;"",INDEX(properties!A$1:CB$87,'Fórmula'!F84,6)),IF(INDEX(properties!A$1:CB$87,'Fórmula'!H84,6)&lt;&gt;"",INDEX(properties!A$1:CB$87,'Fórmula'!H84,6)),IF(INDEX(properties!A$1:CB$87,'Fórmula'!J84,6)&lt;&gt;"",INDEX(properties!A$1:CB$87,'Fórmula'!J84,6)))</f>
        <v>41.36</v>
      </c>
      <c r="W84" s="104">
        <f t="array" ref="W84">MAX(INDEX(properties!A$1:CB$87,'Fórmula'!B84,6),INDEX(properties!A$1:CB$87,'Fórmula'!D84,6),INDEX(properties!A$1:CB$87,'Fórmula'!F84,6),INDEX(properties!A$1:CB$87,'Fórmula'!H84,4),INDEX(properties!A$1:CB$87,'Fórmula'!J84,6))</f>
        <v>13</v>
      </c>
      <c r="X84" s="104">
        <f t="array" ref="X84">MIN(IF(INDEX(properties!A$1:CB$87,'Fórmula'!B84,6)=0,10^6,INDEX(properties!A$1:CB$87,'Fórmula'!B84,6)),IF(INDEX(properties!A$1:CB$87,'Fórmula'!D84,6)=0,10^6,INDEX(properties!A$1:CB$87,'Fórmula'!D84,6)),IF(INDEX(properties!A$1:CB$87,'Fórmula'!F84,6)=0,10^6,INDEX(properties!A$1:CB$87,'Fórmula'!F84,6)),IF(INDEX(properties!A$1:CB$87,'Fórmula'!H84,6)=0,10^6,INDEX(properties!A$1:CB$87,'Fórmula'!H84,6)),IF(INDEX(properties!A$1:CB$87,'Fórmula'!J84,6)=0,10^6,INDEX(properties!A$1:CB$87,'Fórmula'!J84,6)))</f>
        <v>2</v>
      </c>
      <c r="Y84" s="104">
        <f t="shared" si="4"/>
        <v>11</v>
      </c>
      <c r="Z84" s="105">
        <f t="array" ref="Z84">(('Fórmula'!C84)/('Fórmula'!C84+'Fórmula'!E84+'Fórmula'!G84+'Fórmula'!I84+'Fórmula'!K84))*(INDEX(properties!A$1:CB$87,'Fórmula'!B84,9))+(('Fórmula'!E84)/('Fórmula'!C84+'Fórmula'!E84+'Fórmula'!G84+'Fórmula'!I84+'Fórmula'!K84))*(INDEX(properties!A$1:CB$87,'Fórmula'!D84,9))+(('Fórmula'!G84)/('Fórmula'!C84+'Fórmula'!E84+'Fórmula'!G84+'Fórmula'!I84+'Fórmula'!K84))*(INDEX(properties!A$1:CB$87,'Fórmula'!F84,9))+(('Fórmula'!I84)/('Fórmula'!C84+'Fórmula'!E84+'Fórmula'!G84+'Fórmula'!I84+'Fórmula'!K84))*(INDEX(properties!A$1:CB$87,'Fórmula'!H84,9))+(('Fórmula'!K84)/('Fórmula'!C84+'Fórmula'!E84+'Fórmula'!G84+'Fórmula'!I84+'Fórmula'!K84))*(INDEX(properties!A$1:CB$87,'Fórmula'!J84,9))</f>
        <v>65.95238095</v>
      </c>
      <c r="AA84" s="105">
        <f t="array" ref="AA84">'Fórmula'!C84*(INDEX(properties!A$1:CB$87,'Fórmula'!B84,9))+'Fórmula'!E84*(INDEX(properties!A$1:CB$87,'Fórmula'!D84,9))+'Fórmula'!G84*(INDEX(properties!A$1:CB$87,'Fórmula'!F84,9))+'Fórmula'!I84*(INDEX(properties!A$1:CB$87,'Fórmula'!H84,9))+'Fórmula'!K84*(INDEX(properties!A$1:CB$87,'Fórmula'!J84,9))</f>
        <v>1385</v>
      </c>
      <c r="AB84" s="105">
        <f t="array" ref="AB84">VARP(IF(INDEX(properties!A$1:CB$87,'Fórmula'!B84,9)&lt;&gt;"",INDEX(properties!A$1:CB$87,'Fórmula'!B84,9)),IF(INDEX(properties!A$1:CB$87,'Fórmula'!D84,9)&lt;&gt;"",INDEX(properties!A$1:CB$87,'Fórmula'!D84,9)),IF(INDEX(properties!A$1:CB$87,'Fórmula'!F84,9)&lt;&gt;"",INDEX(properties!A$1:CB$87,'Fórmula'!F84,9)),IF(INDEX(properties!A$1:CB$87,'Fórmula'!H84,9)&lt;&gt;"",INDEX(properties!A$1:CB$87,'Fórmula'!H84,9)),IF(INDEX(properties!A$1:CB$87,'Fórmula'!J84,9)&lt;&gt;"",INDEX(properties!A$1:CB$87,'Fórmula'!J84,9)))</f>
        <v>1290.16</v>
      </c>
      <c r="AC84" s="105">
        <f t="array" ref="AC84">MAX(INDEX(properties!A$1:CB$87,'Fórmula'!B84,9),INDEX(properties!A$1:CB$87,'Fórmula'!D84,9),INDEX(properties!A$1:CB$87,'Fórmula'!F84,9),INDEX(properties!A$1:CB$87,'Fórmula'!H84,9),INDEX(properties!A$1:CB$87,'Fórmula'!J84,9))</f>
        <v>87</v>
      </c>
      <c r="AD84" s="105">
        <f t="array" ref="AD84">MIN(IF(INDEX(properties!A$1:CB$87,'Fórmula'!B84,9)=0,10^6,INDEX(properties!A$1:CB$87,'Fórmula'!B84,9)),IF(INDEX(properties!A$1:CB$87,'Fórmula'!D84,9)=0,10^6,INDEX(properties!A$1:CB$87,'Fórmula'!D84,9)),IF(INDEX(properties!A$1:CB$87,'Fórmula'!F84,9)=0,10^6,INDEX(properties!A$1:CB$87,'Fórmula'!F84,9)),IF(INDEX(properties!A$1:CB$87,'Fórmula'!H84,9)=0,10^6,INDEX(properties!A$1:CB$87,'Fórmula'!H84,9)),IF(INDEX(properties!A$1:CB$87,'Fórmula'!J84,9)=0,10^6,INDEX(properties!A$1:CB$87,'Fórmula'!J84,9)))</f>
        <v>9</v>
      </c>
      <c r="AE84" s="105">
        <f t="shared" si="5"/>
        <v>78</v>
      </c>
      <c r="AF84" s="106">
        <f t="array" ref="AF84">(('Fórmula'!C84)/('Fórmula'!C84+'Fórmula'!E84+'Fórmula'!G84+'Fórmula'!I84+'Fórmula'!K84))*(INDEX(properties!A$1:CB$87,'Fórmula'!B84,10))+(('Fórmula'!E84)/('Fórmula'!C84+'Fórmula'!E84+'Fórmula'!G84+'Fórmula'!I84+'Fórmula'!K84))*(INDEX(properties!A$1:CB$87,'Fórmula'!D84,10))+(('Fórmula'!G84)/('Fórmula'!C84+'Fórmula'!E84+'Fórmula'!G84+'Fórmula'!I84+'Fórmula'!K84))*(INDEX(properties!A$1:CB$87,'Fórmula'!F84,10))+(('Fórmula'!I84)/('Fórmula'!C84+'Fórmula'!E84+'Fórmula'!G84+'Fórmula'!I84+'Fórmula'!K84))*(INDEX(properties!A$1:CB$87,'Fórmula'!H84,10))+(('Fórmula'!K84)/('Fórmula'!C84+'Fórmula'!E84+'Fórmula'!G84+'Fórmula'!I84+'Fórmula'!K84))*(INDEX(properties!A$1:CB$87,'Fórmula'!J84,10))</f>
        <v>5.714285714</v>
      </c>
      <c r="AG84" s="106">
        <f t="array" ref="AG84">'Fórmula'!C84*(INDEX(properties!A$1:CB$87,'Fórmula'!B84,10))+'Fórmula'!E84*(INDEX(properties!A$1:CB$87,'Fórmula'!D84,10))+'Fórmula'!G84*(INDEX(properties!A$1:CB$87,'Fórmula'!F84,10))+'Fórmula'!I84*(INDEX(properties!A$1:CB$87,'Fórmula'!H84,10))+'Fórmula'!K84*(INDEX(properties!A$1:CB$87,'Fórmula'!J84,10))</f>
        <v>120</v>
      </c>
      <c r="AH84" s="106">
        <f t="array" ref="AH84">VARP(IF(INDEX(properties!A$1:CB$87,'Fórmula'!B84,10)&lt;&gt;"",INDEX(properties!A$1:CB$87,'Fórmula'!B84,10)),IF(INDEX(properties!A$1:CB$87,'Fórmula'!D84,10)&lt;&gt;"",INDEX(properties!A$1:CB$87,'Fórmula'!D84,10)),IF(INDEX(properties!A$1:CB$87,'Fórmula'!F84,10)&lt;&gt;"",INDEX(properties!A$1:CB$87,'Fórmula'!F84,10)),IF(INDEX(properties!A$1:CB$87,'Fórmula'!H84,10)&lt;&gt;"",INDEX(properties!A$1:CB$87,'Fórmula'!H84,10)),IF(INDEX(properties!A$1:CB$87,'Fórmula'!J84,10)&lt;&gt;"",INDEX(properties!A$1:CB$87,'Fórmula'!J84,10)))</f>
        <v>6.64</v>
      </c>
      <c r="AI84" s="106">
        <f t="array" ref="AI84">MAX(INDEX(properties!A$1:CB$87,'Fórmula'!B84,10),INDEX(properties!A$1:CB$87,'Fórmula'!D84,10),INDEX(properties!A$1:CB$87,'Fórmula'!F84,10),INDEX(properties!A$1:CB$87,'Fórmula'!H84,10),INDEX(properties!A$1:CB$87,'Fórmula'!J84,10))</f>
        <v>7</v>
      </c>
      <c r="AJ84" s="106">
        <f t="array" ref="AJ84">MIN(IF(INDEX(properties!A$1:CB$87,'Fórmula'!B84,10)=0,10^6,INDEX(properties!A$1:CB$87,'Fórmula'!B84,10)),IF(INDEX(properties!A$1:CB$87,'Fórmula'!D84,10)=0,10^6,INDEX(properties!A$1:CB$87,'Fórmula'!D84,10)),IF(INDEX(properties!A$1:CB$87,'Fórmula'!F84,10)=0,10^6,INDEX(properties!A$1:CB$87,'Fórmula'!F84,10)),IF(INDEX(properties!A$1:CB$87,'Fórmula'!H84,10)=0,10^6,INDEX(properties!A$1:CB$87,'Fórmula'!H84,10)),IF(INDEX(properties!A$1:CB$87,'Fórmula'!J84,10)=0,10^6,INDEX(properties!A$1:CB$87,'Fórmula'!J84,10)))</f>
        <v>2</v>
      </c>
      <c r="AK84" s="106">
        <f t="shared" si="6"/>
        <v>5</v>
      </c>
      <c r="AL84" s="107">
        <f t="array" ref="AL84">(('Fórmula'!C84)/('Fórmula'!C84+'Fórmula'!E84+'Fórmula'!G84+'Fórmula'!I84+'Fórmula'!K84))*(INDEX(properties!A$1:CB$87,'Fórmula'!B84,11))+(('Fórmula'!E84)/('Fórmula'!C84+'Fórmula'!E84+'Fórmula'!G84+'Fórmula'!I84+'Fórmula'!K84))*(INDEX(properties!A$1:CB$87,'Fórmula'!D84,11))+(('Fórmula'!G84)/('Fórmula'!C84+'Fórmula'!E84+'Fórmula'!G84+'Fórmula'!I84+'Fórmula'!K84))*(INDEX(properties!A$1:CB$87,'Fórmula'!F84,11))+(('Fórmula'!I84)/('Fórmula'!C84+'Fórmula'!E84+'Fórmula'!G84+'Fórmula'!I84+'Fórmula'!K84))*(INDEX(properties!A$1:CB$87,'Fórmula'!H84,11))+(('Fórmula'!K84)/('Fórmula'!C84+'Fórmula'!E84+'Fórmula'!G84+'Fórmula'!I84+'Fórmula'!K84))*(INDEX(properties!A$1:CB$87,'Fórmula'!J84,11))</f>
        <v>2</v>
      </c>
      <c r="AM84" s="107">
        <f t="array" ref="AM84">'Fórmula'!C84*(INDEX(properties!A$1:CB$87,'Fórmula'!B84,11))+'Fórmula'!E84*(INDEX(properties!A$1:CB$87,'Fórmula'!D84,11))+'Fórmula'!G84*(INDEX(properties!A$1:CB$87,'Fórmula'!F84,11))+'Fórmula'!I84*(INDEX(properties!A$1:CB$87,'Fórmula'!H84,11))+'Fórmula'!K84*(INDEX(properties!A$1:CB$87,'Fórmula'!J84,11))</f>
        <v>42</v>
      </c>
      <c r="AN84" s="107">
        <f t="array" ref="AN84">VARP(IF(INDEX(properties!A$1:CB$87,'Fórmula'!B84,11)&lt;&gt;"",INDEX(properties!A$1:CB$87,'Fórmula'!B84,11)),IF(INDEX(properties!A$1:CB$87,'Fórmula'!D84,11)&lt;&gt;"",INDEX(properties!A$1:CB$87,'Fórmula'!D84,11)),IF(INDEX(properties!A$1:CB$87,'Fórmula'!F84,11)&lt;&gt;"",INDEX(properties!A$1:CB$87,'Fórmula'!F84,11)),IF(INDEX(properties!A$1:CB$87,'Fórmula'!H84,11)&lt;&gt;"",INDEX(properties!A$1:CB$87,'Fórmula'!H84,11)),IF(INDEX(properties!A$1:CB$87,'Fórmula'!J84,11)&lt;&gt;"",INDEX(properties!A$1:CB$87,'Fórmula'!J84,11)))</f>
        <v>0.64</v>
      </c>
      <c r="AO84" s="107">
        <f t="array" ref="AO84">MAX(INDEX(properties!A$1:CB$87,'Fórmula'!B84,11),INDEX(properties!A$1:CB$87,'Fórmula'!D84,11),INDEX(properties!A$1:CB$87,'Fórmula'!F84,11),INDEX(properties!A$1:CB$87,'Fórmula'!H84,11),INDEX(properties!A$1:CB$87,'Fórmula'!J84,11))</f>
        <v>2</v>
      </c>
      <c r="AP84" s="107">
        <f t="array" ref="AP84">MIN(IF('Fórmula'!B84=87,10^6,INDEX(properties!A$1:CB$87,'Fórmula'!B84,11)),IF(('Fórmula'!D84)=87,10^6,INDEX(properties!A$1:CB$87,'Fórmula'!D84,11)),IF(('Fórmula'!F84)=87,10^6,INDEX(properties!A$1:CB$87,'Fórmula'!F84,11)),IF(('Fórmula'!H84)=87,10^6,INDEX(properties!A$1:CB$87,'Fórmula'!H84,11)),IF('Fórmula'!J84=87,10^6,INDEX(properties!A$1:CB$87,'Fórmula'!J84,11)))</f>
        <v>2</v>
      </c>
      <c r="AQ84" s="107">
        <f t="shared" si="7"/>
        <v>0</v>
      </c>
      <c r="AR84" s="108">
        <f t="array" ref="AR84">(('Fórmula'!C84)/('Fórmula'!C84+'Fórmula'!E84+'Fórmula'!G84+'Fórmula'!I84+'Fórmula'!K84))*(INDEX(properties!A$1:CB$87,'Fórmula'!B84,12))+(('Fórmula'!E84)/('Fórmula'!C84+'Fórmula'!E84+'Fórmula'!G84+'Fórmula'!I84+'Fórmula'!K84))*(INDEX(properties!A$1:CB$87,'Fórmula'!D84,12))+(('Fórmula'!G84)/('Fórmula'!C84+'Fórmula'!E84+'Fórmula'!G84+'Fórmula'!I84+'Fórmula'!K84))*(INDEX(properties!A$1:CB$87,'Fórmula'!F84,12))+(('Fórmula'!I84)/('Fórmula'!C84+'Fórmula'!E84+'Fórmula'!G84+'Fórmula'!I84+'Fórmula'!K84))*(INDEX(properties!A$1:CB$87,'Fórmula'!H84,12))+(('Fórmula'!K84)/('Fórmula'!C84+'Fórmula'!E84+'Fórmula'!G84+'Fórmula'!I84+'Fórmula'!K84))*(INDEX(properties!A$1:CB$87,'Fórmula'!J84,12))</f>
        <v>2.476190476</v>
      </c>
      <c r="AS84" s="108">
        <f t="array" ref="AS84">'Fórmula'!C84*(INDEX(properties!A$1:CB$87,'Fórmula'!B84,12))+'Fórmula'!E84*(INDEX(properties!A$1:CB$87,'Fórmula'!D84,12))+'Fórmula'!G84*(INDEX(properties!A$1:CB$87,'Fórmula'!F84,12))+'Fórmula'!I84*(INDEX(properties!A$1:CB$87,'Fórmula'!H84,12))+'Fórmula'!K84*(INDEX(properties!A$1:CB$87,'Fórmula'!J84,12))</f>
        <v>52</v>
      </c>
      <c r="AT84" s="108">
        <f t="array" ref="AT84">VARP(IF(INDEX(properties!A$1:CB$87,'Fórmula'!B84,12)&lt;&gt;"",INDEX(properties!A$1:CB$87,'Fórmula'!B84,12)),IF(INDEX(properties!A$1:CB$87,'Fórmula'!D84,12)&lt;&gt;"",INDEX(properties!A$1:CB$87,'Fórmula'!D84,12)),IF(INDEX(properties!A$1:CB$87,'Fórmula'!F84,12)&lt;&gt;"",INDEX(properties!A$1:CB$87,'Fórmula'!F84,12)),IF(INDEX(properties!A$1:CB$87,'Fórmula'!H84,12)&lt;&gt;"",INDEX(properties!A$1:CB$87,'Fórmula'!H84,12)),IF(INDEX(properties!A$1:CB$87,'Fórmula'!J84,12)&lt;&gt;"",INDEX(properties!A$1:CB$87,'Fórmula'!J84,12)))</f>
        <v>2.4</v>
      </c>
      <c r="AU84" s="108">
        <f t="array" ref="AU84">MAX(INDEX(properties!A$1:CB$87,'Fórmula'!B84,12),INDEX(properties!A$1:CB$87,'Fórmula'!D84,12),INDEX(properties!A$1:CB$87,'Fórmula'!F84,12),INDEX(properties!A$1:CB$87,'Fórmula'!H84,12),INDEX(properties!A$1:CB$87,'Fórmula'!J84,12))</f>
        <v>4</v>
      </c>
      <c r="AV84" s="108">
        <f t="array" ref="AV84">MIN(IF('Fórmula'!B84=87,10^6,INDEX(properties!A$1:CB$87,'Fórmula'!B84,12)),IF(('Fórmula'!D84)=87,10^6,INDEX(properties!A$1:CB$87,'Fórmula'!D84,12)),IF(('Fórmula'!F84)=87,10^6,INDEX(properties!A$1:CB$87,'Fórmula'!F84,12)),IF(('Fórmula'!H84)=87,10^6,INDEX(properties!A$1:CB$87,'Fórmula'!H84,12)),IF('Fórmula'!J84=87,10^6,INDEX(properties!A$1:CB$87,'Fórmula'!J84,12)))</f>
        <v>0</v>
      </c>
      <c r="AW84" s="108">
        <f t="shared" si="8"/>
        <v>4</v>
      </c>
      <c r="AX84" s="109">
        <f t="array" ref="AX84">(('Fórmula'!C84)/('Fórmula'!C84+'Fórmula'!E84+'Fórmula'!G84+'Fórmula'!I84+'Fórmula'!K84))*(INDEX(properties!A$1:CB$87,'Fórmula'!B84,13))+(('Fórmula'!E84)/('Fórmula'!C84+'Fórmula'!E84+'Fórmula'!G84+'Fórmula'!I84+'Fórmula'!K84))*(INDEX(properties!A$1:CB$87,'Fórmula'!D84,13))+(('Fórmula'!G84)/('Fórmula'!C84+'Fórmula'!E84+'Fórmula'!G84+'Fórmula'!I84+'Fórmula'!K84))*(INDEX(properties!A$1:CB$87,'Fórmula'!F84,13))+(('Fórmula'!I84)/('Fórmula'!C84+'Fórmula'!E84+'Fórmula'!G84+'Fórmula'!I84+'Fórmula'!K84))*(INDEX(properties!A$1:CB$87,'Fórmula'!H84,13))+(('Fórmula'!K84)/('Fórmula'!C84+'Fórmula'!E84+'Fórmula'!G84+'Fórmula'!I84+'Fórmula'!K84))*(INDEX(properties!A$1:CB$87,'Fórmula'!J84,13))</f>
        <v>0.09523809524</v>
      </c>
      <c r="AY84" s="109">
        <f t="array" ref="AY84">'Fórmula'!C84*(INDEX(properties!A$1:CB$87,'Fórmula'!B84,13))+'Fórmula'!E84*(INDEX(properties!A$1:CB$87,'Fórmula'!D84,13))+'Fórmula'!G84*(INDEX(properties!A$1:CB$87,'Fórmula'!F84,13))+'Fórmula'!I84*(INDEX(properties!A$1:CB$87,'Fórmula'!H84,13))+'Fórmula'!K84*(INDEX(properties!A$1:CB$87,'Fórmula'!J84,13))</f>
        <v>2</v>
      </c>
      <c r="AZ84" s="109">
        <f t="array" ref="AZ84">VARP(IF(INDEX(properties!A$1:CB$87,'Fórmula'!B84,13)&lt;&gt;"",INDEX(properties!A$1:CB$87,'Fórmula'!B84,13)),IF(INDEX(properties!A$1:CB$87,'Fórmula'!D84,13)&lt;&gt;"",INDEX(properties!A$1:CB$87,'Fórmula'!D84,13)),IF(INDEX(properties!A$1:CB$87,'Fórmula'!F84,13)&lt;&gt;"",INDEX(properties!A$1:CB$87,'Fórmula'!F84,13)),IF(INDEX(properties!A$1:CB$87,'Fórmula'!H84,13)&lt;&gt;"",INDEX(properties!A$1:CB$87,'Fórmula'!H84,13)),IF(INDEX(properties!A$1:CB$87,'Fórmula'!J84,13)&lt;&gt;"",INDEX(properties!A$1:CB$87,'Fórmula'!J84,13)))</f>
        <v>0.16</v>
      </c>
      <c r="BA84" s="109">
        <f t="array" ref="BA84">MAX(INDEX(properties!A$1:CB$87,'Fórmula'!B84,13),INDEX(properties!A$1:CB$87,'Fórmula'!D84,13),INDEX(properties!A$1:CB$87,'Fórmula'!F84,13),INDEX(properties!A$1:CB$87,'Fórmula'!H84,13),INDEX(properties!A$1:CB$87,'Fórmula'!J84,13))</f>
        <v>1</v>
      </c>
      <c r="BB84" s="109">
        <f t="array" ref="BB84">MIN(IF('Fórmula'!B84=87,10^6,INDEX(properties!A$1:CB$87,'Fórmula'!B84,13)),IF(('Fórmula'!D84)=87,10^6,INDEX(properties!A$1:CB$87,'Fórmula'!D84,13)),IF(('Fórmula'!F84)=87,10^6,INDEX(properties!A$1:CB$87,'Fórmula'!F84,13)),IF(('Fórmula'!H84)=87,10^6,INDEX(properties!A$1:CB$87,'Fórmula'!H84,13)),IF('Fórmula'!J84=87,10^6,INDEX(properties!A$1:CB$87,'Fórmula'!J84,13)))</f>
        <v>0</v>
      </c>
      <c r="BC84" s="109">
        <f t="shared" si="9"/>
        <v>1</v>
      </c>
      <c r="BD84" s="110">
        <f t="array" ref="BD84">(('Fórmula'!C84)/('Fórmula'!C84+'Fórmula'!E84+'Fórmula'!G84+'Fórmula'!I84+'Fórmula'!K84))*(INDEX(properties!A$1:CB$87,'Fórmula'!B84,14))+(('Fórmula'!E84)/('Fórmula'!C84+'Fórmula'!E84+'Fórmula'!G84+'Fórmula'!I84+'Fórmula'!K84))*(INDEX(properties!A$1:CB$87,'Fórmula'!D84,14))+(('Fórmula'!G84)/('Fórmula'!C84+'Fórmula'!E84+'Fórmula'!G84+'Fórmula'!I84+'Fórmula'!K84))*(INDEX(properties!A$1:CB$87,'Fórmula'!F84,14))+(('Fórmula'!I84)/('Fórmula'!C84+'Fórmula'!E84+'Fórmula'!G84+'Fórmula'!I84+'Fórmula'!K84))*(INDEX(properties!A$1:CB$87,'Fórmula'!H84,14))+(('Fórmula'!K84)/('Fórmula'!C84+'Fórmula'!E84+'Fórmula'!G84+'Fórmula'!I84+'Fórmula'!K84))*(INDEX(properties!A$1:CB$87,'Fórmula'!J84,14))</f>
        <v>0</v>
      </c>
      <c r="BE84" s="110">
        <f t="array" ref="BE84">'Fórmula'!C84*(INDEX(properties!A$1:CB$87,'Fórmula'!B84,14))+'Fórmula'!E84*(INDEX(properties!A$1:CB$87,'Fórmula'!D84,14))+'Fórmula'!G84*(INDEX(properties!A$1:CB$87,'Fórmula'!F84,14))+'Fórmula'!I84*(INDEX(properties!A$1:CB$87,'Fórmula'!H84,14))+'Fórmula'!K84*(INDEX(properties!A$1:CB$87,'Fórmula'!J84,14))</f>
        <v>0</v>
      </c>
      <c r="BF84" s="110">
        <f t="array" ref="BF84">VARP(IF(INDEX(properties!A$1:CB$87,'Fórmula'!B84,14)&lt;&gt;"",INDEX(properties!A$1:CB$87,'Fórmula'!B84,14)),IF(INDEX(properties!A$1:CB$87,'Fórmula'!D84,14)&lt;&gt;"",INDEX(properties!A$1:CB$87,'Fórmula'!D84,14)),IF(INDEX(properties!A$1:CB$87,'Fórmula'!F84,14)&lt;&gt;"",INDEX(properties!A$1:CB$87,'Fórmula'!F84,14)),IF(INDEX(properties!A$1:CB$87,'Fórmula'!H84,14)&lt;&gt;"",INDEX(properties!A$1:CB$87,'Fórmula'!H84,14)),IF(INDEX(properties!A$1:CB$87,'Fórmula'!J84,14)&lt;&gt;"",INDEX(properties!A$1:CB$87,'Fórmula'!J84,14)))</f>
        <v>0</v>
      </c>
      <c r="BG84" s="110">
        <f t="array" ref="BG84">MAX(INDEX(properties!A$1:CB$87,'Fórmula'!B84,14),INDEX(properties!A$1:CB$87,'Fórmula'!D84,14),INDEX(properties!A$1:CB$87,'Fórmula'!F84,14),INDEX(properties!A$1:CB$87,'Fórmula'!H84,14),INDEX(properties!A$1:CB$87,'Fórmula'!J84,14))</f>
        <v>0</v>
      </c>
      <c r="BH84" s="110">
        <f t="array" ref="BH84">MIN(IF('Fórmula'!B84=87,10^6,INDEX(properties!A$1:CB$87,'Fórmula'!B84,14)),IF(('Fórmula'!D84)=87,10^6,INDEX(properties!A$1:CB$87,'Fórmula'!D84,14)),IF(('Fórmula'!F84)=87,10^6,INDEX(properties!A$1:CB$87,'Fórmula'!F84,14)),IF(('Fórmula'!H84)=87,10^6,INDEX(properties!A$1:CB$87,'Fórmula'!H84,14)),IF('Fórmula'!J84=87,10^6,INDEX(properties!A$1:CB$87,'Fórmula'!J84,14)))</f>
        <v>0</v>
      </c>
      <c r="BI84" s="110">
        <f t="shared" si="10"/>
        <v>0</v>
      </c>
      <c r="BJ84" s="111">
        <f t="array" ref="BJ84">(('Fórmula'!C84)/('Fórmula'!C84+'Fórmula'!E84+'Fórmula'!G84+'Fórmula'!I84+'Fórmula'!K84))*(INDEX(properties!A$1:CB$87,'Fórmula'!B84,19))+(('Fórmula'!E84)/('Fórmula'!C84+'Fórmula'!E84+'Fórmula'!G84+'Fórmula'!I84+'Fórmula'!K84))*(INDEX(properties!A$1:CB$87,'Fórmula'!D84,19))+(('Fórmula'!G84)/('Fórmula'!C84+'Fórmula'!E84+'Fórmula'!G84+'Fórmula'!I84+'Fórmula'!K84))*(INDEX(properties!A$1:CB$87,'Fórmula'!F84,19))+(('Fórmula'!I84)/('Fórmula'!C84+'Fórmula'!E84+'Fórmula'!G84+'Fórmula'!I84+'Fórmula'!K84))*(INDEX(properties!A$1:CB$87,'Fórmula'!H84,19))+(('Fórmula'!K84)/('Fórmula'!C84+'Fórmula'!E84+'Fórmula'!G84+'Fórmula'!I84+'Fórmula'!K84))*(INDEX(properties!A$1:CB$87,'Fórmula'!J84,19))</f>
        <v>4.571428571</v>
      </c>
      <c r="BK84" s="111">
        <f t="array" ref="BK84">'Fórmula'!C84*(INDEX(properties!A$1:CB$87,'Fórmula'!B84,19))+'Fórmula'!E84*(INDEX(properties!A$1:CB$87,'Fórmula'!D84,19))+'Fórmula'!G84*(INDEX(properties!A$1:CB$87,'Fórmula'!F84,19))+'Fórmula'!I84*(INDEX(properties!A$1:CB$87,'Fórmula'!H84,19))+'Fórmula'!K84*(INDEX(properties!A$1:CB$87,'Fórmula'!J84,19))</f>
        <v>96</v>
      </c>
      <c r="BL84" s="111">
        <f t="array" ref="BL84">VARP(IF(INDEX(properties!A$1:CB$87,'Fórmula'!B84,19)&lt;&gt;"",INDEX(properties!A$1:CB$87,'Fórmula'!B84,19)),IF(INDEX(properties!A$1:CB$87,'Fórmula'!D84,19)&lt;&gt;"",INDEX(properties!A$1:CB$87,'Fórmula'!D84,19)),IF(INDEX(properties!A$1:CB$87,'Fórmula'!F84,19)&lt;&gt;"",INDEX(properties!A$1:CB$87,'Fórmula'!F84,19)),IF(INDEX(properties!A$1:CB$87,'Fórmula'!H84,19)&lt;&gt;"",INDEX(properties!A$1:CB$87,'Fórmula'!H84,19)),IF(INDEX(properties!A$1:CB$87,'Fórmula'!J84,19)&lt;&gt;"",INDEX(properties!A$1:CB$87,'Fórmula'!J84,19)))</f>
        <v>3.76</v>
      </c>
      <c r="BM84" s="111">
        <f t="array" ref="BM84">MAX(INDEX(properties!A$1:CB$87,'Fórmula'!B84,19),INDEX(properties!A$1:CB$87,'Fórmula'!D84,19),INDEX(properties!A$1:CB$87,'Fórmula'!F84,19),INDEX(properties!A$1:CB$87,'Fórmula'!H84,19),INDEX(properties!A$1:CB$87,'Fórmula'!J84,19))</f>
        <v>6</v>
      </c>
      <c r="BN84" s="111">
        <f t="array" ref="BN84">MIN(IF(INDEX(properties!A$1:CB$87,'Fórmula'!B84,19)=0,10^6,INDEX(properties!A$1:CB$87,'Fórmula'!B84,19)),IF(INDEX(properties!A$1:CB$87,'Fórmula'!D84,19)=0,10^6,INDEX(properties!A$1:CB$87,'Fórmula'!D84,19)),IF(INDEX(properties!A$1:CB$87,'Fórmula'!F84,19)=0,10^6,INDEX(properties!A$1:CB$87,'Fórmula'!F84,19)),IF(INDEX(properties!A$1:CB$87,'Fórmula'!H84,19)=0,10^6,INDEX(properties!A$1:CB$87,'Fórmula'!H84,19)),IF(INDEX(properties!A$1:CB$87,'Fórmula'!J84,19)=0,10^6,INDEX(properties!A$1:CB$87,'Fórmula'!J84,19)))</f>
        <v>2</v>
      </c>
      <c r="BO84" s="111">
        <f t="shared" si="11"/>
        <v>4</v>
      </c>
      <c r="BP84" s="112">
        <f t="array" ref="BP84">(('Fórmula'!C84)/('Fórmula'!C84+'Fórmula'!E84+'Fórmula'!G84+'Fórmula'!I84+'Fórmula'!K84))*(INDEX(properties!A$1:CB$87,'Fórmula'!B84,20))+(('Fórmula'!E84)/('Fórmula'!C84+'Fórmula'!E84+'Fórmula'!G84+'Fórmula'!I84+'Fórmula'!K84))*(INDEX(properties!A$1:CB$87,'Fórmula'!D84,20))+(('Fórmula'!G84)/('Fórmula'!C84+'Fórmula'!E84+'Fórmula'!G84+'Fórmula'!I84+'Fórmula'!K84))*(INDEX(properties!A$1:CB$87,'Fórmula'!F84,20))+(('Fórmula'!I84)/('Fórmula'!C84+'Fórmula'!E84+'Fórmula'!G84+'Fórmula'!I84+'Fórmula'!K84))*(INDEX(properties!A$1:CB$87,'Fórmula'!H84,20))+(('Fórmula'!K84)/('Fórmula'!C84+'Fórmula'!E84+'Fórmula'!G84+'Fórmula'!I84+'Fórmula'!K84))*(INDEX(properties!A$1:CB$87,'Fórmula'!J84,20))</f>
        <v>4.476190476</v>
      </c>
      <c r="BQ84" s="112">
        <f t="array" ref="BQ84">'Fórmula'!C84*(INDEX(properties!A$1:CB$87,'Fórmula'!B84,20))+'Fórmula'!E84*(INDEX(properties!A$1:CB$87,'Fórmula'!D84,20))+'Fórmula'!G84*(INDEX(properties!A$1:CB$87,'Fórmula'!F84,20))+'Fórmula'!I84*(INDEX(properties!A$1:CB$87,'Fórmula'!H84,20))+'Fórmula'!K84*(INDEX(properties!A$1:CB$87,'Fórmula'!J84,20))</f>
        <v>94</v>
      </c>
      <c r="BR84" s="112">
        <f t="array" ref="BR84">VARP(IF(INDEX(properties!A$1:CB$87,'Fórmula'!B84,20)&lt;&gt;"",INDEX(properties!A$1:CB$87,'Fórmula'!B84,20)),IF(INDEX(properties!A$1:CB$87,'Fórmula'!D84,20)&lt;&gt;"",INDEX(properties!A$1:CB$87,'Fórmula'!D84,20)),IF(INDEX(properties!A$1:CB$87,'Fórmula'!F84,20)&lt;&gt;"",INDEX(properties!A$1:CB$87,'Fórmula'!F84,20)),IF(INDEX(properties!A$1:CB$87,'Fórmula'!H84,20)&lt;&gt;"",INDEX(properties!A$1:CB$87,'Fórmula'!H84,20)),IF(INDEX(properties!A$1:CB$87,'Fórmula'!J84,20)&lt;&gt;"",INDEX(properties!A$1:CB$87,'Fórmula'!J84,20)))</f>
        <v>3.84</v>
      </c>
      <c r="BS84" s="112">
        <f t="array" ref="BS84">MAX(INDEX(properties!A$1:CB$87,'Fórmula'!B84,20),INDEX(properties!A$1:CB$87,'Fórmula'!D84,20),INDEX(properties!A$1:CB$87,'Fórmula'!F84,20),INDEX(properties!A$1:CB$87,'Fórmula'!H84,20),INDEX(properties!A$1:CB$87,'Fórmula'!J84,20))</f>
        <v>6</v>
      </c>
      <c r="BT84" s="112">
        <f t="array" ref="BT84">MIN(IF(INDEX(properties!A$1:CB$87,'Fórmula'!B84,20)=0,10^6,INDEX(properties!A$1:CB$87,'Fórmula'!B84,20)),IF(INDEX(properties!A$1:CB$87,'Fórmula'!D84,20)=0,10^6,INDEX(properties!A$1:CB$87,'Fórmula'!D84,20)),IF(INDEX(properties!A$1:CB$87,'Fórmula'!F84,20)=0,10^6,INDEX(properties!A$1:CB$87,'Fórmula'!F84,20)),IF(INDEX(properties!A$1:CB$87,'Fórmula'!H84,20)=0,10^6,INDEX(properties!A$1:CB$87,'Fórmula'!H84,20)),IF(INDEX(properties!A$1:CB$87,'Fórmula'!J84,20)=0,10^6,INDEX(properties!A$1:CB$87,'Fórmula'!J84,20)))</f>
        <v>2</v>
      </c>
      <c r="BU84" s="112">
        <f t="shared" si="12"/>
        <v>4</v>
      </c>
      <c r="BV84" s="113">
        <f t="array" ref="BV84">(('Fórmula'!C84)/('Fórmula'!C84+'Fórmula'!E84+'Fórmula'!G84+'Fórmula'!I84+'Fórmula'!K84))*(INDEX(properties!A$1:CB$87,'Fórmula'!B84,21))+(('Fórmula'!E84)/('Fórmula'!C84+'Fórmula'!E84+'Fórmula'!G84+'Fórmula'!I84+'Fórmula'!K84))*(INDEX(properties!A$1:CB$87,'Fórmula'!D84,21))+(('Fórmula'!G84)/('Fórmula'!C84+'Fórmula'!E84+'Fórmula'!G84+'Fórmula'!I84+'Fórmula'!K84))*(INDEX(properties!A$1:CB$87,'Fórmula'!F84,21))+(('Fórmula'!I84)/('Fórmula'!C84+'Fórmula'!E84+'Fórmula'!G84+'Fórmula'!I84+'Fórmula'!K84))*(INDEX(properties!A$1:CB$87,'Fórmula'!H84,21))+(('Fórmula'!K84)/('Fórmula'!C84+'Fórmula'!E84+'Fórmula'!G84+'Fórmula'!I84+'Fórmula'!K84))*(INDEX(properties!A$1:CB$87,'Fórmula'!J84,21))</f>
        <v>4.380952381</v>
      </c>
      <c r="BW84" s="113">
        <f t="array" ref="BW84">'Fórmula'!C84*(INDEX(properties!A$1:CB$87,'Fórmula'!B84,21))+'Fórmula'!E84*(INDEX(properties!A$1:CB$87,'Fórmula'!D84,21))+'Fórmula'!G84*(INDEX(properties!A$1:CB$87,'Fórmula'!F84,21))+'Fórmula'!I84*(INDEX(properties!A$1:CB$87,'Fórmula'!H84,21))+'Fórmula'!K84*(INDEX(properties!A$1:CB$87,'Fórmula'!J84,21))</f>
        <v>92</v>
      </c>
      <c r="BX84" s="113">
        <f t="array" ref="BX84">VARP(IF(INDEX(properties!A$1:CB$87,'Fórmula'!B84,21)&lt;&gt;"",INDEX(properties!A$1:CB$87,'Fórmula'!B84,21)),IF(INDEX(properties!A$1:CB$87,'Fórmula'!D84,21)&lt;&gt;"",INDEX(properties!A$1:CB$87,'Fórmula'!D84,21)),IF(INDEX(properties!A$1:CB$87,'Fórmula'!F84,21)&lt;&gt;"",INDEX(properties!A$1:CB$87,'Fórmula'!F84,21)),IF(INDEX(properties!A$1:CB$87,'Fórmula'!H84,21)&lt;&gt;"",INDEX(properties!A$1:CB$87,'Fórmula'!H84,21)),IF(INDEX(properties!A$1:CB$87,'Fórmula'!J84,21)&lt;&gt;"",INDEX(properties!A$1:CB$87,'Fórmula'!J84,21)))</f>
        <v>4.24</v>
      </c>
      <c r="BY84" s="113">
        <f t="array" ref="BY84">MAX(INDEX(properties!A$1:CB$87,'Fórmula'!B84,21),INDEX(properties!A$1:CB$87,'Fórmula'!D84,21),INDEX(properties!A$1:CB$87,'Fórmula'!F84,21),INDEX(properties!A$1:CB$87,'Fórmula'!H84,21),INDEX(properties!A$1:CB$87,'Fórmula'!J84,21))</f>
        <v>6</v>
      </c>
      <c r="BZ84" s="113">
        <f t="array" ref="BZ84">MIN(IF(INDEX(properties!A$1:CB$87,'Fórmula'!B84,21)=0,10^6,INDEX(properties!A$1:CB$87,'Fórmula'!B84,21)),IF(INDEX(properties!A$1:CB$87,'Fórmula'!D84,21)=0,10^6,INDEX(properties!A$1:CB$87,'Fórmula'!D84,21)),IF(INDEX(properties!A$1:CB$87,'Fórmula'!F84,21)=0,10^6,INDEX(properties!A$1:CB$87,'Fórmula'!F84,21)),IF(INDEX(properties!A$1:CB$87,'Fórmula'!H84,21)=0,10^6,INDEX(properties!A$1:CB$87,'Fórmula'!H84,21)),IF(INDEX(properties!A$1:CB$87,'Fórmula'!J84,21)=0,10^6,INDEX(properties!A$1:CB$87,'Fórmula'!J84,21)))</f>
        <v>1</v>
      </c>
      <c r="CA84" s="113">
        <f t="shared" si="13"/>
        <v>5</v>
      </c>
      <c r="CB84" s="114">
        <f t="array" ref="CB84">(('Fórmula'!C84)/('Fórmula'!C84+'Fórmula'!E84+'Fórmula'!G84+'Fórmula'!I84+'Fórmula'!K84))*(INDEX(properties!A$1:CB$87,'Fórmula'!B84,23))+(('Fórmula'!E84)/('Fórmula'!C84+'Fórmula'!E84+'Fórmula'!G84+'Fórmula'!I84+'Fórmula'!K84))*(INDEX(properties!A$1:CB$87,'Fórmula'!D84,23))+(('Fórmula'!G84)/('Fórmula'!C84+'Fórmula'!E84+'Fórmula'!G84+'Fórmula'!I84+'Fórmula'!K84))*(INDEX(properties!A$1:CB$87,'Fórmula'!F84,23))+(('Fórmula'!I84)/('Fórmula'!C84+'Fórmula'!E84+'Fórmula'!G84+'Fórmula'!I84+'Fórmula'!K84))*(INDEX(properties!A$1:CB$87,'Fórmula'!H84,23))+(('Fórmula'!K84)/('Fórmula'!C84+'Fórmula'!E84+'Fórmula'!G84+'Fórmula'!I84+'Fórmula'!K84))*(INDEX(properties!A$1:CB$87,'Fórmula'!J84,23))</f>
        <v>1.142857143</v>
      </c>
      <c r="CC84" s="114">
        <f t="array" ref="CC84">'Fórmula'!C84*(INDEX(properties!A$1:CB$87,'Fórmula'!B84,23))+'Fórmula'!E84*(INDEX(properties!A$1:CB$87,'Fórmula'!D84,23))+'Fórmula'!G84*(INDEX(properties!A$1:CB$87,'Fórmula'!F84,23))+'Fórmula'!I84*(INDEX(properties!A$1:CB$87,'Fórmula'!H84,23))+'Fórmula'!K84*(INDEX(properties!A$1:CB$87,'Fórmula'!J84,23))</f>
        <v>24</v>
      </c>
      <c r="CD84" s="114">
        <f t="array" ref="CD84">VARP(IF(INDEX(properties!A$1:CB$87,'Fórmula'!B84,23)&lt;&gt;"",INDEX(properties!A$1:CB$87,'Fórmula'!B84,23)),IF(INDEX(properties!A$1:CB$87,'Fórmula'!D84,23)&lt;&gt;"",INDEX(properties!A$1:CB$87,'Fórmula'!D84,23)),IF(INDEX(properties!A$1:CB$87,'Fórmula'!F84,23)&lt;&gt;"",INDEX(properties!A$1:CB$87,'Fórmula'!F84,23)),IF(INDEX(properties!A$1:CB$87,'Fórmula'!H84,23)&lt;&gt;"",INDEX(properties!A$1:CB$87,'Fórmula'!H84,23)),IF(INDEX(properties!A$1:CB$87,'Fórmula'!J84,23)&lt;&gt;"",INDEX(properties!A$1:CB$87,'Fórmula'!J84,23)))</f>
        <v>1.84</v>
      </c>
      <c r="CE84" s="114">
        <f t="array" ref="CE84">MAX(INDEX(properties!A$1:CB$87,'Fórmula'!B84,23),INDEX(properties!A$1:CB$87,'Fórmula'!D84,23),INDEX(properties!A$1:CB$87,'Fórmula'!F84,23),INDEX(properties!A$1:CB$87,'Fórmula'!H84,23),INDEX(properties!A$1:CB$87,'Fórmula'!J84,23))</f>
        <v>3</v>
      </c>
      <c r="CF84" s="114">
        <f t="array" ref="CF84">MIN(IF('Fórmula'!B84=87,10^6,INDEX(properties!A$1:CB$87,'Fórmula'!B84,23)),IF(('Fórmula'!D84)=87,10^6,INDEX(properties!A$1:CB$87,'Fórmula'!D84,23)),IF(('Fórmula'!F84)=87,10^6,INDEX(properties!A$1:CB$87,'Fórmula'!F84,23)),IF(('Fórmula'!H84)=87,10^6,INDEX(properties!A$1:CB$87,'Fórmula'!H84,23)),IF('Fórmula'!J84=87,10^6,INDEX(properties!A$1:CB$87,'Fórmula'!J84,23)))</f>
        <v>0</v>
      </c>
      <c r="CG84" s="114">
        <f t="shared" si="14"/>
        <v>3</v>
      </c>
      <c r="CH84" s="115">
        <f t="array" ref="CH84">(('Fórmula'!C84)/('Fórmula'!C84+'Fórmula'!E84+'Fórmula'!G84+'Fórmula'!I84+'Fórmula'!K84))*(INDEX(properties!A$1:CB$87,'Fórmula'!B84,26))+(('Fórmula'!E84)/('Fórmula'!C84+'Fórmula'!E84+'Fórmula'!G84+'Fórmula'!I84+'Fórmula'!K84))*(INDEX(properties!A$1:CB$87,'Fórmula'!D84,26))+(('Fórmula'!G84)/('Fórmula'!C84+'Fórmula'!E84+'Fórmula'!G84+'Fórmula'!I84+'Fórmula'!K84))*(INDEX(properties!A$1:CB$87,'Fórmula'!F84,26))+(('Fórmula'!I84)/('Fórmula'!C84+'Fórmula'!E84+'Fórmula'!G84+'Fórmula'!I84+'Fórmula'!K84))*(INDEX(properties!A$1:CB$87,'Fórmula'!H84,26))+(('Fórmula'!K84)/('Fórmula'!C84+'Fórmula'!E84+'Fórmula'!G84+'Fórmula'!I84+'Fórmula'!K84))*(INDEX(properties!A$1:CB$87,'Fórmula'!J84,26))</f>
        <v>10.63800476</v>
      </c>
      <c r="CI84" s="115">
        <f t="array" ref="CI84">'Fórmula'!C84*(INDEX(properties!A$1:CB$87,'Fórmula'!B84,26))+'Fórmula'!E84*(INDEX(properties!A$1:CB$87,'Fórmula'!D84,26))+'Fórmula'!G84*(INDEX(properties!A$1:CB$87,'Fórmula'!F84,26))+'Fórmula'!I84*(INDEX(properties!A$1:CB$87,'Fórmula'!H84,26))+'Fórmula'!K84*(INDEX(properties!A$1:CB$87,'Fórmula'!J84,26))</f>
        <v>223.3981</v>
      </c>
      <c r="CJ84" s="115">
        <f t="array" ref="CJ84">VARP(IF(INDEX(properties!A$1:CB$87,'Fórmula'!B84,26)&lt;&gt;"",INDEX(properties!A$1:CB$87,'Fórmula'!B84,26)),IF(INDEX(properties!A$1:CB$87,'Fórmula'!D84,26)&lt;&gt;"",INDEX(properties!A$1:CB$87,'Fórmula'!D84,26)),IF(INDEX(properties!A$1:CB$87,'Fórmula'!F84,26)&lt;&gt;"",INDEX(properties!A$1:CB$87,'Fórmula'!F84,26)),IF(INDEX(properties!A$1:CB$87,'Fórmula'!H84,26)&lt;&gt;"",INDEX(properties!A$1:CB$87,'Fórmula'!H84,26)),IF(INDEX(properties!A$1:CB$87,'Fórmula'!J84,26)&lt;&gt;"",INDEX(properties!A$1:CB$87,'Fórmula'!J84,26)))</f>
        <v>19.73072034</v>
      </c>
      <c r="CK84" s="116">
        <f t="array" ref="CK84">MAX(INDEX(properties!A$1:CB$87,'Fórmula'!B84,26),INDEX(properties!A$1:CB$87,'Fórmula'!D84,26),INDEX(properties!A$1:CB$87,'Fórmula'!F84,26),INDEX(properties!A$1:CB$87,'Fórmula'!H84,26),INDEX(properties!A$1:CB$87,'Fórmula'!J84,26))</f>
        <v>13.6181</v>
      </c>
      <c r="CL84" s="116">
        <f t="array" ref="CL84">MIN(IF(INDEX(properties!A$1:CB$87,'Fórmula'!B84,26)=0,10^6,INDEX(properties!A$1:CB$87,'Fórmula'!B84,26)),IF(INDEX(properties!A$1:CB$87,'Fórmula'!D84,26)=0,10^6,INDEX(properties!A$1:CB$87,'Fórmula'!D84,26)),IF(INDEX(properties!A$1:CB$87,'Fórmula'!F84,26)=0,10^6,INDEX(properties!A$1:CB$87,'Fórmula'!F84,26)),IF(INDEX(properties!A$1:CB$87,'Fórmula'!H84,26)=0,10^6,INDEX(properties!A$1:CB$87,'Fórmula'!H84,26)),IF(INDEX(properties!A$1:CB$87,'Fórmula'!J84,26)=0,10^6,INDEX(properties!A$1:CB$87,'Fórmula'!J84,26)))</f>
        <v>5.2117</v>
      </c>
      <c r="CM84" s="115">
        <f t="shared" si="15"/>
        <v>8.4064</v>
      </c>
      <c r="CN84" s="117">
        <f t="array" ref="CN84">(('Fórmula'!C84)/('Fórmula'!C84+'Fórmula'!E84+'Fórmula'!G84+'Fórmula'!I84+'Fórmula'!K84))*(INDEX(properties!A$1:CB$87,'Fórmula'!B84,30))+(('Fórmula'!E84)/('Fórmula'!C84+'Fórmula'!E84+'Fórmula'!G84+'Fórmula'!I84+'Fórmula'!K84))*(INDEX(properties!A$1:CB$87,'Fórmula'!D84,30))+(('Fórmula'!G84)/('Fórmula'!C84+'Fórmula'!E84+'Fórmula'!G84+'Fórmula'!I84+'Fórmula'!K84))*(INDEX(properties!A$1:CB$87,'Fórmula'!F84,30))+(('Fórmula'!I84)/('Fórmula'!C84+'Fórmula'!E84+'Fórmula'!G84+'Fórmula'!I84+'Fórmula'!K84))*(INDEX(properties!A$1:CB$87,'Fórmula'!H84,30))+(('Fórmula'!K84)/('Fórmula'!C84+'Fórmula'!E84+'Fórmula'!G84+'Fórmula'!I84+'Fórmula'!K84))*(INDEX(properties!A$1:CB$87,'Fórmula'!J84,30))</f>
        <v>2.586190476</v>
      </c>
      <c r="CO84" s="117">
        <f t="array" ref="CO84">'Fórmula'!C84*(INDEX(properties!A$1:CB$87,'Fórmula'!B84,30))+'Fórmula'!E84*(INDEX(properties!A$1:CB$87,'Fórmula'!D84,30))+'Fórmula'!G84*(INDEX(properties!A$1:CB$87,'Fórmula'!F84,30))+'Fórmula'!I84*(INDEX(properties!A$1:CB$87,'Fórmula'!H84,30))+'Fórmula'!K84*(INDEX(properties!A$1:CB$87,'Fórmula'!J84,30))</f>
        <v>54.31</v>
      </c>
      <c r="CP84" s="117">
        <f t="array" ref="CP84">VARP(IF(INDEX(properties!A$1:CB$87,'Fórmula'!B84,30)&lt;&gt;"",INDEX(properties!A$1:CB$87,'Fórmula'!B84,30)),IF(INDEX(properties!A$1:CB$87,'Fórmula'!D84,30)&lt;&gt;"",INDEX(properties!A$1:CB$87,'Fórmula'!D84,30)),IF(INDEX(properties!A$1:CB$87,'Fórmula'!F84,30)&lt;&gt;"",INDEX(properties!A$1:CB$87,'Fórmula'!F84,30)),IF(INDEX(properties!A$1:CB$87,'Fórmula'!H84,30)&lt;&gt;"",INDEX(properties!A$1:CB$87,'Fórmula'!H84,30)),IF(INDEX(properties!A$1:CB$87,'Fórmula'!J84,30)&lt;&gt;"",INDEX(properties!A$1:CB$87,'Fórmula'!J84,30)))</f>
        <v>1.367424</v>
      </c>
      <c r="CQ84" s="117">
        <f t="array" ref="CQ84">MAX(INDEX(properties!A$1:CB$87,'Fórmula'!B84,30),INDEX(properties!A$1:CB$87,'Fórmula'!D84,30),INDEX(properties!A$1:CB$87,'Fórmula'!F84,30),INDEX(properties!A$1:CB$87,'Fórmula'!H84,30),INDEX(properties!A$1:CB$87,'Fórmula'!J84,30))</f>
        <v>3.44</v>
      </c>
      <c r="CR84" s="117">
        <f t="array" ref="CR84">MIN(IF(INDEX(properties!A$1:CB$87,'Fórmula'!B84,30)=0,10^6,INDEX(properties!A$1:CB$87,'Fórmula'!B84,30)),IF(INDEX(properties!A$1:CB$87,'Fórmula'!D84,30)=0,10^6,INDEX(properties!A$1:CB$87,'Fórmula'!D84,30)),IF(INDEX(properties!A$1:CB$87,'Fórmula'!F84,30)=0,10^6,INDEX(properties!A$1:CB$87,'Fórmula'!F84,30)),IF(INDEX(properties!A$1:CB$87,'Fórmula'!H84,30)=0,10^6,INDEX(properties!A$1:CB$87,'Fórmula'!H84,30)),IF(INDEX(properties!A$1:CB$87,'Fórmula'!J84,30)=0,10^6,INDEX(properties!A$1:CB$87,'Fórmula'!J84,30)))</f>
        <v>0.89</v>
      </c>
      <c r="CS84" s="117">
        <f t="shared" si="16"/>
        <v>2.55</v>
      </c>
      <c r="CT84" s="118">
        <f t="array" ref="CT84">(('Fórmula'!C84)/('Fórmula'!C84+'Fórmula'!E84+'Fórmula'!G84+'Fórmula'!I84+'Fórmula'!K84))*(INDEX(properties!A$1:CB$87,'Fórmula'!B84,31))+(('Fórmula'!E84)/('Fórmula'!C84+'Fórmula'!E84+'Fórmula'!G84+'Fórmula'!I84+'Fórmula'!K84))*(INDEX(properties!A$1:CB$87,'Fórmula'!D84,31))+(('Fórmula'!G84)/('Fórmula'!C84+'Fórmula'!E84+'Fórmula'!G84+'Fórmula'!I84+'Fórmula'!K84))*(INDEX(properties!A$1:CB$87,'Fórmula'!F84,31))+(('Fórmula'!I84)/('Fórmula'!C84+'Fórmula'!E84+'Fórmula'!G84+'Fórmula'!I84+'Fórmula'!K84))*(INDEX(properties!A$1:CB$87,'Fórmula'!H84,31))+(('Fórmula'!K84)/('Fórmula'!C84+'Fórmula'!E84+'Fórmula'!G84+'Fórmula'!I84+'Fórmula'!K84))*(INDEX(properties!A$1:CB$87,'Fórmula'!J84,31))</f>
        <v>2.541904762</v>
      </c>
      <c r="CU84" s="118">
        <f t="array" ref="CU84">'Fórmula'!C84*(INDEX(properties!A$1:CB$87,'Fórmula'!B84,31))+'Fórmula'!E84*(INDEX(properties!A$1:CB$87,'Fórmula'!D84,31))+'Fórmula'!G84*(INDEX(properties!A$1:CB$87,'Fórmula'!F84,31))+'Fórmula'!I84*(INDEX(properties!A$1:CB$87,'Fórmula'!H84,31))+'Fórmula'!K84*(INDEX(properties!A$1:CB$87,'Fórmula'!J84,31))</f>
        <v>53.38</v>
      </c>
      <c r="CV84" s="118">
        <f t="array" ref="CV84">VARP(IF(INDEX(properties!A$1:CB$87,'Fórmula'!B84,31)&lt;&gt;"",INDEX(properties!A$1:CB$87,'Fórmula'!B84,31)),IF(INDEX(properties!A$1:CB$87,'Fórmula'!D84,31)&lt;&gt;"",INDEX(properties!A$1:CB$87,'Fórmula'!D84,31)),IF(INDEX(properties!A$1:CB$87,'Fórmula'!F84,31)&lt;&gt;"",INDEX(properties!A$1:CB$87,'Fórmula'!F84,31)),IF(INDEX(properties!A$1:CB$87,'Fórmula'!H84,31)&lt;&gt;"",INDEX(properties!A$1:CB$87,'Fórmula'!H84,31)),IF(INDEX(properties!A$1:CB$87,'Fórmula'!J84,31)&lt;&gt;"",INDEX(properties!A$1:CB$87,'Fórmula'!J84,31)))</f>
        <v>1.18336</v>
      </c>
      <c r="CW84" s="118">
        <f t="array" ref="CW84">MAX(INDEX(properties!A$1:CB$87,'Fórmula'!B84,31),INDEX(properties!A$1:CB$87,'Fórmula'!D84,31),INDEX(properties!A$1:CB$87,'Fórmula'!F84,31),INDEX(properties!A$1:CB$87,'Fórmula'!H84,31),INDEX(properties!A$1:CB$87,'Fórmula'!J84,31))</f>
        <v>3.32</v>
      </c>
      <c r="CX84" s="118">
        <f t="array" ref="CX84">MIN(IF(INDEX(properties!A$1:CB$87,'Fórmula'!B84,31)=0,10^6,INDEX(properties!A$1:CB$87,'Fórmula'!B84,31)),IF(INDEX(properties!A$1:CB$87,'Fórmula'!D84,31)=0,10^6,INDEX(properties!A$1:CB$87,'Fórmula'!D84,31)),IF(INDEX(properties!A$1:CB$87,'Fórmula'!F84,31)=0,10^6,INDEX(properties!A$1:CB$87,'Fórmula'!F84,31)),IF(INDEX(properties!A$1:CB$87,'Fórmula'!H84,31)=0,10^6,INDEX(properties!A$1:CB$87,'Fórmula'!H84,31)),IF(INDEX(properties!A$1:CB$87,'Fórmula'!J84,31)=0,10^6,INDEX(properties!A$1:CB$87,'Fórmula'!J84,31)))</f>
        <v>1.08</v>
      </c>
      <c r="CY84" s="118">
        <f t="shared" si="17"/>
        <v>2.24</v>
      </c>
      <c r="CZ84" s="119">
        <f t="array" ref="CZ84">(('Fórmula'!C84)/('Fórmula'!C84+'Fórmula'!E84+'Fórmula'!G84+'Fórmula'!I84+'Fórmula'!K84))*(INDEX(properties!A$1:CB$87,'Fórmula'!B84,32))+(('Fórmula'!E84)/('Fórmula'!C84+'Fórmula'!E84+'Fórmula'!G84+'Fórmula'!I84+'Fórmula'!K84))*(INDEX(properties!A$1:CB$87,'Fórmula'!D84,32))+(('Fórmula'!G84)/('Fórmula'!C84+'Fórmula'!E84+'Fórmula'!G84+'Fórmula'!I84+'Fórmula'!K84))*(INDEX(properties!A$1:CB$87,'Fórmula'!F84,32))+(('Fórmula'!I84)/('Fórmula'!C84+'Fórmula'!E84+'Fórmula'!G84+'Fórmula'!I84+'Fórmula'!K84))*(INDEX(properties!A$1:CB$87,'Fórmula'!H84,32))+(('Fórmula'!K84)/('Fórmula'!C84+'Fórmula'!E84+'Fórmula'!G84+'Fórmula'!I84+'Fórmula'!K84))*(INDEX(properties!A$1:CB$87,'Fórmula'!J84,32))</f>
        <v>5.763809524</v>
      </c>
      <c r="DA84" s="119">
        <f t="array" ref="DA84">'Fórmula'!C84*(INDEX(properties!A$1:CB$87,'Fórmula'!B84,32))+'Fórmula'!E84*(INDEX(properties!A$1:CB$87,'Fórmula'!D84,32))+'Fórmula'!G84*(INDEX(properties!A$1:CB$87,'Fórmula'!F84,32))+'Fórmula'!I84*(INDEX(properties!A$1:CB$87,'Fórmula'!H84,32))+'Fórmula'!K84*(INDEX(properties!A$1:CB$87,'Fórmula'!J84,32))</f>
        <v>121.04</v>
      </c>
      <c r="DB84" s="119">
        <f t="array" ref="DB84">VARP(IF(INDEX(properties!A$1:CB$87,'Fórmula'!B84,32)&lt;&gt;"",INDEX(properties!A$1:CB$87,'Fórmula'!B84,32)),IF(INDEX(properties!A$1:CB$87,'Fórmula'!D84,32)&lt;&gt;"",INDEX(properties!A$1:CB$87,'Fórmula'!D84,32)),IF(INDEX(properties!A$1:CB$87,'Fórmula'!F84,32)&lt;&gt;"",INDEX(properties!A$1:CB$87,'Fórmula'!F84,32)),IF(INDEX(properties!A$1:CB$87,'Fórmula'!H84,32)&lt;&gt;"",INDEX(properties!A$1:CB$87,'Fórmula'!H84,32)),IF(INDEX(properties!A$1:CB$87,'Fórmula'!J84,32)&lt;&gt;"",INDEX(properties!A$1:CB$87,'Fórmula'!J84,32)))</f>
        <v>6.111984</v>
      </c>
      <c r="DC84" s="119">
        <f t="array" ref="DC84">MAX(INDEX(properties!A$1:CB$87,'Fórmula'!B84,32),INDEX(properties!A$1:CB$87,'Fórmula'!D84,32),INDEX(properties!A$1:CB$87,'Fórmula'!F84,32),INDEX(properties!A$1:CB$87,'Fórmula'!H84,32),INDEX(properties!A$1:CB$87,'Fórmula'!J84,32))</f>
        <v>7.54</v>
      </c>
      <c r="DD84" s="119">
        <f t="array" ref="DD84">MIN(IF(INDEX(properties!A$1:CB$87,'Fórmula'!B84,32)=0,10^6,INDEX(properties!A$1:CB$87,'Fórmula'!B84,32)),IF(INDEX(properties!A$1:CB$87,'Fórmula'!D84,32)=0,10^6,INDEX(properties!A$1:CB$87,'Fórmula'!D84,32)),IF(INDEX(properties!A$1:CB$87,'Fórmula'!F84,32)=0,10^6,INDEX(properties!A$1:CB$87,'Fórmula'!F84,32)),IF(INDEX(properties!A$1:CB$87,'Fórmula'!H84,32)=0,10^6,INDEX(properties!A$1:CB$87,'Fórmula'!H84,32)),IF(INDEX(properties!A$1:CB$87,'Fórmula'!J84,32)=0,10^6,INDEX(properties!A$1:CB$87,'Fórmula'!J84,32)))</f>
        <v>2.4</v>
      </c>
      <c r="DE84" s="119">
        <f t="shared" si="18"/>
        <v>5.14</v>
      </c>
      <c r="DF84" s="104">
        <f t="array" ref="DF84">(('Fórmula'!C84)/('Fórmula'!C84+'Fórmula'!E84+'Fórmula'!G84+'Fórmula'!I84+'Fórmula'!K84))*(INDEX(properties!A$1:CB$87,'Fórmula'!B84,34))+(('Fórmula'!E84)/('Fórmula'!C84+'Fórmula'!E84+'Fórmula'!G84+'Fórmula'!I84+'Fórmula'!K84))*(INDEX(properties!A$1:CB$87,'Fórmula'!D84,34))+(('Fórmula'!G84)/('Fórmula'!C84+'Fórmula'!E84+'Fórmula'!G84+'Fórmula'!I84+'Fórmula'!K84))*(INDEX(properties!A$1:CB$87,'Fórmula'!F84,34))+(('Fórmula'!I84)/('Fórmula'!C84+'Fórmula'!E84+'Fórmula'!G84+'Fórmula'!I84+'Fórmula'!K84))*(INDEX(properties!A$1:CB$87,'Fórmula'!H84,34))+(('Fórmula'!K84)/('Fórmula'!C84+'Fórmula'!E84+'Fórmula'!G84+'Fórmula'!I84+'Fórmula'!K84))*(INDEX(properties!A$1:CB$87,'Fórmula'!J84,34))</f>
        <v>2.683190476</v>
      </c>
      <c r="DG84" s="104">
        <f t="array" ref="DG84">'Fórmula'!C84*(INDEX(properties!A$1:CB$87,'Fórmula'!B84,34))+'Fórmula'!E84*(INDEX(properties!A$1:CB$87,'Fórmula'!D84,34))+'Fórmula'!G84*(INDEX(properties!A$1:CB$87,'Fórmula'!F84,34))+'Fórmula'!I84*(INDEX(properties!A$1:CB$87,'Fórmula'!H84,34))+'Fórmula'!K84*(INDEX(properties!A$1:CB$87,'Fórmula'!J84,34))</f>
        <v>56.347</v>
      </c>
      <c r="DH84" s="104">
        <f t="array" ref="DH84">VARP(IF(INDEX(properties!A$1:CB$87,'Fórmula'!B84,34)&lt;&gt;"",INDEX(properties!A$1:CB$87,'Fórmula'!B84,34)),IF(INDEX(properties!A$1:CB$87,'Fórmula'!D84,34)&lt;&gt;"",INDEX(properties!A$1:CB$87,'Fórmula'!D84,34)),IF(INDEX(properties!A$1:CB$87,'Fórmula'!F84,34)&lt;&gt;"",INDEX(properties!A$1:CB$87,'Fórmula'!F84,34)),IF(INDEX(properties!A$1:CB$87,'Fórmula'!H84,34)&lt;&gt;"",INDEX(properties!A$1:CB$87,'Fórmula'!H84,34)),IF(INDEX(properties!A$1:CB$87,'Fórmula'!J84,34)&lt;&gt;"",INDEX(properties!A$1:CB$87,'Fórmula'!J84,34)))</f>
        <v>1.51069544</v>
      </c>
      <c r="DI84" s="104">
        <f t="array" ref="DI84">MAX(INDEX(properties!A$1:CB$87,'Fórmula'!B84,34),INDEX(properties!A$1:CB$87,'Fórmula'!D84,34),INDEX(properties!A$1:CB$87,'Fórmula'!F84,34),INDEX(properties!A$1:CB$87,'Fórmula'!H84,34),INDEX(properties!A$1:CB$87,'Fórmula'!J84,34))</f>
        <v>3.61</v>
      </c>
      <c r="DJ84" s="104">
        <f t="array" ref="DJ84">MIN(IF(INDEX(properties!A$1:CB$87,'Fórmula'!B84,34)=0,10^6,INDEX(properties!A$1:CB$87,'Fórmula'!B84,34)),IF(INDEX(properties!A$1:CB$87,'Fórmula'!D84,34)=0,10^6,INDEX(properties!A$1:CB$87,'Fórmula'!D84,34)),IF(INDEX(properties!A$1:CB$87,'Fórmula'!F84,34)=0,10^6,INDEX(properties!A$1:CB$87,'Fórmula'!F84,34)),IF(INDEX(properties!A$1:CB$87,'Fórmula'!H84,34)=0,10^6,INDEX(properties!A$1:CB$87,'Fórmula'!H84,34)),IF(INDEX(properties!A$1:CB$87,'Fórmula'!J84,34)=0,10^6,INDEX(properties!A$1:CB$87,'Fórmula'!J84,34)))</f>
        <v>0.881</v>
      </c>
      <c r="DK84" s="104">
        <f t="shared" si="19"/>
        <v>2.729</v>
      </c>
      <c r="DL84" s="105">
        <f t="array" ref="DL84">(('Fórmula'!C84)/('Fórmula'!C84+'Fórmula'!E84+'Fórmula'!G84+'Fórmula'!I84+'Fórmula'!K84))*(INDEX(properties!A$1:CB$87,'Fórmula'!B84,37))+(('Fórmula'!E84)/('Fórmula'!C84+'Fórmula'!E84+'Fórmula'!G84+'Fórmula'!I84+'Fórmula'!K84))*(INDEX(properties!A$1:CB$87,'Fórmula'!D84,37))+(('Fórmula'!G84)/('Fórmula'!C84+'Fórmula'!E84+'Fórmula'!G84+'Fórmula'!I84+'Fórmula'!K84))*(INDEX(properties!A$1:CB$87,'Fórmula'!F84,37))+(('Fórmula'!I84)/('Fórmula'!C84+'Fórmula'!E84+'Fórmula'!G84+'Fórmula'!I84+'Fórmula'!K84))*(INDEX(properties!A$1:CB$87,'Fórmula'!H84,37))+(('Fórmula'!K84)/('Fórmula'!C84+'Fórmula'!E84+'Fórmula'!G84+'Fórmula'!I84+'Fórmula'!K84))*(INDEX(properties!A$1:CB$87,'Fórmula'!J84,37))</f>
        <v>2.576190476</v>
      </c>
      <c r="DM84" s="105">
        <f t="array" ref="DM84">'Fórmula'!C84*(INDEX(properties!A$1:CB$87,'Fórmula'!B84,37))+'Fórmula'!E84*(INDEX(properties!A$1:CB$87,'Fórmula'!D84,37))+'Fórmula'!G84*(INDEX(properties!A$1:CB$87,'Fórmula'!F84,37))+'Fórmula'!I84*(INDEX(properties!A$1:CB$87,'Fórmula'!H84,37))+'Fórmula'!K84*(INDEX(properties!A$1:CB$87,'Fórmula'!J84,37))</f>
        <v>54.1</v>
      </c>
      <c r="DN84" s="105">
        <f t="array" ref="DN84">VARP(IF(INDEX(properties!A$1:CB$87,'Fórmula'!B84,37)&lt;&gt;"",INDEX(properties!A$1:CB$87,'Fórmula'!B84,37)),IF(INDEX(properties!A$1:CB$87,'Fórmula'!D84,37)&lt;&gt;"",INDEX(properties!A$1:CB$87,'Fórmula'!D84,37)),IF(INDEX(properties!A$1:CB$87,'Fórmula'!F84,37)&lt;&gt;"",INDEX(properties!A$1:CB$87,'Fórmula'!F84,37)),IF(INDEX(properties!A$1:CB$87,'Fórmula'!H84,37)&lt;&gt;"",INDEX(properties!A$1:CB$87,'Fórmula'!H84,37)),IF(INDEX(properties!A$1:CB$87,'Fórmula'!J84,37)&lt;&gt;"",INDEX(properties!A$1:CB$87,'Fórmula'!J84,37)))</f>
        <v>1.3324</v>
      </c>
      <c r="DO84" s="105">
        <f t="array" ref="DO84">MAX(INDEX(properties!A$1:CB$87,'Fórmula'!B84,37),INDEX(properties!A$1:CB$87,'Fórmula'!D84,37),INDEX(properties!A$1:CB$87,'Fórmula'!F84,37),INDEX(properties!A$1:CB$87,'Fórmula'!H84,37),INDEX(properties!A$1:CB$87,'Fórmula'!J84,37))</f>
        <v>3.45</v>
      </c>
      <c r="DP84" s="105">
        <f t="array" ref="DP84">MIN(IF(INDEX(properties!A$1:CB$87,'Fórmula'!B84,37)=0,10^6,INDEX(properties!A$1:CB$87,'Fórmula'!B84,37)),IF(INDEX(properties!A$1:CB$87,'Fórmula'!D84,37)=0,10^6,INDEX(properties!A$1:CB$87,'Fórmula'!D84,37)),IF(INDEX(properties!A$1:CB$87,'Fórmula'!F84,37)=0,10^6,INDEX(properties!A$1:CB$87,'Fórmula'!F84,37)),IF(INDEX(properties!A$1:CB$87,'Fórmula'!H84,37)=0,10^6,INDEX(properties!A$1:CB$87,'Fórmula'!H84,37)),IF(INDEX(properties!A$1:CB$87,'Fórmula'!J84,37)=0,10^6,INDEX(properties!A$1:CB$87,'Fórmula'!J84,37)))</f>
        <v>0.9</v>
      </c>
      <c r="DQ84" s="105">
        <f t="shared" si="20"/>
        <v>2.55</v>
      </c>
      <c r="DR84" s="109">
        <f t="array" ref="DR84">(('Fórmula'!C84)/('Fórmula'!C84+'Fórmula'!E84+'Fórmula'!G84+'Fórmula'!I84+'Fórmula'!K84))*(INDEX(properties!A$1:CB$87,'Fórmula'!B84,39))+(('Fórmula'!E84)/('Fórmula'!C84+'Fórmula'!E84+'Fórmula'!G84+'Fórmula'!I84+'Fórmula'!K84))*(INDEX(properties!A$1:CB$87,'Fórmula'!D84,39))+(('Fórmula'!G84)/('Fórmula'!C84+'Fórmula'!E84+'Fórmula'!G84+'Fórmula'!I84+'Fórmula'!K84))*(INDEX(properties!A$1:CB$87,'Fórmula'!F84,39))+(('Fórmula'!I84)/('Fórmula'!C84+'Fórmula'!E84+'Fórmula'!G84+'Fórmula'!I84+'Fórmula'!K84))*(INDEX(properties!A$1:CB$87,'Fórmula'!H84,39))+(('Fórmula'!K84)/('Fórmula'!C84+'Fórmula'!E84+'Fórmula'!G84+'Fórmula'!I84+'Fórmula'!K84))*(INDEX(properties!A$1:CB$87,'Fórmula'!J84,39))</f>
        <v>0.9871428571</v>
      </c>
      <c r="DS84" s="109">
        <f t="array" ref="DS84">'Fórmula'!C84*(INDEX(properties!A$1:CB$87,'Fórmula'!B84,39))+'Fórmula'!E84*(INDEX(properties!A$1:CB$87,'Fórmula'!D84,39))+'Fórmula'!G84*(INDEX(properties!A$1:CB$87,'Fórmula'!F84,39))+'Fórmula'!I84*(INDEX(properties!A$1:CB$87,'Fórmula'!H84,39))+'Fórmula'!K84*(INDEX(properties!A$1:CB$87,'Fórmula'!J84,39))</f>
        <v>20.73</v>
      </c>
      <c r="DT84" s="109">
        <f t="array" ref="DT84">VARP(IF(INDEX(properties!A$1:CB$87,'Fórmula'!B84,39)&lt;&gt;"",INDEX(properties!A$1:CB$87,'Fórmula'!B84,39)),IF(INDEX(properties!A$1:CB$87,'Fórmula'!D84,39)&lt;&gt;"",INDEX(properties!A$1:CB$87,'Fórmula'!D84,39)),IF(INDEX(properties!A$1:CB$87,'Fórmula'!F84,39)&lt;&gt;"",INDEX(properties!A$1:CB$87,'Fórmula'!F84,39)),IF(INDEX(properties!A$1:CB$87,'Fórmula'!H84,39)&lt;&gt;"",INDEX(properties!A$1:CB$87,'Fórmula'!H84,39)),IF(INDEX(properties!A$1:CB$87,'Fórmula'!J84,39)&lt;&gt;"",INDEX(properties!A$1:CB$87,'Fórmula'!J84,39)))</f>
        <v>0.878584</v>
      </c>
      <c r="DU84" s="120">
        <f t="array" ref="DU84">MAX(INDEX(properties!A$1:CB$87,'Fórmula'!B84,39),INDEX(properties!A$1:CB$87,'Fórmula'!D84,39),INDEX(properties!A$1:CB$87,'Fórmula'!F84,39),INDEX(properties!A$1:CB$87,'Fórmula'!H84,39),INDEX(properties!A$1:CB$87,'Fórmula'!J84,39))</f>
        <v>2.53</v>
      </c>
      <c r="DV84" s="120">
        <f t="array" ref="DV84">MIN(IF(INDEX(properties!A$1:CB$87,'Fórmula'!B84,39)=0,10^6,INDEX(properties!A$1:CB$87,'Fórmula'!B84,39)),IF(INDEX(properties!A$1:CB$87,'Fórmula'!D84,39)=0,10^6,INDEX(properties!A$1:CB$87,'Fórmula'!D84,39)),IF(INDEX(properties!A$1:CB$87,'Fórmula'!F84,39)=0,10^6,INDEX(properties!A$1:CB$87,'Fórmula'!F84,39)),IF(INDEX(properties!A$1:CB$87,'Fórmula'!H84,39)=0,10^6,INDEX(properties!A$1:CB$87,'Fórmula'!H84,39)),IF(INDEX(properties!A$1:CB$87,'Fórmula'!J84,39)=0,10^6,INDEX(properties!A$1:CB$87,'Fórmula'!J84,39)))</f>
        <v>0.48</v>
      </c>
      <c r="DW84" s="109">
        <f t="shared" si="21"/>
        <v>2.05</v>
      </c>
      <c r="DX84" s="110">
        <f t="array" ref="DX84">(('Fórmula'!C84)/('Fórmula'!C84+'Fórmula'!E84+'Fórmula'!G84+'Fórmula'!I84+'Fórmula'!K84))*(INDEX(properties!A$1:CB$87,'Fórmula'!B84,40))+(('Fórmula'!E84)/('Fórmula'!C84+'Fórmula'!E84+'Fórmula'!G84+'Fórmula'!I84+'Fórmula'!K84))*(INDEX(properties!A$1:CB$87,'Fórmula'!D84,40))+(('Fórmula'!G84)/('Fórmula'!C84+'Fórmula'!E84+'Fórmula'!G84+'Fórmula'!I84+'Fórmula'!K84))*(INDEX(properties!A$1:CB$87,'Fórmula'!F84,40))+(('Fórmula'!I84)/('Fórmula'!C84+'Fórmula'!E84+'Fórmula'!G84+'Fórmula'!I84+'Fórmula'!K84))*(INDEX(properties!A$1:CB$87,'Fórmula'!H84,40))+(('Fórmula'!K84)/('Fórmula'!C84+'Fórmula'!E84+'Fórmula'!G84+'Fórmula'!I84+'Fórmula'!K84))*(INDEX(properties!A$1:CB$87,'Fórmula'!J84,40))</f>
        <v>1.017142857</v>
      </c>
      <c r="DY84" s="110">
        <f t="array" ref="DY84">'Fórmula'!C84*(INDEX(properties!A$1:CB$87,'Fórmula'!B84,40))+'Fórmula'!E84*(INDEX(properties!A$1:CB$87,'Fórmula'!D84,40))+'Fórmula'!G84*(INDEX(properties!A$1:CB$87,'Fórmula'!F84,40))+'Fórmula'!I84*(INDEX(properties!A$1:CB$87,'Fórmula'!H84,40))+'Fórmula'!K84*(INDEX(properties!A$1:CB$87,'Fórmula'!J84,40))</f>
        <v>21.36</v>
      </c>
      <c r="DZ84" s="110">
        <f t="array" ref="DZ84">VARP(IF(INDEX(properties!A$1:CB$87,'Fórmula'!B84,40)&lt;&gt;"",INDEX(properties!A$1:CB$87,'Fórmula'!B84,40)),IF(INDEX(properties!A$1:CB$87,'Fórmula'!D84,40)&lt;&gt;"",INDEX(properties!A$1:CB$87,'Fórmula'!D84,40)),IF(INDEX(properties!A$1:CB$87,'Fórmula'!F84,40)&lt;&gt;"",INDEX(properties!A$1:CB$87,'Fórmula'!F84,40)),IF(INDEX(properties!A$1:CB$87,'Fórmula'!H84,40)&lt;&gt;"",INDEX(properties!A$1:CB$87,'Fórmula'!H84,40)),IF(INDEX(properties!A$1:CB$87,'Fórmula'!J84,40)&lt;&gt;"",INDEX(properties!A$1:CB$87,'Fórmula'!J84,40)))</f>
        <v>0.506424</v>
      </c>
      <c r="EA84" s="121">
        <f t="array" ref="EA84">MAX(INDEX(properties!A$1:CB$87,'Fórmula'!B84,40),INDEX(properties!A$1:CB$87,'Fórmula'!D84,40),INDEX(properties!A$1:CB$87,'Fórmula'!F84,40),INDEX(properties!A$1:CB$87,'Fórmula'!H84,40),INDEX(properties!A$1:CB$87,'Fórmula'!J84,40))</f>
        <v>1.98</v>
      </c>
      <c r="EB84" s="121">
        <f t="array" ref="EB84">MIN(IF(INDEX(properties!A$1:CB$87,'Fórmula'!B84,40)=0,10^6,INDEX(properties!A$1:CB$87,'Fórmula'!B84,40)),IF(INDEX(properties!A$1:CB$87,'Fórmula'!D84,40)=0,10^6,INDEX(properties!A$1:CB$87,'Fórmula'!D84,40)),IF(INDEX(properties!A$1:CB$87,'Fórmula'!F84,40)=0,10^6,INDEX(properties!A$1:CB$87,'Fórmula'!F84,40)),IF(INDEX(properties!A$1:CB$87,'Fórmula'!H84,40)=0,10^6,INDEX(properties!A$1:CB$87,'Fórmula'!H84,40)),IF(INDEX(properties!A$1:CB$87,'Fórmula'!J84,40)=0,10^6,INDEX(properties!A$1:CB$87,'Fórmula'!J84,40)))</f>
        <v>0.73</v>
      </c>
      <c r="EC84" s="110">
        <f t="shared" si="22"/>
        <v>1.25</v>
      </c>
      <c r="ED84" s="111">
        <f t="array" ref="ED84">(('Fórmula'!C84)/('Fórmula'!C84+'Fórmula'!E84+'Fórmula'!G84+'Fórmula'!I84+'Fórmula'!K84))*(INDEX(properties!A$1:CB$87,'Fórmula'!B84,41))+(('Fórmula'!E84)/('Fórmula'!C84+'Fórmula'!E84+'Fórmula'!G84+'Fórmula'!I84+'Fórmula'!K84))*(INDEX(properties!A$1:CB$87,'Fórmula'!D84,41))+(('Fórmula'!G84)/('Fórmula'!C84+'Fórmula'!E84+'Fórmula'!G84+'Fórmula'!I84+'Fórmula'!K84))*(INDEX(properties!A$1:CB$87,'Fórmula'!F84,41))+(('Fórmula'!I84)/('Fórmula'!C84+'Fórmula'!E84+'Fórmula'!G84+'Fórmula'!I84+'Fórmula'!K84))*(INDEX(properties!A$1:CB$87,'Fórmula'!H84,41))+(('Fórmula'!K84)/('Fórmula'!C84+'Fórmula'!E84+'Fórmula'!G84+'Fórmula'!I84+'Fórmula'!K84))*(INDEX(properties!A$1:CB$87,'Fórmula'!J84,41))</f>
        <v>1.122380952</v>
      </c>
      <c r="EE84" s="111">
        <f t="array" ref="EE84">'Fórmula'!C84*(INDEX(properties!A$1:CB$87,'Fórmula'!B84,41))+'Fórmula'!E84*(INDEX(properties!A$1:CB$87,'Fórmula'!D84,41))+'Fórmula'!G84*(INDEX(properties!A$1:CB$87,'Fórmula'!F84,41))+'Fórmula'!I84*(INDEX(properties!A$1:CB$87,'Fórmula'!H84,41))+'Fórmula'!K84*(INDEX(properties!A$1:CB$87,'Fórmula'!J84,41))</f>
        <v>23.57</v>
      </c>
      <c r="EF84" s="111">
        <f t="array" ref="EF84">VARP(IF(INDEX(properties!A$1:CB$87,'Fórmula'!B84,41)&lt;&gt;"",INDEX(properties!A$1:CB$87,'Fórmula'!B84,41)),IF(INDEX(properties!A$1:CB$87,'Fórmula'!D84,41)&lt;&gt;"",INDEX(properties!A$1:CB$87,'Fórmula'!D84,41)),IF(INDEX(properties!A$1:CB$87,'Fórmula'!F84,41)&lt;&gt;"",INDEX(properties!A$1:CB$87,'Fórmula'!F84,41)),IF(INDEX(properties!A$1:CB$87,'Fórmula'!H84,41)&lt;&gt;"",INDEX(properties!A$1:CB$87,'Fórmula'!H84,41)),IF(INDEX(properties!A$1:CB$87,'Fórmula'!J84,41)&lt;&gt;"",INDEX(properties!A$1:CB$87,'Fórmula'!J84,41)))</f>
        <v>0.318984</v>
      </c>
      <c r="EG84" s="122">
        <f t="array" ref="EG84">MAX(INDEX(properties!A$1:CB$87,'Fórmula'!B84,41),INDEX(properties!A$1:CB$87,'Fórmula'!D84,41),INDEX(properties!A$1:CB$87,'Fórmula'!F84,41),INDEX(properties!A$1:CB$87,'Fórmula'!H84,41),INDEX(properties!A$1:CB$87,'Fórmula'!J84,41))</f>
        <v>1.49</v>
      </c>
      <c r="EH84" s="122">
        <f t="array" ref="EH84">MIN(IF(INDEX(properties!A$1:CB$87,'Fórmula'!B84,41)=0,10^6,INDEX(properties!A$1:CB$87,'Fórmula'!B84,41)),IF(INDEX(properties!A$1:CB$87,'Fórmula'!D84,41)=0,10^6,INDEX(properties!A$1:CB$87,'Fórmula'!D84,41)),IF(INDEX(properties!A$1:CB$87,'Fórmula'!F84,41)=0,10^6,INDEX(properties!A$1:CB$87,'Fórmula'!F84,41)),IF(INDEX(properties!A$1:CB$87,'Fórmula'!H84,41)=0,10^6,INDEX(properties!A$1:CB$87,'Fórmula'!H84,41)),IF(INDEX(properties!A$1:CB$87,'Fórmula'!J84,41)=0,10^6,INDEX(properties!A$1:CB$87,'Fórmula'!J84,41)))</f>
        <v>0.41</v>
      </c>
      <c r="EI84" s="111">
        <f t="shared" si="23"/>
        <v>1.08</v>
      </c>
      <c r="EJ84" s="112">
        <f t="array" ref="EJ84">(('Fórmula'!C84)/('Fórmula'!C84+'Fórmula'!E84+'Fórmula'!G84+'Fórmula'!I84+'Fórmula'!K84))*(INDEX(properties!A$1:CB$87,'Fórmula'!B84,45))+(('Fórmula'!E84)/('Fórmula'!C84+'Fórmula'!E84+'Fórmula'!G84+'Fórmula'!I84+'Fórmula'!K84))*(INDEX(properties!A$1:CB$87,'Fórmula'!D84,45))+(('Fórmula'!G84)/('Fórmula'!C84+'Fórmula'!E84+'Fórmula'!G84+'Fórmula'!I84+'Fórmula'!K84))*(INDEX(properties!A$1:CB$87,'Fórmula'!F84,45))+(('Fórmula'!I84)/('Fórmula'!C84+'Fórmula'!E84+'Fórmula'!G84+'Fórmula'!I84+'Fórmula'!K84))*(INDEX(properties!A$1:CB$87,'Fórmula'!H84,45))+(('Fórmula'!K84)/('Fórmula'!C84+'Fórmula'!E84+'Fórmula'!G84+'Fórmula'!I84+'Fórmula'!K84))*(INDEX(properties!A$1:CB$87,'Fórmula'!J84,45))</f>
        <v>1.2</v>
      </c>
      <c r="EK84" s="112">
        <f t="array" ref="EK84">'Fórmula'!C84*(INDEX(properties!A$1:CB$87,'Fórmula'!B84,45))+'Fórmula'!E84*(INDEX(properties!A$1:CB$87,'Fórmula'!D84,45))+'Fórmula'!G84*(INDEX(properties!A$1:CB$87,'Fórmula'!F84,45))+'Fórmula'!I84*(INDEX(properties!A$1:CB$87,'Fórmula'!H84,45))+'Fórmula'!K84*(INDEX(properties!A$1:CB$87,'Fórmula'!J84,45))</f>
        <v>25.2</v>
      </c>
      <c r="EL84" s="112">
        <f t="array" ref="EL84">VARP(IF(INDEX(properties!A$1:CB$87,'Fórmula'!B84,45)&lt;&gt;"",INDEX(properties!A$1:CB$87,'Fórmula'!B84,45)),IF(INDEX(properties!A$1:CB$87,'Fórmula'!D84,45)&lt;&gt;"",INDEX(properties!A$1:CB$87,'Fórmula'!D84,45)),IF(INDEX(properties!A$1:CB$87,'Fórmula'!F84,45)&lt;&gt;"",INDEX(properties!A$1:CB$87,'Fórmula'!F84,45)),IF(INDEX(properties!A$1:CB$87,'Fórmula'!H84,45)&lt;&gt;"",INDEX(properties!A$1:CB$87,'Fórmula'!H84,45)),IF(INDEX(properties!A$1:CB$87,'Fórmula'!J84,45)&lt;&gt;"",INDEX(properties!A$1:CB$87,'Fórmula'!J84,45)))</f>
        <v>1.97896</v>
      </c>
      <c r="EM84" s="123">
        <f t="array" ref="EM84">MAX(INDEX(properties!A$1:CB$87,'Fórmula'!B84,45),INDEX(properties!A$1:CB$87,'Fórmula'!D84,45),INDEX(properties!A$1:CB$87,'Fórmula'!F84,45),INDEX(properties!A$1:CB$87,'Fórmula'!H84,45),INDEX(properties!A$1:CB$87,'Fórmula'!J84,45))</f>
        <v>3.4</v>
      </c>
      <c r="EN84" s="123">
        <f t="array" ref="EN84">MIN(IF(INDEX(properties!A$1:CB$87,'Fórmula'!B84,45)=0,10^6,INDEX(properties!A$1:CB$87,'Fórmula'!B84,45)),IF(INDEX(properties!A$1:CB$87,'Fórmula'!D84,45)=0,10^6,INDEX(properties!A$1:CB$87,'Fórmula'!D84,45)),IF(INDEX(properties!A$1:CB$87,'Fórmula'!F84,45)=0,10^6,INDEX(properties!A$1:CB$87,'Fórmula'!F84,45)),IF(INDEX(properties!A$1:CB$87,'Fórmula'!H84,45)=0,10^6,INDEX(properties!A$1:CB$87,'Fórmula'!H84,45)),IF(INDEX(properties!A$1:CB$87,'Fórmula'!J84,45)=0,10^6,INDEX(properties!A$1:CB$87,'Fórmula'!J84,45)))</f>
        <v>0.47</v>
      </c>
      <c r="EO84" s="112">
        <f t="shared" si="24"/>
        <v>2.93</v>
      </c>
      <c r="EP84" s="113">
        <f t="array" ref="EP84">(('Fórmula'!C84)/('Fórmula'!C84+'Fórmula'!E84+'Fórmula'!G84+'Fórmula'!I84+'Fórmula'!K84))*(INDEX(properties!A$1:CB$87,'Fórmula'!B84,46))+(('Fórmula'!E84)/('Fórmula'!C84+'Fórmula'!E84+'Fórmula'!G84+'Fórmula'!I84+'Fórmula'!K84))*(INDEX(properties!A$1:CB$87,'Fórmula'!D84,46))+(('Fórmula'!G84)/('Fórmula'!C84+'Fórmula'!E84+'Fórmula'!G84+'Fórmula'!I84+'Fórmula'!K84))*(INDEX(properties!A$1:CB$87,'Fórmula'!F84,46))+(('Fórmula'!I84)/('Fórmula'!C84+'Fórmula'!E84+'Fórmula'!G84+'Fórmula'!I84+'Fórmula'!K84))*(INDEX(properties!A$1:CB$87,'Fórmula'!H84,46))+(('Fórmula'!K84)/('Fórmula'!C84+'Fórmula'!E84+'Fórmula'!G84+'Fórmula'!I84+'Fórmula'!K84))*(INDEX(properties!A$1:CB$87,'Fórmula'!J84,46))</f>
        <v>1.081428571</v>
      </c>
      <c r="EQ84" s="113">
        <f t="array" ref="EQ84">'Fórmula'!C84*(INDEX(properties!A$1:CB$87,'Fórmula'!B84,46))+'Fórmula'!E84*(INDEX(properties!A$1:CB$87,'Fórmula'!D84,46))+'Fórmula'!G84*(INDEX(properties!A$1:CB$87,'Fórmula'!F84,46))+'Fórmula'!I84*(INDEX(properties!A$1:CB$87,'Fórmula'!H84,46))+'Fórmula'!K84*(INDEX(properties!A$1:CB$87,'Fórmula'!J84,46))</f>
        <v>22.71</v>
      </c>
      <c r="ER84" s="113">
        <f t="array" ref="ER84">VARP(IF(INDEX(properties!A$1:CB$87,'Fórmula'!B84,46)&lt;&gt;"",INDEX(properties!A$1:CB$87,'Fórmula'!B84,46)),IF(INDEX(properties!A$1:CB$87,'Fórmula'!D84,46)&lt;&gt;"",INDEX(properties!A$1:CB$87,'Fórmula'!D84,46)),IF(INDEX(properties!A$1:CB$87,'Fórmula'!F84,46)&lt;&gt;"",INDEX(properties!A$1:CB$87,'Fórmula'!F84,46)),IF(INDEX(properties!A$1:CB$87,'Fórmula'!H84,46)&lt;&gt;"",INDEX(properties!A$1:CB$87,'Fórmula'!H84,46)),IF(INDEX(properties!A$1:CB$87,'Fórmula'!J84,46)&lt;&gt;"",INDEX(properties!A$1:CB$87,'Fórmula'!J84,46)))</f>
        <v>0.376216</v>
      </c>
      <c r="ES84" s="124">
        <f t="array" ref="ES84">MAX(INDEX(properties!A$1:CB$87,'Fórmula'!B84,46),INDEX(properties!A$1:CB$87,'Fórmula'!D84,46),INDEX(properties!A$1:CB$87,'Fórmula'!F84,46),INDEX(properties!A$1:CB$87,'Fórmula'!H84,46),INDEX(properties!A$1:CB$87,'Fórmula'!J84,46))</f>
        <v>1.49</v>
      </c>
      <c r="ET84" s="124">
        <f t="array" ref="ET84">MIN(IF(INDEX(properties!A$1:CB$87,'Fórmula'!B84,46)=0,10^6,INDEX(properties!A$1:CB$87,'Fórmula'!B84,46)),IF(INDEX(properties!A$1:CB$87,'Fórmula'!D84,46)=0,10^6,INDEX(properties!A$1:CB$87,'Fórmula'!D84,46)),IF(INDEX(properties!A$1:CB$87,'Fórmula'!F84,46)=0,10^6,INDEX(properties!A$1:CB$87,'Fórmula'!F84,46)),IF(INDEX(properties!A$1:CB$87,'Fórmula'!H84,46)=0,10^6,INDEX(properties!A$1:CB$87,'Fórmula'!H84,46)),IF(INDEX(properties!A$1:CB$87,'Fórmula'!J84,46)=0,10^6,INDEX(properties!A$1:CB$87,'Fórmula'!J84,46)))</f>
        <v>0.25</v>
      </c>
      <c r="EU84" s="113">
        <f t="shared" si="25"/>
        <v>1.24</v>
      </c>
      <c r="EV84" s="114">
        <f t="array" ref="EV84">(('Fórmula'!C84)/('Fórmula'!C84+'Fórmula'!E84+'Fórmula'!G84+'Fórmula'!I84+'Fórmula'!K84))*(INDEX(properties!A$1:CB$87,'Fórmula'!B84,52))+(('Fórmula'!E84)/('Fórmula'!C84+'Fórmula'!E84+'Fórmula'!G84+'Fórmula'!I84+'Fórmula'!K84))*(INDEX(properties!A$1:CB$87,'Fórmula'!D84,52))+(('Fórmula'!G84)/('Fórmula'!C84+'Fórmula'!E84+'Fórmula'!G84+'Fórmula'!I84+'Fórmula'!K84))*(INDEX(properties!A$1:CB$87,'Fórmula'!F84,52))+(('Fórmula'!I84)/('Fórmula'!C84+'Fórmula'!E84+'Fórmula'!G84+'Fórmula'!I84+'Fórmula'!K84))*(INDEX(properties!A$1:CB$87,'Fórmula'!H84,52))+(('Fórmula'!K84)/('Fórmula'!C84+'Fórmula'!E84+'Fórmula'!G84+'Fórmula'!I84+'Fórmula'!K84))*(INDEX(properties!A$1:CB$87,'Fórmula'!J84,52))</f>
        <v>9.657904762</v>
      </c>
      <c r="EW84" s="114">
        <f t="array" ref="EW84">'Fórmula'!C84*(INDEX(properties!A$1:CB$87,'Fórmula'!B84,52))+'Fórmula'!E84*(INDEX(properties!A$1:CB$87,'Fórmula'!D84,52))+'Fórmula'!G84*(INDEX(properties!A$1:CB$87,'Fórmula'!F84,52))+'Fórmula'!I84*(INDEX(properties!A$1:CB$87,'Fórmula'!H84,52))+'Fórmula'!K84*(INDEX(properties!A$1:CB$87,'Fórmula'!J84,52))</f>
        <v>202.816</v>
      </c>
      <c r="EX84" s="114">
        <f t="array" ref="EX84">VARP(IF(INDEX(properties!A$1:CB$87,'Fórmula'!B84,52)&lt;&gt;"",INDEX(properties!A$1:CB$87,'Fórmula'!B84,52)),IF(INDEX(properties!A$1:CB$87,'Fórmula'!D84,52)&lt;&gt;"",INDEX(properties!A$1:CB$87,'Fórmula'!D84,52)),IF(INDEX(properties!A$1:CB$87,'Fórmula'!F84,52)&lt;&gt;"",INDEX(properties!A$1:CB$87,'Fórmula'!F84,52)),IF(INDEX(properties!A$1:CB$87,'Fórmula'!H84,52)&lt;&gt;"",INDEX(properties!A$1:CB$87,'Fórmula'!H84,52)),IF(INDEX(properties!A$1:CB$87,'Fórmula'!J84,52)&lt;&gt;"",INDEX(properties!A$1:CB$87,'Fórmula'!J84,52)))</f>
        <v>288.0211438</v>
      </c>
      <c r="EY84" s="114">
        <f t="array" ref="EY84">MAX(INDEX(properties!A$1:CB$87,'Fórmula'!B84,52),INDEX(properties!A$1:CB$87,'Fórmula'!D84,52),INDEX(properties!A$1:CB$87,'Fórmula'!F84,52),INDEX(properties!A$1:CB$87,'Fórmula'!H84,52),INDEX(properties!A$1:CB$87,'Fórmula'!J84,52))</f>
        <v>39.7</v>
      </c>
      <c r="EZ84" s="114">
        <f t="array" ref="EZ84">MIN(IF(INDEX(properties!A$1:CB$87,'Fórmula'!B84,52)=0,10^6,INDEX(properties!A$1:CB$87,'Fórmula'!B84,52)),IF(INDEX(properties!A$1:CB$87,'Fórmula'!D84,52)=0,10^6,INDEX(properties!A$1:CB$87,'Fórmula'!D84,52)),IF(INDEX(properties!A$1:CB$87,'Fórmula'!F84,52)=0,10^6,INDEX(properties!A$1:CB$87,'Fórmula'!F84,52)),IF(INDEX(properties!A$1:CB$87,'Fórmula'!H84,52)=0,10^6,INDEX(properties!A$1:CB$87,'Fórmula'!H84,52)),IF(INDEX(properties!A$1:CB$87,'Fórmula'!J84,52)=0,10^6,INDEX(properties!A$1:CB$87,'Fórmula'!J84,52)))</f>
        <v>0.793</v>
      </c>
      <c r="FA84" s="114">
        <f t="shared" si="26"/>
        <v>38.907</v>
      </c>
      <c r="FB84" s="115">
        <f t="array" ref="FB84">(('Fórmula'!C84)/('Fórmula'!C84+'Fórmula'!E84+'Fórmula'!G84+'Fórmula'!I84+'Fórmula'!K84))*(INDEX(properties!A$1:CB$87,'Fórmula'!B84,53))+(('Fórmula'!E84)/('Fórmula'!C84+'Fórmula'!E84+'Fórmula'!G84+'Fórmula'!I84+'Fórmula'!K84))*(INDEX(properties!A$1:CB$87,'Fórmula'!D84,53))+(('Fórmula'!G84)/('Fórmula'!C84+'Fórmula'!E84+'Fórmula'!G84+'Fórmula'!I84+'Fórmula'!K84))*(INDEX(properties!A$1:CB$87,'Fórmula'!F84,53))+(('Fórmula'!I84)/('Fórmula'!C84+'Fórmula'!E84+'Fórmula'!G84+'Fórmula'!I84+'Fórmula'!K84))*(INDEX(properties!A$1:CB$87,'Fórmula'!H84,53))+(('Fórmula'!K84)/('Fórmula'!C84+'Fórmula'!E84+'Fórmula'!G84+'Fórmula'!I84+'Fórmula'!K84))*(INDEX(properties!A$1:CB$87,'Fórmula'!J84,53))</f>
        <v>735.5404762</v>
      </c>
      <c r="FC84" s="115">
        <f t="array" ref="FC84">'Fórmula'!C84*(INDEX(properties!A$1:CB$87,'Fórmula'!B84,53))+'Fórmula'!E84*(INDEX(properties!A$1:CB$87,'Fórmula'!D84,53))+'Fórmula'!G84*(INDEX(properties!A$1:CB$87,'Fórmula'!F84,53))+'Fórmula'!I84*(INDEX(properties!A$1:CB$87,'Fórmula'!H84,53))+'Fórmula'!K84*(INDEX(properties!A$1:CB$87,'Fórmula'!J84,53))</f>
        <v>15446.35</v>
      </c>
      <c r="FD84" s="115">
        <f t="array" ref="FD84">VARP(IF(INDEX(properties!A$1:CB$87,'Fórmula'!B84,53)&lt;&gt;"",INDEX(properties!A$1:CB$87,'Fórmula'!B84,53)),IF(INDEX(properties!A$1:CB$87,'Fórmula'!D84,53)&lt;&gt;"",INDEX(properties!A$1:CB$87,'Fórmula'!D84,53)),IF(INDEX(properties!A$1:CB$87,'Fórmula'!F84,53)&lt;&gt;"",INDEX(properties!A$1:CB$87,'Fórmula'!F84,53)),IF(INDEX(properties!A$1:CB$87,'Fórmula'!H84,53)&lt;&gt;"",INDEX(properties!A$1:CB$87,'Fórmula'!H84,53)),IF(INDEX(properties!A$1:CB$87,'Fórmula'!J84,53)&lt;&gt;"",INDEX(properties!A$1:CB$87,'Fórmula'!J84,53)))</f>
        <v>745365.7764</v>
      </c>
      <c r="FE84" s="115">
        <f t="array" ref="FE84">MAX(INDEX(properties!A$1:CB$87,'Fórmula'!B84,53),INDEX(properties!A$1:CB$87,'Fórmula'!D84,53),INDEX(properties!A$1:CB$87,'Fórmula'!F84,53),INDEX(properties!A$1:CB$87,'Fórmula'!H84,53),INDEX(properties!A$1:CB$87,'Fórmula'!J84,53))</f>
        <v>2352.15</v>
      </c>
      <c r="FF84" s="115">
        <f t="array" ref="FF84">MIN(IF(INDEX(properties!A$1:CB$87,'Fórmula'!B84,53)=0,10^6,INDEX(properties!A$1:CB$87,'Fórmula'!B84,53)),IF(INDEX(properties!A$1:CB$87,'Fórmula'!D84,53)=0,10^6,INDEX(properties!A$1:CB$87,'Fórmula'!D84,53)),IF(INDEX(properties!A$1:CB$87,'Fórmula'!F84,53)=0,10^6,INDEX(properties!A$1:CB$87,'Fórmula'!F84,53)),IF(INDEX(properties!A$1:CB$87,'Fórmula'!H84,53)=0,10^6,INDEX(properties!A$1:CB$87,'Fórmula'!H84,53)),IF(INDEX(properties!A$1:CB$87,'Fórmula'!J84,53)=0,10^6,INDEX(properties!A$1:CB$87,'Fórmula'!J84,53)))</f>
        <v>54.75</v>
      </c>
      <c r="FG84" s="115">
        <f t="shared" si="27"/>
        <v>2297.4</v>
      </c>
      <c r="FH84" s="117">
        <f t="array" ref="FH84">(('Fórmula'!C84)/('Fórmula'!C84+'Fórmula'!E84+'Fórmula'!G84+'Fórmula'!I84+'Fórmula'!K84))*(INDEX(properties!A$1:CB$87,'Fórmula'!B84,54))+(('Fórmula'!E84)/('Fórmula'!C84+'Fórmula'!E84+'Fórmula'!G84+'Fórmula'!I84+'Fórmula'!K84))*(INDEX(properties!A$1:CB$87,'Fórmula'!D84,54))+(('Fórmula'!G84)/('Fórmula'!C84+'Fórmula'!E84+'Fórmula'!G84+'Fórmula'!I84+'Fórmula'!K84))*(INDEX(properties!A$1:CB$87,'Fórmula'!F84,54))+(('Fórmula'!I84)/('Fórmula'!C84+'Fórmula'!E84+'Fórmula'!G84+'Fórmula'!I84+'Fórmula'!K84))*(INDEX(properties!A$1:CB$87,'Fórmula'!H84,54))+(('Fórmula'!K84)/('Fórmula'!C84+'Fórmula'!E84+'Fórmula'!G84+'Fórmula'!I84+'Fórmula'!K84))*(INDEX(properties!A$1:CB$87,'Fórmula'!J84,54))</f>
        <v>1494.07381</v>
      </c>
      <c r="FI84" s="117">
        <f t="array" ref="FI84">'Fórmula'!C84*(INDEX(properties!A$1:CB$87,'Fórmula'!B84,54))+'Fórmula'!E84*(INDEX(properties!A$1:CB$87,'Fórmula'!D84,54))+'Fórmula'!G84*(INDEX(properties!A$1:CB$87,'Fórmula'!F84,54))+'Fórmula'!I84*(INDEX(properties!A$1:CB$87,'Fórmula'!H84,54))+'Fórmula'!K84*(INDEX(properties!A$1:CB$87,'Fórmula'!J84,54))</f>
        <v>31375.55</v>
      </c>
      <c r="FJ84" s="117">
        <f t="array" ref="FJ84">VARP(IF(INDEX(properties!A$1:CB$87,'Fórmula'!B84,54)&lt;&gt;"",INDEX(properties!A$1:CB$87,'Fórmula'!B84,54)),IF(INDEX(properties!A$1:CB$87,'Fórmula'!D84,54)&lt;&gt;"",INDEX(properties!A$1:CB$87,'Fórmula'!D84,54)),IF(INDEX(properties!A$1:CB$87,'Fórmula'!F84,54)&lt;&gt;"",INDEX(properties!A$1:CB$87,'Fórmula'!F84,54)),IF(INDEX(properties!A$1:CB$87,'Fórmula'!H84,54)&lt;&gt;"",INDEX(properties!A$1:CB$87,'Fórmula'!H84,54)),IF(INDEX(properties!A$1:CB$87,'Fórmula'!J84,54)&lt;&gt;"",INDEX(properties!A$1:CB$87,'Fórmula'!J84,54)))</f>
        <v>3162747.225</v>
      </c>
      <c r="FK84" s="117">
        <f t="array" ref="FK84">MAX(INDEX(properties!A$1:CB$87,'Fórmula'!B84,54),INDEX(properties!A$1:CB$87,'Fórmula'!D84,54),INDEX(properties!A$1:CB$87,'Fórmula'!F84,54),INDEX(properties!A$1:CB$87,'Fórmula'!H84,54),INDEX(properties!A$1:CB$87,'Fórmula'!J84,54))</f>
        <v>4275</v>
      </c>
      <c r="FL84" s="117">
        <f t="array" ref="FL84">MIN(IF(INDEX(properties!A$1:CB$87,'Fórmula'!B84,54)=0,10^6,INDEX(properties!A$1:CB$87,'Fórmula'!B84,54)),IF(INDEX(properties!A$1:CB$87,'Fórmula'!D84,54)=0,10^6,INDEX(properties!A$1:CB$87,'Fórmula'!D84,54)),IF(INDEX(properties!A$1:CB$87,'Fórmula'!F84,54)=0,10^6,INDEX(properties!A$1:CB$87,'Fórmula'!F84,54)),IF(INDEX(properties!A$1:CB$87,'Fórmula'!H84,54)=0,10^6,INDEX(properties!A$1:CB$87,'Fórmula'!H84,54)),IF(INDEX(properties!A$1:CB$87,'Fórmula'!J84,54)=0,10^6,INDEX(properties!A$1:CB$87,'Fórmula'!J84,54)))</f>
        <v>90.15</v>
      </c>
      <c r="FM84" s="117">
        <f t="shared" si="28"/>
        <v>4184.85</v>
      </c>
      <c r="FN84" s="118">
        <f t="array" ref="FN84">(('Fórmula'!C84)/('Fórmula'!C84+'Fórmula'!E84+'Fórmula'!G84+'Fórmula'!I84+'Fórmula'!K84))*(INDEX(properties!A$1:CB$87,'Fórmula'!B84,55))+(('Fórmula'!E84)/('Fórmula'!C84+'Fórmula'!E84+'Fórmula'!G84+'Fórmula'!I84+'Fórmula'!K84))*(INDEX(properties!A$1:CB$87,'Fórmula'!D84,55))+(('Fórmula'!G84)/('Fórmula'!C84+'Fórmula'!E84+'Fórmula'!G84+'Fórmula'!I84+'Fórmula'!K84))*(INDEX(properties!A$1:CB$87,'Fórmula'!F84,55))+(('Fórmula'!I84)/('Fórmula'!C84+'Fórmula'!E84+'Fórmula'!G84+'Fórmula'!I84+'Fórmula'!K84))*(INDEX(properties!A$1:CB$87,'Fórmula'!H84,55))+(('Fórmula'!K84)/('Fórmula'!C84+'Fórmula'!E84+'Fórmula'!G84+'Fórmula'!I84+'Fórmula'!K84))*(INDEX(properties!A$1:CB$87,'Fórmula'!J84,55))</f>
        <v>1.532245714</v>
      </c>
      <c r="FO84" s="118">
        <f t="array" ref="FO84">'Fórmula'!C84*(INDEX(properties!A$1:CB$87,'Fórmula'!B84,55))+'Fórmula'!E84*(INDEX(properties!A$1:CB$87,'Fórmula'!D84,54))+'Fórmula'!G84*(INDEX(properties!A$1:CB$87,'Fórmula'!F84,55))+'Fórmula'!I84*(INDEX(properties!A$1:CB$87,'Fórmula'!H84,55))+'Fórmula'!K84*(INDEX(properties!A$1:CB$87,'Fórmula'!J84,55))</f>
        <v>7474.17716</v>
      </c>
      <c r="FP84" s="118">
        <f t="array" ref="FP84">VARP(IF(INDEX(properties!A$1:CB$87,'Fórmula'!B84,55)&lt;&gt;"",INDEX(properties!A$1:CB$87,'Fórmula'!B84,55)),IF(INDEX(properties!A$1:CB$87,'Fórmula'!D84,55)&lt;&gt;"",INDEX(properties!A$1:CB$87,'Fórmula'!D84,55)),IF(INDEX(properties!A$1:CB$87,'Fórmula'!F84,55)&lt;&gt;"",INDEX(properties!A$1:CB$87,'Fórmula'!F84,55)),IF(INDEX(properties!A$1:CB$87,'Fórmula'!H84,55)&lt;&gt;"",INDEX(properties!A$1:CB$87,'Fórmula'!H84,55)),IF(INDEX(properties!A$1:CB$87,'Fórmula'!J84,55)&lt;&gt;"",INDEX(properties!A$1:CB$87,'Fórmula'!J84,55)))</f>
        <v>5.357844671</v>
      </c>
      <c r="FQ84" s="118">
        <f t="array" ref="FQ84">MAX(INDEX(properties!A$1:CB$87,'Fórmula'!B84,55),INDEX(properties!A$1:CB$87,'Fórmula'!D84,55),INDEX(properties!A$1:CB$87,'Fórmula'!F84,55),INDEX(properties!A$1:CB$87,'Fórmula'!H84,55),INDEX(properties!A$1:CB$87,'Fórmula'!J84,55))</f>
        <v>6.15</v>
      </c>
      <c r="FR84" s="118">
        <f t="array" ref="FR84">MIN(IF(INDEX(properties!A$1:CB$87,'Fórmula'!B84,55)=0,10^6,INDEX(properties!A$1:CB$87,'Fórmula'!B84,55)),IF(INDEX(properties!A$1:CB$87,'Fórmula'!D84,55)=0,10^6,INDEX(properties!A$1:CB$87,'Fórmula'!D84,55)),IF(INDEX(properties!A$1:CB$87,'Fórmula'!F84,55)=0,10^6,INDEX(properties!A$1:CB$87,'Fórmula'!F84,55)),IF(INDEX(properties!A$1:CB$87,'Fórmula'!H84,55)=0,10^6,INDEX(properties!A$1:CB$87,'Fórmula'!H84,55)),IF(INDEX(properties!A$1:CB$87,'Fórmula'!J84,55)=0,10^6,INDEX(properties!A$1:CB$87,'Fórmula'!J84,55)))</f>
        <v>0.00143</v>
      </c>
      <c r="FS84" s="118">
        <f t="shared" si="29"/>
        <v>6.14857</v>
      </c>
      <c r="FT84" s="119">
        <f t="array" ref="FT84">(('Fórmula'!C84)/('Fórmula'!C84+'Fórmula'!E84+'Fórmula'!G84+'Fórmula'!I84+'Fórmula'!K84))*(INDEX(properties!A$1:CB$87,'Fórmula'!B84,56))+(('Fórmula'!E84)/('Fórmula'!C84+'Fórmula'!E84+'Fórmula'!G84+'Fórmula'!I84+'Fórmula'!K84))*(INDEX(properties!A$1:CB$87,'Fórmula'!D84,56))+(('Fórmula'!G84)/('Fórmula'!C84+'Fórmula'!E84+'Fórmula'!G84+'Fórmula'!I84+'Fórmula'!K84))*(INDEX(properties!A$1:CB$87,'Fórmula'!F84,56))+(('Fórmula'!I84)/('Fórmula'!C84+'Fórmula'!E84+'Fórmula'!G84+'Fórmula'!I84+'Fórmula'!K84))*(INDEX(properties!A$1:CB$87,'Fórmula'!H84,56))+(('Fórmula'!K84)/('Fórmula'!C84+'Fórmula'!E84+'Fórmula'!G84+'Fórmula'!I84+'Fórmula'!K84))*(INDEX(properties!A$1:CB$87,'Fórmula'!J84,56))</f>
        <v>0.7672380952</v>
      </c>
      <c r="FU84" s="119">
        <f t="array" ref="FU84">'Fórmula'!C84*(INDEX(properties!A$1:CB$87,'Fórmula'!B84,56))+'Fórmula'!E84*(INDEX(properties!A$1:CB$87,'Fórmula'!D84,56))+'Fórmula'!G84*(INDEX(properties!A$1:CB$87,'Fórmula'!F84,56))+'Fórmula'!I84*(INDEX(properties!A$1:CB$87,'Fórmula'!H84,56))+'Fórmula'!K84*(INDEX(properties!A$1:CB$87,'Fórmula'!J84,56))</f>
        <v>16.112</v>
      </c>
      <c r="FV84" s="119">
        <f t="array" ref="FV84">VARP(IF(INDEX(properties!A$1:CB$87,'Fórmula'!B84,56)&lt;&gt;"",INDEX(properties!A$1:CB$87,'Fórmula'!B84,56)),IF(INDEX(properties!A$1:CB$87,'Fórmula'!D84,56)&lt;&gt;"",INDEX(properties!A$1:CB$87,'Fórmula'!D84,56)),IF(INDEX(properties!A$1:CB$87,'Fórmula'!F84,56)&lt;&gt;"",INDEX(properties!A$1:CB$87,'Fórmula'!F84,56)),IF(INDEX(properties!A$1:CB$87,'Fórmula'!H84,56)&lt;&gt;"",INDEX(properties!A$1:CB$87,'Fórmula'!H84,56)),IF(INDEX(properties!A$1:CB$87,'Fórmula'!J84,56)&lt;&gt;"",INDEX(properties!A$1:CB$87,'Fórmula'!J84,56)))</f>
        <v>0.17500096</v>
      </c>
      <c r="FW84" s="119">
        <f t="array" ref="FW84">MAX(INDEX(properties!A$1:CB$87,'Fórmula'!B84,56),INDEX(properties!A$1:CB$87,'Fórmula'!D84,56),INDEX(properties!A$1:CB$87,'Fórmula'!F84,56),INDEX(properties!A$1:CB$87,'Fórmula'!H84,56),INDEX(properties!A$1:CB$87,'Fórmula'!J84,56))</f>
        <v>1.02</v>
      </c>
      <c r="FX84" s="119">
        <f t="array" ref="FX84">MIN(IF(INDEX(properties!A$1:CB$87,'Fórmula'!B84,56)=0,10^6,INDEX(properties!A$1:CB$87,'Fórmula'!B84,56)),IF(INDEX(properties!A$1:CB$87,'Fórmula'!D84,56)=0,10^6,INDEX(properties!A$1:CB$87,'Fórmula'!D84,56)),IF(INDEX(properties!A$1:CB$87,'Fórmula'!F84,56)=0,10^6,INDEX(properties!A$1:CB$87,'Fórmula'!F84,56)),IF(INDEX(properties!A$1:CB$87,'Fórmula'!H84,56)=0,10^6,INDEX(properties!A$1:CB$87,'Fórmula'!H84,56)),IF(INDEX(properties!A$1:CB$87,'Fórmula'!J84,56)=0,10^6,INDEX(properties!A$1:CB$87,'Fórmula'!J84,56)))</f>
        <v>0.19</v>
      </c>
      <c r="FY84" s="119">
        <f t="shared" si="30"/>
        <v>0.83</v>
      </c>
      <c r="FZ84" s="104">
        <f t="array" ref="FZ84">(('Fórmula'!C84)/('Fórmula'!C84+'Fórmula'!E84+'Fórmula'!G84+'Fórmula'!I84+'Fórmula'!K84))*(INDEX(properties!A$1:CB$87,'Fórmula'!B84,57))+(('Fórmula'!E84)/('Fórmula'!C84+'Fórmula'!E84+'Fórmula'!G84+'Fórmula'!I84+'Fórmula'!K84))*(INDEX(properties!A$1:CB$87,'Fórmula'!D84,57))+(('Fórmula'!G84)/('Fórmula'!C84+'Fórmula'!E84+'Fórmula'!G84+'Fórmula'!I84+'Fórmula'!K84))*(INDEX(properties!A$1:CB$87,'Fórmula'!F84,57))+(('Fórmula'!I84)/('Fórmula'!C84+'Fórmula'!E84+'Fórmula'!G84+'Fórmula'!I84+'Fórmula'!K84))*(INDEX(properties!A$1:CB$87,'Fórmula'!H84,57))+(('Fórmula'!K84)/('Fórmula'!C84+'Fórmula'!E84+'Fórmula'!G84+'Fórmula'!I84+'Fórmula'!K84))*(INDEX(properties!A$1:CB$87,'Fórmula'!J84,57))</f>
        <v>11.3867181</v>
      </c>
      <c r="GA84" s="104">
        <f t="array" ref="GA84">'Fórmula'!C84*(INDEX(properties!A$1:CB$87,'Fórmula'!B84,57))+'Fórmula'!E84*(INDEX(properties!A$1:CB$87,'Fórmula'!D84,57))+'Fórmula'!G84*(INDEX(properties!A$1:CB$87,'Fórmula'!F84,57))+'Fórmula'!I84*(INDEX(properties!A$1:CB$87,'Fórmula'!H84,57))+'Fórmula'!K84*(INDEX(properties!A$1:CB$87,'Fórmula'!J84,57))</f>
        <v>239.12108</v>
      </c>
      <c r="GB84" s="104">
        <f t="array" ref="GB84">VARP(IF(INDEX(properties!A$1:CB$87,'Fórmula'!B84,57)&lt;&gt;"",INDEX(properties!A$1:CB$87,'Fórmula'!B84,57)),IF(INDEX(properties!A$1:CB$87,'Fórmula'!D84,57)&lt;&gt;"",INDEX(properties!A$1:CB$87,'Fórmula'!D84,57)),IF(INDEX(properties!A$1:CB$87,'Fórmula'!F84,57)&lt;&gt;"",INDEX(properties!A$1:CB$87,'Fórmula'!F84,57)),IF(INDEX(properties!A$1:CB$87,'Fórmula'!H84,57)&lt;&gt;"",INDEX(properties!A$1:CB$87,'Fórmula'!H84,57)),IF(INDEX(properties!A$1:CB$87,'Fórmula'!J84,57)&lt;&gt;"",INDEX(properties!A$1:CB$87,'Fórmula'!J84,57)))</f>
        <v>357.9651955</v>
      </c>
      <c r="GC84" s="104">
        <f t="array" ref="GC84">MAX(INDEX(properties!A$1:CB$87,'Fórmula'!B84,57),INDEX(properties!A$1:CB$87,'Fórmula'!D84,57),INDEX(properties!A$1:CB$87,'Fórmula'!F84,57),INDEX(properties!A$1:CB$87,'Fórmula'!H84,57),INDEX(properties!A$1:CB$87,'Fórmula'!J84,57))</f>
        <v>50.2</v>
      </c>
      <c r="GD84" s="104">
        <f t="array" ref="GD84">MIN(IF(INDEX(properties!A$1:CB$87,'Fórmula'!B84,57)=0,10^6,INDEX(properties!A$1:CB$87,'Fórmula'!B84,57)),IF(INDEX(properties!A$1:CB$87,'Fórmula'!D84,57)=0,10^6,INDEX(properties!A$1:CB$87,'Fórmula'!D84,57)),IF(INDEX(properties!A$1:CB$87,'Fórmula'!F84,57)=0,10^6,INDEX(properties!A$1:CB$87,'Fórmula'!F84,57)),IF(INDEX(properties!A$1:CB$87,'Fórmula'!H84,57)=0,10^6,INDEX(properties!A$1:CB$87,'Fórmula'!H84,57)),IF(INDEX(properties!A$1:CB$87,'Fórmula'!J84,57)=0,10^6,INDEX(properties!A$1:CB$87,'Fórmula'!J84,57)))</f>
        <v>0.22259</v>
      </c>
      <c r="GE84" s="104">
        <f t="shared" si="31"/>
        <v>49.97741</v>
      </c>
      <c r="GF84" s="105">
        <f t="array" ref="GF84">(('Fórmula'!C84)/('Fórmula'!C84+'Fórmula'!E84+'Fórmula'!G84+'Fórmula'!I84+'Fórmula'!K84))*(INDEX(properties!A$1:CB$87,'Fórmula'!B84,60))+(('Fórmula'!E84)/('Fórmula'!C84+'Fórmula'!E84+'Fórmula'!G84+'Fórmula'!I84+'Fórmula'!K84))*(INDEX(properties!A$1:CB$87,'Fórmula'!D84,60))+(('Fórmula'!G84)/('Fórmula'!C84+'Fórmula'!E84+'Fórmula'!G84+'Fórmula'!I84+'Fórmula'!K84))*(INDEX(properties!A$1:CB$87,'Fórmula'!F84,60))+(('Fórmula'!I84)/('Fórmula'!C84+'Fórmula'!E84+'Fórmula'!G84+'Fórmula'!I84+'Fórmula'!K84))*(INDEX(properties!A$1:CB$87,'Fórmula'!H84,60))+(('Fórmula'!K84)/('Fórmula'!C84+'Fórmula'!E84+'Fórmula'!G84+'Fórmula'!I84+'Fórmula'!K84))*(INDEX(properties!A$1:CB$87,'Fórmula'!J84,60))</f>
        <v>9.072422857</v>
      </c>
      <c r="GG84" s="105">
        <f t="array" ref="GG84">'Fórmula'!C84*(INDEX(properties!A$1:CB$87,'Fórmula'!B84,60))+'Fórmula'!E84*(INDEX(properties!A$1:CB$87,'Fórmula'!D84,60))+'Fórmula'!G84*(INDEX(properties!A$1:CB$87,'Fórmula'!F84,60))+'Fórmula'!I84*(INDEX(properties!A$1:CB$87,'Fórmula'!H84,60))+'Fórmula'!K84*(INDEX(properties!A$1:CB$87,'Fórmula'!J84,60))</f>
        <v>190.52088</v>
      </c>
      <c r="GH84" s="105">
        <f t="array" ref="GH84">VARP(IF(INDEX(properties!A$1:CB$87,'Fórmula'!B84,60)&lt;&gt;"",INDEX(properties!A$1:CB$87,'Fórmula'!B84,60)),IF(INDEX(properties!A$1:CB$87,'Fórmula'!D84,60)&lt;&gt;"",INDEX(properties!A$1:CB$87,'Fórmula'!D84,60)),IF(INDEX(properties!A$1:CB$87,'Fórmula'!F84,60)&lt;&gt;"",INDEX(properties!A$1:CB$87,'Fórmula'!F84,60)),IF(INDEX(properties!A$1:CB$87,'Fórmula'!H84,60)&lt;&gt;"",INDEX(properties!A$1:CB$87,'Fórmula'!H84,60)),IF(INDEX(properties!A$1:CB$87,'Fórmula'!J84,60)&lt;&gt;"",INDEX(properties!A$1:CB$87,'Fórmula'!J84,60)))</f>
        <v>111.0677155</v>
      </c>
      <c r="GI84" s="105">
        <f t="array" ref="GI84">MAX(INDEX(properties!A$1:CB$87,'Fórmula'!B84,60),INDEX(properties!A$1:CB$87,'Fórmula'!D84,60),INDEX(properties!A$1:CB$87,'Fórmula'!F84,60),INDEX(properties!A$1:CB$87,'Fórmula'!H84,60),INDEX(properties!A$1:CB$87,'Fórmula'!J84,60))</f>
        <v>27</v>
      </c>
      <c r="GJ84" s="105">
        <f t="array" ref="GJ84">MIN(IF(INDEX(properties!A$1:CB$87,'Fórmula'!B84,60)=0,10^6,INDEX(properties!A$1:CB$87,'Fórmula'!B84,60)),IF(INDEX(properties!A$1:CB$87,'Fórmula'!D84,60)=0,10^6,INDEX(properties!A$1:CB$87,'Fórmula'!D84,60)),IF(INDEX(properties!A$1:CB$87,'Fórmula'!F84,60)=0,10^6,INDEX(properties!A$1:CB$87,'Fórmula'!F84,60)),IF(INDEX(properties!A$1:CB$87,'Fórmula'!H84,60)=0,10^6,INDEX(properties!A$1:CB$87,'Fórmula'!H84,60)),IF(INDEX(properties!A$1:CB$87,'Fórmula'!J84,60)=0,10^6,INDEX(properties!A$1:CB$87,'Fórmula'!J84,60)))</f>
        <v>0.02674</v>
      </c>
      <c r="GK84" s="105">
        <f t="shared" si="32"/>
        <v>26.97326</v>
      </c>
      <c r="GL84" s="106">
        <f t="array" ref="GL84">(('Fórmula'!C84)/('Fórmula'!C84+'Fórmula'!E84+'Fórmula'!G84+'Fórmula'!I84+'Fórmula'!K84))*(INDEX(properties!A$1:CB$87,'Fórmula'!B84,62))+(('Fórmula'!E84)/('Fórmula'!C84+'Fórmula'!E84+'Fórmula'!G84+'Fórmula'!I84+'Fórmula'!K84))*(INDEX(properties!A$1:CB$87,'Fórmula'!D84,62))+(('Fórmula'!G84)/('Fórmula'!C84+'Fórmula'!E84+'Fórmula'!G84+'Fórmula'!I84+'Fórmula'!K84))*(INDEX(properties!A$1:CB$87,'Fórmula'!F84,62))+(('Fórmula'!I84)/('Fórmula'!C84+'Fórmula'!E84+'Fórmula'!G84+'Fórmula'!I84+'Fórmula'!K84))*(INDEX(properties!A$1:CB$87,'Fórmula'!H84,62))+(('Fórmula'!K84)/('Fórmula'!C84+'Fórmula'!E84+'Fórmula'!G84+'Fórmula'!I84+'Fórmula'!K84))*(INDEX(properties!A$1:CB$87,'Fórmula'!J84,62))</f>
        <v>3.300952381</v>
      </c>
      <c r="GM84" s="106">
        <f t="array" ref="GM84">'Fórmula'!C84*(INDEX(properties!A$1:CB$87,'Fórmula'!B84,62))+'Fórmula'!E84*(INDEX(properties!A$1:CB$87,'Fórmula'!D84,62))+'Fórmula'!G84*(INDEX(properties!A$1:CB$87,'Fórmula'!F84,62))+'Fórmula'!I84*(INDEX(properties!A$1:CB$87,'Fórmula'!H84,62))+'Fórmula'!K84*(INDEX(properties!A$1:CB$87,'Fórmula'!J84,62))</f>
        <v>69.32</v>
      </c>
      <c r="GN84" s="106">
        <f t="array" ref="GN84">VARP(IF(INDEX(properties!A$1:CB$87,'Fórmula'!B84,62)&lt;&gt;"",INDEX(properties!A$1:CB$87,'Fórmula'!B84,62)),IF(INDEX(properties!A$1:CB$87,'Fórmula'!D84,62)&lt;&gt;"",INDEX(properties!A$1:CB$87,'Fórmula'!D84,62)),IF(INDEX(properties!A$1:CB$87,'Fórmula'!F84,62)&lt;&gt;"",INDEX(properties!A$1:CB$87,'Fórmula'!F84,62)),IF(INDEX(properties!A$1:CB$87,'Fórmula'!H84,62)&lt;&gt;"",INDEX(properties!A$1:CB$87,'Fórmula'!H84,62)),IF(INDEX(properties!A$1:CB$87,'Fórmula'!J84,62)&lt;&gt;"",INDEX(properties!A$1:CB$87,'Fórmula'!J84,62)))</f>
        <v>4.08068</v>
      </c>
      <c r="GO84" s="106">
        <f t="array" ref="GO84">MAX(INDEX(properties!A$1:CB$87,'Fórmula'!B84,62),INDEX(properties!A$1:CB$87,'Fórmula'!D84,62),INDEX(properties!A$1:CB$87,'Fórmula'!F84,62),INDEX(properties!A$1:CB$87,'Fórmula'!H84,62),INDEX(properties!A$1:CB$87,'Fórmula'!J84,62))</f>
        <v>5.81</v>
      </c>
      <c r="GP84" s="106">
        <f t="array" ref="GP84">MIN(IF(INDEX(properties!A$1:CB$87,'Fórmula'!B84,62)=0,10^6,INDEX(properties!A$1:CB$87,'Fórmula'!B84,62)),IF(INDEX(properties!A$1:CB$87,'Fórmula'!D84,62)=0,10^6,INDEX(properties!A$1:CB$87,'Fórmula'!D84,62)),IF(INDEX(properties!A$1:CB$87,'Fórmula'!F84,62)=0,10^6,INDEX(properties!A$1:CB$87,'Fórmula'!F84,62)),IF(INDEX(properties!A$1:CB$87,'Fórmula'!H84,62)=0,10^6,INDEX(properties!A$1:CB$87,'Fórmula'!H84,62)),IF(INDEX(properties!A$1:CB$87,'Fórmula'!J84,62)=0,10^6,INDEX(properties!A$1:CB$87,'Fórmula'!J84,62)))</f>
        <v>1.9</v>
      </c>
      <c r="GQ84" s="106">
        <f t="shared" si="33"/>
        <v>3.91</v>
      </c>
      <c r="GR84" s="106">
        <f>'Fórmula'!Q84</f>
        <v>62</v>
      </c>
      <c r="GS84" s="107">
        <f>'Fórmula'!P84</f>
        <v>3</v>
      </c>
      <c r="GT84" s="113">
        <f>'Fórmula'!O84</f>
        <v>5.17</v>
      </c>
      <c r="GU84" s="114">
        <f>AVERAGE('Fórmula'!R84/'Fórmula'!S84,'Fórmula'!S84/'Fórmula'!T84,'Fórmula'!T84/'Fórmula'!R84)</f>
        <v>1.169965554</v>
      </c>
      <c r="GV84" s="125">
        <f>'Fórmula'!U84</f>
        <v>1188.34</v>
      </c>
      <c r="GW84" s="106">
        <f>'Fórmula'!N84</f>
        <v>0.08</v>
      </c>
    </row>
    <row r="85" ht="14.25" customHeight="1">
      <c r="A85" s="99" t="str">
        <f>'Fórmula'!A85</f>
        <v>GdPO4</v>
      </c>
      <c r="B85" s="100">
        <f t="array" ref="B85">(('Fórmula'!C85)/('Fórmula'!C85+'Fórmula'!E85+'Fórmula'!G85+'Fórmula'!I85+'Fórmula'!K85))*(INDEX(properties!A$1:CB$87,'Fórmula'!B85,3))+(('Fórmula'!E85)/('Fórmula'!C85+'Fórmula'!E85+'Fórmula'!G85+'Fórmula'!I85+'Fórmula'!K85))*(INDEX(properties!A$1:CB$87,'Fórmula'!D85,3))+(('Fórmula'!G85)/('Fórmula'!C85+'Fórmula'!E85+'Fórmula'!G85+'Fórmula'!I85+'Fórmula'!K85))*(INDEX(properties!A$1:CB$87,'Fórmula'!F85,3))+(('Fórmula'!I85)/('Fórmula'!C85+'Fórmula'!E85+'Fórmula'!G85+'Fórmula'!I85+'Fórmula'!K85))*(INDEX(properties!A$1:CB$87,'Fórmula'!H85,3))+(('Fórmula'!K85)/('Fórmula'!C85+'Fórmula'!E85+'Fórmula'!G85+'Fórmula'!I85+'Fórmula'!K85))*(INDEX(properties!A$1:CB$87,'Fórmula'!J85,3))</f>
        <v>42.03689367</v>
      </c>
      <c r="C85" s="101">
        <f t="array" ref="C85">'Fórmula'!C85*(INDEX(properties!A$1:CB$87,'Fórmula'!B85,3))+'Fórmula'!E85*(INDEX(properties!A$1:CB$87,'Fórmula'!D85,3))+'Fórmula'!G85*(INDEX(properties!A$1:CB$87,'Fórmula'!F85,3))+'Fórmula'!I85*(INDEX(properties!A$1:CB$87,'Fórmula'!H85,3))+'Fórmula'!K85*(INDEX(properties!A$1:CB$87,'Fórmula'!J85,3))</f>
        <v>252.221362</v>
      </c>
      <c r="D85" s="101">
        <f t="array" ref="D85">VARP(IF(INDEX(properties!A$1:CB$87,'Fórmula'!B85,3)&lt;&gt;"",INDEX(properties!A$1:CB$87,'Fórmula'!B85,3)),IF(INDEX(properties!A$1:CB$87,'Fórmula'!D85,3)&lt;&gt;"",INDEX(properties!A$1:CB$87,'Fórmula'!D85,3)),IF(INDEX(properties!A$1:CB$87,'Fórmula'!F85,3)&lt;&gt;"",INDEX(properties!A$1:CB$87,'Fórmula'!F85,3)),IF(INDEX(properties!A$1:CB$87,'Fórmula'!H85,3)&lt;&gt;"",INDEX(properties!A$1:CB$87,'Fórmula'!H85,3)),IF(INDEX(properties!A$1:CB$87,'Fórmula'!J85,3)&lt;&gt;"",INDEX(properties!A$1:CB$87,'Fórmula'!J85,3)))</f>
        <v>3520.299451</v>
      </c>
      <c r="E85" s="101">
        <f t="array" ref="E85">MAX(INDEX(properties!A$1:CB$87,'Fórmula'!B85,3),INDEX(properties!A$1:CB$87,'Fórmula'!D85,3),INDEX(properties!A$1:CB$87,'Fórmula'!F85,3),INDEX(properties!A$1:CB$87,'Fórmula'!H85,3),INDEX(properties!A$1:CB$87,'Fórmula'!J85,3))</f>
        <v>157.25</v>
      </c>
      <c r="F85" s="101">
        <f t="array" ref="F85">MIN(IF(INDEX(properties!A$1:CB$87,'Fórmula'!B85,3)=0,10^6,INDEX(properties!A$1:CB$87,'Fórmula'!B85,3)),IF(INDEX(properties!A$1:CB$87,'Fórmula'!D85,3)=0,10^6,INDEX(properties!A$1:CB$87,'Fórmula'!D85,3)),IF(INDEX(properties!A$1:CB$87,'Fórmula'!F85,3)=0,10^6,INDEX(properties!A$1:CB$87,'Fórmula'!F85,3)),IF(INDEX(properties!A$1:CB$87,'Fórmula'!H85,3)=0,10^6,INDEX(properties!A$1:CB$87,'Fórmula'!H85,3)),IF(INDEX(properties!A$1:CB$87,'Fórmula'!J85,3)=0,10^6,INDEX(properties!A$1:CB$87,'Fórmula'!J85,3)))</f>
        <v>15.9994</v>
      </c>
      <c r="G85" s="101">
        <f t="shared" si="1"/>
        <v>141.2506</v>
      </c>
      <c r="H85" s="102">
        <f t="array" ref="H85">(('Fórmula'!C85)/('Fórmula'!C85+'Fórmula'!E85+'Fórmula'!G85+'Fórmula'!I85+'Fórmula'!K85))*(INDEX(properties!A$1:CB$87,'Fórmula'!B85,4))+(('Fórmula'!E85)/('Fórmula'!C85+'Fórmula'!E85+'Fórmula'!G85+'Fórmula'!I85+'Fórmula'!K85))*(INDEX(properties!A$1:CB$87,'Fórmula'!D85,4))+(('Fórmula'!G85)/('Fórmula'!C85+'Fórmula'!E85+'Fórmula'!G85+'Fórmula'!I85+'Fórmula'!K85))*(INDEX(properties!A$1:CB$87,'Fórmula'!F85,4))+(('Fórmula'!I85)/('Fórmula'!C85+'Fórmula'!E85+'Fórmula'!G85+'Fórmula'!I85+'Fórmula'!K85))*(INDEX(properties!A$1:CB$87,'Fórmula'!H85,4))+(('Fórmula'!K85)/('Fórmula'!C85+'Fórmula'!E85+'Fórmula'!G85+'Fórmula'!I85+'Fórmula'!K85))*(INDEX(properties!A$1:CB$87,'Fórmula'!J85,4))</f>
        <v>18.5</v>
      </c>
      <c r="I85" s="102">
        <f t="array" ref="I85">'Fórmula'!C85*(INDEX(properties!A$1:CB$87,'Fórmula'!B85,4))+'Fórmula'!E85*(INDEX(properties!A$1:CB$87,'Fórmula'!D85,4))+'Fórmula'!G85*(INDEX(properties!A$1:CB$87,'Fórmula'!F85,4))+'Fórmula'!I85*(INDEX(properties!A$1:CB$87,'Fórmula'!H85,4))+'Fórmula'!K85*(INDEX(properties!A$1:CB$87,'Fórmula'!J85,4))</f>
        <v>111</v>
      </c>
      <c r="J85" s="102">
        <f t="array" ref="J85">VARP(IF(INDEX(properties!A$1:CB$87,'Fórmula'!B85,4)&lt;&gt;"",INDEX(properties!A$1:CB$87,'Fórmula'!B85,4)),IF(INDEX(properties!A$1:CB$87,'Fórmula'!D85,4)&lt;&gt;"",INDEX(properties!A$1:CB$87,'Fórmula'!D85,4)),IF(INDEX(properties!A$1:CB$87,'Fórmula'!F85,4)&lt;&gt;"",INDEX(properties!A$1:CB$87,'Fórmula'!F85,4)),IF(INDEX(properties!A$1:CB$87,'Fórmula'!H85,4)&lt;&gt;"",INDEX(properties!A$1:CB$87,'Fórmula'!H85,4)),IF(INDEX(properties!A$1:CB$87,'Fórmula'!J85,4)&lt;&gt;"",INDEX(properties!A$1:CB$87,'Fórmula'!J85,4)))</f>
        <v>574.24</v>
      </c>
      <c r="K85" s="102">
        <f t="array" ref="K85">MAX(INDEX(properties!A$1:CB$87,'Fórmula'!B85,4),INDEX(properties!A$1:CB$87,'Fórmula'!D85,4),INDEX(properties!A$1:CB$87,'Fórmula'!F85,4),INDEX(properties!A$1:CB$87,'Fórmula'!H85,4),INDEX(properties!A$1:CB$87,'Fórmula'!J85,4))</f>
        <v>64</v>
      </c>
      <c r="L85" s="102">
        <f t="array" ref="L85">MIN(IF(INDEX(properties!A$1:CB$87,'Fórmula'!B85,4)=0,10^6,INDEX(properties!A$1:CB$87,'Fórmula'!B85,4)),IF(INDEX(properties!A$1:CB$87,'Fórmula'!D85,4)=0,10^6,INDEX(properties!A$1:CB$87,'Fórmula'!D85,4)),IF(INDEX(properties!A$1:CB$87,'Fórmula'!F85,4)=0,10^6,INDEX(properties!A$1:CB$87,'Fórmula'!F85,4)),IF(INDEX(properties!A$1:CB$87,'Fórmula'!H85,4)=0,10^6,INDEX(properties!A$1:CB$87,'Fórmula'!H85,4)),IF(INDEX(properties!A$1:CB$87,'Fórmula'!J85,4)=0,10^6,INDEX(properties!A$1:CB$87,'Fórmula'!J85,4)))</f>
        <v>8</v>
      </c>
      <c r="M85" s="102">
        <f t="shared" si="2"/>
        <v>56</v>
      </c>
      <c r="N85" s="103">
        <f t="array" ref="N85">(('Fórmula'!C85)/('Fórmula'!C85+'Fórmula'!E85+'Fórmula'!G85+'Fórmula'!I85+'Fórmula'!K85))*(INDEX(properties!A$1:CB$87,'Fórmula'!B85,5))+(('Fórmula'!E85)/('Fórmula'!C85+'Fórmula'!E85+'Fórmula'!G85+'Fórmula'!I85+'Fórmula'!K85))*(INDEX(properties!A$1:CB$87,'Fórmula'!D85,5))+(('Fórmula'!G85)/('Fórmula'!C85+'Fórmula'!E85+'Fórmula'!G85+'Fórmula'!I85+'Fórmula'!K85))*(INDEX(properties!A$1:CB$87,'Fórmula'!F85,5))+(('Fórmula'!I85)/('Fórmula'!C85+'Fórmula'!E85+'Fórmula'!G85+'Fórmula'!I85+'Fórmula'!K85))*(INDEX(properties!A$1:CB$87,'Fórmula'!H85,5))+(('Fórmula'!K85)/('Fórmula'!C85+'Fórmula'!E85+'Fórmula'!G85+'Fórmula'!I85+'Fórmula'!K85))*(INDEX(properties!A$1:CB$87,'Fórmula'!J85,5))</f>
        <v>2.833333333</v>
      </c>
      <c r="O85" s="103">
        <f t="array" ref="O85">'Fórmula'!C85*(INDEX(properties!A$1:CB$87,'Fórmula'!B85,5))+'Fórmula'!E85*(INDEX(properties!A$1:CB$87,'Fórmula'!D85,5))+'Fórmula'!G85*(INDEX(properties!A$1:CB$87,'Fórmula'!F85,5))+'Fórmula'!I85*(INDEX(properties!A$1:CB$87,'Fórmula'!H85,5))+'Fórmula'!K85*(INDEX(properties!A$1:CB$87,'Fórmula'!J85,5))</f>
        <v>17</v>
      </c>
      <c r="P85" s="103">
        <f t="array" ref="P85">VARP(IF(INDEX(properties!A$1:CB$87,'Fórmula'!B85,5)&lt;&gt;"",INDEX(properties!A$1:CB$87,'Fórmula'!B85,5)),IF(INDEX(properties!A$1:CB$87,'Fórmula'!D85,5)&lt;&gt;"",INDEX(properties!A$1:CB$87,'Fórmula'!D85,5)),IF(INDEX(properties!A$1:CB$87,'Fórmula'!F85,5)&lt;&gt;"",INDEX(properties!A$1:CB$87,'Fórmula'!F85,5)),IF(INDEX(properties!A$1:CB$87,'Fórmula'!H85,5)&lt;&gt;"",INDEX(properties!A$1:CB$87,'Fórmula'!H85,5)),IF(INDEX(properties!A$1:CB$87,'Fórmula'!J85,5)&lt;&gt;"",INDEX(properties!A$1:CB$87,'Fórmula'!J85,5)))</f>
        <v>4.96</v>
      </c>
      <c r="Q85" s="103">
        <f t="array" ref="Q85">MAX(INDEX(properties!A$1:CB$87,'Fórmula'!B85,5),INDEX(properties!A$1:CB$87,'Fórmula'!D85,5),INDEX(properties!A$1:CB$87,'Fórmula'!F85,5),INDEX(properties!A$1:CB$87,'Fórmula'!H85,5),INDEX(properties!A$1:CB$87,'Fórmula'!J85,5))</f>
        <v>6</v>
      </c>
      <c r="R85" s="103">
        <f t="array" ref="R85">MIN(IF(INDEX(properties!A$1:CB$87,'Fórmula'!B85,5)=0,10^6,INDEX(properties!A$1:CB$87,'Fórmula'!B85,5)),IF(INDEX(properties!A$1:CB$87,'Fórmula'!D85,5)=0,10^6,INDEX(properties!A$1:CB$87,'Fórmula'!D85,5)),IF(INDEX(properties!A$1:CB$87,'Fórmula'!F85,5)=0,10^6,INDEX(properties!A$1:CB$87,'Fórmula'!F85,5)),IF(INDEX(properties!A$1:CB$87,'Fórmula'!H85,5)=0,10^6,INDEX(properties!A$1:CB$87,'Fórmula'!H85,5)),IF(INDEX(properties!A$1:CB$87,'Fórmula'!J85,5)=0,10^6,INDEX(properties!A$1:CB$87,'Fórmula'!J85,5)))</f>
        <v>2</v>
      </c>
      <c r="S85" s="103">
        <f t="shared" si="3"/>
        <v>4</v>
      </c>
      <c r="T85" s="104">
        <f t="array" ref="T85">(('Fórmula'!C85)/('Fórmula'!C85+'Fórmula'!E85+'Fórmula'!G85+'Fórmula'!I85+'Fórmula'!K85))*(INDEX(properties!A$1:CB$87,'Fórmula'!B85,6))+(('Fórmula'!E85)/('Fórmula'!C85+'Fórmula'!E85+'Fórmula'!G85+'Fórmula'!I85+'Fórmula'!K85))*(INDEX(properties!A$1:CB$87,'Fórmula'!D85,6))+(('Fórmula'!G85)/('Fórmula'!C85+'Fórmula'!E85+'Fórmula'!G85+'Fórmula'!I85+'Fórmula'!K85))*(INDEX(properties!A$1:CB$87,'Fórmula'!F85,6))+(('Fórmula'!I85)/('Fórmula'!C85+'Fórmula'!E85+'Fórmula'!G85+'Fórmula'!I85+'Fórmula'!K85))*(INDEX(properties!A$1:CB$87,'Fórmula'!H85,6))+(('Fórmula'!K85)/('Fórmula'!C85+'Fórmula'!E85+'Fórmula'!G85+'Fórmula'!I85+'Fórmula'!K85))*(INDEX(properties!A$1:CB$87,'Fórmula'!J85,6))</f>
        <v>13.66666667</v>
      </c>
      <c r="U85" s="104">
        <f t="array" ref="U85">'Fórmula'!C85*(INDEX(properties!A$1:CB$87,'Fórmula'!B85,6))+'Fórmula'!E85*(INDEX(properties!A$1:CB$87,'Fórmula'!D85,6))+'Fórmula'!G85*(INDEX(properties!A$1:CB$87,'Fórmula'!F85,6))+'Fórmula'!I85*(INDEX(properties!A$1:CB$87,'Fórmula'!H85,6))+'Fórmula'!K85*(INDEX(properties!A$1:CB$87,'Fórmula'!J85,6))</f>
        <v>82</v>
      </c>
      <c r="V85" s="103">
        <f t="array" ref="V85">VARP(IF(INDEX(properties!A$1:CB$87,'Fórmula'!B85,6)&lt;&gt;"",INDEX(properties!A$1:CB$87,'Fórmula'!B85,6)),IF(INDEX(properties!A$1:CB$87,'Fórmula'!D85,6)&lt;&gt;"",INDEX(properties!A$1:CB$87,'Fórmula'!D85,6)),IF(INDEX(properties!A$1:CB$87,'Fórmula'!F85,6)&lt;&gt;"",INDEX(properties!A$1:CB$87,'Fórmula'!F85,6)),IF(INDEX(properties!A$1:CB$87,'Fórmula'!H85,6)&lt;&gt;"",INDEX(properties!A$1:CB$87,'Fórmula'!H85,6)),IF(INDEX(properties!A$1:CB$87,'Fórmula'!J85,6)&lt;&gt;"",INDEX(properties!A$1:CB$87,'Fórmula'!J85,6)))</f>
        <v>51.76</v>
      </c>
      <c r="W85" s="104">
        <f t="array" ref="W85">MAX(INDEX(properties!A$1:CB$87,'Fórmula'!B85,6),INDEX(properties!A$1:CB$87,'Fórmula'!D85,6),INDEX(properties!A$1:CB$87,'Fórmula'!F85,6),INDEX(properties!A$1:CB$87,'Fórmula'!H85,4),INDEX(properties!A$1:CB$87,'Fórmula'!J85,6))</f>
        <v>16</v>
      </c>
      <c r="X85" s="104">
        <f t="array" ref="X85">MIN(IF(INDEX(properties!A$1:CB$87,'Fórmula'!B85,6)=0,10^6,INDEX(properties!A$1:CB$87,'Fórmula'!B85,6)),IF(INDEX(properties!A$1:CB$87,'Fórmula'!D85,6)=0,10^6,INDEX(properties!A$1:CB$87,'Fórmula'!D85,6)),IF(INDEX(properties!A$1:CB$87,'Fórmula'!F85,6)=0,10^6,INDEX(properties!A$1:CB$87,'Fórmula'!F85,6)),IF(INDEX(properties!A$1:CB$87,'Fórmula'!H85,6)=0,10^6,INDEX(properties!A$1:CB$87,'Fórmula'!H85,6)),IF(INDEX(properties!A$1:CB$87,'Fórmula'!J85,6)=0,10^6,INDEX(properties!A$1:CB$87,'Fórmula'!J85,6)))</f>
        <v>3</v>
      </c>
      <c r="Y85" s="104">
        <f t="shared" si="4"/>
        <v>13</v>
      </c>
      <c r="Z85" s="105">
        <f t="array" ref="Z85">(('Fórmula'!C85)/('Fórmula'!C85+'Fórmula'!E85+'Fórmula'!G85+'Fórmula'!I85+'Fórmula'!K85))*(INDEX(properties!A$1:CB$87,'Fórmula'!B85,9))+(('Fórmula'!E85)/('Fórmula'!C85+'Fórmula'!E85+'Fórmula'!G85+'Fórmula'!I85+'Fórmula'!K85))*(INDEX(properties!A$1:CB$87,'Fórmula'!D85,9))+(('Fórmula'!G85)/('Fórmula'!C85+'Fórmula'!E85+'Fórmula'!G85+'Fórmula'!I85+'Fórmula'!K85))*(INDEX(properties!A$1:CB$87,'Fórmula'!F85,9))+(('Fórmula'!I85)/('Fórmula'!C85+'Fórmula'!E85+'Fórmula'!G85+'Fórmula'!I85+'Fórmula'!K85))*(INDEX(properties!A$1:CB$87,'Fórmula'!H85,9))+(('Fórmula'!K85)/('Fórmula'!C85+'Fórmula'!E85+'Fórmula'!G85+'Fórmula'!I85+'Fórmula'!K85))*(INDEX(properties!A$1:CB$87,'Fórmula'!J85,9))</f>
        <v>76.33333333</v>
      </c>
      <c r="AA85" s="105">
        <f t="array" ref="AA85">'Fórmula'!C85*(INDEX(properties!A$1:CB$87,'Fórmula'!B85,9))+'Fórmula'!E85*(INDEX(properties!A$1:CB$87,'Fórmula'!D85,9))+'Fórmula'!G85*(INDEX(properties!A$1:CB$87,'Fórmula'!F85,9))+'Fórmula'!I85*(INDEX(properties!A$1:CB$87,'Fórmula'!H85,9))+'Fórmula'!K85*(INDEX(properties!A$1:CB$87,'Fórmula'!J85,9))</f>
        <v>458</v>
      </c>
      <c r="AB85" s="105">
        <f t="array" ref="AB85">VARP(IF(INDEX(properties!A$1:CB$87,'Fórmula'!B85,9)&lt;&gt;"",INDEX(properties!A$1:CB$87,'Fórmula'!B85,9)),IF(INDEX(properties!A$1:CB$87,'Fórmula'!D85,9)&lt;&gt;"",INDEX(properties!A$1:CB$87,'Fórmula'!D85,9)),IF(INDEX(properties!A$1:CB$87,'Fórmula'!F85,9)&lt;&gt;"",INDEX(properties!A$1:CB$87,'Fórmula'!F85,9)),IF(INDEX(properties!A$1:CB$87,'Fórmula'!H85,9)&lt;&gt;"",INDEX(properties!A$1:CB$87,'Fórmula'!H85,9)),IF(INDEX(properties!A$1:CB$87,'Fórmula'!J85,9)&lt;&gt;"",INDEX(properties!A$1:CB$87,'Fórmula'!J85,9)))</f>
        <v>1485.04</v>
      </c>
      <c r="AC85" s="105">
        <f t="array" ref="AC85">MAX(INDEX(properties!A$1:CB$87,'Fórmula'!B85,9),INDEX(properties!A$1:CB$87,'Fórmula'!D85,9),INDEX(properties!A$1:CB$87,'Fórmula'!F85,9),INDEX(properties!A$1:CB$87,'Fórmula'!H85,9),INDEX(properties!A$1:CB$87,'Fórmula'!J85,9))</f>
        <v>87</v>
      </c>
      <c r="AD85" s="105">
        <f t="array" ref="AD85">MIN(IF(INDEX(properties!A$1:CB$87,'Fórmula'!B85,9)=0,10^6,INDEX(properties!A$1:CB$87,'Fórmula'!B85,9)),IF(INDEX(properties!A$1:CB$87,'Fórmula'!D85,9)=0,10^6,INDEX(properties!A$1:CB$87,'Fórmula'!D85,9)),IF(INDEX(properties!A$1:CB$87,'Fórmula'!F85,9)=0,10^6,INDEX(properties!A$1:CB$87,'Fórmula'!F85,9)),IF(INDEX(properties!A$1:CB$87,'Fórmula'!H85,9)=0,10^6,INDEX(properties!A$1:CB$87,'Fórmula'!H85,9)),IF(INDEX(properties!A$1:CB$87,'Fórmula'!J85,9)=0,10^6,INDEX(properties!A$1:CB$87,'Fórmula'!J85,9)))</f>
        <v>27</v>
      </c>
      <c r="AE85" s="105">
        <f t="shared" si="5"/>
        <v>60</v>
      </c>
      <c r="AF85" s="106">
        <f t="array" ref="AF85">(('Fórmula'!C85)/('Fórmula'!C85+'Fórmula'!E85+'Fórmula'!G85+'Fórmula'!I85+'Fórmula'!K85))*(INDEX(properties!A$1:CB$87,'Fórmula'!B85,10))+(('Fórmula'!E85)/('Fórmula'!C85+'Fórmula'!E85+'Fórmula'!G85+'Fórmula'!I85+'Fórmula'!K85))*(INDEX(properties!A$1:CB$87,'Fórmula'!D85,10))+(('Fórmula'!G85)/('Fórmula'!C85+'Fórmula'!E85+'Fórmula'!G85+'Fórmula'!I85+'Fórmula'!K85))*(INDEX(properties!A$1:CB$87,'Fórmula'!F85,10))+(('Fórmula'!I85)/('Fórmula'!C85+'Fórmula'!E85+'Fórmula'!G85+'Fórmula'!I85+'Fórmula'!K85))*(INDEX(properties!A$1:CB$87,'Fórmula'!H85,10))+(('Fórmula'!K85)/('Fórmula'!C85+'Fórmula'!E85+'Fórmula'!G85+'Fórmula'!I85+'Fórmula'!K85))*(INDEX(properties!A$1:CB$87,'Fórmula'!J85,10))</f>
        <v>6.333333333</v>
      </c>
      <c r="AG85" s="106">
        <f t="array" ref="AG85">'Fórmula'!C85*(INDEX(properties!A$1:CB$87,'Fórmula'!B85,10))+'Fórmula'!E85*(INDEX(properties!A$1:CB$87,'Fórmula'!D85,10))+'Fórmula'!G85*(INDEX(properties!A$1:CB$87,'Fórmula'!F85,10))+'Fórmula'!I85*(INDEX(properties!A$1:CB$87,'Fórmula'!H85,10))+'Fórmula'!K85*(INDEX(properties!A$1:CB$87,'Fórmula'!J85,10))</f>
        <v>38</v>
      </c>
      <c r="AH85" s="106">
        <f t="array" ref="AH85">VARP(IF(INDEX(properties!A$1:CB$87,'Fórmula'!B85,10)&lt;&gt;"",INDEX(properties!A$1:CB$87,'Fórmula'!B85,10)),IF(INDEX(properties!A$1:CB$87,'Fórmula'!D85,10)&lt;&gt;"",INDEX(properties!A$1:CB$87,'Fórmula'!D85,10)),IF(INDEX(properties!A$1:CB$87,'Fórmula'!F85,10)&lt;&gt;"",INDEX(properties!A$1:CB$87,'Fórmula'!F85,10)),IF(INDEX(properties!A$1:CB$87,'Fórmula'!H85,10)&lt;&gt;"",INDEX(properties!A$1:CB$87,'Fórmula'!H85,10)),IF(INDEX(properties!A$1:CB$87,'Fórmula'!J85,10)&lt;&gt;"",INDEX(properties!A$1:CB$87,'Fórmula'!J85,10)))</f>
        <v>9.84</v>
      </c>
      <c r="AI85" s="106">
        <f t="array" ref="AI85">MAX(INDEX(properties!A$1:CB$87,'Fórmula'!B85,10),INDEX(properties!A$1:CB$87,'Fórmula'!D85,10),INDEX(properties!A$1:CB$87,'Fórmula'!F85,10),INDEX(properties!A$1:CB$87,'Fórmula'!H85,10),INDEX(properties!A$1:CB$87,'Fórmula'!J85,10))</f>
        <v>7</v>
      </c>
      <c r="AJ85" s="106">
        <f t="array" ref="AJ85">MIN(IF(INDEX(properties!A$1:CB$87,'Fórmula'!B85,10)=0,10^6,INDEX(properties!A$1:CB$87,'Fórmula'!B85,10)),IF(INDEX(properties!A$1:CB$87,'Fórmula'!D85,10)=0,10^6,INDEX(properties!A$1:CB$87,'Fórmula'!D85,10)),IF(INDEX(properties!A$1:CB$87,'Fórmula'!F85,10)=0,10^6,INDEX(properties!A$1:CB$87,'Fórmula'!F85,10)),IF(INDEX(properties!A$1:CB$87,'Fórmula'!H85,10)=0,10^6,INDEX(properties!A$1:CB$87,'Fórmula'!H85,10)),IF(INDEX(properties!A$1:CB$87,'Fórmula'!J85,10)=0,10^6,INDEX(properties!A$1:CB$87,'Fórmula'!J85,10)))</f>
        <v>3</v>
      </c>
      <c r="AK85" s="106">
        <f t="shared" si="6"/>
        <v>4</v>
      </c>
      <c r="AL85" s="107">
        <f t="array" ref="AL85">(('Fórmula'!C85)/('Fórmula'!C85+'Fórmula'!E85+'Fórmula'!G85+'Fórmula'!I85+'Fórmula'!K85))*(INDEX(properties!A$1:CB$87,'Fórmula'!B85,11))+(('Fórmula'!E85)/('Fórmula'!C85+'Fórmula'!E85+'Fórmula'!G85+'Fórmula'!I85+'Fórmula'!K85))*(INDEX(properties!A$1:CB$87,'Fórmula'!D85,11))+(('Fórmula'!G85)/('Fórmula'!C85+'Fórmula'!E85+'Fórmula'!G85+'Fórmula'!I85+'Fórmula'!K85))*(INDEX(properties!A$1:CB$87,'Fórmula'!F85,11))+(('Fórmula'!I85)/('Fórmula'!C85+'Fórmula'!E85+'Fórmula'!G85+'Fórmula'!I85+'Fórmula'!K85))*(INDEX(properties!A$1:CB$87,'Fórmula'!H85,11))+(('Fórmula'!K85)/('Fórmula'!C85+'Fórmula'!E85+'Fórmula'!G85+'Fórmula'!I85+'Fórmula'!K85))*(INDEX(properties!A$1:CB$87,'Fórmula'!J85,11))</f>
        <v>2</v>
      </c>
      <c r="AM85" s="107">
        <f t="array" ref="AM85">'Fórmula'!C85*(INDEX(properties!A$1:CB$87,'Fórmula'!B85,11))+'Fórmula'!E85*(INDEX(properties!A$1:CB$87,'Fórmula'!D85,11))+'Fórmula'!G85*(INDEX(properties!A$1:CB$87,'Fórmula'!F85,11))+'Fórmula'!I85*(INDEX(properties!A$1:CB$87,'Fórmula'!H85,11))+'Fórmula'!K85*(INDEX(properties!A$1:CB$87,'Fórmula'!J85,11))</f>
        <v>12</v>
      </c>
      <c r="AN85" s="107">
        <f t="array" ref="AN85">VARP(IF(INDEX(properties!A$1:CB$87,'Fórmula'!B85,11)&lt;&gt;"",INDEX(properties!A$1:CB$87,'Fórmula'!B85,11)),IF(INDEX(properties!A$1:CB$87,'Fórmula'!D85,11)&lt;&gt;"",INDEX(properties!A$1:CB$87,'Fórmula'!D85,11)),IF(INDEX(properties!A$1:CB$87,'Fórmula'!F85,11)&lt;&gt;"",INDEX(properties!A$1:CB$87,'Fórmula'!F85,11)),IF(INDEX(properties!A$1:CB$87,'Fórmula'!H85,11)&lt;&gt;"",INDEX(properties!A$1:CB$87,'Fórmula'!H85,11)),IF(INDEX(properties!A$1:CB$87,'Fórmula'!J85,11)&lt;&gt;"",INDEX(properties!A$1:CB$87,'Fórmula'!J85,11)))</f>
        <v>0.96</v>
      </c>
      <c r="AO85" s="107">
        <f t="array" ref="AO85">MAX(INDEX(properties!A$1:CB$87,'Fórmula'!B85,11),INDEX(properties!A$1:CB$87,'Fórmula'!D85,11),INDEX(properties!A$1:CB$87,'Fórmula'!F85,11),INDEX(properties!A$1:CB$87,'Fórmula'!H85,11),INDEX(properties!A$1:CB$87,'Fórmula'!J85,11))</f>
        <v>2</v>
      </c>
      <c r="AP85" s="107">
        <f t="array" ref="AP85">MIN(IF('Fórmula'!B85=87,10^6,INDEX(properties!A$1:CB$87,'Fórmula'!B85,11)),IF(('Fórmula'!D85)=87,10^6,INDEX(properties!A$1:CB$87,'Fórmula'!D85,11)),IF(('Fórmula'!F85)=87,10^6,INDEX(properties!A$1:CB$87,'Fórmula'!F85,11)),IF(('Fórmula'!H85)=87,10^6,INDEX(properties!A$1:CB$87,'Fórmula'!H85,11)),IF('Fórmula'!J85=87,10^6,INDEX(properties!A$1:CB$87,'Fórmula'!J85,11)))</f>
        <v>2</v>
      </c>
      <c r="AQ85" s="107">
        <f t="shared" si="7"/>
        <v>0</v>
      </c>
      <c r="AR85" s="108">
        <f t="array" ref="AR85">(('Fórmula'!C85)/('Fórmula'!C85+'Fórmula'!E85+'Fórmula'!G85+'Fórmula'!I85+'Fórmula'!K85))*(INDEX(properties!A$1:CB$87,'Fórmula'!B85,12))+(('Fórmula'!E85)/('Fórmula'!C85+'Fórmula'!E85+'Fórmula'!G85+'Fórmula'!I85+'Fórmula'!K85))*(INDEX(properties!A$1:CB$87,'Fórmula'!D85,12))+(('Fórmula'!G85)/('Fórmula'!C85+'Fórmula'!E85+'Fórmula'!G85+'Fórmula'!I85+'Fórmula'!K85))*(INDEX(properties!A$1:CB$87,'Fórmula'!F85,12))+(('Fórmula'!I85)/('Fórmula'!C85+'Fórmula'!E85+'Fórmula'!G85+'Fórmula'!I85+'Fórmula'!K85))*(INDEX(properties!A$1:CB$87,'Fórmula'!H85,12))+(('Fórmula'!K85)/('Fórmula'!C85+'Fórmula'!E85+'Fórmula'!G85+'Fórmula'!I85+'Fórmula'!K85))*(INDEX(properties!A$1:CB$87,'Fórmula'!J85,12))</f>
        <v>3.166666667</v>
      </c>
      <c r="AS85" s="108">
        <f t="array" ref="AS85">'Fórmula'!C85*(INDEX(properties!A$1:CB$87,'Fórmula'!B85,12))+'Fórmula'!E85*(INDEX(properties!A$1:CB$87,'Fórmula'!D85,12))+'Fórmula'!G85*(INDEX(properties!A$1:CB$87,'Fórmula'!F85,12))+'Fórmula'!I85*(INDEX(properties!A$1:CB$87,'Fórmula'!H85,12))+'Fórmula'!K85*(INDEX(properties!A$1:CB$87,'Fórmula'!J85,12))</f>
        <v>19</v>
      </c>
      <c r="AT85" s="108">
        <f t="array" ref="AT85">VARP(IF(INDEX(properties!A$1:CB$87,'Fórmula'!B85,12)&lt;&gt;"",INDEX(properties!A$1:CB$87,'Fórmula'!B85,12)),IF(INDEX(properties!A$1:CB$87,'Fórmula'!D85,12)&lt;&gt;"",INDEX(properties!A$1:CB$87,'Fórmula'!D85,12)),IF(INDEX(properties!A$1:CB$87,'Fórmula'!F85,12)&lt;&gt;"",INDEX(properties!A$1:CB$87,'Fórmula'!F85,12)),IF(INDEX(properties!A$1:CB$87,'Fórmula'!H85,12)&lt;&gt;"",INDEX(properties!A$1:CB$87,'Fórmula'!H85,12)),IF(INDEX(properties!A$1:CB$87,'Fórmula'!J85,12)&lt;&gt;"",INDEX(properties!A$1:CB$87,'Fórmula'!J85,12)))</f>
        <v>3.04</v>
      </c>
      <c r="AU85" s="108">
        <f t="array" ref="AU85">MAX(INDEX(properties!A$1:CB$87,'Fórmula'!B85,12),INDEX(properties!A$1:CB$87,'Fórmula'!D85,12),INDEX(properties!A$1:CB$87,'Fórmula'!F85,12),INDEX(properties!A$1:CB$87,'Fórmula'!H85,12),INDEX(properties!A$1:CB$87,'Fórmula'!J85,12))</f>
        <v>4</v>
      </c>
      <c r="AV85" s="108">
        <f t="array" ref="AV85">MIN(IF('Fórmula'!B85=87,10^6,INDEX(properties!A$1:CB$87,'Fórmula'!B85,12)),IF(('Fórmula'!D85)=87,10^6,INDEX(properties!A$1:CB$87,'Fórmula'!D85,12)),IF(('Fórmula'!F85)=87,10^6,INDEX(properties!A$1:CB$87,'Fórmula'!F85,12)),IF(('Fórmula'!H85)=87,10^6,INDEX(properties!A$1:CB$87,'Fórmula'!H85,12)),IF('Fórmula'!J85=87,10^6,INDEX(properties!A$1:CB$87,'Fórmula'!J85,12)))</f>
        <v>0</v>
      </c>
      <c r="AW85" s="108">
        <f t="shared" si="8"/>
        <v>4</v>
      </c>
      <c r="AX85" s="109">
        <f t="array" ref="AX85">(('Fórmula'!C85)/('Fórmula'!C85+'Fórmula'!E85+'Fórmula'!G85+'Fórmula'!I85+'Fórmula'!K85))*(INDEX(properties!A$1:CB$87,'Fórmula'!B85,13))+(('Fórmula'!E85)/('Fórmula'!C85+'Fórmula'!E85+'Fórmula'!G85+'Fórmula'!I85+'Fórmula'!K85))*(INDEX(properties!A$1:CB$87,'Fórmula'!D85,13))+(('Fórmula'!G85)/('Fórmula'!C85+'Fórmula'!E85+'Fórmula'!G85+'Fórmula'!I85+'Fórmula'!K85))*(INDEX(properties!A$1:CB$87,'Fórmula'!F85,13))+(('Fórmula'!I85)/('Fórmula'!C85+'Fórmula'!E85+'Fórmula'!G85+'Fórmula'!I85+'Fórmula'!K85))*(INDEX(properties!A$1:CB$87,'Fórmula'!H85,13))+(('Fórmula'!K85)/('Fórmula'!C85+'Fórmula'!E85+'Fórmula'!G85+'Fórmula'!I85+'Fórmula'!K85))*(INDEX(properties!A$1:CB$87,'Fórmula'!J85,13))</f>
        <v>0.1666666667</v>
      </c>
      <c r="AY85" s="109">
        <f t="array" ref="AY85">'Fórmula'!C85*(INDEX(properties!A$1:CB$87,'Fórmula'!B85,13))+'Fórmula'!E85*(INDEX(properties!A$1:CB$87,'Fórmula'!D85,13))+'Fórmula'!G85*(INDEX(properties!A$1:CB$87,'Fórmula'!F85,13))+'Fórmula'!I85*(INDEX(properties!A$1:CB$87,'Fórmula'!H85,13))+'Fórmula'!K85*(INDEX(properties!A$1:CB$87,'Fórmula'!J85,13))</f>
        <v>1</v>
      </c>
      <c r="AZ85" s="109">
        <f t="array" ref="AZ85">VARP(IF(INDEX(properties!A$1:CB$87,'Fórmula'!B85,13)&lt;&gt;"",INDEX(properties!A$1:CB$87,'Fórmula'!B85,13)),IF(INDEX(properties!A$1:CB$87,'Fórmula'!D85,13)&lt;&gt;"",INDEX(properties!A$1:CB$87,'Fórmula'!D85,13)),IF(INDEX(properties!A$1:CB$87,'Fórmula'!F85,13)&lt;&gt;"",INDEX(properties!A$1:CB$87,'Fórmula'!F85,13)),IF(INDEX(properties!A$1:CB$87,'Fórmula'!H85,13)&lt;&gt;"",INDEX(properties!A$1:CB$87,'Fórmula'!H85,13)),IF(INDEX(properties!A$1:CB$87,'Fórmula'!J85,13)&lt;&gt;"",INDEX(properties!A$1:CB$87,'Fórmula'!J85,13)))</f>
        <v>0.16</v>
      </c>
      <c r="BA85" s="109">
        <f t="array" ref="BA85">MAX(INDEX(properties!A$1:CB$87,'Fórmula'!B85,13),INDEX(properties!A$1:CB$87,'Fórmula'!D85,13),INDEX(properties!A$1:CB$87,'Fórmula'!F85,13),INDEX(properties!A$1:CB$87,'Fórmula'!H85,13),INDEX(properties!A$1:CB$87,'Fórmula'!J85,13))</f>
        <v>1</v>
      </c>
      <c r="BB85" s="109">
        <f t="array" ref="BB85">MIN(IF('Fórmula'!B85=87,10^6,INDEX(properties!A$1:CB$87,'Fórmula'!B85,13)),IF(('Fórmula'!D85)=87,10^6,INDEX(properties!A$1:CB$87,'Fórmula'!D85,13)),IF(('Fórmula'!F85)=87,10^6,INDEX(properties!A$1:CB$87,'Fórmula'!F85,13)),IF(('Fórmula'!H85)=87,10^6,INDEX(properties!A$1:CB$87,'Fórmula'!H85,13)),IF('Fórmula'!J85=87,10^6,INDEX(properties!A$1:CB$87,'Fórmula'!J85,13)))</f>
        <v>0</v>
      </c>
      <c r="BC85" s="109">
        <f t="shared" si="9"/>
        <v>1</v>
      </c>
      <c r="BD85" s="110">
        <f t="array" ref="BD85">(('Fórmula'!C85)/('Fórmula'!C85+'Fórmula'!E85+'Fórmula'!G85+'Fórmula'!I85+'Fórmula'!K85))*(INDEX(properties!A$1:CB$87,'Fórmula'!B85,14))+(('Fórmula'!E85)/('Fórmula'!C85+'Fórmula'!E85+'Fórmula'!G85+'Fórmula'!I85+'Fórmula'!K85))*(INDEX(properties!A$1:CB$87,'Fórmula'!D85,14))+(('Fórmula'!G85)/('Fórmula'!C85+'Fórmula'!E85+'Fórmula'!G85+'Fórmula'!I85+'Fórmula'!K85))*(INDEX(properties!A$1:CB$87,'Fórmula'!F85,14))+(('Fórmula'!I85)/('Fórmula'!C85+'Fórmula'!E85+'Fórmula'!G85+'Fórmula'!I85+'Fórmula'!K85))*(INDEX(properties!A$1:CB$87,'Fórmula'!H85,14))+(('Fórmula'!K85)/('Fórmula'!C85+'Fórmula'!E85+'Fórmula'!G85+'Fórmula'!I85+'Fórmula'!K85))*(INDEX(properties!A$1:CB$87,'Fórmula'!J85,14))</f>
        <v>1.166666667</v>
      </c>
      <c r="BE85" s="110">
        <f t="array" ref="BE85">'Fórmula'!C85*(INDEX(properties!A$1:CB$87,'Fórmula'!B85,14))+'Fórmula'!E85*(INDEX(properties!A$1:CB$87,'Fórmula'!D85,14))+'Fórmula'!G85*(INDEX(properties!A$1:CB$87,'Fórmula'!F85,14))+'Fórmula'!I85*(INDEX(properties!A$1:CB$87,'Fórmula'!H85,14))+'Fórmula'!K85*(INDEX(properties!A$1:CB$87,'Fórmula'!J85,14))</f>
        <v>7</v>
      </c>
      <c r="BF85" s="110">
        <f t="array" ref="BF85">VARP(IF(INDEX(properties!A$1:CB$87,'Fórmula'!B85,14)&lt;&gt;"",INDEX(properties!A$1:CB$87,'Fórmula'!B85,14)),IF(INDEX(properties!A$1:CB$87,'Fórmula'!D85,14)&lt;&gt;"",INDEX(properties!A$1:CB$87,'Fórmula'!D85,14)),IF(INDEX(properties!A$1:CB$87,'Fórmula'!F85,14)&lt;&gt;"",INDEX(properties!A$1:CB$87,'Fórmula'!F85,14)),IF(INDEX(properties!A$1:CB$87,'Fórmula'!H85,14)&lt;&gt;"",INDEX(properties!A$1:CB$87,'Fórmula'!H85,14)),IF(INDEX(properties!A$1:CB$87,'Fórmula'!J85,14)&lt;&gt;"",INDEX(properties!A$1:CB$87,'Fórmula'!J85,14)))</f>
        <v>7.84</v>
      </c>
      <c r="BG85" s="110">
        <f t="array" ref="BG85">MAX(INDEX(properties!A$1:CB$87,'Fórmula'!B85,14),INDEX(properties!A$1:CB$87,'Fórmula'!D85,14),INDEX(properties!A$1:CB$87,'Fórmula'!F85,14),INDEX(properties!A$1:CB$87,'Fórmula'!H85,14),INDEX(properties!A$1:CB$87,'Fórmula'!J85,14))</f>
        <v>7</v>
      </c>
      <c r="BH85" s="110">
        <f t="array" ref="BH85">MIN(IF('Fórmula'!B85=87,10^6,INDEX(properties!A$1:CB$87,'Fórmula'!B85,14)),IF(('Fórmula'!D85)=87,10^6,INDEX(properties!A$1:CB$87,'Fórmula'!D85,14)),IF(('Fórmula'!F85)=87,10^6,INDEX(properties!A$1:CB$87,'Fórmula'!F85,14)),IF(('Fórmula'!H85)=87,10^6,INDEX(properties!A$1:CB$87,'Fórmula'!H85,14)),IF('Fórmula'!J85=87,10^6,INDEX(properties!A$1:CB$87,'Fórmula'!J85,14)))</f>
        <v>0</v>
      </c>
      <c r="BI85" s="110">
        <f t="shared" si="10"/>
        <v>7</v>
      </c>
      <c r="BJ85" s="111">
        <f t="array" ref="BJ85">(('Fórmula'!C85)/('Fórmula'!C85+'Fórmula'!E85+'Fórmula'!G85+'Fórmula'!I85+'Fórmula'!K85))*(INDEX(properties!A$1:CB$87,'Fórmula'!B85,19))+(('Fórmula'!E85)/('Fórmula'!C85+'Fórmula'!E85+'Fórmula'!G85+'Fórmula'!I85+'Fórmula'!K85))*(INDEX(properties!A$1:CB$87,'Fórmula'!D85,19))+(('Fórmula'!G85)/('Fórmula'!C85+'Fórmula'!E85+'Fórmula'!G85+'Fórmula'!I85+'Fórmula'!K85))*(INDEX(properties!A$1:CB$87,'Fórmula'!F85,19))+(('Fórmula'!I85)/('Fórmula'!C85+'Fórmula'!E85+'Fórmula'!G85+'Fórmula'!I85+'Fórmula'!K85))*(INDEX(properties!A$1:CB$87,'Fórmula'!H85,19))+(('Fórmula'!K85)/('Fórmula'!C85+'Fórmula'!E85+'Fórmula'!G85+'Fórmula'!I85+'Fórmula'!K85))*(INDEX(properties!A$1:CB$87,'Fórmula'!J85,19))</f>
        <v>6.5</v>
      </c>
      <c r="BK85" s="111">
        <f t="array" ref="BK85">'Fórmula'!C85*(INDEX(properties!A$1:CB$87,'Fórmula'!B85,19))+'Fórmula'!E85*(INDEX(properties!A$1:CB$87,'Fórmula'!D85,19))+'Fórmula'!G85*(INDEX(properties!A$1:CB$87,'Fórmula'!F85,19))+'Fórmula'!I85*(INDEX(properties!A$1:CB$87,'Fórmula'!H85,19))+'Fórmula'!K85*(INDEX(properties!A$1:CB$87,'Fórmula'!J85,19))</f>
        <v>39</v>
      </c>
      <c r="BL85" s="111">
        <f t="array" ref="BL85">VARP(IF(INDEX(properties!A$1:CB$87,'Fórmula'!B85,19)&lt;&gt;"",INDEX(properties!A$1:CB$87,'Fórmula'!B85,19)),IF(INDEX(properties!A$1:CB$87,'Fórmula'!D85,19)&lt;&gt;"",INDEX(properties!A$1:CB$87,'Fórmula'!D85,19)),IF(INDEX(properties!A$1:CB$87,'Fórmula'!F85,19)&lt;&gt;"",INDEX(properties!A$1:CB$87,'Fórmula'!F85,19)),IF(INDEX(properties!A$1:CB$87,'Fórmula'!H85,19)&lt;&gt;"",INDEX(properties!A$1:CB$87,'Fórmula'!H85,19)),IF(INDEX(properties!A$1:CB$87,'Fórmula'!J85,19)&lt;&gt;"",INDEX(properties!A$1:CB$87,'Fórmula'!J85,19)))</f>
        <v>14.56</v>
      </c>
      <c r="BM85" s="111">
        <f t="array" ref="BM85">MAX(INDEX(properties!A$1:CB$87,'Fórmula'!B85,19),INDEX(properties!A$1:CB$87,'Fórmula'!D85,19),INDEX(properties!A$1:CB$87,'Fórmula'!F85,19),INDEX(properties!A$1:CB$87,'Fórmula'!H85,19),INDEX(properties!A$1:CB$87,'Fórmula'!J85,19))</f>
        <v>10</v>
      </c>
      <c r="BN85" s="111">
        <f t="array" ref="BN85">MIN(IF(INDEX(properties!A$1:CB$87,'Fórmula'!B85,19)=0,10^6,INDEX(properties!A$1:CB$87,'Fórmula'!B85,19)),IF(INDEX(properties!A$1:CB$87,'Fórmula'!D85,19)=0,10^6,INDEX(properties!A$1:CB$87,'Fórmula'!D85,19)),IF(INDEX(properties!A$1:CB$87,'Fórmula'!F85,19)=0,10^6,INDEX(properties!A$1:CB$87,'Fórmula'!F85,19)),IF(INDEX(properties!A$1:CB$87,'Fórmula'!H85,19)=0,10^6,INDEX(properties!A$1:CB$87,'Fórmula'!H85,19)),IF(INDEX(properties!A$1:CB$87,'Fórmula'!J85,19)=0,10^6,INDEX(properties!A$1:CB$87,'Fórmula'!J85,19)))</f>
        <v>5</v>
      </c>
      <c r="BO85" s="111">
        <f t="shared" si="11"/>
        <v>5</v>
      </c>
      <c r="BP85" s="112">
        <f t="array" ref="BP85">(('Fórmula'!C85)/('Fórmula'!C85+'Fórmula'!E85+'Fórmula'!G85+'Fórmula'!I85+'Fórmula'!K85))*(INDEX(properties!A$1:CB$87,'Fórmula'!B85,20))+(('Fórmula'!E85)/('Fórmula'!C85+'Fórmula'!E85+'Fórmula'!G85+'Fórmula'!I85+'Fórmula'!K85))*(INDEX(properties!A$1:CB$87,'Fórmula'!D85,20))+(('Fórmula'!G85)/('Fórmula'!C85+'Fórmula'!E85+'Fórmula'!G85+'Fórmula'!I85+'Fórmula'!K85))*(INDEX(properties!A$1:CB$87,'Fórmula'!F85,20))+(('Fórmula'!I85)/('Fórmula'!C85+'Fórmula'!E85+'Fórmula'!G85+'Fórmula'!I85+'Fórmula'!K85))*(INDEX(properties!A$1:CB$87,'Fórmula'!H85,20))+(('Fórmula'!K85)/('Fórmula'!C85+'Fórmula'!E85+'Fórmula'!G85+'Fórmula'!I85+'Fórmula'!K85))*(INDEX(properties!A$1:CB$87,'Fórmula'!J85,20))</f>
        <v>5.166666667</v>
      </c>
      <c r="BQ85" s="112">
        <f t="array" ref="BQ85">'Fórmula'!C85*(INDEX(properties!A$1:CB$87,'Fórmula'!B85,20))+'Fórmula'!E85*(INDEX(properties!A$1:CB$87,'Fórmula'!D85,20))+'Fórmula'!G85*(INDEX(properties!A$1:CB$87,'Fórmula'!F85,20))+'Fórmula'!I85*(INDEX(properties!A$1:CB$87,'Fórmula'!H85,20))+'Fórmula'!K85*(INDEX(properties!A$1:CB$87,'Fórmula'!J85,20))</f>
        <v>31</v>
      </c>
      <c r="BR85" s="112">
        <f t="array" ref="BR85">VARP(IF(INDEX(properties!A$1:CB$87,'Fórmula'!B85,20)&lt;&gt;"",INDEX(properties!A$1:CB$87,'Fórmula'!B85,20)),IF(INDEX(properties!A$1:CB$87,'Fórmula'!D85,20)&lt;&gt;"",INDEX(properties!A$1:CB$87,'Fórmula'!D85,20)),IF(INDEX(properties!A$1:CB$87,'Fórmula'!F85,20)&lt;&gt;"",INDEX(properties!A$1:CB$87,'Fórmula'!F85,20)),IF(INDEX(properties!A$1:CB$87,'Fórmula'!H85,20)&lt;&gt;"",INDEX(properties!A$1:CB$87,'Fórmula'!H85,20)),IF(INDEX(properties!A$1:CB$87,'Fórmula'!J85,20)&lt;&gt;"",INDEX(properties!A$1:CB$87,'Fórmula'!J85,20)))</f>
        <v>6.24</v>
      </c>
      <c r="BS85" s="112">
        <f t="array" ref="BS85">MAX(INDEX(properties!A$1:CB$87,'Fórmula'!B85,20),INDEX(properties!A$1:CB$87,'Fórmula'!D85,20),INDEX(properties!A$1:CB$87,'Fórmula'!F85,20),INDEX(properties!A$1:CB$87,'Fórmula'!H85,20),INDEX(properties!A$1:CB$87,'Fórmula'!J85,20))</f>
        <v>6</v>
      </c>
      <c r="BT85" s="112">
        <f t="array" ref="BT85">MIN(IF(INDEX(properties!A$1:CB$87,'Fórmula'!B85,20)=0,10^6,INDEX(properties!A$1:CB$87,'Fórmula'!B85,20)),IF(INDEX(properties!A$1:CB$87,'Fórmula'!D85,20)=0,10^6,INDEX(properties!A$1:CB$87,'Fórmula'!D85,20)),IF(INDEX(properties!A$1:CB$87,'Fórmula'!F85,20)=0,10^6,INDEX(properties!A$1:CB$87,'Fórmula'!F85,20)),IF(INDEX(properties!A$1:CB$87,'Fórmula'!H85,20)=0,10^6,INDEX(properties!A$1:CB$87,'Fórmula'!H85,20)),IF(INDEX(properties!A$1:CB$87,'Fórmula'!J85,20)=0,10^6,INDEX(properties!A$1:CB$87,'Fórmula'!J85,20)))</f>
        <v>2</v>
      </c>
      <c r="BU85" s="112">
        <f t="shared" si="12"/>
        <v>4</v>
      </c>
      <c r="BV85" s="113">
        <f t="array" ref="BV85">(('Fórmula'!C85)/('Fórmula'!C85+'Fórmula'!E85+'Fórmula'!G85+'Fórmula'!I85+'Fórmula'!K85))*(INDEX(properties!A$1:CB$87,'Fórmula'!B85,21))+(('Fórmula'!E85)/('Fórmula'!C85+'Fórmula'!E85+'Fórmula'!G85+'Fórmula'!I85+'Fórmula'!K85))*(INDEX(properties!A$1:CB$87,'Fórmula'!D85,21))+(('Fórmula'!G85)/('Fórmula'!C85+'Fórmula'!E85+'Fórmula'!G85+'Fórmula'!I85+'Fórmula'!K85))*(INDEX(properties!A$1:CB$87,'Fórmula'!F85,21))+(('Fórmula'!I85)/('Fórmula'!C85+'Fórmula'!E85+'Fórmula'!G85+'Fórmula'!I85+'Fórmula'!K85))*(INDEX(properties!A$1:CB$87,'Fórmula'!H85,21))+(('Fórmula'!K85)/('Fórmula'!C85+'Fórmula'!E85+'Fórmula'!G85+'Fórmula'!I85+'Fórmula'!K85))*(INDEX(properties!A$1:CB$87,'Fórmula'!J85,21))</f>
        <v>5.333333333</v>
      </c>
      <c r="BW85" s="113">
        <f t="array" ref="BW85">'Fórmula'!C85*(INDEX(properties!A$1:CB$87,'Fórmula'!B85,21))+'Fórmula'!E85*(INDEX(properties!A$1:CB$87,'Fórmula'!D85,21))+'Fórmula'!G85*(INDEX(properties!A$1:CB$87,'Fórmula'!F85,21))+'Fórmula'!I85*(INDEX(properties!A$1:CB$87,'Fórmula'!H85,21))+'Fórmula'!K85*(INDEX(properties!A$1:CB$87,'Fórmula'!J85,21))</f>
        <v>32</v>
      </c>
      <c r="BX85" s="113">
        <f t="array" ref="BX85">VARP(IF(INDEX(properties!A$1:CB$87,'Fórmula'!B85,21)&lt;&gt;"",INDEX(properties!A$1:CB$87,'Fórmula'!B85,21)),IF(INDEX(properties!A$1:CB$87,'Fórmula'!D85,21)&lt;&gt;"",INDEX(properties!A$1:CB$87,'Fórmula'!D85,21)),IF(INDEX(properties!A$1:CB$87,'Fórmula'!F85,21)&lt;&gt;"",INDEX(properties!A$1:CB$87,'Fórmula'!F85,21)),IF(INDEX(properties!A$1:CB$87,'Fórmula'!H85,21)&lt;&gt;"",INDEX(properties!A$1:CB$87,'Fórmula'!H85,21)),IF(INDEX(properties!A$1:CB$87,'Fórmula'!J85,21)&lt;&gt;"",INDEX(properties!A$1:CB$87,'Fórmula'!J85,21)))</f>
        <v>6.16</v>
      </c>
      <c r="BY85" s="113">
        <f t="array" ref="BY85">MAX(INDEX(properties!A$1:CB$87,'Fórmula'!B85,21),INDEX(properties!A$1:CB$87,'Fórmula'!D85,21),INDEX(properties!A$1:CB$87,'Fórmula'!F85,21),INDEX(properties!A$1:CB$87,'Fórmula'!H85,21),INDEX(properties!A$1:CB$87,'Fórmula'!J85,21))</f>
        <v>6</v>
      </c>
      <c r="BZ85" s="113">
        <f t="array" ref="BZ85">MIN(IF(INDEX(properties!A$1:CB$87,'Fórmula'!B85,21)=0,10^6,INDEX(properties!A$1:CB$87,'Fórmula'!B85,21)),IF(INDEX(properties!A$1:CB$87,'Fórmula'!D85,21)=0,10^6,INDEX(properties!A$1:CB$87,'Fórmula'!D85,21)),IF(INDEX(properties!A$1:CB$87,'Fórmula'!F85,21)=0,10^6,INDEX(properties!A$1:CB$87,'Fórmula'!F85,21)),IF(INDEX(properties!A$1:CB$87,'Fórmula'!H85,21)=0,10^6,INDEX(properties!A$1:CB$87,'Fórmula'!H85,21)),IF(INDEX(properties!A$1:CB$87,'Fórmula'!J85,21)=0,10^6,INDEX(properties!A$1:CB$87,'Fórmula'!J85,21)))</f>
        <v>3</v>
      </c>
      <c r="CA85" s="113">
        <f t="shared" si="13"/>
        <v>3</v>
      </c>
      <c r="CB85" s="114">
        <f t="array" ref="CB85">(('Fórmula'!C85)/('Fórmula'!C85+'Fórmula'!E85+'Fórmula'!G85+'Fórmula'!I85+'Fórmula'!K85))*(INDEX(properties!A$1:CB$87,'Fórmula'!B85,23))+(('Fórmula'!E85)/('Fórmula'!C85+'Fórmula'!E85+'Fórmula'!G85+'Fórmula'!I85+'Fórmula'!K85))*(INDEX(properties!A$1:CB$87,'Fórmula'!D85,23))+(('Fórmula'!G85)/('Fórmula'!C85+'Fórmula'!E85+'Fórmula'!G85+'Fórmula'!I85+'Fórmula'!K85))*(INDEX(properties!A$1:CB$87,'Fórmula'!F85,23))+(('Fórmula'!I85)/('Fórmula'!C85+'Fórmula'!E85+'Fórmula'!G85+'Fórmula'!I85+'Fórmula'!K85))*(INDEX(properties!A$1:CB$87,'Fórmula'!H85,23))+(('Fórmula'!K85)/('Fórmula'!C85+'Fórmula'!E85+'Fórmula'!G85+'Fórmula'!I85+'Fórmula'!K85))*(INDEX(properties!A$1:CB$87,'Fórmula'!J85,23))</f>
        <v>1</v>
      </c>
      <c r="CC85" s="114">
        <f t="array" ref="CC85">'Fórmula'!C85*(INDEX(properties!A$1:CB$87,'Fórmula'!B85,23))+'Fórmula'!E85*(INDEX(properties!A$1:CB$87,'Fórmula'!D85,23))+'Fórmula'!G85*(INDEX(properties!A$1:CB$87,'Fórmula'!F85,23))+'Fórmula'!I85*(INDEX(properties!A$1:CB$87,'Fórmula'!H85,23))+'Fórmula'!K85*(INDEX(properties!A$1:CB$87,'Fórmula'!J85,23))</f>
        <v>6</v>
      </c>
      <c r="CD85" s="114">
        <f t="array" ref="CD85">VARP(IF(INDEX(properties!A$1:CB$87,'Fórmula'!B85,23)&lt;&gt;"",INDEX(properties!A$1:CB$87,'Fórmula'!B85,23)),IF(INDEX(properties!A$1:CB$87,'Fórmula'!D85,23)&lt;&gt;"",INDEX(properties!A$1:CB$87,'Fórmula'!D85,23)),IF(INDEX(properties!A$1:CB$87,'Fórmula'!F85,23)&lt;&gt;"",INDEX(properties!A$1:CB$87,'Fórmula'!F85,23)),IF(INDEX(properties!A$1:CB$87,'Fórmula'!H85,23)&lt;&gt;"",INDEX(properties!A$1:CB$87,'Fórmula'!H85,23)),IF(INDEX(properties!A$1:CB$87,'Fórmula'!J85,23)&lt;&gt;"",INDEX(properties!A$1:CB$87,'Fórmula'!J85,23)))</f>
        <v>2.16</v>
      </c>
      <c r="CE85" s="114">
        <f t="array" ref="CE85">MAX(INDEX(properties!A$1:CB$87,'Fórmula'!B85,23),INDEX(properties!A$1:CB$87,'Fórmula'!D85,23),INDEX(properties!A$1:CB$87,'Fórmula'!F85,23),INDEX(properties!A$1:CB$87,'Fórmula'!H85,23),INDEX(properties!A$1:CB$87,'Fórmula'!J85,23))</f>
        <v>3</v>
      </c>
      <c r="CF85" s="114">
        <f t="array" ref="CF85">MIN(IF('Fórmula'!B85=87,10^6,INDEX(properties!A$1:CB$87,'Fórmula'!B85,23)),IF(('Fórmula'!D85)=87,10^6,INDEX(properties!A$1:CB$87,'Fórmula'!D85,23)),IF(('Fórmula'!F85)=87,10^6,INDEX(properties!A$1:CB$87,'Fórmula'!F85,23)),IF(('Fórmula'!H85)=87,10^6,INDEX(properties!A$1:CB$87,'Fórmula'!H85,23)),IF('Fórmula'!J85=87,10^6,INDEX(properties!A$1:CB$87,'Fórmula'!J85,23)))</f>
        <v>0</v>
      </c>
      <c r="CG85" s="114">
        <f t="shared" si="14"/>
        <v>3</v>
      </c>
      <c r="CH85" s="115">
        <f t="array" ref="CH85">(('Fórmula'!C85)/('Fórmula'!C85+'Fórmula'!E85+'Fórmula'!G85+'Fórmula'!I85+'Fórmula'!K85))*(INDEX(properties!A$1:CB$87,'Fórmula'!B85,26))+(('Fórmula'!E85)/('Fórmula'!C85+'Fórmula'!E85+'Fórmula'!G85+'Fórmula'!I85+'Fórmula'!K85))*(INDEX(properties!A$1:CB$87,'Fórmula'!D85,26))+(('Fórmula'!G85)/('Fórmula'!C85+'Fórmula'!E85+'Fórmula'!G85+'Fórmula'!I85+'Fórmula'!K85))*(INDEX(properties!A$1:CB$87,'Fórmula'!F85,26))+(('Fórmula'!I85)/('Fórmula'!C85+'Fórmula'!E85+'Fórmula'!G85+'Fórmula'!I85+'Fórmula'!K85))*(INDEX(properties!A$1:CB$87,'Fórmula'!H85,26))+(('Fórmula'!K85)/('Fórmula'!C85+'Fórmula'!E85+'Fórmula'!G85+'Fórmula'!I85+'Fórmula'!K85))*(INDEX(properties!A$1:CB$87,'Fórmula'!J85,26))</f>
        <v>11.85148333</v>
      </c>
      <c r="CI85" s="115">
        <f t="array" ref="CI85">'Fórmula'!C85*(INDEX(properties!A$1:CB$87,'Fórmula'!B85,26))+'Fórmula'!E85*(INDEX(properties!A$1:CB$87,'Fórmula'!D85,26))+'Fórmula'!G85*(INDEX(properties!A$1:CB$87,'Fórmula'!F85,26))+'Fórmula'!I85*(INDEX(properties!A$1:CB$87,'Fórmula'!H85,26))+'Fórmula'!K85*(INDEX(properties!A$1:CB$87,'Fórmula'!J85,26))</f>
        <v>71.1089</v>
      </c>
      <c r="CJ85" s="115">
        <f t="array" ref="CJ85">VARP(IF(INDEX(properties!A$1:CB$87,'Fórmula'!B85,26)&lt;&gt;"",INDEX(properties!A$1:CB$87,'Fórmula'!B85,26)),IF(INDEX(properties!A$1:CB$87,'Fórmula'!D85,26)&lt;&gt;"",INDEX(properties!A$1:CB$87,'Fórmula'!D85,26)),IF(INDEX(properties!A$1:CB$87,'Fórmula'!F85,26)&lt;&gt;"",INDEX(properties!A$1:CB$87,'Fórmula'!F85,26)),IF(INDEX(properties!A$1:CB$87,'Fórmula'!H85,26)&lt;&gt;"",INDEX(properties!A$1:CB$87,'Fórmula'!H85,26)),IF(INDEX(properties!A$1:CB$87,'Fórmula'!J85,26)&lt;&gt;"",INDEX(properties!A$1:CB$87,'Fórmula'!J85,26)))</f>
        <v>30.03508006</v>
      </c>
      <c r="CK85" s="116">
        <f t="array" ref="CK85">MAX(INDEX(properties!A$1:CB$87,'Fórmula'!B85,26),INDEX(properties!A$1:CB$87,'Fórmula'!D85,26),INDEX(properties!A$1:CB$87,'Fórmula'!F85,26),INDEX(properties!A$1:CB$87,'Fórmula'!H85,26),INDEX(properties!A$1:CB$87,'Fórmula'!J85,26))</f>
        <v>13.6181</v>
      </c>
      <c r="CL85" s="116">
        <f t="array" ref="CL85">MIN(IF(INDEX(properties!A$1:CB$87,'Fórmula'!B85,26)=0,10^6,INDEX(properties!A$1:CB$87,'Fórmula'!B85,26)),IF(INDEX(properties!A$1:CB$87,'Fórmula'!D85,26)=0,10^6,INDEX(properties!A$1:CB$87,'Fórmula'!D85,26)),IF(INDEX(properties!A$1:CB$87,'Fórmula'!F85,26)=0,10^6,INDEX(properties!A$1:CB$87,'Fórmula'!F85,26)),IF(INDEX(properties!A$1:CB$87,'Fórmula'!H85,26)=0,10^6,INDEX(properties!A$1:CB$87,'Fórmula'!H85,26)),IF(INDEX(properties!A$1:CB$87,'Fórmula'!J85,26)=0,10^6,INDEX(properties!A$1:CB$87,'Fórmula'!J85,26)))</f>
        <v>6.1498</v>
      </c>
      <c r="CM85" s="115">
        <f t="shared" si="15"/>
        <v>7.4683</v>
      </c>
      <c r="CN85" s="117">
        <f t="array" ref="CN85">(('Fórmula'!C85)/('Fórmula'!C85+'Fórmula'!E85+'Fórmula'!G85+'Fórmula'!I85+'Fórmula'!K85))*(INDEX(properties!A$1:CB$87,'Fórmula'!B85,30))+(('Fórmula'!E85)/('Fórmula'!C85+'Fórmula'!E85+'Fórmula'!G85+'Fórmula'!I85+'Fórmula'!K85))*(INDEX(properties!A$1:CB$87,'Fórmula'!D85,30))+(('Fórmula'!G85)/('Fórmula'!C85+'Fórmula'!E85+'Fórmula'!G85+'Fórmula'!I85+'Fórmula'!K85))*(INDEX(properties!A$1:CB$87,'Fórmula'!F85,30))+(('Fórmula'!I85)/('Fórmula'!C85+'Fórmula'!E85+'Fórmula'!G85+'Fórmula'!I85+'Fórmula'!K85))*(INDEX(properties!A$1:CB$87,'Fórmula'!H85,30))+(('Fórmula'!K85)/('Fórmula'!C85+'Fórmula'!E85+'Fórmula'!G85+'Fórmula'!I85+'Fórmula'!K85))*(INDEX(properties!A$1:CB$87,'Fórmula'!J85,30))</f>
        <v>2.858333333</v>
      </c>
      <c r="CO85" s="117">
        <f t="array" ref="CO85">'Fórmula'!C85*(INDEX(properties!A$1:CB$87,'Fórmula'!B85,30))+'Fórmula'!E85*(INDEX(properties!A$1:CB$87,'Fórmula'!D85,30))+'Fórmula'!G85*(INDEX(properties!A$1:CB$87,'Fórmula'!F85,30))+'Fórmula'!I85*(INDEX(properties!A$1:CB$87,'Fórmula'!H85,30))+'Fórmula'!K85*(INDEX(properties!A$1:CB$87,'Fórmula'!J85,30))</f>
        <v>17.15</v>
      </c>
      <c r="CP85" s="117">
        <f t="array" ref="CP85">VARP(IF(INDEX(properties!A$1:CB$87,'Fórmula'!B85,30)&lt;&gt;"",INDEX(properties!A$1:CB$87,'Fórmula'!B85,30)),IF(INDEX(properties!A$1:CB$87,'Fórmula'!D85,30)&lt;&gt;"",INDEX(properties!A$1:CB$87,'Fórmula'!D85,30)),IF(INDEX(properties!A$1:CB$87,'Fórmula'!F85,30)&lt;&gt;"",INDEX(properties!A$1:CB$87,'Fórmula'!F85,30)),IF(INDEX(properties!A$1:CB$87,'Fórmula'!H85,30)&lt;&gt;"",INDEX(properties!A$1:CB$87,'Fórmula'!H85,30)),IF(INDEX(properties!A$1:CB$87,'Fórmula'!J85,30)&lt;&gt;"",INDEX(properties!A$1:CB$87,'Fórmula'!J85,30)))</f>
        <v>1.747984</v>
      </c>
      <c r="CQ85" s="117">
        <f t="array" ref="CQ85">MAX(INDEX(properties!A$1:CB$87,'Fórmula'!B85,30),INDEX(properties!A$1:CB$87,'Fórmula'!D85,30),INDEX(properties!A$1:CB$87,'Fórmula'!F85,30),INDEX(properties!A$1:CB$87,'Fórmula'!H85,30),INDEX(properties!A$1:CB$87,'Fórmula'!J85,30))</f>
        <v>3.44</v>
      </c>
      <c r="CR85" s="117">
        <f t="array" ref="CR85">MIN(IF(INDEX(properties!A$1:CB$87,'Fórmula'!B85,30)=0,10^6,INDEX(properties!A$1:CB$87,'Fórmula'!B85,30)),IF(INDEX(properties!A$1:CB$87,'Fórmula'!D85,30)=0,10^6,INDEX(properties!A$1:CB$87,'Fórmula'!D85,30)),IF(INDEX(properties!A$1:CB$87,'Fórmula'!F85,30)=0,10^6,INDEX(properties!A$1:CB$87,'Fórmula'!F85,30)),IF(INDEX(properties!A$1:CB$87,'Fórmula'!H85,30)=0,10^6,INDEX(properties!A$1:CB$87,'Fórmula'!H85,30)),IF(INDEX(properties!A$1:CB$87,'Fórmula'!J85,30)=0,10^6,INDEX(properties!A$1:CB$87,'Fórmula'!J85,30)))</f>
        <v>1.2</v>
      </c>
      <c r="CS85" s="117">
        <f t="shared" si="16"/>
        <v>2.24</v>
      </c>
      <c r="CT85" s="118">
        <f t="array" ref="CT85">(('Fórmula'!C85)/('Fórmula'!C85+'Fórmula'!E85+'Fórmula'!G85+'Fórmula'!I85+'Fórmula'!K85))*(INDEX(properties!A$1:CB$87,'Fórmula'!B85,31))+(('Fórmula'!E85)/('Fórmula'!C85+'Fórmula'!E85+'Fórmula'!G85+'Fórmula'!I85+'Fórmula'!K85))*(INDEX(properties!A$1:CB$87,'Fórmula'!D85,31))+(('Fórmula'!G85)/('Fórmula'!C85+'Fórmula'!E85+'Fórmula'!G85+'Fórmula'!I85+'Fórmula'!K85))*(INDEX(properties!A$1:CB$87,'Fórmula'!F85,31))+(('Fórmula'!I85)/('Fórmula'!C85+'Fórmula'!E85+'Fórmula'!G85+'Fórmula'!I85+'Fórmula'!K85))*(INDEX(properties!A$1:CB$87,'Fórmula'!H85,31))+(('Fórmula'!K85)/('Fórmula'!C85+'Fórmula'!E85+'Fórmula'!G85+'Fórmula'!I85+'Fórmula'!K85))*(INDEX(properties!A$1:CB$87,'Fórmula'!J85,31))</f>
        <v>2.783333333</v>
      </c>
      <c r="CU85" s="118">
        <f t="array" ref="CU85">'Fórmula'!C85*(INDEX(properties!A$1:CB$87,'Fórmula'!B85,31))+'Fórmula'!E85*(INDEX(properties!A$1:CB$87,'Fórmula'!D85,31))+'Fórmula'!G85*(INDEX(properties!A$1:CB$87,'Fórmula'!F85,31))+'Fórmula'!I85*(INDEX(properties!A$1:CB$87,'Fórmula'!H85,31))+'Fórmula'!K85*(INDEX(properties!A$1:CB$87,'Fórmula'!J85,31))</f>
        <v>16.7</v>
      </c>
      <c r="CV85" s="118">
        <f t="array" ref="CV85">VARP(IF(INDEX(properties!A$1:CB$87,'Fórmula'!B85,31)&lt;&gt;"",INDEX(properties!A$1:CB$87,'Fórmula'!B85,31)),IF(INDEX(properties!A$1:CB$87,'Fórmula'!D85,31)&lt;&gt;"",INDEX(properties!A$1:CB$87,'Fórmula'!D85,31)),IF(INDEX(properties!A$1:CB$87,'Fórmula'!F85,31)&lt;&gt;"",INDEX(properties!A$1:CB$87,'Fórmula'!F85,31)),IF(INDEX(properties!A$1:CB$87,'Fórmula'!H85,31)&lt;&gt;"",INDEX(properties!A$1:CB$87,'Fórmula'!H85,31)),IF(INDEX(properties!A$1:CB$87,'Fórmula'!J85,31)&lt;&gt;"",INDEX(properties!A$1:CB$87,'Fórmula'!J85,31)))</f>
        <v>1.705856</v>
      </c>
      <c r="CW85" s="118">
        <f t="array" ref="CW85">MAX(INDEX(properties!A$1:CB$87,'Fórmula'!B85,31),INDEX(properties!A$1:CB$87,'Fórmula'!D85,31),INDEX(properties!A$1:CB$87,'Fórmula'!F85,31),INDEX(properties!A$1:CB$87,'Fórmula'!H85,31),INDEX(properties!A$1:CB$87,'Fórmula'!J85,31))</f>
        <v>3.32</v>
      </c>
      <c r="CX85" s="118">
        <f t="array" ref="CX85">MIN(IF(INDEX(properties!A$1:CB$87,'Fórmula'!B85,31)=0,10^6,INDEX(properties!A$1:CB$87,'Fórmula'!B85,31)),IF(INDEX(properties!A$1:CB$87,'Fórmula'!D85,31)=0,10^6,INDEX(properties!A$1:CB$87,'Fórmula'!D85,31)),IF(INDEX(properties!A$1:CB$87,'Fórmula'!F85,31)=0,10^6,INDEX(properties!A$1:CB$87,'Fórmula'!F85,31)),IF(INDEX(properties!A$1:CB$87,'Fórmula'!H85,31)=0,10^6,INDEX(properties!A$1:CB$87,'Fórmula'!H85,31)),IF(INDEX(properties!A$1:CB$87,'Fórmula'!J85,31)=0,10^6,INDEX(properties!A$1:CB$87,'Fórmula'!J85,31)))</f>
        <v>1.1</v>
      </c>
      <c r="CY85" s="118">
        <f t="shared" si="17"/>
        <v>2.22</v>
      </c>
      <c r="CZ85" s="119">
        <f t="array" ref="CZ85">(('Fórmula'!C85)/('Fórmula'!C85+'Fórmula'!E85+'Fórmula'!G85+'Fórmula'!I85+'Fórmula'!K85))*(INDEX(properties!A$1:CB$87,'Fórmula'!B85,32))+(('Fórmula'!E85)/('Fórmula'!C85+'Fórmula'!E85+'Fórmula'!G85+'Fórmula'!I85+'Fórmula'!K85))*(INDEX(properties!A$1:CB$87,'Fórmula'!D85,32))+(('Fórmula'!G85)/('Fórmula'!C85+'Fórmula'!E85+'Fórmula'!G85+'Fórmula'!I85+'Fórmula'!K85))*(INDEX(properties!A$1:CB$87,'Fórmula'!F85,32))+(('Fórmula'!I85)/('Fórmula'!C85+'Fórmula'!E85+'Fórmula'!G85+'Fórmula'!I85+'Fórmula'!K85))*(INDEX(properties!A$1:CB$87,'Fórmula'!H85,32))+(('Fórmula'!K85)/('Fórmula'!C85+'Fórmula'!E85+'Fórmula'!G85+'Fórmula'!I85+'Fórmula'!K85))*(INDEX(properties!A$1:CB$87,'Fórmula'!J85,32))</f>
        <v>6.48</v>
      </c>
      <c r="DA85" s="119">
        <f t="array" ref="DA85">'Fórmula'!C85*(INDEX(properties!A$1:CB$87,'Fórmula'!B85,32))+'Fórmula'!E85*(INDEX(properties!A$1:CB$87,'Fórmula'!D85,32))+'Fórmula'!G85*(INDEX(properties!A$1:CB$87,'Fórmula'!F85,32))+'Fórmula'!I85*(INDEX(properties!A$1:CB$87,'Fórmula'!H85,32))+'Fórmula'!K85*(INDEX(properties!A$1:CB$87,'Fórmula'!J85,32))</f>
        <v>38.88</v>
      </c>
      <c r="DB85" s="119">
        <f t="array" ref="DB85">VARP(IF(INDEX(properties!A$1:CB$87,'Fórmula'!B85,32)&lt;&gt;"",INDEX(properties!A$1:CB$87,'Fórmula'!B85,32)),IF(INDEX(properties!A$1:CB$87,'Fórmula'!D85,32)&lt;&gt;"",INDEX(properties!A$1:CB$87,'Fórmula'!D85,32)),IF(INDEX(properties!A$1:CB$87,'Fórmula'!F85,32)&lt;&gt;"",INDEX(properties!A$1:CB$87,'Fórmula'!F85,32)),IF(INDEX(properties!A$1:CB$87,'Fórmula'!H85,32)&lt;&gt;"",INDEX(properties!A$1:CB$87,'Fórmula'!H85,32)),IF(INDEX(properties!A$1:CB$87,'Fórmula'!J85,32)&lt;&gt;"",INDEX(properties!A$1:CB$87,'Fórmula'!J85,32)))</f>
        <v>9.033696</v>
      </c>
      <c r="DC85" s="119">
        <f t="array" ref="DC85">MAX(INDEX(properties!A$1:CB$87,'Fórmula'!B85,32),INDEX(properties!A$1:CB$87,'Fórmula'!D85,32),INDEX(properties!A$1:CB$87,'Fórmula'!F85,32),INDEX(properties!A$1:CB$87,'Fórmula'!H85,32),INDEX(properties!A$1:CB$87,'Fórmula'!J85,32))</f>
        <v>7.54</v>
      </c>
      <c r="DD85" s="119">
        <f t="array" ref="DD85">MIN(IF(INDEX(properties!A$1:CB$87,'Fórmula'!B85,32)=0,10^6,INDEX(properties!A$1:CB$87,'Fórmula'!B85,32)),IF(INDEX(properties!A$1:CB$87,'Fórmula'!D85,32)=0,10^6,INDEX(properties!A$1:CB$87,'Fórmula'!D85,32)),IF(INDEX(properties!A$1:CB$87,'Fórmula'!F85,32)=0,10^6,INDEX(properties!A$1:CB$87,'Fórmula'!F85,32)),IF(INDEX(properties!A$1:CB$87,'Fórmula'!H85,32)=0,10^6,INDEX(properties!A$1:CB$87,'Fórmula'!H85,32)),IF(INDEX(properties!A$1:CB$87,'Fórmula'!J85,32)=0,10^6,INDEX(properties!A$1:CB$87,'Fórmula'!J85,32)))</f>
        <v>3.1</v>
      </c>
      <c r="DE85" s="119">
        <f t="shared" si="18"/>
        <v>4.44</v>
      </c>
      <c r="DF85" s="104">
        <f t="array" ref="DF85">(('Fórmula'!C85)/('Fórmula'!C85+'Fórmula'!E85+'Fórmula'!G85+'Fórmula'!I85+'Fórmula'!K85))*(INDEX(properties!A$1:CB$87,'Fórmula'!B85,34))+(('Fórmula'!E85)/('Fórmula'!C85+'Fórmula'!E85+'Fórmula'!G85+'Fórmula'!I85+'Fórmula'!K85))*(INDEX(properties!A$1:CB$87,'Fórmula'!D85,34))+(('Fórmula'!G85)/('Fórmula'!C85+'Fórmula'!E85+'Fórmula'!G85+'Fórmula'!I85+'Fórmula'!K85))*(INDEX(properties!A$1:CB$87,'Fórmula'!F85,34))+(('Fórmula'!I85)/('Fórmula'!C85+'Fórmula'!E85+'Fórmula'!G85+'Fórmula'!I85+'Fórmula'!K85))*(INDEX(properties!A$1:CB$87,'Fórmula'!H85,34))+(('Fórmula'!K85)/('Fórmula'!C85+'Fórmula'!E85+'Fórmula'!G85+'Fórmula'!I85+'Fórmula'!K85))*(INDEX(properties!A$1:CB$87,'Fórmula'!J85,34))</f>
        <v>2.963833333</v>
      </c>
      <c r="DG85" s="104">
        <f t="array" ref="DG85">'Fórmula'!C85*(INDEX(properties!A$1:CB$87,'Fórmula'!B85,34))+'Fórmula'!E85*(INDEX(properties!A$1:CB$87,'Fórmula'!D85,34))+'Fórmula'!G85*(INDEX(properties!A$1:CB$87,'Fórmula'!F85,34))+'Fórmula'!I85*(INDEX(properties!A$1:CB$87,'Fórmula'!H85,34))+'Fórmula'!K85*(INDEX(properties!A$1:CB$87,'Fórmula'!J85,34))</f>
        <v>17.783</v>
      </c>
      <c r="DH85" s="104">
        <f t="array" ref="DH85">VARP(IF(INDEX(properties!A$1:CB$87,'Fórmula'!B85,34)&lt;&gt;"",INDEX(properties!A$1:CB$87,'Fórmula'!B85,34)),IF(INDEX(properties!A$1:CB$87,'Fórmula'!D85,34)&lt;&gt;"",INDEX(properties!A$1:CB$87,'Fórmula'!D85,34)),IF(INDEX(properties!A$1:CB$87,'Fórmula'!F85,34)&lt;&gt;"",INDEX(properties!A$1:CB$87,'Fórmula'!F85,34)),IF(INDEX(properties!A$1:CB$87,'Fórmula'!H85,34)&lt;&gt;"",INDEX(properties!A$1:CB$87,'Fórmula'!H85,34)),IF(INDEX(properties!A$1:CB$87,'Fórmula'!J85,34)&lt;&gt;"",INDEX(properties!A$1:CB$87,'Fórmula'!J85,34)))</f>
        <v>1.92547344</v>
      </c>
      <c r="DI85" s="104">
        <f t="array" ref="DI85">MAX(INDEX(properties!A$1:CB$87,'Fórmula'!B85,34),INDEX(properties!A$1:CB$87,'Fórmula'!D85,34),INDEX(properties!A$1:CB$87,'Fórmula'!F85,34),INDEX(properties!A$1:CB$87,'Fórmula'!H85,34),INDEX(properties!A$1:CB$87,'Fórmula'!J85,34))</f>
        <v>3.61</v>
      </c>
      <c r="DJ85" s="104">
        <f t="array" ref="DJ85">MIN(IF(INDEX(properties!A$1:CB$87,'Fórmula'!B85,34)=0,10^6,INDEX(properties!A$1:CB$87,'Fórmula'!B85,34)),IF(INDEX(properties!A$1:CB$87,'Fórmula'!D85,34)=0,10^6,INDEX(properties!A$1:CB$87,'Fórmula'!D85,34)),IF(INDEX(properties!A$1:CB$87,'Fórmula'!F85,34)=0,10^6,INDEX(properties!A$1:CB$87,'Fórmula'!F85,34)),IF(INDEX(properties!A$1:CB$87,'Fórmula'!H85,34)=0,10^6,INDEX(properties!A$1:CB$87,'Fórmula'!H85,34)),IF(INDEX(properties!A$1:CB$87,'Fórmula'!J85,34)=0,10^6,INDEX(properties!A$1:CB$87,'Fórmula'!J85,34)))</f>
        <v>1.09</v>
      </c>
      <c r="DK85" s="104">
        <f t="shared" si="19"/>
        <v>2.52</v>
      </c>
      <c r="DL85" s="105" t="str">
        <f t="array" ref="DL85">(('Fórmula'!C85)/('Fórmula'!C85+'Fórmula'!E85+'Fórmula'!G85+'Fórmula'!I85+'Fórmula'!K85))*(INDEX(properties!A$1:CB$87,'Fórmula'!B85,37))+(('Fórmula'!E85)/('Fórmula'!C85+'Fórmula'!E85+'Fórmula'!G85+'Fórmula'!I85+'Fórmula'!K85))*(INDEX(properties!A$1:CB$87,'Fórmula'!D85,37))+(('Fórmula'!G85)/('Fórmula'!C85+'Fórmula'!E85+'Fórmula'!G85+'Fórmula'!I85+'Fórmula'!K85))*(INDEX(properties!A$1:CB$87,'Fórmula'!F85,37))+(('Fórmula'!I85)/('Fórmula'!C85+'Fórmula'!E85+'Fórmula'!G85+'Fórmula'!I85+'Fórmula'!K85))*(INDEX(properties!A$1:CB$87,'Fórmula'!H85,37))+(('Fórmula'!K85)/('Fórmula'!C85+'Fórmula'!E85+'Fórmula'!G85+'Fórmula'!I85+'Fórmula'!K85))*(INDEX(properties!A$1:CB$87,'Fórmula'!J85,37))</f>
        <v>#VALUE!</v>
      </c>
      <c r="DM85" s="105" t="str">
        <f t="array" ref="DM85">'Fórmula'!C85*(INDEX(properties!A$1:CB$87,'Fórmula'!B85,37))+'Fórmula'!E85*(INDEX(properties!A$1:CB$87,'Fórmula'!D85,37))+'Fórmula'!G85*(INDEX(properties!A$1:CB$87,'Fórmula'!F85,37))+'Fórmula'!I85*(INDEX(properties!A$1:CB$87,'Fórmula'!H85,37))+'Fórmula'!K85*(INDEX(properties!A$1:CB$87,'Fórmula'!J85,37))</f>
        <v>#VALUE!</v>
      </c>
      <c r="DN85" s="105">
        <f t="array" ref="DN85">VARP(IF(INDEX(properties!A$1:CB$87,'Fórmula'!B85,37)&lt;&gt;"",INDEX(properties!A$1:CB$87,'Fórmula'!B85,37)),IF(INDEX(properties!A$1:CB$87,'Fórmula'!D85,37)&lt;&gt;"",INDEX(properties!A$1:CB$87,'Fórmula'!D85,37)),IF(INDEX(properties!A$1:CB$87,'Fórmula'!F85,37)&lt;&gt;"",INDEX(properties!A$1:CB$87,'Fórmula'!F85,37)),IF(INDEX(properties!A$1:CB$87,'Fórmula'!H85,37)&lt;&gt;"",INDEX(properties!A$1:CB$87,'Fórmula'!H85,37)),IF(INDEX(properties!A$1:CB$87,'Fórmula'!J85,37)&lt;&gt;"",INDEX(properties!A$1:CB$87,'Fórmula'!J85,37)))</f>
        <v>2.15296875</v>
      </c>
      <c r="DO85" s="105">
        <f t="array" ref="DO85">MAX(INDEX(properties!A$1:CB$87,'Fórmula'!B85,37),INDEX(properties!A$1:CB$87,'Fórmula'!D85,37),INDEX(properties!A$1:CB$87,'Fórmula'!F85,37),INDEX(properties!A$1:CB$87,'Fórmula'!H85,37),INDEX(properties!A$1:CB$87,'Fórmula'!J85,37))</f>
        <v>3.45</v>
      </c>
      <c r="DP85" s="105">
        <f t="array" ref="DP85">MIN(IF(INDEX(properties!A$1:CB$87,'Fórmula'!B85,37)=0,10^6,INDEX(properties!A$1:CB$87,'Fórmula'!B85,37)),IF(INDEX(properties!A$1:CB$87,'Fórmula'!D85,37)=0,10^6,INDEX(properties!A$1:CB$87,'Fórmula'!D85,37)),IF(INDEX(properties!A$1:CB$87,'Fórmula'!F85,37)=0,10^6,INDEX(properties!A$1:CB$87,'Fórmula'!F85,37)),IF(INDEX(properties!A$1:CB$87,'Fórmula'!H85,37)=0,10^6,INDEX(properties!A$1:CB$87,'Fórmula'!H85,37)),IF(INDEX(properties!A$1:CB$87,'Fórmula'!J85,37)=0,10^6,INDEX(properties!A$1:CB$87,'Fórmula'!J85,37)))</f>
        <v>2.1</v>
      </c>
      <c r="DQ85" s="105">
        <f t="shared" si="20"/>
        <v>1.35</v>
      </c>
      <c r="DR85" s="109">
        <f t="array" ref="DR85">(('Fórmula'!C85)/('Fórmula'!C85+'Fórmula'!E85+'Fórmula'!G85+'Fórmula'!I85+'Fórmula'!K85))*(INDEX(properties!A$1:CB$87,'Fórmula'!B85,39))+(('Fórmula'!E85)/('Fórmula'!C85+'Fórmula'!E85+'Fórmula'!G85+'Fórmula'!I85+'Fórmula'!K85))*(INDEX(properties!A$1:CB$87,'Fórmula'!D85,39))+(('Fórmula'!G85)/('Fórmula'!C85+'Fórmula'!E85+'Fórmula'!G85+'Fórmula'!I85+'Fórmula'!K85))*(INDEX(properties!A$1:CB$87,'Fórmula'!F85,39))+(('Fórmula'!I85)/('Fórmula'!C85+'Fórmula'!E85+'Fórmula'!G85+'Fórmula'!I85+'Fórmula'!K85))*(INDEX(properties!A$1:CB$87,'Fórmula'!H85,39))+(('Fórmula'!K85)/('Fórmula'!C85+'Fórmula'!E85+'Fórmula'!G85+'Fórmula'!I85+'Fórmula'!K85))*(INDEX(properties!A$1:CB$87,'Fórmula'!J85,39))</f>
        <v>0.8716666667</v>
      </c>
      <c r="DS85" s="109">
        <f t="array" ref="DS85">'Fórmula'!C85*(INDEX(properties!A$1:CB$87,'Fórmula'!B85,39))+'Fórmula'!E85*(INDEX(properties!A$1:CB$87,'Fórmula'!D85,39))+'Fórmula'!G85*(INDEX(properties!A$1:CB$87,'Fórmula'!F85,39))+'Fórmula'!I85*(INDEX(properties!A$1:CB$87,'Fórmula'!H85,39))+'Fórmula'!K85*(INDEX(properties!A$1:CB$87,'Fórmula'!J85,39))</f>
        <v>5.23</v>
      </c>
      <c r="DT85" s="109">
        <f t="array" ref="DT85">VARP(IF(INDEX(properties!A$1:CB$87,'Fórmula'!B85,39)&lt;&gt;"",INDEX(properties!A$1:CB$87,'Fórmula'!B85,39)),IF(INDEX(properties!A$1:CB$87,'Fórmula'!D85,39)&lt;&gt;"",INDEX(properties!A$1:CB$87,'Fórmula'!D85,39)),IF(INDEX(properties!A$1:CB$87,'Fórmula'!F85,39)&lt;&gt;"",INDEX(properties!A$1:CB$87,'Fórmula'!F85,39)),IF(INDEX(properties!A$1:CB$87,'Fórmula'!H85,39)&lt;&gt;"",INDEX(properties!A$1:CB$87,'Fórmula'!H85,39)),IF(INDEX(properties!A$1:CB$87,'Fórmula'!J85,39)&lt;&gt;"",INDEX(properties!A$1:CB$87,'Fórmula'!J85,39)))</f>
        <v>0.749376</v>
      </c>
      <c r="DU85" s="120">
        <f t="array" ref="DU85">MAX(INDEX(properties!A$1:CB$87,'Fórmula'!B85,39),INDEX(properties!A$1:CB$87,'Fórmula'!D85,39),INDEX(properties!A$1:CB$87,'Fórmula'!F85,39),INDEX(properties!A$1:CB$87,'Fórmula'!H85,39),INDEX(properties!A$1:CB$87,'Fórmula'!J85,39))</f>
        <v>2.33</v>
      </c>
      <c r="DV85" s="120">
        <f t="array" ref="DV85">MIN(IF(INDEX(properties!A$1:CB$87,'Fórmula'!B85,39)=0,10^6,INDEX(properties!A$1:CB$87,'Fórmula'!B85,39)),IF(INDEX(properties!A$1:CB$87,'Fórmula'!D85,39)=0,10^6,INDEX(properties!A$1:CB$87,'Fórmula'!D85,39)),IF(INDEX(properties!A$1:CB$87,'Fórmula'!F85,39)=0,10^6,INDEX(properties!A$1:CB$87,'Fórmula'!F85,39)),IF(INDEX(properties!A$1:CB$87,'Fórmula'!H85,39)=0,10^6,INDEX(properties!A$1:CB$87,'Fórmula'!H85,39)),IF(INDEX(properties!A$1:CB$87,'Fórmula'!J85,39)=0,10^6,INDEX(properties!A$1:CB$87,'Fórmula'!J85,39)))</f>
        <v>0.48</v>
      </c>
      <c r="DW85" s="109">
        <f t="shared" si="21"/>
        <v>1.85</v>
      </c>
      <c r="DX85" s="110">
        <f t="array" ref="DX85">(('Fórmula'!C85)/('Fórmula'!C85+'Fórmula'!E85+'Fórmula'!G85+'Fórmula'!I85+'Fórmula'!K85))*(INDEX(properties!A$1:CB$87,'Fórmula'!B85,40))+(('Fórmula'!E85)/('Fórmula'!C85+'Fórmula'!E85+'Fórmula'!G85+'Fórmula'!I85+'Fórmula'!K85))*(INDEX(properties!A$1:CB$87,'Fórmula'!D85,40))+(('Fórmula'!G85)/('Fórmula'!C85+'Fórmula'!E85+'Fórmula'!G85+'Fórmula'!I85+'Fórmula'!K85))*(INDEX(properties!A$1:CB$87,'Fórmula'!F85,40))+(('Fórmula'!I85)/('Fórmula'!C85+'Fórmula'!E85+'Fórmula'!G85+'Fórmula'!I85+'Fórmula'!K85))*(INDEX(properties!A$1:CB$87,'Fórmula'!H85,40))+(('Fórmula'!K85)/('Fórmula'!C85+'Fórmula'!E85+'Fórmula'!G85+'Fórmula'!I85+'Fórmula'!K85))*(INDEX(properties!A$1:CB$87,'Fórmula'!J85,40))</f>
        <v>0.9316666667</v>
      </c>
      <c r="DY85" s="110">
        <f t="array" ref="DY85">'Fórmula'!C85*(INDEX(properties!A$1:CB$87,'Fórmula'!B85,40))+'Fórmula'!E85*(INDEX(properties!A$1:CB$87,'Fórmula'!D85,40))+'Fórmula'!G85*(INDEX(properties!A$1:CB$87,'Fórmula'!F85,40))+'Fórmula'!I85*(INDEX(properties!A$1:CB$87,'Fórmula'!H85,40))+'Fórmula'!K85*(INDEX(properties!A$1:CB$87,'Fórmula'!J85,40))</f>
        <v>5.59</v>
      </c>
      <c r="DZ85" s="110">
        <f t="array" ref="DZ85">VARP(IF(INDEX(properties!A$1:CB$87,'Fórmula'!B85,40)&lt;&gt;"",INDEX(properties!A$1:CB$87,'Fórmula'!B85,40)),IF(INDEX(properties!A$1:CB$87,'Fórmula'!D85,40)&lt;&gt;"",INDEX(properties!A$1:CB$87,'Fórmula'!D85,40)),IF(INDEX(properties!A$1:CB$87,'Fórmula'!F85,40)&lt;&gt;"",INDEX(properties!A$1:CB$87,'Fórmula'!F85,40)),IF(INDEX(properties!A$1:CB$87,'Fórmula'!H85,40)&lt;&gt;"",INDEX(properties!A$1:CB$87,'Fórmula'!H85,40)),IF(INDEX(properties!A$1:CB$87,'Fórmula'!J85,40)&lt;&gt;"",INDEX(properties!A$1:CB$87,'Fórmula'!J85,40)))</f>
        <v>0.38732</v>
      </c>
      <c r="EA85" s="121">
        <f t="array" ref="EA85">MAX(INDEX(properties!A$1:CB$87,'Fórmula'!B85,40),INDEX(properties!A$1:CB$87,'Fórmula'!D85,40),INDEX(properties!A$1:CB$87,'Fórmula'!F85,40),INDEX(properties!A$1:CB$87,'Fórmula'!H85,40),INDEX(properties!A$1:CB$87,'Fórmula'!J85,40))</f>
        <v>1.61</v>
      </c>
      <c r="EB85" s="121">
        <f t="array" ref="EB85">MIN(IF(INDEX(properties!A$1:CB$87,'Fórmula'!B85,40)=0,10^6,INDEX(properties!A$1:CB$87,'Fórmula'!B85,40)),IF(INDEX(properties!A$1:CB$87,'Fórmula'!D85,40)=0,10^6,INDEX(properties!A$1:CB$87,'Fórmula'!D85,40)),IF(INDEX(properties!A$1:CB$87,'Fórmula'!F85,40)=0,10^6,INDEX(properties!A$1:CB$87,'Fórmula'!F85,40)),IF(INDEX(properties!A$1:CB$87,'Fórmula'!H85,40)=0,10^6,INDEX(properties!A$1:CB$87,'Fórmula'!H85,40)),IF(INDEX(properties!A$1:CB$87,'Fórmula'!J85,40)=0,10^6,INDEX(properties!A$1:CB$87,'Fórmula'!J85,40)))</f>
        <v>0.73</v>
      </c>
      <c r="EC85" s="110">
        <f t="shared" si="22"/>
        <v>0.88</v>
      </c>
      <c r="ED85" s="111">
        <f t="array" ref="ED85">(('Fórmula'!C85)/('Fórmula'!C85+'Fórmula'!E85+'Fórmula'!G85+'Fórmula'!I85+'Fórmula'!K85))*(INDEX(properties!A$1:CB$87,'Fórmula'!B85,41))+(('Fórmula'!E85)/('Fórmula'!C85+'Fórmula'!E85+'Fórmula'!G85+'Fórmula'!I85+'Fórmula'!K85))*(INDEX(properties!A$1:CB$87,'Fórmula'!D85,41))+(('Fórmula'!G85)/('Fórmula'!C85+'Fórmula'!E85+'Fórmula'!G85+'Fórmula'!I85+'Fórmula'!K85))*(INDEX(properties!A$1:CB$87,'Fórmula'!F85,41))+(('Fórmula'!I85)/('Fórmula'!C85+'Fórmula'!E85+'Fórmula'!G85+'Fórmula'!I85+'Fórmula'!K85))*(INDEX(properties!A$1:CB$87,'Fórmula'!H85,41))+(('Fórmula'!K85)/('Fórmula'!C85+'Fórmula'!E85+'Fórmula'!G85+'Fórmula'!I85+'Fórmula'!K85))*(INDEX(properties!A$1:CB$87,'Fórmula'!J85,41))</f>
        <v>1.116666667</v>
      </c>
      <c r="EE85" s="111">
        <f t="array" ref="EE85">'Fórmula'!C85*(INDEX(properties!A$1:CB$87,'Fórmula'!B85,41))+'Fórmula'!E85*(INDEX(properties!A$1:CB$87,'Fórmula'!D85,41))+'Fórmula'!G85*(INDEX(properties!A$1:CB$87,'Fórmula'!F85,41))+'Fórmula'!I85*(INDEX(properties!A$1:CB$87,'Fórmula'!H85,41))+'Fórmula'!K85*(INDEX(properties!A$1:CB$87,'Fórmula'!J85,41))</f>
        <v>6.7</v>
      </c>
      <c r="EF85" s="111">
        <f t="array" ref="EF85">VARP(IF(INDEX(properties!A$1:CB$87,'Fórmula'!B85,41)&lt;&gt;"",INDEX(properties!A$1:CB$87,'Fórmula'!B85,41)),IF(INDEX(properties!A$1:CB$87,'Fórmula'!D85,41)&lt;&gt;"",INDEX(properties!A$1:CB$87,'Fórmula'!D85,41)),IF(INDEX(properties!A$1:CB$87,'Fórmula'!F85,41)&lt;&gt;"",INDEX(properties!A$1:CB$87,'Fórmula'!F85,41)),IF(INDEX(properties!A$1:CB$87,'Fórmula'!H85,41)&lt;&gt;"",INDEX(properties!A$1:CB$87,'Fórmula'!H85,41)),IF(INDEX(properties!A$1:CB$87,'Fórmula'!J85,41)&lt;&gt;"",INDEX(properties!A$1:CB$87,'Fórmula'!J85,41)))</f>
        <v>0.277024</v>
      </c>
      <c r="EG85" s="122">
        <f t="array" ref="EG85">MAX(INDEX(properties!A$1:CB$87,'Fórmula'!B85,41),INDEX(properties!A$1:CB$87,'Fórmula'!D85,41),INDEX(properties!A$1:CB$87,'Fórmula'!F85,41),INDEX(properties!A$1:CB$87,'Fórmula'!H85,41),INDEX(properties!A$1:CB$87,'Fórmula'!J85,41))</f>
        <v>1.26</v>
      </c>
      <c r="EH85" s="122">
        <f t="array" ref="EH85">MIN(IF(INDEX(properties!A$1:CB$87,'Fórmula'!B85,41)=0,10^6,INDEX(properties!A$1:CB$87,'Fórmula'!B85,41)),IF(INDEX(properties!A$1:CB$87,'Fórmula'!D85,41)=0,10^6,INDEX(properties!A$1:CB$87,'Fórmula'!D85,41)),IF(INDEX(properties!A$1:CB$87,'Fórmula'!F85,41)=0,10^6,INDEX(properties!A$1:CB$87,'Fórmula'!F85,41)),IF(INDEX(properties!A$1:CB$87,'Fórmula'!H85,41)=0,10^6,INDEX(properties!A$1:CB$87,'Fórmula'!H85,41)),IF(INDEX(properties!A$1:CB$87,'Fórmula'!J85,41)=0,10^6,INDEX(properties!A$1:CB$87,'Fórmula'!J85,41)))</f>
        <v>0.58</v>
      </c>
      <c r="EI85" s="111">
        <f t="shared" si="23"/>
        <v>0.68</v>
      </c>
      <c r="EJ85" s="112">
        <f t="array" ref="EJ85">(('Fórmula'!C85)/('Fórmula'!C85+'Fórmula'!E85+'Fórmula'!G85+'Fórmula'!I85+'Fórmula'!K85))*(INDEX(properties!A$1:CB$87,'Fórmula'!B85,45))+(('Fórmula'!E85)/('Fórmula'!C85+'Fórmula'!E85+'Fórmula'!G85+'Fórmula'!I85+'Fórmula'!K85))*(INDEX(properties!A$1:CB$87,'Fórmula'!D85,45))+(('Fórmula'!G85)/('Fórmula'!C85+'Fórmula'!E85+'Fórmula'!G85+'Fórmula'!I85+'Fórmula'!K85))*(INDEX(properties!A$1:CB$87,'Fórmula'!F85,45))+(('Fórmula'!I85)/('Fórmula'!C85+'Fórmula'!E85+'Fórmula'!G85+'Fórmula'!I85+'Fórmula'!K85))*(INDEX(properties!A$1:CB$87,'Fórmula'!H85,45))+(('Fórmula'!K85)/('Fórmula'!C85+'Fórmula'!E85+'Fórmula'!G85+'Fórmula'!I85+'Fórmula'!K85))*(INDEX(properties!A$1:CB$87,'Fórmula'!J85,45))</f>
        <v>1.171666667</v>
      </c>
      <c r="EK85" s="112">
        <f t="array" ref="EK85">'Fórmula'!C85*(INDEX(properties!A$1:CB$87,'Fórmula'!B85,45))+'Fórmula'!E85*(INDEX(properties!A$1:CB$87,'Fórmula'!D85,45))+'Fórmula'!G85*(INDEX(properties!A$1:CB$87,'Fórmula'!F85,45))+'Fórmula'!I85*(INDEX(properties!A$1:CB$87,'Fórmula'!H85,45))+'Fórmula'!K85*(INDEX(properties!A$1:CB$87,'Fórmula'!J85,45))</f>
        <v>7.03</v>
      </c>
      <c r="EL85" s="112">
        <f t="array" ref="EL85">VARP(IF(INDEX(properties!A$1:CB$87,'Fórmula'!B85,45)&lt;&gt;"",INDEX(properties!A$1:CB$87,'Fórmula'!B85,45)),IF(INDEX(properties!A$1:CB$87,'Fórmula'!D85,45)&lt;&gt;"",INDEX(properties!A$1:CB$87,'Fórmula'!D85,45)),IF(INDEX(properties!A$1:CB$87,'Fórmula'!F85,45)&lt;&gt;"",INDEX(properties!A$1:CB$87,'Fórmula'!F85,45)),IF(INDEX(properties!A$1:CB$87,'Fórmula'!H85,45)&lt;&gt;"",INDEX(properties!A$1:CB$87,'Fórmula'!H85,45)),IF(INDEX(properties!A$1:CB$87,'Fórmula'!J85,45)&lt;&gt;"",INDEX(properties!A$1:CB$87,'Fórmula'!J85,45)))</f>
        <v>2.145944</v>
      </c>
      <c r="EM85" s="123">
        <f t="array" ref="EM85">MAX(INDEX(properties!A$1:CB$87,'Fórmula'!B85,45),INDEX(properties!A$1:CB$87,'Fórmula'!D85,45),INDEX(properties!A$1:CB$87,'Fórmula'!F85,45),INDEX(properties!A$1:CB$87,'Fórmula'!H85,45),INDEX(properties!A$1:CB$87,'Fórmula'!J85,45))</f>
        <v>3.91</v>
      </c>
      <c r="EN85" s="123">
        <f t="array" ref="EN85">MIN(IF(INDEX(properties!A$1:CB$87,'Fórmula'!B85,45)=0,10^6,INDEX(properties!A$1:CB$87,'Fórmula'!B85,45)),IF(INDEX(properties!A$1:CB$87,'Fórmula'!D85,45)=0,10^6,INDEX(properties!A$1:CB$87,'Fórmula'!D85,45)),IF(INDEX(properties!A$1:CB$87,'Fórmula'!F85,45)=0,10^6,INDEX(properties!A$1:CB$87,'Fórmula'!F85,45)),IF(INDEX(properties!A$1:CB$87,'Fórmula'!H85,45)=0,10^6,INDEX(properties!A$1:CB$87,'Fórmula'!H85,45)),IF(INDEX(properties!A$1:CB$87,'Fórmula'!J85,45)=0,10^6,INDEX(properties!A$1:CB$87,'Fórmula'!J85,45)))</f>
        <v>0.47</v>
      </c>
      <c r="EO85" s="112">
        <f t="shared" si="24"/>
        <v>3.44</v>
      </c>
      <c r="EP85" s="113">
        <f t="array" ref="EP85">(('Fórmula'!C85)/('Fórmula'!C85+'Fórmula'!E85+'Fórmula'!G85+'Fórmula'!I85+'Fórmula'!K85))*(INDEX(properties!A$1:CB$87,'Fórmula'!B85,46))+(('Fórmula'!E85)/('Fórmula'!C85+'Fórmula'!E85+'Fórmula'!G85+'Fórmula'!I85+'Fórmula'!K85))*(INDEX(properties!A$1:CB$87,'Fórmula'!D85,46))+(('Fórmula'!G85)/('Fórmula'!C85+'Fórmula'!E85+'Fórmula'!G85+'Fórmula'!I85+'Fórmula'!K85))*(INDEX(properties!A$1:CB$87,'Fórmula'!F85,46))+(('Fórmula'!I85)/('Fórmula'!C85+'Fórmula'!E85+'Fórmula'!G85+'Fórmula'!I85+'Fórmula'!K85))*(INDEX(properties!A$1:CB$87,'Fórmula'!H85,46))+(('Fórmula'!K85)/('Fórmula'!C85+'Fórmula'!E85+'Fórmula'!G85+'Fórmula'!I85+'Fórmula'!K85))*(INDEX(properties!A$1:CB$87,'Fórmula'!J85,46))</f>
        <v>1.038333333</v>
      </c>
      <c r="EQ85" s="113">
        <f t="array" ref="EQ85">'Fórmula'!C85*(INDEX(properties!A$1:CB$87,'Fórmula'!B85,46))+'Fórmula'!E85*(INDEX(properties!A$1:CB$87,'Fórmula'!D85,46))+'Fórmula'!G85*(INDEX(properties!A$1:CB$87,'Fórmula'!F85,46))+'Fórmula'!I85*(INDEX(properties!A$1:CB$87,'Fórmula'!H85,46))+'Fórmula'!K85*(INDEX(properties!A$1:CB$87,'Fórmula'!J85,46))</f>
        <v>6.23</v>
      </c>
      <c r="ER85" s="113">
        <f t="array" ref="ER85">VARP(IF(INDEX(properties!A$1:CB$87,'Fórmula'!B85,46)&lt;&gt;"",INDEX(properties!A$1:CB$87,'Fórmula'!B85,46)),IF(INDEX(properties!A$1:CB$87,'Fórmula'!D85,46)&lt;&gt;"",INDEX(properties!A$1:CB$87,'Fórmula'!D85,46)),IF(INDEX(properties!A$1:CB$87,'Fórmula'!F85,46)&lt;&gt;"",INDEX(properties!A$1:CB$87,'Fórmula'!F85,46)),IF(INDEX(properties!A$1:CB$87,'Fórmula'!H85,46)&lt;&gt;"",INDEX(properties!A$1:CB$87,'Fórmula'!H85,46)),IF(INDEX(properties!A$1:CB$87,'Fórmula'!J85,46)&lt;&gt;"",INDEX(properties!A$1:CB$87,'Fórmula'!J85,46)))</f>
        <v>0.27492</v>
      </c>
      <c r="ES85" s="124">
        <f t="array" ref="ES85">MAX(INDEX(properties!A$1:CB$87,'Fórmula'!B85,46),INDEX(properties!A$1:CB$87,'Fórmula'!D85,46),INDEX(properties!A$1:CB$87,'Fórmula'!F85,46),INDEX(properties!A$1:CB$87,'Fórmula'!H85,46),INDEX(properties!A$1:CB$87,'Fórmula'!J85,46))</f>
        <v>1.21</v>
      </c>
      <c r="ET85" s="124">
        <f t="array" ref="ET85">MIN(IF(INDEX(properties!A$1:CB$87,'Fórmula'!B85,46)=0,10^6,INDEX(properties!A$1:CB$87,'Fórmula'!B85,46)),IF(INDEX(properties!A$1:CB$87,'Fórmula'!D85,46)=0,10^6,INDEX(properties!A$1:CB$87,'Fórmula'!D85,46)),IF(INDEX(properties!A$1:CB$87,'Fórmula'!F85,46)=0,10^6,INDEX(properties!A$1:CB$87,'Fórmula'!F85,46)),IF(INDEX(properties!A$1:CB$87,'Fórmula'!H85,46)=0,10^6,INDEX(properties!A$1:CB$87,'Fórmula'!H85,46)),IF(INDEX(properties!A$1:CB$87,'Fórmula'!J85,46)=0,10^6,INDEX(properties!A$1:CB$87,'Fórmula'!J85,46)))</f>
        <v>0.31</v>
      </c>
      <c r="EU85" s="113">
        <f t="shared" si="25"/>
        <v>0.9</v>
      </c>
      <c r="EV85" s="114">
        <f t="array" ref="EV85">(('Fórmula'!C85)/('Fórmula'!C85+'Fórmula'!E85+'Fórmula'!G85+'Fórmula'!I85+'Fórmula'!K85))*(INDEX(properties!A$1:CB$87,'Fórmula'!B85,52))+(('Fórmula'!E85)/('Fórmula'!C85+'Fórmula'!E85+'Fórmula'!G85+'Fórmula'!I85+'Fórmula'!K85))*(INDEX(properties!A$1:CB$87,'Fórmula'!D85,52))+(('Fórmula'!G85)/('Fórmula'!C85+'Fórmula'!E85+'Fórmula'!G85+'Fórmula'!I85+'Fórmula'!K85))*(INDEX(properties!A$1:CB$87,'Fórmula'!F85,52))+(('Fórmula'!I85)/('Fórmula'!C85+'Fórmula'!E85+'Fórmula'!G85+'Fórmula'!I85+'Fórmula'!K85))*(INDEX(properties!A$1:CB$87,'Fórmula'!H85,52))+(('Fórmula'!K85)/('Fórmula'!C85+'Fórmula'!E85+'Fórmula'!G85+'Fórmula'!I85+'Fórmula'!K85))*(INDEX(properties!A$1:CB$87,'Fórmula'!J85,52))</f>
        <v>5.045333333</v>
      </c>
      <c r="EW85" s="114">
        <f t="array" ref="EW85">'Fórmula'!C85*(INDEX(properties!A$1:CB$87,'Fórmula'!B85,52))+'Fórmula'!E85*(INDEX(properties!A$1:CB$87,'Fórmula'!D85,52))+'Fórmula'!G85*(INDEX(properties!A$1:CB$87,'Fórmula'!F85,52))+'Fórmula'!I85*(INDEX(properties!A$1:CB$87,'Fórmula'!H85,52))+'Fórmula'!K85*(INDEX(properties!A$1:CB$87,'Fórmula'!J85,52))</f>
        <v>30.272</v>
      </c>
      <c r="EX85" s="114">
        <f t="array" ref="EX85">VARP(IF(INDEX(properties!A$1:CB$87,'Fórmula'!B85,52)&lt;&gt;"",INDEX(properties!A$1:CB$87,'Fórmula'!B85,52)),IF(INDEX(properties!A$1:CB$87,'Fórmula'!D85,52)&lt;&gt;"",INDEX(properties!A$1:CB$87,'Fórmula'!D85,52)),IF(INDEX(properties!A$1:CB$87,'Fórmula'!F85,52)&lt;&gt;"",INDEX(properties!A$1:CB$87,'Fórmula'!F85,52)),IF(INDEX(properties!A$1:CB$87,'Fórmula'!H85,52)&lt;&gt;"",INDEX(properties!A$1:CB$87,'Fórmula'!H85,52)),IF(INDEX(properties!A$1:CB$87,'Fórmula'!J85,52)&lt;&gt;"",INDEX(properties!A$1:CB$87,'Fórmula'!J85,52)))</f>
        <v>82.04699184</v>
      </c>
      <c r="EY85" s="114">
        <f t="array" ref="EY85">MAX(INDEX(properties!A$1:CB$87,'Fórmula'!B85,52),INDEX(properties!A$1:CB$87,'Fórmula'!D85,52),INDEX(properties!A$1:CB$87,'Fórmula'!F85,52),INDEX(properties!A$1:CB$87,'Fórmula'!H85,52),INDEX(properties!A$1:CB$87,'Fórmula'!J85,52))</f>
        <v>23.5</v>
      </c>
      <c r="EZ85" s="114">
        <f t="array" ref="EZ85">MIN(IF(INDEX(properties!A$1:CB$87,'Fórmula'!B85,52)=0,10^6,INDEX(properties!A$1:CB$87,'Fórmula'!B85,52)),IF(INDEX(properties!A$1:CB$87,'Fórmula'!D85,52)=0,10^6,INDEX(properties!A$1:CB$87,'Fórmula'!D85,52)),IF(INDEX(properties!A$1:CB$87,'Fórmula'!F85,52)=0,10^6,INDEX(properties!A$1:CB$87,'Fórmula'!F85,52)),IF(INDEX(properties!A$1:CB$87,'Fórmula'!H85,52)=0,10^6,INDEX(properties!A$1:CB$87,'Fórmula'!H85,52)),IF(INDEX(properties!A$1:CB$87,'Fórmula'!J85,52)=0,10^6,INDEX(properties!A$1:CB$87,'Fórmula'!J85,52)))</f>
        <v>0.793</v>
      </c>
      <c r="FA85" s="114">
        <f t="shared" si="26"/>
        <v>22.707</v>
      </c>
      <c r="FB85" s="115">
        <f t="array" ref="FB85">(('Fórmula'!C85)/('Fórmula'!C85+'Fórmula'!E85+'Fórmula'!G85+'Fórmula'!I85+'Fórmula'!K85))*(INDEX(properties!A$1:CB$87,'Fórmula'!B85,53))+(('Fórmula'!E85)/('Fórmula'!C85+'Fórmula'!E85+'Fórmula'!G85+'Fórmula'!I85+'Fórmula'!K85))*(INDEX(properties!A$1:CB$87,'Fórmula'!D85,53))+(('Fórmula'!G85)/('Fórmula'!C85+'Fórmula'!E85+'Fórmula'!G85+'Fórmula'!I85+'Fórmula'!K85))*(INDEX(properties!A$1:CB$87,'Fórmula'!F85,53))+(('Fórmula'!I85)/('Fórmula'!C85+'Fórmula'!E85+'Fórmula'!G85+'Fórmula'!I85+'Fórmula'!K85))*(INDEX(properties!A$1:CB$87,'Fórmula'!H85,53))+(('Fórmula'!K85)/('Fórmula'!C85+'Fórmula'!E85+'Fórmula'!G85+'Fórmula'!I85+'Fórmula'!K85))*(INDEX(properties!A$1:CB$87,'Fórmula'!J85,53))</f>
        <v>353.7333333</v>
      </c>
      <c r="FC85" s="115">
        <f t="array" ref="FC85">'Fórmula'!C85*(INDEX(properties!A$1:CB$87,'Fórmula'!B85,53))+'Fórmula'!E85*(INDEX(properties!A$1:CB$87,'Fórmula'!D85,53))+'Fórmula'!G85*(INDEX(properties!A$1:CB$87,'Fórmula'!F85,53))+'Fórmula'!I85*(INDEX(properties!A$1:CB$87,'Fórmula'!H85,53))+'Fórmula'!K85*(INDEX(properties!A$1:CB$87,'Fórmula'!J85,53))</f>
        <v>2122.4</v>
      </c>
      <c r="FD85" s="115">
        <f t="array" ref="FD85">VARP(IF(INDEX(properties!A$1:CB$87,'Fórmula'!B85,53)&lt;&gt;"",INDEX(properties!A$1:CB$87,'Fórmula'!B85,53)),IF(INDEX(properties!A$1:CB$87,'Fórmula'!D85,53)&lt;&gt;"",INDEX(properties!A$1:CB$87,'Fórmula'!D85,53)),IF(INDEX(properties!A$1:CB$87,'Fórmula'!F85,53)&lt;&gt;"",INDEX(properties!A$1:CB$87,'Fórmula'!F85,53)),IF(INDEX(properties!A$1:CB$87,'Fórmula'!H85,53)&lt;&gt;"",INDEX(properties!A$1:CB$87,'Fórmula'!H85,53)),IF(INDEX(properties!A$1:CB$87,'Fórmula'!J85,53)&lt;&gt;"",INDEX(properties!A$1:CB$87,'Fórmula'!J85,53)))</f>
        <v>370529.3326</v>
      </c>
      <c r="FE85" s="115">
        <f t="array" ref="FE85">MAX(INDEX(properties!A$1:CB$87,'Fórmula'!B85,53),INDEX(properties!A$1:CB$87,'Fórmula'!D85,53),INDEX(properties!A$1:CB$87,'Fórmula'!F85,53),INDEX(properties!A$1:CB$87,'Fórmula'!H85,53),INDEX(properties!A$1:CB$87,'Fórmula'!J85,53))</f>
        <v>1586.15</v>
      </c>
      <c r="FF85" s="115">
        <f t="array" ref="FF85">MIN(IF(INDEX(properties!A$1:CB$87,'Fórmula'!B85,53)=0,10^6,INDEX(properties!A$1:CB$87,'Fórmula'!B85,53)),IF(INDEX(properties!A$1:CB$87,'Fórmula'!D85,53)=0,10^6,INDEX(properties!A$1:CB$87,'Fórmula'!D85,53)),IF(INDEX(properties!A$1:CB$87,'Fórmula'!F85,53)=0,10^6,INDEX(properties!A$1:CB$87,'Fórmula'!F85,53)),IF(INDEX(properties!A$1:CB$87,'Fórmula'!H85,53)=0,10^6,INDEX(properties!A$1:CB$87,'Fórmula'!H85,53)),IF(INDEX(properties!A$1:CB$87,'Fórmula'!J85,53)=0,10^6,INDEX(properties!A$1:CB$87,'Fórmula'!J85,53)))</f>
        <v>54.75</v>
      </c>
      <c r="FG85" s="115">
        <f t="shared" si="27"/>
        <v>1531.4</v>
      </c>
      <c r="FH85" s="117">
        <f t="array" ref="FH85">(('Fórmula'!C85)/('Fórmula'!C85+'Fórmula'!E85+'Fórmula'!G85+'Fórmula'!I85+'Fórmula'!K85))*(INDEX(properties!A$1:CB$87,'Fórmula'!B85,54))+(('Fórmula'!E85)/('Fórmula'!C85+'Fórmula'!E85+'Fórmula'!G85+'Fórmula'!I85+'Fórmula'!K85))*(INDEX(properties!A$1:CB$87,'Fórmula'!D85,54))+(('Fórmula'!G85)/('Fórmula'!C85+'Fórmula'!E85+'Fórmula'!G85+'Fórmula'!I85+'Fórmula'!K85))*(INDEX(properties!A$1:CB$87,'Fórmula'!F85,54))+(('Fórmula'!I85)/('Fórmula'!C85+'Fórmula'!E85+'Fórmula'!G85+'Fórmula'!I85+'Fórmula'!K85))*(INDEX(properties!A$1:CB$87,'Fórmula'!H85,54))+(('Fórmula'!K85)/('Fórmula'!C85+'Fórmula'!E85+'Fórmula'!G85+'Fórmula'!I85+'Fórmula'!K85))*(INDEX(properties!A$1:CB$87,'Fórmula'!J85,54))</f>
        <v>743.3166667</v>
      </c>
      <c r="FI85" s="117">
        <f t="array" ref="FI85">'Fórmula'!C85*(INDEX(properties!A$1:CB$87,'Fórmula'!B85,54))+'Fórmula'!E85*(INDEX(properties!A$1:CB$87,'Fórmula'!D85,54))+'Fórmula'!G85*(INDEX(properties!A$1:CB$87,'Fórmula'!F85,54))+'Fórmula'!I85*(INDEX(properties!A$1:CB$87,'Fórmula'!H85,54))+'Fórmula'!K85*(INDEX(properties!A$1:CB$87,'Fórmula'!J85,54))</f>
        <v>4459.9</v>
      </c>
      <c r="FJ85" s="117">
        <f t="array" ref="FJ85">VARP(IF(INDEX(properties!A$1:CB$87,'Fórmula'!B85,54)&lt;&gt;"",INDEX(properties!A$1:CB$87,'Fórmula'!B85,54)),IF(INDEX(properties!A$1:CB$87,'Fórmula'!D85,54)&lt;&gt;"",INDEX(properties!A$1:CB$87,'Fórmula'!D85,54)),IF(INDEX(properties!A$1:CB$87,'Fórmula'!F85,54)&lt;&gt;"",INDEX(properties!A$1:CB$87,'Fórmula'!F85,54)),IF(INDEX(properties!A$1:CB$87,'Fórmula'!H85,54)&lt;&gt;"",INDEX(properties!A$1:CB$87,'Fórmula'!H85,54)),IF(INDEX(properties!A$1:CB$87,'Fórmula'!J85,54)&lt;&gt;"",INDEX(properties!A$1:CB$87,'Fórmula'!J85,54)))</f>
        <v>1875796.701</v>
      </c>
      <c r="FK85" s="117">
        <f t="array" ref="FK85">MAX(INDEX(properties!A$1:CB$87,'Fórmula'!B85,54),INDEX(properties!A$1:CB$87,'Fórmula'!D85,54),INDEX(properties!A$1:CB$87,'Fórmula'!F85,54),INDEX(properties!A$1:CB$87,'Fórmula'!H85,54),INDEX(properties!A$1:CB$87,'Fórmula'!J85,54))</f>
        <v>3546.15</v>
      </c>
      <c r="FL85" s="117">
        <f t="array" ref="FL85">MIN(IF(INDEX(properties!A$1:CB$87,'Fórmula'!B85,54)=0,10^6,INDEX(properties!A$1:CB$87,'Fórmula'!B85,54)),IF(INDEX(properties!A$1:CB$87,'Fórmula'!D85,54)=0,10^6,INDEX(properties!A$1:CB$87,'Fórmula'!D85,54)),IF(INDEX(properties!A$1:CB$87,'Fórmula'!F85,54)=0,10^6,INDEX(properties!A$1:CB$87,'Fórmula'!F85,54)),IF(INDEX(properties!A$1:CB$87,'Fórmula'!H85,54)=0,10^6,INDEX(properties!A$1:CB$87,'Fórmula'!H85,54)),IF(INDEX(properties!A$1:CB$87,'Fórmula'!J85,54)=0,10^6,INDEX(properties!A$1:CB$87,'Fórmula'!J85,54)))</f>
        <v>90.15</v>
      </c>
      <c r="FM85" s="117">
        <f t="shared" si="28"/>
        <v>3456</v>
      </c>
      <c r="FN85" s="118">
        <f t="array" ref="FN85">(('Fórmula'!C85)/('Fórmula'!C85+'Fórmula'!E85+'Fórmula'!G85+'Fórmula'!I85+'Fórmula'!K85))*(INDEX(properties!A$1:CB$87,'Fórmula'!B85,55))+(('Fórmula'!E85)/('Fórmula'!C85+'Fórmula'!E85+'Fórmula'!G85+'Fórmula'!I85+'Fórmula'!K85))*(INDEX(properties!A$1:CB$87,'Fórmula'!D85,55))+(('Fórmula'!G85)/('Fórmula'!C85+'Fórmula'!E85+'Fórmula'!G85+'Fórmula'!I85+'Fórmula'!K85))*(INDEX(properties!A$1:CB$87,'Fórmula'!F85,55))+(('Fórmula'!I85)/('Fórmula'!C85+'Fórmula'!E85+'Fórmula'!G85+'Fórmula'!I85+'Fórmula'!K85))*(INDEX(properties!A$1:CB$87,'Fórmula'!H85,55))+(('Fórmula'!K85)/('Fórmula'!C85+'Fórmula'!E85+'Fórmula'!G85+'Fórmula'!I85+'Fórmula'!K85))*(INDEX(properties!A$1:CB$87,'Fórmula'!J85,55))</f>
        <v>1.620953333</v>
      </c>
      <c r="FO85" s="118">
        <f t="array" ref="FO85">'Fórmula'!C85*(INDEX(properties!A$1:CB$87,'Fórmula'!B85,55))+'Fórmula'!E85*(INDEX(properties!A$1:CB$87,'Fórmula'!D85,54))+'Fórmula'!G85*(INDEX(properties!A$1:CB$87,'Fórmula'!F85,55))+'Fórmula'!I85*(INDEX(properties!A$1:CB$87,'Fórmula'!H85,55))+'Fórmula'!K85*(INDEX(properties!A$1:CB$87,'Fórmula'!J85,55))</f>
        <v>561.05572</v>
      </c>
      <c r="FP85" s="118">
        <f t="array" ref="FP85">VARP(IF(INDEX(properties!A$1:CB$87,'Fórmula'!B85,55)&lt;&gt;"",INDEX(properties!A$1:CB$87,'Fórmula'!B85,55)),IF(INDEX(properties!A$1:CB$87,'Fórmula'!D85,55)&lt;&gt;"",INDEX(properties!A$1:CB$87,'Fórmula'!D85,55)),IF(INDEX(properties!A$1:CB$87,'Fórmula'!F85,55)&lt;&gt;"",INDEX(properties!A$1:CB$87,'Fórmula'!F85,55)),IF(INDEX(properties!A$1:CB$87,'Fórmula'!H85,55)&lt;&gt;"",INDEX(properties!A$1:CB$87,'Fórmula'!H85,55)),IF(INDEX(properties!A$1:CB$87,'Fórmula'!J85,55)&lt;&gt;"",INDEX(properties!A$1:CB$87,'Fórmula'!J85,55)))</f>
        <v>9.364232359</v>
      </c>
      <c r="FQ85" s="118">
        <f t="array" ref="FQ85">MAX(INDEX(properties!A$1:CB$87,'Fórmula'!B85,55),INDEX(properties!A$1:CB$87,'Fórmula'!D85,55),INDEX(properties!A$1:CB$87,'Fórmula'!F85,55),INDEX(properties!A$1:CB$87,'Fórmula'!H85,55),INDEX(properties!A$1:CB$87,'Fórmula'!J85,55))</f>
        <v>7.9</v>
      </c>
      <c r="FR85" s="118">
        <f t="array" ref="FR85">MIN(IF(INDEX(properties!A$1:CB$87,'Fórmula'!B85,55)=0,10^6,INDEX(properties!A$1:CB$87,'Fórmula'!B85,55)),IF(INDEX(properties!A$1:CB$87,'Fórmula'!D85,55)=0,10^6,INDEX(properties!A$1:CB$87,'Fórmula'!D85,55)),IF(INDEX(properties!A$1:CB$87,'Fórmula'!F85,55)=0,10^6,INDEX(properties!A$1:CB$87,'Fórmula'!F85,55)),IF(INDEX(properties!A$1:CB$87,'Fórmula'!H85,55)=0,10^6,INDEX(properties!A$1:CB$87,'Fórmula'!H85,55)),IF(INDEX(properties!A$1:CB$87,'Fórmula'!J85,55)=0,10^6,INDEX(properties!A$1:CB$87,'Fórmula'!J85,55)))</f>
        <v>0.00143</v>
      </c>
      <c r="FS85" s="118">
        <f t="shared" si="29"/>
        <v>7.89857</v>
      </c>
      <c r="FT85" s="119">
        <f t="array" ref="FT85">(('Fórmula'!C85)/('Fórmula'!C85+'Fórmula'!E85+'Fórmula'!G85+'Fórmula'!I85+'Fórmula'!K85))*(INDEX(properties!A$1:CB$87,'Fórmula'!B85,56))+(('Fórmula'!E85)/('Fórmula'!C85+'Fórmula'!E85+'Fórmula'!G85+'Fórmula'!I85+'Fórmula'!K85))*(INDEX(properties!A$1:CB$87,'Fórmula'!D85,56))+(('Fórmula'!G85)/('Fórmula'!C85+'Fórmula'!E85+'Fórmula'!G85+'Fórmula'!I85+'Fórmula'!K85))*(INDEX(properties!A$1:CB$87,'Fórmula'!F85,56))+(('Fórmula'!I85)/('Fórmula'!C85+'Fórmula'!E85+'Fórmula'!G85+'Fórmula'!I85+'Fórmula'!K85))*(INDEX(properties!A$1:CB$87,'Fórmula'!H85,56))+(('Fórmula'!K85)/('Fórmula'!C85+'Fórmula'!E85+'Fórmula'!G85+'Fórmula'!I85+'Fórmula'!K85))*(INDEX(properties!A$1:CB$87,'Fórmula'!J85,56))</f>
        <v>0.78</v>
      </c>
      <c r="FU85" s="119">
        <f t="array" ref="FU85">'Fórmula'!C85*(INDEX(properties!A$1:CB$87,'Fórmula'!B85,56))+'Fórmula'!E85*(INDEX(properties!A$1:CB$87,'Fórmula'!D85,56))+'Fórmula'!G85*(INDEX(properties!A$1:CB$87,'Fórmula'!F85,56))+'Fórmula'!I85*(INDEX(properties!A$1:CB$87,'Fórmula'!H85,56))+'Fórmula'!K85*(INDEX(properties!A$1:CB$87,'Fórmula'!J85,56))</f>
        <v>4.68</v>
      </c>
      <c r="FV85" s="119">
        <f t="array" ref="FV85">VARP(IF(INDEX(properties!A$1:CB$87,'Fórmula'!B85,56)&lt;&gt;"",INDEX(properties!A$1:CB$87,'Fórmula'!B85,56)),IF(INDEX(properties!A$1:CB$87,'Fórmula'!D85,56)&lt;&gt;"",INDEX(properties!A$1:CB$87,'Fórmula'!D85,56)),IF(INDEX(properties!A$1:CB$87,'Fórmula'!F85,56)&lt;&gt;"",INDEX(properties!A$1:CB$87,'Fórmula'!F85,56)),IF(INDEX(properties!A$1:CB$87,'Fórmula'!H85,56)&lt;&gt;"",INDEX(properties!A$1:CB$87,'Fórmula'!H85,56)),IF(INDEX(properties!A$1:CB$87,'Fórmula'!J85,56)&lt;&gt;"",INDEX(properties!A$1:CB$87,'Fórmula'!J85,56)))</f>
        <v>0.150984</v>
      </c>
      <c r="FW85" s="119">
        <f t="array" ref="FW85">MAX(INDEX(properties!A$1:CB$87,'Fórmula'!B85,56),INDEX(properties!A$1:CB$87,'Fórmula'!D85,56),INDEX(properties!A$1:CB$87,'Fórmula'!F85,56),INDEX(properties!A$1:CB$87,'Fórmula'!H85,56),INDEX(properties!A$1:CB$87,'Fórmula'!J85,56))</f>
        <v>0.92</v>
      </c>
      <c r="FX85" s="119">
        <f t="array" ref="FX85">MIN(IF(INDEX(properties!A$1:CB$87,'Fórmula'!B85,56)=0,10^6,INDEX(properties!A$1:CB$87,'Fórmula'!B85,56)),IF(INDEX(properties!A$1:CB$87,'Fórmula'!D85,56)=0,10^6,INDEX(properties!A$1:CB$87,'Fórmula'!D85,56)),IF(INDEX(properties!A$1:CB$87,'Fórmula'!F85,56)=0,10^6,INDEX(properties!A$1:CB$87,'Fórmula'!F85,56)),IF(INDEX(properties!A$1:CB$87,'Fórmula'!H85,56)=0,10^6,INDEX(properties!A$1:CB$87,'Fórmula'!H85,56)),IF(INDEX(properties!A$1:CB$87,'Fórmula'!J85,56)=0,10^6,INDEX(properties!A$1:CB$87,'Fórmula'!J85,56)))</f>
        <v>0.23</v>
      </c>
      <c r="FY85" s="119">
        <f t="shared" si="30"/>
        <v>0.69</v>
      </c>
      <c r="FZ85" s="104">
        <f t="array" ref="FZ85">(('Fórmula'!C85)/('Fórmula'!C85+'Fórmula'!E85+'Fórmula'!G85+'Fórmula'!I85+'Fórmula'!K85))*(INDEX(properties!A$1:CB$87,'Fórmula'!B85,57))+(('Fórmula'!E85)/('Fórmula'!C85+'Fórmula'!E85+'Fórmula'!G85+'Fórmula'!I85+'Fórmula'!K85))*(INDEX(properties!A$1:CB$87,'Fórmula'!D85,57))+(('Fórmula'!G85)/('Fórmula'!C85+'Fórmula'!E85+'Fórmula'!G85+'Fórmula'!I85+'Fórmula'!K85))*(INDEX(properties!A$1:CB$87,'Fórmula'!F85,57))+(('Fórmula'!I85)/('Fórmula'!C85+'Fórmula'!E85+'Fórmula'!G85+'Fórmula'!I85+'Fórmula'!K85))*(INDEX(properties!A$1:CB$87,'Fórmula'!H85,57))+(('Fórmula'!K85)/('Fórmula'!C85+'Fórmula'!E85+'Fórmula'!G85+'Fórmula'!I85+'Fórmula'!K85))*(INDEX(properties!A$1:CB$87,'Fórmula'!J85,57))</f>
        <v>1.932893333</v>
      </c>
      <c r="GA85" s="104">
        <f t="array" ref="GA85">'Fórmula'!C85*(INDEX(properties!A$1:CB$87,'Fórmula'!B85,57))+'Fórmula'!E85*(INDEX(properties!A$1:CB$87,'Fórmula'!D85,57))+'Fórmula'!G85*(INDEX(properties!A$1:CB$87,'Fórmula'!F85,57))+'Fórmula'!I85*(INDEX(properties!A$1:CB$87,'Fórmula'!H85,57))+'Fórmula'!K85*(INDEX(properties!A$1:CB$87,'Fórmula'!J85,57))</f>
        <v>11.59736</v>
      </c>
      <c r="GB85" s="104">
        <f t="array" ref="GB85">VARP(IF(INDEX(properties!A$1:CB$87,'Fórmula'!B85,57)&lt;&gt;"",INDEX(properties!A$1:CB$87,'Fórmula'!B85,57)),IF(INDEX(properties!A$1:CB$87,'Fórmula'!D85,57)&lt;&gt;"",INDEX(properties!A$1:CB$87,'Fórmula'!D85,57)),IF(INDEX(properties!A$1:CB$87,'Fórmula'!F85,57)&lt;&gt;"",INDEX(properties!A$1:CB$87,'Fórmula'!F85,57)),IF(INDEX(properties!A$1:CB$87,'Fórmula'!H85,57)&lt;&gt;"",INDEX(properties!A$1:CB$87,'Fórmula'!H85,57)),IF(INDEX(properties!A$1:CB$87,'Fórmula'!J85,57)&lt;&gt;"",INDEX(properties!A$1:CB$87,'Fórmula'!J85,57)))</f>
        <v>15.51850156</v>
      </c>
      <c r="GC85" s="104">
        <f t="array" ref="GC85">MAX(INDEX(properties!A$1:CB$87,'Fórmula'!B85,57),INDEX(properties!A$1:CB$87,'Fórmula'!D85,57),INDEX(properties!A$1:CB$87,'Fórmula'!F85,57),INDEX(properties!A$1:CB$87,'Fórmula'!H85,57),INDEX(properties!A$1:CB$87,'Fórmula'!J85,57))</f>
        <v>10.05</v>
      </c>
      <c r="GD85" s="104">
        <f t="array" ref="GD85">MIN(IF(INDEX(properties!A$1:CB$87,'Fórmula'!B85,57)=0,10^6,INDEX(properties!A$1:CB$87,'Fórmula'!B85,57)),IF(INDEX(properties!A$1:CB$87,'Fórmula'!D85,57)=0,10^6,INDEX(properties!A$1:CB$87,'Fórmula'!D85,57)),IF(INDEX(properties!A$1:CB$87,'Fórmula'!F85,57)=0,10^6,INDEX(properties!A$1:CB$87,'Fórmula'!F85,57)),IF(INDEX(properties!A$1:CB$87,'Fórmula'!H85,57)=0,10^6,INDEX(properties!A$1:CB$87,'Fórmula'!H85,57)),IF(INDEX(properties!A$1:CB$87,'Fórmula'!J85,57)=0,10^6,INDEX(properties!A$1:CB$87,'Fórmula'!J85,57)))</f>
        <v>0.22259</v>
      </c>
      <c r="GE85" s="104">
        <f t="shared" si="31"/>
        <v>9.82741</v>
      </c>
      <c r="GF85" s="105">
        <f t="array" ref="GF85">(('Fórmula'!C85)/('Fórmula'!C85+'Fórmula'!E85+'Fórmula'!G85+'Fórmula'!I85+'Fórmula'!K85))*(INDEX(properties!A$1:CB$87,'Fórmula'!B85,60))+(('Fórmula'!E85)/('Fórmula'!C85+'Fórmula'!E85+'Fórmula'!G85+'Fórmula'!I85+'Fórmula'!K85))*(INDEX(properties!A$1:CB$87,'Fórmula'!D85,60))+(('Fórmula'!G85)/('Fórmula'!C85+'Fórmula'!E85+'Fórmula'!G85+'Fórmula'!I85+'Fórmula'!K85))*(INDEX(properties!A$1:CB$87,'Fórmula'!F85,60))+(('Fórmula'!I85)/('Fórmula'!C85+'Fórmula'!E85+'Fórmula'!G85+'Fórmula'!I85+'Fórmula'!K85))*(INDEX(properties!A$1:CB$87,'Fórmula'!H85,60))+(('Fórmula'!K85)/('Fórmula'!C85+'Fórmula'!E85+'Fórmula'!G85+'Fórmula'!I85+'Fórmula'!K85))*(INDEX(properties!A$1:CB$87,'Fórmula'!J85,60))</f>
        <v>1.82366</v>
      </c>
      <c r="GG85" s="105">
        <f t="array" ref="GG85">'Fórmula'!C85*(INDEX(properties!A$1:CB$87,'Fórmula'!B85,60))+'Fórmula'!E85*(INDEX(properties!A$1:CB$87,'Fórmula'!D85,60))+'Fórmula'!G85*(INDEX(properties!A$1:CB$87,'Fórmula'!F85,60))+'Fórmula'!I85*(INDEX(properties!A$1:CB$87,'Fórmula'!H85,60))+'Fórmula'!K85*(INDEX(properties!A$1:CB$87,'Fórmula'!J85,60))</f>
        <v>10.94196</v>
      </c>
      <c r="GH85" s="105">
        <f t="array" ref="GH85">VARP(IF(INDEX(properties!A$1:CB$87,'Fórmula'!B85,60)&lt;&gt;"",INDEX(properties!A$1:CB$87,'Fórmula'!B85,60)),IF(INDEX(properties!A$1:CB$87,'Fórmula'!D85,60)&lt;&gt;"",INDEX(properties!A$1:CB$87,'Fórmula'!D85,60)),IF(INDEX(properties!A$1:CB$87,'Fórmula'!F85,60)&lt;&gt;"",INDEX(properties!A$1:CB$87,'Fórmula'!F85,60)),IF(INDEX(properties!A$1:CB$87,'Fórmula'!H85,60)&lt;&gt;"",INDEX(properties!A$1:CB$87,'Fórmula'!H85,60)),IF(INDEX(properties!A$1:CB$87,'Fórmula'!J85,60)&lt;&gt;"",INDEX(properties!A$1:CB$87,'Fórmula'!J85,60)))</f>
        <v>17.76409217</v>
      </c>
      <c r="GI85" s="105">
        <f t="array" ref="GI85">MAX(INDEX(properties!A$1:CB$87,'Fórmula'!B85,60),INDEX(properties!A$1:CB$87,'Fórmula'!D85,60),INDEX(properties!A$1:CB$87,'Fórmula'!F85,60),INDEX(properties!A$1:CB$87,'Fórmula'!H85,60),INDEX(properties!A$1:CB$87,'Fórmula'!J85,60))</f>
        <v>10.6</v>
      </c>
      <c r="GJ85" s="105">
        <f t="array" ref="GJ85">MIN(IF(INDEX(properties!A$1:CB$87,'Fórmula'!B85,60)=0,10^6,INDEX(properties!A$1:CB$87,'Fórmula'!B85,60)),IF(INDEX(properties!A$1:CB$87,'Fórmula'!D85,60)=0,10^6,INDEX(properties!A$1:CB$87,'Fórmula'!D85,60)),IF(INDEX(properties!A$1:CB$87,'Fórmula'!F85,60)=0,10^6,INDEX(properties!A$1:CB$87,'Fórmula'!F85,60)),IF(INDEX(properties!A$1:CB$87,'Fórmula'!H85,60)=0,10^6,INDEX(properties!A$1:CB$87,'Fórmula'!H85,60)),IF(INDEX(properties!A$1:CB$87,'Fórmula'!J85,60)=0,10^6,INDEX(properties!A$1:CB$87,'Fórmula'!J85,60)))</f>
        <v>0.02674</v>
      </c>
      <c r="GK85" s="105">
        <f t="shared" si="32"/>
        <v>10.57326</v>
      </c>
      <c r="GL85" s="106">
        <f t="array" ref="GL85">(('Fórmula'!C85)/('Fórmula'!C85+'Fórmula'!E85+'Fórmula'!G85+'Fórmula'!I85+'Fórmula'!K85))*(INDEX(properties!A$1:CB$87,'Fórmula'!B85,62))+(('Fórmula'!E85)/('Fórmula'!C85+'Fórmula'!E85+'Fórmula'!G85+'Fórmula'!I85+'Fórmula'!K85))*(INDEX(properties!A$1:CB$87,'Fórmula'!D85,62))+(('Fórmula'!G85)/('Fórmula'!C85+'Fórmula'!E85+'Fórmula'!G85+'Fórmula'!I85+'Fórmula'!K85))*(INDEX(properties!A$1:CB$87,'Fórmula'!F85,62))+(('Fórmula'!I85)/('Fórmula'!C85+'Fórmula'!E85+'Fórmula'!G85+'Fórmula'!I85+'Fórmula'!K85))*(INDEX(properties!A$1:CB$87,'Fórmula'!H85,62))+(('Fórmula'!K85)/('Fórmula'!C85+'Fórmula'!E85+'Fórmula'!G85+'Fórmula'!I85+'Fórmula'!K85))*(INDEX(properties!A$1:CB$87,'Fórmula'!J85,62))</f>
        <v>3.008333333</v>
      </c>
      <c r="GM85" s="106">
        <f t="array" ref="GM85">'Fórmula'!C85*(INDEX(properties!A$1:CB$87,'Fórmula'!B85,62))+'Fórmula'!E85*(INDEX(properties!A$1:CB$87,'Fórmula'!D85,62))+'Fórmula'!G85*(INDEX(properties!A$1:CB$87,'Fórmula'!F85,62))+'Fórmula'!I85*(INDEX(properties!A$1:CB$87,'Fórmula'!H85,62))+'Fórmula'!K85*(INDEX(properties!A$1:CB$87,'Fórmula'!J85,62))</f>
        <v>18.05</v>
      </c>
      <c r="GN85" s="106">
        <f t="array" ref="GN85">VARP(IF(INDEX(properties!A$1:CB$87,'Fórmula'!B85,62)&lt;&gt;"",INDEX(properties!A$1:CB$87,'Fórmula'!B85,62)),IF(INDEX(properties!A$1:CB$87,'Fórmula'!D85,62)&lt;&gt;"",INDEX(properties!A$1:CB$87,'Fórmula'!D85,62)),IF(INDEX(properties!A$1:CB$87,'Fórmula'!F85,62)&lt;&gt;"",INDEX(properties!A$1:CB$87,'Fórmula'!F85,62)),IF(INDEX(properties!A$1:CB$87,'Fórmula'!H85,62)&lt;&gt;"",INDEX(properties!A$1:CB$87,'Fórmula'!H85,62)),IF(INDEX(properties!A$1:CB$87,'Fórmula'!J85,62)&lt;&gt;"",INDEX(properties!A$1:CB$87,'Fórmula'!J85,62)))</f>
        <v>3.000336</v>
      </c>
      <c r="GO85" s="106">
        <f t="array" ref="GO85">MAX(INDEX(properties!A$1:CB$87,'Fórmula'!B85,62),INDEX(properties!A$1:CB$87,'Fórmula'!D85,62),INDEX(properties!A$1:CB$87,'Fórmula'!F85,62),INDEX(properties!A$1:CB$87,'Fórmula'!H85,62),INDEX(properties!A$1:CB$87,'Fórmula'!J85,62))</f>
        <v>4.14</v>
      </c>
      <c r="GP85" s="106">
        <f t="array" ref="GP85">MIN(IF(INDEX(properties!A$1:CB$87,'Fórmula'!B85,62)=0,10^6,INDEX(properties!A$1:CB$87,'Fórmula'!B85,62)),IF(INDEX(properties!A$1:CB$87,'Fórmula'!D85,62)=0,10^6,INDEX(properties!A$1:CB$87,'Fórmula'!D85,62)),IF(INDEX(properties!A$1:CB$87,'Fórmula'!F85,62)=0,10^6,INDEX(properties!A$1:CB$87,'Fórmula'!F85,62)),IF(INDEX(properties!A$1:CB$87,'Fórmula'!H85,62)=0,10^6,INDEX(properties!A$1:CB$87,'Fórmula'!H85,62)),IF(INDEX(properties!A$1:CB$87,'Fórmula'!J85,62)=0,10^6,INDEX(properties!A$1:CB$87,'Fórmula'!J85,62)))</f>
        <v>2.62</v>
      </c>
      <c r="GQ85" s="106">
        <f t="shared" si="33"/>
        <v>1.52</v>
      </c>
      <c r="GR85" s="106">
        <f>'Fórmula'!Q85</f>
        <v>14</v>
      </c>
      <c r="GS85" s="107">
        <f>'Fórmula'!P85</f>
        <v>6</v>
      </c>
      <c r="GT85" s="113">
        <f>'Fórmula'!O85</f>
        <v>5.98</v>
      </c>
      <c r="GU85" s="114">
        <f>AVERAGE('Fórmula'!R85/'Fórmula'!S85,'Fórmula'!S85/'Fórmula'!T85,'Fórmula'!T85/'Fórmula'!R85)</f>
        <v>30838.25181</v>
      </c>
      <c r="GV85" s="125">
        <f>'Fórmula'!U85</f>
        <v>280</v>
      </c>
      <c r="GW85" s="106">
        <f>'Fórmula'!N85</f>
        <v>0.07</v>
      </c>
    </row>
    <row r="86" ht="14.25" customHeight="1">
      <c r="A86" s="99" t="str">
        <f>'Fórmula'!A86</f>
        <v>KBaYB2O6</v>
      </c>
      <c r="B86" s="101">
        <f t="array" ref="B86">(('Fórmula'!C86)/('Fórmula'!C86+'Fórmula'!E86+'Fórmula'!G86+'Fórmula'!I86+'Fórmula'!K86))*(INDEX(properties!A$1:CB$87,'Fórmula'!B86,3))+(('Fórmula'!E86)/('Fórmula'!C86+'Fórmula'!E86+'Fórmula'!G86+'Fórmula'!I86+'Fórmula'!K86))*(INDEX(properties!A$1:CB$87,'Fórmula'!D86,3))+(('Fórmula'!G86)/('Fórmula'!C86+'Fórmula'!E86+'Fórmula'!G86+'Fórmula'!I86+'Fórmula'!K86))*(INDEX(properties!A$1:CB$87,'Fórmula'!F86,3))+(('Fórmula'!I86)/('Fórmula'!C86+'Fórmula'!E86+'Fórmula'!G86+'Fórmula'!I86+'Fórmula'!K86))*(INDEX(properties!A$1:CB$87,'Fórmula'!H86,3))+(('Fórmula'!K86)/('Fórmula'!C86+'Fórmula'!E86+'Fórmula'!G86+'Fórmula'!I86+'Fórmula'!K86))*(INDEX(properties!A$1:CB$87,'Fórmula'!J86,3))</f>
        <v>34.81359455</v>
      </c>
      <c r="C86" s="101">
        <f t="array" ref="C86">'Fórmula'!C86*(INDEX(properties!A$1:CB$87,'Fórmula'!B86,3))+'Fórmula'!E86*(INDEX(properties!A$1:CB$87,'Fórmula'!D86,3))+'Fórmula'!G86*(INDEX(properties!A$1:CB$87,'Fórmula'!F86,3))+'Fórmula'!I86*(INDEX(properties!A$1:CB$87,'Fórmula'!H86,3))+'Fórmula'!K86*(INDEX(properties!A$1:CB$87,'Fórmula'!J86,3))</f>
        <v>382.94954</v>
      </c>
      <c r="D86" s="101">
        <f t="array" ref="D86">VARP(IF(INDEX(properties!A$1:CB$87,'Fórmula'!B86,3)&lt;&gt;"",INDEX(properties!A$1:CB$87,'Fórmula'!B86,3)),IF(INDEX(properties!A$1:CB$87,'Fórmula'!D86,3)&lt;&gt;"",INDEX(properties!A$1:CB$87,'Fórmula'!D86,3)),IF(INDEX(properties!A$1:CB$87,'Fórmula'!F86,3)&lt;&gt;"",INDEX(properties!A$1:CB$87,'Fórmula'!F86,3)),IF(INDEX(properties!A$1:CB$87,'Fórmula'!H86,3)&lt;&gt;"",INDEX(properties!A$1:CB$87,'Fórmula'!H86,3)),IF(INDEX(properties!A$1:CB$87,'Fórmula'!J86,3)&lt;&gt;"",INDEX(properties!A$1:CB$87,'Fórmula'!J86,3)))</f>
        <v>2319.030604</v>
      </c>
      <c r="E86" s="101">
        <f t="array" ref="E86">MAX(INDEX(properties!A$1:CB$87,'Fórmula'!B86,3),INDEX(properties!A$1:CB$87,'Fórmula'!D86,3),INDEX(properties!A$1:CB$87,'Fórmula'!F86,3),INDEX(properties!A$1:CB$87,'Fórmula'!H86,3),INDEX(properties!A$1:CB$87,'Fórmula'!J86,3))</f>
        <v>137.327</v>
      </c>
      <c r="F86" s="101">
        <f t="array" ref="F86">MIN(IF(INDEX(properties!A$1:CB$87,'Fórmula'!B86,3)=0,10^6,INDEX(properties!A$1:CB$87,'Fórmula'!B86,3)),IF(INDEX(properties!A$1:CB$87,'Fórmula'!D86,3)=0,10^6,INDEX(properties!A$1:CB$87,'Fórmula'!D86,3)),IF(INDEX(properties!A$1:CB$87,'Fórmula'!F86,3)=0,10^6,INDEX(properties!A$1:CB$87,'Fórmula'!F86,3)),IF(INDEX(properties!A$1:CB$87,'Fórmula'!H86,3)=0,10^6,INDEX(properties!A$1:CB$87,'Fórmula'!H86,3)),IF(INDEX(properties!A$1:CB$87,'Fórmula'!J86,3)=0,10^6,INDEX(properties!A$1:CB$87,'Fórmula'!J86,3)))</f>
        <v>10.811</v>
      </c>
      <c r="G86" s="101">
        <f t="shared" si="1"/>
        <v>126.516</v>
      </c>
      <c r="H86" s="102">
        <f t="array" ref="H86">(('Fórmula'!C86)/('Fórmula'!C86+'Fórmula'!E86+'Fórmula'!G86+'Fórmula'!I86+'Fórmula'!K86))*(INDEX(properties!A$1:CB$87,'Fórmula'!B86,4))+(('Fórmula'!E86)/('Fórmula'!C86+'Fórmula'!E86+'Fórmula'!G86+'Fórmula'!I86+'Fórmula'!K86))*(INDEX(properties!A$1:CB$87,'Fórmula'!D86,4))+(('Fórmula'!G86)/('Fórmula'!C86+'Fórmula'!E86+'Fórmula'!G86+'Fórmula'!I86+'Fórmula'!K86))*(INDEX(properties!A$1:CB$87,'Fórmula'!F86,4))+(('Fórmula'!I86)/('Fórmula'!C86+'Fórmula'!E86+'Fórmula'!G86+'Fórmula'!I86+'Fórmula'!K86))*(INDEX(properties!A$1:CB$87,'Fórmula'!H86,4))+(('Fórmula'!K86)/('Fórmula'!C86+'Fórmula'!E86+'Fórmula'!G86+'Fórmula'!I86+'Fórmula'!K86))*(INDEX(properties!A$1:CB$87,'Fórmula'!J86,4))</f>
        <v>15.63636364</v>
      </c>
      <c r="I86" s="102">
        <f t="array" ref="I86">'Fórmula'!C86*(INDEX(properties!A$1:CB$87,'Fórmula'!B86,4))+'Fórmula'!E86*(INDEX(properties!A$1:CB$87,'Fórmula'!D86,4))+'Fórmula'!G86*(INDEX(properties!A$1:CB$87,'Fórmula'!F86,4))+'Fórmula'!I86*(INDEX(properties!A$1:CB$87,'Fórmula'!H86,4))+'Fórmula'!K86*(INDEX(properties!A$1:CB$87,'Fórmula'!J86,4))</f>
        <v>172</v>
      </c>
      <c r="J86" s="102">
        <f t="array" ref="J86">VARP(IF(INDEX(properties!A$1:CB$87,'Fórmula'!B86,4)&lt;&gt;"",INDEX(properties!A$1:CB$87,'Fórmula'!B86,4)),IF(INDEX(properties!A$1:CB$87,'Fórmula'!D86,4)&lt;&gt;"",INDEX(properties!A$1:CB$87,'Fórmula'!D86,4)),IF(INDEX(properties!A$1:CB$87,'Fórmula'!F86,4)&lt;&gt;"",INDEX(properties!A$1:CB$87,'Fórmula'!F86,4)),IF(INDEX(properties!A$1:CB$87,'Fórmula'!H86,4)&lt;&gt;"",INDEX(properties!A$1:CB$87,'Fórmula'!H86,4)),IF(INDEX(properties!A$1:CB$87,'Fórmula'!J86,4)&lt;&gt;"",INDEX(properties!A$1:CB$87,'Fórmula'!J86,4)))</f>
        <v>376.24</v>
      </c>
      <c r="K86" s="102">
        <f t="array" ref="K86">MAX(INDEX(properties!A$1:CB$87,'Fórmula'!B86,4),INDEX(properties!A$1:CB$87,'Fórmula'!D86,4),INDEX(properties!A$1:CB$87,'Fórmula'!F86,4),INDEX(properties!A$1:CB$87,'Fórmula'!H86,4),INDEX(properties!A$1:CB$87,'Fórmula'!J86,4))</f>
        <v>56</v>
      </c>
      <c r="L86" s="102">
        <f t="array" ref="L86">MIN(IF(INDEX(properties!A$1:CB$87,'Fórmula'!B86,4)=0,10^6,INDEX(properties!A$1:CB$87,'Fórmula'!B86,4)),IF(INDEX(properties!A$1:CB$87,'Fórmula'!D86,4)=0,10^6,INDEX(properties!A$1:CB$87,'Fórmula'!D86,4)),IF(INDEX(properties!A$1:CB$87,'Fórmula'!F86,4)=0,10^6,INDEX(properties!A$1:CB$87,'Fórmula'!F86,4)),IF(INDEX(properties!A$1:CB$87,'Fórmula'!H86,4)=0,10^6,INDEX(properties!A$1:CB$87,'Fórmula'!H86,4)),IF(INDEX(properties!A$1:CB$87,'Fórmula'!J86,4)=0,10^6,INDEX(properties!A$1:CB$87,'Fórmula'!J86,4)))</f>
        <v>5</v>
      </c>
      <c r="M86" s="102">
        <f t="shared" si="2"/>
        <v>51</v>
      </c>
      <c r="N86" s="103">
        <f t="array" ref="N86">(('Fórmula'!C86)/('Fórmula'!C86+'Fórmula'!E86+'Fórmula'!G86+'Fórmula'!I86+'Fórmula'!K86))*(INDEX(properties!A$1:CB$87,'Fórmula'!B86,5))+(('Fórmula'!E86)/('Fórmula'!C86+'Fórmula'!E86+'Fórmula'!G86+'Fórmula'!I86+'Fórmula'!K86))*(INDEX(properties!A$1:CB$87,'Fórmula'!D86,5))+(('Fórmula'!G86)/('Fórmula'!C86+'Fórmula'!E86+'Fórmula'!G86+'Fórmula'!I86+'Fórmula'!K86))*(INDEX(properties!A$1:CB$87,'Fórmula'!F86,5))+(('Fórmula'!I86)/('Fórmula'!C86+'Fórmula'!E86+'Fórmula'!G86+'Fórmula'!I86+'Fórmula'!K86))*(INDEX(properties!A$1:CB$87,'Fórmula'!H86,5))+(('Fórmula'!K86)/('Fórmula'!C86+'Fórmula'!E86+'Fórmula'!G86+'Fórmula'!I86+'Fórmula'!K86))*(INDEX(properties!A$1:CB$87,'Fórmula'!J86,5))</f>
        <v>2.818181818</v>
      </c>
      <c r="O86" s="103">
        <f t="array" ref="O86">'Fórmula'!C86*(INDEX(properties!A$1:CB$87,'Fórmula'!B86,5))+'Fórmula'!E86*(INDEX(properties!A$1:CB$87,'Fórmula'!D86,5))+'Fórmula'!G86*(INDEX(properties!A$1:CB$87,'Fórmula'!F86,5))+'Fórmula'!I86*(INDEX(properties!A$1:CB$87,'Fórmula'!H86,5))+'Fórmula'!K86*(INDEX(properties!A$1:CB$87,'Fórmula'!J86,5))</f>
        <v>31</v>
      </c>
      <c r="P86" s="103">
        <f t="array" ref="P86">VARP(IF(INDEX(properties!A$1:CB$87,'Fórmula'!B86,5)&lt;&gt;"",INDEX(properties!A$1:CB$87,'Fórmula'!B86,5)),IF(INDEX(properties!A$1:CB$87,'Fórmula'!D86,5)&lt;&gt;"",INDEX(properties!A$1:CB$87,'Fórmula'!D86,5)),IF(INDEX(properties!A$1:CB$87,'Fórmula'!F86,5)&lt;&gt;"",INDEX(properties!A$1:CB$87,'Fórmula'!F86,5)),IF(INDEX(properties!A$1:CB$87,'Fórmula'!H86,5)&lt;&gt;"",INDEX(properties!A$1:CB$87,'Fórmula'!H86,5)),IF(INDEX(properties!A$1:CB$87,'Fórmula'!J86,5)&lt;&gt;"",INDEX(properties!A$1:CB$87,'Fórmula'!J86,5)))</f>
        <v>2.56</v>
      </c>
      <c r="Q86" s="103">
        <f t="array" ref="Q86">MAX(INDEX(properties!A$1:CB$87,'Fórmula'!B86,5),INDEX(properties!A$1:CB$87,'Fórmula'!D86,5),INDEX(properties!A$1:CB$87,'Fórmula'!F86,5),INDEX(properties!A$1:CB$87,'Fórmula'!H86,5),INDEX(properties!A$1:CB$87,'Fórmula'!J86,5))</f>
        <v>6</v>
      </c>
      <c r="R86" s="103">
        <f t="array" ref="R86">MIN(IF(INDEX(properties!A$1:CB$87,'Fórmula'!B86,5)=0,10^6,INDEX(properties!A$1:CB$87,'Fórmula'!B86,5)),IF(INDEX(properties!A$1:CB$87,'Fórmula'!D86,5)=0,10^6,INDEX(properties!A$1:CB$87,'Fórmula'!D86,5)),IF(INDEX(properties!A$1:CB$87,'Fórmula'!F86,5)=0,10^6,INDEX(properties!A$1:CB$87,'Fórmula'!F86,5)),IF(INDEX(properties!A$1:CB$87,'Fórmula'!H86,5)=0,10^6,INDEX(properties!A$1:CB$87,'Fórmula'!H86,5)),IF(INDEX(properties!A$1:CB$87,'Fórmula'!J86,5)=0,10^6,INDEX(properties!A$1:CB$87,'Fórmula'!J86,5)))</f>
        <v>2</v>
      </c>
      <c r="S86" s="103">
        <f t="shared" si="3"/>
        <v>4</v>
      </c>
      <c r="T86" s="104">
        <f t="array" ref="T86">(('Fórmula'!C86)/('Fórmula'!C86+'Fórmula'!E86+'Fórmula'!G86+'Fórmula'!I86+'Fórmula'!K86))*(INDEX(properties!A$1:CB$87,'Fórmula'!B86,6))+(('Fórmula'!E86)/('Fórmula'!C86+'Fórmula'!E86+'Fórmula'!G86+'Fórmula'!I86+'Fórmula'!K86))*(INDEX(properties!A$1:CB$87,'Fórmula'!D86,6))+(('Fórmula'!G86)/('Fórmula'!C86+'Fórmula'!E86+'Fórmula'!G86+'Fórmula'!I86+'Fórmula'!K86))*(INDEX(properties!A$1:CB$87,'Fórmula'!F86,6))+(('Fórmula'!I86)/('Fórmula'!C86+'Fórmula'!E86+'Fórmula'!G86+'Fórmula'!I86+'Fórmula'!K86))*(INDEX(properties!A$1:CB$87,'Fórmula'!H86,6))+(('Fórmula'!K86)/('Fórmula'!C86+'Fórmula'!E86+'Fórmula'!G86+'Fórmula'!I86+'Fórmula'!K86))*(INDEX(properties!A$1:CB$87,'Fórmula'!J86,6))</f>
        <v>11.63636364</v>
      </c>
      <c r="U86" s="104">
        <f t="array" ref="U86">'Fórmula'!C86*(INDEX(properties!A$1:CB$87,'Fórmula'!B86,6))+'Fórmula'!E86*(INDEX(properties!A$1:CB$87,'Fórmula'!D86,6))+'Fórmula'!G86*(INDEX(properties!A$1:CB$87,'Fórmula'!F86,6))+'Fórmula'!I86*(INDEX(properties!A$1:CB$87,'Fórmula'!H86,6))+'Fórmula'!K86*(INDEX(properties!A$1:CB$87,'Fórmula'!J86,6))</f>
        <v>128</v>
      </c>
      <c r="V86" s="103">
        <f t="array" ref="V86">VARP(IF(INDEX(properties!A$1:CB$87,'Fórmula'!B86,6)&lt;&gt;"",INDEX(properties!A$1:CB$87,'Fórmula'!B86,6)),IF(INDEX(properties!A$1:CB$87,'Fórmula'!D86,6)&lt;&gt;"",INDEX(properties!A$1:CB$87,'Fórmula'!D86,6)),IF(INDEX(properties!A$1:CB$87,'Fórmula'!F86,6)&lt;&gt;"",INDEX(properties!A$1:CB$87,'Fórmula'!F86,6)),IF(INDEX(properties!A$1:CB$87,'Fórmula'!H86,6)&lt;&gt;"",INDEX(properties!A$1:CB$87,'Fórmula'!H86,6)),IF(INDEX(properties!A$1:CB$87,'Fórmula'!J86,6)&lt;&gt;"",INDEX(properties!A$1:CB$87,'Fórmula'!J86,6)))</f>
        <v>38.8</v>
      </c>
      <c r="W86" s="104">
        <f t="array" ref="W86">MAX(INDEX(properties!A$1:CB$87,'Fórmula'!B86,6),INDEX(properties!A$1:CB$87,'Fórmula'!D86,6),INDEX(properties!A$1:CB$87,'Fórmula'!F86,6),INDEX(properties!A$1:CB$87,'Fórmula'!H86,4),INDEX(properties!A$1:CB$87,'Fórmula'!J86,6))</f>
        <v>16</v>
      </c>
      <c r="X86" s="104">
        <f t="array" ref="X86">MIN(IF(INDEX(properties!A$1:CB$87,'Fórmula'!B86,6)=0,10^6,INDEX(properties!A$1:CB$87,'Fórmula'!B86,6)),IF(INDEX(properties!A$1:CB$87,'Fórmula'!D86,6)=0,10^6,INDEX(properties!A$1:CB$87,'Fórmula'!D86,6)),IF(INDEX(properties!A$1:CB$87,'Fórmula'!F86,6)=0,10^6,INDEX(properties!A$1:CB$87,'Fórmula'!F86,6)),IF(INDEX(properties!A$1:CB$87,'Fórmula'!H86,6)=0,10^6,INDEX(properties!A$1:CB$87,'Fórmula'!H86,6)),IF(INDEX(properties!A$1:CB$87,'Fórmula'!J86,6)=0,10^6,INDEX(properties!A$1:CB$87,'Fórmula'!J86,6)))</f>
        <v>1</v>
      </c>
      <c r="Y86" s="104">
        <f t="shared" si="4"/>
        <v>15</v>
      </c>
      <c r="Z86" s="105">
        <f t="array" ref="Z86">(('Fórmula'!C86)/('Fórmula'!C86+'Fórmula'!E86+'Fórmula'!G86+'Fórmula'!I86+'Fórmula'!K86))*(INDEX(properties!A$1:CB$87,'Fórmula'!B86,9))+(('Fórmula'!E86)/('Fórmula'!C86+'Fórmula'!E86+'Fórmula'!G86+'Fórmula'!I86+'Fórmula'!K86))*(INDEX(properties!A$1:CB$87,'Fórmula'!D86,9))+(('Fórmula'!G86)/('Fórmula'!C86+'Fórmula'!E86+'Fórmula'!G86+'Fórmula'!I86+'Fórmula'!K86))*(INDEX(properties!A$1:CB$87,'Fórmula'!F86,9))+(('Fórmula'!I86)/('Fórmula'!C86+'Fórmula'!E86+'Fórmula'!G86+'Fórmula'!I86+'Fórmula'!K86))*(INDEX(properties!A$1:CB$87,'Fórmula'!H86,9))+(('Fórmula'!K86)/('Fórmula'!C86+'Fórmula'!E86+'Fórmula'!G86+'Fórmula'!I86+'Fórmula'!K86))*(INDEX(properties!A$1:CB$87,'Fórmula'!J86,9))</f>
        <v>62.72727273</v>
      </c>
      <c r="AA86" s="105">
        <f t="array" ref="AA86">'Fórmula'!C86*(INDEX(properties!A$1:CB$87,'Fórmula'!B86,9))+'Fórmula'!E86*(INDEX(properties!A$1:CB$87,'Fórmula'!D86,9))+'Fórmula'!G86*(INDEX(properties!A$1:CB$87,'Fórmula'!F86,9))+'Fórmula'!I86*(INDEX(properties!A$1:CB$87,'Fórmula'!H86,9))+'Fórmula'!K86*(INDEX(properties!A$1:CB$87,'Fórmula'!J86,9))</f>
        <v>690</v>
      </c>
      <c r="AB86" s="105">
        <f t="array" ref="AB86">VARP(IF(INDEX(properties!A$1:CB$87,'Fórmula'!B86,9)&lt;&gt;"",INDEX(properties!A$1:CB$87,'Fórmula'!B86,9)),IF(INDEX(properties!A$1:CB$87,'Fórmula'!D86,9)&lt;&gt;"",INDEX(properties!A$1:CB$87,'Fórmula'!D86,9)),IF(INDEX(properties!A$1:CB$87,'Fórmula'!F86,9)&lt;&gt;"",INDEX(properties!A$1:CB$87,'Fórmula'!F86,9)),IF(INDEX(properties!A$1:CB$87,'Fórmula'!H86,9)&lt;&gt;"",INDEX(properties!A$1:CB$87,'Fórmula'!H86,9)),IF(INDEX(properties!A$1:CB$87,'Fórmula'!J86,9)&lt;&gt;"",INDEX(properties!A$1:CB$87,'Fórmula'!J86,9)))</f>
        <v>1257.84</v>
      </c>
      <c r="AC86" s="105">
        <f t="array" ref="AC86">MAX(INDEX(properties!A$1:CB$87,'Fórmula'!B86,9),INDEX(properties!A$1:CB$87,'Fórmula'!D86,9),INDEX(properties!A$1:CB$87,'Fórmula'!F86,9),INDEX(properties!A$1:CB$87,'Fórmula'!H86,9),INDEX(properties!A$1:CB$87,'Fórmula'!J86,9))</f>
        <v>87</v>
      </c>
      <c r="AD86" s="105">
        <f t="array" ref="AD86">MIN(IF(INDEX(properties!A$1:CB$87,'Fórmula'!B86,9)=0,10^6,INDEX(properties!A$1:CB$87,'Fórmula'!B86,9)),IF(INDEX(properties!A$1:CB$87,'Fórmula'!D86,9)=0,10^6,INDEX(properties!A$1:CB$87,'Fórmula'!D86,9)),IF(INDEX(properties!A$1:CB$87,'Fórmula'!F86,9)=0,10^6,INDEX(properties!A$1:CB$87,'Fórmula'!F86,9)),IF(INDEX(properties!A$1:CB$87,'Fórmula'!H86,9)=0,10^6,INDEX(properties!A$1:CB$87,'Fórmula'!H86,9)),IF(INDEX(properties!A$1:CB$87,'Fórmula'!J86,9)=0,10^6,INDEX(properties!A$1:CB$87,'Fórmula'!J86,9)))</f>
        <v>3</v>
      </c>
      <c r="AE86" s="105">
        <f t="shared" si="5"/>
        <v>84</v>
      </c>
      <c r="AF86" s="106">
        <f t="array" ref="AF86">(('Fórmula'!C86)/('Fórmula'!C86+'Fórmula'!E86+'Fórmula'!G86+'Fórmula'!I86+'Fórmula'!K86))*(INDEX(properties!A$1:CB$87,'Fórmula'!B86,10))+(('Fórmula'!E86)/('Fórmula'!C86+'Fórmula'!E86+'Fórmula'!G86+'Fórmula'!I86+'Fórmula'!K86))*(INDEX(properties!A$1:CB$87,'Fórmula'!D86,10))+(('Fórmula'!G86)/('Fórmula'!C86+'Fórmula'!E86+'Fórmula'!G86+'Fórmula'!I86+'Fórmula'!K86))*(INDEX(properties!A$1:CB$87,'Fórmula'!F86,10))+(('Fórmula'!I86)/('Fórmula'!C86+'Fórmula'!E86+'Fórmula'!G86+'Fórmula'!I86+'Fórmula'!K86))*(INDEX(properties!A$1:CB$87,'Fórmula'!H86,10))+(('Fórmula'!K86)/('Fórmula'!C86+'Fórmula'!E86+'Fórmula'!G86+'Fórmula'!I86+'Fórmula'!K86))*(INDEX(properties!A$1:CB$87,'Fórmula'!J86,10))</f>
        <v>5.454545455</v>
      </c>
      <c r="AG86" s="106">
        <f t="array" ref="AG86">'Fórmula'!C86*(INDEX(properties!A$1:CB$87,'Fórmula'!B86,10))+'Fórmula'!E86*(INDEX(properties!A$1:CB$87,'Fórmula'!D86,10))+'Fórmula'!G86*(INDEX(properties!A$1:CB$87,'Fórmula'!F86,10))+'Fórmula'!I86*(INDEX(properties!A$1:CB$87,'Fórmula'!H86,10))+'Fórmula'!K86*(INDEX(properties!A$1:CB$87,'Fórmula'!J86,10))</f>
        <v>60</v>
      </c>
      <c r="AH86" s="106">
        <f t="array" ref="AH86">VARP(IF(INDEX(properties!A$1:CB$87,'Fórmula'!B86,10)&lt;&gt;"",INDEX(properties!A$1:CB$87,'Fórmula'!B86,10)),IF(INDEX(properties!A$1:CB$87,'Fórmula'!D86,10)&lt;&gt;"",INDEX(properties!A$1:CB$87,'Fórmula'!D86,10)),IF(INDEX(properties!A$1:CB$87,'Fórmula'!F86,10)&lt;&gt;"",INDEX(properties!A$1:CB$87,'Fórmula'!F86,10)),IF(INDEX(properties!A$1:CB$87,'Fórmula'!H86,10)&lt;&gt;"",INDEX(properties!A$1:CB$87,'Fórmula'!H86,10)),IF(INDEX(properties!A$1:CB$87,'Fórmula'!J86,10)&lt;&gt;"",INDEX(properties!A$1:CB$87,'Fórmula'!J86,10)))</f>
        <v>5.36</v>
      </c>
      <c r="AI86" s="106">
        <f t="array" ref="AI86">MAX(INDEX(properties!A$1:CB$87,'Fórmula'!B86,10),INDEX(properties!A$1:CB$87,'Fórmula'!D86,10),INDEX(properties!A$1:CB$87,'Fórmula'!F86,10),INDEX(properties!A$1:CB$87,'Fórmula'!H86,10),INDEX(properties!A$1:CB$87,'Fórmula'!J86,10))</f>
        <v>7</v>
      </c>
      <c r="AJ86" s="106">
        <f t="array" ref="AJ86">MIN(IF(INDEX(properties!A$1:CB$87,'Fórmula'!B86,10)=0,10^6,INDEX(properties!A$1:CB$87,'Fórmula'!B86,10)),IF(INDEX(properties!A$1:CB$87,'Fórmula'!D86,10)=0,10^6,INDEX(properties!A$1:CB$87,'Fórmula'!D86,10)),IF(INDEX(properties!A$1:CB$87,'Fórmula'!F86,10)=0,10^6,INDEX(properties!A$1:CB$87,'Fórmula'!F86,10)),IF(INDEX(properties!A$1:CB$87,'Fórmula'!H86,10)=0,10^6,INDEX(properties!A$1:CB$87,'Fórmula'!H86,10)),IF(INDEX(properties!A$1:CB$87,'Fórmula'!J86,10)=0,10^6,INDEX(properties!A$1:CB$87,'Fórmula'!J86,10)))</f>
        <v>1</v>
      </c>
      <c r="AK86" s="106">
        <f t="shared" si="6"/>
        <v>6</v>
      </c>
      <c r="AL86" s="107">
        <f t="array" ref="AL86">(('Fórmula'!C86)/('Fórmula'!C86+'Fórmula'!E86+'Fórmula'!G86+'Fórmula'!I86+'Fórmula'!K86))*(INDEX(properties!A$1:CB$87,'Fórmula'!B86,11))+(('Fórmula'!E86)/('Fórmula'!C86+'Fórmula'!E86+'Fórmula'!G86+'Fórmula'!I86+'Fórmula'!K86))*(INDEX(properties!A$1:CB$87,'Fórmula'!D86,11))+(('Fórmula'!G86)/('Fórmula'!C86+'Fórmula'!E86+'Fórmula'!G86+'Fórmula'!I86+'Fórmula'!K86))*(INDEX(properties!A$1:CB$87,'Fórmula'!F86,11))+(('Fórmula'!I86)/('Fórmula'!C86+'Fórmula'!E86+'Fórmula'!G86+'Fórmula'!I86+'Fórmula'!K86))*(INDEX(properties!A$1:CB$87,'Fórmula'!H86,11))+(('Fórmula'!K86)/('Fórmula'!C86+'Fórmula'!E86+'Fórmula'!G86+'Fórmula'!I86+'Fórmula'!K86))*(INDEX(properties!A$1:CB$87,'Fórmula'!J86,11))</f>
        <v>1.909090909</v>
      </c>
      <c r="AM86" s="107">
        <f t="array" ref="AM86">'Fórmula'!C86*(INDEX(properties!A$1:CB$87,'Fórmula'!B86,11))+'Fórmula'!E86*(INDEX(properties!A$1:CB$87,'Fórmula'!D86,11))+'Fórmula'!G86*(INDEX(properties!A$1:CB$87,'Fórmula'!F86,11))+'Fórmula'!I86*(INDEX(properties!A$1:CB$87,'Fórmula'!H86,11))+'Fórmula'!K86*(INDEX(properties!A$1:CB$87,'Fórmula'!J86,11))</f>
        <v>21</v>
      </c>
      <c r="AN86" s="107">
        <f t="array" ref="AN86">VARP(IF(INDEX(properties!A$1:CB$87,'Fórmula'!B86,11)&lt;&gt;"",INDEX(properties!A$1:CB$87,'Fórmula'!B86,11)),IF(INDEX(properties!A$1:CB$87,'Fórmula'!D86,11)&lt;&gt;"",INDEX(properties!A$1:CB$87,'Fórmula'!D86,11)),IF(INDEX(properties!A$1:CB$87,'Fórmula'!F86,11)&lt;&gt;"",INDEX(properties!A$1:CB$87,'Fórmula'!F86,11)),IF(INDEX(properties!A$1:CB$87,'Fórmula'!H86,11)&lt;&gt;"",INDEX(properties!A$1:CB$87,'Fórmula'!H86,11)),IF(INDEX(properties!A$1:CB$87,'Fórmula'!J86,11)&lt;&gt;"",INDEX(properties!A$1:CB$87,'Fórmula'!J86,11)))</f>
        <v>0.16</v>
      </c>
      <c r="AO86" s="107">
        <f t="array" ref="AO86">MAX(INDEX(properties!A$1:CB$87,'Fórmula'!B86,11),INDEX(properties!A$1:CB$87,'Fórmula'!D86,11),INDEX(properties!A$1:CB$87,'Fórmula'!F86,11),INDEX(properties!A$1:CB$87,'Fórmula'!H86,11),INDEX(properties!A$1:CB$87,'Fórmula'!J86,11))</f>
        <v>2</v>
      </c>
      <c r="AP86" s="107">
        <f t="array" ref="AP86">MIN(IF('Fórmula'!B86=87,10^6,INDEX(properties!A$1:CB$87,'Fórmula'!B86,11)),IF(('Fórmula'!D86)=87,10^6,INDEX(properties!A$1:CB$87,'Fórmula'!D86,11)),IF(('Fórmula'!F86)=87,10^6,INDEX(properties!A$1:CB$87,'Fórmula'!F86,11)),IF(('Fórmula'!H86)=87,10^6,INDEX(properties!A$1:CB$87,'Fórmula'!H86,11)),IF('Fórmula'!J86=87,10^6,INDEX(properties!A$1:CB$87,'Fórmula'!J86,11)))</f>
        <v>1</v>
      </c>
      <c r="AQ86" s="107">
        <f t="shared" si="7"/>
        <v>1</v>
      </c>
      <c r="AR86" s="108">
        <f t="array" ref="AR86">(('Fórmula'!C86)/('Fórmula'!C86+'Fórmula'!E86+'Fórmula'!G86+'Fórmula'!I86+'Fórmula'!K86))*(INDEX(properties!A$1:CB$87,'Fórmula'!B86,12))+(('Fórmula'!E86)/('Fórmula'!C86+'Fórmula'!E86+'Fórmula'!G86+'Fórmula'!I86+'Fórmula'!K86))*(INDEX(properties!A$1:CB$87,'Fórmula'!D86,12))+(('Fórmula'!G86)/('Fórmula'!C86+'Fórmula'!E86+'Fórmula'!G86+'Fórmula'!I86+'Fórmula'!K86))*(INDEX(properties!A$1:CB$87,'Fórmula'!F86,12))+(('Fórmula'!I86)/('Fórmula'!C86+'Fórmula'!E86+'Fórmula'!G86+'Fórmula'!I86+'Fórmula'!K86))*(INDEX(properties!A$1:CB$87,'Fórmula'!H86,12))+(('Fórmula'!K86)/('Fórmula'!C86+'Fórmula'!E86+'Fórmula'!G86+'Fórmula'!I86+'Fórmula'!K86))*(INDEX(properties!A$1:CB$87,'Fórmula'!J86,12))</f>
        <v>2.363636364</v>
      </c>
      <c r="AS86" s="108">
        <f t="array" ref="AS86">'Fórmula'!C86*(INDEX(properties!A$1:CB$87,'Fórmula'!B86,12))+'Fórmula'!E86*(INDEX(properties!A$1:CB$87,'Fórmula'!D86,12))+'Fórmula'!G86*(INDEX(properties!A$1:CB$87,'Fórmula'!F86,12))+'Fórmula'!I86*(INDEX(properties!A$1:CB$87,'Fórmula'!H86,12))+'Fórmula'!K86*(INDEX(properties!A$1:CB$87,'Fórmula'!J86,12))</f>
        <v>26</v>
      </c>
      <c r="AT86" s="108">
        <f t="array" ref="AT86">VARP(IF(INDEX(properties!A$1:CB$87,'Fórmula'!B86,12)&lt;&gt;"",INDEX(properties!A$1:CB$87,'Fórmula'!B86,12)),IF(INDEX(properties!A$1:CB$87,'Fórmula'!D86,12)&lt;&gt;"",INDEX(properties!A$1:CB$87,'Fórmula'!D86,12)),IF(INDEX(properties!A$1:CB$87,'Fórmula'!F86,12)&lt;&gt;"",INDEX(properties!A$1:CB$87,'Fórmula'!F86,12)),IF(INDEX(properties!A$1:CB$87,'Fórmula'!H86,12)&lt;&gt;"",INDEX(properties!A$1:CB$87,'Fórmula'!H86,12)),IF(INDEX(properties!A$1:CB$87,'Fórmula'!J86,12)&lt;&gt;"",INDEX(properties!A$1:CB$87,'Fórmula'!J86,12)))</f>
        <v>2.4</v>
      </c>
      <c r="AU86" s="108">
        <f t="array" ref="AU86">MAX(INDEX(properties!A$1:CB$87,'Fórmula'!B86,12),INDEX(properties!A$1:CB$87,'Fórmula'!D86,12),INDEX(properties!A$1:CB$87,'Fórmula'!F86,12),INDEX(properties!A$1:CB$87,'Fórmula'!H86,12),INDEX(properties!A$1:CB$87,'Fórmula'!J86,12))</f>
        <v>4</v>
      </c>
      <c r="AV86" s="108">
        <f t="array" ref="AV86">MIN(IF('Fórmula'!B86=87,10^6,INDEX(properties!A$1:CB$87,'Fórmula'!B86,12)),IF(('Fórmula'!D86)=87,10^6,INDEX(properties!A$1:CB$87,'Fórmula'!D86,12)),IF(('Fórmula'!F86)=87,10^6,INDEX(properties!A$1:CB$87,'Fórmula'!F86,12)),IF(('Fórmula'!H86)=87,10^6,INDEX(properties!A$1:CB$87,'Fórmula'!H86,12)),IF('Fórmula'!J86=87,10^6,INDEX(properties!A$1:CB$87,'Fórmula'!J86,12)))</f>
        <v>0</v>
      </c>
      <c r="AW86" s="108">
        <f t="shared" si="8"/>
        <v>4</v>
      </c>
      <c r="AX86" s="109">
        <f t="array" ref="AX86">(('Fórmula'!C86)/('Fórmula'!C86+'Fórmula'!E86+'Fórmula'!G86+'Fórmula'!I86+'Fórmula'!K86))*(INDEX(properties!A$1:CB$87,'Fórmula'!B86,13))+(('Fórmula'!E86)/('Fórmula'!C86+'Fórmula'!E86+'Fórmula'!G86+'Fórmula'!I86+'Fórmula'!K86))*(INDEX(properties!A$1:CB$87,'Fórmula'!D86,13))+(('Fórmula'!G86)/('Fórmula'!C86+'Fórmula'!E86+'Fórmula'!G86+'Fórmula'!I86+'Fórmula'!K86))*(INDEX(properties!A$1:CB$87,'Fórmula'!F86,13))+(('Fórmula'!I86)/('Fórmula'!C86+'Fórmula'!E86+'Fórmula'!G86+'Fórmula'!I86+'Fórmula'!K86))*(INDEX(properties!A$1:CB$87,'Fórmula'!H86,13))+(('Fórmula'!K86)/('Fórmula'!C86+'Fórmula'!E86+'Fórmula'!G86+'Fórmula'!I86+'Fórmula'!K86))*(INDEX(properties!A$1:CB$87,'Fórmula'!J86,13))</f>
        <v>0.09090909091</v>
      </c>
      <c r="AY86" s="109">
        <f t="array" ref="AY86">'Fórmula'!C86*(INDEX(properties!A$1:CB$87,'Fórmula'!B86,13))+'Fórmula'!E86*(INDEX(properties!A$1:CB$87,'Fórmula'!D86,13))+'Fórmula'!G86*(INDEX(properties!A$1:CB$87,'Fórmula'!F86,13))+'Fórmula'!I86*(INDEX(properties!A$1:CB$87,'Fórmula'!H86,13))+'Fórmula'!K86*(INDEX(properties!A$1:CB$87,'Fórmula'!J86,13))</f>
        <v>1</v>
      </c>
      <c r="AZ86" s="109">
        <f t="array" ref="AZ86">VARP(IF(INDEX(properties!A$1:CB$87,'Fórmula'!B86,13)&lt;&gt;"",INDEX(properties!A$1:CB$87,'Fórmula'!B86,13)),IF(INDEX(properties!A$1:CB$87,'Fórmula'!D86,13)&lt;&gt;"",INDEX(properties!A$1:CB$87,'Fórmula'!D86,13)),IF(INDEX(properties!A$1:CB$87,'Fórmula'!F86,13)&lt;&gt;"",INDEX(properties!A$1:CB$87,'Fórmula'!F86,13)),IF(INDEX(properties!A$1:CB$87,'Fórmula'!H86,13)&lt;&gt;"",INDEX(properties!A$1:CB$87,'Fórmula'!H86,13)),IF(INDEX(properties!A$1:CB$87,'Fórmula'!J86,13)&lt;&gt;"",INDEX(properties!A$1:CB$87,'Fórmula'!J86,13)))</f>
        <v>0.16</v>
      </c>
      <c r="BA86" s="109">
        <f t="array" ref="BA86">MAX(INDEX(properties!A$1:CB$87,'Fórmula'!B86,13),INDEX(properties!A$1:CB$87,'Fórmula'!D86,13),INDEX(properties!A$1:CB$87,'Fórmula'!F86,13),INDEX(properties!A$1:CB$87,'Fórmula'!H86,13),INDEX(properties!A$1:CB$87,'Fórmula'!J86,13))</f>
        <v>1</v>
      </c>
      <c r="BB86" s="109">
        <f t="array" ref="BB86">MIN(IF('Fórmula'!B86=87,10^6,INDEX(properties!A$1:CB$87,'Fórmula'!B86,13)),IF(('Fórmula'!D86)=87,10^6,INDEX(properties!A$1:CB$87,'Fórmula'!D86,13)),IF(('Fórmula'!F86)=87,10^6,INDEX(properties!A$1:CB$87,'Fórmula'!F86,13)),IF(('Fórmula'!H86)=87,10^6,INDEX(properties!A$1:CB$87,'Fórmula'!H86,13)),IF('Fórmula'!J86=87,10^6,INDEX(properties!A$1:CB$87,'Fórmula'!J86,13)))</f>
        <v>0</v>
      </c>
      <c r="BC86" s="109">
        <f t="shared" si="9"/>
        <v>1</v>
      </c>
      <c r="BD86" s="110">
        <f t="array" ref="BD86">(('Fórmula'!C86)/('Fórmula'!C86+'Fórmula'!E86+'Fórmula'!G86+'Fórmula'!I86+'Fórmula'!K86))*(INDEX(properties!A$1:CB$87,'Fórmula'!B86,14))+(('Fórmula'!E86)/('Fórmula'!C86+'Fórmula'!E86+'Fórmula'!G86+'Fórmula'!I86+'Fórmula'!K86))*(INDEX(properties!A$1:CB$87,'Fórmula'!D86,14))+(('Fórmula'!G86)/('Fórmula'!C86+'Fórmula'!E86+'Fórmula'!G86+'Fórmula'!I86+'Fórmula'!K86))*(INDEX(properties!A$1:CB$87,'Fórmula'!F86,14))+(('Fórmula'!I86)/('Fórmula'!C86+'Fórmula'!E86+'Fórmula'!G86+'Fórmula'!I86+'Fórmula'!K86))*(INDEX(properties!A$1:CB$87,'Fórmula'!H86,14))+(('Fórmula'!K86)/('Fórmula'!C86+'Fórmula'!E86+'Fórmula'!G86+'Fórmula'!I86+'Fórmula'!K86))*(INDEX(properties!A$1:CB$87,'Fórmula'!J86,14))</f>
        <v>0</v>
      </c>
      <c r="BE86" s="110">
        <f t="array" ref="BE86">'Fórmula'!C86*(INDEX(properties!A$1:CB$87,'Fórmula'!B86,14))+'Fórmula'!E86*(INDEX(properties!A$1:CB$87,'Fórmula'!D86,14))+'Fórmula'!G86*(INDEX(properties!A$1:CB$87,'Fórmula'!F86,14))+'Fórmula'!I86*(INDEX(properties!A$1:CB$87,'Fórmula'!H86,14))+'Fórmula'!K86*(INDEX(properties!A$1:CB$87,'Fórmula'!J86,14))</f>
        <v>0</v>
      </c>
      <c r="BF86" s="110">
        <f t="array" ref="BF86">VARP(IF(INDEX(properties!A$1:CB$87,'Fórmula'!B86,14)&lt;&gt;"",INDEX(properties!A$1:CB$87,'Fórmula'!B86,14)),IF(INDEX(properties!A$1:CB$87,'Fórmula'!D86,14)&lt;&gt;"",INDEX(properties!A$1:CB$87,'Fórmula'!D86,14)),IF(INDEX(properties!A$1:CB$87,'Fórmula'!F86,14)&lt;&gt;"",INDEX(properties!A$1:CB$87,'Fórmula'!F86,14)),IF(INDEX(properties!A$1:CB$87,'Fórmula'!H86,14)&lt;&gt;"",INDEX(properties!A$1:CB$87,'Fórmula'!H86,14)),IF(INDEX(properties!A$1:CB$87,'Fórmula'!J86,14)&lt;&gt;"",INDEX(properties!A$1:CB$87,'Fórmula'!J86,14)))</f>
        <v>0</v>
      </c>
      <c r="BG86" s="110">
        <f t="array" ref="BG86">MAX(INDEX(properties!A$1:CB$87,'Fórmula'!B86,14),INDEX(properties!A$1:CB$87,'Fórmula'!D86,14),INDEX(properties!A$1:CB$87,'Fórmula'!F86,14),INDEX(properties!A$1:CB$87,'Fórmula'!H86,14),INDEX(properties!A$1:CB$87,'Fórmula'!J86,14))</f>
        <v>0</v>
      </c>
      <c r="BH86" s="110">
        <f t="array" ref="BH86">MIN(IF('Fórmula'!B86=87,10^6,INDEX(properties!A$1:CB$87,'Fórmula'!B86,14)),IF(('Fórmula'!D86)=87,10^6,INDEX(properties!A$1:CB$87,'Fórmula'!D86,14)),IF(('Fórmula'!F86)=87,10^6,INDEX(properties!A$1:CB$87,'Fórmula'!F86,14)),IF(('Fórmula'!H86)=87,10^6,INDEX(properties!A$1:CB$87,'Fórmula'!H86,14)),IF('Fórmula'!J86=87,10^6,INDEX(properties!A$1:CB$87,'Fórmula'!J86,14)))</f>
        <v>0</v>
      </c>
      <c r="BI86" s="110">
        <f t="shared" si="10"/>
        <v>0</v>
      </c>
      <c r="BJ86" s="111">
        <f t="array" ref="BJ86">(('Fórmula'!C86)/('Fórmula'!C86+'Fórmula'!E86+'Fórmula'!G86+'Fórmula'!I86+'Fórmula'!K86))*(INDEX(properties!A$1:CB$87,'Fórmula'!B86,19))+(('Fórmula'!E86)/('Fórmula'!C86+'Fórmula'!E86+'Fórmula'!G86+'Fórmula'!I86+'Fórmula'!K86))*(INDEX(properties!A$1:CB$87,'Fórmula'!D86,19))+(('Fórmula'!G86)/('Fórmula'!C86+'Fórmula'!E86+'Fórmula'!G86+'Fórmula'!I86+'Fórmula'!K86))*(INDEX(properties!A$1:CB$87,'Fórmula'!F86,19))+(('Fórmula'!I86)/('Fórmula'!C86+'Fórmula'!E86+'Fórmula'!G86+'Fórmula'!I86+'Fórmula'!K86))*(INDEX(properties!A$1:CB$87,'Fórmula'!H86,19))+(('Fórmula'!K86)/('Fórmula'!C86+'Fórmula'!E86+'Fórmula'!G86+'Fórmula'!I86+'Fórmula'!K86))*(INDEX(properties!A$1:CB$87,'Fórmula'!J86,19))</f>
        <v>4.363636364</v>
      </c>
      <c r="BK86" s="111">
        <f t="array" ref="BK86">'Fórmula'!C86*(INDEX(properties!A$1:CB$87,'Fórmula'!B86,19))+'Fórmula'!E86*(INDEX(properties!A$1:CB$87,'Fórmula'!D86,19))+'Fórmula'!G86*(INDEX(properties!A$1:CB$87,'Fórmula'!F86,19))+'Fórmula'!I86*(INDEX(properties!A$1:CB$87,'Fórmula'!H86,19))+'Fórmula'!K86*(INDEX(properties!A$1:CB$87,'Fórmula'!J86,19))</f>
        <v>48</v>
      </c>
      <c r="BL86" s="111">
        <f t="array" ref="BL86">VARP(IF(INDEX(properties!A$1:CB$87,'Fórmula'!B86,19)&lt;&gt;"",INDEX(properties!A$1:CB$87,'Fórmula'!B86,19)),IF(INDEX(properties!A$1:CB$87,'Fórmula'!D86,19)&lt;&gt;"",INDEX(properties!A$1:CB$87,'Fórmula'!D86,19)),IF(INDEX(properties!A$1:CB$87,'Fórmula'!F86,19)&lt;&gt;"",INDEX(properties!A$1:CB$87,'Fórmula'!F86,19)),IF(INDEX(properties!A$1:CB$87,'Fórmula'!H86,19)&lt;&gt;"",INDEX(properties!A$1:CB$87,'Fórmula'!H86,19)),IF(INDEX(properties!A$1:CB$87,'Fórmula'!J86,19)&lt;&gt;"",INDEX(properties!A$1:CB$87,'Fórmula'!J86,19)))</f>
        <v>2.8</v>
      </c>
      <c r="BM86" s="111">
        <f t="array" ref="BM86">MAX(INDEX(properties!A$1:CB$87,'Fórmula'!B86,19),INDEX(properties!A$1:CB$87,'Fórmula'!D86,19),INDEX(properties!A$1:CB$87,'Fórmula'!F86,19),INDEX(properties!A$1:CB$87,'Fórmula'!H86,19),INDEX(properties!A$1:CB$87,'Fórmula'!J86,19))</f>
        <v>6</v>
      </c>
      <c r="BN86" s="111">
        <f t="array" ref="BN86">MIN(IF(INDEX(properties!A$1:CB$87,'Fórmula'!B86,19)=0,10^6,INDEX(properties!A$1:CB$87,'Fórmula'!B86,19)),IF(INDEX(properties!A$1:CB$87,'Fórmula'!D86,19)=0,10^6,INDEX(properties!A$1:CB$87,'Fórmula'!D86,19)),IF(INDEX(properties!A$1:CB$87,'Fórmula'!F86,19)=0,10^6,INDEX(properties!A$1:CB$87,'Fórmula'!F86,19)),IF(INDEX(properties!A$1:CB$87,'Fórmula'!H86,19)=0,10^6,INDEX(properties!A$1:CB$87,'Fórmula'!H86,19)),IF(INDEX(properties!A$1:CB$87,'Fórmula'!J86,19)=0,10^6,INDEX(properties!A$1:CB$87,'Fórmula'!J86,19)))</f>
        <v>1</v>
      </c>
      <c r="BO86" s="111">
        <f t="shared" si="11"/>
        <v>5</v>
      </c>
      <c r="BP86" s="112">
        <f t="array" ref="BP86">(('Fórmula'!C86)/('Fórmula'!C86+'Fórmula'!E86+'Fórmula'!G86+'Fórmula'!I86+'Fórmula'!K86))*(INDEX(properties!A$1:CB$87,'Fórmula'!B86,20))+(('Fórmula'!E86)/('Fórmula'!C86+'Fórmula'!E86+'Fórmula'!G86+'Fórmula'!I86+'Fórmula'!K86))*(INDEX(properties!A$1:CB$87,'Fórmula'!D86,20))+(('Fórmula'!G86)/('Fórmula'!C86+'Fórmula'!E86+'Fórmula'!G86+'Fórmula'!I86+'Fórmula'!K86))*(INDEX(properties!A$1:CB$87,'Fórmula'!F86,20))+(('Fórmula'!I86)/('Fórmula'!C86+'Fórmula'!E86+'Fórmula'!G86+'Fórmula'!I86+'Fórmula'!K86))*(INDEX(properties!A$1:CB$87,'Fórmula'!H86,20))+(('Fórmula'!K86)/('Fórmula'!C86+'Fórmula'!E86+'Fórmula'!G86+'Fórmula'!I86+'Fórmula'!K86))*(INDEX(properties!A$1:CB$87,'Fórmula'!J86,20))</f>
        <v>4.272727273</v>
      </c>
      <c r="BQ86" s="112">
        <f t="array" ref="BQ86">'Fórmula'!C86*(INDEX(properties!A$1:CB$87,'Fórmula'!B86,20))+'Fórmula'!E86*(INDEX(properties!A$1:CB$87,'Fórmula'!D86,20))+'Fórmula'!G86*(INDEX(properties!A$1:CB$87,'Fórmula'!F86,20))+'Fórmula'!I86*(INDEX(properties!A$1:CB$87,'Fórmula'!H86,20))+'Fórmula'!K86*(INDEX(properties!A$1:CB$87,'Fórmula'!J86,20))</f>
        <v>47</v>
      </c>
      <c r="BR86" s="112">
        <f t="array" ref="BR86">VARP(IF(INDEX(properties!A$1:CB$87,'Fórmula'!B86,20)&lt;&gt;"",INDEX(properties!A$1:CB$87,'Fórmula'!B86,20)),IF(INDEX(properties!A$1:CB$87,'Fórmula'!D86,20)&lt;&gt;"",INDEX(properties!A$1:CB$87,'Fórmula'!D86,20)),IF(INDEX(properties!A$1:CB$87,'Fórmula'!F86,20)&lt;&gt;"",INDEX(properties!A$1:CB$87,'Fórmula'!F86,20)),IF(INDEX(properties!A$1:CB$87,'Fórmula'!H86,20)&lt;&gt;"",INDEX(properties!A$1:CB$87,'Fórmula'!H86,20)),IF(INDEX(properties!A$1:CB$87,'Fórmula'!J86,20)&lt;&gt;"",INDEX(properties!A$1:CB$87,'Fórmula'!J86,20)))</f>
        <v>2.96</v>
      </c>
      <c r="BS86" s="112">
        <f t="array" ref="BS86">MAX(INDEX(properties!A$1:CB$87,'Fórmula'!B86,20),INDEX(properties!A$1:CB$87,'Fórmula'!D86,20),INDEX(properties!A$1:CB$87,'Fórmula'!F86,20),INDEX(properties!A$1:CB$87,'Fórmula'!H86,20),INDEX(properties!A$1:CB$87,'Fórmula'!J86,20))</f>
        <v>6</v>
      </c>
      <c r="BT86" s="112">
        <f t="array" ref="BT86">MIN(IF(INDEX(properties!A$1:CB$87,'Fórmula'!B86,20)=0,10^6,INDEX(properties!A$1:CB$87,'Fórmula'!B86,20)),IF(INDEX(properties!A$1:CB$87,'Fórmula'!D86,20)=0,10^6,INDEX(properties!A$1:CB$87,'Fórmula'!D86,20)),IF(INDEX(properties!A$1:CB$87,'Fórmula'!F86,20)=0,10^6,INDEX(properties!A$1:CB$87,'Fórmula'!F86,20)),IF(INDEX(properties!A$1:CB$87,'Fórmula'!H86,20)=0,10^6,INDEX(properties!A$1:CB$87,'Fórmula'!H86,20)),IF(INDEX(properties!A$1:CB$87,'Fórmula'!J86,20)=0,10^6,INDEX(properties!A$1:CB$87,'Fórmula'!J86,20)))</f>
        <v>1</v>
      </c>
      <c r="BU86" s="112">
        <f t="shared" si="12"/>
        <v>5</v>
      </c>
      <c r="BV86" s="113">
        <f t="array" ref="BV86">(('Fórmula'!C86)/('Fórmula'!C86+'Fórmula'!E86+'Fórmula'!G86+'Fórmula'!I86+'Fórmula'!K86))*(INDEX(properties!A$1:CB$87,'Fórmula'!B86,21))+(('Fórmula'!E86)/('Fórmula'!C86+'Fórmula'!E86+'Fórmula'!G86+'Fórmula'!I86+'Fórmula'!K86))*(INDEX(properties!A$1:CB$87,'Fórmula'!D86,21))+(('Fórmula'!G86)/('Fórmula'!C86+'Fórmula'!E86+'Fórmula'!G86+'Fórmula'!I86+'Fórmula'!K86))*(INDEX(properties!A$1:CB$87,'Fórmula'!F86,21))+(('Fórmula'!I86)/('Fórmula'!C86+'Fórmula'!E86+'Fórmula'!G86+'Fórmula'!I86+'Fórmula'!K86))*(INDEX(properties!A$1:CB$87,'Fórmula'!H86,21))+(('Fórmula'!K86)/('Fórmula'!C86+'Fórmula'!E86+'Fórmula'!G86+'Fórmula'!I86+'Fórmula'!K86))*(INDEX(properties!A$1:CB$87,'Fórmula'!J86,21))</f>
        <v>4.181818182</v>
      </c>
      <c r="BW86" s="113">
        <f t="array" ref="BW86">'Fórmula'!C86*(INDEX(properties!A$1:CB$87,'Fórmula'!B86,21))+'Fórmula'!E86*(INDEX(properties!A$1:CB$87,'Fórmula'!D86,21))+'Fórmula'!G86*(INDEX(properties!A$1:CB$87,'Fórmula'!F86,21))+'Fórmula'!I86*(INDEX(properties!A$1:CB$87,'Fórmula'!H86,21))+'Fórmula'!K86*(INDEX(properties!A$1:CB$87,'Fórmula'!J86,21))</f>
        <v>46</v>
      </c>
      <c r="BX86" s="113">
        <f t="array" ref="BX86">VARP(IF(INDEX(properties!A$1:CB$87,'Fórmula'!B86,21)&lt;&gt;"",INDEX(properties!A$1:CB$87,'Fórmula'!B86,21)),IF(INDEX(properties!A$1:CB$87,'Fórmula'!D86,21)&lt;&gt;"",INDEX(properties!A$1:CB$87,'Fórmula'!D86,21)),IF(INDEX(properties!A$1:CB$87,'Fórmula'!F86,21)&lt;&gt;"",INDEX(properties!A$1:CB$87,'Fórmula'!F86,21)),IF(INDEX(properties!A$1:CB$87,'Fórmula'!H86,21)&lt;&gt;"",INDEX(properties!A$1:CB$87,'Fórmula'!H86,21)),IF(INDEX(properties!A$1:CB$87,'Fórmula'!J86,21)&lt;&gt;"",INDEX(properties!A$1:CB$87,'Fórmula'!J86,21)))</f>
        <v>3.44</v>
      </c>
      <c r="BY86" s="113">
        <f t="array" ref="BY86">MAX(INDEX(properties!A$1:CB$87,'Fórmula'!B86,21),INDEX(properties!A$1:CB$87,'Fórmula'!D86,21),INDEX(properties!A$1:CB$87,'Fórmula'!F86,21),INDEX(properties!A$1:CB$87,'Fórmula'!H86,21),INDEX(properties!A$1:CB$87,'Fórmula'!J86,21))</f>
        <v>6</v>
      </c>
      <c r="BZ86" s="113">
        <f t="array" ref="BZ86">MIN(IF(INDEX(properties!A$1:CB$87,'Fórmula'!B86,21)=0,10^6,INDEX(properties!A$1:CB$87,'Fórmula'!B86,21)),IF(INDEX(properties!A$1:CB$87,'Fórmula'!D86,21)=0,10^6,INDEX(properties!A$1:CB$87,'Fórmula'!D86,21)),IF(INDEX(properties!A$1:CB$87,'Fórmula'!F86,21)=0,10^6,INDEX(properties!A$1:CB$87,'Fórmula'!F86,21)),IF(INDEX(properties!A$1:CB$87,'Fórmula'!H86,21)=0,10^6,INDEX(properties!A$1:CB$87,'Fórmula'!H86,21)),IF(INDEX(properties!A$1:CB$87,'Fórmula'!J86,21)=0,10^6,INDEX(properties!A$1:CB$87,'Fórmula'!J86,21)))</f>
        <v>1</v>
      </c>
      <c r="CA86" s="113">
        <f t="shared" si="13"/>
        <v>5</v>
      </c>
      <c r="CB86" s="114">
        <f t="array" ref="CB86">(('Fórmula'!C86)/('Fórmula'!C86+'Fórmula'!E86+'Fórmula'!G86+'Fórmula'!I86+'Fórmula'!K86))*(INDEX(properties!A$1:CB$87,'Fórmula'!B86,23))+(('Fórmula'!E86)/('Fórmula'!C86+'Fórmula'!E86+'Fórmula'!G86+'Fórmula'!I86+'Fórmula'!K86))*(INDEX(properties!A$1:CB$87,'Fórmula'!D86,23))+(('Fórmula'!G86)/('Fórmula'!C86+'Fórmula'!E86+'Fórmula'!G86+'Fórmula'!I86+'Fórmula'!K86))*(INDEX(properties!A$1:CB$87,'Fórmula'!F86,23))+(('Fórmula'!I86)/('Fórmula'!C86+'Fórmula'!E86+'Fórmula'!G86+'Fórmula'!I86+'Fórmula'!K86))*(INDEX(properties!A$1:CB$87,'Fórmula'!H86,23))+(('Fórmula'!K86)/('Fórmula'!C86+'Fórmula'!E86+'Fórmula'!G86+'Fórmula'!I86+'Fórmula'!K86))*(INDEX(properties!A$1:CB$87,'Fórmula'!J86,23))</f>
        <v>1.090909091</v>
      </c>
      <c r="CC86" s="114">
        <f t="array" ref="CC86">'Fórmula'!C86*(INDEX(properties!A$1:CB$87,'Fórmula'!B86,23))+'Fórmula'!E86*(INDEX(properties!A$1:CB$87,'Fórmula'!D86,23))+'Fórmula'!G86*(INDEX(properties!A$1:CB$87,'Fórmula'!F86,23))+'Fórmula'!I86*(INDEX(properties!A$1:CB$87,'Fórmula'!H86,23))+'Fórmula'!K86*(INDEX(properties!A$1:CB$87,'Fórmula'!J86,23))</f>
        <v>12</v>
      </c>
      <c r="CD86" s="114">
        <f t="array" ref="CD86">VARP(IF(INDEX(properties!A$1:CB$87,'Fórmula'!B86,23)&lt;&gt;"",INDEX(properties!A$1:CB$87,'Fórmula'!B86,23)),IF(INDEX(properties!A$1:CB$87,'Fórmula'!D86,23)&lt;&gt;"",INDEX(properties!A$1:CB$87,'Fórmula'!D86,23)),IF(INDEX(properties!A$1:CB$87,'Fórmula'!F86,23)&lt;&gt;"",INDEX(properties!A$1:CB$87,'Fórmula'!F86,23)),IF(INDEX(properties!A$1:CB$87,'Fórmula'!H86,23)&lt;&gt;"",INDEX(properties!A$1:CB$87,'Fórmula'!H86,23)),IF(INDEX(properties!A$1:CB$87,'Fórmula'!J86,23)&lt;&gt;"",INDEX(properties!A$1:CB$87,'Fórmula'!J86,23)))</f>
        <v>1.36</v>
      </c>
      <c r="CE86" s="114">
        <f t="array" ref="CE86">MAX(INDEX(properties!A$1:CB$87,'Fórmula'!B86,23),INDEX(properties!A$1:CB$87,'Fórmula'!D86,23),INDEX(properties!A$1:CB$87,'Fórmula'!F86,23),INDEX(properties!A$1:CB$87,'Fórmula'!H86,23),INDEX(properties!A$1:CB$87,'Fórmula'!J86,23))</f>
        <v>3</v>
      </c>
      <c r="CF86" s="114">
        <f t="array" ref="CF86">MIN(IF('Fórmula'!B86=87,10^6,INDEX(properties!A$1:CB$87,'Fórmula'!B86,23)),IF(('Fórmula'!D86)=87,10^6,INDEX(properties!A$1:CB$87,'Fórmula'!D86,23)),IF(('Fórmula'!F86)=87,10^6,INDEX(properties!A$1:CB$87,'Fórmula'!F86,23)),IF(('Fórmula'!H86)=87,10^6,INDEX(properties!A$1:CB$87,'Fórmula'!H86,23)),IF('Fórmula'!J86=87,10^6,INDEX(properties!A$1:CB$87,'Fórmula'!J86,23)))</f>
        <v>0</v>
      </c>
      <c r="CG86" s="114">
        <f t="shared" si="14"/>
        <v>3</v>
      </c>
      <c r="CH86" s="115">
        <f t="array" ref="CH86">(('Fórmula'!C86)/('Fórmula'!C86+'Fórmula'!E86+'Fórmula'!G86+'Fórmula'!I86+'Fórmula'!K86))*(INDEX(properties!A$1:CB$87,'Fórmula'!B86,26))+(('Fórmula'!E86)/('Fórmula'!C86+'Fórmula'!E86+'Fórmula'!G86+'Fórmula'!I86+'Fórmula'!K86))*(INDEX(properties!A$1:CB$87,'Fórmula'!D86,26))+(('Fórmula'!G86)/('Fórmula'!C86+'Fórmula'!E86+'Fórmula'!G86+'Fórmula'!I86+'Fórmula'!K86))*(INDEX(properties!A$1:CB$87,'Fórmula'!F86,26))+(('Fórmula'!I86)/('Fórmula'!C86+'Fórmula'!E86+'Fórmula'!G86+'Fórmula'!I86+'Fórmula'!K86))*(INDEX(properties!A$1:CB$87,'Fórmula'!H86,26))+(('Fórmula'!K86)/('Fórmula'!C86+'Fórmula'!E86+'Fórmula'!G86+'Fórmula'!I86+'Fórmula'!K86))*(INDEX(properties!A$1:CB$87,'Fórmula'!J86,26))</f>
        <v>10.37039091</v>
      </c>
      <c r="CI86" s="115">
        <f t="array" ref="CI86">'Fórmula'!C86*(INDEX(properties!A$1:CB$87,'Fórmula'!B86,26))+'Fórmula'!E86*(INDEX(properties!A$1:CB$87,'Fórmula'!D86,26))+'Fórmula'!G86*(INDEX(properties!A$1:CB$87,'Fórmula'!F86,26))+'Fórmula'!I86*(INDEX(properties!A$1:CB$87,'Fórmula'!H86,26))+'Fórmula'!K86*(INDEX(properties!A$1:CB$87,'Fórmula'!J86,26))</f>
        <v>114.0743</v>
      </c>
      <c r="CJ86" s="115">
        <f t="array" ref="CJ86">VARP(IF(INDEX(properties!A$1:CB$87,'Fórmula'!B86,26)&lt;&gt;"",INDEX(properties!A$1:CB$87,'Fórmula'!B86,26)),IF(INDEX(properties!A$1:CB$87,'Fórmula'!D86,26)&lt;&gt;"",INDEX(properties!A$1:CB$87,'Fórmula'!D86,26)),IF(INDEX(properties!A$1:CB$87,'Fórmula'!F86,26)&lt;&gt;"",INDEX(properties!A$1:CB$87,'Fórmula'!F86,26)),IF(INDEX(properties!A$1:CB$87,'Fórmula'!H86,26)&lt;&gt;"",INDEX(properties!A$1:CB$87,'Fórmula'!H86,26)),IF(INDEX(properties!A$1:CB$87,'Fórmula'!J86,26)&lt;&gt;"",INDEX(properties!A$1:CB$87,'Fórmula'!J86,26)))</f>
        <v>10.98477199</v>
      </c>
      <c r="CK86" s="116">
        <f t="array" ref="CK86">MAX(INDEX(properties!A$1:CB$87,'Fórmula'!B86,26),INDEX(properties!A$1:CB$87,'Fórmula'!D86,26),INDEX(properties!A$1:CB$87,'Fórmula'!F86,26),INDEX(properties!A$1:CB$87,'Fórmula'!H86,26),INDEX(properties!A$1:CB$87,'Fórmula'!J86,26))</f>
        <v>13.6181</v>
      </c>
      <c r="CL86" s="116">
        <f t="array" ref="CL86">MIN(IF(INDEX(properties!A$1:CB$87,'Fórmula'!B86,26)=0,10^6,INDEX(properties!A$1:CB$87,'Fórmula'!B86,26)),IF(INDEX(properties!A$1:CB$87,'Fórmula'!D86,26)=0,10^6,INDEX(properties!A$1:CB$87,'Fórmula'!D86,26)),IF(INDEX(properties!A$1:CB$87,'Fórmula'!F86,26)=0,10^6,INDEX(properties!A$1:CB$87,'Fórmula'!F86,26)),IF(INDEX(properties!A$1:CB$87,'Fórmula'!H86,26)=0,10^6,INDEX(properties!A$1:CB$87,'Fórmula'!H86,26)),IF(INDEX(properties!A$1:CB$87,'Fórmula'!J86,26)=0,10^6,INDEX(properties!A$1:CB$87,'Fórmula'!J86,26)))</f>
        <v>4.3407</v>
      </c>
      <c r="CM86" s="115">
        <f t="shared" si="15"/>
        <v>9.2774</v>
      </c>
      <c r="CN86" s="117">
        <f t="array" ref="CN86">(('Fórmula'!C86)/('Fórmula'!C86+'Fórmula'!E86+'Fórmula'!G86+'Fórmula'!I86+'Fórmula'!K86))*(INDEX(properties!A$1:CB$87,'Fórmula'!B86,30))+(('Fórmula'!E86)/('Fórmula'!C86+'Fórmula'!E86+'Fórmula'!G86+'Fórmula'!I86+'Fórmula'!K86))*(INDEX(properties!A$1:CB$87,'Fórmula'!D86,30))+(('Fórmula'!G86)/('Fórmula'!C86+'Fórmula'!E86+'Fórmula'!G86+'Fórmula'!I86+'Fórmula'!K86))*(INDEX(properties!A$1:CB$87,'Fórmula'!F86,30))+(('Fórmula'!I86)/('Fórmula'!C86+'Fórmula'!E86+'Fórmula'!G86+'Fórmula'!I86+'Fórmula'!K86))*(INDEX(properties!A$1:CB$87,'Fórmula'!H86,30))+(('Fórmula'!K86)/('Fórmula'!C86+'Fórmula'!E86+'Fórmula'!G86+'Fórmula'!I86+'Fórmula'!K86))*(INDEX(properties!A$1:CB$87,'Fórmula'!J86,30))</f>
        <v>2.513636364</v>
      </c>
      <c r="CO86" s="117">
        <f t="array" ref="CO86">'Fórmula'!C86*(INDEX(properties!A$1:CB$87,'Fórmula'!B86,30))+'Fórmula'!E86*(INDEX(properties!A$1:CB$87,'Fórmula'!D86,30))+'Fórmula'!G86*(INDEX(properties!A$1:CB$87,'Fórmula'!F86,30))+'Fórmula'!I86*(INDEX(properties!A$1:CB$87,'Fórmula'!H86,30))+'Fórmula'!K86*(INDEX(properties!A$1:CB$87,'Fórmula'!J86,30))</f>
        <v>27.65</v>
      </c>
      <c r="CP86" s="117">
        <f t="array" ref="CP86">VARP(IF(INDEX(properties!A$1:CB$87,'Fórmula'!B86,30)&lt;&gt;"",INDEX(properties!A$1:CB$87,'Fórmula'!B86,30)),IF(INDEX(properties!A$1:CB$87,'Fórmula'!D86,30)&lt;&gt;"",INDEX(properties!A$1:CB$87,'Fórmula'!D86,30)),IF(INDEX(properties!A$1:CB$87,'Fórmula'!F86,30)&lt;&gt;"",INDEX(properties!A$1:CB$87,'Fórmula'!F86,30)),IF(INDEX(properties!A$1:CB$87,'Fórmula'!H86,30)&lt;&gt;"",INDEX(properties!A$1:CB$87,'Fórmula'!H86,30)),IF(INDEX(properties!A$1:CB$87,'Fórmula'!J86,30)&lt;&gt;"",INDEX(properties!A$1:CB$87,'Fórmula'!J86,30)))</f>
        <v>0.960496</v>
      </c>
      <c r="CQ86" s="117">
        <f t="array" ref="CQ86">MAX(INDEX(properties!A$1:CB$87,'Fórmula'!B86,30),INDEX(properties!A$1:CB$87,'Fórmula'!D86,30),INDEX(properties!A$1:CB$87,'Fórmula'!F86,30),INDEX(properties!A$1:CB$87,'Fórmula'!H86,30),INDEX(properties!A$1:CB$87,'Fórmula'!J86,30))</f>
        <v>3.44</v>
      </c>
      <c r="CR86" s="117">
        <f t="array" ref="CR86">MIN(IF(INDEX(properties!A$1:CB$87,'Fórmula'!B86,30)=0,10^6,INDEX(properties!A$1:CB$87,'Fórmula'!B86,30)),IF(INDEX(properties!A$1:CB$87,'Fórmula'!D86,30)=0,10^6,INDEX(properties!A$1:CB$87,'Fórmula'!D86,30)),IF(INDEX(properties!A$1:CB$87,'Fórmula'!F86,30)=0,10^6,INDEX(properties!A$1:CB$87,'Fórmula'!F86,30)),IF(INDEX(properties!A$1:CB$87,'Fórmula'!H86,30)=0,10^6,INDEX(properties!A$1:CB$87,'Fórmula'!H86,30)),IF(INDEX(properties!A$1:CB$87,'Fórmula'!J86,30)=0,10^6,INDEX(properties!A$1:CB$87,'Fórmula'!J86,30)))</f>
        <v>0.82</v>
      </c>
      <c r="CS86" s="117">
        <f t="shared" si="16"/>
        <v>2.62</v>
      </c>
      <c r="CT86" s="118">
        <f t="array" ref="CT86">(('Fórmula'!C86)/('Fórmula'!C86+'Fórmula'!E86+'Fórmula'!G86+'Fórmula'!I86+'Fórmula'!K86))*(INDEX(properties!A$1:CB$87,'Fórmula'!B86,31))+(('Fórmula'!E86)/('Fórmula'!C86+'Fórmula'!E86+'Fórmula'!G86+'Fórmula'!I86+'Fórmula'!K86))*(INDEX(properties!A$1:CB$87,'Fórmula'!D86,31))+(('Fórmula'!G86)/('Fórmula'!C86+'Fórmula'!E86+'Fórmula'!G86+'Fórmula'!I86+'Fórmula'!K86))*(INDEX(properties!A$1:CB$87,'Fórmula'!F86,31))+(('Fórmula'!I86)/('Fórmula'!C86+'Fórmula'!E86+'Fórmula'!G86+'Fórmula'!I86+'Fórmula'!K86))*(INDEX(properties!A$1:CB$87,'Fórmula'!H86,31))+(('Fórmula'!K86)/('Fórmula'!C86+'Fórmula'!E86+'Fórmula'!G86+'Fórmula'!I86+'Fórmula'!K86))*(INDEX(properties!A$1:CB$87,'Fórmula'!J86,31))</f>
        <v>2.455454545</v>
      </c>
      <c r="CU86" s="118">
        <f t="array" ref="CU86">'Fórmula'!C86*(INDEX(properties!A$1:CB$87,'Fórmula'!B86,31))+'Fórmula'!E86*(INDEX(properties!A$1:CB$87,'Fórmula'!D86,31))+'Fórmula'!G86*(INDEX(properties!A$1:CB$87,'Fórmula'!F86,31))+'Fórmula'!I86*(INDEX(properties!A$1:CB$87,'Fórmula'!H86,31))+'Fórmula'!K86*(INDEX(properties!A$1:CB$87,'Fórmula'!J86,31))</f>
        <v>27.01</v>
      </c>
      <c r="CV86" s="118">
        <f t="array" ref="CV86">VARP(IF(INDEX(properties!A$1:CB$87,'Fórmula'!B86,31)&lt;&gt;"",INDEX(properties!A$1:CB$87,'Fórmula'!B86,31)),IF(INDEX(properties!A$1:CB$87,'Fórmula'!D86,31)&lt;&gt;"",INDEX(properties!A$1:CB$87,'Fórmula'!D86,31)),IF(INDEX(properties!A$1:CB$87,'Fórmula'!F86,31)&lt;&gt;"",INDEX(properties!A$1:CB$87,'Fórmula'!F86,31)),IF(INDEX(properties!A$1:CB$87,'Fórmula'!H86,31)&lt;&gt;"",INDEX(properties!A$1:CB$87,'Fórmula'!H86,31)),IF(INDEX(properties!A$1:CB$87,'Fórmula'!J86,31)&lt;&gt;"",INDEX(properties!A$1:CB$87,'Fórmula'!J86,31)))</f>
        <v>0.788576</v>
      </c>
      <c r="CW86" s="118">
        <f t="array" ref="CW86">MAX(INDEX(properties!A$1:CB$87,'Fórmula'!B86,31),INDEX(properties!A$1:CB$87,'Fórmula'!D86,31),INDEX(properties!A$1:CB$87,'Fórmula'!F86,31),INDEX(properties!A$1:CB$87,'Fórmula'!H86,31),INDEX(properties!A$1:CB$87,'Fórmula'!J86,31))</f>
        <v>3.32</v>
      </c>
      <c r="CX86" s="118">
        <f t="array" ref="CX86">MIN(IF(INDEX(properties!A$1:CB$87,'Fórmula'!B86,31)=0,10^6,INDEX(properties!A$1:CB$87,'Fórmula'!B86,31)),IF(INDEX(properties!A$1:CB$87,'Fórmula'!D86,31)=0,10^6,INDEX(properties!A$1:CB$87,'Fórmula'!D86,31)),IF(INDEX(properties!A$1:CB$87,'Fórmula'!F86,31)=0,10^6,INDEX(properties!A$1:CB$87,'Fórmula'!F86,31)),IF(INDEX(properties!A$1:CB$87,'Fórmula'!H86,31)=0,10^6,INDEX(properties!A$1:CB$87,'Fórmula'!H86,31)),IF(INDEX(properties!A$1:CB$87,'Fórmula'!J86,31)=0,10^6,INDEX(properties!A$1:CB$87,'Fórmula'!J86,31)))</f>
        <v>0.8</v>
      </c>
      <c r="CY86" s="118">
        <f t="shared" si="17"/>
        <v>2.52</v>
      </c>
      <c r="CZ86" s="119">
        <f t="array" ref="CZ86">(('Fórmula'!C86)/('Fórmula'!C86+'Fórmula'!E86+'Fórmula'!G86+'Fórmula'!I86+'Fórmula'!K86))*(INDEX(properties!A$1:CB$87,'Fórmula'!B86,32))+(('Fórmula'!E86)/('Fórmula'!C86+'Fórmula'!E86+'Fórmula'!G86+'Fórmula'!I86+'Fórmula'!K86))*(INDEX(properties!A$1:CB$87,'Fórmula'!D86,32))+(('Fórmula'!G86)/('Fórmula'!C86+'Fórmula'!E86+'Fórmula'!G86+'Fórmula'!I86+'Fórmula'!K86))*(INDEX(properties!A$1:CB$87,'Fórmula'!F86,32))+(('Fórmula'!I86)/('Fórmula'!C86+'Fórmula'!E86+'Fórmula'!G86+'Fórmula'!I86+'Fórmula'!K86))*(INDEX(properties!A$1:CB$87,'Fórmula'!H86,32))+(('Fórmula'!K86)/('Fórmula'!C86+'Fórmula'!E86+'Fórmula'!G86+'Fórmula'!I86+'Fórmula'!K86))*(INDEX(properties!A$1:CB$87,'Fórmula'!J86,32))</f>
        <v>5.620909091</v>
      </c>
      <c r="DA86" s="119">
        <f t="array" ref="DA86">'Fórmula'!C86*(INDEX(properties!A$1:CB$87,'Fórmula'!B86,32))+'Fórmula'!E86*(INDEX(properties!A$1:CB$87,'Fórmula'!D86,32))+'Fórmula'!G86*(INDEX(properties!A$1:CB$87,'Fórmula'!F86,32))+'Fórmula'!I86*(INDEX(properties!A$1:CB$87,'Fórmula'!H86,32))+'Fórmula'!K86*(INDEX(properties!A$1:CB$87,'Fórmula'!J86,32))</f>
        <v>61.83</v>
      </c>
      <c r="DB86" s="119">
        <f t="array" ref="DB86">VARP(IF(INDEX(properties!A$1:CB$87,'Fórmula'!B86,32)&lt;&gt;"",INDEX(properties!A$1:CB$87,'Fórmula'!B86,32)),IF(INDEX(properties!A$1:CB$87,'Fórmula'!D86,32)&lt;&gt;"",INDEX(properties!A$1:CB$87,'Fórmula'!D86,32)),IF(INDEX(properties!A$1:CB$87,'Fórmula'!F86,32)&lt;&gt;"",INDEX(properties!A$1:CB$87,'Fórmula'!F86,32)),IF(INDEX(properties!A$1:CB$87,'Fórmula'!H86,32)&lt;&gt;"",INDEX(properties!A$1:CB$87,'Fórmula'!H86,32)),IF(INDEX(properties!A$1:CB$87,'Fórmula'!J86,32)&lt;&gt;"",INDEX(properties!A$1:CB$87,'Fórmula'!J86,32)))</f>
        <v>3.664616</v>
      </c>
      <c r="DC86" s="119">
        <f t="array" ref="DC86">MAX(INDEX(properties!A$1:CB$87,'Fórmula'!B86,32),INDEX(properties!A$1:CB$87,'Fórmula'!D86,32),INDEX(properties!A$1:CB$87,'Fórmula'!F86,32),INDEX(properties!A$1:CB$87,'Fórmula'!H86,32),INDEX(properties!A$1:CB$87,'Fórmula'!J86,32))</f>
        <v>7.54</v>
      </c>
      <c r="DD86" s="119">
        <f t="array" ref="DD86">MIN(IF(INDEX(properties!A$1:CB$87,'Fórmula'!B86,32)=0,10^6,INDEX(properties!A$1:CB$87,'Fórmula'!B86,32)),IF(INDEX(properties!A$1:CB$87,'Fórmula'!D86,32)=0,10^6,INDEX(properties!A$1:CB$87,'Fórmula'!D86,32)),IF(INDEX(properties!A$1:CB$87,'Fórmula'!F86,32)=0,10^6,INDEX(properties!A$1:CB$87,'Fórmula'!F86,32)),IF(INDEX(properties!A$1:CB$87,'Fórmula'!H86,32)=0,10^6,INDEX(properties!A$1:CB$87,'Fórmula'!H86,32)),IF(INDEX(properties!A$1:CB$87,'Fórmula'!J86,32)=0,10^6,INDEX(properties!A$1:CB$87,'Fórmula'!J86,32)))</f>
        <v>2.4</v>
      </c>
      <c r="DE86" s="119">
        <f t="shared" si="18"/>
        <v>5.14</v>
      </c>
      <c r="DF86" s="104">
        <f t="array" ref="DF86">(('Fórmula'!C86)/('Fórmula'!C86+'Fórmula'!E86+'Fórmula'!G86+'Fórmula'!I86+'Fórmula'!K86))*(INDEX(properties!A$1:CB$87,'Fórmula'!B86,34))+(('Fórmula'!E86)/('Fórmula'!C86+'Fórmula'!E86+'Fórmula'!G86+'Fórmula'!I86+'Fórmula'!K86))*(INDEX(properties!A$1:CB$87,'Fórmula'!D86,34))+(('Fórmula'!G86)/('Fórmula'!C86+'Fórmula'!E86+'Fórmula'!G86+'Fórmula'!I86+'Fórmula'!K86))*(INDEX(properties!A$1:CB$87,'Fórmula'!F86,34))+(('Fórmula'!I86)/('Fórmula'!C86+'Fórmula'!E86+'Fórmula'!G86+'Fórmula'!I86+'Fórmula'!K86))*(INDEX(properties!A$1:CB$87,'Fórmula'!H86,34))+(('Fórmula'!K86)/('Fórmula'!C86+'Fórmula'!E86+'Fórmula'!G86+'Fórmula'!I86+'Fórmula'!K86))*(INDEX(properties!A$1:CB$87,'Fórmula'!J86,34))</f>
        <v>2.590636364</v>
      </c>
      <c r="DG86" s="104">
        <f t="array" ref="DG86">'Fórmula'!C86*(INDEX(properties!A$1:CB$87,'Fórmula'!B86,34))+'Fórmula'!E86*(INDEX(properties!A$1:CB$87,'Fórmula'!D86,34))+'Fórmula'!G86*(INDEX(properties!A$1:CB$87,'Fórmula'!F86,34))+'Fórmula'!I86*(INDEX(properties!A$1:CB$87,'Fórmula'!H86,34))+'Fórmula'!K86*(INDEX(properties!A$1:CB$87,'Fórmula'!J86,34))</f>
        <v>28.497</v>
      </c>
      <c r="DH86" s="104">
        <f t="array" ref="DH86">VARP(IF(INDEX(properties!A$1:CB$87,'Fórmula'!B86,34)&lt;&gt;"",INDEX(properties!A$1:CB$87,'Fórmula'!B86,34)),IF(INDEX(properties!A$1:CB$87,'Fórmula'!D86,34)&lt;&gt;"",INDEX(properties!A$1:CB$87,'Fórmula'!D86,34)),IF(INDEX(properties!A$1:CB$87,'Fórmula'!F86,34)&lt;&gt;"",INDEX(properties!A$1:CB$87,'Fórmula'!F86,34)),IF(INDEX(properties!A$1:CB$87,'Fórmula'!H86,34)&lt;&gt;"",INDEX(properties!A$1:CB$87,'Fórmula'!H86,34)),IF(INDEX(properties!A$1:CB$87,'Fórmula'!J86,34)&lt;&gt;"",INDEX(properties!A$1:CB$87,'Fórmula'!J86,34)))</f>
        <v>1.14189096</v>
      </c>
      <c r="DI86" s="104">
        <f t="array" ref="DI86">MAX(INDEX(properties!A$1:CB$87,'Fórmula'!B86,34),INDEX(properties!A$1:CB$87,'Fórmula'!D86,34),INDEX(properties!A$1:CB$87,'Fórmula'!F86,34),INDEX(properties!A$1:CB$87,'Fórmula'!H86,34),INDEX(properties!A$1:CB$87,'Fórmula'!J86,34))</f>
        <v>3.61</v>
      </c>
      <c r="DJ86" s="104">
        <f t="array" ref="DJ86">MIN(IF(INDEX(properties!A$1:CB$87,'Fórmula'!B86,34)=0,10^6,INDEX(properties!A$1:CB$87,'Fórmula'!B86,34)),IF(INDEX(properties!A$1:CB$87,'Fórmula'!D86,34)=0,10^6,INDEX(properties!A$1:CB$87,'Fórmula'!D86,34)),IF(INDEX(properties!A$1:CB$87,'Fórmula'!F86,34)=0,10^6,INDEX(properties!A$1:CB$87,'Fórmula'!F86,34)),IF(INDEX(properties!A$1:CB$87,'Fórmula'!H86,34)=0,10^6,INDEX(properties!A$1:CB$87,'Fórmula'!H86,34)),IF(INDEX(properties!A$1:CB$87,'Fórmula'!J86,34)=0,10^6,INDEX(properties!A$1:CB$87,'Fórmula'!J86,34)))</f>
        <v>0.734</v>
      </c>
      <c r="DK86" s="104">
        <f t="shared" si="19"/>
        <v>2.876</v>
      </c>
      <c r="DL86" s="105">
        <f t="array" ref="DL86">(('Fórmula'!C86)/('Fórmula'!C86+'Fórmula'!E86+'Fórmula'!G86+'Fórmula'!I86+'Fórmula'!K86))*(INDEX(properties!A$1:CB$87,'Fórmula'!B86,37))+(('Fórmula'!E86)/('Fórmula'!C86+'Fórmula'!E86+'Fórmula'!G86+'Fórmula'!I86+'Fórmula'!K86))*(INDEX(properties!A$1:CB$87,'Fórmula'!D86,37))+(('Fórmula'!G86)/('Fórmula'!C86+'Fórmula'!E86+'Fórmula'!G86+'Fórmula'!I86+'Fórmula'!K86))*(INDEX(properties!A$1:CB$87,'Fórmula'!F86,37))+(('Fórmula'!I86)/('Fórmula'!C86+'Fórmula'!E86+'Fórmula'!G86+'Fórmula'!I86+'Fórmula'!K86))*(INDEX(properties!A$1:CB$87,'Fórmula'!H86,37))+(('Fórmula'!K86)/('Fórmula'!C86+'Fórmula'!E86+'Fórmula'!G86+'Fórmula'!I86+'Fórmula'!K86))*(INDEX(properties!A$1:CB$87,'Fórmula'!J86,37))</f>
        <v>2.5</v>
      </c>
      <c r="DM86" s="105">
        <f t="array" ref="DM86">'Fórmula'!C86*(INDEX(properties!A$1:CB$87,'Fórmula'!B86,37))+'Fórmula'!E86*(INDEX(properties!A$1:CB$87,'Fórmula'!D86,37))+'Fórmula'!G86*(INDEX(properties!A$1:CB$87,'Fórmula'!F86,37))+'Fórmula'!I86*(INDEX(properties!A$1:CB$87,'Fórmula'!H86,37))+'Fórmula'!K86*(INDEX(properties!A$1:CB$87,'Fórmula'!J86,37))</f>
        <v>27.5</v>
      </c>
      <c r="DN86" s="105">
        <f t="array" ref="DN86">VARP(IF(INDEX(properties!A$1:CB$87,'Fórmula'!B86,37)&lt;&gt;"",INDEX(properties!A$1:CB$87,'Fórmula'!B86,37)),IF(INDEX(properties!A$1:CB$87,'Fórmula'!D86,37)&lt;&gt;"",INDEX(properties!A$1:CB$87,'Fórmula'!D86,37)),IF(INDEX(properties!A$1:CB$87,'Fórmula'!F86,37)&lt;&gt;"",INDEX(properties!A$1:CB$87,'Fórmula'!F86,37)),IF(INDEX(properties!A$1:CB$87,'Fórmula'!H86,37)&lt;&gt;"",INDEX(properties!A$1:CB$87,'Fórmula'!H86,37)),IF(INDEX(properties!A$1:CB$87,'Fórmula'!J86,37)&lt;&gt;"",INDEX(properties!A$1:CB$87,'Fórmula'!J86,37)))</f>
        <v>0.9416</v>
      </c>
      <c r="DO86" s="105">
        <f t="array" ref="DO86">MAX(INDEX(properties!A$1:CB$87,'Fórmula'!B86,37),INDEX(properties!A$1:CB$87,'Fórmula'!D86,37),INDEX(properties!A$1:CB$87,'Fórmula'!F86,37),INDEX(properties!A$1:CB$87,'Fórmula'!H86,37),INDEX(properties!A$1:CB$87,'Fórmula'!J86,37))</f>
        <v>3.45</v>
      </c>
      <c r="DP86" s="105">
        <f t="array" ref="DP86">MIN(IF(INDEX(properties!A$1:CB$87,'Fórmula'!B86,37)=0,10^6,INDEX(properties!A$1:CB$87,'Fórmula'!B86,37)),IF(INDEX(properties!A$1:CB$87,'Fórmula'!D86,37)=0,10^6,INDEX(properties!A$1:CB$87,'Fórmula'!D86,37)),IF(INDEX(properties!A$1:CB$87,'Fórmula'!F86,37)=0,10^6,INDEX(properties!A$1:CB$87,'Fórmula'!F86,37)),IF(INDEX(properties!A$1:CB$87,'Fórmula'!H86,37)=0,10^6,INDEX(properties!A$1:CB$87,'Fórmula'!H86,37)),IF(INDEX(properties!A$1:CB$87,'Fórmula'!J86,37)=0,10^6,INDEX(properties!A$1:CB$87,'Fórmula'!J86,37)))</f>
        <v>0.8</v>
      </c>
      <c r="DQ86" s="105">
        <f t="shared" si="20"/>
        <v>2.65</v>
      </c>
      <c r="DR86" s="109">
        <f t="array" ref="DR86">(('Fórmula'!C86)/('Fórmula'!C86+'Fórmula'!E86+'Fórmula'!G86+'Fórmula'!I86+'Fórmula'!K86))*(INDEX(properties!A$1:CB$87,'Fórmula'!B86,39))+(('Fórmula'!E86)/('Fórmula'!C86+'Fórmula'!E86+'Fórmula'!G86+'Fórmula'!I86+'Fórmula'!K86))*(INDEX(properties!A$1:CB$87,'Fórmula'!D86,39))+(('Fórmula'!G86)/('Fórmula'!C86+'Fórmula'!E86+'Fórmula'!G86+'Fórmula'!I86+'Fórmula'!K86))*(INDEX(properties!A$1:CB$87,'Fórmula'!F86,39))+(('Fórmula'!I86)/('Fórmula'!C86+'Fórmula'!E86+'Fórmula'!G86+'Fórmula'!I86+'Fórmula'!K86))*(INDEX(properties!A$1:CB$87,'Fórmula'!H86,39))+(('Fórmula'!K86)/('Fórmula'!C86+'Fórmula'!E86+'Fórmula'!G86+'Fórmula'!I86+'Fórmula'!K86))*(INDEX(properties!A$1:CB$87,'Fórmula'!J86,39))</f>
        <v>1.063636364</v>
      </c>
      <c r="DS86" s="109">
        <f t="array" ref="DS86">'Fórmula'!C86*(INDEX(properties!A$1:CB$87,'Fórmula'!B86,39))+'Fórmula'!E86*(INDEX(properties!A$1:CB$87,'Fórmula'!D86,39))+'Fórmula'!G86*(INDEX(properties!A$1:CB$87,'Fórmula'!F86,39))+'Fórmula'!I86*(INDEX(properties!A$1:CB$87,'Fórmula'!H86,39))+'Fórmula'!K86*(INDEX(properties!A$1:CB$87,'Fórmula'!J86,39))</f>
        <v>11.7</v>
      </c>
      <c r="DT86" s="109">
        <f t="array" ref="DT86">VARP(IF(INDEX(properties!A$1:CB$87,'Fórmula'!B86,39)&lt;&gt;"",INDEX(properties!A$1:CB$87,'Fórmula'!B86,39)),IF(INDEX(properties!A$1:CB$87,'Fórmula'!D86,39)&lt;&gt;"",INDEX(properties!A$1:CB$87,'Fórmula'!D86,39)),IF(INDEX(properties!A$1:CB$87,'Fórmula'!F86,39)&lt;&gt;"",INDEX(properties!A$1:CB$87,'Fórmula'!F86,39)),IF(INDEX(properties!A$1:CB$87,'Fórmula'!H86,39)&lt;&gt;"",INDEX(properties!A$1:CB$87,'Fórmula'!H86,39)),IF(INDEX(properties!A$1:CB$87,'Fórmula'!J86,39)&lt;&gt;"",INDEX(properties!A$1:CB$87,'Fórmula'!J86,39)))</f>
        <v>0.714904</v>
      </c>
      <c r="DU86" s="120">
        <f t="array" ref="DU86">MAX(INDEX(properties!A$1:CB$87,'Fórmula'!B86,39),INDEX(properties!A$1:CB$87,'Fórmula'!D86,39),INDEX(properties!A$1:CB$87,'Fórmula'!F86,39),INDEX(properties!A$1:CB$87,'Fórmula'!H86,39),INDEX(properties!A$1:CB$87,'Fórmula'!J86,39))</f>
        <v>2.53</v>
      </c>
      <c r="DV86" s="120">
        <f t="array" ref="DV86">MIN(IF(INDEX(properties!A$1:CB$87,'Fórmula'!B86,39)=0,10^6,INDEX(properties!A$1:CB$87,'Fórmula'!B86,39)),IF(INDEX(properties!A$1:CB$87,'Fórmula'!D86,39)=0,10^6,INDEX(properties!A$1:CB$87,'Fórmula'!D86,39)),IF(INDEX(properties!A$1:CB$87,'Fórmula'!F86,39)=0,10^6,INDEX(properties!A$1:CB$87,'Fórmula'!F86,39)),IF(INDEX(properties!A$1:CB$87,'Fórmula'!H86,39)=0,10^6,INDEX(properties!A$1:CB$87,'Fórmula'!H86,39)),IF(INDEX(properties!A$1:CB$87,'Fórmula'!J86,39)=0,10^6,INDEX(properties!A$1:CB$87,'Fórmula'!J86,39)))</f>
        <v>0.48</v>
      </c>
      <c r="DW86" s="109">
        <f t="shared" si="21"/>
        <v>2.05</v>
      </c>
      <c r="DX86" s="110">
        <f t="array" ref="DX86">(('Fórmula'!C86)/('Fórmula'!C86+'Fórmula'!E86+'Fórmula'!G86+'Fórmula'!I86+'Fórmula'!K86))*(INDEX(properties!A$1:CB$87,'Fórmula'!B86,40))+(('Fórmula'!E86)/('Fórmula'!C86+'Fórmula'!E86+'Fórmula'!G86+'Fórmula'!I86+'Fórmula'!K86))*(INDEX(properties!A$1:CB$87,'Fórmula'!D86,40))+(('Fórmula'!G86)/('Fórmula'!C86+'Fórmula'!E86+'Fórmula'!G86+'Fórmula'!I86+'Fórmula'!K86))*(INDEX(properties!A$1:CB$87,'Fórmula'!F86,40))+(('Fórmula'!I86)/('Fórmula'!C86+'Fórmula'!E86+'Fórmula'!G86+'Fórmula'!I86+'Fórmula'!K86))*(INDEX(properties!A$1:CB$87,'Fórmula'!H86,40))+(('Fórmula'!K86)/('Fórmula'!C86+'Fórmula'!E86+'Fórmula'!G86+'Fórmula'!I86+'Fórmula'!K86))*(INDEX(properties!A$1:CB$87,'Fórmula'!J86,40))</f>
        <v>1.052727273</v>
      </c>
      <c r="DY86" s="110">
        <f t="array" ref="DY86">'Fórmula'!C86*(INDEX(properties!A$1:CB$87,'Fórmula'!B86,40))+'Fórmula'!E86*(INDEX(properties!A$1:CB$87,'Fórmula'!D86,40))+'Fórmula'!G86*(INDEX(properties!A$1:CB$87,'Fórmula'!F86,40))+'Fórmula'!I86*(INDEX(properties!A$1:CB$87,'Fórmula'!H86,40))+'Fórmula'!K86*(INDEX(properties!A$1:CB$87,'Fórmula'!J86,40))</f>
        <v>11.58</v>
      </c>
      <c r="DZ86" s="110">
        <f t="array" ref="DZ86">VARP(IF(INDEX(properties!A$1:CB$87,'Fórmula'!B86,40)&lt;&gt;"",INDEX(properties!A$1:CB$87,'Fórmula'!B86,40)),IF(INDEX(properties!A$1:CB$87,'Fórmula'!D86,40)&lt;&gt;"",INDEX(properties!A$1:CB$87,'Fórmula'!D86,40)),IF(INDEX(properties!A$1:CB$87,'Fórmula'!F86,40)&lt;&gt;"",INDEX(properties!A$1:CB$87,'Fórmula'!F86,40)),IF(INDEX(properties!A$1:CB$87,'Fórmula'!H86,40)&lt;&gt;"",INDEX(properties!A$1:CB$87,'Fórmula'!H86,40)),IF(INDEX(properties!A$1:CB$87,'Fórmula'!J86,40)&lt;&gt;"",INDEX(properties!A$1:CB$87,'Fórmula'!J86,40)))</f>
        <v>0.296256</v>
      </c>
      <c r="EA86" s="121">
        <f t="array" ref="EA86">MAX(INDEX(properties!A$1:CB$87,'Fórmula'!B86,40),INDEX(properties!A$1:CB$87,'Fórmula'!D86,40),INDEX(properties!A$1:CB$87,'Fórmula'!F86,40),INDEX(properties!A$1:CB$87,'Fórmula'!H86,40),INDEX(properties!A$1:CB$87,'Fórmula'!J86,40))</f>
        <v>1.98</v>
      </c>
      <c r="EB86" s="121">
        <f t="array" ref="EB86">MIN(IF(INDEX(properties!A$1:CB$87,'Fórmula'!B86,40)=0,10^6,INDEX(properties!A$1:CB$87,'Fórmula'!B86,40)),IF(INDEX(properties!A$1:CB$87,'Fórmula'!D86,40)=0,10^6,INDEX(properties!A$1:CB$87,'Fórmula'!D86,40)),IF(INDEX(properties!A$1:CB$87,'Fórmula'!F86,40)=0,10^6,INDEX(properties!A$1:CB$87,'Fórmula'!F86,40)),IF(INDEX(properties!A$1:CB$87,'Fórmula'!H86,40)=0,10^6,INDEX(properties!A$1:CB$87,'Fórmula'!H86,40)),IF(INDEX(properties!A$1:CB$87,'Fórmula'!J86,40)=0,10^6,INDEX(properties!A$1:CB$87,'Fórmula'!J86,40)))</f>
        <v>0.73</v>
      </c>
      <c r="EC86" s="110">
        <f t="shared" si="22"/>
        <v>1.25</v>
      </c>
      <c r="ED86" s="111">
        <f t="array" ref="ED86">(('Fórmula'!C86)/('Fórmula'!C86+'Fórmula'!E86+'Fórmula'!G86+'Fórmula'!I86+'Fórmula'!K86))*(INDEX(properties!A$1:CB$87,'Fórmula'!B86,41))+(('Fórmula'!E86)/('Fórmula'!C86+'Fórmula'!E86+'Fórmula'!G86+'Fórmula'!I86+'Fórmula'!K86))*(INDEX(properties!A$1:CB$87,'Fórmula'!D86,41))+(('Fórmula'!G86)/('Fórmula'!C86+'Fórmula'!E86+'Fórmula'!G86+'Fórmula'!I86+'Fórmula'!K86))*(INDEX(properties!A$1:CB$87,'Fórmula'!F86,41))+(('Fórmula'!I86)/('Fórmula'!C86+'Fórmula'!E86+'Fórmula'!G86+'Fórmula'!I86+'Fórmula'!K86))*(INDEX(properties!A$1:CB$87,'Fórmula'!H86,41))+(('Fórmula'!K86)/('Fórmula'!C86+'Fórmula'!E86+'Fórmula'!G86+'Fórmula'!I86+'Fórmula'!K86))*(INDEX(properties!A$1:CB$87,'Fórmula'!J86,41))</f>
        <v>1.13</v>
      </c>
      <c r="EE86" s="111">
        <f t="array" ref="EE86">'Fórmula'!C86*(INDEX(properties!A$1:CB$87,'Fórmula'!B86,41))+'Fórmula'!E86*(INDEX(properties!A$1:CB$87,'Fórmula'!D86,41))+'Fórmula'!G86*(INDEX(properties!A$1:CB$87,'Fórmula'!F86,41))+'Fórmula'!I86*(INDEX(properties!A$1:CB$87,'Fórmula'!H86,41))+'Fórmula'!K86*(INDEX(properties!A$1:CB$87,'Fórmula'!J86,41))</f>
        <v>12.43</v>
      </c>
      <c r="EF86" s="111">
        <f t="array" ref="EF86">VARP(IF(INDEX(properties!A$1:CB$87,'Fórmula'!B86,41)&lt;&gt;"",INDEX(properties!A$1:CB$87,'Fórmula'!B86,41)),IF(INDEX(properties!A$1:CB$87,'Fórmula'!D86,41)&lt;&gt;"",INDEX(properties!A$1:CB$87,'Fórmula'!D86,41)),IF(INDEX(properties!A$1:CB$87,'Fórmula'!F86,41)&lt;&gt;"",INDEX(properties!A$1:CB$87,'Fórmula'!F86,41)),IF(INDEX(properties!A$1:CB$87,'Fórmula'!H86,41)&lt;&gt;"",INDEX(properties!A$1:CB$87,'Fórmula'!H86,41)),IF(INDEX(properties!A$1:CB$87,'Fórmula'!J86,41)&lt;&gt;"",INDEX(properties!A$1:CB$87,'Fórmula'!J86,41)))</f>
        <v>0.164824</v>
      </c>
      <c r="EG86" s="122">
        <f t="array" ref="EG86">MAX(INDEX(properties!A$1:CB$87,'Fórmula'!B86,41),INDEX(properties!A$1:CB$87,'Fórmula'!D86,41),INDEX(properties!A$1:CB$87,'Fórmula'!F86,41),INDEX(properties!A$1:CB$87,'Fórmula'!H86,41),INDEX(properties!A$1:CB$87,'Fórmula'!J86,41))</f>
        <v>1.52</v>
      </c>
      <c r="EH86" s="122">
        <f t="array" ref="EH86">MIN(IF(INDEX(properties!A$1:CB$87,'Fórmula'!B86,41)=0,10^6,INDEX(properties!A$1:CB$87,'Fórmula'!B86,41)),IF(INDEX(properties!A$1:CB$87,'Fórmula'!D86,41)=0,10^6,INDEX(properties!A$1:CB$87,'Fórmula'!D86,41)),IF(INDEX(properties!A$1:CB$87,'Fórmula'!F86,41)=0,10^6,INDEX(properties!A$1:CB$87,'Fórmula'!F86,41)),IF(INDEX(properties!A$1:CB$87,'Fórmula'!H86,41)=0,10^6,INDEX(properties!A$1:CB$87,'Fórmula'!H86,41)),IF(INDEX(properties!A$1:CB$87,'Fórmula'!J86,41)=0,10^6,INDEX(properties!A$1:CB$87,'Fórmula'!J86,41)))</f>
        <v>0.41</v>
      </c>
      <c r="EI86" s="111">
        <f t="shared" si="23"/>
        <v>1.11</v>
      </c>
      <c r="EJ86" s="112">
        <f t="array" ref="EJ86">(('Fórmula'!C86)/('Fórmula'!C86+'Fórmula'!E86+'Fórmula'!G86+'Fórmula'!I86+'Fórmula'!K86))*(INDEX(properties!A$1:CB$87,'Fórmula'!B86,45))+(('Fórmula'!E86)/('Fórmula'!C86+'Fórmula'!E86+'Fórmula'!G86+'Fórmula'!I86+'Fórmula'!K86))*(INDEX(properties!A$1:CB$87,'Fórmula'!D86,45))+(('Fórmula'!G86)/('Fórmula'!C86+'Fórmula'!E86+'Fórmula'!G86+'Fórmula'!I86+'Fórmula'!K86))*(INDEX(properties!A$1:CB$87,'Fórmula'!F86,45))+(('Fórmula'!I86)/('Fórmula'!C86+'Fórmula'!E86+'Fórmula'!G86+'Fórmula'!I86+'Fórmula'!K86))*(INDEX(properties!A$1:CB$87,'Fórmula'!H86,45))+(('Fórmula'!K86)/('Fórmula'!C86+'Fórmula'!E86+'Fórmula'!G86+'Fórmula'!I86+'Fórmula'!K86))*(INDEX(properties!A$1:CB$87,'Fórmula'!J86,45))</f>
        <v>1.313636364</v>
      </c>
      <c r="EK86" s="112">
        <f t="array" ref="EK86">'Fórmula'!C86*(INDEX(properties!A$1:CB$87,'Fórmula'!B86,45))+'Fórmula'!E86*(INDEX(properties!A$1:CB$87,'Fórmula'!D86,45))+'Fórmula'!G86*(INDEX(properties!A$1:CB$87,'Fórmula'!F86,45))+'Fórmula'!I86*(INDEX(properties!A$1:CB$87,'Fórmula'!H86,45))+'Fórmula'!K86*(INDEX(properties!A$1:CB$87,'Fórmula'!J86,45))</f>
        <v>14.45</v>
      </c>
      <c r="EL86" s="112">
        <f t="array" ref="EL86">VARP(IF(INDEX(properties!A$1:CB$87,'Fórmula'!B86,45)&lt;&gt;"",INDEX(properties!A$1:CB$87,'Fórmula'!B86,45)),IF(INDEX(properties!A$1:CB$87,'Fórmula'!D86,45)&lt;&gt;"",INDEX(properties!A$1:CB$87,'Fórmula'!D86,45)),IF(INDEX(properties!A$1:CB$87,'Fórmula'!F86,45)&lt;&gt;"",INDEX(properties!A$1:CB$87,'Fórmula'!F86,45)),IF(INDEX(properties!A$1:CB$87,'Fórmula'!H86,45)&lt;&gt;"",INDEX(properties!A$1:CB$87,'Fórmula'!H86,45)),IF(INDEX(properties!A$1:CB$87,'Fórmula'!J86,45)&lt;&gt;"",INDEX(properties!A$1:CB$87,'Fórmula'!J86,45)))</f>
        <v>1.82852</v>
      </c>
      <c r="EM86" s="123">
        <f t="array" ref="EM86">MAX(INDEX(properties!A$1:CB$87,'Fórmula'!B86,45),INDEX(properties!A$1:CB$87,'Fórmula'!D86,45),INDEX(properties!A$1:CB$87,'Fórmula'!F86,45),INDEX(properties!A$1:CB$87,'Fórmula'!H86,45),INDEX(properties!A$1:CB$87,'Fórmula'!J86,45))</f>
        <v>3.69</v>
      </c>
      <c r="EN86" s="123">
        <f t="array" ref="EN86">MIN(IF(INDEX(properties!A$1:CB$87,'Fórmula'!B86,45)=0,10^6,INDEX(properties!A$1:CB$87,'Fórmula'!B86,45)),IF(INDEX(properties!A$1:CB$87,'Fórmula'!D86,45)=0,10^6,INDEX(properties!A$1:CB$87,'Fórmula'!D86,45)),IF(INDEX(properties!A$1:CB$87,'Fórmula'!F86,45)=0,10^6,INDEX(properties!A$1:CB$87,'Fórmula'!F86,45)),IF(INDEX(properties!A$1:CB$87,'Fórmula'!H86,45)=0,10^6,INDEX(properties!A$1:CB$87,'Fórmula'!H86,45)),IF(INDEX(properties!A$1:CB$87,'Fórmula'!J86,45)=0,10^6,INDEX(properties!A$1:CB$87,'Fórmula'!J86,45)))</f>
        <v>0.47</v>
      </c>
      <c r="EO86" s="112">
        <f t="shared" si="24"/>
        <v>3.22</v>
      </c>
      <c r="EP86" s="113">
        <f t="array" ref="EP86">(('Fórmula'!C86)/('Fórmula'!C86+'Fórmula'!E86+'Fórmula'!G86+'Fórmula'!I86+'Fórmula'!K86))*(INDEX(properties!A$1:CB$87,'Fórmula'!B86,46))+(('Fórmula'!E86)/('Fórmula'!C86+'Fórmula'!E86+'Fórmula'!G86+'Fórmula'!I86+'Fórmula'!K86))*(INDEX(properties!A$1:CB$87,'Fórmula'!D86,46))+(('Fórmula'!G86)/('Fórmula'!C86+'Fórmula'!E86+'Fórmula'!G86+'Fórmula'!I86+'Fórmula'!K86))*(INDEX(properties!A$1:CB$87,'Fórmula'!F86,46))+(('Fórmula'!I86)/('Fórmula'!C86+'Fórmula'!E86+'Fórmula'!G86+'Fórmula'!I86+'Fórmula'!K86))*(INDEX(properties!A$1:CB$87,'Fórmula'!H86,46))+(('Fórmula'!K86)/('Fórmula'!C86+'Fórmula'!E86+'Fórmula'!G86+'Fórmula'!I86+'Fórmula'!K86))*(INDEX(properties!A$1:CB$87,'Fórmula'!J86,46))</f>
        <v>1.073636364</v>
      </c>
      <c r="EQ86" s="113">
        <f t="array" ref="EQ86">'Fórmula'!C86*(INDEX(properties!A$1:CB$87,'Fórmula'!B86,46))+'Fórmula'!E86*(INDEX(properties!A$1:CB$87,'Fórmula'!D86,46))+'Fórmula'!G86*(INDEX(properties!A$1:CB$87,'Fórmula'!F86,46))+'Fórmula'!I86*(INDEX(properties!A$1:CB$87,'Fórmula'!H86,46))+'Fórmula'!K86*(INDEX(properties!A$1:CB$87,'Fórmula'!J86,46))</f>
        <v>11.81</v>
      </c>
      <c r="ER86" s="113">
        <f t="array" ref="ER86">VARP(IF(INDEX(properties!A$1:CB$87,'Fórmula'!B86,46)&lt;&gt;"",INDEX(properties!A$1:CB$87,'Fórmula'!B86,46)),IF(INDEX(properties!A$1:CB$87,'Fórmula'!D86,46)&lt;&gt;"",INDEX(properties!A$1:CB$87,'Fórmula'!D86,46)),IF(INDEX(properties!A$1:CB$87,'Fórmula'!F86,46)&lt;&gt;"",INDEX(properties!A$1:CB$87,'Fórmula'!F86,46)),IF(INDEX(properties!A$1:CB$87,'Fórmula'!H86,46)&lt;&gt;"",INDEX(properties!A$1:CB$87,'Fórmula'!H86,46)),IF(INDEX(properties!A$1:CB$87,'Fórmula'!J86,46)&lt;&gt;"",INDEX(properties!A$1:CB$87,'Fórmula'!J86,46)))</f>
        <v>0.213336</v>
      </c>
      <c r="ES86" s="124">
        <f t="array" ref="ES86">MAX(INDEX(properties!A$1:CB$87,'Fórmula'!B86,46),INDEX(properties!A$1:CB$87,'Fórmula'!D86,46),INDEX(properties!A$1:CB$87,'Fórmula'!F86,46),INDEX(properties!A$1:CB$87,'Fórmula'!H86,46),INDEX(properties!A$1:CB$87,'Fórmula'!J86,46))</f>
        <v>1.52</v>
      </c>
      <c r="ET86" s="124">
        <f t="array" ref="ET86">MIN(IF(INDEX(properties!A$1:CB$87,'Fórmula'!B86,46)=0,10^6,INDEX(properties!A$1:CB$87,'Fórmula'!B86,46)),IF(INDEX(properties!A$1:CB$87,'Fórmula'!D86,46)=0,10^6,INDEX(properties!A$1:CB$87,'Fórmula'!D86,46)),IF(INDEX(properties!A$1:CB$87,'Fórmula'!F86,46)=0,10^6,INDEX(properties!A$1:CB$87,'Fórmula'!F86,46)),IF(INDEX(properties!A$1:CB$87,'Fórmula'!H86,46)=0,10^6,INDEX(properties!A$1:CB$87,'Fórmula'!H86,46)),IF(INDEX(properties!A$1:CB$87,'Fórmula'!J86,46)=0,10^6,INDEX(properties!A$1:CB$87,'Fórmula'!J86,46)))</f>
        <v>0.25</v>
      </c>
      <c r="EU86" s="113">
        <f t="shared" si="25"/>
        <v>1.27</v>
      </c>
      <c r="EV86" s="114">
        <f t="array" ref="EV86">(('Fórmula'!C86)/('Fórmula'!C86+'Fórmula'!E86+'Fórmula'!G86+'Fórmula'!I86+'Fórmula'!K86))*(INDEX(properties!A$1:CB$87,'Fórmula'!B86,52))+(('Fórmula'!E86)/('Fórmula'!C86+'Fórmula'!E86+'Fórmula'!G86+'Fórmula'!I86+'Fórmula'!K86))*(INDEX(properties!A$1:CB$87,'Fórmula'!D86,52))+(('Fórmula'!G86)/('Fórmula'!C86+'Fórmula'!E86+'Fórmula'!G86+'Fórmula'!I86+'Fórmula'!K86))*(INDEX(properties!A$1:CB$87,'Fórmula'!F86,52))+(('Fórmula'!I86)/('Fórmula'!C86+'Fórmula'!E86+'Fórmula'!G86+'Fórmula'!I86+'Fórmula'!K86))*(INDEX(properties!A$1:CB$87,'Fórmula'!H86,52))+(('Fórmula'!K86)/('Fórmula'!C86+'Fórmula'!E86+'Fórmula'!G86+'Fórmula'!I86+'Fórmula'!K86))*(INDEX(properties!A$1:CB$87,'Fórmula'!J86,52))</f>
        <v>10.59618182</v>
      </c>
      <c r="EW86" s="114">
        <f t="array" ref="EW86">'Fórmula'!C86*(INDEX(properties!A$1:CB$87,'Fórmula'!B86,52))+'Fórmula'!E86*(INDEX(properties!A$1:CB$87,'Fórmula'!D86,52))+'Fórmula'!G86*(INDEX(properties!A$1:CB$87,'Fórmula'!F86,52))+'Fórmula'!I86*(INDEX(properties!A$1:CB$87,'Fórmula'!H86,52))+'Fórmula'!K86*(INDEX(properties!A$1:CB$87,'Fórmula'!J86,52))</f>
        <v>116.558</v>
      </c>
      <c r="EX86" s="114">
        <f t="array" ref="EX86">VARP(IF(INDEX(properties!A$1:CB$87,'Fórmula'!B86,52)&lt;&gt;"",INDEX(properties!A$1:CB$87,'Fórmula'!B86,52)),IF(INDEX(properties!A$1:CB$87,'Fórmula'!D86,52)&lt;&gt;"",INDEX(properties!A$1:CB$87,'Fórmula'!D86,52)),IF(INDEX(properties!A$1:CB$87,'Fórmula'!F86,52)&lt;&gt;"",INDEX(properties!A$1:CB$87,'Fórmula'!F86,52)),IF(INDEX(properties!A$1:CB$87,'Fórmula'!H86,52)&lt;&gt;"",INDEX(properties!A$1:CB$87,'Fórmula'!H86,52)),IF(INDEX(properties!A$1:CB$87,'Fórmula'!J86,52)&lt;&gt;"",INDEX(properties!A$1:CB$87,'Fórmula'!J86,52)))</f>
        <v>316.4887438</v>
      </c>
      <c r="EY86" s="114">
        <f t="array" ref="EY86">MAX(INDEX(properties!A$1:CB$87,'Fórmula'!B86,52),INDEX(properties!A$1:CB$87,'Fórmula'!D86,52),INDEX(properties!A$1:CB$87,'Fórmula'!F86,52),INDEX(properties!A$1:CB$87,'Fórmula'!H86,52),INDEX(properties!A$1:CB$87,'Fórmula'!J86,52))</f>
        <v>43.4</v>
      </c>
      <c r="EZ86" s="114">
        <f t="array" ref="EZ86">MIN(IF(INDEX(properties!A$1:CB$87,'Fórmula'!B86,52)=0,10^6,INDEX(properties!A$1:CB$87,'Fórmula'!B86,52)),IF(INDEX(properties!A$1:CB$87,'Fórmula'!D86,52)=0,10^6,INDEX(properties!A$1:CB$87,'Fórmula'!D86,52)),IF(INDEX(properties!A$1:CB$87,'Fórmula'!F86,52)=0,10^6,INDEX(properties!A$1:CB$87,'Fórmula'!F86,52)),IF(INDEX(properties!A$1:CB$87,'Fórmula'!H86,52)=0,10^6,INDEX(properties!A$1:CB$87,'Fórmula'!H86,52)),IF(INDEX(properties!A$1:CB$87,'Fórmula'!J86,52)=0,10^6,INDEX(properties!A$1:CB$87,'Fórmula'!J86,52)))</f>
        <v>0.793</v>
      </c>
      <c r="FA86" s="114">
        <f t="shared" si="26"/>
        <v>42.607</v>
      </c>
      <c r="FB86" s="115">
        <f t="array" ref="FB86">(('Fórmula'!C86)/('Fórmula'!C86+'Fórmula'!E86+'Fórmula'!G86+'Fórmula'!I86+'Fórmula'!K86))*(INDEX(properties!A$1:CB$87,'Fórmula'!B86,53))+(('Fórmula'!E86)/('Fórmula'!C86+'Fórmula'!E86+'Fórmula'!G86+'Fórmula'!I86+'Fórmula'!K86))*(INDEX(properties!A$1:CB$87,'Fórmula'!D86,53))+(('Fórmula'!G86)/('Fórmula'!C86+'Fórmula'!E86+'Fórmula'!G86+'Fórmula'!I86+'Fórmula'!K86))*(INDEX(properties!A$1:CB$87,'Fórmula'!F86,53))+(('Fórmula'!I86)/('Fórmula'!C86+'Fórmula'!E86+'Fórmula'!G86+'Fórmula'!I86+'Fórmula'!K86))*(INDEX(properties!A$1:CB$87,'Fórmula'!H86,53))+(('Fórmula'!K86)/('Fórmula'!C86+'Fórmula'!E86+'Fórmula'!G86+'Fórmula'!I86+'Fórmula'!K86))*(INDEX(properties!A$1:CB$87,'Fórmula'!J86,53))</f>
        <v>742.1363636</v>
      </c>
      <c r="FC86" s="115">
        <f t="array" ref="FC86">'Fórmula'!C86*(INDEX(properties!A$1:CB$87,'Fórmula'!B86,53))+'Fórmula'!E86*(INDEX(properties!A$1:CB$87,'Fórmula'!D86,53))+'Fórmula'!G86*(INDEX(properties!A$1:CB$87,'Fórmula'!F86,53))+'Fórmula'!I86*(INDEX(properties!A$1:CB$87,'Fórmula'!H86,53))+'Fórmula'!K86*(INDEX(properties!A$1:CB$87,'Fórmula'!J86,53))</f>
        <v>8163.5</v>
      </c>
      <c r="FD86" s="115">
        <f t="array" ref="FD86">VARP(IF(INDEX(properties!A$1:CB$87,'Fórmula'!B86,53)&lt;&gt;"",INDEX(properties!A$1:CB$87,'Fórmula'!B86,53)),IF(INDEX(properties!A$1:CB$87,'Fórmula'!D86,53)&lt;&gt;"",INDEX(properties!A$1:CB$87,'Fórmula'!D86,53)),IF(INDEX(properties!A$1:CB$87,'Fórmula'!F86,53)&lt;&gt;"",INDEX(properties!A$1:CB$87,'Fórmula'!F86,53)),IF(INDEX(properties!A$1:CB$87,'Fórmula'!H86,53)&lt;&gt;"",INDEX(properties!A$1:CB$87,'Fórmula'!H86,53)),IF(INDEX(properties!A$1:CB$87,'Fórmula'!J86,53)&lt;&gt;"",INDEX(properties!A$1:CB$87,'Fórmula'!J86,53)))</f>
        <v>747645.5276</v>
      </c>
      <c r="FE86" s="115">
        <f t="array" ref="FE86">MAX(INDEX(properties!A$1:CB$87,'Fórmula'!B86,53),INDEX(properties!A$1:CB$87,'Fórmula'!D86,53),INDEX(properties!A$1:CB$87,'Fórmula'!F86,53),INDEX(properties!A$1:CB$87,'Fórmula'!H86,53),INDEX(properties!A$1:CB$87,'Fórmula'!J86,53))</f>
        <v>2352.15</v>
      </c>
      <c r="FF86" s="115">
        <f t="array" ref="FF86">MIN(IF(INDEX(properties!A$1:CB$87,'Fórmula'!B86,53)=0,10^6,INDEX(properties!A$1:CB$87,'Fórmula'!B86,53)),IF(INDEX(properties!A$1:CB$87,'Fórmula'!D86,53)=0,10^6,INDEX(properties!A$1:CB$87,'Fórmula'!D86,53)),IF(INDEX(properties!A$1:CB$87,'Fórmula'!F86,53)=0,10^6,INDEX(properties!A$1:CB$87,'Fórmula'!F86,53)),IF(INDEX(properties!A$1:CB$87,'Fórmula'!H86,53)=0,10^6,INDEX(properties!A$1:CB$87,'Fórmula'!H86,53)),IF(INDEX(properties!A$1:CB$87,'Fórmula'!J86,53)=0,10^6,INDEX(properties!A$1:CB$87,'Fórmula'!J86,53)))</f>
        <v>54.75</v>
      </c>
      <c r="FG86" s="115">
        <f t="shared" si="27"/>
        <v>2297.4</v>
      </c>
      <c r="FH86" s="117">
        <f t="array" ref="FH86">(('Fórmula'!C86)/('Fórmula'!C86+'Fórmula'!E86+'Fórmula'!G86+'Fórmula'!I86+'Fórmula'!K86))*(INDEX(properties!A$1:CB$87,'Fórmula'!B86,54))+(('Fórmula'!E86)/('Fórmula'!C86+'Fórmula'!E86+'Fórmula'!G86+'Fórmula'!I86+'Fórmula'!K86))*(INDEX(properties!A$1:CB$87,'Fórmula'!D86,54))+(('Fórmula'!G86)/('Fórmula'!C86+'Fórmula'!E86+'Fórmula'!G86+'Fórmula'!I86+'Fórmula'!K86))*(INDEX(properties!A$1:CB$87,'Fórmula'!F86,54))+(('Fórmula'!I86)/('Fórmula'!C86+'Fórmula'!E86+'Fórmula'!G86+'Fórmula'!I86+'Fórmula'!K86))*(INDEX(properties!A$1:CB$87,'Fórmula'!H86,54))+(('Fórmula'!K86)/('Fórmula'!C86+'Fórmula'!E86+'Fórmula'!G86+'Fórmula'!I86+'Fórmula'!K86))*(INDEX(properties!A$1:CB$87,'Fórmula'!J86,54))</f>
        <v>1422.486364</v>
      </c>
      <c r="FI86" s="117">
        <f t="array" ref="FI86">'Fórmula'!C86*(INDEX(properties!A$1:CB$87,'Fórmula'!B86,54))+'Fórmula'!E86*(INDEX(properties!A$1:CB$87,'Fórmula'!D86,54))+'Fórmula'!G86*(INDEX(properties!A$1:CB$87,'Fórmula'!F86,54))+'Fórmula'!I86*(INDEX(properties!A$1:CB$87,'Fórmula'!H86,54))+'Fórmula'!K86*(INDEX(properties!A$1:CB$87,'Fórmula'!J86,54))</f>
        <v>15647.35</v>
      </c>
      <c r="FJ86" s="117">
        <f t="array" ref="FJ86">VARP(IF(INDEX(properties!A$1:CB$87,'Fórmula'!B86,54)&lt;&gt;"",INDEX(properties!A$1:CB$87,'Fórmula'!B86,54)),IF(INDEX(properties!A$1:CB$87,'Fórmula'!D86,54)&lt;&gt;"",INDEX(properties!A$1:CB$87,'Fórmula'!D86,54)),IF(INDEX(properties!A$1:CB$87,'Fórmula'!F86,54)&lt;&gt;"",INDEX(properties!A$1:CB$87,'Fórmula'!F86,54)),IF(INDEX(properties!A$1:CB$87,'Fórmula'!H86,54)&lt;&gt;"",INDEX(properties!A$1:CB$87,'Fórmula'!H86,54)),IF(INDEX(properties!A$1:CB$87,'Fórmula'!J86,54)&lt;&gt;"",INDEX(properties!A$1:CB$87,'Fórmula'!J86,54)))</f>
        <v>2437641.516</v>
      </c>
      <c r="FK86" s="117">
        <f t="array" ref="FK86">MAX(INDEX(properties!A$1:CB$87,'Fórmula'!B86,54),INDEX(properties!A$1:CB$87,'Fórmula'!D86,54),INDEX(properties!A$1:CB$87,'Fórmula'!F86,54),INDEX(properties!A$1:CB$87,'Fórmula'!H86,54),INDEX(properties!A$1:CB$87,'Fórmula'!J86,54))</f>
        <v>4275</v>
      </c>
      <c r="FL86" s="117">
        <f t="array" ref="FL86">MIN(IF(INDEX(properties!A$1:CB$87,'Fórmula'!B86,54)=0,10^6,INDEX(properties!A$1:CB$87,'Fórmula'!B86,54)),IF(INDEX(properties!A$1:CB$87,'Fórmula'!D86,54)=0,10^6,INDEX(properties!A$1:CB$87,'Fórmula'!D86,54)),IF(INDEX(properties!A$1:CB$87,'Fórmula'!F86,54)=0,10^6,INDEX(properties!A$1:CB$87,'Fórmula'!F86,54)),IF(INDEX(properties!A$1:CB$87,'Fórmula'!H86,54)=0,10^6,INDEX(properties!A$1:CB$87,'Fórmula'!H86,54)),IF(INDEX(properties!A$1:CB$87,'Fórmula'!J86,54)=0,10^6,INDEX(properties!A$1:CB$87,'Fórmula'!J86,54)))</f>
        <v>90.15</v>
      </c>
      <c r="FM86" s="117">
        <f t="shared" si="28"/>
        <v>4184.85</v>
      </c>
      <c r="FN86" s="118">
        <f t="array" ref="FN86">(('Fórmula'!C86)/('Fórmula'!C86+'Fórmula'!E86+'Fórmula'!G86+'Fórmula'!I86+'Fórmula'!K86))*(INDEX(properties!A$1:CB$87,'Fórmula'!B86,55))+(('Fórmula'!E86)/('Fórmula'!C86+'Fórmula'!E86+'Fórmula'!G86+'Fórmula'!I86+'Fórmula'!K86))*(INDEX(properties!A$1:CB$87,'Fórmula'!D86,55))+(('Fórmula'!G86)/('Fórmula'!C86+'Fórmula'!E86+'Fórmula'!G86+'Fórmula'!I86+'Fórmula'!K86))*(INDEX(properties!A$1:CB$87,'Fórmula'!F86,55))+(('Fórmula'!I86)/('Fórmula'!C86+'Fórmula'!E86+'Fórmula'!G86+'Fórmula'!I86+'Fórmula'!K86))*(INDEX(properties!A$1:CB$87,'Fórmula'!H86,55))+(('Fórmula'!K86)/('Fórmula'!C86+'Fórmula'!E86+'Fórmula'!G86+'Fórmula'!I86+'Fórmula'!K86))*(INDEX(properties!A$1:CB$87,'Fórmula'!J86,55))</f>
        <v>1.228961818</v>
      </c>
      <c r="FO86" s="118">
        <f t="array" ref="FO86">'Fórmula'!C86*(INDEX(properties!A$1:CB$87,'Fórmula'!B86,55))+'Fórmula'!E86*(INDEX(properties!A$1:CB$87,'Fórmula'!D86,54))+'Fórmula'!G86*(INDEX(properties!A$1:CB$87,'Fórmula'!F86,55))+'Fórmula'!I86*(INDEX(properties!A$1:CB$87,'Fórmula'!H86,55))+'Fórmula'!K86*(INDEX(properties!A$1:CB$87,'Fórmula'!J86,55))</f>
        <v>1923.16858</v>
      </c>
      <c r="FP86" s="118">
        <f t="array" ref="FP86">VARP(IF(INDEX(properties!A$1:CB$87,'Fórmula'!B86,55)&lt;&gt;"",INDEX(properties!A$1:CB$87,'Fórmula'!B86,55)),IF(INDEX(properties!A$1:CB$87,'Fórmula'!D86,55)&lt;&gt;"",INDEX(properties!A$1:CB$87,'Fórmula'!D86,55)),IF(INDEX(properties!A$1:CB$87,'Fórmula'!F86,55)&lt;&gt;"",INDEX(properties!A$1:CB$87,'Fórmula'!F86,55)),IF(INDEX(properties!A$1:CB$87,'Fórmula'!H86,55)&lt;&gt;"",INDEX(properties!A$1:CB$87,'Fórmula'!H86,55)),IF(INDEX(properties!A$1:CB$87,'Fórmula'!J86,55)&lt;&gt;"",INDEX(properties!A$1:CB$87,'Fórmula'!J86,55)))</f>
        <v>2.697186479</v>
      </c>
      <c r="FQ86" s="118">
        <f t="array" ref="FQ86">MAX(INDEX(properties!A$1:CB$87,'Fórmula'!B86,55),INDEX(properties!A$1:CB$87,'Fórmula'!D86,55),INDEX(properties!A$1:CB$87,'Fórmula'!F86,55),INDEX(properties!A$1:CB$87,'Fórmula'!H86,55),INDEX(properties!A$1:CB$87,'Fórmula'!J86,55))</f>
        <v>4.47</v>
      </c>
      <c r="FR86" s="118">
        <f t="array" ref="FR86">MIN(IF(INDEX(properties!A$1:CB$87,'Fórmula'!B86,55)=0,10^6,INDEX(properties!A$1:CB$87,'Fórmula'!B86,55)),IF(INDEX(properties!A$1:CB$87,'Fórmula'!D86,55)=0,10^6,INDEX(properties!A$1:CB$87,'Fórmula'!D86,55)),IF(INDEX(properties!A$1:CB$87,'Fórmula'!F86,55)=0,10^6,INDEX(properties!A$1:CB$87,'Fórmula'!F86,55)),IF(INDEX(properties!A$1:CB$87,'Fórmula'!H86,55)=0,10^6,INDEX(properties!A$1:CB$87,'Fórmula'!H86,55)),IF(INDEX(properties!A$1:CB$87,'Fórmula'!J86,55)=0,10^6,INDEX(properties!A$1:CB$87,'Fórmula'!J86,55)))</f>
        <v>0.00143</v>
      </c>
      <c r="FS86" s="118">
        <f t="shared" si="29"/>
        <v>4.46857</v>
      </c>
      <c r="FT86" s="119">
        <f t="array" ref="FT86">(('Fórmula'!C86)/('Fórmula'!C86+'Fórmula'!E86+'Fórmula'!G86+'Fórmula'!I86+'Fórmula'!K86))*(INDEX(properties!A$1:CB$87,'Fórmula'!B86,56))+(('Fórmula'!E86)/('Fórmula'!C86+'Fórmula'!E86+'Fórmula'!G86+'Fórmula'!I86+'Fórmula'!K86))*(INDEX(properties!A$1:CB$87,'Fórmula'!D86,56))+(('Fórmula'!G86)/('Fórmula'!C86+'Fórmula'!E86+'Fórmula'!G86+'Fórmula'!I86+'Fórmula'!K86))*(INDEX(properties!A$1:CB$87,'Fórmula'!F86,56))+(('Fórmula'!I86)/('Fórmula'!C86+'Fórmula'!E86+'Fórmula'!G86+'Fórmula'!I86+'Fórmula'!K86))*(INDEX(properties!A$1:CB$87,'Fórmula'!H86,56))+(('Fórmula'!K86)/('Fórmula'!C86+'Fórmula'!E86+'Fórmula'!G86+'Fórmula'!I86+'Fórmula'!K86))*(INDEX(properties!A$1:CB$87,'Fórmula'!J86,56))</f>
        <v>0.8012727273</v>
      </c>
      <c r="FU86" s="119">
        <f t="array" ref="FU86">'Fórmula'!C86*(INDEX(properties!A$1:CB$87,'Fórmula'!B86,56))+'Fórmula'!E86*(INDEX(properties!A$1:CB$87,'Fórmula'!D86,56))+'Fórmula'!G86*(INDEX(properties!A$1:CB$87,'Fórmula'!F86,56))+'Fórmula'!I86*(INDEX(properties!A$1:CB$87,'Fórmula'!H86,56))+'Fórmula'!K86*(INDEX(properties!A$1:CB$87,'Fórmula'!J86,56))</f>
        <v>8.814</v>
      </c>
      <c r="FV86" s="119">
        <f t="array" ref="FV86">VARP(IF(INDEX(properties!A$1:CB$87,'Fórmula'!B86,56)&lt;&gt;"",INDEX(properties!A$1:CB$87,'Fórmula'!B86,56)),IF(INDEX(properties!A$1:CB$87,'Fórmula'!D86,56)&lt;&gt;"",INDEX(properties!A$1:CB$87,'Fórmula'!D86,56)),IF(INDEX(properties!A$1:CB$87,'Fórmula'!F86,56)&lt;&gt;"",INDEX(properties!A$1:CB$87,'Fórmula'!F86,56)),IF(INDEX(properties!A$1:CB$87,'Fórmula'!H86,56)&lt;&gt;"",INDEX(properties!A$1:CB$87,'Fórmula'!H86,56)),IF(INDEX(properties!A$1:CB$87,'Fórmula'!J86,56)&lt;&gt;"",INDEX(properties!A$1:CB$87,'Fórmula'!J86,56)))</f>
        <v>0.10811776</v>
      </c>
      <c r="FW86" s="119">
        <f t="array" ref="FW86">MAX(INDEX(properties!A$1:CB$87,'Fórmula'!B86,56),INDEX(properties!A$1:CB$87,'Fórmula'!D86,56),INDEX(properties!A$1:CB$87,'Fórmula'!F86,56),INDEX(properties!A$1:CB$87,'Fórmula'!H86,56),INDEX(properties!A$1:CB$87,'Fórmula'!J86,56))</f>
        <v>1.02</v>
      </c>
      <c r="FX86" s="119">
        <f t="array" ref="FX86">MIN(IF(INDEX(properties!A$1:CB$87,'Fórmula'!B86,56)=0,10^6,INDEX(properties!A$1:CB$87,'Fórmula'!B86,56)),IF(INDEX(properties!A$1:CB$87,'Fórmula'!D86,56)=0,10^6,INDEX(properties!A$1:CB$87,'Fórmula'!D86,56)),IF(INDEX(properties!A$1:CB$87,'Fórmula'!F86,56)=0,10^6,INDEX(properties!A$1:CB$87,'Fórmula'!F86,56)),IF(INDEX(properties!A$1:CB$87,'Fórmula'!H86,56)=0,10^6,INDEX(properties!A$1:CB$87,'Fórmula'!H86,56)),IF(INDEX(properties!A$1:CB$87,'Fórmula'!J86,56)=0,10^6,INDEX(properties!A$1:CB$87,'Fórmula'!J86,56)))</f>
        <v>0.204</v>
      </c>
      <c r="FY86" s="119">
        <f t="shared" si="30"/>
        <v>0.816</v>
      </c>
      <c r="FZ86" s="104">
        <f t="array" ref="FZ86">(('Fórmula'!C86)/('Fórmula'!C86+'Fórmula'!E86+'Fórmula'!G86+'Fórmula'!I86+'Fórmula'!K86))*(INDEX(properties!A$1:CB$87,'Fórmula'!B86,57))+(('Fórmula'!E86)/('Fórmula'!C86+'Fórmula'!E86+'Fórmula'!G86+'Fórmula'!I86+'Fórmula'!K86))*(INDEX(properties!A$1:CB$87,'Fórmula'!D86,57))+(('Fórmula'!G86)/('Fórmula'!C86+'Fórmula'!E86+'Fórmula'!G86+'Fórmula'!I86+'Fórmula'!K86))*(INDEX(properties!A$1:CB$87,'Fórmula'!F86,57))+(('Fórmula'!I86)/('Fórmula'!C86+'Fórmula'!E86+'Fórmula'!G86+'Fórmula'!I86+'Fórmula'!K86))*(INDEX(properties!A$1:CB$87,'Fórmula'!H86,57))+(('Fórmula'!K86)/('Fórmula'!C86+'Fórmula'!E86+'Fórmula'!G86+'Fórmula'!I86+'Fórmula'!K86))*(INDEX(properties!A$1:CB$87,'Fórmula'!J86,57))</f>
        <v>11.20177636</v>
      </c>
      <c r="GA86" s="104">
        <f t="array" ref="GA86">'Fórmula'!C86*(INDEX(properties!A$1:CB$87,'Fórmula'!B86,57))+'Fórmula'!E86*(INDEX(properties!A$1:CB$87,'Fórmula'!D86,57))+'Fórmula'!G86*(INDEX(properties!A$1:CB$87,'Fórmula'!F86,57))+'Fórmula'!I86*(INDEX(properties!A$1:CB$87,'Fórmula'!H86,57))+'Fórmula'!K86*(INDEX(properties!A$1:CB$87,'Fórmula'!J86,57))</f>
        <v>123.21954</v>
      </c>
      <c r="GB86" s="104">
        <f t="array" ref="GB86">VARP(IF(INDEX(properties!A$1:CB$87,'Fórmula'!B86,57)&lt;&gt;"",INDEX(properties!A$1:CB$87,'Fórmula'!B86,57)),IF(INDEX(properties!A$1:CB$87,'Fórmula'!D86,57)&lt;&gt;"",INDEX(properties!A$1:CB$87,'Fórmula'!D86,57)),IF(INDEX(properties!A$1:CB$87,'Fórmula'!F86,57)&lt;&gt;"",INDEX(properties!A$1:CB$87,'Fórmula'!F86,57)),IF(INDEX(properties!A$1:CB$87,'Fórmula'!H86,57)&lt;&gt;"",INDEX(properties!A$1:CB$87,'Fórmula'!H86,57)),IF(INDEX(properties!A$1:CB$87,'Fórmula'!J86,57)&lt;&gt;"",INDEX(properties!A$1:CB$87,'Fórmula'!J86,57)))</f>
        <v>336.289613</v>
      </c>
      <c r="GC86" s="104">
        <f t="array" ref="GC86">MAX(INDEX(properties!A$1:CB$87,'Fórmula'!B86,57),INDEX(properties!A$1:CB$87,'Fórmula'!D86,57),INDEX(properties!A$1:CB$87,'Fórmula'!F86,57),INDEX(properties!A$1:CB$87,'Fórmula'!H86,57),INDEX(properties!A$1:CB$87,'Fórmula'!J86,57))</f>
        <v>50.2</v>
      </c>
      <c r="GD86" s="104">
        <f t="array" ref="GD86">MIN(IF(INDEX(properties!A$1:CB$87,'Fórmula'!B86,57)=0,10^6,INDEX(properties!A$1:CB$87,'Fórmula'!B86,57)),IF(INDEX(properties!A$1:CB$87,'Fórmula'!D86,57)=0,10^6,INDEX(properties!A$1:CB$87,'Fórmula'!D86,57)),IF(INDEX(properties!A$1:CB$87,'Fórmula'!F86,57)=0,10^6,INDEX(properties!A$1:CB$87,'Fórmula'!F86,57)),IF(INDEX(properties!A$1:CB$87,'Fórmula'!H86,57)=0,10^6,INDEX(properties!A$1:CB$87,'Fórmula'!H86,57)),IF(INDEX(properties!A$1:CB$87,'Fórmula'!J86,57)=0,10^6,INDEX(properties!A$1:CB$87,'Fórmula'!J86,57)))</f>
        <v>0.22259</v>
      </c>
      <c r="GE86" s="104">
        <f t="shared" si="31"/>
        <v>49.97741</v>
      </c>
      <c r="GF86" s="105">
        <f t="array" ref="GF86">(('Fórmula'!C86)/('Fórmula'!C86+'Fórmula'!E86+'Fórmula'!G86+'Fórmula'!I86+'Fórmula'!K86))*(INDEX(properties!A$1:CB$87,'Fórmula'!B86,60))+(('Fórmula'!E86)/('Fórmula'!C86+'Fórmula'!E86+'Fórmula'!G86+'Fórmula'!I86+'Fórmula'!K86))*(INDEX(properties!A$1:CB$87,'Fórmula'!D86,60))+(('Fórmula'!G86)/('Fórmula'!C86+'Fórmula'!E86+'Fórmula'!G86+'Fórmula'!I86+'Fórmula'!K86))*(INDEX(properties!A$1:CB$87,'Fórmula'!F86,60))+(('Fórmula'!I86)/('Fórmula'!C86+'Fórmula'!E86+'Fórmula'!G86+'Fórmula'!I86+'Fórmula'!K86))*(INDEX(properties!A$1:CB$87,'Fórmula'!H86,60))+(('Fórmula'!K86)/('Fórmula'!C86+'Fórmula'!E86+'Fórmula'!G86+'Fórmula'!I86+'Fórmula'!K86))*(INDEX(properties!A$1:CB$87,'Fórmula'!J86,60))</f>
        <v>17.46913091</v>
      </c>
      <c r="GG86" s="105">
        <f t="array" ref="GG86">'Fórmula'!C86*(INDEX(properties!A$1:CB$87,'Fórmula'!B86,60))+'Fórmula'!E86*(INDEX(properties!A$1:CB$87,'Fórmula'!D86,60))+'Fórmula'!G86*(INDEX(properties!A$1:CB$87,'Fórmula'!F86,60))+'Fórmula'!I86*(INDEX(properties!A$1:CB$87,'Fórmula'!H86,60))+'Fórmula'!K86*(INDEX(properties!A$1:CB$87,'Fórmula'!J86,60))</f>
        <v>192.16044</v>
      </c>
      <c r="GH86" s="105">
        <f t="array" ref="GH86">VARP(IF(INDEX(properties!A$1:CB$87,'Fórmula'!B86,60)&lt;&gt;"",INDEX(properties!A$1:CB$87,'Fórmula'!B86,60)),IF(INDEX(properties!A$1:CB$87,'Fórmula'!D86,60)&lt;&gt;"",INDEX(properties!A$1:CB$87,'Fórmula'!D86,60)),IF(INDEX(properties!A$1:CB$87,'Fórmula'!F86,60)&lt;&gt;"",INDEX(properties!A$1:CB$87,'Fórmula'!F86,60)),IF(INDEX(properties!A$1:CB$87,'Fórmula'!H86,60)&lt;&gt;"",INDEX(properties!A$1:CB$87,'Fórmula'!H86,60)),IF(INDEX(properties!A$1:CB$87,'Fórmula'!J86,60)&lt;&gt;"",INDEX(properties!A$1:CB$87,'Fórmula'!J86,60)))</f>
        <v>1280.479146</v>
      </c>
      <c r="GI86" s="105">
        <f t="array" ref="GI86">MAX(INDEX(properties!A$1:CB$87,'Fórmula'!B86,60),INDEX(properties!A$1:CB$87,'Fórmula'!D86,60),INDEX(properties!A$1:CB$87,'Fórmula'!F86,60),INDEX(properties!A$1:CB$87,'Fórmula'!H86,60),INDEX(properties!A$1:CB$87,'Fórmula'!J86,60))</f>
        <v>102.4</v>
      </c>
      <c r="GJ86" s="105">
        <f t="array" ref="GJ86">MIN(IF(INDEX(properties!A$1:CB$87,'Fórmula'!B86,60)=0,10^6,INDEX(properties!A$1:CB$87,'Fórmula'!B86,60)),IF(INDEX(properties!A$1:CB$87,'Fórmula'!D86,60)=0,10^6,INDEX(properties!A$1:CB$87,'Fórmula'!D86,60)),IF(INDEX(properties!A$1:CB$87,'Fórmula'!F86,60)=0,10^6,INDEX(properties!A$1:CB$87,'Fórmula'!F86,60)),IF(INDEX(properties!A$1:CB$87,'Fórmula'!H86,60)=0,10^6,INDEX(properties!A$1:CB$87,'Fórmula'!H86,60)),IF(INDEX(properties!A$1:CB$87,'Fórmula'!J86,60)=0,10^6,INDEX(properties!A$1:CB$87,'Fórmula'!J86,60)))</f>
        <v>0.02674</v>
      </c>
      <c r="GK86" s="105">
        <f t="shared" si="32"/>
        <v>102.37326</v>
      </c>
      <c r="GL86" s="106">
        <f t="array" ref="GL86">(('Fórmula'!C86)/('Fórmula'!C86+'Fórmula'!E86+'Fórmula'!G86+'Fórmula'!I86+'Fórmula'!K86))*(INDEX(properties!A$1:CB$87,'Fórmula'!B86,62))+(('Fórmula'!E86)/('Fórmula'!C86+'Fórmula'!E86+'Fórmula'!G86+'Fórmula'!I86+'Fórmula'!K86))*(INDEX(properties!A$1:CB$87,'Fórmula'!D86,62))+(('Fórmula'!G86)/('Fórmula'!C86+'Fórmula'!E86+'Fórmula'!G86+'Fórmula'!I86+'Fórmula'!K86))*(INDEX(properties!A$1:CB$87,'Fórmula'!F86,62))+(('Fórmula'!I86)/('Fórmula'!C86+'Fórmula'!E86+'Fórmula'!G86+'Fórmula'!I86+'Fórmula'!K86))*(INDEX(properties!A$1:CB$87,'Fórmula'!H86,62))+(('Fórmula'!K86)/('Fórmula'!C86+'Fórmula'!E86+'Fórmula'!G86+'Fórmula'!I86+'Fórmula'!K86))*(INDEX(properties!A$1:CB$87,'Fórmula'!J86,62))</f>
        <v>3.140363636</v>
      </c>
      <c r="GM86" s="106">
        <f t="array" ref="GM86">'Fórmula'!C86*(INDEX(properties!A$1:CB$87,'Fórmula'!B86,62))+'Fórmula'!E86*(INDEX(properties!A$1:CB$87,'Fórmula'!D86,62))+'Fórmula'!G86*(INDEX(properties!A$1:CB$87,'Fórmula'!F86,62))+'Fórmula'!I86*(INDEX(properties!A$1:CB$87,'Fórmula'!H86,62))+'Fórmula'!K86*(INDEX(properties!A$1:CB$87,'Fórmula'!J86,62))</f>
        <v>34.544</v>
      </c>
      <c r="GN86" s="106">
        <f t="array" ref="GN86">VARP(IF(INDEX(properties!A$1:CB$87,'Fórmula'!B86,62)&lt;&gt;"",INDEX(properties!A$1:CB$87,'Fórmula'!B86,62)),IF(INDEX(properties!A$1:CB$87,'Fórmula'!D86,62)&lt;&gt;"",INDEX(properties!A$1:CB$87,'Fórmula'!D86,62)),IF(INDEX(properties!A$1:CB$87,'Fórmula'!F86,62)&lt;&gt;"",INDEX(properties!A$1:CB$87,'Fórmula'!F86,62)),IF(INDEX(properties!A$1:CB$87,'Fórmula'!H86,62)&lt;&gt;"",INDEX(properties!A$1:CB$87,'Fórmula'!H86,62)),IF(INDEX(properties!A$1:CB$87,'Fórmula'!J86,62)&lt;&gt;"",INDEX(properties!A$1:CB$87,'Fórmula'!J86,62)))</f>
        <v>3.06307296</v>
      </c>
      <c r="GO86" s="106">
        <f t="array" ref="GO86">MAX(INDEX(properties!A$1:CB$87,'Fórmula'!B86,62),INDEX(properties!A$1:CB$87,'Fórmula'!D86,62),INDEX(properties!A$1:CB$87,'Fórmula'!F86,62),INDEX(properties!A$1:CB$87,'Fórmula'!H86,62),INDEX(properties!A$1:CB$87,'Fórmula'!J86,62))</f>
        <v>5.81</v>
      </c>
      <c r="GP86" s="106">
        <f t="array" ref="GP86">MIN(IF(INDEX(properties!A$1:CB$87,'Fórmula'!B86,62)=0,10^6,INDEX(properties!A$1:CB$87,'Fórmula'!B86,62)),IF(INDEX(properties!A$1:CB$87,'Fórmula'!D86,62)=0,10^6,INDEX(properties!A$1:CB$87,'Fórmula'!D86,62)),IF(INDEX(properties!A$1:CB$87,'Fórmula'!F86,62)=0,10^6,INDEX(properties!A$1:CB$87,'Fórmula'!F86,62)),IF(INDEX(properties!A$1:CB$87,'Fórmula'!H86,62)=0,10^6,INDEX(properties!A$1:CB$87,'Fórmula'!H86,62)),IF(INDEX(properties!A$1:CB$87,'Fórmula'!J86,62)=0,10^6,INDEX(properties!A$1:CB$87,'Fórmula'!J86,62)))</f>
        <v>0.934</v>
      </c>
      <c r="GQ86" s="106">
        <f t="shared" si="33"/>
        <v>4.876</v>
      </c>
      <c r="GR86" s="106">
        <f>'Fórmula'!Q86</f>
        <v>160</v>
      </c>
      <c r="GS86" s="107">
        <f>'Fórmula'!P86</f>
        <v>4</v>
      </c>
      <c r="GT86" s="113">
        <f>'Fórmula'!O86</f>
        <v>4.19</v>
      </c>
      <c r="GU86" s="114">
        <f>AVERAGE('Fórmula'!R86/'Fórmula'!S86,'Fórmula'!S86/'Fórmula'!T86,'Fórmula'!T86/'Fórmula'!R86)</f>
        <v>1.523872801</v>
      </c>
      <c r="GV86" s="125">
        <f>'Fórmula'!U86</f>
        <v>455.02</v>
      </c>
      <c r="GW86" s="106">
        <f>'Fórmula'!N86</f>
        <v>0.1</v>
      </c>
    </row>
    <row r="87" ht="14.25" customHeight="1">
      <c r="A87" s="99" t="str">
        <f>'Fórmula'!A87</f>
        <v>Ca2Al2SiO7</v>
      </c>
      <c r="B87" s="101">
        <f t="array" ref="B87">(('Fórmula'!C87)/('Fórmula'!C87+'Fórmula'!E87+'Fórmula'!G87+'Fórmula'!I87+'Fórmula'!K87))*(INDEX(properties!A$1:CB$87,'Fórmula'!B87,3))+(('Fórmula'!E87)/('Fórmula'!C87+'Fórmula'!E87+'Fórmula'!G87+'Fórmula'!I87+'Fórmula'!K87))*(INDEX(properties!A$1:CB$87,'Fórmula'!D87,3))+(('Fórmula'!G87)/('Fórmula'!C87+'Fórmula'!E87+'Fórmula'!G87+'Fórmula'!I87+'Fórmula'!K87))*(INDEX(properties!A$1:CB$87,'Fórmula'!F87,3))+(('Fórmula'!I87)/('Fórmula'!C87+'Fórmula'!E87+'Fórmula'!G87+'Fórmula'!I87+'Fórmula'!K87))*(INDEX(properties!A$1:CB$87,'Fórmula'!H87,3))+(('Fórmula'!K87)/('Fórmula'!C87+'Fórmula'!E87+'Fórmula'!G87+'Fórmula'!I87+'Fórmula'!K87))*(INDEX(properties!A$1:CB$87,'Fórmula'!J87,3))</f>
        <v>22.8500315</v>
      </c>
      <c r="C87" s="101">
        <f t="array" ref="C87">'Fórmula'!C87*(INDEX(properties!A$1:CB$87,'Fórmula'!B87,3))+'Fórmula'!E87*(INDEX(properties!A$1:CB$87,'Fórmula'!D87,3))+'Fórmula'!G87*(INDEX(properties!A$1:CB$87,'Fórmula'!F87,3))+'Fórmula'!I87*(INDEX(properties!A$1:CB$87,'Fórmula'!H87,3))+'Fórmula'!K87*(INDEX(properties!A$1:CB$87,'Fórmula'!J87,3))</f>
        <v>274.200378</v>
      </c>
      <c r="D87" s="101">
        <f t="array" ref="D87">VARP(IF(INDEX(properties!A$1:CB$87,'Fórmula'!B87,3)&lt;&gt;"",INDEX(properties!A$1:CB$87,'Fórmula'!B87,3)),IF(INDEX(properties!A$1:CB$87,'Fórmula'!D87,3)&lt;&gt;"",INDEX(properties!A$1:CB$87,'Fórmula'!D87,3)),IF(INDEX(properties!A$1:CB$87,'Fórmula'!F87,3)&lt;&gt;"",INDEX(properties!A$1:CB$87,'Fórmula'!F87,3)),IF(INDEX(properties!A$1:CB$87,'Fórmula'!H87,3)&lt;&gt;"",INDEX(properties!A$1:CB$87,'Fórmula'!H87,3)),IF(INDEX(properties!A$1:CB$87,'Fórmula'!J87,3)&lt;&gt;"",INDEX(properties!A$1:CB$87,'Fórmula'!J87,3)))</f>
        <v>181.6816755</v>
      </c>
      <c r="E87" s="101">
        <f t="array" ref="E87">MAX(INDEX(properties!A$1:CB$87,'Fórmula'!B87,3),INDEX(properties!A$1:CB$87,'Fórmula'!D87,3),INDEX(properties!A$1:CB$87,'Fórmula'!F87,3),INDEX(properties!A$1:CB$87,'Fórmula'!H87,3),INDEX(properties!A$1:CB$87,'Fórmula'!J87,3))</f>
        <v>40.078</v>
      </c>
      <c r="F87" s="101">
        <f t="array" ref="F87">MIN(IF(INDEX(properties!A$1:CB$87,'Fórmula'!B87,3)=0,10^6,INDEX(properties!A$1:CB$87,'Fórmula'!B87,3)),IF(INDEX(properties!A$1:CB$87,'Fórmula'!D87,3)=0,10^6,INDEX(properties!A$1:CB$87,'Fórmula'!D87,3)),IF(INDEX(properties!A$1:CB$87,'Fórmula'!F87,3)=0,10^6,INDEX(properties!A$1:CB$87,'Fórmula'!F87,3)),IF(INDEX(properties!A$1:CB$87,'Fórmula'!H87,3)=0,10^6,INDEX(properties!A$1:CB$87,'Fórmula'!H87,3)),IF(INDEX(properties!A$1:CB$87,'Fórmula'!J87,3)=0,10^6,INDEX(properties!A$1:CB$87,'Fórmula'!J87,3)))</f>
        <v>15.9994</v>
      </c>
      <c r="G87" s="101">
        <f t="shared" si="1"/>
        <v>24.0786</v>
      </c>
      <c r="H87" s="102">
        <f t="array" ref="H87">(('Fórmula'!C87)/('Fórmula'!C87+'Fórmula'!E87+'Fórmula'!G87+'Fórmula'!I87+'Fórmula'!K87))*(INDEX(properties!A$1:CB$87,'Fórmula'!B87,4))+(('Fórmula'!E87)/('Fórmula'!C87+'Fórmula'!E87+'Fórmula'!G87+'Fórmula'!I87+'Fórmula'!K87))*(INDEX(properties!A$1:CB$87,'Fórmula'!D87,4))+(('Fórmula'!G87)/('Fórmula'!C87+'Fórmula'!E87+'Fórmula'!G87+'Fórmula'!I87+'Fórmula'!K87))*(INDEX(properties!A$1:CB$87,'Fórmula'!F87,4))+(('Fórmula'!I87)/('Fórmula'!C87+'Fórmula'!E87+'Fórmula'!G87+'Fórmula'!I87+'Fórmula'!K87))*(INDEX(properties!A$1:CB$87,'Fórmula'!H87,4))+(('Fórmula'!K87)/('Fórmula'!C87+'Fórmula'!E87+'Fórmula'!G87+'Fórmula'!I87+'Fórmula'!K87))*(INDEX(properties!A$1:CB$87,'Fórmula'!J87,4))</f>
        <v>11.33333333</v>
      </c>
      <c r="I87" s="102">
        <f t="array" ref="I87">'Fórmula'!C87*(INDEX(properties!A$1:CB$87,'Fórmula'!B87,4))+'Fórmula'!E87*(INDEX(properties!A$1:CB$87,'Fórmula'!D87,4))+'Fórmula'!G87*(INDEX(properties!A$1:CB$87,'Fórmula'!F87,4))+'Fórmula'!I87*(INDEX(properties!A$1:CB$87,'Fórmula'!H87,4))+'Fórmula'!K87*(INDEX(properties!A$1:CB$87,'Fórmula'!J87,4))</f>
        <v>136</v>
      </c>
      <c r="J87" s="102">
        <f t="array" ref="J87">VARP(IF(INDEX(properties!A$1:CB$87,'Fórmula'!B87,4)&lt;&gt;"",INDEX(properties!A$1:CB$87,'Fórmula'!B87,4)),IF(INDEX(properties!A$1:CB$87,'Fórmula'!D87,4)&lt;&gt;"",INDEX(properties!A$1:CB$87,'Fórmula'!D87,4)),IF(INDEX(properties!A$1:CB$87,'Fórmula'!F87,4)&lt;&gt;"",INDEX(properties!A$1:CB$87,'Fórmula'!F87,4)),IF(INDEX(properties!A$1:CB$87,'Fórmula'!H87,4)&lt;&gt;"",INDEX(properties!A$1:CB$87,'Fórmula'!H87,4)),IF(INDEX(properties!A$1:CB$87,'Fórmula'!J87,4)&lt;&gt;"",INDEX(properties!A$1:CB$87,'Fórmula'!J87,4)))</f>
        <v>44.8</v>
      </c>
      <c r="K87" s="102">
        <f t="array" ref="K87">MAX(INDEX(properties!A$1:CB$87,'Fórmula'!B87,4),INDEX(properties!A$1:CB$87,'Fórmula'!D87,4),INDEX(properties!A$1:CB$87,'Fórmula'!F87,4),INDEX(properties!A$1:CB$87,'Fórmula'!H87,4),INDEX(properties!A$1:CB$87,'Fórmula'!J87,4))</f>
        <v>20</v>
      </c>
      <c r="L87" s="102">
        <f t="array" ref="L87">MIN(IF(INDEX(properties!A$1:CB$87,'Fórmula'!B87,4)=0,10^6,INDEX(properties!A$1:CB$87,'Fórmula'!B87,4)),IF(INDEX(properties!A$1:CB$87,'Fórmula'!D87,4)=0,10^6,INDEX(properties!A$1:CB$87,'Fórmula'!D87,4)),IF(INDEX(properties!A$1:CB$87,'Fórmula'!F87,4)=0,10^6,INDEX(properties!A$1:CB$87,'Fórmula'!F87,4)),IF(INDEX(properties!A$1:CB$87,'Fórmula'!H87,4)=0,10^6,INDEX(properties!A$1:CB$87,'Fórmula'!H87,4)),IF(INDEX(properties!A$1:CB$87,'Fórmula'!J87,4)=0,10^6,INDEX(properties!A$1:CB$87,'Fórmula'!J87,4)))</f>
        <v>8</v>
      </c>
      <c r="M87" s="102">
        <f t="shared" si="2"/>
        <v>12</v>
      </c>
      <c r="N87" s="103">
        <f t="array" ref="N87">(('Fórmula'!C87)/('Fórmula'!C87+'Fórmula'!E87+'Fórmula'!G87+'Fórmula'!I87+'Fórmula'!K87))*(INDEX(properties!A$1:CB$87,'Fórmula'!B87,5))+(('Fórmula'!E87)/('Fórmula'!C87+'Fórmula'!E87+'Fórmula'!G87+'Fórmula'!I87+'Fórmula'!K87))*(INDEX(properties!A$1:CB$87,'Fórmula'!D87,5))+(('Fórmula'!G87)/('Fórmula'!C87+'Fórmula'!E87+'Fórmula'!G87+'Fórmula'!I87+'Fórmula'!K87))*(INDEX(properties!A$1:CB$87,'Fórmula'!F87,5))+(('Fórmula'!I87)/('Fórmula'!C87+'Fórmula'!E87+'Fórmula'!G87+'Fórmula'!I87+'Fórmula'!K87))*(INDEX(properties!A$1:CB$87,'Fórmula'!H87,5))+(('Fórmula'!K87)/('Fórmula'!C87+'Fórmula'!E87+'Fórmula'!G87+'Fórmula'!I87+'Fórmula'!K87))*(INDEX(properties!A$1:CB$87,'Fórmula'!J87,5))</f>
        <v>2.583333333</v>
      </c>
      <c r="O87" s="103">
        <f t="array" ref="O87">'Fórmula'!C87*(INDEX(properties!A$1:CB$87,'Fórmula'!B87,5))+'Fórmula'!E87*(INDEX(properties!A$1:CB$87,'Fórmula'!D87,5))+'Fórmula'!G87*(INDEX(properties!A$1:CB$87,'Fórmula'!F87,5))+'Fórmula'!I87*(INDEX(properties!A$1:CB$87,'Fórmula'!H87,5))+'Fórmula'!K87*(INDEX(properties!A$1:CB$87,'Fórmula'!J87,5))</f>
        <v>31</v>
      </c>
      <c r="P87" s="103">
        <f t="array" ref="P87">VARP(IF(INDEX(properties!A$1:CB$87,'Fórmula'!B87,5)&lt;&gt;"",INDEX(properties!A$1:CB$87,'Fórmula'!B87,5)),IF(INDEX(properties!A$1:CB$87,'Fórmula'!D87,5)&lt;&gt;"",INDEX(properties!A$1:CB$87,'Fórmula'!D87,5)),IF(INDEX(properties!A$1:CB$87,'Fórmula'!F87,5)&lt;&gt;"",INDEX(properties!A$1:CB$87,'Fórmula'!F87,5)),IF(INDEX(properties!A$1:CB$87,'Fórmula'!H87,5)&lt;&gt;"",INDEX(properties!A$1:CB$87,'Fórmula'!H87,5)),IF(INDEX(properties!A$1:CB$87,'Fórmula'!J87,5)&lt;&gt;"",INDEX(properties!A$1:CB$87,'Fórmula'!J87,5)))</f>
        <v>1.84</v>
      </c>
      <c r="Q87" s="103">
        <f t="array" ref="Q87">MAX(INDEX(properties!A$1:CB$87,'Fórmula'!B87,5),INDEX(properties!A$1:CB$87,'Fórmula'!D87,5),INDEX(properties!A$1:CB$87,'Fórmula'!F87,5),INDEX(properties!A$1:CB$87,'Fórmula'!H87,5),INDEX(properties!A$1:CB$87,'Fórmula'!J87,5))</f>
        <v>4</v>
      </c>
      <c r="R87" s="103">
        <f t="array" ref="R87">MIN(IF(INDEX(properties!A$1:CB$87,'Fórmula'!B87,5)=0,10^6,INDEX(properties!A$1:CB$87,'Fórmula'!B87,5)),IF(INDEX(properties!A$1:CB$87,'Fórmula'!D87,5)=0,10^6,INDEX(properties!A$1:CB$87,'Fórmula'!D87,5)),IF(INDEX(properties!A$1:CB$87,'Fórmula'!F87,5)=0,10^6,INDEX(properties!A$1:CB$87,'Fórmula'!F87,5)),IF(INDEX(properties!A$1:CB$87,'Fórmula'!H87,5)=0,10^6,INDEX(properties!A$1:CB$87,'Fórmula'!H87,5)),IF(INDEX(properties!A$1:CB$87,'Fórmula'!J87,5)=0,10^6,INDEX(properties!A$1:CB$87,'Fórmula'!J87,5)))</f>
        <v>2</v>
      </c>
      <c r="S87" s="103">
        <f t="shared" si="3"/>
        <v>2</v>
      </c>
      <c r="T87" s="104">
        <f t="array" ref="T87">(('Fórmula'!C87)/('Fórmula'!C87+'Fórmula'!E87+'Fórmula'!G87+'Fórmula'!I87+'Fórmula'!K87))*(INDEX(properties!A$1:CB$87,'Fórmula'!B87,6))+(('Fórmula'!E87)/('Fórmula'!C87+'Fórmula'!E87+'Fórmula'!G87+'Fórmula'!I87+'Fórmula'!K87))*(INDEX(properties!A$1:CB$87,'Fórmula'!D87,6))+(('Fórmula'!G87)/('Fórmula'!C87+'Fórmula'!E87+'Fórmula'!G87+'Fórmula'!I87+'Fórmula'!K87))*(INDEX(properties!A$1:CB$87,'Fórmula'!F87,6))+(('Fórmula'!I87)/('Fórmula'!C87+'Fórmula'!E87+'Fórmula'!G87+'Fórmula'!I87+'Fórmula'!K87))*(INDEX(properties!A$1:CB$87,'Fórmula'!H87,6))+(('Fórmula'!K87)/('Fórmula'!C87+'Fórmula'!E87+'Fórmula'!G87+'Fórmula'!I87+'Fórmula'!K87))*(INDEX(properties!A$1:CB$87,'Fórmula'!J87,6))</f>
        <v>13</v>
      </c>
      <c r="U87" s="104">
        <f t="array" ref="U87">'Fórmula'!C87*(INDEX(properties!A$1:CB$87,'Fórmula'!B87,6))+'Fórmula'!E87*(INDEX(properties!A$1:CB$87,'Fórmula'!D87,6))+'Fórmula'!G87*(INDEX(properties!A$1:CB$87,'Fórmula'!F87,6))+'Fórmula'!I87*(INDEX(properties!A$1:CB$87,'Fórmula'!H87,6))+'Fórmula'!K87*(INDEX(properties!A$1:CB$87,'Fórmula'!J87,6))</f>
        <v>156</v>
      </c>
      <c r="V87" s="103">
        <f t="array" ref="V87">VARP(IF(INDEX(properties!A$1:CB$87,'Fórmula'!B87,6)&lt;&gt;"",INDEX(properties!A$1:CB$87,'Fórmula'!B87,6)),IF(INDEX(properties!A$1:CB$87,'Fórmula'!D87,6)&lt;&gt;"",INDEX(properties!A$1:CB$87,'Fórmula'!D87,6)),IF(INDEX(properties!A$1:CB$87,'Fórmula'!F87,6)&lt;&gt;"",INDEX(properties!A$1:CB$87,'Fórmula'!F87,6)),IF(INDEX(properties!A$1:CB$87,'Fórmula'!H87,6)&lt;&gt;"",INDEX(properties!A$1:CB$87,'Fórmula'!H87,6)),IF(INDEX(properties!A$1:CB$87,'Fórmula'!J87,6)&lt;&gt;"",INDEX(properties!A$1:CB$87,'Fórmula'!J87,6)))</f>
        <v>44</v>
      </c>
      <c r="W87" s="104">
        <f t="array" ref="W87">MAX(INDEX(properties!A$1:CB$87,'Fórmula'!B87,6),INDEX(properties!A$1:CB$87,'Fórmula'!D87,6),INDEX(properties!A$1:CB$87,'Fórmula'!F87,6),INDEX(properties!A$1:CB$87,'Fórmula'!H87,4),INDEX(properties!A$1:CB$87,'Fórmula'!J87,6))</f>
        <v>14</v>
      </c>
      <c r="X87" s="104">
        <f t="array" ref="X87">MIN(IF(INDEX(properties!A$1:CB$87,'Fórmula'!B87,6)=0,10^6,INDEX(properties!A$1:CB$87,'Fórmula'!B87,6)),IF(INDEX(properties!A$1:CB$87,'Fórmula'!D87,6)=0,10^6,INDEX(properties!A$1:CB$87,'Fórmula'!D87,6)),IF(INDEX(properties!A$1:CB$87,'Fórmula'!F87,6)=0,10^6,INDEX(properties!A$1:CB$87,'Fórmula'!F87,6)),IF(INDEX(properties!A$1:CB$87,'Fórmula'!H87,6)=0,10^6,INDEX(properties!A$1:CB$87,'Fórmula'!H87,6)),IF(INDEX(properties!A$1:CB$87,'Fórmula'!J87,6)=0,10^6,INDEX(properties!A$1:CB$87,'Fórmula'!J87,6)))</f>
        <v>2</v>
      </c>
      <c r="Y87" s="104">
        <f t="shared" si="4"/>
        <v>12</v>
      </c>
      <c r="Z87" s="105">
        <f t="array" ref="Z87">(('Fórmula'!C87)/('Fórmula'!C87+'Fórmula'!E87+'Fórmula'!G87+'Fórmula'!I87+'Fórmula'!K87))*(INDEX(properties!A$1:CB$87,'Fórmula'!B87,9))+(('Fórmula'!E87)/('Fórmula'!C87+'Fórmula'!E87+'Fórmula'!G87+'Fórmula'!I87+'Fórmula'!K87))*(INDEX(properties!A$1:CB$87,'Fórmula'!D87,9))+(('Fórmula'!G87)/('Fórmula'!C87+'Fórmula'!E87+'Fórmula'!G87+'Fórmula'!I87+'Fórmula'!K87))*(INDEX(properties!A$1:CB$87,'Fórmula'!F87,9))+(('Fórmula'!I87)/('Fórmula'!C87+'Fórmula'!E87+'Fórmula'!G87+'Fórmula'!I87+'Fórmula'!K87))*(INDEX(properties!A$1:CB$87,'Fórmula'!H87,9))+(('Fórmula'!K87)/('Fórmula'!C87+'Fórmula'!E87+'Fórmula'!G87+'Fórmula'!I87+'Fórmula'!K87))*(INDEX(properties!A$1:CB$87,'Fórmula'!J87,9))</f>
        <v>70.58333333</v>
      </c>
      <c r="AA87" s="105">
        <f t="array" ref="AA87">'Fórmula'!C87*(INDEX(properties!A$1:CB$87,'Fórmula'!B87,9))+'Fórmula'!E87*(INDEX(properties!A$1:CB$87,'Fórmula'!D87,9))+'Fórmula'!G87*(INDEX(properties!A$1:CB$87,'Fórmula'!F87,9))+'Fórmula'!I87*(INDEX(properties!A$1:CB$87,'Fórmula'!H87,9))+'Fórmula'!K87*(INDEX(properties!A$1:CB$87,'Fórmula'!J87,9))</f>
        <v>847</v>
      </c>
      <c r="AB87" s="105">
        <f t="array" ref="AB87">VARP(IF(INDEX(properties!A$1:CB$87,'Fórmula'!B87,9)&lt;&gt;"",INDEX(properties!A$1:CB$87,'Fórmula'!B87,9)),IF(INDEX(properties!A$1:CB$87,'Fórmula'!D87,9)&lt;&gt;"",INDEX(properties!A$1:CB$87,'Fórmula'!D87,9)),IF(INDEX(properties!A$1:CB$87,'Fórmula'!F87,9)&lt;&gt;"",INDEX(properties!A$1:CB$87,'Fórmula'!F87,9)),IF(INDEX(properties!A$1:CB$87,'Fórmula'!H87,9)&lt;&gt;"",INDEX(properties!A$1:CB$87,'Fórmula'!H87,9)),IF(INDEX(properties!A$1:CB$87,'Fórmula'!J87,9)&lt;&gt;"",INDEX(properties!A$1:CB$87,'Fórmula'!J87,9)))</f>
        <v>1405.2</v>
      </c>
      <c r="AC87" s="105">
        <f t="array" ref="AC87">MAX(INDEX(properties!A$1:CB$87,'Fórmula'!B87,9),INDEX(properties!A$1:CB$87,'Fórmula'!D87,9),INDEX(properties!A$1:CB$87,'Fórmula'!F87,9),INDEX(properties!A$1:CB$87,'Fórmula'!H87,9),INDEX(properties!A$1:CB$87,'Fórmula'!J87,9))</f>
        <v>87</v>
      </c>
      <c r="AD87" s="105">
        <f t="array" ref="AD87">MIN(IF(INDEX(properties!A$1:CB$87,'Fórmula'!B87,9)=0,10^6,INDEX(properties!A$1:CB$87,'Fórmula'!B87,9)),IF(INDEX(properties!A$1:CB$87,'Fórmula'!D87,9)=0,10^6,INDEX(properties!A$1:CB$87,'Fórmula'!D87,9)),IF(INDEX(properties!A$1:CB$87,'Fórmula'!F87,9)=0,10^6,INDEX(properties!A$1:CB$87,'Fórmula'!F87,9)),IF(INDEX(properties!A$1:CB$87,'Fórmula'!H87,9)=0,10^6,INDEX(properties!A$1:CB$87,'Fórmula'!H87,9)),IF(INDEX(properties!A$1:CB$87,'Fórmula'!J87,9)=0,10^6,INDEX(properties!A$1:CB$87,'Fórmula'!J87,9)))</f>
        <v>7</v>
      </c>
      <c r="AE87" s="105">
        <f t="shared" si="5"/>
        <v>80</v>
      </c>
      <c r="AF87" s="106">
        <f t="array" ref="AF87">(('Fórmula'!C87)/('Fórmula'!C87+'Fórmula'!E87+'Fórmula'!G87+'Fórmula'!I87+'Fórmula'!K87))*(INDEX(properties!A$1:CB$87,'Fórmula'!B87,10))+(('Fórmula'!E87)/('Fórmula'!C87+'Fórmula'!E87+'Fórmula'!G87+'Fórmula'!I87+'Fórmula'!K87))*(INDEX(properties!A$1:CB$87,'Fórmula'!D87,10))+(('Fórmula'!G87)/('Fórmula'!C87+'Fórmula'!E87+'Fórmula'!G87+'Fórmula'!I87+'Fórmula'!K87))*(INDEX(properties!A$1:CB$87,'Fórmula'!F87,10))+(('Fórmula'!I87)/('Fórmula'!C87+'Fórmula'!E87+'Fórmula'!G87+'Fórmula'!I87+'Fórmula'!K87))*(INDEX(properties!A$1:CB$87,'Fórmula'!H87,10))+(('Fórmula'!K87)/('Fórmula'!C87+'Fórmula'!E87+'Fórmula'!G87+'Fórmula'!I87+'Fórmula'!K87))*(INDEX(properties!A$1:CB$87,'Fórmula'!J87,10))</f>
        <v>5.75</v>
      </c>
      <c r="AG87" s="106">
        <f t="array" ref="AG87">'Fórmula'!C87*(INDEX(properties!A$1:CB$87,'Fórmula'!B87,10))+'Fórmula'!E87*(INDEX(properties!A$1:CB$87,'Fórmula'!D87,10))+'Fórmula'!G87*(INDEX(properties!A$1:CB$87,'Fórmula'!F87,10))+'Fórmula'!I87*(INDEX(properties!A$1:CB$87,'Fórmula'!H87,10))+'Fórmula'!K87*(INDEX(properties!A$1:CB$87,'Fórmula'!J87,10))</f>
        <v>69</v>
      </c>
      <c r="AH87" s="106">
        <f t="array" ref="AH87">VARP(IF(INDEX(properties!A$1:CB$87,'Fórmula'!B87,10)&lt;&gt;"",INDEX(properties!A$1:CB$87,'Fórmula'!B87,10)),IF(INDEX(properties!A$1:CB$87,'Fórmula'!D87,10)&lt;&gt;"",INDEX(properties!A$1:CB$87,'Fórmula'!D87,10)),IF(INDEX(properties!A$1:CB$87,'Fórmula'!F87,10)&lt;&gt;"",INDEX(properties!A$1:CB$87,'Fórmula'!F87,10)),IF(INDEX(properties!A$1:CB$87,'Fórmula'!H87,10)&lt;&gt;"",INDEX(properties!A$1:CB$87,'Fórmula'!H87,10)),IF(INDEX(properties!A$1:CB$87,'Fórmula'!J87,10)&lt;&gt;"",INDEX(properties!A$1:CB$87,'Fórmula'!J87,10)))</f>
        <v>6.8</v>
      </c>
      <c r="AI87" s="106">
        <f t="array" ref="AI87">MAX(INDEX(properties!A$1:CB$87,'Fórmula'!B87,10),INDEX(properties!A$1:CB$87,'Fórmula'!D87,10),INDEX(properties!A$1:CB$87,'Fórmula'!F87,10),INDEX(properties!A$1:CB$87,'Fórmula'!H87,10),INDEX(properties!A$1:CB$87,'Fórmula'!J87,10))</f>
        <v>7</v>
      </c>
      <c r="AJ87" s="106">
        <f t="array" ref="AJ87">MIN(IF(INDEX(properties!A$1:CB$87,'Fórmula'!B87,10)=0,10^6,INDEX(properties!A$1:CB$87,'Fórmula'!B87,10)),IF(INDEX(properties!A$1:CB$87,'Fórmula'!D87,10)=0,10^6,INDEX(properties!A$1:CB$87,'Fórmula'!D87,10)),IF(INDEX(properties!A$1:CB$87,'Fórmula'!F87,10)=0,10^6,INDEX(properties!A$1:CB$87,'Fórmula'!F87,10)),IF(INDEX(properties!A$1:CB$87,'Fórmula'!H87,10)=0,10^6,INDEX(properties!A$1:CB$87,'Fórmula'!H87,10)),IF(INDEX(properties!A$1:CB$87,'Fórmula'!J87,10)=0,10^6,INDEX(properties!A$1:CB$87,'Fórmula'!J87,10)))</f>
        <v>2</v>
      </c>
      <c r="AK87" s="106">
        <f t="shared" si="6"/>
        <v>5</v>
      </c>
      <c r="AL87" s="107">
        <f t="array" ref="AL87">(('Fórmula'!C87)/('Fórmula'!C87+'Fórmula'!E87+'Fórmula'!G87+'Fórmula'!I87+'Fórmula'!K87))*(INDEX(properties!A$1:CB$87,'Fórmula'!B87,11))+(('Fórmula'!E87)/('Fórmula'!C87+'Fórmula'!E87+'Fórmula'!G87+'Fórmula'!I87+'Fórmula'!K87))*(INDEX(properties!A$1:CB$87,'Fórmula'!D87,11))+(('Fórmula'!G87)/('Fórmula'!C87+'Fórmula'!E87+'Fórmula'!G87+'Fórmula'!I87+'Fórmula'!K87))*(INDEX(properties!A$1:CB$87,'Fórmula'!F87,11))+(('Fórmula'!I87)/('Fórmula'!C87+'Fórmula'!E87+'Fórmula'!G87+'Fórmula'!I87+'Fórmula'!K87))*(INDEX(properties!A$1:CB$87,'Fórmula'!H87,11))+(('Fórmula'!K87)/('Fórmula'!C87+'Fórmula'!E87+'Fórmula'!G87+'Fórmula'!I87+'Fórmula'!K87))*(INDEX(properties!A$1:CB$87,'Fórmula'!J87,11))</f>
        <v>2</v>
      </c>
      <c r="AM87" s="107">
        <f t="array" ref="AM87">'Fórmula'!C87*(INDEX(properties!A$1:CB$87,'Fórmula'!B87,11))+'Fórmula'!E87*(INDEX(properties!A$1:CB$87,'Fórmula'!D87,11))+'Fórmula'!G87*(INDEX(properties!A$1:CB$87,'Fórmula'!F87,11))+'Fórmula'!I87*(INDEX(properties!A$1:CB$87,'Fórmula'!H87,11))+'Fórmula'!K87*(INDEX(properties!A$1:CB$87,'Fórmula'!J87,11))</f>
        <v>24</v>
      </c>
      <c r="AN87" s="107">
        <f t="array" ref="AN87">VARP(IF(INDEX(properties!A$1:CB$87,'Fórmula'!B87,11)&lt;&gt;"",INDEX(properties!A$1:CB$87,'Fórmula'!B87,11)),IF(INDEX(properties!A$1:CB$87,'Fórmula'!D87,11)&lt;&gt;"",INDEX(properties!A$1:CB$87,'Fórmula'!D87,11)),IF(INDEX(properties!A$1:CB$87,'Fórmula'!F87,11)&lt;&gt;"",INDEX(properties!A$1:CB$87,'Fórmula'!F87,11)),IF(INDEX(properties!A$1:CB$87,'Fórmula'!H87,11)&lt;&gt;"",INDEX(properties!A$1:CB$87,'Fórmula'!H87,11)),IF(INDEX(properties!A$1:CB$87,'Fórmula'!J87,11)&lt;&gt;"",INDEX(properties!A$1:CB$87,'Fórmula'!J87,11)))</f>
        <v>0.64</v>
      </c>
      <c r="AO87" s="107">
        <f t="array" ref="AO87">MAX(INDEX(properties!A$1:CB$87,'Fórmula'!B87,11),INDEX(properties!A$1:CB$87,'Fórmula'!D87,11),INDEX(properties!A$1:CB$87,'Fórmula'!F87,11),INDEX(properties!A$1:CB$87,'Fórmula'!H87,11),INDEX(properties!A$1:CB$87,'Fórmula'!J87,11))</f>
        <v>2</v>
      </c>
      <c r="AP87" s="107">
        <f t="array" ref="AP87">MIN(IF('Fórmula'!B87=87,10^6,INDEX(properties!A$1:CB$87,'Fórmula'!B87,11)),IF(('Fórmula'!D87)=87,10^6,INDEX(properties!A$1:CB$87,'Fórmula'!D87,11)),IF(('Fórmula'!F87)=87,10^6,INDEX(properties!A$1:CB$87,'Fórmula'!F87,11)),IF(('Fórmula'!H87)=87,10^6,INDEX(properties!A$1:CB$87,'Fórmula'!H87,11)),IF('Fórmula'!J87=87,10^6,INDEX(properties!A$1:CB$87,'Fórmula'!J87,11)))</f>
        <v>2</v>
      </c>
      <c r="AQ87" s="107">
        <f t="shared" si="7"/>
        <v>0</v>
      </c>
      <c r="AR87" s="108">
        <f t="array" ref="AR87">(('Fórmula'!C87)/('Fórmula'!C87+'Fórmula'!E87+'Fórmula'!G87+'Fórmula'!I87+'Fórmula'!K87))*(INDEX(properties!A$1:CB$87,'Fórmula'!B87,12))+(('Fórmula'!E87)/('Fórmula'!C87+'Fórmula'!E87+'Fórmula'!G87+'Fórmula'!I87+'Fórmula'!K87))*(INDEX(properties!A$1:CB$87,'Fórmula'!D87,12))+(('Fórmula'!G87)/('Fórmula'!C87+'Fórmula'!E87+'Fórmula'!G87+'Fórmula'!I87+'Fórmula'!K87))*(INDEX(properties!A$1:CB$87,'Fórmula'!F87,12))+(('Fórmula'!I87)/('Fórmula'!C87+'Fórmula'!E87+'Fórmula'!G87+'Fórmula'!I87+'Fórmula'!K87))*(INDEX(properties!A$1:CB$87,'Fórmula'!H87,12))+(('Fórmula'!K87)/('Fórmula'!C87+'Fórmula'!E87+'Fórmula'!G87+'Fórmula'!I87+'Fórmula'!K87))*(INDEX(properties!A$1:CB$87,'Fórmula'!J87,12))</f>
        <v>2.666666667</v>
      </c>
      <c r="AS87" s="108">
        <f t="array" ref="AS87">'Fórmula'!C87*(INDEX(properties!A$1:CB$87,'Fórmula'!B87,12))+'Fórmula'!E87*(INDEX(properties!A$1:CB$87,'Fórmula'!D87,12))+'Fórmula'!G87*(INDEX(properties!A$1:CB$87,'Fórmula'!F87,12))+'Fórmula'!I87*(INDEX(properties!A$1:CB$87,'Fórmula'!H87,12))+'Fórmula'!K87*(INDEX(properties!A$1:CB$87,'Fórmula'!J87,12))</f>
        <v>32</v>
      </c>
      <c r="AT87" s="108">
        <f t="array" ref="AT87">VARP(IF(INDEX(properties!A$1:CB$87,'Fórmula'!B87,12)&lt;&gt;"",INDEX(properties!A$1:CB$87,'Fórmula'!B87,12)),IF(INDEX(properties!A$1:CB$87,'Fórmula'!D87,12)&lt;&gt;"",INDEX(properties!A$1:CB$87,'Fórmula'!D87,12)),IF(INDEX(properties!A$1:CB$87,'Fórmula'!F87,12)&lt;&gt;"",INDEX(properties!A$1:CB$87,'Fórmula'!F87,12)),IF(INDEX(properties!A$1:CB$87,'Fórmula'!H87,12)&lt;&gt;"",INDEX(properties!A$1:CB$87,'Fórmula'!H87,12)),IF(INDEX(properties!A$1:CB$87,'Fórmula'!J87,12)&lt;&gt;"",INDEX(properties!A$1:CB$87,'Fórmula'!J87,12)))</f>
        <v>2.24</v>
      </c>
      <c r="AU87" s="108">
        <f t="array" ref="AU87">MAX(INDEX(properties!A$1:CB$87,'Fórmula'!B87,12),INDEX(properties!A$1:CB$87,'Fórmula'!D87,12),INDEX(properties!A$1:CB$87,'Fórmula'!F87,12),INDEX(properties!A$1:CB$87,'Fórmula'!H87,12),INDEX(properties!A$1:CB$87,'Fórmula'!J87,12))</f>
        <v>4</v>
      </c>
      <c r="AV87" s="108">
        <f t="array" ref="AV87">MIN(IF('Fórmula'!B87=87,10^6,INDEX(properties!A$1:CB$87,'Fórmula'!B87,12)),IF(('Fórmula'!D87)=87,10^6,INDEX(properties!A$1:CB$87,'Fórmula'!D87,12)),IF(('Fórmula'!F87)=87,10^6,INDEX(properties!A$1:CB$87,'Fórmula'!F87,12)),IF(('Fórmula'!H87)=87,10^6,INDEX(properties!A$1:CB$87,'Fórmula'!H87,12)),IF('Fórmula'!J87=87,10^6,INDEX(properties!A$1:CB$87,'Fórmula'!J87,12)))</f>
        <v>0</v>
      </c>
      <c r="AW87" s="108">
        <f t="shared" si="8"/>
        <v>4</v>
      </c>
      <c r="AX87" s="109">
        <f t="array" ref="AX87">(('Fórmula'!C87)/('Fórmula'!C87+'Fórmula'!E87+'Fórmula'!G87+'Fórmula'!I87+'Fórmula'!K87))*(INDEX(properties!A$1:CB$87,'Fórmula'!B87,13))+(('Fórmula'!E87)/('Fórmula'!C87+'Fórmula'!E87+'Fórmula'!G87+'Fórmula'!I87+'Fórmula'!K87))*(INDEX(properties!A$1:CB$87,'Fórmula'!D87,13))+(('Fórmula'!G87)/('Fórmula'!C87+'Fórmula'!E87+'Fórmula'!G87+'Fórmula'!I87+'Fórmula'!K87))*(INDEX(properties!A$1:CB$87,'Fórmula'!F87,13))+(('Fórmula'!I87)/('Fórmula'!C87+'Fórmula'!E87+'Fórmula'!G87+'Fórmula'!I87+'Fórmula'!K87))*(INDEX(properties!A$1:CB$87,'Fórmula'!H87,13))+(('Fórmula'!K87)/('Fórmula'!C87+'Fórmula'!E87+'Fórmula'!G87+'Fórmula'!I87+'Fórmula'!K87))*(INDEX(properties!A$1:CB$87,'Fórmula'!J87,13))</f>
        <v>0</v>
      </c>
      <c r="AY87" s="109">
        <f t="array" ref="AY87">'Fórmula'!C87*(INDEX(properties!A$1:CB$87,'Fórmula'!B87,13))+'Fórmula'!E87*(INDEX(properties!A$1:CB$87,'Fórmula'!D87,13))+'Fórmula'!G87*(INDEX(properties!A$1:CB$87,'Fórmula'!F87,13))+'Fórmula'!I87*(INDEX(properties!A$1:CB$87,'Fórmula'!H87,13))+'Fórmula'!K87*(INDEX(properties!A$1:CB$87,'Fórmula'!J87,13))</f>
        <v>0</v>
      </c>
      <c r="AZ87" s="109">
        <f t="array" ref="AZ87">VARP(IF(INDEX(properties!A$1:CB$87,'Fórmula'!B87,13)&lt;&gt;"",INDEX(properties!A$1:CB$87,'Fórmula'!B87,13)),IF(INDEX(properties!A$1:CB$87,'Fórmula'!D87,13)&lt;&gt;"",INDEX(properties!A$1:CB$87,'Fórmula'!D87,13)),IF(INDEX(properties!A$1:CB$87,'Fórmula'!F87,13)&lt;&gt;"",INDEX(properties!A$1:CB$87,'Fórmula'!F87,13)),IF(INDEX(properties!A$1:CB$87,'Fórmula'!H87,13)&lt;&gt;"",INDEX(properties!A$1:CB$87,'Fórmula'!H87,13)),IF(INDEX(properties!A$1:CB$87,'Fórmula'!J87,13)&lt;&gt;"",INDEX(properties!A$1:CB$87,'Fórmula'!J87,13)))</f>
        <v>0</v>
      </c>
      <c r="BA87" s="109">
        <f t="array" ref="BA87">MAX(INDEX(properties!A$1:CB$87,'Fórmula'!B87,13),INDEX(properties!A$1:CB$87,'Fórmula'!D87,13),INDEX(properties!A$1:CB$87,'Fórmula'!F87,13),INDEX(properties!A$1:CB$87,'Fórmula'!H87,13),INDEX(properties!A$1:CB$87,'Fórmula'!J87,13))</f>
        <v>0</v>
      </c>
      <c r="BB87" s="109">
        <f t="array" ref="BB87">MIN(IF('Fórmula'!B87=87,10^6,INDEX(properties!A$1:CB$87,'Fórmula'!B87,13)),IF(('Fórmula'!D87)=87,10^6,INDEX(properties!A$1:CB$87,'Fórmula'!D87,13)),IF(('Fórmula'!F87)=87,10^6,INDEX(properties!A$1:CB$87,'Fórmula'!F87,13)),IF(('Fórmula'!H87)=87,10^6,INDEX(properties!A$1:CB$87,'Fórmula'!H87,13)),IF('Fórmula'!J87=87,10^6,INDEX(properties!A$1:CB$87,'Fórmula'!J87,13)))</f>
        <v>0</v>
      </c>
      <c r="BC87" s="109">
        <f t="shared" si="9"/>
        <v>0</v>
      </c>
      <c r="BD87" s="110">
        <f t="array" ref="BD87">(('Fórmula'!C87)/('Fórmula'!C87+'Fórmula'!E87+'Fórmula'!G87+'Fórmula'!I87+'Fórmula'!K87))*(INDEX(properties!A$1:CB$87,'Fórmula'!B87,14))+(('Fórmula'!E87)/('Fórmula'!C87+'Fórmula'!E87+'Fórmula'!G87+'Fórmula'!I87+'Fórmula'!K87))*(INDEX(properties!A$1:CB$87,'Fórmula'!D87,14))+(('Fórmula'!G87)/('Fórmula'!C87+'Fórmula'!E87+'Fórmula'!G87+'Fórmula'!I87+'Fórmula'!K87))*(INDEX(properties!A$1:CB$87,'Fórmula'!F87,14))+(('Fórmula'!I87)/('Fórmula'!C87+'Fórmula'!E87+'Fórmula'!G87+'Fórmula'!I87+'Fórmula'!K87))*(INDEX(properties!A$1:CB$87,'Fórmula'!H87,14))+(('Fórmula'!K87)/('Fórmula'!C87+'Fórmula'!E87+'Fórmula'!G87+'Fórmula'!I87+'Fórmula'!K87))*(INDEX(properties!A$1:CB$87,'Fórmula'!J87,14))</f>
        <v>0</v>
      </c>
      <c r="BE87" s="110">
        <f t="array" ref="BE87">'Fórmula'!C87*(INDEX(properties!A$1:CB$87,'Fórmula'!B87,14))+'Fórmula'!E87*(INDEX(properties!A$1:CB$87,'Fórmula'!D87,14))+'Fórmula'!G87*(INDEX(properties!A$1:CB$87,'Fórmula'!F87,14))+'Fórmula'!I87*(INDEX(properties!A$1:CB$87,'Fórmula'!H87,14))+'Fórmula'!K87*(INDEX(properties!A$1:CB$87,'Fórmula'!J87,14))</f>
        <v>0</v>
      </c>
      <c r="BF87" s="110">
        <f t="array" ref="BF87">VARP(IF(INDEX(properties!A$1:CB$87,'Fórmula'!B87,14)&lt;&gt;"",INDEX(properties!A$1:CB$87,'Fórmula'!B87,14)),IF(INDEX(properties!A$1:CB$87,'Fórmula'!D87,14)&lt;&gt;"",INDEX(properties!A$1:CB$87,'Fórmula'!D87,14)),IF(INDEX(properties!A$1:CB$87,'Fórmula'!F87,14)&lt;&gt;"",INDEX(properties!A$1:CB$87,'Fórmula'!F87,14)),IF(INDEX(properties!A$1:CB$87,'Fórmula'!H87,14)&lt;&gt;"",INDEX(properties!A$1:CB$87,'Fórmula'!H87,14)),IF(INDEX(properties!A$1:CB$87,'Fórmula'!J87,14)&lt;&gt;"",INDEX(properties!A$1:CB$87,'Fórmula'!J87,14)))</f>
        <v>0</v>
      </c>
      <c r="BG87" s="110">
        <f t="array" ref="BG87">MAX(INDEX(properties!A$1:CB$87,'Fórmula'!B87,14),INDEX(properties!A$1:CB$87,'Fórmula'!D87,14),INDEX(properties!A$1:CB$87,'Fórmula'!F87,14),INDEX(properties!A$1:CB$87,'Fórmula'!H87,14),INDEX(properties!A$1:CB$87,'Fórmula'!J87,14))</f>
        <v>0</v>
      </c>
      <c r="BH87" s="110">
        <f t="array" ref="BH87">MIN(IF('Fórmula'!B87=87,10^6,INDEX(properties!A$1:CB$87,'Fórmula'!B87,14)),IF(('Fórmula'!D87)=87,10^6,INDEX(properties!A$1:CB$87,'Fórmula'!D87,14)),IF(('Fórmula'!F87)=87,10^6,INDEX(properties!A$1:CB$87,'Fórmula'!F87,14)),IF(('Fórmula'!H87)=87,10^6,INDEX(properties!A$1:CB$87,'Fórmula'!H87,14)),IF('Fórmula'!J87=87,10^6,INDEX(properties!A$1:CB$87,'Fórmula'!J87,14)))</f>
        <v>0</v>
      </c>
      <c r="BI87" s="110">
        <f t="shared" si="10"/>
        <v>0</v>
      </c>
      <c r="BJ87" s="111">
        <f t="array" ref="BJ87">(('Fórmula'!C87)/('Fórmula'!C87+'Fórmula'!E87+'Fórmula'!G87+'Fórmula'!I87+'Fórmula'!K87))*(INDEX(properties!A$1:CB$87,'Fórmula'!B87,19))+(('Fórmula'!E87)/('Fórmula'!C87+'Fórmula'!E87+'Fórmula'!G87+'Fórmula'!I87+'Fórmula'!K87))*(INDEX(properties!A$1:CB$87,'Fórmula'!D87,19))+(('Fórmula'!G87)/('Fórmula'!C87+'Fórmula'!E87+'Fórmula'!G87+'Fórmula'!I87+'Fórmula'!K87))*(INDEX(properties!A$1:CB$87,'Fórmula'!F87,19))+(('Fórmula'!I87)/('Fórmula'!C87+'Fórmula'!E87+'Fórmula'!G87+'Fórmula'!I87+'Fórmula'!K87))*(INDEX(properties!A$1:CB$87,'Fórmula'!H87,19))+(('Fórmula'!K87)/('Fórmula'!C87+'Fórmula'!E87+'Fórmula'!G87+'Fórmula'!I87+'Fórmula'!K87))*(INDEX(properties!A$1:CB$87,'Fórmula'!J87,19))</f>
        <v>4.666666667</v>
      </c>
      <c r="BK87" s="111">
        <f t="array" ref="BK87">'Fórmula'!C87*(INDEX(properties!A$1:CB$87,'Fórmula'!B87,19))+'Fórmula'!E87*(INDEX(properties!A$1:CB$87,'Fórmula'!D87,19))+'Fórmula'!G87*(INDEX(properties!A$1:CB$87,'Fórmula'!F87,19))+'Fórmula'!I87*(INDEX(properties!A$1:CB$87,'Fórmula'!H87,19))+'Fórmula'!K87*(INDEX(properties!A$1:CB$87,'Fórmula'!J87,19))</f>
        <v>56</v>
      </c>
      <c r="BL87" s="111">
        <f t="array" ref="BL87">VARP(IF(INDEX(properties!A$1:CB$87,'Fórmula'!B87,19)&lt;&gt;"",INDEX(properties!A$1:CB$87,'Fórmula'!B87,19)),IF(INDEX(properties!A$1:CB$87,'Fórmula'!D87,19)&lt;&gt;"",INDEX(properties!A$1:CB$87,'Fórmula'!D87,19)),IF(INDEX(properties!A$1:CB$87,'Fórmula'!F87,19)&lt;&gt;"",INDEX(properties!A$1:CB$87,'Fórmula'!F87,19)),IF(INDEX(properties!A$1:CB$87,'Fórmula'!H87,19)&lt;&gt;"",INDEX(properties!A$1:CB$87,'Fórmula'!H87,19)),IF(INDEX(properties!A$1:CB$87,'Fórmula'!J87,19)&lt;&gt;"",INDEX(properties!A$1:CB$87,'Fórmula'!J87,19)))</f>
        <v>4</v>
      </c>
      <c r="BM87" s="111">
        <f t="array" ref="BM87">MAX(INDEX(properties!A$1:CB$87,'Fórmula'!B87,19),INDEX(properties!A$1:CB$87,'Fórmula'!D87,19),INDEX(properties!A$1:CB$87,'Fórmula'!F87,19),INDEX(properties!A$1:CB$87,'Fórmula'!H87,19),INDEX(properties!A$1:CB$87,'Fórmula'!J87,19))</f>
        <v>6</v>
      </c>
      <c r="BN87" s="111">
        <f t="array" ref="BN87">MIN(IF(INDEX(properties!A$1:CB$87,'Fórmula'!B87,19)=0,10^6,INDEX(properties!A$1:CB$87,'Fórmula'!B87,19)),IF(INDEX(properties!A$1:CB$87,'Fórmula'!D87,19)=0,10^6,INDEX(properties!A$1:CB$87,'Fórmula'!D87,19)),IF(INDEX(properties!A$1:CB$87,'Fórmula'!F87,19)=0,10^6,INDEX(properties!A$1:CB$87,'Fórmula'!F87,19)),IF(INDEX(properties!A$1:CB$87,'Fórmula'!H87,19)=0,10^6,INDEX(properties!A$1:CB$87,'Fórmula'!H87,19)),IF(INDEX(properties!A$1:CB$87,'Fórmula'!J87,19)=0,10^6,INDEX(properties!A$1:CB$87,'Fórmula'!J87,19)))</f>
        <v>2</v>
      </c>
      <c r="BO87" s="111">
        <f t="shared" si="11"/>
        <v>4</v>
      </c>
      <c r="BP87" s="112">
        <f t="array" ref="BP87">(('Fórmula'!C87)/('Fórmula'!C87+'Fórmula'!E87+'Fórmula'!G87+'Fórmula'!I87+'Fórmula'!K87))*(INDEX(properties!A$1:CB$87,'Fórmula'!B87,20))+(('Fórmula'!E87)/('Fórmula'!C87+'Fórmula'!E87+'Fórmula'!G87+'Fórmula'!I87+'Fórmula'!K87))*(INDEX(properties!A$1:CB$87,'Fórmula'!D87,20))+(('Fórmula'!G87)/('Fórmula'!C87+'Fórmula'!E87+'Fórmula'!G87+'Fórmula'!I87+'Fórmula'!K87))*(INDEX(properties!A$1:CB$87,'Fórmula'!F87,20))+(('Fórmula'!I87)/('Fórmula'!C87+'Fórmula'!E87+'Fórmula'!G87+'Fórmula'!I87+'Fórmula'!K87))*(INDEX(properties!A$1:CB$87,'Fórmula'!H87,20))+(('Fórmula'!K87)/('Fórmula'!C87+'Fórmula'!E87+'Fórmula'!G87+'Fórmula'!I87+'Fórmula'!K87))*(INDEX(properties!A$1:CB$87,'Fórmula'!J87,20))</f>
        <v>4.666666667</v>
      </c>
      <c r="BQ87" s="112">
        <f t="array" ref="BQ87">'Fórmula'!C87*(INDEX(properties!A$1:CB$87,'Fórmula'!B87,20))+'Fórmula'!E87*(INDEX(properties!A$1:CB$87,'Fórmula'!D87,20))+'Fórmula'!G87*(INDEX(properties!A$1:CB$87,'Fórmula'!F87,20))+'Fórmula'!I87*(INDEX(properties!A$1:CB$87,'Fórmula'!H87,20))+'Fórmula'!K87*(INDEX(properties!A$1:CB$87,'Fórmula'!J87,20))</f>
        <v>56</v>
      </c>
      <c r="BR87" s="112">
        <f t="array" ref="BR87">VARP(IF(INDEX(properties!A$1:CB$87,'Fórmula'!B87,20)&lt;&gt;"",INDEX(properties!A$1:CB$87,'Fórmula'!B87,20)),IF(INDEX(properties!A$1:CB$87,'Fórmula'!D87,20)&lt;&gt;"",INDEX(properties!A$1:CB$87,'Fórmula'!D87,20)),IF(INDEX(properties!A$1:CB$87,'Fórmula'!F87,20)&lt;&gt;"",INDEX(properties!A$1:CB$87,'Fórmula'!F87,20)),IF(INDEX(properties!A$1:CB$87,'Fórmula'!H87,20)&lt;&gt;"",INDEX(properties!A$1:CB$87,'Fórmula'!H87,20)),IF(INDEX(properties!A$1:CB$87,'Fórmula'!J87,20)&lt;&gt;"",INDEX(properties!A$1:CB$87,'Fórmula'!J87,20)))</f>
        <v>4</v>
      </c>
      <c r="BS87" s="112">
        <f t="array" ref="BS87">MAX(INDEX(properties!A$1:CB$87,'Fórmula'!B87,20),INDEX(properties!A$1:CB$87,'Fórmula'!D87,20),INDEX(properties!A$1:CB$87,'Fórmula'!F87,20),INDEX(properties!A$1:CB$87,'Fórmula'!H87,20),INDEX(properties!A$1:CB$87,'Fórmula'!J87,20))</f>
        <v>6</v>
      </c>
      <c r="BT87" s="112">
        <f t="array" ref="BT87">MIN(IF(INDEX(properties!A$1:CB$87,'Fórmula'!B87,20)=0,10^6,INDEX(properties!A$1:CB$87,'Fórmula'!B87,20)),IF(INDEX(properties!A$1:CB$87,'Fórmula'!D87,20)=0,10^6,INDEX(properties!A$1:CB$87,'Fórmula'!D87,20)),IF(INDEX(properties!A$1:CB$87,'Fórmula'!F87,20)=0,10^6,INDEX(properties!A$1:CB$87,'Fórmula'!F87,20)),IF(INDEX(properties!A$1:CB$87,'Fórmula'!H87,20)=0,10^6,INDEX(properties!A$1:CB$87,'Fórmula'!H87,20)),IF(INDEX(properties!A$1:CB$87,'Fórmula'!J87,20)=0,10^6,INDEX(properties!A$1:CB$87,'Fórmula'!J87,20)))</f>
        <v>2</v>
      </c>
      <c r="BU87" s="112">
        <f t="shared" si="12"/>
        <v>4</v>
      </c>
      <c r="BV87" s="113">
        <f t="array" ref="BV87">(('Fórmula'!C87)/('Fórmula'!C87+'Fórmula'!E87+'Fórmula'!G87+'Fórmula'!I87+'Fórmula'!K87))*(INDEX(properties!A$1:CB$87,'Fórmula'!B87,21))+(('Fórmula'!E87)/('Fórmula'!C87+'Fórmula'!E87+'Fórmula'!G87+'Fórmula'!I87+'Fórmula'!K87))*(INDEX(properties!A$1:CB$87,'Fórmula'!D87,21))+(('Fórmula'!G87)/('Fórmula'!C87+'Fórmula'!E87+'Fórmula'!G87+'Fórmula'!I87+'Fórmula'!K87))*(INDEX(properties!A$1:CB$87,'Fórmula'!F87,21))+(('Fórmula'!I87)/('Fórmula'!C87+'Fórmula'!E87+'Fórmula'!G87+'Fórmula'!I87+'Fórmula'!K87))*(INDEX(properties!A$1:CB$87,'Fórmula'!H87,21))+(('Fórmula'!K87)/('Fórmula'!C87+'Fórmula'!E87+'Fórmula'!G87+'Fórmula'!I87+'Fórmula'!K87))*(INDEX(properties!A$1:CB$87,'Fórmula'!J87,21))</f>
        <v>4.666666667</v>
      </c>
      <c r="BW87" s="113">
        <f t="array" ref="BW87">'Fórmula'!C87*(INDEX(properties!A$1:CB$87,'Fórmula'!B87,21))+'Fórmula'!E87*(INDEX(properties!A$1:CB$87,'Fórmula'!D87,21))+'Fórmula'!G87*(INDEX(properties!A$1:CB$87,'Fórmula'!F87,21))+'Fórmula'!I87*(INDEX(properties!A$1:CB$87,'Fórmula'!H87,21))+'Fórmula'!K87*(INDEX(properties!A$1:CB$87,'Fórmula'!J87,21))</f>
        <v>56</v>
      </c>
      <c r="BX87" s="113">
        <f t="array" ref="BX87">VARP(IF(INDEX(properties!A$1:CB$87,'Fórmula'!B87,21)&lt;&gt;"",INDEX(properties!A$1:CB$87,'Fórmula'!B87,21)),IF(INDEX(properties!A$1:CB$87,'Fórmula'!D87,21)&lt;&gt;"",INDEX(properties!A$1:CB$87,'Fórmula'!D87,21)),IF(INDEX(properties!A$1:CB$87,'Fórmula'!F87,21)&lt;&gt;"",INDEX(properties!A$1:CB$87,'Fórmula'!F87,21)),IF(INDEX(properties!A$1:CB$87,'Fórmula'!H87,21)&lt;&gt;"",INDEX(properties!A$1:CB$87,'Fórmula'!H87,21)),IF(INDEX(properties!A$1:CB$87,'Fórmula'!J87,21)&lt;&gt;"",INDEX(properties!A$1:CB$87,'Fórmula'!J87,21)))</f>
        <v>4</v>
      </c>
      <c r="BY87" s="113">
        <f t="array" ref="BY87">MAX(INDEX(properties!A$1:CB$87,'Fórmula'!B87,21),INDEX(properties!A$1:CB$87,'Fórmula'!D87,21),INDEX(properties!A$1:CB$87,'Fórmula'!F87,21),INDEX(properties!A$1:CB$87,'Fórmula'!H87,21),INDEX(properties!A$1:CB$87,'Fórmula'!J87,21))</f>
        <v>6</v>
      </c>
      <c r="BZ87" s="113">
        <f t="array" ref="BZ87">MIN(IF(INDEX(properties!A$1:CB$87,'Fórmula'!B87,21)=0,10^6,INDEX(properties!A$1:CB$87,'Fórmula'!B87,21)),IF(INDEX(properties!A$1:CB$87,'Fórmula'!D87,21)=0,10^6,INDEX(properties!A$1:CB$87,'Fórmula'!D87,21)),IF(INDEX(properties!A$1:CB$87,'Fórmula'!F87,21)=0,10^6,INDEX(properties!A$1:CB$87,'Fórmula'!F87,21)),IF(INDEX(properties!A$1:CB$87,'Fórmula'!H87,21)=0,10^6,INDEX(properties!A$1:CB$87,'Fórmula'!H87,21)),IF(INDEX(properties!A$1:CB$87,'Fórmula'!J87,21)=0,10^6,INDEX(properties!A$1:CB$87,'Fórmula'!J87,21)))</f>
        <v>2</v>
      </c>
      <c r="CA87" s="113">
        <f t="shared" si="13"/>
        <v>4</v>
      </c>
      <c r="CB87" s="114">
        <f t="array" ref="CB87">(('Fórmula'!C87)/('Fórmula'!C87+'Fórmula'!E87+'Fórmula'!G87+'Fórmula'!I87+'Fórmula'!K87))*(INDEX(properties!A$1:CB$87,'Fórmula'!B87,23))+(('Fórmula'!E87)/('Fórmula'!C87+'Fórmula'!E87+'Fórmula'!G87+'Fórmula'!I87+'Fórmula'!K87))*(INDEX(properties!A$1:CB$87,'Fórmula'!D87,23))+(('Fórmula'!G87)/('Fórmula'!C87+'Fórmula'!E87+'Fórmula'!G87+'Fórmula'!I87+'Fórmula'!K87))*(INDEX(properties!A$1:CB$87,'Fórmula'!F87,23))+(('Fórmula'!I87)/('Fórmula'!C87+'Fórmula'!E87+'Fórmula'!G87+'Fórmula'!I87+'Fórmula'!K87))*(INDEX(properties!A$1:CB$87,'Fórmula'!H87,23))+(('Fórmula'!K87)/('Fórmula'!C87+'Fórmula'!E87+'Fórmula'!G87+'Fórmula'!I87+'Fórmula'!K87))*(INDEX(properties!A$1:CB$87,'Fórmula'!J87,23))</f>
        <v>1.166666667</v>
      </c>
      <c r="CC87" s="114">
        <f t="array" ref="CC87">'Fórmula'!C87*(INDEX(properties!A$1:CB$87,'Fórmula'!B87,23))+'Fórmula'!E87*(INDEX(properties!A$1:CB$87,'Fórmula'!D87,23))+'Fórmula'!G87*(INDEX(properties!A$1:CB$87,'Fórmula'!F87,23))+'Fórmula'!I87*(INDEX(properties!A$1:CB$87,'Fórmula'!H87,23))+'Fórmula'!K87*(INDEX(properties!A$1:CB$87,'Fórmula'!J87,23))</f>
        <v>14</v>
      </c>
      <c r="CD87" s="114">
        <f t="array" ref="CD87">VARP(IF(INDEX(properties!A$1:CB$87,'Fórmula'!B87,23)&lt;&gt;"",INDEX(properties!A$1:CB$87,'Fórmula'!B87,23)),IF(INDEX(properties!A$1:CB$87,'Fórmula'!D87,23)&lt;&gt;"",INDEX(properties!A$1:CB$87,'Fórmula'!D87,23)),IF(INDEX(properties!A$1:CB$87,'Fórmula'!F87,23)&lt;&gt;"",INDEX(properties!A$1:CB$87,'Fórmula'!F87,23)),IF(INDEX(properties!A$1:CB$87,'Fórmula'!H87,23)&lt;&gt;"",INDEX(properties!A$1:CB$87,'Fórmula'!H87,23)),IF(INDEX(properties!A$1:CB$87,'Fórmula'!J87,23)&lt;&gt;"",INDEX(properties!A$1:CB$87,'Fórmula'!J87,23)))</f>
        <v>2.56</v>
      </c>
      <c r="CE87" s="114">
        <f t="array" ref="CE87">MAX(INDEX(properties!A$1:CB$87,'Fórmula'!B87,23),INDEX(properties!A$1:CB$87,'Fórmula'!D87,23),INDEX(properties!A$1:CB$87,'Fórmula'!F87,23),INDEX(properties!A$1:CB$87,'Fórmula'!H87,23),INDEX(properties!A$1:CB$87,'Fórmula'!J87,23))</f>
        <v>4</v>
      </c>
      <c r="CF87" s="114">
        <f t="array" ref="CF87">MIN(IF('Fórmula'!B87=87,10^6,INDEX(properties!A$1:CB$87,'Fórmula'!B87,23)),IF(('Fórmula'!D87)=87,10^6,INDEX(properties!A$1:CB$87,'Fórmula'!D87,23)),IF(('Fórmula'!F87)=87,10^6,INDEX(properties!A$1:CB$87,'Fórmula'!F87,23)),IF(('Fórmula'!H87)=87,10^6,INDEX(properties!A$1:CB$87,'Fórmula'!H87,23)),IF('Fórmula'!J87=87,10^6,INDEX(properties!A$1:CB$87,'Fórmula'!J87,23)))</f>
        <v>0</v>
      </c>
      <c r="CG87" s="114">
        <f t="shared" si="14"/>
        <v>4</v>
      </c>
      <c r="CH87" s="115">
        <f t="array" ref="CH87">(('Fórmula'!C87)/('Fórmula'!C87+'Fórmula'!E87+'Fórmula'!G87+'Fórmula'!I87+'Fórmula'!K87))*(INDEX(properties!A$1:CB$87,'Fórmula'!B87,26))+(('Fórmula'!E87)/('Fórmula'!C87+'Fórmula'!E87+'Fórmula'!G87+'Fórmula'!I87+'Fórmula'!K87))*(INDEX(properties!A$1:CB$87,'Fórmula'!D87,26))+(('Fórmula'!G87)/('Fórmula'!C87+'Fórmula'!E87+'Fórmula'!G87+'Fórmula'!I87+'Fórmula'!K87))*(INDEX(properties!A$1:CB$87,'Fórmula'!F87,26))+(('Fórmula'!I87)/('Fórmula'!C87+'Fórmula'!E87+'Fórmula'!G87+'Fórmula'!I87+'Fórmula'!K87))*(INDEX(properties!A$1:CB$87,'Fórmula'!H87,26))+(('Fórmula'!K87)/('Fórmula'!C87+'Fórmula'!E87+'Fórmula'!G87+'Fórmula'!I87+'Fórmula'!K87))*(INDEX(properties!A$1:CB$87,'Fórmula'!J87,26))</f>
        <v>10.6397</v>
      </c>
      <c r="CI87" s="115">
        <f t="array" ref="CI87">'Fórmula'!C87*(INDEX(properties!A$1:CB$87,'Fórmula'!B87,26))+'Fórmula'!E87*(INDEX(properties!A$1:CB$87,'Fórmula'!D87,26))+'Fórmula'!G87*(INDEX(properties!A$1:CB$87,'Fórmula'!F87,26))+'Fórmula'!I87*(INDEX(properties!A$1:CB$87,'Fórmula'!H87,26))+'Fórmula'!K87*(INDEX(properties!A$1:CB$87,'Fórmula'!J87,26))</f>
        <v>127.6764</v>
      </c>
      <c r="CJ87" s="115">
        <f t="array" ref="CJ87">VARP(IF(INDEX(properties!A$1:CB$87,'Fórmula'!B87,26)&lt;&gt;"",INDEX(properties!A$1:CB$87,'Fórmula'!B87,26)),IF(INDEX(properties!A$1:CB$87,'Fórmula'!D87,26)&lt;&gt;"",INDEX(properties!A$1:CB$87,'Fórmula'!D87,26)),IF(INDEX(properties!A$1:CB$87,'Fórmula'!F87,26)&lt;&gt;"",INDEX(properties!A$1:CB$87,'Fórmula'!F87,26)),IF(INDEX(properties!A$1:CB$87,'Fórmula'!H87,26)&lt;&gt;"",INDEX(properties!A$1:CB$87,'Fórmula'!H87,26)),IF(INDEX(properties!A$1:CB$87,'Fórmula'!J87,26)&lt;&gt;"",INDEX(properties!A$1:CB$87,'Fórmula'!J87,26)))</f>
        <v>19.13695074</v>
      </c>
      <c r="CK87" s="116">
        <f t="array" ref="CK87">MAX(INDEX(properties!A$1:CB$87,'Fórmula'!B87,26),INDEX(properties!A$1:CB$87,'Fórmula'!D87,26),INDEX(properties!A$1:CB$87,'Fórmula'!F87,26),INDEX(properties!A$1:CB$87,'Fórmula'!H87,26),INDEX(properties!A$1:CB$87,'Fórmula'!J87,26))</f>
        <v>13.6181</v>
      </c>
      <c r="CL87" s="116">
        <f t="array" ref="CL87">MIN(IF(INDEX(properties!A$1:CB$87,'Fórmula'!B87,26)=0,10^6,INDEX(properties!A$1:CB$87,'Fórmula'!B87,26)),IF(INDEX(properties!A$1:CB$87,'Fórmula'!D87,26)=0,10^6,INDEX(properties!A$1:CB$87,'Fórmula'!D87,26)),IF(INDEX(properties!A$1:CB$87,'Fórmula'!F87,26)=0,10^6,INDEX(properties!A$1:CB$87,'Fórmula'!F87,26)),IF(INDEX(properties!A$1:CB$87,'Fórmula'!H87,26)=0,10^6,INDEX(properties!A$1:CB$87,'Fórmula'!H87,26)),IF(INDEX(properties!A$1:CB$87,'Fórmula'!J87,26)=0,10^6,INDEX(properties!A$1:CB$87,'Fórmula'!J87,26)))</f>
        <v>5.9858</v>
      </c>
      <c r="CM87" s="115">
        <f t="shared" si="15"/>
        <v>7.6323</v>
      </c>
      <c r="CN87" s="117">
        <f t="array" ref="CN87">(('Fórmula'!C87)/('Fórmula'!C87+'Fórmula'!E87+'Fórmula'!G87+'Fórmula'!I87+'Fórmula'!K87))*(INDEX(properties!A$1:CB$87,'Fórmula'!B87,30))+(('Fórmula'!E87)/('Fórmula'!C87+'Fórmula'!E87+'Fórmula'!G87+'Fórmula'!I87+'Fórmula'!K87))*(INDEX(properties!A$1:CB$87,'Fórmula'!D87,30))+(('Fórmula'!G87)/('Fórmula'!C87+'Fórmula'!E87+'Fórmula'!G87+'Fórmula'!I87+'Fórmula'!K87))*(INDEX(properties!A$1:CB$87,'Fórmula'!F87,30))+(('Fórmula'!I87)/('Fórmula'!C87+'Fórmula'!E87+'Fórmula'!G87+'Fórmula'!I87+'Fórmula'!K87))*(INDEX(properties!A$1:CB$87,'Fórmula'!H87,30))+(('Fórmula'!K87)/('Fórmula'!C87+'Fórmula'!E87+'Fórmula'!G87+'Fórmula'!I87+'Fórmula'!K87))*(INDEX(properties!A$1:CB$87,'Fórmula'!J87,30))</f>
        <v>2.6</v>
      </c>
      <c r="CO87" s="117">
        <f t="array" ref="CO87">'Fórmula'!C87*(INDEX(properties!A$1:CB$87,'Fórmula'!B87,30))+'Fórmula'!E87*(INDEX(properties!A$1:CB$87,'Fórmula'!D87,30))+'Fórmula'!G87*(INDEX(properties!A$1:CB$87,'Fórmula'!F87,30))+'Fórmula'!I87*(INDEX(properties!A$1:CB$87,'Fórmula'!H87,30))+'Fórmula'!K87*(INDEX(properties!A$1:CB$87,'Fórmula'!J87,30))</f>
        <v>31.2</v>
      </c>
      <c r="CP87" s="117">
        <f t="array" ref="CP87">VARP(IF(INDEX(properties!A$1:CB$87,'Fórmula'!B87,30)&lt;&gt;"",INDEX(properties!A$1:CB$87,'Fórmula'!B87,30)),IF(INDEX(properties!A$1:CB$87,'Fórmula'!D87,30)&lt;&gt;"",INDEX(properties!A$1:CB$87,'Fórmula'!D87,30)),IF(INDEX(properties!A$1:CB$87,'Fórmula'!F87,30)&lt;&gt;"",INDEX(properties!A$1:CB$87,'Fórmula'!F87,30)),IF(INDEX(properties!A$1:CB$87,'Fórmula'!H87,30)&lt;&gt;"",INDEX(properties!A$1:CB$87,'Fórmula'!H87,30)),IF(INDEX(properties!A$1:CB$87,'Fórmula'!J87,30)&lt;&gt;"",INDEX(properties!A$1:CB$87,'Fórmula'!J87,30)))</f>
        <v>1.27904</v>
      </c>
      <c r="CQ87" s="117">
        <f t="array" ref="CQ87">MAX(INDEX(properties!A$1:CB$87,'Fórmula'!B87,30),INDEX(properties!A$1:CB$87,'Fórmula'!D87,30),INDEX(properties!A$1:CB$87,'Fórmula'!F87,30),INDEX(properties!A$1:CB$87,'Fórmula'!H87,30),INDEX(properties!A$1:CB$87,'Fórmula'!J87,30))</f>
        <v>3.44</v>
      </c>
      <c r="CR87" s="117">
        <f t="array" ref="CR87">MIN(IF(INDEX(properties!A$1:CB$87,'Fórmula'!B87,30)=0,10^6,INDEX(properties!A$1:CB$87,'Fórmula'!B87,30)),IF(INDEX(properties!A$1:CB$87,'Fórmula'!D87,30)=0,10^6,INDEX(properties!A$1:CB$87,'Fórmula'!D87,30)),IF(INDEX(properties!A$1:CB$87,'Fórmula'!F87,30)=0,10^6,INDEX(properties!A$1:CB$87,'Fórmula'!F87,30)),IF(INDEX(properties!A$1:CB$87,'Fórmula'!H87,30)=0,10^6,INDEX(properties!A$1:CB$87,'Fórmula'!H87,30)),IF(INDEX(properties!A$1:CB$87,'Fórmula'!J87,30)=0,10^6,INDEX(properties!A$1:CB$87,'Fórmula'!J87,30)))</f>
        <v>1</v>
      </c>
      <c r="CS87" s="117">
        <f t="shared" si="16"/>
        <v>2.44</v>
      </c>
      <c r="CT87" s="118">
        <f t="array" ref="CT87">(('Fórmula'!C87)/('Fórmula'!C87+'Fórmula'!E87+'Fórmula'!G87+'Fórmula'!I87+'Fórmula'!K87))*(INDEX(properties!A$1:CB$87,'Fórmula'!B87,31))+(('Fórmula'!E87)/('Fórmula'!C87+'Fórmula'!E87+'Fórmula'!G87+'Fórmula'!I87+'Fórmula'!K87))*(INDEX(properties!A$1:CB$87,'Fórmula'!D87,31))+(('Fórmula'!G87)/('Fórmula'!C87+'Fórmula'!E87+'Fórmula'!G87+'Fórmula'!I87+'Fórmula'!K87))*(INDEX(properties!A$1:CB$87,'Fórmula'!F87,31))+(('Fórmula'!I87)/('Fórmula'!C87+'Fórmula'!E87+'Fórmula'!G87+'Fórmula'!I87+'Fórmula'!K87))*(INDEX(properties!A$1:CB$87,'Fórmula'!H87,31))+(('Fórmula'!K87)/('Fórmula'!C87+'Fórmula'!E87+'Fórmula'!G87+'Fórmula'!I87+'Fórmula'!K87))*(INDEX(properties!A$1:CB$87,'Fórmula'!J87,31))</f>
        <v>2.57</v>
      </c>
      <c r="CU87" s="118">
        <f t="array" ref="CU87">'Fórmula'!C87*(INDEX(properties!A$1:CB$87,'Fórmula'!B87,31))+'Fórmula'!E87*(INDEX(properties!A$1:CB$87,'Fórmula'!D87,31))+'Fórmula'!G87*(INDEX(properties!A$1:CB$87,'Fórmula'!F87,31))+'Fórmula'!I87*(INDEX(properties!A$1:CB$87,'Fórmula'!H87,31))+'Fórmula'!K87*(INDEX(properties!A$1:CB$87,'Fórmula'!J87,31))</f>
        <v>30.84</v>
      </c>
      <c r="CV87" s="118">
        <f t="array" ref="CV87">VARP(IF(INDEX(properties!A$1:CB$87,'Fórmula'!B87,31)&lt;&gt;"",INDEX(properties!A$1:CB$87,'Fórmula'!B87,31)),IF(INDEX(properties!A$1:CB$87,'Fórmula'!D87,31)&lt;&gt;"",INDEX(properties!A$1:CB$87,'Fórmula'!D87,31)),IF(INDEX(properties!A$1:CB$87,'Fórmula'!F87,31)&lt;&gt;"",INDEX(properties!A$1:CB$87,'Fórmula'!F87,31)),IF(INDEX(properties!A$1:CB$87,'Fórmula'!H87,31)&lt;&gt;"",INDEX(properties!A$1:CB$87,'Fórmula'!H87,31)),IF(INDEX(properties!A$1:CB$87,'Fórmula'!J87,31)&lt;&gt;"",INDEX(properties!A$1:CB$87,'Fórmula'!J87,31)))</f>
        <v>1.169376</v>
      </c>
      <c r="CW87" s="118">
        <f t="array" ref="CW87">MAX(INDEX(properties!A$1:CB$87,'Fórmula'!B87,31),INDEX(properties!A$1:CB$87,'Fórmula'!D87,31),INDEX(properties!A$1:CB$87,'Fórmula'!F87,31),INDEX(properties!A$1:CB$87,'Fórmula'!H87,31),INDEX(properties!A$1:CB$87,'Fórmula'!J87,31))</f>
        <v>3.32</v>
      </c>
      <c r="CX87" s="118">
        <f t="array" ref="CX87">MIN(IF(INDEX(properties!A$1:CB$87,'Fórmula'!B87,31)=0,10^6,INDEX(properties!A$1:CB$87,'Fórmula'!B87,31)),IF(INDEX(properties!A$1:CB$87,'Fórmula'!D87,31)=0,10^6,INDEX(properties!A$1:CB$87,'Fórmula'!D87,31)),IF(INDEX(properties!A$1:CB$87,'Fórmula'!F87,31)=0,10^6,INDEX(properties!A$1:CB$87,'Fórmula'!F87,31)),IF(INDEX(properties!A$1:CB$87,'Fórmula'!H87,31)=0,10^6,INDEX(properties!A$1:CB$87,'Fórmula'!H87,31)),IF(INDEX(properties!A$1:CB$87,'Fórmula'!J87,31)=0,10^6,INDEX(properties!A$1:CB$87,'Fórmula'!J87,31)))</f>
        <v>1.17</v>
      </c>
      <c r="CY87" s="118">
        <f t="shared" si="17"/>
        <v>2.15</v>
      </c>
      <c r="CZ87" s="119">
        <f t="array" ref="CZ87">(('Fórmula'!C87)/('Fórmula'!C87+'Fórmula'!E87+'Fórmula'!G87+'Fórmula'!I87+'Fórmula'!K87))*(INDEX(properties!A$1:CB$87,'Fórmula'!B87,32))+(('Fórmula'!E87)/('Fórmula'!C87+'Fórmula'!E87+'Fórmula'!G87+'Fórmula'!I87+'Fórmula'!K87))*(INDEX(properties!A$1:CB$87,'Fórmula'!D87,32))+(('Fórmula'!G87)/('Fórmula'!C87+'Fórmula'!E87+'Fórmula'!G87+'Fórmula'!I87+'Fórmula'!K87))*(INDEX(properties!A$1:CB$87,'Fórmula'!F87,32))+(('Fórmula'!I87)/('Fórmula'!C87+'Fórmula'!E87+'Fórmula'!G87+'Fórmula'!I87+'Fórmula'!K87))*(INDEX(properties!A$1:CB$87,'Fórmula'!H87,32))+(('Fórmula'!K87)/('Fórmula'!C87+'Fórmula'!E87+'Fórmula'!G87+'Fórmula'!I87+'Fórmula'!K87))*(INDEX(properties!A$1:CB$87,'Fórmula'!J87,32))</f>
        <v>5.700833333</v>
      </c>
      <c r="DA87" s="119">
        <f t="array" ref="DA87">'Fórmula'!C87*(INDEX(properties!A$1:CB$87,'Fórmula'!B87,32))+'Fórmula'!E87*(INDEX(properties!A$1:CB$87,'Fórmula'!D87,32))+'Fórmula'!G87*(INDEX(properties!A$1:CB$87,'Fórmula'!F87,32))+'Fórmula'!I87*(INDEX(properties!A$1:CB$87,'Fórmula'!H87,32))+'Fórmula'!K87*(INDEX(properties!A$1:CB$87,'Fórmula'!J87,32))</f>
        <v>68.41</v>
      </c>
      <c r="DB87" s="119">
        <f t="array" ref="DB87">VARP(IF(INDEX(properties!A$1:CB$87,'Fórmula'!B87,32)&lt;&gt;"",INDEX(properties!A$1:CB$87,'Fórmula'!B87,32)),IF(INDEX(properties!A$1:CB$87,'Fórmula'!D87,32)&lt;&gt;"",INDEX(properties!A$1:CB$87,'Fórmula'!D87,32)),IF(INDEX(properties!A$1:CB$87,'Fórmula'!F87,32)&lt;&gt;"",INDEX(properties!A$1:CB$87,'Fórmula'!F87,32)),IF(INDEX(properties!A$1:CB$87,'Fórmula'!H87,32)&lt;&gt;"",INDEX(properties!A$1:CB$87,'Fórmula'!H87,32)),IF(INDEX(properties!A$1:CB$87,'Fórmula'!J87,32)&lt;&gt;"",INDEX(properties!A$1:CB$87,'Fórmula'!J87,32)))</f>
        <v>6.387176</v>
      </c>
      <c r="DC87" s="119">
        <f t="array" ref="DC87">MAX(INDEX(properties!A$1:CB$87,'Fórmula'!B87,32),INDEX(properties!A$1:CB$87,'Fórmula'!D87,32),INDEX(properties!A$1:CB$87,'Fórmula'!F87,32),INDEX(properties!A$1:CB$87,'Fórmula'!H87,32),INDEX(properties!A$1:CB$87,'Fórmula'!J87,32))</f>
        <v>7.54</v>
      </c>
      <c r="DD87" s="119">
        <f t="array" ref="DD87">MIN(IF(INDEX(properties!A$1:CB$87,'Fórmula'!B87,32)=0,10^6,INDEX(properties!A$1:CB$87,'Fórmula'!B87,32)),IF(INDEX(properties!A$1:CB$87,'Fórmula'!D87,32)=0,10^6,INDEX(properties!A$1:CB$87,'Fórmula'!D87,32)),IF(INDEX(properties!A$1:CB$87,'Fórmula'!F87,32)=0,10^6,INDEX(properties!A$1:CB$87,'Fórmula'!F87,32)),IF(INDEX(properties!A$1:CB$87,'Fórmula'!H87,32)=0,10^6,INDEX(properties!A$1:CB$87,'Fórmula'!H87,32)),IF(INDEX(properties!A$1:CB$87,'Fórmula'!J87,32)=0,10^6,INDEX(properties!A$1:CB$87,'Fórmula'!J87,32)))</f>
        <v>2.2</v>
      </c>
      <c r="DE87" s="119">
        <f t="shared" si="18"/>
        <v>5.34</v>
      </c>
      <c r="DF87" s="104">
        <f t="array" ref="DF87">(('Fórmula'!C87)/('Fórmula'!C87+'Fórmula'!E87+'Fórmula'!G87+'Fórmula'!I87+'Fórmula'!K87))*(INDEX(properties!A$1:CB$87,'Fórmula'!B87,34))+(('Fórmula'!E87)/('Fórmula'!C87+'Fórmula'!E87+'Fórmula'!G87+'Fórmula'!I87+'Fórmula'!K87))*(INDEX(properties!A$1:CB$87,'Fórmula'!D87,34))+(('Fórmula'!G87)/('Fórmula'!C87+'Fórmula'!E87+'Fórmula'!G87+'Fórmula'!I87+'Fórmula'!K87))*(INDEX(properties!A$1:CB$87,'Fórmula'!F87,34))+(('Fórmula'!I87)/('Fórmula'!C87+'Fórmula'!E87+'Fórmula'!G87+'Fórmula'!I87+'Fórmula'!K87))*(INDEX(properties!A$1:CB$87,'Fórmula'!H87,34))+(('Fórmula'!K87)/('Fórmula'!C87+'Fórmula'!E87+'Fórmula'!G87+'Fórmula'!I87+'Fórmula'!K87))*(INDEX(properties!A$1:CB$87,'Fórmula'!J87,34))</f>
        <v>2.706666667</v>
      </c>
      <c r="DG87" s="104">
        <f t="array" ref="DG87">'Fórmula'!C87*(INDEX(properties!A$1:CB$87,'Fórmula'!B87,34))+'Fórmula'!E87*(INDEX(properties!A$1:CB$87,'Fórmula'!D87,34))+'Fórmula'!G87*(INDEX(properties!A$1:CB$87,'Fórmula'!F87,34))+'Fórmula'!I87*(INDEX(properties!A$1:CB$87,'Fórmula'!H87,34))+'Fórmula'!K87*(INDEX(properties!A$1:CB$87,'Fórmula'!J87,34))</f>
        <v>32.48</v>
      </c>
      <c r="DH87" s="104">
        <f t="array" ref="DH87">VARP(IF(INDEX(properties!A$1:CB$87,'Fórmula'!B87,34)&lt;&gt;"",INDEX(properties!A$1:CB$87,'Fórmula'!B87,34)),IF(INDEX(properties!A$1:CB$87,'Fórmula'!D87,34)&lt;&gt;"",INDEX(properties!A$1:CB$87,'Fórmula'!D87,34)),IF(INDEX(properties!A$1:CB$87,'Fórmula'!F87,34)&lt;&gt;"",INDEX(properties!A$1:CB$87,'Fórmula'!F87,34)),IF(INDEX(properties!A$1:CB$87,'Fórmula'!H87,34)&lt;&gt;"",INDEX(properties!A$1:CB$87,'Fórmula'!H87,34)),IF(INDEX(properties!A$1:CB$87,'Fórmula'!J87,34)&lt;&gt;"",INDEX(properties!A$1:CB$87,'Fórmula'!J87,34)))</f>
        <v>1.40289904</v>
      </c>
      <c r="DI87" s="104">
        <f t="array" ref="DI87">MAX(INDEX(properties!A$1:CB$87,'Fórmula'!B87,34),INDEX(properties!A$1:CB$87,'Fórmula'!D87,34),INDEX(properties!A$1:CB$87,'Fórmula'!F87,34),INDEX(properties!A$1:CB$87,'Fórmula'!H87,34),INDEX(properties!A$1:CB$87,'Fórmula'!J87,34))</f>
        <v>3.61</v>
      </c>
      <c r="DJ87" s="104">
        <f t="array" ref="DJ87">MIN(IF(INDEX(properties!A$1:CB$87,'Fórmula'!B87,34)=0,10^6,INDEX(properties!A$1:CB$87,'Fórmula'!B87,34)),IF(INDEX(properties!A$1:CB$87,'Fórmula'!D87,34)=0,10^6,INDEX(properties!A$1:CB$87,'Fórmula'!D87,34)),IF(INDEX(properties!A$1:CB$87,'Fórmula'!F87,34)=0,10^6,INDEX(properties!A$1:CB$87,'Fórmula'!F87,34)),IF(INDEX(properties!A$1:CB$87,'Fórmula'!H87,34)=0,10^6,INDEX(properties!A$1:CB$87,'Fórmula'!H87,34)),IF(INDEX(properties!A$1:CB$87,'Fórmula'!J87,34)=0,10^6,INDEX(properties!A$1:CB$87,'Fórmula'!J87,34)))</f>
        <v>1.034</v>
      </c>
      <c r="DK87" s="104">
        <f t="shared" si="19"/>
        <v>2.576</v>
      </c>
      <c r="DL87" s="105">
        <f t="array" ref="DL87">(('Fórmula'!C87)/('Fórmula'!C87+'Fórmula'!E87+'Fórmula'!G87+'Fórmula'!I87+'Fórmula'!K87))*(INDEX(properties!A$1:CB$87,'Fórmula'!B87,37))+(('Fórmula'!E87)/('Fórmula'!C87+'Fórmula'!E87+'Fórmula'!G87+'Fórmula'!I87+'Fórmula'!K87))*(INDEX(properties!A$1:CB$87,'Fórmula'!D87,37))+(('Fórmula'!G87)/('Fórmula'!C87+'Fórmula'!E87+'Fórmula'!G87+'Fórmula'!I87+'Fórmula'!K87))*(INDEX(properties!A$1:CB$87,'Fórmula'!F87,37))+(('Fórmula'!I87)/('Fórmula'!C87+'Fórmula'!E87+'Fórmula'!G87+'Fórmula'!I87+'Fórmula'!K87))*(INDEX(properties!A$1:CB$87,'Fórmula'!H87,37))+(('Fórmula'!K87)/('Fórmula'!C87+'Fórmula'!E87+'Fórmula'!G87+'Fórmula'!I87+'Fórmula'!K87))*(INDEX(properties!A$1:CB$87,'Fórmula'!J87,37))</f>
        <v>2.579166667</v>
      </c>
      <c r="DM87" s="105">
        <f t="array" ref="DM87">'Fórmula'!C87*(INDEX(properties!A$1:CB$87,'Fórmula'!B87,37))+'Fórmula'!E87*(INDEX(properties!A$1:CB$87,'Fórmula'!D87,37))+'Fórmula'!G87*(INDEX(properties!A$1:CB$87,'Fórmula'!F87,37))+'Fórmula'!I87*(INDEX(properties!A$1:CB$87,'Fórmula'!H87,37))+'Fórmula'!K87*(INDEX(properties!A$1:CB$87,'Fórmula'!J87,37))</f>
        <v>30.95</v>
      </c>
      <c r="DN87" s="105">
        <f t="array" ref="DN87">VARP(IF(INDEX(properties!A$1:CB$87,'Fórmula'!B87,37)&lt;&gt;"",INDEX(properties!A$1:CB$87,'Fórmula'!B87,37)),IF(INDEX(properties!A$1:CB$87,'Fórmula'!D87,37)&lt;&gt;"",INDEX(properties!A$1:CB$87,'Fórmula'!D87,37)),IF(INDEX(properties!A$1:CB$87,'Fórmula'!F87,37)&lt;&gt;"",INDEX(properties!A$1:CB$87,'Fórmula'!F87,37)),IF(INDEX(properties!A$1:CB$87,'Fórmula'!H87,37)&lt;&gt;"",INDEX(properties!A$1:CB$87,'Fórmula'!H87,37)),IF(INDEX(properties!A$1:CB$87,'Fórmula'!J87,37)&lt;&gt;"",INDEX(properties!A$1:CB$87,'Fórmula'!J87,37)))</f>
        <v>1.276</v>
      </c>
      <c r="DO87" s="105">
        <f t="array" ref="DO87">MAX(INDEX(properties!A$1:CB$87,'Fórmula'!B87,37),INDEX(properties!A$1:CB$87,'Fórmula'!D87,37),INDEX(properties!A$1:CB$87,'Fórmula'!F87,37),INDEX(properties!A$1:CB$87,'Fórmula'!H87,37),INDEX(properties!A$1:CB$87,'Fórmula'!J87,37))</f>
        <v>3.45</v>
      </c>
      <c r="DP87" s="105">
        <f t="array" ref="DP87">MIN(IF(INDEX(properties!A$1:CB$87,'Fórmula'!B87,37)=0,10^6,INDEX(properties!A$1:CB$87,'Fórmula'!B87,37)),IF(INDEX(properties!A$1:CB$87,'Fórmula'!D87,37)=0,10^6,INDEX(properties!A$1:CB$87,'Fórmula'!D87,37)),IF(INDEX(properties!A$1:CB$87,'Fórmula'!F87,37)=0,10^6,INDEX(properties!A$1:CB$87,'Fórmula'!F87,37)),IF(INDEX(properties!A$1:CB$87,'Fórmula'!H87,37)=0,10^6,INDEX(properties!A$1:CB$87,'Fórmula'!H87,37)),IF(INDEX(properties!A$1:CB$87,'Fórmula'!J87,37)=0,10^6,INDEX(properties!A$1:CB$87,'Fórmula'!J87,37)))</f>
        <v>1</v>
      </c>
      <c r="DQ87" s="105">
        <f t="shared" si="20"/>
        <v>2.45</v>
      </c>
      <c r="DR87" s="109">
        <f t="array" ref="DR87">(('Fórmula'!C87)/('Fórmula'!C87+'Fórmula'!E87+'Fórmula'!G87+'Fórmula'!I87+'Fórmula'!K87))*(INDEX(properties!A$1:CB$87,'Fórmula'!B87,39))+(('Fórmula'!E87)/('Fórmula'!C87+'Fórmula'!E87+'Fórmula'!G87+'Fórmula'!I87+'Fórmula'!K87))*(INDEX(properties!A$1:CB$87,'Fórmula'!D87,39))+(('Fórmula'!G87)/('Fórmula'!C87+'Fórmula'!E87+'Fórmula'!G87+'Fórmula'!I87+'Fórmula'!K87))*(INDEX(properties!A$1:CB$87,'Fórmula'!F87,39))+(('Fórmula'!I87)/('Fórmula'!C87+'Fórmula'!E87+'Fórmula'!G87+'Fórmula'!I87+'Fórmula'!K87))*(INDEX(properties!A$1:CB$87,'Fórmula'!H87,39))+(('Fórmula'!K87)/('Fórmula'!C87+'Fórmula'!E87+'Fórmula'!G87+'Fórmula'!I87+'Fórmula'!K87))*(INDEX(properties!A$1:CB$87,'Fórmula'!J87,39))</f>
        <v>0.8925</v>
      </c>
      <c r="DS87" s="109">
        <f t="array" ref="DS87">'Fórmula'!C87*(INDEX(properties!A$1:CB$87,'Fórmula'!B87,39))+'Fórmula'!E87*(INDEX(properties!A$1:CB$87,'Fórmula'!D87,39))+'Fórmula'!G87*(INDEX(properties!A$1:CB$87,'Fórmula'!F87,39))+'Fórmula'!I87*(INDEX(properties!A$1:CB$87,'Fórmula'!H87,39))+'Fórmula'!K87*(INDEX(properties!A$1:CB$87,'Fórmula'!J87,39))</f>
        <v>10.71</v>
      </c>
      <c r="DT87" s="109">
        <f t="array" ref="DT87">VARP(IF(INDEX(properties!A$1:CB$87,'Fórmula'!B87,39)&lt;&gt;"",INDEX(properties!A$1:CB$87,'Fórmula'!B87,39)),IF(INDEX(properties!A$1:CB$87,'Fórmula'!D87,39)&lt;&gt;"",INDEX(properties!A$1:CB$87,'Fórmula'!D87,39)),IF(INDEX(properties!A$1:CB$87,'Fórmula'!F87,39)&lt;&gt;"",INDEX(properties!A$1:CB$87,'Fórmula'!F87,39)),IF(INDEX(properties!A$1:CB$87,'Fórmula'!H87,39)&lt;&gt;"",INDEX(properties!A$1:CB$87,'Fórmula'!H87,39)),IF(INDEX(properties!A$1:CB$87,'Fórmula'!J87,39)&lt;&gt;"",INDEX(properties!A$1:CB$87,'Fórmula'!J87,39)))</f>
        <v>0.436336</v>
      </c>
      <c r="DU87" s="120">
        <f t="array" ref="DU87">MAX(INDEX(properties!A$1:CB$87,'Fórmula'!B87,39),INDEX(properties!A$1:CB$87,'Fórmula'!D87,39),INDEX(properties!A$1:CB$87,'Fórmula'!F87,39),INDEX(properties!A$1:CB$87,'Fórmula'!H87,39),INDEX(properties!A$1:CB$87,'Fórmula'!J87,39))</f>
        <v>1.94</v>
      </c>
      <c r="DV87" s="120">
        <f t="array" ref="DV87">MIN(IF(INDEX(properties!A$1:CB$87,'Fórmula'!B87,39)=0,10^6,INDEX(properties!A$1:CB$87,'Fórmula'!B87,39)),IF(INDEX(properties!A$1:CB$87,'Fórmula'!D87,39)=0,10^6,INDEX(properties!A$1:CB$87,'Fórmula'!D87,39)),IF(INDEX(properties!A$1:CB$87,'Fórmula'!F87,39)=0,10^6,INDEX(properties!A$1:CB$87,'Fórmula'!F87,39)),IF(INDEX(properties!A$1:CB$87,'Fórmula'!H87,39)=0,10^6,INDEX(properties!A$1:CB$87,'Fórmula'!H87,39)),IF(INDEX(properties!A$1:CB$87,'Fórmula'!J87,39)=0,10^6,INDEX(properties!A$1:CB$87,'Fórmula'!J87,39)))</f>
        <v>0.48</v>
      </c>
      <c r="DW87" s="109">
        <f t="shared" si="21"/>
        <v>1.46</v>
      </c>
      <c r="DX87" s="110">
        <f t="array" ref="DX87">(('Fórmula'!C87)/('Fórmula'!C87+'Fórmula'!E87+'Fórmula'!G87+'Fórmula'!I87+'Fórmula'!K87))*(INDEX(properties!A$1:CB$87,'Fórmula'!B87,40))+(('Fórmula'!E87)/('Fórmula'!C87+'Fórmula'!E87+'Fórmula'!G87+'Fórmula'!I87+'Fórmula'!K87))*(INDEX(properties!A$1:CB$87,'Fórmula'!D87,40))+(('Fórmula'!G87)/('Fórmula'!C87+'Fórmula'!E87+'Fórmula'!G87+'Fórmula'!I87+'Fórmula'!K87))*(INDEX(properties!A$1:CB$87,'Fórmula'!F87,40))+(('Fórmula'!I87)/('Fórmula'!C87+'Fórmula'!E87+'Fórmula'!G87+'Fórmula'!I87+'Fórmula'!K87))*(INDEX(properties!A$1:CB$87,'Fórmula'!H87,40))+(('Fórmula'!K87)/('Fórmula'!C87+'Fórmula'!E87+'Fórmula'!G87+'Fórmula'!I87+'Fórmula'!K87))*(INDEX(properties!A$1:CB$87,'Fórmula'!J87,40))</f>
        <v>1.005</v>
      </c>
      <c r="DY87" s="110">
        <f t="array" ref="DY87">'Fórmula'!C87*(INDEX(properties!A$1:CB$87,'Fórmula'!B87,40))+'Fórmula'!E87*(INDEX(properties!A$1:CB$87,'Fórmula'!D87,40))+'Fórmula'!G87*(INDEX(properties!A$1:CB$87,'Fórmula'!F87,40))+'Fórmula'!I87*(INDEX(properties!A$1:CB$87,'Fórmula'!H87,40))+'Fórmula'!K87*(INDEX(properties!A$1:CB$87,'Fórmula'!J87,40))</f>
        <v>12.06</v>
      </c>
      <c r="DZ87" s="110">
        <f t="array" ref="DZ87">VARP(IF(INDEX(properties!A$1:CB$87,'Fórmula'!B87,40)&lt;&gt;"",INDEX(properties!A$1:CB$87,'Fórmula'!B87,40)),IF(INDEX(properties!A$1:CB$87,'Fórmula'!D87,40)&lt;&gt;"",INDEX(properties!A$1:CB$87,'Fórmula'!D87,40)),IF(INDEX(properties!A$1:CB$87,'Fórmula'!F87,40)&lt;&gt;"",INDEX(properties!A$1:CB$87,'Fórmula'!F87,40)),IF(INDEX(properties!A$1:CB$87,'Fórmula'!H87,40)&lt;&gt;"",INDEX(properties!A$1:CB$87,'Fórmula'!H87,40)),IF(INDEX(properties!A$1:CB$87,'Fórmula'!J87,40)&lt;&gt;"",INDEX(properties!A$1:CB$87,'Fórmula'!J87,40)))</f>
        <v>0.330696</v>
      </c>
      <c r="EA87" s="121">
        <f t="array" ref="EA87">MAX(INDEX(properties!A$1:CB$87,'Fórmula'!B87,40),INDEX(properties!A$1:CB$87,'Fórmula'!D87,40),INDEX(properties!A$1:CB$87,'Fórmula'!F87,40),INDEX(properties!A$1:CB$87,'Fórmula'!H87,40),INDEX(properties!A$1:CB$87,'Fórmula'!J87,40))</f>
        <v>1.74</v>
      </c>
      <c r="EB87" s="121">
        <f t="array" ref="EB87">MIN(IF(INDEX(properties!A$1:CB$87,'Fórmula'!B87,40)=0,10^6,INDEX(properties!A$1:CB$87,'Fórmula'!B87,40)),IF(INDEX(properties!A$1:CB$87,'Fórmula'!D87,40)=0,10^6,INDEX(properties!A$1:CB$87,'Fórmula'!D87,40)),IF(INDEX(properties!A$1:CB$87,'Fórmula'!F87,40)=0,10^6,INDEX(properties!A$1:CB$87,'Fórmula'!F87,40)),IF(INDEX(properties!A$1:CB$87,'Fórmula'!H87,40)=0,10^6,INDEX(properties!A$1:CB$87,'Fórmula'!H87,40)),IF(INDEX(properties!A$1:CB$87,'Fórmula'!J87,40)=0,10^6,INDEX(properties!A$1:CB$87,'Fórmula'!J87,40)))</f>
        <v>0.73</v>
      </c>
      <c r="EC87" s="110">
        <f t="shared" si="22"/>
        <v>1.01</v>
      </c>
      <c r="ED87" s="111">
        <f t="array" ref="ED87">(('Fórmula'!C87)/('Fórmula'!C87+'Fórmula'!E87+'Fórmula'!G87+'Fórmula'!I87+'Fórmula'!K87))*(INDEX(properties!A$1:CB$87,'Fórmula'!B87,41))+(('Fórmula'!E87)/('Fórmula'!C87+'Fórmula'!E87+'Fórmula'!G87+'Fórmula'!I87+'Fórmula'!K87))*(INDEX(properties!A$1:CB$87,'Fórmula'!D87,41))+(('Fórmula'!G87)/('Fórmula'!C87+'Fórmula'!E87+'Fórmula'!G87+'Fórmula'!I87+'Fórmula'!K87))*(INDEX(properties!A$1:CB$87,'Fórmula'!F87,41))+(('Fórmula'!I87)/('Fórmula'!C87+'Fórmula'!E87+'Fórmula'!G87+'Fórmula'!I87+'Fórmula'!K87))*(INDEX(properties!A$1:CB$87,'Fórmula'!H87,41))+(('Fórmula'!K87)/('Fórmula'!C87+'Fórmula'!E87+'Fórmula'!G87+'Fórmula'!I87+'Fórmula'!K87))*(INDEX(properties!A$1:CB$87,'Fórmula'!J87,41))</f>
        <v>1.083333333</v>
      </c>
      <c r="EE87" s="111">
        <f t="array" ref="EE87">'Fórmula'!C87*(INDEX(properties!A$1:CB$87,'Fórmula'!B87,41))+'Fórmula'!E87*(INDEX(properties!A$1:CB$87,'Fórmula'!D87,41))+'Fórmula'!G87*(INDEX(properties!A$1:CB$87,'Fórmula'!F87,41))+'Fórmula'!I87*(INDEX(properties!A$1:CB$87,'Fórmula'!H87,41))+'Fórmula'!K87*(INDEX(properties!A$1:CB$87,'Fórmula'!J87,41))</f>
        <v>13</v>
      </c>
      <c r="EF87" s="111">
        <f t="array" ref="EF87">VARP(IF(INDEX(properties!A$1:CB$87,'Fórmula'!B87,41)&lt;&gt;"",INDEX(properties!A$1:CB$87,'Fórmula'!B87,41)),IF(INDEX(properties!A$1:CB$87,'Fórmula'!D87,41)&lt;&gt;"",INDEX(properties!A$1:CB$87,'Fórmula'!D87,41)),IF(INDEX(properties!A$1:CB$87,'Fórmula'!F87,41)&lt;&gt;"",INDEX(properties!A$1:CB$87,'Fórmula'!F87,41)),IF(INDEX(properties!A$1:CB$87,'Fórmula'!H87,41)&lt;&gt;"",INDEX(properties!A$1:CB$87,'Fórmula'!H87,41)),IF(INDEX(properties!A$1:CB$87,'Fórmula'!J87,41)&lt;&gt;"",INDEX(properties!A$1:CB$87,'Fórmula'!J87,41)))</f>
        <v>0.204064</v>
      </c>
      <c r="EG87" s="122">
        <f t="array" ref="EG87">MAX(INDEX(properties!A$1:CB$87,'Fórmula'!B87,41),INDEX(properties!A$1:CB$87,'Fórmula'!D87,41),INDEX(properties!A$1:CB$87,'Fórmula'!F87,41),INDEX(properties!A$1:CB$87,'Fórmula'!H87,41),INDEX(properties!A$1:CB$87,'Fórmula'!J87,41))</f>
        <v>1.26</v>
      </c>
      <c r="EH87" s="122">
        <f t="array" ref="EH87">MIN(IF(INDEX(properties!A$1:CB$87,'Fórmula'!B87,41)=0,10^6,INDEX(properties!A$1:CB$87,'Fórmula'!B87,41)),IF(INDEX(properties!A$1:CB$87,'Fórmula'!D87,41)=0,10^6,INDEX(properties!A$1:CB$87,'Fórmula'!D87,41)),IF(INDEX(properties!A$1:CB$87,'Fórmula'!F87,41)=0,10^6,INDEX(properties!A$1:CB$87,'Fórmula'!F87,41)),IF(INDEX(properties!A$1:CB$87,'Fórmula'!H87,41)=0,10^6,INDEX(properties!A$1:CB$87,'Fórmula'!H87,41)),IF(INDEX(properties!A$1:CB$87,'Fórmula'!J87,41)=0,10^6,INDEX(properties!A$1:CB$87,'Fórmula'!J87,41)))</f>
        <v>0.54</v>
      </c>
      <c r="EI87" s="111">
        <f t="shared" si="23"/>
        <v>0.72</v>
      </c>
      <c r="EJ87" s="112">
        <f t="array" ref="EJ87">(('Fórmula'!C87)/('Fórmula'!C87+'Fórmula'!E87+'Fórmula'!G87+'Fórmula'!I87+'Fórmula'!K87))*(INDEX(properties!A$1:CB$87,'Fórmula'!B87,45))+(('Fórmula'!E87)/('Fórmula'!C87+'Fórmula'!E87+'Fórmula'!G87+'Fórmula'!I87+'Fórmula'!K87))*(INDEX(properties!A$1:CB$87,'Fórmula'!D87,45))+(('Fórmula'!G87)/('Fórmula'!C87+'Fórmula'!E87+'Fórmula'!G87+'Fórmula'!I87+'Fórmula'!K87))*(INDEX(properties!A$1:CB$87,'Fórmula'!F87,45))+(('Fórmula'!I87)/('Fórmula'!C87+'Fórmula'!E87+'Fórmula'!G87+'Fórmula'!I87+'Fórmula'!K87))*(INDEX(properties!A$1:CB$87,'Fórmula'!H87,45))+(('Fórmula'!K87)/('Fórmula'!C87+'Fórmula'!E87+'Fórmula'!G87+'Fórmula'!I87+'Fórmula'!K87))*(INDEX(properties!A$1:CB$87,'Fórmula'!J87,45))</f>
        <v>1.1725</v>
      </c>
      <c r="EK87" s="112">
        <f t="array" ref="EK87">'Fórmula'!C87*(INDEX(properties!A$1:CB$87,'Fórmula'!B87,45))+'Fórmula'!E87*(INDEX(properties!A$1:CB$87,'Fórmula'!D87,45))+'Fórmula'!G87*(INDEX(properties!A$1:CB$87,'Fórmula'!F87,45))+'Fórmula'!I87*(INDEX(properties!A$1:CB$87,'Fórmula'!H87,45))+'Fórmula'!K87*(INDEX(properties!A$1:CB$87,'Fórmula'!J87,45))</f>
        <v>14.07</v>
      </c>
      <c r="EL87" s="112">
        <f t="array" ref="EL87">VARP(IF(INDEX(properties!A$1:CB$87,'Fórmula'!B87,45)&lt;&gt;"",INDEX(properties!A$1:CB$87,'Fórmula'!B87,45)),IF(INDEX(properties!A$1:CB$87,'Fórmula'!D87,45)&lt;&gt;"",INDEX(properties!A$1:CB$87,'Fórmula'!D87,45)),IF(INDEX(properties!A$1:CB$87,'Fórmula'!F87,45)&lt;&gt;"",INDEX(properties!A$1:CB$87,'Fórmula'!F87,45)),IF(INDEX(properties!A$1:CB$87,'Fórmula'!H87,45)&lt;&gt;"",INDEX(properties!A$1:CB$87,'Fórmula'!H87,45)),IF(INDEX(properties!A$1:CB$87,'Fórmula'!J87,45)&lt;&gt;"",INDEX(properties!A$1:CB$87,'Fórmula'!J87,45)))</f>
        <v>1.085344</v>
      </c>
      <c r="EM87" s="123">
        <f t="array" ref="EM87">MAX(INDEX(properties!A$1:CB$87,'Fórmula'!B87,45),INDEX(properties!A$1:CB$87,'Fórmula'!D87,45),INDEX(properties!A$1:CB$87,'Fórmula'!F87,45),INDEX(properties!A$1:CB$87,'Fórmula'!H87,45),INDEX(properties!A$1:CB$87,'Fórmula'!J87,45))</f>
        <v>3</v>
      </c>
      <c r="EN87" s="123">
        <f t="array" ref="EN87">MIN(IF(INDEX(properties!A$1:CB$87,'Fórmula'!B87,45)=0,10^6,INDEX(properties!A$1:CB$87,'Fórmula'!B87,45)),IF(INDEX(properties!A$1:CB$87,'Fórmula'!D87,45)=0,10^6,INDEX(properties!A$1:CB$87,'Fórmula'!D87,45)),IF(INDEX(properties!A$1:CB$87,'Fórmula'!F87,45)=0,10^6,INDEX(properties!A$1:CB$87,'Fórmula'!F87,45)),IF(INDEX(properties!A$1:CB$87,'Fórmula'!H87,45)=0,10^6,INDEX(properties!A$1:CB$87,'Fórmula'!H87,45)),IF(INDEX(properties!A$1:CB$87,'Fórmula'!J87,45)=0,10^6,INDEX(properties!A$1:CB$87,'Fórmula'!J87,45)))</f>
        <v>0.47</v>
      </c>
      <c r="EO87" s="112">
        <f t="shared" si="24"/>
        <v>2.53</v>
      </c>
      <c r="EP87" s="113">
        <f t="array" ref="EP87">(('Fórmula'!C87)/('Fórmula'!C87+'Fórmula'!E87+'Fórmula'!G87+'Fórmula'!I87+'Fórmula'!K87))*(INDEX(properties!A$1:CB$87,'Fórmula'!B87,46))+(('Fórmula'!E87)/('Fórmula'!C87+'Fórmula'!E87+'Fórmula'!G87+'Fórmula'!I87+'Fórmula'!K87))*(INDEX(properties!A$1:CB$87,'Fórmula'!D87,46))+(('Fórmula'!G87)/('Fórmula'!C87+'Fórmula'!E87+'Fórmula'!G87+'Fórmula'!I87+'Fórmula'!K87))*(INDEX(properties!A$1:CB$87,'Fórmula'!F87,46))+(('Fórmula'!I87)/('Fórmula'!C87+'Fórmula'!E87+'Fórmula'!G87+'Fórmula'!I87+'Fórmula'!K87))*(INDEX(properties!A$1:CB$87,'Fórmula'!H87,46))+(('Fórmula'!K87)/('Fórmula'!C87+'Fórmula'!E87+'Fórmula'!G87+'Fórmula'!I87+'Fórmula'!K87))*(INDEX(properties!A$1:CB$87,'Fórmula'!J87,46))</f>
        <v>1.0175</v>
      </c>
      <c r="EQ87" s="113">
        <f t="array" ref="EQ87">'Fórmula'!C87*(INDEX(properties!A$1:CB$87,'Fórmula'!B87,46))+'Fórmula'!E87*(INDEX(properties!A$1:CB$87,'Fórmula'!D87,46))+'Fórmula'!G87*(INDEX(properties!A$1:CB$87,'Fórmula'!F87,46))+'Fórmula'!I87*(INDEX(properties!A$1:CB$87,'Fórmula'!H87,46))+'Fórmula'!K87*(INDEX(properties!A$1:CB$87,'Fórmula'!J87,46))</f>
        <v>12.21</v>
      </c>
      <c r="ER87" s="113">
        <f t="array" ref="ER87">VARP(IF(INDEX(properties!A$1:CB$87,'Fórmula'!B87,46)&lt;&gt;"",INDEX(properties!A$1:CB$87,'Fórmula'!B87,46)),IF(INDEX(properties!A$1:CB$87,'Fórmula'!D87,46)&lt;&gt;"",INDEX(properties!A$1:CB$87,'Fórmula'!D87,46)),IF(INDEX(properties!A$1:CB$87,'Fórmula'!F87,46)&lt;&gt;"",INDEX(properties!A$1:CB$87,'Fórmula'!F87,46)),IF(INDEX(properties!A$1:CB$87,'Fórmula'!H87,46)&lt;&gt;"",INDEX(properties!A$1:CB$87,'Fórmula'!H87,46)),IF(INDEX(properties!A$1:CB$87,'Fórmula'!J87,46)&lt;&gt;"",INDEX(properties!A$1:CB$87,'Fórmula'!J87,46)))</f>
        <v>0.210584</v>
      </c>
      <c r="ES87" s="124">
        <f t="array" ref="ES87">MAX(INDEX(properties!A$1:CB$87,'Fórmula'!B87,46),INDEX(properties!A$1:CB$87,'Fórmula'!D87,46),INDEX(properties!A$1:CB$87,'Fórmula'!F87,46),INDEX(properties!A$1:CB$87,'Fórmula'!H87,46),INDEX(properties!A$1:CB$87,'Fórmula'!J87,46))</f>
        <v>1.21</v>
      </c>
      <c r="ET87" s="124">
        <f t="array" ref="ET87">MIN(IF(INDEX(properties!A$1:CB$87,'Fórmula'!B87,46)=0,10^6,INDEX(properties!A$1:CB$87,'Fórmula'!B87,46)),IF(INDEX(properties!A$1:CB$87,'Fórmula'!D87,46)=0,10^6,INDEX(properties!A$1:CB$87,'Fórmula'!D87,46)),IF(INDEX(properties!A$1:CB$87,'Fórmula'!F87,46)=0,10^6,INDEX(properties!A$1:CB$87,'Fórmula'!F87,46)),IF(INDEX(properties!A$1:CB$87,'Fórmula'!H87,46)=0,10^6,INDEX(properties!A$1:CB$87,'Fórmula'!H87,46)),IF(INDEX(properties!A$1:CB$87,'Fórmula'!J87,46)=0,10^6,INDEX(properties!A$1:CB$87,'Fórmula'!J87,46)))</f>
        <v>0.4</v>
      </c>
      <c r="EU87" s="113">
        <f t="shared" si="25"/>
        <v>0.81</v>
      </c>
      <c r="EV87" s="114">
        <f t="array" ref="EV87">(('Fórmula'!C87)/('Fórmula'!C87+'Fórmula'!E87+'Fórmula'!G87+'Fórmula'!I87+'Fórmula'!K87))*(INDEX(properties!A$1:CB$87,'Fórmula'!B87,52))+(('Fórmula'!E87)/('Fórmula'!C87+'Fórmula'!E87+'Fórmula'!G87+'Fórmula'!I87+'Fórmula'!K87))*(INDEX(properties!A$1:CB$87,'Fórmula'!D87,52))+(('Fórmula'!G87)/('Fórmula'!C87+'Fórmula'!E87+'Fórmula'!G87+'Fórmula'!I87+'Fórmula'!K87))*(INDEX(properties!A$1:CB$87,'Fórmula'!F87,52))+(('Fórmula'!I87)/('Fórmula'!C87+'Fórmula'!E87+'Fórmula'!G87+'Fórmula'!I87+'Fórmula'!K87))*(INDEX(properties!A$1:CB$87,'Fórmula'!H87,52))+(('Fórmula'!K87)/('Fórmula'!C87+'Fórmula'!E87+'Fórmula'!G87+'Fórmula'!I87+'Fórmula'!K87))*(INDEX(properties!A$1:CB$87,'Fórmula'!J87,52))</f>
        <v>6.095916667</v>
      </c>
      <c r="EW87" s="114">
        <f t="array" ref="EW87">'Fórmula'!C87*(INDEX(properties!A$1:CB$87,'Fórmula'!B87,52))+'Fórmula'!E87*(INDEX(properties!A$1:CB$87,'Fórmula'!D87,52))+'Fórmula'!G87*(INDEX(properties!A$1:CB$87,'Fórmula'!F87,52))+'Fórmula'!I87*(INDEX(properties!A$1:CB$87,'Fórmula'!H87,52))+'Fórmula'!K87*(INDEX(properties!A$1:CB$87,'Fórmula'!J87,52))</f>
        <v>73.151</v>
      </c>
      <c r="EX87" s="114">
        <f t="array" ref="EX87">VARP(IF(INDEX(properties!A$1:CB$87,'Fórmula'!B87,52)&lt;&gt;"",INDEX(properties!A$1:CB$87,'Fórmula'!B87,52)),IF(INDEX(properties!A$1:CB$87,'Fórmula'!D87,52)&lt;&gt;"",INDEX(properties!A$1:CB$87,'Fórmula'!D87,52)),IF(INDEX(properties!A$1:CB$87,'Fórmula'!F87,52)&lt;&gt;"",INDEX(properties!A$1:CB$87,'Fórmula'!F87,52)),IF(INDEX(properties!A$1:CB$87,'Fórmula'!H87,52)&lt;&gt;"",INDEX(properties!A$1:CB$87,'Fórmula'!H87,52)),IF(INDEX(properties!A$1:CB$87,'Fórmula'!J87,52)&lt;&gt;"",INDEX(properties!A$1:CB$87,'Fórmula'!J87,52)))</f>
        <v>68.07305584</v>
      </c>
      <c r="EY87" s="114">
        <f t="array" ref="EY87">MAX(INDEX(properties!A$1:CB$87,'Fórmula'!B87,52),INDEX(properties!A$1:CB$87,'Fórmula'!D87,52),INDEX(properties!A$1:CB$87,'Fórmula'!F87,52),INDEX(properties!A$1:CB$87,'Fórmula'!H87,52),INDEX(properties!A$1:CB$87,'Fórmula'!J87,52))</f>
        <v>22.8</v>
      </c>
      <c r="EZ87" s="114">
        <f t="array" ref="EZ87">MIN(IF(INDEX(properties!A$1:CB$87,'Fórmula'!B87,52)=0,10^6,INDEX(properties!A$1:CB$87,'Fórmula'!B87,52)),IF(INDEX(properties!A$1:CB$87,'Fórmula'!D87,52)=0,10^6,INDEX(properties!A$1:CB$87,'Fórmula'!D87,52)),IF(INDEX(properties!A$1:CB$87,'Fórmula'!F87,52)=0,10^6,INDEX(properties!A$1:CB$87,'Fórmula'!F87,52)),IF(INDEX(properties!A$1:CB$87,'Fórmula'!H87,52)=0,10^6,INDEX(properties!A$1:CB$87,'Fórmula'!H87,52)),IF(INDEX(properties!A$1:CB$87,'Fórmula'!J87,52)=0,10^6,INDEX(properties!A$1:CB$87,'Fórmula'!J87,52)))</f>
        <v>0.793</v>
      </c>
      <c r="FA87" s="114">
        <f t="shared" si="26"/>
        <v>22.007</v>
      </c>
      <c r="FB87" s="115">
        <f t="array" ref="FB87">(('Fórmula'!C87)/('Fórmula'!C87+'Fórmula'!E87+'Fórmula'!G87+'Fórmula'!I87+'Fórmula'!K87))*(INDEX(properties!A$1:CB$87,'Fórmula'!B87,53))+(('Fórmula'!E87)/('Fórmula'!C87+'Fórmula'!E87+'Fórmula'!G87+'Fórmula'!I87+'Fórmula'!K87))*(INDEX(properties!A$1:CB$87,'Fórmula'!D87,53))+(('Fórmula'!G87)/('Fórmula'!C87+'Fórmula'!E87+'Fórmula'!G87+'Fórmula'!I87+'Fórmula'!K87))*(INDEX(properties!A$1:CB$87,'Fórmula'!F87,53))+(('Fórmula'!I87)/('Fórmula'!C87+'Fórmula'!E87+'Fórmula'!G87+'Fórmula'!I87+'Fórmula'!K87))*(INDEX(properties!A$1:CB$87,'Fórmula'!H87,53))+(('Fórmula'!K87)/('Fórmula'!C87+'Fórmula'!E87+'Fórmula'!G87+'Fórmula'!I87+'Fórmula'!K87))*(INDEX(properties!A$1:CB$87,'Fórmula'!J87,53))</f>
        <v>513.0833333</v>
      </c>
      <c r="FC87" s="115">
        <f t="array" ref="FC87">'Fórmula'!C87*(INDEX(properties!A$1:CB$87,'Fórmula'!B87,53))+'Fórmula'!E87*(INDEX(properties!A$1:CB$87,'Fórmula'!D87,53))+'Fórmula'!G87*(INDEX(properties!A$1:CB$87,'Fórmula'!F87,53))+'Fórmula'!I87*(INDEX(properties!A$1:CB$87,'Fórmula'!H87,53))+'Fórmula'!K87*(INDEX(properties!A$1:CB$87,'Fórmula'!J87,53))</f>
        <v>6157</v>
      </c>
      <c r="FD87" s="115">
        <f t="array" ref="FD87">VARP(IF(INDEX(properties!A$1:CB$87,'Fórmula'!B87,53)&lt;&gt;"",INDEX(properties!A$1:CB$87,'Fórmula'!B87,53)),IF(INDEX(properties!A$1:CB$87,'Fórmula'!D87,53)&lt;&gt;"",INDEX(properties!A$1:CB$87,'Fórmula'!D87,53)),IF(INDEX(properties!A$1:CB$87,'Fórmula'!F87,53)&lt;&gt;"",INDEX(properties!A$1:CB$87,'Fórmula'!F87,53)),IF(INDEX(properties!A$1:CB$87,'Fórmula'!H87,53)&lt;&gt;"",INDEX(properties!A$1:CB$87,'Fórmula'!H87,53)),IF(INDEX(properties!A$1:CB$87,'Fórmula'!J87,53)&lt;&gt;"",INDEX(properties!A$1:CB$87,'Fórmula'!J87,53)))</f>
        <v>416223.5164</v>
      </c>
      <c r="FE87" s="115">
        <f t="array" ref="FE87">MAX(INDEX(properties!A$1:CB$87,'Fórmula'!B87,53),INDEX(properties!A$1:CB$87,'Fórmula'!D87,53),INDEX(properties!A$1:CB$87,'Fórmula'!F87,53),INDEX(properties!A$1:CB$87,'Fórmula'!H87,53),INDEX(properties!A$1:CB$87,'Fórmula'!J87,53))</f>
        <v>1683.15</v>
      </c>
      <c r="FF87" s="115">
        <f t="array" ref="FF87">MIN(IF(INDEX(properties!A$1:CB$87,'Fórmula'!B87,53)=0,10^6,INDEX(properties!A$1:CB$87,'Fórmula'!B87,53)),IF(INDEX(properties!A$1:CB$87,'Fórmula'!D87,53)=0,10^6,INDEX(properties!A$1:CB$87,'Fórmula'!D87,53)),IF(INDEX(properties!A$1:CB$87,'Fórmula'!F87,53)=0,10^6,INDEX(properties!A$1:CB$87,'Fórmula'!F87,53)),IF(INDEX(properties!A$1:CB$87,'Fórmula'!H87,53)=0,10^6,INDEX(properties!A$1:CB$87,'Fórmula'!H87,53)),IF(INDEX(properties!A$1:CB$87,'Fórmula'!J87,53)=0,10^6,INDEX(properties!A$1:CB$87,'Fórmula'!J87,53)))</f>
        <v>54.75</v>
      </c>
      <c r="FG87" s="115">
        <f t="shared" si="27"/>
        <v>1628.4</v>
      </c>
      <c r="FH87" s="117">
        <f t="array" ref="FH87">(('Fórmula'!C87)/('Fórmula'!C87+'Fórmula'!E87+'Fórmula'!G87+'Fórmula'!I87+'Fórmula'!K87))*(INDEX(properties!A$1:CB$87,'Fórmula'!B87,54))+(('Fórmula'!E87)/('Fórmula'!C87+'Fórmula'!E87+'Fórmula'!G87+'Fórmula'!I87+'Fórmula'!K87))*(INDEX(properties!A$1:CB$87,'Fórmula'!D87,54))+(('Fórmula'!G87)/('Fórmula'!C87+'Fórmula'!E87+'Fórmula'!G87+'Fórmula'!I87+'Fórmula'!K87))*(INDEX(properties!A$1:CB$87,'Fórmula'!F87,54))+(('Fórmula'!I87)/('Fórmula'!C87+'Fórmula'!E87+'Fórmula'!G87+'Fórmula'!I87+'Fórmula'!K87))*(INDEX(properties!A$1:CB$87,'Fórmula'!H87,54))+(('Fórmula'!K87)/('Fórmula'!C87+'Fórmula'!E87+'Fórmula'!G87+'Fórmula'!I87+'Fórmula'!K87))*(INDEX(properties!A$1:CB$87,'Fórmula'!J87,54))</f>
        <v>1021.15</v>
      </c>
      <c r="FI87" s="117">
        <f t="array" ref="FI87">'Fórmula'!C87*(INDEX(properties!A$1:CB$87,'Fórmula'!B87,54))+'Fórmula'!E87*(INDEX(properties!A$1:CB$87,'Fórmula'!D87,54))+'Fórmula'!G87*(INDEX(properties!A$1:CB$87,'Fórmula'!F87,54))+'Fórmula'!I87*(INDEX(properties!A$1:CB$87,'Fórmula'!H87,54))+'Fórmula'!K87*(INDEX(properties!A$1:CB$87,'Fórmula'!J87,54))</f>
        <v>12253.8</v>
      </c>
      <c r="FJ87" s="117">
        <f t="array" ref="FJ87">VARP(IF(INDEX(properties!A$1:CB$87,'Fórmula'!B87,54)&lt;&gt;"",INDEX(properties!A$1:CB$87,'Fórmula'!B87,54)),IF(INDEX(properties!A$1:CB$87,'Fórmula'!D87,54)&lt;&gt;"",INDEX(properties!A$1:CB$87,'Fórmula'!D87,54)),IF(INDEX(properties!A$1:CB$87,'Fórmula'!F87,54)&lt;&gt;"",INDEX(properties!A$1:CB$87,'Fórmula'!F87,54)),IF(INDEX(properties!A$1:CB$87,'Fórmula'!H87,54)&lt;&gt;"",INDEX(properties!A$1:CB$87,'Fórmula'!H87,54)),IF(INDEX(properties!A$1:CB$87,'Fórmula'!J87,54)&lt;&gt;"",INDEX(properties!A$1:CB$87,'Fórmula'!J87,54)))</f>
        <v>1419664.184</v>
      </c>
      <c r="FK87" s="117">
        <f t="array" ref="FK87">MAX(INDEX(properties!A$1:CB$87,'Fórmula'!B87,54),INDEX(properties!A$1:CB$87,'Fórmula'!D87,54),INDEX(properties!A$1:CB$87,'Fórmula'!F87,54),INDEX(properties!A$1:CB$87,'Fórmula'!H87,54),INDEX(properties!A$1:CB$87,'Fórmula'!J87,54))</f>
        <v>2740.15</v>
      </c>
      <c r="FL87" s="117">
        <f t="array" ref="FL87">MIN(IF(INDEX(properties!A$1:CB$87,'Fórmula'!B87,54)=0,10^6,INDEX(properties!A$1:CB$87,'Fórmula'!B87,54)),IF(INDEX(properties!A$1:CB$87,'Fórmula'!D87,54)=0,10^6,INDEX(properties!A$1:CB$87,'Fórmula'!D87,54)),IF(INDEX(properties!A$1:CB$87,'Fórmula'!F87,54)=0,10^6,INDEX(properties!A$1:CB$87,'Fórmula'!F87,54)),IF(INDEX(properties!A$1:CB$87,'Fórmula'!H87,54)=0,10^6,INDEX(properties!A$1:CB$87,'Fórmula'!H87,54)),IF(INDEX(properties!A$1:CB$87,'Fórmula'!J87,54)=0,10^6,INDEX(properties!A$1:CB$87,'Fórmula'!J87,54)))</f>
        <v>90.15</v>
      </c>
      <c r="FM87" s="117">
        <f t="shared" si="28"/>
        <v>2650</v>
      </c>
      <c r="FN87" s="118">
        <f t="array" ref="FN87">(('Fórmula'!C87)/('Fórmula'!C87+'Fórmula'!E87+'Fórmula'!G87+'Fórmula'!I87+'Fórmula'!K87))*(INDEX(properties!A$1:CB$87,'Fórmula'!B87,55))+(('Fórmula'!E87)/('Fórmula'!C87+'Fórmula'!E87+'Fórmula'!G87+'Fórmula'!I87+'Fórmula'!K87))*(INDEX(properties!A$1:CB$87,'Fórmula'!D87,55))+(('Fórmula'!G87)/('Fórmula'!C87+'Fórmula'!E87+'Fórmula'!G87+'Fórmula'!I87+'Fórmula'!K87))*(INDEX(properties!A$1:CB$87,'Fórmula'!F87,55))+(('Fórmula'!I87)/('Fórmula'!C87+'Fórmula'!E87+'Fórmula'!G87+'Fórmula'!I87+'Fórmula'!K87))*(INDEX(properties!A$1:CB$87,'Fórmula'!H87,55))+(('Fórmula'!K87)/('Fórmula'!C87+'Fórmula'!E87+'Fórmula'!G87+'Fórmula'!I87+'Fórmula'!K87))*(INDEX(properties!A$1:CB$87,'Fórmula'!J87,55))</f>
        <v>0.9033341667</v>
      </c>
      <c r="FO87" s="118">
        <f t="array" ref="FO87">'Fórmula'!C87*(INDEX(properties!A$1:CB$87,'Fórmula'!B87,55))+'Fórmula'!E87*(INDEX(properties!A$1:CB$87,'Fórmula'!D87,54))+'Fórmula'!G87*(INDEX(properties!A$1:CB$87,'Fórmula'!F87,55))+'Fórmula'!I87*(INDEX(properties!A$1:CB$87,'Fórmula'!H87,55))+'Fórmula'!K87*(INDEX(properties!A$1:CB$87,'Fórmula'!J87,55))</f>
        <v>5485.74001</v>
      </c>
      <c r="FP87" s="118">
        <f t="array" ref="FP87">VARP(IF(INDEX(properties!A$1:CB$87,'Fórmula'!B87,55)&lt;&gt;"",INDEX(properties!A$1:CB$87,'Fórmula'!B87,55)),IF(INDEX(properties!A$1:CB$87,'Fórmula'!D87,55)&lt;&gt;"",INDEX(properties!A$1:CB$87,'Fórmula'!D87,55)),IF(INDEX(properties!A$1:CB$87,'Fórmula'!F87,55)&lt;&gt;"",INDEX(properties!A$1:CB$87,'Fórmula'!F87,55)),IF(INDEX(properties!A$1:CB$87,'Fórmula'!H87,55)&lt;&gt;"",INDEX(properties!A$1:CB$87,'Fórmula'!H87,55)),IF(INDEX(properties!A$1:CB$87,'Fórmula'!J87,55)&lt;&gt;"",INDEX(properties!A$1:CB$87,'Fórmula'!J87,55)))</f>
        <v>1.291671575</v>
      </c>
      <c r="FQ87" s="118">
        <f t="array" ref="FQ87">MAX(INDEX(properties!A$1:CB$87,'Fórmula'!B87,55),INDEX(properties!A$1:CB$87,'Fórmula'!D87,55),INDEX(properties!A$1:CB$87,'Fórmula'!F87,55),INDEX(properties!A$1:CB$87,'Fórmula'!H87,55),INDEX(properties!A$1:CB$87,'Fórmula'!J87,55))</f>
        <v>2.7</v>
      </c>
      <c r="FR87" s="118">
        <f t="array" ref="FR87">MIN(IF(INDEX(properties!A$1:CB$87,'Fórmula'!B87,55)=0,10^6,INDEX(properties!A$1:CB$87,'Fórmula'!B87,55)),IF(INDEX(properties!A$1:CB$87,'Fórmula'!D87,55)=0,10^6,INDEX(properties!A$1:CB$87,'Fórmula'!D87,55)),IF(INDEX(properties!A$1:CB$87,'Fórmula'!F87,55)=0,10^6,INDEX(properties!A$1:CB$87,'Fórmula'!F87,55)),IF(INDEX(properties!A$1:CB$87,'Fórmula'!H87,55)=0,10^6,INDEX(properties!A$1:CB$87,'Fórmula'!H87,55)),IF(INDEX(properties!A$1:CB$87,'Fórmula'!J87,55)=0,10^6,INDEX(properties!A$1:CB$87,'Fórmula'!J87,55)))</f>
        <v>0.00143</v>
      </c>
      <c r="FS87" s="118">
        <f t="shared" si="29"/>
        <v>2.69857</v>
      </c>
      <c r="FT87" s="119">
        <f t="array" ref="FT87">(('Fórmula'!C87)/('Fórmula'!C87+'Fórmula'!E87+'Fórmula'!G87+'Fórmula'!I87+'Fórmula'!K87))*(INDEX(properties!A$1:CB$87,'Fórmula'!B87,56))+(('Fórmula'!E87)/('Fórmula'!C87+'Fórmula'!E87+'Fórmula'!G87+'Fórmula'!I87+'Fórmula'!K87))*(INDEX(properties!A$1:CB$87,'Fórmula'!D87,56))+(('Fórmula'!G87)/('Fórmula'!C87+'Fórmula'!E87+'Fórmula'!G87+'Fórmula'!I87+'Fórmula'!K87))*(INDEX(properties!A$1:CB$87,'Fórmula'!F87,56))+(('Fórmula'!I87)/('Fórmula'!C87+'Fórmula'!E87+'Fórmula'!G87+'Fórmula'!I87+'Fórmula'!K87))*(INDEX(properties!A$1:CB$87,'Fórmula'!H87,56))+(('Fórmula'!K87)/('Fórmula'!C87+'Fórmula'!E87+'Fórmula'!G87+'Fórmula'!I87+'Fórmula'!K87))*(INDEX(properties!A$1:CB$87,'Fórmula'!J87,56))</f>
        <v>0.8508333333</v>
      </c>
      <c r="FU87" s="119">
        <f t="array" ref="FU87">'Fórmula'!C87*(INDEX(properties!A$1:CB$87,'Fórmula'!B87,56))+'Fórmula'!E87*(INDEX(properties!A$1:CB$87,'Fórmula'!D87,56))+'Fórmula'!G87*(INDEX(properties!A$1:CB$87,'Fórmula'!F87,56))+'Fórmula'!I87*(INDEX(properties!A$1:CB$87,'Fórmula'!H87,56))+'Fórmula'!K87*(INDEX(properties!A$1:CB$87,'Fórmula'!J87,56))</f>
        <v>10.21</v>
      </c>
      <c r="FV87" s="119">
        <f t="array" ref="FV87">VARP(IF(INDEX(properties!A$1:CB$87,'Fórmula'!B87,56)&lt;&gt;"",INDEX(properties!A$1:CB$87,'Fórmula'!B87,56)),IF(INDEX(properties!A$1:CB$87,'Fórmula'!D87,56)&lt;&gt;"",INDEX(properties!A$1:CB$87,'Fórmula'!D87,56)),IF(INDEX(properties!A$1:CB$87,'Fórmula'!F87,56)&lt;&gt;"",INDEX(properties!A$1:CB$87,'Fórmula'!F87,56)),IF(INDEX(properties!A$1:CB$87,'Fórmula'!H87,56)&lt;&gt;"",INDEX(properties!A$1:CB$87,'Fórmula'!H87,56)),IF(INDEX(properties!A$1:CB$87,'Fórmula'!J87,56)&lt;&gt;"",INDEX(properties!A$1:CB$87,'Fórmula'!J87,56)))</f>
        <v>0.112056</v>
      </c>
      <c r="FW87" s="119">
        <f t="array" ref="FW87">MAX(INDEX(properties!A$1:CB$87,'Fórmula'!B87,56),INDEX(properties!A$1:CB$87,'Fórmula'!D87,56),INDEX(properties!A$1:CB$87,'Fórmula'!F87,56),INDEX(properties!A$1:CB$87,'Fórmula'!H87,56),INDEX(properties!A$1:CB$87,'Fórmula'!J87,56))</f>
        <v>0.92</v>
      </c>
      <c r="FX87" s="119">
        <f t="array" ref="FX87">MIN(IF(INDEX(properties!A$1:CB$87,'Fórmula'!B87,56)=0,10^6,INDEX(properties!A$1:CB$87,'Fórmula'!B87,56)),IF(INDEX(properties!A$1:CB$87,'Fórmula'!D87,56)=0,10^6,INDEX(properties!A$1:CB$87,'Fórmula'!D87,56)),IF(INDEX(properties!A$1:CB$87,'Fórmula'!F87,56)=0,10^6,INDEX(properties!A$1:CB$87,'Fórmula'!F87,56)),IF(INDEX(properties!A$1:CB$87,'Fórmula'!H87,56)=0,10^6,INDEX(properties!A$1:CB$87,'Fórmula'!H87,56)),IF(INDEX(properties!A$1:CB$87,'Fórmula'!J87,56)=0,10^6,INDEX(properties!A$1:CB$87,'Fórmula'!J87,56)))</f>
        <v>0.63</v>
      </c>
      <c r="FY87" s="119">
        <f t="shared" si="30"/>
        <v>0.29</v>
      </c>
      <c r="FZ87" s="104">
        <f t="array" ref="FZ87">(('Fórmula'!C87)/('Fórmula'!C87+'Fórmula'!E87+'Fórmula'!G87+'Fórmula'!I87+'Fórmula'!K87))*(INDEX(properties!A$1:CB$87,'Fórmula'!B87,57))+(('Fórmula'!E87)/('Fórmula'!C87+'Fórmula'!E87+'Fórmula'!G87+'Fórmula'!I87+'Fórmula'!K87))*(INDEX(properties!A$1:CB$87,'Fórmula'!D87,57))+(('Fórmula'!G87)/('Fórmula'!C87+'Fórmula'!E87+'Fórmula'!G87+'Fórmula'!I87+'Fórmula'!K87))*(INDEX(properties!A$1:CB$87,'Fórmula'!F87,57))+(('Fórmula'!I87)/('Fórmula'!C87+'Fórmula'!E87+'Fórmula'!G87+'Fórmula'!I87+'Fórmula'!K87))*(INDEX(properties!A$1:CB$87,'Fórmula'!H87,57))+(('Fórmula'!K87)/('Fórmula'!C87+'Fórmula'!E87+'Fórmula'!G87+'Fórmula'!I87+'Fórmula'!K87))*(INDEX(properties!A$1:CB$87,'Fórmula'!J87,57))</f>
        <v>7.564010833</v>
      </c>
      <c r="GA87" s="104">
        <f t="array" ref="GA87">'Fórmula'!C87*(INDEX(properties!A$1:CB$87,'Fórmula'!B87,57))+'Fórmula'!E87*(INDEX(properties!A$1:CB$87,'Fórmula'!D87,57))+'Fórmula'!G87*(INDEX(properties!A$1:CB$87,'Fórmula'!F87,57))+'Fórmula'!I87*(INDEX(properties!A$1:CB$87,'Fórmula'!H87,57))+'Fórmula'!K87*(INDEX(properties!A$1:CB$87,'Fórmula'!J87,57))</f>
        <v>90.76813</v>
      </c>
      <c r="GB87" s="104">
        <f t="array" ref="GB87">VARP(IF(INDEX(properties!A$1:CB$87,'Fórmula'!B87,57)&lt;&gt;"",INDEX(properties!A$1:CB$87,'Fórmula'!B87,57)),IF(INDEX(properties!A$1:CB$87,'Fórmula'!D87,57)&lt;&gt;"",INDEX(properties!A$1:CB$87,'Fórmula'!D87,57)),IF(INDEX(properties!A$1:CB$87,'Fórmula'!F87,57)&lt;&gt;"",INDEX(properties!A$1:CB$87,'Fórmula'!F87,57)),IF(INDEX(properties!A$1:CB$87,'Fórmula'!H87,57)&lt;&gt;"",INDEX(properties!A$1:CB$87,'Fórmula'!H87,57)),IF(INDEX(properties!A$1:CB$87,'Fórmula'!J87,57)&lt;&gt;"",INDEX(properties!A$1:CB$87,'Fórmula'!J87,57)))</f>
        <v>352.3666243</v>
      </c>
      <c r="GC87" s="104">
        <f t="array" ref="GC87">MAX(INDEX(properties!A$1:CB$87,'Fórmula'!B87,57),INDEX(properties!A$1:CB$87,'Fórmula'!D87,57),INDEX(properties!A$1:CB$87,'Fórmula'!F87,57),INDEX(properties!A$1:CB$87,'Fórmula'!H87,57),INDEX(properties!A$1:CB$87,'Fórmula'!J87,57))</f>
        <v>50.55</v>
      </c>
      <c r="GD87" s="104">
        <f t="array" ref="GD87">MIN(IF(INDEX(properties!A$1:CB$87,'Fórmula'!B87,57)=0,10^6,INDEX(properties!A$1:CB$87,'Fórmula'!B87,57)),IF(INDEX(properties!A$1:CB$87,'Fórmula'!D87,57)=0,10^6,INDEX(properties!A$1:CB$87,'Fórmula'!D87,57)),IF(INDEX(properties!A$1:CB$87,'Fórmula'!F87,57)=0,10^6,INDEX(properties!A$1:CB$87,'Fórmula'!F87,57)),IF(INDEX(properties!A$1:CB$87,'Fórmula'!H87,57)=0,10^6,INDEX(properties!A$1:CB$87,'Fórmula'!H87,57)),IF(INDEX(properties!A$1:CB$87,'Fórmula'!J87,57)=0,10^6,INDEX(properties!A$1:CB$87,'Fórmula'!J87,57)))</f>
        <v>0.22259</v>
      </c>
      <c r="GE87" s="104">
        <f t="shared" si="31"/>
        <v>50.32741</v>
      </c>
      <c r="GF87" s="105">
        <f t="array" ref="GF87">(('Fórmula'!C87)/('Fórmula'!C87+'Fórmula'!E87+'Fórmula'!G87+'Fórmula'!I87+'Fórmula'!K87))*(INDEX(properties!A$1:CB$87,'Fórmula'!B87,60))+(('Fórmula'!E87)/('Fórmula'!C87+'Fórmula'!E87+'Fórmula'!G87+'Fórmula'!I87+'Fórmula'!K87))*(INDEX(properties!A$1:CB$87,'Fórmula'!D87,60))+(('Fórmula'!G87)/('Fórmula'!C87+'Fórmula'!E87+'Fórmula'!G87+'Fórmula'!I87+'Fórmula'!K87))*(INDEX(properties!A$1:CB$87,'Fórmula'!F87,60))+(('Fórmula'!I87)/('Fórmula'!C87+'Fórmula'!E87+'Fórmula'!G87+'Fórmula'!I87+'Fórmula'!K87))*(INDEX(properties!A$1:CB$87,'Fórmula'!H87,60))+(('Fórmula'!K87)/('Fórmula'!C87+'Fórmula'!E87+'Fórmula'!G87+'Fórmula'!I87+'Fórmula'!K87))*(INDEX(properties!A$1:CB$87,'Fórmula'!J87,60))</f>
        <v>85.182265</v>
      </c>
      <c r="GG87" s="105">
        <f t="array" ref="GG87">'Fórmula'!C87*(INDEX(properties!A$1:CB$87,'Fórmula'!B87,60))+'Fórmula'!E87*(INDEX(properties!A$1:CB$87,'Fórmula'!D87,60))+'Fórmula'!G87*(INDEX(properties!A$1:CB$87,'Fórmula'!F87,60))+'Fórmula'!I87*(INDEX(properties!A$1:CB$87,'Fórmula'!H87,60))+'Fórmula'!K87*(INDEX(properties!A$1:CB$87,'Fórmula'!J87,60))</f>
        <v>1022.18718</v>
      </c>
      <c r="GH87" s="105">
        <f t="array" ref="GH87">VARP(IF(INDEX(properties!A$1:CB$87,'Fórmula'!B87,60)&lt;&gt;"",INDEX(properties!A$1:CB$87,'Fórmula'!B87,60)),IF(INDEX(properties!A$1:CB$87,'Fórmula'!D87,60)&lt;&gt;"",INDEX(properties!A$1:CB$87,'Fórmula'!D87,60)),IF(INDEX(properties!A$1:CB$87,'Fórmula'!F87,60)&lt;&gt;"",INDEX(properties!A$1:CB$87,'Fórmula'!F87,60)),IF(INDEX(properties!A$1:CB$87,'Fórmula'!H87,60)&lt;&gt;"",INDEX(properties!A$1:CB$87,'Fórmula'!H87,60)),IF(INDEX(properties!A$1:CB$87,'Fórmula'!J87,60)&lt;&gt;"",INDEX(properties!A$1:CB$87,'Fórmula'!J87,60)))</f>
        <v>9924.348682</v>
      </c>
      <c r="GI87" s="105">
        <f t="array" ref="GI87">MAX(INDEX(properties!A$1:CB$87,'Fórmula'!B87,60),INDEX(properties!A$1:CB$87,'Fórmula'!D87,60),INDEX(properties!A$1:CB$87,'Fórmula'!F87,60),INDEX(properties!A$1:CB$87,'Fórmula'!H87,60),INDEX(properties!A$1:CB$87,'Fórmula'!J87,60))</f>
        <v>237</v>
      </c>
      <c r="GJ87" s="105">
        <f t="array" ref="GJ87">MIN(IF(INDEX(properties!A$1:CB$87,'Fórmula'!B87,60)=0,10^6,INDEX(properties!A$1:CB$87,'Fórmula'!B87,60)),IF(INDEX(properties!A$1:CB$87,'Fórmula'!D87,60)=0,10^6,INDEX(properties!A$1:CB$87,'Fórmula'!D87,60)),IF(INDEX(properties!A$1:CB$87,'Fórmula'!F87,60)=0,10^6,INDEX(properties!A$1:CB$87,'Fórmula'!F87,60)),IF(INDEX(properties!A$1:CB$87,'Fórmula'!H87,60)=0,10^6,INDEX(properties!A$1:CB$87,'Fórmula'!H87,60)),IF(INDEX(properties!A$1:CB$87,'Fórmula'!J87,60)=0,10^6,INDEX(properties!A$1:CB$87,'Fórmula'!J87,60)))</f>
        <v>0.02674</v>
      </c>
      <c r="GK87" s="105">
        <f t="shared" si="32"/>
        <v>236.97326</v>
      </c>
      <c r="GL87" s="106">
        <f t="array" ref="GL87">(('Fórmula'!C87)/('Fórmula'!C87+'Fórmula'!E87+'Fórmula'!G87+'Fórmula'!I87+'Fórmula'!K87))*(INDEX(properties!A$1:CB$87,'Fórmula'!B87,62))+(('Fórmula'!E87)/('Fórmula'!C87+'Fórmula'!E87+'Fórmula'!G87+'Fórmula'!I87+'Fórmula'!K87))*(INDEX(properties!A$1:CB$87,'Fórmula'!D87,62))+(('Fórmula'!G87)/('Fórmula'!C87+'Fórmula'!E87+'Fórmula'!G87+'Fórmula'!I87+'Fórmula'!K87))*(INDEX(properties!A$1:CB$87,'Fórmula'!F87,62))+(('Fórmula'!I87)/('Fórmula'!C87+'Fórmula'!E87+'Fórmula'!G87+'Fórmula'!I87+'Fórmula'!K87))*(INDEX(properties!A$1:CB$87,'Fórmula'!H87,62))+(('Fórmula'!K87)/('Fórmula'!C87+'Fórmula'!E87+'Fórmula'!G87+'Fórmula'!I87+'Fórmula'!K87))*(INDEX(properties!A$1:CB$87,'Fórmula'!J87,62))</f>
        <v>2.785833333</v>
      </c>
      <c r="GM87" s="106">
        <f t="array" ref="GM87">'Fórmula'!C87*(INDEX(properties!A$1:CB$87,'Fórmula'!B87,62))+'Fórmula'!E87*(INDEX(properties!A$1:CB$87,'Fórmula'!D87,62))+'Fórmula'!G87*(INDEX(properties!A$1:CB$87,'Fórmula'!F87,62))+'Fórmula'!I87*(INDEX(properties!A$1:CB$87,'Fórmula'!H87,62))+'Fórmula'!K87*(INDEX(properties!A$1:CB$87,'Fórmula'!J87,62))</f>
        <v>33.43</v>
      </c>
      <c r="GN87" s="106">
        <f t="array" ref="GN87">VARP(IF(INDEX(properties!A$1:CB$87,'Fórmula'!B87,62)&lt;&gt;"",INDEX(properties!A$1:CB$87,'Fórmula'!B87,62)),IF(INDEX(properties!A$1:CB$87,'Fórmula'!D87,62)&lt;&gt;"",INDEX(properties!A$1:CB$87,'Fórmula'!D87,62)),IF(INDEX(properties!A$1:CB$87,'Fórmula'!F87,62)&lt;&gt;"",INDEX(properties!A$1:CB$87,'Fórmula'!F87,62)),IF(INDEX(properties!A$1:CB$87,'Fórmula'!H87,62)&lt;&gt;"",INDEX(properties!A$1:CB$87,'Fórmula'!H87,62)),IF(INDEX(properties!A$1:CB$87,'Fórmula'!J87,62)&lt;&gt;"",INDEX(properties!A$1:CB$87,'Fórmula'!J87,62)))</f>
        <v>2.405784</v>
      </c>
      <c r="GO87" s="106">
        <f t="array" ref="GO87">MAX(INDEX(properties!A$1:CB$87,'Fórmula'!B87,62),INDEX(properties!A$1:CB$87,'Fórmula'!D87,62),INDEX(properties!A$1:CB$87,'Fórmula'!F87,62),INDEX(properties!A$1:CB$87,'Fórmula'!H87,62),INDEX(properties!A$1:CB$87,'Fórmula'!J87,62))</f>
        <v>4.63</v>
      </c>
      <c r="GP87" s="106">
        <f t="array" ref="GP87">MIN(IF(INDEX(properties!A$1:CB$87,'Fórmula'!B87,62)=0,10^6,INDEX(properties!A$1:CB$87,'Fórmula'!B87,62)),IF(INDEX(properties!A$1:CB$87,'Fórmula'!D87,62)=0,10^6,INDEX(properties!A$1:CB$87,'Fórmula'!D87,62)),IF(INDEX(properties!A$1:CB$87,'Fórmula'!F87,62)=0,10^6,INDEX(properties!A$1:CB$87,'Fórmula'!F87,62)),IF(INDEX(properties!A$1:CB$87,'Fórmula'!H87,62)=0,10^6,INDEX(properties!A$1:CB$87,'Fórmula'!H87,62)),IF(INDEX(properties!A$1:CB$87,'Fórmula'!J87,62)=0,10^6,INDEX(properties!A$1:CB$87,'Fórmula'!J87,62)))</f>
        <v>1.84</v>
      </c>
      <c r="GQ87" s="106">
        <f t="shared" si="33"/>
        <v>2.79</v>
      </c>
      <c r="GR87" s="106">
        <f>'Fórmula'!Q87</f>
        <v>113</v>
      </c>
      <c r="GS87" s="107">
        <f>'Fórmula'!P87</f>
        <v>2</v>
      </c>
      <c r="GT87" s="113">
        <f>'Fórmula'!O87</f>
        <v>3.03</v>
      </c>
      <c r="GU87" s="114">
        <f>AVERAGE('Fórmula'!R87/'Fórmula'!S87,'Fórmula'!S87/'Fórmula'!T87,'Fórmula'!T87/'Fórmula'!R87)</f>
        <v>1.058723603</v>
      </c>
      <c r="GV87" s="125">
        <f>'Fórmula'!U87</f>
        <v>300.25</v>
      </c>
      <c r="GW87" s="106">
        <f>'Fórmula'!N87</f>
        <v>0.09</v>
      </c>
    </row>
    <row r="88" ht="14.25" customHeight="1">
      <c r="A88" s="99" t="str">
        <f>'Fórmula'!A88</f>
        <v>KSrBP2O8</v>
      </c>
      <c r="B88" s="101">
        <f t="array" ref="B88">(('Fórmula'!C88)/('Fórmula'!C88+'Fórmula'!E88+'Fórmula'!G88+'Fórmula'!I88+'Fórmula'!K88))*(INDEX(properties!A$1:CB$87,'Fórmula'!B88,3))+(('Fórmula'!E88)/('Fórmula'!C88+'Fórmula'!E88+'Fórmula'!G88+'Fórmula'!I88+'Fórmula'!K88))*(INDEX(properties!A$1:CB$87,'Fórmula'!D88,3))+(('Fórmula'!G88)/('Fórmula'!C88+'Fórmula'!E88+'Fórmula'!G88+'Fórmula'!I88+'Fórmula'!K88))*(INDEX(properties!A$1:CB$87,'Fórmula'!F88,3))+(('Fórmula'!I88)/('Fórmula'!C88+'Fórmula'!E88+'Fórmula'!G88+'Fórmula'!I88+'Fórmula'!K88))*(INDEX(properties!A$1:CB$87,'Fórmula'!H88,3))+(('Fórmula'!K88)/('Fórmula'!C88+'Fórmula'!E88+'Fórmula'!G88+'Fórmula'!I88+'Fórmula'!K88))*(INDEX(properties!A$1:CB$87,'Fórmula'!J88,3))</f>
        <v>25.19015569</v>
      </c>
      <c r="C88" s="101">
        <f t="array" ref="C88">'Fórmula'!C88*(INDEX(properties!A$1:CB$87,'Fórmula'!B88,3))+'Fórmula'!E88*(INDEX(properties!A$1:CB$87,'Fórmula'!D88,3))+'Fórmula'!G88*(INDEX(properties!A$1:CB$87,'Fórmula'!F88,3))+'Fórmula'!I88*(INDEX(properties!A$1:CB$87,'Fórmula'!H88,3))+'Fórmula'!K88*(INDEX(properties!A$1:CB$87,'Fórmula'!J88,3))</f>
        <v>327.472024</v>
      </c>
      <c r="D88" s="101">
        <f t="array" ref="D88">VARP(IF(INDEX(properties!A$1:CB$87,'Fórmula'!B88,3)&lt;&gt;"",INDEX(properties!A$1:CB$87,'Fórmula'!B88,3)),IF(INDEX(properties!A$1:CB$87,'Fórmula'!D88,3)&lt;&gt;"",INDEX(properties!A$1:CB$87,'Fórmula'!D88,3)),IF(INDEX(properties!A$1:CB$87,'Fórmula'!F88,3)&lt;&gt;"",INDEX(properties!A$1:CB$87,'Fórmula'!F88,3)),IF(INDEX(properties!A$1:CB$87,'Fórmula'!H88,3)&lt;&gt;"",INDEX(properties!A$1:CB$87,'Fórmula'!H88,3)),IF(INDEX(properties!A$1:CB$87,'Fórmula'!J88,3)&lt;&gt;"",INDEX(properties!A$1:CB$87,'Fórmula'!J88,3)))</f>
        <v>745.988444</v>
      </c>
      <c r="E88" s="101">
        <f t="array" ref="E88">MAX(INDEX(properties!A$1:CB$87,'Fórmula'!B88,3),INDEX(properties!A$1:CB$87,'Fórmula'!D88,3),INDEX(properties!A$1:CB$87,'Fórmula'!F88,3),INDEX(properties!A$1:CB$87,'Fórmula'!H88,3),INDEX(properties!A$1:CB$87,'Fórmula'!J88,3))</f>
        <v>87.62</v>
      </c>
      <c r="F88" s="101">
        <f t="array" ref="F88">MIN(IF(INDEX(properties!A$1:CB$87,'Fórmula'!B88,3)=0,10^6,INDEX(properties!A$1:CB$87,'Fórmula'!B88,3)),IF(INDEX(properties!A$1:CB$87,'Fórmula'!D88,3)=0,10^6,INDEX(properties!A$1:CB$87,'Fórmula'!D88,3)),IF(INDEX(properties!A$1:CB$87,'Fórmula'!F88,3)=0,10^6,INDEX(properties!A$1:CB$87,'Fórmula'!F88,3)),IF(INDEX(properties!A$1:CB$87,'Fórmula'!H88,3)=0,10^6,INDEX(properties!A$1:CB$87,'Fórmula'!H88,3)),IF(INDEX(properties!A$1:CB$87,'Fórmula'!J88,3)=0,10^6,INDEX(properties!A$1:CB$87,'Fórmula'!J88,3)))</f>
        <v>10.811</v>
      </c>
      <c r="G88" s="101">
        <f t="shared" si="1"/>
        <v>76.809</v>
      </c>
      <c r="H88" s="102">
        <f t="array" ref="H88">(('Fórmula'!C88)/('Fórmula'!C88+'Fórmula'!E88+'Fórmula'!G88+'Fórmula'!I88+'Fórmula'!K88))*(INDEX(properties!A$1:CB$87,'Fórmula'!B88,4))+(('Fórmula'!E88)/('Fórmula'!C88+'Fórmula'!E88+'Fórmula'!G88+'Fórmula'!I88+'Fórmula'!K88))*(INDEX(properties!A$1:CB$87,'Fórmula'!D88,4))+(('Fórmula'!G88)/('Fórmula'!C88+'Fórmula'!E88+'Fórmula'!G88+'Fórmula'!I88+'Fórmula'!K88))*(INDEX(properties!A$1:CB$87,'Fórmula'!F88,4))+(('Fórmula'!I88)/('Fórmula'!C88+'Fórmula'!E88+'Fórmula'!G88+'Fórmula'!I88+'Fórmula'!K88))*(INDEX(properties!A$1:CB$87,'Fórmula'!H88,4))+(('Fórmula'!K88)/('Fórmula'!C88+'Fórmula'!E88+'Fórmula'!G88+'Fórmula'!I88+'Fórmula'!K88))*(INDEX(properties!A$1:CB$87,'Fórmula'!J88,4))</f>
        <v>12</v>
      </c>
      <c r="I88" s="102">
        <f t="array" ref="I88">'Fórmula'!C88*(INDEX(properties!A$1:CB$87,'Fórmula'!B88,4))+'Fórmula'!E88*(INDEX(properties!A$1:CB$87,'Fórmula'!D88,4))+'Fórmula'!G88*(INDEX(properties!A$1:CB$87,'Fórmula'!F88,4))+'Fórmula'!I88*(INDEX(properties!A$1:CB$87,'Fórmula'!H88,4))+'Fórmula'!K88*(INDEX(properties!A$1:CB$87,'Fórmula'!J88,4))</f>
        <v>156</v>
      </c>
      <c r="J88" s="102">
        <f t="array" ref="J88">VARP(IF(INDEX(properties!A$1:CB$87,'Fórmula'!B88,4)&lt;&gt;"",INDEX(properties!A$1:CB$87,'Fórmula'!B88,4)),IF(INDEX(properties!A$1:CB$87,'Fórmula'!D88,4)&lt;&gt;"",INDEX(properties!A$1:CB$87,'Fórmula'!D88,4)),IF(INDEX(properties!A$1:CB$87,'Fórmula'!F88,4)&lt;&gt;"",INDEX(properties!A$1:CB$87,'Fórmula'!F88,4)),IF(INDEX(properties!A$1:CB$87,'Fórmula'!H88,4)&lt;&gt;"",INDEX(properties!A$1:CB$87,'Fórmula'!H88,4)),IF(INDEX(properties!A$1:CB$87,'Fórmula'!J88,4)&lt;&gt;"",INDEX(properties!A$1:CB$87,'Fórmula'!J88,4)))</f>
        <v>134.8</v>
      </c>
      <c r="K88" s="102">
        <f t="array" ref="K88">MAX(INDEX(properties!A$1:CB$87,'Fórmula'!B88,4),INDEX(properties!A$1:CB$87,'Fórmula'!D88,4),INDEX(properties!A$1:CB$87,'Fórmula'!F88,4),INDEX(properties!A$1:CB$87,'Fórmula'!H88,4),INDEX(properties!A$1:CB$87,'Fórmula'!J88,4))</f>
        <v>38</v>
      </c>
      <c r="L88" s="102">
        <f t="array" ref="L88">MIN(IF(INDEX(properties!A$1:CB$87,'Fórmula'!B88,4)=0,10^6,INDEX(properties!A$1:CB$87,'Fórmula'!B88,4)),IF(INDEX(properties!A$1:CB$87,'Fórmula'!D88,4)=0,10^6,INDEX(properties!A$1:CB$87,'Fórmula'!D88,4)),IF(INDEX(properties!A$1:CB$87,'Fórmula'!F88,4)=0,10^6,INDEX(properties!A$1:CB$87,'Fórmula'!F88,4)),IF(INDEX(properties!A$1:CB$87,'Fórmula'!H88,4)=0,10^6,INDEX(properties!A$1:CB$87,'Fórmula'!H88,4)),IF(INDEX(properties!A$1:CB$87,'Fórmula'!J88,4)=0,10^6,INDEX(properties!A$1:CB$87,'Fórmula'!J88,4)))</f>
        <v>5</v>
      </c>
      <c r="M88" s="102">
        <f t="shared" si="2"/>
        <v>33</v>
      </c>
      <c r="N88" s="103">
        <f t="array" ref="N88">(('Fórmula'!C88)/('Fórmula'!C88+'Fórmula'!E88+'Fórmula'!G88+'Fórmula'!I88+'Fórmula'!K88))*(INDEX(properties!A$1:CB$87,'Fórmula'!B88,5))+(('Fórmula'!E88)/('Fórmula'!C88+'Fórmula'!E88+'Fórmula'!G88+'Fórmula'!I88+'Fórmula'!K88))*(INDEX(properties!A$1:CB$87,'Fórmula'!D88,5))+(('Fórmula'!G88)/('Fórmula'!C88+'Fórmula'!E88+'Fórmula'!G88+'Fórmula'!I88+'Fórmula'!K88))*(INDEX(properties!A$1:CB$87,'Fórmula'!F88,5))+(('Fórmula'!I88)/('Fórmula'!C88+'Fórmula'!E88+'Fórmula'!G88+'Fórmula'!I88+'Fórmula'!K88))*(INDEX(properties!A$1:CB$87,'Fórmula'!H88,5))+(('Fórmula'!K88)/('Fórmula'!C88+'Fórmula'!E88+'Fórmula'!G88+'Fórmula'!I88+'Fórmula'!K88))*(INDEX(properties!A$1:CB$87,'Fórmula'!J88,5))</f>
        <v>2.538461538</v>
      </c>
      <c r="O88" s="103">
        <f t="array" ref="O88">'Fórmula'!C88*(INDEX(properties!A$1:CB$87,'Fórmula'!B88,5))+'Fórmula'!E88*(INDEX(properties!A$1:CB$87,'Fórmula'!D88,5))+'Fórmula'!G88*(INDEX(properties!A$1:CB$87,'Fórmula'!F88,5))+'Fórmula'!I88*(INDEX(properties!A$1:CB$87,'Fórmula'!H88,5))+'Fórmula'!K88*(INDEX(properties!A$1:CB$87,'Fórmula'!J88,5))</f>
        <v>33</v>
      </c>
      <c r="P88" s="103">
        <f t="array" ref="P88">VARP(IF(INDEX(properties!A$1:CB$87,'Fórmula'!B88,5)&lt;&gt;"",INDEX(properties!A$1:CB$87,'Fórmula'!B88,5)),IF(INDEX(properties!A$1:CB$87,'Fórmula'!D88,5)&lt;&gt;"",INDEX(properties!A$1:CB$87,'Fórmula'!D88,5)),IF(INDEX(properties!A$1:CB$87,'Fórmula'!F88,5)&lt;&gt;"",INDEX(properties!A$1:CB$87,'Fórmula'!F88,5)),IF(INDEX(properties!A$1:CB$87,'Fórmula'!H88,5)&lt;&gt;"",INDEX(properties!A$1:CB$87,'Fórmula'!H88,5)),IF(INDEX(properties!A$1:CB$87,'Fórmula'!J88,5)&lt;&gt;"",INDEX(properties!A$1:CB$87,'Fórmula'!J88,5)))</f>
        <v>1.36</v>
      </c>
      <c r="Q88" s="103">
        <f t="array" ref="Q88">MAX(INDEX(properties!A$1:CB$87,'Fórmula'!B88,5),INDEX(properties!A$1:CB$87,'Fórmula'!D88,5),INDEX(properties!A$1:CB$87,'Fórmula'!F88,5),INDEX(properties!A$1:CB$87,'Fórmula'!H88,5),INDEX(properties!A$1:CB$87,'Fórmula'!J88,5))</f>
        <v>5</v>
      </c>
      <c r="R88" s="103">
        <f t="array" ref="R88">MIN(IF(INDEX(properties!A$1:CB$87,'Fórmula'!B88,5)=0,10^6,INDEX(properties!A$1:CB$87,'Fórmula'!B88,5)),IF(INDEX(properties!A$1:CB$87,'Fórmula'!D88,5)=0,10^6,INDEX(properties!A$1:CB$87,'Fórmula'!D88,5)),IF(INDEX(properties!A$1:CB$87,'Fórmula'!F88,5)=0,10^6,INDEX(properties!A$1:CB$87,'Fórmula'!F88,5)),IF(INDEX(properties!A$1:CB$87,'Fórmula'!H88,5)=0,10^6,INDEX(properties!A$1:CB$87,'Fórmula'!H88,5)),IF(INDEX(properties!A$1:CB$87,'Fórmula'!J88,5)=0,10^6,INDEX(properties!A$1:CB$87,'Fórmula'!J88,5)))</f>
        <v>2</v>
      </c>
      <c r="S88" s="103">
        <f t="shared" si="3"/>
        <v>3</v>
      </c>
      <c r="T88" s="104">
        <f t="array" ref="T88">(('Fórmula'!C88)/('Fórmula'!C88+'Fórmula'!E88+'Fórmula'!G88+'Fórmula'!I88+'Fórmula'!K88))*(INDEX(properties!A$1:CB$87,'Fórmula'!B88,6))+(('Fórmula'!E88)/('Fórmula'!C88+'Fórmula'!E88+'Fórmula'!G88+'Fórmula'!I88+'Fórmula'!K88))*(INDEX(properties!A$1:CB$87,'Fórmula'!D88,6))+(('Fórmula'!G88)/('Fórmula'!C88+'Fórmula'!E88+'Fórmula'!G88+'Fórmula'!I88+'Fórmula'!K88))*(INDEX(properties!A$1:CB$87,'Fórmula'!F88,6))+(('Fórmula'!I88)/('Fórmula'!C88+'Fórmula'!E88+'Fórmula'!G88+'Fórmula'!I88+'Fórmula'!K88))*(INDEX(properties!A$1:CB$87,'Fórmula'!H88,6))+(('Fórmula'!K88)/('Fórmula'!C88+'Fórmula'!E88+'Fórmula'!G88+'Fórmula'!I88+'Fórmula'!K88))*(INDEX(properties!A$1:CB$87,'Fórmula'!J88,6))</f>
        <v>13.38461538</v>
      </c>
      <c r="U88" s="104">
        <f t="array" ref="U88">'Fórmula'!C88*(INDEX(properties!A$1:CB$87,'Fórmula'!B88,6))+'Fórmula'!E88*(INDEX(properties!A$1:CB$87,'Fórmula'!D88,6))+'Fórmula'!G88*(INDEX(properties!A$1:CB$87,'Fórmula'!F88,6))+'Fórmula'!I88*(INDEX(properties!A$1:CB$87,'Fórmula'!H88,6))+'Fórmula'!K88*(INDEX(properties!A$1:CB$87,'Fórmula'!J88,6))</f>
        <v>174</v>
      </c>
      <c r="V88" s="103">
        <f t="array" ref="V88">VARP(IF(INDEX(properties!A$1:CB$87,'Fórmula'!B88,6)&lt;&gt;"",INDEX(properties!A$1:CB$87,'Fórmula'!B88,6)),IF(INDEX(properties!A$1:CB$87,'Fórmula'!D88,6)&lt;&gt;"",INDEX(properties!A$1:CB$87,'Fórmula'!D88,6)),IF(INDEX(properties!A$1:CB$87,'Fórmula'!F88,6)&lt;&gt;"",INDEX(properties!A$1:CB$87,'Fórmula'!F88,6)),IF(INDEX(properties!A$1:CB$87,'Fórmula'!H88,6)&lt;&gt;"",INDEX(properties!A$1:CB$87,'Fórmula'!H88,6)),IF(INDEX(properties!A$1:CB$87,'Fórmula'!J88,6)&lt;&gt;"",INDEX(properties!A$1:CB$87,'Fórmula'!J88,6)))</f>
        <v>42.64</v>
      </c>
      <c r="W88" s="104">
        <f t="array" ref="W88">MAX(INDEX(properties!A$1:CB$87,'Fórmula'!B88,6),INDEX(properties!A$1:CB$87,'Fórmula'!D88,6),INDEX(properties!A$1:CB$87,'Fórmula'!F88,6),INDEX(properties!A$1:CB$87,'Fórmula'!H88,4),INDEX(properties!A$1:CB$87,'Fórmula'!J88,6))</f>
        <v>16</v>
      </c>
      <c r="X88" s="104">
        <f t="array" ref="X88">MIN(IF(INDEX(properties!A$1:CB$87,'Fórmula'!B88,6)=0,10^6,INDEX(properties!A$1:CB$87,'Fórmula'!B88,6)),IF(INDEX(properties!A$1:CB$87,'Fórmula'!D88,6)=0,10^6,INDEX(properties!A$1:CB$87,'Fórmula'!D88,6)),IF(INDEX(properties!A$1:CB$87,'Fórmula'!F88,6)=0,10^6,INDEX(properties!A$1:CB$87,'Fórmula'!F88,6)),IF(INDEX(properties!A$1:CB$87,'Fórmula'!H88,6)=0,10^6,INDEX(properties!A$1:CB$87,'Fórmula'!H88,6)),IF(INDEX(properties!A$1:CB$87,'Fórmula'!J88,6)=0,10^6,INDEX(properties!A$1:CB$87,'Fórmula'!J88,6)))</f>
        <v>1</v>
      </c>
      <c r="Y88" s="104">
        <f t="shared" si="4"/>
        <v>15</v>
      </c>
      <c r="Z88" s="105">
        <f t="array" ref="Z88">(('Fórmula'!C88)/('Fórmula'!C88+'Fórmula'!E88+'Fórmula'!G88+'Fórmula'!I88+'Fórmula'!K88))*(INDEX(properties!A$1:CB$87,'Fórmula'!B88,9))+(('Fórmula'!E88)/('Fórmula'!C88+'Fórmula'!E88+'Fórmula'!G88+'Fórmula'!I88+'Fórmula'!K88))*(INDEX(properties!A$1:CB$87,'Fórmula'!D88,9))+(('Fórmula'!G88)/('Fórmula'!C88+'Fórmula'!E88+'Fórmula'!G88+'Fórmula'!I88+'Fórmula'!K88))*(INDEX(properties!A$1:CB$87,'Fórmula'!F88,9))+(('Fórmula'!I88)/('Fórmula'!C88+'Fórmula'!E88+'Fórmula'!G88+'Fórmula'!I88+'Fórmula'!K88))*(INDEX(properties!A$1:CB$87,'Fórmula'!H88,9))+(('Fórmula'!K88)/('Fórmula'!C88+'Fórmula'!E88+'Fórmula'!G88+'Fórmula'!I88+'Fórmula'!K88))*(INDEX(properties!A$1:CB$87,'Fórmula'!J88,9))</f>
        <v>72.69230769</v>
      </c>
      <c r="AA88" s="105">
        <f t="array" ref="AA88">'Fórmula'!C88*(INDEX(properties!A$1:CB$87,'Fórmula'!B88,9))+'Fórmula'!E88*(INDEX(properties!A$1:CB$87,'Fórmula'!D88,9))+'Fórmula'!G88*(INDEX(properties!A$1:CB$87,'Fórmula'!F88,9))+'Fórmula'!I88*(INDEX(properties!A$1:CB$87,'Fórmula'!H88,9))+'Fórmula'!K88*(INDEX(properties!A$1:CB$87,'Fórmula'!J88,9))</f>
        <v>945</v>
      </c>
      <c r="AB88" s="105">
        <f t="array" ref="AB88">VARP(IF(INDEX(properties!A$1:CB$87,'Fórmula'!B88,9)&lt;&gt;"",INDEX(properties!A$1:CB$87,'Fórmula'!B88,9)),IF(INDEX(properties!A$1:CB$87,'Fórmula'!D88,9)&lt;&gt;"",INDEX(properties!A$1:CB$87,'Fórmula'!D88,9)),IF(INDEX(properties!A$1:CB$87,'Fórmula'!F88,9)&lt;&gt;"",INDEX(properties!A$1:CB$87,'Fórmula'!F88,9)),IF(INDEX(properties!A$1:CB$87,'Fórmula'!H88,9)&lt;&gt;"",INDEX(properties!A$1:CB$87,'Fórmula'!H88,9)),IF(INDEX(properties!A$1:CB$87,'Fórmula'!J88,9)&lt;&gt;"",INDEX(properties!A$1:CB$87,'Fórmula'!J88,9)))</f>
        <v>1382.64</v>
      </c>
      <c r="AC88" s="105">
        <f t="array" ref="AC88">MAX(INDEX(properties!A$1:CB$87,'Fórmula'!B88,9),INDEX(properties!A$1:CB$87,'Fórmula'!D88,9),INDEX(properties!A$1:CB$87,'Fórmula'!F88,9),INDEX(properties!A$1:CB$87,'Fórmula'!H88,9),INDEX(properties!A$1:CB$87,'Fórmula'!J88,9))</f>
        <v>87</v>
      </c>
      <c r="AD88" s="105">
        <f t="array" ref="AD88">MIN(IF(INDEX(properties!A$1:CB$87,'Fórmula'!B88,9)=0,10^6,INDEX(properties!A$1:CB$87,'Fórmula'!B88,9)),IF(INDEX(properties!A$1:CB$87,'Fórmula'!D88,9)=0,10^6,INDEX(properties!A$1:CB$87,'Fórmula'!D88,9)),IF(INDEX(properties!A$1:CB$87,'Fórmula'!F88,9)=0,10^6,INDEX(properties!A$1:CB$87,'Fórmula'!F88,9)),IF(INDEX(properties!A$1:CB$87,'Fórmula'!H88,9)=0,10^6,INDEX(properties!A$1:CB$87,'Fórmula'!H88,9)),IF(INDEX(properties!A$1:CB$87,'Fórmula'!J88,9)=0,10^6,INDEX(properties!A$1:CB$87,'Fórmula'!J88,9)))</f>
        <v>3</v>
      </c>
      <c r="AE88" s="105">
        <f t="shared" si="5"/>
        <v>84</v>
      </c>
      <c r="AF88" s="106">
        <f t="array" ref="AF88">(('Fórmula'!C88)/('Fórmula'!C88+'Fórmula'!E88+'Fórmula'!G88+'Fórmula'!I88+'Fórmula'!K88))*(INDEX(properties!A$1:CB$87,'Fórmula'!B88,10))+(('Fórmula'!E88)/('Fórmula'!C88+'Fórmula'!E88+'Fórmula'!G88+'Fórmula'!I88+'Fórmula'!K88))*(INDEX(properties!A$1:CB$87,'Fórmula'!D88,10))+(('Fórmula'!G88)/('Fórmula'!C88+'Fórmula'!E88+'Fórmula'!G88+'Fórmula'!I88+'Fórmula'!K88))*(INDEX(properties!A$1:CB$87,'Fórmula'!F88,10))+(('Fórmula'!I88)/('Fórmula'!C88+'Fórmula'!E88+'Fórmula'!G88+'Fórmula'!I88+'Fórmula'!K88))*(INDEX(properties!A$1:CB$87,'Fórmula'!H88,10))+(('Fórmula'!K88)/('Fórmula'!C88+'Fórmula'!E88+'Fórmula'!G88+'Fórmula'!I88+'Fórmula'!K88))*(INDEX(properties!A$1:CB$87,'Fórmula'!J88,10))</f>
        <v>6.076923077</v>
      </c>
      <c r="AG88" s="106">
        <f t="array" ref="AG88">'Fórmula'!C88*(INDEX(properties!A$1:CB$87,'Fórmula'!B88,10))+'Fórmula'!E88*(INDEX(properties!A$1:CB$87,'Fórmula'!D88,10))+'Fórmula'!G88*(INDEX(properties!A$1:CB$87,'Fórmula'!F88,10))+'Fórmula'!I88*(INDEX(properties!A$1:CB$87,'Fórmula'!H88,10))+'Fórmula'!K88*(INDEX(properties!A$1:CB$87,'Fórmula'!J88,10))</f>
        <v>79</v>
      </c>
      <c r="AH88" s="106">
        <f t="array" ref="AH88">VARP(IF(INDEX(properties!A$1:CB$87,'Fórmula'!B88,10)&lt;&gt;"",INDEX(properties!A$1:CB$87,'Fórmula'!B88,10)),IF(INDEX(properties!A$1:CB$87,'Fórmula'!D88,10)&lt;&gt;"",INDEX(properties!A$1:CB$87,'Fórmula'!D88,10)),IF(INDEX(properties!A$1:CB$87,'Fórmula'!F88,10)&lt;&gt;"",INDEX(properties!A$1:CB$87,'Fórmula'!F88,10)),IF(INDEX(properties!A$1:CB$87,'Fórmula'!H88,10)&lt;&gt;"",INDEX(properties!A$1:CB$87,'Fórmula'!H88,10)),IF(INDEX(properties!A$1:CB$87,'Fórmula'!J88,10)&lt;&gt;"",INDEX(properties!A$1:CB$87,'Fórmula'!J88,10)))</f>
        <v>6.64</v>
      </c>
      <c r="AI88" s="106">
        <f t="array" ref="AI88">MAX(INDEX(properties!A$1:CB$87,'Fórmula'!B88,10),INDEX(properties!A$1:CB$87,'Fórmula'!D88,10),INDEX(properties!A$1:CB$87,'Fórmula'!F88,10),INDEX(properties!A$1:CB$87,'Fórmula'!H88,10),INDEX(properties!A$1:CB$87,'Fórmula'!J88,10))</f>
        <v>7</v>
      </c>
      <c r="AJ88" s="106">
        <f t="array" ref="AJ88">MIN(IF(INDEX(properties!A$1:CB$87,'Fórmula'!B88,10)=0,10^6,INDEX(properties!A$1:CB$87,'Fórmula'!B88,10)),IF(INDEX(properties!A$1:CB$87,'Fórmula'!D88,10)=0,10^6,INDEX(properties!A$1:CB$87,'Fórmula'!D88,10)),IF(INDEX(properties!A$1:CB$87,'Fórmula'!F88,10)=0,10^6,INDEX(properties!A$1:CB$87,'Fórmula'!F88,10)),IF(INDEX(properties!A$1:CB$87,'Fórmula'!H88,10)=0,10^6,INDEX(properties!A$1:CB$87,'Fórmula'!H88,10)),IF(INDEX(properties!A$1:CB$87,'Fórmula'!J88,10)=0,10^6,INDEX(properties!A$1:CB$87,'Fórmula'!J88,10)))</f>
        <v>1</v>
      </c>
      <c r="AK88" s="106">
        <f t="shared" si="6"/>
        <v>6</v>
      </c>
      <c r="AL88" s="107">
        <f t="array" ref="AL88">(('Fórmula'!C88)/('Fórmula'!C88+'Fórmula'!E88+'Fórmula'!G88+'Fórmula'!I88+'Fórmula'!K88))*(INDEX(properties!A$1:CB$87,'Fórmula'!B88,11))+(('Fórmula'!E88)/('Fórmula'!C88+'Fórmula'!E88+'Fórmula'!G88+'Fórmula'!I88+'Fórmula'!K88))*(INDEX(properties!A$1:CB$87,'Fórmula'!D88,11))+(('Fórmula'!G88)/('Fórmula'!C88+'Fórmula'!E88+'Fórmula'!G88+'Fórmula'!I88+'Fórmula'!K88))*(INDEX(properties!A$1:CB$87,'Fórmula'!F88,11))+(('Fórmula'!I88)/('Fórmula'!C88+'Fórmula'!E88+'Fórmula'!G88+'Fórmula'!I88+'Fórmula'!K88))*(INDEX(properties!A$1:CB$87,'Fórmula'!H88,11))+(('Fórmula'!K88)/('Fórmula'!C88+'Fórmula'!E88+'Fórmula'!G88+'Fórmula'!I88+'Fórmula'!K88))*(INDEX(properties!A$1:CB$87,'Fórmula'!J88,11))</f>
        <v>1.923076923</v>
      </c>
      <c r="AM88" s="107">
        <f t="array" ref="AM88">'Fórmula'!C88*(INDEX(properties!A$1:CB$87,'Fórmula'!B88,11))+'Fórmula'!E88*(INDEX(properties!A$1:CB$87,'Fórmula'!D88,11))+'Fórmula'!G88*(INDEX(properties!A$1:CB$87,'Fórmula'!F88,11))+'Fórmula'!I88*(INDEX(properties!A$1:CB$87,'Fórmula'!H88,11))+'Fórmula'!K88*(INDEX(properties!A$1:CB$87,'Fórmula'!J88,11))</f>
        <v>25</v>
      </c>
      <c r="AN88" s="107">
        <f t="array" ref="AN88">VARP(IF(INDEX(properties!A$1:CB$87,'Fórmula'!B88,11)&lt;&gt;"",INDEX(properties!A$1:CB$87,'Fórmula'!B88,11)),IF(INDEX(properties!A$1:CB$87,'Fórmula'!D88,11)&lt;&gt;"",INDEX(properties!A$1:CB$87,'Fórmula'!D88,11)),IF(INDEX(properties!A$1:CB$87,'Fórmula'!F88,11)&lt;&gt;"",INDEX(properties!A$1:CB$87,'Fórmula'!F88,11)),IF(INDEX(properties!A$1:CB$87,'Fórmula'!H88,11)&lt;&gt;"",INDEX(properties!A$1:CB$87,'Fórmula'!H88,11)),IF(INDEX(properties!A$1:CB$87,'Fórmula'!J88,11)&lt;&gt;"",INDEX(properties!A$1:CB$87,'Fórmula'!J88,11)))</f>
        <v>0.16</v>
      </c>
      <c r="AO88" s="107">
        <f t="array" ref="AO88">MAX(INDEX(properties!A$1:CB$87,'Fórmula'!B88,11),INDEX(properties!A$1:CB$87,'Fórmula'!D88,11),INDEX(properties!A$1:CB$87,'Fórmula'!F88,11),INDEX(properties!A$1:CB$87,'Fórmula'!H88,11),INDEX(properties!A$1:CB$87,'Fórmula'!J88,11))</f>
        <v>2</v>
      </c>
      <c r="AP88" s="107">
        <f t="array" ref="AP88">MIN(IF('Fórmula'!B88=87,10^6,INDEX(properties!A$1:CB$87,'Fórmula'!B88,11)),IF(('Fórmula'!D88)=87,10^6,INDEX(properties!A$1:CB$87,'Fórmula'!D88,11)),IF(('Fórmula'!F88)=87,10^6,INDEX(properties!A$1:CB$87,'Fórmula'!F88,11)),IF(('Fórmula'!H88)=87,10^6,INDEX(properties!A$1:CB$87,'Fórmula'!H88,11)),IF('Fórmula'!J88=87,10^6,INDEX(properties!A$1:CB$87,'Fórmula'!J88,11)))</f>
        <v>1</v>
      </c>
      <c r="AQ88" s="107">
        <f t="shared" si="7"/>
        <v>1</v>
      </c>
      <c r="AR88" s="108">
        <f t="array" ref="AR88">(('Fórmula'!C88)/('Fórmula'!C88+'Fórmula'!E88+'Fórmula'!G88+'Fórmula'!I88+'Fórmula'!K88))*(INDEX(properties!A$1:CB$87,'Fórmula'!B88,12))+(('Fórmula'!E88)/('Fórmula'!C88+'Fórmula'!E88+'Fórmula'!G88+'Fórmula'!I88+'Fórmula'!K88))*(INDEX(properties!A$1:CB$87,'Fórmula'!D88,12))+(('Fórmula'!G88)/('Fórmula'!C88+'Fórmula'!E88+'Fórmula'!G88+'Fórmula'!I88+'Fórmula'!K88))*(INDEX(properties!A$1:CB$87,'Fórmula'!F88,12))+(('Fórmula'!I88)/('Fórmula'!C88+'Fórmula'!E88+'Fórmula'!G88+'Fórmula'!I88+'Fórmula'!K88))*(INDEX(properties!A$1:CB$87,'Fórmula'!H88,12))+(('Fórmula'!K88)/('Fórmula'!C88+'Fórmula'!E88+'Fórmula'!G88+'Fórmula'!I88+'Fórmula'!K88))*(INDEX(properties!A$1:CB$87,'Fórmula'!J88,12))</f>
        <v>3</v>
      </c>
      <c r="AS88" s="108">
        <f t="array" ref="AS88">'Fórmula'!C88*(INDEX(properties!A$1:CB$87,'Fórmula'!B88,12))+'Fórmula'!E88*(INDEX(properties!A$1:CB$87,'Fórmula'!D88,12))+'Fórmula'!G88*(INDEX(properties!A$1:CB$87,'Fórmula'!F88,12))+'Fórmula'!I88*(INDEX(properties!A$1:CB$87,'Fórmula'!H88,12))+'Fórmula'!K88*(INDEX(properties!A$1:CB$87,'Fórmula'!J88,12))</f>
        <v>39</v>
      </c>
      <c r="AT88" s="108">
        <f t="array" ref="AT88">VARP(IF(INDEX(properties!A$1:CB$87,'Fórmula'!B88,12)&lt;&gt;"",INDEX(properties!A$1:CB$87,'Fórmula'!B88,12)),IF(INDEX(properties!A$1:CB$87,'Fórmula'!D88,12)&lt;&gt;"",INDEX(properties!A$1:CB$87,'Fórmula'!D88,12)),IF(INDEX(properties!A$1:CB$87,'Fórmula'!F88,12)&lt;&gt;"",INDEX(properties!A$1:CB$87,'Fórmula'!F88,12)),IF(INDEX(properties!A$1:CB$87,'Fórmula'!H88,12)&lt;&gt;"",INDEX(properties!A$1:CB$87,'Fórmula'!H88,12)),IF(INDEX(properties!A$1:CB$87,'Fórmula'!J88,12)&lt;&gt;"",INDEX(properties!A$1:CB$87,'Fórmula'!J88,12)))</f>
        <v>2.64</v>
      </c>
      <c r="AU88" s="108">
        <f t="array" ref="AU88">MAX(INDEX(properties!A$1:CB$87,'Fórmula'!B88,12),INDEX(properties!A$1:CB$87,'Fórmula'!D88,12),INDEX(properties!A$1:CB$87,'Fórmula'!F88,12),INDEX(properties!A$1:CB$87,'Fórmula'!H88,12),INDEX(properties!A$1:CB$87,'Fórmula'!J88,12))</f>
        <v>4</v>
      </c>
      <c r="AV88" s="108">
        <f t="array" ref="AV88">MIN(IF('Fórmula'!B88=87,10^6,INDEX(properties!A$1:CB$87,'Fórmula'!B88,12)),IF(('Fórmula'!D88)=87,10^6,INDEX(properties!A$1:CB$87,'Fórmula'!D88,12)),IF(('Fórmula'!F88)=87,10^6,INDEX(properties!A$1:CB$87,'Fórmula'!F88,12)),IF(('Fórmula'!H88)=87,10^6,INDEX(properties!A$1:CB$87,'Fórmula'!H88,12)),IF('Fórmula'!J88=87,10^6,INDEX(properties!A$1:CB$87,'Fórmula'!J88,12)))</f>
        <v>0</v>
      </c>
      <c r="AW88" s="108">
        <f t="shared" si="8"/>
        <v>4</v>
      </c>
      <c r="AX88" s="109">
        <f t="array" ref="AX88">(('Fórmula'!C88)/('Fórmula'!C88+'Fórmula'!E88+'Fórmula'!G88+'Fórmula'!I88+'Fórmula'!K88))*(INDEX(properties!A$1:CB$87,'Fórmula'!B88,13))+(('Fórmula'!E88)/('Fórmula'!C88+'Fórmula'!E88+'Fórmula'!G88+'Fórmula'!I88+'Fórmula'!K88))*(INDEX(properties!A$1:CB$87,'Fórmula'!D88,13))+(('Fórmula'!G88)/('Fórmula'!C88+'Fórmula'!E88+'Fórmula'!G88+'Fórmula'!I88+'Fórmula'!K88))*(INDEX(properties!A$1:CB$87,'Fórmula'!F88,13))+(('Fórmula'!I88)/('Fórmula'!C88+'Fórmula'!E88+'Fórmula'!G88+'Fórmula'!I88+'Fórmula'!K88))*(INDEX(properties!A$1:CB$87,'Fórmula'!H88,13))+(('Fórmula'!K88)/('Fórmula'!C88+'Fórmula'!E88+'Fórmula'!G88+'Fórmula'!I88+'Fórmula'!K88))*(INDEX(properties!A$1:CB$87,'Fórmula'!J88,13))</f>
        <v>0</v>
      </c>
      <c r="AY88" s="109">
        <f t="array" ref="AY88">'Fórmula'!C88*(INDEX(properties!A$1:CB$87,'Fórmula'!B88,13))+'Fórmula'!E88*(INDEX(properties!A$1:CB$87,'Fórmula'!D88,13))+'Fórmula'!G88*(INDEX(properties!A$1:CB$87,'Fórmula'!F88,13))+'Fórmula'!I88*(INDEX(properties!A$1:CB$87,'Fórmula'!H88,13))+'Fórmula'!K88*(INDEX(properties!A$1:CB$87,'Fórmula'!J88,13))</f>
        <v>0</v>
      </c>
      <c r="AZ88" s="109">
        <f t="array" ref="AZ88">VARP(IF(INDEX(properties!A$1:CB$87,'Fórmula'!B88,13)&lt;&gt;"",INDEX(properties!A$1:CB$87,'Fórmula'!B88,13)),IF(INDEX(properties!A$1:CB$87,'Fórmula'!D88,13)&lt;&gt;"",INDEX(properties!A$1:CB$87,'Fórmula'!D88,13)),IF(INDEX(properties!A$1:CB$87,'Fórmula'!F88,13)&lt;&gt;"",INDEX(properties!A$1:CB$87,'Fórmula'!F88,13)),IF(INDEX(properties!A$1:CB$87,'Fórmula'!H88,13)&lt;&gt;"",INDEX(properties!A$1:CB$87,'Fórmula'!H88,13)),IF(INDEX(properties!A$1:CB$87,'Fórmula'!J88,13)&lt;&gt;"",INDEX(properties!A$1:CB$87,'Fórmula'!J88,13)))</f>
        <v>0</v>
      </c>
      <c r="BA88" s="109">
        <f t="array" ref="BA88">MAX(INDEX(properties!A$1:CB$87,'Fórmula'!B88,13),INDEX(properties!A$1:CB$87,'Fórmula'!D88,13),INDEX(properties!A$1:CB$87,'Fórmula'!F88,13),INDEX(properties!A$1:CB$87,'Fórmula'!H88,13),INDEX(properties!A$1:CB$87,'Fórmula'!J88,13))</f>
        <v>0</v>
      </c>
      <c r="BB88" s="109">
        <f t="array" ref="BB88">MIN(IF('Fórmula'!B88=87,10^6,INDEX(properties!A$1:CB$87,'Fórmula'!B88,13)),IF(('Fórmula'!D88)=87,10^6,INDEX(properties!A$1:CB$87,'Fórmula'!D88,13)),IF(('Fórmula'!F88)=87,10^6,INDEX(properties!A$1:CB$87,'Fórmula'!F88,13)),IF(('Fórmula'!H88)=87,10^6,INDEX(properties!A$1:CB$87,'Fórmula'!H88,13)),IF('Fórmula'!J88=87,10^6,INDEX(properties!A$1:CB$87,'Fórmula'!J88,13)))</f>
        <v>0</v>
      </c>
      <c r="BC88" s="109">
        <f t="shared" si="9"/>
        <v>0</v>
      </c>
      <c r="BD88" s="110">
        <f t="array" ref="BD88">(('Fórmula'!C88)/('Fórmula'!C88+'Fórmula'!E88+'Fórmula'!G88+'Fórmula'!I88+'Fórmula'!K88))*(INDEX(properties!A$1:CB$87,'Fórmula'!B88,14))+(('Fórmula'!E88)/('Fórmula'!C88+'Fórmula'!E88+'Fórmula'!G88+'Fórmula'!I88+'Fórmula'!K88))*(INDEX(properties!A$1:CB$87,'Fórmula'!D88,14))+(('Fórmula'!G88)/('Fórmula'!C88+'Fórmula'!E88+'Fórmula'!G88+'Fórmula'!I88+'Fórmula'!K88))*(INDEX(properties!A$1:CB$87,'Fórmula'!F88,14))+(('Fórmula'!I88)/('Fórmula'!C88+'Fórmula'!E88+'Fórmula'!G88+'Fórmula'!I88+'Fórmula'!K88))*(INDEX(properties!A$1:CB$87,'Fórmula'!H88,14))+(('Fórmula'!K88)/('Fórmula'!C88+'Fórmula'!E88+'Fórmula'!G88+'Fórmula'!I88+'Fórmula'!K88))*(INDEX(properties!A$1:CB$87,'Fórmula'!J88,14))</f>
        <v>0</v>
      </c>
      <c r="BE88" s="110">
        <f t="array" ref="BE88">'Fórmula'!C88*(INDEX(properties!A$1:CB$87,'Fórmula'!B88,14))+'Fórmula'!E88*(INDEX(properties!A$1:CB$87,'Fórmula'!D88,14))+'Fórmula'!G88*(INDEX(properties!A$1:CB$87,'Fórmula'!F88,14))+'Fórmula'!I88*(INDEX(properties!A$1:CB$87,'Fórmula'!H88,14))+'Fórmula'!K88*(INDEX(properties!A$1:CB$87,'Fórmula'!J88,14))</f>
        <v>0</v>
      </c>
      <c r="BF88" s="110">
        <f t="array" ref="BF88">VARP(IF(INDEX(properties!A$1:CB$87,'Fórmula'!B88,14)&lt;&gt;"",INDEX(properties!A$1:CB$87,'Fórmula'!B88,14)),IF(INDEX(properties!A$1:CB$87,'Fórmula'!D88,14)&lt;&gt;"",INDEX(properties!A$1:CB$87,'Fórmula'!D88,14)),IF(INDEX(properties!A$1:CB$87,'Fórmula'!F88,14)&lt;&gt;"",INDEX(properties!A$1:CB$87,'Fórmula'!F88,14)),IF(INDEX(properties!A$1:CB$87,'Fórmula'!H88,14)&lt;&gt;"",INDEX(properties!A$1:CB$87,'Fórmula'!H88,14)),IF(INDEX(properties!A$1:CB$87,'Fórmula'!J88,14)&lt;&gt;"",INDEX(properties!A$1:CB$87,'Fórmula'!J88,14)))</f>
        <v>0</v>
      </c>
      <c r="BG88" s="110">
        <f t="array" ref="BG88">MAX(INDEX(properties!A$1:CB$87,'Fórmula'!B88,14),INDEX(properties!A$1:CB$87,'Fórmula'!D88,14),INDEX(properties!A$1:CB$87,'Fórmula'!F88,14),INDEX(properties!A$1:CB$87,'Fórmula'!H88,14),INDEX(properties!A$1:CB$87,'Fórmula'!J88,14))</f>
        <v>0</v>
      </c>
      <c r="BH88" s="110">
        <f t="array" ref="BH88">MIN(IF('Fórmula'!B88=87,10^6,INDEX(properties!A$1:CB$87,'Fórmula'!B88,14)),IF(('Fórmula'!D88)=87,10^6,INDEX(properties!A$1:CB$87,'Fórmula'!D88,14)),IF(('Fórmula'!F88)=87,10^6,INDEX(properties!A$1:CB$87,'Fórmula'!F88,14)),IF(('Fórmula'!H88)=87,10^6,INDEX(properties!A$1:CB$87,'Fórmula'!H88,14)),IF('Fórmula'!J88=87,10^6,INDEX(properties!A$1:CB$87,'Fórmula'!J88,14)))</f>
        <v>0</v>
      </c>
      <c r="BI88" s="110">
        <f t="shared" si="10"/>
        <v>0</v>
      </c>
      <c r="BJ88" s="111">
        <f t="array" ref="BJ88">(('Fórmula'!C88)/('Fórmula'!C88+'Fórmula'!E88+'Fórmula'!G88+'Fórmula'!I88+'Fórmula'!K88))*(INDEX(properties!A$1:CB$87,'Fórmula'!B88,19))+(('Fórmula'!E88)/('Fórmula'!C88+'Fórmula'!E88+'Fórmula'!G88+'Fórmula'!I88+'Fórmula'!K88))*(INDEX(properties!A$1:CB$87,'Fórmula'!D88,19))+(('Fórmula'!G88)/('Fórmula'!C88+'Fórmula'!E88+'Fórmula'!G88+'Fórmula'!I88+'Fórmula'!K88))*(INDEX(properties!A$1:CB$87,'Fórmula'!F88,19))+(('Fórmula'!I88)/('Fórmula'!C88+'Fórmula'!E88+'Fórmula'!G88+'Fórmula'!I88+'Fórmula'!K88))*(INDEX(properties!A$1:CB$87,'Fórmula'!H88,19))+(('Fórmula'!K88)/('Fórmula'!C88+'Fórmula'!E88+'Fórmula'!G88+'Fórmula'!I88+'Fórmula'!K88))*(INDEX(properties!A$1:CB$87,'Fórmula'!J88,19))</f>
        <v>4.923076923</v>
      </c>
      <c r="BK88" s="111">
        <f t="array" ref="BK88">'Fórmula'!C88*(INDEX(properties!A$1:CB$87,'Fórmula'!B88,19))+'Fórmula'!E88*(INDEX(properties!A$1:CB$87,'Fórmula'!D88,19))+'Fórmula'!G88*(INDEX(properties!A$1:CB$87,'Fórmula'!F88,19))+'Fórmula'!I88*(INDEX(properties!A$1:CB$87,'Fórmula'!H88,19))+'Fórmula'!K88*(INDEX(properties!A$1:CB$87,'Fórmula'!J88,19))</f>
        <v>64</v>
      </c>
      <c r="BL88" s="111">
        <f t="array" ref="BL88">VARP(IF(INDEX(properties!A$1:CB$87,'Fórmula'!B88,19)&lt;&gt;"",INDEX(properties!A$1:CB$87,'Fórmula'!B88,19)),IF(INDEX(properties!A$1:CB$87,'Fórmula'!D88,19)&lt;&gt;"",INDEX(properties!A$1:CB$87,'Fórmula'!D88,19)),IF(INDEX(properties!A$1:CB$87,'Fórmula'!F88,19)&lt;&gt;"",INDEX(properties!A$1:CB$87,'Fórmula'!F88,19)),IF(INDEX(properties!A$1:CB$87,'Fórmula'!H88,19)&lt;&gt;"",INDEX(properties!A$1:CB$87,'Fórmula'!H88,19)),IF(INDEX(properties!A$1:CB$87,'Fórmula'!J88,19)&lt;&gt;"",INDEX(properties!A$1:CB$87,'Fórmula'!J88,19)))</f>
        <v>3.44</v>
      </c>
      <c r="BM88" s="111">
        <f t="array" ref="BM88">MAX(INDEX(properties!A$1:CB$87,'Fórmula'!B88,19),INDEX(properties!A$1:CB$87,'Fórmula'!D88,19),INDEX(properties!A$1:CB$87,'Fórmula'!F88,19),INDEX(properties!A$1:CB$87,'Fórmula'!H88,19),INDEX(properties!A$1:CB$87,'Fórmula'!J88,19))</f>
        <v>6</v>
      </c>
      <c r="BN88" s="111">
        <f t="array" ref="BN88">MIN(IF(INDEX(properties!A$1:CB$87,'Fórmula'!B88,19)=0,10^6,INDEX(properties!A$1:CB$87,'Fórmula'!B88,19)),IF(INDEX(properties!A$1:CB$87,'Fórmula'!D88,19)=0,10^6,INDEX(properties!A$1:CB$87,'Fórmula'!D88,19)),IF(INDEX(properties!A$1:CB$87,'Fórmula'!F88,19)=0,10^6,INDEX(properties!A$1:CB$87,'Fórmula'!F88,19)),IF(INDEX(properties!A$1:CB$87,'Fórmula'!H88,19)=0,10^6,INDEX(properties!A$1:CB$87,'Fórmula'!H88,19)),IF(INDEX(properties!A$1:CB$87,'Fórmula'!J88,19)=0,10^6,INDEX(properties!A$1:CB$87,'Fórmula'!J88,19)))</f>
        <v>1</v>
      </c>
      <c r="BO88" s="111">
        <f t="shared" si="11"/>
        <v>5</v>
      </c>
      <c r="BP88" s="112">
        <f t="array" ref="BP88">(('Fórmula'!C88)/('Fórmula'!C88+'Fórmula'!E88+'Fórmula'!G88+'Fórmula'!I88+'Fórmula'!K88))*(INDEX(properties!A$1:CB$87,'Fórmula'!B88,20))+(('Fórmula'!E88)/('Fórmula'!C88+'Fórmula'!E88+'Fórmula'!G88+'Fórmula'!I88+'Fórmula'!K88))*(INDEX(properties!A$1:CB$87,'Fórmula'!D88,20))+(('Fórmula'!G88)/('Fórmula'!C88+'Fórmula'!E88+'Fórmula'!G88+'Fórmula'!I88+'Fórmula'!K88))*(INDEX(properties!A$1:CB$87,'Fórmula'!F88,20))+(('Fórmula'!I88)/('Fórmula'!C88+'Fórmula'!E88+'Fórmula'!G88+'Fórmula'!I88+'Fórmula'!K88))*(INDEX(properties!A$1:CB$87,'Fórmula'!H88,20))+(('Fórmula'!K88)/('Fórmula'!C88+'Fórmula'!E88+'Fórmula'!G88+'Fórmula'!I88+'Fórmula'!K88))*(INDEX(properties!A$1:CB$87,'Fórmula'!J88,20))</f>
        <v>4.923076923</v>
      </c>
      <c r="BQ88" s="112">
        <f t="array" ref="BQ88">'Fórmula'!C88*(INDEX(properties!A$1:CB$87,'Fórmula'!B88,20))+'Fórmula'!E88*(INDEX(properties!A$1:CB$87,'Fórmula'!D88,20))+'Fórmula'!G88*(INDEX(properties!A$1:CB$87,'Fórmula'!F88,20))+'Fórmula'!I88*(INDEX(properties!A$1:CB$87,'Fórmula'!H88,20))+'Fórmula'!K88*(INDEX(properties!A$1:CB$87,'Fórmula'!J88,20))</f>
        <v>64</v>
      </c>
      <c r="BR88" s="112">
        <f t="array" ref="BR88">VARP(IF(INDEX(properties!A$1:CB$87,'Fórmula'!B88,20)&lt;&gt;"",INDEX(properties!A$1:CB$87,'Fórmula'!B88,20)),IF(INDEX(properties!A$1:CB$87,'Fórmula'!D88,20)&lt;&gt;"",INDEX(properties!A$1:CB$87,'Fórmula'!D88,20)),IF(INDEX(properties!A$1:CB$87,'Fórmula'!F88,20)&lt;&gt;"",INDEX(properties!A$1:CB$87,'Fórmula'!F88,20)),IF(INDEX(properties!A$1:CB$87,'Fórmula'!H88,20)&lt;&gt;"",INDEX(properties!A$1:CB$87,'Fórmula'!H88,20)),IF(INDEX(properties!A$1:CB$87,'Fórmula'!J88,20)&lt;&gt;"",INDEX(properties!A$1:CB$87,'Fórmula'!J88,20)))</f>
        <v>3.44</v>
      </c>
      <c r="BS88" s="112">
        <f t="array" ref="BS88">MAX(INDEX(properties!A$1:CB$87,'Fórmula'!B88,20),INDEX(properties!A$1:CB$87,'Fórmula'!D88,20),INDEX(properties!A$1:CB$87,'Fórmula'!F88,20),INDEX(properties!A$1:CB$87,'Fórmula'!H88,20),INDEX(properties!A$1:CB$87,'Fórmula'!J88,20))</f>
        <v>6</v>
      </c>
      <c r="BT88" s="112">
        <f t="array" ref="BT88">MIN(IF(INDEX(properties!A$1:CB$87,'Fórmula'!B88,20)=0,10^6,INDEX(properties!A$1:CB$87,'Fórmula'!B88,20)),IF(INDEX(properties!A$1:CB$87,'Fórmula'!D88,20)=0,10^6,INDEX(properties!A$1:CB$87,'Fórmula'!D88,20)),IF(INDEX(properties!A$1:CB$87,'Fórmula'!F88,20)=0,10^6,INDEX(properties!A$1:CB$87,'Fórmula'!F88,20)),IF(INDEX(properties!A$1:CB$87,'Fórmula'!H88,20)=0,10^6,INDEX(properties!A$1:CB$87,'Fórmula'!H88,20)),IF(INDEX(properties!A$1:CB$87,'Fórmula'!J88,20)=0,10^6,INDEX(properties!A$1:CB$87,'Fórmula'!J88,20)))</f>
        <v>1</v>
      </c>
      <c r="BU88" s="112">
        <f t="shared" si="12"/>
        <v>5</v>
      </c>
      <c r="BV88" s="113">
        <f t="array" ref="BV88">(('Fórmula'!C88)/('Fórmula'!C88+'Fórmula'!E88+'Fórmula'!G88+'Fórmula'!I88+'Fórmula'!K88))*(INDEX(properties!A$1:CB$87,'Fórmula'!B88,21))+(('Fórmula'!E88)/('Fórmula'!C88+'Fórmula'!E88+'Fórmula'!G88+'Fórmula'!I88+'Fórmula'!K88))*(INDEX(properties!A$1:CB$87,'Fórmula'!D88,21))+(('Fórmula'!G88)/('Fórmula'!C88+'Fórmula'!E88+'Fórmula'!G88+'Fórmula'!I88+'Fórmula'!K88))*(INDEX(properties!A$1:CB$87,'Fórmula'!F88,21))+(('Fórmula'!I88)/('Fórmula'!C88+'Fórmula'!E88+'Fórmula'!G88+'Fórmula'!I88+'Fórmula'!K88))*(INDEX(properties!A$1:CB$87,'Fórmula'!H88,21))+(('Fórmula'!K88)/('Fórmula'!C88+'Fórmula'!E88+'Fórmula'!G88+'Fórmula'!I88+'Fórmula'!K88))*(INDEX(properties!A$1:CB$87,'Fórmula'!J88,21))</f>
        <v>4.923076923</v>
      </c>
      <c r="BW88" s="113">
        <f t="array" ref="BW88">'Fórmula'!C88*(INDEX(properties!A$1:CB$87,'Fórmula'!B88,21))+'Fórmula'!E88*(INDEX(properties!A$1:CB$87,'Fórmula'!D88,21))+'Fórmula'!G88*(INDEX(properties!A$1:CB$87,'Fórmula'!F88,21))+'Fórmula'!I88*(INDEX(properties!A$1:CB$87,'Fórmula'!H88,21))+'Fórmula'!K88*(INDEX(properties!A$1:CB$87,'Fórmula'!J88,21))</f>
        <v>64</v>
      </c>
      <c r="BX88" s="113">
        <f t="array" ref="BX88">VARP(IF(INDEX(properties!A$1:CB$87,'Fórmula'!B88,21)&lt;&gt;"",INDEX(properties!A$1:CB$87,'Fórmula'!B88,21)),IF(INDEX(properties!A$1:CB$87,'Fórmula'!D88,21)&lt;&gt;"",INDEX(properties!A$1:CB$87,'Fórmula'!D88,21)),IF(INDEX(properties!A$1:CB$87,'Fórmula'!F88,21)&lt;&gt;"",INDEX(properties!A$1:CB$87,'Fórmula'!F88,21)),IF(INDEX(properties!A$1:CB$87,'Fórmula'!H88,21)&lt;&gt;"",INDEX(properties!A$1:CB$87,'Fórmula'!H88,21)),IF(INDEX(properties!A$1:CB$87,'Fórmula'!J88,21)&lt;&gt;"",INDEX(properties!A$1:CB$87,'Fórmula'!J88,21)))</f>
        <v>3.44</v>
      </c>
      <c r="BY88" s="113">
        <f t="array" ref="BY88">MAX(INDEX(properties!A$1:CB$87,'Fórmula'!B88,21),INDEX(properties!A$1:CB$87,'Fórmula'!D88,21),INDEX(properties!A$1:CB$87,'Fórmula'!F88,21),INDEX(properties!A$1:CB$87,'Fórmula'!H88,21),INDEX(properties!A$1:CB$87,'Fórmula'!J88,21))</f>
        <v>6</v>
      </c>
      <c r="BZ88" s="113">
        <f t="array" ref="BZ88">MIN(IF(INDEX(properties!A$1:CB$87,'Fórmula'!B88,21)=0,10^6,INDEX(properties!A$1:CB$87,'Fórmula'!B88,21)),IF(INDEX(properties!A$1:CB$87,'Fórmula'!D88,21)=0,10^6,INDEX(properties!A$1:CB$87,'Fórmula'!D88,21)),IF(INDEX(properties!A$1:CB$87,'Fórmula'!F88,21)=0,10^6,INDEX(properties!A$1:CB$87,'Fórmula'!F88,21)),IF(INDEX(properties!A$1:CB$87,'Fórmula'!H88,21)=0,10^6,INDEX(properties!A$1:CB$87,'Fórmula'!H88,21)),IF(INDEX(properties!A$1:CB$87,'Fórmula'!J88,21)=0,10^6,INDEX(properties!A$1:CB$87,'Fórmula'!J88,21)))</f>
        <v>1</v>
      </c>
      <c r="CA88" s="113">
        <f t="shared" si="13"/>
        <v>5</v>
      </c>
      <c r="CB88" s="114">
        <f t="array" ref="CB88">(('Fórmula'!C88)/('Fórmula'!C88+'Fórmula'!E88+'Fórmula'!G88+'Fórmula'!I88+'Fórmula'!K88))*(INDEX(properties!A$1:CB$87,'Fórmula'!B88,23))+(('Fórmula'!E88)/('Fórmula'!C88+'Fórmula'!E88+'Fórmula'!G88+'Fórmula'!I88+'Fórmula'!K88))*(INDEX(properties!A$1:CB$87,'Fórmula'!D88,23))+(('Fórmula'!G88)/('Fórmula'!C88+'Fórmula'!E88+'Fórmula'!G88+'Fórmula'!I88+'Fórmula'!K88))*(INDEX(properties!A$1:CB$87,'Fórmula'!F88,23))+(('Fórmula'!I88)/('Fórmula'!C88+'Fórmula'!E88+'Fórmula'!G88+'Fórmula'!I88+'Fórmula'!K88))*(INDEX(properties!A$1:CB$87,'Fórmula'!H88,23))+(('Fórmula'!K88)/('Fórmula'!C88+'Fórmula'!E88+'Fórmula'!G88+'Fórmula'!I88+'Fórmula'!K88))*(INDEX(properties!A$1:CB$87,'Fórmula'!J88,23))</f>
        <v>0.9230769231</v>
      </c>
      <c r="CC88" s="114">
        <f t="array" ref="CC88">'Fórmula'!C88*(INDEX(properties!A$1:CB$87,'Fórmula'!B88,23))+'Fórmula'!E88*(INDEX(properties!A$1:CB$87,'Fórmula'!D88,23))+'Fórmula'!G88*(INDEX(properties!A$1:CB$87,'Fórmula'!F88,23))+'Fórmula'!I88*(INDEX(properties!A$1:CB$87,'Fórmula'!H88,23))+'Fórmula'!K88*(INDEX(properties!A$1:CB$87,'Fórmula'!J88,23))</f>
        <v>12</v>
      </c>
      <c r="CD88" s="114">
        <f t="array" ref="CD88">VARP(IF(INDEX(properties!A$1:CB$87,'Fórmula'!B88,23)&lt;&gt;"",INDEX(properties!A$1:CB$87,'Fórmula'!B88,23)),IF(INDEX(properties!A$1:CB$87,'Fórmula'!D88,23)&lt;&gt;"",INDEX(properties!A$1:CB$87,'Fórmula'!D88,23)),IF(INDEX(properties!A$1:CB$87,'Fórmula'!F88,23)&lt;&gt;"",INDEX(properties!A$1:CB$87,'Fórmula'!F88,23)),IF(INDEX(properties!A$1:CB$87,'Fórmula'!H88,23)&lt;&gt;"",INDEX(properties!A$1:CB$87,'Fórmula'!H88,23)),IF(INDEX(properties!A$1:CB$87,'Fórmula'!J88,23)&lt;&gt;"",INDEX(properties!A$1:CB$87,'Fórmula'!J88,23)))</f>
        <v>1.36</v>
      </c>
      <c r="CE88" s="114">
        <f t="array" ref="CE88">MAX(INDEX(properties!A$1:CB$87,'Fórmula'!B88,23),INDEX(properties!A$1:CB$87,'Fórmula'!D88,23),INDEX(properties!A$1:CB$87,'Fórmula'!F88,23),INDEX(properties!A$1:CB$87,'Fórmula'!H88,23),INDEX(properties!A$1:CB$87,'Fórmula'!J88,23))</f>
        <v>3</v>
      </c>
      <c r="CF88" s="114">
        <f t="array" ref="CF88">MIN(IF('Fórmula'!B88=87,10^6,INDEX(properties!A$1:CB$87,'Fórmula'!B88,23)),IF(('Fórmula'!D88)=87,10^6,INDEX(properties!A$1:CB$87,'Fórmula'!D88,23)),IF(('Fórmula'!F88)=87,10^6,INDEX(properties!A$1:CB$87,'Fórmula'!F88,23)),IF(('Fórmula'!H88)=87,10^6,INDEX(properties!A$1:CB$87,'Fórmula'!H88,23)),IF('Fórmula'!J88=87,10^6,INDEX(properties!A$1:CB$87,'Fórmula'!J88,23)))</f>
        <v>0</v>
      </c>
      <c r="CG88" s="114">
        <f t="shared" si="14"/>
        <v>3</v>
      </c>
      <c r="CH88" s="115">
        <f t="array" ref="CH88">(('Fórmula'!C88)/('Fórmula'!C88+'Fórmula'!E88+'Fórmula'!G88+'Fórmula'!I88+'Fórmula'!K88))*(INDEX(properties!A$1:CB$87,'Fórmula'!B88,26))+(('Fórmula'!E88)/('Fórmula'!C88+'Fórmula'!E88+'Fórmula'!G88+'Fórmula'!I88+'Fórmula'!K88))*(INDEX(properties!A$1:CB$87,'Fórmula'!D88,26))+(('Fórmula'!G88)/('Fórmula'!C88+'Fórmula'!E88+'Fórmula'!G88+'Fórmula'!I88+'Fórmula'!K88))*(INDEX(properties!A$1:CB$87,'Fórmula'!F88,26))+(('Fórmula'!I88)/('Fórmula'!C88+'Fórmula'!E88+'Fórmula'!G88+'Fórmula'!I88+'Fórmula'!K88))*(INDEX(properties!A$1:CB$87,'Fórmula'!H88,26))+(('Fórmula'!K88)/('Fórmula'!C88+'Fórmula'!E88+'Fórmula'!G88+'Fórmula'!I88+'Fórmula'!K88))*(INDEX(properties!A$1:CB$87,'Fórmula'!J88,26))</f>
        <v>11.40398462</v>
      </c>
      <c r="CI88" s="115">
        <f t="array" ref="CI88">'Fórmula'!C88*(INDEX(properties!A$1:CB$87,'Fórmula'!B88,26))+'Fórmula'!E88*(INDEX(properties!A$1:CB$87,'Fórmula'!D88,26))+'Fórmula'!G88*(INDEX(properties!A$1:CB$87,'Fórmula'!F88,26))+'Fórmula'!I88*(INDEX(properties!A$1:CB$87,'Fórmula'!H88,26))+'Fórmula'!K88*(INDEX(properties!A$1:CB$87,'Fórmula'!J88,26))</f>
        <v>148.2518</v>
      </c>
      <c r="CJ88" s="115">
        <f t="array" ref="CJ88">VARP(IF(INDEX(properties!A$1:CB$87,'Fórmula'!B88,26)&lt;&gt;"",INDEX(properties!A$1:CB$87,'Fórmula'!B88,26)),IF(INDEX(properties!A$1:CB$87,'Fórmula'!D88,26)&lt;&gt;"",INDEX(properties!A$1:CB$87,'Fórmula'!D88,26)),IF(INDEX(properties!A$1:CB$87,'Fórmula'!F88,26)&lt;&gt;"",INDEX(properties!A$1:CB$87,'Fórmula'!F88,26)),IF(INDEX(properties!A$1:CB$87,'Fórmula'!H88,26)&lt;&gt;"",INDEX(properties!A$1:CB$87,'Fórmula'!H88,26)),IF(INDEX(properties!A$1:CB$87,'Fórmula'!J88,26)&lt;&gt;"",INDEX(properties!A$1:CB$87,'Fórmula'!J88,26)))</f>
        <v>11.07006642</v>
      </c>
      <c r="CK88" s="116">
        <f t="array" ref="CK88">MAX(INDEX(properties!A$1:CB$87,'Fórmula'!B88,26),INDEX(properties!A$1:CB$87,'Fórmula'!D88,26),INDEX(properties!A$1:CB$87,'Fórmula'!F88,26),INDEX(properties!A$1:CB$87,'Fórmula'!H88,26),INDEX(properties!A$1:CB$87,'Fórmula'!J88,26))</f>
        <v>13.6181</v>
      </c>
      <c r="CL88" s="116">
        <f t="array" ref="CL88">MIN(IF(INDEX(properties!A$1:CB$87,'Fórmula'!B88,26)=0,10^6,INDEX(properties!A$1:CB$87,'Fórmula'!B88,26)),IF(INDEX(properties!A$1:CB$87,'Fórmula'!D88,26)=0,10^6,INDEX(properties!A$1:CB$87,'Fórmula'!D88,26)),IF(INDEX(properties!A$1:CB$87,'Fórmula'!F88,26)=0,10^6,INDEX(properties!A$1:CB$87,'Fórmula'!F88,26)),IF(INDEX(properties!A$1:CB$87,'Fórmula'!H88,26)=0,10^6,INDEX(properties!A$1:CB$87,'Fórmula'!H88,26)),IF(INDEX(properties!A$1:CB$87,'Fórmula'!J88,26)=0,10^6,INDEX(properties!A$1:CB$87,'Fórmula'!J88,26)))</f>
        <v>4.3407</v>
      </c>
      <c r="CM88" s="115">
        <f t="shared" si="15"/>
        <v>9.2774</v>
      </c>
      <c r="CN88" s="117">
        <f t="array" ref="CN88">(('Fórmula'!C88)/('Fórmula'!C88+'Fórmula'!E88+'Fórmula'!G88+'Fórmula'!I88+'Fórmula'!K88))*(INDEX(properties!A$1:CB$87,'Fórmula'!B88,30))+(('Fórmula'!E88)/('Fórmula'!C88+'Fórmula'!E88+'Fórmula'!G88+'Fórmula'!I88+'Fórmula'!K88))*(INDEX(properties!A$1:CB$87,'Fórmula'!D88,30))+(('Fórmula'!G88)/('Fórmula'!C88+'Fórmula'!E88+'Fórmula'!G88+'Fórmula'!I88+'Fórmula'!K88))*(INDEX(properties!A$1:CB$87,'Fórmula'!F88,30))+(('Fórmula'!I88)/('Fórmula'!C88+'Fórmula'!E88+'Fórmula'!G88+'Fórmula'!I88+'Fórmula'!K88))*(INDEX(properties!A$1:CB$87,'Fórmula'!H88,30))+(('Fórmula'!K88)/('Fórmula'!C88+'Fórmula'!E88+'Fórmula'!G88+'Fórmula'!I88+'Fórmula'!K88))*(INDEX(properties!A$1:CB$87,'Fórmula'!J88,30))</f>
        <v>2.746923077</v>
      </c>
      <c r="CO88" s="117">
        <f t="array" ref="CO88">'Fórmula'!C88*(INDEX(properties!A$1:CB$87,'Fórmula'!B88,30))+'Fórmula'!E88*(INDEX(properties!A$1:CB$87,'Fórmula'!D88,30))+'Fórmula'!G88*(INDEX(properties!A$1:CB$87,'Fórmula'!F88,30))+'Fórmula'!I88*(INDEX(properties!A$1:CB$87,'Fórmula'!H88,30))+'Fórmula'!K88*(INDEX(properties!A$1:CB$87,'Fórmula'!J88,30))</f>
        <v>35.71</v>
      </c>
      <c r="CP88" s="117">
        <f t="array" ref="CP88">VARP(IF(INDEX(properties!A$1:CB$87,'Fórmula'!B88,30)&lt;&gt;"",INDEX(properties!A$1:CB$87,'Fórmula'!B88,30)),IF(INDEX(properties!A$1:CB$87,'Fórmula'!D88,30)&lt;&gt;"",INDEX(properties!A$1:CB$87,'Fórmula'!D88,30)),IF(INDEX(properties!A$1:CB$87,'Fórmula'!F88,30)&lt;&gt;"",INDEX(properties!A$1:CB$87,'Fórmula'!F88,30)),IF(INDEX(properties!A$1:CB$87,'Fórmula'!H88,30)&lt;&gt;"",INDEX(properties!A$1:CB$87,'Fórmula'!H88,30)),IF(INDEX(properties!A$1:CB$87,'Fórmula'!J88,30)&lt;&gt;"",INDEX(properties!A$1:CB$87,'Fórmula'!J88,30)))</f>
        <v>0.908696</v>
      </c>
      <c r="CQ88" s="117">
        <f t="array" ref="CQ88">MAX(INDEX(properties!A$1:CB$87,'Fórmula'!B88,30),INDEX(properties!A$1:CB$87,'Fórmula'!D88,30),INDEX(properties!A$1:CB$87,'Fórmula'!F88,30),INDEX(properties!A$1:CB$87,'Fórmula'!H88,30),INDEX(properties!A$1:CB$87,'Fórmula'!J88,30))</f>
        <v>3.44</v>
      </c>
      <c r="CR88" s="117">
        <f t="array" ref="CR88">MIN(IF(INDEX(properties!A$1:CB$87,'Fórmula'!B88,30)=0,10^6,INDEX(properties!A$1:CB$87,'Fórmula'!B88,30)),IF(INDEX(properties!A$1:CB$87,'Fórmula'!D88,30)=0,10^6,INDEX(properties!A$1:CB$87,'Fórmula'!D88,30)),IF(INDEX(properties!A$1:CB$87,'Fórmula'!F88,30)=0,10^6,INDEX(properties!A$1:CB$87,'Fórmula'!F88,30)),IF(INDEX(properties!A$1:CB$87,'Fórmula'!H88,30)=0,10^6,INDEX(properties!A$1:CB$87,'Fórmula'!H88,30)),IF(INDEX(properties!A$1:CB$87,'Fórmula'!J88,30)=0,10^6,INDEX(properties!A$1:CB$87,'Fórmula'!J88,30)))</f>
        <v>0.82</v>
      </c>
      <c r="CS88" s="117">
        <f t="shared" si="16"/>
        <v>2.62</v>
      </c>
      <c r="CT88" s="118">
        <f t="array" ref="CT88">(('Fórmula'!C88)/('Fórmula'!C88+'Fórmula'!E88+'Fórmula'!G88+'Fórmula'!I88+'Fórmula'!K88))*(INDEX(properties!A$1:CB$87,'Fórmula'!B88,31))+(('Fórmula'!E88)/('Fórmula'!C88+'Fórmula'!E88+'Fórmula'!G88+'Fórmula'!I88+'Fórmula'!K88))*(INDEX(properties!A$1:CB$87,'Fórmula'!D88,31))+(('Fórmula'!G88)/('Fórmula'!C88+'Fórmula'!E88+'Fórmula'!G88+'Fórmula'!I88+'Fórmula'!K88))*(INDEX(properties!A$1:CB$87,'Fórmula'!F88,31))+(('Fórmula'!I88)/('Fórmula'!C88+'Fórmula'!E88+'Fórmula'!G88+'Fórmula'!I88+'Fórmula'!K88))*(INDEX(properties!A$1:CB$87,'Fórmula'!H88,31))+(('Fórmula'!K88)/('Fórmula'!C88+'Fórmula'!E88+'Fórmula'!G88+'Fórmula'!I88+'Fórmula'!K88))*(INDEX(properties!A$1:CB$87,'Fórmula'!J88,31))</f>
        <v>2.694615385</v>
      </c>
      <c r="CU88" s="118">
        <f t="array" ref="CU88">'Fórmula'!C88*(INDEX(properties!A$1:CB$87,'Fórmula'!B88,31))+'Fórmula'!E88*(INDEX(properties!A$1:CB$87,'Fórmula'!D88,31))+'Fórmula'!G88*(INDEX(properties!A$1:CB$87,'Fórmula'!F88,31))+'Fórmula'!I88*(INDEX(properties!A$1:CB$87,'Fórmula'!H88,31))+'Fórmula'!K88*(INDEX(properties!A$1:CB$87,'Fórmula'!J88,31))</f>
        <v>35.03</v>
      </c>
      <c r="CV88" s="118">
        <f t="array" ref="CV88">VARP(IF(INDEX(properties!A$1:CB$87,'Fórmula'!B88,31)&lt;&gt;"",INDEX(properties!A$1:CB$87,'Fórmula'!B88,31)),IF(INDEX(properties!A$1:CB$87,'Fórmula'!D88,31)&lt;&gt;"",INDEX(properties!A$1:CB$87,'Fórmula'!D88,31)),IF(INDEX(properties!A$1:CB$87,'Fórmula'!F88,31)&lt;&gt;"",INDEX(properties!A$1:CB$87,'Fórmula'!F88,31)),IF(INDEX(properties!A$1:CB$87,'Fórmula'!H88,31)&lt;&gt;"",INDEX(properties!A$1:CB$87,'Fórmula'!H88,31)),IF(INDEX(properties!A$1:CB$87,'Fórmula'!J88,31)&lt;&gt;"",INDEX(properties!A$1:CB$87,'Fórmula'!J88,31)))</f>
        <v>0.799104</v>
      </c>
      <c r="CW88" s="118">
        <f t="array" ref="CW88">MAX(INDEX(properties!A$1:CB$87,'Fórmula'!B88,31),INDEX(properties!A$1:CB$87,'Fórmula'!D88,31),INDEX(properties!A$1:CB$87,'Fórmula'!F88,31),INDEX(properties!A$1:CB$87,'Fórmula'!H88,31),INDEX(properties!A$1:CB$87,'Fórmula'!J88,31))</f>
        <v>3.32</v>
      </c>
      <c r="CX88" s="118">
        <f t="array" ref="CX88">MIN(IF(INDEX(properties!A$1:CB$87,'Fórmula'!B88,31)=0,10^6,INDEX(properties!A$1:CB$87,'Fórmula'!B88,31)),IF(INDEX(properties!A$1:CB$87,'Fórmula'!D88,31)=0,10^6,INDEX(properties!A$1:CB$87,'Fórmula'!D88,31)),IF(INDEX(properties!A$1:CB$87,'Fórmula'!F88,31)=0,10^6,INDEX(properties!A$1:CB$87,'Fórmula'!F88,31)),IF(INDEX(properties!A$1:CB$87,'Fórmula'!H88,31)=0,10^6,INDEX(properties!A$1:CB$87,'Fórmula'!H88,31)),IF(INDEX(properties!A$1:CB$87,'Fórmula'!J88,31)=0,10^6,INDEX(properties!A$1:CB$87,'Fórmula'!J88,31)))</f>
        <v>0.8</v>
      </c>
      <c r="CY88" s="118">
        <f t="shared" si="17"/>
        <v>2.52</v>
      </c>
      <c r="CZ88" s="119">
        <f t="array" ref="CZ88">(('Fórmula'!C88)/('Fórmula'!C88+'Fórmula'!E88+'Fórmula'!G88+'Fórmula'!I88+'Fórmula'!K88))*(INDEX(properties!A$1:CB$87,'Fórmula'!B88,32))+(('Fórmula'!E88)/('Fórmula'!C88+'Fórmula'!E88+'Fórmula'!G88+'Fórmula'!I88+'Fórmula'!K88))*(INDEX(properties!A$1:CB$87,'Fórmula'!D88,32))+(('Fórmula'!G88)/('Fórmula'!C88+'Fórmula'!E88+'Fórmula'!G88+'Fórmula'!I88+'Fórmula'!K88))*(INDEX(properties!A$1:CB$87,'Fórmula'!F88,32))+(('Fórmula'!I88)/('Fórmula'!C88+'Fórmula'!E88+'Fórmula'!G88+'Fórmula'!I88+'Fórmula'!K88))*(INDEX(properties!A$1:CB$87,'Fórmula'!H88,32))+(('Fórmula'!K88)/('Fórmula'!C88+'Fórmula'!E88+'Fórmula'!G88+'Fórmula'!I88+'Fórmula'!K88))*(INDEX(properties!A$1:CB$87,'Fórmula'!J88,32))</f>
        <v>6.174615385</v>
      </c>
      <c r="DA88" s="119">
        <f t="array" ref="DA88">'Fórmula'!C88*(INDEX(properties!A$1:CB$87,'Fórmula'!B88,32))+'Fórmula'!E88*(INDEX(properties!A$1:CB$87,'Fórmula'!D88,32))+'Fórmula'!G88*(INDEX(properties!A$1:CB$87,'Fórmula'!F88,32))+'Fórmula'!I88*(INDEX(properties!A$1:CB$87,'Fórmula'!H88,32))+'Fórmula'!K88*(INDEX(properties!A$1:CB$87,'Fórmula'!J88,32))</f>
        <v>80.27</v>
      </c>
      <c r="DB88" s="119">
        <f t="array" ref="DB88">VARP(IF(INDEX(properties!A$1:CB$87,'Fórmula'!B88,32)&lt;&gt;"",INDEX(properties!A$1:CB$87,'Fórmula'!B88,32)),IF(INDEX(properties!A$1:CB$87,'Fórmula'!D88,32)&lt;&gt;"",INDEX(properties!A$1:CB$87,'Fórmula'!D88,32)),IF(INDEX(properties!A$1:CB$87,'Fórmula'!F88,32)&lt;&gt;"",INDEX(properties!A$1:CB$87,'Fórmula'!F88,32)),IF(INDEX(properties!A$1:CB$87,'Fórmula'!H88,32)&lt;&gt;"",INDEX(properties!A$1:CB$87,'Fórmula'!H88,32)),IF(INDEX(properties!A$1:CB$87,'Fórmula'!J88,32)&lt;&gt;"",INDEX(properties!A$1:CB$87,'Fórmula'!J88,32)))</f>
        <v>4.207424</v>
      </c>
      <c r="DC88" s="119">
        <f t="array" ref="DC88">MAX(INDEX(properties!A$1:CB$87,'Fórmula'!B88,32),INDEX(properties!A$1:CB$87,'Fórmula'!D88,32),INDEX(properties!A$1:CB$87,'Fórmula'!F88,32),INDEX(properties!A$1:CB$87,'Fórmula'!H88,32),INDEX(properties!A$1:CB$87,'Fórmula'!J88,32))</f>
        <v>7.54</v>
      </c>
      <c r="DD88" s="119">
        <f t="array" ref="DD88">MIN(IF(INDEX(properties!A$1:CB$87,'Fórmula'!B88,32)=0,10^6,INDEX(properties!A$1:CB$87,'Fórmula'!B88,32)),IF(INDEX(properties!A$1:CB$87,'Fórmula'!D88,32)=0,10^6,INDEX(properties!A$1:CB$87,'Fórmula'!D88,32)),IF(INDEX(properties!A$1:CB$87,'Fórmula'!F88,32)=0,10^6,INDEX(properties!A$1:CB$87,'Fórmula'!F88,32)),IF(INDEX(properties!A$1:CB$87,'Fórmula'!H88,32)=0,10^6,INDEX(properties!A$1:CB$87,'Fórmula'!H88,32)),IF(INDEX(properties!A$1:CB$87,'Fórmula'!J88,32)=0,10^6,INDEX(properties!A$1:CB$87,'Fórmula'!J88,32)))</f>
        <v>2</v>
      </c>
      <c r="DE88" s="119">
        <f t="shared" si="18"/>
        <v>5.54</v>
      </c>
      <c r="DF88" s="104">
        <f t="array" ref="DF88">(('Fórmula'!C88)/('Fórmula'!C88+'Fórmula'!E88+'Fórmula'!G88+'Fórmula'!I88+'Fórmula'!K88))*(INDEX(properties!A$1:CB$87,'Fórmula'!B88,34))+(('Fórmula'!E88)/('Fórmula'!C88+'Fórmula'!E88+'Fórmula'!G88+'Fórmula'!I88+'Fórmula'!K88))*(INDEX(properties!A$1:CB$87,'Fórmula'!D88,34))+(('Fórmula'!G88)/('Fórmula'!C88+'Fórmula'!E88+'Fórmula'!G88+'Fórmula'!I88+'Fórmula'!K88))*(INDEX(properties!A$1:CB$87,'Fórmula'!F88,34))+(('Fórmula'!I88)/('Fórmula'!C88+'Fórmula'!E88+'Fórmula'!G88+'Fórmula'!I88+'Fórmula'!K88))*(INDEX(properties!A$1:CB$87,'Fórmula'!H88,34))+(('Fórmula'!K88)/('Fórmula'!C88+'Fórmula'!E88+'Fórmula'!G88+'Fórmula'!I88+'Fórmula'!K88))*(INDEX(properties!A$1:CB$87,'Fórmula'!J88,34))</f>
        <v>2.856461538</v>
      </c>
      <c r="DG88" s="104">
        <f t="array" ref="DG88">'Fórmula'!C88*(INDEX(properties!A$1:CB$87,'Fórmula'!B88,34))+'Fórmula'!E88*(INDEX(properties!A$1:CB$87,'Fórmula'!D88,34))+'Fórmula'!G88*(INDEX(properties!A$1:CB$87,'Fórmula'!F88,34))+'Fórmula'!I88*(INDEX(properties!A$1:CB$87,'Fórmula'!H88,34))+'Fórmula'!K88*(INDEX(properties!A$1:CB$87,'Fórmula'!J88,34))</f>
        <v>37.134</v>
      </c>
      <c r="DH88" s="104">
        <f t="array" ref="DH88">VARP(IF(INDEX(properties!A$1:CB$87,'Fórmula'!B88,34)&lt;&gt;"",INDEX(properties!A$1:CB$87,'Fórmula'!B88,34)),IF(INDEX(properties!A$1:CB$87,'Fórmula'!D88,34)&lt;&gt;"",INDEX(properties!A$1:CB$87,'Fórmula'!D88,34)),IF(INDEX(properties!A$1:CB$87,'Fórmula'!F88,34)&lt;&gt;"",INDEX(properties!A$1:CB$87,'Fórmula'!F88,34)),IF(INDEX(properties!A$1:CB$87,'Fórmula'!H88,34)&lt;&gt;"",INDEX(properties!A$1:CB$87,'Fórmula'!H88,34)),IF(INDEX(properties!A$1:CB$87,'Fórmula'!J88,34)&lt;&gt;"",INDEX(properties!A$1:CB$87,'Fórmula'!J88,34)))</f>
        <v>1.06131416</v>
      </c>
      <c r="DI88" s="104">
        <f t="array" ref="DI88">MAX(INDEX(properties!A$1:CB$87,'Fórmula'!B88,34),INDEX(properties!A$1:CB$87,'Fórmula'!D88,34),INDEX(properties!A$1:CB$87,'Fórmula'!F88,34),INDEX(properties!A$1:CB$87,'Fórmula'!H88,34),INDEX(properties!A$1:CB$87,'Fórmula'!J88,34))</f>
        <v>3.61</v>
      </c>
      <c r="DJ88" s="104">
        <f t="array" ref="DJ88">MIN(IF(INDEX(properties!A$1:CB$87,'Fórmula'!B88,34)=0,10^6,INDEX(properties!A$1:CB$87,'Fórmula'!B88,34)),IF(INDEX(properties!A$1:CB$87,'Fórmula'!D88,34)=0,10^6,INDEX(properties!A$1:CB$87,'Fórmula'!D88,34)),IF(INDEX(properties!A$1:CB$87,'Fórmula'!F88,34)=0,10^6,INDEX(properties!A$1:CB$87,'Fórmula'!F88,34)),IF(INDEX(properties!A$1:CB$87,'Fórmula'!H88,34)=0,10^6,INDEX(properties!A$1:CB$87,'Fórmula'!H88,34)),IF(INDEX(properties!A$1:CB$87,'Fórmula'!J88,34)=0,10^6,INDEX(properties!A$1:CB$87,'Fórmula'!J88,34)))</f>
        <v>0.734</v>
      </c>
      <c r="DK88" s="104">
        <f t="shared" si="19"/>
        <v>2.876</v>
      </c>
      <c r="DL88" s="105">
        <f t="array" ref="DL88">(('Fórmula'!C88)/('Fórmula'!C88+'Fórmula'!E88+'Fórmula'!G88+'Fórmula'!I88+'Fórmula'!K88))*(INDEX(properties!A$1:CB$87,'Fórmula'!B88,37))+(('Fórmula'!E88)/('Fórmula'!C88+'Fórmula'!E88+'Fórmula'!G88+'Fórmula'!I88+'Fórmula'!K88))*(INDEX(properties!A$1:CB$87,'Fórmula'!D88,37))+(('Fórmula'!G88)/('Fórmula'!C88+'Fórmula'!E88+'Fórmula'!G88+'Fórmula'!I88+'Fórmula'!K88))*(INDEX(properties!A$1:CB$87,'Fórmula'!F88,37))+(('Fórmula'!I88)/('Fórmula'!C88+'Fórmula'!E88+'Fórmula'!G88+'Fórmula'!I88+'Fórmula'!K88))*(INDEX(properties!A$1:CB$87,'Fórmula'!H88,37))+(('Fórmula'!K88)/('Fórmula'!C88+'Fórmula'!E88+'Fórmula'!G88+'Fórmula'!I88+'Fórmula'!K88))*(INDEX(properties!A$1:CB$87,'Fórmula'!J88,37))</f>
        <v>2.730769231</v>
      </c>
      <c r="DM88" s="105">
        <f t="array" ref="DM88">'Fórmula'!C88*(INDEX(properties!A$1:CB$87,'Fórmula'!B88,37))+'Fórmula'!E88*(INDEX(properties!A$1:CB$87,'Fórmula'!D88,37))+'Fórmula'!G88*(INDEX(properties!A$1:CB$87,'Fórmula'!F88,37))+'Fórmula'!I88*(INDEX(properties!A$1:CB$87,'Fórmula'!H88,37))+'Fórmula'!K88*(INDEX(properties!A$1:CB$87,'Fórmula'!J88,37))</f>
        <v>35.5</v>
      </c>
      <c r="DN88" s="105">
        <f t="array" ref="DN88">VARP(IF(INDEX(properties!A$1:CB$87,'Fórmula'!B88,37)&lt;&gt;"",INDEX(properties!A$1:CB$87,'Fórmula'!B88,37)),IF(INDEX(properties!A$1:CB$87,'Fórmula'!D88,37)&lt;&gt;"",INDEX(properties!A$1:CB$87,'Fórmula'!D88,37)),IF(INDEX(properties!A$1:CB$87,'Fórmula'!F88,37)&lt;&gt;"",INDEX(properties!A$1:CB$87,'Fórmula'!F88,37)),IF(INDEX(properties!A$1:CB$87,'Fórmula'!H88,37)&lt;&gt;"",INDEX(properties!A$1:CB$87,'Fórmula'!H88,37)),IF(INDEX(properties!A$1:CB$87,'Fórmula'!J88,37)&lt;&gt;"",INDEX(properties!A$1:CB$87,'Fórmula'!J88,37)))</f>
        <v>0.89</v>
      </c>
      <c r="DO88" s="105">
        <f t="array" ref="DO88">MAX(INDEX(properties!A$1:CB$87,'Fórmula'!B88,37),INDEX(properties!A$1:CB$87,'Fórmula'!D88,37),INDEX(properties!A$1:CB$87,'Fórmula'!F88,37),INDEX(properties!A$1:CB$87,'Fórmula'!H88,37),INDEX(properties!A$1:CB$87,'Fórmula'!J88,37))</f>
        <v>3.45</v>
      </c>
      <c r="DP88" s="105">
        <f t="array" ref="DP88">MIN(IF(INDEX(properties!A$1:CB$87,'Fórmula'!B88,37)=0,10^6,INDEX(properties!A$1:CB$87,'Fórmula'!B88,37)),IF(INDEX(properties!A$1:CB$87,'Fórmula'!D88,37)=0,10^6,INDEX(properties!A$1:CB$87,'Fórmula'!D88,37)),IF(INDEX(properties!A$1:CB$87,'Fórmula'!F88,37)=0,10^6,INDEX(properties!A$1:CB$87,'Fórmula'!F88,37)),IF(INDEX(properties!A$1:CB$87,'Fórmula'!H88,37)=0,10^6,INDEX(properties!A$1:CB$87,'Fórmula'!H88,37)),IF(INDEX(properties!A$1:CB$87,'Fórmula'!J88,37)=0,10^6,INDEX(properties!A$1:CB$87,'Fórmula'!J88,37)))</f>
        <v>0.8</v>
      </c>
      <c r="DQ88" s="105">
        <f t="shared" si="20"/>
        <v>2.65</v>
      </c>
      <c r="DR88" s="109">
        <f t="array" ref="DR88">(('Fórmula'!C88)/('Fórmula'!C88+'Fórmula'!E88+'Fórmula'!G88+'Fórmula'!I88+'Fórmula'!K88))*(INDEX(properties!A$1:CB$87,'Fórmula'!B88,39))+(('Fórmula'!E88)/('Fórmula'!C88+'Fórmula'!E88+'Fórmula'!G88+'Fórmula'!I88+'Fórmula'!K88))*(INDEX(properties!A$1:CB$87,'Fórmula'!D88,39))+(('Fórmula'!G88)/('Fórmula'!C88+'Fórmula'!E88+'Fórmula'!G88+'Fórmula'!I88+'Fórmula'!K88))*(INDEX(properties!A$1:CB$87,'Fórmula'!F88,39))+(('Fórmula'!I88)/('Fórmula'!C88+'Fórmula'!E88+'Fórmula'!G88+'Fórmula'!I88+'Fórmula'!K88))*(INDEX(properties!A$1:CB$87,'Fórmula'!H88,39))+(('Fórmula'!K88)/('Fórmula'!C88+'Fórmula'!E88+'Fórmula'!G88+'Fórmula'!I88+'Fórmula'!K88))*(INDEX(properties!A$1:CB$87,'Fórmula'!J88,39))</f>
        <v>0.8684615385</v>
      </c>
      <c r="DS88" s="109">
        <f t="array" ref="DS88">'Fórmula'!C88*(INDEX(properties!A$1:CB$87,'Fórmula'!B88,39))+'Fórmula'!E88*(INDEX(properties!A$1:CB$87,'Fórmula'!D88,39))+'Fórmula'!G88*(INDEX(properties!A$1:CB$87,'Fórmula'!F88,39))+'Fórmula'!I88*(INDEX(properties!A$1:CB$87,'Fórmula'!H88,39))+'Fórmula'!K88*(INDEX(properties!A$1:CB$87,'Fórmula'!J88,39))</f>
        <v>11.29</v>
      </c>
      <c r="DT88" s="109">
        <f t="array" ref="DT88">VARP(IF(INDEX(properties!A$1:CB$87,'Fórmula'!B88,39)&lt;&gt;"",INDEX(properties!A$1:CB$87,'Fórmula'!B88,39)),IF(INDEX(properties!A$1:CB$87,'Fórmula'!D88,39)&lt;&gt;"",INDEX(properties!A$1:CB$87,'Fórmula'!D88,39)),IF(INDEX(properties!A$1:CB$87,'Fórmula'!F88,39)&lt;&gt;"",INDEX(properties!A$1:CB$87,'Fórmula'!F88,39)),IF(INDEX(properties!A$1:CB$87,'Fórmula'!H88,39)&lt;&gt;"",INDEX(properties!A$1:CB$87,'Fórmula'!H88,39)),IF(INDEX(properties!A$1:CB$87,'Fórmula'!J88,39)&lt;&gt;"",INDEX(properties!A$1:CB$87,'Fórmula'!J88,39)))</f>
        <v>0.59764</v>
      </c>
      <c r="DU88" s="120">
        <f t="array" ref="DU88">MAX(INDEX(properties!A$1:CB$87,'Fórmula'!B88,39),INDEX(properties!A$1:CB$87,'Fórmula'!D88,39),INDEX(properties!A$1:CB$87,'Fórmula'!F88,39),INDEX(properties!A$1:CB$87,'Fórmula'!H88,39),INDEX(properties!A$1:CB$87,'Fórmula'!J88,39))</f>
        <v>2.43</v>
      </c>
      <c r="DV88" s="120">
        <f t="array" ref="DV88">MIN(IF(INDEX(properties!A$1:CB$87,'Fórmula'!B88,39)=0,10^6,INDEX(properties!A$1:CB$87,'Fórmula'!B88,39)),IF(INDEX(properties!A$1:CB$87,'Fórmula'!D88,39)=0,10^6,INDEX(properties!A$1:CB$87,'Fórmula'!D88,39)),IF(INDEX(properties!A$1:CB$87,'Fórmula'!F88,39)=0,10^6,INDEX(properties!A$1:CB$87,'Fórmula'!F88,39)),IF(INDEX(properties!A$1:CB$87,'Fórmula'!H88,39)=0,10^6,INDEX(properties!A$1:CB$87,'Fórmula'!H88,39)),IF(INDEX(properties!A$1:CB$87,'Fórmula'!J88,39)=0,10^6,INDEX(properties!A$1:CB$87,'Fórmula'!J88,39)))</f>
        <v>0.48</v>
      </c>
      <c r="DW88" s="109">
        <f t="shared" si="21"/>
        <v>1.95</v>
      </c>
      <c r="DX88" s="110">
        <f t="array" ref="DX88">(('Fórmula'!C88)/('Fórmula'!C88+'Fórmula'!E88+'Fórmula'!G88+'Fórmula'!I88+'Fórmula'!K88))*(INDEX(properties!A$1:CB$87,'Fórmula'!B88,40))+(('Fórmula'!E88)/('Fórmula'!C88+'Fórmula'!E88+'Fórmula'!G88+'Fórmula'!I88+'Fórmula'!K88))*(INDEX(properties!A$1:CB$87,'Fórmula'!D88,40))+(('Fórmula'!G88)/('Fórmula'!C88+'Fórmula'!E88+'Fórmula'!G88+'Fórmula'!I88+'Fórmula'!K88))*(INDEX(properties!A$1:CB$87,'Fórmula'!F88,40))+(('Fórmula'!I88)/('Fórmula'!C88+'Fórmula'!E88+'Fórmula'!G88+'Fórmula'!I88+'Fórmula'!K88))*(INDEX(properties!A$1:CB$87,'Fórmula'!H88,40))+(('Fórmula'!K88)/('Fórmula'!C88+'Fórmula'!E88+'Fórmula'!G88+'Fórmula'!I88+'Fórmula'!K88))*(INDEX(properties!A$1:CB$87,'Fórmula'!J88,40))</f>
        <v>0.9738461538</v>
      </c>
      <c r="DY88" s="110">
        <f t="array" ref="DY88">'Fórmula'!C88*(INDEX(properties!A$1:CB$87,'Fórmula'!B88,40))+'Fórmula'!E88*(INDEX(properties!A$1:CB$87,'Fórmula'!D88,40))+'Fórmula'!G88*(INDEX(properties!A$1:CB$87,'Fórmula'!F88,40))+'Fórmula'!I88*(INDEX(properties!A$1:CB$87,'Fórmula'!H88,40))+'Fórmula'!K88*(INDEX(properties!A$1:CB$87,'Fórmula'!J88,40))</f>
        <v>12.66</v>
      </c>
      <c r="DZ88" s="110">
        <f t="array" ref="DZ88">VARP(IF(INDEX(properties!A$1:CB$87,'Fórmula'!B88,40)&lt;&gt;"",INDEX(properties!A$1:CB$87,'Fórmula'!B88,40)),IF(INDEX(properties!A$1:CB$87,'Fórmula'!D88,40)&lt;&gt;"",INDEX(properties!A$1:CB$87,'Fórmula'!D88,40)),IF(INDEX(properties!A$1:CB$87,'Fórmula'!F88,40)&lt;&gt;"",INDEX(properties!A$1:CB$87,'Fórmula'!F88,40)),IF(INDEX(properties!A$1:CB$87,'Fórmula'!H88,40)&lt;&gt;"",INDEX(properties!A$1:CB$87,'Fórmula'!H88,40)),IF(INDEX(properties!A$1:CB$87,'Fórmula'!J88,40)&lt;&gt;"",INDEX(properties!A$1:CB$87,'Fórmula'!J88,40)))</f>
        <v>0.286576</v>
      </c>
      <c r="EA88" s="121">
        <f t="array" ref="EA88">MAX(INDEX(properties!A$1:CB$87,'Fórmula'!B88,40),INDEX(properties!A$1:CB$87,'Fórmula'!D88,40),INDEX(properties!A$1:CB$87,'Fórmula'!F88,40),INDEX(properties!A$1:CB$87,'Fórmula'!H88,40),INDEX(properties!A$1:CB$87,'Fórmula'!J88,40))</f>
        <v>1.96</v>
      </c>
      <c r="EB88" s="121">
        <f t="array" ref="EB88">MIN(IF(INDEX(properties!A$1:CB$87,'Fórmula'!B88,40)=0,10^6,INDEX(properties!A$1:CB$87,'Fórmula'!B88,40)),IF(INDEX(properties!A$1:CB$87,'Fórmula'!D88,40)=0,10^6,INDEX(properties!A$1:CB$87,'Fórmula'!D88,40)),IF(INDEX(properties!A$1:CB$87,'Fórmula'!F88,40)=0,10^6,INDEX(properties!A$1:CB$87,'Fórmula'!F88,40)),IF(INDEX(properties!A$1:CB$87,'Fórmula'!H88,40)=0,10^6,INDEX(properties!A$1:CB$87,'Fórmula'!H88,40)),IF(INDEX(properties!A$1:CB$87,'Fórmula'!J88,40)=0,10^6,INDEX(properties!A$1:CB$87,'Fórmula'!J88,40)))</f>
        <v>0.73</v>
      </c>
      <c r="EC88" s="110">
        <f t="shared" si="22"/>
        <v>1.23</v>
      </c>
      <c r="ED88" s="111">
        <f t="array" ref="ED88">(('Fórmula'!C88)/('Fórmula'!C88+'Fórmula'!E88+'Fórmula'!G88+'Fórmula'!I88+'Fórmula'!K88))*(INDEX(properties!A$1:CB$87,'Fórmula'!B88,41))+(('Fórmula'!E88)/('Fórmula'!C88+'Fórmula'!E88+'Fórmula'!G88+'Fórmula'!I88+'Fórmula'!K88))*(INDEX(properties!A$1:CB$87,'Fórmula'!D88,41))+(('Fórmula'!G88)/('Fórmula'!C88+'Fórmula'!E88+'Fórmula'!G88+'Fórmula'!I88+'Fórmula'!K88))*(INDEX(properties!A$1:CB$87,'Fórmula'!F88,41))+(('Fórmula'!I88)/('Fórmula'!C88+'Fórmula'!E88+'Fórmula'!G88+'Fórmula'!I88+'Fórmula'!K88))*(INDEX(properties!A$1:CB$87,'Fórmula'!H88,41))+(('Fórmula'!K88)/('Fórmula'!C88+'Fórmula'!E88+'Fórmula'!G88+'Fórmula'!I88+'Fórmula'!K88))*(INDEX(properties!A$1:CB$87,'Fórmula'!J88,41))</f>
        <v>1.114615385</v>
      </c>
      <c r="EE88" s="111">
        <f t="array" ref="EE88">'Fórmula'!C88*(INDEX(properties!A$1:CB$87,'Fórmula'!B88,41))+'Fórmula'!E88*(INDEX(properties!A$1:CB$87,'Fórmula'!D88,41))+'Fórmula'!G88*(INDEX(properties!A$1:CB$87,'Fórmula'!F88,41))+'Fórmula'!I88*(INDEX(properties!A$1:CB$87,'Fórmula'!H88,41))+'Fórmula'!K88*(INDEX(properties!A$1:CB$87,'Fórmula'!J88,41))</f>
        <v>14.49</v>
      </c>
      <c r="EF88" s="111">
        <f t="array" ref="EF88">VARP(IF(INDEX(properties!A$1:CB$87,'Fórmula'!B88,41)&lt;&gt;"",INDEX(properties!A$1:CB$87,'Fórmula'!B88,41)),IF(INDEX(properties!A$1:CB$87,'Fórmula'!D88,41)&lt;&gt;"",INDEX(properties!A$1:CB$87,'Fórmula'!D88,41)),IF(INDEX(properties!A$1:CB$87,'Fórmula'!F88,41)&lt;&gt;"",INDEX(properties!A$1:CB$87,'Fórmula'!F88,41)),IF(INDEX(properties!A$1:CB$87,'Fórmula'!H88,41)&lt;&gt;"",INDEX(properties!A$1:CB$87,'Fórmula'!H88,41)),IF(INDEX(properties!A$1:CB$87,'Fórmula'!J88,41)&lt;&gt;"",INDEX(properties!A$1:CB$87,'Fórmula'!J88,41)))</f>
        <v>0.192656</v>
      </c>
      <c r="EG88" s="122">
        <f t="array" ref="EG88">MAX(INDEX(properties!A$1:CB$87,'Fórmula'!B88,41),INDEX(properties!A$1:CB$87,'Fórmula'!D88,41),INDEX(properties!A$1:CB$87,'Fórmula'!F88,41),INDEX(properties!A$1:CB$87,'Fórmula'!H88,41),INDEX(properties!A$1:CB$87,'Fórmula'!J88,41))</f>
        <v>1.52</v>
      </c>
      <c r="EH88" s="122">
        <f t="array" ref="EH88">MIN(IF(INDEX(properties!A$1:CB$87,'Fórmula'!B88,41)=0,10^6,INDEX(properties!A$1:CB$87,'Fórmula'!B88,41)),IF(INDEX(properties!A$1:CB$87,'Fórmula'!D88,41)=0,10^6,INDEX(properties!A$1:CB$87,'Fórmula'!D88,41)),IF(INDEX(properties!A$1:CB$87,'Fórmula'!F88,41)=0,10^6,INDEX(properties!A$1:CB$87,'Fórmula'!F88,41)),IF(INDEX(properties!A$1:CB$87,'Fórmula'!H88,41)=0,10^6,INDEX(properties!A$1:CB$87,'Fórmula'!H88,41)),IF(INDEX(properties!A$1:CB$87,'Fórmula'!J88,41)=0,10^6,INDEX(properties!A$1:CB$87,'Fórmula'!J88,41)))</f>
        <v>0.41</v>
      </c>
      <c r="EI88" s="111">
        <f t="shared" si="23"/>
        <v>1.11</v>
      </c>
      <c r="EJ88" s="112">
        <f t="array" ref="EJ88">(('Fórmula'!C88)/('Fórmula'!C88+'Fórmula'!E88+'Fórmula'!G88+'Fórmula'!I88+'Fórmula'!K88))*(INDEX(properties!A$1:CB$87,'Fórmula'!B88,45))+(('Fórmula'!E88)/('Fórmula'!C88+'Fórmula'!E88+'Fórmula'!G88+'Fórmula'!I88+'Fórmula'!K88))*(INDEX(properties!A$1:CB$87,'Fórmula'!D88,45))+(('Fórmula'!G88)/('Fórmula'!C88+'Fórmula'!E88+'Fórmula'!G88+'Fórmula'!I88+'Fórmula'!K88))*(INDEX(properties!A$1:CB$87,'Fórmula'!F88,45))+(('Fórmula'!I88)/('Fórmula'!C88+'Fórmula'!E88+'Fórmula'!G88+'Fórmula'!I88+'Fórmula'!K88))*(INDEX(properties!A$1:CB$87,'Fórmula'!H88,45))+(('Fórmula'!K88)/('Fórmula'!C88+'Fórmula'!E88+'Fórmula'!G88+'Fórmula'!I88+'Fórmula'!K88))*(INDEX(properties!A$1:CB$87,'Fórmula'!J88,45))</f>
        <v>1.072307692</v>
      </c>
      <c r="EK88" s="112">
        <f t="array" ref="EK88">'Fórmula'!C88*(INDEX(properties!A$1:CB$87,'Fórmula'!B88,45))+'Fórmula'!E88*(INDEX(properties!A$1:CB$87,'Fórmula'!D88,45))+'Fórmula'!G88*(INDEX(properties!A$1:CB$87,'Fórmula'!F88,45))+'Fórmula'!I88*(INDEX(properties!A$1:CB$87,'Fórmula'!H88,45))+'Fórmula'!K88*(INDEX(properties!A$1:CB$87,'Fórmula'!J88,45))</f>
        <v>13.94</v>
      </c>
      <c r="EL88" s="112">
        <f t="array" ref="EL88">VARP(IF(INDEX(properties!A$1:CB$87,'Fórmula'!B88,45)&lt;&gt;"",INDEX(properties!A$1:CB$87,'Fórmula'!B88,45)),IF(INDEX(properties!A$1:CB$87,'Fórmula'!D88,45)&lt;&gt;"",INDEX(properties!A$1:CB$87,'Fórmula'!D88,45)),IF(INDEX(properties!A$1:CB$87,'Fórmula'!F88,45)&lt;&gt;"",INDEX(properties!A$1:CB$87,'Fórmula'!F88,45)),IF(INDEX(properties!A$1:CB$87,'Fórmula'!H88,45)&lt;&gt;"",INDEX(properties!A$1:CB$87,'Fórmula'!H88,45)),IF(INDEX(properties!A$1:CB$87,'Fórmula'!J88,45)&lt;&gt;"",INDEX(properties!A$1:CB$87,'Fórmula'!J88,45)))</f>
        <v>1.721816</v>
      </c>
      <c r="EM88" s="123">
        <f t="array" ref="EM88">MAX(INDEX(properties!A$1:CB$87,'Fórmula'!B88,45),INDEX(properties!A$1:CB$87,'Fórmula'!D88,45),INDEX(properties!A$1:CB$87,'Fórmula'!F88,45),INDEX(properties!A$1:CB$87,'Fórmula'!H88,45),INDEX(properties!A$1:CB$87,'Fórmula'!J88,45))</f>
        <v>3.69</v>
      </c>
      <c r="EN88" s="123">
        <f t="array" ref="EN88">MIN(IF(INDEX(properties!A$1:CB$87,'Fórmula'!B88,45)=0,10^6,INDEX(properties!A$1:CB$87,'Fórmula'!B88,45)),IF(INDEX(properties!A$1:CB$87,'Fórmula'!D88,45)=0,10^6,INDEX(properties!A$1:CB$87,'Fórmula'!D88,45)),IF(INDEX(properties!A$1:CB$87,'Fórmula'!F88,45)=0,10^6,INDEX(properties!A$1:CB$87,'Fórmula'!F88,45)),IF(INDEX(properties!A$1:CB$87,'Fórmula'!H88,45)=0,10^6,INDEX(properties!A$1:CB$87,'Fórmula'!H88,45)),IF(INDEX(properties!A$1:CB$87,'Fórmula'!J88,45)=0,10^6,INDEX(properties!A$1:CB$87,'Fórmula'!J88,45)))</f>
        <v>0.47</v>
      </c>
      <c r="EO88" s="112">
        <f t="shared" si="24"/>
        <v>3.22</v>
      </c>
      <c r="EP88" s="113">
        <f t="array" ref="EP88">(('Fórmula'!C88)/('Fórmula'!C88+'Fórmula'!E88+'Fórmula'!G88+'Fórmula'!I88+'Fórmula'!K88))*(INDEX(properties!A$1:CB$87,'Fórmula'!B88,46))+(('Fórmula'!E88)/('Fórmula'!C88+'Fórmula'!E88+'Fórmula'!G88+'Fórmula'!I88+'Fórmula'!K88))*(INDEX(properties!A$1:CB$87,'Fórmula'!D88,46))+(('Fórmula'!G88)/('Fórmula'!C88+'Fórmula'!E88+'Fórmula'!G88+'Fórmula'!I88+'Fórmula'!K88))*(INDEX(properties!A$1:CB$87,'Fórmula'!F88,46))+(('Fórmula'!I88)/('Fórmula'!C88+'Fórmula'!E88+'Fórmula'!G88+'Fórmula'!I88+'Fórmula'!K88))*(INDEX(properties!A$1:CB$87,'Fórmula'!H88,46))+(('Fórmula'!K88)/('Fórmula'!C88+'Fórmula'!E88+'Fórmula'!G88+'Fórmula'!I88+'Fórmula'!K88))*(INDEX(properties!A$1:CB$87,'Fórmula'!J88,46))</f>
        <v>1.03</v>
      </c>
      <c r="EQ88" s="113">
        <f t="array" ref="EQ88">'Fórmula'!C88*(INDEX(properties!A$1:CB$87,'Fórmula'!B88,46))+'Fórmula'!E88*(INDEX(properties!A$1:CB$87,'Fórmula'!D88,46))+'Fórmula'!G88*(INDEX(properties!A$1:CB$87,'Fórmula'!F88,46))+'Fórmula'!I88*(INDEX(properties!A$1:CB$87,'Fórmula'!H88,46))+'Fórmula'!K88*(INDEX(properties!A$1:CB$87,'Fórmula'!J88,46))</f>
        <v>13.39</v>
      </c>
      <c r="ER88" s="113">
        <f t="array" ref="ER88">VARP(IF(INDEX(properties!A$1:CB$87,'Fórmula'!B88,46)&lt;&gt;"",INDEX(properties!A$1:CB$87,'Fórmula'!B88,46)),IF(INDEX(properties!A$1:CB$87,'Fórmula'!D88,46)&lt;&gt;"",INDEX(properties!A$1:CB$87,'Fórmula'!D88,46)),IF(INDEX(properties!A$1:CB$87,'Fórmula'!F88,46)&lt;&gt;"",INDEX(properties!A$1:CB$87,'Fórmula'!F88,46)),IF(INDEX(properties!A$1:CB$87,'Fórmula'!H88,46)&lt;&gt;"",INDEX(properties!A$1:CB$87,'Fórmula'!H88,46)),IF(INDEX(properties!A$1:CB$87,'Fórmula'!J88,46)&lt;&gt;"",INDEX(properties!A$1:CB$87,'Fórmula'!J88,46)))</f>
        <v>0.285016</v>
      </c>
      <c r="ES88" s="124">
        <f t="array" ref="ES88">MAX(INDEX(properties!A$1:CB$87,'Fórmula'!B88,46),INDEX(properties!A$1:CB$87,'Fórmula'!D88,46),INDEX(properties!A$1:CB$87,'Fórmula'!F88,46),INDEX(properties!A$1:CB$87,'Fórmula'!H88,46),INDEX(properties!A$1:CB$87,'Fórmula'!J88,46))</f>
        <v>1.52</v>
      </c>
      <c r="ET88" s="124">
        <f t="array" ref="ET88">MIN(IF(INDEX(properties!A$1:CB$87,'Fórmula'!B88,46)=0,10^6,INDEX(properties!A$1:CB$87,'Fórmula'!B88,46)),IF(INDEX(properties!A$1:CB$87,'Fórmula'!D88,46)=0,10^6,INDEX(properties!A$1:CB$87,'Fórmula'!D88,46)),IF(INDEX(properties!A$1:CB$87,'Fórmula'!F88,46)=0,10^6,INDEX(properties!A$1:CB$87,'Fórmula'!F88,46)),IF(INDEX(properties!A$1:CB$87,'Fórmula'!H88,46)=0,10^6,INDEX(properties!A$1:CB$87,'Fórmula'!H88,46)),IF(INDEX(properties!A$1:CB$87,'Fórmula'!J88,46)=0,10^6,INDEX(properties!A$1:CB$87,'Fórmula'!J88,46)))</f>
        <v>0.25</v>
      </c>
      <c r="EU88" s="113">
        <f t="shared" si="25"/>
        <v>1.27</v>
      </c>
      <c r="EV88" s="114">
        <f t="array" ref="EV88">(('Fórmula'!C88)/('Fórmula'!C88+'Fórmula'!E88+'Fórmula'!G88+'Fórmula'!I88+'Fórmula'!K88))*(INDEX(properties!A$1:CB$87,'Fórmula'!B88,52))+(('Fórmula'!E88)/('Fórmula'!C88+'Fórmula'!E88+'Fórmula'!G88+'Fórmula'!I88+'Fórmula'!K88))*(INDEX(properties!A$1:CB$87,'Fórmula'!D88,52))+(('Fórmula'!G88)/('Fórmula'!C88+'Fórmula'!E88+'Fórmula'!G88+'Fórmula'!I88+'Fórmula'!K88))*(INDEX(properties!A$1:CB$87,'Fórmula'!F88,52))+(('Fórmula'!I88)/('Fórmula'!C88+'Fórmula'!E88+'Fórmula'!G88+'Fórmula'!I88+'Fórmula'!K88))*(INDEX(properties!A$1:CB$87,'Fórmula'!H88,52))+(('Fórmula'!K88)/('Fórmula'!C88+'Fórmula'!E88+'Fórmula'!G88+'Fórmula'!I88+'Fórmula'!K88))*(INDEX(properties!A$1:CB$87,'Fórmula'!J88,52))</f>
        <v>6.734153846</v>
      </c>
      <c r="EW88" s="114">
        <f t="array" ref="EW88">'Fórmula'!C88*(INDEX(properties!A$1:CB$87,'Fórmula'!B88,52))+'Fórmula'!E88*(INDEX(properties!A$1:CB$87,'Fórmula'!D88,52))+'Fórmula'!G88*(INDEX(properties!A$1:CB$87,'Fórmula'!F88,52))+'Fórmula'!I88*(INDEX(properties!A$1:CB$87,'Fórmula'!H88,52))+'Fórmula'!K88*(INDEX(properties!A$1:CB$87,'Fórmula'!J88,52))</f>
        <v>87.544</v>
      </c>
      <c r="EX88" s="114">
        <f t="array" ref="EX88">VARP(IF(INDEX(properties!A$1:CB$87,'Fórmula'!B88,52)&lt;&gt;"",INDEX(properties!A$1:CB$87,'Fórmula'!B88,52)),IF(INDEX(properties!A$1:CB$87,'Fórmula'!D88,52)&lt;&gt;"",INDEX(properties!A$1:CB$87,'Fórmula'!D88,52)),IF(INDEX(properties!A$1:CB$87,'Fórmula'!F88,52)&lt;&gt;"",INDEX(properties!A$1:CB$87,'Fórmula'!F88,52)),IF(INDEX(properties!A$1:CB$87,'Fórmula'!H88,52)&lt;&gt;"",INDEX(properties!A$1:CB$87,'Fórmula'!H88,52)),IF(INDEX(properties!A$1:CB$87,'Fórmula'!J88,52)&lt;&gt;"",INDEX(properties!A$1:CB$87,'Fórmula'!J88,52)))</f>
        <v>287.7632718</v>
      </c>
      <c r="EY88" s="114">
        <f t="array" ref="EY88">MAX(INDEX(properties!A$1:CB$87,'Fórmula'!B88,52),INDEX(properties!A$1:CB$87,'Fórmula'!D88,52),INDEX(properties!A$1:CB$87,'Fórmula'!F88,52),INDEX(properties!A$1:CB$87,'Fórmula'!H88,52),INDEX(properties!A$1:CB$87,'Fórmula'!J88,52))</f>
        <v>43.4</v>
      </c>
      <c r="EZ88" s="114">
        <f t="array" ref="EZ88">MIN(IF(INDEX(properties!A$1:CB$87,'Fórmula'!B88,52)=0,10^6,INDEX(properties!A$1:CB$87,'Fórmula'!B88,52)),IF(INDEX(properties!A$1:CB$87,'Fórmula'!D88,52)=0,10^6,INDEX(properties!A$1:CB$87,'Fórmula'!D88,52)),IF(INDEX(properties!A$1:CB$87,'Fórmula'!F88,52)=0,10^6,INDEX(properties!A$1:CB$87,'Fórmula'!F88,52)),IF(INDEX(properties!A$1:CB$87,'Fórmula'!H88,52)=0,10^6,INDEX(properties!A$1:CB$87,'Fórmula'!H88,52)),IF(INDEX(properties!A$1:CB$87,'Fórmula'!J88,52)=0,10^6,INDEX(properties!A$1:CB$87,'Fórmula'!J88,52)))</f>
        <v>0.793</v>
      </c>
      <c r="FA88" s="114">
        <f t="shared" si="26"/>
        <v>42.607</v>
      </c>
      <c r="FB88" s="115">
        <f t="array" ref="FB88">(('Fórmula'!C88)/('Fórmula'!C88+'Fórmula'!E88+'Fórmula'!G88+'Fórmula'!I88+'Fórmula'!K88))*(INDEX(properties!A$1:CB$87,'Fórmula'!B88,53))+(('Fórmula'!E88)/('Fórmula'!C88+'Fórmula'!E88+'Fórmula'!G88+'Fórmula'!I88+'Fórmula'!K88))*(INDEX(properties!A$1:CB$87,'Fórmula'!D88,53))+(('Fórmula'!G88)/('Fórmula'!C88+'Fórmula'!E88+'Fórmula'!G88+'Fórmula'!I88+'Fórmula'!K88))*(INDEX(properties!A$1:CB$87,'Fórmula'!F88,53))+(('Fórmula'!I88)/('Fórmula'!C88+'Fórmula'!E88+'Fórmula'!G88+'Fórmula'!I88+'Fórmula'!K88))*(INDEX(properties!A$1:CB$87,'Fórmula'!H88,53))+(('Fórmula'!K88)/('Fórmula'!C88+'Fórmula'!E88+'Fórmula'!G88+'Fórmula'!I88+'Fórmula'!K88))*(INDEX(properties!A$1:CB$87,'Fórmula'!J88,53))</f>
        <v>369.4769231</v>
      </c>
      <c r="FC88" s="115">
        <f t="array" ref="FC88">'Fórmula'!C88*(INDEX(properties!A$1:CB$87,'Fórmula'!B88,53))+'Fórmula'!E88*(INDEX(properties!A$1:CB$87,'Fórmula'!D88,53))+'Fórmula'!G88*(INDEX(properties!A$1:CB$87,'Fórmula'!F88,53))+'Fórmula'!I88*(INDEX(properties!A$1:CB$87,'Fórmula'!H88,53))+'Fórmula'!K88*(INDEX(properties!A$1:CB$87,'Fórmula'!J88,53))</f>
        <v>4803.2</v>
      </c>
      <c r="FD88" s="115">
        <f t="array" ref="FD88">VARP(IF(INDEX(properties!A$1:CB$87,'Fórmula'!B88,53)&lt;&gt;"",INDEX(properties!A$1:CB$87,'Fórmula'!B88,53)),IF(INDEX(properties!A$1:CB$87,'Fórmula'!D88,53)&lt;&gt;"",INDEX(properties!A$1:CB$87,'Fórmula'!D88,53)),IF(INDEX(properties!A$1:CB$87,'Fórmula'!F88,53)&lt;&gt;"",INDEX(properties!A$1:CB$87,'Fórmula'!F88,53)),IF(INDEX(properties!A$1:CB$87,'Fórmula'!H88,53)&lt;&gt;"",INDEX(properties!A$1:CB$87,'Fórmula'!H88,53)),IF(INDEX(properties!A$1:CB$87,'Fórmula'!J88,53)&lt;&gt;"",INDEX(properties!A$1:CB$87,'Fórmula'!J88,53)))</f>
        <v>693813.3744</v>
      </c>
      <c r="FE88" s="115">
        <f t="array" ref="FE88">MAX(INDEX(properties!A$1:CB$87,'Fórmula'!B88,53),INDEX(properties!A$1:CB$87,'Fórmula'!D88,53),INDEX(properties!A$1:CB$87,'Fórmula'!F88,53),INDEX(properties!A$1:CB$87,'Fórmula'!H88,53),INDEX(properties!A$1:CB$87,'Fórmula'!J88,53))</f>
        <v>2352.15</v>
      </c>
      <c r="FF88" s="115">
        <f t="array" ref="FF88">MIN(IF(INDEX(properties!A$1:CB$87,'Fórmula'!B88,53)=0,10^6,INDEX(properties!A$1:CB$87,'Fórmula'!B88,53)),IF(INDEX(properties!A$1:CB$87,'Fórmula'!D88,53)=0,10^6,INDEX(properties!A$1:CB$87,'Fórmula'!D88,53)),IF(INDEX(properties!A$1:CB$87,'Fórmula'!F88,53)=0,10^6,INDEX(properties!A$1:CB$87,'Fórmula'!F88,53)),IF(INDEX(properties!A$1:CB$87,'Fórmula'!H88,53)=0,10^6,INDEX(properties!A$1:CB$87,'Fórmula'!H88,53)),IF(INDEX(properties!A$1:CB$87,'Fórmula'!J88,53)=0,10^6,INDEX(properties!A$1:CB$87,'Fórmula'!J88,53)))</f>
        <v>54.75</v>
      </c>
      <c r="FG88" s="115">
        <f t="shared" si="27"/>
        <v>2297.4</v>
      </c>
      <c r="FH88" s="117">
        <f t="array" ref="FH88">(('Fórmula'!C88)/('Fórmula'!C88+'Fórmula'!E88+'Fórmula'!G88+'Fórmula'!I88+'Fórmula'!K88))*(INDEX(properties!A$1:CB$87,'Fórmula'!B88,54))+(('Fórmula'!E88)/('Fórmula'!C88+'Fórmula'!E88+'Fórmula'!G88+'Fórmula'!I88+'Fórmula'!K88))*(INDEX(properties!A$1:CB$87,'Fórmula'!D88,54))+(('Fórmula'!G88)/('Fórmula'!C88+'Fórmula'!E88+'Fórmula'!G88+'Fórmula'!I88+'Fórmula'!K88))*(INDEX(properties!A$1:CB$87,'Fórmula'!F88,54))+(('Fórmula'!I88)/('Fórmula'!C88+'Fórmula'!E88+'Fórmula'!G88+'Fórmula'!I88+'Fórmula'!K88))*(INDEX(properties!A$1:CB$87,'Fórmula'!H88,54))+(('Fórmula'!K88)/('Fórmula'!C88+'Fórmula'!E88+'Fórmula'!G88+'Fórmula'!I88+'Fórmula'!K88))*(INDEX(properties!A$1:CB$87,'Fórmula'!J88,54))</f>
        <v>676.3692308</v>
      </c>
      <c r="FI88" s="117">
        <f t="array" ref="FI88">'Fórmula'!C88*(INDEX(properties!A$1:CB$87,'Fórmula'!B88,54))+'Fórmula'!E88*(INDEX(properties!A$1:CB$87,'Fórmula'!D88,54))+'Fórmula'!G88*(INDEX(properties!A$1:CB$87,'Fórmula'!F88,54))+'Fórmula'!I88*(INDEX(properties!A$1:CB$87,'Fórmula'!H88,54))+'Fórmula'!K88*(INDEX(properties!A$1:CB$87,'Fórmula'!J88,54))</f>
        <v>8792.8</v>
      </c>
      <c r="FJ88" s="117">
        <f t="array" ref="FJ88">VARP(IF(INDEX(properties!A$1:CB$87,'Fórmula'!B88,54)&lt;&gt;"",INDEX(properties!A$1:CB$87,'Fórmula'!B88,54)),IF(INDEX(properties!A$1:CB$87,'Fórmula'!D88,54)&lt;&gt;"",INDEX(properties!A$1:CB$87,'Fórmula'!D88,54)),IF(INDEX(properties!A$1:CB$87,'Fórmula'!F88,54)&lt;&gt;"",INDEX(properties!A$1:CB$87,'Fórmula'!F88,54)),IF(INDEX(properties!A$1:CB$87,'Fórmula'!H88,54)&lt;&gt;"",INDEX(properties!A$1:CB$87,'Fórmula'!H88,54)),IF(INDEX(properties!A$1:CB$87,'Fórmula'!J88,54)&lt;&gt;"",INDEX(properties!A$1:CB$87,'Fórmula'!J88,54)))</f>
        <v>2165022.64</v>
      </c>
      <c r="FK88" s="117">
        <f t="array" ref="FK88">MAX(INDEX(properties!A$1:CB$87,'Fórmula'!B88,54),INDEX(properties!A$1:CB$87,'Fórmula'!D88,54),INDEX(properties!A$1:CB$87,'Fórmula'!F88,54),INDEX(properties!A$1:CB$87,'Fórmula'!H88,54),INDEX(properties!A$1:CB$87,'Fórmula'!J88,54))</f>
        <v>4275</v>
      </c>
      <c r="FL88" s="117">
        <f t="array" ref="FL88">MIN(IF(INDEX(properties!A$1:CB$87,'Fórmula'!B88,54)=0,10^6,INDEX(properties!A$1:CB$87,'Fórmula'!B88,54)),IF(INDEX(properties!A$1:CB$87,'Fórmula'!D88,54)=0,10^6,INDEX(properties!A$1:CB$87,'Fórmula'!D88,54)),IF(INDEX(properties!A$1:CB$87,'Fórmula'!F88,54)=0,10^6,INDEX(properties!A$1:CB$87,'Fórmula'!F88,54)),IF(INDEX(properties!A$1:CB$87,'Fórmula'!H88,54)=0,10^6,INDEX(properties!A$1:CB$87,'Fórmula'!H88,54)),IF(INDEX(properties!A$1:CB$87,'Fórmula'!J88,54)=0,10^6,INDEX(properties!A$1:CB$87,'Fórmula'!J88,54)))</f>
        <v>90.15</v>
      </c>
      <c r="FM88" s="117">
        <f t="shared" si="28"/>
        <v>4184.85</v>
      </c>
      <c r="FN88" s="118">
        <f t="array" ref="FN88">(('Fórmula'!C88)/('Fórmula'!C88+'Fórmula'!E88+'Fórmula'!G88+'Fórmula'!I88+'Fórmula'!K88))*(INDEX(properties!A$1:CB$87,'Fórmula'!B88,55))+(('Fórmula'!E88)/('Fórmula'!C88+'Fórmula'!E88+'Fórmula'!G88+'Fórmula'!I88+'Fórmula'!K88))*(INDEX(properties!A$1:CB$87,'Fórmula'!D88,55))+(('Fórmula'!G88)/('Fórmula'!C88+'Fórmula'!E88+'Fórmula'!G88+'Fórmula'!I88+'Fórmula'!K88))*(INDEX(properties!A$1:CB$87,'Fórmula'!F88,55))+(('Fórmula'!I88)/('Fórmula'!C88+'Fórmula'!E88+'Fórmula'!G88+'Fórmula'!I88+'Fórmula'!K88))*(INDEX(properties!A$1:CB$87,'Fórmula'!H88,55))+(('Fórmula'!K88)/('Fórmula'!C88+'Fórmula'!E88+'Fórmula'!G88+'Fórmula'!I88+'Fórmula'!K88))*(INDEX(properties!A$1:CB$87,'Fórmula'!J88,55))</f>
        <v>0.7293415385</v>
      </c>
      <c r="FO88" s="118">
        <f t="array" ref="FO88">'Fórmula'!C88*(INDEX(properties!A$1:CB$87,'Fórmula'!B88,55))+'Fórmula'!E88*(INDEX(properties!A$1:CB$87,'Fórmula'!D88,54))+'Fórmula'!G88*(INDEX(properties!A$1:CB$87,'Fórmula'!F88,55))+'Fórmula'!I88*(INDEX(properties!A$1:CB$87,'Fórmula'!H88,55))+'Fórmula'!K88*(INDEX(properties!A$1:CB$87,'Fórmula'!J88,55))</f>
        <v>1664.00144</v>
      </c>
      <c r="FP88" s="118">
        <f t="array" ref="FP88">VARP(IF(INDEX(properties!A$1:CB$87,'Fórmula'!B88,55)&lt;&gt;"",INDEX(properties!A$1:CB$87,'Fórmula'!B88,55)),IF(INDEX(properties!A$1:CB$87,'Fórmula'!D88,55)&lt;&gt;"",INDEX(properties!A$1:CB$87,'Fórmula'!D88,55)),IF(INDEX(properties!A$1:CB$87,'Fórmula'!F88,55)&lt;&gt;"",INDEX(properties!A$1:CB$87,'Fórmula'!F88,55)),IF(INDEX(properties!A$1:CB$87,'Fórmula'!H88,55)&lt;&gt;"",INDEX(properties!A$1:CB$87,'Fórmula'!H88,55)),IF(INDEX(properties!A$1:CB$87,'Fórmula'!J88,55)&lt;&gt;"",INDEX(properties!A$1:CB$87,'Fórmula'!J88,55)))</f>
        <v>0.9471251672</v>
      </c>
      <c r="FQ88" s="118">
        <f t="array" ref="FQ88">MAX(INDEX(properties!A$1:CB$87,'Fórmula'!B88,55),INDEX(properties!A$1:CB$87,'Fórmula'!D88,55),INDEX(properties!A$1:CB$87,'Fórmula'!F88,55),INDEX(properties!A$1:CB$87,'Fórmula'!H88,55),INDEX(properties!A$1:CB$87,'Fórmula'!J88,55))</f>
        <v>2.63</v>
      </c>
      <c r="FR88" s="118">
        <f t="array" ref="FR88">MIN(IF(INDEX(properties!A$1:CB$87,'Fórmula'!B88,55)=0,10^6,INDEX(properties!A$1:CB$87,'Fórmula'!B88,55)),IF(INDEX(properties!A$1:CB$87,'Fórmula'!D88,55)=0,10^6,INDEX(properties!A$1:CB$87,'Fórmula'!D88,55)),IF(INDEX(properties!A$1:CB$87,'Fórmula'!F88,55)=0,10^6,INDEX(properties!A$1:CB$87,'Fórmula'!F88,55)),IF(INDEX(properties!A$1:CB$87,'Fórmula'!H88,55)=0,10^6,INDEX(properties!A$1:CB$87,'Fórmula'!H88,55)),IF(INDEX(properties!A$1:CB$87,'Fórmula'!J88,55)=0,10^6,INDEX(properties!A$1:CB$87,'Fórmula'!J88,55)))</f>
        <v>0.00143</v>
      </c>
      <c r="FS88" s="118">
        <f t="shared" si="29"/>
        <v>2.62857</v>
      </c>
      <c r="FT88" s="119">
        <f t="array" ref="FT88">(('Fórmula'!C88)/('Fórmula'!C88+'Fórmula'!E88+'Fórmula'!G88+'Fórmula'!I88+'Fórmula'!K88))*(INDEX(properties!A$1:CB$87,'Fórmula'!B88,56))+(('Fórmula'!E88)/('Fórmula'!C88+'Fórmula'!E88+'Fórmula'!G88+'Fórmula'!I88+'Fórmula'!K88))*(INDEX(properties!A$1:CB$87,'Fórmula'!D88,56))+(('Fórmula'!G88)/('Fórmula'!C88+'Fórmula'!E88+'Fórmula'!G88+'Fórmula'!I88+'Fórmula'!K88))*(INDEX(properties!A$1:CB$87,'Fórmula'!F88,56))+(('Fórmula'!I88)/('Fórmula'!C88+'Fórmula'!E88+'Fórmula'!G88+'Fórmula'!I88+'Fórmula'!K88))*(INDEX(properties!A$1:CB$87,'Fórmula'!H88,56))+(('Fórmula'!K88)/('Fórmula'!C88+'Fórmula'!E88+'Fórmula'!G88+'Fórmula'!I88+'Fórmula'!K88))*(INDEX(properties!A$1:CB$87,'Fórmula'!J88,56))</f>
        <v>0.8438461538</v>
      </c>
      <c r="FU88" s="119">
        <f t="array" ref="FU88">'Fórmula'!C88*(INDEX(properties!A$1:CB$87,'Fórmula'!B88,56))+'Fórmula'!E88*(INDEX(properties!A$1:CB$87,'Fórmula'!D88,56))+'Fórmula'!G88*(INDEX(properties!A$1:CB$87,'Fórmula'!F88,56))+'Fórmula'!I88*(INDEX(properties!A$1:CB$87,'Fórmula'!H88,56))+'Fórmula'!K88*(INDEX(properties!A$1:CB$87,'Fórmula'!J88,56))</f>
        <v>10.97</v>
      </c>
      <c r="FV88" s="119">
        <f t="array" ref="FV88">VARP(IF(INDEX(properties!A$1:CB$87,'Fórmula'!B88,56)&lt;&gt;"",INDEX(properties!A$1:CB$87,'Fórmula'!B88,56)),IF(INDEX(properties!A$1:CB$87,'Fórmula'!D88,56)&lt;&gt;"",INDEX(properties!A$1:CB$87,'Fórmula'!D88,56)),IF(INDEX(properties!A$1:CB$87,'Fórmula'!F88,56)&lt;&gt;"",INDEX(properties!A$1:CB$87,'Fórmula'!F88,56)),IF(INDEX(properties!A$1:CB$87,'Fórmula'!H88,56)&lt;&gt;"",INDEX(properties!A$1:CB$87,'Fórmula'!H88,56)),IF(INDEX(properties!A$1:CB$87,'Fórmula'!J88,56)&lt;&gt;"",INDEX(properties!A$1:CB$87,'Fórmula'!J88,56)))</f>
        <v>0.060936</v>
      </c>
      <c r="FW88" s="119">
        <f t="array" ref="FW88">MAX(INDEX(properties!A$1:CB$87,'Fórmula'!B88,56),INDEX(properties!A$1:CB$87,'Fórmula'!D88,56),INDEX(properties!A$1:CB$87,'Fórmula'!F88,56),INDEX(properties!A$1:CB$87,'Fórmula'!H88,56),INDEX(properties!A$1:CB$87,'Fórmula'!J88,56))</f>
        <v>1.02</v>
      </c>
      <c r="FX88" s="119">
        <f t="array" ref="FX88">MIN(IF(INDEX(properties!A$1:CB$87,'Fórmula'!B88,56)=0,10^6,INDEX(properties!A$1:CB$87,'Fórmula'!B88,56)),IF(INDEX(properties!A$1:CB$87,'Fórmula'!D88,56)=0,10^6,INDEX(properties!A$1:CB$87,'Fórmula'!D88,56)),IF(INDEX(properties!A$1:CB$87,'Fórmula'!F88,56)=0,10^6,INDEX(properties!A$1:CB$87,'Fórmula'!F88,56)),IF(INDEX(properties!A$1:CB$87,'Fórmula'!H88,56)=0,10^6,INDEX(properties!A$1:CB$87,'Fórmula'!H88,56)),IF(INDEX(properties!A$1:CB$87,'Fórmula'!J88,56)=0,10^6,INDEX(properties!A$1:CB$87,'Fórmula'!J88,56)))</f>
        <v>0.3</v>
      </c>
      <c r="FY88" s="119">
        <f t="shared" si="30"/>
        <v>0.72</v>
      </c>
      <c r="FZ88" s="104">
        <f t="array" ref="FZ88">(('Fórmula'!C88)/('Fórmula'!C88+'Fórmula'!E88+'Fórmula'!G88+'Fórmula'!I88+'Fórmula'!K88))*(INDEX(properties!A$1:CB$87,'Fórmula'!B88,57))+(('Fórmula'!E88)/('Fórmula'!C88+'Fórmula'!E88+'Fórmula'!G88+'Fórmula'!I88+'Fórmula'!K88))*(INDEX(properties!A$1:CB$87,'Fórmula'!D88,57))+(('Fórmula'!G88)/('Fórmula'!C88+'Fórmula'!E88+'Fórmula'!G88+'Fórmula'!I88+'Fórmula'!K88))*(INDEX(properties!A$1:CB$87,'Fórmula'!F88,57))+(('Fórmula'!I88)/('Fórmula'!C88+'Fórmula'!E88+'Fórmula'!G88+'Fórmula'!I88+'Fórmula'!K88))*(INDEX(properties!A$1:CB$87,'Fórmula'!H88,57))+(('Fórmula'!K88)/('Fórmula'!C88+'Fórmula'!E88+'Fórmula'!G88+'Fórmula'!I88+'Fórmula'!K88))*(INDEX(properties!A$1:CB$87,'Fórmula'!J88,57))</f>
        <v>4.917593846</v>
      </c>
      <c r="GA88" s="104">
        <f t="array" ref="GA88">'Fórmula'!C88*(INDEX(properties!A$1:CB$87,'Fórmula'!B88,57))+'Fórmula'!E88*(INDEX(properties!A$1:CB$87,'Fórmula'!D88,57))+'Fórmula'!G88*(INDEX(properties!A$1:CB$87,'Fórmula'!F88,57))+'Fórmula'!I88*(INDEX(properties!A$1:CB$87,'Fórmula'!H88,57))+'Fórmula'!K88*(INDEX(properties!A$1:CB$87,'Fórmula'!J88,57))</f>
        <v>63.92872</v>
      </c>
      <c r="GB88" s="104">
        <f t="array" ref="GB88">VARP(IF(INDEX(properties!A$1:CB$87,'Fórmula'!B88,57)&lt;&gt;"",INDEX(properties!A$1:CB$87,'Fórmula'!B88,57)),IF(INDEX(properties!A$1:CB$87,'Fórmula'!D88,57)&lt;&gt;"",INDEX(properties!A$1:CB$87,'Fórmula'!D88,57)),IF(INDEX(properties!A$1:CB$87,'Fórmula'!F88,57)&lt;&gt;"",INDEX(properties!A$1:CB$87,'Fórmula'!F88,57)),IF(INDEX(properties!A$1:CB$87,'Fórmula'!H88,57)&lt;&gt;"",INDEX(properties!A$1:CB$87,'Fórmula'!H88,57)),IF(INDEX(properties!A$1:CB$87,'Fórmula'!J88,57)&lt;&gt;"",INDEX(properties!A$1:CB$87,'Fórmula'!J88,57)))</f>
        <v>366.6290626</v>
      </c>
      <c r="GC88" s="104">
        <f t="array" ref="GC88">MAX(INDEX(properties!A$1:CB$87,'Fórmula'!B88,57),INDEX(properties!A$1:CB$87,'Fórmula'!D88,57),INDEX(properties!A$1:CB$87,'Fórmula'!F88,57),INDEX(properties!A$1:CB$87,'Fórmula'!H88,57),INDEX(properties!A$1:CB$87,'Fórmula'!J88,57))</f>
        <v>50.2</v>
      </c>
      <c r="GD88" s="104">
        <f t="array" ref="GD88">MIN(IF(INDEX(properties!A$1:CB$87,'Fórmula'!B88,57)=0,10^6,INDEX(properties!A$1:CB$87,'Fórmula'!B88,57)),IF(INDEX(properties!A$1:CB$87,'Fórmula'!D88,57)=0,10^6,INDEX(properties!A$1:CB$87,'Fórmula'!D88,57)),IF(INDEX(properties!A$1:CB$87,'Fórmula'!F88,57)=0,10^6,INDEX(properties!A$1:CB$87,'Fórmula'!F88,57)),IF(INDEX(properties!A$1:CB$87,'Fórmula'!H88,57)=0,10^6,INDEX(properties!A$1:CB$87,'Fórmula'!H88,57)),IF(INDEX(properties!A$1:CB$87,'Fórmula'!J88,57)=0,10^6,INDEX(properties!A$1:CB$87,'Fórmula'!J88,57)))</f>
        <v>0.22259</v>
      </c>
      <c r="GE88" s="104">
        <f t="shared" si="31"/>
        <v>49.97741</v>
      </c>
      <c r="GF88" s="105">
        <f t="array" ref="GF88">(('Fórmula'!C88)/('Fórmula'!C88+'Fórmula'!E88+'Fórmula'!G88+'Fórmula'!I88+'Fórmula'!K88))*(INDEX(properties!A$1:CB$87,'Fórmula'!B88,60))+(('Fórmula'!E88)/('Fórmula'!C88+'Fórmula'!E88+'Fórmula'!G88+'Fórmula'!I88+'Fórmula'!K88))*(INDEX(properties!A$1:CB$87,'Fórmula'!D88,60))+(('Fórmula'!G88)/('Fórmula'!C88+'Fórmula'!E88+'Fórmula'!G88+'Fórmula'!I88+'Fórmula'!K88))*(INDEX(properties!A$1:CB$87,'Fórmula'!F88,60))+(('Fórmula'!I88)/('Fórmula'!C88+'Fórmula'!E88+'Fórmula'!G88+'Fórmula'!I88+'Fórmula'!K88))*(INDEX(properties!A$1:CB$87,'Fórmula'!H88,60))+(('Fórmula'!K88)/('Fórmula'!C88+'Fórmula'!E88+'Fórmula'!G88+'Fórmula'!I88+'Fórmula'!K88))*(INDEX(properties!A$1:CB$87,'Fórmula'!J88,60))</f>
        <v>12.72184</v>
      </c>
      <c r="GG88" s="105">
        <f t="array" ref="GG88">'Fórmula'!C88*(INDEX(properties!A$1:CB$87,'Fórmula'!B88,60))+'Fórmula'!E88*(INDEX(properties!A$1:CB$87,'Fórmula'!D88,60))+'Fórmula'!G88*(INDEX(properties!A$1:CB$87,'Fórmula'!F88,60))+'Fórmula'!I88*(INDEX(properties!A$1:CB$87,'Fórmula'!H88,60))+'Fórmula'!K88*(INDEX(properties!A$1:CB$87,'Fórmula'!J88,60))</f>
        <v>165.38392</v>
      </c>
      <c r="GH88" s="105">
        <f t="array" ref="GH88">VARP(IF(INDEX(properties!A$1:CB$87,'Fórmula'!B88,60)&lt;&gt;"",INDEX(properties!A$1:CB$87,'Fórmula'!B88,60)),IF(INDEX(properties!A$1:CB$87,'Fórmula'!D88,60)&lt;&gt;"",INDEX(properties!A$1:CB$87,'Fórmula'!D88,60)),IF(INDEX(properties!A$1:CB$87,'Fórmula'!F88,60)&lt;&gt;"",INDEX(properties!A$1:CB$87,'Fórmula'!F88,60)),IF(INDEX(properties!A$1:CB$87,'Fórmula'!H88,60)&lt;&gt;"",INDEX(properties!A$1:CB$87,'Fórmula'!H88,60)),IF(INDEX(properties!A$1:CB$87,'Fórmula'!J88,60)&lt;&gt;"",INDEX(properties!A$1:CB$87,'Fórmula'!J88,60)))</f>
        <v>1403.686161</v>
      </c>
      <c r="GI88" s="105">
        <f t="array" ref="GI88">MAX(INDEX(properties!A$1:CB$87,'Fórmula'!B88,60),INDEX(properties!A$1:CB$87,'Fórmula'!D88,60),INDEX(properties!A$1:CB$87,'Fórmula'!F88,60),INDEX(properties!A$1:CB$87,'Fórmula'!H88,60),INDEX(properties!A$1:CB$87,'Fórmula'!J88,60))</f>
        <v>102.4</v>
      </c>
      <c r="GJ88" s="105">
        <f t="array" ref="GJ88">MIN(IF(INDEX(properties!A$1:CB$87,'Fórmula'!B88,60)=0,10^6,INDEX(properties!A$1:CB$87,'Fórmula'!B88,60)),IF(INDEX(properties!A$1:CB$87,'Fórmula'!D88,60)=0,10^6,INDEX(properties!A$1:CB$87,'Fórmula'!D88,60)),IF(INDEX(properties!A$1:CB$87,'Fórmula'!F88,60)=0,10^6,INDEX(properties!A$1:CB$87,'Fórmula'!F88,60)),IF(INDEX(properties!A$1:CB$87,'Fórmula'!H88,60)=0,10^6,INDEX(properties!A$1:CB$87,'Fórmula'!H88,60)),IF(INDEX(properties!A$1:CB$87,'Fórmula'!J88,60)=0,10^6,INDEX(properties!A$1:CB$87,'Fórmula'!J88,60)))</f>
        <v>0.02674</v>
      </c>
      <c r="GK88" s="105">
        <f t="shared" si="32"/>
        <v>102.37326</v>
      </c>
      <c r="GL88" s="106">
        <f t="array" ref="GL88">(('Fórmula'!C88)/('Fórmula'!C88+'Fórmula'!E88+'Fórmula'!G88+'Fórmula'!I88+'Fórmula'!K88))*(INDEX(properties!A$1:CB$87,'Fórmula'!B88,62))+(('Fórmula'!E88)/('Fórmula'!C88+'Fórmula'!E88+'Fórmula'!G88+'Fórmula'!I88+'Fórmula'!K88))*(INDEX(properties!A$1:CB$87,'Fórmula'!D88,62))+(('Fórmula'!G88)/('Fórmula'!C88+'Fórmula'!E88+'Fórmula'!G88+'Fórmula'!I88+'Fórmula'!K88))*(INDEX(properties!A$1:CB$87,'Fórmula'!F88,62))+(('Fórmula'!I88)/('Fórmula'!C88+'Fórmula'!E88+'Fórmula'!G88+'Fórmula'!I88+'Fórmula'!K88))*(INDEX(properties!A$1:CB$87,'Fórmula'!H88,62))+(('Fórmula'!K88)/('Fórmula'!C88+'Fórmula'!E88+'Fórmula'!G88+'Fórmula'!I88+'Fórmula'!K88))*(INDEX(properties!A$1:CB$87,'Fórmula'!J88,62))</f>
        <v>2.791076923</v>
      </c>
      <c r="GM88" s="106">
        <f t="array" ref="GM88">'Fórmula'!C88*(INDEX(properties!A$1:CB$87,'Fórmula'!B88,62))+'Fórmula'!E88*(INDEX(properties!A$1:CB$87,'Fórmula'!D88,62))+'Fórmula'!G88*(INDEX(properties!A$1:CB$87,'Fórmula'!F88,62))+'Fórmula'!I88*(INDEX(properties!A$1:CB$87,'Fórmula'!H88,62))+'Fórmula'!K88*(INDEX(properties!A$1:CB$87,'Fórmula'!J88,62))</f>
        <v>36.284</v>
      </c>
      <c r="GN88" s="106">
        <f t="array" ref="GN88">VARP(IF(INDEX(properties!A$1:CB$87,'Fórmula'!B88,62)&lt;&gt;"",INDEX(properties!A$1:CB$87,'Fórmula'!B88,62)),IF(INDEX(properties!A$1:CB$87,'Fórmula'!D88,62)&lt;&gt;"",INDEX(properties!A$1:CB$87,'Fórmula'!D88,62)),IF(INDEX(properties!A$1:CB$87,'Fórmula'!F88,62)&lt;&gt;"",INDEX(properties!A$1:CB$87,'Fórmula'!F88,62)),IF(INDEX(properties!A$1:CB$87,'Fórmula'!H88,62)&lt;&gt;"",INDEX(properties!A$1:CB$87,'Fórmula'!H88,62)),IF(INDEX(properties!A$1:CB$87,'Fórmula'!J88,62)&lt;&gt;"",INDEX(properties!A$1:CB$87,'Fórmula'!J88,62)))</f>
        <v>2.81698336</v>
      </c>
      <c r="GO88" s="106">
        <f t="array" ref="GO88">MAX(INDEX(properties!A$1:CB$87,'Fórmula'!B88,62),INDEX(properties!A$1:CB$87,'Fórmula'!D88,62),INDEX(properties!A$1:CB$87,'Fórmula'!F88,62),INDEX(properties!A$1:CB$87,'Fórmula'!H88,62),INDEX(properties!A$1:CB$87,'Fórmula'!J88,62))</f>
        <v>5.81</v>
      </c>
      <c r="GP88" s="106">
        <f t="array" ref="GP88">MIN(IF(INDEX(properties!A$1:CB$87,'Fórmula'!B88,62)=0,10^6,INDEX(properties!A$1:CB$87,'Fórmula'!B88,62)),IF(INDEX(properties!A$1:CB$87,'Fórmula'!D88,62)=0,10^6,INDEX(properties!A$1:CB$87,'Fórmula'!D88,62)),IF(INDEX(properties!A$1:CB$87,'Fórmula'!F88,62)=0,10^6,INDEX(properties!A$1:CB$87,'Fórmula'!F88,62)),IF(INDEX(properties!A$1:CB$87,'Fórmula'!H88,62)=0,10^6,INDEX(properties!A$1:CB$87,'Fórmula'!H88,62)),IF(INDEX(properties!A$1:CB$87,'Fórmula'!J88,62)=0,10^6,INDEX(properties!A$1:CB$87,'Fórmula'!J88,62)))</f>
        <v>0.934</v>
      </c>
      <c r="GQ88" s="106">
        <f t="shared" si="33"/>
        <v>4.876</v>
      </c>
      <c r="GR88" s="106">
        <f>'Fórmula'!Q88</f>
        <v>122</v>
      </c>
      <c r="GS88" s="107">
        <f>'Fórmula'!P88</f>
        <v>2</v>
      </c>
      <c r="GT88" s="113">
        <f>'Fórmula'!O88</f>
        <v>3.1</v>
      </c>
      <c r="GU88" s="114">
        <f>AVERAGE('Fórmula'!R88/'Fórmula'!S88,'Fórmula'!S88/'Fórmula'!T88,'Fórmula'!T88/'Fórmula'!R88)</f>
        <v>1.154912219</v>
      </c>
      <c r="GV88" s="125">
        <f>'Fórmula'!U88</f>
        <v>701.67</v>
      </c>
      <c r="GW88" s="106">
        <f>'Fórmula'!N88</f>
        <v>0.05</v>
      </c>
    </row>
    <row r="89" ht="14.25" customHeight="1">
      <c r="A89" s="99" t="str">
        <f>'Fórmula'!A89</f>
        <v>Ca3Y2Ge3O12</v>
      </c>
      <c r="B89" s="100">
        <f t="array" ref="B89">(('Fórmula'!C89)/('Fórmula'!C89+'Fórmula'!E89+'Fórmula'!G89+'Fórmula'!I89+'Fórmula'!K89))*(INDEX(properties!A$1:CB$87,'Fórmula'!B89,3))+(('Fórmula'!E89)/('Fórmula'!C89+'Fórmula'!E89+'Fórmula'!G89+'Fórmula'!I89+'Fórmula'!K89))*(INDEX(properties!A$1:CB$87,'Fórmula'!D89,3))+(('Fórmula'!G89)/('Fórmula'!C89+'Fórmula'!E89+'Fórmula'!G89+'Fórmula'!I89+'Fórmula'!K89))*(INDEX(properties!A$1:CB$87,'Fórmula'!F89,3))+(('Fórmula'!I89)/('Fórmula'!C89+'Fórmula'!E89+'Fórmula'!G89+'Fórmula'!I89+'Fórmula'!K89))*(INDEX(properties!A$1:CB$87,'Fórmula'!H89,3))+(('Fórmula'!K89)/('Fórmula'!C89+'Fórmula'!E89+'Fórmula'!G89+'Fórmula'!I89+'Fórmula'!K89))*(INDEX(properties!A$1:CB$87,'Fórmula'!J89,3))</f>
        <v>35.396424</v>
      </c>
      <c r="C89" s="101">
        <f t="array" ref="C89">'Fórmula'!C89*(INDEX(properties!A$1:CB$87,'Fórmula'!B89,3))+'Fórmula'!E89*(INDEX(properties!A$1:CB$87,'Fórmula'!D89,3))+'Fórmula'!G89*(INDEX(properties!A$1:CB$87,'Fórmula'!F89,3))+'Fórmula'!I89*(INDEX(properties!A$1:CB$87,'Fórmula'!H89,3))+'Fórmula'!K89*(INDEX(properties!A$1:CB$87,'Fórmula'!J89,3))</f>
        <v>707.92848</v>
      </c>
      <c r="D89" s="101">
        <f t="array" ref="D89">VARP(IF(INDEX(properties!A$1:CB$87,'Fórmula'!B89,3)&lt;&gt;"",INDEX(properties!A$1:CB$87,'Fórmula'!B89,3)),IF(INDEX(properties!A$1:CB$87,'Fórmula'!D89,3)&lt;&gt;"",INDEX(properties!A$1:CB$87,'Fórmula'!D89,3)),IF(INDEX(properties!A$1:CB$87,'Fórmula'!F89,3)&lt;&gt;"",INDEX(properties!A$1:CB$87,'Fórmula'!F89,3)),IF(INDEX(properties!A$1:CB$87,'Fórmula'!H89,3)&lt;&gt;"",INDEX(properties!A$1:CB$87,'Fórmula'!H89,3)),IF(INDEX(properties!A$1:CB$87,'Fórmula'!J89,3)&lt;&gt;"",INDEX(properties!A$1:CB$87,'Fórmula'!J89,3)))</f>
        <v>1114.097545</v>
      </c>
      <c r="E89" s="101">
        <f t="array" ref="E89">MAX(INDEX(properties!A$1:CB$87,'Fórmula'!B89,3),INDEX(properties!A$1:CB$87,'Fórmula'!D89,3),INDEX(properties!A$1:CB$87,'Fórmula'!F89,3),INDEX(properties!A$1:CB$87,'Fórmula'!H89,3),INDEX(properties!A$1:CB$87,'Fórmula'!J89,3))</f>
        <v>88.90584</v>
      </c>
      <c r="F89" s="101">
        <f t="array" ref="F89">MIN(IF(INDEX(properties!A$1:CB$87,'Fórmula'!B89,3)=0,10^6,INDEX(properties!A$1:CB$87,'Fórmula'!B89,3)),IF(INDEX(properties!A$1:CB$87,'Fórmula'!D89,3)=0,10^6,INDEX(properties!A$1:CB$87,'Fórmula'!D89,3)),IF(INDEX(properties!A$1:CB$87,'Fórmula'!F89,3)=0,10^6,INDEX(properties!A$1:CB$87,'Fórmula'!F89,3)),IF(INDEX(properties!A$1:CB$87,'Fórmula'!H89,3)=0,10^6,INDEX(properties!A$1:CB$87,'Fórmula'!H89,3)),IF(INDEX(properties!A$1:CB$87,'Fórmula'!J89,3)=0,10^6,INDEX(properties!A$1:CB$87,'Fórmula'!J89,3)))</f>
        <v>15.9994</v>
      </c>
      <c r="G89" s="101">
        <f t="shared" si="1"/>
        <v>72.90644</v>
      </c>
      <c r="H89" s="102">
        <f t="array" ref="H89">(('Fórmula'!C89)/('Fórmula'!C89+'Fórmula'!E89+'Fórmula'!G89+'Fórmula'!I89+'Fórmula'!K89))*(INDEX(properties!A$1:CB$87,'Fórmula'!B89,4))+(('Fórmula'!E89)/('Fórmula'!C89+'Fórmula'!E89+'Fórmula'!G89+'Fórmula'!I89+'Fórmula'!K89))*(INDEX(properties!A$1:CB$87,'Fórmula'!D89,4))+(('Fórmula'!G89)/('Fórmula'!C89+'Fórmula'!E89+'Fórmula'!G89+'Fórmula'!I89+'Fórmula'!K89))*(INDEX(properties!A$1:CB$87,'Fórmula'!F89,4))+(('Fórmula'!I89)/('Fórmula'!C89+'Fórmula'!E89+'Fórmula'!G89+'Fórmula'!I89+'Fórmula'!K89))*(INDEX(properties!A$1:CB$87,'Fórmula'!H89,4))+(('Fórmula'!K89)/('Fórmula'!C89+'Fórmula'!E89+'Fórmula'!G89+'Fórmula'!I89+'Fórmula'!K89))*(INDEX(properties!A$1:CB$87,'Fórmula'!J89,4))</f>
        <v>16.5</v>
      </c>
      <c r="I89" s="102">
        <f t="array" ref="I89">'Fórmula'!C89*(INDEX(properties!A$1:CB$87,'Fórmula'!B89,4))+'Fórmula'!E89*(INDEX(properties!A$1:CB$87,'Fórmula'!D89,4))+'Fórmula'!G89*(INDEX(properties!A$1:CB$87,'Fórmula'!F89,4))+'Fórmula'!I89*(INDEX(properties!A$1:CB$87,'Fórmula'!H89,4))+'Fórmula'!K89*(INDEX(properties!A$1:CB$87,'Fórmula'!J89,4))</f>
        <v>330</v>
      </c>
      <c r="J89" s="102">
        <f t="array" ref="J89">VARP(IF(INDEX(properties!A$1:CB$87,'Fórmula'!B89,4)&lt;&gt;"",INDEX(properties!A$1:CB$87,'Fórmula'!B89,4)),IF(INDEX(properties!A$1:CB$87,'Fórmula'!D89,4)&lt;&gt;"",INDEX(properties!A$1:CB$87,'Fórmula'!D89,4)),IF(INDEX(properties!A$1:CB$87,'Fórmula'!F89,4)&lt;&gt;"",INDEX(properties!A$1:CB$87,'Fórmula'!F89,4)),IF(INDEX(properties!A$1:CB$87,'Fórmula'!H89,4)&lt;&gt;"",INDEX(properties!A$1:CB$87,'Fórmula'!H89,4)),IF(INDEX(properties!A$1:CB$87,'Fórmula'!J89,4)&lt;&gt;"",INDEX(properties!A$1:CB$87,'Fórmula'!J89,4)))</f>
        <v>209.76</v>
      </c>
      <c r="K89" s="102">
        <f t="array" ref="K89">MAX(INDEX(properties!A$1:CB$87,'Fórmula'!B89,4),INDEX(properties!A$1:CB$87,'Fórmula'!D89,4),INDEX(properties!A$1:CB$87,'Fórmula'!F89,4),INDEX(properties!A$1:CB$87,'Fórmula'!H89,4),INDEX(properties!A$1:CB$87,'Fórmula'!J89,4))</f>
        <v>39</v>
      </c>
      <c r="L89" s="102">
        <f t="array" ref="L89">MIN(IF(INDEX(properties!A$1:CB$87,'Fórmula'!B89,4)=0,10^6,INDEX(properties!A$1:CB$87,'Fórmula'!B89,4)),IF(INDEX(properties!A$1:CB$87,'Fórmula'!D89,4)=0,10^6,INDEX(properties!A$1:CB$87,'Fórmula'!D89,4)),IF(INDEX(properties!A$1:CB$87,'Fórmula'!F89,4)=0,10^6,INDEX(properties!A$1:CB$87,'Fórmula'!F89,4)),IF(INDEX(properties!A$1:CB$87,'Fórmula'!H89,4)=0,10^6,INDEX(properties!A$1:CB$87,'Fórmula'!H89,4)),IF(INDEX(properties!A$1:CB$87,'Fórmula'!J89,4)=0,10^6,INDEX(properties!A$1:CB$87,'Fórmula'!J89,4)))</f>
        <v>8</v>
      </c>
      <c r="M89" s="102">
        <f t="shared" si="2"/>
        <v>31</v>
      </c>
      <c r="N89" s="103">
        <f t="array" ref="N89">(('Fórmula'!C89)/('Fórmula'!C89+'Fórmula'!E89+'Fórmula'!G89+'Fórmula'!I89+'Fórmula'!K89))*(INDEX(properties!A$1:CB$87,'Fórmula'!B89,5))+(('Fórmula'!E89)/('Fórmula'!C89+'Fórmula'!E89+'Fórmula'!G89+'Fórmula'!I89+'Fórmula'!K89))*(INDEX(properties!A$1:CB$87,'Fórmula'!D89,5))+(('Fórmula'!G89)/('Fórmula'!C89+'Fórmula'!E89+'Fórmula'!G89+'Fórmula'!I89+'Fórmula'!K89))*(INDEX(properties!A$1:CB$87,'Fórmula'!F89,5))+(('Fórmula'!I89)/('Fórmula'!C89+'Fórmula'!E89+'Fórmula'!G89+'Fórmula'!I89+'Fórmula'!K89))*(INDEX(properties!A$1:CB$87,'Fórmula'!H89,5))+(('Fórmula'!K89)/('Fórmula'!C89+'Fórmula'!E89+'Fórmula'!G89+'Fórmula'!I89+'Fórmula'!K89))*(INDEX(properties!A$1:CB$87,'Fórmula'!J89,5))</f>
        <v>2.9</v>
      </c>
      <c r="O89" s="103">
        <f t="array" ref="O89">'Fórmula'!C89*(INDEX(properties!A$1:CB$87,'Fórmula'!B89,5))+'Fórmula'!E89*(INDEX(properties!A$1:CB$87,'Fórmula'!D89,5))+'Fórmula'!G89*(INDEX(properties!A$1:CB$87,'Fórmula'!F89,5))+'Fórmula'!I89*(INDEX(properties!A$1:CB$87,'Fórmula'!H89,5))+'Fórmula'!K89*(INDEX(properties!A$1:CB$87,'Fórmula'!J89,5))</f>
        <v>58</v>
      </c>
      <c r="P89" s="103">
        <f t="array" ref="P89">VARP(IF(INDEX(properties!A$1:CB$87,'Fórmula'!B89,5)&lt;&gt;"",INDEX(properties!A$1:CB$87,'Fórmula'!B89,5)),IF(INDEX(properties!A$1:CB$87,'Fórmula'!D89,5)&lt;&gt;"",INDEX(properties!A$1:CB$87,'Fórmula'!D89,5)),IF(INDEX(properties!A$1:CB$87,'Fórmula'!F89,5)&lt;&gt;"",INDEX(properties!A$1:CB$87,'Fórmula'!F89,5)),IF(INDEX(properties!A$1:CB$87,'Fórmula'!H89,5)&lt;&gt;"",INDEX(properties!A$1:CB$87,'Fórmula'!H89,5)),IF(INDEX(properties!A$1:CB$87,'Fórmula'!J89,5)&lt;&gt;"",INDEX(properties!A$1:CB$87,'Fórmula'!J89,5)))</f>
        <v>3.2</v>
      </c>
      <c r="Q89" s="103">
        <f t="array" ref="Q89">MAX(INDEX(properties!A$1:CB$87,'Fórmula'!B89,5),INDEX(properties!A$1:CB$87,'Fórmula'!D89,5),INDEX(properties!A$1:CB$87,'Fórmula'!F89,5),INDEX(properties!A$1:CB$87,'Fórmula'!H89,5),INDEX(properties!A$1:CB$87,'Fórmula'!J89,5))</f>
        <v>5</v>
      </c>
      <c r="R89" s="103">
        <f t="array" ref="R89">MIN(IF(INDEX(properties!A$1:CB$87,'Fórmula'!B89,5)=0,10^6,INDEX(properties!A$1:CB$87,'Fórmula'!B89,5)),IF(INDEX(properties!A$1:CB$87,'Fórmula'!D89,5)=0,10^6,INDEX(properties!A$1:CB$87,'Fórmula'!D89,5)),IF(INDEX(properties!A$1:CB$87,'Fórmula'!F89,5)=0,10^6,INDEX(properties!A$1:CB$87,'Fórmula'!F89,5)),IF(INDEX(properties!A$1:CB$87,'Fórmula'!H89,5)=0,10^6,INDEX(properties!A$1:CB$87,'Fórmula'!H89,5)),IF(INDEX(properties!A$1:CB$87,'Fórmula'!J89,5)=0,10^6,INDEX(properties!A$1:CB$87,'Fórmula'!J89,5)))</f>
        <v>2</v>
      </c>
      <c r="S89" s="103">
        <f t="shared" si="3"/>
        <v>3</v>
      </c>
      <c r="T89" s="104">
        <f t="array" ref="T89">(('Fórmula'!C89)/('Fórmula'!C89+'Fórmula'!E89+'Fórmula'!G89+'Fórmula'!I89+'Fórmula'!K89))*(INDEX(properties!A$1:CB$87,'Fórmula'!B89,6))+(('Fórmula'!E89)/('Fórmula'!C89+'Fórmula'!E89+'Fórmula'!G89+'Fórmula'!I89+'Fórmula'!K89))*(INDEX(properties!A$1:CB$87,'Fórmula'!D89,6))+(('Fórmula'!G89)/('Fórmula'!C89+'Fórmula'!E89+'Fórmula'!G89+'Fórmula'!I89+'Fórmula'!K89))*(INDEX(properties!A$1:CB$87,'Fórmula'!F89,6))+(('Fórmula'!I89)/('Fórmula'!C89+'Fórmula'!E89+'Fórmula'!G89+'Fórmula'!I89+'Fórmula'!K89))*(INDEX(properties!A$1:CB$87,'Fórmula'!H89,6))+(('Fórmula'!K89)/('Fórmula'!C89+'Fórmula'!E89+'Fórmula'!G89+'Fórmula'!I89+'Fórmula'!K89))*(INDEX(properties!A$1:CB$87,'Fórmula'!J89,6))</f>
        <v>12.3</v>
      </c>
      <c r="U89" s="104">
        <f t="array" ref="U89">'Fórmula'!C89*(INDEX(properties!A$1:CB$87,'Fórmula'!B89,6))+'Fórmula'!E89*(INDEX(properties!A$1:CB$87,'Fórmula'!D89,6))+'Fórmula'!G89*(INDEX(properties!A$1:CB$87,'Fórmula'!F89,6))+'Fórmula'!I89*(INDEX(properties!A$1:CB$87,'Fórmula'!H89,6))+'Fórmula'!K89*(INDEX(properties!A$1:CB$87,'Fórmula'!J89,6))</f>
        <v>246</v>
      </c>
      <c r="V89" s="103">
        <f t="array" ref="V89">VARP(IF(INDEX(properties!A$1:CB$87,'Fórmula'!B89,6)&lt;&gt;"",INDEX(properties!A$1:CB$87,'Fórmula'!B89,6)),IF(INDEX(properties!A$1:CB$87,'Fórmula'!D89,6)&lt;&gt;"",INDEX(properties!A$1:CB$87,'Fórmula'!D89,6)),IF(INDEX(properties!A$1:CB$87,'Fórmula'!F89,6)&lt;&gt;"",INDEX(properties!A$1:CB$87,'Fórmula'!F89,6)),IF(INDEX(properties!A$1:CB$87,'Fórmula'!H89,6)&lt;&gt;"",INDEX(properties!A$1:CB$87,'Fórmula'!H89,6)),IF(INDEX(properties!A$1:CB$87,'Fórmula'!J89,6)&lt;&gt;"",INDEX(properties!A$1:CB$87,'Fórmula'!J89,6)))</f>
        <v>44</v>
      </c>
      <c r="W89" s="104">
        <f t="array" ref="W89">MAX(INDEX(properties!A$1:CB$87,'Fórmula'!B89,6),INDEX(properties!A$1:CB$87,'Fórmula'!D89,6),INDEX(properties!A$1:CB$87,'Fórmula'!F89,6),INDEX(properties!A$1:CB$87,'Fórmula'!H89,4),INDEX(properties!A$1:CB$87,'Fórmula'!J89,6))</f>
        <v>14</v>
      </c>
      <c r="X89" s="104">
        <f t="array" ref="X89">MIN(IF(INDEX(properties!A$1:CB$87,'Fórmula'!B89,6)=0,10^6,INDEX(properties!A$1:CB$87,'Fórmula'!B89,6)),IF(INDEX(properties!A$1:CB$87,'Fórmula'!D89,6)=0,10^6,INDEX(properties!A$1:CB$87,'Fórmula'!D89,6)),IF(INDEX(properties!A$1:CB$87,'Fórmula'!F89,6)=0,10^6,INDEX(properties!A$1:CB$87,'Fórmula'!F89,6)),IF(INDEX(properties!A$1:CB$87,'Fórmula'!H89,6)=0,10^6,INDEX(properties!A$1:CB$87,'Fórmula'!H89,6)),IF(INDEX(properties!A$1:CB$87,'Fórmula'!J89,6)=0,10^6,INDEX(properties!A$1:CB$87,'Fórmula'!J89,6)))</f>
        <v>2</v>
      </c>
      <c r="Y89" s="104">
        <f t="shared" si="4"/>
        <v>12</v>
      </c>
      <c r="Z89" s="105">
        <f t="array" ref="Z89">(('Fórmula'!C89)/('Fórmula'!C89+'Fórmula'!E89+'Fórmula'!G89+'Fórmula'!I89+'Fórmula'!K89))*(INDEX(properties!A$1:CB$87,'Fórmula'!B89,9))+(('Fórmula'!E89)/('Fórmula'!C89+'Fórmula'!E89+'Fórmula'!G89+'Fórmula'!I89+'Fórmula'!K89))*(INDEX(properties!A$1:CB$87,'Fórmula'!D89,9))+(('Fórmula'!G89)/('Fórmula'!C89+'Fórmula'!E89+'Fórmula'!G89+'Fórmula'!I89+'Fórmula'!K89))*(INDEX(properties!A$1:CB$87,'Fórmula'!F89,9))+(('Fórmula'!I89)/('Fórmula'!C89+'Fórmula'!E89+'Fórmula'!G89+'Fórmula'!I89+'Fórmula'!K89))*(INDEX(properties!A$1:CB$87,'Fórmula'!H89,9))+(('Fórmula'!K89)/('Fórmula'!C89+'Fórmula'!E89+'Fórmula'!G89+'Fórmula'!I89+'Fórmula'!K89))*(INDEX(properties!A$1:CB$87,'Fórmula'!J89,9))</f>
        <v>66.3</v>
      </c>
      <c r="AA89" s="105">
        <f t="array" ref="AA89">'Fórmula'!C89*(INDEX(properties!A$1:CB$87,'Fórmula'!B89,9))+'Fórmula'!E89*(INDEX(properties!A$1:CB$87,'Fórmula'!D89,9))+'Fórmula'!G89*(INDEX(properties!A$1:CB$87,'Fórmula'!F89,9))+'Fórmula'!I89*(INDEX(properties!A$1:CB$87,'Fórmula'!H89,9))+'Fórmula'!K89*(INDEX(properties!A$1:CB$87,'Fórmula'!J89,9))</f>
        <v>1326</v>
      </c>
      <c r="AB89" s="105">
        <f t="array" ref="AB89">VARP(IF(INDEX(properties!A$1:CB$87,'Fórmula'!B89,9)&lt;&gt;"",INDEX(properties!A$1:CB$87,'Fórmula'!B89,9)),IF(INDEX(properties!A$1:CB$87,'Fórmula'!D89,9)&lt;&gt;"",INDEX(properties!A$1:CB$87,'Fórmula'!D89,9)),IF(INDEX(properties!A$1:CB$87,'Fórmula'!F89,9)&lt;&gt;"",INDEX(properties!A$1:CB$87,'Fórmula'!F89,9)),IF(INDEX(properties!A$1:CB$87,'Fórmula'!H89,9)&lt;&gt;"",INDEX(properties!A$1:CB$87,'Fórmula'!H89,9)),IF(INDEX(properties!A$1:CB$87,'Fórmula'!J89,9)&lt;&gt;"",INDEX(properties!A$1:CB$87,'Fórmula'!J89,9)))</f>
        <v>1431.6</v>
      </c>
      <c r="AC89" s="105">
        <f t="array" ref="AC89">MAX(INDEX(properties!A$1:CB$87,'Fórmula'!B89,9),INDEX(properties!A$1:CB$87,'Fórmula'!D89,9),INDEX(properties!A$1:CB$87,'Fórmula'!F89,9),INDEX(properties!A$1:CB$87,'Fórmula'!H89,9),INDEX(properties!A$1:CB$87,'Fórmula'!J89,9))</f>
        <v>87</v>
      </c>
      <c r="AD89" s="105">
        <f t="array" ref="AD89">MIN(IF(INDEX(properties!A$1:CB$87,'Fórmula'!B89,9)=0,10^6,INDEX(properties!A$1:CB$87,'Fórmula'!B89,9)),IF(INDEX(properties!A$1:CB$87,'Fórmula'!D89,9)=0,10^6,INDEX(properties!A$1:CB$87,'Fórmula'!D89,9)),IF(INDEX(properties!A$1:CB$87,'Fórmula'!F89,9)=0,10^6,INDEX(properties!A$1:CB$87,'Fórmula'!F89,9)),IF(INDEX(properties!A$1:CB$87,'Fórmula'!H89,9)=0,10^6,INDEX(properties!A$1:CB$87,'Fórmula'!H89,9)),IF(INDEX(properties!A$1:CB$87,'Fórmula'!J89,9)=0,10^6,INDEX(properties!A$1:CB$87,'Fórmula'!J89,9)))</f>
        <v>7</v>
      </c>
      <c r="AE89" s="105">
        <f t="shared" si="5"/>
        <v>80</v>
      </c>
      <c r="AF89" s="106">
        <f t="array" ref="AF89">(('Fórmula'!C89)/('Fórmula'!C89+'Fórmula'!E89+'Fórmula'!G89+'Fórmula'!I89+'Fórmula'!K89))*(INDEX(properties!A$1:CB$87,'Fórmula'!B89,10))+(('Fórmula'!E89)/('Fórmula'!C89+'Fórmula'!E89+'Fórmula'!G89+'Fórmula'!I89+'Fórmula'!K89))*(INDEX(properties!A$1:CB$87,'Fórmula'!D89,10))+(('Fórmula'!G89)/('Fórmula'!C89+'Fórmula'!E89+'Fórmula'!G89+'Fórmula'!I89+'Fórmula'!K89))*(INDEX(properties!A$1:CB$87,'Fórmula'!F89,10))+(('Fórmula'!I89)/('Fórmula'!C89+'Fórmula'!E89+'Fórmula'!G89+'Fórmula'!I89+'Fórmula'!K89))*(INDEX(properties!A$1:CB$87,'Fórmula'!H89,10))+(('Fórmula'!K89)/('Fórmula'!C89+'Fórmula'!E89+'Fórmula'!G89+'Fórmula'!I89+'Fórmula'!K89))*(INDEX(properties!A$1:CB$87,'Fórmula'!J89,10))</f>
        <v>5.7</v>
      </c>
      <c r="AG89" s="106">
        <f t="array" ref="AG89">'Fórmula'!C89*(INDEX(properties!A$1:CB$87,'Fórmula'!B89,10))+'Fórmula'!E89*(INDEX(properties!A$1:CB$87,'Fórmula'!D89,10))+'Fórmula'!G89*(INDEX(properties!A$1:CB$87,'Fórmula'!F89,10))+'Fórmula'!I89*(INDEX(properties!A$1:CB$87,'Fórmula'!H89,10))+'Fórmula'!K89*(INDEX(properties!A$1:CB$87,'Fórmula'!J89,10))</f>
        <v>114</v>
      </c>
      <c r="AH89" s="106">
        <f t="array" ref="AH89">VARP(IF(INDEX(properties!A$1:CB$87,'Fórmula'!B89,10)&lt;&gt;"",INDEX(properties!A$1:CB$87,'Fórmula'!B89,10)),IF(INDEX(properties!A$1:CB$87,'Fórmula'!D89,10)&lt;&gt;"",INDEX(properties!A$1:CB$87,'Fórmula'!D89,10)),IF(INDEX(properties!A$1:CB$87,'Fórmula'!F89,10)&lt;&gt;"",INDEX(properties!A$1:CB$87,'Fórmula'!F89,10)),IF(INDEX(properties!A$1:CB$87,'Fórmula'!H89,10)&lt;&gt;"",INDEX(properties!A$1:CB$87,'Fórmula'!H89,10)),IF(INDEX(properties!A$1:CB$87,'Fórmula'!J89,10)&lt;&gt;"",INDEX(properties!A$1:CB$87,'Fórmula'!J89,10)))</f>
        <v>6.64</v>
      </c>
      <c r="AI89" s="106">
        <f t="array" ref="AI89">MAX(INDEX(properties!A$1:CB$87,'Fórmula'!B89,10),INDEX(properties!A$1:CB$87,'Fórmula'!D89,10),INDEX(properties!A$1:CB$87,'Fórmula'!F89,10),INDEX(properties!A$1:CB$87,'Fórmula'!H89,10),INDEX(properties!A$1:CB$87,'Fórmula'!J89,10))</f>
        <v>7</v>
      </c>
      <c r="AJ89" s="106">
        <f t="array" ref="AJ89">MIN(IF(INDEX(properties!A$1:CB$87,'Fórmula'!B89,10)=0,10^6,INDEX(properties!A$1:CB$87,'Fórmula'!B89,10)),IF(INDEX(properties!A$1:CB$87,'Fórmula'!D89,10)=0,10^6,INDEX(properties!A$1:CB$87,'Fórmula'!D89,10)),IF(INDEX(properties!A$1:CB$87,'Fórmula'!F89,10)=0,10^6,INDEX(properties!A$1:CB$87,'Fórmula'!F89,10)),IF(INDEX(properties!A$1:CB$87,'Fórmula'!H89,10)=0,10^6,INDEX(properties!A$1:CB$87,'Fórmula'!H89,10)),IF(INDEX(properties!A$1:CB$87,'Fórmula'!J89,10)=0,10^6,INDEX(properties!A$1:CB$87,'Fórmula'!J89,10)))</f>
        <v>2</v>
      </c>
      <c r="AK89" s="106">
        <f t="shared" si="6"/>
        <v>5</v>
      </c>
      <c r="AL89" s="107">
        <f t="array" ref="AL89">(('Fórmula'!C89)/('Fórmula'!C89+'Fórmula'!E89+'Fórmula'!G89+'Fórmula'!I89+'Fórmula'!K89))*(INDEX(properties!A$1:CB$87,'Fórmula'!B89,11))+(('Fórmula'!E89)/('Fórmula'!C89+'Fórmula'!E89+'Fórmula'!G89+'Fórmula'!I89+'Fórmula'!K89))*(INDEX(properties!A$1:CB$87,'Fórmula'!D89,11))+(('Fórmula'!G89)/('Fórmula'!C89+'Fórmula'!E89+'Fórmula'!G89+'Fórmula'!I89+'Fórmula'!K89))*(INDEX(properties!A$1:CB$87,'Fórmula'!F89,11))+(('Fórmula'!I89)/('Fórmula'!C89+'Fórmula'!E89+'Fórmula'!G89+'Fórmula'!I89+'Fórmula'!K89))*(INDEX(properties!A$1:CB$87,'Fórmula'!H89,11))+(('Fórmula'!K89)/('Fórmula'!C89+'Fórmula'!E89+'Fórmula'!G89+'Fórmula'!I89+'Fórmula'!K89))*(INDEX(properties!A$1:CB$87,'Fórmula'!J89,11))</f>
        <v>2</v>
      </c>
      <c r="AM89" s="107">
        <f t="array" ref="AM89">'Fórmula'!C89*(INDEX(properties!A$1:CB$87,'Fórmula'!B89,11))+'Fórmula'!E89*(INDEX(properties!A$1:CB$87,'Fórmula'!D89,11))+'Fórmula'!G89*(INDEX(properties!A$1:CB$87,'Fórmula'!F89,11))+'Fórmula'!I89*(INDEX(properties!A$1:CB$87,'Fórmula'!H89,11))+'Fórmula'!K89*(INDEX(properties!A$1:CB$87,'Fórmula'!J89,11))</f>
        <v>40</v>
      </c>
      <c r="AN89" s="107">
        <f t="array" ref="AN89">VARP(IF(INDEX(properties!A$1:CB$87,'Fórmula'!B89,11)&lt;&gt;"",INDEX(properties!A$1:CB$87,'Fórmula'!B89,11)),IF(INDEX(properties!A$1:CB$87,'Fórmula'!D89,11)&lt;&gt;"",INDEX(properties!A$1:CB$87,'Fórmula'!D89,11)),IF(INDEX(properties!A$1:CB$87,'Fórmula'!F89,11)&lt;&gt;"",INDEX(properties!A$1:CB$87,'Fórmula'!F89,11)),IF(INDEX(properties!A$1:CB$87,'Fórmula'!H89,11)&lt;&gt;"",INDEX(properties!A$1:CB$87,'Fórmula'!H89,11)),IF(INDEX(properties!A$1:CB$87,'Fórmula'!J89,11)&lt;&gt;"",INDEX(properties!A$1:CB$87,'Fórmula'!J89,11)))</f>
        <v>0.64</v>
      </c>
      <c r="AO89" s="107">
        <f t="array" ref="AO89">MAX(INDEX(properties!A$1:CB$87,'Fórmula'!B89,11),INDEX(properties!A$1:CB$87,'Fórmula'!D89,11),INDEX(properties!A$1:CB$87,'Fórmula'!F89,11),INDEX(properties!A$1:CB$87,'Fórmula'!H89,11),INDEX(properties!A$1:CB$87,'Fórmula'!J89,11))</f>
        <v>2</v>
      </c>
      <c r="AP89" s="107">
        <f t="array" ref="AP89">MIN(IF('Fórmula'!B89=87,10^6,INDEX(properties!A$1:CB$87,'Fórmula'!B89,11)),IF(('Fórmula'!D89)=87,10^6,INDEX(properties!A$1:CB$87,'Fórmula'!D89,11)),IF(('Fórmula'!F89)=87,10^6,INDEX(properties!A$1:CB$87,'Fórmula'!F89,11)),IF(('Fórmula'!H89)=87,10^6,INDEX(properties!A$1:CB$87,'Fórmula'!H89,11)),IF('Fórmula'!J89=87,10^6,INDEX(properties!A$1:CB$87,'Fórmula'!J89,11)))</f>
        <v>2</v>
      </c>
      <c r="AQ89" s="107">
        <f t="shared" si="7"/>
        <v>0</v>
      </c>
      <c r="AR89" s="108">
        <f t="array" ref="AR89">(('Fórmula'!C89)/('Fórmula'!C89+'Fórmula'!E89+'Fórmula'!G89+'Fórmula'!I89+'Fórmula'!K89))*(INDEX(properties!A$1:CB$87,'Fórmula'!B89,12))+(('Fórmula'!E89)/('Fórmula'!C89+'Fórmula'!E89+'Fórmula'!G89+'Fórmula'!I89+'Fórmula'!K89))*(INDEX(properties!A$1:CB$87,'Fórmula'!D89,12))+(('Fórmula'!G89)/('Fórmula'!C89+'Fórmula'!E89+'Fórmula'!G89+'Fórmula'!I89+'Fórmula'!K89))*(INDEX(properties!A$1:CB$87,'Fórmula'!F89,12))+(('Fórmula'!I89)/('Fórmula'!C89+'Fórmula'!E89+'Fórmula'!G89+'Fórmula'!I89+'Fórmula'!K89))*(INDEX(properties!A$1:CB$87,'Fórmula'!H89,12))+(('Fórmula'!K89)/('Fórmula'!C89+'Fórmula'!E89+'Fórmula'!G89+'Fórmula'!I89+'Fórmula'!K89))*(INDEX(properties!A$1:CB$87,'Fórmula'!J89,12))</f>
        <v>2.7</v>
      </c>
      <c r="AS89" s="108">
        <f t="array" ref="AS89">'Fórmula'!C89*(INDEX(properties!A$1:CB$87,'Fórmula'!B89,12))+'Fórmula'!E89*(INDEX(properties!A$1:CB$87,'Fórmula'!D89,12))+'Fórmula'!G89*(INDEX(properties!A$1:CB$87,'Fórmula'!F89,12))+'Fórmula'!I89*(INDEX(properties!A$1:CB$87,'Fórmula'!H89,12))+'Fórmula'!K89*(INDEX(properties!A$1:CB$87,'Fórmula'!J89,12))</f>
        <v>54</v>
      </c>
      <c r="AT89" s="108">
        <f t="array" ref="AT89">VARP(IF(INDEX(properties!A$1:CB$87,'Fórmula'!B89,12)&lt;&gt;"",INDEX(properties!A$1:CB$87,'Fórmula'!B89,12)),IF(INDEX(properties!A$1:CB$87,'Fórmula'!D89,12)&lt;&gt;"",INDEX(properties!A$1:CB$87,'Fórmula'!D89,12)),IF(INDEX(properties!A$1:CB$87,'Fórmula'!F89,12)&lt;&gt;"",INDEX(properties!A$1:CB$87,'Fórmula'!F89,12)),IF(INDEX(properties!A$1:CB$87,'Fórmula'!H89,12)&lt;&gt;"",INDEX(properties!A$1:CB$87,'Fórmula'!H89,12)),IF(INDEX(properties!A$1:CB$87,'Fórmula'!J89,12)&lt;&gt;"",INDEX(properties!A$1:CB$87,'Fórmula'!J89,12)))</f>
        <v>2.56</v>
      </c>
      <c r="AU89" s="108">
        <f t="array" ref="AU89">MAX(INDEX(properties!A$1:CB$87,'Fórmula'!B89,12),INDEX(properties!A$1:CB$87,'Fórmula'!D89,12),INDEX(properties!A$1:CB$87,'Fórmula'!F89,12),INDEX(properties!A$1:CB$87,'Fórmula'!H89,12),INDEX(properties!A$1:CB$87,'Fórmula'!J89,12))</f>
        <v>4</v>
      </c>
      <c r="AV89" s="108">
        <f t="array" ref="AV89">MIN(IF('Fórmula'!B89=87,10^6,INDEX(properties!A$1:CB$87,'Fórmula'!B89,12)),IF(('Fórmula'!D89)=87,10^6,INDEX(properties!A$1:CB$87,'Fórmula'!D89,12)),IF(('Fórmula'!F89)=87,10^6,INDEX(properties!A$1:CB$87,'Fórmula'!F89,12)),IF(('Fórmula'!H89)=87,10^6,INDEX(properties!A$1:CB$87,'Fórmula'!H89,12)),IF('Fórmula'!J89=87,10^6,INDEX(properties!A$1:CB$87,'Fórmula'!J89,12)))</f>
        <v>0</v>
      </c>
      <c r="AW89" s="108">
        <f t="shared" si="8"/>
        <v>4</v>
      </c>
      <c r="AX89" s="109">
        <f t="array" ref="AX89">(('Fórmula'!C89)/('Fórmula'!C89+'Fórmula'!E89+'Fórmula'!G89+'Fórmula'!I89+'Fórmula'!K89))*(INDEX(properties!A$1:CB$87,'Fórmula'!B89,13))+(('Fórmula'!E89)/('Fórmula'!C89+'Fórmula'!E89+'Fórmula'!G89+'Fórmula'!I89+'Fórmula'!K89))*(INDEX(properties!A$1:CB$87,'Fórmula'!D89,13))+(('Fórmula'!G89)/('Fórmula'!C89+'Fórmula'!E89+'Fórmula'!G89+'Fórmula'!I89+'Fórmula'!K89))*(INDEX(properties!A$1:CB$87,'Fórmula'!F89,13))+(('Fórmula'!I89)/('Fórmula'!C89+'Fórmula'!E89+'Fórmula'!G89+'Fórmula'!I89+'Fórmula'!K89))*(INDEX(properties!A$1:CB$87,'Fórmula'!H89,13))+(('Fórmula'!K89)/('Fórmula'!C89+'Fórmula'!E89+'Fórmula'!G89+'Fórmula'!I89+'Fórmula'!K89))*(INDEX(properties!A$1:CB$87,'Fórmula'!J89,13))</f>
        <v>1.6</v>
      </c>
      <c r="AY89" s="109">
        <f t="array" ref="AY89">'Fórmula'!C89*(INDEX(properties!A$1:CB$87,'Fórmula'!B89,13))+'Fórmula'!E89*(INDEX(properties!A$1:CB$87,'Fórmula'!D89,13))+'Fórmula'!G89*(INDEX(properties!A$1:CB$87,'Fórmula'!F89,13))+'Fórmula'!I89*(INDEX(properties!A$1:CB$87,'Fórmula'!H89,13))+'Fórmula'!K89*(INDEX(properties!A$1:CB$87,'Fórmula'!J89,13))</f>
        <v>32</v>
      </c>
      <c r="AZ89" s="109">
        <f t="array" ref="AZ89">VARP(IF(INDEX(properties!A$1:CB$87,'Fórmula'!B89,13)&lt;&gt;"",INDEX(properties!A$1:CB$87,'Fórmula'!B89,13)),IF(INDEX(properties!A$1:CB$87,'Fórmula'!D89,13)&lt;&gt;"",INDEX(properties!A$1:CB$87,'Fórmula'!D89,13)),IF(INDEX(properties!A$1:CB$87,'Fórmula'!F89,13)&lt;&gt;"",INDEX(properties!A$1:CB$87,'Fórmula'!F89,13)),IF(INDEX(properties!A$1:CB$87,'Fórmula'!H89,13)&lt;&gt;"",INDEX(properties!A$1:CB$87,'Fórmula'!H89,13)),IF(INDEX(properties!A$1:CB$87,'Fórmula'!J89,13)&lt;&gt;"",INDEX(properties!A$1:CB$87,'Fórmula'!J89,13)))</f>
        <v>15.36</v>
      </c>
      <c r="BA89" s="109">
        <f t="array" ref="BA89">MAX(INDEX(properties!A$1:CB$87,'Fórmula'!B89,13),INDEX(properties!A$1:CB$87,'Fórmula'!D89,13),INDEX(properties!A$1:CB$87,'Fórmula'!F89,13),INDEX(properties!A$1:CB$87,'Fórmula'!H89,13),INDEX(properties!A$1:CB$87,'Fórmula'!J89,13))</f>
        <v>10</v>
      </c>
      <c r="BB89" s="109">
        <f t="array" ref="BB89">MIN(IF('Fórmula'!B89=87,10^6,INDEX(properties!A$1:CB$87,'Fórmula'!B89,13)),IF(('Fórmula'!D89)=87,10^6,INDEX(properties!A$1:CB$87,'Fórmula'!D89,13)),IF(('Fórmula'!F89)=87,10^6,INDEX(properties!A$1:CB$87,'Fórmula'!F89,13)),IF(('Fórmula'!H89)=87,10^6,INDEX(properties!A$1:CB$87,'Fórmula'!H89,13)),IF('Fórmula'!J89=87,10^6,INDEX(properties!A$1:CB$87,'Fórmula'!J89,13)))</f>
        <v>0</v>
      </c>
      <c r="BC89" s="109">
        <f t="shared" si="9"/>
        <v>10</v>
      </c>
      <c r="BD89" s="110">
        <f t="array" ref="BD89">(('Fórmula'!C89)/('Fórmula'!C89+'Fórmula'!E89+'Fórmula'!G89+'Fórmula'!I89+'Fórmula'!K89))*(INDEX(properties!A$1:CB$87,'Fórmula'!B89,14))+(('Fórmula'!E89)/('Fórmula'!C89+'Fórmula'!E89+'Fórmula'!G89+'Fórmula'!I89+'Fórmula'!K89))*(INDEX(properties!A$1:CB$87,'Fórmula'!D89,14))+(('Fórmula'!G89)/('Fórmula'!C89+'Fórmula'!E89+'Fórmula'!G89+'Fórmula'!I89+'Fórmula'!K89))*(INDEX(properties!A$1:CB$87,'Fórmula'!F89,14))+(('Fórmula'!I89)/('Fórmula'!C89+'Fórmula'!E89+'Fórmula'!G89+'Fórmula'!I89+'Fórmula'!K89))*(INDEX(properties!A$1:CB$87,'Fórmula'!H89,14))+(('Fórmula'!K89)/('Fórmula'!C89+'Fórmula'!E89+'Fórmula'!G89+'Fórmula'!I89+'Fórmula'!K89))*(INDEX(properties!A$1:CB$87,'Fórmula'!J89,14))</f>
        <v>0</v>
      </c>
      <c r="BE89" s="110">
        <f t="array" ref="BE89">'Fórmula'!C89*(INDEX(properties!A$1:CB$87,'Fórmula'!B89,14))+'Fórmula'!E89*(INDEX(properties!A$1:CB$87,'Fórmula'!D89,14))+'Fórmula'!G89*(INDEX(properties!A$1:CB$87,'Fórmula'!F89,14))+'Fórmula'!I89*(INDEX(properties!A$1:CB$87,'Fórmula'!H89,14))+'Fórmula'!K89*(INDEX(properties!A$1:CB$87,'Fórmula'!J89,14))</f>
        <v>0</v>
      </c>
      <c r="BF89" s="110">
        <f t="array" ref="BF89">VARP(IF(INDEX(properties!A$1:CB$87,'Fórmula'!B89,14)&lt;&gt;"",INDEX(properties!A$1:CB$87,'Fórmula'!B89,14)),IF(INDEX(properties!A$1:CB$87,'Fórmula'!D89,14)&lt;&gt;"",INDEX(properties!A$1:CB$87,'Fórmula'!D89,14)),IF(INDEX(properties!A$1:CB$87,'Fórmula'!F89,14)&lt;&gt;"",INDEX(properties!A$1:CB$87,'Fórmula'!F89,14)),IF(INDEX(properties!A$1:CB$87,'Fórmula'!H89,14)&lt;&gt;"",INDEX(properties!A$1:CB$87,'Fórmula'!H89,14)),IF(INDEX(properties!A$1:CB$87,'Fórmula'!J89,14)&lt;&gt;"",INDEX(properties!A$1:CB$87,'Fórmula'!J89,14)))</f>
        <v>0</v>
      </c>
      <c r="BG89" s="110">
        <f t="array" ref="BG89">MAX(INDEX(properties!A$1:CB$87,'Fórmula'!B89,14),INDEX(properties!A$1:CB$87,'Fórmula'!D89,14),INDEX(properties!A$1:CB$87,'Fórmula'!F89,14),INDEX(properties!A$1:CB$87,'Fórmula'!H89,14),INDEX(properties!A$1:CB$87,'Fórmula'!J89,14))</f>
        <v>0</v>
      </c>
      <c r="BH89" s="110">
        <f t="array" ref="BH89">MIN(IF('Fórmula'!B89=87,10^6,INDEX(properties!A$1:CB$87,'Fórmula'!B89,14)),IF(('Fórmula'!D89)=87,10^6,INDEX(properties!A$1:CB$87,'Fórmula'!D89,14)),IF(('Fórmula'!F89)=87,10^6,INDEX(properties!A$1:CB$87,'Fórmula'!F89,14)),IF(('Fórmula'!H89)=87,10^6,INDEX(properties!A$1:CB$87,'Fórmula'!H89,14)),IF('Fórmula'!J89=87,10^6,INDEX(properties!A$1:CB$87,'Fórmula'!J89,14)))</f>
        <v>0</v>
      </c>
      <c r="BI89" s="110">
        <f t="shared" si="10"/>
        <v>0</v>
      </c>
      <c r="BJ89" s="111">
        <f t="array" ref="BJ89">(('Fórmula'!C89)/('Fórmula'!C89+'Fórmula'!E89+'Fórmula'!G89+'Fórmula'!I89+'Fórmula'!K89))*(INDEX(properties!A$1:CB$87,'Fórmula'!B89,19))+(('Fórmula'!E89)/('Fórmula'!C89+'Fórmula'!E89+'Fórmula'!G89+'Fórmula'!I89+'Fórmula'!K89))*(INDEX(properties!A$1:CB$87,'Fórmula'!D89,19))+(('Fórmula'!G89)/('Fórmula'!C89+'Fórmula'!E89+'Fórmula'!G89+'Fórmula'!I89+'Fórmula'!K89))*(INDEX(properties!A$1:CB$87,'Fórmula'!F89,19))+(('Fórmula'!I89)/('Fórmula'!C89+'Fórmula'!E89+'Fórmula'!G89+'Fórmula'!I89+'Fórmula'!K89))*(INDEX(properties!A$1:CB$87,'Fórmula'!H89,19))+(('Fórmula'!K89)/('Fórmula'!C89+'Fórmula'!E89+'Fórmula'!G89+'Fórmula'!I89+'Fórmula'!K89))*(INDEX(properties!A$1:CB$87,'Fórmula'!J89,19))</f>
        <v>6.3</v>
      </c>
      <c r="BK89" s="111">
        <f t="array" ref="BK89">'Fórmula'!C89*(INDEX(properties!A$1:CB$87,'Fórmula'!B89,19))+'Fórmula'!E89*(INDEX(properties!A$1:CB$87,'Fórmula'!D89,19))+'Fórmula'!G89*(INDEX(properties!A$1:CB$87,'Fórmula'!F89,19))+'Fórmula'!I89*(INDEX(properties!A$1:CB$87,'Fórmula'!H89,19))+'Fórmula'!K89*(INDEX(properties!A$1:CB$87,'Fórmula'!J89,19))</f>
        <v>126</v>
      </c>
      <c r="BL89" s="111">
        <f t="array" ref="BL89">VARP(IF(INDEX(properties!A$1:CB$87,'Fórmula'!B89,19)&lt;&gt;"",INDEX(properties!A$1:CB$87,'Fórmula'!B89,19)),IF(INDEX(properties!A$1:CB$87,'Fórmula'!D89,19)&lt;&gt;"",INDEX(properties!A$1:CB$87,'Fórmula'!D89,19)),IF(INDEX(properties!A$1:CB$87,'Fórmula'!F89,19)&lt;&gt;"",INDEX(properties!A$1:CB$87,'Fórmula'!F89,19)),IF(INDEX(properties!A$1:CB$87,'Fórmula'!H89,19)&lt;&gt;"",INDEX(properties!A$1:CB$87,'Fórmula'!H89,19)),IF(INDEX(properties!A$1:CB$87,'Fórmula'!J89,19)&lt;&gt;"",INDEX(properties!A$1:CB$87,'Fórmula'!J89,19)))</f>
        <v>24</v>
      </c>
      <c r="BM89" s="111">
        <f t="array" ref="BM89">MAX(INDEX(properties!A$1:CB$87,'Fórmula'!B89,19),INDEX(properties!A$1:CB$87,'Fórmula'!D89,19),INDEX(properties!A$1:CB$87,'Fórmula'!F89,19),INDEX(properties!A$1:CB$87,'Fórmula'!H89,19),INDEX(properties!A$1:CB$87,'Fórmula'!J89,19))</f>
        <v>14</v>
      </c>
      <c r="BN89" s="111">
        <f t="array" ref="BN89">MIN(IF(INDEX(properties!A$1:CB$87,'Fórmula'!B89,19)=0,10^6,INDEX(properties!A$1:CB$87,'Fórmula'!B89,19)),IF(INDEX(properties!A$1:CB$87,'Fórmula'!D89,19)=0,10^6,INDEX(properties!A$1:CB$87,'Fórmula'!D89,19)),IF(INDEX(properties!A$1:CB$87,'Fórmula'!F89,19)=0,10^6,INDEX(properties!A$1:CB$87,'Fórmula'!F89,19)),IF(INDEX(properties!A$1:CB$87,'Fórmula'!H89,19)=0,10^6,INDEX(properties!A$1:CB$87,'Fórmula'!H89,19)),IF(INDEX(properties!A$1:CB$87,'Fórmula'!J89,19)=0,10^6,INDEX(properties!A$1:CB$87,'Fórmula'!J89,19)))</f>
        <v>2</v>
      </c>
      <c r="BO89" s="111">
        <f t="shared" si="11"/>
        <v>12</v>
      </c>
      <c r="BP89" s="112">
        <f t="array" ref="BP89">(('Fórmula'!C89)/('Fórmula'!C89+'Fórmula'!E89+'Fórmula'!G89+'Fórmula'!I89+'Fórmula'!K89))*(INDEX(properties!A$1:CB$87,'Fórmula'!B89,20))+(('Fórmula'!E89)/('Fórmula'!C89+'Fórmula'!E89+'Fórmula'!G89+'Fórmula'!I89+'Fórmula'!K89))*(INDEX(properties!A$1:CB$87,'Fórmula'!D89,20))+(('Fórmula'!G89)/('Fórmula'!C89+'Fórmula'!E89+'Fórmula'!G89+'Fórmula'!I89+'Fórmula'!K89))*(INDEX(properties!A$1:CB$87,'Fórmula'!F89,20))+(('Fórmula'!I89)/('Fórmula'!C89+'Fórmula'!E89+'Fórmula'!G89+'Fórmula'!I89+'Fórmula'!K89))*(INDEX(properties!A$1:CB$87,'Fórmula'!H89,20))+(('Fórmula'!K89)/('Fórmula'!C89+'Fórmula'!E89+'Fórmula'!G89+'Fórmula'!I89+'Fórmula'!K89))*(INDEX(properties!A$1:CB$87,'Fórmula'!J89,20))</f>
        <v>4.7</v>
      </c>
      <c r="BQ89" s="112">
        <f t="array" ref="BQ89">'Fórmula'!C89*(INDEX(properties!A$1:CB$87,'Fórmula'!B89,20))+'Fórmula'!E89*(INDEX(properties!A$1:CB$87,'Fórmula'!D89,20))+'Fórmula'!G89*(INDEX(properties!A$1:CB$87,'Fórmula'!F89,20))+'Fórmula'!I89*(INDEX(properties!A$1:CB$87,'Fórmula'!H89,20))+'Fórmula'!K89*(INDEX(properties!A$1:CB$87,'Fórmula'!J89,20))</f>
        <v>94</v>
      </c>
      <c r="BR89" s="112">
        <f t="array" ref="BR89">VARP(IF(INDEX(properties!A$1:CB$87,'Fórmula'!B89,20)&lt;&gt;"",INDEX(properties!A$1:CB$87,'Fórmula'!B89,20)),IF(INDEX(properties!A$1:CB$87,'Fórmula'!D89,20)&lt;&gt;"",INDEX(properties!A$1:CB$87,'Fórmula'!D89,20)),IF(INDEX(properties!A$1:CB$87,'Fórmula'!F89,20)&lt;&gt;"",INDEX(properties!A$1:CB$87,'Fórmula'!F89,20)),IF(INDEX(properties!A$1:CB$87,'Fórmula'!H89,20)&lt;&gt;"",INDEX(properties!A$1:CB$87,'Fórmula'!H89,20)),IF(INDEX(properties!A$1:CB$87,'Fórmula'!J89,20)&lt;&gt;"",INDEX(properties!A$1:CB$87,'Fórmula'!J89,20)))</f>
        <v>4.16</v>
      </c>
      <c r="BS89" s="112">
        <f t="array" ref="BS89">MAX(INDEX(properties!A$1:CB$87,'Fórmula'!B89,20),INDEX(properties!A$1:CB$87,'Fórmula'!D89,20),INDEX(properties!A$1:CB$87,'Fórmula'!F89,20),INDEX(properties!A$1:CB$87,'Fórmula'!H89,20),INDEX(properties!A$1:CB$87,'Fórmula'!J89,20))</f>
        <v>6</v>
      </c>
      <c r="BT89" s="112">
        <f t="array" ref="BT89">MIN(IF(INDEX(properties!A$1:CB$87,'Fórmula'!B89,20)=0,10^6,INDEX(properties!A$1:CB$87,'Fórmula'!B89,20)),IF(INDEX(properties!A$1:CB$87,'Fórmula'!D89,20)=0,10^6,INDEX(properties!A$1:CB$87,'Fórmula'!D89,20)),IF(INDEX(properties!A$1:CB$87,'Fórmula'!F89,20)=0,10^6,INDEX(properties!A$1:CB$87,'Fórmula'!F89,20)),IF(INDEX(properties!A$1:CB$87,'Fórmula'!H89,20)=0,10^6,INDEX(properties!A$1:CB$87,'Fórmula'!H89,20)),IF(INDEX(properties!A$1:CB$87,'Fórmula'!J89,20)=0,10^6,INDEX(properties!A$1:CB$87,'Fórmula'!J89,20)))</f>
        <v>2</v>
      </c>
      <c r="BU89" s="112">
        <f t="shared" si="12"/>
        <v>4</v>
      </c>
      <c r="BV89" s="113">
        <f t="array" ref="BV89">(('Fórmula'!C89)/('Fórmula'!C89+'Fórmula'!E89+'Fórmula'!G89+'Fórmula'!I89+'Fórmula'!K89))*(INDEX(properties!A$1:CB$87,'Fórmula'!B89,21))+(('Fórmula'!E89)/('Fórmula'!C89+'Fórmula'!E89+'Fórmula'!G89+'Fórmula'!I89+'Fórmula'!K89))*(INDEX(properties!A$1:CB$87,'Fórmula'!D89,21))+(('Fórmula'!G89)/('Fórmula'!C89+'Fórmula'!E89+'Fórmula'!G89+'Fórmula'!I89+'Fórmula'!K89))*(INDEX(properties!A$1:CB$87,'Fórmula'!F89,21))+(('Fórmula'!I89)/('Fórmula'!C89+'Fórmula'!E89+'Fórmula'!G89+'Fórmula'!I89+'Fórmula'!K89))*(INDEX(properties!A$1:CB$87,'Fórmula'!H89,21))+(('Fórmula'!K89)/('Fórmula'!C89+'Fórmula'!E89+'Fórmula'!G89+'Fórmula'!I89+'Fórmula'!K89))*(INDEX(properties!A$1:CB$87,'Fórmula'!J89,21))</f>
        <v>4.6</v>
      </c>
      <c r="BW89" s="113">
        <f t="array" ref="BW89">'Fórmula'!C89*(INDEX(properties!A$1:CB$87,'Fórmula'!B89,21))+'Fórmula'!E89*(INDEX(properties!A$1:CB$87,'Fórmula'!D89,21))+'Fórmula'!G89*(INDEX(properties!A$1:CB$87,'Fórmula'!F89,21))+'Fórmula'!I89*(INDEX(properties!A$1:CB$87,'Fórmula'!H89,21))+'Fórmula'!K89*(INDEX(properties!A$1:CB$87,'Fórmula'!J89,21))</f>
        <v>92</v>
      </c>
      <c r="BX89" s="113">
        <f t="array" ref="BX89">VARP(IF(INDEX(properties!A$1:CB$87,'Fórmula'!B89,21)&lt;&gt;"",INDEX(properties!A$1:CB$87,'Fórmula'!B89,21)),IF(INDEX(properties!A$1:CB$87,'Fórmula'!D89,21)&lt;&gt;"",INDEX(properties!A$1:CB$87,'Fórmula'!D89,21)),IF(INDEX(properties!A$1:CB$87,'Fórmula'!F89,21)&lt;&gt;"",INDEX(properties!A$1:CB$87,'Fórmula'!F89,21)),IF(INDEX(properties!A$1:CB$87,'Fórmula'!H89,21)&lt;&gt;"",INDEX(properties!A$1:CB$87,'Fórmula'!H89,21)),IF(INDEX(properties!A$1:CB$87,'Fórmula'!J89,21)&lt;&gt;"",INDEX(properties!A$1:CB$87,'Fórmula'!J89,21)))</f>
        <v>4.64</v>
      </c>
      <c r="BY89" s="113">
        <f t="array" ref="BY89">MAX(INDEX(properties!A$1:CB$87,'Fórmula'!B89,21),INDEX(properties!A$1:CB$87,'Fórmula'!D89,21),INDEX(properties!A$1:CB$87,'Fórmula'!F89,21),INDEX(properties!A$1:CB$87,'Fórmula'!H89,21),INDEX(properties!A$1:CB$87,'Fórmula'!J89,21))</f>
        <v>6</v>
      </c>
      <c r="BZ89" s="113">
        <f t="array" ref="BZ89">MIN(IF(INDEX(properties!A$1:CB$87,'Fórmula'!B89,21)=0,10^6,INDEX(properties!A$1:CB$87,'Fórmula'!B89,21)),IF(INDEX(properties!A$1:CB$87,'Fórmula'!D89,21)=0,10^6,INDEX(properties!A$1:CB$87,'Fórmula'!D89,21)),IF(INDEX(properties!A$1:CB$87,'Fórmula'!F89,21)=0,10^6,INDEX(properties!A$1:CB$87,'Fórmula'!F89,21)),IF(INDEX(properties!A$1:CB$87,'Fórmula'!H89,21)=0,10^6,INDEX(properties!A$1:CB$87,'Fórmula'!H89,21)),IF(INDEX(properties!A$1:CB$87,'Fórmula'!J89,21)=0,10^6,INDEX(properties!A$1:CB$87,'Fórmula'!J89,21)))</f>
        <v>1</v>
      </c>
      <c r="CA89" s="113">
        <f t="shared" si="13"/>
        <v>5</v>
      </c>
      <c r="CB89" s="114">
        <f t="array" ref="CB89">(('Fórmula'!C89)/('Fórmula'!C89+'Fórmula'!E89+'Fórmula'!G89+'Fórmula'!I89+'Fórmula'!K89))*(INDEX(properties!A$1:CB$87,'Fórmula'!B89,23))+(('Fórmula'!E89)/('Fórmula'!C89+'Fórmula'!E89+'Fórmula'!G89+'Fórmula'!I89+'Fórmula'!K89))*(INDEX(properties!A$1:CB$87,'Fórmula'!D89,23))+(('Fórmula'!G89)/('Fórmula'!C89+'Fórmula'!E89+'Fórmula'!G89+'Fórmula'!I89+'Fórmula'!K89))*(INDEX(properties!A$1:CB$87,'Fórmula'!F89,23))+(('Fórmula'!I89)/('Fórmula'!C89+'Fórmula'!E89+'Fórmula'!G89+'Fórmula'!I89+'Fórmula'!K89))*(INDEX(properties!A$1:CB$87,'Fórmula'!H89,23))+(('Fórmula'!K89)/('Fórmula'!C89+'Fórmula'!E89+'Fórmula'!G89+'Fórmula'!I89+'Fórmula'!K89))*(INDEX(properties!A$1:CB$87,'Fórmula'!J89,23))</f>
        <v>1.2</v>
      </c>
      <c r="CC89" s="114">
        <f t="array" ref="CC89">'Fórmula'!C89*(INDEX(properties!A$1:CB$87,'Fórmula'!B89,23))+'Fórmula'!E89*(INDEX(properties!A$1:CB$87,'Fórmula'!D89,23))+'Fórmula'!G89*(INDEX(properties!A$1:CB$87,'Fórmula'!F89,23))+'Fórmula'!I89*(INDEX(properties!A$1:CB$87,'Fórmula'!H89,23))+'Fórmula'!K89*(INDEX(properties!A$1:CB$87,'Fórmula'!J89,23))</f>
        <v>24</v>
      </c>
      <c r="CD89" s="114">
        <f t="array" ref="CD89">VARP(IF(INDEX(properties!A$1:CB$87,'Fórmula'!B89,23)&lt;&gt;"",INDEX(properties!A$1:CB$87,'Fórmula'!B89,23)),IF(INDEX(properties!A$1:CB$87,'Fórmula'!D89,23)&lt;&gt;"",INDEX(properties!A$1:CB$87,'Fórmula'!D89,23)),IF(INDEX(properties!A$1:CB$87,'Fórmula'!F89,23)&lt;&gt;"",INDEX(properties!A$1:CB$87,'Fórmula'!F89,23)),IF(INDEX(properties!A$1:CB$87,'Fórmula'!H89,23)&lt;&gt;"",INDEX(properties!A$1:CB$87,'Fórmula'!H89,23)),IF(INDEX(properties!A$1:CB$87,'Fórmula'!J89,23)&lt;&gt;"",INDEX(properties!A$1:CB$87,'Fórmula'!J89,23)))</f>
        <v>2.56</v>
      </c>
      <c r="CE89" s="114">
        <f t="array" ref="CE89">MAX(INDEX(properties!A$1:CB$87,'Fórmula'!B89,23),INDEX(properties!A$1:CB$87,'Fórmula'!D89,23),INDEX(properties!A$1:CB$87,'Fórmula'!F89,23),INDEX(properties!A$1:CB$87,'Fórmula'!H89,23),INDEX(properties!A$1:CB$87,'Fórmula'!J89,23))</f>
        <v>4</v>
      </c>
      <c r="CF89" s="114">
        <f t="array" ref="CF89">MIN(IF('Fórmula'!B89=87,10^6,INDEX(properties!A$1:CB$87,'Fórmula'!B89,23)),IF(('Fórmula'!D89)=87,10^6,INDEX(properties!A$1:CB$87,'Fórmula'!D89,23)),IF(('Fórmula'!F89)=87,10^6,INDEX(properties!A$1:CB$87,'Fórmula'!F89,23)),IF(('Fórmula'!H89)=87,10^6,INDEX(properties!A$1:CB$87,'Fórmula'!H89,23)),IF('Fórmula'!J89=87,10^6,INDEX(properties!A$1:CB$87,'Fórmula'!J89,23)))</f>
        <v>0</v>
      </c>
      <c r="CG89" s="114">
        <f t="shared" si="14"/>
        <v>4</v>
      </c>
      <c r="CH89" s="115">
        <f t="array" ref="CH89">(('Fórmula'!C89)/('Fórmula'!C89+'Fórmula'!E89+'Fórmula'!G89+'Fórmula'!I89+'Fórmula'!K89))*(INDEX(properties!A$1:CB$87,'Fórmula'!B89,26))+(('Fórmula'!E89)/('Fórmula'!C89+'Fórmula'!E89+'Fórmula'!G89+'Fórmula'!I89+'Fórmula'!K89))*(INDEX(properties!A$1:CB$87,'Fórmula'!D89,26))+(('Fórmula'!G89)/('Fórmula'!C89+'Fórmula'!E89+'Fórmula'!G89+'Fórmula'!I89+'Fórmula'!K89))*(INDEX(properties!A$1:CB$87,'Fórmula'!F89,26))+(('Fórmula'!I89)/('Fórmula'!C89+'Fórmula'!E89+'Fórmula'!G89+'Fórmula'!I89+'Fórmula'!K89))*(INDEX(properties!A$1:CB$87,'Fórmula'!H89,26))+(('Fórmula'!K89)/('Fórmula'!C89+'Fórmula'!E89+'Fórmula'!G89+'Fórmula'!I89+'Fórmula'!K89))*(INDEX(properties!A$1:CB$87,'Fórmula'!J89,26))</f>
        <v>10.89448</v>
      </c>
      <c r="CI89" s="115">
        <f t="array" ref="CI89">'Fórmula'!C89*(INDEX(properties!A$1:CB$87,'Fórmula'!B89,26))+'Fórmula'!E89*(INDEX(properties!A$1:CB$87,'Fórmula'!D89,26))+'Fórmula'!G89*(INDEX(properties!A$1:CB$87,'Fórmula'!F89,26))+'Fórmula'!I89*(INDEX(properties!A$1:CB$87,'Fórmula'!H89,26))+'Fórmula'!K89*(INDEX(properties!A$1:CB$87,'Fórmula'!J89,26))</f>
        <v>217.8896</v>
      </c>
      <c r="CJ89" s="115">
        <f t="array" ref="CJ89">VARP(IF(INDEX(properties!A$1:CB$87,'Fórmula'!B89,26)&lt;&gt;"",INDEX(properties!A$1:CB$87,'Fórmula'!B89,26)),IF(INDEX(properties!A$1:CB$87,'Fórmula'!D89,26)&lt;&gt;"",INDEX(properties!A$1:CB$87,'Fórmula'!D89,26)),IF(INDEX(properties!A$1:CB$87,'Fórmula'!F89,26)&lt;&gt;"",INDEX(properties!A$1:CB$87,'Fórmula'!F89,26)),IF(INDEX(properties!A$1:CB$87,'Fórmula'!H89,26)&lt;&gt;"",INDEX(properties!A$1:CB$87,'Fórmula'!H89,26)),IF(INDEX(properties!A$1:CB$87,'Fórmula'!J89,26)&lt;&gt;"",INDEX(properties!A$1:CB$87,'Fórmula'!J89,26)))</f>
        <v>18.94835614</v>
      </c>
      <c r="CK89" s="116">
        <f t="array" ref="CK89">MAX(INDEX(properties!A$1:CB$87,'Fórmula'!B89,26),INDEX(properties!A$1:CB$87,'Fórmula'!D89,26),INDEX(properties!A$1:CB$87,'Fórmula'!F89,26),INDEX(properties!A$1:CB$87,'Fórmula'!H89,26),INDEX(properties!A$1:CB$87,'Fórmula'!J89,26))</f>
        <v>13.6181</v>
      </c>
      <c r="CL89" s="116">
        <f t="array" ref="CL89">MIN(IF(INDEX(properties!A$1:CB$87,'Fórmula'!B89,26)=0,10^6,INDEX(properties!A$1:CB$87,'Fórmula'!B89,26)),IF(INDEX(properties!A$1:CB$87,'Fórmula'!D89,26)=0,10^6,INDEX(properties!A$1:CB$87,'Fórmula'!D89,26)),IF(INDEX(properties!A$1:CB$87,'Fórmula'!F89,26)=0,10^6,INDEX(properties!A$1:CB$87,'Fórmula'!F89,26)),IF(INDEX(properties!A$1:CB$87,'Fórmula'!H89,26)=0,10^6,INDEX(properties!A$1:CB$87,'Fórmula'!H89,26)),IF(INDEX(properties!A$1:CB$87,'Fórmula'!J89,26)=0,10^6,INDEX(properties!A$1:CB$87,'Fórmula'!J89,26)))</f>
        <v>6.1132</v>
      </c>
      <c r="CM89" s="115">
        <f t="shared" si="15"/>
        <v>7.5049</v>
      </c>
      <c r="CN89" s="117">
        <f t="array" ref="CN89">(('Fórmula'!C89)/('Fórmula'!C89+'Fórmula'!E89+'Fórmula'!G89+'Fórmula'!I89+'Fórmula'!K89))*(INDEX(properties!A$1:CB$87,'Fórmula'!B89,30))+(('Fórmula'!E89)/('Fórmula'!C89+'Fórmula'!E89+'Fórmula'!G89+'Fórmula'!I89+'Fórmula'!K89))*(INDEX(properties!A$1:CB$87,'Fórmula'!D89,30))+(('Fórmula'!G89)/('Fórmula'!C89+'Fórmula'!E89+'Fórmula'!G89+'Fórmula'!I89+'Fórmula'!K89))*(INDEX(properties!A$1:CB$87,'Fórmula'!F89,30))+(('Fórmula'!I89)/('Fórmula'!C89+'Fórmula'!E89+'Fórmula'!G89+'Fórmula'!I89+'Fórmula'!K89))*(INDEX(properties!A$1:CB$87,'Fórmula'!H89,30))+(('Fórmula'!K89)/('Fórmula'!C89+'Fórmula'!E89+'Fórmula'!G89+'Fórmula'!I89+'Fórmula'!K89))*(INDEX(properties!A$1:CB$87,'Fórmula'!J89,30))</f>
        <v>2.6375</v>
      </c>
      <c r="CO89" s="117">
        <f t="array" ref="CO89">'Fórmula'!C89*(INDEX(properties!A$1:CB$87,'Fórmula'!B89,30))+'Fórmula'!E89*(INDEX(properties!A$1:CB$87,'Fórmula'!D89,30))+'Fórmula'!G89*(INDEX(properties!A$1:CB$87,'Fórmula'!F89,30))+'Fórmula'!I89*(INDEX(properties!A$1:CB$87,'Fórmula'!H89,30))+'Fórmula'!K89*(INDEX(properties!A$1:CB$87,'Fórmula'!J89,30))</f>
        <v>52.75</v>
      </c>
      <c r="CP89" s="117">
        <f t="array" ref="CP89">VARP(IF(INDEX(properties!A$1:CB$87,'Fórmula'!B89,30)&lt;&gt;"",INDEX(properties!A$1:CB$87,'Fórmula'!B89,30)),IF(INDEX(properties!A$1:CB$87,'Fórmula'!D89,30)&lt;&gt;"",INDEX(properties!A$1:CB$87,'Fórmula'!D89,30)),IF(INDEX(properties!A$1:CB$87,'Fórmula'!F89,30)&lt;&gt;"",INDEX(properties!A$1:CB$87,'Fórmula'!F89,30)),IF(INDEX(properties!A$1:CB$87,'Fórmula'!H89,30)&lt;&gt;"",INDEX(properties!A$1:CB$87,'Fórmula'!H89,30)),IF(INDEX(properties!A$1:CB$87,'Fórmula'!J89,30)&lt;&gt;"",INDEX(properties!A$1:CB$87,'Fórmula'!J89,30)))</f>
        <v>1.319264</v>
      </c>
      <c r="CQ89" s="117">
        <f t="array" ref="CQ89">MAX(INDEX(properties!A$1:CB$87,'Fórmula'!B89,30),INDEX(properties!A$1:CB$87,'Fórmula'!D89,30),INDEX(properties!A$1:CB$87,'Fórmula'!F89,30),INDEX(properties!A$1:CB$87,'Fórmula'!H89,30),INDEX(properties!A$1:CB$87,'Fórmula'!J89,30))</f>
        <v>3.44</v>
      </c>
      <c r="CR89" s="117">
        <f t="array" ref="CR89">MIN(IF(INDEX(properties!A$1:CB$87,'Fórmula'!B89,30)=0,10^6,INDEX(properties!A$1:CB$87,'Fórmula'!B89,30)),IF(INDEX(properties!A$1:CB$87,'Fórmula'!D89,30)=0,10^6,INDEX(properties!A$1:CB$87,'Fórmula'!D89,30)),IF(INDEX(properties!A$1:CB$87,'Fórmula'!F89,30)=0,10^6,INDEX(properties!A$1:CB$87,'Fórmula'!F89,30)),IF(INDEX(properties!A$1:CB$87,'Fórmula'!H89,30)=0,10^6,INDEX(properties!A$1:CB$87,'Fórmula'!H89,30)),IF(INDEX(properties!A$1:CB$87,'Fórmula'!J89,30)=0,10^6,INDEX(properties!A$1:CB$87,'Fórmula'!J89,30)))</f>
        <v>1</v>
      </c>
      <c r="CS89" s="117">
        <f t="shared" si="16"/>
        <v>2.44</v>
      </c>
      <c r="CT89" s="118">
        <f t="array" ref="CT89">(('Fórmula'!C89)/('Fórmula'!C89+'Fórmula'!E89+'Fórmula'!G89+'Fórmula'!I89+'Fórmula'!K89))*(INDEX(properties!A$1:CB$87,'Fórmula'!B89,31))+(('Fórmula'!E89)/('Fórmula'!C89+'Fórmula'!E89+'Fórmula'!G89+'Fórmula'!I89+'Fórmula'!K89))*(INDEX(properties!A$1:CB$87,'Fórmula'!D89,31))+(('Fórmula'!G89)/('Fórmula'!C89+'Fórmula'!E89+'Fórmula'!G89+'Fórmula'!I89+'Fórmula'!K89))*(INDEX(properties!A$1:CB$87,'Fórmula'!F89,31))+(('Fórmula'!I89)/('Fórmula'!C89+'Fórmula'!E89+'Fórmula'!G89+'Fórmula'!I89+'Fórmula'!K89))*(INDEX(properties!A$1:CB$87,'Fórmula'!H89,31))+(('Fórmula'!K89)/('Fórmula'!C89+'Fórmula'!E89+'Fórmula'!G89+'Fórmula'!I89+'Fórmula'!K89))*(INDEX(properties!A$1:CB$87,'Fórmula'!J89,31))</f>
        <v>2.607</v>
      </c>
      <c r="CU89" s="118">
        <f t="array" ref="CU89">'Fórmula'!C89*(INDEX(properties!A$1:CB$87,'Fórmula'!B89,31))+'Fórmula'!E89*(INDEX(properties!A$1:CB$87,'Fórmula'!D89,31))+'Fórmula'!G89*(INDEX(properties!A$1:CB$87,'Fórmula'!F89,31))+'Fórmula'!I89*(INDEX(properties!A$1:CB$87,'Fórmula'!H89,31))+'Fórmula'!K89*(INDEX(properties!A$1:CB$87,'Fórmula'!J89,31))</f>
        <v>52.14</v>
      </c>
      <c r="CV89" s="118">
        <f t="array" ref="CV89">VARP(IF(INDEX(properties!A$1:CB$87,'Fórmula'!B89,31)&lt;&gt;"",INDEX(properties!A$1:CB$87,'Fórmula'!B89,31)),IF(INDEX(properties!A$1:CB$87,'Fórmula'!D89,31)&lt;&gt;"",INDEX(properties!A$1:CB$87,'Fórmula'!D89,31)),IF(INDEX(properties!A$1:CB$87,'Fórmula'!F89,31)&lt;&gt;"",INDEX(properties!A$1:CB$87,'Fórmula'!F89,31)),IF(INDEX(properties!A$1:CB$87,'Fórmula'!H89,31)&lt;&gt;"",INDEX(properties!A$1:CB$87,'Fórmula'!H89,31)),IF(INDEX(properties!A$1:CB$87,'Fórmula'!J89,31)&lt;&gt;"",INDEX(properties!A$1:CB$87,'Fórmula'!J89,31)))</f>
        <v>1.177816</v>
      </c>
      <c r="CW89" s="118">
        <f t="array" ref="CW89">MAX(INDEX(properties!A$1:CB$87,'Fórmula'!B89,31),INDEX(properties!A$1:CB$87,'Fórmula'!D89,31),INDEX(properties!A$1:CB$87,'Fórmula'!F89,31),INDEX(properties!A$1:CB$87,'Fórmula'!H89,31),INDEX(properties!A$1:CB$87,'Fórmula'!J89,31))</f>
        <v>3.32</v>
      </c>
      <c r="CX89" s="118">
        <f t="array" ref="CX89">MIN(IF(INDEX(properties!A$1:CB$87,'Fórmula'!B89,31)=0,10^6,INDEX(properties!A$1:CB$87,'Fórmula'!B89,31)),IF(INDEX(properties!A$1:CB$87,'Fórmula'!D89,31)=0,10^6,INDEX(properties!A$1:CB$87,'Fórmula'!D89,31)),IF(INDEX(properties!A$1:CB$87,'Fórmula'!F89,31)=0,10^6,INDEX(properties!A$1:CB$87,'Fórmula'!F89,31)),IF(INDEX(properties!A$1:CB$87,'Fórmula'!H89,31)=0,10^6,INDEX(properties!A$1:CB$87,'Fórmula'!H89,31)),IF(INDEX(properties!A$1:CB$87,'Fórmula'!J89,31)=0,10^6,INDEX(properties!A$1:CB$87,'Fórmula'!J89,31)))</f>
        <v>1.17</v>
      </c>
      <c r="CY89" s="118">
        <f t="shared" si="17"/>
        <v>2.15</v>
      </c>
      <c r="CZ89" s="119">
        <f t="array" ref="CZ89">(('Fórmula'!C89)/('Fórmula'!C89+'Fórmula'!E89+'Fórmula'!G89+'Fórmula'!I89+'Fórmula'!K89))*(INDEX(properties!A$1:CB$87,'Fórmula'!B89,32))+(('Fórmula'!E89)/('Fórmula'!C89+'Fórmula'!E89+'Fórmula'!G89+'Fórmula'!I89+'Fórmula'!K89))*(INDEX(properties!A$1:CB$87,'Fórmula'!D89,32))+(('Fórmula'!G89)/('Fórmula'!C89+'Fórmula'!E89+'Fórmula'!G89+'Fórmula'!I89+'Fórmula'!K89))*(INDEX(properties!A$1:CB$87,'Fórmula'!F89,32))+(('Fórmula'!I89)/('Fórmula'!C89+'Fórmula'!E89+'Fórmula'!G89+'Fórmula'!I89+'Fórmula'!K89))*(INDEX(properties!A$1:CB$87,'Fórmula'!H89,32))+(('Fórmula'!K89)/('Fórmula'!C89+'Fórmula'!E89+'Fórmula'!G89+'Fórmula'!I89+'Fórmula'!K89))*(INDEX(properties!A$1:CB$87,'Fórmula'!J89,32))</f>
        <v>5.863</v>
      </c>
      <c r="DA89" s="119">
        <f t="array" ref="DA89">'Fórmula'!C89*(INDEX(properties!A$1:CB$87,'Fórmula'!B89,32))+'Fórmula'!E89*(INDEX(properties!A$1:CB$87,'Fórmula'!D89,32))+'Fórmula'!G89*(INDEX(properties!A$1:CB$87,'Fórmula'!F89,32))+'Fórmula'!I89*(INDEX(properties!A$1:CB$87,'Fórmula'!H89,32))+'Fórmula'!K89*(INDEX(properties!A$1:CB$87,'Fórmula'!J89,32))</f>
        <v>117.26</v>
      </c>
      <c r="DB89" s="119">
        <f t="array" ref="DB89">VARP(IF(INDEX(properties!A$1:CB$87,'Fórmula'!B89,32)&lt;&gt;"",INDEX(properties!A$1:CB$87,'Fórmula'!B89,32)),IF(INDEX(properties!A$1:CB$87,'Fórmula'!D89,32)&lt;&gt;"",INDEX(properties!A$1:CB$87,'Fórmula'!D89,32)),IF(INDEX(properties!A$1:CB$87,'Fórmula'!F89,32)&lt;&gt;"",INDEX(properties!A$1:CB$87,'Fórmula'!F89,32)),IF(INDEX(properties!A$1:CB$87,'Fórmula'!H89,32)&lt;&gt;"",INDEX(properties!A$1:CB$87,'Fórmula'!H89,32)),IF(INDEX(properties!A$1:CB$87,'Fórmula'!J89,32)&lt;&gt;"",INDEX(properties!A$1:CB$87,'Fórmula'!J89,32)))</f>
        <v>6.313504</v>
      </c>
      <c r="DC89" s="119">
        <f t="array" ref="DC89">MAX(INDEX(properties!A$1:CB$87,'Fórmula'!B89,32),INDEX(properties!A$1:CB$87,'Fórmula'!D89,32),INDEX(properties!A$1:CB$87,'Fórmula'!F89,32),INDEX(properties!A$1:CB$87,'Fórmula'!H89,32),INDEX(properties!A$1:CB$87,'Fórmula'!J89,32))</f>
        <v>7.54</v>
      </c>
      <c r="DD89" s="119">
        <f t="array" ref="DD89">MIN(IF(INDEX(properties!A$1:CB$87,'Fórmula'!B89,32)=0,10^6,INDEX(properties!A$1:CB$87,'Fórmula'!B89,32)),IF(INDEX(properties!A$1:CB$87,'Fórmula'!D89,32)=0,10^6,INDEX(properties!A$1:CB$87,'Fórmula'!D89,32)),IF(INDEX(properties!A$1:CB$87,'Fórmula'!F89,32)=0,10^6,INDEX(properties!A$1:CB$87,'Fórmula'!F89,32)),IF(INDEX(properties!A$1:CB$87,'Fórmula'!H89,32)=0,10^6,INDEX(properties!A$1:CB$87,'Fórmula'!H89,32)),IF(INDEX(properties!A$1:CB$87,'Fórmula'!J89,32)=0,10^6,INDEX(properties!A$1:CB$87,'Fórmula'!J89,32)))</f>
        <v>2.2</v>
      </c>
      <c r="DE89" s="119">
        <f t="shared" si="18"/>
        <v>5.34</v>
      </c>
      <c r="DF89" s="104">
        <f t="array" ref="DF89">(('Fórmula'!C89)/('Fórmula'!C89+'Fórmula'!E89+'Fórmula'!G89+'Fórmula'!I89+'Fórmula'!K89))*(INDEX(properties!A$1:CB$87,'Fórmula'!B89,34))+(('Fórmula'!E89)/('Fórmula'!C89+'Fórmula'!E89+'Fórmula'!G89+'Fórmula'!I89+'Fórmula'!K89))*(INDEX(properties!A$1:CB$87,'Fórmula'!D89,34))+(('Fórmula'!G89)/('Fórmula'!C89+'Fórmula'!E89+'Fórmula'!G89+'Fórmula'!I89+'Fórmula'!K89))*(INDEX(properties!A$1:CB$87,'Fórmula'!F89,34))+(('Fórmula'!I89)/('Fórmula'!C89+'Fórmula'!E89+'Fórmula'!G89+'Fórmula'!I89+'Fórmula'!K89))*(INDEX(properties!A$1:CB$87,'Fórmula'!H89,34))+(('Fórmula'!K89)/('Fórmula'!C89+'Fórmula'!E89+'Fórmula'!G89+'Fórmula'!I89+'Fórmula'!K89))*(INDEX(properties!A$1:CB$87,'Fórmula'!J89,34))</f>
        <v>2.7322</v>
      </c>
      <c r="DG89" s="104">
        <f t="array" ref="DG89">'Fórmula'!C89*(INDEX(properties!A$1:CB$87,'Fórmula'!B89,34))+'Fórmula'!E89*(INDEX(properties!A$1:CB$87,'Fórmula'!D89,34))+'Fórmula'!G89*(INDEX(properties!A$1:CB$87,'Fórmula'!F89,34))+'Fórmula'!I89*(INDEX(properties!A$1:CB$87,'Fórmula'!H89,34))+'Fórmula'!K89*(INDEX(properties!A$1:CB$87,'Fórmula'!J89,34))</f>
        <v>54.644</v>
      </c>
      <c r="DH89" s="104">
        <f t="array" ref="DH89">VARP(IF(INDEX(properties!A$1:CB$87,'Fórmula'!B89,34)&lt;&gt;"",INDEX(properties!A$1:CB$87,'Fórmula'!B89,34)),IF(INDEX(properties!A$1:CB$87,'Fórmula'!D89,34)&lt;&gt;"",INDEX(properties!A$1:CB$87,'Fórmula'!D89,34)),IF(INDEX(properties!A$1:CB$87,'Fórmula'!F89,34)&lt;&gt;"",INDEX(properties!A$1:CB$87,'Fórmula'!F89,34)),IF(INDEX(properties!A$1:CB$87,'Fórmula'!H89,34)&lt;&gt;"",INDEX(properties!A$1:CB$87,'Fórmula'!H89,34)),IF(INDEX(properties!A$1:CB$87,'Fórmula'!J89,34)&lt;&gt;"",INDEX(properties!A$1:CB$87,'Fórmula'!J89,34)))</f>
        <v>1.45887584</v>
      </c>
      <c r="DI89" s="104">
        <f t="array" ref="DI89">MAX(INDEX(properties!A$1:CB$87,'Fórmula'!B89,34),INDEX(properties!A$1:CB$87,'Fórmula'!D89,34),INDEX(properties!A$1:CB$87,'Fórmula'!F89,34),INDEX(properties!A$1:CB$87,'Fórmula'!H89,34),INDEX(properties!A$1:CB$87,'Fórmula'!J89,34))</f>
        <v>3.61</v>
      </c>
      <c r="DJ89" s="104">
        <f t="array" ref="DJ89">MIN(IF(INDEX(properties!A$1:CB$87,'Fórmula'!B89,34)=0,10^6,INDEX(properties!A$1:CB$87,'Fórmula'!B89,34)),IF(INDEX(properties!A$1:CB$87,'Fórmula'!D89,34)=0,10^6,INDEX(properties!A$1:CB$87,'Fórmula'!D89,34)),IF(INDEX(properties!A$1:CB$87,'Fórmula'!F89,34)=0,10^6,INDEX(properties!A$1:CB$87,'Fórmula'!F89,34)),IF(INDEX(properties!A$1:CB$87,'Fórmula'!H89,34)=0,10^6,INDEX(properties!A$1:CB$87,'Fórmula'!H89,34)),IF(INDEX(properties!A$1:CB$87,'Fórmula'!J89,34)=0,10^6,INDEX(properties!A$1:CB$87,'Fórmula'!J89,34)))</f>
        <v>1.034</v>
      </c>
      <c r="DK89" s="104">
        <f t="shared" si="19"/>
        <v>2.576</v>
      </c>
      <c r="DL89" s="105">
        <f t="array" ref="DL89">(('Fórmula'!C89)/('Fórmula'!C89+'Fórmula'!E89+'Fórmula'!G89+'Fórmula'!I89+'Fórmula'!K89))*(INDEX(properties!A$1:CB$87,'Fórmula'!B89,37))+(('Fórmula'!E89)/('Fórmula'!C89+'Fórmula'!E89+'Fórmula'!G89+'Fórmula'!I89+'Fórmula'!K89))*(INDEX(properties!A$1:CB$87,'Fórmula'!D89,37))+(('Fórmula'!G89)/('Fórmula'!C89+'Fórmula'!E89+'Fórmula'!G89+'Fórmula'!I89+'Fórmula'!K89))*(INDEX(properties!A$1:CB$87,'Fórmula'!F89,37))+(('Fórmula'!I89)/('Fórmula'!C89+'Fórmula'!E89+'Fórmula'!G89+'Fórmula'!I89+'Fórmula'!K89))*(INDEX(properties!A$1:CB$87,'Fórmula'!H89,37))+(('Fórmula'!K89)/('Fórmula'!C89+'Fórmula'!E89+'Fórmula'!G89+'Fórmula'!I89+'Fórmula'!K89))*(INDEX(properties!A$1:CB$87,'Fórmula'!J89,37))</f>
        <v>2.605</v>
      </c>
      <c r="DM89" s="105">
        <f t="array" ref="DM89">'Fórmula'!C89*(INDEX(properties!A$1:CB$87,'Fórmula'!B89,37))+'Fórmula'!E89*(INDEX(properties!A$1:CB$87,'Fórmula'!D89,37))+'Fórmula'!G89*(INDEX(properties!A$1:CB$87,'Fórmula'!F89,37))+'Fórmula'!I89*(INDEX(properties!A$1:CB$87,'Fórmula'!H89,37))+'Fórmula'!K89*(INDEX(properties!A$1:CB$87,'Fórmula'!J89,37))</f>
        <v>52.1</v>
      </c>
      <c r="DN89" s="105">
        <f t="array" ref="DN89">VARP(IF(INDEX(properties!A$1:CB$87,'Fórmula'!B89,37)&lt;&gt;"",INDEX(properties!A$1:CB$87,'Fórmula'!B89,37)),IF(INDEX(properties!A$1:CB$87,'Fórmula'!D89,37)&lt;&gt;"",INDEX(properties!A$1:CB$87,'Fórmula'!D89,37)),IF(INDEX(properties!A$1:CB$87,'Fórmula'!F89,37)&lt;&gt;"",INDEX(properties!A$1:CB$87,'Fórmula'!F89,37)),IF(INDEX(properties!A$1:CB$87,'Fórmula'!H89,37)&lt;&gt;"",INDEX(properties!A$1:CB$87,'Fórmula'!H89,37)),IF(INDEX(properties!A$1:CB$87,'Fórmula'!J89,37)&lt;&gt;"",INDEX(properties!A$1:CB$87,'Fórmula'!J89,37)))</f>
        <v>1.2764</v>
      </c>
      <c r="DO89" s="105">
        <f t="array" ref="DO89">MAX(INDEX(properties!A$1:CB$87,'Fórmula'!B89,37),INDEX(properties!A$1:CB$87,'Fórmula'!D89,37),INDEX(properties!A$1:CB$87,'Fórmula'!F89,37),INDEX(properties!A$1:CB$87,'Fórmula'!H89,37),INDEX(properties!A$1:CB$87,'Fórmula'!J89,37))</f>
        <v>3.45</v>
      </c>
      <c r="DP89" s="105">
        <f t="array" ref="DP89">MIN(IF(INDEX(properties!A$1:CB$87,'Fórmula'!B89,37)=0,10^6,INDEX(properties!A$1:CB$87,'Fórmula'!B89,37)),IF(INDEX(properties!A$1:CB$87,'Fórmula'!D89,37)=0,10^6,INDEX(properties!A$1:CB$87,'Fórmula'!D89,37)),IF(INDEX(properties!A$1:CB$87,'Fórmula'!F89,37)=0,10^6,INDEX(properties!A$1:CB$87,'Fórmula'!F89,37)),IF(INDEX(properties!A$1:CB$87,'Fórmula'!H89,37)=0,10^6,INDEX(properties!A$1:CB$87,'Fórmula'!H89,37)),IF(INDEX(properties!A$1:CB$87,'Fórmula'!J89,37)=0,10^6,INDEX(properties!A$1:CB$87,'Fórmula'!J89,37)))</f>
        <v>1</v>
      </c>
      <c r="DQ89" s="105">
        <f t="shared" si="20"/>
        <v>2.45</v>
      </c>
      <c r="DR89" s="109">
        <f t="array" ref="DR89">(('Fórmula'!C89)/('Fórmula'!C89+'Fórmula'!E89+'Fórmula'!G89+'Fórmula'!I89+'Fórmula'!K89))*(INDEX(properties!A$1:CB$87,'Fórmula'!B89,39))+(('Fórmula'!E89)/('Fórmula'!C89+'Fórmula'!E89+'Fórmula'!G89+'Fórmula'!I89+'Fórmula'!K89))*(INDEX(properties!A$1:CB$87,'Fórmula'!D89,39))+(('Fórmula'!G89)/('Fórmula'!C89+'Fórmula'!E89+'Fórmula'!G89+'Fórmula'!I89+'Fórmula'!K89))*(INDEX(properties!A$1:CB$87,'Fórmula'!F89,39))+(('Fórmula'!I89)/('Fórmula'!C89+'Fórmula'!E89+'Fórmula'!G89+'Fórmula'!I89+'Fórmula'!K89))*(INDEX(properties!A$1:CB$87,'Fórmula'!H89,39))+(('Fórmula'!K89)/('Fórmula'!C89+'Fórmula'!E89+'Fórmula'!G89+'Fórmula'!I89+'Fórmula'!K89))*(INDEX(properties!A$1:CB$87,'Fórmula'!J89,39))</f>
        <v>0.9785</v>
      </c>
      <c r="DS89" s="109">
        <f t="array" ref="DS89">'Fórmula'!C89*(INDEX(properties!A$1:CB$87,'Fórmula'!B89,39))+'Fórmula'!E89*(INDEX(properties!A$1:CB$87,'Fórmula'!D89,39))+'Fórmula'!G89*(INDEX(properties!A$1:CB$87,'Fórmula'!F89,39))+'Fórmula'!I89*(INDEX(properties!A$1:CB$87,'Fórmula'!H89,39))+'Fórmula'!K89*(INDEX(properties!A$1:CB$87,'Fórmula'!J89,39))</f>
        <v>19.57</v>
      </c>
      <c r="DT89" s="109">
        <f t="array" ref="DT89">VARP(IF(INDEX(properties!A$1:CB$87,'Fórmula'!B89,39)&lt;&gt;"",INDEX(properties!A$1:CB$87,'Fórmula'!B89,39)),IF(INDEX(properties!A$1:CB$87,'Fórmula'!D89,39)&lt;&gt;"",INDEX(properties!A$1:CB$87,'Fórmula'!D89,39)),IF(INDEX(properties!A$1:CB$87,'Fórmula'!F89,39)&lt;&gt;"",INDEX(properties!A$1:CB$87,'Fórmula'!F89,39)),IF(INDEX(properties!A$1:CB$87,'Fórmula'!H89,39)&lt;&gt;"",INDEX(properties!A$1:CB$87,'Fórmula'!H89,39)),IF(INDEX(properties!A$1:CB$87,'Fórmula'!J89,39)&lt;&gt;"",INDEX(properties!A$1:CB$87,'Fórmula'!J89,39)))</f>
        <v>0.669216</v>
      </c>
      <c r="DU89" s="120">
        <f t="array" ref="DU89">MAX(INDEX(properties!A$1:CB$87,'Fórmula'!B89,39),INDEX(properties!A$1:CB$87,'Fórmula'!D89,39),INDEX(properties!A$1:CB$87,'Fórmula'!F89,39),INDEX(properties!A$1:CB$87,'Fórmula'!H89,39),INDEX(properties!A$1:CB$87,'Fórmula'!J89,39))</f>
        <v>2.12</v>
      </c>
      <c r="DV89" s="120">
        <f t="array" ref="DV89">MIN(IF(INDEX(properties!A$1:CB$87,'Fórmula'!B89,39)=0,10^6,INDEX(properties!A$1:CB$87,'Fórmula'!B89,39)),IF(INDEX(properties!A$1:CB$87,'Fórmula'!D89,39)=0,10^6,INDEX(properties!A$1:CB$87,'Fórmula'!D89,39)),IF(INDEX(properties!A$1:CB$87,'Fórmula'!F89,39)=0,10^6,INDEX(properties!A$1:CB$87,'Fórmula'!F89,39)),IF(INDEX(properties!A$1:CB$87,'Fórmula'!H89,39)=0,10^6,INDEX(properties!A$1:CB$87,'Fórmula'!H89,39)),IF(INDEX(properties!A$1:CB$87,'Fórmula'!J89,39)=0,10^6,INDEX(properties!A$1:CB$87,'Fórmula'!J89,39)))</f>
        <v>0.48</v>
      </c>
      <c r="DW89" s="109">
        <f t="shared" si="21"/>
        <v>1.64</v>
      </c>
      <c r="DX89" s="110">
        <f t="array" ref="DX89">(('Fórmula'!C89)/('Fórmula'!C89+'Fórmula'!E89+'Fórmula'!G89+'Fórmula'!I89+'Fórmula'!K89))*(INDEX(properties!A$1:CB$87,'Fórmula'!B89,40))+(('Fórmula'!E89)/('Fórmula'!C89+'Fórmula'!E89+'Fórmula'!G89+'Fórmula'!I89+'Fórmula'!K89))*(INDEX(properties!A$1:CB$87,'Fórmula'!D89,40))+(('Fórmula'!G89)/('Fórmula'!C89+'Fórmula'!E89+'Fórmula'!G89+'Fórmula'!I89+'Fórmula'!K89))*(INDEX(properties!A$1:CB$87,'Fórmula'!F89,40))+(('Fórmula'!I89)/('Fórmula'!C89+'Fórmula'!E89+'Fórmula'!G89+'Fórmula'!I89+'Fórmula'!K89))*(INDEX(properties!A$1:CB$87,'Fórmula'!H89,40))+(('Fórmula'!K89)/('Fórmula'!C89+'Fórmula'!E89+'Fórmula'!G89+'Fórmula'!I89+'Fórmula'!K89))*(INDEX(properties!A$1:CB$87,'Fórmula'!J89,40))</f>
        <v>1.044</v>
      </c>
      <c r="DY89" s="110">
        <f t="array" ref="DY89">'Fórmula'!C89*(INDEX(properties!A$1:CB$87,'Fórmula'!B89,40))+'Fórmula'!E89*(INDEX(properties!A$1:CB$87,'Fórmula'!D89,40))+'Fórmula'!G89*(INDEX(properties!A$1:CB$87,'Fórmula'!F89,40))+'Fórmula'!I89*(INDEX(properties!A$1:CB$87,'Fórmula'!H89,40))+'Fórmula'!K89*(INDEX(properties!A$1:CB$87,'Fórmula'!J89,40))</f>
        <v>20.88</v>
      </c>
      <c r="DZ89" s="110">
        <f t="array" ref="DZ89">VARP(IF(INDEX(properties!A$1:CB$87,'Fórmula'!B89,40)&lt;&gt;"",INDEX(properties!A$1:CB$87,'Fórmula'!B89,40)),IF(INDEX(properties!A$1:CB$87,'Fórmula'!D89,40)&lt;&gt;"",INDEX(properties!A$1:CB$87,'Fórmula'!D89,40)),IF(INDEX(properties!A$1:CB$87,'Fórmula'!F89,40)&lt;&gt;"",INDEX(properties!A$1:CB$87,'Fórmula'!F89,40)),IF(INDEX(properties!A$1:CB$87,'Fórmula'!H89,40)&lt;&gt;"",INDEX(properties!A$1:CB$87,'Fórmula'!H89,40)),IF(INDEX(properties!A$1:CB$87,'Fórmula'!J89,40)&lt;&gt;"",INDEX(properties!A$1:CB$87,'Fórmula'!J89,40)))</f>
        <v>0.406816</v>
      </c>
      <c r="EA89" s="121">
        <f t="array" ref="EA89">MAX(INDEX(properties!A$1:CB$87,'Fórmula'!B89,40),INDEX(properties!A$1:CB$87,'Fórmula'!D89,40),INDEX(properties!A$1:CB$87,'Fórmula'!F89,40),INDEX(properties!A$1:CB$87,'Fórmula'!H89,40),INDEX(properties!A$1:CB$87,'Fórmula'!J89,40))</f>
        <v>1.74</v>
      </c>
      <c r="EB89" s="121">
        <f t="array" ref="EB89">MIN(IF(INDEX(properties!A$1:CB$87,'Fórmula'!B89,40)=0,10^6,INDEX(properties!A$1:CB$87,'Fórmula'!B89,40)),IF(INDEX(properties!A$1:CB$87,'Fórmula'!D89,40)=0,10^6,INDEX(properties!A$1:CB$87,'Fórmula'!D89,40)),IF(INDEX(properties!A$1:CB$87,'Fórmula'!F89,40)=0,10^6,INDEX(properties!A$1:CB$87,'Fórmula'!F89,40)),IF(INDEX(properties!A$1:CB$87,'Fórmula'!H89,40)=0,10^6,INDEX(properties!A$1:CB$87,'Fórmula'!H89,40)),IF(INDEX(properties!A$1:CB$87,'Fórmula'!J89,40)=0,10^6,INDEX(properties!A$1:CB$87,'Fórmula'!J89,40)))</f>
        <v>0.73</v>
      </c>
      <c r="EC89" s="110">
        <f t="shared" si="22"/>
        <v>1.01</v>
      </c>
      <c r="ED89" s="111">
        <f t="array" ref="ED89">(('Fórmula'!C89)/('Fórmula'!C89+'Fórmula'!E89+'Fórmula'!G89+'Fórmula'!I89+'Fórmula'!K89))*(INDEX(properties!A$1:CB$87,'Fórmula'!B89,41))+(('Fórmula'!E89)/('Fórmula'!C89+'Fórmula'!E89+'Fórmula'!G89+'Fórmula'!I89+'Fórmula'!K89))*(INDEX(properties!A$1:CB$87,'Fórmula'!D89,41))+(('Fórmula'!G89)/('Fórmula'!C89+'Fórmula'!E89+'Fórmula'!G89+'Fórmula'!I89+'Fórmula'!K89))*(INDEX(properties!A$1:CB$87,'Fórmula'!F89,41))+(('Fórmula'!I89)/('Fórmula'!C89+'Fórmula'!E89+'Fórmula'!G89+'Fórmula'!I89+'Fórmula'!K89))*(INDEX(properties!A$1:CB$87,'Fórmula'!H89,41))+(('Fórmula'!K89)/('Fórmula'!C89+'Fórmula'!E89+'Fórmula'!G89+'Fórmula'!I89+'Fórmula'!K89))*(INDEX(properties!A$1:CB$87,'Fórmula'!J89,41))</f>
        <v>1.1615</v>
      </c>
      <c r="EE89" s="111">
        <f t="array" ref="EE89">'Fórmula'!C89*(INDEX(properties!A$1:CB$87,'Fórmula'!B89,41))+'Fórmula'!E89*(INDEX(properties!A$1:CB$87,'Fórmula'!D89,41))+'Fórmula'!G89*(INDEX(properties!A$1:CB$87,'Fórmula'!F89,41))+'Fórmula'!I89*(INDEX(properties!A$1:CB$87,'Fórmula'!H89,41))+'Fórmula'!K89*(INDEX(properties!A$1:CB$87,'Fórmula'!J89,41))</f>
        <v>23.23</v>
      </c>
      <c r="EF89" s="111">
        <f t="array" ref="EF89">VARP(IF(INDEX(properties!A$1:CB$87,'Fórmula'!B89,41)&lt;&gt;"",INDEX(properties!A$1:CB$87,'Fórmula'!B89,41)),IF(INDEX(properties!A$1:CB$87,'Fórmula'!D89,41)&lt;&gt;"",INDEX(properties!A$1:CB$87,'Fórmula'!D89,41)),IF(INDEX(properties!A$1:CB$87,'Fórmula'!F89,41)&lt;&gt;"",INDEX(properties!A$1:CB$87,'Fórmula'!F89,41)),IF(INDEX(properties!A$1:CB$87,'Fórmula'!H89,41)&lt;&gt;"",INDEX(properties!A$1:CB$87,'Fórmula'!H89,41)),IF(INDEX(properties!A$1:CB$87,'Fórmula'!J89,41)&lt;&gt;"",INDEX(properties!A$1:CB$87,'Fórmula'!J89,41)))</f>
        <v>0.202096</v>
      </c>
      <c r="EG89" s="122">
        <f t="array" ref="EG89">MAX(INDEX(properties!A$1:CB$87,'Fórmula'!B89,41),INDEX(properties!A$1:CB$87,'Fórmula'!D89,41),INDEX(properties!A$1:CB$87,'Fórmula'!F89,41),INDEX(properties!A$1:CB$87,'Fórmula'!H89,41),INDEX(properties!A$1:CB$87,'Fórmula'!J89,41))</f>
        <v>1.26</v>
      </c>
      <c r="EH89" s="122">
        <f t="array" ref="EH89">MIN(IF(INDEX(properties!A$1:CB$87,'Fórmula'!B89,41)=0,10^6,INDEX(properties!A$1:CB$87,'Fórmula'!B89,41)),IF(INDEX(properties!A$1:CB$87,'Fórmula'!D89,41)=0,10^6,INDEX(properties!A$1:CB$87,'Fórmula'!D89,41)),IF(INDEX(properties!A$1:CB$87,'Fórmula'!F89,41)=0,10^6,INDEX(properties!A$1:CB$87,'Fórmula'!F89,41)),IF(INDEX(properties!A$1:CB$87,'Fórmula'!H89,41)=0,10^6,INDEX(properties!A$1:CB$87,'Fórmula'!H89,41)),IF(INDEX(properties!A$1:CB$87,'Fórmula'!J89,41)=0,10^6,INDEX(properties!A$1:CB$87,'Fórmula'!J89,41)))</f>
        <v>0.87</v>
      </c>
      <c r="EI89" s="111">
        <f t="shared" si="23"/>
        <v>0.39</v>
      </c>
      <c r="EJ89" s="112">
        <f t="array" ref="EJ89">(('Fórmula'!C89)/('Fórmula'!C89+'Fórmula'!E89+'Fórmula'!G89+'Fórmula'!I89+'Fórmula'!K89))*(INDEX(properties!A$1:CB$87,'Fórmula'!B89,45))+(('Fórmula'!E89)/('Fórmula'!C89+'Fórmula'!E89+'Fórmula'!G89+'Fórmula'!I89+'Fórmula'!K89))*(INDEX(properties!A$1:CB$87,'Fórmula'!D89,45))+(('Fórmula'!G89)/('Fórmula'!C89+'Fórmula'!E89+'Fórmula'!G89+'Fórmula'!I89+'Fórmula'!K89))*(INDEX(properties!A$1:CB$87,'Fórmula'!F89,45))+(('Fórmula'!I89)/('Fórmula'!C89+'Fórmula'!E89+'Fórmula'!G89+'Fórmula'!I89+'Fórmula'!K89))*(INDEX(properties!A$1:CB$87,'Fórmula'!H89,45))+(('Fórmula'!K89)/('Fórmula'!C89+'Fórmula'!E89+'Fórmula'!G89+'Fórmula'!I89+'Fórmula'!K89))*(INDEX(properties!A$1:CB$87,'Fórmula'!J89,45))</f>
        <v>1.26</v>
      </c>
      <c r="EK89" s="112">
        <f t="array" ref="EK89">'Fórmula'!C89*(INDEX(properties!A$1:CB$87,'Fórmula'!B89,45))+'Fórmula'!E89*(INDEX(properties!A$1:CB$87,'Fórmula'!D89,45))+'Fórmula'!G89*(INDEX(properties!A$1:CB$87,'Fórmula'!F89,45))+'Fórmula'!I89*(INDEX(properties!A$1:CB$87,'Fórmula'!H89,45))+'Fórmula'!K89*(INDEX(properties!A$1:CB$87,'Fórmula'!J89,45))</f>
        <v>25.2</v>
      </c>
      <c r="EL89" s="112">
        <f t="array" ref="EL89">VARP(IF(INDEX(properties!A$1:CB$87,'Fórmula'!B89,45)&lt;&gt;"",INDEX(properties!A$1:CB$87,'Fórmula'!B89,45)),IF(INDEX(properties!A$1:CB$87,'Fórmula'!D89,45)&lt;&gt;"",INDEX(properties!A$1:CB$87,'Fórmula'!D89,45)),IF(INDEX(properties!A$1:CB$87,'Fórmula'!F89,45)&lt;&gt;"",INDEX(properties!A$1:CB$87,'Fórmula'!F89,45)),IF(INDEX(properties!A$1:CB$87,'Fórmula'!H89,45)&lt;&gt;"",INDEX(properties!A$1:CB$87,'Fórmula'!H89,45)),IF(INDEX(properties!A$1:CB$87,'Fórmula'!J89,45)&lt;&gt;"",INDEX(properties!A$1:CB$87,'Fórmula'!J89,45)))</f>
        <v>1.518784</v>
      </c>
      <c r="EM89" s="123">
        <f t="array" ref="EM89">MAX(INDEX(properties!A$1:CB$87,'Fórmula'!B89,45),INDEX(properties!A$1:CB$87,'Fórmula'!D89,45),INDEX(properties!A$1:CB$87,'Fórmula'!F89,45),INDEX(properties!A$1:CB$87,'Fórmula'!H89,45),INDEX(properties!A$1:CB$87,'Fórmula'!J89,45))</f>
        <v>3</v>
      </c>
      <c r="EN89" s="123">
        <f t="array" ref="EN89">MIN(IF(INDEX(properties!A$1:CB$87,'Fórmula'!B89,45)=0,10^6,INDEX(properties!A$1:CB$87,'Fórmula'!B89,45)),IF(INDEX(properties!A$1:CB$87,'Fórmula'!D89,45)=0,10^6,INDEX(properties!A$1:CB$87,'Fórmula'!D89,45)),IF(INDEX(properties!A$1:CB$87,'Fórmula'!F89,45)=0,10^6,INDEX(properties!A$1:CB$87,'Fórmula'!F89,45)),IF(INDEX(properties!A$1:CB$87,'Fórmula'!H89,45)=0,10^6,INDEX(properties!A$1:CB$87,'Fórmula'!H89,45)),IF(INDEX(properties!A$1:CB$87,'Fórmula'!J89,45)=0,10^6,INDEX(properties!A$1:CB$87,'Fórmula'!J89,45)))</f>
        <v>0.47</v>
      </c>
      <c r="EO89" s="112">
        <f t="shared" si="24"/>
        <v>2.53</v>
      </c>
      <c r="EP89" s="113">
        <f t="array" ref="EP89">(('Fórmula'!C89)/('Fórmula'!C89+'Fórmula'!E89+'Fórmula'!G89+'Fórmula'!I89+'Fórmula'!K89))*(INDEX(properties!A$1:CB$87,'Fórmula'!B89,46))+(('Fórmula'!E89)/('Fórmula'!C89+'Fórmula'!E89+'Fórmula'!G89+'Fórmula'!I89+'Fórmula'!K89))*(INDEX(properties!A$1:CB$87,'Fórmula'!D89,46))+(('Fórmula'!G89)/('Fórmula'!C89+'Fórmula'!E89+'Fórmula'!G89+'Fórmula'!I89+'Fórmula'!K89))*(INDEX(properties!A$1:CB$87,'Fórmula'!F89,46))+(('Fórmula'!I89)/('Fórmula'!C89+'Fórmula'!E89+'Fórmula'!G89+'Fórmula'!I89+'Fórmula'!K89))*(INDEX(properties!A$1:CB$87,'Fórmula'!H89,46))+(('Fórmula'!K89)/('Fórmula'!C89+'Fórmula'!E89+'Fórmula'!G89+'Fórmula'!I89+'Fórmula'!K89))*(INDEX(properties!A$1:CB$87,'Fórmula'!J89,46))</f>
        <v>1.0805</v>
      </c>
      <c r="EQ89" s="113">
        <f t="array" ref="EQ89">'Fórmula'!C89*(INDEX(properties!A$1:CB$87,'Fórmula'!B89,46))+'Fórmula'!E89*(INDEX(properties!A$1:CB$87,'Fórmula'!D89,46))+'Fórmula'!G89*(INDEX(properties!A$1:CB$87,'Fórmula'!F89,46))+'Fórmula'!I89*(INDEX(properties!A$1:CB$87,'Fórmula'!H89,46))+'Fórmula'!K89*(INDEX(properties!A$1:CB$87,'Fórmula'!J89,46))</f>
        <v>21.61</v>
      </c>
      <c r="ER89" s="113">
        <f t="array" ref="ER89">VARP(IF(INDEX(properties!A$1:CB$87,'Fórmula'!B89,46)&lt;&gt;"",INDEX(properties!A$1:CB$87,'Fórmula'!B89,46)),IF(INDEX(properties!A$1:CB$87,'Fórmula'!D89,46)&lt;&gt;"",INDEX(properties!A$1:CB$87,'Fórmula'!D89,46)),IF(INDEX(properties!A$1:CB$87,'Fórmula'!F89,46)&lt;&gt;"",INDEX(properties!A$1:CB$87,'Fórmula'!F89,46)),IF(INDEX(properties!A$1:CB$87,'Fórmula'!H89,46)&lt;&gt;"",INDEX(properties!A$1:CB$87,'Fórmula'!H89,46)),IF(INDEX(properties!A$1:CB$87,'Fórmula'!J89,46)&lt;&gt;"",INDEX(properties!A$1:CB$87,'Fórmula'!J89,46)))</f>
        <v>0.210584</v>
      </c>
      <c r="ES89" s="124">
        <f t="array" ref="ES89">MAX(INDEX(properties!A$1:CB$87,'Fórmula'!B89,46),INDEX(properties!A$1:CB$87,'Fórmula'!D89,46),INDEX(properties!A$1:CB$87,'Fórmula'!F89,46),INDEX(properties!A$1:CB$87,'Fórmula'!H89,46),INDEX(properties!A$1:CB$87,'Fórmula'!J89,46))</f>
        <v>1.21</v>
      </c>
      <c r="ET89" s="124">
        <f t="array" ref="ET89">MIN(IF(INDEX(properties!A$1:CB$87,'Fórmula'!B89,46)=0,10^6,INDEX(properties!A$1:CB$87,'Fórmula'!B89,46)),IF(INDEX(properties!A$1:CB$87,'Fórmula'!D89,46)=0,10^6,INDEX(properties!A$1:CB$87,'Fórmula'!D89,46)),IF(INDEX(properties!A$1:CB$87,'Fórmula'!F89,46)=0,10^6,INDEX(properties!A$1:CB$87,'Fórmula'!F89,46)),IF(INDEX(properties!A$1:CB$87,'Fórmula'!H89,46)=0,10^6,INDEX(properties!A$1:CB$87,'Fórmula'!H89,46)),IF(INDEX(properties!A$1:CB$87,'Fórmula'!J89,46)=0,10^6,INDEX(properties!A$1:CB$87,'Fórmula'!J89,46)))</f>
        <v>0.53</v>
      </c>
      <c r="EU89" s="113">
        <f t="shared" si="25"/>
        <v>0.68</v>
      </c>
      <c r="EV89" s="114">
        <f t="array" ref="EV89">(('Fórmula'!C89)/('Fórmula'!C89+'Fórmula'!E89+'Fórmula'!G89+'Fórmula'!I89+'Fórmula'!K89))*(INDEX(properties!A$1:CB$87,'Fórmula'!B89,52))+(('Fórmula'!E89)/('Fórmula'!C89+'Fórmula'!E89+'Fórmula'!G89+'Fórmula'!I89+'Fórmula'!K89))*(INDEX(properties!A$1:CB$87,'Fórmula'!D89,52))+(('Fórmula'!G89)/('Fórmula'!C89+'Fórmula'!E89+'Fórmula'!G89+'Fórmula'!I89+'Fórmula'!K89))*(INDEX(properties!A$1:CB$87,'Fórmula'!F89,52))+(('Fórmula'!I89)/('Fórmula'!C89+'Fórmula'!E89+'Fórmula'!G89+'Fórmula'!I89+'Fórmula'!K89))*(INDEX(properties!A$1:CB$87,'Fórmula'!H89,52))+(('Fórmula'!K89)/('Fórmula'!C89+'Fórmula'!E89+'Fórmula'!G89+'Fórmula'!I89+'Fórmula'!K89))*(INDEX(properties!A$1:CB$87,'Fórmula'!J89,52))</f>
        <v>7.0808</v>
      </c>
      <c r="EW89" s="114">
        <f t="array" ref="EW89">'Fórmula'!C89*(INDEX(properties!A$1:CB$87,'Fórmula'!B89,52))+'Fórmula'!E89*(INDEX(properties!A$1:CB$87,'Fórmula'!D89,52))+'Fórmula'!G89*(INDEX(properties!A$1:CB$87,'Fórmula'!F89,52))+'Fórmula'!I89*(INDEX(properties!A$1:CB$87,'Fórmula'!H89,52))+'Fórmula'!K89*(INDEX(properties!A$1:CB$87,'Fórmula'!J89,52))</f>
        <v>141.616</v>
      </c>
      <c r="EX89" s="114">
        <f t="array" ref="EX89">VARP(IF(INDEX(properties!A$1:CB$87,'Fórmula'!B89,52)&lt;&gt;"",INDEX(properties!A$1:CB$87,'Fórmula'!B89,52)),IF(INDEX(properties!A$1:CB$87,'Fórmula'!D89,52)&lt;&gt;"",INDEX(properties!A$1:CB$87,'Fórmula'!D89,52)),IF(INDEX(properties!A$1:CB$87,'Fórmula'!F89,52)&lt;&gt;"",INDEX(properties!A$1:CB$87,'Fórmula'!F89,52)),IF(INDEX(properties!A$1:CB$87,'Fórmula'!H89,52)&lt;&gt;"",INDEX(properties!A$1:CB$87,'Fórmula'!H89,52)),IF(INDEX(properties!A$1:CB$87,'Fórmula'!J89,52)&lt;&gt;"",INDEX(properties!A$1:CB$87,'Fórmula'!J89,52)))</f>
        <v>104.7927118</v>
      </c>
      <c r="EY89" s="114">
        <f t="array" ref="EY89">MAX(INDEX(properties!A$1:CB$87,'Fórmula'!B89,52),INDEX(properties!A$1:CB$87,'Fórmula'!D89,52),INDEX(properties!A$1:CB$87,'Fórmula'!F89,52),INDEX(properties!A$1:CB$87,'Fórmula'!H89,52),INDEX(properties!A$1:CB$87,'Fórmula'!J89,52))</f>
        <v>22.8</v>
      </c>
      <c r="EZ89" s="114">
        <f t="array" ref="EZ89">MIN(IF(INDEX(properties!A$1:CB$87,'Fórmula'!B89,52)=0,10^6,INDEX(properties!A$1:CB$87,'Fórmula'!B89,52)),IF(INDEX(properties!A$1:CB$87,'Fórmula'!D89,52)=0,10^6,INDEX(properties!A$1:CB$87,'Fórmula'!D89,52)),IF(INDEX(properties!A$1:CB$87,'Fórmula'!F89,52)=0,10^6,INDEX(properties!A$1:CB$87,'Fórmula'!F89,52)),IF(INDEX(properties!A$1:CB$87,'Fórmula'!H89,52)=0,10^6,INDEX(properties!A$1:CB$87,'Fórmula'!H89,52)),IF(INDEX(properties!A$1:CB$87,'Fórmula'!J89,52)=0,10^6,INDEX(properties!A$1:CB$87,'Fórmula'!J89,52)))</f>
        <v>0.793</v>
      </c>
      <c r="FA89" s="114">
        <f t="shared" si="26"/>
        <v>22.007</v>
      </c>
      <c r="FB89" s="115">
        <f t="array" ref="FB89">(('Fórmula'!C89)/('Fórmula'!C89+'Fórmula'!E89+'Fórmula'!G89+'Fórmula'!I89+'Fórmula'!K89))*(INDEX(properties!A$1:CB$87,'Fórmula'!B89,53))+(('Fórmula'!E89)/('Fórmula'!C89+'Fórmula'!E89+'Fórmula'!G89+'Fórmula'!I89+'Fórmula'!K89))*(INDEX(properties!A$1:CB$87,'Fórmula'!D89,53))+(('Fórmula'!G89)/('Fórmula'!C89+'Fórmula'!E89+'Fórmula'!G89+'Fórmula'!I89+'Fórmula'!K89))*(INDEX(properties!A$1:CB$87,'Fórmula'!F89,53))+(('Fórmula'!I89)/('Fórmula'!C89+'Fórmula'!E89+'Fórmula'!G89+'Fórmula'!I89+'Fórmula'!K89))*(INDEX(properties!A$1:CB$87,'Fórmula'!H89,53))+(('Fórmula'!K89)/('Fórmula'!C89+'Fórmula'!E89+'Fórmula'!G89+'Fórmula'!I89+'Fórmula'!K89))*(INDEX(properties!A$1:CB$87,'Fórmula'!J89,53))</f>
        <v>562.37</v>
      </c>
      <c r="FC89" s="115">
        <f t="array" ref="FC89">'Fórmula'!C89*(INDEX(properties!A$1:CB$87,'Fórmula'!B89,53))+'Fórmula'!E89*(INDEX(properties!A$1:CB$87,'Fórmula'!D89,53))+'Fórmula'!G89*(INDEX(properties!A$1:CB$87,'Fórmula'!F89,53))+'Fórmula'!I89*(INDEX(properties!A$1:CB$87,'Fórmula'!H89,53))+'Fórmula'!K89*(INDEX(properties!A$1:CB$87,'Fórmula'!J89,53))</f>
        <v>11247.4</v>
      </c>
      <c r="FD89" s="115">
        <f t="array" ref="FD89">VARP(IF(INDEX(properties!A$1:CB$87,'Fórmula'!B89,53)&lt;&gt;"",INDEX(properties!A$1:CB$87,'Fórmula'!B89,53)),IF(INDEX(properties!A$1:CB$87,'Fórmula'!D89,53)&lt;&gt;"",INDEX(properties!A$1:CB$87,'Fórmula'!D89,53)),IF(INDEX(properties!A$1:CB$87,'Fórmula'!F89,53)&lt;&gt;"",INDEX(properties!A$1:CB$87,'Fórmula'!F89,53)),IF(INDEX(properties!A$1:CB$87,'Fórmula'!H89,53)&lt;&gt;"",INDEX(properties!A$1:CB$87,'Fórmula'!H89,53)),IF(INDEX(properties!A$1:CB$87,'Fórmula'!J89,53)&lt;&gt;"",INDEX(properties!A$1:CB$87,'Fórmula'!J89,53)))</f>
        <v>491054.1036</v>
      </c>
      <c r="FE89" s="115">
        <f t="array" ref="FE89">MAX(INDEX(properties!A$1:CB$87,'Fórmula'!B89,53),INDEX(properties!A$1:CB$87,'Fórmula'!D89,53),INDEX(properties!A$1:CB$87,'Fórmula'!F89,53),INDEX(properties!A$1:CB$87,'Fórmula'!H89,53),INDEX(properties!A$1:CB$87,'Fórmula'!J89,53))</f>
        <v>1796.15</v>
      </c>
      <c r="FF89" s="115">
        <f t="array" ref="FF89">MIN(IF(INDEX(properties!A$1:CB$87,'Fórmula'!B89,53)=0,10^6,INDEX(properties!A$1:CB$87,'Fórmula'!B89,53)),IF(INDEX(properties!A$1:CB$87,'Fórmula'!D89,53)=0,10^6,INDEX(properties!A$1:CB$87,'Fórmula'!D89,53)),IF(INDEX(properties!A$1:CB$87,'Fórmula'!F89,53)=0,10^6,INDEX(properties!A$1:CB$87,'Fórmula'!F89,53)),IF(INDEX(properties!A$1:CB$87,'Fórmula'!H89,53)=0,10^6,INDEX(properties!A$1:CB$87,'Fórmula'!H89,53)),IF(INDEX(properties!A$1:CB$87,'Fórmula'!J89,53)=0,10^6,INDEX(properties!A$1:CB$87,'Fórmula'!J89,53)))</f>
        <v>54.75</v>
      </c>
      <c r="FG89" s="115">
        <f t="shared" si="27"/>
        <v>1741.4</v>
      </c>
      <c r="FH89" s="117">
        <f t="array" ref="FH89">(('Fórmula'!C89)/('Fórmula'!C89+'Fórmula'!E89+'Fórmula'!G89+'Fórmula'!I89+'Fórmula'!K89))*(INDEX(properties!A$1:CB$87,'Fórmula'!B89,54))+(('Fórmula'!E89)/('Fórmula'!C89+'Fórmula'!E89+'Fórmula'!G89+'Fórmula'!I89+'Fórmula'!K89))*(INDEX(properties!A$1:CB$87,'Fórmula'!D89,54))+(('Fórmula'!G89)/('Fórmula'!C89+'Fórmula'!E89+'Fórmula'!G89+'Fórmula'!I89+'Fórmula'!K89))*(INDEX(properties!A$1:CB$87,'Fórmula'!F89,54))+(('Fórmula'!I89)/('Fórmula'!C89+'Fórmula'!E89+'Fórmula'!G89+'Fórmula'!I89+'Fórmula'!K89))*(INDEX(properties!A$1:CB$87,'Fórmula'!H89,54))+(('Fórmula'!K89)/('Fórmula'!C89+'Fórmula'!E89+'Fórmula'!G89+'Fórmula'!I89+'Fórmula'!K89))*(INDEX(properties!A$1:CB$87,'Fórmula'!J89,54))</f>
        <v>1144.15</v>
      </c>
      <c r="FI89" s="117">
        <f t="array" ref="FI89">'Fórmula'!C89*(INDEX(properties!A$1:CB$87,'Fórmula'!B89,54))+'Fórmula'!E89*(INDEX(properties!A$1:CB$87,'Fórmula'!D89,54))+'Fórmula'!G89*(INDEX(properties!A$1:CB$87,'Fórmula'!F89,54))+'Fórmula'!I89*(INDEX(properties!A$1:CB$87,'Fórmula'!H89,54))+'Fórmula'!K89*(INDEX(properties!A$1:CB$87,'Fórmula'!J89,54))</f>
        <v>22883</v>
      </c>
      <c r="FJ89" s="117">
        <f t="array" ref="FJ89">VARP(IF(INDEX(properties!A$1:CB$87,'Fórmula'!B89,54)&lt;&gt;"",INDEX(properties!A$1:CB$87,'Fórmula'!B89,54)),IF(INDEX(properties!A$1:CB$87,'Fórmula'!D89,54)&lt;&gt;"",INDEX(properties!A$1:CB$87,'Fórmula'!D89,54)),IF(INDEX(properties!A$1:CB$87,'Fórmula'!F89,54)&lt;&gt;"",INDEX(properties!A$1:CB$87,'Fórmula'!F89,54)),IF(INDEX(properties!A$1:CB$87,'Fórmula'!H89,54)&lt;&gt;"",INDEX(properties!A$1:CB$87,'Fórmula'!H89,54)),IF(INDEX(properties!A$1:CB$87,'Fórmula'!J89,54)&lt;&gt;"",INDEX(properties!A$1:CB$87,'Fórmula'!J89,54)))</f>
        <v>2220330.324</v>
      </c>
      <c r="FK89" s="117">
        <f t="array" ref="FK89">MAX(INDEX(properties!A$1:CB$87,'Fórmula'!B89,54),INDEX(properties!A$1:CB$87,'Fórmula'!D89,54),INDEX(properties!A$1:CB$87,'Fórmula'!F89,54),INDEX(properties!A$1:CB$87,'Fórmula'!H89,54),INDEX(properties!A$1:CB$87,'Fórmula'!J89,54))</f>
        <v>3610.15</v>
      </c>
      <c r="FL89" s="117">
        <f t="array" ref="FL89">MIN(IF(INDEX(properties!A$1:CB$87,'Fórmula'!B89,54)=0,10^6,INDEX(properties!A$1:CB$87,'Fórmula'!B89,54)),IF(INDEX(properties!A$1:CB$87,'Fórmula'!D89,54)=0,10^6,INDEX(properties!A$1:CB$87,'Fórmula'!D89,54)),IF(INDEX(properties!A$1:CB$87,'Fórmula'!F89,54)=0,10^6,INDEX(properties!A$1:CB$87,'Fórmula'!F89,54)),IF(INDEX(properties!A$1:CB$87,'Fórmula'!H89,54)=0,10^6,INDEX(properties!A$1:CB$87,'Fórmula'!H89,54)),IF(INDEX(properties!A$1:CB$87,'Fórmula'!J89,54)=0,10^6,INDEX(properties!A$1:CB$87,'Fórmula'!J89,54)))</f>
        <v>90.15</v>
      </c>
      <c r="FM89" s="117">
        <f t="shared" si="28"/>
        <v>3520</v>
      </c>
      <c r="FN89" s="118">
        <f t="array" ref="FN89">(('Fórmula'!C89)/('Fórmula'!C89+'Fórmula'!E89+'Fórmula'!G89+'Fórmula'!I89+'Fórmula'!K89))*(INDEX(properties!A$1:CB$87,'Fórmula'!B89,55))+(('Fórmula'!E89)/('Fórmula'!C89+'Fórmula'!E89+'Fórmula'!G89+'Fórmula'!I89+'Fórmula'!K89))*(INDEX(properties!A$1:CB$87,'Fórmula'!D89,55))+(('Fórmula'!G89)/('Fórmula'!C89+'Fórmula'!E89+'Fórmula'!G89+'Fórmula'!I89+'Fórmula'!K89))*(INDEX(properties!A$1:CB$87,'Fórmula'!F89,55))+(('Fórmula'!I89)/('Fórmula'!C89+'Fórmula'!E89+'Fórmula'!G89+'Fórmula'!I89+'Fórmula'!K89))*(INDEX(properties!A$1:CB$87,'Fórmula'!H89,55))+(('Fórmula'!K89)/('Fórmula'!C89+'Fórmula'!E89+'Fórmula'!G89+'Fórmula'!I89+'Fórmula'!K89))*(INDEX(properties!A$1:CB$87,'Fórmula'!J89,55))</f>
        <v>1.478358</v>
      </c>
      <c r="FO89" s="118">
        <f t="array" ref="FO89">'Fórmula'!C89*(INDEX(properties!A$1:CB$87,'Fórmula'!B89,55))+'Fórmula'!E89*(INDEX(properties!A$1:CB$87,'Fórmula'!D89,54))+'Fórmula'!G89*(INDEX(properties!A$1:CB$87,'Fórmula'!F89,55))+'Fórmula'!I89*(INDEX(properties!A$1:CB$87,'Fórmula'!H89,55))+'Fórmula'!K89*(INDEX(properties!A$1:CB$87,'Fórmula'!J89,55))</f>
        <v>7240.92716</v>
      </c>
      <c r="FP89" s="118">
        <f t="array" ref="FP89">VARP(IF(INDEX(properties!A$1:CB$87,'Fórmula'!B89,55)&lt;&gt;"",INDEX(properties!A$1:CB$87,'Fórmula'!B89,55)),IF(INDEX(properties!A$1:CB$87,'Fórmula'!D89,55)&lt;&gt;"",INDEX(properties!A$1:CB$87,'Fórmula'!D89,55)),IF(INDEX(properties!A$1:CB$87,'Fórmula'!F89,55)&lt;&gt;"",INDEX(properties!A$1:CB$87,'Fórmula'!F89,55)),IF(INDEX(properties!A$1:CB$87,'Fórmula'!H89,55)&lt;&gt;"",INDEX(properties!A$1:CB$87,'Fórmula'!H89,55)),IF(INDEX(properties!A$1:CB$87,'Fórmula'!J89,55)&lt;&gt;"",INDEX(properties!A$1:CB$87,'Fórmula'!J89,55)))</f>
        <v>4.992039031</v>
      </c>
      <c r="FQ89" s="118">
        <f t="array" ref="FQ89">MAX(INDEX(properties!A$1:CB$87,'Fórmula'!B89,55),INDEX(properties!A$1:CB$87,'Fórmula'!D89,55),INDEX(properties!A$1:CB$87,'Fórmula'!F89,55),INDEX(properties!A$1:CB$87,'Fórmula'!H89,55),INDEX(properties!A$1:CB$87,'Fórmula'!J89,55))</f>
        <v>5.32</v>
      </c>
      <c r="FR89" s="118">
        <f t="array" ref="FR89">MIN(IF(INDEX(properties!A$1:CB$87,'Fórmula'!B89,55)=0,10^6,INDEX(properties!A$1:CB$87,'Fórmula'!B89,55)),IF(INDEX(properties!A$1:CB$87,'Fórmula'!D89,55)=0,10^6,INDEX(properties!A$1:CB$87,'Fórmula'!D89,55)),IF(INDEX(properties!A$1:CB$87,'Fórmula'!F89,55)=0,10^6,INDEX(properties!A$1:CB$87,'Fórmula'!F89,55)),IF(INDEX(properties!A$1:CB$87,'Fórmula'!H89,55)=0,10^6,INDEX(properties!A$1:CB$87,'Fórmula'!H89,55)),IF(INDEX(properties!A$1:CB$87,'Fórmula'!J89,55)=0,10^6,INDEX(properties!A$1:CB$87,'Fórmula'!J89,55)))</f>
        <v>0.00143</v>
      </c>
      <c r="FS89" s="118">
        <f t="shared" si="29"/>
        <v>5.31857</v>
      </c>
      <c r="FT89" s="119">
        <f t="array" ref="FT89">(('Fórmula'!C89)/('Fórmula'!C89+'Fórmula'!E89+'Fórmula'!G89+'Fórmula'!I89+'Fórmula'!K89))*(INDEX(properties!A$1:CB$87,'Fórmula'!B89,56))+(('Fórmula'!E89)/('Fórmula'!C89+'Fórmula'!E89+'Fórmula'!G89+'Fórmula'!I89+'Fórmula'!K89))*(INDEX(properties!A$1:CB$87,'Fórmula'!D89,56))+(('Fórmula'!G89)/('Fórmula'!C89+'Fórmula'!E89+'Fórmula'!G89+'Fórmula'!I89+'Fórmula'!K89))*(INDEX(properties!A$1:CB$87,'Fórmula'!F89,56))+(('Fórmula'!I89)/('Fórmula'!C89+'Fórmula'!E89+'Fórmula'!G89+'Fórmula'!I89+'Fórmula'!K89))*(INDEX(properties!A$1:CB$87,'Fórmula'!H89,56))+(('Fórmula'!K89)/('Fórmula'!C89+'Fórmula'!E89+'Fórmula'!G89+'Fórmula'!I89+'Fórmula'!K89))*(INDEX(properties!A$1:CB$87,'Fórmula'!J89,56))</f>
        <v>0.7245</v>
      </c>
      <c r="FU89" s="119">
        <f t="array" ref="FU89">'Fórmula'!C89*(INDEX(properties!A$1:CB$87,'Fórmula'!B89,56))+'Fórmula'!E89*(INDEX(properties!A$1:CB$87,'Fórmula'!D89,56))+'Fórmula'!G89*(INDEX(properties!A$1:CB$87,'Fórmula'!F89,56))+'Fórmula'!I89*(INDEX(properties!A$1:CB$87,'Fórmula'!H89,56))+'Fórmula'!K89*(INDEX(properties!A$1:CB$87,'Fórmula'!J89,56))</f>
        <v>14.49</v>
      </c>
      <c r="FV89" s="119">
        <f t="array" ref="FV89">VARP(IF(INDEX(properties!A$1:CB$87,'Fórmula'!B89,56)&lt;&gt;"",INDEX(properties!A$1:CB$87,'Fórmula'!B89,56)),IF(INDEX(properties!A$1:CB$87,'Fórmula'!D89,56)&lt;&gt;"",INDEX(properties!A$1:CB$87,'Fórmula'!D89,56)),IF(INDEX(properties!A$1:CB$87,'Fórmula'!F89,56)&lt;&gt;"",INDEX(properties!A$1:CB$87,'Fórmula'!F89,56)),IF(INDEX(properties!A$1:CB$87,'Fórmula'!H89,56)&lt;&gt;"",INDEX(properties!A$1:CB$87,'Fórmula'!H89,56)),IF(INDEX(properties!A$1:CB$87,'Fórmula'!J89,56)&lt;&gt;"",INDEX(properties!A$1:CB$87,'Fórmula'!J89,56)))</f>
        <v>0.098784</v>
      </c>
      <c r="FW89" s="119">
        <f t="array" ref="FW89">MAX(INDEX(properties!A$1:CB$87,'Fórmula'!B89,56),INDEX(properties!A$1:CB$87,'Fórmula'!D89,56),INDEX(properties!A$1:CB$87,'Fórmula'!F89,56),INDEX(properties!A$1:CB$87,'Fórmula'!H89,56),INDEX(properties!A$1:CB$87,'Fórmula'!J89,56))</f>
        <v>0.92</v>
      </c>
      <c r="FX89" s="119">
        <f t="array" ref="FX89">MIN(IF(INDEX(properties!A$1:CB$87,'Fórmula'!B89,56)=0,10^6,INDEX(properties!A$1:CB$87,'Fórmula'!B89,56)),IF(INDEX(properties!A$1:CB$87,'Fórmula'!D89,56)=0,10^6,INDEX(properties!A$1:CB$87,'Fórmula'!D89,56)),IF(INDEX(properties!A$1:CB$87,'Fórmula'!F89,56)=0,10^6,INDEX(properties!A$1:CB$87,'Fórmula'!F89,56)),IF(INDEX(properties!A$1:CB$87,'Fórmula'!H89,56)=0,10^6,INDEX(properties!A$1:CB$87,'Fórmula'!H89,56)),IF(INDEX(properties!A$1:CB$87,'Fórmula'!J89,56)=0,10^6,INDEX(properties!A$1:CB$87,'Fórmula'!J89,56)))</f>
        <v>0.3</v>
      </c>
      <c r="FY89" s="119">
        <f t="shared" si="30"/>
        <v>0.62</v>
      </c>
      <c r="FZ89" s="104">
        <f t="array" ref="FZ89">(('Fórmula'!C89)/('Fórmula'!C89+'Fórmula'!E89+'Fórmula'!G89+'Fórmula'!I89+'Fórmula'!K89))*(INDEX(properties!A$1:CB$87,'Fórmula'!B89,57))+(('Fórmula'!E89)/('Fórmula'!C89+'Fórmula'!E89+'Fórmula'!G89+'Fórmula'!I89+'Fórmula'!K89))*(INDEX(properties!A$1:CB$87,'Fórmula'!D89,57))+(('Fórmula'!G89)/('Fórmula'!C89+'Fórmula'!E89+'Fórmula'!G89+'Fórmula'!I89+'Fórmula'!K89))*(INDEX(properties!A$1:CB$87,'Fórmula'!F89,57))+(('Fórmula'!I89)/('Fórmula'!C89+'Fórmula'!E89+'Fórmula'!G89+'Fórmula'!I89+'Fórmula'!K89))*(INDEX(properties!A$1:CB$87,'Fórmula'!H89,57))+(('Fórmula'!K89)/('Fórmula'!C89+'Fórmula'!E89+'Fórmula'!G89+'Fórmula'!I89+'Fórmula'!K89))*(INDEX(properties!A$1:CB$87,'Fórmula'!J89,57))</f>
        <v>8.095554</v>
      </c>
      <c r="GA89" s="104">
        <f t="array" ref="GA89">'Fórmula'!C89*(INDEX(properties!A$1:CB$87,'Fórmula'!B89,57))+'Fórmula'!E89*(INDEX(properties!A$1:CB$87,'Fórmula'!D89,57))+'Fórmula'!G89*(INDEX(properties!A$1:CB$87,'Fórmula'!F89,57))+'Fórmula'!I89*(INDEX(properties!A$1:CB$87,'Fórmula'!H89,57))+'Fórmula'!K89*(INDEX(properties!A$1:CB$87,'Fórmula'!J89,57))</f>
        <v>161.91108</v>
      </c>
      <c r="GB89" s="104">
        <f t="array" ref="GB89">VARP(IF(INDEX(properties!A$1:CB$87,'Fórmula'!B89,57)&lt;&gt;"",INDEX(properties!A$1:CB$87,'Fórmula'!B89,57)),IF(INDEX(properties!A$1:CB$87,'Fórmula'!D89,57)&lt;&gt;"",INDEX(properties!A$1:CB$87,'Fórmula'!D89,57)),IF(INDEX(properties!A$1:CB$87,'Fórmula'!F89,57)&lt;&gt;"",INDEX(properties!A$1:CB$87,'Fórmula'!F89,57)),IF(INDEX(properties!A$1:CB$87,'Fórmula'!H89,57)&lt;&gt;"",INDEX(properties!A$1:CB$87,'Fórmula'!H89,57)),IF(INDEX(properties!A$1:CB$87,'Fórmula'!J89,57)&lt;&gt;"",INDEX(properties!A$1:CB$87,'Fórmula'!J89,57)))</f>
        <v>183.0727179</v>
      </c>
      <c r="GC89" s="104">
        <f t="array" ref="GC89">MAX(INDEX(properties!A$1:CB$87,'Fórmula'!B89,57),INDEX(properties!A$1:CB$87,'Fórmula'!D89,57),INDEX(properties!A$1:CB$87,'Fórmula'!F89,57),INDEX(properties!A$1:CB$87,'Fórmula'!H89,57),INDEX(properties!A$1:CB$87,'Fórmula'!J89,57))</f>
        <v>36.94</v>
      </c>
      <c r="GD89" s="104">
        <f t="array" ref="GD89">MIN(IF(INDEX(properties!A$1:CB$87,'Fórmula'!B89,57)=0,10^6,INDEX(properties!A$1:CB$87,'Fórmula'!B89,57)),IF(INDEX(properties!A$1:CB$87,'Fórmula'!D89,57)=0,10^6,INDEX(properties!A$1:CB$87,'Fórmula'!D89,57)),IF(INDEX(properties!A$1:CB$87,'Fórmula'!F89,57)=0,10^6,INDEX(properties!A$1:CB$87,'Fórmula'!F89,57)),IF(INDEX(properties!A$1:CB$87,'Fórmula'!H89,57)=0,10^6,INDEX(properties!A$1:CB$87,'Fórmula'!H89,57)),IF(INDEX(properties!A$1:CB$87,'Fórmula'!J89,57)=0,10^6,INDEX(properties!A$1:CB$87,'Fórmula'!J89,57)))</f>
        <v>0.22259</v>
      </c>
      <c r="GE89" s="104">
        <f t="shared" si="31"/>
        <v>36.71741</v>
      </c>
      <c r="GF89" s="105">
        <f t="array" ref="GF89">(('Fórmula'!C89)/('Fórmula'!C89+'Fórmula'!E89+'Fórmula'!G89+'Fórmula'!I89+'Fórmula'!K89))*(INDEX(properties!A$1:CB$87,'Fórmula'!B89,60))+(('Fórmula'!E89)/('Fórmula'!C89+'Fórmula'!E89+'Fórmula'!G89+'Fórmula'!I89+'Fórmula'!K89))*(INDEX(properties!A$1:CB$87,'Fórmula'!D89,60))+(('Fórmula'!G89)/('Fórmula'!C89+'Fórmula'!E89+'Fórmula'!G89+'Fórmula'!I89+'Fórmula'!K89))*(INDEX(properties!A$1:CB$87,'Fórmula'!F89,60))+(('Fórmula'!I89)/('Fórmula'!C89+'Fórmula'!E89+'Fórmula'!G89+'Fórmula'!I89+'Fórmula'!K89))*(INDEX(properties!A$1:CB$87,'Fórmula'!H89,60))+(('Fórmula'!K89)/('Fórmula'!C89+'Fórmula'!E89+'Fórmula'!G89+'Fórmula'!I89+'Fórmula'!K89))*(INDEX(properties!A$1:CB$87,'Fórmula'!J89,60))</f>
        <v>40.721044</v>
      </c>
      <c r="GG89" s="105">
        <f t="array" ref="GG89">'Fórmula'!C89*(INDEX(properties!A$1:CB$87,'Fórmula'!B89,60))+'Fórmula'!E89*(INDEX(properties!A$1:CB$87,'Fórmula'!D89,60))+'Fórmula'!G89*(INDEX(properties!A$1:CB$87,'Fórmula'!F89,60))+'Fórmula'!I89*(INDEX(properties!A$1:CB$87,'Fórmula'!H89,60))+'Fórmula'!K89*(INDEX(properties!A$1:CB$87,'Fórmula'!J89,60))</f>
        <v>814.42088</v>
      </c>
      <c r="GH89" s="105">
        <f t="array" ref="GH89">VARP(IF(INDEX(properties!A$1:CB$87,'Fórmula'!B89,60)&lt;&gt;"",INDEX(properties!A$1:CB$87,'Fórmula'!B89,60)),IF(INDEX(properties!A$1:CB$87,'Fórmula'!D89,60)&lt;&gt;"",INDEX(properties!A$1:CB$87,'Fórmula'!D89,60)),IF(INDEX(properties!A$1:CB$87,'Fórmula'!F89,60)&lt;&gt;"",INDEX(properties!A$1:CB$87,'Fórmula'!F89,60)),IF(INDEX(properties!A$1:CB$87,'Fórmula'!H89,60)&lt;&gt;"",INDEX(properties!A$1:CB$87,'Fórmula'!H89,60)),IF(INDEX(properties!A$1:CB$87,'Fórmula'!J89,60)&lt;&gt;"",INDEX(properties!A$1:CB$87,'Fórmula'!J89,60)))</f>
        <v>5704.800942</v>
      </c>
      <c r="GI89" s="105">
        <f t="array" ref="GI89">MAX(INDEX(properties!A$1:CB$87,'Fórmula'!B89,60),INDEX(properties!A$1:CB$87,'Fórmula'!D89,60),INDEX(properties!A$1:CB$87,'Fórmula'!F89,60),INDEX(properties!A$1:CB$87,'Fórmula'!H89,60),INDEX(properties!A$1:CB$87,'Fórmula'!J89,60))</f>
        <v>200</v>
      </c>
      <c r="GJ89" s="105">
        <f t="array" ref="GJ89">MIN(IF(INDEX(properties!A$1:CB$87,'Fórmula'!B89,60)=0,10^6,INDEX(properties!A$1:CB$87,'Fórmula'!B89,60)),IF(INDEX(properties!A$1:CB$87,'Fórmula'!D89,60)=0,10^6,INDEX(properties!A$1:CB$87,'Fórmula'!D89,60)),IF(INDEX(properties!A$1:CB$87,'Fórmula'!F89,60)=0,10^6,INDEX(properties!A$1:CB$87,'Fórmula'!F89,60)),IF(INDEX(properties!A$1:CB$87,'Fórmula'!H89,60)=0,10^6,INDEX(properties!A$1:CB$87,'Fórmula'!H89,60)),IF(INDEX(properties!A$1:CB$87,'Fórmula'!J89,60)=0,10^6,INDEX(properties!A$1:CB$87,'Fórmula'!J89,60)))</f>
        <v>0.02674</v>
      </c>
      <c r="GK89" s="105">
        <f t="shared" si="32"/>
        <v>199.97326</v>
      </c>
      <c r="GL89" s="106">
        <f t="array" ref="GL89">(('Fórmula'!C89)/('Fórmula'!C89+'Fórmula'!E89+'Fórmula'!G89+'Fórmula'!I89+'Fórmula'!K89))*(INDEX(properties!A$1:CB$87,'Fórmula'!B89,62))+(('Fórmula'!E89)/('Fórmula'!C89+'Fórmula'!E89+'Fórmula'!G89+'Fórmula'!I89+'Fórmula'!K89))*(INDEX(properties!A$1:CB$87,'Fórmula'!D89,62))+(('Fórmula'!G89)/('Fórmula'!C89+'Fórmula'!E89+'Fórmula'!G89+'Fórmula'!I89+'Fórmula'!K89))*(INDEX(properties!A$1:CB$87,'Fórmula'!F89,62))+(('Fórmula'!I89)/('Fórmula'!C89+'Fórmula'!E89+'Fórmula'!G89+'Fórmula'!I89+'Fórmula'!K89))*(INDEX(properties!A$1:CB$87,'Fórmula'!H89,62))+(('Fórmula'!K89)/('Fórmula'!C89+'Fórmula'!E89+'Fórmula'!G89+'Fórmula'!I89+'Fórmula'!K89))*(INDEX(properties!A$1:CB$87,'Fórmula'!J89,62))</f>
        <v>2.8625</v>
      </c>
      <c r="GM89" s="106">
        <f t="array" ref="GM89">'Fórmula'!C89*(INDEX(properties!A$1:CB$87,'Fórmula'!B89,62))+'Fórmula'!E89*(INDEX(properties!A$1:CB$87,'Fórmula'!D89,62))+'Fórmula'!G89*(INDEX(properties!A$1:CB$87,'Fórmula'!F89,62))+'Fórmula'!I89*(INDEX(properties!A$1:CB$87,'Fórmula'!H89,62))+'Fórmula'!K89*(INDEX(properties!A$1:CB$87,'Fórmula'!J89,62))</f>
        <v>57.25</v>
      </c>
      <c r="GN89" s="106">
        <f t="array" ref="GN89">VARP(IF(INDEX(properties!A$1:CB$87,'Fórmula'!B89,62)&lt;&gt;"",INDEX(properties!A$1:CB$87,'Fórmula'!B89,62)),IF(INDEX(properties!A$1:CB$87,'Fórmula'!D89,62)&lt;&gt;"",INDEX(properties!A$1:CB$87,'Fórmula'!D89,62)),IF(INDEX(properties!A$1:CB$87,'Fórmula'!F89,62)&lt;&gt;"",INDEX(properties!A$1:CB$87,'Fórmula'!F89,62)),IF(INDEX(properties!A$1:CB$87,'Fórmula'!H89,62)&lt;&gt;"",INDEX(properties!A$1:CB$87,'Fórmula'!H89,62)),IF(INDEX(properties!A$1:CB$87,'Fórmula'!J89,62)&lt;&gt;"",INDEX(properties!A$1:CB$87,'Fórmula'!J89,62)))</f>
        <v>2.402584</v>
      </c>
      <c r="GO89" s="106">
        <f t="array" ref="GO89">MAX(INDEX(properties!A$1:CB$87,'Fórmula'!B89,62),INDEX(properties!A$1:CB$87,'Fórmula'!D89,62),INDEX(properties!A$1:CB$87,'Fórmula'!F89,62),INDEX(properties!A$1:CB$87,'Fórmula'!H89,62),INDEX(properties!A$1:CB$87,'Fórmula'!J89,62))</f>
        <v>4.37</v>
      </c>
      <c r="GP89" s="106">
        <f t="array" ref="GP89">MIN(IF(INDEX(properties!A$1:CB$87,'Fórmula'!B89,62)=0,10^6,INDEX(properties!A$1:CB$87,'Fórmula'!B89,62)),IF(INDEX(properties!A$1:CB$87,'Fórmula'!D89,62)=0,10^6,INDEX(properties!A$1:CB$87,'Fórmula'!D89,62)),IF(INDEX(properties!A$1:CB$87,'Fórmula'!F89,62)=0,10^6,INDEX(properties!A$1:CB$87,'Fórmula'!F89,62)),IF(INDEX(properties!A$1:CB$87,'Fórmula'!H89,62)=0,10^6,INDEX(properties!A$1:CB$87,'Fórmula'!H89,62)),IF(INDEX(properties!A$1:CB$87,'Fórmula'!J89,62)=0,10^6,INDEX(properties!A$1:CB$87,'Fórmula'!J89,62)))</f>
        <v>1.84</v>
      </c>
      <c r="GQ89" s="106">
        <f t="shared" si="33"/>
        <v>2.53</v>
      </c>
      <c r="GR89" s="106">
        <f>'Fórmula'!Q89</f>
        <v>230</v>
      </c>
      <c r="GS89" s="107">
        <f>'Fórmula'!P89</f>
        <v>1</v>
      </c>
      <c r="GT89" s="113">
        <f>'Fórmula'!O89</f>
        <v>4.48</v>
      </c>
      <c r="GU89" s="114">
        <f>AVERAGE('Fórmula'!R89/'Fórmula'!S89,'Fórmula'!S89/'Fórmula'!T89,'Fórmula'!T89/'Fórmula'!R89)</f>
        <v>1</v>
      </c>
      <c r="GV89" s="125">
        <f>'Fórmula'!U89</f>
        <v>2100.05</v>
      </c>
      <c r="GW89" s="106">
        <f>'Fórmula'!N89</f>
        <v>0.24</v>
      </c>
    </row>
    <row r="90" ht="14.25" customHeight="1">
      <c r="A90" s="99" t="str">
        <f>'Fórmula'!A90</f>
        <v>NaKLaNO5</v>
      </c>
      <c r="B90" s="101">
        <f t="array" ref="B90">(('Fórmula'!C90)/('Fórmula'!C90+'Fórmula'!E90+'Fórmula'!G90+'Fórmula'!I90+'Fórmula'!K90))*(INDEX(properties!A$1:CB$87,'Fórmula'!B90,3))+(('Fórmula'!E90)/('Fórmula'!C90+'Fórmula'!E90+'Fórmula'!G90+'Fórmula'!I90+'Fórmula'!K90))*(INDEX(properties!A$1:CB$87,'Fórmula'!D90,3))+(('Fórmula'!G90)/('Fórmula'!C90+'Fórmula'!E90+'Fórmula'!G90+'Fórmula'!I90+'Fórmula'!K90))*(INDEX(properties!A$1:CB$87,'Fórmula'!F90,3))+(('Fórmula'!I90)/('Fórmula'!C90+'Fórmula'!E90+'Fórmula'!G90+'Fórmula'!I90+'Fórmula'!K90))*(INDEX(properties!A$1:CB$87,'Fórmula'!H90,3))+(('Fórmula'!K90)/('Fórmula'!C90+'Fórmula'!E90+'Fórmula'!G90+'Fórmula'!I90+'Fórmula'!K90))*(INDEX(properties!A$1:CB$87,'Fórmula'!J90,3))</f>
        <v>32.77747867</v>
      </c>
      <c r="C90" s="101">
        <f t="array" ref="C90">'Fórmula'!C90*(INDEX(properties!A$1:CB$87,'Fórmula'!B90,3))+'Fórmula'!E90*(INDEX(properties!A$1:CB$87,'Fórmula'!D90,3))+'Fórmula'!G90*(INDEX(properties!A$1:CB$87,'Fórmula'!F90,3))+'Fórmula'!I90*(INDEX(properties!A$1:CB$87,'Fórmula'!H90,3))+'Fórmula'!K90*(INDEX(properties!A$1:CB$87,'Fórmula'!J90,3))</f>
        <v>294.997308</v>
      </c>
      <c r="D90" s="101">
        <f t="array" ref="D90">VARP(IF(INDEX(properties!A$1:CB$87,'Fórmula'!B90,3)&lt;&gt;"",INDEX(properties!A$1:CB$87,'Fórmula'!B90,3)),IF(INDEX(properties!A$1:CB$87,'Fórmula'!D90,3)&lt;&gt;"",INDEX(properties!A$1:CB$87,'Fórmula'!D90,3)),IF(INDEX(properties!A$1:CB$87,'Fórmula'!F90,3)&lt;&gt;"",INDEX(properties!A$1:CB$87,'Fórmula'!F90,3)),IF(INDEX(properties!A$1:CB$87,'Fórmula'!H90,3)&lt;&gt;"",INDEX(properties!A$1:CB$87,'Fórmula'!H90,3)),IF(INDEX(properties!A$1:CB$87,'Fórmula'!J90,3)&lt;&gt;"",INDEX(properties!A$1:CB$87,'Fórmula'!J90,3)))</f>
        <v>2226.388194</v>
      </c>
      <c r="E90" s="101">
        <f t="array" ref="E90">MAX(INDEX(properties!A$1:CB$87,'Fórmula'!B90,3),INDEX(properties!A$1:CB$87,'Fórmula'!D90,3),INDEX(properties!A$1:CB$87,'Fórmula'!F90,3),INDEX(properties!A$1:CB$87,'Fórmula'!H90,3),INDEX(properties!A$1:CB$87,'Fórmula'!J90,3))</f>
        <v>138.9055</v>
      </c>
      <c r="F90" s="101">
        <f t="array" ref="F90">MIN(IF(INDEX(properties!A$1:CB$87,'Fórmula'!B90,3)=0,10^6,INDEX(properties!A$1:CB$87,'Fórmula'!B90,3)),IF(INDEX(properties!A$1:CB$87,'Fórmula'!D90,3)=0,10^6,INDEX(properties!A$1:CB$87,'Fórmula'!D90,3)),IF(INDEX(properties!A$1:CB$87,'Fórmula'!F90,3)=0,10^6,INDEX(properties!A$1:CB$87,'Fórmula'!F90,3)),IF(INDEX(properties!A$1:CB$87,'Fórmula'!H90,3)=0,10^6,INDEX(properties!A$1:CB$87,'Fórmula'!H90,3)),IF(INDEX(properties!A$1:CB$87,'Fórmula'!J90,3)=0,10^6,INDEX(properties!A$1:CB$87,'Fórmula'!J90,3)))</f>
        <v>14.00674</v>
      </c>
      <c r="G90" s="101">
        <f t="shared" si="1"/>
        <v>124.89876</v>
      </c>
      <c r="H90" s="102">
        <f t="array" ref="H90">(('Fórmula'!C90)/('Fórmula'!C90+'Fórmula'!E90+'Fórmula'!G90+'Fórmula'!I90+'Fórmula'!K90))*(INDEX(properties!A$1:CB$87,'Fórmula'!B90,4))+(('Fórmula'!E90)/('Fórmula'!C90+'Fórmula'!E90+'Fórmula'!G90+'Fórmula'!I90+'Fórmula'!K90))*(INDEX(properties!A$1:CB$87,'Fórmula'!D90,4))+(('Fórmula'!G90)/('Fórmula'!C90+'Fórmula'!E90+'Fórmula'!G90+'Fórmula'!I90+'Fórmula'!K90))*(INDEX(properties!A$1:CB$87,'Fórmula'!F90,4))+(('Fórmula'!I90)/('Fórmula'!C90+'Fórmula'!E90+'Fórmula'!G90+'Fórmula'!I90+'Fórmula'!K90))*(INDEX(properties!A$1:CB$87,'Fórmula'!H90,4))+(('Fórmula'!K90)/('Fórmula'!C90+'Fórmula'!E90+'Fórmula'!G90+'Fórmula'!I90+'Fórmula'!K90))*(INDEX(properties!A$1:CB$87,'Fórmula'!J90,4))</f>
        <v>14.88888889</v>
      </c>
      <c r="I90" s="102">
        <f t="array" ref="I90">'Fórmula'!C90*(INDEX(properties!A$1:CB$87,'Fórmula'!B90,4))+'Fórmula'!E90*(INDEX(properties!A$1:CB$87,'Fórmula'!D90,4))+'Fórmula'!G90*(INDEX(properties!A$1:CB$87,'Fórmula'!F90,4))+'Fórmula'!I90*(INDEX(properties!A$1:CB$87,'Fórmula'!H90,4))+'Fórmula'!K90*(INDEX(properties!A$1:CB$87,'Fórmula'!J90,4))</f>
        <v>134</v>
      </c>
      <c r="J90" s="102">
        <f t="array" ref="J90">VARP(IF(INDEX(properties!A$1:CB$87,'Fórmula'!B90,4)&lt;&gt;"",INDEX(properties!A$1:CB$87,'Fórmula'!B90,4)),IF(INDEX(properties!A$1:CB$87,'Fórmula'!D90,4)&lt;&gt;"",INDEX(properties!A$1:CB$87,'Fórmula'!D90,4)),IF(INDEX(properties!A$1:CB$87,'Fórmula'!F90,4)&lt;&gt;"",INDEX(properties!A$1:CB$87,'Fórmula'!F90,4)),IF(INDEX(properties!A$1:CB$87,'Fórmula'!H90,4)&lt;&gt;"",INDEX(properties!A$1:CB$87,'Fórmula'!H90,4)),IF(INDEX(properties!A$1:CB$87,'Fórmula'!J90,4)&lt;&gt;"",INDEX(properties!A$1:CB$87,'Fórmula'!J90,4)))</f>
        <v>352.64</v>
      </c>
      <c r="K90" s="102">
        <f t="array" ref="K90">MAX(INDEX(properties!A$1:CB$87,'Fórmula'!B90,4),INDEX(properties!A$1:CB$87,'Fórmula'!D90,4),INDEX(properties!A$1:CB$87,'Fórmula'!F90,4),INDEX(properties!A$1:CB$87,'Fórmula'!H90,4),INDEX(properties!A$1:CB$87,'Fórmula'!J90,4))</f>
        <v>57</v>
      </c>
      <c r="L90" s="102">
        <f t="array" ref="L90">MIN(IF(INDEX(properties!A$1:CB$87,'Fórmula'!B90,4)=0,10^6,INDEX(properties!A$1:CB$87,'Fórmula'!B90,4)),IF(INDEX(properties!A$1:CB$87,'Fórmula'!D90,4)=0,10^6,INDEX(properties!A$1:CB$87,'Fórmula'!D90,4)),IF(INDEX(properties!A$1:CB$87,'Fórmula'!F90,4)=0,10^6,INDEX(properties!A$1:CB$87,'Fórmula'!F90,4)),IF(INDEX(properties!A$1:CB$87,'Fórmula'!H90,4)=0,10^6,INDEX(properties!A$1:CB$87,'Fórmula'!H90,4)),IF(INDEX(properties!A$1:CB$87,'Fórmula'!J90,4)=0,10^6,INDEX(properties!A$1:CB$87,'Fórmula'!J90,4)))</f>
        <v>7</v>
      </c>
      <c r="M90" s="102">
        <f t="shared" si="2"/>
        <v>50</v>
      </c>
      <c r="N90" s="103">
        <f t="array" ref="N90">(('Fórmula'!C90)/('Fórmula'!C90+'Fórmula'!E90+'Fórmula'!G90+'Fórmula'!I90+'Fórmula'!K90))*(INDEX(properties!A$1:CB$87,'Fórmula'!B90,5))+(('Fórmula'!E90)/('Fórmula'!C90+'Fórmula'!E90+'Fórmula'!G90+'Fórmula'!I90+'Fórmula'!K90))*(INDEX(properties!A$1:CB$87,'Fórmula'!D90,5))+(('Fórmula'!G90)/('Fórmula'!C90+'Fórmula'!E90+'Fórmula'!G90+'Fórmula'!I90+'Fórmula'!K90))*(INDEX(properties!A$1:CB$87,'Fórmula'!F90,5))+(('Fórmula'!I90)/('Fórmula'!C90+'Fórmula'!E90+'Fórmula'!G90+'Fórmula'!I90+'Fórmula'!K90))*(INDEX(properties!A$1:CB$87,'Fórmula'!H90,5))+(('Fórmula'!K90)/('Fórmula'!C90+'Fórmula'!E90+'Fórmula'!G90+'Fórmula'!I90+'Fórmula'!K90))*(INDEX(properties!A$1:CB$87,'Fórmula'!J90,5))</f>
        <v>2.777777778</v>
      </c>
      <c r="O90" s="103">
        <f t="array" ref="O90">'Fórmula'!C90*(INDEX(properties!A$1:CB$87,'Fórmula'!B90,5))+'Fórmula'!E90*(INDEX(properties!A$1:CB$87,'Fórmula'!D90,5))+'Fórmula'!G90*(INDEX(properties!A$1:CB$87,'Fórmula'!F90,5))+'Fórmula'!I90*(INDEX(properties!A$1:CB$87,'Fórmula'!H90,5))+'Fórmula'!K90*(INDEX(properties!A$1:CB$87,'Fórmula'!J90,5))</f>
        <v>25</v>
      </c>
      <c r="P90" s="103">
        <f t="array" ref="P90">VARP(IF(INDEX(properties!A$1:CB$87,'Fórmula'!B90,5)&lt;&gt;"",INDEX(properties!A$1:CB$87,'Fórmula'!B90,5)),IF(INDEX(properties!A$1:CB$87,'Fórmula'!D90,5)&lt;&gt;"",INDEX(properties!A$1:CB$87,'Fórmula'!D90,5)),IF(INDEX(properties!A$1:CB$87,'Fórmula'!F90,5)&lt;&gt;"",INDEX(properties!A$1:CB$87,'Fórmula'!F90,5)),IF(INDEX(properties!A$1:CB$87,'Fórmula'!H90,5)&lt;&gt;"",INDEX(properties!A$1:CB$87,'Fórmula'!H90,5)),IF(INDEX(properties!A$1:CB$87,'Fórmula'!J90,5)&lt;&gt;"",INDEX(properties!A$1:CB$87,'Fórmula'!J90,5)))</f>
        <v>2.24</v>
      </c>
      <c r="Q90" s="103">
        <f t="array" ref="Q90">MAX(INDEX(properties!A$1:CB$87,'Fórmula'!B90,5),INDEX(properties!A$1:CB$87,'Fórmula'!D90,5),INDEX(properties!A$1:CB$87,'Fórmula'!F90,5),INDEX(properties!A$1:CB$87,'Fórmula'!H90,5),INDEX(properties!A$1:CB$87,'Fórmula'!J90,5))</f>
        <v>6</v>
      </c>
      <c r="R90" s="103">
        <f t="array" ref="R90">MIN(IF(INDEX(properties!A$1:CB$87,'Fórmula'!B90,5)=0,10^6,INDEX(properties!A$1:CB$87,'Fórmula'!B90,5)),IF(INDEX(properties!A$1:CB$87,'Fórmula'!D90,5)=0,10^6,INDEX(properties!A$1:CB$87,'Fórmula'!D90,5)),IF(INDEX(properties!A$1:CB$87,'Fórmula'!F90,5)=0,10^6,INDEX(properties!A$1:CB$87,'Fórmula'!F90,5)),IF(INDEX(properties!A$1:CB$87,'Fórmula'!H90,5)=0,10^6,INDEX(properties!A$1:CB$87,'Fórmula'!H90,5)),IF(INDEX(properties!A$1:CB$87,'Fórmula'!J90,5)=0,10^6,INDEX(properties!A$1:CB$87,'Fórmula'!J90,5)))</f>
        <v>2</v>
      </c>
      <c r="S90" s="103">
        <f t="shared" si="3"/>
        <v>4</v>
      </c>
      <c r="T90" s="104">
        <f t="array" ref="T90">(('Fórmula'!C90)/('Fórmula'!C90+'Fórmula'!E90+'Fórmula'!G90+'Fórmula'!I90+'Fórmula'!K90))*(INDEX(properties!A$1:CB$87,'Fórmula'!B90,6))+(('Fórmula'!E90)/('Fórmula'!C90+'Fórmula'!E90+'Fórmula'!G90+'Fórmula'!I90+'Fórmula'!K90))*(INDEX(properties!A$1:CB$87,'Fórmula'!D90,6))+(('Fórmula'!G90)/('Fórmula'!C90+'Fórmula'!E90+'Fórmula'!G90+'Fórmula'!I90+'Fórmula'!K90))*(INDEX(properties!A$1:CB$87,'Fórmula'!F90,6))+(('Fórmula'!I90)/('Fórmula'!C90+'Fórmula'!E90+'Fórmula'!G90+'Fórmula'!I90+'Fórmula'!K90))*(INDEX(properties!A$1:CB$87,'Fórmula'!H90,6))+(('Fórmula'!K90)/('Fórmula'!C90+'Fórmula'!E90+'Fórmula'!G90+'Fórmula'!I90+'Fórmula'!K90))*(INDEX(properties!A$1:CB$87,'Fórmula'!J90,6))</f>
        <v>11.11111111</v>
      </c>
      <c r="U90" s="104">
        <f t="array" ref="U90">'Fórmula'!C90*(INDEX(properties!A$1:CB$87,'Fórmula'!B90,6))+'Fórmula'!E90*(INDEX(properties!A$1:CB$87,'Fórmula'!D90,6))+'Fórmula'!G90*(INDEX(properties!A$1:CB$87,'Fórmula'!F90,6))+'Fórmula'!I90*(INDEX(properties!A$1:CB$87,'Fórmula'!H90,6))+'Fórmula'!K90*(INDEX(properties!A$1:CB$87,'Fórmula'!J90,6))</f>
        <v>100</v>
      </c>
      <c r="V90" s="103">
        <f t="array" ref="V90">VARP(IF(INDEX(properties!A$1:CB$87,'Fórmula'!B90,6)&lt;&gt;"",INDEX(properties!A$1:CB$87,'Fórmula'!B90,6)),IF(INDEX(properties!A$1:CB$87,'Fórmula'!D90,6)&lt;&gt;"",INDEX(properties!A$1:CB$87,'Fórmula'!D90,6)),IF(INDEX(properties!A$1:CB$87,'Fórmula'!F90,6)&lt;&gt;"",INDEX(properties!A$1:CB$87,'Fórmula'!F90,6)),IF(INDEX(properties!A$1:CB$87,'Fórmula'!H90,6)&lt;&gt;"",INDEX(properties!A$1:CB$87,'Fórmula'!H90,6)),IF(INDEX(properties!A$1:CB$87,'Fórmula'!J90,6)&lt;&gt;"",INDEX(properties!A$1:CB$87,'Fórmula'!J90,6)))</f>
        <v>46.56</v>
      </c>
      <c r="W90" s="104">
        <f t="array" ref="W90">MAX(INDEX(properties!A$1:CB$87,'Fórmula'!B90,6),INDEX(properties!A$1:CB$87,'Fórmula'!D90,6),INDEX(properties!A$1:CB$87,'Fórmula'!F90,6),INDEX(properties!A$1:CB$87,'Fórmula'!H90,4),INDEX(properties!A$1:CB$87,'Fórmula'!J90,6))</f>
        <v>16</v>
      </c>
      <c r="X90" s="104">
        <f t="array" ref="X90">MIN(IF(INDEX(properties!A$1:CB$87,'Fórmula'!B90,6)=0,10^6,INDEX(properties!A$1:CB$87,'Fórmula'!B90,6)),IF(INDEX(properties!A$1:CB$87,'Fórmula'!D90,6)=0,10^6,INDEX(properties!A$1:CB$87,'Fórmula'!D90,6)),IF(INDEX(properties!A$1:CB$87,'Fórmula'!F90,6)=0,10^6,INDEX(properties!A$1:CB$87,'Fórmula'!F90,6)),IF(INDEX(properties!A$1:CB$87,'Fórmula'!H90,6)=0,10^6,INDEX(properties!A$1:CB$87,'Fórmula'!H90,6)),IF(INDEX(properties!A$1:CB$87,'Fórmula'!J90,6)=0,10^6,INDEX(properties!A$1:CB$87,'Fórmula'!J90,6)))</f>
        <v>1</v>
      </c>
      <c r="Y90" s="104">
        <f t="shared" si="4"/>
        <v>15</v>
      </c>
      <c r="Z90" s="105">
        <f t="array" ref="Z90">(('Fórmula'!C90)/('Fórmula'!C90+'Fórmula'!E90+'Fórmula'!G90+'Fórmula'!I90+'Fórmula'!K90))*(INDEX(properties!A$1:CB$87,'Fórmula'!B90,9))+(('Fórmula'!E90)/('Fórmula'!C90+'Fórmula'!E90+'Fórmula'!G90+'Fórmula'!I90+'Fórmula'!K90))*(INDEX(properties!A$1:CB$87,'Fórmula'!D90,9))+(('Fórmula'!G90)/('Fórmula'!C90+'Fórmula'!E90+'Fórmula'!G90+'Fórmula'!I90+'Fórmula'!K90))*(INDEX(properties!A$1:CB$87,'Fórmula'!F90,9))+(('Fórmula'!I90)/('Fórmula'!C90+'Fórmula'!E90+'Fórmula'!G90+'Fórmula'!I90+'Fórmula'!K90))*(INDEX(properties!A$1:CB$87,'Fórmula'!H90,9))+(('Fórmula'!K90)/('Fórmula'!C90+'Fórmula'!E90+'Fórmula'!G90+'Fórmula'!I90+'Fórmula'!K90))*(INDEX(properties!A$1:CB$87,'Fórmula'!J90,9))</f>
        <v>59.44444444</v>
      </c>
      <c r="AA90" s="105">
        <f t="array" ref="AA90">'Fórmula'!C90*(INDEX(properties!A$1:CB$87,'Fórmula'!B90,9))+'Fórmula'!E90*(INDEX(properties!A$1:CB$87,'Fórmula'!D90,9))+'Fórmula'!G90*(INDEX(properties!A$1:CB$87,'Fórmula'!F90,9))+'Fórmula'!I90*(INDEX(properties!A$1:CB$87,'Fórmula'!H90,9))+'Fórmula'!K90*(INDEX(properties!A$1:CB$87,'Fórmula'!J90,9))</f>
        <v>535</v>
      </c>
      <c r="AB90" s="105">
        <f t="array" ref="AB90">VARP(IF(INDEX(properties!A$1:CB$87,'Fórmula'!B90,9)&lt;&gt;"",INDEX(properties!A$1:CB$87,'Fórmula'!B90,9)),IF(INDEX(properties!A$1:CB$87,'Fórmula'!D90,9)&lt;&gt;"",INDEX(properties!A$1:CB$87,'Fórmula'!D90,9)),IF(INDEX(properties!A$1:CB$87,'Fórmula'!F90,9)&lt;&gt;"",INDEX(properties!A$1:CB$87,'Fórmula'!F90,9)),IF(INDEX(properties!A$1:CB$87,'Fórmula'!H90,9)&lt;&gt;"",INDEX(properties!A$1:CB$87,'Fórmula'!H90,9)),IF(INDEX(properties!A$1:CB$87,'Fórmula'!J90,9)&lt;&gt;"",INDEX(properties!A$1:CB$87,'Fórmula'!J90,9)))</f>
        <v>1496.24</v>
      </c>
      <c r="AC90" s="105">
        <f t="array" ref="AC90">MAX(INDEX(properties!A$1:CB$87,'Fórmula'!B90,9),INDEX(properties!A$1:CB$87,'Fórmula'!D90,9),INDEX(properties!A$1:CB$87,'Fórmula'!F90,9),INDEX(properties!A$1:CB$87,'Fórmula'!H90,9),INDEX(properties!A$1:CB$87,'Fórmula'!J90,9))</f>
        <v>87</v>
      </c>
      <c r="AD90" s="105">
        <f t="array" ref="AD90">MIN(IF(INDEX(properties!A$1:CB$87,'Fórmula'!B90,9)=0,10^6,INDEX(properties!A$1:CB$87,'Fórmula'!B90,9)),IF(INDEX(properties!A$1:CB$87,'Fórmula'!D90,9)=0,10^6,INDEX(properties!A$1:CB$87,'Fórmula'!D90,9)),IF(INDEX(properties!A$1:CB$87,'Fórmula'!F90,9)=0,10^6,INDEX(properties!A$1:CB$87,'Fórmula'!F90,9)),IF(INDEX(properties!A$1:CB$87,'Fórmula'!H90,9)=0,10^6,INDEX(properties!A$1:CB$87,'Fórmula'!H90,9)),IF(INDEX(properties!A$1:CB$87,'Fórmula'!J90,9)=0,10^6,INDEX(properties!A$1:CB$87,'Fórmula'!J90,9)))</f>
        <v>2</v>
      </c>
      <c r="AE90" s="105">
        <f t="shared" si="5"/>
        <v>85</v>
      </c>
      <c r="AF90" s="106">
        <f t="array" ref="AF90">(('Fórmula'!C90)/('Fórmula'!C90+'Fórmula'!E90+'Fórmula'!G90+'Fórmula'!I90+'Fórmula'!K90))*(INDEX(properties!A$1:CB$87,'Fórmula'!B90,10))+(('Fórmula'!E90)/('Fórmula'!C90+'Fórmula'!E90+'Fórmula'!G90+'Fórmula'!I90+'Fórmula'!K90))*(INDEX(properties!A$1:CB$87,'Fórmula'!D90,10))+(('Fórmula'!G90)/('Fórmula'!C90+'Fórmula'!E90+'Fórmula'!G90+'Fórmula'!I90+'Fórmula'!K90))*(INDEX(properties!A$1:CB$87,'Fórmula'!F90,10))+(('Fórmula'!I90)/('Fórmula'!C90+'Fórmula'!E90+'Fórmula'!G90+'Fórmula'!I90+'Fórmula'!K90))*(INDEX(properties!A$1:CB$87,'Fórmula'!H90,10))+(('Fórmula'!K90)/('Fórmula'!C90+'Fórmula'!E90+'Fórmula'!G90+'Fórmula'!I90+'Fórmula'!K90))*(INDEX(properties!A$1:CB$87,'Fórmula'!J90,10))</f>
        <v>5.222222222</v>
      </c>
      <c r="AG90" s="106">
        <f t="array" ref="AG90">'Fórmula'!C90*(INDEX(properties!A$1:CB$87,'Fórmula'!B90,10))+'Fórmula'!E90*(INDEX(properties!A$1:CB$87,'Fórmula'!D90,10))+'Fórmula'!G90*(INDEX(properties!A$1:CB$87,'Fórmula'!F90,10))+'Fórmula'!I90*(INDEX(properties!A$1:CB$87,'Fórmula'!H90,10))+'Fórmula'!K90*(INDEX(properties!A$1:CB$87,'Fórmula'!J90,10))</f>
        <v>47</v>
      </c>
      <c r="AH90" s="106">
        <f t="array" ref="AH90">VARP(IF(INDEX(properties!A$1:CB$87,'Fórmula'!B90,10)&lt;&gt;"",INDEX(properties!A$1:CB$87,'Fórmula'!B90,10)),IF(INDEX(properties!A$1:CB$87,'Fórmula'!D90,10)&lt;&gt;"",INDEX(properties!A$1:CB$87,'Fórmula'!D90,10)),IF(INDEX(properties!A$1:CB$87,'Fórmula'!F90,10)&lt;&gt;"",INDEX(properties!A$1:CB$87,'Fórmula'!F90,10)),IF(INDEX(properties!A$1:CB$87,'Fórmula'!H90,10)&lt;&gt;"",INDEX(properties!A$1:CB$87,'Fórmula'!H90,10)),IF(INDEX(properties!A$1:CB$87,'Fórmula'!J90,10)&lt;&gt;"",INDEX(properties!A$1:CB$87,'Fórmula'!J90,10)))</f>
        <v>7.36</v>
      </c>
      <c r="AI90" s="106">
        <f t="array" ref="AI90">MAX(INDEX(properties!A$1:CB$87,'Fórmula'!B90,10),INDEX(properties!A$1:CB$87,'Fórmula'!D90,10),INDEX(properties!A$1:CB$87,'Fórmula'!F90,10),INDEX(properties!A$1:CB$87,'Fórmula'!H90,10),INDEX(properties!A$1:CB$87,'Fórmula'!J90,10))</f>
        <v>7</v>
      </c>
      <c r="AJ90" s="106">
        <f t="array" ref="AJ90">MIN(IF(INDEX(properties!A$1:CB$87,'Fórmula'!B90,10)=0,10^6,INDEX(properties!A$1:CB$87,'Fórmula'!B90,10)),IF(INDEX(properties!A$1:CB$87,'Fórmula'!D90,10)=0,10^6,INDEX(properties!A$1:CB$87,'Fórmula'!D90,10)),IF(INDEX(properties!A$1:CB$87,'Fórmula'!F90,10)=0,10^6,INDEX(properties!A$1:CB$87,'Fórmula'!F90,10)),IF(INDEX(properties!A$1:CB$87,'Fórmula'!H90,10)=0,10^6,INDEX(properties!A$1:CB$87,'Fórmula'!H90,10)),IF(INDEX(properties!A$1:CB$87,'Fórmula'!J90,10)=0,10^6,INDEX(properties!A$1:CB$87,'Fórmula'!J90,10)))</f>
        <v>1</v>
      </c>
      <c r="AK90" s="106">
        <f t="shared" si="6"/>
        <v>6</v>
      </c>
      <c r="AL90" s="107">
        <f t="array" ref="AL90">(('Fórmula'!C90)/('Fórmula'!C90+'Fórmula'!E90+'Fórmula'!G90+'Fórmula'!I90+'Fórmula'!K90))*(INDEX(properties!A$1:CB$87,'Fórmula'!B90,11))+(('Fórmula'!E90)/('Fórmula'!C90+'Fórmula'!E90+'Fórmula'!G90+'Fórmula'!I90+'Fórmula'!K90))*(INDEX(properties!A$1:CB$87,'Fórmula'!D90,11))+(('Fórmula'!G90)/('Fórmula'!C90+'Fórmula'!E90+'Fórmula'!G90+'Fórmula'!I90+'Fórmula'!K90))*(INDEX(properties!A$1:CB$87,'Fórmula'!F90,11))+(('Fórmula'!I90)/('Fórmula'!C90+'Fórmula'!E90+'Fórmula'!G90+'Fórmula'!I90+'Fórmula'!K90))*(INDEX(properties!A$1:CB$87,'Fórmula'!H90,11))+(('Fórmula'!K90)/('Fórmula'!C90+'Fórmula'!E90+'Fórmula'!G90+'Fórmula'!I90+'Fórmula'!K90))*(INDEX(properties!A$1:CB$87,'Fórmula'!J90,11))</f>
        <v>1.777777778</v>
      </c>
      <c r="AM90" s="107">
        <f t="array" ref="AM90">'Fórmula'!C90*(INDEX(properties!A$1:CB$87,'Fórmula'!B90,11))+'Fórmula'!E90*(INDEX(properties!A$1:CB$87,'Fórmula'!D90,11))+'Fórmula'!G90*(INDEX(properties!A$1:CB$87,'Fórmula'!F90,11))+'Fórmula'!I90*(INDEX(properties!A$1:CB$87,'Fórmula'!H90,11))+'Fórmula'!K90*(INDEX(properties!A$1:CB$87,'Fórmula'!J90,11))</f>
        <v>16</v>
      </c>
      <c r="AN90" s="107">
        <f t="array" ref="AN90">VARP(IF(INDEX(properties!A$1:CB$87,'Fórmula'!B90,11)&lt;&gt;"",INDEX(properties!A$1:CB$87,'Fórmula'!B90,11)),IF(INDEX(properties!A$1:CB$87,'Fórmula'!D90,11)&lt;&gt;"",INDEX(properties!A$1:CB$87,'Fórmula'!D90,11)),IF(INDEX(properties!A$1:CB$87,'Fórmula'!F90,11)&lt;&gt;"",INDEX(properties!A$1:CB$87,'Fórmula'!F90,11)),IF(INDEX(properties!A$1:CB$87,'Fórmula'!H90,11)&lt;&gt;"",INDEX(properties!A$1:CB$87,'Fórmula'!H90,11)),IF(INDEX(properties!A$1:CB$87,'Fórmula'!J90,11)&lt;&gt;"",INDEX(properties!A$1:CB$87,'Fórmula'!J90,11)))</f>
        <v>0.24</v>
      </c>
      <c r="AO90" s="107">
        <f t="array" ref="AO90">MAX(INDEX(properties!A$1:CB$87,'Fórmula'!B90,11),INDEX(properties!A$1:CB$87,'Fórmula'!D90,11),INDEX(properties!A$1:CB$87,'Fórmula'!F90,11),INDEX(properties!A$1:CB$87,'Fórmula'!H90,11),INDEX(properties!A$1:CB$87,'Fórmula'!J90,11))</f>
        <v>2</v>
      </c>
      <c r="AP90" s="107">
        <f t="array" ref="AP90">MIN(IF('Fórmula'!B90=87,10^6,INDEX(properties!A$1:CB$87,'Fórmula'!B90,11)),IF(('Fórmula'!D90)=87,10^6,INDEX(properties!A$1:CB$87,'Fórmula'!D90,11)),IF(('Fórmula'!F90)=87,10^6,INDEX(properties!A$1:CB$87,'Fórmula'!F90,11)),IF(('Fórmula'!H90)=87,10^6,INDEX(properties!A$1:CB$87,'Fórmula'!H90,11)),IF('Fórmula'!J90=87,10^6,INDEX(properties!A$1:CB$87,'Fórmula'!J90,11)))</f>
        <v>1</v>
      </c>
      <c r="AQ90" s="107">
        <f t="shared" si="7"/>
        <v>1</v>
      </c>
      <c r="AR90" s="108">
        <f t="array" ref="AR90">(('Fórmula'!C90)/('Fórmula'!C90+'Fórmula'!E90+'Fórmula'!G90+'Fórmula'!I90+'Fórmula'!K90))*(INDEX(properties!A$1:CB$87,'Fórmula'!B90,12))+(('Fórmula'!E90)/('Fórmula'!C90+'Fórmula'!E90+'Fórmula'!G90+'Fórmula'!I90+'Fórmula'!K90))*(INDEX(properties!A$1:CB$87,'Fórmula'!D90,12))+(('Fórmula'!G90)/('Fórmula'!C90+'Fórmula'!E90+'Fórmula'!G90+'Fórmula'!I90+'Fórmula'!K90))*(INDEX(properties!A$1:CB$87,'Fórmula'!F90,12))+(('Fórmula'!I90)/('Fórmula'!C90+'Fórmula'!E90+'Fórmula'!G90+'Fórmula'!I90+'Fórmula'!K90))*(INDEX(properties!A$1:CB$87,'Fórmula'!H90,12))+(('Fórmula'!K90)/('Fórmula'!C90+'Fórmula'!E90+'Fórmula'!G90+'Fórmula'!I90+'Fórmula'!K90))*(INDEX(properties!A$1:CB$87,'Fórmula'!J90,12))</f>
        <v>2.555555556</v>
      </c>
      <c r="AS90" s="108">
        <f t="array" ref="AS90">'Fórmula'!C90*(INDEX(properties!A$1:CB$87,'Fórmula'!B90,12))+'Fórmula'!E90*(INDEX(properties!A$1:CB$87,'Fórmula'!D90,12))+'Fórmula'!G90*(INDEX(properties!A$1:CB$87,'Fórmula'!F90,12))+'Fórmula'!I90*(INDEX(properties!A$1:CB$87,'Fórmula'!H90,12))+'Fórmula'!K90*(INDEX(properties!A$1:CB$87,'Fórmula'!J90,12))</f>
        <v>23</v>
      </c>
      <c r="AT90" s="108">
        <f t="array" ref="AT90">VARP(IF(INDEX(properties!A$1:CB$87,'Fórmula'!B90,12)&lt;&gt;"",INDEX(properties!A$1:CB$87,'Fórmula'!B90,12)),IF(INDEX(properties!A$1:CB$87,'Fórmula'!D90,12)&lt;&gt;"",INDEX(properties!A$1:CB$87,'Fórmula'!D90,12)),IF(INDEX(properties!A$1:CB$87,'Fórmula'!F90,12)&lt;&gt;"",INDEX(properties!A$1:CB$87,'Fórmula'!F90,12)),IF(INDEX(properties!A$1:CB$87,'Fórmula'!H90,12)&lt;&gt;"",INDEX(properties!A$1:CB$87,'Fórmula'!H90,12)),IF(INDEX(properties!A$1:CB$87,'Fórmula'!J90,12)&lt;&gt;"",INDEX(properties!A$1:CB$87,'Fórmula'!J90,12)))</f>
        <v>3.04</v>
      </c>
      <c r="AU90" s="108">
        <f t="array" ref="AU90">MAX(INDEX(properties!A$1:CB$87,'Fórmula'!B90,12),INDEX(properties!A$1:CB$87,'Fórmula'!D90,12),INDEX(properties!A$1:CB$87,'Fórmula'!F90,12),INDEX(properties!A$1:CB$87,'Fórmula'!H90,12),INDEX(properties!A$1:CB$87,'Fórmula'!J90,12))</f>
        <v>4</v>
      </c>
      <c r="AV90" s="108">
        <f t="array" ref="AV90">MIN(IF('Fórmula'!B90=87,10^6,INDEX(properties!A$1:CB$87,'Fórmula'!B90,12)),IF(('Fórmula'!D90)=87,10^6,INDEX(properties!A$1:CB$87,'Fórmula'!D90,12)),IF(('Fórmula'!F90)=87,10^6,INDEX(properties!A$1:CB$87,'Fórmula'!F90,12)),IF(('Fórmula'!H90)=87,10^6,INDEX(properties!A$1:CB$87,'Fórmula'!H90,12)),IF('Fórmula'!J90=87,10^6,INDEX(properties!A$1:CB$87,'Fórmula'!J90,12)))</f>
        <v>0</v>
      </c>
      <c r="AW90" s="108">
        <f t="shared" si="8"/>
        <v>4</v>
      </c>
      <c r="AX90" s="109">
        <f t="array" ref="AX90">(('Fórmula'!C90)/('Fórmula'!C90+'Fórmula'!E90+'Fórmula'!G90+'Fórmula'!I90+'Fórmula'!K90))*(INDEX(properties!A$1:CB$87,'Fórmula'!B90,13))+(('Fórmula'!E90)/('Fórmula'!C90+'Fórmula'!E90+'Fórmula'!G90+'Fórmula'!I90+'Fórmula'!K90))*(INDEX(properties!A$1:CB$87,'Fórmula'!D90,13))+(('Fórmula'!G90)/('Fórmula'!C90+'Fórmula'!E90+'Fórmula'!G90+'Fórmula'!I90+'Fórmula'!K90))*(INDEX(properties!A$1:CB$87,'Fórmula'!F90,13))+(('Fórmula'!I90)/('Fórmula'!C90+'Fórmula'!E90+'Fórmula'!G90+'Fórmula'!I90+'Fórmula'!K90))*(INDEX(properties!A$1:CB$87,'Fórmula'!H90,13))+(('Fórmula'!K90)/('Fórmula'!C90+'Fórmula'!E90+'Fórmula'!G90+'Fórmula'!I90+'Fórmula'!K90))*(INDEX(properties!A$1:CB$87,'Fórmula'!J90,13))</f>
        <v>0.1111111111</v>
      </c>
      <c r="AY90" s="109">
        <f t="array" ref="AY90">'Fórmula'!C90*(INDEX(properties!A$1:CB$87,'Fórmula'!B90,13))+'Fórmula'!E90*(INDEX(properties!A$1:CB$87,'Fórmula'!D90,13))+'Fórmula'!G90*(INDEX(properties!A$1:CB$87,'Fórmula'!F90,13))+'Fórmula'!I90*(INDEX(properties!A$1:CB$87,'Fórmula'!H90,13))+'Fórmula'!K90*(INDEX(properties!A$1:CB$87,'Fórmula'!J90,13))</f>
        <v>1</v>
      </c>
      <c r="AZ90" s="109">
        <f t="array" ref="AZ90">VARP(IF(INDEX(properties!A$1:CB$87,'Fórmula'!B90,13)&lt;&gt;"",INDEX(properties!A$1:CB$87,'Fórmula'!B90,13)),IF(INDEX(properties!A$1:CB$87,'Fórmula'!D90,13)&lt;&gt;"",INDEX(properties!A$1:CB$87,'Fórmula'!D90,13)),IF(INDEX(properties!A$1:CB$87,'Fórmula'!F90,13)&lt;&gt;"",INDEX(properties!A$1:CB$87,'Fórmula'!F90,13)),IF(INDEX(properties!A$1:CB$87,'Fórmula'!H90,13)&lt;&gt;"",INDEX(properties!A$1:CB$87,'Fórmula'!H90,13)),IF(INDEX(properties!A$1:CB$87,'Fórmula'!J90,13)&lt;&gt;"",INDEX(properties!A$1:CB$87,'Fórmula'!J90,13)))</f>
        <v>0.16</v>
      </c>
      <c r="BA90" s="109">
        <f t="array" ref="BA90">MAX(INDEX(properties!A$1:CB$87,'Fórmula'!B90,13),INDEX(properties!A$1:CB$87,'Fórmula'!D90,13),INDEX(properties!A$1:CB$87,'Fórmula'!F90,13),INDEX(properties!A$1:CB$87,'Fórmula'!H90,13),INDEX(properties!A$1:CB$87,'Fórmula'!J90,13))</f>
        <v>1</v>
      </c>
      <c r="BB90" s="109">
        <f t="array" ref="BB90">MIN(IF('Fórmula'!B90=87,10^6,INDEX(properties!A$1:CB$87,'Fórmula'!B90,13)),IF(('Fórmula'!D90)=87,10^6,INDEX(properties!A$1:CB$87,'Fórmula'!D90,13)),IF(('Fórmula'!F90)=87,10^6,INDEX(properties!A$1:CB$87,'Fórmula'!F90,13)),IF(('Fórmula'!H90)=87,10^6,INDEX(properties!A$1:CB$87,'Fórmula'!H90,13)),IF('Fórmula'!J90=87,10^6,INDEX(properties!A$1:CB$87,'Fórmula'!J90,13)))</f>
        <v>0</v>
      </c>
      <c r="BC90" s="109">
        <f t="shared" si="9"/>
        <v>1</v>
      </c>
      <c r="BD90" s="110">
        <f t="array" ref="BD90">(('Fórmula'!C90)/('Fórmula'!C90+'Fórmula'!E90+'Fórmula'!G90+'Fórmula'!I90+'Fórmula'!K90))*(INDEX(properties!A$1:CB$87,'Fórmula'!B90,14))+(('Fórmula'!E90)/('Fórmula'!C90+'Fórmula'!E90+'Fórmula'!G90+'Fórmula'!I90+'Fórmula'!K90))*(INDEX(properties!A$1:CB$87,'Fórmula'!D90,14))+(('Fórmula'!G90)/('Fórmula'!C90+'Fórmula'!E90+'Fórmula'!G90+'Fórmula'!I90+'Fórmula'!K90))*(INDEX(properties!A$1:CB$87,'Fórmula'!F90,14))+(('Fórmula'!I90)/('Fórmula'!C90+'Fórmula'!E90+'Fórmula'!G90+'Fórmula'!I90+'Fórmula'!K90))*(INDEX(properties!A$1:CB$87,'Fórmula'!H90,14))+(('Fórmula'!K90)/('Fórmula'!C90+'Fórmula'!E90+'Fórmula'!G90+'Fórmula'!I90+'Fórmula'!K90))*(INDEX(properties!A$1:CB$87,'Fórmula'!J90,14))</f>
        <v>0</v>
      </c>
      <c r="BE90" s="110">
        <f t="array" ref="BE90">'Fórmula'!C90*(INDEX(properties!A$1:CB$87,'Fórmula'!B90,14))+'Fórmula'!E90*(INDEX(properties!A$1:CB$87,'Fórmula'!D90,14))+'Fórmula'!G90*(INDEX(properties!A$1:CB$87,'Fórmula'!F90,14))+'Fórmula'!I90*(INDEX(properties!A$1:CB$87,'Fórmula'!H90,14))+'Fórmula'!K90*(INDEX(properties!A$1:CB$87,'Fórmula'!J90,14))</f>
        <v>0</v>
      </c>
      <c r="BF90" s="110">
        <f t="array" ref="BF90">VARP(IF(INDEX(properties!A$1:CB$87,'Fórmula'!B90,14)&lt;&gt;"",INDEX(properties!A$1:CB$87,'Fórmula'!B90,14)),IF(INDEX(properties!A$1:CB$87,'Fórmula'!D90,14)&lt;&gt;"",INDEX(properties!A$1:CB$87,'Fórmula'!D90,14)),IF(INDEX(properties!A$1:CB$87,'Fórmula'!F90,14)&lt;&gt;"",INDEX(properties!A$1:CB$87,'Fórmula'!F90,14)),IF(INDEX(properties!A$1:CB$87,'Fórmula'!H90,14)&lt;&gt;"",INDEX(properties!A$1:CB$87,'Fórmula'!H90,14)),IF(INDEX(properties!A$1:CB$87,'Fórmula'!J90,14)&lt;&gt;"",INDEX(properties!A$1:CB$87,'Fórmula'!J90,14)))</f>
        <v>0</v>
      </c>
      <c r="BG90" s="110">
        <f t="array" ref="BG90">MAX(INDEX(properties!A$1:CB$87,'Fórmula'!B90,14),INDEX(properties!A$1:CB$87,'Fórmula'!D90,14),INDEX(properties!A$1:CB$87,'Fórmula'!F90,14),INDEX(properties!A$1:CB$87,'Fórmula'!H90,14),INDEX(properties!A$1:CB$87,'Fórmula'!J90,14))</f>
        <v>0</v>
      </c>
      <c r="BH90" s="110">
        <f t="array" ref="BH90">MIN(IF('Fórmula'!B90=87,10^6,INDEX(properties!A$1:CB$87,'Fórmula'!B90,14)),IF(('Fórmula'!D90)=87,10^6,INDEX(properties!A$1:CB$87,'Fórmula'!D90,14)),IF(('Fórmula'!F90)=87,10^6,INDEX(properties!A$1:CB$87,'Fórmula'!F90,14)),IF(('Fórmula'!H90)=87,10^6,INDEX(properties!A$1:CB$87,'Fórmula'!H90,14)),IF('Fórmula'!J90=87,10^6,INDEX(properties!A$1:CB$87,'Fórmula'!J90,14)))</f>
        <v>0</v>
      </c>
      <c r="BI90" s="110">
        <f t="shared" si="10"/>
        <v>0</v>
      </c>
      <c r="BJ90" s="111">
        <f t="array" ref="BJ90">(('Fórmula'!C90)/('Fórmula'!C90+'Fórmula'!E90+'Fórmula'!G90+'Fórmula'!I90+'Fórmula'!K90))*(INDEX(properties!A$1:CB$87,'Fórmula'!B90,19))+(('Fórmula'!E90)/('Fórmula'!C90+'Fórmula'!E90+'Fórmula'!G90+'Fórmula'!I90+'Fórmula'!K90))*(INDEX(properties!A$1:CB$87,'Fórmula'!D90,19))+(('Fórmula'!G90)/('Fórmula'!C90+'Fórmula'!E90+'Fórmula'!G90+'Fórmula'!I90+'Fórmula'!K90))*(INDEX(properties!A$1:CB$87,'Fórmula'!F90,19))+(('Fórmula'!I90)/('Fórmula'!C90+'Fórmula'!E90+'Fórmula'!G90+'Fórmula'!I90+'Fórmula'!K90))*(INDEX(properties!A$1:CB$87,'Fórmula'!H90,19))+(('Fórmula'!K90)/('Fórmula'!C90+'Fórmula'!E90+'Fórmula'!G90+'Fórmula'!I90+'Fórmula'!K90))*(INDEX(properties!A$1:CB$87,'Fórmula'!J90,19))</f>
        <v>4.444444444</v>
      </c>
      <c r="BK90" s="111">
        <f t="array" ref="BK90">'Fórmula'!C90*(INDEX(properties!A$1:CB$87,'Fórmula'!B90,19))+'Fórmula'!E90*(INDEX(properties!A$1:CB$87,'Fórmula'!D90,19))+'Fórmula'!G90*(INDEX(properties!A$1:CB$87,'Fórmula'!F90,19))+'Fórmula'!I90*(INDEX(properties!A$1:CB$87,'Fórmula'!H90,19))+'Fórmula'!K90*(INDEX(properties!A$1:CB$87,'Fórmula'!J90,19))</f>
        <v>40</v>
      </c>
      <c r="BL90" s="111">
        <f t="array" ref="BL90">VARP(IF(INDEX(properties!A$1:CB$87,'Fórmula'!B90,19)&lt;&gt;"",INDEX(properties!A$1:CB$87,'Fórmula'!B90,19)),IF(INDEX(properties!A$1:CB$87,'Fórmula'!D90,19)&lt;&gt;"",INDEX(properties!A$1:CB$87,'Fórmula'!D90,19)),IF(INDEX(properties!A$1:CB$87,'Fórmula'!F90,19)&lt;&gt;"",INDEX(properties!A$1:CB$87,'Fórmula'!F90,19)),IF(INDEX(properties!A$1:CB$87,'Fórmula'!H90,19)&lt;&gt;"",INDEX(properties!A$1:CB$87,'Fórmula'!H90,19)),IF(INDEX(properties!A$1:CB$87,'Fórmula'!J90,19)&lt;&gt;"",INDEX(properties!A$1:CB$87,'Fórmula'!J90,19)))</f>
        <v>4.16</v>
      </c>
      <c r="BM90" s="111">
        <f t="array" ref="BM90">MAX(INDEX(properties!A$1:CB$87,'Fórmula'!B90,19),INDEX(properties!A$1:CB$87,'Fórmula'!D90,19),INDEX(properties!A$1:CB$87,'Fórmula'!F90,19),INDEX(properties!A$1:CB$87,'Fórmula'!H90,19),INDEX(properties!A$1:CB$87,'Fórmula'!J90,19))</f>
        <v>6</v>
      </c>
      <c r="BN90" s="111">
        <f t="array" ref="BN90">MIN(IF(INDEX(properties!A$1:CB$87,'Fórmula'!B90,19)=0,10^6,INDEX(properties!A$1:CB$87,'Fórmula'!B90,19)),IF(INDEX(properties!A$1:CB$87,'Fórmula'!D90,19)=0,10^6,INDEX(properties!A$1:CB$87,'Fórmula'!D90,19)),IF(INDEX(properties!A$1:CB$87,'Fórmula'!F90,19)=0,10^6,INDEX(properties!A$1:CB$87,'Fórmula'!F90,19)),IF(INDEX(properties!A$1:CB$87,'Fórmula'!H90,19)=0,10^6,INDEX(properties!A$1:CB$87,'Fórmula'!H90,19)),IF(INDEX(properties!A$1:CB$87,'Fórmula'!J90,19)=0,10^6,INDEX(properties!A$1:CB$87,'Fórmula'!J90,19)))</f>
        <v>1</v>
      </c>
      <c r="BO90" s="111">
        <f t="shared" si="11"/>
        <v>5</v>
      </c>
      <c r="BP90" s="112">
        <f t="array" ref="BP90">(('Fórmula'!C90)/('Fórmula'!C90+'Fórmula'!E90+'Fórmula'!G90+'Fórmula'!I90+'Fórmula'!K90))*(INDEX(properties!A$1:CB$87,'Fórmula'!B90,20))+(('Fórmula'!E90)/('Fórmula'!C90+'Fórmula'!E90+'Fórmula'!G90+'Fórmula'!I90+'Fórmula'!K90))*(INDEX(properties!A$1:CB$87,'Fórmula'!D90,20))+(('Fórmula'!G90)/('Fórmula'!C90+'Fórmula'!E90+'Fórmula'!G90+'Fórmula'!I90+'Fórmula'!K90))*(INDEX(properties!A$1:CB$87,'Fórmula'!F90,20))+(('Fórmula'!I90)/('Fórmula'!C90+'Fórmula'!E90+'Fórmula'!G90+'Fórmula'!I90+'Fórmula'!K90))*(INDEX(properties!A$1:CB$87,'Fórmula'!H90,20))+(('Fórmula'!K90)/('Fórmula'!C90+'Fórmula'!E90+'Fórmula'!G90+'Fórmula'!I90+'Fórmula'!K90))*(INDEX(properties!A$1:CB$87,'Fórmula'!J90,20))</f>
        <v>4.333333333</v>
      </c>
      <c r="BQ90" s="112">
        <f t="array" ref="BQ90">'Fórmula'!C90*(INDEX(properties!A$1:CB$87,'Fórmula'!B90,20))+'Fórmula'!E90*(INDEX(properties!A$1:CB$87,'Fórmula'!D90,20))+'Fórmula'!G90*(INDEX(properties!A$1:CB$87,'Fórmula'!F90,20))+'Fórmula'!I90*(INDEX(properties!A$1:CB$87,'Fórmula'!H90,20))+'Fórmula'!K90*(INDEX(properties!A$1:CB$87,'Fórmula'!J90,20))</f>
        <v>39</v>
      </c>
      <c r="BR90" s="112">
        <f t="array" ref="BR90">VARP(IF(INDEX(properties!A$1:CB$87,'Fórmula'!B90,20)&lt;&gt;"",INDEX(properties!A$1:CB$87,'Fórmula'!B90,20)),IF(INDEX(properties!A$1:CB$87,'Fórmula'!D90,20)&lt;&gt;"",INDEX(properties!A$1:CB$87,'Fórmula'!D90,20)),IF(INDEX(properties!A$1:CB$87,'Fórmula'!F90,20)&lt;&gt;"",INDEX(properties!A$1:CB$87,'Fórmula'!F90,20)),IF(INDEX(properties!A$1:CB$87,'Fórmula'!H90,20)&lt;&gt;"",INDEX(properties!A$1:CB$87,'Fórmula'!H90,20)),IF(INDEX(properties!A$1:CB$87,'Fórmula'!J90,20)&lt;&gt;"",INDEX(properties!A$1:CB$87,'Fórmula'!J90,20)))</f>
        <v>4.4</v>
      </c>
      <c r="BS90" s="112">
        <f t="array" ref="BS90">MAX(INDEX(properties!A$1:CB$87,'Fórmula'!B90,20),INDEX(properties!A$1:CB$87,'Fórmula'!D90,20),INDEX(properties!A$1:CB$87,'Fórmula'!F90,20),INDEX(properties!A$1:CB$87,'Fórmula'!H90,20),INDEX(properties!A$1:CB$87,'Fórmula'!J90,20))</f>
        <v>6</v>
      </c>
      <c r="BT90" s="112">
        <f t="array" ref="BT90">MIN(IF(INDEX(properties!A$1:CB$87,'Fórmula'!B90,20)=0,10^6,INDEX(properties!A$1:CB$87,'Fórmula'!B90,20)),IF(INDEX(properties!A$1:CB$87,'Fórmula'!D90,20)=0,10^6,INDEX(properties!A$1:CB$87,'Fórmula'!D90,20)),IF(INDEX(properties!A$1:CB$87,'Fórmula'!F90,20)=0,10^6,INDEX(properties!A$1:CB$87,'Fórmula'!F90,20)),IF(INDEX(properties!A$1:CB$87,'Fórmula'!H90,20)=0,10^6,INDEX(properties!A$1:CB$87,'Fórmula'!H90,20)),IF(INDEX(properties!A$1:CB$87,'Fórmula'!J90,20)=0,10^6,INDEX(properties!A$1:CB$87,'Fórmula'!J90,20)))</f>
        <v>1</v>
      </c>
      <c r="BU90" s="112">
        <f t="shared" si="12"/>
        <v>5</v>
      </c>
      <c r="BV90" s="113">
        <f t="array" ref="BV90">(('Fórmula'!C90)/('Fórmula'!C90+'Fórmula'!E90+'Fórmula'!G90+'Fórmula'!I90+'Fórmula'!K90))*(INDEX(properties!A$1:CB$87,'Fórmula'!B90,21))+(('Fórmula'!E90)/('Fórmula'!C90+'Fórmula'!E90+'Fórmula'!G90+'Fórmula'!I90+'Fórmula'!K90))*(INDEX(properties!A$1:CB$87,'Fórmula'!D90,21))+(('Fórmula'!G90)/('Fórmula'!C90+'Fórmula'!E90+'Fórmula'!G90+'Fórmula'!I90+'Fórmula'!K90))*(INDEX(properties!A$1:CB$87,'Fórmula'!F90,21))+(('Fórmula'!I90)/('Fórmula'!C90+'Fórmula'!E90+'Fórmula'!G90+'Fórmula'!I90+'Fórmula'!K90))*(INDEX(properties!A$1:CB$87,'Fórmula'!H90,21))+(('Fórmula'!K90)/('Fórmula'!C90+'Fórmula'!E90+'Fórmula'!G90+'Fórmula'!I90+'Fórmula'!K90))*(INDEX(properties!A$1:CB$87,'Fórmula'!J90,21))</f>
        <v>4.222222222</v>
      </c>
      <c r="BW90" s="113">
        <f t="array" ref="BW90">'Fórmula'!C90*(INDEX(properties!A$1:CB$87,'Fórmula'!B90,21))+'Fórmula'!E90*(INDEX(properties!A$1:CB$87,'Fórmula'!D90,21))+'Fórmula'!G90*(INDEX(properties!A$1:CB$87,'Fórmula'!F90,21))+'Fórmula'!I90*(INDEX(properties!A$1:CB$87,'Fórmula'!H90,21))+'Fórmula'!K90*(INDEX(properties!A$1:CB$87,'Fórmula'!J90,21))</f>
        <v>38</v>
      </c>
      <c r="BX90" s="113">
        <f t="array" ref="BX90">VARP(IF(INDEX(properties!A$1:CB$87,'Fórmula'!B90,21)&lt;&gt;"",INDEX(properties!A$1:CB$87,'Fórmula'!B90,21)),IF(INDEX(properties!A$1:CB$87,'Fórmula'!D90,21)&lt;&gt;"",INDEX(properties!A$1:CB$87,'Fórmula'!D90,21)),IF(INDEX(properties!A$1:CB$87,'Fórmula'!F90,21)&lt;&gt;"",INDEX(properties!A$1:CB$87,'Fórmula'!F90,21)),IF(INDEX(properties!A$1:CB$87,'Fórmula'!H90,21)&lt;&gt;"",INDEX(properties!A$1:CB$87,'Fórmula'!H90,21)),IF(INDEX(properties!A$1:CB$87,'Fórmula'!J90,21)&lt;&gt;"",INDEX(properties!A$1:CB$87,'Fórmula'!J90,21)))</f>
        <v>4.96</v>
      </c>
      <c r="BY90" s="113">
        <f t="array" ref="BY90">MAX(INDEX(properties!A$1:CB$87,'Fórmula'!B90,21),INDEX(properties!A$1:CB$87,'Fórmula'!D90,21),INDEX(properties!A$1:CB$87,'Fórmula'!F90,21),INDEX(properties!A$1:CB$87,'Fórmula'!H90,21),INDEX(properties!A$1:CB$87,'Fórmula'!J90,21))</f>
        <v>6</v>
      </c>
      <c r="BZ90" s="113">
        <f t="array" ref="BZ90">MIN(IF(INDEX(properties!A$1:CB$87,'Fórmula'!B90,21)=0,10^6,INDEX(properties!A$1:CB$87,'Fórmula'!B90,21)),IF(INDEX(properties!A$1:CB$87,'Fórmula'!D90,21)=0,10^6,INDEX(properties!A$1:CB$87,'Fórmula'!D90,21)),IF(INDEX(properties!A$1:CB$87,'Fórmula'!F90,21)=0,10^6,INDEX(properties!A$1:CB$87,'Fórmula'!F90,21)),IF(INDEX(properties!A$1:CB$87,'Fórmula'!H90,21)=0,10^6,INDEX(properties!A$1:CB$87,'Fórmula'!H90,21)),IF(INDEX(properties!A$1:CB$87,'Fórmula'!J90,21)=0,10^6,INDEX(properties!A$1:CB$87,'Fórmula'!J90,21)))</f>
        <v>1</v>
      </c>
      <c r="CA90" s="113">
        <f t="shared" si="13"/>
        <v>5</v>
      </c>
      <c r="CB90" s="114">
        <f t="array" ref="CB90">(('Fórmula'!C90)/('Fórmula'!C90+'Fórmula'!E90+'Fórmula'!G90+'Fórmula'!I90+'Fórmula'!K90))*(INDEX(properties!A$1:CB$87,'Fórmula'!B90,23))+(('Fórmula'!E90)/('Fórmula'!C90+'Fórmula'!E90+'Fórmula'!G90+'Fórmula'!I90+'Fórmula'!K90))*(INDEX(properties!A$1:CB$87,'Fórmula'!D90,23))+(('Fórmula'!G90)/('Fórmula'!C90+'Fórmula'!E90+'Fórmula'!G90+'Fórmula'!I90+'Fórmula'!K90))*(INDEX(properties!A$1:CB$87,'Fórmula'!F90,23))+(('Fórmula'!I90)/('Fórmula'!C90+'Fórmula'!E90+'Fórmula'!G90+'Fórmula'!I90+'Fórmula'!K90))*(INDEX(properties!A$1:CB$87,'Fórmula'!H90,23))+(('Fórmula'!K90)/('Fórmula'!C90+'Fórmula'!E90+'Fórmula'!G90+'Fórmula'!I90+'Fórmula'!K90))*(INDEX(properties!A$1:CB$87,'Fórmula'!J90,23))</f>
        <v>0.8888888889</v>
      </c>
      <c r="CC90" s="114">
        <f t="array" ref="CC90">'Fórmula'!C90*(INDEX(properties!A$1:CB$87,'Fórmula'!B90,23))+'Fórmula'!E90*(INDEX(properties!A$1:CB$87,'Fórmula'!D90,23))+'Fórmula'!G90*(INDEX(properties!A$1:CB$87,'Fórmula'!F90,23))+'Fórmula'!I90*(INDEX(properties!A$1:CB$87,'Fórmula'!H90,23))+'Fórmula'!K90*(INDEX(properties!A$1:CB$87,'Fórmula'!J90,23))</f>
        <v>8</v>
      </c>
      <c r="CD90" s="114">
        <f t="array" ref="CD90">VARP(IF(INDEX(properties!A$1:CB$87,'Fórmula'!B90,23)&lt;&gt;"",INDEX(properties!A$1:CB$87,'Fórmula'!B90,23)),IF(INDEX(properties!A$1:CB$87,'Fórmula'!D90,23)&lt;&gt;"",INDEX(properties!A$1:CB$87,'Fórmula'!D90,23)),IF(INDEX(properties!A$1:CB$87,'Fórmula'!F90,23)&lt;&gt;"",INDEX(properties!A$1:CB$87,'Fórmula'!F90,23)),IF(INDEX(properties!A$1:CB$87,'Fórmula'!H90,23)&lt;&gt;"",INDEX(properties!A$1:CB$87,'Fórmula'!H90,23)),IF(INDEX(properties!A$1:CB$87,'Fórmula'!J90,23)&lt;&gt;"",INDEX(properties!A$1:CB$87,'Fórmula'!J90,23)))</f>
        <v>1.44</v>
      </c>
      <c r="CE90" s="114">
        <f t="array" ref="CE90">MAX(INDEX(properties!A$1:CB$87,'Fórmula'!B90,23),INDEX(properties!A$1:CB$87,'Fórmula'!D90,23),INDEX(properties!A$1:CB$87,'Fórmula'!F90,23),INDEX(properties!A$1:CB$87,'Fórmula'!H90,23),INDEX(properties!A$1:CB$87,'Fórmula'!J90,23))</f>
        <v>3</v>
      </c>
      <c r="CF90" s="114">
        <f t="array" ref="CF90">MIN(IF('Fórmula'!B90=87,10^6,INDEX(properties!A$1:CB$87,'Fórmula'!B90,23)),IF(('Fórmula'!D90)=87,10^6,INDEX(properties!A$1:CB$87,'Fórmula'!D90,23)),IF(('Fórmula'!F90)=87,10^6,INDEX(properties!A$1:CB$87,'Fórmula'!F90,23)),IF(('Fórmula'!H90)=87,10^6,INDEX(properties!A$1:CB$87,'Fórmula'!H90,23)),IF('Fórmula'!J90=87,10^6,INDEX(properties!A$1:CB$87,'Fórmula'!J90,23)))</f>
        <v>0</v>
      </c>
      <c r="CG90" s="114">
        <f t="shared" si="14"/>
        <v>3</v>
      </c>
      <c r="CH90" s="115">
        <f t="array" ref="CH90">(('Fórmula'!C90)/('Fórmula'!C90+'Fórmula'!E90+'Fórmula'!G90+'Fórmula'!I90+'Fórmula'!K90))*(INDEX(properties!A$1:CB$87,'Fórmula'!B90,26))+(('Fórmula'!E90)/('Fórmula'!C90+'Fórmula'!E90+'Fórmula'!G90+'Fórmula'!I90+'Fórmula'!K90))*(INDEX(properties!A$1:CB$87,'Fórmula'!D90,26))+(('Fórmula'!G90)/('Fórmula'!C90+'Fórmula'!E90+'Fórmula'!G90+'Fórmula'!I90+'Fórmula'!K90))*(INDEX(properties!A$1:CB$87,'Fórmula'!F90,26))+(('Fórmula'!I90)/('Fórmula'!C90+'Fórmula'!E90+'Fórmula'!G90+'Fórmula'!I90+'Fórmula'!K90))*(INDEX(properties!A$1:CB$87,'Fórmula'!H90,26))+(('Fórmula'!K90)/('Fórmula'!C90+'Fórmula'!E90+'Fórmula'!G90+'Fórmula'!I90+'Fórmula'!K90))*(INDEX(properties!A$1:CB$87,'Fórmula'!J90,26))</f>
        <v>10.85347778</v>
      </c>
      <c r="CI90" s="115">
        <f t="array" ref="CI90">'Fórmula'!C90*(INDEX(properties!A$1:CB$87,'Fórmula'!B90,26))+'Fórmula'!E90*(INDEX(properties!A$1:CB$87,'Fórmula'!D90,26))+'Fórmula'!G90*(INDEX(properties!A$1:CB$87,'Fórmula'!F90,26))+'Fórmula'!I90*(INDEX(properties!A$1:CB$87,'Fórmula'!H90,26))+'Fórmula'!K90*(INDEX(properties!A$1:CB$87,'Fórmula'!J90,26))</f>
        <v>97.6813</v>
      </c>
      <c r="CJ90" s="115">
        <f t="array" ref="CJ90">VARP(IF(INDEX(properties!A$1:CB$87,'Fórmula'!B90,26)&lt;&gt;"",INDEX(properties!A$1:CB$87,'Fórmula'!B90,26)),IF(INDEX(properties!A$1:CB$87,'Fórmula'!D90,26)&lt;&gt;"",INDEX(properties!A$1:CB$87,'Fórmula'!D90,26)),IF(INDEX(properties!A$1:CB$87,'Fórmula'!F90,26)&lt;&gt;"",INDEX(properties!A$1:CB$87,'Fórmula'!F90,26)),IF(INDEX(properties!A$1:CB$87,'Fórmula'!H90,26)&lt;&gt;"",INDEX(properties!A$1:CB$87,'Fórmula'!H90,26)),IF(INDEX(properties!A$1:CB$87,'Fórmula'!J90,26)&lt;&gt;"",INDEX(properties!A$1:CB$87,'Fórmula'!J90,26)))</f>
        <v>19.9289483</v>
      </c>
      <c r="CK90" s="116">
        <f t="array" ref="CK90">MAX(INDEX(properties!A$1:CB$87,'Fórmula'!B90,26),INDEX(properties!A$1:CB$87,'Fórmula'!D90,26),INDEX(properties!A$1:CB$87,'Fórmula'!F90,26),INDEX(properties!A$1:CB$87,'Fórmula'!H90,26),INDEX(properties!A$1:CB$87,'Fórmula'!J90,26))</f>
        <v>14.5341</v>
      </c>
      <c r="CL90" s="116">
        <f t="array" ref="CL90">MIN(IF(INDEX(properties!A$1:CB$87,'Fórmula'!B90,26)=0,10^6,INDEX(properties!A$1:CB$87,'Fórmula'!B90,26)),IF(INDEX(properties!A$1:CB$87,'Fórmula'!D90,26)=0,10^6,INDEX(properties!A$1:CB$87,'Fórmula'!D90,26)),IF(INDEX(properties!A$1:CB$87,'Fórmula'!F90,26)=0,10^6,INDEX(properties!A$1:CB$87,'Fórmula'!F90,26)),IF(INDEX(properties!A$1:CB$87,'Fórmula'!H90,26)=0,10^6,INDEX(properties!A$1:CB$87,'Fórmula'!H90,26)),IF(INDEX(properties!A$1:CB$87,'Fórmula'!J90,26)=0,10^6,INDEX(properties!A$1:CB$87,'Fórmula'!J90,26)))</f>
        <v>4.3407</v>
      </c>
      <c r="CM90" s="115">
        <f t="shared" si="15"/>
        <v>10.1934</v>
      </c>
      <c r="CN90" s="117">
        <f t="array" ref="CN90">(('Fórmula'!C90)/('Fórmula'!C90+'Fórmula'!E90+'Fórmula'!G90+'Fórmula'!I90+'Fórmula'!K90))*(INDEX(properties!A$1:CB$87,'Fórmula'!B90,30))+(('Fórmula'!E90)/('Fórmula'!C90+'Fórmula'!E90+'Fórmula'!G90+'Fórmula'!I90+'Fórmula'!K90))*(INDEX(properties!A$1:CB$87,'Fórmula'!D90,30))+(('Fórmula'!G90)/('Fórmula'!C90+'Fórmula'!E90+'Fórmula'!G90+'Fórmula'!I90+'Fórmula'!K90))*(INDEX(properties!A$1:CB$87,'Fórmula'!F90,30))+(('Fórmula'!I90)/('Fórmula'!C90+'Fórmula'!E90+'Fórmula'!G90+'Fórmula'!I90+'Fórmula'!K90))*(INDEX(properties!A$1:CB$87,'Fórmula'!H90,30))+(('Fórmula'!K90)/('Fórmula'!C90+'Fórmula'!E90+'Fórmula'!G90+'Fórmula'!I90+'Fórmula'!K90))*(INDEX(properties!A$1:CB$87,'Fórmula'!J90,30))</f>
        <v>2.565555556</v>
      </c>
      <c r="CO90" s="117">
        <f t="array" ref="CO90">'Fórmula'!C90*(INDEX(properties!A$1:CB$87,'Fórmula'!B90,30))+'Fórmula'!E90*(INDEX(properties!A$1:CB$87,'Fórmula'!D90,30))+'Fórmula'!G90*(INDEX(properties!A$1:CB$87,'Fórmula'!F90,30))+'Fórmula'!I90*(INDEX(properties!A$1:CB$87,'Fórmula'!H90,30))+'Fórmula'!K90*(INDEX(properties!A$1:CB$87,'Fórmula'!J90,30))</f>
        <v>23.09</v>
      </c>
      <c r="CP90" s="117">
        <f t="array" ref="CP90">VARP(IF(INDEX(properties!A$1:CB$87,'Fórmula'!B90,30)&lt;&gt;"",INDEX(properties!A$1:CB$87,'Fórmula'!B90,30)),IF(INDEX(properties!A$1:CB$87,'Fórmula'!D90,30)&lt;&gt;"",INDEX(properties!A$1:CB$87,'Fórmula'!D90,30)),IF(INDEX(properties!A$1:CB$87,'Fórmula'!F90,30)&lt;&gt;"",INDEX(properties!A$1:CB$87,'Fórmula'!F90,30)),IF(INDEX(properties!A$1:CB$87,'Fórmula'!H90,30)&lt;&gt;"",INDEX(properties!A$1:CB$87,'Fórmula'!H90,30)),IF(INDEX(properties!A$1:CB$87,'Fórmula'!J90,30)&lt;&gt;"",INDEX(properties!A$1:CB$87,'Fórmula'!J90,30)))</f>
        <v>1.282544</v>
      </c>
      <c r="CQ90" s="117">
        <f t="array" ref="CQ90">MAX(INDEX(properties!A$1:CB$87,'Fórmula'!B90,30),INDEX(properties!A$1:CB$87,'Fórmula'!D90,30),INDEX(properties!A$1:CB$87,'Fórmula'!F90,30),INDEX(properties!A$1:CB$87,'Fórmula'!H90,30),INDEX(properties!A$1:CB$87,'Fórmula'!J90,30))</f>
        <v>3.44</v>
      </c>
      <c r="CR90" s="117">
        <f t="array" ref="CR90">MIN(IF(INDEX(properties!A$1:CB$87,'Fórmula'!B90,30)=0,10^6,INDEX(properties!A$1:CB$87,'Fórmula'!B90,30)),IF(INDEX(properties!A$1:CB$87,'Fórmula'!D90,30)=0,10^6,INDEX(properties!A$1:CB$87,'Fórmula'!D90,30)),IF(INDEX(properties!A$1:CB$87,'Fórmula'!F90,30)=0,10^6,INDEX(properties!A$1:CB$87,'Fórmula'!F90,30)),IF(INDEX(properties!A$1:CB$87,'Fórmula'!H90,30)=0,10^6,INDEX(properties!A$1:CB$87,'Fórmula'!H90,30)),IF(INDEX(properties!A$1:CB$87,'Fórmula'!J90,30)=0,10^6,INDEX(properties!A$1:CB$87,'Fórmula'!J90,30)))</f>
        <v>0.82</v>
      </c>
      <c r="CS90" s="117">
        <f t="shared" si="16"/>
        <v>2.62</v>
      </c>
      <c r="CT90" s="118">
        <f t="array" ref="CT90">(('Fórmula'!C90)/('Fórmula'!C90+'Fórmula'!E90+'Fórmula'!G90+'Fórmula'!I90+'Fórmula'!K90))*(INDEX(properties!A$1:CB$87,'Fórmula'!B90,31))+(('Fórmula'!E90)/('Fórmula'!C90+'Fórmula'!E90+'Fórmula'!G90+'Fórmula'!I90+'Fórmula'!K90))*(INDEX(properties!A$1:CB$87,'Fórmula'!D90,31))+(('Fórmula'!G90)/('Fórmula'!C90+'Fórmula'!E90+'Fórmula'!G90+'Fórmula'!I90+'Fórmula'!K90))*(INDEX(properties!A$1:CB$87,'Fórmula'!F90,31))+(('Fórmula'!I90)/('Fórmula'!C90+'Fórmula'!E90+'Fórmula'!G90+'Fórmula'!I90+'Fórmula'!K90))*(INDEX(properties!A$1:CB$87,'Fórmula'!H90,31))+(('Fórmula'!K90)/('Fórmula'!C90+'Fórmula'!E90+'Fórmula'!G90+'Fórmula'!I90+'Fórmula'!K90))*(INDEX(properties!A$1:CB$87,'Fórmula'!J90,31))</f>
        <v>2.498888889</v>
      </c>
      <c r="CU90" s="118">
        <f t="array" ref="CU90">'Fórmula'!C90*(INDEX(properties!A$1:CB$87,'Fórmula'!B90,31))+'Fórmula'!E90*(INDEX(properties!A$1:CB$87,'Fórmula'!D90,31))+'Fórmula'!G90*(INDEX(properties!A$1:CB$87,'Fórmula'!F90,31))+'Fórmula'!I90*(INDEX(properties!A$1:CB$87,'Fórmula'!H90,31))+'Fórmula'!K90*(INDEX(properties!A$1:CB$87,'Fórmula'!J90,31))</f>
        <v>22.49</v>
      </c>
      <c r="CV90" s="118">
        <f t="array" ref="CV90">VARP(IF(INDEX(properties!A$1:CB$87,'Fórmula'!B90,31)&lt;&gt;"",INDEX(properties!A$1:CB$87,'Fórmula'!B90,31)),IF(INDEX(properties!A$1:CB$87,'Fórmula'!D90,31)&lt;&gt;"",INDEX(properties!A$1:CB$87,'Fórmula'!D90,31)),IF(INDEX(properties!A$1:CB$87,'Fórmula'!F90,31)&lt;&gt;"",INDEX(properties!A$1:CB$87,'Fórmula'!F90,31)),IF(INDEX(properties!A$1:CB$87,'Fórmula'!H90,31)&lt;&gt;"",INDEX(properties!A$1:CB$87,'Fórmula'!H90,31)),IF(INDEX(properties!A$1:CB$87,'Fórmula'!J90,31)&lt;&gt;"",INDEX(properties!A$1:CB$87,'Fórmula'!J90,31)))</f>
        <v>1.086936</v>
      </c>
      <c r="CW90" s="118">
        <f t="array" ref="CW90">MAX(INDEX(properties!A$1:CB$87,'Fórmula'!B90,31),INDEX(properties!A$1:CB$87,'Fórmula'!D90,31),INDEX(properties!A$1:CB$87,'Fórmula'!F90,31),INDEX(properties!A$1:CB$87,'Fórmula'!H90,31),INDEX(properties!A$1:CB$87,'Fórmula'!J90,31))</f>
        <v>3.32</v>
      </c>
      <c r="CX90" s="118">
        <f t="array" ref="CX90">MIN(IF(INDEX(properties!A$1:CB$87,'Fórmula'!B90,31)=0,10^6,INDEX(properties!A$1:CB$87,'Fórmula'!B90,31)),IF(INDEX(properties!A$1:CB$87,'Fórmula'!D90,31)=0,10^6,INDEX(properties!A$1:CB$87,'Fórmula'!D90,31)),IF(INDEX(properties!A$1:CB$87,'Fórmula'!F90,31)=0,10^6,INDEX(properties!A$1:CB$87,'Fórmula'!F90,31)),IF(INDEX(properties!A$1:CB$87,'Fórmula'!H90,31)=0,10^6,INDEX(properties!A$1:CB$87,'Fórmula'!H90,31)),IF(INDEX(properties!A$1:CB$87,'Fórmula'!J90,31)=0,10^6,INDEX(properties!A$1:CB$87,'Fórmula'!J90,31)))</f>
        <v>0.8</v>
      </c>
      <c r="CY90" s="118">
        <f t="shared" si="17"/>
        <v>2.52</v>
      </c>
      <c r="CZ90" s="119">
        <f t="array" ref="CZ90">(('Fórmula'!C90)/('Fórmula'!C90+'Fórmula'!E90+'Fórmula'!G90+'Fórmula'!I90+'Fórmula'!K90))*(INDEX(properties!A$1:CB$87,'Fórmula'!B90,32))+(('Fórmula'!E90)/('Fórmula'!C90+'Fórmula'!E90+'Fórmula'!G90+'Fórmula'!I90+'Fórmula'!K90))*(INDEX(properties!A$1:CB$87,'Fórmula'!D90,32))+(('Fórmula'!G90)/('Fórmula'!C90+'Fórmula'!E90+'Fórmula'!G90+'Fórmula'!I90+'Fórmula'!K90))*(INDEX(properties!A$1:CB$87,'Fórmula'!F90,32))+(('Fórmula'!I90)/('Fórmula'!C90+'Fórmula'!E90+'Fórmula'!G90+'Fórmula'!I90+'Fórmula'!K90))*(INDEX(properties!A$1:CB$87,'Fórmula'!H90,32))+(('Fórmula'!K90)/('Fórmula'!C90+'Fórmula'!E90+'Fórmula'!G90+'Fórmula'!I90+'Fórmula'!K90))*(INDEX(properties!A$1:CB$87,'Fórmula'!J90,32))</f>
        <v>5.93</v>
      </c>
      <c r="DA90" s="119">
        <f t="array" ref="DA90">'Fórmula'!C90*(INDEX(properties!A$1:CB$87,'Fórmula'!B90,32))+'Fórmula'!E90*(INDEX(properties!A$1:CB$87,'Fórmula'!D90,32))+'Fórmula'!G90*(INDEX(properties!A$1:CB$87,'Fórmula'!F90,32))+'Fórmula'!I90*(INDEX(properties!A$1:CB$87,'Fórmula'!H90,32))+'Fórmula'!K90*(INDEX(properties!A$1:CB$87,'Fórmula'!J90,32))</f>
        <v>53.37</v>
      </c>
      <c r="DB90" s="119">
        <f t="array" ref="DB90">VARP(IF(INDEX(properties!A$1:CB$87,'Fórmula'!B90,32)&lt;&gt;"",INDEX(properties!A$1:CB$87,'Fórmula'!B90,32)),IF(INDEX(properties!A$1:CB$87,'Fórmula'!D90,32)&lt;&gt;"",INDEX(properties!A$1:CB$87,'Fórmula'!D90,32)),IF(INDEX(properties!A$1:CB$87,'Fórmula'!F90,32)&lt;&gt;"",INDEX(properties!A$1:CB$87,'Fórmula'!F90,32)),IF(INDEX(properties!A$1:CB$87,'Fórmula'!H90,32)&lt;&gt;"",INDEX(properties!A$1:CB$87,'Fórmula'!H90,32)),IF(INDEX(properties!A$1:CB$87,'Fórmula'!J90,32)&lt;&gt;"",INDEX(properties!A$1:CB$87,'Fórmula'!J90,32)))</f>
        <v>5.197936</v>
      </c>
      <c r="DC90" s="119">
        <f t="array" ref="DC90">MAX(INDEX(properties!A$1:CB$87,'Fórmula'!B90,32),INDEX(properties!A$1:CB$87,'Fórmula'!D90,32),INDEX(properties!A$1:CB$87,'Fórmula'!F90,32),INDEX(properties!A$1:CB$87,'Fórmula'!H90,32),INDEX(properties!A$1:CB$87,'Fórmula'!J90,32))</f>
        <v>7.54</v>
      </c>
      <c r="DD90" s="119">
        <f t="array" ref="DD90">MIN(IF(INDEX(properties!A$1:CB$87,'Fórmula'!B90,32)=0,10^6,INDEX(properties!A$1:CB$87,'Fórmula'!B90,32)),IF(INDEX(properties!A$1:CB$87,'Fórmula'!D90,32)=0,10^6,INDEX(properties!A$1:CB$87,'Fórmula'!D90,32)),IF(INDEX(properties!A$1:CB$87,'Fórmula'!F90,32)=0,10^6,INDEX(properties!A$1:CB$87,'Fórmula'!F90,32)),IF(INDEX(properties!A$1:CB$87,'Fórmula'!H90,32)=0,10^6,INDEX(properties!A$1:CB$87,'Fórmula'!H90,32)),IF(INDEX(properties!A$1:CB$87,'Fórmula'!J90,32)=0,10^6,INDEX(properties!A$1:CB$87,'Fórmula'!J90,32)))</f>
        <v>2.42</v>
      </c>
      <c r="DE90" s="119">
        <f t="shared" si="18"/>
        <v>5.12</v>
      </c>
      <c r="DF90" s="104">
        <f t="array" ref="DF90">(('Fórmula'!C90)/('Fórmula'!C90+'Fórmula'!E90+'Fórmula'!G90+'Fórmula'!I90+'Fórmula'!K90))*(INDEX(properties!A$1:CB$87,'Fórmula'!B90,34))+(('Fórmula'!E90)/('Fórmula'!C90+'Fórmula'!E90+'Fórmula'!G90+'Fórmula'!I90+'Fórmula'!K90))*(INDEX(properties!A$1:CB$87,'Fórmula'!D90,34))+(('Fórmula'!G90)/('Fórmula'!C90+'Fórmula'!E90+'Fórmula'!G90+'Fórmula'!I90+'Fórmula'!K90))*(INDEX(properties!A$1:CB$87,'Fórmula'!F90,34))+(('Fórmula'!I90)/('Fórmula'!C90+'Fórmula'!E90+'Fórmula'!G90+'Fórmula'!I90+'Fórmula'!K90))*(INDEX(properties!A$1:CB$87,'Fórmula'!H90,34))+(('Fórmula'!K90)/('Fórmula'!C90+'Fórmula'!E90+'Fórmula'!G90+'Fórmula'!I90+'Fórmula'!K90))*(INDEX(properties!A$1:CB$87,'Fórmula'!J90,34))</f>
        <v>2.645444444</v>
      </c>
      <c r="DG90" s="104">
        <f t="array" ref="DG90">'Fórmula'!C90*(INDEX(properties!A$1:CB$87,'Fórmula'!B90,34))+'Fórmula'!E90*(INDEX(properties!A$1:CB$87,'Fórmula'!D90,34))+'Fórmula'!G90*(INDEX(properties!A$1:CB$87,'Fórmula'!F90,34))+'Fórmula'!I90*(INDEX(properties!A$1:CB$87,'Fórmula'!H90,34))+'Fórmula'!K90*(INDEX(properties!A$1:CB$87,'Fórmula'!J90,34))</f>
        <v>23.809</v>
      </c>
      <c r="DH90" s="104">
        <f t="array" ref="DH90">VARP(IF(INDEX(properties!A$1:CB$87,'Fórmula'!B90,34)&lt;&gt;"",INDEX(properties!A$1:CB$87,'Fórmula'!B90,34)),IF(INDEX(properties!A$1:CB$87,'Fórmula'!D90,34)&lt;&gt;"",INDEX(properties!A$1:CB$87,'Fórmula'!D90,34)),IF(INDEX(properties!A$1:CB$87,'Fórmula'!F90,34)&lt;&gt;"",INDEX(properties!A$1:CB$87,'Fórmula'!F90,34)),IF(INDEX(properties!A$1:CB$87,'Fórmula'!H90,34)&lt;&gt;"",INDEX(properties!A$1:CB$87,'Fórmula'!H90,34)),IF(INDEX(properties!A$1:CB$87,'Fórmula'!J90,34)&lt;&gt;"",INDEX(properties!A$1:CB$87,'Fórmula'!J90,34)))</f>
        <v>1.47176816</v>
      </c>
      <c r="DI90" s="104">
        <f t="array" ref="DI90">MAX(INDEX(properties!A$1:CB$87,'Fórmula'!B90,34),INDEX(properties!A$1:CB$87,'Fórmula'!D90,34),INDEX(properties!A$1:CB$87,'Fórmula'!F90,34),INDEX(properties!A$1:CB$87,'Fórmula'!H90,34),INDEX(properties!A$1:CB$87,'Fórmula'!J90,34))</f>
        <v>3.61</v>
      </c>
      <c r="DJ90" s="104">
        <f t="array" ref="DJ90">MIN(IF(INDEX(properties!A$1:CB$87,'Fórmula'!B90,34)=0,10^6,INDEX(properties!A$1:CB$87,'Fórmula'!B90,34)),IF(INDEX(properties!A$1:CB$87,'Fórmula'!D90,34)=0,10^6,INDEX(properties!A$1:CB$87,'Fórmula'!D90,34)),IF(INDEX(properties!A$1:CB$87,'Fórmula'!F90,34)=0,10^6,INDEX(properties!A$1:CB$87,'Fórmula'!F90,34)),IF(INDEX(properties!A$1:CB$87,'Fórmula'!H90,34)=0,10^6,INDEX(properties!A$1:CB$87,'Fórmula'!H90,34)),IF(INDEX(properties!A$1:CB$87,'Fórmula'!J90,34)=0,10^6,INDEX(properties!A$1:CB$87,'Fórmula'!J90,34)))</f>
        <v>0.734</v>
      </c>
      <c r="DK90" s="104">
        <f t="shared" si="19"/>
        <v>2.876</v>
      </c>
      <c r="DL90" s="105">
        <f t="array" ref="DL90">(('Fórmula'!C90)/('Fórmula'!C90+'Fórmula'!E90+'Fórmula'!G90+'Fórmula'!I90+'Fórmula'!K90))*(INDEX(properties!A$1:CB$87,'Fórmula'!B90,37))+(('Fórmula'!E90)/('Fórmula'!C90+'Fórmula'!E90+'Fórmula'!G90+'Fórmula'!I90+'Fórmula'!K90))*(INDEX(properties!A$1:CB$87,'Fórmula'!D90,37))+(('Fórmula'!G90)/('Fórmula'!C90+'Fórmula'!E90+'Fórmula'!G90+'Fórmula'!I90+'Fórmula'!K90))*(INDEX(properties!A$1:CB$87,'Fórmula'!F90,37))+(('Fórmula'!I90)/('Fórmula'!C90+'Fórmula'!E90+'Fórmula'!G90+'Fórmula'!I90+'Fórmula'!K90))*(INDEX(properties!A$1:CB$87,'Fórmula'!H90,37))+(('Fórmula'!K90)/('Fórmula'!C90+'Fórmula'!E90+'Fórmula'!G90+'Fórmula'!I90+'Fórmula'!K90))*(INDEX(properties!A$1:CB$87,'Fórmula'!J90,37))</f>
        <v>2.57</v>
      </c>
      <c r="DM90" s="105">
        <f t="array" ref="DM90">'Fórmula'!C90*(INDEX(properties!A$1:CB$87,'Fórmula'!B90,37))+'Fórmula'!E90*(INDEX(properties!A$1:CB$87,'Fórmula'!D90,37))+'Fórmula'!G90*(INDEX(properties!A$1:CB$87,'Fórmula'!F90,37))+'Fórmula'!I90*(INDEX(properties!A$1:CB$87,'Fórmula'!H90,37))+'Fórmula'!K90*(INDEX(properties!A$1:CB$87,'Fórmula'!J90,37))</f>
        <v>23.13</v>
      </c>
      <c r="DN90" s="105">
        <f t="array" ref="DN90">VARP(IF(INDEX(properties!A$1:CB$87,'Fórmula'!B90,37)&lt;&gt;"",INDEX(properties!A$1:CB$87,'Fórmula'!B90,37)),IF(INDEX(properties!A$1:CB$87,'Fórmula'!D90,37)&lt;&gt;"",INDEX(properties!A$1:CB$87,'Fórmula'!D90,37)),IF(INDEX(properties!A$1:CB$87,'Fórmula'!F90,37)&lt;&gt;"",INDEX(properties!A$1:CB$87,'Fórmula'!F90,37)),IF(INDEX(properties!A$1:CB$87,'Fórmula'!H90,37)&lt;&gt;"",INDEX(properties!A$1:CB$87,'Fórmula'!H90,37)),IF(INDEX(properties!A$1:CB$87,'Fórmula'!J90,37)&lt;&gt;"",INDEX(properties!A$1:CB$87,'Fórmula'!J90,37)))</f>
        <v>1.252624</v>
      </c>
      <c r="DO90" s="105">
        <f t="array" ref="DO90">MAX(INDEX(properties!A$1:CB$87,'Fórmula'!B90,37),INDEX(properties!A$1:CB$87,'Fórmula'!D90,37),INDEX(properties!A$1:CB$87,'Fórmula'!F90,37),INDEX(properties!A$1:CB$87,'Fórmula'!H90,37),INDEX(properties!A$1:CB$87,'Fórmula'!J90,37))</f>
        <v>3.45</v>
      </c>
      <c r="DP90" s="105">
        <f t="array" ref="DP90">MIN(IF(INDEX(properties!A$1:CB$87,'Fórmula'!B90,37)=0,10^6,INDEX(properties!A$1:CB$87,'Fórmula'!B90,37)),IF(INDEX(properties!A$1:CB$87,'Fórmula'!D90,37)=0,10^6,INDEX(properties!A$1:CB$87,'Fórmula'!D90,37)),IF(INDEX(properties!A$1:CB$87,'Fórmula'!F90,37)=0,10^6,INDEX(properties!A$1:CB$87,'Fórmula'!F90,37)),IF(INDEX(properties!A$1:CB$87,'Fórmula'!H90,37)=0,10^6,INDEX(properties!A$1:CB$87,'Fórmula'!H90,37)),IF(INDEX(properties!A$1:CB$87,'Fórmula'!J90,37)=0,10^6,INDEX(properties!A$1:CB$87,'Fórmula'!J90,37)))</f>
        <v>0.8</v>
      </c>
      <c r="DQ90" s="105">
        <f t="shared" si="20"/>
        <v>2.65</v>
      </c>
      <c r="DR90" s="109">
        <f t="array" ref="DR90">(('Fórmula'!C90)/('Fórmula'!C90+'Fórmula'!E90+'Fórmula'!G90+'Fórmula'!I90+'Fórmula'!K90))*(INDEX(properties!A$1:CB$87,'Fórmula'!B90,39))+(('Fórmula'!E90)/('Fórmula'!C90+'Fórmula'!E90+'Fórmula'!G90+'Fórmula'!I90+'Fórmula'!K90))*(INDEX(properties!A$1:CB$87,'Fórmula'!D90,39))+(('Fórmula'!G90)/('Fórmula'!C90+'Fórmula'!E90+'Fórmula'!G90+'Fórmula'!I90+'Fórmula'!K90))*(INDEX(properties!A$1:CB$87,'Fórmula'!F90,39))+(('Fórmula'!I90)/('Fórmula'!C90+'Fórmula'!E90+'Fórmula'!G90+'Fórmula'!I90+'Fórmula'!K90))*(INDEX(properties!A$1:CB$87,'Fórmula'!H90,39))+(('Fórmula'!K90)/('Fórmula'!C90+'Fórmula'!E90+'Fórmula'!G90+'Fórmula'!I90+'Fórmula'!K90))*(INDEX(properties!A$1:CB$87,'Fórmula'!J90,39))</f>
        <v>1.026666667</v>
      </c>
      <c r="DS90" s="109">
        <f t="array" ref="DS90">'Fórmula'!C90*(INDEX(properties!A$1:CB$87,'Fórmula'!B90,39))+'Fórmula'!E90*(INDEX(properties!A$1:CB$87,'Fórmula'!D90,39))+'Fórmula'!G90*(INDEX(properties!A$1:CB$87,'Fórmula'!F90,39))+'Fórmula'!I90*(INDEX(properties!A$1:CB$87,'Fórmula'!H90,39))+'Fórmula'!K90*(INDEX(properties!A$1:CB$87,'Fórmula'!J90,39))</f>
        <v>9.24</v>
      </c>
      <c r="DT90" s="109">
        <f t="array" ref="DT90">VARP(IF(INDEX(properties!A$1:CB$87,'Fórmula'!B90,39)&lt;&gt;"",INDEX(properties!A$1:CB$87,'Fórmula'!B90,39)),IF(INDEX(properties!A$1:CB$87,'Fórmula'!D90,39)&lt;&gt;"",INDEX(properties!A$1:CB$87,'Fórmula'!D90,39)),IF(INDEX(properties!A$1:CB$87,'Fórmula'!F90,39)&lt;&gt;"",INDEX(properties!A$1:CB$87,'Fórmula'!F90,39)),IF(INDEX(properties!A$1:CB$87,'Fórmula'!H90,39)&lt;&gt;"",INDEX(properties!A$1:CB$87,'Fórmula'!H90,39)),IF(INDEX(properties!A$1:CB$87,'Fórmula'!J90,39)&lt;&gt;"",INDEX(properties!A$1:CB$87,'Fórmula'!J90,39)))</f>
        <v>0.628984</v>
      </c>
      <c r="DU90" s="120">
        <f t="array" ref="DU90">MAX(INDEX(properties!A$1:CB$87,'Fórmula'!B90,39),INDEX(properties!A$1:CB$87,'Fórmula'!D90,39),INDEX(properties!A$1:CB$87,'Fórmula'!F90,39),INDEX(properties!A$1:CB$87,'Fórmula'!H90,39),INDEX(properties!A$1:CB$87,'Fórmula'!J90,39))</f>
        <v>2.43</v>
      </c>
      <c r="DV90" s="120">
        <f t="array" ref="DV90">MIN(IF(INDEX(properties!A$1:CB$87,'Fórmula'!B90,39)=0,10^6,INDEX(properties!A$1:CB$87,'Fórmula'!B90,39)),IF(INDEX(properties!A$1:CB$87,'Fórmula'!D90,39)=0,10^6,INDEX(properties!A$1:CB$87,'Fórmula'!D90,39)),IF(INDEX(properties!A$1:CB$87,'Fórmula'!F90,39)=0,10^6,INDEX(properties!A$1:CB$87,'Fórmula'!F90,39)),IF(INDEX(properties!A$1:CB$87,'Fórmula'!H90,39)=0,10^6,INDEX(properties!A$1:CB$87,'Fórmula'!H90,39)),IF(INDEX(properties!A$1:CB$87,'Fórmula'!J90,39)=0,10^6,INDEX(properties!A$1:CB$87,'Fórmula'!J90,39)))</f>
        <v>0.48</v>
      </c>
      <c r="DW90" s="109">
        <f t="shared" si="21"/>
        <v>1.95</v>
      </c>
      <c r="DX90" s="110">
        <f t="array" ref="DX90">(('Fórmula'!C90)/('Fórmula'!C90+'Fórmula'!E90+'Fórmula'!G90+'Fórmula'!I90+'Fórmula'!K90))*(INDEX(properties!A$1:CB$87,'Fórmula'!B90,40))+(('Fórmula'!E90)/('Fórmula'!C90+'Fórmula'!E90+'Fórmula'!G90+'Fórmula'!I90+'Fórmula'!K90))*(INDEX(properties!A$1:CB$87,'Fórmula'!D90,40))+(('Fórmula'!G90)/('Fórmula'!C90+'Fórmula'!E90+'Fórmula'!G90+'Fórmula'!I90+'Fórmula'!K90))*(INDEX(properties!A$1:CB$87,'Fórmula'!F90,40))+(('Fórmula'!I90)/('Fórmula'!C90+'Fórmula'!E90+'Fórmula'!G90+'Fórmula'!I90+'Fórmula'!K90))*(INDEX(properties!A$1:CB$87,'Fórmula'!H90,40))+(('Fórmula'!K90)/('Fórmula'!C90+'Fórmula'!E90+'Fórmula'!G90+'Fórmula'!I90+'Fórmula'!K90))*(INDEX(properties!A$1:CB$87,'Fórmula'!J90,40))</f>
        <v>1.065555556</v>
      </c>
      <c r="DY90" s="110">
        <f t="array" ref="DY90">'Fórmula'!C90*(INDEX(properties!A$1:CB$87,'Fórmula'!B90,40))+'Fórmula'!E90*(INDEX(properties!A$1:CB$87,'Fórmula'!D90,40))+'Fórmula'!G90*(INDEX(properties!A$1:CB$87,'Fórmula'!F90,40))+'Fórmula'!I90*(INDEX(properties!A$1:CB$87,'Fórmula'!H90,40))+'Fórmula'!K90*(INDEX(properties!A$1:CB$87,'Fórmula'!J90,40))</f>
        <v>9.59</v>
      </c>
      <c r="DZ90" s="110">
        <f t="array" ref="DZ90">VARP(IF(INDEX(properties!A$1:CB$87,'Fórmula'!B90,40)&lt;&gt;"",INDEX(properties!A$1:CB$87,'Fórmula'!B90,40)),IF(INDEX(properties!A$1:CB$87,'Fórmula'!D90,40)&lt;&gt;"",INDEX(properties!A$1:CB$87,'Fórmula'!D90,40)),IF(INDEX(properties!A$1:CB$87,'Fórmula'!F90,40)&lt;&gt;"",INDEX(properties!A$1:CB$87,'Fórmula'!F90,40)),IF(INDEX(properties!A$1:CB$87,'Fórmula'!H90,40)&lt;&gt;"",INDEX(properties!A$1:CB$87,'Fórmula'!H90,40)),IF(INDEX(properties!A$1:CB$87,'Fórmula'!J90,40)&lt;&gt;"",INDEX(properties!A$1:CB$87,'Fórmula'!J90,40)))</f>
        <v>0.253384</v>
      </c>
      <c r="EA90" s="121">
        <f t="array" ref="EA90">MAX(INDEX(properties!A$1:CB$87,'Fórmula'!B90,40),INDEX(properties!A$1:CB$87,'Fórmula'!D90,40),INDEX(properties!A$1:CB$87,'Fórmula'!F90,40),INDEX(properties!A$1:CB$87,'Fórmula'!H90,40),INDEX(properties!A$1:CB$87,'Fórmula'!J90,40))</f>
        <v>1.96</v>
      </c>
      <c r="EB90" s="121">
        <f t="array" ref="EB90">MIN(IF(INDEX(properties!A$1:CB$87,'Fórmula'!B90,40)=0,10^6,INDEX(properties!A$1:CB$87,'Fórmula'!B90,40)),IF(INDEX(properties!A$1:CB$87,'Fórmula'!D90,40)=0,10^6,INDEX(properties!A$1:CB$87,'Fórmula'!D90,40)),IF(INDEX(properties!A$1:CB$87,'Fórmula'!F90,40)=0,10^6,INDEX(properties!A$1:CB$87,'Fórmula'!F90,40)),IF(INDEX(properties!A$1:CB$87,'Fórmula'!H90,40)=0,10^6,INDEX(properties!A$1:CB$87,'Fórmula'!H90,40)),IF(INDEX(properties!A$1:CB$87,'Fórmula'!J90,40)=0,10^6,INDEX(properties!A$1:CB$87,'Fórmula'!J90,40)))</f>
        <v>0.73</v>
      </c>
      <c r="EC90" s="110">
        <f t="shared" si="22"/>
        <v>1.23</v>
      </c>
      <c r="ED90" s="111">
        <f t="array" ref="ED90">(('Fórmula'!C90)/('Fórmula'!C90+'Fórmula'!E90+'Fórmula'!G90+'Fórmula'!I90+'Fórmula'!K90))*(INDEX(properties!A$1:CB$87,'Fórmula'!B90,41))+(('Fórmula'!E90)/('Fórmula'!C90+'Fórmula'!E90+'Fórmula'!G90+'Fórmula'!I90+'Fórmula'!K90))*(INDEX(properties!A$1:CB$87,'Fórmula'!D90,41))+(('Fórmula'!G90)/('Fórmula'!C90+'Fórmula'!E90+'Fórmula'!G90+'Fórmula'!I90+'Fórmula'!K90))*(INDEX(properties!A$1:CB$87,'Fórmula'!F90,41))+(('Fórmula'!I90)/('Fórmula'!C90+'Fórmula'!E90+'Fórmula'!G90+'Fórmula'!I90+'Fórmula'!K90))*(INDEX(properties!A$1:CB$87,'Fórmula'!H90,41))+(('Fórmula'!K90)/('Fórmula'!C90+'Fórmula'!E90+'Fórmula'!G90+'Fórmula'!I90+'Fórmula'!K90))*(INDEX(properties!A$1:CB$87,'Fórmula'!J90,41))</f>
        <v>1.274444444</v>
      </c>
      <c r="EE90" s="111">
        <f t="array" ref="EE90">'Fórmula'!C90*(INDEX(properties!A$1:CB$87,'Fórmula'!B90,41))+'Fórmula'!E90*(INDEX(properties!A$1:CB$87,'Fórmula'!D90,41))+'Fórmula'!G90*(INDEX(properties!A$1:CB$87,'Fórmula'!F90,41))+'Fórmula'!I90*(INDEX(properties!A$1:CB$87,'Fórmula'!H90,41))+'Fórmula'!K90*(INDEX(properties!A$1:CB$87,'Fórmula'!J90,41))</f>
        <v>11.47</v>
      </c>
      <c r="EF90" s="111">
        <f t="array" ref="EF90">VARP(IF(INDEX(properties!A$1:CB$87,'Fórmula'!B90,41)&lt;&gt;"",INDEX(properties!A$1:CB$87,'Fórmula'!B90,41)),IF(INDEX(properties!A$1:CB$87,'Fórmula'!D90,41)&lt;&gt;"",INDEX(properties!A$1:CB$87,'Fórmula'!D90,41)),IF(INDEX(properties!A$1:CB$87,'Fórmula'!F90,41)&lt;&gt;"",INDEX(properties!A$1:CB$87,'Fórmula'!F90,41)),IF(INDEX(properties!A$1:CB$87,'Fórmula'!H90,41)&lt;&gt;"",INDEX(properties!A$1:CB$87,'Fórmula'!H90,41)),IF(INDEX(properties!A$1:CB$87,'Fórmula'!J90,41)&lt;&gt;"",INDEX(properties!A$1:CB$87,'Fórmula'!J90,41)))</f>
        <v>0.017184</v>
      </c>
      <c r="EG90" s="122">
        <f t="array" ref="EG90">MAX(INDEX(properties!A$1:CB$87,'Fórmula'!B90,41),INDEX(properties!A$1:CB$87,'Fórmula'!D90,41),INDEX(properties!A$1:CB$87,'Fórmula'!F90,41),INDEX(properties!A$1:CB$87,'Fórmula'!H90,41),INDEX(properties!A$1:CB$87,'Fórmula'!J90,41))</f>
        <v>1.52</v>
      </c>
      <c r="EH90" s="122">
        <f t="array" ref="EH90">MIN(IF(INDEX(properties!A$1:CB$87,'Fórmula'!B90,41)=0,10^6,INDEX(properties!A$1:CB$87,'Fórmula'!B90,41)),IF(INDEX(properties!A$1:CB$87,'Fórmula'!D90,41)=0,10^6,INDEX(properties!A$1:CB$87,'Fórmula'!D90,41)),IF(INDEX(properties!A$1:CB$87,'Fórmula'!F90,41)=0,10^6,INDEX(properties!A$1:CB$87,'Fórmula'!F90,41)),IF(INDEX(properties!A$1:CB$87,'Fórmula'!H90,41)=0,10^6,INDEX(properties!A$1:CB$87,'Fórmula'!H90,41)),IF(INDEX(properties!A$1:CB$87,'Fórmula'!J90,41)=0,10^6,INDEX(properties!A$1:CB$87,'Fórmula'!J90,41)))</f>
        <v>1.16</v>
      </c>
      <c r="EI90" s="111">
        <f t="shared" si="23"/>
        <v>0.36</v>
      </c>
      <c r="EJ90" s="112">
        <f t="array" ref="EJ90">(('Fórmula'!C90)/('Fórmula'!C90+'Fórmula'!E90+'Fórmula'!G90+'Fórmula'!I90+'Fórmula'!K90))*(INDEX(properties!A$1:CB$87,'Fórmula'!B90,45))+(('Fórmula'!E90)/('Fórmula'!C90+'Fórmula'!E90+'Fórmula'!G90+'Fórmula'!I90+'Fórmula'!K90))*(INDEX(properties!A$1:CB$87,'Fórmula'!D90,45))+(('Fórmula'!G90)/('Fórmula'!C90+'Fórmula'!E90+'Fórmula'!G90+'Fórmula'!I90+'Fórmula'!K90))*(INDEX(properties!A$1:CB$87,'Fórmula'!F90,45))+(('Fórmula'!I90)/('Fórmula'!C90+'Fórmula'!E90+'Fórmula'!G90+'Fórmula'!I90+'Fórmula'!K90))*(INDEX(properties!A$1:CB$87,'Fórmula'!H90,45))+(('Fórmula'!K90)/('Fórmula'!C90+'Fórmula'!E90+'Fórmula'!G90+'Fórmula'!I90+'Fórmula'!K90))*(INDEX(properties!A$1:CB$87,'Fórmula'!J90,45))</f>
        <v>1.367777778</v>
      </c>
      <c r="EK90" s="112">
        <f t="array" ref="EK90">'Fórmula'!C90*(INDEX(properties!A$1:CB$87,'Fórmula'!B90,45))+'Fórmula'!E90*(INDEX(properties!A$1:CB$87,'Fórmula'!D90,45))+'Fórmula'!G90*(INDEX(properties!A$1:CB$87,'Fórmula'!F90,45))+'Fórmula'!I90*(INDEX(properties!A$1:CB$87,'Fórmula'!H90,45))+'Fórmula'!K90*(INDEX(properties!A$1:CB$87,'Fórmula'!J90,45))</f>
        <v>12.31</v>
      </c>
      <c r="EL90" s="112">
        <f t="array" ref="EL90">VARP(IF(INDEX(properties!A$1:CB$87,'Fórmula'!B90,45)&lt;&gt;"",INDEX(properties!A$1:CB$87,'Fórmula'!B90,45)),IF(INDEX(properties!A$1:CB$87,'Fórmula'!D90,45)&lt;&gt;"",INDEX(properties!A$1:CB$87,'Fórmula'!D90,45)),IF(INDEX(properties!A$1:CB$87,'Fórmula'!F90,45)&lt;&gt;"",INDEX(properties!A$1:CB$87,'Fórmula'!F90,45)),IF(INDEX(properties!A$1:CB$87,'Fórmula'!H90,45)&lt;&gt;"",INDEX(properties!A$1:CB$87,'Fórmula'!H90,45)),IF(INDEX(properties!A$1:CB$87,'Fórmula'!J90,45)&lt;&gt;"",INDEX(properties!A$1:CB$87,'Fórmula'!J90,45)))</f>
        <v>1.776104</v>
      </c>
      <c r="EM90" s="123">
        <f t="array" ref="EM90">MAX(INDEX(properties!A$1:CB$87,'Fórmula'!B90,45),INDEX(properties!A$1:CB$87,'Fórmula'!D90,45),INDEX(properties!A$1:CB$87,'Fórmula'!F90,45),INDEX(properties!A$1:CB$87,'Fórmula'!H90,45),INDEX(properties!A$1:CB$87,'Fórmula'!J90,45))</f>
        <v>3.69</v>
      </c>
      <c r="EN90" s="123">
        <f t="array" ref="EN90">MIN(IF(INDEX(properties!A$1:CB$87,'Fórmula'!B90,45)=0,10^6,INDEX(properties!A$1:CB$87,'Fórmula'!B90,45)),IF(INDEX(properties!A$1:CB$87,'Fórmula'!D90,45)=0,10^6,INDEX(properties!A$1:CB$87,'Fórmula'!D90,45)),IF(INDEX(properties!A$1:CB$87,'Fórmula'!F90,45)=0,10^6,INDEX(properties!A$1:CB$87,'Fórmula'!F90,45)),IF(INDEX(properties!A$1:CB$87,'Fórmula'!H90,45)=0,10^6,INDEX(properties!A$1:CB$87,'Fórmula'!H90,45)),IF(INDEX(properties!A$1:CB$87,'Fórmula'!J90,45)=0,10^6,INDEX(properties!A$1:CB$87,'Fórmula'!J90,45)))</f>
        <v>0.47</v>
      </c>
      <c r="EO90" s="112">
        <f t="shared" si="24"/>
        <v>3.22</v>
      </c>
      <c r="EP90" s="113">
        <f t="array" ref="EP90">(('Fórmula'!C90)/('Fórmula'!C90+'Fórmula'!E90+'Fórmula'!G90+'Fórmula'!I90+'Fórmula'!K90))*(INDEX(properties!A$1:CB$87,'Fórmula'!B90,46))+(('Fórmula'!E90)/('Fórmula'!C90+'Fórmula'!E90+'Fórmula'!G90+'Fórmula'!I90+'Fórmula'!K90))*(INDEX(properties!A$1:CB$87,'Fórmula'!D90,46))+(('Fórmula'!G90)/('Fórmula'!C90+'Fórmula'!E90+'Fórmula'!G90+'Fórmula'!I90+'Fórmula'!K90))*(INDEX(properties!A$1:CB$87,'Fórmula'!F90,46))+(('Fórmula'!I90)/('Fórmula'!C90+'Fórmula'!E90+'Fórmula'!G90+'Fórmula'!I90+'Fórmula'!K90))*(INDEX(properties!A$1:CB$87,'Fórmula'!H90,46))+(('Fórmula'!K90)/('Fórmula'!C90+'Fórmula'!E90+'Fórmula'!G90+'Fórmula'!I90+'Fórmula'!K90))*(INDEX(properties!A$1:CB$87,'Fórmula'!J90,46))</f>
        <v>1.154444444</v>
      </c>
      <c r="EQ90" s="113">
        <f t="array" ref="EQ90">'Fórmula'!C90*(INDEX(properties!A$1:CB$87,'Fórmula'!B90,46))+'Fórmula'!E90*(INDEX(properties!A$1:CB$87,'Fórmula'!D90,46))+'Fórmula'!G90*(INDEX(properties!A$1:CB$87,'Fórmula'!F90,46))+'Fórmula'!I90*(INDEX(properties!A$1:CB$87,'Fórmula'!H90,46))+'Fórmula'!K90*(INDEX(properties!A$1:CB$87,'Fórmula'!J90,46))</f>
        <v>10.39</v>
      </c>
      <c r="ER90" s="113">
        <f t="array" ref="ER90">VARP(IF(INDEX(properties!A$1:CB$87,'Fórmula'!B90,46)&lt;&gt;"",INDEX(properties!A$1:CB$87,'Fórmula'!B90,46)),IF(INDEX(properties!A$1:CB$87,'Fórmula'!D90,46)&lt;&gt;"",INDEX(properties!A$1:CB$87,'Fórmula'!D90,46)),IF(INDEX(properties!A$1:CB$87,'Fórmula'!F90,46)&lt;&gt;"",INDEX(properties!A$1:CB$87,'Fórmula'!F90,46)),IF(INDEX(properties!A$1:CB$87,'Fórmula'!H90,46)&lt;&gt;"",INDEX(properties!A$1:CB$87,'Fórmula'!H90,46)),IF(INDEX(properties!A$1:CB$87,'Fórmula'!J90,46)&lt;&gt;"",INDEX(properties!A$1:CB$87,'Fórmula'!J90,46)))</f>
        <v>0.17984</v>
      </c>
      <c r="ES90" s="124">
        <f t="array" ref="ES90">MAX(INDEX(properties!A$1:CB$87,'Fórmula'!B90,46),INDEX(properties!A$1:CB$87,'Fórmula'!D90,46),INDEX(properties!A$1:CB$87,'Fórmula'!F90,46),INDEX(properties!A$1:CB$87,'Fórmula'!H90,46),INDEX(properties!A$1:CB$87,'Fórmula'!J90,46))</f>
        <v>1.52</v>
      </c>
      <c r="ET90" s="124">
        <f t="array" ref="ET90">MIN(IF(INDEX(properties!A$1:CB$87,'Fórmula'!B90,46)=0,10^6,INDEX(properties!A$1:CB$87,'Fórmula'!B90,46)),IF(INDEX(properties!A$1:CB$87,'Fórmula'!D90,46)=0,10^6,INDEX(properties!A$1:CB$87,'Fórmula'!D90,46)),IF(INDEX(properties!A$1:CB$87,'Fórmula'!F90,46)=0,10^6,INDEX(properties!A$1:CB$87,'Fórmula'!F90,46)),IF(INDEX(properties!A$1:CB$87,'Fórmula'!H90,46)=0,10^6,INDEX(properties!A$1:CB$87,'Fórmula'!H90,46)),IF(INDEX(properties!A$1:CB$87,'Fórmula'!J90,46)=0,10^6,INDEX(properties!A$1:CB$87,'Fórmula'!J90,46)))</f>
        <v>0.3</v>
      </c>
      <c r="EU90" s="113">
        <f t="shared" si="25"/>
        <v>1.22</v>
      </c>
      <c r="EV90" s="114">
        <f t="array" ref="EV90">(('Fórmula'!C90)/('Fórmula'!C90+'Fórmula'!E90+'Fórmula'!G90+'Fórmula'!I90+'Fórmula'!K90))*(INDEX(properties!A$1:CB$87,'Fórmula'!B90,52))+(('Fórmula'!E90)/('Fórmula'!C90+'Fórmula'!E90+'Fórmula'!G90+'Fórmula'!I90+'Fórmula'!K90))*(INDEX(properties!A$1:CB$87,'Fórmula'!D90,52))+(('Fórmula'!G90)/('Fórmula'!C90+'Fórmula'!E90+'Fórmula'!G90+'Fórmula'!I90+'Fórmula'!K90))*(INDEX(properties!A$1:CB$87,'Fórmula'!F90,52))+(('Fórmula'!I90)/('Fórmula'!C90+'Fórmula'!E90+'Fórmula'!G90+'Fórmula'!I90+'Fórmula'!K90))*(INDEX(properties!A$1:CB$87,'Fórmula'!H90,52))+(('Fórmula'!K90)/('Fórmula'!C90+'Fórmula'!E90+'Fórmula'!G90+'Fórmula'!I90+'Fórmula'!K90))*(INDEX(properties!A$1:CB$87,'Fórmula'!J90,52))</f>
        <v>11.46277778</v>
      </c>
      <c r="EW90" s="114">
        <f t="array" ref="EW90">'Fórmula'!C90*(INDEX(properties!A$1:CB$87,'Fórmula'!B90,52))+'Fórmula'!E90*(INDEX(properties!A$1:CB$87,'Fórmula'!D90,52))+'Fórmula'!G90*(INDEX(properties!A$1:CB$87,'Fórmula'!F90,52))+'Fórmula'!I90*(INDEX(properties!A$1:CB$87,'Fórmula'!H90,52))+'Fórmula'!K90*(INDEX(properties!A$1:CB$87,'Fórmula'!J90,52))</f>
        <v>103.165</v>
      </c>
      <c r="EX90" s="114">
        <f t="array" ref="EX90">VARP(IF(INDEX(properties!A$1:CB$87,'Fórmula'!B90,52)&lt;&gt;"",INDEX(properties!A$1:CB$87,'Fórmula'!B90,52)),IF(INDEX(properties!A$1:CB$87,'Fórmula'!D90,52)&lt;&gt;"",INDEX(properties!A$1:CB$87,'Fórmula'!D90,52)),IF(INDEX(properties!A$1:CB$87,'Fórmula'!F90,52)&lt;&gt;"",INDEX(properties!A$1:CB$87,'Fórmula'!F90,52)),IF(INDEX(properties!A$1:CB$87,'Fórmula'!H90,52)&lt;&gt;"",INDEX(properties!A$1:CB$87,'Fórmula'!H90,52)),IF(INDEX(properties!A$1:CB$87,'Fórmula'!J90,52)&lt;&gt;"",INDEX(properties!A$1:CB$87,'Fórmula'!J90,52)))</f>
        <v>281.9697678</v>
      </c>
      <c r="EY90" s="114">
        <f t="array" ref="EY90">MAX(INDEX(properties!A$1:CB$87,'Fórmula'!B90,52),INDEX(properties!A$1:CB$87,'Fórmula'!D90,52),INDEX(properties!A$1:CB$87,'Fórmula'!F90,52),INDEX(properties!A$1:CB$87,'Fórmula'!H90,52),INDEX(properties!A$1:CB$87,'Fórmula'!J90,52))</f>
        <v>43.4</v>
      </c>
      <c r="EZ90" s="114">
        <f t="array" ref="EZ90">MIN(IF(INDEX(properties!A$1:CB$87,'Fórmula'!B90,52)=0,10^6,INDEX(properties!A$1:CB$87,'Fórmula'!B90,52)),IF(INDEX(properties!A$1:CB$87,'Fórmula'!D90,52)=0,10^6,INDEX(properties!A$1:CB$87,'Fórmula'!D90,52)),IF(INDEX(properties!A$1:CB$87,'Fórmula'!F90,52)=0,10^6,INDEX(properties!A$1:CB$87,'Fórmula'!F90,52)),IF(INDEX(properties!A$1:CB$87,'Fórmula'!H90,52)=0,10^6,INDEX(properties!A$1:CB$87,'Fórmula'!H90,52)),IF(INDEX(properties!A$1:CB$87,'Fórmula'!J90,52)=0,10^6,INDEX(properties!A$1:CB$87,'Fórmula'!J90,52)))</f>
        <v>0.793</v>
      </c>
      <c r="FA90" s="114">
        <f t="shared" si="26"/>
        <v>42.607</v>
      </c>
      <c r="FB90" s="115">
        <f t="array" ref="FB90">(('Fórmula'!C90)/('Fórmula'!C90+'Fórmula'!E90+'Fórmula'!G90+'Fórmula'!I90+'Fórmula'!K90))*(INDEX(properties!A$1:CB$87,'Fórmula'!B90,53))+(('Fórmula'!E90)/('Fórmula'!C90+'Fórmula'!E90+'Fórmula'!G90+'Fórmula'!I90+'Fórmula'!K90))*(INDEX(properties!A$1:CB$87,'Fórmula'!D90,53))+(('Fórmula'!G90)/('Fórmula'!C90+'Fórmula'!E90+'Fórmula'!G90+'Fórmula'!I90+'Fórmula'!K90))*(INDEX(properties!A$1:CB$87,'Fórmula'!F90,53))+(('Fórmula'!I90)/('Fórmula'!C90+'Fórmula'!E90+'Fórmula'!G90+'Fórmula'!I90+'Fórmula'!K90))*(INDEX(properties!A$1:CB$87,'Fórmula'!H90,53))+(('Fórmula'!K90)/('Fórmula'!C90+'Fórmula'!E90+'Fórmula'!G90+'Fórmula'!I90+'Fórmula'!K90))*(INDEX(properties!A$1:CB$87,'Fórmula'!J90,53))</f>
        <v>248.6111111</v>
      </c>
      <c r="FC90" s="115">
        <f t="array" ref="FC90">'Fórmula'!C90*(INDEX(properties!A$1:CB$87,'Fórmula'!B90,53))+'Fórmula'!E90*(INDEX(properties!A$1:CB$87,'Fórmula'!D90,53))+'Fórmula'!G90*(INDEX(properties!A$1:CB$87,'Fórmula'!F90,53))+'Fórmula'!I90*(INDEX(properties!A$1:CB$87,'Fórmula'!H90,53))+'Fórmula'!K90*(INDEX(properties!A$1:CB$87,'Fórmula'!J90,53))</f>
        <v>2237.5</v>
      </c>
      <c r="FD90" s="115">
        <f t="array" ref="FD90">VARP(IF(INDEX(properties!A$1:CB$87,'Fórmula'!B90,53)&lt;&gt;"",INDEX(properties!A$1:CB$87,'Fórmula'!B90,53)),IF(INDEX(properties!A$1:CB$87,'Fórmula'!D90,53)&lt;&gt;"",INDEX(properties!A$1:CB$87,'Fórmula'!D90,53)),IF(INDEX(properties!A$1:CB$87,'Fórmula'!F90,53)&lt;&gt;"",INDEX(properties!A$1:CB$87,'Fórmula'!F90,53)),IF(INDEX(properties!A$1:CB$87,'Fórmula'!H90,53)&lt;&gt;"",INDEX(properties!A$1:CB$87,'Fórmula'!H90,53)),IF(INDEX(properties!A$1:CB$87,'Fórmula'!J90,53)&lt;&gt;"",INDEX(properties!A$1:CB$87,'Fórmula'!J90,53)))</f>
        <v>173301.092</v>
      </c>
      <c r="FE90" s="115">
        <f t="array" ref="FE90">MAX(INDEX(properties!A$1:CB$87,'Fórmula'!B90,53),INDEX(properties!A$1:CB$87,'Fórmula'!D90,53),INDEX(properties!A$1:CB$87,'Fórmula'!F90,53),INDEX(properties!A$1:CB$87,'Fórmula'!H90,53),INDEX(properties!A$1:CB$87,'Fórmula'!J90,53))</f>
        <v>1193.15</v>
      </c>
      <c r="FF90" s="115">
        <f t="array" ref="FF90">MIN(IF(INDEX(properties!A$1:CB$87,'Fórmula'!B90,53)=0,10^6,INDEX(properties!A$1:CB$87,'Fórmula'!B90,53)),IF(INDEX(properties!A$1:CB$87,'Fórmula'!D90,53)=0,10^6,INDEX(properties!A$1:CB$87,'Fórmula'!D90,53)),IF(INDEX(properties!A$1:CB$87,'Fórmula'!F90,53)=0,10^6,INDEX(properties!A$1:CB$87,'Fórmula'!F90,53)),IF(INDEX(properties!A$1:CB$87,'Fórmula'!H90,53)=0,10^6,INDEX(properties!A$1:CB$87,'Fórmula'!H90,53)),IF(INDEX(properties!A$1:CB$87,'Fórmula'!J90,53)=0,10^6,INDEX(properties!A$1:CB$87,'Fórmula'!J90,53)))</f>
        <v>54.75</v>
      </c>
      <c r="FG90" s="115">
        <f t="shared" si="27"/>
        <v>1138.4</v>
      </c>
      <c r="FH90" s="117">
        <f t="array" ref="FH90">(('Fórmula'!C90)/('Fórmula'!C90+'Fórmula'!E90+'Fórmula'!G90+'Fórmula'!I90+'Fórmula'!K90))*(INDEX(properties!A$1:CB$87,'Fórmula'!B90,54))+(('Fórmula'!E90)/('Fórmula'!C90+'Fórmula'!E90+'Fórmula'!G90+'Fórmula'!I90+'Fórmula'!K90))*(INDEX(properties!A$1:CB$87,'Fórmula'!D90,54))+(('Fórmula'!G90)/('Fórmula'!C90+'Fórmula'!E90+'Fórmula'!G90+'Fórmula'!I90+'Fórmula'!K90))*(INDEX(properties!A$1:CB$87,'Fórmula'!F90,54))+(('Fórmula'!I90)/('Fórmula'!C90+'Fórmula'!E90+'Fórmula'!G90+'Fórmula'!I90+'Fórmula'!K90))*(INDEX(properties!A$1:CB$87,'Fórmula'!H90,54))+(('Fórmula'!K90)/('Fórmula'!C90+'Fórmula'!E90+'Fórmula'!G90+'Fórmula'!I90+'Fórmula'!K90))*(INDEX(properties!A$1:CB$87,'Fórmula'!J90,54))</f>
        <v>716.0611111</v>
      </c>
      <c r="FI90" s="117">
        <f t="array" ref="FI90">'Fórmula'!C90*(INDEX(properties!A$1:CB$87,'Fórmula'!B90,54))+'Fórmula'!E90*(INDEX(properties!A$1:CB$87,'Fórmula'!D90,54))+'Fórmula'!G90*(INDEX(properties!A$1:CB$87,'Fórmula'!F90,54))+'Fórmula'!I90*(INDEX(properties!A$1:CB$87,'Fórmula'!H90,54))+'Fórmula'!K90*(INDEX(properties!A$1:CB$87,'Fórmula'!J90,54))</f>
        <v>6444.55</v>
      </c>
      <c r="FJ90" s="117">
        <f t="array" ref="FJ90">VARP(IF(INDEX(properties!A$1:CB$87,'Fórmula'!B90,54)&lt;&gt;"",INDEX(properties!A$1:CB$87,'Fórmula'!B90,54)),IF(INDEX(properties!A$1:CB$87,'Fórmula'!D90,54)&lt;&gt;"",INDEX(properties!A$1:CB$87,'Fórmula'!D90,54)),IF(INDEX(properties!A$1:CB$87,'Fórmula'!F90,54)&lt;&gt;"",INDEX(properties!A$1:CB$87,'Fórmula'!F90,54)),IF(INDEX(properties!A$1:CB$87,'Fórmula'!H90,54)&lt;&gt;"",INDEX(properties!A$1:CB$87,'Fórmula'!H90,54)),IF(INDEX(properties!A$1:CB$87,'Fórmula'!J90,54)&lt;&gt;"",INDEX(properties!A$1:CB$87,'Fórmula'!J90,54)))</f>
        <v>1781389.878</v>
      </c>
      <c r="FK90" s="117">
        <f t="array" ref="FK90">MAX(INDEX(properties!A$1:CB$87,'Fórmula'!B90,54),INDEX(properties!A$1:CB$87,'Fórmula'!D90,54),INDEX(properties!A$1:CB$87,'Fórmula'!F90,54),INDEX(properties!A$1:CB$87,'Fórmula'!H90,54),INDEX(properties!A$1:CB$87,'Fórmula'!J90,54))</f>
        <v>3727.15</v>
      </c>
      <c r="FL90" s="117">
        <f t="array" ref="FL90">MIN(IF(INDEX(properties!A$1:CB$87,'Fórmula'!B90,54)=0,10^6,INDEX(properties!A$1:CB$87,'Fórmula'!B90,54)),IF(INDEX(properties!A$1:CB$87,'Fórmula'!D90,54)=0,10^6,INDEX(properties!A$1:CB$87,'Fórmula'!D90,54)),IF(INDEX(properties!A$1:CB$87,'Fórmula'!F90,54)=0,10^6,INDEX(properties!A$1:CB$87,'Fórmula'!F90,54)),IF(INDEX(properties!A$1:CB$87,'Fórmula'!H90,54)=0,10^6,INDEX(properties!A$1:CB$87,'Fórmula'!H90,54)),IF(INDEX(properties!A$1:CB$87,'Fórmula'!J90,54)=0,10^6,INDEX(properties!A$1:CB$87,'Fórmula'!J90,54)))</f>
        <v>77.35</v>
      </c>
      <c r="FM90" s="117">
        <f t="shared" si="28"/>
        <v>3649.8</v>
      </c>
      <c r="FN90" s="118">
        <f t="array" ref="FN90">(('Fórmula'!C90)/('Fórmula'!C90+'Fórmula'!E90+'Fórmula'!G90+'Fórmula'!I90+'Fórmula'!K90))*(INDEX(properties!A$1:CB$87,'Fórmula'!B90,55))+(('Fórmula'!E90)/('Fórmula'!C90+'Fórmula'!E90+'Fórmula'!G90+'Fórmula'!I90+'Fórmula'!K90))*(INDEX(properties!A$1:CB$87,'Fórmula'!D90,55))+(('Fórmula'!G90)/('Fórmula'!C90+'Fórmula'!E90+'Fórmula'!G90+'Fórmula'!I90+'Fórmula'!K90))*(INDEX(properties!A$1:CB$87,'Fórmula'!F90,55))+(('Fórmula'!I90)/('Fórmula'!C90+'Fórmula'!E90+'Fórmula'!G90+'Fórmula'!I90+'Fórmula'!K90))*(INDEX(properties!A$1:CB$87,'Fórmula'!H90,55))+(('Fórmula'!K90)/('Fórmula'!C90+'Fórmula'!E90+'Fórmula'!G90+'Fórmula'!I90+'Fórmula'!K90))*(INDEX(properties!A$1:CB$87,'Fórmula'!J90,55))</f>
        <v>0.8877111111</v>
      </c>
      <c r="FO90" s="118">
        <f t="array" ref="FO90">'Fórmula'!C90*(INDEX(properties!A$1:CB$87,'Fórmula'!B90,55))+'Fórmula'!E90*(INDEX(properties!A$1:CB$87,'Fórmula'!D90,54))+'Fórmula'!G90*(INDEX(properties!A$1:CB$87,'Fórmula'!F90,55))+'Fórmula'!I90*(INDEX(properties!A$1:CB$87,'Fórmula'!H90,55))+'Fórmula'!K90*(INDEX(properties!A$1:CB$87,'Fórmula'!J90,55))</f>
        <v>1040.2794</v>
      </c>
      <c r="FP90" s="118">
        <f t="array" ref="FP90">VARP(IF(INDEX(properties!A$1:CB$87,'Fórmula'!B90,55)&lt;&gt;"",INDEX(properties!A$1:CB$87,'Fórmula'!B90,55)),IF(INDEX(properties!A$1:CB$87,'Fórmula'!D90,55)&lt;&gt;"",INDEX(properties!A$1:CB$87,'Fórmula'!D90,55)),IF(INDEX(properties!A$1:CB$87,'Fórmula'!F90,55)&lt;&gt;"",INDEX(properties!A$1:CB$87,'Fórmula'!F90,55)),IF(INDEX(properties!A$1:CB$87,'Fórmula'!H90,55)&lt;&gt;"",INDEX(properties!A$1:CB$87,'Fórmula'!H90,55)),IF(INDEX(properties!A$1:CB$87,'Fórmula'!J90,55)&lt;&gt;"",INDEX(properties!A$1:CB$87,'Fórmula'!J90,55)))</f>
        <v>5.351423068</v>
      </c>
      <c r="FQ90" s="118">
        <f t="array" ref="FQ90">MAX(INDEX(properties!A$1:CB$87,'Fórmula'!B90,55),INDEX(properties!A$1:CB$87,'Fórmula'!D90,55),INDEX(properties!A$1:CB$87,'Fórmula'!F90,55),INDEX(properties!A$1:CB$87,'Fórmula'!H90,55),INDEX(properties!A$1:CB$87,'Fórmula'!J90,55))</f>
        <v>6.15</v>
      </c>
      <c r="FR90" s="118">
        <f t="array" ref="FR90">MIN(IF(INDEX(properties!A$1:CB$87,'Fórmula'!B90,55)=0,10^6,INDEX(properties!A$1:CB$87,'Fórmula'!B90,55)),IF(INDEX(properties!A$1:CB$87,'Fórmula'!D90,55)=0,10^6,INDEX(properties!A$1:CB$87,'Fórmula'!D90,55)),IF(INDEX(properties!A$1:CB$87,'Fórmula'!F90,55)=0,10^6,INDEX(properties!A$1:CB$87,'Fórmula'!F90,55)),IF(INDEX(properties!A$1:CB$87,'Fórmula'!H90,55)=0,10^6,INDEX(properties!A$1:CB$87,'Fórmula'!H90,55)),IF(INDEX(properties!A$1:CB$87,'Fórmula'!J90,55)=0,10^6,INDEX(properties!A$1:CB$87,'Fórmula'!J90,55)))</f>
        <v>0.00125</v>
      </c>
      <c r="FS90" s="118">
        <f t="shared" si="29"/>
        <v>6.14875</v>
      </c>
      <c r="FT90" s="119">
        <f t="array" ref="FT90">(('Fórmula'!C90)/('Fórmula'!C90+'Fórmula'!E90+'Fórmula'!G90+'Fórmula'!I90+'Fórmula'!K90))*(INDEX(properties!A$1:CB$87,'Fórmula'!B90,56))+(('Fórmula'!E90)/('Fórmula'!C90+'Fórmula'!E90+'Fórmula'!G90+'Fórmula'!I90+'Fórmula'!K90))*(INDEX(properties!A$1:CB$87,'Fórmula'!D90,56))+(('Fórmula'!G90)/('Fórmula'!C90+'Fórmula'!E90+'Fórmula'!G90+'Fórmula'!I90+'Fórmula'!K90))*(INDEX(properties!A$1:CB$87,'Fórmula'!F90,56))+(('Fórmula'!I90)/('Fórmula'!C90+'Fórmula'!E90+'Fórmula'!G90+'Fórmula'!I90+'Fórmula'!K90))*(INDEX(properties!A$1:CB$87,'Fórmula'!H90,56))+(('Fórmula'!K90)/('Fórmula'!C90+'Fórmula'!E90+'Fórmula'!G90+'Fórmula'!I90+'Fórmula'!K90))*(INDEX(properties!A$1:CB$87,'Fórmula'!J90,56))</f>
        <v>0.8677777778</v>
      </c>
      <c r="FU90" s="119">
        <f t="array" ref="FU90">'Fórmula'!C90*(INDEX(properties!A$1:CB$87,'Fórmula'!B90,56))+'Fórmula'!E90*(INDEX(properties!A$1:CB$87,'Fórmula'!D90,56))+'Fórmula'!G90*(INDEX(properties!A$1:CB$87,'Fórmula'!F90,56))+'Fórmula'!I90*(INDEX(properties!A$1:CB$87,'Fórmula'!H90,56))+'Fórmula'!K90*(INDEX(properties!A$1:CB$87,'Fórmula'!J90,56))</f>
        <v>7.81</v>
      </c>
      <c r="FV90" s="119">
        <f t="array" ref="FV90">VARP(IF(INDEX(properties!A$1:CB$87,'Fórmula'!B90,56)&lt;&gt;"",INDEX(properties!A$1:CB$87,'Fórmula'!B90,56)),IF(INDEX(properties!A$1:CB$87,'Fórmula'!D90,56)&lt;&gt;"",INDEX(properties!A$1:CB$87,'Fórmula'!D90,56)),IF(INDEX(properties!A$1:CB$87,'Fórmula'!F90,56)&lt;&gt;"",INDEX(properties!A$1:CB$87,'Fórmula'!F90,56)),IF(INDEX(properties!A$1:CB$87,'Fórmula'!H90,56)&lt;&gt;"",INDEX(properties!A$1:CB$87,'Fórmula'!H90,56)),IF(INDEX(properties!A$1:CB$87,'Fórmula'!J90,56)&lt;&gt;"",INDEX(properties!A$1:CB$87,'Fórmula'!J90,56)))</f>
        <v>0.125624</v>
      </c>
      <c r="FW90" s="119">
        <f t="array" ref="FW90">MAX(INDEX(properties!A$1:CB$87,'Fórmula'!B90,56),INDEX(properties!A$1:CB$87,'Fórmula'!D90,56),INDEX(properties!A$1:CB$87,'Fórmula'!F90,56),INDEX(properties!A$1:CB$87,'Fórmula'!H90,56),INDEX(properties!A$1:CB$87,'Fórmula'!J90,56))</f>
        <v>1.23</v>
      </c>
      <c r="FX90" s="119">
        <f t="array" ref="FX90">MIN(IF(INDEX(properties!A$1:CB$87,'Fórmula'!B90,56)=0,10^6,INDEX(properties!A$1:CB$87,'Fórmula'!B90,56)),IF(INDEX(properties!A$1:CB$87,'Fórmula'!D90,56)=0,10^6,INDEX(properties!A$1:CB$87,'Fórmula'!D90,56)),IF(INDEX(properties!A$1:CB$87,'Fórmula'!F90,56)=0,10^6,INDEX(properties!A$1:CB$87,'Fórmula'!F90,56)),IF(INDEX(properties!A$1:CB$87,'Fórmula'!H90,56)=0,10^6,INDEX(properties!A$1:CB$87,'Fórmula'!H90,56)),IF(INDEX(properties!A$1:CB$87,'Fórmula'!J90,56)=0,10^6,INDEX(properties!A$1:CB$87,'Fórmula'!J90,56)))</f>
        <v>0.19</v>
      </c>
      <c r="FY90" s="119">
        <f t="shared" si="30"/>
        <v>1.04</v>
      </c>
      <c r="FZ90" s="104">
        <f t="array" ref="FZ90">(('Fórmula'!C90)/('Fórmula'!C90+'Fórmula'!E90+'Fórmula'!G90+'Fórmula'!I90+'Fórmula'!K90))*(INDEX(properties!A$1:CB$87,'Fórmula'!B90,57))+(('Fórmula'!E90)/('Fórmula'!C90+'Fórmula'!E90+'Fórmula'!G90+'Fórmula'!I90+'Fórmula'!K90))*(INDEX(properties!A$1:CB$87,'Fórmula'!D90,57))+(('Fórmula'!G90)/('Fórmula'!C90+'Fórmula'!E90+'Fórmula'!G90+'Fórmula'!I90+'Fórmula'!K90))*(INDEX(properties!A$1:CB$87,'Fórmula'!F90,57))+(('Fórmula'!I90)/('Fórmula'!C90+'Fórmula'!E90+'Fórmula'!G90+'Fórmula'!I90+'Fórmula'!K90))*(INDEX(properties!A$1:CB$87,'Fórmula'!H90,57))+(('Fórmula'!K90)/('Fórmula'!C90+'Fórmula'!E90+'Fórmula'!G90+'Fórmula'!I90+'Fórmula'!K90))*(INDEX(properties!A$1:CB$87,'Fórmula'!J90,57))</f>
        <v>1.400594444</v>
      </c>
      <c r="GA90" s="104">
        <f t="array" ref="GA90">'Fórmula'!C90*(INDEX(properties!A$1:CB$87,'Fórmula'!B90,57))+'Fórmula'!E90*(INDEX(properties!A$1:CB$87,'Fórmula'!D90,57))+'Fórmula'!G90*(INDEX(properties!A$1:CB$87,'Fórmula'!F90,57))+'Fórmula'!I90*(INDEX(properties!A$1:CB$87,'Fórmula'!H90,57))+'Fórmula'!K90*(INDEX(properties!A$1:CB$87,'Fórmula'!J90,57))</f>
        <v>12.60535</v>
      </c>
      <c r="GB90" s="104">
        <f t="array" ref="GB90">VARP(IF(INDEX(properties!A$1:CB$87,'Fórmula'!B90,57)&lt;&gt;"",INDEX(properties!A$1:CB$87,'Fórmula'!B90,57)),IF(INDEX(properties!A$1:CB$87,'Fórmula'!D90,57)&lt;&gt;"",INDEX(properties!A$1:CB$87,'Fórmula'!D90,57)),IF(INDEX(properties!A$1:CB$87,'Fórmula'!F90,57)&lt;&gt;"",INDEX(properties!A$1:CB$87,'Fórmula'!F90,57)),IF(INDEX(properties!A$1:CB$87,'Fórmula'!H90,57)&lt;&gt;"",INDEX(properties!A$1:CB$87,'Fórmula'!H90,57)),IF(INDEX(properties!A$1:CB$87,'Fórmula'!J90,57)&lt;&gt;"",INDEX(properties!A$1:CB$87,'Fórmula'!J90,57)))</f>
        <v>4.673679266</v>
      </c>
      <c r="GC90" s="104">
        <f t="array" ref="GC90">MAX(INDEX(properties!A$1:CB$87,'Fórmula'!B90,57),INDEX(properties!A$1:CB$87,'Fórmula'!D90,57),INDEX(properties!A$1:CB$87,'Fórmula'!F90,57),INDEX(properties!A$1:CB$87,'Fórmula'!H90,57),INDEX(properties!A$1:CB$87,'Fórmula'!J90,57))</f>
        <v>6.2</v>
      </c>
      <c r="GD90" s="104">
        <f t="array" ref="GD90">MIN(IF(INDEX(properties!A$1:CB$87,'Fórmula'!B90,57)=0,10^6,INDEX(properties!A$1:CB$87,'Fórmula'!B90,57)),IF(INDEX(properties!A$1:CB$87,'Fórmula'!D90,57)=0,10^6,INDEX(properties!A$1:CB$87,'Fórmula'!D90,57)),IF(INDEX(properties!A$1:CB$87,'Fórmula'!F90,57)=0,10^6,INDEX(properties!A$1:CB$87,'Fórmula'!F90,57)),IF(INDEX(properties!A$1:CB$87,'Fórmula'!H90,57)=0,10^6,INDEX(properties!A$1:CB$87,'Fórmula'!H90,57)),IF(INDEX(properties!A$1:CB$87,'Fórmula'!J90,57)=0,10^6,INDEX(properties!A$1:CB$87,'Fórmula'!J90,57)))</f>
        <v>0.22259</v>
      </c>
      <c r="GE90" s="104">
        <f t="shared" si="31"/>
        <v>5.97741</v>
      </c>
      <c r="GF90" s="105">
        <f t="array" ref="GF90">(('Fórmula'!C90)/('Fórmula'!C90+'Fórmula'!E90+'Fórmula'!G90+'Fórmula'!I90+'Fórmula'!K90))*(INDEX(properties!A$1:CB$87,'Fórmula'!B90,60))+(('Fórmula'!E90)/('Fórmula'!C90+'Fórmula'!E90+'Fórmula'!G90+'Fórmula'!I90+'Fórmula'!K90))*(INDEX(properties!A$1:CB$87,'Fórmula'!D90,60))+(('Fórmula'!G90)/('Fórmula'!C90+'Fórmula'!E90+'Fórmula'!G90+'Fórmula'!I90+'Fórmula'!K90))*(INDEX(properties!A$1:CB$87,'Fórmula'!F90,60))+(('Fórmula'!I90)/('Fórmula'!C90+'Fórmula'!E90+'Fórmula'!G90+'Fórmula'!I90+'Fórmula'!K90))*(INDEX(properties!A$1:CB$87,'Fórmula'!H90,60))+(('Fórmula'!K90)/('Fórmula'!C90+'Fórmula'!E90+'Fórmula'!G90+'Fórmula'!I90+'Fórmula'!K90))*(INDEX(properties!A$1:CB$87,'Fórmula'!J90,60))</f>
        <v>28.56218667</v>
      </c>
      <c r="GG90" s="105">
        <f t="array" ref="GG90">'Fórmula'!C90*(INDEX(properties!A$1:CB$87,'Fórmula'!B90,60))+'Fórmula'!E90*(INDEX(properties!A$1:CB$87,'Fórmula'!D90,60))+'Fórmula'!G90*(INDEX(properties!A$1:CB$87,'Fórmula'!F90,60))+'Fórmula'!I90*(INDEX(properties!A$1:CB$87,'Fórmula'!H90,60))+'Fórmula'!K90*(INDEX(properties!A$1:CB$87,'Fórmula'!J90,60))</f>
        <v>257.05968</v>
      </c>
      <c r="GH90" s="105">
        <f t="array" ref="GH90">VARP(IF(INDEX(properties!A$1:CB$87,'Fórmula'!B90,60)&lt;&gt;"",INDEX(properties!A$1:CB$87,'Fórmula'!B90,60)),IF(INDEX(properties!A$1:CB$87,'Fórmula'!D90,60)&lt;&gt;"",INDEX(properties!A$1:CB$87,'Fórmula'!D90,60)),IF(INDEX(properties!A$1:CB$87,'Fórmula'!F90,60)&lt;&gt;"",INDEX(properties!A$1:CB$87,'Fórmula'!F90,60)),IF(INDEX(properties!A$1:CB$87,'Fórmula'!H90,60)&lt;&gt;"",INDEX(properties!A$1:CB$87,'Fórmula'!H90,60)),IF(INDEX(properties!A$1:CB$87,'Fórmula'!J90,60)&lt;&gt;"",INDEX(properties!A$1:CB$87,'Fórmula'!J90,60)))</f>
        <v>3468.814265</v>
      </c>
      <c r="GI90" s="105">
        <f t="array" ref="GI90">MAX(INDEX(properties!A$1:CB$87,'Fórmula'!B90,60),INDEX(properties!A$1:CB$87,'Fórmula'!D90,60),INDEX(properties!A$1:CB$87,'Fórmula'!F90,60),INDEX(properties!A$1:CB$87,'Fórmula'!H90,60),INDEX(properties!A$1:CB$87,'Fórmula'!J90,60))</f>
        <v>141</v>
      </c>
      <c r="GJ90" s="105">
        <f t="array" ref="GJ90">MIN(IF(INDEX(properties!A$1:CB$87,'Fórmula'!B90,60)=0,10^6,INDEX(properties!A$1:CB$87,'Fórmula'!B90,60)),IF(INDEX(properties!A$1:CB$87,'Fórmula'!D90,60)=0,10^6,INDEX(properties!A$1:CB$87,'Fórmula'!D90,60)),IF(INDEX(properties!A$1:CB$87,'Fórmula'!F90,60)=0,10^6,INDEX(properties!A$1:CB$87,'Fórmula'!F90,60)),IF(INDEX(properties!A$1:CB$87,'Fórmula'!H90,60)=0,10^6,INDEX(properties!A$1:CB$87,'Fórmula'!H90,60)),IF(INDEX(properties!A$1:CB$87,'Fórmula'!J90,60)=0,10^6,INDEX(properties!A$1:CB$87,'Fórmula'!J90,60)))</f>
        <v>0.02598</v>
      </c>
      <c r="GK90" s="105">
        <f t="shared" si="32"/>
        <v>140.97402</v>
      </c>
      <c r="GL90" s="106">
        <f t="array" ref="GL90">(('Fórmula'!C90)/('Fórmula'!C90+'Fórmula'!E90+'Fórmula'!G90+'Fórmula'!I90+'Fórmula'!K90))*(INDEX(properties!A$1:CB$87,'Fórmula'!B90,62))+(('Fórmula'!E90)/('Fórmula'!C90+'Fórmula'!E90+'Fórmula'!G90+'Fórmula'!I90+'Fórmula'!K90))*(INDEX(properties!A$1:CB$87,'Fórmula'!D90,62))+(('Fórmula'!G90)/('Fórmula'!C90+'Fórmula'!E90+'Fórmula'!G90+'Fórmula'!I90+'Fórmula'!K90))*(INDEX(properties!A$1:CB$87,'Fórmula'!F90,62))+(('Fórmula'!I90)/('Fórmula'!C90+'Fórmula'!E90+'Fórmula'!G90+'Fórmula'!I90+'Fórmula'!K90))*(INDEX(properties!A$1:CB$87,'Fórmula'!H90,62))+(('Fórmula'!K90)/('Fórmula'!C90+'Fórmula'!E90+'Fórmula'!G90+'Fórmula'!I90+'Fórmula'!K90))*(INDEX(properties!A$1:CB$87,'Fórmula'!J90,62))</f>
        <v>2.726333333</v>
      </c>
      <c r="GM90" s="106">
        <f t="array" ref="GM90">'Fórmula'!C90*(INDEX(properties!A$1:CB$87,'Fórmula'!B90,62))+'Fórmula'!E90*(INDEX(properties!A$1:CB$87,'Fórmula'!D90,62))+'Fórmula'!G90*(INDEX(properties!A$1:CB$87,'Fórmula'!F90,62))+'Fórmula'!I90*(INDEX(properties!A$1:CB$87,'Fórmula'!H90,62))+'Fórmula'!K90*(INDEX(properties!A$1:CB$87,'Fórmula'!J90,62))</f>
        <v>24.537</v>
      </c>
      <c r="GN90" s="106">
        <f t="array" ref="GN90">VARP(IF(INDEX(properties!A$1:CB$87,'Fórmula'!B90,62)&lt;&gt;"",INDEX(properties!A$1:CB$87,'Fórmula'!B90,62)),IF(INDEX(properties!A$1:CB$87,'Fórmula'!D90,62)&lt;&gt;"",INDEX(properties!A$1:CB$87,'Fórmula'!D90,62)),IF(INDEX(properties!A$1:CB$87,'Fórmula'!F90,62)&lt;&gt;"",INDEX(properties!A$1:CB$87,'Fórmula'!F90,62)),IF(INDEX(properties!A$1:CB$87,'Fórmula'!H90,62)&lt;&gt;"",INDEX(properties!A$1:CB$87,'Fórmula'!H90,62)),IF(INDEX(properties!A$1:CB$87,'Fórmula'!J90,62)&lt;&gt;"",INDEX(properties!A$1:CB$87,'Fórmula'!J90,62)))</f>
        <v>2.72859504</v>
      </c>
      <c r="GO90" s="106">
        <f t="array" ref="GO90">MAX(INDEX(properties!A$1:CB$87,'Fórmula'!B90,62),INDEX(properties!A$1:CB$87,'Fórmula'!D90,62),INDEX(properties!A$1:CB$87,'Fórmula'!F90,62),INDEX(properties!A$1:CB$87,'Fórmula'!H90,62),INDEX(properties!A$1:CB$87,'Fórmula'!J90,62))</f>
        <v>4.92</v>
      </c>
      <c r="GP90" s="106">
        <f t="array" ref="GP90">MIN(IF(INDEX(properties!A$1:CB$87,'Fórmula'!B90,62)=0,10^6,INDEX(properties!A$1:CB$87,'Fórmula'!B90,62)),IF(INDEX(properties!A$1:CB$87,'Fórmula'!D90,62)=0,10^6,INDEX(properties!A$1:CB$87,'Fórmula'!D90,62)),IF(INDEX(properties!A$1:CB$87,'Fórmula'!F90,62)=0,10^6,INDEX(properties!A$1:CB$87,'Fórmula'!F90,62)),IF(INDEX(properties!A$1:CB$87,'Fórmula'!H90,62)=0,10^6,INDEX(properties!A$1:CB$87,'Fórmula'!H90,62)),IF(INDEX(properties!A$1:CB$87,'Fórmula'!J90,62)=0,10^6,INDEX(properties!A$1:CB$87,'Fórmula'!J90,62)))</f>
        <v>0.934</v>
      </c>
      <c r="GQ90" s="106">
        <f t="shared" si="33"/>
        <v>3.986</v>
      </c>
      <c r="GR90" s="106">
        <f>'Fórmula'!Q90</f>
        <v>129</v>
      </c>
      <c r="GS90" s="107">
        <f>'Fórmula'!P90</f>
        <v>2</v>
      </c>
      <c r="GT90" s="113">
        <f>'Fórmula'!O90</f>
        <v>4.44</v>
      </c>
      <c r="GU90" s="114">
        <f>AVERAGE('Fórmula'!R90/'Fórmula'!S90,'Fórmula'!S90/'Fórmula'!T90,'Fórmula'!T90/'Fórmula'!R90)</f>
        <v>1.042139836</v>
      </c>
      <c r="GV90" s="125">
        <f>'Fórmula'!U90</f>
        <v>279.85</v>
      </c>
      <c r="GW90" s="106">
        <f>'Fórmula'!N90</f>
        <v>0.3</v>
      </c>
    </row>
    <row r="91" ht="14.25" customHeight="1">
      <c r="A91" s="99" t="str">
        <f>'Fórmula'!A91</f>
        <v>Gd2O3</v>
      </c>
      <c r="B91" s="100">
        <f t="array" ref="B91">(('Fórmula'!C91)/('Fórmula'!C91+'Fórmula'!E91+'Fórmula'!G91+'Fórmula'!I91+'Fórmula'!K91))*(INDEX(properties!A$1:CB$87,'Fórmula'!B91,3))+(('Fórmula'!E91)/('Fórmula'!C91+'Fórmula'!E91+'Fórmula'!G91+'Fórmula'!I91+'Fórmula'!K91))*(INDEX(properties!A$1:CB$87,'Fórmula'!D91,3))+(('Fórmula'!G91)/('Fórmula'!C91+'Fórmula'!E91+'Fórmula'!G91+'Fórmula'!I91+'Fórmula'!K91))*(INDEX(properties!A$1:CB$87,'Fórmula'!F91,3))+(('Fórmula'!I91)/('Fórmula'!C91+'Fórmula'!E91+'Fórmula'!G91+'Fórmula'!I91+'Fórmula'!K91))*(INDEX(properties!A$1:CB$87,'Fórmula'!H91,3))+(('Fórmula'!K91)/('Fórmula'!C91+'Fórmula'!E91+'Fórmula'!G91+'Fórmula'!I91+'Fórmula'!K91))*(INDEX(properties!A$1:CB$87,'Fórmula'!J91,3))</f>
        <v>72.49964</v>
      </c>
      <c r="C91" s="101">
        <f t="array" ref="C91">'Fórmula'!C91*(INDEX(properties!A$1:CB$87,'Fórmula'!B91,3))+'Fórmula'!E91*(INDEX(properties!A$1:CB$87,'Fórmula'!D91,3))+'Fórmula'!G91*(INDEX(properties!A$1:CB$87,'Fórmula'!F91,3))+'Fórmula'!I91*(INDEX(properties!A$1:CB$87,'Fórmula'!H91,3))+'Fórmula'!K91*(INDEX(properties!A$1:CB$87,'Fórmula'!J91,3))</f>
        <v>362.4982</v>
      </c>
      <c r="D91" s="101">
        <f t="array" ref="D91">VARP(IF(INDEX(properties!A$1:CB$87,'Fórmula'!B91,3)&lt;&gt;"",INDEX(properties!A$1:CB$87,'Fórmula'!B91,3)),IF(INDEX(properties!A$1:CB$87,'Fórmula'!D91,3)&lt;&gt;"",INDEX(properties!A$1:CB$87,'Fórmula'!D91,3)),IF(INDEX(properties!A$1:CB$87,'Fórmula'!F91,3)&lt;&gt;"",INDEX(properties!A$1:CB$87,'Fórmula'!F91,3)),IF(INDEX(properties!A$1:CB$87,'Fórmula'!H91,3)&lt;&gt;"",INDEX(properties!A$1:CB$87,'Fórmula'!H91,3)),IF(INDEX(properties!A$1:CB$87,'Fórmula'!J91,3)&lt;&gt;"",INDEX(properties!A$1:CB$87,'Fórmula'!J91,3)))</f>
        <v>3796.094476</v>
      </c>
      <c r="E91" s="101">
        <f t="array" ref="E91">MAX(INDEX(properties!A$1:CB$87,'Fórmula'!B91,3),INDEX(properties!A$1:CB$87,'Fórmula'!D91,3),INDEX(properties!A$1:CB$87,'Fórmula'!F91,3),INDEX(properties!A$1:CB$87,'Fórmula'!H91,3),INDEX(properties!A$1:CB$87,'Fórmula'!J91,3))</f>
        <v>157.25</v>
      </c>
      <c r="F91" s="101">
        <f t="array" ref="F91">MIN(IF(INDEX(properties!A$1:CB$87,'Fórmula'!B91,3)=0,10^6,INDEX(properties!A$1:CB$87,'Fórmula'!B91,3)),IF(INDEX(properties!A$1:CB$87,'Fórmula'!D91,3)=0,10^6,INDEX(properties!A$1:CB$87,'Fórmula'!D91,3)),IF(INDEX(properties!A$1:CB$87,'Fórmula'!F91,3)=0,10^6,INDEX(properties!A$1:CB$87,'Fórmula'!F91,3)),IF(INDEX(properties!A$1:CB$87,'Fórmula'!H91,3)=0,10^6,INDEX(properties!A$1:CB$87,'Fórmula'!H91,3)),IF(INDEX(properties!A$1:CB$87,'Fórmula'!J91,3)=0,10^6,INDEX(properties!A$1:CB$87,'Fórmula'!J91,3)))</f>
        <v>15.9994</v>
      </c>
      <c r="G91" s="101">
        <f t="shared" si="1"/>
        <v>141.2506</v>
      </c>
      <c r="H91" s="102">
        <f t="array" ref="H91">(('Fórmula'!C91)/('Fórmula'!C91+'Fórmula'!E91+'Fórmula'!G91+'Fórmula'!I91+'Fórmula'!K91))*(INDEX(properties!A$1:CB$87,'Fórmula'!B91,4))+(('Fórmula'!E91)/('Fórmula'!C91+'Fórmula'!E91+'Fórmula'!G91+'Fórmula'!I91+'Fórmula'!K91))*(INDEX(properties!A$1:CB$87,'Fórmula'!D91,4))+(('Fórmula'!G91)/('Fórmula'!C91+'Fórmula'!E91+'Fórmula'!G91+'Fórmula'!I91+'Fórmula'!K91))*(INDEX(properties!A$1:CB$87,'Fórmula'!F91,4))+(('Fórmula'!I91)/('Fórmula'!C91+'Fórmula'!E91+'Fórmula'!G91+'Fórmula'!I91+'Fórmula'!K91))*(INDEX(properties!A$1:CB$87,'Fórmula'!H91,4))+(('Fórmula'!K91)/('Fórmula'!C91+'Fórmula'!E91+'Fórmula'!G91+'Fórmula'!I91+'Fórmula'!K91))*(INDEX(properties!A$1:CB$87,'Fórmula'!J91,4))</f>
        <v>30.4</v>
      </c>
      <c r="I91" s="102">
        <f t="array" ref="I91">'Fórmula'!C91*(INDEX(properties!A$1:CB$87,'Fórmula'!B91,4))+'Fórmula'!E91*(INDEX(properties!A$1:CB$87,'Fórmula'!D91,4))+'Fórmula'!G91*(INDEX(properties!A$1:CB$87,'Fórmula'!F91,4))+'Fórmula'!I91*(INDEX(properties!A$1:CB$87,'Fórmula'!H91,4))+'Fórmula'!K91*(INDEX(properties!A$1:CB$87,'Fórmula'!J91,4))</f>
        <v>152</v>
      </c>
      <c r="J91" s="102">
        <f t="array" ref="J91">VARP(IF(INDEX(properties!A$1:CB$87,'Fórmula'!B91,4)&lt;&gt;"",INDEX(properties!A$1:CB$87,'Fórmula'!B91,4)),IF(INDEX(properties!A$1:CB$87,'Fórmula'!D91,4)&lt;&gt;"",INDEX(properties!A$1:CB$87,'Fórmula'!D91,4)),IF(INDEX(properties!A$1:CB$87,'Fórmula'!F91,4)&lt;&gt;"",INDEX(properties!A$1:CB$87,'Fórmula'!F91,4)),IF(INDEX(properties!A$1:CB$87,'Fórmula'!H91,4)&lt;&gt;"",INDEX(properties!A$1:CB$87,'Fórmula'!H91,4)),IF(INDEX(properties!A$1:CB$87,'Fórmula'!J91,4)&lt;&gt;"",INDEX(properties!A$1:CB$87,'Fórmula'!J91,4)))</f>
        <v>624.64</v>
      </c>
      <c r="K91" s="102">
        <f t="array" ref="K91">MAX(INDEX(properties!A$1:CB$87,'Fórmula'!B91,4),INDEX(properties!A$1:CB$87,'Fórmula'!D91,4),INDEX(properties!A$1:CB$87,'Fórmula'!F91,4),INDEX(properties!A$1:CB$87,'Fórmula'!H91,4),INDEX(properties!A$1:CB$87,'Fórmula'!J91,4))</f>
        <v>64</v>
      </c>
      <c r="L91" s="102">
        <f t="array" ref="L91">MIN(IF(INDEX(properties!A$1:CB$87,'Fórmula'!B91,4)=0,10^6,INDEX(properties!A$1:CB$87,'Fórmula'!B91,4)),IF(INDEX(properties!A$1:CB$87,'Fórmula'!D91,4)=0,10^6,INDEX(properties!A$1:CB$87,'Fórmula'!D91,4)),IF(INDEX(properties!A$1:CB$87,'Fórmula'!F91,4)=0,10^6,INDEX(properties!A$1:CB$87,'Fórmula'!F91,4)),IF(INDEX(properties!A$1:CB$87,'Fórmula'!H91,4)=0,10^6,INDEX(properties!A$1:CB$87,'Fórmula'!H91,4)),IF(INDEX(properties!A$1:CB$87,'Fórmula'!J91,4)=0,10^6,INDEX(properties!A$1:CB$87,'Fórmula'!J91,4)))</f>
        <v>8</v>
      </c>
      <c r="M91" s="102">
        <f t="shared" si="2"/>
        <v>56</v>
      </c>
      <c r="N91" s="103">
        <f t="array" ref="N91">(('Fórmula'!C91)/('Fórmula'!C91+'Fórmula'!E91+'Fórmula'!G91+'Fórmula'!I91+'Fórmula'!K91))*(INDEX(properties!A$1:CB$87,'Fórmula'!B91,5))+(('Fórmula'!E91)/('Fórmula'!C91+'Fórmula'!E91+'Fórmula'!G91+'Fórmula'!I91+'Fórmula'!K91))*(INDEX(properties!A$1:CB$87,'Fórmula'!D91,5))+(('Fórmula'!G91)/('Fórmula'!C91+'Fórmula'!E91+'Fórmula'!G91+'Fórmula'!I91+'Fórmula'!K91))*(INDEX(properties!A$1:CB$87,'Fórmula'!F91,5))+(('Fórmula'!I91)/('Fórmula'!C91+'Fórmula'!E91+'Fórmula'!G91+'Fórmula'!I91+'Fórmula'!K91))*(INDEX(properties!A$1:CB$87,'Fórmula'!H91,5))+(('Fórmula'!K91)/('Fórmula'!C91+'Fórmula'!E91+'Fórmula'!G91+'Fórmula'!I91+'Fórmula'!K91))*(INDEX(properties!A$1:CB$87,'Fórmula'!J91,5))</f>
        <v>3.6</v>
      </c>
      <c r="O91" s="103">
        <f t="array" ref="O91">'Fórmula'!C91*(INDEX(properties!A$1:CB$87,'Fórmula'!B91,5))+'Fórmula'!E91*(INDEX(properties!A$1:CB$87,'Fórmula'!D91,5))+'Fórmula'!G91*(INDEX(properties!A$1:CB$87,'Fórmula'!F91,5))+'Fórmula'!I91*(INDEX(properties!A$1:CB$87,'Fórmula'!H91,5))+'Fórmula'!K91*(INDEX(properties!A$1:CB$87,'Fórmula'!J91,5))</f>
        <v>18</v>
      </c>
      <c r="P91" s="103">
        <f t="array" ref="P91">VARP(IF(INDEX(properties!A$1:CB$87,'Fórmula'!B91,5)&lt;&gt;"",INDEX(properties!A$1:CB$87,'Fórmula'!B91,5)),IF(INDEX(properties!A$1:CB$87,'Fórmula'!D91,5)&lt;&gt;"",INDEX(properties!A$1:CB$87,'Fórmula'!D91,5)),IF(INDEX(properties!A$1:CB$87,'Fórmula'!F91,5)&lt;&gt;"",INDEX(properties!A$1:CB$87,'Fórmula'!F91,5)),IF(INDEX(properties!A$1:CB$87,'Fórmula'!H91,5)&lt;&gt;"",INDEX(properties!A$1:CB$87,'Fórmula'!H91,5)),IF(INDEX(properties!A$1:CB$87,'Fórmula'!J91,5)&lt;&gt;"",INDEX(properties!A$1:CB$87,'Fórmula'!J91,5)))</f>
        <v>5.44</v>
      </c>
      <c r="Q91" s="103">
        <f t="array" ref="Q91">MAX(INDEX(properties!A$1:CB$87,'Fórmula'!B91,5),INDEX(properties!A$1:CB$87,'Fórmula'!D91,5),INDEX(properties!A$1:CB$87,'Fórmula'!F91,5),INDEX(properties!A$1:CB$87,'Fórmula'!H91,5),INDEX(properties!A$1:CB$87,'Fórmula'!J91,5))</f>
        <v>6</v>
      </c>
      <c r="R91" s="103">
        <f t="array" ref="R91">MIN(IF(INDEX(properties!A$1:CB$87,'Fórmula'!B91,5)=0,10^6,INDEX(properties!A$1:CB$87,'Fórmula'!B91,5)),IF(INDEX(properties!A$1:CB$87,'Fórmula'!D91,5)=0,10^6,INDEX(properties!A$1:CB$87,'Fórmula'!D91,5)),IF(INDEX(properties!A$1:CB$87,'Fórmula'!F91,5)=0,10^6,INDEX(properties!A$1:CB$87,'Fórmula'!F91,5)),IF(INDEX(properties!A$1:CB$87,'Fórmula'!H91,5)=0,10^6,INDEX(properties!A$1:CB$87,'Fórmula'!H91,5)),IF(INDEX(properties!A$1:CB$87,'Fórmula'!J91,5)=0,10^6,INDEX(properties!A$1:CB$87,'Fórmula'!J91,5)))</f>
        <v>2</v>
      </c>
      <c r="S91" s="103">
        <f t="shared" si="3"/>
        <v>4</v>
      </c>
      <c r="T91" s="104">
        <f t="array" ref="T91">(('Fórmula'!C91)/('Fórmula'!C91+'Fórmula'!E91+'Fórmula'!G91+'Fórmula'!I91+'Fórmula'!K91))*(INDEX(properties!A$1:CB$87,'Fórmula'!B91,6))+(('Fórmula'!E91)/('Fórmula'!C91+'Fórmula'!E91+'Fórmula'!G91+'Fórmula'!I91+'Fórmula'!K91))*(INDEX(properties!A$1:CB$87,'Fórmula'!D91,6))+(('Fórmula'!G91)/('Fórmula'!C91+'Fórmula'!E91+'Fórmula'!G91+'Fórmula'!I91+'Fórmula'!K91))*(INDEX(properties!A$1:CB$87,'Fórmula'!F91,6))+(('Fórmula'!I91)/('Fórmula'!C91+'Fórmula'!E91+'Fórmula'!G91+'Fórmula'!I91+'Fórmula'!K91))*(INDEX(properties!A$1:CB$87,'Fórmula'!H91,6))+(('Fórmula'!K91)/('Fórmula'!C91+'Fórmula'!E91+'Fórmula'!G91+'Fórmula'!I91+'Fórmula'!K91))*(INDEX(properties!A$1:CB$87,'Fórmula'!J91,6))</f>
        <v>10.8</v>
      </c>
      <c r="U91" s="104">
        <f t="array" ref="U91">'Fórmula'!C91*(INDEX(properties!A$1:CB$87,'Fórmula'!B91,6))+'Fórmula'!E91*(INDEX(properties!A$1:CB$87,'Fórmula'!D91,6))+'Fórmula'!G91*(INDEX(properties!A$1:CB$87,'Fórmula'!F91,6))+'Fórmula'!I91*(INDEX(properties!A$1:CB$87,'Fórmula'!H91,6))+'Fórmula'!K91*(INDEX(properties!A$1:CB$87,'Fórmula'!J91,6))</f>
        <v>54</v>
      </c>
      <c r="V91" s="103">
        <f t="array" ref="V91">VARP(IF(INDEX(properties!A$1:CB$87,'Fórmula'!B91,6)&lt;&gt;"",INDEX(properties!A$1:CB$87,'Fórmula'!B91,6)),IF(INDEX(properties!A$1:CB$87,'Fórmula'!D91,6)&lt;&gt;"",INDEX(properties!A$1:CB$87,'Fórmula'!D91,6)),IF(INDEX(properties!A$1:CB$87,'Fórmula'!F91,6)&lt;&gt;"",INDEX(properties!A$1:CB$87,'Fórmula'!F91,6)),IF(INDEX(properties!A$1:CB$87,'Fórmula'!H91,6)&lt;&gt;"",INDEX(properties!A$1:CB$87,'Fórmula'!H91,6)),IF(INDEX(properties!A$1:CB$87,'Fórmula'!J91,6)&lt;&gt;"",INDEX(properties!A$1:CB$87,'Fórmula'!J91,6)))</f>
        <v>38.56</v>
      </c>
      <c r="W91" s="104">
        <f t="array" ref="W91">MAX(INDEX(properties!A$1:CB$87,'Fórmula'!B91,6),INDEX(properties!A$1:CB$87,'Fórmula'!D91,6),INDEX(properties!A$1:CB$87,'Fórmula'!F91,6),INDEX(properties!A$1:CB$87,'Fórmula'!H91,4),INDEX(properties!A$1:CB$87,'Fórmula'!J91,6))</f>
        <v>16</v>
      </c>
      <c r="X91" s="104">
        <f t="array" ref="X91">MIN(IF(INDEX(properties!A$1:CB$87,'Fórmula'!B91,6)=0,10^6,INDEX(properties!A$1:CB$87,'Fórmula'!B91,6)),IF(INDEX(properties!A$1:CB$87,'Fórmula'!D91,6)=0,10^6,INDEX(properties!A$1:CB$87,'Fórmula'!D91,6)),IF(INDEX(properties!A$1:CB$87,'Fórmula'!F91,6)=0,10^6,INDEX(properties!A$1:CB$87,'Fórmula'!F91,6)),IF(INDEX(properties!A$1:CB$87,'Fórmula'!H91,6)=0,10^6,INDEX(properties!A$1:CB$87,'Fórmula'!H91,6)),IF(INDEX(properties!A$1:CB$87,'Fórmula'!J91,6)=0,10^6,INDEX(properties!A$1:CB$87,'Fórmula'!J91,6)))</f>
        <v>3</v>
      </c>
      <c r="Y91" s="104">
        <f t="shared" si="4"/>
        <v>13</v>
      </c>
      <c r="Z91" s="105">
        <f t="array" ref="Z91">(('Fórmula'!C91)/('Fórmula'!C91+'Fórmula'!E91+'Fórmula'!G91+'Fórmula'!I91+'Fórmula'!K91))*(INDEX(properties!A$1:CB$87,'Fórmula'!B91,9))+(('Fórmula'!E91)/('Fórmula'!C91+'Fórmula'!E91+'Fórmula'!G91+'Fórmula'!I91+'Fórmula'!K91))*(INDEX(properties!A$1:CB$87,'Fórmula'!D91,9))+(('Fórmula'!G91)/('Fórmula'!C91+'Fórmula'!E91+'Fórmula'!G91+'Fórmula'!I91+'Fórmula'!K91))*(INDEX(properties!A$1:CB$87,'Fórmula'!F91,9))+(('Fórmula'!I91)/('Fórmula'!C91+'Fórmula'!E91+'Fórmula'!G91+'Fórmula'!I91+'Fórmula'!K91))*(INDEX(properties!A$1:CB$87,'Fórmula'!H91,9))+(('Fórmula'!K91)/('Fórmula'!C91+'Fórmula'!E91+'Fórmula'!G91+'Fórmula'!I91+'Fórmula'!K91))*(INDEX(properties!A$1:CB$87,'Fórmula'!J91,9))</f>
        <v>63</v>
      </c>
      <c r="AA91" s="105">
        <f t="array" ref="AA91">'Fórmula'!C91*(INDEX(properties!A$1:CB$87,'Fórmula'!B91,9))+'Fórmula'!E91*(INDEX(properties!A$1:CB$87,'Fórmula'!D91,9))+'Fórmula'!G91*(INDEX(properties!A$1:CB$87,'Fórmula'!F91,9))+'Fórmula'!I91*(INDEX(properties!A$1:CB$87,'Fórmula'!H91,9))+'Fórmula'!K91*(INDEX(properties!A$1:CB$87,'Fórmula'!J91,9))</f>
        <v>315</v>
      </c>
      <c r="AB91" s="105">
        <f t="array" ref="AB91">VARP(IF(INDEX(properties!A$1:CB$87,'Fórmula'!B91,9)&lt;&gt;"",INDEX(properties!A$1:CB$87,'Fórmula'!B91,9)),IF(INDEX(properties!A$1:CB$87,'Fórmula'!D91,9)&lt;&gt;"",INDEX(properties!A$1:CB$87,'Fórmula'!D91,9)),IF(INDEX(properties!A$1:CB$87,'Fórmula'!F91,9)&lt;&gt;"",INDEX(properties!A$1:CB$87,'Fórmula'!F91,9)),IF(INDEX(properties!A$1:CB$87,'Fórmula'!H91,9)&lt;&gt;"",INDEX(properties!A$1:CB$87,'Fórmula'!H91,9)),IF(INDEX(properties!A$1:CB$87,'Fórmula'!J91,9)&lt;&gt;"",INDEX(properties!A$1:CB$87,'Fórmula'!J91,9)))</f>
        <v>1139.76</v>
      </c>
      <c r="AC91" s="105">
        <f t="array" ref="AC91">MAX(INDEX(properties!A$1:CB$87,'Fórmula'!B91,9),INDEX(properties!A$1:CB$87,'Fórmula'!D91,9),INDEX(properties!A$1:CB$87,'Fórmula'!F91,9),INDEX(properties!A$1:CB$87,'Fórmula'!H91,9),INDEX(properties!A$1:CB$87,'Fórmula'!J91,9))</f>
        <v>87</v>
      </c>
      <c r="AD91" s="105">
        <f t="array" ref="AD91">MIN(IF(INDEX(properties!A$1:CB$87,'Fórmula'!B91,9)=0,10^6,INDEX(properties!A$1:CB$87,'Fórmula'!B91,9)),IF(INDEX(properties!A$1:CB$87,'Fórmula'!D91,9)=0,10^6,INDEX(properties!A$1:CB$87,'Fórmula'!D91,9)),IF(INDEX(properties!A$1:CB$87,'Fórmula'!F91,9)=0,10^6,INDEX(properties!A$1:CB$87,'Fórmula'!F91,9)),IF(INDEX(properties!A$1:CB$87,'Fórmula'!H91,9)=0,10^6,INDEX(properties!A$1:CB$87,'Fórmula'!H91,9)),IF(INDEX(properties!A$1:CB$87,'Fórmula'!J91,9)=0,10^6,INDEX(properties!A$1:CB$87,'Fórmula'!J91,9)))</f>
        <v>27</v>
      </c>
      <c r="AE91" s="105">
        <f t="shared" si="5"/>
        <v>60</v>
      </c>
      <c r="AF91" s="106">
        <f t="array" ref="AF91">(('Fórmula'!C91)/('Fórmula'!C91+'Fórmula'!E91+'Fórmula'!G91+'Fórmula'!I91+'Fórmula'!K91))*(INDEX(properties!A$1:CB$87,'Fórmula'!B91,10))+(('Fórmula'!E91)/('Fórmula'!C91+'Fórmula'!E91+'Fórmula'!G91+'Fórmula'!I91+'Fórmula'!K91))*(INDEX(properties!A$1:CB$87,'Fórmula'!D91,10))+(('Fórmula'!G91)/('Fórmula'!C91+'Fórmula'!E91+'Fórmula'!G91+'Fórmula'!I91+'Fórmula'!K91))*(INDEX(properties!A$1:CB$87,'Fórmula'!F91,10))+(('Fórmula'!I91)/('Fórmula'!C91+'Fórmula'!E91+'Fórmula'!G91+'Fórmula'!I91+'Fórmula'!K91))*(INDEX(properties!A$1:CB$87,'Fórmula'!H91,10))+(('Fórmula'!K91)/('Fórmula'!C91+'Fórmula'!E91+'Fórmula'!G91+'Fórmula'!I91+'Fórmula'!K91))*(INDEX(properties!A$1:CB$87,'Fórmula'!J91,10))</f>
        <v>5.4</v>
      </c>
      <c r="AG91" s="106">
        <f t="array" ref="AG91">'Fórmula'!C91*(INDEX(properties!A$1:CB$87,'Fórmula'!B91,10))+'Fórmula'!E91*(INDEX(properties!A$1:CB$87,'Fórmula'!D91,10))+'Fórmula'!G91*(INDEX(properties!A$1:CB$87,'Fórmula'!F91,10))+'Fórmula'!I91*(INDEX(properties!A$1:CB$87,'Fórmula'!H91,10))+'Fórmula'!K91*(INDEX(properties!A$1:CB$87,'Fórmula'!J91,10))</f>
        <v>27</v>
      </c>
      <c r="AH91" s="106">
        <f t="array" ref="AH91">VARP(IF(INDEX(properties!A$1:CB$87,'Fórmula'!B91,10)&lt;&gt;"",INDEX(properties!A$1:CB$87,'Fórmula'!B91,10)),IF(INDEX(properties!A$1:CB$87,'Fórmula'!D91,10)&lt;&gt;"",INDEX(properties!A$1:CB$87,'Fórmula'!D91,10)),IF(INDEX(properties!A$1:CB$87,'Fórmula'!F91,10)&lt;&gt;"",INDEX(properties!A$1:CB$87,'Fórmula'!F91,10)),IF(INDEX(properties!A$1:CB$87,'Fórmula'!H91,10)&lt;&gt;"",INDEX(properties!A$1:CB$87,'Fórmula'!H91,10)),IF(INDEX(properties!A$1:CB$87,'Fórmula'!J91,10)&lt;&gt;"",INDEX(properties!A$1:CB$87,'Fórmula'!J91,10)))</f>
        <v>7.6</v>
      </c>
      <c r="AI91" s="106">
        <f t="array" ref="AI91">MAX(INDEX(properties!A$1:CB$87,'Fórmula'!B91,10),INDEX(properties!A$1:CB$87,'Fórmula'!D91,10),INDEX(properties!A$1:CB$87,'Fórmula'!F91,10),INDEX(properties!A$1:CB$87,'Fórmula'!H91,10),INDEX(properties!A$1:CB$87,'Fórmula'!J91,10))</f>
        <v>7</v>
      </c>
      <c r="AJ91" s="106">
        <f t="array" ref="AJ91">MIN(IF(INDEX(properties!A$1:CB$87,'Fórmula'!B91,10)=0,10^6,INDEX(properties!A$1:CB$87,'Fórmula'!B91,10)),IF(INDEX(properties!A$1:CB$87,'Fórmula'!D91,10)=0,10^6,INDEX(properties!A$1:CB$87,'Fórmula'!D91,10)),IF(INDEX(properties!A$1:CB$87,'Fórmula'!F91,10)=0,10^6,INDEX(properties!A$1:CB$87,'Fórmula'!F91,10)),IF(INDEX(properties!A$1:CB$87,'Fórmula'!H91,10)=0,10^6,INDEX(properties!A$1:CB$87,'Fórmula'!H91,10)),IF(INDEX(properties!A$1:CB$87,'Fórmula'!J91,10)=0,10^6,INDEX(properties!A$1:CB$87,'Fórmula'!J91,10)))</f>
        <v>3</v>
      </c>
      <c r="AK91" s="106">
        <f t="shared" si="6"/>
        <v>4</v>
      </c>
      <c r="AL91" s="107">
        <f t="array" ref="AL91">(('Fórmula'!C91)/('Fórmula'!C91+'Fórmula'!E91+'Fórmula'!G91+'Fórmula'!I91+'Fórmula'!K91))*(INDEX(properties!A$1:CB$87,'Fórmula'!B91,11))+(('Fórmula'!E91)/('Fórmula'!C91+'Fórmula'!E91+'Fórmula'!G91+'Fórmula'!I91+'Fórmula'!K91))*(INDEX(properties!A$1:CB$87,'Fórmula'!D91,11))+(('Fórmula'!G91)/('Fórmula'!C91+'Fórmula'!E91+'Fórmula'!G91+'Fórmula'!I91+'Fórmula'!K91))*(INDEX(properties!A$1:CB$87,'Fórmula'!F91,11))+(('Fórmula'!I91)/('Fórmula'!C91+'Fórmula'!E91+'Fórmula'!G91+'Fórmula'!I91+'Fórmula'!K91))*(INDEX(properties!A$1:CB$87,'Fórmula'!H91,11))+(('Fórmula'!K91)/('Fórmula'!C91+'Fórmula'!E91+'Fórmula'!G91+'Fórmula'!I91+'Fórmula'!K91))*(INDEX(properties!A$1:CB$87,'Fórmula'!J91,11))</f>
        <v>2</v>
      </c>
      <c r="AM91" s="107">
        <f t="array" ref="AM91">'Fórmula'!C91*(INDEX(properties!A$1:CB$87,'Fórmula'!B91,11))+'Fórmula'!E91*(INDEX(properties!A$1:CB$87,'Fórmula'!D91,11))+'Fórmula'!G91*(INDEX(properties!A$1:CB$87,'Fórmula'!F91,11))+'Fórmula'!I91*(INDEX(properties!A$1:CB$87,'Fórmula'!H91,11))+'Fórmula'!K91*(INDEX(properties!A$1:CB$87,'Fórmula'!J91,11))</f>
        <v>10</v>
      </c>
      <c r="AN91" s="107">
        <f t="array" ref="AN91">VARP(IF(INDEX(properties!A$1:CB$87,'Fórmula'!B91,11)&lt;&gt;"",INDEX(properties!A$1:CB$87,'Fórmula'!B91,11)),IF(INDEX(properties!A$1:CB$87,'Fórmula'!D91,11)&lt;&gt;"",INDEX(properties!A$1:CB$87,'Fórmula'!D91,11)),IF(INDEX(properties!A$1:CB$87,'Fórmula'!F91,11)&lt;&gt;"",INDEX(properties!A$1:CB$87,'Fórmula'!F91,11)),IF(INDEX(properties!A$1:CB$87,'Fórmula'!H91,11)&lt;&gt;"",INDEX(properties!A$1:CB$87,'Fórmula'!H91,11)),IF(INDEX(properties!A$1:CB$87,'Fórmula'!J91,11)&lt;&gt;"",INDEX(properties!A$1:CB$87,'Fórmula'!J91,11)))</f>
        <v>0.96</v>
      </c>
      <c r="AO91" s="107">
        <f t="array" ref="AO91">MAX(INDEX(properties!A$1:CB$87,'Fórmula'!B91,11),INDEX(properties!A$1:CB$87,'Fórmula'!D91,11),INDEX(properties!A$1:CB$87,'Fórmula'!F91,11),INDEX(properties!A$1:CB$87,'Fórmula'!H91,11),INDEX(properties!A$1:CB$87,'Fórmula'!J91,11))</f>
        <v>2</v>
      </c>
      <c r="AP91" s="107">
        <f t="array" ref="AP91">MIN(IF('Fórmula'!B91=87,10^6,INDEX(properties!A$1:CB$87,'Fórmula'!B91,11)),IF(('Fórmula'!D91)=87,10^6,INDEX(properties!A$1:CB$87,'Fórmula'!D91,11)),IF(('Fórmula'!F91)=87,10^6,INDEX(properties!A$1:CB$87,'Fórmula'!F91,11)),IF(('Fórmula'!H91)=87,10^6,INDEX(properties!A$1:CB$87,'Fórmula'!H91,11)),IF('Fórmula'!J91=87,10^6,INDEX(properties!A$1:CB$87,'Fórmula'!J91,11)))</f>
        <v>2</v>
      </c>
      <c r="AQ91" s="107">
        <f t="shared" si="7"/>
        <v>0</v>
      </c>
      <c r="AR91" s="108">
        <f t="array" ref="AR91">(('Fórmula'!C91)/('Fórmula'!C91+'Fórmula'!E91+'Fórmula'!G91+'Fórmula'!I91+'Fórmula'!K91))*(INDEX(properties!A$1:CB$87,'Fórmula'!B91,12))+(('Fórmula'!E91)/('Fórmula'!C91+'Fórmula'!E91+'Fórmula'!G91+'Fórmula'!I91+'Fórmula'!K91))*(INDEX(properties!A$1:CB$87,'Fórmula'!D91,12))+(('Fórmula'!G91)/('Fórmula'!C91+'Fórmula'!E91+'Fórmula'!G91+'Fórmula'!I91+'Fórmula'!K91))*(INDEX(properties!A$1:CB$87,'Fórmula'!F91,12))+(('Fórmula'!I91)/('Fórmula'!C91+'Fórmula'!E91+'Fórmula'!G91+'Fórmula'!I91+'Fórmula'!K91))*(INDEX(properties!A$1:CB$87,'Fórmula'!H91,12))+(('Fórmula'!K91)/('Fórmula'!C91+'Fórmula'!E91+'Fórmula'!G91+'Fórmula'!I91+'Fórmula'!K91))*(INDEX(properties!A$1:CB$87,'Fórmula'!J91,12))</f>
        <v>2.4</v>
      </c>
      <c r="AS91" s="108">
        <f t="array" ref="AS91">'Fórmula'!C91*(INDEX(properties!A$1:CB$87,'Fórmula'!B91,12))+'Fórmula'!E91*(INDEX(properties!A$1:CB$87,'Fórmula'!D91,12))+'Fórmula'!G91*(INDEX(properties!A$1:CB$87,'Fórmula'!F91,12))+'Fórmula'!I91*(INDEX(properties!A$1:CB$87,'Fórmula'!H91,12))+'Fórmula'!K91*(INDEX(properties!A$1:CB$87,'Fórmula'!J91,12))</f>
        <v>12</v>
      </c>
      <c r="AT91" s="108">
        <f t="array" ref="AT91">VARP(IF(INDEX(properties!A$1:CB$87,'Fórmula'!B91,12)&lt;&gt;"",INDEX(properties!A$1:CB$87,'Fórmula'!B91,12)),IF(INDEX(properties!A$1:CB$87,'Fórmula'!D91,12)&lt;&gt;"",INDEX(properties!A$1:CB$87,'Fórmula'!D91,12)),IF(INDEX(properties!A$1:CB$87,'Fórmula'!F91,12)&lt;&gt;"",INDEX(properties!A$1:CB$87,'Fórmula'!F91,12)),IF(INDEX(properties!A$1:CB$87,'Fórmula'!H91,12)&lt;&gt;"",INDEX(properties!A$1:CB$87,'Fórmula'!H91,12)),IF(INDEX(properties!A$1:CB$87,'Fórmula'!J91,12)&lt;&gt;"",INDEX(properties!A$1:CB$87,'Fórmula'!J91,12)))</f>
        <v>2.56</v>
      </c>
      <c r="AU91" s="108">
        <f t="array" ref="AU91">MAX(INDEX(properties!A$1:CB$87,'Fórmula'!B91,12),INDEX(properties!A$1:CB$87,'Fórmula'!D91,12),INDEX(properties!A$1:CB$87,'Fórmula'!F91,12),INDEX(properties!A$1:CB$87,'Fórmula'!H91,12),INDEX(properties!A$1:CB$87,'Fórmula'!J91,12))</f>
        <v>4</v>
      </c>
      <c r="AV91" s="108">
        <f t="array" ref="AV91">MIN(IF('Fórmula'!B91=87,10^6,INDEX(properties!A$1:CB$87,'Fórmula'!B91,12)),IF(('Fórmula'!D91)=87,10^6,INDEX(properties!A$1:CB$87,'Fórmula'!D91,12)),IF(('Fórmula'!F91)=87,10^6,INDEX(properties!A$1:CB$87,'Fórmula'!F91,12)),IF(('Fórmula'!H91)=87,10^6,INDEX(properties!A$1:CB$87,'Fórmula'!H91,12)),IF('Fórmula'!J91=87,10^6,INDEX(properties!A$1:CB$87,'Fórmula'!J91,12)))</f>
        <v>0</v>
      </c>
      <c r="AW91" s="108">
        <f t="shared" si="8"/>
        <v>4</v>
      </c>
      <c r="AX91" s="109">
        <f t="array" ref="AX91">(('Fórmula'!C91)/('Fórmula'!C91+'Fórmula'!E91+'Fórmula'!G91+'Fórmula'!I91+'Fórmula'!K91))*(INDEX(properties!A$1:CB$87,'Fórmula'!B91,13))+(('Fórmula'!E91)/('Fórmula'!C91+'Fórmula'!E91+'Fórmula'!G91+'Fórmula'!I91+'Fórmula'!K91))*(INDEX(properties!A$1:CB$87,'Fórmula'!D91,13))+(('Fórmula'!G91)/('Fórmula'!C91+'Fórmula'!E91+'Fórmula'!G91+'Fórmula'!I91+'Fórmula'!K91))*(INDEX(properties!A$1:CB$87,'Fórmula'!F91,13))+(('Fórmula'!I91)/('Fórmula'!C91+'Fórmula'!E91+'Fórmula'!G91+'Fórmula'!I91+'Fórmula'!K91))*(INDEX(properties!A$1:CB$87,'Fórmula'!H91,13))+(('Fórmula'!K91)/('Fórmula'!C91+'Fórmula'!E91+'Fórmula'!G91+'Fórmula'!I91+'Fórmula'!K91))*(INDEX(properties!A$1:CB$87,'Fórmula'!J91,13))</f>
        <v>0.4</v>
      </c>
      <c r="AY91" s="109">
        <f t="array" ref="AY91">'Fórmula'!C91*(INDEX(properties!A$1:CB$87,'Fórmula'!B91,13))+'Fórmula'!E91*(INDEX(properties!A$1:CB$87,'Fórmula'!D91,13))+'Fórmula'!G91*(INDEX(properties!A$1:CB$87,'Fórmula'!F91,13))+'Fórmula'!I91*(INDEX(properties!A$1:CB$87,'Fórmula'!H91,13))+'Fórmula'!K91*(INDEX(properties!A$1:CB$87,'Fórmula'!J91,13))</f>
        <v>2</v>
      </c>
      <c r="AZ91" s="109">
        <f t="array" ref="AZ91">VARP(IF(INDEX(properties!A$1:CB$87,'Fórmula'!B91,13)&lt;&gt;"",INDEX(properties!A$1:CB$87,'Fórmula'!B91,13)),IF(INDEX(properties!A$1:CB$87,'Fórmula'!D91,13)&lt;&gt;"",INDEX(properties!A$1:CB$87,'Fórmula'!D91,13)),IF(INDEX(properties!A$1:CB$87,'Fórmula'!F91,13)&lt;&gt;"",INDEX(properties!A$1:CB$87,'Fórmula'!F91,13)),IF(INDEX(properties!A$1:CB$87,'Fórmula'!H91,13)&lt;&gt;"",INDEX(properties!A$1:CB$87,'Fórmula'!H91,13)),IF(INDEX(properties!A$1:CB$87,'Fórmula'!J91,13)&lt;&gt;"",INDEX(properties!A$1:CB$87,'Fórmula'!J91,13)))</f>
        <v>0.16</v>
      </c>
      <c r="BA91" s="109">
        <f t="array" ref="BA91">MAX(INDEX(properties!A$1:CB$87,'Fórmula'!B91,13),INDEX(properties!A$1:CB$87,'Fórmula'!D91,13),INDEX(properties!A$1:CB$87,'Fórmula'!F91,13),INDEX(properties!A$1:CB$87,'Fórmula'!H91,13),INDEX(properties!A$1:CB$87,'Fórmula'!J91,13))</f>
        <v>1</v>
      </c>
      <c r="BB91" s="109">
        <f t="array" ref="BB91">MIN(IF('Fórmula'!B91=87,10^6,INDEX(properties!A$1:CB$87,'Fórmula'!B91,13)),IF(('Fórmula'!D91)=87,10^6,INDEX(properties!A$1:CB$87,'Fórmula'!D91,13)),IF(('Fórmula'!F91)=87,10^6,INDEX(properties!A$1:CB$87,'Fórmula'!F91,13)),IF(('Fórmula'!H91)=87,10^6,INDEX(properties!A$1:CB$87,'Fórmula'!H91,13)),IF('Fórmula'!J91=87,10^6,INDEX(properties!A$1:CB$87,'Fórmula'!J91,13)))</f>
        <v>0</v>
      </c>
      <c r="BC91" s="109">
        <f t="shared" si="9"/>
        <v>1</v>
      </c>
      <c r="BD91" s="110">
        <f t="array" ref="BD91">(('Fórmula'!C91)/('Fórmula'!C91+'Fórmula'!E91+'Fórmula'!G91+'Fórmula'!I91+'Fórmula'!K91))*(INDEX(properties!A$1:CB$87,'Fórmula'!B91,14))+(('Fórmula'!E91)/('Fórmula'!C91+'Fórmula'!E91+'Fórmula'!G91+'Fórmula'!I91+'Fórmula'!K91))*(INDEX(properties!A$1:CB$87,'Fórmula'!D91,14))+(('Fórmula'!G91)/('Fórmula'!C91+'Fórmula'!E91+'Fórmula'!G91+'Fórmula'!I91+'Fórmula'!K91))*(INDEX(properties!A$1:CB$87,'Fórmula'!F91,14))+(('Fórmula'!I91)/('Fórmula'!C91+'Fórmula'!E91+'Fórmula'!G91+'Fórmula'!I91+'Fórmula'!K91))*(INDEX(properties!A$1:CB$87,'Fórmula'!H91,14))+(('Fórmula'!K91)/('Fórmula'!C91+'Fórmula'!E91+'Fórmula'!G91+'Fórmula'!I91+'Fórmula'!K91))*(INDEX(properties!A$1:CB$87,'Fórmula'!J91,14))</f>
        <v>2.8</v>
      </c>
      <c r="BE91" s="110">
        <f t="array" ref="BE91">'Fórmula'!C91*(INDEX(properties!A$1:CB$87,'Fórmula'!B91,14))+'Fórmula'!E91*(INDEX(properties!A$1:CB$87,'Fórmula'!D91,14))+'Fórmula'!G91*(INDEX(properties!A$1:CB$87,'Fórmula'!F91,14))+'Fórmula'!I91*(INDEX(properties!A$1:CB$87,'Fórmula'!H91,14))+'Fórmula'!K91*(INDEX(properties!A$1:CB$87,'Fórmula'!J91,14))</f>
        <v>14</v>
      </c>
      <c r="BF91" s="110">
        <f t="array" ref="BF91">VARP(IF(INDEX(properties!A$1:CB$87,'Fórmula'!B91,14)&lt;&gt;"",INDEX(properties!A$1:CB$87,'Fórmula'!B91,14)),IF(INDEX(properties!A$1:CB$87,'Fórmula'!D91,14)&lt;&gt;"",INDEX(properties!A$1:CB$87,'Fórmula'!D91,14)),IF(INDEX(properties!A$1:CB$87,'Fórmula'!F91,14)&lt;&gt;"",INDEX(properties!A$1:CB$87,'Fórmula'!F91,14)),IF(INDEX(properties!A$1:CB$87,'Fórmula'!H91,14)&lt;&gt;"",INDEX(properties!A$1:CB$87,'Fórmula'!H91,14)),IF(INDEX(properties!A$1:CB$87,'Fórmula'!J91,14)&lt;&gt;"",INDEX(properties!A$1:CB$87,'Fórmula'!J91,14)))</f>
        <v>7.84</v>
      </c>
      <c r="BG91" s="110">
        <f t="array" ref="BG91">MAX(INDEX(properties!A$1:CB$87,'Fórmula'!B91,14),INDEX(properties!A$1:CB$87,'Fórmula'!D91,14),INDEX(properties!A$1:CB$87,'Fórmula'!F91,14),INDEX(properties!A$1:CB$87,'Fórmula'!H91,14),INDEX(properties!A$1:CB$87,'Fórmula'!J91,14))</f>
        <v>7</v>
      </c>
      <c r="BH91" s="110">
        <f t="array" ref="BH91">MIN(IF('Fórmula'!B91=87,10^6,INDEX(properties!A$1:CB$87,'Fórmula'!B91,14)),IF(('Fórmula'!D91)=87,10^6,INDEX(properties!A$1:CB$87,'Fórmula'!D91,14)),IF(('Fórmula'!F91)=87,10^6,INDEX(properties!A$1:CB$87,'Fórmula'!F91,14)),IF(('Fórmula'!H91)=87,10^6,INDEX(properties!A$1:CB$87,'Fórmula'!H91,14)),IF('Fórmula'!J91=87,10^6,INDEX(properties!A$1:CB$87,'Fórmula'!J91,14)))</f>
        <v>0</v>
      </c>
      <c r="BI91" s="110">
        <f t="shared" si="10"/>
        <v>7</v>
      </c>
      <c r="BJ91" s="111">
        <f t="array" ref="BJ91">(('Fórmula'!C91)/('Fórmula'!C91+'Fórmula'!E91+'Fórmula'!G91+'Fórmula'!I91+'Fórmula'!K91))*(INDEX(properties!A$1:CB$87,'Fórmula'!B91,19))+(('Fórmula'!E91)/('Fórmula'!C91+'Fórmula'!E91+'Fórmula'!G91+'Fórmula'!I91+'Fórmula'!K91))*(INDEX(properties!A$1:CB$87,'Fórmula'!D91,19))+(('Fórmula'!G91)/('Fórmula'!C91+'Fórmula'!E91+'Fórmula'!G91+'Fórmula'!I91+'Fórmula'!K91))*(INDEX(properties!A$1:CB$87,'Fórmula'!F91,19))+(('Fórmula'!I91)/('Fórmula'!C91+'Fórmula'!E91+'Fórmula'!G91+'Fórmula'!I91+'Fórmula'!K91))*(INDEX(properties!A$1:CB$87,'Fórmula'!H91,19))+(('Fórmula'!K91)/('Fórmula'!C91+'Fórmula'!E91+'Fórmula'!G91+'Fórmula'!I91+'Fórmula'!K91))*(INDEX(properties!A$1:CB$87,'Fórmula'!J91,19))</f>
        <v>7.6</v>
      </c>
      <c r="BK91" s="111">
        <f t="array" ref="BK91">'Fórmula'!C91*(INDEX(properties!A$1:CB$87,'Fórmula'!B91,19))+'Fórmula'!E91*(INDEX(properties!A$1:CB$87,'Fórmula'!D91,19))+'Fórmula'!G91*(INDEX(properties!A$1:CB$87,'Fórmula'!F91,19))+'Fórmula'!I91*(INDEX(properties!A$1:CB$87,'Fórmula'!H91,19))+'Fórmula'!K91*(INDEX(properties!A$1:CB$87,'Fórmula'!J91,19))</f>
        <v>38</v>
      </c>
      <c r="BL91" s="111">
        <f t="array" ref="BL91">VARP(IF(INDEX(properties!A$1:CB$87,'Fórmula'!B91,19)&lt;&gt;"",INDEX(properties!A$1:CB$87,'Fórmula'!B91,19)),IF(INDEX(properties!A$1:CB$87,'Fórmula'!D91,19)&lt;&gt;"",INDEX(properties!A$1:CB$87,'Fórmula'!D91,19)),IF(INDEX(properties!A$1:CB$87,'Fórmula'!F91,19)&lt;&gt;"",INDEX(properties!A$1:CB$87,'Fórmula'!F91,19)),IF(INDEX(properties!A$1:CB$87,'Fórmula'!H91,19)&lt;&gt;"",INDEX(properties!A$1:CB$87,'Fórmula'!H91,19)),IF(INDEX(properties!A$1:CB$87,'Fórmula'!J91,19)&lt;&gt;"",INDEX(properties!A$1:CB$87,'Fórmula'!J91,19)))</f>
        <v>16.96</v>
      </c>
      <c r="BM91" s="111">
        <f t="array" ref="BM91">MAX(INDEX(properties!A$1:CB$87,'Fórmula'!B91,19),INDEX(properties!A$1:CB$87,'Fórmula'!D91,19),INDEX(properties!A$1:CB$87,'Fórmula'!F91,19),INDEX(properties!A$1:CB$87,'Fórmula'!H91,19),INDEX(properties!A$1:CB$87,'Fórmula'!J91,19))</f>
        <v>10</v>
      </c>
      <c r="BN91" s="111">
        <f t="array" ref="BN91">MIN(IF(INDEX(properties!A$1:CB$87,'Fórmula'!B91,19)=0,10^6,INDEX(properties!A$1:CB$87,'Fórmula'!B91,19)),IF(INDEX(properties!A$1:CB$87,'Fórmula'!D91,19)=0,10^6,INDEX(properties!A$1:CB$87,'Fórmula'!D91,19)),IF(INDEX(properties!A$1:CB$87,'Fórmula'!F91,19)=0,10^6,INDEX(properties!A$1:CB$87,'Fórmula'!F91,19)),IF(INDEX(properties!A$1:CB$87,'Fórmula'!H91,19)=0,10^6,INDEX(properties!A$1:CB$87,'Fórmula'!H91,19)),IF(INDEX(properties!A$1:CB$87,'Fórmula'!J91,19)=0,10^6,INDEX(properties!A$1:CB$87,'Fórmula'!J91,19)))</f>
        <v>6</v>
      </c>
      <c r="BO91" s="111">
        <f t="shared" si="11"/>
        <v>4</v>
      </c>
      <c r="BP91" s="112">
        <f t="array" ref="BP91">(('Fórmula'!C91)/('Fórmula'!C91+'Fórmula'!E91+'Fórmula'!G91+'Fórmula'!I91+'Fórmula'!K91))*(INDEX(properties!A$1:CB$87,'Fórmula'!B91,20))+(('Fórmula'!E91)/('Fórmula'!C91+'Fórmula'!E91+'Fórmula'!G91+'Fórmula'!I91+'Fórmula'!K91))*(INDEX(properties!A$1:CB$87,'Fórmula'!D91,20))+(('Fórmula'!G91)/('Fórmula'!C91+'Fórmula'!E91+'Fórmula'!G91+'Fórmula'!I91+'Fórmula'!K91))*(INDEX(properties!A$1:CB$87,'Fórmula'!F91,20))+(('Fórmula'!I91)/('Fórmula'!C91+'Fórmula'!E91+'Fórmula'!G91+'Fórmula'!I91+'Fórmula'!K91))*(INDEX(properties!A$1:CB$87,'Fórmula'!H91,20))+(('Fórmula'!K91)/('Fórmula'!C91+'Fórmula'!E91+'Fórmula'!G91+'Fórmula'!I91+'Fórmula'!K91))*(INDEX(properties!A$1:CB$87,'Fórmula'!J91,20))</f>
        <v>4.4</v>
      </c>
      <c r="BQ91" s="112">
        <f t="array" ref="BQ91">'Fórmula'!C91*(INDEX(properties!A$1:CB$87,'Fórmula'!B91,20))+'Fórmula'!E91*(INDEX(properties!A$1:CB$87,'Fórmula'!D91,20))+'Fórmula'!G91*(INDEX(properties!A$1:CB$87,'Fórmula'!F91,20))+'Fórmula'!I91*(INDEX(properties!A$1:CB$87,'Fórmula'!H91,20))+'Fórmula'!K91*(INDEX(properties!A$1:CB$87,'Fórmula'!J91,20))</f>
        <v>22</v>
      </c>
      <c r="BR91" s="112">
        <f t="array" ref="BR91">VARP(IF(INDEX(properties!A$1:CB$87,'Fórmula'!B91,20)&lt;&gt;"",INDEX(properties!A$1:CB$87,'Fórmula'!B91,20)),IF(INDEX(properties!A$1:CB$87,'Fórmula'!D91,20)&lt;&gt;"",INDEX(properties!A$1:CB$87,'Fórmula'!D91,20)),IF(INDEX(properties!A$1:CB$87,'Fórmula'!F91,20)&lt;&gt;"",INDEX(properties!A$1:CB$87,'Fórmula'!F91,20)),IF(INDEX(properties!A$1:CB$87,'Fórmula'!H91,20)&lt;&gt;"",INDEX(properties!A$1:CB$87,'Fórmula'!H91,20)),IF(INDEX(properties!A$1:CB$87,'Fórmula'!J91,20)&lt;&gt;"",INDEX(properties!A$1:CB$87,'Fórmula'!J91,20)))</f>
        <v>5.44</v>
      </c>
      <c r="BS91" s="112">
        <f t="array" ref="BS91">MAX(INDEX(properties!A$1:CB$87,'Fórmula'!B91,20),INDEX(properties!A$1:CB$87,'Fórmula'!D91,20),INDEX(properties!A$1:CB$87,'Fórmula'!F91,20),INDEX(properties!A$1:CB$87,'Fórmula'!H91,20),INDEX(properties!A$1:CB$87,'Fórmula'!J91,20))</f>
        <v>6</v>
      </c>
      <c r="BT91" s="112">
        <f t="array" ref="BT91">MIN(IF(INDEX(properties!A$1:CB$87,'Fórmula'!B91,20)=0,10^6,INDEX(properties!A$1:CB$87,'Fórmula'!B91,20)),IF(INDEX(properties!A$1:CB$87,'Fórmula'!D91,20)=0,10^6,INDEX(properties!A$1:CB$87,'Fórmula'!D91,20)),IF(INDEX(properties!A$1:CB$87,'Fórmula'!F91,20)=0,10^6,INDEX(properties!A$1:CB$87,'Fórmula'!F91,20)),IF(INDEX(properties!A$1:CB$87,'Fórmula'!H91,20)=0,10^6,INDEX(properties!A$1:CB$87,'Fórmula'!H91,20)),IF(INDEX(properties!A$1:CB$87,'Fórmula'!J91,20)=0,10^6,INDEX(properties!A$1:CB$87,'Fórmula'!J91,20)))</f>
        <v>2</v>
      </c>
      <c r="BU91" s="112">
        <f t="shared" si="12"/>
        <v>4</v>
      </c>
      <c r="BV91" s="113">
        <f t="array" ref="BV91">(('Fórmula'!C91)/('Fórmula'!C91+'Fórmula'!E91+'Fórmula'!G91+'Fórmula'!I91+'Fórmula'!K91))*(INDEX(properties!A$1:CB$87,'Fórmula'!B91,21))+(('Fórmula'!E91)/('Fórmula'!C91+'Fórmula'!E91+'Fórmula'!G91+'Fórmula'!I91+'Fórmula'!K91))*(INDEX(properties!A$1:CB$87,'Fórmula'!D91,21))+(('Fórmula'!G91)/('Fórmula'!C91+'Fórmula'!E91+'Fórmula'!G91+'Fórmula'!I91+'Fórmula'!K91))*(INDEX(properties!A$1:CB$87,'Fórmula'!F91,21))+(('Fórmula'!I91)/('Fórmula'!C91+'Fórmula'!E91+'Fórmula'!G91+'Fórmula'!I91+'Fórmula'!K91))*(INDEX(properties!A$1:CB$87,'Fórmula'!H91,21))+(('Fórmula'!K91)/('Fórmula'!C91+'Fórmula'!E91+'Fórmula'!G91+'Fórmula'!I91+'Fórmula'!K91))*(INDEX(properties!A$1:CB$87,'Fórmula'!J91,21))</f>
        <v>4.8</v>
      </c>
      <c r="BW91" s="113">
        <f t="array" ref="BW91">'Fórmula'!C91*(INDEX(properties!A$1:CB$87,'Fórmula'!B91,21))+'Fórmula'!E91*(INDEX(properties!A$1:CB$87,'Fórmula'!D91,21))+'Fórmula'!G91*(INDEX(properties!A$1:CB$87,'Fórmula'!F91,21))+'Fórmula'!I91*(INDEX(properties!A$1:CB$87,'Fórmula'!H91,21))+'Fórmula'!K91*(INDEX(properties!A$1:CB$87,'Fórmula'!J91,21))</f>
        <v>24</v>
      </c>
      <c r="BX91" s="113">
        <f t="array" ref="BX91">VARP(IF(INDEX(properties!A$1:CB$87,'Fórmula'!B91,21)&lt;&gt;"",INDEX(properties!A$1:CB$87,'Fórmula'!B91,21)),IF(INDEX(properties!A$1:CB$87,'Fórmula'!D91,21)&lt;&gt;"",INDEX(properties!A$1:CB$87,'Fórmula'!D91,21)),IF(INDEX(properties!A$1:CB$87,'Fórmula'!F91,21)&lt;&gt;"",INDEX(properties!A$1:CB$87,'Fórmula'!F91,21)),IF(INDEX(properties!A$1:CB$87,'Fórmula'!H91,21)&lt;&gt;"",INDEX(properties!A$1:CB$87,'Fórmula'!H91,21)),IF(INDEX(properties!A$1:CB$87,'Fórmula'!J91,21)&lt;&gt;"",INDEX(properties!A$1:CB$87,'Fórmula'!J91,21)))</f>
        <v>5.76</v>
      </c>
      <c r="BY91" s="113">
        <f t="array" ref="BY91">MAX(INDEX(properties!A$1:CB$87,'Fórmula'!B91,21),INDEX(properties!A$1:CB$87,'Fórmula'!D91,21),INDEX(properties!A$1:CB$87,'Fórmula'!F91,21),INDEX(properties!A$1:CB$87,'Fórmula'!H91,21),INDEX(properties!A$1:CB$87,'Fórmula'!J91,21))</f>
        <v>6</v>
      </c>
      <c r="BZ91" s="113">
        <f t="array" ref="BZ91">MIN(IF(INDEX(properties!A$1:CB$87,'Fórmula'!B91,21)=0,10^6,INDEX(properties!A$1:CB$87,'Fórmula'!B91,21)),IF(INDEX(properties!A$1:CB$87,'Fórmula'!D91,21)=0,10^6,INDEX(properties!A$1:CB$87,'Fórmula'!D91,21)),IF(INDEX(properties!A$1:CB$87,'Fórmula'!F91,21)=0,10^6,INDEX(properties!A$1:CB$87,'Fórmula'!F91,21)),IF(INDEX(properties!A$1:CB$87,'Fórmula'!H91,21)=0,10^6,INDEX(properties!A$1:CB$87,'Fórmula'!H91,21)),IF(INDEX(properties!A$1:CB$87,'Fórmula'!J91,21)=0,10^6,INDEX(properties!A$1:CB$87,'Fórmula'!J91,21)))</f>
        <v>3</v>
      </c>
      <c r="CA91" s="113">
        <f t="shared" si="13"/>
        <v>3</v>
      </c>
      <c r="CB91" s="114">
        <f t="array" ref="CB91">(('Fórmula'!C91)/('Fórmula'!C91+'Fórmula'!E91+'Fórmula'!G91+'Fórmula'!I91+'Fórmula'!K91))*(INDEX(properties!A$1:CB$87,'Fórmula'!B91,23))+(('Fórmula'!E91)/('Fórmula'!C91+'Fórmula'!E91+'Fórmula'!G91+'Fórmula'!I91+'Fórmula'!K91))*(INDEX(properties!A$1:CB$87,'Fórmula'!D91,23))+(('Fórmula'!G91)/('Fórmula'!C91+'Fórmula'!E91+'Fórmula'!G91+'Fórmula'!I91+'Fórmula'!K91))*(INDEX(properties!A$1:CB$87,'Fórmula'!F91,23))+(('Fórmula'!I91)/('Fórmula'!C91+'Fórmula'!E91+'Fórmula'!G91+'Fórmula'!I91+'Fórmula'!K91))*(INDEX(properties!A$1:CB$87,'Fórmula'!H91,23))+(('Fórmula'!K91)/('Fórmula'!C91+'Fórmula'!E91+'Fórmula'!G91+'Fórmula'!I91+'Fórmula'!K91))*(INDEX(properties!A$1:CB$87,'Fórmula'!J91,23))</f>
        <v>1.2</v>
      </c>
      <c r="CC91" s="114">
        <f t="array" ref="CC91">'Fórmula'!C91*(INDEX(properties!A$1:CB$87,'Fórmula'!B91,23))+'Fórmula'!E91*(INDEX(properties!A$1:CB$87,'Fórmula'!D91,23))+'Fórmula'!G91*(INDEX(properties!A$1:CB$87,'Fórmula'!F91,23))+'Fórmula'!I91*(INDEX(properties!A$1:CB$87,'Fórmula'!H91,23))+'Fórmula'!K91*(INDEX(properties!A$1:CB$87,'Fórmula'!J91,23))</f>
        <v>6</v>
      </c>
      <c r="CD91" s="114">
        <f t="array" ref="CD91">VARP(IF(INDEX(properties!A$1:CB$87,'Fórmula'!B91,23)&lt;&gt;"",INDEX(properties!A$1:CB$87,'Fórmula'!B91,23)),IF(INDEX(properties!A$1:CB$87,'Fórmula'!D91,23)&lt;&gt;"",INDEX(properties!A$1:CB$87,'Fórmula'!D91,23)),IF(INDEX(properties!A$1:CB$87,'Fórmula'!F91,23)&lt;&gt;"",INDEX(properties!A$1:CB$87,'Fórmula'!F91,23)),IF(INDEX(properties!A$1:CB$87,'Fórmula'!H91,23)&lt;&gt;"",INDEX(properties!A$1:CB$87,'Fórmula'!H91,23)),IF(INDEX(properties!A$1:CB$87,'Fórmula'!J91,23)&lt;&gt;"",INDEX(properties!A$1:CB$87,'Fórmula'!J91,23)))</f>
        <v>1.44</v>
      </c>
      <c r="CE91" s="114">
        <f t="array" ref="CE91">MAX(INDEX(properties!A$1:CB$87,'Fórmula'!B91,23),INDEX(properties!A$1:CB$87,'Fórmula'!D91,23),INDEX(properties!A$1:CB$87,'Fórmula'!F91,23),INDEX(properties!A$1:CB$87,'Fórmula'!H91,23),INDEX(properties!A$1:CB$87,'Fórmula'!J91,23))</f>
        <v>3</v>
      </c>
      <c r="CF91" s="114">
        <f t="array" ref="CF91">MIN(IF('Fórmula'!B91=87,10^6,INDEX(properties!A$1:CB$87,'Fórmula'!B91,23)),IF(('Fórmula'!D91)=87,10^6,INDEX(properties!A$1:CB$87,'Fórmula'!D91,23)),IF(('Fórmula'!F91)=87,10^6,INDEX(properties!A$1:CB$87,'Fórmula'!F91,23)),IF(('Fórmula'!H91)=87,10^6,INDEX(properties!A$1:CB$87,'Fórmula'!H91,23)),IF('Fórmula'!J91=87,10^6,INDEX(properties!A$1:CB$87,'Fórmula'!J91,23)))</f>
        <v>0</v>
      </c>
      <c r="CG91" s="114">
        <f t="shared" si="14"/>
        <v>3</v>
      </c>
      <c r="CH91" s="115">
        <f t="array" ref="CH91">(('Fórmula'!C91)/('Fórmula'!C91+'Fórmula'!E91+'Fórmula'!G91+'Fórmula'!I91+'Fórmula'!K91))*(INDEX(properties!A$1:CB$87,'Fórmula'!B91,26))+(('Fórmula'!E91)/('Fórmula'!C91+'Fórmula'!E91+'Fórmula'!G91+'Fórmula'!I91+'Fórmula'!K91))*(INDEX(properties!A$1:CB$87,'Fórmula'!D91,26))+(('Fórmula'!G91)/('Fórmula'!C91+'Fórmula'!E91+'Fórmula'!G91+'Fórmula'!I91+'Fórmula'!K91))*(INDEX(properties!A$1:CB$87,'Fórmula'!F91,26))+(('Fórmula'!I91)/('Fórmula'!C91+'Fórmula'!E91+'Fórmula'!G91+'Fórmula'!I91+'Fórmula'!K91))*(INDEX(properties!A$1:CB$87,'Fórmula'!H91,26))+(('Fórmula'!K91)/('Fórmula'!C91+'Fórmula'!E91+'Fórmula'!G91+'Fórmula'!I91+'Fórmula'!K91))*(INDEX(properties!A$1:CB$87,'Fórmula'!J91,26))</f>
        <v>10.63078</v>
      </c>
      <c r="CI91" s="115">
        <f t="array" ref="CI91">'Fórmula'!C91*(INDEX(properties!A$1:CB$87,'Fórmula'!B91,26))+'Fórmula'!E91*(INDEX(properties!A$1:CB$87,'Fórmula'!D91,26))+'Fórmula'!G91*(INDEX(properties!A$1:CB$87,'Fórmula'!F91,26))+'Fórmula'!I91*(INDEX(properties!A$1:CB$87,'Fórmula'!H91,26))+'Fórmula'!K91*(INDEX(properties!A$1:CB$87,'Fórmula'!J91,26))</f>
        <v>53.1539</v>
      </c>
      <c r="CJ91" s="115">
        <f t="array" ref="CJ91">VARP(IF(INDEX(properties!A$1:CB$87,'Fórmula'!B91,26)&lt;&gt;"",INDEX(properties!A$1:CB$87,'Fórmula'!B91,26)),IF(INDEX(properties!A$1:CB$87,'Fórmula'!D91,26)&lt;&gt;"",INDEX(properties!A$1:CB$87,'Fórmula'!D91,26)),IF(INDEX(properties!A$1:CB$87,'Fórmula'!F91,26)&lt;&gt;"",INDEX(properties!A$1:CB$87,'Fórmula'!F91,26)),IF(INDEX(properties!A$1:CB$87,'Fórmula'!H91,26)&lt;&gt;"",INDEX(properties!A$1:CB$87,'Fórmula'!H91,26)),IF(INDEX(properties!A$1:CB$87,'Fórmula'!J91,26)&lt;&gt;"",INDEX(properties!A$1:CB$87,'Fórmula'!J91,26)))</f>
        <v>29.02374271</v>
      </c>
      <c r="CK91" s="116">
        <f t="array" ref="CK91">MAX(INDEX(properties!A$1:CB$87,'Fórmula'!B91,26),INDEX(properties!A$1:CB$87,'Fórmula'!D91,26),INDEX(properties!A$1:CB$87,'Fórmula'!F91,26),INDEX(properties!A$1:CB$87,'Fórmula'!H91,26),INDEX(properties!A$1:CB$87,'Fórmula'!J91,26))</f>
        <v>13.6181</v>
      </c>
      <c r="CL91" s="116">
        <f t="array" ref="CL91">MIN(IF(INDEX(properties!A$1:CB$87,'Fórmula'!B91,26)=0,10^6,INDEX(properties!A$1:CB$87,'Fórmula'!B91,26)),IF(INDEX(properties!A$1:CB$87,'Fórmula'!D91,26)=0,10^6,INDEX(properties!A$1:CB$87,'Fórmula'!D91,26)),IF(INDEX(properties!A$1:CB$87,'Fórmula'!F91,26)=0,10^6,INDEX(properties!A$1:CB$87,'Fórmula'!F91,26)),IF(INDEX(properties!A$1:CB$87,'Fórmula'!H91,26)=0,10^6,INDEX(properties!A$1:CB$87,'Fórmula'!H91,26)),IF(INDEX(properties!A$1:CB$87,'Fórmula'!J91,26)=0,10^6,INDEX(properties!A$1:CB$87,'Fórmula'!J91,26)))</f>
        <v>6.1498</v>
      </c>
      <c r="CM91" s="115">
        <f t="shared" si="15"/>
        <v>7.4683</v>
      </c>
      <c r="CN91" s="117">
        <f t="array" ref="CN91">(('Fórmula'!C91)/('Fórmula'!C91+'Fórmula'!E91+'Fórmula'!G91+'Fórmula'!I91+'Fórmula'!K91))*(INDEX(properties!A$1:CB$87,'Fórmula'!B91,30))+(('Fórmula'!E91)/('Fórmula'!C91+'Fórmula'!E91+'Fórmula'!G91+'Fórmula'!I91+'Fórmula'!K91))*(INDEX(properties!A$1:CB$87,'Fórmula'!D91,30))+(('Fórmula'!G91)/('Fórmula'!C91+'Fórmula'!E91+'Fórmula'!G91+'Fórmula'!I91+'Fórmula'!K91))*(INDEX(properties!A$1:CB$87,'Fórmula'!F91,30))+(('Fórmula'!I91)/('Fórmula'!C91+'Fórmula'!E91+'Fórmula'!G91+'Fórmula'!I91+'Fórmula'!K91))*(INDEX(properties!A$1:CB$87,'Fórmula'!H91,30))+(('Fórmula'!K91)/('Fórmula'!C91+'Fórmula'!E91+'Fórmula'!G91+'Fórmula'!I91+'Fórmula'!K91))*(INDEX(properties!A$1:CB$87,'Fórmula'!J91,30))</f>
        <v>2.544</v>
      </c>
      <c r="CO91" s="117">
        <f t="array" ref="CO91">'Fórmula'!C91*(INDEX(properties!A$1:CB$87,'Fórmula'!B91,30))+'Fórmula'!E91*(INDEX(properties!A$1:CB$87,'Fórmula'!D91,30))+'Fórmula'!G91*(INDEX(properties!A$1:CB$87,'Fórmula'!F91,30))+'Fórmula'!I91*(INDEX(properties!A$1:CB$87,'Fórmula'!H91,30))+'Fórmula'!K91*(INDEX(properties!A$1:CB$87,'Fórmula'!J91,30))</f>
        <v>12.72</v>
      </c>
      <c r="CP91" s="117">
        <f t="array" ref="CP91">VARP(IF(INDEX(properties!A$1:CB$87,'Fórmula'!B91,30)&lt;&gt;"",INDEX(properties!A$1:CB$87,'Fórmula'!B91,30)),IF(INDEX(properties!A$1:CB$87,'Fórmula'!D91,30)&lt;&gt;"",INDEX(properties!A$1:CB$87,'Fórmula'!D91,30)),IF(INDEX(properties!A$1:CB$87,'Fórmula'!F91,30)&lt;&gt;"",INDEX(properties!A$1:CB$87,'Fórmula'!F91,30)),IF(INDEX(properties!A$1:CB$87,'Fórmula'!H91,30)&lt;&gt;"",INDEX(properties!A$1:CB$87,'Fórmula'!H91,30)),IF(INDEX(properties!A$1:CB$87,'Fórmula'!J91,30)&lt;&gt;"",INDEX(properties!A$1:CB$87,'Fórmula'!J91,30)))</f>
        <v>1.793536</v>
      </c>
      <c r="CQ91" s="117">
        <f t="array" ref="CQ91">MAX(INDEX(properties!A$1:CB$87,'Fórmula'!B91,30),INDEX(properties!A$1:CB$87,'Fórmula'!D91,30),INDEX(properties!A$1:CB$87,'Fórmula'!F91,30),INDEX(properties!A$1:CB$87,'Fórmula'!H91,30),INDEX(properties!A$1:CB$87,'Fórmula'!J91,30))</f>
        <v>3.44</v>
      </c>
      <c r="CR91" s="117">
        <f t="array" ref="CR91">MIN(IF(INDEX(properties!A$1:CB$87,'Fórmula'!B91,30)=0,10^6,INDEX(properties!A$1:CB$87,'Fórmula'!B91,30)),IF(INDEX(properties!A$1:CB$87,'Fórmula'!D91,30)=0,10^6,INDEX(properties!A$1:CB$87,'Fórmula'!D91,30)),IF(INDEX(properties!A$1:CB$87,'Fórmula'!F91,30)=0,10^6,INDEX(properties!A$1:CB$87,'Fórmula'!F91,30)),IF(INDEX(properties!A$1:CB$87,'Fórmula'!H91,30)=0,10^6,INDEX(properties!A$1:CB$87,'Fórmula'!H91,30)),IF(INDEX(properties!A$1:CB$87,'Fórmula'!J91,30)=0,10^6,INDEX(properties!A$1:CB$87,'Fórmula'!J91,30)))</f>
        <v>1.2</v>
      </c>
      <c r="CS91" s="117">
        <f t="shared" si="16"/>
        <v>2.24</v>
      </c>
      <c r="CT91" s="118">
        <f t="array" ref="CT91">(('Fórmula'!C91)/('Fórmula'!C91+'Fórmula'!E91+'Fórmula'!G91+'Fórmula'!I91+'Fórmula'!K91))*(INDEX(properties!A$1:CB$87,'Fórmula'!B91,31))+(('Fórmula'!E91)/('Fórmula'!C91+'Fórmula'!E91+'Fórmula'!G91+'Fórmula'!I91+'Fórmula'!K91))*(INDEX(properties!A$1:CB$87,'Fórmula'!D91,31))+(('Fórmula'!G91)/('Fórmula'!C91+'Fórmula'!E91+'Fórmula'!G91+'Fórmula'!I91+'Fórmula'!K91))*(INDEX(properties!A$1:CB$87,'Fórmula'!F91,31))+(('Fórmula'!I91)/('Fórmula'!C91+'Fórmula'!E91+'Fórmula'!G91+'Fórmula'!I91+'Fórmula'!K91))*(INDEX(properties!A$1:CB$87,'Fórmula'!H91,31))+(('Fórmula'!K91)/('Fórmula'!C91+'Fórmula'!E91+'Fórmula'!G91+'Fórmula'!I91+'Fórmula'!K91))*(INDEX(properties!A$1:CB$87,'Fórmula'!J91,31))</f>
        <v>2.432</v>
      </c>
      <c r="CU91" s="118">
        <f t="array" ref="CU91">'Fórmula'!C91*(INDEX(properties!A$1:CB$87,'Fórmula'!B91,31))+'Fórmula'!E91*(INDEX(properties!A$1:CB$87,'Fórmula'!D91,31))+'Fórmula'!G91*(INDEX(properties!A$1:CB$87,'Fórmula'!F91,31))+'Fórmula'!I91*(INDEX(properties!A$1:CB$87,'Fórmula'!H91,31))+'Fórmula'!K91*(INDEX(properties!A$1:CB$87,'Fórmula'!J91,31))</f>
        <v>12.16</v>
      </c>
      <c r="CV91" s="118">
        <f t="array" ref="CV91">VARP(IF(INDEX(properties!A$1:CB$87,'Fórmula'!B91,31)&lt;&gt;"",INDEX(properties!A$1:CB$87,'Fórmula'!B91,31)),IF(INDEX(properties!A$1:CB$87,'Fórmula'!D91,31)&lt;&gt;"",INDEX(properties!A$1:CB$87,'Fórmula'!D91,31)),IF(INDEX(properties!A$1:CB$87,'Fórmula'!F91,31)&lt;&gt;"",INDEX(properties!A$1:CB$87,'Fórmula'!F91,31)),IF(INDEX(properties!A$1:CB$87,'Fórmula'!H91,31)&lt;&gt;"",INDEX(properties!A$1:CB$87,'Fórmula'!H91,31)),IF(INDEX(properties!A$1:CB$87,'Fórmula'!J91,31)&lt;&gt;"",INDEX(properties!A$1:CB$87,'Fórmula'!J91,31)))</f>
        <v>1.665024</v>
      </c>
      <c r="CW91" s="118">
        <f t="array" ref="CW91">MAX(INDEX(properties!A$1:CB$87,'Fórmula'!B91,31),INDEX(properties!A$1:CB$87,'Fórmula'!D91,31),INDEX(properties!A$1:CB$87,'Fórmula'!F91,31),INDEX(properties!A$1:CB$87,'Fórmula'!H91,31),INDEX(properties!A$1:CB$87,'Fórmula'!J91,31))</f>
        <v>3.32</v>
      </c>
      <c r="CX91" s="118">
        <f t="array" ref="CX91">MIN(IF(INDEX(properties!A$1:CB$87,'Fórmula'!B91,31)=0,10^6,INDEX(properties!A$1:CB$87,'Fórmula'!B91,31)),IF(INDEX(properties!A$1:CB$87,'Fórmula'!D91,31)=0,10^6,INDEX(properties!A$1:CB$87,'Fórmula'!D91,31)),IF(INDEX(properties!A$1:CB$87,'Fórmula'!F91,31)=0,10^6,INDEX(properties!A$1:CB$87,'Fórmula'!F91,31)),IF(INDEX(properties!A$1:CB$87,'Fórmula'!H91,31)=0,10^6,INDEX(properties!A$1:CB$87,'Fórmula'!H91,31)),IF(INDEX(properties!A$1:CB$87,'Fórmula'!J91,31)=0,10^6,INDEX(properties!A$1:CB$87,'Fórmula'!J91,31)))</f>
        <v>1.1</v>
      </c>
      <c r="CY91" s="118">
        <f t="shared" si="17"/>
        <v>2.22</v>
      </c>
      <c r="CZ91" s="119">
        <f t="array" ref="CZ91">(('Fórmula'!C91)/('Fórmula'!C91+'Fórmula'!E91+'Fórmula'!G91+'Fórmula'!I91+'Fórmula'!K91))*(INDEX(properties!A$1:CB$87,'Fórmula'!B91,32))+(('Fórmula'!E91)/('Fórmula'!C91+'Fórmula'!E91+'Fórmula'!G91+'Fórmula'!I91+'Fórmula'!K91))*(INDEX(properties!A$1:CB$87,'Fórmula'!D91,32))+(('Fórmula'!G91)/('Fórmula'!C91+'Fórmula'!E91+'Fórmula'!G91+'Fórmula'!I91+'Fórmula'!K91))*(INDEX(properties!A$1:CB$87,'Fórmula'!F91,32))+(('Fórmula'!I91)/('Fórmula'!C91+'Fórmula'!E91+'Fórmula'!G91+'Fórmula'!I91+'Fórmula'!K91))*(INDEX(properties!A$1:CB$87,'Fórmula'!H91,32))+(('Fórmula'!K91)/('Fórmula'!C91+'Fórmula'!E91+'Fórmula'!G91+'Fórmula'!I91+'Fórmula'!K91))*(INDEX(properties!A$1:CB$87,'Fórmula'!J91,32))</f>
        <v>5.764</v>
      </c>
      <c r="DA91" s="119">
        <f t="array" ref="DA91">'Fórmula'!C91*(INDEX(properties!A$1:CB$87,'Fórmula'!B91,32))+'Fórmula'!E91*(INDEX(properties!A$1:CB$87,'Fórmula'!D91,32))+'Fórmula'!G91*(INDEX(properties!A$1:CB$87,'Fórmula'!F91,32))+'Fórmula'!I91*(INDEX(properties!A$1:CB$87,'Fórmula'!H91,32))+'Fórmula'!K91*(INDEX(properties!A$1:CB$87,'Fórmula'!J91,32))</f>
        <v>28.82</v>
      </c>
      <c r="DB91" s="119">
        <f t="array" ref="DB91">VARP(IF(INDEX(properties!A$1:CB$87,'Fórmula'!B91,32)&lt;&gt;"",INDEX(properties!A$1:CB$87,'Fórmula'!B91,32)),IF(INDEX(properties!A$1:CB$87,'Fórmula'!D91,32)&lt;&gt;"",INDEX(properties!A$1:CB$87,'Fórmula'!D91,32)),IF(INDEX(properties!A$1:CB$87,'Fórmula'!F91,32)&lt;&gt;"",INDEX(properties!A$1:CB$87,'Fórmula'!F91,32)),IF(INDEX(properties!A$1:CB$87,'Fórmula'!H91,32)&lt;&gt;"",INDEX(properties!A$1:CB$87,'Fórmula'!H91,32)),IF(INDEX(properties!A$1:CB$87,'Fórmula'!J91,32)&lt;&gt;"",INDEX(properties!A$1:CB$87,'Fórmula'!J91,32)))</f>
        <v>8.763936</v>
      </c>
      <c r="DC91" s="119">
        <f t="array" ref="DC91">MAX(INDEX(properties!A$1:CB$87,'Fórmula'!B91,32),INDEX(properties!A$1:CB$87,'Fórmula'!D91,32),INDEX(properties!A$1:CB$87,'Fórmula'!F91,32),INDEX(properties!A$1:CB$87,'Fórmula'!H91,32),INDEX(properties!A$1:CB$87,'Fórmula'!J91,32))</f>
        <v>7.54</v>
      </c>
      <c r="DD91" s="119">
        <f t="array" ref="DD91">MIN(IF(INDEX(properties!A$1:CB$87,'Fórmula'!B91,32)=0,10^6,INDEX(properties!A$1:CB$87,'Fórmula'!B91,32)),IF(INDEX(properties!A$1:CB$87,'Fórmula'!D91,32)=0,10^6,INDEX(properties!A$1:CB$87,'Fórmula'!D91,32)),IF(INDEX(properties!A$1:CB$87,'Fórmula'!F91,32)=0,10^6,INDEX(properties!A$1:CB$87,'Fórmula'!F91,32)),IF(INDEX(properties!A$1:CB$87,'Fórmula'!H91,32)=0,10^6,INDEX(properties!A$1:CB$87,'Fórmula'!H91,32)),IF(INDEX(properties!A$1:CB$87,'Fórmula'!J91,32)=0,10^6,INDEX(properties!A$1:CB$87,'Fórmula'!J91,32)))</f>
        <v>3.1</v>
      </c>
      <c r="DE91" s="119">
        <f t="shared" si="18"/>
        <v>4.44</v>
      </c>
      <c r="DF91" s="104">
        <f t="array" ref="DF91">(('Fórmula'!C91)/('Fórmula'!C91+'Fórmula'!E91+'Fórmula'!G91+'Fórmula'!I91+'Fórmula'!K91))*(INDEX(properties!A$1:CB$87,'Fórmula'!B91,34))+(('Fórmula'!E91)/('Fórmula'!C91+'Fórmula'!E91+'Fórmula'!G91+'Fórmula'!I91+'Fórmula'!K91))*(INDEX(properties!A$1:CB$87,'Fórmula'!D91,34))+(('Fórmula'!G91)/('Fórmula'!C91+'Fórmula'!E91+'Fórmula'!G91+'Fórmula'!I91+'Fórmula'!K91))*(INDEX(properties!A$1:CB$87,'Fórmula'!F91,34))+(('Fórmula'!I91)/('Fórmula'!C91+'Fórmula'!E91+'Fórmula'!G91+'Fórmula'!I91+'Fórmula'!K91))*(INDEX(properties!A$1:CB$87,'Fórmula'!H91,34))+(('Fórmula'!K91)/('Fórmula'!C91+'Fórmula'!E91+'Fórmula'!G91+'Fórmula'!I91+'Fórmula'!K91))*(INDEX(properties!A$1:CB$87,'Fórmula'!J91,34))</f>
        <v>2.602</v>
      </c>
      <c r="DG91" s="104">
        <f t="array" ref="DG91">'Fórmula'!C91*(INDEX(properties!A$1:CB$87,'Fórmula'!B91,34))+'Fórmula'!E91*(INDEX(properties!A$1:CB$87,'Fórmula'!D91,34))+'Fórmula'!G91*(INDEX(properties!A$1:CB$87,'Fórmula'!F91,34))+'Fórmula'!I91*(INDEX(properties!A$1:CB$87,'Fórmula'!H91,34))+'Fórmula'!K91*(INDEX(properties!A$1:CB$87,'Fórmula'!J91,34))</f>
        <v>13.01</v>
      </c>
      <c r="DH91" s="104">
        <f t="array" ref="DH91">VARP(IF(INDEX(properties!A$1:CB$87,'Fórmula'!B91,34)&lt;&gt;"",INDEX(properties!A$1:CB$87,'Fórmula'!B91,34)),IF(INDEX(properties!A$1:CB$87,'Fórmula'!D91,34)&lt;&gt;"",INDEX(properties!A$1:CB$87,'Fórmula'!D91,34)),IF(INDEX(properties!A$1:CB$87,'Fórmula'!F91,34)&lt;&gt;"",INDEX(properties!A$1:CB$87,'Fórmula'!F91,34)),IF(INDEX(properties!A$1:CB$87,'Fórmula'!H91,34)&lt;&gt;"",INDEX(properties!A$1:CB$87,'Fórmula'!H91,34)),IF(INDEX(properties!A$1:CB$87,'Fórmula'!J91,34)&lt;&gt;"",INDEX(properties!A$1:CB$87,'Fórmula'!J91,34)))</f>
        <v>1.96044</v>
      </c>
      <c r="DI91" s="104">
        <f t="array" ref="DI91">MAX(INDEX(properties!A$1:CB$87,'Fórmula'!B91,34),INDEX(properties!A$1:CB$87,'Fórmula'!D91,34),INDEX(properties!A$1:CB$87,'Fórmula'!F91,34),INDEX(properties!A$1:CB$87,'Fórmula'!H91,34),INDEX(properties!A$1:CB$87,'Fórmula'!J91,34))</f>
        <v>3.61</v>
      </c>
      <c r="DJ91" s="104">
        <f t="array" ref="DJ91">MIN(IF(INDEX(properties!A$1:CB$87,'Fórmula'!B91,34)=0,10^6,INDEX(properties!A$1:CB$87,'Fórmula'!B91,34)),IF(INDEX(properties!A$1:CB$87,'Fórmula'!D91,34)=0,10^6,INDEX(properties!A$1:CB$87,'Fórmula'!D91,34)),IF(INDEX(properties!A$1:CB$87,'Fórmula'!F91,34)=0,10^6,INDEX(properties!A$1:CB$87,'Fórmula'!F91,34)),IF(INDEX(properties!A$1:CB$87,'Fórmula'!H91,34)=0,10^6,INDEX(properties!A$1:CB$87,'Fórmula'!H91,34)),IF(INDEX(properties!A$1:CB$87,'Fórmula'!J91,34)=0,10^6,INDEX(properties!A$1:CB$87,'Fórmula'!J91,34)))</f>
        <v>1.09</v>
      </c>
      <c r="DK91" s="104">
        <f t="shared" si="19"/>
        <v>2.52</v>
      </c>
      <c r="DL91" s="105" t="str">
        <f t="array" ref="DL91">(('Fórmula'!C91)/('Fórmula'!C91+'Fórmula'!E91+'Fórmula'!G91+'Fórmula'!I91+'Fórmula'!K91))*(INDEX(properties!A$1:CB$87,'Fórmula'!B91,37))+(('Fórmula'!E91)/('Fórmula'!C91+'Fórmula'!E91+'Fórmula'!G91+'Fórmula'!I91+'Fórmula'!K91))*(INDEX(properties!A$1:CB$87,'Fórmula'!D91,37))+(('Fórmula'!G91)/('Fórmula'!C91+'Fórmula'!E91+'Fórmula'!G91+'Fórmula'!I91+'Fórmula'!K91))*(INDEX(properties!A$1:CB$87,'Fórmula'!F91,37))+(('Fórmula'!I91)/('Fórmula'!C91+'Fórmula'!E91+'Fórmula'!G91+'Fórmula'!I91+'Fórmula'!K91))*(INDEX(properties!A$1:CB$87,'Fórmula'!H91,37))+(('Fórmula'!K91)/('Fórmula'!C91+'Fórmula'!E91+'Fórmula'!G91+'Fórmula'!I91+'Fórmula'!K91))*(INDEX(properties!A$1:CB$87,'Fórmula'!J91,37))</f>
        <v>#VALUE!</v>
      </c>
      <c r="DM91" s="105" t="str">
        <f t="array" ref="DM91">'Fórmula'!C91*(INDEX(properties!A$1:CB$87,'Fórmula'!B91,37))+'Fórmula'!E91*(INDEX(properties!A$1:CB$87,'Fórmula'!D91,37))+'Fórmula'!G91*(INDEX(properties!A$1:CB$87,'Fórmula'!F91,37))+'Fórmula'!I91*(INDEX(properties!A$1:CB$87,'Fórmula'!H91,37))+'Fórmula'!K91*(INDEX(properties!A$1:CB$87,'Fórmula'!J91,37))</f>
        <v>#VALUE!</v>
      </c>
      <c r="DN91" s="105">
        <f t="array" ref="DN91">VARP(IF(INDEX(properties!A$1:CB$87,'Fórmula'!B91,37)&lt;&gt;"",INDEX(properties!A$1:CB$87,'Fórmula'!B91,37)),IF(INDEX(properties!A$1:CB$87,'Fórmula'!D91,37)&lt;&gt;"",INDEX(properties!A$1:CB$87,'Fórmula'!D91,37)),IF(INDEX(properties!A$1:CB$87,'Fórmula'!F91,37)&lt;&gt;"",INDEX(properties!A$1:CB$87,'Fórmula'!F91,37)),IF(INDEX(properties!A$1:CB$87,'Fórmula'!H91,37)&lt;&gt;"",INDEX(properties!A$1:CB$87,'Fórmula'!H91,37)),IF(INDEX(properties!A$1:CB$87,'Fórmula'!J91,37)&lt;&gt;"",INDEX(properties!A$1:CB$87,'Fórmula'!J91,37)))</f>
        <v>2.23171875</v>
      </c>
      <c r="DO91" s="105">
        <f t="array" ref="DO91">MAX(INDEX(properties!A$1:CB$87,'Fórmula'!B91,37),INDEX(properties!A$1:CB$87,'Fórmula'!D91,37),INDEX(properties!A$1:CB$87,'Fórmula'!F91,37),INDEX(properties!A$1:CB$87,'Fórmula'!H91,37),INDEX(properties!A$1:CB$87,'Fórmula'!J91,37))</f>
        <v>3.45</v>
      </c>
      <c r="DP91" s="105">
        <f t="array" ref="DP91">MIN(IF(INDEX(properties!A$1:CB$87,'Fórmula'!B91,37)=0,10^6,INDEX(properties!A$1:CB$87,'Fórmula'!B91,37)),IF(INDEX(properties!A$1:CB$87,'Fórmula'!D91,37)=0,10^6,INDEX(properties!A$1:CB$87,'Fórmula'!D91,37)),IF(INDEX(properties!A$1:CB$87,'Fórmula'!F91,37)=0,10^6,INDEX(properties!A$1:CB$87,'Fórmula'!F91,37)),IF(INDEX(properties!A$1:CB$87,'Fórmula'!H91,37)=0,10^6,INDEX(properties!A$1:CB$87,'Fórmula'!H91,37)),IF(INDEX(properties!A$1:CB$87,'Fórmula'!J91,37)=0,10^6,INDEX(properties!A$1:CB$87,'Fórmula'!J91,37)))</f>
        <v>3.45</v>
      </c>
      <c r="DQ91" s="105">
        <f t="shared" si="20"/>
        <v>0</v>
      </c>
      <c r="DR91" s="109">
        <f t="array" ref="DR91">(('Fórmula'!C91)/('Fórmula'!C91+'Fórmula'!E91+'Fórmula'!G91+'Fórmula'!I91+'Fórmula'!K91))*(INDEX(properties!A$1:CB$87,'Fórmula'!B91,39))+(('Fórmula'!E91)/('Fórmula'!C91+'Fórmula'!E91+'Fórmula'!G91+'Fórmula'!I91+'Fórmula'!K91))*(INDEX(properties!A$1:CB$87,'Fórmula'!D91,39))+(('Fórmula'!G91)/('Fórmula'!C91+'Fórmula'!E91+'Fórmula'!G91+'Fórmula'!I91+'Fórmula'!K91))*(INDEX(properties!A$1:CB$87,'Fórmula'!F91,39))+(('Fórmula'!I91)/('Fórmula'!C91+'Fórmula'!E91+'Fórmula'!G91+'Fórmula'!I91+'Fórmula'!K91))*(INDEX(properties!A$1:CB$87,'Fórmula'!H91,39))+(('Fórmula'!K91)/('Fórmula'!C91+'Fórmula'!E91+'Fórmula'!G91+'Fórmula'!I91+'Fórmula'!K91))*(INDEX(properties!A$1:CB$87,'Fórmula'!J91,39))</f>
        <v>1.22</v>
      </c>
      <c r="DS91" s="109">
        <f t="array" ref="DS91">'Fórmula'!C91*(INDEX(properties!A$1:CB$87,'Fórmula'!B91,39))+'Fórmula'!E91*(INDEX(properties!A$1:CB$87,'Fórmula'!D91,39))+'Fórmula'!G91*(INDEX(properties!A$1:CB$87,'Fórmula'!F91,39))+'Fórmula'!I91*(INDEX(properties!A$1:CB$87,'Fórmula'!H91,39))+'Fórmula'!K91*(INDEX(properties!A$1:CB$87,'Fórmula'!J91,39))</f>
        <v>6.1</v>
      </c>
      <c r="DT91" s="109">
        <f t="array" ref="DT91">VARP(IF(INDEX(properties!A$1:CB$87,'Fórmula'!B91,39)&lt;&gt;"",INDEX(properties!A$1:CB$87,'Fórmula'!B91,39)),IF(INDEX(properties!A$1:CB$87,'Fórmula'!D91,39)&lt;&gt;"",INDEX(properties!A$1:CB$87,'Fórmula'!D91,39)),IF(INDEX(properties!A$1:CB$87,'Fórmula'!F91,39)&lt;&gt;"",INDEX(properties!A$1:CB$87,'Fórmula'!F91,39)),IF(INDEX(properties!A$1:CB$87,'Fórmula'!H91,39)&lt;&gt;"",INDEX(properties!A$1:CB$87,'Fórmula'!H91,39)),IF(INDEX(properties!A$1:CB$87,'Fórmula'!J91,39)&lt;&gt;"",INDEX(properties!A$1:CB$87,'Fórmula'!J91,39)))</f>
        <v>0.816016</v>
      </c>
      <c r="DU91" s="120">
        <f t="array" ref="DU91">MAX(INDEX(properties!A$1:CB$87,'Fórmula'!B91,39),INDEX(properties!A$1:CB$87,'Fórmula'!D91,39),INDEX(properties!A$1:CB$87,'Fórmula'!F91,39),INDEX(properties!A$1:CB$87,'Fórmula'!H91,39),INDEX(properties!A$1:CB$87,'Fórmula'!J91,39))</f>
        <v>2.33</v>
      </c>
      <c r="DV91" s="120">
        <f t="array" ref="DV91">MIN(IF(INDEX(properties!A$1:CB$87,'Fórmula'!B91,39)=0,10^6,INDEX(properties!A$1:CB$87,'Fórmula'!B91,39)),IF(INDEX(properties!A$1:CB$87,'Fórmula'!D91,39)=0,10^6,INDEX(properties!A$1:CB$87,'Fórmula'!D91,39)),IF(INDEX(properties!A$1:CB$87,'Fórmula'!F91,39)=0,10^6,INDEX(properties!A$1:CB$87,'Fórmula'!F91,39)),IF(INDEX(properties!A$1:CB$87,'Fórmula'!H91,39)=0,10^6,INDEX(properties!A$1:CB$87,'Fórmula'!H91,39)),IF(INDEX(properties!A$1:CB$87,'Fórmula'!J91,39)=0,10^6,INDEX(properties!A$1:CB$87,'Fórmula'!J91,39)))</f>
        <v>0.48</v>
      </c>
      <c r="DW91" s="109">
        <f t="shared" si="21"/>
        <v>1.85</v>
      </c>
      <c r="DX91" s="110">
        <f t="array" ref="DX91">(('Fórmula'!C91)/('Fórmula'!C91+'Fórmula'!E91+'Fórmula'!G91+'Fórmula'!I91+'Fórmula'!K91))*(INDEX(properties!A$1:CB$87,'Fórmula'!B91,40))+(('Fórmula'!E91)/('Fórmula'!C91+'Fórmula'!E91+'Fórmula'!G91+'Fórmula'!I91+'Fórmula'!K91))*(INDEX(properties!A$1:CB$87,'Fórmula'!D91,40))+(('Fórmula'!G91)/('Fórmula'!C91+'Fórmula'!E91+'Fórmula'!G91+'Fórmula'!I91+'Fórmula'!K91))*(INDEX(properties!A$1:CB$87,'Fórmula'!F91,40))+(('Fórmula'!I91)/('Fórmula'!C91+'Fórmula'!E91+'Fórmula'!G91+'Fórmula'!I91+'Fórmula'!K91))*(INDEX(properties!A$1:CB$87,'Fórmula'!H91,40))+(('Fórmula'!K91)/('Fórmula'!C91+'Fórmula'!E91+'Fórmula'!G91+'Fórmula'!I91+'Fórmula'!K91))*(INDEX(properties!A$1:CB$87,'Fórmula'!J91,40))</f>
        <v>1.082</v>
      </c>
      <c r="DY91" s="110">
        <f t="array" ref="DY91">'Fórmula'!C91*(INDEX(properties!A$1:CB$87,'Fórmula'!B91,40))+'Fórmula'!E91*(INDEX(properties!A$1:CB$87,'Fórmula'!D91,40))+'Fórmula'!G91*(INDEX(properties!A$1:CB$87,'Fórmula'!F91,40))+'Fórmula'!I91*(INDEX(properties!A$1:CB$87,'Fórmula'!H91,40))+'Fórmula'!K91*(INDEX(properties!A$1:CB$87,'Fórmula'!J91,40))</f>
        <v>5.41</v>
      </c>
      <c r="DZ91" s="110">
        <f t="array" ref="DZ91">VARP(IF(INDEX(properties!A$1:CB$87,'Fórmula'!B91,40)&lt;&gt;"",INDEX(properties!A$1:CB$87,'Fórmula'!B91,40)),IF(INDEX(properties!A$1:CB$87,'Fórmula'!D91,40)&lt;&gt;"",INDEX(properties!A$1:CB$87,'Fórmula'!D91,40)),IF(INDEX(properties!A$1:CB$87,'Fórmula'!F91,40)&lt;&gt;"",INDEX(properties!A$1:CB$87,'Fórmula'!F91,40)),IF(INDEX(properties!A$1:CB$87,'Fórmula'!H91,40)&lt;&gt;"",INDEX(properties!A$1:CB$87,'Fórmula'!H91,40)),IF(INDEX(properties!A$1:CB$87,'Fórmula'!J91,40)&lt;&gt;"",INDEX(properties!A$1:CB$87,'Fórmula'!J91,40)))</f>
        <v>0.405976</v>
      </c>
      <c r="EA91" s="121">
        <f t="array" ref="EA91">MAX(INDEX(properties!A$1:CB$87,'Fórmula'!B91,40),INDEX(properties!A$1:CB$87,'Fórmula'!D91,40),INDEX(properties!A$1:CB$87,'Fórmula'!F91,40),INDEX(properties!A$1:CB$87,'Fórmula'!H91,40),INDEX(properties!A$1:CB$87,'Fórmula'!J91,40))</f>
        <v>1.61</v>
      </c>
      <c r="EB91" s="121">
        <f t="array" ref="EB91">MIN(IF(INDEX(properties!A$1:CB$87,'Fórmula'!B91,40)=0,10^6,INDEX(properties!A$1:CB$87,'Fórmula'!B91,40)),IF(INDEX(properties!A$1:CB$87,'Fórmula'!D91,40)=0,10^6,INDEX(properties!A$1:CB$87,'Fórmula'!D91,40)),IF(INDEX(properties!A$1:CB$87,'Fórmula'!F91,40)=0,10^6,INDEX(properties!A$1:CB$87,'Fórmula'!F91,40)),IF(INDEX(properties!A$1:CB$87,'Fórmula'!H91,40)=0,10^6,INDEX(properties!A$1:CB$87,'Fórmula'!H91,40)),IF(INDEX(properties!A$1:CB$87,'Fórmula'!J91,40)=0,10^6,INDEX(properties!A$1:CB$87,'Fórmula'!J91,40)))</f>
        <v>0.73</v>
      </c>
      <c r="EC91" s="110">
        <f t="shared" si="22"/>
        <v>0.88</v>
      </c>
      <c r="ED91" s="111">
        <f t="array" ref="ED91">(('Fórmula'!C91)/('Fórmula'!C91+'Fórmula'!E91+'Fórmula'!G91+'Fórmula'!I91+'Fórmula'!K91))*(INDEX(properties!A$1:CB$87,'Fórmula'!B91,41))+(('Fórmula'!E91)/('Fórmula'!C91+'Fórmula'!E91+'Fórmula'!G91+'Fórmula'!I91+'Fórmula'!K91))*(INDEX(properties!A$1:CB$87,'Fórmula'!D91,41))+(('Fórmula'!G91)/('Fórmula'!C91+'Fórmula'!E91+'Fórmula'!G91+'Fórmula'!I91+'Fórmula'!K91))*(INDEX(properties!A$1:CB$87,'Fórmula'!F91,41))+(('Fórmula'!I91)/('Fórmula'!C91+'Fórmula'!E91+'Fórmula'!G91+'Fórmula'!I91+'Fórmula'!K91))*(INDEX(properties!A$1:CB$87,'Fórmula'!H91,41))+(('Fórmula'!K91)/('Fórmula'!C91+'Fórmula'!E91+'Fórmula'!G91+'Fórmula'!I91+'Fórmula'!K91))*(INDEX(properties!A$1:CB$87,'Fórmula'!J91,41))</f>
        <v>1.188</v>
      </c>
      <c r="EE91" s="111">
        <f t="array" ref="EE91">'Fórmula'!C91*(INDEX(properties!A$1:CB$87,'Fórmula'!B91,41))+'Fórmula'!E91*(INDEX(properties!A$1:CB$87,'Fórmula'!D91,41))+'Fórmula'!G91*(INDEX(properties!A$1:CB$87,'Fórmula'!F91,41))+'Fórmula'!I91*(INDEX(properties!A$1:CB$87,'Fórmula'!H91,41))+'Fórmula'!K91*(INDEX(properties!A$1:CB$87,'Fórmula'!J91,41))</f>
        <v>5.94</v>
      </c>
      <c r="EF91" s="111">
        <f t="array" ref="EF91">VARP(IF(INDEX(properties!A$1:CB$87,'Fórmula'!B91,41)&lt;&gt;"",INDEX(properties!A$1:CB$87,'Fórmula'!B91,41)),IF(INDEX(properties!A$1:CB$87,'Fórmula'!D91,41)&lt;&gt;"",INDEX(properties!A$1:CB$87,'Fórmula'!D91,41)),IF(INDEX(properties!A$1:CB$87,'Fórmula'!F91,41)&lt;&gt;"",INDEX(properties!A$1:CB$87,'Fórmula'!F91,41)),IF(INDEX(properties!A$1:CB$87,'Fórmula'!H91,41)&lt;&gt;"",INDEX(properties!A$1:CB$87,'Fórmula'!H91,41)),IF(INDEX(properties!A$1:CB$87,'Fórmula'!J91,41)&lt;&gt;"",INDEX(properties!A$1:CB$87,'Fórmula'!J91,41)))</f>
        <v>0.331776</v>
      </c>
      <c r="EG91" s="122">
        <f t="array" ref="EG91">MAX(INDEX(properties!A$1:CB$87,'Fórmula'!B91,41),INDEX(properties!A$1:CB$87,'Fórmula'!D91,41),INDEX(properties!A$1:CB$87,'Fórmula'!F91,41),INDEX(properties!A$1:CB$87,'Fórmula'!H91,41),INDEX(properties!A$1:CB$87,'Fórmula'!J91,41))</f>
        <v>1.26</v>
      </c>
      <c r="EH91" s="122">
        <f t="array" ref="EH91">MIN(IF(INDEX(properties!A$1:CB$87,'Fórmula'!B91,41)=0,10^6,INDEX(properties!A$1:CB$87,'Fórmula'!B91,41)),IF(INDEX(properties!A$1:CB$87,'Fórmula'!D91,41)=0,10^6,INDEX(properties!A$1:CB$87,'Fórmula'!D91,41)),IF(INDEX(properties!A$1:CB$87,'Fórmula'!F91,41)=0,10^6,INDEX(properties!A$1:CB$87,'Fórmula'!F91,41)),IF(INDEX(properties!A$1:CB$87,'Fórmula'!H91,41)=0,10^6,INDEX(properties!A$1:CB$87,'Fórmula'!H91,41)),IF(INDEX(properties!A$1:CB$87,'Fórmula'!J91,41)=0,10^6,INDEX(properties!A$1:CB$87,'Fórmula'!J91,41)))</f>
        <v>1.08</v>
      </c>
      <c r="EI91" s="111">
        <f t="shared" si="23"/>
        <v>0.18</v>
      </c>
      <c r="EJ91" s="112">
        <f t="array" ref="EJ91">(('Fórmula'!C91)/('Fórmula'!C91+'Fórmula'!E91+'Fórmula'!G91+'Fórmula'!I91+'Fórmula'!K91))*(INDEX(properties!A$1:CB$87,'Fórmula'!B91,45))+(('Fórmula'!E91)/('Fórmula'!C91+'Fórmula'!E91+'Fórmula'!G91+'Fórmula'!I91+'Fórmula'!K91))*(INDEX(properties!A$1:CB$87,'Fórmula'!D91,45))+(('Fórmula'!G91)/('Fórmula'!C91+'Fórmula'!E91+'Fórmula'!G91+'Fórmula'!I91+'Fórmula'!K91))*(INDEX(properties!A$1:CB$87,'Fórmula'!F91,45))+(('Fórmula'!I91)/('Fórmula'!C91+'Fórmula'!E91+'Fórmula'!G91+'Fórmula'!I91+'Fórmula'!K91))*(INDEX(properties!A$1:CB$87,'Fórmula'!H91,45))+(('Fórmula'!K91)/('Fórmula'!C91+'Fórmula'!E91+'Fórmula'!G91+'Fórmula'!I91+'Fórmula'!K91))*(INDEX(properties!A$1:CB$87,'Fórmula'!J91,45))</f>
        <v>1.846</v>
      </c>
      <c r="EK91" s="112">
        <f t="array" ref="EK91">'Fórmula'!C91*(INDEX(properties!A$1:CB$87,'Fórmula'!B91,45))+'Fórmula'!E91*(INDEX(properties!A$1:CB$87,'Fórmula'!D91,45))+'Fórmula'!G91*(INDEX(properties!A$1:CB$87,'Fórmula'!F91,45))+'Fórmula'!I91*(INDEX(properties!A$1:CB$87,'Fórmula'!H91,45))+'Fórmula'!K91*(INDEX(properties!A$1:CB$87,'Fórmula'!J91,45))</f>
        <v>9.23</v>
      </c>
      <c r="EL91" s="112">
        <f t="array" ref="EL91">VARP(IF(INDEX(properties!A$1:CB$87,'Fórmula'!B91,45)&lt;&gt;"",INDEX(properties!A$1:CB$87,'Fórmula'!B91,45)),IF(INDEX(properties!A$1:CB$87,'Fórmula'!D91,45)&lt;&gt;"",INDEX(properties!A$1:CB$87,'Fórmula'!D91,45)),IF(INDEX(properties!A$1:CB$87,'Fórmula'!F91,45)&lt;&gt;"",INDEX(properties!A$1:CB$87,'Fórmula'!F91,45)),IF(INDEX(properties!A$1:CB$87,'Fórmula'!H91,45)&lt;&gt;"",INDEX(properties!A$1:CB$87,'Fórmula'!H91,45)),IF(INDEX(properties!A$1:CB$87,'Fórmula'!J91,45)&lt;&gt;"",INDEX(properties!A$1:CB$87,'Fórmula'!J91,45)))</f>
        <v>2.334424</v>
      </c>
      <c r="EM91" s="123">
        <f t="array" ref="EM91">MAX(INDEX(properties!A$1:CB$87,'Fórmula'!B91,45),INDEX(properties!A$1:CB$87,'Fórmula'!D91,45),INDEX(properties!A$1:CB$87,'Fórmula'!F91,45),INDEX(properties!A$1:CB$87,'Fórmula'!H91,45),INDEX(properties!A$1:CB$87,'Fórmula'!J91,45))</f>
        <v>3.91</v>
      </c>
      <c r="EN91" s="123">
        <f t="array" ref="EN91">MIN(IF(INDEX(properties!A$1:CB$87,'Fórmula'!B91,45)=0,10^6,INDEX(properties!A$1:CB$87,'Fórmula'!B91,45)),IF(INDEX(properties!A$1:CB$87,'Fórmula'!D91,45)=0,10^6,INDEX(properties!A$1:CB$87,'Fórmula'!D91,45)),IF(INDEX(properties!A$1:CB$87,'Fórmula'!F91,45)=0,10^6,INDEX(properties!A$1:CB$87,'Fórmula'!F91,45)),IF(INDEX(properties!A$1:CB$87,'Fórmula'!H91,45)=0,10^6,INDEX(properties!A$1:CB$87,'Fórmula'!H91,45)),IF(INDEX(properties!A$1:CB$87,'Fórmula'!J91,45)=0,10^6,INDEX(properties!A$1:CB$87,'Fórmula'!J91,45)))</f>
        <v>0.47</v>
      </c>
      <c r="EO91" s="112">
        <f t="shared" si="24"/>
        <v>3.44</v>
      </c>
      <c r="EP91" s="113">
        <f t="array" ref="EP91">(('Fórmula'!C91)/('Fórmula'!C91+'Fórmula'!E91+'Fórmula'!G91+'Fórmula'!I91+'Fórmula'!K91))*(INDEX(properties!A$1:CB$87,'Fórmula'!B91,46))+(('Fórmula'!E91)/('Fórmula'!C91+'Fórmula'!E91+'Fórmula'!G91+'Fórmula'!I91+'Fórmula'!K91))*(INDEX(properties!A$1:CB$87,'Fórmula'!D91,46))+(('Fórmula'!G91)/('Fórmula'!C91+'Fórmula'!E91+'Fórmula'!G91+'Fórmula'!I91+'Fórmula'!K91))*(INDEX(properties!A$1:CB$87,'Fórmula'!F91,46))+(('Fórmula'!I91)/('Fórmula'!C91+'Fórmula'!E91+'Fórmula'!G91+'Fórmula'!I91+'Fórmula'!K91))*(INDEX(properties!A$1:CB$87,'Fórmula'!H91,46))+(('Fórmula'!K91)/('Fórmula'!C91+'Fórmula'!E91+'Fórmula'!G91+'Fórmula'!I91+'Fórmula'!K91))*(INDEX(properties!A$1:CB$87,'Fórmula'!J91,46))</f>
        <v>1.158</v>
      </c>
      <c r="EQ91" s="113">
        <f t="array" ref="EQ91">'Fórmula'!C91*(INDEX(properties!A$1:CB$87,'Fórmula'!B91,46))+'Fórmula'!E91*(INDEX(properties!A$1:CB$87,'Fórmula'!D91,46))+'Fórmula'!G91*(INDEX(properties!A$1:CB$87,'Fórmula'!F91,46))+'Fórmula'!I91*(INDEX(properties!A$1:CB$87,'Fórmula'!H91,46))+'Fórmula'!K91*(INDEX(properties!A$1:CB$87,'Fórmula'!J91,46))</f>
        <v>5.79</v>
      </c>
      <c r="ER91" s="113">
        <f t="array" ref="ER91">VARP(IF(INDEX(properties!A$1:CB$87,'Fórmula'!B91,46)&lt;&gt;"",INDEX(properties!A$1:CB$87,'Fórmula'!B91,46)),IF(INDEX(properties!A$1:CB$87,'Fórmula'!D91,46)&lt;&gt;"",INDEX(properties!A$1:CB$87,'Fórmula'!D91,46)),IF(INDEX(properties!A$1:CB$87,'Fórmula'!F91,46)&lt;&gt;"",INDEX(properties!A$1:CB$87,'Fórmula'!F91,46)),IF(INDEX(properties!A$1:CB$87,'Fórmula'!H91,46)&lt;&gt;"",INDEX(properties!A$1:CB$87,'Fórmula'!H91,46)),IF(INDEX(properties!A$1:CB$87,'Fórmula'!J91,46)&lt;&gt;"",INDEX(properties!A$1:CB$87,'Fórmula'!J91,46)))</f>
        <v>0.316336</v>
      </c>
      <c r="ES91" s="124">
        <f t="array" ref="ES91">MAX(INDEX(properties!A$1:CB$87,'Fórmula'!B91,46),INDEX(properties!A$1:CB$87,'Fórmula'!D91,46),INDEX(properties!A$1:CB$87,'Fórmula'!F91,46),INDEX(properties!A$1:CB$87,'Fórmula'!H91,46),INDEX(properties!A$1:CB$87,'Fórmula'!J91,46))</f>
        <v>1.21</v>
      </c>
      <c r="ET91" s="124">
        <f t="array" ref="ET91">MIN(IF(INDEX(properties!A$1:CB$87,'Fórmula'!B91,46)=0,10^6,INDEX(properties!A$1:CB$87,'Fórmula'!B91,46)),IF(INDEX(properties!A$1:CB$87,'Fórmula'!D91,46)=0,10^6,INDEX(properties!A$1:CB$87,'Fórmula'!D91,46)),IF(INDEX(properties!A$1:CB$87,'Fórmula'!F91,46)=0,10^6,INDEX(properties!A$1:CB$87,'Fórmula'!F91,46)),IF(INDEX(properties!A$1:CB$87,'Fórmula'!H91,46)=0,10^6,INDEX(properties!A$1:CB$87,'Fórmula'!H91,46)),IF(INDEX(properties!A$1:CB$87,'Fórmula'!J91,46)=0,10^6,INDEX(properties!A$1:CB$87,'Fórmula'!J91,46)))</f>
        <v>1.08</v>
      </c>
      <c r="EU91" s="113">
        <f t="shared" si="25"/>
        <v>0.13</v>
      </c>
      <c r="EV91" s="114">
        <f t="array" ref="EV91">(('Fórmula'!C91)/('Fórmula'!C91+'Fórmula'!E91+'Fórmula'!G91+'Fórmula'!I91+'Fórmula'!K91))*(INDEX(properties!A$1:CB$87,'Fórmula'!B91,52))+(('Fórmula'!E91)/('Fórmula'!C91+'Fórmula'!E91+'Fórmula'!G91+'Fórmula'!I91+'Fórmula'!K91))*(INDEX(properties!A$1:CB$87,'Fórmula'!D91,52))+(('Fórmula'!G91)/('Fórmula'!C91+'Fórmula'!E91+'Fórmula'!G91+'Fórmula'!I91+'Fórmula'!K91))*(INDEX(properties!A$1:CB$87,'Fórmula'!F91,52))+(('Fórmula'!I91)/('Fórmula'!C91+'Fórmula'!E91+'Fórmula'!G91+'Fórmula'!I91+'Fórmula'!K91))*(INDEX(properties!A$1:CB$87,'Fórmula'!H91,52))+(('Fórmula'!K91)/('Fórmula'!C91+'Fórmula'!E91+'Fórmula'!G91+'Fórmula'!I91+'Fórmula'!K91))*(INDEX(properties!A$1:CB$87,'Fórmula'!J91,52))</f>
        <v>9.8758</v>
      </c>
      <c r="EW91" s="114">
        <f t="array" ref="EW91">'Fórmula'!C91*(INDEX(properties!A$1:CB$87,'Fórmula'!B91,52))+'Fórmula'!E91*(INDEX(properties!A$1:CB$87,'Fórmula'!D91,52))+'Fórmula'!G91*(INDEX(properties!A$1:CB$87,'Fórmula'!F91,52))+'Fórmula'!I91*(INDEX(properties!A$1:CB$87,'Fórmula'!H91,52))+'Fórmula'!K91*(INDEX(properties!A$1:CB$87,'Fórmula'!J91,52))</f>
        <v>49.379</v>
      </c>
      <c r="EX91" s="114">
        <f t="array" ref="EX91">VARP(IF(INDEX(properties!A$1:CB$87,'Fórmula'!B91,52)&lt;&gt;"",INDEX(properties!A$1:CB$87,'Fórmula'!B91,52)),IF(INDEX(properties!A$1:CB$87,'Fórmula'!D91,52)&lt;&gt;"",INDEX(properties!A$1:CB$87,'Fórmula'!D91,52)),IF(INDEX(properties!A$1:CB$87,'Fórmula'!F91,52)&lt;&gt;"",INDEX(properties!A$1:CB$87,'Fórmula'!F91,52)),IF(INDEX(properties!A$1:CB$87,'Fórmula'!H91,52)&lt;&gt;"",INDEX(properties!A$1:CB$87,'Fórmula'!H91,52)),IF(INDEX(properties!A$1:CB$87,'Fórmula'!J91,52)&lt;&gt;"",INDEX(properties!A$1:CB$87,'Fórmula'!J91,52)))</f>
        <v>86.96977584</v>
      </c>
      <c r="EY91" s="114">
        <f t="array" ref="EY91">MAX(INDEX(properties!A$1:CB$87,'Fórmula'!B91,52),INDEX(properties!A$1:CB$87,'Fórmula'!D91,52),INDEX(properties!A$1:CB$87,'Fórmula'!F91,52),INDEX(properties!A$1:CB$87,'Fórmula'!H91,52),INDEX(properties!A$1:CB$87,'Fórmula'!J91,52))</f>
        <v>23.5</v>
      </c>
      <c r="EZ91" s="114">
        <f t="array" ref="EZ91">MIN(IF(INDEX(properties!A$1:CB$87,'Fórmula'!B91,52)=0,10^6,INDEX(properties!A$1:CB$87,'Fórmula'!B91,52)),IF(INDEX(properties!A$1:CB$87,'Fórmula'!D91,52)=0,10^6,INDEX(properties!A$1:CB$87,'Fórmula'!D91,52)),IF(INDEX(properties!A$1:CB$87,'Fórmula'!F91,52)=0,10^6,INDEX(properties!A$1:CB$87,'Fórmula'!F91,52)),IF(INDEX(properties!A$1:CB$87,'Fórmula'!H91,52)=0,10^6,INDEX(properties!A$1:CB$87,'Fórmula'!H91,52)),IF(INDEX(properties!A$1:CB$87,'Fórmula'!J91,52)=0,10^6,INDEX(properties!A$1:CB$87,'Fórmula'!J91,52)))</f>
        <v>0.793</v>
      </c>
      <c r="FA91" s="114">
        <f t="shared" si="26"/>
        <v>22.707</v>
      </c>
      <c r="FB91" s="115">
        <f t="array" ref="FB91">(('Fórmula'!C91)/('Fórmula'!C91+'Fórmula'!E91+'Fórmula'!G91+'Fórmula'!I91+'Fórmula'!K91))*(INDEX(properties!A$1:CB$87,'Fórmula'!B91,53))+(('Fórmula'!E91)/('Fórmula'!C91+'Fórmula'!E91+'Fórmula'!G91+'Fórmula'!I91+'Fórmula'!K91))*(INDEX(properties!A$1:CB$87,'Fórmula'!D91,53))+(('Fórmula'!G91)/('Fórmula'!C91+'Fórmula'!E91+'Fórmula'!G91+'Fórmula'!I91+'Fórmula'!K91))*(INDEX(properties!A$1:CB$87,'Fórmula'!F91,53))+(('Fórmula'!I91)/('Fórmula'!C91+'Fórmula'!E91+'Fórmula'!G91+'Fórmula'!I91+'Fórmula'!K91))*(INDEX(properties!A$1:CB$87,'Fórmula'!H91,53))+(('Fórmula'!K91)/('Fórmula'!C91+'Fórmula'!E91+'Fórmula'!G91+'Fórmula'!I91+'Fórmula'!K91))*(INDEX(properties!A$1:CB$87,'Fórmula'!J91,53))</f>
        <v>667.31</v>
      </c>
      <c r="FC91" s="115">
        <f t="array" ref="FC91">'Fórmula'!C91*(INDEX(properties!A$1:CB$87,'Fórmula'!B91,53))+'Fórmula'!E91*(INDEX(properties!A$1:CB$87,'Fórmula'!D91,53))+'Fórmula'!G91*(INDEX(properties!A$1:CB$87,'Fórmula'!F91,53))+'Fórmula'!I91*(INDEX(properties!A$1:CB$87,'Fórmula'!H91,53))+'Fórmula'!K91*(INDEX(properties!A$1:CB$87,'Fórmula'!J91,53))</f>
        <v>3336.55</v>
      </c>
      <c r="FD91" s="115">
        <f t="array" ref="FD91">VARP(IF(INDEX(properties!A$1:CB$87,'Fórmula'!B91,53)&lt;&gt;"",INDEX(properties!A$1:CB$87,'Fórmula'!B91,53)),IF(INDEX(properties!A$1:CB$87,'Fórmula'!D91,53)&lt;&gt;"",INDEX(properties!A$1:CB$87,'Fórmula'!D91,53)),IF(INDEX(properties!A$1:CB$87,'Fórmula'!F91,53)&lt;&gt;"",INDEX(properties!A$1:CB$87,'Fórmula'!F91,53)),IF(INDEX(properties!A$1:CB$87,'Fórmula'!H91,53)&lt;&gt;"",INDEX(properties!A$1:CB$87,'Fórmula'!H91,53)),IF(INDEX(properties!A$1:CB$87,'Fórmula'!J91,53)&lt;&gt;"",INDEX(properties!A$1:CB$87,'Fórmula'!J91,53)))</f>
        <v>396071.7646</v>
      </c>
      <c r="FE91" s="115">
        <f t="array" ref="FE91">MAX(INDEX(properties!A$1:CB$87,'Fórmula'!B91,53),INDEX(properties!A$1:CB$87,'Fórmula'!D91,53),INDEX(properties!A$1:CB$87,'Fórmula'!F91,53),INDEX(properties!A$1:CB$87,'Fórmula'!H91,53),INDEX(properties!A$1:CB$87,'Fórmula'!J91,53))</f>
        <v>1586.15</v>
      </c>
      <c r="FF91" s="115">
        <f t="array" ref="FF91">MIN(IF(INDEX(properties!A$1:CB$87,'Fórmula'!B91,53)=0,10^6,INDEX(properties!A$1:CB$87,'Fórmula'!B91,53)),IF(INDEX(properties!A$1:CB$87,'Fórmula'!D91,53)=0,10^6,INDEX(properties!A$1:CB$87,'Fórmula'!D91,53)),IF(INDEX(properties!A$1:CB$87,'Fórmula'!F91,53)=0,10^6,INDEX(properties!A$1:CB$87,'Fórmula'!F91,53)),IF(INDEX(properties!A$1:CB$87,'Fórmula'!H91,53)=0,10^6,INDEX(properties!A$1:CB$87,'Fórmula'!H91,53)),IF(INDEX(properties!A$1:CB$87,'Fórmula'!J91,53)=0,10^6,INDEX(properties!A$1:CB$87,'Fórmula'!J91,53)))</f>
        <v>54.75</v>
      </c>
      <c r="FG91" s="115">
        <f t="shared" si="27"/>
        <v>1531.4</v>
      </c>
      <c r="FH91" s="117">
        <f t="array" ref="FH91">(('Fórmula'!C91)/('Fórmula'!C91+'Fórmula'!E91+'Fórmula'!G91+'Fórmula'!I91+'Fórmula'!K91))*(INDEX(properties!A$1:CB$87,'Fórmula'!B91,54))+(('Fórmula'!E91)/('Fórmula'!C91+'Fórmula'!E91+'Fórmula'!G91+'Fórmula'!I91+'Fórmula'!K91))*(INDEX(properties!A$1:CB$87,'Fórmula'!D91,54))+(('Fórmula'!G91)/('Fórmula'!C91+'Fórmula'!E91+'Fórmula'!G91+'Fórmula'!I91+'Fórmula'!K91))*(INDEX(properties!A$1:CB$87,'Fórmula'!F91,54))+(('Fórmula'!I91)/('Fórmula'!C91+'Fórmula'!E91+'Fórmula'!G91+'Fórmula'!I91+'Fórmula'!K91))*(INDEX(properties!A$1:CB$87,'Fórmula'!H91,54))+(('Fórmula'!K91)/('Fórmula'!C91+'Fórmula'!E91+'Fórmula'!G91+'Fórmula'!I91+'Fórmula'!K91))*(INDEX(properties!A$1:CB$87,'Fórmula'!J91,54))</f>
        <v>1472.55</v>
      </c>
      <c r="FI91" s="117">
        <f t="array" ref="FI91">'Fórmula'!C91*(INDEX(properties!A$1:CB$87,'Fórmula'!B91,54))+'Fórmula'!E91*(INDEX(properties!A$1:CB$87,'Fórmula'!D91,54))+'Fórmula'!G91*(INDEX(properties!A$1:CB$87,'Fórmula'!F91,54))+'Fórmula'!I91*(INDEX(properties!A$1:CB$87,'Fórmula'!H91,54))+'Fórmula'!K91*(INDEX(properties!A$1:CB$87,'Fórmula'!J91,54))</f>
        <v>7362.75</v>
      </c>
      <c r="FJ91" s="117">
        <f t="array" ref="FJ91">VARP(IF(INDEX(properties!A$1:CB$87,'Fórmula'!B91,54)&lt;&gt;"",INDEX(properties!A$1:CB$87,'Fórmula'!B91,54)),IF(INDEX(properties!A$1:CB$87,'Fórmula'!D91,54)&lt;&gt;"",INDEX(properties!A$1:CB$87,'Fórmula'!D91,54)),IF(INDEX(properties!A$1:CB$87,'Fórmula'!F91,54)&lt;&gt;"",INDEX(properties!A$1:CB$87,'Fórmula'!F91,54)),IF(INDEX(properties!A$1:CB$87,'Fórmula'!H91,54)&lt;&gt;"",INDEX(properties!A$1:CB$87,'Fórmula'!H91,54)),IF(INDEX(properties!A$1:CB$87,'Fórmula'!J91,54)&lt;&gt;"",INDEX(properties!A$1:CB$87,'Fórmula'!J91,54)))</f>
        <v>1987754.261</v>
      </c>
      <c r="FK91" s="117">
        <f t="array" ref="FK91">MAX(INDEX(properties!A$1:CB$87,'Fórmula'!B91,54),INDEX(properties!A$1:CB$87,'Fórmula'!D91,54),INDEX(properties!A$1:CB$87,'Fórmula'!F91,54),INDEX(properties!A$1:CB$87,'Fórmula'!H91,54),INDEX(properties!A$1:CB$87,'Fórmula'!J91,54))</f>
        <v>3546.15</v>
      </c>
      <c r="FL91" s="117">
        <f t="array" ref="FL91">MIN(IF(INDEX(properties!A$1:CB$87,'Fórmula'!B91,54)=0,10^6,INDEX(properties!A$1:CB$87,'Fórmula'!B91,54)),IF(INDEX(properties!A$1:CB$87,'Fórmula'!D91,54)=0,10^6,INDEX(properties!A$1:CB$87,'Fórmula'!D91,54)),IF(INDEX(properties!A$1:CB$87,'Fórmula'!F91,54)=0,10^6,INDEX(properties!A$1:CB$87,'Fórmula'!F91,54)),IF(INDEX(properties!A$1:CB$87,'Fórmula'!H91,54)=0,10^6,INDEX(properties!A$1:CB$87,'Fórmula'!H91,54)),IF(INDEX(properties!A$1:CB$87,'Fórmula'!J91,54)=0,10^6,INDEX(properties!A$1:CB$87,'Fórmula'!J91,54)))</f>
        <v>90.15</v>
      </c>
      <c r="FM91" s="117">
        <f t="shared" si="28"/>
        <v>3456</v>
      </c>
      <c r="FN91" s="118">
        <f t="array" ref="FN91">(('Fórmula'!C91)/('Fórmula'!C91+'Fórmula'!E91+'Fórmula'!G91+'Fórmula'!I91+'Fórmula'!K91))*(INDEX(properties!A$1:CB$87,'Fórmula'!B91,55))+(('Fórmula'!E91)/('Fórmula'!C91+'Fórmula'!E91+'Fórmula'!G91+'Fórmula'!I91+'Fórmula'!K91))*(INDEX(properties!A$1:CB$87,'Fórmula'!D91,55))+(('Fórmula'!G91)/('Fórmula'!C91+'Fórmula'!E91+'Fórmula'!G91+'Fórmula'!I91+'Fórmula'!K91))*(INDEX(properties!A$1:CB$87,'Fórmula'!F91,55))+(('Fórmula'!I91)/('Fórmula'!C91+'Fórmula'!E91+'Fórmula'!G91+'Fórmula'!I91+'Fórmula'!K91))*(INDEX(properties!A$1:CB$87,'Fórmula'!H91,55))+(('Fórmula'!K91)/('Fórmula'!C91+'Fórmula'!E91+'Fórmula'!G91+'Fórmula'!I91+'Fórmula'!K91))*(INDEX(properties!A$1:CB$87,'Fórmula'!J91,55))</f>
        <v>3.160858</v>
      </c>
      <c r="FO91" s="118">
        <f t="array" ref="FO91">'Fórmula'!C91*(INDEX(properties!A$1:CB$87,'Fórmula'!B91,55))+'Fórmula'!E91*(INDEX(properties!A$1:CB$87,'Fórmula'!D91,54))+'Fórmula'!G91*(INDEX(properties!A$1:CB$87,'Fórmula'!F91,55))+'Fórmula'!I91*(INDEX(properties!A$1:CB$87,'Fórmula'!H91,55))+'Fórmula'!K91*(INDEX(properties!A$1:CB$87,'Fórmula'!J91,55))</f>
        <v>286.25</v>
      </c>
      <c r="FP91" s="118">
        <f t="array" ref="FP91">VARP(IF(INDEX(properties!A$1:CB$87,'Fórmula'!B91,55)&lt;&gt;"",INDEX(properties!A$1:CB$87,'Fórmula'!B91,55)),IF(INDEX(properties!A$1:CB$87,'Fórmula'!D91,55)&lt;&gt;"",INDEX(properties!A$1:CB$87,'Fórmula'!D91,55)),IF(INDEX(properties!A$1:CB$87,'Fórmula'!F91,55)&lt;&gt;"",INDEX(properties!A$1:CB$87,'Fórmula'!F91,55)),IF(INDEX(properties!A$1:CB$87,'Fórmula'!H91,55)&lt;&gt;"",INDEX(properties!A$1:CB$87,'Fórmula'!H91,55)),IF(INDEX(properties!A$1:CB$87,'Fórmula'!J91,55)&lt;&gt;"",INDEX(properties!A$1:CB$87,'Fórmula'!J91,55)))</f>
        <v>9.984696567</v>
      </c>
      <c r="FQ91" s="118">
        <f t="array" ref="FQ91">MAX(INDEX(properties!A$1:CB$87,'Fórmula'!B91,55),INDEX(properties!A$1:CB$87,'Fórmula'!D91,55),INDEX(properties!A$1:CB$87,'Fórmula'!F91,55),INDEX(properties!A$1:CB$87,'Fórmula'!H91,55),INDEX(properties!A$1:CB$87,'Fórmula'!J91,55))</f>
        <v>7.9</v>
      </c>
      <c r="FR91" s="118">
        <f t="array" ref="FR91">MIN(IF(INDEX(properties!A$1:CB$87,'Fórmula'!B91,55)=0,10^6,INDEX(properties!A$1:CB$87,'Fórmula'!B91,55)),IF(INDEX(properties!A$1:CB$87,'Fórmula'!D91,55)=0,10^6,INDEX(properties!A$1:CB$87,'Fórmula'!D91,55)),IF(INDEX(properties!A$1:CB$87,'Fórmula'!F91,55)=0,10^6,INDEX(properties!A$1:CB$87,'Fórmula'!F91,55)),IF(INDEX(properties!A$1:CB$87,'Fórmula'!H91,55)=0,10^6,INDEX(properties!A$1:CB$87,'Fórmula'!H91,55)),IF(INDEX(properties!A$1:CB$87,'Fórmula'!J91,55)=0,10^6,INDEX(properties!A$1:CB$87,'Fórmula'!J91,55)))</f>
        <v>0.00143</v>
      </c>
      <c r="FS91" s="118">
        <f t="shared" si="29"/>
        <v>7.89857</v>
      </c>
      <c r="FT91" s="119">
        <f t="array" ref="FT91">(('Fórmula'!C91)/('Fórmula'!C91+'Fórmula'!E91+'Fórmula'!G91+'Fórmula'!I91+'Fórmula'!K91))*(INDEX(properties!A$1:CB$87,'Fórmula'!B91,56))+(('Fórmula'!E91)/('Fórmula'!C91+'Fórmula'!E91+'Fórmula'!G91+'Fórmula'!I91+'Fórmula'!K91))*(INDEX(properties!A$1:CB$87,'Fórmula'!D91,56))+(('Fórmula'!G91)/('Fórmula'!C91+'Fórmula'!E91+'Fórmula'!G91+'Fórmula'!I91+'Fórmula'!K91))*(INDEX(properties!A$1:CB$87,'Fórmula'!F91,56))+(('Fórmula'!I91)/('Fórmula'!C91+'Fórmula'!E91+'Fórmula'!G91+'Fórmula'!I91+'Fórmula'!K91))*(INDEX(properties!A$1:CB$87,'Fórmula'!H91,56))+(('Fórmula'!K91)/('Fórmula'!C91+'Fórmula'!E91+'Fórmula'!G91+'Fórmula'!I91+'Fórmula'!K91))*(INDEX(properties!A$1:CB$87,'Fórmula'!J91,56))</f>
        <v>0.644</v>
      </c>
      <c r="FU91" s="119">
        <f t="array" ref="FU91">'Fórmula'!C91*(INDEX(properties!A$1:CB$87,'Fórmula'!B91,56))+'Fórmula'!E91*(INDEX(properties!A$1:CB$87,'Fórmula'!D91,56))+'Fórmula'!G91*(INDEX(properties!A$1:CB$87,'Fórmula'!F91,56))+'Fórmula'!I91*(INDEX(properties!A$1:CB$87,'Fórmula'!H91,56))+'Fórmula'!K91*(INDEX(properties!A$1:CB$87,'Fórmula'!J91,56))</f>
        <v>3.22</v>
      </c>
      <c r="FV91" s="119">
        <f t="array" ref="FV91">VARP(IF(INDEX(properties!A$1:CB$87,'Fórmula'!B91,56)&lt;&gt;"",INDEX(properties!A$1:CB$87,'Fórmula'!B91,56)),IF(INDEX(properties!A$1:CB$87,'Fórmula'!D91,56)&lt;&gt;"",INDEX(properties!A$1:CB$87,'Fórmula'!D91,56)),IF(INDEX(properties!A$1:CB$87,'Fórmula'!F91,56)&lt;&gt;"",INDEX(properties!A$1:CB$87,'Fórmula'!F91,56)),IF(INDEX(properties!A$1:CB$87,'Fórmula'!H91,56)&lt;&gt;"",INDEX(properties!A$1:CB$87,'Fórmula'!H91,56)),IF(INDEX(properties!A$1:CB$87,'Fórmula'!J91,56)&lt;&gt;"",INDEX(properties!A$1:CB$87,'Fórmula'!J91,56)))</f>
        <v>0.12696</v>
      </c>
      <c r="FW91" s="119">
        <f t="array" ref="FW91">MAX(INDEX(properties!A$1:CB$87,'Fórmula'!B91,56),INDEX(properties!A$1:CB$87,'Fórmula'!D91,56),INDEX(properties!A$1:CB$87,'Fórmula'!F91,56),INDEX(properties!A$1:CB$87,'Fórmula'!H91,56),INDEX(properties!A$1:CB$87,'Fórmula'!J91,56))</f>
        <v>0.92</v>
      </c>
      <c r="FX91" s="119">
        <f t="array" ref="FX91">MIN(IF(INDEX(properties!A$1:CB$87,'Fórmula'!B91,56)=0,10^6,INDEX(properties!A$1:CB$87,'Fórmula'!B91,56)),IF(INDEX(properties!A$1:CB$87,'Fórmula'!D91,56)=0,10^6,INDEX(properties!A$1:CB$87,'Fórmula'!D91,56)),IF(INDEX(properties!A$1:CB$87,'Fórmula'!F91,56)=0,10^6,INDEX(properties!A$1:CB$87,'Fórmula'!F91,56)),IF(INDEX(properties!A$1:CB$87,'Fórmula'!H91,56)=0,10^6,INDEX(properties!A$1:CB$87,'Fórmula'!H91,56)),IF(INDEX(properties!A$1:CB$87,'Fórmula'!J91,56)=0,10^6,INDEX(properties!A$1:CB$87,'Fórmula'!J91,56)))</f>
        <v>0.23</v>
      </c>
      <c r="FY91" s="119">
        <f t="shared" si="30"/>
        <v>0.69</v>
      </c>
      <c r="FZ91" s="104">
        <f t="array" ref="FZ91">(('Fórmula'!C91)/('Fórmula'!C91+'Fórmula'!E91+'Fórmula'!G91+'Fórmula'!I91+'Fórmula'!K91))*(INDEX(properties!A$1:CB$87,'Fórmula'!B91,57))+(('Fórmula'!E91)/('Fórmula'!C91+'Fórmula'!E91+'Fórmula'!G91+'Fórmula'!I91+'Fórmula'!K91))*(INDEX(properties!A$1:CB$87,'Fórmula'!D91,57))+(('Fórmula'!G91)/('Fórmula'!C91+'Fórmula'!E91+'Fórmula'!G91+'Fórmula'!I91+'Fórmula'!K91))*(INDEX(properties!A$1:CB$87,'Fórmula'!F91,57))+(('Fórmula'!I91)/('Fórmula'!C91+'Fórmula'!E91+'Fórmula'!G91+'Fórmula'!I91+'Fórmula'!K91))*(INDEX(properties!A$1:CB$87,'Fórmula'!H91,57))+(('Fórmula'!K91)/('Fórmula'!C91+'Fórmula'!E91+'Fórmula'!G91+'Fórmula'!I91+'Fórmula'!K91))*(INDEX(properties!A$1:CB$87,'Fórmula'!J91,57))</f>
        <v>4.153554</v>
      </c>
      <c r="GA91" s="104">
        <f t="array" ref="GA91">'Fórmula'!C91*(INDEX(properties!A$1:CB$87,'Fórmula'!B91,57))+'Fórmula'!E91*(INDEX(properties!A$1:CB$87,'Fórmula'!D91,57))+'Fórmula'!G91*(INDEX(properties!A$1:CB$87,'Fórmula'!F91,57))+'Fórmula'!I91*(INDEX(properties!A$1:CB$87,'Fórmula'!H91,57))+'Fórmula'!K91*(INDEX(properties!A$1:CB$87,'Fórmula'!J91,57))</f>
        <v>20.76777</v>
      </c>
      <c r="GB91" s="104">
        <f t="array" ref="GB91">VARP(IF(INDEX(properties!A$1:CB$87,'Fórmula'!B91,57)&lt;&gt;"",INDEX(properties!A$1:CB$87,'Fórmula'!B91,57)),IF(INDEX(properties!A$1:CB$87,'Fórmula'!D91,57)&lt;&gt;"",INDEX(properties!A$1:CB$87,'Fórmula'!D91,57)),IF(INDEX(properties!A$1:CB$87,'Fórmula'!F91,57)&lt;&gt;"",INDEX(properties!A$1:CB$87,'Fórmula'!F91,57)),IF(INDEX(properties!A$1:CB$87,'Fórmula'!H91,57)&lt;&gt;"",INDEX(properties!A$1:CB$87,'Fórmula'!H91,57)),IF(INDEX(properties!A$1:CB$87,'Fórmula'!J91,57)&lt;&gt;"",INDEX(properties!A$1:CB$87,'Fórmula'!J91,57)))</f>
        <v>15.98936505</v>
      </c>
      <c r="GC91" s="104">
        <f t="array" ref="GC91">MAX(INDEX(properties!A$1:CB$87,'Fórmula'!B91,57),INDEX(properties!A$1:CB$87,'Fórmula'!D91,57),INDEX(properties!A$1:CB$87,'Fórmula'!F91,57),INDEX(properties!A$1:CB$87,'Fórmula'!H91,57),INDEX(properties!A$1:CB$87,'Fórmula'!J91,57))</f>
        <v>10.05</v>
      </c>
      <c r="GD91" s="104">
        <f t="array" ref="GD91">MIN(IF(INDEX(properties!A$1:CB$87,'Fórmula'!B91,57)=0,10^6,INDEX(properties!A$1:CB$87,'Fórmula'!B91,57)),IF(INDEX(properties!A$1:CB$87,'Fórmula'!D91,57)=0,10^6,INDEX(properties!A$1:CB$87,'Fórmula'!D91,57)),IF(INDEX(properties!A$1:CB$87,'Fórmula'!F91,57)=0,10^6,INDEX(properties!A$1:CB$87,'Fórmula'!F91,57)),IF(INDEX(properties!A$1:CB$87,'Fórmula'!H91,57)=0,10^6,INDEX(properties!A$1:CB$87,'Fórmula'!H91,57)),IF(INDEX(properties!A$1:CB$87,'Fórmula'!J91,57)=0,10^6,INDEX(properties!A$1:CB$87,'Fórmula'!J91,57)))</f>
        <v>0.22259</v>
      </c>
      <c r="GE91" s="104">
        <f t="shared" si="31"/>
        <v>9.82741</v>
      </c>
      <c r="GF91" s="105">
        <f t="array" ref="GF91">(('Fórmula'!C91)/('Fórmula'!C91+'Fórmula'!E91+'Fórmula'!G91+'Fórmula'!I91+'Fórmula'!K91))*(INDEX(properties!A$1:CB$87,'Fórmula'!B91,60))+(('Fórmula'!E91)/('Fórmula'!C91+'Fórmula'!E91+'Fórmula'!G91+'Fórmula'!I91+'Fórmula'!K91))*(INDEX(properties!A$1:CB$87,'Fórmula'!D91,60))+(('Fórmula'!G91)/('Fórmula'!C91+'Fórmula'!E91+'Fórmula'!G91+'Fórmula'!I91+'Fórmula'!K91))*(INDEX(properties!A$1:CB$87,'Fórmula'!F91,60))+(('Fórmula'!I91)/('Fórmula'!C91+'Fórmula'!E91+'Fórmula'!G91+'Fórmula'!I91+'Fórmula'!K91))*(INDEX(properties!A$1:CB$87,'Fórmula'!H91,60))+(('Fórmula'!K91)/('Fórmula'!C91+'Fórmula'!E91+'Fórmula'!G91+'Fórmula'!I91+'Fórmula'!K91))*(INDEX(properties!A$1:CB$87,'Fórmula'!J91,60))</f>
        <v>4.256044</v>
      </c>
      <c r="GG91" s="105">
        <f t="array" ref="GG91">'Fórmula'!C91*(INDEX(properties!A$1:CB$87,'Fórmula'!B91,60))+'Fórmula'!E91*(INDEX(properties!A$1:CB$87,'Fórmula'!D91,60))+'Fórmula'!G91*(INDEX(properties!A$1:CB$87,'Fórmula'!F91,60))+'Fórmula'!I91*(INDEX(properties!A$1:CB$87,'Fórmula'!H91,60))+'Fórmula'!K91*(INDEX(properties!A$1:CB$87,'Fórmula'!J91,60))</f>
        <v>21.28022</v>
      </c>
      <c r="GH91" s="105">
        <f t="array" ref="GH91">VARP(IF(INDEX(properties!A$1:CB$87,'Fórmula'!B91,60)&lt;&gt;"",INDEX(properties!A$1:CB$87,'Fórmula'!B91,60)),IF(INDEX(properties!A$1:CB$87,'Fórmula'!D91,60)&lt;&gt;"",INDEX(properties!A$1:CB$87,'Fórmula'!D91,60)),IF(INDEX(properties!A$1:CB$87,'Fórmula'!F91,60)&lt;&gt;"",INDEX(properties!A$1:CB$87,'Fórmula'!F91,60)),IF(INDEX(properties!A$1:CB$87,'Fórmula'!H91,60)&lt;&gt;"",INDEX(properties!A$1:CB$87,'Fórmula'!H91,60)),IF(INDEX(properties!A$1:CB$87,'Fórmula'!J91,60)&lt;&gt;"",INDEX(properties!A$1:CB$87,'Fórmula'!J91,60)))</f>
        <v>17.95503888</v>
      </c>
      <c r="GI91" s="105">
        <f t="array" ref="GI91">MAX(INDEX(properties!A$1:CB$87,'Fórmula'!B91,60),INDEX(properties!A$1:CB$87,'Fórmula'!D91,60),INDEX(properties!A$1:CB$87,'Fórmula'!F91,60),INDEX(properties!A$1:CB$87,'Fórmula'!H91,60),INDEX(properties!A$1:CB$87,'Fórmula'!J91,60))</f>
        <v>10.6</v>
      </c>
      <c r="GJ91" s="105">
        <f t="array" ref="GJ91">MIN(IF(INDEX(properties!A$1:CB$87,'Fórmula'!B91,60)=0,10^6,INDEX(properties!A$1:CB$87,'Fórmula'!B91,60)),IF(INDEX(properties!A$1:CB$87,'Fórmula'!D91,60)=0,10^6,INDEX(properties!A$1:CB$87,'Fórmula'!D91,60)),IF(INDEX(properties!A$1:CB$87,'Fórmula'!F91,60)=0,10^6,INDEX(properties!A$1:CB$87,'Fórmula'!F91,60)),IF(INDEX(properties!A$1:CB$87,'Fórmula'!H91,60)=0,10^6,INDEX(properties!A$1:CB$87,'Fórmula'!H91,60)),IF(INDEX(properties!A$1:CB$87,'Fórmula'!J91,60)=0,10^6,INDEX(properties!A$1:CB$87,'Fórmula'!J91,60)))</f>
        <v>0.02674</v>
      </c>
      <c r="GK91" s="105">
        <f t="shared" si="32"/>
        <v>10.57326</v>
      </c>
      <c r="GL91" s="106">
        <f t="array" ref="GL91">(('Fórmula'!C91)/('Fórmula'!C91+'Fórmula'!E91+'Fórmula'!G91+'Fórmula'!I91+'Fórmula'!K91))*(INDEX(properties!A$1:CB$87,'Fórmula'!B91,62))+(('Fórmula'!E91)/('Fórmula'!C91+'Fórmula'!E91+'Fórmula'!G91+'Fórmula'!I91+'Fórmula'!K91))*(INDEX(properties!A$1:CB$87,'Fórmula'!D91,62))+(('Fórmula'!G91)/('Fórmula'!C91+'Fórmula'!E91+'Fórmula'!G91+'Fórmula'!I91+'Fórmula'!K91))*(INDEX(properties!A$1:CB$87,'Fórmula'!F91,62))+(('Fórmula'!I91)/('Fórmula'!C91+'Fórmula'!E91+'Fórmula'!G91+'Fórmula'!I91+'Fórmula'!K91))*(INDEX(properties!A$1:CB$87,'Fórmula'!H91,62))+(('Fórmula'!K91)/('Fórmula'!C91+'Fórmula'!E91+'Fórmula'!G91+'Fórmula'!I91+'Fórmula'!K91))*(INDEX(properties!A$1:CB$87,'Fórmula'!J91,62))</f>
        <v>3.228</v>
      </c>
      <c r="GM91" s="106">
        <f t="array" ref="GM91">'Fórmula'!C91*(INDEX(properties!A$1:CB$87,'Fórmula'!B91,62))+'Fórmula'!E91*(INDEX(properties!A$1:CB$87,'Fórmula'!D91,62))+'Fórmula'!G91*(INDEX(properties!A$1:CB$87,'Fórmula'!F91,62))+'Fórmula'!I91*(INDEX(properties!A$1:CB$87,'Fórmula'!H91,62))+'Fórmula'!K91*(INDEX(properties!A$1:CB$87,'Fórmula'!J91,62))</f>
        <v>16.14</v>
      </c>
      <c r="GN91" s="106">
        <f t="array" ref="GN91">VARP(IF(INDEX(properties!A$1:CB$87,'Fórmula'!B91,62)&lt;&gt;"",INDEX(properties!A$1:CB$87,'Fórmula'!B91,62)),IF(INDEX(properties!A$1:CB$87,'Fórmula'!D91,62)&lt;&gt;"",INDEX(properties!A$1:CB$87,'Fórmula'!D91,62)),IF(INDEX(properties!A$1:CB$87,'Fórmula'!F91,62)&lt;&gt;"",INDEX(properties!A$1:CB$87,'Fórmula'!F91,62)),IF(INDEX(properties!A$1:CB$87,'Fórmula'!H91,62)&lt;&gt;"",INDEX(properties!A$1:CB$87,'Fórmula'!H91,62)),IF(INDEX(properties!A$1:CB$87,'Fórmula'!J91,62)&lt;&gt;"",INDEX(properties!A$1:CB$87,'Fórmula'!J91,62)))</f>
        <v>2.972896</v>
      </c>
      <c r="GO91" s="106">
        <f t="array" ref="GO91">MAX(INDEX(properties!A$1:CB$87,'Fórmula'!B91,62),INDEX(properties!A$1:CB$87,'Fórmula'!D91,62),INDEX(properties!A$1:CB$87,'Fórmula'!F91,62),INDEX(properties!A$1:CB$87,'Fórmula'!H91,62),INDEX(properties!A$1:CB$87,'Fórmula'!J91,62))</f>
        <v>4.14</v>
      </c>
      <c r="GP91" s="106">
        <f t="array" ref="GP91">MIN(IF(INDEX(properties!A$1:CB$87,'Fórmula'!B91,62)=0,10^6,INDEX(properties!A$1:CB$87,'Fórmula'!B91,62)),IF(INDEX(properties!A$1:CB$87,'Fórmula'!D91,62)=0,10^6,INDEX(properties!A$1:CB$87,'Fórmula'!D91,62)),IF(INDEX(properties!A$1:CB$87,'Fórmula'!F91,62)=0,10^6,INDEX(properties!A$1:CB$87,'Fórmula'!F91,62)),IF(INDEX(properties!A$1:CB$87,'Fórmula'!H91,62)=0,10^6,INDEX(properties!A$1:CB$87,'Fórmula'!H91,62)),IF(INDEX(properties!A$1:CB$87,'Fórmula'!J91,62)=0,10^6,INDEX(properties!A$1:CB$87,'Fórmula'!J91,62)))</f>
        <v>2.62</v>
      </c>
      <c r="GQ91" s="106">
        <f t="shared" si="33"/>
        <v>1.52</v>
      </c>
      <c r="GR91" s="106">
        <f>'Fórmula'!Q91</f>
        <v>206</v>
      </c>
      <c r="GS91" s="107">
        <f>'Fórmula'!P91</f>
        <v>1</v>
      </c>
      <c r="GT91" s="113">
        <f>'Fórmula'!O91</f>
        <v>7.65</v>
      </c>
      <c r="GU91" s="114">
        <f>AVERAGE('Fórmula'!R91/'Fórmula'!S91,'Fórmula'!S91/'Fórmula'!T91,'Fórmula'!T91/'Fórmula'!R91)</f>
        <v>1</v>
      </c>
      <c r="GV91" s="125">
        <f>'Fórmula'!U91</f>
        <v>1258.66</v>
      </c>
      <c r="GW91" s="106">
        <f>'Fórmula'!N91</f>
        <v>0.012</v>
      </c>
    </row>
    <row r="92" ht="14.25" customHeight="1">
      <c r="A92" s="99" t="str">
        <f>'Fórmula'!A92</f>
        <v>Gd2ZnTiO6</v>
      </c>
      <c r="B92" s="101">
        <f t="array" ref="B92">(('Fórmula'!C92)/('Fórmula'!C92+'Fórmula'!E92+'Fórmula'!G92+'Fórmula'!I92+'Fórmula'!K92))*(INDEX(properties!A$1:CB$87,'Fórmula'!B92,3))+(('Fórmula'!E92)/('Fórmula'!C92+'Fórmula'!E92+'Fórmula'!G92+'Fórmula'!I92+'Fórmula'!K92))*(INDEX(properties!A$1:CB$87,'Fórmula'!D92,3))+(('Fórmula'!G92)/('Fórmula'!C92+'Fórmula'!E92+'Fórmula'!G92+'Fórmula'!I92+'Fórmula'!K92))*(INDEX(properties!A$1:CB$87,'Fórmula'!F92,3))+(('Fórmula'!I92)/('Fórmula'!C92+'Fórmula'!E92+'Fórmula'!G92+'Fórmula'!I92+'Fórmula'!K92))*(INDEX(properties!A$1:CB$87,'Fórmula'!H92,3))+(('Fórmula'!K92)/('Fórmula'!C92+'Fórmula'!E92+'Fórmula'!G92+'Fórmula'!I92+'Fórmula'!K92))*(INDEX(properties!A$1:CB$87,'Fórmula'!J92,3))</f>
        <v>52.37434</v>
      </c>
      <c r="C92" s="101">
        <f t="array" ref="C92">'Fórmula'!C92*(INDEX(properties!A$1:CB$87,'Fórmula'!B92,3))+'Fórmula'!E92*(INDEX(properties!A$1:CB$87,'Fórmula'!D92,3))+'Fórmula'!G92*(INDEX(properties!A$1:CB$87,'Fórmula'!F92,3))+'Fórmula'!I92*(INDEX(properties!A$1:CB$87,'Fórmula'!H92,3))+'Fórmula'!K92*(INDEX(properties!A$1:CB$87,'Fórmula'!J92,3))</f>
        <v>523.7434</v>
      </c>
      <c r="D92" s="101">
        <f t="array" ref="D92">VARP(IF(INDEX(properties!A$1:CB$87,'Fórmula'!B92,3)&lt;&gt;"",INDEX(properties!A$1:CB$87,'Fórmula'!B92,3)),IF(INDEX(properties!A$1:CB$87,'Fórmula'!D92,3)&lt;&gt;"",INDEX(properties!A$1:CB$87,'Fórmula'!D92,3)),IF(INDEX(properties!A$1:CB$87,'Fórmula'!F92,3)&lt;&gt;"",INDEX(properties!A$1:CB$87,'Fórmula'!F92,3)),IF(INDEX(properties!A$1:CB$87,'Fórmula'!H92,3)&lt;&gt;"",INDEX(properties!A$1:CB$87,'Fórmula'!H92,3)),IF(INDEX(properties!A$1:CB$87,'Fórmula'!J92,3)&lt;&gt;"",INDEX(properties!A$1:CB$87,'Fórmula'!J92,3)))</f>
        <v>3026.659989</v>
      </c>
      <c r="E92" s="101">
        <f t="array" ref="E92">MAX(INDEX(properties!A$1:CB$87,'Fórmula'!B92,3),INDEX(properties!A$1:CB$87,'Fórmula'!D92,3),INDEX(properties!A$1:CB$87,'Fórmula'!F92,3),INDEX(properties!A$1:CB$87,'Fórmula'!H92,3),INDEX(properties!A$1:CB$87,'Fórmula'!J92,3))</f>
        <v>157.25</v>
      </c>
      <c r="F92" s="101">
        <f t="array" ref="F92">MIN(IF(INDEX(properties!A$1:CB$87,'Fórmula'!B92,3)=0,10^6,INDEX(properties!A$1:CB$87,'Fórmula'!B92,3)),IF(INDEX(properties!A$1:CB$87,'Fórmula'!D92,3)=0,10^6,INDEX(properties!A$1:CB$87,'Fórmula'!D92,3)),IF(INDEX(properties!A$1:CB$87,'Fórmula'!F92,3)=0,10^6,INDEX(properties!A$1:CB$87,'Fórmula'!F92,3)),IF(INDEX(properties!A$1:CB$87,'Fórmula'!H92,3)=0,10^6,INDEX(properties!A$1:CB$87,'Fórmula'!H92,3)),IF(INDEX(properties!A$1:CB$87,'Fórmula'!J92,3)=0,10^6,INDEX(properties!A$1:CB$87,'Fórmula'!J92,3)))</f>
        <v>15.9994</v>
      </c>
      <c r="G92" s="101">
        <f t="shared" si="1"/>
        <v>141.2506</v>
      </c>
      <c r="H92" s="102">
        <f t="array" ref="H92">(('Fórmula'!C92)/('Fórmula'!C92+'Fórmula'!E92+'Fórmula'!G92+'Fórmula'!I92+'Fórmula'!K92))*(INDEX(properties!A$1:CB$87,'Fórmula'!B92,4))+(('Fórmula'!E92)/('Fórmula'!C92+'Fórmula'!E92+'Fórmula'!G92+'Fórmula'!I92+'Fórmula'!K92))*(INDEX(properties!A$1:CB$87,'Fórmula'!D92,4))+(('Fórmula'!G92)/('Fórmula'!C92+'Fórmula'!E92+'Fórmula'!G92+'Fórmula'!I92+'Fórmula'!K92))*(INDEX(properties!A$1:CB$87,'Fórmula'!F92,4))+(('Fórmula'!I92)/('Fórmula'!C92+'Fórmula'!E92+'Fórmula'!G92+'Fórmula'!I92+'Fórmula'!K92))*(INDEX(properties!A$1:CB$87,'Fórmula'!H92,4))+(('Fórmula'!K92)/('Fórmula'!C92+'Fórmula'!E92+'Fórmula'!G92+'Fórmula'!I92+'Fórmula'!K92))*(INDEX(properties!A$1:CB$87,'Fórmula'!J92,4))</f>
        <v>22.8</v>
      </c>
      <c r="I92" s="102">
        <f t="array" ref="I92">'Fórmula'!C92*(INDEX(properties!A$1:CB$87,'Fórmula'!B92,4))+'Fórmula'!E92*(INDEX(properties!A$1:CB$87,'Fórmula'!D92,4))+'Fórmula'!G92*(INDEX(properties!A$1:CB$87,'Fórmula'!F92,4))+'Fórmula'!I92*(INDEX(properties!A$1:CB$87,'Fórmula'!H92,4))+'Fórmula'!K92*(INDEX(properties!A$1:CB$87,'Fórmula'!J92,4))</f>
        <v>228</v>
      </c>
      <c r="J92" s="102">
        <f t="array" ref="J92">VARP(IF(INDEX(properties!A$1:CB$87,'Fórmula'!B92,4)&lt;&gt;"",INDEX(properties!A$1:CB$87,'Fórmula'!B92,4)),IF(INDEX(properties!A$1:CB$87,'Fórmula'!D92,4)&lt;&gt;"",INDEX(properties!A$1:CB$87,'Fórmula'!D92,4)),IF(INDEX(properties!A$1:CB$87,'Fórmula'!F92,4)&lt;&gt;"",INDEX(properties!A$1:CB$87,'Fórmula'!F92,4)),IF(INDEX(properties!A$1:CB$87,'Fórmula'!H92,4)&lt;&gt;"",INDEX(properties!A$1:CB$87,'Fórmula'!H92,4)),IF(INDEX(properties!A$1:CB$87,'Fórmula'!J92,4)&lt;&gt;"",INDEX(properties!A$1:CB$87,'Fórmula'!J92,4)))</f>
        <v>493.76</v>
      </c>
      <c r="K92" s="102">
        <f t="array" ref="K92">MAX(INDEX(properties!A$1:CB$87,'Fórmula'!B92,4),INDEX(properties!A$1:CB$87,'Fórmula'!D92,4),INDEX(properties!A$1:CB$87,'Fórmula'!F92,4),INDEX(properties!A$1:CB$87,'Fórmula'!H92,4),INDEX(properties!A$1:CB$87,'Fórmula'!J92,4))</f>
        <v>64</v>
      </c>
      <c r="L92" s="102">
        <f t="array" ref="L92">MIN(IF(INDEX(properties!A$1:CB$87,'Fórmula'!B92,4)=0,10^6,INDEX(properties!A$1:CB$87,'Fórmula'!B92,4)),IF(INDEX(properties!A$1:CB$87,'Fórmula'!D92,4)=0,10^6,INDEX(properties!A$1:CB$87,'Fórmula'!D92,4)),IF(INDEX(properties!A$1:CB$87,'Fórmula'!F92,4)=0,10^6,INDEX(properties!A$1:CB$87,'Fórmula'!F92,4)),IF(INDEX(properties!A$1:CB$87,'Fórmula'!H92,4)=0,10^6,INDEX(properties!A$1:CB$87,'Fórmula'!H92,4)),IF(INDEX(properties!A$1:CB$87,'Fórmula'!J92,4)=0,10^6,INDEX(properties!A$1:CB$87,'Fórmula'!J92,4)))</f>
        <v>8</v>
      </c>
      <c r="M92" s="102">
        <f t="shared" si="2"/>
        <v>56</v>
      </c>
      <c r="N92" s="103">
        <f t="array" ref="N92">(('Fórmula'!C92)/('Fórmula'!C92+'Fórmula'!E92+'Fórmula'!G92+'Fórmula'!I92+'Fórmula'!K92))*(INDEX(properties!A$1:CB$87,'Fórmula'!B92,5))+(('Fórmula'!E92)/('Fórmula'!C92+'Fórmula'!E92+'Fórmula'!G92+'Fórmula'!I92+'Fórmula'!K92))*(INDEX(properties!A$1:CB$87,'Fórmula'!D92,5))+(('Fórmula'!G92)/('Fórmula'!C92+'Fórmula'!E92+'Fórmula'!G92+'Fórmula'!I92+'Fórmula'!K92))*(INDEX(properties!A$1:CB$87,'Fórmula'!F92,5))+(('Fórmula'!I92)/('Fórmula'!C92+'Fórmula'!E92+'Fórmula'!G92+'Fórmula'!I92+'Fórmula'!K92))*(INDEX(properties!A$1:CB$87,'Fórmula'!H92,5))+(('Fórmula'!K92)/('Fórmula'!C92+'Fórmula'!E92+'Fórmula'!G92+'Fórmula'!I92+'Fórmula'!K92))*(INDEX(properties!A$1:CB$87,'Fórmula'!J92,5))</f>
        <v>3.2</v>
      </c>
      <c r="O92" s="103">
        <f t="array" ref="O92">'Fórmula'!C92*(INDEX(properties!A$1:CB$87,'Fórmula'!B92,5))+'Fórmula'!E92*(INDEX(properties!A$1:CB$87,'Fórmula'!D92,5))+'Fórmula'!G92*(INDEX(properties!A$1:CB$87,'Fórmula'!F92,5))+'Fórmula'!I92*(INDEX(properties!A$1:CB$87,'Fórmula'!H92,5))+'Fórmula'!K92*(INDEX(properties!A$1:CB$87,'Fórmula'!J92,5))</f>
        <v>32</v>
      </c>
      <c r="P92" s="103">
        <f t="array" ref="P92">VARP(IF(INDEX(properties!A$1:CB$87,'Fórmula'!B92,5)&lt;&gt;"",INDEX(properties!A$1:CB$87,'Fórmula'!B92,5)),IF(INDEX(properties!A$1:CB$87,'Fórmula'!D92,5)&lt;&gt;"",INDEX(properties!A$1:CB$87,'Fórmula'!D92,5)),IF(INDEX(properties!A$1:CB$87,'Fórmula'!F92,5)&lt;&gt;"",INDEX(properties!A$1:CB$87,'Fórmula'!F92,5)),IF(INDEX(properties!A$1:CB$87,'Fórmula'!H92,5)&lt;&gt;"",INDEX(properties!A$1:CB$87,'Fórmula'!H92,5)),IF(INDEX(properties!A$1:CB$87,'Fórmula'!J92,5)&lt;&gt;"",INDEX(properties!A$1:CB$87,'Fórmula'!J92,5)))</f>
        <v>4.16</v>
      </c>
      <c r="Q92" s="103">
        <f t="array" ref="Q92">MAX(INDEX(properties!A$1:CB$87,'Fórmula'!B92,5),INDEX(properties!A$1:CB$87,'Fórmula'!D92,5),INDEX(properties!A$1:CB$87,'Fórmula'!F92,5),INDEX(properties!A$1:CB$87,'Fórmula'!H92,5),INDEX(properties!A$1:CB$87,'Fórmula'!J92,5))</f>
        <v>6</v>
      </c>
      <c r="R92" s="103">
        <f t="array" ref="R92">MIN(IF(INDEX(properties!A$1:CB$87,'Fórmula'!B92,5)=0,10^6,INDEX(properties!A$1:CB$87,'Fórmula'!B92,5)),IF(INDEX(properties!A$1:CB$87,'Fórmula'!D92,5)=0,10^6,INDEX(properties!A$1:CB$87,'Fórmula'!D92,5)),IF(INDEX(properties!A$1:CB$87,'Fórmula'!F92,5)=0,10^6,INDEX(properties!A$1:CB$87,'Fórmula'!F92,5)),IF(INDEX(properties!A$1:CB$87,'Fórmula'!H92,5)=0,10^6,INDEX(properties!A$1:CB$87,'Fórmula'!H92,5)),IF(INDEX(properties!A$1:CB$87,'Fórmula'!J92,5)=0,10^6,INDEX(properties!A$1:CB$87,'Fórmula'!J92,5)))</f>
        <v>2</v>
      </c>
      <c r="S92" s="103">
        <f t="shared" si="3"/>
        <v>4</v>
      </c>
      <c r="T92" s="104">
        <f t="array" ref="T92">(('Fórmula'!C92)/('Fórmula'!C92+'Fórmula'!E92+'Fórmula'!G92+'Fórmula'!I92+'Fórmula'!K92))*(INDEX(properties!A$1:CB$87,'Fórmula'!B92,6))+(('Fórmula'!E92)/('Fórmula'!C92+'Fórmula'!E92+'Fórmula'!G92+'Fórmula'!I92+'Fórmula'!K92))*(INDEX(properties!A$1:CB$87,'Fórmula'!D92,6))+(('Fórmula'!G92)/('Fórmula'!C92+'Fórmula'!E92+'Fórmula'!G92+'Fórmula'!I92+'Fórmula'!K92))*(INDEX(properties!A$1:CB$87,'Fórmula'!F92,6))+(('Fórmula'!I92)/('Fórmula'!C92+'Fórmula'!E92+'Fórmula'!G92+'Fórmula'!I92+'Fórmula'!K92))*(INDEX(properties!A$1:CB$87,'Fórmula'!H92,6))+(('Fórmula'!K92)/('Fórmula'!C92+'Fórmula'!E92+'Fórmula'!G92+'Fórmula'!I92+'Fórmula'!K92))*(INDEX(properties!A$1:CB$87,'Fórmula'!J92,6))</f>
        <v>11.8</v>
      </c>
      <c r="U92" s="104">
        <f t="array" ref="U92">'Fórmula'!C92*(INDEX(properties!A$1:CB$87,'Fórmula'!B92,6))+'Fórmula'!E92*(INDEX(properties!A$1:CB$87,'Fórmula'!D92,6))+'Fórmula'!G92*(INDEX(properties!A$1:CB$87,'Fórmula'!F92,6))+'Fórmula'!I92*(INDEX(properties!A$1:CB$87,'Fórmula'!H92,6))+'Fórmula'!K92*(INDEX(properties!A$1:CB$87,'Fórmula'!J92,6))</f>
        <v>118</v>
      </c>
      <c r="V92" s="103">
        <f t="array" ref="V92">VARP(IF(INDEX(properties!A$1:CB$87,'Fórmula'!B92,6)&lt;&gt;"",INDEX(properties!A$1:CB$87,'Fórmula'!B92,6)),IF(INDEX(properties!A$1:CB$87,'Fórmula'!D92,6)&lt;&gt;"",INDEX(properties!A$1:CB$87,'Fórmula'!D92,6)),IF(INDEX(properties!A$1:CB$87,'Fórmula'!F92,6)&lt;&gt;"",INDEX(properties!A$1:CB$87,'Fórmula'!F92,6)),IF(INDEX(properties!A$1:CB$87,'Fórmula'!H92,6)&lt;&gt;"",INDEX(properties!A$1:CB$87,'Fórmula'!H92,6)),IF(INDEX(properties!A$1:CB$87,'Fórmula'!J92,6)&lt;&gt;"",INDEX(properties!A$1:CB$87,'Fórmula'!J92,6)))</f>
        <v>36</v>
      </c>
      <c r="W92" s="104">
        <f t="array" ref="W92">MAX(INDEX(properties!A$1:CB$87,'Fórmula'!B92,6),INDEX(properties!A$1:CB$87,'Fórmula'!D92,6),INDEX(properties!A$1:CB$87,'Fórmula'!F92,6),INDEX(properties!A$1:CB$87,'Fórmula'!H92,4),INDEX(properties!A$1:CB$87,'Fórmula'!J92,6))</f>
        <v>12</v>
      </c>
      <c r="X92" s="104">
        <f t="array" ref="X92">MIN(IF(INDEX(properties!A$1:CB$87,'Fórmula'!B92,6)=0,10^6,INDEX(properties!A$1:CB$87,'Fórmula'!B92,6)),IF(INDEX(properties!A$1:CB$87,'Fórmula'!D92,6)=0,10^6,INDEX(properties!A$1:CB$87,'Fórmula'!D92,6)),IF(INDEX(properties!A$1:CB$87,'Fórmula'!F92,6)=0,10^6,INDEX(properties!A$1:CB$87,'Fórmula'!F92,6)),IF(INDEX(properties!A$1:CB$87,'Fórmula'!H92,6)=0,10^6,INDEX(properties!A$1:CB$87,'Fórmula'!H92,6)),IF(INDEX(properties!A$1:CB$87,'Fórmula'!J92,6)=0,10^6,INDEX(properties!A$1:CB$87,'Fórmula'!J92,6)))</f>
        <v>3</v>
      </c>
      <c r="Y92" s="104">
        <f t="shared" si="4"/>
        <v>9</v>
      </c>
      <c r="Z92" s="105">
        <f t="array" ref="Z92">(('Fórmula'!C92)/('Fórmula'!C92+'Fórmula'!E92+'Fórmula'!G92+'Fórmula'!I92+'Fórmula'!K92))*(INDEX(properties!A$1:CB$87,'Fórmula'!B92,9))+(('Fórmula'!E92)/('Fórmula'!C92+'Fórmula'!E92+'Fórmula'!G92+'Fórmula'!I92+'Fórmula'!K92))*(INDEX(properties!A$1:CB$87,'Fórmula'!D92,9))+(('Fórmula'!G92)/('Fórmula'!C92+'Fórmula'!E92+'Fórmula'!G92+'Fórmula'!I92+'Fórmula'!K92))*(INDEX(properties!A$1:CB$87,'Fórmula'!F92,9))+(('Fórmula'!I92)/('Fórmula'!C92+'Fórmula'!E92+'Fórmula'!G92+'Fórmula'!I92+'Fórmula'!K92))*(INDEX(properties!A$1:CB$87,'Fórmula'!H92,9))+(('Fórmula'!K92)/('Fórmula'!C92+'Fórmula'!E92+'Fórmula'!G92+'Fórmula'!I92+'Fórmula'!K92))*(INDEX(properties!A$1:CB$87,'Fórmula'!J92,9))</f>
        <v>68.8</v>
      </c>
      <c r="AA92" s="105">
        <f t="array" ref="AA92">'Fórmula'!C92*(INDEX(properties!A$1:CB$87,'Fórmula'!B92,9))+'Fórmula'!E92*(INDEX(properties!A$1:CB$87,'Fórmula'!D92,9))+'Fórmula'!G92*(INDEX(properties!A$1:CB$87,'Fórmula'!F92,9))+'Fórmula'!I92*(INDEX(properties!A$1:CB$87,'Fórmula'!H92,9))+'Fórmula'!K92*(INDEX(properties!A$1:CB$87,'Fórmula'!J92,9))</f>
        <v>688</v>
      </c>
      <c r="AB92" s="105">
        <f t="array" ref="AB92">VARP(IF(INDEX(properties!A$1:CB$87,'Fórmula'!B92,9)&lt;&gt;"",INDEX(properties!A$1:CB$87,'Fórmula'!B92,9)),IF(INDEX(properties!A$1:CB$87,'Fórmula'!D92,9)&lt;&gt;"",INDEX(properties!A$1:CB$87,'Fórmula'!D92,9)),IF(INDEX(properties!A$1:CB$87,'Fórmula'!F92,9)&lt;&gt;"",INDEX(properties!A$1:CB$87,'Fórmula'!F92,9)),IF(INDEX(properties!A$1:CB$87,'Fórmula'!H92,9)&lt;&gt;"",INDEX(properties!A$1:CB$87,'Fórmula'!H92,9)),IF(INDEX(properties!A$1:CB$87,'Fórmula'!J92,9)&lt;&gt;"",INDEX(properties!A$1:CB$87,'Fórmula'!J92,9)))</f>
        <v>938.56</v>
      </c>
      <c r="AC92" s="105">
        <f t="array" ref="AC92">MAX(INDEX(properties!A$1:CB$87,'Fórmula'!B92,9),INDEX(properties!A$1:CB$87,'Fórmula'!D92,9),INDEX(properties!A$1:CB$87,'Fórmula'!F92,9),INDEX(properties!A$1:CB$87,'Fórmula'!H92,9),INDEX(properties!A$1:CB$87,'Fórmula'!J92,9))</f>
        <v>87</v>
      </c>
      <c r="AD92" s="105">
        <f t="array" ref="AD92">MIN(IF(INDEX(properties!A$1:CB$87,'Fórmula'!B92,9)=0,10^6,INDEX(properties!A$1:CB$87,'Fórmula'!B92,9)),IF(INDEX(properties!A$1:CB$87,'Fórmula'!D92,9)=0,10^6,INDEX(properties!A$1:CB$87,'Fórmula'!D92,9)),IF(INDEX(properties!A$1:CB$87,'Fórmula'!F92,9)=0,10^6,INDEX(properties!A$1:CB$87,'Fórmula'!F92,9)),IF(INDEX(properties!A$1:CB$87,'Fórmula'!H92,9)=0,10^6,INDEX(properties!A$1:CB$87,'Fórmula'!H92,9)),IF(INDEX(properties!A$1:CB$87,'Fórmula'!J92,9)=0,10^6,INDEX(properties!A$1:CB$87,'Fórmula'!J92,9)))</f>
        <v>27</v>
      </c>
      <c r="AE92" s="105">
        <f t="shared" si="5"/>
        <v>60</v>
      </c>
      <c r="AF92" s="106">
        <f t="array" ref="AF92">(('Fórmula'!C92)/('Fórmula'!C92+'Fórmula'!E92+'Fórmula'!G92+'Fórmula'!I92+'Fórmula'!K92))*(INDEX(properties!A$1:CB$87,'Fórmula'!B92,10))+(('Fórmula'!E92)/('Fórmula'!C92+'Fórmula'!E92+'Fórmula'!G92+'Fórmula'!I92+'Fórmula'!K92))*(INDEX(properties!A$1:CB$87,'Fórmula'!D92,10))+(('Fórmula'!G92)/('Fórmula'!C92+'Fórmula'!E92+'Fórmula'!G92+'Fórmula'!I92+'Fórmula'!K92))*(INDEX(properties!A$1:CB$87,'Fórmula'!F92,10))+(('Fórmula'!I92)/('Fórmula'!C92+'Fórmula'!E92+'Fórmula'!G92+'Fórmula'!I92+'Fórmula'!K92))*(INDEX(properties!A$1:CB$87,'Fórmula'!H92,10))+(('Fórmula'!K92)/('Fórmula'!C92+'Fórmula'!E92+'Fórmula'!G92+'Fórmula'!I92+'Fórmula'!K92))*(INDEX(properties!A$1:CB$87,'Fórmula'!J92,10))</f>
        <v>5.6</v>
      </c>
      <c r="AG92" s="106">
        <f t="array" ref="AG92">'Fórmula'!C92*(INDEX(properties!A$1:CB$87,'Fórmula'!B92,10))+'Fórmula'!E92*(INDEX(properties!A$1:CB$87,'Fórmula'!D92,10))+'Fórmula'!G92*(INDEX(properties!A$1:CB$87,'Fórmula'!F92,10))+'Fórmula'!I92*(INDEX(properties!A$1:CB$87,'Fórmula'!H92,10))+'Fórmula'!K92*(INDEX(properties!A$1:CB$87,'Fórmula'!J92,10))</f>
        <v>56</v>
      </c>
      <c r="AH92" s="106">
        <f t="array" ref="AH92">VARP(IF(INDEX(properties!A$1:CB$87,'Fórmula'!B92,10)&lt;&gt;"",INDEX(properties!A$1:CB$87,'Fórmula'!B92,10)),IF(INDEX(properties!A$1:CB$87,'Fórmula'!D92,10)&lt;&gt;"",INDEX(properties!A$1:CB$87,'Fórmula'!D92,10)),IF(INDEX(properties!A$1:CB$87,'Fórmula'!F92,10)&lt;&gt;"",INDEX(properties!A$1:CB$87,'Fórmula'!F92,10)),IF(INDEX(properties!A$1:CB$87,'Fórmula'!H92,10)&lt;&gt;"",INDEX(properties!A$1:CB$87,'Fórmula'!H92,10)),IF(INDEX(properties!A$1:CB$87,'Fórmula'!J92,10)&lt;&gt;"",INDEX(properties!A$1:CB$87,'Fórmula'!J92,10)))</f>
        <v>5.04</v>
      </c>
      <c r="AI92" s="106">
        <f t="array" ref="AI92">MAX(INDEX(properties!A$1:CB$87,'Fórmula'!B92,10),INDEX(properties!A$1:CB$87,'Fórmula'!D92,10),INDEX(properties!A$1:CB$87,'Fórmula'!F92,10),INDEX(properties!A$1:CB$87,'Fórmula'!H92,10),INDEX(properties!A$1:CB$87,'Fórmula'!J92,10))</f>
        <v>7</v>
      </c>
      <c r="AJ92" s="106">
        <f t="array" ref="AJ92">MIN(IF(INDEX(properties!A$1:CB$87,'Fórmula'!B92,10)=0,10^6,INDEX(properties!A$1:CB$87,'Fórmula'!B92,10)),IF(INDEX(properties!A$1:CB$87,'Fórmula'!D92,10)=0,10^6,INDEX(properties!A$1:CB$87,'Fórmula'!D92,10)),IF(INDEX(properties!A$1:CB$87,'Fórmula'!F92,10)=0,10^6,INDEX(properties!A$1:CB$87,'Fórmula'!F92,10)),IF(INDEX(properties!A$1:CB$87,'Fórmula'!H92,10)=0,10^6,INDEX(properties!A$1:CB$87,'Fórmula'!H92,10)),IF(INDEX(properties!A$1:CB$87,'Fórmula'!J92,10)=0,10^6,INDEX(properties!A$1:CB$87,'Fórmula'!J92,10)))</f>
        <v>3</v>
      </c>
      <c r="AK92" s="106">
        <f t="shared" si="6"/>
        <v>4</v>
      </c>
      <c r="AL92" s="107">
        <f t="array" ref="AL92">(('Fórmula'!C92)/('Fórmula'!C92+'Fórmula'!E92+'Fórmula'!G92+'Fórmula'!I92+'Fórmula'!K92))*(INDEX(properties!A$1:CB$87,'Fórmula'!B92,11))+(('Fórmula'!E92)/('Fórmula'!C92+'Fórmula'!E92+'Fórmula'!G92+'Fórmula'!I92+'Fórmula'!K92))*(INDEX(properties!A$1:CB$87,'Fórmula'!D92,11))+(('Fórmula'!G92)/('Fórmula'!C92+'Fórmula'!E92+'Fórmula'!G92+'Fórmula'!I92+'Fórmula'!K92))*(INDEX(properties!A$1:CB$87,'Fórmula'!F92,11))+(('Fórmula'!I92)/('Fórmula'!C92+'Fórmula'!E92+'Fórmula'!G92+'Fórmula'!I92+'Fórmula'!K92))*(INDEX(properties!A$1:CB$87,'Fórmula'!H92,11))+(('Fórmula'!K92)/('Fórmula'!C92+'Fórmula'!E92+'Fórmula'!G92+'Fórmula'!I92+'Fórmula'!K92))*(INDEX(properties!A$1:CB$87,'Fórmula'!J92,11))</f>
        <v>2</v>
      </c>
      <c r="AM92" s="107">
        <f t="array" ref="AM92">'Fórmula'!C92*(INDEX(properties!A$1:CB$87,'Fórmula'!B92,11))+'Fórmula'!E92*(INDEX(properties!A$1:CB$87,'Fórmula'!D92,11))+'Fórmula'!G92*(INDEX(properties!A$1:CB$87,'Fórmula'!F92,11))+'Fórmula'!I92*(INDEX(properties!A$1:CB$87,'Fórmula'!H92,11))+'Fórmula'!K92*(INDEX(properties!A$1:CB$87,'Fórmula'!J92,11))</f>
        <v>20</v>
      </c>
      <c r="AN92" s="107">
        <f t="array" ref="AN92">VARP(IF(INDEX(properties!A$1:CB$87,'Fórmula'!B92,11)&lt;&gt;"",INDEX(properties!A$1:CB$87,'Fórmula'!B92,11)),IF(INDEX(properties!A$1:CB$87,'Fórmula'!D92,11)&lt;&gt;"",INDEX(properties!A$1:CB$87,'Fórmula'!D92,11)),IF(INDEX(properties!A$1:CB$87,'Fórmula'!F92,11)&lt;&gt;"",INDEX(properties!A$1:CB$87,'Fórmula'!F92,11)),IF(INDEX(properties!A$1:CB$87,'Fórmula'!H92,11)&lt;&gt;"",INDEX(properties!A$1:CB$87,'Fórmula'!H92,11)),IF(INDEX(properties!A$1:CB$87,'Fórmula'!J92,11)&lt;&gt;"",INDEX(properties!A$1:CB$87,'Fórmula'!J92,11)))</f>
        <v>0.64</v>
      </c>
      <c r="AO92" s="107">
        <f t="array" ref="AO92">MAX(INDEX(properties!A$1:CB$87,'Fórmula'!B92,11),INDEX(properties!A$1:CB$87,'Fórmula'!D92,11),INDEX(properties!A$1:CB$87,'Fórmula'!F92,11),INDEX(properties!A$1:CB$87,'Fórmula'!H92,11),INDEX(properties!A$1:CB$87,'Fórmula'!J92,11))</f>
        <v>2</v>
      </c>
      <c r="AP92" s="107">
        <f t="array" ref="AP92">MIN(IF('Fórmula'!B92=87,10^6,INDEX(properties!A$1:CB$87,'Fórmula'!B92,11)),IF(('Fórmula'!D92)=87,10^6,INDEX(properties!A$1:CB$87,'Fórmula'!D92,11)),IF(('Fórmula'!F92)=87,10^6,INDEX(properties!A$1:CB$87,'Fórmula'!F92,11)),IF(('Fórmula'!H92)=87,10^6,INDEX(properties!A$1:CB$87,'Fórmula'!H92,11)),IF('Fórmula'!J92=87,10^6,INDEX(properties!A$1:CB$87,'Fórmula'!J92,11)))</f>
        <v>2</v>
      </c>
      <c r="AQ92" s="107">
        <f t="shared" si="7"/>
        <v>0</v>
      </c>
      <c r="AR92" s="108">
        <f t="array" ref="AR92">(('Fórmula'!C92)/('Fórmula'!C92+'Fórmula'!E92+'Fórmula'!G92+'Fórmula'!I92+'Fórmula'!K92))*(INDEX(properties!A$1:CB$87,'Fórmula'!B92,12))+(('Fórmula'!E92)/('Fórmula'!C92+'Fórmula'!E92+'Fórmula'!G92+'Fórmula'!I92+'Fórmula'!K92))*(INDEX(properties!A$1:CB$87,'Fórmula'!D92,12))+(('Fórmula'!G92)/('Fórmula'!C92+'Fórmula'!E92+'Fórmula'!G92+'Fórmula'!I92+'Fórmula'!K92))*(INDEX(properties!A$1:CB$87,'Fórmula'!F92,12))+(('Fórmula'!I92)/('Fórmula'!C92+'Fórmula'!E92+'Fórmula'!G92+'Fórmula'!I92+'Fórmula'!K92))*(INDEX(properties!A$1:CB$87,'Fórmula'!H92,12))+(('Fórmula'!K92)/('Fórmula'!C92+'Fórmula'!E92+'Fórmula'!G92+'Fórmula'!I92+'Fórmula'!K92))*(INDEX(properties!A$1:CB$87,'Fórmula'!J92,12))</f>
        <v>2.4</v>
      </c>
      <c r="AS92" s="108">
        <f t="array" ref="AS92">'Fórmula'!C92*(INDEX(properties!A$1:CB$87,'Fórmula'!B92,12))+'Fórmula'!E92*(INDEX(properties!A$1:CB$87,'Fórmula'!D92,12))+'Fórmula'!G92*(INDEX(properties!A$1:CB$87,'Fórmula'!F92,12))+'Fórmula'!I92*(INDEX(properties!A$1:CB$87,'Fórmula'!H92,12))+'Fórmula'!K92*(INDEX(properties!A$1:CB$87,'Fórmula'!J92,12))</f>
        <v>24</v>
      </c>
      <c r="AT92" s="108">
        <f t="array" ref="AT92">VARP(IF(INDEX(properties!A$1:CB$87,'Fórmula'!B92,12)&lt;&gt;"",INDEX(properties!A$1:CB$87,'Fórmula'!B92,12)),IF(INDEX(properties!A$1:CB$87,'Fórmula'!D92,12)&lt;&gt;"",INDEX(properties!A$1:CB$87,'Fórmula'!D92,12)),IF(INDEX(properties!A$1:CB$87,'Fórmula'!F92,12)&lt;&gt;"",INDEX(properties!A$1:CB$87,'Fórmula'!F92,12)),IF(INDEX(properties!A$1:CB$87,'Fórmula'!H92,12)&lt;&gt;"",INDEX(properties!A$1:CB$87,'Fórmula'!H92,12)),IF(INDEX(properties!A$1:CB$87,'Fórmula'!J92,12)&lt;&gt;"",INDEX(properties!A$1:CB$87,'Fórmula'!J92,12)))</f>
        <v>2.56</v>
      </c>
      <c r="AU92" s="108">
        <f t="array" ref="AU92">MAX(INDEX(properties!A$1:CB$87,'Fórmula'!B92,12),INDEX(properties!A$1:CB$87,'Fórmula'!D92,12),INDEX(properties!A$1:CB$87,'Fórmula'!F92,12),INDEX(properties!A$1:CB$87,'Fórmula'!H92,12),INDEX(properties!A$1:CB$87,'Fórmula'!J92,12))</f>
        <v>4</v>
      </c>
      <c r="AV92" s="108">
        <f t="array" ref="AV92">MIN(IF('Fórmula'!B92=87,10^6,INDEX(properties!A$1:CB$87,'Fórmula'!B92,12)),IF(('Fórmula'!D92)=87,10^6,INDEX(properties!A$1:CB$87,'Fórmula'!D92,12)),IF(('Fórmula'!F92)=87,10^6,INDEX(properties!A$1:CB$87,'Fórmula'!F92,12)),IF(('Fórmula'!H92)=87,10^6,INDEX(properties!A$1:CB$87,'Fórmula'!H92,12)),IF('Fórmula'!J92=87,10^6,INDEX(properties!A$1:CB$87,'Fórmula'!J92,12)))</f>
        <v>0</v>
      </c>
      <c r="AW92" s="108">
        <f t="shared" si="8"/>
        <v>4</v>
      </c>
      <c r="AX92" s="109">
        <f t="array" ref="AX92">(('Fórmula'!C92)/('Fórmula'!C92+'Fórmula'!E92+'Fórmula'!G92+'Fórmula'!I92+'Fórmula'!K92))*(INDEX(properties!A$1:CB$87,'Fórmula'!B92,13))+(('Fórmula'!E92)/('Fórmula'!C92+'Fórmula'!E92+'Fórmula'!G92+'Fórmula'!I92+'Fórmula'!K92))*(INDEX(properties!A$1:CB$87,'Fórmula'!D92,13))+(('Fórmula'!G92)/('Fórmula'!C92+'Fórmula'!E92+'Fórmula'!G92+'Fórmula'!I92+'Fórmula'!K92))*(INDEX(properties!A$1:CB$87,'Fórmula'!F92,13))+(('Fórmula'!I92)/('Fórmula'!C92+'Fórmula'!E92+'Fórmula'!G92+'Fórmula'!I92+'Fórmula'!K92))*(INDEX(properties!A$1:CB$87,'Fórmula'!H92,13))+(('Fórmula'!K92)/('Fórmula'!C92+'Fórmula'!E92+'Fórmula'!G92+'Fórmula'!I92+'Fórmula'!K92))*(INDEX(properties!A$1:CB$87,'Fórmula'!J92,13))</f>
        <v>1.4</v>
      </c>
      <c r="AY92" s="109">
        <f t="array" ref="AY92">'Fórmula'!C92*(INDEX(properties!A$1:CB$87,'Fórmula'!B92,13))+'Fórmula'!E92*(INDEX(properties!A$1:CB$87,'Fórmula'!D92,13))+'Fórmula'!G92*(INDEX(properties!A$1:CB$87,'Fórmula'!F92,13))+'Fórmula'!I92*(INDEX(properties!A$1:CB$87,'Fórmula'!H92,13))+'Fórmula'!K92*(INDEX(properties!A$1:CB$87,'Fórmula'!J92,13))</f>
        <v>14</v>
      </c>
      <c r="AZ92" s="109">
        <f t="array" ref="AZ92">VARP(IF(INDEX(properties!A$1:CB$87,'Fórmula'!B92,13)&lt;&gt;"",INDEX(properties!A$1:CB$87,'Fórmula'!B92,13)),IF(INDEX(properties!A$1:CB$87,'Fórmula'!D92,13)&lt;&gt;"",INDEX(properties!A$1:CB$87,'Fórmula'!D92,13)),IF(INDEX(properties!A$1:CB$87,'Fórmula'!F92,13)&lt;&gt;"",INDEX(properties!A$1:CB$87,'Fórmula'!F92,13)),IF(INDEX(properties!A$1:CB$87,'Fórmula'!H92,13)&lt;&gt;"",INDEX(properties!A$1:CB$87,'Fórmula'!H92,13)),IF(INDEX(properties!A$1:CB$87,'Fórmula'!J92,13)&lt;&gt;"",INDEX(properties!A$1:CB$87,'Fórmula'!J92,13)))</f>
        <v>14.24</v>
      </c>
      <c r="BA92" s="109">
        <f t="array" ref="BA92">MAX(INDEX(properties!A$1:CB$87,'Fórmula'!B92,13),INDEX(properties!A$1:CB$87,'Fórmula'!D92,13),INDEX(properties!A$1:CB$87,'Fórmula'!F92,13),INDEX(properties!A$1:CB$87,'Fórmula'!H92,13),INDEX(properties!A$1:CB$87,'Fórmula'!J92,13))</f>
        <v>10</v>
      </c>
      <c r="BB92" s="109">
        <f t="array" ref="BB92">MIN(IF('Fórmula'!B92=87,10^6,INDEX(properties!A$1:CB$87,'Fórmula'!B92,13)),IF(('Fórmula'!D92)=87,10^6,INDEX(properties!A$1:CB$87,'Fórmula'!D92,13)),IF(('Fórmula'!F92)=87,10^6,INDEX(properties!A$1:CB$87,'Fórmula'!F92,13)),IF(('Fórmula'!H92)=87,10^6,INDEX(properties!A$1:CB$87,'Fórmula'!H92,13)),IF('Fórmula'!J92=87,10^6,INDEX(properties!A$1:CB$87,'Fórmula'!J92,13)))</f>
        <v>0</v>
      </c>
      <c r="BC92" s="109">
        <f t="shared" si="9"/>
        <v>10</v>
      </c>
      <c r="BD92" s="110">
        <f t="array" ref="BD92">(('Fórmula'!C92)/('Fórmula'!C92+'Fórmula'!E92+'Fórmula'!G92+'Fórmula'!I92+'Fórmula'!K92))*(INDEX(properties!A$1:CB$87,'Fórmula'!B92,14))+(('Fórmula'!E92)/('Fórmula'!C92+'Fórmula'!E92+'Fórmula'!G92+'Fórmula'!I92+'Fórmula'!K92))*(INDEX(properties!A$1:CB$87,'Fórmula'!D92,14))+(('Fórmula'!G92)/('Fórmula'!C92+'Fórmula'!E92+'Fórmula'!G92+'Fórmula'!I92+'Fórmula'!K92))*(INDEX(properties!A$1:CB$87,'Fórmula'!F92,14))+(('Fórmula'!I92)/('Fórmula'!C92+'Fórmula'!E92+'Fórmula'!G92+'Fórmula'!I92+'Fórmula'!K92))*(INDEX(properties!A$1:CB$87,'Fórmula'!H92,14))+(('Fórmula'!K92)/('Fórmula'!C92+'Fórmula'!E92+'Fórmula'!G92+'Fórmula'!I92+'Fórmula'!K92))*(INDEX(properties!A$1:CB$87,'Fórmula'!J92,14))</f>
        <v>1.4</v>
      </c>
      <c r="BE92" s="110">
        <f t="array" ref="BE92">'Fórmula'!C92*(INDEX(properties!A$1:CB$87,'Fórmula'!B92,14))+'Fórmula'!E92*(INDEX(properties!A$1:CB$87,'Fórmula'!D92,14))+'Fórmula'!G92*(INDEX(properties!A$1:CB$87,'Fórmula'!F92,14))+'Fórmula'!I92*(INDEX(properties!A$1:CB$87,'Fórmula'!H92,14))+'Fórmula'!K92*(INDEX(properties!A$1:CB$87,'Fórmula'!J92,14))</f>
        <v>14</v>
      </c>
      <c r="BF92" s="110">
        <f t="array" ref="BF92">VARP(IF(INDEX(properties!A$1:CB$87,'Fórmula'!B92,14)&lt;&gt;"",INDEX(properties!A$1:CB$87,'Fórmula'!B92,14)),IF(INDEX(properties!A$1:CB$87,'Fórmula'!D92,14)&lt;&gt;"",INDEX(properties!A$1:CB$87,'Fórmula'!D92,14)),IF(INDEX(properties!A$1:CB$87,'Fórmula'!F92,14)&lt;&gt;"",INDEX(properties!A$1:CB$87,'Fórmula'!F92,14)),IF(INDEX(properties!A$1:CB$87,'Fórmula'!H92,14)&lt;&gt;"",INDEX(properties!A$1:CB$87,'Fórmula'!H92,14)),IF(INDEX(properties!A$1:CB$87,'Fórmula'!J92,14)&lt;&gt;"",INDEX(properties!A$1:CB$87,'Fórmula'!J92,14)))</f>
        <v>7.84</v>
      </c>
      <c r="BG92" s="110">
        <f t="array" ref="BG92">MAX(INDEX(properties!A$1:CB$87,'Fórmula'!B92,14),INDEX(properties!A$1:CB$87,'Fórmula'!D92,14),INDEX(properties!A$1:CB$87,'Fórmula'!F92,14),INDEX(properties!A$1:CB$87,'Fórmula'!H92,14),INDEX(properties!A$1:CB$87,'Fórmula'!J92,14))</f>
        <v>7</v>
      </c>
      <c r="BH92" s="110">
        <f t="array" ref="BH92">MIN(IF('Fórmula'!B92=87,10^6,INDEX(properties!A$1:CB$87,'Fórmula'!B92,14)),IF(('Fórmula'!D92)=87,10^6,INDEX(properties!A$1:CB$87,'Fórmula'!D92,14)),IF(('Fórmula'!F92)=87,10^6,INDEX(properties!A$1:CB$87,'Fórmula'!F92,14)),IF(('Fórmula'!H92)=87,10^6,INDEX(properties!A$1:CB$87,'Fórmula'!H92,14)),IF('Fórmula'!J92=87,10^6,INDEX(properties!A$1:CB$87,'Fórmula'!J92,14)))</f>
        <v>0</v>
      </c>
      <c r="BI92" s="110">
        <f t="shared" si="10"/>
        <v>7</v>
      </c>
      <c r="BJ92" s="111">
        <f t="array" ref="BJ92">(('Fórmula'!C92)/('Fórmula'!C92+'Fórmula'!E92+'Fórmula'!G92+'Fórmula'!I92+'Fórmula'!K92))*(INDEX(properties!A$1:CB$87,'Fórmula'!B92,19))+(('Fórmula'!E92)/('Fórmula'!C92+'Fórmula'!E92+'Fórmula'!G92+'Fórmula'!I92+'Fórmula'!K92))*(INDEX(properties!A$1:CB$87,'Fórmula'!D92,19))+(('Fórmula'!G92)/('Fórmula'!C92+'Fórmula'!E92+'Fórmula'!G92+'Fórmula'!I92+'Fórmula'!K92))*(INDEX(properties!A$1:CB$87,'Fórmula'!F92,19))+(('Fórmula'!I92)/('Fórmula'!C92+'Fórmula'!E92+'Fórmula'!G92+'Fórmula'!I92+'Fórmula'!K92))*(INDEX(properties!A$1:CB$87,'Fórmula'!H92,19))+(('Fórmula'!K92)/('Fórmula'!C92+'Fórmula'!E92+'Fórmula'!G92+'Fórmula'!I92+'Fórmula'!K92))*(INDEX(properties!A$1:CB$87,'Fórmula'!J92,19))</f>
        <v>7.2</v>
      </c>
      <c r="BK92" s="111">
        <f t="array" ref="BK92">'Fórmula'!C92*(INDEX(properties!A$1:CB$87,'Fórmula'!B92,19))+'Fórmula'!E92*(INDEX(properties!A$1:CB$87,'Fórmula'!D92,19))+'Fórmula'!G92*(INDEX(properties!A$1:CB$87,'Fórmula'!F92,19))+'Fórmula'!I92*(INDEX(properties!A$1:CB$87,'Fórmula'!H92,19))+'Fórmula'!K92*(INDEX(properties!A$1:CB$87,'Fórmula'!J92,19))</f>
        <v>72</v>
      </c>
      <c r="BL92" s="111">
        <f t="array" ref="BL92">VARP(IF(INDEX(properties!A$1:CB$87,'Fórmula'!B92,19)&lt;&gt;"",INDEX(properties!A$1:CB$87,'Fórmula'!B92,19)),IF(INDEX(properties!A$1:CB$87,'Fórmula'!D92,19)&lt;&gt;"",INDEX(properties!A$1:CB$87,'Fórmula'!D92,19)),IF(INDEX(properties!A$1:CB$87,'Fórmula'!F92,19)&lt;&gt;"",INDEX(properties!A$1:CB$87,'Fórmula'!F92,19)),IF(INDEX(properties!A$1:CB$87,'Fórmula'!H92,19)&lt;&gt;"",INDEX(properties!A$1:CB$87,'Fórmula'!H92,19)),IF(INDEX(properties!A$1:CB$87,'Fórmula'!J92,19)&lt;&gt;"",INDEX(properties!A$1:CB$87,'Fórmula'!J92,19)))</f>
        <v>18.24</v>
      </c>
      <c r="BM92" s="111">
        <f t="array" ref="BM92">MAX(INDEX(properties!A$1:CB$87,'Fórmula'!B92,19),INDEX(properties!A$1:CB$87,'Fórmula'!D92,19),INDEX(properties!A$1:CB$87,'Fórmula'!F92,19),INDEX(properties!A$1:CB$87,'Fórmula'!H92,19),INDEX(properties!A$1:CB$87,'Fórmula'!J92,19))</f>
        <v>12</v>
      </c>
      <c r="BN92" s="111">
        <f t="array" ref="BN92">MIN(IF(INDEX(properties!A$1:CB$87,'Fórmula'!B92,19)=0,10^6,INDEX(properties!A$1:CB$87,'Fórmula'!B92,19)),IF(INDEX(properties!A$1:CB$87,'Fórmula'!D92,19)=0,10^6,INDEX(properties!A$1:CB$87,'Fórmula'!D92,19)),IF(INDEX(properties!A$1:CB$87,'Fórmula'!F92,19)=0,10^6,INDEX(properties!A$1:CB$87,'Fórmula'!F92,19)),IF(INDEX(properties!A$1:CB$87,'Fórmula'!H92,19)=0,10^6,INDEX(properties!A$1:CB$87,'Fórmula'!H92,19)),IF(INDEX(properties!A$1:CB$87,'Fórmula'!J92,19)=0,10^6,INDEX(properties!A$1:CB$87,'Fórmula'!J92,19)))</f>
        <v>4</v>
      </c>
      <c r="BO92" s="111">
        <f t="shared" si="11"/>
        <v>8</v>
      </c>
      <c r="BP92" s="112">
        <f t="array" ref="BP92">(('Fórmula'!C92)/('Fórmula'!C92+'Fórmula'!E92+'Fórmula'!G92+'Fórmula'!I92+'Fórmula'!K92))*(INDEX(properties!A$1:CB$87,'Fórmula'!B92,20))+(('Fórmula'!E92)/('Fórmula'!C92+'Fórmula'!E92+'Fórmula'!G92+'Fórmula'!I92+'Fórmula'!K92))*(INDEX(properties!A$1:CB$87,'Fórmula'!D92,20))+(('Fórmula'!G92)/('Fórmula'!C92+'Fórmula'!E92+'Fórmula'!G92+'Fórmula'!I92+'Fórmula'!K92))*(INDEX(properties!A$1:CB$87,'Fórmula'!F92,20))+(('Fórmula'!I92)/('Fórmula'!C92+'Fórmula'!E92+'Fórmula'!G92+'Fórmula'!I92+'Fórmula'!K92))*(INDEX(properties!A$1:CB$87,'Fórmula'!H92,20))+(('Fórmula'!K92)/('Fórmula'!C92+'Fórmula'!E92+'Fórmula'!G92+'Fórmula'!I92+'Fórmula'!K92))*(INDEX(properties!A$1:CB$87,'Fórmula'!J92,20))</f>
        <v>4.4</v>
      </c>
      <c r="BQ92" s="112">
        <f t="array" ref="BQ92">'Fórmula'!C92*(INDEX(properties!A$1:CB$87,'Fórmula'!B92,20))+'Fórmula'!E92*(INDEX(properties!A$1:CB$87,'Fórmula'!D92,20))+'Fórmula'!G92*(INDEX(properties!A$1:CB$87,'Fórmula'!F92,20))+'Fórmula'!I92*(INDEX(properties!A$1:CB$87,'Fórmula'!H92,20))+'Fórmula'!K92*(INDEX(properties!A$1:CB$87,'Fórmula'!J92,20))</f>
        <v>44</v>
      </c>
      <c r="BR92" s="112">
        <f t="array" ref="BR92">VARP(IF(INDEX(properties!A$1:CB$87,'Fórmula'!B92,20)&lt;&gt;"",INDEX(properties!A$1:CB$87,'Fórmula'!B92,20)),IF(INDEX(properties!A$1:CB$87,'Fórmula'!D92,20)&lt;&gt;"",INDEX(properties!A$1:CB$87,'Fórmula'!D92,20)),IF(INDEX(properties!A$1:CB$87,'Fórmula'!F92,20)&lt;&gt;"",INDEX(properties!A$1:CB$87,'Fórmula'!F92,20)),IF(INDEX(properties!A$1:CB$87,'Fórmula'!H92,20)&lt;&gt;"",INDEX(properties!A$1:CB$87,'Fórmula'!H92,20)),IF(INDEX(properties!A$1:CB$87,'Fórmula'!J92,20)&lt;&gt;"",INDEX(properties!A$1:CB$87,'Fórmula'!J92,20)))</f>
        <v>3.84</v>
      </c>
      <c r="BS92" s="112">
        <f t="array" ref="BS92">MAX(INDEX(properties!A$1:CB$87,'Fórmula'!B92,20),INDEX(properties!A$1:CB$87,'Fórmula'!D92,20),INDEX(properties!A$1:CB$87,'Fórmula'!F92,20),INDEX(properties!A$1:CB$87,'Fórmula'!H92,20),INDEX(properties!A$1:CB$87,'Fórmula'!J92,20))</f>
        <v>6</v>
      </c>
      <c r="BT92" s="112">
        <f t="array" ref="BT92">MIN(IF(INDEX(properties!A$1:CB$87,'Fórmula'!B92,20)=0,10^6,INDEX(properties!A$1:CB$87,'Fórmula'!B92,20)),IF(INDEX(properties!A$1:CB$87,'Fórmula'!D92,20)=0,10^6,INDEX(properties!A$1:CB$87,'Fórmula'!D92,20)),IF(INDEX(properties!A$1:CB$87,'Fórmula'!F92,20)=0,10^6,INDEX(properties!A$1:CB$87,'Fórmula'!F92,20)),IF(INDEX(properties!A$1:CB$87,'Fórmula'!H92,20)=0,10^6,INDEX(properties!A$1:CB$87,'Fórmula'!H92,20)),IF(INDEX(properties!A$1:CB$87,'Fórmula'!J92,20)=0,10^6,INDEX(properties!A$1:CB$87,'Fórmula'!J92,20)))</f>
        <v>2</v>
      </c>
      <c r="BU92" s="112">
        <f t="shared" si="12"/>
        <v>4</v>
      </c>
      <c r="BV92" s="113">
        <f t="array" ref="BV92">(('Fórmula'!C92)/('Fórmula'!C92+'Fórmula'!E92+'Fórmula'!G92+'Fórmula'!I92+'Fórmula'!K92))*(INDEX(properties!A$1:CB$87,'Fórmula'!B92,21))+(('Fórmula'!E92)/('Fórmula'!C92+'Fórmula'!E92+'Fórmula'!G92+'Fórmula'!I92+'Fórmula'!K92))*(INDEX(properties!A$1:CB$87,'Fórmula'!D92,21))+(('Fórmula'!G92)/('Fórmula'!C92+'Fórmula'!E92+'Fórmula'!G92+'Fórmula'!I92+'Fórmula'!K92))*(INDEX(properties!A$1:CB$87,'Fórmula'!F92,21))+(('Fórmula'!I92)/('Fórmula'!C92+'Fórmula'!E92+'Fórmula'!G92+'Fórmula'!I92+'Fórmula'!K92))*(INDEX(properties!A$1:CB$87,'Fórmula'!H92,21))+(('Fórmula'!K92)/('Fórmula'!C92+'Fórmula'!E92+'Fórmula'!G92+'Fórmula'!I92+'Fórmula'!K92))*(INDEX(properties!A$1:CB$87,'Fórmula'!J92,21))</f>
        <v>4.5</v>
      </c>
      <c r="BW92" s="113">
        <f t="array" ref="BW92">'Fórmula'!C92*(INDEX(properties!A$1:CB$87,'Fórmula'!B92,21))+'Fórmula'!E92*(INDEX(properties!A$1:CB$87,'Fórmula'!D92,21))+'Fórmula'!G92*(INDEX(properties!A$1:CB$87,'Fórmula'!F92,21))+'Fórmula'!I92*(INDEX(properties!A$1:CB$87,'Fórmula'!H92,21))+'Fórmula'!K92*(INDEX(properties!A$1:CB$87,'Fórmula'!J92,21))</f>
        <v>45</v>
      </c>
      <c r="BX92" s="113">
        <f t="array" ref="BX92">VARP(IF(INDEX(properties!A$1:CB$87,'Fórmula'!B92,21)&lt;&gt;"",INDEX(properties!A$1:CB$87,'Fórmula'!B92,21)),IF(INDEX(properties!A$1:CB$87,'Fórmula'!D92,21)&lt;&gt;"",INDEX(properties!A$1:CB$87,'Fórmula'!D92,21)),IF(INDEX(properties!A$1:CB$87,'Fórmula'!F92,21)&lt;&gt;"",INDEX(properties!A$1:CB$87,'Fórmula'!F92,21)),IF(INDEX(properties!A$1:CB$87,'Fórmula'!H92,21)&lt;&gt;"",INDEX(properties!A$1:CB$87,'Fórmula'!H92,21)),IF(INDEX(properties!A$1:CB$87,'Fórmula'!J92,21)&lt;&gt;"",INDEX(properties!A$1:CB$87,'Fórmula'!J92,21)))</f>
        <v>4.24</v>
      </c>
      <c r="BY92" s="113">
        <f t="array" ref="BY92">MAX(INDEX(properties!A$1:CB$87,'Fórmula'!B92,21),INDEX(properties!A$1:CB$87,'Fórmula'!D92,21),INDEX(properties!A$1:CB$87,'Fórmula'!F92,21),INDEX(properties!A$1:CB$87,'Fórmula'!H92,21),INDEX(properties!A$1:CB$87,'Fórmula'!J92,21))</f>
        <v>6</v>
      </c>
      <c r="BZ92" s="113">
        <f t="array" ref="BZ92">MIN(IF(INDEX(properties!A$1:CB$87,'Fórmula'!B92,21)=0,10^6,INDEX(properties!A$1:CB$87,'Fórmula'!B92,21)),IF(INDEX(properties!A$1:CB$87,'Fórmula'!D92,21)=0,10^6,INDEX(properties!A$1:CB$87,'Fórmula'!D92,21)),IF(INDEX(properties!A$1:CB$87,'Fórmula'!F92,21)=0,10^6,INDEX(properties!A$1:CB$87,'Fórmula'!F92,21)),IF(INDEX(properties!A$1:CB$87,'Fórmula'!H92,21)=0,10^6,INDEX(properties!A$1:CB$87,'Fórmula'!H92,21)),IF(INDEX(properties!A$1:CB$87,'Fórmula'!J92,21)=0,10^6,INDEX(properties!A$1:CB$87,'Fórmula'!J92,21)))</f>
        <v>1</v>
      </c>
      <c r="CA92" s="113">
        <f t="shared" si="13"/>
        <v>5</v>
      </c>
      <c r="CB92" s="114">
        <f t="array" ref="CB92">(('Fórmula'!C92)/('Fórmula'!C92+'Fórmula'!E92+'Fórmula'!G92+'Fórmula'!I92+'Fórmula'!K92))*(INDEX(properties!A$1:CB$87,'Fórmula'!B92,23))+(('Fórmula'!E92)/('Fórmula'!C92+'Fórmula'!E92+'Fórmula'!G92+'Fórmula'!I92+'Fórmula'!K92))*(INDEX(properties!A$1:CB$87,'Fórmula'!D92,23))+(('Fórmula'!G92)/('Fórmula'!C92+'Fórmula'!E92+'Fórmula'!G92+'Fórmula'!I92+'Fórmula'!K92))*(INDEX(properties!A$1:CB$87,'Fórmula'!F92,23))+(('Fórmula'!I92)/('Fórmula'!C92+'Fórmula'!E92+'Fórmula'!G92+'Fórmula'!I92+'Fórmula'!K92))*(INDEX(properties!A$1:CB$87,'Fórmula'!H92,23))+(('Fórmula'!K92)/('Fórmula'!C92+'Fórmula'!E92+'Fórmula'!G92+'Fórmula'!I92+'Fórmula'!K92))*(INDEX(properties!A$1:CB$87,'Fórmula'!J92,23))</f>
        <v>1.444</v>
      </c>
      <c r="CC92" s="114">
        <f t="array" ref="CC92">'Fórmula'!C92*(INDEX(properties!A$1:CB$87,'Fórmula'!B92,23))+'Fórmula'!E92*(INDEX(properties!A$1:CB$87,'Fórmula'!D92,23))+'Fórmula'!G92*(INDEX(properties!A$1:CB$87,'Fórmula'!F92,23))+'Fórmula'!I92*(INDEX(properties!A$1:CB$87,'Fórmula'!H92,23))+'Fórmula'!K92*(INDEX(properties!A$1:CB$87,'Fórmula'!J92,23))</f>
        <v>14.44</v>
      </c>
      <c r="CD92" s="114">
        <f t="array" ref="CD92">VARP(IF(INDEX(properties!A$1:CB$87,'Fórmula'!B92,23)&lt;&gt;"",INDEX(properties!A$1:CB$87,'Fórmula'!B92,23)),IF(INDEX(properties!A$1:CB$87,'Fórmula'!D92,23)&lt;&gt;"",INDEX(properties!A$1:CB$87,'Fórmula'!D92,23)),IF(INDEX(properties!A$1:CB$87,'Fórmula'!F92,23)&lt;&gt;"",INDEX(properties!A$1:CB$87,'Fórmula'!F92,23)),IF(INDEX(properties!A$1:CB$87,'Fórmula'!H92,23)&lt;&gt;"",INDEX(properties!A$1:CB$87,'Fórmula'!H92,23)),IF(INDEX(properties!A$1:CB$87,'Fórmula'!J92,23)&lt;&gt;"",INDEX(properties!A$1:CB$87,'Fórmula'!J92,23)))</f>
        <v>3.707776</v>
      </c>
      <c r="CE92" s="114">
        <f t="array" ref="CE92">MAX(INDEX(properties!A$1:CB$87,'Fórmula'!B92,23),INDEX(properties!A$1:CB$87,'Fórmula'!D92,23),INDEX(properties!A$1:CB$87,'Fórmula'!F92,23),INDEX(properties!A$1:CB$87,'Fórmula'!H92,23),INDEX(properties!A$1:CB$87,'Fórmula'!J92,23))</f>
        <v>4.44</v>
      </c>
      <c r="CF92" s="114">
        <f t="array" ref="CF92">MIN(IF('Fórmula'!B92=87,10^6,INDEX(properties!A$1:CB$87,'Fórmula'!B92,23)),IF(('Fórmula'!D92)=87,10^6,INDEX(properties!A$1:CB$87,'Fórmula'!D92,23)),IF(('Fórmula'!F92)=87,10^6,INDEX(properties!A$1:CB$87,'Fórmula'!F92,23)),IF(('Fórmula'!H92)=87,10^6,INDEX(properties!A$1:CB$87,'Fórmula'!H92,23)),IF('Fórmula'!J92=87,10^6,INDEX(properties!A$1:CB$87,'Fórmula'!J92,23)))</f>
        <v>0</v>
      </c>
      <c r="CG92" s="114">
        <f t="shared" si="14"/>
        <v>4.44</v>
      </c>
      <c r="CH92" s="115">
        <f t="array" ref="CH92">(('Fórmula'!C92)/('Fórmula'!C92+'Fórmula'!E92+'Fórmula'!G92+'Fórmula'!I92+'Fórmula'!K92))*(INDEX(properties!A$1:CB$87,'Fórmula'!B92,26))+(('Fórmula'!E92)/('Fórmula'!C92+'Fórmula'!E92+'Fórmula'!G92+'Fórmula'!I92+'Fórmula'!K92))*(INDEX(properties!A$1:CB$87,'Fórmula'!D92,26))+(('Fórmula'!G92)/('Fórmula'!C92+'Fórmula'!E92+'Fórmula'!G92+'Fórmula'!I92+'Fórmula'!K92))*(INDEX(properties!A$1:CB$87,'Fórmula'!F92,26))+(('Fórmula'!I92)/('Fórmula'!C92+'Fórmula'!E92+'Fórmula'!G92+'Fórmula'!I92+'Fórmula'!K92))*(INDEX(properties!A$1:CB$87,'Fórmula'!H92,26))+(('Fórmula'!K92)/('Fórmula'!C92+'Fórmula'!E92+'Fórmula'!G92+'Fórmula'!I92+'Fórmula'!K92))*(INDEX(properties!A$1:CB$87,'Fórmula'!J92,26))</f>
        <v>11.02305</v>
      </c>
      <c r="CI92" s="115">
        <f t="array" ref="CI92">'Fórmula'!C92*(INDEX(properties!A$1:CB$87,'Fórmula'!B92,26))+'Fórmula'!E92*(INDEX(properties!A$1:CB$87,'Fórmula'!D92,26))+'Fórmula'!G92*(INDEX(properties!A$1:CB$87,'Fórmula'!F92,26))+'Fórmula'!I92*(INDEX(properties!A$1:CB$87,'Fórmula'!H92,26))+'Fórmula'!K92*(INDEX(properties!A$1:CB$87,'Fórmula'!J92,26))</f>
        <v>110.2305</v>
      </c>
      <c r="CJ92" s="115">
        <f t="array" ref="CJ92">VARP(IF(INDEX(properties!A$1:CB$87,'Fórmula'!B92,26)&lt;&gt;"",INDEX(properties!A$1:CB$87,'Fórmula'!B92,26)),IF(INDEX(properties!A$1:CB$87,'Fórmula'!D92,26)&lt;&gt;"",INDEX(properties!A$1:CB$87,'Fórmula'!D92,26)),IF(INDEX(properties!A$1:CB$87,'Fórmula'!F92,26)&lt;&gt;"",INDEX(properties!A$1:CB$87,'Fórmula'!F92,26)),IF(INDEX(properties!A$1:CB$87,'Fórmula'!H92,26)&lt;&gt;"",INDEX(properties!A$1:CB$87,'Fórmula'!H92,26)),IF(INDEX(properties!A$1:CB$87,'Fórmula'!J92,26)&lt;&gt;"",INDEX(properties!A$1:CB$87,'Fórmula'!J92,26)))</f>
        <v>19.81754634</v>
      </c>
      <c r="CK92" s="116">
        <f t="array" ref="CK92">MAX(INDEX(properties!A$1:CB$87,'Fórmula'!B92,26),INDEX(properties!A$1:CB$87,'Fórmula'!D92,26),INDEX(properties!A$1:CB$87,'Fórmula'!F92,26),INDEX(properties!A$1:CB$87,'Fórmula'!H92,26),INDEX(properties!A$1:CB$87,'Fórmula'!J92,26))</f>
        <v>13.6181</v>
      </c>
      <c r="CL92" s="116">
        <f t="array" ref="CL92">MIN(IF(INDEX(properties!A$1:CB$87,'Fórmula'!B92,26)=0,10^6,INDEX(properties!A$1:CB$87,'Fórmula'!B92,26)),IF(INDEX(properties!A$1:CB$87,'Fórmula'!D92,26)=0,10^6,INDEX(properties!A$1:CB$87,'Fórmula'!D92,26)),IF(INDEX(properties!A$1:CB$87,'Fórmula'!F92,26)=0,10^6,INDEX(properties!A$1:CB$87,'Fórmula'!F92,26)),IF(INDEX(properties!A$1:CB$87,'Fórmula'!H92,26)=0,10^6,INDEX(properties!A$1:CB$87,'Fórmula'!H92,26)),IF(INDEX(properties!A$1:CB$87,'Fórmula'!J92,26)=0,10^6,INDEX(properties!A$1:CB$87,'Fórmula'!J92,26)))</f>
        <v>6.1498</v>
      </c>
      <c r="CM92" s="115">
        <f t="shared" si="15"/>
        <v>7.4683</v>
      </c>
      <c r="CN92" s="117">
        <f t="array" ref="CN92">(('Fórmula'!C92)/('Fórmula'!C92+'Fórmula'!E92+'Fórmula'!G92+'Fórmula'!I92+'Fórmula'!K92))*(INDEX(properties!A$1:CB$87,'Fórmula'!B92,30))+(('Fórmula'!E92)/('Fórmula'!C92+'Fórmula'!E92+'Fórmula'!G92+'Fórmula'!I92+'Fórmula'!K92))*(INDEX(properties!A$1:CB$87,'Fórmula'!D92,30))+(('Fórmula'!G92)/('Fórmula'!C92+'Fórmula'!E92+'Fórmula'!G92+'Fórmula'!I92+'Fórmula'!K92))*(INDEX(properties!A$1:CB$87,'Fórmula'!F92,30))+(('Fórmula'!I92)/('Fórmula'!C92+'Fórmula'!E92+'Fórmula'!G92+'Fórmula'!I92+'Fórmula'!K92))*(INDEX(properties!A$1:CB$87,'Fórmula'!H92,30))+(('Fórmula'!K92)/('Fórmula'!C92+'Fórmula'!E92+'Fórmula'!G92+'Fórmula'!I92+'Fórmula'!K92))*(INDEX(properties!A$1:CB$87,'Fórmula'!J92,30))</f>
        <v>2.623</v>
      </c>
      <c r="CO92" s="117">
        <f t="array" ref="CO92">'Fórmula'!C92*(INDEX(properties!A$1:CB$87,'Fórmula'!B92,30))+'Fórmula'!E92*(INDEX(properties!A$1:CB$87,'Fórmula'!D92,30))+'Fórmula'!G92*(INDEX(properties!A$1:CB$87,'Fórmula'!F92,30))+'Fórmula'!I92*(INDEX(properties!A$1:CB$87,'Fórmula'!H92,30))+'Fórmula'!K92*(INDEX(properties!A$1:CB$87,'Fórmula'!J92,30))</f>
        <v>26.23</v>
      </c>
      <c r="CP92" s="117">
        <f t="array" ref="CP92">VARP(IF(INDEX(properties!A$1:CB$87,'Fórmula'!B92,30)&lt;&gt;"",INDEX(properties!A$1:CB$87,'Fórmula'!B92,30)),IF(INDEX(properties!A$1:CB$87,'Fórmula'!D92,30)&lt;&gt;"",INDEX(properties!A$1:CB$87,'Fórmula'!D92,30)),IF(INDEX(properties!A$1:CB$87,'Fórmula'!F92,30)&lt;&gt;"",INDEX(properties!A$1:CB$87,'Fórmula'!F92,30)),IF(INDEX(properties!A$1:CB$87,'Fórmula'!H92,30)&lt;&gt;"",INDEX(properties!A$1:CB$87,'Fórmula'!H92,30)),IF(INDEX(properties!A$1:CB$87,'Fórmula'!J92,30)&lt;&gt;"",INDEX(properties!A$1:CB$87,'Fórmula'!J92,30)))</f>
        <v>1.221184</v>
      </c>
      <c r="CQ92" s="117">
        <f t="array" ref="CQ92">MAX(INDEX(properties!A$1:CB$87,'Fórmula'!B92,30),INDEX(properties!A$1:CB$87,'Fórmula'!D92,30),INDEX(properties!A$1:CB$87,'Fórmula'!F92,30),INDEX(properties!A$1:CB$87,'Fórmula'!H92,30),INDEX(properties!A$1:CB$87,'Fórmula'!J92,30))</f>
        <v>3.44</v>
      </c>
      <c r="CR92" s="117">
        <f t="array" ref="CR92">MIN(IF(INDEX(properties!A$1:CB$87,'Fórmula'!B92,30)=0,10^6,INDEX(properties!A$1:CB$87,'Fórmula'!B92,30)),IF(INDEX(properties!A$1:CB$87,'Fórmula'!D92,30)=0,10^6,INDEX(properties!A$1:CB$87,'Fórmula'!D92,30)),IF(INDEX(properties!A$1:CB$87,'Fórmula'!F92,30)=0,10^6,INDEX(properties!A$1:CB$87,'Fórmula'!F92,30)),IF(INDEX(properties!A$1:CB$87,'Fórmula'!H92,30)=0,10^6,INDEX(properties!A$1:CB$87,'Fórmula'!H92,30)),IF(INDEX(properties!A$1:CB$87,'Fórmula'!J92,30)=0,10^6,INDEX(properties!A$1:CB$87,'Fórmula'!J92,30)))</f>
        <v>1.2</v>
      </c>
      <c r="CS92" s="117">
        <f t="shared" si="16"/>
        <v>2.24</v>
      </c>
      <c r="CT92" s="118">
        <f t="array" ref="CT92">(('Fórmula'!C92)/('Fórmula'!C92+'Fórmula'!E92+'Fórmula'!G92+'Fórmula'!I92+'Fórmula'!K92))*(INDEX(properties!A$1:CB$87,'Fórmula'!B92,31))+(('Fórmula'!E92)/('Fórmula'!C92+'Fórmula'!E92+'Fórmula'!G92+'Fórmula'!I92+'Fórmula'!K92))*(INDEX(properties!A$1:CB$87,'Fórmula'!D92,31))+(('Fórmula'!G92)/('Fórmula'!C92+'Fórmula'!E92+'Fórmula'!G92+'Fórmula'!I92+'Fórmula'!K92))*(INDEX(properties!A$1:CB$87,'Fórmula'!F92,31))+(('Fórmula'!I92)/('Fórmula'!C92+'Fórmula'!E92+'Fórmula'!G92+'Fórmula'!I92+'Fórmula'!K92))*(INDEX(properties!A$1:CB$87,'Fórmula'!H92,31))+(('Fórmula'!K92)/('Fórmula'!C92+'Fórmula'!E92+'Fórmula'!G92+'Fórmula'!I92+'Fórmula'!K92))*(INDEX(properties!A$1:CB$87,'Fórmula'!J92,31))</f>
        <v>2.542</v>
      </c>
      <c r="CU92" s="118">
        <f t="array" ref="CU92">'Fórmula'!C92*(INDEX(properties!A$1:CB$87,'Fórmula'!B92,31))+'Fórmula'!E92*(INDEX(properties!A$1:CB$87,'Fórmula'!D92,31))+'Fórmula'!G92*(INDEX(properties!A$1:CB$87,'Fórmula'!F92,31))+'Fórmula'!I92*(INDEX(properties!A$1:CB$87,'Fórmula'!H92,31))+'Fórmula'!K92*(INDEX(properties!A$1:CB$87,'Fórmula'!J92,31))</f>
        <v>25.42</v>
      </c>
      <c r="CV92" s="118">
        <f t="array" ref="CV92">VARP(IF(INDEX(properties!A$1:CB$87,'Fórmula'!B92,31)&lt;&gt;"",INDEX(properties!A$1:CB$87,'Fórmula'!B92,31)),IF(INDEX(properties!A$1:CB$87,'Fórmula'!D92,31)&lt;&gt;"",INDEX(properties!A$1:CB$87,'Fórmula'!D92,31)),IF(INDEX(properties!A$1:CB$87,'Fórmula'!F92,31)&lt;&gt;"",INDEX(properties!A$1:CB$87,'Fórmula'!F92,31)),IF(INDEX(properties!A$1:CB$87,'Fórmula'!H92,31)&lt;&gt;"",INDEX(properties!A$1:CB$87,'Fórmula'!H92,31)),IF(INDEX(properties!A$1:CB$87,'Fórmula'!J92,31)&lt;&gt;"",INDEX(properties!A$1:CB$87,'Fórmula'!J92,31)))</f>
        <v>1.169184</v>
      </c>
      <c r="CW92" s="118">
        <f t="array" ref="CW92">MAX(INDEX(properties!A$1:CB$87,'Fórmula'!B92,31),INDEX(properties!A$1:CB$87,'Fórmula'!D92,31),INDEX(properties!A$1:CB$87,'Fórmula'!F92,31),INDEX(properties!A$1:CB$87,'Fórmula'!H92,31),INDEX(properties!A$1:CB$87,'Fórmula'!J92,31))</f>
        <v>3.32</v>
      </c>
      <c r="CX92" s="118">
        <f t="array" ref="CX92">MIN(IF(INDEX(properties!A$1:CB$87,'Fórmula'!B92,31)=0,10^6,INDEX(properties!A$1:CB$87,'Fórmula'!B92,31)),IF(INDEX(properties!A$1:CB$87,'Fórmula'!D92,31)=0,10^6,INDEX(properties!A$1:CB$87,'Fórmula'!D92,31)),IF(INDEX(properties!A$1:CB$87,'Fórmula'!F92,31)=0,10^6,INDEX(properties!A$1:CB$87,'Fórmula'!F92,31)),IF(INDEX(properties!A$1:CB$87,'Fórmula'!H92,31)=0,10^6,INDEX(properties!A$1:CB$87,'Fórmula'!H92,31)),IF(INDEX(properties!A$1:CB$87,'Fórmula'!J92,31)=0,10^6,INDEX(properties!A$1:CB$87,'Fórmula'!J92,31)))</f>
        <v>1.1</v>
      </c>
      <c r="CY92" s="118">
        <f t="shared" si="17"/>
        <v>2.22</v>
      </c>
      <c r="CZ92" s="119">
        <f t="array" ref="CZ92">(('Fórmula'!C92)/('Fórmula'!C92+'Fórmula'!E92+'Fórmula'!G92+'Fórmula'!I92+'Fórmula'!K92))*(INDEX(properties!A$1:CB$87,'Fórmula'!B92,32))+(('Fórmula'!E92)/('Fórmula'!C92+'Fórmula'!E92+'Fórmula'!G92+'Fórmula'!I92+'Fórmula'!K92))*(INDEX(properties!A$1:CB$87,'Fórmula'!D92,32))+(('Fórmula'!G92)/('Fórmula'!C92+'Fórmula'!E92+'Fórmula'!G92+'Fórmula'!I92+'Fórmula'!K92))*(INDEX(properties!A$1:CB$87,'Fórmula'!F92,32))+(('Fórmula'!I92)/('Fórmula'!C92+'Fórmula'!E92+'Fórmula'!G92+'Fórmula'!I92+'Fórmula'!K92))*(INDEX(properties!A$1:CB$87,'Fórmula'!H92,32))+(('Fórmula'!K92)/('Fórmula'!C92+'Fórmula'!E92+'Fórmula'!G92+'Fórmula'!I92+'Fórmula'!K92))*(INDEX(properties!A$1:CB$87,'Fórmula'!J92,32))</f>
        <v>5.934</v>
      </c>
      <c r="DA92" s="119">
        <f t="array" ref="DA92">'Fórmula'!C92*(INDEX(properties!A$1:CB$87,'Fórmula'!B92,32))+'Fórmula'!E92*(INDEX(properties!A$1:CB$87,'Fórmula'!D92,32))+'Fórmula'!G92*(INDEX(properties!A$1:CB$87,'Fórmula'!F92,32))+'Fórmula'!I92*(INDEX(properties!A$1:CB$87,'Fórmula'!H92,32))+'Fórmula'!K92*(INDEX(properties!A$1:CB$87,'Fórmula'!J92,32))</f>
        <v>59.34</v>
      </c>
      <c r="DB92" s="119">
        <f t="array" ref="DB92">VARP(IF(INDEX(properties!A$1:CB$87,'Fórmula'!B92,32)&lt;&gt;"",INDEX(properties!A$1:CB$87,'Fórmula'!B92,32)),IF(INDEX(properties!A$1:CB$87,'Fórmula'!D92,32)&lt;&gt;"",INDEX(properties!A$1:CB$87,'Fórmula'!D92,32)),IF(INDEX(properties!A$1:CB$87,'Fórmula'!F92,32)&lt;&gt;"",INDEX(properties!A$1:CB$87,'Fórmula'!F92,32)),IF(INDEX(properties!A$1:CB$87,'Fórmula'!H92,32)&lt;&gt;"",INDEX(properties!A$1:CB$87,'Fórmula'!H92,32)),IF(INDEX(properties!A$1:CB$87,'Fórmula'!J92,32)&lt;&gt;"",INDEX(properties!A$1:CB$87,'Fórmula'!J92,32)))</f>
        <v>5.884056</v>
      </c>
      <c r="DC92" s="119">
        <f t="array" ref="DC92">MAX(INDEX(properties!A$1:CB$87,'Fórmula'!B92,32),INDEX(properties!A$1:CB$87,'Fórmula'!D92,32),INDEX(properties!A$1:CB$87,'Fórmula'!F92,32),INDEX(properties!A$1:CB$87,'Fórmula'!H92,32),INDEX(properties!A$1:CB$87,'Fórmula'!J92,32))</f>
        <v>7.54</v>
      </c>
      <c r="DD92" s="119">
        <f t="array" ref="DD92">MIN(IF(INDEX(properties!A$1:CB$87,'Fórmula'!B92,32)=0,10^6,INDEX(properties!A$1:CB$87,'Fórmula'!B92,32)),IF(INDEX(properties!A$1:CB$87,'Fórmula'!D92,32)=0,10^6,INDEX(properties!A$1:CB$87,'Fórmula'!D92,32)),IF(INDEX(properties!A$1:CB$87,'Fórmula'!F92,32)=0,10^6,INDEX(properties!A$1:CB$87,'Fórmula'!F92,32)),IF(INDEX(properties!A$1:CB$87,'Fórmula'!H92,32)=0,10^6,INDEX(properties!A$1:CB$87,'Fórmula'!H92,32)),IF(INDEX(properties!A$1:CB$87,'Fórmula'!J92,32)=0,10^6,INDEX(properties!A$1:CB$87,'Fórmula'!J92,32)))</f>
        <v>3.1</v>
      </c>
      <c r="DE92" s="119">
        <f t="shared" si="18"/>
        <v>4.44</v>
      </c>
      <c r="DF92" s="104">
        <f t="array" ref="DF92">(('Fórmula'!C92)/('Fórmula'!C92+'Fórmula'!E92+'Fórmula'!G92+'Fórmula'!I92+'Fórmula'!K92))*(INDEX(properties!A$1:CB$87,'Fórmula'!B92,34))+(('Fórmula'!E92)/('Fórmula'!C92+'Fórmula'!E92+'Fórmula'!G92+'Fórmula'!I92+'Fórmula'!K92))*(INDEX(properties!A$1:CB$87,'Fórmula'!D92,34))+(('Fórmula'!G92)/('Fórmula'!C92+'Fórmula'!E92+'Fórmula'!G92+'Fórmula'!I92+'Fórmula'!K92))*(INDEX(properties!A$1:CB$87,'Fórmula'!F92,34))+(('Fórmula'!I92)/('Fórmula'!C92+'Fórmula'!E92+'Fórmula'!G92+'Fórmula'!I92+'Fórmula'!K92))*(INDEX(properties!A$1:CB$87,'Fórmula'!H92,34))+(('Fórmula'!K92)/('Fórmula'!C92+'Fórmula'!E92+'Fórmula'!G92+'Fórmula'!I92+'Fórmula'!K92))*(INDEX(properties!A$1:CB$87,'Fórmula'!J92,34))</f>
        <v>2.681</v>
      </c>
      <c r="DG92" s="104">
        <f t="array" ref="DG92">'Fórmula'!C92*(INDEX(properties!A$1:CB$87,'Fórmula'!B92,34))+'Fórmula'!E92*(INDEX(properties!A$1:CB$87,'Fórmula'!D92,34))+'Fórmula'!G92*(INDEX(properties!A$1:CB$87,'Fórmula'!F92,34))+'Fórmula'!I92*(INDEX(properties!A$1:CB$87,'Fórmula'!H92,34))+'Fórmula'!K92*(INDEX(properties!A$1:CB$87,'Fórmula'!J92,34))</f>
        <v>26.81</v>
      </c>
      <c r="DH92" s="104">
        <f t="array" ref="DH92">VARP(IF(INDEX(properties!A$1:CB$87,'Fórmula'!B92,34)&lt;&gt;"",INDEX(properties!A$1:CB$87,'Fórmula'!B92,34)),IF(INDEX(properties!A$1:CB$87,'Fórmula'!D92,34)&lt;&gt;"",INDEX(properties!A$1:CB$87,'Fórmula'!D92,34)),IF(INDEX(properties!A$1:CB$87,'Fórmula'!F92,34)&lt;&gt;"",INDEX(properties!A$1:CB$87,'Fórmula'!F92,34)),IF(INDEX(properties!A$1:CB$87,'Fórmula'!H92,34)&lt;&gt;"",INDEX(properties!A$1:CB$87,'Fórmula'!H92,34)),IF(INDEX(properties!A$1:CB$87,'Fórmula'!J92,34)&lt;&gt;"",INDEX(properties!A$1:CB$87,'Fórmula'!J92,34)))</f>
        <v>1.377384</v>
      </c>
      <c r="DI92" s="104">
        <f t="array" ref="DI92">MAX(INDEX(properties!A$1:CB$87,'Fórmula'!B92,34),INDEX(properties!A$1:CB$87,'Fórmula'!D92,34),INDEX(properties!A$1:CB$87,'Fórmula'!F92,34),INDEX(properties!A$1:CB$87,'Fórmula'!H92,34),INDEX(properties!A$1:CB$87,'Fórmula'!J92,34))</f>
        <v>3.61</v>
      </c>
      <c r="DJ92" s="104">
        <f t="array" ref="DJ92">MIN(IF(INDEX(properties!A$1:CB$87,'Fórmula'!B92,34)=0,10^6,INDEX(properties!A$1:CB$87,'Fórmula'!B92,34)),IF(INDEX(properties!A$1:CB$87,'Fórmula'!D92,34)=0,10^6,INDEX(properties!A$1:CB$87,'Fórmula'!D92,34)),IF(INDEX(properties!A$1:CB$87,'Fórmula'!F92,34)=0,10^6,INDEX(properties!A$1:CB$87,'Fórmula'!F92,34)),IF(INDEX(properties!A$1:CB$87,'Fórmula'!H92,34)=0,10^6,INDEX(properties!A$1:CB$87,'Fórmula'!H92,34)),IF(INDEX(properties!A$1:CB$87,'Fórmula'!J92,34)=0,10^6,INDEX(properties!A$1:CB$87,'Fórmula'!J92,34)))</f>
        <v>1.09</v>
      </c>
      <c r="DK92" s="104">
        <f t="shared" si="19"/>
        <v>2.52</v>
      </c>
      <c r="DL92" s="105" t="str">
        <f t="array" ref="DL92">(('Fórmula'!C92)/('Fórmula'!C92+'Fórmula'!E92+'Fórmula'!G92+'Fórmula'!I92+'Fórmula'!K92))*(INDEX(properties!A$1:CB$87,'Fórmula'!B92,37))+(('Fórmula'!E92)/('Fórmula'!C92+'Fórmula'!E92+'Fórmula'!G92+'Fórmula'!I92+'Fórmula'!K92))*(INDEX(properties!A$1:CB$87,'Fórmula'!D92,37))+(('Fórmula'!G92)/('Fórmula'!C92+'Fórmula'!E92+'Fórmula'!G92+'Fórmula'!I92+'Fórmula'!K92))*(INDEX(properties!A$1:CB$87,'Fórmula'!F92,37))+(('Fórmula'!I92)/('Fórmula'!C92+'Fórmula'!E92+'Fórmula'!G92+'Fórmula'!I92+'Fórmula'!K92))*(INDEX(properties!A$1:CB$87,'Fórmula'!H92,37))+(('Fórmula'!K92)/('Fórmula'!C92+'Fórmula'!E92+'Fórmula'!G92+'Fórmula'!I92+'Fórmula'!K92))*(INDEX(properties!A$1:CB$87,'Fórmula'!J92,37))</f>
        <v>#VALUE!</v>
      </c>
      <c r="DM92" s="105" t="str">
        <f t="array" ref="DM92">'Fórmula'!C92*(INDEX(properties!A$1:CB$87,'Fórmula'!B92,37))+'Fórmula'!E92*(INDEX(properties!A$1:CB$87,'Fórmula'!D92,37))+'Fórmula'!G92*(INDEX(properties!A$1:CB$87,'Fórmula'!F92,37))+'Fórmula'!I92*(INDEX(properties!A$1:CB$87,'Fórmula'!H92,37))+'Fórmula'!K92*(INDEX(properties!A$1:CB$87,'Fórmula'!J92,37))</f>
        <v>#VALUE!</v>
      </c>
      <c r="DN92" s="105">
        <f t="array" ref="DN92">VARP(IF(INDEX(properties!A$1:CB$87,'Fórmula'!B92,37)&lt;&gt;"",INDEX(properties!A$1:CB$87,'Fórmula'!B92,37)),IF(INDEX(properties!A$1:CB$87,'Fórmula'!D92,37)&lt;&gt;"",INDEX(properties!A$1:CB$87,'Fórmula'!D92,37)),IF(INDEX(properties!A$1:CB$87,'Fórmula'!F92,37)&lt;&gt;"",INDEX(properties!A$1:CB$87,'Fórmula'!F92,37)),IF(INDEX(properties!A$1:CB$87,'Fórmula'!H92,37)&lt;&gt;"",INDEX(properties!A$1:CB$87,'Fórmula'!H92,37)),IF(INDEX(properties!A$1:CB$87,'Fórmula'!J92,37)&lt;&gt;"",INDEX(properties!A$1:CB$87,'Fórmula'!J92,37)))</f>
        <v>1.53421875</v>
      </c>
      <c r="DO92" s="105">
        <f t="array" ref="DO92">MAX(INDEX(properties!A$1:CB$87,'Fórmula'!B92,37),INDEX(properties!A$1:CB$87,'Fórmula'!D92,37),INDEX(properties!A$1:CB$87,'Fórmula'!F92,37),INDEX(properties!A$1:CB$87,'Fórmula'!H92,37),INDEX(properties!A$1:CB$87,'Fórmula'!J92,37))</f>
        <v>3.45</v>
      </c>
      <c r="DP92" s="105">
        <f t="array" ref="DP92">MIN(IF(INDEX(properties!A$1:CB$87,'Fórmula'!B92,37)=0,10^6,INDEX(properties!A$1:CB$87,'Fórmula'!B92,37)),IF(INDEX(properties!A$1:CB$87,'Fórmula'!D92,37)=0,10^6,INDEX(properties!A$1:CB$87,'Fórmula'!D92,37)),IF(INDEX(properties!A$1:CB$87,'Fórmula'!F92,37)=0,10^6,INDEX(properties!A$1:CB$87,'Fórmula'!F92,37)),IF(INDEX(properties!A$1:CB$87,'Fórmula'!H92,37)=0,10^6,INDEX(properties!A$1:CB$87,'Fórmula'!H92,37)),IF(INDEX(properties!A$1:CB$87,'Fórmula'!J92,37)=0,10^6,INDEX(properties!A$1:CB$87,'Fórmula'!J92,37)))</f>
        <v>1.2</v>
      </c>
      <c r="DQ92" s="105">
        <f t="shared" si="20"/>
        <v>2.25</v>
      </c>
      <c r="DR92" s="109">
        <f t="array" ref="DR92">(('Fórmula'!C92)/('Fórmula'!C92+'Fórmula'!E92+'Fórmula'!G92+'Fórmula'!I92+'Fórmula'!K92))*(INDEX(properties!A$1:CB$87,'Fórmula'!B92,39))+(('Fórmula'!E92)/('Fórmula'!C92+'Fórmula'!E92+'Fórmula'!G92+'Fórmula'!I92+'Fórmula'!K92))*(INDEX(properties!A$1:CB$87,'Fórmula'!D92,39))+(('Fórmula'!G92)/('Fórmula'!C92+'Fórmula'!E92+'Fórmula'!G92+'Fórmula'!I92+'Fórmula'!K92))*(INDEX(properties!A$1:CB$87,'Fórmula'!F92,39))+(('Fórmula'!I92)/('Fórmula'!C92+'Fórmula'!E92+'Fórmula'!G92+'Fórmula'!I92+'Fórmula'!K92))*(INDEX(properties!A$1:CB$87,'Fórmula'!H92,39))+(('Fórmula'!K92)/('Fórmula'!C92+'Fórmula'!E92+'Fórmula'!G92+'Fórmula'!I92+'Fórmula'!K92))*(INDEX(properties!A$1:CB$87,'Fórmula'!J92,39))</f>
        <v>1.072</v>
      </c>
      <c r="DS92" s="109">
        <f t="array" ref="DS92">'Fórmula'!C92*(INDEX(properties!A$1:CB$87,'Fórmula'!B92,39))+'Fórmula'!E92*(INDEX(properties!A$1:CB$87,'Fórmula'!D92,39))+'Fórmula'!G92*(INDEX(properties!A$1:CB$87,'Fórmula'!F92,39))+'Fórmula'!I92*(INDEX(properties!A$1:CB$87,'Fórmula'!H92,39))+'Fórmula'!K92*(INDEX(properties!A$1:CB$87,'Fórmula'!J92,39))</f>
        <v>10.72</v>
      </c>
      <c r="DT92" s="109">
        <f t="array" ref="DT92">VARP(IF(INDEX(properties!A$1:CB$87,'Fórmula'!B92,39)&lt;&gt;"",INDEX(properties!A$1:CB$87,'Fórmula'!B92,39)),IF(INDEX(properties!A$1:CB$87,'Fórmula'!D92,39)&lt;&gt;"",INDEX(properties!A$1:CB$87,'Fórmula'!D92,39)),IF(INDEX(properties!A$1:CB$87,'Fórmula'!F92,39)&lt;&gt;"",INDEX(properties!A$1:CB$87,'Fórmula'!F92,39)),IF(INDEX(properties!A$1:CB$87,'Fórmula'!H92,39)&lt;&gt;"",INDEX(properties!A$1:CB$87,'Fórmula'!H92,39)),IF(INDEX(properties!A$1:CB$87,'Fórmula'!J92,39)&lt;&gt;"",INDEX(properties!A$1:CB$87,'Fórmula'!J92,39)))</f>
        <v>0.719456</v>
      </c>
      <c r="DU92" s="120">
        <f t="array" ref="DU92">MAX(INDEX(properties!A$1:CB$87,'Fórmula'!B92,39),INDEX(properties!A$1:CB$87,'Fórmula'!D92,39),INDEX(properties!A$1:CB$87,'Fórmula'!F92,39),INDEX(properties!A$1:CB$87,'Fórmula'!H92,39),INDEX(properties!A$1:CB$87,'Fórmula'!J92,39))</f>
        <v>2.33</v>
      </c>
      <c r="DV92" s="120">
        <f t="array" ref="DV92">MIN(IF(INDEX(properties!A$1:CB$87,'Fórmula'!B92,39)=0,10^6,INDEX(properties!A$1:CB$87,'Fórmula'!B92,39)),IF(INDEX(properties!A$1:CB$87,'Fórmula'!D92,39)=0,10^6,INDEX(properties!A$1:CB$87,'Fórmula'!D92,39)),IF(INDEX(properties!A$1:CB$87,'Fórmula'!F92,39)=0,10^6,INDEX(properties!A$1:CB$87,'Fórmula'!F92,39)),IF(INDEX(properties!A$1:CB$87,'Fórmula'!H92,39)=0,10^6,INDEX(properties!A$1:CB$87,'Fórmula'!H92,39)),IF(INDEX(properties!A$1:CB$87,'Fórmula'!J92,39)=0,10^6,INDEX(properties!A$1:CB$87,'Fórmula'!J92,39)))</f>
        <v>0.48</v>
      </c>
      <c r="DW92" s="109">
        <f t="shared" si="21"/>
        <v>1.85</v>
      </c>
      <c r="DX92" s="110">
        <f t="array" ref="DX92">(('Fórmula'!C92)/('Fórmula'!C92+'Fórmula'!E92+'Fórmula'!G92+'Fórmula'!I92+'Fórmula'!K92))*(INDEX(properties!A$1:CB$87,'Fórmula'!B92,40))+(('Fórmula'!E92)/('Fórmula'!C92+'Fórmula'!E92+'Fórmula'!G92+'Fórmula'!I92+'Fórmula'!K92))*(INDEX(properties!A$1:CB$87,'Fórmula'!D92,40))+(('Fórmula'!G92)/('Fórmula'!C92+'Fórmula'!E92+'Fórmula'!G92+'Fórmula'!I92+'Fórmula'!K92))*(INDEX(properties!A$1:CB$87,'Fórmula'!F92,40))+(('Fórmula'!I92)/('Fórmula'!C92+'Fórmula'!E92+'Fórmula'!G92+'Fórmula'!I92+'Fórmula'!K92))*(INDEX(properties!A$1:CB$87,'Fórmula'!H92,40))+(('Fórmula'!K92)/('Fórmula'!C92+'Fórmula'!E92+'Fórmula'!G92+'Fórmula'!I92+'Fórmula'!K92))*(INDEX(properties!A$1:CB$87,'Fórmula'!J92,40))</f>
        <v>1.027</v>
      </c>
      <c r="DY92" s="110">
        <f t="array" ref="DY92">'Fórmula'!C92*(INDEX(properties!A$1:CB$87,'Fórmula'!B92,40))+'Fórmula'!E92*(INDEX(properties!A$1:CB$87,'Fórmula'!D92,40))+'Fórmula'!G92*(INDEX(properties!A$1:CB$87,'Fórmula'!F92,40))+'Fórmula'!I92*(INDEX(properties!A$1:CB$87,'Fórmula'!H92,40))+'Fórmula'!K92*(INDEX(properties!A$1:CB$87,'Fórmula'!J92,40))</f>
        <v>10.27</v>
      </c>
      <c r="DZ92" s="110">
        <f t="array" ref="DZ92">VARP(IF(INDEX(properties!A$1:CB$87,'Fórmula'!B92,40)&lt;&gt;"",INDEX(properties!A$1:CB$87,'Fórmula'!B92,40)),IF(INDEX(properties!A$1:CB$87,'Fórmula'!D92,40)&lt;&gt;"",INDEX(properties!A$1:CB$87,'Fórmula'!D92,40)),IF(INDEX(properties!A$1:CB$87,'Fórmula'!F92,40)&lt;&gt;"",INDEX(properties!A$1:CB$87,'Fórmula'!F92,40)),IF(INDEX(properties!A$1:CB$87,'Fórmula'!H92,40)&lt;&gt;"",INDEX(properties!A$1:CB$87,'Fórmula'!H92,40)),IF(INDEX(properties!A$1:CB$87,'Fórmula'!J92,40)&lt;&gt;"",INDEX(properties!A$1:CB$87,'Fórmula'!J92,40)))</f>
        <v>0.334136</v>
      </c>
      <c r="EA92" s="121">
        <f t="array" ref="EA92">MAX(INDEX(properties!A$1:CB$87,'Fórmula'!B92,40),INDEX(properties!A$1:CB$87,'Fórmula'!D92,40),INDEX(properties!A$1:CB$87,'Fórmula'!F92,40),INDEX(properties!A$1:CB$87,'Fórmula'!H92,40),INDEX(properties!A$1:CB$87,'Fórmula'!J92,40))</f>
        <v>1.61</v>
      </c>
      <c r="EB92" s="121">
        <f t="array" ref="EB92">MIN(IF(INDEX(properties!A$1:CB$87,'Fórmula'!B92,40)=0,10^6,INDEX(properties!A$1:CB$87,'Fórmula'!B92,40)),IF(INDEX(properties!A$1:CB$87,'Fórmula'!D92,40)=0,10^6,INDEX(properties!A$1:CB$87,'Fórmula'!D92,40)),IF(INDEX(properties!A$1:CB$87,'Fórmula'!F92,40)=0,10^6,INDEX(properties!A$1:CB$87,'Fórmula'!F92,40)),IF(INDEX(properties!A$1:CB$87,'Fórmula'!H92,40)=0,10^6,INDEX(properties!A$1:CB$87,'Fórmula'!H92,40)),IF(INDEX(properties!A$1:CB$87,'Fórmula'!J92,40)=0,10^6,INDEX(properties!A$1:CB$87,'Fórmula'!J92,40)))</f>
        <v>0.73</v>
      </c>
      <c r="EC92" s="110">
        <f t="shared" si="22"/>
        <v>0.88</v>
      </c>
      <c r="ED92" s="111">
        <f t="array" ref="ED92">(('Fórmula'!C92)/('Fórmula'!C92+'Fórmula'!E92+'Fórmula'!G92+'Fórmula'!I92+'Fórmula'!K92))*(INDEX(properties!A$1:CB$87,'Fórmula'!B92,41))+(('Fórmula'!E92)/('Fórmula'!C92+'Fórmula'!E92+'Fórmula'!G92+'Fórmula'!I92+'Fórmula'!K92))*(INDEX(properties!A$1:CB$87,'Fórmula'!D92,41))+(('Fórmula'!G92)/('Fórmula'!C92+'Fórmula'!E92+'Fórmula'!G92+'Fórmula'!I92+'Fórmula'!K92))*(INDEX(properties!A$1:CB$87,'Fórmula'!F92,41))+(('Fórmula'!I92)/('Fórmula'!C92+'Fórmula'!E92+'Fórmula'!G92+'Fórmula'!I92+'Fórmula'!K92))*(INDEX(properties!A$1:CB$87,'Fórmula'!H92,41))+(('Fórmula'!K92)/('Fórmula'!C92+'Fórmula'!E92+'Fórmula'!G92+'Fórmula'!I92+'Fórmula'!K92))*(INDEX(properties!A$1:CB$87,'Fórmula'!J92,41))</f>
        <v>1.16</v>
      </c>
      <c r="EE92" s="111">
        <f t="array" ref="EE92">'Fórmula'!C92*(INDEX(properties!A$1:CB$87,'Fórmula'!B92,41))+'Fórmula'!E92*(INDEX(properties!A$1:CB$87,'Fórmula'!D92,41))+'Fórmula'!G92*(INDEX(properties!A$1:CB$87,'Fórmula'!F92,41))+'Fórmula'!I92*(INDEX(properties!A$1:CB$87,'Fórmula'!H92,41))+'Fórmula'!K92*(INDEX(properties!A$1:CB$87,'Fórmula'!J92,41))</f>
        <v>11.6</v>
      </c>
      <c r="EF92" s="111">
        <f t="array" ref="EF92">VARP(IF(INDEX(properties!A$1:CB$87,'Fórmula'!B92,41)&lt;&gt;"",INDEX(properties!A$1:CB$87,'Fórmula'!B92,41)),IF(INDEX(properties!A$1:CB$87,'Fórmula'!D92,41)&lt;&gt;"",INDEX(properties!A$1:CB$87,'Fórmula'!D92,41)),IF(INDEX(properties!A$1:CB$87,'Fórmula'!F92,41)&lt;&gt;"",INDEX(properties!A$1:CB$87,'Fórmula'!F92,41)),IF(INDEX(properties!A$1:CB$87,'Fórmula'!H92,41)&lt;&gt;"",INDEX(properties!A$1:CB$87,'Fórmula'!H92,41)),IF(INDEX(properties!A$1:CB$87,'Fórmula'!J92,41)&lt;&gt;"",INDEX(properties!A$1:CB$87,'Fórmula'!J92,41)))</f>
        <v>0.193344</v>
      </c>
      <c r="EG92" s="122">
        <f t="array" ref="EG92">MAX(INDEX(properties!A$1:CB$87,'Fórmula'!B92,41),INDEX(properties!A$1:CB$87,'Fórmula'!D92,41),INDEX(properties!A$1:CB$87,'Fórmula'!F92,41),INDEX(properties!A$1:CB$87,'Fórmula'!H92,41),INDEX(properties!A$1:CB$87,'Fórmula'!J92,41))</f>
        <v>1.26</v>
      </c>
      <c r="EH92" s="122">
        <f t="array" ref="EH92">MIN(IF(INDEX(properties!A$1:CB$87,'Fórmula'!B92,41)=0,10^6,INDEX(properties!A$1:CB$87,'Fórmula'!B92,41)),IF(INDEX(properties!A$1:CB$87,'Fórmula'!D92,41)=0,10^6,INDEX(properties!A$1:CB$87,'Fórmula'!D92,41)),IF(INDEX(properties!A$1:CB$87,'Fórmula'!F92,41)=0,10^6,INDEX(properties!A$1:CB$87,'Fórmula'!F92,41)),IF(INDEX(properties!A$1:CB$87,'Fórmula'!H92,41)=0,10^6,INDEX(properties!A$1:CB$87,'Fórmula'!H92,41)),IF(INDEX(properties!A$1:CB$87,'Fórmula'!J92,41)=0,10^6,INDEX(properties!A$1:CB$87,'Fórmula'!J92,41)))</f>
        <v>0.88</v>
      </c>
      <c r="EI92" s="111">
        <f t="shared" si="23"/>
        <v>0.38</v>
      </c>
      <c r="EJ92" s="112">
        <f t="array" ref="EJ92">(('Fórmula'!C92)/('Fórmula'!C92+'Fórmula'!E92+'Fórmula'!G92+'Fórmula'!I92+'Fórmula'!K92))*(INDEX(properties!A$1:CB$87,'Fórmula'!B92,45))+(('Fórmula'!E92)/('Fórmula'!C92+'Fórmula'!E92+'Fórmula'!G92+'Fórmula'!I92+'Fórmula'!K92))*(INDEX(properties!A$1:CB$87,'Fórmula'!D92,45))+(('Fórmula'!G92)/('Fórmula'!C92+'Fórmula'!E92+'Fórmula'!G92+'Fórmula'!I92+'Fórmula'!K92))*(INDEX(properties!A$1:CB$87,'Fórmula'!F92,45))+(('Fórmula'!I92)/('Fórmula'!C92+'Fórmula'!E92+'Fórmula'!G92+'Fórmula'!I92+'Fórmula'!K92))*(INDEX(properties!A$1:CB$87,'Fórmula'!H92,45))+(('Fórmula'!K92)/('Fórmula'!C92+'Fórmula'!E92+'Fórmula'!G92+'Fórmula'!I92+'Fórmula'!K92))*(INDEX(properties!A$1:CB$87,'Fórmula'!J92,45))</f>
        <v>1.51</v>
      </c>
      <c r="EK92" s="112">
        <f t="array" ref="EK92">'Fórmula'!C92*(INDEX(properties!A$1:CB$87,'Fórmula'!B92,45))+'Fórmula'!E92*(INDEX(properties!A$1:CB$87,'Fórmula'!D92,45))+'Fórmula'!G92*(INDEX(properties!A$1:CB$87,'Fórmula'!F92,45))+'Fórmula'!I92*(INDEX(properties!A$1:CB$87,'Fórmula'!H92,45))+'Fórmula'!K92*(INDEX(properties!A$1:CB$87,'Fórmula'!J92,45))</f>
        <v>15.1</v>
      </c>
      <c r="EL92" s="112">
        <f t="array" ref="EL92">VARP(IF(INDEX(properties!A$1:CB$87,'Fórmula'!B92,45)&lt;&gt;"",INDEX(properties!A$1:CB$87,'Fórmula'!B92,45)),IF(INDEX(properties!A$1:CB$87,'Fórmula'!D92,45)&lt;&gt;"",INDEX(properties!A$1:CB$87,'Fórmula'!D92,45)),IF(INDEX(properties!A$1:CB$87,'Fórmula'!F92,45)&lt;&gt;"",INDEX(properties!A$1:CB$87,'Fórmula'!F92,45)),IF(INDEX(properties!A$1:CB$87,'Fórmula'!H92,45)&lt;&gt;"",INDEX(properties!A$1:CB$87,'Fórmula'!H92,45)),IF(INDEX(properties!A$1:CB$87,'Fórmula'!J92,45)&lt;&gt;"",INDEX(properties!A$1:CB$87,'Fórmula'!J92,45)))</f>
        <v>2.014136</v>
      </c>
      <c r="EM92" s="123">
        <f t="array" ref="EM92">MAX(INDEX(properties!A$1:CB$87,'Fórmula'!B92,45),INDEX(properties!A$1:CB$87,'Fórmula'!D92,45),INDEX(properties!A$1:CB$87,'Fórmula'!F92,45),INDEX(properties!A$1:CB$87,'Fórmula'!H92,45),INDEX(properties!A$1:CB$87,'Fórmula'!J92,45))</f>
        <v>3.91</v>
      </c>
      <c r="EN92" s="123">
        <f t="array" ref="EN92">MIN(IF(INDEX(properties!A$1:CB$87,'Fórmula'!B92,45)=0,10^6,INDEX(properties!A$1:CB$87,'Fórmula'!B92,45)),IF(INDEX(properties!A$1:CB$87,'Fórmula'!D92,45)=0,10^6,INDEX(properties!A$1:CB$87,'Fórmula'!D92,45)),IF(INDEX(properties!A$1:CB$87,'Fórmula'!F92,45)=0,10^6,INDEX(properties!A$1:CB$87,'Fórmula'!F92,45)),IF(INDEX(properties!A$1:CB$87,'Fórmula'!H92,45)=0,10^6,INDEX(properties!A$1:CB$87,'Fórmula'!H92,45)),IF(INDEX(properties!A$1:CB$87,'Fórmula'!J92,45)=0,10^6,INDEX(properties!A$1:CB$87,'Fórmula'!J92,45)))</f>
        <v>0.47</v>
      </c>
      <c r="EO92" s="112">
        <f t="shared" si="24"/>
        <v>3.44</v>
      </c>
      <c r="EP92" s="113">
        <f t="array" ref="EP92">(('Fórmula'!C92)/('Fórmula'!C92+'Fórmula'!E92+'Fórmula'!G92+'Fórmula'!I92+'Fórmula'!K92))*(INDEX(properties!A$1:CB$87,'Fórmula'!B92,46))+(('Fórmula'!E92)/('Fórmula'!C92+'Fórmula'!E92+'Fórmula'!G92+'Fórmula'!I92+'Fórmula'!K92))*(INDEX(properties!A$1:CB$87,'Fórmula'!D92,46))+(('Fórmula'!G92)/('Fórmula'!C92+'Fórmula'!E92+'Fórmula'!G92+'Fórmula'!I92+'Fórmula'!K92))*(INDEX(properties!A$1:CB$87,'Fórmula'!F92,46))+(('Fórmula'!I92)/('Fórmula'!C92+'Fórmula'!E92+'Fórmula'!G92+'Fórmula'!I92+'Fórmula'!K92))*(INDEX(properties!A$1:CB$87,'Fórmula'!H92,46))+(('Fórmula'!K92)/('Fórmula'!C92+'Fórmula'!E92+'Fórmula'!G92+'Fórmula'!I92+'Fórmula'!K92))*(INDEX(properties!A$1:CB$87,'Fórmula'!J92,46))</f>
        <v>1.091</v>
      </c>
      <c r="EQ92" s="113">
        <f t="array" ref="EQ92">'Fórmula'!C92*(INDEX(properties!A$1:CB$87,'Fórmula'!B92,46))+'Fórmula'!E92*(INDEX(properties!A$1:CB$87,'Fórmula'!D92,46))+'Fórmula'!G92*(INDEX(properties!A$1:CB$87,'Fórmula'!F92,46))+'Fórmula'!I92*(INDEX(properties!A$1:CB$87,'Fórmula'!H92,46))+'Fórmula'!K92*(INDEX(properties!A$1:CB$87,'Fórmula'!J92,46))</f>
        <v>10.91</v>
      </c>
      <c r="ER92" s="113">
        <f t="array" ref="ER92">VARP(IF(INDEX(properties!A$1:CB$87,'Fórmula'!B92,46)&lt;&gt;"",INDEX(properties!A$1:CB$87,'Fórmula'!B92,46)),IF(INDEX(properties!A$1:CB$87,'Fórmula'!D92,46)&lt;&gt;"",INDEX(properties!A$1:CB$87,'Fórmula'!D92,46)),IF(INDEX(properties!A$1:CB$87,'Fórmula'!F92,46)&lt;&gt;"",INDEX(properties!A$1:CB$87,'Fórmula'!F92,46)),IF(INDEX(properties!A$1:CB$87,'Fórmula'!H92,46)&lt;&gt;"",INDEX(properties!A$1:CB$87,'Fórmula'!H92,46)),IF(INDEX(properties!A$1:CB$87,'Fórmula'!J92,46)&lt;&gt;"",INDEX(properties!A$1:CB$87,'Fórmula'!J92,46)))</f>
        <v>0.176584</v>
      </c>
      <c r="ES92" s="124">
        <f t="array" ref="ES92">MAX(INDEX(properties!A$1:CB$87,'Fórmula'!B92,46),INDEX(properties!A$1:CB$87,'Fórmula'!D92,46),INDEX(properties!A$1:CB$87,'Fórmula'!F92,46),INDEX(properties!A$1:CB$87,'Fórmula'!H92,46),INDEX(properties!A$1:CB$87,'Fórmula'!J92,46))</f>
        <v>1.21</v>
      </c>
      <c r="ET92" s="124">
        <f t="array" ref="ET92">MIN(IF(INDEX(properties!A$1:CB$87,'Fórmula'!B92,46)=0,10^6,INDEX(properties!A$1:CB$87,'Fórmula'!B92,46)),IF(INDEX(properties!A$1:CB$87,'Fórmula'!D92,46)=0,10^6,INDEX(properties!A$1:CB$87,'Fórmula'!D92,46)),IF(INDEX(properties!A$1:CB$87,'Fórmula'!F92,46)=0,10^6,INDEX(properties!A$1:CB$87,'Fórmula'!F92,46)),IF(INDEX(properties!A$1:CB$87,'Fórmula'!H92,46)=0,10^6,INDEX(properties!A$1:CB$87,'Fórmula'!H92,46)),IF(INDEX(properties!A$1:CB$87,'Fórmula'!J92,46)=0,10^6,INDEX(properties!A$1:CB$87,'Fórmula'!J92,46)))</f>
        <v>0.74</v>
      </c>
      <c r="EU92" s="113">
        <f t="shared" si="25"/>
        <v>0.47</v>
      </c>
      <c r="EV92" s="114">
        <f t="array" ref="EV92">(('Fórmula'!C92)/('Fórmula'!C92+'Fórmula'!E92+'Fórmula'!G92+'Fórmula'!I92+'Fórmula'!K92))*(INDEX(properties!A$1:CB$87,'Fórmula'!B92,52))+(('Fórmula'!E92)/('Fórmula'!C92+'Fórmula'!E92+'Fórmula'!G92+'Fórmula'!I92+'Fórmula'!K92))*(INDEX(properties!A$1:CB$87,'Fórmula'!D92,52))+(('Fórmula'!G92)/('Fórmula'!C92+'Fórmula'!E92+'Fórmula'!G92+'Fórmula'!I92+'Fórmula'!K92))*(INDEX(properties!A$1:CB$87,'Fórmula'!F92,52))+(('Fórmula'!I92)/('Fórmula'!C92+'Fórmula'!E92+'Fórmula'!G92+'Fórmula'!I92+'Fórmula'!K92))*(INDEX(properties!A$1:CB$87,'Fórmula'!H92,52))+(('Fórmula'!K92)/('Fórmula'!C92+'Fórmula'!E92+'Fórmula'!G92+'Fórmula'!I92+'Fórmula'!K92))*(INDEX(properties!A$1:CB$87,'Fórmula'!J92,52))</f>
        <v>7.2758</v>
      </c>
      <c r="EW92" s="114">
        <f t="array" ref="EW92">'Fórmula'!C92*(INDEX(properties!A$1:CB$87,'Fórmula'!B92,52))+'Fórmula'!E92*(INDEX(properties!A$1:CB$87,'Fórmula'!D92,52))+'Fórmula'!G92*(INDEX(properties!A$1:CB$87,'Fórmula'!F92,52))+'Fórmula'!I92*(INDEX(properties!A$1:CB$87,'Fórmula'!H92,52))+'Fórmula'!K92*(INDEX(properties!A$1:CB$87,'Fórmula'!J92,52))</f>
        <v>72.758</v>
      </c>
      <c r="EX92" s="114">
        <f t="array" ref="EX92">VARP(IF(INDEX(properties!A$1:CB$87,'Fórmula'!B92,52)&lt;&gt;"",INDEX(properties!A$1:CB$87,'Fórmula'!B92,52)),IF(INDEX(properties!A$1:CB$87,'Fórmula'!D92,52)&lt;&gt;"",INDEX(properties!A$1:CB$87,'Fórmula'!D92,52)),IF(INDEX(properties!A$1:CB$87,'Fórmula'!F92,52)&lt;&gt;"",INDEX(properties!A$1:CB$87,'Fórmula'!F92,52)),IF(INDEX(properties!A$1:CB$87,'Fórmula'!H92,52)&lt;&gt;"",INDEX(properties!A$1:CB$87,'Fórmula'!H92,52)),IF(INDEX(properties!A$1:CB$87,'Fórmula'!J92,52)&lt;&gt;"",INDEX(properties!A$1:CB$87,'Fórmula'!J92,52)))</f>
        <v>79.34153584</v>
      </c>
      <c r="EY92" s="114">
        <f t="array" ref="EY92">MAX(INDEX(properties!A$1:CB$87,'Fórmula'!B92,52),INDEX(properties!A$1:CB$87,'Fórmula'!D92,52),INDEX(properties!A$1:CB$87,'Fórmula'!F92,52),INDEX(properties!A$1:CB$87,'Fórmula'!H92,52),INDEX(properties!A$1:CB$87,'Fórmula'!J92,52))</f>
        <v>23.5</v>
      </c>
      <c r="EZ92" s="114">
        <f t="array" ref="EZ92">MIN(IF(INDEX(properties!A$1:CB$87,'Fórmula'!B92,52)=0,10^6,INDEX(properties!A$1:CB$87,'Fórmula'!B92,52)),IF(INDEX(properties!A$1:CB$87,'Fórmula'!D92,52)=0,10^6,INDEX(properties!A$1:CB$87,'Fórmula'!D92,52)),IF(INDEX(properties!A$1:CB$87,'Fórmula'!F92,52)=0,10^6,INDEX(properties!A$1:CB$87,'Fórmula'!F92,52)),IF(INDEX(properties!A$1:CB$87,'Fórmula'!H92,52)=0,10^6,INDEX(properties!A$1:CB$87,'Fórmula'!H92,52)),IF(INDEX(properties!A$1:CB$87,'Fórmula'!J92,52)=0,10^6,INDEX(properties!A$1:CB$87,'Fórmula'!J92,52)))</f>
        <v>0.793</v>
      </c>
      <c r="FA92" s="114">
        <f t="shared" si="26"/>
        <v>22.707</v>
      </c>
      <c r="FB92" s="115">
        <f t="array" ref="FB92">(('Fórmula'!C92)/('Fórmula'!C92+'Fórmula'!E92+'Fórmula'!G92+'Fórmula'!I92+'Fórmula'!K92))*(INDEX(properties!A$1:CB$87,'Fórmula'!B92,53))+(('Fórmula'!E92)/('Fórmula'!C92+'Fórmula'!E92+'Fórmula'!G92+'Fórmula'!I92+'Fórmula'!K92))*(INDEX(properties!A$1:CB$87,'Fórmula'!D92,53))+(('Fórmula'!G92)/('Fórmula'!C92+'Fórmula'!E92+'Fórmula'!G92+'Fórmula'!I92+'Fórmula'!K92))*(INDEX(properties!A$1:CB$87,'Fórmula'!F92,53))+(('Fórmula'!I92)/('Fórmula'!C92+'Fórmula'!E92+'Fórmula'!G92+'Fórmula'!I92+'Fórmula'!K92))*(INDEX(properties!A$1:CB$87,'Fórmula'!H92,53))+(('Fórmula'!K92)/('Fórmula'!C92+'Fórmula'!E92+'Fórmula'!G92+'Fórmula'!I92+'Fórmula'!K92))*(INDEX(properties!A$1:CB$87,'Fórmula'!J92,53))</f>
        <v>612.67</v>
      </c>
      <c r="FC92" s="115">
        <f t="array" ref="FC92">'Fórmula'!C92*(INDEX(properties!A$1:CB$87,'Fórmula'!B92,53))+'Fórmula'!E92*(INDEX(properties!A$1:CB$87,'Fórmula'!D92,53))+'Fórmula'!G92*(INDEX(properties!A$1:CB$87,'Fórmula'!F92,53))+'Fórmula'!I92*(INDEX(properties!A$1:CB$87,'Fórmula'!H92,53))+'Fórmula'!K92*(INDEX(properties!A$1:CB$87,'Fórmula'!J92,53))</f>
        <v>6126.7</v>
      </c>
      <c r="FD92" s="115">
        <f t="array" ref="FD92">VARP(IF(INDEX(properties!A$1:CB$87,'Fórmula'!B92,53)&lt;&gt;"",INDEX(properties!A$1:CB$87,'Fórmula'!B92,53)),IF(INDEX(properties!A$1:CB$87,'Fórmula'!D92,53)&lt;&gt;"",INDEX(properties!A$1:CB$87,'Fórmula'!D92,53)),IF(INDEX(properties!A$1:CB$87,'Fórmula'!F92,53)&lt;&gt;"",INDEX(properties!A$1:CB$87,'Fórmula'!F92,53)),IF(INDEX(properties!A$1:CB$87,'Fórmula'!H92,53)&lt;&gt;"",INDEX(properties!A$1:CB$87,'Fórmula'!H92,53)),IF(INDEX(properties!A$1:CB$87,'Fórmula'!J92,53)&lt;&gt;"",INDEX(properties!A$1:CB$87,'Fórmula'!J92,53)))</f>
        <v>618944.8844</v>
      </c>
      <c r="FE92" s="115">
        <f t="array" ref="FE92">MAX(INDEX(properties!A$1:CB$87,'Fórmula'!B92,53),INDEX(properties!A$1:CB$87,'Fórmula'!D92,53),INDEX(properties!A$1:CB$87,'Fórmula'!F92,53),INDEX(properties!A$1:CB$87,'Fórmula'!H92,53),INDEX(properties!A$1:CB$87,'Fórmula'!J92,53))</f>
        <v>1933.15</v>
      </c>
      <c r="FF92" s="115">
        <f t="array" ref="FF92">MIN(IF(INDEX(properties!A$1:CB$87,'Fórmula'!B92,53)=0,10^6,INDEX(properties!A$1:CB$87,'Fórmula'!B92,53)),IF(INDEX(properties!A$1:CB$87,'Fórmula'!D92,53)=0,10^6,INDEX(properties!A$1:CB$87,'Fórmula'!D92,53)),IF(INDEX(properties!A$1:CB$87,'Fórmula'!F92,53)=0,10^6,INDEX(properties!A$1:CB$87,'Fórmula'!F92,53)),IF(INDEX(properties!A$1:CB$87,'Fórmula'!H92,53)=0,10^6,INDEX(properties!A$1:CB$87,'Fórmula'!H92,53)),IF(INDEX(properties!A$1:CB$87,'Fórmula'!J92,53)=0,10^6,INDEX(properties!A$1:CB$87,'Fórmula'!J92,53)))</f>
        <v>54.75</v>
      </c>
      <c r="FG92" s="115">
        <f t="shared" si="27"/>
        <v>1878.4</v>
      </c>
      <c r="FH92" s="117">
        <f t="array" ref="FH92">(('Fórmula'!C92)/('Fórmula'!C92+'Fórmula'!E92+'Fórmula'!G92+'Fórmula'!I92+'Fórmula'!K92))*(INDEX(properties!A$1:CB$87,'Fórmula'!B92,54))+(('Fórmula'!E92)/('Fórmula'!C92+'Fórmula'!E92+'Fórmula'!G92+'Fórmula'!I92+'Fórmula'!K92))*(INDEX(properties!A$1:CB$87,'Fórmula'!D92,54))+(('Fórmula'!G92)/('Fórmula'!C92+'Fórmula'!E92+'Fórmula'!G92+'Fórmula'!I92+'Fórmula'!K92))*(INDEX(properties!A$1:CB$87,'Fórmula'!F92,54))+(('Fórmula'!I92)/('Fórmula'!C92+'Fórmula'!E92+'Fórmula'!G92+'Fórmula'!I92+'Fórmula'!K92))*(INDEX(properties!A$1:CB$87,'Fórmula'!H92,54))+(('Fórmula'!K92)/('Fórmula'!C92+'Fórmula'!E92+'Fórmula'!G92+'Fórmula'!I92+'Fórmula'!K92))*(INDEX(properties!A$1:CB$87,'Fórmula'!J92,54))</f>
        <v>1237.25</v>
      </c>
      <c r="FI92" s="117">
        <f t="array" ref="FI92">'Fórmula'!C92*(INDEX(properties!A$1:CB$87,'Fórmula'!B92,54))+'Fórmula'!E92*(INDEX(properties!A$1:CB$87,'Fórmula'!D92,54))+'Fórmula'!G92*(INDEX(properties!A$1:CB$87,'Fórmula'!F92,54))+'Fórmula'!I92*(INDEX(properties!A$1:CB$87,'Fórmula'!H92,54))+'Fórmula'!K92*(INDEX(properties!A$1:CB$87,'Fórmula'!J92,54))</f>
        <v>12372.5</v>
      </c>
      <c r="FJ92" s="117">
        <f t="array" ref="FJ92">VARP(IF(INDEX(properties!A$1:CB$87,'Fórmula'!B92,54)&lt;&gt;"",INDEX(properties!A$1:CB$87,'Fórmula'!B92,54)),IF(INDEX(properties!A$1:CB$87,'Fórmula'!D92,54)&lt;&gt;"",INDEX(properties!A$1:CB$87,'Fórmula'!D92,54)),IF(INDEX(properties!A$1:CB$87,'Fórmula'!F92,54)&lt;&gt;"",INDEX(properties!A$1:CB$87,'Fórmula'!F92,54)),IF(INDEX(properties!A$1:CB$87,'Fórmula'!H92,54)&lt;&gt;"",INDEX(properties!A$1:CB$87,'Fórmula'!H92,54)),IF(INDEX(properties!A$1:CB$87,'Fórmula'!J92,54)&lt;&gt;"",INDEX(properties!A$1:CB$87,'Fórmula'!J92,54)))</f>
        <v>2523646.904</v>
      </c>
      <c r="FK92" s="117">
        <f t="array" ref="FK92">MAX(INDEX(properties!A$1:CB$87,'Fórmula'!B92,54),INDEX(properties!A$1:CB$87,'Fórmula'!D92,54),INDEX(properties!A$1:CB$87,'Fórmula'!F92,54),INDEX(properties!A$1:CB$87,'Fórmula'!H92,54),INDEX(properties!A$1:CB$87,'Fórmula'!J92,54))</f>
        <v>3560.15</v>
      </c>
      <c r="FL92" s="117">
        <f t="array" ref="FL92">MIN(IF(INDEX(properties!A$1:CB$87,'Fórmula'!B92,54)=0,10^6,INDEX(properties!A$1:CB$87,'Fórmula'!B92,54)),IF(INDEX(properties!A$1:CB$87,'Fórmula'!D92,54)=0,10^6,INDEX(properties!A$1:CB$87,'Fórmula'!D92,54)),IF(INDEX(properties!A$1:CB$87,'Fórmula'!F92,54)=0,10^6,INDEX(properties!A$1:CB$87,'Fórmula'!F92,54)),IF(INDEX(properties!A$1:CB$87,'Fórmula'!H92,54)=0,10^6,INDEX(properties!A$1:CB$87,'Fórmula'!H92,54)),IF(INDEX(properties!A$1:CB$87,'Fórmula'!J92,54)=0,10^6,INDEX(properties!A$1:CB$87,'Fórmula'!J92,54)))</f>
        <v>90.15</v>
      </c>
      <c r="FM92" s="117">
        <f t="shared" si="28"/>
        <v>3470</v>
      </c>
      <c r="FN92" s="118">
        <f t="array" ref="FN92">(('Fórmula'!C92)/('Fórmula'!C92+'Fórmula'!E92+'Fórmula'!G92+'Fórmula'!I92+'Fórmula'!K92))*(INDEX(properties!A$1:CB$87,'Fórmula'!B92,55))+(('Fórmula'!E92)/('Fórmula'!C92+'Fórmula'!E92+'Fórmula'!G92+'Fórmula'!I92+'Fórmula'!K92))*(INDEX(properties!A$1:CB$87,'Fórmula'!D92,55))+(('Fórmula'!G92)/('Fórmula'!C92+'Fórmula'!E92+'Fórmula'!G92+'Fórmula'!I92+'Fórmula'!K92))*(INDEX(properties!A$1:CB$87,'Fórmula'!F92,55))+(('Fórmula'!I92)/('Fórmula'!C92+'Fórmula'!E92+'Fórmula'!G92+'Fórmula'!I92+'Fórmula'!K92))*(INDEX(properties!A$1:CB$87,'Fórmula'!H92,55))+(('Fórmula'!K92)/('Fórmula'!C92+'Fórmula'!E92+'Fórmula'!G92+'Fórmula'!I92+'Fórmula'!K92))*(INDEX(properties!A$1:CB$87,'Fórmula'!J92,55))</f>
        <v>2.747858</v>
      </c>
      <c r="FO92" s="118">
        <f t="array" ref="FO92">'Fórmula'!C92*(INDEX(properties!A$1:CB$87,'Fórmula'!B92,55))+'Fórmula'!E92*(INDEX(properties!A$1:CB$87,'Fórmula'!D92,54))+'Fórmula'!G92*(INDEX(properties!A$1:CB$87,'Fórmula'!F92,55))+'Fórmula'!I92*(INDEX(properties!A$1:CB$87,'Fórmula'!H92,55))+'Fórmula'!K92*(INDEX(properties!A$1:CB$87,'Fórmula'!J92,55))</f>
        <v>1199.49858</v>
      </c>
      <c r="FP92" s="118">
        <f t="array" ref="FP92">VARP(IF(INDEX(properties!A$1:CB$87,'Fórmula'!B92,55)&lt;&gt;"",INDEX(properties!A$1:CB$87,'Fórmula'!B92,55)),IF(INDEX(properties!A$1:CB$87,'Fórmula'!D92,55)&lt;&gt;"",INDEX(properties!A$1:CB$87,'Fórmula'!D92,55)),IF(INDEX(properties!A$1:CB$87,'Fórmula'!F92,55)&lt;&gt;"",INDEX(properties!A$1:CB$87,'Fórmula'!F92,55)),IF(INDEX(properties!A$1:CB$87,'Fórmula'!H92,55)&lt;&gt;"",INDEX(properties!A$1:CB$87,'Fórmula'!H92,55)),IF(INDEX(properties!A$1:CB$87,'Fórmula'!J92,55)&lt;&gt;"",INDEX(properties!A$1:CB$87,'Fórmula'!J92,55)))</f>
        <v>11.45006552</v>
      </c>
      <c r="FQ92" s="118">
        <f t="array" ref="FQ92">MAX(INDEX(properties!A$1:CB$87,'Fórmula'!B92,55),INDEX(properties!A$1:CB$87,'Fórmula'!D92,55),INDEX(properties!A$1:CB$87,'Fórmula'!F92,55),INDEX(properties!A$1:CB$87,'Fórmula'!H92,55),INDEX(properties!A$1:CB$87,'Fórmula'!J92,55))</f>
        <v>7.9</v>
      </c>
      <c r="FR92" s="118">
        <f t="array" ref="FR92">MIN(IF(INDEX(properties!A$1:CB$87,'Fórmula'!B92,55)=0,10^6,INDEX(properties!A$1:CB$87,'Fórmula'!B92,55)),IF(INDEX(properties!A$1:CB$87,'Fórmula'!D92,55)=0,10^6,INDEX(properties!A$1:CB$87,'Fórmula'!D92,55)),IF(INDEX(properties!A$1:CB$87,'Fórmula'!F92,55)=0,10^6,INDEX(properties!A$1:CB$87,'Fórmula'!F92,55)),IF(INDEX(properties!A$1:CB$87,'Fórmula'!H92,55)=0,10^6,INDEX(properties!A$1:CB$87,'Fórmula'!H92,55)),IF(INDEX(properties!A$1:CB$87,'Fórmula'!J92,55)=0,10^6,INDEX(properties!A$1:CB$87,'Fórmula'!J92,55)))</f>
        <v>0.00143</v>
      </c>
      <c r="FS92" s="118">
        <f t="shared" si="29"/>
        <v>7.89857</v>
      </c>
      <c r="FT92" s="119">
        <f t="array" ref="FT92">(('Fórmula'!C92)/('Fórmula'!C92+'Fórmula'!E92+'Fórmula'!G92+'Fórmula'!I92+'Fórmula'!K92))*(INDEX(properties!A$1:CB$87,'Fórmula'!B92,56))+(('Fórmula'!E92)/('Fórmula'!C92+'Fórmula'!E92+'Fórmula'!G92+'Fórmula'!I92+'Fórmula'!K92))*(INDEX(properties!A$1:CB$87,'Fórmula'!D92,56))+(('Fórmula'!G92)/('Fórmula'!C92+'Fórmula'!E92+'Fórmula'!G92+'Fórmula'!I92+'Fórmula'!K92))*(INDEX(properties!A$1:CB$87,'Fórmula'!F92,56))+(('Fórmula'!I92)/('Fórmula'!C92+'Fórmula'!E92+'Fórmula'!G92+'Fórmula'!I92+'Fórmula'!K92))*(INDEX(properties!A$1:CB$87,'Fórmula'!H92,56))+(('Fórmula'!K92)/('Fórmula'!C92+'Fórmula'!E92+'Fórmula'!G92+'Fórmula'!I92+'Fórmula'!K92))*(INDEX(properties!A$1:CB$87,'Fórmula'!J92,56))</f>
        <v>0.689</v>
      </c>
      <c r="FU92" s="119">
        <f t="array" ref="FU92">'Fórmula'!C92*(INDEX(properties!A$1:CB$87,'Fórmula'!B92,56))+'Fórmula'!E92*(INDEX(properties!A$1:CB$87,'Fórmula'!D92,56))+'Fórmula'!G92*(INDEX(properties!A$1:CB$87,'Fórmula'!F92,56))+'Fórmula'!I92*(INDEX(properties!A$1:CB$87,'Fórmula'!H92,56))+'Fórmula'!K92*(INDEX(properties!A$1:CB$87,'Fórmula'!J92,56))</f>
        <v>6.89</v>
      </c>
      <c r="FV92" s="119">
        <f t="array" ref="FV92">VARP(IF(INDEX(properties!A$1:CB$87,'Fórmula'!B92,56)&lt;&gt;"",INDEX(properties!A$1:CB$87,'Fórmula'!B92,56)),IF(INDEX(properties!A$1:CB$87,'Fórmula'!D92,56)&lt;&gt;"",INDEX(properties!A$1:CB$87,'Fórmula'!D92,56)),IF(INDEX(properties!A$1:CB$87,'Fórmula'!F92,56)&lt;&gt;"",INDEX(properties!A$1:CB$87,'Fórmula'!F92,56)),IF(INDEX(properties!A$1:CB$87,'Fórmula'!H92,56)&lt;&gt;"",INDEX(properties!A$1:CB$87,'Fórmula'!H92,56)),IF(INDEX(properties!A$1:CB$87,'Fórmula'!J92,56)&lt;&gt;"",INDEX(properties!A$1:CB$87,'Fórmula'!J92,56)))</f>
        <v>0.094616</v>
      </c>
      <c r="FW92" s="119">
        <f t="array" ref="FW92">MAX(INDEX(properties!A$1:CB$87,'Fórmula'!B92,56),INDEX(properties!A$1:CB$87,'Fórmula'!D92,56),INDEX(properties!A$1:CB$87,'Fórmula'!F92,56),INDEX(properties!A$1:CB$87,'Fórmula'!H92,56),INDEX(properties!A$1:CB$87,'Fórmula'!J92,56))</f>
        <v>0.92</v>
      </c>
      <c r="FX92" s="119">
        <f t="array" ref="FX92">MIN(IF(INDEX(properties!A$1:CB$87,'Fórmula'!B92,56)=0,10^6,INDEX(properties!A$1:CB$87,'Fórmula'!B92,56)),IF(INDEX(properties!A$1:CB$87,'Fórmula'!D92,56)=0,10^6,INDEX(properties!A$1:CB$87,'Fórmula'!D92,56)),IF(INDEX(properties!A$1:CB$87,'Fórmula'!F92,56)=0,10^6,INDEX(properties!A$1:CB$87,'Fórmula'!F92,56)),IF(INDEX(properties!A$1:CB$87,'Fórmula'!H92,56)=0,10^6,INDEX(properties!A$1:CB$87,'Fórmula'!H92,56)),IF(INDEX(properties!A$1:CB$87,'Fórmula'!J92,56)=0,10^6,INDEX(properties!A$1:CB$87,'Fórmula'!J92,56)))</f>
        <v>0.23</v>
      </c>
      <c r="FY92" s="119">
        <f t="shared" si="30"/>
        <v>0.69</v>
      </c>
      <c r="FZ92" s="104">
        <f t="array" ref="FZ92">(('Fórmula'!C92)/('Fórmula'!C92+'Fórmula'!E92+'Fórmula'!G92+'Fórmula'!I92+'Fórmula'!K92))*(INDEX(properties!A$1:CB$87,'Fórmula'!B92,57))+(('Fórmula'!E92)/('Fórmula'!C92+'Fórmula'!E92+'Fórmula'!G92+'Fórmula'!I92+'Fórmula'!K92))*(INDEX(properties!A$1:CB$87,'Fórmula'!D92,57))+(('Fórmula'!G92)/('Fórmula'!C92+'Fórmula'!E92+'Fórmula'!G92+'Fórmula'!I92+'Fórmula'!K92))*(INDEX(properties!A$1:CB$87,'Fórmula'!F92,57))+(('Fórmula'!I92)/('Fórmula'!C92+'Fórmula'!E92+'Fórmula'!G92+'Fórmula'!I92+'Fórmula'!K92))*(INDEX(properties!A$1:CB$87,'Fórmula'!H92,57))+(('Fórmula'!K92)/('Fórmula'!C92+'Fórmula'!E92+'Fórmula'!G92+'Fórmula'!I92+'Fórmula'!K92))*(INDEX(properties!A$1:CB$87,'Fórmula'!J92,57))</f>
        <v>4.420754</v>
      </c>
      <c r="GA92" s="104">
        <f t="array" ref="GA92">'Fórmula'!C92*(INDEX(properties!A$1:CB$87,'Fórmula'!B92,57))+'Fórmula'!E92*(INDEX(properties!A$1:CB$87,'Fórmula'!D92,57))+'Fórmula'!G92*(INDEX(properties!A$1:CB$87,'Fórmula'!F92,57))+'Fórmula'!I92*(INDEX(properties!A$1:CB$87,'Fórmula'!H92,57))+'Fórmula'!K92*(INDEX(properties!A$1:CB$87,'Fórmula'!J92,57))</f>
        <v>44.20754</v>
      </c>
      <c r="GB92" s="104">
        <f t="array" ref="GB92">VARP(IF(INDEX(properties!A$1:CB$87,'Fórmula'!B92,57)&lt;&gt;"",INDEX(properties!A$1:CB$87,'Fórmula'!B92,57)),IF(INDEX(properties!A$1:CB$87,'Fórmula'!D92,57)&lt;&gt;"",INDEX(properties!A$1:CB$87,'Fórmula'!D92,57)),IF(INDEX(properties!A$1:CB$87,'Fórmula'!F92,57)&lt;&gt;"",INDEX(properties!A$1:CB$87,'Fórmula'!F92,57)),IF(INDEX(properties!A$1:CB$87,'Fórmula'!H92,57)&lt;&gt;"",INDEX(properties!A$1:CB$87,'Fórmula'!H92,57)),IF(INDEX(properties!A$1:CB$87,'Fórmula'!J92,57)&lt;&gt;"",INDEX(properties!A$1:CB$87,'Fórmula'!J92,57)))</f>
        <v>34.99544893</v>
      </c>
      <c r="GC92" s="104">
        <f t="array" ref="GC92">MAX(INDEX(properties!A$1:CB$87,'Fórmula'!B92,57),INDEX(properties!A$1:CB$87,'Fórmula'!D92,57),INDEX(properties!A$1:CB$87,'Fórmula'!F92,57),INDEX(properties!A$1:CB$87,'Fórmula'!H92,57),INDEX(properties!A$1:CB$87,'Fórmula'!J92,57))</f>
        <v>15.45</v>
      </c>
      <c r="GD92" s="104">
        <f t="array" ref="GD92">MIN(IF(INDEX(properties!A$1:CB$87,'Fórmula'!B92,57)=0,10^6,INDEX(properties!A$1:CB$87,'Fórmula'!B92,57)),IF(INDEX(properties!A$1:CB$87,'Fórmula'!D92,57)=0,10^6,INDEX(properties!A$1:CB$87,'Fórmula'!D92,57)),IF(INDEX(properties!A$1:CB$87,'Fórmula'!F92,57)=0,10^6,INDEX(properties!A$1:CB$87,'Fórmula'!F92,57)),IF(INDEX(properties!A$1:CB$87,'Fórmula'!H92,57)=0,10^6,INDEX(properties!A$1:CB$87,'Fórmula'!H92,57)),IF(INDEX(properties!A$1:CB$87,'Fórmula'!J92,57)=0,10^6,INDEX(properties!A$1:CB$87,'Fórmula'!J92,57)))</f>
        <v>0.22259</v>
      </c>
      <c r="GE92" s="104">
        <f t="shared" si="31"/>
        <v>15.22741</v>
      </c>
      <c r="GF92" s="105">
        <f t="array" ref="GF92">(('Fórmula'!C92)/('Fórmula'!C92+'Fórmula'!E92+'Fórmula'!G92+'Fórmula'!I92+'Fórmula'!K92))*(INDEX(properties!A$1:CB$87,'Fórmula'!B92,60))+(('Fórmula'!E92)/('Fórmula'!C92+'Fórmula'!E92+'Fórmula'!G92+'Fórmula'!I92+'Fórmula'!K92))*(INDEX(properties!A$1:CB$87,'Fórmula'!D92,60))+(('Fórmula'!G92)/('Fórmula'!C92+'Fórmula'!E92+'Fórmula'!G92+'Fórmula'!I92+'Fórmula'!K92))*(INDEX(properties!A$1:CB$87,'Fórmula'!F92,60))+(('Fórmula'!I92)/('Fórmula'!C92+'Fórmula'!E92+'Fórmula'!G92+'Fórmula'!I92+'Fórmula'!K92))*(INDEX(properties!A$1:CB$87,'Fórmula'!H92,60))+(('Fórmula'!K92)/('Fórmula'!C92+'Fórmula'!E92+'Fórmula'!G92+'Fórmula'!I92+'Fórmula'!K92))*(INDEX(properties!A$1:CB$87,'Fórmula'!J92,60))</f>
        <v>15.926044</v>
      </c>
      <c r="GG92" s="105">
        <f t="array" ref="GG92">'Fórmula'!C92*(INDEX(properties!A$1:CB$87,'Fórmula'!B92,60))+'Fórmula'!E92*(INDEX(properties!A$1:CB$87,'Fórmula'!D92,60))+'Fórmula'!G92*(INDEX(properties!A$1:CB$87,'Fórmula'!F92,60))+'Fórmula'!I92*(INDEX(properties!A$1:CB$87,'Fórmula'!H92,60))+'Fórmula'!K92*(INDEX(properties!A$1:CB$87,'Fórmula'!J92,60))</f>
        <v>159.26044</v>
      </c>
      <c r="GH92" s="105">
        <f t="array" ref="GH92">VARP(IF(INDEX(properties!A$1:CB$87,'Fórmula'!B92,60)&lt;&gt;"",INDEX(properties!A$1:CB$87,'Fórmula'!B92,60)),IF(INDEX(properties!A$1:CB$87,'Fórmula'!D92,60)&lt;&gt;"",INDEX(properties!A$1:CB$87,'Fórmula'!D92,60)),IF(INDEX(properties!A$1:CB$87,'Fórmula'!F92,60)&lt;&gt;"",INDEX(properties!A$1:CB$87,'Fórmula'!F92,60)),IF(INDEX(properties!A$1:CB$87,'Fórmula'!H92,60)&lt;&gt;"",INDEX(properties!A$1:CB$87,'Fórmula'!H92,60)),IF(INDEX(properties!A$1:CB$87,'Fórmula'!J92,60)&lt;&gt;"",INDEX(properties!A$1:CB$87,'Fórmula'!J92,60)))</f>
        <v>1927.186443</v>
      </c>
      <c r="GI92" s="105">
        <f t="array" ref="GI92">MAX(INDEX(properties!A$1:CB$87,'Fórmula'!B92,60),INDEX(properties!A$1:CB$87,'Fórmula'!D92,60),INDEX(properties!A$1:CB$87,'Fórmula'!F92,60),INDEX(properties!A$1:CB$87,'Fórmula'!H92,60),INDEX(properties!A$1:CB$87,'Fórmula'!J92,60))</f>
        <v>116</v>
      </c>
      <c r="GJ92" s="105">
        <f t="array" ref="GJ92">MIN(IF(INDEX(properties!A$1:CB$87,'Fórmula'!B92,60)=0,10^6,INDEX(properties!A$1:CB$87,'Fórmula'!B92,60)),IF(INDEX(properties!A$1:CB$87,'Fórmula'!D92,60)=0,10^6,INDEX(properties!A$1:CB$87,'Fórmula'!D92,60)),IF(INDEX(properties!A$1:CB$87,'Fórmula'!F92,60)=0,10^6,INDEX(properties!A$1:CB$87,'Fórmula'!F92,60)),IF(INDEX(properties!A$1:CB$87,'Fórmula'!H92,60)=0,10^6,INDEX(properties!A$1:CB$87,'Fórmula'!H92,60)),IF(INDEX(properties!A$1:CB$87,'Fórmula'!J92,60)=0,10^6,INDEX(properties!A$1:CB$87,'Fórmula'!J92,60)))</f>
        <v>0.02674</v>
      </c>
      <c r="GK92" s="105">
        <f t="shared" si="32"/>
        <v>115.97326</v>
      </c>
      <c r="GL92" s="106">
        <f t="array" ref="GL92">(('Fórmula'!C92)/('Fórmula'!C92+'Fórmula'!E92+'Fórmula'!G92+'Fórmula'!I92+'Fórmula'!K92))*(INDEX(properties!A$1:CB$87,'Fórmula'!B92,62))+(('Fórmula'!E92)/('Fórmula'!C92+'Fórmula'!E92+'Fórmula'!G92+'Fórmula'!I92+'Fórmula'!K92))*(INDEX(properties!A$1:CB$87,'Fórmula'!D92,62))+(('Fórmula'!G92)/('Fórmula'!C92+'Fórmula'!E92+'Fórmula'!G92+'Fórmula'!I92+'Fórmula'!K92))*(INDEX(properties!A$1:CB$87,'Fórmula'!F92,62))+(('Fórmula'!I92)/('Fórmula'!C92+'Fórmula'!E92+'Fórmula'!G92+'Fórmula'!I92+'Fórmula'!K92))*(INDEX(properties!A$1:CB$87,'Fórmula'!H92,62))+(('Fórmula'!K92)/('Fórmula'!C92+'Fórmula'!E92+'Fórmula'!G92+'Fórmula'!I92+'Fórmula'!K92))*(INDEX(properties!A$1:CB$87,'Fórmula'!J92,62))</f>
        <v>3.02</v>
      </c>
      <c r="GM92" s="106">
        <f t="array" ref="GM92">'Fórmula'!C92*(INDEX(properties!A$1:CB$87,'Fórmula'!B92,62))+'Fórmula'!E92*(INDEX(properties!A$1:CB$87,'Fórmula'!D92,62))+'Fórmula'!G92*(INDEX(properties!A$1:CB$87,'Fórmula'!F92,62))+'Fórmula'!I92*(INDEX(properties!A$1:CB$87,'Fórmula'!H92,62))+'Fórmula'!K92*(INDEX(properties!A$1:CB$87,'Fórmula'!J92,62))</f>
        <v>30.2</v>
      </c>
      <c r="GN92" s="106">
        <f t="array" ref="GN92">VARP(IF(INDEX(properties!A$1:CB$87,'Fórmula'!B92,62)&lt;&gt;"",INDEX(properties!A$1:CB$87,'Fórmula'!B92,62)),IF(INDEX(properties!A$1:CB$87,'Fórmula'!D92,62)&lt;&gt;"",INDEX(properties!A$1:CB$87,'Fórmula'!D92,62)),IF(INDEX(properties!A$1:CB$87,'Fórmula'!F92,62)&lt;&gt;"",INDEX(properties!A$1:CB$87,'Fórmula'!F92,62)),IF(INDEX(properties!A$1:CB$87,'Fórmula'!H92,62)&lt;&gt;"",INDEX(properties!A$1:CB$87,'Fórmula'!H92,62)),IF(INDEX(properties!A$1:CB$87,'Fórmula'!J92,62)&lt;&gt;"",INDEX(properties!A$1:CB$87,'Fórmula'!J92,62)))</f>
        <v>3.151336</v>
      </c>
      <c r="GO92" s="106">
        <f t="array" ref="GO92">MAX(INDEX(properties!A$1:CB$87,'Fórmula'!B92,62),INDEX(properties!A$1:CB$87,'Fórmula'!D92,62),INDEX(properties!A$1:CB$87,'Fórmula'!F92,62),INDEX(properties!A$1:CB$87,'Fórmula'!H92,62),INDEX(properties!A$1:CB$87,'Fórmula'!J92,62))</f>
        <v>4.85</v>
      </c>
      <c r="GP92" s="106">
        <f t="array" ref="GP92">MIN(IF(INDEX(properties!A$1:CB$87,'Fórmula'!B92,62)=0,10^6,INDEX(properties!A$1:CB$87,'Fórmula'!B92,62)),IF(INDEX(properties!A$1:CB$87,'Fórmula'!D92,62)=0,10^6,INDEX(properties!A$1:CB$87,'Fórmula'!D92,62)),IF(INDEX(properties!A$1:CB$87,'Fórmula'!F92,62)=0,10^6,INDEX(properties!A$1:CB$87,'Fórmula'!F92,62)),IF(INDEX(properties!A$1:CB$87,'Fórmula'!H92,62)=0,10^6,INDEX(properties!A$1:CB$87,'Fórmula'!H92,62)),IF(INDEX(properties!A$1:CB$87,'Fórmula'!J92,62)=0,10^6,INDEX(properties!A$1:CB$87,'Fórmula'!J92,62)))</f>
        <v>1.35</v>
      </c>
      <c r="GQ92" s="106">
        <f t="shared" si="33"/>
        <v>3.5</v>
      </c>
      <c r="GR92" s="106">
        <f>'Fórmula'!Q92</f>
        <v>14</v>
      </c>
      <c r="GS92" s="107">
        <f>'Fórmula'!P92</f>
        <v>6</v>
      </c>
      <c r="GT92" s="113">
        <f>'Fórmula'!O92</f>
        <v>7.47</v>
      </c>
      <c r="GU92" s="114">
        <f>AVERAGE('Fórmula'!R92/'Fórmula'!S92,'Fórmula'!S92/'Fórmula'!T92,'Fórmula'!T92/'Fórmula'!R92)</f>
        <v>1.038880955</v>
      </c>
      <c r="GV92" s="125">
        <f>'Fórmula'!U92</f>
        <v>232.83</v>
      </c>
      <c r="GW92" s="106">
        <f>'Fórmula'!N92</f>
        <v>0.2</v>
      </c>
    </row>
    <row r="93" ht="14.25" customHeight="1">
      <c r="A93" s="99" t="str">
        <f>'Fórmula'!A93</f>
        <v>LaBO3</v>
      </c>
      <c r="B93" s="101">
        <f t="array" ref="B93">(('Fórmula'!C93)/('Fórmula'!C93+'Fórmula'!E93+'Fórmula'!G93+'Fórmula'!I93+'Fórmula'!K93))*(INDEX(properties!A$1:CB$87,'Fórmula'!B93,3))+(('Fórmula'!E93)/('Fórmula'!C93+'Fórmula'!E93+'Fórmula'!G93+'Fórmula'!I93+'Fórmula'!K93))*(INDEX(properties!A$1:CB$87,'Fórmula'!D93,3))+(('Fórmula'!G93)/('Fórmula'!C93+'Fórmula'!E93+'Fórmula'!G93+'Fórmula'!I93+'Fórmula'!K93))*(INDEX(properties!A$1:CB$87,'Fórmula'!F93,3))+(('Fórmula'!I93)/('Fórmula'!C93+'Fórmula'!E93+'Fórmula'!G93+'Fórmula'!I93+'Fórmula'!K93))*(INDEX(properties!A$1:CB$87,'Fórmula'!H93,3))+(('Fórmula'!K93)/('Fórmula'!C93+'Fórmula'!E93+'Fórmula'!G93+'Fórmula'!I93+'Fórmula'!K93))*(INDEX(properties!A$1:CB$87,'Fórmula'!J93,3))</f>
        <v>39.54294</v>
      </c>
      <c r="C93" s="101">
        <f t="array" ref="C93">'Fórmula'!C93*(INDEX(properties!A$1:CB$87,'Fórmula'!B93,3))+'Fórmula'!E93*(INDEX(properties!A$1:CB$87,'Fórmula'!D93,3))+'Fórmula'!G93*(INDEX(properties!A$1:CB$87,'Fórmula'!F93,3))+'Fórmula'!I93*(INDEX(properties!A$1:CB$87,'Fórmula'!H93,3))+'Fórmula'!K93*(INDEX(properties!A$1:CB$87,'Fórmula'!J93,3))</f>
        <v>197.7147</v>
      </c>
      <c r="D93" s="101">
        <f t="array" ref="D93">VARP(IF(INDEX(properties!A$1:CB$87,'Fórmula'!B93,3)&lt;&gt;"",INDEX(properties!A$1:CB$87,'Fórmula'!B93,3)),IF(INDEX(properties!A$1:CB$87,'Fórmula'!D93,3)&lt;&gt;"",INDEX(properties!A$1:CB$87,'Fórmula'!D93,3)),IF(INDEX(properties!A$1:CB$87,'Fórmula'!F93,3)&lt;&gt;"",INDEX(properties!A$1:CB$87,'Fórmula'!F93,3)),IF(INDEX(properties!A$1:CB$87,'Fórmula'!H93,3)&lt;&gt;"",INDEX(properties!A$1:CB$87,'Fórmula'!H93,3)),IF(INDEX(properties!A$1:CB$87,'Fórmula'!J93,3)&lt;&gt;"",INDEX(properties!A$1:CB$87,'Fórmula'!J93,3)))</f>
        <v>2835.04891</v>
      </c>
      <c r="E93" s="101">
        <f t="array" ref="E93">MAX(INDEX(properties!A$1:CB$87,'Fórmula'!B93,3),INDEX(properties!A$1:CB$87,'Fórmula'!D93,3),INDEX(properties!A$1:CB$87,'Fórmula'!F93,3),INDEX(properties!A$1:CB$87,'Fórmula'!H93,3),INDEX(properties!A$1:CB$87,'Fórmula'!J93,3))</f>
        <v>138.9055</v>
      </c>
      <c r="F93" s="101">
        <f t="array" ref="F93">MIN(IF(INDEX(properties!A$1:CB$87,'Fórmula'!B93,3)=0,10^6,INDEX(properties!A$1:CB$87,'Fórmula'!B93,3)),IF(INDEX(properties!A$1:CB$87,'Fórmula'!D93,3)=0,10^6,INDEX(properties!A$1:CB$87,'Fórmula'!D93,3)),IF(INDEX(properties!A$1:CB$87,'Fórmula'!F93,3)=0,10^6,INDEX(properties!A$1:CB$87,'Fórmula'!F93,3)),IF(INDEX(properties!A$1:CB$87,'Fórmula'!H93,3)=0,10^6,INDEX(properties!A$1:CB$87,'Fórmula'!H93,3)),IF(INDEX(properties!A$1:CB$87,'Fórmula'!J93,3)=0,10^6,INDEX(properties!A$1:CB$87,'Fórmula'!J93,3)))</f>
        <v>10.811</v>
      </c>
      <c r="G93" s="101">
        <f t="shared" si="1"/>
        <v>128.0945</v>
      </c>
      <c r="H93" s="102">
        <f t="array" ref="H93">(('Fórmula'!C93)/('Fórmula'!C93+'Fórmula'!E93+'Fórmula'!G93+'Fórmula'!I93+'Fórmula'!K93))*(INDEX(properties!A$1:CB$87,'Fórmula'!B93,4))+(('Fórmula'!E93)/('Fórmula'!C93+'Fórmula'!E93+'Fórmula'!G93+'Fórmula'!I93+'Fórmula'!K93))*(INDEX(properties!A$1:CB$87,'Fórmula'!D93,4))+(('Fórmula'!G93)/('Fórmula'!C93+'Fórmula'!E93+'Fórmula'!G93+'Fórmula'!I93+'Fórmula'!K93))*(INDEX(properties!A$1:CB$87,'Fórmula'!F93,4))+(('Fórmula'!I93)/('Fórmula'!C93+'Fórmula'!E93+'Fórmula'!G93+'Fórmula'!I93+'Fórmula'!K93))*(INDEX(properties!A$1:CB$87,'Fórmula'!H93,4))+(('Fórmula'!K93)/('Fórmula'!C93+'Fórmula'!E93+'Fórmula'!G93+'Fórmula'!I93+'Fórmula'!K93))*(INDEX(properties!A$1:CB$87,'Fórmula'!J93,4))</f>
        <v>17.2</v>
      </c>
      <c r="I93" s="102">
        <f t="array" ref="I93">'Fórmula'!C93*(INDEX(properties!A$1:CB$87,'Fórmula'!B93,4))+'Fórmula'!E93*(INDEX(properties!A$1:CB$87,'Fórmula'!D93,4))+'Fórmula'!G93*(INDEX(properties!A$1:CB$87,'Fórmula'!F93,4))+'Fórmula'!I93*(INDEX(properties!A$1:CB$87,'Fórmula'!H93,4))+'Fórmula'!K93*(INDEX(properties!A$1:CB$87,'Fórmula'!J93,4))</f>
        <v>86</v>
      </c>
      <c r="J93" s="102">
        <f t="array" ref="J93">VARP(IF(INDEX(properties!A$1:CB$87,'Fórmula'!B93,4)&lt;&gt;"",INDEX(properties!A$1:CB$87,'Fórmula'!B93,4)),IF(INDEX(properties!A$1:CB$87,'Fórmula'!D93,4)&lt;&gt;"",INDEX(properties!A$1:CB$87,'Fórmula'!D93,4)),IF(INDEX(properties!A$1:CB$87,'Fórmula'!F93,4)&lt;&gt;"",INDEX(properties!A$1:CB$87,'Fórmula'!F93,4)),IF(INDEX(properties!A$1:CB$87,'Fórmula'!H93,4)&lt;&gt;"",INDEX(properties!A$1:CB$87,'Fórmula'!H93,4)),IF(INDEX(properties!A$1:CB$87,'Fórmula'!J93,4)&lt;&gt;"",INDEX(properties!A$1:CB$87,'Fórmula'!J93,4)))</f>
        <v>471.6</v>
      </c>
      <c r="K93" s="102">
        <f t="array" ref="K93">MAX(INDEX(properties!A$1:CB$87,'Fórmula'!B93,4),INDEX(properties!A$1:CB$87,'Fórmula'!D93,4),INDEX(properties!A$1:CB$87,'Fórmula'!F93,4),INDEX(properties!A$1:CB$87,'Fórmula'!H93,4),INDEX(properties!A$1:CB$87,'Fórmula'!J93,4))</f>
        <v>57</v>
      </c>
      <c r="L93" s="102">
        <f t="array" ref="L93">MIN(IF(INDEX(properties!A$1:CB$87,'Fórmula'!B93,4)=0,10^6,INDEX(properties!A$1:CB$87,'Fórmula'!B93,4)),IF(INDEX(properties!A$1:CB$87,'Fórmula'!D93,4)=0,10^6,INDEX(properties!A$1:CB$87,'Fórmula'!D93,4)),IF(INDEX(properties!A$1:CB$87,'Fórmula'!F93,4)=0,10^6,INDEX(properties!A$1:CB$87,'Fórmula'!F93,4)),IF(INDEX(properties!A$1:CB$87,'Fórmula'!H93,4)=0,10^6,INDEX(properties!A$1:CB$87,'Fórmula'!H93,4)),IF(INDEX(properties!A$1:CB$87,'Fórmula'!J93,4)=0,10^6,INDEX(properties!A$1:CB$87,'Fórmula'!J93,4)))</f>
        <v>5</v>
      </c>
      <c r="M93" s="102">
        <f t="shared" si="2"/>
        <v>52</v>
      </c>
      <c r="N93" s="103">
        <f t="array" ref="N93">(('Fórmula'!C93)/('Fórmula'!C93+'Fórmula'!E93+'Fórmula'!G93+'Fórmula'!I93+'Fórmula'!K93))*(INDEX(properties!A$1:CB$87,'Fórmula'!B93,5))+(('Fórmula'!E93)/('Fórmula'!C93+'Fórmula'!E93+'Fórmula'!G93+'Fórmula'!I93+'Fórmula'!K93))*(INDEX(properties!A$1:CB$87,'Fórmula'!D93,5))+(('Fórmula'!G93)/('Fórmula'!C93+'Fórmula'!E93+'Fórmula'!G93+'Fórmula'!I93+'Fórmula'!K93))*(INDEX(properties!A$1:CB$87,'Fórmula'!F93,5))+(('Fórmula'!I93)/('Fórmula'!C93+'Fórmula'!E93+'Fórmula'!G93+'Fórmula'!I93+'Fórmula'!K93))*(INDEX(properties!A$1:CB$87,'Fórmula'!H93,5))+(('Fórmula'!K93)/('Fórmula'!C93+'Fórmula'!E93+'Fórmula'!G93+'Fórmula'!I93+'Fórmula'!K93))*(INDEX(properties!A$1:CB$87,'Fórmula'!J93,5))</f>
        <v>2.8</v>
      </c>
      <c r="O93" s="103">
        <f t="array" ref="O93">'Fórmula'!C93*(INDEX(properties!A$1:CB$87,'Fórmula'!B93,5))+'Fórmula'!E93*(INDEX(properties!A$1:CB$87,'Fórmula'!D93,5))+'Fórmula'!G93*(INDEX(properties!A$1:CB$87,'Fórmula'!F93,5))+'Fórmula'!I93*(INDEX(properties!A$1:CB$87,'Fórmula'!H93,5))+'Fórmula'!K93*(INDEX(properties!A$1:CB$87,'Fórmula'!J93,5))</f>
        <v>14</v>
      </c>
      <c r="P93" s="103">
        <f t="array" ref="P93">VARP(IF(INDEX(properties!A$1:CB$87,'Fórmula'!B93,5)&lt;&gt;"",INDEX(properties!A$1:CB$87,'Fórmula'!B93,5)),IF(INDEX(properties!A$1:CB$87,'Fórmula'!D93,5)&lt;&gt;"",INDEX(properties!A$1:CB$87,'Fórmula'!D93,5)),IF(INDEX(properties!A$1:CB$87,'Fórmula'!F93,5)&lt;&gt;"",INDEX(properties!A$1:CB$87,'Fórmula'!F93,5)),IF(INDEX(properties!A$1:CB$87,'Fórmula'!H93,5)&lt;&gt;"",INDEX(properties!A$1:CB$87,'Fórmula'!H93,5)),IF(INDEX(properties!A$1:CB$87,'Fórmula'!J93,5)&lt;&gt;"",INDEX(properties!A$1:CB$87,'Fórmula'!J93,5)))</f>
        <v>4.8</v>
      </c>
      <c r="Q93" s="103">
        <f t="array" ref="Q93">MAX(INDEX(properties!A$1:CB$87,'Fórmula'!B93,5),INDEX(properties!A$1:CB$87,'Fórmula'!D93,5),INDEX(properties!A$1:CB$87,'Fórmula'!F93,5),INDEX(properties!A$1:CB$87,'Fórmula'!H93,5),INDEX(properties!A$1:CB$87,'Fórmula'!J93,5))</f>
        <v>6</v>
      </c>
      <c r="R93" s="103">
        <f t="array" ref="R93">MIN(IF(INDEX(properties!A$1:CB$87,'Fórmula'!B93,5)=0,10^6,INDEX(properties!A$1:CB$87,'Fórmula'!B93,5)),IF(INDEX(properties!A$1:CB$87,'Fórmula'!D93,5)=0,10^6,INDEX(properties!A$1:CB$87,'Fórmula'!D93,5)),IF(INDEX(properties!A$1:CB$87,'Fórmula'!F93,5)=0,10^6,INDEX(properties!A$1:CB$87,'Fórmula'!F93,5)),IF(INDEX(properties!A$1:CB$87,'Fórmula'!H93,5)=0,10^6,INDEX(properties!A$1:CB$87,'Fórmula'!H93,5)),IF(INDEX(properties!A$1:CB$87,'Fórmula'!J93,5)=0,10^6,INDEX(properties!A$1:CB$87,'Fórmula'!J93,5)))</f>
        <v>2</v>
      </c>
      <c r="S93" s="103">
        <f t="shared" si="3"/>
        <v>4</v>
      </c>
      <c r="T93" s="104">
        <f t="array" ref="T93">(('Fórmula'!C93)/('Fórmula'!C93+'Fórmula'!E93+'Fórmula'!G93+'Fórmula'!I93+'Fórmula'!K93))*(INDEX(properties!A$1:CB$87,'Fórmula'!B93,6))+(('Fórmula'!E93)/('Fórmula'!C93+'Fórmula'!E93+'Fórmula'!G93+'Fórmula'!I93+'Fórmula'!K93))*(INDEX(properties!A$1:CB$87,'Fórmula'!D93,6))+(('Fórmula'!G93)/('Fórmula'!C93+'Fórmula'!E93+'Fórmula'!G93+'Fórmula'!I93+'Fórmula'!K93))*(INDEX(properties!A$1:CB$87,'Fórmula'!F93,6))+(('Fórmula'!I93)/('Fórmula'!C93+'Fórmula'!E93+'Fórmula'!G93+'Fórmula'!I93+'Fórmula'!K93))*(INDEX(properties!A$1:CB$87,'Fórmula'!H93,6))+(('Fórmula'!K93)/('Fórmula'!C93+'Fórmula'!E93+'Fórmula'!G93+'Fórmula'!I93+'Fórmula'!K93))*(INDEX(properties!A$1:CB$87,'Fórmula'!J93,6))</f>
        <v>12.8</v>
      </c>
      <c r="U93" s="104">
        <f t="array" ref="U93">'Fórmula'!C93*(INDEX(properties!A$1:CB$87,'Fórmula'!B93,6))+'Fórmula'!E93*(INDEX(properties!A$1:CB$87,'Fórmula'!D93,6))+'Fórmula'!G93*(INDEX(properties!A$1:CB$87,'Fórmula'!F93,6))+'Fórmula'!I93*(INDEX(properties!A$1:CB$87,'Fórmula'!H93,6))+'Fórmula'!K93*(INDEX(properties!A$1:CB$87,'Fórmula'!J93,6))</f>
        <v>64</v>
      </c>
      <c r="V93" s="103">
        <f t="array" ref="V93">VARP(IF(INDEX(properties!A$1:CB$87,'Fórmula'!B93,6)&lt;&gt;"",INDEX(properties!A$1:CB$87,'Fórmula'!B93,6)),IF(INDEX(properties!A$1:CB$87,'Fórmula'!D93,6)&lt;&gt;"",INDEX(properties!A$1:CB$87,'Fórmula'!D93,6)),IF(INDEX(properties!A$1:CB$87,'Fórmula'!F93,6)&lt;&gt;"",INDEX(properties!A$1:CB$87,'Fórmula'!F93,6)),IF(INDEX(properties!A$1:CB$87,'Fórmula'!H93,6)&lt;&gt;"",INDEX(properties!A$1:CB$87,'Fórmula'!H93,6)),IF(INDEX(properties!A$1:CB$87,'Fórmula'!J93,6)&lt;&gt;"",INDEX(properties!A$1:CB$87,'Fórmula'!J93,6)))</f>
        <v>45.84</v>
      </c>
      <c r="W93" s="104">
        <f t="array" ref="W93">MAX(INDEX(properties!A$1:CB$87,'Fórmula'!B93,6),INDEX(properties!A$1:CB$87,'Fórmula'!D93,6),INDEX(properties!A$1:CB$87,'Fórmula'!F93,6),INDEX(properties!A$1:CB$87,'Fórmula'!H93,4),INDEX(properties!A$1:CB$87,'Fórmula'!J93,6))</f>
        <v>16</v>
      </c>
      <c r="X93" s="104">
        <f t="array" ref="X93">MIN(IF(INDEX(properties!A$1:CB$87,'Fórmula'!B93,6)=0,10^6,INDEX(properties!A$1:CB$87,'Fórmula'!B93,6)),IF(INDEX(properties!A$1:CB$87,'Fórmula'!D93,6)=0,10^6,INDEX(properties!A$1:CB$87,'Fórmula'!D93,6)),IF(INDEX(properties!A$1:CB$87,'Fórmula'!F93,6)=0,10^6,INDEX(properties!A$1:CB$87,'Fórmula'!F93,6)),IF(INDEX(properties!A$1:CB$87,'Fórmula'!H93,6)=0,10^6,INDEX(properties!A$1:CB$87,'Fórmula'!H93,6)),IF(INDEX(properties!A$1:CB$87,'Fórmula'!J93,6)=0,10^6,INDEX(properties!A$1:CB$87,'Fórmula'!J93,6)))</f>
        <v>3</v>
      </c>
      <c r="Y93" s="104">
        <f t="shared" si="4"/>
        <v>13</v>
      </c>
      <c r="Z93" s="105">
        <f t="array" ref="Z93">(('Fórmula'!C93)/('Fórmula'!C93+'Fórmula'!E93+'Fórmula'!G93+'Fórmula'!I93+'Fórmula'!K93))*(INDEX(properties!A$1:CB$87,'Fórmula'!B93,9))+(('Fórmula'!E93)/('Fórmula'!C93+'Fórmula'!E93+'Fórmula'!G93+'Fórmula'!I93+'Fórmula'!K93))*(INDEX(properties!A$1:CB$87,'Fórmula'!D93,9))+(('Fórmula'!G93)/('Fórmula'!C93+'Fórmula'!E93+'Fórmula'!G93+'Fórmula'!I93+'Fórmula'!K93))*(INDEX(properties!A$1:CB$87,'Fórmula'!F93,9))+(('Fórmula'!I93)/('Fórmula'!C93+'Fórmula'!E93+'Fórmula'!G93+'Fórmula'!I93+'Fórmula'!K93))*(INDEX(properties!A$1:CB$87,'Fórmula'!H93,9))+(('Fórmula'!K93)/('Fórmula'!C93+'Fórmula'!E93+'Fórmula'!G93+'Fórmula'!I93+'Fórmula'!K93))*(INDEX(properties!A$1:CB$87,'Fórmula'!J93,9))</f>
        <v>69.2</v>
      </c>
      <c r="AA93" s="105">
        <f t="array" ref="AA93">'Fórmula'!C93*(INDEX(properties!A$1:CB$87,'Fórmula'!B93,9))+'Fórmula'!E93*(INDEX(properties!A$1:CB$87,'Fórmula'!D93,9))+'Fórmula'!G93*(INDEX(properties!A$1:CB$87,'Fórmula'!F93,9))+'Fórmula'!I93*(INDEX(properties!A$1:CB$87,'Fórmula'!H93,9))+'Fórmula'!K93*(INDEX(properties!A$1:CB$87,'Fórmula'!J93,9))</f>
        <v>346</v>
      </c>
      <c r="AB93" s="105">
        <f t="array" ref="AB93">VARP(IF(INDEX(properties!A$1:CB$87,'Fórmula'!B93,9)&lt;&gt;"",INDEX(properties!A$1:CB$87,'Fórmula'!B93,9)),IF(INDEX(properties!A$1:CB$87,'Fórmula'!D93,9)&lt;&gt;"",INDEX(properties!A$1:CB$87,'Fórmula'!D93,9)),IF(INDEX(properties!A$1:CB$87,'Fórmula'!F93,9)&lt;&gt;"",INDEX(properties!A$1:CB$87,'Fórmula'!F93,9)),IF(INDEX(properties!A$1:CB$87,'Fórmula'!H93,9)&lt;&gt;"",INDEX(properties!A$1:CB$87,'Fórmula'!H93,9)),IF(INDEX(properties!A$1:CB$87,'Fórmula'!J93,9)&lt;&gt;"",INDEX(properties!A$1:CB$87,'Fórmula'!J93,9)))</f>
        <v>1401.04</v>
      </c>
      <c r="AC93" s="105">
        <f t="array" ref="AC93">MAX(INDEX(properties!A$1:CB$87,'Fórmula'!B93,9),INDEX(properties!A$1:CB$87,'Fórmula'!D93,9),INDEX(properties!A$1:CB$87,'Fórmula'!F93,9),INDEX(properties!A$1:CB$87,'Fórmula'!H93,9),INDEX(properties!A$1:CB$87,'Fórmula'!J93,9))</f>
        <v>87</v>
      </c>
      <c r="AD93" s="105">
        <f t="array" ref="AD93">MIN(IF(INDEX(properties!A$1:CB$87,'Fórmula'!B93,9)=0,10^6,INDEX(properties!A$1:CB$87,'Fórmula'!B93,9)),IF(INDEX(properties!A$1:CB$87,'Fórmula'!D93,9)=0,10^6,INDEX(properties!A$1:CB$87,'Fórmula'!D93,9)),IF(INDEX(properties!A$1:CB$87,'Fórmula'!F93,9)=0,10^6,INDEX(properties!A$1:CB$87,'Fórmula'!F93,9)),IF(INDEX(properties!A$1:CB$87,'Fórmula'!H93,9)=0,10^6,INDEX(properties!A$1:CB$87,'Fórmula'!H93,9)),IF(INDEX(properties!A$1:CB$87,'Fórmula'!J93,9)=0,10^6,INDEX(properties!A$1:CB$87,'Fórmula'!J93,9)))</f>
        <v>13</v>
      </c>
      <c r="AE93" s="105">
        <f t="shared" si="5"/>
        <v>74</v>
      </c>
      <c r="AF93" s="106">
        <f t="array" ref="AF93">(('Fórmula'!C93)/('Fórmula'!C93+'Fórmula'!E93+'Fórmula'!G93+'Fórmula'!I93+'Fórmula'!K93))*(INDEX(properties!A$1:CB$87,'Fórmula'!B93,10))+(('Fórmula'!E93)/('Fórmula'!C93+'Fórmula'!E93+'Fórmula'!G93+'Fórmula'!I93+'Fórmula'!K93))*(INDEX(properties!A$1:CB$87,'Fórmula'!D93,10))+(('Fórmula'!G93)/('Fórmula'!C93+'Fórmula'!E93+'Fórmula'!G93+'Fórmula'!I93+'Fórmula'!K93))*(INDEX(properties!A$1:CB$87,'Fórmula'!F93,10))+(('Fórmula'!I93)/('Fórmula'!C93+'Fórmula'!E93+'Fórmula'!G93+'Fórmula'!I93+'Fórmula'!K93))*(INDEX(properties!A$1:CB$87,'Fórmula'!H93,10))+(('Fórmula'!K93)/('Fórmula'!C93+'Fórmula'!E93+'Fórmula'!G93+'Fórmula'!I93+'Fórmula'!K93))*(INDEX(properties!A$1:CB$87,'Fórmula'!J93,10))</f>
        <v>6</v>
      </c>
      <c r="AG93" s="106">
        <f t="array" ref="AG93">'Fórmula'!C93*(INDEX(properties!A$1:CB$87,'Fórmula'!B93,10))+'Fórmula'!E93*(INDEX(properties!A$1:CB$87,'Fórmula'!D93,10))+'Fórmula'!G93*(INDEX(properties!A$1:CB$87,'Fórmula'!F93,10))+'Fórmula'!I93*(INDEX(properties!A$1:CB$87,'Fórmula'!H93,10))+'Fórmula'!K93*(INDEX(properties!A$1:CB$87,'Fórmula'!J93,10))</f>
        <v>30</v>
      </c>
      <c r="AH93" s="106">
        <f t="array" ref="AH93">VARP(IF(INDEX(properties!A$1:CB$87,'Fórmula'!B93,10)&lt;&gt;"",INDEX(properties!A$1:CB$87,'Fórmula'!B93,10)),IF(INDEX(properties!A$1:CB$87,'Fórmula'!D93,10)&lt;&gt;"",INDEX(properties!A$1:CB$87,'Fórmula'!D93,10)),IF(INDEX(properties!A$1:CB$87,'Fórmula'!F93,10)&lt;&gt;"",INDEX(properties!A$1:CB$87,'Fórmula'!F93,10)),IF(INDEX(properties!A$1:CB$87,'Fórmula'!H93,10)&lt;&gt;"",INDEX(properties!A$1:CB$87,'Fórmula'!H93,10)),IF(INDEX(properties!A$1:CB$87,'Fórmula'!J93,10)&lt;&gt;"",INDEX(properties!A$1:CB$87,'Fórmula'!J93,10)))</f>
        <v>8.56</v>
      </c>
      <c r="AI93" s="106">
        <f t="array" ref="AI93">MAX(INDEX(properties!A$1:CB$87,'Fórmula'!B93,10),INDEX(properties!A$1:CB$87,'Fórmula'!D93,10),INDEX(properties!A$1:CB$87,'Fórmula'!F93,10),INDEX(properties!A$1:CB$87,'Fórmula'!H93,10),INDEX(properties!A$1:CB$87,'Fórmula'!J93,10))</f>
        <v>7</v>
      </c>
      <c r="AJ93" s="106">
        <f t="array" ref="AJ93">MIN(IF(INDEX(properties!A$1:CB$87,'Fórmula'!B93,10)=0,10^6,INDEX(properties!A$1:CB$87,'Fórmula'!B93,10)),IF(INDEX(properties!A$1:CB$87,'Fórmula'!D93,10)=0,10^6,INDEX(properties!A$1:CB$87,'Fórmula'!D93,10)),IF(INDEX(properties!A$1:CB$87,'Fórmula'!F93,10)=0,10^6,INDEX(properties!A$1:CB$87,'Fórmula'!F93,10)),IF(INDEX(properties!A$1:CB$87,'Fórmula'!H93,10)=0,10^6,INDEX(properties!A$1:CB$87,'Fórmula'!H93,10)),IF(INDEX(properties!A$1:CB$87,'Fórmula'!J93,10)=0,10^6,INDEX(properties!A$1:CB$87,'Fórmula'!J93,10)))</f>
        <v>3</v>
      </c>
      <c r="AK93" s="106">
        <f t="shared" si="6"/>
        <v>4</v>
      </c>
      <c r="AL93" s="107">
        <f t="array" ref="AL93">(('Fórmula'!C93)/('Fórmula'!C93+'Fórmula'!E93+'Fórmula'!G93+'Fórmula'!I93+'Fórmula'!K93))*(INDEX(properties!A$1:CB$87,'Fórmula'!B93,11))+(('Fórmula'!E93)/('Fórmula'!C93+'Fórmula'!E93+'Fórmula'!G93+'Fórmula'!I93+'Fórmula'!K93))*(INDEX(properties!A$1:CB$87,'Fórmula'!D93,11))+(('Fórmula'!G93)/('Fórmula'!C93+'Fórmula'!E93+'Fórmula'!G93+'Fórmula'!I93+'Fórmula'!K93))*(INDEX(properties!A$1:CB$87,'Fórmula'!F93,11))+(('Fórmula'!I93)/('Fórmula'!C93+'Fórmula'!E93+'Fórmula'!G93+'Fórmula'!I93+'Fórmula'!K93))*(INDEX(properties!A$1:CB$87,'Fórmula'!H93,11))+(('Fórmula'!K93)/('Fórmula'!C93+'Fórmula'!E93+'Fórmula'!G93+'Fórmula'!I93+'Fórmula'!K93))*(INDEX(properties!A$1:CB$87,'Fórmula'!J93,11))</f>
        <v>2</v>
      </c>
      <c r="AM93" s="107">
        <f t="array" ref="AM93">'Fórmula'!C93*(INDEX(properties!A$1:CB$87,'Fórmula'!B93,11))+'Fórmula'!E93*(INDEX(properties!A$1:CB$87,'Fórmula'!D93,11))+'Fórmula'!G93*(INDEX(properties!A$1:CB$87,'Fórmula'!F93,11))+'Fórmula'!I93*(INDEX(properties!A$1:CB$87,'Fórmula'!H93,11))+'Fórmula'!K93*(INDEX(properties!A$1:CB$87,'Fórmula'!J93,11))</f>
        <v>10</v>
      </c>
      <c r="AN93" s="107">
        <f t="array" ref="AN93">VARP(IF(INDEX(properties!A$1:CB$87,'Fórmula'!B93,11)&lt;&gt;"",INDEX(properties!A$1:CB$87,'Fórmula'!B93,11)),IF(INDEX(properties!A$1:CB$87,'Fórmula'!D93,11)&lt;&gt;"",INDEX(properties!A$1:CB$87,'Fórmula'!D93,11)),IF(INDEX(properties!A$1:CB$87,'Fórmula'!F93,11)&lt;&gt;"",INDEX(properties!A$1:CB$87,'Fórmula'!F93,11)),IF(INDEX(properties!A$1:CB$87,'Fórmula'!H93,11)&lt;&gt;"",INDEX(properties!A$1:CB$87,'Fórmula'!H93,11)),IF(INDEX(properties!A$1:CB$87,'Fórmula'!J93,11)&lt;&gt;"",INDEX(properties!A$1:CB$87,'Fórmula'!J93,11)))</f>
        <v>0.96</v>
      </c>
      <c r="AO93" s="107">
        <f t="array" ref="AO93">MAX(INDEX(properties!A$1:CB$87,'Fórmula'!B93,11),INDEX(properties!A$1:CB$87,'Fórmula'!D93,11),INDEX(properties!A$1:CB$87,'Fórmula'!F93,11),INDEX(properties!A$1:CB$87,'Fórmula'!H93,11),INDEX(properties!A$1:CB$87,'Fórmula'!J93,11))</f>
        <v>2</v>
      </c>
      <c r="AP93" s="107">
        <f t="array" ref="AP93">MIN(IF('Fórmula'!B93=87,10^6,INDEX(properties!A$1:CB$87,'Fórmula'!B93,11)),IF(('Fórmula'!D93)=87,10^6,INDEX(properties!A$1:CB$87,'Fórmula'!D93,11)),IF(('Fórmula'!F93)=87,10^6,INDEX(properties!A$1:CB$87,'Fórmula'!F93,11)),IF(('Fórmula'!H93)=87,10^6,INDEX(properties!A$1:CB$87,'Fórmula'!H93,11)),IF('Fórmula'!J93=87,10^6,INDEX(properties!A$1:CB$87,'Fórmula'!J93,11)))</f>
        <v>2</v>
      </c>
      <c r="AQ93" s="107">
        <f t="shared" si="7"/>
        <v>0</v>
      </c>
      <c r="AR93" s="108">
        <f t="array" ref="AR93">(('Fórmula'!C93)/('Fórmula'!C93+'Fórmula'!E93+'Fórmula'!G93+'Fórmula'!I93+'Fórmula'!K93))*(INDEX(properties!A$1:CB$87,'Fórmula'!B93,12))+(('Fórmula'!E93)/('Fórmula'!C93+'Fórmula'!E93+'Fórmula'!G93+'Fórmula'!I93+'Fórmula'!K93))*(INDEX(properties!A$1:CB$87,'Fórmula'!D93,12))+(('Fórmula'!G93)/('Fórmula'!C93+'Fórmula'!E93+'Fórmula'!G93+'Fórmula'!I93+'Fórmula'!K93))*(INDEX(properties!A$1:CB$87,'Fórmula'!F93,12))+(('Fórmula'!I93)/('Fórmula'!C93+'Fórmula'!E93+'Fórmula'!G93+'Fórmula'!I93+'Fórmula'!K93))*(INDEX(properties!A$1:CB$87,'Fórmula'!H93,12))+(('Fórmula'!K93)/('Fórmula'!C93+'Fórmula'!E93+'Fórmula'!G93+'Fórmula'!I93+'Fórmula'!K93))*(INDEX(properties!A$1:CB$87,'Fórmula'!J93,12))</f>
        <v>2.6</v>
      </c>
      <c r="AS93" s="108">
        <f t="array" ref="AS93">'Fórmula'!C93*(INDEX(properties!A$1:CB$87,'Fórmula'!B93,12))+'Fórmula'!E93*(INDEX(properties!A$1:CB$87,'Fórmula'!D93,12))+'Fórmula'!G93*(INDEX(properties!A$1:CB$87,'Fórmula'!F93,12))+'Fórmula'!I93*(INDEX(properties!A$1:CB$87,'Fórmula'!H93,12))+'Fórmula'!K93*(INDEX(properties!A$1:CB$87,'Fórmula'!J93,12))</f>
        <v>13</v>
      </c>
      <c r="AT93" s="108">
        <f t="array" ref="AT93">VARP(IF(INDEX(properties!A$1:CB$87,'Fórmula'!B93,12)&lt;&gt;"",INDEX(properties!A$1:CB$87,'Fórmula'!B93,12)),IF(INDEX(properties!A$1:CB$87,'Fórmula'!D93,12)&lt;&gt;"",INDEX(properties!A$1:CB$87,'Fórmula'!D93,12)),IF(INDEX(properties!A$1:CB$87,'Fórmula'!F93,12)&lt;&gt;"",INDEX(properties!A$1:CB$87,'Fórmula'!F93,12)),IF(INDEX(properties!A$1:CB$87,'Fórmula'!H93,12)&lt;&gt;"",INDEX(properties!A$1:CB$87,'Fórmula'!H93,12)),IF(INDEX(properties!A$1:CB$87,'Fórmula'!J93,12)&lt;&gt;"",INDEX(properties!A$1:CB$87,'Fórmula'!J93,12)))</f>
        <v>2.4</v>
      </c>
      <c r="AU93" s="108">
        <f t="array" ref="AU93">MAX(INDEX(properties!A$1:CB$87,'Fórmula'!B93,12),INDEX(properties!A$1:CB$87,'Fórmula'!D93,12),INDEX(properties!A$1:CB$87,'Fórmula'!F93,12),INDEX(properties!A$1:CB$87,'Fórmula'!H93,12),INDEX(properties!A$1:CB$87,'Fórmula'!J93,12))</f>
        <v>4</v>
      </c>
      <c r="AV93" s="108">
        <f t="array" ref="AV93">MIN(IF('Fórmula'!B93=87,10^6,INDEX(properties!A$1:CB$87,'Fórmula'!B93,12)),IF(('Fórmula'!D93)=87,10^6,INDEX(properties!A$1:CB$87,'Fórmula'!D93,12)),IF(('Fórmula'!F93)=87,10^6,INDEX(properties!A$1:CB$87,'Fórmula'!F93,12)),IF(('Fórmula'!H93)=87,10^6,INDEX(properties!A$1:CB$87,'Fórmula'!H93,12)),IF('Fórmula'!J93=87,10^6,INDEX(properties!A$1:CB$87,'Fórmula'!J93,12)))</f>
        <v>0</v>
      </c>
      <c r="AW93" s="108">
        <f t="shared" si="8"/>
        <v>4</v>
      </c>
      <c r="AX93" s="109">
        <f t="array" ref="AX93">(('Fórmula'!C93)/('Fórmula'!C93+'Fórmula'!E93+'Fórmula'!G93+'Fórmula'!I93+'Fórmula'!K93))*(INDEX(properties!A$1:CB$87,'Fórmula'!B93,13))+(('Fórmula'!E93)/('Fórmula'!C93+'Fórmula'!E93+'Fórmula'!G93+'Fórmula'!I93+'Fórmula'!K93))*(INDEX(properties!A$1:CB$87,'Fórmula'!D93,13))+(('Fórmula'!G93)/('Fórmula'!C93+'Fórmula'!E93+'Fórmula'!G93+'Fórmula'!I93+'Fórmula'!K93))*(INDEX(properties!A$1:CB$87,'Fórmula'!F93,13))+(('Fórmula'!I93)/('Fórmula'!C93+'Fórmula'!E93+'Fórmula'!G93+'Fórmula'!I93+'Fórmula'!K93))*(INDEX(properties!A$1:CB$87,'Fórmula'!H93,13))+(('Fórmula'!K93)/('Fórmula'!C93+'Fórmula'!E93+'Fórmula'!G93+'Fórmula'!I93+'Fórmula'!K93))*(INDEX(properties!A$1:CB$87,'Fórmula'!J93,13))</f>
        <v>0.2</v>
      </c>
      <c r="AY93" s="109">
        <f t="array" ref="AY93">'Fórmula'!C93*(INDEX(properties!A$1:CB$87,'Fórmula'!B93,13))+'Fórmula'!E93*(INDEX(properties!A$1:CB$87,'Fórmula'!D93,13))+'Fórmula'!G93*(INDEX(properties!A$1:CB$87,'Fórmula'!F93,13))+'Fórmula'!I93*(INDEX(properties!A$1:CB$87,'Fórmula'!H93,13))+'Fórmula'!K93*(INDEX(properties!A$1:CB$87,'Fórmula'!J93,13))</f>
        <v>1</v>
      </c>
      <c r="AZ93" s="109">
        <f t="array" ref="AZ93">VARP(IF(INDEX(properties!A$1:CB$87,'Fórmula'!B93,13)&lt;&gt;"",INDEX(properties!A$1:CB$87,'Fórmula'!B93,13)),IF(INDEX(properties!A$1:CB$87,'Fórmula'!D93,13)&lt;&gt;"",INDEX(properties!A$1:CB$87,'Fórmula'!D93,13)),IF(INDEX(properties!A$1:CB$87,'Fórmula'!F93,13)&lt;&gt;"",INDEX(properties!A$1:CB$87,'Fórmula'!F93,13)),IF(INDEX(properties!A$1:CB$87,'Fórmula'!H93,13)&lt;&gt;"",INDEX(properties!A$1:CB$87,'Fórmula'!H93,13)),IF(INDEX(properties!A$1:CB$87,'Fórmula'!J93,13)&lt;&gt;"",INDEX(properties!A$1:CB$87,'Fórmula'!J93,13)))</f>
        <v>0.16</v>
      </c>
      <c r="BA93" s="109">
        <f t="array" ref="BA93">MAX(INDEX(properties!A$1:CB$87,'Fórmula'!B93,13),INDEX(properties!A$1:CB$87,'Fórmula'!D93,13),INDEX(properties!A$1:CB$87,'Fórmula'!F93,13),INDEX(properties!A$1:CB$87,'Fórmula'!H93,13),INDEX(properties!A$1:CB$87,'Fórmula'!J93,13))</f>
        <v>1</v>
      </c>
      <c r="BB93" s="109">
        <f t="array" ref="BB93">MIN(IF('Fórmula'!B93=87,10^6,INDEX(properties!A$1:CB$87,'Fórmula'!B93,13)),IF(('Fórmula'!D93)=87,10^6,INDEX(properties!A$1:CB$87,'Fórmula'!D93,13)),IF(('Fórmula'!F93)=87,10^6,INDEX(properties!A$1:CB$87,'Fórmula'!F93,13)),IF(('Fórmula'!H93)=87,10^6,INDEX(properties!A$1:CB$87,'Fórmula'!H93,13)),IF('Fórmula'!J93=87,10^6,INDEX(properties!A$1:CB$87,'Fórmula'!J93,13)))</f>
        <v>0</v>
      </c>
      <c r="BC93" s="109">
        <f t="shared" si="9"/>
        <v>1</v>
      </c>
      <c r="BD93" s="110">
        <f t="array" ref="BD93">(('Fórmula'!C93)/('Fórmula'!C93+'Fórmula'!E93+'Fórmula'!G93+'Fórmula'!I93+'Fórmula'!K93))*(INDEX(properties!A$1:CB$87,'Fórmula'!B93,14))+(('Fórmula'!E93)/('Fórmula'!C93+'Fórmula'!E93+'Fórmula'!G93+'Fórmula'!I93+'Fórmula'!K93))*(INDEX(properties!A$1:CB$87,'Fórmula'!D93,14))+(('Fórmula'!G93)/('Fórmula'!C93+'Fórmula'!E93+'Fórmula'!G93+'Fórmula'!I93+'Fórmula'!K93))*(INDEX(properties!A$1:CB$87,'Fórmula'!F93,14))+(('Fórmula'!I93)/('Fórmula'!C93+'Fórmula'!E93+'Fórmula'!G93+'Fórmula'!I93+'Fórmula'!K93))*(INDEX(properties!A$1:CB$87,'Fórmula'!H93,14))+(('Fórmula'!K93)/('Fórmula'!C93+'Fórmula'!E93+'Fórmula'!G93+'Fórmula'!I93+'Fórmula'!K93))*(INDEX(properties!A$1:CB$87,'Fórmula'!J93,14))</f>
        <v>0</v>
      </c>
      <c r="BE93" s="110">
        <f t="array" ref="BE93">'Fórmula'!C93*(INDEX(properties!A$1:CB$87,'Fórmula'!B93,14))+'Fórmula'!E93*(INDEX(properties!A$1:CB$87,'Fórmula'!D93,14))+'Fórmula'!G93*(INDEX(properties!A$1:CB$87,'Fórmula'!F93,14))+'Fórmula'!I93*(INDEX(properties!A$1:CB$87,'Fórmula'!H93,14))+'Fórmula'!K93*(INDEX(properties!A$1:CB$87,'Fórmula'!J93,14))</f>
        <v>0</v>
      </c>
      <c r="BF93" s="110">
        <f t="array" ref="BF93">VARP(IF(INDEX(properties!A$1:CB$87,'Fórmula'!B93,14)&lt;&gt;"",INDEX(properties!A$1:CB$87,'Fórmula'!B93,14)),IF(INDEX(properties!A$1:CB$87,'Fórmula'!D93,14)&lt;&gt;"",INDEX(properties!A$1:CB$87,'Fórmula'!D93,14)),IF(INDEX(properties!A$1:CB$87,'Fórmula'!F93,14)&lt;&gt;"",INDEX(properties!A$1:CB$87,'Fórmula'!F93,14)),IF(INDEX(properties!A$1:CB$87,'Fórmula'!H93,14)&lt;&gt;"",INDEX(properties!A$1:CB$87,'Fórmula'!H93,14)),IF(INDEX(properties!A$1:CB$87,'Fórmula'!J93,14)&lt;&gt;"",INDEX(properties!A$1:CB$87,'Fórmula'!J93,14)))</f>
        <v>0</v>
      </c>
      <c r="BG93" s="110">
        <f t="array" ref="BG93">MAX(INDEX(properties!A$1:CB$87,'Fórmula'!B93,14),INDEX(properties!A$1:CB$87,'Fórmula'!D93,14),INDEX(properties!A$1:CB$87,'Fórmula'!F93,14),INDEX(properties!A$1:CB$87,'Fórmula'!H93,14),INDEX(properties!A$1:CB$87,'Fórmula'!J93,14))</f>
        <v>0</v>
      </c>
      <c r="BH93" s="110">
        <f t="array" ref="BH93">MIN(IF('Fórmula'!B93=87,10^6,INDEX(properties!A$1:CB$87,'Fórmula'!B93,14)),IF(('Fórmula'!D93)=87,10^6,INDEX(properties!A$1:CB$87,'Fórmula'!D93,14)),IF(('Fórmula'!F93)=87,10^6,INDEX(properties!A$1:CB$87,'Fórmula'!F93,14)),IF(('Fórmula'!H93)=87,10^6,INDEX(properties!A$1:CB$87,'Fórmula'!H93,14)),IF('Fórmula'!J93=87,10^6,INDEX(properties!A$1:CB$87,'Fórmula'!J93,14)))</f>
        <v>0</v>
      </c>
      <c r="BI93" s="110">
        <f t="shared" si="10"/>
        <v>0</v>
      </c>
      <c r="BJ93" s="111">
        <f t="array" ref="BJ93">(('Fórmula'!C93)/('Fórmula'!C93+'Fórmula'!E93+'Fórmula'!G93+'Fórmula'!I93+'Fórmula'!K93))*(INDEX(properties!A$1:CB$87,'Fórmula'!B93,19))+(('Fórmula'!E93)/('Fórmula'!C93+'Fórmula'!E93+'Fórmula'!G93+'Fórmula'!I93+'Fórmula'!K93))*(INDEX(properties!A$1:CB$87,'Fórmula'!D93,19))+(('Fórmula'!G93)/('Fórmula'!C93+'Fórmula'!E93+'Fórmula'!G93+'Fórmula'!I93+'Fórmula'!K93))*(INDEX(properties!A$1:CB$87,'Fórmula'!F93,19))+(('Fórmula'!I93)/('Fórmula'!C93+'Fórmula'!E93+'Fórmula'!G93+'Fórmula'!I93+'Fórmula'!K93))*(INDEX(properties!A$1:CB$87,'Fórmula'!H93,19))+(('Fórmula'!K93)/('Fórmula'!C93+'Fórmula'!E93+'Fórmula'!G93+'Fórmula'!I93+'Fórmula'!K93))*(INDEX(properties!A$1:CB$87,'Fórmula'!J93,19))</f>
        <v>4.8</v>
      </c>
      <c r="BK93" s="111">
        <f t="array" ref="BK93">'Fórmula'!C93*(INDEX(properties!A$1:CB$87,'Fórmula'!B93,19))+'Fórmula'!E93*(INDEX(properties!A$1:CB$87,'Fórmula'!D93,19))+'Fórmula'!G93*(INDEX(properties!A$1:CB$87,'Fórmula'!F93,19))+'Fórmula'!I93*(INDEX(properties!A$1:CB$87,'Fórmula'!H93,19))+'Fórmula'!K93*(INDEX(properties!A$1:CB$87,'Fórmula'!J93,19))</f>
        <v>24</v>
      </c>
      <c r="BL93" s="111">
        <f t="array" ref="BL93">VARP(IF(INDEX(properties!A$1:CB$87,'Fórmula'!B93,19)&lt;&gt;"",INDEX(properties!A$1:CB$87,'Fórmula'!B93,19)),IF(INDEX(properties!A$1:CB$87,'Fórmula'!D93,19)&lt;&gt;"",INDEX(properties!A$1:CB$87,'Fórmula'!D93,19)),IF(INDEX(properties!A$1:CB$87,'Fórmula'!F93,19)&lt;&gt;"",INDEX(properties!A$1:CB$87,'Fórmula'!F93,19)),IF(INDEX(properties!A$1:CB$87,'Fórmula'!H93,19)&lt;&gt;"",INDEX(properties!A$1:CB$87,'Fórmula'!H93,19)),IF(INDEX(properties!A$1:CB$87,'Fórmula'!J93,19)&lt;&gt;"",INDEX(properties!A$1:CB$87,'Fórmula'!J93,19)))</f>
        <v>5.04</v>
      </c>
      <c r="BM93" s="111">
        <f t="array" ref="BM93">MAX(INDEX(properties!A$1:CB$87,'Fórmula'!B93,19),INDEX(properties!A$1:CB$87,'Fórmula'!D93,19),INDEX(properties!A$1:CB$87,'Fórmula'!F93,19),INDEX(properties!A$1:CB$87,'Fórmula'!H93,19),INDEX(properties!A$1:CB$87,'Fórmula'!J93,19))</f>
        <v>6</v>
      </c>
      <c r="BN93" s="111">
        <f t="array" ref="BN93">MIN(IF(INDEX(properties!A$1:CB$87,'Fórmula'!B93,19)=0,10^6,INDEX(properties!A$1:CB$87,'Fórmula'!B93,19)),IF(INDEX(properties!A$1:CB$87,'Fórmula'!D93,19)=0,10^6,INDEX(properties!A$1:CB$87,'Fórmula'!D93,19)),IF(INDEX(properties!A$1:CB$87,'Fórmula'!F93,19)=0,10^6,INDEX(properties!A$1:CB$87,'Fórmula'!F93,19)),IF(INDEX(properties!A$1:CB$87,'Fórmula'!H93,19)=0,10^6,INDEX(properties!A$1:CB$87,'Fórmula'!H93,19)),IF(INDEX(properties!A$1:CB$87,'Fórmula'!J93,19)=0,10^6,INDEX(properties!A$1:CB$87,'Fórmula'!J93,19)))</f>
        <v>3</v>
      </c>
      <c r="BO93" s="111">
        <f t="shared" si="11"/>
        <v>3</v>
      </c>
      <c r="BP93" s="112">
        <f t="array" ref="BP93">(('Fórmula'!C93)/('Fórmula'!C93+'Fórmula'!E93+'Fórmula'!G93+'Fórmula'!I93+'Fórmula'!K93))*(INDEX(properties!A$1:CB$87,'Fórmula'!B93,20))+(('Fórmula'!E93)/('Fórmula'!C93+'Fórmula'!E93+'Fórmula'!G93+'Fórmula'!I93+'Fórmula'!K93))*(INDEX(properties!A$1:CB$87,'Fórmula'!D93,20))+(('Fórmula'!G93)/('Fórmula'!C93+'Fórmula'!E93+'Fórmula'!G93+'Fórmula'!I93+'Fórmula'!K93))*(INDEX(properties!A$1:CB$87,'Fórmula'!F93,20))+(('Fórmula'!I93)/('Fórmula'!C93+'Fórmula'!E93+'Fórmula'!G93+'Fórmula'!I93+'Fórmula'!K93))*(INDEX(properties!A$1:CB$87,'Fórmula'!H93,20))+(('Fórmula'!K93)/('Fórmula'!C93+'Fórmula'!E93+'Fórmula'!G93+'Fórmula'!I93+'Fórmula'!K93))*(INDEX(properties!A$1:CB$87,'Fórmula'!J93,20))</f>
        <v>4.6</v>
      </c>
      <c r="BQ93" s="112">
        <f t="array" ref="BQ93">'Fórmula'!C93*(INDEX(properties!A$1:CB$87,'Fórmula'!B93,20))+'Fórmula'!E93*(INDEX(properties!A$1:CB$87,'Fórmula'!D93,20))+'Fórmula'!G93*(INDEX(properties!A$1:CB$87,'Fórmula'!F93,20))+'Fórmula'!I93*(INDEX(properties!A$1:CB$87,'Fórmula'!H93,20))+'Fórmula'!K93*(INDEX(properties!A$1:CB$87,'Fórmula'!J93,20))</f>
        <v>23</v>
      </c>
      <c r="BR93" s="112">
        <f t="array" ref="BR93">VARP(IF(INDEX(properties!A$1:CB$87,'Fórmula'!B93,20)&lt;&gt;"",INDEX(properties!A$1:CB$87,'Fórmula'!B93,20)),IF(INDEX(properties!A$1:CB$87,'Fórmula'!D93,20)&lt;&gt;"",INDEX(properties!A$1:CB$87,'Fórmula'!D93,20)),IF(INDEX(properties!A$1:CB$87,'Fórmula'!F93,20)&lt;&gt;"",INDEX(properties!A$1:CB$87,'Fórmula'!F93,20)),IF(INDEX(properties!A$1:CB$87,'Fórmula'!H93,20)&lt;&gt;"",INDEX(properties!A$1:CB$87,'Fórmula'!H93,20)),IF(INDEX(properties!A$1:CB$87,'Fórmula'!J93,20)&lt;&gt;"",INDEX(properties!A$1:CB$87,'Fórmula'!J93,20)))</f>
        <v>4.96</v>
      </c>
      <c r="BS93" s="112">
        <f t="array" ref="BS93">MAX(INDEX(properties!A$1:CB$87,'Fórmula'!B93,20),INDEX(properties!A$1:CB$87,'Fórmula'!D93,20),INDEX(properties!A$1:CB$87,'Fórmula'!F93,20),INDEX(properties!A$1:CB$87,'Fórmula'!H93,20),INDEX(properties!A$1:CB$87,'Fórmula'!J93,20))</f>
        <v>6</v>
      </c>
      <c r="BT93" s="112">
        <f t="array" ref="BT93">MIN(IF(INDEX(properties!A$1:CB$87,'Fórmula'!B93,20)=0,10^6,INDEX(properties!A$1:CB$87,'Fórmula'!B93,20)),IF(INDEX(properties!A$1:CB$87,'Fórmula'!D93,20)=0,10^6,INDEX(properties!A$1:CB$87,'Fórmula'!D93,20)),IF(INDEX(properties!A$1:CB$87,'Fórmula'!F93,20)=0,10^6,INDEX(properties!A$1:CB$87,'Fórmula'!F93,20)),IF(INDEX(properties!A$1:CB$87,'Fórmula'!H93,20)=0,10^6,INDEX(properties!A$1:CB$87,'Fórmula'!H93,20)),IF(INDEX(properties!A$1:CB$87,'Fórmula'!J93,20)=0,10^6,INDEX(properties!A$1:CB$87,'Fórmula'!J93,20)))</f>
        <v>2</v>
      </c>
      <c r="BU93" s="112">
        <f t="shared" si="12"/>
        <v>4</v>
      </c>
      <c r="BV93" s="113">
        <f t="array" ref="BV93">(('Fórmula'!C93)/('Fórmula'!C93+'Fórmula'!E93+'Fórmula'!G93+'Fórmula'!I93+'Fórmula'!K93))*(INDEX(properties!A$1:CB$87,'Fórmula'!B93,21))+(('Fórmula'!E93)/('Fórmula'!C93+'Fórmula'!E93+'Fórmula'!G93+'Fórmula'!I93+'Fórmula'!K93))*(INDEX(properties!A$1:CB$87,'Fórmula'!D93,21))+(('Fórmula'!G93)/('Fórmula'!C93+'Fórmula'!E93+'Fórmula'!G93+'Fórmula'!I93+'Fórmula'!K93))*(INDEX(properties!A$1:CB$87,'Fórmula'!F93,21))+(('Fórmula'!I93)/('Fórmula'!C93+'Fórmula'!E93+'Fórmula'!G93+'Fórmula'!I93+'Fórmula'!K93))*(INDEX(properties!A$1:CB$87,'Fórmula'!H93,21))+(('Fórmula'!K93)/('Fórmula'!C93+'Fórmula'!E93+'Fórmula'!G93+'Fórmula'!I93+'Fórmula'!K93))*(INDEX(properties!A$1:CB$87,'Fórmula'!J93,21))</f>
        <v>4.4</v>
      </c>
      <c r="BW93" s="113">
        <f t="array" ref="BW93">'Fórmula'!C93*(INDEX(properties!A$1:CB$87,'Fórmula'!B93,21))+'Fórmula'!E93*(INDEX(properties!A$1:CB$87,'Fórmula'!D93,21))+'Fórmula'!G93*(INDEX(properties!A$1:CB$87,'Fórmula'!F93,21))+'Fórmula'!I93*(INDEX(properties!A$1:CB$87,'Fórmula'!H93,21))+'Fórmula'!K93*(INDEX(properties!A$1:CB$87,'Fórmula'!J93,21))</f>
        <v>22</v>
      </c>
      <c r="BX93" s="113">
        <f t="array" ref="BX93">VARP(IF(INDEX(properties!A$1:CB$87,'Fórmula'!B93,21)&lt;&gt;"",INDEX(properties!A$1:CB$87,'Fórmula'!B93,21)),IF(INDEX(properties!A$1:CB$87,'Fórmula'!D93,21)&lt;&gt;"",INDEX(properties!A$1:CB$87,'Fórmula'!D93,21)),IF(INDEX(properties!A$1:CB$87,'Fórmula'!F93,21)&lt;&gt;"",INDEX(properties!A$1:CB$87,'Fórmula'!F93,21)),IF(INDEX(properties!A$1:CB$87,'Fórmula'!H93,21)&lt;&gt;"",INDEX(properties!A$1:CB$87,'Fórmula'!H93,21)),IF(INDEX(properties!A$1:CB$87,'Fórmula'!J93,21)&lt;&gt;"",INDEX(properties!A$1:CB$87,'Fórmula'!J93,21)))</f>
        <v>5.2</v>
      </c>
      <c r="BY93" s="113">
        <f t="array" ref="BY93">MAX(INDEX(properties!A$1:CB$87,'Fórmula'!B93,21),INDEX(properties!A$1:CB$87,'Fórmula'!D93,21),INDEX(properties!A$1:CB$87,'Fórmula'!F93,21),INDEX(properties!A$1:CB$87,'Fórmula'!H93,21),INDEX(properties!A$1:CB$87,'Fórmula'!J93,21))</f>
        <v>6</v>
      </c>
      <c r="BZ93" s="113">
        <f t="array" ref="BZ93">MIN(IF(INDEX(properties!A$1:CB$87,'Fórmula'!B93,21)=0,10^6,INDEX(properties!A$1:CB$87,'Fórmula'!B93,21)),IF(INDEX(properties!A$1:CB$87,'Fórmula'!D93,21)=0,10^6,INDEX(properties!A$1:CB$87,'Fórmula'!D93,21)),IF(INDEX(properties!A$1:CB$87,'Fórmula'!F93,21)=0,10^6,INDEX(properties!A$1:CB$87,'Fórmula'!F93,21)),IF(INDEX(properties!A$1:CB$87,'Fórmula'!H93,21)=0,10^6,INDEX(properties!A$1:CB$87,'Fórmula'!H93,21)),IF(INDEX(properties!A$1:CB$87,'Fórmula'!J93,21)=0,10^6,INDEX(properties!A$1:CB$87,'Fórmula'!J93,21)))</f>
        <v>1</v>
      </c>
      <c r="CA93" s="113">
        <f t="shared" si="13"/>
        <v>5</v>
      </c>
      <c r="CB93" s="114">
        <f t="array" ref="CB93">(('Fórmula'!C93)/('Fórmula'!C93+'Fórmula'!E93+'Fórmula'!G93+'Fórmula'!I93+'Fórmula'!K93))*(INDEX(properties!A$1:CB$87,'Fórmula'!B93,23))+(('Fórmula'!E93)/('Fórmula'!C93+'Fórmula'!E93+'Fórmula'!G93+'Fórmula'!I93+'Fórmula'!K93))*(INDEX(properties!A$1:CB$87,'Fórmula'!D93,23))+(('Fórmula'!G93)/('Fórmula'!C93+'Fórmula'!E93+'Fórmula'!G93+'Fórmula'!I93+'Fórmula'!K93))*(INDEX(properties!A$1:CB$87,'Fórmula'!F93,23))+(('Fórmula'!I93)/('Fórmula'!C93+'Fórmula'!E93+'Fórmula'!G93+'Fórmula'!I93+'Fórmula'!K93))*(INDEX(properties!A$1:CB$87,'Fórmula'!H93,23))+(('Fórmula'!K93)/('Fórmula'!C93+'Fórmula'!E93+'Fórmula'!G93+'Fórmula'!I93+'Fórmula'!K93))*(INDEX(properties!A$1:CB$87,'Fórmula'!J93,23))</f>
        <v>1.2</v>
      </c>
      <c r="CC93" s="114">
        <f t="array" ref="CC93">'Fórmula'!C93*(INDEX(properties!A$1:CB$87,'Fórmula'!B93,23))+'Fórmula'!E93*(INDEX(properties!A$1:CB$87,'Fórmula'!D93,23))+'Fórmula'!G93*(INDEX(properties!A$1:CB$87,'Fórmula'!F93,23))+'Fórmula'!I93*(INDEX(properties!A$1:CB$87,'Fórmula'!H93,23))+'Fórmula'!K93*(INDEX(properties!A$1:CB$87,'Fórmula'!J93,23))</f>
        <v>6</v>
      </c>
      <c r="CD93" s="114">
        <f t="array" ref="CD93">VARP(IF(INDEX(properties!A$1:CB$87,'Fórmula'!B93,23)&lt;&gt;"",INDEX(properties!A$1:CB$87,'Fórmula'!B93,23)),IF(INDEX(properties!A$1:CB$87,'Fórmula'!D93,23)&lt;&gt;"",INDEX(properties!A$1:CB$87,'Fórmula'!D93,23)),IF(INDEX(properties!A$1:CB$87,'Fórmula'!F93,23)&lt;&gt;"",INDEX(properties!A$1:CB$87,'Fórmula'!F93,23)),IF(INDEX(properties!A$1:CB$87,'Fórmula'!H93,23)&lt;&gt;"",INDEX(properties!A$1:CB$87,'Fórmula'!H93,23)),IF(INDEX(properties!A$1:CB$87,'Fórmula'!J93,23)&lt;&gt;"",INDEX(properties!A$1:CB$87,'Fórmula'!J93,23)))</f>
        <v>2.16</v>
      </c>
      <c r="CE93" s="114">
        <f t="array" ref="CE93">MAX(INDEX(properties!A$1:CB$87,'Fórmula'!B93,23),INDEX(properties!A$1:CB$87,'Fórmula'!D93,23),INDEX(properties!A$1:CB$87,'Fórmula'!F93,23),INDEX(properties!A$1:CB$87,'Fórmula'!H93,23),INDEX(properties!A$1:CB$87,'Fórmula'!J93,23))</f>
        <v>3</v>
      </c>
      <c r="CF93" s="114">
        <f t="array" ref="CF93">MIN(IF('Fórmula'!B93=87,10^6,INDEX(properties!A$1:CB$87,'Fórmula'!B93,23)),IF(('Fórmula'!D93)=87,10^6,INDEX(properties!A$1:CB$87,'Fórmula'!D93,23)),IF(('Fórmula'!F93)=87,10^6,INDEX(properties!A$1:CB$87,'Fórmula'!F93,23)),IF(('Fórmula'!H93)=87,10^6,INDEX(properties!A$1:CB$87,'Fórmula'!H93,23)),IF('Fórmula'!J93=87,10^6,INDEX(properties!A$1:CB$87,'Fórmula'!J93,23)))</f>
        <v>0</v>
      </c>
      <c r="CG93" s="114">
        <f t="shared" si="14"/>
        <v>3</v>
      </c>
      <c r="CH93" s="115">
        <f t="array" ref="CH93">(('Fórmula'!C93)/('Fórmula'!C93+'Fórmula'!E93+'Fórmula'!G93+'Fórmula'!I93+'Fórmula'!K93))*(INDEX(properties!A$1:CB$87,'Fórmula'!B93,26))+(('Fórmula'!E93)/('Fórmula'!C93+'Fórmula'!E93+'Fórmula'!G93+'Fórmula'!I93+'Fórmula'!K93))*(INDEX(properties!A$1:CB$87,'Fórmula'!D93,26))+(('Fórmula'!G93)/('Fórmula'!C93+'Fórmula'!E93+'Fórmula'!G93+'Fórmula'!I93+'Fórmula'!K93))*(INDEX(properties!A$1:CB$87,'Fórmula'!F93,26))+(('Fórmula'!I93)/('Fórmula'!C93+'Fórmula'!E93+'Fórmula'!G93+'Fórmula'!I93+'Fórmula'!K93))*(INDEX(properties!A$1:CB$87,'Fórmula'!H93,26))+(('Fórmula'!K93)/('Fórmula'!C93+'Fórmula'!E93+'Fórmula'!G93+'Fórmula'!I93+'Fórmula'!K93))*(INDEX(properties!A$1:CB$87,'Fórmula'!J93,26))</f>
        <v>10.94584</v>
      </c>
      <c r="CI93" s="115">
        <f t="array" ref="CI93">'Fórmula'!C93*(INDEX(properties!A$1:CB$87,'Fórmula'!B93,26))+'Fórmula'!E93*(INDEX(properties!A$1:CB$87,'Fórmula'!D93,26))+'Fórmula'!G93*(INDEX(properties!A$1:CB$87,'Fórmula'!F93,26))+'Fórmula'!I93*(INDEX(properties!A$1:CB$87,'Fórmula'!H93,26))+'Fórmula'!K93*(INDEX(properties!A$1:CB$87,'Fórmula'!J93,26))</f>
        <v>54.7292</v>
      </c>
      <c r="CJ93" s="115">
        <f t="array" ref="CJ93">VARP(IF(INDEX(properties!A$1:CB$87,'Fórmula'!B93,26)&lt;&gt;"",INDEX(properties!A$1:CB$87,'Fórmula'!B93,26)),IF(INDEX(properties!A$1:CB$87,'Fórmula'!D93,26)&lt;&gt;"",INDEX(properties!A$1:CB$87,'Fórmula'!D93,26)),IF(INDEX(properties!A$1:CB$87,'Fórmula'!F93,26)&lt;&gt;"",INDEX(properties!A$1:CB$87,'Fórmula'!F93,26)),IF(INDEX(properties!A$1:CB$87,'Fórmula'!H93,26)&lt;&gt;"",INDEX(properties!A$1:CB$87,'Fórmula'!H93,26)),IF(INDEX(properties!A$1:CB$87,'Fórmula'!J93,26)&lt;&gt;"",INDEX(properties!A$1:CB$87,'Fórmula'!J93,26)))</f>
        <v>26.84765108</v>
      </c>
      <c r="CK93" s="116">
        <f t="array" ref="CK93">MAX(INDEX(properties!A$1:CB$87,'Fórmula'!B93,26),INDEX(properties!A$1:CB$87,'Fórmula'!D93,26),INDEX(properties!A$1:CB$87,'Fórmula'!F93,26),INDEX(properties!A$1:CB$87,'Fórmula'!H93,26),INDEX(properties!A$1:CB$87,'Fórmula'!J93,26))</f>
        <v>13.6181</v>
      </c>
      <c r="CL93" s="116">
        <f t="array" ref="CL93">MIN(IF(INDEX(properties!A$1:CB$87,'Fórmula'!B93,26)=0,10^6,INDEX(properties!A$1:CB$87,'Fórmula'!B93,26)),IF(INDEX(properties!A$1:CB$87,'Fórmula'!D93,26)=0,10^6,INDEX(properties!A$1:CB$87,'Fórmula'!D93,26)),IF(INDEX(properties!A$1:CB$87,'Fórmula'!F93,26)=0,10^6,INDEX(properties!A$1:CB$87,'Fórmula'!F93,26)),IF(INDEX(properties!A$1:CB$87,'Fórmula'!H93,26)=0,10^6,INDEX(properties!A$1:CB$87,'Fórmula'!H93,26)),IF(INDEX(properties!A$1:CB$87,'Fórmula'!J93,26)=0,10^6,INDEX(properties!A$1:CB$87,'Fórmula'!J93,26)))</f>
        <v>5.5769</v>
      </c>
      <c r="CM93" s="115">
        <f t="shared" si="15"/>
        <v>8.0412</v>
      </c>
      <c r="CN93" s="117">
        <f t="array" ref="CN93">(('Fórmula'!C93)/('Fórmula'!C93+'Fórmula'!E93+'Fórmula'!G93+'Fórmula'!I93+'Fórmula'!K93))*(INDEX(properties!A$1:CB$87,'Fórmula'!B93,30))+(('Fórmula'!E93)/('Fórmula'!C93+'Fórmula'!E93+'Fórmula'!G93+'Fórmula'!I93+'Fórmula'!K93))*(INDEX(properties!A$1:CB$87,'Fórmula'!D93,30))+(('Fórmula'!G93)/('Fórmula'!C93+'Fórmula'!E93+'Fórmula'!G93+'Fórmula'!I93+'Fórmula'!K93))*(INDEX(properties!A$1:CB$87,'Fórmula'!F93,30))+(('Fórmula'!I93)/('Fórmula'!C93+'Fórmula'!E93+'Fórmula'!G93+'Fórmula'!I93+'Fórmula'!K93))*(INDEX(properties!A$1:CB$87,'Fórmula'!H93,30))+(('Fórmula'!K93)/('Fórmula'!C93+'Fórmula'!E93+'Fórmula'!G93+'Fórmula'!I93+'Fórmula'!K93))*(INDEX(properties!A$1:CB$87,'Fórmula'!J93,30))</f>
        <v>2.692</v>
      </c>
      <c r="CO93" s="117">
        <f t="array" ref="CO93">'Fórmula'!C93*(INDEX(properties!A$1:CB$87,'Fórmula'!B93,30))+'Fórmula'!E93*(INDEX(properties!A$1:CB$87,'Fórmula'!D93,30))+'Fórmula'!G93*(INDEX(properties!A$1:CB$87,'Fórmula'!F93,30))+'Fórmula'!I93*(INDEX(properties!A$1:CB$87,'Fórmula'!H93,30))+'Fórmula'!K93*(INDEX(properties!A$1:CB$87,'Fórmula'!J93,30))</f>
        <v>13.46</v>
      </c>
      <c r="CP93" s="117">
        <f t="array" ref="CP93">VARP(IF(INDEX(properties!A$1:CB$87,'Fórmula'!B93,30)&lt;&gt;"",INDEX(properties!A$1:CB$87,'Fórmula'!B93,30)),IF(INDEX(properties!A$1:CB$87,'Fórmula'!D93,30)&lt;&gt;"",INDEX(properties!A$1:CB$87,'Fórmula'!D93,30)),IF(INDEX(properties!A$1:CB$87,'Fórmula'!F93,30)&lt;&gt;"",INDEX(properties!A$1:CB$87,'Fórmula'!F93,30)),IF(INDEX(properties!A$1:CB$87,'Fórmula'!H93,30)&lt;&gt;"",INDEX(properties!A$1:CB$87,'Fórmula'!H93,30)),IF(INDEX(properties!A$1:CB$87,'Fórmula'!J93,30)&lt;&gt;"",INDEX(properties!A$1:CB$87,'Fórmula'!J93,30)))</f>
        <v>1.709184</v>
      </c>
      <c r="CQ93" s="117">
        <f t="array" ref="CQ93">MAX(INDEX(properties!A$1:CB$87,'Fórmula'!B93,30),INDEX(properties!A$1:CB$87,'Fórmula'!D93,30),INDEX(properties!A$1:CB$87,'Fórmula'!F93,30),INDEX(properties!A$1:CB$87,'Fórmula'!H93,30),INDEX(properties!A$1:CB$87,'Fórmula'!J93,30))</f>
        <v>3.44</v>
      </c>
      <c r="CR93" s="117">
        <f t="array" ref="CR93">MIN(IF(INDEX(properties!A$1:CB$87,'Fórmula'!B93,30)=0,10^6,INDEX(properties!A$1:CB$87,'Fórmula'!B93,30)),IF(INDEX(properties!A$1:CB$87,'Fórmula'!D93,30)=0,10^6,INDEX(properties!A$1:CB$87,'Fórmula'!D93,30)),IF(INDEX(properties!A$1:CB$87,'Fórmula'!F93,30)=0,10^6,INDEX(properties!A$1:CB$87,'Fórmula'!F93,30)),IF(INDEX(properties!A$1:CB$87,'Fórmula'!H93,30)=0,10^6,INDEX(properties!A$1:CB$87,'Fórmula'!H93,30)),IF(INDEX(properties!A$1:CB$87,'Fórmula'!J93,30)=0,10^6,INDEX(properties!A$1:CB$87,'Fórmula'!J93,30)))</f>
        <v>1.1</v>
      </c>
      <c r="CS93" s="117">
        <f t="shared" si="16"/>
        <v>2.34</v>
      </c>
      <c r="CT93" s="118">
        <f t="array" ref="CT93">(('Fórmula'!C93)/('Fórmula'!C93+'Fórmula'!E93+'Fórmula'!G93+'Fórmula'!I93+'Fórmula'!K93))*(INDEX(properties!A$1:CB$87,'Fórmula'!B93,31))+(('Fórmula'!E93)/('Fórmula'!C93+'Fórmula'!E93+'Fórmula'!G93+'Fórmula'!I93+'Fórmula'!K93))*(INDEX(properties!A$1:CB$87,'Fórmula'!D93,31))+(('Fórmula'!G93)/('Fórmula'!C93+'Fórmula'!E93+'Fórmula'!G93+'Fórmula'!I93+'Fórmula'!K93))*(INDEX(properties!A$1:CB$87,'Fórmula'!F93,31))+(('Fórmula'!I93)/('Fórmula'!C93+'Fórmula'!E93+'Fórmula'!G93+'Fórmula'!I93+'Fórmula'!K93))*(INDEX(properties!A$1:CB$87,'Fórmula'!H93,31))+(('Fórmula'!K93)/('Fórmula'!C93+'Fórmula'!E93+'Fórmula'!G93+'Fórmula'!I93+'Fórmula'!K93))*(INDEX(properties!A$1:CB$87,'Fórmula'!J93,31))</f>
        <v>2.642</v>
      </c>
      <c r="CU93" s="118">
        <f t="array" ref="CU93">'Fórmula'!C93*(INDEX(properties!A$1:CB$87,'Fórmula'!B93,31))+'Fórmula'!E93*(INDEX(properties!A$1:CB$87,'Fórmula'!D93,31))+'Fórmula'!G93*(INDEX(properties!A$1:CB$87,'Fórmula'!F93,31))+'Fórmula'!I93*(INDEX(properties!A$1:CB$87,'Fórmula'!H93,31))+'Fórmula'!K93*(INDEX(properties!A$1:CB$87,'Fórmula'!J93,31))</f>
        <v>13.21</v>
      </c>
      <c r="CV93" s="118">
        <f t="array" ref="CV93">VARP(IF(INDEX(properties!A$1:CB$87,'Fórmula'!B93,31)&lt;&gt;"",INDEX(properties!A$1:CB$87,'Fórmula'!B93,31)),IF(INDEX(properties!A$1:CB$87,'Fórmula'!D93,31)&lt;&gt;"",INDEX(properties!A$1:CB$87,'Fórmula'!D93,31)),IF(INDEX(properties!A$1:CB$87,'Fórmula'!F93,31)&lt;&gt;"",INDEX(properties!A$1:CB$87,'Fórmula'!F93,31)),IF(INDEX(properties!A$1:CB$87,'Fórmula'!H93,31)&lt;&gt;"",INDEX(properties!A$1:CB$87,'Fórmula'!H93,31)),IF(INDEX(properties!A$1:CB$87,'Fórmula'!J93,31)&lt;&gt;"",INDEX(properties!A$1:CB$87,'Fórmula'!J93,31)))</f>
        <v>1.564384</v>
      </c>
      <c r="CW93" s="118">
        <f t="array" ref="CW93">MAX(INDEX(properties!A$1:CB$87,'Fórmula'!B93,31),INDEX(properties!A$1:CB$87,'Fórmula'!D93,31),INDEX(properties!A$1:CB$87,'Fórmula'!F93,31),INDEX(properties!A$1:CB$87,'Fórmula'!H93,31),INDEX(properties!A$1:CB$87,'Fórmula'!J93,31))</f>
        <v>3.32</v>
      </c>
      <c r="CX93" s="118">
        <f t="array" ref="CX93">MIN(IF(INDEX(properties!A$1:CB$87,'Fórmula'!B93,31)=0,10^6,INDEX(properties!A$1:CB$87,'Fórmula'!B93,31)),IF(INDEX(properties!A$1:CB$87,'Fórmula'!D93,31)=0,10^6,INDEX(properties!A$1:CB$87,'Fórmula'!D93,31)),IF(INDEX(properties!A$1:CB$87,'Fórmula'!F93,31)=0,10^6,INDEX(properties!A$1:CB$87,'Fórmula'!F93,31)),IF(INDEX(properties!A$1:CB$87,'Fórmula'!H93,31)=0,10^6,INDEX(properties!A$1:CB$87,'Fórmula'!H93,31)),IF(INDEX(properties!A$1:CB$87,'Fórmula'!J93,31)=0,10^6,INDEX(properties!A$1:CB$87,'Fórmula'!J93,31)))</f>
        <v>1.35</v>
      </c>
      <c r="CY93" s="118">
        <f t="shared" si="17"/>
        <v>1.97</v>
      </c>
      <c r="CZ93" s="119">
        <f t="array" ref="CZ93">(('Fórmula'!C93)/('Fórmula'!C93+'Fórmula'!E93+'Fórmula'!G93+'Fórmula'!I93+'Fórmula'!K93))*(INDEX(properties!A$1:CB$87,'Fórmula'!B93,32))+(('Fórmula'!E93)/('Fórmula'!C93+'Fórmula'!E93+'Fórmula'!G93+'Fórmula'!I93+'Fórmula'!K93))*(INDEX(properties!A$1:CB$87,'Fórmula'!D93,32))+(('Fórmula'!G93)/('Fórmula'!C93+'Fórmula'!E93+'Fórmula'!G93+'Fórmula'!I93+'Fórmula'!K93))*(INDEX(properties!A$1:CB$87,'Fórmula'!F93,32))+(('Fórmula'!I93)/('Fórmula'!C93+'Fórmula'!E93+'Fórmula'!G93+'Fórmula'!I93+'Fórmula'!K93))*(INDEX(properties!A$1:CB$87,'Fórmula'!H93,32))+(('Fórmula'!K93)/('Fórmula'!C93+'Fórmula'!E93+'Fórmula'!G93+'Fórmula'!I93+'Fórmula'!K93))*(INDEX(properties!A$1:CB$87,'Fórmula'!J93,32))</f>
        <v>6.002</v>
      </c>
      <c r="DA93" s="119">
        <f t="array" ref="DA93">'Fórmula'!C93*(INDEX(properties!A$1:CB$87,'Fórmula'!B93,32))+'Fórmula'!E93*(INDEX(properties!A$1:CB$87,'Fórmula'!D93,32))+'Fórmula'!G93*(INDEX(properties!A$1:CB$87,'Fórmula'!F93,32))+'Fórmula'!I93*(INDEX(properties!A$1:CB$87,'Fórmula'!H93,32))+'Fórmula'!K93*(INDEX(properties!A$1:CB$87,'Fórmula'!J93,32))</f>
        <v>30.01</v>
      </c>
      <c r="DB93" s="119">
        <f t="array" ref="DB93">VARP(IF(INDEX(properties!A$1:CB$87,'Fórmula'!B93,32)&lt;&gt;"",INDEX(properties!A$1:CB$87,'Fórmula'!B93,32)),IF(INDEX(properties!A$1:CB$87,'Fórmula'!D93,32)&lt;&gt;"",INDEX(properties!A$1:CB$87,'Fórmula'!D93,32)),IF(INDEX(properties!A$1:CB$87,'Fórmula'!F93,32)&lt;&gt;"",INDEX(properties!A$1:CB$87,'Fórmula'!F93,32)),IF(INDEX(properties!A$1:CB$87,'Fórmula'!H93,32)&lt;&gt;"",INDEX(properties!A$1:CB$87,'Fórmula'!H93,32)),IF(INDEX(properties!A$1:CB$87,'Fórmula'!J93,32)&lt;&gt;"",INDEX(properties!A$1:CB$87,'Fórmula'!J93,32)))</f>
        <v>8.056944</v>
      </c>
      <c r="DC93" s="119">
        <f t="array" ref="DC93">MAX(INDEX(properties!A$1:CB$87,'Fórmula'!B93,32),INDEX(properties!A$1:CB$87,'Fórmula'!D93,32),INDEX(properties!A$1:CB$87,'Fórmula'!F93,32),INDEX(properties!A$1:CB$87,'Fórmula'!H93,32),INDEX(properties!A$1:CB$87,'Fórmula'!J93,32))</f>
        <v>7.54</v>
      </c>
      <c r="DD93" s="119">
        <f t="array" ref="DD93">MIN(IF(INDEX(properties!A$1:CB$87,'Fórmula'!B93,32)=0,10^6,INDEX(properties!A$1:CB$87,'Fórmula'!B93,32)),IF(INDEX(properties!A$1:CB$87,'Fórmula'!D93,32)=0,10^6,INDEX(properties!A$1:CB$87,'Fórmula'!D93,32)),IF(INDEX(properties!A$1:CB$87,'Fórmula'!F93,32)=0,10^6,INDEX(properties!A$1:CB$87,'Fórmula'!F93,32)),IF(INDEX(properties!A$1:CB$87,'Fórmula'!H93,32)=0,10^6,INDEX(properties!A$1:CB$87,'Fórmula'!H93,32)),IF(INDEX(properties!A$1:CB$87,'Fórmula'!J93,32)=0,10^6,INDEX(properties!A$1:CB$87,'Fórmula'!J93,32)))</f>
        <v>3.1</v>
      </c>
      <c r="DE93" s="119">
        <f t="shared" si="18"/>
        <v>4.44</v>
      </c>
      <c r="DF93" s="104">
        <f t="array" ref="DF93">(('Fórmula'!C93)/('Fórmula'!C93+'Fórmula'!E93+'Fórmula'!G93+'Fórmula'!I93+'Fórmula'!K93))*(INDEX(properties!A$1:CB$87,'Fórmula'!B93,34))+(('Fórmula'!E93)/('Fórmula'!C93+'Fórmula'!E93+'Fórmula'!G93+'Fórmula'!I93+'Fórmula'!K93))*(INDEX(properties!A$1:CB$87,'Fórmula'!D93,34))+(('Fórmula'!G93)/('Fórmula'!C93+'Fórmula'!E93+'Fórmula'!G93+'Fórmula'!I93+'Fórmula'!K93))*(INDEX(properties!A$1:CB$87,'Fórmula'!F93,34))+(('Fórmula'!I93)/('Fórmula'!C93+'Fórmula'!E93+'Fórmula'!G93+'Fórmula'!I93+'Fórmula'!K93))*(INDEX(properties!A$1:CB$87,'Fórmula'!H93,34))+(('Fórmula'!K93)/('Fórmula'!C93+'Fórmula'!E93+'Fórmula'!G93+'Fórmula'!I93+'Fórmula'!K93))*(INDEX(properties!A$1:CB$87,'Fórmula'!J93,34))</f>
        <v>2.7942</v>
      </c>
      <c r="DG93" s="104">
        <f t="array" ref="DG93">'Fórmula'!C93*(INDEX(properties!A$1:CB$87,'Fórmula'!B93,34))+'Fórmula'!E93*(INDEX(properties!A$1:CB$87,'Fórmula'!D93,34))+'Fórmula'!G93*(INDEX(properties!A$1:CB$87,'Fórmula'!F93,34))+'Fórmula'!I93*(INDEX(properties!A$1:CB$87,'Fórmula'!H93,34))+'Fórmula'!K93*(INDEX(properties!A$1:CB$87,'Fórmula'!J93,34))</f>
        <v>13.971</v>
      </c>
      <c r="DH93" s="104">
        <f t="array" ref="DH93">VARP(IF(INDEX(properties!A$1:CB$87,'Fórmula'!B93,34)&lt;&gt;"",INDEX(properties!A$1:CB$87,'Fórmula'!B93,34)),IF(INDEX(properties!A$1:CB$87,'Fórmula'!D93,34)&lt;&gt;"",INDEX(properties!A$1:CB$87,'Fórmula'!D93,34)),IF(INDEX(properties!A$1:CB$87,'Fórmula'!F93,34)&lt;&gt;"",INDEX(properties!A$1:CB$87,'Fórmula'!F93,34)),IF(INDEX(properties!A$1:CB$87,'Fórmula'!H93,34)&lt;&gt;"",INDEX(properties!A$1:CB$87,'Fórmula'!H93,34)),IF(INDEX(properties!A$1:CB$87,'Fórmula'!J93,34)&lt;&gt;"",INDEX(properties!A$1:CB$87,'Fórmula'!J93,34)))</f>
        <v>1.86232016</v>
      </c>
      <c r="DI93" s="104">
        <f t="array" ref="DI93">MAX(INDEX(properties!A$1:CB$87,'Fórmula'!B93,34),INDEX(properties!A$1:CB$87,'Fórmula'!D93,34),INDEX(properties!A$1:CB$87,'Fórmula'!F93,34),INDEX(properties!A$1:CB$87,'Fórmula'!H93,34),INDEX(properties!A$1:CB$87,'Fórmula'!J93,34))</f>
        <v>3.61</v>
      </c>
      <c r="DJ93" s="104">
        <f t="array" ref="DJ93">MIN(IF(INDEX(properties!A$1:CB$87,'Fórmula'!B93,34)=0,10^6,INDEX(properties!A$1:CB$87,'Fórmula'!B93,34)),IF(INDEX(properties!A$1:CB$87,'Fórmula'!D93,34)=0,10^6,INDEX(properties!A$1:CB$87,'Fórmula'!D93,34)),IF(INDEX(properties!A$1:CB$87,'Fórmula'!F93,34)=0,10^6,INDEX(properties!A$1:CB$87,'Fórmula'!F93,34)),IF(INDEX(properties!A$1:CB$87,'Fórmula'!H93,34)=0,10^6,INDEX(properties!A$1:CB$87,'Fórmula'!H93,34)),IF(INDEX(properties!A$1:CB$87,'Fórmula'!J93,34)=0,10^6,INDEX(properties!A$1:CB$87,'Fórmula'!J93,34)))</f>
        <v>1.09</v>
      </c>
      <c r="DK93" s="104">
        <f t="shared" si="19"/>
        <v>2.52</v>
      </c>
      <c r="DL93" s="105">
        <f t="array" ref="DL93">(('Fórmula'!C93)/('Fórmula'!C93+'Fórmula'!E93+'Fórmula'!G93+'Fórmula'!I93+'Fórmula'!K93))*(INDEX(properties!A$1:CB$87,'Fórmula'!B93,37))+(('Fórmula'!E93)/('Fórmula'!C93+'Fórmula'!E93+'Fórmula'!G93+'Fórmula'!I93+'Fórmula'!K93))*(INDEX(properties!A$1:CB$87,'Fórmula'!D93,37))+(('Fórmula'!G93)/('Fórmula'!C93+'Fórmula'!E93+'Fórmula'!G93+'Fórmula'!I93+'Fórmula'!K93))*(INDEX(properties!A$1:CB$87,'Fórmula'!F93,37))+(('Fórmula'!I93)/('Fórmula'!C93+'Fórmula'!E93+'Fórmula'!G93+'Fórmula'!I93+'Fórmula'!K93))*(INDEX(properties!A$1:CB$87,'Fórmula'!H93,37))+(('Fórmula'!K93)/('Fórmula'!C93+'Fórmula'!E93+'Fórmula'!G93+'Fórmula'!I93+'Fórmula'!K93))*(INDEX(properties!A$1:CB$87,'Fórmula'!J93,37))</f>
        <v>2.69</v>
      </c>
      <c r="DM93" s="105">
        <f t="array" ref="DM93">'Fórmula'!C93*(INDEX(properties!A$1:CB$87,'Fórmula'!B93,37))+'Fórmula'!E93*(INDEX(properties!A$1:CB$87,'Fórmula'!D93,37))+'Fórmula'!G93*(INDEX(properties!A$1:CB$87,'Fórmula'!F93,37))+'Fórmula'!I93*(INDEX(properties!A$1:CB$87,'Fórmula'!H93,37))+'Fórmula'!K93*(INDEX(properties!A$1:CB$87,'Fórmula'!J93,37))</f>
        <v>13.45</v>
      </c>
      <c r="DN93" s="105">
        <f t="array" ref="DN93">VARP(IF(INDEX(properties!A$1:CB$87,'Fórmula'!B93,37)&lt;&gt;"",INDEX(properties!A$1:CB$87,'Fórmula'!B93,37)),IF(INDEX(properties!A$1:CB$87,'Fórmula'!D93,37)&lt;&gt;"",INDEX(properties!A$1:CB$87,'Fórmula'!D93,37)),IF(INDEX(properties!A$1:CB$87,'Fórmula'!F93,37)&lt;&gt;"",INDEX(properties!A$1:CB$87,'Fórmula'!F93,37)),IF(INDEX(properties!A$1:CB$87,'Fórmula'!H93,37)&lt;&gt;"",INDEX(properties!A$1:CB$87,'Fórmula'!H93,37)),IF(INDEX(properties!A$1:CB$87,'Fórmula'!J93,37)&lt;&gt;"",INDEX(properties!A$1:CB$87,'Fórmula'!J93,37)))</f>
        <v>1.6744</v>
      </c>
      <c r="DO93" s="105">
        <f t="array" ref="DO93">MAX(INDEX(properties!A$1:CB$87,'Fórmula'!B93,37),INDEX(properties!A$1:CB$87,'Fórmula'!D93,37),INDEX(properties!A$1:CB$87,'Fórmula'!F93,37),INDEX(properties!A$1:CB$87,'Fórmula'!H93,37),INDEX(properties!A$1:CB$87,'Fórmula'!J93,37))</f>
        <v>3.45</v>
      </c>
      <c r="DP93" s="105">
        <f t="array" ref="DP93">MIN(IF(INDEX(properties!A$1:CB$87,'Fórmula'!B93,37)=0,10^6,INDEX(properties!A$1:CB$87,'Fórmula'!B93,37)),IF(INDEX(properties!A$1:CB$87,'Fórmula'!D93,37)=0,10^6,INDEX(properties!A$1:CB$87,'Fórmula'!D93,37)),IF(INDEX(properties!A$1:CB$87,'Fórmula'!F93,37)=0,10^6,INDEX(properties!A$1:CB$87,'Fórmula'!F93,37)),IF(INDEX(properties!A$1:CB$87,'Fórmula'!H93,37)=0,10^6,INDEX(properties!A$1:CB$87,'Fórmula'!H93,37)),IF(INDEX(properties!A$1:CB$87,'Fórmula'!J93,37)=0,10^6,INDEX(properties!A$1:CB$87,'Fórmula'!J93,37)))</f>
        <v>1.2</v>
      </c>
      <c r="DQ93" s="105">
        <f t="shared" si="20"/>
        <v>2.25</v>
      </c>
      <c r="DR93" s="109">
        <f t="array" ref="DR93">(('Fórmula'!C93)/('Fórmula'!C93+'Fórmula'!E93+'Fórmula'!G93+'Fórmula'!I93+'Fórmula'!K93))*(INDEX(properties!A$1:CB$87,'Fórmula'!B93,39))+(('Fórmula'!E93)/('Fórmula'!C93+'Fórmula'!E93+'Fórmula'!G93+'Fórmula'!I93+'Fórmula'!K93))*(INDEX(properties!A$1:CB$87,'Fórmula'!D93,39))+(('Fórmula'!G93)/('Fórmula'!C93+'Fórmula'!E93+'Fórmula'!G93+'Fórmula'!I93+'Fórmula'!K93))*(INDEX(properties!A$1:CB$87,'Fórmula'!F93,39))+(('Fórmula'!I93)/('Fórmula'!C93+'Fórmula'!E93+'Fórmula'!G93+'Fórmula'!I93+'Fórmula'!K93))*(INDEX(properties!A$1:CB$87,'Fórmula'!H93,39))+(('Fórmula'!K93)/('Fórmula'!C93+'Fórmula'!E93+'Fórmula'!G93+'Fórmula'!I93+'Fórmula'!K93))*(INDEX(properties!A$1:CB$87,'Fórmula'!J93,39))</f>
        <v>0.852</v>
      </c>
      <c r="DS93" s="109">
        <f t="array" ref="DS93">'Fórmula'!C93*(INDEX(properties!A$1:CB$87,'Fórmula'!B93,39))+'Fórmula'!E93*(INDEX(properties!A$1:CB$87,'Fórmula'!D93,39))+'Fórmula'!G93*(INDEX(properties!A$1:CB$87,'Fórmula'!F93,39))+'Fórmula'!I93*(INDEX(properties!A$1:CB$87,'Fórmula'!H93,39))+'Fórmula'!K93*(INDEX(properties!A$1:CB$87,'Fórmula'!J93,39))</f>
        <v>4.26</v>
      </c>
      <c r="DT93" s="109">
        <f t="array" ref="DT93">VARP(IF(INDEX(properties!A$1:CB$87,'Fórmula'!B93,39)&lt;&gt;"",INDEX(properties!A$1:CB$87,'Fórmula'!B93,39)),IF(INDEX(properties!A$1:CB$87,'Fórmula'!D93,39)&lt;&gt;"",INDEX(properties!A$1:CB$87,'Fórmula'!D93,39)),IF(INDEX(properties!A$1:CB$87,'Fórmula'!F93,39)&lt;&gt;"",INDEX(properties!A$1:CB$87,'Fórmula'!F93,39)),IF(INDEX(properties!A$1:CB$87,'Fórmula'!H93,39)&lt;&gt;"",INDEX(properties!A$1:CB$87,'Fórmula'!H93,39)),IF(INDEX(properties!A$1:CB$87,'Fórmula'!J93,39)&lt;&gt;"",INDEX(properties!A$1:CB$87,'Fórmula'!J93,39)))</f>
        <v>0.52236</v>
      </c>
      <c r="DU93" s="120">
        <f t="array" ref="DU93">MAX(INDEX(properties!A$1:CB$87,'Fórmula'!B93,39),INDEX(properties!A$1:CB$87,'Fórmula'!D93,39),INDEX(properties!A$1:CB$87,'Fórmula'!F93,39),INDEX(properties!A$1:CB$87,'Fórmula'!H93,39),INDEX(properties!A$1:CB$87,'Fórmula'!J93,39))</f>
        <v>1.95</v>
      </c>
      <c r="DV93" s="120">
        <f t="array" ref="DV93">MIN(IF(INDEX(properties!A$1:CB$87,'Fórmula'!B93,39)=0,10^6,INDEX(properties!A$1:CB$87,'Fórmula'!B93,39)),IF(INDEX(properties!A$1:CB$87,'Fórmula'!D93,39)=0,10^6,INDEX(properties!A$1:CB$87,'Fórmula'!D93,39)),IF(INDEX(properties!A$1:CB$87,'Fórmula'!F93,39)=0,10^6,INDEX(properties!A$1:CB$87,'Fórmula'!F93,39)),IF(INDEX(properties!A$1:CB$87,'Fórmula'!H93,39)=0,10^6,INDEX(properties!A$1:CB$87,'Fórmula'!H93,39)),IF(INDEX(properties!A$1:CB$87,'Fórmula'!J93,39)=0,10^6,INDEX(properties!A$1:CB$87,'Fórmula'!J93,39)))</f>
        <v>0.48</v>
      </c>
      <c r="DW93" s="109">
        <f t="shared" si="21"/>
        <v>1.47</v>
      </c>
      <c r="DX93" s="110">
        <f t="array" ref="DX93">(('Fórmula'!C93)/('Fórmula'!C93+'Fórmula'!E93+'Fórmula'!G93+'Fórmula'!I93+'Fórmula'!K93))*(INDEX(properties!A$1:CB$87,'Fórmula'!B93,40))+(('Fórmula'!E93)/('Fórmula'!C93+'Fórmula'!E93+'Fórmula'!G93+'Fórmula'!I93+'Fórmula'!K93))*(INDEX(properties!A$1:CB$87,'Fórmula'!D93,40))+(('Fórmula'!G93)/('Fórmula'!C93+'Fórmula'!E93+'Fórmula'!G93+'Fórmula'!I93+'Fórmula'!K93))*(INDEX(properties!A$1:CB$87,'Fórmula'!F93,40))+(('Fórmula'!I93)/('Fórmula'!C93+'Fórmula'!E93+'Fórmula'!G93+'Fórmula'!I93+'Fórmula'!K93))*(INDEX(properties!A$1:CB$87,'Fórmula'!H93,40))+(('Fórmula'!K93)/('Fórmula'!C93+'Fórmula'!E93+'Fórmula'!G93+'Fórmula'!I93+'Fórmula'!K93))*(INDEX(properties!A$1:CB$87,'Fórmula'!J93,40))</f>
        <v>0.94</v>
      </c>
      <c r="DY93" s="110">
        <f t="array" ref="DY93">'Fórmula'!C93*(INDEX(properties!A$1:CB$87,'Fórmula'!B93,40))+'Fórmula'!E93*(INDEX(properties!A$1:CB$87,'Fórmula'!D93,40))+'Fórmula'!G93*(INDEX(properties!A$1:CB$87,'Fórmula'!F93,40))+'Fórmula'!I93*(INDEX(properties!A$1:CB$87,'Fórmula'!H93,40))+'Fórmula'!K93*(INDEX(properties!A$1:CB$87,'Fórmula'!J93,40))</f>
        <v>4.7</v>
      </c>
      <c r="DZ93" s="110">
        <f t="array" ref="DZ93">VARP(IF(INDEX(properties!A$1:CB$87,'Fórmula'!B93,40)&lt;&gt;"",INDEX(properties!A$1:CB$87,'Fórmula'!B93,40)),IF(INDEX(properties!A$1:CB$87,'Fórmula'!D93,40)&lt;&gt;"",INDEX(properties!A$1:CB$87,'Fórmula'!D93,40)),IF(INDEX(properties!A$1:CB$87,'Fórmula'!F93,40)&lt;&gt;"",INDEX(properties!A$1:CB$87,'Fórmula'!F93,40)),IF(INDEX(properties!A$1:CB$87,'Fórmula'!H93,40)&lt;&gt;"",INDEX(properties!A$1:CB$87,'Fórmula'!H93,40)),IF(INDEX(properties!A$1:CB$87,'Fórmula'!J93,40)&lt;&gt;"",INDEX(properties!A$1:CB$87,'Fórmula'!J93,40)))</f>
        <v>0.392376</v>
      </c>
      <c r="EA93" s="121">
        <f t="array" ref="EA93">MAX(INDEX(properties!A$1:CB$87,'Fórmula'!B93,40),INDEX(properties!A$1:CB$87,'Fórmula'!D93,40),INDEX(properties!A$1:CB$87,'Fórmula'!F93,40),INDEX(properties!A$1:CB$87,'Fórmula'!H93,40),INDEX(properties!A$1:CB$87,'Fórmula'!J93,40))</f>
        <v>1.69</v>
      </c>
      <c r="EB93" s="121">
        <f t="array" ref="EB93">MIN(IF(INDEX(properties!A$1:CB$87,'Fórmula'!B93,40)=0,10^6,INDEX(properties!A$1:CB$87,'Fórmula'!B93,40)),IF(INDEX(properties!A$1:CB$87,'Fórmula'!D93,40)=0,10^6,INDEX(properties!A$1:CB$87,'Fórmula'!D93,40)),IF(INDEX(properties!A$1:CB$87,'Fórmula'!F93,40)=0,10^6,INDEX(properties!A$1:CB$87,'Fórmula'!F93,40)),IF(INDEX(properties!A$1:CB$87,'Fórmula'!H93,40)=0,10^6,INDEX(properties!A$1:CB$87,'Fórmula'!H93,40)),IF(INDEX(properties!A$1:CB$87,'Fórmula'!J93,40)=0,10^6,INDEX(properties!A$1:CB$87,'Fórmula'!J93,40)))</f>
        <v>0.73</v>
      </c>
      <c r="EC93" s="110">
        <f t="shared" si="22"/>
        <v>0.96</v>
      </c>
      <c r="ED93" s="111">
        <f t="array" ref="ED93">(('Fórmula'!C93)/('Fórmula'!C93+'Fórmula'!E93+'Fórmula'!G93+'Fórmula'!I93+'Fórmula'!K93))*(INDEX(properties!A$1:CB$87,'Fórmula'!B93,41))+(('Fórmula'!E93)/('Fórmula'!C93+'Fórmula'!E93+'Fórmula'!G93+'Fórmula'!I93+'Fórmula'!K93))*(INDEX(properties!A$1:CB$87,'Fórmula'!D93,41))+(('Fórmula'!G93)/('Fórmula'!C93+'Fórmula'!E93+'Fórmula'!G93+'Fórmula'!I93+'Fórmula'!K93))*(INDEX(properties!A$1:CB$87,'Fórmula'!F93,41))+(('Fórmula'!I93)/('Fórmula'!C93+'Fórmula'!E93+'Fórmula'!G93+'Fórmula'!I93+'Fórmula'!K93))*(INDEX(properties!A$1:CB$87,'Fórmula'!H93,41))+(('Fórmula'!K93)/('Fórmula'!C93+'Fórmula'!E93+'Fórmula'!G93+'Fórmula'!I93+'Fórmula'!K93))*(INDEX(properties!A$1:CB$87,'Fórmula'!J93,41))</f>
        <v>1.072</v>
      </c>
      <c r="EE93" s="111">
        <f t="array" ref="EE93">'Fórmula'!C93*(INDEX(properties!A$1:CB$87,'Fórmula'!B93,41))+'Fórmula'!E93*(INDEX(properties!A$1:CB$87,'Fórmula'!D93,41))+'Fórmula'!G93*(INDEX(properties!A$1:CB$87,'Fórmula'!F93,41))+'Fórmula'!I93*(INDEX(properties!A$1:CB$87,'Fórmula'!H93,41))+'Fórmula'!K93*(INDEX(properties!A$1:CB$87,'Fórmula'!J93,41))</f>
        <v>5.36</v>
      </c>
      <c r="EF93" s="111">
        <f t="array" ref="EF93">VARP(IF(INDEX(properties!A$1:CB$87,'Fórmula'!B93,41)&lt;&gt;"",INDEX(properties!A$1:CB$87,'Fórmula'!B93,41)),IF(INDEX(properties!A$1:CB$87,'Fórmula'!D93,41)&lt;&gt;"",INDEX(properties!A$1:CB$87,'Fórmula'!D93,41)),IF(INDEX(properties!A$1:CB$87,'Fórmula'!F93,41)&lt;&gt;"",INDEX(properties!A$1:CB$87,'Fórmula'!F93,41)),IF(INDEX(properties!A$1:CB$87,'Fórmula'!H93,41)&lt;&gt;"",INDEX(properties!A$1:CB$87,'Fórmula'!H93,41)),IF(INDEX(properties!A$1:CB$87,'Fórmula'!J93,41)&lt;&gt;"",INDEX(properties!A$1:CB$87,'Fórmula'!J93,41)))</f>
        <v>0.302296</v>
      </c>
      <c r="EG93" s="122">
        <f t="array" ref="EG93">MAX(INDEX(properties!A$1:CB$87,'Fórmula'!B93,41),INDEX(properties!A$1:CB$87,'Fórmula'!D93,41),INDEX(properties!A$1:CB$87,'Fórmula'!F93,41),INDEX(properties!A$1:CB$87,'Fórmula'!H93,41),INDEX(properties!A$1:CB$87,'Fórmula'!J93,41))</f>
        <v>1.26</v>
      </c>
      <c r="EH93" s="122">
        <f t="array" ref="EH93">MIN(IF(INDEX(properties!A$1:CB$87,'Fórmula'!B93,41)=0,10^6,INDEX(properties!A$1:CB$87,'Fórmula'!B93,41)),IF(INDEX(properties!A$1:CB$87,'Fórmula'!D93,41)=0,10^6,INDEX(properties!A$1:CB$87,'Fórmula'!D93,41)),IF(INDEX(properties!A$1:CB$87,'Fórmula'!F93,41)=0,10^6,INDEX(properties!A$1:CB$87,'Fórmula'!F93,41)),IF(INDEX(properties!A$1:CB$87,'Fórmula'!H93,41)=0,10^6,INDEX(properties!A$1:CB$87,'Fórmula'!H93,41)),IF(INDEX(properties!A$1:CB$87,'Fórmula'!J93,41)=0,10^6,INDEX(properties!A$1:CB$87,'Fórmula'!J93,41)))</f>
        <v>0.41</v>
      </c>
      <c r="EI93" s="111">
        <f t="shared" si="23"/>
        <v>0.85</v>
      </c>
      <c r="EJ93" s="112">
        <f t="array" ref="EJ93">(('Fórmula'!C93)/('Fórmula'!C93+'Fórmula'!E93+'Fórmula'!G93+'Fórmula'!I93+'Fórmula'!K93))*(INDEX(properties!A$1:CB$87,'Fórmula'!B93,45))+(('Fórmula'!E93)/('Fórmula'!C93+'Fórmula'!E93+'Fórmula'!G93+'Fórmula'!I93+'Fórmula'!K93))*(INDEX(properties!A$1:CB$87,'Fórmula'!D93,45))+(('Fórmula'!G93)/('Fórmula'!C93+'Fórmula'!E93+'Fórmula'!G93+'Fórmula'!I93+'Fórmula'!K93))*(INDEX(properties!A$1:CB$87,'Fórmula'!F93,45))+(('Fórmula'!I93)/('Fórmula'!C93+'Fórmula'!E93+'Fórmula'!G93+'Fórmula'!I93+'Fórmula'!K93))*(INDEX(properties!A$1:CB$87,'Fórmula'!H93,45))+(('Fórmula'!K93)/('Fórmula'!C93+'Fórmula'!E93+'Fórmula'!G93+'Fórmula'!I93+'Fórmula'!K93))*(INDEX(properties!A$1:CB$87,'Fórmula'!J93,45))</f>
        <v>1.058</v>
      </c>
      <c r="EK93" s="112">
        <f t="array" ref="EK93">'Fórmula'!C93*(INDEX(properties!A$1:CB$87,'Fórmula'!B93,45))+'Fórmula'!E93*(INDEX(properties!A$1:CB$87,'Fórmula'!D93,45))+'Fórmula'!G93*(INDEX(properties!A$1:CB$87,'Fórmula'!F93,45))+'Fórmula'!I93*(INDEX(properties!A$1:CB$87,'Fórmula'!H93,45))+'Fórmula'!K93*(INDEX(properties!A$1:CB$87,'Fórmula'!J93,45))</f>
        <v>5.29</v>
      </c>
      <c r="EL93" s="112">
        <f t="array" ref="EL93">VARP(IF(INDEX(properties!A$1:CB$87,'Fórmula'!B93,45)&lt;&gt;"",INDEX(properties!A$1:CB$87,'Fórmula'!B93,45)),IF(INDEX(properties!A$1:CB$87,'Fórmula'!D93,45)&lt;&gt;"",INDEX(properties!A$1:CB$87,'Fórmula'!D93,45)),IF(INDEX(properties!A$1:CB$87,'Fórmula'!F93,45)&lt;&gt;"",INDEX(properties!A$1:CB$87,'Fórmula'!F93,45)),IF(INDEX(properties!A$1:CB$87,'Fórmula'!H93,45)&lt;&gt;"",INDEX(properties!A$1:CB$87,'Fórmula'!H93,45)),IF(INDEX(properties!A$1:CB$87,'Fórmula'!J93,45)&lt;&gt;"",INDEX(properties!A$1:CB$87,'Fórmula'!J93,45)))</f>
        <v>1.31256</v>
      </c>
      <c r="EM93" s="123">
        <f t="array" ref="EM93">MAX(INDEX(properties!A$1:CB$87,'Fórmula'!B93,45),INDEX(properties!A$1:CB$87,'Fórmula'!D93,45),INDEX(properties!A$1:CB$87,'Fórmula'!F93,45),INDEX(properties!A$1:CB$87,'Fórmula'!H93,45),INDEX(properties!A$1:CB$87,'Fórmula'!J93,45))</f>
        <v>3.08</v>
      </c>
      <c r="EN93" s="123">
        <f t="array" ref="EN93">MIN(IF(INDEX(properties!A$1:CB$87,'Fórmula'!B93,45)=0,10^6,INDEX(properties!A$1:CB$87,'Fórmula'!B93,45)),IF(INDEX(properties!A$1:CB$87,'Fórmula'!D93,45)=0,10^6,INDEX(properties!A$1:CB$87,'Fórmula'!D93,45)),IF(INDEX(properties!A$1:CB$87,'Fórmula'!F93,45)=0,10^6,INDEX(properties!A$1:CB$87,'Fórmula'!F93,45)),IF(INDEX(properties!A$1:CB$87,'Fórmula'!H93,45)=0,10^6,INDEX(properties!A$1:CB$87,'Fórmula'!H93,45)),IF(INDEX(properties!A$1:CB$87,'Fórmula'!J93,45)=0,10^6,INDEX(properties!A$1:CB$87,'Fórmula'!J93,45)))</f>
        <v>0.47</v>
      </c>
      <c r="EO93" s="112">
        <f t="shared" si="24"/>
        <v>2.61</v>
      </c>
      <c r="EP93" s="113">
        <f t="array" ref="EP93">(('Fórmula'!C93)/('Fórmula'!C93+'Fórmula'!E93+'Fórmula'!G93+'Fórmula'!I93+'Fórmula'!K93))*(INDEX(properties!A$1:CB$87,'Fórmula'!B93,46))+(('Fórmula'!E93)/('Fórmula'!C93+'Fórmula'!E93+'Fórmula'!G93+'Fórmula'!I93+'Fórmula'!K93))*(INDEX(properties!A$1:CB$87,'Fórmula'!D93,46))+(('Fórmula'!G93)/('Fórmula'!C93+'Fórmula'!E93+'Fórmula'!G93+'Fórmula'!I93+'Fórmula'!K93))*(INDEX(properties!A$1:CB$87,'Fórmula'!F93,46))+(('Fórmula'!I93)/('Fórmula'!C93+'Fórmula'!E93+'Fórmula'!G93+'Fórmula'!I93+'Fórmula'!K93))*(INDEX(properties!A$1:CB$87,'Fórmula'!H93,46))+(('Fórmula'!K93)/('Fórmula'!C93+'Fórmula'!E93+'Fórmula'!G93+'Fórmula'!I93+'Fórmula'!K93))*(INDEX(properties!A$1:CB$87,'Fórmula'!J93,46))</f>
        <v>1.048</v>
      </c>
      <c r="EQ93" s="113">
        <f t="array" ref="EQ93">'Fórmula'!C93*(INDEX(properties!A$1:CB$87,'Fórmula'!B93,46))+'Fórmula'!E93*(INDEX(properties!A$1:CB$87,'Fórmula'!D93,46))+'Fórmula'!G93*(INDEX(properties!A$1:CB$87,'Fórmula'!F93,46))+'Fórmula'!I93*(INDEX(properties!A$1:CB$87,'Fórmula'!H93,46))+'Fórmula'!K93*(INDEX(properties!A$1:CB$87,'Fórmula'!J93,46))</f>
        <v>5.24</v>
      </c>
      <c r="ER93" s="113">
        <f t="array" ref="ER93">VARP(IF(INDEX(properties!A$1:CB$87,'Fórmula'!B93,46)&lt;&gt;"",INDEX(properties!A$1:CB$87,'Fórmula'!B93,46)),IF(INDEX(properties!A$1:CB$87,'Fórmula'!D93,46)&lt;&gt;"",INDEX(properties!A$1:CB$87,'Fórmula'!D93,46)),IF(INDEX(properties!A$1:CB$87,'Fórmula'!F93,46)&lt;&gt;"",INDEX(properties!A$1:CB$87,'Fórmula'!F93,46)),IF(INDEX(properties!A$1:CB$87,'Fórmula'!H93,46)&lt;&gt;"",INDEX(properties!A$1:CB$87,'Fórmula'!H93,46)),IF(INDEX(properties!A$1:CB$87,'Fórmula'!J93,46)&lt;&gt;"",INDEX(properties!A$1:CB$87,'Fórmula'!J93,46)))</f>
        <v>0.357144</v>
      </c>
      <c r="ES93" s="124">
        <f t="array" ref="ES93">MAX(INDEX(properties!A$1:CB$87,'Fórmula'!B93,46),INDEX(properties!A$1:CB$87,'Fórmula'!D93,46),INDEX(properties!A$1:CB$87,'Fórmula'!F93,46),INDEX(properties!A$1:CB$87,'Fórmula'!H93,46),INDEX(properties!A$1:CB$87,'Fórmula'!J93,46))</f>
        <v>1.36</v>
      </c>
      <c r="ET93" s="124">
        <f t="array" ref="ET93">MIN(IF(INDEX(properties!A$1:CB$87,'Fórmula'!B93,46)=0,10^6,INDEX(properties!A$1:CB$87,'Fórmula'!B93,46)),IF(INDEX(properties!A$1:CB$87,'Fórmula'!D93,46)=0,10^6,INDEX(properties!A$1:CB$87,'Fórmula'!D93,46)),IF(INDEX(properties!A$1:CB$87,'Fórmula'!F93,46)=0,10^6,INDEX(properties!A$1:CB$87,'Fórmula'!F93,46)),IF(INDEX(properties!A$1:CB$87,'Fórmula'!H93,46)=0,10^6,INDEX(properties!A$1:CB$87,'Fórmula'!H93,46)),IF(INDEX(properties!A$1:CB$87,'Fórmula'!J93,46)=0,10^6,INDEX(properties!A$1:CB$87,'Fórmula'!J93,46)))</f>
        <v>0.25</v>
      </c>
      <c r="EU93" s="113">
        <f t="shared" si="25"/>
        <v>1.11</v>
      </c>
      <c r="EV93" s="114">
        <f t="array" ref="EV93">(('Fórmula'!C93)/('Fórmula'!C93+'Fórmula'!E93+'Fórmula'!G93+'Fórmula'!I93+'Fórmula'!K93))*(INDEX(properties!A$1:CB$87,'Fórmula'!B93,52))+(('Fórmula'!E93)/('Fórmula'!C93+'Fórmula'!E93+'Fórmula'!G93+'Fórmula'!I93+'Fórmula'!K93))*(INDEX(properties!A$1:CB$87,'Fórmula'!D93,52))+(('Fórmula'!G93)/('Fórmula'!C93+'Fórmula'!E93+'Fórmula'!G93+'Fórmula'!I93+'Fórmula'!K93))*(INDEX(properties!A$1:CB$87,'Fórmula'!F93,52))+(('Fórmula'!I93)/('Fórmula'!C93+'Fórmula'!E93+'Fórmula'!G93+'Fórmula'!I93+'Fórmula'!K93))*(INDEX(properties!A$1:CB$87,'Fórmula'!H93,52))+(('Fórmula'!K93)/('Fórmula'!C93+'Fórmula'!E93+'Fórmula'!G93+'Fórmula'!I93+'Fórmula'!K93))*(INDEX(properties!A$1:CB$87,'Fórmula'!J93,52))</f>
        <v>7.2958</v>
      </c>
      <c r="EW93" s="114">
        <f t="array" ref="EW93">'Fórmula'!C93*(INDEX(properties!A$1:CB$87,'Fórmula'!B93,52))+'Fórmula'!E93*(INDEX(properties!A$1:CB$87,'Fórmula'!D93,52))+'Fórmula'!G93*(INDEX(properties!A$1:CB$87,'Fórmula'!F93,52))+'Fórmula'!I93*(INDEX(properties!A$1:CB$87,'Fórmula'!H93,52))+'Fórmula'!K93*(INDEX(properties!A$1:CB$87,'Fórmula'!J93,52))</f>
        <v>36.479</v>
      </c>
      <c r="EX93" s="114">
        <f t="array" ref="EX93">VARP(IF(INDEX(properties!A$1:CB$87,'Fórmula'!B93,52)&lt;&gt;"",INDEX(properties!A$1:CB$87,'Fórmula'!B93,52)),IF(INDEX(properties!A$1:CB$87,'Fórmula'!D93,52)&lt;&gt;"",INDEX(properties!A$1:CB$87,'Fórmula'!D93,52)),IF(INDEX(properties!A$1:CB$87,'Fórmula'!F93,52)&lt;&gt;"",INDEX(properties!A$1:CB$87,'Fórmula'!F93,52)),IF(INDEX(properties!A$1:CB$87,'Fórmula'!H93,52)&lt;&gt;"",INDEX(properties!A$1:CB$87,'Fórmula'!H93,52)),IF(INDEX(properties!A$1:CB$87,'Fórmula'!J93,52)&lt;&gt;"",INDEX(properties!A$1:CB$87,'Fórmula'!J93,52)))</f>
        <v>146.6669118</v>
      </c>
      <c r="EY93" s="114">
        <f t="array" ref="EY93">MAX(INDEX(properties!A$1:CB$87,'Fórmula'!B93,52),INDEX(properties!A$1:CB$87,'Fórmula'!D93,52),INDEX(properties!A$1:CB$87,'Fórmula'!F93,52),INDEX(properties!A$1:CB$87,'Fórmula'!H93,52),INDEX(properties!A$1:CB$87,'Fórmula'!J93,52))</f>
        <v>31.1</v>
      </c>
      <c r="EZ93" s="114">
        <f t="array" ref="EZ93">MIN(IF(INDEX(properties!A$1:CB$87,'Fórmula'!B93,52)=0,10^6,INDEX(properties!A$1:CB$87,'Fórmula'!B93,52)),IF(INDEX(properties!A$1:CB$87,'Fórmula'!D93,52)=0,10^6,INDEX(properties!A$1:CB$87,'Fórmula'!D93,52)),IF(INDEX(properties!A$1:CB$87,'Fórmula'!F93,52)=0,10^6,INDEX(properties!A$1:CB$87,'Fórmula'!F93,52)),IF(INDEX(properties!A$1:CB$87,'Fórmula'!H93,52)=0,10^6,INDEX(properties!A$1:CB$87,'Fórmula'!H93,52)),IF(INDEX(properties!A$1:CB$87,'Fórmula'!J93,52)=0,10^6,INDEX(properties!A$1:CB$87,'Fórmula'!J93,52)))</f>
        <v>0.793</v>
      </c>
      <c r="FA93" s="114">
        <f t="shared" si="26"/>
        <v>30.307</v>
      </c>
      <c r="FB93" s="115">
        <f t="array" ref="FB93">(('Fórmula'!C93)/('Fórmula'!C93+'Fórmula'!E93+'Fórmula'!G93+'Fórmula'!I93+'Fórmula'!K93))*(INDEX(properties!A$1:CB$87,'Fórmula'!B93,53))+(('Fórmula'!E93)/('Fórmula'!C93+'Fórmula'!E93+'Fórmula'!G93+'Fórmula'!I93+'Fórmula'!K93))*(INDEX(properties!A$1:CB$87,'Fórmula'!D93,53))+(('Fórmula'!G93)/('Fórmula'!C93+'Fórmula'!E93+'Fórmula'!G93+'Fórmula'!I93+'Fórmula'!K93))*(INDEX(properties!A$1:CB$87,'Fórmula'!F93,53))+(('Fórmula'!I93)/('Fórmula'!C93+'Fórmula'!E93+'Fórmula'!G93+'Fórmula'!I93+'Fórmula'!K93))*(INDEX(properties!A$1:CB$87,'Fórmula'!H93,53))+(('Fórmula'!K93)/('Fórmula'!C93+'Fórmula'!E93+'Fórmula'!G93+'Fórmula'!I93+'Fórmula'!K93))*(INDEX(properties!A$1:CB$87,'Fórmula'!J93,53))</f>
        <v>741.91</v>
      </c>
      <c r="FC93" s="115">
        <f t="array" ref="FC93">'Fórmula'!C93*(INDEX(properties!A$1:CB$87,'Fórmula'!B93,53))+'Fórmula'!E93*(INDEX(properties!A$1:CB$87,'Fórmula'!D93,53))+'Fórmula'!G93*(INDEX(properties!A$1:CB$87,'Fórmula'!F93,53))+'Fórmula'!I93*(INDEX(properties!A$1:CB$87,'Fórmula'!H93,53))+'Fórmula'!K93*(INDEX(properties!A$1:CB$87,'Fórmula'!J93,53))</f>
        <v>3709.55</v>
      </c>
      <c r="FD93" s="115">
        <f t="array" ref="FD93">VARP(IF(INDEX(properties!A$1:CB$87,'Fórmula'!B93,53)&lt;&gt;"",INDEX(properties!A$1:CB$87,'Fórmula'!B93,53)),IF(INDEX(properties!A$1:CB$87,'Fórmula'!D93,53)&lt;&gt;"",INDEX(properties!A$1:CB$87,'Fórmula'!D93,53)),IF(INDEX(properties!A$1:CB$87,'Fórmula'!F93,53)&lt;&gt;"",INDEX(properties!A$1:CB$87,'Fórmula'!F93,53)),IF(INDEX(properties!A$1:CB$87,'Fórmula'!H93,53)&lt;&gt;"",INDEX(properties!A$1:CB$87,'Fórmula'!H93,53)),IF(INDEX(properties!A$1:CB$87,'Fórmula'!J93,53)&lt;&gt;"",INDEX(properties!A$1:CB$87,'Fórmula'!J93,53)))</f>
        <v>873428.4214</v>
      </c>
      <c r="FE93" s="115">
        <f t="array" ref="FE93">MAX(INDEX(properties!A$1:CB$87,'Fórmula'!B93,53),INDEX(properties!A$1:CB$87,'Fórmula'!D93,53),INDEX(properties!A$1:CB$87,'Fórmula'!F93,53),INDEX(properties!A$1:CB$87,'Fórmula'!H93,53),INDEX(properties!A$1:CB$87,'Fórmula'!J93,53))</f>
        <v>2352.15</v>
      </c>
      <c r="FF93" s="115">
        <f t="array" ref="FF93">MIN(IF(INDEX(properties!A$1:CB$87,'Fórmula'!B93,53)=0,10^6,INDEX(properties!A$1:CB$87,'Fórmula'!B93,53)),IF(INDEX(properties!A$1:CB$87,'Fórmula'!D93,53)=0,10^6,INDEX(properties!A$1:CB$87,'Fórmula'!D93,53)),IF(INDEX(properties!A$1:CB$87,'Fórmula'!F93,53)=0,10^6,INDEX(properties!A$1:CB$87,'Fórmula'!F93,53)),IF(INDEX(properties!A$1:CB$87,'Fórmula'!H93,53)=0,10^6,INDEX(properties!A$1:CB$87,'Fórmula'!H93,53)),IF(INDEX(properties!A$1:CB$87,'Fórmula'!J93,53)=0,10^6,INDEX(properties!A$1:CB$87,'Fórmula'!J93,53)))</f>
        <v>54.75</v>
      </c>
      <c r="FG93" s="115">
        <f t="shared" si="27"/>
        <v>2297.4</v>
      </c>
      <c r="FH93" s="117">
        <f t="array" ref="FH93">(('Fórmula'!C93)/('Fórmula'!C93+'Fórmula'!E93+'Fórmula'!G93+'Fórmula'!I93+'Fórmula'!K93))*(INDEX(properties!A$1:CB$87,'Fórmula'!B93,54))+(('Fórmula'!E93)/('Fórmula'!C93+'Fórmula'!E93+'Fórmula'!G93+'Fórmula'!I93+'Fórmula'!K93))*(INDEX(properties!A$1:CB$87,'Fórmula'!D93,54))+(('Fórmula'!G93)/('Fórmula'!C93+'Fórmula'!E93+'Fórmula'!G93+'Fórmula'!I93+'Fórmula'!K93))*(INDEX(properties!A$1:CB$87,'Fórmula'!F93,54))+(('Fórmula'!I93)/('Fórmula'!C93+'Fórmula'!E93+'Fórmula'!G93+'Fórmula'!I93+'Fórmula'!K93))*(INDEX(properties!A$1:CB$87,'Fórmula'!H93,54))+(('Fórmula'!K93)/('Fórmula'!C93+'Fórmula'!E93+'Fórmula'!G93+'Fórmula'!I93+'Fórmula'!K93))*(INDEX(properties!A$1:CB$87,'Fórmula'!J93,54))</f>
        <v>1654.52</v>
      </c>
      <c r="FI93" s="117">
        <f t="array" ref="FI93">'Fórmula'!C93*(INDEX(properties!A$1:CB$87,'Fórmula'!B93,54))+'Fórmula'!E93*(INDEX(properties!A$1:CB$87,'Fórmula'!D93,54))+'Fórmula'!G93*(INDEX(properties!A$1:CB$87,'Fórmula'!F93,54))+'Fórmula'!I93*(INDEX(properties!A$1:CB$87,'Fórmula'!H93,54))+'Fórmula'!K93*(INDEX(properties!A$1:CB$87,'Fórmula'!J93,54))</f>
        <v>8272.6</v>
      </c>
      <c r="FJ93" s="117">
        <f t="array" ref="FJ93">VARP(IF(INDEX(properties!A$1:CB$87,'Fórmula'!B93,54)&lt;&gt;"",INDEX(properties!A$1:CB$87,'Fórmula'!B93,54)),IF(INDEX(properties!A$1:CB$87,'Fórmula'!D93,54)&lt;&gt;"",INDEX(properties!A$1:CB$87,'Fórmula'!D93,54)),IF(INDEX(properties!A$1:CB$87,'Fórmula'!F93,54)&lt;&gt;"",INDEX(properties!A$1:CB$87,'Fórmula'!F93,54)),IF(INDEX(properties!A$1:CB$87,'Fórmula'!H93,54)&lt;&gt;"",INDEX(properties!A$1:CB$87,'Fórmula'!H93,54)),IF(INDEX(properties!A$1:CB$87,'Fórmula'!J93,54)&lt;&gt;"",INDEX(properties!A$1:CB$87,'Fórmula'!J93,54)))</f>
        <v>3815667.057</v>
      </c>
      <c r="FK93" s="117">
        <f t="array" ref="FK93">MAX(INDEX(properties!A$1:CB$87,'Fórmula'!B93,54),INDEX(properties!A$1:CB$87,'Fórmula'!D93,54),INDEX(properties!A$1:CB$87,'Fórmula'!F93,54),INDEX(properties!A$1:CB$87,'Fórmula'!H93,54),INDEX(properties!A$1:CB$87,'Fórmula'!J93,54))</f>
        <v>4275</v>
      </c>
      <c r="FL93" s="117">
        <f t="array" ref="FL93">MIN(IF(INDEX(properties!A$1:CB$87,'Fórmula'!B93,54)=0,10^6,INDEX(properties!A$1:CB$87,'Fórmula'!B93,54)),IF(INDEX(properties!A$1:CB$87,'Fórmula'!D93,54)=0,10^6,INDEX(properties!A$1:CB$87,'Fórmula'!D93,54)),IF(INDEX(properties!A$1:CB$87,'Fórmula'!F93,54)=0,10^6,INDEX(properties!A$1:CB$87,'Fórmula'!F93,54)),IF(INDEX(properties!A$1:CB$87,'Fórmula'!H93,54)=0,10^6,INDEX(properties!A$1:CB$87,'Fórmula'!H93,54)),IF(INDEX(properties!A$1:CB$87,'Fórmula'!J93,54)=0,10^6,INDEX(properties!A$1:CB$87,'Fórmula'!J93,54)))</f>
        <v>90.15</v>
      </c>
      <c r="FM93" s="117">
        <f t="shared" si="28"/>
        <v>4184.85</v>
      </c>
      <c r="FN93" s="118">
        <f t="array" ref="FN93">(('Fórmula'!C93)/('Fórmula'!C93+'Fórmula'!E93+'Fórmula'!G93+'Fórmula'!I93+'Fórmula'!K93))*(INDEX(properties!A$1:CB$87,'Fórmula'!B93,55))+(('Fórmula'!E93)/('Fórmula'!C93+'Fórmula'!E93+'Fórmula'!G93+'Fórmula'!I93+'Fórmula'!K93))*(INDEX(properties!A$1:CB$87,'Fórmula'!D93,55))+(('Fórmula'!G93)/('Fórmula'!C93+'Fórmula'!E93+'Fórmula'!G93+'Fórmula'!I93+'Fórmula'!K93))*(INDEX(properties!A$1:CB$87,'Fórmula'!F93,55))+(('Fórmula'!I93)/('Fórmula'!C93+'Fórmula'!E93+'Fórmula'!G93+'Fórmula'!I93+'Fórmula'!K93))*(INDEX(properties!A$1:CB$87,'Fórmula'!H93,55))+(('Fórmula'!K93)/('Fórmula'!C93+'Fórmula'!E93+'Fórmula'!G93+'Fórmula'!I93+'Fórmula'!K93))*(INDEX(properties!A$1:CB$87,'Fórmula'!J93,55))</f>
        <v>1.698858</v>
      </c>
      <c r="FO93" s="118">
        <f t="array" ref="FO93">'Fórmula'!C93*(INDEX(properties!A$1:CB$87,'Fórmula'!B93,55))+'Fórmula'!E93*(INDEX(properties!A$1:CB$87,'Fórmula'!D93,54))+'Fórmula'!G93*(INDEX(properties!A$1:CB$87,'Fórmula'!F93,55))+'Fórmula'!I93*(INDEX(properties!A$1:CB$87,'Fórmula'!H93,55))+'Fórmula'!K93*(INDEX(properties!A$1:CB$87,'Fórmula'!J93,55))</f>
        <v>4281.15429</v>
      </c>
      <c r="FP93" s="118">
        <f t="array" ref="FP93">VARP(IF(INDEX(properties!A$1:CB$87,'Fórmula'!B93,55)&lt;&gt;"",INDEX(properties!A$1:CB$87,'Fórmula'!B93,55)),IF(INDEX(properties!A$1:CB$87,'Fórmula'!D93,55)&lt;&gt;"",INDEX(properties!A$1:CB$87,'Fórmula'!D93,55)),IF(INDEX(properties!A$1:CB$87,'Fórmula'!F93,55)&lt;&gt;"",INDEX(properties!A$1:CB$87,'Fórmula'!F93,55)),IF(INDEX(properties!A$1:CB$87,'Fórmula'!H93,55)&lt;&gt;"",INDEX(properties!A$1:CB$87,'Fórmula'!H93,55)),IF(INDEX(properties!A$1:CB$87,'Fórmula'!J93,55)&lt;&gt;"",INDEX(properties!A$1:CB$87,'Fórmula'!J93,55)))</f>
        <v>5.775445071</v>
      </c>
      <c r="FQ93" s="118">
        <f t="array" ref="FQ93">MAX(INDEX(properties!A$1:CB$87,'Fórmula'!B93,55),INDEX(properties!A$1:CB$87,'Fórmula'!D93,55),INDEX(properties!A$1:CB$87,'Fórmula'!F93,55),INDEX(properties!A$1:CB$87,'Fórmula'!H93,55),INDEX(properties!A$1:CB$87,'Fórmula'!J93,55))</f>
        <v>6.15</v>
      </c>
      <c r="FR93" s="118">
        <f t="array" ref="FR93">MIN(IF(INDEX(properties!A$1:CB$87,'Fórmula'!B93,55)=0,10^6,INDEX(properties!A$1:CB$87,'Fórmula'!B93,55)),IF(INDEX(properties!A$1:CB$87,'Fórmula'!D93,55)=0,10^6,INDEX(properties!A$1:CB$87,'Fórmula'!D93,55)),IF(INDEX(properties!A$1:CB$87,'Fórmula'!F93,55)=0,10^6,INDEX(properties!A$1:CB$87,'Fórmula'!F93,55)),IF(INDEX(properties!A$1:CB$87,'Fórmula'!H93,55)=0,10^6,INDEX(properties!A$1:CB$87,'Fórmula'!H93,55)),IF(INDEX(properties!A$1:CB$87,'Fórmula'!J93,55)=0,10^6,INDEX(properties!A$1:CB$87,'Fórmula'!J93,55)))</f>
        <v>0.00143</v>
      </c>
      <c r="FS93" s="118">
        <f t="shared" si="29"/>
        <v>6.14857</v>
      </c>
      <c r="FT93" s="119">
        <f t="array" ref="FT93">(('Fórmula'!C93)/('Fórmula'!C93+'Fórmula'!E93+'Fórmula'!G93+'Fórmula'!I93+'Fórmula'!K93))*(INDEX(properties!A$1:CB$87,'Fórmula'!B93,56))+(('Fórmula'!E93)/('Fórmula'!C93+'Fórmula'!E93+'Fórmula'!G93+'Fórmula'!I93+'Fórmula'!K93))*(INDEX(properties!A$1:CB$87,'Fórmula'!D93,56))+(('Fórmula'!G93)/('Fórmula'!C93+'Fórmula'!E93+'Fórmula'!G93+'Fórmula'!I93+'Fórmula'!K93))*(INDEX(properties!A$1:CB$87,'Fórmula'!F93,56))+(('Fórmula'!I93)/('Fórmula'!C93+'Fórmula'!E93+'Fórmula'!G93+'Fórmula'!I93+'Fórmula'!K93))*(INDEX(properties!A$1:CB$87,'Fórmula'!H93,56))+(('Fórmula'!K93)/('Fórmula'!C93+'Fórmula'!E93+'Fórmula'!G93+'Fórmula'!I93+'Fórmula'!K93))*(INDEX(properties!A$1:CB$87,'Fórmula'!J93,56))</f>
        <v>0.794</v>
      </c>
      <c r="FU93" s="119">
        <f t="array" ref="FU93">'Fórmula'!C93*(INDEX(properties!A$1:CB$87,'Fórmula'!B93,56))+'Fórmula'!E93*(INDEX(properties!A$1:CB$87,'Fórmula'!D93,56))+'Fórmula'!G93*(INDEX(properties!A$1:CB$87,'Fórmula'!F93,56))+'Fórmula'!I93*(INDEX(properties!A$1:CB$87,'Fórmula'!H93,56))+'Fórmula'!K93*(INDEX(properties!A$1:CB$87,'Fórmula'!J93,56))</f>
        <v>3.97</v>
      </c>
      <c r="FV93" s="119">
        <f t="array" ref="FV93">VARP(IF(INDEX(properties!A$1:CB$87,'Fórmula'!B93,56)&lt;&gt;"",INDEX(properties!A$1:CB$87,'Fórmula'!B93,56)),IF(INDEX(properties!A$1:CB$87,'Fórmula'!D93,56)&lt;&gt;"",INDEX(properties!A$1:CB$87,'Fórmula'!D93,56)),IF(INDEX(properties!A$1:CB$87,'Fórmula'!F93,56)&lt;&gt;"",INDEX(properties!A$1:CB$87,'Fórmula'!F93,56)),IF(INDEX(properties!A$1:CB$87,'Fórmula'!H93,56)&lt;&gt;"",INDEX(properties!A$1:CB$87,'Fórmula'!H93,56)),IF(INDEX(properties!A$1:CB$87,'Fórmula'!J93,56)&lt;&gt;"",INDEX(properties!A$1:CB$87,'Fórmula'!J93,56)))</f>
        <v>0.203104</v>
      </c>
      <c r="FW93" s="119">
        <f t="array" ref="FW93">MAX(INDEX(properties!A$1:CB$87,'Fórmula'!B93,56),INDEX(properties!A$1:CB$87,'Fórmula'!D93,56),INDEX(properties!A$1:CB$87,'Fórmula'!F93,56),INDEX(properties!A$1:CB$87,'Fórmula'!H93,56),INDEX(properties!A$1:CB$87,'Fórmula'!J93,56))</f>
        <v>1.02</v>
      </c>
      <c r="FX93" s="119">
        <f t="array" ref="FX93">MIN(IF(INDEX(properties!A$1:CB$87,'Fórmula'!B93,56)=0,10^6,INDEX(properties!A$1:CB$87,'Fórmula'!B93,56)),IF(INDEX(properties!A$1:CB$87,'Fórmula'!D93,56)=0,10^6,INDEX(properties!A$1:CB$87,'Fórmula'!D93,56)),IF(INDEX(properties!A$1:CB$87,'Fórmula'!F93,56)=0,10^6,INDEX(properties!A$1:CB$87,'Fórmula'!F93,56)),IF(INDEX(properties!A$1:CB$87,'Fórmula'!H93,56)=0,10^6,INDEX(properties!A$1:CB$87,'Fórmula'!H93,56)),IF(INDEX(properties!A$1:CB$87,'Fórmula'!J93,56)=0,10^6,INDEX(properties!A$1:CB$87,'Fórmula'!J93,56)))</f>
        <v>0.19</v>
      </c>
      <c r="FY93" s="119">
        <f t="shared" si="30"/>
        <v>0.83</v>
      </c>
      <c r="FZ93" s="104">
        <f t="array" ref="FZ93">(('Fórmula'!C93)/('Fórmula'!C93+'Fórmula'!E93+'Fórmula'!G93+'Fórmula'!I93+'Fórmula'!K93))*(INDEX(properties!A$1:CB$87,'Fórmula'!B93,57))+(('Fórmula'!E93)/('Fórmula'!C93+'Fórmula'!E93+'Fórmula'!G93+'Fórmula'!I93+'Fórmula'!K93))*(INDEX(properties!A$1:CB$87,'Fórmula'!D93,57))+(('Fórmula'!G93)/('Fórmula'!C93+'Fórmula'!E93+'Fórmula'!G93+'Fórmula'!I93+'Fórmula'!K93))*(INDEX(properties!A$1:CB$87,'Fórmula'!F93,57))+(('Fórmula'!I93)/('Fórmula'!C93+'Fórmula'!E93+'Fórmula'!G93+'Fórmula'!I93+'Fórmula'!K93))*(INDEX(properties!A$1:CB$87,'Fórmula'!H93,57))+(('Fórmula'!K93)/('Fórmula'!C93+'Fórmula'!E93+'Fórmula'!G93+'Fórmula'!I93+'Fórmula'!K93))*(INDEX(properties!A$1:CB$87,'Fórmula'!J93,57))</f>
        <v>11.413554</v>
      </c>
      <c r="GA93" s="104">
        <f t="array" ref="GA93">'Fórmula'!C93*(INDEX(properties!A$1:CB$87,'Fórmula'!B93,57))+'Fórmula'!E93*(INDEX(properties!A$1:CB$87,'Fórmula'!D93,57))+'Fórmula'!G93*(INDEX(properties!A$1:CB$87,'Fórmula'!F93,57))+'Fórmula'!I93*(INDEX(properties!A$1:CB$87,'Fórmula'!H93,57))+'Fórmula'!K93*(INDEX(properties!A$1:CB$87,'Fórmula'!J93,57))</f>
        <v>57.06777</v>
      </c>
      <c r="GB93" s="104">
        <f t="array" ref="GB93">VARP(IF(INDEX(properties!A$1:CB$87,'Fórmula'!B93,57)&lt;&gt;"",INDEX(properties!A$1:CB$87,'Fórmula'!B93,57)),IF(INDEX(properties!A$1:CB$87,'Fórmula'!D93,57)&lt;&gt;"",INDEX(properties!A$1:CB$87,'Fórmula'!D93,57)),IF(INDEX(properties!A$1:CB$87,'Fórmula'!F93,57)&lt;&gt;"",INDEX(properties!A$1:CB$87,'Fórmula'!F93,57)),IF(INDEX(properties!A$1:CB$87,'Fórmula'!H93,57)&lt;&gt;"",INDEX(properties!A$1:CB$87,'Fórmula'!H93,57)),IF(INDEX(properties!A$1:CB$87,'Fórmula'!J93,57)&lt;&gt;"",INDEX(properties!A$1:CB$87,'Fórmula'!J93,57)))</f>
        <v>383.4612013</v>
      </c>
      <c r="GC93" s="104">
        <f t="array" ref="GC93">MAX(INDEX(properties!A$1:CB$87,'Fórmula'!B93,57),INDEX(properties!A$1:CB$87,'Fórmula'!D93,57),INDEX(properties!A$1:CB$87,'Fórmula'!F93,57),INDEX(properties!A$1:CB$87,'Fórmula'!H93,57),INDEX(properties!A$1:CB$87,'Fórmula'!J93,57))</f>
        <v>50.2</v>
      </c>
      <c r="GD93" s="104">
        <f t="array" ref="GD93">MIN(IF(INDEX(properties!A$1:CB$87,'Fórmula'!B93,57)=0,10^6,INDEX(properties!A$1:CB$87,'Fórmula'!B93,57)),IF(INDEX(properties!A$1:CB$87,'Fórmula'!D93,57)=0,10^6,INDEX(properties!A$1:CB$87,'Fórmula'!D93,57)),IF(INDEX(properties!A$1:CB$87,'Fórmula'!F93,57)=0,10^6,INDEX(properties!A$1:CB$87,'Fórmula'!F93,57)),IF(INDEX(properties!A$1:CB$87,'Fórmula'!H93,57)=0,10^6,INDEX(properties!A$1:CB$87,'Fórmula'!H93,57)),IF(INDEX(properties!A$1:CB$87,'Fórmula'!J93,57)=0,10^6,INDEX(properties!A$1:CB$87,'Fórmula'!J93,57)))</f>
        <v>0.22259</v>
      </c>
      <c r="GE93" s="104">
        <f t="shared" si="31"/>
        <v>49.97741</v>
      </c>
      <c r="GF93" s="105">
        <f t="array" ref="GF93">(('Fórmula'!C93)/('Fórmula'!C93+'Fórmula'!E93+'Fórmula'!G93+'Fórmula'!I93+'Fórmula'!K93))*(INDEX(properties!A$1:CB$87,'Fórmula'!B93,60))+(('Fórmula'!E93)/('Fórmula'!C93+'Fórmula'!E93+'Fórmula'!G93+'Fórmula'!I93+'Fórmula'!K93))*(INDEX(properties!A$1:CB$87,'Fórmula'!D93,60))+(('Fórmula'!G93)/('Fórmula'!C93+'Fórmula'!E93+'Fórmula'!G93+'Fórmula'!I93+'Fórmula'!K93))*(INDEX(properties!A$1:CB$87,'Fórmula'!F93,60))+(('Fórmula'!I93)/('Fórmula'!C93+'Fórmula'!E93+'Fórmula'!G93+'Fórmula'!I93+'Fórmula'!K93))*(INDEX(properties!A$1:CB$87,'Fórmula'!H93,60))+(('Fórmula'!K93)/('Fórmula'!C93+'Fórmula'!E93+'Fórmula'!G93+'Fórmula'!I93+'Fórmula'!K93))*(INDEX(properties!A$1:CB$87,'Fórmula'!J93,60))</f>
        <v>8.116044</v>
      </c>
      <c r="GG93" s="105">
        <f t="array" ref="GG93">'Fórmula'!C93*(INDEX(properties!A$1:CB$87,'Fórmula'!B93,60))+'Fórmula'!E93*(INDEX(properties!A$1:CB$87,'Fórmula'!D93,60))+'Fórmula'!G93*(INDEX(properties!A$1:CB$87,'Fórmula'!F93,60))+'Fórmula'!I93*(INDEX(properties!A$1:CB$87,'Fórmula'!H93,60))+'Fórmula'!K93*(INDEX(properties!A$1:CB$87,'Fórmula'!J93,60))</f>
        <v>40.58022</v>
      </c>
      <c r="GH93" s="105">
        <f t="array" ref="GH93">VARP(IF(INDEX(properties!A$1:CB$87,'Fórmula'!B93,60)&lt;&gt;"",INDEX(properties!A$1:CB$87,'Fórmula'!B93,60)),IF(INDEX(properties!A$1:CB$87,'Fórmula'!D93,60)&lt;&gt;"",INDEX(properties!A$1:CB$87,'Fórmula'!D93,60)),IF(INDEX(properties!A$1:CB$87,'Fórmula'!F93,60)&lt;&gt;"",INDEX(properties!A$1:CB$87,'Fórmula'!F93,60)),IF(INDEX(properties!A$1:CB$87,'Fórmula'!H93,60)&lt;&gt;"",INDEX(properties!A$1:CB$87,'Fórmula'!H93,60)),IF(INDEX(properties!A$1:CB$87,'Fórmula'!J93,60)&lt;&gt;"",INDEX(properties!A$1:CB$87,'Fórmula'!J93,60)))</f>
        <v>116.5534768</v>
      </c>
      <c r="GI93" s="105">
        <f t="array" ref="GI93">MAX(INDEX(properties!A$1:CB$87,'Fórmula'!B93,60),INDEX(properties!A$1:CB$87,'Fórmula'!D93,60),INDEX(properties!A$1:CB$87,'Fórmula'!F93,60),INDEX(properties!A$1:CB$87,'Fórmula'!H93,60),INDEX(properties!A$1:CB$87,'Fórmula'!J93,60))</f>
        <v>27</v>
      </c>
      <c r="GJ93" s="105">
        <f t="array" ref="GJ93">MIN(IF(INDEX(properties!A$1:CB$87,'Fórmula'!B93,60)=0,10^6,INDEX(properties!A$1:CB$87,'Fórmula'!B93,60)),IF(INDEX(properties!A$1:CB$87,'Fórmula'!D93,60)=0,10^6,INDEX(properties!A$1:CB$87,'Fórmula'!D93,60)),IF(INDEX(properties!A$1:CB$87,'Fórmula'!F93,60)=0,10^6,INDEX(properties!A$1:CB$87,'Fórmula'!F93,60)),IF(INDEX(properties!A$1:CB$87,'Fórmula'!H93,60)=0,10^6,INDEX(properties!A$1:CB$87,'Fórmula'!H93,60)),IF(INDEX(properties!A$1:CB$87,'Fórmula'!J93,60)=0,10^6,INDEX(properties!A$1:CB$87,'Fórmula'!J93,60)))</f>
        <v>0.02674</v>
      </c>
      <c r="GK93" s="105">
        <f t="shared" si="32"/>
        <v>26.97326</v>
      </c>
      <c r="GL93" s="106">
        <f t="array" ref="GL93">(('Fórmula'!C93)/('Fórmula'!C93+'Fórmula'!E93+'Fórmula'!G93+'Fórmula'!I93+'Fórmula'!K93))*(INDEX(properties!A$1:CB$87,'Fórmula'!B93,62))+(('Fórmula'!E93)/('Fórmula'!C93+'Fórmula'!E93+'Fórmula'!G93+'Fórmula'!I93+'Fórmula'!K93))*(INDEX(properties!A$1:CB$87,'Fórmula'!D93,62))+(('Fórmula'!G93)/('Fórmula'!C93+'Fórmula'!E93+'Fórmula'!G93+'Fórmula'!I93+'Fórmula'!K93))*(INDEX(properties!A$1:CB$87,'Fórmula'!F93,62))+(('Fórmula'!I93)/('Fórmula'!C93+'Fórmula'!E93+'Fórmula'!G93+'Fórmula'!I93+'Fórmula'!K93))*(INDEX(properties!A$1:CB$87,'Fórmula'!H93,62))+(('Fórmula'!K93)/('Fórmula'!C93+'Fórmula'!E93+'Fórmula'!G93+'Fórmula'!I93+'Fórmula'!K93))*(INDEX(properties!A$1:CB$87,'Fórmula'!J93,62))</f>
        <v>3.628</v>
      </c>
      <c r="GM93" s="106">
        <f t="array" ref="GM93">'Fórmula'!C93*(INDEX(properties!A$1:CB$87,'Fórmula'!B93,62))+'Fórmula'!E93*(INDEX(properties!A$1:CB$87,'Fórmula'!D93,62))+'Fórmula'!G93*(INDEX(properties!A$1:CB$87,'Fórmula'!F93,62))+'Fórmula'!I93*(INDEX(properties!A$1:CB$87,'Fórmula'!H93,62))+'Fórmula'!K93*(INDEX(properties!A$1:CB$87,'Fórmula'!J93,62))</f>
        <v>18.14</v>
      </c>
      <c r="GN93" s="106">
        <f t="array" ref="GN93">VARP(IF(INDEX(properties!A$1:CB$87,'Fórmula'!B93,62)&lt;&gt;"",INDEX(properties!A$1:CB$87,'Fórmula'!B93,62)),IF(INDEX(properties!A$1:CB$87,'Fórmula'!D93,62)&lt;&gt;"",INDEX(properties!A$1:CB$87,'Fórmula'!D93,62)),IF(INDEX(properties!A$1:CB$87,'Fórmula'!F93,62)&lt;&gt;"",INDEX(properties!A$1:CB$87,'Fórmula'!F93,62)),IF(INDEX(properties!A$1:CB$87,'Fórmula'!H93,62)&lt;&gt;"",INDEX(properties!A$1:CB$87,'Fórmula'!H93,62)),IF(INDEX(properties!A$1:CB$87,'Fórmula'!J93,62)&lt;&gt;"",INDEX(properties!A$1:CB$87,'Fórmula'!J93,62)))</f>
        <v>5.46388</v>
      </c>
      <c r="GO93" s="106">
        <f t="array" ref="GO93">MAX(INDEX(properties!A$1:CB$87,'Fórmula'!B93,62),INDEX(properties!A$1:CB$87,'Fórmula'!D93,62),INDEX(properties!A$1:CB$87,'Fórmula'!F93,62),INDEX(properties!A$1:CB$87,'Fórmula'!H93,62),INDEX(properties!A$1:CB$87,'Fórmula'!J93,62))</f>
        <v>5.81</v>
      </c>
      <c r="GP93" s="106">
        <f t="array" ref="GP93">MIN(IF(INDEX(properties!A$1:CB$87,'Fórmula'!B93,62)=0,10^6,INDEX(properties!A$1:CB$87,'Fórmula'!B93,62)),IF(INDEX(properties!A$1:CB$87,'Fórmula'!D93,62)=0,10^6,INDEX(properties!A$1:CB$87,'Fórmula'!D93,62)),IF(INDEX(properties!A$1:CB$87,'Fórmula'!F93,62)=0,10^6,INDEX(properties!A$1:CB$87,'Fórmula'!F93,62)),IF(INDEX(properties!A$1:CB$87,'Fórmula'!H93,62)=0,10^6,INDEX(properties!A$1:CB$87,'Fórmula'!H93,62)),IF(INDEX(properties!A$1:CB$87,'Fórmula'!J93,62)=0,10^6,INDEX(properties!A$1:CB$87,'Fórmula'!J93,62)))</f>
        <v>2.62</v>
      </c>
      <c r="GQ93" s="106">
        <f t="shared" si="33"/>
        <v>3.19</v>
      </c>
      <c r="GR93" s="106">
        <f>'Fórmula'!Q93</f>
        <v>62</v>
      </c>
      <c r="GS93" s="107">
        <f>'Fórmula'!P93</f>
        <v>3</v>
      </c>
      <c r="GT93" s="113">
        <f>'Fórmula'!O93</f>
        <v>5.3</v>
      </c>
      <c r="GU93" s="114">
        <f>AVERAGE('Fórmula'!R93/'Fórmula'!S93,'Fórmula'!S93/'Fórmula'!T93,'Fórmula'!T93/'Fórmula'!R93)</f>
        <v>1.058096056</v>
      </c>
      <c r="GV93" s="125">
        <f>'Fórmula'!U93</f>
        <v>247.83</v>
      </c>
      <c r="GW93" s="106">
        <f>'Fórmula'!N93</f>
        <v>0.22</v>
      </c>
    </row>
    <row r="94" ht="14.25" customHeight="1">
      <c r="A94" s="99" t="str">
        <f>'Fórmula'!A94</f>
        <v>La2Ti2O7</v>
      </c>
      <c r="B94" s="100">
        <f t="array" ref="B94">(('Fórmula'!C94)/('Fórmula'!C94+'Fórmula'!E94+'Fórmula'!G94+'Fórmula'!I94+'Fórmula'!K94))*(INDEX(properties!A$1:CB$87,'Fórmula'!B94,3))+(('Fórmula'!E94)/('Fórmula'!C94+'Fórmula'!E94+'Fórmula'!G94+'Fórmula'!I94+'Fórmula'!K94))*(INDEX(properties!A$1:CB$87,'Fórmula'!D94,3))+(('Fórmula'!G94)/('Fórmula'!C94+'Fórmula'!E94+'Fórmula'!G94+'Fórmula'!I94+'Fórmula'!K94))*(INDEX(properties!A$1:CB$87,'Fórmula'!F94,3))+(('Fórmula'!I94)/('Fórmula'!C94+'Fórmula'!E94+'Fórmula'!G94+'Fórmula'!I94+'Fórmula'!K94))*(INDEX(properties!A$1:CB$87,'Fórmula'!H94,3))+(('Fórmula'!K94)/('Fórmula'!C94+'Fórmula'!E94+'Fórmula'!G94+'Fórmula'!I94+'Fórmula'!K94))*(INDEX(properties!A$1:CB$87,'Fórmula'!J94,3))</f>
        <v>44.14007273</v>
      </c>
      <c r="C94" s="101">
        <f t="array" ref="C94">'Fórmula'!C94*(INDEX(properties!A$1:CB$87,'Fórmula'!B94,3))+'Fórmula'!E94*(INDEX(properties!A$1:CB$87,'Fórmula'!D94,3))+'Fórmula'!G94*(INDEX(properties!A$1:CB$87,'Fórmula'!F94,3))+'Fórmula'!I94*(INDEX(properties!A$1:CB$87,'Fórmula'!H94,3))+'Fórmula'!K94*(INDEX(properties!A$1:CB$87,'Fórmula'!J94,3))</f>
        <v>485.5408</v>
      </c>
      <c r="D94" s="101">
        <f t="array" ref="D94">VARP(IF(INDEX(properties!A$1:CB$87,'Fórmula'!B94,3)&lt;&gt;"",INDEX(properties!A$1:CB$87,'Fórmula'!B94,3)),IF(INDEX(properties!A$1:CB$87,'Fórmula'!D94,3)&lt;&gt;"",INDEX(properties!A$1:CB$87,'Fórmula'!D94,3)),IF(INDEX(properties!A$1:CB$87,'Fórmula'!F94,3)&lt;&gt;"",INDEX(properties!A$1:CB$87,'Fórmula'!F94,3)),IF(INDEX(properties!A$1:CB$87,'Fórmula'!H94,3)&lt;&gt;"",INDEX(properties!A$1:CB$87,'Fórmula'!H94,3)),IF(INDEX(properties!A$1:CB$87,'Fórmula'!J94,3)&lt;&gt;"",INDEX(properties!A$1:CB$87,'Fórmula'!J94,3)))</f>
        <v>2723.735947</v>
      </c>
      <c r="E94" s="101">
        <f t="array" ref="E94">MAX(INDEX(properties!A$1:CB$87,'Fórmula'!B94,3),INDEX(properties!A$1:CB$87,'Fórmula'!D94,3),INDEX(properties!A$1:CB$87,'Fórmula'!F94,3),INDEX(properties!A$1:CB$87,'Fórmula'!H94,3),INDEX(properties!A$1:CB$87,'Fórmula'!J94,3))</f>
        <v>138.9055</v>
      </c>
      <c r="F94" s="101">
        <f t="array" ref="F94">MIN(IF(INDEX(properties!A$1:CB$87,'Fórmula'!B94,3)=0,10^6,INDEX(properties!A$1:CB$87,'Fórmula'!B94,3)),IF(INDEX(properties!A$1:CB$87,'Fórmula'!D94,3)=0,10^6,INDEX(properties!A$1:CB$87,'Fórmula'!D94,3)),IF(INDEX(properties!A$1:CB$87,'Fórmula'!F94,3)=0,10^6,INDEX(properties!A$1:CB$87,'Fórmula'!F94,3)),IF(INDEX(properties!A$1:CB$87,'Fórmula'!H94,3)=0,10^6,INDEX(properties!A$1:CB$87,'Fórmula'!H94,3)),IF(INDEX(properties!A$1:CB$87,'Fórmula'!J94,3)=0,10^6,INDEX(properties!A$1:CB$87,'Fórmula'!J94,3)))</f>
        <v>15.9994</v>
      </c>
      <c r="G94" s="101">
        <f t="shared" si="1"/>
        <v>122.9061</v>
      </c>
      <c r="H94" s="102">
        <f t="array" ref="H94">(('Fórmula'!C94)/('Fórmula'!C94+'Fórmula'!E94+'Fórmula'!G94+'Fórmula'!I94+'Fórmula'!K94))*(INDEX(properties!A$1:CB$87,'Fórmula'!B94,4))+(('Fórmula'!E94)/('Fórmula'!C94+'Fórmula'!E94+'Fórmula'!G94+'Fórmula'!I94+'Fórmula'!K94))*(INDEX(properties!A$1:CB$87,'Fórmula'!D94,4))+(('Fórmula'!G94)/('Fórmula'!C94+'Fórmula'!E94+'Fórmula'!G94+'Fórmula'!I94+'Fórmula'!K94))*(INDEX(properties!A$1:CB$87,'Fórmula'!F94,4))+(('Fórmula'!I94)/('Fórmula'!C94+'Fórmula'!E94+'Fórmula'!G94+'Fórmula'!I94+'Fórmula'!K94))*(INDEX(properties!A$1:CB$87,'Fórmula'!H94,4))+(('Fórmula'!K94)/('Fórmula'!C94+'Fórmula'!E94+'Fórmula'!G94+'Fórmula'!I94+'Fórmula'!K94))*(INDEX(properties!A$1:CB$87,'Fórmula'!J94,4))</f>
        <v>19.45454545</v>
      </c>
      <c r="I94" s="102">
        <f t="array" ref="I94">'Fórmula'!C94*(INDEX(properties!A$1:CB$87,'Fórmula'!B94,4))+'Fórmula'!E94*(INDEX(properties!A$1:CB$87,'Fórmula'!D94,4))+'Fórmula'!G94*(INDEX(properties!A$1:CB$87,'Fórmula'!F94,4))+'Fórmula'!I94*(INDEX(properties!A$1:CB$87,'Fórmula'!H94,4))+'Fórmula'!K94*(INDEX(properties!A$1:CB$87,'Fórmula'!J94,4))</f>
        <v>214</v>
      </c>
      <c r="J94" s="102">
        <f t="array" ref="J94">VARP(IF(INDEX(properties!A$1:CB$87,'Fórmula'!B94,4)&lt;&gt;"",INDEX(properties!A$1:CB$87,'Fórmula'!B94,4)),IF(INDEX(properties!A$1:CB$87,'Fórmula'!D94,4)&lt;&gt;"",INDEX(properties!A$1:CB$87,'Fórmula'!D94,4)),IF(INDEX(properties!A$1:CB$87,'Fórmula'!F94,4)&lt;&gt;"",INDEX(properties!A$1:CB$87,'Fórmula'!F94,4)),IF(INDEX(properties!A$1:CB$87,'Fórmula'!H94,4)&lt;&gt;"",INDEX(properties!A$1:CB$87,'Fórmula'!H94,4)),IF(INDEX(properties!A$1:CB$87,'Fórmula'!J94,4)&lt;&gt;"",INDEX(properties!A$1:CB$87,'Fórmula'!J94,4)))</f>
        <v>456.64</v>
      </c>
      <c r="K94" s="102">
        <f t="array" ref="K94">MAX(INDEX(properties!A$1:CB$87,'Fórmula'!B94,4),INDEX(properties!A$1:CB$87,'Fórmula'!D94,4),INDEX(properties!A$1:CB$87,'Fórmula'!F94,4),INDEX(properties!A$1:CB$87,'Fórmula'!H94,4),INDEX(properties!A$1:CB$87,'Fórmula'!J94,4))</f>
        <v>57</v>
      </c>
      <c r="L94" s="102">
        <f t="array" ref="L94">MIN(IF(INDEX(properties!A$1:CB$87,'Fórmula'!B94,4)=0,10^6,INDEX(properties!A$1:CB$87,'Fórmula'!B94,4)),IF(INDEX(properties!A$1:CB$87,'Fórmula'!D94,4)=0,10^6,INDEX(properties!A$1:CB$87,'Fórmula'!D94,4)),IF(INDEX(properties!A$1:CB$87,'Fórmula'!F94,4)=0,10^6,INDEX(properties!A$1:CB$87,'Fórmula'!F94,4)),IF(INDEX(properties!A$1:CB$87,'Fórmula'!H94,4)=0,10^6,INDEX(properties!A$1:CB$87,'Fórmula'!H94,4)),IF(INDEX(properties!A$1:CB$87,'Fórmula'!J94,4)=0,10^6,INDEX(properties!A$1:CB$87,'Fórmula'!J94,4)))</f>
        <v>8</v>
      </c>
      <c r="M94" s="102">
        <f t="shared" si="2"/>
        <v>49</v>
      </c>
      <c r="N94" s="103">
        <f t="array" ref="N94">(('Fórmula'!C94)/('Fórmula'!C94+'Fórmula'!E94+'Fórmula'!G94+'Fórmula'!I94+'Fórmula'!K94))*(INDEX(properties!A$1:CB$87,'Fórmula'!B94,5))+(('Fórmula'!E94)/('Fórmula'!C94+'Fórmula'!E94+'Fórmula'!G94+'Fórmula'!I94+'Fórmula'!K94))*(INDEX(properties!A$1:CB$87,'Fórmula'!D94,5))+(('Fórmula'!G94)/('Fórmula'!C94+'Fórmula'!E94+'Fórmula'!G94+'Fórmula'!I94+'Fórmula'!K94))*(INDEX(properties!A$1:CB$87,'Fórmula'!F94,5))+(('Fórmula'!I94)/('Fórmula'!C94+'Fórmula'!E94+'Fórmula'!G94+'Fórmula'!I94+'Fórmula'!K94))*(INDEX(properties!A$1:CB$87,'Fórmula'!H94,5))+(('Fórmula'!K94)/('Fórmula'!C94+'Fórmula'!E94+'Fórmula'!G94+'Fórmula'!I94+'Fórmula'!K94))*(INDEX(properties!A$1:CB$87,'Fórmula'!J94,5))</f>
        <v>3.090909091</v>
      </c>
      <c r="O94" s="103">
        <f t="array" ref="O94">'Fórmula'!C94*(INDEX(properties!A$1:CB$87,'Fórmula'!B94,5))+'Fórmula'!E94*(INDEX(properties!A$1:CB$87,'Fórmula'!D94,5))+'Fórmula'!G94*(INDEX(properties!A$1:CB$87,'Fórmula'!F94,5))+'Fórmula'!I94*(INDEX(properties!A$1:CB$87,'Fórmula'!H94,5))+'Fórmula'!K94*(INDEX(properties!A$1:CB$87,'Fórmula'!J94,5))</f>
        <v>34</v>
      </c>
      <c r="P94" s="103">
        <f t="array" ref="P94">VARP(IF(INDEX(properties!A$1:CB$87,'Fórmula'!B94,5)&lt;&gt;"",INDEX(properties!A$1:CB$87,'Fórmula'!B94,5)),IF(INDEX(properties!A$1:CB$87,'Fórmula'!D94,5)&lt;&gt;"",INDEX(properties!A$1:CB$87,'Fórmula'!D94,5)),IF(INDEX(properties!A$1:CB$87,'Fórmula'!F94,5)&lt;&gt;"",INDEX(properties!A$1:CB$87,'Fórmula'!F94,5)),IF(INDEX(properties!A$1:CB$87,'Fórmula'!H94,5)&lt;&gt;"",INDEX(properties!A$1:CB$87,'Fórmula'!H94,5)),IF(INDEX(properties!A$1:CB$87,'Fórmula'!J94,5)&lt;&gt;"",INDEX(properties!A$1:CB$87,'Fórmula'!J94,5)))</f>
        <v>5.44</v>
      </c>
      <c r="Q94" s="103">
        <f t="array" ref="Q94">MAX(INDEX(properties!A$1:CB$87,'Fórmula'!B94,5),INDEX(properties!A$1:CB$87,'Fórmula'!D94,5),INDEX(properties!A$1:CB$87,'Fórmula'!F94,5),INDEX(properties!A$1:CB$87,'Fórmula'!H94,5),INDEX(properties!A$1:CB$87,'Fórmula'!J94,5))</f>
        <v>6</v>
      </c>
      <c r="R94" s="103">
        <f t="array" ref="R94">MIN(IF(INDEX(properties!A$1:CB$87,'Fórmula'!B94,5)=0,10^6,INDEX(properties!A$1:CB$87,'Fórmula'!B94,5)),IF(INDEX(properties!A$1:CB$87,'Fórmula'!D94,5)=0,10^6,INDEX(properties!A$1:CB$87,'Fórmula'!D94,5)),IF(INDEX(properties!A$1:CB$87,'Fórmula'!F94,5)=0,10^6,INDEX(properties!A$1:CB$87,'Fórmula'!F94,5)),IF(INDEX(properties!A$1:CB$87,'Fórmula'!H94,5)=0,10^6,INDEX(properties!A$1:CB$87,'Fórmula'!H94,5)),IF(INDEX(properties!A$1:CB$87,'Fórmula'!J94,5)=0,10^6,INDEX(properties!A$1:CB$87,'Fórmula'!J94,5)))</f>
        <v>2</v>
      </c>
      <c r="S94" s="103">
        <f t="shared" si="3"/>
        <v>4</v>
      </c>
      <c r="T94" s="104">
        <f t="array" ref="T94">(('Fórmula'!C94)/('Fórmula'!C94+'Fórmula'!E94+'Fórmula'!G94+'Fórmula'!I94+'Fórmula'!K94))*(INDEX(properties!A$1:CB$87,'Fórmula'!B94,6))+(('Fórmula'!E94)/('Fórmula'!C94+'Fórmula'!E94+'Fórmula'!G94+'Fórmula'!I94+'Fórmula'!K94))*(INDEX(properties!A$1:CB$87,'Fórmula'!D94,6))+(('Fórmula'!G94)/('Fórmula'!C94+'Fórmula'!E94+'Fórmula'!G94+'Fórmula'!I94+'Fórmula'!K94))*(INDEX(properties!A$1:CB$87,'Fórmula'!F94,6))+(('Fórmula'!I94)/('Fórmula'!C94+'Fórmula'!E94+'Fórmula'!G94+'Fórmula'!I94+'Fórmula'!K94))*(INDEX(properties!A$1:CB$87,'Fórmula'!H94,6))+(('Fórmula'!K94)/('Fórmula'!C94+'Fórmula'!E94+'Fórmula'!G94+'Fórmula'!I94+'Fórmula'!K94))*(INDEX(properties!A$1:CB$87,'Fórmula'!J94,6))</f>
        <v>11.45454545</v>
      </c>
      <c r="U94" s="104">
        <f t="array" ref="U94">'Fórmula'!C94*(INDEX(properties!A$1:CB$87,'Fórmula'!B94,6))+'Fórmula'!E94*(INDEX(properties!A$1:CB$87,'Fórmula'!D94,6))+'Fórmula'!G94*(INDEX(properties!A$1:CB$87,'Fórmula'!F94,6))+'Fórmula'!I94*(INDEX(properties!A$1:CB$87,'Fórmula'!H94,6))+'Fórmula'!K94*(INDEX(properties!A$1:CB$87,'Fórmula'!J94,6))</f>
        <v>126</v>
      </c>
      <c r="V94" s="103">
        <f t="array" ref="V94">VARP(IF(INDEX(properties!A$1:CB$87,'Fórmula'!B94,6)&lt;&gt;"",INDEX(properties!A$1:CB$87,'Fórmula'!B94,6)),IF(INDEX(properties!A$1:CB$87,'Fórmula'!D94,6)&lt;&gt;"",INDEX(properties!A$1:CB$87,'Fórmula'!D94,6)),IF(INDEX(properties!A$1:CB$87,'Fórmula'!F94,6)&lt;&gt;"",INDEX(properties!A$1:CB$87,'Fórmula'!F94,6)),IF(INDEX(properties!A$1:CB$87,'Fórmula'!H94,6)&lt;&gt;"",INDEX(properties!A$1:CB$87,'Fórmula'!H94,6)),IF(INDEX(properties!A$1:CB$87,'Fórmula'!J94,6)&lt;&gt;"",INDEX(properties!A$1:CB$87,'Fórmula'!J94,6)))</f>
        <v>35.04</v>
      </c>
      <c r="W94" s="104">
        <f t="array" ref="W94">MAX(INDEX(properties!A$1:CB$87,'Fórmula'!B94,6),INDEX(properties!A$1:CB$87,'Fórmula'!D94,6),INDEX(properties!A$1:CB$87,'Fórmula'!F94,6),INDEX(properties!A$1:CB$87,'Fórmula'!H94,4),INDEX(properties!A$1:CB$87,'Fórmula'!J94,6))</f>
        <v>16</v>
      </c>
      <c r="X94" s="104">
        <f t="array" ref="X94">MIN(IF(INDEX(properties!A$1:CB$87,'Fórmula'!B94,6)=0,10^6,INDEX(properties!A$1:CB$87,'Fórmula'!B94,6)),IF(INDEX(properties!A$1:CB$87,'Fórmula'!D94,6)=0,10^6,INDEX(properties!A$1:CB$87,'Fórmula'!D94,6)),IF(INDEX(properties!A$1:CB$87,'Fórmula'!F94,6)=0,10^6,INDEX(properties!A$1:CB$87,'Fórmula'!F94,6)),IF(INDEX(properties!A$1:CB$87,'Fórmula'!H94,6)=0,10^6,INDEX(properties!A$1:CB$87,'Fórmula'!H94,6)),IF(INDEX(properties!A$1:CB$87,'Fórmula'!J94,6)=0,10^6,INDEX(properties!A$1:CB$87,'Fórmula'!J94,6)))</f>
        <v>3</v>
      </c>
      <c r="Y94" s="104">
        <f t="shared" si="4"/>
        <v>13</v>
      </c>
      <c r="Z94" s="105">
        <f t="array" ref="Z94">(('Fórmula'!C94)/('Fórmula'!C94+'Fórmula'!E94+'Fórmula'!G94+'Fórmula'!I94+'Fórmula'!K94))*(INDEX(properties!A$1:CB$87,'Fórmula'!B94,9))+(('Fórmula'!E94)/('Fórmula'!C94+'Fórmula'!E94+'Fórmula'!G94+'Fórmula'!I94+'Fórmula'!K94))*(INDEX(properties!A$1:CB$87,'Fórmula'!D94,9))+(('Fórmula'!G94)/('Fórmula'!C94+'Fórmula'!E94+'Fórmula'!G94+'Fórmula'!I94+'Fórmula'!K94))*(INDEX(properties!A$1:CB$87,'Fórmula'!F94,9))+(('Fórmula'!I94)/('Fórmula'!C94+'Fórmula'!E94+'Fórmula'!G94+'Fórmula'!I94+'Fórmula'!K94))*(INDEX(properties!A$1:CB$87,'Fórmula'!H94,9))+(('Fórmula'!K94)/('Fórmula'!C94+'Fórmula'!E94+'Fórmula'!G94+'Fórmula'!I94+'Fórmula'!K94))*(INDEX(properties!A$1:CB$87,'Fórmula'!J94,9))</f>
        <v>65.54545455</v>
      </c>
      <c r="AA94" s="105">
        <f t="array" ref="AA94">'Fórmula'!C94*(INDEX(properties!A$1:CB$87,'Fórmula'!B94,9))+'Fórmula'!E94*(INDEX(properties!A$1:CB$87,'Fórmula'!D94,9))+'Fórmula'!G94*(INDEX(properties!A$1:CB$87,'Fórmula'!F94,9))+'Fórmula'!I94*(INDEX(properties!A$1:CB$87,'Fórmula'!H94,9))+'Fórmula'!K94*(INDEX(properties!A$1:CB$87,'Fórmula'!J94,9))</f>
        <v>721</v>
      </c>
      <c r="AB94" s="105">
        <f t="array" ref="AB94">VARP(IF(INDEX(properties!A$1:CB$87,'Fórmula'!B94,9)&lt;&gt;"",INDEX(properties!A$1:CB$87,'Fórmula'!B94,9)),IF(INDEX(properties!A$1:CB$87,'Fórmula'!D94,9)&lt;&gt;"",INDEX(properties!A$1:CB$87,'Fórmula'!D94,9)),IF(INDEX(properties!A$1:CB$87,'Fórmula'!F94,9)&lt;&gt;"",INDEX(properties!A$1:CB$87,'Fórmula'!F94,9)),IF(INDEX(properties!A$1:CB$87,'Fórmula'!H94,9)&lt;&gt;"",INDEX(properties!A$1:CB$87,'Fórmula'!H94,9)),IF(INDEX(properties!A$1:CB$87,'Fórmula'!J94,9)&lt;&gt;"",INDEX(properties!A$1:CB$87,'Fórmula'!J94,9)))</f>
        <v>1099.44</v>
      </c>
      <c r="AC94" s="105">
        <f t="array" ref="AC94">MAX(INDEX(properties!A$1:CB$87,'Fórmula'!B94,9),INDEX(properties!A$1:CB$87,'Fórmula'!D94,9),INDEX(properties!A$1:CB$87,'Fórmula'!F94,9),INDEX(properties!A$1:CB$87,'Fórmula'!H94,9),INDEX(properties!A$1:CB$87,'Fórmula'!J94,9))</f>
        <v>87</v>
      </c>
      <c r="AD94" s="105">
        <f t="array" ref="AD94">MIN(IF(INDEX(properties!A$1:CB$87,'Fórmula'!B94,9)=0,10^6,INDEX(properties!A$1:CB$87,'Fórmula'!B94,9)),IF(INDEX(properties!A$1:CB$87,'Fórmula'!D94,9)=0,10^6,INDEX(properties!A$1:CB$87,'Fórmula'!D94,9)),IF(INDEX(properties!A$1:CB$87,'Fórmula'!F94,9)=0,10^6,INDEX(properties!A$1:CB$87,'Fórmula'!F94,9)),IF(INDEX(properties!A$1:CB$87,'Fórmula'!H94,9)=0,10^6,INDEX(properties!A$1:CB$87,'Fórmula'!H94,9)),IF(INDEX(properties!A$1:CB$87,'Fórmula'!J94,9)=0,10^6,INDEX(properties!A$1:CB$87,'Fórmula'!J94,9)))</f>
        <v>13</v>
      </c>
      <c r="AE94" s="105">
        <f t="shared" si="5"/>
        <v>74</v>
      </c>
      <c r="AF94" s="106">
        <f t="array" ref="AF94">(('Fórmula'!C94)/('Fórmula'!C94+'Fórmula'!E94+'Fórmula'!G94+'Fórmula'!I94+'Fórmula'!K94))*(INDEX(properties!A$1:CB$87,'Fórmula'!B94,10))+(('Fórmula'!E94)/('Fórmula'!C94+'Fórmula'!E94+'Fórmula'!G94+'Fórmula'!I94+'Fórmula'!K94))*(INDEX(properties!A$1:CB$87,'Fórmula'!D94,10))+(('Fórmula'!G94)/('Fórmula'!C94+'Fórmula'!E94+'Fórmula'!G94+'Fórmula'!I94+'Fórmula'!K94))*(INDEX(properties!A$1:CB$87,'Fórmula'!F94,10))+(('Fórmula'!I94)/('Fórmula'!C94+'Fórmula'!E94+'Fórmula'!G94+'Fórmula'!I94+'Fórmula'!K94))*(INDEX(properties!A$1:CB$87,'Fórmula'!H94,10))+(('Fórmula'!K94)/('Fórmula'!C94+'Fórmula'!E94+'Fórmula'!G94+'Fórmula'!I94+'Fórmula'!K94))*(INDEX(properties!A$1:CB$87,'Fórmula'!J94,10))</f>
        <v>5.727272727</v>
      </c>
      <c r="AG94" s="106">
        <f t="array" ref="AG94">'Fórmula'!C94*(INDEX(properties!A$1:CB$87,'Fórmula'!B94,10))+'Fórmula'!E94*(INDEX(properties!A$1:CB$87,'Fórmula'!D94,10))+'Fórmula'!G94*(INDEX(properties!A$1:CB$87,'Fórmula'!F94,10))+'Fórmula'!I94*(INDEX(properties!A$1:CB$87,'Fórmula'!H94,10))+'Fórmula'!K94*(INDEX(properties!A$1:CB$87,'Fórmula'!J94,10))</f>
        <v>63</v>
      </c>
      <c r="AH94" s="106">
        <f t="array" ref="AH94">VARP(IF(INDEX(properties!A$1:CB$87,'Fórmula'!B94,10)&lt;&gt;"",INDEX(properties!A$1:CB$87,'Fórmula'!B94,10)),IF(INDEX(properties!A$1:CB$87,'Fórmula'!D94,10)&lt;&gt;"",INDEX(properties!A$1:CB$87,'Fórmula'!D94,10)),IF(INDEX(properties!A$1:CB$87,'Fórmula'!F94,10)&lt;&gt;"",INDEX(properties!A$1:CB$87,'Fórmula'!F94,10)),IF(INDEX(properties!A$1:CB$87,'Fórmula'!H94,10)&lt;&gt;"",INDEX(properties!A$1:CB$87,'Fórmula'!H94,10)),IF(INDEX(properties!A$1:CB$87,'Fórmula'!J94,10)&lt;&gt;"",INDEX(properties!A$1:CB$87,'Fórmula'!J94,10)))</f>
        <v>6.96</v>
      </c>
      <c r="AI94" s="106">
        <f t="array" ref="AI94">MAX(INDEX(properties!A$1:CB$87,'Fórmula'!B94,10),INDEX(properties!A$1:CB$87,'Fórmula'!D94,10),INDEX(properties!A$1:CB$87,'Fórmula'!F94,10),INDEX(properties!A$1:CB$87,'Fórmula'!H94,10),INDEX(properties!A$1:CB$87,'Fórmula'!J94,10))</f>
        <v>7</v>
      </c>
      <c r="AJ94" s="106">
        <f t="array" ref="AJ94">MIN(IF(INDEX(properties!A$1:CB$87,'Fórmula'!B94,10)=0,10^6,INDEX(properties!A$1:CB$87,'Fórmula'!B94,10)),IF(INDEX(properties!A$1:CB$87,'Fórmula'!D94,10)=0,10^6,INDEX(properties!A$1:CB$87,'Fórmula'!D94,10)),IF(INDEX(properties!A$1:CB$87,'Fórmula'!F94,10)=0,10^6,INDEX(properties!A$1:CB$87,'Fórmula'!F94,10)),IF(INDEX(properties!A$1:CB$87,'Fórmula'!H94,10)=0,10^6,INDEX(properties!A$1:CB$87,'Fórmula'!H94,10)),IF(INDEX(properties!A$1:CB$87,'Fórmula'!J94,10)=0,10^6,INDEX(properties!A$1:CB$87,'Fórmula'!J94,10)))</f>
        <v>3</v>
      </c>
      <c r="AK94" s="106">
        <f t="shared" si="6"/>
        <v>4</v>
      </c>
      <c r="AL94" s="107">
        <f t="array" ref="AL94">(('Fórmula'!C94)/('Fórmula'!C94+'Fórmula'!E94+'Fórmula'!G94+'Fórmula'!I94+'Fórmula'!K94))*(INDEX(properties!A$1:CB$87,'Fórmula'!B94,11))+(('Fórmula'!E94)/('Fórmula'!C94+'Fórmula'!E94+'Fórmula'!G94+'Fórmula'!I94+'Fórmula'!K94))*(INDEX(properties!A$1:CB$87,'Fórmula'!D94,11))+(('Fórmula'!G94)/('Fórmula'!C94+'Fórmula'!E94+'Fórmula'!G94+'Fórmula'!I94+'Fórmula'!K94))*(INDEX(properties!A$1:CB$87,'Fórmula'!F94,11))+(('Fórmula'!I94)/('Fórmula'!C94+'Fórmula'!E94+'Fórmula'!G94+'Fórmula'!I94+'Fórmula'!K94))*(INDEX(properties!A$1:CB$87,'Fórmula'!H94,11))+(('Fórmula'!K94)/('Fórmula'!C94+'Fórmula'!E94+'Fórmula'!G94+'Fórmula'!I94+'Fórmula'!K94))*(INDEX(properties!A$1:CB$87,'Fórmula'!J94,11))</f>
        <v>2</v>
      </c>
      <c r="AM94" s="107">
        <f t="array" ref="AM94">'Fórmula'!C94*(INDEX(properties!A$1:CB$87,'Fórmula'!B94,11))+'Fórmula'!E94*(INDEX(properties!A$1:CB$87,'Fórmula'!D94,11))+'Fórmula'!G94*(INDEX(properties!A$1:CB$87,'Fórmula'!F94,11))+'Fórmula'!I94*(INDEX(properties!A$1:CB$87,'Fórmula'!H94,11))+'Fórmula'!K94*(INDEX(properties!A$1:CB$87,'Fórmula'!J94,11))</f>
        <v>22</v>
      </c>
      <c r="AN94" s="107">
        <f t="array" ref="AN94">VARP(IF(INDEX(properties!A$1:CB$87,'Fórmula'!B94,11)&lt;&gt;"",INDEX(properties!A$1:CB$87,'Fórmula'!B94,11)),IF(INDEX(properties!A$1:CB$87,'Fórmula'!D94,11)&lt;&gt;"",INDEX(properties!A$1:CB$87,'Fórmula'!D94,11)),IF(INDEX(properties!A$1:CB$87,'Fórmula'!F94,11)&lt;&gt;"",INDEX(properties!A$1:CB$87,'Fórmula'!F94,11)),IF(INDEX(properties!A$1:CB$87,'Fórmula'!H94,11)&lt;&gt;"",INDEX(properties!A$1:CB$87,'Fórmula'!H94,11)),IF(INDEX(properties!A$1:CB$87,'Fórmula'!J94,11)&lt;&gt;"",INDEX(properties!A$1:CB$87,'Fórmula'!J94,11)))</f>
        <v>0.96</v>
      </c>
      <c r="AO94" s="107">
        <f t="array" ref="AO94">MAX(INDEX(properties!A$1:CB$87,'Fórmula'!B94,11),INDEX(properties!A$1:CB$87,'Fórmula'!D94,11),INDEX(properties!A$1:CB$87,'Fórmula'!F94,11),INDEX(properties!A$1:CB$87,'Fórmula'!H94,11),INDEX(properties!A$1:CB$87,'Fórmula'!J94,11))</f>
        <v>2</v>
      </c>
      <c r="AP94" s="107">
        <f t="array" ref="AP94">MIN(IF('Fórmula'!B94=87,10^6,INDEX(properties!A$1:CB$87,'Fórmula'!B94,11)),IF(('Fórmula'!D94)=87,10^6,INDEX(properties!A$1:CB$87,'Fórmula'!D94,11)),IF(('Fórmula'!F94)=87,10^6,INDEX(properties!A$1:CB$87,'Fórmula'!F94,11)),IF(('Fórmula'!H94)=87,10^6,INDEX(properties!A$1:CB$87,'Fórmula'!H94,11)),IF('Fórmula'!J94=87,10^6,INDEX(properties!A$1:CB$87,'Fórmula'!J94,11)))</f>
        <v>2</v>
      </c>
      <c r="AQ94" s="107">
        <f t="shared" si="7"/>
        <v>0</v>
      </c>
      <c r="AR94" s="108">
        <f t="array" ref="AR94">(('Fórmula'!C94)/('Fórmula'!C94+'Fórmula'!E94+'Fórmula'!G94+'Fórmula'!I94+'Fórmula'!K94))*(INDEX(properties!A$1:CB$87,'Fórmula'!B94,12))+(('Fórmula'!E94)/('Fórmula'!C94+'Fórmula'!E94+'Fórmula'!G94+'Fórmula'!I94+'Fórmula'!K94))*(INDEX(properties!A$1:CB$87,'Fórmula'!D94,12))+(('Fórmula'!G94)/('Fórmula'!C94+'Fórmula'!E94+'Fórmula'!G94+'Fórmula'!I94+'Fórmula'!K94))*(INDEX(properties!A$1:CB$87,'Fórmula'!F94,12))+(('Fórmula'!I94)/('Fórmula'!C94+'Fórmula'!E94+'Fórmula'!G94+'Fórmula'!I94+'Fórmula'!K94))*(INDEX(properties!A$1:CB$87,'Fórmula'!H94,12))+(('Fórmula'!K94)/('Fórmula'!C94+'Fórmula'!E94+'Fórmula'!G94+'Fórmula'!I94+'Fórmula'!K94))*(INDEX(properties!A$1:CB$87,'Fórmula'!J94,12))</f>
        <v>2.545454545</v>
      </c>
      <c r="AS94" s="108">
        <f t="array" ref="AS94">'Fórmula'!C94*(INDEX(properties!A$1:CB$87,'Fórmula'!B94,12))+'Fórmula'!E94*(INDEX(properties!A$1:CB$87,'Fórmula'!D94,12))+'Fórmula'!G94*(INDEX(properties!A$1:CB$87,'Fórmula'!F94,12))+'Fórmula'!I94*(INDEX(properties!A$1:CB$87,'Fórmula'!H94,12))+'Fórmula'!K94*(INDEX(properties!A$1:CB$87,'Fórmula'!J94,12))</f>
        <v>28</v>
      </c>
      <c r="AT94" s="108">
        <f t="array" ref="AT94">VARP(IF(INDEX(properties!A$1:CB$87,'Fórmula'!B94,12)&lt;&gt;"",INDEX(properties!A$1:CB$87,'Fórmula'!B94,12)),IF(INDEX(properties!A$1:CB$87,'Fórmula'!D94,12)&lt;&gt;"",INDEX(properties!A$1:CB$87,'Fórmula'!D94,12)),IF(INDEX(properties!A$1:CB$87,'Fórmula'!F94,12)&lt;&gt;"",INDEX(properties!A$1:CB$87,'Fórmula'!F94,12)),IF(INDEX(properties!A$1:CB$87,'Fórmula'!H94,12)&lt;&gt;"",INDEX(properties!A$1:CB$87,'Fórmula'!H94,12)),IF(INDEX(properties!A$1:CB$87,'Fórmula'!J94,12)&lt;&gt;"",INDEX(properties!A$1:CB$87,'Fórmula'!J94,12)))</f>
        <v>2.56</v>
      </c>
      <c r="AU94" s="108">
        <f t="array" ref="AU94">MAX(INDEX(properties!A$1:CB$87,'Fórmula'!B94,12),INDEX(properties!A$1:CB$87,'Fórmula'!D94,12),INDEX(properties!A$1:CB$87,'Fórmula'!F94,12),INDEX(properties!A$1:CB$87,'Fórmula'!H94,12),INDEX(properties!A$1:CB$87,'Fórmula'!J94,12))</f>
        <v>4</v>
      </c>
      <c r="AV94" s="108">
        <f t="array" ref="AV94">MIN(IF('Fórmula'!B94=87,10^6,INDEX(properties!A$1:CB$87,'Fórmula'!B94,12)),IF(('Fórmula'!D94)=87,10^6,INDEX(properties!A$1:CB$87,'Fórmula'!D94,12)),IF(('Fórmula'!F94)=87,10^6,INDEX(properties!A$1:CB$87,'Fórmula'!F94,12)),IF(('Fórmula'!H94)=87,10^6,INDEX(properties!A$1:CB$87,'Fórmula'!H94,12)),IF('Fórmula'!J94=87,10^6,INDEX(properties!A$1:CB$87,'Fórmula'!J94,12)))</f>
        <v>0</v>
      </c>
      <c r="AW94" s="108">
        <f t="shared" si="8"/>
        <v>4</v>
      </c>
      <c r="AX94" s="109">
        <f t="array" ref="AX94">(('Fórmula'!C94)/('Fórmula'!C94+'Fórmula'!E94+'Fórmula'!G94+'Fórmula'!I94+'Fórmula'!K94))*(INDEX(properties!A$1:CB$87,'Fórmula'!B94,13))+(('Fórmula'!E94)/('Fórmula'!C94+'Fórmula'!E94+'Fórmula'!G94+'Fórmula'!I94+'Fórmula'!K94))*(INDEX(properties!A$1:CB$87,'Fórmula'!D94,13))+(('Fórmula'!G94)/('Fórmula'!C94+'Fórmula'!E94+'Fórmula'!G94+'Fórmula'!I94+'Fórmula'!K94))*(INDEX(properties!A$1:CB$87,'Fórmula'!F94,13))+(('Fórmula'!I94)/('Fórmula'!C94+'Fórmula'!E94+'Fórmula'!G94+'Fórmula'!I94+'Fórmula'!K94))*(INDEX(properties!A$1:CB$87,'Fórmula'!H94,13))+(('Fórmula'!K94)/('Fórmula'!C94+'Fórmula'!E94+'Fórmula'!G94+'Fórmula'!I94+'Fórmula'!K94))*(INDEX(properties!A$1:CB$87,'Fórmula'!J94,13))</f>
        <v>0.5454545455</v>
      </c>
      <c r="AY94" s="109">
        <f t="array" ref="AY94">'Fórmula'!C94*(INDEX(properties!A$1:CB$87,'Fórmula'!B94,13))+'Fórmula'!E94*(INDEX(properties!A$1:CB$87,'Fórmula'!D94,13))+'Fórmula'!G94*(INDEX(properties!A$1:CB$87,'Fórmula'!F94,13))+'Fórmula'!I94*(INDEX(properties!A$1:CB$87,'Fórmula'!H94,13))+'Fórmula'!K94*(INDEX(properties!A$1:CB$87,'Fórmula'!J94,13))</f>
        <v>6</v>
      </c>
      <c r="AZ94" s="109">
        <f t="array" ref="AZ94">VARP(IF(INDEX(properties!A$1:CB$87,'Fórmula'!B94,13)&lt;&gt;"",INDEX(properties!A$1:CB$87,'Fórmula'!B94,13)),IF(INDEX(properties!A$1:CB$87,'Fórmula'!D94,13)&lt;&gt;"",INDEX(properties!A$1:CB$87,'Fórmula'!D94,13)),IF(INDEX(properties!A$1:CB$87,'Fórmula'!F94,13)&lt;&gt;"",INDEX(properties!A$1:CB$87,'Fórmula'!F94,13)),IF(INDEX(properties!A$1:CB$87,'Fórmula'!H94,13)&lt;&gt;"",INDEX(properties!A$1:CB$87,'Fórmula'!H94,13)),IF(INDEX(properties!A$1:CB$87,'Fórmula'!J94,13)&lt;&gt;"",INDEX(properties!A$1:CB$87,'Fórmula'!J94,13)))</f>
        <v>0.64</v>
      </c>
      <c r="BA94" s="109">
        <f t="array" ref="BA94">MAX(INDEX(properties!A$1:CB$87,'Fórmula'!B94,13),INDEX(properties!A$1:CB$87,'Fórmula'!D94,13),INDEX(properties!A$1:CB$87,'Fórmula'!F94,13),INDEX(properties!A$1:CB$87,'Fórmula'!H94,13),INDEX(properties!A$1:CB$87,'Fórmula'!J94,13))</f>
        <v>2</v>
      </c>
      <c r="BB94" s="109">
        <f t="array" ref="BB94">MIN(IF('Fórmula'!B94=87,10^6,INDEX(properties!A$1:CB$87,'Fórmula'!B94,13)),IF(('Fórmula'!D94)=87,10^6,INDEX(properties!A$1:CB$87,'Fórmula'!D94,13)),IF(('Fórmula'!F94)=87,10^6,INDEX(properties!A$1:CB$87,'Fórmula'!F94,13)),IF(('Fórmula'!H94)=87,10^6,INDEX(properties!A$1:CB$87,'Fórmula'!H94,13)),IF('Fórmula'!J94=87,10^6,INDEX(properties!A$1:CB$87,'Fórmula'!J94,13)))</f>
        <v>0</v>
      </c>
      <c r="BC94" s="109">
        <f t="shared" si="9"/>
        <v>2</v>
      </c>
      <c r="BD94" s="110">
        <f t="array" ref="BD94">(('Fórmula'!C94)/('Fórmula'!C94+'Fórmula'!E94+'Fórmula'!G94+'Fórmula'!I94+'Fórmula'!K94))*(INDEX(properties!A$1:CB$87,'Fórmula'!B94,14))+(('Fórmula'!E94)/('Fórmula'!C94+'Fórmula'!E94+'Fórmula'!G94+'Fórmula'!I94+'Fórmula'!K94))*(INDEX(properties!A$1:CB$87,'Fórmula'!D94,14))+(('Fórmula'!G94)/('Fórmula'!C94+'Fórmula'!E94+'Fórmula'!G94+'Fórmula'!I94+'Fórmula'!K94))*(INDEX(properties!A$1:CB$87,'Fórmula'!F94,14))+(('Fórmula'!I94)/('Fórmula'!C94+'Fórmula'!E94+'Fórmula'!G94+'Fórmula'!I94+'Fórmula'!K94))*(INDEX(properties!A$1:CB$87,'Fórmula'!H94,14))+(('Fórmula'!K94)/('Fórmula'!C94+'Fórmula'!E94+'Fórmula'!G94+'Fórmula'!I94+'Fórmula'!K94))*(INDEX(properties!A$1:CB$87,'Fórmula'!J94,14))</f>
        <v>0</v>
      </c>
      <c r="BE94" s="110">
        <f t="array" ref="BE94">'Fórmula'!C94*(INDEX(properties!A$1:CB$87,'Fórmula'!B94,14))+'Fórmula'!E94*(INDEX(properties!A$1:CB$87,'Fórmula'!D94,14))+'Fórmula'!G94*(INDEX(properties!A$1:CB$87,'Fórmula'!F94,14))+'Fórmula'!I94*(INDEX(properties!A$1:CB$87,'Fórmula'!H94,14))+'Fórmula'!K94*(INDEX(properties!A$1:CB$87,'Fórmula'!J94,14))</f>
        <v>0</v>
      </c>
      <c r="BF94" s="110">
        <f t="array" ref="BF94">VARP(IF(INDEX(properties!A$1:CB$87,'Fórmula'!B94,14)&lt;&gt;"",INDEX(properties!A$1:CB$87,'Fórmula'!B94,14)),IF(INDEX(properties!A$1:CB$87,'Fórmula'!D94,14)&lt;&gt;"",INDEX(properties!A$1:CB$87,'Fórmula'!D94,14)),IF(INDEX(properties!A$1:CB$87,'Fórmula'!F94,14)&lt;&gt;"",INDEX(properties!A$1:CB$87,'Fórmula'!F94,14)),IF(INDEX(properties!A$1:CB$87,'Fórmula'!H94,14)&lt;&gt;"",INDEX(properties!A$1:CB$87,'Fórmula'!H94,14)),IF(INDEX(properties!A$1:CB$87,'Fórmula'!J94,14)&lt;&gt;"",INDEX(properties!A$1:CB$87,'Fórmula'!J94,14)))</f>
        <v>0</v>
      </c>
      <c r="BG94" s="110">
        <f t="array" ref="BG94">MAX(INDEX(properties!A$1:CB$87,'Fórmula'!B94,14),INDEX(properties!A$1:CB$87,'Fórmula'!D94,14),INDEX(properties!A$1:CB$87,'Fórmula'!F94,14),INDEX(properties!A$1:CB$87,'Fórmula'!H94,14),INDEX(properties!A$1:CB$87,'Fórmula'!J94,14))</f>
        <v>0</v>
      </c>
      <c r="BH94" s="110">
        <f t="array" ref="BH94">MIN(IF('Fórmula'!B94=87,10^6,INDEX(properties!A$1:CB$87,'Fórmula'!B94,14)),IF(('Fórmula'!D94)=87,10^6,INDEX(properties!A$1:CB$87,'Fórmula'!D94,14)),IF(('Fórmula'!F94)=87,10^6,INDEX(properties!A$1:CB$87,'Fórmula'!F94,14)),IF(('Fórmula'!H94)=87,10^6,INDEX(properties!A$1:CB$87,'Fórmula'!H94,14)),IF('Fórmula'!J94=87,10^6,INDEX(properties!A$1:CB$87,'Fórmula'!J94,14)))</f>
        <v>0</v>
      </c>
      <c r="BI94" s="110">
        <f t="shared" si="10"/>
        <v>0</v>
      </c>
      <c r="BJ94" s="111">
        <f t="array" ref="BJ94">(('Fórmula'!C94)/('Fórmula'!C94+'Fórmula'!E94+'Fórmula'!G94+'Fórmula'!I94+'Fórmula'!K94))*(INDEX(properties!A$1:CB$87,'Fórmula'!B94,19))+(('Fórmula'!E94)/('Fórmula'!C94+'Fórmula'!E94+'Fórmula'!G94+'Fórmula'!I94+'Fórmula'!K94))*(INDEX(properties!A$1:CB$87,'Fórmula'!D94,19))+(('Fórmula'!G94)/('Fórmula'!C94+'Fórmula'!E94+'Fórmula'!G94+'Fórmula'!I94+'Fórmula'!K94))*(INDEX(properties!A$1:CB$87,'Fórmula'!F94,19))+(('Fórmula'!I94)/('Fórmula'!C94+'Fórmula'!E94+'Fórmula'!G94+'Fórmula'!I94+'Fórmula'!K94))*(INDEX(properties!A$1:CB$87,'Fórmula'!H94,19))+(('Fórmula'!K94)/('Fórmula'!C94+'Fórmula'!E94+'Fórmula'!G94+'Fórmula'!I94+'Fórmula'!K94))*(INDEX(properties!A$1:CB$87,'Fórmula'!J94,19))</f>
        <v>5.090909091</v>
      </c>
      <c r="BK94" s="111">
        <f t="array" ref="BK94">'Fórmula'!C94*(INDEX(properties!A$1:CB$87,'Fórmula'!B94,19))+'Fórmula'!E94*(INDEX(properties!A$1:CB$87,'Fórmula'!D94,19))+'Fórmula'!G94*(INDEX(properties!A$1:CB$87,'Fórmula'!F94,19))+'Fórmula'!I94*(INDEX(properties!A$1:CB$87,'Fórmula'!H94,19))+'Fórmula'!K94*(INDEX(properties!A$1:CB$87,'Fórmula'!J94,19))</f>
        <v>56</v>
      </c>
      <c r="BL94" s="111">
        <f t="array" ref="BL94">VARP(IF(INDEX(properties!A$1:CB$87,'Fórmula'!B94,19)&lt;&gt;"",INDEX(properties!A$1:CB$87,'Fórmula'!B94,19)),IF(INDEX(properties!A$1:CB$87,'Fórmula'!D94,19)&lt;&gt;"",INDEX(properties!A$1:CB$87,'Fórmula'!D94,19)),IF(INDEX(properties!A$1:CB$87,'Fórmula'!F94,19)&lt;&gt;"",INDEX(properties!A$1:CB$87,'Fórmula'!F94,19)),IF(INDEX(properties!A$1:CB$87,'Fórmula'!H94,19)&lt;&gt;"",INDEX(properties!A$1:CB$87,'Fórmula'!H94,19)),IF(INDEX(properties!A$1:CB$87,'Fórmula'!J94,19)&lt;&gt;"",INDEX(properties!A$1:CB$87,'Fórmula'!J94,19)))</f>
        <v>5.44</v>
      </c>
      <c r="BM94" s="111">
        <f t="array" ref="BM94">MAX(INDEX(properties!A$1:CB$87,'Fórmula'!B94,19),INDEX(properties!A$1:CB$87,'Fórmula'!D94,19),INDEX(properties!A$1:CB$87,'Fórmula'!F94,19),INDEX(properties!A$1:CB$87,'Fórmula'!H94,19),INDEX(properties!A$1:CB$87,'Fórmula'!J94,19))</f>
        <v>6</v>
      </c>
      <c r="BN94" s="111">
        <f t="array" ref="BN94">MIN(IF(INDEX(properties!A$1:CB$87,'Fórmula'!B94,19)=0,10^6,INDEX(properties!A$1:CB$87,'Fórmula'!B94,19)),IF(INDEX(properties!A$1:CB$87,'Fórmula'!D94,19)=0,10^6,INDEX(properties!A$1:CB$87,'Fórmula'!D94,19)),IF(INDEX(properties!A$1:CB$87,'Fórmula'!F94,19)=0,10^6,INDEX(properties!A$1:CB$87,'Fórmula'!F94,19)),IF(INDEX(properties!A$1:CB$87,'Fórmula'!H94,19)=0,10^6,INDEX(properties!A$1:CB$87,'Fórmula'!H94,19)),IF(INDEX(properties!A$1:CB$87,'Fórmula'!J94,19)=0,10^6,INDEX(properties!A$1:CB$87,'Fórmula'!J94,19)))</f>
        <v>3</v>
      </c>
      <c r="BO94" s="111">
        <f t="shared" si="11"/>
        <v>3</v>
      </c>
      <c r="BP94" s="112">
        <f t="array" ref="BP94">(('Fórmula'!C94)/('Fórmula'!C94+'Fórmula'!E94+'Fórmula'!G94+'Fórmula'!I94+'Fórmula'!K94))*(INDEX(properties!A$1:CB$87,'Fórmula'!B94,20))+(('Fórmula'!E94)/('Fórmula'!C94+'Fórmula'!E94+'Fórmula'!G94+'Fórmula'!I94+'Fórmula'!K94))*(INDEX(properties!A$1:CB$87,'Fórmula'!D94,20))+(('Fórmula'!G94)/('Fórmula'!C94+'Fórmula'!E94+'Fórmula'!G94+'Fórmula'!I94+'Fórmula'!K94))*(INDEX(properties!A$1:CB$87,'Fórmula'!F94,20))+(('Fórmula'!I94)/('Fórmula'!C94+'Fórmula'!E94+'Fórmula'!G94+'Fórmula'!I94+'Fórmula'!K94))*(INDEX(properties!A$1:CB$87,'Fórmula'!H94,20))+(('Fórmula'!K94)/('Fórmula'!C94+'Fórmula'!E94+'Fórmula'!G94+'Fórmula'!I94+'Fórmula'!K94))*(INDEX(properties!A$1:CB$87,'Fórmula'!J94,20))</f>
        <v>4.545454545</v>
      </c>
      <c r="BQ94" s="112">
        <f t="array" ref="BQ94">'Fórmula'!C94*(INDEX(properties!A$1:CB$87,'Fórmula'!B94,20))+'Fórmula'!E94*(INDEX(properties!A$1:CB$87,'Fórmula'!D94,20))+'Fórmula'!G94*(INDEX(properties!A$1:CB$87,'Fórmula'!F94,20))+'Fórmula'!I94*(INDEX(properties!A$1:CB$87,'Fórmula'!H94,20))+'Fórmula'!K94*(INDEX(properties!A$1:CB$87,'Fórmula'!J94,20))</f>
        <v>50</v>
      </c>
      <c r="BR94" s="112">
        <f t="array" ref="BR94">VARP(IF(INDEX(properties!A$1:CB$87,'Fórmula'!B94,20)&lt;&gt;"",INDEX(properties!A$1:CB$87,'Fórmula'!B94,20)),IF(INDEX(properties!A$1:CB$87,'Fórmula'!D94,20)&lt;&gt;"",INDEX(properties!A$1:CB$87,'Fórmula'!D94,20)),IF(INDEX(properties!A$1:CB$87,'Fórmula'!F94,20)&lt;&gt;"",INDEX(properties!A$1:CB$87,'Fórmula'!F94,20)),IF(INDEX(properties!A$1:CB$87,'Fórmula'!H94,20)&lt;&gt;"",INDEX(properties!A$1:CB$87,'Fórmula'!H94,20)),IF(INDEX(properties!A$1:CB$87,'Fórmula'!J94,20)&lt;&gt;"",INDEX(properties!A$1:CB$87,'Fórmula'!J94,20)))</f>
        <v>4.8</v>
      </c>
      <c r="BS94" s="112">
        <f t="array" ref="BS94">MAX(INDEX(properties!A$1:CB$87,'Fórmula'!B94,20),INDEX(properties!A$1:CB$87,'Fórmula'!D94,20),INDEX(properties!A$1:CB$87,'Fórmula'!F94,20),INDEX(properties!A$1:CB$87,'Fórmula'!H94,20),INDEX(properties!A$1:CB$87,'Fórmula'!J94,20))</f>
        <v>6</v>
      </c>
      <c r="BT94" s="112">
        <f t="array" ref="BT94">MIN(IF(INDEX(properties!A$1:CB$87,'Fórmula'!B94,20)=0,10^6,INDEX(properties!A$1:CB$87,'Fórmula'!B94,20)),IF(INDEX(properties!A$1:CB$87,'Fórmula'!D94,20)=0,10^6,INDEX(properties!A$1:CB$87,'Fórmula'!D94,20)),IF(INDEX(properties!A$1:CB$87,'Fórmula'!F94,20)=0,10^6,INDEX(properties!A$1:CB$87,'Fórmula'!F94,20)),IF(INDEX(properties!A$1:CB$87,'Fórmula'!H94,20)=0,10^6,INDEX(properties!A$1:CB$87,'Fórmula'!H94,20)),IF(INDEX(properties!A$1:CB$87,'Fórmula'!J94,20)=0,10^6,INDEX(properties!A$1:CB$87,'Fórmula'!J94,20)))</f>
        <v>2</v>
      </c>
      <c r="BU94" s="112">
        <f t="shared" si="12"/>
        <v>4</v>
      </c>
      <c r="BV94" s="113">
        <f t="array" ref="BV94">(('Fórmula'!C94)/('Fórmula'!C94+'Fórmula'!E94+'Fórmula'!G94+'Fórmula'!I94+'Fórmula'!K94))*(INDEX(properties!A$1:CB$87,'Fórmula'!B94,21))+(('Fórmula'!E94)/('Fórmula'!C94+'Fórmula'!E94+'Fórmula'!G94+'Fórmula'!I94+'Fórmula'!K94))*(INDEX(properties!A$1:CB$87,'Fórmula'!D94,21))+(('Fórmula'!G94)/('Fórmula'!C94+'Fórmula'!E94+'Fórmula'!G94+'Fórmula'!I94+'Fórmula'!K94))*(INDEX(properties!A$1:CB$87,'Fórmula'!F94,21))+(('Fórmula'!I94)/('Fórmula'!C94+'Fórmula'!E94+'Fórmula'!G94+'Fórmula'!I94+'Fórmula'!K94))*(INDEX(properties!A$1:CB$87,'Fórmula'!H94,21))+(('Fórmula'!K94)/('Fórmula'!C94+'Fórmula'!E94+'Fórmula'!G94+'Fórmula'!I94+'Fórmula'!K94))*(INDEX(properties!A$1:CB$87,'Fórmula'!J94,21))</f>
        <v>4.363636364</v>
      </c>
      <c r="BW94" s="113">
        <f t="array" ref="BW94">'Fórmula'!C94*(INDEX(properties!A$1:CB$87,'Fórmula'!B94,21))+'Fórmula'!E94*(INDEX(properties!A$1:CB$87,'Fórmula'!D94,21))+'Fórmula'!G94*(INDEX(properties!A$1:CB$87,'Fórmula'!F94,21))+'Fórmula'!I94*(INDEX(properties!A$1:CB$87,'Fórmula'!H94,21))+'Fórmula'!K94*(INDEX(properties!A$1:CB$87,'Fórmula'!J94,21))</f>
        <v>48</v>
      </c>
      <c r="BX94" s="113">
        <f t="array" ref="BX94">VARP(IF(INDEX(properties!A$1:CB$87,'Fórmula'!B94,21)&lt;&gt;"",INDEX(properties!A$1:CB$87,'Fórmula'!B94,21)),IF(INDEX(properties!A$1:CB$87,'Fórmula'!D94,21)&lt;&gt;"",INDEX(properties!A$1:CB$87,'Fórmula'!D94,21)),IF(INDEX(properties!A$1:CB$87,'Fórmula'!F94,21)&lt;&gt;"",INDEX(properties!A$1:CB$87,'Fórmula'!F94,21)),IF(INDEX(properties!A$1:CB$87,'Fórmula'!H94,21)&lt;&gt;"",INDEX(properties!A$1:CB$87,'Fórmula'!H94,21)),IF(INDEX(properties!A$1:CB$87,'Fórmula'!J94,21)&lt;&gt;"",INDEX(properties!A$1:CB$87,'Fórmula'!J94,21)))</f>
        <v>4.96</v>
      </c>
      <c r="BY94" s="113">
        <f t="array" ref="BY94">MAX(INDEX(properties!A$1:CB$87,'Fórmula'!B94,21),INDEX(properties!A$1:CB$87,'Fórmula'!D94,21),INDEX(properties!A$1:CB$87,'Fórmula'!F94,21),INDEX(properties!A$1:CB$87,'Fórmula'!H94,21),INDEX(properties!A$1:CB$87,'Fórmula'!J94,21))</f>
        <v>6</v>
      </c>
      <c r="BZ94" s="113">
        <f t="array" ref="BZ94">MIN(IF(INDEX(properties!A$1:CB$87,'Fórmula'!B94,21)=0,10^6,INDEX(properties!A$1:CB$87,'Fórmula'!B94,21)),IF(INDEX(properties!A$1:CB$87,'Fórmula'!D94,21)=0,10^6,INDEX(properties!A$1:CB$87,'Fórmula'!D94,21)),IF(INDEX(properties!A$1:CB$87,'Fórmula'!F94,21)=0,10^6,INDEX(properties!A$1:CB$87,'Fórmula'!F94,21)),IF(INDEX(properties!A$1:CB$87,'Fórmula'!H94,21)=0,10^6,INDEX(properties!A$1:CB$87,'Fórmula'!H94,21)),IF(INDEX(properties!A$1:CB$87,'Fórmula'!J94,21)=0,10^6,INDEX(properties!A$1:CB$87,'Fórmula'!J94,21)))</f>
        <v>1</v>
      </c>
      <c r="CA94" s="113">
        <f t="shared" si="13"/>
        <v>5</v>
      </c>
      <c r="CB94" s="114">
        <f t="array" ref="CB94">(('Fórmula'!C94)/('Fórmula'!C94+'Fórmula'!E94+'Fórmula'!G94+'Fórmula'!I94+'Fórmula'!K94))*(INDEX(properties!A$1:CB$87,'Fórmula'!B94,23))+(('Fórmula'!E94)/('Fórmula'!C94+'Fórmula'!E94+'Fórmula'!G94+'Fórmula'!I94+'Fórmula'!K94))*(INDEX(properties!A$1:CB$87,'Fórmula'!D94,23))+(('Fórmula'!G94)/('Fórmula'!C94+'Fórmula'!E94+'Fórmula'!G94+'Fórmula'!I94+'Fórmula'!K94))*(INDEX(properties!A$1:CB$87,'Fórmula'!F94,23))+(('Fórmula'!I94)/('Fórmula'!C94+'Fórmula'!E94+'Fórmula'!G94+'Fórmula'!I94+'Fórmula'!K94))*(INDEX(properties!A$1:CB$87,'Fórmula'!H94,23))+(('Fórmula'!K94)/('Fórmula'!C94+'Fórmula'!E94+'Fórmula'!G94+'Fórmula'!I94+'Fórmula'!K94))*(INDEX(properties!A$1:CB$87,'Fórmula'!J94,23))</f>
        <v>1.272727273</v>
      </c>
      <c r="CC94" s="114">
        <f t="array" ref="CC94">'Fórmula'!C94*(INDEX(properties!A$1:CB$87,'Fórmula'!B94,23))+'Fórmula'!E94*(INDEX(properties!A$1:CB$87,'Fórmula'!D94,23))+'Fórmula'!G94*(INDEX(properties!A$1:CB$87,'Fórmula'!F94,23))+'Fórmula'!I94*(INDEX(properties!A$1:CB$87,'Fórmula'!H94,23))+'Fórmula'!K94*(INDEX(properties!A$1:CB$87,'Fórmula'!J94,23))</f>
        <v>14</v>
      </c>
      <c r="CD94" s="114">
        <f t="array" ref="CD94">VARP(IF(INDEX(properties!A$1:CB$87,'Fórmula'!B94,23)&lt;&gt;"",INDEX(properties!A$1:CB$87,'Fórmula'!B94,23)),IF(INDEX(properties!A$1:CB$87,'Fórmula'!D94,23)&lt;&gt;"",INDEX(properties!A$1:CB$87,'Fórmula'!D94,23)),IF(INDEX(properties!A$1:CB$87,'Fórmula'!F94,23)&lt;&gt;"",INDEX(properties!A$1:CB$87,'Fórmula'!F94,23)),IF(INDEX(properties!A$1:CB$87,'Fórmula'!H94,23)&lt;&gt;"",INDEX(properties!A$1:CB$87,'Fórmula'!H94,23)),IF(INDEX(properties!A$1:CB$87,'Fórmula'!J94,23)&lt;&gt;"",INDEX(properties!A$1:CB$87,'Fórmula'!J94,23)))</f>
        <v>3.04</v>
      </c>
      <c r="CE94" s="114">
        <f t="array" ref="CE94">MAX(INDEX(properties!A$1:CB$87,'Fórmula'!B94,23),INDEX(properties!A$1:CB$87,'Fórmula'!D94,23),INDEX(properties!A$1:CB$87,'Fórmula'!F94,23),INDEX(properties!A$1:CB$87,'Fórmula'!H94,23),INDEX(properties!A$1:CB$87,'Fórmula'!J94,23))</f>
        <v>4</v>
      </c>
      <c r="CF94" s="114">
        <f t="array" ref="CF94">MIN(IF('Fórmula'!B94=87,10^6,INDEX(properties!A$1:CB$87,'Fórmula'!B94,23)),IF(('Fórmula'!D94)=87,10^6,INDEX(properties!A$1:CB$87,'Fórmula'!D94,23)),IF(('Fórmula'!F94)=87,10^6,INDEX(properties!A$1:CB$87,'Fórmula'!F94,23)),IF(('Fórmula'!H94)=87,10^6,INDEX(properties!A$1:CB$87,'Fórmula'!H94,23)),IF('Fórmula'!J94=87,10^6,INDEX(properties!A$1:CB$87,'Fórmula'!J94,23)))</f>
        <v>0</v>
      </c>
      <c r="CG94" s="114">
        <f t="shared" si="14"/>
        <v>4</v>
      </c>
      <c r="CH94" s="115">
        <f t="array" ref="CH94">(('Fórmula'!C94)/('Fórmula'!C94+'Fórmula'!E94+'Fórmula'!G94+'Fórmula'!I94+'Fórmula'!K94))*(INDEX(properties!A$1:CB$87,'Fórmula'!B94,26))+(('Fórmula'!E94)/('Fórmula'!C94+'Fórmula'!E94+'Fórmula'!G94+'Fórmula'!I94+'Fórmula'!K94))*(INDEX(properties!A$1:CB$87,'Fórmula'!D94,26))+(('Fórmula'!G94)/('Fórmula'!C94+'Fórmula'!E94+'Fórmula'!G94+'Fórmula'!I94+'Fórmula'!K94))*(INDEX(properties!A$1:CB$87,'Fórmula'!F94,26))+(('Fórmula'!I94)/('Fórmula'!C94+'Fórmula'!E94+'Fórmula'!G94+'Fórmula'!I94+'Fórmula'!K94))*(INDEX(properties!A$1:CB$87,'Fórmula'!H94,26))+(('Fórmula'!K94)/('Fórmula'!C94+'Fórmula'!E94+'Fórmula'!G94+'Fórmula'!I94+'Fórmula'!K94))*(INDEX(properties!A$1:CB$87,'Fórmula'!J94,26))</f>
        <v>10.92151818</v>
      </c>
      <c r="CI94" s="115">
        <f t="array" ref="CI94">'Fórmula'!C94*(INDEX(properties!A$1:CB$87,'Fórmula'!B94,26))+'Fórmula'!E94*(INDEX(properties!A$1:CB$87,'Fórmula'!D94,26))+'Fórmula'!G94*(INDEX(properties!A$1:CB$87,'Fórmula'!F94,26))+'Fórmula'!I94*(INDEX(properties!A$1:CB$87,'Fórmula'!H94,26))+'Fórmula'!K94*(INDEX(properties!A$1:CB$87,'Fórmula'!J94,26))</f>
        <v>120.1367</v>
      </c>
      <c r="CJ94" s="115">
        <f t="array" ref="CJ94">VARP(IF(INDEX(properties!A$1:CB$87,'Fórmula'!B94,26)&lt;&gt;"",INDEX(properties!A$1:CB$87,'Fórmula'!B94,26)),IF(INDEX(properties!A$1:CB$87,'Fórmula'!D94,26)&lt;&gt;"",INDEX(properties!A$1:CB$87,'Fórmula'!D94,26)),IF(INDEX(properties!A$1:CB$87,'Fórmula'!F94,26)&lt;&gt;"",INDEX(properties!A$1:CB$87,'Fórmula'!F94,26)),IF(INDEX(properties!A$1:CB$87,'Fórmula'!H94,26)&lt;&gt;"",INDEX(properties!A$1:CB$87,'Fórmula'!H94,26)),IF(INDEX(properties!A$1:CB$87,'Fórmula'!J94,26)&lt;&gt;"",INDEX(properties!A$1:CB$87,'Fórmula'!J94,26)))</f>
        <v>25.54741282</v>
      </c>
      <c r="CK94" s="116">
        <f t="array" ref="CK94">MAX(INDEX(properties!A$1:CB$87,'Fórmula'!B94,26),INDEX(properties!A$1:CB$87,'Fórmula'!D94,26),INDEX(properties!A$1:CB$87,'Fórmula'!F94,26),INDEX(properties!A$1:CB$87,'Fórmula'!H94,26),INDEX(properties!A$1:CB$87,'Fórmula'!J94,26))</f>
        <v>13.6181</v>
      </c>
      <c r="CL94" s="116">
        <f t="array" ref="CL94">MIN(IF(INDEX(properties!A$1:CB$87,'Fórmula'!B94,26)=0,10^6,INDEX(properties!A$1:CB$87,'Fórmula'!B94,26)),IF(INDEX(properties!A$1:CB$87,'Fórmula'!D94,26)=0,10^6,INDEX(properties!A$1:CB$87,'Fórmula'!D94,26)),IF(INDEX(properties!A$1:CB$87,'Fórmula'!F94,26)=0,10^6,INDEX(properties!A$1:CB$87,'Fórmula'!F94,26)),IF(INDEX(properties!A$1:CB$87,'Fórmula'!H94,26)=0,10^6,INDEX(properties!A$1:CB$87,'Fórmula'!H94,26)),IF(INDEX(properties!A$1:CB$87,'Fórmula'!J94,26)=0,10^6,INDEX(properties!A$1:CB$87,'Fórmula'!J94,26)))</f>
        <v>5.5769</v>
      </c>
      <c r="CM94" s="115">
        <f t="shared" si="15"/>
        <v>8.0412</v>
      </c>
      <c r="CN94" s="117">
        <f t="array" ref="CN94">(('Fórmula'!C94)/('Fórmula'!C94+'Fórmula'!E94+'Fórmula'!G94+'Fórmula'!I94+'Fórmula'!K94))*(INDEX(properties!A$1:CB$87,'Fórmula'!B94,30))+(('Fórmula'!E94)/('Fórmula'!C94+'Fórmula'!E94+'Fórmula'!G94+'Fórmula'!I94+'Fórmula'!K94))*(INDEX(properties!A$1:CB$87,'Fórmula'!D94,30))+(('Fórmula'!G94)/('Fórmula'!C94+'Fórmula'!E94+'Fórmula'!G94+'Fórmula'!I94+'Fórmula'!K94))*(INDEX(properties!A$1:CB$87,'Fórmula'!F94,30))+(('Fórmula'!I94)/('Fórmula'!C94+'Fórmula'!E94+'Fórmula'!G94+'Fórmula'!I94+'Fórmula'!K94))*(INDEX(properties!A$1:CB$87,'Fórmula'!H94,30))+(('Fórmula'!K94)/('Fórmula'!C94+'Fórmula'!E94+'Fórmula'!G94+'Fórmula'!I94+'Fórmula'!K94))*(INDEX(properties!A$1:CB$87,'Fórmula'!J94,30))</f>
        <v>2.669090909</v>
      </c>
      <c r="CO94" s="117">
        <f t="array" ref="CO94">'Fórmula'!C94*(INDEX(properties!A$1:CB$87,'Fórmula'!B94,30))+'Fórmula'!E94*(INDEX(properties!A$1:CB$87,'Fórmula'!D94,30))+'Fórmula'!G94*(INDEX(properties!A$1:CB$87,'Fórmula'!F94,30))+'Fórmula'!I94*(INDEX(properties!A$1:CB$87,'Fórmula'!H94,30))+'Fórmula'!K94*(INDEX(properties!A$1:CB$87,'Fórmula'!J94,30))</f>
        <v>29.36</v>
      </c>
      <c r="CP94" s="117">
        <f t="array" ref="CP94">VARP(IF(INDEX(properties!A$1:CB$87,'Fórmula'!B94,30)&lt;&gt;"",INDEX(properties!A$1:CB$87,'Fórmula'!B94,30)),IF(INDEX(properties!A$1:CB$87,'Fórmula'!D94,30)&lt;&gt;"",INDEX(properties!A$1:CB$87,'Fórmula'!D94,30)),IF(INDEX(properties!A$1:CB$87,'Fórmula'!F94,30)&lt;&gt;"",INDEX(properties!A$1:CB$87,'Fórmula'!F94,30)),IF(INDEX(properties!A$1:CB$87,'Fórmula'!H94,30)&lt;&gt;"",INDEX(properties!A$1:CB$87,'Fórmula'!H94,30)),IF(INDEX(properties!A$1:CB$87,'Fórmula'!J94,30)&lt;&gt;"",INDEX(properties!A$1:CB$87,'Fórmula'!J94,30)))</f>
        <v>1.604384</v>
      </c>
      <c r="CQ94" s="117">
        <f t="array" ref="CQ94">MAX(INDEX(properties!A$1:CB$87,'Fórmula'!B94,30),INDEX(properties!A$1:CB$87,'Fórmula'!D94,30),INDEX(properties!A$1:CB$87,'Fórmula'!F94,30),INDEX(properties!A$1:CB$87,'Fórmula'!H94,30),INDEX(properties!A$1:CB$87,'Fórmula'!J94,30))</f>
        <v>3.44</v>
      </c>
      <c r="CR94" s="117">
        <f t="array" ref="CR94">MIN(IF(INDEX(properties!A$1:CB$87,'Fórmula'!B94,30)=0,10^6,INDEX(properties!A$1:CB$87,'Fórmula'!B94,30)),IF(INDEX(properties!A$1:CB$87,'Fórmula'!D94,30)=0,10^6,INDEX(properties!A$1:CB$87,'Fórmula'!D94,30)),IF(INDEX(properties!A$1:CB$87,'Fórmula'!F94,30)=0,10^6,INDEX(properties!A$1:CB$87,'Fórmula'!F94,30)),IF(INDEX(properties!A$1:CB$87,'Fórmula'!H94,30)=0,10^6,INDEX(properties!A$1:CB$87,'Fórmula'!H94,30)),IF(INDEX(properties!A$1:CB$87,'Fórmula'!J94,30)=0,10^6,INDEX(properties!A$1:CB$87,'Fórmula'!J94,30)))</f>
        <v>1.1</v>
      </c>
      <c r="CS94" s="117">
        <f t="shared" si="16"/>
        <v>2.34</v>
      </c>
      <c r="CT94" s="118">
        <f t="array" ref="CT94">(('Fórmula'!C94)/('Fórmula'!C94+'Fórmula'!E94+'Fórmula'!G94+'Fórmula'!I94+'Fórmula'!K94))*(INDEX(properties!A$1:CB$87,'Fórmula'!B94,31))+(('Fórmula'!E94)/('Fórmula'!C94+'Fórmula'!E94+'Fórmula'!G94+'Fórmula'!I94+'Fórmula'!K94))*(INDEX(properties!A$1:CB$87,'Fórmula'!D94,31))+(('Fórmula'!G94)/('Fórmula'!C94+'Fórmula'!E94+'Fórmula'!G94+'Fórmula'!I94+'Fórmula'!K94))*(INDEX(properties!A$1:CB$87,'Fórmula'!F94,31))+(('Fórmula'!I94)/('Fórmula'!C94+'Fórmula'!E94+'Fórmula'!G94+'Fórmula'!I94+'Fórmula'!K94))*(INDEX(properties!A$1:CB$87,'Fórmula'!H94,31))+(('Fórmula'!K94)/('Fórmula'!C94+'Fórmula'!E94+'Fórmula'!G94+'Fórmula'!I94+'Fórmula'!K94))*(INDEX(properties!A$1:CB$87,'Fórmula'!J94,31))</f>
        <v>2.696363636</v>
      </c>
      <c r="CU94" s="118">
        <f t="array" ref="CU94">'Fórmula'!C94*(INDEX(properties!A$1:CB$87,'Fórmula'!B94,31))+'Fórmula'!E94*(INDEX(properties!A$1:CB$87,'Fórmula'!D94,31))+'Fórmula'!G94*(INDEX(properties!A$1:CB$87,'Fórmula'!F94,31))+'Fórmula'!I94*(INDEX(properties!A$1:CB$87,'Fórmula'!H94,31))+'Fórmula'!K94*(INDEX(properties!A$1:CB$87,'Fórmula'!J94,31))</f>
        <v>29.66</v>
      </c>
      <c r="CV94" s="118">
        <f t="array" ref="CV94">VARP(IF(INDEX(properties!A$1:CB$87,'Fórmula'!B94,31)&lt;&gt;"",INDEX(properties!A$1:CB$87,'Fórmula'!B94,31)),IF(INDEX(properties!A$1:CB$87,'Fórmula'!D94,31)&lt;&gt;"",INDEX(properties!A$1:CB$87,'Fórmula'!D94,31)),IF(INDEX(properties!A$1:CB$87,'Fórmula'!F94,31)&lt;&gt;"",INDEX(properties!A$1:CB$87,'Fórmula'!F94,31)),IF(INDEX(properties!A$1:CB$87,'Fórmula'!H94,31)&lt;&gt;"",INDEX(properties!A$1:CB$87,'Fórmula'!H94,31)),IF(INDEX(properties!A$1:CB$87,'Fórmula'!J94,31)&lt;&gt;"",INDEX(properties!A$1:CB$87,'Fórmula'!J94,31)))</f>
        <v>1.555264</v>
      </c>
      <c r="CW94" s="118">
        <f t="array" ref="CW94">MAX(INDEX(properties!A$1:CB$87,'Fórmula'!B94,31),INDEX(properties!A$1:CB$87,'Fórmula'!D94,31),INDEX(properties!A$1:CB$87,'Fórmula'!F94,31),INDEX(properties!A$1:CB$87,'Fórmula'!H94,31),INDEX(properties!A$1:CB$87,'Fórmula'!J94,31))</f>
        <v>3.32</v>
      </c>
      <c r="CX94" s="118">
        <f t="array" ref="CX94">MIN(IF(INDEX(properties!A$1:CB$87,'Fórmula'!B94,31)=0,10^6,INDEX(properties!A$1:CB$87,'Fórmula'!B94,31)),IF(INDEX(properties!A$1:CB$87,'Fórmula'!D94,31)=0,10^6,INDEX(properties!A$1:CB$87,'Fórmula'!D94,31)),IF(INDEX(properties!A$1:CB$87,'Fórmula'!F94,31)=0,10^6,INDEX(properties!A$1:CB$87,'Fórmula'!F94,31)),IF(INDEX(properties!A$1:CB$87,'Fórmula'!H94,31)=0,10^6,INDEX(properties!A$1:CB$87,'Fórmula'!H94,31)),IF(INDEX(properties!A$1:CB$87,'Fórmula'!J94,31)=0,10^6,INDEX(properties!A$1:CB$87,'Fórmula'!J94,31)))</f>
        <v>1.35</v>
      </c>
      <c r="CY94" s="118">
        <f t="shared" si="17"/>
        <v>1.97</v>
      </c>
      <c r="CZ94" s="119">
        <f t="array" ref="CZ94">(('Fórmula'!C94)/('Fórmula'!C94+'Fórmula'!E94+'Fórmula'!G94+'Fórmula'!I94+'Fórmula'!K94))*(INDEX(properties!A$1:CB$87,'Fórmula'!B94,32))+(('Fórmula'!E94)/('Fórmula'!C94+'Fórmula'!E94+'Fórmula'!G94+'Fórmula'!I94+'Fórmula'!K94))*(INDEX(properties!A$1:CB$87,'Fórmula'!D94,32))+(('Fórmula'!G94)/('Fórmula'!C94+'Fórmula'!E94+'Fórmula'!G94+'Fórmula'!I94+'Fórmula'!K94))*(INDEX(properties!A$1:CB$87,'Fórmula'!F94,32))+(('Fórmula'!I94)/('Fórmula'!C94+'Fórmula'!E94+'Fórmula'!G94+'Fórmula'!I94+'Fórmula'!K94))*(INDEX(properties!A$1:CB$87,'Fórmula'!H94,32))+(('Fórmula'!K94)/('Fórmula'!C94+'Fórmula'!E94+'Fórmula'!G94+'Fórmula'!I94+'Fórmula'!K94))*(INDEX(properties!A$1:CB$87,'Fórmula'!J94,32))</f>
        <v>5.989090909</v>
      </c>
      <c r="DA94" s="119">
        <f t="array" ref="DA94">'Fórmula'!C94*(INDEX(properties!A$1:CB$87,'Fórmula'!B94,32))+'Fórmula'!E94*(INDEX(properties!A$1:CB$87,'Fórmula'!D94,32))+'Fórmula'!G94*(INDEX(properties!A$1:CB$87,'Fórmula'!F94,32))+'Fórmula'!I94*(INDEX(properties!A$1:CB$87,'Fórmula'!H94,32))+'Fórmula'!K94*(INDEX(properties!A$1:CB$87,'Fórmula'!J94,32))</f>
        <v>65.88</v>
      </c>
      <c r="DB94" s="119">
        <f t="array" ref="DB94">VARP(IF(INDEX(properties!A$1:CB$87,'Fórmula'!B94,32)&lt;&gt;"",INDEX(properties!A$1:CB$87,'Fórmula'!B94,32)),IF(INDEX(properties!A$1:CB$87,'Fórmula'!D94,32)&lt;&gt;"",INDEX(properties!A$1:CB$87,'Fórmula'!D94,32)),IF(INDEX(properties!A$1:CB$87,'Fórmula'!F94,32)&lt;&gt;"",INDEX(properties!A$1:CB$87,'Fórmula'!F94,32)),IF(INDEX(properties!A$1:CB$87,'Fórmula'!H94,32)&lt;&gt;"",INDEX(properties!A$1:CB$87,'Fórmula'!H94,32)),IF(INDEX(properties!A$1:CB$87,'Fórmula'!J94,32)&lt;&gt;"",INDEX(properties!A$1:CB$87,'Fórmula'!J94,32)))</f>
        <v>7.731696</v>
      </c>
      <c r="DC94" s="119">
        <f t="array" ref="DC94">MAX(INDEX(properties!A$1:CB$87,'Fórmula'!B94,32),INDEX(properties!A$1:CB$87,'Fórmula'!D94,32),INDEX(properties!A$1:CB$87,'Fórmula'!F94,32),INDEX(properties!A$1:CB$87,'Fórmula'!H94,32),INDEX(properties!A$1:CB$87,'Fórmula'!J94,32))</f>
        <v>7.54</v>
      </c>
      <c r="DD94" s="119">
        <f t="array" ref="DD94">MIN(IF(INDEX(properties!A$1:CB$87,'Fórmula'!B94,32)=0,10^6,INDEX(properties!A$1:CB$87,'Fórmula'!B94,32)),IF(INDEX(properties!A$1:CB$87,'Fórmula'!D94,32)=0,10^6,INDEX(properties!A$1:CB$87,'Fórmula'!D94,32)),IF(INDEX(properties!A$1:CB$87,'Fórmula'!F94,32)=0,10^6,INDEX(properties!A$1:CB$87,'Fórmula'!F94,32)),IF(INDEX(properties!A$1:CB$87,'Fórmula'!H94,32)=0,10^6,INDEX(properties!A$1:CB$87,'Fórmula'!H94,32)),IF(INDEX(properties!A$1:CB$87,'Fórmula'!J94,32)=0,10^6,INDEX(properties!A$1:CB$87,'Fórmula'!J94,32)))</f>
        <v>3.1</v>
      </c>
      <c r="DE94" s="119">
        <f t="shared" si="18"/>
        <v>4.44</v>
      </c>
      <c r="DF94" s="104">
        <f t="array" ref="DF94">(('Fórmula'!C94)/('Fórmula'!C94+'Fórmula'!E94+'Fórmula'!G94+'Fórmula'!I94+'Fórmula'!K94))*(INDEX(properties!A$1:CB$87,'Fórmula'!B94,34))+(('Fórmula'!E94)/('Fórmula'!C94+'Fórmula'!E94+'Fórmula'!G94+'Fórmula'!I94+'Fórmula'!K94))*(INDEX(properties!A$1:CB$87,'Fórmula'!D94,34))+(('Fórmula'!G94)/('Fórmula'!C94+'Fórmula'!E94+'Fórmula'!G94+'Fórmula'!I94+'Fórmula'!K94))*(INDEX(properties!A$1:CB$87,'Fórmula'!F94,34))+(('Fórmula'!I94)/('Fórmula'!C94+'Fórmula'!E94+'Fórmula'!G94+'Fórmula'!I94+'Fórmula'!K94))*(INDEX(properties!A$1:CB$87,'Fórmula'!H94,34))+(('Fórmula'!K94)/('Fórmula'!C94+'Fórmula'!E94+'Fórmula'!G94+'Fórmula'!I94+'Fórmula'!K94))*(INDEX(properties!A$1:CB$87,'Fórmula'!J94,34))</f>
        <v>2.746363636</v>
      </c>
      <c r="DG94" s="104">
        <f t="array" ref="DG94">'Fórmula'!C94*(INDEX(properties!A$1:CB$87,'Fórmula'!B94,34))+'Fórmula'!E94*(INDEX(properties!A$1:CB$87,'Fórmula'!D94,34))+'Fórmula'!G94*(INDEX(properties!A$1:CB$87,'Fórmula'!F94,34))+'Fórmula'!I94*(INDEX(properties!A$1:CB$87,'Fórmula'!H94,34))+'Fórmula'!K94*(INDEX(properties!A$1:CB$87,'Fórmula'!J94,34))</f>
        <v>30.21</v>
      </c>
      <c r="DH94" s="104">
        <f t="array" ref="DH94">VARP(IF(INDEX(properties!A$1:CB$87,'Fórmula'!B94,34)&lt;&gt;"",INDEX(properties!A$1:CB$87,'Fórmula'!B94,34)),IF(INDEX(properties!A$1:CB$87,'Fórmula'!D94,34)&lt;&gt;"",INDEX(properties!A$1:CB$87,'Fórmula'!D94,34)),IF(INDEX(properties!A$1:CB$87,'Fórmula'!F94,34)&lt;&gt;"",INDEX(properties!A$1:CB$87,'Fórmula'!F94,34)),IF(INDEX(properties!A$1:CB$87,'Fórmula'!H94,34)&lt;&gt;"",INDEX(properties!A$1:CB$87,'Fórmula'!H94,34)),IF(INDEX(properties!A$1:CB$87,'Fórmula'!J94,34)&lt;&gt;"",INDEX(properties!A$1:CB$87,'Fórmula'!J94,34)))</f>
        <v>1.746264</v>
      </c>
      <c r="DI94" s="104">
        <f t="array" ref="DI94">MAX(INDEX(properties!A$1:CB$87,'Fórmula'!B94,34),INDEX(properties!A$1:CB$87,'Fórmula'!D94,34),INDEX(properties!A$1:CB$87,'Fórmula'!F94,34),INDEX(properties!A$1:CB$87,'Fórmula'!H94,34),INDEX(properties!A$1:CB$87,'Fórmula'!J94,34))</f>
        <v>3.61</v>
      </c>
      <c r="DJ94" s="104">
        <f t="array" ref="DJ94">MIN(IF(INDEX(properties!A$1:CB$87,'Fórmula'!B94,34)=0,10^6,INDEX(properties!A$1:CB$87,'Fórmula'!B94,34)),IF(INDEX(properties!A$1:CB$87,'Fórmula'!D94,34)=0,10^6,INDEX(properties!A$1:CB$87,'Fórmula'!D94,34)),IF(INDEX(properties!A$1:CB$87,'Fórmula'!F94,34)=0,10^6,INDEX(properties!A$1:CB$87,'Fórmula'!F94,34)),IF(INDEX(properties!A$1:CB$87,'Fórmula'!H94,34)=0,10^6,INDEX(properties!A$1:CB$87,'Fórmula'!H94,34)),IF(INDEX(properties!A$1:CB$87,'Fórmula'!J94,34)=0,10^6,INDEX(properties!A$1:CB$87,'Fórmula'!J94,34)))</f>
        <v>1.09</v>
      </c>
      <c r="DK94" s="104">
        <f t="shared" si="19"/>
        <v>2.52</v>
      </c>
      <c r="DL94" s="105">
        <f t="array" ref="DL94">(('Fórmula'!C94)/('Fórmula'!C94+'Fórmula'!E94+'Fórmula'!G94+'Fórmula'!I94+'Fórmula'!K94))*(INDEX(properties!A$1:CB$87,'Fórmula'!B94,37))+(('Fórmula'!E94)/('Fórmula'!C94+'Fórmula'!E94+'Fórmula'!G94+'Fórmula'!I94+'Fórmula'!K94))*(INDEX(properties!A$1:CB$87,'Fórmula'!D94,37))+(('Fórmula'!G94)/('Fórmula'!C94+'Fórmula'!E94+'Fórmula'!G94+'Fórmula'!I94+'Fórmula'!K94))*(INDEX(properties!A$1:CB$87,'Fórmula'!F94,37))+(('Fórmula'!I94)/('Fórmula'!C94+'Fórmula'!E94+'Fórmula'!G94+'Fórmula'!I94+'Fórmula'!K94))*(INDEX(properties!A$1:CB$87,'Fórmula'!H94,37))+(('Fórmula'!K94)/('Fórmula'!C94+'Fórmula'!E94+'Fórmula'!G94+'Fórmula'!I94+'Fórmula'!K94))*(INDEX(properties!A$1:CB$87,'Fórmula'!J94,37))</f>
        <v>2.704545455</v>
      </c>
      <c r="DM94" s="105">
        <f t="array" ref="DM94">'Fórmula'!C94*(INDEX(properties!A$1:CB$87,'Fórmula'!B94,37))+'Fórmula'!E94*(INDEX(properties!A$1:CB$87,'Fórmula'!D94,37))+'Fórmula'!G94*(INDEX(properties!A$1:CB$87,'Fórmula'!F94,37))+'Fórmula'!I94*(INDEX(properties!A$1:CB$87,'Fórmula'!H94,37))+'Fórmula'!K94*(INDEX(properties!A$1:CB$87,'Fórmula'!J94,37))</f>
        <v>29.75</v>
      </c>
      <c r="DN94" s="105">
        <f t="array" ref="DN94">VARP(IF(INDEX(properties!A$1:CB$87,'Fórmula'!B94,37)&lt;&gt;"",INDEX(properties!A$1:CB$87,'Fórmula'!B94,37)),IF(INDEX(properties!A$1:CB$87,'Fórmula'!D94,37)&lt;&gt;"",INDEX(properties!A$1:CB$87,'Fórmula'!D94,37)),IF(INDEX(properties!A$1:CB$87,'Fórmula'!F94,37)&lt;&gt;"",INDEX(properties!A$1:CB$87,'Fórmula'!F94,37)),IF(INDEX(properties!A$1:CB$87,'Fórmula'!H94,37)&lt;&gt;"",INDEX(properties!A$1:CB$87,'Fórmula'!H94,37)),IF(INDEX(properties!A$1:CB$87,'Fórmula'!J94,37)&lt;&gt;"",INDEX(properties!A$1:CB$87,'Fórmula'!J94,37)))</f>
        <v>1.618</v>
      </c>
      <c r="DO94" s="105">
        <f t="array" ref="DO94">MAX(INDEX(properties!A$1:CB$87,'Fórmula'!B94,37),INDEX(properties!A$1:CB$87,'Fórmula'!D94,37),INDEX(properties!A$1:CB$87,'Fórmula'!F94,37),INDEX(properties!A$1:CB$87,'Fórmula'!H94,37),INDEX(properties!A$1:CB$87,'Fórmula'!J94,37))</f>
        <v>3.45</v>
      </c>
      <c r="DP94" s="105">
        <f t="array" ref="DP94">MIN(IF(INDEX(properties!A$1:CB$87,'Fórmula'!B94,37)=0,10^6,INDEX(properties!A$1:CB$87,'Fórmula'!B94,37)),IF(INDEX(properties!A$1:CB$87,'Fórmula'!D94,37)=0,10^6,INDEX(properties!A$1:CB$87,'Fórmula'!D94,37)),IF(INDEX(properties!A$1:CB$87,'Fórmula'!F94,37)=0,10^6,INDEX(properties!A$1:CB$87,'Fórmula'!F94,37)),IF(INDEX(properties!A$1:CB$87,'Fórmula'!H94,37)=0,10^6,INDEX(properties!A$1:CB$87,'Fórmula'!H94,37)),IF(INDEX(properties!A$1:CB$87,'Fórmula'!J94,37)=0,10^6,INDEX(properties!A$1:CB$87,'Fórmula'!J94,37)))</f>
        <v>1.2</v>
      </c>
      <c r="DQ94" s="105">
        <f t="shared" si="20"/>
        <v>2.25</v>
      </c>
      <c r="DR94" s="109">
        <f t="array" ref="DR94">(('Fórmula'!C94)/('Fórmula'!C94+'Fórmula'!E94+'Fórmula'!G94+'Fórmula'!I94+'Fórmula'!K94))*(INDEX(properties!A$1:CB$87,'Fórmula'!B94,39))+(('Fórmula'!E94)/('Fórmula'!C94+'Fórmula'!E94+'Fórmula'!G94+'Fórmula'!I94+'Fórmula'!K94))*(INDEX(properties!A$1:CB$87,'Fórmula'!D94,39))+(('Fórmula'!G94)/('Fórmula'!C94+'Fórmula'!E94+'Fórmula'!G94+'Fórmula'!I94+'Fórmula'!K94))*(INDEX(properties!A$1:CB$87,'Fórmula'!F94,39))+(('Fórmula'!I94)/('Fórmula'!C94+'Fórmula'!E94+'Fórmula'!G94+'Fórmula'!I94+'Fórmula'!K94))*(INDEX(properties!A$1:CB$87,'Fórmula'!H94,39))+(('Fórmula'!K94)/('Fórmula'!C94+'Fórmula'!E94+'Fórmula'!G94+'Fórmula'!I94+'Fórmula'!K94))*(INDEX(properties!A$1:CB$87,'Fórmula'!J94,39))</f>
        <v>0.98</v>
      </c>
      <c r="DS94" s="109">
        <f t="array" ref="DS94">'Fórmula'!C94*(INDEX(properties!A$1:CB$87,'Fórmula'!B94,39))+'Fórmula'!E94*(INDEX(properties!A$1:CB$87,'Fórmula'!D94,39))+'Fórmula'!G94*(INDEX(properties!A$1:CB$87,'Fórmula'!F94,39))+'Fórmula'!I94*(INDEX(properties!A$1:CB$87,'Fórmula'!H94,39))+'Fórmula'!K94*(INDEX(properties!A$1:CB$87,'Fórmula'!J94,39))</f>
        <v>10.78</v>
      </c>
      <c r="DT94" s="109">
        <f t="array" ref="DT94">VARP(IF(INDEX(properties!A$1:CB$87,'Fórmula'!B94,39)&lt;&gt;"",INDEX(properties!A$1:CB$87,'Fórmula'!B94,39)),IF(INDEX(properties!A$1:CB$87,'Fórmula'!D94,39)&lt;&gt;"",INDEX(properties!A$1:CB$87,'Fórmula'!D94,39)),IF(INDEX(properties!A$1:CB$87,'Fórmula'!F94,39)&lt;&gt;"",INDEX(properties!A$1:CB$87,'Fórmula'!F94,39)),IF(INDEX(properties!A$1:CB$87,'Fórmula'!H94,39)&lt;&gt;"",INDEX(properties!A$1:CB$87,'Fórmula'!H94,39)),IF(INDEX(properties!A$1:CB$87,'Fórmula'!J94,39)&lt;&gt;"",INDEX(properties!A$1:CB$87,'Fórmula'!J94,39)))</f>
        <v>0.723856</v>
      </c>
      <c r="DU94" s="120">
        <f t="array" ref="DU94">MAX(INDEX(properties!A$1:CB$87,'Fórmula'!B94,39),INDEX(properties!A$1:CB$87,'Fórmula'!D94,39),INDEX(properties!A$1:CB$87,'Fórmula'!F94,39),INDEX(properties!A$1:CB$87,'Fórmula'!H94,39),INDEX(properties!A$1:CB$87,'Fórmula'!J94,39))</f>
        <v>1.95</v>
      </c>
      <c r="DV94" s="120">
        <f t="array" ref="DV94">MIN(IF(INDEX(properties!A$1:CB$87,'Fórmula'!B94,39)=0,10^6,INDEX(properties!A$1:CB$87,'Fórmula'!B94,39)),IF(INDEX(properties!A$1:CB$87,'Fórmula'!D94,39)=0,10^6,INDEX(properties!A$1:CB$87,'Fórmula'!D94,39)),IF(INDEX(properties!A$1:CB$87,'Fórmula'!F94,39)=0,10^6,INDEX(properties!A$1:CB$87,'Fórmula'!F94,39)),IF(INDEX(properties!A$1:CB$87,'Fórmula'!H94,39)=0,10^6,INDEX(properties!A$1:CB$87,'Fórmula'!H94,39)),IF(INDEX(properties!A$1:CB$87,'Fórmula'!J94,39)=0,10^6,INDEX(properties!A$1:CB$87,'Fórmula'!J94,39)))</f>
        <v>0.48</v>
      </c>
      <c r="DW94" s="109">
        <f t="shared" si="21"/>
        <v>1.47</v>
      </c>
      <c r="DX94" s="110">
        <f t="array" ref="DX94">(('Fórmula'!C94)/('Fórmula'!C94+'Fórmula'!E94+'Fórmula'!G94+'Fórmula'!I94+'Fórmula'!K94))*(INDEX(properties!A$1:CB$87,'Fórmula'!B94,40))+(('Fórmula'!E94)/('Fórmula'!C94+'Fórmula'!E94+'Fórmula'!G94+'Fórmula'!I94+'Fórmula'!K94))*(INDEX(properties!A$1:CB$87,'Fórmula'!D94,40))+(('Fórmula'!G94)/('Fórmula'!C94+'Fórmula'!E94+'Fórmula'!G94+'Fórmula'!I94+'Fórmula'!K94))*(INDEX(properties!A$1:CB$87,'Fórmula'!F94,40))+(('Fórmula'!I94)/('Fórmula'!C94+'Fórmula'!E94+'Fórmula'!G94+'Fórmula'!I94+'Fórmula'!K94))*(INDEX(properties!A$1:CB$87,'Fórmula'!H94,40))+(('Fórmula'!K94)/('Fórmula'!C94+'Fórmula'!E94+'Fórmula'!G94+'Fórmula'!I94+'Fórmula'!K94))*(INDEX(properties!A$1:CB$87,'Fórmula'!J94,40))</f>
        <v>1.019090909</v>
      </c>
      <c r="DY94" s="110">
        <f t="array" ref="DY94">'Fórmula'!C94*(INDEX(properties!A$1:CB$87,'Fórmula'!B94,40))+'Fórmula'!E94*(INDEX(properties!A$1:CB$87,'Fórmula'!D94,40))+'Fórmula'!G94*(INDEX(properties!A$1:CB$87,'Fórmula'!F94,40))+'Fórmula'!I94*(INDEX(properties!A$1:CB$87,'Fórmula'!H94,40))+'Fórmula'!K94*(INDEX(properties!A$1:CB$87,'Fórmula'!J94,40))</f>
        <v>11.21</v>
      </c>
      <c r="DZ94" s="110">
        <f t="array" ref="DZ94">VARP(IF(INDEX(properties!A$1:CB$87,'Fórmula'!B94,40)&lt;&gt;"",INDEX(properties!A$1:CB$87,'Fórmula'!B94,40)),IF(INDEX(properties!A$1:CB$87,'Fórmula'!D94,40)&lt;&gt;"",INDEX(properties!A$1:CB$87,'Fórmula'!D94,40)),IF(INDEX(properties!A$1:CB$87,'Fórmula'!F94,40)&lt;&gt;"",INDEX(properties!A$1:CB$87,'Fórmula'!F94,40)),IF(INDEX(properties!A$1:CB$87,'Fórmula'!H94,40)&lt;&gt;"",INDEX(properties!A$1:CB$87,'Fórmula'!H94,40)),IF(INDEX(properties!A$1:CB$87,'Fórmula'!J94,40)&lt;&gt;"",INDEX(properties!A$1:CB$87,'Fórmula'!J94,40)))</f>
        <v>0.476184</v>
      </c>
      <c r="EA94" s="121">
        <f t="array" ref="EA94">MAX(INDEX(properties!A$1:CB$87,'Fórmula'!B94,40),INDEX(properties!A$1:CB$87,'Fórmula'!D94,40),INDEX(properties!A$1:CB$87,'Fórmula'!F94,40),INDEX(properties!A$1:CB$87,'Fórmula'!H94,40),INDEX(properties!A$1:CB$87,'Fórmula'!J94,40))</f>
        <v>1.69</v>
      </c>
      <c r="EB94" s="121">
        <f t="array" ref="EB94">MIN(IF(INDEX(properties!A$1:CB$87,'Fórmula'!B94,40)=0,10^6,INDEX(properties!A$1:CB$87,'Fórmula'!B94,40)),IF(INDEX(properties!A$1:CB$87,'Fórmula'!D94,40)=0,10^6,INDEX(properties!A$1:CB$87,'Fórmula'!D94,40)),IF(INDEX(properties!A$1:CB$87,'Fórmula'!F94,40)=0,10^6,INDEX(properties!A$1:CB$87,'Fórmula'!F94,40)),IF(INDEX(properties!A$1:CB$87,'Fórmula'!H94,40)=0,10^6,INDEX(properties!A$1:CB$87,'Fórmula'!H94,40)),IF(INDEX(properties!A$1:CB$87,'Fórmula'!J94,40)=0,10^6,INDEX(properties!A$1:CB$87,'Fórmula'!J94,40)))</f>
        <v>0.73</v>
      </c>
      <c r="EC94" s="110">
        <f t="shared" si="22"/>
        <v>0.96</v>
      </c>
      <c r="ED94" s="111">
        <f t="array" ref="ED94">(('Fórmula'!C94)/('Fórmula'!C94+'Fórmula'!E94+'Fórmula'!G94+'Fórmula'!I94+'Fórmula'!K94))*(INDEX(properties!A$1:CB$87,'Fórmula'!B94,41))+(('Fórmula'!E94)/('Fórmula'!C94+'Fórmula'!E94+'Fórmula'!G94+'Fórmula'!I94+'Fórmula'!K94))*(INDEX(properties!A$1:CB$87,'Fórmula'!D94,41))+(('Fórmula'!G94)/('Fórmula'!C94+'Fórmula'!E94+'Fórmula'!G94+'Fórmula'!I94+'Fórmula'!K94))*(INDEX(properties!A$1:CB$87,'Fórmula'!F94,41))+(('Fórmula'!I94)/('Fórmula'!C94+'Fórmula'!E94+'Fórmula'!G94+'Fórmula'!I94+'Fórmula'!K94))*(INDEX(properties!A$1:CB$87,'Fórmula'!H94,41))+(('Fórmula'!K94)/('Fórmula'!C94+'Fórmula'!E94+'Fórmula'!G94+'Fórmula'!I94+'Fórmula'!K94))*(INDEX(properties!A$1:CB$87,'Fórmula'!J94,41))</f>
        <v>1.196363636</v>
      </c>
      <c r="EE94" s="111">
        <f t="array" ref="EE94">'Fórmula'!C94*(INDEX(properties!A$1:CB$87,'Fórmula'!B94,41))+'Fórmula'!E94*(INDEX(properties!A$1:CB$87,'Fórmula'!D94,41))+'Fórmula'!G94*(INDEX(properties!A$1:CB$87,'Fórmula'!F94,41))+'Fórmula'!I94*(INDEX(properties!A$1:CB$87,'Fórmula'!H94,41))+'Fórmula'!K94*(INDEX(properties!A$1:CB$87,'Fórmula'!J94,41))</f>
        <v>13.16</v>
      </c>
      <c r="EF94" s="111">
        <f t="array" ref="EF94">VARP(IF(INDEX(properties!A$1:CB$87,'Fórmula'!B94,41)&lt;&gt;"",INDEX(properties!A$1:CB$87,'Fórmula'!B94,41)),IF(INDEX(properties!A$1:CB$87,'Fórmula'!D94,41)&lt;&gt;"",INDEX(properties!A$1:CB$87,'Fórmula'!D94,41)),IF(INDEX(properties!A$1:CB$87,'Fórmula'!F94,41)&lt;&gt;"",INDEX(properties!A$1:CB$87,'Fórmula'!F94,41)),IF(INDEX(properties!A$1:CB$87,'Fórmula'!H94,41)&lt;&gt;"",INDEX(properties!A$1:CB$87,'Fórmula'!H94,41)),IF(INDEX(properties!A$1:CB$87,'Fórmula'!J94,41)&lt;&gt;"",INDEX(properties!A$1:CB$87,'Fórmula'!J94,41)))</f>
        <v>0.320704</v>
      </c>
      <c r="EG94" s="122">
        <f t="array" ref="EG94">MAX(INDEX(properties!A$1:CB$87,'Fórmula'!B94,41),INDEX(properties!A$1:CB$87,'Fórmula'!D94,41),INDEX(properties!A$1:CB$87,'Fórmula'!F94,41),INDEX(properties!A$1:CB$87,'Fórmula'!H94,41),INDEX(properties!A$1:CB$87,'Fórmula'!J94,41))</f>
        <v>1.26</v>
      </c>
      <c r="EH94" s="122">
        <f t="array" ref="EH94">MIN(IF(INDEX(properties!A$1:CB$87,'Fórmula'!B94,41)=0,10^6,INDEX(properties!A$1:CB$87,'Fórmula'!B94,41)),IF(INDEX(properties!A$1:CB$87,'Fórmula'!D94,41)=0,10^6,INDEX(properties!A$1:CB$87,'Fórmula'!D94,41)),IF(INDEX(properties!A$1:CB$87,'Fórmula'!F94,41)=0,10^6,INDEX(properties!A$1:CB$87,'Fórmula'!F94,41)),IF(INDEX(properties!A$1:CB$87,'Fórmula'!H94,41)=0,10^6,INDEX(properties!A$1:CB$87,'Fórmula'!H94,41)),IF(INDEX(properties!A$1:CB$87,'Fórmula'!J94,41)=0,10^6,INDEX(properties!A$1:CB$87,'Fórmula'!J94,41)))</f>
        <v>1</v>
      </c>
      <c r="EI94" s="111">
        <f t="shared" si="23"/>
        <v>0.26</v>
      </c>
      <c r="EJ94" s="112">
        <f t="array" ref="EJ94">(('Fórmula'!C94)/('Fórmula'!C94+'Fórmula'!E94+'Fórmula'!G94+'Fórmula'!I94+'Fórmula'!K94))*(INDEX(properties!A$1:CB$87,'Fórmula'!B94,45))+(('Fórmula'!E94)/('Fórmula'!C94+'Fórmula'!E94+'Fórmula'!G94+'Fórmula'!I94+'Fórmula'!K94))*(INDEX(properties!A$1:CB$87,'Fórmula'!D94,45))+(('Fórmula'!G94)/('Fórmula'!C94+'Fórmula'!E94+'Fórmula'!G94+'Fórmula'!I94+'Fórmula'!K94))*(INDEX(properties!A$1:CB$87,'Fórmula'!F94,45))+(('Fórmula'!I94)/('Fórmula'!C94+'Fórmula'!E94+'Fórmula'!G94+'Fórmula'!I94+'Fórmula'!K94))*(INDEX(properties!A$1:CB$87,'Fórmula'!H94,45))+(('Fórmula'!K94)/('Fórmula'!C94+'Fórmula'!E94+'Fórmula'!G94+'Fórmula'!I94+'Fórmula'!K94))*(INDEX(properties!A$1:CB$87,'Fórmula'!J94,45))</f>
        <v>1.328181818</v>
      </c>
      <c r="EK94" s="112">
        <f t="array" ref="EK94">'Fórmula'!C94*(INDEX(properties!A$1:CB$87,'Fórmula'!B94,45))+'Fórmula'!E94*(INDEX(properties!A$1:CB$87,'Fórmula'!D94,45))+'Fórmula'!G94*(INDEX(properties!A$1:CB$87,'Fórmula'!F94,45))+'Fórmula'!I94*(INDEX(properties!A$1:CB$87,'Fórmula'!H94,45))+'Fórmula'!K94*(INDEX(properties!A$1:CB$87,'Fórmula'!J94,45))</f>
        <v>14.61</v>
      </c>
      <c r="EL94" s="112">
        <f t="array" ref="EL94">VARP(IF(INDEX(properties!A$1:CB$87,'Fórmula'!B94,45)&lt;&gt;"",INDEX(properties!A$1:CB$87,'Fórmula'!B94,45)),IF(INDEX(properties!A$1:CB$87,'Fórmula'!D94,45)&lt;&gt;"",INDEX(properties!A$1:CB$87,'Fórmula'!D94,45)),IF(INDEX(properties!A$1:CB$87,'Fórmula'!F94,45)&lt;&gt;"",INDEX(properties!A$1:CB$87,'Fórmula'!F94,45)),IF(INDEX(properties!A$1:CB$87,'Fórmula'!H94,45)&lt;&gt;"",INDEX(properties!A$1:CB$87,'Fórmula'!H94,45)),IF(INDEX(properties!A$1:CB$87,'Fórmula'!J94,45)&lt;&gt;"",INDEX(properties!A$1:CB$87,'Fórmula'!J94,45)))</f>
        <v>1.769664</v>
      </c>
      <c r="EM94" s="123">
        <f t="array" ref="EM94">MAX(INDEX(properties!A$1:CB$87,'Fórmula'!B94,45),INDEX(properties!A$1:CB$87,'Fórmula'!D94,45),INDEX(properties!A$1:CB$87,'Fórmula'!F94,45),INDEX(properties!A$1:CB$87,'Fórmula'!H94,45),INDEX(properties!A$1:CB$87,'Fórmula'!J94,45))</f>
        <v>3.08</v>
      </c>
      <c r="EN94" s="123">
        <f t="array" ref="EN94">MIN(IF(INDEX(properties!A$1:CB$87,'Fórmula'!B94,45)=0,10^6,INDEX(properties!A$1:CB$87,'Fórmula'!B94,45)),IF(INDEX(properties!A$1:CB$87,'Fórmula'!D94,45)=0,10^6,INDEX(properties!A$1:CB$87,'Fórmula'!D94,45)),IF(INDEX(properties!A$1:CB$87,'Fórmula'!F94,45)=0,10^6,INDEX(properties!A$1:CB$87,'Fórmula'!F94,45)),IF(INDEX(properties!A$1:CB$87,'Fórmula'!H94,45)=0,10^6,INDEX(properties!A$1:CB$87,'Fórmula'!H94,45)),IF(INDEX(properties!A$1:CB$87,'Fórmula'!J94,45)=0,10^6,INDEX(properties!A$1:CB$87,'Fórmula'!J94,45)))</f>
        <v>0.47</v>
      </c>
      <c r="EO94" s="112">
        <f t="shared" si="24"/>
        <v>2.61</v>
      </c>
      <c r="EP94" s="113">
        <f t="array" ref="EP94">(('Fórmula'!C94)/('Fórmula'!C94+'Fórmula'!E94+'Fórmula'!G94+'Fórmula'!I94+'Fórmula'!K94))*(INDEX(properties!A$1:CB$87,'Fórmula'!B94,46))+(('Fórmula'!E94)/('Fórmula'!C94+'Fórmula'!E94+'Fórmula'!G94+'Fórmula'!I94+'Fórmula'!K94))*(INDEX(properties!A$1:CB$87,'Fórmula'!D94,46))+(('Fórmula'!G94)/('Fórmula'!C94+'Fórmula'!E94+'Fórmula'!G94+'Fórmula'!I94+'Fórmula'!K94))*(INDEX(properties!A$1:CB$87,'Fórmula'!F94,46))+(('Fórmula'!I94)/('Fórmula'!C94+'Fórmula'!E94+'Fórmula'!G94+'Fórmula'!I94+'Fórmula'!K94))*(INDEX(properties!A$1:CB$87,'Fórmula'!H94,46))+(('Fórmula'!K94)/('Fórmula'!C94+'Fórmula'!E94+'Fórmula'!G94+'Fórmula'!I94+'Fórmula'!K94))*(INDEX(properties!A$1:CB$87,'Fórmula'!J94,46))</f>
        <v>1.153636364</v>
      </c>
      <c r="EQ94" s="113">
        <f t="array" ref="EQ94">'Fórmula'!C94*(INDEX(properties!A$1:CB$87,'Fórmula'!B94,46))+'Fórmula'!E94*(INDEX(properties!A$1:CB$87,'Fórmula'!D94,46))+'Fórmula'!G94*(INDEX(properties!A$1:CB$87,'Fórmula'!F94,46))+'Fórmula'!I94*(INDEX(properties!A$1:CB$87,'Fórmula'!H94,46))+'Fórmula'!K94*(INDEX(properties!A$1:CB$87,'Fórmula'!J94,46))</f>
        <v>12.69</v>
      </c>
      <c r="ER94" s="113">
        <f t="array" ref="ER94">VARP(IF(INDEX(properties!A$1:CB$87,'Fórmula'!B94,46)&lt;&gt;"",INDEX(properties!A$1:CB$87,'Fórmula'!B94,46)),IF(INDEX(properties!A$1:CB$87,'Fórmula'!D94,46)&lt;&gt;"",INDEX(properties!A$1:CB$87,'Fórmula'!D94,46)),IF(INDEX(properties!A$1:CB$87,'Fórmula'!F94,46)&lt;&gt;"",INDEX(properties!A$1:CB$87,'Fórmula'!F94,46)),IF(INDEX(properties!A$1:CB$87,'Fórmula'!H94,46)&lt;&gt;"",INDEX(properties!A$1:CB$87,'Fórmula'!H94,46)),IF(INDEX(properties!A$1:CB$87,'Fórmula'!J94,46)&lt;&gt;"",INDEX(properties!A$1:CB$87,'Fórmula'!J94,46)))</f>
        <v>0.334344</v>
      </c>
      <c r="ES94" s="124">
        <f t="array" ref="ES94">MAX(INDEX(properties!A$1:CB$87,'Fórmula'!B94,46),INDEX(properties!A$1:CB$87,'Fórmula'!D94,46),INDEX(properties!A$1:CB$87,'Fórmula'!F94,46),INDEX(properties!A$1:CB$87,'Fórmula'!H94,46),INDEX(properties!A$1:CB$87,'Fórmula'!J94,46))</f>
        <v>1.36</v>
      </c>
      <c r="ET94" s="124">
        <f t="array" ref="ET94">MIN(IF(INDEX(properties!A$1:CB$87,'Fórmula'!B94,46)=0,10^6,INDEX(properties!A$1:CB$87,'Fórmula'!B94,46)),IF(INDEX(properties!A$1:CB$87,'Fórmula'!D94,46)=0,10^6,INDEX(properties!A$1:CB$87,'Fórmula'!D94,46)),IF(INDEX(properties!A$1:CB$87,'Fórmula'!F94,46)=0,10^6,INDEX(properties!A$1:CB$87,'Fórmula'!F94,46)),IF(INDEX(properties!A$1:CB$87,'Fórmula'!H94,46)=0,10^6,INDEX(properties!A$1:CB$87,'Fórmula'!H94,46)),IF(INDEX(properties!A$1:CB$87,'Fórmula'!J94,46)=0,10^6,INDEX(properties!A$1:CB$87,'Fórmula'!J94,46)))</f>
        <v>0.75</v>
      </c>
      <c r="EU94" s="113">
        <f t="shared" si="25"/>
        <v>0.61</v>
      </c>
      <c r="EV94" s="114">
        <f t="array" ref="EV94">(('Fórmula'!C94)/('Fórmula'!C94+'Fórmula'!E94+'Fórmula'!G94+'Fórmula'!I94+'Fórmula'!K94))*(INDEX(properties!A$1:CB$87,'Fórmula'!B94,52))+(('Fórmula'!E94)/('Fórmula'!C94+'Fórmula'!E94+'Fórmula'!G94+'Fórmula'!I94+'Fórmula'!K94))*(INDEX(properties!A$1:CB$87,'Fórmula'!D94,52))+(('Fórmula'!G94)/('Fórmula'!C94+'Fórmula'!E94+'Fórmula'!G94+'Fórmula'!I94+'Fórmula'!K94))*(INDEX(properties!A$1:CB$87,'Fórmula'!F94,52))+(('Fórmula'!I94)/('Fórmula'!C94+'Fórmula'!E94+'Fórmula'!G94+'Fórmula'!I94+'Fórmula'!K94))*(INDEX(properties!A$1:CB$87,'Fórmula'!H94,52))+(('Fórmula'!K94)/('Fórmula'!C94+'Fórmula'!E94+'Fórmula'!G94+'Fórmula'!I94+'Fórmula'!K94))*(INDEX(properties!A$1:CB$87,'Fórmula'!J94,52))</f>
        <v>8.813727273</v>
      </c>
      <c r="EW94" s="114">
        <f t="array" ref="EW94">'Fórmula'!C94*(INDEX(properties!A$1:CB$87,'Fórmula'!B94,52))+'Fórmula'!E94*(INDEX(properties!A$1:CB$87,'Fórmula'!D94,52))+'Fórmula'!G94*(INDEX(properties!A$1:CB$87,'Fórmula'!F94,52))+'Fórmula'!I94*(INDEX(properties!A$1:CB$87,'Fórmula'!H94,52))+'Fórmula'!K94*(INDEX(properties!A$1:CB$87,'Fórmula'!J94,52))</f>
        <v>96.951</v>
      </c>
      <c r="EX94" s="114">
        <f t="array" ref="EX94">VARP(IF(INDEX(properties!A$1:CB$87,'Fórmula'!B94,52)&lt;&gt;"",INDEX(properties!A$1:CB$87,'Fórmula'!B94,52)),IF(INDEX(properties!A$1:CB$87,'Fórmula'!D94,52)&lt;&gt;"",INDEX(properties!A$1:CB$87,'Fórmula'!D94,52)),IF(INDEX(properties!A$1:CB$87,'Fórmula'!F94,52)&lt;&gt;"",INDEX(properties!A$1:CB$87,'Fórmula'!F94,52)),IF(INDEX(properties!A$1:CB$87,'Fórmula'!H94,52)&lt;&gt;"",INDEX(properties!A$1:CB$87,'Fórmula'!H94,52)),IF(INDEX(properties!A$1:CB$87,'Fórmula'!J94,52)&lt;&gt;"",INDEX(properties!A$1:CB$87,'Fórmula'!J94,52)))</f>
        <v>149.7358078</v>
      </c>
      <c r="EY94" s="114">
        <f t="array" ref="EY94">MAX(INDEX(properties!A$1:CB$87,'Fórmula'!B94,52),INDEX(properties!A$1:CB$87,'Fórmula'!D94,52),INDEX(properties!A$1:CB$87,'Fórmula'!F94,52),INDEX(properties!A$1:CB$87,'Fórmula'!H94,52),INDEX(properties!A$1:CB$87,'Fórmula'!J94,52))</f>
        <v>31.1</v>
      </c>
      <c r="EZ94" s="114">
        <f t="array" ref="EZ94">MIN(IF(INDEX(properties!A$1:CB$87,'Fórmula'!B94,52)=0,10^6,INDEX(properties!A$1:CB$87,'Fórmula'!B94,52)),IF(INDEX(properties!A$1:CB$87,'Fórmula'!D94,52)=0,10^6,INDEX(properties!A$1:CB$87,'Fórmula'!D94,52)),IF(INDEX(properties!A$1:CB$87,'Fórmula'!F94,52)=0,10^6,INDEX(properties!A$1:CB$87,'Fórmula'!F94,52)),IF(INDEX(properties!A$1:CB$87,'Fórmula'!H94,52)=0,10^6,INDEX(properties!A$1:CB$87,'Fórmula'!H94,52)),IF(INDEX(properties!A$1:CB$87,'Fórmula'!J94,52)=0,10^6,INDEX(properties!A$1:CB$87,'Fórmula'!J94,52)))</f>
        <v>0.793</v>
      </c>
      <c r="FA94" s="114">
        <f t="shared" si="26"/>
        <v>30.307</v>
      </c>
      <c r="FB94" s="115">
        <f t="array" ref="FB94">(('Fórmula'!C94)/('Fórmula'!C94+'Fórmula'!E94+'Fórmula'!G94+'Fórmula'!I94+'Fórmula'!K94))*(INDEX(properties!A$1:CB$87,'Fórmula'!B94,53))+(('Fórmula'!E94)/('Fórmula'!C94+'Fórmula'!E94+'Fórmula'!G94+'Fórmula'!I94+'Fórmula'!K94))*(INDEX(properties!A$1:CB$87,'Fórmula'!D94,53))+(('Fórmula'!G94)/('Fórmula'!C94+'Fórmula'!E94+'Fórmula'!G94+'Fórmula'!I94+'Fórmula'!K94))*(INDEX(properties!A$1:CB$87,'Fórmula'!F94,53))+(('Fórmula'!I94)/('Fórmula'!C94+'Fórmula'!E94+'Fórmula'!G94+'Fórmula'!I94+'Fórmula'!K94))*(INDEX(properties!A$1:CB$87,'Fórmula'!H94,53))+(('Fórmula'!K94)/('Fórmula'!C94+'Fórmula'!E94+'Fórmula'!G94+'Fórmula'!I94+'Fórmula'!K94))*(INDEX(properties!A$1:CB$87,'Fórmula'!J94,53))</f>
        <v>603.2590909</v>
      </c>
      <c r="FC94" s="115">
        <f t="array" ref="FC94">'Fórmula'!C94*(INDEX(properties!A$1:CB$87,'Fórmula'!B94,53))+'Fórmula'!E94*(INDEX(properties!A$1:CB$87,'Fórmula'!D94,53))+'Fórmula'!G94*(INDEX(properties!A$1:CB$87,'Fórmula'!F94,53))+'Fórmula'!I94*(INDEX(properties!A$1:CB$87,'Fórmula'!H94,53))+'Fórmula'!K94*(INDEX(properties!A$1:CB$87,'Fórmula'!J94,53))</f>
        <v>6635.85</v>
      </c>
      <c r="FD94" s="115">
        <f t="array" ref="FD94">VARP(IF(INDEX(properties!A$1:CB$87,'Fórmula'!B94,53)&lt;&gt;"",INDEX(properties!A$1:CB$87,'Fórmula'!B94,53)),IF(INDEX(properties!A$1:CB$87,'Fórmula'!D94,53)&lt;&gt;"",INDEX(properties!A$1:CB$87,'Fórmula'!D94,53)),IF(INDEX(properties!A$1:CB$87,'Fórmula'!F94,53)&lt;&gt;"",INDEX(properties!A$1:CB$87,'Fórmula'!F94,53)),IF(INDEX(properties!A$1:CB$87,'Fórmula'!H94,53)&lt;&gt;"",INDEX(properties!A$1:CB$87,'Fórmula'!H94,53)),IF(INDEX(properties!A$1:CB$87,'Fórmula'!J94,53)&lt;&gt;"",INDEX(properties!A$1:CB$87,'Fórmula'!J94,53)))</f>
        <v>627971.5174</v>
      </c>
      <c r="FE94" s="115">
        <f t="array" ref="FE94">MAX(INDEX(properties!A$1:CB$87,'Fórmula'!B94,53),INDEX(properties!A$1:CB$87,'Fórmula'!D94,53),INDEX(properties!A$1:CB$87,'Fórmula'!F94,53),INDEX(properties!A$1:CB$87,'Fórmula'!H94,53),INDEX(properties!A$1:CB$87,'Fórmula'!J94,53))</f>
        <v>1933.15</v>
      </c>
      <c r="FF94" s="115">
        <f t="array" ref="FF94">MIN(IF(INDEX(properties!A$1:CB$87,'Fórmula'!B94,53)=0,10^6,INDEX(properties!A$1:CB$87,'Fórmula'!B94,53)),IF(INDEX(properties!A$1:CB$87,'Fórmula'!D94,53)=0,10^6,INDEX(properties!A$1:CB$87,'Fórmula'!D94,53)),IF(INDEX(properties!A$1:CB$87,'Fórmula'!F94,53)=0,10^6,INDEX(properties!A$1:CB$87,'Fórmula'!F94,53)),IF(INDEX(properties!A$1:CB$87,'Fórmula'!H94,53)=0,10^6,INDEX(properties!A$1:CB$87,'Fórmula'!H94,53)),IF(INDEX(properties!A$1:CB$87,'Fórmula'!J94,53)=0,10^6,INDEX(properties!A$1:CB$87,'Fórmula'!J94,53)))</f>
        <v>54.75</v>
      </c>
      <c r="FG94" s="115">
        <f t="shared" si="27"/>
        <v>1878.4</v>
      </c>
      <c r="FH94" s="117">
        <f t="array" ref="FH94">(('Fórmula'!C94)/('Fórmula'!C94+'Fórmula'!E94+'Fórmula'!G94+'Fórmula'!I94+'Fórmula'!K94))*(INDEX(properties!A$1:CB$87,'Fórmula'!B94,54))+(('Fórmula'!E94)/('Fórmula'!C94+'Fórmula'!E94+'Fórmula'!G94+'Fórmula'!I94+'Fórmula'!K94))*(INDEX(properties!A$1:CB$87,'Fórmula'!D94,54))+(('Fórmula'!G94)/('Fórmula'!C94+'Fórmula'!E94+'Fórmula'!G94+'Fórmula'!I94+'Fórmula'!K94))*(INDEX(properties!A$1:CB$87,'Fórmula'!F94,54))+(('Fórmula'!I94)/('Fórmula'!C94+'Fórmula'!E94+'Fórmula'!G94+'Fórmula'!I94+'Fórmula'!K94))*(INDEX(properties!A$1:CB$87,'Fórmula'!H94,54))+(('Fórmula'!K94)/('Fórmula'!C94+'Fórmula'!E94+'Fórmula'!G94+'Fórmula'!I94+'Fórmula'!K94))*(INDEX(properties!A$1:CB$87,'Fórmula'!J94,54))</f>
        <v>1382.331818</v>
      </c>
      <c r="FI94" s="117">
        <f t="array" ref="FI94">'Fórmula'!C94*(INDEX(properties!A$1:CB$87,'Fórmula'!B94,54))+'Fórmula'!E94*(INDEX(properties!A$1:CB$87,'Fórmula'!D94,54))+'Fórmula'!G94*(INDEX(properties!A$1:CB$87,'Fórmula'!F94,54))+'Fórmula'!I94*(INDEX(properties!A$1:CB$87,'Fórmula'!H94,54))+'Fórmula'!K94*(INDEX(properties!A$1:CB$87,'Fórmula'!J94,54))</f>
        <v>15205.65</v>
      </c>
      <c r="FJ94" s="117">
        <f t="array" ref="FJ94">VARP(IF(INDEX(properties!A$1:CB$87,'Fórmula'!B94,54)&lt;&gt;"",INDEX(properties!A$1:CB$87,'Fórmula'!B94,54)),IF(INDEX(properties!A$1:CB$87,'Fórmula'!D94,54)&lt;&gt;"",INDEX(properties!A$1:CB$87,'Fórmula'!D94,54)),IF(INDEX(properties!A$1:CB$87,'Fórmula'!F94,54)&lt;&gt;"",INDEX(properties!A$1:CB$87,'Fórmula'!F94,54)),IF(INDEX(properties!A$1:CB$87,'Fórmula'!H94,54)&lt;&gt;"",INDEX(properties!A$1:CB$87,'Fórmula'!H94,54)),IF(INDEX(properties!A$1:CB$87,'Fórmula'!J94,54)&lt;&gt;"",INDEX(properties!A$1:CB$87,'Fórmula'!J94,54)))</f>
        <v>3137817.693</v>
      </c>
      <c r="FK94" s="117">
        <f t="array" ref="FK94">MAX(INDEX(properties!A$1:CB$87,'Fórmula'!B94,54),INDEX(properties!A$1:CB$87,'Fórmula'!D94,54),INDEX(properties!A$1:CB$87,'Fórmula'!F94,54),INDEX(properties!A$1:CB$87,'Fórmula'!H94,54),INDEX(properties!A$1:CB$87,'Fórmula'!J94,54))</f>
        <v>3727.15</v>
      </c>
      <c r="FL94" s="117">
        <f t="array" ref="FL94">MIN(IF(INDEX(properties!A$1:CB$87,'Fórmula'!B94,54)=0,10^6,INDEX(properties!A$1:CB$87,'Fórmula'!B94,54)),IF(INDEX(properties!A$1:CB$87,'Fórmula'!D94,54)=0,10^6,INDEX(properties!A$1:CB$87,'Fórmula'!D94,54)),IF(INDEX(properties!A$1:CB$87,'Fórmula'!F94,54)=0,10^6,INDEX(properties!A$1:CB$87,'Fórmula'!F94,54)),IF(INDEX(properties!A$1:CB$87,'Fórmula'!H94,54)=0,10^6,INDEX(properties!A$1:CB$87,'Fórmula'!H94,54)),IF(INDEX(properties!A$1:CB$87,'Fórmula'!J94,54)=0,10^6,INDEX(properties!A$1:CB$87,'Fórmula'!J94,54)))</f>
        <v>90.15</v>
      </c>
      <c r="FM94" s="117">
        <f t="shared" si="28"/>
        <v>3637</v>
      </c>
      <c r="FN94" s="118">
        <f t="array" ref="FN94">(('Fórmula'!C94)/('Fórmula'!C94+'Fórmula'!E94+'Fórmula'!G94+'Fórmula'!I94+'Fórmula'!K94))*(INDEX(properties!A$1:CB$87,'Fórmula'!B94,55))+(('Fórmula'!E94)/('Fórmula'!C94+'Fórmula'!E94+'Fórmula'!G94+'Fórmula'!I94+'Fórmula'!K94))*(INDEX(properties!A$1:CB$87,'Fórmula'!D94,55))+(('Fórmula'!G94)/('Fórmula'!C94+'Fórmula'!E94+'Fórmula'!G94+'Fórmula'!I94+'Fórmula'!K94))*(INDEX(properties!A$1:CB$87,'Fórmula'!F94,55))+(('Fórmula'!I94)/('Fórmula'!C94+'Fórmula'!E94+'Fórmula'!G94+'Fórmula'!I94+'Fórmula'!K94))*(INDEX(properties!A$1:CB$87,'Fórmula'!H94,55))+(('Fórmula'!K94)/('Fórmula'!C94+'Fórmula'!E94+'Fórmula'!G94+'Fórmula'!I94+'Fórmula'!K94))*(INDEX(properties!A$1:CB$87,'Fórmula'!J94,55))</f>
        <v>1.944546364</v>
      </c>
      <c r="FO94" s="118">
        <f t="array" ref="FO94">'Fórmula'!C94*(INDEX(properties!A$1:CB$87,'Fórmula'!B94,55))+'Fórmula'!E94*(INDEX(properties!A$1:CB$87,'Fórmula'!D94,54))+'Fórmula'!G94*(INDEX(properties!A$1:CB$87,'Fórmula'!F94,55))+'Fórmula'!I94*(INDEX(properties!A$1:CB$87,'Fórmula'!H94,55))+'Fórmula'!K94*(INDEX(properties!A$1:CB$87,'Fórmula'!J94,55))</f>
        <v>7132.61001</v>
      </c>
      <c r="FP94" s="118">
        <f t="array" ref="FP94">VARP(IF(INDEX(properties!A$1:CB$87,'Fórmula'!B94,55)&lt;&gt;"",INDEX(properties!A$1:CB$87,'Fórmula'!B94,55)),IF(INDEX(properties!A$1:CB$87,'Fórmula'!D94,55)&lt;&gt;"",INDEX(properties!A$1:CB$87,'Fórmula'!D94,55)),IF(INDEX(properties!A$1:CB$87,'Fórmula'!F94,55)&lt;&gt;"",INDEX(properties!A$1:CB$87,'Fórmula'!F94,55)),IF(INDEX(properties!A$1:CB$87,'Fórmula'!H94,55)&lt;&gt;"",INDEX(properties!A$1:CB$87,'Fórmula'!H94,55)),IF(INDEX(properties!A$1:CB$87,'Fórmula'!J94,55)&lt;&gt;"",INDEX(properties!A$1:CB$87,'Fórmula'!J94,55)))</f>
        <v>7.114553391</v>
      </c>
      <c r="FQ94" s="118">
        <f t="array" ref="FQ94">MAX(INDEX(properties!A$1:CB$87,'Fórmula'!B94,55),INDEX(properties!A$1:CB$87,'Fórmula'!D94,55),INDEX(properties!A$1:CB$87,'Fórmula'!F94,55),INDEX(properties!A$1:CB$87,'Fórmula'!H94,55),INDEX(properties!A$1:CB$87,'Fórmula'!J94,55))</f>
        <v>6.15</v>
      </c>
      <c r="FR94" s="118">
        <f t="array" ref="FR94">MIN(IF(INDEX(properties!A$1:CB$87,'Fórmula'!B94,55)=0,10^6,INDEX(properties!A$1:CB$87,'Fórmula'!B94,55)),IF(INDEX(properties!A$1:CB$87,'Fórmula'!D94,55)=0,10^6,INDEX(properties!A$1:CB$87,'Fórmula'!D94,55)),IF(INDEX(properties!A$1:CB$87,'Fórmula'!F94,55)=0,10^6,INDEX(properties!A$1:CB$87,'Fórmula'!F94,55)),IF(INDEX(properties!A$1:CB$87,'Fórmula'!H94,55)=0,10^6,INDEX(properties!A$1:CB$87,'Fórmula'!H94,55)),IF(INDEX(properties!A$1:CB$87,'Fórmula'!J94,55)=0,10^6,INDEX(properties!A$1:CB$87,'Fórmula'!J94,55)))</f>
        <v>0.00143</v>
      </c>
      <c r="FS94" s="118">
        <f t="shared" si="29"/>
        <v>6.14857</v>
      </c>
      <c r="FT94" s="119">
        <f t="array" ref="FT94">(('Fórmula'!C94)/('Fórmula'!C94+'Fórmula'!E94+'Fórmula'!G94+'Fórmula'!I94+'Fórmula'!K94))*(INDEX(properties!A$1:CB$87,'Fórmula'!B94,56))+(('Fórmula'!E94)/('Fórmula'!C94+'Fórmula'!E94+'Fórmula'!G94+'Fórmula'!I94+'Fórmula'!K94))*(INDEX(properties!A$1:CB$87,'Fórmula'!D94,56))+(('Fórmula'!G94)/('Fórmula'!C94+'Fórmula'!E94+'Fórmula'!G94+'Fórmula'!I94+'Fórmula'!K94))*(INDEX(properties!A$1:CB$87,'Fórmula'!F94,56))+(('Fórmula'!I94)/('Fórmula'!C94+'Fórmula'!E94+'Fórmula'!G94+'Fórmula'!I94+'Fórmula'!K94))*(INDEX(properties!A$1:CB$87,'Fórmula'!H94,56))+(('Fórmula'!K94)/('Fórmula'!C94+'Fórmula'!E94+'Fórmula'!G94+'Fórmula'!I94+'Fórmula'!K94))*(INDEX(properties!A$1:CB$87,'Fórmula'!J94,56))</f>
        <v>0.7145454545</v>
      </c>
      <c r="FU94" s="119">
        <f t="array" ref="FU94">'Fórmula'!C94*(INDEX(properties!A$1:CB$87,'Fórmula'!B94,56))+'Fórmula'!E94*(INDEX(properties!A$1:CB$87,'Fórmula'!D94,56))+'Fórmula'!G94*(INDEX(properties!A$1:CB$87,'Fórmula'!F94,56))+'Fórmula'!I94*(INDEX(properties!A$1:CB$87,'Fórmula'!H94,56))+'Fórmula'!K94*(INDEX(properties!A$1:CB$87,'Fórmula'!J94,56))</f>
        <v>7.86</v>
      </c>
      <c r="FV94" s="119">
        <f t="array" ref="FV94">VARP(IF(INDEX(properties!A$1:CB$87,'Fórmula'!B94,56)&lt;&gt;"",INDEX(properties!A$1:CB$87,'Fórmula'!B94,56)),IF(INDEX(properties!A$1:CB$87,'Fórmula'!D94,56)&lt;&gt;"",INDEX(properties!A$1:CB$87,'Fórmula'!D94,56)),IF(INDEX(properties!A$1:CB$87,'Fórmula'!F94,56)&lt;&gt;"",INDEX(properties!A$1:CB$87,'Fórmula'!F94,56)),IF(INDEX(properties!A$1:CB$87,'Fórmula'!H94,56)&lt;&gt;"",INDEX(properties!A$1:CB$87,'Fórmula'!H94,56)),IF(INDEX(properties!A$1:CB$87,'Fórmula'!J94,56)&lt;&gt;"",INDEX(properties!A$1:CB$87,'Fórmula'!J94,56)))</f>
        <v>0.124304</v>
      </c>
      <c r="FW94" s="119">
        <f t="array" ref="FW94">MAX(INDEX(properties!A$1:CB$87,'Fórmula'!B94,56),INDEX(properties!A$1:CB$87,'Fórmula'!D94,56),INDEX(properties!A$1:CB$87,'Fórmula'!F94,56),INDEX(properties!A$1:CB$87,'Fórmula'!H94,56),INDEX(properties!A$1:CB$87,'Fórmula'!J94,56))</f>
        <v>0.92</v>
      </c>
      <c r="FX94" s="119">
        <f t="array" ref="FX94">MIN(IF(INDEX(properties!A$1:CB$87,'Fórmula'!B94,56)=0,10^6,INDEX(properties!A$1:CB$87,'Fórmula'!B94,56)),IF(INDEX(properties!A$1:CB$87,'Fórmula'!D94,56)=0,10^6,INDEX(properties!A$1:CB$87,'Fórmula'!D94,56)),IF(INDEX(properties!A$1:CB$87,'Fórmula'!F94,56)=0,10^6,INDEX(properties!A$1:CB$87,'Fórmula'!F94,56)),IF(INDEX(properties!A$1:CB$87,'Fórmula'!H94,56)=0,10^6,INDEX(properties!A$1:CB$87,'Fórmula'!H94,56)),IF(INDEX(properties!A$1:CB$87,'Fórmula'!J94,56)=0,10^6,INDEX(properties!A$1:CB$87,'Fórmula'!J94,56)))</f>
        <v>0.19</v>
      </c>
      <c r="FY94" s="119">
        <f t="shared" si="30"/>
        <v>0.73</v>
      </c>
      <c r="FZ94" s="104">
        <f t="array" ref="FZ94">(('Fórmula'!C94)/('Fórmula'!C94+'Fórmula'!E94+'Fórmula'!G94+'Fórmula'!I94+'Fórmula'!K94))*(INDEX(properties!A$1:CB$87,'Fórmula'!B94,57))+(('Fórmula'!E94)/('Fórmula'!C94+'Fórmula'!E94+'Fórmula'!G94+'Fórmula'!I94+'Fórmula'!K94))*(INDEX(properties!A$1:CB$87,'Fórmula'!D94,57))+(('Fórmula'!G94)/('Fórmula'!C94+'Fórmula'!E94+'Fórmula'!G94+'Fórmula'!I94+'Fórmula'!K94))*(INDEX(properties!A$1:CB$87,'Fórmula'!F94,57))+(('Fórmula'!I94)/('Fórmula'!C94+'Fórmula'!E94+'Fórmula'!G94+'Fórmula'!I94+'Fórmula'!K94))*(INDEX(properties!A$1:CB$87,'Fórmula'!H94,57))+(('Fórmula'!K94)/('Fórmula'!C94+'Fórmula'!E94+'Fórmula'!G94+'Fórmula'!I94+'Fórmula'!K94))*(INDEX(properties!A$1:CB$87,'Fórmula'!J94,57))</f>
        <v>4.078011818</v>
      </c>
      <c r="GA94" s="104">
        <f t="array" ref="GA94">'Fórmula'!C94*(INDEX(properties!A$1:CB$87,'Fórmula'!B94,57))+'Fórmula'!E94*(INDEX(properties!A$1:CB$87,'Fórmula'!D94,57))+'Fórmula'!G94*(INDEX(properties!A$1:CB$87,'Fórmula'!F94,57))+'Fórmula'!I94*(INDEX(properties!A$1:CB$87,'Fórmula'!H94,57))+'Fórmula'!K94*(INDEX(properties!A$1:CB$87,'Fórmula'!J94,57))</f>
        <v>44.85813</v>
      </c>
      <c r="GB94" s="104">
        <f t="array" ref="GB94">VARP(IF(INDEX(properties!A$1:CB$87,'Fórmula'!B94,57)&lt;&gt;"",INDEX(properties!A$1:CB$87,'Fórmula'!B94,57)),IF(INDEX(properties!A$1:CB$87,'Fórmula'!D94,57)&lt;&gt;"",INDEX(properties!A$1:CB$87,'Fórmula'!D94,57)),IF(INDEX(properties!A$1:CB$87,'Fórmula'!F94,57)&lt;&gt;"",INDEX(properties!A$1:CB$87,'Fórmula'!F94,57)),IF(INDEX(properties!A$1:CB$87,'Fórmula'!H94,57)&lt;&gt;"",INDEX(properties!A$1:CB$87,'Fórmula'!H94,57)),IF(INDEX(properties!A$1:CB$87,'Fórmula'!J94,57)&lt;&gt;"",INDEX(properties!A$1:CB$87,'Fórmula'!J94,57)))</f>
        <v>36.30200153</v>
      </c>
      <c r="GC94" s="104">
        <f t="array" ref="GC94">MAX(INDEX(properties!A$1:CB$87,'Fórmula'!B94,57),INDEX(properties!A$1:CB$87,'Fórmula'!D94,57),INDEX(properties!A$1:CB$87,'Fórmula'!F94,57),INDEX(properties!A$1:CB$87,'Fórmula'!H94,57),INDEX(properties!A$1:CB$87,'Fórmula'!J94,57))</f>
        <v>15.45</v>
      </c>
      <c r="GD94" s="104">
        <f t="array" ref="GD94">MIN(IF(INDEX(properties!A$1:CB$87,'Fórmula'!B94,57)=0,10^6,INDEX(properties!A$1:CB$87,'Fórmula'!B94,57)),IF(INDEX(properties!A$1:CB$87,'Fórmula'!D94,57)=0,10^6,INDEX(properties!A$1:CB$87,'Fórmula'!D94,57)),IF(INDEX(properties!A$1:CB$87,'Fórmula'!F94,57)=0,10^6,INDEX(properties!A$1:CB$87,'Fórmula'!F94,57)),IF(INDEX(properties!A$1:CB$87,'Fórmula'!H94,57)=0,10^6,INDEX(properties!A$1:CB$87,'Fórmula'!H94,57)),IF(INDEX(properties!A$1:CB$87,'Fórmula'!J94,57)=0,10^6,INDEX(properties!A$1:CB$87,'Fórmula'!J94,57)))</f>
        <v>0.22259</v>
      </c>
      <c r="GE94" s="104">
        <f t="shared" si="31"/>
        <v>15.22741</v>
      </c>
      <c r="GF94" s="105">
        <f t="array" ref="GF94">(('Fórmula'!C94)/('Fórmula'!C94+'Fórmula'!E94+'Fórmula'!G94+'Fórmula'!I94+'Fórmula'!K94))*(INDEX(properties!A$1:CB$87,'Fórmula'!B94,60))+(('Fórmula'!E94)/('Fórmula'!C94+'Fórmula'!E94+'Fórmula'!G94+'Fórmula'!I94+'Fórmula'!K94))*(INDEX(properties!A$1:CB$87,'Fórmula'!D94,60))+(('Fórmula'!G94)/('Fórmula'!C94+'Fórmula'!E94+'Fórmula'!G94+'Fórmula'!I94+'Fórmula'!K94))*(INDEX(properties!A$1:CB$87,'Fórmula'!F94,60))+(('Fórmula'!I94)/('Fórmula'!C94+'Fórmula'!E94+'Fórmula'!G94+'Fórmula'!I94+'Fórmula'!K94))*(INDEX(properties!A$1:CB$87,'Fórmula'!H94,60))+(('Fórmula'!K94)/('Fórmula'!C94+'Fórmula'!E94+'Fórmula'!G94+'Fórmula'!I94+'Fórmula'!K94))*(INDEX(properties!A$1:CB$87,'Fórmula'!J94,60))</f>
        <v>6.45338</v>
      </c>
      <c r="GG94" s="105">
        <f t="array" ref="GG94">'Fórmula'!C94*(INDEX(properties!A$1:CB$87,'Fórmula'!B94,60))+'Fórmula'!E94*(INDEX(properties!A$1:CB$87,'Fórmula'!D94,60))+'Fórmula'!G94*(INDEX(properties!A$1:CB$87,'Fórmula'!F94,60))+'Fórmula'!I94*(INDEX(properties!A$1:CB$87,'Fórmula'!H94,60))+'Fórmula'!K94*(INDEX(properties!A$1:CB$87,'Fórmula'!J94,60))</f>
        <v>70.98718</v>
      </c>
      <c r="GH94" s="105">
        <f t="array" ref="GH94">VARP(IF(INDEX(properties!A$1:CB$87,'Fórmula'!B94,60)&lt;&gt;"",INDEX(properties!A$1:CB$87,'Fórmula'!B94,60)),IF(INDEX(properties!A$1:CB$87,'Fórmula'!D94,60)&lt;&gt;"",INDEX(properties!A$1:CB$87,'Fórmula'!D94,60)),IF(INDEX(properties!A$1:CB$87,'Fórmula'!F94,60)&lt;&gt;"",INDEX(properties!A$1:CB$87,'Fórmula'!F94,60)),IF(INDEX(properties!A$1:CB$87,'Fórmula'!H94,60)&lt;&gt;"",INDEX(properties!A$1:CB$87,'Fórmula'!H94,60)),IF(INDEX(properties!A$1:CB$87,'Fórmula'!J94,60)&lt;&gt;"",INDEX(properties!A$1:CB$87,'Fórmula'!J94,60)))</f>
        <v>82.16998672</v>
      </c>
      <c r="GI94" s="105">
        <f t="array" ref="GI94">MAX(INDEX(properties!A$1:CB$87,'Fórmula'!B94,60),INDEX(properties!A$1:CB$87,'Fórmula'!D94,60),INDEX(properties!A$1:CB$87,'Fórmula'!F94,60),INDEX(properties!A$1:CB$87,'Fórmula'!H94,60),INDEX(properties!A$1:CB$87,'Fórmula'!J94,60))</f>
        <v>21.9</v>
      </c>
      <c r="GJ94" s="105">
        <f t="array" ref="GJ94">MIN(IF(INDEX(properties!A$1:CB$87,'Fórmula'!B94,60)=0,10^6,INDEX(properties!A$1:CB$87,'Fórmula'!B94,60)),IF(INDEX(properties!A$1:CB$87,'Fórmula'!D94,60)=0,10^6,INDEX(properties!A$1:CB$87,'Fórmula'!D94,60)),IF(INDEX(properties!A$1:CB$87,'Fórmula'!F94,60)=0,10^6,INDEX(properties!A$1:CB$87,'Fórmula'!F94,60)),IF(INDEX(properties!A$1:CB$87,'Fórmula'!H94,60)=0,10^6,INDEX(properties!A$1:CB$87,'Fórmula'!H94,60)),IF(INDEX(properties!A$1:CB$87,'Fórmula'!J94,60)=0,10^6,INDEX(properties!A$1:CB$87,'Fórmula'!J94,60)))</f>
        <v>0.02674</v>
      </c>
      <c r="GK94" s="105">
        <f t="shared" si="32"/>
        <v>21.87326</v>
      </c>
      <c r="GL94" s="106">
        <f t="array" ref="GL94">(('Fórmula'!C94)/('Fórmula'!C94+'Fórmula'!E94+'Fórmula'!G94+'Fórmula'!I94+'Fórmula'!K94))*(INDEX(properties!A$1:CB$87,'Fórmula'!B94,62))+(('Fórmula'!E94)/('Fórmula'!C94+'Fórmula'!E94+'Fórmula'!G94+'Fórmula'!I94+'Fórmula'!K94))*(INDEX(properties!A$1:CB$87,'Fórmula'!D94,62))+(('Fórmula'!G94)/('Fórmula'!C94+'Fórmula'!E94+'Fórmula'!G94+'Fórmula'!I94+'Fórmula'!K94))*(INDEX(properties!A$1:CB$87,'Fórmula'!F94,62))+(('Fórmula'!I94)/('Fórmula'!C94+'Fórmula'!E94+'Fórmula'!G94+'Fórmula'!I94+'Fórmula'!K94))*(INDEX(properties!A$1:CB$87,'Fórmula'!H94,62))+(('Fórmula'!K94)/('Fórmula'!C94+'Fórmula'!E94+'Fórmula'!G94+'Fórmula'!I94+'Fórmula'!K94))*(INDEX(properties!A$1:CB$87,'Fórmula'!J94,62))</f>
        <v>3.361818182</v>
      </c>
      <c r="GM94" s="106">
        <f t="array" ref="GM94">'Fórmula'!C94*(INDEX(properties!A$1:CB$87,'Fórmula'!B94,62))+'Fórmula'!E94*(INDEX(properties!A$1:CB$87,'Fórmula'!D94,62))+'Fórmula'!G94*(INDEX(properties!A$1:CB$87,'Fórmula'!F94,62))+'Fórmula'!I94*(INDEX(properties!A$1:CB$87,'Fórmula'!H94,62))+'Fórmula'!K94*(INDEX(properties!A$1:CB$87,'Fórmula'!J94,62))</f>
        <v>36.98</v>
      </c>
      <c r="GN94" s="106">
        <f t="array" ref="GN94">VARP(IF(INDEX(properties!A$1:CB$87,'Fórmula'!B94,62)&lt;&gt;"",INDEX(properties!A$1:CB$87,'Fórmula'!B94,62)),IF(INDEX(properties!A$1:CB$87,'Fórmula'!D94,62)&lt;&gt;"",INDEX(properties!A$1:CB$87,'Fórmula'!D94,62)),IF(INDEX(properties!A$1:CB$87,'Fórmula'!F94,62)&lt;&gt;"",INDEX(properties!A$1:CB$87,'Fórmula'!F94,62)),IF(INDEX(properties!A$1:CB$87,'Fórmula'!H94,62)&lt;&gt;"",INDEX(properties!A$1:CB$87,'Fórmula'!H94,62)),IF(INDEX(properties!A$1:CB$87,'Fórmula'!J94,62)&lt;&gt;"",INDEX(properties!A$1:CB$87,'Fórmula'!J94,62)))</f>
        <v>4.371016</v>
      </c>
      <c r="GO94" s="106">
        <f t="array" ref="GO94">MAX(INDEX(properties!A$1:CB$87,'Fórmula'!B94,62),INDEX(properties!A$1:CB$87,'Fórmula'!D94,62),INDEX(properties!A$1:CB$87,'Fórmula'!F94,62),INDEX(properties!A$1:CB$87,'Fórmula'!H94,62),INDEX(properties!A$1:CB$87,'Fórmula'!J94,62))</f>
        <v>4.85</v>
      </c>
      <c r="GP94" s="106">
        <f t="array" ref="GP94">MIN(IF(INDEX(properties!A$1:CB$87,'Fórmula'!B94,62)=0,10^6,INDEX(properties!A$1:CB$87,'Fórmula'!B94,62)),IF(INDEX(properties!A$1:CB$87,'Fórmula'!D94,62)=0,10^6,INDEX(properties!A$1:CB$87,'Fórmula'!D94,62)),IF(INDEX(properties!A$1:CB$87,'Fórmula'!F94,62)=0,10^6,INDEX(properties!A$1:CB$87,'Fórmula'!F94,62)),IF(INDEX(properties!A$1:CB$87,'Fórmula'!H94,62)=0,10^6,INDEX(properties!A$1:CB$87,'Fórmula'!H94,62)),IF(INDEX(properties!A$1:CB$87,'Fórmula'!J94,62)=0,10^6,INDEX(properties!A$1:CB$87,'Fórmula'!J94,62)))</f>
        <v>2.62</v>
      </c>
      <c r="GQ94" s="106">
        <f t="shared" si="33"/>
        <v>2.23</v>
      </c>
      <c r="GR94" s="106">
        <f>'Fórmula'!Q94</f>
        <v>4</v>
      </c>
      <c r="GS94" s="107">
        <f>'Fórmula'!P94</f>
        <v>6</v>
      </c>
      <c r="GT94" s="113">
        <f>'Fórmula'!O94</f>
        <v>5.8</v>
      </c>
      <c r="GU94" s="114">
        <f>AVERAGE('Fórmula'!R94/'Fórmula'!S94,'Fórmula'!S94/'Fórmula'!T94,'Fórmula'!T94/'Fórmula'!R94)</f>
        <v>1.167439187</v>
      </c>
      <c r="GV94" s="125">
        <f>'Fórmula'!U94</f>
        <v>556.07</v>
      </c>
      <c r="GW94" s="106">
        <f>'Fórmula'!N94</f>
        <v>0.05</v>
      </c>
    </row>
    <row r="95" ht="14.25" customHeight="1">
      <c r="A95" s="99" t="str">
        <f>'Fórmula'!A95</f>
        <v>Zn2V2O7</v>
      </c>
      <c r="B95" s="101">
        <f t="array" ref="B95">(('Fórmula'!C95)/('Fórmula'!C95+'Fórmula'!E95+'Fórmula'!G95+'Fórmula'!I95+'Fórmula'!K95))*(INDEX(properties!A$1:CB$87,'Fórmula'!B95,3))+(('Fórmula'!E95)/('Fórmula'!C95+'Fórmula'!E95+'Fórmula'!G95+'Fórmula'!I95+'Fórmula'!K95))*(INDEX(properties!A$1:CB$87,'Fórmula'!D95,3))+(('Fórmula'!G95)/('Fórmula'!C95+'Fórmula'!E95+'Fórmula'!G95+'Fórmula'!I95+'Fórmula'!K95))*(INDEX(properties!A$1:CB$87,'Fórmula'!F95,3))+(('Fórmula'!I95)/('Fórmula'!C95+'Fórmula'!E95+'Fórmula'!G95+'Fórmula'!I95+'Fórmula'!K95))*(INDEX(properties!A$1:CB$87,'Fórmula'!H95,3))+(('Fórmula'!K95)/('Fórmula'!C95+'Fórmula'!E95+'Fórmula'!G95+'Fórmula'!I95+'Fórmula'!K95))*(INDEX(properties!A$1:CB$87,'Fórmula'!J95,3))</f>
        <v>31.3308</v>
      </c>
      <c r="C95" s="101">
        <f t="array" ref="C95">'Fórmula'!C95*(INDEX(properties!A$1:CB$87,'Fórmula'!B95,3))+'Fórmula'!E95*(INDEX(properties!A$1:CB$87,'Fórmula'!D95,3))+'Fórmula'!G95*(INDEX(properties!A$1:CB$87,'Fórmula'!F95,3))+'Fórmula'!I95*(INDEX(properties!A$1:CB$87,'Fórmula'!H95,3))+'Fórmula'!K95*(INDEX(properties!A$1:CB$87,'Fórmula'!J95,3))</f>
        <v>344.6388</v>
      </c>
      <c r="D95" s="101">
        <f t="array" ref="D95">VARP(IF(INDEX(properties!A$1:CB$87,'Fórmula'!B95,3)&lt;&gt;"",INDEX(properties!A$1:CB$87,'Fórmula'!B95,3)),IF(INDEX(properties!A$1:CB$87,'Fórmula'!D95,3)&lt;&gt;"",INDEX(properties!A$1:CB$87,'Fórmula'!D95,3)),IF(INDEX(properties!A$1:CB$87,'Fórmula'!F95,3)&lt;&gt;"",INDEX(properties!A$1:CB$87,'Fórmula'!F95,3)),IF(INDEX(properties!A$1:CB$87,'Fórmula'!H95,3)&lt;&gt;"",INDEX(properties!A$1:CB$87,'Fórmula'!H95,3)),IF(INDEX(properties!A$1:CB$87,'Fórmula'!J95,3)&lt;&gt;"",INDEX(properties!A$1:CB$87,'Fórmula'!J95,3)))</f>
        <v>724.7595014</v>
      </c>
      <c r="E95" s="101">
        <f t="array" ref="E95">MAX(INDEX(properties!A$1:CB$87,'Fórmula'!B95,3),INDEX(properties!A$1:CB$87,'Fórmula'!D95,3),INDEX(properties!A$1:CB$87,'Fórmula'!F95,3),INDEX(properties!A$1:CB$87,'Fórmula'!H95,3),INDEX(properties!A$1:CB$87,'Fórmula'!J95,3))</f>
        <v>65.38</v>
      </c>
      <c r="F95" s="101">
        <f t="array" ref="F95">MIN(IF(INDEX(properties!A$1:CB$87,'Fórmula'!B95,3)=0,10^6,INDEX(properties!A$1:CB$87,'Fórmula'!B95,3)),IF(INDEX(properties!A$1:CB$87,'Fórmula'!D95,3)=0,10^6,INDEX(properties!A$1:CB$87,'Fórmula'!D95,3)),IF(INDEX(properties!A$1:CB$87,'Fórmula'!F95,3)=0,10^6,INDEX(properties!A$1:CB$87,'Fórmula'!F95,3)),IF(INDEX(properties!A$1:CB$87,'Fórmula'!H95,3)=0,10^6,INDEX(properties!A$1:CB$87,'Fórmula'!H95,3)),IF(INDEX(properties!A$1:CB$87,'Fórmula'!J95,3)=0,10^6,INDEX(properties!A$1:CB$87,'Fórmula'!J95,3)))</f>
        <v>15.9994</v>
      </c>
      <c r="G95" s="101">
        <f t="shared" si="1"/>
        <v>49.3806</v>
      </c>
      <c r="H95" s="102">
        <f t="array" ref="H95">(('Fórmula'!C95)/('Fórmula'!C95+'Fórmula'!E95+'Fórmula'!G95+'Fórmula'!I95+'Fórmula'!K95))*(INDEX(properties!A$1:CB$87,'Fórmula'!B95,4))+(('Fórmula'!E95)/('Fórmula'!C95+'Fórmula'!E95+'Fórmula'!G95+'Fórmula'!I95+'Fórmula'!K95))*(INDEX(properties!A$1:CB$87,'Fórmula'!D95,4))+(('Fórmula'!G95)/('Fórmula'!C95+'Fórmula'!E95+'Fórmula'!G95+'Fórmula'!I95+'Fórmula'!K95))*(INDEX(properties!A$1:CB$87,'Fórmula'!F95,4))+(('Fórmula'!I95)/('Fórmula'!C95+'Fórmula'!E95+'Fórmula'!G95+'Fórmula'!I95+'Fórmula'!K95))*(INDEX(properties!A$1:CB$87,'Fórmula'!H95,4))+(('Fórmula'!K95)/('Fórmula'!C95+'Fórmula'!E95+'Fórmula'!G95+'Fórmula'!I95+'Fórmula'!K95))*(INDEX(properties!A$1:CB$87,'Fórmula'!J95,4))</f>
        <v>14.72727273</v>
      </c>
      <c r="I95" s="102">
        <f t="array" ref="I95">'Fórmula'!C95*(INDEX(properties!A$1:CB$87,'Fórmula'!B95,4))+'Fórmula'!E95*(INDEX(properties!A$1:CB$87,'Fórmula'!D95,4))+'Fórmula'!G95*(INDEX(properties!A$1:CB$87,'Fórmula'!F95,4))+'Fórmula'!I95*(INDEX(properties!A$1:CB$87,'Fórmula'!H95,4))+'Fórmula'!K95*(INDEX(properties!A$1:CB$87,'Fórmula'!J95,4))</f>
        <v>162</v>
      </c>
      <c r="J95" s="102">
        <f t="array" ref="J95">VARP(IF(INDEX(properties!A$1:CB$87,'Fórmula'!B95,4)&lt;&gt;"",INDEX(properties!A$1:CB$87,'Fórmula'!B95,4)),IF(INDEX(properties!A$1:CB$87,'Fórmula'!D95,4)&lt;&gt;"",INDEX(properties!A$1:CB$87,'Fórmula'!D95,4)),IF(INDEX(properties!A$1:CB$87,'Fórmula'!F95,4)&lt;&gt;"",INDEX(properties!A$1:CB$87,'Fórmula'!F95,4)),IF(INDEX(properties!A$1:CB$87,'Fórmula'!H95,4)&lt;&gt;"",INDEX(properties!A$1:CB$87,'Fórmula'!H95,4)),IF(INDEX(properties!A$1:CB$87,'Fórmula'!J95,4)&lt;&gt;"",INDEX(properties!A$1:CB$87,'Fórmula'!J95,4)))</f>
        <v>149.76</v>
      </c>
      <c r="K95" s="102">
        <f t="array" ref="K95">MAX(INDEX(properties!A$1:CB$87,'Fórmula'!B95,4),INDEX(properties!A$1:CB$87,'Fórmula'!D95,4),INDEX(properties!A$1:CB$87,'Fórmula'!F95,4),INDEX(properties!A$1:CB$87,'Fórmula'!H95,4),INDEX(properties!A$1:CB$87,'Fórmula'!J95,4))</f>
        <v>30</v>
      </c>
      <c r="L95" s="102">
        <f t="array" ref="L95">MIN(IF(INDEX(properties!A$1:CB$87,'Fórmula'!B95,4)=0,10^6,INDEX(properties!A$1:CB$87,'Fórmula'!B95,4)),IF(INDEX(properties!A$1:CB$87,'Fórmula'!D95,4)=0,10^6,INDEX(properties!A$1:CB$87,'Fórmula'!D95,4)),IF(INDEX(properties!A$1:CB$87,'Fórmula'!F95,4)=0,10^6,INDEX(properties!A$1:CB$87,'Fórmula'!F95,4)),IF(INDEX(properties!A$1:CB$87,'Fórmula'!H95,4)=0,10^6,INDEX(properties!A$1:CB$87,'Fórmula'!H95,4)),IF(INDEX(properties!A$1:CB$87,'Fórmula'!J95,4)=0,10^6,INDEX(properties!A$1:CB$87,'Fórmula'!J95,4)))</f>
        <v>8</v>
      </c>
      <c r="M95" s="102">
        <f t="shared" si="2"/>
        <v>22</v>
      </c>
      <c r="N95" s="103">
        <f t="array" ref="N95">(('Fórmula'!C95)/('Fórmula'!C95+'Fórmula'!E95+'Fórmula'!G95+'Fórmula'!I95+'Fórmula'!K95))*(INDEX(properties!A$1:CB$87,'Fórmula'!B95,5))+(('Fórmula'!E95)/('Fórmula'!C95+'Fórmula'!E95+'Fórmula'!G95+'Fórmula'!I95+'Fórmula'!K95))*(INDEX(properties!A$1:CB$87,'Fórmula'!D95,5))+(('Fórmula'!G95)/('Fórmula'!C95+'Fórmula'!E95+'Fórmula'!G95+'Fórmula'!I95+'Fórmula'!K95))*(INDEX(properties!A$1:CB$87,'Fórmula'!F95,5))+(('Fórmula'!I95)/('Fórmula'!C95+'Fórmula'!E95+'Fórmula'!G95+'Fórmula'!I95+'Fórmula'!K95))*(INDEX(properties!A$1:CB$87,'Fórmula'!H95,5))+(('Fórmula'!K95)/('Fórmula'!C95+'Fórmula'!E95+'Fórmula'!G95+'Fórmula'!I95+'Fórmula'!K95))*(INDEX(properties!A$1:CB$87,'Fórmula'!J95,5))</f>
        <v>2.727272727</v>
      </c>
      <c r="O95" s="103">
        <f t="array" ref="O95">'Fórmula'!C95*(INDEX(properties!A$1:CB$87,'Fórmula'!B95,5))+'Fórmula'!E95*(INDEX(properties!A$1:CB$87,'Fórmula'!D95,5))+'Fórmula'!G95*(INDEX(properties!A$1:CB$87,'Fórmula'!F95,5))+'Fórmula'!I95*(INDEX(properties!A$1:CB$87,'Fórmula'!H95,5))+'Fórmula'!K95*(INDEX(properties!A$1:CB$87,'Fórmula'!J95,5))</f>
        <v>30</v>
      </c>
      <c r="P95" s="103">
        <f t="array" ref="P95">VARP(IF(INDEX(properties!A$1:CB$87,'Fórmula'!B95,5)&lt;&gt;"",INDEX(properties!A$1:CB$87,'Fórmula'!B95,5)),IF(INDEX(properties!A$1:CB$87,'Fórmula'!D95,5)&lt;&gt;"",INDEX(properties!A$1:CB$87,'Fórmula'!D95,5)),IF(INDEX(properties!A$1:CB$87,'Fórmula'!F95,5)&lt;&gt;"",INDEX(properties!A$1:CB$87,'Fórmula'!F95,5)),IF(INDEX(properties!A$1:CB$87,'Fórmula'!H95,5)&lt;&gt;"",INDEX(properties!A$1:CB$87,'Fórmula'!H95,5)),IF(INDEX(properties!A$1:CB$87,'Fórmula'!J95,5)&lt;&gt;"",INDEX(properties!A$1:CB$87,'Fórmula'!J95,5)))</f>
        <v>3.2</v>
      </c>
      <c r="Q95" s="103">
        <f t="array" ref="Q95">MAX(INDEX(properties!A$1:CB$87,'Fórmula'!B95,5),INDEX(properties!A$1:CB$87,'Fórmula'!D95,5),INDEX(properties!A$1:CB$87,'Fórmula'!F95,5),INDEX(properties!A$1:CB$87,'Fórmula'!H95,5),INDEX(properties!A$1:CB$87,'Fórmula'!J95,5))</f>
        <v>4</v>
      </c>
      <c r="R95" s="103">
        <f t="array" ref="R95">MIN(IF(INDEX(properties!A$1:CB$87,'Fórmula'!B95,5)=0,10^6,INDEX(properties!A$1:CB$87,'Fórmula'!B95,5)),IF(INDEX(properties!A$1:CB$87,'Fórmula'!D95,5)=0,10^6,INDEX(properties!A$1:CB$87,'Fórmula'!D95,5)),IF(INDEX(properties!A$1:CB$87,'Fórmula'!F95,5)=0,10^6,INDEX(properties!A$1:CB$87,'Fórmula'!F95,5)),IF(INDEX(properties!A$1:CB$87,'Fórmula'!H95,5)=0,10^6,INDEX(properties!A$1:CB$87,'Fórmula'!H95,5)),IF(INDEX(properties!A$1:CB$87,'Fórmula'!J95,5)=0,10^6,INDEX(properties!A$1:CB$87,'Fórmula'!J95,5)))</f>
        <v>2</v>
      </c>
      <c r="S95" s="103">
        <f t="shared" si="3"/>
        <v>2</v>
      </c>
      <c r="T95" s="104">
        <f t="array" ref="T95">(('Fórmula'!C95)/('Fórmula'!C95+'Fórmula'!E95+'Fórmula'!G95+'Fórmula'!I95+'Fórmula'!K95))*(INDEX(properties!A$1:CB$87,'Fórmula'!B95,6))+(('Fórmula'!E95)/('Fórmula'!C95+'Fórmula'!E95+'Fórmula'!G95+'Fórmula'!I95+'Fórmula'!K95))*(INDEX(properties!A$1:CB$87,'Fórmula'!D95,6))+(('Fórmula'!G95)/('Fórmula'!C95+'Fórmula'!E95+'Fórmula'!G95+'Fórmula'!I95+'Fórmula'!K95))*(INDEX(properties!A$1:CB$87,'Fórmula'!F95,6))+(('Fórmula'!I95)/('Fórmula'!C95+'Fórmula'!E95+'Fórmula'!G95+'Fórmula'!I95+'Fórmula'!K95))*(INDEX(properties!A$1:CB$87,'Fórmula'!H95,6))+(('Fórmula'!K95)/('Fórmula'!C95+'Fórmula'!E95+'Fórmula'!G95+'Fórmula'!I95+'Fórmula'!K95))*(INDEX(properties!A$1:CB$87,'Fórmula'!J95,6))</f>
        <v>13.27272727</v>
      </c>
      <c r="U95" s="104">
        <f t="array" ref="U95">'Fórmula'!C95*(INDEX(properties!A$1:CB$87,'Fórmula'!B95,6))+'Fórmula'!E95*(INDEX(properties!A$1:CB$87,'Fórmula'!D95,6))+'Fórmula'!G95*(INDEX(properties!A$1:CB$87,'Fórmula'!F95,6))+'Fórmula'!I95*(INDEX(properties!A$1:CB$87,'Fórmula'!H95,6))+'Fórmula'!K95*(INDEX(properties!A$1:CB$87,'Fórmula'!J95,6))</f>
        <v>146</v>
      </c>
      <c r="V95" s="103">
        <f t="array" ref="V95">VARP(IF(INDEX(properties!A$1:CB$87,'Fórmula'!B95,6)&lt;&gt;"",INDEX(properties!A$1:CB$87,'Fórmula'!B95,6)),IF(INDEX(properties!A$1:CB$87,'Fórmula'!D95,6)&lt;&gt;"",INDEX(properties!A$1:CB$87,'Fórmula'!D95,6)),IF(INDEX(properties!A$1:CB$87,'Fórmula'!F95,6)&lt;&gt;"",INDEX(properties!A$1:CB$87,'Fórmula'!F95,6)),IF(INDEX(properties!A$1:CB$87,'Fórmula'!H95,6)&lt;&gt;"",INDEX(properties!A$1:CB$87,'Fórmula'!H95,6)),IF(INDEX(properties!A$1:CB$87,'Fórmula'!J95,6)&lt;&gt;"",INDEX(properties!A$1:CB$87,'Fórmula'!J95,6)))</f>
        <v>41.44</v>
      </c>
      <c r="W95" s="104">
        <f t="array" ref="W95">MAX(INDEX(properties!A$1:CB$87,'Fórmula'!B95,6),INDEX(properties!A$1:CB$87,'Fórmula'!D95,6),INDEX(properties!A$1:CB$87,'Fórmula'!F95,6),INDEX(properties!A$1:CB$87,'Fórmula'!H95,4),INDEX(properties!A$1:CB$87,'Fórmula'!J95,6))</f>
        <v>16</v>
      </c>
      <c r="X95" s="104">
        <f t="array" ref="X95">MIN(IF(INDEX(properties!A$1:CB$87,'Fórmula'!B95,6)=0,10^6,INDEX(properties!A$1:CB$87,'Fórmula'!B95,6)),IF(INDEX(properties!A$1:CB$87,'Fórmula'!D95,6)=0,10^6,INDEX(properties!A$1:CB$87,'Fórmula'!D95,6)),IF(INDEX(properties!A$1:CB$87,'Fórmula'!F95,6)=0,10^6,INDEX(properties!A$1:CB$87,'Fórmula'!F95,6)),IF(INDEX(properties!A$1:CB$87,'Fórmula'!H95,6)=0,10^6,INDEX(properties!A$1:CB$87,'Fórmula'!H95,6)),IF(INDEX(properties!A$1:CB$87,'Fórmula'!J95,6)=0,10^6,INDEX(properties!A$1:CB$87,'Fórmula'!J95,6)))</f>
        <v>5</v>
      </c>
      <c r="Y95" s="104">
        <f t="shared" si="4"/>
        <v>11</v>
      </c>
      <c r="Z95" s="105">
        <f t="array" ref="Z95">(('Fórmula'!C95)/('Fórmula'!C95+'Fórmula'!E95+'Fórmula'!G95+'Fórmula'!I95+'Fórmula'!K95))*(INDEX(properties!A$1:CB$87,'Fórmula'!B95,9))+(('Fórmula'!E95)/('Fórmula'!C95+'Fórmula'!E95+'Fórmula'!G95+'Fórmula'!I95+'Fórmula'!K95))*(INDEX(properties!A$1:CB$87,'Fórmula'!D95,9))+(('Fórmula'!G95)/('Fórmula'!C95+'Fórmula'!E95+'Fórmula'!G95+'Fórmula'!I95+'Fórmula'!K95))*(INDEX(properties!A$1:CB$87,'Fórmula'!F95,9))+(('Fórmula'!I95)/('Fórmula'!C95+'Fórmula'!E95+'Fórmula'!G95+'Fórmula'!I95+'Fórmula'!K95))*(INDEX(properties!A$1:CB$87,'Fórmula'!H95,9))+(('Fórmula'!K95)/('Fórmula'!C95+'Fórmula'!E95+'Fórmula'!G95+'Fórmula'!I95+'Fórmula'!K95))*(INDEX(properties!A$1:CB$87,'Fórmula'!J95,9))</f>
        <v>76.27272727</v>
      </c>
      <c r="AA95" s="105">
        <f t="array" ref="AA95">'Fórmula'!C95*(INDEX(properties!A$1:CB$87,'Fórmula'!B95,9))+'Fórmula'!E95*(INDEX(properties!A$1:CB$87,'Fórmula'!D95,9))+'Fórmula'!G95*(INDEX(properties!A$1:CB$87,'Fórmula'!F95,9))+'Fórmula'!I95*(INDEX(properties!A$1:CB$87,'Fórmula'!H95,9))+'Fórmula'!K95*(INDEX(properties!A$1:CB$87,'Fórmula'!J95,9))</f>
        <v>839</v>
      </c>
      <c r="AB95" s="105">
        <f t="array" ref="AB95">VARP(IF(INDEX(properties!A$1:CB$87,'Fórmula'!B95,9)&lt;&gt;"",INDEX(properties!A$1:CB$87,'Fórmula'!B95,9)),IF(INDEX(properties!A$1:CB$87,'Fórmula'!D95,9)&lt;&gt;"",INDEX(properties!A$1:CB$87,'Fórmula'!D95,9)),IF(INDEX(properties!A$1:CB$87,'Fórmula'!F95,9)&lt;&gt;"",INDEX(properties!A$1:CB$87,'Fórmula'!F95,9)),IF(INDEX(properties!A$1:CB$87,'Fórmula'!H95,9)&lt;&gt;"",INDEX(properties!A$1:CB$87,'Fórmula'!H95,9)),IF(INDEX(properties!A$1:CB$87,'Fórmula'!J95,9)&lt;&gt;"",INDEX(properties!A$1:CB$87,'Fórmula'!J95,9)))</f>
        <v>1257.04</v>
      </c>
      <c r="AC95" s="105">
        <f t="array" ref="AC95">MAX(INDEX(properties!A$1:CB$87,'Fórmula'!B95,9),INDEX(properties!A$1:CB$87,'Fórmula'!D95,9),INDEX(properties!A$1:CB$87,'Fórmula'!F95,9),INDEX(properties!A$1:CB$87,'Fórmula'!H95,9),INDEX(properties!A$1:CB$87,'Fórmula'!J95,9))</f>
        <v>87</v>
      </c>
      <c r="AD95" s="105">
        <f t="array" ref="AD95">MIN(IF(INDEX(properties!A$1:CB$87,'Fórmula'!B95,9)=0,10^6,INDEX(properties!A$1:CB$87,'Fórmula'!B95,9)),IF(INDEX(properties!A$1:CB$87,'Fórmula'!D95,9)=0,10^6,INDEX(properties!A$1:CB$87,'Fórmula'!D95,9)),IF(INDEX(properties!A$1:CB$87,'Fórmula'!F95,9)=0,10^6,INDEX(properties!A$1:CB$87,'Fórmula'!F95,9)),IF(INDEX(properties!A$1:CB$87,'Fórmula'!H95,9)=0,10^6,INDEX(properties!A$1:CB$87,'Fórmula'!H95,9)),IF(INDEX(properties!A$1:CB$87,'Fórmula'!J95,9)=0,10^6,INDEX(properties!A$1:CB$87,'Fórmula'!J95,9)))</f>
        <v>46</v>
      </c>
      <c r="AE95" s="105">
        <f t="shared" si="5"/>
        <v>41</v>
      </c>
      <c r="AF95" s="106">
        <f t="array" ref="AF95">(('Fórmula'!C95)/('Fórmula'!C95+'Fórmula'!E95+'Fórmula'!G95+'Fórmula'!I95+'Fórmula'!K95))*(INDEX(properties!A$1:CB$87,'Fórmula'!B95,10))+(('Fórmula'!E95)/('Fórmula'!C95+'Fórmula'!E95+'Fórmula'!G95+'Fórmula'!I95+'Fórmula'!K95))*(INDEX(properties!A$1:CB$87,'Fórmula'!D95,10))+(('Fórmula'!G95)/('Fórmula'!C95+'Fórmula'!E95+'Fórmula'!G95+'Fórmula'!I95+'Fórmula'!K95))*(INDEX(properties!A$1:CB$87,'Fórmula'!F95,10))+(('Fórmula'!I95)/('Fórmula'!C95+'Fórmula'!E95+'Fórmula'!G95+'Fórmula'!I95+'Fórmula'!K95))*(INDEX(properties!A$1:CB$87,'Fórmula'!H95,10))+(('Fórmula'!K95)/('Fórmula'!C95+'Fórmula'!E95+'Fórmula'!G95+'Fórmula'!I95+'Fórmula'!K95))*(INDEX(properties!A$1:CB$87,'Fórmula'!J95,10))</f>
        <v>5.909090909</v>
      </c>
      <c r="AG95" s="106">
        <f t="array" ref="AG95">'Fórmula'!C95*(INDEX(properties!A$1:CB$87,'Fórmula'!B95,10))+'Fórmula'!E95*(INDEX(properties!A$1:CB$87,'Fórmula'!D95,10))+'Fórmula'!G95*(INDEX(properties!A$1:CB$87,'Fórmula'!F95,10))+'Fórmula'!I95*(INDEX(properties!A$1:CB$87,'Fórmula'!H95,10))+'Fórmula'!K95*(INDEX(properties!A$1:CB$87,'Fórmula'!J95,10))</f>
        <v>65</v>
      </c>
      <c r="AH95" s="106">
        <f t="array" ref="AH95">VARP(IF(INDEX(properties!A$1:CB$87,'Fórmula'!B95,10)&lt;&gt;"",INDEX(properties!A$1:CB$87,'Fórmula'!B95,10)),IF(INDEX(properties!A$1:CB$87,'Fórmula'!D95,10)&lt;&gt;"",INDEX(properties!A$1:CB$87,'Fórmula'!D95,10)),IF(INDEX(properties!A$1:CB$87,'Fórmula'!F95,10)&lt;&gt;"",INDEX(properties!A$1:CB$87,'Fórmula'!F95,10)),IF(INDEX(properties!A$1:CB$87,'Fórmula'!H95,10)&lt;&gt;"",INDEX(properties!A$1:CB$87,'Fórmula'!H95,10)),IF(INDEX(properties!A$1:CB$87,'Fórmula'!J95,10)&lt;&gt;"",INDEX(properties!A$1:CB$87,'Fórmula'!J95,10)))</f>
        <v>7.2</v>
      </c>
      <c r="AI95" s="106">
        <f t="array" ref="AI95">MAX(INDEX(properties!A$1:CB$87,'Fórmula'!B95,10),INDEX(properties!A$1:CB$87,'Fórmula'!D95,10),INDEX(properties!A$1:CB$87,'Fórmula'!F95,10),INDEX(properties!A$1:CB$87,'Fórmula'!H95,10),INDEX(properties!A$1:CB$87,'Fórmula'!J95,10))</f>
        <v>7</v>
      </c>
      <c r="AJ95" s="106">
        <f t="array" ref="AJ95">MIN(IF(INDEX(properties!A$1:CB$87,'Fórmula'!B95,10)=0,10^6,INDEX(properties!A$1:CB$87,'Fórmula'!B95,10)),IF(INDEX(properties!A$1:CB$87,'Fórmula'!D95,10)=0,10^6,INDEX(properties!A$1:CB$87,'Fórmula'!D95,10)),IF(INDEX(properties!A$1:CB$87,'Fórmula'!F95,10)=0,10^6,INDEX(properties!A$1:CB$87,'Fórmula'!F95,10)),IF(INDEX(properties!A$1:CB$87,'Fórmula'!H95,10)=0,10^6,INDEX(properties!A$1:CB$87,'Fórmula'!H95,10)),IF(INDEX(properties!A$1:CB$87,'Fórmula'!J95,10)=0,10^6,INDEX(properties!A$1:CB$87,'Fórmula'!J95,10)))</f>
        <v>4</v>
      </c>
      <c r="AK95" s="106">
        <f t="shared" si="6"/>
        <v>3</v>
      </c>
      <c r="AL95" s="107">
        <f t="array" ref="AL95">(('Fórmula'!C95)/('Fórmula'!C95+'Fórmula'!E95+'Fórmula'!G95+'Fórmula'!I95+'Fórmula'!K95))*(INDEX(properties!A$1:CB$87,'Fórmula'!B95,11))+(('Fórmula'!E95)/('Fórmula'!C95+'Fórmula'!E95+'Fórmula'!G95+'Fórmula'!I95+'Fórmula'!K95))*(INDEX(properties!A$1:CB$87,'Fórmula'!D95,11))+(('Fórmula'!G95)/('Fórmula'!C95+'Fórmula'!E95+'Fórmula'!G95+'Fórmula'!I95+'Fórmula'!K95))*(INDEX(properties!A$1:CB$87,'Fórmula'!F95,11))+(('Fórmula'!I95)/('Fórmula'!C95+'Fórmula'!E95+'Fórmula'!G95+'Fórmula'!I95+'Fórmula'!K95))*(INDEX(properties!A$1:CB$87,'Fórmula'!H95,11))+(('Fórmula'!K95)/('Fórmula'!C95+'Fórmula'!E95+'Fórmula'!G95+'Fórmula'!I95+'Fórmula'!K95))*(INDEX(properties!A$1:CB$87,'Fórmula'!J95,11))</f>
        <v>2</v>
      </c>
      <c r="AM95" s="107">
        <f t="array" ref="AM95">'Fórmula'!C95*(INDEX(properties!A$1:CB$87,'Fórmula'!B95,11))+'Fórmula'!E95*(INDEX(properties!A$1:CB$87,'Fórmula'!D95,11))+'Fórmula'!G95*(INDEX(properties!A$1:CB$87,'Fórmula'!F95,11))+'Fórmula'!I95*(INDEX(properties!A$1:CB$87,'Fórmula'!H95,11))+'Fórmula'!K95*(INDEX(properties!A$1:CB$87,'Fórmula'!J95,11))</f>
        <v>22</v>
      </c>
      <c r="AN95" s="107">
        <f t="array" ref="AN95">VARP(IF(INDEX(properties!A$1:CB$87,'Fórmula'!B95,11)&lt;&gt;"",INDEX(properties!A$1:CB$87,'Fórmula'!B95,11)),IF(INDEX(properties!A$1:CB$87,'Fórmula'!D95,11)&lt;&gt;"",INDEX(properties!A$1:CB$87,'Fórmula'!D95,11)),IF(INDEX(properties!A$1:CB$87,'Fórmula'!F95,11)&lt;&gt;"",INDEX(properties!A$1:CB$87,'Fórmula'!F95,11)),IF(INDEX(properties!A$1:CB$87,'Fórmula'!H95,11)&lt;&gt;"",INDEX(properties!A$1:CB$87,'Fórmula'!H95,11)),IF(INDEX(properties!A$1:CB$87,'Fórmula'!J95,11)&lt;&gt;"",INDEX(properties!A$1:CB$87,'Fórmula'!J95,11)))</f>
        <v>0.96</v>
      </c>
      <c r="AO95" s="107">
        <f t="array" ref="AO95">MAX(INDEX(properties!A$1:CB$87,'Fórmula'!B95,11),INDEX(properties!A$1:CB$87,'Fórmula'!D95,11),INDEX(properties!A$1:CB$87,'Fórmula'!F95,11),INDEX(properties!A$1:CB$87,'Fórmula'!H95,11),INDEX(properties!A$1:CB$87,'Fórmula'!J95,11))</f>
        <v>2</v>
      </c>
      <c r="AP95" s="107">
        <f t="array" ref="AP95">MIN(IF('Fórmula'!B95=87,10^6,INDEX(properties!A$1:CB$87,'Fórmula'!B95,11)),IF(('Fórmula'!D95)=87,10^6,INDEX(properties!A$1:CB$87,'Fórmula'!D95,11)),IF(('Fórmula'!F95)=87,10^6,INDEX(properties!A$1:CB$87,'Fórmula'!F95,11)),IF(('Fórmula'!H95)=87,10^6,INDEX(properties!A$1:CB$87,'Fórmula'!H95,11)),IF('Fórmula'!J95=87,10^6,INDEX(properties!A$1:CB$87,'Fórmula'!J95,11)))</f>
        <v>2</v>
      </c>
      <c r="AQ95" s="107">
        <f t="shared" si="7"/>
        <v>0</v>
      </c>
      <c r="AR95" s="108">
        <f t="array" ref="AR95">(('Fórmula'!C95)/('Fórmula'!C95+'Fórmula'!E95+'Fórmula'!G95+'Fórmula'!I95+'Fórmula'!K95))*(INDEX(properties!A$1:CB$87,'Fórmula'!B95,12))+(('Fórmula'!E95)/('Fórmula'!C95+'Fórmula'!E95+'Fórmula'!G95+'Fórmula'!I95+'Fórmula'!K95))*(INDEX(properties!A$1:CB$87,'Fórmula'!D95,12))+(('Fórmula'!G95)/('Fórmula'!C95+'Fórmula'!E95+'Fórmula'!G95+'Fórmula'!I95+'Fórmula'!K95))*(INDEX(properties!A$1:CB$87,'Fórmula'!F95,12))+(('Fórmula'!I95)/('Fórmula'!C95+'Fórmula'!E95+'Fórmula'!G95+'Fórmula'!I95+'Fórmula'!K95))*(INDEX(properties!A$1:CB$87,'Fórmula'!H95,12))+(('Fórmula'!K95)/('Fórmula'!C95+'Fórmula'!E95+'Fórmula'!G95+'Fórmula'!I95+'Fórmula'!K95))*(INDEX(properties!A$1:CB$87,'Fórmula'!J95,12))</f>
        <v>2.545454545</v>
      </c>
      <c r="AS95" s="108">
        <f t="array" ref="AS95">'Fórmula'!C95*(INDEX(properties!A$1:CB$87,'Fórmula'!B95,12))+'Fórmula'!E95*(INDEX(properties!A$1:CB$87,'Fórmula'!D95,12))+'Fórmula'!G95*(INDEX(properties!A$1:CB$87,'Fórmula'!F95,12))+'Fórmula'!I95*(INDEX(properties!A$1:CB$87,'Fórmula'!H95,12))+'Fórmula'!K95*(INDEX(properties!A$1:CB$87,'Fórmula'!J95,12))</f>
        <v>28</v>
      </c>
      <c r="AT95" s="108">
        <f t="array" ref="AT95">VARP(IF(INDEX(properties!A$1:CB$87,'Fórmula'!B95,12)&lt;&gt;"",INDEX(properties!A$1:CB$87,'Fórmula'!B95,12)),IF(INDEX(properties!A$1:CB$87,'Fórmula'!D95,12)&lt;&gt;"",INDEX(properties!A$1:CB$87,'Fórmula'!D95,12)),IF(INDEX(properties!A$1:CB$87,'Fórmula'!F95,12)&lt;&gt;"",INDEX(properties!A$1:CB$87,'Fórmula'!F95,12)),IF(INDEX(properties!A$1:CB$87,'Fórmula'!H95,12)&lt;&gt;"",INDEX(properties!A$1:CB$87,'Fórmula'!H95,12)),IF(INDEX(properties!A$1:CB$87,'Fórmula'!J95,12)&lt;&gt;"",INDEX(properties!A$1:CB$87,'Fórmula'!J95,12)))</f>
        <v>2.56</v>
      </c>
      <c r="AU95" s="108">
        <f t="array" ref="AU95">MAX(INDEX(properties!A$1:CB$87,'Fórmula'!B95,12),INDEX(properties!A$1:CB$87,'Fórmula'!D95,12),INDEX(properties!A$1:CB$87,'Fórmula'!F95,12),INDEX(properties!A$1:CB$87,'Fórmula'!H95,12),INDEX(properties!A$1:CB$87,'Fórmula'!J95,12))</f>
        <v>4</v>
      </c>
      <c r="AV95" s="108">
        <f t="array" ref="AV95">MIN(IF('Fórmula'!B95=87,10^6,INDEX(properties!A$1:CB$87,'Fórmula'!B95,12)),IF(('Fórmula'!D95)=87,10^6,INDEX(properties!A$1:CB$87,'Fórmula'!D95,12)),IF(('Fórmula'!F95)=87,10^6,INDEX(properties!A$1:CB$87,'Fórmula'!F95,12)),IF(('Fórmula'!H95)=87,10^6,INDEX(properties!A$1:CB$87,'Fórmula'!H95,12)),IF('Fórmula'!J95=87,10^6,INDEX(properties!A$1:CB$87,'Fórmula'!J95,12)))</f>
        <v>0</v>
      </c>
      <c r="AW95" s="108">
        <f t="shared" si="8"/>
        <v>4</v>
      </c>
      <c r="AX95" s="109">
        <f t="array" ref="AX95">(('Fórmula'!C95)/('Fórmula'!C95+'Fórmula'!E95+'Fórmula'!G95+'Fórmula'!I95+'Fórmula'!K95))*(INDEX(properties!A$1:CB$87,'Fórmula'!B95,13))+(('Fórmula'!E95)/('Fórmula'!C95+'Fórmula'!E95+'Fórmula'!G95+'Fórmula'!I95+'Fórmula'!K95))*(INDEX(properties!A$1:CB$87,'Fórmula'!D95,13))+(('Fórmula'!G95)/('Fórmula'!C95+'Fórmula'!E95+'Fórmula'!G95+'Fórmula'!I95+'Fórmula'!K95))*(INDEX(properties!A$1:CB$87,'Fórmula'!F95,13))+(('Fórmula'!I95)/('Fórmula'!C95+'Fórmula'!E95+'Fórmula'!G95+'Fórmula'!I95+'Fórmula'!K95))*(INDEX(properties!A$1:CB$87,'Fórmula'!H95,13))+(('Fórmula'!K95)/('Fórmula'!C95+'Fórmula'!E95+'Fórmula'!G95+'Fórmula'!I95+'Fórmula'!K95))*(INDEX(properties!A$1:CB$87,'Fórmula'!J95,13))</f>
        <v>2.363636364</v>
      </c>
      <c r="AY95" s="109">
        <f t="array" ref="AY95">'Fórmula'!C95*(INDEX(properties!A$1:CB$87,'Fórmula'!B95,13))+'Fórmula'!E95*(INDEX(properties!A$1:CB$87,'Fórmula'!D95,13))+'Fórmula'!G95*(INDEX(properties!A$1:CB$87,'Fórmula'!F95,13))+'Fórmula'!I95*(INDEX(properties!A$1:CB$87,'Fórmula'!H95,13))+'Fórmula'!K95*(INDEX(properties!A$1:CB$87,'Fórmula'!J95,13))</f>
        <v>26</v>
      </c>
      <c r="AZ95" s="109">
        <f t="array" ref="AZ95">VARP(IF(INDEX(properties!A$1:CB$87,'Fórmula'!B95,13)&lt;&gt;"",INDEX(properties!A$1:CB$87,'Fórmula'!B95,13)),IF(INDEX(properties!A$1:CB$87,'Fórmula'!D95,13)&lt;&gt;"",INDEX(properties!A$1:CB$87,'Fórmula'!D95,13)),IF(INDEX(properties!A$1:CB$87,'Fórmula'!F95,13)&lt;&gt;"",INDEX(properties!A$1:CB$87,'Fórmula'!F95,13)),IF(INDEX(properties!A$1:CB$87,'Fórmula'!H95,13)&lt;&gt;"",INDEX(properties!A$1:CB$87,'Fórmula'!H95,13)),IF(INDEX(properties!A$1:CB$87,'Fórmula'!J95,13)&lt;&gt;"",INDEX(properties!A$1:CB$87,'Fórmula'!J95,13)))</f>
        <v>15.04</v>
      </c>
      <c r="BA95" s="109">
        <f t="array" ref="BA95">MAX(INDEX(properties!A$1:CB$87,'Fórmula'!B95,13),INDEX(properties!A$1:CB$87,'Fórmula'!D95,13),INDEX(properties!A$1:CB$87,'Fórmula'!F95,13),INDEX(properties!A$1:CB$87,'Fórmula'!H95,13),INDEX(properties!A$1:CB$87,'Fórmula'!J95,13))</f>
        <v>10</v>
      </c>
      <c r="BB95" s="109">
        <f t="array" ref="BB95">MIN(IF('Fórmula'!B95=87,10^6,INDEX(properties!A$1:CB$87,'Fórmula'!B95,13)),IF(('Fórmula'!D95)=87,10^6,INDEX(properties!A$1:CB$87,'Fórmula'!D95,13)),IF(('Fórmula'!F95)=87,10^6,INDEX(properties!A$1:CB$87,'Fórmula'!F95,13)),IF(('Fórmula'!H95)=87,10^6,INDEX(properties!A$1:CB$87,'Fórmula'!H95,13)),IF('Fórmula'!J95=87,10^6,INDEX(properties!A$1:CB$87,'Fórmula'!J95,13)))</f>
        <v>0</v>
      </c>
      <c r="BC95" s="109">
        <f t="shared" si="9"/>
        <v>10</v>
      </c>
      <c r="BD95" s="110">
        <f t="array" ref="BD95">(('Fórmula'!C95)/('Fórmula'!C95+'Fórmula'!E95+'Fórmula'!G95+'Fórmula'!I95+'Fórmula'!K95))*(INDEX(properties!A$1:CB$87,'Fórmula'!B95,14))+(('Fórmula'!E95)/('Fórmula'!C95+'Fórmula'!E95+'Fórmula'!G95+'Fórmula'!I95+'Fórmula'!K95))*(INDEX(properties!A$1:CB$87,'Fórmula'!D95,14))+(('Fórmula'!G95)/('Fórmula'!C95+'Fórmula'!E95+'Fórmula'!G95+'Fórmula'!I95+'Fórmula'!K95))*(INDEX(properties!A$1:CB$87,'Fórmula'!F95,14))+(('Fórmula'!I95)/('Fórmula'!C95+'Fórmula'!E95+'Fórmula'!G95+'Fórmula'!I95+'Fórmula'!K95))*(INDEX(properties!A$1:CB$87,'Fórmula'!H95,14))+(('Fórmula'!K95)/('Fórmula'!C95+'Fórmula'!E95+'Fórmula'!G95+'Fórmula'!I95+'Fórmula'!K95))*(INDEX(properties!A$1:CB$87,'Fórmula'!J95,14))</f>
        <v>0</v>
      </c>
      <c r="BE95" s="110">
        <f t="array" ref="BE95">'Fórmula'!C95*(INDEX(properties!A$1:CB$87,'Fórmula'!B95,14))+'Fórmula'!E95*(INDEX(properties!A$1:CB$87,'Fórmula'!D95,14))+'Fórmula'!G95*(INDEX(properties!A$1:CB$87,'Fórmula'!F95,14))+'Fórmula'!I95*(INDEX(properties!A$1:CB$87,'Fórmula'!H95,14))+'Fórmula'!K95*(INDEX(properties!A$1:CB$87,'Fórmula'!J95,14))</f>
        <v>0</v>
      </c>
      <c r="BF95" s="110">
        <f t="array" ref="BF95">VARP(IF(INDEX(properties!A$1:CB$87,'Fórmula'!B95,14)&lt;&gt;"",INDEX(properties!A$1:CB$87,'Fórmula'!B95,14)),IF(INDEX(properties!A$1:CB$87,'Fórmula'!D95,14)&lt;&gt;"",INDEX(properties!A$1:CB$87,'Fórmula'!D95,14)),IF(INDEX(properties!A$1:CB$87,'Fórmula'!F95,14)&lt;&gt;"",INDEX(properties!A$1:CB$87,'Fórmula'!F95,14)),IF(INDEX(properties!A$1:CB$87,'Fórmula'!H95,14)&lt;&gt;"",INDEX(properties!A$1:CB$87,'Fórmula'!H95,14)),IF(INDEX(properties!A$1:CB$87,'Fórmula'!J95,14)&lt;&gt;"",INDEX(properties!A$1:CB$87,'Fórmula'!J95,14)))</f>
        <v>0</v>
      </c>
      <c r="BG95" s="110">
        <f t="array" ref="BG95">MAX(INDEX(properties!A$1:CB$87,'Fórmula'!B95,14),INDEX(properties!A$1:CB$87,'Fórmula'!D95,14),INDEX(properties!A$1:CB$87,'Fórmula'!F95,14),INDEX(properties!A$1:CB$87,'Fórmula'!H95,14),INDEX(properties!A$1:CB$87,'Fórmula'!J95,14))</f>
        <v>0</v>
      </c>
      <c r="BH95" s="110">
        <f t="array" ref="BH95">MIN(IF('Fórmula'!B95=87,10^6,INDEX(properties!A$1:CB$87,'Fórmula'!B95,14)),IF(('Fórmula'!D95)=87,10^6,INDEX(properties!A$1:CB$87,'Fórmula'!D95,14)),IF(('Fórmula'!F95)=87,10^6,INDEX(properties!A$1:CB$87,'Fórmula'!F95,14)),IF(('Fórmula'!H95)=87,10^6,INDEX(properties!A$1:CB$87,'Fórmula'!H95,14)),IF('Fórmula'!J95=87,10^6,INDEX(properties!A$1:CB$87,'Fórmula'!J95,14)))</f>
        <v>0</v>
      </c>
      <c r="BI95" s="110">
        <f t="shared" si="10"/>
        <v>0</v>
      </c>
      <c r="BJ95" s="111">
        <f t="array" ref="BJ95">(('Fórmula'!C95)/('Fórmula'!C95+'Fórmula'!E95+'Fórmula'!G95+'Fórmula'!I95+'Fórmula'!K95))*(INDEX(properties!A$1:CB$87,'Fórmula'!B95,19))+(('Fórmula'!E95)/('Fórmula'!C95+'Fórmula'!E95+'Fórmula'!G95+'Fórmula'!I95+'Fórmula'!K95))*(INDEX(properties!A$1:CB$87,'Fórmula'!D95,19))+(('Fórmula'!G95)/('Fórmula'!C95+'Fórmula'!E95+'Fórmula'!G95+'Fórmula'!I95+'Fórmula'!K95))*(INDEX(properties!A$1:CB$87,'Fórmula'!F95,19))+(('Fórmula'!I95)/('Fórmula'!C95+'Fórmula'!E95+'Fórmula'!G95+'Fórmula'!I95+'Fórmula'!K95))*(INDEX(properties!A$1:CB$87,'Fórmula'!H95,19))+(('Fórmula'!K95)/('Fórmula'!C95+'Fórmula'!E95+'Fórmula'!G95+'Fórmula'!I95+'Fórmula'!K95))*(INDEX(properties!A$1:CB$87,'Fórmula'!J95,19))</f>
        <v>6.909090909</v>
      </c>
      <c r="BK95" s="111">
        <f t="array" ref="BK95">'Fórmula'!C95*(INDEX(properties!A$1:CB$87,'Fórmula'!B95,19))+'Fórmula'!E95*(INDEX(properties!A$1:CB$87,'Fórmula'!D95,19))+'Fórmula'!G95*(INDEX(properties!A$1:CB$87,'Fórmula'!F95,19))+'Fórmula'!I95*(INDEX(properties!A$1:CB$87,'Fórmula'!H95,19))+'Fórmula'!K95*(INDEX(properties!A$1:CB$87,'Fórmula'!J95,19))</f>
        <v>76</v>
      </c>
      <c r="BL95" s="111">
        <f t="array" ref="BL95">VARP(IF(INDEX(properties!A$1:CB$87,'Fórmula'!B95,19)&lt;&gt;"",INDEX(properties!A$1:CB$87,'Fórmula'!B95,19)),IF(INDEX(properties!A$1:CB$87,'Fórmula'!D95,19)&lt;&gt;"",INDEX(properties!A$1:CB$87,'Fórmula'!D95,19)),IF(INDEX(properties!A$1:CB$87,'Fórmula'!F95,19)&lt;&gt;"",INDEX(properties!A$1:CB$87,'Fórmula'!F95,19)),IF(INDEX(properties!A$1:CB$87,'Fórmula'!H95,19)&lt;&gt;"",INDEX(properties!A$1:CB$87,'Fórmula'!H95,19)),IF(INDEX(properties!A$1:CB$87,'Fórmula'!J95,19)&lt;&gt;"",INDEX(properties!A$1:CB$87,'Fórmula'!J95,19)))</f>
        <v>19.84</v>
      </c>
      <c r="BM95" s="111">
        <f t="array" ref="BM95">MAX(INDEX(properties!A$1:CB$87,'Fórmula'!B95,19),INDEX(properties!A$1:CB$87,'Fórmula'!D95,19),INDEX(properties!A$1:CB$87,'Fórmula'!F95,19),INDEX(properties!A$1:CB$87,'Fórmula'!H95,19),INDEX(properties!A$1:CB$87,'Fórmula'!J95,19))</f>
        <v>12</v>
      </c>
      <c r="BN95" s="111">
        <f t="array" ref="BN95">MIN(IF(INDEX(properties!A$1:CB$87,'Fórmula'!B95,19)=0,10^6,INDEX(properties!A$1:CB$87,'Fórmula'!B95,19)),IF(INDEX(properties!A$1:CB$87,'Fórmula'!D95,19)=0,10^6,INDEX(properties!A$1:CB$87,'Fórmula'!D95,19)),IF(INDEX(properties!A$1:CB$87,'Fórmula'!F95,19)=0,10^6,INDEX(properties!A$1:CB$87,'Fórmula'!F95,19)),IF(INDEX(properties!A$1:CB$87,'Fórmula'!H95,19)=0,10^6,INDEX(properties!A$1:CB$87,'Fórmula'!H95,19)),IF(INDEX(properties!A$1:CB$87,'Fórmula'!J95,19)=0,10^6,INDEX(properties!A$1:CB$87,'Fórmula'!J95,19)))</f>
        <v>5</v>
      </c>
      <c r="BO95" s="111">
        <f t="shared" si="11"/>
        <v>7</v>
      </c>
      <c r="BP95" s="112">
        <f t="array" ref="BP95">(('Fórmula'!C95)/('Fórmula'!C95+'Fórmula'!E95+'Fórmula'!G95+'Fórmula'!I95+'Fórmula'!K95))*(INDEX(properties!A$1:CB$87,'Fórmula'!B95,20))+(('Fórmula'!E95)/('Fórmula'!C95+'Fórmula'!E95+'Fórmula'!G95+'Fórmula'!I95+'Fórmula'!K95))*(INDEX(properties!A$1:CB$87,'Fórmula'!D95,20))+(('Fórmula'!G95)/('Fórmula'!C95+'Fórmula'!E95+'Fórmula'!G95+'Fórmula'!I95+'Fórmula'!K95))*(INDEX(properties!A$1:CB$87,'Fórmula'!F95,20))+(('Fórmula'!I95)/('Fórmula'!C95+'Fórmula'!E95+'Fórmula'!G95+'Fórmula'!I95+'Fórmula'!K95))*(INDEX(properties!A$1:CB$87,'Fórmula'!H95,20))+(('Fórmula'!K95)/('Fórmula'!C95+'Fórmula'!E95+'Fórmula'!G95+'Fórmula'!I95+'Fórmula'!K95))*(INDEX(properties!A$1:CB$87,'Fórmula'!J95,20))</f>
        <v>4.545454545</v>
      </c>
      <c r="BQ95" s="112">
        <f t="array" ref="BQ95">'Fórmula'!C95*(INDEX(properties!A$1:CB$87,'Fórmula'!B95,20))+'Fórmula'!E95*(INDEX(properties!A$1:CB$87,'Fórmula'!D95,20))+'Fórmula'!G95*(INDEX(properties!A$1:CB$87,'Fórmula'!F95,20))+'Fórmula'!I95*(INDEX(properties!A$1:CB$87,'Fórmula'!H95,20))+'Fórmula'!K95*(INDEX(properties!A$1:CB$87,'Fórmula'!J95,20))</f>
        <v>50</v>
      </c>
      <c r="BR95" s="112">
        <f t="array" ref="BR95">VARP(IF(INDEX(properties!A$1:CB$87,'Fórmula'!B95,20)&lt;&gt;"",INDEX(properties!A$1:CB$87,'Fórmula'!B95,20)),IF(INDEX(properties!A$1:CB$87,'Fórmula'!D95,20)&lt;&gt;"",INDEX(properties!A$1:CB$87,'Fórmula'!D95,20)),IF(INDEX(properties!A$1:CB$87,'Fórmula'!F95,20)&lt;&gt;"",INDEX(properties!A$1:CB$87,'Fórmula'!F95,20)),IF(INDEX(properties!A$1:CB$87,'Fórmula'!H95,20)&lt;&gt;"",INDEX(properties!A$1:CB$87,'Fórmula'!H95,20)),IF(INDEX(properties!A$1:CB$87,'Fórmula'!J95,20)&lt;&gt;"",INDEX(properties!A$1:CB$87,'Fórmula'!J95,20)))</f>
        <v>4.8</v>
      </c>
      <c r="BS95" s="112">
        <f t="array" ref="BS95">MAX(INDEX(properties!A$1:CB$87,'Fórmula'!B95,20),INDEX(properties!A$1:CB$87,'Fórmula'!D95,20),INDEX(properties!A$1:CB$87,'Fórmula'!F95,20),INDEX(properties!A$1:CB$87,'Fórmula'!H95,20),INDEX(properties!A$1:CB$87,'Fórmula'!J95,20))</f>
        <v>6</v>
      </c>
      <c r="BT95" s="112">
        <f t="array" ref="BT95">MIN(IF(INDEX(properties!A$1:CB$87,'Fórmula'!B95,20)=0,10^6,INDEX(properties!A$1:CB$87,'Fórmula'!B95,20)),IF(INDEX(properties!A$1:CB$87,'Fórmula'!D95,20)=0,10^6,INDEX(properties!A$1:CB$87,'Fórmula'!D95,20)),IF(INDEX(properties!A$1:CB$87,'Fórmula'!F95,20)=0,10^6,INDEX(properties!A$1:CB$87,'Fórmula'!F95,20)),IF(INDEX(properties!A$1:CB$87,'Fórmula'!H95,20)=0,10^6,INDEX(properties!A$1:CB$87,'Fórmula'!H95,20)),IF(INDEX(properties!A$1:CB$87,'Fórmula'!J95,20)=0,10^6,INDEX(properties!A$1:CB$87,'Fórmula'!J95,20)))</f>
        <v>2</v>
      </c>
      <c r="BU95" s="112">
        <f t="shared" si="12"/>
        <v>4</v>
      </c>
      <c r="BV95" s="113">
        <f t="array" ref="BV95">(('Fórmula'!C95)/('Fórmula'!C95+'Fórmula'!E95+'Fórmula'!G95+'Fórmula'!I95+'Fórmula'!K95))*(INDEX(properties!A$1:CB$87,'Fórmula'!B95,21))+(('Fórmula'!E95)/('Fórmula'!C95+'Fórmula'!E95+'Fórmula'!G95+'Fórmula'!I95+'Fórmula'!K95))*(INDEX(properties!A$1:CB$87,'Fórmula'!D95,21))+(('Fórmula'!G95)/('Fórmula'!C95+'Fórmula'!E95+'Fórmula'!G95+'Fórmula'!I95+'Fórmula'!K95))*(INDEX(properties!A$1:CB$87,'Fórmula'!F95,21))+(('Fórmula'!I95)/('Fórmula'!C95+'Fórmula'!E95+'Fórmula'!G95+'Fórmula'!I95+'Fórmula'!K95))*(INDEX(properties!A$1:CB$87,'Fórmula'!H95,21))+(('Fórmula'!K95)/('Fórmula'!C95+'Fórmula'!E95+'Fórmula'!G95+'Fórmula'!I95+'Fórmula'!K95))*(INDEX(properties!A$1:CB$87,'Fórmula'!J95,21))</f>
        <v>4.545454545</v>
      </c>
      <c r="BW95" s="113">
        <f t="array" ref="BW95">'Fórmula'!C95*(INDEX(properties!A$1:CB$87,'Fórmula'!B95,21))+'Fórmula'!E95*(INDEX(properties!A$1:CB$87,'Fórmula'!D95,21))+'Fórmula'!G95*(INDEX(properties!A$1:CB$87,'Fórmula'!F95,21))+'Fórmula'!I95*(INDEX(properties!A$1:CB$87,'Fórmula'!H95,21))+'Fórmula'!K95*(INDEX(properties!A$1:CB$87,'Fórmula'!J95,21))</f>
        <v>50</v>
      </c>
      <c r="BX95" s="113">
        <f t="array" ref="BX95">VARP(IF(INDEX(properties!A$1:CB$87,'Fórmula'!B95,21)&lt;&gt;"",INDEX(properties!A$1:CB$87,'Fórmula'!B95,21)),IF(INDEX(properties!A$1:CB$87,'Fórmula'!D95,21)&lt;&gt;"",INDEX(properties!A$1:CB$87,'Fórmula'!D95,21)),IF(INDEX(properties!A$1:CB$87,'Fórmula'!F95,21)&lt;&gt;"",INDEX(properties!A$1:CB$87,'Fórmula'!F95,21)),IF(INDEX(properties!A$1:CB$87,'Fórmula'!H95,21)&lt;&gt;"",INDEX(properties!A$1:CB$87,'Fórmula'!H95,21)),IF(INDEX(properties!A$1:CB$87,'Fórmula'!J95,21)&lt;&gt;"",INDEX(properties!A$1:CB$87,'Fórmula'!J95,21)))</f>
        <v>5.2</v>
      </c>
      <c r="BY95" s="113">
        <f t="array" ref="BY95">MAX(INDEX(properties!A$1:CB$87,'Fórmula'!B95,21),INDEX(properties!A$1:CB$87,'Fórmula'!D95,21),INDEX(properties!A$1:CB$87,'Fórmula'!F95,21),INDEX(properties!A$1:CB$87,'Fórmula'!H95,21),INDEX(properties!A$1:CB$87,'Fórmula'!J95,21))</f>
        <v>6</v>
      </c>
      <c r="BZ95" s="113">
        <f t="array" ref="BZ95">MIN(IF(INDEX(properties!A$1:CB$87,'Fórmula'!B95,21)=0,10^6,INDEX(properties!A$1:CB$87,'Fórmula'!B95,21)),IF(INDEX(properties!A$1:CB$87,'Fórmula'!D95,21)=0,10^6,INDEX(properties!A$1:CB$87,'Fórmula'!D95,21)),IF(INDEX(properties!A$1:CB$87,'Fórmula'!F95,21)=0,10^6,INDEX(properties!A$1:CB$87,'Fórmula'!F95,21)),IF(INDEX(properties!A$1:CB$87,'Fórmula'!H95,21)=0,10^6,INDEX(properties!A$1:CB$87,'Fórmula'!H95,21)),IF(INDEX(properties!A$1:CB$87,'Fórmula'!J95,21)=0,10^6,INDEX(properties!A$1:CB$87,'Fórmula'!J95,21)))</f>
        <v>1</v>
      </c>
      <c r="CA95" s="113">
        <f t="shared" si="13"/>
        <v>5</v>
      </c>
      <c r="CB95" s="114">
        <f t="array" ref="CB95">(('Fórmula'!C95)/('Fórmula'!C95+'Fórmula'!E95+'Fórmula'!G95+'Fórmula'!I95+'Fórmula'!K95))*(INDEX(properties!A$1:CB$87,'Fórmula'!B95,23))+(('Fórmula'!E95)/('Fórmula'!C95+'Fórmula'!E95+'Fórmula'!G95+'Fórmula'!I95+'Fórmula'!K95))*(INDEX(properties!A$1:CB$87,'Fórmula'!D95,23))+(('Fórmula'!G95)/('Fórmula'!C95+'Fórmula'!E95+'Fórmula'!G95+'Fórmula'!I95+'Fórmula'!K95))*(INDEX(properties!A$1:CB$87,'Fórmula'!F95,23))+(('Fórmula'!I95)/('Fórmula'!C95+'Fórmula'!E95+'Fórmula'!G95+'Fórmula'!I95+'Fórmula'!K95))*(INDEX(properties!A$1:CB$87,'Fórmula'!H95,23))+(('Fórmula'!K95)/('Fórmula'!C95+'Fórmula'!E95+'Fórmula'!G95+'Fórmula'!I95+'Fórmula'!K95))*(INDEX(properties!A$1:CB$87,'Fórmula'!J95,23))</f>
        <v>1.716363636</v>
      </c>
      <c r="CC95" s="114">
        <f t="array" ref="CC95">'Fórmula'!C95*(INDEX(properties!A$1:CB$87,'Fórmula'!B95,23))+'Fórmula'!E95*(INDEX(properties!A$1:CB$87,'Fórmula'!D95,23))+'Fórmula'!G95*(INDEX(properties!A$1:CB$87,'Fórmula'!F95,23))+'Fórmula'!I95*(INDEX(properties!A$1:CB$87,'Fórmula'!H95,23))+'Fórmula'!K95*(INDEX(properties!A$1:CB$87,'Fórmula'!J95,23))</f>
        <v>18.88</v>
      </c>
      <c r="CD95" s="114">
        <f t="array" ref="CD95">VARP(IF(INDEX(properties!A$1:CB$87,'Fórmula'!B95,23)&lt;&gt;"",INDEX(properties!A$1:CB$87,'Fórmula'!B95,23)),IF(INDEX(properties!A$1:CB$87,'Fórmula'!D95,23)&lt;&gt;"",INDEX(properties!A$1:CB$87,'Fórmula'!D95,23)),IF(INDEX(properties!A$1:CB$87,'Fórmula'!F95,23)&lt;&gt;"",INDEX(properties!A$1:CB$87,'Fórmula'!F95,23)),IF(INDEX(properties!A$1:CB$87,'Fórmula'!H95,23)&lt;&gt;"",INDEX(properties!A$1:CB$87,'Fórmula'!H95,23)),IF(INDEX(properties!A$1:CB$87,'Fórmula'!J95,23)&lt;&gt;"",INDEX(properties!A$1:CB$87,'Fórmula'!J95,23)))</f>
        <v>5.378176</v>
      </c>
      <c r="CE95" s="114">
        <f t="array" ref="CE95">MAX(INDEX(properties!A$1:CB$87,'Fórmula'!B95,23),INDEX(properties!A$1:CB$87,'Fórmula'!D95,23),INDEX(properties!A$1:CB$87,'Fórmula'!F95,23),INDEX(properties!A$1:CB$87,'Fórmula'!H95,23),INDEX(properties!A$1:CB$87,'Fórmula'!J95,23))</f>
        <v>5</v>
      </c>
      <c r="CF95" s="114">
        <f t="array" ref="CF95">MIN(IF('Fórmula'!B95=87,10^6,INDEX(properties!A$1:CB$87,'Fórmula'!B95,23)),IF(('Fórmula'!D95)=87,10^6,INDEX(properties!A$1:CB$87,'Fórmula'!D95,23)),IF(('Fórmula'!F95)=87,10^6,INDEX(properties!A$1:CB$87,'Fórmula'!F95,23)),IF(('Fórmula'!H95)=87,10^6,INDEX(properties!A$1:CB$87,'Fórmula'!H95,23)),IF('Fórmula'!J95=87,10^6,INDEX(properties!A$1:CB$87,'Fórmula'!J95,23)))</f>
        <v>0</v>
      </c>
      <c r="CG95" s="114">
        <f t="shared" si="14"/>
        <v>5</v>
      </c>
      <c r="CH95" s="115">
        <f t="array" ref="CH95">(('Fórmula'!C95)/('Fórmula'!C95+'Fórmula'!E95+'Fórmula'!G95+'Fórmula'!I95+'Fórmula'!K95))*(INDEX(properties!A$1:CB$87,'Fórmula'!B95,26))+(('Fórmula'!E95)/('Fórmula'!C95+'Fórmula'!E95+'Fórmula'!G95+'Fórmula'!I95+'Fórmula'!K95))*(INDEX(properties!A$1:CB$87,'Fórmula'!D95,26))+(('Fórmula'!G95)/('Fórmula'!C95+'Fórmula'!E95+'Fórmula'!G95+'Fórmula'!I95+'Fórmula'!K95))*(INDEX(properties!A$1:CB$87,'Fórmula'!F95,26))+(('Fórmula'!I95)/('Fórmula'!C95+'Fórmula'!E95+'Fórmula'!G95+'Fórmula'!I95+'Fórmula'!K95))*(INDEX(properties!A$1:CB$87,'Fórmula'!H95,26))+(('Fórmula'!K95)/('Fórmula'!C95+'Fórmula'!E95+'Fórmula'!G95+'Fórmula'!I95+'Fórmula'!K95))*(INDEX(properties!A$1:CB$87,'Fórmula'!J95,26))</f>
        <v>11.60068182</v>
      </c>
      <c r="CI95" s="115">
        <f t="array" ref="CI95">'Fórmula'!C95*(INDEX(properties!A$1:CB$87,'Fórmula'!B95,26))+'Fórmula'!E95*(INDEX(properties!A$1:CB$87,'Fórmula'!D95,26))+'Fórmula'!G95*(INDEX(properties!A$1:CB$87,'Fórmula'!F95,26))+'Fórmula'!I95*(INDEX(properties!A$1:CB$87,'Fórmula'!H95,26))+'Fórmula'!K95*(INDEX(properties!A$1:CB$87,'Fórmula'!J95,26))</f>
        <v>127.6075</v>
      </c>
      <c r="CJ95" s="115">
        <f t="array" ref="CJ95">VARP(IF(INDEX(properties!A$1:CB$87,'Fórmula'!B95,26)&lt;&gt;"",INDEX(properties!A$1:CB$87,'Fórmula'!B95,26)),IF(INDEX(properties!A$1:CB$87,'Fórmula'!D95,26)&lt;&gt;"",INDEX(properties!A$1:CB$87,'Fórmula'!D95,26)),IF(INDEX(properties!A$1:CB$87,'Fórmula'!F95,26)&lt;&gt;"",INDEX(properties!A$1:CB$87,'Fórmula'!F95,26)),IF(INDEX(properties!A$1:CB$87,'Fórmula'!H95,26)&lt;&gt;"",INDEX(properties!A$1:CB$87,'Fórmula'!H95,26)),IF(INDEX(properties!A$1:CB$87,'Fórmula'!J95,26)&lt;&gt;"",INDEX(properties!A$1:CB$87,'Fórmula'!J95,26)))</f>
        <v>28.42023825</v>
      </c>
      <c r="CK95" s="116">
        <f t="array" ref="CK95">MAX(INDEX(properties!A$1:CB$87,'Fórmula'!B95,26),INDEX(properties!A$1:CB$87,'Fórmula'!D95,26),INDEX(properties!A$1:CB$87,'Fórmula'!F95,26),INDEX(properties!A$1:CB$87,'Fórmula'!H95,26),INDEX(properties!A$1:CB$87,'Fórmula'!J95,26))</f>
        <v>13.6181</v>
      </c>
      <c r="CL95" s="116">
        <f t="array" ref="CL95">MIN(IF(INDEX(properties!A$1:CB$87,'Fórmula'!B95,26)=0,10^6,INDEX(properties!A$1:CB$87,'Fórmula'!B95,26)),IF(INDEX(properties!A$1:CB$87,'Fórmula'!D95,26)=0,10^6,INDEX(properties!A$1:CB$87,'Fórmula'!D95,26)),IF(INDEX(properties!A$1:CB$87,'Fórmula'!F95,26)=0,10^6,INDEX(properties!A$1:CB$87,'Fórmula'!F95,26)),IF(INDEX(properties!A$1:CB$87,'Fórmula'!H95,26)=0,10^6,INDEX(properties!A$1:CB$87,'Fórmula'!H95,26)),IF(INDEX(properties!A$1:CB$87,'Fórmula'!J95,26)=0,10^6,INDEX(properties!A$1:CB$87,'Fórmula'!J95,26)))</f>
        <v>6.7462</v>
      </c>
      <c r="CM95" s="115">
        <f t="shared" si="15"/>
        <v>6.8719</v>
      </c>
      <c r="CN95" s="117">
        <f t="array" ref="CN95">(('Fórmula'!C95)/('Fórmula'!C95+'Fórmula'!E95+'Fórmula'!G95+'Fórmula'!I95+'Fórmula'!K95))*(INDEX(properties!A$1:CB$87,'Fórmula'!B95,30))+(('Fórmula'!E95)/('Fórmula'!C95+'Fórmula'!E95+'Fórmula'!G95+'Fórmula'!I95+'Fórmula'!K95))*(INDEX(properties!A$1:CB$87,'Fórmula'!D95,30))+(('Fórmula'!G95)/('Fórmula'!C95+'Fórmula'!E95+'Fórmula'!G95+'Fórmula'!I95+'Fórmula'!K95))*(INDEX(properties!A$1:CB$87,'Fórmula'!F95,30))+(('Fórmula'!I95)/('Fórmula'!C95+'Fórmula'!E95+'Fórmula'!G95+'Fórmula'!I95+'Fórmula'!K95))*(INDEX(properties!A$1:CB$87,'Fórmula'!H95,30))+(('Fórmula'!K95)/('Fórmula'!C95+'Fórmula'!E95+'Fórmula'!G95+'Fórmula'!I95+'Fórmula'!K95))*(INDEX(properties!A$1:CB$87,'Fórmula'!J95,30))</f>
        <v>2.785454545</v>
      </c>
      <c r="CO95" s="117">
        <f t="array" ref="CO95">'Fórmula'!C95*(INDEX(properties!A$1:CB$87,'Fórmula'!B95,30))+'Fórmula'!E95*(INDEX(properties!A$1:CB$87,'Fórmula'!D95,30))+'Fórmula'!G95*(INDEX(properties!A$1:CB$87,'Fórmula'!F95,30))+'Fórmula'!I95*(INDEX(properties!A$1:CB$87,'Fórmula'!H95,30))+'Fórmula'!K95*(INDEX(properties!A$1:CB$87,'Fórmula'!J95,30))</f>
        <v>30.64</v>
      </c>
      <c r="CP95" s="117">
        <f t="array" ref="CP95">VARP(IF(INDEX(properties!A$1:CB$87,'Fórmula'!B95,30)&lt;&gt;"",INDEX(properties!A$1:CB$87,'Fórmula'!B95,30)),IF(INDEX(properties!A$1:CB$87,'Fórmula'!D95,30)&lt;&gt;"",INDEX(properties!A$1:CB$87,'Fórmula'!D95,30)),IF(INDEX(properties!A$1:CB$87,'Fórmula'!F95,30)&lt;&gt;"",INDEX(properties!A$1:CB$87,'Fórmula'!F95,30)),IF(INDEX(properties!A$1:CB$87,'Fórmula'!H95,30)&lt;&gt;"",INDEX(properties!A$1:CB$87,'Fórmula'!H95,30)),IF(INDEX(properties!A$1:CB$87,'Fórmula'!J95,30)&lt;&gt;"",INDEX(properties!A$1:CB$87,'Fórmula'!J95,30)))</f>
        <v>1.636264</v>
      </c>
      <c r="CQ95" s="117">
        <f t="array" ref="CQ95">MAX(INDEX(properties!A$1:CB$87,'Fórmula'!B95,30),INDEX(properties!A$1:CB$87,'Fórmula'!D95,30),INDEX(properties!A$1:CB$87,'Fórmula'!F95,30),INDEX(properties!A$1:CB$87,'Fórmula'!H95,30),INDEX(properties!A$1:CB$87,'Fórmula'!J95,30))</f>
        <v>3.44</v>
      </c>
      <c r="CR95" s="117">
        <f t="array" ref="CR95">MIN(IF(INDEX(properties!A$1:CB$87,'Fórmula'!B95,30)=0,10^6,INDEX(properties!A$1:CB$87,'Fórmula'!B95,30)),IF(INDEX(properties!A$1:CB$87,'Fórmula'!D95,30)=0,10^6,INDEX(properties!A$1:CB$87,'Fórmula'!D95,30)),IF(INDEX(properties!A$1:CB$87,'Fórmula'!F95,30)=0,10^6,INDEX(properties!A$1:CB$87,'Fórmula'!F95,30)),IF(INDEX(properties!A$1:CB$87,'Fórmula'!H95,30)=0,10^6,INDEX(properties!A$1:CB$87,'Fórmula'!H95,30)),IF(INDEX(properties!A$1:CB$87,'Fórmula'!J95,30)=0,10^6,INDEX(properties!A$1:CB$87,'Fórmula'!J95,30)))</f>
        <v>1.63</v>
      </c>
      <c r="CS95" s="117">
        <f t="shared" si="16"/>
        <v>1.81</v>
      </c>
      <c r="CT95" s="118">
        <f t="array" ref="CT95">(('Fórmula'!C95)/('Fórmula'!C95+'Fórmula'!E95+'Fórmula'!G95+'Fórmula'!I95+'Fórmula'!K95))*(INDEX(properties!A$1:CB$87,'Fórmula'!B95,31))+(('Fórmula'!E95)/('Fórmula'!C95+'Fórmula'!E95+'Fórmula'!G95+'Fórmula'!I95+'Fórmula'!K95))*(INDEX(properties!A$1:CB$87,'Fórmula'!D95,31))+(('Fórmula'!G95)/('Fórmula'!C95+'Fórmula'!E95+'Fórmula'!G95+'Fórmula'!I95+'Fórmula'!K95))*(INDEX(properties!A$1:CB$87,'Fórmula'!F95,31))+(('Fórmula'!I95)/('Fórmula'!C95+'Fórmula'!E95+'Fórmula'!G95+'Fórmula'!I95+'Fórmula'!K95))*(INDEX(properties!A$1:CB$87,'Fórmula'!H95,31))+(('Fórmula'!K95)/('Fórmula'!C95+'Fórmula'!E95+'Fórmula'!G95+'Fórmula'!I95+'Fórmula'!K95))*(INDEX(properties!A$1:CB$87,'Fórmula'!J95,31))</f>
        <v>2.778181818</v>
      </c>
      <c r="CU95" s="118">
        <f t="array" ref="CU95">'Fórmula'!C95*(INDEX(properties!A$1:CB$87,'Fórmula'!B95,31))+'Fórmula'!E95*(INDEX(properties!A$1:CB$87,'Fórmula'!D95,31))+'Fórmula'!G95*(INDEX(properties!A$1:CB$87,'Fórmula'!F95,31))+'Fórmula'!I95*(INDEX(properties!A$1:CB$87,'Fórmula'!H95,31))+'Fórmula'!K95*(INDEX(properties!A$1:CB$87,'Fórmula'!J95,31))</f>
        <v>30.56</v>
      </c>
      <c r="CV95" s="118">
        <f t="array" ref="CV95">VARP(IF(INDEX(properties!A$1:CB$87,'Fórmula'!B95,31)&lt;&gt;"",INDEX(properties!A$1:CB$87,'Fórmula'!B95,31)),IF(INDEX(properties!A$1:CB$87,'Fórmula'!D95,31)&lt;&gt;"",INDEX(properties!A$1:CB$87,'Fórmula'!D95,31)),IF(INDEX(properties!A$1:CB$87,'Fórmula'!F95,31)&lt;&gt;"",INDEX(properties!A$1:CB$87,'Fórmula'!F95,31)),IF(INDEX(properties!A$1:CB$87,'Fórmula'!H95,31)&lt;&gt;"",INDEX(properties!A$1:CB$87,'Fórmula'!H95,31)),IF(INDEX(properties!A$1:CB$87,'Fórmula'!J95,31)&lt;&gt;"",INDEX(properties!A$1:CB$87,'Fórmula'!J95,31)))</f>
        <v>1.656064</v>
      </c>
      <c r="CW95" s="118">
        <f t="array" ref="CW95">MAX(INDEX(properties!A$1:CB$87,'Fórmula'!B95,31),INDEX(properties!A$1:CB$87,'Fórmula'!D95,31),INDEX(properties!A$1:CB$87,'Fórmula'!F95,31),INDEX(properties!A$1:CB$87,'Fórmula'!H95,31),INDEX(properties!A$1:CB$87,'Fórmula'!J95,31))</f>
        <v>3.32</v>
      </c>
      <c r="CX95" s="118">
        <f t="array" ref="CX95">MIN(IF(INDEX(properties!A$1:CB$87,'Fórmula'!B95,31)=0,10^6,INDEX(properties!A$1:CB$87,'Fórmula'!B95,31)),IF(INDEX(properties!A$1:CB$87,'Fórmula'!D95,31)=0,10^6,INDEX(properties!A$1:CB$87,'Fórmula'!D95,31)),IF(INDEX(properties!A$1:CB$87,'Fórmula'!F95,31)=0,10^6,INDEX(properties!A$1:CB$87,'Fórmula'!F95,31)),IF(INDEX(properties!A$1:CB$87,'Fórmula'!H95,31)=0,10^6,INDEX(properties!A$1:CB$87,'Fórmula'!H95,31)),IF(INDEX(properties!A$1:CB$87,'Fórmula'!J95,31)=0,10^6,INDEX(properties!A$1:CB$87,'Fórmula'!J95,31)))</f>
        <v>1.44</v>
      </c>
      <c r="CY95" s="118">
        <f t="shared" si="17"/>
        <v>1.88</v>
      </c>
      <c r="CZ95" s="119">
        <f t="array" ref="CZ95">(('Fórmula'!C95)/('Fórmula'!C95+'Fórmula'!E95+'Fórmula'!G95+'Fórmula'!I95+'Fórmula'!K95))*(INDEX(properties!A$1:CB$87,'Fórmula'!B95,32))+(('Fórmula'!E95)/('Fórmula'!C95+'Fórmula'!E95+'Fórmula'!G95+'Fórmula'!I95+'Fórmula'!K95))*(INDEX(properties!A$1:CB$87,'Fórmula'!D95,32))+(('Fórmula'!G95)/('Fórmula'!C95+'Fórmula'!E95+'Fórmula'!G95+'Fórmula'!I95+'Fórmula'!K95))*(INDEX(properties!A$1:CB$87,'Fórmula'!F95,32))+(('Fórmula'!I95)/('Fórmula'!C95+'Fórmula'!E95+'Fórmula'!G95+'Fórmula'!I95+'Fórmula'!K95))*(INDEX(properties!A$1:CB$87,'Fórmula'!H95,32))+(('Fórmula'!K95)/('Fórmula'!C95+'Fórmula'!E95+'Fórmula'!G95+'Fórmula'!I95+'Fórmula'!K95))*(INDEX(properties!A$1:CB$87,'Fórmula'!J95,32))</f>
        <v>6.261818182</v>
      </c>
      <c r="DA95" s="119">
        <f t="array" ref="DA95">'Fórmula'!C95*(INDEX(properties!A$1:CB$87,'Fórmula'!B95,32))+'Fórmula'!E95*(INDEX(properties!A$1:CB$87,'Fórmula'!D95,32))+'Fórmula'!G95*(INDEX(properties!A$1:CB$87,'Fórmula'!F95,32))+'Fórmula'!I95*(INDEX(properties!A$1:CB$87,'Fórmula'!H95,32))+'Fórmula'!K95*(INDEX(properties!A$1:CB$87,'Fórmula'!J95,32))</f>
        <v>68.88</v>
      </c>
      <c r="DB95" s="119">
        <f t="array" ref="DB95">VARP(IF(INDEX(properties!A$1:CB$87,'Fórmula'!B95,32)&lt;&gt;"",INDEX(properties!A$1:CB$87,'Fórmula'!B95,32)),IF(INDEX(properties!A$1:CB$87,'Fórmula'!D95,32)&lt;&gt;"",INDEX(properties!A$1:CB$87,'Fórmula'!D95,32)),IF(INDEX(properties!A$1:CB$87,'Fórmula'!F95,32)&lt;&gt;"",INDEX(properties!A$1:CB$87,'Fórmula'!F95,32)),IF(INDEX(properties!A$1:CB$87,'Fórmula'!H95,32)&lt;&gt;"",INDEX(properties!A$1:CB$87,'Fórmula'!H95,32)),IF(INDEX(properties!A$1:CB$87,'Fórmula'!J95,32)&lt;&gt;"",INDEX(properties!A$1:CB$87,'Fórmula'!J95,32)))</f>
        <v>8.200896</v>
      </c>
      <c r="DC95" s="119">
        <f t="array" ref="DC95">MAX(INDEX(properties!A$1:CB$87,'Fórmula'!B95,32),INDEX(properties!A$1:CB$87,'Fórmula'!D95,32),INDEX(properties!A$1:CB$87,'Fórmula'!F95,32),INDEX(properties!A$1:CB$87,'Fórmula'!H95,32),INDEX(properties!A$1:CB$87,'Fórmula'!J95,32))</f>
        <v>7.54</v>
      </c>
      <c r="DD95" s="119">
        <f t="array" ref="DD95">MIN(IF(INDEX(properties!A$1:CB$87,'Fórmula'!B95,32)=0,10^6,INDEX(properties!A$1:CB$87,'Fórmula'!B95,32)),IF(INDEX(properties!A$1:CB$87,'Fórmula'!D95,32)=0,10^6,INDEX(properties!A$1:CB$87,'Fórmula'!D95,32)),IF(INDEX(properties!A$1:CB$87,'Fórmula'!F95,32)=0,10^6,INDEX(properties!A$1:CB$87,'Fórmula'!F95,32)),IF(INDEX(properties!A$1:CB$87,'Fórmula'!H95,32)=0,10^6,INDEX(properties!A$1:CB$87,'Fórmula'!H95,32)),IF(INDEX(properties!A$1:CB$87,'Fórmula'!J95,32)=0,10^6,INDEX(properties!A$1:CB$87,'Fórmula'!J95,32)))</f>
        <v>3.6</v>
      </c>
      <c r="DE95" s="119">
        <f t="shared" si="18"/>
        <v>3.94</v>
      </c>
      <c r="DF95" s="104">
        <f t="array" ref="DF95">(('Fórmula'!C95)/('Fórmula'!C95+'Fórmula'!E95+'Fórmula'!G95+'Fórmula'!I95+'Fórmula'!K95))*(INDEX(properties!A$1:CB$87,'Fórmula'!B95,34))+(('Fórmula'!E95)/('Fórmula'!C95+'Fórmula'!E95+'Fórmula'!G95+'Fórmula'!I95+'Fórmula'!K95))*(INDEX(properties!A$1:CB$87,'Fórmula'!D95,34))+(('Fórmula'!G95)/('Fórmula'!C95+'Fórmula'!E95+'Fórmula'!G95+'Fórmula'!I95+'Fórmula'!K95))*(INDEX(properties!A$1:CB$87,'Fórmula'!F95,34))+(('Fórmula'!I95)/('Fórmula'!C95+'Fórmula'!E95+'Fórmula'!G95+'Fórmula'!I95+'Fórmula'!K95))*(INDEX(properties!A$1:CB$87,'Fórmula'!H95,34))+(('Fórmula'!K95)/('Fórmula'!C95+'Fórmula'!E95+'Fórmula'!G95+'Fórmula'!I95+'Fórmula'!K95))*(INDEX(properties!A$1:CB$87,'Fórmula'!J95,34))</f>
        <v>2.864545455</v>
      </c>
      <c r="DG95" s="104">
        <f t="array" ref="DG95">'Fórmula'!C95*(INDEX(properties!A$1:CB$87,'Fórmula'!B95,34))+'Fórmula'!E95*(INDEX(properties!A$1:CB$87,'Fórmula'!D95,34))+'Fórmula'!G95*(INDEX(properties!A$1:CB$87,'Fórmula'!F95,34))+'Fórmula'!I95*(INDEX(properties!A$1:CB$87,'Fórmula'!H95,34))+'Fórmula'!K95*(INDEX(properties!A$1:CB$87,'Fórmula'!J95,34))</f>
        <v>31.51</v>
      </c>
      <c r="DH95" s="104">
        <f t="array" ref="DH95">VARP(IF(INDEX(properties!A$1:CB$87,'Fórmula'!B95,34)&lt;&gt;"",INDEX(properties!A$1:CB$87,'Fórmula'!B95,34)),IF(INDEX(properties!A$1:CB$87,'Fórmula'!D95,34)&lt;&gt;"",INDEX(properties!A$1:CB$87,'Fórmula'!D95,34)),IF(INDEX(properties!A$1:CB$87,'Fórmula'!F95,34)&lt;&gt;"",INDEX(properties!A$1:CB$87,'Fórmula'!F95,34)),IF(INDEX(properties!A$1:CB$87,'Fórmula'!H95,34)&lt;&gt;"",INDEX(properties!A$1:CB$87,'Fórmula'!H95,34)),IF(INDEX(properties!A$1:CB$87,'Fórmula'!J95,34)&lt;&gt;"",INDEX(properties!A$1:CB$87,'Fórmula'!J95,34)))</f>
        <v>1.768504</v>
      </c>
      <c r="DI95" s="104">
        <f t="array" ref="DI95">MAX(INDEX(properties!A$1:CB$87,'Fórmula'!B95,34),INDEX(properties!A$1:CB$87,'Fórmula'!D95,34),INDEX(properties!A$1:CB$87,'Fórmula'!F95,34),INDEX(properties!A$1:CB$87,'Fórmula'!H95,34),INDEX(properties!A$1:CB$87,'Fórmula'!J95,34))</f>
        <v>3.61</v>
      </c>
      <c r="DJ95" s="104">
        <f t="array" ref="DJ95">MIN(IF(INDEX(properties!A$1:CB$87,'Fórmula'!B95,34)=0,10^6,INDEX(properties!A$1:CB$87,'Fórmula'!B95,34)),IF(INDEX(properties!A$1:CB$87,'Fórmula'!D95,34)=0,10^6,INDEX(properties!A$1:CB$87,'Fórmula'!D95,34)),IF(INDEX(properties!A$1:CB$87,'Fórmula'!F95,34)=0,10^6,INDEX(properties!A$1:CB$87,'Fórmula'!F95,34)),IF(INDEX(properties!A$1:CB$87,'Fórmula'!H95,34)=0,10^6,INDEX(properties!A$1:CB$87,'Fórmula'!H95,34)),IF(INDEX(properties!A$1:CB$87,'Fórmula'!J95,34)=0,10^6,INDEX(properties!A$1:CB$87,'Fórmula'!J95,34)))</f>
        <v>1.53</v>
      </c>
      <c r="DK95" s="104">
        <f t="shared" si="19"/>
        <v>2.08</v>
      </c>
      <c r="DL95" s="105">
        <f t="array" ref="DL95">(('Fórmula'!C95)/('Fórmula'!C95+'Fórmula'!E95+'Fórmula'!G95+'Fórmula'!I95+'Fórmula'!K95))*(INDEX(properties!A$1:CB$87,'Fórmula'!B95,37))+(('Fórmula'!E95)/('Fórmula'!C95+'Fórmula'!E95+'Fórmula'!G95+'Fórmula'!I95+'Fórmula'!K95))*(INDEX(properties!A$1:CB$87,'Fórmula'!D95,37))+(('Fórmula'!G95)/('Fórmula'!C95+'Fórmula'!E95+'Fórmula'!G95+'Fórmula'!I95+'Fórmula'!K95))*(INDEX(properties!A$1:CB$87,'Fórmula'!F95,37))+(('Fórmula'!I95)/('Fórmula'!C95+'Fórmula'!E95+'Fórmula'!G95+'Fórmula'!I95+'Fórmula'!K95))*(INDEX(properties!A$1:CB$87,'Fórmula'!H95,37))+(('Fórmula'!K95)/('Fórmula'!C95+'Fórmula'!E95+'Fórmula'!G95+'Fórmula'!I95+'Fórmula'!K95))*(INDEX(properties!A$1:CB$87,'Fórmula'!J95,37))</f>
        <v>2.759090909</v>
      </c>
      <c r="DM95" s="105">
        <f t="array" ref="DM95">'Fórmula'!C95*(INDEX(properties!A$1:CB$87,'Fórmula'!B95,37))+'Fórmula'!E95*(INDEX(properties!A$1:CB$87,'Fórmula'!D95,37))+'Fórmula'!G95*(INDEX(properties!A$1:CB$87,'Fórmula'!F95,37))+'Fórmula'!I95*(INDEX(properties!A$1:CB$87,'Fórmula'!H95,37))+'Fórmula'!K95*(INDEX(properties!A$1:CB$87,'Fórmula'!J95,37))</f>
        <v>30.35</v>
      </c>
      <c r="DN95" s="105">
        <f t="array" ref="DN95">VARP(IF(INDEX(properties!A$1:CB$87,'Fórmula'!B95,37)&lt;&gt;"",INDEX(properties!A$1:CB$87,'Fórmula'!B95,37)),IF(INDEX(properties!A$1:CB$87,'Fórmula'!D95,37)&lt;&gt;"",INDEX(properties!A$1:CB$87,'Fórmula'!D95,37)),IF(INDEX(properties!A$1:CB$87,'Fórmula'!F95,37)&lt;&gt;"",INDEX(properties!A$1:CB$87,'Fórmula'!F95,37)),IF(INDEX(properties!A$1:CB$87,'Fórmula'!H95,37)&lt;&gt;"",INDEX(properties!A$1:CB$87,'Fórmula'!H95,37)),IF(INDEX(properties!A$1:CB$87,'Fórmula'!J95,37)&lt;&gt;"",INDEX(properties!A$1:CB$87,'Fórmula'!J95,37)))</f>
        <v>1.6744</v>
      </c>
      <c r="DO95" s="105">
        <f t="array" ref="DO95">MAX(INDEX(properties!A$1:CB$87,'Fórmula'!B95,37),INDEX(properties!A$1:CB$87,'Fórmula'!D95,37),INDEX(properties!A$1:CB$87,'Fórmula'!F95,37),INDEX(properties!A$1:CB$87,'Fórmula'!H95,37),INDEX(properties!A$1:CB$87,'Fórmula'!J95,37))</f>
        <v>3.45</v>
      </c>
      <c r="DP95" s="105">
        <f t="array" ref="DP95">MIN(IF(INDEX(properties!A$1:CB$87,'Fórmula'!B95,37)=0,10^6,INDEX(properties!A$1:CB$87,'Fórmula'!B95,37)),IF(INDEX(properties!A$1:CB$87,'Fórmula'!D95,37)=0,10^6,INDEX(properties!A$1:CB$87,'Fórmula'!D95,37)),IF(INDEX(properties!A$1:CB$87,'Fórmula'!F95,37)=0,10^6,INDEX(properties!A$1:CB$87,'Fórmula'!F95,37)),IF(INDEX(properties!A$1:CB$87,'Fórmula'!H95,37)=0,10^6,INDEX(properties!A$1:CB$87,'Fórmula'!H95,37)),IF(INDEX(properties!A$1:CB$87,'Fórmula'!J95,37)=0,10^6,INDEX(properties!A$1:CB$87,'Fórmula'!J95,37)))</f>
        <v>1.2</v>
      </c>
      <c r="DQ95" s="105">
        <f t="shared" si="20"/>
        <v>2.25</v>
      </c>
      <c r="DR95" s="109">
        <f t="array" ref="DR95">(('Fórmula'!C95)/('Fórmula'!C95+'Fórmula'!E95+'Fórmula'!G95+'Fórmula'!I95+'Fórmula'!K95))*(INDEX(properties!A$1:CB$87,'Fórmula'!B95,39))+(('Fórmula'!E95)/('Fórmula'!C95+'Fórmula'!E95+'Fórmula'!G95+'Fórmula'!I95+'Fórmula'!K95))*(INDEX(properties!A$1:CB$87,'Fórmula'!D95,39))+(('Fórmula'!G95)/('Fórmula'!C95+'Fórmula'!E95+'Fórmula'!G95+'Fórmula'!I95+'Fórmula'!K95))*(INDEX(properties!A$1:CB$87,'Fórmula'!F95,39))+(('Fórmula'!I95)/('Fórmula'!C95+'Fórmula'!E95+'Fórmula'!G95+'Fórmula'!I95+'Fórmula'!K95))*(INDEX(properties!A$1:CB$87,'Fórmula'!H95,39))+(('Fórmula'!K95)/('Fórmula'!C95+'Fórmula'!E95+'Fórmula'!G95+'Fórmula'!I95+'Fórmula'!K95))*(INDEX(properties!A$1:CB$87,'Fórmula'!J95,39))</f>
        <v>0.8745454545</v>
      </c>
      <c r="DS95" s="109">
        <f t="array" ref="DS95">'Fórmula'!C95*(INDEX(properties!A$1:CB$87,'Fórmula'!B95,39))+'Fórmula'!E95*(INDEX(properties!A$1:CB$87,'Fórmula'!D95,39))+'Fórmula'!G95*(INDEX(properties!A$1:CB$87,'Fórmula'!F95,39))+'Fórmula'!I95*(INDEX(properties!A$1:CB$87,'Fórmula'!H95,39))+'Fórmula'!K95*(INDEX(properties!A$1:CB$87,'Fórmula'!J95,39))</f>
        <v>9.62</v>
      </c>
      <c r="DT95" s="109">
        <f t="array" ref="DT95">VARP(IF(INDEX(properties!A$1:CB$87,'Fórmula'!B95,39)&lt;&gt;"",INDEX(properties!A$1:CB$87,'Fórmula'!B95,39)),IF(INDEX(properties!A$1:CB$87,'Fórmula'!D95,39)&lt;&gt;"",INDEX(properties!A$1:CB$87,'Fórmula'!D95,39)),IF(INDEX(properties!A$1:CB$87,'Fórmula'!F95,39)&lt;&gt;"",INDEX(properties!A$1:CB$87,'Fórmula'!F95,39)),IF(INDEX(properties!A$1:CB$87,'Fórmula'!H95,39)&lt;&gt;"",INDEX(properties!A$1:CB$87,'Fórmula'!H95,39)),IF(INDEX(properties!A$1:CB$87,'Fórmula'!J95,39)&lt;&gt;"",INDEX(properties!A$1:CB$87,'Fórmula'!J95,39)))</f>
        <v>0.512896</v>
      </c>
      <c r="DU95" s="120">
        <f t="array" ref="DU95">MAX(INDEX(properties!A$1:CB$87,'Fórmula'!B95,39),INDEX(properties!A$1:CB$87,'Fórmula'!D95,39),INDEX(properties!A$1:CB$87,'Fórmula'!F95,39),INDEX(properties!A$1:CB$87,'Fórmula'!H95,39),INDEX(properties!A$1:CB$87,'Fórmula'!J95,39))</f>
        <v>1.71</v>
      </c>
      <c r="DV95" s="120">
        <f t="array" ref="DV95">MIN(IF(INDEX(properties!A$1:CB$87,'Fórmula'!B95,39)=0,10^6,INDEX(properties!A$1:CB$87,'Fórmula'!B95,39)),IF(INDEX(properties!A$1:CB$87,'Fórmula'!D95,39)=0,10^6,INDEX(properties!A$1:CB$87,'Fórmula'!D95,39)),IF(INDEX(properties!A$1:CB$87,'Fórmula'!F95,39)=0,10^6,INDEX(properties!A$1:CB$87,'Fórmula'!F95,39)),IF(INDEX(properties!A$1:CB$87,'Fórmula'!H95,39)=0,10^6,INDEX(properties!A$1:CB$87,'Fórmula'!H95,39)),IF(INDEX(properties!A$1:CB$87,'Fórmula'!J95,39)=0,10^6,INDEX(properties!A$1:CB$87,'Fórmula'!J95,39)))</f>
        <v>0.48</v>
      </c>
      <c r="DW95" s="109">
        <f t="shared" si="21"/>
        <v>1.23</v>
      </c>
      <c r="DX95" s="110">
        <f t="array" ref="DX95">(('Fórmula'!C95)/('Fórmula'!C95+'Fórmula'!E95+'Fórmula'!G95+'Fórmula'!I95+'Fórmula'!K95))*(INDEX(properties!A$1:CB$87,'Fórmula'!B95,40))+(('Fórmula'!E95)/('Fórmula'!C95+'Fórmula'!E95+'Fórmula'!G95+'Fórmula'!I95+'Fórmula'!K95))*(INDEX(properties!A$1:CB$87,'Fórmula'!D95,40))+(('Fórmula'!G95)/('Fórmula'!C95+'Fórmula'!E95+'Fórmula'!G95+'Fórmula'!I95+'Fórmula'!K95))*(INDEX(properties!A$1:CB$87,'Fórmula'!F95,40))+(('Fórmula'!I95)/('Fórmula'!C95+'Fórmula'!E95+'Fórmula'!G95+'Fórmula'!I95+'Fórmula'!K95))*(INDEX(properties!A$1:CB$87,'Fórmula'!H95,40))+(('Fórmula'!K95)/('Fórmula'!C95+'Fórmula'!E95+'Fórmula'!G95+'Fórmula'!I95+'Fórmula'!K95))*(INDEX(properties!A$1:CB$87,'Fórmula'!J95,40))</f>
        <v>0.93</v>
      </c>
      <c r="DY95" s="110">
        <f t="array" ref="DY95">'Fórmula'!C95*(INDEX(properties!A$1:CB$87,'Fórmula'!B95,40))+'Fórmula'!E95*(INDEX(properties!A$1:CB$87,'Fórmula'!D95,40))+'Fórmula'!G95*(INDEX(properties!A$1:CB$87,'Fórmula'!F95,40))+'Fórmula'!I95*(INDEX(properties!A$1:CB$87,'Fórmula'!H95,40))+'Fórmula'!K95*(INDEX(properties!A$1:CB$87,'Fórmula'!J95,40))</f>
        <v>10.23</v>
      </c>
      <c r="DZ95" s="110">
        <f t="array" ref="DZ95">VARP(IF(INDEX(properties!A$1:CB$87,'Fórmula'!B95,40)&lt;&gt;"",INDEX(properties!A$1:CB$87,'Fórmula'!B95,40)),IF(INDEX(properties!A$1:CB$87,'Fórmula'!D95,40)&lt;&gt;"",INDEX(properties!A$1:CB$87,'Fórmula'!D95,40)),IF(INDEX(properties!A$1:CB$87,'Fórmula'!F95,40)&lt;&gt;"",INDEX(properties!A$1:CB$87,'Fórmula'!F95,40)),IF(INDEX(properties!A$1:CB$87,'Fórmula'!H95,40)&lt;&gt;"",INDEX(properties!A$1:CB$87,'Fórmula'!H95,40)),IF(INDEX(properties!A$1:CB$87,'Fórmula'!J95,40)&lt;&gt;"",INDEX(properties!A$1:CB$87,'Fórmula'!J95,40)))</f>
        <v>0.329336</v>
      </c>
      <c r="EA95" s="121">
        <f t="array" ref="EA95">MAX(INDEX(properties!A$1:CB$87,'Fórmula'!B95,40),INDEX(properties!A$1:CB$87,'Fórmula'!D95,40),INDEX(properties!A$1:CB$87,'Fórmula'!F95,40),INDEX(properties!A$1:CB$87,'Fórmula'!H95,40),INDEX(properties!A$1:CB$87,'Fórmula'!J95,40))</f>
        <v>1.31</v>
      </c>
      <c r="EB95" s="121">
        <f t="array" ref="EB95">MIN(IF(INDEX(properties!A$1:CB$87,'Fórmula'!B95,40)=0,10^6,INDEX(properties!A$1:CB$87,'Fórmula'!B95,40)),IF(INDEX(properties!A$1:CB$87,'Fórmula'!D95,40)=0,10^6,INDEX(properties!A$1:CB$87,'Fórmula'!D95,40)),IF(INDEX(properties!A$1:CB$87,'Fórmula'!F95,40)=0,10^6,INDEX(properties!A$1:CB$87,'Fórmula'!F95,40)),IF(INDEX(properties!A$1:CB$87,'Fórmula'!H95,40)=0,10^6,INDEX(properties!A$1:CB$87,'Fórmula'!H95,40)),IF(INDEX(properties!A$1:CB$87,'Fórmula'!J95,40)=0,10^6,INDEX(properties!A$1:CB$87,'Fórmula'!J95,40)))</f>
        <v>0.73</v>
      </c>
      <c r="EC95" s="110">
        <f t="shared" si="22"/>
        <v>0.58</v>
      </c>
      <c r="ED95" s="111">
        <f t="array" ref="ED95">(('Fórmula'!C95)/('Fórmula'!C95+'Fórmula'!E95+'Fórmula'!G95+'Fórmula'!I95+'Fórmula'!K95))*(INDEX(properties!A$1:CB$87,'Fórmula'!B95,41))+(('Fórmula'!E95)/('Fórmula'!C95+'Fórmula'!E95+'Fórmula'!G95+'Fórmula'!I95+'Fórmula'!K95))*(INDEX(properties!A$1:CB$87,'Fórmula'!D95,41))+(('Fórmula'!G95)/('Fórmula'!C95+'Fórmula'!E95+'Fórmula'!G95+'Fórmula'!I95+'Fórmula'!K95))*(INDEX(properties!A$1:CB$87,'Fórmula'!F95,41))+(('Fórmula'!I95)/('Fórmula'!C95+'Fórmula'!E95+'Fórmula'!G95+'Fórmula'!I95+'Fórmula'!K95))*(INDEX(properties!A$1:CB$87,'Fórmula'!H95,41))+(('Fórmula'!K95)/('Fórmula'!C95+'Fórmula'!E95+'Fórmula'!G95+'Fórmula'!I95+'Fórmula'!K95))*(INDEX(properties!A$1:CB$87,'Fórmula'!J95,41))</f>
        <v>1.130909091</v>
      </c>
      <c r="EE95" s="111">
        <f t="array" ref="EE95">'Fórmula'!C95*(INDEX(properties!A$1:CB$87,'Fórmula'!B95,41))+'Fórmula'!E95*(INDEX(properties!A$1:CB$87,'Fórmula'!D95,41))+'Fórmula'!G95*(INDEX(properties!A$1:CB$87,'Fórmula'!F95,41))+'Fórmula'!I95*(INDEX(properties!A$1:CB$87,'Fórmula'!H95,41))+'Fórmula'!K95*(INDEX(properties!A$1:CB$87,'Fórmula'!J95,41))</f>
        <v>12.44</v>
      </c>
      <c r="EF95" s="111">
        <f t="array" ref="EF95">VARP(IF(INDEX(properties!A$1:CB$87,'Fórmula'!B95,41)&lt;&gt;"",INDEX(properties!A$1:CB$87,'Fórmula'!B95,41)),IF(INDEX(properties!A$1:CB$87,'Fórmula'!D95,41)&lt;&gt;"",INDEX(properties!A$1:CB$87,'Fórmula'!D95,41)),IF(INDEX(properties!A$1:CB$87,'Fórmula'!F95,41)&lt;&gt;"",INDEX(properties!A$1:CB$87,'Fórmula'!F95,41)),IF(INDEX(properties!A$1:CB$87,'Fórmula'!H95,41)&lt;&gt;"",INDEX(properties!A$1:CB$87,'Fórmula'!H95,41)),IF(INDEX(properties!A$1:CB$87,'Fórmula'!J95,41)&lt;&gt;"",INDEX(properties!A$1:CB$87,'Fórmula'!J95,41)))</f>
        <v>0.268384</v>
      </c>
      <c r="EG95" s="122">
        <f t="array" ref="EG95">MAX(INDEX(properties!A$1:CB$87,'Fórmula'!B95,41),INDEX(properties!A$1:CB$87,'Fórmula'!D95,41),INDEX(properties!A$1:CB$87,'Fórmula'!F95,41),INDEX(properties!A$1:CB$87,'Fórmula'!H95,41),INDEX(properties!A$1:CB$87,'Fórmula'!J95,41))</f>
        <v>1.26</v>
      </c>
      <c r="EH95" s="122">
        <f t="array" ref="EH95">MIN(IF(INDEX(properties!A$1:CB$87,'Fórmula'!B95,41)=0,10^6,INDEX(properties!A$1:CB$87,'Fórmula'!B95,41)),IF(INDEX(properties!A$1:CB$87,'Fórmula'!D95,41)=0,10^6,INDEX(properties!A$1:CB$87,'Fórmula'!D95,41)),IF(INDEX(properties!A$1:CB$87,'Fórmula'!F95,41)=0,10^6,INDEX(properties!A$1:CB$87,'Fórmula'!F95,41)),IF(INDEX(properties!A$1:CB$87,'Fórmula'!H95,41)=0,10^6,INDEX(properties!A$1:CB$87,'Fórmula'!H95,41)),IF(INDEX(properties!A$1:CB$87,'Fórmula'!J95,41)=0,10^6,INDEX(properties!A$1:CB$87,'Fórmula'!J95,41)))</f>
        <v>0.88</v>
      </c>
      <c r="EI95" s="111">
        <f t="shared" si="23"/>
        <v>0.38</v>
      </c>
      <c r="EJ95" s="112">
        <f t="array" ref="EJ95">(('Fórmula'!C95)/('Fórmula'!C95+'Fórmula'!E95+'Fórmula'!G95+'Fórmula'!I95+'Fórmula'!K95))*(INDEX(properties!A$1:CB$87,'Fórmula'!B95,45))+(('Fórmula'!E95)/('Fórmula'!C95+'Fórmula'!E95+'Fórmula'!G95+'Fórmula'!I95+'Fórmula'!K95))*(INDEX(properties!A$1:CB$87,'Fórmula'!D95,45))+(('Fórmula'!G95)/('Fórmula'!C95+'Fórmula'!E95+'Fórmula'!G95+'Fórmula'!I95+'Fórmula'!K95))*(INDEX(properties!A$1:CB$87,'Fórmula'!F95,45))+(('Fórmula'!I95)/('Fórmula'!C95+'Fórmula'!E95+'Fórmula'!G95+'Fórmula'!I95+'Fórmula'!K95))*(INDEX(properties!A$1:CB$87,'Fórmula'!H95,45))+(('Fórmula'!K95)/('Fórmula'!C95+'Fórmula'!E95+'Fórmula'!G95+'Fórmula'!I95+'Fórmula'!K95))*(INDEX(properties!A$1:CB$87,'Fórmula'!J95,45))</f>
        <v>1.082727273</v>
      </c>
      <c r="EK95" s="112">
        <f t="array" ref="EK95">'Fórmula'!C95*(INDEX(properties!A$1:CB$87,'Fórmula'!B95,45))+'Fórmula'!E95*(INDEX(properties!A$1:CB$87,'Fórmula'!D95,45))+'Fórmula'!G95*(INDEX(properties!A$1:CB$87,'Fórmula'!F95,45))+'Fórmula'!I95*(INDEX(properties!A$1:CB$87,'Fórmula'!H95,45))+'Fórmula'!K95*(INDEX(properties!A$1:CB$87,'Fórmula'!J95,45))</f>
        <v>11.91</v>
      </c>
      <c r="EL95" s="112">
        <f t="array" ref="EL95">VARP(IF(INDEX(properties!A$1:CB$87,'Fórmula'!B95,45)&lt;&gt;"",INDEX(properties!A$1:CB$87,'Fórmula'!B95,45)),IF(INDEX(properties!A$1:CB$87,'Fórmula'!D95,45)&lt;&gt;"",INDEX(properties!A$1:CB$87,'Fórmula'!D95,45)),IF(INDEX(properties!A$1:CB$87,'Fórmula'!F95,45)&lt;&gt;"",INDEX(properties!A$1:CB$87,'Fórmula'!F95,45)),IF(INDEX(properties!A$1:CB$87,'Fórmula'!H95,45)&lt;&gt;"",INDEX(properties!A$1:CB$87,'Fórmula'!H95,45)),IF(INDEX(properties!A$1:CB$87,'Fórmula'!J95,45)&lt;&gt;"",INDEX(properties!A$1:CB$87,'Fórmula'!J95,45)))</f>
        <v>1.018104</v>
      </c>
      <c r="EM95" s="123">
        <f t="array" ref="EM95">MAX(INDEX(properties!A$1:CB$87,'Fórmula'!B95,45),INDEX(properties!A$1:CB$87,'Fórmula'!D95,45),INDEX(properties!A$1:CB$87,'Fórmula'!F95,45),INDEX(properties!A$1:CB$87,'Fórmula'!H95,45),INDEX(properties!A$1:CB$87,'Fórmula'!J95,45))</f>
        <v>2.43</v>
      </c>
      <c r="EN95" s="123">
        <f t="array" ref="EN95">MIN(IF(INDEX(properties!A$1:CB$87,'Fórmula'!B95,45)=0,10^6,INDEX(properties!A$1:CB$87,'Fórmula'!B95,45)),IF(INDEX(properties!A$1:CB$87,'Fórmula'!D95,45)=0,10^6,INDEX(properties!A$1:CB$87,'Fórmula'!D95,45)),IF(INDEX(properties!A$1:CB$87,'Fórmula'!F95,45)=0,10^6,INDEX(properties!A$1:CB$87,'Fórmula'!F95,45)),IF(INDEX(properties!A$1:CB$87,'Fórmula'!H95,45)=0,10^6,INDEX(properties!A$1:CB$87,'Fórmula'!H95,45)),IF(INDEX(properties!A$1:CB$87,'Fórmula'!J95,45)=0,10^6,INDEX(properties!A$1:CB$87,'Fórmula'!J95,45)))</f>
        <v>0.47</v>
      </c>
      <c r="EO95" s="112">
        <f t="shared" si="24"/>
        <v>1.96</v>
      </c>
      <c r="EP95" s="113">
        <f t="array" ref="EP95">(('Fórmula'!C95)/('Fórmula'!C95+'Fórmula'!E95+'Fórmula'!G95+'Fórmula'!I95+'Fórmula'!K95))*(INDEX(properties!A$1:CB$87,'Fórmula'!B95,46))+(('Fórmula'!E95)/('Fórmula'!C95+'Fórmula'!E95+'Fórmula'!G95+'Fórmula'!I95+'Fórmula'!K95))*(INDEX(properties!A$1:CB$87,'Fórmula'!D95,46))+(('Fórmula'!G95)/('Fórmula'!C95+'Fórmula'!E95+'Fórmula'!G95+'Fórmula'!I95+'Fórmula'!K95))*(INDEX(properties!A$1:CB$87,'Fórmula'!F95,46))+(('Fórmula'!I95)/('Fórmula'!C95+'Fórmula'!E95+'Fórmula'!G95+'Fórmula'!I95+'Fórmula'!K95))*(INDEX(properties!A$1:CB$87,'Fórmula'!H95,46))+(('Fórmula'!K95)/('Fórmula'!C95+'Fórmula'!E95+'Fórmula'!G95+'Fórmula'!I95+'Fórmula'!K95))*(INDEX(properties!A$1:CB$87,'Fórmula'!J95,46))</f>
        <v>1.028181818</v>
      </c>
      <c r="EQ95" s="113">
        <f t="array" ref="EQ95">'Fórmula'!C95*(INDEX(properties!A$1:CB$87,'Fórmula'!B95,46))+'Fórmula'!E95*(INDEX(properties!A$1:CB$87,'Fórmula'!D95,46))+'Fórmula'!G95*(INDEX(properties!A$1:CB$87,'Fórmula'!F95,46))+'Fórmula'!I95*(INDEX(properties!A$1:CB$87,'Fórmula'!H95,46))+'Fórmula'!K95*(INDEX(properties!A$1:CB$87,'Fórmula'!J95,46))</f>
        <v>11.31</v>
      </c>
      <c r="ER95" s="113">
        <f t="array" ref="ER95">VARP(IF(INDEX(properties!A$1:CB$87,'Fórmula'!B95,46)&lt;&gt;"",INDEX(properties!A$1:CB$87,'Fórmula'!B95,46)),IF(INDEX(properties!A$1:CB$87,'Fórmula'!D95,46)&lt;&gt;"",INDEX(properties!A$1:CB$87,'Fórmula'!D95,46)),IF(INDEX(properties!A$1:CB$87,'Fórmula'!F95,46)&lt;&gt;"",INDEX(properties!A$1:CB$87,'Fórmula'!F95,46)),IF(INDEX(properties!A$1:CB$87,'Fórmula'!H95,46)&lt;&gt;"",INDEX(properties!A$1:CB$87,'Fórmula'!H95,46)),IF(INDEX(properties!A$1:CB$87,'Fórmula'!J95,46)&lt;&gt;"",INDEX(properties!A$1:CB$87,'Fórmula'!J95,46)))</f>
        <v>0.218144</v>
      </c>
      <c r="ES95" s="124">
        <f t="array" ref="ES95">MAX(INDEX(properties!A$1:CB$87,'Fórmula'!B95,46),INDEX(properties!A$1:CB$87,'Fórmula'!D95,46),INDEX(properties!A$1:CB$87,'Fórmula'!F95,46),INDEX(properties!A$1:CB$87,'Fórmula'!H95,46),INDEX(properties!A$1:CB$87,'Fórmula'!J95,46))</f>
        <v>1.21</v>
      </c>
      <c r="ET95" s="124">
        <f t="array" ref="ET95">MIN(IF(INDEX(properties!A$1:CB$87,'Fórmula'!B95,46)=0,10^6,INDEX(properties!A$1:CB$87,'Fórmula'!B95,46)),IF(INDEX(properties!A$1:CB$87,'Fórmula'!D95,46)=0,10^6,INDEX(properties!A$1:CB$87,'Fórmula'!D95,46)),IF(INDEX(properties!A$1:CB$87,'Fórmula'!F95,46)=0,10^6,INDEX(properties!A$1:CB$87,'Fórmula'!F95,46)),IF(INDEX(properties!A$1:CB$87,'Fórmula'!H95,46)=0,10^6,INDEX(properties!A$1:CB$87,'Fórmula'!H95,46)),IF(INDEX(properties!A$1:CB$87,'Fórmula'!J95,46)=0,10^6,INDEX(properties!A$1:CB$87,'Fórmula'!J95,46)))</f>
        <v>0.68</v>
      </c>
      <c r="EU95" s="113">
        <f t="shared" si="25"/>
        <v>0.53</v>
      </c>
      <c r="EV95" s="114">
        <f t="array" ref="EV95">(('Fórmula'!C95)/('Fórmula'!C95+'Fórmula'!E95+'Fórmula'!G95+'Fórmula'!I95+'Fórmula'!K95))*(INDEX(properties!A$1:CB$87,'Fórmula'!B95,52))+(('Fórmula'!E95)/('Fórmula'!C95+'Fórmula'!E95+'Fórmula'!G95+'Fórmula'!I95+'Fórmula'!K95))*(INDEX(properties!A$1:CB$87,'Fórmula'!D95,52))+(('Fórmula'!G95)/('Fórmula'!C95+'Fórmula'!E95+'Fórmula'!G95+'Fórmula'!I95+'Fórmula'!K95))*(INDEX(properties!A$1:CB$87,'Fórmula'!F95,52))+(('Fórmula'!I95)/('Fórmula'!C95+'Fórmula'!E95+'Fórmula'!G95+'Fórmula'!I95+'Fórmula'!K95))*(INDEX(properties!A$1:CB$87,'Fórmula'!H95,52))+(('Fórmula'!K95)/('Fórmula'!C95+'Fórmula'!E95+'Fórmula'!G95+'Fórmula'!I95+'Fórmula'!K95))*(INDEX(properties!A$1:CB$87,'Fórmula'!J95,52))</f>
        <v>3.922818182</v>
      </c>
      <c r="EW95" s="114">
        <f t="array" ref="EW95">'Fórmula'!C95*(INDEX(properties!A$1:CB$87,'Fórmula'!B95,52))+'Fórmula'!E95*(INDEX(properties!A$1:CB$87,'Fórmula'!D95,52))+'Fórmula'!G95*(INDEX(properties!A$1:CB$87,'Fórmula'!F95,52))+'Fórmula'!I95*(INDEX(properties!A$1:CB$87,'Fórmula'!H95,52))+'Fórmula'!K95*(INDEX(properties!A$1:CB$87,'Fórmula'!J95,52))</f>
        <v>43.151</v>
      </c>
      <c r="EX95" s="114">
        <f t="array" ref="EX95">VARP(IF(INDEX(properties!A$1:CB$87,'Fórmula'!B95,52)&lt;&gt;"",INDEX(properties!A$1:CB$87,'Fórmula'!B95,52)),IF(INDEX(properties!A$1:CB$87,'Fórmula'!D95,52)&lt;&gt;"",INDEX(properties!A$1:CB$87,'Fórmula'!D95,52)),IF(INDEX(properties!A$1:CB$87,'Fórmula'!F95,52)&lt;&gt;"",INDEX(properties!A$1:CB$87,'Fórmula'!F95,52)),IF(INDEX(properties!A$1:CB$87,'Fórmula'!H95,52)&lt;&gt;"",INDEX(properties!A$1:CB$87,'Fórmula'!H95,52)),IF(INDEX(properties!A$1:CB$87,'Fórmula'!J95,52)&lt;&gt;"",INDEX(properties!A$1:CB$87,'Fórmula'!J95,52)))</f>
        <v>23.71434384</v>
      </c>
      <c r="EY95" s="114">
        <f t="array" ref="EY95">MAX(INDEX(properties!A$1:CB$87,'Fórmula'!B95,52),INDEX(properties!A$1:CB$87,'Fórmula'!D95,52),INDEX(properties!A$1:CB$87,'Fórmula'!F95,52),INDEX(properties!A$1:CB$87,'Fórmula'!H95,52),INDEX(properties!A$1:CB$87,'Fórmula'!J95,52))</f>
        <v>12.4</v>
      </c>
      <c r="EZ95" s="114">
        <f t="array" ref="EZ95">MIN(IF(INDEX(properties!A$1:CB$87,'Fórmula'!B95,52)=0,10^6,INDEX(properties!A$1:CB$87,'Fórmula'!B95,52)),IF(INDEX(properties!A$1:CB$87,'Fórmula'!D95,52)=0,10^6,INDEX(properties!A$1:CB$87,'Fórmula'!D95,52)),IF(INDEX(properties!A$1:CB$87,'Fórmula'!F95,52)=0,10^6,INDEX(properties!A$1:CB$87,'Fórmula'!F95,52)),IF(INDEX(properties!A$1:CB$87,'Fórmula'!H95,52)=0,10^6,INDEX(properties!A$1:CB$87,'Fórmula'!H95,52)),IF(INDEX(properties!A$1:CB$87,'Fórmula'!J95,52)=0,10^6,INDEX(properties!A$1:CB$87,'Fórmula'!J95,52)))</f>
        <v>0.793</v>
      </c>
      <c r="FA95" s="114">
        <f t="shared" si="26"/>
        <v>11.607</v>
      </c>
      <c r="FB95" s="115">
        <f t="array" ref="FB95">(('Fórmula'!C95)/('Fórmula'!C95+'Fórmula'!E95+'Fórmula'!G95+'Fórmula'!I95+'Fórmula'!K95))*(INDEX(properties!A$1:CB$87,'Fórmula'!B95,53))+(('Fórmula'!E95)/('Fórmula'!C95+'Fórmula'!E95+'Fórmula'!G95+'Fórmula'!I95+'Fórmula'!K95))*(INDEX(properties!A$1:CB$87,'Fórmula'!D95,53))+(('Fórmula'!G95)/('Fórmula'!C95+'Fórmula'!E95+'Fórmula'!G95+'Fórmula'!I95+'Fórmula'!K95))*(INDEX(properties!A$1:CB$87,'Fórmula'!F95,53))+(('Fórmula'!I95)/('Fórmula'!C95+'Fórmula'!E95+'Fórmula'!G95+'Fórmula'!I95+'Fórmula'!K95))*(INDEX(properties!A$1:CB$87,'Fórmula'!H95,53))+(('Fórmula'!K95)/('Fórmula'!C95+'Fórmula'!E95+'Fórmula'!G95+'Fórmula'!I95+'Fórmula'!K95))*(INDEX(properties!A$1:CB$87,'Fórmula'!J95,53))</f>
        <v>554.0954545</v>
      </c>
      <c r="FC95" s="115">
        <f t="array" ref="FC95">'Fórmula'!C95*(INDEX(properties!A$1:CB$87,'Fórmula'!B95,53))+'Fórmula'!E95*(INDEX(properties!A$1:CB$87,'Fórmula'!D95,53))+'Fórmula'!G95*(INDEX(properties!A$1:CB$87,'Fórmula'!F95,53))+'Fórmula'!I95*(INDEX(properties!A$1:CB$87,'Fórmula'!H95,53))+'Fórmula'!K95*(INDEX(properties!A$1:CB$87,'Fórmula'!J95,53))</f>
        <v>6095.05</v>
      </c>
      <c r="FD95" s="115">
        <f t="array" ref="FD95">VARP(IF(INDEX(properties!A$1:CB$87,'Fórmula'!B95,53)&lt;&gt;"",INDEX(properties!A$1:CB$87,'Fórmula'!B95,53)),IF(INDEX(properties!A$1:CB$87,'Fórmula'!D95,53)&lt;&gt;"",INDEX(properties!A$1:CB$87,'Fórmula'!D95,53)),IF(INDEX(properties!A$1:CB$87,'Fórmula'!F95,53)&lt;&gt;"",INDEX(properties!A$1:CB$87,'Fórmula'!F95,53)),IF(INDEX(properties!A$1:CB$87,'Fórmula'!H95,53)&lt;&gt;"",INDEX(properties!A$1:CB$87,'Fórmula'!H95,53)),IF(INDEX(properties!A$1:CB$87,'Fórmula'!J95,53)&lt;&gt;"",INDEX(properties!A$1:CB$87,'Fórmula'!J95,53)))</f>
        <v>693548.2726</v>
      </c>
      <c r="FE95" s="115">
        <f t="array" ref="FE95">MAX(INDEX(properties!A$1:CB$87,'Fórmula'!B95,53),INDEX(properties!A$1:CB$87,'Fórmula'!D95,53),INDEX(properties!A$1:CB$87,'Fórmula'!F95,53),INDEX(properties!A$1:CB$87,'Fórmula'!H95,53),INDEX(properties!A$1:CB$87,'Fórmula'!J95,53))</f>
        <v>2163.15</v>
      </c>
      <c r="FF95" s="115">
        <f t="array" ref="FF95">MIN(IF(INDEX(properties!A$1:CB$87,'Fórmula'!B95,53)=0,10^6,INDEX(properties!A$1:CB$87,'Fórmula'!B95,53)),IF(INDEX(properties!A$1:CB$87,'Fórmula'!D95,53)=0,10^6,INDEX(properties!A$1:CB$87,'Fórmula'!D95,53)),IF(INDEX(properties!A$1:CB$87,'Fórmula'!F95,53)=0,10^6,INDEX(properties!A$1:CB$87,'Fórmula'!F95,53)),IF(INDEX(properties!A$1:CB$87,'Fórmula'!H95,53)=0,10^6,INDEX(properties!A$1:CB$87,'Fórmula'!H95,53)),IF(INDEX(properties!A$1:CB$87,'Fórmula'!J95,53)=0,10^6,INDEX(properties!A$1:CB$87,'Fórmula'!J95,53)))</f>
        <v>54.75</v>
      </c>
      <c r="FG95" s="115">
        <f t="shared" si="27"/>
        <v>2108.4</v>
      </c>
      <c r="FH95" s="117">
        <f t="array" ref="FH95">(('Fórmula'!C95)/('Fórmula'!C95+'Fórmula'!E95+'Fórmula'!G95+'Fórmula'!I95+'Fórmula'!K95))*(INDEX(properties!A$1:CB$87,'Fórmula'!B95,54))+(('Fórmula'!E95)/('Fórmula'!C95+'Fórmula'!E95+'Fórmula'!G95+'Fórmula'!I95+'Fórmula'!K95))*(INDEX(properties!A$1:CB$87,'Fórmula'!D95,54))+(('Fórmula'!G95)/('Fórmula'!C95+'Fórmula'!E95+'Fórmula'!G95+'Fórmula'!I95+'Fórmula'!K95))*(INDEX(properties!A$1:CB$87,'Fórmula'!F95,54))+(('Fórmula'!I95)/('Fórmula'!C95+'Fórmula'!E95+'Fórmula'!G95+'Fórmula'!I95+'Fórmula'!K95))*(INDEX(properties!A$1:CB$87,'Fórmula'!H95,54))+(('Fórmula'!K95)/('Fórmula'!C95+'Fórmula'!E95+'Fórmula'!G95+'Fórmula'!I95+'Fórmula'!K95))*(INDEX(properties!A$1:CB$87,'Fórmula'!J95,54))</f>
        <v>935.9681818</v>
      </c>
      <c r="FI95" s="117">
        <f t="array" ref="FI95">'Fórmula'!C95*(INDEX(properties!A$1:CB$87,'Fórmula'!B95,54))+'Fórmula'!E95*(INDEX(properties!A$1:CB$87,'Fórmula'!D95,54))+'Fórmula'!G95*(INDEX(properties!A$1:CB$87,'Fórmula'!F95,54))+'Fórmula'!I95*(INDEX(properties!A$1:CB$87,'Fórmula'!H95,54))+'Fórmula'!K95*(INDEX(properties!A$1:CB$87,'Fórmula'!J95,54))</f>
        <v>10295.65</v>
      </c>
      <c r="FJ95" s="117">
        <f t="array" ref="FJ95">VARP(IF(INDEX(properties!A$1:CB$87,'Fórmula'!B95,54)&lt;&gt;"",INDEX(properties!A$1:CB$87,'Fórmula'!B95,54)),IF(INDEX(properties!A$1:CB$87,'Fórmula'!D95,54)&lt;&gt;"",INDEX(properties!A$1:CB$87,'Fórmula'!D95,54)),IF(INDEX(properties!A$1:CB$87,'Fórmula'!F95,54)&lt;&gt;"",INDEX(properties!A$1:CB$87,'Fórmula'!F95,54)),IF(INDEX(properties!A$1:CB$87,'Fórmula'!H95,54)&lt;&gt;"",INDEX(properties!A$1:CB$87,'Fórmula'!H95,54)),IF(INDEX(properties!A$1:CB$87,'Fórmula'!J95,54)&lt;&gt;"",INDEX(properties!A$1:CB$87,'Fórmula'!J95,54)))</f>
        <v>1979584.773</v>
      </c>
      <c r="FK95" s="117">
        <f t="array" ref="FK95">MAX(INDEX(properties!A$1:CB$87,'Fórmula'!B95,54),INDEX(properties!A$1:CB$87,'Fórmula'!D95,54),INDEX(properties!A$1:CB$87,'Fórmula'!F95,54),INDEX(properties!A$1:CB$87,'Fórmula'!H95,54),INDEX(properties!A$1:CB$87,'Fórmula'!J95,54))</f>
        <v>3653.15</v>
      </c>
      <c r="FL95" s="117">
        <f t="array" ref="FL95">MIN(IF(INDEX(properties!A$1:CB$87,'Fórmula'!B95,54)=0,10^6,INDEX(properties!A$1:CB$87,'Fórmula'!B95,54)),IF(INDEX(properties!A$1:CB$87,'Fórmula'!D95,54)=0,10^6,INDEX(properties!A$1:CB$87,'Fórmula'!D95,54)),IF(INDEX(properties!A$1:CB$87,'Fórmula'!F95,54)=0,10^6,INDEX(properties!A$1:CB$87,'Fórmula'!F95,54)),IF(INDEX(properties!A$1:CB$87,'Fórmula'!H95,54)=0,10^6,INDEX(properties!A$1:CB$87,'Fórmula'!H95,54)),IF(INDEX(properties!A$1:CB$87,'Fórmula'!J95,54)=0,10^6,INDEX(properties!A$1:CB$87,'Fórmula'!J95,54)))</f>
        <v>90.15</v>
      </c>
      <c r="FM95" s="117">
        <f t="shared" si="28"/>
        <v>3563</v>
      </c>
      <c r="FN95" s="118">
        <f t="array" ref="FN95">(('Fórmula'!C95)/('Fórmula'!C95+'Fórmula'!E95+'Fórmula'!G95+'Fórmula'!I95+'Fórmula'!K95))*(INDEX(properties!A$1:CB$87,'Fórmula'!B95,55))+(('Fórmula'!E95)/('Fórmula'!C95+'Fórmula'!E95+'Fórmula'!G95+'Fórmula'!I95+'Fórmula'!K95))*(INDEX(properties!A$1:CB$87,'Fórmula'!D95,55))+(('Fórmula'!G95)/('Fórmula'!C95+'Fórmula'!E95+'Fórmula'!G95+'Fórmula'!I95+'Fórmula'!K95))*(INDEX(properties!A$1:CB$87,'Fórmula'!F95,55))+(('Fórmula'!I95)/('Fórmula'!C95+'Fórmula'!E95+'Fórmula'!G95+'Fórmula'!I95+'Fórmula'!K95))*(INDEX(properties!A$1:CB$87,'Fórmula'!H95,55))+(('Fórmula'!K95)/('Fórmula'!C95+'Fórmula'!E95+'Fórmula'!G95+'Fórmula'!I95+'Fórmula'!K95))*(INDEX(properties!A$1:CB$87,'Fórmula'!J95,55))</f>
        <v>2.408182727</v>
      </c>
      <c r="FO95" s="118">
        <f t="array" ref="FO95">'Fórmula'!C95*(INDEX(properties!A$1:CB$87,'Fórmula'!B95,55))+'Fórmula'!E95*(INDEX(properties!A$1:CB$87,'Fórmula'!D95,54))+'Fórmula'!G95*(INDEX(properties!A$1:CB$87,'Fórmula'!F95,55))+'Fórmula'!I95*(INDEX(properties!A$1:CB$87,'Fórmula'!H95,55))+'Fórmula'!K95*(INDEX(properties!A$1:CB$87,'Fórmula'!J95,55))</f>
        <v>7320.57001</v>
      </c>
      <c r="FP95" s="118">
        <f t="array" ref="FP95">VARP(IF(INDEX(properties!A$1:CB$87,'Fórmula'!B95,55)&lt;&gt;"",INDEX(properties!A$1:CB$87,'Fórmula'!B95,55)),IF(INDEX(properties!A$1:CB$87,'Fórmula'!D95,55)&lt;&gt;"",INDEX(properties!A$1:CB$87,'Fórmula'!D95,55)),IF(INDEX(properties!A$1:CB$87,'Fórmula'!F95,55)&lt;&gt;"",INDEX(properties!A$1:CB$87,'Fórmula'!F95,55)),IF(INDEX(properties!A$1:CB$87,'Fórmula'!H95,55)&lt;&gt;"",INDEX(properties!A$1:CB$87,'Fórmula'!H95,55)),IF(INDEX(properties!A$1:CB$87,'Fórmula'!J95,55)&lt;&gt;"",INDEX(properties!A$1:CB$87,'Fórmula'!J95,55)))</f>
        <v>10.62038167</v>
      </c>
      <c r="FQ95" s="118">
        <f t="array" ref="FQ95">MAX(INDEX(properties!A$1:CB$87,'Fórmula'!B95,55),INDEX(properties!A$1:CB$87,'Fórmula'!D95,55),INDEX(properties!A$1:CB$87,'Fórmula'!F95,55),INDEX(properties!A$1:CB$87,'Fórmula'!H95,55),INDEX(properties!A$1:CB$87,'Fórmula'!J95,55))</f>
        <v>7.13</v>
      </c>
      <c r="FR95" s="118">
        <f t="array" ref="FR95">MIN(IF(INDEX(properties!A$1:CB$87,'Fórmula'!B95,55)=0,10^6,INDEX(properties!A$1:CB$87,'Fórmula'!B95,55)),IF(INDEX(properties!A$1:CB$87,'Fórmula'!D95,55)=0,10^6,INDEX(properties!A$1:CB$87,'Fórmula'!D95,55)),IF(INDEX(properties!A$1:CB$87,'Fórmula'!F95,55)=0,10^6,INDEX(properties!A$1:CB$87,'Fórmula'!F95,55)),IF(INDEX(properties!A$1:CB$87,'Fórmula'!H95,55)=0,10^6,INDEX(properties!A$1:CB$87,'Fórmula'!H95,55)),IF(INDEX(properties!A$1:CB$87,'Fórmula'!J95,55)=0,10^6,INDEX(properties!A$1:CB$87,'Fórmula'!J95,55)))</f>
        <v>0.00143</v>
      </c>
      <c r="FS95" s="118">
        <f t="shared" si="29"/>
        <v>7.12857</v>
      </c>
      <c r="FT95" s="119">
        <f t="array" ref="FT95">(('Fórmula'!C95)/('Fórmula'!C95+'Fórmula'!E95+'Fórmula'!G95+'Fórmula'!I95+'Fórmula'!K95))*(INDEX(properties!A$1:CB$87,'Fórmula'!B95,56))+(('Fórmula'!E95)/('Fórmula'!C95+'Fórmula'!E95+'Fórmula'!G95+'Fórmula'!I95+'Fórmula'!K95))*(INDEX(properties!A$1:CB$87,'Fórmula'!D95,56))+(('Fórmula'!G95)/('Fórmula'!C95+'Fórmula'!E95+'Fórmula'!G95+'Fórmula'!I95+'Fórmula'!K95))*(INDEX(properties!A$1:CB$87,'Fórmula'!F95,56))+(('Fórmula'!I95)/('Fórmula'!C95+'Fórmula'!E95+'Fórmula'!G95+'Fórmula'!I95+'Fórmula'!K95))*(INDEX(properties!A$1:CB$87,'Fórmula'!H95,56))+(('Fórmula'!K95)/('Fórmula'!C95+'Fórmula'!E95+'Fórmula'!G95+'Fórmula'!I95+'Fórmula'!K95))*(INDEX(properties!A$1:CB$87,'Fórmula'!J95,56))</f>
        <v>0.7454545455</v>
      </c>
      <c r="FU95" s="119">
        <f t="array" ref="FU95">'Fórmula'!C95*(INDEX(properties!A$1:CB$87,'Fórmula'!B95,56))+'Fórmula'!E95*(INDEX(properties!A$1:CB$87,'Fórmula'!D95,56))+'Fórmula'!G95*(INDEX(properties!A$1:CB$87,'Fórmula'!F95,56))+'Fórmula'!I95*(INDEX(properties!A$1:CB$87,'Fórmula'!H95,56))+'Fórmula'!K95*(INDEX(properties!A$1:CB$87,'Fórmula'!J95,56))</f>
        <v>8.2</v>
      </c>
      <c r="FV95" s="119">
        <f t="array" ref="FV95">VARP(IF(INDEX(properties!A$1:CB$87,'Fórmula'!B95,56)&lt;&gt;"",INDEX(properties!A$1:CB$87,'Fórmula'!B95,56)),IF(INDEX(properties!A$1:CB$87,'Fórmula'!D95,56)&lt;&gt;"",INDEX(properties!A$1:CB$87,'Fórmula'!D95,56)),IF(INDEX(properties!A$1:CB$87,'Fórmula'!F95,56)&lt;&gt;"",INDEX(properties!A$1:CB$87,'Fórmula'!F95,56)),IF(INDEX(properties!A$1:CB$87,'Fórmula'!H95,56)&lt;&gt;"",INDEX(properties!A$1:CB$87,'Fórmula'!H95,56)),IF(INDEX(properties!A$1:CB$87,'Fórmula'!J95,56)&lt;&gt;"",INDEX(properties!A$1:CB$87,'Fórmula'!J95,56)))</f>
        <v>0.11812</v>
      </c>
      <c r="FW95" s="119">
        <f t="array" ref="FW95">MAX(INDEX(properties!A$1:CB$87,'Fórmula'!B95,56),INDEX(properties!A$1:CB$87,'Fórmula'!D95,56),INDEX(properties!A$1:CB$87,'Fórmula'!F95,56),INDEX(properties!A$1:CB$87,'Fórmula'!H95,56),INDEX(properties!A$1:CB$87,'Fórmula'!J95,56))</f>
        <v>0.92</v>
      </c>
      <c r="FX95" s="119">
        <f t="array" ref="FX95">MIN(IF(INDEX(properties!A$1:CB$87,'Fórmula'!B95,56)=0,10^6,INDEX(properties!A$1:CB$87,'Fórmula'!B95,56)),IF(INDEX(properties!A$1:CB$87,'Fórmula'!D95,56)=0,10^6,INDEX(properties!A$1:CB$87,'Fórmula'!D95,56)),IF(INDEX(properties!A$1:CB$87,'Fórmula'!F95,56)=0,10^6,INDEX(properties!A$1:CB$87,'Fórmula'!F95,56)),IF(INDEX(properties!A$1:CB$87,'Fórmula'!H95,56)=0,10^6,INDEX(properties!A$1:CB$87,'Fórmula'!H95,56)),IF(INDEX(properties!A$1:CB$87,'Fórmula'!J95,56)=0,10^6,INDEX(properties!A$1:CB$87,'Fórmula'!J95,56)))</f>
        <v>0.39</v>
      </c>
      <c r="FY95" s="119">
        <f t="shared" si="30"/>
        <v>0.53</v>
      </c>
      <c r="FZ95" s="104">
        <f t="array" ref="FZ95">(('Fórmula'!C95)/('Fórmula'!C95+'Fórmula'!E95+'Fórmula'!G95+'Fórmula'!I95+'Fórmula'!K95))*(INDEX(properties!A$1:CB$87,'Fórmula'!B95,57))+(('Fórmula'!E95)/('Fórmula'!C95+'Fórmula'!E95+'Fórmula'!G95+'Fórmula'!I95+'Fórmula'!K95))*(INDEX(properties!A$1:CB$87,'Fórmula'!D95,57))+(('Fórmula'!G95)/('Fórmula'!C95+'Fórmula'!E95+'Fórmula'!G95+'Fórmula'!I95+'Fórmula'!K95))*(INDEX(properties!A$1:CB$87,'Fórmula'!F95,57))+(('Fórmula'!I95)/('Fórmula'!C95+'Fórmula'!E95+'Fórmula'!G95+'Fórmula'!I95+'Fórmula'!K95))*(INDEX(properties!A$1:CB$87,'Fórmula'!H95,57))+(('Fórmula'!K95)/('Fórmula'!C95+'Fórmula'!E95+'Fórmula'!G95+'Fórmula'!I95+'Fórmula'!K95))*(INDEX(properties!A$1:CB$87,'Fórmula'!J95,57))</f>
        <v>5.272920909</v>
      </c>
      <c r="GA95" s="104">
        <f t="array" ref="GA95">'Fórmula'!C95*(INDEX(properties!A$1:CB$87,'Fórmula'!B95,57))+'Fórmula'!E95*(INDEX(properties!A$1:CB$87,'Fórmula'!D95,57))+'Fórmula'!G95*(INDEX(properties!A$1:CB$87,'Fórmula'!F95,57))+'Fórmula'!I95*(INDEX(properties!A$1:CB$87,'Fórmula'!H95,57))+'Fórmula'!K95*(INDEX(properties!A$1:CB$87,'Fórmula'!J95,57))</f>
        <v>58.00213</v>
      </c>
      <c r="GB95" s="104">
        <f t="array" ref="GB95">VARP(IF(INDEX(properties!A$1:CB$87,'Fórmula'!B95,57)&lt;&gt;"",INDEX(properties!A$1:CB$87,'Fórmula'!B95,57)),IF(INDEX(properties!A$1:CB$87,'Fórmula'!D95,57)&lt;&gt;"",INDEX(properties!A$1:CB$87,'Fórmula'!D95,57)),IF(INDEX(properties!A$1:CB$87,'Fórmula'!F95,57)&lt;&gt;"",INDEX(properties!A$1:CB$87,'Fórmula'!F95,57)),IF(INDEX(properties!A$1:CB$87,'Fórmula'!H95,57)&lt;&gt;"",INDEX(properties!A$1:CB$87,'Fórmula'!H95,57)),IF(INDEX(properties!A$1:CB$87,'Fórmula'!J95,57)&lt;&gt;"",INDEX(properties!A$1:CB$87,'Fórmula'!J95,57)))</f>
        <v>65.73045805</v>
      </c>
      <c r="GC95" s="104">
        <f t="array" ref="GC95">MAX(INDEX(properties!A$1:CB$87,'Fórmula'!B95,57),INDEX(properties!A$1:CB$87,'Fórmula'!D95,57),INDEX(properties!A$1:CB$87,'Fórmula'!F95,57),INDEX(properties!A$1:CB$87,'Fórmula'!H95,57),INDEX(properties!A$1:CB$87,'Fórmula'!J95,57))</f>
        <v>20.9</v>
      </c>
      <c r="GD95" s="104">
        <f t="array" ref="GD95">MIN(IF(INDEX(properties!A$1:CB$87,'Fórmula'!B95,57)=0,10^6,INDEX(properties!A$1:CB$87,'Fórmula'!B95,57)),IF(INDEX(properties!A$1:CB$87,'Fórmula'!D95,57)=0,10^6,INDEX(properties!A$1:CB$87,'Fórmula'!D95,57)),IF(INDEX(properties!A$1:CB$87,'Fórmula'!F95,57)=0,10^6,INDEX(properties!A$1:CB$87,'Fórmula'!F95,57)),IF(INDEX(properties!A$1:CB$87,'Fórmula'!H95,57)=0,10^6,INDEX(properties!A$1:CB$87,'Fórmula'!H95,57)),IF(INDEX(properties!A$1:CB$87,'Fórmula'!J95,57)=0,10^6,INDEX(properties!A$1:CB$87,'Fórmula'!J95,57)))</f>
        <v>0.22259</v>
      </c>
      <c r="GE95" s="104">
        <f t="shared" si="31"/>
        <v>20.67741</v>
      </c>
      <c r="GF95" s="105">
        <f t="array" ref="GF95">(('Fórmula'!C95)/('Fórmula'!C95+'Fórmula'!E95+'Fórmula'!G95+'Fórmula'!I95+'Fórmula'!K95))*(INDEX(properties!A$1:CB$87,'Fórmula'!B95,60))+(('Fórmula'!E95)/('Fórmula'!C95+'Fórmula'!E95+'Fórmula'!G95+'Fórmula'!I95+'Fórmula'!K95))*(INDEX(properties!A$1:CB$87,'Fórmula'!D95,60))+(('Fórmula'!G95)/('Fórmula'!C95+'Fórmula'!E95+'Fórmula'!G95+'Fórmula'!I95+'Fórmula'!K95))*(INDEX(properties!A$1:CB$87,'Fórmula'!F95,60))+(('Fórmula'!I95)/('Fórmula'!C95+'Fórmula'!E95+'Fórmula'!G95+'Fórmula'!I95+'Fórmula'!K95))*(INDEX(properties!A$1:CB$87,'Fórmula'!H95,60))+(('Fórmula'!K95)/('Fórmula'!C95+'Fórmula'!E95+'Fórmula'!G95+'Fórmula'!I95+'Fórmula'!K95))*(INDEX(properties!A$1:CB$87,'Fórmula'!J95,60))</f>
        <v>26.68974364</v>
      </c>
      <c r="GG95" s="105">
        <f t="array" ref="GG95">'Fórmula'!C95*(INDEX(properties!A$1:CB$87,'Fórmula'!B95,60))+'Fórmula'!E95*(INDEX(properties!A$1:CB$87,'Fórmula'!D95,60))+'Fórmula'!G95*(INDEX(properties!A$1:CB$87,'Fórmula'!F95,60))+'Fórmula'!I95*(INDEX(properties!A$1:CB$87,'Fórmula'!H95,60))+'Fórmula'!K95*(INDEX(properties!A$1:CB$87,'Fórmula'!J95,60))</f>
        <v>293.58718</v>
      </c>
      <c r="GH95" s="105">
        <f t="array" ref="GH95">VARP(IF(INDEX(properties!A$1:CB$87,'Fórmula'!B95,60)&lt;&gt;"",INDEX(properties!A$1:CB$87,'Fórmula'!B95,60)),IF(INDEX(properties!A$1:CB$87,'Fórmula'!D95,60)&lt;&gt;"",INDEX(properties!A$1:CB$87,'Fórmula'!D95,60)),IF(INDEX(properties!A$1:CB$87,'Fórmula'!F95,60)&lt;&gt;"",INDEX(properties!A$1:CB$87,'Fórmula'!F95,60)),IF(INDEX(properties!A$1:CB$87,'Fórmula'!H95,60)&lt;&gt;"",INDEX(properties!A$1:CB$87,'Fórmula'!H95,60)),IF(INDEX(properties!A$1:CB$87,'Fórmula'!J95,60)&lt;&gt;"",INDEX(properties!A$1:CB$87,'Fórmula'!J95,60)))</f>
        <v>2018.548694</v>
      </c>
      <c r="GI95" s="105">
        <f t="array" ref="GI95">MAX(INDEX(properties!A$1:CB$87,'Fórmula'!B95,60),INDEX(properties!A$1:CB$87,'Fórmula'!D95,60),INDEX(properties!A$1:CB$87,'Fórmula'!F95,60),INDEX(properties!A$1:CB$87,'Fórmula'!H95,60),INDEX(properties!A$1:CB$87,'Fórmula'!J95,60))</f>
        <v>116</v>
      </c>
      <c r="GJ95" s="105">
        <f t="array" ref="GJ95">MIN(IF(INDEX(properties!A$1:CB$87,'Fórmula'!B95,60)=0,10^6,INDEX(properties!A$1:CB$87,'Fórmula'!B95,60)),IF(INDEX(properties!A$1:CB$87,'Fórmula'!D95,60)=0,10^6,INDEX(properties!A$1:CB$87,'Fórmula'!D95,60)),IF(INDEX(properties!A$1:CB$87,'Fórmula'!F95,60)=0,10^6,INDEX(properties!A$1:CB$87,'Fórmula'!F95,60)),IF(INDEX(properties!A$1:CB$87,'Fórmula'!H95,60)=0,10^6,INDEX(properties!A$1:CB$87,'Fórmula'!H95,60)),IF(INDEX(properties!A$1:CB$87,'Fórmula'!J95,60)=0,10^6,INDEX(properties!A$1:CB$87,'Fórmula'!J95,60)))</f>
        <v>0.02674</v>
      </c>
      <c r="GK95" s="105">
        <f t="shared" si="32"/>
        <v>115.97326</v>
      </c>
      <c r="GL95" s="106">
        <f t="array" ref="GL95">(('Fórmula'!C95)/('Fórmula'!C95+'Fórmula'!E95+'Fórmula'!G95+'Fórmula'!I95+'Fórmula'!K95))*(INDEX(properties!A$1:CB$87,'Fórmula'!B95,62))+(('Fórmula'!E95)/('Fórmula'!C95+'Fórmula'!E95+'Fórmula'!G95+'Fórmula'!I95+'Fórmula'!K95))*(INDEX(properties!A$1:CB$87,'Fórmula'!D95,62))+(('Fórmula'!G95)/('Fórmula'!C95+'Fórmula'!E95+'Fórmula'!G95+'Fórmula'!I95+'Fórmula'!K95))*(INDEX(properties!A$1:CB$87,'Fórmula'!F95,62))+(('Fórmula'!I95)/('Fórmula'!C95+'Fórmula'!E95+'Fórmula'!G95+'Fórmula'!I95+'Fórmula'!K95))*(INDEX(properties!A$1:CB$87,'Fórmula'!H95,62))+(('Fórmula'!K95)/('Fórmula'!C95+'Fórmula'!E95+'Fórmula'!G95+'Fórmula'!I95+'Fórmula'!K95))*(INDEX(properties!A$1:CB$87,'Fórmula'!J95,62))</f>
        <v>2.878181818</v>
      </c>
      <c r="GM95" s="106">
        <f t="array" ref="GM95">'Fórmula'!C95*(INDEX(properties!A$1:CB$87,'Fórmula'!B95,62))+'Fórmula'!E95*(INDEX(properties!A$1:CB$87,'Fórmula'!D95,62))+'Fórmula'!G95*(INDEX(properties!A$1:CB$87,'Fórmula'!F95,62))+'Fórmula'!I95*(INDEX(properties!A$1:CB$87,'Fórmula'!H95,62))+'Fórmula'!K95*(INDEX(properties!A$1:CB$87,'Fórmula'!J95,62))</f>
        <v>31.66</v>
      </c>
      <c r="GN95" s="106">
        <f t="array" ref="GN95">VARP(IF(INDEX(properties!A$1:CB$87,'Fórmula'!B95,62)&lt;&gt;"",INDEX(properties!A$1:CB$87,'Fórmula'!B95,62)),IF(INDEX(properties!A$1:CB$87,'Fórmula'!D95,62)&lt;&gt;"",INDEX(properties!A$1:CB$87,'Fórmula'!D95,62)),IF(INDEX(properties!A$1:CB$87,'Fórmula'!F95,62)&lt;&gt;"",INDEX(properties!A$1:CB$87,'Fórmula'!F95,62)),IF(INDEX(properties!A$1:CB$87,'Fórmula'!H95,62)&lt;&gt;"",INDEX(properties!A$1:CB$87,'Fórmula'!H95,62)),IF(INDEX(properties!A$1:CB$87,'Fórmula'!J95,62)&lt;&gt;"",INDEX(properties!A$1:CB$87,'Fórmula'!J95,62)))</f>
        <v>3.931864</v>
      </c>
      <c r="GO95" s="106">
        <f t="array" ref="GO95">MAX(INDEX(properties!A$1:CB$87,'Fórmula'!B95,62),INDEX(properties!A$1:CB$87,'Fórmula'!D95,62),INDEX(properties!A$1:CB$87,'Fórmula'!F95,62),INDEX(properties!A$1:CB$87,'Fórmula'!H95,62),INDEX(properties!A$1:CB$87,'Fórmula'!J95,62))</f>
        <v>5.31</v>
      </c>
      <c r="GP95" s="106">
        <f t="array" ref="GP95">MIN(IF(INDEX(properties!A$1:CB$87,'Fórmula'!B95,62)=0,10^6,INDEX(properties!A$1:CB$87,'Fórmula'!B95,62)),IF(INDEX(properties!A$1:CB$87,'Fórmula'!D95,62)=0,10^6,INDEX(properties!A$1:CB$87,'Fórmula'!D95,62)),IF(INDEX(properties!A$1:CB$87,'Fórmula'!F95,62)=0,10^6,INDEX(properties!A$1:CB$87,'Fórmula'!F95,62)),IF(INDEX(properties!A$1:CB$87,'Fórmula'!H95,62)=0,10^6,INDEX(properties!A$1:CB$87,'Fórmula'!H95,62)),IF(INDEX(properties!A$1:CB$87,'Fórmula'!J95,62)=0,10^6,INDEX(properties!A$1:CB$87,'Fórmula'!J95,62)))</f>
        <v>1.35</v>
      </c>
      <c r="GQ95" s="106">
        <f t="shared" si="33"/>
        <v>3.96</v>
      </c>
      <c r="GR95" s="106">
        <f>'Fórmula'!Q95</f>
        <v>12</v>
      </c>
      <c r="GS95" s="107">
        <f>'Fórmula'!P95</f>
        <v>6</v>
      </c>
      <c r="GT95" s="113">
        <f>'Fórmula'!O95</f>
        <v>4.09</v>
      </c>
      <c r="GU95" s="114">
        <f>AVERAGE('Fórmula'!R95/'Fórmula'!S95,'Fórmula'!S95/'Fórmula'!T95,'Fórmula'!T95/'Fórmula'!R95)</f>
        <v>1.07455806</v>
      </c>
      <c r="GV95" s="125">
        <f>'Fórmula'!U95</f>
        <v>279.59</v>
      </c>
      <c r="GW95" s="106">
        <f>'Fórmula'!N95</f>
        <v>0.07</v>
      </c>
    </row>
    <row r="96" ht="14.25" customHeight="1">
      <c r="A96" s="99" t="str">
        <f>'Fórmula'!A96</f>
        <v>Ca3Sc2Ge3O12</v>
      </c>
      <c r="B96" s="101">
        <f t="array" ref="B96">(('Fórmula'!C96)/('Fórmula'!C96+'Fórmula'!E96+'Fórmula'!G96+'Fórmula'!I96+'Fórmula'!K96))*(INDEX(properties!A$1:CB$87,'Fórmula'!B96,3))+(('Fórmula'!E96)/('Fórmula'!C96+'Fórmula'!E96+'Fórmula'!G96+'Fórmula'!I96+'Fórmula'!K96))*(INDEX(properties!A$1:CB$87,'Fórmula'!D96,3))+(('Fórmula'!G96)/('Fórmula'!C96+'Fórmula'!E96+'Fórmula'!G96+'Fórmula'!I96+'Fórmula'!K96))*(INDEX(properties!A$1:CB$87,'Fórmula'!F96,3))+(('Fórmula'!I96)/('Fórmula'!C96+'Fórmula'!E96+'Fórmula'!G96+'Fórmula'!I96+'Fórmula'!K96))*(INDEX(properties!A$1:CB$87,'Fórmula'!H96,3))+(('Fórmula'!K96)/('Fórmula'!C96+'Fórmula'!E96+'Fórmula'!G96+'Fórmula'!I96+'Fórmula'!K96))*(INDEX(properties!A$1:CB$87,'Fórmula'!J96,3))</f>
        <v>31.001431</v>
      </c>
      <c r="C96" s="101">
        <f t="array" ref="C96">'Fórmula'!C96*(INDEX(properties!A$1:CB$87,'Fórmula'!B96,3))+'Fórmula'!E96*(INDEX(properties!A$1:CB$87,'Fórmula'!D96,3))+'Fórmula'!G96*(INDEX(properties!A$1:CB$87,'Fórmula'!F96,3))+'Fórmula'!I96*(INDEX(properties!A$1:CB$87,'Fórmula'!H96,3))+'Fórmula'!K96*(INDEX(properties!A$1:CB$87,'Fórmula'!J96,3))</f>
        <v>620.02862</v>
      </c>
      <c r="D96" s="101">
        <f t="array" ref="D96">VARP(IF(INDEX(properties!A$1:CB$87,'Fórmula'!B96,3)&lt;&gt;"",INDEX(properties!A$1:CB$87,'Fórmula'!B96,3)),IF(INDEX(properties!A$1:CB$87,'Fórmula'!D96,3)&lt;&gt;"",INDEX(properties!A$1:CB$87,'Fórmula'!D96,3)),IF(INDEX(properties!A$1:CB$87,'Fórmula'!F96,3)&lt;&gt;"",INDEX(properties!A$1:CB$87,'Fórmula'!F96,3)),IF(INDEX(properties!A$1:CB$87,'Fórmula'!H96,3)&lt;&gt;"",INDEX(properties!A$1:CB$87,'Fórmula'!H96,3)),IF(INDEX(properties!A$1:CB$87,'Fórmula'!J96,3)&lt;&gt;"",INDEX(properties!A$1:CB$87,'Fórmula'!J96,3)))</f>
        <v>625.3177161</v>
      </c>
      <c r="E96" s="101">
        <f t="array" ref="E96">MAX(INDEX(properties!A$1:CB$87,'Fórmula'!B96,3),INDEX(properties!A$1:CB$87,'Fórmula'!D96,3),INDEX(properties!A$1:CB$87,'Fórmula'!F96,3),INDEX(properties!A$1:CB$87,'Fórmula'!H96,3),INDEX(properties!A$1:CB$87,'Fórmula'!J96,3))</f>
        <v>72.63</v>
      </c>
      <c r="F96" s="101">
        <f t="array" ref="F96">MIN(IF(INDEX(properties!A$1:CB$87,'Fórmula'!B96,3)=0,10^6,INDEX(properties!A$1:CB$87,'Fórmula'!B96,3)),IF(INDEX(properties!A$1:CB$87,'Fórmula'!D96,3)=0,10^6,INDEX(properties!A$1:CB$87,'Fórmula'!D96,3)),IF(INDEX(properties!A$1:CB$87,'Fórmula'!F96,3)=0,10^6,INDEX(properties!A$1:CB$87,'Fórmula'!F96,3)),IF(INDEX(properties!A$1:CB$87,'Fórmula'!H96,3)=0,10^6,INDEX(properties!A$1:CB$87,'Fórmula'!H96,3)),IF(INDEX(properties!A$1:CB$87,'Fórmula'!J96,3)=0,10^6,INDEX(properties!A$1:CB$87,'Fórmula'!J96,3)))</f>
        <v>15.9994</v>
      </c>
      <c r="G96" s="101">
        <f t="shared" si="1"/>
        <v>56.6306</v>
      </c>
      <c r="H96" s="102">
        <f t="array" ref="H96">(('Fórmula'!C96)/('Fórmula'!C96+'Fórmula'!E96+'Fórmula'!G96+'Fórmula'!I96+'Fórmula'!K96))*(INDEX(properties!A$1:CB$87,'Fórmula'!B96,4))+(('Fórmula'!E96)/('Fórmula'!C96+'Fórmula'!E96+'Fórmula'!G96+'Fórmula'!I96+'Fórmula'!K96))*(INDEX(properties!A$1:CB$87,'Fórmula'!D96,4))+(('Fórmula'!G96)/('Fórmula'!C96+'Fórmula'!E96+'Fórmula'!G96+'Fórmula'!I96+'Fórmula'!K96))*(INDEX(properties!A$1:CB$87,'Fórmula'!F96,4))+(('Fórmula'!I96)/('Fórmula'!C96+'Fórmula'!E96+'Fórmula'!G96+'Fórmula'!I96+'Fórmula'!K96))*(INDEX(properties!A$1:CB$87,'Fórmula'!H96,4))+(('Fórmula'!K96)/('Fórmula'!C96+'Fórmula'!E96+'Fórmula'!G96+'Fórmula'!I96+'Fórmula'!K96))*(INDEX(properties!A$1:CB$87,'Fórmula'!J96,4))</f>
        <v>14.7</v>
      </c>
      <c r="I96" s="102">
        <f t="array" ref="I96">'Fórmula'!C96*(INDEX(properties!A$1:CB$87,'Fórmula'!B96,4))+'Fórmula'!E96*(INDEX(properties!A$1:CB$87,'Fórmula'!D96,4))+'Fórmula'!G96*(INDEX(properties!A$1:CB$87,'Fórmula'!F96,4))+'Fórmula'!I96*(INDEX(properties!A$1:CB$87,'Fórmula'!H96,4))+'Fórmula'!K96*(INDEX(properties!A$1:CB$87,'Fórmula'!J96,4))</f>
        <v>294</v>
      </c>
      <c r="J96" s="102">
        <f t="array" ref="J96">VARP(IF(INDEX(properties!A$1:CB$87,'Fórmula'!B96,4)&lt;&gt;"",INDEX(properties!A$1:CB$87,'Fórmula'!B96,4)),IF(INDEX(properties!A$1:CB$87,'Fórmula'!D96,4)&lt;&gt;"",INDEX(properties!A$1:CB$87,'Fórmula'!D96,4)),IF(INDEX(properties!A$1:CB$87,'Fórmula'!F96,4)&lt;&gt;"",INDEX(properties!A$1:CB$87,'Fórmula'!F96,4)),IF(INDEX(properties!A$1:CB$87,'Fórmula'!H96,4)&lt;&gt;"",INDEX(properties!A$1:CB$87,'Fórmula'!H96,4)),IF(INDEX(properties!A$1:CB$87,'Fórmula'!J96,4)&lt;&gt;"",INDEX(properties!A$1:CB$87,'Fórmula'!J96,4)))</f>
        <v>123.36</v>
      </c>
      <c r="K96" s="102">
        <f t="array" ref="K96">MAX(INDEX(properties!A$1:CB$87,'Fórmula'!B96,4),INDEX(properties!A$1:CB$87,'Fórmula'!D96,4),INDEX(properties!A$1:CB$87,'Fórmula'!F96,4),INDEX(properties!A$1:CB$87,'Fórmula'!H96,4),INDEX(properties!A$1:CB$87,'Fórmula'!J96,4))</f>
        <v>32</v>
      </c>
      <c r="L96" s="102">
        <f t="array" ref="L96">MIN(IF(INDEX(properties!A$1:CB$87,'Fórmula'!B96,4)=0,10^6,INDEX(properties!A$1:CB$87,'Fórmula'!B96,4)),IF(INDEX(properties!A$1:CB$87,'Fórmula'!D96,4)=0,10^6,INDEX(properties!A$1:CB$87,'Fórmula'!D96,4)),IF(INDEX(properties!A$1:CB$87,'Fórmula'!F96,4)=0,10^6,INDEX(properties!A$1:CB$87,'Fórmula'!F96,4)),IF(INDEX(properties!A$1:CB$87,'Fórmula'!H96,4)=0,10^6,INDEX(properties!A$1:CB$87,'Fórmula'!H96,4)),IF(INDEX(properties!A$1:CB$87,'Fórmula'!J96,4)=0,10^6,INDEX(properties!A$1:CB$87,'Fórmula'!J96,4)))</f>
        <v>8</v>
      </c>
      <c r="M96" s="102">
        <f t="shared" si="2"/>
        <v>24</v>
      </c>
      <c r="N96" s="103">
        <f t="array" ref="N96">(('Fórmula'!C96)/('Fórmula'!C96+'Fórmula'!E96+'Fórmula'!G96+'Fórmula'!I96+'Fórmula'!K96))*(INDEX(properties!A$1:CB$87,'Fórmula'!B96,5))+(('Fórmula'!E96)/('Fórmula'!C96+'Fórmula'!E96+'Fórmula'!G96+'Fórmula'!I96+'Fórmula'!K96))*(INDEX(properties!A$1:CB$87,'Fórmula'!D96,5))+(('Fórmula'!G96)/('Fórmula'!C96+'Fórmula'!E96+'Fórmula'!G96+'Fórmula'!I96+'Fórmula'!K96))*(INDEX(properties!A$1:CB$87,'Fórmula'!F96,5))+(('Fórmula'!I96)/('Fórmula'!C96+'Fórmula'!E96+'Fórmula'!G96+'Fórmula'!I96+'Fórmula'!K96))*(INDEX(properties!A$1:CB$87,'Fórmula'!H96,5))+(('Fórmula'!K96)/('Fórmula'!C96+'Fórmula'!E96+'Fórmula'!G96+'Fórmula'!I96+'Fórmula'!K96))*(INDEX(properties!A$1:CB$87,'Fórmula'!J96,5))</f>
        <v>2.8</v>
      </c>
      <c r="O96" s="103">
        <f t="array" ref="O96">'Fórmula'!C96*(INDEX(properties!A$1:CB$87,'Fórmula'!B96,5))+'Fórmula'!E96*(INDEX(properties!A$1:CB$87,'Fórmula'!D96,5))+'Fórmula'!G96*(INDEX(properties!A$1:CB$87,'Fórmula'!F96,5))+'Fórmula'!I96*(INDEX(properties!A$1:CB$87,'Fórmula'!H96,5))+'Fórmula'!K96*(INDEX(properties!A$1:CB$87,'Fórmula'!J96,5))</f>
        <v>56</v>
      </c>
      <c r="P96" s="103">
        <f t="array" ref="P96">VARP(IF(INDEX(properties!A$1:CB$87,'Fórmula'!B96,5)&lt;&gt;"",INDEX(properties!A$1:CB$87,'Fórmula'!B96,5)),IF(INDEX(properties!A$1:CB$87,'Fórmula'!D96,5)&lt;&gt;"",INDEX(properties!A$1:CB$87,'Fórmula'!D96,5)),IF(INDEX(properties!A$1:CB$87,'Fórmula'!F96,5)&lt;&gt;"",INDEX(properties!A$1:CB$87,'Fórmula'!F96,5)),IF(INDEX(properties!A$1:CB$87,'Fórmula'!H96,5)&lt;&gt;"",INDEX(properties!A$1:CB$87,'Fórmula'!H96,5)),IF(INDEX(properties!A$1:CB$87,'Fórmula'!J96,5)&lt;&gt;"",INDEX(properties!A$1:CB$87,'Fórmula'!J96,5)))</f>
        <v>2.56</v>
      </c>
      <c r="Q96" s="103">
        <f t="array" ref="Q96">MAX(INDEX(properties!A$1:CB$87,'Fórmula'!B96,5),INDEX(properties!A$1:CB$87,'Fórmula'!D96,5),INDEX(properties!A$1:CB$87,'Fórmula'!F96,5),INDEX(properties!A$1:CB$87,'Fórmula'!H96,5),INDEX(properties!A$1:CB$87,'Fórmula'!J96,5))</f>
        <v>4</v>
      </c>
      <c r="R96" s="103">
        <f t="array" ref="R96">MIN(IF(INDEX(properties!A$1:CB$87,'Fórmula'!B96,5)=0,10^6,INDEX(properties!A$1:CB$87,'Fórmula'!B96,5)),IF(INDEX(properties!A$1:CB$87,'Fórmula'!D96,5)=0,10^6,INDEX(properties!A$1:CB$87,'Fórmula'!D96,5)),IF(INDEX(properties!A$1:CB$87,'Fórmula'!F96,5)=0,10^6,INDEX(properties!A$1:CB$87,'Fórmula'!F96,5)),IF(INDEX(properties!A$1:CB$87,'Fórmula'!H96,5)=0,10^6,INDEX(properties!A$1:CB$87,'Fórmula'!H96,5)),IF(INDEX(properties!A$1:CB$87,'Fórmula'!J96,5)=0,10^6,INDEX(properties!A$1:CB$87,'Fórmula'!J96,5)))</f>
        <v>2</v>
      </c>
      <c r="S96" s="103">
        <f t="shared" si="3"/>
        <v>2</v>
      </c>
      <c r="T96" s="104">
        <f t="array" ref="T96">(('Fórmula'!C96)/('Fórmula'!C96+'Fórmula'!E96+'Fórmula'!G96+'Fórmula'!I96+'Fórmula'!K96))*(INDEX(properties!A$1:CB$87,'Fórmula'!B96,6))+(('Fórmula'!E96)/('Fórmula'!C96+'Fórmula'!E96+'Fórmula'!G96+'Fórmula'!I96+'Fórmula'!K96))*(INDEX(properties!A$1:CB$87,'Fórmula'!D96,6))+(('Fórmula'!G96)/('Fórmula'!C96+'Fórmula'!E96+'Fórmula'!G96+'Fórmula'!I96+'Fórmula'!K96))*(INDEX(properties!A$1:CB$87,'Fórmula'!F96,6))+(('Fórmula'!I96)/('Fórmula'!C96+'Fórmula'!E96+'Fórmula'!G96+'Fórmula'!I96+'Fórmula'!K96))*(INDEX(properties!A$1:CB$87,'Fórmula'!H96,6))+(('Fórmula'!K96)/('Fórmula'!C96+'Fórmula'!E96+'Fórmula'!G96+'Fórmula'!I96+'Fórmula'!K96))*(INDEX(properties!A$1:CB$87,'Fórmula'!J96,6))</f>
        <v>12.3</v>
      </c>
      <c r="U96" s="104">
        <f t="array" ref="U96">'Fórmula'!C96*(INDEX(properties!A$1:CB$87,'Fórmula'!B96,6))+'Fórmula'!E96*(INDEX(properties!A$1:CB$87,'Fórmula'!D96,6))+'Fórmula'!G96*(INDEX(properties!A$1:CB$87,'Fórmula'!F96,6))+'Fórmula'!I96*(INDEX(properties!A$1:CB$87,'Fórmula'!H96,6))+'Fórmula'!K96*(INDEX(properties!A$1:CB$87,'Fórmula'!J96,6))</f>
        <v>246</v>
      </c>
      <c r="V96" s="103">
        <f t="array" ref="V96">VARP(IF(INDEX(properties!A$1:CB$87,'Fórmula'!B96,6)&lt;&gt;"",INDEX(properties!A$1:CB$87,'Fórmula'!B96,6)),IF(INDEX(properties!A$1:CB$87,'Fórmula'!D96,6)&lt;&gt;"",INDEX(properties!A$1:CB$87,'Fórmula'!D96,6)),IF(INDEX(properties!A$1:CB$87,'Fórmula'!F96,6)&lt;&gt;"",INDEX(properties!A$1:CB$87,'Fórmula'!F96,6)),IF(INDEX(properties!A$1:CB$87,'Fórmula'!H96,6)&lt;&gt;"",INDEX(properties!A$1:CB$87,'Fórmula'!H96,6)),IF(INDEX(properties!A$1:CB$87,'Fórmula'!J96,6)&lt;&gt;"",INDEX(properties!A$1:CB$87,'Fórmula'!J96,6)))</f>
        <v>44</v>
      </c>
      <c r="W96" s="104">
        <f t="array" ref="W96">MAX(INDEX(properties!A$1:CB$87,'Fórmula'!B96,6),INDEX(properties!A$1:CB$87,'Fórmula'!D96,6),INDEX(properties!A$1:CB$87,'Fórmula'!F96,6),INDEX(properties!A$1:CB$87,'Fórmula'!H96,4),INDEX(properties!A$1:CB$87,'Fórmula'!J96,6))</f>
        <v>14</v>
      </c>
      <c r="X96" s="104">
        <f t="array" ref="X96">MIN(IF(INDEX(properties!A$1:CB$87,'Fórmula'!B96,6)=0,10^6,INDEX(properties!A$1:CB$87,'Fórmula'!B96,6)),IF(INDEX(properties!A$1:CB$87,'Fórmula'!D96,6)=0,10^6,INDEX(properties!A$1:CB$87,'Fórmula'!D96,6)),IF(INDEX(properties!A$1:CB$87,'Fórmula'!F96,6)=0,10^6,INDEX(properties!A$1:CB$87,'Fórmula'!F96,6)),IF(INDEX(properties!A$1:CB$87,'Fórmula'!H96,6)=0,10^6,INDEX(properties!A$1:CB$87,'Fórmula'!H96,6)),IF(INDEX(properties!A$1:CB$87,'Fórmula'!J96,6)=0,10^6,INDEX(properties!A$1:CB$87,'Fórmula'!J96,6)))</f>
        <v>2</v>
      </c>
      <c r="Y96" s="104">
        <f t="shared" si="4"/>
        <v>12</v>
      </c>
      <c r="Z96" s="105">
        <f t="array" ref="Z96">(('Fórmula'!C96)/('Fórmula'!C96+'Fórmula'!E96+'Fórmula'!G96+'Fórmula'!I96+'Fórmula'!K96))*(INDEX(properties!A$1:CB$87,'Fórmula'!B96,9))+(('Fórmula'!E96)/('Fórmula'!C96+'Fórmula'!E96+'Fórmula'!G96+'Fórmula'!I96+'Fórmula'!K96))*(INDEX(properties!A$1:CB$87,'Fórmula'!D96,9))+(('Fórmula'!G96)/('Fórmula'!C96+'Fórmula'!E96+'Fórmula'!G96+'Fórmula'!I96+'Fórmula'!K96))*(INDEX(properties!A$1:CB$87,'Fórmula'!F96,9))+(('Fórmula'!I96)/('Fórmula'!C96+'Fórmula'!E96+'Fórmula'!G96+'Fórmula'!I96+'Fórmula'!K96))*(INDEX(properties!A$1:CB$87,'Fórmula'!H96,9))+(('Fórmula'!K96)/('Fórmula'!C96+'Fórmula'!E96+'Fórmula'!G96+'Fórmula'!I96+'Fórmula'!K96))*(INDEX(properties!A$1:CB$87,'Fórmula'!J96,9))</f>
        <v>66.2</v>
      </c>
      <c r="AA96" s="105">
        <f t="array" ref="AA96">'Fórmula'!C96*(INDEX(properties!A$1:CB$87,'Fórmula'!B96,9))+'Fórmula'!E96*(INDEX(properties!A$1:CB$87,'Fórmula'!D96,9))+'Fórmula'!G96*(INDEX(properties!A$1:CB$87,'Fórmula'!F96,9))+'Fórmula'!I96*(INDEX(properties!A$1:CB$87,'Fórmula'!H96,9))+'Fórmula'!K96*(INDEX(properties!A$1:CB$87,'Fórmula'!J96,9))</f>
        <v>1324</v>
      </c>
      <c r="AB96" s="105">
        <f t="array" ref="AB96">VARP(IF(INDEX(properties!A$1:CB$87,'Fórmula'!B96,9)&lt;&gt;"",INDEX(properties!A$1:CB$87,'Fórmula'!B96,9)),IF(INDEX(properties!A$1:CB$87,'Fórmula'!D96,9)&lt;&gt;"",INDEX(properties!A$1:CB$87,'Fórmula'!D96,9)),IF(INDEX(properties!A$1:CB$87,'Fórmula'!F96,9)&lt;&gt;"",INDEX(properties!A$1:CB$87,'Fórmula'!F96,9)),IF(INDEX(properties!A$1:CB$87,'Fórmula'!H96,9)&lt;&gt;"",INDEX(properties!A$1:CB$87,'Fórmula'!H96,9)),IF(INDEX(properties!A$1:CB$87,'Fórmula'!J96,9)&lt;&gt;"",INDEX(properties!A$1:CB$87,'Fórmula'!J96,9)))</f>
        <v>1441.76</v>
      </c>
      <c r="AC96" s="105">
        <f t="array" ref="AC96">MAX(INDEX(properties!A$1:CB$87,'Fórmula'!B96,9),INDEX(properties!A$1:CB$87,'Fórmula'!D96,9),INDEX(properties!A$1:CB$87,'Fórmula'!F96,9),INDEX(properties!A$1:CB$87,'Fórmula'!H96,9),INDEX(properties!A$1:CB$87,'Fórmula'!J96,9))</f>
        <v>87</v>
      </c>
      <c r="AD96" s="105">
        <f t="array" ref="AD96">MIN(IF(INDEX(properties!A$1:CB$87,'Fórmula'!B96,9)=0,10^6,INDEX(properties!A$1:CB$87,'Fórmula'!B96,9)),IF(INDEX(properties!A$1:CB$87,'Fórmula'!D96,9)=0,10^6,INDEX(properties!A$1:CB$87,'Fórmula'!D96,9)),IF(INDEX(properties!A$1:CB$87,'Fórmula'!F96,9)=0,10^6,INDEX(properties!A$1:CB$87,'Fórmula'!F96,9)),IF(INDEX(properties!A$1:CB$87,'Fórmula'!H96,9)=0,10^6,INDEX(properties!A$1:CB$87,'Fórmula'!H96,9)),IF(INDEX(properties!A$1:CB$87,'Fórmula'!J96,9)=0,10^6,INDEX(properties!A$1:CB$87,'Fórmula'!J96,9)))</f>
        <v>7</v>
      </c>
      <c r="AE96" s="105">
        <f t="shared" si="5"/>
        <v>80</v>
      </c>
      <c r="AF96" s="106">
        <f t="array" ref="AF96">(('Fórmula'!C96)/('Fórmula'!C96+'Fórmula'!E96+'Fórmula'!G96+'Fórmula'!I96+'Fórmula'!K96))*(INDEX(properties!A$1:CB$87,'Fórmula'!B96,10))+(('Fórmula'!E96)/('Fórmula'!C96+'Fórmula'!E96+'Fórmula'!G96+'Fórmula'!I96+'Fórmula'!K96))*(INDEX(properties!A$1:CB$87,'Fórmula'!D96,10))+(('Fórmula'!G96)/('Fórmula'!C96+'Fórmula'!E96+'Fórmula'!G96+'Fórmula'!I96+'Fórmula'!K96))*(INDEX(properties!A$1:CB$87,'Fórmula'!F96,10))+(('Fórmula'!I96)/('Fórmula'!C96+'Fórmula'!E96+'Fórmula'!G96+'Fórmula'!I96+'Fórmula'!K96))*(INDEX(properties!A$1:CB$87,'Fórmula'!H96,10))+(('Fórmula'!K96)/('Fórmula'!C96+'Fórmula'!E96+'Fórmula'!G96+'Fórmula'!I96+'Fórmula'!K96))*(INDEX(properties!A$1:CB$87,'Fórmula'!J96,10))</f>
        <v>5.7</v>
      </c>
      <c r="AG96" s="106">
        <f t="array" ref="AG96">'Fórmula'!C96*(INDEX(properties!A$1:CB$87,'Fórmula'!B96,10))+'Fórmula'!E96*(INDEX(properties!A$1:CB$87,'Fórmula'!D96,10))+'Fórmula'!G96*(INDEX(properties!A$1:CB$87,'Fórmula'!F96,10))+'Fórmula'!I96*(INDEX(properties!A$1:CB$87,'Fórmula'!H96,10))+'Fórmula'!K96*(INDEX(properties!A$1:CB$87,'Fórmula'!J96,10))</f>
        <v>114</v>
      </c>
      <c r="AH96" s="106">
        <f t="array" ref="AH96">VARP(IF(INDEX(properties!A$1:CB$87,'Fórmula'!B96,10)&lt;&gt;"",INDEX(properties!A$1:CB$87,'Fórmula'!B96,10)),IF(INDEX(properties!A$1:CB$87,'Fórmula'!D96,10)&lt;&gt;"",INDEX(properties!A$1:CB$87,'Fórmula'!D96,10)),IF(INDEX(properties!A$1:CB$87,'Fórmula'!F96,10)&lt;&gt;"",INDEX(properties!A$1:CB$87,'Fórmula'!F96,10)),IF(INDEX(properties!A$1:CB$87,'Fórmula'!H96,10)&lt;&gt;"",INDEX(properties!A$1:CB$87,'Fórmula'!H96,10)),IF(INDEX(properties!A$1:CB$87,'Fórmula'!J96,10)&lt;&gt;"",INDEX(properties!A$1:CB$87,'Fórmula'!J96,10)))</f>
        <v>6.64</v>
      </c>
      <c r="AI96" s="106">
        <f t="array" ref="AI96">MAX(INDEX(properties!A$1:CB$87,'Fórmula'!B96,10),INDEX(properties!A$1:CB$87,'Fórmula'!D96,10),INDEX(properties!A$1:CB$87,'Fórmula'!F96,10),INDEX(properties!A$1:CB$87,'Fórmula'!H96,10),INDEX(properties!A$1:CB$87,'Fórmula'!J96,10))</f>
        <v>7</v>
      </c>
      <c r="AJ96" s="106">
        <f t="array" ref="AJ96">MIN(IF(INDEX(properties!A$1:CB$87,'Fórmula'!B96,10)=0,10^6,INDEX(properties!A$1:CB$87,'Fórmula'!B96,10)),IF(INDEX(properties!A$1:CB$87,'Fórmula'!D96,10)=0,10^6,INDEX(properties!A$1:CB$87,'Fórmula'!D96,10)),IF(INDEX(properties!A$1:CB$87,'Fórmula'!F96,10)=0,10^6,INDEX(properties!A$1:CB$87,'Fórmula'!F96,10)),IF(INDEX(properties!A$1:CB$87,'Fórmula'!H96,10)=0,10^6,INDEX(properties!A$1:CB$87,'Fórmula'!H96,10)),IF(INDEX(properties!A$1:CB$87,'Fórmula'!J96,10)=0,10^6,INDEX(properties!A$1:CB$87,'Fórmula'!J96,10)))</f>
        <v>2</v>
      </c>
      <c r="AK96" s="106">
        <f t="shared" si="6"/>
        <v>5</v>
      </c>
      <c r="AL96" s="107">
        <f t="array" ref="AL96">(('Fórmula'!C96)/('Fórmula'!C96+'Fórmula'!E96+'Fórmula'!G96+'Fórmula'!I96+'Fórmula'!K96))*(INDEX(properties!A$1:CB$87,'Fórmula'!B96,11))+(('Fórmula'!E96)/('Fórmula'!C96+'Fórmula'!E96+'Fórmula'!G96+'Fórmula'!I96+'Fórmula'!K96))*(INDEX(properties!A$1:CB$87,'Fórmula'!D96,11))+(('Fórmula'!G96)/('Fórmula'!C96+'Fórmula'!E96+'Fórmula'!G96+'Fórmula'!I96+'Fórmula'!K96))*(INDEX(properties!A$1:CB$87,'Fórmula'!F96,11))+(('Fórmula'!I96)/('Fórmula'!C96+'Fórmula'!E96+'Fórmula'!G96+'Fórmula'!I96+'Fórmula'!K96))*(INDEX(properties!A$1:CB$87,'Fórmula'!H96,11))+(('Fórmula'!K96)/('Fórmula'!C96+'Fórmula'!E96+'Fórmula'!G96+'Fórmula'!I96+'Fórmula'!K96))*(INDEX(properties!A$1:CB$87,'Fórmula'!J96,11))</f>
        <v>2</v>
      </c>
      <c r="AM96" s="107">
        <f t="array" ref="AM96">'Fórmula'!C96*(INDEX(properties!A$1:CB$87,'Fórmula'!B96,11))+'Fórmula'!E96*(INDEX(properties!A$1:CB$87,'Fórmula'!D96,11))+'Fórmula'!G96*(INDEX(properties!A$1:CB$87,'Fórmula'!F96,11))+'Fórmula'!I96*(INDEX(properties!A$1:CB$87,'Fórmula'!H96,11))+'Fórmula'!K96*(INDEX(properties!A$1:CB$87,'Fórmula'!J96,11))</f>
        <v>40</v>
      </c>
      <c r="AN96" s="107">
        <f t="array" ref="AN96">VARP(IF(INDEX(properties!A$1:CB$87,'Fórmula'!B96,11)&lt;&gt;"",INDEX(properties!A$1:CB$87,'Fórmula'!B96,11)),IF(INDEX(properties!A$1:CB$87,'Fórmula'!D96,11)&lt;&gt;"",INDEX(properties!A$1:CB$87,'Fórmula'!D96,11)),IF(INDEX(properties!A$1:CB$87,'Fórmula'!F96,11)&lt;&gt;"",INDEX(properties!A$1:CB$87,'Fórmula'!F96,11)),IF(INDEX(properties!A$1:CB$87,'Fórmula'!H96,11)&lt;&gt;"",INDEX(properties!A$1:CB$87,'Fórmula'!H96,11)),IF(INDEX(properties!A$1:CB$87,'Fórmula'!J96,11)&lt;&gt;"",INDEX(properties!A$1:CB$87,'Fórmula'!J96,11)))</f>
        <v>0.64</v>
      </c>
      <c r="AO96" s="107">
        <f t="array" ref="AO96">MAX(INDEX(properties!A$1:CB$87,'Fórmula'!B96,11),INDEX(properties!A$1:CB$87,'Fórmula'!D96,11),INDEX(properties!A$1:CB$87,'Fórmula'!F96,11),INDEX(properties!A$1:CB$87,'Fórmula'!H96,11),INDEX(properties!A$1:CB$87,'Fórmula'!J96,11))</f>
        <v>2</v>
      </c>
      <c r="AP96" s="107">
        <f t="array" ref="AP96">MIN(IF('Fórmula'!B96=87,10^6,INDEX(properties!A$1:CB$87,'Fórmula'!B96,11)),IF(('Fórmula'!D96)=87,10^6,INDEX(properties!A$1:CB$87,'Fórmula'!D96,11)),IF(('Fórmula'!F96)=87,10^6,INDEX(properties!A$1:CB$87,'Fórmula'!F96,11)),IF(('Fórmula'!H96)=87,10^6,INDEX(properties!A$1:CB$87,'Fórmula'!H96,11)),IF('Fórmula'!J96=87,10^6,INDEX(properties!A$1:CB$87,'Fórmula'!J96,11)))</f>
        <v>2</v>
      </c>
      <c r="AQ96" s="107">
        <f t="shared" si="7"/>
        <v>0</v>
      </c>
      <c r="AR96" s="108">
        <f t="array" ref="AR96">(('Fórmula'!C96)/('Fórmula'!C96+'Fórmula'!E96+'Fórmula'!G96+'Fórmula'!I96+'Fórmula'!K96))*(INDEX(properties!A$1:CB$87,'Fórmula'!B96,12))+(('Fórmula'!E96)/('Fórmula'!C96+'Fórmula'!E96+'Fórmula'!G96+'Fórmula'!I96+'Fórmula'!K96))*(INDEX(properties!A$1:CB$87,'Fórmula'!D96,12))+(('Fórmula'!G96)/('Fórmula'!C96+'Fórmula'!E96+'Fórmula'!G96+'Fórmula'!I96+'Fórmula'!K96))*(INDEX(properties!A$1:CB$87,'Fórmula'!F96,12))+(('Fórmula'!I96)/('Fórmula'!C96+'Fórmula'!E96+'Fórmula'!G96+'Fórmula'!I96+'Fórmula'!K96))*(INDEX(properties!A$1:CB$87,'Fórmula'!H96,12))+(('Fórmula'!K96)/('Fórmula'!C96+'Fórmula'!E96+'Fórmula'!G96+'Fórmula'!I96+'Fórmula'!K96))*(INDEX(properties!A$1:CB$87,'Fórmula'!J96,12))</f>
        <v>2.7</v>
      </c>
      <c r="AS96" s="108">
        <f t="array" ref="AS96">'Fórmula'!C96*(INDEX(properties!A$1:CB$87,'Fórmula'!B96,12))+'Fórmula'!E96*(INDEX(properties!A$1:CB$87,'Fórmula'!D96,12))+'Fórmula'!G96*(INDEX(properties!A$1:CB$87,'Fórmula'!F96,12))+'Fórmula'!I96*(INDEX(properties!A$1:CB$87,'Fórmula'!H96,12))+'Fórmula'!K96*(INDEX(properties!A$1:CB$87,'Fórmula'!J96,12))</f>
        <v>54</v>
      </c>
      <c r="AT96" s="108">
        <f t="array" ref="AT96">VARP(IF(INDEX(properties!A$1:CB$87,'Fórmula'!B96,12)&lt;&gt;"",INDEX(properties!A$1:CB$87,'Fórmula'!B96,12)),IF(INDEX(properties!A$1:CB$87,'Fórmula'!D96,12)&lt;&gt;"",INDEX(properties!A$1:CB$87,'Fórmula'!D96,12)),IF(INDEX(properties!A$1:CB$87,'Fórmula'!F96,12)&lt;&gt;"",INDEX(properties!A$1:CB$87,'Fórmula'!F96,12)),IF(INDEX(properties!A$1:CB$87,'Fórmula'!H96,12)&lt;&gt;"",INDEX(properties!A$1:CB$87,'Fórmula'!H96,12)),IF(INDEX(properties!A$1:CB$87,'Fórmula'!J96,12)&lt;&gt;"",INDEX(properties!A$1:CB$87,'Fórmula'!J96,12)))</f>
        <v>2.56</v>
      </c>
      <c r="AU96" s="108">
        <f t="array" ref="AU96">MAX(INDEX(properties!A$1:CB$87,'Fórmula'!B96,12),INDEX(properties!A$1:CB$87,'Fórmula'!D96,12),INDEX(properties!A$1:CB$87,'Fórmula'!F96,12),INDEX(properties!A$1:CB$87,'Fórmula'!H96,12),INDEX(properties!A$1:CB$87,'Fórmula'!J96,12))</f>
        <v>4</v>
      </c>
      <c r="AV96" s="108">
        <f t="array" ref="AV96">MIN(IF('Fórmula'!B96=87,10^6,INDEX(properties!A$1:CB$87,'Fórmula'!B96,12)),IF(('Fórmula'!D96)=87,10^6,INDEX(properties!A$1:CB$87,'Fórmula'!D96,12)),IF(('Fórmula'!F96)=87,10^6,INDEX(properties!A$1:CB$87,'Fórmula'!F96,12)),IF(('Fórmula'!H96)=87,10^6,INDEX(properties!A$1:CB$87,'Fórmula'!H96,12)),IF('Fórmula'!J96=87,10^6,INDEX(properties!A$1:CB$87,'Fórmula'!J96,12)))</f>
        <v>0</v>
      </c>
      <c r="AW96" s="108">
        <f t="shared" si="8"/>
        <v>4</v>
      </c>
      <c r="AX96" s="109">
        <f t="array" ref="AX96">(('Fórmula'!C96)/('Fórmula'!C96+'Fórmula'!E96+'Fórmula'!G96+'Fórmula'!I96+'Fórmula'!K96))*(INDEX(properties!A$1:CB$87,'Fórmula'!B96,13))+(('Fórmula'!E96)/('Fórmula'!C96+'Fórmula'!E96+'Fórmula'!G96+'Fórmula'!I96+'Fórmula'!K96))*(INDEX(properties!A$1:CB$87,'Fórmula'!D96,13))+(('Fórmula'!G96)/('Fórmula'!C96+'Fórmula'!E96+'Fórmula'!G96+'Fórmula'!I96+'Fórmula'!K96))*(INDEX(properties!A$1:CB$87,'Fórmula'!F96,13))+(('Fórmula'!I96)/('Fórmula'!C96+'Fórmula'!E96+'Fórmula'!G96+'Fórmula'!I96+'Fórmula'!K96))*(INDEX(properties!A$1:CB$87,'Fórmula'!H96,13))+(('Fórmula'!K96)/('Fórmula'!C96+'Fórmula'!E96+'Fórmula'!G96+'Fórmula'!I96+'Fórmula'!K96))*(INDEX(properties!A$1:CB$87,'Fórmula'!J96,13))</f>
        <v>1.6</v>
      </c>
      <c r="AY96" s="109">
        <f t="array" ref="AY96">'Fórmula'!C96*(INDEX(properties!A$1:CB$87,'Fórmula'!B96,13))+'Fórmula'!E96*(INDEX(properties!A$1:CB$87,'Fórmula'!D96,13))+'Fórmula'!G96*(INDEX(properties!A$1:CB$87,'Fórmula'!F96,13))+'Fórmula'!I96*(INDEX(properties!A$1:CB$87,'Fórmula'!H96,13))+'Fórmula'!K96*(INDEX(properties!A$1:CB$87,'Fórmula'!J96,13))</f>
        <v>32</v>
      </c>
      <c r="AZ96" s="109">
        <f t="array" ref="AZ96">VARP(IF(INDEX(properties!A$1:CB$87,'Fórmula'!B96,13)&lt;&gt;"",INDEX(properties!A$1:CB$87,'Fórmula'!B96,13)),IF(INDEX(properties!A$1:CB$87,'Fórmula'!D96,13)&lt;&gt;"",INDEX(properties!A$1:CB$87,'Fórmula'!D96,13)),IF(INDEX(properties!A$1:CB$87,'Fórmula'!F96,13)&lt;&gt;"",INDEX(properties!A$1:CB$87,'Fórmula'!F96,13)),IF(INDEX(properties!A$1:CB$87,'Fórmula'!H96,13)&lt;&gt;"",INDEX(properties!A$1:CB$87,'Fórmula'!H96,13)),IF(INDEX(properties!A$1:CB$87,'Fórmula'!J96,13)&lt;&gt;"",INDEX(properties!A$1:CB$87,'Fórmula'!J96,13)))</f>
        <v>15.36</v>
      </c>
      <c r="BA96" s="109">
        <f t="array" ref="BA96">MAX(INDEX(properties!A$1:CB$87,'Fórmula'!B96,13),INDEX(properties!A$1:CB$87,'Fórmula'!D96,13),INDEX(properties!A$1:CB$87,'Fórmula'!F96,13),INDEX(properties!A$1:CB$87,'Fórmula'!H96,13),INDEX(properties!A$1:CB$87,'Fórmula'!J96,13))</f>
        <v>10</v>
      </c>
      <c r="BB96" s="109">
        <f t="array" ref="BB96">MIN(IF('Fórmula'!B96=87,10^6,INDEX(properties!A$1:CB$87,'Fórmula'!B96,13)),IF(('Fórmula'!D96)=87,10^6,INDEX(properties!A$1:CB$87,'Fórmula'!D96,13)),IF(('Fórmula'!F96)=87,10^6,INDEX(properties!A$1:CB$87,'Fórmula'!F96,13)),IF(('Fórmula'!H96)=87,10^6,INDEX(properties!A$1:CB$87,'Fórmula'!H96,13)),IF('Fórmula'!J96=87,10^6,INDEX(properties!A$1:CB$87,'Fórmula'!J96,13)))</f>
        <v>0</v>
      </c>
      <c r="BC96" s="109">
        <f t="shared" si="9"/>
        <v>10</v>
      </c>
      <c r="BD96" s="110">
        <f t="array" ref="BD96">(('Fórmula'!C96)/('Fórmula'!C96+'Fórmula'!E96+'Fórmula'!G96+'Fórmula'!I96+'Fórmula'!K96))*(INDEX(properties!A$1:CB$87,'Fórmula'!B96,14))+(('Fórmula'!E96)/('Fórmula'!C96+'Fórmula'!E96+'Fórmula'!G96+'Fórmula'!I96+'Fórmula'!K96))*(INDEX(properties!A$1:CB$87,'Fórmula'!D96,14))+(('Fórmula'!G96)/('Fórmula'!C96+'Fórmula'!E96+'Fórmula'!G96+'Fórmula'!I96+'Fórmula'!K96))*(INDEX(properties!A$1:CB$87,'Fórmula'!F96,14))+(('Fórmula'!I96)/('Fórmula'!C96+'Fórmula'!E96+'Fórmula'!G96+'Fórmula'!I96+'Fórmula'!K96))*(INDEX(properties!A$1:CB$87,'Fórmula'!H96,14))+(('Fórmula'!K96)/('Fórmula'!C96+'Fórmula'!E96+'Fórmula'!G96+'Fórmula'!I96+'Fórmula'!K96))*(INDEX(properties!A$1:CB$87,'Fórmula'!J96,14))</f>
        <v>0</v>
      </c>
      <c r="BE96" s="110">
        <f t="array" ref="BE96">'Fórmula'!C96*(INDEX(properties!A$1:CB$87,'Fórmula'!B96,14))+'Fórmula'!E96*(INDEX(properties!A$1:CB$87,'Fórmula'!D96,14))+'Fórmula'!G96*(INDEX(properties!A$1:CB$87,'Fórmula'!F96,14))+'Fórmula'!I96*(INDEX(properties!A$1:CB$87,'Fórmula'!H96,14))+'Fórmula'!K96*(INDEX(properties!A$1:CB$87,'Fórmula'!J96,14))</f>
        <v>0</v>
      </c>
      <c r="BF96" s="110">
        <f t="array" ref="BF96">VARP(IF(INDEX(properties!A$1:CB$87,'Fórmula'!B96,14)&lt;&gt;"",INDEX(properties!A$1:CB$87,'Fórmula'!B96,14)),IF(INDEX(properties!A$1:CB$87,'Fórmula'!D96,14)&lt;&gt;"",INDEX(properties!A$1:CB$87,'Fórmula'!D96,14)),IF(INDEX(properties!A$1:CB$87,'Fórmula'!F96,14)&lt;&gt;"",INDEX(properties!A$1:CB$87,'Fórmula'!F96,14)),IF(INDEX(properties!A$1:CB$87,'Fórmula'!H96,14)&lt;&gt;"",INDEX(properties!A$1:CB$87,'Fórmula'!H96,14)),IF(INDEX(properties!A$1:CB$87,'Fórmula'!J96,14)&lt;&gt;"",INDEX(properties!A$1:CB$87,'Fórmula'!J96,14)))</f>
        <v>0</v>
      </c>
      <c r="BG96" s="110">
        <f t="array" ref="BG96">MAX(INDEX(properties!A$1:CB$87,'Fórmula'!B96,14),INDEX(properties!A$1:CB$87,'Fórmula'!D96,14),INDEX(properties!A$1:CB$87,'Fórmula'!F96,14),INDEX(properties!A$1:CB$87,'Fórmula'!H96,14),INDEX(properties!A$1:CB$87,'Fórmula'!J96,14))</f>
        <v>0</v>
      </c>
      <c r="BH96" s="110">
        <f t="array" ref="BH96">MIN(IF('Fórmula'!B96=87,10^6,INDEX(properties!A$1:CB$87,'Fórmula'!B96,14)),IF(('Fórmula'!D96)=87,10^6,INDEX(properties!A$1:CB$87,'Fórmula'!D96,14)),IF(('Fórmula'!F96)=87,10^6,INDEX(properties!A$1:CB$87,'Fórmula'!F96,14)),IF(('Fórmula'!H96)=87,10^6,INDEX(properties!A$1:CB$87,'Fórmula'!H96,14)),IF('Fórmula'!J96=87,10^6,INDEX(properties!A$1:CB$87,'Fórmula'!J96,14)))</f>
        <v>0</v>
      </c>
      <c r="BI96" s="110">
        <f t="shared" si="10"/>
        <v>0</v>
      </c>
      <c r="BJ96" s="111">
        <f t="array" ref="BJ96">(('Fórmula'!C96)/('Fórmula'!C96+'Fórmula'!E96+'Fórmula'!G96+'Fórmula'!I96+'Fórmula'!K96))*(INDEX(properties!A$1:CB$87,'Fórmula'!B96,19))+(('Fórmula'!E96)/('Fórmula'!C96+'Fórmula'!E96+'Fórmula'!G96+'Fórmula'!I96+'Fórmula'!K96))*(INDEX(properties!A$1:CB$87,'Fórmula'!D96,19))+(('Fórmula'!G96)/('Fórmula'!C96+'Fórmula'!E96+'Fórmula'!G96+'Fórmula'!I96+'Fórmula'!K96))*(INDEX(properties!A$1:CB$87,'Fórmula'!F96,19))+(('Fórmula'!I96)/('Fórmula'!C96+'Fórmula'!E96+'Fórmula'!G96+'Fórmula'!I96+'Fórmula'!K96))*(INDEX(properties!A$1:CB$87,'Fórmula'!H96,19))+(('Fórmula'!K96)/('Fórmula'!C96+'Fórmula'!E96+'Fórmula'!G96+'Fórmula'!I96+'Fórmula'!K96))*(INDEX(properties!A$1:CB$87,'Fórmula'!J96,19))</f>
        <v>6.3</v>
      </c>
      <c r="BK96" s="111">
        <f t="array" ref="BK96">'Fórmula'!C96*(INDEX(properties!A$1:CB$87,'Fórmula'!B96,19))+'Fórmula'!E96*(INDEX(properties!A$1:CB$87,'Fórmula'!D96,19))+'Fórmula'!G96*(INDEX(properties!A$1:CB$87,'Fórmula'!F96,19))+'Fórmula'!I96*(INDEX(properties!A$1:CB$87,'Fórmula'!H96,19))+'Fórmula'!K96*(INDEX(properties!A$1:CB$87,'Fórmula'!J96,19))</f>
        <v>126</v>
      </c>
      <c r="BL96" s="111">
        <f t="array" ref="BL96">VARP(IF(INDEX(properties!A$1:CB$87,'Fórmula'!B96,19)&lt;&gt;"",INDEX(properties!A$1:CB$87,'Fórmula'!B96,19)),IF(INDEX(properties!A$1:CB$87,'Fórmula'!D96,19)&lt;&gt;"",INDEX(properties!A$1:CB$87,'Fórmula'!D96,19)),IF(INDEX(properties!A$1:CB$87,'Fórmula'!F96,19)&lt;&gt;"",INDEX(properties!A$1:CB$87,'Fórmula'!F96,19)),IF(INDEX(properties!A$1:CB$87,'Fórmula'!H96,19)&lt;&gt;"",INDEX(properties!A$1:CB$87,'Fórmula'!H96,19)),IF(INDEX(properties!A$1:CB$87,'Fórmula'!J96,19)&lt;&gt;"",INDEX(properties!A$1:CB$87,'Fórmula'!J96,19)))</f>
        <v>24</v>
      </c>
      <c r="BM96" s="111">
        <f t="array" ref="BM96">MAX(INDEX(properties!A$1:CB$87,'Fórmula'!B96,19),INDEX(properties!A$1:CB$87,'Fórmula'!D96,19),INDEX(properties!A$1:CB$87,'Fórmula'!F96,19),INDEX(properties!A$1:CB$87,'Fórmula'!H96,19),INDEX(properties!A$1:CB$87,'Fórmula'!J96,19))</f>
        <v>14</v>
      </c>
      <c r="BN96" s="111">
        <f t="array" ref="BN96">MIN(IF(INDEX(properties!A$1:CB$87,'Fórmula'!B96,19)=0,10^6,INDEX(properties!A$1:CB$87,'Fórmula'!B96,19)),IF(INDEX(properties!A$1:CB$87,'Fórmula'!D96,19)=0,10^6,INDEX(properties!A$1:CB$87,'Fórmula'!D96,19)),IF(INDEX(properties!A$1:CB$87,'Fórmula'!F96,19)=0,10^6,INDEX(properties!A$1:CB$87,'Fórmula'!F96,19)),IF(INDEX(properties!A$1:CB$87,'Fórmula'!H96,19)=0,10^6,INDEX(properties!A$1:CB$87,'Fórmula'!H96,19)),IF(INDEX(properties!A$1:CB$87,'Fórmula'!J96,19)=0,10^6,INDEX(properties!A$1:CB$87,'Fórmula'!J96,19)))</f>
        <v>2</v>
      </c>
      <c r="BO96" s="111">
        <f t="shared" si="11"/>
        <v>12</v>
      </c>
      <c r="BP96" s="112">
        <f t="array" ref="BP96">(('Fórmula'!C96)/('Fórmula'!C96+'Fórmula'!E96+'Fórmula'!G96+'Fórmula'!I96+'Fórmula'!K96))*(INDEX(properties!A$1:CB$87,'Fórmula'!B96,20))+(('Fórmula'!E96)/('Fórmula'!C96+'Fórmula'!E96+'Fórmula'!G96+'Fórmula'!I96+'Fórmula'!K96))*(INDEX(properties!A$1:CB$87,'Fórmula'!D96,20))+(('Fórmula'!G96)/('Fórmula'!C96+'Fórmula'!E96+'Fórmula'!G96+'Fórmula'!I96+'Fórmula'!K96))*(INDEX(properties!A$1:CB$87,'Fórmula'!F96,20))+(('Fórmula'!I96)/('Fórmula'!C96+'Fórmula'!E96+'Fórmula'!G96+'Fórmula'!I96+'Fórmula'!K96))*(INDEX(properties!A$1:CB$87,'Fórmula'!H96,20))+(('Fórmula'!K96)/('Fórmula'!C96+'Fórmula'!E96+'Fórmula'!G96+'Fórmula'!I96+'Fórmula'!K96))*(INDEX(properties!A$1:CB$87,'Fórmula'!J96,20))</f>
        <v>4.7</v>
      </c>
      <c r="BQ96" s="112">
        <f t="array" ref="BQ96">'Fórmula'!C96*(INDEX(properties!A$1:CB$87,'Fórmula'!B96,20))+'Fórmula'!E96*(INDEX(properties!A$1:CB$87,'Fórmula'!D96,20))+'Fórmula'!G96*(INDEX(properties!A$1:CB$87,'Fórmula'!F96,20))+'Fórmula'!I96*(INDEX(properties!A$1:CB$87,'Fórmula'!H96,20))+'Fórmula'!K96*(INDEX(properties!A$1:CB$87,'Fórmula'!J96,20))</f>
        <v>94</v>
      </c>
      <c r="BR96" s="112">
        <f t="array" ref="BR96">VARP(IF(INDEX(properties!A$1:CB$87,'Fórmula'!B96,20)&lt;&gt;"",INDEX(properties!A$1:CB$87,'Fórmula'!B96,20)),IF(INDEX(properties!A$1:CB$87,'Fórmula'!D96,20)&lt;&gt;"",INDEX(properties!A$1:CB$87,'Fórmula'!D96,20)),IF(INDEX(properties!A$1:CB$87,'Fórmula'!F96,20)&lt;&gt;"",INDEX(properties!A$1:CB$87,'Fórmula'!F96,20)),IF(INDEX(properties!A$1:CB$87,'Fórmula'!H96,20)&lt;&gt;"",INDEX(properties!A$1:CB$87,'Fórmula'!H96,20)),IF(INDEX(properties!A$1:CB$87,'Fórmula'!J96,20)&lt;&gt;"",INDEX(properties!A$1:CB$87,'Fórmula'!J96,20)))</f>
        <v>4.16</v>
      </c>
      <c r="BS96" s="112">
        <f t="array" ref="BS96">MAX(INDEX(properties!A$1:CB$87,'Fórmula'!B96,20),INDEX(properties!A$1:CB$87,'Fórmula'!D96,20),INDEX(properties!A$1:CB$87,'Fórmula'!F96,20),INDEX(properties!A$1:CB$87,'Fórmula'!H96,20),INDEX(properties!A$1:CB$87,'Fórmula'!J96,20))</f>
        <v>6</v>
      </c>
      <c r="BT96" s="112">
        <f t="array" ref="BT96">MIN(IF(INDEX(properties!A$1:CB$87,'Fórmula'!B96,20)=0,10^6,INDEX(properties!A$1:CB$87,'Fórmula'!B96,20)),IF(INDEX(properties!A$1:CB$87,'Fórmula'!D96,20)=0,10^6,INDEX(properties!A$1:CB$87,'Fórmula'!D96,20)),IF(INDEX(properties!A$1:CB$87,'Fórmula'!F96,20)=0,10^6,INDEX(properties!A$1:CB$87,'Fórmula'!F96,20)),IF(INDEX(properties!A$1:CB$87,'Fórmula'!H96,20)=0,10^6,INDEX(properties!A$1:CB$87,'Fórmula'!H96,20)),IF(INDEX(properties!A$1:CB$87,'Fórmula'!J96,20)=0,10^6,INDEX(properties!A$1:CB$87,'Fórmula'!J96,20)))</f>
        <v>2</v>
      </c>
      <c r="BU96" s="112">
        <f t="shared" si="12"/>
        <v>4</v>
      </c>
      <c r="BV96" s="113">
        <f t="array" ref="BV96">(('Fórmula'!C96)/('Fórmula'!C96+'Fórmula'!E96+'Fórmula'!G96+'Fórmula'!I96+'Fórmula'!K96))*(INDEX(properties!A$1:CB$87,'Fórmula'!B96,21))+(('Fórmula'!E96)/('Fórmula'!C96+'Fórmula'!E96+'Fórmula'!G96+'Fórmula'!I96+'Fórmula'!K96))*(INDEX(properties!A$1:CB$87,'Fórmula'!D96,21))+(('Fórmula'!G96)/('Fórmula'!C96+'Fórmula'!E96+'Fórmula'!G96+'Fórmula'!I96+'Fórmula'!K96))*(INDEX(properties!A$1:CB$87,'Fórmula'!F96,21))+(('Fórmula'!I96)/('Fórmula'!C96+'Fórmula'!E96+'Fórmula'!G96+'Fórmula'!I96+'Fórmula'!K96))*(INDEX(properties!A$1:CB$87,'Fórmula'!H96,21))+(('Fórmula'!K96)/('Fórmula'!C96+'Fórmula'!E96+'Fórmula'!G96+'Fórmula'!I96+'Fórmula'!K96))*(INDEX(properties!A$1:CB$87,'Fórmula'!J96,21))</f>
        <v>4.6</v>
      </c>
      <c r="BW96" s="113">
        <f t="array" ref="BW96">'Fórmula'!C96*(INDEX(properties!A$1:CB$87,'Fórmula'!B96,21))+'Fórmula'!E96*(INDEX(properties!A$1:CB$87,'Fórmula'!D96,21))+'Fórmula'!G96*(INDEX(properties!A$1:CB$87,'Fórmula'!F96,21))+'Fórmula'!I96*(INDEX(properties!A$1:CB$87,'Fórmula'!H96,21))+'Fórmula'!K96*(INDEX(properties!A$1:CB$87,'Fórmula'!J96,21))</f>
        <v>92</v>
      </c>
      <c r="BX96" s="113">
        <f t="array" ref="BX96">VARP(IF(INDEX(properties!A$1:CB$87,'Fórmula'!B96,21)&lt;&gt;"",INDEX(properties!A$1:CB$87,'Fórmula'!B96,21)),IF(INDEX(properties!A$1:CB$87,'Fórmula'!D96,21)&lt;&gt;"",INDEX(properties!A$1:CB$87,'Fórmula'!D96,21)),IF(INDEX(properties!A$1:CB$87,'Fórmula'!F96,21)&lt;&gt;"",INDEX(properties!A$1:CB$87,'Fórmula'!F96,21)),IF(INDEX(properties!A$1:CB$87,'Fórmula'!H96,21)&lt;&gt;"",INDEX(properties!A$1:CB$87,'Fórmula'!H96,21)),IF(INDEX(properties!A$1:CB$87,'Fórmula'!J96,21)&lt;&gt;"",INDEX(properties!A$1:CB$87,'Fórmula'!J96,21)))</f>
        <v>4.64</v>
      </c>
      <c r="BY96" s="113">
        <f t="array" ref="BY96">MAX(INDEX(properties!A$1:CB$87,'Fórmula'!B96,21),INDEX(properties!A$1:CB$87,'Fórmula'!D96,21),INDEX(properties!A$1:CB$87,'Fórmula'!F96,21),INDEX(properties!A$1:CB$87,'Fórmula'!H96,21),INDEX(properties!A$1:CB$87,'Fórmula'!J96,21))</f>
        <v>6</v>
      </c>
      <c r="BZ96" s="113">
        <f t="array" ref="BZ96">MIN(IF(INDEX(properties!A$1:CB$87,'Fórmula'!B96,21)=0,10^6,INDEX(properties!A$1:CB$87,'Fórmula'!B96,21)),IF(INDEX(properties!A$1:CB$87,'Fórmula'!D96,21)=0,10^6,INDEX(properties!A$1:CB$87,'Fórmula'!D96,21)),IF(INDEX(properties!A$1:CB$87,'Fórmula'!F96,21)=0,10^6,INDEX(properties!A$1:CB$87,'Fórmula'!F96,21)),IF(INDEX(properties!A$1:CB$87,'Fórmula'!H96,21)=0,10^6,INDEX(properties!A$1:CB$87,'Fórmula'!H96,21)),IF(INDEX(properties!A$1:CB$87,'Fórmula'!J96,21)=0,10^6,INDEX(properties!A$1:CB$87,'Fórmula'!J96,21)))</f>
        <v>1</v>
      </c>
      <c r="CA96" s="113">
        <f t="shared" si="13"/>
        <v>5</v>
      </c>
      <c r="CB96" s="114">
        <f t="array" ref="CB96">(('Fórmula'!C96)/('Fórmula'!C96+'Fórmula'!E96+'Fórmula'!G96+'Fórmula'!I96+'Fórmula'!K96))*(INDEX(properties!A$1:CB$87,'Fórmula'!B96,23))+(('Fórmula'!E96)/('Fórmula'!C96+'Fórmula'!E96+'Fórmula'!G96+'Fórmula'!I96+'Fórmula'!K96))*(INDEX(properties!A$1:CB$87,'Fórmula'!D96,23))+(('Fórmula'!G96)/('Fórmula'!C96+'Fórmula'!E96+'Fórmula'!G96+'Fórmula'!I96+'Fórmula'!K96))*(INDEX(properties!A$1:CB$87,'Fórmula'!F96,23))+(('Fórmula'!I96)/('Fórmula'!C96+'Fórmula'!E96+'Fórmula'!G96+'Fórmula'!I96+'Fórmula'!K96))*(INDEX(properties!A$1:CB$87,'Fórmula'!H96,23))+(('Fórmula'!K96)/('Fórmula'!C96+'Fórmula'!E96+'Fórmula'!G96+'Fórmula'!I96+'Fórmula'!K96))*(INDEX(properties!A$1:CB$87,'Fórmula'!J96,23))</f>
        <v>1.2</v>
      </c>
      <c r="CC96" s="114">
        <f t="array" ref="CC96">'Fórmula'!C96*(INDEX(properties!A$1:CB$87,'Fórmula'!B96,23))+'Fórmula'!E96*(INDEX(properties!A$1:CB$87,'Fórmula'!D96,23))+'Fórmula'!G96*(INDEX(properties!A$1:CB$87,'Fórmula'!F96,23))+'Fórmula'!I96*(INDEX(properties!A$1:CB$87,'Fórmula'!H96,23))+'Fórmula'!K96*(INDEX(properties!A$1:CB$87,'Fórmula'!J96,23))</f>
        <v>24</v>
      </c>
      <c r="CD96" s="114">
        <f t="array" ref="CD96">VARP(IF(INDEX(properties!A$1:CB$87,'Fórmula'!B96,23)&lt;&gt;"",INDEX(properties!A$1:CB$87,'Fórmula'!B96,23)),IF(INDEX(properties!A$1:CB$87,'Fórmula'!D96,23)&lt;&gt;"",INDEX(properties!A$1:CB$87,'Fórmula'!D96,23)),IF(INDEX(properties!A$1:CB$87,'Fórmula'!F96,23)&lt;&gt;"",INDEX(properties!A$1:CB$87,'Fórmula'!F96,23)),IF(INDEX(properties!A$1:CB$87,'Fórmula'!H96,23)&lt;&gt;"",INDEX(properties!A$1:CB$87,'Fórmula'!H96,23)),IF(INDEX(properties!A$1:CB$87,'Fórmula'!J96,23)&lt;&gt;"",INDEX(properties!A$1:CB$87,'Fórmula'!J96,23)))</f>
        <v>2.56</v>
      </c>
      <c r="CE96" s="114">
        <f t="array" ref="CE96">MAX(INDEX(properties!A$1:CB$87,'Fórmula'!B96,23),INDEX(properties!A$1:CB$87,'Fórmula'!D96,23),INDEX(properties!A$1:CB$87,'Fórmula'!F96,23),INDEX(properties!A$1:CB$87,'Fórmula'!H96,23),INDEX(properties!A$1:CB$87,'Fórmula'!J96,23))</f>
        <v>4</v>
      </c>
      <c r="CF96" s="114">
        <f t="array" ref="CF96">MIN(IF('Fórmula'!B96=87,10^6,INDEX(properties!A$1:CB$87,'Fórmula'!B96,23)),IF(('Fórmula'!D96)=87,10^6,INDEX(properties!A$1:CB$87,'Fórmula'!D96,23)),IF(('Fórmula'!F96)=87,10^6,INDEX(properties!A$1:CB$87,'Fórmula'!F96,23)),IF(('Fórmula'!H96)=87,10^6,INDEX(properties!A$1:CB$87,'Fórmula'!H96,23)),IF('Fórmula'!J96=87,10^6,INDEX(properties!A$1:CB$87,'Fórmula'!J96,23)))</f>
        <v>0</v>
      </c>
      <c r="CG96" s="114">
        <f t="shared" si="14"/>
        <v>4</v>
      </c>
      <c r="CH96" s="115">
        <f t="array" ref="CH96">(('Fórmula'!C96)/('Fórmula'!C96+'Fórmula'!E96+'Fórmula'!G96+'Fórmula'!I96+'Fórmula'!K96))*(INDEX(properties!A$1:CB$87,'Fórmula'!B96,26))+(('Fórmula'!E96)/('Fórmula'!C96+'Fórmula'!E96+'Fórmula'!G96+'Fórmula'!I96+'Fórmula'!K96))*(INDEX(properties!A$1:CB$87,'Fórmula'!D96,26))+(('Fórmula'!G96)/('Fórmula'!C96+'Fórmula'!E96+'Fórmula'!G96+'Fórmula'!I96+'Fórmula'!K96))*(INDEX(properties!A$1:CB$87,'Fórmula'!F96,26))+(('Fórmula'!I96)/('Fórmula'!C96+'Fórmula'!E96+'Fórmula'!G96+'Fórmula'!I96+'Fórmula'!K96))*(INDEX(properties!A$1:CB$87,'Fórmula'!H96,26))+(('Fórmula'!K96)/('Fórmula'!C96+'Fórmula'!E96+'Fórmula'!G96+'Fórmula'!I96+'Fórmula'!K96))*(INDEX(properties!A$1:CB$87,'Fórmula'!J96,26))</f>
        <v>10.9289</v>
      </c>
      <c r="CI96" s="115">
        <f t="array" ref="CI96">'Fórmula'!C96*(INDEX(properties!A$1:CB$87,'Fórmula'!B96,26))+'Fórmula'!E96*(INDEX(properties!A$1:CB$87,'Fórmula'!D96,26))+'Fórmula'!G96*(INDEX(properties!A$1:CB$87,'Fórmula'!F96,26))+'Fórmula'!I96*(INDEX(properties!A$1:CB$87,'Fórmula'!H96,26))+'Fórmula'!K96*(INDEX(properties!A$1:CB$87,'Fórmula'!J96,26))</f>
        <v>218.578</v>
      </c>
      <c r="CJ96" s="115">
        <f t="array" ref="CJ96">VARP(IF(INDEX(properties!A$1:CB$87,'Fórmula'!B96,26)&lt;&gt;"",INDEX(properties!A$1:CB$87,'Fórmula'!B96,26)),IF(INDEX(properties!A$1:CB$87,'Fórmula'!D96,26)&lt;&gt;"",INDEX(properties!A$1:CB$87,'Fórmula'!D96,26)),IF(INDEX(properties!A$1:CB$87,'Fórmula'!F96,26)&lt;&gt;"",INDEX(properties!A$1:CB$87,'Fórmula'!F96,26)),IF(INDEX(properties!A$1:CB$87,'Fórmula'!H96,26)&lt;&gt;"",INDEX(properties!A$1:CB$87,'Fórmula'!H96,26)),IF(INDEX(properties!A$1:CB$87,'Fórmula'!J96,26)&lt;&gt;"",INDEX(properties!A$1:CB$87,'Fórmula'!J96,26)))</f>
        <v>18.89127126</v>
      </c>
      <c r="CK96" s="116">
        <f t="array" ref="CK96">MAX(INDEX(properties!A$1:CB$87,'Fórmula'!B96,26),INDEX(properties!A$1:CB$87,'Fórmula'!D96,26),INDEX(properties!A$1:CB$87,'Fórmula'!F96,26),INDEX(properties!A$1:CB$87,'Fórmula'!H96,26),INDEX(properties!A$1:CB$87,'Fórmula'!J96,26))</f>
        <v>13.6181</v>
      </c>
      <c r="CL96" s="116">
        <f t="array" ref="CL96">MIN(IF(INDEX(properties!A$1:CB$87,'Fórmula'!B96,26)=0,10^6,INDEX(properties!A$1:CB$87,'Fórmula'!B96,26)),IF(INDEX(properties!A$1:CB$87,'Fórmula'!D96,26)=0,10^6,INDEX(properties!A$1:CB$87,'Fórmula'!D96,26)),IF(INDEX(properties!A$1:CB$87,'Fórmula'!F96,26)=0,10^6,INDEX(properties!A$1:CB$87,'Fórmula'!F96,26)),IF(INDEX(properties!A$1:CB$87,'Fórmula'!H96,26)=0,10^6,INDEX(properties!A$1:CB$87,'Fórmula'!H96,26)),IF(INDEX(properties!A$1:CB$87,'Fórmula'!J96,26)=0,10^6,INDEX(properties!A$1:CB$87,'Fórmula'!J96,26)))</f>
        <v>6.1132</v>
      </c>
      <c r="CM96" s="115">
        <f t="shared" si="15"/>
        <v>7.5049</v>
      </c>
      <c r="CN96" s="117">
        <f t="array" ref="CN96">(('Fórmula'!C96)/('Fórmula'!C96+'Fórmula'!E96+'Fórmula'!G96+'Fórmula'!I96+'Fórmula'!K96))*(INDEX(properties!A$1:CB$87,'Fórmula'!B96,30))+(('Fórmula'!E96)/('Fórmula'!C96+'Fórmula'!E96+'Fórmula'!G96+'Fórmula'!I96+'Fórmula'!K96))*(INDEX(properties!A$1:CB$87,'Fórmula'!D96,30))+(('Fórmula'!G96)/('Fórmula'!C96+'Fórmula'!E96+'Fórmula'!G96+'Fórmula'!I96+'Fórmula'!K96))*(INDEX(properties!A$1:CB$87,'Fórmula'!F96,30))+(('Fórmula'!I96)/('Fórmula'!C96+'Fórmula'!E96+'Fórmula'!G96+'Fórmula'!I96+'Fórmula'!K96))*(INDEX(properties!A$1:CB$87,'Fórmula'!H96,30))+(('Fórmula'!K96)/('Fórmula'!C96+'Fórmula'!E96+'Fórmula'!G96+'Fórmula'!I96+'Fórmula'!K96))*(INDEX(properties!A$1:CB$87,'Fórmula'!J96,30))</f>
        <v>2.6515</v>
      </c>
      <c r="CO96" s="117">
        <f t="array" ref="CO96">'Fórmula'!C96*(INDEX(properties!A$1:CB$87,'Fórmula'!B96,30))+'Fórmula'!E96*(INDEX(properties!A$1:CB$87,'Fórmula'!D96,30))+'Fórmula'!G96*(INDEX(properties!A$1:CB$87,'Fórmula'!F96,30))+'Fórmula'!I96*(INDEX(properties!A$1:CB$87,'Fórmula'!H96,30))+'Fórmula'!K96*(INDEX(properties!A$1:CB$87,'Fórmula'!J96,30))</f>
        <v>53.03</v>
      </c>
      <c r="CP96" s="117">
        <f t="array" ref="CP96">VARP(IF(INDEX(properties!A$1:CB$87,'Fórmula'!B96,30)&lt;&gt;"",INDEX(properties!A$1:CB$87,'Fórmula'!B96,30)),IF(INDEX(properties!A$1:CB$87,'Fórmula'!D96,30)&lt;&gt;"",INDEX(properties!A$1:CB$87,'Fórmula'!D96,30)),IF(INDEX(properties!A$1:CB$87,'Fórmula'!F96,30)&lt;&gt;"",INDEX(properties!A$1:CB$87,'Fórmula'!F96,30)),IF(INDEX(properties!A$1:CB$87,'Fórmula'!H96,30)&lt;&gt;"",INDEX(properties!A$1:CB$87,'Fórmula'!H96,30)),IF(INDEX(properties!A$1:CB$87,'Fórmula'!J96,30)&lt;&gt;"",INDEX(properties!A$1:CB$87,'Fórmula'!J96,30)))</f>
        <v>1.304816</v>
      </c>
      <c r="CQ96" s="117">
        <f t="array" ref="CQ96">MAX(INDEX(properties!A$1:CB$87,'Fórmula'!B96,30),INDEX(properties!A$1:CB$87,'Fórmula'!D96,30),INDEX(properties!A$1:CB$87,'Fórmula'!F96,30),INDEX(properties!A$1:CB$87,'Fórmula'!H96,30),INDEX(properties!A$1:CB$87,'Fórmula'!J96,30))</f>
        <v>3.44</v>
      </c>
      <c r="CR96" s="117">
        <f t="array" ref="CR96">MIN(IF(INDEX(properties!A$1:CB$87,'Fórmula'!B96,30)=0,10^6,INDEX(properties!A$1:CB$87,'Fórmula'!B96,30)),IF(INDEX(properties!A$1:CB$87,'Fórmula'!D96,30)=0,10^6,INDEX(properties!A$1:CB$87,'Fórmula'!D96,30)),IF(INDEX(properties!A$1:CB$87,'Fórmula'!F96,30)=0,10^6,INDEX(properties!A$1:CB$87,'Fórmula'!F96,30)),IF(INDEX(properties!A$1:CB$87,'Fórmula'!H96,30)=0,10^6,INDEX(properties!A$1:CB$87,'Fórmula'!H96,30)),IF(INDEX(properties!A$1:CB$87,'Fórmula'!J96,30)=0,10^6,INDEX(properties!A$1:CB$87,'Fórmula'!J96,30)))</f>
        <v>1</v>
      </c>
      <c r="CS96" s="117">
        <f t="shared" si="16"/>
        <v>2.44</v>
      </c>
      <c r="CT96" s="118">
        <f t="array" ref="CT96">(('Fórmula'!C96)/('Fórmula'!C96+'Fórmula'!E96+'Fórmula'!G96+'Fórmula'!I96+'Fórmula'!K96))*(INDEX(properties!A$1:CB$87,'Fórmula'!B96,31))+(('Fórmula'!E96)/('Fórmula'!C96+'Fórmula'!E96+'Fórmula'!G96+'Fórmula'!I96+'Fórmula'!K96))*(INDEX(properties!A$1:CB$87,'Fórmula'!D96,31))+(('Fórmula'!G96)/('Fórmula'!C96+'Fórmula'!E96+'Fórmula'!G96+'Fórmula'!I96+'Fórmula'!K96))*(INDEX(properties!A$1:CB$87,'Fórmula'!F96,31))+(('Fórmula'!I96)/('Fórmula'!C96+'Fórmula'!E96+'Fórmula'!G96+'Fórmula'!I96+'Fórmula'!K96))*(INDEX(properties!A$1:CB$87,'Fórmula'!H96,31))+(('Fórmula'!K96)/('Fórmula'!C96+'Fórmula'!E96+'Fórmula'!G96+'Fórmula'!I96+'Fórmula'!K96))*(INDEX(properties!A$1:CB$87,'Fórmula'!J96,31))</f>
        <v>2.616</v>
      </c>
      <c r="CU96" s="118">
        <f t="array" ref="CU96">'Fórmula'!C96*(INDEX(properties!A$1:CB$87,'Fórmula'!B96,31))+'Fórmula'!E96*(INDEX(properties!A$1:CB$87,'Fórmula'!D96,31))+'Fórmula'!G96*(INDEX(properties!A$1:CB$87,'Fórmula'!F96,31))+'Fórmula'!I96*(INDEX(properties!A$1:CB$87,'Fórmula'!H96,31))+'Fórmula'!K96*(INDEX(properties!A$1:CB$87,'Fórmula'!J96,31))</f>
        <v>52.32</v>
      </c>
      <c r="CV96" s="118">
        <f t="array" ref="CV96">VARP(IF(INDEX(properties!A$1:CB$87,'Fórmula'!B96,31)&lt;&gt;"",INDEX(properties!A$1:CB$87,'Fórmula'!B96,31)),IF(INDEX(properties!A$1:CB$87,'Fórmula'!D96,31)&lt;&gt;"",INDEX(properties!A$1:CB$87,'Fórmula'!D96,31)),IF(INDEX(properties!A$1:CB$87,'Fórmula'!F96,31)&lt;&gt;"",INDEX(properties!A$1:CB$87,'Fórmula'!F96,31)),IF(INDEX(properties!A$1:CB$87,'Fórmula'!H96,31)&lt;&gt;"",INDEX(properties!A$1:CB$87,'Fórmula'!H96,31)),IF(INDEX(properties!A$1:CB$87,'Fórmula'!J96,31)&lt;&gt;"",INDEX(properties!A$1:CB$87,'Fórmula'!J96,31)))</f>
        <v>1.173064</v>
      </c>
      <c r="CW96" s="118">
        <f t="array" ref="CW96">MAX(INDEX(properties!A$1:CB$87,'Fórmula'!B96,31),INDEX(properties!A$1:CB$87,'Fórmula'!D96,31),INDEX(properties!A$1:CB$87,'Fórmula'!F96,31),INDEX(properties!A$1:CB$87,'Fórmula'!H96,31),INDEX(properties!A$1:CB$87,'Fórmula'!J96,31))</f>
        <v>3.32</v>
      </c>
      <c r="CX96" s="118">
        <f t="array" ref="CX96">MIN(IF(INDEX(properties!A$1:CB$87,'Fórmula'!B96,31)=0,10^6,INDEX(properties!A$1:CB$87,'Fórmula'!B96,31)),IF(INDEX(properties!A$1:CB$87,'Fórmula'!D96,31)=0,10^6,INDEX(properties!A$1:CB$87,'Fórmula'!D96,31)),IF(INDEX(properties!A$1:CB$87,'Fórmula'!F96,31)=0,10^6,INDEX(properties!A$1:CB$87,'Fórmula'!F96,31)),IF(INDEX(properties!A$1:CB$87,'Fórmula'!H96,31)=0,10^6,INDEX(properties!A$1:CB$87,'Fórmula'!H96,31)),IF(INDEX(properties!A$1:CB$87,'Fórmula'!J96,31)=0,10^6,INDEX(properties!A$1:CB$87,'Fórmula'!J96,31)))</f>
        <v>1.17</v>
      </c>
      <c r="CY96" s="118">
        <f t="shared" si="17"/>
        <v>2.15</v>
      </c>
      <c r="CZ96" s="119">
        <f t="array" ref="CZ96">(('Fórmula'!C96)/('Fórmula'!C96+'Fórmula'!E96+'Fórmula'!G96+'Fórmula'!I96+'Fórmula'!K96))*(INDEX(properties!A$1:CB$87,'Fórmula'!B96,32))+(('Fórmula'!E96)/('Fórmula'!C96+'Fórmula'!E96+'Fórmula'!G96+'Fórmula'!I96+'Fórmula'!K96))*(INDEX(properties!A$1:CB$87,'Fórmula'!D96,32))+(('Fórmula'!G96)/('Fórmula'!C96+'Fórmula'!E96+'Fórmula'!G96+'Fórmula'!I96+'Fórmula'!K96))*(INDEX(properties!A$1:CB$87,'Fórmula'!F96,32))+(('Fórmula'!I96)/('Fórmula'!C96+'Fórmula'!E96+'Fórmula'!G96+'Fórmula'!I96+'Fórmula'!K96))*(INDEX(properties!A$1:CB$87,'Fórmula'!H96,32))+(('Fórmula'!K96)/('Fórmula'!C96+'Fórmula'!E96+'Fórmula'!G96+'Fórmula'!I96+'Fórmula'!K96))*(INDEX(properties!A$1:CB$87,'Fórmula'!J96,32))</f>
        <v>5.878</v>
      </c>
      <c r="DA96" s="119">
        <f t="array" ref="DA96">'Fórmula'!C96*(INDEX(properties!A$1:CB$87,'Fórmula'!B96,32))+'Fórmula'!E96*(INDEX(properties!A$1:CB$87,'Fórmula'!D96,32))+'Fórmula'!G96*(INDEX(properties!A$1:CB$87,'Fórmula'!F96,32))+'Fórmula'!I96*(INDEX(properties!A$1:CB$87,'Fórmula'!H96,32))+'Fórmula'!K96*(INDEX(properties!A$1:CB$87,'Fórmula'!J96,32))</f>
        <v>117.56</v>
      </c>
      <c r="DB96" s="119">
        <f t="array" ref="DB96">VARP(IF(INDEX(properties!A$1:CB$87,'Fórmula'!B96,32)&lt;&gt;"",INDEX(properties!A$1:CB$87,'Fórmula'!B96,32)),IF(INDEX(properties!A$1:CB$87,'Fórmula'!D96,32)&lt;&gt;"",INDEX(properties!A$1:CB$87,'Fórmula'!D96,32)),IF(INDEX(properties!A$1:CB$87,'Fórmula'!F96,32)&lt;&gt;"",INDEX(properties!A$1:CB$87,'Fórmula'!F96,32)),IF(INDEX(properties!A$1:CB$87,'Fórmula'!H96,32)&lt;&gt;"",INDEX(properties!A$1:CB$87,'Fórmula'!H96,32)),IF(INDEX(properties!A$1:CB$87,'Fórmula'!J96,32)&lt;&gt;"",INDEX(properties!A$1:CB$87,'Fórmula'!J96,32)))</f>
        <v>6.298144</v>
      </c>
      <c r="DC96" s="119">
        <f t="array" ref="DC96">MAX(INDEX(properties!A$1:CB$87,'Fórmula'!B96,32),INDEX(properties!A$1:CB$87,'Fórmula'!D96,32),INDEX(properties!A$1:CB$87,'Fórmula'!F96,32),INDEX(properties!A$1:CB$87,'Fórmula'!H96,32),INDEX(properties!A$1:CB$87,'Fórmula'!J96,32))</f>
        <v>7.54</v>
      </c>
      <c r="DD96" s="119">
        <f t="array" ref="DD96">MIN(IF(INDEX(properties!A$1:CB$87,'Fórmula'!B96,32)=0,10^6,INDEX(properties!A$1:CB$87,'Fórmula'!B96,32)),IF(INDEX(properties!A$1:CB$87,'Fórmula'!D96,32)=0,10^6,INDEX(properties!A$1:CB$87,'Fórmula'!D96,32)),IF(INDEX(properties!A$1:CB$87,'Fórmula'!F96,32)=0,10^6,INDEX(properties!A$1:CB$87,'Fórmula'!F96,32)),IF(INDEX(properties!A$1:CB$87,'Fórmula'!H96,32)=0,10^6,INDEX(properties!A$1:CB$87,'Fórmula'!H96,32)),IF(INDEX(properties!A$1:CB$87,'Fórmula'!J96,32)=0,10^6,INDEX(properties!A$1:CB$87,'Fórmula'!J96,32)))</f>
        <v>2.2</v>
      </c>
      <c r="DE96" s="119">
        <f t="shared" si="18"/>
        <v>5.34</v>
      </c>
      <c r="DF96" s="104">
        <f t="array" ref="DF96">(('Fórmula'!C96)/('Fórmula'!C96+'Fórmula'!E96+'Fórmula'!G96+'Fórmula'!I96+'Fórmula'!K96))*(INDEX(properties!A$1:CB$87,'Fórmula'!B96,34))+(('Fórmula'!E96)/('Fórmula'!C96+'Fórmula'!E96+'Fórmula'!G96+'Fórmula'!I96+'Fórmula'!K96))*(INDEX(properties!A$1:CB$87,'Fórmula'!D96,34))+(('Fórmula'!G96)/('Fórmula'!C96+'Fórmula'!E96+'Fórmula'!G96+'Fórmula'!I96+'Fórmula'!K96))*(INDEX(properties!A$1:CB$87,'Fórmula'!F96,34))+(('Fórmula'!I96)/('Fórmula'!C96+'Fórmula'!E96+'Fórmula'!G96+'Fórmula'!I96+'Fórmula'!K96))*(INDEX(properties!A$1:CB$87,'Fórmula'!H96,34))+(('Fórmula'!K96)/('Fórmula'!C96+'Fórmula'!E96+'Fórmula'!G96+'Fórmula'!I96+'Fórmula'!K96))*(INDEX(properties!A$1:CB$87,'Fórmula'!J96,34))</f>
        <v>2.7392</v>
      </c>
      <c r="DG96" s="104">
        <f t="array" ref="DG96">'Fórmula'!C96*(INDEX(properties!A$1:CB$87,'Fórmula'!B96,34))+'Fórmula'!E96*(INDEX(properties!A$1:CB$87,'Fórmula'!D96,34))+'Fórmula'!G96*(INDEX(properties!A$1:CB$87,'Fórmula'!F96,34))+'Fórmula'!I96*(INDEX(properties!A$1:CB$87,'Fórmula'!H96,34))+'Fórmula'!K96*(INDEX(properties!A$1:CB$87,'Fórmula'!J96,34))</f>
        <v>54.784</v>
      </c>
      <c r="DH96" s="104">
        <f t="array" ref="DH96">VARP(IF(INDEX(properties!A$1:CB$87,'Fórmula'!B96,34)&lt;&gt;"",INDEX(properties!A$1:CB$87,'Fórmula'!B96,34)),IF(INDEX(properties!A$1:CB$87,'Fórmula'!D96,34)&lt;&gt;"",INDEX(properties!A$1:CB$87,'Fórmula'!D96,34)),IF(INDEX(properties!A$1:CB$87,'Fórmula'!F96,34)&lt;&gt;"",INDEX(properties!A$1:CB$87,'Fórmula'!F96,34)),IF(INDEX(properties!A$1:CB$87,'Fórmula'!H96,34)&lt;&gt;"",INDEX(properties!A$1:CB$87,'Fórmula'!H96,34)),IF(INDEX(properties!A$1:CB$87,'Fórmula'!J96,34)&lt;&gt;"",INDEX(properties!A$1:CB$87,'Fórmula'!J96,34)))</f>
        <v>1.44757504</v>
      </c>
      <c r="DI96" s="104">
        <f t="array" ref="DI96">MAX(INDEX(properties!A$1:CB$87,'Fórmula'!B96,34),INDEX(properties!A$1:CB$87,'Fórmula'!D96,34),INDEX(properties!A$1:CB$87,'Fórmula'!F96,34),INDEX(properties!A$1:CB$87,'Fórmula'!H96,34),INDEX(properties!A$1:CB$87,'Fórmula'!J96,34))</f>
        <v>3.61</v>
      </c>
      <c r="DJ96" s="104">
        <f t="array" ref="DJ96">MIN(IF(INDEX(properties!A$1:CB$87,'Fórmula'!B96,34)=0,10^6,INDEX(properties!A$1:CB$87,'Fórmula'!B96,34)),IF(INDEX(properties!A$1:CB$87,'Fórmula'!D96,34)=0,10^6,INDEX(properties!A$1:CB$87,'Fórmula'!D96,34)),IF(INDEX(properties!A$1:CB$87,'Fórmula'!F96,34)=0,10^6,INDEX(properties!A$1:CB$87,'Fórmula'!F96,34)),IF(INDEX(properties!A$1:CB$87,'Fórmula'!H96,34)=0,10^6,INDEX(properties!A$1:CB$87,'Fórmula'!H96,34)),IF(INDEX(properties!A$1:CB$87,'Fórmula'!J96,34)=0,10^6,INDEX(properties!A$1:CB$87,'Fórmula'!J96,34)))</f>
        <v>1.034</v>
      </c>
      <c r="DK96" s="104">
        <f t="shared" si="19"/>
        <v>2.576</v>
      </c>
      <c r="DL96" s="105">
        <f t="array" ref="DL96">(('Fórmula'!C96)/('Fórmula'!C96+'Fórmula'!E96+'Fórmula'!G96+'Fórmula'!I96+'Fórmula'!K96))*(INDEX(properties!A$1:CB$87,'Fórmula'!B96,37))+(('Fórmula'!E96)/('Fórmula'!C96+'Fórmula'!E96+'Fórmula'!G96+'Fórmula'!I96+'Fórmula'!K96))*(INDEX(properties!A$1:CB$87,'Fórmula'!D96,37))+(('Fórmula'!G96)/('Fórmula'!C96+'Fórmula'!E96+'Fórmula'!G96+'Fórmula'!I96+'Fórmula'!K96))*(INDEX(properties!A$1:CB$87,'Fórmula'!F96,37))+(('Fórmula'!I96)/('Fórmula'!C96+'Fórmula'!E96+'Fórmula'!G96+'Fórmula'!I96+'Fórmula'!K96))*(INDEX(properties!A$1:CB$87,'Fórmula'!H96,37))+(('Fórmula'!K96)/('Fórmula'!C96+'Fórmula'!E96+'Fórmula'!G96+'Fórmula'!I96+'Fórmula'!K96))*(INDEX(properties!A$1:CB$87,'Fórmula'!J96,37))</f>
        <v>2.605</v>
      </c>
      <c r="DM96" s="105">
        <f t="array" ref="DM96">'Fórmula'!C96*(INDEX(properties!A$1:CB$87,'Fórmula'!B96,37))+'Fórmula'!E96*(INDEX(properties!A$1:CB$87,'Fórmula'!D96,37))+'Fórmula'!G96*(INDEX(properties!A$1:CB$87,'Fórmula'!F96,37))+'Fórmula'!I96*(INDEX(properties!A$1:CB$87,'Fórmula'!H96,37))+'Fórmula'!K96*(INDEX(properties!A$1:CB$87,'Fórmula'!J96,37))</f>
        <v>52.1</v>
      </c>
      <c r="DN96" s="105">
        <f t="array" ref="DN96">VARP(IF(INDEX(properties!A$1:CB$87,'Fórmula'!B96,37)&lt;&gt;"",INDEX(properties!A$1:CB$87,'Fórmula'!B96,37)),IF(INDEX(properties!A$1:CB$87,'Fórmula'!D96,37)&lt;&gt;"",INDEX(properties!A$1:CB$87,'Fórmula'!D96,37)),IF(INDEX(properties!A$1:CB$87,'Fórmula'!F96,37)&lt;&gt;"",INDEX(properties!A$1:CB$87,'Fórmula'!F96,37)),IF(INDEX(properties!A$1:CB$87,'Fórmula'!H96,37)&lt;&gt;"",INDEX(properties!A$1:CB$87,'Fórmula'!H96,37)),IF(INDEX(properties!A$1:CB$87,'Fórmula'!J96,37)&lt;&gt;"",INDEX(properties!A$1:CB$87,'Fórmula'!J96,37)))</f>
        <v>1.2764</v>
      </c>
      <c r="DO96" s="105">
        <f t="array" ref="DO96">MAX(INDEX(properties!A$1:CB$87,'Fórmula'!B96,37),INDEX(properties!A$1:CB$87,'Fórmula'!D96,37),INDEX(properties!A$1:CB$87,'Fórmula'!F96,37),INDEX(properties!A$1:CB$87,'Fórmula'!H96,37),INDEX(properties!A$1:CB$87,'Fórmula'!J96,37))</f>
        <v>3.45</v>
      </c>
      <c r="DP96" s="105">
        <f t="array" ref="DP96">MIN(IF(INDEX(properties!A$1:CB$87,'Fórmula'!B96,37)=0,10^6,INDEX(properties!A$1:CB$87,'Fórmula'!B96,37)),IF(INDEX(properties!A$1:CB$87,'Fórmula'!D96,37)=0,10^6,INDEX(properties!A$1:CB$87,'Fórmula'!D96,37)),IF(INDEX(properties!A$1:CB$87,'Fórmula'!F96,37)=0,10^6,INDEX(properties!A$1:CB$87,'Fórmula'!F96,37)),IF(INDEX(properties!A$1:CB$87,'Fórmula'!H96,37)=0,10^6,INDEX(properties!A$1:CB$87,'Fórmula'!H96,37)),IF(INDEX(properties!A$1:CB$87,'Fórmula'!J96,37)=0,10^6,INDEX(properties!A$1:CB$87,'Fórmula'!J96,37)))</f>
        <v>1</v>
      </c>
      <c r="DQ96" s="105">
        <f t="shared" si="20"/>
        <v>2.45</v>
      </c>
      <c r="DR96" s="109">
        <f t="array" ref="DR96">(('Fórmula'!C96)/('Fórmula'!C96+'Fórmula'!E96+'Fórmula'!G96+'Fórmula'!I96+'Fórmula'!K96))*(INDEX(properties!A$1:CB$87,'Fórmula'!B96,39))+(('Fórmula'!E96)/('Fórmula'!C96+'Fórmula'!E96+'Fórmula'!G96+'Fórmula'!I96+'Fórmula'!K96))*(INDEX(properties!A$1:CB$87,'Fórmula'!D96,39))+(('Fórmula'!G96)/('Fórmula'!C96+'Fórmula'!E96+'Fórmula'!G96+'Fórmula'!I96+'Fórmula'!K96))*(INDEX(properties!A$1:CB$87,'Fórmula'!F96,39))+(('Fórmula'!I96)/('Fórmula'!C96+'Fórmula'!E96+'Fórmula'!G96+'Fórmula'!I96+'Fórmula'!K96))*(INDEX(properties!A$1:CB$87,'Fórmula'!H96,39))+(('Fórmula'!K96)/('Fórmula'!C96+'Fórmula'!E96+'Fórmula'!G96+'Fórmula'!I96+'Fórmula'!K96))*(INDEX(properties!A$1:CB$87,'Fórmula'!J96,39))</f>
        <v>0.9505</v>
      </c>
      <c r="DS96" s="109">
        <f t="array" ref="DS96">'Fórmula'!C96*(INDEX(properties!A$1:CB$87,'Fórmula'!B96,39))+'Fórmula'!E96*(INDEX(properties!A$1:CB$87,'Fórmula'!D96,39))+'Fórmula'!G96*(INDEX(properties!A$1:CB$87,'Fórmula'!F96,39))+'Fórmula'!I96*(INDEX(properties!A$1:CB$87,'Fórmula'!H96,39))+'Fórmula'!K96*(INDEX(properties!A$1:CB$87,'Fórmula'!J96,39))</f>
        <v>19.01</v>
      </c>
      <c r="DT96" s="109">
        <f t="array" ref="DT96">VARP(IF(INDEX(properties!A$1:CB$87,'Fórmula'!B96,39)&lt;&gt;"",INDEX(properties!A$1:CB$87,'Fórmula'!B96,39)),IF(INDEX(properties!A$1:CB$87,'Fórmula'!D96,39)&lt;&gt;"",INDEX(properties!A$1:CB$87,'Fórmula'!D96,39)),IF(INDEX(properties!A$1:CB$87,'Fórmula'!F96,39)&lt;&gt;"",INDEX(properties!A$1:CB$87,'Fórmula'!F96,39)),IF(INDEX(properties!A$1:CB$87,'Fórmula'!H96,39)&lt;&gt;"",INDEX(properties!A$1:CB$87,'Fórmula'!H96,39)),IF(INDEX(properties!A$1:CB$87,'Fórmula'!J96,39)&lt;&gt;"",INDEX(properties!A$1:CB$87,'Fórmula'!J96,39)))</f>
        <v>0.574016</v>
      </c>
      <c r="DU96" s="120">
        <f t="array" ref="DU96">MAX(INDEX(properties!A$1:CB$87,'Fórmula'!B96,39),INDEX(properties!A$1:CB$87,'Fórmula'!D96,39),INDEX(properties!A$1:CB$87,'Fórmula'!F96,39),INDEX(properties!A$1:CB$87,'Fórmula'!H96,39),INDEX(properties!A$1:CB$87,'Fórmula'!J96,39))</f>
        <v>1.94</v>
      </c>
      <c r="DV96" s="120">
        <f t="array" ref="DV96">MIN(IF(INDEX(properties!A$1:CB$87,'Fórmula'!B96,39)=0,10^6,INDEX(properties!A$1:CB$87,'Fórmula'!B96,39)),IF(INDEX(properties!A$1:CB$87,'Fórmula'!D96,39)=0,10^6,INDEX(properties!A$1:CB$87,'Fórmula'!D96,39)),IF(INDEX(properties!A$1:CB$87,'Fórmula'!F96,39)=0,10^6,INDEX(properties!A$1:CB$87,'Fórmula'!F96,39)),IF(INDEX(properties!A$1:CB$87,'Fórmula'!H96,39)=0,10^6,INDEX(properties!A$1:CB$87,'Fórmula'!H96,39)),IF(INDEX(properties!A$1:CB$87,'Fórmula'!J96,39)=0,10^6,INDEX(properties!A$1:CB$87,'Fórmula'!J96,39)))</f>
        <v>0.48</v>
      </c>
      <c r="DW96" s="109">
        <f t="shared" si="21"/>
        <v>1.46</v>
      </c>
      <c r="DX96" s="110">
        <f t="array" ref="DX96">(('Fórmula'!C96)/('Fórmula'!C96+'Fórmula'!E96+'Fórmula'!G96+'Fórmula'!I96+'Fórmula'!K96))*(INDEX(properties!A$1:CB$87,'Fórmula'!B96,40))+(('Fórmula'!E96)/('Fórmula'!C96+'Fórmula'!E96+'Fórmula'!G96+'Fórmula'!I96+'Fórmula'!K96))*(INDEX(properties!A$1:CB$87,'Fórmula'!D96,40))+(('Fórmula'!G96)/('Fórmula'!C96+'Fórmula'!E96+'Fórmula'!G96+'Fórmula'!I96+'Fórmula'!K96))*(INDEX(properties!A$1:CB$87,'Fórmula'!F96,40))+(('Fórmula'!I96)/('Fórmula'!C96+'Fórmula'!E96+'Fórmula'!G96+'Fórmula'!I96+'Fórmula'!K96))*(INDEX(properties!A$1:CB$87,'Fórmula'!H96,40))+(('Fórmula'!K96)/('Fórmula'!C96+'Fórmula'!E96+'Fórmula'!G96+'Fórmula'!I96+'Fórmula'!K96))*(INDEX(properties!A$1:CB$87,'Fórmula'!J96,40))</f>
        <v>1.026</v>
      </c>
      <c r="DY96" s="110">
        <f t="array" ref="DY96">'Fórmula'!C96*(INDEX(properties!A$1:CB$87,'Fórmula'!B96,40))+'Fórmula'!E96*(INDEX(properties!A$1:CB$87,'Fórmula'!D96,40))+'Fórmula'!G96*(INDEX(properties!A$1:CB$87,'Fórmula'!F96,40))+'Fórmula'!I96*(INDEX(properties!A$1:CB$87,'Fórmula'!H96,40))+'Fórmula'!K96*(INDEX(properties!A$1:CB$87,'Fórmula'!J96,40))</f>
        <v>20.52</v>
      </c>
      <c r="DZ96" s="110">
        <f t="array" ref="DZ96">VARP(IF(INDEX(properties!A$1:CB$87,'Fórmula'!B96,40)&lt;&gt;"",INDEX(properties!A$1:CB$87,'Fórmula'!B96,40)),IF(INDEX(properties!A$1:CB$87,'Fórmula'!D96,40)&lt;&gt;"",INDEX(properties!A$1:CB$87,'Fórmula'!D96,40)),IF(INDEX(properties!A$1:CB$87,'Fórmula'!F96,40)&lt;&gt;"",INDEX(properties!A$1:CB$87,'Fórmula'!F96,40)),IF(INDEX(properties!A$1:CB$87,'Fórmula'!H96,40)&lt;&gt;"",INDEX(properties!A$1:CB$87,'Fórmula'!H96,40)),IF(INDEX(properties!A$1:CB$87,'Fórmula'!J96,40)&lt;&gt;"",INDEX(properties!A$1:CB$87,'Fórmula'!J96,40)))</f>
        <v>0.371824</v>
      </c>
      <c r="EA96" s="121">
        <f t="array" ref="EA96">MAX(INDEX(properties!A$1:CB$87,'Fórmula'!B96,40),INDEX(properties!A$1:CB$87,'Fórmula'!D96,40),INDEX(properties!A$1:CB$87,'Fórmula'!F96,40),INDEX(properties!A$1:CB$87,'Fórmula'!H96,40),INDEX(properties!A$1:CB$87,'Fórmula'!J96,40))</f>
        <v>1.74</v>
      </c>
      <c r="EB96" s="121">
        <f t="array" ref="EB96">MIN(IF(INDEX(properties!A$1:CB$87,'Fórmula'!B96,40)=0,10^6,INDEX(properties!A$1:CB$87,'Fórmula'!B96,40)),IF(INDEX(properties!A$1:CB$87,'Fórmula'!D96,40)=0,10^6,INDEX(properties!A$1:CB$87,'Fórmula'!D96,40)),IF(INDEX(properties!A$1:CB$87,'Fórmula'!F96,40)=0,10^6,INDEX(properties!A$1:CB$87,'Fórmula'!F96,40)),IF(INDEX(properties!A$1:CB$87,'Fórmula'!H96,40)=0,10^6,INDEX(properties!A$1:CB$87,'Fórmula'!H96,40)),IF(INDEX(properties!A$1:CB$87,'Fórmula'!J96,40)=0,10^6,INDEX(properties!A$1:CB$87,'Fórmula'!J96,40)))</f>
        <v>0.73</v>
      </c>
      <c r="EC96" s="110">
        <f t="shared" si="22"/>
        <v>1.01</v>
      </c>
      <c r="ED96" s="111">
        <f t="array" ref="ED96">(('Fórmula'!C96)/('Fórmula'!C96+'Fórmula'!E96+'Fórmula'!G96+'Fórmula'!I96+'Fórmula'!K96))*(INDEX(properties!A$1:CB$87,'Fórmula'!B96,41))+(('Fórmula'!E96)/('Fórmula'!C96+'Fórmula'!E96+'Fórmula'!G96+'Fórmula'!I96+'Fórmula'!K96))*(INDEX(properties!A$1:CB$87,'Fórmula'!D96,41))+(('Fórmula'!G96)/('Fórmula'!C96+'Fórmula'!E96+'Fórmula'!G96+'Fórmula'!I96+'Fórmula'!K96))*(INDEX(properties!A$1:CB$87,'Fórmula'!F96,41))+(('Fórmula'!I96)/('Fórmula'!C96+'Fórmula'!E96+'Fórmula'!G96+'Fórmula'!I96+'Fórmula'!K96))*(INDEX(properties!A$1:CB$87,'Fórmula'!H96,41))+(('Fórmula'!K96)/('Fórmula'!C96+'Fórmula'!E96+'Fórmula'!G96+'Fórmula'!I96+'Fórmula'!K96))*(INDEX(properties!A$1:CB$87,'Fórmula'!J96,41))</f>
        <v>1.1465</v>
      </c>
      <c r="EE96" s="111">
        <f t="array" ref="EE96">'Fórmula'!C96*(INDEX(properties!A$1:CB$87,'Fórmula'!B96,41))+'Fórmula'!E96*(INDEX(properties!A$1:CB$87,'Fórmula'!D96,41))+'Fórmula'!G96*(INDEX(properties!A$1:CB$87,'Fórmula'!F96,41))+'Fórmula'!I96*(INDEX(properties!A$1:CB$87,'Fórmula'!H96,41))+'Fórmula'!K96*(INDEX(properties!A$1:CB$87,'Fórmula'!J96,41))</f>
        <v>22.93</v>
      </c>
      <c r="EF96" s="111">
        <f t="array" ref="EF96">VARP(IF(INDEX(properties!A$1:CB$87,'Fórmula'!B96,41)&lt;&gt;"",INDEX(properties!A$1:CB$87,'Fórmula'!B96,41)),IF(INDEX(properties!A$1:CB$87,'Fórmula'!D96,41)&lt;&gt;"",INDEX(properties!A$1:CB$87,'Fórmula'!D96,41)),IF(INDEX(properties!A$1:CB$87,'Fórmula'!F96,41)&lt;&gt;"",INDEX(properties!A$1:CB$87,'Fórmula'!F96,41)),IF(INDEX(properties!A$1:CB$87,'Fórmula'!H96,41)&lt;&gt;"",INDEX(properties!A$1:CB$87,'Fórmula'!H96,41)),IF(INDEX(properties!A$1:CB$87,'Fórmula'!J96,41)&lt;&gt;"",INDEX(properties!A$1:CB$87,'Fórmula'!J96,41)))</f>
        <v>0.195016</v>
      </c>
      <c r="EG96" s="122">
        <f t="array" ref="EG96">MAX(INDEX(properties!A$1:CB$87,'Fórmula'!B96,41),INDEX(properties!A$1:CB$87,'Fórmula'!D96,41),INDEX(properties!A$1:CB$87,'Fórmula'!F96,41),INDEX(properties!A$1:CB$87,'Fórmula'!H96,41),INDEX(properties!A$1:CB$87,'Fórmula'!J96,41))</f>
        <v>1.26</v>
      </c>
      <c r="EH96" s="122">
        <f t="array" ref="EH96">MIN(IF(INDEX(properties!A$1:CB$87,'Fórmula'!B96,41)=0,10^6,INDEX(properties!A$1:CB$87,'Fórmula'!B96,41)),IF(INDEX(properties!A$1:CB$87,'Fórmula'!D96,41)=0,10^6,INDEX(properties!A$1:CB$87,'Fórmula'!D96,41)),IF(INDEX(properties!A$1:CB$87,'Fórmula'!F96,41)=0,10^6,INDEX(properties!A$1:CB$87,'Fórmula'!F96,41)),IF(INDEX(properties!A$1:CB$87,'Fórmula'!H96,41)=0,10^6,INDEX(properties!A$1:CB$87,'Fórmula'!H96,41)),IF(INDEX(properties!A$1:CB$87,'Fórmula'!J96,41)=0,10^6,INDEX(properties!A$1:CB$87,'Fórmula'!J96,41)))</f>
        <v>0.87</v>
      </c>
      <c r="EI96" s="111">
        <f t="shared" si="23"/>
        <v>0.39</v>
      </c>
      <c r="EJ96" s="112">
        <f t="array" ref="EJ96">(('Fórmula'!C96)/('Fórmula'!C96+'Fórmula'!E96+'Fórmula'!G96+'Fórmula'!I96+'Fórmula'!K96))*(INDEX(properties!A$1:CB$87,'Fórmula'!B96,45))+(('Fórmula'!E96)/('Fórmula'!C96+'Fórmula'!E96+'Fórmula'!G96+'Fórmula'!I96+'Fórmula'!K96))*(INDEX(properties!A$1:CB$87,'Fórmula'!D96,45))+(('Fórmula'!G96)/('Fórmula'!C96+'Fórmula'!E96+'Fórmula'!G96+'Fórmula'!I96+'Fórmula'!K96))*(INDEX(properties!A$1:CB$87,'Fórmula'!F96,45))+(('Fórmula'!I96)/('Fórmula'!C96+'Fórmula'!E96+'Fórmula'!G96+'Fórmula'!I96+'Fórmula'!K96))*(INDEX(properties!A$1:CB$87,'Fórmula'!H96,45))+(('Fórmula'!K96)/('Fórmula'!C96+'Fórmula'!E96+'Fórmula'!G96+'Fórmula'!I96+'Fórmula'!K96))*(INDEX(properties!A$1:CB$87,'Fórmula'!J96,45))</f>
        <v>1.241</v>
      </c>
      <c r="EK96" s="112">
        <f t="array" ref="EK96">'Fórmula'!C96*(INDEX(properties!A$1:CB$87,'Fórmula'!B96,45))+'Fórmula'!E96*(INDEX(properties!A$1:CB$87,'Fórmula'!D96,45))+'Fórmula'!G96*(INDEX(properties!A$1:CB$87,'Fórmula'!F96,45))+'Fórmula'!I96*(INDEX(properties!A$1:CB$87,'Fórmula'!H96,45))+'Fórmula'!K96*(INDEX(properties!A$1:CB$87,'Fórmula'!J96,45))</f>
        <v>24.82</v>
      </c>
      <c r="EL96" s="112">
        <f t="array" ref="EL96">VARP(IF(INDEX(properties!A$1:CB$87,'Fórmula'!B96,45)&lt;&gt;"",INDEX(properties!A$1:CB$87,'Fórmula'!B96,45)),IF(INDEX(properties!A$1:CB$87,'Fórmula'!D96,45)&lt;&gt;"",INDEX(properties!A$1:CB$87,'Fórmula'!D96,45)),IF(INDEX(properties!A$1:CB$87,'Fórmula'!F96,45)&lt;&gt;"",INDEX(properties!A$1:CB$87,'Fórmula'!F96,45)),IF(INDEX(properties!A$1:CB$87,'Fórmula'!H96,45)&lt;&gt;"",INDEX(properties!A$1:CB$87,'Fórmula'!H96,45)),IF(INDEX(properties!A$1:CB$87,'Fórmula'!J96,45)&lt;&gt;"",INDEX(properties!A$1:CB$87,'Fórmula'!J96,45)))</f>
        <v>1.422264</v>
      </c>
      <c r="EM96" s="123">
        <f t="array" ref="EM96">MAX(INDEX(properties!A$1:CB$87,'Fórmula'!B96,45),INDEX(properties!A$1:CB$87,'Fórmula'!D96,45),INDEX(properties!A$1:CB$87,'Fórmula'!F96,45),INDEX(properties!A$1:CB$87,'Fórmula'!H96,45),INDEX(properties!A$1:CB$87,'Fórmula'!J96,45))</f>
        <v>3</v>
      </c>
      <c r="EN96" s="123">
        <f t="array" ref="EN96">MIN(IF(INDEX(properties!A$1:CB$87,'Fórmula'!B96,45)=0,10^6,INDEX(properties!A$1:CB$87,'Fórmula'!B96,45)),IF(INDEX(properties!A$1:CB$87,'Fórmula'!D96,45)=0,10^6,INDEX(properties!A$1:CB$87,'Fórmula'!D96,45)),IF(INDEX(properties!A$1:CB$87,'Fórmula'!F96,45)=0,10^6,INDEX(properties!A$1:CB$87,'Fórmula'!F96,45)),IF(INDEX(properties!A$1:CB$87,'Fórmula'!H96,45)=0,10^6,INDEX(properties!A$1:CB$87,'Fórmula'!H96,45)),IF(INDEX(properties!A$1:CB$87,'Fórmula'!J96,45)=0,10^6,INDEX(properties!A$1:CB$87,'Fórmula'!J96,45)))</f>
        <v>0.47</v>
      </c>
      <c r="EO96" s="112">
        <f t="shared" si="24"/>
        <v>2.53</v>
      </c>
      <c r="EP96" s="113">
        <f t="array" ref="EP96">(('Fórmula'!C96)/('Fórmula'!C96+'Fórmula'!E96+'Fórmula'!G96+'Fórmula'!I96+'Fórmula'!K96))*(INDEX(properties!A$1:CB$87,'Fórmula'!B96,46))+(('Fórmula'!E96)/('Fórmula'!C96+'Fórmula'!E96+'Fórmula'!G96+'Fórmula'!I96+'Fórmula'!K96))*(INDEX(properties!A$1:CB$87,'Fórmula'!D96,46))+(('Fórmula'!G96)/('Fórmula'!C96+'Fórmula'!E96+'Fórmula'!G96+'Fórmula'!I96+'Fórmula'!K96))*(INDEX(properties!A$1:CB$87,'Fórmula'!F96,46))+(('Fórmula'!I96)/('Fórmula'!C96+'Fórmula'!E96+'Fórmula'!G96+'Fórmula'!I96+'Fórmula'!K96))*(INDEX(properties!A$1:CB$87,'Fórmula'!H96,46))+(('Fórmula'!K96)/('Fórmula'!C96+'Fórmula'!E96+'Fórmula'!G96+'Fórmula'!I96+'Fórmula'!K96))*(INDEX(properties!A$1:CB$87,'Fórmula'!J96,46))</f>
        <v>1.0655</v>
      </c>
      <c r="EQ96" s="113">
        <f t="array" ref="EQ96">'Fórmula'!C96*(INDEX(properties!A$1:CB$87,'Fórmula'!B96,46))+'Fórmula'!E96*(INDEX(properties!A$1:CB$87,'Fórmula'!D96,46))+'Fórmula'!G96*(INDEX(properties!A$1:CB$87,'Fórmula'!F96,46))+'Fórmula'!I96*(INDEX(properties!A$1:CB$87,'Fórmula'!H96,46))+'Fórmula'!K96*(INDEX(properties!A$1:CB$87,'Fórmula'!J96,46))</f>
        <v>21.31</v>
      </c>
      <c r="ER96" s="113">
        <f t="array" ref="ER96">VARP(IF(INDEX(properties!A$1:CB$87,'Fórmula'!B96,46)&lt;&gt;"",INDEX(properties!A$1:CB$87,'Fórmula'!B96,46)),IF(INDEX(properties!A$1:CB$87,'Fórmula'!D96,46)&lt;&gt;"",INDEX(properties!A$1:CB$87,'Fórmula'!D96,46)),IF(INDEX(properties!A$1:CB$87,'Fórmula'!F96,46)&lt;&gt;"",INDEX(properties!A$1:CB$87,'Fórmula'!F96,46)),IF(INDEX(properties!A$1:CB$87,'Fórmula'!H96,46)&lt;&gt;"",INDEX(properties!A$1:CB$87,'Fórmula'!H96,46)),IF(INDEX(properties!A$1:CB$87,'Fórmula'!J96,46)&lt;&gt;"",INDEX(properties!A$1:CB$87,'Fórmula'!J96,46)))</f>
        <v>0.198824</v>
      </c>
      <c r="ES96" s="124">
        <f t="array" ref="ES96">MAX(INDEX(properties!A$1:CB$87,'Fórmula'!B96,46),INDEX(properties!A$1:CB$87,'Fórmula'!D96,46),INDEX(properties!A$1:CB$87,'Fórmula'!F96,46),INDEX(properties!A$1:CB$87,'Fórmula'!H96,46),INDEX(properties!A$1:CB$87,'Fórmula'!J96,46))</f>
        <v>1.21</v>
      </c>
      <c r="ET96" s="124">
        <f t="array" ref="ET96">MIN(IF(INDEX(properties!A$1:CB$87,'Fórmula'!B96,46)=0,10^6,INDEX(properties!A$1:CB$87,'Fórmula'!B96,46)),IF(INDEX(properties!A$1:CB$87,'Fórmula'!D96,46)=0,10^6,INDEX(properties!A$1:CB$87,'Fórmula'!D96,46)),IF(INDEX(properties!A$1:CB$87,'Fórmula'!F96,46)=0,10^6,INDEX(properties!A$1:CB$87,'Fórmula'!F96,46)),IF(INDEX(properties!A$1:CB$87,'Fórmula'!H96,46)=0,10^6,INDEX(properties!A$1:CB$87,'Fórmula'!H96,46)),IF(INDEX(properties!A$1:CB$87,'Fórmula'!J96,46)=0,10^6,INDEX(properties!A$1:CB$87,'Fórmula'!J96,46)))</f>
        <v>0.53</v>
      </c>
      <c r="EU96" s="113">
        <f t="shared" si="25"/>
        <v>0.68</v>
      </c>
      <c r="EV96" s="114">
        <f t="array" ref="EV96">(('Fórmula'!C96)/('Fórmula'!C96+'Fórmula'!E96+'Fórmula'!G96+'Fórmula'!I96+'Fórmula'!K96))*(INDEX(properties!A$1:CB$87,'Fórmula'!B96,52))+(('Fórmula'!E96)/('Fórmula'!C96+'Fórmula'!E96+'Fórmula'!G96+'Fórmula'!I96+'Fórmula'!K96))*(INDEX(properties!A$1:CB$87,'Fórmula'!D96,52))+(('Fórmula'!G96)/('Fórmula'!C96+'Fórmula'!E96+'Fórmula'!G96+'Fórmula'!I96+'Fórmula'!K96))*(INDEX(properties!A$1:CB$87,'Fórmula'!F96,52))+(('Fórmula'!I96)/('Fórmula'!C96+'Fórmula'!E96+'Fórmula'!G96+'Fórmula'!I96+'Fórmula'!K96))*(INDEX(properties!A$1:CB$87,'Fórmula'!H96,52))+(('Fórmula'!K96)/('Fórmula'!C96+'Fórmula'!E96+'Fórmula'!G96+'Fórmula'!I96+'Fórmula'!K96))*(INDEX(properties!A$1:CB$87,'Fórmula'!J96,52))</f>
        <v>6.5908</v>
      </c>
      <c r="EW96" s="114">
        <f t="array" ref="EW96">'Fórmula'!C96*(INDEX(properties!A$1:CB$87,'Fórmula'!B96,52))+'Fórmula'!E96*(INDEX(properties!A$1:CB$87,'Fórmula'!D96,52))+'Fórmula'!G96*(INDEX(properties!A$1:CB$87,'Fórmula'!F96,52))+'Fórmula'!I96*(INDEX(properties!A$1:CB$87,'Fórmula'!H96,52))+'Fórmula'!K96*(INDEX(properties!A$1:CB$87,'Fórmula'!J96,52))</f>
        <v>131.816</v>
      </c>
      <c r="EX96" s="114">
        <f t="array" ref="EX96">VARP(IF(INDEX(properties!A$1:CB$87,'Fórmula'!B96,52)&lt;&gt;"",INDEX(properties!A$1:CB$87,'Fórmula'!B96,52)),IF(INDEX(properties!A$1:CB$87,'Fórmula'!D96,52)&lt;&gt;"",INDEX(properties!A$1:CB$87,'Fórmula'!D96,52)),IF(INDEX(properties!A$1:CB$87,'Fórmula'!F96,52)&lt;&gt;"",INDEX(properties!A$1:CB$87,'Fórmula'!F96,52)),IF(INDEX(properties!A$1:CB$87,'Fórmula'!H96,52)&lt;&gt;"",INDEX(properties!A$1:CB$87,'Fórmula'!H96,52)),IF(INDEX(properties!A$1:CB$87,'Fórmula'!J96,52)&lt;&gt;"",INDEX(properties!A$1:CB$87,'Fórmula'!J96,52)))</f>
        <v>84.68036784</v>
      </c>
      <c r="EY96" s="114">
        <f t="array" ref="EY96">MAX(INDEX(properties!A$1:CB$87,'Fórmula'!B96,52),INDEX(properties!A$1:CB$87,'Fórmula'!D96,52),INDEX(properties!A$1:CB$87,'Fórmula'!F96,52),INDEX(properties!A$1:CB$87,'Fórmula'!H96,52),INDEX(properties!A$1:CB$87,'Fórmula'!J96,52))</f>
        <v>22.8</v>
      </c>
      <c r="EZ96" s="114">
        <f t="array" ref="EZ96">MIN(IF(INDEX(properties!A$1:CB$87,'Fórmula'!B96,52)=0,10^6,INDEX(properties!A$1:CB$87,'Fórmula'!B96,52)),IF(INDEX(properties!A$1:CB$87,'Fórmula'!D96,52)=0,10^6,INDEX(properties!A$1:CB$87,'Fórmula'!D96,52)),IF(INDEX(properties!A$1:CB$87,'Fórmula'!F96,52)=0,10^6,INDEX(properties!A$1:CB$87,'Fórmula'!F96,52)),IF(INDEX(properties!A$1:CB$87,'Fórmula'!H96,52)=0,10^6,INDEX(properties!A$1:CB$87,'Fórmula'!H96,52)),IF(INDEX(properties!A$1:CB$87,'Fórmula'!J96,52)=0,10^6,INDEX(properties!A$1:CB$87,'Fórmula'!J96,52)))</f>
        <v>0.793</v>
      </c>
      <c r="FA96" s="114">
        <f t="shared" si="26"/>
        <v>22.007</v>
      </c>
      <c r="FB96" s="115">
        <f t="array" ref="FB96">(('Fórmula'!C96)/('Fórmula'!C96+'Fórmula'!E96+'Fórmula'!G96+'Fórmula'!I96+'Fórmula'!K96))*(INDEX(properties!A$1:CB$87,'Fórmula'!B96,53))+(('Fórmula'!E96)/('Fórmula'!C96+'Fórmula'!E96+'Fórmula'!G96+'Fórmula'!I96+'Fórmula'!K96))*(INDEX(properties!A$1:CB$87,'Fórmula'!D96,53))+(('Fórmula'!G96)/('Fórmula'!C96+'Fórmula'!E96+'Fórmula'!G96+'Fórmula'!I96+'Fórmula'!K96))*(INDEX(properties!A$1:CB$87,'Fórmula'!F96,53))+(('Fórmula'!I96)/('Fórmula'!C96+'Fórmula'!E96+'Fórmula'!G96+'Fórmula'!I96+'Fórmula'!K96))*(INDEX(properties!A$1:CB$87,'Fórmula'!H96,53))+(('Fórmula'!K96)/('Fórmula'!C96+'Fórmula'!E96+'Fórmula'!G96+'Fórmula'!I96+'Fórmula'!K96))*(INDEX(properties!A$1:CB$87,'Fórmula'!J96,53))</f>
        <v>564.17</v>
      </c>
      <c r="FC96" s="115">
        <f t="array" ref="FC96">'Fórmula'!C96*(INDEX(properties!A$1:CB$87,'Fórmula'!B96,53))+'Fórmula'!E96*(INDEX(properties!A$1:CB$87,'Fórmula'!D96,53))+'Fórmula'!G96*(INDEX(properties!A$1:CB$87,'Fórmula'!F96,53))+'Fórmula'!I96*(INDEX(properties!A$1:CB$87,'Fórmula'!H96,53))+'Fórmula'!K96*(INDEX(properties!A$1:CB$87,'Fórmula'!J96,53))</f>
        <v>11283.4</v>
      </c>
      <c r="FD96" s="115">
        <f t="array" ref="FD96">VARP(IF(INDEX(properties!A$1:CB$87,'Fórmula'!B96,53)&lt;&gt;"",INDEX(properties!A$1:CB$87,'Fórmula'!B96,53)),IF(INDEX(properties!A$1:CB$87,'Fórmula'!D96,53)&lt;&gt;"",INDEX(properties!A$1:CB$87,'Fórmula'!D96,53)),IF(INDEX(properties!A$1:CB$87,'Fórmula'!F96,53)&lt;&gt;"",INDEX(properties!A$1:CB$87,'Fórmula'!F96,53)),IF(INDEX(properties!A$1:CB$87,'Fórmula'!H96,53)&lt;&gt;"",INDEX(properties!A$1:CB$87,'Fórmula'!H96,53)),IF(INDEX(properties!A$1:CB$87,'Fórmula'!J96,53)&lt;&gt;"",INDEX(properties!A$1:CB$87,'Fórmula'!J96,53)))</f>
        <v>498013.8396</v>
      </c>
      <c r="FE96" s="115">
        <f t="array" ref="FE96">MAX(INDEX(properties!A$1:CB$87,'Fórmula'!B96,53),INDEX(properties!A$1:CB$87,'Fórmula'!D96,53),INDEX(properties!A$1:CB$87,'Fórmula'!F96,53),INDEX(properties!A$1:CB$87,'Fórmula'!H96,53),INDEX(properties!A$1:CB$87,'Fórmula'!J96,53))</f>
        <v>1814.15</v>
      </c>
      <c r="FF96" s="115">
        <f t="array" ref="FF96">MIN(IF(INDEX(properties!A$1:CB$87,'Fórmula'!B96,53)=0,10^6,INDEX(properties!A$1:CB$87,'Fórmula'!B96,53)),IF(INDEX(properties!A$1:CB$87,'Fórmula'!D96,53)=0,10^6,INDEX(properties!A$1:CB$87,'Fórmula'!D96,53)),IF(INDEX(properties!A$1:CB$87,'Fórmula'!F96,53)=0,10^6,INDEX(properties!A$1:CB$87,'Fórmula'!F96,53)),IF(INDEX(properties!A$1:CB$87,'Fórmula'!H96,53)=0,10^6,INDEX(properties!A$1:CB$87,'Fórmula'!H96,53)),IF(INDEX(properties!A$1:CB$87,'Fórmula'!J96,53)=0,10^6,INDEX(properties!A$1:CB$87,'Fórmula'!J96,53)))</f>
        <v>54.75</v>
      </c>
      <c r="FG96" s="115">
        <f t="shared" si="27"/>
        <v>1759.4</v>
      </c>
      <c r="FH96" s="117">
        <f t="array" ref="FH96">(('Fórmula'!C96)/('Fórmula'!C96+'Fórmula'!E96+'Fórmula'!G96+'Fórmula'!I96+'Fórmula'!K96))*(INDEX(properties!A$1:CB$87,'Fórmula'!B96,54))+(('Fórmula'!E96)/('Fórmula'!C96+'Fórmula'!E96+'Fórmula'!G96+'Fórmula'!I96+'Fórmula'!K96))*(INDEX(properties!A$1:CB$87,'Fórmula'!D96,54))+(('Fórmula'!G96)/('Fórmula'!C96+'Fórmula'!E96+'Fórmula'!G96+'Fórmula'!I96+'Fórmula'!K96))*(INDEX(properties!A$1:CB$87,'Fórmula'!F96,54))+(('Fórmula'!I96)/('Fórmula'!C96+'Fórmula'!E96+'Fórmula'!G96+'Fórmula'!I96+'Fórmula'!K96))*(INDEX(properties!A$1:CB$87,'Fórmula'!H96,54))+(('Fórmula'!K96)/('Fórmula'!C96+'Fórmula'!E96+'Fórmula'!G96+'Fórmula'!I96+'Fórmula'!K96))*(INDEX(properties!A$1:CB$87,'Fórmula'!J96,54))</f>
        <v>1093.65</v>
      </c>
      <c r="FI96" s="117">
        <f t="array" ref="FI96">'Fórmula'!C96*(INDEX(properties!A$1:CB$87,'Fórmula'!B96,54))+'Fórmula'!E96*(INDEX(properties!A$1:CB$87,'Fórmula'!D96,54))+'Fórmula'!G96*(INDEX(properties!A$1:CB$87,'Fórmula'!F96,54))+'Fórmula'!I96*(INDEX(properties!A$1:CB$87,'Fórmula'!H96,54))+'Fórmula'!K96*(INDEX(properties!A$1:CB$87,'Fórmula'!J96,54))</f>
        <v>21873</v>
      </c>
      <c r="FJ96" s="117">
        <f t="array" ref="FJ96">VARP(IF(INDEX(properties!A$1:CB$87,'Fórmula'!B96,54)&lt;&gt;"",INDEX(properties!A$1:CB$87,'Fórmula'!B96,54)),IF(INDEX(properties!A$1:CB$87,'Fórmula'!D96,54)&lt;&gt;"",INDEX(properties!A$1:CB$87,'Fórmula'!D96,54)),IF(INDEX(properties!A$1:CB$87,'Fórmula'!F96,54)&lt;&gt;"",INDEX(properties!A$1:CB$87,'Fórmula'!F96,54)),IF(INDEX(properties!A$1:CB$87,'Fórmula'!H96,54)&lt;&gt;"",INDEX(properties!A$1:CB$87,'Fórmula'!H96,54)),IF(INDEX(properties!A$1:CB$87,'Fórmula'!J96,54)&lt;&gt;"",INDEX(properties!A$1:CB$87,'Fórmula'!J96,54)))</f>
        <v>1877732.264</v>
      </c>
      <c r="FK96" s="117">
        <f t="array" ref="FK96">MAX(INDEX(properties!A$1:CB$87,'Fórmula'!B96,54),INDEX(properties!A$1:CB$87,'Fórmula'!D96,54),INDEX(properties!A$1:CB$87,'Fórmula'!F96,54),INDEX(properties!A$1:CB$87,'Fórmula'!H96,54),INDEX(properties!A$1:CB$87,'Fórmula'!J96,54))</f>
        <v>3105.15</v>
      </c>
      <c r="FL96" s="117">
        <f t="array" ref="FL96">MIN(IF(INDEX(properties!A$1:CB$87,'Fórmula'!B96,54)=0,10^6,INDEX(properties!A$1:CB$87,'Fórmula'!B96,54)),IF(INDEX(properties!A$1:CB$87,'Fórmula'!D96,54)=0,10^6,INDEX(properties!A$1:CB$87,'Fórmula'!D96,54)),IF(INDEX(properties!A$1:CB$87,'Fórmula'!F96,54)=0,10^6,INDEX(properties!A$1:CB$87,'Fórmula'!F96,54)),IF(INDEX(properties!A$1:CB$87,'Fórmula'!H96,54)=0,10^6,INDEX(properties!A$1:CB$87,'Fórmula'!H96,54)),IF(INDEX(properties!A$1:CB$87,'Fórmula'!J96,54)=0,10^6,INDEX(properties!A$1:CB$87,'Fórmula'!J96,54)))</f>
        <v>90.15</v>
      </c>
      <c r="FM96" s="117">
        <f t="shared" si="28"/>
        <v>3015</v>
      </c>
      <c r="FN96" s="118">
        <f t="array" ref="FN96">(('Fórmula'!C96)/('Fórmula'!C96+'Fórmula'!E96+'Fórmula'!G96+'Fórmula'!I96+'Fórmula'!K96))*(INDEX(properties!A$1:CB$87,'Fórmula'!B96,55))+(('Fórmula'!E96)/('Fórmula'!C96+'Fórmula'!E96+'Fórmula'!G96+'Fórmula'!I96+'Fórmula'!K96))*(INDEX(properties!A$1:CB$87,'Fórmula'!D96,55))+(('Fórmula'!G96)/('Fórmula'!C96+'Fórmula'!E96+'Fórmula'!G96+'Fórmula'!I96+'Fórmula'!K96))*(INDEX(properties!A$1:CB$87,'Fórmula'!F96,55))+(('Fórmula'!I96)/('Fórmula'!C96+'Fórmula'!E96+'Fórmula'!G96+'Fórmula'!I96+'Fórmula'!K96))*(INDEX(properties!A$1:CB$87,'Fórmula'!H96,55))+(('Fórmula'!K96)/('Fórmula'!C96+'Fórmula'!E96+'Fórmula'!G96+'Fórmula'!I96+'Fórmula'!K96))*(INDEX(properties!A$1:CB$87,'Fórmula'!J96,55))</f>
        <v>1.330358</v>
      </c>
      <c r="FO96" s="118">
        <f t="array" ref="FO96">'Fórmula'!C96*(INDEX(properties!A$1:CB$87,'Fórmula'!B96,55))+'Fórmula'!E96*(INDEX(properties!A$1:CB$87,'Fórmula'!D96,54))+'Fórmula'!G96*(INDEX(properties!A$1:CB$87,'Fórmula'!F96,55))+'Fórmula'!I96*(INDEX(properties!A$1:CB$87,'Fórmula'!H96,55))+'Fórmula'!K96*(INDEX(properties!A$1:CB$87,'Fórmula'!J96,55))</f>
        <v>6230.92716</v>
      </c>
      <c r="FP96" s="118">
        <f t="array" ref="FP96">VARP(IF(INDEX(properties!A$1:CB$87,'Fórmula'!B96,55)&lt;&gt;"",INDEX(properties!A$1:CB$87,'Fórmula'!B96,55)),IF(INDEX(properties!A$1:CB$87,'Fórmula'!D96,55)&lt;&gt;"",INDEX(properties!A$1:CB$87,'Fórmula'!D96,55)),IF(INDEX(properties!A$1:CB$87,'Fórmula'!F96,55)&lt;&gt;"",INDEX(properties!A$1:CB$87,'Fórmula'!F96,55)),IF(INDEX(properties!A$1:CB$87,'Fórmula'!H96,55)&lt;&gt;"",INDEX(properties!A$1:CB$87,'Fórmula'!H96,55)),IF(INDEX(properties!A$1:CB$87,'Fórmula'!J96,55)&lt;&gt;"",INDEX(properties!A$1:CB$87,'Fórmula'!J96,55)))</f>
        <v>4.039088343</v>
      </c>
      <c r="FQ96" s="118">
        <f t="array" ref="FQ96">MAX(INDEX(properties!A$1:CB$87,'Fórmula'!B96,55),INDEX(properties!A$1:CB$87,'Fórmula'!D96,55),INDEX(properties!A$1:CB$87,'Fórmula'!F96,55),INDEX(properties!A$1:CB$87,'Fórmula'!H96,55),INDEX(properties!A$1:CB$87,'Fórmula'!J96,55))</f>
        <v>5.32</v>
      </c>
      <c r="FR96" s="118">
        <f t="array" ref="FR96">MIN(IF(INDEX(properties!A$1:CB$87,'Fórmula'!B96,55)=0,10^6,INDEX(properties!A$1:CB$87,'Fórmula'!B96,55)),IF(INDEX(properties!A$1:CB$87,'Fórmula'!D96,55)=0,10^6,INDEX(properties!A$1:CB$87,'Fórmula'!D96,55)),IF(INDEX(properties!A$1:CB$87,'Fórmula'!F96,55)=0,10^6,INDEX(properties!A$1:CB$87,'Fórmula'!F96,55)),IF(INDEX(properties!A$1:CB$87,'Fórmula'!H96,55)=0,10^6,INDEX(properties!A$1:CB$87,'Fórmula'!H96,55)),IF(INDEX(properties!A$1:CB$87,'Fórmula'!J96,55)=0,10^6,INDEX(properties!A$1:CB$87,'Fórmula'!J96,55)))</f>
        <v>0.00143</v>
      </c>
      <c r="FS96" s="118">
        <f t="shared" si="29"/>
        <v>5.31857</v>
      </c>
      <c r="FT96" s="119">
        <f t="array" ref="FT96">(('Fórmula'!C96)/('Fórmula'!C96+'Fórmula'!E96+'Fórmula'!G96+'Fórmula'!I96+'Fórmula'!K96))*(INDEX(properties!A$1:CB$87,'Fórmula'!B96,56))+(('Fórmula'!E96)/('Fórmula'!C96+'Fórmula'!E96+'Fórmula'!G96+'Fórmula'!I96+'Fórmula'!K96))*(INDEX(properties!A$1:CB$87,'Fórmula'!D96,56))+(('Fórmula'!G96)/('Fórmula'!C96+'Fórmula'!E96+'Fórmula'!G96+'Fórmula'!I96+'Fórmula'!K96))*(INDEX(properties!A$1:CB$87,'Fórmula'!F96,56))+(('Fórmula'!I96)/('Fórmula'!C96+'Fórmula'!E96+'Fórmula'!G96+'Fórmula'!I96+'Fórmula'!K96))*(INDEX(properties!A$1:CB$87,'Fórmula'!H96,56))+(('Fórmula'!K96)/('Fórmula'!C96+'Fórmula'!E96+'Fórmula'!G96+'Fórmula'!I96+'Fórmula'!K96))*(INDEX(properties!A$1:CB$87,'Fórmula'!J96,56))</f>
        <v>0.7545</v>
      </c>
      <c r="FU96" s="119">
        <f t="array" ref="FU96">'Fórmula'!C96*(INDEX(properties!A$1:CB$87,'Fórmula'!B96,56))+'Fórmula'!E96*(INDEX(properties!A$1:CB$87,'Fórmula'!D96,56))+'Fórmula'!G96*(INDEX(properties!A$1:CB$87,'Fórmula'!F96,56))+'Fórmula'!I96*(INDEX(properties!A$1:CB$87,'Fórmula'!H96,56))+'Fórmula'!K96*(INDEX(properties!A$1:CB$87,'Fórmula'!J96,56))</f>
        <v>15.09</v>
      </c>
      <c r="FV96" s="119">
        <f t="array" ref="FV96">VARP(IF(INDEX(properties!A$1:CB$87,'Fórmula'!B96,56)&lt;&gt;"",INDEX(properties!A$1:CB$87,'Fórmula'!B96,56)),IF(INDEX(properties!A$1:CB$87,'Fórmula'!D96,56)&lt;&gt;"",INDEX(properties!A$1:CB$87,'Fórmula'!D96,56)),IF(INDEX(properties!A$1:CB$87,'Fórmula'!F96,56)&lt;&gt;"",INDEX(properties!A$1:CB$87,'Fórmula'!F96,56)),IF(INDEX(properties!A$1:CB$87,'Fórmula'!H96,56)&lt;&gt;"",INDEX(properties!A$1:CB$87,'Fórmula'!H96,56)),IF(INDEX(properties!A$1:CB$87,'Fórmula'!J96,56)&lt;&gt;"",INDEX(properties!A$1:CB$87,'Fórmula'!J96,56)))</f>
        <v>0.097104</v>
      </c>
      <c r="FW96" s="119">
        <f t="array" ref="FW96">MAX(INDEX(properties!A$1:CB$87,'Fórmula'!B96,56),INDEX(properties!A$1:CB$87,'Fórmula'!D96,56),INDEX(properties!A$1:CB$87,'Fórmula'!F96,56),INDEX(properties!A$1:CB$87,'Fórmula'!H96,56),INDEX(properties!A$1:CB$87,'Fórmula'!J96,56))</f>
        <v>0.92</v>
      </c>
      <c r="FX96" s="119">
        <f t="array" ref="FX96">MIN(IF(INDEX(properties!A$1:CB$87,'Fórmula'!B96,56)=0,10^6,INDEX(properties!A$1:CB$87,'Fórmula'!B96,56)),IF(INDEX(properties!A$1:CB$87,'Fórmula'!D96,56)=0,10^6,INDEX(properties!A$1:CB$87,'Fórmula'!D96,56)),IF(INDEX(properties!A$1:CB$87,'Fórmula'!F96,56)=0,10^6,INDEX(properties!A$1:CB$87,'Fórmula'!F96,56)),IF(INDEX(properties!A$1:CB$87,'Fórmula'!H96,56)=0,10^6,INDEX(properties!A$1:CB$87,'Fórmula'!H96,56)),IF(INDEX(properties!A$1:CB$87,'Fórmula'!J96,56)=0,10^6,INDEX(properties!A$1:CB$87,'Fórmula'!J96,56)))</f>
        <v>0.32</v>
      </c>
      <c r="FY96" s="119">
        <f t="shared" si="30"/>
        <v>0.6</v>
      </c>
      <c r="FZ96" s="104">
        <f t="array" ref="FZ96">(('Fórmula'!C96)/('Fórmula'!C96+'Fórmula'!E96+'Fórmula'!G96+'Fórmula'!I96+'Fórmula'!K96))*(INDEX(properties!A$1:CB$87,'Fórmula'!B96,57))+(('Fórmula'!E96)/('Fórmula'!C96+'Fórmula'!E96+'Fórmula'!G96+'Fórmula'!I96+'Fórmula'!K96))*(INDEX(properties!A$1:CB$87,'Fórmula'!D96,57))+(('Fórmula'!G96)/('Fórmula'!C96+'Fórmula'!E96+'Fórmula'!G96+'Fórmula'!I96+'Fórmula'!K96))*(INDEX(properties!A$1:CB$87,'Fórmula'!F96,57))+(('Fórmula'!I96)/('Fórmula'!C96+'Fórmula'!E96+'Fórmula'!G96+'Fórmula'!I96+'Fórmula'!K96))*(INDEX(properties!A$1:CB$87,'Fórmula'!H96,57))+(('Fórmula'!K96)/('Fórmula'!C96+'Fórmula'!E96+'Fórmula'!G96+'Fórmula'!I96+'Fórmula'!K96))*(INDEX(properties!A$1:CB$87,'Fórmula'!J96,57))</f>
        <v>8.365554</v>
      </c>
      <c r="GA96" s="104">
        <f t="array" ref="GA96">'Fórmula'!C96*(INDEX(properties!A$1:CB$87,'Fórmula'!B96,57))+'Fórmula'!E96*(INDEX(properties!A$1:CB$87,'Fórmula'!D96,57))+'Fórmula'!G96*(INDEX(properties!A$1:CB$87,'Fórmula'!F96,57))+'Fórmula'!I96*(INDEX(properties!A$1:CB$87,'Fórmula'!H96,57))+'Fórmula'!K96*(INDEX(properties!A$1:CB$87,'Fórmula'!J96,57))</f>
        <v>167.31108</v>
      </c>
      <c r="GB96" s="104">
        <f t="array" ref="GB96">VARP(IF(INDEX(properties!A$1:CB$87,'Fórmula'!B96,57)&lt;&gt;"",INDEX(properties!A$1:CB$87,'Fórmula'!B96,57)),IF(INDEX(properties!A$1:CB$87,'Fórmula'!D96,57)&lt;&gt;"",INDEX(properties!A$1:CB$87,'Fórmula'!D96,57)),IF(INDEX(properties!A$1:CB$87,'Fórmula'!F96,57)&lt;&gt;"",INDEX(properties!A$1:CB$87,'Fórmula'!F96,57)),IF(INDEX(properties!A$1:CB$87,'Fórmula'!H96,57)&lt;&gt;"",INDEX(properties!A$1:CB$87,'Fórmula'!H96,57)),IF(INDEX(properties!A$1:CB$87,'Fórmula'!J96,57)&lt;&gt;"",INDEX(properties!A$1:CB$87,'Fórmula'!J96,57)))</f>
        <v>184.2169584</v>
      </c>
      <c r="GC96" s="104">
        <f t="array" ref="GC96">MAX(INDEX(properties!A$1:CB$87,'Fórmula'!B96,57),INDEX(properties!A$1:CB$87,'Fórmula'!D96,57),INDEX(properties!A$1:CB$87,'Fórmula'!F96,57),INDEX(properties!A$1:CB$87,'Fórmula'!H96,57),INDEX(properties!A$1:CB$87,'Fórmula'!J96,57))</f>
        <v>36.94</v>
      </c>
      <c r="GD96" s="104">
        <f t="array" ref="GD96">MIN(IF(INDEX(properties!A$1:CB$87,'Fórmula'!B96,57)=0,10^6,INDEX(properties!A$1:CB$87,'Fórmula'!B96,57)),IF(INDEX(properties!A$1:CB$87,'Fórmula'!D96,57)=0,10^6,INDEX(properties!A$1:CB$87,'Fórmula'!D96,57)),IF(INDEX(properties!A$1:CB$87,'Fórmula'!F96,57)=0,10^6,INDEX(properties!A$1:CB$87,'Fórmula'!F96,57)),IF(INDEX(properties!A$1:CB$87,'Fórmula'!H96,57)=0,10^6,INDEX(properties!A$1:CB$87,'Fórmula'!H96,57)),IF(INDEX(properties!A$1:CB$87,'Fórmula'!J96,57)=0,10^6,INDEX(properties!A$1:CB$87,'Fórmula'!J96,57)))</f>
        <v>0.22259</v>
      </c>
      <c r="GE96" s="104">
        <f t="shared" si="31"/>
        <v>36.71741</v>
      </c>
      <c r="GF96" s="105">
        <f t="array" ref="GF96">(('Fórmula'!C96)/('Fórmula'!C96+'Fórmula'!E96+'Fórmula'!G96+'Fórmula'!I96+'Fórmula'!K96))*(INDEX(properties!A$1:CB$87,'Fórmula'!B96,60))+(('Fórmula'!E96)/('Fórmula'!C96+'Fórmula'!E96+'Fórmula'!G96+'Fórmula'!I96+'Fórmula'!K96))*(INDEX(properties!A$1:CB$87,'Fórmula'!D96,60))+(('Fórmula'!G96)/('Fórmula'!C96+'Fórmula'!E96+'Fórmula'!G96+'Fórmula'!I96+'Fórmula'!K96))*(INDEX(properties!A$1:CB$87,'Fórmula'!F96,60))+(('Fórmula'!I96)/('Fórmula'!C96+'Fórmula'!E96+'Fórmula'!G96+'Fórmula'!I96+'Fórmula'!K96))*(INDEX(properties!A$1:CB$87,'Fórmula'!H96,60))+(('Fórmula'!K96)/('Fórmula'!C96+'Fórmula'!E96+'Fórmula'!G96+'Fórmula'!I96+'Fórmula'!K96))*(INDEX(properties!A$1:CB$87,'Fórmula'!J96,60))</f>
        <v>40.581044</v>
      </c>
      <c r="GG96" s="105">
        <f t="array" ref="GG96">'Fórmula'!C96*(INDEX(properties!A$1:CB$87,'Fórmula'!B96,60))+'Fórmula'!E96*(INDEX(properties!A$1:CB$87,'Fórmula'!D96,60))+'Fórmula'!G96*(INDEX(properties!A$1:CB$87,'Fórmula'!F96,60))+'Fórmula'!I96*(INDEX(properties!A$1:CB$87,'Fórmula'!H96,60))+'Fórmula'!K96*(INDEX(properties!A$1:CB$87,'Fórmula'!J96,60))</f>
        <v>811.62088</v>
      </c>
      <c r="GH96" s="105">
        <f t="array" ref="GH96">VARP(IF(INDEX(properties!A$1:CB$87,'Fórmula'!B96,60)&lt;&gt;"",INDEX(properties!A$1:CB$87,'Fórmula'!B96,60)),IF(INDEX(properties!A$1:CB$87,'Fórmula'!D96,60)&lt;&gt;"",INDEX(properties!A$1:CB$87,'Fórmula'!D96,60)),IF(INDEX(properties!A$1:CB$87,'Fórmula'!F96,60)&lt;&gt;"",INDEX(properties!A$1:CB$87,'Fórmula'!F96,60)),IF(INDEX(properties!A$1:CB$87,'Fórmula'!H96,60)&lt;&gt;"",INDEX(properties!A$1:CB$87,'Fórmula'!H96,60)),IF(INDEX(properties!A$1:CB$87,'Fórmula'!J96,60)&lt;&gt;"",INDEX(properties!A$1:CB$87,'Fórmula'!J96,60)))</f>
        <v>5726.520737</v>
      </c>
      <c r="GI96" s="105">
        <f t="array" ref="GI96">MAX(INDEX(properties!A$1:CB$87,'Fórmula'!B96,60),INDEX(properties!A$1:CB$87,'Fórmula'!D96,60),INDEX(properties!A$1:CB$87,'Fórmula'!F96,60),INDEX(properties!A$1:CB$87,'Fórmula'!H96,60),INDEX(properties!A$1:CB$87,'Fórmula'!J96,60))</f>
        <v>200</v>
      </c>
      <c r="GJ96" s="105">
        <f t="array" ref="GJ96">MIN(IF(INDEX(properties!A$1:CB$87,'Fórmula'!B96,60)=0,10^6,INDEX(properties!A$1:CB$87,'Fórmula'!B96,60)),IF(INDEX(properties!A$1:CB$87,'Fórmula'!D96,60)=0,10^6,INDEX(properties!A$1:CB$87,'Fórmula'!D96,60)),IF(INDEX(properties!A$1:CB$87,'Fórmula'!F96,60)=0,10^6,INDEX(properties!A$1:CB$87,'Fórmula'!F96,60)),IF(INDEX(properties!A$1:CB$87,'Fórmula'!H96,60)=0,10^6,INDEX(properties!A$1:CB$87,'Fórmula'!H96,60)),IF(INDEX(properties!A$1:CB$87,'Fórmula'!J96,60)=0,10^6,INDEX(properties!A$1:CB$87,'Fórmula'!J96,60)))</f>
        <v>0.02674</v>
      </c>
      <c r="GK96" s="105">
        <f t="shared" si="32"/>
        <v>199.97326</v>
      </c>
      <c r="GL96" s="106">
        <f t="array" ref="GL96">(('Fórmula'!C96)/('Fórmula'!C96+'Fórmula'!E96+'Fórmula'!G96+'Fórmula'!I96+'Fórmula'!K96))*(INDEX(properties!A$1:CB$87,'Fórmula'!B96,62))+(('Fórmula'!E96)/('Fórmula'!C96+'Fórmula'!E96+'Fórmula'!G96+'Fórmula'!I96+'Fórmula'!K96))*(INDEX(properties!A$1:CB$87,'Fórmula'!D96,62))+(('Fórmula'!G96)/('Fórmula'!C96+'Fórmula'!E96+'Fórmula'!G96+'Fórmula'!I96+'Fórmula'!K96))*(INDEX(properties!A$1:CB$87,'Fórmula'!F96,62))+(('Fórmula'!I96)/('Fórmula'!C96+'Fórmula'!E96+'Fórmula'!G96+'Fórmula'!I96+'Fórmula'!K96))*(INDEX(properties!A$1:CB$87,'Fórmula'!H96,62))+(('Fórmula'!K96)/('Fórmula'!C96+'Fórmula'!E96+'Fórmula'!G96+'Fórmula'!I96+'Fórmula'!K96))*(INDEX(properties!A$1:CB$87,'Fórmula'!J96,62))</f>
        <v>2.8155</v>
      </c>
      <c r="GM96" s="106">
        <f t="array" ref="GM96">'Fórmula'!C96*(INDEX(properties!A$1:CB$87,'Fórmula'!B96,62))+'Fórmula'!E96*(INDEX(properties!A$1:CB$87,'Fórmula'!D96,62))+'Fórmula'!G96*(INDEX(properties!A$1:CB$87,'Fórmula'!F96,62))+'Fórmula'!I96*(INDEX(properties!A$1:CB$87,'Fórmula'!H96,62))+'Fórmula'!K96*(INDEX(properties!A$1:CB$87,'Fórmula'!J96,62))</f>
        <v>56.31</v>
      </c>
      <c r="GN96" s="106">
        <f t="array" ref="GN96">VARP(IF(INDEX(properties!A$1:CB$87,'Fórmula'!B96,62)&lt;&gt;"",INDEX(properties!A$1:CB$87,'Fórmula'!B96,62)),IF(INDEX(properties!A$1:CB$87,'Fórmula'!D96,62)&lt;&gt;"",INDEX(properties!A$1:CB$87,'Fórmula'!D96,62)),IF(INDEX(properties!A$1:CB$87,'Fórmula'!F96,62)&lt;&gt;"",INDEX(properties!A$1:CB$87,'Fórmula'!F96,62)),IF(INDEX(properties!A$1:CB$87,'Fórmula'!H96,62)&lt;&gt;"",INDEX(properties!A$1:CB$87,'Fórmula'!H96,62)),IF(INDEX(properties!A$1:CB$87,'Fórmula'!J96,62)&lt;&gt;"",INDEX(properties!A$1:CB$87,'Fórmula'!J96,62)))</f>
        <v>2.093136</v>
      </c>
      <c r="GO96" s="106">
        <f t="array" ref="GO96">MAX(INDEX(properties!A$1:CB$87,'Fórmula'!B96,62),INDEX(properties!A$1:CB$87,'Fórmula'!D96,62),INDEX(properties!A$1:CB$87,'Fórmula'!F96,62),INDEX(properties!A$1:CB$87,'Fórmula'!H96,62),INDEX(properties!A$1:CB$87,'Fórmula'!J96,62))</f>
        <v>3.9</v>
      </c>
      <c r="GP96" s="106">
        <f t="array" ref="GP96">MIN(IF(INDEX(properties!A$1:CB$87,'Fórmula'!B96,62)=0,10^6,INDEX(properties!A$1:CB$87,'Fórmula'!B96,62)),IF(INDEX(properties!A$1:CB$87,'Fórmula'!D96,62)=0,10^6,INDEX(properties!A$1:CB$87,'Fórmula'!D96,62)),IF(INDEX(properties!A$1:CB$87,'Fórmula'!F96,62)=0,10^6,INDEX(properties!A$1:CB$87,'Fórmula'!F96,62)),IF(INDEX(properties!A$1:CB$87,'Fórmula'!H96,62)=0,10^6,INDEX(properties!A$1:CB$87,'Fórmula'!H96,62)),IF(INDEX(properties!A$1:CB$87,'Fórmula'!J96,62)=0,10^6,INDEX(properties!A$1:CB$87,'Fórmula'!J96,62)))</f>
        <v>1.84</v>
      </c>
      <c r="GQ96" s="106">
        <f t="shared" si="33"/>
        <v>2.06</v>
      </c>
      <c r="GR96" s="106">
        <f>'Fórmula'!Q96</f>
        <v>230</v>
      </c>
      <c r="GS96" s="107">
        <f>'Fórmula'!P96</f>
        <v>1</v>
      </c>
      <c r="GT96" s="113">
        <f>'Fórmula'!O96</f>
        <v>4.2</v>
      </c>
      <c r="GU96" s="114">
        <f>AVERAGE('Fórmula'!R96/'Fórmula'!S96,'Fórmula'!S96/'Fórmula'!T96,'Fórmula'!T96/'Fórmula'!R96)</f>
        <v>1</v>
      </c>
      <c r="GV96" s="125">
        <f>'Fórmula'!U96</f>
        <v>1958.76</v>
      </c>
      <c r="GW96" s="106">
        <f>'Fórmula'!N96</f>
        <v>0.14</v>
      </c>
    </row>
    <row r="97" ht="14.25" customHeight="1">
      <c r="A97" s="99" t="str">
        <f>'Fórmula'!A97</f>
        <v>Y2Mo4O15</v>
      </c>
      <c r="B97" s="101">
        <f t="array" ref="B97">(('Fórmula'!C97)/('Fórmula'!C97+'Fórmula'!E97+'Fórmula'!G97+'Fórmula'!I97+'Fórmula'!K97))*(INDEX(properties!A$1:CB$87,'Fórmula'!B97,3))+(('Fórmula'!E97)/('Fórmula'!C97+'Fórmula'!E97+'Fórmula'!G97+'Fórmula'!I97+'Fórmula'!K97))*(INDEX(properties!A$1:CB$87,'Fórmula'!D97,3))+(('Fórmula'!G97)/('Fórmula'!C97+'Fórmula'!E97+'Fórmula'!G97+'Fórmula'!I97+'Fórmula'!K97))*(INDEX(properties!A$1:CB$87,'Fórmula'!F97,3))+(('Fórmula'!I97)/('Fórmula'!C97+'Fórmula'!E97+'Fórmula'!G97+'Fórmula'!I97+'Fórmula'!K97))*(INDEX(properties!A$1:CB$87,'Fórmula'!H97,3))+(('Fórmula'!K97)/('Fórmula'!C97+'Fórmula'!E97+'Fórmula'!G97+'Fórmula'!I97+'Fórmula'!K97))*(INDEX(properties!A$1:CB$87,'Fórmula'!J97,3))</f>
        <v>38.17155619</v>
      </c>
      <c r="C97" s="101">
        <f t="array" ref="C97">'Fórmula'!C97*(INDEX(properties!A$1:CB$87,'Fórmula'!B97,3))+'Fórmula'!E97*(INDEX(properties!A$1:CB$87,'Fórmula'!D97,3))+'Fórmula'!G97*(INDEX(properties!A$1:CB$87,'Fórmula'!F97,3))+'Fórmula'!I97*(INDEX(properties!A$1:CB$87,'Fórmula'!H97,3))+'Fórmula'!K97*(INDEX(properties!A$1:CB$87,'Fórmula'!J97,3))</f>
        <v>801.60268</v>
      </c>
      <c r="D97" s="101">
        <f t="array" ref="D97">VARP(IF(INDEX(properties!A$1:CB$87,'Fórmula'!B97,3)&lt;&gt;"",INDEX(properties!A$1:CB$87,'Fórmula'!B97,3)),IF(INDEX(properties!A$1:CB$87,'Fórmula'!D97,3)&lt;&gt;"",INDEX(properties!A$1:CB$87,'Fórmula'!D97,3)),IF(INDEX(properties!A$1:CB$87,'Fórmula'!F97,3)&lt;&gt;"",INDEX(properties!A$1:CB$87,'Fórmula'!F97,3)),IF(INDEX(properties!A$1:CB$87,'Fórmula'!H97,3)&lt;&gt;"",INDEX(properties!A$1:CB$87,'Fórmula'!H97,3)),IF(INDEX(properties!A$1:CB$87,'Fórmula'!J97,3)&lt;&gt;"",INDEX(properties!A$1:CB$87,'Fórmula'!J97,3)))</f>
        <v>1859.61324</v>
      </c>
      <c r="E97" s="101">
        <f t="array" ref="E97">MAX(INDEX(properties!A$1:CB$87,'Fórmula'!B97,3),INDEX(properties!A$1:CB$87,'Fórmula'!D97,3),INDEX(properties!A$1:CB$87,'Fórmula'!F97,3),INDEX(properties!A$1:CB$87,'Fórmula'!H97,3),INDEX(properties!A$1:CB$87,'Fórmula'!J97,3))</f>
        <v>95.95</v>
      </c>
      <c r="F97" s="101">
        <f t="array" ref="F97">MIN(IF(INDEX(properties!A$1:CB$87,'Fórmula'!B97,3)=0,10^6,INDEX(properties!A$1:CB$87,'Fórmula'!B97,3)),IF(INDEX(properties!A$1:CB$87,'Fórmula'!D97,3)=0,10^6,INDEX(properties!A$1:CB$87,'Fórmula'!D97,3)),IF(INDEX(properties!A$1:CB$87,'Fórmula'!F97,3)=0,10^6,INDEX(properties!A$1:CB$87,'Fórmula'!F97,3)),IF(INDEX(properties!A$1:CB$87,'Fórmula'!H97,3)=0,10^6,INDEX(properties!A$1:CB$87,'Fórmula'!H97,3)),IF(INDEX(properties!A$1:CB$87,'Fórmula'!J97,3)=0,10^6,INDEX(properties!A$1:CB$87,'Fórmula'!J97,3)))</f>
        <v>15.9994</v>
      </c>
      <c r="G97" s="101">
        <f t="shared" si="1"/>
        <v>79.9506</v>
      </c>
      <c r="H97" s="102">
        <f t="array" ref="H97">(('Fórmula'!C97)/('Fórmula'!C97+'Fórmula'!E97+'Fórmula'!G97+'Fórmula'!I97+'Fórmula'!K97))*(INDEX(properties!A$1:CB$87,'Fórmula'!B97,4))+(('Fórmula'!E97)/('Fórmula'!C97+'Fórmula'!E97+'Fórmula'!G97+'Fórmula'!I97+'Fórmula'!K97))*(INDEX(properties!A$1:CB$87,'Fórmula'!D97,4))+(('Fórmula'!G97)/('Fórmula'!C97+'Fórmula'!E97+'Fórmula'!G97+'Fórmula'!I97+'Fórmula'!K97))*(INDEX(properties!A$1:CB$87,'Fórmula'!F97,4))+(('Fórmula'!I97)/('Fórmula'!C97+'Fórmula'!E97+'Fórmula'!G97+'Fórmula'!I97+'Fórmula'!K97))*(INDEX(properties!A$1:CB$87,'Fórmula'!H97,4))+(('Fórmula'!K97)/('Fórmula'!C97+'Fórmula'!E97+'Fórmula'!G97+'Fórmula'!I97+'Fórmula'!K97))*(INDEX(properties!A$1:CB$87,'Fórmula'!J97,4))</f>
        <v>17.42857143</v>
      </c>
      <c r="I97" s="102">
        <f t="array" ref="I97">'Fórmula'!C97*(INDEX(properties!A$1:CB$87,'Fórmula'!B97,4))+'Fórmula'!E97*(INDEX(properties!A$1:CB$87,'Fórmula'!D97,4))+'Fórmula'!G97*(INDEX(properties!A$1:CB$87,'Fórmula'!F97,4))+'Fórmula'!I97*(INDEX(properties!A$1:CB$87,'Fórmula'!H97,4))+'Fórmula'!K97*(INDEX(properties!A$1:CB$87,'Fórmula'!J97,4))</f>
        <v>366</v>
      </c>
      <c r="J97" s="102">
        <f t="array" ref="J97">VARP(IF(INDEX(properties!A$1:CB$87,'Fórmula'!B97,4)&lt;&gt;"",INDEX(properties!A$1:CB$87,'Fórmula'!B97,4)),IF(INDEX(properties!A$1:CB$87,'Fórmula'!D97,4)&lt;&gt;"",INDEX(properties!A$1:CB$87,'Fórmula'!D97,4)),IF(INDEX(properties!A$1:CB$87,'Fórmula'!F97,4)&lt;&gt;"",INDEX(properties!A$1:CB$87,'Fórmula'!F97,4)),IF(INDEX(properties!A$1:CB$87,'Fórmula'!H97,4)&lt;&gt;"",INDEX(properties!A$1:CB$87,'Fórmula'!H97,4)),IF(INDEX(properties!A$1:CB$87,'Fórmula'!J97,4)&lt;&gt;"",INDEX(properties!A$1:CB$87,'Fórmula'!J97,4)))</f>
        <v>352.96</v>
      </c>
      <c r="K97" s="102">
        <f t="array" ref="K97">MAX(INDEX(properties!A$1:CB$87,'Fórmula'!B97,4),INDEX(properties!A$1:CB$87,'Fórmula'!D97,4),INDEX(properties!A$1:CB$87,'Fórmula'!F97,4),INDEX(properties!A$1:CB$87,'Fórmula'!H97,4),INDEX(properties!A$1:CB$87,'Fórmula'!J97,4))</f>
        <v>42</v>
      </c>
      <c r="L97" s="102">
        <f t="array" ref="L97">MIN(IF(INDEX(properties!A$1:CB$87,'Fórmula'!B97,4)=0,10^6,INDEX(properties!A$1:CB$87,'Fórmula'!B97,4)),IF(INDEX(properties!A$1:CB$87,'Fórmula'!D97,4)=0,10^6,INDEX(properties!A$1:CB$87,'Fórmula'!D97,4)),IF(INDEX(properties!A$1:CB$87,'Fórmula'!F97,4)=0,10^6,INDEX(properties!A$1:CB$87,'Fórmula'!F97,4)),IF(INDEX(properties!A$1:CB$87,'Fórmula'!H97,4)=0,10^6,INDEX(properties!A$1:CB$87,'Fórmula'!H97,4)),IF(INDEX(properties!A$1:CB$87,'Fórmula'!J97,4)=0,10^6,INDEX(properties!A$1:CB$87,'Fórmula'!J97,4)))</f>
        <v>8</v>
      </c>
      <c r="M97" s="102">
        <f t="shared" si="2"/>
        <v>34</v>
      </c>
      <c r="N97" s="103">
        <f t="array" ref="N97">(('Fórmula'!C97)/('Fórmula'!C97+'Fórmula'!E97+'Fórmula'!G97+'Fórmula'!I97+'Fórmula'!K97))*(INDEX(properties!A$1:CB$87,'Fórmula'!B97,5))+(('Fórmula'!E97)/('Fórmula'!C97+'Fórmula'!E97+'Fórmula'!G97+'Fórmula'!I97+'Fórmula'!K97))*(INDEX(properties!A$1:CB$87,'Fórmula'!D97,5))+(('Fórmula'!G97)/('Fórmula'!C97+'Fórmula'!E97+'Fórmula'!G97+'Fórmula'!I97+'Fórmula'!K97))*(INDEX(properties!A$1:CB$87,'Fórmula'!F97,5))+(('Fórmula'!I97)/('Fórmula'!C97+'Fórmula'!E97+'Fórmula'!G97+'Fórmula'!I97+'Fórmula'!K97))*(INDEX(properties!A$1:CB$87,'Fórmula'!H97,5))+(('Fórmula'!K97)/('Fórmula'!C97+'Fórmula'!E97+'Fórmula'!G97+'Fórmula'!I97+'Fórmula'!K97))*(INDEX(properties!A$1:CB$87,'Fórmula'!J97,5))</f>
        <v>2.857142857</v>
      </c>
      <c r="O97" s="103">
        <f t="array" ref="O97">'Fórmula'!C97*(INDEX(properties!A$1:CB$87,'Fórmula'!B97,5))+'Fórmula'!E97*(INDEX(properties!A$1:CB$87,'Fórmula'!D97,5))+'Fórmula'!G97*(INDEX(properties!A$1:CB$87,'Fórmula'!F97,5))+'Fórmula'!I97*(INDEX(properties!A$1:CB$87,'Fórmula'!H97,5))+'Fórmula'!K97*(INDEX(properties!A$1:CB$87,'Fórmula'!J97,5))</f>
        <v>60</v>
      </c>
      <c r="P97" s="103">
        <f t="array" ref="P97">VARP(IF(INDEX(properties!A$1:CB$87,'Fórmula'!B97,5)&lt;&gt;"",INDEX(properties!A$1:CB$87,'Fórmula'!B97,5)),IF(INDEX(properties!A$1:CB$87,'Fórmula'!D97,5)&lt;&gt;"",INDEX(properties!A$1:CB$87,'Fórmula'!D97,5)),IF(INDEX(properties!A$1:CB$87,'Fórmula'!F97,5)&lt;&gt;"",INDEX(properties!A$1:CB$87,'Fórmula'!F97,5)),IF(INDEX(properties!A$1:CB$87,'Fórmula'!H97,5)&lt;&gt;"",INDEX(properties!A$1:CB$87,'Fórmula'!H97,5)),IF(INDEX(properties!A$1:CB$87,'Fórmula'!J97,5)&lt;&gt;"",INDEX(properties!A$1:CB$87,'Fórmula'!J97,5)))</f>
        <v>5.04</v>
      </c>
      <c r="Q97" s="103">
        <f t="array" ref="Q97">MAX(INDEX(properties!A$1:CB$87,'Fórmula'!B97,5),INDEX(properties!A$1:CB$87,'Fórmula'!D97,5),INDEX(properties!A$1:CB$87,'Fórmula'!F97,5),INDEX(properties!A$1:CB$87,'Fórmula'!H97,5),INDEX(properties!A$1:CB$87,'Fórmula'!J97,5))</f>
        <v>5</v>
      </c>
      <c r="R97" s="103">
        <f t="array" ref="R97">MIN(IF(INDEX(properties!A$1:CB$87,'Fórmula'!B97,5)=0,10^6,INDEX(properties!A$1:CB$87,'Fórmula'!B97,5)),IF(INDEX(properties!A$1:CB$87,'Fórmula'!D97,5)=0,10^6,INDEX(properties!A$1:CB$87,'Fórmula'!D97,5)),IF(INDEX(properties!A$1:CB$87,'Fórmula'!F97,5)=0,10^6,INDEX(properties!A$1:CB$87,'Fórmula'!F97,5)),IF(INDEX(properties!A$1:CB$87,'Fórmula'!H97,5)=0,10^6,INDEX(properties!A$1:CB$87,'Fórmula'!H97,5)),IF(INDEX(properties!A$1:CB$87,'Fórmula'!J97,5)=0,10^6,INDEX(properties!A$1:CB$87,'Fórmula'!J97,5)))</f>
        <v>2</v>
      </c>
      <c r="S97" s="103">
        <f t="shared" si="3"/>
        <v>3</v>
      </c>
      <c r="T97" s="104">
        <f t="array" ref="T97">(('Fórmula'!C97)/('Fórmula'!C97+'Fórmula'!E97+'Fórmula'!G97+'Fórmula'!I97+'Fórmula'!K97))*(INDEX(properties!A$1:CB$87,'Fórmula'!B97,6))+(('Fórmula'!E97)/('Fórmula'!C97+'Fórmula'!E97+'Fórmula'!G97+'Fórmula'!I97+'Fórmula'!K97))*(INDEX(properties!A$1:CB$87,'Fórmula'!D97,6))+(('Fórmula'!G97)/('Fórmula'!C97+'Fórmula'!E97+'Fórmula'!G97+'Fórmula'!I97+'Fórmula'!K97))*(INDEX(properties!A$1:CB$87,'Fórmula'!F97,6))+(('Fórmula'!I97)/('Fórmula'!C97+'Fórmula'!E97+'Fórmula'!G97+'Fórmula'!I97+'Fórmula'!K97))*(INDEX(properties!A$1:CB$87,'Fórmula'!H97,6))+(('Fórmula'!K97)/('Fórmula'!C97+'Fórmula'!E97+'Fórmula'!G97+'Fórmula'!I97+'Fórmula'!K97))*(INDEX(properties!A$1:CB$87,'Fórmula'!J97,6))</f>
        <v>12.85714286</v>
      </c>
      <c r="U97" s="104">
        <f t="array" ref="U97">'Fórmula'!C97*(INDEX(properties!A$1:CB$87,'Fórmula'!B97,6))+'Fórmula'!E97*(INDEX(properties!A$1:CB$87,'Fórmula'!D97,6))+'Fórmula'!G97*(INDEX(properties!A$1:CB$87,'Fórmula'!F97,6))+'Fórmula'!I97*(INDEX(properties!A$1:CB$87,'Fórmula'!H97,6))+'Fórmula'!K97*(INDEX(properties!A$1:CB$87,'Fórmula'!J97,6))</f>
        <v>270</v>
      </c>
      <c r="V97" s="103">
        <f t="array" ref="V97">VARP(IF(INDEX(properties!A$1:CB$87,'Fórmula'!B97,6)&lt;&gt;"",INDEX(properties!A$1:CB$87,'Fórmula'!B97,6)),IF(INDEX(properties!A$1:CB$87,'Fórmula'!D97,6)&lt;&gt;"",INDEX(properties!A$1:CB$87,'Fórmula'!D97,6)),IF(INDEX(properties!A$1:CB$87,'Fórmula'!F97,6)&lt;&gt;"",INDEX(properties!A$1:CB$87,'Fórmula'!F97,6)),IF(INDEX(properties!A$1:CB$87,'Fórmula'!H97,6)&lt;&gt;"",INDEX(properties!A$1:CB$87,'Fórmula'!H97,6)),IF(INDEX(properties!A$1:CB$87,'Fórmula'!J97,6)&lt;&gt;"",INDEX(properties!A$1:CB$87,'Fórmula'!J97,6)))</f>
        <v>35.2</v>
      </c>
      <c r="W97" s="104">
        <f t="array" ref="W97">MAX(INDEX(properties!A$1:CB$87,'Fórmula'!B97,6),INDEX(properties!A$1:CB$87,'Fórmula'!D97,6),INDEX(properties!A$1:CB$87,'Fórmula'!F97,6),INDEX(properties!A$1:CB$87,'Fórmula'!H97,4),INDEX(properties!A$1:CB$87,'Fórmula'!J97,6))</f>
        <v>16</v>
      </c>
      <c r="X97" s="104">
        <f t="array" ref="X97">MIN(IF(INDEX(properties!A$1:CB$87,'Fórmula'!B97,6)=0,10^6,INDEX(properties!A$1:CB$87,'Fórmula'!B97,6)),IF(INDEX(properties!A$1:CB$87,'Fórmula'!D97,6)=0,10^6,INDEX(properties!A$1:CB$87,'Fórmula'!D97,6)),IF(INDEX(properties!A$1:CB$87,'Fórmula'!F97,6)=0,10^6,INDEX(properties!A$1:CB$87,'Fórmula'!F97,6)),IF(INDEX(properties!A$1:CB$87,'Fórmula'!H97,6)=0,10^6,INDEX(properties!A$1:CB$87,'Fórmula'!H97,6)),IF(INDEX(properties!A$1:CB$87,'Fórmula'!J97,6)=0,10^6,INDEX(properties!A$1:CB$87,'Fórmula'!J97,6)))</f>
        <v>3</v>
      </c>
      <c r="Y97" s="104">
        <f t="shared" si="4"/>
        <v>13</v>
      </c>
      <c r="Z97" s="105">
        <f t="array" ref="Z97">(('Fórmula'!C97)/('Fórmula'!C97+'Fórmula'!E97+'Fórmula'!G97+'Fórmula'!I97+'Fórmula'!K97))*(INDEX(properties!A$1:CB$87,'Fórmula'!B97,9))+(('Fórmula'!E97)/('Fórmula'!C97+'Fórmula'!E97+'Fórmula'!G97+'Fórmula'!I97+'Fórmula'!K97))*(INDEX(properties!A$1:CB$87,'Fórmula'!D97,9))+(('Fórmula'!G97)/('Fórmula'!C97+'Fórmula'!E97+'Fórmula'!G97+'Fórmula'!I97+'Fórmula'!K97))*(INDEX(properties!A$1:CB$87,'Fórmula'!F97,9))+(('Fórmula'!I97)/('Fórmula'!C97+'Fórmula'!E97+'Fórmula'!G97+'Fórmula'!I97+'Fórmula'!K97))*(INDEX(properties!A$1:CB$87,'Fórmula'!H97,9))+(('Fórmula'!K97)/('Fórmula'!C97+'Fórmula'!E97+'Fórmula'!G97+'Fórmula'!I97+'Fórmula'!K97))*(INDEX(properties!A$1:CB$87,'Fórmula'!J97,9))</f>
        <v>72.80952381</v>
      </c>
      <c r="AA97" s="105">
        <f t="array" ref="AA97">'Fórmula'!C97*(INDEX(properties!A$1:CB$87,'Fórmula'!B97,9))+'Fórmula'!E97*(INDEX(properties!A$1:CB$87,'Fórmula'!D97,9))+'Fórmula'!G97*(INDEX(properties!A$1:CB$87,'Fórmula'!F97,9))+'Fórmula'!I97*(INDEX(properties!A$1:CB$87,'Fórmula'!H97,9))+'Fórmula'!K97*(INDEX(properties!A$1:CB$87,'Fórmula'!J97,9))</f>
        <v>1529</v>
      </c>
      <c r="AB97" s="105">
        <f t="array" ref="AB97">VARP(IF(INDEX(properties!A$1:CB$87,'Fórmula'!B97,9)&lt;&gt;"",INDEX(properties!A$1:CB$87,'Fórmula'!B97,9)),IF(INDEX(properties!A$1:CB$87,'Fórmula'!D97,9)&lt;&gt;"",INDEX(properties!A$1:CB$87,'Fórmula'!D97,9)),IF(INDEX(properties!A$1:CB$87,'Fórmula'!F97,9)&lt;&gt;"",INDEX(properties!A$1:CB$87,'Fórmula'!F97,9)),IF(INDEX(properties!A$1:CB$87,'Fórmula'!H97,9)&lt;&gt;"",INDEX(properties!A$1:CB$87,'Fórmula'!H97,9)),IF(INDEX(properties!A$1:CB$87,'Fórmula'!J97,9)&lt;&gt;"",INDEX(properties!A$1:CB$87,'Fórmula'!J97,9)))</f>
        <v>1154.56</v>
      </c>
      <c r="AC97" s="105">
        <f t="array" ref="AC97">MAX(INDEX(properties!A$1:CB$87,'Fórmula'!B97,9),INDEX(properties!A$1:CB$87,'Fórmula'!D97,9),INDEX(properties!A$1:CB$87,'Fórmula'!F97,9),INDEX(properties!A$1:CB$87,'Fórmula'!H97,9),INDEX(properties!A$1:CB$87,'Fórmula'!J97,9))</f>
        <v>87</v>
      </c>
      <c r="AD97" s="105">
        <f t="array" ref="AD97">MIN(IF(INDEX(properties!A$1:CB$87,'Fórmula'!B97,9)=0,10^6,INDEX(properties!A$1:CB$87,'Fórmula'!B97,9)),IF(INDEX(properties!A$1:CB$87,'Fórmula'!D97,9)=0,10^6,INDEX(properties!A$1:CB$87,'Fórmula'!D97,9)),IF(INDEX(properties!A$1:CB$87,'Fórmula'!F97,9)=0,10^6,INDEX(properties!A$1:CB$87,'Fórmula'!F97,9)),IF(INDEX(properties!A$1:CB$87,'Fórmula'!H97,9)=0,10^6,INDEX(properties!A$1:CB$87,'Fórmula'!H97,9)),IF(INDEX(properties!A$1:CB$87,'Fórmula'!J97,9)=0,10^6,INDEX(properties!A$1:CB$87,'Fórmula'!J97,9)))</f>
        <v>12</v>
      </c>
      <c r="AE97" s="105">
        <f t="shared" si="5"/>
        <v>75</v>
      </c>
      <c r="AF97" s="106">
        <f t="array" ref="AF97">(('Fórmula'!C97)/('Fórmula'!C97+'Fórmula'!E97+'Fórmula'!G97+'Fórmula'!I97+'Fórmula'!K97))*(INDEX(properties!A$1:CB$87,'Fórmula'!B97,10))+(('Fórmula'!E97)/('Fórmula'!C97+'Fórmula'!E97+'Fórmula'!G97+'Fórmula'!I97+'Fórmula'!K97))*(INDEX(properties!A$1:CB$87,'Fórmula'!D97,10))+(('Fórmula'!G97)/('Fórmula'!C97+'Fórmula'!E97+'Fórmula'!G97+'Fórmula'!I97+'Fórmula'!K97))*(INDEX(properties!A$1:CB$87,'Fórmula'!F97,10))+(('Fórmula'!I97)/('Fórmula'!C97+'Fórmula'!E97+'Fórmula'!G97+'Fórmula'!I97+'Fórmula'!K97))*(INDEX(properties!A$1:CB$87,'Fórmula'!H97,10))+(('Fórmula'!K97)/('Fórmula'!C97+'Fórmula'!E97+'Fórmula'!G97+'Fórmula'!I97+'Fórmula'!K97))*(INDEX(properties!A$1:CB$87,'Fórmula'!J97,10))</f>
        <v>6.047619048</v>
      </c>
      <c r="AG97" s="106">
        <f t="array" ref="AG97">'Fórmula'!C97*(INDEX(properties!A$1:CB$87,'Fórmula'!B97,10))+'Fórmula'!E97*(INDEX(properties!A$1:CB$87,'Fórmula'!D97,10))+'Fórmula'!G97*(INDEX(properties!A$1:CB$87,'Fórmula'!F97,10))+'Fórmula'!I97*(INDEX(properties!A$1:CB$87,'Fórmula'!H97,10))+'Fórmula'!K97*(INDEX(properties!A$1:CB$87,'Fórmula'!J97,10))</f>
        <v>127</v>
      </c>
      <c r="AH97" s="106">
        <f t="array" ref="AH97">VARP(IF(INDEX(properties!A$1:CB$87,'Fórmula'!B97,10)&lt;&gt;"",INDEX(properties!A$1:CB$87,'Fórmula'!B97,10)),IF(INDEX(properties!A$1:CB$87,'Fórmula'!D97,10)&lt;&gt;"",INDEX(properties!A$1:CB$87,'Fórmula'!D97,10)),IF(INDEX(properties!A$1:CB$87,'Fórmula'!F97,10)&lt;&gt;"",INDEX(properties!A$1:CB$87,'Fórmula'!F97,10)),IF(INDEX(properties!A$1:CB$87,'Fórmula'!H97,10)&lt;&gt;"",INDEX(properties!A$1:CB$87,'Fórmula'!H97,10)),IF(INDEX(properties!A$1:CB$87,'Fórmula'!J97,10)&lt;&gt;"",INDEX(properties!A$1:CB$87,'Fórmula'!J97,10)))</f>
        <v>6.96</v>
      </c>
      <c r="AI97" s="106">
        <f t="array" ref="AI97">MAX(INDEX(properties!A$1:CB$87,'Fórmula'!B97,10),INDEX(properties!A$1:CB$87,'Fórmula'!D97,10),INDEX(properties!A$1:CB$87,'Fórmula'!F97,10),INDEX(properties!A$1:CB$87,'Fórmula'!H97,10),INDEX(properties!A$1:CB$87,'Fórmula'!J97,10))</f>
        <v>7</v>
      </c>
      <c r="AJ97" s="106">
        <f t="array" ref="AJ97">MIN(IF(INDEX(properties!A$1:CB$87,'Fórmula'!B97,10)=0,10^6,INDEX(properties!A$1:CB$87,'Fórmula'!B97,10)),IF(INDEX(properties!A$1:CB$87,'Fórmula'!D97,10)=0,10^6,INDEX(properties!A$1:CB$87,'Fórmula'!D97,10)),IF(INDEX(properties!A$1:CB$87,'Fórmula'!F97,10)=0,10^6,INDEX(properties!A$1:CB$87,'Fórmula'!F97,10)),IF(INDEX(properties!A$1:CB$87,'Fórmula'!H97,10)=0,10^6,INDEX(properties!A$1:CB$87,'Fórmula'!H97,10)),IF(INDEX(properties!A$1:CB$87,'Fórmula'!J97,10)=0,10^6,INDEX(properties!A$1:CB$87,'Fórmula'!J97,10)))</f>
        <v>3</v>
      </c>
      <c r="AK97" s="106">
        <f t="shared" si="6"/>
        <v>4</v>
      </c>
      <c r="AL97" s="107">
        <f t="array" ref="AL97">(('Fórmula'!C97)/('Fórmula'!C97+'Fórmula'!E97+'Fórmula'!G97+'Fórmula'!I97+'Fórmula'!K97))*(INDEX(properties!A$1:CB$87,'Fórmula'!B97,11))+(('Fórmula'!E97)/('Fórmula'!C97+'Fórmula'!E97+'Fórmula'!G97+'Fórmula'!I97+'Fórmula'!K97))*(INDEX(properties!A$1:CB$87,'Fórmula'!D97,11))+(('Fórmula'!G97)/('Fórmula'!C97+'Fórmula'!E97+'Fórmula'!G97+'Fórmula'!I97+'Fórmula'!K97))*(INDEX(properties!A$1:CB$87,'Fórmula'!F97,11))+(('Fórmula'!I97)/('Fórmula'!C97+'Fórmula'!E97+'Fórmula'!G97+'Fórmula'!I97+'Fórmula'!K97))*(INDEX(properties!A$1:CB$87,'Fórmula'!H97,11))+(('Fórmula'!K97)/('Fórmula'!C97+'Fórmula'!E97+'Fórmula'!G97+'Fórmula'!I97+'Fórmula'!K97))*(INDEX(properties!A$1:CB$87,'Fórmula'!J97,11))</f>
        <v>1.80952381</v>
      </c>
      <c r="AM97" s="107">
        <f t="array" ref="AM97">'Fórmula'!C97*(INDEX(properties!A$1:CB$87,'Fórmula'!B97,11))+'Fórmula'!E97*(INDEX(properties!A$1:CB$87,'Fórmula'!D97,11))+'Fórmula'!G97*(INDEX(properties!A$1:CB$87,'Fórmula'!F97,11))+'Fórmula'!I97*(INDEX(properties!A$1:CB$87,'Fórmula'!H97,11))+'Fórmula'!K97*(INDEX(properties!A$1:CB$87,'Fórmula'!J97,11))</f>
        <v>38</v>
      </c>
      <c r="AN97" s="107">
        <f t="array" ref="AN97">VARP(IF(INDEX(properties!A$1:CB$87,'Fórmula'!B97,11)&lt;&gt;"",INDEX(properties!A$1:CB$87,'Fórmula'!B97,11)),IF(INDEX(properties!A$1:CB$87,'Fórmula'!D97,11)&lt;&gt;"",INDEX(properties!A$1:CB$87,'Fórmula'!D97,11)),IF(INDEX(properties!A$1:CB$87,'Fórmula'!F97,11)&lt;&gt;"",INDEX(properties!A$1:CB$87,'Fórmula'!F97,11)),IF(INDEX(properties!A$1:CB$87,'Fórmula'!H97,11)&lt;&gt;"",INDEX(properties!A$1:CB$87,'Fórmula'!H97,11)),IF(INDEX(properties!A$1:CB$87,'Fórmula'!J97,11)&lt;&gt;"",INDEX(properties!A$1:CB$87,'Fórmula'!J97,11)))</f>
        <v>0.8</v>
      </c>
      <c r="AO97" s="107">
        <f t="array" ref="AO97">MAX(INDEX(properties!A$1:CB$87,'Fórmula'!B97,11),INDEX(properties!A$1:CB$87,'Fórmula'!D97,11),INDEX(properties!A$1:CB$87,'Fórmula'!F97,11),INDEX(properties!A$1:CB$87,'Fórmula'!H97,11),INDEX(properties!A$1:CB$87,'Fórmula'!J97,11))</f>
        <v>2</v>
      </c>
      <c r="AP97" s="107">
        <f t="array" ref="AP97">MIN(IF('Fórmula'!B97=87,10^6,INDEX(properties!A$1:CB$87,'Fórmula'!B97,11)),IF(('Fórmula'!D97)=87,10^6,INDEX(properties!A$1:CB$87,'Fórmula'!D97,11)),IF(('Fórmula'!F97)=87,10^6,INDEX(properties!A$1:CB$87,'Fórmula'!F97,11)),IF(('Fórmula'!H97)=87,10^6,INDEX(properties!A$1:CB$87,'Fórmula'!H97,11)),IF('Fórmula'!J97=87,10^6,INDEX(properties!A$1:CB$87,'Fórmula'!J97,11)))</f>
        <v>1</v>
      </c>
      <c r="AQ97" s="107">
        <f t="shared" si="7"/>
        <v>1</v>
      </c>
      <c r="AR97" s="108">
        <f t="array" ref="AR97">(('Fórmula'!C97)/('Fórmula'!C97+'Fórmula'!E97+'Fórmula'!G97+'Fórmula'!I97+'Fórmula'!K97))*(INDEX(properties!A$1:CB$87,'Fórmula'!B97,12))+(('Fórmula'!E97)/('Fórmula'!C97+'Fórmula'!E97+'Fórmula'!G97+'Fórmula'!I97+'Fórmula'!K97))*(INDEX(properties!A$1:CB$87,'Fórmula'!D97,12))+(('Fórmula'!G97)/('Fórmula'!C97+'Fórmula'!E97+'Fórmula'!G97+'Fórmula'!I97+'Fórmula'!K97))*(INDEX(properties!A$1:CB$87,'Fórmula'!F97,12))+(('Fórmula'!I97)/('Fórmula'!C97+'Fórmula'!E97+'Fórmula'!G97+'Fórmula'!I97+'Fórmula'!K97))*(INDEX(properties!A$1:CB$87,'Fórmula'!H97,12))+(('Fórmula'!K97)/('Fórmula'!C97+'Fórmula'!E97+'Fórmula'!G97+'Fórmula'!I97+'Fórmula'!K97))*(INDEX(properties!A$1:CB$87,'Fórmula'!J97,12))</f>
        <v>2.857142857</v>
      </c>
      <c r="AS97" s="108">
        <f t="array" ref="AS97">'Fórmula'!C97*(INDEX(properties!A$1:CB$87,'Fórmula'!B97,12))+'Fórmula'!E97*(INDEX(properties!A$1:CB$87,'Fórmula'!D97,12))+'Fórmula'!G97*(INDEX(properties!A$1:CB$87,'Fórmula'!F97,12))+'Fórmula'!I97*(INDEX(properties!A$1:CB$87,'Fórmula'!H97,12))+'Fórmula'!K97*(INDEX(properties!A$1:CB$87,'Fórmula'!J97,12))</f>
        <v>60</v>
      </c>
      <c r="AT97" s="108">
        <f t="array" ref="AT97">VARP(IF(INDEX(properties!A$1:CB$87,'Fórmula'!B97,12)&lt;&gt;"",INDEX(properties!A$1:CB$87,'Fórmula'!B97,12)),IF(INDEX(properties!A$1:CB$87,'Fórmula'!D97,12)&lt;&gt;"",INDEX(properties!A$1:CB$87,'Fórmula'!D97,12)),IF(INDEX(properties!A$1:CB$87,'Fórmula'!F97,12)&lt;&gt;"",INDEX(properties!A$1:CB$87,'Fórmula'!F97,12)),IF(INDEX(properties!A$1:CB$87,'Fórmula'!H97,12)&lt;&gt;"",INDEX(properties!A$1:CB$87,'Fórmula'!H97,12)),IF(INDEX(properties!A$1:CB$87,'Fórmula'!J97,12)&lt;&gt;"",INDEX(properties!A$1:CB$87,'Fórmula'!J97,12)))</f>
        <v>2.56</v>
      </c>
      <c r="AU97" s="108">
        <f t="array" ref="AU97">MAX(INDEX(properties!A$1:CB$87,'Fórmula'!B97,12),INDEX(properties!A$1:CB$87,'Fórmula'!D97,12),INDEX(properties!A$1:CB$87,'Fórmula'!F97,12),INDEX(properties!A$1:CB$87,'Fórmula'!H97,12),INDEX(properties!A$1:CB$87,'Fórmula'!J97,12))</f>
        <v>4</v>
      </c>
      <c r="AV97" s="108">
        <f t="array" ref="AV97">MIN(IF('Fórmula'!B97=87,10^6,INDEX(properties!A$1:CB$87,'Fórmula'!B97,12)),IF(('Fórmula'!D97)=87,10^6,INDEX(properties!A$1:CB$87,'Fórmula'!D97,12)),IF(('Fórmula'!F97)=87,10^6,INDEX(properties!A$1:CB$87,'Fórmula'!F97,12)),IF(('Fórmula'!H97)=87,10^6,INDEX(properties!A$1:CB$87,'Fórmula'!H97,12)),IF('Fórmula'!J97=87,10^6,INDEX(properties!A$1:CB$87,'Fórmula'!J97,12)))</f>
        <v>0</v>
      </c>
      <c r="AW97" s="108">
        <f t="shared" si="8"/>
        <v>4</v>
      </c>
      <c r="AX97" s="109">
        <f t="array" ref="AX97">(('Fórmula'!C97)/('Fórmula'!C97+'Fórmula'!E97+'Fórmula'!G97+'Fórmula'!I97+'Fórmula'!K97))*(INDEX(properties!A$1:CB$87,'Fórmula'!B97,13))+(('Fórmula'!E97)/('Fórmula'!C97+'Fórmula'!E97+'Fórmula'!G97+'Fórmula'!I97+'Fórmula'!K97))*(INDEX(properties!A$1:CB$87,'Fórmula'!D97,13))+(('Fórmula'!G97)/('Fórmula'!C97+'Fórmula'!E97+'Fórmula'!G97+'Fórmula'!I97+'Fórmula'!K97))*(INDEX(properties!A$1:CB$87,'Fórmula'!F97,13))+(('Fórmula'!I97)/('Fórmula'!C97+'Fórmula'!E97+'Fórmula'!G97+'Fórmula'!I97+'Fórmula'!K97))*(INDEX(properties!A$1:CB$87,'Fórmula'!H97,13))+(('Fórmula'!K97)/('Fórmula'!C97+'Fórmula'!E97+'Fórmula'!G97+'Fórmula'!I97+'Fórmula'!K97))*(INDEX(properties!A$1:CB$87,'Fórmula'!J97,13))</f>
        <v>1.047619048</v>
      </c>
      <c r="AY97" s="109">
        <f t="array" ref="AY97">'Fórmula'!C97*(INDEX(properties!A$1:CB$87,'Fórmula'!B97,13))+'Fórmula'!E97*(INDEX(properties!A$1:CB$87,'Fórmula'!D97,13))+'Fórmula'!G97*(INDEX(properties!A$1:CB$87,'Fórmula'!F97,13))+'Fórmula'!I97*(INDEX(properties!A$1:CB$87,'Fórmula'!H97,13))+'Fórmula'!K97*(INDEX(properties!A$1:CB$87,'Fórmula'!J97,13))</f>
        <v>22</v>
      </c>
      <c r="AZ97" s="109">
        <f t="array" ref="AZ97">VARP(IF(INDEX(properties!A$1:CB$87,'Fórmula'!B97,13)&lt;&gt;"",INDEX(properties!A$1:CB$87,'Fórmula'!B97,13)),IF(INDEX(properties!A$1:CB$87,'Fórmula'!D97,13)&lt;&gt;"",INDEX(properties!A$1:CB$87,'Fórmula'!D97,13)),IF(INDEX(properties!A$1:CB$87,'Fórmula'!F97,13)&lt;&gt;"",INDEX(properties!A$1:CB$87,'Fórmula'!F97,13)),IF(INDEX(properties!A$1:CB$87,'Fórmula'!H97,13)&lt;&gt;"",INDEX(properties!A$1:CB$87,'Fórmula'!H97,13)),IF(INDEX(properties!A$1:CB$87,'Fórmula'!J97,13)&lt;&gt;"",INDEX(properties!A$1:CB$87,'Fórmula'!J97,13)))</f>
        <v>3.76</v>
      </c>
      <c r="BA97" s="109">
        <f t="array" ref="BA97">MAX(INDEX(properties!A$1:CB$87,'Fórmula'!B97,13),INDEX(properties!A$1:CB$87,'Fórmula'!D97,13),INDEX(properties!A$1:CB$87,'Fórmula'!F97,13),INDEX(properties!A$1:CB$87,'Fórmula'!H97,13),INDEX(properties!A$1:CB$87,'Fórmula'!J97,13))</f>
        <v>5</v>
      </c>
      <c r="BB97" s="109">
        <f t="array" ref="BB97">MIN(IF('Fórmula'!B97=87,10^6,INDEX(properties!A$1:CB$87,'Fórmula'!B97,13)),IF(('Fórmula'!D97)=87,10^6,INDEX(properties!A$1:CB$87,'Fórmula'!D97,13)),IF(('Fórmula'!F97)=87,10^6,INDEX(properties!A$1:CB$87,'Fórmula'!F97,13)),IF(('Fórmula'!H97)=87,10^6,INDEX(properties!A$1:CB$87,'Fórmula'!H97,13)),IF('Fórmula'!J97=87,10^6,INDEX(properties!A$1:CB$87,'Fórmula'!J97,13)))</f>
        <v>0</v>
      </c>
      <c r="BC97" s="109">
        <f t="shared" si="9"/>
        <v>5</v>
      </c>
      <c r="BD97" s="110">
        <f t="array" ref="BD97">(('Fórmula'!C97)/('Fórmula'!C97+'Fórmula'!E97+'Fórmula'!G97+'Fórmula'!I97+'Fórmula'!K97))*(INDEX(properties!A$1:CB$87,'Fórmula'!B97,14))+(('Fórmula'!E97)/('Fórmula'!C97+'Fórmula'!E97+'Fórmula'!G97+'Fórmula'!I97+'Fórmula'!K97))*(INDEX(properties!A$1:CB$87,'Fórmula'!D97,14))+(('Fórmula'!G97)/('Fórmula'!C97+'Fórmula'!E97+'Fórmula'!G97+'Fórmula'!I97+'Fórmula'!K97))*(INDEX(properties!A$1:CB$87,'Fórmula'!F97,14))+(('Fórmula'!I97)/('Fórmula'!C97+'Fórmula'!E97+'Fórmula'!G97+'Fórmula'!I97+'Fórmula'!K97))*(INDEX(properties!A$1:CB$87,'Fórmula'!H97,14))+(('Fórmula'!K97)/('Fórmula'!C97+'Fórmula'!E97+'Fórmula'!G97+'Fórmula'!I97+'Fórmula'!K97))*(INDEX(properties!A$1:CB$87,'Fórmula'!J97,14))</f>
        <v>0</v>
      </c>
      <c r="BE97" s="110">
        <f t="array" ref="BE97">'Fórmula'!C97*(INDEX(properties!A$1:CB$87,'Fórmula'!B97,14))+'Fórmula'!E97*(INDEX(properties!A$1:CB$87,'Fórmula'!D97,14))+'Fórmula'!G97*(INDEX(properties!A$1:CB$87,'Fórmula'!F97,14))+'Fórmula'!I97*(INDEX(properties!A$1:CB$87,'Fórmula'!H97,14))+'Fórmula'!K97*(INDEX(properties!A$1:CB$87,'Fórmula'!J97,14))</f>
        <v>0</v>
      </c>
      <c r="BF97" s="110">
        <f t="array" ref="BF97">VARP(IF(INDEX(properties!A$1:CB$87,'Fórmula'!B97,14)&lt;&gt;"",INDEX(properties!A$1:CB$87,'Fórmula'!B97,14)),IF(INDEX(properties!A$1:CB$87,'Fórmula'!D97,14)&lt;&gt;"",INDEX(properties!A$1:CB$87,'Fórmula'!D97,14)),IF(INDEX(properties!A$1:CB$87,'Fórmula'!F97,14)&lt;&gt;"",INDEX(properties!A$1:CB$87,'Fórmula'!F97,14)),IF(INDEX(properties!A$1:CB$87,'Fórmula'!H97,14)&lt;&gt;"",INDEX(properties!A$1:CB$87,'Fórmula'!H97,14)),IF(INDEX(properties!A$1:CB$87,'Fórmula'!J97,14)&lt;&gt;"",INDEX(properties!A$1:CB$87,'Fórmula'!J97,14)))</f>
        <v>0</v>
      </c>
      <c r="BG97" s="110">
        <f t="array" ref="BG97">MAX(INDEX(properties!A$1:CB$87,'Fórmula'!B97,14),INDEX(properties!A$1:CB$87,'Fórmula'!D97,14),INDEX(properties!A$1:CB$87,'Fórmula'!F97,14),INDEX(properties!A$1:CB$87,'Fórmula'!H97,14),INDEX(properties!A$1:CB$87,'Fórmula'!J97,14))</f>
        <v>0</v>
      </c>
      <c r="BH97" s="110">
        <f t="array" ref="BH97">MIN(IF('Fórmula'!B97=87,10^6,INDEX(properties!A$1:CB$87,'Fórmula'!B97,14)),IF(('Fórmula'!D97)=87,10^6,INDEX(properties!A$1:CB$87,'Fórmula'!D97,14)),IF(('Fórmula'!F97)=87,10^6,INDEX(properties!A$1:CB$87,'Fórmula'!F97,14)),IF(('Fórmula'!H97)=87,10^6,INDEX(properties!A$1:CB$87,'Fórmula'!H97,14)),IF('Fórmula'!J97=87,10^6,INDEX(properties!A$1:CB$87,'Fórmula'!J97,14)))</f>
        <v>0</v>
      </c>
      <c r="BI97" s="110">
        <f t="shared" si="10"/>
        <v>0</v>
      </c>
      <c r="BJ97" s="111">
        <f t="array" ref="BJ97">(('Fórmula'!C97)/('Fórmula'!C97+'Fórmula'!E97+'Fórmula'!G97+'Fórmula'!I97+'Fórmula'!K97))*(INDEX(properties!A$1:CB$87,'Fórmula'!B97,19))+(('Fórmula'!E97)/('Fórmula'!C97+'Fórmula'!E97+'Fórmula'!G97+'Fórmula'!I97+'Fórmula'!K97))*(INDEX(properties!A$1:CB$87,'Fórmula'!D97,19))+(('Fórmula'!G97)/('Fórmula'!C97+'Fórmula'!E97+'Fórmula'!G97+'Fórmula'!I97+'Fórmula'!K97))*(INDEX(properties!A$1:CB$87,'Fórmula'!F97,19))+(('Fórmula'!I97)/('Fórmula'!C97+'Fórmula'!E97+'Fórmula'!G97+'Fórmula'!I97+'Fórmula'!K97))*(INDEX(properties!A$1:CB$87,'Fórmula'!H97,19))+(('Fórmula'!K97)/('Fórmula'!C97+'Fórmula'!E97+'Fórmula'!G97+'Fórmula'!I97+'Fórmula'!K97))*(INDEX(properties!A$1:CB$87,'Fórmula'!J97,19))</f>
        <v>5.714285714</v>
      </c>
      <c r="BK97" s="111">
        <f t="array" ref="BK97">'Fórmula'!C97*(INDEX(properties!A$1:CB$87,'Fórmula'!B97,19))+'Fórmula'!E97*(INDEX(properties!A$1:CB$87,'Fórmula'!D97,19))+'Fórmula'!G97*(INDEX(properties!A$1:CB$87,'Fórmula'!F97,19))+'Fórmula'!I97*(INDEX(properties!A$1:CB$87,'Fórmula'!H97,19))+'Fórmula'!K97*(INDEX(properties!A$1:CB$87,'Fórmula'!J97,19))</f>
        <v>120</v>
      </c>
      <c r="BL97" s="111">
        <f t="array" ref="BL97">VARP(IF(INDEX(properties!A$1:CB$87,'Fórmula'!B97,19)&lt;&gt;"",INDEX(properties!A$1:CB$87,'Fórmula'!B97,19)),IF(INDEX(properties!A$1:CB$87,'Fórmula'!D97,19)&lt;&gt;"",INDEX(properties!A$1:CB$87,'Fórmula'!D97,19)),IF(INDEX(properties!A$1:CB$87,'Fórmula'!F97,19)&lt;&gt;"",INDEX(properties!A$1:CB$87,'Fórmula'!F97,19)),IF(INDEX(properties!A$1:CB$87,'Fórmula'!H97,19)&lt;&gt;"",INDEX(properties!A$1:CB$87,'Fórmula'!H97,19)),IF(INDEX(properties!A$1:CB$87,'Fórmula'!J97,19)&lt;&gt;"",INDEX(properties!A$1:CB$87,'Fórmula'!J97,19)))</f>
        <v>7.2</v>
      </c>
      <c r="BM97" s="111">
        <f t="array" ref="BM97">MAX(INDEX(properties!A$1:CB$87,'Fórmula'!B97,19),INDEX(properties!A$1:CB$87,'Fórmula'!D97,19),INDEX(properties!A$1:CB$87,'Fórmula'!F97,19),INDEX(properties!A$1:CB$87,'Fórmula'!H97,19),INDEX(properties!A$1:CB$87,'Fórmula'!J97,19))</f>
        <v>6</v>
      </c>
      <c r="BN97" s="111">
        <f t="array" ref="BN97">MIN(IF(INDEX(properties!A$1:CB$87,'Fórmula'!B97,19)=0,10^6,INDEX(properties!A$1:CB$87,'Fórmula'!B97,19)),IF(INDEX(properties!A$1:CB$87,'Fórmula'!D97,19)=0,10^6,INDEX(properties!A$1:CB$87,'Fórmula'!D97,19)),IF(INDEX(properties!A$1:CB$87,'Fórmula'!F97,19)=0,10^6,INDEX(properties!A$1:CB$87,'Fórmula'!F97,19)),IF(INDEX(properties!A$1:CB$87,'Fórmula'!H97,19)=0,10^6,INDEX(properties!A$1:CB$87,'Fórmula'!H97,19)),IF(INDEX(properties!A$1:CB$87,'Fórmula'!J97,19)=0,10^6,INDEX(properties!A$1:CB$87,'Fórmula'!J97,19)))</f>
        <v>3</v>
      </c>
      <c r="BO97" s="111">
        <f t="shared" si="11"/>
        <v>3</v>
      </c>
      <c r="BP97" s="112">
        <f t="array" ref="BP97">(('Fórmula'!C97)/('Fórmula'!C97+'Fórmula'!E97+'Fórmula'!G97+'Fórmula'!I97+'Fórmula'!K97))*(INDEX(properties!A$1:CB$87,'Fórmula'!B97,20))+(('Fórmula'!E97)/('Fórmula'!C97+'Fórmula'!E97+'Fórmula'!G97+'Fórmula'!I97+'Fórmula'!K97))*(INDEX(properties!A$1:CB$87,'Fórmula'!D97,20))+(('Fórmula'!G97)/('Fórmula'!C97+'Fórmula'!E97+'Fórmula'!G97+'Fórmula'!I97+'Fórmula'!K97))*(INDEX(properties!A$1:CB$87,'Fórmula'!F97,20))+(('Fórmula'!I97)/('Fórmula'!C97+'Fórmula'!E97+'Fórmula'!G97+'Fórmula'!I97+'Fórmula'!K97))*(INDEX(properties!A$1:CB$87,'Fórmula'!H97,20))+(('Fórmula'!K97)/('Fórmula'!C97+'Fórmula'!E97+'Fórmula'!G97+'Fórmula'!I97+'Fórmula'!K97))*(INDEX(properties!A$1:CB$87,'Fórmula'!J97,20))</f>
        <v>4.666666667</v>
      </c>
      <c r="BQ97" s="112">
        <f t="array" ref="BQ97">'Fórmula'!C97*(INDEX(properties!A$1:CB$87,'Fórmula'!B97,20))+'Fórmula'!E97*(INDEX(properties!A$1:CB$87,'Fórmula'!D97,20))+'Fórmula'!G97*(INDEX(properties!A$1:CB$87,'Fórmula'!F97,20))+'Fórmula'!I97*(INDEX(properties!A$1:CB$87,'Fórmula'!H97,20))+'Fórmula'!K97*(INDEX(properties!A$1:CB$87,'Fórmula'!J97,20))</f>
        <v>98</v>
      </c>
      <c r="BR97" s="112">
        <f t="array" ref="BR97">VARP(IF(INDEX(properties!A$1:CB$87,'Fórmula'!B97,20)&lt;&gt;"",INDEX(properties!A$1:CB$87,'Fórmula'!B97,20)),IF(INDEX(properties!A$1:CB$87,'Fórmula'!D97,20)&lt;&gt;"",INDEX(properties!A$1:CB$87,'Fórmula'!D97,20)),IF(INDEX(properties!A$1:CB$87,'Fórmula'!F97,20)&lt;&gt;"",INDEX(properties!A$1:CB$87,'Fórmula'!F97,20)),IF(INDEX(properties!A$1:CB$87,'Fórmula'!H97,20)&lt;&gt;"",INDEX(properties!A$1:CB$87,'Fórmula'!H97,20)),IF(INDEX(properties!A$1:CB$87,'Fórmula'!J97,20)&lt;&gt;"",INDEX(properties!A$1:CB$87,'Fórmula'!J97,20)))</f>
        <v>4.96</v>
      </c>
      <c r="BS97" s="112">
        <f t="array" ref="BS97">MAX(INDEX(properties!A$1:CB$87,'Fórmula'!B97,20),INDEX(properties!A$1:CB$87,'Fórmula'!D97,20),INDEX(properties!A$1:CB$87,'Fórmula'!F97,20),INDEX(properties!A$1:CB$87,'Fórmula'!H97,20),INDEX(properties!A$1:CB$87,'Fórmula'!J97,20))</f>
        <v>6</v>
      </c>
      <c r="BT97" s="112">
        <f t="array" ref="BT97">MIN(IF(INDEX(properties!A$1:CB$87,'Fórmula'!B97,20)=0,10^6,INDEX(properties!A$1:CB$87,'Fórmula'!B97,20)),IF(INDEX(properties!A$1:CB$87,'Fórmula'!D97,20)=0,10^6,INDEX(properties!A$1:CB$87,'Fórmula'!D97,20)),IF(INDEX(properties!A$1:CB$87,'Fórmula'!F97,20)=0,10^6,INDEX(properties!A$1:CB$87,'Fórmula'!F97,20)),IF(INDEX(properties!A$1:CB$87,'Fórmula'!H97,20)=0,10^6,INDEX(properties!A$1:CB$87,'Fórmula'!H97,20)),IF(INDEX(properties!A$1:CB$87,'Fórmula'!J97,20)=0,10^6,INDEX(properties!A$1:CB$87,'Fórmula'!J97,20)))</f>
        <v>1</v>
      </c>
      <c r="BU97" s="112">
        <f t="shared" si="12"/>
        <v>5</v>
      </c>
      <c r="BV97" s="113">
        <f t="array" ref="BV97">(('Fórmula'!C97)/('Fórmula'!C97+'Fórmula'!E97+'Fórmula'!G97+'Fórmula'!I97+'Fórmula'!K97))*(INDEX(properties!A$1:CB$87,'Fórmula'!B97,21))+(('Fórmula'!E97)/('Fórmula'!C97+'Fórmula'!E97+'Fórmula'!G97+'Fórmula'!I97+'Fórmula'!K97))*(INDEX(properties!A$1:CB$87,'Fórmula'!D97,21))+(('Fórmula'!G97)/('Fórmula'!C97+'Fórmula'!E97+'Fórmula'!G97+'Fórmula'!I97+'Fórmula'!K97))*(INDEX(properties!A$1:CB$87,'Fórmula'!F97,21))+(('Fórmula'!I97)/('Fórmula'!C97+'Fórmula'!E97+'Fórmula'!G97+'Fórmula'!I97+'Fórmula'!K97))*(INDEX(properties!A$1:CB$87,'Fórmula'!H97,21))+(('Fórmula'!K97)/('Fórmula'!C97+'Fórmula'!E97+'Fórmula'!G97+'Fórmula'!I97+'Fórmula'!K97))*(INDEX(properties!A$1:CB$87,'Fórmula'!J97,21))</f>
        <v>5.142857143</v>
      </c>
      <c r="BW97" s="113">
        <f t="array" ref="BW97">'Fórmula'!C97*(INDEX(properties!A$1:CB$87,'Fórmula'!B97,21))+'Fórmula'!E97*(INDEX(properties!A$1:CB$87,'Fórmula'!D97,21))+'Fórmula'!G97*(INDEX(properties!A$1:CB$87,'Fórmula'!F97,21))+'Fórmula'!I97*(INDEX(properties!A$1:CB$87,'Fórmula'!H97,21))+'Fórmula'!K97*(INDEX(properties!A$1:CB$87,'Fórmula'!J97,21))</f>
        <v>108</v>
      </c>
      <c r="BX97" s="113">
        <f t="array" ref="BX97">VARP(IF(INDEX(properties!A$1:CB$87,'Fórmula'!B97,21)&lt;&gt;"",INDEX(properties!A$1:CB$87,'Fórmula'!B97,21)),IF(INDEX(properties!A$1:CB$87,'Fórmula'!D97,21)&lt;&gt;"",INDEX(properties!A$1:CB$87,'Fórmula'!D97,21)),IF(INDEX(properties!A$1:CB$87,'Fórmula'!F97,21)&lt;&gt;"",INDEX(properties!A$1:CB$87,'Fórmula'!F97,21)),IF(INDEX(properties!A$1:CB$87,'Fórmula'!H97,21)&lt;&gt;"",INDEX(properties!A$1:CB$87,'Fórmula'!H97,21)),IF(INDEX(properties!A$1:CB$87,'Fórmula'!J97,21)&lt;&gt;"",INDEX(properties!A$1:CB$87,'Fórmula'!J97,21)))</f>
        <v>5.76</v>
      </c>
      <c r="BY97" s="113">
        <f t="array" ref="BY97">MAX(INDEX(properties!A$1:CB$87,'Fórmula'!B97,21),INDEX(properties!A$1:CB$87,'Fórmula'!D97,21),INDEX(properties!A$1:CB$87,'Fórmula'!F97,21),INDEX(properties!A$1:CB$87,'Fórmula'!H97,21),INDEX(properties!A$1:CB$87,'Fórmula'!J97,21))</f>
        <v>6</v>
      </c>
      <c r="BZ97" s="113">
        <f t="array" ref="BZ97">MIN(IF(INDEX(properties!A$1:CB$87,'Fórmula'!B97,21)=0,10^6,INDEX(properties!A$1:CB$87,'Fórmula'!B97,21)),IF(INDEX(properties!A$1:CB$87,'Fórmula'!D97,21)=0,10^6,INDEX(properties!A$1:CB$87,'Fórmula'!D97,21)),IF(INDEX(properties!A$1:CB$87,'Fórmula'!F97,21)=0,10^6,INDEX(properties!A$1:CB$87,'Fórmula'!F97,21)),IF(INDEX(properties!A$1:CB$87,'Fórmula'!H97,21)=0,10^6,INDEX(properties!A$1:CB$87,'Fórmula'!H97,21)),IF(INDEX(properties!A$1:CB$87,'Fórmula'!J97,21)=0,10^6,INDEX(properties!A$1:CB$87,'Fórmula'!J97,21)))</f>
        <v>1</v>
      </c>
      <c r="CA97" s="113">
        <f t="shared" si="13"/>
        <v>5</v>
      </c>
      <c r="CB97" s="114">
        <f t="array" ref="CB97">(('Fórmula'!C97)/('Fórmula'!C97+'Fórmula'!E97+'Fórmula'!G97+'Fórmula'!I97+'Fórmula'!K97))*(INDEX(properties!A$1:CB$87,'Fórmula'!B97,23))+(('Fórmula'!E97)/('Fórmula'!C97+'Fórmula'!E97+'Fórmula'!G97+'Fórmula'!I97+'Fórmula'!K97))*(INDEX(properties!A$1:CB$87,'Fórmula'!D97,23))+(('Fórmula'!G97)/('Fórmula'!C97+'Fórmula'!E97+'Fórmula'!G97+'Fórmula'!I97+'Fórmula'!K97))*(INDEX(properties!A$1:CB$87,'Fórmula'!F97,23))+(('Fórmula'!I97)/('Fórmula'!C97+'Fórmula'!E97+'Fórmula'!G97+'Fórmula'!I97+'Fórmula'!K97))*(INDEX(properties!A$1:CB$87,'Fórmula'!H97,23))+(('Fórmula'!K97)/('Fórmula'!C97+'Fórmula'!E97+'Fórmula'!G97+'Fórmula'!I97+'Fórmula'!K97))*(INDEX(properties!A$1:CB$87,'Fórmula'!J97,23))</f>
        <v>1.386666667</v>
      </c>
      <c r="CC97" s="114">
        <f t="array" ref="CC97">'Fórmula'!C97*(INDEX(properties!A$1:CB$87,'Fórmula'!B97,23))+'Fórmula'!E97*(INDEX(properties!A$1:CB$87,'Fórmula'!D97,23))+'Fórmula'!G97*(INDEX(properties!A$1:CB$87,'Fórmula'!F97,23))+'Fórmula'!I97*(INDEX(properties!A$1:CB$87,'Fórmula'!H97,23))+'Fórmula'!K97*(INDEX(properties!A$1:CB$87,'Fórmula'!J97,23))</f>
        <v>29.12</v>
      </c>
      <c r="CD97" s="114">
        <f t="array" ref="CD97">VARP(IF(INDEX(properties!A$1:CB$87,'Fórmula'!B97,23)&lt;&gt;"",INDEX(properties!A$1:CB$87,'Fórmula'!B97,23)),IF(INDEX(properties!A$1:CB$87,'Fórmula'!D97,23)&lt;&gt;"",INDEX(properties!A$1:CB$87,'Fórmula'!D97,23)),IF(INDEX(properties!A$1:CB$87,'Fórmula'!F97,23)&lt;&gt;"",INDEX(properties!A$1:CB$87,'Fórmula'!F97,23)),IF(INDEX(properties!A$1:CB$87,'Fórmula'!H97,23)&lt;&gt;"",INDEX(properties!A$1:CB$87,'Fórmula'!H97,23)),IF(INDEX(properties!A$1:CB$87,'Fórmula'!J97,23)&lt;&gt;"",INDEX(properties!A$1:CB$87,'Fórmula'!J97,23)))</f>
        <v>5.398144</v>
      </c>
      <c r="CE97" s="114">
        <f t="array" ref="CE97">MAX(INDEX(properties!A$1:CB$87,'Fórmula'!B97,23),INDEX(properties!A$1:CB$87,'Fórmula'!D97,23),INDEX(properties!A$1:CB$87,'Fórmula'!F97,23),INDEX(properties!A$1:CB$87,'Fórmula'!H97,23),INDEX(properties!A$1:CB$87,'Fórmula'!J97,23))</f>
        <v>5.78</v>
      </c>
      <c r="CF97" s="114">
        <f t="array" ref="CF97">MIN(IF('Fórmula'!B97=87,10^6,INDEX(properties!A$1:CB$87,'Fórmula'!B97,23)),IF(('Fórmula'!D97)=87,10^6,INDEX(properties!A$1:CB$87,'Fórmula'!D97,23)),IF(('Fórmula'!F97)=87,10^6,INDEX(properties!A$1:CB$87,'Fórmula'!F97,23)),IF(('Fórmula'!H97)=87,10^6,INDEX(properties!A$1:CB$87,'Fórmula'!H97,23)),IF('Fórmula'!J97=87,10^6,INDEX(properties!A$1:CB$87,'Fórmula'!J97,23)))</f>
        <v>0</v>
      </c>
      <c r="CG97" s="114">
        <f t="shared" si="14"/>
        <v>5.78</v>
      </c>
      <c r="CH97" s="115">
        <f t="array" ref="CH97">(('Fórmula'!C97)/('Fórmula'!C97+'Fórmula'!E97+'Fórmula'!G97+'Fórmula'!I97+'Fórmula'!K97))*(INDEX(properties!A$1:CB$87,'Fórmula'!B97,26))+(('Fórmula'!E97)/('Fórmula'!C97+'Fórmula'!E97+'Fórmula'!G97+'Fórmula'!I97+'Fórmula'!K97))*(INDEX(properties!A$1:CB$87,'Fórmula'!D97,26))+(('Fórmula'!G97)/('Fórmula'!C97+'Fórmula'!E97+'Fórmula'!G97+'Fórmula'!I97+'Fórmula'!K97))*(INDEX(properties!A$1:CB$87,'Fórmula'!F97,26))+(('Fórmula'!I97)/('Fórmula'!C97+'Fórmula'!E97+'Fórmula'!G97+'Fórmula'!I97+'Fórmula'!K97))*(INDEX(properties!A$1:CB$87,'Fórmula'!H97,26))+(('Fórmula'!K97)/('Fórmula'!C97+'Fórmula'!E97+'Fórmula'!G97+'Fórmula'!I97+'Fórmula'!K97))*(INDEX(properties!A$1:CB$87,'Fórmula'!J97,26))</f>
        <v>11.67027143</v>
      </c>
      <c r="CI97" s="115">
        <f t="array" ref="CI97">'Fórmula'!C97*(INDEX(properties!A$1:CB$87,'Fórmula'!B97,26))+'Fórmula'!E97*(INDEX(properties!A$1:CB$87,'Fórmula'!D97,26))+'Fórmula'!G97*(INDEX(properties!A$1:CB$87,'Fórmula'!F97,26))+'Fórmula'!I97*(INDEX(properties!A$1:CB$87,'Fórmula'!H97,26))+'Fórmula'!K97*(INDEX(properties!A$1:CB$87,'Fórmula'!J97,26))</f>
        <v>245.0757</v>
      </c>
      <c r="CJ97" s="115">
        <f t="array" ref="CJ97">VARP(IF(INDEX(properties!A$1:CB$87,'Fórmula'!B97,26)&lt;&gt;"",INDEX(properties!A$1:CB$87,'Fórmula'!B97,26)),IF(INDEX(properties!A$1:CB$87,'Fórmula'!D97,26)&lt;&gt;"",INDEX(properties!A$1:CB$87,'Fórmula'!D97,26)),IF(INDEX(properties!A$1:CB$87,'Fórmula'!F97,26)&lt;&gt;"",INDEX(properties!A$1:CB$87,'Fórmula'!F97,26)),IF(INDEX(properties!A$1:CB$87,'Fórmula'!H97,26)&lt;&gt;"",INDEX(properties!A$1:CB$87,'Fórmula'!H97,26)),IF(INDEX(properties!A$1:CB$87,'Fórmula'!J97,26)&lt;&gt;"",INDEX(properties!A$1:CB$87,'Fórmula'!J97,26)))</f>
        <v>25.87766442</v>
      </c>
      <c r="CK97" s="116">
        <f t="array" ref="CK97">MAX(INDEX(properties!A$1:CB$87,'Fórmula'!B97,26),INDEX(properties!A$1:CB$87,'Fórmula'!D97,26),INDEX(properties!A$1:CB$87,'Fórmula'!F97,26),INDEX(properties!A$1:CB$87,'Fórmula'!H97,26),INDEX(properties!A$1:CB$87,'Fórmula'!J97,26))</f>
        <v>13.6181</v>
      </c>
      <c r="CL97" s="116">
        <f t="array" ref="CL97">MIN(IF(INDEX(properties!A$1:CB$87,'Fórmula'!B97,26)=0,10^6,INDEX(properties!A$1:CB$87,'Fórmula'!B97,26)),IF(INDEX(properties!A$1:CB$87,'Fórmula'!D97,26)=0,10^6,INDEX(properties!A$1:CB$87,'Fórmula'!D97,26)),IF(INDEX(properties!A$1:CB$87,'Fórmula'!F97,26)=0,10^6,INDEX(properties!A$1:CB$87,'Fórmula'!F97,26)),IF(INDEX(properties!A$1:CB$87,'Fórmula'!H97,26)=0,10^6,INDEX(properties!A$1:CB$87,'Fórmula'!H97,26)),IF(INDEX(properties!A$1:CB$87,'Fórmula'!J97,26)=0,10^6,INDEX(properties!A$1:CB$87,'Fórmula'!J97,26)))</f>
        <v>6.2173</v>
      </c>
      <c r="CM97" s="115">
        <f t="shared" si="15"/>
        <v>7.4008</v>
      </c>
      <c r="CN97" s="117">
        <f t="array" ref="CN97">(('Fórmula'!C97)/('Fórmula'!C97+'Fórmula'!E97+'Fórmula'!G97+'Fórmula'!I97+'Fórmula'!K97))*(INDEX(properties!A$1:CB$87,'Fórmula'!B97,30))+(('Fórmula'!E97)/('Fórmula'!C97+'Fórmula'!E97+'Fórmula'!G97+'Fórmula'!I97+'Fórmula'!K97))*(INDEX(properties!A$1:CB$87,'Fórmula'!D97,30))+(('Fórmula'!G97)/('Fórmula'!C97+'Fórmula'!E97+'Fórmula'!G97+'Fórmula'!I97+'Fórmula'!K97))*(INDEX(properties!A$1:CB$87,'Fórmula'!F97,30))+(('Fórmula'!I97)/('Fórmula'!C97+'Fórmula'!E97+'Fórmula'!G97+'Fórmula'!I97+'Fórmula'!K97))*(INDEX(properties!A$1:CB$87,'Fórmula'!H97,30))+(('Fórmula'!K97)/('Fórmula'!C97+'Fórmula'!E97+'Fórmula'!G97+'Fórmula'!I97+'Fórmula'!K97))*(INDEX(properties!A$1:CB$87,'Fórmula'!J97,30))</f>
        <v>2.984761905</v>
      </c>
      <c r="CO97" s="117">
        <f t="array" ref="CO97">'Fórmula'!C97*(INDEX(properties!A$1:CB$87,'Fórmula'!B97,30))+'Fórmula'!E97*(INDEX(properties!A$1:CB$87,'Fórmula'!D97,30))+'Fórmula'!G97*(INDEX(properties!A$1:CB$87,'Fórmula'!F97,30))+'Fórmula'!I97*(INDEX(properties!A$1:CB$87,'Fórmula'!H97,30))+'Fórmula'!K97*(INDEX(properties!A$1:CB$87,'Fórmula'!J97,30))</f>
        <v>62.68</v>
      </c>
      <c r="CP97" s="117">
        <f t="array" ref="CP97">VARP(IF(INDEX(properties!A$1:CB$87,'Fórmula'!B97,30)&lt;&gt;"",INDEX(properties!A$1:CB$87,'Fórmula'!B97,30)),IF(INDEX(properties!A$1:CB$87,'Fórmula'!D97,30)&lt;&gt;"",INDEX(properties!A$1:CB$87,'Fórmula'!D97,30)),IF(INDEX(properties!A$1:CB$87,'Fórmula'!F97,30)&lt;&gt;"",INDEX(properties!A$1:CB$87,'Fórmula'!F97,30)),IF(INDEX(properties!A$1:CB$87,'Fórmula'!H97,30)&lt;&gt;"",INDEX(properties!A$1:CB$87,'Fórmula'!H97,30)),IF(INDEX(properties!A$1:CB$87,'Fórmula'!J97,30)&lt;&gt;"",INDEX(properties!A$1:CB$87,'Fórmula'!J97,30)))</f>
        <v>1.737024</v>
      </c>
      <c r="CQ97" s="117">
        <f t="array" ref="CQ97">MAX(INDEX(properties!A$1:CB$87,'Fórmula'!B97,30),INDEX(properties!A$1:CB$87,'Fórmula'!D97,30),INDEX(properties!A$1:CB$87,'Fórmula'!F97,30),INDEX(properties!A$1:CB$87,'Fórmula'!H97,30),INDEX(properties!A$1:CB$87,'Fórmula'!J97,30))</f>
        <v>3.44</v>
      </c>
      <c r="CR97" s="117">
        <f t="array" ref="CR97">MIN(IF(INDEX(properties!A$1:CB$87,'Fórmula'!B97,30)=0,10^6,INDEX(properties!A$1:CB$87,'Fórmula'!B97,30)),IF(INDEX(properties!A$1:CB$87,'Fórmula'!D97,30)=0,10^6,INDEX(properties!A$1:CB$87,'Fórmula'!D97,30)),IF(INDEX(properties!A$1:CB$87,'Fórmula'!F97,30)=0,10^6,INDEX(properties!A$1:CB$87,'Fórmula'!F97,30)),IF(INDEX(properties!A$1:CB$87,'Fórmula'!H97,30)=0,10^6,INDEX(properties!A$1:CB$87,'Fórmula'!H97,30)),IF(INDEX(properties!A$1:CB$87,'Fórmula'!J97,30)=0,10^6,INDEX(properties!A$1:CB$87,'Fórmula'!J97,30)))</f>
        <v>1.22</v>
      </c>
      <c r="CS97" s="117">
        <f t="shared" si="16"/>
        <v>2.22</v>
      </c>
      <c r="CT97" s="118">
        <f t="array" ref="CT97">(('Fórmula'!C97)/('Fórmula'!C97+'Fórmula'!E97+'Fórmula'!G97+'Fórmula'!I97+'Fórmula'!K97))*(INDEX(properties!A$1:CB$87,'Fórmula'!B97,31))+(('Fórmula'!E97)/('Fórmula'!C97+'Fórmula'!E97+'Fórmula'!G97+'Fórmula'!I97+'Fórmula'!K97))*(INDEX(properties!A$1:CB$87,'Fórmula'!D97,31))+(('Fórmula'!G97)/('Fórmula'!C97+'Fórmula'!E97+'Fórmula'!G97+'Fórmula'!I97+'Fórmula'!K97))*(INDEX(properties!A$1:CB$87,'Fórmula'!F97,31))+(('Fórmula'!I97)/('Fórmula'!C97+'Fórmula'!E97+'Fórmula'!G97+'Fórmula'!I97+'Fórmula'!K97))*(INDEX(properties!A$1:CB$87,'Fórmula'!H97,31))+(('Fórmula'!K97)/('Fórmula'!C97+'Fórmula'!E97+'Fórmula'!G97+'Fórmula'!I97+'Fórmula'!K97))*(INDEX(properties!A$1:CB$87,'Fórmula'!J97,31))</f>
        <v>2.875238095</v>
      </c>
      <c r="CU97" s="118">
        <f t="array" ref="CU97">'Fórmula'!C97*(INDEX(properties!A$1:CB$87,'Fórmula'!B97,31))+'Fórmula'!E97*(INDEX(properties!A$1:CB$87,'Fórmula'!D97,31))+'Fórmula'!G97*(INDEX(properties!A$1:CB$87,'Fórmula'!F97,31))+'Fórmula'!I97*(INDEX(properties!A$1:CB$87,'Fórmula'!H97,31))+'Fórmula'!K97*(INDEX(properties!A$1:CB$87,'Fórmula'!J97,31))</f>
        <v>60.38</v>
      </c>
      <c r="CV97" s="118">
        <f t="array" ref="CV97">VARP(IF(INDEX(properties!A$1:CB$87,'Fórmula'!B97,31)&lt;&gt;"",INDEX(properties!A$1:CB$87,'Fórmula'!B97,31)),IF(INDEX(properties!A$1:CB$87,'Fórmula'!D97,31)&lt;&gt;"",INDEX(properties!A$1:CB$87,'Fórmula'!D97,31)),IF(INDEX(properties!A$1:CB$87,'Fórmula'!F97,31)&lt;&gt;"",INDEX(properties!A$1:CB$87,'Fórmula'!F97,31)),IF(INDEX(properties!A$1:CB$87,'Fórmula'!H97,31)&lt;&gt;"",INDEX(properties!A$1:CB$87,'Fórmula'!H97,31)),IF(INDEX(properties!A$1:CB$87,'Fórmula'!J97,31)&lt;&gt;"",INDEX(properties!A$1:CB$87,'Fórmula'!J97,31)))</f>
        <v>1.575264</v>
      </c>
      <c r="CW97" s="118">
        <f t="array" ref="CW97">MAX(INDEX(properties!A$1:CB$87,'Fórmula'!B97,31),INDEX(properties!A$1:CB$87,'Fórmula'!D97,31),INDEX(properties!A$1:CB$87,'Fórmula'!F97,31),INDEX(properties!A$1:CB$87,'Fórmula'!H97,31),INDEX(properties!A$1:CB$87,'Fórmula'!J97,31))</f>
        <v>3.32</v>
      </c>
      <c r="CX97" s="118">
        <f t="array" ref="CX97">MIN(IF(INDEX(properties!A$1:CB$87,'Fórmula'!B97,31)=0,10^6,INDEX(properties!A$1:CB$87,'Fórmula'!B97,31)),IF(INDEX(properties!A$1:CB$87,'Fórmula'!D97,31)=0,10^6,INDEX(properties!A$1:CB$87,'Fórmula'!D97,31)),IF(INDEX(properties!A$1:CB$87,'Fórmula'!F97,31)=0,10^6,INDEX(properties!A$1:CB$87,'Fórmula'!F97,31)),IF(INDEX(properties!A$1:CB$87,'Fórmula'!H97,31)=0,10^6,INDEX(properties!A$1:CB$87,'Fórmula'!H97,31)),IF(INDEX(properties!A$1:CB$87,'Fórmula'!J97,31)=0,10^6,INDEX(properties!A$1:CB$87,'Fórmula'!J97,31)))</f>
        <v>1.41</v>
      </c>
      <c r="CY97" s="118">
        <f t="shared" si="17"/>
        <v>1.91</v>
      </c>
      <c r="CZ97" s="119">
        <f t="array" ref="CZ97">(('Fórmula'!C97)/('Fórmula'!C97+'Fórmula'!E97+'Fórmula'!G97+'Fórmula'!I97+'Fórmula'!K97))*(INDEX(properties!A$1:CB$87,'Fórmula'!B97,32))+(('Fórmula'!E97)/('Fórmula'!C97+'Fórmula'!E97+'Fórmula'!G97+'Fórmula'!I97+'Fórmula'!K97))*(INDEX(properties!A$1:CB$87,'Fórmula'!D97,32))+(('Fórmula'!G97)/('Fórmula'!C97+'Fórmula'!E97+'Fórmula'!G97+'Fórmula'!I97+'Fórmula'!K97))*(INDEX(properties!A$1:CB$87,'Fórmula'!F97,32))+(('Fórmula'!I97)/('Fórmula'!C97+'Fórmula'!E97+'Fórmula'!G97+'Fórmula'!I97+'Fórmula'!K97))*(INDEX(properties!A$1:CB$87,'Fórmula'!H97,32))+(('Fórmula'!K97)/('Fórmula'!C97+'Fórmula'!E97+'Fórmula'!G97+'Fórmula'!I97+'Fórmula'!K97))*(INDEX(properties!A$1:CB$87,'Fórmula'!J97,32))</f>
        <v>6.432380952</v>
      </c>
      <c r="DA97" s="119">
        <f t="array" ref="DA97">'Fórmula'!C97*(INDEX(properties!A$1:CB$87,'Fórmula'!B97,32))+'Fórmula'!E97*(INDEX(properties!A$1:CB$87,'Fórmula'!D97,32))+'Fórmula'!G97*(INDEX(properties!A$1:CB$87,'Fórmula'!F97,32))+'Fórmula'!I97*(INDEX(properties!A$1:CB$87,'Fórmula'!H97,32))+'Fórmula'!K97*(INDEX(properties!A$1:CB$87,'Fórmula'!J97,32))</f>
        <v>135.08</v>
      </c>
      <c r="DB97" s="119">
        <f t="array" ref="DB97">VARP(IF(INDEX(properties!A$1:CB$87,'Fórmula'!B97,32)&lt;&gt;"",INDEX(properties!A$1:CB$87,'Fórmula'!B97,32)),IF(INDEX(properties!A$1:CB$87,'Fórmula'!D97,32)&lt;&gt;"",INDEX(properties!A$1:CB$87,'Fórmula'!D97,32)),IF(INDEX(properties!A$1:CB$87,'Fórmula'!F97,32)&lt;&gt;"",INDEX(properties!A$1:CB$87,'Fórmula'!F97,32)),IF(INDEX(properties!A$1:CB$87,'Fórmula'!H97,32)&lt;&gt;"",INDEX(properties!A$1:CB$87,'Fórmula'!H97,32)),IF(INDEX(properties!A$1:CB$87,'Fórmula'!J97,32)&lt;&gt;"",INDEX(properties!A$1:CB$87,'Fórmula'!J97,32)))</f>
        <v>7.886064</v>
      </c>
      <c r="DC97" s="119">
        <f t="array" ref="DC97">MAX(INDEX(properties!A$1:CB$87,'Fórmula'!B97,32),INDEX(properties!A$1:CB$87,'Fórmula'!D97,32),INDEX(properties!A$1:CB$87,'Fórmula'!F97,32),INDEX(properties!A$1:CB$87,'Fórmula'!H97,32),INDEX(properties!A$1:CB$87,'Fórmula'!J97,32))</f>
        <v>7.54</v>
      </c>
      <c r="DD97" s="119">
        <f t="array" ref="DD97">MIN(IF(INDEX(properties!A$1:CB$87,'Fórmula'!B97,32)=0,10^6,INDEX(properties!A$1:CB$87,'Fórmula'!B97,32)),IF(INDEX(properties!A$1:CB$87,'Fórmula'!D97,32)=0,10^6,INDEX(properties!A$1:CB$87,'Fórmula'!D97,32)),IF(INDEX(properties!A$1:CB$87,'Fórmula'!F97,32)=0,10^6,INDEX(properties!A$1:CB$87,'Fórmula'!F97,32)),IF(INDEX(properties!A$1:CB$87,'Fórmula'!H97,32)=0,10^6,INDEX(properties!A$1:CB$87,'Fórmula'!H97,32)),IF(INDEX(properties!A$1:CB$87,'Fórmula'!J97,32)=0,10^6,INDEX(properties!A$1:CB$87,'Fórmula'!J97,32)))</f>
        <v>3.19</v>
      </c>
      <c r="DE97" s="119">
        <f t="shared" si="18"/>
        <v>4.35</v>
      </c>
      <c r="DF97" s="104">
        <f t="array" ref="DF97">(('Fórmula'!C97)/('Fórmula'!C97+'Fórmula'!E97+'Fórmula'!G97+'Fórmula'!I97+'Fórmula'!K97))*(INDEX(properties!A$1:CB$87,'Fórmula'!B97,34))+(('Fórmula'!E97)/('Fórmula'!C97+'Fórmula'!E97+'Fórmula'!G97+'Fórmula'!I97+'Fórmula'!K97))*(INDEX(properties!A$1:CB$87,'Fórmula'!D97,34))+(('Fórmula'!G97)/('Fórmula'!C97+'Fórmula'!E97+'Fórmula'!G97+'Fórmula'!I97+'Fórmula'!K97))*(INDEX(properties!A$1:CB$87,'Fórmula'!F97,34))+(('Fórmula'!I97)/('Fórmula'!C97+'Fórmula'!E97+'Fórmula'!G97+'Fórmula'!I97+'Fórmula'!K97))*(INDEX(properties!A$1:CB$87,'Fórmula'!H97,34))+(('Fórmula'!K97)/('Fórmula'!C97+'Fórmula'!E97+'Fórmula'!G97+'Fórmula'!I97+'Fórmula'!K97))*(INDEX(properties!A$1:CB$87,'Fórmula'!J97,34))</f>
        <v>2.965238095</v>
      </c>
      <c r="DG97" s="104">
        <f t="array" ref="DG97">'Fórmula'!C97*(INDEX(properties!A$1:CB$87,'Fórmula'!B97,34))+'Fórmula'!E97*(INDEX(properties!A$1:CB$87,'Fórmula'!D97,34))+'Fórmula'!G97*(INDEX(properties!A$1:CB$87,'Fórmula'!F97,34))+'Fórmula'!I97*(INDEX(properties!A$1:CB$87,'Fórmula'!H97,34))+'Fórmula'!K97*(INDEX(properties!A$1:CB$87,'Fórmula'!J97,34))</f>
        <v>62.27</v>
      </c>
      <c r="DH97" s="104">
        <f t="array" ref="DH97">VARP(IF(INDEX(properties!A$1:CB$87,'Fórmula'!B97,34)&lt;&gt;"",INDEX(properties!A$1:CB$87,'Fórmula'!B97,34)),IF(INDEX(properties!A$1:CB$87,'Fórmula'!D97,34)&lt;&gt;"",INDEX(properties!A$1:CB$87,'Fórmula'!D97,34)),IF(INDEX(properties!A$1:CB$87,'Fórmula'!F97,34)&lt;&gt;"",INDEX(properties!A$1:CB$87,'Fórmula'!F97,34)),IF(INDEX(properties!A$1:CB$87,'Fórmula'!H97,34)&lt;&gt;"",INDEX(properties!A$1:CB$87,'Fórmula'!H97,34)),IF(INDEX(properties!A$1:CB$87,'Fórmula'!J97,34)&lt;&gt;"",INDEX(properties!A$1:CB$87,'Fórmula'!J97,34)))</f>
        <v>1.75188</v>
      </c>
      <c r="DI97" s="104">
        <f t="array" ref="DI97">MAX(INDEX(properties!A$1:CB$87,'Fórmula'!B97,34),INDEX(properties!A$1:CB$87,'Fórmula'!D97,34),INDEX(properties!A$1:CB$87,'Fórmula'!F97,34),INDEX(properties!A$1:CB$87,'Fórmula'!H97,34),INDEX(properties!A$1:CB$87,'Fórmula'!J97,34))</f>
        <v>3.61</v>
      </c>
      <c r="DJ97" s="104">
        <f t="array" ref="DJ97">MIN(IF(INDEX(properties!A$1:CB$87,'Fórmula'!B97,34)=0,10^6,INDEX(properties!A$1:CB$87,'Fórmula'!B97,34)),IF(INDEX(properties!A$1:CB$87,'Fórmula'!D97,34)=0,10^6,INDEX(properties!A$1:CB$87,'Fórmula'!D97,34)),IF(INDEX(properties!A$1:CB$87,'Fórmula'!F97,34)=0,10^6,INDEX(properties!A$1:CB$87,'Fórmula'!F97,34)),IF(INDEX(properties!A$1:CB$87,'Fórmula'!H97,34)=0,10^6,INDEX(properties!A$1:CB$87,'Fórmula'!H97,34)),IF(INDEX(properties!A$1:CB$87,'Fórmula'!J97,34)=0,10^6,INDEX(properties!A$1:CB$87,'Fórmula'!J97,34)))</f>
        <v>1.12</v>
      </c>
      <c r="DK97" s="104">
        <f t="shared" si="19"/>
        <v>2.49</v>
      </c>
      <c r="DL97" s="105">
        <f t="array" ref="DL97">(('Fórmula'!C97)/('Fórmula'!C97+'Fórmula'!E97+'Fórmula'!G97+'Fórmula'!I97+'Fórmula'!K97))*(INDEX(properties!A$1:CB$87,'Fórmula'!B97,37))+(('Fórmula'!E97)/('Fórmula'!C97+'Fórmula'!E97+'Fórmula'!G97+'Fórmula'!I97+'Fórmula'!K97))*(INDEX(properties!A$1:CB$87,'Fórmula'!D97,37))+(('Fórmula'!G97)/('Fórmula'!C97+'Fórmula'!E97+'Fórmula'!G97+'Fórmula'!I97+'Fórmula'!K97))*(INDEX(properties!A$1:CB$87,'Fórmula'!F97,37))+(('Fórmula'!I97)/('Fórmula'!C97+'Fórmula'!E97+'Fórmula'!G97+'Fórmula'!I97+'Fórmula'!K97))*(INDEX(properties!A$1:CB$87,'Fórmula'!H97,37))+(('Fórmula'!K97)/('Fórmula'!C97+'Fórmula'!E97+'Fórmula'!G97+'Fórmula'!I97+'Fórmula'!K97))*(INDEX(properties!A$1:CB$87,'Fórmula'!J97,37))</f>
        <v>2.988095238</v>
      </c>
      <c r="DM97" s="105">
        <f t="array" ref="DM97">'Fórmula'!C97*(INDEX(properties!A$1:CB$87,'Fórmula'!B97,37))+'Fórmula'!E97*(INDEX(properties!A$1:CB$87,'Fórmula'!D97,37))+'Fórmula'!G97*(INDEX(properties!A$1:CB$87,'Fórmula'!F97,37))+'Fórmula'!I97*(INDEX(properties!A$1:CB$87,'Fórmula'!H97,37))+'Fórmula'!K97*(INDEX(properties!A$1:CB$87,'Fórmula'!J97,37))</f>
        <v>62.75</v>
      </c>
      <c r="DN97" s="105">
        <f t="array" ref="DN97">VARP(IF(INDEX(properties!A$1:CB$87,'Fórmula'!B97,37)&lt;&gt;"",INDEX(properties!A$1:CB$87,'Fórmula'!B97,37)),IF(INDEX(properties!A$1:CB$87,'Fórmula'!D97,37)&lt;&gt;"",INDEX(properties!A$1:CB$87,'Fórmula'!D97,37)),IF(INDEX(properties!A$1:CB$87,'Fórmula'!F97,37)&lt;&gt;"",INDEX(properties!A$1:CB$87,'Fórmula'!F97,37)),IF(INDEX(properties!A$1:CB$87,'Fórmula'!H97,37)&lt;&gt;"",INDEX(properties!A$1:CB$87,'Fórmula'!H97,37)),IF(INDEX(properties!A$1:CB$87,'Fórmula'!J97,37)&lt;&gt;"",INDEX(properties!A$1:CB$87,'Fórmula'!J97,37)))</f>
        <v>1.7236</v>
      </c>
      <c r="DO97" s="105">
        <f t="array" ref="DO97">MAX(INDEX(properties!A$1:CB$87,'Fórmula'!B97,37),INDEX(properties!A$1:CB$87,'Fórmula'!D97,37),INDEX(properties!A$1:CB$87,'Fórmula'!F97,37),INDEX(properties!A$1:CB$87,'Fórmula'!H97,37),INDEX(properties!A$1:CB$87,'Fórmula'!J97,37))</f>
        <v>3.45</v>
      </c>
      <c r="DP97" s="105">
        <f t="array" ref="DP97">MIN(IF(INDEX(properties!A$1:CB$87,'Fórmula'!B97,37)=0,10^6,INDEX(properties!A$1:CB$87,'Fórmula'!B97,37)),IF(INDEX(properties!A$1:CB$87,'Fórmula'!D97,37)=0,10^6,INDEX(properties!A$1:CB$87,'Fórmula'!D97,37)),IF(INDEX(properties!A$1:CB$87,'Fórmula'!F97,37)=0,10^6,INDEX(properties!A$1:CB$87,'Fórmula'!F97,37)),IF(INDEX(properties!A$1:CB$87,'Fórmula'!H97,37)=0,10^6,INDEX(properties!A$1:CB$87,'Fórmula'!H97,37)),IF(INDEX(properties!A$1:CB$87,'Fórmula'!J97,37)=0,10^6,INDEX(properties!A$1:CB$87,'Fórmula'!J97,37)))</f>
        <v>1.3</v>
      </c>
      <c r="DQ97" s="105">
        <f t="shared" si="20"/>
        <v>2.15</v>
      </c>
      <c r="DR97" s="109">
        <f t="array" ref="DR97">(('Fórmula'!C97)/('Fórmula'!C97+'Fórmula'!E97+'Fórmula'!G97+'Fórmula'!I97+'Fórmula'!K97))*(INDEX(properties!A$1:CB$87,'Fórmula'!B97,39))+(('Fórmula'!E97)/('Fórmula'!C97+'Fórmula'!E97+'Fórmula'!G97+'Fórmula'!I97+'Fórmula'!K97))*(INDEX(properties!A$1:CB$87,'Fórmula'!D97,39))+(('Fórmula'!G97)/('Fórmula'!C97+'Fórmula'!E97+'Fórmula'!G97+'Fórmula'!I97+'Fórmula'!K97))*(INDEX(properties!A$1:CB$87,'Fórmula'!F97,39))+(('Fórmula'!I97)/('Fórmula'!C97+'Fórmula'!E97+'Fórmula'!G97+'Fórmula'!I97+'Fórmula'!K97))*(INDEX(properties!A$1:CB$87,'Fórmula'!H97,39))+(('Fórmula'!K97)/('Fórmula'!C97+'Fórmula'!E97+'Fórmula'!G97+'Fórmula'!I97+'Fórmula'!K97))*(INDEX(properties!A$1:CB$87,'Fórmula'!J97,39))</f>
        <v>0.9066666667</v>
      </c>
      <c r="DS97" s="109">
        <f t="array" ref="DS97">'Fórmula'!C97*(INDEX(properties!A$1:CB$87,'Fórmula'!B97,39))+'Fórmula'!E97*(INDEX(properties!A$1:CB$87,'Fórmula'!D97,39))+'Fórmula'!G97*(INDEX(properties!A$1:CB$87,'Fórmula'!F97,39))+'Fórmula'!I97*(INDEX(properties!A$1:CB$87,'Fórmula'!H97,39))+'Fórmula'!K97*(INDEX(properties!A$1:CB$87,'Fórmula'!J97,39))</f>
        <v>19.04</v>
      </c>
      <c r="DT97" s="109">
        <f t="array" ref="DT97">VARP(IF(INDEX(properties!A$1:CB$87,'Fórmula'!B97,39)&lt;&gt;"",INDEX(properties!A$1:CB$87,'Fórmula'!B97,39)),IF(INDEX(properties!A$1:CB$87,'Fórmula'!D97,39)&lt;&gt;"",INDEX(properties!A$1:CB$87,'Fórmula'!D97,39)),IF(INDEX(properties!A$1:CB$87,'Fórmula'!F97,39)&lt;&gt;"",INDEX(properties!A$1:CB$87,'Fórmula'!F97,39)),IF(INDEX(properties!A$1:CB$87,'Fórmula'!H97,39)&lt;&gt;"",INDEX(properties!A$1:CB$87,'Fórmula'!H97,39)),IF(INDEX(properties!A$1:CB$87,'Fórmula'!J97,39)&lt;&gt;"",INDEX(properties!A$1:CB$87,'Fórmula'!J97,39)))</f>
        <v>0.85696</v>
      </c>
      <c r="DU97" s="120">
        <f t="array" ref="DU97">MAX(INDEX(properties!A$1:CB$87,'Fórmula'!B97,39),INDEX(properties!A$1:CB$87,'Fórmula'!D97,39),INDEX(properties!A$1:CB$87,'Fórmula'!F97,39),INDEX(properties!A$1:CB$87,'Fórmula'!H97,39),INDEX(properties!A$1:CB$87,'Fórmula'!J97,39))</f>
        <v>2.12</v>
      </c>
      <c r="DV97" s="120">
        <f t="array" ref="DV97">MIN(IF(INDEX(properties!A$1:CB$87,'Fórmula'!B97,39)=0,10^6,INDEX(properties!A$1:CB$87,'Fórmula'!B97,39)),IF(INDEX(properties!A$1:CB$87,'Fórmula'!D97,39)=0,10^6,INDEX(properties!A$1:CB$87,'Fórmula'!D97,39)),IF(INDEX(properties!A$1:CB$87,'Fórmula'!F97,39)=0,10^6,INDEX(properties!A$1:CB$87,'Fórmula'!F97,39)),IF(INDEX(properties!A$1:CB$87,'Fórmula'!H97,39)=0,10^6,INDEX(properties!A$1:CB$87,'Fórmula'!H97,39)),IF(INDEX(properties!A$1:CB$87,'Fórmula'!J97,39)=0,10^6,INDEX(properties!A$1:CB$87,'Fórmula'!J97,39)))</f>
        <v>0.48</v>
      </c>
      <c r="DW97" s="109">
        <f t="shared" si="21"/>
        <v>1.64</v>
      </c>
      <c r="DX97" s="110">
        <f t="array" ref="DX97">(('Fórmula'!C97)/('Fórmula'!C97+'Fórmula'!E97+'Fórmula'!G97+'Fórmula'!I97+'Fórmula'!K97))*(INDEX(properties!A$1:CB$87,'Fórmula'!B97,40))+(('Fórmula'!E97)/('Fórmula'!C97+'Fórmula'!E97+'Fórmula'!G97+'Fórmula'!I97+'Fórmula'!K97))*(INDEX(properties!A$1:CB$87,'Fórmula'!D97,40))+(('Fórmula'!G97)/('Fórmula'!C97+'Fórmula'!E97+'Fórmula'!G97+'Fórmula'!I97+'Fórmula'!K97))*(INDEX(properties!A$1:CB$87,'Fórmula'!F97,40))+(('Fórmula'!I97)/('Fórmula'!C97+'Fórmula'!E97+'Fórmula'!G97+'Fórmula'!I97+'Fórmula'!K97))*(INDEX(properties!A$1:CB$87,'Fórmula'!H97,40))+(('Fórmula'!K97)/('Fórmula'!C97+'Fórmula'!E97+'Fórmula'!G97+'Fórmula'!I97+'Fórmula'!K97))*(INDEX(properties!A$1:CB$87,'Fórmula'!J97,40))</f>
        <v>0.9519047619</v>
      </c>
      <c r="DY97" s="110">
        <f t="array" ref="DY97">'Fórmula'!C97*(INDEX(properties!A$1:CB$87,'Fórmula'!B97,40))+'Fórmula'!E97*(INDEX(properties!A$1:CB$87,'Fórmula'!D97,40))+'Fórmula'!G97*(INDEX(properties!A$1:CB$87,'Fórmula'!F97,40))+'Fórmula'!I97*(INDEX(properties!A$1:CB$87,'Fórmula'!H97,40))+'Fórmula'!K97*(INDEX(properties!A$1:CB$87,'Fórmula'!J97,40))</f>
        <v>19.99</v>
      </c>
      <c r="DZ97" s="110">
        <f t="array" ref="DZ97">VARP(IF(INDEX(properties!A$1:CB$87,'Fórmula'!B97,40)&lt;&gt;"",INDEX(properties!A$1:CB$87,'Fórmula'!B97,40)),IF(INDEX(properties!A$1:CB$87,'Fórmula'!D97,40)&lt;&gt;"",INDEX(properties!A$1:CB$87,'Fórmula'!D97,40)),IF(INDEX(properties!A$1:CB$87,'Fórmula'!F97,40)&lt;&gt;"",INDEX(properties!A$1:CB$87,'Fórmula'!F97,40)),IF(INDEX(properties!A$1:CB$87,'Fórmula'!H97,40)&lt;&gt;"",INDEX(properties!A$1:CB$87,'Fórmula'!H97,40)),IF(INDEX(properties!A$1:CB$87,'Fórmula'!J97,40)&lt;&gt;"",INDEX(properties!A$1:CB$87,'Fórmula'!J97,40)))</f>
        <v>0.47436</v>
      </c>
      <c r="EA97" s="121">
        <f t="array" ref="EA97">MAX(INDEX(properties!A$1:CB$87,'Fórmula'!B97,40),INDEX(properties!A$1:CB$87,'Fórmula'!D97,40),INDEX(properties!A$1:CB$87,'Fórmula'!F97,40),INDEX(properties!A$1:CB$87,'Fórmula'!H97,40),INDEX(properties!A$1:CB$87,'Fórmula'!J97,40))</f>
        <v>1.62</v>
      </c>
      <c r="EB97" s="121">
        <f t="array" ref="EB97">MIN(IF(INDEX(properties!A$1:CB$87,'Fórmula'!B97,40)=0,10^6,INDEX(properties!A$1:CB$87,'Fórmula'!B97,40)),IF(INDEX(properties!A$1:CB$87,'Fórmula'!D97,40)=0,10^6,INDEX(properties!A$1:CB$87,'Fórmula'!D97,40)),IF(INDEX(properties!A$1:CB$87,'Fórmula'!F97,40)=0,10^6,INDEX(properties!A$1:CB$87,'Fórmula'!F97,40)),IF(INDEX(properties!A$1:CB$87,'Fórmula'!H97,40)=0,10^6,INDEX(properties!A$1:CB$87,'Fórmula'!H97,40)),IF(INDEX(properties!A$1:CB$87,'Fórmula'!J97,40)=0,10^6,INDEX(properties!A$1:CB$87,'Fórmula'!J97,40)))</f>
        <v>0.73</v>
      </c>
      <c r="EC97" s="110">
        <f t="shared" si="22"/>
        <v>0.89</v>
      </c>
      <c r="ED97" s="111">
        <f t="array" ref="ED97">(('Fórmula'!C97)/('Fórmula'!C97+'Fórmula'!E97+'Fórmula'!G97+'Fórmula'!I97+'Fórmula'!K97))*(INDEX(properties!A$1:CB$87,'Fórmula'!B97,41))+(('Fórmula'!E97)/('Fórmula'!C97+'Fórmula'!E97+'Fórmula'!G97+'Fórmula'!I97+'Fórmula'!K97))*(INDEX(properties!A$1:CB$87,'Fórmula'!D97,41))+(('Fórmula'!G97)/('Fórmula'!C97+'Fórmula'!E97+'Fórmula'!G97+'Fórmula'!I97+'Fórmula'!K97))*(INDEX(properties!A$1:CB$87,'Fórmula'!F97,41))+(('Fórmula'!I97)/('Fórmula'!C97+'Fórmula'!E97+'Fórmula'!G97+'Fórmula'!I97+'Fórmula'!K97))*(INDEX(properties!A$1:CB$87,'Fórmula'!H97,41))+(('Fórmula'!K97)/('Fórmula'!C97+'Fórmula'!E97+'Fórmula'!G97+'Fórmula'!I97+'Fórmula'!K97))*(INDEX(properties!A$1:CB$87,'Fórmula'!J97,41))</f>
        <v>1.157142857</v>
      </c>
      <c r="EE97" s="111">
        <f t="array" ref="EE97">'Fórmula'!C97*(INDEX(properties!A$1:CB$87,'Fórmula'!B97,41))+'Fórmula'!E97*(INDEX(properties!A$1:CB$87,'Fórmula'!D97,41))+'Fórmula'!G97*(INDEX(properties!A$1:CB$87,'Fórmula'!F97,41))+'Fórmula'!I97*(INDEX(properties!A$1:CB$87,'Fórmula'!H97,41))+'Fórmula'!K97*(INDEX(properties!A$1:CB$87,'Fórmula'!J97,41))</f>
        <v>24.3</v>
      </c>
      <c r="EF97" s="111">
        <f t="array" ref="EF97">VARP(IF(INDEX(properties!A$1:CB$87,'Fórmula'!B97,41)&lt;&gt;"",INDEX(properties!A$1:CB$87,'Fórmula'!B97,41)),IF(INDEX(properties!A$1:CB$87,'Fórmula'!D97,41)&lt;&gt;"",INDEX(properties!A$1:CB$87,'Fórmula'!D97,41)),IF(INDEX(properties!A$1:CB$87,'Fórmula'!F97,41)&lt;&gt;"",INDEX(properties!A$1:CB$87,'Fórmula'!F97,41)),IF(INDEX(properties!A$1:CB$87,'Fórmula'!H97,41)&lt;&gt;"",INDEX(properties!A$1:CB$87,'Fórmula'!H97,41)),IF(INDEX(properties!A$1:CB$87,'Fórmula'!J97,41)&lt;&gt;"",INDEX(properties!A$1:CB$87,'Fórmula'!J97,41)))</f>
        <v>0.279744</v>
      </c>
      <c r="EG97" s="122">
        <f t="array" ref="EG97">MAX(INDEX(properties!A$1:CB$87,'Fórmula'!B97,41),INDEX(properties!A$1:CB$87,'Fórmula'!D97,41),INDEX(properties!A$1:CB$87,'Fórmula'!F97,41),INDEX(properties!A$1:CB$87,'Fórmula'!H97,41),INDEX(properties!A$1:CB$87,'Fórmula'!J97,41))</f>
        <v>1.26</v>
      </c>
      <c r="EH97" s="122">
        <f t="array" ref="EH97">MIN(IF(INDEX(properties!A$1:CB$87,'Fórmula'!B97,41)=0,10^6,INDEX(properties!A$1:CB$87,'Fórmula'!B97,41)),IF(INDEX(properties!A$1:CB$87,'Fórmula'!D97,41)=0,10^6,INDEX(properties!A$1:CB$87,'Fórmula'!D97,41)),IF(INDEX(properties!A$1:CB$87,'Fórmula'!F97,41)=0,10^6,INDEX(properties!A$1:CB$87,'Fórmula'!F97,41)),IF(INDEX(properties!A$1:CB$87,'Fórmula'!H97,41)=0,10^6,INDEX(properties!A$1:CB$87,'Fórmula'!H97,41)),IF(INDEX(properties!A$1:CB$87,'Fórmula'!J97,41)=0,10^6,INDEX(properties!A$1:CB$87,'Fórmula'!J97,41)))</f>
        <v>0.83</v>
      </c>
      <c r="EI97" s="111">
        <f t="shared" si="23"/>
        <v>0.43</v>
      </c>
      <c r="EJ97" s="112">
        <f t="array" ref="EJ97">(('Fórmula'!C97)/('Fórmula'!C97+'Fórmula'!E97+'Fórmula'!G97+'Fórmula'!I97+'Fórmula'!K97))*(INDEX(properties!A$1:CB$87,'Fórmula'!B97,45))+(('Fórmula'!E97)/('Fórmula'!C97+'Fórmula'!E97+'Fórmula'!G97+'Fórmula'!I97+'Fórmula'!K97))*(INDEX(properties!A$1:CB$87,'Fórmula'!D97,45))+(('Fórmula'!G97)/('Fórmula'!C97+'Fórmula'!E97+'Fórmula'!G97+'Fórmula'!I97+'Fórmula'!K97))*(INDEX(properties!A$1:CB$87,'Fórmula'!F97,45))+(('Fórmula'!I97)/('Fórmula'!C97+'Fórmula'!E97+'Fórmula'!G97+'Fórmula'!I97+'Fórmula'!K97))*(INDEX(properties!A$1:CB$87,'Fórmula'!H97,45))+(('Fórmula'!K97)/('Fórmula'!C97+'Fórmula'!E97+'Fórmula'!G97+'Fórmula'!I97+'Fórmula'!K97))*(INDEX(properties!A$1:CB$87,'Fórmula'!J97,45))</f>
        <v>1.133809524</v>
      </c>
      <c r="EK97" s="112">
        <f t="array" ref="EK97">'Fórmula'!C97*(INDEX(properties!A$1:CB$87,'Fórmula'!B97,45))+'Fórmula'!E97*(INDEX(properties!A$1:CB$87,'Fórmula'!D97,45))+'Fórmula'!G97*(INDEX(properties!A$1:CB$87,'Fórmula'!F97,45))+'Fórmula'!I97*(INDEX(properties!A$1:CB$87,'Fórmula'!H97,45))+'Fórmula'!K97*(INDEX(properties!A$1:CB$87,'Fórmula'!J97,45))</f>
        <v>23.81</v>
      </c>
      <c r="EL97" s="112">
        <f t="array" ref="EL97">VARP(IF(INDEX(properties!A$1:CB$87,'Fórmula'!B97,45)&lt;&gt;"",INDEX(properties!A$1:CB$87,'Fórmula'!B97,45)),IF(INDEX(properties!A$1:CB$87,'Fórmula'!D97,45)&lt;&gt;"",INDEX(properties!A$1:CB$87,'Fórmula'!D97,45)),IF(INDEX(properties!A$1:CB$87,'Fórmula'!F97,45)&lt;&gt;"",INDEX(properties!A$1:CB$87,'Fórmula'!F97,45)),IF(INDEX(properties!A$1:CB$87,'Fórmula'!H97,45)&lt;&gt;"",INDEX(properties!A$1:CB$87,'Fórmula'!H97,45)),IF(INDEX(properties!A$1:CB$87,'Fórmula'!J97,45)&lt;&gt;"",INDEX(properties!A$1:CB$87,'Fórmula'!J97,45)))</f>
        <v>1.749504</v>
      </c>
      <c r="EM97" s="123">
        <f t="array" ref="EM97">MAX(INDEX(properties!A$1:CB$87,'Fórmula'!B97,45),INDEX(properties!A$1:CB$87,'Fórmula'!D97,45),INDEX(properties!A$1:CB$87,'Fórmula'!F97,45),INDEX(properties!A$1:CB$87,'Fórmula'!H97,45),INDEX(properties!A$1:CB$87,'Fórmula'!J97,45))</f>
        <v>2.94</v>
      </c>
      <c r="EN97" s="123">
        <f t="array" ref="EN97">MIN(IF(INDEX(properties!A$1:CB$87,'Fórmula'!B97,45)=0,10^6,INDEX(properties!A$1:CB$87,'Fórmula'!B97,45)),IF(INDEX(properties!A$1:CB$87,'Fórmula'!D97,45)=0,10^6,INDEX(properties!A$1:CB$87,'Fórmula'!D97,45)),IF(INDEX(properties!A$1:CB$87,'Fórmula'!F97,45)=0,10^6,INDEX(properties!A$1:CB$87,'Fórmula'!F97,45)),IF(INDEX(properties!A$1:CB$87,'Fórmula'!H97,45)=0,10^6,INDEX(properties!A$1:CB$87,'Fórmula'!H97,45)),IF(INDEX(properties!A$1:CB$87,'Fórmula'!J97,45)=0,10^6,INDEX(properties!A$1:CB$87,'Fórmula'!J97,45)))</f>
        <v>0.47</v>
      </c>
      <c r="EO97" s="112">
        <f t="shared" si="24"/>
        <v>2.47</v>
      </c>
      <c r="EP97" s="113">
        <f t="array" ref="EP97">(('Fórmula'!C97)/('Fórmula'!C97+'Fórmula'!E97+'Fórmula'!G97+'Fórmula'!I97+'Fórmula'!K97))*(INDEX(properties!A$1:CB$87,'Fórmula'!B97,46))+(('Fórmula'!E97)/('Fórmula'!C97+'Fórmula'!E97+'Fórmula'!G97+'Fórmula'!I97+'Fórmula'!K97))*(INDEX(properties!A$1:CB$87,'Fórmula'!D97,46))+(('Fórmula'!G97)/('Fórmula'!C97+'Fórmula'!E97+'Fórmula'!G97+'Fórmula'!I97+'Fórmula'!K97))*(INDEX(properties!A$1:CB$87,'Fórmula'!F97,46))+(('Fórmula'!I97)/('Fórmula'!C97+'Fórmula'!E97+'Fórmula'!G97+'Fórmula'!I97+'Fórmula'!K97))*(INDEX(properties!A$1:CB$87,'Fórmula'!H97,46))+(('Fórmula'!K97)/('Fórmula'!C97+'Fórmula'!E97+'Fórmula'!G97+'Fórmula'!I97+'Fórmula'!K97))*(INDEX(properties!A$1:CB$87,'Fórmula'!J97,46))</f>
        <v>1.113809524</v>
      </c>
      <c r="EQ97" s="113">
        <f t="array" ref="EQ97">'Fórmula'!C97*(INDEX(properties!A$1:CB$87,'Fórmula'!B97,46))+'Fórmula'!E97*(INDEX(properties!A$1:CB$87,'Fórmula'!D97,46))+'Fórmula'!G97*(INDEX(properties!A$1:CB$87,'Fórmula'!F97,46))+'Fórmula'!I97*(INDEX(properties!A$1:CB$87,'Fórmula'!H97,46))+'Fórmula'!K97*(INDEX(properties!A$1:CB$87,'Fórmula'!J97,46))</f>
        <v>23.39</v>
      </c>
      <c r="ER97" s="113">
        <f t="array" ref="ER97">VARP(IF(INDEX(properties!A$1:CB$87,'Fórmula'!B97,46)&lt;&gt;"",INDEX(properties!A$1:CB$87,'Fórmula'!B97,46)),IF(INDEX(properties!A$1:CB$87,'Fórmula'!D97,46)&lt;&gt;"",INDEX(properties!A$1:CB$87,'Fórmula'!D97,46)),IF(INDEX(properties!A$1:CB$87,'Fórmula'!F97,46)&lt;&gt;"",INDEX(properties!A$1:CB$87,'Fórmula'!F97,46)),IF(INDEX(properties!A$1:CB$87,'Fórmula'!H97,46)&lt;&gt;"",INDEX(properties!A$1:CB$87,'Fórmula'!H97,46)),IF(INDEX(properties!A$1:CB$87,'Fórmula'!J97,46)&lt;&gt;"",INDEX(properties!A$1:CB$87,'Fórmula'!J97,46)))</f>
        <v>0.264296</v>
      </c>
      <c r="ES97" s="124">
        <f t="array" ref="ES97">MAX(INDEX(properties!A$1:CB$87,'Fórmula'!B97,46),INDEX(properties!A$1:CB$87,'Fórmula'!D97,46),INDEX(properties!A$1:CB$87,'Fórmula'!F97,46),INDEX(properties!A$1:CB$87,'Fórmula'!H97,46),INDEX(properties!A$1:CB$87,'Fórmula'!J97,46))</f>
        <v>1.21</v>
      </c>
      <c r="ET97" s="124">
        <f t="array" ref="ET97">MIN(IF(INDEX(properties!A$1:CB$87,'Fórmula'!B97,46)=0,10^6,INDEX(properties!A$1:CB$87,'Fórmula'!B97,46)),IF(INDEX(properties!A$1:CB$87,'Fórmula'!D97,46)=0,10^6,INDEX(properties!A$1:CB$87,'Fórmula'!D97,46)),IF(INDEX(properties!A$1:CB$87,'Fórmula'!F97,46)=0,10^6,INDEX(properties!A$1:CB$87,'Fórmula'!F97,46)),IF(INDEX(properties!A$1:CB$87,'Fórmula'!H97,46)=0,10^6,INDEX(properties!A$1:CB$87,'Fórmula'!H97,46)),IF(INDEX(properties!A$1:CB$87,'Fórmula'!J97,46)=0,10^6,INDEX(properties!A$1:CB$87,'Fórmula'!J97,46)))</f>
        <v>0.79</v>
      </c>
      <c r="EU97" s="113">
        <f t="shared" si="25"/>
        <v>0.42</v>
      </c>
      <c r="EV97" s="114">
        <f t="array" ref="EV97">(('Fórmula'!C97)/('Fórmula'!C97+'Fórmula'!E97+'Fórmula'!G97+'Fórmula'!I97+'Fórmula'!K97))*(INDEX(properties!A$1:CB$87,'Fórmula'!B97,52))+(('Fórmula'!E97)/('Fórmula'!C97+'Fórmula'!E97+'Fórmula'!G97+'Fórmula'!I97+'Fórmula'!K97))*(INDEX(properties!A$1:CB$87,'Fórmula'!D97,52))+(('Fórmula'!G97)/('Fórmula'!C97+'Fórmula'!E97+'Fórmula'!G97+'Fórmula'!I97+'Fórmula'!K97))*(INDEX(properties!A$1:CB$87,'Fórmula'!F97,52))+(('Fórmula'!I97)/('Fórmula'!C97+'Fórmula'!E97+'Fórmula'!G97+'Fórmula'!I97+'Fórmula'!K97))*(INDEX(properties!A$1:CB$87,'Fórmula'!H97,52))+(('Fórmula'!K97)/('Fórmula'!C97+'Fórmula'!E97+'Fórmula'!G97+'Fórmula'!I97+'Fórmula'!K97))*(INDEX(properties!A$1:CB$87,'Fórmula'!J97,52))</f>
        <v>5.166428571</v>
      </c>
      <c r="EW97" s="114">
        <f t="array" ref="EW97">'Fórmula'!C97*(INDEX(properties!A$1:CB$87,'Fórmula'!B97,52))+'Fórmula'!E97*(INDEX(properties!A$1:CB$87,'Fórmula'!D97,52))+'Fórmula'!G97*(INDEX(properties!A$1:CB$87,'Fórmula'!F97,52))+'Fórmula'!I97*(INDEX(properties!A$1:CB$87,'Fórmula'!H97,52))+'Fórmula'!K97*(INDEX(properties!A$1:CB$87,'Fórmula'!J97,52))</f>
        <v>108.495</v>
      </c>
      <c r="EX97" s="114">
        <f t="array" ref="EX97">VARP(IF(INDEX(properties!A$1:CB$87,'Fórmula'!B97,52)&lt;&gt;"",INDEX(properties!A$1:CB$87,'Fórmula'!B97,52)),IF(INDEX(properties!A$1:CB$87,'Fórmula'!D97,52)&lt;&gt;"",INDEX(properties!A$1:CB$87,'Fórmula'!D97,52)),IF(INDEX(properties!A$1:CB$87,'Fórmula'!F97,52)&lt;&gt;"",INDEX(properties!A$1:CB$87,'Fórmula'!F97,52)),IF(INDEX(properties!A$1:CB$87,'Fórmula'!H97,52)&lt;&gt;"",INDEX(properties!A$1:CB$87,'Fórmula'!H97,52)),IF(INDEX(properties!A$1:CB$87,'Fórmula'!J97,52)&lt;&gt;"",INDEX(properties!A$1:CB$87,'Fórmula'!J97,52)))</f>
        <v>83.26449584</v>
      </c>
      <c r="EY97" s="114">
        <f t="array" ref="EY97">MAX(INDEX(properties!A$1:CB$87,'Fórmula'!B97,52),INDEX(properties!A$1:CB$87,'Fórmula'!D97,52),INDEX(properties!A$1:CB$87,'Fórmula'!F97,52),INDEX(properties!A$1:CB$87,'Fórmula'!H97,52),INDEX(properties!A$1:CB$87,'Fórmula'!J97,52))</f>
        <v>22.7</v>
      </c>
      <c r="EZ97" s="114">
        <f t="array" ref="EZ97">MIN(IF(INDEX(properties!A$1:CB$87,'Fórmula'!B97,52)=0,10^6,INDEX(properties!A$1:CB$87,'Fórmula'!B97,52)),IF(INDEX(properties!A$1:CB$87,'Fórmula'!D97,52)=0,10^6,INDEX(properties!A$1:CB$87,'Fórmula'!D97,52)),IF(INDEX(properties!A$1:CB$87,'Fórmula'!F97,52)=0,10^6,INDEX(properties!A$1:CB$87,'Fórmula'!F97,52)),IF(INDEX(properties!A$1:CB$87,'Fórmula'!H97,52)=0,10^6,INDEX(properties!A$1:CB$87,'Fórmula'!H97,52)),IF(INDEX(properties!A$1:CB$87,'Fórmula'!J97,52)=0,10^6,INDEX(properties!A$1:CB$87,'Fórmula'!J97,52)))</f>
        <v>0.793</v>
      </c>
      <c r="FA97" s="114">
        <f t="shared" si="26"/>
        <v>21.907</v>
      </c>
      <c r="FB97" s="115">
        <f t="array" ref="FB97">(('Fórmula'!C97)/('Fórmula'!C97+'Fórmula'!E97+'Fórmula'!G97+'Fórmula'!I97+'Fórmula'!K97))*(INDEX(properties!A$1:CB$87,'Fórmula'!B97,53))+(('Fórmula'!E97)/('Fórmula'!C97+'Fórmula'!E97+'Fórmula'!G97+'Fórmula'!I97+'Fórmula'!K97))*(INDEX(properties!A$1:CB$87,'Fórmula'!D97,53))+(('Fórmula'!G97)/('Fórmula'!C97+'Fórmula'!E97+'Fórmula'!G97+'Fórmula'!I97+'Fórmula'!K97))*(INDEX(properties!A$1:CB$87,'Fórmula'!F97,53))+(('Fórmula'!I97)/('Fórmula'!C97+'Fórmula'!E97+'Fórmula'!G97+'Fórmula'!I97+'Fórmula'!K97))*(INDEX(properties!A$1:CB$87,'Fórmula'!H97,53))+(('Fórmula'!K97)/('Fórmula'!C97+'Fórmula'!E97+'Fórmula'!G97+'Fórmula'!I97+'Fórmula'!K97))*(INDEX(properties!A$1:CB$87,'Fórmula'!J97,53))</f>
        <v>760.6738095</v>
      </c>
      <c r="FC97" s="115">
        <f t="array" ref="FC97">'Fórmula'!C97*(INDEX(properties!A$1:CB$87,'Fórmula'!B97,53))+'Fórmula'!E97*(INDEX(properties!A$1:CB$87,'Fórmula'!D97,53))+'Fórmula'!G97*(INDEX(properties!A$1:CB$87,'Fórmula'!F97,53))+'Fórmula'!I97*(INDEX(properties!A$1:CB$87,'Fórmula'!H97,53))+'Fórmula'!K97*(INDEX(properties!A$1:CB$87,'Fórmula'!J97,53))</f>
        <v>15974.15</v>
      </c>
      <c r="FD97" s="115">
        <f t="array" ref="FD97">VARP(IF(INDEX(properties!A$1:CB$87,'Fórmula'!B97,53)&lt;&gt;"",INDEX(properties!A$1:CB$87,'Fórmula'!B97,53)),IF(INDEX(properties!A$1:CB$87,'Fórmula'!D97,53)&lt;&gt;"",INDEX(properties!A$1:CB$87,'Fórmula'!D97,53)),IF(INDEX(properties!A$1:CB$87,'Fórmula'!F97,53)&lt;&gt;"",INDEX(properties!A$1:CB$87,'Fórmula'!F97,53)),IF(INDEX(properties!A$1:CB$87,'Fórmula'!H97,53)&lt;&gt;"",INDEX(properties!A$1:CB$87,'Fórmula'!H97,53)),IF(INDEX(properties!A$1:CB$87,'Fórmula'!J97,53)&lt;&gt;"",INDEX(properties!A$1:CB$87,'Fórmula'!J97,53)))</f>
        <v>1417321.677</v>
      </c>
      <c r="FE97" s="115">
        <f t="array" ref="FE97">MAX(INDEX(properties!A$1:CB$87,'Fórmula'!B97,53),INDEX(properties!A$1:CB$87,'Fórmula'!D97,53),INDEX(properties!A$1:CB$87,'Fórmula'!F97,53),INDEX(properties!A$1:CB$87,'Fórmula'!H97,53),INDEX(properties!A$1:CB$87,'Fórmula'!J97,53))</f>
        <v>2890.15</v>
      </c>
      <c r="FF97" s="115">
        <f t="array" ref="FF97">MIN(IF(INDEX(properties!A$1:CB$87,'Fórmula'!B97,53)=0,10^6,INDEX(properties!A$1:CB$87,'Fórmula'!B97,53)),IF(INDEX(properties!A$1:CB$87,'Fórmula'!D97,53)=0,10^6,INDEX(properties!A$1:CB$87,'Fórmula'!D97,53)),IF(INDEX(properties!A$1:CB$87,'Fórmula'!F97,53)=0,10^6,INDEX(properties!A$1:CB$87,'Fórmula'!F97,53)),IF(INDEX(properties!A$1:CB$87,'Fórmula'!H97,53)=0,10^6,INDEX(properties!A$1:CB$87,'Fórmula'!H97,53)),IF(INDEX(properties!A$1:CB$87,'Fórmula'!J97,53)=0,10^6,INDEX(properties!A$1:CB$87,'Fórmula'!J97,53)))</f>
        <v>54.75</v>
      </c>
      <c r="FG97" s="115">
        <f t="shared" si="27"/>
        <v>2835.4</v>
      </c>
      <c r="FH97" s="117">
        <f t="array" ref="FH97">(('Fórmula'!C97)/('Fórmula'!C97+'Fórmula'!E97+'Fórmula'!G97+'Fórmula'!I97+'Fórmula'!K97))*(INDEX(properties!A$1:CB$87,'Fórmula'!B97,54))+(('Fórmula'!E97)/('Fórmula'!C97+'Fórmula'!E97+'Fórmula'!G97+'Fórmula'!I97+'Fórmula'!K97))*(INDEX(properties!A$1:CB$87,'Fórmula'!D97,54))+(('Fórmula'!G97)/('Fórmula'!C97+'Fórmula'!E97+'Fórmula'!G97+'Fórmula'!I97+'Fórmula'!K97))*(INDEX(properties!A$1:CB$87,'Fórmula'!F97,54))+(('Fórmula'!I97)/('Fórmula'!C97+'Fórmula'!E97+'Fórmula'!G97+'Fórmula'!I97+'Fórmula'!K97))*(INDEX(properties!A$1:CB$87,'Fórmula'!H97,54))+(('Fórmula'!K97)/('Fórmula'!C97+'Fórmula'!E97+'Fórmula'!G97+'Fórmula'!I97+'Fórmula'!K97))*(INDEX(properties!A$1:CB$87,'Fórmula'!J97,54))</f>
        <v>1338.721429</v>
      </c>
      <c r="FI97" s="117">
        <f t="array" ref="FI97">'Fórmula'!C97*(INDEX(properties!A$1:CB$87,'Fórmula'!B97,54))+'Fórmula'!E97*(INDEX(properties!A$1:CB$87,'Fórmula'!D97,54))+'Fórmula'!G97*(INDEX(properties!A$1:CB$87,'Fórmula'!F97,54))+'Fórmula'!I97*(INDEX(properties!A$1:CB$87,'Fórmula'!H97,54))+'Fórmula'!K97*(INDEX(properties!A$1:CB$87,'Fórmula'!J97,54))</f>
        <v>28113.15</v>
      </c>
      <c r="FJ97" s="117">
        <f t="array" ref="FJ97">VARP(IF(INDEX(properties!A$1:CB$87,'Fórmula'!B97,54)&lt;&gt;"",INDEX(properties!A$1:CB$87,'Fórmula'!B97,54)),IF(INDEX(properties!A$1:CB$87,'Fórmula'!D97,54)&lt;&gt;"",INDEX(properties!A$1:CB$87,'Fórmula'!D97,54)),IF(INDEX(properties!A$1:CB$87,'Fórmula'!F97,54)&lt;&gt;"",INDEX(properties!A$1:CB$87,'Fórmula'!F97,54)),IF(INDEX(properties!A$1:CB$87,'Fórmula'!H97,54)&lt;&gt;"",INDEX(properties!A$1:CB$87,'Fórmula'!H97,54)),IF(INDEX(properties!A$1:CB$87,'Fórmula'!J97,54)&lt;&gt;"",INDEX(properties!A$1:CB$87,'Fórmula'!J97,54)))</f>
        <v>4432802.045</v>
      </c>
      <c r="FK97" s="117">
        <f t="array" ref="FK97">MAX(INDEX(properties!A$1:CB$87,'Fórmula'!B97,54),INDEX(properties!A$1:CB$87,'Fórmula'!D97,54),INDEX(properties!A$1:CB$87,'Fórmula'!F97,54),INDEX(properties!A$1:CB$87,'Fórmula'!H97,54),INDEX(properties!A$1:CB$87,'Fórmula'!J97,54))</f>
        <v>4885.15</v>
      </c>
      <c r="FL97" s="117">
        <f t="array" ref="FL97">MIN(IF(INDEX(properties!A$1:CB$87,'Fórmula'!B97,54)=0,10^6,INDEX(properties!A$1:CB$87,'Fórmula'!B97,54)),IF(INDEX(properties!A$1:CB$87,'Fórmula'!D97,54)=0,10^6,INDEX(properties!A$1:CB$87,'Fórmula'!D97,54)),IF(INDEX(properties!A$1:CB$87,'Fórmula'!F97,54)=0,10^6,INDEX(properties!A$1:CB$87,'Fórmula'!F97,54)),IF(INDEX(properties!A$1:CB$87,'Fórmula'!H97,54)=0,10^6,INDEX(properties!A$1:CB$87,'Fórmula'!H97,54)),IF(INDEX(properties!A$1:CB$87,'Fórmula'!J97,54)=0,10^6,INDEX(properties!A$1:CB$87,'Fórmula'!J97,54)))</f>
        <v>90.15</v>
      </c>
      <c r="FM97" s="117">
        <f t="shared" si="28"/>
        <v>4795</v>
      </c>
      <c r="FN97" s="118">
        <f t="array" ref="FN97">(('Fórmula'!C97)/('Fórmula'!C97+'Fórmula'!E97+'Fórmula'!G97+'Fórmula'!I97+'Fórmula'!K97))*(INDEX(properties!A$1:CB$87,'Fórmula'!B97,55))+(('Fórmula'!E97)/('Fórmula'!C97+'Fórmula'!E97+'Fórmula'!G97+'Fórmula'!I97+'Fórmula'!K97))*(INDEX(properties!A$1:CB$87,'Fórmula'!D97,55))+(('Fórmula'!G97)/('Fórmula'!C97+'Fórmula'!E97+'Fórmula'!G97+'Fórmula'!I97+'Fórmula'!K97))*(INDEX(properties!A$1:CB$87,'Fórmula'!F97,55))+(('Fórmula'!I97)/('Fórmula'!C97+'Fórmula'!E97+'Fórmula'!G97+'Fórmula'!I97+'Fórmula'!K97))*(INDEX(properties!A$1:CB$87,'Fórmula'!H97,55))+(('Fórmula'!K97)/('Fórmula'!C97+'Fórmula'!E97+'Fórmula'!G97+'Fórmula'!I97+'Fórmula'!K97))*(INDEX(properties!A$1:CB$87,'Fórmula'!J97,55))</f>
        <v>2.369592857</v>
      </c>
      <c r="FO97" s="118">
        <f t="array" ref="FO97">'Fórmula'!C97*(INDEX(properties!A$1:CB$87,'Fórmula'!B97,55))+'Fórmula'!E97*(INDEX(properties!A$1:CB$87,'Fórmula'!D97,54))+'Fórmula'!G97*(INDEX(properties!A$1:CB$87,'Fórmula'!F97,55))+'Fórmula'!I97*(INDEX(properties!A$1:CB$87,'Fórmula'!H97,55))+'Fórmula'!K97*(INDEX(properties!A$1:CB$87,'Fórmula'!J97,55))</f>
        <v>19549.56145</v>
      </c>
      <c r="FP97" s="118">
        <f t="array" ref="FP97">VARP(IF(INDEX(properties!A$1:CB$87,'Fórmula'!B97,55)&lt;&gt;"",INDEX(properties!A$1:CB$87,'Fórmula'!B97,55)),IF(INDEX(properties!A$1:CB$87,'Fórmula'!D97,55)&lt;&gt;"",INDEX(properties!A$1:CB$87,'Fórmula'!D97,55)),IF(INDEX(properties!A$1:CB$87,'Fórmula'!F97,55)&lt;&gt;"",INDEX(properties!A$1:CB$87,'Fórmula'!F97,55)),IF(INDEX(properties!A$1:CB$87,'Fórmula'!H97,55)&lt;&gt;"",INDEX(properties!A$1:CB$87,'Fórmula'!H97,55)),IF(INDEX(properties!A$1:CB$87,'Fórmula'!J97,55)&lt;&gt;"",INDEX(properties!A$1:CB$87,'Fórmula'!J97,55)))</f>
        <v>16.19414608</v>
      </c>
      <c r="FQ97" s="118">
        <f t="array" ref="FQ97">MAX(INDEX(properties!A$1:CB$87,'Fórmula'!B97,55),INDEX(properties!A$1:CB$87,'Fórmula'!D97,55),INDEX(properties!A$1:CB$87,'Fórmula'!F97,55),INDEX(properties!A$1:CB$87,'Fórmula'!H97,55),INDEX(properties!A$1:CB$87,'Fórmula'!J97,55))</f>
        <v>10.2</v>
      </c>
      <c r="FR97" s="118">
        <f t="array" ref="FR97">MIN(IF(INDEX(properties!A$1:CB$87,'Fórmula'!B97,55)=0,10^6,INDEX(properties!A$1:CB$87,'Fórmula'!B97,55)),IF(INDEX(properties!A$1:CB$87,'Fórmula'!D97,55)=0,10^6,INDEX(properties!A$1:CB$87,'Fórmula'!D97,55)),IF(INDEX(properties!A$1:CB$87,'Fórmula'!F97,55)=0,10^6,INDEX(properties!A$1:CB$87,'Fórmula'!F97,55)),IF(INDEX(properties!A$1:CB$87,'Fórmula'!H97,55)=0,10^6,INDEX(properties!A$1:CB$87,'Fórmula'!H97,55)),IF(INDEX(properties!A$1:CB$87,'Fórmula'!J97,55)=0,10^6,INDEX(properties!A$1:CB$87,'Fórmula'!J97,55)))</f>
        <v>0.00143</v>
      </c>
      <c r="FS97" s="118">
        <f t="shared" si="29"/>
        <v>10.19857</v>
      </c>
      <c r="FT97" s="119">
        <f t="array" ref="FT97">(('Fórmula'!C97)/('Fórmula'!C97+'Fórmula'!E97+'Fórmula'!G97+'Fórmula'!I97+'Fórmula'!K97))*(INDEX(properties!A$1:CB$87,'Fórmula'!B97,56))+(('Fórmula'!E97)/('Fórmula'!C97+'Fórmula'!E97+'Fórmula'!G97+'Fórmula'!I97+'Fórmula'!K97))*(INDEX(properties!A$1:CB$87,'Fórmula'!D97,56))+(('Fórmula'!G97)/('Fórmula'!C97+'Fórmula'!E97+'Fórmula'!G97+'Fórmula'!I97+'Fórmula'!K97))*(INDEX(properties!A$1:CB$87,'Fórmula'!F97,56))+(('Fórmula'!I97)/('Fórmula'!C97+'Fórmula'!E97+'Fórmula'!G97+'Fórmula'!I97+'Fórmula'!K97))*(INDEX(properties!A$1:CB$87,'Fórmula'!H97,56))+(('Fórmula'!K97)/('Fórmula'!C97+'Fórmula'!E97+'Fórmula'!G97+'Fórmula'!I97+'Fórmula'!K97))*(INDEX(properties!A$1:CB$87,'Fórmula'!J97,56))</f>
        <v>0.7333333333</v>
      </c>
      <c r="FU97" s="119">
        <f t="array" ref="FU97">'Fórmula'!C97*(INDEX(properties!A$1:CB$87,'Fórmula'!B97,56))+'Fórmula'!E97*(INDEX(properties!A$1:CB$87,'Fórmula'!D97,56))+'Fórmula'!G97*(INDEX(properties!A$1:CB$87,'Fórmula'!F97,56))+'Fórmula'!I97*(INDEX(properties!A$1:CB$87,'Fórmula'!H97,56))+'Fórmula'!K97*(INDEX(properties!A$1:CB$87,'Fórmula'!J97,56))</f>
        <v>15.4</v>
      </c>
      <c r="FV97" s="119">
        <f t="array" ref="FV97">VARP(IF(INDEX(properties!A$1:CB$87,'Fórmula'!B97,56)&lt;&gt;"",INDEX(properties!A$1:CB$87,'Fórmula'!B97,56)),IF(INDEX(properties!A$1:CB$87,'Fórmula'!D97,56)&lt;&gt;"",INDEX(properties!A$1:CB$87,'Fórmula'!D97,56)),IF(INDEX(properties!A$1:CB$87,'Fórmula'!F97,56)&lt;&gt;"",INDEX(properties!A$1:CB$87,'Fórmula'!F97,56)),IF(INDEX(properties!A$1:CB$87,'Fórmula'!H97,56)&lt;&gt;"",INDEX(properties!A$1:CB$87,'Fórmula'!H97,56)),IF(INDEX(properties!A$1:CB$87,'Fórmula'!J97,56)&lt;&gt;"",INDEX(properties!A$1:CB$87,'Fórmula'!J97,56)))</f>
        <v>0.113344</v>
      </c>
      <c r="FW97" s="119">
        <f t="array" ref="FW97">MAX(INDEX(properties!A$1:CB$87,'Fórmula'!B97,56),INDEX(properties!A$1:CB$87,'Fórmula'!D97,56),INDEX(properties!A$1:CB$87,'Fórmula'!F97,56),INDEX(properties!A$1:CB$87,'Fórmula'!H97,56),INDEX(properties!A$1:CB$87,'Fórmula'!J97,56))</f>
        <v>0.92</v>
      </c>
      <c r="FX97" s="119">
        <f t="array" ref="FX97">MIN(IF(INDEX(properties!A$1:CB$87,'Fórmula'!B97,56)=0,10^6,INDEX(properties!A$1:CB$87,'Fórmula'!B97,56)),IF(INDEX(properties!A$1:CB$87,'Fórmula'!D97,56)=0,10^6,INDEX(properties!A$1:CB$87,'Fórmula'!D97,56)),IF(INDEX(properties!A$1:CB$87,'Fórmula'!F97,56)=0,10^6,INDEX(properties!A$1:CB$87,'Fórmula'!F97,56)),IF(INDEX(properties!A$1:CB$87,'Fórmula'!H97,56)=0,10^6,INDEX(properties!A$1:CB$87,'Fórmula'!H97,56)),IF(INDEX(properties!A$1:CB$87,'Fórmula'!J97,56)=0,10^6,INDEX(properties!A$1:CB$87,'Fórmula'!J97,56)))</f>
        <v>0.25</v>
      </c>
      <c r="FY97" s="119">
        <f t="shared" si="30"/>
        <v>0.67</v>
      </c>
      <c r="FZ97" s="104">
        <f t="array" ref="FZ97">(('Fórmula'!C97)/('Fórmula'!C97+'Fórmula'!E97+'Fórmula'!G97+'Fórmula'!I97+'Fórmula'!K97))*(INDEX(properties!A$1:CB$87,'Fórmula'!B97,57))+(('Fórmula'!E97)/('Fórmula'!C97+'Fórmula'!E97+'Fórmula'!G97+'Fórmula'!I97+'Fórmula'!K97))*(INDEX(properties!A$1:CB$87,'Fórmula'!D97,57))+(('Fórmula'!G97)/('Fórmula'!C97+'Fórmula'!E97+'Fórmula'!G97+'Fórmula'!I97+'Fórmula'!K97))*(INDEX(properties!A$1:CB$87,'Fórmula'!F97,57))+(('Fórmula'!I97)/('Fórmula'!C97+'Fórmula'!E97+'Fórmula'!G97+'Fórmula'!I97+'Fórmula'!K97))*(INDEX(properties!A$1:CB$87,'Fórmula'!H97,57))+(('Fórmula'!K97)/('Fórmula'!C97+'Fórmula'!E97+'Fórmula'!G97+'Fórmula'!I97+'Fórmula'!K97))*(INDEX(properties!A$1:CB$87,'Fórmula'!J97,57))</f>
        <v>7.339945238</v>
      </c>
      <c r="GA97" s="104">
        <f t="array" ref="GA97">'Fórmula'!C97*(INDEX(properties!A$1:CB$87,'Fórmula'!B97,57))+'Fórmula'!E97*(INDEX(properties!A$1:CB$87,'Fórmula'!D97,57))+'Fórmula'!G97*(INDEX(properties!A$1:CB$87,'Fórmula'!F97,57))+'Fórmula'!I97*(INDEX(properties!A$1:CB$87,'Fórmula'!H97,57))+'Fórmula'!K97*(INDEX(properties!A$1:CB$87,'Fórmula'!J97,57))</f>
        <v>154.13885</v>
      </c>
      <c r="GB97" s="104">
        <f t="array" ref="GB97">VARP(IF(INDEX(properties!A$1:CB$87,'Fórmula'!B97,57)&lt;&gt;"",INDEX(properties!A$1:CB$87,'Fórmula'!B97,57)),IF(INDEX(properties!A$1:CB$87,'Fórmula'!D97,57)&lt;&gt;"",INDEX(properties!A$1:CB$87,'Fórmula'!D97,57)),IF(INDEX(properties!A$1:CB$87,'Fórmula'!F97,57)&lt;&gt;"",INDEX(properties!A$1:CB$87,'Fórmula'!F97,57)),IF(INDEX(properties!A$1:CB$87,'Fórmula'!H97,57)&lt;&gt;"",INDEX(properties!A$1:CB$87,'Fórmula'!H97,57)),IF(INDEX(properties!A$1:CB$87,'Fórmula'!J97,57)&lt;&gt;"",INDEX(properties!A$1:CB$87,'Fórmula'!J97,57)))</f>
        <v>154.6846949</v>
      </c>
      <c r="GC97" s="104">
        <f t="array" ref="GC97">MAX(INDEX(properties!A$1:CB$87,'Fórmula'!B97,57),INDEX(properties!A$1:CB$87,'Fórmula'!D97,57),INDEX(properties!A$1:CB$87,'Fórmula'!F97,57),INDEX(properties!A$1:CB$87,'Fórmula'!H97,57),INDEX(properties!A$1:CB$87,'Fórmula'!J97,57))</f>
        <v>32</v>
      </c>
      <c r="GD97" s="104">
        <f t="array" ref="GD97">MIN(IF(INDEX(properties!A$1:CB$87,'Fórmula'!B97,57)=0,10^6,INDEX(properties!A$1:CB$87,'Fórmula'!B97,57)),IF(INDEX(properties!A$1:CB$87,'Fórmula'!D97,57)=0,10^6,INDEX(properties!A$1:CB$87,'Fórmula'!D97,57)),IF(INDEX(properties!A$1:CB$87,'Fórmula'!F97,57)=0,10^6,INDEX(properties!A$1:CB$87,'Fórmula'!F97,57)),IF(INDEX(properties!A$1:CB$87,'Fórmula'!H97,57)=0,10^6,INDEX(properties!A$1:CB$87,'Fórmula'!H97,57)),IF(INDEX(properties!A$1:CB$87,'Fórmula'!J97,57)=0,10^6,INDEX(properties!A$1:CB$87,'Fórmula'!J97,57)))</f>
        <v>0.22259</v>
      </c>
      <c r="GE97" s="104">
        <f t="shared" si="31"/>
        <v>31.77741</v>
      </c>
      <c r="GF97" s="105">
        <f t="array" ref="GF97">(('Fórmula'!C97)/('Fórmula'!C97+'Fórmula'!E97+'Fórmula'!G97+'Fórmula'!I97+'Fórmula'!K97))*(INDEX(properties!A$1:CB$87,'Fórmula'!B97,60))+(('Fórmula'!E97)/('Fórmula'!C97+'Fórmula'!E97+'Fórmula'!G97+'Fórmula'!I97+'Fórmula'!K97))*(INDEX(properties!A$1:CB$87,'Fórmula'!D97,60))+(('Fórmula'!G97)/('Fórmula'!C97+'Fórmula'!E97+'Fórmula'!G97+'Fórmula'!I97+'Fórmula'!K97))*(INDEX(properties!A$1:CB$87,'Fórmula'!F97,60))+(('Fórmula'!I97)/('Fórmula'!C97+'Fórmula'!E97+'Fórmula'!G97+'Fórmula'!I97+'Fórmula'!K97))*(INDEX(properties!A$1:CB$87,'Fórmula'!H97,60))+(('Fórmula'!K97)/('Fórmula'!C97+'Fórmula'!E97+'Fórmula'!G97+'Fórmula'!I97+'Fórmula'!K97))*(INDEX(properties!A$1:CB$87,'Fórmula'!J97,60))</f>
        <v>27.94290952</v>
      </c>
      <c r="GG97" s="105">
        <f t="array" ref="GG97">'Fórmula'!C97*(INDEX(properties!A$1:CB$87,'Fórmula'!B97,60))+'Fórmula'!E97*(INDEX(properties!A$1:CB$87,'Fórmula'!D97,60))+'Fórmula'!G97*(INDEX(properties!A$1:CB$87,'Fórmula'!F97,60))+'Fórmula'!I97*(INDEX(properties!A$1:CB$87,'Fórmula'!H97,60))+'Fórmula'!K97*(INDEX(properties!A$1:CB$87,'Fórmula'!J97,60))</f>
        <v>586.8011</v>
      </c>
      <c r="GH97" s="105">
        <f t="array" ref="GH97">VARP(IF(INDEX(properties!A$1:CB$87,'Fórmula'!B97,60)&lt;&gt;"",INDEX(properties!A$1:CB$87,'Fórmula'!B97,60)),IF(INDEX(properties!A$1:CB$87,'Fórmula'!D97,60)&lt;&gt;"",INDEX(properties!A$1:CB$87,'Fórmula'!D97,60)),IF(INDEX(properties!A$1:CB$87,'Fórmula'!F97,60)&lt;&gt;"",INDEX(properties!A$1:CB$87,'Fórmula'!F97,60)),IF(INDEX(properties!A$1:CB$87,'Fórmula'!H97,60)&lt;&gt;"",INDEX(properties!A$1:CB$87,'Fórmula'!H97,60)),IF(INDEX(properties!A$1:CB$87,'Fórmula'!J97,60)&lt;&gt;"",INDEX(properties!A$1:CB$87,'Fórmula'!J97,60)))</f>
        <v>2904.154511</v>
      </c>
      <c r="GI97" s="105">
        <f t="array" ref="GI97">MAX(INDEX(properties!A$1:CB$87,'Fórmula'!B97,60),INDEX(properties!A$1:CB$87,'Fórmula'!D97,60),INDEX(properties!A$1:CB$87,'Fórmula'!F97,60),INDEX(properties!A$1:CB$87,'Fórmula'!H97,60),INDEX(properties!A$1:CB$87,'Fórmula'!J97,60))</f>
        <v>138</v>
      </c>
      <c r="GJ97" s="105">
        <f t="array" ref="GJ97">MIN(IF(INDEX(properties!A$1:CB$87,'Fórmula'!B97,60)=0,10^6,INDEX(properties!A$1:CB$87,'Fórmula'!B97,60)),IF(INDEX(properties!A$1:CB$87,'Fórmula'!D97,60)=0,10^6,INDEX(properties!A$1:CB$87,'Fórmula'!D97,60)),IF(INDEX(properties!A$1:CB$87,'Fórmula'!F97,60)=0,10^6,INDEX(properties!A$1:CB$87,'Fórmula'!F97,60)),IF(INDEX(properties!A$1:CB$87,'Fórmula'!H97,60)=0,10^6,INDEX(properties!A$1:CB$87,'Fórmula'!H97,60)),IF(INDEX(properties!A$1:CB$87,'Fórmula'!J97,60)=0,10^6,INDEX(properties!A$1:CB$87,'Fórmula'!J97,60)))</f>
        <v>0.02674</v>
      </c>
      <c r="GK97" s="105">
        <f t="shared" si="32"/>
        <v>137.97326</v>
      </c>
      <c r="GL97" s="106">
        <f t="array" ref="GL97">(('Fórmula'!C97)/('Fórmula'!C97+'Fórmula'!E97+'Fórmula'!G97+'Fórmula'!I97+'Fórmula'!K97))*(INDEX(properties!A$1:CB$87,'Fórmula'!B97,62))+(('Fórmula'!E97)/('Fórmula'!C97+'Fórmula'!E97+'Fórmula'!G97+'Fórmula'!I97+'Fórmula'!K97))*(INDEX(properties!A$1:CB$87,'Fórmula'!D97,62))+(('Fórmula'!G97)/('Fórmula'!C97+'Fórmula'!E97+'Fórmula'!G97+'Fórmula'!I97+'Fórmula'!K97))*(INDEX(properties!A$1:CB$87,'Fórmula'!F97,62))+(('Fórmula'!I97)/('Fórmula'!C97+'Fórmula'!E97+'Fórmula'!G97+'Fórmula'!I97+'Fórmula'!K97))*(INDEX(properties!A$1:CB$87,'Fórmula'!H97,62))+(('Fórmula'!K97)/('Fórmula'!C97+'Fórmula'!E97+'Fórmula'!G97+'Fórmula'!I97+'Fórmula'!K97))*(INDEX(properties!A$1:CB$87,'Fórmula'!J97,62))</f>
        <v>3.586666667</v>
      </c>
      <c r="GM97" s="106">
        <f t="array" ref="GM97">'Fórmula'!C97*(INDEX(properties!A$1:CB$87,'Fórmula'!B97,62))+'Fórmula'!E97*(INDEX(properties!A$1:CB$87,'Fórmula'!D97,62))+'Fórmula'!G97*(INDEX(properties!A$1:CB$87,'Fórmula'!F97,62))+'Fórmula'!I97*(INDEX(properties!A$1:CB$87,'Fórmula'!H97,62))+'Fórmula'!K97*(INDEX(properties!A$1:CB$87,'Fórmula'!J97,62))</f>
        <v>75.32</v>
      </c>
      <c r="GN97" s="106">
        <f t="array" ref="GN97">VARP(IF(INDEX(properties!A$1:CB$87,'Fórmula'!B97,62)&lt;&gt;"",INDEX(properties!A$1:CB$87,'Fórmula'!B97,62)),IF(INDEX(properties!A$1:CB$87,'Fórmula'!D97,62)&lt;&gt;"",INDEX(properties!A$1:CB$87,'Fórmula'!D97,62)),IF(INDEX(properties!A$1:CB$87,'Fórmula'!F97,62)&lt;&gt;"",INDEX(properties!A$1:CB$87,'Fórmula'!F97,62)),IF(INDEX(properties!A$1:CB$87,'Fórmula'!H97,62)&lt;&gt;"",INDEX(properties!A$1:CB$87,'Fórmula'!H97,62)),IF(INDEX(properties!A$1:CB$87,'Fórmula'!J97,62)&lt;&gt;"",INDEX(properties!A$1:CB$87,'Fórmula'!J97,62)))</f>
        <v>6.866096</v>
      </c>
      <c r="GO97" s="106">
        <f t="array" ref="GO97">MAX(INDEX(properties!A$1:CB$87,'Fórmula'!B97,62),INDEX(properties!A$1:CB$87,'Fórmula'!D97,62),INDEX(properties!A$1:CB$87,'Fórmula'!F97,62),INDEX(properties!A$1:CB$87,'Fórmula'!H97,62),INDEX(properties!A$1:CB$87,'Fórmula'!J97,62))</f>
        <v>6.82</v>
      </c>
      <c r="GP97" s="106">
        <f t="array" ref="GP97">MIN(IF(INDEX(properties!A$1:CB$87,'Fórmula'!B97,62)=0,10^6,INDEX(properties!A$1:CB$87,'Fórmula'!B97,62)),IF(INDEX(properties!A$1:CB$87,'Fórmula'!D97,62)=0,10^6,INDEX(properties!A$1:CB$87,'Fórmula'!D97,62)),IF(INDEX(properties!A$1:CB$87,'Fórmula'!F97,62)=0,10^6,INDEX(properties!A$1:CB$87,'Fórmula'!F97,62)),IF(INDEX(properties!A$1:CB$87,'Fórmula'!H97,62)=0,10^6,INDEX(properties!A$1:CB$87,'Fórmula'!H97,62)),IF(INDEX(properties!A$1:CB$87,'Fórmula'!J97,62)=0,10^6,INDEX(properties!A$1:CB$87,'Fórmula'!J97,62)))</f>
        <v>2.62</v>
      </c>
      <c r="GQ97" s="106">
        <f t="shared" si="33"/>
        <v>4.2</v>
      </c>
      <c r="GR97" s="106">
        <f>'Fórmula'!Q97</f>
        <v>14</v>
      </c>
      <c r="GS97" s="107">
        <f>'Fórmula'!P97</f>
        <v>6</v>
      </c>
      <c r="GT97" s="113">
        <f>'Fórmula'!O97</f>
        <v>4.03</v>
      </c>
      <c r="GU97" s="114">
        <f>AVERAGE('Fórmula'!R97/'Fórmula'!S97,'Fórmula'!S97/'Fórmula'!T97,'Fórmula'!T97/'Fórmula'!R97)</f>
        <v>1.055259535</v>
      </c>
      <c r="GV97" s="125">
        <f>'Fórmula'!U97</f>
        <v>661.17</v>
      </c>
      <c r="GW97" s="106">
        <f>'Fórmula'!N97</f>
        <v>0.4</v>
      </c>
    </row>
    <row r="98" ht="14.25" customHeight="1">
      <c r="A98" s="99" t="str">
        <f>'Fórmula'!A98</f>
        <v>CaGeO3</v>
      </c>
      <c r="B98" s="100">
        <f t="array" ref="B98">(('Fórmula'!C98)/('Fórmula'!C98+'Fórmula'!E98+'Fórmula'!G98+'Fórmula'!I98+'Fórmula'!K98))*(INDEX(properties!A$1:CB$87,'Fórmula'!B98,3))+(('Fórmula'!E98)/('Fórmula'!C98+'Fórmula'!E98+'Fórmula'!G98+'Fórmula'!I98+'Fórmula'!K98))*(INDEX(properties!A$1:CB$87,'Fórmula'!D98,3))+(('Fórmula'!G98)/('Fórmula'!C98+'Fórmula'!E98+'Fórmula'!G98+'Fórmula'!I98+'Fórmula'!K98))*(INDEX(properties!A$1:CB$87,'Fórmula'!F98,3))+(('Fórmula'!I98)/('Fórmula'!C98+'Fórmula'!E98+'Fórmula'!G98+'Fórmula'!I98+'Fórmula'!K98))*(INDEX(properties!A$1:CB$87,'Fórmula'!H98,3))+(('Fórmula'!K98)/('Fórmula'!C98+'Fórmula'!E98+'Fórmula'!G98+'Fórmula'!I98+'Fórmula'!K98))*(INDEX(properties!A$1:CB$87,'Fórmula'!J98,3))</f>
        <v>32.14124</v>
      </c>
      <c r="C98" s="101">
        <f t="array" ref="C98">'Fórmula'!C98*(INDEX(properties!A$1:CB$87,'Fórmula'!B98,3))+'Fórmula'!E98*(INDEX(properties!A$1:CB$87,'Fórmula'!D98,3))+'Fórmula'!G98*(INDEX(properties!A$1:CB$87,'Fórmula'!F98,3))+'Fórmula'!I98*(INDEX(properties!A$1:CB$87,'Fórmula'!H98,3))+'Fórmula'!K98*(INDEX(properties!A$1:CB$87,'Fórmula'!J98,3))</f>
        <v>160.7062</v>
      </c>
      <c r="D98" s="101">
        <f t="array" ref="D98">VARP(IF(INDEX(properties!A$1:CB$87,'Fórmula'!B98,3)&lt;&gt;"",INDEX(properties!A$1:CB$87,'Fórmula'!B98,3)),IF(INDEX(properties!A$1:CB$87,'Fórmula'!D98,3)&lt;&gt;"",INDEX(properties!A$1:CB$87,'Fórmula'!D98,3)),IF(INDEX(properties!A$1:CB$87,'Fórmula'!F98,3)&lt;&gt;"",INDEX(properties!A$1:CB$87,'Fórmula'!F98,3)),IF(INDEX(properties!A$1:CB$87,'Fórmula'!H98,3)&lt;&gt;"",INDEX(properties!A$1:CB$87,'Fórmula'!H98,3)),IF(INDEX(properties!A$1:CB$87,'Fórmula'!J98,3)&lt;&gt;"",INDEX(properties!A$1:CB$87,'Fórmula'!J98,3)))</f>
        <v>764.8449643</v>
      </c>
      <c r="E98" s="101">
        <f t="array" ref="E98">MAX(INDEX(properties!A$1:CB$87,'Fórmula'!B98,3),INDEX(properties!A$1:CB$87,'Fórmula'!D98,3),INDEX(properties!A$1:CB$87,'Fórmula'!F98,3),INDEX(properties!A$1:CB$87,'Fórmula'!H98,3),INDEX(properties!A$1:CB$87,'Fórmula'!J98,3))</f>
        <v>72.63</v>
      </c>
      <c r="F98" s="101">
        <f t="array" ref="F98">MIN(IF(INDEX(properties!A$1:CB$87,'Fórmula'!B98,3)=0,10^6,INDEX(properties!A$1:CB$87,'Fórmula'!B98,3)),IF(INDEX(properties!A$1:CB$87,'Fórmula'!D98,3)=0,10^6,INDEX(properties!A$1:CB$87,'Fórmula'!D98,3)),IF(INDEX(properties!A$1:CB$87,'Fórmula'!F98,3)=0,10^6,INDEX(properties!A$1:CB$87,'Fórmula'!F98,3)),IF(INDEX(properties!A$1:CB$87,'Fórmula'!H98,3)=0,10^6,INDEX(properties!A$1:CB$87,'Fórmula'!H98,3)),IF(INDEX(properties!A$1:CB$87,'Fórmula'!J98,3)=0,10^6,INDEX(properties!A$1:CB$87,'Fórmula'!J98,3)))</f>
        <v>15.9994</v>
      </c>
      <c r="G98" s="101">
        <f t="shared" si="1"/>
        <v>56.6306</v>
      </c>
      <c r="H98" s="102">
        <f t="array" ref="H98">(('Fórmula'!C98)/('Fórmula'!C98+'Fórmula'!E98+'Fórmula'!G98+'Fórmula'!I98+'Fórmula'!K98))*(INDEX(properties!A$1:CB$87,'Fórmula'!B98,4))+(('Fórmula'!E98)/('Fórmula'!C98+'Fórmula'!E98+'Fórmula'!G98+'Fórmula'!I98+'Fórmula'!K98))*(INDEX(properties!A$1:CB$87,'Fórmula'!D98,4))+(('Fórmula'!G98)/('Fórmula'!C98+'Fórmula'!E98+'Fórmula'!G98+'Fórmula'!I98+'Fórmula'!K98))*(INDEX(properties!A$1:CB$87,'Fórmula'!F98,4))+(('Fórmula'!I98)/('Fórmula'!C98+'Fórmula'!E98+'Fórmula'!G98+'Fórmula'!I98+'Fórmula'!K98))*(INDEX(properties!A$1:CB$87,'Fórmula'!H98,4))+(('Fórmula'!K98)/('Fórmula'!C98+'Fórmula'!E98+'Fórmula'!G98+'Fórmula'!I98+'Fórmula'!K98))*(INDEX(properties!A$1:CB$87,'Fórmula'!J98,4))</f>
        <v>15.2</v>
      </c>
      <c r="I98" s="102">
        <f t="array" ref="I98">'Fórmula'!C98*(INDEX(properties!A$1:CB$87,'Fórmula'!B98,4))+'Fórmula'!E98*(INDEX(properties!A$1:CB$87,'Fórmula'!D98,4))+'Fórmula'!G98*(INDEX(properties!A$1:CB$87,'Fórmula'!F98,4))+'Fórmula'!I98*(INDEX(properties!A$1:CB$87,'Fórmula'!H98,4))+'Fórmula'!K98*(INDEX(properties!A$1:CB$87,'Fórmula'!J98,4))</f>
        <v>76</v>
      </c>
      <c r="J98" s="102">
        <f t="array" ref="J98">VARP(IF(INDEX(properties!A$1:CB$87,'Fórmula'!B98,4)&lt;&gt;"",INDEX(properties!A$1:CB$87,'Fórmula'!B98,4)),IF(INDEX(properties!A$1:CB$87,'Fórmula'!D98,4)&lt;&gt;"",INDEX(properties!A$1:CB$87,'Fórmula'!D98,4)),IF(INDEX(properties!A$1:CB$87,'Fórmula'!F98,4)&lt;&gt;"",INDEX(properties!A$1:CB$87,'Fórmula'!F98,4)),IF(INDEX(properties!A$1:CB$87,'Fórmula'!H98,4)&lt;&gt;"",INDEX(properties!A$1:CB$87,'Fórmula'!H98,4)),IF(INDEX(properties!A$1:CB$87,'Fórmula'!J98,4)&lt;&gt;"",INDEX(properties!A$1:CB$87,'Fórmula'!J98,4)))</f>
        <v>153.6</v>
      </c>
      <c r="K98" s="102">
        <f t="array" ref="K98">MAX(INDEX(properties!A$1:CB$87,'Fórmula'!B98,4),INDEX(properties!A$1:CB$87,'Fórmula'!D98,4),INDEX(properties!A$1:CB$87,'Fórmula'!F98,4),INDEX(properties!A$1:CB$87,'Fórmula'!H98,4),INDEX(properties!A$1:CB$87,'Fórmula'!J98,4))</f>
        <v>32</v>
      </c>
      <c r="L98" s="102">
        <f t="array" ref="L98">MIN(IF(INDEX(properties!A$1:CB$87,'Fórmula'!B98,4)=0,10^6,INDEX(properties!A$1:CB$87,'Fórmula'!B98,4)),IF(INDEX(properties!A$1:CB$87,'Fórmula'!D98,4)=0,10^6,INDEX(properties!A$1:CB$87,'Fórmula'!D98,4)),IF(INDEX(properties!A$1:CB$87,'Fórmula'!F98,4)=0,10^6,INDEX(properties!A$1:CB$87,'Fórmula'!F98,4)),IF(INDEX(properties!A$1:CB$87,'Fórmula'!H98,4)=0,10^6,INDEX(properties!A$1:CB$87,'Fórmula'!H98,4)),IF(INDEX(properties!A$1:CB$87,'Fórmula'!J98,4)=0,10^6,INDEX(properties!A$1:CB$87,'Fórmula'!J98,4)))</f>
        <v>8</v>
      </c>
      <c r="M98" s="102">
        <f t="shared" si="2"/>
        <v>24</v>
      </c>
      <c r="N98" s="103">
        <f t="array" ref="N98">(('Fórmula'!C98)/('Fórmula'!C98+'Fórmula'!E98+'Fórmula'!G98+'Fórmula'!I98+'Fórmula'!K98))*(INDEX(properties!A$1:CB$87,'Fórmula'!B98,5))+(('Fórmula'!E98)/('Fórmula'!C98+'Fórmula'!E98+'Fórmula'!G98+'Fórmula'!I98+'Fórmula'!K98))*(INDEX(properties!A$1:CB$87,'Fórmula'!D98,5))+(('Fórmula'!G98)/('Fórmula'!C98+'Fórmula'!E98+'Fórmula'!G98+'Fórmula'!I98+'Fórmula'!K98))*(INDEX(properties!A$1:CB$87,'Fórmula'!F98,5))+(('Fórmula'!I98)/('Fórmula'!C98+'Fórmula'!E98+'Fórmula'!G98+'Fórmula'!I98+'Fórmula'!K98))*(INDEX(properties!A$1:CB$87,'Fórmula'!H98,5))+(('Fórmula'!K98)/('Fórmula'!C98+'Fórmula'!E98+'Fórmula'!G98+'Fórmula'!I98+'Fórmula'!K98))*(INDEX(properties!A$1:CB$87,'Fórmula'!J98,5))</f>
        <v>2.8</v>
      </c>
      <c r="O98" s="103">
        <f t="array" ref="O98">'Fórmula'!C98*(INDEX(properties!A$1:CB$87,'Fórmula'!B98,5))+'Fórmula'!E98*(INDEX(properties!A$1:CB$87,'Fórmula'!D98,5))+'Fórmula'!G98*(INDEX(properties!A$1:CB$87,'Fórmula'!F98,5))+'Fórmula'!I98*(INDEX(properties!A$1:CB$87,'Fórmula'!H98,5))+'Fórmula'!K98*(INDEX(properties!A$1:CB$87,'Fórmula'!J98,5))</f>
        <v>14</v>
      </c>
      <c r="P98" s="103">
        <f t="array" ref="P98">VARP(IF(INDEX(properties!A$1:CB$87,'Fórmula'!B98,5)&lt;&gt;"",INDEX(properties!A$1:CB$87,'Fórmula'!B98,5)),IF(INDEX(properties!A$1:CB$87,'Fórmula'!D98,5)&lt;&gt;"",INDEX(properties!A$1:CB$87,'Fórmula'!D98,5)),IF(INDEX(properties!A$1:CB$87,'Fórmula'!F98,5)&lt;&gt;"",INDEX(properties!A$1:CB$87,'Fórmula'!F98,5)),IF(INDEX(properties!A$1:CB$87,'Fórmula'!H98,5)&lt;&gt;"",INDEX(properties!A$1:CB$87,'Fórmula'!H98,5)),IF(INDEX(properties!A$1:CB$87,'Fórmula'!J98,5)&lt;&gt;"",INDEX(properties!A$1:CB$87,'Fórmula'!J98,5)))</f>
        <v>3.2</v>
      </c>
      <c r="Q98" s="103">
        <f t="array" ref="Q98">MAX(INDEX(properties!A$1:CB$87,'Fórmula'!B98,5),INDEX(properties!A$1:CB$87,'Fórmula'!D98,5),INDEX(properties!A$1:CB$87,'Fórmula'!F98,5),INDEX(properties!A$1:CB$87,'Fórmula'!H98,5),INDEX(properties!A$1:CB$87,'Fórmula'!J98,5))</f>
        <v>4</v>
      </c>
      <c r="R98" s="103">
        <f t="array" ref="R98">MIN(IF(INDEX(properties!A$1:CB$87,'Fórmula'!B98,5)=0,10^6,INDEX(properties!A$1:CB$87,'Fórmula'!B98,5)),IF(INDEX(properties!A$1:CB$87,'Fórmula'!D98,5)=0,10^6,INDEX(properties!A$1:CB$87,'Fórmula'!D98,5)),IF(INDEX(properties!A$1:CB$87,'Fórmula'!F98,5)=0,10^6,INDEX(properties!A$1:CB$87,'Fórmula'!F98,5)),IF(INDEX(properties!A$1:CB$87,'Fórmula'!H98,5)=0,10^6,INDEX(properties!A$1:CB$87,'Fórmula'!H98,5)),IF(INDEX(properties!A$1:CB$87,'Fórmula'!J98,5)=0,10^6,INDEX(properties!A$1:CB$87,'Fórmula'!J98,5)))</f>
        <v>2</v>
      </c>
      <c r="S98" s="103">
        <f t="shared" si="3"/>
        <v>2</v>
      </c>
      <c r="T98" s="104">
        <f t="array" ref="T98">(('Fórmula'!C98)/('Fórmula'!C98+'Fórmula'!E98+'Fórmula'!G98+'Fórmula'!I98+'Fórmula'!K98))*(INDEX(properties!A$1:CB$87,'Fórmula'!B98,6))+(('Fórmula'!E98)/('Fórmula'!C98+'Fórmula'!E98+'Fórmula'!G98+'Fórmula'!I98+'Fórmula'!K98))*(INDEX(properties!A$1:CB$87,'Fórmula'!D98,6))+(('Fórmula'!G98)/('Fórmula'!C98+'Fórmula'!E98+'Fórmula'!G98+'Fórmula'!I98+'Fórmula'!K98))*(INDEX(properties!A$1:CB$87,'Fórmula'!F98,6))+(('Fórmula'!I98)/('Fórmula'!C98+'Fórmula'!E98+'Fórmula'!G98+'Fórmula'!I98+'Fórmula'!K98))*(INDEX(properties!A$1:CB$87,'Fórmula'!H98,6))+(('Fórmula'!K98)/('Fórmula'!C98+'Fórmula'!E98+'Fórmula'!G98+'Fórmula'!I98+'Fórmula'!K98))*(INDEX(properties!A$1:CB$87,'Fórmula'!J98,6))</f>
        <v>12.8</v>
      </c>
      <c r="U98" s="104">
        <f t="array" ref="U98">'Fórmula'!C98*(INDEX(properties!A$1:CB$87,'Fórmula'!B98,6))+'Fórmula'!E98*(INDEX(properties!A$1:CB$87,'Fórmula'!D98,6))+'Fórmula'!G98*(INDEX(properties!A$1:CB$87,'Fórmula'!F98,6))+'Fórmula'!I98*(INDEX(properties!A$1:CB$87,'Fórmula'!H98,6))+'Fórmula'!K98*(INDEX(properties!A$1:CB$87,'Fórmula'!J98,6))</f>
        <v>64</v>
      </c>
      <c r="V98" s="103">
        <f t="array" ref="V98">VARP(IF(INDEX(properties!A$1:CB$87,'Fórmula'!B98,6)&lt;&gt;"",INDEX(properties!A$1:CB$87,'Fórmula'!B98,6)),IF(INDEX(properties!A$1:CB$87,'Fórmula'!D98,6)&lt;&gt;"",INDEX(properties!A$1:CB$87,'Fórmula'!D98,6)),IF(INDEX(properties!A$1:CB$87,'Fórmula'!F98,6)&lt;&gt;"",INDEX(properties!A$1:CB$87,'Fórmula'!F98,6)),IF(INDEX(properties!A$1:CB$87,'Fórmula'!H98,6)&lt;&gt;"",INDEX(properties!A$1:CB$87,'Fórmula'!H98,6)),IF(INDEX(properties!A$1:CB$87,'Fórmula'!J98,6)&lt;&gt;"",INDEX(properties!A$1:CB$87,'Fórmula'!J98,6)))</f>
        <v>50.24</v>
      </c>
      <c r="W98" s="104">
        <f t="array" ref="W98">MAX(INDEX(properties!A$1:CB$87,'Fórmula'!B98,6),INDEX(properties!A$1:CB$87,'Fórmula'!D98,6),INDEX(properties!A$1:CB$87,'Fórmula'!F98,6),INDEX(properties!A$1:CB$87,'Fórmula'!H98,4),INDEX(properties!A$1:CB$87,'Fórmula'!J98,6))</f>
        <v>16</v>
      </c>
      <c r="X98" s="104">
        <f t="array" ref="X98">MIN(IF(INDEX(properties!A$1:CB$87,'Fórmula'!B98,6)=0,10^6,INDEX(properties!A$1:CB$87,'Fórmula'!B98,6)),IF(INDEX(properties!A$1:CB$87,'Fórmula'!D98,6)=0,10^6,INDEX(properties!A$1:CB$87,'Fórmula'!D98,6)),IF(INDEX(properties!A$1:CB$87,'Fórmula'!F98,6)=0,10^6,INDEX(properties!A$1:CB$87,'Fórmula'!F98,6)),IF(INDEX(properties!A$1:CB$87,'Fórmula'!H98,6)=0,10^6,INDEX(properties!A$1:CB$87,'Fórmula'!H98,6)),IF(INDEX(properties!A$1:CB$87,'Fórmula'!J98,6)=0,10^6,INDEX(properties!A$1:CB$87,'Fórmula'!J98,6)))</f>
        <v>2</v>
      </c>
      <c r="Y98" s="104">
        <f t="shared" si="4"/>
        <v>14</v>
      </c>
      <c r="Z98" s="105">
        <f t="array" ref="Z98">(('Fórmula'!C98)/('Fórmula'!C98+'Fórmula'!E98+'Fórmula'!G98+'Fórmula'!I98+'Fórmula'!K98))*(INDEX(properties!A$1:CB$87,'Fórmula'!B98,9))+(('Fórmula'!E98)/('Fórmula'!C98+'Fórmula'!E98+'Fórmula'!G98+'Fórmula'!I98+'Fórmula'!K98))*(INDEX(properties!A$1:CB$87,'Fórmula'!D98,9))+(('Fórmula'!G98)/('Fórmula'!C98+'Fórmula'!E98+'Fórmula'!G98+'Fórmula'!I98+'Fórmula'!K98))*(INDEX(properties!A$1:CB$87,'Fórmula'!F98,9))+(('Fórmula'!I98)/('Fórmula'!C98+'Fórmula'!E98+'Fórmula'!G98+'Fórmula'!I98+'Fórmula'!K98))*(INDEX(properties!A$1:CB$87,'Fórmula'!H98,9))+(('Fórmula'!K98)/('Fórmula'!C98+'Fórmula'!E98+'Fórmula'!G98+'Fórmula'!I98+'Fórmula'!K98))*(INDEX(properties!A$1:CB$87,'Fórmula'!J98,9))</f>
        <v>69.4</v>
      </c>
      <c r="AA98" s="105">
        <f t="array" ref="AA98">'Fórmula'!C98*(INDEX(properties!A$1:CB$87,'Fórmula'!B98,9))+'Fórmula'!E98*(INDEX(properties!A$1:CB$87,'Fórmula'!D98,9))+'Fórmula'!G98*(INDEX(properties!A$1:CB$87,'Fórmula'!F98,9))+'Fórmula'!I98*(INDEX(properties!A$1:CB$87,'Fórmula'!H98,9))+'Fórmula'!K98*(INDEX(properties!A$1:CB$87,'Fórmula'!J98,9))</f>
        <v>347</v>
      </c>
      <c r="AB98" s="105">
        <f t="array" ref="AB98">VARP(IF(INDEX(properties!A$1:CB$87,'Fórmula'!B98,9)&lt;&gt;"",INDEX(properties!A$1:CB$87,'Fórmula'!B98,9)),IF(INDEX(properties!A$1:CB$87,'Fórmula'!D98,9)&lt;&gt;"",INDEX(properties!A$1:CB$87,'Fórmula'!D98,9)),IF(INDEX(properties!A$1:CB$87,'Fórmula'!F98,9)&lt;&gt;"",INDEX(properties!A$1:CB$87,'Fórmula'!F98,9)),IF(INDEX(properties!A$1:CB$87,'Fórmula'!H98,9)&lt;&gt;"",INDEX(properties!A$1:CB$87,'Fórmula'!H98,9)),IF(INDEX(properties!A$1:CB$87,'Fórmula'!J98,9)&lt;&gt;"",INDEX(properties!A$1:CB$87,'Fórmula'!J98,9)))</f>
        <v>1574.64</v>
      </c>
      <c r="AC98" s="105">
        <f t="array" ref="AC98">MAX(INDEX(properties!A$1:CB$87,'Fórmula'!B98,9),INDEX(properties!A$1:CB$87,'Fórmula'!D98,9),INDEX(properties!A$1:CB$87,'Fórmula'!F98,9),INDEX(properties!A$1:CB$87,'Fórmula'!H98,9),INDEX(properties!A$1:CB$87,'Fórmula'!J98,9))</f>
        <v>87</v>
      </c>
      <c r="AD98" s="105">
        <f t="array" ref="AD98">MIN(IF(INDEX(properties!A$1:CB$87,'Fórmula'!B98,9)=0,10^6,INDEX(properties!A$1:CB$87,'Fórmula'!B98,9)),IF(INDEX(properties!A$1:CB$87,'Fórmula'!D98,9)=0,10^6,INDEX(properties!A$1:CB$87,'Fórmula'!D98,9)),IF(INDEX(properties!A$1:CB$87,'Fórmula'!F98,9)=0,10^6,INDEX(properties!A$1:CB$87,'Fórmula'!F98,9)),IF(INDEX(properties!A$1:CB$87,'Fórmula'!H98,9)=0,10^6,INDEX(properties!A$1:CB$87,'Fórmula'!H98,9)),IF(INDEX(properties!A$1:CB$87,'Fórmula'!J98,9)=0,10^6,INDEX(properties!A$1:CB$87,'Fórmula'!J98,9)))</f>
        <v>7</v>
      </c>
      <c r="AE98" s="105">
        <f t="shared" si="5"/>
        <v>80</v>
      </c>
      <c r="AF98" s="106">
        <f t="array" ref="AF98">(('Fórmula'!C98)/('Fórmula'!C98+'Fórmula'!E98+'Fórmula'!G98+'Fórmula'!I98+'Fórmula'!K98))*(INDEX(properties!A$1:CB$87,'Fórmula'!B98,10))+(('Fórmula'!E98)/('Fórmula'!C98+'Fórmula'!E98+'Fórmula'!G98+'Fórmula'!I98+'Fórmula'!K98))*(INDEX(properties!A$1:CB$87,'Fórmula'!D98,10))+(('Fórmula'!G98)/('Fórmula'!C98+'Fórmula'!E98+'Fórmula'!G98+'Fórmula'!I98+'Fórmula'!K98))*(INDEX(properties!A$1:CB$87,'Fórmula'!F98,10))+(('Fórmula'!I98)/('Fórmula'!C98+'Fórmula'!E98+'Fórmula'!G98+'Fórmula'!I98+'Fórmula'!K98))*(INDEX(properties!A$1:CB$87,'Fórmula'!H98,10))+(('Fórmula'!K98)/('Fórmula'!C98+'Fórmula'!E98+'Fórmula'!G98+'Fórmula'!I98+'Fórmula'!K98))*(INDEX(properties!A$1:CB$87,'Fórmula'!J98,10))</f>
        <v>5.8</v>
      </c>
      <c r="AG98" s="106">
        <f t="array" ref="AG98">'Fórmula'!C98*(INDEX(properties!A$1:CB$87,'Fórmula'!B98,10))+'Fórmula'!E98*(INDEX(properties!A$1:CB$87,'Fórmula'!D98,10))+'Fórmula'!G98*(INDEX(properties!A$1:CB$87,'Fórmula'!F98,10))+'Fórmula'!I98*(INDEX(properties!A$1:CB$87,'Fórmula'!H98,10))+'Fórmula'!K98*(INDEX(properties!A$1:CB$87,'Fórmula'!J98,10))</f>
        <v>29</v>
      </c>
      <c r="AH98" s="106">
        <f t="array" ref="AH98">VARP(IF(INDEX(properties!A$1:CB$87,'Fórmula'!B98,10)&lt;&gt;"",INDEX(properties!A$1:CB$87,'Fórmula'!B98,10)),IF(INDEX(properties!A$1:CB$87,'Fórmula'!D98,10)&lt;&gt;"",INDEX(properties!A$1:CB$87,'Fórmula'!D98,10)),IF(INDEX(properties!A$1:CB$87,'Fórmula'!F98,10)&lt;&gt;"",INDEX(properties!A$1:CB$87,'Fórmula'!F98,10)),IF(INDEX(properties!A$1:CB$87,'Fórmula'!H98,10)&lt;&gt;"",INDEX(properties!A$1:CB$87,'Fórmula'!H98,10)),IF(INDEX(properties!A$1:CB$87,'Fórmula'!J98,10)&lt;&gt;"",INDEX(properties!A$1:CB$87,'Fórmula'!J98,10)))</f>
        <v>8.8</v>
      </c>
      <c r="AI98" s="106">
        <f t="array" ref="AI98">MAX(INDEX(properties!A$1:CB$87,'Fórmula'!B98,10),INDEX(properties!A$1:CB$87,'Fórmula'!D98,10),INDEX(properties!A$1:CB$87,'Fórmula'!F98,10),INDEX(properties!A$1:CB$87,'Fórmula'!H98,10),INDEX(properties!A$1:CB$87,'Fórmula'!J98,10))</f>
        <v>7</v>
      </c>
      <c r="AJ98" s="106">
        <f t="array" ref="AJ98">MIN(IF(INDEX(properties!A$1:CB$87,'Fórmula'!B98,10)=0,10^6,INDEX(properties!A$1:CB$87,'Fórmula'!B98,10)),IF(INDEX(properties!A$1:CB$87,'Fórmula'!D98,10)=0,10^6,INDEX(properties!A$1:CB$87,'Fórmula'!D98,10)),IF(INDEX(properties!A$1:CB$87,'Fórmula'!F98,10)=0,10^6,INDEX(properties!A$1:CB$87,'Fórmula'!F98,10)),IF(INDEX(properties!A$1:CB$87,'Fórmula'!H98,10)=0,10^6,INDEX(properties!A$1:CB$87,'Fórmula'!H98,10)),IF(INDEX(properties!A$1:CB$87,'Fórmula'!J98,10)=0,10^6,INDEX(properties!A$1:CB$87,'Fórmula'!J98,10)))</f>
        <v>2</v>
      </c>
      <c r="AK98" s="106">
        <f t="shared" si="6"/>
        <v>5</v>
      </c>
      <c r="AL98" s="107">
        <f t="array" ref="AL98">(('Fórmula'!C98)/('Fórmula'!C98+'Fórmula'!E98+'Fórmula'!G98+'Fórmula'!I98+'Fórmula'!K98))*(INDEX(properties!A$1:CB$87,'Fórmula'!B98,11))+(('Fórmula'!E98)/('Fórmula'!C98+'Fórmula'!E98+'Fórmula'!G98+'Fórmula'!I98+'Fórmula'!K98))*(INDEX(properties!A$1:CB$87,'Fórmula'!D98,11))+(('Fórmula'!G98)/('Fórmula'!C98+'Fórmula'!E98+'Fórmula'!G98+'Fórmula'!I98+'Fórmula'!K98))*(INDEX(properties!A$1:CB$87,'Fórmula'!F98,11))+(('Fórmula'!I98)/('Fórmula'!C98+'Fórmula'!E98+'Fórmula'!G98+'Fórmula'!I98+'Fórmula'!K98))*(INDEX(properties!A$1:CB$87,'Fórmula'!H98,11))+(('Fórmula'!K98)/('Fórmula'!C98+'Fórmula'!E98+'Fórmula'!G98+'Fórmula'!I98+'Fórmula'!K98))*(INDEX(properties!A$1:CB$87,'Fórmula'!J98,11))</f>
        <v>2</v>
      </c>
      <c r="AM98" s="107">
        <f t="array" ref="AM98">'Fórmula'!C98*(INDEX(properties!A$1:CB$87,'Fórmula'!B98,11))+'Fórmula'!E98*(INDEX(properties!A$1:CB$87,'Fórmula'!D98,11))+'Fórmula'!G98*(INDEX(properties!A$1:CB$87,'Fórmula'!F98,11))+'Fórmula'!I98*(INDEX(properties!A$1:CB$87,'Fórmula'!H98,11))+'Fórmula'!K98*(INDEX(properties!A$1:CB$87,'Fórmula'!J98,11))</f>
        <v>10</v>
      </c>
      <c r="AN98" s="107">
        <f t="array" ref="AN98">VARP(IF(INDEX(properties!A$1:CB$87,'Fórmula'!B98,11)&lt;&gt;"",INDEX(properties!A$1:CB$87,'Fórmula'!B98,11)),IF(INDEX(properties!A$1:CB$87,'Fórmula'!D98,11)&lt;&gt;"",INDEX(properties!A$1:CB$87,'Fórmula'!D98,11)),IF(INDEX(properties!A$1:CB$87,'Fórmula'!F98,11)&lt;&gt;"",INDEX(properties!A$1:CB$87,'Fórmula'!F98,11)),IF(INDEX(properties!A$1:CB$87,'Fórmula'!H98,11)&lt;&gt;"",INDEX(properties!A$1:CB$87,'Fórmula'!H98,11)),IF(INDEX(properties!A$1:CB$87,'Fórmula'!J98,11)&lt;&gt;"",INDEX(properties!A$1:CB$87,'Fórmula'!J98,11)))</f>
        <v>0.96</v>
      </c>
      <c r="AO98" s="107">
        <f t="array" ref="AO98">MAX(INDEX(properties!A$1:CB$87,'Fórmula'!B98,11),INDEX(properties!A$1:CB$87,'Fórmula'!D98,11),INDEX(properties!A$1:CB$87,'Fórmula'!F98,11),INDEX(properties!A$1:CB$87,'Fórmula'!H98,11),INDEX(properties!A$1:CB$87,'Fórmula'!J98,11))</f>
        <v>2</v>
      </c>
      <c r="AP98" s="107">
        <f t="array" ref="AP98">MIN(IF('Fórmula'!B98=87,10^6,INDEX(properties!A$1:CB$87,'Fórmula'!B98,11)),IF(('Fórmula'!D98)=87,10^6,INDEX(properties!A$1:CB$87,'Fórmula'!D98,11)),IF(('Fórmula'!F98)=87,10^6,INDEX(properties!A$1:CB$87,'Fórmula'!F98,11)),IF(('Fórmula'!H98)=87,10^6,INDEX(properties!A$1:CB$87,'Fórmula'!H98,11)),IF('Fórmula'!J98=87,10^6,INDEX(properties!A$1:CB$87,'Fórmula'!J98,11)))</f>
        <v>2</v>
      </c>
      <c r="AQ98" s="107">
        <f t="shared" si="7"/>
        <v>0</v>
      </c>
      <c r="AR98" s="108">
        <f t="array" ref="AR98">(('Fórmula'!C98)/('Fórmula'!C98+'Fórmula'!E98+'Fórmula'!G98+'Fórmula'!I98+'Fórmula'!K98))*(INDEX(properties!A$1:CB$87,'Fórmula'!B98,12))+(('Fórmula'!E98)/('Fórmula'!C98+'Fórmula'!E98+'Fórmula'!G98+'Fórmula'!I98+'Fórmula'!K98))*(INDEX(properties!A$1:CB$87,'Fórmula'!D98,12))+(('Fórmula'!G98)/('Fórmula'!C98+'Fórmula'!E98+'Fórmula'!G98+'Fórmula'!I98+'Fórmula'!K98))*(INDEX(properties!A$1:CB$87,'Fórmula'!F98,12))+(('Fórmula'!I98)/('Fórmula'!C98+'Fórmula'!E98+'Fórmula'!G98+'Fórmula'!I98+'Fórmula'!K98))*(INDEX(properties!A$1:CB$87,'Fórmula'!H98,12))+(('Fórmula'!K98)/('Fórmula'!C98+'Fórmula'!E98+'Fórmula'!G98+'Fórmula'!I98+'Fórmula'!K98))*(INDEX(properties!A$1:CB$87,'Fórmula'!J98,12))</f>
        <v>2.8</v>
      </c>
      <c r="AS98" s="108">
        <f t="array" ref="AS98">'Fórmula'!C98*(INDEX(properties!A$1:CB$87,'Fórmula'!B98,12))+'Fórmula'!E98*(INDEX(properties!A$1:CB$87,'Fórmula'!D98,12))+'Fórmula'!G98*(INDEX(properties!A$1:CB$87,'Fórmula'!F98,12))+'Fórmula'!I98*(INDEX(properties!A$1:CB$87,'Fórmula'!H98,12))+'Fórmula'!K98*(INDEX(properties!A$1:CB$87,'Fórmula'!J98,12))</f>
        <v>14</v>
      </c>
      <c r="AT98" s="108">
        <f t="array" ref="AT98">VARP(IF(INDEX(properties!A$1:CB$87,'Fórmula'!B98,12)&lt;&gt;"",INDEX(properties!A$1:CB$87,'Fórmula'!B98,12)),IF(INDEX(properties!A$1:CB$87,'Fórmula'!D98,12)&lt;&gt;"",INDEX(properties!A$1:CB$87,'Fórmula'!D98,12)),IF(INDEX(properties!A$1:CB$87,'Fórmula'!F98,12)&lt;&gt;"",INDEX(properties!A$1:CB$87,'Fórmula'!F98,12)),IF(INDEX(properties!A$1:CB$87,'Fórmula'!H98,12)&lt;&gt;"",INDEX(properties!A$1:CB$87,'Fórmula'!H98,12)),IF(INDEX(properties!A$1:CB$87,'Fórmula'!J98,12)&lt;&gt;"",INDEX(properties!A$1:CB$87,'Fórmula'!J98,12)))</f>
        <v>2.56</v>
      </c>
      <c r="AU98" s="108">
        <f t="array" ref="AU98">MAX(INDEX(properties!A$1:CB$87,'Fórmula'!B98,12),INDEX(properties!A$1:CB$87,'Fórmula'!D98,12),INDEX(properties!A$1:CB$87,'Fórmula'!F98,12),INDEX(properties!A$1:CB$87,'Fórmula'!H98,12),INDEX(properties!A$1:CB$87,'Fórmula'!J98,12))</f>
        <v>4</v>
      </c>
      <c r="AV98" s="108">
        <f t="array" ref="AV98">MIN(IF('Fórmula'!B98=87,10^6,INDEX(properties!A$1:CB$87,'Fórmula'!B98,12)),IF(('Fórmula'!D98)=87,10^6,INDEX(properties!A$1:CB$87,'Fórmula'!D98,12)),IF(('Fórmula'!F98)=87,10^6,INDEX(properties!A$1:CB$87,'Fórmula'!F98,12)),IF(('Fórmula'!H98)=87,10^6,INDEX(properties!A$1:CB$87,'Fórmula'!H98,12)),IF('Fórmula'!J98=87,10^6,INDEX(properties!A$1:CB$87,'Fórmula'!J98,12)))</f>
        <v>0</v>
      </c>
      <c r="AW98" s="108">
        <f t="shared" si="8"/>
        <v>4</v>
      </c>
      <c r="AX98" s="109">
        <f t="array" ref="AX98">(('Fórmula'!C98)/('Fórmula'!C98+'Fórmula'!E98+'Fórmula'!G98+'Fórmula'!I98+'Fórmula'!K98))*(INDEX(properties!A$1:CB$87,'Fórmula'!B98,13))+(('Fórmula'!E98)/('Fórmula'!C98+'Fórmula'!E98+'Fórmula'!G98+'Fórmula'!I98+'Fórmula'!K98))*(INDEX(properties!A$1:CB$87,'Fórmula'!D98,13))+(('Fórmula'!G98)/('Fórmula'!C98+'Fórmula'!E98+'Fórmula'!G98+'Fórmula'!I98+'Fórmula'!K98))*(INDEX(properties!A$1:CB$87,'Fórmula'!F98,13))+(('Fórmula'!I98)/('Fórmula'!C98+'Fórmula'!E98+'Fórmula'!G98+'Fórmula'!I98+'Fórmula'!K98))*(INDEX(properties!A$1:CB$87,'Fórmula'!H98,13))+(('Fórmula'!K98)/('Fórmula'!C98+'Fórmula'!E98+'Fórmula'!G98+'Fórmula'!I98+'Fórmula'!K98))*(INDEX(properties!A$1:CB$87,'Fórmula'!J98,13))</f>
        <v>2</v>
      </c>
      <c r="AY98" s="109">
        <f t="array" ref="AY98">'Fórmula'!C98*(INDEX(properties!A$1:CB$87,'Fórmula'!B98,13))+'Fórmula'!E98*(INDEX(properties!A$1:CB$87,'Fórmula'!D98,13))+'Fórmula'!G98*(INDEX(properties!A$1:CB$87,'Fórmula'!F98,13))+'Fórmula'!I98*(INDEX(properties!A$1:CB$87,'Fórmula'!H98,13))+'Fórmula'!K98*(INDEX(properties!A$1:CB$87,'Fórmula'!J98,13))</f>
        <v>10</v>
      </c>
      <c r="AZ98" s="109">
        <f t="array" ref="AZ98">VARP(IF(INDEX(properties!A$1:CB$87,'Fórmula'!B98,13)&lt;&gt;"",INDEX(properties!A$1:CB$87,'Fórmula'!B98,13)),IF(INDEX(properties!A$1:CB$87,'Fórmula'!D98,13)&lt;&gt;"",INDEX(properties!A$1:CB$87,'Fórmula'!D98,13)),IF(INDEX(properties!A$1:CB$87,'Fórmula'!F98,13)&lt;&gt;"",INDEX(properties!A$1:CB$87,'Fórmula'!F98,13)),IF(INDEX(properties!A$1:CB$87,'Fórmula'!H98,13)&lt;&gt;"",INDEX(properties!A$1:CB$87,'Fórmula'!H98,13)),IF(INDEX(properties!A$1:CB$87,'Fórmula'!J98,13)&lt;&gt;"",INDEX(properties!A$1:CB$87,'Fórmula'!J98,13)))</f>
        <v>16</v>
      </c>
      <c r="BA98" s="109">
        <f t="array" ref="BA98">MAX(INDEX(properties!A$1:CB$87,'Fórmula'!B98,13),INDEX(properties!A$1:CB$87,'Fórmula'!D98,13),INDEX(properties!A$1:CB$87,'Fórmula'!F98,13),INDEX(properties!A$1:CB$87,'Fórmula'!H98,13),INDEX(properties!A$1:CB$87,'Fórmula'!J98,13))</f>
        <v>10</v>
      </c>
      <c r="BB98" s="109">
        <f t="array" ref="BB98">MIN(IF('Fórmula'!B98=87,10^6,INDEX(properties!A$1:CB$87,'Fórmula'!B98,13)),IF(('Fórmula'!D98)=87,10^6,INDEX(properties!A$1:CB$87,'Fórmula'!D98,13)),IF(('Fórmula'!F98)=87,10^6,INDEX(properties!A$1:CB$87,'Fórmula'!F98,13)),IF(('Fórmula'!H98)=87,10^6,INDEX(properties!A$1:CB$87,'Fórmula'!H98,13)),IF('Fórmula'!J98=87,10^6,INDEX(properties!A$1:CB$87,'Fórmula'!J98,13)))</f>
        <v>0</v>
      </c>
      <c r="BC98" s="109">
        <f t="shared" si="9"/>
        <v>10</v>
      </c>
      <c r="BD98" s="110">
        <f t="array" ref="BD98">(('Fórmula'!C98)/('Fórmula'!C98+'Fórmula'!E98+'Fórmula'!G98+'Fórmula'!I98+'Fórmula'!K98))*(INDEX(properties!A$1:CB$87,'Fórmula'!B98,14))+(('Fórmula'!E98)/('Fórmula'!C98+'Fórmula'!E98+'Fórmula'!G98+'Fórmula'!I98+'Fórmula'!K98))*(INDEX(properties!A$1:CB$87,'Fórmula'!D98,14))+(('Fórmula'!G98)/('Fórmula'!C98+'Fórmula'!E98+'Fórmula'!G98+'Fórmula'!I98+'Fórmula'!K98))*(INDEX(properties!A$1:CB$87,'Fórmula'!F98,14))+(('Fórmula'!I98)/('Fórmula'!C98+'Fórmula'!E98+'Fórmula'!G98+'Fórmula'!I98+'Fórmula'!K98))*(INDEX(properties!A$1:CB$87,'Fórmula'!H98,14))+(('Fórmula'!K98)/('Fórmula'!C98+'Fórmula'!E98+'Fórmula'!G98+'Fórmula'!I98+'Fórmula'!K98))*(INDEX(properties!A$1:CB$87,'Fórmula'!J98,14))</f>
        <v>0</v>
      </c>
      <c r="BE98" s="110">
        <f t="array" ref="BE98">'Fórmula'!C98*(INDEX(properties!A$1:CB$87,'Fórmula'!B98,14))+'Fórmula'!E98*(INDEX(properties!A$1:CB$87,'Fórmula'!D98,14))+'Fórmula'!G98*(INDEX(properties!A$1:CB$87,'Fórmula'!F98,14))+'Fórmula'!I98*(INDEX(properties!A$1:CB$87,'Fórmula'!H98,14))+'Fórmula'!K98*(INDEX(properties!A$1:CB$87,'Fórmula'!J98,14))</f>
        <v>0</v>
      </c>
      <c r="BF98" s="110">
        <f t="array" ref="BF98">VARP(IF(INDEX(properties!A$1:CB$87,'Fórmula'!B98,14)&lt;&gt;"",INDEX(properties!A$1:CB$87,'Fórmula'!B98,14)),IF(INDEX(properties!A$1:CB$87,'Fórmula'!D98,14)&lt;&gt;"",INDEX(properties!A$1:CB$87,'Fórmula'!D98,14)),IF(INDEX(properties!A$1:CB$87,'Fórmula'!F98,14)&lt;&gt;"",INDEX(properties!A$1:CB$87,'Fórmula'!F98,14)),IF(INDEX(properties!A$1:CB$87,'Fórmula'!H98,14)&lt;&gt;"",INDEX(properties!A$1:CB$87,'Fórmula'!H98,14)),IF(INDEX(properties!A$1:CB$87,'Fórmula'!J98,14)&lt;&gt;"",INDEX(properties!A$1:CB$87,'Fórmula'!J98,14)))</f>
        <v>0</v>
      </c>
      <c r="BG98" s="110">
        <f t="array" ref="BG98">MAX(INDEX(properties!A$1:CB$87,'Fórmula'!B98,14),INDEX(properties!A$1:CB$87,'Fórmula'!D98,14),INDEX(properties!A$1:CB$87,'Fórmula'!F98,14),INDEX(properties!A$1:CB$87,'Fórmula'!H98,14),INDEX(properties!A$1:CB$87,'Fórmula'!J98,14))</f>
        <v>0</v>
      </c>
      <c r="BH98" s="110">
        <f t="array" ref="BH98">MIN(IF('Fórmula'!B98=87,10^6,INDEX(properties!A$1:CB$87,'Fórmula'!B98,14)),IF(('Fórmula'!D98)=87,10^6,INDEX(properties!A$1:CB$87,'Fórmula'!D98,14)),IF(('Fórmula'!F98)=87,10^6,INDEX(properties!A$1:CB$87,'Fórmula'!F98,14)),IF(('Fórmula'!H98)=87,10^6,INDEX(properties!A$1:CB$87,'Fórmula'!H98,14)),IF('Fórmula'!J98=87,10^6,INDEX(properties!A$1:CB$87,'Fórmula'!J98,14)))</f>
        <v>0</v>
      </c>
      <c r="BI98" s="110">
        <f t="shared" si="10"/>
        <v>0</v>
      </c>
      <c r="BJ98" s="111">
        <f t="array" ref="BJ98">(('Fórmula'!C98)/('Fórmula'!C98+'Fórmula'!E98+'Fórmula'!G98+'Fórmula'!I98+'Fórmula'!K98))*(INDEX(properties!A$1:CB$87,'Fórmula'!B98,19))+(('Fórmula'!E98)/('Fórmula'!C98+'Fórmula'!E98+'Fórmula'!G98+'Fórmula'!I98+'Fórmula'!K98))*(INDEX(properties!A$1:CB$87,'Fórmula'!D98,19))+(('Fórmula'!G98)/('Fórmula'!C98+'Fórmula'!E98+'Fórmula'!G98+'Fórmula'!I98+'Fórmula'!K98))*(INDEX(properties!A$1:CB$87,'Fórmula'!F98,19))+(('Fórmula'!I98)/('Fórmula'!C98+'Fórmula'!E98+'Fórmula'!G98+'Fórmula'!I98+'Fórmula'!K98))*(INDEX(properties!A$1:CB$87,'Fórmula'!H98,19))+(('Fórmula'!K98)/('Fórmula'!C98+'Fórmula'!E98+'Fórmula'!G98+'Fórmula'!I98+'Fórmula'!K98))*(INDEX(properties!A$1:CB$87,'Fórmula'!J98,19))</f>
        <v>6.8</v>
      </c>
      <c r="BK98" s="111">
        <f t="array" ref="BK98">'Fórmula'!C98*(INDEX(properties!A$1:CB$87,'Fórmula'!B98,19))+'Fórmula'!E98*(INDEX(properties!A$1:CB$87,'Fórmula'!D98,19))+'Fórmula'!G98*(INDEX(properties!A$1:CB$87,'Fórmula'!F98,19))+'Fórmula'!I98*(INDEX(properties!A$1:CB$87,'Fórmula'!H98,19))+'Fórmula'!K98*(INDEX(properties!A$1:CB$87,'Fórmula'!J98,19))</f>
        <v>34</v>
      </c>
      <c r="BL98" s="111">
        <f t="array" ref="BL98">VARP(IF(INDEX(properties!A$1:CB$87,'Fórmula'!B98,19)&lt;&gt;"",INDEX(properties!A$1:CB$87,'Fórmula'!B98,19)),IF(INDEX(properties!A$1:CB$87,'Fórmula'!D98,19)&lt;&gt;"",INDEX(properties!A$1:CB$87,'Fórmula'!D98,19)),IF(INDEX(properties!A$1:CB$87,'Fórmula'!F98,19)&lt;&gt;"",INDEX(properties!A$1:CB$87,'Fórmula'!F98,19)),IF(INDEX(properties!A$1:CB$87,'Fórmula'!H98,19)&lt;&gt;"",INDEX(properties!A$1:CB$87,'Fórmula'!H98,19)),IF(INDEX(properties!A$1:CB$87,'Fórmula'!J98,19)&lt;&gt;"",INDEX(properties!A$1:CB$87,'Fórmula'!J98,19)))</f>
        <v>27.84</v>
      </c>
      <c r="BM98" s="111">
        <f t="array" ref="BM98">MAX(INDEX(properties!A$1:CB$87,'Fórmula'!B98,19),INDEX(properties!A$1:CB$87,'Fórmula'!D98,19),INDEX(properties!A$1:CB$87,'Fórmula'!F98,19),INDEX(properties!A$1:CB$87,'Fórmula'!H98,19),INDEX(properties!A$1:CB$87,'Fórmula'!J98,19))</f>
        <v>14</v>
      </c>
      <c r="BN98" s="111">
        <f t="array" ref="BN98">MIN(IF(INDEX(properties!A$1:CB$87,'Fórmula'!B98,19)=0,10^6,INDEX(properties!A$1:CB$87,'Fórmula'!B98,19)),IF(INDEX(properties!A$1:CB$87,'Fórmula'!D98,19)=0,10^6,INDEX(properties!A$1:CB$87,'Fórmula'!D98,19)),IF(INDEX(properties!A$1:CB$87,'Fórmula'!F98,19)=0,10^6,INDEX(properties!A$1:CB$87,'Fórmula'!F98,19)),IF(INDEX(properties!A$1:CB$87,'Fórmula'!H98,19)=0,10^6,INDEX(properties!A$1:CB$87,'Fórmula'!H98,19)),IF(INDEX(properties!A$1:CB$87,'Fórmula'!J98,19)=0,10^6,INDEX(properties!A$1:CB$87,'Fórmula'!J98,19)))</f>
        <v>2</v>
      </c>
      <c r="BO98" s="111">
        <f t="shared" si="11"/>
        <v>12</v>
      </c>
      <c r="BP98" s="112">
        <f t="array" ref="BP98">(('Fórmula'!C98)/('Fórmula'!C98+'Fórmula'!E98+'Fórmula'!G98+'Fórmula'!I98+'Fórmula'!K98))*(INDEX(properties!A$1:CB$87,'Fórmula'!B98,20))+(('Fórmula'!E98)/('Fórmula'!C98+'Fórmula'!E98+'Fórmula'!G98+'Fórmula'!I98+'Fórmula'!K98))*(INDEX(properties!A$1:CB$87,'Fórmula'!D98,20))+(('Fórmula'!G98)/('Fórmula'!C98+'Fórmula'!E98+'Fórmula'!G98+'Fórmula'!I98+'Fórmula'!K98))*(INDEX(properties!A$1:CB$87,'Fórmula'!F98,20))+(('Fórmula'!I98)/('Fórmula'!C98+'Fórmula'!E98+'Fórmula'!G98+'Fórmula'!I98+'Fórmula'!K98))*(INDEX(properties!A$1:CB$87,'Fórmula'!H98,20))+(('Fórmula'!K98)/('Fórmula'!C98+'Fórmula'!E98+'Fórmula'!G98+'Fórmula'!I98+'Fórmula'!K98))*(INDEX(properties!A$1:CB$87,'Fórmula'!J98,20))</f>
        <v>4.8</v>
      </c>
      <c r="BQ98" s="112">
        <f t="array" ref="BQ98">'Fórmula'!C98*(INDEX(properties!A$1:CB$87,'Fórmula'!B98,20))+'Fórmula'!E98*(INDEX(properties!A$1:CB$87,'Fórmula'!D98,20))+'Fórmula'!G98*(INDEX(properties!A$1:CB$87,'Fórmula'!F98,20))+'Fórmula'!I98*(INDEX(properties!A$1:CB$87,'Fórmula'!H98,20))+'Fórmula'!K98*(INDEX(properties!A$1:CB$87,'Fórmula'!J98,20))</f>
        <v>24</v>
      </c>
      <c r="BR98" s="112">
        <f t="array" ref="BR98">VARP(IF(INDEX(properties!A$1:CB$87,'Fórmula'!B98,20)&lt;&gt;"",INDEX(properties!A$1:CB$87,'Fórmula'!B98,20)),IF(INDEX(properties!A$1:CB$87,'Fórmula'!D98,20)&lt;&gt;"",INDEX(properties!A$1:CB$87,'Fórmula'!D98,20)),IF(INDEX(properties!A$1:CB$87,'Fórmula'!F98,20)&lt;&gt;"",INDEX(properties!A$1:CB$87,'Fórmula'!F98,20)),IF(INDEX(properties!A$1:CB$87,'Fórmula'!H98,20)&lt;&gt;"",INDEX(properties!A$1:CB$87,'Fórmula'!H98,20)),IF(INDEX(properties!A$1:CB$87,'Fórmula'!J98,20)&lt;&gt;"",INDEX(properties!A$1:CB$87,'Fórmula'!J98,20)))</f>
        <v>5.44</v>
      </c>
      <c r="BS98" s="112">
        <f t="array" ref="BS98">MAX(INDEX(properties!A$1:CB$87,'Fórmula'!B98,20),INDEX(properties!A$1:CB$87,'Fórmula'!D98,20),INDEX(properties!A$1:CB$87,'Fórmula'!F98,20),INDEX(properties!A$1:CB$87,'Fórmula'!H98,20),INDEX(properties!A$1:CB$87,'Fórmula'!J98,20))</f>
        <v>6</v>
      </c>
      <c r="BT98" s="112">
        <f t="array" ref="BT98">MIN(IF(INDEX(properties!A$1:CB$87,'Fórmula'!B98,20)=0,10^6,INDEX(properties!A$1:CB$87,'Fórmula'!B98,20)),IF(INDEX(properties!A$1:CB$87,'Fórmula'!D98,20)=0,10^6,INDEX(properties!A$1:CB$87,'Fórmula'!D98,20)),IF(INDEX(properties!A$1:CB$87,'Fórmula'!F98,20)=0,10^6,INDEX(properties!A$1:CB$87,'Fórmula'!F98,20)),IF(INDEX(properties!A$1:CB$87,'Fórmula'!H98,20)=0,10^6,INDEX(properties!A$1:CB$87,'Fórmula'!H98,20)),IF(INDEX(properties!A$1:CB$87,'Fórmula'!J98,20)=0,10^6,INDEX(properties!A$1:CB$87,'Fórmula'!J98,20)))</f>
        <v>2</v>
      </c>
      <c r="BU98" s="112">
        <f t="shared" si="12"/>
        <v>4</v>
      </c>
      <c r="BV98" s="113">
        <f t="array" ref="BV98">(('Fórmula'!C98)/('Fórmula'!C98+'Fórmula'!E98+'Fórmula'!G98+'Fórmula'!I98+'Fórmula'!K98))*(INDEX(properties!A$1:CB$87,'Fórmula'!B98,21))+(('Fórmula'!E98)/('Fórmula'!C98+'Fórmula'!E98+'Fórmula'!G98+'Fórmula'!I98+'Fórmula'!K98))*(INDEX(properties!A$1:CB$87,'Fórmula'!D98,21))+(('Fórmula'!G98)/('Fórmula'!C98+'Fórmula'!E98+'Fórmula'!G98+'Fórmula'!I98+'Fórmula'!K98))*(INDEX(properties!A$1:CB$87,'Fórmula'!F98,21))+(('Fórmula'!I98)/('Fórmula'!C98+'Fórmula'!E98+'Fórmula'!G98+'Fórmula'!I98+'Fórmula'!K98))*(INDEX(properties!A$1:CB$87,'Fórmula'!H98,21))+(('Fórmula'!K98)/('Fórmula'!C98+'Fórmula'!E98+'Fórmula'!G98+'Fórmula'!I98+'Fórmula'!K98))*(INDEX(properties!A$1:CB$87,'Fórmula'!J98,21))</f>
        <v>4.8</v>
      </c>
      <c r="BW98" s="113">
        <f t="array" ref="BW98">'Fórmula'!C98*(INDEX(properties!A$1:CB$87,'Fórmula'!B98,21))+'Fórmula'!E98*(INDEX(properties!A$1:CB$87,'Fórmula'!D98,21))+'Fórmula'!G98*(INDEX(properties!A$1:CB$87,'Fórmula'!F98,21))+'Fórmula'!I98*(INDEX(properties!A$1:CB$87,'Fórmula'!H98,21))+'Fórmula'!K98*(INDEX(properties!A$1:CB$87,'Fórmula'!J98,21))</f>
        <v>24</v>
      </c>
      <c r="BX98" s="113">
        <f t="array" ref="BX98">VARP(IF(INDEX(properties!A$1:CB$87,'Fórmula'!B98,21)&lt;&gt;"",INDEX(properties!A$1:CB$87,'Fórmula'!B98,21)),IF(INDEX(properties!A$1:CB$87,'Fórmula'!D98,21)&lt;&gt;"",INDEX(properties!A$1:CB$87,'Fórmula'!D98,21)),IF(INDEX(properties!A$1:CB$87,'Fórmula'!F98,21)&lt;&gt;"",INDEX(properties!A$1:CB$87,'Fórmula'!F98,21)),IF(INDEX(properties!A$1:CB$87,'Fórmula'!H98,21)&lt;&gt;"",INDEX(properties!A$1:CB$87,'Fórmula'!H98,21)),IF(INDEX(properties!A$1:CB$87,'Fórmula'!J98,21)&lt;&gt;"",INDEX(properties!A$1:CB$87,'Fórmula'!J98,21)))</f>
        <v>5.44</v>
      </c>
      <c r="BY98" s="113">
        <f t="array" ref="BY98">MAX(INDEX(properties!A$1:CB$87,'Fórmula'!B98,21),INDEX(properties!A$1:CB$87,'Fórmula'!D98,21),INDEX(properties!A$1:CB$87,'Fórmula'!F98,21),INDEX(properties!A$1:CB$87,'Fórmula'!H98,21),INDEX(properties!A$1:CB$87,'Fórmula'!J98,21))</f>
        <v>6</v>
      </c>
      <c r="BZ98" s="113">
        <f t="array" ref="BZ98">MIN(IF(INDEX(properties!A$1:CB$87,'Fórmula'!B98,21)=0,10^6,INDEX(properties!A$1:CB$87,'Fórmula'!B98,21)),IF(INDEX(properties!A$1:CB$87,'Fórmula'!D98,21)=0,10^6,INDEX(properties!A$1:CB$87,'Fórmula'!D98,21)),IF(INDEX(properties!A$1:CB$87,'Fórmula'!F98,21)=0,10^6,INDEX(properties!A$1:CB$87,'Fórmula'!F98,21)),IF(INDEX(properties!A$1:CB$87,'Fórmula'!H98,21)=0,10^6,INDEX(properties!A$1:CB$87,'Fórmula'!H98,21)),IF(INDEX(properties!A$1:CB$87,'Fórmula'!J98,21)=0,10^6,INDEX(properties!A$1:CB$87,'Fórmula'!J98,21)))</f>
        <v>2</v>
      </c>
      <c r="CA98" s="113">
        <f t="shared" si="13"/>
        <v>4</v>
      </c>
      <c r="CB98" s="114">
        <f t="array" ref="CB98">(('Fórmula'!C98)/('Fórmula'!C98+'Fórmula'!E98+'Fórmula'!G98+'Fórmula'!I98+'Fórmula'!K98))*(INDEX(properties!A$1:CB$87,'Fórmula'!B98,23))+(('Fórmula'!E98)/('Fórmula'!C98+'Fórmula'!E98+'Fórmula'!G98+'Fórmula'!I98+'Fórmula'!K98))*(INDEX(properties!A$1:CB$87,'Fórmula'!D98,23))+(('Fórmula'!G98)/('Fórmula'!C98+'Fórmula'!E98+'Fórmula'!G98+'Fórmula'!I98+'Fórmula'!K98))*(INDEX(properties!A$1:CB$87,'Fórmula'!F98,23))+(('Fórmula'!I98)/('Fórmula'!C98+'Fórmula'!E98+'Fórmula'!G98+'Fórmula'!I98+'Fórmula'!K98))*(INDEX(properties!A$1:CB$87,'Fórmula'!H98,23))+(('Fórmula'!K98)/('Fórmula'!C98+'Fórmula'!E98+'Fórmula'!G98+'Fórmula'!I98+'Fórmula'!K98))*(INDEX(properties!A$1:CB$87,'Fórmula'!J98,23))</f>
        <v>1.2</v>
      </c>
      <c r="CC98" s="114">
        <f t="array" ref="CC98">'Fórmula'!C98*(INDEX(properties!A$1:CB$87,'Fórmula'!B98,23))+'Fórmula'!E98*(INDEX(properties!A$1:CB$87,'Fórmula'!D98,23))+'Fórmula'!G98*(INDEX(properties!A$1:CB$87,'Fórmula'!F98,23))+'Fórmula'!I98*(INDEX(properties!A$1:CB$87,'Fórmula'!H98,23))+'Fórmula'!K98*(INDEX(properties!A$1:CB$87,'Fórmula'!J98,23))</f>
        <v>6</v>
      </c>
      <c r="CD98" s="114">
        <f t="array" ref="CD98">VARP(IF(INDEX(properties!A$1:CB$87,'Fórmula'!B98,23)&lt;&gt;"",INDEX(properties!A$1:CB$87,'Fórmula'!B98,23)),IF(INDEX(properties!A$1:CB$87,'Fórmula'!D98,23)&lt;&gt;"",INDEX(properties!A$1:CB$87,'Fórmula'!D98,23)),IF(INDEX(properties!A$1:CB$87,'Fórmula'!F98,23)&lt;&gt;"",INDEX(properties!A$1:CB$87,'Fórmula'!F98,23)),IF(INDEX(properties!A$1:CB$87,'Fórmula'!H98,23)&lt;&gt;"",INDEX(properties!A$1:CB$87,'Fórmula'!H98,23)),IF(INDEX(properties!A$1:CB$87,'Fórmula'!J98,23)&lt;&gt;"",INDEX(properties!A$1:CB$87,'Fórmula'!J98,23)))</f>
        <v>2.56</v>
      </c>
      <c r="CE98" s="114">
        <f t="array" ref="CE98">MAX(INDEX(properties!A$1:CB$87,'Fórmula'!B98,23),INDEX(properties!A$1:CB$87,'Fórmula'!D98,23),INDEX(properties!A$1:CB$87,'Fórmula'!F98,23),INDEX(properties!A$1:CB$87,'Fórmula'!H98,23),INDEX(properties!A$1:CB$87,'Fórmula'!J98,23))</f>
        <v>4</v>
      </c>
      <c r="CF98" s="114">
        <f t="array" ref="CF98">MIN(IF('Fórmula'!B98=87,10^6,INDEX(properties!A$1:CB$87,'Fórmula'!B98,23)),IF(('Fórmula'!D98)=87,10^6,INDEX(properties!A$1:CB$87,'Fórmula'!D98,23)),IF(('Fórmula'!F98)=87,10^6,INDEX(properties!A$1:CB$87,'Fórmula'!F98,23)),IF(('Fórmula'!H98)=87,10^6,INDEX(properties!A$1:CB$87,'Fórmula'!H98,23)),IF('Fórmula'!J98=87,10^6,INDEX(properties!A$1:CB$87,'Fórmula'!J98,23)))</f>
        <v>0</v>
      </c>
      <c r="CG98" s="114">
        <f t="shared" si="14"/>
        <v>4</v>
      </c>
      <c r="CH98" s="115">
        <f t="array" ref="CH98">(('Fórmula'!C98)/('Fórmula'!C98+'Fórmula'!E98+'Fórmula'!G98+'Fórmula'!I98+'Fórmula'!K98))*(INDEX(properties!A$1:CB$87,'Fórmula'!B98,26))+(('Fórmula'!E98)/('Fórmula'!C98+'Fórmula'!E98+'Fórmula'!G98+'Fórmula'!I98+'Fórmula'!K98))*(INDEX(properties!A$1:CB$87,'Fórmula'!D98,26))+(('Fórmula'!G98)/('Fórmula'!C98+'Fórmula'!E98+'Fórmula'!G98+'Fórmula'!I98+'Fórmula'!K98))*(INDEX(properties!A$1:CB$87,'Fórmula'!F98,26))+(('Fórmula'!I98)/('Fórmula'!C98+'Fórmula'!E98+'Fórmula'!G98+'Fórmula'!I98+'Fórmula'!K98))*(INDEX(properties!A$1:CB$87,'Fórmula'!H98,26))+(('Fórmula'!K98)/('Fórmula'!C98+'Fórmula'!E98+'Fórmula'!G98+'Fórmula'!I98+'Fórmula'!K98))*(INDEX(properties!A$1:CB$87,'Fórmula'!J98,26))</f>
        <v>10.97338</v>
      </c>
      <c r="CI98" s="115">
        <f t="array" ref="CI98">'Fórmula'!C98*(INDEX(properties!A$1:CB$87,'Fórmula'!B98,26))+'Fórmula'!E98*(INDEX(properties!A$1:CB$87,'Fórmula'!D98,26))+'Fórmula'!G98*(INDEX(properties!A$1:CB$87,'Fórmula'!F98,26))+'Fórmula'!I98*(INDEX(properties!A$1:CB$87,'Fórmula'!H98,26))+'Fórmula'!K98*(INDEX(properties!A$1:CB$87,'Fórmula'!J98,26))</f>
        <v>54.8669</v>
      </c>
      <c r="CJ98" s="115">
        <f t="array" ref="CJ98">VARP(IF(INDEX(properties!A$1:CB$87,'Fórmula'!B98,26)&lt;&gt;"",INDEX(properties!A$1:CB$87,'Fórmula'!B98,26)),IF(INDEX(properties!A$1:CB$87,'Fórmula'!D98,26)&lt;&gt;"",INDEX(properties!A$1:CB$87,'Fórmula'!D98,26)),IF(INDEX(properties!A$1:CB$87,'Fórmula'!F98,26)&lt;&gt;"",INDEX(properties!A$1:CB$87,'Fórmula'!F98,26)),IF(INDEX(properties!A$1:CB$87,'Fórmula'!H98,26)&lt;&gt;"",INDEX(properties!A$1:CB$87,'Fórmula'!H98,26)),IF(INDEX(properties!A$1:CB$87,'Fórmula'!J98,26)&lt;&gt;"",INDEX(properties!A$1:CB$87,'Fórmula'!J98,26)))</f>
        <v>26.50665314</v>
      </c>
      <c r="CK98" s="116">
        <f t="array" ref="CK98">MAX(INDEX(properties!A$1:CB$87,'Fórmula'!B98,26),INDEX(properties!A$1:CB$87,'Fórmula'!D98,26),INDEX(properties!A$1:CB$87,'Fórmula'!F98,26),INDEX(properties!A$1:CB$87,'Fórmula'!H98,26),INDEX(properties!A$1:CB$87,'Fórmula'!J98,26))</f>
        <v>13.6181</v>
      </c>
      <c r="CL98" s="116">
        <f t="array" ref="CL98">MIN(IF(INDEX(properties!A$1:CB$87,'Fórmula'!B98,26)=0,10^6,INDEX(properties!A$1:CB$87,'Fórmula'!B98,26)),IF(INDEX(properties!A$1:CB$87,'Fórmula'!D98,26)=0,10^6,INDEX(properties!A$1:CB$87,'Fórmula'!D98,26)),IF(INDEX(properties!A$1:CB$87,'Fórmula'!F98,26)=0,10^6,INDEX(properties!A$1:CB$87,'Fórmula'!F98,26)),IF(INDEX(properties!A$1:CB$87,'Fórmula'!H98,26)=0,10^6,INDEX(properties!A$1:CB$87,'Fórmula'!H98,26)),IF(INDEX(properties!A$1:CB$87,'Fórmula'!J98,26)=0,10^6,INDEX(properties!A$1:CB$87,'Fórmula'!J98,26)))</f>
        <v>6.1132</v>
      </c>
      <c r="CM98" s="115">
        <f t="shared" si="15"/>
        <v>7.5049</v>
      </c>
      <c r="CN98" s="117">
        <f t="array" ref="CN98">(('Fórmula'!C98)/('Fórmula'!C98+'Fórmula'!E98+'Fórmula'!G98+'Fórmula'!I98+'Fórmula'!K98))*(INDEX(properties!A$1:CB$87,'Fórmula'!B98,30))+(('Fórmula'!E98)/('Fórmula'!C98+'Fórmula'!E98+'Fórmula'!G98+'Fórmula'!I98+'Fórmula'!K98))*(INDEX(properties!A$1:CB$87,'Fórmula'!D98,30))+(('Fórmula'!G98)/('Fórmula'!C98+'Fórmula'!E98+'Fórmula'!G98+'Fórmula'!I98+'Fórmula'!K98))*(INDEX(properties!A$1:CB$87,'Fórmula'!F98,30))+(('Fórmula'!I98)/('Fórmula'!C98+'Fórmula'!E98+'Fórmula'!G98+'Fórmula'!I98+'Fórmula'!K98))*(INDEX(properties!A$1:CB$87,'Fórmula'!H98,30))+(('Fórmula'!K98)/('Fórmula'!C98+'Fórmula'!E98+'Fórmula'!G98+'Fórmula'!I98+'Fórmula'!K98))*(INDEX(properties!A$1:CB$87,'Fórmula'!J98,30))</f>
        <v>2.666</v>
      </c>
      <c r="CO98" s="117">
        <f t="array" ref="CO98">'Fórmula'!C98*(INDEX(properties!A$1:CB$87,'Fórmula'!B98,30))+'Fórmula'!E98*(INDEX(properties!A$1:CB$87,'Fórmula'!D98,30))+'Fórmula'!G98*(INDEX(properties!A$1:CB$87,'Fórmula'!F98,30))+'Fórmula'!I98*(INDEX(properties!A$1:CB$87,'Fórmula'!H98,30))+'Fórmula'!K98*(INDEX(properties!A$1:CB$87,'Fórmula'!J98,30))</f>
        <v>13.33</v>
      </c>
      <c r="CP98" s="117">
        <f t="array" ref="CP98">VARP(IF(INDEX(properties!A$1:CB$87,'Fórmula'!B98,30)&lt;&gt;"",INDEX(properties!A$1:CB$87,'Fórmula'!B98,30)),IF(INDEX(properties!A$1:CB$87,'Fórmula'!D98,30)&lt;&gt;"",INDEX(properties!A$1:CB$87,'Fórmula'!D98,30)),IF(INDEX(properties!A$1:CB$87,'Fórmula'!F98,30)&lt;&gt;"",INDEX(properties!A$1:CB$87,'Fórmula'!F98,30)),IF(INDEX(properties!A$1:CB$87,'Fórmula'!H98,30)&lt;&gt;"",INDEX(properties!A$1:CB$87,'Fórmula'!H98,30)),IF(INDEX(properties!A$1:CB$87,'Fórmula'!J98,30)&lt;&gt;"",INDEX(properties!A$1:CB$87,'Fórmula'!J98,30)))</f>
        <v>1.71064</v>
      </c>
      <c r="CQ98" s="117">
        <f t="array" ref="CQ98">MAX(INDEX(properties!A$1:CB$87,'Fórmula'!B98,30),INDEX(properties!A$1:CB$87,'Fórmula'!D98,30),INDEX(properties!A$1:CB$87,'Fórmula'!F98,30),INDEX(properties!A$1:CB$87,'Fórmula'!H98,30),INDEX(properties!A$1:CB$87,'Fórmula'!J98,30))</f>
        <v>3.44</v>
      </c>
      <c r="CR98" s="117">
        <f t="array" ref="CR98">MIN(IF(INDEX(properties!A$1:CB$87,'Fórmula'!B98,30)=0,10^6,INDEX(properties!A$1:CB$87,'Fórmula'!B98,30)),IF(INDEX(properties!A$1:CB$87,'Fórmula'!D98,30)=0,10^6,INDEX(properties!A$1:CB$87,'Fórmula'!D98,30)),IF(INDEX(properties!A$1:CB$87,'Fórmula'!F98,30)=0,10^6,INDEX(properties!A$1:CB$87,'Fórmula'!F98,30)),IF(INDEX(properties!A$1:CB$87,'Fórmula'!H98,30)=0,10^6,INDEX(properties!A$1:CB$87,'Fórmula'!H98,30)),IF(INDEX(properties!A$1:CB$87,'Fórmula'!J98,30)=0,10^6,INDEX(properties!A$1:CB$87,'Fórmula'!J98,30)))</f>
        <v>1</v>
      </c>
      <c r="CS98" s="117">
        <f t="shared" si="16"/>
        <v>2.44</v>
      </c>
      <c r="CT98" s="118">
        <f t="array" ref="CT98">(('Fórmula'!C98)/('Fórmula'!C98+'Fórmula'!E98+'Fórmula'!G98+'Fórmula'!I98+'Fórmula'!K98))*(INDEX(properties!A$1:CB$87,'Fórmula'!B98,31))+(('Fórmula'!E98)/('Fórmula'!C98+'Fórmula'!E98+'Fórmula'!G98+'Fórmula'!I98+'Fórmula'!K98))*(INDEX(properties!A$1:CB$87,'Fórmula'!D98,31))+(('Fórmula'!G98)/('Fórmula'!C98+'Fórmula'!E98+'Fórmula'!G98+'Fórmula'!I98+'Fórmula'!K98))*(INDEX(properties!A$1:CB$87,'Fórmula'!F98,31))+(('Fórmula'!I98)/('Fórmula'!C98+'Fórmula'!E98+'Fórmula'!G98+'Fórmula'!I98+'Fórmula'!K98))*(INDEX(properties!A$1:CB$87,'Fórmula'!H98,31))+(('Fórmula'!K98)/('Fórmula'!C98+'Fórmula'!E98+'Fórmula'!G98+'Fórmula'!I98+'Fórmula'!K98))*(INDEX(properties!A$1:CB$87,'Fórmula'!J98,31))</f>
        <v>2.624</v>
      </c>
      <c r="CU98" s="118">
        <f t="array" ref="CU98">'Fórmula'!C98*(INDEX(properties!A$1:CB$87,'Fórmula'!B98,31))+'Fórmula'!E98*(INDEX(properties!A$1:CB$87,'Fórmula'!D98,31))+'Fórmula'!G98*(INDEX(properties!A$1:CB$87,'Fórmula'!F98,31))+'Fórmula'!I98*(INDEX(properties!A$1:CB$87,'Fórmula'!H98,31))+'Fórmula'!K98*(INDEX(properties!A$1:CB$87,'Fórmula'!J98,31))</f>
        <v>13.12</v>
      </c>
      <c r="CV98" s="118">
        <f t="array" ref="CV98">VARP(IF(INDEX(properties!A$1:CB$87,'Fórmula'!B98,31)&lt;&gt;"",INDEX(properties!A$1:CB$87,'Fórmula'!B98,31)),IF(INDEX(properties!A$1:CB$87,'Fórmula'!D98,31)&lt;&gt;"",INDEX(properties!A$1:CB$87,'Fórmula'!D98,31)),IF(INDEX(properties!A$1:CB$87,'Fórmula'!F98,31)&lt;&gt;"",INDEX(properties!A$1:CB$87,'Fórmula'!F98,31)),IF(INDEX(properties!A$1:CB$87,'Fórmula'!H98,31)&lt;&gt;"",INDEX(properties!A$1:CB$87,'Fórmula'!H98,31)),IF(INDEX(properties!A$1:CB$87,'Fórmula'!J98,31)&lt;&gt;"",INDEX(properties!A$1:CB$87,'Fórmula'!J98,31)))</f>
        <v>1.590664</v>
      </c>
      <c r="CW98" s="118">
        <f t="array" ref="CW98">MAX(INDEX(properties!A$1:CB$87,'Fórmula'!B98,31),INDEX(properties!A$1:CB$87,'Fórmula'!D98,31),INDEX(properties!A$1:CB$87,'Fórmula'!F98,31),INDEX(properties!A$1:CB$87,'Fórmula'!H98,31),INDEX(properties!A$1:CB$87,'Fórmula'!J98,31))</f>
        <v>3.32</v>
      </c>
      <c r="CX98" s="118">
        <f t="array" ref="CX98">MIN(IF(INDEX(properties!A$1:CB$87,'Fórmula'!B98,31)=0,10^6,INDEX(properties!A$1:CB$87,'Fórmula'!B98,31)),IF(INDEX(properties!A$1:CB$87,'Fórmula'!D98,31)=0,10^6,INDEX(properties!A$1:CB$87,'Fórmula'!D98,31)),IF(INDEX(properties!A$1:CB$87,'Fórmula'!F98,31)=0,10^6,INDEX(properties!A$1:CB$87,'Fórmula'!F98,31)),IF(INDEX(properties!A$1:CB$87,'Fórmula'!H98,31)=0,10^6,INDEX(properties!A$1:CB$87,'Fórmula'!H98,31)),IF(INDEX(properties!A$1:CB$87,'Fórmula'!J98,31)=0,10^6,INDEX(properties!A$1:CB$87,'Fórmula'!J98,31)))</f>
        <v>1.17</v>
      </c>
      <c r="CY98" s="118">
        <f t="shared" si="17"/>
        <v>2.15</v>
      </c>
      <c r="CZ98" s="119">
        <f t="array" ref="CZ98">(('Fórmula'!C98)/('Fórmula'!C98+'Fórmula'!E98+'Fórmula'!G98+'Fórmula'!I98+'Fórmula'!K98))*(INDEX(properties!A$1:CB$87,'Fórmula'!B98,32))+(('Fórmula'!E98)/('Fórmula'!C98+'Fórmula'!E98+'Fórmula'!G98+'Fórmula'!I98+'Fórmula'!K98))*(INDEX(properties!A$1:CB$87,'Fórmula'!D98,32))+(('Fórmula'!G98)/('Fórmula'!C98+'Fórmula'!E98+'Fórmula'!G98+'Fórmula'!I98+'Fórmula'!K98))*(INDEX(properties!A$1:CB$87,'Fórmula'!F98,32))+(('Fórmula'!I98)/('Fórmula'!C98+'Fórmula'!E98+'Fórmula'!G98+'Fórmula'!I98+'Fórmula'!K98))*(INDEX(properties!A$1:CB$87,'Fórmula'!H98,32))+(('Fórmula'!K98)/('Fórmula'!C98+'Fórmula'!E98+'Fórmula'!G98+'Fórmula'!I98+'Fórmula'!K98))*(INDEX(properties!A$1:CB$87,'Fórmula'!J98,32))</f>
        <v>5.884</v>
      </c>
      <c r="DA98" s="119">
        <f t="array" ref="DA98">'Fórmula'!C98*(INDEX(properties!A$1:CB$87,'Fórmula'!B98,32))+'Fórmula'!E98*(INDEX(properties!A$1:CB$87,'Fórmula'!D98,32))+'Fórmula'!G98*(INDEX(properties!A$1:CB$87,'Fórmula'!F98,32))+'Fórmula'!I98*(INDEX(properties!A$1:CB$87,'Fórmula'!H98,32))+'Fórmula'!K98*(INDEX(properties!A$1:CB$87,'Fórmula'!J98,32))</f>
        <v>29.42</v>
      </c>
      <c r="DB98" s="119">
        <f t="array" ref="DB98">VARP(IF(INDEX(properties!A$1:CB$87,'Fórmula'!B98,32)&lt;&gt;"",INDEX(properties!A$1:CB$87,'Fórmula'!B98,32)),IF(INDEX(properties!A$1:CB$87,'Fórmula'!D98,32)&lt;&gt;"",INDEX(properties!A$1:CB$87,'Fórmula'!D98,32)),IF(INDEX(properties!A$1:CB$87,'Fórmula'!F98,32)&lt;&gt;"",INDEX(properties!A$1:CB$87,'Fórmula'!F98,32)),IF(INDEX(properties!A$1:CB$87,'Fórmula'!H98,32)&lt;&gt;"",INDEX(properties!A$1:CB$87,'Fórmula'!H98,32)),IF(INDEX(properties!A$1:CB$87,'Fórmula'!J98,32)&lt;&gt;"",INDEX(properties!A$1:CB$87,'Fórmula'!J98,32)))</f>
        <v>8.344896</v>
      </c>
      <c r="DC98" s="119">
        <f t="array" ref="DC98">MAX(INDEX(properties!A$1:CB$87,'Fórmula'!B98,32),INDEX(properties!A$1:CB$87,'Fórmula'!D98,32),INDEX(properties!A$1:CB$87,'Fórmula'!F98,32),INDEX(properties!A$1:CB$87,'Fórmula'!H98,32),INDEX(properties!A$1:CB$87,'Fórmula'!J98,32))</f>
        <v>7.54</v>
      </c>
      <c r="DD98" s="119">
        <f t="array" ref="DD98">MIN(IF(INDEX(properties!A$1:CB$87,'Fórmula'!B98,32)=0,10^6,INDEX(properties!A$1:CB$87,'Fórmula'!B98,32)),IF(INDEX(properties!A$1:CB$87,'Fórmula'!D98,32)=0,10^6,INDEX(properties!A$1:CB$87,'Fórmula'!D98,32)),IF(INDEX(properties!A$1:CB$87,'Fórmula'!F98,32)=0,10^6,INDEX(properties!A$1:CB$87,'Fórmula'!F98,32)),IF(INDEX(properties!A$1:CB$87,'Fórmula'!H98,32)=0,10^6,INDEX(properties!A$1:CB$87,'Fórmula'!H98,32)),IF(INDEX(properties!A$1:CB$87,'Fórmula'!J98,32)=0,10^6,INDEX(properties!A$1:CB$87,'Fórmula'!J98,32)))</f>
        <v>2.2</v>
      </c>
      <c r="DE98" s="119">
        <f t="shared" si="18"/>
        <v>5.34</v>
      </c>
      <c r="DF98" s="104">
        <f t="array" ref="DF98">(('Fórmula'!C98)/('Fórmula'!C98+'Fórmula'!E98+'Fórmula'!G98+'Fórmula'!I98+'Fórmula'!K98))*(INDEX(properties!A$1:CB$87,'Fórmula'!B98,34))+(('Fórmula'!E98)/('Fórmula'!C98+'Fórmula'!E98+'Fórmula'!G98+'Fórmula'!I98+'Fórmula'!K98))*(INDEX(properties!A$1:CB$87,'Fórmula'!D98,34))+(('Fórmula'!G98)/('Fórmula'!C98+'Fórmula'!E98+'Fórmula'!G98+'Fórmula'!I98+'Fórmula'!K98))*(INDEX(properties!A$1:CB$87,'Fórmula'!F98,34))+(('Fórmula'!I98)/('Fórmula'!C98+'Fórmula'!E98+'Fórmula'!G98+'Fórmula'!I98+'Fórmula'!K98))*(INDEX(properties!A$1:CB$87,'Fórmula'!H98,34))+(('Fórmula'!K98)/('Fórmula'!C98+'Fórmula'!E98+'Fórmula'!G98+'Fórmula'!I98+'Fórmula'!K98))*(INDEX(properties!A$1:CB$87,'Fórmula'!J98,34))</f>
        <v>2.7716</v>
      </c>
      <c r="DG98" s="104">
        <f t="array" ref="DG98">'Fórmula'!C98*(INDEX(properties!A$1:CB$87,'Fórmula'!B98,34))+'Fórmula'!E98*(INDEX(properties!A$1:CB$87,'Fórmula'!D98,34))+'Fórmula'!G98*(INDEX(properties!A$1:CB$87,'Fórmula'!F98,34))+'Fórmula'!I98*(INDEX(properties!A$1:CB$87,'Fórmula'!H98,34))+'Fórmula'!K98*(INDEX(properties!A$1:CB$87,'Fórmula'!J98,34))</f>
        <v>13.858</v>
      </c>
      <c r="DH98" s="104">
        <f t="array" ref="DH98">VARP(IF(INDEX(properties!A$1:CB$87,'Fórmula'!B98,34)&lt;&gt;"",INDEX(properties!A$1:CB$87,'Fórmula'!B98,34)),IF(INDEX(properties!A$1:CB$87,'Fórmula'!D98,34)&lt;&gt;"",INDEX(properties!A$1:CB$87,'Fórmula'!D98,34)),IF(INDEX(properties!A$1:CB$87,'Fórmula'!F98,34)&lt;&gt;"",INDEX(properties!A$1:CB$87,'Fórmula'!F98,34)),IF(INDEX(properties!A$1:CB$87,'Fórmula'!H98,34)&lt;&gt;"",INDEX(properties!A$1:CB$87,'Fórmula'!H98,34)),IF(INDEX(properties!A$1:CB$87,'Fórmula'!J98,34)&lt;&gt;"",INDEX(properties!A$1:CB$87,'Fórmula'!J98,34)))</f>
        <v>1.85293664</v>
      </c>
      <c r="DI98" s="104">
        <f t="array" ref="DI98">MAX(INDEX(properties!A$1:CB$87,'Fórmula'!B98,34),INDEX(properties!A$1:CB$87,'Fórmula'!D98,34),INDEX(properties!A$1:CB$87,'Fórmula'!F98,34),INDEX(properties!A$1:CB$87,'Fórmula'!H98,34),INDEX(properties!A$1:CB$87,'Fórmula'!J98,34))</f>
        <v>3.61</v>
      </c>
      <c r="DJ98" s="104">
        <f t="array" ref="DJ98">MIN(IF(INDEX(properties!A$1:CB$87,'Fórmula'!B98,34)=0,10^6,INDEX(properties!A$1:CB$87,'Fórmula'!B98,34)),IF(INDEX(properties!A$1:CB$87,'Fórmula'!D98,34)=0,10^6,INDEX(properties!A$1:CB$87,'Fórmula'!D98,34)),IF(INDEX(properties!A$1:CB$87,'Fórmula'!F98,34)=0,10^6,INDEX(properties!A$1:CB$87,'Fórmula'!F98,34)),IF(INDEX(properties!A$1:CB$87,'Fórmula'!H98,34)=0,10^6,INDEX(properties!A$1:CB$87,'Fórmula'!H98,34)),IF(INDEX(properties!A$1:CB$87,'Fórmula'!J98,34)=0,10^6,INDEX(properties!A$1:CB$87,'Fórmula'!J98,34)))</f>
        <v>1.034</v>
      </c>
      <c r="DK98" s="104">
        <f t="shared" si="19"/>
        <v>2.576</v>
      </c>
      <c r="DL98" s="105">
        <f t="array" ref="DL98">(('Fórmula'!C98)/('Fórmula'!C98+'Fórmula'!E98+'Fórmula'!G98+'Fórmula'!I98+'Fórmula'!K98))*(INDEX(properties!A$1:CB$87,'Fórmula'!B98,37))+(('Fórmula'!E98)/('Fórmula'!C98+'Fórmula'!E98+'Fórmula'!G98+'Fórmula'!I98+'Fórmula'!K98))*(INDEX(properties!A$1:CB$87,'Fórmula'!D98,37))+(('Fórmula'!G98)/('Fórmula'!C98+'Fórmula'!E98+'Fórmula'!G98+'Fórmula'!I98+'Fórmula'!K98))*(INDEX(properties!A$1:CB$87,'Fórmula'!F98,37))+(('Fórmula'!I98)/('Fórmula'!C98+'Fórmula'!E98+'Fórmula'!G98+'Fórmula'!I98+'Fórmula'!K98))*(INDEX(properties!A$1:CB$87,'Fórmula'!H98,37))+(('Fórmula'!K98)/('Fórmula'!C98+'Fórmula'!E98+'Fórmula'!G98+'Fórmula'!I98+'Fórmula'!K98))*(INDEX(properties!A$1:CB$87,'Fórmula'!J98,37))</f>
        <v>2.61</v>
      </c>
      <c r="DM98" s="105">
        <f t="array" ref="DM98">'Fórmula'!C98*(INDEX(properties!A$1:CB$87,'Fórmula'!B98,37))+'Fórmula'!E98*(INDEX(properties!A$1:CB$87,'Fórmula'!D98,37))+'Fórmula'!G98*(INDEX(properties!A$1:CB$87,'Fórmula'!F98,37))+'Fórmula'!I98*(INDEX(properties!A$1:CB$87,'Fórmula'!H98,37))+'Fórmula'!K98*(INDEX(properties!A$1:CB$87,'Fórmula'!J98,37))</f>
        <v>13.05</v>
      </c>
      <c r="DN98" s="105">
        <f t="array" ref="DN98">VARP(IF(INDEX(properties!A$1:CB$87,'Fórmula'!B98,37)&lt;&gt;"",INDEX(properties!A$1:CB$87,'Fórmula'!B98,37)),IF(INDEX(properties!A$1:CB$87,'Fórmula'!D98,37)&lt;&gt;"",INDEX(properties!A$1:CB$87,'Fórmula'!D98,37)),IF(INDEX(properties!A$1:CB$87,'Fórmula'!F98,37)&lt;&gt;"",INDEX(properties!A$1:CB$87,'Fórmula'!F98,37)),IF(INDEX(properties!A$1:CB$87,'Fórmula'!H98,37)&lt;&gt;"",INDEX(properties!A$1:CB$87,'Fórmula'!H98,37)),IF(INDEX(properties!A$1:CB$87,'Fórmula'!J98,37)&lt;&gt;"",INDEX(properties!A$1:CB$87,'Fórmula'!J98,37)))</f>
        <v>1.6456</v>
      </c>
      <c r="DO98" s="105">
        <f t="array" ref="DO98">MAX(INDEX(properties!A$1:CB$87,'Fórmula'!B98,37),INDEX(properties!A$1:CB$87,'Fórmula'!D98,37),INDEX(properties!A$1:CB$87,'Fórmula'!F98,37),INDEX(properties!A$1:CB$87,'Fórmula'!H98,37),INDEX(properties!A$1:CB$87,'Fórmula'!J98,37))</f>
        <v>3.45</v>
      </c>
      <c r="DP98" s="105">
        <f t="array" ref="DP98">MIN(IF(INDEX(properties!A$1:CB$87,'Fórmula'!B98,37)=0,10^6,INDEX(properties!A$1:CB$87,'Fórmula'!B98,37)),IF(INDEX(properties!A$1:CB$87,'Fórmula'!D98,37)=0,10^6,INDEX(properties!A$1:CB$87,'Fórmula'!D98,37)),IF(INDEX(properties!A$1:CB$87,'Fórmula'!F98,37)=0,10^6,INDEX(properties!A$1:CB$87,'Fórmula'!F98,37)),IF(INDEX(properties!A$1:CB$87,'Fórmula'!H98,37)=0,10^6,INDEX(properties!A$1:CB$87,'Fórmula'!H98,37)),IF(INDEX(properties!A$1:CB$87,'Fórmula'!J98,37)=0,10^6,INDEX(properties!A$1:CB$87,'Fórmula'!J98,37)))</f>
        <v>1</v>
      </c>
      <c r="DQ98" s="105">
        <f t="shared" si="20"/>
        <v>2.45</v>
      </c>
      <c r="DR98" s="109">
        <f t="array" ref="DR98">(('Fórmula'!C98)/('Fórmula'!C98+'Fórmula'!E98+'Fórmula'!G98+'Fórmula'!I98+'Fórmula'!K98))*(INDEX(properties!A$1:CB$87,'Fórmula'!B98,39))+(('Fórmula'!E98)/('Fórmula'!C98+'Fórmula'!E98+'Fórmula'!G98+'Fórmula'!I98+'Fórmula'!K98))*(INDEX(properties!A$1:CB$87,'Fórmula'!D98,39))+(('Fórmula'!G98)/('Fórmula'!C98+'Fórmula'!E98+'Fórmula'!G98+'Fórmula'!I98+'Fórmula'!K98))*(INDEX(properties!A$1:CB$87,'Fórmula'!F98,39))+(('Fórmula'!I98)/('Fórmula'!C98+'Fórmula'!E98+'Fórmula'!G98+'Fórmula'!I98+'Fórmula'!K98))*(INDEX(properties!A$1:CB$87,'Fórmula'!H98,39))+(('Fórmula'!K98)/('Fórmula'!C98+'Fórmula'!E98+'Fórmula'!G98+'Fórmula'!I98+'Fórmula'!K98))*(INDEX(properties!A$1:CB$87,'Fórmula'!J98,39))</f>
        <v>0.926</v>
      </c>
      <c r="DS98" s="109">
        <f t="array" ref="DS98">'Fórmula'!C98*(INDEX(properties!A$1:CB$87,'Fórmula'!B98,39))+'Fórmula'!E98*(INDEX(properties!A$1:CB$87,'Fórmula'!D98,39))+'Fórmula'!G98*(INDEX(properties!A$1:CB$87,'Fórmula'!F98,39))+'Fórmula'!I98*(INDEX(properties!A$1:CB$87,'Fórmula'!H98,39))+'Fórmula'!K98*(INDEX(properties!A$1:CB$87,'Fórmula'!J98,39))</f>
        <v>4.63</v>
      </c>
      <c r="DT98" s="109">
        <f t="array" ref="DT98">VARP(IF(INDEX(properties!A$1:CB$87,'Fórmula'!B98,39)&lt;&gt;"",INDEX(properties!A$1:CB$87,'Fórmula'!B98,39)),IF(INDEX(properties!A$1:CB$87,'Fórmula'!D98,39)&lt;&gt;"",INDEX(properties!A$1:CB$87,'Fórmula'!D98,39)),IF(INDEX(properties!A$1:CB$87,'Fórmula'!F98,39)&lt;&gt;"",INDEX(properties!A$1:CB$87,'Fórmula'!F98,39)),IF(INDEX(properties!A$1:CB$87,'Fórmula'!H98,39)&lt;&gt;"",INDEX(properties!A$1:CB$87,'Fórmula'!H98,39)),IF(INDEX(properties!A$1:CB$87,'Fórmula'!J98,39)&lt;&gt;"",INDEX(properties!A$1:CB$87,'Fórmula'!J98,39)))</f>
        <v>0.572544</v>
      </c>
      <c r="DU98" s="120">
        <f t="array" ref="DU98">MAX(INDEX(properties!A$1:CB$87,'Fórmula'!B98,39),INDEX(properties!A$1:CB$87,'Fórmula'!D98,39),INDEX(properties!A$1:CB$87,'Fórmula'!F98,39),INDEX(properties!A$1:CB$87,'Fórmula'!H98,39),INDEX(properties!A$1:CB$87,'Fórmula'!J98,39))</f>
        <v>1.94</v>
      </c>
      <c r="DV98" s="120">
        <f t="array" ref="DV98">MIN(IF(INDEX(properties!A$1:CB$87,'Fórmula'!B98,39)=0,10^6,INDEX(properties!A$1:CB$87,'Fórmula'!B98,39)),IF(INDEX(properties!A$1:CB$87,'Fórmula'!D98,39)=0,10^6,INDEX(properties!A$1:CB$87,'Fórmula'!D98,39)),IF(INDEX(properties!A$1:CB$87,'Fórmula'!F98,39)=0,10^6,INDEX(properties!A$1:CB$87,'Fórmula'!F98,39)),IF(INDEX(properties!A$1:CB$87,'Fórmula'!H98,39)=0,10^6,INDEX(properties!A$1:CB$87,'Fórmula'!H98,39)),IF(INDEX(properties!A$1:CB$87,'Fórmula'!J98,39)=0,10^6,INDEX(properties!A$1:CB$87,'Fórmula'!J98,39)))</f>
        <v>0.48</v>
      </c>
      <c r="DW98" s="109">
        <f t="shared" si="21"/>
        <v>1.46</v>
      </c>
      <c r="DX98" s="110">
        <f t="array" ref="DX98">(('Fórmula'!C98)/('Fórmula'!C98+'Fórmula'!E98+'Fórmula'!G98+'Fórmula'!I98+'Fórmula'!K98))*(INDEX(properties!A$1:CB$87,'Fórmula'!B98,40))+(('Fórmula'!E98)/('Fórmula'!C98+'Fórmula'!E98+'Fórmula'!G98+'Fórmula'!I98+'Fórmula'!K98))*(INDEX(properties!A$1:CB$87,'Fórmula'!D98,40))+(('Fórmula'!G98)/('Fórmula'!C98+'Fórmula'!E98+'Fórmula'!G98+'Fórmula'!I98+'Fórmula'!K98))*(INDEX(properties!A$1:CB$87,'Fórmula'!F98,40))+(('Fórmula'!I98)/('Fórmula'!C98+'Fórmula'!E98+'Fórmula'!G98+'Fórmula'!I98+'Fórmula'!K98))*(INDEX(properties!A$1:CB$87,'Fórmula'!H98,40))+(('Fórmula'!K98)/('Fórmula'!C98+'Fórmula'!E98+'Fórmula'!G98+'Fórmula'!I98+'Fórmula'!K98))*(INDEX(properties!A$1:CB$87,'Fórmula'!J98,40))</f>
        <v>1.03</v>
      </c>
      <c r="DY98" s="110">
        <f t="array" ref="DY98">'Fórmula'!C98*(INDEX(properties!A$1:CB$87,'Fórmula'!B98,40))+'Fórmula'!E98*(INDEX(properties!A$1:CB$87,'Fórmula'!D98,40))+'Fórmula'!G98*(INDEX(properties!A$1:CB$87,'Fórmula'!F98,40))+'Fórmula'!I98*(INDEX(properties!A$1:CB$87,'Fórmula'!H98,40))+'Fórmula'!K98*(INDEX(properties!A$1:CB$87,'Fórmula'!J98,40))</f>
        <v>5.15</v>
      </c>
      <c r="DZ98" s="110">
        <f t="array" ref="DZ98">VARP(IF(INDEX(properties!A$1:CB$87,'Fórmula'!B98,40)&lt;&gt;"",INDEX(properties!A$1:CB$87,'Fórmula'!B98,40)),IF(INDEX(properties!A$1:CB$87,'Fórmula'!D98,40)&lt;&gt;"",INDEX(properties!A$1:CB$87,'Fórmula'!D98,40)),IF(INDEX(properties!A$1:CB$87,'Fórmula'!F98,40)&lt;&gt;"",INDEX(properties!A$1:CB$87,'Fórmula'!F98,40)),IF(INDEX(properties!A$1:CB$87,'Fórmula'!H98,40)&lt;&gt;"",INDEX(properties!A$1:CB$87,'Fórmula'!H98,40)),IF(INDEX(properties!A$1:CB$87,'Fórmula'!J98,40)&lt;&gt;"",INDEX(properties!A$1:CB$87,'Fórmula'!J98,40)))</f>
        <v>0.465136</v>
      </c>
      <c r="EA98" s="121">
        <f t="array" ref="EA98">MAX(INDEX(properties!A$1:CB$87,'Fórmula'!B98,40),INDEX(properties!A$1:CB$87,'Fórmula'!D98,40),INDEX(properties!A$1:CB$87,'Fórmula'!F98,40),INDEX(properties!A$1:CB$87,'Fórmula'!H98,40),INDEX(properties!A$1:CB$87,'Fórmula'!J98,40))</f>
        <v>1.74</v>
      </c>
      <c r="EB98" s="121">
        <f t="array" ref="EB98">MIN(IF(INDEX(properties!A$1:CB$87,'Fórmula'!B98,40)=0,10^6,INDEX(properties!A$1:CB$87,'Fórmula'!B98,40)),IF(INDEX(properties!A$1:CB$87,'Fórmula'!D98,40)=0,10^6,INDEX(properties!A$1:CB$87,'Fórmula'!D98,40)),IF(INDEX(properties!A$1:CB$87,'Fórmula'!F98,40)=0,10^6,INDEX(properties!A$1:CB$87,'Fórmula'!F98,40)),IF(INDEX(properties!A$1:CB$87,'Fórmula'!H98,40)=0,10^6,INDEX(properties!A$1:CB$87,'Fórmula'!H98,40)),IF(INDEX(properties!A$1:CB$87,'Fórmula'!J98,40)=0,10^6,INDEX(properties!A$1:CB$87,'Fórmula'!J98,40)))</f>
        <v>0.73</v>
      </c>
      <c r="EC98" s="110">
        <f t="shared" si="22"/>
        <v>1.01</v>
      </c>
      <c r="ED98" s="111">
        <f t="array" ref="ED98">(('Fórmula'!C98)/('Fórmula'!C98+'Fórmula'!E98+'Fórmula'!G98+'Fórmula'!I98+'Fórmula'!K98))*(INDEX(properties!A$1:CB$87,'Fórmula'!B98,41))+(('Fórmula'!E98)/('Fórmula'!C98+'Fórmula'!E98+'Fórmula'!G98+'Fórmula'!I98+'Fórmula'!K98))*(INDEX(properties!A$1:CB$87,'Fórmula'!D98,41))+(('Fórmula'!G98)/('Fórmula'!C98+'Fórmula'!E98+'Fórmula'!G98+'Fórmula'!I98+'Fórmula'!K98))*(INDEX(properties!A$1:CB$87,'Fórmula'!F98,41))+(('Fórmula'!I98)/('Fórmula'!C98+'Fórmula'!E98+'Fórmula'!G98+'Fórmula'!I98+'Fórmula'!K98))*(INDEX(properties!A$1:CB$87,'Fórmula'!H98,41))+(('Fórmula'!K98)/('Fórmula'!C98+'Fórmula'!E98+'Fórmula'!G98+'Fórmula'!I98+'Fórmula'!K98))*(INDEX(properties!A$1:CB$87,'Fórmula'!J98,41))</f>
        <v>1.158</v>
      </c>
      <c r="EE98" s="111">
        <f t="array" ref="EE98">'Fórmula'!C98*(INDEX(properties!A$1:CB$87,'Fórmula'!B98,41))+'Fórmula'!E98*(INDEX(properties!A$1:CB$87,'Fórmula'!D98,41))+'Fórmula'!G98*(INDEX(properties!A$1:CB$87,'Fórmula'!F98,41))+'Fórmula'!I98*(INDEX(properties!A$1:CB$87,'Fórmula'!H98,41))+'Fórmula'!K98*(INDEX(properties!A$1:CB$87,'Fórmula'!J98,41))</f>
        <v>5.79</v>
      </c>
      <c r="EF98" s="111">
        <f t="array" ref="EF98">VARP(IF(INDEX(properties!A$1:CB$87,'Fórmula'!B98,41)&lt;&gt;"",INDEX(properties!A$1:CB$87,'Fórmula'!B98,41)),IF(INDEX(properties!A$1:CB$87,'Fórmula'!D98,41)&lt;&gt;"",INDEX(properties!A$1:CB$87,'Fórmula'!D98,41)),IF(INDEX(properties!A$1:CB$87,'Fórmula'!F98,41)&lt;&gt;"",INDEX(properties!A$1:CB$87,'Fórmula'!F98,41)),IF(INDEX(properties!A$1:CB$87,'Fórmula'!H98,41)&lt;&gt;"",INDEX(properties!A$1:CB$87,'Fórmula'!H98,41)),IF(INDEX(properties!A$1:CB$87,'Fórmula'!J98,41)&lt;&gt;"",INDEX(properties!A$1:CB$87,'Fórmula'!J98,41)))</f>
        <v>0.301104</v>
      </c>
      <c r="EG98" s="122">
        <f t="array" ref="EG98">MAX(INDEX(properties!A$1:CB$87,'Fórmula'!B98,41),INDEX(properties!A$1:CB$87,'Fórmula'!D98,41),INDEX(properties!A$1:CB$87,'Fórmula'!F98,41),INDEX(properties!A$1:CB$87,'Fórmula'!H98,41),INDEX(properties!A$1:CB$87,'Fórmula'!J98,41))</f>
        <v>1.26</v>
      </c>
      <c r="EH98" s="122">
        <f t="array" ref="EH98">MIN(IF(INDEX(properties!A$1:CB$87,'Fórmula'!B98,41)=0,10^6,INDEX(properties!A$1:CB$87,'Fórmula'!B98,41)),IF(INDEX(properties!A$1:CB$87,'Fórmula'!D98,41)=0,10^6,INDEX(properties!A$1:CB$87,'Fórmula'!D98,41)),IF(INDEX(properties!A$1:CB$87,'Fórmula'!F98,41)=0,10^6,INDEX(properties!A$1:CB$87,'Fórmula'!F98,41)),IF(INDEX(properties!A$1:CB$87,'Fórmula'!H98,41)=0,10^6,INDEX(properties!A$1:CB$87,'Fórmula'!H98,41)),IF(INDEX(properties!A$1:CB$87,'Fórmula'!J98,41)=0,10^6,INDEX(properties!A$1:CB$87,'Fórmula'!J98,41)))</f>
        <v>0.87</v>
      </c>
      <c r="EI98" s="111">
        <f t="shared" si="23"/>
        <v>0.39</v>
      </c>
      <c r="EJ98" s="112">
        <f t="array" ref="EJ98">(('Fórmula'!C98)/('Fórmula'!C98+'Fórmula'!E98+'Fórmula'!G98+'Fórmula'!I98+'Fórmula'!K98))*(INDEX(properties!A$1:CB$87,'Fórmula'!B98,45))+(('Fórmula'!E98)/('Fórmula'!C98+'Fórmula'!E98+'Fórmula'!G98+'Fórmula'!I98+'Fórmula'!K98))*(INDEX(properties!A$1:CB$87,'Fórmula'!D98,45))+(('Fórmula'!G98)/('Fórmula'!C98+'Fórmula'!E98+'Fórmula'!G98+'Fórmula'!I98+'Fórmula'!K98))*(INDEX(properties!A$1:CB$87,'Fórmula'!F98,45))+(('Fórmula'!I98)/('Fórmula'!C98+'Fórmula'!E98+'Fórmula'!G98+'Fórmula'!I98+'Fórmula'!K98))*(INDEX(properties!A$1:CB$87,'Fórmula'!H98,45))+(('Fórmula'!K98)/('Fórmula'!C98+'Fórmula'!E98+'Fórmula'!G98+'Fórmula'!I98+'Fórmula'!K98))*(INDEX(properties!A$1:CB$87,'Fórmula'!J98,45))</f>
        <v>1.194</v>
      </c>
      <c r="EK98" s="112">
        <f t="array" ref="EK98">'Fórmula'!C98*(INDEX(properties!A$1:CB$87,'Fórmula'!B98,45))+'Fórmula'!E98*(INDEX(properties!A$1:CB$87,'Fórmula'!D98,45))+'Fórmula'!G98*(INDEX(properties!A$1:CB$87,'Fórmula'!F98,45))+'Fórmula'!I98*(INDEX(properties!A$1:CB$87,'Fórmula'!H98,45))+'Fórmula'!K98*(INDEX(properties!A$1:CB$87,'Fórmula'!J98,45))</f>
        <v>5.97</v>
      </c>
      <c r="EL98" s="112">
        <f t="array" ref="EL98">VARP(IF(INDEX(properties!A$1:CB$87,'Fórmula'!B98,45)&lt;&gt;"",INDEX(properties!A$1:CB$87,'Fórmula'!B98,45)),IF(INDEX(properties!A$1:CB$87,'Fórmula'!D98,45)&lt;&gt;"",INDEX(properties!A$1:CB$87,'Fórmula'!D98,45)),IF(INDEX(properties!A$1:CB$87,'Fórmula'!F98,45)&lt;&gt;"",INDEX(properties!A$1:CB$87,'Fórmula'!F98,45)),IF(INDEX(properties!A$1:CB$87,'Fórmula'!H98,45)&lt;&gt;"",INDEX(properties!A$1:CB$87,'Fórmula'!H98,45)),IF(INDEX(properties!A$1:CB$87,'Fórmula'!J98,45)&lt;&gt;"",INDEX(properties!A$1:CB$87,'Fórmula'!J98,45)))</f>
        <v>1.318864</v>
      </c>
      <c r="EM98" s="123">
        <f t="array" ref="EM98">MAX(INDEX(properties!A$1:CB$87,'Fórmula'!B98,45),INDEX(properties!A$1:CB$87,'Fórmula'!D98,45),INDEX(properties!A$1:CB$87,'Fórmula'!F98,45),INDEX(properties!A$1:CB$87,'Fórmula'!H98,45),INDEX(properties!A$1:CB$87,'Fórmula'!J98,45))</f>
        <v>3</v>
      </c>
      <c r="EN98" s="123">
        <f t="array" ref="EN98">MIN(IF(INDEX(properties!A$1:CB$87,'Fórmula'!B98,45)=0,10^6,INDEX(properties!A$1:CB$87,'Fórmula'!B98,45)),IF(INDEX(properties!A$1:CB$87,'Fórmula'!D98,45)=0,10^6,INDEX(properties!A$1:CB$87,'Fórmula'!D98,45)),IF(INDEX(properties!A$1:CB$87,'Fórmula'!F98,45)=0,10^6,INDEX(properties!A$1:CB$87,'Fórmula'!F98,45)),IF(INDEX(properties!A$1:CB$87,'Fórmula'!H98,45)=0,10^6,INDEX(properties!A$1:CB$87,'Fórmula'!H98,45)),IF(INDEX(properties!A$1:CB$87,'Fórmula'!J98,45)=0,10^6,INDEX(properties!A$1:CB$87,'Fórmula'!J98,45)))</f>
        <v>0.47</v>
      </c>
      <c r="EO98" s="112">
        <f t="shared" si="24"/>
        <v>2.53</v>
      </c>
      <c r="EP98" s="113">
        <f t="array" ref="EP98">(('Fórmula'!C98)/('Fórmula'!C98+'Fórmula'!E98+'Fórmula'!G98+'Fórmula'!I98+'Fórmula'!K98))*(INDEX(properties!A$1:CB$87,'Fórmula'!B98,46))+(('Fórmula'!E98)/('Fórmula'!C98+'Fórmula'!E98+'Fórmula'!G98+'Fórmula'!I98+'Fórmula'!K98))*(INDEX(properties!A$1:CB$87,'Fórmula'!D98,46))+(('Fórmula'!G98)/('Fórmula'!C98+'Fórmula'!E98+'Fórmula'!G98+'Fórmula'!I98+'Fórmula'!K98))*(INDEX(properties!A$1:CB$87,'Fórmula'!F98,46))+(('Fórmula'!I98)/('Fórmula'!C98+'Fórmula'!E98+'Fórmula'!G98+'Fórmula'!I98+'Fórmula'!K98))*(INDEX(properties!A$1:CB$87,'Fórmula'!H98,46))+(('Fórmula'!K98)/('Fórmula'!C98+'Fórmula'!E98+'Fórmula'!G98+'Fórmula'!I98+'Fórmula'!K98))*(INDEX(properties!A$1:CB$87,'Fórmula'!J98,46))</f>
        <v>1.06</v>
      </c>
      <c r="EQ98" s="113">
        <f t="array" ref="EQ98">'Fórmula'!C98*(INDEX(properties!A$1:CB$87,'Fórmula'!B98,46))+'Fórmula'!E98*(INDEX(properties!A$1:CB$87,'Fórmula'!D98,46))+'Fórmula'!G98*(INDEX(properties!A$1:CB$87,'Fórmula'!F98,46))+'Fórmula'!I98*(INDEX(properties!A$1:CB$87,'Fórmula'!H98,46))+'Fórmula'!K98*(INDEX(properties!A$1:CB$87,'Fórmula'!J98,46))</f>
        <v>5.3</v>
      </c>
      <c r="ER98" s="113">
        <f t="array" ref="ER98">VARP(IF(INDEX(properties!A$1:CB$87,'Fórmula'!B98,46)&lt;&gt;"",INDEX(properties!A$1:CB$87,'Fórmula'!B98,46)),IF(INDEX(properties!A$1:CB$87,'Fórmula'!D98,46)&lt;&gt;"",INDEX(properties!A$1:CB$87,'Fórmula'!D98,46)),IF(INDEX(properties!A$1:CB$87,'Fórmula'!F98,46)&lt;&gt;"",INDEX(properties!A$1:CB$87,'Fórmula'!F98,46)),IF(INDEX(properties!A$1:CB$87,'Fórmula'!H98,46)&lt;&gt;"",INDEX(properties!A$1:CB$87,'Fórmula'!H98,46)),IF(INDEX(properties!A$1:CB$87,'Fórmula'!J98,46)&lt;&gt;"",INDEX(properties!A$1:CB$87,'Fórmula'!J98,46)))</f>
        <v>0.277144</v>
      </c>
      <c r="ES98" s="124">
        <f t="array" ref="ES98">MAX(INDEX(properties!A$1:CB$87,'Fórmula'!B98,46),INDEX(properties!A$1:CB$87,'Fórmula'!D98,46),INDEX(properties!A$1:CB$87,'Fórmula'!F98,46),INDEX(properties!A$1:CB$87,'Fórmula'!H98,46),INDEX(properties!A$1:CB$87,'Fórmula'!J98,46))</f>
        <v>1.21</v>
      </c>
      <c r="ET98" s="124">
        <f t="array" ref="ET98">MIN(IF(INDEX(properties!A$1:CB$87,'Fórmula'!B98,46)=0,10^6,INDEX(properties!A$1:CB$87,'Fórmula'!B98,46)),IF(INDEX(properties!A$1:CB$87,'Fórmula'!D98,46)=0,10^6,INDEX(properties!A$1:CB$87,'Fórmula'!D98,46)),IF(INDEX(properties!A$1:CB$87,'Fórmula'!F98,46)=0,10^6,INDEX(properties!A$1:CB$87,'Fórmula'!F98,46)),IF(INDEX(properties!A$1:CB$87,'Fórmula'!H98,46)=0,10^6,INDEX(properties!A$1:CB$87,'Fórmula'!H98,46)),IF(INDEX(properties!A$1:CB$87,'Fórmula'!J98,46)=0,10^6,INDEX(properties!A$1:CB$87,'Fórmula'!J98,46)))</f>
        <v>0.53</v>
      </c>
      <c r="EU98" s="113">
        <f t="shared" si="25"/>
        <v>0.68</v>
      </c>
      <c r="EV98" s="114">
        <f t="array" ref="EV98">(('Fórmula'!C98)/('Fórmula'!C98+'Fórmula'!E98+'Fórmula'!G98+'Fórmula'!I98+'Fórmula'!K98))*(INDEX(properties!A$1:CB$87,'Fórmula'!B98,52))+(('Fórmula'!E98)/('Fórmula'!C98+'Fórmula'!E98+'Fórmula'!G98+'Fórmula'!I98+'Fórmula'!K98))*(INDEX(properties!A$1:CB$87,'Fórmula'!D98,52))+(('Fórmula'!G98)/('Fórmula'!C98+'Fórmula'!E98+'Fórmula'!G98+'Fórmula'!I98+'Fórmula'!K98))*(INDEX(properties!A$1:CB$87,'Fórmula'!F98,52))+(('Fórmula'!I98)/('Fórmula'!C98+'Fórmula'!E98+'Fórmula'!G98+'Fórmula'!I98+'Fórmula'!K98))*(INDEX(properties!A$1:CB$87,'Fórmula'!H98,52))+(('Fórmula'!K98)/('Fórmula'!C98+'Fórmula'!E98+'Fórmula'!G98+'Fórmula'!I98+'Fórmula'!K98))*(INDEX(properties!A$1:CB$87,'Fórmula'!J98,52))</f>
        <v>6.2558</v>
      </c>
      <c r="EW98" s="114">
        <f t="array" ref="EW98">'Fórmula'!C98*(INDEX(properties!A$1:CB$87,'Fórmula'!B98,52))+'Fórmula'!E98*(INDEX(properties!A$1:CB$87,'Fórmula'!D98,52))+'Fórmula'!G98*(INDEX(properties!A$1:CB$87,'Fórmula'!F98,52))+'Fórmula'!I98*(INDEX(properties!A$1:CB$87,'Fórmula'!H98,52))+'Fórmula'!K98*(INDEX(properties!A$1:CB$87,'Fórmula'!J98,52))</f>
        <v>31.279</v>
      </c>
      <c r="EX98" s="114">
        <f t="array" ref="EX98">VARP(IF(INDEX(properties!A$1:CB$87,'Fórmula'!B98,52)&lt;&gt;"",INDEX(properties!A$1:CB$87,'Fórmula'!B98,52)),IF(INDEX(properties!A$1:CB$87,'Fórmula'!D98,52)&lt;&gt;"",INDEX(properties!A$1:CB$87,'Fórmula'!D98,52)),IF(INDEX(properties!A$1:CB$87,'Fórmula'!F98,52)&lt;&gt;"",INDEX(properties!A$1:CB$87,'Fórmula'!F98,52)),IF(INDEX(properties!A$1:CB$87,'Fórmula'!H98,52)&lt;&gt;"",INDEX(properties!A$1:CB$87,'Fórmula'!H98,52)),IF(INDEX(properties!A$1:CB$87,'Fórmula'!J98,52)&lt;&gt;"",INDEX(properties!A$1:CB$87,'Fórmula'!J98,52)))</f>
        <v>76.26879984</v>
      </c>
      <c r="EY98" s="114">
        <f t="array" ref="EY98">MAX(INDEX(properties!A$1:CB$87,'Fórmula'!B98,52),INDEX(properties!A$1:CB$87,'Fórmula'!D98,52),INDEX(properties!A$1:CB$87,'Fórmula'!F98,52),INDEX(properties!A$1:CB$87,'Fórmula'!H98,52),INDEX(properties!A$1:CB$87,'Fórmula'!J98,52))</f>
        <v>22.8</v>
      </c>
      <c r="EZ98" s="114">
        <f t="array" ref="EZ98">MIN(IF(INDEX(properties!A$1:CB$87,'Fórmula'!B98,52)=0,10^6,INDEX(properties!A$1:CB$87,'Fórmula'!B98,52)),IF(INDEX(properties!A$1:CB$87,'Fórmula'!D98,52)=0,10^6,INDEX(properties!A$1:CB$87,'Fórmula'!D98,52)),IF(INDEX(properties!A$1:CB$87,'Fórmula'!F98,52)=0,10^6,INDEX(properties!A$1:CB$87,'Fórmula'!F98,52)),IF(INDEX(properties!A$1:CB$87,'Fórmula'!H98,52)=0,10^6,INDEX(properties!A$1:CB$87,'Fórmula'!H98,52)),IF(INDEX(properties!A$1:CB$87,'Fórmula'!J98,52)=0,10^6,INDEX(properties!A$1:CB$87,'Fórmula'!J98,52)))</f>
        <v>0.793</v>
      </c>
      <c r="FA98" s="114">
        <f t="shared" si="26"/>
        <v>22.007</v>
      </c>
      <c r="FB98" s="115">
        <f t="array" ref="FB98">(('Fórmula'!C98)/('Fórmula'!C98+'Fórmula'!E98+'Fórmula'!G98+'Fórmula'!I98+'Fórmula'!K98))*(INDEX(properties!A$1:CB$87,'Fórmula'!B98,53))+(('Fórmula'!E98)/('Fórmula'!C98+'Fórmula'!E98+'Fórmula'!G98+'Fórmula'!I98+'Fórmula'!K98))*(INDEX(properties!A$1:CB$87,'Fórmula'!D98,53))+(('Fórmula'!G98)/('Fórmula'!C98+'Fórmula'!E98+'Fórmula'!G98+'Fórmula'!I98+'Fórmula'!K98))*(INDEX(properties!A$1:CB$87,'Fórmula'!F98,53))+(('Fórmula'!I98)/('Fórmula'!C98+'Fórmula'!E98+'Fórmula'!G98+'Fórmula'!I98+'Fórmula'!K98))*(INDEX(properties!A$1:CB$87,'Fórmula'!H98,53))+(('Fórmula'!K98)/('Fórmula'!C98+'Fórmula'!E98+'Fórmula'!G98+'Fórmula'!I98+'Fórmula'!K98))*(INDEX(properties!A$1:CB$87,'Fórmula'!J98,53))</f>
        <v>499.39</v>
      </c>
      <c r="FC98" s="115">
        <f t="array" ref="FC98">'Fórmula'!C98*(INDEX(properties!A$1:CB$87,'Fórmula'!B98,53))+'Fórmula'!E98*(INDEX(properties!A$1:CB$87,'Fórmula'!D98,53))+'Fórmula'!G98*(INDEX(properties!A$1:CB$87,'Fórmula'!F98,53))+'Fórmula'!I98*(INDEX(properties!A$1:CB$87,'Fórmula'!H98,53))+'Fórmula'!K98*(INDEX(properties!A$1:CB$87,'Fórmula'!J98,53))</f>
        <v>2496.95</v>
      </c>
      <c r="FD98" s="115">
        <f t="array" ref="FD98">VARP(IF(INDEX(properties!A$1:CB$87,'Fórmula'!B98,53)&lt;&gt;"",INDEX(properties!A$1:CB$87,'Fórmula'!B98,53)),IF(INDEX(properties!A$1:CB$87,'Fórmula'!D98,53)&lt;&gt;"",INDEX(properties!A$1:CB$87,'Fórmula'!D98,53)),IF(INDEX(properties!A$1:CB$87,'Fórmula'!F98,53)&lt;&gt;"",INDEX(properties!A$1:CB$87,'Fórmula'!F98,53)),IF(INDEX(properties!A$1:CB$87,'Fórmula'!H98,53)&lt;&gt;"",INDEX(properties!A$1:CB$87,'Fórmula'!H98,53)),IF(INDEX(properties!A$1:CB$87,'Fórmula'!J98,53)&lt;&gt;"",INDEX(properties!A$1:CB$87,'Fórmula'!J98,53)))</f>
        <v>317926.7974</v>
      </c>
      <c r="FE98" s="115">
        <f t="array" ref="FE98">MAX(INDEX(properties!A$1:CB$87,'Fórmula'!B98,53),INDEX(properties!A$1:CB$87,'Fórmula'!D98,53),INDEX(properties!A$1:CB$87,'Fórmula'!F98,53),INDEX(properties!A$1:CB$87,'Fórmula'!H98,53),INDEX(properties!A$1:CB$87,'Fórmula'!J98,53))</f>
        <v>1220.55</v>
      </c>
      <c r="FF98" s="115">
        <f t="array" ref="FF98">MIN(IF(INDEX(properties!A$1:CB$87,'Fórmula'!B98,53)=0,10^6,INDEX(properties!A$1:CB$87,'Fórmula'!B98,53)),IF(INDEX(properties!A$1:CB$87,'Fórmula'!D98,53)=0,10^6,INDEX(properties!A$1:CB$87,'Fórmula'!D98,53)),IF(INDEX(properties!A$1:CB$87,'Fórmula'!F98,53)=0,10^6,INDEX(properties!A$1:CB$87,'Fórmula'!F98,53)),IF(INDEX(properties!A$1:CB$87,'Fórmula'!H98,53)=0,10^6,INDEX(properties!A$1:CB$87,'Fórmula'!H98,53)),IF(INDEX(properties!A$1:CB$87,'Fórmula'!J98,53)=0,10^6,INDEX(properties!A$1:CB$87,'Fórmula'!J98,53)))</f>
        <v>54.75</v>
      </c>
      <c r="FG98" s="115">
        <f t="shared" si="27"/>
        <v>1165.8</v>
      </c>
      <c r="FH98" s="117">
        <f t="array" ref="FH98">(('Fórmula'!C98)/('Fórmula'!C98+'Fórmula'!E98+'Fórmula'!G98+'Fórmula'!I98+'Fórmula'!K98))*(INDEX(properties!A$1:CB$87,'Fórmula'!B98,54))+(('Fórmula'!E98)/('Fórmula'!C98+'Fórmula'!E98+'Fórmula'!G98+'Fórmula'!I98+'Fórmula'!K98))*(INDEX(properties!A$1:CB$87,'Fórmula'!D98,54))+(('Fórmula'!G98)/('Fórmula'!C98+'Fórmula'!E98+'Fórmula'!G98+'Fórmula'!I98+'Fórmula'!K98))*(INDEX(properties!A$1:CB$87,'Fórmula'!F98,54))+(('Fórmula'!I98)/('Fórmula'!C98+'Fórmula'!E98+'Fórmula'!G98+'Fórmula'!I98+'Fórmula'!K98))*(INDEX(properties!A$1:CB$87,'Fórmula'!H98,54))+(('Fórmula'!K98)/('Fórmula'!C98+'Fórmula'!E98+'Fórmula'!G98+'Fórmula'!I98+'Fórmula'!K98))*(INDEX(properties!A$1:CB$87,'Fórmula'!J98,54))</f>
        <v>1026.15</v>
      </c>
      <c r="FI98" s="117">
        <f t="array" ref="FI98">'Fórmula'!C98*(INDEX(properties!A$1:CB$87,'Fórmula'!B98,54))+'Fórmula'!E98*(INDEX(properties!A$1:CB$87,'Fórmula'!D98,54))+'Fórmula'!G98*(INDEX(properties!A$1:CB$87,'Fórmula'!F98,54))+'Fórmula'!I98*(INDEX(properties!A$1:CB$87,'Fórmula'!H98,54))+'Fórmula'!K98*(INDEX(properties!A$1:CB$87,'Fórmula'!J98,54))</f>
        <v>5130.75</v>
      </c>
      <c r="FJ98" s="117">
        <f t="array" ref="FJ98">VARP(IF(INDEX(properties!A$1:CB$87,'Fórmula'!B98,54)&lt;&gt;"",INDEX(properties!A$1:CB$87,'Fórmula'!B98,54)),IF(INDEX(properties!A$1:CB$87,'Fórmula'!D98,54)&lt;&gt;"",INDEX(properties!A$1:CB$87,'Fórmula'!D98,54)),IF(INDEX(properties!A$1:CB$87,'Fórmula'!F98,54)&lt;&gt;"",INDEX(properties!A$1:CB$87,'Fórmula'!F98,54)),IF(INDEX(properties!A$1:CB$87,'Fórmula'!H98,54)&lt;&gt;"",INDEX(properties!A$1:CB$87,'Fórmula'!H98,54)),IF(INDEX(properties!A$1:CB$87,'Fórmula'!J98,54)&lt;&gt;"",INDEX(properties!A$1:CB$87,'Fórmula'!J98,54)))</f>
        <v>1564770.405</v>
      </c>
      <c r="FK98" s="117">
        <f t="array" ref="FK98">MAX(INDEX(properties!A$1:CB$87,'Fórmula'!B98,54),INDEX(properties!A$1:CB$87,'Fórmula'!D98,54),INDEX(properties!A$1:CB$87,'Fórmula'!F98,54),INDEX(properties!A$1:CB$87,'Fórmula'!H98,54),INDEX(properties!A$1:CB$87,'Fórmula'!J98,54))</f>
        <v>3103.15</v>
      </c>
      <c r="FL98" s="117">
        <f t="array" ref="FL98">MIN(IF(INDEX(properties!A$1:CB$87,'Fórmula'!B98,54)=0,10^6,INDEX(properties!A$1:CB$87,'Fórmula'!B98,54)),IF(INDEX(properties!A$1:CB$87,'Fórmula'!D98,54)=0,10^6,INDEX(properties!A$1:CB$87,'Fórmula'!D98,54)),IF(INDEX(properties!A$1:CB$87,'Fórmula'!F98,54)=0,10^6,INDEX(properties!A$1:CB$87,'Fórmula'!F98,54)),IF(INDEX(properties!A$1:CB$87,'Fórmula'!H98,54)=0,10^6,INDEX(properties!A$1:CB$87,'Fórmula'!H98,54)),IF(INDEX(properties!A$1:CB$87,'Fórmula'!J98,54)=0,10^6,INDEX(properties!A$1:CB$87,'Fórmula'!J98,54)))</f>
        <v>90.15</v>
      </c>
      <c r="FM98" s="117">
        <f t="shared" si="28"/>
        <v>3013</v>
      </c>
      <c r="FN98" s="118">
        <f t="array" ref="FN98">(('Fórmula'!C98)/('Fórmula'!C98+'Fórmula'!E98+'Fórmula'!G98+'Fórmula'!I98+'Fórmula'!K98))*(INDEX(properties!A$1:CB$87,'Fórmula'!B98,55))+(('Fórmula'!E98)/('Fórmula'!C98+'Fórmula'!E98+'Fórmula'!G98+'Fórmula'!I98+'Fórmula'!K98))*(INDEX(properties!A$1:CB$87,'Fórmula'!D98,55))+(('Fórmula'!G98)/('Fórmula'!C98+'Fórmula'!E98+'Fórmula'!G98+'Fórmula'!I98+'Fórmula'!K98))*(INDEX(properties!A$1:CB$87,'Fórmula'!F98,55))+(('Fórmula'!I98)/('Fórmula'!C98+'Fórmula'!E98+'Fórmula'!G98+'Fórmula'!I98+'Fórmula'!K98))*(INDEX(properties!A$1:CB$87,'Fórmula'!H98,55))+(('Fórmula'!K98)/('Fórmula'!C98+'Fórmula'!E98+'Fórmula'!G98+'Fórmula'!I98+'Fórmula'!K98))*(INDEX(properties!A$1:CB$87,'Fórmula'!J98,55))</f>
        <v>1.374858</v>
      </c>
      <c r="FO98" s="118">
        <f t="array" ref="FO98">'Fórmula'!C98*(INDEX(properties!A$1:CB$87,'Fórmula'!B98,55))+'Fórmula'!E98*(INDEX(properties!A$1:CB$87,'Fórmula'!D98,54))+'Fórmula'!G98*(INDEX(properties!A$1:CB$87,'Fórmula'!F98,55))+'Fórmula'!I98*(INDEX(properties!A$1:CB$87,'Fórmula'!H98,55))+'Fórmula'!K98*(INDEX(properties!A$1:CB$87,'Fórmula'!J98,55))</f>
        <v>3104.70429</v>
      </c>
      <c r="FP98" s="118">
        <f t="array" ref="FP98">VARP(IF(INDEX(properties!A$1:CB$87,'Fórmula'!B98,55)&lt;&gt;"",INDEX(properties!A$1:CB$87,'Fórmula'!B98,55)),IF(INDEX(properties!A$1:CB$87,'Fórmula'!D98,55)&lt;&gt;"",INDEX(properties!A$1:CB$87,'Fórmula'!D98,55)),IF(INDEX(properties!A$1:CB$87,'Fórmula'!F98,55)&lt;&gt;"",INDEX(properties!A$1:CB$87,'Fórmula'!F98,55)),IF(INDEX(properties!A$1:CB$87,'Fórmula'!H98,55)&lt;&gt;"",INDEX(properties!A$1:CB$87,'Fórmula'!H98,55)),IF(INDEX(properties!A$1:CB$87,'Fórmula'!J98,55)&lt;&gt;"",INDEX(properties!A$1:CB$87,'Fórmula'!J98,55)))</f>
        <v>4.252318399</v>
      </c>
      <c r="FQ98" s="118">
        <f t="array" ref="FQ98">MAX(INDEX(properties!A$1:CB$87,'Fórmula'!B98,55),INDEX(properties!A$1:CB$87,'Fórmula'!D98,55),INDEX(properties!A$1:CB$87,'Fórmula'!F98,55),INDEX(properties!A$1:CB$87,'Fórmula'!H98,55),INDEX(properties!A$1:CB$87,'Fórmula'!J98,55))</f>
        <v>5.32</v>
      </c>
      <c r="FR98" s="118">
        <f t="array" ref="FR98">MIN(IF(INDEX(properties!A$1:CB$87,'Fórmula'!B98,55)=0,10^6,INDEX(properties!A$1:CB$87,'Fórmula'!B98,55)),IF(INDEX(properties!A$1:CB$87,'Fórmula'!D98,55)=0,10^6,INDEX(properties!A$1:CB$87,'Fórmula'!D98,55)),IF(INDEX(properties!A$1:CB$87,'Fórmula'!F98,55)=0,10^6,INDEX(properties!A$1:CB$87,'Fórmula'!F98,55)),IF(INDEX(properties!A$1:CB$87,'Fórmula'!H98,55)=0,10^6,INDEX(properties!A$1:CB$87,'Fórmula'!H98,55)),IF(INDEX(properties!A$1:CB$87,'Fórmula'!J98,55)=0,10^6,INDEX(properties!A$1:CB$87,'Fórmula'!J98,55)))</f>
        <v>0.00143</v>
      </c>
      <c r="FS98" s="118">
        <f t="shared" si="29"/>
        <v>5.31857</v>
      </c>
      <c r="FT98" s="119">
        <f t="array" ref="FT98">(('Fórmula'!C98)/('Fórmula'!C98+'Fórmula'!E98+'Fórmula'!G98+'Fórmula'!I98+'Fórmula'!K98))*(INDEX(properties!A$1:CB$87,'Fórmula'!B98,56))+(('Fórmula'!E98)/('Fórmula'!C98+'Fórmula'!E98+'Fórmula'!G98+'Fórmula'!I98+'Fórmula'!K98))*(INDEX(properties!A$1:CB$87,'Fórmula'!D98,56))+(('Fórmula'!G98)/('Fórmula'!C98+'Fórmula'!E98+'Fórmula'!G98+'Fórmula'!I98+'Fórmula'!K98))*(INDEX(properties!A$1:CB$87,'Fórmula'!F98,56))+(('Fórmula'!I98)/('Fórmula'!C98+'Fórmula'!E98+'Fórmula'!G98+'Fórmula'!I98+'Fórmula'!K98))*(INDEX(properties!A$1:CB$87,'Fórmula'!H98,56))+(('Fórmula'!K98)/('Fórmula'!C98+'Fórmula'!E98+'Fórmula'!G98+'Fórmula'!I98+'Fórmula'!K98))*(INDEX(properties!A$1:CB$87,'Fórmula'!J98,56))</f>
        <v>0.742</v>
      </c>
      <c r="FU98" s="119">
        <f t="array" ref="FU98">'Fórmula'!C98*(INDEX(properties!A$1:CB$87,'Fórmula'!B98,56))+'Fórmula'!E98*(INDEX(properties!A$1:CB$87,'Fórmula'!D98,56))+'Fórmula'!G98*(INDEX(properties!A$1:CB$87,'Fórmula'!F98,56))+'Fórmula'!I98*(INDEX(properties!A$1:CB$87,'Fórmula'!H98,56))+'Fórmula'!K98*(INDEX(properties!A$1:CB$87,'Fórmula'!J98,56))</f>
        <v>3.71</v>
      </c>
      <c r="FV98" s="119">
        <f t="array" ref="FV98">VARP(IF(INDEX(properties!A$1:CB$87,'Fórmula'!B98,56)&lt;&gt;"",INDEX(properties!A$1:CB$87,'Fórmula'!B98,56)),IF(INDEX(properties!A$1:CB$87,'Fórmula'!D98,56)&lt;&gt;"",INDEX(properties!A$1:CB$87,'Fórmula'!D98,56)),IF(INDEX(properties!A$1:CB$87,'Fórmula'!F98,56)&lt;&gt;"",INDEX(properties!A$1:CB$87,'Fórmula'!F98,56)),IF(INDEX(properties!A$1:CB$87,'Fórmula'!H98,56)&lt;&gt;"",INDEX(properties!A$1:CB$87,'Fórmula'!H98,56)),IF(INDEX(properties!A$1:CB$87,'Fórmula'!J98,56)&lt;&gt;"",INDEX(properties!A$1:CB$87,'Fórmula'!J98,56)))</f>
        <v>0.129264</v>
      </c>
      <c r="FW98" s="119">
        <f t="array" ref="FW98">MAX(INDEX(properties!A$1:CB$87,'Fórmula'!B98,56),INDEX(properties!A$1:CB$87,'Fórmula'!D98,56),INDEX(properties!A$1:CB$87,'Fórmula'!F98,56),INDEX(properties!A$1:CB$87,'Fórmula'!H98,56),INDEX(properties!A$1:CB$87,'Fórmula'!J98,56))</f>
        <v>0.92</v>
      </c>
      <c r="FX98" s="119">
        <f t="array" ref="FX98">MIN(IF(INDEX(properties!A$1:CB$87,'Fórmula'!B98,56)=0,10^6,INDEX(properties!A$1:CB$87,'Fórmula'!B98,56)),IF(INDEX(properties!A$1:CB$87,'Fórmula'!D98,56)=0,10^6,INDEX(properties!A$1:CB$87,'Fórmula'!D98,56)),IF(INDEX(properties!A$1:CB$87,'Fórmula'!F98,56)=0,10^6,INDEX(properties!A$1:CB$87,'Fórmula'!F98,56)),IF(INDEX(properties!A$1:CB$87,'Fórmula'!H98,56)=0,10^6,INDEX(properties!A$1:CB$87,'Fórmula'!H98,56)),IF(INDEX(properties!A$1:CB$87,'Fórmula'!J98,56)=0,10^6,INDEX(properties!A$1:CB$87,'Fórmula'!J98,56)))</f>
        <v>0.32</v>
      </c>
      <c r="FY98" s="119">
        <f t="shared" si="30"/>
        <v>0.6</v>
      </c>
      <c r="FZ98" s="104">
        <f t="array" ref="FZ98">(('Fórmula'!C98)/('Fórmula'!C98+'Fórmula'!E98+'Fórmula'!G98+'Fórmula'!I98+'Fórmula'!K98))*(INDEX(properties!A$1:CB$87,'Fórmula'!B98,57))+(('Fórmula'!E98)/('Fórmula'!C98+'Fórmula'!E98+'Fórmula'!G98+'Fórmula'!I98+'Fórmula'!K98))*(INDEX(properties!A$1:CB$87,'Fórmula'!D98,57))+(('Fórmula'!G98)/('Fórmula'!C98+'Fórmula'!E98+'Fórmula'!G98+'Fórmula'!I98+'Fórmula'!K98))*(INDEX(properties!A$1:CB$87,'Fórmula'!F98,57))+(('Fórmula'!I98)/('Fórmula'!C98+'Fórmula'!E98+'Fórmula'!G98+'Fórmula'!I98+'Fórmula'!K98))*(INDEX(properties!A$1:CB$87,'Fórmula'!H98,57))+(('Fórmula'!K98)/('Fórmula'!C98+'Fórmula'!E98+'Fórmula'!G98+'Fórmula'!I98+'Fórmula'!K98))*(INDEX(properties!A$1:CB$87,'Fórmula'!J98,57))</f>
        <v>9.229554</v>
      </c>
      <c r="GA98" s="104">
        <f t="array" ref="GA98">'Fórmula'!C98*(INDEX(properties!A$1:CB$87,'Fórmula'!B98,57))+'Fórmula'!E98*(INDEX(properties!A$1:CB$87,'Fórmula'!D98,57))+'Fórmula'!G98*(INDEX(properties!A$1:CB$87,'Fórmula'!F98,57))+'Fórmula'!I98*(INDEX(properties!A$1:CB$87,'Fórmula'!H98,57))+'Fórmula'!K98*(INDEX(properties!A$1:CB$87,'Fórmula'!J98,57))</f>
        <v>46.14777</v>
      </c>
      <c r="GB98" s="104">
        <f t="array" ref="GB98">VARP(IF(INDEX(properties!A$1:CB$87,'Fórmula'!B98,57)&lt;&gt;"",INDEX(properties!A$1:CB$87,'Fórmula'!B98,57)),IF(INDEX(properties!A$1:CB$87,'Fórmula'!D98,57)&lt;&gt;"",INDEX(properties!A$1:CB$87,'Fórmula'!D98,57)),IF(INDEX(properties!A$1:CB$87,'Fórmula'!F98,57)&lt;&gt;"",INDEX(properties!A$1:CB$87,'Fórmula'!F98,57)),IF(INDEX(properties!A$1:CB$87,'Fórmula'!H98,57)&lt;&gt;"",INDEX(properties!A$1:CB$87,'Fórmula'!H98,57)),IF(INDEX(properties!A$1:CB$87,'Fórmula'!J98,57)&lt;&gt;"",INDEX(properties!A$1:CB$87,'Fórmula'!J98,57)))</f>
        <v>203.95988</v>
      </c>
      <c r="GC98" s="104">
        <f t="array" ref="GC98">MAX(INDEX(properties!A$1:CB$87,'Fórmula'!B98,57),INDEX(properties!A$1:CB$87,'Fórmula'!D98,57),INDEX(properties!A$1:CB$87,'Fórmula'!F98,57),INDEX(properties!A$1:CB$87,'Fórmula'!H98,57),INDEX(properties!A$1:CB$87,'Fórmula'!J98,57))</f>
        <v>36.94</v>
      </c>
      <c r="GD98" s="104">
        <f t="array" ref="GD98">MIN(IF(INDEX(properties!A$1:CB$87,'Fórmula'!B98,57)=0,10^6,INDEX(properties!A$1:CB$87,'Fórmula'!B98,57)),IF(INDEX(properties!A$1:CB$87,'Fórmula'!D98,57)=0,10^6,INDEX(properties!A$1:CB$87,'Fórmula'!D98,57)),IF(INDEX(properties!A$1:CB$87,'Fórmula'!F98,57)=0,10^6,INDEX(properties!A$1:CB$87,'Fórmula'!F98,57)),IF(INDEX(properties!A$1:CB$87,'Fórmula'!H98,57)=0,10^6,INDEX(properties!A$1:CB$87,'Fórmula'!H98,57)),IF(INDEX(properties!A$1:CB$87,'Fórmula'!J98,57)=0,10^6,INDEX(properties!A$1:CB$87,'Fórmula'!J98,57)))</f>
        <v>0.22259</v>
      </c>
      <c r="GE98" s="104">
        <f t="shared" si="31"/>
        <v>36.71741</v>
      </c>
      <c r="GF98" s="105">
        <f t="array" ref="GF98">(('Fórmula'!C98)/('Fórmula'!C98+'Fórmula'!E98+'Fórmula'!G98+'Fórmula'!I98+'Fórmula'!K98))*(INDEX(properties!A$1:CB$87,'Fórmula'!B98,60))+(('Fórmula'!E98)/('Fórmula'!C98+'Fórmula'!E98+'Fórmula'!G98+'Fórmula'!I98+'Fórmula'!K98))*(INDEX(properties!A$1:CB$87,'Fórmula'!D98,60))+(('Fórmula'!G98)/('Fórmula'!C98+'Fórmula'!E98+'Fórmula'!G98+'Fórmula'!I98+'Fórmula'!K98))*(INDEX(properties!A$1:CB$87,'Fórmula'!F98,60))+(('Fórmula'!I98)/('Fórmula'!C98+'Fórmula'!E98+'Fórmula'!G98+'Fórmula'!I98+'Fórmula'!K98))*(INDEX(properties!A$1:CB$87,'Fórmula'!H98,60))+(('Fórmula'!K98)/('Fórmula'!C98+'Fórmula'!E98+'Fórmula'!G98+'Fórmula'!I98+'Fórmula'!K98))*(INDEX(properties!A$1:CB$87,'Fórmula'!J98,60))</f>
        <v>51.996044</v>
      </c>
      <c r="GG98" s="105">
        <f t="array" ref="GG98">'Fórmula'!C98*(INDEX(properties!A$1:CB$87,'Fórmula'!B98,60))+'Fórmula'!E98*(INDEX(properties!A$1:CB$87,'Fórmula'!D98,60))+'Fórmula'!G98*(INDEX(properties!A$1:CB$87,'Fórmula'!F98,60))+'Fórmula'!I98*(INDEX(properties!A$1:CB$87,'Fórmula'!H98,60))+'Fórmula'!K98*(INDEX(properties!A$1:CB$87,'Fórmula'!J98,60))</f>
        <v>259.98022</v>
      </c>
      <c r="GH98" s="105">
        <f t="array" ref="GH98">VARP(IF(INDEX(properties!A$1:CB$87,'Fórmula'!B98,60)&lt;&gt;"",INDEX(properties!A$1:CB$87,'Fórmula'!B98,60)),IF(INDEX(properties!A$1:CB$87,'Fórmula'!D98,60)&lt;&gt;"",INDEX(properties!A$1:CB$87,'Fórmula'!D98,60)),IF(INDEX(properties!A$1:CB$87,'Fórmula'!F98,60)&lt;&gt;"",INDEX(properties!A$1:CB$87,'Fórmula'!F98,60)),IF(INDEX(properties!A$1:CB$87,'Fórmula'!H98,60)&lt;&gt;"",INDEX(properties!A$1:CB$87,'Fórmula'!H98,60)),IF(INDEX(properties!A$1:CB$87,'Fórmula'!J98,60)&lt;&gt;"",INDEX(properties!A$1:CB$87,'Fórmula'!J98,60)))</f>
        <v>6015.125736</v>
      </c>
      <c r="GI98" s="105">
        <f t="array" ref="GI98">MAX(INDEX(properties!A$1:CB$87,'Fórmula'!B98,60),INDEX(properties!A$1:CB$87,'Fórmula'!D98,60),INDEX(properties!A$1:CB$87,'Fórmula'!F98,60),INDEX(properties!A$1:CB$87,'Fórmula'!H98,60),INDEX(properties!A$1:CB$87,'Fórmula'!J98,60))</f>
        <v>200</v>
      </c>
      <c r="GJ98" s="105">
        <f t="array" ref="GJ98">MIN(IF(INDEX(properties!A$1:CB$87,'Fórmula'!B98,60)=0,10^6,INDEX(properties!A$1:CB$87,'Fórmula'!B98,60)),IF(INDEX(properties!A$1:CB$87,'Fórmula'!D98,60)=0,10^6,INDEX(properties!A$1:CB$87,'Fórmula'!D98,60)),IF(INDEX(properties!A$1:CB$87,'Fórmula'!F98,60)=0,10^6,INDEX(properties!A$1:CB$87,'Fórmula'!F98,60)),IF(INDEX(properties!A$1:CB$87,'Fórmula'!H98,60)=0,10^6,INDEX(properties!A$1:CB$87,'Fórmula'!H98,60)),IF(INDEX(properties!A$1:CB$87,'Fórmula'!J98,60)=0,10^6,INDEX(properties!A$1:CB$87,'Fórmula'!J98,60)))</f>
        <v>0.02674</v>
      </c>
      <c r="GK98" s="105">
        <f t="shared" si="32"/>
        <v>199.97326</v>
      </c>
      <c r="GL98" s="106">
        <f t="array" ref="GL98">(('Fórmula'!C98)/('Fórmula'!C98+'Fórmula'!E98+'Fórmula'!G98+'Fórmula'!I98+'Fórmula'!K98))*(INDEX(properties!A$1:CB$87,'Fórmula'!B98,62))+(('Fórmula'!E98)/('Fórmula'!C98+'Fórmula'!E98+'Fórmula'!G98+'Fórmula'!I98+'Fórmula'!K98))*(INDEX(properties!A$1:CB$87,'Fórmula'!D98,62))+(('Fórmula'!G98)/('Fórmula'!C98+'Fórmula'!E98+'Fórmula'!G98+'Fórmula'!I98+'Fórmula'!K98))*(INDEX(properties!A$1:CB$87,'Fórmula'!F98,62))+(('Fórmula'!I98)/('Fórmula'!C98+'Fórmula'!E98+'Fórmula'!G98+'Fórmula'!I98+'Fórmula'!K98))*(INDEX(properties!A$1:CB$87,'Fórmula'!H98,62))+(('Fórmula'!K98)/('Fórmula'!C98+'Fórmula'!E98+'Fórmula'!G98+'Fórmula'!I98+'Fórmula'!K98))*(INDEX(properties!A$1:CB$87,'Fórmula'!J98,62))</f>
        <v>2.71</v>
      </c>
      <c r="GM98" s="106">
        <f t="array" ref="GM98">'Fórmula'!C98*(INDEX(properties!A$1:CB$87,'Fórmula'!B98,62))+'Fórmula'!E98*(INDEX(properties!A$1:CB$87,'Fórmula'!D98,62))+'Fórmula'!G98*(INDEX(properties!A$1:CB$87,'Fórmula'!F98,62))+'Fórmula'!I98*(INDEX(properties!A$1:CB$87,'Fórmula'!H98,62))+'Fórmula'!K98*(INDEX(properties!A$1:CB$87,'Fórmula'!J98,62))</f>
        <v>13.55</v>
      </c>
      <c r="GN98" s="106">
        <f t="array" ref="GN98">VARP(IF(INDEX(properties!A$1:CB$87,'Fórmula'!B98,62)&lt;&gt;"",INDEX(properties!A$1:CB$87,'Fórmula'!B98,62)),IF(INDEX(properties!A$1:CB$87,'Fórmula'!D98,62)&lt;&gt;"",INDEX(properties!A$1:CB$87,'Fórmula'!D98,62)),IF(INDEX(properties!A$1:CB$87,'Fórmula'!F98,62)&lt;&gt;"",INDEX(properties!A$1:CB$87,'Fórmula'!F98,62)),IF(INDEX(properties!A$1:CB$87,'Fórmula'!H98,62)&lt;&gt;"",INDEX(properties!A$1:CB$87,'Fórmula'!H98,62)),IF(INDEX(properties!A$1:CB$87,'Fórmula'!J98,62)&lt;&gt;"",INDEX(properties!A$1:CB$87,'Fórmula'!J98,62)))</f>
        <v>2.252256</v>
      </c>
      <c r="GO98" s="106">
        <f t="array" ref="GO98">MAX(INDEX(properties!A$1:CB$87,'Fórmula'!B98,62),INDEX(properties!A$1:CB$87,'Fórmula'!D98,62),INDEX(properties!A$1:CB$87,'Fórmula'!F98,62),INDEX(properties!A$1:CB$87,'Fórmula'!H98,62),INDEX(properties!A$1:CB$87,'Fórmula'!J98,62))</f>
        <v>3.85</v>
      </c>
      <c r="GP98" s="106">
        <f t="array" ref="GP98">MIN(IF(INDEX(properties!A$1:CB$87,'Fórmula'!B98,62)=0,10^6,INDEX(properties!A$1:CB$87,'Fórmula'!B98,62)),IF(INDEX(properties!A$1:CB$87,'Fórmula'!D98,62)=0,10^6,INDEX(properties!A$1:CB$87,'Fórmula'!D98,62)),IF(INDEX(properties!A$1:CB$87,'Fórmula'!F98,62)=0,10^6,INDEX(properties!A$1:CB$87,'Fórmula'!F98,62)),IF(INDEX(properties!A$1:CB$87,'Fórmula'!H98,62)=0,10^6,INDEX(properties!A$1:CB$87,'Fórmula'!H98,62)),IF(INDEX(properties!A$1:CB$87,'Fórmula'!J98,62)=0,10^6,INDEX(properties!A$1:CB$87,'Fórmula'!J98,62)))</f>
        <v>1.84</v>
      </c>
      <c r="GQ98" s="106">
        <f t="shared" si="33"/>
        <v>2.01</v>
      </c>
      <c r="GR98" s="106">
        <f>'Fórmula'!Q98</f>
        <v>62</v>
      </c>
      <c r="GS98" s="107">
        <f>'Fórmula'!P98</f>
        <v>3</v>
      </c>
      <c r="GT98" s="113">
        <f>'Fórmula'!O98</f>
        <v>5.16</v>
      </c>
      <c r="GU98" s="114">
        <f>AVERAGE('Fórmula'!R98/'Fórmula'!S98,'Fórmula'!S98/'Fórmula'!T98,'Fórmula'!T98/'Fórmula'!R98)</f>
        <v>1.040465526</v>
      </c>
      <c r="GV98" s="125">
        <f>'Fórmula'!U98</f>
        <v>206.63</v>
      </c>
      <c r="GW98" s="106">
        <f>'Fórmula'!N98</f>
        <v>0.04</v>
      </c>
    </row>
    <row r="99" ht="14.25" customHeight="1">
      <c r="A99" s="99" t="str">
        <f>'Fórmula'!A99</f>
        <v>BaZrO3</v>
      </c>
      <c r="B99" s="101">
        <f t="array" ref="B99">(('Fórmula'!C99)/('Fórmula'!C99+'Fórmula'!E99+'Fórmula'!G99+'Fórmula'!I99+'Fórmula'!K99))*(INDEX(properties!A$1:CB$87,'Fórmula'!B99,3))+(('Fórmula'!E99)/('Fórmula'!C99+'Fórmula'!E99+'Fórmula'!G99+'Fórmula'!I99+'Fórmula'!K99))*(INDEX(properties!A$1:CB$87,'Fórmula'!D99,3))+(('Fórmula'!G99)/('Fórmula'!C99+'Fórmula'!E99+'Fórmula'!G99+'Fórmula'!I99+'Fórmula'!K99))*(INDEX(properties!A$1:CB$87,'Fórmula'!F99,3))+(('Fórmula'!I99)/('Fórmula'!C99+'Fórmula'!E99+'Fórmula'!G99+'Fórmula'!I99+'Fórmula'!K99))*(INDEX(properties!A$1:CB$87,'Fórmula'!H99,3))+(('Fórmula'!K99)/('Fórmula'!C99+'Fórmula'!E99+'Fórmula'!G99+'Fórmula'!I99+'Fórmula'!K99))*(INDEX(properties!A$1:CB$87,'Fórmula'!J99,3))</f>
        <v>55.30984</v>
      </c>
      <c r="C99" s="101">
        <f t="array" ref="C99">'Fórmula'!C99*(INDEX(properties!A$1:CB$87,'Fórmula'!B99,3))+'Fórmula'!E99*(INDEX(properties!A$1:CB$87,'Fórmula'!D99,3))+'Fórmula'!G99*(INDEX(properties!A$1:CB$87,'Fórmula'!F99,3))+'Fórmula'!I99*(INDEX(properties!A$1:CB$87,'Fórmula'!H99,3))+'Fórmula'!K99*(INDEX(properties!A$1:CB$87,'Fórmula'!J99,3))</f>
        <v>276.5492</v>
      </c>
      <c r="D99" s="101">
        <f t="array" ref="D99">VARP(IF(INDEX(properties!A$1:CB$87,'Fórmula'!B99,3)&lt;&gt;"",INDEX(properties!A$1:CB$87,'Fórmula'!B99,3)),IF(INDEX(properties!A$1:CB$87,'Fórmula'!D99,3)&lt;&gt;"",INDEX(properties!A$1:CB$87,'Fórmula'!D99,3)),IF(INDEX(properties!A$1:CB$87,'Fórmula'!F99,3)&lt;&gt;"",INDEX(properties!A$1:CB$87,'Fórmula'!F99,3)),IF(INDEX(properties!A$1:CB$87,'Fórmula'!H99,3)&lt;&gt;"",INDEX(properties!A$1:CB$87,'Fórmula'!H99,3)),IF(INDEX(properties!A$1:CB$87,'Fórmula'!J99,3)&lt;&gt;"",INDEX(properties!A$1:CB$87,'Fórmula'!J99,3)))</f>
        <v>3095.104855</v>
      </c>
      <c r="E99" s="101">
        <f t="array" ref="E99">MAX(INDEX(properties!A$1:CB$87,'Fórmula'!B99,3),INDEX(properties!A$1:CB$87,'Fórmula'!D99,3),INDEX(properties!A$1:CB$87,'Fórmula'!F99,3),INDEX(properties!A$1:CB$87,'Fórmula'!H99,3),INDEX(properties!A$1:CB$87,'Fórmula'!J99,3))</f>
        <v>137.327</v>
      </c>
      <c r="F99" s="101">
        <f t="array" ref="F99">MIN(IF(INDEX(properties!A$1:CB$87,'Fórmula'!B99,3)=0,10^6,INDEX(properties!A$1:CB$87,'Fórmula'!B99,3)),IF(INDEX(properties!A$1:CB$87,'Fórmula'!D99,3)=0,10^6,INDEX(properties!A$1:CB$87,'Fórmula'!D99,3)),IF(INDEX(properties!A$1:CB$87,'Fórmula'!F99,3)=0,10^6,INDEX(properties!A$1:CB$87,'Fórmula'!F99,3)),IF(INDEX(properties!A$1:CB$87,'Fórmula'!H99,3)=0,10^6,INDEX(properties!A$1:CB$87,'Fórmula'!H99,3)),IF(INDEX(properties!A$1:CB$87,'Fórmula'!J99,3)=0,10^6,INDEX(properties!A$1:CB$87,'Fórmula'!J99,3)))</f>
        <v>15.9994</v>
      </c>
      <c r="G99" s="101">
        <f t="shared" si="1"/>
        <v>121.3276</v>
      </c>
      <c r="H99" s="102">
        <f t="array" ref="H99">(('Fórmula'!C99)/('Fórmula'!C99+'Fórmula'!E99+'Fórmula'!G99+'Fórmula'!I99+'Fórmula'!K99))*(INDEX(properties!A$1:CB$87,'Fórmula'!B99,4))+(('Fórmula'!E99)/('Fórmula'!C99+'Fórmula'!E99+'Fórmula'!G99+'Fórmula'!I99+'Fórmula'!K99))*(INDEX(properties!A$1:CB$87,'Fórmula'!D99,4))+(('Fórmula'!G99)/('Fórmula'!C99+'Fórmula'!E99+'Fórmula'!G99+'Fórmula'!I99+'Fórmula'!K99))*(INDEX(properties!A$1:CB$87,'Fórmula'!F99,4))+(('Fórmula'!I99)/('Fórmula'!C99+'Fórmula'!E99+'Fórmula'!G99+'Fórmula'!I99+'Fórmula'!K99))*(INDEX(properties!A$1:CB$87,'Fórmula'!H99,4))+(('Fórmula'!K99)/('Fórmula'!C99+'Fórmula'!E99+'Fórmula'!G99+'Fórmula'!I99+'Fórmula'!K99))*(INDEX(properties!A$1:CB$87,'Fórmula'!J99,4))</f>
        <v>24</v>
      </c>
      <c r="I99" s="102">
        <f t="array" ref="I99">'Fórmula'!C99*(INDEX(properties!A$1:CB$87,'Fórmula'!B99,4))+'Fórmula'!E99*(INDEX(properties!A$1:CB$87,'Fórmula'!D99,4))+'Fórmula'!G99*(INDEX(properties!A$1:CB$87,'Fórmula'!F99,4))+'Fórmula'!I99*(INDEX(properties!A$1:CB$87,'Fórmula'!H99,4))+'Fórmula'!K99*(INDEX(properties!A$1:CB$87,'Fórmula'!J99,4))</f>
        <v>120</v>
      </c>
      <c r="J99" s="102">
        <f t="array" ref="J99">VARP(IF(INDEX(properties!A$1:CB$87,'Fórmula'!B99,4)&lt;&gt;"",INDEX(properties!A$1:CB$87,'Fórmula'!B99,4)),IF(INDEX(properties!A$1:CB$87,'Fórmula'!D99,4)&lt;&gt;"",INDEX(properties!A$1:CB$87,'Fórmula'!D99,4)),IF(INDEX(properties!A$1:CB$87,'Fórmula'!F99,4)&lt;&gt;"",INDEX(properties!A$1:CB$87,'Fórmula'!F99,4)),IF(INDEX(properties!A$1:CB$87,'Fórmula'!H99,4)&lt;&gt;"",INDEX(properties!A$1:CB$87,'Fórmula'!H99,4)),IF(INDEX(properties!A$1:CB$87,'Fórmula'!J99,4)&lt;&gt;"",INDEX(properties!A$1:CB$87,'Fórmula'!J99,4)))</f>
        <v>527.36</v>
      </c>
      <c r="K99" s="102">
        <f t="array" ref="K99">MAX(INDEX(properties!A$1:CB$87,'Fórmula'!B99,4),INDEX(properties!A$1:CB$87,'Fórmula'!D99,4),INDEX(properties!A$1:CB$87,'Fórmula'!F99,4),INDEX(properties!A$1:CB$87,'Fórmula'!H99,4),INDEX(properties!A$1:CB$87,'Fórmula'!J99,4))</f>
        <v>56</v>
      </c>
      <c r="L99" s="102">
        <f t="array" ref="L99">MIN(IF(INDEX(properties!A$1:CB$87,'Fórmula'!B99,4)=0,10^6,INDEX(properties!A$1:CB$87,'Fórmula'!B99,4)),IF(INDEX(properties!A$1:CB$87,'Fórmula'!D99,4)=0,10^6,INDEX(properties!A$1:CB$87,'Fórmula'!D99,4)),IF(INDEX(properties!A$1:CB$87,'Fórmula'!F99,4)=0,10^6,INDEX(properties!A$1:CB$87,'Fórmula'!F99,4)),IF(INDEX(properties!A$1:CB$87,'Fórmula'!H99,4)=0,10^6,INDEX(properties!A$1:CB$87,'Fórmula'!H99,4)),IF(INDEX(properties!A$1:CB$87,'Fórmula'!J99,4)=0,10^6,INDEX(properties!A$1:CB$87,'Fórmula'!J99,4)))</f>
        <v>8</v>
      </c>
      <c r="M99" s="102">
        <f t="shared" si="2"/>
        <v>48</v>
      </c>
      <c r="N99" s="103">
        <f t="array" ref="N99">(('Fórmula'!C99)/('Fórmula'!C99+'Fórmula'!E99+'Fórmula'!G99+'Fórmula'!I99+'Fórmula'!K99))*(INDEX(properties!A$1:CB$87,'Fórmula'!B99,5))+(('Fórmula'!E99)/('Fórmula'!C99+'Fórmula'!E99+'Fórmula'!G99+'Fórmula'!I99+'Fórmula'!K99))*(INDEX(properties!A$1:CB$87,'Fórmula'!D99,5))+(('Fórmula'!G99)/('Fórmula'!C99+'Fórmula'!E99+'Fórmula'!G99+'Fórmula'!I99+'Fórmula'!K99))*(INDEX(properties!A$1:CB$87,'Fórmula'!F99,5))+(('Fórmula'!I99)/('Fórmula'!C99+'Fórmula'!E99+'Fórmula'!G99+'Fórmula'!I99+'Fórmula'!K99))*(INDEX(properties!A$1:CB$87,'Fórmula'!H99,5))+(('Fórmula'!K99)/('Fórmula'!C99+'Fórmula'!E99+'Fórmula'!G99+'Fórmula'!I99+'Fórmula'!K99))*(INDEX(properties!A$1:CB$87,'Fórmula'!J99,5))</f>
        <v>3.4</v>
      </c>
      <c r="O99" s="103">
        <f t="array" ref="O99">'Fórmula'!C99*(INDEX(properties!A$1:CB$87,'Fórmula'!B99,5))+'Fórmula'!E99*(INDEX(properties!A$1:CB$87,'Fórmula'!D99,5))+'Fórmula'!G99*(INDEX(properties!A$1:CB$87,'Fórmula'!F99,5))+'Fórmula'!I99*(INDEX(properties!A$1:CB$87,'Fórmula'!H99,5))+'Fórmula'!K99*(INDEX(properties!A$1:CB$87,'Fórmula'!J99,5))</f>
        <v>17</v>
      </c>
      <c r="P99" s="103">
        <f t="array" ref="P99">VARP(IF(INDEX(properties!A$1:CB$87,'Fórmula'!B99,5)&lt;&gt;"",INDEX(properties!A$1:CB$87,'Fórmula'!B99,5)),IF(INDEX(properties!A$1:CB$87,'Fórmula'!D99,5)&lt;&gt;"",INDEX(properties!A$1:CB$87,'Fórmula'!D99,5)),IF(INDEX(properties!A$1:CB$87,'Fórmula'!F99,5)&lt;&gt;"",INDEX(properties!A$1:CB$87,'Fórmula'!F99,5)),IF(INDEX(properties!A$1:CB$87,'Fórmula'!H99,5)&lt;&gt;"",INDEX(properties!A$1:CB$87,'Fórmula'!H99,5)),IF(INDEX(properties!A$1:CB$87,'Fórmula'!J99,5)&lt;&gt;"",INDEX(properties!A$1:CB$87,'Fórmula'!J99,5)))</f>
        <v>6.24</v>
      </c>
      <c r="Q99" s="103">
        <f t="array" ref="Q99">MAX(INDEX(properties!A$1:CB$87,'Fórmula'!B99,5),INDEX(properties!A$1:CB$87,'Fórmula'!D99,5),INDEX(properties!A$1:CB$87,'Fórmula'!F99,5),INDEX(properties!A$1:CB$87,'Fórmula'!H99,5),INDEX(properties!A$1:CB$87,'Fórmula'!J99,5))</f>
        <v>6</v>
      </c>
      <c r="R99" s="103">
        <f t="array" ref="R99">MIN(IF(INDEX(properties!A$1:CB$87,'Fórmula'!B99,5)=0,10^6,INDEX(properties!A$1:CB$87,'Fórmula'!B99,5)),IF(INDEX(properties!A$1:CB$87,'Fórmula'!D99,5)=0,10^6,INDEX(properties!A$1:CB$87,'Fórmula'!D99,5)),IF(INDEX(properties!A$1:CB$87,'Fórmula'!F99,5)=0,10^6,INDEX(properties!A$1:CB$87,'Fórmula'!F99,5)),IF(INDEX(properties!A$1:CB$87,'Fórmula'!H99,5)=0,10^6,INDEX(properties!A$1:CB$87,'Fórmula'!H99,5)),IF(INDEX(properties!A$1:CB$87,'Fórmula'!J99,5)=0,10^6,INDEX(properties!A$1:CB$87,'Fórmula'!J99,5)))</f>
        <v>2</v>
      </c>
      <c r="S99" s="103">
        <f t="shared" si="3"/>
        <v>4</v>
      </c>
      <c r="T99" s="104">
        <f t="array" ref="T99">(('Fórmula'!C99)/('Fórmula'!C99+'Fórmula'!E99+'Fórmula'!G99+'Fórmula'!I99+'Fórmula'!K99))*(INDEX(properties!A$1:CB$87,'Fórmula'!B99,6))+(('Fórmula'!E99)/('Fórmula'!C99+'Fórmula'!E99+'Fórmula'!G99+'Fórmula'!I99+'Fórmula'!K99))*(INDEX(properties!A$1:CB$87,'Fórmula'!D99,6))+(('Fórmula'!G99)/('Fórmula'!C99+'Fórmula'!E99+'Fórmula'!G99+'Fórmula'!I99+'Fórmula'!K99))*(INDEX(properties!A$1:CB$87,'Fórmula'!F99,6))+(('Fórmula'!I99)/('Fórmula'!C99+'Fórmula'!E99+'Fórmula'!G99+'Fórmula'!I99+'Fórmula'!K99))*(INDEX(properties!A$1:CB$87,'Fórmula'!H99,6))+(('Fórmula'!K99)/('Fórmula'!C99+'Fórmula'!E99+'Fórmula'!G99+'Fórmula'!I99+'Fórmula'!K99))*(INDEX(properties!A$1:CB$87,'Fórmula'!J99,6))</f>
        <v>10.8</v>
      </c>
      <c r="U99" s="104">
        <f t="array" ref="U99">'Fórmula'!C99*(INDEX(properties!A$1:CB$87,'Fórmula'!B99,6))+'Fórmula'!E99*(INDEX(properties!A$1:CB$87,'Fórmula'!D99,6))+'Fórmula'!G99*(INDEX(properties!A$1:CB$87,'Fórmula'!F99,6))+'Fórmula'!I99*(INDEX(properties!A$1:CB$87,'Fórmula'!H99,6))+'Fórmula'!K99*(INDEX(properties!A$1:CB$87,'Fórmula'!J99,6))</f>
        <v>54</v>
      </c>
      <c r="V99" s="103">
        <f t="array" ref="V99">VARP(IF(INDEX(properties!A$1:CB$87,'Fórmula'!B99,6)&lt;&gt;"",INDEX(properties!A$1:CB$87,'Fórmula'!B99,6)),IF(INDEX(properties!A$1:CB$87,'Fórmula'!D99,6)&lt;&gt;"",INDEX(properties!A$1:CB$87,'Fórmula'!D99,6)),IF(INDEX(properties!A$1:CB$87,'Fórmula'!F99,6)&lt;&gt;"",INDEX(properties!A$1:CB$87,'Fórmula'!F99,6)),IF(INDEX(properties!A$1:CB$87,'Fórmula'!H99,6)&lt;&gt;"",INDEX(properties!A$1:CB$87,'Fórmula'!H99,6)),IF(INDEX(properties!A$1:CB$87,'Fórmula'!J99,6)&lt;&gt;"",INDEX(properties!A$1:CB$87,'Fórmula'!J99,6)))</f>
        <v>35.84</v>
      </c>
      <c r="W99" s="104">
        <f t="array" ref="W99">MAX(INDEX(properties!A$1:CB$87,'Fórmula'!B99,6),INDEX(properties!A$1:CB$87,'Fórmula'!D99,6),INDEX(properties!A$1:CB$87,'Fórmula'!F99,6),INDEX(properties!A$1:CB$87,'Fórmula'!H99,4),INDEX(properties!A$1:CB$87,'Fórmula'!J99,6))</f>
        <v>16</v>
      </c>
      <c r="X99" s="104">
        <f t="array" ref="X99">MIN(IF(INDEX(properties!A$1:CB$87,'Fórmula'!B99,6)=0,10^6,INDEX(properties!A$1:CB$87,'Fórmula'!B99,6)),IF(INDEX(properties!A$1:CB$87,'Fórmula'!D99,6)=0,10^6,INDEX(properties!A$1:CB$87,'Fórmula'!D99,6)),IF(INDEX(properties!A$1:CB$87,'Fórmula'!F99,6)=0,10^6,INDEX(properties!A$1:CB$87,'Fórmula'!F99,6)),IF(INDEX(properties!A$1:CB$87,'Fórmula'!H99,6)=0,10^6,INDEX(properties!A$1:CB$87,'Fórmula'!H99,6)),IF(INDEX(properties!A$1:CB$87,'Fórmula'!J99,6)=0,10^6,INDEX(properties!A$1:CB$87,'Fórmula'!J99,6)))</f>
        <v>2</v>
      </c>
      <c r="Y99" s="104">
        <f t="shared" si="4"/>
        <v>14</v>
      </c>
      <c r="Z99" s="105">
        <f t="array" ref="Z99">(('Fórmula'!C99)/('Fórmula'!C99+'Fórmula'!E99+'Fórmula'!G99+'Fórmula'!I99+'Fórmula'!K99))*(INDEX(properties!A$1:CB$87,'Fórmula'!B99,9))+(('Fórmula'!E99)/('Fórmula'!C99+'Fórmula'!E99+'Fórmula'!G99+'Fórmula'!I99+'Fórmula'!K99))*(INDEX(properties!A$1:CB$87,'Fórmula'!D99,9))+(('Fórmula'!G99)/('Fórmula'!C99+'Fórmula'!E99+'Fórmula'!G99+'Fórmula'!I99+'Fórmula'!K99))*(INDEX(properties!A$1:CB$87,'Fórmula'!F99,9))+(('Fórmula'!I99)/('Fórmula'!C99+'Fórmula'!E99+'Fórmula'!G99+'Fórmula'!I99+'Fórmula'!K99))*(INDEX(properties!A$1:CB$87,'Fórmula'!H99,9))+(('Fórmula'!K99)/('Fórmula'!C99+'Fórmula'!E99+'Fórmula'!G99+'Fórmula'!I99+'Fórmula'!K99))*(INDEX(properties!A$1:CB$87,'Fórmula'!J99,9))</f>
        <v>62.8</v>
      </c>
      <c r="AA99" s="105">
        <f t="array" ref="AA99">'Fórmula'!C99*(INDEX(properties!A$1:CB$87,'Fórmula'!B99,9))+'Fórmula'!E99*(INDEX(properties!A$1:CB$87,'Fórmula'!D99,9))+'Fórmula'!G99*(INDEX(properties!A$1:CB$87,'Fórmula'!F99,9))+'Fórmula'!I99*(INDEX(properties!A$1:CB$87,'Fórmula'!H99,9))+'Fórmula'!K99*(INDEX(properties!A$1:CB$87,'Fórmula'!J99,9))</f>
        <v>314</v>
      </c>
      <c r="AB99" s="105">
        <f t="array" ref="AB99">VARP(IF(INDEX(properties!A$1:CB$87,'Fórmula'!B99,9)&lt;&gt;"",INDEX(properties!A$1:CB$87,'Fórmula'!B99,9)),IF(INDEX(properties!A$1:CB$87,'Fórmula'!D99,9)&lt;&gt;"",INDEX(properties!A$1:CB$87,'Fórmula'!D99,9)),IF(INDEX(properties!A$1:CB$87,'Fórmula'!F99,9)&lt;&gt;"",INDEX(properties!A$1:CB$87,'Fórmula'!F99,9)),IF(INDEX(properties!A$1:CB$87,'Fórmula'!H99,9)&lt;&gt;"",INDEX(properties!A$1:CB$87,'Fórmula'!H99,9)),IF(INDEX(properties!A$1:CB$87,'Fórmula'!J99,9)&lt;&gt;"",INDEX(properties!A$1:CB$87,'Fórmula'!J99,9)))</f>
        <v>1133.2</v>
      </c>
      <c r="AC99" s="105">
        <f t="array" ref="AC99">MAX(INDEX(properties!A$1:CB$87,'Fórmula'!B99,9),INDEX(properties!A$1:CB$87,'Fórmula'!D99,9),INDEX(properties!A$1:CB$87,'Fórmula'!F99,9),INDEX(properties!A$1:CB$87,'Fórmula'!H99,9),INDEX(properties!A$1:CB$87,'Fórmula'!J99,9))</f>
        <v>87</v>
      </c>
      <c r="AD99" s="105">
        <f t="array" ref="AD99">MIN(IF(INDEX(properties!A$1:CB$87,'Fórmula'!B99,9)=0,10^6,INDEX(properties!A$1:CB$87,'Fórmula'!B99,9)),IF(INDEX(properties!A$1:CB$87,'Fórmula'!D99,9)=0,10^6,INDEX(properties!A$1:CB$87,'Fórmula'!D99,9)),IF(INDEX(properties!A$1:CB$87,'Fórmula'!F99,9)=0,10^6,INDEX(properties!A$1:CB$87,'Fórmula'!F99,9)),IF(INDEX(properties!A$1:CB$87,'Fórmula'!H99,9)=0,10^6,INDEX(properties!A$1:CB$87,'Fórmula'!H99,9)),IF(INDEX(properties!A$1:CB$87,'Fórmula'!J99,9)=0,10^6,INDEX(properties!A$1:CB$87,'Fórmula'!J99,9)))</f>
        <v>9</v>
      </c>
      <c r="AE99" s="105">
        <f t="shared" si="5"/>
        <v>78</v>
      </c>
      <c r="AF99" s="106">
        <f t="array" ref="AF99">(('Fórmula'!C99)/('Fórmula'!C99+'Fórmula'!E99+'Fórmula'!G99+'Fórmula'!I99+'Fórmula'!K99))*(INDEX(properties!A$1:CB$87,'Fórmula'!B99,10))+(('Fórmula'!E99)/('Fórmula'!C99+'Fórmula'!E99+'Fórmula'!G99+'Fórmula'!I99+'Fórmula'!K99))*(INDEX(properties!A$1:CB$87,'Fórmula'!D99,10))+(('Fórmula'!G99)/('Fórmula'!C99+'Fórmula'!E99+'Fórmula'!G99+'Fórmula'!I99+'Fórmula'!K99))*(INDEX(properties!A$1:CB$87,'Fórmula'!F99,10))+(('Fórmula'!I99)/('Fórmula'!C99+'Fórmula'!E99+'Fórmula'!G99+'Fórmula'!I99+'Fórmula'!K99))*(INDEX(properties!A$1:CB$87,'Fórmula'!H99,10))+(('Fórmula'!K99)/('Fórmula'!C99+'Fórmula'!E99+'Fórmula'!G99+'Fórmula'!I99+'Fórmula'!K99))*(INDEX(properties!A$1:CB$87,'Fórmula'!J99,10))</f>
        <v>5.4</v>
      </c>
      <c r="AG99" s="106">
        <f t="array" ref="AG99">'Fórmula'!C99*(INDEX(properties!A$1:CB$87,'Fórmula'!B99,10))+'Fórmula'!E99*(INDEX(properties!A$1:CB$87,'Fórmula'!D99,10))+'Fórmula'!G99*(INDEX(properties!A$1:CB$87,'Fórmula'!F99,10))+'Fórmula'!I99*(INDEX(properties!A$1:CB$87,'Fórmula'!H99,10))+'Fórmula'!K99*(INDEX(properties!A$1:CB$87,'Fórmula'!J99,10))</f>
        <v>27</v>
      </c>
      <c r="AH99" s="106">
        <f t="array" ref="AH99">VARP(IF(INDEX(properties!A$1:CB$87,'Fórmula'!B99,10)&lt;&gt;"",INDEX(properties!A$1:CB$87,'Fórmula'!B99,10)),IF(INDEX(properties!A$1:CB$87,'Fórmula'!D99,10)&lt;&gt;"",INDEX(properties!A$1:CB$87,'Fórmula'!D99,10)),IF(INDEX(properties!A$1:CB$87,'Fórmula'!F99,10)&lt;&gt;"",INDEX(properties!A$1:CB$87,'Fórmula'!F99,10)),IF(INDEX(properties!A$1:CB$87,'Fórmula'!H99,10)&lt;&gt;"",INDEX(properties!A$1:CB$87,'Fórmula'!H99,10)),IF(INDEX(properties!A$1:CB$87,'Fórmula'!J99,10)&lt;&gt;"",INDEX(properties!A$1:CB$87,'Fórmula'!J99,10)))</f>
        <v>7.04</v>
      </c>
      <c r="AI99" s="106">
        <f t="array" ref="AI99">MAX(INDEX(properties!A$1:CB$87,'Fórmula'!B99,10),INDEX(properties!A$1:CB$87,'Fórmula'!D99,10),INDEX(properties!A$1:CB$87,'Fórmula'!F99,10),INDEX(properties!A$1:CB$87,'Fórmula'!H99,10),INDEX(properties!A$1:CB$87,'Fórmula'!J99,10))</f>
        <v>7</v>
      </c>
      <c r="AJ99" s="106">
        <f t="array" ref="AJ99">MIN(IF(INDEX(properties!A$1:CB$87,'Fórmula'!B99,10)=0,10^6,INDEX(properties!A$1:CB$87,'Fórmula'!B99,10)),IF(INDEX(properties!A$1:CB$87,'Fórmula'!D99,10)=0,10^6,INDEX(properties!A$1:CB$87,'Fórmula'!D99,10)),IF(INDEX(properties!A$1:CB$87,'Fórmula'!F99,10)=0,10^6,INDEX(properties!A$1:CB$87,'Fórmula'!F99,10)),IF(INDEX(properties!A$1:CB$87,'Fórmula'!H99,10)=0,10^6,INDEX(properties!A$1:CB$87,'Fórmula'!H99,10)),IF(INDEX(properties!A$1:CB$87,'Fórmula'!J99,10)=0,10^6,INDEX(properties!A$1:CB$87,'Fórmula'!J99,10)))</f>
        <v>2</v>
      </c>
      <c r="AK99" s="106">
        <f t="shared" si="6"/>
        <v>5</v>
      </c>
      <c r="AL99" s="107">
        <f t="array" ref="AL99">(('Fórmula'!C99)/('Fórmula'!C99+'Fórmula'!E99+'Fórmula'!G99+'Fórmula'!I99+'Fórmula'!K99))*(INDEX(properties!A$1:CB$87,'Fórmula'!B99,11))+(('Fórmula'!E99)/('Fórmula'!C99+'Fórmula'!E99+'Fórmula'!G99+'Fórmula'!I99+'Fórmula'!K99))*(INDEX(properties!A$1:CB$87,'Fórmula'!D99,11))+(('Fórmula'!G99)/('Fórmula'!C99+'Fórmula'!E99+'Fórmula'!G99+'Fórmula'!I99+'Fórmula'!K99))*(INDEX(properties!A$1:CB$87,'Fórmula'!F99,11))+(('Fórmula'!I99)/('Fórmula'!C99+'Fórmula'!E99+'Fórmula'!G99+'Fórmula'!I99+'Fórmula'!K99))*(INDEX(properties!A$1:CB$87,'Fórmula'!H99,11))+(('Fórmula'!K99)/('Fórmula'!C99+'Fórmula'!E99+'Fórmula'!G99+'Fórmula'!I99+'Fórmula'!K99))*(INDEX(properties!A$1:CB$87,'Fórmula'!J99,11))</f>
        <v>2</v>
      </c>
      <c r="AM99" s="107">
        <f t="array" ref="AM99">'Fórmula'!C99*(INDEX(properties!A$1:CB$87,'Fórmula'!B99,11))+'Fórmula'!E99*(INDEX(properties!A$1:CB$87,'Fórmula'!D99,11))+'Fórmula'!G99*(INDEX(properties!A$1:CB$87,'Fórmula'!F99,11))+'Fórmula'!I99*(INDEX(properties!A$1:CB$87,'Fórmula'!H99,11))+'Fórmula'!K99*(INDEX(properties!A$1:CB$87,'Fórmula'!J99,11))</f>
        <v>10</v>
      </c>
      <c r="AN99" s="107">
        <f t="array" ref="AN99">VARP(IF(INDEX(properties!A$1:CB$87,'Fórmula'!B99,11)&lt;&gt;"",INDEX(properties!A$1:CB$87,'Fórmula'!B99,11)),IF(INDEX(properties!A$1:CB$87,'Fórmula'!D99,11)&lt;&gt;"",INDEX(properties!A$1:CB$87,'Fórmula'!D99,11)),IF(INDEX(properties!A$1:CB$87,'Fórmula'!F99,11)&lt;&gt;"",INDEX(properties!A$1:CB$87,'Fórmula'!F99,11)),IF(INDEX(properties!A$1:CB$87,'Fórmula'!H99,11)&lt;&gt;"",INDEX(properties!A$1:CB$87,'Fórmula'!H99,11)),IF(INDEX(properties!A$1:CB$87,'Fórmula'!J99,11)&lt;&gt;"",INDEX(properties!A$1:CB$87,'Fórmula'!J99,11)))</f>
        <v>0.96</v>
      </c>
      <c r="AO99" s="107">
        <f t="array" ref="AO99">MAX(INDEX(properties!A$1:CB$87,'Fórmula'!B99,11),INDEX(properties!A$1:CB$87,'Fórmula'!D99,11),INDEX(properties!A$1:CB$87,'Fórmula'!F99,11),INDEX(properties!A$1:CB$87,'Fórmula'!H99,11),INDEX(properties!A$1:CB$87,'Fórmula'!J99,11))</f>
        <v>2</v>
      </c>
      <c r="AP99" s="107">
        <f t="array" ref="AP99">MIN(IF('Fórmula'!B99=87,10^6,INDEX(properties!A$1:CB$87,'Fórmula'!B99,11)),IF(('Fórmula'!D99)=87,10^6,INDEX(properties!A$1:CB$87,'Fórmula'!D99,11)),IF(('Fórmula'!F99)=87,10^6,INDEX(properties!A$1:CB$87,'Fórmula'!F99,11)),IF(('Fórmula'!H99)=87,10^6,INDEX(properties!A$1:CB$87,'Fórmula'!H99,11)),IF('Fórmula'!J99=87,10^6,INDEX(properties!A$1:CB$87,'Fórmula'!J99,11)))</f>
        <v>2</v>
      </c>
      <c r="AQ99" s="107">
        <f t="shared" si="7"/>
        <v>0</v>
      </c>
      <c r="AR99" s="108">
        <f t="array" ref="AR99">(('Fórmula'!C99)/('Fórmula'!C99+'Fórmula'!E99+'Fórmula'!G99+'Fórmula'!I99+'Fórmula'!K99))*(INDEX(properties!A$1:CB$87,'Fórmula'!B99,12))+(('Fórmula'!E99)/('Fórmula'!C99+'Fórmula'!E99+'Fórmula'!G99+'Fórmula'!I99+'Fórmula'!K99))*(INDEX(properties!A$1:CB$87,'Fórmula'!D99,12))+(('Fórmula'!G99)/('Fórmula'!C99+'Fórmula'!E99+'Fórmula'!G99+'Fórmula'!I99+'Fórmula'!K99))*(INDEX(properties!A$1:CB$87,'Fórmula'!F99,12))+(('Fórmula'!I99)/('Fórmula'!C99+'Fórmula'!E99+'Fórmula'!G99+'Fórmula'!I99+'Fórmula'!K99))*(INDEX(properties!A$1:CB$87,'Fórmula'!H99,12))+(('Fórmula'!K99)/('Fórmula'!C99+'Fórmula'!E99+'Fórmula'!G99+'Fórmula'!I99+'Fórmula'!K99))*(INDEX(properties!A$1:CB$87,'Fórmula'!J99,12))</f>
        <v>2.4</v>
      </c>
      <c r="AS99" s="108">
        <f t="array" ref="AS99">'Fórmula'!C99*(INDEX(properties!A$1:CB$87,'Fórmula'!B99,12))+'Fórmula'!E99*(INDEX(properties!A$1:CB$87,'Fórmula'!D99,12))+'Fórmula'!G99*(INDEX(properties!A$1:CB$87,'Fórmula'!F99,12))+'Fórmula'!I99*(INDEX(properties!A$1:CB$87,'Fórmula'!H99,12))+'Fórmula'!K99*(INDEX(properties!A$1:CB$87,'Fórmula'!J99,12))</f>
        <v>12</v>
      </c>
      <c r="AT99" s="108">
        <f t="array" ref="AT99">VARP(IF(INDEX(properties!A$1:CB$87,'Fórmula'!B99,12)&lt;&gt;"",INDEX(properties!A$1:CB$87,'Fórmula'!B99,12)),IF(INDEX(properties!A$1:CB$87,'Fórmula'!D99,12)&lt;&gt;"",INDEX(properties!A$1:CB$87,'Fórmula'!D99,12)),IF(INDEX(properties!A$1:CB$87,'Fórmula'!F99,12)&lt;&gt;"",INDEX(properties!A$1:CB$87,'Fórmula'!F99,12)),IF(INDEX(properties!A$1:CB$87,'Fórmula'!H99,12)&lt;&gt;"",INDEX(properties!A$1:CB$87,'Fórmula'!H99,12)),IF(INDEX(properties!A$1:CB$87,'Fórmula'!J99,12)&lt;&gt;"",INDEX(properties!A$1:CB$87,'Fórmula'!J99,12)))</f>
        <v>2.56</v>
      </c>
      <c r="AU99" s="108">
        <f t="array" ref="AU99">MAX(INDEX(properties!A$1:CB$87,'Fórmula'!B99,12),INDEX(properties!A$1:CB$87,'Fórmula'!D99,12),INDEX(properties!A$1:CB$87,'Fórmula'!F99,12),INDEX(properties!A$1:CB$87,'Fórmula'!H99,12),INDEX(properties!A$1:CB$87,'Fórmula'!J99,12))</f>
        <v>4</v>
      </c>
      <c r="AV99" s="108">
        <f t="array" ref="AV99">MIN(IF('Fórmula'!B99=87,10^6,INDEX(properties!A$1:CB$87,'Fórmula'!B99,12)),IF(('Fórmula'!D99)=87,10^6,INDEX(properties!A$1:CB$87,'Fórmula'!D99,12)),IF(('Fórmula'!F99)=87,10^6,INDEX(properties!A$1:CB$87,'Fórmula'!F99,12)),IF(('Fórmula'!H99)=87,10^6,INDEX(properties!A$1:CB$87,'Fórmula'!H99,12)),IF('Fórmula'!J99=87,10^6,INDEX(properties!A$1:CB$87,'Fórmula'!J99,12)))</f>
        <v>0</v>
      </c>
      <c r="AW99" s="108">
        <f t="shared" si="8"/>
        <v>4</v>
      </c>
      <c r="AX99" s="109">
        <f t="array" ref="AX99">(('Fórmula'!C99)/('Fórmula'!C99+'Fórmula'!E99+'Fórmula'!G99+'Fórmula'!I99+'Fórmula'!K99))*(INDEX(properties!A$1:CB$87,'Fórmula'!B99,13))+(('Fórmula'!E99)/('Fórmula'!C99+'Fórmula'!E99+'Fórmula'!G99+'Fórmula'!I99+'Fórmula'!K99))*(INDEX(properties!A$1:CB$87,'Fórmula'!D99,13))+(('Fórmula'!G99)/('Fórmula'!C99+'Fórmula'!E99+'Fórmula'!G99+'Fórmula'!I99+'Fórmula'!K99))*(INDEX(properties!A$1:CB$87,'Fórmula'!F99,13))+(('Fórmula'!I99)/('Fórmula'!C99+'Fórmula'!E99+'Fórmula'!G99+'Fórmula'!I99+'Fórmula'!K99))*(INDEX(properties!A$1:CB$87,'Fórmula'!H99,13))+(('Fórmula'!K99)/('Fórmula'!C99+'Fórmula'!E99+'Fórmula'!G99+'Fórmula'!I99+'Fórmula'!K99))*(INDEX(properties!A$1:CB$87,'Fórmula'!J99,13))</f>
        <v>0.4</v>
      </c>
      <c r="AY99" s="109">
        <f t="array" ref="AY99">'Fórmula'!C99*(INDEX(properties!A$1:CB$87,'Fórmula'!B99,13))+'Fórmula'!E99*(INDEX(properties!A$1:CB$87,'Fórmula'!D99,13))+'Fórmula'!G99*(INDEX(properties!A$1:CB$87,'Fórmula'!F99,13))+'Fórmula'!I99*(INDEX(properties!A$1:CB$87,'Fórmula'!H99,13))+'Fórmula'!K99*(INDEX(properties!A$1:CB$87,'Fórmula'!J99,13))</f>
        <v>2</v>
      </c>
      <c r="AZ99" s="109">
        <f t="array" ref="AZ99">VARP(IF(INDEX(properties!A$1:CB$87,'Fórmula'!B99,13)&lt;&gt;"",INDEX(properties!A$1:CB$87,'Fórmula'!B99,13)),IF(INDEX(properties!A$1:CB$87,'Fórmula'!D99,13)&lt;&gt;"",INDEX(properties!A$1:CB$87,'Fórmula'!D99,13)),IF(INDEX(properties!A$1:CB$87,'Fórmula'!F99,13)&lt;&gt;"",INDEX(properties!A$1:CB$87,'Fórmula'!F99,13)),IF(INDEX(properties!A$1:CB$87,'Fórmula'!H99,13)&lt;&gt;"",INDEX(properties!A$1:CB$87,'Fórmula'!H99,13)),IF(INDEX(properties!A$1:CB$87,'Fórmula'!J99,13)&lt;&gt;"",INDEX(properties!A$1:CB$87,'Fórmula'!J99,13)))</f>
        <v>0.64</v>
      </c>
      <c r="BA99" s="109">
        <f t="array" ref="BA99">MAX(INDEX(properties!A$1:CB$87,'Fórmula'!B99,13),INDEX(properties!A$1:CB$87,'Fórmula'!D99,13),INDEX(properties!A$1:CB$87,'Fórmula'!F99,13),INDEX(properties!A$1:CB$87,'Fórmula'!H99,13),INDEX(properties!A$1:CB$87,'Fórmula'!J99,13))</f>
        <v>2</v>
      </c>
      <c r="BB99" s="109">
        <f t="array" ref="BB99">MIN(IF('Fórmula'!B99=87,10^6,INDEX(properties!A$1:CB$87,'Fórmula'!B99,13)),IF(('Fórmula'!D99)=87,10^6,INDEX(properties!A$1:CB$87,'Fórmula'!D99,13)),IF(('Fórmula'!F99)=87,10^6,INDEX(properties!A$1:CB$87,'Fórmula'!F99,13)),IF(('Fórmula'!H99)=87,10^6,INDEX(properties!A$1:CB$87,'Fórmula'!H99,13)),IF('Fórmula'!J99=87,10^6,INDEX(properties!A$1:CB$87,'Fórmula'!J99,13)))</f>
        <v>0</v>
      </c>
      <c r="BC99" s="109">
        <f t="shared" si="9"/>
        <v>2</v>
      </c>
      <c r="BD99" s="110">
        <f t="array" ref="BD99">(('Fórmula'!C99)/('Fórmula'!C99+'Fórmula'!E99+'Fórmula'!G99+'Fórmula'!I99+'Fórmula'!K99))*(INDEX(properties!A$1:CB$87,'Fórmula'!B99,14))+(('Fórmula'!E99)/('Fórmula'!C99+'Fórmula'!E99+'Fórmula'!G99+'Fórmula'!I99+'Fórmula'!K99))*(INDEX(properties!A$1:CB$87,'Fórmula'!D99,14))+(('Fórmula'!G99)/('Fórmula'!C99+'Fórmula'!E99+'Fórmula'!G99+'Fórmula'!I99+'Fórmula'!K99))*(INDEX(properties!A$1:CB$87,'Fórmula'!F99,14))+(('Fórmula'!I99)/('Fórmula'!C99+'Fórmula'!E99+'Fórmula'!G99+'Fórmula'!I99+'Fórmula'!K99))*(INDEX(properties!A$1:CB$87,'Fórmula'!H99,14))+(('Fórmula'!K99)/('Fórmula'!C99+'Fórmula'!E99+'Fórmula'!G99+'Fórmula'!I99+'Fórmula'!K99))*(INDEX(properties!A$1:CB$87,'Fórmula'!J99,14))</f>
        <v>0</v>
      </c>
      <c r="BE99" s="110">
        <f t="array" ref="BE99">'Fórmula'!C99*(INDEX(properties!A$1:CB$87,'Fórmula'!B99,14))+'Fórmula'!E99*(INDEX(properties!A$1:CB$87,'Fórmula'!D99,14))+'Fórmula'!G99*(INDEX(properties!A$1:CB$87,'Fórmula'!F99,14))+'Fórmula'!I99*(INDEX(properties!A$1:CB$87,'Fórmula'!H99,14))+'Fórmula'!K99*(INDEX(properties!A$1:CB$87,'Fórmula'!J99,14))</f>
        <v>0</v>
      </c>
      <c r="BF99" s="110">
        <f t="array" ref="BF99">VARP(IF(INDEX(properties!A$1:CB$87,'Fórmula'!B99,14)&lt;&gt;"",INDEX(properties!A$1:CB$87,'Fórmula'!B99,14)),IF(INDEX(properties!A$1:CB$87,'Fórmula'!D99,14)&lt;&gt;"",INDEX(properties!A$1:CB$87,'Fórmula'!D99,14)),IF(INDEX(properties!A$1:CB$87,'Fórmula'!F99,14)&lt;&gt;"",INDEX(properties!A$1:CB$87,'Fórmula'!F99,14)),IF(INDEX(properties!A$1:CB$87,'Fórmula'!H99,14)&lt;&gt;"",INDEX(properties!A$1:CB$87,'Fórmula'!H99,14)),IF(INDEX(properties!A$1:CB$87,'Fórmula'!J99,14)&lt;&gt;"",INDEX(properties!A$1:CB$87,'Fórmula'!J99,14)))</f>
        <v>0</v>
      </c>
      <c r="BG99" s="110">
        <f t="array" ref="BG99">MAX(INDEX(properties!A$1:CB$87,'Fórmula'!B99,14),INDEX(properties!A$1:CB$87,'Fórmula'!D99,14),INDEX(properties!A$1:CB$87,'Fórmula'!F99,14),INDEX(properties!A$1:CB$87,'Fórmula'!H99,14),INDEX(properties!A$1:CB$87,'Fórmula'!J99,14))</f>
        <v>0</v>
      </c>
      <c r="BH99" s="110">
        <f t="array" ref="BH99">MIN(IF('Fórmula'!B99=87,10^6,INDEX(properties!A$1:CB$87,'Fórmula'!B99,14)),IF(('Fórmula'!D99)=87,10^6,INDEX(properties!A$1:CB$87,'Fórmula'!D99,14)),IF(('Fórmula'!F99)=87,10^6,INDEX(properties!A$1:CB$87,'Fórmula'!F99,14)),IF(('Fórmula'!H99)=87,10^6,INDEX(properties!A$1:CB$87,'Fórmula'!H99,14)),IF('Fórmula'!J99=87,10^6,INDEX(properties!A$1:CB$87,'Fórmula'!J99,14)))</f>
        <v>0</v>
      </c>
      <c r="BI99" s="110">
        <f t="shared" si="10"/>
        <v>0</v>
      </c>
      <c r="BJ99" s="111">
        <f t="array" ref="BJ99">(('Fórmula'!C99)/('Fórmula'!C99+'Fórmula'!E99+'Fórmula'!G99+'Fórmula'!I99+'Fórmula'!K99))*(INDEX(properties!A$1:CB$87,'Fórmula'!B99,19))+(('Fórmula'!E99)/('Fórmula'!C99+'Fórmula'!E99+'Fórmula'!G99+'Fórmula'!I99+'Fórmula'!K99))*(INDEX(properties!A$1:CB$87,'Fórmula'!D99,19))+(('Fórmula'!G99)/('Fórmula'!C99+'Fórmula'!E99+'Fórmula'!G99+'Fórmula'!I99+'Fórmula'!K99))*(INDEX(properties!A$1:CB$87,'Fórmula'!F99,19))+(('Fórmula'!I99)/('Fórmula'!C99+'Fórmula'!E99+'Fórmula'!G99+'Fórmula'!I99+'Fórmula'!K99))*(INDEX(properties!A$1:CB$87,'Fórmula'!H99,19))+(('Fórmula'!K99)/('Fórmula'!C99+'Fórmula'!E99+'Fórmula'!G99+'Fórmula'!I99+'Fórmula'!K99))*(INDEX(properties!A$1:CB$87,'Fórmula'!J99,19))</f>
        <v>4.8</v>
      </c>
      <c r="BK99" s="111">
        <f t="array" ref="BK99">'Fórmula'!C99*(INDEX(properties!A$1:CB$87,'Fórmula'!B99,19))+'Fórmula'!E99*(INDEX(properties!A$1:CB$87,'Fórmula'!D99,19))+'Fórmula'!G99*(INDEX(properties!A$1:CB$87,'Fórmula'!F99,19))+'Fórmula'!I99*(INDEX(properties!A$1:CB$87,'Fórmula'!H99,19))+'Fórmula'!K99*(INDEX(properties!A$1:CB$87,'Fórmula'!J99,19))</f>
        <v>24</v>
      </c>
      <c r="BL99" s="111">
        <f t="array" ref="BL99">VARP(IF(INDEX(properties!A$1:CB$87,'Fórmula'!B99,19)&lt;&gt;"",INDEX(properties!A$1:CB$87,'Fórmula'!B99,19)),IF(INDEX(properties!A$1:CB$87,'Fórmula'!D99,19)&lt;&gt;"",INDEX(properties!A$1:CB$87,'Fórmula'!D99,19)),IF(INDEX(properties!A$1:CB$87,'Fórmula'!F99,19)&lt;&gt;"",INDEX(properties!A$1:CB$87,'Fórmula'!F99,19)),IF(INDEX(properties!A$1:CB$87,'Fórmula'!H99,19)&lt;&gt;"",INDEX(properties!A$1:CB$87,'Fórmula'!H99,19)),IF(INDEX(properties!A$1:CB$87,'Fórmula'!J99,19)&lt;&gt;"",INDEX(properties!A$1:CB$87,'Fórmula'!J99,19)))</f>
        <v>5.44</v>
      </c>
      <c r="BM99" s="111">
        <f t="array" ref="BM99">MAX(INDEX(properties!A$1:CB$87,'Fórmula'!B99,19),INDEX(properties!A$1:CB$87,'Fórmula'!D99,19),INDEX(properties!A$1:CB$87,'Fórmula'!F99,19),INDEX(properties!A$1:CB$87,'Fórmula'!H99,19),INDEX(properties!A$1:CB$87,'Fórmula'!J99,19))</f>
        <v>6</v>
      </c>
      <c r="BN99" s="111">
        <f t="array" ref="BN99">MIN(IF(INDEX(properties!A$1:CB$87,'Fórmula'!B99,19)=0,10^6,INDEX(properties!A$1:CB$87,'Fórmula'!B99,19)),IF(INDEX(properties!A$1:CB$87,'Fórmula'!D99,19)=0,10^6,INDEX(properties!A$1:CB$87,'Fórmula'!D99,19)),IF(INDEX(properties!A$1:CB$87,'Fórmula'!F99,19)=0,10^6,INDEX(properties!A$1:CB$87,'Fórmula'!F99,19)),IF(INDEX(properties!A$1:CB$87,'Fórmula'!H99,19)=0,10^6,INDEX(properties!A$1:CB$87,'Fórmula'!H99,19)),IF(INDEX(properties!A$1:CB$87,'Fórmula'!J99,19)=0,10^6,INDEX(properties!A$1:CB$87,'Fórmula'!J99,19)))</f>
        <v>2</v>
      </c>
      <c r="BO99" s="111">
        <f t="shared" si="11"/>
        <v>4</v>
      </c>
      <c r="BP99" s="112">
        <f t="array" ref="BP99">(('Fórmula'!C99)/('Fórmula'!C99+'Fórmula'!E99+'Fórmula'!G99+'Fórmula'!I99+'Fórmula'!K99))*(INDEX(properties!A$1:CB$87,'Fórmula'!B99,20))+(('Fórmula'!E99)/('Fórmula'!C99+'Fórmula'!E99+'Fórmula'!G99+'Fórmula'!I99+'Fórmula'!K99))*(INDEX(properties!A$1:CB$87,'Fórmula'!D99,20))+(('Fórmula'!G99)/('Fórmula'!C99+'Fórmula'!E99+'Fórmula'!G99+'Fórmula'!I99+'Fórmula'!K99))*(INDEX(properties!A$1:CB$87,'Fórmula'!F99,20))+(('Fórmula'!I99)/('Fórmula'!C99+'Fórmula'!E99+'Fórmula'!G99+'Fórmula'!I99+'Fórmula'!K99))*(INDEX(properties!A$1:CB$87,'Fórmula'!H99,20))+(('Fórmula'!K99)/('Fórmula'!C99+'Fórmula'!E99+'Fórmula'!G99+'Fórmula'!I99+'Fórmula'!K99))*(INDEX(properties!A$1:CB$87,'Fórmula'!J99,20))</f>
        <v>4.4</v>
      </c>
      <c r="BQ99" s="112">
        <f t="array" ref="BQ99">'Fórmula'!C99*(INDEX(properties!A$1:CB$87,'Fórmula'!B99,20))+'Fórmula'!E99*(INDEX(properties!A$1:CB$87,'Fórmula'!D99,20))+'Fórmula'!G99*(INDEX(properties!A$1:CB$87,'Fórmula'!F99,20))+'Fórmula'!I99*(INDEX(properties!A$1:CB$87,'Fórmula'!H99,20))+'Fórmula'!K99*(INDEX(properties!A$1:CB$87,'Fórmula'!J99,20))</f>
        <v>22</v>
      </c>
      <c r="BR99" s="112">
        <f t="array" ref="BR99">VARP(IF(INDEX(properties!A$1:CB$87,'Fórmula'!B99,20)&lt;&gt;"",INDEX(properties!A$1:CB$87,'Fórmula'!B99,20)),IF(INDEX(properties!A$1:CB$87,'Fórmula'!D99,20)&lt;&gt;"",INDEX(properties!A$1:CB$87,'Fórmula'!D99,20)),IF(INDEX(properties!A$1:CB$87,'Fórmula'!F99,20)&lt;&gt;"",INDEX(properties!A$1:CB$87,'Fórmula'!F99,20)),IF(INDEX(properties!A$1:CB$87,'Fórmula'!H99,20)&lt;&gt;"",INDEX(properties!A$1:CB$87,'Fórmula'!H99,20)),IF(INDEX(properties!A$1:CB$87,'Fórmula'!J99,20)&lt;&gt;"",INDEX(properties!A$1:CB$87,'Fórmula'!J99,20)))</f>
        <v>4.8</v>
      </c>
      <c r="BS99" s="112">
        <f t="array" ref="BS99">MAX(INDEX(properties!A$1:CB$87,'Fórmula'!B99,20),INDEX(properties!A$1:CB$87,'Fórmula'!D99,20),INDEX(properties!A$1:CB$87,'Fórmula'!F99,20),INDEX(properties!A$1:CB$87,'Fórmula'!H99,20),INDEX(properties!A$1:CB$87,'Fórmula'!J99,20))</f>
        <v>6</v>
      </c>
      <c r="BT99" s="112">
        <f t="array" ref="BT99">MIN(IF(INDEX(properties!A$1:CB$87,'Fórmula'!B99,20)=0,10^6,INDEX(properties!A$1:CB$87,'Fórmula'!B99,20)),IF(INDEX(properties!A$1:CB$87,'Fórmula'!D99,20)=0,10^6,INDEX(properties!A$1:CB$87,'Fórmula'!D99,20)),IF(INDEX(properties!A$1:CB$87,'Fórmula'!F99,20)=0,10^6,INDEX(properties!A$1:CB$87,'Fórmula'!F99,20)),IF(INDEX(properties!A$1:CB$87,'Fórmula'!H99,20)=0,10^6,INDEX(properties!A$1:CB$87,'Fórmula'!H99,20)),IF(INDEX(properties!A$1:CB$87,'Fórmula'!J99,20)=0,10^6,INDEX(properties!A$1:CB$87,'Fórmula'!J99,20)))</f>
        <v>2</v>
      </c>
      <c r="BU99" s="112">
        <f t="shared" si="12"/>
        <v>4</v>
      </c>
      <c r="BV99" s="113">
        <f t="array" ref="BV99">(('Fórmula'!C99)/('Fórmula'!C99+'Fórmula'!E99+'Fórmula'!G99+'Fórmula'!I99+'Fórmula'!K99))*(INDEX(properties!A$1:CB$87,'Fórmula'!B99,21))+(('Fórmula'!E99)/('Fórmula'!C99+'Fórmula'!E99+'Fórmula'!G99+'Fórmula'!I99+'Fórmula'!K99))*(INDEX(properties!A$1:CB$87,'Fórmula'!D99,21))+(('Fórmula'!G99)/('Fórmula'!C99+'Fórmula'!E99+'Fórmula'!G99+'Fórmula'!I99+'Fórmula'!K99))*(INDEX(properties!A$1:CB$87,'Fórmula'!F99,21))+(('Fórmula'!I99)/('Fórmula'!C99+'Fórmula'!E99+'Fórmula'!G99+'Fórmula'!I99+'Fórmula'!K99))*(INDEX(properties!A$1:CB$87,'Fórmula'!H99,21))+(('Fórmula'!K99)/('Fórmula'!C99+'Fórmula'!E99+'Fórmula'!G99+'Fórmula'!I99+'Fórmula'!K99))*(INDEX(properties!A$1:CB$87,'Fórmula'!J99,21))</f>
        <v>4.4</v>
      </c>
      <c r="BW99" s="113">
        <f t="array" ref="BW99">'Fórmula'!C99*(INDEX(properties!A$1:CB$87,'Fórmula'!B99,21))+'Fórmula'!E99*(INDEX(properties!A$1:CB$87,'Fórmula'!D99,21))+'Fórmula'!G99*(INDEX(properties!A$1:CB$87,'Fórmula'!F99,21))+'Fórmula'!I99*(INDEX(properties!A$1:CB$87,'Fórmula'!H99,21))+'Fórmula'!K99*(INDEX(properties!A$1:CB$87,'Fórmula'!J99,21))</f>
        <v>22</v>
      </c>
      <c r="BX99" s="113">
        <f t="array" ref="BX99">VARP(IF(INDEX(properties!A$1:CB$87,'Fórmula'!B99,21)&lt;&gt;"",INDEX(properties!A$1:CB$87,'Fórmula'!B99,21)),IF(INDEX(properties!A$1:CB$87,'Fórmula'!D99,21)&lt;&gt;"",INDEX(properties!A$1:CB$87,'Fórmula'!D99,21)),IF(INDEX(properties!A$1:CB$87,'Fórmula'!F99,21)&lt;&gt;"",INDEX(properties!A$1:CB$87,'Fórmula'!F99,21)),IF(INDEX(properties!A$1:CB$87,'Fórmula'!H99,21)&lt;&gt;"",INDEX(properties!A$1:CB$87,'Fórmula'!H99,21)),IF(INDEX(properties!A$1:CB$87,'Fórmula'!J99,21)&lt;&gt;"",INDEX(properties!A$1:CB$87,'Fórmula'!J99,21)))</f>
        <v>4.8</v>
      </c>
      <c r="BY99" s="113">
        <f t="array" ref="BY99">MAX(INDEX(properties!A$1:CB$87,'Fórmula'!B99,21),INDEX(properties!A$1:CB$87,'Fórmula'!D99,21),INDEX(properties!A$1:CB$87,'Fórmula'!F99,21),INDEX(properties!A$1:CB$87,'Fórmula'!H99,21),INDEX(properties!A$1:CB$87,'Fórmula'!J99,21))</f>
        <v>6</v>
      </c>
      <c r="BZ99" s="113">
        <f t="array" ref="BZ99">MIN(IF(INDEX(properties!A$1:CB$87,'Fórmula'!B99,21)=0,10^6,INDEX(properties!A$1:CB$87,'Fórmula'!B99,21)),IF(INDEX(properties!A$1:CB$87,'Fórmula'!D99,21)=0,10^6,INDEX(properties!A$1:CB$87,'Fórmula'!D99,21)),IF(INDEX(properties!A$1:CB$87,'Fórmula'!F99,21)=0,10^6,INDEX(properties!A$1:CB$87,'Fórmula'!F99,21)),IF(INDEX(properties!A$1:CB$87,'Fórmula'!H99,21)=0,10^6,INDEX(properties!A$1:CB$87,'Fórmula'!H99,21)),IF(INDEX(properties!A$1:CB$87,'Fórmula'!J99,21)=0,10^6,INDEX(properties!A$1:CB$87,'Fórmula'!J99,21)))</f>
        <v>2</v>
      </c>
      <c r="CA99" s="113">
        <f t="shared" si="13"/>
        <v>4</v>
      </c>
      <c r="CB99" s="114">
        <f t="array" ref="CB99">(('Fórmula'!C99)/('Fórmula'!C99+'Fórmula'!E99+'Fórmula'!G99+'Fórmula'!I99+'Fórmula'!K99))*(INDEX(properties!A$1:CB$87,'Fórmula'!B99,23))+(('Fórmula'!E99)/('Fórmula'!C99+'Fórmula'!E99+'Fórmula'!G99+'Fórmula'!I99+'Fórmula'!K99))*(INDEX(properties!A$1:CB$87,'Fórmula'!D99,23))+(('Fórmula'!G99)/('Fórmula'!C99+'Fórmula'!E99+'Fórmula'!G99+'Fórmula'!I99+'Fórmula'!K99))*(INDEX(properties!A$1:CB$87,'Fórmula'!F99,23))+(('Fórmula'!I99)/('Fórmula'!C99+'Fórmula'!E99+'Fórmula'!G99+'Fórmula'!I99+'Fórmula'!K99))*(INDEX(properties!A$1:CB$87,'Fórmula'!H99,23))+(('Fórmula'!K99)/('Fórmula'!C99+'Fórmula'!E99+'Fórmula'!G99+'Fórmula'!I99+'Fórmula'!K99))*(INDEX(properties!A$1:CB$87,'Fórmula'!J99,23))</f>
        <v>1.2</v>
      </c>
      <c r="CC99" s="114">
        <f t="array" ref="CC99">'Fórmula'!C99*(INDEX(properties!A$1:CB$87,'Fórmula'!B99,23))+'Fórmula'!E99*(INDEX(properties!A$1:CB$87,'Fórmula'!D99,23))+'Fórmula'!G99*(INDEX(properties!A$1:CB$87,'Fórmula'!F99,23))+'Fórmula'!I99*(INDEX(properties!A$1:CB$87,'Fórmula'!H99,23))+'Fórmula'!K99*(INDEX(properties!A$1:CB$87,'Fórmula'!J99,23))</f>
        <v>6</v>
      </c>
      <c r="CD99" s="114">
        <f t="array" ref="CD99">VARP(IF(INDEX(properties!A$1:CB$87,'Fórmula'!B99,23)&lt;&gt;"",INDEX(properties!A$1:CB$87,'Fórmula'!B99,23)),IF(INDEX(properties!A$1:CB$87,'Fórmula'!D99,23)&lt;&gt;"",INDEX(properties!A$1:CB$87,'Fórmula'!D99,23)),IF(INDEX(properties!A$1:CB$87,'Fórmula'!F99,23)&lt;&gt;"",INDEX(properties!A$1:CB$87,'Fórmula'!F99,23)),IF(INDEX(properties!A$1:CB$87,'Fórmula'!H99,23)&lt;&gt;"",INDEX(properties!A$1:CB$87,'Fórmula'!H99,23)),IF(INDEX(properties!A$1:CB$87,'Fórmula'!J99,23)&lt;&gt;"",INDEX(properties!A$1:CB$87,'Fórmula'!J99,23)))</f>
        <v>2.56</v>
      </c>
      <c r="CE99" s="114">
        <f t="array" ref="CE99">MAX(INDEX(properties!A$1:CB$87,'Fórmula'!B99,23),INDEX(properties!A$1:CB$87,'Fórmula'!D99,23),INDEX(properties!A$1:CB$87,'Fórmula'!F99,23),INDEX(properties!A$1:CB$87,'Fórmula'!H99,23),INDEX(properties!A$1:CB$87,'Fórmula'!J99,23))</f>
        <v>4</v>
      </c>
      <c r="CF99" s="114">
        <f t="array" ref="CF99">MIN(IF('Fórmula'!B99=87,10^6,INDEX(properties!A$1:CB$87,'Fórmula'!B99,23)),IF(('Fórmula'!D99)=87,10^6,INDEX(properties!A$1:CB$87,'Fórmula'!D99,23)),IF(('Fórmula'!F99)=87,10^6,INDEX(properties!A$1:CB$87,'Fórmula'!F99,23)),IF(('Fórmula'!H99)=87,10^6,INDEX(properties!A$1:CB$87,'Fórmula'!H99,23)),IF('Fórmula'!J99=87,10^6,INDEX(properties!A$1:CB$87,'Fórmula'!J99,23)))</f>
        <v>0</v>
      </c>
      <c r="CG99" s="114">
        <f t="shared" si="14"/>
        <v>4</v>
      </c>
      <c r="CH99" s="115">
        <f t="array" ref="CH99">(('Fórmula'!C99)/('Fórmula'!C99+'Fórmula'!E99+'Fórmula'!G99+'Fórmula'!I99+'Fórmula'!K99))*(INDEX(properties!A$1:CB$87,'Fórmula'!B99,26))+(('Fórmula'!E99)/('Fórmula'!C99+'Fórmula'!E99+'Fórmula'!G99+'Fórmula'!I99+'Fórmula'!K99))*(INDEX(properties!A$1:CB$87,'Fórmula'!D99,26))+(('Fórmula'!G99)/('Fórmula'!C99+'Fórmula'!E99+'Fórmula'!G99+'Fórmula'!I99+'Fórmula'!K99))*(INDEX(properties!A$1:CB$87,'Fórmula'!F99,26))+(('Fórmula'!I99)/('Fórmula'!C99+'Fórmula'!E99+'Fórmula'!G99+'Fórmula'!I99+'Fórmula'!K99))*(INDEX(properties!A$1:CB$87,'Fórmula'!H99,26))+(('Fórmula'!K99)/('Fórmula'!C99+'Fórmula'!E99+'Fórmula'!G99+'Fórmula'!I99+'Fórmula'!K99))*(INDEX(properties!A$1:CB$87,'Fórmula'!J99,26))</f>
        <v>10.53998</v>
      </c>
      <c r="CI99" s="115">
        <f t="array" ref="CI99">'Fórmula'!C99*(INDEX(properties!A$1:CB$87,'Fórmula'!B99,26))+'Fórmula'!E99*(INDEX(properties!A$1:CB$87,'Fórmula'!D99,26))+'Fórmula'!G99*(INDEX(properties!A$1:CB$87,'Fórmula'!F99,26))+'Fórmula'!I99*(INDEX(properties!A$1:CB$87,'Fórmula'!H99,26))+'Fórmula'!K99*(INDEX(properties!A$1:CB$87,'Fórmula'!J99,26))</f>
        <v>52.6999</v>
      </c>
      <c r="CJ99" s="115">
        <f t="array" ref="CJ99">VARP(IF(INDEX(properties!A$1:CB$87,'Fórmula'!B99,26)&lt;&gt;"",INDEX(properties!A$1:CB$87,'Fórmula'!B99,26)),IF(INDEX(properties!A$1:CB$87,'Fórmula'!D99,26)&lt;&gt;"",INDEX(properties!A$1:CB$87,'Fórmula'!D99,26)),IF(INDEX(properties!A$1:CB$87,'Fórmula'!F99,26)&lt;&gt;"",INDEX(properties!A$1:CB$87,'Fórmula'!F99,26)),IF(INDEX(properties!A$1:CB$87,'Fórmula'!H99,26)&lt;&gt;"",INDEX(properties!A$1:CB$87,'Fórmula'!H99,26)),IF(INDEX(properties!A$1:CB$87,'Fórmula'!J99,26)&lt;&gt;"",INDEX(properties!A$1:CB$87,'Fórmula'!J99,26)))</f>
        <v>25.38861803</v>
      </c>
      <c r="CK99" s="116">
        <f t="array" ref="CK99">MAX(INDEX(properties!A$1:CB$87,'Fórmula'!B99,26),INDEX(properties!A$1:CB$87,'Fórmula'!D99,26),INDEX(properties!A$1:CB$87,'Fórmula'!F99,26),INDEX(properties!A$1:CB$87,'Fórmula'!H99,26),INDEX(properties!A$1:CB$87,'Fórmula'!J99,26))</f>
        <v>13.6181</v>
      </c>
      <c r="CL99" s="116">
        <f t="array" ref="CL99">MIN(IF(INDEX(properties!A$1:CB$87,'Fórmula'!B99,26)=0,10^6,INDEX(properties!A$1:CB$87,'Fórmula'!B99,26)),IF(INDEX(properties!A$1:CB$87,'Fórmula'!D99,26)=0,10^6,INDEX(properties!A$1:CB$87,'Fórmula'!D99,26)),IF(INDEX(properties!A$1:CB$87,'Fórmula'!F99,26)=0,10^6,INDEX(properties!A$1:CB$87,'Fórmula'!F99,26)),IF(INDEX(properties!A$1:CB$87,'Fórmula'!H99,26)=0,10^6,INDEX(properties!A$1:CB$87,'Fórmula'!H99,26)),IF(INDEX(properties!A$1:CB$87,'Fórmula'!J99,26)=0,10^6,INDEX(properties!A$1:CB$87,'Fórmula'!J99,26)))</f>
        <v>5.2117</v>
      </c>
      <c r="CM99" s="115">
        <f t="shared" si="15"/>
        <v>8.4064</v>
      </c>
      <c r="CN99" s="117">
        <f t="array" ref="CN99">(('Fórmula'!C99)/('Fórmula'!C99+'Fórmula'!E99+'Fórmula'!G99+'Fórmula'!I99+'Fórmula'!K99))*(INDEX(properties!A$1:CB$87,'Fórmula'!B99,30))+(('Fórmula'!E99)/('Fórmula'!C99+'Fórmula'!E99+'Fórmula'!G99+'Fórmula'!I99+'Fórmula'!K99))*(INDEX(properties!A$1:CB$87,'Fórmula'!D99,30))+(('Fórmula'!G99)/('Fórmula'!C99+'Fórmula'!E99+'Fórmula'!G99+'Fórmula'!I99+'Fórmula'!K99))*(INDEX(properties!A$1:CB$87,'Fórmula'!F99,30))+(('Fórmula'!I99)/('Fórmula'!C99+'Fórmula'!E99+'Fórmula'!G99+'Fórmula'!I99+'Fórmula'!K99))*(INDEX(properties!A$1:CB$87,'Fórmula'!H99,30))+(('Fórmula'!K99)/('Fórmula'!C99+'Fórmula'!E99+'Fórmula'!G99+'Fórmula'!I99+'Fórmula'!K99))*(INDEX(properties!A$1:CB$87,'Fórmula'!J99,30))</f>
        <v>2.508</v>
      </c>
      <c r="CO99" s="117">
        <f t="array" ref="CO99">'Fórmula'!C99*(INDEX(properties!A$1:CB$87,'Fórmula'!B99,30))+'Fórmula'!E99*(INDEX(properties!A$1:CB$87,'Fórmula'!D99,30))+'Fórmula'!G99*(INDEX(properties!A$1:CB$87,'Fórmula'!F99,30))+'Fórmula'!I99*(INDEX(properties!A$1:CB$87,'Fórmula'!H99,30))+'Fórmula'!K99*(INDEX(properties!A$1:CB$87,'Fórmula'!J99,30))</f>
        <v>12.54</v>
      </c>
      <c r="CP99" s="117">
        <f t="array" ref="CP99">VARP(IF(INDEX(properties!A$1:CB$87,'Fórmula'!B99,30)&lt;&gt;"",INDEX(properties!A$1:CB$87,'Fórmula'!B99,30)),IF(INDEX(properties!A$1:CB$87,'Fórmula'!D99,30)&lt;&gt;"",INDEX(properties!A$1:CB$87,'Fórmula'!D99,30)),IF(INDEX(properties!A$1:CB$87,'Fórmula'!F99,30)&lt;&gt;"",INDEX(properties!A$1:CB$87,'Fórmula'!F99,30)),IF(INDEX(properties!A$1:CB$87,'Fórmula'!H99,30)&lt;&gt;"",INDEX(properties!A$1:CB$87,'Fórmula'!H99,30)),IF(INDEX(properties!A$1:CB$87,'Fórmula'!J99,30)&lt;&gt;"",INDEX(properties!A$1:CB$87,'Fórmula'!J99,30)))</f>
        <v>1.597496</v>
      </c>
      <c r="CQ99" s="117">
        <f t="array" ref="CQ99">MAX(INDEX(properties!A$1:CB$87,'Fórmula'!B99,30),INDEX(properties!A$1:CB$87,'Fórmula'!D99,30),INDEX(properties!A$1:CB$87,'Fórmula'!F99,30),INDEX(properties!A$1:CB$87,'Fórmula'!H99,30),INDEX(properties!A$1:CB$87,'Fórmula'!J99,30))</f>
        <v>3.44</v>
      </c>
      <c r="CR99" s="117">
        <f t="array" ref="CR99">MIN(IF(INDEX(properties!A$1:CB$87,'Fórmula'!B99,30)=0,10^6,INDEX(properties!A$1:CB$87,'Fórmula'!B99,30)),IF(INDEX(properties!A$1:CB$87,'Fórmula'!D99,30)=0,10^6,INDEX(properties!A$1:CB$87,'Fórmula'!D99,30)),IF(INDEX(properties!A$1:CB$87,'Fórmula'!F99,30)=0,10^6,INDEX(properties!A$1:CB$87,'Fórmula'!F99,30)),IF(INDEX(properties!A$1:CB$87,'Fórmula'!H99,30)=0,10^6,INDEX(properties!A$1:CB$87,'Fórmula'!H99,30)),IF(INDEX(properties!A$1:CB$87,'Fórmula'!J99,30)=0,10^6,INDEX(properties!A$1:CB$87,'Fórmula'!J99,30)))</f>
        <v>0.89</v>
      </c>
      <c r="CS99" s="117">
        <f t="shared" si="16"/>
        <v>2.55</v>
      </c>
      <c r="CT99" s="118">
        <f t="array" ref="CT99">(('Fórmula'!C99)/('Fórmula'!C99+'Fórmula'!E99+'Fórmula'!G99+'Fórmula'!I99+'Fórmula'!K99))*(INDEX(properties!A$1:CB$87,'Fórmula'!B99,31))+(('Fórmula'!E99)/('Fórmula'!C99+'Fórmula'!E99+'Fórmula'!G99+'Fórmula'!I99+'Fórmula'!K99))*(INDEX(properties!A$1:CB$87,'Fórmula'!D99,31))+(('Fórmula'!G99)/('Fórmula'!C99+'Fórmula'!E99+'Fórmula'!G99+'Fórmula'!I99+'Fórmula'!K99))*(INDEX(properties!A$1:CB$87,'Fórmula'!F99,31))+(('Fórmula'!I99)/('Fórmula'!C99+'Fórmula'!E99+'Fórmula'!G99+'Fórmula'!I99+'Fórmula'!K99))*(INDEX(properties!A$1:CB$87,'Fórmula'!H99,31))+(('Fórmula'!K99)/('Fórmula'!C99+'Fórmula'!E99+'Fórmula'!G99+'Fórmula'!I99+'Fórmula'!K99))*(INDEX(properties!A$1:CB$87,'Fórmula'!J99,31))</f>
        <v>2.548</v>
      </c>
      <c r="CU99" s="118">
        <f t="array" ref="CU99">'Fórmula'!C99*(INDEX(properties!A$1:CB$87,'Fórmula'!B99,31))+'Fórmula'!E99*(INDEX(properties!A$1:CB$87,'Fórmula'!D99,31))+'Fórmula'!G99*(INDEX(properties!A$1:CB$87,'Fórmula'!F99,31))+'Fórmula'!I99*(INDEX(properties!A$1:CB$87,'Fórmula'!H99,31))+'Fórmula'!K99*(INDEX(properties!A$1:CB$87,'Fórmula'!J99,31))</f>
        <v>12.74</v>
      </c>
      <c r="CV99" s="118">
        <f t="array" ref="CV99">VARP(IF(INDEX(properties!A$1:CB$87,'Fórmula'!B99,31)&lt;&gt;"",INDEX(properties!A$1:CB$87,'Fórmula'!B99,31)),IF(INDEX(properties!A$1:CB$87,'Fórmula'!D99,31)&lt;&gt;"",INDEX(properties!A$1:CB$87,'Fórmula'!D99,31)),IF(INDEX(properties!A$1:CB$87,'Fórmula'!F99,31)&lt;&gt;"",INDEX(properties!A$1:CB$87,'Fórmula'!F99,31)),IF(INDEX(properties!A$1:CB$87,'Fórmula'!H99,31)&lt;&gt;"",INDEX(properties!A$1:CB$87,'Fórmula'!H99,31)),IF(INDEX(properties!A$1:CB$87,'Fórmula'!J99,31)&lt;&gt;"",INDEX(properties!A$1:CB$87,'Fórmula'!J99,31)))</f>
        <v>1.52736</v>
      </c>
      <c r="CW99" s="118">
        <f t="array" ref="CW99">MAX(INDEX(properties!A$1:CB$87,'Fórmula'!B99,31),INDEX(properties!A$1:CB$87,'Fórmula'!D99,31),INDEX(properties!A$1:CB$87,'Fórmula'!F99,31),INDEX(properties!A$1:CB$87,'Fórmula'!H99,31),INDEX(properties!A$1:CB$87,'Fórmula'!J99,31))</f>
        <v>3.32</v>
      </c>
      <c r="CX99" s="118">
        <f t="array" ref="CX99">MIN(IF(INDEX(properties!A$1:CB$87,'Fórmula'!B99,31)=0,10^6,INDEX(properties!A$1:CB$87,'Fórmula'!B99,31)),IF(INDEX(properties!A$1:CB$87,'Fórmula'!D99,31)=0,10^6,INDEX(properties!A$1:CB$87,'Fórmula'!D99,31)),IF(INDEX(properties!A$1:CB$87,'Fórmula'!F99,31)=0,10^6,INDEX(properties!A$1:CB$87,'Fórmula'!F99,31)),IF(INDEX(properties!A$1:CB$87,'Fórmula'!H99,31)=0,10^6,INDEX(properties!A$1:CB$87,'Fórmula'!H99,31)),IF(INDEX(properties!A$1:CB$87,'Fórmula'!J99,31)=0,10^6,INDEX(properties!A$1:CB$87,'Fórmula'!J99,31)))</f>
        <v>1.08</v>
      </c>
      <c r="CY99" s="118">
        <f t="shared" si="17"/>
        <v>2.24</v>
      </c>
      <c r="CZ99" s="119">
        <f t="array" ref="CZ99">(('Fórmula'!C99)/('Fórmula'!C99+'Fórmula'!E99+'Fórmula'!G99+'Fórmula'!I99+'Fórmula'!K99))*(INDEX(properties!A$1:CB$87,'Fórmula'!B99,32))+(('Fórmula'!E99)/('Fórmula'!C99+'Fórmula'!E99+'Fórmula'!G99+'Fórmula'!I99+'Fórmula'!K99))*(INDEX(properties!A$1:CB$87,'Fórmula'!D99,32))+(('Fórmula'!G99)/('Fórmula'!C99+'Fórmula'!E99+'Fórmula'!G99+'Fórmula'!I99+'Fórmula'!K99))*(INDEX(properties!A$1:CB$87,'Fórmula'!F99,32))+(('Fórmula'!I99)/('Fórmula'!C99+'Fórmula'!E99+'Fórmula'!G99+'Fórmula'!I99+'Fórmula'!K99))*(INDEX(properties!A$1:CB$87,'Fórmula'!H99,32))+(('Fórmula'!K99)/('Fórmula'!C99+'Fórmula'!E99+'Fórmula'!G99+'Fórmula'!I99+'Fórmula'!K99))*(INDEX(properties!A$1:CB$87,'Fórmula'!J99,32))</f>
        <v>5.732</v>
      </c>
      <c r="DA99" s="119">
        <f t="array" ref="DA99">'Fórmula'!C99*(INDEX(properties!A$1:CB$87,'Fórmula'!B99,32))+'Fórmula'!E99*(INDEX(properties!A$1:CB$87,'Fórmula'!D99,32))+'Fórmula'!G99*(INDEX(properties!A$1:CB$87,'Fórmula'!F99,32))+'Fórmula'!I99*(INDEX(properties!A$1:CB$87,'Fórmula'!H99,32))+'Fórmula'!K99*(INDEX(properties!A$1:CB$87,'Fórmula'!J99,32))</f>
        <v>28.66</v>
      </c>
      <c r="DB99" s="119">
        <f t="array" ref="DB99">VARP(IF(INDEX(properties!A$1:CB$87,'Fórmula'!B99,32)&lt;&gt;"",INDEX(properties!A$1:CB$87,'Fórmula'!B99,32)),IF(INDEX(properties!A$1:CB$87,'Fórmula'!D99,32)&lt;&gt;"",INDEX(properties!A$1:CB$87,'Fórmula'!D99,32)),IF(INDEX(properties!A$1:CB$87,'Fórmula'!F99,32)&lt;&gt;"",INDEX(properties!A$1:CB$87,'Fórmula'!F99,32)),IF(INDEX(properties!A$1:CB$87,'Fórmula'!H99,32)&lt;&gt;"",INDEX(properties!A$1:CB$87,'Fórmula'!H99,32)),IF(INDEX(properties!A$1:CB$87,'Fórmula'!J99,32)&lt;&gt;"",INDEX(properties!A$1:CB$87,'Fórmula'!J99,32)))</f>
        <v>7.795584</v>
      </c>
      <c r="DC99" s="119">
        <f t="array" ref="DC99">MAX(INDEX(properties!A$1:CB$87,'Fórmula'!B99,32),INDEX(properties!A$1:CB$87,'Fórmula'!D99,32),INDEX(properties!A$1:CB$87,'Fórmula'!F99,32),INDEX(properties!A$1:CB$87,'Fórmula'!H99,32),INDEX(properties!A$1:CB$87,'Fórmula'!J99,32))</f>
        <v>7.54</v>
      </c>
      <c r="DD99" s="119">
        <f t="array" ref="DD99">MIN(IF(INDEX(properties!A$1:CB$87,'Fórmula'!B99,32)=0,10^6,INDEX(properties!A$1:CB$87,'Fórmula'!B99,32)),IF(INDEX(properties!A$1:CB$87,'Fórmula'!D99,32)=0,10^6,INDEX(properties!A$1:CB$87,'Fórmula'!D99,32)),IF(INDEX(properties!A$1:CB$87,'Fórmula'!F99,32)=0,10^6,INDEX(properties!A$1:CB$87,'Fórmula'!F99,32)),IF(INDEX(properties!A$1:CB$87,'Fórmula'!H99,32)=0,10^6,INDEX(properties!A$1:CB$87,'Fórmula'!H99,32)),IF(INDEX(properties!A$1:CB$87,'Fórmula'!J99,32)=0,10^6,INDEX(properties!A$1:CB$87,'Fórmula'!J99,32)))</f>
        <v>2.4</v>
      </c>
      <c r="DE99" s="119">
        <f t="shared" si="18"/>
        <v>5.14</v>
      </c>
      <c r="DF99" s="104">
        <f t="array" ref="DF99">(('Fórmula'!C99)/('Fórmula'!C99+'Fórmula'!E99+'Fórmula'!G99+'Fórmula'!I99+'Fórmula'!K99))*(INDEX(properties!A$1:CB$87,'Fórmula'!B99,34))+(('Fórmula'!E99)/('Fórmula'!C99+'Fórmula'!E99+'Fórmula'!G99+'Fórmula'!I99+'Fórmula'!K99))*(INDEX(properties!A$1:CB$87,'Fórmula'!D99,34))+(('Fórmula'!G99)/('Fórmula'!C99+'Fórmula'!E99+'Fórmula'!G99+'Fórmula'!I99+'Fórmula'!K99))*(INDEX(properties!A$1:CB$87,'Fórmula'!F99,34))+(('Fórmula'!I99)/('Fórmula'!C99+'Fórmula'!E99+'Fórmula'!G99+'Fórmula'!I99+'Fórmula'!K99))*(INDEX(properties!A$1:CB$87,'Fórmula'!H99,34))+(('Fórmula'!K99)/('Fórmula'!C99+'Fórmula'!E99+'Fórmula'!G99+'Fórmula'!I99+'Fórmula'!K99))*(INDEX(properties!A$1:CB$87,'Fórmula'!J99,34))</f>
        <v>2.6062</v>
      </c>
      <c r="DG99" s="104">
        <f t="array" ref="DG99">'Fórmula'!C99*(INDEX(properties!A$1:CB$87,'Fórmula'!B99,34))+'Fórmula'!E99*(INDEX(properties!A$1:CB$87,'Fórmula'!D99,34))+'Fórmula'!G99*(INDEX(properties!A$1:CB$87,'Fórmula'!F99,34))+'Fórmula'!I99*(INDEX(properties!A$1:CB$87,'Fórmula'!H99,34))+'Fórmula'!K99*(INDEX(properties!A$1:CB$87,'Fórmula'!J99,34))</f>
        <v>13.031</v>
      </c>
      <c r="DH99" s="104">
        <f t="array" ref="DH99">VARP(IF(INDEX(properties!A$1:CB$87,'Fórmula'!B99,34)&lt;&gt;"",INDEX(properties!A$1:CB$87,'Fórmula'!B99,34)),IF(INDEX(properties!A$1:CB$87,'Fórmula'!D99,34)&lt;&gt;"",INDEX(properties!A$1:CB$87,'Fórmula'!D99,34)),IF(INDEX(properties!A$1:CB$87,'Fórmula'!F99,34)&lt;&gt;"",INDEX(properties!A$1:CB$87,'Fórmula'!F99,34)),IF(INDEX(properties!A$1:CB$87,'Fórmula'!H99,34)&lt;&gt;"",INDEX(properties!A$1:CB$87,'Fórmula'!H99,34)),IF(INDEX(properties!A$1:CB$87,'Fórmula'!J99,34)&lt;&gt;"",INDEX(properties!A$1:CB$87,'Fórmula'!J99,34)))</f>
        <v>1.75942336</v>
      </c>
      <c r="DI99" s="104">
        <f t="array" ref="DI99">MAX(INDEX(properties!A$1:CB$87,'Fórmula'!B99,34),INDEX(properties!A$1:CB$87,'Fórmula'!D99,34),INDEX(properties!A$1:CB$87,'Fórmula'!F99,34),INDEX(properties!A$1:CB$87,'Fórmula'!H99,34),INDEX(properties!A$1:CB$87,'Fórmula'!J99,34))</f>
        <v>3.61</v>
      </c>
      <c r="DJ99" s="104">
        <f t="array" ref="DJ99">MIN(IF(INDEX(properties!A$1:CB$87,'Fórmula'!B99,34)=0,10^6,INDEX(properties!A$1:CB$87,'Fórmula'!B99,34)),IF(INDEX(properties!A$1:CB$87,'Fórmula'!D99,34)=0,10^6,INDEX(properties!A$1:CB$87,'Fórmula'!D99,34)),IF(INDEX(properties!A$1:CB$87,'Fórmula'!F99,34)=0,10^6,INDEX(properties!A$1:CB$87,'Fórmula'!F99,34)),IF(INDEX(properties!A$1:CB$87,'Fórmula'!H99,34)=0,10^6,INDEX(properties!A$1:CB$87,'Fórmula'!H99,34)),IF(INDEX(properties!A$1:CB$87,'Fórmula'!J99,34)=0,10^6,INDEX(properties!A$1:CB$87,'Fórmula'!J99,34)))</f>
        <v>0.881</v>
      </c>
      <c r="DK99" s="104">
        <f t="shared" si="19"/>
        <v>2.729</v>
      </c>
      <c r="DL99" s="105">
        <f t="array" ref="DL99">(('Fórmula'!C99)/('Fórmula'!C99+'Fórmula'!E99+'Fórmula'!G99+'Fórmula'!I99+'Fórmula'!K99))*(INDEX(properties!A$1:CB$87,'Fórmula'!B99,37))+(('Fórmula'!E99)/('Fórmula'!C99+'Fórmula'!E99+'Fórmula'!G99+'Fórmula'!I99+'Fórmula'!K99))*(INDEX(properties!A$1:CB$87,'Fórmula'!D99,37))+(('Fórmula'!G99)/('Fórmula'!C99+'Fórmula'!E99+'Fórmula'!G99+'Fórmula'!I99+'Fórmula'!K99))*(INDEX(properties!A$1:CB$87,'Fórmula'!F99,37))+(('Fórmula'!I99)/('Fórmula'!C99+'Fórmula'!E99+'Fórmula'!G99+'Fórmula'!I99+'Fórmula'!K99))*(INDEX(properties!A$1:CB$87,'Fórmula'!H99,37))+(('Fórmula'!K99)/('Fórmula'!C99+'Fórmula'!E99+'Fórmula'!G99+'Fórmula'!I99+'Fórmula'!K99))*(INDEX(properties!A$1:CB$87,'Fórmula'!J99,37))</f>
        <v>2.57</v>
      </c>
      <c r="DM99" s="105">
        <f t="array" ref="DM99">'Fórmula'!C99*(INDEX(properties!A$1:CB$87,'Fórmula'!B99,37))+'Fórmula'!E99*(INDEX(properties!A$1:CB$87,'Fórmula'!D99,37))+'Fórmula'!G99*(INDEX(properties!A$1:CB$87,'Fórmula'!F99,37))+'Fórmula'!I99*(INDEX(properties!A$1:CB$87,'Fórmula'!H99,37))+'Fórmula'!K99*(INDEX(properties!A$1:CB$87,'Fórmula'!J99,37))</f>
        <v>12.85</v>
      </c>
      <c r="DN99" s="105">
        <f t="array" ref="DN99">VARP(IF(INDEX(properties!A$1:CB$87,'Fórmula'!B99,37)&lt;&gt;"",INDEX(properties!A$1:CB$87,'Fórmula'!B99,37)),IF(INDEX(properties!A$1:CB$87,'Fórmula'!D99,37)&lt;&gt;"",INDEX(properties!A$1:CB$87,'Fórmula'!D99,37)),IF(INDEX(properties!A$1:CB$87,'Fórmula'!F99,37)&lt;&gt;"",INDEX(properties!A$1:CB$87,'Fórmula'!F99,37)),IF(INDEX(properties!A$1:CB$87,'Fórmula'!H99,37)&lt;&gt;"",INDEX(properties!A$1:CB$87,'Fórmula'!H99,37)),IF(INDEX(properties!A$1:CB$87,'Fórmula'!J99,37)&lt;&gt;"",INDEX(properties!A$1:CB$87,'Fórmula'!J99,37)))</f>
        <v>1.6384</v>
      </c>
      <c r="DO99" s="105">
        <f t="array" ref="DO99">MAX(INDEX(properties!A$1:CB$87,'Fórmula'!B99,37),INDEX(properties!A$1:CB$87,'Fórmula'!D99,37),INDEX(properties!A$1:CB$87,'Fórmula'!F99,37),INDEX(properties!A$1:CB$87,'Fórmula'!H99,37),INDEX(properties!A$1:CB$87,'Fórmula'!J99,37))</f>
        <v>3.45</v>
      </c>
      <c r="DP99" s="105">
        <f t="array" ref="DP99">MIN(IF(INDEX(properties!A$1:CB$87,'Fórmula'!B99,37)=0,10^6,INDEX(properties!A$1:CB$87,'Fórmula'!B99,37)),IF(INDEX(properties!A$1:CB$87,'Fórmula'!D99,37)=0,10^6,INDEX(properties!A$1:CB$87,'Fórmula'!D99,37)),IF(INDEX(properties!A$1:CB$87,'Fórmula'!F99,37)=0,10^6,INDEX(properties!A$1:CB$87,'Fórmula'!F99,37)),IF(INDEX(properties!A$1:CB$87,'Fórmula'!H99,37)=0,10^6,INDEX(properties!A$1:CB$87,'Fórmula'!H99,37)),IF(INDEX(properties!A$1:CB$87,'Fórmula'!J99,37)=0,10^6,INDEX(properties!A$1:CB$87,'Fórmula'!J99,37)))</f>
        <v>0.9</v>
      </c>
      <c r="DQ99" s="105">
        <f t="shared" si="20"/>
        <v>2.55</v>
      </c>
      <c r="DR99" s="109">
        <f t="array" ref="DR99">(('Fórmula'!C99)/('Fórmula'!C99+'Fórmula'!E99+'Fórmula'!G99+'Fórmula'!I99+'Fórmula'!K99))*(INDEX(properties!A$1:CB$87,'Fórmula'!B99,39))+(('Fórmula'!E99)/('Fórmula'!C99+'Fórmula'!E99+'Fórmula'!G99+'Fórmula'!I99+'Fórmula'!K99))*(INDEX(properties!A$1:CB$87,'Fórmula'!D99,39))+(('Fórmula'!G99)/('Fórmula'!C99+'Fórmula'!E99+'Fórmula'!G99+'Fórmula'!I99+'Fórmula'!K99))*(INDEX(properties!A$1:CB$87,'Fórmula'!F99,39))+(('Fórmula'!I99)/('Fórmula'!C99+'Fórmula'!E99+'Fórmula'!G99+'Fórmula'!I99+'Fórmula'!K99))*(INDEX(properties!A$1:CB$87,'Fórmula'!H99,39))+(('Fórmula'!K99)/('Fórmula'!C99+'Fórmula'!E99+'Fórmula'!G99+'Fórmula'!I99+'Fórmula'!K99))*(INDEX(properties!A$1:CB$87,'Fórmula'!J99,39))</f>
        <v>1.206</v>
      </c>
      <c r="DS99" s="109">
        <f t="array" ref="DS99">'Fórmula'!C99*(INDEX(properties!A$1:CB$87,'Fórmula'!B99,39))+'Fórmula'!E99*(INDEX(properties!A$1:CB$87,'Fórmula'!D99,39))+'Fórmula'!G99*(INDEX(properties!A$1:CB$87,'Fórmula'!F99,39))+'Fórmula'!I99*(INDEX(properties!A$1:CB$87,'Fórmula'!H99,39))+'Fórmula'!K99*(INDEX(properties!A$1:CB$87,'Fórmula'!J99,39))</f>
        <v>6.03</v>
      </c>
      <c r="DT99" s="109">
        <f t="array" ref="DT99">VARP(IF(INDEX(properties!A$1:CB$87,'Fórmula'!B99,39)&lt;&gt;"",INDEX(properties!A$1:CB$87,'Fórmula'!B99,39)),IF(INDEX(properties!A$1:CB$87,'Fórmula'!D99,39)&lt;&gt;"",INDEX(properties!A$1:CB$87,'Fórmula'!D99,39)),IF(INDEX(properties!A$1:CB$87,'Fórmula'!F99,39)&lt;&gt;"",INDEX(properties!A$1:CB$87,'Fórmula'!F99,39)),IF(INDEX(properties!A$1:CB$87,'Fórmula'!H99,39)&lt;&gt;"",INDEX(properties!A$1:CB$87,'Fórmula'!H99,39)),IF(INDEX(properties!A$1:CB$87,'Fórmula'!J99,39)&lt;&gt;"",INDEX(properties!A$1:CB$87,'Fórmula'!J99,39)))</f>
        <v>1.146784</v>
      </c>
      <c r="DU99" s="120">
        <f t="array" ref="DU99">MAX(INDEX(properties!A$1:CB$87,'Fórmula'!B99,39),INDEX(properties!A$1:CB$87,'Fórmula'!D99,39),INDEX(properties!A$1:CB$87,'Fórmula'!F99,39),INDEX(properties!A$1:CB$87,'Fórmula'!H99,39),INDEX(properties!A$1:CB$87,'Fórmula'!J99,39))</f>
        <v>2.53</v>
      </c>
      <c r="DV99" s="120">
        <f t="array" ref="DV99">MIN(IF(INDEX(properties!A$1:CB$87,'Fórmula'!B99,39)=0,10^6,INDEX(properties!A$1:CB$87,'Fórmula'!B99,39)),IF(INDEX(properties!A$1:CB$87,'Fórmula'!D99,39)=0,10^6,INDEX(properties!A$1:CB$87,'Fórmula'!D99,39)),IF(INDEX(properties!A$1:CB$87,'Fórmula'!F99,39)=0,10^6,INDEX(properties!A$1:CB$87,'Fórmula'!F99,39)),IF(INDEX(properties!A$1:CB$87,'Fórmula'!H99,39)=0,10^6,INDEX(properties!A$1:CB$87,'Fórmula'!H99,39)),IF(INDEX(properties!A$1:CB$87,'Fórmula'!J99,39)=0,10^6,INDEX(properties!A$1:CB$87,'Fórmula'!J99,39)))</f>
        <v>0.48</v>
      </c>
      <c r="DW99" s="109">
        <f t="shared" si="21"/>
        <v>2.05</v>
      </c>
      <c r="DX99" s="110">
        <f t="array" ref="DX99">(('Fórmula'!C99)/('Fórmula'!C99+'Fórmula'!E99+'Fórmula'!G99+'Fórmula'!I99+'Fórmula'!K99))*(INDEX(properties!A$1:CB$87,'Fórmula'!B99,40))+(('Fórmula'!E99)/('Fórmula'!C99+'Fórmula'!E99+'Fórmula'!G99+'Fórmula'!I99+'Fórmula'!K99))*(INDEX(properties!A$1:CB$87,'Fórmula'!D99,40))+(('Fórmula'!G99)/('Fórmula'!C99+'Fórmula'!E99+'Fórmula'!G99+'Fórmula'!I99+'Fórmula'!K99))*(INDEX(properties!A$1:CB$87,'Fórmula'!F99,40))+(('Fórmula'!I99)/('Fórmula'!C99+'Fórmula'!E99+'Fórmula'!G99+'Fórmula'!I99+'Fórmula'!K99))*(INDEX(properties!A$1:CB$87,'Fórmula'!H99,40))+(('Fórmula'!K99)/('Fórmula'!C99+'Fórmula'!E99+'Fórmula'!G99+'Fórmula'!I99+'Fórmula'!K99))*(INDEX(properties!A$1:CB$87,'Fórmula'!J99,40))</f>
        <v>1.13</v>
      </c>
      <c r="DY99" s="110">
        <f t="array" ref="DY99">'Fórmula'!C99*(INDEX(properties!A$1:CB$87,'Fórmula'!B99,40))+'Fórmula'!E99*(INDEX(properties!A$1:CB$87,'Fórmula'!D99,40))+'Fórmula'!G99*(INDEX(properties!A$1:CB$87,'Fórmula'!F99,40))+'Fórmula'!I99*(INDEX(properties!A$1:CB$87,'Fórmula'!H99,40))+'Fórmula'!K99*(INDEX(properties!A$1:CB$87,'Fórmula'!J99,40))</f>
        <v>5.65</v>
      </c>
      <c r="DZ99" s="110">
        <f t="array" ref="DZ99">VARP(IF(INDEX(properties!A$1:CB$87,'Fórmula'!B99,40)&lt;&gt;"",INDEX(properties!A$1:CB$87,'Fórmula'!B99,40)),IF(INDEX(properties!A$1:CB$87,'Fórmula'!D99,40)&lt;&gt;"",INDEX(properties!A$1:CB$87,'Fórmula'!D99,40)),IF(INDEX(properties!A$1:CB$87,'Fórmula'!F99,40)&lt;&gt;"",INDEX(properties!A$1:CB$87,'Fórmula'!F99,40)),IF(INDEX(properties!A$1:CB$87,'Fórmula'!H99,40)&lt;&gt;"",INDEX(properties!A$1:CB$87,'Fórmula'!H99,40)),IF(INDEX(properties!A$1:CB$87,'Fórmula'!J99,40)&lt;&gt;"",INDEX(properties!A$1:CB$87,'Fórmula'!J99,40)))</f>
        <v>0.626496</v>
      </c>
      <c r="EA99" s="121">
        <f t="array" ref="EA99">MAX(INDEX(properties!A$1:CB$87,'Fórmula'!B99,40),INDEX(properties!A$1:CB$87,'Fórmula'!D99,40),INDEX(properties!A$1:CB$87,'Fórmula'!F99,40),INDEX(properties!A$1:CB$87,'Fórmula'!H99,40),INDEX(properties!A$1:CB$87,'Fórmula'!J99,40))</f>
        <v>1.98</v>
      </c>
      <c r="EB99" s="121">
        <f t="array" ref="EB99">MIN(IF(INDEX(properties!A$1:CB$87,'Fórmula'!B99,40)=0,10^6,INDEX(properties!A$1:CB$87,'Fórmula'!B99,40)),IF(INDEX(properties!A$1:CB$87,'Fórmula'!D99,40)=0,10^6,INDEX(properties!A$1:CB$87,'Fórmula'!D99,40)),IF(INDEX(properties!A$1:CB$87,'Fórmula'!F99,40)=0,10^6,INDEX(properties!A$1:CB$87,'Fórmula'!F99,40)),IF(INDEX(properties!A$1:CB$87,'Fórmula'!H99,40)=0,10^6,INDEX(properties!A$1:CB$87,'Fórmula'!H99,40)),IF(INDEX(properties!A$1:CB$87,'Fórmula'!J99,40)=0,10^6,INDEX(properties!A$1:CB$87,'Fórmula'!J99,40)))</f>
        <v>0.73</v>
      </c>
      <c r="EC99" s="110">
        <f t="shared" si="22"/>
        <v>1.25</v>
      </c>
      <c r="ED99" s="111">
        <f t="array" ref="ED99">(('Fórmula'!C99)/('Fórmula'!C99+'Fórmula'!E99+'Fórmula'!G99+'Fórmula'!I99+'Fórmula'!K99))*(INDEX(properties!A$1:CB$87,'Fórmula'!B99,41))+(('Fórmula'!E99)/('Fórmula'!C99+'Fórmula'!E99+'Fórmula'!G99+'Fórmula'!I99+'Fórmula'!K99))*(INDEX(properties!A$1:CB$87,'Fórmula'!D99,41))+(('Fórmula'!G99)/('Fórmula'!C99+'Fórmula'!E99+'Fórmula'!G99+'Fórmula'!I99+'Fórmula'!K99))*(INDEX(properties!A$1:CB$87,'Fórmula'!F99,41))+(('Fórmula'!I99)/('Fórmula'!C99+'Fórmula'!E99+'Fórmula'!G99+'Fórmula'!I99+'Fórmula'!K99))*(INDEX(properties!A$1:CB$87,'Fórmula'!H99,41))+(('Fórmula'!K99)/('Fórmula'!C99+'Fórmula'!E99+'Fórmula'!G99+'Fórmula'!I99+'Fórmula'!K99))*(INDEX(properties!A$1:CB$87,'Fórmula'!J99,41))</f>
        <v>1.226</v>
      </c>
      <c r="EE99" s="111">
        <f t="array" ref="EE99">'Fórmula'!C99*(INDEX(properties!A$1:CB$87,'Fórmula'!B99,41))+'Fórmula'!E99*(INDEX(properties!A$1:CB$87,'Fórmula'!D99,41))+'Fórmula'!G99*(INDEX(properties!A$1:CB$87,'Fórmula'!F99,41))+'Fórmula'!I99*(INDEX(properties!A$1:CB$87,'Fórmula'!H99,41))+'Fórmula'!K99*(INDEX(properties!A$1:CB$87,'Fórmula'!J99,41))</f>
        <v>6.13</v>
      </c>
      <c r="EF99" s="111">
        <f t="array" ref="EF99">VARP(IF(INDEX(properties!A$1:CB$87,'Fórmula'!B99,41)&lt;&gt;"",INDEX(properties!A$1:CB$87,'Fórmula'!B99,41)),IF(INDEX(properties!A$1:CB$87,'Fórmula'!D99,41)&lt;&gt;"",INDEX(properties!A$1:CB$87,'Fórmula'!D99,41)),IF(INDEX(properties!A$1:CB$87,'Fórmula'!F99,41)&lt;&gt;"",INDEX(properties!A$1:CB$87,'Fórmula'!F99,41)),IF(INDEX(properties!A$1:CB$87,'Fórmula'!H99,41)&lt;&gt;"",INDEX(properties!A$1:CB$87,'Fórmula'!H99,41)),IF(INDEX(properties!A$1:CB$87,'Fórmula'!J99,41)&lt;&gt;"",INDEX(properties!A$1:CB$87,'Fórmula'!J99,41)))</f>
        <v>0.388176</v>
      </c>
      <c r="EG99" s="122">
        <f t="array" ref="EG99">MAX(INDEX(properties!A$1:CB$87,'Fórmula'!B99,41),INDEX(properties!A$1:CB$87,'Fórmula'!D99,41),INDEX(properties!A$1:CB$87,'Fórmula'!F99,41),INDEX(properties!A$1:CB$87,'Fórmula'!H99,41),INDEX(properties!A$1:CB$87,'Fórmula'!J99,41))</f>
        <v>1.49</v>
      </c>
      <c r="EH99" s="122">
        <f t="array" ref="EH99">MIN(IF(INDEX(properties!A$1:CB$87,'Fórmula'!B99,41)=0,10^6,INDEX(properties!A$1:CB$87,'Fórmula'!B99,41)),IF(INDEX(properties!A$1:CB$87,'Fórmula'!D99,41)=0,10^6,INDEX(properties!A$1:CB$87,'Fórmula'!D99,41)),IF(INDEX(properties!A$1:CB$87,'Fórmula'!F99,41)=0,10^6,INDEX(properties!A$1:CB$87,'Fórmula'!F99,41)),IF(INDEX(properties!A$1:CB$87,'Fórmula'!H99,41)=0,10^6,INDEX(properties!A$1:CB$87,'Fórmula'!H99,41)),IF(INDEX(properties!A$1:CB$87,'Fórmula'!J99,41)=0,10^6,INDEX(properties!A$1:CB$87,'Fórmula'!J99,41)))</f>
        <v>0.86</v>
      </c>
      <c r="EI99" s="111">
        <f t="shared" si="23"/>
        <v>0.63</v>
      </c>
      <c r="EJ99" s="112">
        <f t="array" ref="EJ99">(('Fórmula'!C99)/('Fórmula'!C99+'Fórmula'!E99+'Fórmula'!G99+'Fórmula'!I99+'Fórmula'!K99))*(INDEX(properties!A$1:CB$87,'Fórmula'!B99,45))+(('Fórmula'!E99)/('Fórmula'!C99+'Fórmula'!E99+'Fórmula'!G99+'Fórmula'!I99+'Fórmula'!K99))*(INDEX(properties!A$1:CB$87,'Fórmula'!D99,45))+(('Fórmula'!G99)/('Fórmula'!C99+'Fórmula'!E99+'Fórmula'!G99+'Fórmula'!I99+'Fórmula'!K99))*(INDEX(properties!A$1:CB$87,'Fórmula'!F99,45))+(('Fórmula'!I99)/('Fórmula'!C99+'Fórmula'!E99+'Fórmula'!G99+'Fórmula'!I99+'Fórmula'!K99))*(INDEX(properties!A$1:CB$87,'Fórmula'!H99,45))+(('Fórmula'!K99)/('Fórmula'!C99+'Fórmula'!E99+'Fórmula'!G99+'Fórmula'!I99+'Fórmula'!K99))*(INDEX(properties!A$1:CB$87,'Fórmula'!J99,45))</f>
        <v>1.528</v>
      </c>
      <c r="EK99" s="112">
        <f t="array" ref="EK99">'Fórmula'!C99*(INDEX(properties!A$1:CB$87,'Fórmula'!B99,45))+'Fórmula'!E99*(INDEX(properties!A$1:CB$87,'Fórmula'!D99,45))+'Fórmula'!G99*(INDEX(properties!A$1:CB$87,'Fórmula'!F99,45))+'Fórmula'!I99*(INDEX(properties!A$1:CB$87,'Fórmula'!H99,45))+'Fórmula'!K99*(INDEX(properties!A$1:CB$87,'Fórmula'!J99,45))</f>
        <v>7.64</v>
      </c>
      <c r="EL99" s="112">
        <f t="array" ref="EL99">VARP(IF(INDEX(properties!A$1:CB$87,'Fórmula'!B99,45)&lt;&gt;"",INDEX(properties!A$1:CB$87,'Fórmula'!B99,45)),IF(INDEX(properties!A$1:CB$87,'Fórmula'!D99,45)&lt;&gt;"",INDEX(properties!A$1:CB$87,'Fórmula'!D99,45)),IF(INDEX(properties!A$1:CB$87,'Fórmula'!F99,45)&lt;&gt;"",INDEX(properties!A$1:CB$87,'Fórmula'!F99,45)),IF(INDEX(properties!A$1:CB$87,'Fórmula'!H99,45)&lt;&gt;"",INDEX(properties!A$1:CB$87,'Fórmula'!H99,45)),IF(INDEX(properties!A$1:CB$87,'Fórmula'!J99,45)&lt;&gt;"",INDEX(properties!A$1:CB$87,'Fórmula'!J99,45)))</f>
        <v>2.16236</v>
      </c>
      <c r="EM99" s="123">
        <f t="array" ref="EM99">MAX(INDEX(properties!A$1:CB$87,'Fórmula'!B99,45),INDEX(properties!A$1:CB$87,'Fórmula'!D99,45),INDEX(properties!A$1:CB$87,'Fórmula'!F99,45),INDEX(properties!A$1:CB$87,'Fórmula'!H99,45),INDEX(properties!A$1:CB$87,'Fórmula'!J99,45))</f>
        <v>3.4</v>
      </c>
      <c r="EN99" s="123">
        <f t="array" ref="EN99">MIN(IF(INDEX(properties!A$1:CB$87,'Fórmula'!B99,45)=0,10^6,INDEX(properties!A$1:CB$87,'Fórmula'!B99,45)),IF(INDEX(properties!A$1:CB$87,'Fórmula'!D99,45)=0,10^6,INDEX(properties!A$1:CB$87,'Fórmula'!D99,45)),IF(INDEX(properties!A$1:CB$87,'Fórmula'!F99,45)=0,10^6,INDEX(properties!A$1:CB$87,'Fórmula'!F99,45)),IF(INDEX(properties!A$1:CB$87,'Fórmula'!H99,45)=0,10^6,INDEX(properties!A$1:CB$87,'Fórmula'!H99,45)),IF(INDEX(properties!A$1:CB$87,'Fórmula'!J99,45)=0,10^6,INDEX(properties!A$1:CB$87,'Fórmula'!J99,45)))</f>
        <v>0.47</v>
      </c>
      <c r="EO99" s="112">
        <f t="shared" si="24"/>
        <v>2.93</v>
      </c>
      <c r="EP99" s="113">
        <f t="array" ref="EP99">(('Fórmula'!C99)/('Fórmula'!C99+'Fórmula'!E99+'Fórmula'!G99+'Fórmula'!I99+'Fórmula'!K99))*(INDEX(properties!A$1:CB$87,'Fórmula'!B99,46))+(('Fórmula'!E99)/('Fórmula'!C99+'Fórmula'!E99+'Fórmula'!G99+'Fórmula'!I99+'Fórmula'!K99))*(INDEX(properties!A$1:CB$87,'Fórmula'!D99,46))+(('Fórmula'!G99)/('Fórmula'!C99+'Fórmula'!E99+'Fórmula'!G99+'Fórmula'!I99+'Fórmula'!K99))*(INDEX(properties!A$1:CB$87,'Fórmula'!F99,46))+(('Fórmula'!I99)/('Fórmula'!C99+'Fórmula'!E99+'Fórmula'!G99+'Fórmula'!I99+'Fórmula'!K99))*(INDEX(properties!A$1:CB$87,'Fórmula'!H99,46))+(('Fórmula'!K99)/('Fórmula'!C99+'Fórmula'!E99+'Fórmula'!G99+'Fórmula'!I99+'Fórmula'!K99))*(INDEX(properties!A$1:CB$87,'Fórmula'!J99,46))</f>
        <v>1.196</v>
      </c>
      <c r="EQ99" s="113">
        <f t="array" ref="EQ99">'Fórmula'!C99*(INDEX(properties!A$1:CB$87,'Fórmula'!B99,46))+'Fórmula'!E99*(INDEX(properties!A$1:CB$87,'Fórmula'!D99,46))+'Fórmula'!G99*(INDEX(properties!A$1:CB$87,'Fórmula'!F99,46))+'Fórmula'!I99*(INDEX(properties!A$1:CB$87,'Fórmula'!H99,46))+'Fórmula'!K99*(INDEX(properties!A$1:CB$87,'Fórmula'!J99,46))</f>
        <v>5.98</v>
      </c>
      <c r="ER99" s="113">
        <f t="array" ref="ER99">VARP(IF(INDEX(properties!A$1:CB$87,'Fórmula'!B99,46)&lt;&gt;"",INDEX(properties!A$1:CB$87,'Fórmula'!B99,46)),IF(INDEX(properties!A$1:CB$87,'Fórmula'!D99,46)&lt;&gt;"",INDEX(properties!A$1:CB$87,'Fórmula'!D99,46)),IF(INDEX(properties!A$1:CB$87,'Fórmula'!F99,46)&lt;&gt;"",INDEX(properties!A$1:CB$87,'Fórmula'!F99,46)),IF(INDEX(properties!A$1:CB$87,'Fórmula'!H99,46)&lt;&gt;"",INDEX(properties!A$1:CB$87,'Fórmula'!H99,46)),IF(INDEX(properties!A$1:CB$87,'Fórmula'!J99,46)&lt;&gt;"",INDEX(properties!A$1:CB$87,'Fórmula'!J99,46)))</f>
        <v>0.377816</v>
      </c>
      <c r="ES99" s="124">
        <f t="array" ref="ES99">MAX(INDEX(properties!A$1:CB$87,'Fórmula'!B99,46),INDEX(properties!A$1:CB$87,'Fórmula'!D99,46),INDEX(properties!A$1:CB$87,'Fórmula'!F99,46),INDEX(properties!A$1:CB$87,'Fórmula'!H99,46),INDEX(properties!A$1:CB$87,'Fórmula'!J99,46))</f>
        <v>1.49</v>
      </c>
      <c r="ET99" s="124">
        <f t="array" ref="ET99">MIN(IF(INDEX(properties!A$1:CB$87,'Fórmula'!B99,46)=0,10^6,INDEX(properties!A$1:CB$87,'Fórmula'!B99,46)),IF(INDEX(properties!A$1:CB$87,'Fórmula'!D99,46)=0,10^6,INDEX(properties!A$1:CB$87,'Fórmula'!D99,46)),IF(INDEX(properties!A$1:CB$87,'Fórmula'!F99,46)=0,10^6,INDEX(properties!A$1:CB$87,'Fórmula'!F99,46)),IF(INDEX(properties!A$1:CB$87,'Fórmula'!H99,46)=0,10^6,INDEX(properties!A$1:CB$87,'Fórmula'!H99,46)),IF(INDEX(properties!A$1:CB$87,'Fórmula'!J99,46)=0,10^6,INDEX(properties!A$1:CB$87,'Fórmula'!J99,46)))</f>
        <v>0.86</v>
      </c>
      <c r="EU99" s="113">
        <f t="shared" si="25"/>
        <v>0.63</v>
      </c>
      <c r="EV99" s="114">
        <f t="array" ref="EV99">(('Fórmula'!C99)/('Fórmula'!C99+'Fórmula'!E99+'Fórmula'!G99+'Fórmula'!I99+'Fórmula'!K99))*(INDEX(properties!A$1:CB$87,'Fórmula'!B99,52))+(('Fórmula'!E99)/('Fórmula'!C99+'Fórmula'!E99+'Fórmula'!G99+'Fórmula'!I99+'Fórmula'!K99))*(INDEX(properties!A$1:CB$87,'Fórmula'!D99,52))+(('Fórmula'!G99)/('Fórmula'!C99+'Fórmula'!E99+'Fórmula'!G99+'Fórmula'!I99+'Fórmula'!K99))*(INDEX(properties!A$1:CB$87,'Fórmula'!F99,52))+(('Fórmula'!I99)/('Fórmula'!C99+'Fórmula'!E99+'Fórmula'!G99+'Fórmula'!I99+'Fórmula'!K99))*(INDEX(properties!A$1:CB$87,'Fórmula'!H99,52))+(('Fórmula'!K99)/('Fórmula'!C99+'Fórmula'!E99+'Fórmula'!G99+'Fórmula'!I99+'Fórmula'!K99))*(INDEX(properties!A$1:CB$87,'Fórmula'!J99,52))</f>
        <v>11.9958</v>
      </c>
      <c r="EW99" s="114">
        <f t="array" ref="EW99">'Fórmula'!C99*(INDEX(properties!A$1:CB$87,'Fórmula'!B99,52))+'Fórmula'!E99*(INDEX(properties!A$1:CB$87,'Fórmula'!D99,52))+'Fórmula'!G99*(INDEX(properties!A$1:CB$87,'Fórmula'!F99,52))+'Fórmula'!I99*(INDEX(properties!A$1:CB$87,'Fórmula'!H99,52))+'Fórmula'!K99*(INDEX(properties!A$1:CB$87,'Fórmula'!J99,52))</f>
        <v>59.979</v>
      </c>
      <c r="EX99" s="114">
        <f t="array" ref="EX99">VARP(IF(INDEX(properties!A$1:CB$87,'Fórmula'!B99,52)&lt;&gt;"",INDEX(properties!A$1:CB$87,'Fórmula'!B99,52)),IF(INDEX(properties!A$1:CB$87,'Fórmula'!D99,52)&lt;&gt;"",INDEX(properties!A$1:CB$87,'Fórmula'!D99,52)),IF(INDEX(properties!A$1:CB$87,'Fórmula'!F99,52)&lt;&gt;"",INDEX(properties!A$1:CB$87,'Fórmula'!F99,52)),IF(INDEX(properties!A$1:CB$87,'Fórmula'!H99,52)&lt;&gt;"",INDEX(properties!A$1:CB$87,'Fórmula'!H99,52)),IF(INDEX(properties!A$1:CB$87,'Fórmula'!J99,52)&lt;&gt;"",INDEX(properties!A$1:CB$87,'Fórmula'!J99,52)))</f>
        <v>243.0360718</v>
      </c>
      <c r="EY99" s="114">
        <f t="array" ref="EY99">MAX(INDEX(properties!A$1:CB$87,'Fórmula'!B99,52),INDEX(properties!A$1:CB$87,'Fórmula'!D99,52),INDEX(properties!A$1:CB$87,'Fórmula'!F99,52),INDEX(properties!A$1:CB$87,'Fórmula'!H99,52),INDEX(properties!A$1:CB$87,'Fórmula'!J99,52))</f>
        <v>39.7</v>
      </c>
      <c r="EZ99" s="114">
        <f t="array" ref="EZ99">MIN(IF(INDEX(properties!A$1:CB$87,'Fórmula'!B99,52)=0,10^6,INDEX(properties!A$1:CB$87,'Fórmula'!B99,52)),IF(INDEX(properties!A$1:CB$87,'Fórmula'!D99,52)=0,10^6,INDEX(properties!A$1:CB$87,'Fórmula'!D99,52)),IF(INDEX(properties!A$1:CB$87,'Fórmula'!F99,52)=0,10^6,INDEX(properties!A$1:CB$87,'Fórmula'!F99,52)),IF(INDEX(properties!A$1:CB$87,'Fórmula'!H99,52)=0,10^6,INDEX(properties!A$1:CB$87,'Fórmula'!H99,52)),IF(INDEX(properties!A$1:CB$87,'Fórmula'!J99,52)=0,10^6,INDEX(properties!A$1:CB$87,'Fórmula'!J99,52)))</f>
        <v>0.793</v>
      </c>
      <c r="FA99" s="114">
        <f t="shared" si="26"/>
        <v>38.907</v>
      </c>
      <c r="FB99" s="115">
        <f t="array" ref="FB99">(('Fórmula'!C99)/('Fórmula'!C99+'Fórmula'!E99+'Fórmula'!G99+'Fórmula'!I99+'Fórmula'!K99))*(INDEX(properties!A$1:CB$87,'Fórmula'!B99,53))+(('Fórmula'!E99)/('Fórmula'!C99+'Fórmula'!E99+'Fórmula'!G99+'Fórmula'!I99+'Fórmula'!K99))*(INDEX(properties!A$1:CB$87,'Fórmula'!D99,53))+(('Fórmula'!G99)/('Fórmula'!C99+'Fórmula'!E99+'Fórmula'!G99+'Fórmula'!I99+'Fórmula'!K99))*(INDEX(properties!A$1:CB$87,'Fórmula'!F99,53))+(('Fórmula'!I99)/('Fórmula'!C99+'Fórmula'!E99+'Fórmula'!G99+'Fórmula'!I99+'Fórmula'!K99))*(INDEX(properties!A$1:CB$87,'Fórmula'!H99,53))+(('Fórmula'!K99)/('Fórmula'!C99+'Fórmula'!E99+'Fórmula'!G99+'Fórmula'!I99+'Fórmula'!K99))*(INDEX(properties!A$1:CB$87,'Fórmula'!J99,53))</f>
        <v>657.51</v>
      </c>
      <c r="FC99" s="115">
        <f t="array" ref="FC99">'Fórmula'!C99*(INDEX(properties!A$1:CB$87,'Fórmula'!B99,53))+'Fórmula'!E99*(INDEX(properties!A$1:CB$87,'Fórmula'!D99,53))+'Fórmula'!G99*(INDEX(properties!A$1:CB$87,'Fórmula'!F99,53))+'Fórmula'!I99*(INDEX(properties!A$1:CB$87,'Fórmula'!H99,53))+'Fórmula'!K99*(INDEX(properties!A$1:CB$87,'Fórmula'!J99,53))</f>
        <v>3287.55</v>
      </c>
      <c r="FD99" s="115">
        <f t="array" ref="FD99">VARP(IF(INDEX(properties!A$1:CB$87,'Fórmula'!B99,53)&lt;&gt;"",INDEX(properties!A$1:CB$87,'Fórmula'!B99,53)),IF(INDEX(properties!A$1:CB$87,'Fórmula'!D99,53)&lt;&gt;"",INDEX(properties!A$1:CB$87,'Fórmula'!D99,53)),IF(INDEX(properties!A$1:CB$87,'Fórmula'!F99,53)&lt;&gt;"",INDEX(properties!A$1:CB$87,'Fórmula'!F99,53)),IF(INDEX(properties!A$1:CB$87,'Fórmula'!H99,53)&lt;&gt;"",INDEX(properties!A$1:CB$87,'Fórmula'!H99,53)),IF(INDEX(properties!A$1:CB$87,'Fórmula'!J99,53)&lt;&gt;"",INDEX(properties!A$1:CB$87,'Fórmula'!J99,53)))</f>
        <v>699112.6294</v>
      </c>
      <c r="FE99" s="115">
        <f t="array" ref="FE99">MAX(INDEX(properties!A$1:CB$87,'Fórmula'!B99,53),INDEX(properties!A$1:CB$87,'Fórmula'!D99,53),INDEX(properties!A$1:CB$87,'Fórmula'!F99,53),INDEX(properties!A$1:CB$87,'Fórmula'!H99,53),INDEX(properties!A$1:CB$87,'Fórmula'!J99,53))</f>
        <v>2125.15</v>
      </c>
      <c r="FF99" s="115">
        <f t="array" ref="FF99">MIN(IF(INDEX(properties!A$1:CB$87,'Fórmula'!B99,53)=0,10^6,INDEX(properties!A$1:CB$87,'Fórmula'!B99,53)),IF(INDEX(properties!A$1:CB$87,'Fórmula'!D99,53)=0,10^6,INDEX(properties!A$1:CB$87,'Fórmula'!D99,53)),IF(INDEX(properties!A$1:CB$87,'Fórmula'!F99,53)=0,10^6,INDEX(properties!A$1:CB$87,'Fórmula'!F99,53)),IF(INDEX(properties!A$1:CB$87,'Fórmula'!H99,53)=0,10^6,INDEX(properties!A$1:CB$87,'Fórmula'!H99,53)),IF(INDEX(properties!A$1:CB$87,'Fórmula'!J99,53)=0,10^6,INDEX(properties!A$1:CB$87,'Fórmula'!J99,53)))</f>
        <v>54.75</v>
      </c>
      <c r="FG99" s="115">
        <f t="shared" si="27"/>
        <v>2070.4</v>
      </c>
      <c r="FH99" s="117">
        <f t="array" ref="FH99">(('Fórmula'!C99)/('Fórmula'!C99+'Fórmula'!E99+'Fórmula'!G99+'Fórmula'!I99+'Fórmula'!K99))*(INDEX(properties!A$1:CB$87,'Fórmula'!B99,54))+(('Fórmula'!E99)/('Fórmula'!C99+'Fórmula'!E99+'Fórmula'!G99+'Fórmula'!I99+'Fórmula'!K99))*(INDEX(properties!A$1:CB$87,'Fórmula'!D99,54))+(('Fórmula'!G99)/('Fórmula'!C99+'Fórmula'!E99+'Fórmula'!G99+'Fórmula'!I99+'Fórmula'!K99))*(INDEX(properties!A$1:CB$87,'Fórmula'!F99,54))+(('Fórmula'!I99)/('Fórmula'!C99+'Fórmula'!E99+'Fórmula'!G99+'Fórmula'!I99+'Fórmula'!K99))*(INDEX(properties!A$1:CB$87,'Fórmula'!H99,54))+(('Fórmula'!K99)/('Fórmula'!C99+'Fórmula'!E99+'Fórmula'!G99+'Fórmula'!I99+'Fórmula'!K99))*(INDEX(properties!A$1:CB$87,'Fórmula'!J99,54))</f>
        <v>1366.75</v>
      </c>
      <c r="FI99" s="117">
        <f t="array" ref="FI99">'Fórmula'!C99*(INDEX(properties!A$1:CB$87,'Fórmula'!B99,54))+'Fórmula'!E99*(INDEX(properties!A$1:CB$87,'Fórmula'!D99,54))+'Fórmula'!G99*(INDEX(properties!A$1:CB$87,'Fórmula'!F99,54))+'Fórmula'!I99*(INDEX(properties!A$1:CB$87,'Fórmula'!H99,54))+'Fórmula'!K99*(INDEX(properties!A$1:CB$87,'Fórmula'!J99,54))</f>
        <v>6833.75</v>
      </c>
      <c r="FJ99" s="117">
        <f t="array" ref="FJ99">VARP(IF(INDEX(properties!A$1:CB$87,'Fórmula'!B99,54)&lt;&gt;"",INDEX(properties!A$1:CB$87,'Fórmula'!B99,54)),IF(INDEX(properties!A$1:CB$87,'Fórmula'!D99,54)&lt;&gt;"",INDEX(properties!A$1:CB$87,'Fórmula'!D99,54)),IF(INDEX(properties!A$1:CB$87,'Fórmula'!F99,54)&lt;&gt;"",INDEX(properties!A$1:CB$87,'Fórmula'!F99,54)),IF(INDEX(properties!A$1:CB$87,'Fórmula'!H99,54)&lt;&gt;"",INDEX(properties!A$1:CB$87,'Fórmula'!H99,54)),IF(INDEX(properties!A$1:CB$87,'Fórmula'!J99,54)&lt;&gt;"",INDEX(properties!A$1:CB$87,'Fórmula'!J99,54)))</f>
        <v>3287697.117</v>
      </c>
      <c r="FK99" s="117">
        <f t="array" ref="FK99">MAX(INDEX(properties!A$1:CB$87,'Fórmula'!B99,54),INDEX(properties!A$1:CB$87,'Fórmula'!D99,54),INDEX(properties!A$1:CB$87,'Fórmula'!F99,54),INDEX(properties!A$1:CB$87,'Fórmula'!H99,54),INDEX(properties!A$1:CB$87,'Fórmula'!J99,54))</f>
        <v>4650.15</v>
      </c>
      <c r="FL99" s="117">
        <f t="array" ref="FL99">MIN(IF(INDEX(properties!A$1:CB$87,'Fórmula'!B99,54)=0,10^6,INDEX(properties!A$1:CB$87,'Fórmula'!B99,54)),IF(INDEX(properties!A$1:CB$87,'Fórmula'!D99,54)=0,10^6,INDEX(properties!A$1:CB$87,'Fórmula'!D99,54)),IF(INDEX(properties!A$1:CB$87,'Fórmula'!F99,54)=0,10^6,INDEX(properties!A$1:CB$87,'Fórmula'!F99,54)),IF(INDEX(properties!A$1:CB$87,'Fórmula'!H99,54)=0,10^6,INDEX(properties!A$1:CB$87,'Fórmula'!H99,54)),IF(INDEX(properties!A$1:CB$87,'Fórmula'!J99,54)=0,10^6,INDEX(properties!A$1:CB$87,'Fórmula'!J99,54)))</f>
        <v>90.15</v>
      </c>
      <c r="FM99" s="117">
        <f t="shared" si="28"/>
        <v>4560</v>
      </c>
      <c r="FN99" s="118">
        <f t="array" ref="FN99">(('Fórmula'!C99)/('Fórmula'!C99+'Fórmula'!E99+'Fórmula'!G99+'Fórmula'!I99+'Fórmula'!K99))*(INDEX(properties!A$1:CB$87,'Fórmula'!B99,55))+(('Fórmula'!E99)/('Fórmula'!C99+'Fórmula'!E99+'Fórmula'!G99+'Fórmula'!I99+'Fórmula'!K99))*(INDEX(properties!A$1:CB$87,'Fórmula'!D99,55))+(('Fórmula'!G99)/('Fórmula'!C99+'Fórmula'!E99+'Fórmula'!G99+'Fórmula'!I99+'Fórmula'!K99))*(INDEX(properties!A$1:CB$87,'Fórmula'!F99,55))+(('Fórmula'!I99)/('Fórmula'!C99+'Fórmula'!E99+'Fórmula'!G99+'Fórmula'!I99+'Fórmula'!K99))*(INDEX(properties!A$1:CB$87,'Fórmula'!H99,55))+(('Fórmula'!K99)/('Fórmula'!C99+'Fórmula'!E99+'Fórmula'!G99+'Fórmula'!I99+'Fórmula'!K99))*(INDEX(properties!A$1:CB$87,'Fórmula'!J99,55))</f>
        <v>2.002858</v>
      </c>
      <c r="FO99" s="118">
        <f t="array" ref="FO99">'Fórmula'!C99*(INDEX(properties!A$1:CB$87,'Fórmula'!B99,55))+'Fórmula'!E99*(INDEX(properties!A$1:CB$87,'Fórmula'!D99,54))+'Fórmula'!G99*(INDEX(properties!A$1:CB$87,'Fórmula'!F99,55))+'Fórmula'!I99*(INDEX(properties!A$1:CB$87,'Fórmula'!H99,55))+'Fórmula'!K99*(INDEX(properties!A$1:CB$87,'Fórmula'!J99,55))</f>
        <v>4653.65429</v>
      </c>
      <c r="FP99" s="118">
        <f t="array" ref="FP99">VARP(IF(INDEX(properties!A$1:CB$87,'Fórmula'!B99,55)&lt;&gt;"",INDEX(properties!A$1:CB$87,'Fórmula'!B99,55)),IF(INDEX(properties!A$1:CB$87,'Fórmula'!D99,55)&lt;&gt;"",INDEX(properties!A$1:CB$87,'Fórmula'!D99,55)),IF(INDEX(properties!A$1:CB$87,'Fórmula'!F99,55)&lt;&gt;"",INDEX(properties!A$1:CB$87,'Fórmula'!F99,55)),IF(INDEX(properties!A$1:CB$87,'Fórmula'!H99,55)&lt;&gt;"",INDEX(properties!A$1:CB$87,'Fórmula'!H99,55)),IF(INDEX(properties!A$1:CB$87,'Fórmula'!J99,55)&lt;&gt;"",INDEX(properties!A$1:CB$87,'Fórmula'!J99,55)))</f>
        <v>6.916871183</v>
      </c>
      <c r="FQ99" s="118">
        <f t="array" ref="FQ99">MAX(INDEX(properties!A$1:CB$87,'Fórmula'!B99,55),INDEX(properties!A$1:CB$87,'Fórmula'!D99,55),INDEX(properties!A$1:CB$87,'Fórmula'!F99,55),INDEX(properties!A$1:CB$87,'Fórmula'!H99,55),INDEX(properties!A$1:CB$87,'Fórmula'!J99,55))</f>
        <v>6.51</v>
      </c>
      <c r="FR99" s="118">
        <f t="array" ref="FR99">MIN(IF(INDEX(properties!A$1:CB$87,'Fórmula'!B99,55)=0,10^6,INDEX(properties!A$1:CB$87,'Fórmula'!B99,55)),IF(INDEX(properties!A$1:CB$87,'Fórmula'!D99,55)=0,10^6,INDEX(properties!A$1:CB$87,'Fórmula'!D99,55)),IF(INDEX(properties!A$1:CB$87,'Fórmula'!F99,55)=0,10^6,INDEX(properties!A$1:CB$87,'Fórmula'!F99,55)),IF(INDEX(properties!A$1:CB$87,'Fórmula'!H99,55)=0,10^6,INDEX(properties!A$1:CB$87,'Fórmula'!H99,55)),IF(INDEX(properties!A$1:CB$87,'Fórmula'!J99,55)=0,10^6,INDEX(properties!A$1:CB$87,'Fórmula'!J99,55)))</f>
        <v>0.00143</v>
      </c>
      <c r="FS99" s="118">
        <f t="shared" si="29"/>
        <v>6.50857</v>
      </c>
      <c r="FT99" s="119">
        <f t="array" ref="FT99">(('Fórmula'!C99)/('Fórmula'!C99+'Fórmula'!E99+'Fórmula'!G99+'Fórmula'!I99+'Fórmula'!K99))*(INDEX(properties!A$1:CB$87,'Fórmula'!B99,56))+(('Fórmula'!E99)/('Fórmula'!C99+'Fórmula'!E99+'Fórmula'!G99+'Fórmula'!I99+'Fórmula'!K99))*(INDEX(properties!A$1:CB$87,'Fórmula'!D99,56))+(('Fórmula'!G99)/('Fórmula'!C99+'Fórmula'!E99+'Fórmula'!G99+'Fórmula'!I99+'Fórmula'!K99))*(INDEX(properties!A$1:CB$87,'Fórmula'!F99,56))+(('Fórmula'!I99)/('Fórmula'!C99+'Fórmula'!E99+'Fórmula'!G99+'Fórmula'!I99+'Fórmula'!K99))*(INDEX(properties!A$1:CB$87,'Fórmula'!H99,56))+(('Fórmula'!K99)/('Fórmula'!C99+'Fórmula'!E99+'Fórmula'!G99+'Fórmula'!I99+'Fórmula'!K99))*(INDEX(properties!A$1:CB$87,'Fórmula'!J99,56))</f>
        <v>0.6468</v>
      </c>
      <c r="FU99" s="119">
        <f t="array" ref="FU99">'Fórmula'!C99*(INDEX(properties!A$1:CB$87,'Fórmula'!B99,56))+'Fórmula'!E99*(INDEX(properties!A$1:CB$87,'Fórmula'!D99,56))+'Fórmula'!G99*(INDEX(properties!A$1:CB$87,'Fórmula'!F99,56))+'Fórmula'!I99*(INDEX(properties!A$1:CB$87,'Fórmula'!H99,56))+'Fórmula'!K99*(INDEX(properties!A$1:CB$87,'Fórmula'!J99,56))</f>
        <v>3.234</v>
      </c>
      <c r="FV99" s="119">
        <f t="array" ref="FV99">VARP(IF(INDEX(properties!A$1:CB$87,'Fórmula'!B99,56)&lt;&gt;"",INDEX(properties!A$1:CB$87,'Fórmula'!B99,56)),IF(INDEX(properties!A$1:CB$87,'Fórmula'!D99,56)&lt;&gt;"",INDEX(properties!A$1:CB$87,'Fórmula'!D99,56)),IF(INDEX(properties!A$1:CB$87,'Fórmula'!F99,56)&lt;&gt;"",INDEX(properties!A$1:CB$87,'Fórmula'!F99,56)),IF(INDEX(properties!A$1:CB$87,'Fórmula'!H99,56)&lt;&gt;"",INDEX(properties!A$1:CB$87,'Fórmula'!H99,56)),IF(INDEX(properties!A$1:CB$87,'Fórmula'!J99,56)&lt;&gt;"",INDEX(properties!A$1:CB$87,'Fórmula'!J99,56)))</f>
        <v>0.11445376</v>
      </c>
      <c r="FW99" s="119">
        <f t="array" ref="FW99">MAX(INDEX(properties!A$1:CB$87,'Fórmula'!B99,56),INDEX(properties!A$1:CB$87,'Fórmula'!D99,56),INDEX(properties!A$1:CB$87,'Fórmula'!F99,56),INDEX(properties!A$1:CB$87,'Fórmula'!H99,56),INDEX(properties!A$1:CB$87,'Fórmula'!J99,56))</f>
        <v>0.92</v>
      </c>
      <c r="FX99" s="119">
        <f t="array" ref="FX99">MIN(IF(INDEX(properties!A$1:CB$87,'Fórmula'!B99,56)=0,10^6,INDEX(properties!A$1:CB$87,'Fórmula'!B99,56)),IF(INDEX(properties!A$1:CB$87,'Fórmula'!D99,56)=0,10^6,INDEX(properties!A$1:CB$87,'Fórmula'!D99,56)),IF(INDEX(properties!A$1:CB$87,'Fórmula'!F99,56)=0,10^6,INDEX(properties!A$1:CB$87,'Fórmula'!F99,56)),IF(INDEX(properties!A$1:CB$87,'Fórmula'!H99,56)=0,10^6,INDEX(properties!A$1:CB$87,'Fórmula'!H99,56)),IF(INDEX(properties!A$1:CB$87,'Fórmula'!J99,56)=0,10^6,INDEX(properties!A$1:CB$87,'Fórmula'!J99,56)))</f>
        <v>0.204</v>
      </c>
      <c r="FY99" s="119">
        <f t="shared" si="30"/>
        <v>0.716</v>
      </c>
      <c r="FZ99" s="104">
        <f t="array" ref="FZ99">(('Fórmula'!C99)/('Fórmula'!C99+'Fórmula'!E99+'Fórmula'!G99+'Fórmula'!I99+'Fórmula'!K99))*(INDEX(properties!A$1:CB$87,'Fórmula'!B99,57))+(('Fórmula'!E99)/('Fórmula'!C99+'Fórmula'!E99+'Fórmula'!G99+'Fórmula'!I99+'Fórmula'!K99))*(INDEX(properties!A$1:CB$87,'Fórmula'!D99,57))+(('Fórmula'!G99)/('Fórmula'!C99+'Fórmula'!E99+'Fórmula'!G99+'Fórmula'!I99+'Fórmula'!K99))*(INDEX(properties!A$1:CB$87,'Fórmula'!F99,57))+(('Fórmula'!I99)/('Fórmula'!C99+'Fórmula'!E99+'Fórmula'!G99+'Fórmula'!I99+'Fórmula'!K99))*(INDEX(properties!A$1:CB$87,'Fórmula'!H99,57))+(('Fórmula'!K99)/('Fórmula'!C99+'Fórmula'!E99+'Fórmula'!G99+'Fórmula'!I99+'Fórmula'!K99))*(INDEX(properties!A$1:CB$87,'Fórmula'!J99,57))</f>
        <v>5.063554</v>
      </c>
      <c r="GA99" s="104">
        <f t="array" ref="GA99">'Fórmula'!C99*(INDEX(properties!A$1:CB$87,'Fórmula'!B99,57))+'Fórmula'!E99*(INDEX(properties!A$1:CB$87,'Fórmula'!D99,57))+'Fórmula'!G99*(INDEX(properties!A$1:CB$87,'Fórmula'!F99,57))+'Fórmula'!I99*(INDEX(properties!A$1:CB$87,'Fórmula'!H99,57))+'Fórmula'!K99*(INDEX(properties!A$1:CB$87,'Fórmula'!J99,57))</f>
        <v>25.31777</v>
      </c>
      <c r="GB99" s="104">
        <f t="array" ref="GB99">VARP(IF(INDEX(properties!A$1:CB$87,'Fórmula'!B99,57)&lt;&gt;"",INDEX(properties!A$1:CB$87,'Fórmula'!B99,57)),IF(INDEX(properties!A$1:CB$87,'Fórmula'!D99,57)&lt;&gt;"",INDEX(properties!A$1:CB$87,'Fórmula'!D99,57)),IF(INDEX(properties!A$1:CB$87,'Fórmula'!F99,57)&lt;&gt;"",INDEX(properties!A$1:CB$87,'Fórmula'!F99,57)),IF(INDEX(properties!A$1:CB$87,'Fórmula'!H99,57)&lt;&gt;"",INDEX(properties!A$1:CB$87,'Fórmula'!H99,57)),IF(INDEX(properties!A$1:CB$87,'Fórmula'!J99,57)&lt;&gt;"",INDEX(properties!A$1:CB$87,'Fórmula'!J99,57)))</f>
        <v>44.39857993</v>
      </c>
      <c r="GC99" s="104">
        <f t="array" ref="GC99">MAX(INDEX(properties!A$1:CB$87,'Fórmula'!B99,57),INDEX(properties!A$1:CB$87,'Fórmula'!D99,57),INDEX(properties!A$1:CB$87,'Fórmula'!F99,57),INDEX(properties!A$1:CB$87,'Fórmula'!H99,57),INDEX(properties!A$1:CB$87,'Fórmula'!J99,57))</f>
        <v>16.9</v>
      </c>
      <c r="GD99" s="104">
        <f t="array" ref="GD99">MIN(IF(INDEX(properties!A$1:CB$87,'Fórmula'!B99,57)=0,10^6,INDEX(properties!A$1:CB$87,'Fórmula'!B99,57)),IF(INDEX(properties!A$1:CB$87,'Fórmula'!D99,57)=0,10^6,INDEX(properties!A$1:CB$87,'Fórmula'!D99,57)),IF(INDEX(properties!A$1:CB$87,'Fórmula'!F99,57)=0,10^6,INDEX(properties!A$1:CB$87,'Fórmula'!F99,57)),IF(INDEX(properties!A$1:CB$87,'Fórmula'!H99,57)=0,10^6,INDEX(properties!A$1:CB$87,'Fórmula'!H99,57)),IF(INDEX(properties!A$1:CB$87,'Fórmula'!J99,57)=0,10^6,INDEX(properties!A$1:CB$87,'Fórmula'!J99,57)))</f>
        <v>0.22259</v>
      </c>
      <c r="GE99" s="104">
        <f t="shared" si="31"/>
        <v>16.67741</v>
      </c>
      <c r="GF99" s="105">
        <f t="array" ref="GF99">(('Fórmula'!C99)/('Fórmula'!C99+'Fórmula'!E99+'Fórmula'!G99+'Fórmula'!I99+'Fórmula'!K99))*(INDEX(properties!A$1:CB$87,'Fórmula'!B99,60))+(('Fórmula'!E99)/('Fórmula'!C99+'Fórmula'!E99+'Fórmula'!G99+'Fórmula'!I99+'Fórmula'!K99))*(INDEX(properties!A$1:CB$87,'Fórmula'!D99,60))+(('Fórmula'!G99)/('Fórmula'!C99+'Fórmula'!E99+'Fórmula'!G99+'Fórmula'!I99+'Fórmula'!K99))*(INDEX(properties!A$1:CB$87,'Fórmula'!F99,60))+(('Fórmula'!I99)/('Fórmula'!C99+'Fórmula'!E99+'Fórmula'!G99+'Fórmula'!I99+'Fórmula'!K99))*(INDEX(properties!A$1:CB$87,'Fórmula'!H99,60))+(('Fórmula'!K99)/('Fórmula'!C99+'Fórmula'!E99+'Fórmula'!G99+'Fórmula'!I99+'Fórmula'!K99))*(INDEX(properties!A$1:CB$87,'Fórmula'!J99,60))</f>
        <v>8.236044</v>
      </c>
      <c r="GG99" s="105">
        <f t="array" ref="GG99">'Fórmula'!C99*(INDEX(properties!A$1:CB$87,'Fórmula'!B99,60))+'Fórmula'!E99*(INDEX(properties!A$1:CB$87,'Fórmula'!D99,60))+'Fórmula'!G99*(INDEX(properties!A$1:CB$87,'Fórmula'!F99,60))+'Fórmula'!I99*(INDEX(properties!A$1:CB$87,'Fórmula'!H99,60))+'Fórmula'!K99*(INDEX(properties!A$1:CB$87,'Fórmula'!J99,60))</f>
        <v>41.18022</v>
      </c>
      <c r="GH99" s="105">
        <f t="array" ref="GH99">VARP(IF(INDEX(properties!A$1:CB$87,'Fórmula'!B99,60)&lt;&gt;"",INDEX(properties!A$1:CB$87,'Fórmula'!B99,60)),IF(INDEX(properties!A$1:CB$87,'Fórmula'!D99,60)&lt;&gt;"",INDEX(properties!A$1:CB$87,'Fórmula'!D99,60)),IF(INDEX(properties!A$1:CB$87,'Fórmula'!F99,60)&lt;&gt;"",INDEX(properties!A$1:CB$87,'Fórmula'!F99,60)),IF(INDEX(properties!A$1:CB$87,'Fórmula'!H99,60)&lt;&gt;"",INDEX(properties!A$1:CB$87,'Fórmula'!H99,60)),IF(INDEX(properties!A$1:CB$87,'Fórmula'!J99,60)&lt;&gt;"",INDEX(properties!A$1:CB$87,'Fórmula'!J99,60)))</f>
        <v>103.1137933</v>
      </c>
      <c r="GI99" s="105">
        <f t="array" ref="GI99">MAX(INDEX(properties!A$1:CB$87,'Fórmula'!B99,60),INDEX(properties!A$1:CB$87,'Fórmula'!D99,60),INDEX(properties!A$1:CB$87,'Fórmula'!F99,60),INDEX(properties!A$1:CB$87,'Fórmula'!H99,60),INDEX(properties!A$1:CB$87,'Fórmula'!J99,60))</f>
        <v>22.7</v>
      </c>
      <c r="GJ99" s="105">
        <f t="array" ref="GJ99">MIN(IF(INDEX(properties!A$1:CB$87,'Fórmula'!B99,60)=0,10^6,INDEX(properties!A$1:CB$87,'Fórmula'!B99,60)),IF(INDEX(properties!A$1:CB$87,'Fórmula'!D99,60)=0,10^6,INDEX(properties!A$1:CB$87,'Fórmula'!D99,60)),IF(INDEX(properties!A$1:CB$87,'Fórmula'!F99,60)=0,10^6,INDEX(properties!A$1:CB$87,'Fórmula'!F99,60)),IF(INDEX(properties!A$1:CB$87,'Fórmula'!H99,60)=0,10^6,INDEX(properties!A$1:CB$87,'Fórmula'!H99,60)),IF(INDEX(properties!A$1:CB$87,'Fórmula'!J99,60)=0,10^6,INDEX(properties!A$1:CB$87,'Fórmula'!J99,60)))</f>
        <v>0.02674</v>
      </c>
      <c r="GK99" s="105">
        <f t="shared" si="32"/>
        <v>22.67326</v>
      </c>
      <c r="GL99" s="106">
        <f t="array" ref="GL99">(('Fórmula'!C99)/('Fórmula'!C99+'Fórmula'!E99+'Fórmula'!G99+'Fórmula'!I99+'Fórmula'!K99))*(INDEX(properties!A$1:CB$87,'Fórmula'!B99,62))+(('Fórmula'!E99)/('Fórmula'!C99+'Fórmula'!E99+'Fórmula'!G99+'Fórmula'!I99+'Fórmula'!K99))*(INDEX(properties!A$1:CB$87,'Fórmula'!D99,62))+(('Fórmula'!G99)/('Fórmula'!C99+'Fórmula'!E99+'Fórmula'!G99+'Fórmula'!I99+'Fórmula'!K99))*(INDEX(properties!A$1:CB$87,'Fórmula'!F99,62))+(('Fórmula'!I99)/('Fórmula'!C99+'Fórmula'!E99+'Fórmula'!G99+'Fórmula'!I99+'Fórmula'!K99))*(INDEX(properties!A$1:CB$87,'Fórmula'!H99,62))+(('Fórmula'!K99)/('Fórmula'!C99+'Fórmula'!E99+'Fórmula'!G99+'Fórmula'!I99+'Fórmula'!K99))*(INDEX(properties!A$1:CB$87,'Fórmula'!J99,62))</f>
        <v>3.202</v>
      </c>
      <c r="GM99" s="106">
        <f t="array" ref="GM99">'Fórmula'!C99*(INDEX(properties!A$1:CB$87,'Fórmula'!B99,62))+'Fórmula'!E99*(INDEX(properties!A$1:CB$87,'Fórmula'!D99,62))+'Fórmula'!G99*(INDEX(properties!A$1:CB$87,'Fórmula'!F99,62))+'Fórmula'!I99*(INDEX(properties!A$1:CB$87,'Fórmula'!H99,62))+'Fórmula'!K99*(INDEX(properties!A$1:CB$87,'Fórmula'!J99,62))</f>
        <v>16.01</v>
      </c>
      <c r="GN99" s="106">
        <f t="array" ref="GN99">VARP(IF(INDEX(properties!A$1:CB$87,'Fórmula'!B99,62)&lt;&gt;"",INDEX(properties!A$1:CB$87,'Fórmula'!B99,62)),IF(INDEX(properties!A$1:CB$87,'Fórmula'!D99,62)&lt;&gt;"",INDEX(properties!A$1:CB$87,'Fórmula'!D99,62)),IF(INDEX(properties!A$1:CB$87,'Fórmula'!F99,62)&lt;&gt;"",INDEX(properties!A$1:CB$87,'Fórmula'!F99,62)),IF(INDEX(properties!A$1:CB$87,'Fórmula'!H99,62)&lt;&gt;"",INDEX(properties!A$1:CB$87,'Fórmula'!H99,62)),IF(INDEX(properties!A$1:CB$87,'Fórmula'!J99,62)&lt;&gt;"",INDEX(properties!A$1:CB$87,'Fórmula'!J99,62)))</f>
        <v>5.267664</v>
      </c>
      <c r="GO99" s="106">
        <f t="array" ref="GO99">MAX(INDEX(properties!A$1:CB$87,'Fórmula'!B99,62),INDEX(properties!A$1:CB$87,'Fórmula'!D99,62),INDEX(properties!A$1:CB$87,'Fórmula'!F99,62),INDEX(properties!A$1:CB$87,'Fórmula'!H99,62),INDEX(properties!A$1:CB$87,'Fórmula'!J99,62))</f>
        <v>6.25</v>
      </c>
      <c r="GP99" s="106">
        <f t="array" ref="GP99">MIN(IF(INDEX(properties!A$1:CB$87,'Fórmula'!B99,62)=0,10^6,INDEX(properties!A$1:CB$87,'Fórmula'!B99,62)),IF(INDEX(properties!A$1:CB$87,'Fórmula'!D99,62)=0,10^6,INDEX(properties!A$1:CB$87,'Fórmula'!D99,62)),IF(INDEX(properties!A$1:CB$87,'Fórmula'!F99,62)=0,10^6,INDEX(properties!A$1:CB$87,'Fórmula'!F99,62)),IF(INDEX(properties!A$1:CB$87,'Fórmula'!H99,62)=0,10^6,INDEX(properties!A$1:CB$87,'Fórmula'!H99,62)),IF(INDEX(properties!A$1:CB$87,'Fórmula'!J99,62)=0,10^6,INDEX(properties!A$1:CB$87,'Fórmula'!J99,62)))</f>
        <v>1.9</v>
      </c>
      <c r="GQ99" s="106">
        <f t="shared" si="33"/>
        <v>4.35</v>
      </c>
      <c r="GR99" s="106">
        <f>'Fórmula'!Q99</f>
        <v>221</v>
      </c>
      <c r="GS99" s="107">
        <f>'Fórmula'!P99</f>
        <v>1</v>
      </c>
      <c r="GT99" s="113">
        <f>'Fórmula'!O99</f>
        <v>6.23</v>
      </c>
      <c r="GU99" s="114">
        <f>AVERAGE('Fórmula'!R99/'Fórmula'!S99,'Fórmula'!S99/'Fórmula'!T99,'Fórmula'!T99/'Fórmula'!R99)</f>
        <v>1</v>
      </c>
      <c r="GV99" s="125">
        <f>'Fórmula'!U99</f>
        <v>73.67</v>
      </c>
      <c r="GW99" s="106">
        <f>'Fórmula'!N99</f>
        <v>0.07</v>
      </c>
    </row>
    <row r="100" ht="14.25" customHeight="1">
      <c r="A100" s="99" t="str">
        <f>'Fórmula'!A100</f>
        <v>LaSr2AlO5</v>
      </c>
      <c r="B100" s="100">
        <f t="array" ref="B100">(('Fórmula'!C100)/('Fórmula'!C100+'Fórmula'!E100+'Fórmula'!G100+'Fórmula'!I100+'Fórmula'!K100))*(INDEX(properties!A$1:CB$87,'Fórmula'!B100,3))+(('Fórmula'!E100)/('Fórmula'!C100+'Fórmula'!E100+'Fórmula'!G100+'Fórmula'!I100+'Fórmula'!K100))*(INDEX(properties!A$1:CB$87,'Fórmula'!D100,3))+(('Fórmula'!G100)/('Fórmula'!C100+'Fórmula'!E100+'Fórmula'!G100+'Fórmula'!I100+'Fórmula'!K100))*(INDEX(properties!A$1:CB$87,'Fórmula'!F100,3))+(('Fórmula'!I100)/('Fórmula'!C100+'Fórmula'!E100+'Fórmula'!G100+'Fórmula'!I100+'Fórmula'!K100))*(INDEX(properties!A$1:CB$87,'Fórmula'!H100,3))+(('Fórmula'!K100)/('Fórmula'!C100+'Fórmula'!E100+'Fórmula'!G100+'Fórmula'!I100+'Fórmula'!K100))*(INDEX(properties!A$1:CB$87,'Fórmula'!J100,3))</f>
        <v>46.79155989</v>
      </c>
      <c r="C100" s="101">
        <f t="array" ref="C100">'Fórmula'!C100*(INDEX(properties!A$1:CB$87,'Fórmula'!B100,3))+'Fórmula'!E100*(INDEX(properties!A$1:CB$87,'Fórmula'!D100,3))+'Fórmula'!G100*(INDEX(properties!A$1:CB$87,'Fórmula'!F100,3))+'Fórmula'!I100*(INDEX(properties!A$1:CB$87,'Fórmula'!H100,3))+'Fórmula'!K100*(INDEX(properties!A$1:CB$87,'Fórmula'!J100,3))</f>
        <v>421.124039</v>
      </c>
      <c r="D100" s="101">
        <f t="array" ref="D100">VARP(IF(INDEX(properties!A$1:CB$87,'Fórmula'!B100,3)&lt;&gt;"",INDEX(properties!A$1:CB$87,'Fórmula'!B100,3)),IF(INDEX(properties!A$1:CB$87,'Fórmula'!D100,3)&lt;&gt;"",INDEX(properties!A$1:CB$87,'Fórmula'!D100,3)),IF(INDEX(properties!A$1:CB$87,'Fórmula'!F100,3)&lt;&gt;"",INDEX(properties!A$1:CB$87,'Fórmula'!F100,3)),IF(INDEX(properties!A$1:CB$87,'Fórmula'!H100,3)&lt;&gt;"",INDEX(properties!A$1:CB$87,'Fórmula'!H100,3)),IF(INDEX(properties!A$1:CB$87,'Fórmula'!J100,3)&lt;&gt;"",INDEX(properties!A$1:CB$87,'Fórmula'!J100,3)))</f>
        <v>2685.848489</v>
      </c>
      <c r="E100" s="101">
        <f t="array" ref="E100">MAX(INDEX(properties!A$1:CB$87,'Fórmula'!B100,3),INDEX(properties!A$1:CB$87,'Fórmula'!D100,3),INDEX(properties!A$1:CB$87,'Fórmula'!F100,3),INDEX(properties!A$1:CB$87,'Fórmula'!H100,3),INDEX(properties!A$1:CB$87,'Fórmula'!J100,3))</f>
        <v>138.9055</v>
      </c>
      <c r="F100" s="101">
        <f t="array" ref="F100">MIN(IF(INDEX(properties!A$1:CB$87,'Fórmula'!B100,3)=0,10^6,INDEX(properties!A$1:CB$87,'Fórmula'!B100,3)),IF(INDEX(properties!A$1:CB$87,'Fórmula'!D100,3)=0,10^6,INDEX(properties!A$1:CB$87,'Fórmula'!D100,3)),IF(INDEX(properties!A$1:CB$87,'Fórmula'!F100,3)=0,10^6,INDEX(properties!A$1:CB$87,'Fórmula'!F100,3)),IF(INDEX(properties!A$1:CB$87,'Fórmula'!H100,3)=0,10^6,INDEX(properties!A$1:CB$87,'Fórmula'!H100,3)),IF(INDEX(properties!A$1:CB$87,'Fórmula'!J100,3)=0,10^6,INDEX(properties!A$1:CB$87,'Fórmula'!J100,3)))</f>
        <v>15.9994</v>
      </c>
      <c r="G100" s="101">
        <f t="shared" si="1"/>
        <v>122.9061</v>
      </c>
      <c r="H100" s="102">
        <f t="array" ref="H100">(('Fórmula'!C100)/('Fórmula'!C100+'Fórmula'!E100+'Fórmula'!G100+'Fórmula'!I100+'Fórmula'!K100))*(INDEX(properties!A$1:CB$87,'Fórmula'!B100,4))+(('Fórmula'!E100)/('Fórmula'!C100+'Fórmula'!E100+'Fórmula'!G100+'Fórmula'!I100+'Fórmula'!K100))*(INDEX(properties!A$1:CB$87,'Fórmula'!D100,4))+(('Fórmula'!G100)/('Fórmula'!C100+'Fórmula'!E100+'Fórmula'!G100+'Fórmula'!I100+'Fórmula'!K100))*(INDEX(properties!A$1:CB$87,'Fórmula'!F100,4))+(('Fórmula'!I100)/('Fórmula'!C100+'Fórmula'!E100+'Fórmula'!G100+'Fórmula'!I100+'Fórmula'!K100))*(INDEX(properties!A$1:CB$87,'Fórmula'!H100,4))+(('Fórmula'!K100)/('Fórmula'!C100+'Fórmula'!E100+'Fórmula'!G100+'Fórmula'!I100+'Fórmula'!K100))*(INDEX(properties!A$1:CB$87,'Fórmula'!J100,4))</f>
        <v>20.66666667</v>
      </c>
      <c r="I100" s="102">
        <f t="array" ref="I100">'Fórmula'!C100*(INDEX(properties!A$1:CB$87,'Fórmula'!B100,4))+'Fórmula'!E100*(INDEX(properties!A$1:CB$87,'Fórmula'!D100,4))+'Fórmula'!G100*(INDEX(properties!A$1:CB$87,'Fórmula'!F100,4))+'Fórmula'!I100*(INDEX(properties!A$1:CB$87,'Fórmula'!H100,4))+'Fórmula'!K100*(INDEX(properties!A$1:CB$87,'Fórmula'!J100,4))</f>
        <v>186</v>
      </c>
      <c r="J100" s="102">
        <f t="array" ref="J100">VARP(IF(INDEX(properties!A$1:CB$87,'Fórmula'!B100,4)&lt;&gt;"",INDEX(properties!A$1:CB$87,'Fórmula'!B100,4)),IF(INDEX(properties!A$1:CB$87,'Fórmula'!D100,4)&lt;&gt;"",INDEX(properties!A$1:CB$87,'Fórmula'!D100,4)),IF(INDEX(properties!A$1:CB$87,'Fórmula'!F100,4)&lt;&gt;"",INDEX(properties!A$1:CB$87,'Fórmula'!F100,4)),IF(INDEX(properties!A$1:CB$87,'Fórmula'!H100,4)&lt;&gt;"",INDEX(properties!A$1:CB$87,'Fórmula'!H100,4)),IF(INDEX(properties!A$1:CB$87,'Fórmula'!J100,4)&lt;&gt;"",INDEX(properties!A$1:CB$87,'Fórmula'!J100,4)))</f>
        <v>446.96</v>
      </c>
      <c r="K100" s="102">
        <f t="array" ref="K100">MAX(INDEX(properties!A$1:CB$87,'Fórmula'!B100,4),INDEX(properties!A$1:CB$87,'Fórmula'!D100,4),INDEX(properties!A$1:CB$87,'Fórmula'!F100,4),INDEX(properties!A$1:CB$87,'Fórmula'!H100,4),INDEX(properties!A$1:CB$87,'Fórmula'!J100,4))</f>
        <v>57</v>
      </c>
      <c r="L100" s="102">
        <f t="array" ref="L100">MIN(IF(INDEX(properties!A$1:CB$87,'Fórmula'!B100,4)=0,10^6,INDEX(properties!A$1:CB$87,'Fórmula'!B100,4)),IF(INDEX(properties!A$1:CB$87,'Fórmula'!D100,4)=0,10^6,INDEX(properties!A$1:CB$87,'Fórmula'!D100,4)),IF(INDEX(properties!A$1:CB$87,'Fórmula'!F100,4)=0,10^6,INDEX(properties!A$1:CB$87,'Fórmula'!F100,4)),IF(INDEX(properties!A$1:CB$87,'Fórmula'!H100,4)=0,10^6,INDEX(properties!A$1:CB$87,'Fórmula'!H100,4)),IF(INDEX(properties!A$1:CB$87,'Fórmula'!J100,4)=0,10^6,INDEX(properties!A$1:CB$87,'Fórmula'!J100,4)))</f>
        <v>8</v>
      </c>
      <c r="M100" s="102">
        <f t="shared" si="2"/>
        <v>49</v>
      </c>
      <c r="N100" s="103">
        <f t="array" ref="N100">(('Fórmula'!C100)/('Fórmula'!C100+'Fórmula'!E100+'Fórmula'!G100+'Fórmula'!I100+'Fórmula'!K100))*(INDEX(properties!A$1:CB$87,'Fórmula'!B100,5))+(('Fórmula'!E100)/('Fórmula'!C100+'Fórmula'!E100+'Fórmula'!G100+'Fórmula'!I100+'Fórmula'!K100))*(INDEX(properties!A$1:CB$87,'Fórmula'!D100,5))+(('Fórmula'!G100)/('Fórmula'!C100+'Fórmula'!E100+'Fórmula'!G100+'Fórmula'!I100+'Fórmula'!K100))*(INDEX(properties!A$1:CB$87,'Fórmula'!F100,5))+(('Fórmula'!I100)/('Fórmula'!C100+'Fórmula'!E100+'Fórmula'!G100+'Fórmula'!I100+'Fórmula'!K100))*(INDEX(properties!A$1:CB$87,'Fórmula'!H100,5))+(('Fórmula'!K100)/('Fórmula'!C100+'Fórmula'!E100+'Fórmula'!G100+'Fórmula'!I100+'Fórmula'!K100))*(INDEX(properties!A$1:CB$87,'Fórmula'!J100,5))</f>
        <v>3.222222222</v>
      </c>
      <c r="O100" s="103">
        <f t="array" ref="O100">'Fórmula'!C100*(INDEX(properties!A$1:CB$87,'Fórmula'!B100,5))+'Fórmula'!E100*(INDEX(properties!A$1:CB$87,'Fórmula'!D100,5))+'Fórmula'!G100*(INDEX(properties!A$1:CB$87,'Fórmula'!F100,5))+'Fórmula'!I100*(INDEX(properties!A$1:CB$87,'Fórmula'!H100,5))+'Fórmula'!K100*(INDEX(properties!A$1:CB$87,'Fórmula'!J100,5))</f>
        <v>29</v>
      </c>
      <c r="P100" s="103">
        <f t="array" ref="P100">VARP(IF(INDEX(properties!A$1:CB$87,'Fórmula'!B100,5)&lt;&gt;"",INDEX(properties!A$1:CB$87,'Fórmula'!B100,5)),IF(INDEX(properties!A$1:CB$87,'Fórmula'!D100,5)&lt;&gt;"",INDEX(properties!A$1:CB$87,'Fórmula'!D100,5)),IF(INDEX(properties!A$1:CB$87,'Fórmula'!F100,5)&lt;&gt;"",INDEX(properties!A$1:CB$87,'Fórmula'!F100,5)),IF(INDEX(properties!A$1:CB$87,'Fórmula'!H100,5)&lt;&gt;"",INDEX(properties!A$1:CB$87,'Fórmula'!H100,5)),IF(INDEX(properties!A$1:CB$87,'Fórmula'!J100,5)&lt;&gt;"",INDEX(properties!A$1:CB$87,'Fórmula'!J100,5)))</f>
        <v>4.56</v>
      </c>
      <c r="Q100" s="103">
        <f t="array" ref="Q100">MAX(INDEX(properties!A$1:CB$87,'Fórmula'!B100,5),INDEX(properties!A$1:CB$87,'Fórmula'!D100,5),INDEX(properties!A$1:CB$87,'Fórmula'!F100,5),INDEX(properties!A$1:CB$87,'Fórmula'!H100,5),INDEX(properties!A$1:CB$87,'Fórmula'!J100,5))</f>
        <v>6</v>
      </c>
      <c r="R100" s="103">
        <f t="array" ref="R100">MIN(IF(INDEX(properties!A$1:CB$87,'Fórmula'!B100,5)=0,10^6,INDEX(properties!A$1:CB$87,'Fórmula'!B100,5)),IF(INDEX(properties!A$1:CB$87,'Fórmula'!D100,5)=0,10^6,INDEX(properties!A$1:CB$87,'Fórmula'!D100,5)),IF(INDEX(properties!A$1:CB$87,'Fórmula'!F100,5)=0,10^6,INDEX(properties!A$1:CB$87,'Fórmula'!F100,5)),IF(INDEX(properties!A$1:CB$87,'Fórmula'!H100,5)=0,10^6,INDEX(properties!A$1:CB$87,'Fórmula'!H100,5)),IF(INDEX(properties!A$1:CB$87,'Fórmula'!J100,5)=0,10^6,INDEX(properties!A$1:CB$87,'Fórmula'!J100,5)))</f>
        <v>2</v>
      </c>
      <c r="S100" s="103">
        <f t="shared" si="3"/>
        <v>4</v>
      </c>
      <c r="T100" s="104">
        <f t="array" ref="T100">(('Fórmula'!C100)/('Fórmula'!C100+'Fórmula'!E100+'Fórmula'!G100+'Fórmula'!I100+'Fórmula'!K100))*(INDEX(properties!A$1:CB$87,'Fórmula'!B100,6))+(('Fórmula'!E100)/('Fórmula'!C100+'Fórmula'!E100+'Fórmula'!G100+'Fórmula'!I100+'Fórmula'!K100))*(INDEX(properties!A$1:CB$87,'Fórmula'!D100,6))+(('Fórmula'!G100)/('Fórmula'!C100+'Fórmula'!E100+'Fórmula'!G100+'Fórmula'!I100+'Fórmula'!K100))*(INDEX(properties!A$1:CB$87,'Fórmula'!F100,6))+(('Fórmula'!I100)/('Fórmula'!C100+'Fórmula'!E100+'Fórmula'!G100+'Fórmula'!I100+'Fórmula'!K100))*(INDEX(properties!A$1:CB$87,'Fórmula'!H100,6))+(('Fórmula'!K100)/('Fórmula'!C100+'Fórmula'!E100+'Fórmula'!G100+'Fórmula'!I100+'Fórmula'!K100))*(INDEX(properties!A$1:CB$87,'Fórmula'!J100,6))</f>
        <v>11.11111111</v>
      </c>
      <c r="U100" s="104">
        <f t="array" ref="U100">'Fórmula'!C100*(INDEX(properties!A$1:CB$87,'Fórmula'!B100,6))+'Fórmula'!E100*(INDEX(properties!A$1:CB$87,'Fórmula'!D100,6))+'Fórmula'!G100*(INDEX(properties!A$1:CB$87,'Fórmula'!F100,6))+'Fórmula'!I100*(INDEX(properties!A$1:CB$87,'Fórmula'!H100,6))+'Fórmula'!K100*(INDEX(properties!A$1:CB$87,'Fórmula'!J100,6))</f>
        <v>100</v>
      </c>
      <c r="V100" s="103">
        <f t="array" ref="V100">VARP(IF(INDEX(properties!A$1:CB$87,'Fórmula'!B100,6)&lt;&gt;"",INDEX(properties!A$1:CB$87,'Fórmula'!B100,6)),IF(INDEX(properties!A$1:CB$87,'Fórmula'!D100,6)&lt;&gt;"",INDEX(properties!A$1:CB$87,'Fórmula'!D100,6)),IF(INDEX(properties!A$1:CB$87,'Fórmula'!F100,6)&lt;&gt;"",INDEX(properties!A$1:CB$87,'Fórmula'!F100,6)),IF(INDEX(properties!A$1:CB$87,'Fórmula'!H100,6)&lt;&gt;"",INDEX(properties!A$1:CB$87,'Fórmula'!H100,6)),IF(INDEX(properties!A$1:CB$87,'Fórmula'!J100,6)&lt;&gt;"",INDEX(properties!A$1:CB$87,'Fórmula'!J100,6)))</f>
        <v>41.36</v>
      </c>
      <c r="W100" s="104">
        <f t="array" ref="W100">MAX(INDEX(properties!A$1:CB$87,'Fórmula'!B100,6),INDEX(properties!A$1:CB$87,'Fórmula'!D100,6),INDEX(properties!A$1:CB$87,'Fórmula'!F100,6),INDEX(properties!A$1:CB$87,'Fórmula'!H100,4),INDEX(properties!A$1:CB$87,'Fórmula'!J100,6))</f>
        <v>13</v>
      </c>
      <c r="X100" s="104">
        <f t="array" ref="X100">MIN(IF(INDEX(properties!A$1:CB$87,'Fórmula'!B100,6)=0,10^6,INDEX(properties!A$1:CB$87,'Fórmula'!B100,6)),IF(INDEX(properties!A$1:CB$87,'Fórmula'!D100,6)=0,10^6,INDEX(properties!A$1:CB$87,'Fórmula'!D100,6)),IF(INDEX(properties!A$1:CB$87,'Fórmula'!F100,6)=0,10^6,INDEX(properties!A$1:CB$87,'Fórmula'!F100,6)),IF(INDEX(properties!A$1:CB$87,'Fórmula'!H100,6)=0,10^6,INDEX(properties!A$1:CB$87,'Fórmula'!H100,6)),IF(INDEX(properties!A$1:CB$87,'Fórmula'!J100,6)=0,10^6,INDEX(properties!A$1:CB$87,'Fórmula'!J100,6)))</f>
        <v>2</v>
      </c>
      <c r="Y100" s="104">
        <f t="shared" si="4"/>
        <v>11</v>
      </c>
      <c r="Z100" s="105">
        <f t="array" ref="Z100">(('Fórmula'!C100)/('Fórmula'!C100+'Fórmula'!E100+'Fórmula'!G100+'Fórmula'!I100+'Fórmula'!K100))*(INDEX(properties!A$1:CB$87,'Fórmula'!B100,9))+(('Fórmula'!E100)/('Fórmula'!C100+'Fórmula'!E100+'Fórmula'!G100+'Fórmula'!I100+'Fórmula'!K100))*(INDEX(properties!A$1:CB$87,'Fórmula'!D100,9))+(('Fórmula'!G100)/('Fórmula'!C100+'Fórmula'!E100+'Fórmula'!G100+'Fórmula'!I100+'Fórmula'!K100))*(INDEX(properties!A$1:CB$87,'Fórmula'!F100,9))+(('Fórmula'!I100)/('Fórmula'!C100+'Fórmula'!E100+'Fórmula'!G100+'Fórmula'!I100+'Fórmula'!K100))*(INDEX(properties!A$1:CB$87,'Fórmula'!H100,9))+(('Fórmula'!K100)/('Fórmula'!C100+'Fórmula'!E100+'Fórmula'!G100+'Fórmula'!I100+'Fórmula'!K100))*(INDEX(properties!A$1:CB$87,'Fórmula'!J100,9))</f>
        <v>59.66666667</v>
      </c>
      <c r="AA100" s="105">
        <f t="array" ref="AA100">'Fórmula'!C100*(INDEX(properties!A$1:CB$87,'Fórmula'!B100,9))+'Fórmula'!E100*(INDEX(properties!A$1:CB$87,'Fórmula'!D100,9))+'Fórmula'!G100*(INDEX(properties!A$1:CB$87,'Fórmula'!F100,9))+'Fórmula'!I100*(INDEX(properties!A$1:CB$87,'Fórmula'!H100,9))+'Fórmula'!K100*(INDEX(properties!A$1:CB$87,'Fórmula'!J100,9))</f>
        <v>537</v>
      </c>
      <c r="AB100" s="105">
        <f t="array" ref="AB100">VARP(IF(INDEX(properties!A$1:CB$87,'Fórmula'!B100,9)&lt;&gt;"",INDEX(properties!A$1:CB$87,'Fórmula'!B100,9)),IF(INDEX(properties!A$1:CB$87,'Fórmula'!D100,9)&lt;&gt;"",INDEX(properties!A$1:CB$87,'Fórmula'!D100,9)),IF(INDEX(properties!A$1:CB$87,'Fórmula'!F100,9)&lt;&gt;"",INDEX(properties!A$1:CB$87,'Fórmula'!F100,9)),IF(INDEX(properties!A$1:CB$87,'Fórmula'!H100,9)&lt;&gt;"",INDEX(properties!A$1:CB$87,'Fórmula'!H100,9)),IF(INDEX(properties!A$1:CB$87,'Fórmula'!J100,9)&lt;&gt;"",INDEX(properties!A$1:CB$87,'Fórmula'!J100,9)))</f>
        <v>1315.76</v>
      </c>
      <c r="AC100" s="105">
        <f t="array" ref="AC100">MAX(INDEX(properties!A$1:CB$87,'Fórmula'!B100,9),INDEX(properties!A$1:CB$87,'Fórmula'!D100,9),INDEX(properties!A$1:CB$87,'Fórmula'!F100,9),INDEX(properties!A$1:CB$87,'Fórmula'!H100,9),INDEX(properties!A$1:CB$87,'Fórmula'!J100,9))</f>
        <v>87</v>
      </c>
      <c r="AD100" s="105">
        <f t="array" ref="AD100">MIN(IF(INDEX(properties!A$1:CB$87,'Fórmula'!B100,9)=0,10^6,INDEX(properties!A$1:CB$87,'Fórmula'!B100,9)),IF(INDEX(properties!A$1:CB$87,'Fórmula'!D100,9)=0,10^6,INDEX(properties!A$1:CB$87,'Fórmula'!D100,9)),IF(INDEX(properties!A$1:CB$87,'Fórmula'!F100,9)=0,10^6,INDEX(properties!A$1:CB$87,'Fórmula'!F100,9)),IF(INDEX(properties!A$1:CB$87,'Fórmula'!H100,9)=0,10^6,INDEX(properties!A$1:CB$87,'Fórmula'!H100,9)),IF(INDEX(properties!A$1:CB$87,'Fórmula'!J100,9)=0,10^6,INDEX(properties!A$1:CB$87,'Fórmula'!J100,9)))</f>
        <v>8</v>
      </c>
      <c r="AE100" s="105">
        <f t="shared" si="5"/>
        <v>79</v>
      </c>
      <c r="AF100" s="106">
        <f t="array" ref="AF100">(('Fórmula'!C100)/('Fórmula'!C100+'Fórmula'!E100+'Fórmula'!G100+'Fórmula'!I100+'Fórmula'!K100))*(INDEX(properties!A$1:CB$87,'Fórmula'!B100,10))+(('Fórmula'!E100)/('Fórmula'!C100+'Fórmula'!E100+'Fórmula'!G100+'Fórmula'!I100+'Fórmula'!K100))*(INDEX(properties!A$1:CB$87,'Fórmula'!D100,10))+(('Fórmula'!G100)/('Fórmula'!C100+'Fórmula'!E100+'Fórmula'!G100+'Fórmula'!I100+'Fórmula'!K100))*(INDEX(properties!A$1:CB$87,'Fórmula'!F100,10))+(('Fórmula'!I100)/('Fórmula'!C100+'Fórmula'!E100+'Fórmula'!G100+'Fórmula'!I100+'Fórmula'!K100))*(INDEX(properties!A$1:CB$87,'Fórmula'!H100,10))+(('Fórmula'!K100)/('Fórmula'!C100+'Fórmula'!E100+'Fórmula'!G100+'Fórmula'!I100+'Fórmula'!K100))*(INDEX(properties!A$1:CB$87,'Fórmula'!J100,10))</f>
        <v>5.222222222</v>
      </c>
      <c r="AG100" s="106">
        <f t="array" ref="AG100">'Fórmula'!C100*(INDEX(properties!A$1:CB$87,'Fórmula'!B100,10))+'Fórmula'!E100*(INDEX(properties!A$1:CB$87,'Fórmula'!D100,10))+'Fórmula'!G100*(INDEX(properties!A$1:CB$87,'Fórmula'!F100,10))+'Fórmula'!I100*(INDEX(properties!A$1:CB$87,'Fórmula'!H100,10))+'Fórmula'!K100*(INDEX(properties!A$1:CB$87,'Fórmula'!J100,10))</f>
        <v>47</v>
      </c>
      <c r="AH100" s="106">
        <f t="array" ref="AH100">VARP(IF(INDEX(properties!A$1:CB$87,'Fórmula'!B100,10)&lt;&gt;"",INDEX(properties!A$1:CB$87,'Fórmula'!B100,10)),IF(INDEX(properties!A$1:CB$87,'Fórmula'!D100,10)&lt;&gt;"",INDEX(properties!A$1:CB$87,'Fórmula'!D100,10)),IF(INDEX(properties!A$1:CB$87,'Fórmula'!F100,10)&lt;&gt;"",INDEX(properties!A$1:CB$87,'Fórmula'!F100,10)),IF(INDEX(properties!A$1:CB$87,'Fórmula'!H100,10)&lt;&gt;"",INDEX(properties!A$1:CB$87,'Fórmula'!H100,10)),IF(INDEX(properties!A$1:CB$87,'Fórmula'!J100,10)&lt;&gt;"",INDEX(properties!A$1:CB$87,'Fórmula'!J100,10)))</f>
        <v>5.84</v>
      </c>
      <c r="AI100" s="106">
        <f t="array" ref="AI100">MAX(INDEX(properties!A$1:CB$87,'Fórmula'!B100,10),INDEX(properties!A$1:CB$87,'Fórmula'!D100,10),INDEX(properties!A$1:CB$87,'Fórmula'!F100,10),INDEX(properties!A$1:CB$87,'Fórmula'!H100,10),INDEX(properties!A$1:CB$87,'Fórmula'!J100,10))</f>
        <v>7</v>
      </c>
      <c r="AJ100" s="106">
        <f t="array" ref="AJ100">MIN(IF(INDEX(properties!A$1:CB$87,'Fórmula'!B100,10)=0,10^6,INDEX(properties!A$1:CB$87,'Fórmula'!B100,10)),IF(INDEX(properties!A$1:CB$87,'Fórmula'!D100,10)=0,10^6,INDEX(properties!A$1:CB$87,'Fórmula'!D100,10)),IF(INDEX(properties!A$1:CB$87,'Fórmula'!F100,10)=0,10^6,INDEX(properties!A$1:CB$87,'Fórmula'!F100,10)),IF(INDEX(properties!A$1:CB$87,'Fórmula'!H100,10)=0,10^6,INDEX(properties!A$1:CB$87,'Fórmula'!H100,10)),IF(INDEX(properties!A$1:CB$87,'Fórmula'!J100,10)=0,10^6,INDEX(properties!A$1:CB$87,'Fórmula'!J100,10)))</f>
        <v>2</v>
      </c>
      <c r="AK100" s="106">
        <f t="shared" si="6"/>
        <v>5</v>
      </c>
      <c r="AL100" s="107">
        <f t="array" ref="AL100">(('Fórmula'!C100)/('Fórmula'!C100+'Fórmula'!E100+'Fórmula'!G100+'Fórmula'!I100+'Fórmula'!K100))*(INDEX(properties!A$1:CB$87,'Fórmula'!B100,11))+(('Fórmula'!E100)/('Fórmula'!C100+'Fórmula'!E100+'Fórmula'!G100+'Fórmula'!I100+'Fórmula'!K100))*(INDEX(properties!A$1:CB$87,'Fórmula'!D100,11))+(('Fórmula'!G100)/('Fórmula'!C100+'Fórmula'!E100+'Fórmula'!G100+'Fórmula'!I100+'Fórmula'!K100))*(INDEX(properties!A$1:CB$87,'Fórmula'!F100,11))+(('Fórmula'!I100)/('Fórmula'!C100+'Fórmula'!E100+'Fórmula'!G100+'Fórmula'!I100+'Fórmula'!K100))*(INDEX(properties!A$1:CB$87,'Fórmula'!H100,11))+(('Fórmula'!K100)/('Fórmula'!C100+'Fórmula'!E100+'Fórmula'!G100+'Fórmula'!I100+'Fórmula'!K100))*(INDEX(properties!A$1:CB$87,'Fórmula'!J100,11))</f>
        <v>2</v>
      </c>
      <c r="AM100" s="107">
        <f t="array" ref="AM100">'Fórmula'!C100*(INDEX(properties!A$1:CB$87,'Fórmula'!B100,11))+'Fórmula'!E100*(INDEX(properties!A$1:CB$87,'Fórmula'!D100,11))+'Fórmula'!G100*(INDEX(properties!A$1:CB$87,'Fórmula'!F100,11))+'Fórmula'!I100*(INDEX(properties!A$1:CB$87,'Fórmula'!H100,11))+'Fórmula'!K100*(INDEX(properties!A$1:CB$87,'Fórmula'!J100,11))</f>
        <v>18</v>
      </c>
      <c r="AN100" s="107">
        <f t="array" ref="AN100">VARP(IF(INDEX(properties!A$1:CB$87,'Fórmula'!B100,11)&lt;&gt;"",INDEX(properties!A$1:CB$87,'Fórmula'!B100,11)),IF(INDEX(properties!A$1:CB$87,'Fórmula'!D100,11)&lt;&gt;"",INDEX(properties!A$1:CB$87,'Fórmula'!D100,11)),IF(INDEX(properties!A$1:CB$87,'Fórmula'!F100,11)&lt;&gt;"",INDEX(properties!A$1:CB$87,'Fórmula'!F100,11)),IF(INDEX(properties!A$1:CB$87,'Fórmula'!H100,11)&lt;&gt;"",INDEX(properties!A$1:CB$87,'Fórmula'!H100,11)),IF(INDEX(properties!A$1:CB$87,'Fórmula'!J100,11)&lt;&gt;"",INDEX(properties!A$1:CB$87,'Fórmula'!J100,11)))</f>
        <v>0.64</v>
      </c>
      <c r="AO100" s="107">
        <f t="array" ref="AO100">MAX(INDEX(properties!A$1:CB$87,'Fórmula'!B100,11),INDEX(properties!A$1:CB$87,'Fórmula'!D100,11),INDEX(properties!A$1:CB$87,'Fórmula'!F100,11),INDEX(properties!A$1:CB$87,'Fórmula'!H100,11),INDEX(properties!A$1:CB$87,'Fórmula'!J100,11))</f>
        <v>2</v>
      </c>
      <c r="AP100" s="107">
        <f t="array" ref="AP100">MIN(IF('Fórmula'!B100=87,10^6,INDEX(properties!A$1:CB$87,'Fórmula'!B100,11)),IF(('Fórmula'!D100)=87,10^6,INDEX(properties!A$1:CB$87,'Fórmula'!D100,11)),IF(('Fórmula'!F100)=87,10^6,INDEX(properties!A$1:CB$87,'Fórmula'!F100,11)),IF(('Fórmula'!H100)=87,10^6,INDEX(properties!A$1:CB$87,'Fórmula'!H100,11)),IF('Fórmula'!J100=87,10^6,INDEX(properties!A$1:CB$87,'Fórmula'!J100,11)))</f>
        <v>2</v>
      </c>
      <c r="AQ100" s="107">
        <f t="shared" si="7"/>
        <v>0</v>
      </c>
      <c r="AR100" s="108">
        <f t="array" ref="AR100">(('Fórmula'!C100)/('Fórmula'!C100+'Fórmula'!E100+'Fórmula'!G100+'Fórmula'!I100+'Fórmula'!K100))*(INDEX(properties!A$1:CB$87,'Fórmula'!B100,12))+(('Fórmula'!E100)/('Fórmula'!C100+'Fórmula'!E100+'Fórmula'!G100+'Fórmula'!I100+'Fórmula'!K100))*(INDEX(properties!A$1:CB$87,'Fórmula'!D100,12))+(('Fórmula'!G100)/('Fórmula'!C100+'Fórmula'!E100+'Fórmula'!G100+'Fórmula'!I100+'Fórmula'!K100))*(INDEX(properties!A$1:CB$87,'Fórmula'!F100,12))+(('Fórmula'!I100)/('Fórmula'!C100+'Fórmula'!E100+'Fórmula'!G100+'Fórmula'!I100+'Fórmula'!K100))*(INDEX(properties!A$1:CB$87,'Fórmula'!H100,12))+(('Fórmula'!K100)/('Fórmula'!C100+'Fórmula'!E100+'Fórmula'!G100+'Fórmula'!I100+'Fórmula'!K100))*(INDEX(properties!A$1:CB$87,'Fórmula'!J100,12))</f>
        <v>2.333333333</v>
      </c>
      <c r="AS100" s="108">
        <f t="array" ref="AS100">'Fórmula'!C100*(INDEX(properties!A$1:CB$87,'Fórmula'!B100,12))+'Fórmula'!E100*(INDEX(properties!A$1:CB$87,'Fórmula'!D100,12))+'Fórmula'!G100*(INDEX(properties!A$1:CB$87,'Fórmula'!F100,12))+'Fórmula'!I100*(INDEX(properties!A$1:CB$87,'Fórmula'!H100,12))+'Fórmula'!K100*(INDEX(properties!A$1:CB$87,'Fórmula'!J100,12))</f>
        <v>21</v>
      </c>
      <c r="AT100" s="108">
        <f t="array" ref="AT100">VARP(IF(INDEX(properties!A$1:CB$87,'Fórmula'!B100,12)&lt;&gt;"",INDEX(properties!A$1:CB$87,'Fórmula'!B100,12)),IF(INDEX(properties!A$1:CB$87,'Fórmula'!D100,12)&lt;&gt;"",INDEX(properties!A$1:CB$87,'Fórmula'!D100,12)),IF(INDEX(properties!A$1:CB$87,'Fórmula'!F100,12)&lt;&gt;"",INDEX(properties!A$1:CB$87,'Fórmula'!F100,12)),IF(INDEX(properties!A$1:CB$87,'Fórmula'!H100,12)&lt;&gt;"",INDEX(properties!A$1:CB$87,'Fórmula'!H100,12)),IF(INDEX(properties!A$1:CB$87,'Fórmula'!J100,12)&lt;&gt;"",INDEX(properties!A$1:CB$87,'Fórmula'!J100,12)))</f>
        <v>2.4</v>
      </c>
      <c r="AU100" s="108">
        <f t="array" ref="AU100">MAX(INDEX(properties!A$1:CB$87,'Fórmula'!B100,12),INDEX(properties!A$1:CB$87,'Fórmula'!D100,12),INDEX(properties!A$1:CB$87,'Fórmula'!F100,12),INDEX(properties!A$1:CB$87,'Fórmula'!H100,12),INDEX(properties!A$1:CB$87,'Fórmula'!J100,12))</f>
        <v>4</v>
      </c>
      <c r="AV100" s="108">
        <f t="array" ref="AV100">MIN(IF('Fórmula'!B100=87,10^6,INDEX(properties!A$1:CB$87,'Fórmula'!B100,12)),IF(('Fórmula'!D100)=87,10^6,INDEX(properties!A$1:CB$87,'Fórmula'!D100,12)),IF(('Fórmula'!F100)=87,10^6,INDEX(properties!A$1:CB$87,'Fórmula'!F100,12)),IF(('Fórmula'!H100)=87,10^6,INDEX(properties!A$1:CB$87,'Fórmula'!H100,12)),IF('Fórmula'!J100=87,10^6,INDEX(properties!A$1:CB$87,'Fórmula'!J100,12)))</f>
        <v>0</v>
      </c>
      <c r="AW100" s="108">
        <f t="shared" si="8"/>
        <v>4</v>
      </c>
      <c r="AX100" s="109">
        <f t="array" ref="AX100">(('Fórmula'!C100)/('Fórmula'!C100+'Fórmula'!E100+'Fórmula'!G100+'Fórmula'!I100+'Fórmula'!K100))*(INDEX(properties!A$1:CB$87,'Fórmula'!B100,13))+(('Fórmula'!E100)/('Fórmula'!C100+'Fórmula'!E100+'Fórmula'!G100+'Fórmula'!I100+'Fórmula'!K100))*(INDEX(properties!A$1:CB$87,'Fórmula'!D100,13))+(('Fórmula'!G100)/('Fórmula'!C100+'Fórmula'!E100+'Fórmula'!G100+'Fórmula'!I100+'Fórmula'!K100))*(INDEX(properties!A$1:CB$87,'Fórmula'!F100,13))+(('Fórmula'!I100)/('Fórmula'!C100+'Fórmula'!E100+'Fórmula'!G100+'Fórmula'!I100+'Fórmula'!K100))*(INDEX(properties!A$1:CB$87,'Fórmula'!H100,13))+(('Fórmula'!K100)/('Fórmula'!C100+'Fórmula'!E100+'Fórmula'!G100+'Fórmula'!I100+'Fórmula'!K100))*(INDEX(properties!A$1:CB$87,'Fórmula'!J100,13))</f>
        <v>0.1111111111</v>
      </c>
      <c r="AY100" s="109">
        <f t="array" ref="AY100">'Fórmula'!C100*(INDEX(properties!A$1:CB$87,'Fórmula'!B100,13))+'Fórmula'!E100*(INDEX(properties!A$1:CB$87,'Fórmula'!D100,13))+'Fórmula'!G100*(INDEX(properties!A$1:CB$87,'Fórmula'!F100,13))+'Fórmula'!I100*(INDEX(properties!A$1:CB$87,'Fórmula'!H100,13))+'Fórmula'!K100*(INDEX(properties!A$1:CB$87,'Fórmula'!J100,13))</f>
        <v>1</v>
      </c>
      <c r="AZ100" s="109">
        <f t="array" ref="AZ100">VARP(IF(INDEX(properties!A$1:CB$87,'Fórmula'!B100,13)&lt;&gt;"",INDEX(properties!A$1:CB$87,'Fórmula'!B100,13)),IF(INDEX(properties!A$1:CB$87,'Fórmula'!D100,13)&lt;&gt;"",INDEX(properties!A$1:CB$87,'Fórmula'!D100,13)),IF(INDEX(properties!A$1:CB$87,'Fórmula'!F100,13)&lt;&gt;"",INDEX(properties!A$1:CB$87,'Fórmula'!F100,13)),IF(INDEX(properties!A$1:CB$87,'Fórmula'!H100,13)&lt;&gt;"",INDEX(properties!A$1:CB$87,'Fórmula'!H100,13)),IF(INDEX(properties!A$1:CB$87,'Fórmula'!J100,13)&lt;&gt;"",INDEX(properties!A$1:CB$87,'Fórmula'!J100,13)))</f>
        <v>0.16</v>
      </c>
      <c r="BA100" s="109">
        <f t="array" ref="BA100">MAX(INDEX(properties!A$1:CB$87,'Fórmula'!B100,13),INDEX(properties!A$1:CB$87,'Fórmula'!D100,13),INDEX(properties!A$1:CB$87,'Fórmula'!F100,13),INDEX(properties!A$1:CB$87,'Fórmula'!H100,13),INDEX(properties!A$1:CB$87,'Fórmula'!J100,13))</f>
        <v>1</v>
      </c>
      <c r="BB100" s="109">
        <f t="array" ref="BB100">MIN(IF('Fórmula'!B100=87,10^6,INDEX(properties!A$1:CB$87,'Fórmula'!B100,13)),IF(('Fórmula'!D100)=87,10^6,INDEX(properties!A$1:CB$87,'Fórmula'!D100,13)),IF(('Fórmula'!F100)=87,10^6,INDEX(properties!A$1:CB$87,'Fórmula'!F100,13)),IF(('Fórmula'!H100)=87,10^6,INDEX(properties!A$1:CB$87,'Fórmula'!H100,13)),IF('Fórmula'!J100=87,10^6,INDEX(properties!A$1:CB$87,'Fórmula'!J100,13)))</f>
        <v>0</v>
      </c>
      <c r="BC100" s="109">
        <f t="shared" si="9"/>
        <v>1</v>
      </c>
      <c r="BD100" s="110">
        <f t="array" ref="BD100">(('Fórmula'!C100)/('Fórmula'!C100+'Fórmula'!E100+'Fórmula'!G100+'Fórmula'!I100+'Fórmula'!K100))*(INDEX(properties!A$1:CB$87,'Fórmula'!B100,14))+(('Fórmula'!E100)/('Fórmula'!C100+'Fórmula'!E100+'Fórmula'!G100+'Fórmula'!I100+'Fórmula'!K100))*(INDEX(properties!A$1:CB$87,'Fórmula'!D100,14))+(('Fórmula'!G100)/('Fórmula'!C100+'Fórmula'!E100+'Fórmula'!G100+'Fórmula'!I100+'Fórmula'!K100))*(INDEX(properties!A$1:CB$87,'Fórmula'!F100,14))+(('Fórmula'!I100)/('Fórmula'!C100+'Fórmula'!E100+'Fórmula'!G100+'Fórmula'!I100+'Fórmula'!K100))*(INDEX(properties!A$1:CB$87,'Fórmula'!H100,14))+(('Fórmula'!K100)/('Fórmula'!C100+'Fórmula'!E100+'Fórmula'!G100+'Fórmula'!I100+'Fórmula'!K100))*(INDEX(properties!A$1:CB$87,'Fórmula'!J100,14))</f>
        <v>0</v>
      </c>
      <c r="BE100" s="110">
        <f t="array" ref="BE100">'Fórmula'!C100*(INDEX(properties!A$1:CB$87,'Fórmula'!B100,14))+'Fórmula'!E100*(INDEX(properties!A$1:CB$87,'Fórmula'!D100,14))+'Fórmula'!G100*(INDEX(properties!A$1:CB$87,'Fórmula'!F100,14))+'Fórmula'!I100*(INDEX(properties!A$1:CB$87,'Fórmula'!H100,14))+'Fórmula'!K100*(INDEX(properties!A$1:CB$87,'Fórmula'!J100,14))</f>
        <v>0</v>
      </c>
      <c r="BF100" s="110">
        <f t="array" ref="BF100">VARP(IF(INDEX(properties!A$1:CB$87,'Fórmula'!B100,14)&lt;&gt;"",INDEX(properties!A$1:CB$87,'Fórmula'!B100,14)),IF(INDEX(properties!A$1:CB$87,'Fórmula'!D100,14)&lt;&gt;"",INDEX(properties!A$1:CB$87,'Fórmula'!D100,14)),IF(INDEX(properties!A$1:CB$87,'Fórmula'!F100,14)&lt;&gt;"",INDEX(properties!A$1:CB$87,'Fórmula'!F100,14)),IF(INDEX(properties!A$1:CB$87,'Fórmula'!H100,14)&lt;&gt;"",INDEX(properties!A$1:CB$87,'Fórmula'!H100,14)),IF(INDEX(properties!A$1:CB$87,'Fórmula'!J100,14)&lt;&gt;"",INDEX(properties!A$1:CB$87,'Fórmula'!J100,14)))</f>
        <v>0</v>
      </c>
      <c r="BG100" s="110">
        <f t="array" ref="BG100">MAX(INDEX(properties!A$1:CB$87,'Fórmula'!B100,14),INDEX(properties!A$1:CB$87,'Fórmula'!D100,14),INDEX(properties!A$1:CB$87,'Fórmula'!F100,14),INDEX(properties!A$1:CB$87,'Fórmula'!H100,14),INDEX(properties!A$1:CB$87,'Fórmula'!J100,14))</f>
        <v>0</v>
      </c>
      <c r="BH100" s="110">
        <f t="array" ref="BH100">MIN(IF('Fórmula'!B100=87,10^6,INDEX(properties!A$1:CB$87,'Fórmula'!B100,14)),IF(('Fórmula'!D100)=87,10^6,INDEX(properties!A$1:CB$87,'Fórmula'!D100,14)),IF(('Fórmula'!F100)=87,10^6,INDEX(properties!A$1:CB$87,'Fórmula'!F100,14)),IF(('Fórmula'!H100)=87,10^6,INDEX(properties!A$1:CB$87,'Fórmula'!H100,14)),IF('Fórmula'!J100=87,10^6,INDEX(properties!A$1:CB$87,'Fórmula'!J100,14)))</f>
        <v>0</v>
      </c>
      <c r="BI100" s="110">
        <f t="shared" si="10"/>
        <v>0</v>
      </c>
      <c r="BJ100" s="111">
        <f t="array" ref="BJ100">(('Fórmula'!C100)/('Fórmula'!C100+'Fórmula'!E100+'Fórmula'!G100+'Fórmula'!I100+'Fórmula'!K100))*(INDEX(properties!A$1:CB$87,'Fórmula'!B100,19))+(('Fórmula'!E100)/('Fórmula'!C100+'Fórmula'!E100+'Fórmula'!G100+'Fórmula'!I100+'Fórmula'!K100))*(INDEX(properties!A$1:CB$87,'Fórmula'!D100,19))+(('Fórmula'!G100)/('Fórmula'!C100+'Fórmula'!E100+'Fórmula'!G100+'Fórmula'!I100+'Fórmula'!K100))*(INDEX(properties!A$1:CB$87,'Fórmula'!F100,19))+(('Fórmula'!I100)/('Fórmula'!C100+'Fórmula'!E100+'Fórmula'!G100+'Fórmula'!I100+'Fórmula'!K100))*(INDEX(properties!A$1:CB$87,'Fórmula'!H100,19))+(('Fórmula'!K100)/('Fórmula'!C100+'Fórmula'!E100+'Fórmula'!G100+'Fórmula'!I100+'Fórmula'!K100))*(INDEX(properties!A$1:CB$87,'Fórmula'!J100,19))</f>
        <v>4.444444444</v>
      </c>
      <c r="BK100" s="111">
        <f t="array" ref="BK100">'Fórmula'!C100*(INDEX(properties!A$1:CB$87,'Fórmula'!B100,19))+'Fórmula'!E100*(INDEX(properties!A$1:CB$87,'Fórmula'!D100,19))+'Fórmula'!G100*(INDEX(properties!A$1:CB$87,'Fórmula'!F100,19))+'Fórmula'!I100*(INDEX(properties!A$1:CB$87,'Fórmula'!H100,19))+'Fórmula'!K100*(INDEX(properties!A$1:CB$87,'Fórmula'!J100,19))</f>
        <v>40</v>
      </c>
      <c r="BL100" s="111">
        <f t="array" ref="BL100">VARP(IF(INDEX(properties!A$1:CB$87,'Fórmula'!B100,19)&lt;&gt;"",INDEX(properties!A$1:CB$87,'Fórmula'!B100,19)),IF(INDEX(properties!A$1:CB$87,'Fórmula'!D100,19)&lt;&gt;"",INDEX(properties!A$1:CB$87,'Fórmula'!D100,19)),IF(INDEX(properties!A$1:CB$87,'Fórmula'!F100,19)&lt;&gt;"",INDEX(properties!A$1:CB$87,'Fórmula'!F100,19)),IF(INDEX(properties!A$1:CB$87,'Fórmula'!H100,19)&lt;&gt;"",INDEX(properties!A$1:CB$87,'Fórmula'!H100,19)),IF(INDEX(properties!A$1:CB$87,'Fórmula'!J100,19)&lt;&gt;"",INDEX(properties!A$1:CB$87,'Fórmula'!J100,19)))</f>
        <v>3.76</v>
      </c>
      <c r="BM100" s="111">
        <f t="array" ref="BM100">MAX(INDEX(properties!A$1:CB$87,'Fórmula'!B100,19),INDEX(properties!A$1:CB$87,'Fórmula'!D100,19),INDEX(properties!A$1:CB$87,'Fórmula'!F100,19),INDEX(properties!A$1:CB$87,'Fórmula'!H100,19),INDEX(properties!A$1:CB$87,'Fórmula'!J100,19))</f>
        <v>6</v>
      </c>
      <c r="BN100" s="111">
        <f t="array" ref="BN100">MIN(IF(INDEX(properties!A$1:CB$87,'Fórmula'!B100,19)=0,10^6,INDEX(properties!A$1:CB$87,'Fórmula'!B100,19)),IF(INDEX(properties!A$1:CB$87,'Fórmula'!D100,19)=0,10^6,INDEX(properties!A$1:CB$87,'Fórmula'!D100,19)),IF(INDEX(properties!A$1:CB$87,'Fórmula'!F100,19)=0,10^6,INDEX(properties!A$1:CB$87,'Fórmula'!F100,19)),IF(INDEX(properties!A$1:CB$87,'Fórmula'!H100,19)=0,10^6,INDEX(properties!A$1:CB$87,'Fórmula'!H100,19)),IF(INDEX(properties!A$1:CB$87,'Fórmula'!J100,19)=0,10^6,INDEX(properties!A$1:CB$87,'Fórmula'!J100,19)))</f>
        <v>2</v>
      </c>
      <c r="BO100" s="111">
        <f t="shared" si="11"/>
        <v>4</v>
      </c>
      <c r="BP100" s="112">
        <f t="array" ref="BP100">(('Fórmula'!C100)/('Fórmula'!C100+'Fórmula'!E100+'Fórmula'!G100+'Fórmula'!I100+'Fórmula'!K100))*(INDEX(properties!A$1:CB$87,'Fórmula'!B100,20))+(('Fórmula'!E100)/('Fórmula'!C100+'Fórmula'!E100+'Fórmula'!G100+'Fórmula'!I100+'Fórmula'!K100))*(INDEX(properties!A$1:CB$87,'Fórmula'!D100,20))+(('Fórmula'!G100)/('Fórmula'!C100+'Fórmula'!E100+'Fórmula'!G100+'Fórmula'!I100+'Fórmula'!K100))*(INDEX(properties!A$1:CB$87,'Fórmula'!F100,20))+(('Fórmula'!I100)/('Fórmula'!C100+'Fórmula'!E100+'Fórmula'!G100+'Fórmula'!I100+'Fórmula'!K100))*(INDEX(properties!A$1:CB$87,'Fórmula'!H100,20))+(('Fórmula'!K100)/('Fórmula'!C100+'Fórmula'!E100+'Fórmula'!G100+'Fórmula'!I100+'Fórmula'!K100))*(INDEX(properties!A$1:CB$87,'Fórmula'!J100,20))</f>
        <v>4.333333333</v>
      </c>
      <c r="BQ100" s="112">
        <f t="array" ref="BQ100">'Fórmula'!C100*(INDEX(properties!A$1:CB$87,'Fórmula'!B100,20))+'Fórmula'!E100*(INDEX(properties!A$1:CB$87,'Fórmula'!D100,20))+'Fórmula'!G100*(INDEX(properties!A$1:CB$87,'Fórmula'!F100,20))+'Fórmula'!I100*(INDEX(properties!A$1:CB$87,'Fórmula'!H100,20))+'Fórmula'!K100*(INDEX(properties!A$1:CB$87,'Fórmula'!J100,20))</f>
        <v>39</v>
      </c>
      <c r="BR100" s="112">
        <f t="array" ref="BR100">VARP(IF(INDEX(properties!A$1:CB$87,'Fórmula'!B100,20)&lt;&gt;"",INDEX(properties!A$1:CB$87,'Fórmula'!B100,20)),IF(INDEX(properties!A$1:CB$87,'Fórmula'!D100,20)&lt;&gt;"",INDEX(properties!A$1:CB$87,'Fórmula'!D100,20)),IF(INDEX(properties!A$1:CB$87,'Fórmula'!F100,20)&lt;&gt;"",INDEX(properties!A$1:CB$87,'Fórmula'!F100,20)),IF(INDEX(properties!A$1:CB$87,'Fórmula'!H100,20)&lt;&gt;"",INDEX(properties!A$1:CB$87,'Fórmula'!H100,20)),IF(INDEX(properties!A$1:CB$87,'Fórmula'!J100,20)&lt;&gt;"",INDEX(properties!A$1:CB$87,'Fórmula'!J100,20)))</f>
        <v>3.84</v>
      </c>
      <c r="BS100" s="112">
        <f t="array" ref="BS100">MAX(INDEX(properties!A$1:CB$87,'Fórmula'!B100,20),INDEX(properties!A$1:CB$87,'Fórmula'!D100,20),INDEX(properties!A$1:CB$87,'Fórmula'!F100,20),INDEX(properties!A$1:CB$87,'Fórmula'!H100,20),INDEX(properties!A$1:CB$87,'Fórmula'!J100,20))</f>
        <v>6</v>
      </c>
      <c r="BT100" s="112">
        <f t="array" ref="BT100">MIN(IF(INDEX(properties!A$1:CB$87,'Fórmula'!B100,20)=0,10^6,INDEX(properties!A$1:CB$87,'Fórmula'!B100,20)),IF(INDEX(properties!A$1:CB$87,'Fórmula'!D100,20)=0,10^6,INDEX(properties!A$1:CB$87,'Fórmula'!D100,20)),IF(INDEX(properties!A$1:CB$87,'Fórmula'!F100,20)=0,10^6,INDEX(properties!A$1:CB$87,'Fórmula'!F100,20)),IF(INDEX(properties!A$1:CB$87,'Fórmula'!H100,20)=0,10^6,INDEX(properties!A$1:CB$87,'Fórmula'!H100,20)),IF(INDEX(properties!A$1:CB$87,'Fórmula'!J100,20)=0,10^6,INDEX(properties!A$1:CB$87,'Fórmula'!J100,20)))</f>
        <v>2</v>
      </c>
      <c r="BU100" s="112">
        <f t="shared" si="12"/>
        <v>4</v>
      </c>
      <c r="BV100" s="113">
        <f t="array" ref="BV100">(('Fórmula'!C100)/('Fórmula'!C100+'Fórmula'!E100+'Fórmula'!G100+'Fórmula'!I100+'Fórmula'!K100))*(INDEX(properties!A$1:CB$87,'Fórmula'!B100,21))+(('Fórmula'!E100)/('Fórmula'!C100+'Fórmula'!E100+'Fórmula'!G100+'Fórmula'!I100+'Fórmula'!K100))*(INDEX(properties!A$1:CB$87,'Fórmula'!D100,21))+(('Fórmula'!G100)/('Fórmula'!C100+'Fórmula'!E100+'Fórmula'!G100+'Fórmula'!I100+'Fórmula'!K100))*(INDEX(properties!A$1:CB$87,'Fórmula'!F100,21))+(('Fórmula'!I100)/('Fórmula'!C100+'Fórmula'!E100+'Fórmula'!G100+'Fórmula'!I100+'Fórmula'!K100))*(INDEX(properties!A$1:CB$87,'Fórmula'!H100,21))+(('Fórmula'!K100)/('Fórmula'!C100+'Fórmula'!E100+'Fórmula'!G100+'Fórmula'!I100+'Fórmula'!K100))*(INDEX(properties!A$1:CB$87,'Fórmula'!J100,21))</f>
        <v>4.222222222</v>
      </c>
      <c r="BW100" s="113">
        <f t="array" ref="BW100">'Fórmula'!C100*(INDEX(properties!A$1:CB$87,'Fórmula'!B100,21))+'Fórmula'!E100*(INDEX(properties!A$1:CB$87,'Fórmula'!D100,21))+'Fórmula'!G100*(INDEX(properties!A$1:CB$87,'Fórmula'!F100,21))+'Fórmula'!I100*(INDEX(properties!A$1:CB$87,'Fórmula'!H100,21))+'Fórmula'!K100*(INDEX(properties!A$1:CB$87,'Fórmula'!J100,21))</f>
        <v>38</v>
      </c>
      <c r="BX100" s="113">
        <f t="array" ref="BX100">VARP(IF(INDEX(properties!A$1:CB$87,'Fórmula'!B100,21)&lt;&gt;"",INDEX(properties!A$1:CB$87,'Fórmula'!B100,21)),IF(INDEX(properties!A$1:CB$87,'Fórmula'!D100,21)&lt;&gt;"",INDEX(properties!A$1:CB$87,'Fórmula'!D100,21)),IF(INDEX(properties!A$1:CB$87,'Fórmula'!F100,21)&lt;&gt;"",INDEX(properties!A$1:CB$87,'Fórmula'!F100,21)),IF(INDEX(properties!A$1:CB$87,'Fórmula'!H100,21)&lt;&gt;"",INDEX(properties!A$1:CB$87,'Fórmula'!H100,21)),IF(INDEX(properties!A$1:CB$87,'Fórmula'!J100,21)&lt;&gt;"",INDEX(properties!A$1:CB$87,'Fórmula'!J100,21)))</f>
        <v>4.24</v>
      </c>
      <c r="BY100" s="113">
        <f t="array" ref="BY100">MAX(INDEX(properties!A$1:CB$87,'Fórmula'!B100,21),INDEX(properties!A$1:CB$87,'Fórmula'!D100,21),INDEX(properties!A$1:CB$87,'Fórmula'!F100,21),INDEX(properties!A$1:CB$87,'Fórmula'!H100,21),INDEX(properties!A$1:CB$87,'Fórmula'!J100,21))</f>
        <v>6</v>
      </c>
      <c r="BZ100" s="113">
        <f t="array" ref="BZ100">MIN(IF(INDEX(properties!A$1:CB$87,'Fórmula'!B100,21)=0,10^6,INDEX(properties!A$1:CB$87,'Fórmula'!B100,21)),IF(INDEX(properties!A$1:CB$87,'Fórmula'!D100,21)=0,10^6,INDEX(properties!A$1:CB$87,'Fórmula'!D100,21)),IF(INDEX(properties!A$1:CB$87,'Fórmula'!F100,21)=0,10^6,INDEX(properties!A$1:CB$87,'Fórmula'!F100,21)),IF(INDEX(properties!A$1:CB$87,'Fórmula'!H100,21)=0,10^6,INDEX(properties!A$1:CB$87,'Fórmula'!H100,21)),IF(INDEX(properties!A$1:CB$87,'Fórmula'!J100,21)=0,10^6,INDEX(properties!A$1:CB$87,'Fórmula'!J100,21)))</f>
        <v>1</v>
      </c>
      <c r="CA100" s="113">
        <f t="shared" si="13"/>
        <v>5</v>
      </c>
      <c r="CB100" s="114">
        <f t="array" ref="CB100">(('Fórmula'!C100)/('Fórmula'!C100+'Fórmula'!E100+'Fórmula'!G100+'Fórmula'!I100+'Fórmula'!K100))*(INDEX(properties!A$1:CB$87,'Fórmula'!B100,23))+(('Fórmula'!E100)/('Fórmula'!C100+'Fórmula'!E100+'Fórmula'!G100+'Fórmula'!I100+'Fórmula'!K100))*(INDEX(properties!A$1:CB$87,'Fórmula'!D100,23))+(('Fórmula'!G100)/('Fórmula'!C100+'Fórmula'!E100+'Fórmula'!G100+'Fórmula'!I100+'Fórmula'!K100))*(INDEX(properties!A$1:CB$87,'Fórmula'!F100,23))+(('Fórmula'!I100)/('Fórmula'!C100+'Fórmula'!E100+'Fórmula'!G100+'Fórmula'!I100+'Fórmula'!K100))*(INDEX(properties!A$1:CB$87,'Fórmula'!H100,23))+(('Fórmula'!K100)/('Fórmula'!C100+'Fórmula'!E100+'Fórmula'!G100+'Fórmula'!I100+'Fórmula'!K100))*(INDEX(properties!A$1:CB$87,'Fórmula'!J100,23))</f>
        <v>1.111111111</v>
      </c>
      <c r="CC100" s="114">
        <f t="array" ref="CC100">'Fórmula'!C100*(INDEX(properties!A$1:CB$87,'Fórmula'!B100,23))+'Fórmula'!E100*(INDEX(properties!A$1:CB$87,'Fórmula'!D100,23))+'Fórmula'!G100*(INDEX(properties!A$1:CB$87,'Fórmula'!F100,23))+'Fórmula'!I100*(INDEX(properties!A$1:CB$87,'Fórmula'!H100,23))+'Fórmula'!K100*(INDEX(properties!A$1:CB$87,'Fórmula'!J100,23))</f>
        <v>10</v>
      </c>
      <c r="CD100" s="114">
        <f t="array" ref="CD100">VARP(IF(INDEX(properties!A$1:CB$87,'Fórmula'!B100,23)&lt;&gt;"",INDEX(properties!A$1:CB$87,'Fórmula'!B100,23)),IF(INDEX(properties!A$1:CB$87,'Fórmula'!D100,23)&lt;&gt;"",INDEX(properties!A$1:CB$87,'Fórmula'!D100,23)),IF(INDEX(properties!A$1:CB$87,'Fórmula'!F100,23)&lt;&gt;"",INDEX(properties!A$1:CB$87,'Fórmula'!F100,23)),IF(INDEX(properties!A$1:CB$87,'Fórmula'!H100,23)&lt;&gt;"",INDEX(properties!A$1:CB$87,'Fórmula'!H100,23)),IF(INDEX(properties!A$1:CB$87,'Fórmula'!J100,23)&lt;&gt;"",INDEX(properties!A$1:CB$87,'Fórmula'!J100,23)))</f>
        <v>1.84</v>
      </c>
      <c r="CE100" s="114">
        <f t="array" ref="CE100">MAX(INDEX(properties!A$1:CB$87,'Fórmula'!B100,23),INDEX(properties!A$1:CB$87,'Fórmula'!D100,23),INDEX(properties!A$1:CB$87,'Fórmula'!F100,23),INDEX(properties!A$1:CB$87,'Fórmula'!H100,23),INDEX(properties!A$1:CB$87,'Fórmula'!J100,23))</f>
        <v>3</v>
      </c>
      <c r="CF100" s="114">
        <f t="array" ref="CF100">MIN(IF('Fórmula'!B100=87,10^6,INDEX(properties!A$1:CB$87,'Fórmula'!B100,23)),IF(('Fórmula'!D100)=87,10^6,INDEX(properties!A$1:CB$87,'Fórmula'!D100,23)),IF(('Fórmula'!F100)=87,10^6,INDEX(properties!A$1:CB$87,'Fórmula'!F100,23)),IF(('Fórmula'!H100)=87,10^6,INDEX(properties!A$1:CB$87,'Fórmula'!H100,23)),IF('Fórmula'!J100=87,10^6,INDEX(properties!A$1:CB$87,'Fórmula'!J100,23)))</f>
        <v>0</v>
      </c>
      <c r="CG100" s="114">
        <f t="shared" si="14"/>
        <v>3</v>
      </c>
      <c r="CH100" s="115">
        <f t="array" ref="CH100">(('Fórmula'!C100)/('Fórmula'!C100+'Fórmula'!E100+'Fórmula'!G100+'Fórmula'!I100+'Fórmula'!K100))*(INDEX(properties!A$1:CB$87,'Fórmula'!B100,26))+(('Fórmula'!E100)/('Fórmula'!C100+'Fórmula'!E100+'Fórmula'!G100+'Fórmula'!I100+'Fórmula'!K100))*(INDEX(properties!A$1:CB$87,'Fórmula'!D100,26))+(('Fórmula'!G100)/('Fórmula'!C100+'Fórmula'!E100+'Fórmula'!G100+'Fórmula'!I100+'Fórmula'!K100))*(INDEX(properties!A$1:CB$87,'Fórmula'!F100,26))+(('Fórmula'!I100)/('Fórmula'!C100+'Fórmula'!E100+'Fórmula'!G100+'Fórmula'!I100+'Fórmula'!K100))*(INDEX(properties!A$1:CB$87,'Fórmula'!H100,26))+(('Fórmula'!K100)/('Fórmula'!C100+'Fórmula'!E100+'Fórmula'!G100+'Fórmula'!I100+'Fórmula'!K100))*(INDEX(properties!A$1:CB$87,'Fórmula'!J100,26))</f>
        <v>10.11588889</v>
      </c>
      <c r="CI100" s="115">
        <f t="array" ref="CI100">'Fórmula'!C100*(INDEX(properties!A$1:CB$87,'Fórmula'!B100,26))+'Fórmula'!E100*(INDEX(properties!A$1:CB$87,'Fórmula'!D100,26))+'Fórmula'!G100*(INDEX(properties!A$1:CB$87,'Fórmula'!F100,26))+'Fórmula'!I100*(INDEX(properties!A$1:CB$87,'Fórmula'!H100,26))+'Fórmula'!K100*(INDEX(properties!A$1:CB$87,'Fórmula'!J100,26))</f>
        <v>91.043</v>
      </c>
      <c r="CJ100" s="115">
        <f t="array" ref="CJ100">VARP(IF(INDEX(properties!A$1:CB$87,'Fórmula'!B100,26)&lt;&gt;"",INDEX(properties!A$1:CB$87,'Fórmula'!B100,26)),IF(INDEX(properties!A$1:CB$87,'Fórmula'!D100,26)&lt;&gt;"",INDEX(properties!A$1:CB$87,'Fórmula'!D100,26)),IF(INDEX(properties!A$1:CB$87,'Fórmula'!F100,26)&lt;&gt;"",INDEX(properties!A$1:CB$87,'Fórmula'!F100,26)),IF(INDEX(properties!A$1:CB$87,'Fórmula'!H100,26)&lt;&gt;"",INDEX(properties!A$1:CB$87,'Fórmula'!H100,26)),IF(INDEX(properties!A$1:CB$87,'Fórmula'!J100,26)&lt;&gt;"",INDEX(properties!A$1:CB$87,'Fórmula'!J100,26)))</f>
        <v>18.83087575</v>
      </c>
      <c r="CK100" s="116">
        <f t="array" ref="CK100">MAX(INDEX(properties!A$1:CB$87,'Fórmula'!B100,26),INDEX(properties!A$1:CB$87,'Fórmula'!D100,26),INDEX(properties!A$1:CB$87,'Fórmula'!F100,26),INDEX(properties!A$1:CB$87,'Fórmula'!H100,26),INDEX(properties!A$1:CB$87,'Fórmula'!J100,26))</f>
        <v>13.6181</v>
      </c>
      <c r="CL100" s="116">
        <f t="array" ref="CL100">MIN(IF(INDEX(properties!A$1:CB$87,'Fórmula'!B100,26)=0,10^6,INDEX(properties!A$1:CB$87,'Fórmula'!B100,26)),IF(INDEX(properties!A$1:CB$87,'Fórmula'!D100,26)=0,10^6,INDEX(properties!A$1:CB$87,'Fórmula'!D100,26)),IF(INDEX(properties!A$1:CB$87,'Fórmula'!F100,26)=0,10^6,INDEX(properties!A$1:CB$87,'Fórmula'!F100,26)),IF(INDEX(properties!A$1:CB$87,'Fórmula'!H100,26)=0,10^6,INDEX(properties!A$1:CB$87,'Fórmula'!H100,26)),IF(INDEX(properties!A$1:CB$87,'Fórmula'!J100,26)=0,10^6,INDEX(properties!A$1:CB$87,'Fórmula'!J100,26)))</f>
        <v>5.5769</v>
      </c>
      <c r="CM100" s="115">
        <f t="shared" si="15"/>
        <v>8.0412</v>
      </c>
      <c r="CN100" s="117">
        <f t="array" ref="CN100">(('Fórmula'!C100)/('Fórmula'!C100+'Fórmula'!E100+'Fórmula'!G100+'Fórmula'!I100+'Fórmula'!K100))*(INDEX(properties!A$1:CB$87,'Fórmula'!B100,30))+(('Fórmula'!E100)/('Fórmula'!C100+'Fórmula'!E100+'Fórmula'!G100+'Fórmula'!I100+'Fórmula'!K100))*(INDEX(properties!A$1:CB$87,'Fórmula'!D100,30))+(('Fórmula'!G100)/('Fórmula'!C100+'Fórmula'!E100+'Fórmula'!G100+'Fórmula'!I100+'Fórmula'!K100))*(INDEX(properties!A$1:CB$87,'Fórmula'!F100,30))+(('Fórmula'!I100)/('Fórmula'!C100+'Fórmula'!E100+'Fórmula'!G100+'Fórmula'!I100+'Fórmula'!K100))*(INDEX(properties!A$1:CB$87,'Fórmula'!H100,30))+(('Fórmula'!K100)/('Fórmula'!C100+'Fórmula'!E100+'Fórmula'!G100+'Fórmula'!I100+'Fórmula'!K100))*(INDEX(properties!A$1:CB$87,'Fórmula'!J100,30))</f>
        <v>2.423333333</v>
      </c>
      <c r="CO100" s="117">
        <f t="array" ref="CO100">'Fórmula'!C100*(INDEX(properties!A$1:CB$87,'Fórmula'!B100,30))+'Fórmula'!E100*(INDEX(properties!A$1:CB$87,'Fórmula'!D100,30))+'Fórmula'!G100*(INDEX(properties!A$1:CB$87,'Fórmula'!F100,30))+'Fórmula'!I100*(INDEX(properties!A$1:CB$87,'Fórmula'!H100,30))+'Fórmula'!K100*(INDEX(properties!A$1:CB$87,'Fórmula'!J100,30))</f>
        <v>21.81</v>
      </c>
      <c r="CP100" s="117">
        <f t="array" ref="CP100">VARP(IF(INDEX(properties!A$1:CB$87,'Fórmula'!B100,30)&lt;&gt;"",INDEX(properties!A$1:CB$87,'Fórmula'!B100,30)),IF(INDEX(properties!A$1:CB$87,'Fórmula'!D100,30)&lt;&gt;"",INDEX(properties!A$1:CB$87,'Fórmula'!D100,30)),IF(INDEX(properties!A$1:CB$87,'Fórmula'!F100,30)&lt;&gt;"",INDEX(properties!A$1:CB$87,'Fórmula'!F100,30)),IF(INDEX(properties!A$1:CB$87,'Fórmula'!H100,30)&lt;&gt;"",INDEX(properties!A$1:CB$87,'Fórmula'!H100,30)),IF(INDEX(properties!A$1:CB$87,'Fórmula'!J100,30)&lt;&gt;"",INDEX(properties!A$1:CB$87,'Fórmula'!J100,30)))</f>
        <v>1.29124</v>
      </c>
      <c r="CQ100" s="117">
        <f t="array" ref="CQ100">MAX(INDEX(properties!A$1:CB$87,'Fórmula'!B100,30),INDEX(properties!A$1:CB$87,'Fórmula'!D100,30),INDEX(properties!A$1:CB$87,'Fórmula'!F100,30),INDEX(properties!A$1:CB$87,'Fórmula'!H100,30),INDEX(properties!A$1:CB$87,'Fórmula'!J100,30))</f>
        <v>3.44</v>
      </c>
      <c r="CR100" s="117">
        <f t="array" ref="CR100">MIN(IF(INDEX(properties!A$1:CB$87,'Fórmula'!B100,30)=0,10^6,INDEX(properties!A$1:CB$87,'Fórmula'!B100,30)),IF(INDEX(properties!A$1:CB$87,'Fórmula'!D100,30)=0,10^6,INDEX(properties!A$1:CB$87,'Fórmula'!D100,30)),IF(INDEX(properties!A$1:CB$87,'Fórmula'!F100,30)=0,10^6,INDEX(properties!A$1:CB$87,'Fórmula'!F100,30)),IF(INDEX(properties!A$1:CB$87,'Fórmula'!H100,30)=0,10^6,INDEX(properties!A$1:CB$87,'Fórmula'!H100,30)),IF(INDEX(properties!A$1:CB$87,'Fórmula'!J100,30)=0,10^6,INDEX(properties!A$1:CB$87,'Fórmula'!J100,30)))</f>
        <v>0.95</v>
      </c>
      <c r="CS100" s="117">
        <f t="shared" si="16"/>
        <v>2.49</v>
      </c>
      <c r="CT100" s="118">
        <f t="array" ref="CT100">(('Fórmula'!C100)/('Fórmula'!C100+'Fórmula'!E100+'Fórmula'!G100+'Fórmula'!I100+'Fórmula'!K100))*(INDEX(properties!A$1:CB$87,'Fórmula'!B100,31))+(('Fórmula'!E100)/('Fórmula'!C100+'Fórmula'!E100+'Fórmula'!G100+'Fórmula'!I100+'Fórmula'!K100))*(INDEX(properties!A$1:CB$87,'Fórmula'!D100,31))+(('Fórmula'!G100)/('Fórmula'!C100+'Fórmula'!E100+'Fórmula'!G100+'Fórmula'!I100+'Fórmula'!K100))*(INDEX(properties!A$1:CB$87,'Fórmula'!F100,31))+(('Fórmula'!I100)/('Fórmula'!C100+'Fórmula'!E100+'Fórmula'!G100+'Fórmula'!I100+'Fórmula'!K100))*(INDEX(properties!A$1:CB$87,'Fórmula'!H100,31))+(('Fórmula'!K100)/('Fórmula'!C100+'Fórmula'!E100+'Fórmula'!G100+'Fórmula'!I100+'Fórmula'!K100))*(INDEX(properties!A$1:CB$87,'Fórmula'!J100,31))</f>
        <v>2.427777778</v>
      </c>
      <c r="CU100" s="118">
        <f t="array" ref="CU100">'Fórmula'!C100*(INDEX(properties!A$1:CB$87,'Fórmula'!B100,31))+'Fórmula'!E100*(INDEX(properties!A$1:CB$87,'Fórmula'!D100,31))+'Fórmula'!G100*(INDEX(properties!A$1:CB$87,'Fórmula'!F100,31))+'Fórmula'!I100*(INDEX(properties!A$1:CB$87,'Fórmula'!H100,31))+'Fórmula'!K100*(INDEX(properties!A$1:CB$87,'Fórmula'!J100,31))</f>
        <v>21.85</v>
      </c>
      <c r="CV100" s="118">
        <f t="array" ref="CV100">VARP(IF(INDEX(properties!A$1:CB$87,'Fórmula'!B100,31)&lt;&gt;"",INDEX(properties!A$1:CB$87,'Fórmula'!B100,31)),IF(INDEX(properties!A$1:CB$87,'Fórmula'!D100,31)&lt;&gt;"",INDEX(properties!A$1:CB$87,'Fórmula'!D100,31)),IF(INDEX(properties!A$1:CB$87,'Fórmula'!F100,31)&lt;&gt;"",INDEX(properties!A$1:CB$87,'Fórmula'!F100,31)),IF(INDEX(properties!A$1:CB$87,'Fórmula'!H100,31)&lt;&gt;"",INDEX(properties!A$1:CB$87,'Fórmula'!H100,31)),IF(INDEX(properties!A$1:CB$87,'Fórmula'!J100,31)&lt;&gt;"",INDEX(properties!A$1:CB$87,'Fórmula'!J100,31)))</f>
        <v>1.148136</v>
      </c>
      <c r="CW100" s="118">
        <f t="array" ref="CW100">MAX(INDEX(properties!A$1:CB$87,'Fórmula'!B100,31),INDEX(properties!A$1:CB$87,'Fórmula'!D100,31),INDEX(properties!A$1:CB$87,'Fórmula'!F100,31),INDEX(properties!A$1:CB$87,'Fórmula'!H100,31),INDEX(properties!A$1:CB$87,'Fórmula'!J100,31))</f>
        <v>3.32</v>
      </c>
      <c r="CX100" s="118">
        <f t="array" ref="CX100">MIN(IF(INDEX(properties!A$1:CB$87,'Fórmula'!B100,31)=0,10^6,INDEX(properties!A$1:CB$87,'Fórmula'!B100,31)),IF(INDEX(properties!A$1:CB$87,'Fórmula'!D100,31)=0,10^6,INDEX(properties!A$1:CB$87,'Fórmula'!D100,31)),IF(INDEX(properties!A$1:CB$87,'Fórmula'!F100,31)=0,10^6,INDEX(properties!A$1:CB$87,'Fórmula'!F100,31)),IF(INDEX(properties!A$1:CB$87,'Fórmula'!H100,31)=0,10^6,INDEX(properties!A$1:CB$87,'Fórmula'!H100,31)),IF(INDEX(properties!A$1:CB$87,'Fórmula'!J100,31)=0,10^6,INDEX(properties!A$1:CB$87,'Fórmula'!J100,31)))</f>
        <v>1.13</v>
      </c>
      <c r="CY100" s="118">
        <f t="shared" si="17"/>
        <v>2.19</v>
      </c>
      <c r="CZ100" s="119">
        <f t="array" ref="CZ100">(('Fórmula'!C100)/('Fórmula'!C100+'Fórmula'!E100+'Fórmula'!G100+'Fórmula'!I100+'Fórmula'!K100))*(INDEX(properties!A$1:CB$87,'Fórmula'!B100,32))+(('Fórmula'!E100)/('Fórmula'!C100+'Fórmula'!E100+'Fórmula'!G100+'Fórmula'!I100+'Fórmula'!K100))*(INDEX(properties!A$1:CB$87,'Fórmula'!D100,32))+(('Fórmula'!G100)/('Fórmula'!C100+'Fórmula'!E100+'Fórmula'!G100+'Fórmula'!I100+'Fórmula'!K100))*(INDEX(properties!A$1:CB$87,'Fórmula'!F100,32))+(('Fórmula'!I100)/('Fórmula'!C100+'Fórmula'!E100+'Fórmula'!G100+'Fórmula'!I100+'Fórmula'!K100))*(INDEX(properties!A$1:CB$87,'Fórmula'!H100,32))+(('Fórmula'!K100)/('Fórmula'!C100+'Fórmula'!E100+'Fórmula'!G100+'Fórmula'!I100+'Fórmula'!K100))*(INDEX(properties!A$1:CB$87,'Fórmula'!J100,32))</f>
        <v>5.336666667</v>
      </c>
      <c r="DA100" s="119">
        <f t="array" ref="DA100">'Fórmula'!C100*(INDEX(properties!A$1:CB$87,'Fórmula'!B100,32))+'Fórmula'!E100*(INDEX(properties!A$1:CB$87,'Fórmula'!D100,32))+'Fórmula'!G100*(INDEX(properties!A$1:CB$87,'Fórmula'!F100,32))+'Fórmula'!I100*(INDEX(properties!A$1:CB$87,'Fórmula'!H100,32))+'Fórmula'!K100*(INDEX(properties!A$1:CB$87,'Fórmula'!J100,32))</f>
        <v>48.03</v>
      </c>
      <c r="DB100" s="119">
        <f t="array" ref="DB100">VARP(IF(INDEX(properties!A$1:CB$87,'Fórmula'!B100,32)&lt;&gt;"",INDEX(properties!A$1:CB$87,'Fórmula'!B100,32)),IF(INDEX(properties!A$1:CB$87,'Fórmula'!D100,32)&lt;&gt;"",INDEX(properties!A$1:CB$87,'Fórmula'!D100,32)),IF(INDEX(properties!A$1:CB$87,'Fórmula'!F100,32)&lt;&gt;"",INDEX(properties!A$1:CB$87,'Fórmula'!F100,32)),IF(INDEX(properties!A$1:CB$87,'Fórmula'!H100,32)&lt;&gt;"",INDEX(properties!A$1:CB$87,'Fórmula'!H100,32)),IF(INDEX(properties!A$1:CB$87,'Fórmula'!J100,32)&lt;&gt;"",INDEX(properties!A$1:CB$87,'Fórmula'!J100,32)))</f>
        <v>6.104624</v>
      </c>
      <c r="DC100" s="119">
        <f t="array" ref="DC100">MAX(INDEX(properties!A$1:CB$87,'Fórmula'!B100,32),INDEX(properties!A$1:CB$87,'Fórmula'!D100,32),INDEX(properties!A$1:CB$87,'Fórmula'!F100,32),INDEX(properties!A$1:CB$87,'Fórmula'!H100,32),INDEX(properties!A$1:CB$87,'Fórmula'!J100,32))</f>
        <v>7.54</v>
      </c>
      <c r="DD100" s="119">
        <f t="array" ref="DD100">MIN(IF(INDEX(properties!A$1:CB$87,'Fórmula'!B100,32)=0,10^6,INDEX(properties!A$1:CB$87,'Fórmula'!B100,32)),IF(INDEX(properties!A$1:CB$87,'Fórmula'!D100,32)=0,10^6,INDEX(properties!A$1:CB$87,'Fórmula'!D100,32)),IF(INDEX(properties!A$1:CB$87,'Fórmula'!F100,32)=0,10^6,INDEX(properties!A$1:CB$87,'Fórmula'!F100,32)),IF(INDEX(properties!A$1:CB$87,'Fórmula'!H100,32)=0,10^6,INDEX(properties!A$1:CB$87,'Fórmula'!H100,32)),IF(INDEX(properties!A$1:CB$87,'Fórmula'!J100,32)=0,10^6,INDEX(properties!A$1:CB$87,'Fórmula'!J100,32)))</f>
        <v>2</v>
      </c>
      <c r="DE100" s="119">
        <f t="shared" si="18"/>
        <v>5.54</v>
      </c>
      <c r="DF100" s="104">
        <f t="array" ref="DF100">(('Fórmula'!C100)/('Fórmula'!C100+'Fórmula'!E100+'Fórmula'!G100+'Fórmula'!I100+'Fórmula'!K100))*(INDEX(properties!A$1:CB$87,'Fórmula'!B100,34))+(('Fórmula'!E100)/('Fórmula'!C100+'Fórmula'!E100+'Fórmula'!G100+'Fórmula'!I100+'Fórmula'!K100))*(INDEX(properties!A$1:CB$87,'Fórmula'!D100,34))+(('Fórmula'!G100)/('Fórmula'!C100+'Fórmula'!E100+'Fórmula'!G100+'Fórmula'!I100+'Fórmula'!K100))*(INDEX(properties!A$1:CB$87,'Fórmula'!F100,34))+(('Fórmula'!I100)/('Fórmula'!C100+'Fórmula'!E100+'Fórmula'!G100+'Fórmula'!I100+'Fórmula'!K100))*(INDEX(properties!A$1:CB$87,'Fórmula'!H100,34))+(('Fórmula'!K100)/('Fórmula'!C100+'Fórmula'!E100+'Fórmula'!G100+'Fórmula'!I100+'Fórmula'!K100))*(INDEX(properties!A$1:CB$87,'Fórmula'!J100,34))</f>
        <v>2.519888889</v>
      </c>
      <c r="DG100" s="104">
        <f t="array" ref="DG100">'Fórmula'!C100*(INDEX(properties!A$1:CB$87,'Fórmula'!B100,34))+'Fórmula'!E100*(INDEX(properties!A$1:CB$87,'Fórmula'!D100,34))+'Fórmula'!G100*(INDEX(properties!A$1:CB$87,'Fórmula'!F100,34))+'Fórmula'!I100*(INDEX(properties!A$1:CB$87,'Fórmula'!H100,34))+'Fórmula'!K100*(INDEX(properties!A$1:CB$87,'Fórmula'!J100,34))</f>
        <v>22.679</v>
      </c>
      <c r="DH100" s="104">
        <f t="array" ref="DH100">VARP(IF(INDEX(properties!A$1:CB$87,'Fórmula'!B100,34)&lt;&gt;"",INDEX(properties!A$1:CB$87,'Fórmula'!B100,34)),IF(INDEX(properties!A$1:CB$87,'Fórmula'!D100,34)&lt;&gt;"",INDEX(properties!A$1:CB$87,'Fórmula'!D100,34)),IF(INDEX(properties!A$1:CB$87,'Fórmula'!F100,34)&lt;&gt;"",INDEX(properties!A$1:CB$87,'Fórmula'!F100,34)),IF(INDEX(properties!A$1:CB$87,'Fórmula'!H100,34)&lt;&gt;"",INDEX(properties!A$1:CB$87,'Fórmula'!H100,34)),IF(INDEX(properties!A$1:CB$87,'Fórmula'!J100,34)&lt;&gt;"",INDEX(properties!A$1:CB$87,'Fórmula'!J100,34)))</f>
        <v>1.43226056</v>
      </c>
      <c r="DI100" s="104">
        <f t="array" ref="DI100">MAX(INDEX(properties!A$1:CB$87,'Fórmula'!B100,34),INDEX(properties!A$1:CB$87,'Fórmula'!D100,34),INDEX(properties!A$1:CB$87,'Fórmula'!F100,34),INDEX(properties!A$1:CB$87,'Fórmula'!H100,34),INDEX(properties!A$1:CB$87,'Fórmula'!J100,34))</f>
        <v>3.61</v>
      </c>
      <c r="DJ100" s="104">
        <f t="array" ref="DJ100">MIN(IF(INDEX(properties!A$1:CB$87,'Fórmula'!B100,34)=0,10^6,INDEX(properties!A$1:CB$87,'Fórmula'!B100,34)),IF(INDEX(properties!A$1:CB$87,'Fórmula'!D100,34)=0,10^6,INDEX(properties!A$1:CB$87,'Fórmula'!D100,34)),IF(INDEX(properties!A$1:CB$87,'Fórmula'!F100,34)=0,10^6,INDEX(properties!A$1:CB$87,'Fórmula'!F100,34)),IF(INDEX(properties!A$1:CB$87,'Fórmula'!H100,34)=0,10^6,INDEX(properties!A$1:CB$87,'Fórmula'!H100,34)),IF(INDEX(properties!A$1:CB$87,'Fórmula'!J100,34)=0,10^6,INDEX(properties!A$1:CB$87,'Fórmula'!J100,34)))</f>
        <v>0.963</v>
      </c>
      <c r="DK100" s="104">
        <f t="shared" si="19"/>
        <v>2.647</v>
      </c>
      <c r="DL100" s="105">
        <f t="array" ref="DL100">(('Fórmula'!C100)/('Fórmula'!C100+'Fórmula'!E100+'Fórmula'!G100+'Fórmula'!I100+'Fórmula'!K100))*(INDEX(properties!A$1:CB$87,'Fórmula'!B100,37))+(('Fórmula'!E100)/('Fórmula'!C100+'Fórmula'!E100+'Fórmula'!G100+'Fórmula'!I100+'Fórmula'!K100))*(INDEX(properties!A$1:CB$87,'Fórmula'!D100,37))+(('Fórmula'!G100)/('Fórmula'!C100+'Fórmula'!E100+'Fórmula'!G100+'Fórmula'!I100+'Fórmula'!K100))*(INDEX(properties!A$1:CB$87,'Fórmula'!F100,37))+(('Fórmula'!I100)/('Fórmula'!C100+'Fórmula'!E100+'Fórmula'!G100+'Fórmula'!I100+'Fórmula'!K100))*(INDEX(properties!A$1:CB$87,'Fórmula'!H100,37))+(('Fórmula'!K100)/('Fórmula'!C100+'Fórmula'!E100+'Fórmula'!G100+'Fórmula'!I100+'Fórmula'!K100))*(INDEX(properties!A$1:CB$87,'Fórmula'!J100,37))</f>
        <v>2.438888889</v>
      </c>
      <c r="DM100" s="105">
        <f t="array" ref="DM100">'Fórmula'!C100*(INDEX(properties!A$1:CB$87,'Fórmula'!B100,37))+'Fórmula'!E100*(INDEX(properties!A$1:CB$87,'Fórmula'!D100,37))+'Fórmula'!G100*(INDEX(properties!A$1:CB$87,'Fórmula'!F100,37))+'Fórmula'!I100*(INDEX(properties!A$1:CB$87,'Fórmula'!H100,37))+'Fórmula'!K100*(INDEX(properties!A$1:CB$87,'Fórmula'!J100,37))</f>
        <v>21.95</v>
      </c>
      <c r="DN100" s="105">
        <f t="array" ref="DN100">VARP(IF(INDEX(properties!A$1:CB$87,'Fórmula'!B100,37)&lt;&gt;"",INDEX(properties!A$1:CB$87,'Fórmula'!B100,37)),IF(INDEX(properties!A$1:CB$87,'Fórmula'!D100,37)&lt;&gt;"",INDEX(properties!A$1:CB$87,'Fórmula'!D100,37)),IF(INDEX(properties!A$1:CB$87,'Fórmula'!F100,37)&lt;&gt;"",INDEX(properties!A$1:CB$87,'Fórmula'!F100,37)),IF(INDEX(properties!A$1:CB$87,'Fórmula'!H100,37)&lt;&gt;"",INDEX(properties!A$1:CB$87,'Fórmula'!H100,37)),IF(INDEX(properties!A$1:CB$87,'Fórmula'!J100,37)&lt;&gt;"",INDEX(properties!A$1:CB$87,'Fórmula'!J100,37)))</f>
        <v>1.2736</v>
      </c>
      <c r="DO100" s="105">
        <f t="array" ref="DO100">MAX(INDEX(properties!A$1:CB$87,'Fórmula'!B100,37),INDEX(properties!A$1:CB$87,'Fórmula'!D100,37),INDEX(properties!A$1:CB$87,'Fórmula'!F100,37),INDEX(properties!A$1:CB$87,'Fórmula'!H100,37),INDEX(properties!A$1:CB$87,'Fórmula'!J100,37))</f>
        <v>3.45</v>
      </c>
      <c r="DP100" s="105">
        <f t="array" ref="DP100">MIN(IF(INDEX(properties!A$1:CB$87,'Fórmula'!B100,37)=0,10^6,INDEX(properties!A$1:CB$87,'Fórmula'!B100,37)),IF(INDEX(properties!A$1:CB$87,'Fórmula'!D100,37)=0,10^6,INDEX(properties!A$1:CB$87,'Fórmula'!D100,37)),IF(INDEX(properties!A$1:CB$87,'Fórmula'!F100,37)=0,10^6,INDEX(properties!A$1:CB$87,'Fórmula'!F100,37)),IF(INDEX(properties!A$1:CB$87,'Fórmula'!H100,37)=0,10^6,INDEX(properties!A$1:CB$87,'Fórmula'!H100,37)),IF(INDEX(properties!A$1:CB$87,'Fórmula'!J100,37)=0,10^6,INDEX(properties!A$1:CB$87,'Fórmula'!J100,37)))</f>
        <v>1</v>
      </c>
      <c r="DQ100" s="105">
        <f t="shared" si="20"/>
        <v>2.45</v>
      </c>
      <c r="DR100" s="109">
        <f t="array" ref="DR100">(('Fórmula'!C100)/('Fórmula'!C100+'Fórmula'!E100+'Fórmula'!G100+'Fórmula'!I100+'Fórmula'!K100))*(INDEX(properties!A$1:CB$87,'Fórmula'!B100,39))+(('Fórmula'!E100)/('Fórmula'!C100+'Fórmula'!E100+'Fórmula'!G100+'Fórmula'!I100+'Fórmula'!K100))*(INDEX(properties!A$1:CB$87,'Fórmula'!D100,39))+(('Fórmula'!G100)/('Fórmula'!C100+'Fórmula'!E100+'Fórmula'!G100+'Fórmula'!I100+'Fórmula'!K100))*(INDEX(properties!A$1:CB$87,'Fórmula'!F100,39))+(('Fórmula'!I100)/('Fórmula'!C100+'Fórmula'!E100+'Fórmula'!G100+'Fórmula'!I100+'Fórmula'!K100))*(INDEX(properties!A$1:CB$87,'Fórmula'!H100,39))+(('Fórmula'!K100)/('Fórmula'!C100+'Fórmula'!E100+'Fórmula'!G100+'Fórmula'!I100+'Fórmula'!K100))*(INDEX(properties!A$1:CB$87,'Fórmula'!J100,39))</f>
        <v>1.101111111</v>
      </c>
      <c r="DS100" s="109">
        <f t="array" ref="DS100">'Fórmula'!C100*(INDEX(properties!A$1:CB$87,'Fórmula'!B100,39))+'Fórmula'!E100*(INDEX(properties!A$1:CB$87,'Fórmula'!D100,39))+'Fórmula'!G100*(INDEX(properties!A$1:CB$87,'Fórmula'!F100,39))+'Fórmula'!I100*(INDEX(properties!A$1:CB$87,'Fórmula'!H100,39))+'Fórmula'!K100*(INDEX(properties!A$1:CB$87,'Fórmula'!J100,39))</f>
        <v>9.91</v>
      </c>
      <c r="DT100" s="109">
        <f t="array" ref="DT100">VARP(IF(INDEX(properties!A$1:CB$87,'Fórmula'!B100,39)&lt;&gt;"",INDEX(properties!A$1:CB$87,'Fórmula'!B100,39)),IF(INDEX(properties!A$1:CB$87,'Fórmula'!D100,39)&lt;&gt;"",INDEX(properties!A$1:CB$87,'Fórmula'!D100,39)),IF(INDEX(properties!A$1:CB$87,'Fórmula'!F100,39)&lt;&gt;"",INDEX(properties!A$1:CB$87,'Fórmula'!F100,39)),IF(INDEX(properties!A$1:CB$87,'Fórmula'!H100,39)&lt;&gt;"",INDEX(properties!A$1:CB$87,'Fórmula'!H100,39)),IF(INDEX(properties!A$1:CB$87,'Fórmula'!J100,39)&lt;&gt;"",INDEX(properties!A$1:CB$87,'Fórmula'!J100,39)))</f>
        <v>0.69868</v>
      </c>
      <c r="DU100" s="120">
        <f t="array" ref="DU100">MAX(INDEX(properties!A$1:CB$87,'Fórmula'!B100,39),INDEX(properties!A$1:CB$87,'Fórmula'!D100,39),INDEX(properties!A$1:CB$87,'Fórmula'!F100,39),INDEX(properties!A$1:CB$87,'Fórmula'!H100,39),INDEX(properties!A$1:CB$87,'Fórmula'!J100,39))</f>
        <v>2.19</v>
      </c>
      <c r="DV100" s="120">
        <f t="array" ref="DV100">MIN(IF(INDEX(properties!A$1:CB$87,'Fórmula'!B100,39)=0,10^6,INDEX(properties!A$1:CB$87,'Fórmula'!B100,39)),IF(INDEX(properties!A$1:CB$87,'Fórmula'!D100,39)=0,10^6,INDEX(properties!A$1:CB$87,'Fórmula'!D100,39)),IF(INDEX(properties!A$1:CB$87,'Fórmula'!F100,39)=0,10^6,INDEX(properties!A$1:CB$87,'Fórmula'!F100,39)),IF(INDEX(properties!A$1:CB$87,'Fórmula'!H100,39)=0,10^6,INDEX(properties!A$1:CB$87,'Fórmula'!H100,39)),IF(INDEX(properties!A$1:CB$87,'Fórmula'!J100,39)=0,10^6,INDEX(properties!A$1:CB$87,'Fórmula'!J100,39)))</f>
        <v>0.48</v>
      </c>
      <c r="DW100" s="109">
        <f t="shared" si="21"/>
        <v>1.71</v>
      </c>
      <c r="DX100" s="110">
        <f t="array" ref="DX100">(('Fórmula'!C100)/('Fórmula'!C100+'Fórmula'!E100+'Fórmula'!G100+'Fórmula'!I100+'Fórmula'!K100))*(INDEX(properties!A$1:CB$87,'Fórmula'!B100,40))+(('Fórmula'!E100)/('Fórmula'!C100+'Fórmula'!E100+'Fórmula'!G100+'Fórmula'!I100+'Fórmula'!K100))*(INDEX(properties!A$1:CB$87,'Fórmula'!D100,40))+(('Fórmula'!G100)/('Fórmula'!C100+'Fórmula'!E100+'Fórmula'!G100+'Fórmula'!I100+'Fórmula'!K100))*(INDEX(properties!A$1:CB$87,'Fórmula'!F100,40))+(('Fórmula'!I100)/('Fórmula'!C100+'Fórmula'!E100+'Fórmula'!G100+'Fórmula'!I100+'Fórmula'!K100))*(INDEX(properties!A$1:CB$87,'Fórmula'!H100,40))+(('Fórmula'!K100)/('Fórmula'!C100+'Fórmula'!E100+'Fórmula'!G100+'Fórmula'!I100+'Fórmula'!K100))*(INDEX(properties!A$1:CB$87,'Fórmula'!J100,40))</f>
        <v>1.151111111</v>
      </c>
      <c r="DY100" s="110">
        <f t="array" ref="DY100">'Fórmula'!C100*(INDEX(properties!A$1:CB$87,'Fórmula'!B100,40))+'Fórmula'!E100*(INDEX(properties!A$1:CB$87,'Fórmula'!D100,40))+'Fórmula'!G100*(INDEX(properties!A$1:CB$87,'Fórmula'!F100,40))+'Fórmula'!I100*(INDEX(properties!A$1:CB$87,'Fórmula'!H100,40))+'Fórmula'!K100*(INDEX(properties!A$1:CB$87,'Fórmula'!J100,40))</f>
        <v>10.36</v>
      </c>
      <c r="DZ100" s="110">
        <f t="array" ref="DZ100">VARP(IF(INDEX(properties!A$1:CB$87,'Fórmula'!B100,40)&lt;&gt;"",INDEX(properties!A$1:CB$87,'Fórmula'!B100,40)),IF(INDEX(properties!A$1:CB$87,'Fórmula'!D100,40)&lt;&gt;"",INDEX(properties!A$1:CB$87,'Fórmula'!D100,40)),IF(INDEX(properties!A$1:CB$87,'Fórmula'!F100,40)&lt;&gt;"",INDEX(properties!A$1:CB$87,'Fórmula'!F100,40)),IF(INDEX(properties!A$1:CB$87,'Fórmula'!H100,40)&lt;&gt;"",INDEX(properties!A$1:CB$87,'Fórmula'!H100,40)),IF(INDEX(properties!A$1:CB$87,'Fórmula'!J100,40)&lt;&gt;"",INDEX(properties!A$1:CB$87,'Fórmula'!J100,40)))</f>
        <v>0.474744</v>
      </c>
      <c r="EA100" s="121">
        <f t="array" ref="EA100">MAX(INDEX(properties!A$1:CB$87,'Fórmula'!B100,40),INDEX(properties!A$1:CB$87,'Fórmula'!D100,40),INDEX(properties!A$1:CB$87,'Fórmula'!F100,40),INDEX(properties!A$1:CB$87,'Fórmula'!H100,40),INDEX(properties!A$1:CB$87,'Fórmula'!J100,40))</f>
        <v>1.92</v>
      </c>
      <c r="EB100" s="121">
        <f t="array" ref="EB100">MIN(IF(INDEX(properties!A$1:CB$87,'Fórmula'!B100,40)=0,10^6,INDEX(properties!A$1:CB$87,'Fórmula'!B100,40)),IF(INDEX(properties!A$1:CB$87,'Fórmula'!D100,40)=0,10^6,INDEX(properties!A$1:CB$87,'Fórmula'!D100,40)),IF(INDEX(properties!A$1:CB$87,'Fórmula'!F100,40)=0,10^6,INDEX(properties!A$1:CB$87,'Fórmula'!F100,40)),IF(INDEX(properties!A$1:CB$87,'Fórmula'!H100,40)=0,10^6,INDEX(properties!A$1:CB$87,'Fórmula'!H100,40)),IF(INDEX(properties!A$1:CB$87,'Fórmula'!J100,40)=0,10^6,INDEX(properties!A$1:CB$87,'Fórmula'!J100,40)))</f>
        <v>0.73</v>
      </c>
      <c r="EC100" s="110">
        <f t="shared" si="22"/>
        <v>1.19</v>
      </c>
      <c r="ED100" s="111">
        <f t="array" ref="ED100">(('Fórmula'!C100)/('Fórmula'!C100+'Fórmula'!E100+'Fórmula'!G100+'Fórmula'!I100+'Fórmula'!K100))*(INDEX(properties!A$1:CB$87,'Fórmula'!B100,41))+(('Fórmula'!E100)/('Fórmula'!C100+'Fórmula'!E100+'Fórmula'!G100+'Fórmula'!I100+'Fórmula'!K100))*(INDEX(properties!A$1:CB$87,'Fórmula'!D100,41))+(('Fórmula'!G100)/('Fórmula'!C100+'Fórmula'!E100+'Fórmula'!G100+'Fórmula'!I100+'Fórmula'!K100))*(INDEX(properties!A$1:CB$87,'Fórmula'!F100,41))+(('Fórmula'!I100)/('Fórmula'!C100+'Fórmula'!E100+'Fórmula'!G100+'Fórmula'!I100+'Fórmula'!K100))*(INDEX(properties!A$1:CB$87,'Fórmula'!H100,41))+(('Fórmula'!K100)/('Fórmula'!C100+'Fórmula'!E100+'Fórmula'!G100+'Fórmula'!I100+'Fórmula'!K100))*(INDEX(properties!A$1:CB$87,'Fórmula'!J100,41))</f>
        <v>1.198888889</v>
      </c>
      <c r="EE100" s="111">
        <f t="array" ref="EE100">'Fórmula'!C100*(INDEX(properties!A$1:CB$87,'Fórmula'!B100,41))+'Fórmula'!E100*(INDEX(properties!A$1:CB$87,'Fórmula'!D100,41))+'Fórmula'!G100*(INDEX(properties!A$1:CB$87,'Fórmula'!F100,41))+'Fórmula'!I100*(INDEX(properties!A$1:CB$87,'Fórmula'!H100,41))+'Fórmula'!K100*(INDEX(properties!A$1:CB$87,'Fórmula'!J100,41))</f>
        <v>10.79</v>
      </c>
      <c r="EF100" s="111">
        <f t="array" ref="EF100">VARP(IF(INDEX(properties!A$1:CB$87,'Fórmula'!B100,41)&lt;&gt;"",INDEX(properties!A$1:CB$87,'Fórmula'!B100,41)),IF(INDEX(properties!A$1:CB$87,'Fórmula'!D100,41)&lt;&gt;"",INDEX(properties!A$1:CB$87,'Fórmula'!D100,41)),IF(INDEX(properties!A$1:CB$87,'Fórmula'!F100,41)&lt;&gt;"",INDEX(properties!A$1:CB$87,'Fórmula'!F100,41)),IF(INDEX(properties!A$1:CB$87,'Fórmula'!H100,41)&lt;&gt;"",INDEX(properties!A$1:CB$87,'Fórmula'!H100,41)),IF(INDEX(properties!A$1:CB$87,'Fórmula'!J100,41)&lt;&gt;"",INDEX(properties!A$1:CB$87,'Fórmula'!J100,41)))</f>
        <v>0.247264</v>
      </c>
      <c r="EG100" s="122">
        <f t="array" ref="EG100">MAX(INDEX(properties!A$1:CB$87,'Fórmula'!B100,41),INDEX(properties!A$1:CB$87,'Fórmula'!D100,41),INDEX(properties!A$1:CB$87,'Fórmula'!F100,41),INDEX(properties!A$1:CB$87,'Fórmula'!H100,41),INDEX(properties!A$1:CB$87,'Fórmula'!J100,41))</f>
        <v>1.32</v>
      </c>
      <c r="EH100" s="122">
        <f t="array" ref="EH100">MIN(IF(INDEX(properties!A$1:CB$87,'Fórmula'!B100,41)=0,10^6,INDEX(properties!A$1:CB$87,'Fórmula'!B100,41)),IF(INDEX(properties!A$1:CB$87,'Fórmula'!D100,41)=0,10^6,INDEX(properties!A$1:CB$87,'Fórmula'!D100,41)),IF(INDEX(properties!A$1:CB$87,'Fórmula'!F100,41)=0,10^6,INDEX(properties!A$1:CB$87,'Fórmula'!F100,41)),IF(INDEX(properties!A$1:CB$87,'Fórmula'!H100,41)=0,10^6,INDEX(properties!A$1:CB$87,'Fórmula'!H100,41)),IF(INDEX(properties!A$1:CB$87,'Fórmula'!J100,41)=0,10^6,INDEX(properties!A$1:CB$87,'Fórmula'!J100,41)))</f>
        <v>0.68</v>
      </c>
      <c r="EI100" s="111">
        <f t="shared" si="23"/>
        <v>0.64</v>
      </c>
      <c r="EJ100" s="112">
        <f t="array" ref="EJ100">(('Fórmula'!C100)/('Fórmula'!C100+'Fórmula'!E100+'Fórmula'!G100+'Fórmula'!I100+'Fórmula'!K100))*(INDEX(properties!A$1:CB$87,'Fórmula'!B100,45))+(('Fórmula'!E100)/('Fórmula'!C100+'Fórmula'!E100+'Fórmula'!G100+'Fórmula'!I100+'Fórmula'!K100))*(INDEX(properties!A$1:CB$87,'Fórmula'!D100,45))+(('Fórmula'!G100)/('Fórmula'!C100+'Fórmula'!E100+'Fórmula'!G100+'Fórmula'!I100+'Fórmula'!K100))*(INDEX(properties!A$1:CB$87,'Fórmula'!F100,45))+(('Fórmula'!I100)/('Fórmula'!C100+'Fórmula'!E100+'Fórmula'!G100+'Fórmula'!I100+'Fórmula'!K100))*(INDEX(properties!A$1:CB$87,'Fórmula'!H100,45))+(('Fórmula'!K100)/('Fórmula'!C100+'Fórmula'!E100+'Fórmula'!G100+'Fórmula'!I100+'Fórmula'!K100))*(INDEX(properties!A$1:CB$87,'Fórmula'!J100,45))</f>
        <v>1.503333333</v>
      </c>
      <c r="EK100" s="112">
        <f t="array" ref="EK100">'Fórmula'!C100*(INDEX(properties!A$1:CB$87,'Fórmula'!B100,45))+'Fórmula'!E100*(INDEX(properties!A$1:CB$87,'Fórmula'!D100,45))+'Fórmula'!G100*(INDEX(properties!A$1:CB$87,'Fórmula'!F100,45))+'Fórmula'!I100*(INDEX(properties!A$1:CB$87,'Fórmula'!H100,45))+'Fórmula'!K100*(INDEX(properties!A$1:CB$87,'Fórmula'!J100,45))</f>
        <v>13.53</v>
      </c>
      <c r="EL100" s="112">
        <f t="array" ref="EL100">VARP(IF(INDEX(properties!A$1:CB$87,'Fórmula'!B100,45)&lt;&gt;"",INDEX(properties!A$1:CB$87,'Fórmula'!B100,45)),IF(INDEX(properties!A$1:CB$87,'Fórmula'!D100,45)&lt;&gt;"",INDEX(properties!A$1:CB$87,'Fórmula'!D100,45)),IF(INDEX(properties!A$1:CB$87,'Fórmula'!F100,45)&lt;&gt;"",INDEX(properties!A$1:CB$87,'Fórmula'!F100,45)),IF(INDEX(properties!A$1:CB$87,'Fórmula'!H100,45)&lt;&gt;"",INDEX(properties!A$1:CB$87,'Fórmula'!H100,45)),IF(INDEX(properties!A$1:CB$87,'Fórmula'!J100,45)&lt;&gt;"",INDEX(properties!A$1:CB$87,'Fórmula'!J100,45)))</f>
        <v>1.717416</v>
      </c>
      <c r="EM100" s="123">
        <f t="array" ref="EM100">MAX(INDEX(properties!A$1:CB$87,'Fórmula'!B100,45),INDEX(properties!A$1:CB$87,'Fórmula'!D100,45),INDEX(properties!A$1:CB$87,'Fórmula'!F100,45),INDEX(properties!A$1:CB$87,'Fórmula'!H100,45),INDEX(properties!A$1:CB$87,'Fórmula'!J100,45))</f>
        <v>3.21</v>
      </c>
      <c r="EN100" s="123">
        <f t="array" ref="EN100">MIN(IF(INDEX(properties!A$1:CB$87,'Fórmula'!B100,45)=0,10^6,INDEX(properties!A$1:CB$87,'Fórmula'!B100,45)),IF(INDEX(properties!A$1:CB$87,'Fórmula'!D100,45)=0,10^6,INDEX(properties!A$1:CB$87,'Fórmula'!D100,45)),IF(INDEX(properties!A$1:CB$87,'Fórmula'!F100,45)=0,10^6,INDEX(properties!A$1:CB$87,'Fórmula'!F100,45)),IF(INDEX(properties!A$1:CB$87,'Fórmula'!H100,45)=0,10^6,INDEX(properties!A$1:CB$87,'Fórmula'!H100,45)),IF(INDEX(properties!A$1:CB$87,'Fórmula'!J100,45)=0,10^6,INDEX(properties!A$1:CB$87,'Fórmula'!J100,45)))</f>
        <v>0.47</v>
      </c>
      <c r="EO100" s="112">
        <f t="shared" si="24"/>
        <v>2.74</v>
      </c>
      <c r="EP100" s="113">
        <f t="array" ref="EP100">(('Fórmula'!C100)/('Fórmula'!C100+'Fórmula'!E100+'Fórmula'!G100+'Fórmula'!I100+'Fórmula'!K100))*(INDEX(properties!A$1:CB$87,'Fórmula'!B100,46))+(('Fórmula'!E100)/('Fórmula'!C100+'Fórmula'!E100+'Fórmula'!G100+'Fórmula'!I100+'Fórmula'!K100))*(INDEX(properties!A$1:CB$87,'Fórmula'!D100,46))+(('Fórmula'!G100)/('Fórmula'!C100+'Fórmula'!E100+'Fórmula'!G100+'Fórmula'!I100+'Fórmula'!K100))*(INDEX(properties!A$1:CB$87,'Fórmula'!F100,46))+(('Fórmula'!I100)/('Fórmula'!C100+'Fórmula'!E100+'Fórmula'!G100+'Fórmula'!I100+'Fórmula'!K100))*(INDEX(properties!A$1:CB$87,'Fórmula'!H100,46))+(('Fórmula'!K100)/('Fórmula'!C100+'Fórmula'!E100+'Fórmula'!G100+'Fórmula'!I100+'Fórmula'!K100))*(INDEX(properties!A$1:CB$87,'Fórmula'!J100,46))</f>
        <v>1.175555556</v>
      </c>
      <c r="EQ100" s="113">
        <f t="array" ref="EQ100">'Fórmula'!C100*(INDEX(properties!A$1:CB$87,'Fórmula'!B100,46))+'Fórmula'!E100*(INDEX(properties!A$1:CB$87,'Fórmula'!D100,46))+'Fórmula'!G100*(INDEX(properties!A$1:CB$87,'Fórmula'!F100,46))+'Fórmula'!I100*(INDEX(properties!A$1:CB$87,'Fórmula'!H100,46))+'Fórmula'!K100*(INDEX(properties!A$1:CB$87,'Fórmula'!J100,46))</f>
        <v>10.58</v>
      </c>
      <c r="ER100" s="113">
        <f t="array" ref="ER100">VARP(IF(INDEX(properties!A$1:CB$87,'Fórmula'!B100,46)&lt;&gt;"",INDEX(properties!A$1:CB$87,'Fórmula'!B100,46)),IF(INDEX(properties!A$1:CB$87,'Fórmula'!D100,46)&lt;&gt;"",INDEX(properties!A$1:CB$87,'Fórmula'!D100,46)),IF(INDEX(properties!A$1:CB$87,'Fórmula'!F100,46)&lt;&gt;"",INDEX(properties!A$1:CB$87,'Fórmula'!F100,46)),IF(INDEX(properties!A$1:CB$87,'Fórmula'!H100,46)&lt;&gt;"",INDEX(properties!A$1:CB$87,'Fórmula'!H100,46)),IF(INDEX(properties!A$1:CB$87,'Fórmula'!J100,46)&lt;&gt;"",INDEX(properties!A$1:CB$87,'Fórmula'!J100,46)))</f>
        <v>0.285944</v>
      </c>
      <c r="ES100" s="124">
        <f t="array" ref="ES100">MAX(INDEX(properties!A$1:CB$87,'Fórmula'!B100,46),INDEX(properties!A$1:CB$87,'Fórmula'!D100,46),INDEX(properties!A$1:CB$87,'Fórmula'!F100,46),INDEX(properties!A$1:CB$87,'Fórmula'!H100,46),INDEX(properties!A$1:CB$87,'Fórmula'!J100,46))</f>
        <v>1.36</v>
      </c>
      <c r="ET100" s="124">
        <f t="array" ref="ET100">MIN(IF(INDEX(properties!A$1:CB$87,'Fórmula'!B100,46)=0,10^6,INDEX(properties!A$1:CB$87,'Fórmula'!B100,46)),IF(INDEX(properties!A$1:CB$87,'Fórmula'!D100,46)=0,10^6,INDEX(properties!A$1:CB$87,'Fórmula'!D100,46)),IF(INDEX(properties!A$1:CB$87,'Fórmula'!F100,46)=0,10^6,INDEX(properties!A$1:CB$87,'Fórmula'!F100,46)),IF(INDEX(properties!A$1:CB$87,'Fórmula'!H100,46)=0,10^6,INDEX(properties!A$1:CB$87,'Fórmula'!H100,46)),IF(INDEX(properties!A$1:CB$87,'Fórmula'!J100,46)=0,10^6,INDEX(properties!A$1:CB$87,'Fórmula'!J100,46)))</f>
        <v>0.53</v>
      </c>
      <c r="EU100" s="113">
        <f t="shared" si="25"/>
        <v>0.83</v>
      </c>
      <c r="EV100" s="114">
        <f t="array" ref="EV100">(('Fórmula'!C100)/('Fórmula'!C100+'Fórmula'!E100+'Fórmula'!G100+'Fórmula'!I100+'Fórmula'!K100))*(INDEX(properties!A$1:CB$87,'Fórmula'!B100,52))+(('Fórmula'!E100)/('Fórmula'!C100+'Fórmula'!E100+'Fórmula'!G100+'Fórmula'!I100+'Fórmula'!K100))*(INDEX(properties!A$1:CB$87,'Fórmula'!D100,52))+(('Fórmula'!G100)/('Fórmula'!C100+'Fórmula'!E100+'Fórmula'!G100+'Fórmula'!I100+'Fórmula'!K100))*(INDEX(properties!A$1:CB$87,'Fórmula'!F100,52))+(('Fórmula'!I100)/('Fórmula'!C100+'Fórmula'!E100+'Fórmula'!G100+'Fórmula'!I100+'Fórmula'!K100))*(INDEX(properties!A$1:CB$87,'Fórmula'!H100,52))+(('Fórmula'!K100)/('Fórmula'!C100+'Fórmula'!E100+'Fórmula'!G100+'Fórmula'!I100+'Fórmula'!K100))*(INDEX(properties!A$1:CB$87,'Fórmula'!J100,52))</f>
        <v>10.95166667</v>
      </c>
      <c r="EW100" s="114">
        <f t="array" ref="EW100">'Fórmula'!C100*(INDEX(properties!A$1:CB$87,'Fórmula'!B100,52))+'Fórmula'!E100*(INDEX(properties!A$1:CB$87,'Fórmula'!D100,52))+'Fórmula'!G100*(INDEX(properties!A$1:CB$87,'Fórmula'!F100,52))+'Fórmula'!I100*(INDEX(properties!A$1:CB$87,'Fórmula'!H100,52))+'Fórmula'!K100*(INDEX(properties!A$1:CB$87,'Fórmula'!J100,52))</f>
        <v>98.565</v>
      </c>
      <c r="EX100" s="114">
        <f t="array" ref="EX100">VARP(IF(INDEX(properties!A$1:CB$87,'Fórmula'!B100,52)&lt;&gt;"",INDEX(properties!A$1:CB$87,'Fórmula'!B100,52)),IF(INDEX(properties!A$1:CB$87,'Fórmula'!D100,52)&lt;&gt;"",INDEX(properties!A$1:CB$87,'Fórmula'!D100,52)),IF(INDEX(properties!A$1:CB$87,'Fórmula'!F100,52)&lt;&gt;"",INDEX(properties!A$1:CB$87,'Fórmula'!F100,52)),IF(INDEX(properties!A$1:CB$87,'Fórmula'!H100,52)&lt;&gt;"",INDEX(properties!A$1:CB$87,'Fórmula'!H100,52)),IF(INDEX(properties!A$1:CB$87,'Fórmula'!J100,52)&lt;&gt;"",INDEX(properties!A$1:CB$87,'Fórmula'!J100,52)))</f>
        <v>175.8621358</v>
      </c>
      <c r="EY100" s="114">
        <f t="array" ref="EY100">MAX(INDEX(properties!A$1:CB$87,'Fórmula'!B100,52),INDEX(properties!A$1:CB$87,'Fórmula'!D100,52),INDEX(properties!A$1:CB$87,'Fórmula'!F100,52),INDEX(properties!A$1:CB$87,'Fórmula'!H100,52),INDEX(properties!A$1:CB$87,'Fórmula'!J100,52))</f>
        <v>31.1</v>
      </c>
      <c r="EZ100" s="114">
        <f t="array" ref="EZ100">MIN(IF(INDEX(properties!A$1:CB$87,'Fórmula'!B100,52)=0,10^6,INDEX(properties!A$1:CB$87,'Fórmula'!B100,52)),IF(INDEX(properties!A$1:CB$87,'Fórmula'!D100,52)=0,10^6,INDEX(properties!A$1:CB$87,'Fórmula'!D100,52)),IF(INDEX(properties!A$1:CB$87,'Fórmula'!F100,52)=0,10^6,INDEX(properties!A$1:CB$87,'Fórmula'!F100,52)),IF(INDEX(properties!A$1:CB$87,'Fórmula'!H100,52)=0,10^6,INDEX(properties!A$1:CB$87,'Fórmula'!H100,52)),IF(INDEX(properties!A$1:CB$87,'Fórmula'!J100,52)=0,10^6,INDEX(properties!A$1:CB$87,'Fórmula'!J100,52)))</f>
        <v>0.793</v>
      </c>
      <c r="FA100" s="114">
        <f t="shared" si="26"/>
        <v>30.307</v>
      </c>
      <c r="FB100" s="115">
        <f t="array" ref="FB100">(('Fórmula'!C100)/('Fórmula'!C100+'Fórmula'!E100+'Fórmula'!G100+'Fórmula'!I100+'Fórmula'!K100))*(INDEX(properties!A$1:CB$87,'Fórmula'!B100,53))+(('Fórmula'!E100)/('Fórmula'!C100+'Fórmula'!E100+'Fórmula'!G100+'Fórmula'!I100+'Fórmula'!K100))*(INDEX(properties!A$1:CB$87,'Fórmula'!D100,53))+(('Fórmula'!G100)/('Fórmula'!C100+'Fórmula'!E100+'Fórmula'!G100+'Fórmula'!I100+'Fórmula'!K100))*(INDEX(properties!A$1:CB$87,'Fórmula'!F100,53))+(('Fórmula'!I100)/('Fórmula'!C100+'Fórmula'!E100+'Fórmula'!G100+'Fórmula'!I100+'Fórmula'!K100))*(INDEX(properties!A$1:CB$87,'Fórmula'!H100,53))+(('Fórmula'!K100)/('Fórmula'!C100+'Fórmula'!E100+'Fórmula'!G100+'Fórmula'!I100+'Fórmula'!K100))*(INDEX(properties!A$1:CB$87,'Fórmula'!J100,53))</f>
        <v>498.2611111</v>
      </c>
      <c r="FC100" s="115">
        <f t="array" ref="FC100">'Fórmula'!C100*(INDEX(properties!A$1:CB$87,'Fórmula'!B100,53))+'Fórmula'!E100*(INDEX(properties!A$1:CB$87,'Fórmula'!D100,53))+'Fórmula'!G100*(INDEX(properties!A$1:CB$87,'Fórmula'!F100,53))+'Fórmula'!I100*(INDEX(properties!A$1:CB$87,'Fórmula'!H100,53))+'Fórmula'!K100*(INDEX(properties!A$1:CB$87,'Fórmula'!J100,53))</f>
        <v>4484.35</v>
      </c>
      <c r="FD100" s="115">
        <f t="array" ref="FD100">VARP(IF(INDEX(properties!A$1:CB$87,'Fórmula'!B100,53)&lt;&gt;"",INDEX(properties!A$1:CB$87,'Fórmula'!B100,53)),IF(INDEX(properties!A$1:CB$87,'Fórmula'!D100,53)&lt;&gt;"",INDEX(properties!A$1:CB$87,'Fórmula'!D100,53)),IF(INDEX(properties!A$1:CB$87,'Fórmula'!F100,53)&lt;&gt;"",INDEX(properties!A$1:CB$87,'Fórmula'!F100,53)),IF(INDEX(properties!A$1:CB$87,'Fórmula'!H100,53)&lt;&gt;"",INDEX(properties!A$1:CB$87,'Fórmula'!H100,53)),IF(INDEX(properties!A$1:CB$87,'Fórmula'!J100,53)&lt;&gt;"",INDEX(properties!A$1:CB$87,'Fórmula'!J100,53)))</f>
        <v>261129.2764</v>
      </c>
      <c r="FE100" s="115">
        <f t="array" ref="FE100">MAX(INDEX(properties!A$1:CB$87,'Fórmula'!B100,53),INDEX(properties!A$1:CB$87,'Fórmula'!D100,53),INDEX(properties!A$1:CB$87,'Fórmula'!F100,53),INDEX(properties!A$1:CB$87,'Fórmula'!H100,53),INDEX(properties!A$1:CB$87,'Fórmula'!J100,53))</f>
        <v>1193.15</v>
      </c>
      <c r="FF100" s="115">
        <f t="array" ref="FF100">MIN(IF(INDEX(properties!A$1:CB$87,'Fórmula'!B100,53)=0,10^6,INDEX(properties!A$1:CB$87,'Fórmula'!B100,53)),IF(INDEX(properties!A$1:CB$87,'Fórmula'!D100,53)=0,10^6,INDEX(properties!A$1:CB$87,'Fórmula'!D100,53)),IF(INDEX(properties!A$1:CB$87,'Fórmula'!F100,53)=0,10^6,INDEX(properties!A$1:CB$87,'Fórmula'!F100,53)),IF(INDEX(properties!A$1:CB$87,'Fórmula'!H100,53)=0,10^6,INDEX(properties!A$1:CB$87,'Fórmula'!H100,53)),IF(INDEX(properties!A$1:CB$87,'Fórmula'!J100,53)=0,10^6,INDEX(properties!A$1:CB$87,'Fórmula'!J100,53)))</f>
        <v>54.75</v>
      </c>
      <c r="FG100" s="115">
        <f t="shared" si="27"/>
        <v>1138.4</v>
      </c>
      <c r="FH100" s="117">
        <f t="array" ref="FH100">(('Fórmula'!C100)/('Fórmula'!C100+'Fórmula'!E100+'Fórmula'!G100+'Fórmula'!I100+'Fórmula'!K100))*(INDEX(properties!A$1:CB$87,'Fórmula'!B100,54))+(('Fórmula'!E100)/('Fórmula'!C100+'Fórmula'!E100+'Fórmula'!G100+'Fórmula'!I100+'Fórmula'!K100))*(INDEX(properties!A$1:CB$87,'Fórmula'!D100,54))+(('Fórmula'!G100)/('Fórmula'!C100+'Fórmula'!E100+'Fórmula'!G100+'Fórmula'!I100+'Fórmula'!K100))*(INDEX(properties!A$1:CB$87,'Fórmula'!F100,54))+(('Fórmula'!I100)/('Fórmula'!C100+'Fórmula'!E100+'Fórmula'!G100+'Fórmula'!I100+'Fórmula'!K100))*(INDEX(properties!A$1:CB$87,'Fórmula'!H100,54))+(('Fórmula'!K100)/('Fórmula'!C100+'Fórmula'!E100+'Fórmula'!G100+'Fórmula'!I100+'Fórmula'!K100))*(INDEX(properties!A$1:CB$87,'Fórmula'!J100,54))</f>
        <v>1136.927778</v>
      </c>
      <c r="FI100" s="117">
        <f t="array" ref="FI100">'Fórmula'!C100*(INDEX(properties!A$1:CB$87,'Fórmula'!B100,54))+'Fórmula'!E100*(INDEX(properties!A$1:CB$87,'Fórmula'!D100,54))+'Fórmula'!G100*(INDEX(properties!A$1:CB$87,'Fórmula'!F100,54))+'Fórmula'!I100*(INDEX(properties!A$1:CB$87,'Fórmula'!H100,54))+'Fórmula'!K100*(INDEX(properties!A$1:CB$87,'Fórmula'!J100,54))</f>
        <v>10232.35</v>
      </c>
      <c r="FJ100" s="117">
        <f t="array" ref="FJ100">VARP(IF(INDEX(properties!A$1:CB$87,'Fórmula'!B100,54)&lt;&gt;"",INDEX(properties!A$1:CB$87,'Fórmula'!B100,54)),IF(INDEX(properties!A$1:CB$87,'Fórmula'!D100,54)&lt;&gt;"",INDEX(properties!A$1:CB$87,'Fórmula'!D100,54)),IF(INDEX(properties!A$1:CB$87,'Fórmula'!F100,54)&lt;&gt;"",INDEX(properties!A$1:CB$87,'Fórmula'!F100,54)),IF(INDEX(properties!A$1:CB$87,'Fórmula'!H100,54)&lt;&gt;"",INDEX(properties!A$1:CB$87,'Fórmula'!H100,54)),IF(INDEX(properties!A$1:CB$87,'Fórmula'!J100,54)&lt;&gt;"",INDEX(properties!A$1:CB$87,'Fórmula'!J100,54)))</f>
        <v>2131682.332</v>
      </c>
      <c r="FK100" s="117">
        <f t="array" ref="FK100">MAX(INDEX(properties!A$1:CB$87,'Fórmula'!B100,54),INDEX(properties!A$1:CB$87,'Fórmula'!D100,54),INDEX(properties!A$1:CB$87,'Fórmula'!F100,54),INDEX(properties!A$1:CB$87,'Fórmula'!H100,54),INDEX(properties!A$1:CB$87,'Fórmula'!J100,54))</f>
        <v>3727.15</v>
      </c>
      <c r="FL100" s="117">
        <f t="array" ref="FL100">MIN(IF(INDEX(properties!A$1:CB$87,'Fórmula'!B100,54)=0,10^6,INDEX(properties!A$1:CB$87,'Fórmula'!B100,54)),IF(INDEX(properties!A$1:CB$87,'Fórmula'!D100,54)=0,10^6,INDEX(properties!A$1:CB$87,'Fórmula'!D100,54)),IF(INDEX(properties!A$1:CB$87,'Fórmula'!F100,54)=0,10^6,INDEX(properties!A$1:CB$87,'Fórmula'!F100,54)),IF(INDEX(properties!A$1:CB$87,'Fórmula'!H100,54)=0,10^6,INDEX(properties!A$1:CB$87,'Fórmula'!H100,54)),IF(INDEX(properties!A$1:CB$87,'Fórmula'!J100,54)=0,10^6,INDEX(properties!A$1:CB$87,'Fórmula'!J100,54)))</f>
        <v>90.15</v>
      </c>
      <c r="FM100" s="117">
        <f t="shared" si="28"/>
        <v>3637</v>
      </c>
      <c r="FN100" s="118">
        <f t="array" ref="FN100">(('Fórmula'!C100)/('Fórmula'!C100+'Fórmula'!E100+'Fórmula'!G100+'Fórmula'!I100+'Fórmula'!K100))*(INDEX(properties!A$1:CB$87,'Fórmula'!B100,55))+(('Fórmula'!E100)/('Fórmula'!C100+'Fórmula'!E100+'Fórmula'!G100+'Fórmula'!I100+'Fórmula'!K100))*(INDEX(properties!A$1:CB$87,'Fórmula'!D100,55))+(('Fórmula'!G100)/('Fórmula'!C100+'Fórmula'!E100+'Fórmula'!G100+'Fórmula'!I100+'Fórmula'!K100))*(INDEX(properties!A$1:CB$87,'Fórmula'!F100,55))+(('Fórmula'!I100)/('Fórmula'!C100+'Fórmula'!E100+'Fórmula'!G100+'Fórmula'!I100+'Fórmula'!K100))*(INDEX(properties!A$1:CB$87,'Fórmula'!H100,55))+(('Fórmula'!K100)/('Fórmula'!C100+'Fórmula'!E100+'Fórmula'!G100+'Fórmula'!I100+'Fórmula'!K100))*(INDEX(properties!A$1:CB$87,'Fórmula'!J100,55))</f>
        <v>1.568572222</v>
      </c>
      <c r="FO100" s="118">
        <f t="array" ref="FO100">'Fórmula'!C100*(INDEX(properties!A$1:CB$87,'Fórmula'!B100,55))+'Fórmula'!E100*(INDEX(properties!A$1:CB$87,'Fórmula'!D100,54))+'Fórmula'!G100*(INDEX(properties!A$1:CB$87,'Fórmula'!F100,55))+'Fórmula'!I100*(INDEX(properties!A$1:CB$87,'Fórmula'!H100,55))+'Fórmula'!K100*(INDEX(properties!A$1:CB$87,'Fórmula'!J100,55))</f>
        <v>3323.15715</v>
      </c>
      <c r="FP100" s="118">
        <f t="array" ref="FP100">VARP(IF(INDEX(properties!A$1:CB$87,'Fórmula'!B100,55)&lt;&gt;"",INDEX(properties!A$1:CB$87,'Fórmula'!B100,55)),IF(INDEX(properties!A$1:CB$87,'Fórmula'!D100,55)&lt;&gt;"",INDEX(properties!A$1:CB$87,'Fórmula'!D100,55)),IF(INDEX(properties!A$1:CB$87,'Fórmula'!F100,55)&lt;&gt;"",INDEX(properties!A$1:CB$87,'Fórmula'!F100,55)),IF(INDEX(properties!A$1:CB$87,'Fórmula'!H100,55)&lt;&gt;"",INDEX(properties!A$1:CB$87,'Fórmula'!H100,55)),IF(INDEX(properties!A$1:CB$87,'Fórmula'!J100,55)&lt;&gt;"",INDEX(properties!A$1:CB$87,'Fórmula'!J100,55)))</f>
        <v>5.132951015</v>
      </c>
      <c r="FQ100" s="118">
        <f t="array" ref="FQ100">MAX(INDEX(properties!A$1:CB$87,'Fórmula'!B100,55),INDEX(properties!A$1:CB$87,'Fórmula'!D100,55),INDEX(properties!A$1:CB$87,'Fórmula'!F100,55),INDEX(properties!A$1:CB$87,'Fórmula'!H100,55),INDEX(properties!A$1:CB$87,'Fórmula'!J100,55))</f>
        <v>6.15</v>
      </c>
      <c r="FR100" s="118">
        <f t="array" ref="FR100">MIN(IF(INDEX(properties!A$1:CB$87,'Fórmula'!B100,55)=0,10^6,INDEX(properties!A$1:CB$87,'Fórmula'!B100,55)),IF(INDEX(properties!A$1:CB$87,'Fórmula'!D100,55)=0,10^6,INDEX(properties!A$1:CB$87,'Fórmula'!D100,55)),IF(INDEX(properties!A$1:CB$87,'Fórmula'!F100,55)=0,10^6,INDEX(properties!A$1:CB$87,'Fórmula'!F100,55)),IF(INDEX(properties!A$1:CB$87,'Fórmula'!H100,55)=0,10^6,INDEX(properties!A$1:CB$87,'Fórmula'!H100,55)),IF(INDEX(properties!A$1:CB$87,'Fórmula'!J100,55)=0,10^6,INDEX(properties!A$1:CB$87,'Fórmula'!J100,55)))</f>
        <v>0.00143</v>
      </c>
      <c r="FS100" s="118">
        <f t="shared" si="29"/>
        <v>6.14857</v>
      </c>
      <c r="FT100" s="119">
        <f t="array" ref="FT100">(('Fórmula'!C100)/('Fórmula'!C100+'Fórmula'!E100+'Fórmula'!G100+'Fórmula'!I100+'Fórmula'!K100))*(INDEX(properties!A$1:CB$87,'Fórmula'!B100,56))+(('Fórmula'!E100)/('Fórmula'!C100+'Fórmula'!E100+'Fórmula'!G100+'Fórmula'!I100+'Fórmula'!K100))*(INDEX(properties!A$1:CB$87,'Fórmula'!D100,56))+(('Fórmula'!G100)/('Fórmula'!C100+'Fórmula'!E100+'Fórmula'!G100+'Fórmula'!I100+'Fórmula'!K100))*(INDEX(properties!A$1:CB$87,'Fórmula'!F100,56))+(('Fórmula'!I100)/('Fórmula'!C100+'Fórmula'!E100+'Fórmula'!G100+'Fórmula'!I100+'Fórmula'!K100))*(INDEX(properties!A$1:CB$87,'Fórmula'!H100,56))+(('Fórmula'!K100)/('Fórmula'!C100+'Fórmula'!E100+'Fórmula'!G100+'Fórmula'!I100+'Fórmula'!K100))*(INDEX(properties!A$1:CB$87,'Fórmula'!J100,56))</f>
        <v>0.6988888889</v>
      </c>
      <c r="FU100" s="119">
        <f t="array" ref="FU100">'Fórmula'!C100*(INDEX(properties!A$1:CB$87,'Fórmula'!B100,56))+'Fórmula'!E100*(INDEX(properties!A$1:CB$87,'Fórmula'!D100,56))+'Fórmula'!G100*(INDEX(properties!A$1:CB$87,'Fórmula'!F100,56))+'Fórmula'!I100*(INDEX(properties!A$1:CB$87,'Fórmula'!H100,56))+'Fórmula'!K100*(INDEX(properties!A$1:CB$87,'Fórmula'!J100,56))</f>
        <v>6.29</v>
      </c>
      <c r="FV100" s="119">
        <f t="array" ref="FV100">VARP(IF(INDEX(properties!A$1:CB$87,'Fórmula'!B100,56)&lt;&gt;"",INDEX(properties!A$1:CB$87,'Fórmula'!B100,56)),IF(INDEX(properties!A$1:CB$87,'Fórmula'!D100,56)&lt;&gt;"",INDEX(properties!A$1:CB$87,'Fórmula'!D100,56)),IF(INDEX(properties!A$1:CB$87,'Fórmula'!F100,56)&lt;&gt;"",INDEX(properties!A$1:CB$87,'Fórmula'!F100,56)),IF(INDEX(properties!A$1:CB$87,'Fórmula'!H100,56)&lt;&gt;"",INDEX(properties!A$1:CB$87,'Fórmula'!H100,56)),IF(INDEX(properties!A$1:CB$87,'Fórmula'!J100,56)&lt;&gt;"",INDEX(properties!A$1:CB$87,'Fórmula'!J100,56)))</f>
        <v>0.143056</v>
      </c>
      <c r="FW100" s="119">
        <f t="array" ref="FW100">MAX(INDEX(properties!A$1:CB$87,'Fórmula'!B100,56),INDEX(properties!A$1:CB$87,'Fórmula'!D100,56),INDEX(properties!A$1:CB$87,'Fórmula'!F100,56),INDEX(properties!A$1:CB$87,'Fórmula'!H100,56),INDEX(properties!A$1:CB$87,'Fórmula'!J100,56))</f>
        <v>0.92</v>
      </c>
      <c r="FX100" s="119">
        <f t="array" ref="FX100">MIN(IF(INDEX(properties!A$1:CB$87,'Fórmula'!B100,56)=0,10^6,INDEX(properties!A$1:CB$87,'Fórmula'!B100,56)),IF(INDEX(properties!A$1:CB$87,'Fórmula'!D100,56)=0,10^6,INDEX(properties!A$1:CB$87,'Fórmula'!D100,56)),IF(INDEX(properties!A$1:CB$87,'Fórmula'!F100,56)=0,10^6,INDEX(properties!A$1:CB$87,'Fórmula'!F100,56)),IF(INDEX(properties!A$1:CB$87,'Fórmula'!H100,56)=0,10^6,INDEX(properties!A$1:CB$87,'Fórmula'!H100,56)),IF(INDEX(properties!A$1:CB$87,'Fórmula'!J100,56)=0,10^6,INDEX(properties!A$1:CB$87,'Fórmula'!J100,56)))</f>
        <v>0.19</v>
      </c>
      <c r="FY100" s="119">
        <f t="shared" si="30"/>
        <v>0.73</v>
      </c>
      <c r="FZ100" s="104">
        <f t="array" ref="FZ100">(('Fórmula'!C100)/('Fórmula'!C100+'Fórmula'!E100+'Fórmula'!G100+'Fórmula'!I100+'Fórmula'!K100))*(INDEX(properties!A$1:CB$87,'Fórmula'!B100,57))+(('Fórmula'!E100)/('Fórmula'!C100+'Fórmula'!E100+'Fórmula'!G100+'Fórmula'!I100+'Fórmula'!K100))*(INDEX(properties!A$1:CB$87,'Fórmula'!D100,57))+(('Fórmula'!G100)/('Fórmula'!C100+'Fórmula'!E100+'Fórmula'!G100+'Fórmula'!I100+'Fórmula'!K100))*(INDEX(properties!A$1:CB$87,'Fórmula'!F100,57))+(('Fórmula'!I100)/('Fórmula'!C100+'Fórmula'!E100+'Fórmula'!G100+'Fórmula'!I100+'Fórmula'!K100))*(INDEX(properties!A$1:CB$87,'Fórmula'!H100,57))+(('Fórmula'!K100)/('Fórmula'!C100+'Fórmula'!E100+'Fórmula'!G100+'Fórmula'!I100+'Fórmula'!K100))*(INDEX(properties!A$1:CB$87,'Fórmula'!J100,57))</f>
        <v>3.855883333</v>
      </c>
      <c r="GA100" s="104">
        <f t="array" ref="GA100">'Fórmula'!C100*(INDEX(properties!A$1:CB$87,'Fórmula'!B100,57))+'Fórmula'!E100*(INDEX(properties!A$1:CB$87,'Fórmula'!D100,57))+'Fórmula'!G100*(INDEX(properties!A$1:CB$87,'Fórmula'!F100,57))+'Fórmula'!I100*(INDEX(properties!A$1:CB$87,'Fórmula'!H100,57))+'Fórmula'!K100*(INDEX(properties!A$1:CB$87,'Fórmula'!J100,57))</f>
        <v>34.70295</v>
      </c>
      <c r="GB100" s="104">
        <f t="array" ref="GB100">VARP(IF(INDEX(properties!A$1:CB$87,'Fórmula'!B100,57)&lt;&gt;"",INDEX(properties!A$1:CB$87,'Fórmula'!B100,57)),IF(INDEX(properties!A$1:CB$87,'Fórmula'!D100,57)&lt;&gt;"",INDEX(properties!A$1:CB$87,'Fórmula'!D100,57)),IF(INDEX(properties!A$1:CB$87,'Fórmula'!F100,57)&lt;&gt;"",INDEX(properties!A$1:CB$87,'Fórmula'!F100,57)),IF(INDEX(properties!A$1:CB$87,'Fórmula'!H100,57)&lt;&gt;"",INDEX(properties!A$1:CB$87,'Fórmula'!H100,57)),IF(INDEX(properties!A$1:CB$87,'Fórmula'!J100,57)&lt;&gt;"",INDEX(properties!A$1:CB$87,'Fórmula'!J100,57)))</f>
        <v>18.72503932</v>
      </c>
      <c r="GC100" s="104">
        <f t="array" ref="GC100">MAX(INDEX(properties!A$1:CB$87,'Fórmula'!B100,57),INDEX(properties!A$1:CB$87,'Fórmula'!D100,57),INDEX(properties!A$1:CB$87,'Fórmula'!F100,57),INDEX(properties!A$1:CB$87,'Fórmula'!H100,57),INDEX(properties!A$1:CB$87,'Fórmula'!J100,57))</f>
        <v>10.79</v>
      </c>
      <c r="GD100" s="104">
        <f t="array" ref="GD100">MIN(IF(INDEX(properties!A$1:CB$87,'Fórmula'!B100,57)=0,10^6,INDEX(properties!A$1:CB$87,'Fórmula'!B100,57)),IF(INDEX(properties!A$1:CB$87,'Fórmula'!D100,57)=0,10^6,INDEX(properties!A$1:CB$87,'Fórmula'!D100,57)),IF(INDEX(properties!A$1:CB$87,'Fórmula'!F100,57)=0,10^6,INDEX(properties!A$1:CB$87,'Fórmula'!F100,57)),IF(INDEX(properties!A$1:CB$87,'Fórmula'!H100,57)=0,10^6,INDEX(properties!A$1:CB$87,'Fórmula'!H100,57)),IF(INDEX(properties!A$1:CB$87,'Fórmula'!J100,57)=0,10^6,INDEX(properties!A$1:CB$87,'Fórmula'!J100,57)))</f>
        <v>0.22259</v>
      </c>
      <c r="GE100" s="104">
        <f t="shared" si="31"/>
        <v>10.56741</v>
      </c>
      <c r="GF100" s="105">
        <f t="array" ref="GF100">(('Fórmula'!C100)/('Fórmula'!C100+'Fórmula'!E100+'Fórmula'!G100+'Fórmula'!I100+'Fórmula'!K100))*(INDEX(properties!A$1:CB$87,'Fórmula'!B100,60))+(('Fórmula'!E100)/('Fórmula'!C100+'Fórmula'!E100+'Fórmula'!G100+'Fórmula'!I100+'Fórmula'!K100))*(INDEX(properties!A$1:CB$87,'Fórmula'!D100,60))+(('Fórmula'!G100)/('Fórmula'!C100+'Fórmula'!E100+'Fórmula'!G100+'Fórmula'!I100+'Fórmula'!K100))*(INDEX(properties!A$1:CB$87,'Fórmula'!F100,60))+(('Fórmula'!I100)/('Fórmula'!C100+'Fórmula'!E100+'Fórmula'!G100+'Fórmula'!I100+'Fórmula'!K100))*(INDEX(properties!A$1:CB$87,'Fórmula'!H100,60))+(('Fórmula'!K100)/('Fórmula'!C100+'Fórmula'!E100+'Fórmula'!G100+'Fórmula'!I100+'Fórmula'!K100))*(INDEX(properties!A$1:CB$87,'Fórmula'!J100,60))</f>
        <v>35.69263333</v>
      </c>
      <c r="GG100" s="105">
        <f t="array" ref="GG100">'Fórmula'!C100*(INDEX(properties!A$1:CB$87,'Fórmula'!B100,60))+'Fórmula'!E100*(INDEX(properties!A$1:CB$87,'Fórmula'!D100,60))+'Fórmula'!G100*(INDEX(properties!A$1:CB$87,'Fórmula'!F100,60))+'Fórmula'!I100*(INDEX(properties!A$1:CB$87,'Fórmula'!H100,60))+'Fórmula'!K100*(INDEX(properties!A$1:CB$87,'Fórmula'!J100,60))</f>
        <v>321.2337</v>
      </c>
      <c r="GH100" s="105">
        <f t="array" ref="GH100">VARP(IF(INDEX(properties!A$1:CB$87,'Fórmula'!B100,60)&lt;&gt;"",INDEX(properties!A$1:CB$87,'Fórmula'!B100,60)),IF(INDEX(properties!A$1:CB$87,'Fórmula'!D100,60)&lt;&gt;"",INDEX(properties!A$1:CB$87,'Fórmula'!D100,60)),IF(INDEX(properties!A$1:CB$87,'Fórmula'!F100,60)&lt;&gt;"",INDEX(properties!A$1:CB$87,'Fórmula'!F100,60)),IF(INDEX(properties!A$1:CB$87,'Fórmula'!H100,60)&lt;&gt;"",INDEX(properties!A$1:CB$87,'Fórmula'!H100,60)),IF(INDEX(properties!A$1:CB$87,'Fórmula'!J100,60)&lt;&gt;"",INDEX(properties!A$1:CB$87,'Fórmula'!J100,60)))</f>
        <v>8251.591131</v>
      </c>
      <c r="GI100" s="105">
        <f t="array" ref="GI100">MAX(INDEX(properties!A$1:CB$87,'Fórmula'!B100,60),INDEX(properties!A$1:CB$87,'Fórmula'!D100,60),INDEX(properties!A$1:CB$87,'Fórmula'!F100,60),INDEX(properties!A$1:CB$87,'Fórmula'!H100,60),INDEX(properties!A$1:CB$87,'Fórmula'!J100,60))</f>
        <v>237</v>
      </c>
      <c r="GJ100" s="105">
        <f t="array" ref="GJ100">MIN(IF(INDEX(properties!A$1:CB$87,'Fórmula'!B100,60)=0,10^6,INDEX(properties!A$1:CB$87,'Fórmula'!B100,60)),IF(INDEX(properties!A$1:CB$87,'Fórmula'!D100,60)=0,10^6,INDEX(properties!A$1:CB$87,'Fórmula'!D100,60)),IF(INDEX(properties!A$1:CB$87,'Fórmula'!F100,60)=0,10^6,INDEX(properties!A$1:CB$87,'Fórmula'!F100,60)),IF(INDEX(properties!A$1:CB$87,'Fórmula'!H100,60)=0,10^6,INDEX(properties!A$1:CB$87,'Fórmula'!H100,60)),IF(INDEX(properties!A$1:CB$87,'Fórmula'!J100,60)=0,10^6,INDEX(properties!A$1:CB$87,'Fórmula'!J100,60)))</f>
        <v>0.02674</v>
      </c>
      <c r="GK100" s="105">
        <f t="shared" si="32"/>
        <v>236.97326</v>
      </c>
      <c r="GL100" s="106">
        <f t="array" ref="GL100">(('Fórmula'!C100)/('Fórmula'!C100+'Fórmula'!E100+'Fórmula'!G100+'Fórmula'!I100+'Fórmula'!K100))*(INDEX(properties!A$1:CB$87,'Fórmula'!B100,62))+(('Fórmula'!E100)/('Fórmula'!C100+'Fórmula'!E100+'Fórmula'!G100+'Fórmula'!I100+'Fórmula'!K100))*(INDEX(properties!A$1:CB$87,'Fórmula'!D100,62))+(('Fórmula'!G100)/('Fórmula'!C100+'Fórmula'!E100+'Fórmula'!G100+'Fórmula'!I100+'Fórmula'!K100))*(INDEX(properties!A$1:CB$87,'Fórmula'!F100,62))+(('Fórmula'!I100)/('Fórmula'!C100+'Fórmula'!E100+'Fórmula'!G100+'Fórmula'!I100+'Fórmula'!K100))*(INDEX(properties!A$1:CB$87,'Fórmula'!H100,62))+(('Fórmula'!K100)/('Fórmula'!C100+'Fórmula'!E100+'Fórmula'!G100+'Fórmula'!I100+'Fórmula'!K100))*(INDEX(properties!A$1:CB$87,'Fórmula'!J100,62))</f>
        <v>2.711111111</v>
      </c>
      <c r="GM100" s="106">
        <f t="array" ref="GM100">'Fórmula'!C100*(INDEX(properties!A$1:CB$87,'Fórmula'!B100,62))+'Fórmula'!E100*(INDEX(properties!A$1:CB$87,'Fórmula'!D100,62))+'Fórmula'!G100*(INDEX(properties!A$1:CB$87,'Fórmula'!F100,62))+'Fórmula'!I100*(INDEX(properties!A$1:CB$87,'Fórmula'!H100,62))+'Fórmula'!K100*(INDEX(properties!A$1:CB$87,'Fórmula'!J100,62))</f>
        <v>24.4</v>
      </c>
      <c r="GN100" s="106">
        <f t="array" ref="GN100">VARP(IF(INDEX(properties!A$1:CB$87,'Fórmula'!B100,62)&lt;&gt;"",INDEX(properties!A$1:CB$87,'Fórmula'!B100,62)),IF(INDEX(properties!A$1:CB$87,'Fórmula'!D100,62)&lt;&gt;"",INDEX(properties!A$1:CB$87,'Fórmula'!D100,62)),IF(INDEX(properties!A$1:CB$87,'Fórmula'!F100,62)&lt;&gt;"",INDEX(properties!A$1:CB$87,'Fórmula'!F100,62)),IF(INDEX(properties!A$1:CB$87,'Fórmula'!H100,62)&lt;&gt;"",INDEX(properties!A$1:CB$87,'Fórmula'!H100,62)),IF(INDEX(properties!A$1:CB$87,'Fórmula'!J100,62)&lt;&gt;"",INDEX(properties!A$1:CB$87,'Fórmula'!J100,62)))</f>
        <v>2.30556</v>
      </c>
      <c r="GO100" s="106">
        <f t="array" ref="GO100">MAX(INDEX(properties!A$1:CB$87,'Fórmula'!B100,62),INDEX(properties!A$1:CB$87,'Fórmula'!D100,62),INDEX(properties!A$1:CB$87,'Fórmula'!F100,62),INDEX(properties!A$1:CB$87,'Fórmula'!H100,62),INDEX(properties!A$1:CB$87,'Fórmula'!J100,62))</f>
        <v>4.47</v>
      </c>
      <c r="GP100" s="106">
        <f t="array" ref="GP100">MIN(IF(INDEX(properties!A$1:CB$87,'Fórmula'!B100,62)=0,10^6,INDEX(properties!A$1:CB$87,'Fórmula'!B100,62)),IF(INDEX(properties!A$1:CB$87,'Fórmula'!D100,62)=0,10^6,INDEX(properties!A$1:CB$87,'Fórmula'!D100,62)),IF(INDEX(properties!A$1:CB$87,'Fórmula'!F100,62)=0,10^6,INDEX(properties!A$1:CB$87,'Fórmula'!F100,62)),IF(INDEX(properties!A$1:CB$87,'Fórmula'!H100,62)=0,10^6,INDEX(properties!A$1:CB$87,'Fórmula'!H100,62)),IF(INDEX(properties!A$1:CB$87,'Fórmula'!J100,62)=0,10^6,INDEX(properties!A$1:CB$87,'Fórmula'!J100,62)))</f>
        <v>1.72</v>
      </c>
      <c r="GQ100" s="106">
        <f t="shared" si="33"/>
        <v>2.75</v>
      </c>
      <c r="GR100" s="106">
        <f>'Fórmula'!Q100</f>
        <v>140</v>
      </c>
      <c r="GS100" s="107">
        <f>'Fórmula'!P100</f>
        <v>2</v>
      </c>
      <c r="GT100" s="113">
        <f>'Fórmula'!O100</f>
        <v>5.55</v>
      </c>
      <c r="GU100" s="114">
        <f>AVERAGE('Fórmula'!R100/'Fórmula'!S100,'Fórmula'!S100/'Fórmula'!T100,'Fórmula'!T100/'Fórmula'!R100)</f>
        <v>1.077183421</v>
      </c>
      <c r="GV100" s="125">
        <f>'Fórmula'!U100</f>
        <v>503.87</v>
      </c>
      <c r="GW100" s="106">
        <f>'Fórmula'!N100</f>
        <v>0.03</v>
      </c>
    </row>
    <row r="101" ht="14.25" customHeight="1">
      <c r="A101" s="99" t="str">
        <f>'Fórmula'!A101</f>
        <v>CaScBO4</v>
      </c>
      <c r="B101" s="101">
        <f t="array" ref="B101">(('Fórmula'!C101)/('Fórmula'!C101+'Fórmula'!E101+'Fórmula'!G101+'Fórmula'!I101+'Fórmula'!K101))*(INDEX(properties!A$1:CB$87,'Fórmula'!B101,3))+(('Fórmula'!E101)/('Fórmula'!C101+'Fórmula'!E101+'Fórmula'!G101+'Fórmula'!I101+'Fórmula'!K101))*(INDEX(properties!A$1:CB$87,'Fórmula'!D101,3))+(('Fórmula'!G101)/('Fórmula'!C101+'Fórmula'!E101+'Fórmula'!G101+'Fórmula'!I101+'Fórmula'!K101))*(INDEX(properties!A$1:CB$87,'Fórmula'!F101,3))+(('Fórmula'!I101)/('Fórmula'!C101+'Fórmula'!E101+'Fórmula'!G101+'Fórmula'!I101+'Fórmula'!K101))*(INDEX(properties!A$1:CB$87,'Fórmula'!H101,3))+(('Fórmula'!K101)/('Fórmula'!C101+'Fórmula'!E101+'Fórmula'!G101+'Fórmula'!I101+'Fórmula'!K101))*(INDEX(properties!A$1:CB$87,'Fórmula'!J101,3))</f>
        <v>22.83464429</v>
      </c>
      <c r="C101" s="101">
        <f t="array" ref="C101">'Fórmula'!C101*(INDEX(properties!A$1:CB$87,'Fórmula'!B101,3))+'Fórmula'!E101*(INDEX(properties!A$1:CB$87,'Fórmula'!D101,3))+'Fórmula'!G101*(INDEX(properties!A$1:CB$87,'Fórmula'!F101,3))+'Fórmula'!I101*(INDEX(properties!A$1:CB$87,'Fórmula'!H101,3))+'Fórmula'!K101*(INDEX(properties!A$1:CB$87,'Fórmula'!J101,3))</f>
        <v>159.84251</v>
      </c>
      <c r="D101" s="101">
        <f t="array" ref="D101">VARP(IF(INDEX(properties!A$1:CB$87,'Fórmula'!B101,3)&lt;&gt;"",INDEX(properties!A$1:CB$87,'Fórmula'!B101,3)),IF(INDEX(properties!A$1:CB$87,'Fórmula'!D101,3)&lt;&gt;"",INDEX(properties!A$1:CB$87,'Fórmula'!D101,3)),IF(INDEX(properties!A$1:CB$87,'Fórmula'!F101,3)&lt;&gt;"",INDEX(properties!A$1:CB$87,'Fórmula'!F101,3)),IF(INDEX(properties!A$1:CB$87,'Fórmula'!H101,3)&lt;&gt;"",INDEX(properties!A$1:CB$87,'Fórmula'!H101,3)),IF(INDEX(properties!A$1:CB$87,'Fórmula'!J101,3)&lt;&gt;"",INDEX(properties!A$1:CB$87,'Fórmula'!J101,3)))</f>
        <v>299.6617027</v>
      </c>
      <c r="E101" s="101">
        <f t="array" ref="E101">MAX(INDEX(properties!A$1:CB$87,'Fórmula'!B101,3),INDEX(properties!A$1:CB$87,'Fórmula'!D101,3),INDEX(properties!A$1:CB$87,'Fórmula'!F101,3),INDEX(properties!A$1:CB$87,'Fórmula'!H101,3),INDEX(properties!A$1:CB$87,'Fórmula'!J101,3))</f>
        <v>44.95591</v>
      </c>
      <c r="F101" s="101">
        <f t="array" ref="F101">MIN(IF(INDEX(properties!A$1:CB$87,'Fórmula'!B101,3)=0,10^6,INDEX(properties!A$1:CB$87,'Fórmula'!B101,3)),IF(INDEX(properties!A$1:CB$87,'Fórmula'!D101,3)=0,10^6,INDEX(properties!A$1:CB$87,'Fórmula'!D101,3)),IF(INDEX(properties!A$1:CB$87,'Fórmula'!F101,3)=0,10^6,INDEX(properties!A$1:CB$87,'Fórmula'!F101,3)),IF(INDEX(properties!A$1:CB$87,'Fórmula'!H101,3)=0,10^6,INDEX(properties!A$1:CB$87,'Fórmula'!H101,3)),IF(INDEX(properties!A$1:CB$87,'Fórmula'!J101,3)=0,10^6,INDEX(properties!A$1:CB$87,'Fórmula'!J101,3)))</f>
        <v>10.811</v>
      </c>
      <c r="G101" s="101">
        <f t="shared" si="1"/>
        <v>34.14491</v>
      </c>
      <c r="H101" s="102">
        <f t="array" ref="H101">(('Fórmula'!C101)/('Fórmula'!C101+'Fórmula'!E101+'Fórmula'!G101+'Fórmula'!I101+'Fórmula'!K101))*(INDEX(properties!A$1:CB$87,'Fórmula'!B101,4))+(('Fórmula'!E101)/('Fórmula'!C101+'Fórmula'!E101+'Fórmula'!G101+'Fórmula'!I101+'Fórmula'!K101))*(INDEX(properties!A$1:CB$87,'Fórmula'!D101,4))+(('Fórmula'!G101)/('Fórmula'!C101+'Fórmula'!E101+'Fórmula'!G101+'Fórmula'!I101+'Fórmula'!K101))*(INDEX(properties!A$1:CB$87,'Fórmula'!F101,4))+(('Fórmula'!I101)/('Fórmula'!C101+'Fórmula'!E101+'Fórmula'!G101+'Fórmula'!I101+'Fórmula'!K101))*(INDEX(properties!A$1:CB$87,'Fórmula'!H101,4))+(('Fórmula'!K101)/('Fórmula'!C101+'Fórmula'!E101+'Fórmula'!G101+'Fórmula'!I101+'Fórmula'!K101))*(INDEX(properties!A$1:CB$87,'Fórmula'!J101,4))</f>
        <v>11.14285714</v>
      </c>
      <c r="I101" s="102">
        <f t="array" ref="I101">'Fórmula'!C101*(INDEX(properties!A$1:CB$87,'Fórmula'!B101,4))+'Fórmula'!E101*(INDEX(properties!A$1:CB$87,'Fórmula'!D101,4))+'Fórmula'!G101*(INDEX(properties!A$1:CB$87,'Fórmula'!F101,4))+'Fórmula'!I101*(INDEX(properties!A$1:CB$87,'Fórmula'!H101,4))+'Fórmula'!K101*(INDEX(properties!A$1:CB$87,'Fórmula'!J101,4))</f>
        <v>78</v>
      </c>
      <c r="J101" s="102">
        <f t="array" ref="J101">VARP(IF(INDEX(properties!A$1:CB$87,'Fórmula'!B101,4)&lt;&gt;"",INDEX(properties!A$1:CB$87,'Fórmula'!B101,4)),IF(INDEX(properties!A$1:CB$87,'Fórmula'!D101,4)&lt;&gt;"",INDEX(properties!A$1:CB$87,'Fórmula'!D101,4)),IF(INDEX(properties!A$1:CB$87,'Fórmula'!F101,4)&lt;&gt;"",INDEX(properties!A$1:CB$87,'Fórmula'!F101,4)),IF(INDEX(properties!A$1:CB$87,'Fórmula'!H101,4)&lt;&gt;"",INDEX(properties!A$1:CB$87,'Fórmula'!H101,4)),IF(INDEX(properties!A$1:CB$87,'Fórmula'!J101,4)&lt;&gt;"",INDEX(properties!A$1:CB$87,'Fórmula'!J101,4)))</f>
        <v>69.36</v>
      </c>
      <c r="K101" s="102">
        <f t="array" ref="K101">MAX(INDEX(properties!A$1:CB$87,'Fórmula'!B101,4),INDEX(properties!A$1:CB$87,'Fórmula'!D101,4),INDEX(properties!A$1:CB$87,'Fórmula'!F101,4),INDEX(properties!A$1:CB$87,'Fórmula'!H101,4),INDEX(properties!A$1:CB$87,'Fórmula'!J101,4))</f>
        <v>21</v>
      </c>
      <c r="L101" s="102">
        <f t="array" ref="L101">MIN(IF(INDEX(properties!A$1:CB$87,'Fórmula'!B101,4)=0,10^6,INDEX(properties!A$1:CB$87,'Fórmula'!B101,4)),IF(INDEX(properties!A$1:CB$87,'Fórmula'!D101,4)=0,10^6,INDEX(properties!A$1:CB$87,'Fórmula'!D101,4)),IF(INDEX(properties!A$1:CB$87,'Fórmula'!F101,4)=0,10^6,INDEX(properties!A$1:CB$87,'Fórmula'!F101,4)),IF(INDEX(properties!A$1:CB$87,'Fórmula'!H101,4)=0,10^6,INDEX(properties!A$1:CB$87,'Fórmula'!H101,4)),IF(INDEX(properties!A$1:CB$87,'Fórmula'!J101,4)=0,10^6,INDEX(properties!A$1:CB$87,'Fórmula'!J101,4)))</f>
        <v>5</v>
      </c>
      <c r="M101" s="102">
        <f t="shared" si="2"/>
        <v>16</v>
      </c>
      <c r="N101" s="103">
        <f t="array" ref="N101">(('Fórmula'!C101)/('Fórmula'!C101+'Fórmula'!E101+'Fórmula'!G101+'Fórmula'!I101+'Fórmula'!K101))*(INDEX(properties!A$1:CB$87,'Fórmula'!B101,5))+(('Fórmula'!E101)/('Fórmula'!C101+'Fórmula'!E101+'Fórmula'!G101+'Fórmula'!I101+'Fórmula'!K101))*(INDEX(properties!A$1:CB$87,'Fórmula'!D101,5))+(('Fórmula'!G101)/('Fórmula'!C101+'Fórmula'!E101+'Fórmula'!G101+'Fórmula'!I101+'Fórmula'!K101))*(INDEX(properties!A$1:CB$87,'Fórmula'!F101,5))+(('Fórmula'!I101)/('Fórmula'!C101+'Fórmula'!E101+'Fórmula'!G101+'Fórmula'!I101+'Fórmula'!K101))*(INDEX(properties!A$1:CB$87,'Fórmula'!H101,5))+(('Fórmula'!K101)/('Fórmula'!C101+'Fórmula'!E101+'Fórmula'!G101+'Fórmula'!I101+'Fórmula'!K101))*(INDEX(properties!A$1:CB$87,'Fórmula'!J101,5))</f>
        <v>2.571428571</v>
      </c>
      <c r="O101" s="103">
        <f t="array" ref="O101">'Fórmula'!C101*(INDEX(properties!A$1:CB$87,'Fórmula'!B101,5))+'Fórmula'!E101*(INDEX(properties!A$1:CB$87,'Fórmula'!D101,5))+'Fórmula'!G101*(INDEX(properties!A$1:CB$87,'Fórmula'!F101,5))+'Fórmula'!I101*(INDEX(properties!A$1:CB$87,'Fórmula'!H101,5))+'Fórmula'!K101*(INDEX(properties!A$1:CB$87,'Fórmula'!J101,5))</f>
        <v>18</v>
      </c>
      <c r="P101" s="103">
        <f t="array" ref="P101">VARP(IF(INDEX(properties!A$1:CB$87,'Fórmula'!B101,5)&lt;&gt;"",INDEX(properties!A$1:CB$87,'Fórmula'!B101,5)),IF(INDEX(properties!A$1:CB$87,'Fórmula'!D101,5)&lt;&gt;"",INDEX(properties!A$1:CB$87,'Fórmula'!D101,5)),IF(INDEX(properties!A$1:CB$87,'Fórmula'!F101,5)&lt;&gt;"",INDEX(properties!A$1:CB$87,'Fórmula'!F101,5)),IF(INDEX(properties!A$1:CB$87,'Fórmula'!H101,5)&lt;&gt;"",INDEX(properties!A$1:CB$87,'Fórmula'!H101,5)),IF(INDEX(properties!A$1:CB$87,'Fórmula'!J101,5)&lt;&gt;"",INDEX(properties!A$1:CB$87,'Fórmula'!J101,5)))</f>
        <v>2.24</v>
      </c>
      <c r="Q101" s="103">
        <f t="array" ref="Q101">MAX(INDEX(properties!A$1:CB$87,'Fórmula'!B101,5),INDEX(properties!A$1:CB$87,'Fórmula'!D101,5),INDEX(properties!A$1:CB$87,'Fórmula'!F101,5),INDEX(properties!A$1:CB$87,'Fórmula'!H101,5),INDEX(properties!A$1:CB$87,'Fórmula'!J101,5))</f>
        <v>4</v>
      </c>
      <c r="R101" s="103">
        <f t="array" ref="R101">MIN(IF(INDEX(properties!A$1:CB$87,'Fórmula'!B101,5)=0,10^6,INDEX(properties!A$1:CB$87,'Fórmula'!B101,5)),IF(INDEX(properties!A$1:CB$87,'Fórmula'!D101,5)=0,10^6,INDEX(properties!A$1:CB$87,'Fórmula'!D101,5)),IF(INDEX(properties!A$1:CB$87,'Fórmula'!F101,5)=0,10^6,INDEX(properties!A$1:CB$87,'Fórmula'!F101,5)),IF(INDEX(properties!A$1:CB$87,'Fórmula'!H101,5)=0,10^6,INDEX(properties!A$1:CB$87,'Fórmula'!H101,5)),IF(INDEX(properties!A$1:CB$87,'Fórmula'!J101,5)=0,10^6,INDEX(properties!A$1:CB$87,'Fórmula'!J101,5)))</f>
        <v>2</v>
      </c>
      <c r="S101" s="103">
        <f t="shared" si="3"/>
        <v>2</v>
      </c>
      <c r="T101" s="104">
        <f t="array" ref="T101">(('Fórmula'!C101)/('Fórmula'!C101+'Fórmula'!E101+'Fórmula'!G101+'Fórmula'!I101+'Fórmula'!K101))*(INDEX(properties!A$1:CB$87,'Fórmula'!B101,6))+(('Fórmula'!E101)/('Fórmula'!C101+'Fórmula'!E101+'Fórmula'!G101+'Fórmula'!I101+'Fórmula'!K101))*(INDEX(properties!A$1:CB$87,'Fórmula'!D101,6))+(('Fórmula'!G101)/('Fórmula'!C101+'Fórmula'!E101+'Fórmula'!G101+'Fórmula'!I101+'Fórmula'!K101))*(INDEX(properties!A$1:CB$87,'Fórmula'!F101,6))+(('Fórmula'!I101)/('Fórmula'!C101+'Fórmula'!E101+'Fórmula'!G101+'Fórmula'!I101+'Fórmula'!K101))*(INDEX(properties!A$1:CB$87,'Fórmula'!H101,6))+(('Fórmula'!K101)/('Fórmula'!C101+'Fórmula'!E101+'Fórmula'!G101+'Fórmula'!I101+'Fórmula'!K101))*(INDEX(properties!A$1:CB$87,'Fórmula'!J101,6))</f>
        <v>11.71428571</v>
      </c>
      <c r="U101" s="104">
        <f t="array" ref="U101">'Fórmula'!C101*(INDEX(properties!A$1:CB$87,'Fórmula'!B101,6))+'Fórmula'!E101*(INDEX(properties!A$1:CB$87,'Fórmula'!D101,6))+'Fórmula'!G101*(INDEX(properties!A$1:CB$87,'Fórmula'!F101,6))+'Fórmula'!I101*(INDEX(properties!A$1:CB$87,'Fórmula'!H101,6))+'Fórmula'!K101*(INDEX(properties!A$1:CB$87,'Fórmula'!J101,6))</f>
        <v>82</v>
      </c>
      <c r="V101" s="103">
        <f t="array" ref="V101">VARP(IF(INDEX(properties!A$1:CB$87,'Fórmula'!B101,6)&lt;&gt;"",INDEX(properties!A$1:CB$87,'Fórmula'!B101,6)),IF(INDEX(properties!A$1:CB$87,'Fórmula'!D101,6)&lt;&gt;"",INDEX(properties!A$1:CB$87,'Fórmula'!D101,6)),IF(INDEX(properties!A$1:CB$87,'Fórmula'!F101,6)&lt;&gt;"",INDEX(properties!A$1:CB$87,'Fórmula'!F101,6)),IF(INDEX(properties!A$1:CB$87,'Fórmula'!H101,6)&lt;&gt;"",INDEX(properties!A$1:CB$87,'Fórmula'!H101,6)),IF(INDEX(properties!A$1:CB$87,'Fórmula'!J101,6)&lt;&gt;"",INDEX(properties!A$1:CB$87,'Fórmula'!J101,6)))</f>
        <v>41.36</v>
      </c>
      <c r="W101" s="104">
        <f t="array" ref="W101">MAX(INDEX(properties!A$1:CB$87,'Fórmula'!B101,6),INDEX(properties!A$1:CB$87,'Fórmula'!D101,6),INDEX(properties!A$1:CB$87,'Fórmula'!F101,6),INDEX(properties!A$1:CB$87,'Fórmula'!H101,4),INDEX(properties!A$1:CB$87,'Fórmula'!J101,6))</f>
        <v>13</v>
      </c>
      <c r="X101" s="104">
        <f t="array" ref="X101">MIN(IF(INDEX(properties!A$1:CB$87,'Fórmula'!B101,6)=0,10^6,INDEX(properties!A$1:CB$87,'Fórmula'!B101,6)),IF(INDEX(properties!A$1:CB$87,'Fórmula'!D101,6)=0,10^6,INDEX(properties!A$1:CB$87,'Fórmula'!D101,6)),IF(INDEX(properties!A$1:CB$87,'Fórmula'!F101,6)=0,10^6,INDEX(properties!A$1:CB$87,'Fórmula'!F101,6)),IF(INDEX(properties!A$1:CB$87,'Fórmula'!H101,6)=0,10^6,INDEX(properties!A$1:CB$87,'Fórmula'!H101,6)),IF(INDEX(properties!A$1:CB$87,'Fórmula'!J101,6)=0,10^6,INDEX(properties!A$1:CB$87,'Fórmula'!J101,6)))</f>
        <v>2</v>
      </c>
      <c r="Y101" s="104">
        <f t="shared" si="4"/>
        <v>11</v>
      </c>
      <c r="Z101" s="105">
        <f t="array" ref="Z101">(('Fórmula'!C101)/('Fórmula'!C101+'Fórmula'!E101+'Fórmula'!G101+'Fórmula'!I101+'Fórmula'!K101))*(INDEX(properties!A$1:CB$87,'Fórmula'!B101,9))+(('Fórmula'!E101)/('Fórmula'!C101+'Fórmula'!E101+'Fórmula'!G101+'Fórmula'!I101+'Fórmula'!K101))*(INDEX(properties!A$1:CB$87,'Fórmula'!D101,9))+(('Fórmula'!G101)/('Fórmula'!C101+'Fórmula'!E101+'Fórmula'!G101+'Fórmula'!I101+'Fórmula'!K101))*(INDEX(properties!A$1:CB$87,'Fórmula'!F101,9))+(('Fórmula'!I101)/('Fórmula'!C101+'Fórmula'!E101+'Fórmula'!G101+'Fórmula'!I101+'Fórmula'!K101))*(INDEX(properties!A$1:CB$87,'Fórmula'!H101,9))+(('Fórmula'!K101)/('Fórmula'!C101+'Fórmula'!E101+'Fórmula'!G101+'Fórmula'!I101+'Fórmula'!K101))*(INDEX(properties!A$1:CB$87,'Fórmula'!J101,9))</f>
        <v>62.57142857</v>
      </c>
      <c r="AA101" s="105">
        <f t="array" ref="AA101">'Fórmula'!C101*(INDEX(properties!A$1:CB$87,'Fórmula'!B101,9))+'Fórmula'!E101*(INDEX(properties!A$1:CB$87,'Fórmula'!D101,9))+'Fórmula'!G101*(INDEX(properties!A$1:CB$87,'Fórmula'!F101,9))+'Fórmula'!I101*(INDEX(properties!A$1:CB$87,'Fórmula'!H101,9))+'Fórmula'!K101*(INDEX(properties!A$1:CB$87,'Fórmula'!J101,9))</f>
        <v>438</v>
      </c>
      <c r="AB101" s="105">
        <f t="array" ref="AB101">VARP(IF(INDEX(properties!A$1:CB$87,'Fórmula'!B101,9)&lt;&gt;"",INDEX(properties!A$1:CB$87,'Fórmula'!B101,9)),IF(INDEX(properties!A$1:CB$87,'Fórmula'!D101,9)&lt;&gt;"",INDEX(properties!A$1:CB$87,'Fórmula'!D101,9)),IF(INDEX(properties!A$1:CB$87,'Fórmula'!F101,9)&lt;&gt;"",INDEX(properties!A$1:CB$87,'Fórmula'!F101,9)),IF(INDEX(properties!A$1:CB$87,'Fórmula'!H101,9)&lt;&gt;"",INDEX(properties!A$1:CB$87,'Fórmula'!H101,9)),IF(INDEX(properties!A$1:CB$87,'Fórmula'!J101,9)&lt;&gt;"",INDEX(properties!A$1:CB$87,'Fórmula'!J101,9)))</f>
        <v>1331.44</v>
      </c>
      <c r="AC101" s="105">
        <f t="array" ref="AC101">MAX(INDEX(properties!A$1:CB$87,'Fórmula'!B101,9),INDEX(properties!A$1:CB$87,'Fórmula'!D101,9),INDEX(properties!A$1:CB$87,'Fórmula'!F101,9),INDEX(properties!A$1:CB$87,'Fórmula'!H101,9),INDEX(properties!A$1:CB$87,'Fórmula'!J101,9))</f>
        <v>87</v>
      </c>
      <c r="AD101" s="105">
        <f t="array" ref="AD101">MIN(IF(INDEX(properties!A$1:CB$87,'Fórmula'!B101,9)=0,10^6,INDEX(properties!A$1:CB$87,'Fórmula'!B101,9)),IF(INDEX(properties!A$1:CB$87,'Fórmula'!D101,9)=0,10^6,INDEX(properties!A$1:CB$87,'Fórmula'!D101,9)),IF(INDEX(properties!A$1:CB$87,'Fórmula'!F101,9)=0,10^6,INDEX(properties!A$1:CB$87,'Fórmula'!F101,9)),IF(INDEX(properties!A$1:CB$87,'Fórmula'!H101,9)=0,10^6,INDEX(properties!A$1:CB$87,'Fórmula'!H101,9)),IF(INDEX(properties!A$1:CB$87,'Fórmula'!J101,9)=0,10^6,INDEX(properties!A$1:CB$87,'Fórmula'!J101,9)))</f>
        <v>7</v>
      </c>
      <c r="AE101" s="105">
        <f t="shared" si="5"/>
        <v>80</v>
      </c>
      <c r="AF101" s="106">
        <f t="array" ref="AF101">(('Fórmula'!C101)/('Fórmula'!C101+'Fórmula'!E101+'Fórmula'!G101+'Fórmula'!I101+'Fórmula'!K101))*(INDEX(properties!A$1:CB$87,'Fórmula'!B101,10))+(('Fórmula'!E101)/('Fórmula'!C101+'Fórmula'!E101+'Fórmula'!G101+'Fórmula'!I101+'Fórmula'!K101))*(INDEX(properties!A$1:CB$87,'Fórmula'!D101,10))+(('Fórmula'!G101)/('Fórmula'!C101+'Fórmula'!E101+'Fórmula'!G101+'Fórmula'!I101+'Fórmula'!K101))*(INDEX(properties!A$1:CB$87,'Fórmula'!F101,10))+(('Fórmula'!I101)/('Fórmula'!C101+'Fórmula'!E101+'Fórmula'!G101+'Fórmula'!I101+'Fórmula'!K101))*(INDEX(properties!A$1:CB$87,'Fórmula'!H101,10))+(('Fórmula'!K101)/('Fórmula'!C101+'Fórmula'!E101+'Fórmula'!G101+'Fórmula'!I101+'Fórmula'!K101))*(INDEX(properties!A$1:CB$87,'Fórmula'!J101,10))</f>
        <v>5.571428571</v>
      </c>
      <c r="AG101" s="106">
        <f t="array" ref="AG101">'Fórmula'!C101*(INDEX(properties!A$1:CB$87,'Fórmula'!B101,10))+'Fórmula'!E101*(INDEX(properties!A$1:CB$87,'Fórmula'!D101,10))+'Fórmula'!G101*(INDEX(properties!A$1:CB$87,'Fórmula'!F101,10))+'Fórmula'!I101*(INDEX(properties!A$1:CB$87,'Fórmula'!H101,10))+'Fórmula'!K101*(INDEX(properties!A$1:CB$87,'Fórmula'!J101,10))</f>
        <v>39</v>
      </c>
      <c r="AH101" s="106">
        <f t="array" ref="AH101">VARP(IF(INDEX(properties!A$1:CB$87,'Fórmula'!B101,10)&lt;&gt;"",INDEX(properties!A$1:CB$87,'Fórmula'!B101,10)),IF(INDEX(properties!A$1:CB$87,'Fórmula'!D101,10)&lt;&gt;"",INDEX(properties!A$1:CB$87,'Fórmula'!D101,10)),IF(INDEX(properties!A$1:CB$87,'Fórmula'!F101,10)&lt;&gt;"",INDEX(properties!A$1:CB$87,'Fórmula'!F101,10)),IF(INDEX(properties!A$1:CB$87,'Fórmula'!H101,10)&lt;&gt;"",INDEX(properties!A$1:CB$87,'Fórmula'!H101,10)),IF(INDEX(properties!A$1:CB$87,'Fórmula'!J101,10)&lt;&gt;"",INDEX(properties!A$1:CB$87,'Fórmula'!J101,10)))</f>
        <v>6.64</v>
      </c>
      <c r="AI101" s="106">
        <f t="array" ref="AI101">MAX(INDEX(properties!A$1:CB$87,'Fórmula'!B101,10),INDEX(properties!A$1:CB$87,'Fórmula'!D101,10),INDEX(properties!A$1:CB$87,'Fórmula'!F101,10),INDEX(properties!A$1:CB$87,'Fórmula'!H101,10),INDEX(properties!A$1:CB$87,'Fórmula'!J101,10))</f>
        <v>7</v>
      </c>
      <c r="AJ101" s="106">
        <f t="array" ref="AJ101">MIN(IF(INDEX(properties!A$1:CB$87,'Fórmula'!B101,10)=0,10^6,INDEX(properties!A$1:CB$87,'Fórmula'!B101,10)),IF(INDEX(properties!A$1:CB$87,'Fórmula'!D101,10)=0,10^6,INDEX(properties!A$1:CB$87,'Fórmula'!D101,10)),IF(INDEX(properties!A$1:CB$87,'Fórmula'!F101,10)=0,10^6,INDEX(properties!A$1:CB$87,'Fórmula'!F101,10)),IF(INDEX(properties!A$1:CB$87,'Fórmula'!H101,10)=0,10^6,INDEX(properties!A$1:CB$87,'Fórmula'!H101,10)),IF(INDEX(properties!A$1:CB$87,'Fórmula'!J101,10)=0,10^6,INDEX(properties!A$1:CB$87,'Fórmula'!J101,10)))</f>
        <v>2</v>
      </c>
      <c r="AK101" s="106">
        <f t="shared" si="6"/>
        <v>5</v>
      </c>
      <c r="AL101" s="107">
        <f t="array" ref="AL101">(('Fórmula'!C101)/('Fórmula'!C101+'Fórmula'!E101+'Fórmula'!G101+'Fórmula'!I101+'Fórmula'!K101))*(INDEX(properties!A$1:CB$87,'Fórmula'!B101,11))+(('Fórmula'!E101)/('Fórmula'!C101+'Fórmula'!E101+'Fórmula'!G101+'Fórmula'!I101+'Fórmula'!K101))*(INDEX(properties!A$1:CB$87,'Fórmula'!D101,11))+(('Fórmula'!G101)/('Fórmula'!C101+'Fórmula'!E101+'Fórmula'!G101+'Fórmula'!I101+'Fórmula'!K101))*(INDEX(properties!A$1:CB$87,'Fórmula'!F101,11))+(('Fórmula'!I101)/('Fórmula'!C101+'Fórmula'!E101+'Fórmula'!G101+'Fórmula'!I101+'Fórmula'!K101))*(INDEX(properties!A$1:CB$87,'Fórmula'!H101,11))+(('Fórmula'!K101)/('Fórmula'!C101+'Fórmula'!E101+'Fórmula'!G101+'Fórmula'!I101+'Fórmula'!K101))*(INDEX(properties!A$1:CB$87,'Fórmula'!J101,11))</f>
        <v>2</v>
      </c>
      <c r="AM101" s="107">
        <f t="array" ref="AM101">'Fórmula'!C101*(INDEX(properties!A$1:CB$87,'Fórmula'!B101,11))+'Fórmula'!E101*(INDEX(properties!A$1:CB$87,'Fórmula'!D101,11))+'Fórmula'!G101*(INDEX(properties!A$1:CB$87,'Fórmula'!F101,11))+'Fórmula'!I101*(INDEX(properties!A$1:CB$87,'Fórmula'!H101,11))+'Fórmula'!K101*(INDEX(properties!A$1:CB$87,'Fórmula'!J101,11))</f>
        <v>14</v>
      </c>
      <c r="AN101" s="107">
        <f t="array" ref="AN101">VARP(IF(INDEX(properties!A$1:CB$87,'Fórmula'!B101,11)&lt;&gt;"",INDEX(properties!A$1:CB$87,'Fórmula'!B101,11)),IF(INDEX(properties!A$1:CB$87,'Fórmula'!D101,11)&lt;&gt;"",INDEX(properties!A$1:CB$87,'Fórmula'!D101,11)),IF(INDEX(properties!A$1:CB$87,'Fórmula'!F101,11)&lt;&gt;"",INDEX(properties!A$1:CB$87,'Fórmula'!F101,11)),IF(INDEX(properties!A$1:CB$87,'Fórmula'!H101,11)&lt;&gt;"",INDEX(properties!A$1:CB$87,'Fórmula'!H101,11)),IF(INDEX(properties!A$1:CB$87,'Fórmula'!J101,11)&lt;&gt;"",INDEX(properties!A$1:CB$87,'Fórmula'!J101,11)))</f>
        <v>0.64</v>
      </c>
      <c r="AO101" s="107">
        <f t="array" ref="AO101">MAX(INDEX(properties!A$1:CB$87,'Fórmula'!B101,11),INDEX(properties!A$1:CB$87,'Fórmula'!D101,11),INDEX(properties!A$1:CB$87,'Fórmula'!F101,11),INDEX(properties!A$1:CB$87,'Fórmula'!H101,11),INDEX(properties!A$1:CB$87,'Fórmula'!J101,11))</f>
        <v>2</v>
      </c>
      <c r="AP101" s="107">
        <f t="array" ref="AP101">MIN(IF('Fórmula'!B101=87,10^6,INDEX(properties!A$1:CB$87,'Fórmula'!B101,11)),IF(('Fórmula'!D101)=87,10^6,INDEX(properties!A$1:CB$87,'Fórmula'!D101,11)),IF(('Fórmula'!F101)=87,10^6,INDEX(properties!A$1:CB$87,'Fórmula'!F101,11)),IF(('Fórmula'!H101)=87,10^6,INDEX(properties!A$1:CB$87,'Fórmula'!H101,11)),IF('Fórmula'!J101=87,10^6,INDEX(properties!A$1:CB$87,'Fórmula'!J101,11)))</f>
        <v>2</v>
      </c>
      <c r="AQ101" s="107">
        <f t="shared" si="7"/>
        <v>0</v>
      </c>
      <c r="AR101" s="108">
        <f t="array" ref="AR101">(('Fórmula'!C101)/('Fórmula'!C101+'Fórmula'!E101+'Fórmula'!G101+'Fórmula'!I101+'Fórmula'!K101))*(INDEX(properties!A$1:CB$87,'Fórmula'!B101,12))+(('Fórmula'!E101)/('Fórmula'!C101+'Fórmula'!E101+'Fórmula'!G101+'Fórmula'!I101+'Fórmula'!K101))*(INDEX(properties!A$1:CB$87,'Fórmula'!D101,12))+(('Fórmula'!G101)/('Fórmula'!C101+'Fórmula'!E101+'Fórmula'!G101+'Fórmula'!I101+'Fórmula'!K101))*(INDEX(properties!A$1:CB$87,'Fórmula'!F101,12))+(('Fórmula'!I101)/('Fórmula'!C101+'Fórmula'!E101+'Fórmula'!G101+'Fórmula'!I101+'Fórmula'!K101))*(INDEX(properties!A$1:CB$87,'Fórmula'!H101,12))+(('Fórmula'!K101)/('Fórmula'!C101+'Fórmula'!E101+'Fórmula'!G101+'Fórmula'!I101+'Fórmula'!K101))*(INDEX(properties!A$1:CB$87,'Fórmula'!J101,12))</f>
        <v>2.428571429</v>
      </c>
      <c r="AS101" s="108">
        <f t="array" ref="AS101">'Fórmula'!C101*(INDEX(properties!A$1:CB$87,'Fórmula'!B101,12))+'Fórmula'!E101*(INDEX(properties!A$1:CB$87,'Fórmula'!D101,12))+'Fórmula'!G101*(INDEX(properties!A$1:CB$87,'Fórmula'!F101,12))+'Fórmula'!I101*(INDEX(properties!A$1:CB$87,'Fórmula'!H101,12))+'Fórmula'!K101*(INDEX(properties!A$1:CB$87,'Fórmula'!J101,12))</f>
        <v>17</v>
      </c>
      <c r="AT101" s="108">
        <f t="array" ref="AT101">VARP(IF(INDEX(properties!A$1:CB$87,'Fórmula'!B101,12)&lt;&gt;"",INDEX(properties!A$1:CB$87,'Fórmula'!B101,12)),IF(INDEX(properties!A$1:CB$87,'Fórmula'!D101,12)&lt;&gt;"",INDEX(properties!A$1:CB$87,'Fórmula'!D101,12)),IF(INDEX(properties!A$1:CB$87,'Fórmula'!F101,12)&lt;&gt;"",INDEX(properties!A$1:CB$87,'Fórmula'!F101,12)),IF(INDEX(properties!A$1:CB$87,'Fórmula'!H101,12)&lt;&gt;"",INDEX(properties!A$1:CB$87,'Fórmula'!H101,12)),IF(INDEX(properties!A$1:CB$87,'Fórmula'!J101,12)&lt;&gt;"",INDEX(properties!A$1:CB$87,'Fórmula'!J101,12)))</f>
        <v>2.4</v>
      </c>
      <c r="AU101" s="108">
        <f t="array" ref="AU101">MAX(INDEX(properties!A$1:CB$87,'Fórmula'!B101,12),INDEX(properties!A$1:CB$87,'Fórmula'!D101,12),INDEX(properties!A$1:CB$87,'Fórmula'!F101,12),INDEX(properties!A$1:CB$87,'Fórmula'!H101,12),INDEX(properties!A$1:CB$87,'Fórmula'!J101,12))</f>
        <v>4</v>
      </c>
      <c r="AV101" s="108">
        <f t="array" ref="AV101">MIN(IF('Fórmula'!B101=87,10^6,INDEX(properties!A$1:CB$87,'Fórmula'!B101,12)),IF(('Fórmula'!D101)=87,10^6,INDEX(properties!A$1:CB$87,'Fórmula'!D101,12)),IF(('Fórmula'!F101)=87,10^6,INDEX(properties!A$1:CB$87,'Fórmula'!F101,12)),IF(('Fórmula'!H101)=87,10^6,INDEX(properties!A$1:CB$87,'Fórmula'!H101,12)),IF('Fórmula'!J101=87,10^6,INDEX(properties!A$1:CB$87,'Fórmula'!J101,12)))</f>
        <v>0</v>
      </c>
      <c r="AW101" s="108">
        <f t="shared" si="8"/>
        <v>4</v>
      </c>
      <c r="AX101" s="109">
        <f t="array" ref="AX101">(('Fórmula'!C101)/('Fórmula'!C101+'Fórmula'!E101+'Fórmula'!G101+'Fórmula'!I101+'Fórmula'!K101))*(INDEX(properties!A$1:CB$87,'Fórmula'!B101,13))+(('Fórmula'!E101)/('Fórmula'!C101+'Fórmula'!E101+'Fórmula'!G101+'Fórmula'!I101+'Fórmula'!K101))*(INDEX(properties!A$1:CB$87,'Fórmula'!D101,13))+(('Fórmula'!G101)/('Fórmula'!C101+'Fórmula'!E101+'Fórmula'!G101+'Fórmula'!I101+'Fórmula'!K101))*(INDEX(properties!A$1:CB$87,'Fórmula'!F101,13))+(('Fórmula'!I101)/('Fórmula'!C101+'Fórmula'!E101+'Fórmula'!G101+'Fórmula'!I101+'Fórmula'!K101))*(INDEX(properties!A$1:CB$87,'Fórmula'!H101,13))+(('Fórmula'!K101)/('Fórmula'!C101+'Fórmula'!E101+'Fórmula'!G101+'Fórmula'!I101+'Fórmula'!K101))*(INDEX(properties!A$1:CB$87,'Fórmula'!J101,13))</f>
        <v>0.1428571429</v>
      </c>
      <c r="AY101" s="109">
        <f t="array" ref="AY101">'Fórmula'!C101*(INDEX(properties!A$1:CB$87,'Fórmula'!B101,13))+'Fórmula'!E101*(INDEX(properties!A$1:CB$87,'Fórmula'!D101,13))+'Fórmula'!G101*(INDEX(properties!A$1:CB$87,'Fórmula'!F101,13))+'Fórmula'!I101*(INDEX(properties!A$1:CB$87,'Fórmula'!H101,13))+'Fórmula'!K101*(INDEX(properties!A$1:CB$87,'Fórmula'!J101,13))</f>
        <v>1</v>
      </c>
      <c r="AZ101" s="109">
        <f t="array" ref="AZ101">VARP(IF(INDEX(properties!A$1:CB$87,'Fórmula'!B101,13)&lt;&gt;"",INDEX(properties!A$1:CB$87,'Fórmula'!B101,13)),IF(INDEX(properties!A$1:CB$87,'Fórmula'!D101,13)&lt;&gt;"",INDEX(properties!A$1:CB$87,'Fórmula'!D101,13)),IF(INDEX(properties!A$1:CB$87,'Fórmula'!F101,13)&lt;&gt;"",INDEX(properties!A$1:CB$87,'Fórmula'!F101,13)),IF(INDEX(properties!A$1:CB$87,'Fórmula'!H101,13)&lt;&gt;"",INDEX(properties!A$1:CB$87,'Fórmula'!H101,13)),IF(INDEX(properties!A$1:CB$87,'Fórmula'!J101,13)&lt;&gt;"",INDEX(properties!A$1:CB$87,'Fórmula'!J101,13)))</f>
        <v>0.16</v>
      </c>
      <c r="BA101" s="109">
        <f t="array" ref="BA101">MAX(INDEX(properties!A$1:CB$87,'Fórmula'!B101,13),INDEX(properties!A$1:CB$87,'Fórmula'!D101,13),INDEX(properties!A$1:CB$87,'Fórmula'!F101,13),INDEX(properties!A$1:CB$87,'Fórmula'!H101,13),INDEX(properties!A$1:CB$87,'Fórmula'!J101,13))</f>
        <v>1</v>
      </c>
      <c r="BB101" s="109">
        <f t="array" ref="BB101">MIN(IF('Fórmula'!B101=87,10^6,INDEX(properties!A$1:CB$87,'Fórmula'!B101,13)),IF(('Fórmula'!D101)=87,10^6,INDEX(properties!A$1:CB$87,'Fórmula'!D101,13)),IF(('Fórmula'!F101)=87,10^6,INDEX(properties!A$1:CB$87,'Fórmula'!F101,13)),IF(('Fórmula'!H101)=87,10^6,INDEX(properties!A$1:CB$87,'Fórmula'!H101,13)),IF('Fórmula'!J101=87,10^6,INDEX(properties!A$1:CB$87,'Fórmula'!J101,13)))</f>
        <v>0</v>
      </c>
      <c r="BC101" s="109">
        <f t="shared" si="9"/>
        <v>1</v>
      </c>
      <c r="BD101" s="110">
        <f t="array" ref="BD101">(('Fórmula'!C101)/('Fórmula'!C101+'Fórmula'!E101+'Fórmula'!G101+'Fórmula'!I101+'Fórmula'!K101))*(INDEX(properties!A$1:CB$87,'Fórmula'!B101,14))+(('Fórmula'!E101)/('Fórmula'!C101+'Fórmula'!E101+'Fórmula'!G101+'Fórmula'!I101+'Fórmula'!K101))*(INDEX(properties!A$1:CB$87,'Fórmula'!D101,14))+(('Fórmula'!G101)/('Fórmula'!C101+'Fórmula'!E101+'Fórmula'!G101+'Fórmula'!I101+'Fórmula'!K101))*(INDEX(properties!A$1:CB$87,'Fórmula'!F101,14))+(('Fórmula'!I101)/('Fórmula'!C101+'Fórmula'!E101+'Fórmula'!G101+'Fórmula'!I101+'Fórmula'!K101))*(INDEX(properties!A$1:CB$87,'Fórmula'!H101,14))+(('Fórmula'!K101)/('Fórmula'!C101+'Fórmula'!E101+'Fórmula'!G101+'Fórmula'!I101+'Fórmula'!K101))*(INDEX(properties!A$1:CB$87,'Fórmula'!J101,14))</f>
        <v>0</v>
      </c>
      <c r="BE101" s="110">
        <f t="array" ref="BE101">'Fórmula'!C101*(INDEX(properties!A$1:CB$87,'Fórmula'!B101,14))+'Fórmula'!E101*(INDEX(properties!A$1:CB$87,'Fórmula'!D101,14))+'Fórmula'!G101*(INDEX(properties!A$1:CB$87,'Fórmula'!F101,14))+'Fórmula'!I101*(INDEX(properties!A$1:CB$87,'Fórmula'!H101,14))+'Fórmula'!K101*(INDEX(properties!A$1:CB$87,'Fórmula'!J101,14))</f>
        <v>0</v>
      </c>
      <c r="BF101" s="110">
        <f t="array" ref="BF101">VARP(IF(INDEX(properties!A$1:CB$87,'Fórmula'!B101,14)&lt;&gt;"",INDEX(properties!A$1:CB$87,'Fórmula'!B101,14)),IF(INDEX(properties!A$1:CB$87,'Fórmula'!D101,14)&lt;&gt;"",INDEX(properties!A$1:CB$87,'Fórmula'!D101,14)),IF(INDEX(properties!A$1:CB$87,'Fórmula'!F101,14)&lt;&gt;"",INDEX(properties!A$1:CB$87,'Fórmula'!F101,14)),IF(INDEX(properties!A$1:CB$87,'Fórmula'!H101,14)&lt;&gt;"",INDEX(properties!A$1:CB$87,'Fórmula'!H101,14)),IF(INDEX(properties!A$1:CB$87,'Fórmula'!J101,14)&lt;&gt;"",INDEX(properties!A$1:CB$87,'Fórmula'!J101,14)))</f>
        <v>0</v>
      </c>
      <c r="BG101" s="110">
        <f t="array" ref="BG101">MAX(INDEX(properties!A$1:CB$87,'Fórmula'!B101,14),INDEX(properties!A$1:CB$87,'Fórmula'!D101,14),INDEX(properties!A$1:CB$87,'Fórmula'!F101,14),INDEX(properties!A$1:CB$87,'Fórmula'!H101,14),INDEX(properties!A$1:CB$87,'Fórmula'!J101,14))</f>
        <v>0</v>
      </c>
      <c r="BH101" s="110">
        <f t="array" ref="BH101">MIN(IF('Fórmula'!B101=87,10^6,INDEX(properties!A$1:CB$87,'Fórmula'!B101,14)),IF(('Fórmula'!D101)=87,10^6,INDEX(properties!A$1:CB$87,'Fórmula'!D101,14)),IF(('Fórmula'!F101)=87,10^6,INDEX(properties!A$1:CB$87,'Fórmula'!F101,14)),IF(('Fórmula'!H101)=87,10^6,INDEX(properties!A$1:CB$87,'Fórmula'!H101,14)),IF('Fórmula'!J101=87,10^6,INDEX(properties!A$1:CB$87,'Fórmula'!J101,14)))</f>
        <v>0</v>
      </c>
      <c r="BI101" s="110">
        <f t="shared" si="10"/>
        <v>0</v>
      </c>
      <c r="BJ101" s="111">
        <f t="array" ref="BJ101">(('Fórmula'!C101)/('Fórmula'!C101+'Fórmula'!E101+'Fórmula'!G101+'Fórmula'!I101+'Fórmula'!K101))*(INDEX(properties!A$1:CB$87,'Fórmula'!B101,19))+(('Fórmula'!E101)/('Fórmula'!C101+'Fórmula'!E101+'Fórmula'!G101+'Fórmula'!I101+'Fórmula'!K101))*(INDEX(properties!A$1:CB$87,'Fórmula'!D101,19))+(('Fórmula'!G101)/('Fórmula'!C101+'Fórmula'!E101+'Fórmula'!G101+'Fórmula'!I101+'Fórmula'!K101))*(INDEX(properties!A$1:CB$87,'Fórmula'!F101,19))+(('Fórmula'!I101)/('Fórmula'!C101+'Fórmula'!E101+'Fórmula'!G101+'Fórmula'!I101+'Fórmula'!K101))*(INDEX(properties!A$1:CB$87,'Fórmula'!H101,19))+(('Fórmula'!K101)/('Fórmula'!C101+'Fórmula'!E101+'Fórmula'!G101+'Fórmula'!I101+'Fórmula'!K101))*(INDEX(properties!A$1:CB$87,'Fórmula'!J101,19))</f>
        <v>4.571428571</v>
      </c>
      <c r="BK101" s="111">
        <f t="array" ref="BK101">'Fórmula'!C101*(INDEX(properties!A$1:CB$87,'Fórmula'!B101,19))+'Fórmula'!E101*(INDEX(properties!A$1:CB$87,'Fórmula'!D101,19))+'Fórmula'!G101*(INDEX(properties!A$1:CB$87,'Fórmula'!F101,19))+'Fórmula'!I101*(INDEX(properties!A$1:CB$87,'Fórmula'!H101,19))+'Fórmula'!K101*(INDEX(properties!A$1:CB$87,'Fórmula'!J101,19))</f>
        <v>32</v>
      </c>
      <c r="BL101" s="111">
        <f t="array" ref="BL101">VARP(IF(INDEX(properties!A$1:CB$87,'Fórmula'!B101,19)&lt;&gt;"",INDEX(properties!A$1:CB$87,'Fórmula'!B101,19)),IF(INDEX(properties!A$1:CB$87,'Fórmula'!D101,19)&lt;&gt;"",INDEX(properties!A$1:CB$87,'Fórmula'!D101,19)),IF(INDEX(properties!A$1:CB$87,'Fórmula'!F101,19)&lt;&gt;"",INDEX(properties!A$1:CB$87,'Fórmula'!F101,19)),IF(INDEX(properties!A$1:CB$87,'Fórmula'!H101,19)&lt;&gt;"",INDEX(properties!A$1:CB$87,'Fórmula'!H101,19)),IF(INDEX(properties!A$1:CB$87,'Fórmula'!J101,19)&lt;&gt;"",INDEX(properties!A$1:CB$87,'Fórmula'!J101,19)))</f>
        <v>3.76</v>
      </c>
      <c r="BM101" s="111">
        <f t="array" ref="BM101">MAX(INDEX(properties!A$1:CB$87,'Fórmula'!B101,19),INDEX(properties!A$1:CB$87,'Fórmula'!D101,19),INDEX(properties!A$1:CB$87,'Fórmula'!F101,19),INDEX(properties!A$1:CB$87,'Fórmula'!H101,19),INDEX(properties!A$1:CB$87,'Fórmula'!J101,19))</f>
        <v>6</v>
      </c>
      <c r="BN101" s="111">
        <f t="array" ref="BN101">MIN(IF(INDEX(properties!A$1:CB$87,'Fórmula'!B101,19)=0,10^6,INDEX(properties!A$1:CB$87,'Fórmula'!B101,19)),IF(INDEX(properties!A$1:CB$87,'Fórmula'!D101,19)=0,10^6,INDEX(properties!A$1:CB$87,'Fórmula'!D101,19)),IF(INDEX(properties!A$1:CB$87,'Fórmula'!F101,19)=0,10^6,INDEX(properties!A$1:CB$87,'Fórmula'!F101,19)),IF(INDEX(properties!A$1:CB$87,'Fórmula'!H101,19)=0,10^6,INDEX(properties!A$1:CB$87,'Fórmula'!H101,19)),IF(INDEX(properties!A$1:CB$87,'Fórmula'!J101,19)=0,10^6,INDEX(properties!A$1:CB$87,'Fórmula'!J101,19)))</f>
        <v>2</v>
      </c>
      <c r="BO101" s="111">
        <f t="shared" si="11"/>
        <v>4</v>
      </c>
      <c r="BP101" s="112">
        <f t="array" ref="BP101">(('Fórmula'!C101)/('Fórmula'!C101+'Fórmula'!E101+'Fórmula'!G101+'Fórmula'!I101+'Fórmula'!K101))*(INDEX(properties!A$1:CB$87,'Fórmula'!B101,20))+(('Fórmula'!E101)/('Fórmula'!C101+'Fórmula'!E101+'Fórmula'!G101+'Fórmula'!I101+'Fórmula'!K101))*(INDEX(properties!A$1:CB$87,'Fórmula'!D101,20))+(('Fórmula'!G101)/('Fórmula'!C101+'Fórmula'!E101+'Fórmula'!G101+'Fórmula'!I101+'Fórmula'!K101))*(INDEX(properties!A$1:CB$87,'Fórmula'!F101,20))+(('Fórmula'!I101)/('Fórmula'!C101+'Fórmula'!E101+'Fórmula'!G101+'Fórmula'!I101+'Fórmula'!K101))*(INDEX(properties!A$1:CB$87,'Fórmula'!H101,20))+(('Fórmula'!K101)/('Fórmula'!C101+'Fórmula'!E101+'Fórmula'!G101+'Fórmula'!I101+'Fórmula'!K101))*(INDEX(properties!A$1:CB$87,'Fórmula'!J101,20))</f>
        <v>4.428571429</v>
      </c>
      <c r="BQ101" s="112">
        <f t="array" ref="BQ101">'Fórmula'!C101*(INDEX(properties!A$1:CB$87,'Fórmula'!B101,20))+'Fórmula'!E101*(INDEX(properties!A$1:CB$87,'Fórmula'!D101,20))+'Fórmula'!G101*(INDEX(properties!A$1:CB$87,'Fórmula'!F101,20))+'Fórmula'!I101*(INDEX(properties!A$1:CB$87,'Fórmula'!H101,20))+'Fórmula'!K101*(INDEX(properties!A$1:CB$87,'Fórmula'!J101,20))</f>
        <v>31</v>
      </c>
      <c r="BR101" s="112">
        <f t="array" ref="BR101">VARP(IF(INDEX(properties!A$1:CB$87,'Fórmula'!B101,20)&lt;&gt;"",INDEX(properties!A$1:CB$87,'Fórmula'!B101,20)),IF(INDEX(properties!A$1:CB$87,'Fórmula'!D101,20)&lt;&gt;"",INDEX(properties!A$1:CB$87,'Fórmula'!D101,20)),IF(INDEX(properties!A$1:CB$87,'Fórmula'!F101,20)&lt;&gt;"",INDEX(properties!A$1:CB$87,'Fórmula'!F101,20)),IF(INDEX(properties!A$1:CB$87,'Fórmula'!H101,20)&lt;&gt;"",INDEX(properties!A$1:CB$87,'Fórmula'!H101,20)),IF(INDEX(properties!A$1:CB$87,'Fórmula'!J101,20)&lt;&gt;"",INDEX(properties!A$1:CB$87,'Fórmula'!J101,20)))</f>
        <v>3.84</v>
      </c>
      <c r="BS101" s="112">
        <f t="array" ref="BS101">MAX(INDEX(properties!A$1:CB$87,'Fórmula'!B101,20),INDEX(properties!A$1:CB$87,'Fórmula'!D101,20),INDEX(properties!A$1:CB$87,'Fórmula'!F101,20),INDEX(properties!A$1:CB$87,'Fórmula'!H101,20),INDEX(properties!A$1:CB$87,'Fórmula'!J101,20))</f>
        <v>6</v>
      </c>
      <c r="BT101" s="112">
        <f t="array" ref="BT101">MIN(IF(INDEX(properties!A$1:CB$87,'Fórmula'!B101,20)=0,10^6,INDEX(properties!A$1:CB$87,'Fórmula'!B101,20)),IF(INDEX(properties!A$1:CB$87,'Fórmula'!D101,20)=0,10^6,INDEX(properties!A$1:CB$87,'Fórmula'!D101,20)),IF(INDEX(properties!A$1:CB$87,'Fórmula'!F101,20)=0,10^6,INDEX(properties!A$1:CB$87,'Fórmula'!F101,20)),IF(INDEX(properties!A$1:CB$87,'Fórmula'!H101,20)=0,10^6,INDEX(properties!A$1:CB$87,'Fórmula'!H101,20)),IF(INDEX(properties!A$1:CB$87,'Fórmula'!J101,20)=0,10^6,INDEX(properties!A$1:CB$87,'Fórmula'!J101,20)))</f>
        <v>2</v>
      </c>
      <c r="BU101" s="112">
        <f t="shared" si="12"/>
        <v>4</v>
      </c>
      <c r="BV101" s="113">
        <f t="array" ref="BV101">(('Fórmula'!C101)/('Fórmula'!C101+'Fórmula'!E101+'Fórmula'!G101+'Fórmula'!I101+'Fórmula'!K101))*(INDEX(properties!A$1:CB$87,'Fórmula'!B101,21))+(('Fórmula'!E101)/('Fórmula'!C101+'Fórmula'!E101+'Fórmula'!G101+'Fórmula'!I101+'Fórmula'!K101))*(INDEX(properties!A$1:CB$87,'Fórmula'!D101,21))+(('Fórmula'!G101)/('Fórmula'!C101+'Fórmula'!E101+'Fórmula'!G101+'Fórmula'!I101+'Fórmula'!K101))*(INDEX(properties!A$1:CB$87,'Fórmula'!F101,21))+(('Fórmula'!I101)/('Fórmula'!C101+'Fórmula'!E101+'Fórmula'!G101+'Fórmula'!I101+'Fórmula'!K101))*(INDEX(properties!A$1:CB$87,'Fórmula'!H101,21))+(('Fórmula'!K101)/('Fórmula'!C101+'Fórmula'!E101+'Fórmula'!G101+'Fórmula'!I101+'Fórmula'!K101))*(INDEX(properties!A$1:CB$87,'Fórmula'!J101,21))</f>
        <v>4.285714286</v>
      </c>
      <c r="BW101" s="113">
        <f t="array" ref="BW101">'Fórmula'!C101*(INDEX(properties!A$1:CB$87,'Fórmula'!B101,21))+'Fórmula'!E101*(INDEX(properties!A$1:CB$87,'Fórmula'!D101,21))+'Fórmula'!G101*(INDEX(properties!A$1:CB$87,'Fórmula'!F101,21))+'Fórmula'!I101*(INDEX(properties!A$1:CB$87,'Fórmula'!H101,21))+'Fórmula'!K101*(INDEX(properties!A$1:CB$87,'Fórmula'!J101,21))</f>
        <v>30</v>
      </c>
      <c r="BX101" s="113">
        <f t="array" ref="BX101">VARP(IF(INDEX(properties!A$1:CB$87,'Fórmula'!B101,21)&lt;&gt;"",INDEX(properties!A$1:CB$87,'Fórmula'!B101,21)),IF(INDEX(properties!A$1:CB$87,'Fórmula'!D101,21)&lt;&gt;"",INDEX(properties!A$1:CB$87,'Fórmula'!D101,21)),IF(INDEX(properties!A$1:CB$87,'Fórmula'!F101,21)&lt;&gt;"",INDEX(properties!A$1:CB$87,'Fórmula'!F101,21)),IF(INDEX(properties!A$1:CB$87,'Fórmula'!H101,21)&lt;&gt;"",INDEX(properties!A$1:CB$87,'Fórmula'!H101,21)),IF(INDEX(properties!A$1:CB$87,'Fórmula'!J101,21)&lt;&gt;"",INDEX(properties!A$1:CB$87,'Fórmula'!J101,21)))</f>
        <v>4.24</v>
      </c>
      <c r="BY101" s="113">
        <f t="array" ref="BY101">MAX(INDEX(properties!A$1:CB$87,'Fórmula'!B101,21),INDEX(properties!A$1:CB$87,'Fórmula'!D101,21),INDEX(properties!A$1:CB$87,'Fórmula'!F101,21),INDEX(properties!A$1:CB$87,'Fórmula'!H101,21),INDEX(properties!A$1:CB$87,'Fórmula'!J101,21))</f>
        <v>6</v>
      </c>
      <c r="BZ101" s="113">
        <f t="array" ref="BZ101">MIN(IF(INDEX(properties!A$1:CB$87,'Fórmula'!B101,21)=0,10^6,INDEX(properties!A$1:CB$87,'Fórmula'!B101,21)),IF(INDEX(properties!A$1:CB$87,'Fórmula'!D101,21)=0,10^6,INDEX(properties!A$1:CB$87,'Fórmula'!D101,21)),IF(INDEX(properties!A$1:CB$87,'Fórmula'!F101,21)=0,10^6,INDEX(properties!A$1:CB$87,'Fórmula'!F101,21)),IF(INDEX(properties!A$1:CB$87,'Fórmula'!H101,21)=0,10^6,INDEX(properties!A$1:CB$87,'Fórmula'!H101,21)),IF(INDEX(properties!A$1:CB$87,'Fórmula'!J101,21)=0,10^6,INDEX(properties!A$1:CB$87,'Fórmula'!J101,21)))</f>
        <v>1</v>
      </c>
      <c r="CA101" s="113">
        <f t="shared" si="13"/>
        <v>5</v>
      </c>
      <c r="CB101" s="114">
        <f t="array" ref="CB101">(('Fórmula'!C101)/('Fórmula'!C101+'Fórmula'!E101+'Fórmula'!G101+'Fórmula'!I101+'Fórmula'!K101))*(INDEX(properties!A$1:CB$87,'Fórmula'!B101,23))+(('Fórmula'!E101)/('Fórmula'!C101+'Fórmula'!E101+'Fórmula'!G101+'Fórmula'!I101+'Fórmula'!K101))*(INDEX(properties!A$1:CB$87,'Fórmula'!D101,23))+(('Fórmula'!G101)/('Fórmula'!C101+'Fórmula'!E101+'Fórmula'!G101+'Fórmula'!I101+'Fórmula'!K101))*(INDEX(properties!A$1:CB$87,'Fórmula'!F101,23))+(('Fórmula'!I101)/('Fórmula'!C101+'Fórmula'!E101+'Fórmula'!G101+'Fórmula'!I101+'Fórmula'!K101))*(INDEX(properties!A$1:CB$87,'Fórmula'!H101,23))+(('Fórmula'!K101)/('Fórmula'!C101+'Fórmula'!E101+'Fórmula'!G101+'Fórmula'!I101+'Fórmula'!K101))*(INDEX(properties!A$1:CB$87,'Fórmula'!J101,23))</f>
        <v>1.142857143</v>
      </c>
      <c r="CC101" s="114">
        <f t="array" ref="CC101">'Fórmula'!C101*(INDEX(properties!A$1:CB$87,'Fórmula'!B101,23))+'Fórmula'!E101*(INDEX(properties!A$1:CB$87,'Fórmula'!D101,23))+'Fórmula'!G101*(INDEX(properties!A$1:CB$87,'Fórmula'!F101,23))+'Fórmula'!I101*(INDEX(properties!A$1:CB$87,'Fórmula'!H101,23))+'Fórmula'!K101*(INDEX(properties!A$1:CB$87,'Fórmula'!J101,23))</f>
        <v>8</v>
      </c>
      <c r="CD101" s="114">
        <f t="array" ref="CD101">VARP(IF(INDEX(properties!A$1:CB$87,'Fórmula'!B101,23)&lt;&gt;"",INDEX(properties!A$1:CB$87,'Fórmula'!B101,23)),IF(INDEX(properties!A$1:CB$87,'Fórmula'!D101,23)&lt;&gt;"",INDEX(properties!A$1:CB$87,'Fórmula'!D101,23)),IF(INDEX(properties!A$1:CB$87,'Fórmula'!F101,23)&lt;&gt;"",INDEX(properties!A$1:CB$87,'Fórmula'!F101,23)),IF(INDEX(properties!A$1:CB$87,'Fórmula'!H101,23)&lt;&gt;"",INDEX(properties!A$1:CB$87,'Fórmula'!H101,23)),IF(INDEX(properties!A$1:CB$87,'Fórmula'!J101,23)&lt;&gt;"",INDEX(properties!A$1:CB$87,'Fórmula'!J101,23)))</f>
        <v>1.84</v>
      </c>
      <c r="CE101" s="114">
        <f t="array" ref="CE101">MAX(INDEX(properties!A$1:CB$87,'Fórmula'!B101,23),INDEX(properties!A$1:CB$87,'Fórmula'!D101,23),INDEX(properties!A$1:CB$87,'Fórmula'!F101,23),INDEX(properties!A$1:CB$87,'Fórmula'!H101,23),INDEX(properties!A$1:CB$87,'Fórmula'!J101,23))</f>
        <v>3</v>
      </c>
      <c r="CF101" s="114">
        <f t="array" ref="CF101">MIN(IF('Fórmula'!B101=87,10^6,INDEX(properties!A$1:CB$87,'Fórmula'!B101,23)),IF(('Fórmula'!D101)=87,10^6,INDEX(properties!A$1:CB$87,'Fórmula'!D101,23)),IF(('Fórmula'!F101)=87,10^6,INDEX(properties!A$1:CB$87,'Fórmula'!F101,23)),IF(('Fórmula'!H101)=87,10^6,INDEX(properties!A$1:CB$87,'Fórmula'!H101,23)),IF('Fórmula'!J101=87,10^6,INDEX(properties!A$1:CB$87,'Fórmula'!J101,23)))</f>
        <v>0</v>
      </c>
      <c r="CG101" s="114">
        <f t="shared" si="14"/>
        <v>3</v>
      </c>
      <c r="CH101" s="115">
        <f t="array" ref="CH101">(('Fórmula'!C101)/('Fórmula'!C101+'Fórmula'!E101+'Fórmula'!G101+'Fórmula'!I101+'Fórmula'!K101))*(INDEX(properties!A$1:CB$87,'Fórmula'!B101,26))+(('Fórmula'!E101)/('Fórmula'!C101+'Fórmula'!E101+'Fórmula'!G101+'Fórmula'!I101+'Fórmula'!K101))*(INDEX(properties!A$1:CB$87,'Fórmula'!D101,26))+(('Fórmula'!G101)/('Fórmula'!C101+'Fórmula'!E101+'Fórmula'!G101+'Fórmula'!I101+'Fórmula'!K101))*(INDEX(properties!A$1:CB$87,'Fórmula'!F101,26))+(('Fórmula'!I101)/('Fórmula'!C101+'Fórmula'!E101+'Fórmula'!G101+'Fórmula'!I101+'Fórmula'!K101))*(INDEX(properties!A$1:CB$87,'Fórmula'!H101,26))+(('Fórmula'!K101)/('Fórmula'!C101+'Fórmula'!E101+'Fórmula'!G101+'Fórmula'!I101+'Fórmula'!K101))*(INDEX(properties!A$1:CB$87,'Fórmula'!J101,26))</f>
        <v>10.77787143</v>
      </c>
      <c r="CI101" s="115">
        <f t="array" ref="CI101">'Fórmula'!C101*(INDEX(properties!A$1:CB$87,'Fórmula'!B101,26))+'Fórmula'!E101*(INDEX(properties!A$1:CB$87,'Fórmula'!D101,26))+'Fórmula'!G101*(INDEX(properties!A$1:CB$87,'Fórmula'!F101,26))+'Fórmula'!I101*(INDEX(properties!A$1:CB$87,'Fórmula'!H101,26))+'Fórmula'!K101*(INDEX(properties!A$1:CB$87,'Fórmula'!J101,26))</f>
        <v>75.4451</v>
      </c>
      <c r="CJ101" s="115">
        <f t="array" ref="CJ101">VARP(IF(INDEX(properties!A$1:CB$87,'Fórmula'!B101,26)&lt;&gt;"",INDEX(properties!A$1:CB$87,'Fórmula'!B101,26)),IF(INDEX(properties!A$1:CB$87,'Fórmula'!D101,26)&lt;&gt;"",INDEX(properties!A$1:CB$87,'Fórmula'!D101,26)),IF(INDEX(properties!A$1:CB$87,'Fórmula'!F101,26)&lt;&gt;"",INDEX(properties!A$1:CB$87,'Fórmula'!F101,26)),IF(INDEX(properties!A$1:CB$87,'Fórmula'!H101,26)&lt;&gt;"",INDEX(properties!A$1:CB$87,'Fórmula'!H101,26)),IF(INDEX(properties!A$1:CB$87,'Fórmula'!J101,26)&lt;&gt;"",INDEX(properties!A$1:CB$87,'Fórmula'!J101,26)))</f>
        <v>19.08585183</v>
      </c>
      <c r="CK101" s="116">
        <f t="array" ref="CK101">MAX(INDEX(properties!A$1:CB$87,'Fórmula'!B101,26),INDEX(properties!A$1:CB$87,'Fórmula'!D101,26),INDEX(properties!A$1:CB$87,'Fórmula'!F101,26),INDEX(properties!A$1:CB$87,'Fórmula'!H101,26),INDEX(properties!A$1:CB$87,'Fórmula'!J101,26))</f>
        <v>13.6181</v>
      </c>
      <c r="CL101" s="116">
        <f t="array" ref="CL101">MIN(IF(INDEX(properties!A$1:CB$87,'Fórmula'!B101,26)=0,10^6,INDEX(properties!A$1:CB$87,'Fórmula'!B101,26)),IF(INDEX(properties!A$1:CB$87,'Fórmula'!D101,26)=0,10^6,INDEX(properties!A$1:CB$87,'Fórmula'!D101,26)),IF(INDEX(properties!A$1:CB$87,'Fórmula'!F101,26)=0,10^6,INDEX(properties!A$1:CB$87,'Fórmula'!F101,26)),IF(INDEX(properties!A$1:CB$87,'Fórmula'!H101,26)=0,10^6,INDEX(properties!A$1:CB$87,'Fórmula'!H101,26)),IF(INDEX(properties!A$1:CB$87,'Fórmula'!J101,26)=0,10^6,INDEX(properties!A$1:CB$87,'Fórmula'!J101,26)))</f>
        <v>6.1132</v>
      </c>
      <c r="CM101" s="115">
        <f t="shared" si="15"/>
        <v>7.5049</v>
      </c>
      <c r="CN101" s="117">
        <f t="array" ref="CN101">(('Fórmula'!C101)/('Fórmula'!C101+'Fórmula'!E101+'Fórmula'!G101+'Fórmula'!I101+'Fórmula'!K101))*(INDEX(properties!A$1:CB$87,'Fórmula'!B101,30))+(('Fórmula'!E101)/('Fórmula'!C101+'Fórmula'!E101+'Fórmula'!G101+'Fórmula'!I101+'Fórmula'!K101))*(INDEX(properties!A$1:CB$87,'Fórmula'!D101,30))+(('Fórmula'!G101)/('Fórmula'!C101+'Fórmula'!E101+'Fórmula'!G101+'Fórmula'!I101+'Fórmula'!K101))*(INDEX(properties!A$1:CB$87,'Fórmula'!F101,30))+(('Fórmula'!I101)/('Fórmula'!C101+'Fórmula'!E101+'Fórmula'!G101+'Fórmula'!I101+'Fórmula'!K101))*(INDEX(properties!A$1:CB$87,'Fórmula'!H101,30))+(('Fórmula'!K101)/('Fórmula'!C101+'Fórmula'!E101+'Fórmula'!G101+'Fórmula'!I101+'Fórmula'!K101))*(INDEX(properties!A$1:CB$87,'Fórmula'!J101,30))</f>
        <v>2.594285714</v>
      </c>
      <c r="CO101" s="117">
        <f t="array" ref="CO101">'Fórmula'!C101*(INDEX(properties!A$1:CB$87,'Fórmula'!B101,30))+'Fórmula'!E101*(INDEX(properties!A$1:CB$87,'Fórmula'!D101,30))+'Fórmula'!G101*(INDEX(properties!A$1:CB$87,'Fórmula'!F101,30))+'Fórmula'!I101*(INDEX(properties!A$1:CB$87,'Fórmula'!H101,30))+'Fórmula'!K101*(INDEX(properties!A$1:CB$87,'Fórmula'!J101,30))</f>
        <v>18.16</v>
      </c>
      <c r="CP101" s="117">
        <f t="array" ref="CP101">VARP(IF(INDEX(properties!A$1:CB$87,'Fórmula'!B101,30)&lt;&gt;"",INDEX(properties!A$1:CB$87,'Fórmula'!B101,30)),IF(INDEX(properties!A$1:CB$87,'Fórmula'!D101,30)&lt;&gt;"",INDEX(properties!A$1:CB$87,'Fórmula'!D101,30)),IF(INDEX(properties!A$1:CB$87,'Fórmula'!F101,30)&lt;&gt;"",INDEX(properties!A$1:CB$87,'Fórmula'!F101,30)),IF(INDEX(properties!A$1:CB$87,'Fórmula'!H101,30)&lt;&gt;"",INDEX(properties!A$1:CB$87,'Fórmula'!H101,30)),IF(INDEX(properties!A$1:CB$87,'Fórmula'!J101,30)&lt;&gt;"",INDEX(properties!A$1:CB$87,'Fórmula'!J101,30)))</f>
        <v>1.310336</v>
      </c>
      <c r="CQ101" s="117">
        <f t="array" ref="CQ101">MAX(INDEX(properties!A$1:CB$87,'Fórmula'!B101,30),INDEX(properties!A$1:CB$87,'Fórmula'!D101,30),INDEX(properties!A$1:CB$87,'Fórmula'!F101,30),INDEX(properties!A$1:CB$87,'Fórmula'!H101,30),INDEX(properties!A$1:CB$87,'Fórmula'!J101,30))</f>
        <v>3.44</v>
      </c>
      <c r="CR101" s="117">
        <f t="array" ref="CR101">MIN(IF(INDEX(properties!A$1:CB$87,'Fórmula'!B101,30)=0,10^6,INDEX(properties!A$1:CB$87,'Fórmula'!B101,30)),IF(INDEX(properties!A$1:CB$87,'Fórmula'!D101,30)=0,10^6,INDEX(properties!A$1:CB$87,'Fórmula'!D101,30)),IF(INDEX(properties!A$1:CB$87,'Fórmula'!F101,30)=0,10^6,INDEX(properties!A$1:CB$87,'Fórmula'!F101,30)),IF(INDEX(properties!A$1:CB$87,'Fórmula'!H101,30)=0,10^6,INDEX(properties!A$1:CB$87,'Fórmula'!H101,30)),IF(INDEX(properties!A$1:CB$87,'Fórmula'!J101,30)=0,10^6,INDEX(properties!A$1:CB$87,'Fórmula'!J101,30)))</f>
        <v>1</v>
      </c>
      <c r="CS101" s="117">
        <f t="shared" si="16"/>
        <v>2.44</v>
      </c>
      <c r="CT101" s="118">
        <f t="array" ref="CT101">(('Fórmula'!C101)/('Fórmula'!C101+'Fórmula'!E101+'Fórmula'!G101+'Fórmula'!I101+'Fórmula'!K101))*(INDEX(properties!A$1:CB$87,'Fórmula'!B101,31))+(('Fórmula'!E101)/('Fórmula'!C101+'Fórmula'!E101+'Fórmula'!G101+'Fórmula'!I101+'Fórmula'!K101))*(INDEX(properties!A$1:CB$87,'Fórmula'!D101,31))+(('Fórmula'!G101)/('Fórmula'!C101+'Fórmula'!E101+'Fórmula'!G101+'Fórmula'!I101+'Fórmula'!K101))*(INDEX(properties!A$1:CB$87,'Fórmula'!F101,31))+(('Fórmula'!I101)/('Fórmula'!C101+'Fórmula'!E101+'Fórmula'!G101+'Fórmula'!I101+'Fórmula'!K101))*(INDEX(properties!A$1:CB$87,'Fórmula'!H101,31))+(('Fórmula'!K101)/('Fórmula'!C101+'Fórmula'!E101+'Fórmula'!G101+'Fórmula'!I101+'Fórmula'!K101))*(INDEX(properties!A$1:CB$87,'Fórmula'!J101,31))</f>
        <v>2.55</v>
      </c>
      <c r="CU101" s="118">
        <f t="array" ref="CU101">'Fórmula'!C101*(INDEX(properties!A$1:CB$87,'Fórmula'!B101,31))+'Fórmula'!E101*(INDEX(properties!A$1:CB$87,'Fórmula'!D101,31))+'Fórmula'!G101*(INDEX(properties!A$1:CB$87,'Fórmula'!F101,31))+'Fórmula'!I101*(INDEX(properties!A$1:CB$87,'Fórmula'!H101,31))+'Fórmula'!K101*(INDEX(properties!A$1:CB$87,'Fórmula'!J101,31))</f>
        <v>17.85</v>
      </c>
      <c r="CV101" s="118">
        <f t="array" ref="CV101">VARP(IF(INDEX(properties!A$1:CB$87,'Fórmula'!B101,31)&lt;&gt;"",INDEX(properties!A$1:CB$87,'Fórmula'!B101,31)),IF(INDEX(properties!A$1:CB$87,'Fórmula'!D101,31)&lt;&gt;"",INDEX(properties!A$1:CB$87,'Fórmula'!D101,31)),IF(INDEX(properties!A$1:CB$87,'Fórmula'!F101,31)&lt;&gt;"",INDEX(properties!A$1:CB$87,'Fórmula'!F101,31)),IF(INDEX(properties!A$1:CB$87,'Fórmula'!H101,31)&lt;&gt;"",INDEX(properties!A$1:CB$87,'Fórmula'!H101,31)),IF(INDEX(properties!A$1:CB$87,'Fórmula'!J101,31)&lt;&gt;"",INDEX(properties!A$1:CB$87,'Fórmula'!J101,31)))</f>
        <v>1.160176</v>
      </c>
      <c r="CW101" s="118">
        <f t="array" ref="CW101">MAX(INDEX(properties!A$1:CB$87,'Fórmula'!B101,31),INDEX(properties!A$1:CB$87,'Fórmula'!D101,31),INDEX(properties!A$1:CB$87,'Fórmula'!F101,31),INDEX(properties!A$1:CB$87,'Fórmula'!H101,31),INDEX(properties!A$1:CB$87,'Fórmula'!J101,31))</f>
        <v>3.32</v>
      </c>
      <c r="CX101" s="118">
        <f t="array" ref="CX101">MIN(IF(INDEX(properties!A$1:CB$87,'Fórmula'!B101,31)=0,10^6,INDEX(properties!A$1:CB$87,'Fórmula'!B101,31)),IF(INDEX(properties!A$1:CB$87,'Fórmula'!D101,31)=0,10^6,INDEX(properties!A$1:CB$87,'Fórmula'!D101,31)),IF(INDEX(properties!A$1:CB$87,'Fórmula'!F101,31)=0,10^6,INDEX(properties!A$1:CB$87,'Fórmula'!F101,31)),IF(INDEX(properties!A$1:CB$87,'Fórmula'!H101,31)=0,10^6,INDEX(properties!A$1:CB$87,'Fórmula'!H101,31)),IF(INDEX(properties!A$1:CB$87,'Fórmula'!J101,31)=0,10^6,INDEX(properties!A$1:CB$87,'Fórmula'!J101,31)))</f>
        <v>1.17</v>
      </c>
      <c r="CY101" s="118">
        <f t="shared" si="17"/>
        <v>2.15</v>
      </c>
      <c r="CZ101" s="119">
        <f t="array" ref="CZ101">(('Fórmula'!C101)/('Fórmula'!C101+'Fórmula'!E101+'Fórmula'!G101+'Fórmula'!I101+'Fórmula'!K101))*(INDEX(properties!A$1:CB$87,'Fórmula'!B101,32))+(('Fórmula'!E101)/('Fórmula'!C101+'Fórmula'!E101+'Fórmula'!G101+'Fórmula'!I101+'Fórmula'!K101))*(INDEX(properties!A$1:CB$87,'Fórmula'!D101,32))+(('Fórmula'!G101)/('Fórmula'!C101+'Fórmula'!E101+'Fórmula'!G101+'Fórmula'!I101+'Fórmula'!K101))*(INDEX(properties!A$1:CB$87,'Fórmula'!F101,32))+(('Fórmula'!I101)/('Fórmula'!C101+'Fórmula'!E101+'Fórmula'!G101+'Fórmula'!I101+'Fórmula'!K101))*(INDEX(properties!A$1:CB$87,'Fórmula'!H101,32))+(('Fórmula'!K101)/('Fórmula'!C101+'Fórmula'!E101+'Fórmula'!G101+'Fórmula'!I101+'Fórmula'!K101))*(INDEX(properties!A$1:CB$87,'Fórmula'!J101,32))</f>
        <v>5.712857143</v>
      </c>
      <c r="DA101" s="119">
        <f t="array" ref="DA101">'Fórmula'!C101*(INDEX(properties!A$1:CB$87,'Fórmula'!B101,32))+'Fórmula'!E101*(INDEX(properties!A$1:CB$87,'Fórmula'!D101,32))+'Fórmula'!G101*(INDEX(properties!A$1:CB$87,'Fórmula'!F101,32))+'Fórmula'!I101*(INDEX(properties!A$1:CB$87,'Fórmula'!H101,32))+'Fórmula'!K101*(INDEX(properties!A$1:CB$87,'Fórmula'!J101,32))</f>
        <v>39.99</v>
      </c>
      <c r="DB101" s="119">
        <f t="array" ref="DB101">VARP(IF(INDEX(properties!A$1:CB$87,'Fórmula'!B101,32)&lt;&gt;"",INDEX(properties!A$1:CB$87,'Fórmula'!B101,32)),IF(INDEX(properties!A$1:CB$87,'Fórmula'!D101,32)&lt;&gt;"",INDEX(properties!A$1:CB$87,'Fórmula'!D101,32)),IF(INDEX(properties!A$1:CB$87,'Fórmula'!F101,32)&lt;&gt;"",INDEX(properties!A$1:CB$87,'Fórmula'!F101,32)),IF(INDEX(properties!A$1:CB$87,'Fórmula'!H101,32)&lt;&gt;"",INDEX(properties!A$1:CB$87,'Fórmula'!H101,32)),IF(INDEX(properties!A$1:CB$87,'Fórmula'!J101,32)&lt;&gt;"",INDEX(properties!A$1:CB$87,'Fórmula'!J101,32)))</f>
        <v>6.181584</v>
      </c>
      <c r="DC101" s="119">
        <f t="array" ref="DC101">MAX(INDEX(properties!A$1:CB$87,'Fórmula'!B101,32),INDEX(properties!A$1:CB$87,'Fórmula'!D101,32),INDEX(properties!A$1:CB$87,'Fórmula'!F101,32),INDEX(properties!A$1:CB$87,'Fórmula'!H101,32),INDEX(properties!A$1:CB$87,'Fórmula'!J101,32))</f>
        <v>7.54</v>
      </c>
      <c r="DD101" s="119">
        <f t="array" ref="DD101">MIN(IF(INDEX(properties!A$1:CB$87,'Fórmula'!B101,32)=0,10^6,INDEX(properties!A$1:CB$87,'Fórmula'!B101,32)),IF(INDEX(properties!A$1:CB$87,'Fórmula'!D101,32)=0,10^6,INDEX(properties!A$1:CB$87,'Fórmula'!D101,32)),IF(INDEX(properties!A$1:CB$87,'Fórmula'!F101,32)=0,10^6,INDEX(properties!A$1:CB$87,'Fórmula'!F101,32)),IF(INDEX(properties!A$1:CB$87,'Fórmula'!H101,32)=0,10^6,INDEX(properties!A$1:CB$87,'Fórmula'!H101,32)),IF(INDEX(properties!A$1:CB$87,'Fórmula'!J101,32)=0,10^6,INDEX(properties!A$1:CB$87,'Fórmula'!J101,32)))</f>
        <v>2.2</v>
      </c>
      <c r="DE101" s="119">
        <f t="shared" si="18"/>
        <v>5.34</v>
      </c>
      <c r="DF101" s="104">
        <f t="array" ref="DF101">(('Fórmula'!C101)/('Fórmula'!C101+'Fórmula'!E101+'Fórmula'!G101+'Fórmula'!I101+'Fórmula'!K101))*(INDEX(properties!A$1:CB$87,'Fórmula'!B101,34))+(('Fórmula'!E101)/('Fórmula'!C101+'Fórmula'!E101+'Fórmula'!G101+'Fórmula'!I101+'Fórmula'!K101))*(INDEX(properties!A$1:CB$87,'Fórmula'!D101,34))+(('Fórmula'!G101)/('Fórmula'!C101+'Fórmula'!E101+'Fórmula'!G101+'Fórmula'!I101+'Fórmula'!K101))*(INDEX(properties!A$1:CB$87,'Fórmula'!F101,34))+(('Fórmula'!I101)/('Fórmula'!C101+'Fórmula'!E101+'Fórmula'!G101+'Fórmula'!I101+'Fórmula'!K101))*(INDEX(properties!A$1:CB$87,'Fórmula'!H101,34))+(('Fórmula'!K101)/('Fórmula'!C101+'Fórmula'!E101+'Fórmula'!G101+'Fórmula'!I101+'Fórmula'!K101))*(INDEX(properties!A$1:CB$87,'Fórmula'!J101,34))</f>
        <v>2.673571429</v>
      </c>
      <c r="DG101" s="104">
        <f t="array" ref="DG101">'Fórmula'!C101*(INDEX(properties!A$1:CB$87,'Fórmula'!B101,34))+'Fórmula'!E101*(INDEX(properties!A$1:CB$87,'Fórmula'!D101,34))+'Fórmula'!G101*(INDEX(properties!A$1:CB$87,'Fórmula'!F101,34))+'Fórmula'!I101*(INDEX(properties!A$1:CB$87,'Fórmula'!H101,34))+'Fórmula'!K101*(INDEX(properties!A$1:CB$87,'Fórmula'!J101,34))</f>
        <v>18.715</v>
      </c>
      <c r="DH101" s="104">
        <f t="array" ref="DH101">VARP(IF(INDEX(properties!A$1:CB$87,'Fórmula'!B101,34)&lt;&gt;"",INDEX(properties!A$1:CB$87,'Fórmula'!B101,34)),IF(INDEX(properties!A$1:CB$87,'Fórmula'!D101,34)&lt;&gt;"",INDEX(properties!A$1:CB$87,'Fórmula'!D101,34)),IF(INDEX(properties!A$1:CB$87,'Fórmula'!F101,34)&lt;&gt;"",INDEX(properties!A$1:CB$87,'Fórmula'!F101,34)),IF(INDEX(properties!A$1:CB$87,'Fórmula'!H101,34)&lt;&gt;"",INDEX(properties!A$1:CB$87,'Fórmula'!H101,34)),IF(INDEX(properties!A$1:CB$87,'Fórmula'!J101,34)&lt;&gt;"",INDEX(properties!A$1:CB$87,'Fórmula'!J101,34)))</f>
        <v>1.4578624</v>
      </c>
      <c r="DI101" s="104">
        <f t="array" ref="DI101">MAX(INDEX(properties!A$1:CB$87,'Fórmula'!B101,34),INDEX(properties!A$1:CB$87,'Fórmula'!D101,34),INDEX(properties!A$1:CB$87,'Fórmula'!F101,34),INDEX(properties!A$1:CB$87,'Fórmula'!H101,34),INDEX(properties!A$1:CB$87,'Fórmula'!J101,34))</f>
        <v>3.61</v>
      </c>
      <c r="DJ101" s="104">
        <f t="array" ref="DJ101">MIN(IF(INDEX(properties!A$1:CB$87,'Fórmula'!B101,34)=0,10^6,INDEX(properties!A$1:CB$87,'Fórmula'!B101,34)),IF(INDEX(properties!A$1:CB$87,'Fórmula'!D101,34)=0,10^6,INDEX(properties!A$1:CB$87,'Fórmula'!D101,34)),IF(INDEX(properties!A$1:CB$87,'Fórmula'!F101,34)=0,10^6,INDEX(properties!A$1:CB$87,'Fórmula'!F101,34)),IF(INDEX(properties!A$1:CB$87,'Fórmula'!H101,34)=0,10^6,INDEX(properties!A$1:CB$87,'Fórmula'!H101,34)),IF(INDEX(properties!A$1:CB$87,'Fórmula'!J101,34)=0,10^6,INDEX(properties!A$1:CB$87,'Fórmula'!J101,34)))</f>
        <v>1.034</v>
      </c>
      <c r="DK101" s="104">
        <f t="shared" si="19"/>
        <v>2.576</v>
      </c>
      <c r="DL101" s="105">
        <f t="array" ref="DL101">(('Fórmula'!C101)/('Fórmula'!C101+'Fórmula'!E101+'Fórmula'!G101+'Fórmula'!I101+'Fórmula'!K101))*(INDEX(properties!A$1:CB$87,'Fórmula'!B101,37))+(('Fórmula'!E101)/('Fórmula'!C101+'Fórmula'!E101+'Fórmula'!G101+'Fórmula'!I101+'Fórmula'!K101))*(INDEX(properties!A$1:CB$87,'Fórmula'!D101,37))+(('Fórmula'!G101)/('Fórmula'!C101+'Fórmula'!E101+'Fórmula'!G101+'Fórmula'!I101+'Fórmula'!K101))*(INDEX(properties!A$1:CB$87,'Fórmula'!F101,37))+(('Fórmula'!I101)/('Fórmula'!C101+'Fórmula'!E101+'Fórmula'!G101+'Fórmula'!I101+'Fórmula'!K101))*(INDEX(properties!A$1:CB$87,'Fórmula'!H101,37))+(('Fórmula'!K101)/('Fórmula'!C101+'Fórmula'!E101+'Fórmula'!G101+'Fórmula'!I101+'Fórmula'!K101))*(INDEX(properties!A$1:CB$87,'Fórmula'!J101,37))</f>
        <v>2.571428571</v>
      </c>
      <c r="DM101" s="105">
        <f t="array" ref="DM101">'Fórmula'!C101*(INDEX(properties!A$1:CB$87,'Fórmula'!B101,37))+'Fórmula'!E101*(INDEX(properties!A$1:CB$87,'Fórmula'!D101,37))+'Fórmula'!G101*(INDEX(properties!A$1:CB$87,'Fórmula'!F101,37))+'Fórmula'!I101*(INDEX(properties!A$1:CB$87,'Fórmula'!H101,37))+'Fórmula'!K101*(INDEX(properties!A$1:CB$87,'Fórmula'!J101,37))</f>
        <v>18</v>
      </c>
      <c r="DN101" s="105">
        <f t="array" ref="DN101">VARP(IF(INDEX(properties!A$1:CB$87,'Fórmula'!B101,37)&lt;&gt;"",INDEX(properties!A$1:CB$87,'Fórmula'!B101,37)),IF(INDEX(properties!A$1:CB$87,'Fórmula'!D101,37)&lt;&gt;"",INDEX(properties!A$1:CB$87,'Fórmula'!D101,37)),IF(INDEX(properties!A$1:CB$87,'Fórmula'!F101,37)&lt;&gt;"",INDEX(properties!A$1:CB$87,'Fórmula'!F101,37)),IF(INDEX(properties!A$1:CB$87,'Fórmula'!H101,37)&lt;&gt;"",INDEX(properties!A$1:CB$87,'Fórmula'!H101,37)),IF(INDEX(properties!A$1:CB$87,'Fórmula'!J101,37)&lt;&gt;"",INDEX(properties!A$1:CB$87,'Fórmula'!J101,37)))</f>
        <v>1.2996</v>
      </c>
      <c r="DO101" s="105">
        <f t="array" ref="DO101">MAX(INDEX(properties!A$1:CB$87,'Fórmula'!B101,37),INDEX(properties!A$1:CB$87,'Fórmula'!D101,37),INDEX(properties!A$1:CB$87,'Fórmula'!F101,37),INDEX(properties!A$1:CB$87,'Fórmula'!H101,37),INDEX(properties!A$1:CB$87,'Fórmula'!J101,37))</f>
        <v>3.45</v>
      </c>
      <c r="DP101" s="105">
        <f t="array" ref="DP101">MIN(IF(INDEX(properties!A$1:CB$87,'Fórmula'!B101,37)=0,10^6,INDEX(properties!A$1:CB$87,'Fórmula'!B101,37)),IF(INDEX(properties!A$1:CB$87,'Fórmula'!D101,37)=0,10^6,INDEX(properties!A$1:CB$87,'Fórmula'!D101,37)),IF(INDEX(properties!A$1:CB$87,'Fórmula'!F101,37)=0,10^6,INDEX(properties!A$1:CB$87,'Fórmula'!F101,37)),IF(INDEX(properties!A$1:CB$87,'Fórmula'!H101,37)=0,10^6,INDEX(properties!A$1:CB$87,'Fórmula'!H101,37)),IF(INDEX(properties!A$1:CB$87,'Fórmula'!J101,37)=0,10^6,INDEX(properties!A$1:CB$87,'Fórmula'!J101,37)))</f>
        <v>1</v>
      </c>
      <c r="DQ101" s="105">
        <f t="shared" si="20"/>
        <v>2.45</v>
      </c>
      <c r="DR101" s="109">
        <f t="array" ref="DR101">(('Fórmula'!C101)/('Fórmula'!C101+'Fórmula'!E101+'Fórmula'!G101+'Fórmula'!I101+'Fórmula'!K101))*(INDEX(properties!A$1:CB$87,'Fórmula'!B101,39))+(('Fórmula'!E101)/('Fórmula'!C101+'Fórmula'!E101+'Fórmula'!G101+'Fórmula'!I101+'Fórmula'!K101))*(INDEX(properties!A$1:CB$87,'Fórmula'!D101,39))+(('Fórmula'!G101)/('Fórmula'!C101+'Fórmula'!E101+'Fórmula'!G101+'Fórmula'!I101+'Fórmula'!K101))*(INDEX(properties!A$1:CB$87,'Fórmula'!F101,39))+(('Fórmula'!I101)/('Fórmula'!C101+'Fórmula'!E101+'Fórmula'!G101+'Fórmula'!I101+'Fórmula'!K101))*(INDEX(properties!A$1:CB$87,'Fórmula'!H101,39))+(('Fórmula'!K101)/('Fórmula'!C101+'Fórmula'!E101+'Fórmula'!G101+'Fórmula'!I101+'Fórmula'!K101))*(INDEX(properties!A$1:CB$87,'Fórmula'!J101,39))</f>
        <v>0.9385714286</v>
      </c>
      <c r="DS101" s="109">
        <f t="array" ref="DS101">'Fórmula'!C101*(INDEX(properties!A$1:CB$87,'Fórmula'!B101,39))+'Fórmula'!E101*(INDEX(properties!A$1:CB$87,'Fórmula'!D101,39))+'Fórmula'!G101*(INDEX(properties!A$1:CB$87,'Fórmula'!F101,39))+'Fórmula'!I101*(INDEX(properties!A$1:CB$87,'Fórmula'!H101,39))+'Fórmula'!K101*(INDEX(properties!A$1:CB$87,'Fórmula'!J101,39))</f>
        <v>6.57</v>
      </c>
      <c r="DT101" s="109">
        <f t="array" ref="DT101">VARP(IF(INDEX(properties!A$1:CB$87,'Fórmula'!B101,39)&lt;&gt;"",INDEX(properties!A$1:CB$87,'Fórmula'!B101,39)),IF(INDEX(properties!A$1:CB$87,'Fórmula'!D101,39)&lt;&gt;"",INDEX(properties!A$1:CB$87,'Fórmula'!D101,39)),IF(INDEX(properties!A$1:CB$87,'Fórmula'!F101,39)&lt;&gt;"",INDEX(properties!A$1:CB$87,'Fórmula'!F101,39)),IF(INDEX(properties!A$1:CB$87,'Fórmula'!H101,39)&lt;&gt;"",INDEX(properties!A$1:CB$87,'Fórmula'!H101,39)),IF(INDEX(properties!A$1:CB$87,'Fórmula'!J101,39)&lt;&gt;"",INDEX(properties!A$1:CB$87,'Fórmula'!J101,39)))</f>
        <v>0.574624</v>
      </c>
      <c r="DU101" s="120">
        <f t="array" ref="DU101">MAX(INDEX(properties!A$1:CB$87,'Fórmula'!B101,39),INDEX(properties!A$1:CB$87,'Fórmula'!D101,39),INDEX(properties!A$1:CB$87,'Fórmula'!F101,39),INDEX(properties!A$1:CB$87,'Fórmula'!H101,39),INDEX(properties!A$1:CB$87,'Fórmula'!J101,39))</f>
        <v>1.94</v>
      </c>
      <c r="DV101" s="120">
        <f t="array" ref="DV101">MIN(IF(INDEX(properties!A$1:CB$87,'Fórmula'!B101,39)=0,10^6,INDEX(properties!A$1:CB$87,'Fórmula'!B101,39)),IF(INDEX(properties!A$1:CB$87,'Fórmula'!D101,39)=0,10^6,INDEX(properties!A$1:CB$87,'Fórmula'!D101,39)),IF(INDEX(properties!A$1:CB$87,'Fórmula'!F101,39)=0,10^6,INDEX(properties!A$1:CB$87,'Fórmula'!F101,39)),IF(INDEX(properties!A$1:CB$87,'Fórmula'!H101,39)=0,10^6,INDEX(properties!A$1:CB$87,'Fórmula'!H101,39)),IF(INDEX(properties!A$1:CB$87,'Fórmula'!J101,39)=0,10^6,INDEX(properties!A$1:CB$87,'Fórmula'!J101,39)))</f>
        <v>0.48</v>
      </c>
      <c r="DW101" s="109">
        <f t="shared" si="21"/>
        <v>1.46</v>
      </c>
      <c r="DX101" s="110">
        <f t="array" ref="DX101">(('Fórmula'!C101)/('Fórmula'!C101+'Fórmula'!E101+'Fórmula'!G101+'Fórmula'!I101+'Fórmula'!K101))*(INDEX(properties!A$1:CB$87,'Fórmula'!B101,40))+(('Fórmula'!E101)/('Fórmula'!C101+'Fórmula'!E101+'Fórmula'!G101+'Fórmula'!I101+'Fórmula'!K101))*(INDEX(properties!A$1:CB$87,'Fórmula'!D101,40))+(('Fórmula'!G101)/('Fórmula'!C101+'Fórmula'!E101+'Fórmula'!G101+'Fórmula'!I101+'Fórmula'!K101))*(INDEX(properties!A$1:CB$87,'Fórmula'!F101,40))+(('Fórmula'!I101)/('Fórmula'!C101+'Fórmula'!E101+'Fórmula'!G101+'Fórmula'!I101+'Fórmula'!K101))*(INDEX(properties!A$1:CB$87,'Fórmula'!H101,40))+(('Fórmula'!K101)/('Fórmula'!C101+'Fórmula'!E101+'Fórmula'!G101+'Fórmula'!I101+'Fórmula'!K101))*(INDEX(properties!A$1:CB$87,'Fórmula'!J101,40))</f>
        <v>0.9885714286</v>
      </c>
      <c r="DY101" s="110">
        <f t="array" ref="DY101">'Fórmula'!C101*(INDEX(properties!A$1:CB$87,'Fórmula'!B101,40))+'Fórmula'!E101*(INDEX(properties!A$1:CB$87,'Fórmula'!D101,40))+'Fórmula'!G101*(INDEX(properties!A$1:CB$87,'Fórmula'!F101,40))+'Fórmula'!I101*(INDEX(properties!A$1:CB$87,'Fórmula'!H101,40))+'Fórmula'!K101*(INDEX(properties!A$1:CB$87,'Fórmula'!J101,40))</f>
        <v>6.92</v>
      </c>
      <c r="DZ101" s="110">
        <f t="array" ref="DZ101">VARP(IF(INDEX(properties!A$1:CB$87,'Fórmula'!B101,40)&lt;&gt;"",INDEX(properties!A$1:CB$87,'Fórmula'!B101,40)),IF(INDEX(properties!A$1:CB$87,'Fórmula'!D101,40)&lt;&gt;"",INDEX(properties!A$1:CB$87,'Fórmula'!D101,40)),IF(INDEX(properties!A$1:CB$87,'Fórmula'!F101,40)&lt;&gt;"",INDEX(properties!A$1:CB$87,'Fórmula'!F101,40)),IF(INDEX(properties!A$1:CB$87,'Fórmula'!H101,40)&lt;&gt;"",INDEX(properties!A$1:CB$87,'Fórmula'!H101,40)),IF(INDEX(properties!A$1:CB$87,'Fórmula'!J101,40)&lt;&gt;"",INDEX(properties!A$1:CB$87,'Fórmula'!J101,40)))</f>
        <v>0.366384</v>
      </c>
      <c r="EA101" s="121">
        <f t="array" ref="EA101">MAX(INDEX(properties!A$1:CB$87,'Fórmula'!B101,40),INDEX(properties!A$1:CB$87,'Fórmula'!D101,40),INDEX(properties!A$1:CB$87,'Fórmula'!F101,40),INDEX(properties!A$1:CB$87,'Fórmula'!H101,40),INDEX(properties!A$1:CB$87,'Fórmula'!J101,40))</f>
        <v>1.74</v>
      </c>
      <c r="EB101" s="121">
        <f t="array" ref="EB101">MIN(IF(INDEX(properties!A$1:CB$87,'Fórmula'!B101,40)=0,10^6,INDEX(properties!A$1:CB$87,'Fórmula'!B101,40)),IF(INDEX(properties!A$1:CB$87,'Fórmula'!D101,40)=0,10^6,INDEX(properties!A$1:CB$87,'Fórmula'!D101,40)),IF(INDEX(properties!A$1:CB$87,'Fórmula'!F101,40)=0,10^6,INDEX(properties!A$1:CB$87,'Fórmula'!F101,40)),IF(INDEX(properties!A$1:CB$87,'Fórmula'!H101,40)=0,10^6,INDEX(properties!A$1:CB$87,'Fórmula'!H101,40)),IF(INDEX(properties!A$1:CB$87,'Fórmula'!J101,40)=0,10^6,INDEX(properties!A$1:CB$87,'Fórmula'!J101,40)))</f>
        <v>0.73</v>
      </c>
      <c r="EC101" s="110">
        <f t="shared" si="22"/>
        <v>1.01</v>
      </c>
      <c r="ED101" s="111">
        <f t="array" ref="ED101">(('Fórmula'!C101)/('Fórmula'!C101+'Fórmula'!E101+'Fórmula'!G101+'Fórmula'!I101+'Fórmula'!K101))*(INDEX(properties!A$1:CB$87,'Fórmula'!B101,41))+(('Fórmula'!E101)/('Fórmula'!C101+'Fórmula'!E101+'Fórmula'!G101+'Fórmula'!I101+'Fórmula'!K101))*(INDEX(properties!A$1:CB$87,'Fórmula'!D101,41))+(('Fórmula'!G101)/('Fórmula'!C101+'Fórmula'!E101+'Fórmula'!G101+'Fórmula'!I101+'Fórmula'!K101))*(INDEX(properties!A$1:CB$87,'Fórmula'!F101,41))+(('Fórmula'!I101)/('Fórmula'!C101+'Fórmula'!E101+'Fórmula'!G101+'Fórmula'!I101+'Fórmula'!K101))*(INDEX(properties!A$1:CB$87,'Fórmula'!H101,41))+(('Fórmula'!K101)/('Fórmula'!C101+'Fórmula'!E101+'Fórmula'!G101+'Fórmula'!I101+'Fórmula'!K101))*(INDEX(properties!A$1:CB$87,'Fórmula'!J101,41))</f>
        <v>1.068571429</v>
      </c>
      <c r="EE101" s="111">
        <f t="array" ref="EE101">'Fórmula'!C101*(INDEX(properties!A$1:CB$87,'Fórmula'!B101,41))+'Fórmula'!E101*(INDEX(properties!A$1:CB$87,'Fórmula'!D101,41))+'Fórmula'!G101*(INDEX(properties!A$1:CB$87,'Fórmula'!F101,41))+'Fórmula'!I101*(INDEX(properties!A$1:CB$87,'Fórmula'!H101,41))+'Fórmula'!K101*(INDEX(properties!A$1:CB$87,'Fórmula'!J101,41))</f>
        <v>7.48</v>
      </c>
      <c r="EF101" s="111">
        <f t="array" ref="EF101">VARP(IF(INDEX(properties!A$1:CB$87,'Fórmula'!B101,41)&lt;&gt;"",INDEX(properties!A$1:CB$87,'Fórmula'!B101,41)),IF(INDEX(properties!A$1:CB$87,'Fórmula'!D101,41)&lt;&gt;"",INDEX(properties!A$1:CB$87,'Fórmula'!D101,41)),IF(INDEX(properties!A$1:CB$87,'Fórmula'!F101,41)&lt;&gt;"",INDEX(properties!A$1:CB$87,'Fórmula'!F101,41)),IF(INDEX(properties!A$1:CB$87,'Fórmula'!H101,41)&lt;&gt;"",INDEX(properties!A$1:CB$87,'Fórmula'!H101,41)),IF(INDEX(properties!A$1:CB$87,'Fórmula'!J101,41)&lt;&gt;"",INDEX(properties!A$1:CB$87,'Fórmula'!J101,41)))</f>
        <v>0.22188</v>
      </c>
      <c r="EG101" s="122">
        <f t="array" ref="EG101">MAX(INDEX(properties!A$1:CB$87,'Fórmula'!B101,41),INDEX(properties!A$1:CB$87,'Fórmula'!D101,41),INDEX(properties!A$1:CB$87,'Fórmula'!F101,41),INDEX(properties!A$1:CB$87,'Fórmula'!H101,41),INDEX(properties!A$1:CB$87,'Fórmula'!J101,41))</f>
        <v>1.26</v>
      </c>
      <c r="EH101" s="122">
        <f t="array" ref="EH101">MIN(IF(INDEX(properties!A$1:CB$87,'Fórmula'!B101,41)=0,10^6,INDEX(properties!A$1:CB$87,'Fórmula'!B101,41)),IF(INDEX(properties!A$1:CB$87,'Fórmula'!D101,41)=0,10^6,INDEX(properties!A$1:CB$87,'Fórmula'!D101,41)),IF(INDEX(properties!A$1:CB$87,'Fórmula'!F101,41)=0,10^6,INDEX(properties!A$1:CB$87,'Fórmula'!F101,41)),IF(INDEX(properties!A$1:CB$87,'Fórmula'!H101,41)=0,10^6,INDEX(properties!A$1:CB$87,'Fórmula'!H101,41)),IF(INDEX(properties!A$1:CB$87,'Fórmula'!J101,41)=0,10^6,INDEX(properties!A$1:CB$87,'Fórmula'!J101,41)))</f>
        <v>0.41</v>
      </c>
      <c r="EI101" s="111">
        <f t="shared" si="23"/>
        <v>0.85</v>
      </c>
      <c r="EJ101" s="112">
        <f t="array" ref="EJ101">(('Fórmula'!C101)/('Fórmula'!C101+'Fórmula'!E101+'Fórmula'!G101+'Fórmula'!I101+'Fórmula'!K101))*(INDEX(properties!A$1:CB$87,'Fórmula'!B101,45))+(('Fórmula'!E101)/('Fórmula'!C101+'Fórmula'!E101+'Fórmula'!G101+'Fórmula'!I101+'Fórmula'!K101))*(INDEX(properties!A$1:CB$87,'Fórmula'!D101,45))+(('Fórmula'!G101)/('Fórmula'!C101+'Fórmula'!E101+'Fórmula'!G101+'Fórmula'!I101+'Fórmula'!K101))*(INDEX(properties!A$1:CB$87,'Fórmula'!F101,45))+(('Fórmula'!I101)/('Fórmula'!C101+'Fórmula'!E101+'Fórmula'!G101+'Fórmula'!I101+'Fórmula'!K101))*(INDEX(properties!A$1:CB$87,'Fórmula'!H101,45))+(('Fórmula'!K101)/('Fórmula'!C101+'Fórmula'!E101+'Fórmula'!G101+'Fórmula'!I101+'Fórmula'!K101))*(INDEX(properties!A$1:CB$87,'Fórmula'!J101,45))</f>
        <v>1.204285714</v>
      </c>
      <c r="EK101" s="112">
        <f t="array" ref="EK101">'Fórmula'!C101*(INDEX(properties!A$1:CB$87,'Fórmula'!B101,45))+'Fórmula'!E101*(INDEX(properties!A$1:CB$87,'Fórmula'!D101,45))+'Fórmula'!G101*(INDEX(properties!A$1:CB$87,'Fórmula'!F101,45))+'Fórmula'!I101*(INDEX(properties!A$1:CB$87,'Fórmula'!H101,45))+'Fórmula'!K101*(INDEX(properties!A$1:CB$87,'Fórmula'!J101,45))</f>
        <v>8.43</v>
      </c>
      <c r="EL101" s="112">
        <f t="array" ref="EL101">VARP(IF(INDEX(properties!A$1:CB$87,'Fórmula'!B101,45)&lt;&gt;"",INDEX(properties!A$1:CB$87,'Fórmula'!B101,45)),IF(INDEX(properties!A$1:CB$87,'Fórmula'!D101,45)&lt;&gt;"",INDEX(properties!A$1:CB$87,'Fórmula'!D101,45)),IF(INDEX(properties!A$1:CB$87,'Fórmula'!F101,45)&lt;&gt;"",INDEX(properties!A$1:CB$87,'Fórmula'!F101,45)),IF(INDEX(properties!A$1:CB$87,'Fórmula'!H101,45)&lt;&gt;"",INDEX(properties!A$1:CB$87,'Fórmula'!H101,45)),IF(INDEX(properties!A$1:CB$87,'Fórmula'!J101,45)&lt;&gt;"",INDEX(properties!A$1:CB$87,'Fórmula'!J101,45)))</f>
        <v>1.513464</v>
      </c>
      <c r="EM101" s="123">
        <f t="array" ref="EM101">MAX(INDEX(properties!A$1:CB$87,'Fórmula'!B101,45),INDEX(properties!A$1:CB$87,'Fórmula'!D101,45),INDEX(properties!A$1:CB$87,'Fórmula'!F101,45),INDEX(properties!A$1:CB$87,'Fórmula'!H101,45),INDEX(properties!A$1:CB$87,'Fórmula'!J101,45))</f>
        <v>3</v>
      </c>
      <c r="EN101" s="123">
        <f t="array" ref="EN101">MIN(IF(INDEX(properties!A$1:CB$87,'Fórmula'!B101,45)=0,10^6,INDEX(properties!A$1:CB$87,'Fórmula'!B101,45)),IF(INDEX(properties!A$1:CB$87,'Fórmula'!D101,45)=0,10^6,INDEX(properties!A$1:CB$87,'Fórmula'!D101,45)),IF(INDEX(properties!A$1:CB$87,'Fórmula'!F101,45)=0,10^6,INDEX(properties!A$1:CB$87,'Fórmula'!F101,45)),IF(INDEX(properties!A$1:CB$87,'Fórmula'!H101,45)=0,10^6,INDEX(properties!A$1:CB$87,'Fórmula'!H101,45)),IF(INDEX(properties!A$1:CB$87,'Fórmula'!J101,45)=0,10^6,INDEX(properties!A$1:CB$87,'Fórmula'!J101,45)))</f>
        <v>0.47</v>
      </c>
      <c r="EO101" s="112">
        <f t="shared" si="24"/>
        <v>2.53</v>
      </c>
      <c r="EP101" s="113">
        <f t="array" ref="EP101">(('Fórmula'!C101)/('Fórmula'!C101+'Fórmula'!E101+'Fórmula'!G101+'Fórmula'!I101+'Fórmula'!K101))*(INDEX(properties!A$1:CB$87,'Fórmula'!B101,46))+(('Fórmula'!E101)/('Fórmula'!C101+'Fórmula'!E101+'Fórmula'!G101+'Fórmula'!I101+'Fórmula'!K101))*(INDEX(properties!A$1:CB$87,'Fórmula'!D101,46))+(('Fórmula'!G101)/('Fórmula'!C101+'Fórmula'!E101+'Fórmula'!G101+'Fórmula'!I101+'Fórmula'!K101))*(INDEX(properties!A$1:CB$87,'Fórmula'!F101,46))+(('Fórmula'!I101)/('Fórmula'!C101+'Fórmula'!E101+'Fórmula'!G101+'Fórmula'!I101+'Fórmula'!K101))*(INDEX(properties!A$1:CB$87,'Fórmula'!H101,46))+(('Fórmula'!K101)/('Fórmula'!C101+'Fórmula'!E101+'Fórmula'!G101+'Fórmula'!I101+'Fórmula'!K101))*(INDEX(properties!A$1:CB$87,'Fórmula'!J101,46))</f>
        <v>1.017142857</v>
      </c>
      <c r="EQ101" s="113">
        <f t="array" ref="EQ101">'Fórmula'!C101*(INDEX(properties!A$1:CB$87,'Fórmula'!B101,46))+'Fórmula'!E101*(INDEX(properties!A$1:CB$87,'Fórmula'!D101,46))+'Fórmula'!G101*(INDEX(properties!A$1:CB$87,'Fórmula'!F101,46))+'Fórmula'!I101*(INDEX(properties!A$1:CB$87,'Fórmula'!H101,46))+'Fórmula'!K101*(INDEX(properties!A$1:CB$87,'Fórmula'!J101,46))</f>
        <v>7.12</v>
      </c>
      <c r="ER101" s="113">
        <f t="array" ref="ER101">VARP(IF(INDEX(properties!A$1:CB$87,'Fórmula'!B101,46)&lt;&gt;"",INDEX(properties!A$1:CB$87,'Fórmula'!B101,46)),IF(INDEX(properties!A$1:CB$87,'Fórmula'!D101,46)&lt;&gt;"",INDEX(properties!A$1:CB$87,'Fórmula'!D101,46)),IF(INDEX(properties!A$1:CB$87,'Fórmula'!F101,46)&lt;&gt;"",INDEX(properties!A$1:CB$87,'Fórmula'!F101,46)),IF(INDEX(properties!A$1:CB$87,'Fórmula'!H101,46)&lt;&gt;"",INDEX(properties!A$1:CB$87,'Fórmula'!H101,46)),IF(INDEX(properties!A$1:CB$87,'Fórmula'!J101,46)&lt;&gt;"",INDEX(properties!A$1:CB$87,'Fórmula'!J101,46)))</f>
        <v>0.236456</v>
      </c>
      <c r="ES101" s="124">
        <f t="array" ref="ES101">MAX(INDEX(properties!A$1:CB$87,'Fórmula'!B101,46),INDEX(properties!A$1:CB$87,'Fórmula'!D101,46),INDEX(properties!A$1:CB$87,'Fórmula'!F101,46),INDEX(properties!A$1:CB$87,'Fórmula'!H101,46),INDEX(properties!A$1:CB$87,'Fórmula'!J101,46))</f>
        <v>1.21</v>
      </c>
      <c r="ET101" s="124">
        <f t="array" ref="ET101">MIN(IF(INDEX(properties!A$1:CB$87,'Fórmula'!B101,46)=0,10^6,INDEX(properties!A$1:CB$87,'Fórmula'!B101,46)),IF(INDEX(properties!A$1:CB$87,'Fórmula'!D101,46)=0,10^6,INDEX(properties!A$1:CB$87,'Fórmula'!D101,46)),IF(INDEX(properties!A$1:CB$87,'Fórmula'!F101,46)=0,10^6,INDEX(properties!A$1:CB$87,'Fórmula'!F101,46)),IF(INDEX(properties!A$1:CB$87,'Fórmula'!H101,46)=0,10^6,INDEX(properties!A$1:CB$87,'Fórmula'!H101,46)),IF(INDEX(properties!A$1:CB$87,'Fórmula'!J101,46)=0,10^6,INDEX(properties!A$1:CB$87,'Fórmula'!J101,46)))</f>
        <v>0.25</v>
      </c>
      <c r="EU101" s="113">
        <f t="shared" si="25"/>
        <v>0.96</v>
      </c>
      <c r="EV101" s="114">
        <f t="array" ref="EV101">(('Fórmula'!C101)/('Fórmula'!C101+'Fórmula'!E101+'Fórmula'!G101+'Fórmula'!I101+'Fórmula'!K101))*(INDEX(properties!A$1:CB$87,'Fórmula'!B101,52))+(('Fórmula'!E101)/('Fórmula'!C101+'Fórmula'!E101+'Fórmula'!G101+'Fórmula'!I101+'Fórmula'!K101))*(INDEX(properties!A$1:CB$87,'Fórmula'!D101,52))+(('Fórmula'!G101)/('Fórmula'!C101+'Fórmula'!E101+'Fórmula'!G101+'Fórmula'!I101+'Fórmula'!K101))*(INDEX(properties!A$1:CB$87,'Fórmula'!F101,52))+(('Fórmula'!I101)/('Fórmula'!C101+'Fórmula'!E101+'Fórmula'!G101+'Fórmula'!I101+'Fórmula'!K101))*(INDEX(properties!A$1:CB$87,'Fórmula'!H101,52))+(('Fórmula'!K101)/('Fórmula'!C101+'Fórmula'!E101+'Fórmula'!G101+'Fórmula'!I101+'Fórmula'!K101))*(INDEX(properties!A$1:CB$87,'Fórmula'!J101,52))</f>
        <v>6.681714286</v>
      </c>
      <c r="EW101" s="114">
        <f t="array" ref="EW101">'Fórmula'!C101*(INDEX(properties!A$1:CB$87,'Fórmula'!B101,52))+'Fórmula'!E101*(INDEX(properties!A$1:CB$87,'Fórmula'!D101,52))+'Fórmula'!G101*(INDEX(properties!A$1:CB$87,'Fórmula'!F101,52))+'Fórmula'!I101*(INDEX(properties!A$1:CB$87,'Fórmula'!H101,52))+'Fórmula'!K101*(INDEX(properties!A$1:CB$87,'Fórmula'!J101,52))</f>
        <v>46.772</v>
      </c>
      <c r="EX101" s="114">
        <f t="array" ref="EX101">VARP(IF(INDEX(properties!A$1:CB$87,'Fórmula'!B101,52)&lt;&gt;"",INDEX(properties!A$1:CB$87,'Fórmula'!B101,52)),IF(INDEX(properties!A$1:CB$87,'Fórmula'!D101,52)&lt;&gt;"",INDEX(properties!A$1:CB$87,'Fórmula'!D101,52)),IF(INDEX(properties!A$1:CB$87,'Fórmula'!F101,52)&lt;&gt;"",INDEX(properties!A$1:CB$87,'Fórmula'!F101,52)),IF(INDEX(properties!A$1:CB$87,'Fórmula'!H101,52)&lt;&gt;"",INDEX(properties!A$1:CB$87,'Fórmula'!H101,52)),IF(INDEX(properties!A$1:CB$87,'Fórmula'!J101,52)&lt;&gt;"",INDEX(properties!A$1:CB$87,'Fórmula'!J101,52)))</f>
        <v>90.43223184</v>
      </c>
      <c r="EY101" s="114">
        <f t="array" ref="EY101">MAX(INDEX(properties!A$1:CB$87,'Fórmula'!B101,52),INDEX(properties!A$1:CB$87,'Fórmula'!D101,52),INDEX(properties!A$1:CB$87,'Fórmula'!F101,52),INDEX(properties!A$1:CB$87,'Fórmula'!H101,52),INDEX(properties!A$1:CB$87,'Fórmula'!J101,52))</f>
        <v>22.8</v>
      </c>
      <c r="EZ101" s="114">
        <f t="array" ref="EZ101">MIN(IF(INDEX(properties!A$1:CB$87,'Fórmula'!B101,52)=0,10^6,INDEX(properties!A$1:CB$87,'Fórmula'!B101,52)),IF(INDEX(properties!A$1:CB$87,'Fórmula'!D101,52)=0,10^6,INDEX(properties!A$1:CB$87,'Fórmula'!D101,52)),IF(INDEX(properties!A$1:CB$87,'Fórmula'!F101,52)=0,10^6,INDEX(properties!A$1:CB$87,'Fórmula'!F101,52)),IF(INDEX(properties!A$1:CB$87,'Fórmula'!H101,52)=0,10^6,INDEX(properties!A$1:CB$87,'Fórmula'!H101,52)),IF(INDEX(properties!A$1:CB$87,'Fórmula'!J101,52)=0,10^6,INDEX(properties!A$1:CB$87,'Fórmula'!J101,52)))</f>
        <v>0.793</v>
      </c>
      <c r="FA101" s="114">
        <f t="shared" si="26"/>
        <v>22.007</v>
      </c>
      <c r="FB101" s="115">
        <f t="array" ref="FB101">(('Fórmula'!C101)/('Fórmula'!C101+'Fórmula'!E101+'Fórmula'!G101+'Fórmula'!I101+'Fórmula'!K101))*(INDEX(properties!A$1:CB$87,'Fórmula'!B101,53))+(('Fórmula'!E101)/('Fórmula'!C101+'Fórmula'!E101+'Fórmula'!G101+'Fórmula'!I101+'Fórmula'!K101))*(INDEX(properties!A$1:CB$87,'Fórmula'!D101,53))+(('Fórmula'!G101)/('Fórmula'!C101+'Fórmula'!E101+'Fórmula'!G101+'Fórmula'!I101+'Fórmula'!K101))*(INDEX(properties!A$1:CB$87,'Fórmula'!F101,53))+(('Fórmula'!I101)/('Fórmula'!C101+'Fórmula'!E101+'Fórmula'!G101+'Fórmula'!I101+'Fórmula'!K101))*(INDEX(properties!A$1:CB$87,'Fórmula'!H101,53))+(('Fórmula'!K101)/('Fórmula'!C101+'Fórmula'!E101+'Fórmula'!G101+'Fórmula'!I101+'Fórmula'!K101))*(INDEX(properties!A$1:CB$87,'Fórmula'!J101,53))</f>
        <v>785.35</v>
      </c>
      <c r="FC101" s="115">
        <f t="array" ref="FC101">'Fórmula'!C101*(INDEX(properties!A$1:CB$87,'Fórmula'!B101,53))+'Fórmula'!E101*(INDEX(properties!A$1:CB$87,'Fórmula'!D101,53))+'Fórmula'!G101*(INDEX(properties!A$1:CB$87,'Fórmula'!F101,53))+'Fórmula'!I101*(INDEX(properties!A$1:CB$87,'Fórmula'!H101,53))+'Fórmula'!K101*(INDEX(properties!A$1:CB$87,'Fórmula'!J101,53))</f>
        <v>5497.45</v>
      </c>
      <c r="FD101" s="115">
        <f t="array" ref="FD101">VARP(IF(INDEX(properties!A$1:CB$87,'Fórmula'!B101,53)&lt;&gt;"",INDEX(properties!A$1:CB$87,'Fórmula'!B101,53)),IF(INDEX(properties!A$1:CB$87,'Fórmula'!D101,53)&lt;&gt;"",INDEX(properties!A$1:CB$87,'Fórmula'!D101,53)),IF(INDEX(properties!A$1:CB$87,'Fórmula'!F101,53)&lt;&gt;"",INDEX(properties!A$1:CB$87,'Fórmula'!F101,53)),IF(INDEX(properties!A$1:CB$87,'Fórmula'!H101,53)&lt;&gt;"",INDEX(properties!A$1:CB$87,'Fórmula'!H101,53)),IF(INDEX(properties!A$1:CB$87,'Fórmula'!J101,53)&lt;&gt;"",INDEX(properties!A$1:CB$87,'Fórmula'!J101,53)))</f>
        <v>875004.1164</v>
      </c>
      <c r="FE101" s="115">
        <f t="array" ref="FE101">MAX(INDEX(properties!A$1:CB$87,'Fórmula'!B101,53),INDEX(properties!A$1:CB$87,'Fórmula'!D101,53),INDEX(properties!A$1:CB$87,'Fórmula'!F101,53),INDEX(properties!A$1:CB$87,'Fórmula'!H101,53),INDEX(properties!A$1:CB$87,'Fórmula'!J101,53))</f>
        <v>2352.15</v>
      </c>
      <c r="FF101" s="115">
        <f t="array" ref="FF101">MIN(IF(INDEX(properties!A$1:CB$87,'Fórmula'!B101,53)=0,10^6,INDEX(properties!A$1:CB$87,'Fórmula'!B101,53)),IF(INDEX(properties!A$1:CB$87,'Fórmula'!D101,53)=0,10^6,INDEX(properties!A$1:CB$87,'Fórmula'!D101,53)),IF(INDEX(properties!A$1:CB$87,'Fórmula'!F101,53)=0,10^6,INDEX(properties!A$1:CB$87,'Fórmula'!F101,53)),IF(INDEX(properties!A$1:CB$87,'Fórmula'!H101,53)=0,10^6,INDEX(properties!A$1:CB$87,'Fórmula'!H101,53)),IF(INDEX(properties!A$1:CB$87,'Fórmula'!J101,53)=0,10^6,INDEX(properties!A$1:CB$87,'Fórmula'!J101,53)))</f>
        <v>54.75</v>
      </c>
      <c r="FG101" s="115">
        <f t="shared" si="27"/>
        <v>2297.4</v>
      </c>
      <c r="FH101" s="117">
        <f t="array" ref="FH101">(('Fórmula'!C101)/('Fórmula'!C101+'Fórmula'!E101+'Fórmula'!G101+'Fórmula'!I101+'Fórmula'!K101))*(INDEX(properties!A$1:CB$87,'Fórmula'!B101,54))+(('Fórmula'!E101)/('Fórmula'!C101+'Fórmula'!E101+'Fórmula'!G101+'Fórmula'!I101+'Fórmula'!K101))*(INDEX(properties!A$1:CB$87,'Fórmula'!D101,54))+(('Fórmula'!G101)/('Fórmula'!C101+'Fórmula'!E101+'Fórmula'!G101+'Fórmula'!I101+'Fórmula'!K101))*(INDEX(properties!A$1:CB$87,'Fórmula'!F101,54))+(('Fórmula'!I101)/('Fórmula'!C101+'Fórmula'!E101+'Fórmula'!G101+'Fórmula'!I101+'Fórmula'!K101))*(INDEX(properties!A$1:CB$87,'Fórmula'!H101,54))+(('Fórmula'!K101)/('Fórmula'!C101+'Fórmula'!E101+'Fórmula'!G101+'Fórmula'!I101+'Fórmula'!K101))*(INDEX(properties!A$1:CB$87,'Fórmula'!J101,54))</f>
        <v>1356.842857</v>
      </c>
      <c r="FI101" s="117">
        <f t="array" ref="FI101">'Fórmula'!C101*(INDEX(properties!A$1:CB$87,'Fórmula'!B101,54))+'Fórmula'!E101*(INDEX(properties!A$1:CB$87,'Fórmula'!D101,54))+'Fórmula'!G101*(INDEX(properties!A$1:CB$87,'Fórmula'!F101,54))+'Fórmula'!I101*(INDEX(properties!A$1:CB$87,'Fórmula'!H101,54))+'Fórmula'!K101*(INDEX(properties!A$1:CB$87,'Fórmula'!J101,54))</f>
        <v>9497.9</v>
      </c>
      <c r="FJ101" s="117">
        <f t="array" ref="FJ101">VARP(IF(INDEX(properties!A$1:CB$87,'Fórmula'!B101,54)&lt;&gt;"",INDEX(properties!A$1:CB$87,'Fórmula'!B101,54)),IF(INDEX(properties!A$1:CB$87,'Fórmula'!D101,54)&lt;&gt;"",INDEX(properties!A$1:CB$87,'Fórmula'!D101,54)),IF(INDEX(properties!A$1:CB$87,'Fórmula'!F101,54)&lt;&gt;"",INDEX(properties!A$1:CB$87,'Fórmula'!F101,54)),IF(INDEX(properties!A$1:CB$87,'Fórmula'!H101,54)&lt;&gt;"",INDEX(properties!A$1:CB$87,'Fórmula'!H101,54)),IF(INDEX(properties!A$1:CB$87,'Fórmula'!J101,54)&lt;&gt;"",INDEX(properties!A$1:CB$87,'Fórmula'!J101,54)))</f>
        <v>2796823.593</v>
      </c>
      <c r="FK101" s="117">
        <f t="array" ref="FK101">MAX(INDEX(properties!A$1:CB$87,'Fórmula'!B101,54),INDEX(properties!A$1:CB$87,'Fórmula'!D101,54),INDEX(properties!A$1:CB$87,'Fórmula'!F101,54),INDEX(properties!A$1:CB$87,'Fórmula'!H101,54),INDEX(properties!A$1:CB$87,'Fórmula'!J101,54))</f>
        <v>4275</v>
      </c>
      <c r="FL101" s="117">
        <f t="array" ref="FL101">MIN(IF(INDEX(properties!A$1:CB$87,'Fórmula'!B101,54)=0,10^6,INDEX(properties!A$1:CB$87,'Fórmula'!B101,54)),IF(INDEX(properties!A$1:CB$87,'Fórmula'!D101,54)=0,10^6,INDEX(properties!A$1:CB$87,'Fórmula'!D101,54)),IF(INDEX(properties!A$1:CB$87,'Fórmula'!F101,54)=0,10^6,INDEX(properties!A$1:CB$87,'Fórmula'!F101,54)),IF(INDEX(properties!A$1:CB$87,'Fórmula'!H101,54)=0,10^6,INDEX(properties!A$1:CB$87,'Fórmula'!H101,54)),IF(INDEX(properties!A$1:CB$87,'Fórmula'!J101,54)=0,10^6,INDEX(properties!A$1:CB$87,'Fórmula'!J101,54)))</f>
        <v>90.15</v>
      </c>
      <c r="FM101" s="117">
        <f t="shared" si="28"/>
        <v>4184.85</v>
      </c>
      <c r="FN101" s="118">
        <f t="array" ref="FN101">(('Fórmula'!C101)/('Fórmula'!C101+'Fórmula'!E101+'Fórmula'!G101+'Fórmula'!I101+'Fórmula'!K101))*(INDEX(properties!A$1:CB$87,'Fórmula'!B101,55))+(('Fórmula'!E101)/('Fórmula'!C101+'Fórmula'!E101+'Fórmula'!G101+'Fórmula'!I101+'Fórmula'!K101))*(INDEX(properties!A$1:CB$87,'Fórmula'!D101,55))+(('Fórmula'!G101)/('Fórmula'!C101+'Fórmula'!E101+'Fórmula'!G101+'Fórmula'!I101+'Fórmula'!K101))*(INDEX(properties!A$1:CB$87,'Fórmula'!F101,55))+(('Fórmula'!I101)/('Fórmula'!C101+'Fórmula'!E101+'Fórmula'!G101+'Fórmula'!I101+'Fórmula'!K101))*(INDEX(properties!A$1:CB$87,'Fórmula'!H101,55))+(('Fórmula'!K101)/('Fórmula'!C101+'Fórmula'!E101+'Fórmula'!G101+'Fórmula'!I101+'Fórmula'!K101))*(INDEX(properties!A$1:CB$87,'Fórmula'!J101,55))</f>
        <v>0.9836742857</v>
      </c>
      <c r="FO101" s="118">
        <f t="array" ref="FO101">'Fórmula'!C101*(INDEX(properties!A$1:CB$87,'Fórmula'!B101,55))+'Fórmula'!E101*(INDEX(properties!A$1:CB$87,'Fórmula'!D101,54))+'Fórmula'!G101*(INDEX(properties!A$1:CB$87,'Fórmula'!F101,55))+'Fórmula'!I101*(INDEX(properties!A$1:CB$87,'Fórmula'!H101,55))+'Fórmula'!K101*(INDEX(properties!A$1:CB$87,'Fórmula'!J101,55))</f>
        <v>3109.04572</v>
      </c>
      <c r="FP101" s="118">
        <f t="array" ref="FP101">VARP(IF(INDEX(properties!A$1:CB$87,'Fórmula'!B101,55)&lt;&gt;"",INDEX(properties!A$1:CB$87,'Fórmula'!B101,55)),IF(INDEX(properties!A$1:CB$87,'Fórmula'!D101,55)&lt;&gt;"",INDEX(properties!A$1:CB$87,'Fórmula'!D101,55)),IF(INDEX(properties!A$1:CB$87,'Fórmula'!F101,55)&lt;&gt;"",INDEX(properties!A$1:CB$87,'Fórmula'!F101,55)),IF(INDEX(properties!A$1:CB$87,'Fórmula'!H101,55)&lt;&gt;"",INDEX(properties!A$1:CB$87,'Fórmula'!H101,55)),IF(INDEX(properties!A$1:CB$87,'Fórmula'!J101,55)&lt;&gt;"",INDEX(properties!A$1:CB$87,'Fórmula'!J101,55)))</f>
        <v>1.469477255</v>
      </c>
      <c r="FQ101" s="118">
        <f t="array" ref="FQ101">MAX(INDEX(properties!A$1:CB$87,'Fórmula'!B101,55),INDEX(properties!A$1:CB$87,'Fórmula'!D101,55),INDEX(properties!A$1:CB$87,'Fórmula'!F101,55),INDEX(properties!A$1:CB$87,'Fórmula'!H101,55),INDEX(properties!A$1:CB$87,'Fórmula'!J101,55))</f>
        <v>2.99</v>
      </c>
      <c r="FR101" s="118">
        <f t="array" ref="FR101">MIN(IF(INDEX(properties!A$1:CB$87,'Fórmula'!B101,55)=0,10^6,INDEX(properties!A$1:CB$87,'Fórmula'!B101,55)),IF(INDEX(properties!A$1:CB$87,'Fórmula'!D101,55)=0,10^6,INDEX(properties!A$1:CB$87,'Fórmula'!D101,55)),IF(INDEX(properties!A$1:CB$87,'Fórmula'!F101,55)=0,10^6,INDEX(properties!A$1:CB$87,'Fórmula'!F101,55)),IF(INDEX(properties!A$1:CB$87,'Fórmula'!H101,55)=0,10^6,INDEX(properties!A$1:CB$87,'Fórmula'!H101,55)),IF(INDEX(properties!A$1:CB$87,'Fórmula'!J101,55)=0,10^6,INDEX(properties!A$1:CB$87,'Fórmula'!J101,55)))</f>
        <v>0.00143</v>
      </c>
      <c r="FS101" s="118">
        <f t="shared" si="29"/>
        <v>2.98857</v>
      </c>
      <c r="FT101" s="119">
        <f t="array" ref="FT101">(('Fórmula'!C101)/('Fórmula'!C101+'Fórmula'!E101+'Fórmula'!G101+'Fórmula'!I101+'Fórmula'!K101))*(INDEX(properties!A$1:CB$87,'Fórmula'!B101,56))+(('Fórmula'!E101)/('Fórmula'!C101+'Fórmula'!E101+'Fórmula'!G101+'Fórmula'!I101+'Fórmula'!K101))*(INDEX(properties!A$1:CB$87,'Fórmula'!D101,56))+(('Fórmula'!G101)/('Fórmula'!C101+'Fórmula'!E101+'Fórmula'!G101+'Fórmula'!I101+'Fórmula'!K101))*(INDEX(properties!A$1:CB$87,'Fórmula'!F101,56))+(('Fórmula'!I101)/('Fórmula'!C101+'Fórmula'!E101+'Fórmula'!G101+'Fórmula'!I101+'Fórmula'!K101))*(INDEX(properties!A$1:CB$87,'Fórmula'!H101,56))+(('Fórmula'!K101)/('Fórmula'!C101+'Fórmula'!E101+'Fórmula'!G101+'Fórmula'!I101+'Fórmula'!K101))*(INDEX(properties!A$1:CB$87,'Fórmula'!J101,56))</f>
        <v>0.8471428571</v>
      </c>
      <c r="FU101" s="119">
        <f t="array" ref="FU101">'Fórmula'!C101*(INDEX(properties!A$1:CB$87,'Fórmula'!B101,56))+'Fórmula'!E101*(INDEX(properties!A$1:CB$87,'Fórmula'!D101,56))+'Fórmula'!G101*(INDEX(properties!A$1:CB$87,'Fórmula'!F101,56))+'Fórmula'!I101*(INDEX(properties!A$1:CB$87,'Fórmula'!H101,56))+'Fórmula'!K101*(INDEX(properties!A$1:CB$87,'Fórmula'!J101,56))</f>
        <v>5.93</v>
      </c>
      <c r="FV101" s="119">
        <f t="array" ref="FV101">VARP(IF(INDEX(properties!A$1:CB$87,'Fórmula'!B101,56)&lt;&gt;"",INDEX(properties!A$1:CB$87,'Fórmula'!B101,56)),IF(INDEX(properties!A$1:CB$87,'Fórmula'!D101,56)&lt;&gt;"",INDEX(properties!A$1:CB$87,'Fórmula'!D101,56)),IF(INDEX(properties!A$1:CB$87,'Fórmula'!F101,56)&lt;&gt;"",INDEX(properties!A$1:CB$87,'Fórmula'!F101,56)),IF(INDEX(properties!A$1:CB$87,'Fórmula'!H101,56)&lt;&gt;"",INDEX(properties!A$1:CB$87,'Fórmula'!H101,56)),IF(INDEX(properties!A$1:CB$87,'Fórmula'!J101,56)&lt;&gt;"",INDEX(properties!A$1:CB$87,'Fórmula'!J101,56)))</f>
        <v>0.126784</v>
      </c>
      <c r="FW101" s="119">
        <f t="array" ref="FW101">MAX(INDEX(properties!A$1:CB$87,'Fórmula'!B101,56),INDEX(properties!A$1:CB$87,'Fórmula'!D101,56),INDEX(properties!A$1:CB$87,'Fórmula'!F101,56),INDEX(properties!A$1:CB$87,'Fórmula'!H101,56),INDEX(properties!A$1:CB$87,'Fórmula'!J101,56))</f>
        <v>1.02</v>
      </c>
      <c r="FX101" s="119">
        <f t="array" ref="FX101">MIN(IF(INDEX(properties!A$1:CB$87,'Fórmula'!B101,56)=0,10^6,INDEX(properties!A$1:CB$87,'Fórmula'!B101,56)),IF(INDEX(properties!A$1:CB$87,'Fórmula'!D101,56)=0,10^6,INDEX(properties!A$1:CB$87,'Fórmula'!D101,56)),IF(INDEX(properties!A$1:CB$87,'Fórmula'!F101,56)=0,10^6,INDEX(properties!A$1:CB$87,'Fórmula'!F101,56)),IF(INDEX(properties!A$1:CB$87,'Fórmula'!H101,56)=0,10^6,INDEX(properties!A$1:CB$87,'Fórmula'!H101,56)),IF(INDEX(properties!A$1:CB$87,'Fórmula'!J101,56)=0,10^6,INDEX(properties!A$1:CB$87,'Fórmula'!J101,56)))</f>
        <v>0.6</v>
      </c>
      <c r="FY101" s="119">
        <f t="shared" si="30"/>
        <v>0.42</v>
      </c>
      <c r="FZ101" s="104">
        <f t="array" ref="FZ101">(('Fórmula'!C101)/('Fórmula'!C101+'Fórmula'!E101+'Fórmula'!G101+'Fórmula'!I101+'Fórmula'!K101))*(INDEX(properties!A$1:CB$87,'Fórmula'!B101,57))+(('Fórmula'!E101)/('Fórmula'!C101+'Fórmula'!E101+'Fórmula'!G101+'Fórmula'!I101+'Fórmula'!K101))*(INDEX(properties!A$1:CB$87,'Fórmula'!D101,57))+(('Fórmula'!G101)/('Fórmula'!C101+'Fórmula'!E101+'Fórmula'!G101+'Fórmula'!I101+'Fórmula'!K101))*(INDEX(properties!A$1:CB$87,'Fórmula'!F101,57))+(('Fórmula'!I101)/('Fórmula'!C101+'Fórmula'!E101+'Fórmula'!G101+'Fórmula'!I101+'Fórmula'!K101))*(INDEX(properties!A$1:CB$87,'Fórmula'!H101,57))+(('Fórmula'!K101)/('Fórmula'!C101+'Fórmula'!E101+'Fórmula'!G101+'Fórmula'!I101+'Fórmula'!K101))*(INDEX(properties!A$1:CB$87,'Fórmula'!J101,57))</f>
        <v>10.53290857</v>
      </c>
      <c r="GA101" s="104">
        <f t="array" ref="GA101">'Fórmula'!C101*(INDEX(properties!A$1:CB$87,'Fórmula'!B101,57))+'Fórmula'!E101*(INDEX(properties!A$1:CB$87,'Fórmula'!D101,57))+'Fórmula'!G101*(INDEX(properties!A$1:CB$87,'Fórmula'!F101,57))+'Fórmula'!I101*(INDEX(properties!A$1:CB$87,'Fórmula'!H101,57))+'Fórmula'!K101*(INDEX(properties!A$1:CB$87,'Fórmula'!J101,57))</f>
        <v>73.73036</v>
      </c>
      <c r="GB101" s="104">
        <f t="array" ref="GB101">VARP(IF(INDEX(properties!A$1:CB$87,'Fórmula'!B101,57)&lt;&gt;"",INDEX(properties!A$1:CB$87,'Fórmula'!B101,57)),IF(INDEX(properties!A$1:CB$87,'Fórmula'!D101,57)&lt;&gt;"",INDEX(properties!A$1:CB$87,'Fórmula'!D101,57)),IF(INDEX(properties!A$1:CB$87,'Fórmula'!F101,57)&lt;&gt;"",INDEX(properties!A$1:CB$87,'Fórmula'!F101,57)),IF(INDEX(properties!A$1:CB$87,'Fórmula'!H101,57)&lt;&gt;"",INDEX(properties!A$1:CB$87,'Fórmula'!H101,57)),IF(INDEX(properties!A$1:CB$87,'Fórmula'!J101,57)&lt;&gt;"",INDEX(properties!A$1:CB$87,'Fórmula'!J101,57)))</f>
        <v>344.840547</v>
      </c>
      <c r="GC101" s="104">
        <f t="array" ref="GC101">MAX(INDEX(properties!A$1:CB$87,'Fórmula'!B101,57),INDEX(properties!A$1:CB$87,'Fórmula'!D101,57),INDEX(properties!A$1:CB$87,'Fórmula'!F101,57),INDEX(properties!A$1:CB$87,'Fórmula'!H101,57),INDEX(properties!A$1:CB$87,'Fórmula'!J101,57))</f>
        <v>50.2</v>
      </c>
      <c r="GD101" s="104">
        <f t="array" ref="GD101">MIN(IF(INDEX(properties!A$1:CB$87,'Fórmula'!B101,57)=0,10^6,INDEX(properties!A$1:CB$87,'Fórmula'!B101,57)),IF(INDEX(properties!A$1:CB$87,'Fórmula'!D101,57)=0,10^6,INDEX(properties!A$1:CB$87,'Fórmula'!D101,57)),IF(INDEX(properties!A$1:CB$87,'Fórmula'!F101,57)=0,10^6,INDEX(properties!A$1:CB$87,'Fórmula'!F101,57)),IF(INDEX(properties!A$1:CB$87,'Fórmula'!H101,57)=0,10^6,INDEX(properties!A$1:CB$87,'Fórmula'!H101,57)),IF(INDEX(properties!A$1:CB$87,'Fórmula'!J101,57)=0,10^6,INDEX(properties!A$1:CB$87,'Fórmula'!J101,57)))</f>
        <v>0.22259</v>
      </c>
      <c r="GE101" s="104">
        <f t="shared" si="31"/>
        <v>49.97741</v>
      </c>
      <c r="GF101" s="105">
        <f t="array" ref="GF101">(('Fórmula'!C101)/('Fórmula'!C101+'Fórmula'!E101+'Fórmula'!G101+'Fórmula'!I101+'Fórmula'!K101))*(INDEX(properties!A$1:CB$87,'Fórmula'!B101,60))+(('Fórmula'!E101)/('Fórmula'!C101+'Fórmula'!E101+'Fórmula'!G101+'Fórmula'!I101+'Fórmula'!K101))*(INDEX(properties!A$1:CB$87,'Fórmula'!D101,60))+(('Fórmula'!G101)/('Fórmula'!C101+'Fórmula'!E101+'Fórmula'!G101+'Fórmula'!I101+'Fórmula'!K101))*(INDEX(properties!A$1:CB$87,'Fórmula'!F101,60))+(('Fórmula'!I101)/('Fórmula'!C101+'Fórmula'!E101+'Fórmula'!G101+'Fórmula'!I101+'Fórmula'!K101))*(INDEX(properties!A$1:CB$87,'Fórmula'!H101,60))+(('Fórmula'!K101)/('Fórmula'!C101+'Fórmula'!E101+'Fórmula'!G101+'Fórmula'!I101+'Fórmula'!K101))*(INDEX(properties!A$1:CB$87,'Fórmula'!J101,60))</f>
        <v>34.70099429</v>
      </c>
      <c r="GG101" s="105">
        <f t="array" ref="GG101">'Fórmula'!C101*(INDEX(properties!A$1:CB$87,'Fórmula'!B101,60))+'Fórmula'!E101*(INDEX(properties!A$1:CB$87,'Fórmula'!D101,60))+'Fórmula'!G101*(INDEX(properties!A$1:CB$87,'Fórmula'!F101,60))+'Fórmula'!I101*(INDEX(properties!A$1:CB$87,'Fórmula'!H101,60))+'Fórmula'!K101*(INDEX(properties!A$1:CB$87,'Fórmula'!J101,60))</f>
        <v>242.90696</v>
      </c>
      <c r="GH101" s="105">
        <f t="array" ref="GH101">VARP(IF(INDEX(properties!A$1:CB$87,'Fórmula'!B101,60)&lt;&gt;"",INDEX(properties!A$1:CB$87,'Fórmula'!B101,60)),IF(INDEX(properties!A$1:CB$87,'Fórmula'!D101,60)&lt;&gt;"",INDEX(properties!A$1:CB$87,'Fórmula'!D101,60)),IF(INDEX(properties!A$1:CB$87,'Fórmula'!F101,60)&lt;&gt;"",INDEX(properties!A$1:CB$87,'Fórmula'!F101,60)),IF(INDEX(properties!A$1:CB$87,'Fórmula'!H101,60)&lt;&gt;"",INDEX(properties!A$1:CB$87,'Fórmula'!H101,60)),IF(INDEX(properties!A$1:CB$87,'Fórmula'!J101,60)&lt;&gt;"",INDEX(properties!A$1:CB$87,'Fórmula'!J101,60)))</f>
        <v>5837.135117</v>
      </c>
      <c r="GI101" s="105">
        <f t="array" ref="GI101">MAX(INDEX(properties!A$1:CB$87,'Fórmula'!B101,60),INDEX(properties!A$1:CB$87,'Fórmula'!D101,60),INDEX(properties!A$1:CB$87,'Fórmula'!F101,60),INDEX(properties!A$1:CB$87,'Fórmula'!H101,60),INDEX(properties!A$1:CB$87,'Fórmula'!J101,60))</f>
        <v>200</v>
      </c>
      <c r="GJ101" s="105">
        <f t="array" ref="GJ101">MIN(IF(INDEX(properties!A$1:CB$87,'Fórmula'!B101,60)=0,10^6,INDEX(properties!A$1:CB$87,'Fórmula'!B101,60)),IF(INDEX(properties!A$1:CB$87,'Fórmula'!D101,60)=0,10^6,INDEX(properties!A$1:CB$87,'Fórmula'!D101,60)),IF(INDEX(properties!A$1:CB$87,'Fórmula'!F101,60)=0,10^6,INDEX(properties!A$1:CB$87,'Fórmula'!F101,60)),IF(INDEX(properties!A$1:CB$87,'Fórmula'!H101,60)=0,10^6,INDEX(properties!A$1:CB$87,'Fórmula'!H101,60)),IF(INDEX(properties!A$1:CB$87,'Fórmula'!J101,60)=0,10^6,INDEX(properties!A$1:CB$87,'Fórmula'!J101,60)))</f>
        <v>0.02674</v>
      </c>
      <c r="GK101" s="105">
        <f t="shared" si="32"/>
        <v>199.97326</v>
      </c>
      <c r="GL101" s="106">
        <f t="array" ref="GL101">(('Fórmula'!C101)/('Fórmula'!C101+'Fórmula'!E101+'Fórmula'!G101+'Fórmula'!I101+'Fórmula'!K101))*(INDEX(properties!A$1:CB$87,'Fórmula'!B101,62))+(('Fórmula'!E101)/('Fórmula'!C101+'Fórmula'!E101+'Fórmula'!G101+'Fórmula'!I101+'Fórmula'!K101))*(INDEX(properties!A$1:CB$87,'Fórmula'!D101,62))+(('Fórmula'!G101)/('Fórmula'!C101+'Fórmula'!E101+'Fórmula'!G101+'Fórmula'!I101+'Fórmula'!K101))*(INDEX(properties!A$1:CB$87,'Fórmula'!F101,62))+(('Fórmula'!I101)/('Fórmula'!C101+'Fórmula'!E101+'Fórmula'!G101+'Fórmula'!I101+'Fórmula'!K101))*(INDEX(properties!A$1:CB$87,'Fórmula'!H101,62))+(('Fórmula'!K101)/('Fórmula'!C101+'Fórmula'!E101+'Fórmula'!G101+'Fórmula'!I101+'Fórmula'!K101))*(INDEX(properties!A$1:CB$87,'Fórmula'!J101,62))</f>
        <v>3.147142857</v>
      </c>
      <c r="GM101" s="106">
        <f t="array" ref="GM101">'Fórmula'!C101*(INDEX(properties!A$1:CB$87,'Fórmula'!B101,62))+'Fórmula'!E101*(INDEX(properties!A$1:CB$87,'Fórmula'!D101,62))+'Fórmula'!G101*(INDEX(properties!A$1:CB$87,'Fórmula'!F101,62))+'Fórmula'!I101*(INDEX(properties!A$1:CB$87,'Fórmula'!H101,62))+'Fórmula'!K101*(INDEX(properties!A$1:CB$87,'Fórmula'!J101,62))</f>
        <v>22.03</v>
      </c>
      <c r="GN101" s="106">
        <f t="array" ref="GN101">VARP(IF(INDEX(properties!A$1:CB$87,'Fórmula'!B101,62)&lt;&gt;"",INDEX(properties!A$1:CB$87,'Fórmula'!B101,62)),IF(INDEX(properties!A$1:CB$87,'Fórmula'!D101,62)&lt;&gt;"",INDEX(properties!A$1:CB$87,'Fórmula'!D101,62)),IF(INDEX(properties!A$1:CB$87,'Fórmula'!F101,62)&lt;&gt;"",INDEX(properties!A$1:CB$87,'Fórmula'!F101,62)),IF(INDEX(properties!A$1:CB$87,'Fórmula'!H101,62)&lt;&gt;"",INDEX(properties!A$1:CB$87,'Fórmula'!H101,62)),IF(INDEX(properties!A$1:CB$87,'Fórmula'!J101,62)&lt;&gt;"",INDEX(properties!A$1:CB$87,'Fórmula'!J101,62)))</f>
        <v>3.811664</v>
      </c>
      <c r="GO101" s="106">
        <f t="array" ref="GO101">MAX(INDEX(properties!A$1:CB$87,'Fórmula'!B101,62),INDEX(properties!A$1:CB$87,'Fórmula'!D101,62),INDEX(properties!A$1:CB$87,'Fórmula'!F101,62),INDEX(properties!A$1:CB$87,'Fórmula'!H101,62),INDEX(properties!A$1:CB$87,'Fórmula'!J101,62))</f>
        <v>5.81</v>
      </c>
      <c r="GP101" s="106">
        <f t="array" ref="GP101">MIN(IF(INDEX(properties!A$1:CB$87,'Fórmula'!B101,62)=0,10^6,INDEX(properties!A$1:CB$87,'Fórmula'!B101,62)),IF(INDEX(properties!A$1:CB$87,'Fórmula'!D101,62)=0,10^6,INDEX(properties!A$1:CB$87,'Fórmula'!D101,62)),IF(INDEX(properties!A$1:CB$87,'Fórmula'!F101,62)=0,10^6,INDEX(properties!A$1:CB$87,'Fórmula'!F101,62)),IF(INDEX(properties!A$1:CB$87,'Fórmula'!H101,62)=0,10^6,INDEX(properties!A$1:CB$87,'Fórmula'!H101,62)),IF(INDEX(properties!A$1:CB$87,'Fórmula'!J101,62)=0,10^6,INDEX(properties!A$1:CB$87,'Fórmula'!J101,62)))</f>
        <v>1.84</v>
      </c>
      <c r="GQ101" s="106">
        <f t="shared" si="33"/>
        <v>3.97</v>
      </c>
      <c r="GR101" s="106">
        <f>'Fórmula'!Q101</f>
        <v>62</v>
      </c>
      <c r="GS101" s="107">
        <f>'Fórmula'!P101</f>
        <v>3</v>
      </c>
      <c r="GT101" s="113">
        <f>'Fórmula'!O101</f>
        <v>3.28</v>
      </c>
      <c r="GU101" s="114">
        <f>AVERAGE('Fórmula'!R101/'Fórmula'!S101,'Fórmula'!S101/'Fórmula'!T101,'Fórmula'!T101/'Fórmula'!R101)</f>
        <v>1.442364013</v>
      </c>
      <c r="GV101" s="125">
        <f>'Fórmula'!U101</f>
        <v>323.57</v>
      </c>
      <c r="GW101" s="106">
        <f>'Fórmula'!N101</f>
        <v>0.2</v>
      </c>
    </row>
    <row r="102" ht="14.25" customHeight="1">
      <c r="A102" s="99" t="str">
        <f>'Fórmula'!A102</f>
        <v>MgAl2O4</v>
      </c>
      <c r="B102" s="101">
        <f t="array" ref="B102">(('Fórmula'!C102)/('Fórmula'!C102+'Fórmula'!E102+'Fórmula'!G102+'Fórmula'!I102+'Fórmula'!K102))*(INDEX(properties!A$1:CB$87,'Fórmula'!B102,3))+(('Fórmula'!E102)/('Fórmula'!C102+'Fórmula'!E102+'Fórmula'!G102+'Fórmula'!I102+'Fórmula'!K102))*(INDEX(properties!A$1:CB$87,'Fórmula'!D102,3))+(('Fórmula'!G102)/('Fórmula'!C102+'Fórmula'!E102+'Fórmula'!G102+'Fórmula'!I102+'Fórmula'!K102))*(INDEX(properties!A$1:CB$87,'Fórmula'!F102,3))+(('Fórmula'!I102)/('Fórmula'!C102+'Fórmula'!E102+'Fórmula'!G102+'Fórmula'!I102+'Fórmula'!K102))*(INDEX(properties!A$1:CB$87,'Fórmula'!H102,3))+(('Fórmula'!K102)/('Fórmula'!C102+'Fórmula'!E102+'Fórmula'!G102+'Fórmula'!I102+'Fórmula'!K102))*(INDEX(properties!A$1:CB$87,'Fórmula'!J102,3))</f>
        <v>20.32366829</v>
      </c>
      <c r="C102" s="101">
        <f t="array" ref="C102">'Fórmula'!C102*(INDEX(properties!A$1:CB$87,'Fórmula'!B102,3))+'Fórmula'!E102*(INDEX(properties!A$1:CB$87,'Fórmula'!D102,3))+'Fórmula'!G102*(INDEX(properties!A$1:CB$87,'Fórmula'!F102,3))+'Fórmula'!I102*(INDEX(properties!A$1:CB$87,'Fórmula'!H102,3))+'Fórmula'!K102*(INDEX(properties!A$1:CB$87,'Fórmula'!J102,3))</f>
        <v>142.265678</v>
      </c>
      <c r="D102" s="101">
        <f t="array" ref="D102">VARP(IF(INDEX(properties!A$1:CB$87,'Fórmula'!B102,3)&lt;&gt;"",INDEX(properties!A$1:CB$87,'Fórmula'!B102,3)),IF(INDEX(properties!A$1:CB$87,'Fórmula'!D102,3)&lt;&gt;"",INDEX(properties!A$1:CB$87,'Fórmula'!D102,3)),IF(INDEX(properties!A$1:CB$87,'Fórmula'!F102,3)&lt;&gt;"",INDEX(properties!A$1:CB$87,'Fórmula'!F102,3)),IF(INDEX(properties!A$1:CB$87,'Fórmula'!H102,3)&lt;&gt;"",INDEX(properties!A$1:CB$87,'Fórmula'!H102,3)),IF(INDEX(properties!A$1:CB$87,'Fórmula'!J102,3)&lt;&gt;"",INDEX(properties!A$1:CB$87,'Fórmula'!J102,3)))</f>
        <v>133.8475509</v>
      </c>
      <c r="E102" s="101">
        <f t="array" ref="E102">MAX(INDEX(properties!A$1:CB$87,'Fórmula'!B102,3),INDEX(properties!A$1:CB$87,'Fórmula'!D102,3),INDEX(properties!A$1:CB$87,'Fórmula'!F102,3),INDEX(properties!A$1:CB$87,'Fórmula'!H102,3),INDEX(properties!A$1:CB$87,'Fórmula'!J102,3))</f>
        <v>26.981539</v>
      </c>
      <c r="F102" s="101">
        <f t="array" ref="F102">MIN(IF(INDEX(properties!A$1:CB$87,'Fórmula'!B102,3)=0,10^6,INDEX(properties!A$1:CB$87,'Fórmula'!B102,3)),IF(INDEX(properties!A$1:CB$87,'Fórmula'!D102,3)=0,10^6,INDEX(properties!A$1:CB$87,'Fórmula'!D102,3)),IF(INDEX(properties!A$1:CB$87,'Fórmula'!F102,3)=0,10^6,INDEX(properties!A$1:CB$87,'Fórmula'!F102,3)),IF(INDEX(properties!A$1:CB$87,'Fórmula'!H102,3)=0,10^6,INDEX(properties!A$1:CB$87,'Fórmula'!H102,3)),IF(INDEX(properties!A$1:CB$87,'Fórmula'!J102,3)=0,10^6,INDEX(properties!A$1:CB$87,'Fórmula'!J102,3)))</f>
        <v>15.9994</v>
      </c>
      <c r="G102" s="101">
        <f t="shared" si="1"/>
        <v>10.982139</v>
      </c>
      <c r="H102" s="102">
        <f t="array" ref="H102">(('Fórmula'!C102)/('Fórmula'!C102+'Fórmula'!E102+'Fórmula'!G102+'Fórmula'!I102+'Fórmula'!K102))*(INDEX(properties!A$1:CB$87,'Fórmula'!B102,4))+(('Fórmula'!E102)/('Fórmula'!C102+'Fórmula'!E102+'Fórmula'!G102+'Fórmula'!I102+'Fórmula'!K102))*(INDEX(properties!A$1:CB$87,'Fórmula'!D102,4))+(('Fórmula'!G102)/('Fórmula'!C102+'Fórmula'!E102+'Fórmula'!G102+'Fórmula'!I102+'Fórmula'!K102))*(INDEX(properties!A$1:CB$87,'Fórmula'!F102,4))+(('Fórmula'!I102)/('Fórmula'!C102+'Fórmula'!E102+'Fórmula'!G102+'Fórmula'!I102+'Fórmula'!K102))*(INDEX(properties!A$1:CB$87,'Fórmula'!H102,4))+(('Fórmula'!K102)/('Fórmula'!C102+'Fórmula'!E102+'Fórmula'!G102+'Fórmula'!I102+'Fórmula'!K102))*(INDEX(properties!A$1:CB$87,'Fórmula'!J102,4))</f>
        <v>10</v>
      </c>
      <c r="I102" s="102">
        <f t="array" ref="I102">'Fórmula'!C102*(INDEX(properties!A$1:CB$87,'Fórmula'!B102,4))+'Fórmula'!E102*(INDEX(properties!A$1:CB$87,'Fórmula'!D102,4))+'Fórmula'!G102*(INDEX(properties!A$1:CB$87,'Fórmula'!F102,4))+'Fórmula'!I102*(INDEX(properties!A$1:CB$87,'Fórmula'!H102,4))+'Fórmula'!K102*(INDEX(properties!A$1:CB$87,'Fórmula'!J102,4))</f>
        <v>70</v>
      </c>
      <c r="J102" s="102">
        <f t="array" ref="J102">VARP(IF(INDEX(properties!A$1:CB$87,'Fórmula'!B102,4)&lt;&gt;"",INDEX(properties!A$1:CB$87,'Fórmula'!B102,4)),IF(INDEX(properties!A$1:CB$87,'Fórmula'!D102,4)&lt;&gt;"",INDEX(properties!A$1:CB$87,'Fórmula'!D102,4)),IF(INDEX(properties!A$1:CB$87,'Fórmula'!F102,4)&lt;&gt;"",INDEX(properties!A$1:CB$87,'Fórmula'!F102,4)),IF(INDEX(properties!A$1:CB$87,'Fórmula'!H102,4)&lt;&gt;"",INDEX(properties!A$1:CB$87,'Fórmula'!H102,4)),IF(INDEX(properties!A$1:CB$87,'Fórmula'!J102,4)&lt;&gt;"",INDEX(properties!A$1:CB$87,'Fórmula'!J102,4)))</f>
        <v>31.84</v>
      </c>
      <c r="K102" s="102">
        <f t="array" ref="K102">MAX(INDEX(properties!A$1:CB$87,'Fórmula'!B102,4),INDEX(properties!A$1:CB$87,'Fórmula'!D102,4),INDEX(properties!A$1:CB$87,'Fórmula'!F102,4),INDEX(properties!A$1:CB$87,'Fórmula'!H102,4),INDEX(properties!A$1:CB$87,'Fórmula'!J102,4))</f>
        <v>13</v>
      </c>
      <c r="L102" s="102">
        <f t="array" ref="L102">MIN(IF(INDEX(properties!A$1:CB$87,'Fórmula'!B102,4)=0,10^6,INDEX(properties!A$1:CB$87,'Fórmula'!B102,4)),IF(INDEX(properties!A$1:CB$87,'Fórmula'!D102,4)=0,10^6,INDEX(properties!A$1:CB$87,'Fórmula'!D102,4)),IF(INDEX(properties!A$1:CB$87,'Fórmula'!F102,4)=0,10^6,INDEX(properties!A$1:CB$87,'Fórmula'!F102,4)),IF(INDEX(properties!A$1:CB$87,'Fórmula'!H102,4)=0,10^6,INDEX(properties!A$1:CB$87,'Fórmula'!H102,4)),IF(INDEX(properties!A$1:CB$87,'Fórmula'!J102,4)=0,10^6,INDEX(properties!A$1:CB$87,'Fórmula'!J102,4)))</f>
        <v>8</v>
      </c>
      <c r="M102" s="102">
        <f t="shared" si="2"/>
        <v>5</v>
      </c>
      <c r="N102" s="103">
        <f t="array" ref="N102">(('Fórmula'!C102)/('Fórmula'!C102+'Fórmula'!E102+'Fórmula'!G102+'Fórmula'!I102+'Fórmula'!K102))*(INDEX(properties!A$1:CB$87,'Fórmula'!B102,5))+(('Fórmula'!E102)/('Fórmula'!C102+'Fórmula'!E102+'Fórmula'!G102+'Fórmula'!I102+'Fórmula'!K102))*(INDEX(properties!A$1:CB$87,'Fórmula'!D102,5))+(('Fórmula'!G102)/('Fórmula'!C102+'Fórmula'!E102+'Fórmula'!G102+'Fórmula'!I102+'Fórmula'!K102))*(INDEX(properties!A$1:CB$87,'Fórmula'!F102,5))+(('Fórmula'!I102)/('Fórmula'!C102+'Fórmula'!E102+'Fórmula'!G102+'Fórmula'!I102+'Fórmula'!K102))*(INDEX(properties!A$1:CB$87,'Fórmula'!H102,5))+(('Fórmula'!K102)/('Fórmula'!C102+'Fórmula'!E102+'Fórmula'!G102+'Fórmula'!I102+'Fórmula'!K102))*(INDEX(properties!A$1:CB$87,'Fórmula'!J102,5))</f>
        <v>2.428571429</v>
      </c>
      <c r="O102" s="103">
        <f t="array" ref="O102">'Fórmula'!C102*(INDEX(properties!A$1:CB$87,'Fórmula'!B102,5))+'Fórmula'!E102*(INDEX(properties!A$1:CB$87,'Fórmula'!D102,5))+'Fórmula'!G102*(INDEX(properties!A$1:CB$87,'Fórmula'!F102,5))+'Fórmula'!I102*(INDEX(properties!A$1:CB$87,'Fórmula'!H102,5))+'Fórmula'!K102*(INDEX(properties!A$1:CB$87,'Fórmula'!J102,5))</f>
        <v>17</v>
      </c>
      <c r="P102" s="103">
        <f t="array" ref="P102">VARP(IF(INDEX(properties!A$1:CB$87,'Fórmula'!B102,5)&lt;&gt;"",INDEX(properties!A$1:CB$87,'Fórmula'!B102,5)),IF(INDEX(properties!A$1:CB$87,'Fórmula'!D102,5)&lt;&gt;"",INDEX(properties!A$1:CB$87,'Fórmula'!D102,5)),IF(INDEX(properties!A$1:CB$87,'Fórmula'!F102,5)&lt;&gt;"",INDEX(properties!A$1:CB$87,'Fórmula'!F102,5)),IF(INDEX(properties!A$1:CB$87,'Fórmula'!H102,5)&lt;&gt;"",INDEX(properties!A$1:CB$87,'Fórmula'!H102,5)),IF(INDEX(properties!A$1:CB$87,'Fórmula'!J102,5)&lt;&gt;"",INDEX(properties!A$1:CB$87,'Fórmula'!J102,5)))</f>
        <v>1.84</v>
      </c>
      <c r="Q102" s="103">
        <f t="array" ref="Q102">MAX(INDEX(properties!A$1:CB$87,'Fórmula'!B102,5),INDEX(properties!A$1:CB$87,'Fórmula'!D102,5),INDEX(properties!A$1:CB$87,'Fórmula'!F102,5),INDEX(properties!A$1:CB$87,'Fórmula'!H102,5),INDEX(properties!A$1:CB$87,'Fórmula'!J102,5))</f>
        <v>3</v>
      </c>
      <c r="R102" s="103">
        <f t="array" ref="R102">MIN(IF(INDEX(properties!A$1:CB$87,'Fórmula'!B102,5)=0,10^6,INDEX(properties!A$1:CB$87,'Fórmula'!B102,5)),IF(INDEX(properties!A$1:CB$87,'Fórmula'!D102,5)=0,10^6,INDEX(properties!A$1:CB$87,'Fórmula'!D102,5)),IF(INDEX(properties!A$1:CB$87,'Fórmula'!F102,5)=0,10^6,INDEX(properties!A$1:CB$87,'Fórmula'!F102,5)),IF(INDEX(properties!A$1:CB$87,'Fórmula'!H102,5)=0,10^6,INDEX(properties!A$1:CB$87,'Fórmula'!H102,5)),IF(INDEX(properties!A$1:CB$87,'Fórmula'!J102,5)=0,10^6,INDEX(properties!A$1:CB$87,'Fórmula'!J102,5)))</f>
        <v>2</v>
      </c>
      <c r="S102" s="103">
        <f t="shared" si="3"/>
        <v>1</v>
      </c>
      <c r="T102" s="104">
        <f t="array" ref="T102">(('Fórmula'!C102)/('Fórmula'!C102+'Fórmula'!E102+'Fórmula'!G102+'Fórmula'!I102+'Fórmula'!K102))*(INDEX(properties!A$1:CB$87,'Fórmula'!B102,6))+(('Fórmula'!E102)/('Fórmula'!C102+'Fórmula'!E102+'Fórmula'!G102+'Fórmula'!I102+'Fórmula'!K102))*(INDEX(properties!A$1:CB$87,'Fórmula'!D102,6))+(('Fórmula'!G102)/('Fórmula'!C102+'Fórmula'!E102+'Fórmula'!G102+'Fórmula'!I102+'Fórmula'!K102))*(INDEX(properties!A$1:CB$87,'Fórmula'!F102,6))+(('Fórmula'!I102)/('Fórmula'!C102+'Fórmula'!E102+'Fórmula'!G102+'Fórmula'!I102+'Fórmula'!K102))*(INDEX(properties!A$1:CB$87,'Fórmula'!H102,6))+(('Fórmula'!K102)/('Fórmula'!C102+'Fórmula'!E102+'Fórmula'!G102+'Fórmula'!I102+'Fórmula'!K102))*(INDEX(properties!A$1:CB$87,'Fórmula'!J102,6))</f>
        <v>13.14285714</v>
      </c>
      <c r="U102" s="104">
        <f t="array" ref="U102">'Fórmula'!C102*(INDEX(properties!A$1:CB$87,'Fórmula'!B102,6))+'Fórmula'!E102*(INDEX(properties!A$1:CB$87,'Fórmula'!D102,6))+'Fórmula'!G102*(INDEX(properties!A$1:CB$87,'Fórmula'!F102,6))+'Fórmula'!I102*(INDEX(properties!A$1:CB$87,'Fórmula'!H102,6))+'Fórmula'!K102*(INDEX(properties!A$1:CB$87,'Fórmula'!J102,6))</f>
        <v>92</v>
      </c>
      <c r="V102" s="103">
        <f t="array" ref="V102">VARP(IF(INDEX(properties!A$1:CB$87,'Fórmula'!B102,6)&lt;&gt;"",INDEX(properties!A$1:CB$87,'Fórmula'!B102,6)),IF(INDEX(properties!A$1:CB$87,'Fórmula'!D102,6)&lt;&gt;"",INDEX(properties!A$1:CB$87,'Fórmula'!D102,6)),IF(INDEX(properties!A$1:CB$87,'Fórmula'!F102,6)&lt;&gt;"",INDEX(properties!A$1:CB$87,'Fórmula'!F102,6)),IF(INDEX(properties!A$1:CB$87,'Fórmula'!H102,6)&lt;&gt;"",INDEX(properties!A$1:CB$87,'Fórmula'!H102,6)),IF(INDEX(properties!A$1:CB$87,'Fórmula'!J102,6)&lt;&gt;"",INDEX(properties!A$1:CB$87,'Fórmula'!J102,6)))</f>
        <v>47.36</v>
      </c>
      <c r="W102" s="104">
        <f t="array" ref="W102">MAX(INDEX(properties!A$1:CB$87,'Fórmula'!B102,6),INDEX(properties!A$1:CB$87,'Fórmula'!D102,6),INDEX(properties!A$1:CB$87,'Fórmula'!F102,6),INDEX(properties!A$1:CB$87,'Fórmula'!H102,4),INDEX(properties!A$1:CB$87,'Fórmula'!J102,6))</f>
        <v>16</v>
      </c>
      <c r="X102" s="104">
        <f t="array" ref="X102">MIN(IF(INDEX(properties!A$1:CB$87,'Fórmula'!B102,6)=0,10^6,INDEX(properties!A$1:CB$87,'Fórmula'!B102,6)),IF(INDEX(properties!A$1:CB$87,'Fórmula'!D102,6)=0,10^6,INDEX(properties!A$1:CB$87,'Fórmula'!D102,6)),IF(INDEX(properties!A$1:CB$87,'Fórmula'!F102,6)=0,10^6,INDEX(properties!A$1:CB$87,'Fórmula'!F102,6)),IF(INDEX(properties!A$1:CB$87,'Fórmula'!H102,6)=0,10^6,INDEX(properties!A$1:CB$87,'Fórmula'!H102,6)),IF(INDEX(properties!A$1:CB$87,'Fórmula'!J102,6)=0,10^6,INDEX(properties!A$1:CB$87,'Fórmula'!J102,6)))</f>
        <v>2</v>
      </c>
      <c r="Y102" s="104">
        <f t="shared" si="4"/>
        <v>14</v>
      </c>
      <c r="Z102" s="105">
        <f t="array" ref="Z102">(('Fórmula'!C102)/('Fórmula'!C102+'Fórmula'!E102+'Fórmula'!G102+'Fórmula'!I102+'Fórmula'!K102))*(INDEX(properties!A$1:CB$87,'Fórmula'!B102,9))+(('Fórmula'!E102)/('Fórmula'!C102+'Fórmula'!E102+'Fórmula'!G102+'Fórmula'!I102+'Fórmula'!K102))*(INDEX(properties!A$1:CB$87,'Fórmula'!D102,9))+(('Fórmula'!G102)/('Fórmula'!C102+'Fórmula'!E102+'Fórmula'!G102+'Fórmula'!I102+'Fórmula'!K102))*(INDEX(properties!A$1:CB$87,'Fórmula'!F102,9))+(('Fórmula'!I102)/('Fórmula'!C102+'Fórmula'!E102+'Fórmula'!G102+'Fórmula'!I102+'Fórmula'!K102))*(INDEX(properties!A$1:CB$87,'Fórmula'!H102,9))+(('Fórmula'!K102)/('Fórmula'!C102+'Fórmula'!E102+'Fórmula'!G102+'Fórmula'!I102+'Fórmula'!K102))*(INDEX(properties!A$1:CB$87,'Fórmula'!J102,9))</f>
        <v>80.28571429</v>
      </c>
      <c r="AA102" s="105">
        <f t="array" ref="AA102">'Fórmula'!C102*(INDEX(properties!A$1:CB$87,'Fórmula'!B102,9))+'Fórmula'!E102*(INDEX(properties!A$1:CB$87,'Fórmula'!D102,9))+'Fórmula'!G102*(INDEX(properties!A$1:CB$87,'Fórmula'!F102,9))+'Fórmula'!I102*(INDEX(properties!A$1:CB$87,'Fórmula'!H102,9))+'Fórmula'!K102*(INDEX(properties!A$1:CB$87,'Fórmula'!J102,9))</f>
        <v>562</v>
      </c>
      <c r="AB102" s="105">
        <f t="array" ref="AB102">VARP(IF(INDEX(properties!A$1:CB$87,'Fórmula'!B102,9)&lt;&gt;"",INDEX(properties!A$1:CB$87,'Fórmula'!B102,9)),IF(INDEX(properties!A$1:CB$87,'Fórmula'!D102,9)&lt;&gt;"",INDEX(properties!A$1:CB$87,'Fórmula'!D102,9)),IF(INDEX(properties!A$1:CB$87,'Fórmula'!F102,9)&lt;&gt;"",INDEX(properties!A$1:CB$87,'Fórmula'!F102,9)),IF(INDEX(properties!A$1:CB$87,'Fórmula'!H102,9)&lt;&gt;"",INDEX(properties!A$1:CB$87,'Fórmula'!H102,9)),IF(INDEX(properties!A$1:CB$87,'Fórmula'!J102,9)&lt;&gt;"",INDEX(properties!A$1:CB$87,'Fórmula'!J102,9)))</f>
        <v>1425.04</v>
      </c>
      <c r="AC102" s="105">
        <f t="array" ref="AC102">MAX(INDEX(properties!A$1:CB$87,'Fórmula'!B102,9),INDEX(properties!A$1:CB$87,'Fórmula'!D102,9),INDEX(properties!A$1:CB$87,'Fórmula'!F102,9),INDEX(properties!A$1:CB$87,'Fórmula'!H102,9),INDEX(properties!A$1:CB$87,'Fórmula'!J102,9))</f>
        <v>87</v>
      </c>
      <c r="AD102" s="105">
        <f t="array" ref="AD102">MIN(IF(INDEX(properties!A$1:CB$87,'Fórmula'!B102,9)=0,10^6,INDEX(properties!A$1:CB$87,'Fórmula'!B102,9)),IF(INDEX(properties!A$1:CB$87,'Fórmula'!D102,9)=0,10^6,INDEX(properties!A$1:CB$87,'Fórmula'!D102,9)),IF(INDEX(properties!A$1:CB$87,'Fórmula'!F102,9)=0,10^6,INDEX(properties!A$1:CB$87,'Fórmula'!F102,9)),IF(INDEX(properties!A$1:CB$87,'Fórmula'!H102,9)=0,10^6,INDEX(properties!A$1:CB$87,'Fórmula'!H102,9)),IF(INDEX(properties!A$1:CB$87,'Fórmula'!J102,9)=0,10^6,INDEX(properties!A$1:CB$87,'Fórmula'!J102,9)))</f>
        <v>68</v>
      </c>
      <c r="AE102" s="105">
        <f t="shared" si="5"/>
        <v>19</v>
      </c>
      <c r="AF102" s="106">
        <f t="array" ref="AF102">(('Fórmula'!C102)/('Fórmula'!C102+'Fórmula'!E102+'Fórmula'!G102+'Fórmula'!I102+'Fórmula'!K102))*(INDEX(properties!A$1:CB$87,'Fórmula'!B102,10))+(('Fórmula'!E102)/('Fórmula'!C102+'Fórmula'!E102+'Fórmula'!G102+'Fórmula'!I102+'Fórmula'!K102))*(INDEX(properties!A$1:CB$87,'Fórmula'!D102,10))+(('Fórmula'!G102)/('Fórmula'!C102+'Fórmula'!E102+'Fórmula'!G102+'Fórmula'!I102+'Fórmula'!K102))*(INDEX(properties!A$1:CB$87,'Fórmula'!F102,10))+(('Fórmula'!I102)/('Fórmula'!C102+'Fórmula'!E102+'Fórmula'!G102+'Fórmula'!I102+'Fórmula'!K102))*(INDEX(properties!A$1:CB$87,'Fórmula'!H102,10))+(('Fórmula'!K102)/('Fórmula'!C102+'Fórmula'!E102+'Fórmula'!G102+'Fórmula'!I102+'Fórmula'!K102))*(INDEX(properties!A$1:CB$87,'Fórmula'!J102,10))</f>
        <v>5.714285714</v>
      </c>
      <c r="AG102" s="106">
        <f t="array" ref="AG102">'Fórmula'!C102*(INDEX(properties!A$1:CB$87,'Fórmula'!B102,10))+'Fórmula'!E102*(INDEX(properties!A$1:CB$87,'Fórmula'!D102,10))+'Fórmula'!G102*(INDEX(properties!A$1:CB$87,'Fórmula'!F102,10))+'Fórmula'!I102*(INDEX(properties!A$1:CB$87,'Fórmula'!H102,10))+'Fórmula'!K102*(INDEX(properties!A$1:CB$87,'Fórmula'!J102,10))</f>
        <v>40</v>
      </c>
      <c r="AH102" s="106">
        <f t="array" ref="AH102">VARP(IF(INDEX(properties!A$1:CB$87,'Fórmula'!B102,10)&lt;&gt;"",INDEX(properties!A$1:CB$87,'Fórmula'!B102,10)),IF(INDEX(properties!A$1:CB$87,'Fórmula'!D102,10)&lt;&gt;"",INDEX(properties!A$1:CB$87,'Fórmula'!D102,10)),IF(INDEX(properties!A$1:CB$87,'Fórmula'!F102,10)&lt;&gt;"",INDEX(properties!A$1:CB$87,'Fórmula'!F102,10)),IF(INDEX(properties!A$1:CB$87,'Fórmula'!H102,10)&lt;&gt;"",INDEX(properties!A$1:CB$87,'Fórmula'!H102,10)),IF(INDEX(properties!A$1:CB$87,'Fórmula'!J102,10)&lt;&gt;"",INDEX(properties!A$1:CB$87,'Fórmula'!J102,10)))</f>
        <v>7.76</v>
      </c>
      <c r="AI102" s="106">
        <f t="array" ref="AI102">MAX(INDEX(properties!A$1:CB$87,'Fórmula'!B102,10),INDEX(properties!A$1:CB$87,'Fórmula'!D102,10),INDEX(properties!A$1:CB$87,'Fórmula'!F102,10),INDEX(properties!A$1:CB$87,'Fórmula'!H102,10),INDEX(properties!A$1:CB$87,'Fórmula'!J102,10))</f>
        <v>7</v>
      </c>
      <c r="AJ102" s="106">
        <f t="array" ref="AJ102">MIN(IF(INDEX(properties!A$1:CB$87,'Fórmula'!B102,10)=0,10^6,INDEX(properties!A$1:CB$87,'Fórmula'!B102,10)),IF(INDEX(properties!A$1:CB$87,'Fórmula'!D102,10)=0,10^6,INDEX(properties!A$1:CB$87,'Fórmula'!D102,10)),IF(INDEX(properties!A$1:CB$87,'Fórmula'!F102,10)=0,10^6,INDEX(properties!A$1:CB$87,'Fórmula'!F102,10)),IF(INDEX(properties!A$1:CB$87,'Fórmula'!H102,10)=0,10^6,INDEX(properties!A$1:CB$87,'Fórmula'!H102,10)),IF(INDEX(properties!A$1:CB$87,'Fórmula'!J102,10)=0,10^6,INDEX(properties!A$1:CB$87,'Fórmula'!J102,10)))</f>
        <v>2</v>
      </c>
      <c r="AK102" s="106">
        <f t="shared" si="6"/>
        <v>5</v>
      </c>
      <c r="AL102" s="107">
        <f t="array" ref="AL102">(('Fórmula'!C102)/('Fórmula'!C102+'Fórmula'!E102+'Fórmula'!G102+'Fórmula'!I102+'Fórmula'!K102))*(INDEX(properties!A$1:CB$87,'Fórmula'!B102,11))+(('Fórmula'!E102)/('Fórmula'!C102+'Fórmula'!E102+'Fórmula'!G102+'Fórmula'!I102+'Fórmula'!K102))*(INDEX(properties!A$1:CB$87,'Fórmula'!D102,11))+(('Fórmula'!G102)/('Fórmula'!C102+'Fórmula'!E102+'Fórmula'!G102+'Fórmula'!I102+'Fórmula'!K102))*(INDEX(properties!A$1:CB$87,'Fórmula'!F102,11))+(('Fórmula'!I102)/('Fórmula'!C102+'Fórmula'!E102+'Fórmula'!G102+'Fórmula'!I102+'Fórmula'!K102))*(INDEX(properties!A$1:CB$87,'Fórmula'!H102,11))+(('Fórmula'!K102)/('Fórmula'!C102+'Fórmula'!E102+'Fórmula'!G102+'Fórmula'!I102+'Fórmula'!K102))*(INDEX(properties!A$1:CB$87,'Fórmula'!J102,11))</f>
        <v>2</v>
      </c>
      <c r="AM102" s="107">
        <f t="array" ref="AM102">'Fórmula'!C102*(INDEX(properties!A$1:CB$87,'Fórmula'!B102,11))+'Fórmula'!E102*(INDEX(properties!A$1:CB$87,'Fórmula'!D102,11))+'Fórmula'!G102*(INDEX(properties!A$1:CB$87,'Fórmula'!F102,11))+'Fórmula'!I102*(INDEX(properties!A$1:CB$87,'Fórmula'!H102,11))+'Fórmula'!K102*(INDEX(properties!A$1:CB$87,'Fórmula'!J102,11))</f>
        <v>14</v>
      </c>
      <c r="AN102" s="107">
        <f t="array" ref="AN102">VARP(IF(INDEX(properties!A$1:CB$87,'Fórmula'!B102,11)&lt;&gt;"",INDEX(properties!A$1:CB$87,'Fórmula'!B102,11)),IF(INDEX(properties!A$1:CB$87,'Fórmula'!D102,11)&lt;&gt;"",INDEX(properties!A$1:CB$87,'Fórmula'!D102,11)),IF(INDEX(properties!A$1:CB$87,'Fórmula'!F102,11)&lt;&gt;"",INDEX(properties!A$1:CB$87,'Fórmula'!F102,11)),IF(INDEX(properties!A$1:CB$87,'Fórmula'!H102,11)&lt;&gt;"",INDEX(properties!A$1:CB$87,'Fórmula'!H102,11)),IF(INDEX(properties!A$1:CB$87,'Fórmula'!J102,11)&lt;&gt;"",INDEX(properties!A$1:CB$87,'Fórmula'!J102,11)))</f>
        <v>0.96</v>
      </c>
      <c r="AO102" s="107">
        <f t="array" ref="AO102">MAX(INDEX(properties!A$1:CB$87,'Fórmula'!B102,11),INDEX(properties!A$1:CB$87,'Fórmula'!D102,11),INDEX(properties!A$1:CB$87,'Fórmula'!F102,11),INDEX(properties!A$1:CB$87,'Fórmula'!H102,11),INDEX(properties!A$1:CB$87,'Fórmula'!J102,11))</f>
        <v>2</v>
      </c>
      <c r="AP102" s="107">
        <f t="array" ref="AP102">MIN(IF('Fórmula'!B102=87,10^6,INDEX(properties!A$1:CB$87,'Fórmula'!B102,11)),IF(('Fórmula'!D102)=87,10^6,INDEX(properties!A$1:CB$87,'Fórmula'!D102,11)),IF(('Fórmula'!F102)=87,10^6,INDEX(properties!A$1:CB$87,'Fórmula'!F102,11)),IF(('Fórmula'!H102)=87,10^6,INDEX(properties!A$1:CB$87,'Fórmula'!H102,11)),IF('Fórmula'!J102=87,10^6,INDEX(properties!A$1:CB$87,'Fórmula'!J102,11)))</f>
        <v>2</v>
      </c>
      <c r="AQ102" s="107">
        <f t="shared" si="7"/>
        <v>0</v>
      </c>
      <c r="AR102" s="108">
        <f t="array" ref="AR102">(('Fórmula'!C102)/('Fórmula'!C102+'Fórmula'!E102+'Fórmula'!G102+'Fórmula'!I102+'Fórmula'!K102))*(INDEX(properties!A$1:CB$87,'Fórmula'!B102,12))+(('Fórmula'!E102)/('Fórmula'!C102+'Fórmula'!E102+'Fórmula'!G102+'Fórmula'!I102+'Fórmula'!K102))*(INDEX(properties!A$1:CB$87,'Fórmula'!D102,12))+(('Fórmula'!G102)/('Fórmula'!C102+'Fórmula'!E102+'Fórmula'!G102+'Fórmula'!I102+'Fórmula'!K102))*(INDEX(properties!A$1:CB$87,'Fórmula'!F102,12))+(('Fórmula'!I102)/('Fórmula'!C102+'Fórmula'!E102+'Fórmula'!G102+'Fórmula'!I102+'Fórmula'!K102))*(INDEX(properties!A$1:CB$87,'Fórmula'!H102,12))+(('Fórmula'!K102)/('Fórmula'!C102+'Fórmula'!E102+'Fórmula'!G102+'Fórmula'!I102+'Fórmula'!K102))*(INDEX(properties!A$1:CB$87,'Fórmula'!J102,12))</f>
        <v>2.571428571</v>
      </c>
      <c r="AS102" s="108">
        <f t="array" ref="AS102">'Fórmula'!C102*(INDEX(properties!A$1:CB$87,'Fórmula'!B102,12))+'Fórmula'!E102*(INDEX(properties!A$1:CB$87,'Fórmula'!D102,12))+'Fórmula'!G102*(INDEX(properties!A$1:CB$87,'Fórmula'!F102,12))+'Fórmula'!I102*(INDEX(properties!A$1:CB$87,'Fórmula'!H102,12))+'Fórmula'!K102*(INDEX(properties!A$1:CB$87,'Fórmula'!J102,12))</f>
        <v>18</v>
      </c>
      <c r="AT102" s="108">
        <f t="array" ref="AT102">VARP(IF(INDEX(properties!A$1:CB$87,'Fórmula'!B102,12)&lt;&gt;"",INDEX(properties!A$1:CB$87,'Fórmula'!B102,12)),IF(INDEX(properties!A$1:CB$87,'Fórmula'!D102,12)&lt;&gt;"",INDEX(properties!A$1:CB$87,'Fórmula'!D102,12)),IF(INDEX(properties!A$1:CB$87,'Fórmula'!F102,12)&lt;&gt;"",INDEX(properties!A$1:CB$87,'Fórmula'!F102,12)),IF(INDEX(properties!A$1:CB$87,'Fórmula'!H102,12)&lt;&gt;"",INDEX(properties!A$1:CB$87,'Fórmula'!H102,12)),IF(INDEX(properties!A$1:CB$87,'Fórmula'!J102,12)&lt;&gt;"",INDEX(properties!A$1:CB$87,'Fórmula'!J102,12)))</f>
        <v>2.4</v>
      </c>
      <c r="AU102" s="108">
        <f t="array" ref="AU102">MAX(INDEX(properties!A$1:CB$87,'Fórmula'!B102,12),INDEX(properties!A$1:CB$87,'Fórmula'!D102,12),INDEX(properties!A$1:CB$87,'Fórmula'!F102,12),INDEX(properties!A$1:CB$87,'Fórmula'!H102,12),INDEX(properties!A$1:CB$87,'Fórmula'!J102,12))</f>
        <v>4</v>
      </c>
      <c r="AV102" s="108">
        <f t="array" ref="AV102">MIN(IF('Fórmula'!B102=87,10^6,INDEX(properties!A$1:CB$87,'Fórmula'!B102,12)),IF(('Fórmula'!D102)=87,10^6,INDEX(properties!A$1:CB$87,'Fórmula'!D102,12)),IF(('Fórmula'!F102)=87,10^6,INDEX(properties!A$1:CB$87,'Fórmula'!F102,12)),IF(('Fórmula'!H102)=87,10^6,INDEX(properties!A$1:CB$87,'Fórmula'!H102,12)),IF('Fórmula'!J102=87,10^6,INDEX(properties!A$1:CB$87,'Fórmula'!J102,12)))</f>
        <v>0</v>
      </c>
      <c r="AW102" s="108">
        <f t="shared" si="8"/>
        <v>4</v>
      </c>
      <c r="AX102" s="109">
        <f t="array" ref="AX102">(('Fórmula'!C102)/('Fórmula'!C102+'Fórmula'!E102+'Fórmula'!G102+'Fórmula'!I102+'Fórmula'!K102))*(INDEX(properties!A$1:CB$87,'Fórmula'!B102,13))+(('Fórmula'!E102)/('Fórmula'!C102+'Fórmula'!E102+'Fórmula'!G102+'Fórmula'!I102+'Fórmula'!K102))*(INDEX(properties!A$1:CB$87,'Fórmula'!D102,13))+(('Fórmula'!G102)/('Fórmula'!C102+'Fórmula'!E102+'Fórmula'!G102+'Fórmula'!I102+'Fórmula'!K102))*(INDEX(properties!A$1:CB$87,'Fórmula'!F102,13))+(('Fórmula'!I102)/('Fórmula'!C102+'Fórmula'!E102+'Fórmula'!G102+'Fórmula'!I102+'Fórmula'!K102))*(INDEX(properties!A$1:CB$87,'Fórmula'!H102,13))+(('Fórmula'!K102)/('Fórmula'!C102+'Fórmula'!E102+'Fórmula'!G102+'Fórmula'!I102+'Fórmula'!K102))*(INDEX(properties!A$1:CB$87,'Fórmula'!J102,13))</f>
        <v>0</v>
      </c>
      <c r="AY102" s="109">
        <f t="array" ref="AY102">'Fórmula'!C102*(INDEX(properties!A$1:CB$87,'Fórmula'!B102,13))+'Fórmula'!E102*(INDEX(properties!A$1:CB$87,'Fórmula'!D102,13))+'Fórmula'!G102*(INDEX(properties!A$1:CB$87,'Fórmula'!F102,13))+'Fórmula'!I102*(INDEX(properties!A$1:CB$87,'Fórmula'!H102,13))+'Fórmula'!K102*(INDEX(properties!A$1:CB$87,'Fórmula'!J102,13))</f>
        <v>0</v>
      </c>
      <c r="AZ102" s="109">
        <f t="array" ref="AZ102">VARP(IF(INDEX(properties!A$1:CB$87,'Fórmula'!B102,13)&lt;&gt;"",INDEX(properties!A$1:CB$87,'Fórmula'!B102,13)),IF(INDEX(properties!A$1:CB$87,'Fórmula'!D102,13)&lt;&gt;"",INDEX(properties!A$1:CB$87,'Fórmula'!D102,13)),IF(INDEX(properties!A$1:CB$87,'Fórmula'!F102,13)&lt;&gt;"",INDEX(properties!A$1:CB$87,'Fórmula'!F102,13)),IF(INDEX(properties!A$1:CB$87,'Fórmula'!H102,13)&lt;&gt;"",INDEX(properties!A$1:CB$87,'Fórmula'!H102,13)),IF(INDEX(properties!A$1:CB$87,'Fórmula'!J102,13)&lt;&gt;"",INDEX(properties!A$1:CB$87,'Fórmula'!J102,13)))</f>
        <v>0</v>
      </c>
      <c r="BA102" s="109">
        <f t="array" ref="BA102">MAX(INDEX(properties!A$1:CB$87,'Fórmula'!B102,13),INDEX(properties!A$1:CB$87,'Fórmula'!D102,13),INDEX(properties!A$1:CB$87,'Fórmula'!F102,13),INDEX(properties!A$1:CB$87,'Fórmula'!H102,13),INDEX(properties!A$1:CB$87,'Fórmula'!J102,13))</f>
        <v>0</v>
      </c>
      <c r="BB102" s="109">
        <f t="array" ref="BB102">MIN(IF('Fórmula'!B102=87,10^6,INDEX(properties!A$1:CB$87,'Fórmula'!B102,13)),IF(('Fórmula'!D102)=87,10^6,INDEX(properties!A$1:CB$87,'Fórmula'!D102,13)),IF(('Fórmula'!F102)=87,10^6,INDEX(properties!A$1:CB$87,'Fórmula'!F102,13)),IF(('Fórmula'!H102)=87,10^6,INDEX(properties!A$1:CB$87,'Fórmula'!H102,13)),IF('Fórmula'!J102=87,10^6,INDEX(properties!A$1:CB$87,'Fórmula'!J102,13)))</f>
        <v>0</v>
      </c>
      <c r="BC102" s="109">
        <f t="shared" si="9"/>
        <v>0</v>
      </c>
      <c r="BD102" s="110">
        <f t="array" ref="BD102">(('Fórmula'!C102)/('Fórmula'!C102+'Fórmula'!E102+'Fórmula'!G102+'Fórmula'!I102+'Fórmula'!K102))*(INDEX(properties!A$1:CB$87,'Fórmula'!B102,14))+(('Fórmula'!E102)/('Fórmula'!C102+'Fórmula'!E102+'Fórmula'!G102+'Fórmula'!I102+'Fórmula'!K102))*(INDEX(properties!A$1:CB$87,'Fórmula'!D102,14))+(('Fórmula'!G102)/('Fórmula'!C102+'Fórmula'!E102+'Fórmula'!G102+'Fórmula'!I102+'Fórmula'!K102))*(INDEX(properties!A$1:CB$87,'Fórmula'!F102,14))+(('Fórmula'!I102)/('Fórmula'!C102+'Fórmula'!E102+'Fórmula'!G102+'Fórmula'!I102+'Fórmula'!K102))*(INDEX(properties!A$1:CB$87,'Fórmula'!H102,14))+(('Fórmula'!K102)/('Fórmula'!C102+'Fórmula'!E102+'Fórmula'!G102+'Fórmula'!I102+'Fórmula'!K102))*(INDEX(properties!A$1:CB$87,'Fórmula'!J102,14))</f>
        <v>0</v>
      </c>
      <c r="BE102" s="110">
        <f t="array" ref="BE102">'Fórmula'!C102*(INDEX(properties!A$1:CB$87,'Fórmula'!B102,14))+'Fórmula'!E102*(INDEX(properties!A$1:CB$87,'Fórmula'!D102,14))+'Fórmula'!G102*(INDEX(properties!A$1:CB$87,'Fórmula'!F102,14))+'Fórmula'!I102*(INDEX(properties!A$1:CB$87,'Fórmula'!H102,14))+'Fórmula'!K102*(INDEX(properties!A$1:CB$87,'Fórmula'!J102,14))</f>
        <v>0</v>
      </c>
      <c r="BF102" s="110">
        <f t="array" ref="BF102">VARP(IF(INDEX(properties!A$1:CB$87,'Fórmula'!B102,14)&lt;&gt;"",INDEX(properties!A$1:CB$87,'Fórmula'!B102,14)),IF(INDEX(properties!A$1:CB$87,'Fórmula'!D102,14)&lt;&gt;"",INDEX(properties!A$1:CB$87,'Fórmula'!D102,14)),IF(INDEX(properties!A$1:CB$87,'Fórmula'!F102,14)&lt;&gt;"",INDEX(properties!A$1:CB$87,'Fórmula'!F102,14)),IF(INDEX(properties!A$1:CB$87,'Fórmula'!H102,14)&lt;&gt;"",INDEX(properties!A$1:CB$87,'Fórmula'!H102,14)),IF(INDEX(properties!A$1:CB$87,'Fórmula'!J102,14)&lt;&gt;"",INDEX(properties!A$1:CB$87,'Fórmula'!J102,14)))</f>
        <v>0</v>
      </c>
      <c r="BG102" s="110">
        <f t="array" ref="BG102">MAX(INDEX(properties!A$1:CB$87,'Fórmula'!B102,14),INDEX(properties!A$1:CB$87,'Fórmula'!D102,14),INDEX(properties!A$1:CB$87,'Fórmula'!F102,14),INDEX(properties!A$1:CB$87,'Fórmula'!H102,14),INDEX(properties!A$1:CB$87,'Fórmula'!J102,14))</f>
        <v>0</v>
      </c>
      <c r="BH102" s="110">
        <f t="array" ref="BH102">MIN(IF('Fórmula'!B102=87,10^6,INDEX(properties!A$1:CB$87,'Fórmula'!B102,14)),IF(('Fórmula'!D102)=87,10^6,INDEX(properties!A$1:CB$87,'Fórmula'!D102,14)),IF(('Fórmula'!F102)=87,10^6,INDEX(properties!A$1:CB$87,'Fórmula'!F102,14)),IF(('Fórmula'!H102)=87,10^6,INDEX(properties!A$1:CB$87,'Fórmula'!H102,14)),IF('Fórmula'!J102=87,10^6,INDEX(properties!A$1:CB$87,'Fórmula'!J102,14)))</f>
        <v>0</v>
      </c>
      <c r="BI102" s="110">
        <f t="shared" si="10"/>
        <v>0</v>
      </c>
      <c r="BJ102" s="111">
        <f t="array" ref="BJ102">(('Fórmula'!C102)/('Fórmula'!C102+'Fórmula'!E102+'Fórmula'!G102+'Fórmula'!I102+'Fórmula'!K102))*(INDEX(properties!A$1:CB$87,'Fórmula'!B102,19))+(('Fórmula'!E102)/('Fórmula'!C102+'Fórmula'!E102+'Fórmula'!G102+'Fórmula'!I102+'Fórmula'!K102))*(INDEX(properties!A$1:CB$87,'Fórmula'!D102,19))+(('Fórmula'!G102)/('Fórmula'!C102+'Fórmula'!E102+'Fórmula'!G102+'Fórmula'!I102+'Fórmula'!K102))*(INDEX(properties!A$1:CB$87,'Fórmula'!F102,19))+(('Fórmula'!I102)/('Fórmula'!C102+'Fórmula'!E102+'Fórmula'!G102+'Fórmula'!I102+'Fórmula'!K102))*(INDEX(properties!A$1:CB$87,'Fórmula'!H102,19))+(('Fórmula'!K102)/('Fórmula'!C102+'Fórmula'!E102+'Fórmula'!G102+'Fórmula'!I102+'Fórmula'!K102))*(INDEX(properties!A$1:CB$87,'Fórmula'!J102,19))</f>
        <v>4.571428571</v>
      </c>
      <c r="BK102" s="111">
        <f t="array" ref="BK102">'Fórmula'!C102*(INDEX(properties!A$1:CB$87,'Fórmula'!B102,19))+'Fórmula'!E102*(INDEX(properties!A$1:CB$87,'Fórmula'!D102,19))+'Fórmula'!G102*(INDEX(properties!A$1:CB$87,'Fórmula'!F102,19))+'Fórmula'!I102*(INDEX(properties!A$1:CB$87,'Fórmula'!H102,19))+'Fórmula'!K102*(INDEX(properties!A$1:CB$87,'Fórmula'!J102,19))</f>
        <v>32</v>
      </c>
      <c r="BL102" s="111">
        <f t="array" ref="BL102">VARP(IF(INDEX(properties!A$1:CB$87,'Fórmula'!B102,19)&lt;&gt;"",INDEX(properties!A$1:CB$87,'Fórmula'!B102,19)),IF(INDEX(properties!A$1:CB$87,'Fórmula'!D102,19)&lt;&gt;"",INDEX(properties!A$1:CB$87,'Fórmula'!D102,19)),IF(INDEX(properties!A$1:CB$87,'Fórmula'!F102,19)&lt;&gt;"",INDEX(properties!A$1:CB$87,'Fórmula'!F102,19)),IF(INDEX(properties!A$1:CB$87,'Fórmula'!H102,19)&lt;&gt;"",INDEX(properties!A$1:CB$87,'Fórmula'!H102,19)),IF(INDEX(properties!A$1:CB$87,'Fórmula'!J102,19)&lt;&gt;"",INDEX(properties!A$1:CB$87,'Fórmula'!J102,19)))</f>
        <v>4.96</v>
      </c>
      <c r="BM102" s="111">
        <f t="array" ref="BM102">MAX(INDEX(properties!A$1:CB$87,'Fórmula'!B102,19),INDEX(properties!A$1:CB$87,'Fórmula'!D102,19),INDEX(properties!A$1:CB$87,'Fórmula'!F102,19),INDEX(properties!A$1:CB$87,'Fórmula'!H102,19),INDEX(properties!A$1:CB$87,'Fórmula'!J102,19))</f>
        <v>6</v>
      </c>
      <c r="BN102" s="111">
        <f t="array" ref="BN102">MIN(IF(INDEX(properties!A$1:CB$87,'Fórmula'!B102,19)=0,10^6,INDEX(properties!A$1:CB$87,'Fórmula'!B102,19)),IF(INDEX(properties!A$1:CB$87,'Fórmula'!D102,19)=0,10^6,INDEX(properties!A$1:CB$87,'Fórmula'!D102,19)),IF(INDEX(properties!A$1:CB$87,'Fórmula'!F102,19)=0,10^6,INDEX(properties!A$1:CB$87,'Fórmula'!F102,19)),IF(INDEX(properties!A$1:CB$87,'Fórmula'!H102,19)=0,10^6,INDEX(properties!A$1:CB$87,'Fórmula'!H102,19)),IF(INDEX(properties!A$1:CB$87,'Fórmula'!J102,19)=0,10^6,INDEX(properties!A$1:CB$87,'Fórmula'!J102,19)))</f>
        <v>2</v>
      </c>
      <c r="BO102" s="111">
        <f t="shared" si="11"/>
        <v>4</v>
      </c>
      <c r="BP102" s="112">
        <f t="array" ref="BP102">(('Fórmula'!C102)/('Fórmula'!C102+'Fórmula'!E102+'Fórmula'!G102+'Fórmula'!I102+'Fórmula'!K102))*(INDEX(properties!A$1:CB$87,'Fórmula'!B102,20))+(('Fórmula'!E102)/('Fórmula'!C102+'Fórmula'!E102+'Fórmula'!G102+'Fórmula'!I102+'Fórmula'!K102))*(INDEX(properties!A$1:CB$87,'Fórmula'!D102,20))+(('Fórmula'!G102)/('Fórmula'!C102+'Fórmula'!E102+'Fórmula'!G102+'Fórmula'!I102+'Fórmula'!K102))*(INDEX(properties!A$1:CB$87,'Fórmula'!F102,20))+(('Fórmula'!I102)/('Fórmula'!C102+'Fórmula'!E102+'Fórmula'!G102+'Fórmula'!I102+'Fórmula'!K102))*(INDEX(properties!A$1:CB$87,'Fórmula'!H102,20))+(('Fórmula'!K102)/('Fórmula'!C102+'Fórmula'!E102+'Fórmula'!G102+'Fórmula'!I102+'Fórmula'!K102))*(INDEX(properties!A$1:CB$87,'Fórmula'!J102,20))</f>
        <v>4.571428571</v>
      </c>
      <c r="BQ102" s="112">
        <f t="array" ref="BQ102">'Fórmula'!C102*(INDEX(properties!A$1:CB$87,'Fórmula'!B102,20))+'Fórmula'!E102*(INDEX(properties!A$1:CB$87,'Fórmula'!D102,20))+'Fórmula'!G102*(INDEX(properties!A$1:CB$87,'Fórmula'!F102,20))+'Fórmula'!I102*(INDEX(properties!A$1:CB$87,'Fórmula'!H102,20))+'Fórmula'!K102*(INDEX(properties!A$1:CB$87,'Fórmula'!J102,20))</f>
        <v>32</v>
      </c>
      <c r="BR102" s="112">
        <f t="array" ref="BR102">VARP(IF(INDEX(properties!A$1:CB$87,'Fórmula'!B102,20)&lt;&gt;"",INDEX(properties!A$1:CB$87,'Fórmula'!B102,20)),IF(INDEX(properties!A$1:CB$87,'Fórmula'!D102,20)&lt;&gt;"",INDEX(properties!A$1:CB$87,'Fórmula'!D102,20)),IF(INDEX(properties!A$1:CB$87,'Fórmula'!F102,20)&lt;&gt;"",INDEX(properties!A$1:CB$87,'Fórmula'!F102,20)),IF(INDEX(properties!A$1:CB$87,'Fórmula'!H102,20)&lt;&gt;"",INDEX(properties!A$1:CB$87,'Fórmula'!H102,20)),IF(INDEX(properties!A$1:CB$87,'Fórmula'!J102,20)&lt;&gt;"",INDEX(properties!A$1:CB$87,'Fórmula'!J102,20)))</f>
        <v>4.96</v>
      </c>
      <c r="BS102" s="112">
        <f t="array" ref="BS102">MAX(INDEX(properties!A$1:CB$87,'Fórmula'!B102,20),INDEX(properties!A$1:CB$87,'Fórmula'!D102,20),INDEX(properties!A$1:CB$87,'Fórmula'!F102,20),INDEX(properties!A$1:CB$87,'Fórmula'!H102,20),INDEX(properties!A$1:CB$87,'Fórmula'!J102,20))</f>
        <v>6</v>
      </c>
      <c r="BT102" s="112">
        <f t="array" ref="BT102">MIN(IF(INDEX(properties!A$1:CB$87,'Fórmula'!B102,20)=0,10^6,INDEX(properties!A$1:CB$87,'Fórmula'!B102,20)),IF(INDEX(properties!A$1:CB$87,'Fórmula'!D102,20)=0,10^6,INDEX(properties!A$1:CB$87,'Fórmula'!D102,20)),IF(INDEX(properties!A$1:CB$87,'Fórmula'!F102,20)=0,10^6,INDEX(properties!A$1:CB$87,'Fórmula'!F102,20)),IF(INDEX(properties!A$1:CB$87,'Fórmula'!H102,20)=0,10^6,INDEX(properties!A$1:CB$87,'Fórmula'!H102,20)),IF(INDEX(properties!A$1:CB$87,'Fórmula'!J102,20)=0,10^6,INDEX(properties!A$1:CB$87,'Fórmula'!J102,20)))</f>
        <v>2</v>
      </c>
      <c r="BU102" s="112">
        <f t="shared" si="12"/>
        <v>4</v>
      </c>
      <c r="BV102" s="113">
        <f t="array" ref="BV102">(('Fórmula'!C102)/('Fórmula'!C102+'Fórmula'!E102+'Fórmula'!G102+'Fórmula'!I102+'Fórmula'!K102))*(INDEX(properties!A$1:CB$87,'Fórmula'!B102,21))+(('Fórmula'!E102)/('Fórmula'!C102+'Fórmula'!E102+'Fórmula'!G102+'Fórmula'!I102+'Fórmula'!K102))*(INDEX(properties!A$1:CB$87,'Fórmula'!D102,21))+(('Fórmula'!G102)/('Fórmula'!C102+'Fórmula'!E102+'Fórmula'!G102+'Fórmula'!I102+'Fórmula'!K102))*(INDEX(properties!A$1:CB$87,'Fórmula'!F102,21))+(('Fórmula'!I102)/('Fórmula'!C102+'Fórmula'!E102+'Fórmula'!G102+'Fórmula'!I102+'Fórmula'!K102))*(INDEX(properties!A$1:CB$87,'Fórmula'!H102,21))+(('Fórmula'!K102)/('Fórmula'!C102+'Fórmula'!E102+'Fórmula'!G102+'Fórmula'!I102+'Fórmula'!K102))*(INDEX(properties!A$1:CB$87,'Fórmula'!J102,21))</f>
        <v>4.571428571</v>
      </c>
      <c r="BW102" s="113">
        <f t="array" ref="BW102">'Fórmula'!C102*(INDEX(properties!A$1:CB$87,'Fórmula'!B102,21))+'Fórmula'!E102*(INDEX(properties!A$1:CB$87,'Fórmula'!D102,21))+'Fórmula'!G102*(INDEX(properties!A$1:CB$87,'Fórmula'!F102,21))+'Fórmula'!I102*(INDEX(properties!A$1:CB$87,'Fórmula'!H102,21))+'Fórmula'!K102*(INDEX(properties!A$1:CB$87,'Fórmula'!J102,21))</f>
        <v>32</v>
      </c>
      <c r="BX102" s="113">
        <f t="array" ref="BX102">VARP(IF(INDEX(properties!A$1:CB$87,'Fórmula'!B102,21)&lt;&gt;"",INDEX(properties!A$1:CB$87,'Fórmula'!B102,21)),IF(INDEX(properties!A$1:CB$87,'Fórmula'!D102,21)&lt;&gt;"",INDEX(properties!A$1:CB$87,'Fórmula'!D102,21)),IF(INDEX(properties!A$1:CB$87,'Fórmula'!F102,21)&lt;&gt;"",INDEX(properties!A$1:CB$87,'Fórmula'!F102,21)),IF(INDEX(properties!A$1:CB$87,'Fórmula'!H102,21)&lt;&gt;"",INDEX(properties!A$1:CB$87,'Fórmula'!H102,21)),IF(INDEX(properties!A$1:CB$87,'Fórmula'!J102,21)&lt;&gt;"",INDEX(properties!A$1:CB$87,'Fórmula'!J102,21)))</f>
        <v>4.96</v>
      </c>
      <c r="BY102" s="113">
        <f t="array" ref="BY102">MAX(INDEX(properties!A$1:CB$87,'Fórmula'!B102,21),INDEX(properties!A$1:CB$87,'Fórmula'!D102,21),INDEX(properties!A$1:CB$87,'Fórmula'!F102,21),INDEX(properties!A$1:CB$87,'Fórmula'!H102,21),INDEX(properties!A$1:CB$87,'Fórmula'!J102,21))</f>
        <v>6</v>
      </c>
      <c r="BZ102" s="113">
        <f t="array" ref="BZ102">MIN(IF(INDEX(properties!A$1:CB$87,'Fórmula'!B102,21)=0,10^6,INDEX(properties!A$1:CB$87,'Fórmula'!B102,21)),IF(INDEX(properties!A$1:CB$87,'Fórmula'!D102,21)=0,10^6,INDEX(properties!A$1:CB$87,'Fórmula'!D102,21)),IF(INDEX(properties!A$1:CB$87,'Fórmula'!F102,21)=0,10^6,INDEX(properties!A$1:CB$87,'Fórmula'!F102,21)),IF(INDEX(properties!A$1:CB$87,'Fórmula'!H102,21)=0,10^6,INDEX(properties!A$1:CB$87,'Fórmula'!H102,21)),IF(INDEX(properties!A$1:CB$87,'Fórmula'!J102,21)=0,10^6,INDEX(properties!A$1:CB$87,'Fórmula'!J102,21)))</f>
        <v>2</v>
      </c>
      <c r="CA102" s="113">
        <f t="shared" si="13"/>
        <v>4</v>
      </c>
      <c r="CB102" s="114">
        <f t="array" ref="CB102">(('Fórmula'!C102)/('Fórmula'!C102+'Fórmula'!E102+'Fórmula'!G102+'Fórmula'!I102+'Fórmula'!K102))*(INDEX(properties!A$1:CB$87,'Fórmula'!B102,23))+(('Fórmula'!E102)/('Fórmula'!C102+'Fórmula'!E102+'Fórmula'!G102+'Fórmula'!I102+'Fórmula'!K102))*(INDEX(properties!A$1:CB$87,'Fórmula'!D102,23))+(('Fórmula'!G102)/('Fórmula'!C102+'Fórmula'!E102+'Fórmula'!G102+'Fórmula'!I102+'Fórmula'!K102))*(INDEX(properties!A$1:CB$87,'Fórmula'!F102,23))+(('Fórmula'!I102)/('Fórmula'!C102+'Fórmula'!E102+'Fórmula'!G102+'Fórmula'!I102+'Fórmula'!K102))*(INDEX(properties!A$1:CB$87,'Fórmula'!H102,23))+(('Fórmula'!K102)/('Fórmula'!C102+'Fórmula'!E102+'Fórmula'!G102+'Fórmula'!I102+'Fórmula'!K102))*(INDEX(properties!A$1:CB$87,'Fórmula'!J102,23))</f>
        <v>1.142857143</v>
      </c>
      <c r="CC102" s="114">
        <f t="array" ref="CC102">'Fórmula'!C102*(INDEX(properties!A$1:CB$87,'Fórmula'!B102,23))+'Fórmula'!E102*(INDEX(properties!A$1:CB$87,'Fórmula'!D102,23))+'Fórmula'!G102*(INDEX(properties!A$1:CB$87,'Fórmula'!F102,23))+'Fórmula'!I102*(INDEX(properties!A$1:CB$87,'Fórmula'!H102,23))+'Fórmula'!K102*(INDEX(properties!A$1:CB$87,'Fórmula'!J102,23))</f>
        <v>8</v>
      </c>
      <c r="CD102" s="114">
        <f t="array" ref="CD102">VARP(IF(INDEX(properties!A$1:CB$87,'Fórmula'!B102,23)&lt;&gt;"",INDEX(properties!A$1:CB$87,'Fórmula'!B102,23)),IF(INDEX(properties!A$1:CB$87,'Fórmula'!D102,23)&lt;&gt;"",INDEX(properties!A$1:CB$87,'Fórmula'!D102,23)),IF(INDEX(properties!A$1:CB$87,'Fórmula'!F102,23)&lt;&gt;"",INDEX(properties!A$1:CB$87,'Fórmula'!F102,23)),IF(INDEX(properties!A$1:CB$87,'Fórmula'!H102,23)&lt;&gt;"",INDEX(properties!A$1:CB$87,'Fórmula'!H102,23)),IF(INDEX(properties!A$1:CB$87,'Fórmula'!J102,23)&lt;&gt;"",INDEX(properties!A$1:CB$87,'Fórmula'!J102,23)))</f>
        <v>1.6</v>
      </c>
      <c r="CE102" s="114">
        <f t="array" ref="CE102">MAX(INDEX(properties!A$1:CB$87,'Fórmula'!B102,23),INDEX(properties!A$1:CB$87,'Fórmula'!D102,23),INDEX(properties!A$1:CB$87,'Fórmula'!F102,23),INDEX(properties!A$1:CB$87,'Fórmula'!H102,23),INDEX(properties!A$1:CB$87,'Fórmula'!J102,23))</f>
        <v>3</v>
      </c>
      <c r="CF102" s="114">
        <f t="array" ref="CF102">MIN(IF('Fórmula'!B102=87,10^6,INDEX(properties!A$1:CB$87,'Fórmula'!B102,23)),IF(('Fórmula'!D102)=87,10^6,INDEX(properties!A$1:CB$87,'Fórmula'!D102,23)),IF(('Fórmula'!F102)=87,10^6,INDEX(properties!A$1:CB$87,'Fórmula'!F102,23)),IF(('Fórmula'!H102)=87,10^6,INDEX(properties!A$1:CB$87,'Fórmula'!H102,23)),IF('Fórmula'!J102=87,10^6,INDEX(properties!A$1:CB$87,'Fórmula'!J102,23)))</f>
        <v>0</v>
      </c>
      <c r="CG102" s="114">
        <f t="shared" si="14"/>
        <v>3</v>
      </c>
      <c r="CH102" s="115">
        <f t="array" ref="CH102">(('Fórmula'!C102)/('Fórmula'!C102+'Fórmula'!E102+'Fórmula'!G102+'Fórmula'!I102+'Fórmula'!K102))*(INDEX(properties!A$1:CB$87,'Fórmula'!B102,26))+(('Fórmula'!E102)/('Fórmula'!C102+'Fórmula'!E102+'Fórmula'!G102+'Fórmula'!I102+'Fórmula'!K102))*(INDEX(properties!A$1:CB$87,'Fórmula'!D102,26))+(('Fórmula'!G102)/('Fórmula'!C102+'Fórmula'!E102+'Fórmula'!G102+'Fórmula'!I102+'Fórmula'!K102))*(INDEX(properties!A$1:CB$87,'Fórmula'!F102,26))+(('Fórmula'!I102)/('Fórmula'!C102+'Fórmula'!E102+'Fórmula'!G102+'Fórmula'!I102+'Fórmula'!K102))*(INDEX(properties!A$1:CB$87,'Fórmula'!H102,26))+(('Fórmula'!K102)/('Fórmula'!C102+'Fórmula'!E102+'Fórmula'!G102+'Fórmula'!I102+'Fórmula'!K102))*(INDEX(properties!A$1:CB$87,'Fórmula'!J102,26))</f>
        <v>10.58431429</v>
      </c>
      <c r="CI102" s="115">
        <f t="array" ref="CI102">'Fórmula'!C102*(INDEX(properties!A$1:CB$87,'Fórmula'!B102,26))+'Fórmula'!E102*(INDEX(properties!A$1:CB$87,'Fórmula'!D102,26))+'Fórmula'!G102*(INDEX(properties!A$1:CB$87,'Fórmula'!F102,26))+'Fórmula'!I102*(INDEX(properties!A$1:CB$87,'Fórmula'!H102,26))+'Fórmula'!K102*(INDEX(properties!A$1:CB$87,'Fórmula'!J102,26))</f>
        <v>74.0902</v>
      </c>
      <c r="CJ102" s="115">
        <f t="array" ref="CJ102">VARP(IF(INDEX(properties!A$1:CB$87,'Fórmula'!B102,26)&lt;&gt;"",INDEX(properties!A$1:CB$87,'Fórmula'!B102,26)),IF(INDEX(properties!A$1:CB$87,'Fórmula'!D102,26)&lt;&gt;"",INDEX(properties!A$1:CB$87,'Fórmula'!D102,26)),IF(INDEX(properties!A$1:CB$87,'Fórmula'!F102,26)&lt;&gt;"",INDEX(properties!A$1:CB$87,'Fórmula'!F102,26)),IF(INDEX(properties!A$1:CB$87,'Fórmula'!H102,26)&lt;&gt;"",INDEX(properties!A$1:CB$87,'Fórmula'!H102,26)),IF(INDEX(properties!A$1:CB$87,'Fórmula'!J102,26)&lt;&gt;"",INDEX(properties!A$1:CB$87,'Fórmula'!J102,26)))</f>
        <v>26.24664674</v>
      </c>
      <c r="CK102" s="116">
        <f t="array" ref="CK102">MAX(INDEX(properties!A$1:CB$87,'Fórmula'!B102,26),INDEX(properties!A$1:CB$87,'Fórmula'!D102,26),INDEX(properties!A$1:CB$87,'Fórmula'!F102,26),INDEX(properties!A$1:CB$87,'Fórmula'!H102,26),INDEX(properties!A$1:CB$87,'Fórmula'!J102,26))</f>
        <v>13.6181</v>
      </c>
      <c r="CL102" s="116">
        <f t="array" ref="CL102">MIN(IF(INDEX(properties!A$1:CB$87,'Fórmula'!B102,26)=0,10^6,INDEX(properties!A$1:CB$87,'Fórmula'!B102,26)),IF(INDEX(properties!A$1:CB$87,'Fórmula'!D102,26)=0,10^6,INDEX(properties!A$1:CB$87,'Fórmula'!D102,26)),IF(INDEX(properties!A$1:CB$87,'Fórmula'!F102,26)=0,10^6,INDEX(properties!A$1:CB$87,'Fórmula'!F102,26)),IF(INDEX(properties!A$1:CB$87,'Fórmula'!H102,26)=0,10^6,INDEX(properties!A$1:CB$87,'Fórmula'!H102,26)),IF(INDEX(properties!A$1:CB$87,'Fórmula'!J102,26)=0,10^6,INDEX(properties!A$1:CB$87,'Fórmula'!J102,26)))</f>
        <v>5.9858</v>
      </c>
      <c r="CM102" s="115">
        <f t="shared" si="15"/>
        <v>7.6323</v>
      </c>
      <c r="CN102" s="117">
        <f t="array" ref="CN102">(('Fórmula'!C102)/('Fórmula'!C102+'Fórmula'!E102+'Fórmula'!G102+'Fórmula'!I102+'Fórmula'!K102))*(INDEX(properties!A$1:CB$87,'Fórmula'!B102,30))+(('Fórmula'!E102)/('Fórmula'!C102+'Fórmula'!E102+'Fórmula'!G102+'Fórmula'!I102+'Fórmula'!K102))*(INDEX(properties!A$1:CB$87,'Fórmula'!D102,30))+(('Fórmula'!G102)/('Fórmula'!C102+'Fórmula'!E102+'Fórmula'!G102+'Fórmula'!I102+'Fórmula'!K102))*(INDEX(properties!A$1:CB$87,'Fórmula'!F102,30))+(('Fórmula'!I102)/('Fórmula'!C102+'Fórmula'!E102+'Fórmula'!G102+'Fórmula'!I102+'Fórmula'!K102))*(INDEX(properties!A$1:CB$87,'Fórmula'!H102,30))+(('Fórmula'!K102)/('Fórmula'!C102+'Fórmula'!E102+'Fórmula'!G102+'Fórmula'!I102+'Fórmula'!K102))*(INDEX(properties!A$1:CB$87,'Fórmula'!J102,30))</f>
        <v>2.612857143</v>
      </c>
      <c r="CO102" s="117">
        <f t="array" ref="CO102">'Fórmula'!C102*(INDEX(properties!A$1:CB$87,'Fórmula'!B102,30))+'Fórmula'!E102*(INDEX(properties!A$1:CB$87,'Fórmula'!D102,30))+'Fórmula'!G102*(INDEX(properties!A$1:CB$87,'Fórmula'!F102,30))+'Fórmula'!I102*(INDEX(properties!A$1:CB$87,'Fórmula'!H102,30))+'Fórmula'!K102*(INDEX(properties!A$1:CB$87,'Fórmula'!J102,30))</f>
        <v>18.29</v>
      </c>
      <c r="CP102" s="117">
        <f t="array" ref="CP102">VARP(IF(INDEX(properties!A$1:CB$87,'Fórmula'!B102,30)&lt;&gt;"",INDEX(properties!A$1:CB$87,'Fórmula'!B102,30)),IF(INDEX(properties!A$1:CB$87,'Fórmula'!D102,30)&lt;&gt;"",INDEX(properties!A$1:CB$87,'Fórmula'!D102,30)),IF(INDEX(properties!A$1:CB$87,'Fórmula'!F102,30)&lt;&gt;"",INDEX(properties!A$1:CB$87,'Fórmula'!F102,30)),IF(INDEX(properties!A$1:CB$87,'Fórmula'!H102,30)&lt;&gt;"",INDEX(properties!A$1:CB$87,'Fórmula'!H102,30)),IF(INDEX(properties!A$1:CB$87,'Fórmula'!J102,30)&lt;&gt;"",INDEX(properties!A$1:CB$87,'Fórmula'!J102,30)))</f>
        <v>1.610376</v>
      </c>
      <c r="CQ102" s="117">
        <f t="array" ref="CQ102">MAX(INDEX(properties!A$1:CB$87,'Fórmula'!B102,30),INDEX(properties!A$1:CB$87,'Fórmula'!D102,30),INDEX(properties!A$1:CB$87,'Fórmula'!F102,30),INDEX(properties!A$1:CB$87,'Fórmula'!H102,30),INDEX(properties!A$1:CB$87,'Fórmula'!J102,30))</f>
        <v>3.44</v>
      </c>
      <c r="CR102" s="117">
        <f t="array" ref="CR102">MIN(IF(INDEX(properties!A$1:CB$87,'Fórmula'!B102,30)=0,10^6,INDEX(properties!A$1:CB$87,'Fórmula'!B102,30)),IF(INDEX(properties!A$1:CB$87,'Fórmula'!D102,30)=0,10^6,INDEX(properties!A$1:CB$87,'Fórmula'!D102,30)),IF(INDEX(properties!A$1:CB$87,'Fórmula'!F102,30)=0,10^6,INDEX(properties!A$1:CB$87,'Fórmula'!F102,30)),IF(INDEX(properties!A$1:CB$87,'Fórmula'!H102,30)=0,10^6,INDEX(properties!A$1:CB$87,'Fórmula'!H102,30)),IF(INDEX(properties!A$1:CB$87,'Fórmula'!J102,30)=0,10^6,INDEX(properties!A$1:CB$87,'Fórmula'!J102,30)))</f>
        <v>1.31</v>
      </c>
      <c r="CS102" s="117">
        <f t="shared" si="16"/>
        <v>2.13</v>
      </c>
      <c r="CT102" s="118">
        <f t="array" ref="CT102">(('Fórmula'!C102)/('Fórmula'!C102+'Fórmula'!E102+'Fórmula'!G102+'Fórmula'!I102+'Fórmula'!K102))*(INDEX(properties!A$1:CB$87,'Fórmula'!B102,31))+(('Fórmula'!E102)/('Fórmula'!C102+'Fórmula'!E102+'Fórmula'!G102+'Fórmula'!I102+'Fórmula'!K102))*(INDEX(properties!A$1:CB$87,'Fórmula'!D102,31))+(('Fórmula'!G102)/('Fórmula'!C102+'Fórmula'!E102+'Fórmula'!G102+'Fórmula'!I102+'Fórmula'!K102))*(INDEX(properties!A$1:CB$87,'Fórmula'!F102,31))+(('Fórmula'!I102)/('Fórmula'!C102+'Fórmula'!E102+'Fórmula'!G102+'Fórmula'!I102+'Fórmula'!K102))*(INDEX(properties!A$1:CB$87,'Fórmula'!H102,31))+(('Fórmula'!K102)/('Fórmula'!C102+'Fórmula'!E102+'Fórmula'!G102+'Fórmula'!I102+'Fórmula'!K102))*(INDEX(properties!A$1:CB$87,'Fórmula'!J102,31))</f>
        <v>2.552857143</v>
      </c>
      <c r="CU102" s="118">
        <f t="array" ref="CU102">'Fórmula'!C102*(INDEX(properties!A$1:CB$87,'Fórmula'!B102,31))+'Fórmula'!E102*(INDEX(properties!A$1:CB$87,'Fórmula'!D102,31))+'Fórmula'!G102*(INDEX(properties!A$1:CB$87,'Fórmula'!F102,31))+'Fórmula'!I102*(INDEX(properties!A$1:CB$87,'Fórmula'!H102,31))+'Fórmula'!K102*(INDEX(properties!A$1:CB$87,'Fórmula'!J102,31))</f>
        <v>17.87</v>
      </c>
      <c r="CV102" s="118">
        <f t="array" ref="CV102">VARP(IF(INDEX(properties!A$1:CB$87,'Fórmula'!B102,31)&lt;&gt;"",INDEX(properties!A$1:CB$87,'Fórmula'!B102,31)),IF(INDEX(properties!A$1:CB$87,'Fórmula'!D102,31)&lt;&gt;"",INDEX(properties!A$1:CB$87,'Fórmula'!D102,31)),IF(INDEX(properties!A$1:CB$87,'Fórmula'!F102,31)&lt;&gt;"",INDEX(properties!A$1:CB$87,'Fórmula'!F102,31)),IF(INDEX(properties!A$1:CB$87,'Fórmula'!H102,31)&lt;&gt;"",INDEX(properties!A$1:CB$87,'Fórmula'!H102,31)),IF(INDEX(properties!A$1:CB$87,'Fórmula'!J102,31)&lt;&gt;"",INDEX(properties!A$1:CB$87,'Fórmula'!J102,31)))</f>
        <v>1.513104</v>
      </c>
      <c r="CW102" s="118">
        <f t="array" ref="CW102">MAX(INDEX(properties!A$1:CB$87,'Fórmula'!B102,31),INDEX(properties!A$1:CB$87,'Fórmula'!D102,31),INDEX(properties!A$1:CB$87,'Fórmula'!F102,31),INDEX(properties!A$1:CB$87,'Fórmula'!H102,31),INDEX(properties!A$1:CB$87,'Fórmula'!J102,31))</f>
        <v>3.32</v>
      </c>
      <c r="CX102" s="118">
        <f t="array" ref="CX102">MIN(IF(INDEX(properties!A$1:CB$87,'Fórmula'!B102,31)=0,10^6,INDEX(properties!A$1:CB$87,'Fórmula'!B102,31)),IF(INDEX(properties!A$1:CB$87,'Fórmula'!D102,31)=0,10^6,INDEX(properties!A$1:CB$87,'Fórmula'!D102,31)),IF(INDEX(properties!A$1:CB$87,'Fórmula'!F102,31)=0,10^6,INDEX(properties!A$1:CB$87,'Fórmula'!F102,31)),IF(INDEX(properties!A$1:CB$87,'Fórmula'!H102,31)=0,10^6,INDEX(properties!A$1:CB$87,'Fórmula'!H102,31)),IF(INDEX(properties!A$1:CB$87,'Fórmula'!J102,31)=0,10^6,INDEX(properties!A$1:CB$87,'Fórmula'!J102,31)))</f>
        <v>1.31</v>
      </c>
      <c r="CY102" s="118">
        <f t="shared" si="17"/>
        <v>2.01</v>
      </c>
      <c r="CZ102" s="119">
        <f t="array" ref="CZ102">(('Fórmula'!C102)/('Fórmula'!C102+'Fórmula'!E102+'Fórmula'!G102+'Fórmula'!I102+'Fórmula'!K102))*(INDEX(properties!A$1:CB$87,'Fórmula'!B102,32))+(('Fórmula'!E102)/('Fórmula'!C102+'Fórmula'!E102+'Fórmula'!G102+'Fórmula'!I102+'Fórmula'!K102))*(INDEX(properties!A$1:CB$87,'Fórmula'!D102,32))+(('Fórmula'!G102)/('Fórmula'!C102+'Fórmula'!E102+'Fórmula'!G102+'Fórmula'!I102+'Fórmula'!K102))*(INDEX(properties!A$1:CB$87,'Fórmula'!F102,32))+(('Fórmula'!I102)/('Fórmula'!C102+'Fórmula'!E102+'Fórmula'!G102+'Fórmula'!I102+'Fórmula'!K102))*(INDEX(properties!A$1:CB$87,'Fórmula'!H102,32))+(('Fórmula'!K102)/('Fórmula'!C102+'Fórmula'!E102+'Fórmula'!G102+'Fórmula'!I102+'Fórmula'!K102))*(INDEX(properties!A$1:CB$87,'Fórmula'!J102,32))</f>
        <v>5.767142857</v>
      </c>
      <c r="DA102" s="119">
        <f t="array" ref="DA102">'Fórmula'!C102*(INDEX(properties!A$1:CB$87,'Fórmula'!B102,32))+'Fórmula'!E102*(INDEX(properties!A$1:CB$87,'Fórmula'!D102,32))+'Fórmula'!G102*(INDEX(properties!A$1:CB$87,'Fórmula'!F102,32))+'Fórmula'!I102*(INDEX(properties!A$1:CB$87,'Fórmula'!H102,32))+'Fórmula'!K102*(INDEX(properties!A$1:CB$87,'Fórmula'!J102,32))</f>
        <v>40.37</v>
      </c>
      <c r="DB102" s="119">
        <f t="array" ref="DB102">VARP(IF(INDEX(properties!A$1:CB$87,'Fórmula'!B102,32)&lt;&gt;"",INDEX(properties!A$1:CB$87,'Fórmula'!B102,32)),IF(INDEX(properties!A$1:CB$87,'Fórmula'!D102,32)&lt;&gt;"",INDEX(properties!A$1:CB$87,'Fórmula'!D102,32)),IF(INDEX(properties!A$1:CB$87,'Fórmula'!F102,32)&lt;&gt;"",INDEX(properties!A$1:CB$87,'Fórmula'!F102,32)),IF(INDEX(properties!A$1:CB$87,'Fórmula'!H102,32)&lt;&gt;"",INDEX(properties!A$1:CB$87,'Fórmula'!H102,32)),IF(INDEX(properties!A$1:CB$87,'Fórmula'!J102,32)&lt;&gt;"",INDEX(properties!A$1:CB$87,'Fórmula'!J102,32)))</f>
        <v>7.836184</v>
      </c>
      <c r="DC102" s="119">
        <f t="array" ref="DC102">MAX(INDEX(properties!A$1:CB$87,'Fórmula'!B102,32),INDEX(properties!A$1:CB$87,'Fórmula'!D102,32),INDEX(properties!A$1:CB$87,'Fórmula'!F102,32),INDEX(properties!A$1:CB$87,'Fórmula'!H102,32),INDEX(properties!A$1:CB$87,'Fórmula'!J102,32))</f>
        <v>7.54</v>
      </c>
      <c r="DD102" s="119">
        <f t="array" ref="DD102">MIN(IF(INDEX(properties!A$1:CB$87,'Fórmula'!B102,32)=0,10^6,INDEX(properties!A$1:CB$87,'Fórmula'!B102,32)),IF(INDEX(properties!A$1:CB$87,'Fórmula'!D102,32)=0,10^6,INDEX(properties!A$1:CB$87,'Fórmula'!D102,32)),IF(INDEX(properties!A$1:CB$87,'Fórmula'!F102,32)=0,10^6,INDEX(properties!A$1:CB$87,'Fórmula'!F102,32)),IF(INDEX(properties!A$1:CB$87,'Fórmula'!H102,32)=0,10^6,INDEX(properties!A$1:CB$87,'Fórmula'!H102,32)),IF(INDEX(properties!A$1:CB$87,'Fórmula'!J102,32)=0,10^6,INDEX(properties!A$1:CB$87,'Fórmula'!J102,32)))</f>
        <v>3.23</v>
      </c>
      <c r="DE102" s="119">
        <f t="shared" si="18"/>
        <v>4.31</v>
      </c>
      <c r="DF102" s="104">
        <f t="array" ref="DF102">(('Fórmula'!C102)/('Fórmula'!C102+'Fórmula'!E102+'Fórmula'!G102+'Fórmula'!I102+'Fórmula'!K102))*(INDEX(properties!A$1:CB$87,'Fórmula'!B102,34))+(('Fórmula'!E102)/('Fórmula'!C102+'Fórmula'!E102+'Fórmula'!G102+'Fórmula'!I102+'Fórmula'!K102))*(INDEX(properties!A$1:CB$87,'Fórmula'!D102,34))+(('Fórmula'!G102)/('Fórmula'!C102+'Fórmula'!E102+'Fórmula'!G102+'Fórmula'!I102+'Fórmula'!K102))*(INDEX(properties!A$1:CB$87,'Fórmula'!F102,34))+(('Fórmula'!I102)/('Fórmula'!C102+'Fórmula'!E102+'Fórmula'!G102+'Fórmula'!I102+'Fórmula'!K102))*(INDEX(properties!A$1:CB$87,'Fórmula'!H102,34))+(('Fórmula'!K102)/('Fórmula'!C102+'Fórmula'!E102+'Fórmula'!G102+'Fórmula'!I102+'Fórmula'!K102))*(INDEX(properties!A$1:CB$87,'Fórmula'!J102,34))</f>
        <v>2.708428571</v>
      </c>
      <c r="DG102" s="104">
        <f t="array" ref="DG102">'Fórmula'!C102*(INDEX(properties!A$1:CB$87,'Fórmula'!B102,34))+'Fórmula'!E102*(INDEX(properties!A$1:CB$87,'Fórmula'!D102,34))+'Fórmula'!G102*(INDEX(properties!A$1:CB$87,'Fórmula'!F102,34))+'Fórmula'!I102*(INDEX(properties!A$1:CB$87,'Fórmula'!H102,34))+'Fórmula'!K102*(INDEX(properties!A$1:CB$87,'Fórmula'!J102,34))</f>
        <v>18.959</v>
      </c>
      <c r="DH102" s="104">
        <f t="array" ref="DH102">VARP(IF(INDEX(properties!A$1:CB$87,'Fórmula'!B102,34)&lt;&gt;"",INDEX(properties!A$1:CB$87,'Fórmula'!B102,34)),IF(INDEX(properties!A$1:CB$87,'Fórmula'!D102,34)&lt;&gt;"",INDEX(properties!A$1:CB$87,'Fórmula'!D102,34)),IF(INDEX(properties!A$1:CB$87,'Fórmula'!F102,34)&lt;&gt;"",INDEX(properties!A$1:CB$87,'Fórmula'!F102,34)),IF(INDEX(properties!A$1:CB$87,'Fórmula'!H102,34)&lt;&gt;"",INDEX(properties!A$1:CB$87,'Fórmula'!H102,34)),IF(INDEX(properties!A$1:CB$87,'Fórmula'!J102,34)&lt;&gt;"",INDEX(properties!A$1:CB$87,'Fórmula'!J102,34)))</f>
        <v>1.76281336</v>
      </c>
      <c r="DI102" s="104">
        <f t="array" ref="DI102">MAX(INDEX(properties!A$1:CB$87,'Fórmula'!B102,34),INDEX(properties!A$1:CB$87,'Fórmula'!D102,34),INDEX(properties!A$1:CB$87,'Fórmula'!F102,34),INDEX(properties!A$1:CB$87,'Fórmula'!H102,34),INDEX(properties!A$1:CB$87,'Fórmula'!J102,34))</f>
        <v>3.61</v>
      </c>
      <c r="DJ102" s="104">
        <f t="array" ref="DJ102">MIN(IF(INDEX(properties!A$1:CB$87,'Fórmula'!B102,34)=0,10^6,INDEX(properties!A$1:CB$87,'Fórmula'!B102,34)),IF(INDEX(properties!A$1:CB$87,'Fórmula'!D102,34)=0,10^6,INDEX(properties!A$1:CB$87,'Fórmula'!D102,34)),IF(INDEX(properties!A$1:CB$87,'Fórmula'!F102,34)=0,10^6,INDEX(properties!A$1:CB$87,'Fórmula'!F102,34)),IF(INDEX(properties!A$1:CB$87,'Fórmula'!H102,34)=0,10^6,INDEX(properties!A$1:CB$87,'Fórmula'!H102,34)),IF(INDEX(properties!A$1:CB$87,'Fórmula'!J102,34)=0,10^6,INDEX(properties!A$1:CB$87,'Fórmula'!J102,34)))</f>
        <v>1.293</v>
      </c>
      <c r="DK102" s="104">
        <f t="shared" si="19"/>
        <v>2.317</v>
      </c>
      <c r="DL102" s="105">
        <f t="array" ref="DL102">(('Fórmula'!C102)/('Fórmula'!C102+'Fórmula'!E102+'Fórmula'!G102+'Fórmula'!I102+'Fórmula'!K102))*(INDEX(properties!A$1:CB$87,'Fórmula'!B102,37))+(('Fórmula'!E102)/('Fórmula'!C102+'Fórmula'!E102+'Fórmula'!G102+'Fórmula'!I102+'Fórmula'!K102))*(INDEX(properties!A$1:CB$87,'Fórmula'!D102,37))+(('Fórmula'!G102)/('Fórmula'!C102+'Fórmula'!E102+'Fórmula'!G102+'Fórmula'!I102+'Fórmula'!K102))*(INDEX(properties!A$1:CB$87,'Fórmula'!F102,37))+(('Fórmula'!I102)/('Fórmula'!C102+'Fórmula'!E102+'Fórmula'!G102+'Fórmula'!I102+'Fórmula'!K102))*(INDEX(properties!A$1:CB$87,'Fórmula'!H102,37))+(('Fórmula'!K102)/('Fórmula'!C102+'Fórmula'!E102+'Fórmula'!G102+'Fórmula'!I102+'Fórmula'!K102))*(INDEX(properties!A$1:CB$87,'Fórmula'!J102,37))</f>
        <v>2.571428571</v>
      </c>
      <c r="DM102" s="105">
        <f t="array" ref="DM102">'Fórmula'!C102*(INDEX(properties!A$1:CB$87,'Fórmula'!B102,37))+'Fórmula'!E102*(INDEX(properties!A$1:CB$87,'Fórmula'!D102,37))+'Fórmula'!G102*(INDEX(properties!A$1:CB$87,'Fórmula'!F102,37))+'Fórmula'!I102*(INDEX(properties!A$1:CB$87,'Fórmula'!H102,37))+'Fórmula'!K102*(INDEX(properties!A$1:CB$87,'Fórmula'!J102,37))</f>
        <v>18</v>
      </c>
      <c r="DN102" s="105">
        <f t="array" ref="DN102">VARP(IF(INDEX(properties!A$1:CB$87,'Fórmula'!B102,37)&lt;&gt;"",INDEX(properties!A$1:CB$87,'Fórmula'!B102,37)),IF(INDEX(properties!A$1:CB$87,'Fórmula'!D102,37)&lt;&gt;"",INDEX(properties!A$1:CB$87,'Fórmula'!D102,37)),IF(INDEX(properties!A$1:CB$87,'Fórmula'!F102,37)&lt;&gt;"",INDEX(properties!A$1:CB$87,'Fórmula'!F102,37)),IF(INDEX(properties!A$1:CB$87,'Fórmula'!H102,37)&lt;&gt;"",INDEX(properties!A$1:CB$87,'Fórmula'!H102,37)),IF(INDEX(properties!A$1:CB$87,'Fórmula'!J102,37)&lt;&gt;"",INDEX(properties!A$1:CB$87,'Fórmula'!J102,37)))</f>
        <v>1.6056</v>
      </c>
      <c r="DO102" s="105">
        <f t="array" ref="DO102">MAX(INDEX(properties!A$1:CB$87,'Fórmula'!B102,37),INDEX(properties!A$1:CB$87,'Fórmula'!D102,37),INDEX(properties!A$1:CB$87,'Fórmula'!F102,37),INDEX(properties!A$1:CB$87,'Fórmula'!H102,37),INDEX(properties!A$1:CB$87,'Fórmula'!J102,37))</f>
        <v>3.45</v>
      </c>
      <c r="DP102" s="105">
        <f t="array" ref="DP102">MIN(IF(INDEX(properties!A$1:CB$87,'Fórmula'!B102,37)=0,10^6,INDEX(properties!A$1:CB$87,'Fórmula'!B102,37)),IF(INDEX(properties!A$1:CB$87,'Fórmula'!D102,37)=0,10^6,INDEX(properties!A$1:CB$87,'Fórmula'!D102,37)),IF(INDEX(properties!A$1:CB$87,'Fórmula'!F102,37)=0,10^6,INDEX(properties!A$1:CB$87,'Fórmula'!F102,37)),IF(INDEX(properties!A$1:CB$87,'Fórmula'!H102,37)=0,10^6,INDEX(properties!A$1:CB$87,'Fórmula'!H102,37)),IF(INDEX(properties!A$1:CB$87,'Fórmula'!J102,37)=0,10^6,INDEX(properties!A$1:CB$87,'Fórmula'!J102,37)))</f>
        <v>1.2</v>
      </c>
      <c r="DQ102" s="105">
        <f t="shared" si="20"/>
        <v>2.25</v>
      </c>
      <c r="DR102" s="109">
        <f t="array" ref="DR102">(('Fórmula'!C102)/('Fórmula'!C102+'Fórmula'!E102+'Fórmula'!G102+'Fórmula'!I102+'Fórmula'!K102))*(INDEX(properties!A$1:CB$87,'Fórmula'!B102,39))+(('Fórmula'!E102)/('Fórmula'!C102+'Fórmula'!E102+'Fórmula'!G102+'Fórmula'!I102+'Fórmula'!K102))*(INDEX(properties!A$1:CB$87,'Fórmula'!D102,39))+(('Fórmula'!G102)/('Fórmula'!C102+'Fórmula'!E102+'Fórmula'!G102+'Fórmula'!I102+'Fórmula'!K102))*(INDEX(properties!A$1:CB$87,'Fórmula'!F102,39))+(('Fórmula'!I102)/('Fórmula'!C102+'Fórmula'!E102+'Fórmula'!G102+'Fórmula'!I102+'Fórmula'!K102))*(INDEX(properties!A$1:CB$87,'Fórmula'!H102,39))+(('Fórmula'!K102)/('Fórmula'!C102+'Fórmula'!E102+'Fórmula'!G102+'Fórmula'!I102+'Fórmula'!K102))*(INDEX(properties!A$1:CB$87,'Fórmula'!J102,39))</f>
        <v>0.8185714286</v>
      </c>
      <c r="DS102" s="109">
        <f t="array" ref="DS102">'Fórmula'!C102*(INDEX(properties!A$1:CB$87,'Fórmula'!B102,39))+'Fórmula'!E102*(INDEX(properties!A$1:CB$87,'Fórmula'!D102,39))+'Fórmula'!G102*(INDEX(properties!A$1:CB$87,'Fórmula'!F102,39))+'Fórmula'!I102*(INDEX(properties!A$1:CB$87,'Fórmula'!H102,39))+'Fórmula'!K102*(INDEX(properties!A$1:CB$87,'Fórmula'!J102,39))</f>
        <v>5.73</v>
      </c>
      <c r="DT102" s="109">
        <f t="array" ref="DT102">VARP(IF(INDEX(properties!A$1:CB$87,'Fórmula'!B102,39)&lt;&gt;"",INDEX(properties!A$1:CB$87,'Fórmula'!B102,39)),IF(INDEX(properties!A$1:CB$87,'Fórmula'!D102,39)&lt;&gt;"",INDEX(properties!A$1:CB$87,'Fórmula'!D102,39)),IF(INDEX(properties!A$1:CB$87,'Fórmula'!F102,39)&lt;&gt;"",INDEX(properties!A$1:CB$87,'Fórmula'!F102,39)),IF(INDEX(properties!A$1:CB$87,'Fórmula'!H102,39)&lt;&gt;"",INDEX(properties!A$1:CB$87,'Fórmula'!H102,39)),IF(INDEX(properties!A$1:CB$87,'Fórmula'!J102,39)&lt;&gt;"",INDEX(properties!A$1:CB$87,'Fórmula'!J102,39)))</f>
        <v>0.358176</v>
      </c>
      <c r="DU102" s="120">
        <f t="array" ref="DU102">MAX(INDEX(properties!A$1:CB$87,'Fórmula'!B102,39),INDEX(properties!A$1:CB$87,'Fórmula'!D102,39),INDEX(properties!A$1:CB$87,'Fórmula'!F102,39),INDEX(properties!A$1:CB$87,'Fórmula'!H102,39),INDEX(properties!A$1:CB$87,'Fórmula'!J102,39))</f>
        <v>1.45</v>
      </c>
      <c r="DV102" s="120">
        <f t="array" ref="DV102">MIN(IF(INDEX(properties!A$1:CB$87,'Fórmula'!B102,39)=0,10^6,INDEX(properties!A$1:CB$87,'Fórmula'!B102,39)),IF(INDEX(properties!A$1:CB$87,'Fórmula'!D102,39)=0,10^6,INDEX(properties!A$1:CB$87,'Fórmula'!D102,39)),IF(INDEX(properties!A$1:CB$87,'Fórmula'!F102,39)=0,10^6,INDEX(properties!A$1:CB$87,'Fórmula'!F102,39)),IF(INDEX(properties!A$1:CB$87,'Fórmula'!H102,39)=0,10^6,INDEX(properties!A$1:CB$87,'Fórmula'!H102,39)),IF(INDEX(properties!A$1:CB$87,'Fórmula'!J102,39)=0,10^6,INDEX(properties!A$1:CB$87,'Fórmula'!J102,39)))</f>
        <v>0.48</v>
      </c>
      <c r="DW102" s="109">
        <f t="shared" si="21"/>
        <v>0.97</v>
      </c>
      <c r="DX102" s="110">
        <f t="array" ref="DX102">(('Fórmula'!C102)/('Fórmula'!C102+'Fórmula'!E102+'Fórmula'!G102+'Fórmula'!I102+'Fórmula'!K102))*(INDEX(properties!A$1:CB$87,'Fórmula'!B102,40))+(('Fórmula'!E102)/('Fórmula'!C102+'Fórmula'!E102+'Fórmula'!G102+'Fórmula'!I102+'Fórmula'!K102))*(INDEX(properties!A$1:CB$87,'Fórmula'!D102,40))+(('Fórmula'!G102)/('Fórmula'!C102+'Fórmula'!E102+'Fórmula'!G102+'Fórmula'!I102+'Fórmula'!K102))*(INDEX(properties!A$1:CB$87,'Fórmula'!F102,40))+(('Fórmula'!I102)/('Fórmula'!C102+'Fórmula'!E102+'Fórmula'!G102+'Fórmula'!I102+'Fórmula'!K102))*(INDEX(properties!A$1:CB$87,'Fórmula'!H102,40))+(('Fórmula'!K102)/('Fórmula'!C102+'Fórmula'!E102+'Fórmula'!G102+'Fórmula'!I102+'Fórmula'!K102))*(INDEX(properties!A$1:CB$87,'Fórmula'!J102,40))</f>
        <v>0.94</v>
      </c>
      <c r="DY102" s="110">
        <f t="array" ref="DY102">'Fórmula'!C102*(INDEX(properties!A$1:CB$87,'Fórmula'!B102,40))+'Fórmula'!E102*(INDEX(properties!A$1:CB$87,'Fórmula'!D102,40))+'Fórmula'!G102*(INDEX(properties!A$1:CB$87,'Fórmula'!F102,40))+'Fórmula'!I102*(INDEX(properties!A$1:CB$87,'Fórmula'!H102,40))+'Fórmula'!K102*(INDEX(properties!A$1:CB$87,'Fórmula'!J102,40))</f>
        <v>6.58</v>
      </c>
      <c r="DZ102" s="110">
        <f t="array" ref="DZ102">VARP(IF(INDEX(properties!A$1:CB$87,'Fórmula'!B102,40)&lt;&gt;"",INDEX(properties!A$1:CB$87,'Fórmula'!B102,40)),IF(INDEX(properties!A$1:CB$87,'Fórmula'!D102,40)&lt;&gt;"",INDEX(properties!A$1:CB$87,'Fórmula'!D102,40)),IF(INDEX(properties!A$1:CB$87,'Fórmula'!F102,40)&lt;&gt;"",INDEX(properties!A$1:CB$87,'Fórmula'!F102,40)),IF(INDEX(properties!A$1:CB$87,'Fórmula'!H102,40)&lt;&gt;"",INDEX(properties!A$1:CB$87,'Fórmula'!H102,40)),IF(INDEX(properties!A$1:CB$87,'Fórmula'!J102,40)&lt;&gt;"",INDEX(properties!A$1:CB$87,'Fórmula'!J102,40)))</f>
        <v>0.310896</v>
      </c>
      <c r="EA102" s="121">
        <f t="array" ref="EA102">MAX(INDEX(properties!A$1:CB$87,'Fórmula'!B102,40),INDEX(properties!A$1:CB$87,'Fórmula'!D102,40),INDEX(properties!A$1:CB$87,'Fórmula'!F102,40),INDEX(properties!A$1:CB$87,'Fórmula'!H102,40),INDEX(properties!A$1:CB$87,'Fórmula'!J102,40))</f>
        <v>1.3</v>
      </c>
      <c r="EB102" s="121">
        <f t="array" ref="EB102">MIN(IF(INDEX(properties!A$1:CB$87,'Fórmula'!B102,40)=0,10^6,INDEX(properties!A$1:CB$87,'Fórmula'!B102,40)),IF(INDEX(properties!A$1:CB$87,'Fórmula'!D102,40)=0,10^6,INDEX(properties!A$1:CB$87,'Fórmula'!D102,40)),IF(INDEX(properties!A$1:CB$87,'Fórmula'!F102,40)=0,10^6,INDEX(properties!A$1:CB$87,'Fórmula'!F102,40)),IF(INDEX(properties!A$1:CB$87,'Fórmula'!H102,40)=0,10^6,INDEX(properties!A$1:CB$87,'Fórmula'!H102,40)),IF(INDEX(properties!A$1:CB$87,'Fórmula'!J102,40)=0,10^6,INDEX(properties!A$1:CB$87,'Fórmula'!J102,40)))</f>
        <v>0.73</v>
      </c>
      <c r="EC102" s="110">
        <f t="shared" si="22"/>
        <v>0.57</v>
      </c>
      <c r="ED102" s="111">
        <f t="array" ref="ED102">(('Fórmula'!C102)/('Fórmula'!C102+'Fórmula'!E102+'Fórmula'!G102+'Fórmula'!I102+'Fórmula'!K102))*(INDEX(properties!A$1:CB$87,'Fórmula'!B102,41))+(('Fórmula'!E102)/('Fórmula'!C102+'Fórmula'!E102+'Fórmula'!G102+'Fórmula'!I102+'Fórmula'!K102))*(INDEX(properties!A$1:CB$87,'Fórmula'!D102,41))+(('Fórmula'!G102)/('Fórmula'!C102+'Fórmula'!E102+'Fórmula'!G102+'Fórmula'!I102+'Fórmula'!K102))*(INDEX(properties!A$1:CB$87,'Fórmula'!F102,41))+(('Fórmula'!I102)/('Fórmula'!C102+'Fórmula'!E102+'Fórmula'!G102+'Fórmula'!I102+'Fórmula'!K102))*(INDEX(properties!A$1:CB$87,'Fórmula'!H102,41))+(('Fórmula'!K102)/('Fórmula'!C102+'Fórmula'!E102+'Fórmula'!G102+'Fórmula'!I102+'Fórmula'!K102))*(INDEX(properties!A$1:CB$87,'Fórmula'!J102,41))</f>
        <v>1.037142857</v>
      </c>
      <c r="EE102" s="111">
        <f t="array" ref="EE102">'Fórmula'!C102*(INDEX(properties!A$1:CB$87,'Fórmula'!B102,41))+'Fórmula'!E102*(INDEX(properties!A$1:CB$87,'Fórmula'!D102,41))+'Fórmula'!G102*(INDEX(properties!A$1:CB$87,'Fórmula'!F102,41))+'Fórmula'!I102*(INDEX(properties!A$1:CB$87,'Fórmula'!H102,41))+'Fórmula'!K102*(INDEX(properties!A$1:CB$87,'Fórmula'!J102,41))</f>
        <v>7.26</v>
      </c>
      <c r="EF102" s="111">
        <f t="array" ref="EF102">VARP(IF(INDEX(properties!A$1:CB$87,'Fórmula'!B102,41)&lt;&gt;"",INDEX(properties!A$1:CB$87,'Fórmula'!B102,41)),IF(INDEX(properties!A$1:CB$87,'Fórmula'!D102,41)&lt;&gt;"",INDEX(properties!A$1:CB$87,'Fórmula'!D102,41)),IF(INDEX(properties!A$1:CB$87,'Fórmula'!F102,41)&lt;&gt;"",INDEX(properties!A$1:CB$87,'Fórmula'!F102,41)),IF(INDEX(properties!A$1:CB$87,'Fórmula'!H102,41)&lt;&gt;"",INDEX(properties!A$1:CB$87,'Fórmula'!H102,41)),IF(INDEX(properties!A$1:CB$87,'Fórmula'!J102,41)&lt;&gt;"",INDEX(properties!A$1:CB$87,'Fórmula'!J102,41)))</f>
        <v>0.24432</v>
      </c>
      <c r="EG102" s="122">
        <f t="array" ref="EG102">MAX(INDEX(properties!A$1:CB$87,'Fórmula'!B102,41),INDEX(properties!A$1:CB$87,'Fórmula'!D102,41),INDEX(properties!A$1:CB$87,'Fórmula'!F102,41),INDEX(properties!A$1:CB$87,'Fórmula'!H102,41),INDEX(properties!A$1:CB$87,'Fórmula'!J102,41))</f>
        <v>1.26</v>
      </c>
      <c r="EH102" s="122">
        <f t="array" ref="EH102">MIN(IF(INDEX(properties!A$1:CB$87,'Fórmula'!B102,41)=0,10^6,INDEX(properties!A$1:CB$87,'Fórmula'!B102,41)),IF(INDEX(properties!A$1:CB$87,'Fórmula'!D102,41)=0,10^6,INDEX(properties!A$1:CB$87,'Fórmula'!D102,41)),IF(INDEX(properties!A$1:CB$87,'Fórmula'!F102,41)=0,10^6,INDEX(properties!A$1:CB$87,'Fórmula'!F102,41)),IF(INDEX(properties!A$1:CB$87,'Fórmula'!H102,41)=0,10^6,INDEX(properties!A$1:CB$87,'Fórmula'!H102,41)),IF(INDEX(properties!A$1:CB$87,'Fórmula'!J102,41)=0,10^6,INDEX(properties!A$1:CB$87,'Fórmula'!J102,41)))</f>
        <v>0.68</v>
      </c>
      <c r="EI102" s="111">
        <f t="shared" si="23"/>
        <v>0.58</v>
      </c>
      <c r="EJ102" s="112">
        <f t="array" ref="EJ102">(('Fórmula'!C102)/('Fórmula'!C102+'Fórmula'!E102+'Fórmula'!G102+'Fórmula'!I102+'Fórmula'!K102))*(INDEX(properties!A$1:CB$87,'Fórmula'!B102,45))+(('Fórmula'!E102)/('Fórmula'!C102+'Fórmula'!E102+'Fórmula'!G102+'Fórmula'!I102+'Fórmula'!K102))*(INDEX(properties!A$1:CB$87,'Fórmula'!D102,45))+(('Fórmula'!G102)/('Fórmula'!C102+'Fórmula'!E102+'Fórmula'!G102+'Fórmula'!I102+'Fórmula'!K102))*(INDEX(properties!A$1:CB$87,'Fórmula'!F102,45))+(('Fórmula'!I102)/('Fórmula'!C102+'Fórmula'!E102+'Fórmula'!G102+'Fórmula'!I102+'Fórmula'!K102))*(INDEX(properties!A$1:CB$87,'Fórmula'!H102,45))+(('Fórmula'!K102)/('Fórmula'!C102+'Fórmula'!E102+'Fórmula'!G102+'Fórmula'!I102+'Fórmula'!K102))*(INDEX(properties!A$1:CB$87,'Fórmula'!J102,45))</f>
        <v>1.038571429</v>
      </c>
      <c r="EK102" s="112">
        <f t="array" ref="EK102">'Fórmula'!C102*(INDEX(properties!A$1:CB$87,'Fórmula'!B102,45))+'Fórmula'!E102*(INDEX(properties!A$1:CB$87,'Fórmula'!D102,45))+'Fórmula'!G102*(INDEX(properties!A$1:CB$87,'Fórmula'!F102,45))+'Fórmula'!I102*(INDEX(properties!A$1:CB$87,'Fórmula'!H102,45))+'Fórmula'!K102*(INDEX(properties!A$1:CB$87,'Fórmula'!J102,45))</f>
        <v>7.27</v>
      </c>
      <c r="EL102" s="112">
        <f t="array" ref="EL102">VARP(IF(INDEX(properties!A$1:CB$87,'Fórmula'!B102,45)&lt;&gt;"",INDEX(properties!A$1:CB$87,'Fórmula'!B102,45)),IF(INDEX(properties!A$1:CB$87,'Fórmula'!D102,45)&lt;&gt;"",INDEX(properties!A$1:CB$87,'Fórmula'!D102,45)),IF(INDEX(properties!A$1:CB$87,'Fórmula'!F102,45)&lt;&gt;"",INDEX(properties!A$1:CB$87,'Fórmula'!F102,45)),IF(INDEX(properties!A$1:CB$87,'Fórmula'!H102,45)&lt;&gt;"",INDEX(properties!A$1:CB$87,'Fórmula'!H102,45)),IF(INDEX(properties!A$1:CB$87,'Fórmula'!J102,45)&lt;&gt;"",INDEX(properties!A$1:CB$87,'Fórmula'!J102,45)))</f>
        <v>0.733944</v>
      </c>
      <c r="EM102" s="123">
        <f t="array" ref="EM102">MAX(INDEX(properties!A$1:CB$87,'Fórmula'!B102,45),INDEX(properties!A$1:CB$87,'Fórmula'!D102,45),INDEX(properties!A$1:CB$87,'Fórmula'!F102,45),INDEX(properties!A$1:CB$87,'Fórmula'!H102,45),INDEX(properties!A$1:CB$87,'Fórmula'!J102,45))</f>
        <v>2.03</v>
      </c>
      <c r="EN102" s="123">
        <f t="array" ref="EN102">MIN(IF(INDEX(properties!A$1:CB$87,'Fórmula'!B102,45)=0,10^6,INDEX(properties!A$1:CB$87,'Fórmula'!B102,45)),IF(INDEX(properties!A$1:CB$87,'Fórmula'!D102,45)=0,10^6,INDEX(properties!A$1:CB$87,'Fórmula'!D102,45)),IF(INDEX(properties!A$1:CB$87,'Fórmula'!F102,45)=0,10^6,INDEX(properties!A$1:CB$87,'Fórmula'!F102,45)),IF(INDEX(properties!A$1:CB$87,'Fórmula'!H102,45)=0,10^6,INDEX(properties!A$1:CB$87,'Fórmula'!H102,45)),IF(INDEX(properties!A$1:CB$87,'Fórmula'!J102,45)=0,10^6,INDEX(properties!A$1:CB$87,'Fórmula'!J102,45)))</f>
        <v>0.47</v>
      </c>
      <c r="EO102" s="112">
        <f t="shared" si="24"/>
        <v>1.56</v>
      </c>
      <c r="EP102" s="113">
        <f t="array" ref="EP102">(('Fórmula'!C102)/('Fórmula'!C102+'Fórmula'!E102+'Fórmula'!G102+'Fórmula'!I102+'Fórmula'!K102))*(INDEX(properties!A$1:CB$87,'Fórmula'!B102,46))+(('Fórmula'!E102)/('Fórmula'!C102+'Fórmula'!E102+'Fórmula'!G102+'Fórmula'!I102+'Fórmula'!K102))*(INDEX(properties!A$1:CB$87,'Fórmula'!D102,46))+(('Fórmula'!G102)/('Fórmula'!C102+'Fórmula'!E102+'Fórmula'!G102+'Fórmula'!I102+'Fórmula'!K102))*(INDEX(properties!A$1:CB$87,'Fórmula'!F102,46))+(('Fórmula'!I102)/('Fórmula'!C102+'Fórmula'!E102+'Fórmula'!G102+'Fórmula'!I102+'Fórmula'!K102))*(INDEX(properties!A$1:CB$87,'Fórmula'!H102,46))+(('Fórmula'!K102)/('Fórmula'!C102+'Fórmula'!E102+'Fórmula'!G102+'Fórmula'!I102+'Fórmula'!K102))*(INDEX(properties!A$1:CB$87,'Fórmula'!J102,46))</f>
        <v>0.9657142857</v>
      </c>
      <c r="EQ102" s="113">
        <f t="array" ref="EQ102">'Fórmula'!C102*(INDEX(properties!A$1:CB$87,'Fórmula'!B102,46))+'Fórmula'!E102*(INDEX(properties!A$1:CB$87,'Fórmula'!D102,46))+'Fórmula'!G102*(INDEX(properties!A$1:CB$87,'Fórmula'!F102,46))+'Fórmula'!I102*(INDEX(properties!A$1:CB$87,'Fórmula'!H102,46))+'Fórmula'!K102*(INDEX(properties!A$1:CB$87,'Fórmula'!J102,46))</f>
        <v>6.76</v>
      </c>
      <c r="ER102" s="113">
        <f t="array" ref="ER102">VARP(IF(INDEX(properties!A$1:CB$87,'Fórmula'!B102,46)&lt;&gt;"",INDEX(properties!A$1:CB$87,'Fórmula'!B102,46)),IF(INDEX(properties!A$1:CB$87,'Fórmula'!D102,46)&lt;&gt;"",INDEX(properties!A$1:CB$87,'Fórmula'!D102,46)),IF(INDEX(properties!A$1:CB$87,'Fórmula'!F102,46)&lt;&gt;"",INDEX(properties!A$1:CB$87,'Fórmula'!F102,46)),IF(INDEX(properties!A$1:CB$87,'Fórmula'!H102,46)&lt;&gt;"",INDEX(properties!A$1:CB$87,'Fórmula'!H102,46)),IF(INDEX(properties!A$1:CB$87,'Fórmula'!J102,46)&lt;&gt;"",INDEX(properties!A$1:CB$87,'Fórmula'!J102,46)))</f>
        <v>0.22652</v>
      </c>
      <c r="ES102" s="124">
        <f t="array" ref="ES102">MAX(INDEX(properties!A$1:CB$87,'Fórmula'!B102,46),INDEX(properties!A$1:CB$87,'Fórmula'!D102,46),INDEX(properties!A$1:CB$87,'Fórmula'!F102,46),INDEX(properties!A$1:CB$87,'Fórmula'!H102,46),INDEX(properties!A$1:CB$87,'Fórmula'!J102,46))</f>
        <v>1.21</v>
      </c>
      <c r="ET102" s="124">
        <f t="array" ref="ET102">MIN(IF(INDEX(properties!A$1:CB$87,'Fórmula'!B102,46)=0,10^6,INDEX(properties!A$1:CB$87,'Fórmula'!B102,46)),IF(INDEX(properties!A$1:CB$87,'Fórmula'!D102,46)=0,10^6,INDEX(properties!A$1:CB$87,'Fórmula'!D102,46)),IF(INDEX(properties!A$1:CB$87,'Fórmula'!F102,46)=0,10^6,INDEX(properties!A$1:CB$87,'Fórmula'!F102,46)),IF(INDEX(properties!A$1:CB$87,'Fórmula'!H102,46)=0,10^6,INDEX(properties!A$1:CB$87,'Fórmula'!H102,46)),IF(INDEX(properties!A$1:CB$87,'Fórmula'!J102,46)=0,10^6,INDEX(properties!A$1:CB$87,'Fórmula'!J102,46)))</f>
        <v>0.53</v>
      </c>
      <c r="EU102" s="113">
        <f t="shared" si="25"/>
        <v>0.68</v>
      </c>
      <c r="EV102" s="114">
        <f t="array" ref="EV102">(('Fórmula'!C102)/('Fórmula'!C102+'Fórmula'!E102+'Fórmula'!G102+'Fórmula'!I102+'Fórmula'!K102))*(INDEX(properties!A$1:CB$87,'Fórmula'!B102,52))+(('Fórmula'!E102)/('Fórmula'!C102+'Fórmula'!E102+'Fórmula'!G102+'Fórmula'!I102+'Fórmula'!K102))*(INDEX(properties!A$1:CB$87,'Fórmula'!D102,52))+(('Fórmula'!G102)/('Fórmula'!C102+'Fórmula'!E102+'Fórmula'!G102+'Fórmula'!I102+'Fórmula'!K102))*(INDEX(properties!A$1:CB$87,'Fórmula'!F102,52))+(('Fórmula'!I102)/('Fórmula'!C102+'Fórmula'!E102+'Fórmula'!G102+'Fórmula'!I102+'Fórmula'!K102))*(INDEX(properties!A$1:CB$87,'Fórmula'!H102,52))+(('Fórmula'!K102)/('Fórmula'!C102+'Fórmula'!E102+'Fórmula'!G102+'Fórmula'!I102+'Fórmula'!K102))*(INDEX(properties!A$1:CB$87,'Fórmula'!J102,52))</f>
        <v>4.338857143</v>
      </c>
      <c r="EW102" s="114">
        <f t="array" ref="EW102">'Fórmula'!C102*(INDEX(properties!A$1:CB$87,'Fórmula'!B102,52))+'Fórmula'!E102*(INDEX(properties!A$1:CB$87,'Fórmula'!D102,52))+'Fórmula'!G102*(INDEX(properties!A$1:CB$87,'Fórmula'!F102,52))+'Fórmula'!I102*(INDEX(properties!A$1:CB$87,'Fórmula'!H102,52))+'Fórmula'!K102*(INDEX(properties!A$1:CB$87,'Fórmula'!J102,52))</f>
        <v>30.372</v>
      </c>
      <c r="EX102" s="114">
        <f t="array" ref="EX102">VARP(IF(INDEX(properties!A$1:CB$87,'Fórmula'!B102,52)&lt;&gt;"",INDEX(properties!A$1:CB$87,'Fórmula'!B102,52)),IF(INDEX(properties!A$1:CB$87,'Fórmula'!D102,52)&lt;&gt;"",INDEX(properties!A$1:CB$87,'Fórmula'!D102,52)),IF(INDEX(properties!A$1:CB$87,'Fórmula'!F102,52)&lt;&gt;"",INDEX(properties!A$1:CB$87,'Fórmula'!F102,52)),IF(INDEX(properties!A$1:CB$87,'Fórmula'!H102,52)&lt;&gt;"",INDEX(properties!A$1:CB$87,'Fórmula'!H102,52)),IF(INDEX(properties!A$1:CB$87,'Fórmula'!J102,52)&lt;&gt;"",INDEX(properties!A$1:CB$87,'Fórmula'!J102,52)))</f>
        <v>20.86319984</v>
      </c>
      <c r="EY102" s="114">
        <f t="array" ref="EY102">MAX(INDEX(properties!A$1:CB$87,'Fórmula'!B102,52),INDEX(properties!A$1:CB$87,'Fórmula'!D102,52),INDEX(properties!A$1:CB$87,'Fórmula'!F102,52),INDEX(properties!A$1:CB$87,'Fórmula'!H102,52),INDEX(properties!A$1:CB$87,'Fórmula'!J102,52))</f>
        <v>10.6</v>
      </c>
      <c r="EZ102" s="114">
        <f t="array" ref="EZ102">MIN(IF(INDEX(properties!A$1:CB$87,'Fórmula'!B102,52)=0,10^6,INDEX(properties!A$1:CB$87,'Fórmula'!B102,52)),IF(INDEX(properties!A$1:CB$87,'Fórmula'!D102,52)=0,10^6,INDEX(properties!A$1:CB$87,'Fórmula'!D102,52)),IF(INDEX(properties!A$1:CB$87,'Fórmula'!F102,52)=0,10^6,INDEX(properties!A$1:CB$87,'Fórmula'!F102,52)),IF(INDEX(properties!A$1:CB$87,'Fórmula'!H102,52)=0,10^6,INDEX(properties!A$1:CB$87,'Fórmula'!H102,52)),IF(INDEX(properties!A$1:CB$87,'Fórmula'!J102,52)=0,10^6,INDEX(properties!A$1:CB$87,'Fórmula'!J102,52)))</f>
        <v>0.793</v>
      </c>
      <c r="FA102" s="114">
        <f t="shared" si="26"/>
        <v>9.807</v>
      </c>
      <c r="FB102" s="115">
        <f t="array" ref="FB102">(('Fórmula'!C102)/('Fórmula'!C102+'Fórmula'!E102+'Fórmula'!G102+'Fórmula'!I102+'Fórmula'!K102))*(INDEX(properties!A$1:CB$87,'Fórmula'!B102,53))+(('Fórmula'!E102)/('Fórmula'!C102+'Fórmula'!E102+'Fórmula'!G102+'Fórmula'!I102+'Fórmula'!K102))*(INDEX(properties!A$1:CB$87,'Fórmula'!D102,53))+(('Fórmula'!G102)/('Fórmula'!C102+'Fórmula'!E102+'Fórmula'!G102+'Fórmula'!I102+'Fórmula'!K102))*(INDEX(properties!A$1:CB$87,'Fórmula'!F102,53))+(('Fórmula'!I102)/('Fórmula'!C102+'Fórmula'!E102+'Fórmula'!G102+'Fórmula'!I102+'Fórmula'!K102))*(INDEX(properties!A$1:CB$87,'Fórmula'!H102,53))+(('Fórmula'!K102)/('Fórmula'!C102+'Fórmula'!E102+'Fórmula'!G102+'Fórmula'!I102+'Fórmula'!K102))*(INDEX(properties!A$1:CB$87,'Fórmula'!J102,53))</f>
        <v>429.6357143</v>
      </c>
      <c r="FC102" s="115">
        <f t="array" ref="FC102">'Fórmula'!C102*(INDEX(properties!A$1:CB$87,'Fórmula'!B102,53))+'Fórmula'!E102*(INDEX(properties!A$1:CB$87,'Fórmula'!D102,53))+'Fórmula'!G102*(INDEX(properties!A$1:CB$87,'Fórmula'!F102,53))+'Fórmula'!I102*(INDEX(properties!A$1:CB$87,'Fórmula'!H102,53))+'Fórmula'!K102*(INDEX(properties!A$1:CB$87,'Fórmula'!J102,53))</f>
        <v>3007.45</v>
      </c>
      <c r="FD102" s="115">
        <f t="array" ref="FD102">VARP(IF(INDEX(properties!A$1:CB$87,'Fórmula'!B102,53)&lt;&gt;"",INDEX(properties!A$1:CB$87,'Fórmula'!B102,53)),IF(INDEX(properties!A$1:CB$87,'Fórmula'!D102,53)&lt;&gt;"",INDEX(properties!A$1:CB$87,'Fórmula'!D102,53)),IF(INDEX(properties!A$1:CB$87,'Fórmula'!F102,53)&lt;&gt;"",INDEX(properties!A$1:CB$87,'Fórmula'!F102,53)),IF(INDEX(properties!A$1:CB$87,'Fórmula'!H102,53)&lt;&gt;"",INDEX(properties!A$1:CB$87,'Fórmula'!H102,53)),IF(INDEX(properties!A$1:CB$87,'Fórmula'!J102,53)&lt;&gt;"",INDEX(properties!A$1:CB$87,'Fórmula'!J102,53)))</f>
        <v>198893.7814</v>
      </c>
      <c r="FE102" s="115">
        <f t="array" ref="FE102">MAX(INDEX(properties!A$1:CB$87,'Fórmula'!B102,53),INDEX(properties!A$1:CB$87,'Fórmula'!D102,53),INDEX(properties!A$1:CB$87,'Fórmula'!F102,53),INDEX(properties!A$1:CB$87,'Fórmula'!H102,53),INDEX(properties!A$1:CB$87,'Fórmula'!J102,53))</f>
        <v>933.15</v>
      </c>
      <c r="FF102" s="115">
        <f t="array" ref="FF102">MIN(IF(INDEX(properties!A$1:CB$87,'Fórmula'!B102,53)=0,10^6,INDEX(properties!A$1:CB$87,'Fórmula'!B102,53)),IF(INDEX(properties!A$1:CB$87,'Fórmula'!D102,53)=0,10^6,INDEX(properties!A$1:CB$87,'Fórmula'!D102,53)),IF(INDEX(properties!A$1:CB$87,'Fórmula'!F102,53)=0,10^6,INDEX(properties!A$1:CB$87,'Fórmula'!F102,53)),IF(INDEX(properties!A$1:CB$87,'Fórmula'!H102,53)=0,10^6,INDEX(properties!A$1:CB$87,'Fórmula'!H102,53)),IF(INDEX(properties!A$1:CB$87,'Fórmula'!J102,53)=0,10^6,INDEX(properties!A$1:CB$87,'Fórmula'!J102,53)))</f>
        <v>54.75</v>
      </c>
      <c r="FG102" s="115">
        <f t="shared" si="27"/>
        <v>878.4</v>
      </c>
      <c r="FH102" s="117">
        <f t="array" ref="FH102">(('Fórmula'!C102)/('Fórmula'!C102+'Fórmula'!E102+'Fórmula'!G102+'Fórmula'!I102+'Fórmula'!K102))*(INDEX(properties!A$1:CB$87,'Fórmula'!B102,54))+(('Fórmula'!E102)/('Fórmula'!C102+'Fórmula'!E102+'Fórmula'!G102+'Fórmula'!I102+'Fórmula'!K102))*(INDEX(properties!A$1:CB$87,'Fórmula'!D102,54))+(('Fórmula'!G102)/('Fórmula'!C102+'Fórmula'!E102+'Fórmula'!G102+'Fórmula'!I102+'Fórmula'!K102))*(INDEX(properties!A$1:CB$87,'Fórmula'!F102,54))+(('Fórmula'!I102)/('Fórmula'!C102+'Fórmula'!E102+'Fórmula'!G102+'Fórmula'!I102+'Fórmula'!K102))*(INDEX(properties!A$1:CB$87,'Fórmula'!H102,54))+(('Fórmula'!K102)/('Fórmula'!C102+'Fórmula'!E102+'Fórmula'!G102+'Fórmula'!I102+'Fórmula'!K102))*(INDEX(properties!A$1:CB$87,'Fórmula'!J102,54))</f>
        <v>1029.15</v>
      </c>
      <c r="FI102" s="117">
        <f t="array" ref="FI102">'Fórmula'!C102*(INDEX(properties!A$1:CB$87,'Fórmula'!B102,54))+'Fórmula'!E102*(INDEX(properties!A$1:CB$87,'Fórmula'!D102,54))+'Fórmula'!G102*(INDEX(properties!A$1:CB$87,'Fórmula'!F102,54))+'Fórmula'!I102*(INDEX(properties!A$1:CB$87,'Fórmula'!H102,54))+'Fórmula'!K102*(INDEX(properties!A$1:CB$87,'Fórmula'!J102,54))</f>
        <v>7204.05</v>
      </c>
      <c r="FJ102" s="117">
        <f t="array" ref="FJ102">VARP(IF(INDEX(properties!A$1:CB$87,'Fórmula'!B102,54)&lt;&gt;"",INDEX(properties!A$1:CB$87,'Fórmula'!B102,54)),IF(INDEX(properties!A$1:CB$87,'Fórmula'!D102,54)&lt;&gt;"",INDEX(properties!A$1:CB$87,'Fórmula'!D102,54)),IF(INDEX(properties!A$1:CB$87,'Fórmula'!F102,54)&lt;&gt;"",INDEX(properties!A$1:CB$87,'Fórmula'!F102,54)),IF(INDEX(properties!A$1:CB$87,'Fórmula'!H102,54)&lt;&gt;"",INDEX(properties!A$1:CB$87,'Fórmula'!H102,54)),IF(INDEX(properties!A$1:CB$87,'Fórmula'!J102,54)&lt;&gt;"",INDEX(properties!A$1:CB$87,'Fórmula'!J102,54)))</f>
        <v>1171544.477</v>
      </c>
      <c r="FK102" s="117">
        <f t="array" ref="FK102">MAX(INDEX(properties!A$1:CB$87,'Fórmula'!B102,54),INDEX(properties!A$1:CB$87,'Fórmula'!D102,54),INDEX(properties!A$1:CB$87,'Fórmula'!F102,54),INDEX(properties!A$1:CB$87,'Fórmula'!H102,54),INDEX(properties!A$1:CB$87,'Fórmula'!J102,54))</f>
        <v>2740.15</v>
      </c>
      <c r="FL102" s="117">
        <f t="array" ref="FL102">MIN(IF(INDEX(properties!A$1:CB$87,'Fórmula'!B102,54)=0,10^6,INDEX(properties!A$1:CB$87,'Fórmula'!B102,54)),IF(INDEX(properties!A$1:CB$87,'Fórmula'!D102,54)=0,10^6,INDEX(properties!A$1:CB$87,'Fórmula'!D102,54)),IF(INDEX(properties!A$1:CB$87,'Fórmula'!F102,54)=0,10^6,INDEX(properties!A$1:CB$87,'Fórmula'!F102,54)),IF(INDEX(properties!A$1:CB$87,'Fórmula'!H102,54)=0,10^6,INDEX(properties!A$1:CB$87,'Fórmula'!H102,54)),IF(INDEX(properties!A$1:CB$87,'Fórmula'!J102,54)=0,10^6,INDEX(properties!A$1:CB$87,'Fórmula'!J102,54)))</f>
        <v>90.15</v>
      </c>
      <c r="FM102" s="117">
        <f t="shared" si="28"/>
        <v>2650</v>
      </c>
      <c r="FN102" s="118">
        <f t="array" ref="FN102">(('Fórmula'!C102)/('Fórmula'!C102+'Fórmula'!E102+'Fórmula'!G102+'Fórmula'!I102+'Fórmula'!K102))*(INDEX(properties!A$1:CB$87,'Fórmula'!B102,55))+(('Fórmula'!E102)/('Fórmula'!C102+'Fórmula'!E102+'Fórmula'!G102+'Fórmula'!I102+'Fórmula'!K102))*(INDEX(properties!A$1:CB$87,'Fórmula'!D102,55))+(('Fórmula'!G102)/('Fórmula'!C102+'Fórmula'!E102+'Fórmula'!G102+'Fórmula'!I102+'Fórmula'!K102))*(INDEX(properties!A$1:CB$87,'Fórmula'!F102,55))+(('Fórmula'!I102)/('Fórmula'!C102+'Fórmula'!E102+'Fórmula'!G102+'Fórmula'!I102+'Fórmula'!K102))*(INDEX(properties!A$1:CB$87,'Fórmula'!H102,55))+(('Fórmula'!K102)/('Fórmula'!C102+'Fórmula'!E102+'Fórmula'!G102+'Fórmula'!I102+'Fórmula'!K102))*(INDEX(properties!A$1:CB$87,'Fórmula'!J102,55))</f>
        <v>1.020817143</v>
      </c>
      <c r="FO102" s="118">
        <f t="array" ref="FO102">'Fórmula'!C102*(INDEX(properties!A$1:CB$87,'Fórmula'!B102,55))+'Fórmula'!E102*(INDEX(properties!A$1:CB$87,'Fórmula'!D102,54))+'Fórmula'!G102*(INDEX(properties!A$1:CB$87,'Fórmula'!F102,55))+'Fórmula'!I102*(INDEX(properties!A$1:CB$87,'Fórmula'!H102,55))+'Fórmula'!K102*(INDEX(properties!A$1:CB$87,'Fórmula'!J102,55))</f>
        <v>5482.04572</v>
      </c>
      <c r="FP102" s="118">
        <f t="array" ref="FP102">VARP(IF(INDEX(properties!A$1:CB$87,'Fórmula'!B102,55)&lt;&gt;"",INDEX(properties!A$1:CB$87,'Fórmula'!B102,55)),IF(INDEX(properties!A$1:CB$87,'Fórmula'!D102,55)&lt;&gt;"",INDEX(properties!A$1:CB$87,'Fórmula'!D102,55)),IF(INDEX(properties!A$1:CB$87,'Fórmula'!F102,55)&lt;&gt;"",INDEX(properties!A$1:CB$87,'Fórmula'!F102,55)),IF(INDEX(properties!A$1:CB$87,'Fórmula'!H102,55)&lt;&gt;"",INDEX(properties!A$1:CB$87,'Fórmula'!H102,55)),IF(INDEX(properties!A$1:CB$87,'Fórmula'!J102,55)&lt;&gt;"",INDEX(properties!A$1:CB$87,'Fórmula'!J102,55)))</f>
        <v>1.274468391</v>
      </c>
      <c r="FQ102" s="118">
        <f t="array" ref="FQ102">MAX(INDEX(properties!A$1:CB$87,'Fórmula'!B102,55),INDEX(properties!A$1:CB$87,'Fórmula'!D102,55),INDEX(properties!A$1:CB$87,'Fórmula'!F102,55),INDEX(properties!A$1:CB$87,'Fórmula'!H102,55),INDEX(properties!A$1:CB$87,'Fórmula'!J102,55))</f>
        <v>2.7</v>
      </c>
      <c r="FR102" s="118">
        <f t="array" ref="FR102">MIN(IF(INDEX(properties!A$1:CB$87,'Fórmula'!B102,55)=0,10^6,INDEX(properties!A$1:CB$87,'Fórmula'!B102,55)),IF(INDEX(properties!A$1:CB$87,'Fórmula'!D102,55)=0,10^6,INDEX(properties!A$1:CB$87,'Fórmula'!D102,55)),IF(INDEX(properties!A$1:CB$87,'Fórmula'!F102,55)=0,10^6,INDEX(properties!A$1:CB$87,'Fórmula'!F102,55)),IF(INDEX(properties!A$1:CB$87,'Fórmula'!H102,55)=0,10^6,INDEX(properties!A$1:CB$87,'Fórmula'!H102,55)),IF(INDEX(properties!A$1:CB$87,'Fórmula'!J102,55)=0,10^6,INDEX(properties!A$1:CB$87,'Fórmula'!J102,55)))</f>
        <v>0.00143</v>
      </c>
      <c r="FS102" s="118">
        <f t="shared" si="29"/>
        <v>2.69857</v>
      </c>
      <c r="FT102" s="119">
        <f t="array" ref="FT102">(('Fórmula'!C102)/('Fórmula'!C102+'Fórmula'!E102+'Fórmula'!G102+'Fórmula'!I102+'Fórmula'!K102))*(INDEX(properties!A$1:CB$87,'Fórmula'!B102,56))+(('Fórmula'!E102)/('Fórmula'!C102+'Fórmula'!E102+'Fórmula'!G102+'Fórmula'!I102+'Fórmula'!K102))*(INDEX(properties!A$1:CB$87,'Fórmula'!D102,56))+(('Fórmula'!G102)/('Fórmula'!C102+'Fórmula'!E102+'Fórmula'!G102+'Fórmula'!I102+'Fórmula'!K102))*(INDEX(properties!A$1:CB$87,'Fórmula'!F102,56))+(('Fórmula'!I102)/('Fórmula'!C102+'Fórmula'!E102+'Fórmula'!G102+'Fórmula'!I102+'Fórmula'!K102))*(INDEX(properties!A$1:CB$87,'Fórmula'!H102,56))+(('Fórmula'!K102)/('Fórmula'!C102+'Fórmula'!E102+'Fórmula'!G102+'Fórmula'!I102+'Fórmula'!K102))*(INDEX(properties!A$1:CB$87,'Fórmula'!J102,56))</f>
        <v>0.9285714286</v>
      </c>
      <c r="FU102" s="119">
        <f t="array" ref="FU102">'Fórmula'!C102*(INDEX(properties!A$1:CB$87,'Fórmula'!B102,56))+'Fórmula'!E102*(INDEX(properties!A$1:CB$87,'Fórmula'!D102,56))+'Fórmula'!G102*(INDEX(properties!A$1:CB$87,'Fórmula'!F102,56))+'Fórmula'!I102*(INDEX(properties!A$1:CB$87,'Fórmula'!H102,56))+'Fórmula'!K102*(INDEX(properties!A$1:CB$87,'Fórmula'!J102,56))</f>
        <v>6.5</v>
      </c>
      <c r="FV102" s="119">
        <f t="array" ref="FV102">VARP(IF(INDEX(properties!A$1:CB$87,'Fórmula'!B102,56)&lt;&gt;"",INDEX(properties!A$1:CB$87,'Fórmula'!B102,56)),IF(INDEX(properties!A$1:CB$87,'Fórmula'!D102,56)&lt;&gt;"",INDEX(properties!A$1:CB$87,'Fórmula'!D102,56)),IF(INDEX(properties!A$1:CB$87,'Fórmula'!F102,56)&lt;&gt;"",INDEX(properties!A$1:CB$87,'Fórmula'!F102,56)),IF(INDEX(properties!A$1:CB$87,'Fórmula'!H102,56)&lt;&gt;"",INDEX(properties!A$1:CB$87,'Fórmula'!H102,56)),IF(INDEX(properties!A$1:CB$87,'Fórmula'!J102,56)&lt;&gt;"",INDEX(properties!A$1:CB$87,'Fórmula'!J102,56)))</f>
        <v>0.216736</v>
      </c>
      <c r="FW102" s="119">
        <f t="array" ref="FW102">MAX(INDEX(properties!A$1:CB$87,'Fórmula'!B102,56),INDEX(properties!A$1:CB$87,'Fórmula'!D102,56),INDEX(properties!A$1:CB$87,'Fórmula'!F102,56),INDEX(properties!A$1:CB$87,'Fórmula'!H102,56),INDEX(properties!A$1:CB$87,'Fórmula'!J102,56))</f>
        <v>1.02</v>
      </c>
      <c r="FX102" s="119">
        <f t="array" ref="FX102">MIN(IF(INDEX(properties!A$1:CB$87,'Fórmula'!B102,56)=0,10^6,INDEX(properties!A$1:CB$87,'Fórmula'!B102,56)),IF(INDEX(properties!A$1:CB$87,'Fórmula'!D102,56)=0,10^6,INDEX(properties!A$1:CB$87,'Fórmula'!D102,56)),IF(INDEX(properties!A$1:CB$87,'Fórmula'!F102,56)=0,10^6,INDEX(properties!A$1:CB$87,'Fórmula'!F102,56)),IF(INDEX(properties!A$1:CB$87,'Fórmula'!H102,56)=0,10^6,INDEX(properties!A$1:CB$87,'Fórmula'!H102,56)),IF(INDEX(properties!A$1:CB$87,'Fórmula'!J102,56)=0,10^6,INDEX(properties!A$1:CB$87,'Fórmula'!J102,56)))</f>
        <v>0.9</v>
      </c>
      <c r="FY102" s="119">
        <f t="shared" si="30"/>
        <v>0.12</v>
      </c>
      <c r="FZ102" s="104">
        <f t="array" ref="FZ102">(('Fórmula'!C102)/('Fórmula'!C102+'Fórmula'!E102+'Fórmula'!G102+'Fórmula'!I102+'Fórmula'!K102))*(INDEX(properties!A$1:CB$87,'Fórmula'!B102,57))+(('Fórmula'!E102)/('Fórmula'!C102+'Fórmula'!E102+'Fórmula'!G102+'Fórmula'!I102+'Fórmula'!K102))*(INDEX(properties!A$1:CB$87,'Fórmula'!D102,57))+(('Fórmula'!G102)/('Fórmula'!C102+'Fórmula'!E102+'Fórmula'!G102+'Fórmula'!I102+'Fórmula'!K102))*(INDEX(properties!A$1:CB$87,'Fórmula'!F102,57))+(('Fórmula'!I102)/('Fórmula'!C102+'Fórmula'!E102+'Fórmula'!G102+'Fórmula'!I102+'Fórmula'!K102))*(INDEX(properties!A$1:CB$87,'Fórmula'!H102,57))+(('Fórmula'!K102)/('Fórmula'!C102+'Fórmula'!E102+'Fórmula'!G102+'Fórmula'!I102+'Fórmula'!K102))*(INDEX(properties!A$1:CB$87,'Fórmula'!J102,57))</f>
        <v>4.489194286</v>
      </c>
      <c r="GA102" s="104">
        <f t="array" ref="GA102">'Fórmula'!C102*(INDEX(properties!A$1:CB$87,'Fórmula'!B102,57))+'Fórmula'!E102*(INDEX(properties!A$1:CB$87,'Fórmula'!D102,57))+'Fórmula'!G102*(INDEX(properties!A$1:CB$87,'Fórmula'!F102,57))+'Fórmula'!I102*(INDEX(properties!A$1:CB$87,'Fórmula'!H102,57))+'Fórmula'!K102*(INDEX(properties!A$1:CB$87,'Fórmula'!J102,57))</f>
        <v>31.42436</v>
      </c>
      <c r="GB102" s="104">
        <f t="array" ref="GB102">VARP(IF(INDEX(properties!A$1:CB$87,'Fórmula'!B102,57)&lt;&gt;"",INDEX(properties!A$1:CB$87,'Fórmula'!B102,57)),IF(INDEX(properties!A$1:CB$87,'Fórmula'!D102,57)&lt;&gt;"",INDEX(properties!A$1:CB$87,'Fórmula'!D102,57)),IF(INDEX(properties!A$1:CB$87,'Fórmula'!F102,57)&lt;&gt;"",INDEX(properties!A$1:CB$87,'Fórmula'!F102,57)),IF(INDEX(properties!A$1:CB$87,'Fórmula'!H102,57)&lt;&gt;"",INDEX(properties!A$1:CB$87,'Fórmula'!H102,57)),IF(INDEX(properties!A$1:CB$87,'Fórmula'!J102,57)&lt;&gt;"",INDEX(properties!A$1:CB$87,'Fórmula'!J102,57)))</f>
        <v>23.38296381</v>
      </c>
      <c r="GC102" s="104">
        <f t="array" ref="GC102">MAX(INDEX(properties!A$1:CB$87,'Fórmula'!B102,57),INDEX(properties!A$1:CB$87,'Fórmula'!D102,57),INDEX(properties!A$1:CB$87,'Fórmula'!F102,57),INDEX(properties!A$1:CB$87,'Fórmula'!H102,57),INDEX(properties!A$1:CB$87,'Fórmula'!J102,57))</f>
        <v>10.79</v>
      </c>
      <c r="GD102" s="104">
        <f t="array" ref="GD102">MIN(IF(INDEX(properties!A$1:CB$87,'Fórmula'!B102,57)=0,10^6,INDEX(properties!A$1:CB$87,'Fórmula'!B102,57)),IF(INDEX(properties!A$1:CB$87,'Fórmula'!D102,57)=0,10^6,INDEX(properties!A$1:CB$87,'Fórmula'!D102,57)),IF(INDEX(properties!A$1:CB$87,'Fórmula'!F102,57)=0,10^6,INDEX(properties!A$1:CB$87,'Fórmula'!F102,57)),IF(INDEX(properties!A$1:CB$87,'Fórmula'!H102,57)=0,10^6,INDEX(properties!A$1:CB$87,'Fórmula'!H102,57)),IF(INDEX(properties!A$1:CB$87,'Fórmula'!J102,57)=0,10^6,INDEX(properties!A$1:CB$87,'Fórmula'!J102,57)))</f>
        <v>0.22259</v>
      </c>
      <c r="GE102" s="104">
        <f t="shared" si="31"/>
        <v>10.56741</v>
      </c>
      <c r="GF102" s="105">
        <f t="array" ref="GF102">(('Fórmula'!C102)/('Fórmula'!C102+'Fórmula'!E102+'Fórmula'!G102+'Fórmula'!I102+'Fórmula'!K102))*(INDEX(properties!A$1:CB$87,'Fórmula'!B102,60))+(('Fórmula'!E102)/('Fórmula'!C102+'Fórmula'!E102+'Fórmula'!G102+'Fórmula'!I102+'Fórmula'!K102))*(INDEX(properties!A$1:CB$87,'Fórmula'!D102,60))+(('Fórmula'!G102)/('Fórmula'!C102+'Fórmula'!E102+'Fórmula'!G102+'Fórmula'!I102+'Fórmula'!K102))*(INDEX(properties!A$1:CB$87,'Fórmula'!F102,60))+(('Fórmula'!I102)/('Fórmula'!C102+'Fórmula'!E102+'Fórmula'!G102+'Fórmula'!I102+'Fórmula'!K102))*(INDEX(properties!A$1:CB$87,'Fórmula'!H102,60))+(('Fórmula'!K102)/('Fórmula'!C102+'Fórmula'!E102+'Fórmula'!G102+'Fórmula'!I102+'Fórmula'!K102))*(INDEX(properties!A$1:CB$87,'Fórmula'!J102,60))</f>
        <v>90.01528</v>
      </c>
      <c r="GG102" s="105">
        <f t="array" ref="GG102">'Fórmula'!C102*(INDEX(properties!A$1:CB$87,'Fórmula'!B102,60))+'Fórmula'!E102*(INDEX(properties!A$1:CB$87,'Fórmula'!D102,60))+'Fórmula'!G102*(INDEX(properties!A$1:CB$87,'Fórmula'!F102,60))+'Fórmula'!I102*(INDEX(properties!A$1:CB$87,'Fórmula'!H102,60))+'Fórmula'!K102*(INDEX(properties!A$1:CB$87,'Fórmula'!J102,60))</f>
        <v>630.10696</v>
      </c>
      <c r="GH102" s="105">
        <f t="array" ref="GH102">VARP(IF(INDEX(properties!A$1:CB$87,'Fórmula'!B102,60)&lt;&gt;"",INDEX(properties!A$1:CB$87,'Fórmula'!B102,60)),IF(INDEX(properties!A$1:CB$87,'Fórmula'!D102,60)&lt;&gt;"",INDEX(properties!A$1:CB$87,'Fórmula'!D102,60)),IF(INDEX(properties!A$1:CB$87,'Fórmula'!F102,60)&lt;&gt;"",INDEX(properties!A$1:CB$87,'Fórmula'!F102,60)),IF(INDEX(properties!A$1:CB$87,'Fórmula'!H102,60)&lt;&gt;"",INDEX(properties!A$1:CB$87,'Fórmula'!H102,60)),IF(INDEX(properties!A$1:CB$87,'Fórmula'!J102,60)&lt;&gt;"",INDEX(properties!A$1:CB$87,'Fórmula'!J102,60)))</f>
        <v>9922.199409</v>
      </c>
      <c r="GI102" s="105">
        <f t="array" ref="GI102">MAX(INDEX(properties!A$1:CB$87,'Fórmula'!B102,60),INDEX(properties!A$1:CB$87,'Fórmula'!D102,60),INDEX(properties!A$1:CB$87,'Fórmula'!F102,60),INDEX(properties!A$1:CB$87,'Fórmula'!H102,60),INDEX(properties!A$1:CB$87,'Fórmula'!J102,60))</f>
        <v>237</v>
      </c>
      <c r="GJ102" s="105">
        <f t="array" ref="GJ102">MIN(IF(INDEX(properties!A$1:CB$87,'Fórmula'!B102,60)=0,10^6,INDEX(properties!A$1:CB$87,'Fórmula'!B102,60)),IF(INDEX(properties!A$1:CB$87,'Fórmula'!D102,60)=0,10^6,INDEX(properties!A$1:CB$87,'Fórmula'!D102,60)),IF(INDEX(properties!A$1:CB$87,'Fórmula'!F102,60)=0,10^6,INDEX(properties!A$1:CB$87,'Fórmula'!F102,60)),IF(INDEX(properties!A$1:CB$87,'Fórmula'!H102,60)=0,10^6,INDEX(properties!A$1:CB$87,'Fórmula'!H102,60)),IF(INDEX(properties!A$1:CB$87,'Fórmula'!J102,60)=0,10^6,INDEX(properties!A$1:CB$87,'Fórmula'!J102,60)))</f>
        <v>0.02674</v>
      </c>
      <c r="GK102" s="105">
        <f t="shared" si="32"/>
        <v>236.97326</v>
      </c>
      <c r="GL102" s="106">
        <f t="array" ref="GL102">(('Fórmula'!C102)/('Fórmula'!C102+'Fórmula'!E102+'Fórmula'!G102+'Fórmula'!I102+'Fórmula'!K102))*(INDEX(properties!A$1:CB$87,'Fórmula'!B102,62))+(('Fórmula'!E102)/('Fórmula'!C102+'Fórmula'!E102+'Fórmula'!G102+'Fórmula'!I102+'Fórmula'!K102))*(INDEX(properties!A$1:CB$87,'Fórmula'!D102,62))+(('Fórmula'!G102)/('Fórmula'!C102+'Fórmula'!E102+'Fórmula'!G102+'Fórmula'!I102+'Fórmula'!K102))*(INDEX(properties!A$1:CB$87,'Fórmula'!F102,62))+(('Fórmula'!I102)/('Fórmula'!C102+'Fórmula'!E102+'Fórmula'!G102+'Fórmula'!I102+'Fórmula'!K102))*(INDEX(properties!A$1:CB$87,'Fórmula'!H102,62))+(('Fórmula'!K102)/('Fórmula'!C102+'Fórmula'!E102+'Fórmula'!G102+'Fórmula'!I102+'Fórmula'!K102))*(INDEX(properties!A$1:CB$87,'Fórmula'!J102,62))</f>
        <v>2.681428571</v>
      </c>
      <c r="GM102" s="106">
        <f t="array" ref="GM102">'Fórmula'!C102*(INDEX(properties!A$1:CB$87,'Fórmula'!B102,62))+'Fórmula'!E102*(INDEX(properties!A$1:CB$87,'Fórmula'!D102,62))+'Fórmula'!G102*(INDEX(properties!A$1:CB$87,'Fórmula'!F102,62))+'Fórmula'!I102*(INDEX(properties!A$1:CB$87,'Fórmula'!H102,62))+'Fórmula'!K102*(INDEX(properties!A$1:CB$87,'Fórmula'!J102,62))</f>
        <v>18.77</v>
      </c>
      <c r="GN102" s="106">
        <f t="array" ref="GN102">VARP(IF(INDEX(properties!A$1:CB$87,'Fórmula'!B102,62)&lt;&gt;"",INDEX(properties!A$1:CB$87,'Fórmula'!B102,62)),IF(INDEX(properties!A$1:CB$87,'Fórmula'!D102,62)&lt;&gt;"",INDEX(properties!A$1:CB$87,'Fórmula'!D102,62)),IF(INDEX(properties!A$1:CB$87,'Fórmula'!F102,62)&lt;&gt;"",INDEX(properties!A$1:CB$87,'Fórmula'!F102,62)),IF(INDEX(properties!A$1:CB$87,'Fórmula'!H102,62)&lt;&gt;"",INDEX(properties!A$1:CB$87,'Fórmula'!H102,62)),IF(INDEX(properties!A$1:CB$87,'Fórmula'!J102,62)&lt;&gt;"",INDEX(properties!A$1:CB$87,'Fórmula'!J102,62)))</f>
        <v>1.865304</v>
      </c>
      <c r="GO102" s="106">
        <f t="array" ref="GO102">MAX(INDEX(properties!A$1:CB$87,'Fórmula'!B102,62),INDEX(properties!A$1:CB$87,'Fórmula'!D102,62),INDEX(properties!A$1:CB$87,'Fórmula'!F102,62),INDEX(properties!A$1:CB$87,'Fórmula'!H102,62),INDEX(properties!A$1:CB$87,'Fórmula'!J102,62))</f>
        <v>3.39</v>
      </c>
      <c r="GP102" s="106">
        <f t="array" ref="GP102">MIN(IF(INDEX(properties!A$1:CB$87,'Fórmula'!B102,62)=0,10^6,INDEX(properties!A$1:CB$87,'Fórmula'!B102,62)),IF(INDEX(properties!A$1:CB$87,'Fórmula'!D102,62)=0,10^6,INDEX(properties!A$1:CB$87,'Fórmula'!D102,62)),IF(INDEX(properties!A$1:CB$87,'Fórmula'!F102,62)=0,10^6,INDEX(properties!A$1:CB$87,'Fórmula'!F102,62)),IF(INDEX(properties!A$1:CB$87,'Fórmula'!H102,62)=0,10^6,INDEX(properties!A$1:CB$87,'Fórmula'!H102,62)),IF(INDEX(properties!A$1:CB$87,'Fórmula'!J102,62)=0,10^6,INDEX(properties!A$1:CB$87,'Fórmula'!J102,62)))</f>
        <v>1.51</v>
      </c>
      <c r="GQ102" s="106">
        <f t="shared" si="33"/>
        <v>1.88</v>
      </c>
      <c r="GR102" s="106">
        <f>'Fórmula'!Q102</f>
        <v>227</v>
      </c>
      <c r="GS102" s="107">
        <f>'Fórmula'!P102</f>
        <v>1</v>
      </c>
      <c r="GT102" s="113">
        <f>'Fórmula'!O102</f>
        <v>3.59</v>
      </c>
      <c r="GU102" s="114">
        <f>AVERAGE('Fórmula'!R102/'Fórmula'!S102,'Fórmula'!S102/'Fórmula'!T102,'Fórmula'!T102/'Fórmula'!R102)</f>
        <v>1</v>
      </c>
      <c r="GV102" s="125">
        <f>'Fórmula'!U102</f>
        <v>526.26</v>
      </c>
      <c r="GW102" s="106">
        <f>'Fórmula'!N102</f>
        <v>0.075</v>
      </c>
    </row>
    <row r="103" ht="14.25" customHeight="1">
      <c r="A103" s="99" t="str">
        <f>'Fórmula'!A103</f>
        <v>Y2Si2O7</v>
      </c>
      <c r="B103" s="100">
        <f t="array" ref="B103">(('Fórmula'!C103)/('Fórmula'!C103+'Fórmula'!E103+'Fórmula'!G103+'Fórmula'!I103+'Fórmula'!K103))*(INDEX(properties!A$1:CB$87,'Fórmula'!B103,3))+(('Fórmula'!E103)/('Fórmula'!C103+'Fórmula'!E103+'Fórmula'!G103+'Fórmula'!I103+'Fórmula'!K103))*(INDEX(properties!A$1:CB$87,'Fórmula'!D103,3))+(('Fórmula'!G103)/('Fórmula'!C103+'Fórmula'!E103+'Fórmula'!G103+'Fórmula'!I103+'Fórmula'!K103))*(INDEX(properties!A$1:CB$87,'Fórmula'!F103,3))+(('Fórmula'!I103)/('Fórmula'!C103+'Fórmula'!E103+'Fórmula'!G103+'Fórmula'!I103+'Fórmula'!K103))*(INDEX(properties!A$1:CB$87,'Fórmula'!H103,3))+(('Fórmula'!K103)/('Fórmula'!C103+'Fórmula'!E103+'Fórmula'!G103+'Fórmula'!I103+'Fórmula'!K103))*(INDEX(properties!A$1:CB$87,'Fórmula'!J103,3))</f>
        <v>31.45258909</v>
      </c>
      <c r="C103" s="101">
        <f t="array" ref="C103">'Fórmula'!C103*(INDEX(properties!A$1:CB$87,'Fórmula'!B103,3))+'Fórmula'!E103*(INDEX(properties!A$1:CB$87,'Fórmula'!D103,3))+'Fórmula'!G103*(INDEX(properties!A$1:CB$87,'Fórmula'!F103,3))+'Fórmula'!I103*(INDEX(properties!A$1:CB$87,'Fórmula'!H103,3))+'Fórmula'!K103*(INDEX(properties!A$1:CB$87,'Fórmula'!J103,3))</f>
        <v>345.97848</v>
      </c>
      <c r="D103" s="101">
        <f t="array" ref="D103">VARP(IF(INDEX(properties!A$1:CB$87,'Fórmula'!B103,3)&lt;&gt;"",INDEX(properties!A$1:CB$87,'Fórmula'!B103,3)),IF(INDEX(properties!A$1:CB$87,'Fórmula'!D103,3)&lt;&gt;"",INDEX(properties!A$1:CB$87,'Fórmula'!D103,3)),IF(INDEX(properties!A$1:CB$87,'Fórmula'!F103,3)&lt;&gt;"",INDEX(properties!A$1:CB$87,'Fórmula'!F103,3)),IF(INDEX(properties!A$1:CB$87,'Fórmula'!H103,3)&lt;&gt;"",INDEX(properties!A$1:CB$87,'Fórmula'!H103,3)),IF(INDEX(properties!A$1:CB$87,'Fórmula'!J103,3)&lt;&gt;"",INDEX(properties!A$1:CB$87,'Fórmula'!J103,3)))</f>
        <v>1082.343422</v>
      </c>
      <c r="E103" s="101">
        <f t="array" ref="E103">MAX(INDEX(properties!A$1:CB$87,'Fórmula'!B103,3),INDEX(properties!A$1:CB$87,'Fórmula'!D103,3),INDEX(properties!A$1:CB$87,'Fórmula'!F103,3),INDEX(properties!A$1:CB$87,'Fórmula'!H103,3),INDEX(properties!A$1:CB$87,'Fórmula'!J103,3))</f>
        <v>88.90584</v>
      </c>
      <c r="F103" s="101">
        <f t="array" ref="F103">MIN(IF(INDEX(properties!A$1:CB$87,'Fórmula'!B103,3)=0,10^6,INDEX(properties!A$1:CB$87,'Fórmula'!B103,3)),IF(INDEX(properties!A$1:CB$87,'Fórmula'!D103,3)=0,10^6,INDEX(properties!A$1:CB$87,'Fórmula'!D103,3)),IF(INDEX(properties!A$1:CB$87,'Fórmula'!F103,3)=0,10^6,INDEX(properties!A$1:CB$87,'Fórmula'!F103,3)),IF(INDEX(properties!A$1:CB$87,'Fórmula'!H103,3)=0,10^6,INDEX(properties!A$1:CB$87,'Fórmula'!H103,3)),IF(INDEX(properties!A$1:CB$87,'Fórmula'!J103,3)=0,10^6,INDEX(properties!A$1:CB$87,'Fórmula'!J103,3)))</f>
        <v>15.9994</v>
      </c>
      <c r="G103" s="101">
        <f t="shared" si="1"/>
        <v>72.90644</v>
      </c>
      <c r="H103" s="102">
        <f t="array" ref="H103">(('Fórmula'!C103)/('Fórmula'!C103+'Fórmula'!E103+'Fórmula'!G103+'Fórmula'!I103+'Fórmula'!K103))*(INDEX(properties!A$1:CB$87,'Fórmula'!B103,4))+(('Fórmula'!E103)/('Fórmula'!C103+'Fórmula'!E103+'Fórmula'!G103+'Fórmula'!I103+'Fórmula'!K103))*(INDEX(properties!A$1:CB$87,'Fórmula'!D103,4))+(('Fórmula'!G103)/('Fórmula'!C103+'Fórmula'!E103+'Fórmula'!G103+'Fórmula'!I103+'Fórmula'!K103))*(INDEX(properties!A$1:CB$87,'Fórmula'!F103,4))+(('Fórmula'!I103)/('Fórmula'!C103+'Fórmula'!E103+'Fórmula'!G103+'Fórmula'!I103+'Fórmula'!K103))*(INDEX(properties!A$1:CB$87,'Fórmula'!H103,4))+(('Fórmula'!K103)/('Fórmula'!C103+'Fórmula'!E103+'Fórmula'!G103+'Fórmula'!I103+'Fórmula'!K103))*(INDEX(properties!A$1:CB$87,'Fórmula'!J103,4))</f>
        <v>14.72727273</v>
      </c>
      <c r="I103" s="102">
        <f t="array" ref="I103">'Fórmula'!C103*(INDEX(properties!A$1:CB$87,'Fórmula'!B103,4))+'Fórmula'!E103*(INDEX(properties!A$1:CB$87,'Fórmula'!D103,4))+'Fórmula'!G103*(INDEX(properties!A$1:CB$87,'Fórmula'!F103,4))+'Fórmula'!I103*(INDEX(properties!A$1:CB$87,'Fórmula'!H103,4))+'Fórmula'!K103*(INDEX(properties!A$1:CB$87,'Fórmula'!J103,4))</f>
        <v>162</v>
      </c>
      <c r="J103" s="102">
        <f t="array" ref="J103">VARP(IF(INDEX(properties!A$1:CB$87,'Fórmula'!B103,4)&lt;&gt;"",INDEX(properties!A$1:CB$87,'Fórmula'!B103,4)),IF(INDEX(properties!A$1:CB$87,'Fórmula'!D103,4)&lt;&gt;"",INDEX(properties!A$1:CB$87,'Fórmula'!D103,4)),IF(INDEX(properties!A$1:CB$87,'Fórmula'!F103,4)&lt;&gt;"",INDEX(properties!A$1:CB$87,'Fórmula'!F103,4)),IF(INDEX(properties!A$1:CB$87,'Fórmula'!H103,4)&lt;&gt;"",INDEX(properties!A$1:CB$87,'Fórmula'!H103,4)),IF(INDEX(properties!A$1:CB$87,'Fórmula'!J103,4)&lt;&gt;"",INDEX(properties!A$1:CB$87,'Fórmula'!J103,4)))</f>
        <v>207.36</v>
      </c>
      <c r="K103" s="102">
        <f t="array" ref="K103">MAX(INDEX(properties!A$1:CB$87,'Fórmula'!B103,4),INDEX(properties!A$1:CB$87,'Fórmula'!D103,4),INDEX(properties!A$1:CB$87,'Fórmula'!F103,4),INDEX(properties!A$1:CB$87,'Fórmula'!H103,4),INDEX(properties!A$1:CB$87,'Fórmula'!J103,4))</f>
        <v>39</v>
      </c>
      <c r="L103" s="102">
        <f t="array" ref="L103">MIN(IF(INDEX(properties!A$1:CB$87,'Fórmula'!B103,4)=0,10^6,INDEX(properties!A$1:CB$87,'Fórmula'!B103,4)),IF(INDEX(properties!A$1:CB$87,'Fórmula'!D103,4)=0,10^6,INDEX(properties!A$1:CB$87,'Fórmula'!D103,4)),IF(INDEX(properties!A$1:CB$87,'Fórmula'!F103,4)=0,10^6,INDEX(properties!A$1:CB$87,'Fórmula'!F103,4)),IF(INDEX(properties!A$1:CB$87,'Fórmula'!H103,4)=0,10^6,INDEX(properties!A$1:CB$87,'Fórmula'!H103,4)),IF(INDEX(properties!A$1:CB$87,'Fórmula'!J103,4)=0,10^6,INDEX(properties!A$1:CB$87,'Fórmula'!J103,4)))</f>
        <v>8</v>
      </c>
      <c r="M103" s="102">
        <f t="shared" si="2"/>
        <v>31</v>
      </c>
      <c r="N103" s="103">
        <f t="array" ref="N103">(('Fórmula'!C103)/('Fórmula'!C103+'Fórmula'!E103+'Fórmula'!G103+'Fórmula'!I103+'Fórmula'!K103))*(INDEX(properties!A$1:CB$87,'Fórmula'!B103,5))+(('Fórmula'!E103)/('Fórmula'!C103+'Fórmula'!E103+'Fórmula'!G103+'Fórmula'!I103+'Fórmula'!K103))*(INDEX(properties!A$1:CB$87,'Fórmula'!D103,5))+(('Fórmula'!G103)/('Fórmula'!C103+'Fórmula'!E103+'Fórmula'!G103+'Fórmula'!I103+'Fórmula'!K103))*(INDEX(properties!A$1:CB$87,'Fórmula'!F103,5))+(('Fórmula'!I103)/('Fórmula'!C103+'Fórmula'!E103+'Fórmula'!G103+'Fórmula'!I103+'Fórmula'!K103))*(INDEX(properties!A$1:CB$87,'Fórmula'!H103,5))+(('Fórmula'!K103)/('Fórmula'!C103+'Fórmula'!E103+'Fórmula'!G103+'Fórmula'!I103+'Fórmula'!K103))*(INDEX(properties!A$1:CB$87,'Fórmula'!J103,5))</f>
        <v>2.727272727</v>
      </c>
      <c r="O103" s="103">
        <f t="array" ref="O103">'Fórmula'!C103*(INDEX(properties!A$1:CB$87,'Fórmula'!B103,5))+'Fórmula'!E103*(INDEX(properties!A$1:CB$87,'Fórmula'!D103,5))+'Fórmula'!G103*(INDEX(properties!A$1:CB$87,'Fórmula'!F103,5))+'Fórmula'!I103*(INDEX(properties!A$1:CB$87,'Fórmula'!H103,5))+'Fórmula'!K103*(INDEX(properties!A$1:CB$87,'Fórmula'!J103,5))</f>
        <v>30</v>
      </c>
      <c r="P103" s="103">
        <f t="array" ref="P103">VARP(IF(INDEX(properties!A$1:CB$87,'Fórmula'!B103,5)&lt;&gt;"",INDEX(properties!A$1:CB$87,'Fórmula'!B103,5)),IF(INDEX(properties!A$1:CB$87,'Fórmula'!D103,5)&lt;&gt;"",INDEX(properties!A$1:CB$87,'Fórmula'!D103,5)),IF(INDEX(properties!A$1:CB$87,'Fórmula'!F103,5)&lt;&gt;"",INDEX(properties!A$1:CB$87,'Fórmula'!F103,5)),IF(INDEX(properties!A$1:CB$87,'Fórmula'!H103,5)&lt;&gt;"",INDEX(properties!A$1:CB$87,'Fórmula'!H103,5)),IF(INDEX(properties!A$1:CB$87,'Fórmula'!J103,5)&lt;&gt;"",INDEX(properties!A$1:CB$87,'Fórmula'!J103,5)))</f>
        <v>3.6</v>
      </c>
      <c r="Q103" s="103">
        <f t="array" ref="Q103">MAX(INDEX(properties!A$1:CB$87,'Fórmula'!B103,5),INDEX(properties!A$1:CB$87,'Fórmula'!D103,5),INDEX(properties!A$1:CB$87,'Fórmula'!F103,5),INDEX(properties!A$1:CB$87,'Fórmula'!H103,5),INDEX(properties!A$1:CB$87,'Fórmula'!J103,5))</f>
        <v>5</v>
      </c>
      <c r="R103" s="103">
        <f t="array" ref="R103">MIN(IF(INDEX(properties!A$1:CB$87,'Fórmula'!B103,5)=0,10^6,INDEX(properties!A$1:CB$87,'Fórmula'!B103,5)),IF(INDEX(properties!A$1:CB$87,'Fórmula'!D103,5)=0,10^6,INDEX(properties!A$1:CB$87,'Fórmula'!D103,5)),IF(INDEX(properties!A$1:CB$87,'Fórmula'!F103,5)=0,10^6,INDEX(properties!A$1:CB$87,'Fórmula'!F103,5)),IF(INDEX(properties!A$1:CB$87,'Fórmula'!H103,5)=0,10^6,INDEX(properties!A$1:CB$87,'Fórmula'!H103,5)),IF(INDEX(properties!A$1:CB$87,'Fórmula'!J103,5)=0,10^6,INDEX(properties!A$1:CB$87,'Fórmula'!J103,5)))</f>
        <v>2</v>
      </c>
      <c r="S103" s="103">
        <f t="shared" si="3"/>
        <v>3</v>
      </c>
      <c r="T103" s="104">
        <f t="array" ref="T103">(('Fórmula'!C103)/('Fórmula'!C103+'Fórmula'!E103+'Fórmula'!G103+'Fórmula'!I103+'Fórmula'!K103))*(INDEX(properties!A$1:CB$87,'Fórmula'!B103,6))+(('Fórmula'!E103)/('Fórmula'!C103+'Fórmula'!E103+'Fórmula'!G103+'Fórmula'!I103+'Fórmula'!K103))*(INDEX(properties!A$1:CB$87,'Fórmula'!D103,6))+(('Fórmula'!G103)/('Fórmula'!C103+'Fórmula'!E103+'Fórmula'!G103+'Fórmula'!I103+'Fórmula'!K103))*(INDEX(properties!A$1:CB$87,'Fórmula'!F103,6))+(('Fórmula'!I103)/('Fórmula'!C103+'Fórmula'!E103+'Fórmula'!G103+'Fórmula'!I103+'Fórmula'!K103))*(INDEX(properties!A$1:CB$87,'Fórmula'!H103,6))+(('Fórmula'!K103)/('Fórmula'!C103+'Fórmula'!E103+'Fórmula'!G103+'Fórmula'!I103+'Fórmula'!K103))*(INDEX(properties!A$1:CB$87,'Fórmula'!J103,6))</f>
        <v>13.27272727</v>
      </c>
      <c r="U103" s="104">
        <f t="array" ref="U103">'Fórmula'!C103*(INDEX(properties!A$1:CB$87,'Fórmula'!B103,6))+'Fórmula'!E103*(INDEX(properties!A$1:CB$87,'Fórmula'!D103,6))+'Fórmula'!G103*(INDEX(properties!A$1:CB$87,'Fórmula'!F103,6))+'Fórmula'!I103*(INDEX(properties!A$1:CB$87,'Fórmula'!H103,6))+'Fórmula'!K103*(INDEX(properties!A$1:CB$87,'Fórmula'!J103,6))</f>
        <v>146</v>
      </c>
      <c r="V103" s="103">
        <f t="array" ref="V103">VARP(IF(INDEX(properties!A$1:CB$87,'Fórmula'!B103,6)&lt;&gt;"",INDEX(properties!A$1:CB$87,'Fórmula'!B103,6)),IF(INDEX(properties!A$1:CB$87,'Fórmula'!D103,6)&lt;&gt;"",INDEX(properties!A$1:CB$87,'Fórmula'!D103,6)),IF(INDEX(properties!A$1:CB$87,'Fórmula'!F103,6)&lt;&gt;"",INDEX(properties!A$1:CB$87,'Fórmula'!F103,6)),IF(INDEX(properties!A$1:CB$87,'Fórmula'!H103,6)&lt;&gt;"",INDEX(properties!A$1:CB$87,'Fórmula'!H103,6)),IF(INDEX(properties!A$1:CB$87,'Fórmula'!J103,6)&lt;&gt;"",INDEX(properties!A$1:CB$87,'Fórmula'!J103,6)))</f>
        <v>48.64</v>
      </c>
      <c r="W103" s="104">
        <f t="array" ref="W103">MAX(INDEX(properties!A$1:CB$87,'Fórmula'!B103,6),INDEX(properties!A$1:CB$87,'Fórmula'!D103,6),INDEX(properties!A$1:CB$87,'Fórmula'!F103,6),INDEX(properties!A$1:CB$87,'Fórmula'!H103,4),INDEX(properties!A$1:CB$87,'Fórmula'!J103,6))</f>
        <v>16</v>
      </c>
      <c r="X103" s="104">
        <f t="array" ref="X103">MIN(IF(INDEX(properties!A$1:CB$87,'Fórmula'!B103,6)=0,10^6,INDEX(properties!A$1:CB$87,'Fórmula'!B103,6)),IF(INDEX(properties!A$1:CB$87,'Fórmula'!D103,6)=0,10^6,INDEX(properties!A$1:CB$87,'Fórmula'!D103,6)),IF(INDEX(properties!A$1:CB$87,'Fórmula'!F103,6)=0,10^6,INDEX(properties!A$1:CB$87,'Fórmula'!F103,6)),IF(INDEX(properties!A$1:CB$87,'Fórmula'!H103,6)=0,10^6,INDEX(properties!A$1:CB$87,'Fórmula'!H103,6)),IF(INDEX(properties!A$1:CB$87,'Fórmula'!J103,6)=0,10^6,INDEX(properties!A$1:CB$87,'Fórmula'!J103,6)))</f>
        <v>3</v>
      </c>
      <c r="Y103" s="104">
        <f t="shared" si="4"/>
        <v>13</v>
      </c>
      <c r="Z103" s="105">
        <f t="array" ref="Z103">(('Fórmula'!C103)/('Fórmula'!C103+'Fórmula'!E103+'Fórmula'!G103+'Fórmula'!I103+'Fórmula'!K103))*(INDEX(properties!A$1:CB$87,'Fórmula'!B103,9))+(('Fórmula'!E103)/('Fórmula'!C103+'Fórmula'!E103+'Fórmula'!G103+'Fórmula'!I103+'Fórmula'!K103))*(INDEX(properties!A$1:CB$87,'Fórmula'!D103,9))+(('Fórmula'!G103)/('Fórmula'!C103+'Fórmula'!E103+'Fórmula'!G103+'Fórmula'!I103+'Fórmula'!K103))*(INDEX(properties!A$1:CB$87,'Fórmula'!F103,9))+(('Fórmula'!I103)/('Fórmula'!C103+'Fórmula'!E103+'Fórmula'!G103+'Fórmula'!I103+'Fórmula'!K103))*(INDEX(properties!A$1:CB$87,'Fórmula'!H103,9))+(('Fórmula'!K103)/('Fórmula'!C103+'Fórmula'!E103+'Fórmula'!G103+'Fórmula'!I103+'Fórmula'!K103))*(INDEX(properties!A$1:CB$87,'Fórmula'!J103,9))</f>
        <v>71.72727273</v>
      </c>
      <c r="AA103" s="105">
        <f t="array" ref="AA103">'Fórmula'!C103*(INDEX(properties!A$1:CB$87,'Fórmula'!B103,9))+'Fórmula'!E103*(INDEX(properties!A$1:CB$87,'Fórmula'!D103,9))+'Fórmula'!G103*(INDEX(properties!A$1:CB$87,'Fórmula'!F103,9))+'Fórmula'!I103*(INDEX(properties!A$1:CB$87,'Fórmula'!H103,9))+'Fórmula'!K103*(INDEX(properties!A$1:CB$87,'Fórmula'!J103,9))</f>
        <v>789</v>
      </c>
      <c r="AB103" s="105">
        <f t="array" ref="AB103">VARP(IF(INDEX(properties!A$1:CB$87,'Fórmula'!B103,9)&lt;&gt;"",INDEX(properties!A$1:CB$87,'Fórmula'!B103,9)),IF(INDEX(properties!A$1:CB$87,'Fórmula'!D103,9)&lt;&gt;"",INDEX(properties!A$1:CB$87,'Fórmula'!D103,9)),IF(INDEX(properties!A$1:CB$87,'Fórmula'!F103,9)&lt;&gt;"",INDEX(properties!A$1:CB$87,'Fórmula'!F103,9)),IF(INDEX(properties!A$1:CB$87,'Fórmula'!H103,9)&lt;&gt;"",INDEX(properties!A$1:CB$87,'Fórmula'!H103,9)),IF(INDEX(properties!A$1:CB$87,'Fórmula'!J103,9)&lt;&gt;"",INDEX(properties!A$1:CB$87,'Fórmula'!J103,9)))</f>
        <v>1506.24</v>
      </c>
      <c r="AC103" s="105">
        <f t="array" ref="AC103">MAX(INDEX(properties!A$1:CB$87,'Fórmula'!B103,9),INDEX(properties!A$1:CB$87,'Fórmula'!D103,9),INDEX(properties!A$1:CB$87,'Fórmula'!F103,9),INDEX(properties!A$1:CB$87,'Fórmula'!H103,9),INDEX(properties!A$1:CB$87,'Fórmula'!J103,9))</f>
        <v>87</v>
      </c>
      <c r="AD103" s="105">
        <f t="array" ref="AD103">MIN(IF(INDEX(properties!A$1:CB$87,'Fórmula'!B103,9)=0,10^6,INDEX(properties!A$1:CB$87,'Fórmula'!B103,9)),IF(INDEX(properties!A$1:CB$87,'Fórmula'!D103,9)=0,10^6,INDEX(properties!A$1:CB$87,'Fórmula'!D103,9)),IF(INDEX(properties!A$1:CB$87,'Fórmula'!F103,9)=0,10^6,INDEX(properties!A$1:CB$87,'Fórmula'!F103,9)),IF(INDEX(properties!A$1:CB$87,'Fórmula'!H103,9)=0,10^6,INDEX(properties!A$1:CB$87,'Fórmula'!H103,9)),IF(INDEX(properties!A$1:CB$87,'Fórmula'!J103,9)=0,10^6,INDEX(properties!A$1:CB$87,'Fórmula'!J103,9)))</f>
        <v>12</v>
      </c>
      <c r="AE103" s="105">
        <f t="shared" si="5"/>
        <v>75</v>
      </c>
      <c r="AF103" s="106">
        <f t="array" ref="AF103">(('Fórmula'!C103)/('Fórmula'!C103+'Fórmula'!E103+'Fórmula'!G103+'Fórmula'!I103+'Fórmula'!K103))*(INDEX(properties!A$1:CB$87,'Fórmula'!B103,10))+(('Fórmula'!E103)/('Fórmula'!C103+'Fórmula'!E103+'Fórmula'!G103+'Fórmula'!I103+'Fórmula'!K103))*(INDEX(properties!A$1:CB$87,'Fórmula'!D103,10))+(('Fórmula'!G103)/('Fórmula'!C103+'Fórmula'!E103+'Fórmula'!G103+'Fórmula'!I103+'Fórmula'!K103))*(INDEX(properties!A$1:CB$87,'Fórmula'!F103,10))+(('Fórmula'!I103)/('Fórmula'!C103+'Fórmula'!E103+'Fórmula'!G103+'Fórmula'!I103+'Fórmula'!K103))*(INDEX(properties!A$1:CB$87,'Fórmula'!H103,10))+(('Fórmula'!K103)/('Fórmula'!C103+'Fórmula'!E103+'Fórmula'!G103+'Fórmula'!I103+'Fórmula'!K103))*(INDEX(properties!A$1:CB$87,'Fórmula'!J103,10))</f>
        <v>6.090909091</v>
      </c>
      <c r="AG103" s="106">
        <f t="array" ref="AG103">'Fórmula'!C103*(INDEX(properties!A$1:CB$87,'Fórmula'!B103,10))+'Fórmula'!E103*(INDEX(properties!A$1:CB$87,'Fórmula'!D103,10))+'Fórmula'!G103*(INDEX(properties!A$1:CB$87,'Fórmula'!F103,10))+'Fórmula'!I103*(INDEX(properties!A$1:CB$87,'Fórmula'!H103,10))+'Fórmula'!K103*(INDEX(properties!A$1:CB$87,'Fórmula'!J103,10))</f>
        <v>67</v>
      </c>
      <c r="AH103" s="106">
        <f t="array" ref="AH103">VARP(IF(INDEX(properties!A$1:CB$87,'Fórmula'!B103,10)&lt;&gt;"",INDEX(properties!A$1:CB$87,'Fórmula'!B103,10)),IF(INDEX(properties!A$1:CB$87,'Fórmula'!D103,10)&lt;&gt;"",INDEX(properties!A$1:CB$87,'Fórmula'!D103,10)),IF(INDEX(properties!A$1:CB$87,'Fórmula'!F103,10)&lt;&gt;"",INDEX(properties!A$1:CB$87,'Fórmula'!F103,10)),IF(INDEX(properties!A$1:CB$87,'Fórmula'!H103,10)&lt;&gt;"",INDEX(properties!A$1:CB$87,'Fórmula'!H103,10)),IF(INDEX(properties!A$1:CB$87,'Fórmula'!J103,10)&lt;&gt;"",INDEX(properties!A$1:CB$87,'Fórmula'!J103,10)))</f>
        <v>8.56</v>
      </c>
      <c r="AI103" s="106">
        <f t="array" ref="AI103">MAX(INDEX(properties!A$1:CB$87,'Fórmula'!B103,10),INDEX(properties!A$1:CB$87,'Fórmula'!D103,10),INDEX(properties!A$1:CB$87,'Fórmula'!F103,10),INDEX(properties!A$1:CB$87,'Fórmula'!H103,10),INDEX(properties!A$1:CB$87,'Fórmula'!J103,10))</f>
        <v>7</v>
      </c>
      <c r="AJ103" s="106">
        <f t="array" ref="AJ103">MIN(IF(INDEX(properties!A$1:CB$87,'Fórmula'!B103,10)=0,10^6,INDEX(properties!A$1:CB$87,'Fórmula'!B103,10)),IF(INDEX(properties!A$1:CB$87,'Fórmula'!D103,10)=0,10^6,INDEX(properties!A$1:CB$87,'Fórmula'!D103,10)),IF(INDEX(properties!A$1:CB$87,'Fórmula'!F103,10)=0,10^6,INDEX(properties!A$1:CB$87,'Fórmula'!F103,10)),IF(INDEX(properties!A$1:CB$87,'Fórmula'!H103,10)=0,10^6,INDEX(properties!A$1:CB$87,'Fórmula'!H103,10)),IF(INDEX(properties!A$1:CB$87,'Fórmula'!J103,10)=0,10^6,INDEX(properties!A$1:CB$87,'Fórmula'!J103,10)))</f>
        <v>3</v>
      </c>
      <c r="AK103" s="106">
        <f t="shared" si="6"/>
        <v>4</v>
      </c>
      <c r="AL103" s="107">
        <f t="array" ref="AL103">(('Fórmula'!C103)/('Fórmula'!C103+'Fórmula'!E103+'Fórmula'!G103+'Fórmula'!I103+'Fórmula'!K103))*(INDEX(properties!A$1:CB$87,'Fórmula'!B103,11))+(('Fórmula'!E103)/('Fórmula'!C103+'Fórmula'!E103+'Fórmula'!G103+'Fórmula'!I103+'Fórmula'!K103))*(INDEX(properties!A$1:CB$87,'Fórmula'!D103,11))+(('Fórmula'!G103)/('Fórmula'!C103+'Fórmula'!E103+'Fórmula'!G103+'Fórmula'!I103+'Fórmula'!K103))*(INDEX(properties!A$1:CB$87,'Fórmula'!F103,11))+(('Fórmula'!I103)/('Fórmula'!C103+'Fórmula'!E103+'Fórmula'!G103+'Fórmula'!I103+'Fórmula'!K103))*(INDEX(properties!A$1:CB$87,'Fórmula'!H103,11))+(('Fórmula'!K103)/('Fórmula'!C103+'Fórmula'!E103+'Fórmula'!G103+'Fórmula'!I103+'Fórmula'!K103))*(INDEX(properties!A$1:CB$87,'Fórmula'!J103,11))</f>
        <v>2</v>
      </c>
      <c r="AM103" s="107">
        <f t="array" ref="AM103">'Fórmula'!C103*(INDEX(properties!A$1:CB$87,'Fórmula'!B103,11))+'Fórmula'!E103*(INDEX(properties!A$1:CB$87,'Fórmula'!D103,11))+'Fórmula'!G103*(INDEX(properties!A$1:CB$87,'Fórmula'!F103,11))+'Fórmula'!I103*(INDEX(properties!A$1:CB$87,'Fórmula'!H103,11))+'Fórmula'!K103*(INDEX(properties!A$1:CB$87,'Fórmula'!J103,11))</f>
        <v>22</v>
      </c>
      <c r="AN103" s="107">
        <f t="array" ref="AN103">VARP(IF(INDEX(properties!A$1:CB$87,'Fórmula'!B103,11)&lt;&gt;"",INDEX(properties!A$1:CB$87,'Fórmula'!B103,11)),IF(INDEX(properties!A$1:CB$87,'Fórmula'!D103,11)&lt;&gt;"",INDEX(properties!A$1:CB$87,'Fórmula'!D103,11)),IF(INDEX(properties!A$1:CB$87,'Fórmula'!F103,11)&lt;&gt;"",INDEX(properties!A$1:CB$87,'Fórmula'!F103,11)),IF(INDEX(properties!A$1:CB$87,'Fórmula'!H103,11)&lt;&gt;"",INDEX(properties!A$1:CB$87,'Fórmula'!H103,11)),IF(INDEX(properties!A$1:CB$87,'Fórmula'!J103,11)&lt;&gt;"",INDEX(properties!A$1:CB$87,'Fórmula'!J103,11)))</f>
        <v>0.96</v>
      </c>
      <c r="AO103" s="107">
        <f t="array" ref="AO103">MAX(INDEX(properties!A$1:CB$87,'Fórmula'!B103,11),INDEX(properties!A$1:CB$87,'Fórmula'!D103,11),INDEX(properties!A$1:CB$87,'Fórmula'!F103,11),INDEX(properties!A$1:CB$87,'Fórmula'!H103,11),INDEX(properties!A$1:CB$87,'Fórmula'!J103,11))</f>
        <v>2</v>
      </c>
      <c r="AP103" s="107">
        <f t="array" ref="AP103">MIN(IF('Fórmula'!B103=87,10^6,INDEX(properties!A$1:CB$87,'Fórmula'!B103,11)),IF(('Fórmula'!D103)=87,10^6,INDEX(properties!A$1:CB$87,'Fórmula'!D103,11)),IF(('Fórmula'!F103)=87,10^6,INDEX(properties!A$1:CB$87,'Fórmula'!F103,11)),IF(('Fórmula'!H103)=87,10^6,INDEX(properties!A$1:CB$87,'Fórmula'!H103,11)),IF('Fórmula'!J103=87,10^6,INDEX(properties!A$1:CB$87,'Fórmula'!J103,11)))</f>
        <v>2</v>
      </c>
      <c r="AQ103" s="107">
        <f t="shared" si="7"/>
        <v>0</v>
      </c>
      <c r="AR103" s="108">
        <f t="array" ref="AR103">(('Fórmula'!C103)/('Fórmula'!C103+'Fórmula'!E103+'Fórmula'!G103+'Fórmula'!I103+'Fórmula'!K103))*(INDEX(properties!A$1:CB$87,'Fórmula'!B103,12))+(('Fórmula'!E103)/('Fórmula'!C103+'Fórmula'!E103+'Fórmula'!G103+'Fórmula'!I103+'Fórmula'!K103))*(INDEX(properties!A$1:CB$87,'Fórmula'!D103,12))+(('Fórmula'!G103)/('Fórmula'!C103+'Fórmula'!E103+'Fórmula'!G103+'Fórmula'!I103+'Fórmula'!K103))*(INDEX(properties!A$1:CB$87,'Fórmula'!F103,12))+(('Fórmula'!I103)/('Fórmula'!C103+'Fórmula'!E103+'Fórmula'!G103+'Fórmula'!I103+'Fórmula'!K103))*(INDEX(properties!A$1:CB$87,'Fórmula'!H103,12))+(('Fórmula'!K103)/('Fórmula'!C103+'Fórmula'!E103+'Fórmula'!G103+'Fórmula'!I103+'Fórmula'!K103))*(INDEX(properties!A$1:CB$87,'Fórmula'!J103,12))</f>
        <v>2.909090909</v>
      </c>
      <c r="AS103" s="108">
        <f t="array" ref="AS103">'Fórmula'!C103*(INDEX(properties!A$1:CB$87,'Fórmula'!B103,12))+'Fórmula'!E103*(INDEX(properties!A$1:CB$87,'Fórmula'!D103,12))+'Fórmula'!G103*(INDEX(properties!A$1:CB$87,'Fórmula'!F103,12))+'Fórmula'!I103*(INDEX(properties!A$1:CB$87,'Fórmula'!H103,12))+'Fórmula'!K103*(INDEX(properties!A$1:CB$87,'Fórmula'!J103,12))</f>
        <v>32</v>
      </c>
      <c r="AT103" s="108">
        <f t="array" ref="AT103">VARP(IF(INDEX(properties!A$1:CB$87,'Fórmula'!B103,12)&lt;&gt;"",INDEX(properties!A$1:CB$87,'Fórmula'!B103,12)),IF(INDEX(properties!A$1:CB$87,'Fórmula'!D103,12)&lt;&gt;"",INDEX(properties!A$1:CB$87,'Fórmula'!D103,12)),IF(INDEX(properties!A$1:CB$87,'Fórmula'!F103,12)&lt;&gt;"",INDEX(properties!A$1:CB$87,'Fórmula'!F103,12)),IF(INDEX(properties!A$1:CB$87,'Fórmula'!H103,12)&lt;&gt;"",INDEX(properties!A$1:CB$87,'Fórmula'!H103,12)),IF(INDEX(properties!A$1:CB$87,'Fórmula'!J103,12)&lt;&gt;"",INDEX(properties!A$1:CB$87,'Fórmula'!J103,12)))</f>
        <v>2.56</v>
      </c>
      <c r="AU103" s="108">
        <f t="array" ref="AU103">MAX(INDEX(properties!A$1:CB$87,'Fórmula'!B103,12),INDEX(properties!A$1:CB$87,'Fórmula'!D103,12),INDEX(properties!A$1:CB$87,'Fórmula'!F103,12),INDEX(properties!A$1:CB$87,'Fórmula'!H103,12),INDEX(properties!A$1:CB$87,'Fórmula'!J103,12))</f>
        <v>4</v>
      </c>
      <c r="AV103" s="108">
        <f t="array" ref="AV103">MIN(IF('Fórmula'!B103=87,10^6,INDEX(properties!A$1:CB$87,'Fórmula'!B103,12)),IF(('Fórmula'!D103)=87,10^6,INDEX(properties!A$1:CB$87,'Fórmula'!D103,12)),IF(('Fórmula'!F103)=87,10^6,INDEX(properties!A$1:CB$87,'Fórmula'!F103,12)),IF(('Fórmula'!H103)=87,10^6,INDEX(properties!A$1:CB$87,'Fórmula'!H103,12)),IF('Fórmula'!J103=87,10^6,INDEX(properties!A$1:CB$87,'Fórmula'!J103,12)))</f>
        <v>0</v>
      </c>
      <c r="AW103" s="108">
        <f t="shared" si="8"/>
        <v>4</v>
      </c>
      <c r="AX103" s="109">
        <f t="array" ref="AX103">(('Fórmula'!C103)/('Fórmula'!C103+'Fórmula'!E103+'Fórmula'!G103+'Fórmula'!I103+'Fórmula'!K103))*(INDEX(properties!A$1:CB$87,'Fórmula'!B103,13))+(('Fórmula'!E103)/('Fórmula'!C103+'Fórmula'!E103+'Fórmula'!G103+'Fórmula'!I103+'Fórmula'!K103))*(INDEX(properties!A$1:CB$87,'Fórmula'!D103,13))+(('Fórmula'!G103)/('Fórmula'!C103+'Fórmula'!E103+'Fórmula'!G103+'Fórmula'!I103+'Fórmula'!K103))*(INDEX(properties!A$1:CB$87,'Fórmula'!F103,13))+(('Fórmula'!I103)/('Fórmula'!C103+'Fórmula'!E103+'Fórmula'!G103+'Fórmula'!I103+'Fórmula'!K103))*(INDEX(properties!A$1:CB$87,'Fórmula'!H103,13))+(('Fórmula'!K103)/('Fórmula'!C103+'Fórmula'!E103+'Fórmula'!G103+'Fórmula'!I103+'Fórmula'!K103))*(INDEX(properties!A$1:CB$87,'Fórmula'!J103,13))</f>
        <v>0.1818181818</v>
      </c>
      <c r="AY103" s="109">
        <f t="array" ref="AY103">'Fórmula'!C103*(INDEX(properties!A$1:CB$87,'Fórmula'!B103,13))+'Fórmula'!E103*(INDEX(properties!A$1:CB$87,'Fórmula'!D103,13))+'Fórmula'!G103*(INDEX(properties!A$1:CB$87,'Fórmula'!F103,13))+'Fórmula'!I103*(INDEX(properties!A$1:CB$87,'Fórmula'!H103,13))+'Fórmula'!K103*(INDEX(properties!A$1:CB$87,'Fórmula'!J103,13))</f>
        <v>2</v>
      </c>
      <c r="AZ103" s="109">
        <f t="array" ref="AZ103">VARP(IF(INDEX(properties!A$1:CB$87,'Fórmula'!B103,13)&lt;&gt;"",INDEX(properties!A$1:CB$87,'Fórmula'!B103,13)),IF(INDEX(properties!A$1:CB$87,'Fórmula'!D103,13)&lt;&gt;"",INDEX(properties!A$1:CB$87,'Fórmula'!D103,13)),IF(INDEX(properties!A$1:CB$87,'Fórmula'!F103,13)&lt;&gt;"",INDEX(properties!A$1:CB$87,'Fórmula'!F103,13)),IF(INDEX(properties!A$1:CB$87,'Fórmula'!H103,13)&lt;&gt;"",INDEX(properties!A$1:CB$87,'Fórmula'!H103,13)),IF(INDEX(properties!A$1:CB$87,'Fórmula'!J103,13)&lt;&gt;"",INDEX(properties!A$1:CB$87,'Fórmula'!J103,13)))</f>
        <v>0.16</v>
      </c>
      <c r="BA103" s="109">
        <f t="array" ref="BA103">MAX(INDEX(properties!A$1:CB$87,'Fórmula'!B103,13),INDEX(properties!A$1:CB$87,'Fórmula'!D103,13),INDEX(properties!A$1:CB$87,'Fórmula'!F103,13),INDEX(properties!A$1:CB$87,'Fórmula'!H103,13),INDEX(properties!A$1:CB$87,'Fórmula'!J103,13))</f>
        <v>1</v>
      </c>
      <c r="BB103" s="109">
        <f t="array" ref="BB103">MIN(IF('Fórmula'!B103=87,10^6,INDEX(properties!A$1:CB$87,'Fórmula'!B103,13)),IF(('Fórmula'!D103)=87,10^6,INDEX(properties!A$1:CB$87,'Fórmula'!D103,13)),IF(('Fórmula'!F103)=87,10^6,INDEX(properties!A$1:CB$87,'Fórmula'!F103,13)),IF(('Fórmula'!H103)=87,10^6,INDEX(properties!A$1:CB$87,'Fórmula'!H103,13)),IF('Fórmula'!J103=87,10^6,INDEX(properties!A$1:CB$87,'Fórmula'!J103,13)))</f>
        <v>0</v>
      </c>
      <c r="BC103" s="109">
        <f t="shared" si="9"/>
        <v>1</v>
      </c>
      <c r="BD103" s="110">
        <f t="array" ref="BD103">(('Fórmula'!C103)/('Fórmula'!C103+'Fórmula'!E103+'Fórmula'!G103+'Fórmula'!I103+'Fórmula'!K103))*(INDEX(properties!A$1:CB$87,'Fórmula'!B103,14))+(('Fórmula'!E103)/('Fórmula'!C103+'Fórmula'!E103+'Fórmula'!G103+'Fórmula'!I103+'Fórmula'!K103))*(INDEX(properties!A$1:CB$87,'Fórmula'!D103,14))+(('Fórmula'!G103)/('Fórmula'!C103+'Fórmula'!E103+'Fórmula'!G103+'Fórmula'!I103+'Fórmula'!K103))*(INDEX(properties!A$1:CB$87,'Fórmula'!F103,14))+(('Fórmula'!I103)/('Fórmula'!C103+'Fórmula'!E103+'Fórmula'!G103+'Fórmula'!I103+'Fórmula'!K103))*(INDEX(properties!A$1:CB$87,'Fórmula'!H103,14))+(('Fórmula'!K103)/('Fórmula'!C103+'Fórmula'!E103+'Fórmula'!G103+'Fórmula'!I103+'Fórmula'!K103))*(INDEX(properties!A$1:CB$87,'Fórmula'!J103,14))</f>
        <v>0</v>
      </c>
      <c r="BE103" s="110">
        <f t="array" ref="BE103">'Fórmula'!C103*(INDEX(properties!A$1:CB$87,'Fórmula'!B103,14))+'Fórmula'!E103*(INDEX(properties!A$1:CB$87,'Fórmula'!D103,14))+'Fórmula'!G103*(INDEX(properties!A$1:CB$87,'Fórmula'!F103,14))+'Fórmula'!I103*(INDEX(properties!A$1:CB$87,'Fórmula'!H103,14))+'Fórmula'!K103*(INDEX(properties!A$1:CB$87,'Fórmula'!J103,14))</f>
        <v>0</v>
      </c>
      <c r="BF103" s="110">
        <f t="array" ref="BF103">VARP(IF(INDEX(properties!A$1:CB$87,'Fórmula'!B103,14)&lt;&gt;"",INDEX(properties!A$1:CB$87,'Fórmula'!B103,14)),IF(INDEX(properties!A$1:CB$87,'Fórmula'!D103,14)&lt;&gt;"",INDEX(properties!A$1:CB$87,'Fórmula'!D103,14)),IF(INDEX(properties!A$1:CB$87,'Fórmula'!F103,14)&lt;&gt;"",INDEX(properties!A$1:CB$87,'Fórmula'!F103,14)),IF(INDEX(properties!A$1:CB$87,'Fórmula'!H103,14)&lt;&gt;"",INDEX(properties!A$1:CB$87,'Fórmula'!H103,14)),IF(INDEX(properties!A$1:CB$87,'Fórmula'!J103,14)&lt;&gt;"",INDEX(properties!A$1:CB$87,'Fórmula'!J103,14)))</f>
        <v>0</v>
      </c>
      <c r="BG103" s="110">
        <f t="array" ref="BG103">MAX(INDEX(properties!A$1:CB$87,'Fórmula'!B103,14),INDEX(properties!A$1:CB$87,'Fórmula'!D103,14),INDEX(properties!A$1:CB$87,'Fórmula'!F103,14),INDEX(properties!A$1:CB$87,'Fórmula'!H103,14),INDEX(properties!A$1:CB$87,'Fórmula'!J103,14))</f>
        <v>0</v>
      </c>
      <c r="BH103" s="110">
        <f t="array" ref="BH103">MIN(IF('Fórmula'!B103=87,10^6,INDEX(properties!A$1:CB$87,'Fórmula'!B103,14)),IF(('Fórmula'!D103)=87,10^6,INDEX(properties!A$1:CB$87,'Fórmula'!D103,14)),IF(('Fórmula'!F103)=87,10^6,INDEX(properties!A$1:CB$87,'Fórmula'!F103,14)),IF(('Fórmula'!H103)=87,10^6,INDEX(properties!A$1:CB$87,'Fórmula'!H103,14)),IF('Fórmula'!J103=87,10^6,INDEX(properties!A$1:CB$87,'Fórmula'!J103,14)))</f>
        <v>0</v>
      </c>
      <c r="BI103" s="110">
        <f t="shared" si="10"/>
        <v>0</v>
      </c>
      <c r="BJ103" s="111">
        <f t="array" ref="BJ103">(('Fórmula'!C103)/('Fórmula'!C103+'Fórmula'!E103+'Fórmula'!G103+'Fórmula'!I103+'Fórmula'!K103))*(INDEX(properties!A$1:CB$87,'Fórmula'!B103,19))+(('Fórmula'!E103)/('Fórmula'!C103+'Fórmula'!E103+'Fórmula'!G103+'Fórmula'!I103+'Fórmula'!K103))*(INDEX(properties!A$1:CB$87,'Fórmula'!D103,19))+(('Fórmula'!G103)/('Fórmula'!C103+'Fórmula'!E103+'Fórmula'!G103+'Fórmula'!I103+'Fórmula'!K103))*(INDEX(properties!A$1:CB$87,'Fórmula'!F103,19))+(('Fórmula'!I103)/('Fórmula'!C103+'Fórmula'!E103+'Fórmula'!G103+'Fórmula'!I103+'Fórmula'!K103))*(INDEX(properties!A$1:CB$87,'Fórmula'!H103,19))+(('Fórmula'!K103)/('Fórmula'!C103+'Fórmula'!E103+'Fórmula'!G103+'Fórmula'!I103+'Fórmula'!K103))*(INDEX(properties!A$1:CB$87,'Fórmula'!J103,19))</f>
        <v>5.090909091</v>
      </c>
      <c r="BK103" s="111">
        <f t="array" ref="BK103">'Fórmula'!C103*(INDEX(properties!A$1:CB$87,'Fórmula'!B103,19))+'Fórmula'!E103*(INDEX(properties!A$1:CB$87,'Fórmula'!D103,19))+'Fórmula'!G103*(INDEX(properties!A$1:CB$87,'Fórmula'!F103,19))+'Fórmula'!I103*(INDEX(properties!A$1:CB$87,'Fórmula'!H103,19))+'Fórmula'!K103*(INDEX(properties!A$1:CB$87,'Fórmula'!J103,19))</f>
        <v>56</v>
      </c>
      <c r="BL103" s="111">
        <f t="array" ref="BL103">VARP(IF(INDEX(properties!A$1:CB$87,'Fórmula'!B103,19)&lt;&gt;"",INDEX(properties!A$1:CB$87,'Fórmula'!B103,19)),IF(INDEX(properties!A$1:CB$87,'Fórmula'!D103,19)&lt;&gt;"",INDEX(properties!A$1:CB$87,'Fórmula'!D103,19)),IF(INDEX(properties!A$1:CB$87,'Fórmula'!F103,19)&lt;&gt;"",INDEX(properties!A$1:CB$87,'Fórmula'!F103,19)),IF(INDEX(properties!A$1:CB$87,'Fórmula'!H103,19)&lt;&gt;"",INDEX(properties!A$1:CB$87,'Fórmula'!H103,19)),IF(INDEX(properties!A$1:CB$87,'Fórmula'!J103,19)&lt;&gt;"",INDEX(properties!A$1:CB$87,'Fórmula'!J103,19)))</f>
        <v>5.44</v>
      </c>
      <c r="BM103" s="111">
        <f t="array" ref="BM103">MAX(INDEX(properties!A$1:CB$87,'Fórmula'!B103,19),INDEX(properties!A$1:CB$87,'Fórmula'!D103,19),INDEX(properties!A$1:CB$87,'Fórmula'!F103,19),INDEX(properties!A$1:CB$87,'Fórmula'!H103,19),INDEX(properties!A$1:CB$87,'Fórmula'!J103,19))</f>
        <v>6</v>
      </c>
      <c r="BN103" s="111">
        <f t="array" ref="BN103">MIN(IF(INDEX(properties!A$1:CB$87,'Fórmula'!B103,19)=0,10^6,INDEX(properties!A$1:CB$87,'Fórmula'!B103,19)),IF(INDEX(properties!A$1:CB$87,'Fórmula'!D103,19)=0,10^6,INDEX(properties!A$1:CB$87,'Fórmula'!D103,19)),IF(INDEX(properties!A$1:CB$87,'Fórmula'!F103,19)=0,10^6,INDEX(properties!A$1:CB$87,'Fórmula'!F103,19)),IF(INDEX(properties!A$1:CB$87,'Fórmula'!H103,19)=0,10^6,INDEX(properties!A$1:CB$87,'Fórmula'!H103,19)),IF(INDEX(properties!A$1:CB$87,'Fórmula'!J103,19)=0,10^6,INDEX(properties!A$1:CB$87,'Fórmula'!J103,19)))</f>
        <v>3</v>
      </c>
      <c r="BO103" s="111">
        <f t="shared" si="11"/>
        <v>3</v>
      </c>
      <c r="BP103" s="112">
        <f t="array" ref="BP103">(('Fórmula'!C103)/('Fórmula'!C103+'Fórmula'!E103+'Fórmula'!G103+'Fórmula'!I103+'Fórmula'!K103))*(INDEX(properties!A$1:CB$87,'Fórmula'!B103,20))+(('Fórmula'!E103)/('Fórmula'!C103+'Fórmula'!E103+'Fórmula'!G103+'Fórmula'!I103+'Fórmula'!K103))*(INDEX(properties!A$1:CB$87,'Fórmula'!D103,20))+(('Fórmula'!G103)/('Fórmula'!C103+'Fórmula'!E103+'Fórmula'!G103+'Fórmula'!I103+'Fórmula'!K103))*(INDEX(properties!A$1:CB$87,'Fórmula'!F103,20))+(('Fórmula'!I103)/('Fórmula'!C103+'Fórmula'!E103+'Fórmula'!G103+'Fórmula'!I103+'Fórmula'!K103))*(INDEX(properties!A$1:CB$87,'Fórmula'!H103,20))+(('Fórmula'!K103)/('Fórmula'!C103+'Fórmula'!E103+'Fórmula'!G103+'Fórmula'!I103+'Fórmula'!K103))*(INDEX(properties!A$1:CB$87,'Fórmula'!J103,20))</f>
        <v>4.909090909</v>
      </c>
      <c r="BQ103" s="112">
        <f t="array" ref="BQ103">'Fórmula'!C103*(INDEX(properties!A$1:CB$87,'Fórmula'!B103,20))+'Fórmula'!E103*(INDEX(properties!A$1:CB$87,'Fórmula'!D103,20))+'Fórmula'!G103*(INDEX(properties!A$1:CB$87,'Fórmula'!F103,20))+'Fórmula'!I103*(INDEX(properties!A$1:CB$87,'Fórmula'!H103,20))+'Fórmula'!K103*(INDEX(properties!A$1:CB$87,'Fórmula'!J103,20))</f>
        <v>54</v>
      </c>
      <c r="BR103" s="112">
        <f t="array" ref="BR103">VARP(IF(INDEX(properties!A$1:CB$87,'Fórmula'!B103,20)&lt;&gt;"",INDEX(properties!A$1:CB$87,'Fórmula'!B103,20)),IF(INDEX(properties!A$1:CB$87,'Fórmula'!D103,20)&lt;&gt;"",INDEX(properties!A$1:CB$87,'Fórmula'!D103,20)),IF(INDEX(properties!A$1:CB$87,'Fórmula'!F103,20)&lt;&gt;"",INDEX(properties!A$1:CB$87,'Fórmula'!F103,20)),IF(INDEX(properties!A$1:CB$87,'Fórmula'!H103,20)&lt;&gt;"",INDEX(properties!A$1:CB$87,'Fórmula'!H103,20)),IF(INDEX(properties!A$1:CB$87,'Fórmula'!J103,20)&lt;&gt;"",INDEX(properties!A$1:CB$87,'Fórmula'!J103,20)))</f>
        <v>5.44</v>
      </c>
      <c r="BS103" s="112">
        <f t="array" ref="BS103">MAX(INDEX(properties!A$1:CB$87,'Fórmula'!B103,20),INDEX(properties!A$1:CB$87,'Fórmula'!D103,20),INDEX(properties!A$1:CB$87,'Fórmula'!F103,20),INDEX(properties!A$1:CB$87,'Fórmula'!H103,20),INDEX(properties!A$1:CB$87,'Fórmula'!J103,20))</f>
        <v>6</v>
      </c>
      <c r="BT103" s="112">
        <f t="array" ref="BT103">MIN(IF(INDEX(properties!A$1:CB$87,'Fórmula'!B103,20)=0,10^6,INDEX(properties!A$1:CB$87,'Fórmula'!B103,20)),IF(INDEX(properties!A$1:CB$87,'Fórmula'!D103,20)=0,10^6,INDEX(properties!A$1:CB$87,'Fórmula'!D103,20)),IF(INDEX(properties!A$1:CB$87,'Fórmula'!F103,20)=0,10^6,INDEX(properties!A$1:CB$87,'Fórmula'!F103,20)),IF(INDEX(properties!A$1:CB$87,'Fórmula'!H103,20)=0,10^6,INDEX(properties!A$1:CB$87,'Fórmula'!H103,20)),IF(INDEX(properties!A$1:CB$87,'Fórmula'!J103,20)=0,10^6,INDEX(properties!A$1:CB$87,'Fórmula'!J103,20)))</f>
        <v>2</v>
      </c>
      <c r="BU103" s="112">
        <f t="shared" si="12"/>
        <v>4</v>
      </c>
      <c r="BV103" s="113">
        <f t="array" ref="BV103">(('Fórmula'!C103)/('Fórmula'!C103+'Fórmula'!E103+'Fórmula'!G103+'Fórmula'!I103+'Fórmula'!K103))*(INDEX(properties!A$1:CB$87,'Fórmula'!B103,21))+(('Fórmula'!E103)/('Fórmula'!C103+'Fórmula'!E103+'Fórmula'!G103+'Fórmula'!I103+'Fórmula'!K103))*(INDEX(properties!A$1:CB$87,'Fórmula'!D103,21))+(('Fórmula'!G103)/('Fórmula'!C103+'Fórmula'!E103+'Fórmula'!G103+'Fórmula'!I103+'Fórmula'!K103))*(INDEX(properties!A$1:CB$87,'Fórmula'!F103,21))+(('Fórmula'!I103)/('Fórmula'!C103+'Fórmula'!E103+'Fórmula'!G103+'Fórmula'!I103+'Fórmula'!K103))*(INDEX(properties!A$1:CB$87,'Fórmula'!H103,21))+(('Fórmula'!K103)/('Fórmula'!C103+'Fórmula'!E103+'Fórmula'!G103+'Fórmula'!I103+'Fórmula'!K103))*(INDEX(properties!A$1:CB$87,'Fórmula'!J103,21))</f>
        <v>4.727272727</v>
      </c>
      <c r="BW103" s="113">
        <f t="array" ref="BW103">'Fórmula'!C103*(INDEX(properties!A$1:CB$87,'Fórmula'!B103,21))+'Fórmula'!E103*(INDEX(properties!A$1:CB$87,'Fórmula'!D103,21))+'Fórmula'!G103*(INDEX(properties!A$1:CB$87,'Fórmula'!F103,21))+'Fórmula'!I103*(INDEX(properties!A$1:CB$87,'Fórmula'!H103,21))+'Fórmula'!K103*(INDEX(properties!A$1:CB$87,'Fórmula'!J103,21))</f>
        <v>52</v>
      </c>
      <c r="BX103" s="113">
        <f t="array" ref="BX103">VARP(IF(INDEX(properties!A$1:CB$87,'Fórmula'!B103,21)&lt;&gt;"",INDEX(properties!A$1:CB$87,'Fórmula'!B103,21)),IF(INDEX(properties!A$1:CB$87,'Fórmula'!D103,21)&lt;&gt;"",INDEX(properties!A$1:CB$87,'Fórmula'!D103,21)),IF(INDEX(properties!A$1:CB$87,'Fórmula'!F103,21)&lt;&gt;"",INDEX(properties!A$1:CB$87,'Fórmula'!F103,21)),IF(INDEX(properties!A$1:CB$87,'Fórmula'!H103,21)&lt;&gt;"",INDEX(properties!A$1:CB$87,'Fórmula'!H103,21)),IF(INDEX(properties!A$1:CB$87,'Fórmula'!J103,21)&lt;&gt;"",INDEX(properties!A$1:CB$87,'Fórmula'!J103,21)))</f>
        <v>5.76</v>
      </c>
      <c r="BY103" s="113">
        <f t="array" ref="BY103">MAX(INDEX(properties!A$1:CB$87,'Fórmula'!B103,21),INDEX(properties!A$1:CB$87,'Fórmula'!D103,21),INDEX(properties!A$1:CB$87,'Fórmula'!F103,21),INDEX(properties!A$1:CB$87,'Fórmula'!H103,21),INDEX(properties!A$1:CB$87,'Fórmula'!J103,21))</f>
        <v>6</v>
      </c>
      <c r="BZ103" s="113">
        <f t="array" ref="BZ103">MIN(IF(INDEX(properties!A$1:CB$87,'Fórmula'!B103,21)=0,10^6,INDEX(properties!A$1:CB$87,'Fórmula'!B103,21)),IF(INDEX(properties!A$1:CB$87,'Fórmula'!D103,21)=0,10^6,INDEX(properties!A$1:CB$87,'Fórmula'!D103,21)),IF(INDEX(properties!A$1:CB$87,'Fórmula'!F103,21)=0,10^6,INDEX(properties!A$1:CB$87,'Fórmula'!F103,21)),IF(INDEX(properties!A$1:CB$87,'Fórmula'!H103,21)=0,10^6,INDEX(properties!A$1:CB$87,'Fórmula'!H103,21)),IF(INDEX(properties!A$1:CB$87,'Fórmula'!J103,21)=0,10^6,INDEX(properties!A$1:CB$87,'Fórmula'!J103,21)))</f>
        <v>1</v>
      </c>
      <c r="CA103" s="113">
        <f t="shared" si="13"/>
        <v>5</v>
      </c>
      <c r="CB103" s="114">
        <f t="array" ref="CB103">(('Fórmula'!C103)/('Fórmula'!C103+'Fórmula'!E103+'Fórmula'!G103+'Fórmula'!I103+'Fórmula'!K103))*(INDEX(properties!A$1:CB$87,'Fórmula'!B103,23))+(('Fórmula'!E103)/('Fórmula'!C103+'Fórmula'!E103+'Fórmula'!G103+'Fórmula'!I103+'Fórmula'!K103))*(INDEX(properties!A$1:CB$87,'Fórmula'!D103,23))+(('Fórmula'!G103)/('Fórmula'!C103+'Fórmula'!E103+'Fórmula'!G103+'Fórmula'!I103+'Fórmula'!K103))*(INDEX(properties!A$1:CB$87,'Fórmula'!F103,23))+(('Fórmula'!I103)/('Fórmula'!C103+'Fórmula'!E103+'Fórmula'!G103+'Fórmula'!I103+'Fórmula'!K103))*(INDEX(properties!A$1:CB$87,'Fórmula'!H103,23))+(('Fórmula'!K103)/('Fórmula'!C103+'Fórmula'!E103+'Fórmula'!G103+'Fórmula'!I103+'Fórmula'!K103))*(INDEX(properties!A$1:CB$87,'Fórmula'!J103,23))</f>
        <v>1.272727273</v>
      </c>
      <c r="CC103" s="114">
        <f t="array" ref="CC103">'Fórmula'!C103*(INDEX(properties!A$1:CB$87,'Fórmula'!B103,23))+'Fórmula'!E103*(INDEX(properties!A$1:CB$87,'Fórmula'!D103,23))+'Fórmula'!G103*(INDEX(properties!A$1:CB$87,'Fórmula'!F103,23))+'Fórmula'!I103*(INDEX(properties!A$1:CB$87,'Fórmula'!H103,23))+'Fórmula'!K103*(INDEX(properties!A$1:CB$87,'Fórmula'!J103,23))</f>
        <v>14</v>
      </c>
      <c r="CD103" s="114">
        <f t="array" ref="CD103">VARP(IF(INDEX(properties!A$1:CB$87,'Fórmula'!B103,23)&lt;&gt;"",INDEX(properties!A$1:CB$87,'Fórmula'!B103,23)),IF(INDEX(properties!A$1:CB$87,'Fórmula'!D103,23)&lt;&gt;"",INDEX(properties!A$1:CB$87,'Fórmula'!D103,23)),IF(INDEX(properties!A$1:CB$87,'Fórmula'!F103,23)&lt;&gt;"",INDEX(properties!A$1:CB$87,'Fórmula'!F103,23)),IF(INDEX(properties!A$1:CB$87,'Fórmula'!H103,23)&lt;&gt;"",INDEX(properties!A$1:CB$87,'Fórmula'!H103,23)),IF(INDEX(properties!A$1:CB$87,'Fórmula'!J103,23)&lt;&gt;"",INDEX(properties!A$1:CB$87,'Fórmula'!J103,23)))</f>
        <v>3.04</v>
      </c>
      <c r="CE103" s="114">
        <f t="array" ref="CE103">MAX(INDEX(properties!A$1:CB$87,'Fórmula'!B103,23),INDEX(properties!A$1:CB$87,'Fórmula'!D103,23),INDEX(properties!A$1:CB$87,'Fórmula'!F103,23),INDEX(properties!A$1:CB$87,'Fórmula'!H103,23),INDEX(properties!A$1:CB$87,'Fórmula'!J103,23))</f>
        <v>4</v>
      </c>
      <c r="CF103" s="114">
        <f t="array" ref="CF103">MIN(IF('Fórmula'!B103=87,10^6,INDEX(properties!A$1:CB$87,'Fórmula'!B103,23)),IF(('Fórmula'!D103)=87,10^6,INDEX(properties!A$1:CB$87,'Fórmula'!D103,23)),IF(('Fórmula'!F103)=87,10^6,INDEX(properties!A$1:CB$87,'Fórmula'!F103,23)),IF(('Fórmula'!H103)=87,10^6,INDEX(properties!A$1:CB$87,'Fórmula'!H103,23)),IF('Fórmula'!J103=87,10^6,INDEX(properties!A$1:CB$87,'Fórmula'!J103,23)))</f>
        <v>0</v>
      </c>
      <c r="CG103" s="114">
        <f t="shared" si="14"/>
        <v>4</v>
      </c>
      <c r="CH103" s="115">
        <f t="array" ref="CH103">(('Fórmula'!C103)/('Fórmula'!C103+'Fórmula'!E103+'Fórmula'!G103+'Fórmula'!I103+'Fórmula'!K103))*(INDEX(properties!A$1:CB$87,'Fórmula'!B103,26))+(('Fórmula'!E103)/('Fórmula'!C103+'Fórmula'!E103+'Fórmula'!G103+'Fórmula'!I103+'Fórmula'!K103))*(INDEX(properties!A$1:CB$87,'Fórmula'!D103,26))+(('Fórmula'!G103)/('Fórmula'!C103+'Fórmula'!E103+'Fórmula'!G103+'Fórmula'!I103+'Fórmula'!K103))*(INDEX(properties!A$1:CB$87,'Fórmula'!F103,26))+(('Fórmula'!I103)/('Fórmula'!C103+'Fórmula'!E103+'Fórmula'!G103+'Fórmula'!I103+'Fórmula'!K103))*(INDEX(properties!A$1:CB$87,'Fórmula'!H103,26))+(('Fórmula'!K103)/('Fórmula'!C103+'Fórmula'!E103+'Fórmula'!G103+'Fórmula'!I103+'Fórmula'!K103))*(INDEX(properties!A$1:CB$87,'Fórmula'!J103,26))</f>
        <v>11.27860909</v>
      </c>
      <c r="CI103" s="115">
        <f t="array" ref="CI103">'Fórmula'!C103*(INDEX(properties!A$1:CB$87,'Fórmula'!B103,26))+'Fórmula'!E103*(INDEX(properties!A$1:CB$87,'Fórmula'!D103,26))+'Fórmula'!G103*(INDEX(properties!A$1:CB$87,'Fórmula'!F103,26))+'Fórmula'!I103*(INDEX(properties!A$1:CB$87,'Fórmula'!H103,26))+'Fórmula'!K103*(INDEX(properties!A$1:CB$87,'Fórmula'!J103,26))</f>
        <v>124.0647</v>
      </c>
      <c r="CJ103" s="115">
        <f t="array" ref="CJ103">VARP(IF(INDEX(properties!A$1:CB$87,'Fórmula'!B103,26)&lt;&gt;"",INDEX(properties!A$1:CB$87,'Fórmula'!B103,26)),IF(INDEX(properties!A$1:CB$87,'Fórmula'!D103,26)&lt;&gt;"",INDEX(properties!A$1:CB$87,'Fórmula'!D103,26)),IF(INDEX(properties!A$1:CB$87,'Fórmula'!F103,26)&lt;&gt;"",INDEX(properties!A$1:CB$87,'Fórmula'!F103,26)),IF(INDEX(properties!A$1:CB$87,'Fórmula'!H103,26)&lt;&gt;"",INDEX(properties!A$1:CB$87,'Fórmula'!H103,26)),IF(INDEX(properties!A$1:CB$87,'Fórmula'!J103,26)&lt;&gt;"",INDEX(properties!A$1:CB$87,'Fórmula'!J103,26)))</f>
        <v>26.7804253</v>
      </c>
      <c r="CK103" s="116">
        <f t="array" ref="CK103">MAX(INDEX(properties!A$1:CB$87,'Fórmula'!B103,26),INDEX(properties!A$1:CB$87,'Fórmula'!D103,26),INDEX(properties!A$1:CB$87,'Fórmula'!F103,26),INDEX(properties!A$1:CB$87,'Fórmula'!H103,26),INDEX(properties!A$1:CB$87,'Fórmula'!J103,26))</f>
        <v>13.6181</v>
      </c>
      <c r="CL103" s="116">
        <f t="array" ref="CL103">MIN(IF(INDEX(properties!A$1:CB$87,'Fórmula'!B103,26)=0,10^6,INDEX(properties!A$1:CB$87,'Fórmula'!B103,26)),IF(INDEX(properties!A$1:CB$87,'Fórmula'!D103,26)=0,10^6,INDEX(properties!A$1:CB$87,'Fórmula'!D103,26)),IF(INDEX(properties!A$1:CB$87,'Fórmula'!F103,26)=0,10^6,INDEX(properties!A$1:CB$87,'Fórmula'!F103,26)),IF(INDEX(properties!A$1:CB$87,'Fórmula'!H103,26)=0,10^6,INDEX(properties!A$1:CB$87,'Fórmula'!H103,26)),IF(INDEX(properties!A$1:CB$87,'Fórmula'!J103,26)=0,10^6,INDEX(properties!A$1:CB$87,'Fórmula'!J103,26)))</f>
        <v>6.2173</v>
      </c>
      <c r="CM103" s="115">
        <f t="shared" si="15"/>
        <v>7.4008</v>
      </c>
      <c r="CN103" s="117">
        <f t="array" ref="CN103">(('Fórmula'!C103)/('Fórmula'!C103+'Fórmula'!E103+'Fórmula'!G103+'Fórmula'!I103+'Fórmula'!K103))*(INDEX(properties!A$1:CB$87,'Fórmula'!B103,30))+(('Fórmula'!E103)/('Fórmula'!C103+'Fórmula'!E103+'Fórmula'!G103+'Fórmula'!I103+'Fórmula'!K103))*(INDEX(properties!A$1:CB$87,'Fórmula'!D103,30))+(('Fórmula'!G103)/('Fórmula'!C103+'Fórmula'!E103+'Fórmula'!G103+'Fórmula'!I103+'Fórmula'!K103))*(INDEX(properties!A$1:CB$87,'Fórmula'!F103,30))+(('Fórmula'!I103)/('Fórmula'!C103+'Fórmula'!E103+'Fórmula'!G103+'Fórmula'!I103+'Fórmula'!K103))*(INDEX(properties!A$1:CB$87,'Fórmula'!H103,30))+(('Fórmula'!K103)/('Fórmula'!C103+'Fórmula'!E103+'Fórmula'!G103+'Fórmula'!I103+'Fórmula'!K103))*(INDEX(properties!A$1:CB$87,'Fórmula'!J103,30))</f>
        <v>2.756363636</v>
      </c>
      <c r="CO103" s="117">
        <f t="array" ref="CO103">'Fórmula'!C103*(INDEX(properties!A$1:CB$87,'Fórmula'!B103,30))+'Fórmula'!E103*(INDEX(properties!A$1:CB$87,'Fórmula'!D103,30))+'Fórmula'!G103*(INDEX(properties!A$1:CB$87,'Fórmula'!F103,30))+'Fórmula'!I103*(INDEX(properties!A$1:CB$87,'Fórmula'!H103,30))+'Fórmula'!K103*(INDEX(properties!A$1:CB$87,'Fórmula'!J103,30))</f>
        <v>30.32</v>
      </c>
      <c r="CP103" s="117">
        <f t="array" ref="CP103">VARP(IF(INDEX(properties!A$1:CB$87,'Fórmula'!B103,30)&lt;&gt;"",INDEX(properties!A$1:CB$87,'Fórmula'!B103,30)),IF(INDEX(properties!A$1:CB$87,'Fórmula'!D103,30)&lt;&gt;"",INDEX(properties!A$1:CB$87,'Fórmula'!D103,30)),IF(INDEX(properties!A$1:CB$87,'Fórmula'!F103,30)&lt;&gt;"",INDEX(properties!A$1:CB$87,'Fórmula'!F103,30)),IF(INDEX(properties!A$1:CB$87,'Fórmula'!H103,30)&lt;&gt;"",INDEX(properties!A$1:CB$87,'Fórmula'!H103,30)),IF(INDEX(properties!A$1:CB$87,'Fórmula'!J103,30)&lt;&gt;"",INDEX(properties!A$1:CB$87,'Fórmula'!J103,30)))</f>
        <v>1.665056</v>
      </c>
      <c r="CQ103" s="117">
        <f t="array" ref="CQ103">MAX(INDEX(properties!A$1:CB$87,'Fórmula'!B103,30),INDEX(properties!A$1:CB$87,'Fórmula'!D103,30),INDEX(properties!A$1:CB$87,'Fórmula'!F103,30),INDEX(properties!A$1:CB$87,'Fórmula'!H103,30),INDEX(properties!A$1:CB$87,'Fórmula'!J103,30))</f>
        <v>3.44</v>
      </c>
      <c r="CR103" s="117">
        <f t="array" ref="CR103">MIN(IF(INDEX(properties!A$1:CB$87,'Fórmula'!B103,30)=0,10^6,INDEX(properties!A$1:CB$87,'Fórmula'!B103,30)),IF(INDEX(properties!A$1:CB$87,'Fórmula'!D103,30)=0,10^6,INDEX(properties!A$1:CB$87,'Fórmula'!D103,30)),IF(INDEX(properties!A$1:CB$87,'Fórmula'!F103,30)=0,10^6,INDEX(properties!A$1:CB$87,'Fórmula'!F103,30)),IF(INDEX(properties!A$1:CB$87,'Fórmula'!H103,30)=0,10^6,INDEX(properties!A$1:CB$87,'Fórmula'!H103,30)),IF(INDEX(properties!A$1:CB$87,'Fórmula'!J103,30)=0,10^6,INDEX(properties!A$1:CB$87,'Fórmula'!J103,30)))</f>
        <v>1.22</v>
      </c>
      <c r="CS103" s="117">
        <f t="shared" si="16"/>
        <v>2.22</v>
      </c>
      <c r="CT103" s="118">
        <f t="array" ref="CT103">(('Fórmula'!C103)/('Fórmula'!C103+'Fórmula'!E103+'Fórmula'!G103+'Fórmula'!I103+'Fórmula'!K103))*(INDEX(properties!A$1:CB$87,'Fórmula'!B103,31))+(('Fórmula'!E103)/('Fórmula'!C103+'Fórmula'!E103+'Fórmula'!G103+'Fórmula'!I103+'Fórmula'!K103))*(INDEX(properties!A$1:CB$87,'Fórmula'!D103,31))+(('Fórmula'!G103)/('Fórmula'!C103+'Fórmula'!E103+'Fórmula'!G103+'Fórmula'!I103+'Fórmula'!K103))*(INDEX(properties!A$1:CB$87,'Fórmula'!F103,31))+(('Fórmula'!I103)/('Fórmula'!C103+'Fórmula'!E103+'Fórmula'!G103+'Fórmula'!I103+'Fórmula'!K103))*(INDEX(properties!A$1:CB$87,'Fórmula'!H103,31))+(('Fórmula'!K103)/('Fórmula'!C103+'Fórmula'!E103+'Fórmula'!G103+'Fórmula'!I103+'Fórmula'!K103))*(INDEX(properties!A$1:CB$87,'Fórmula'!J103,31))</f>
        <v>2.729090909</v>
      </c>
      <c r="CU103" s="118">
        <f t="array" ref="CU103">'Fórmula'!C103*(INDEX(properties!A$1:CB$87,'Fórmula'!B103,31))+'Fórmula'!E103*(INDEX(properties!A$1:CB$87,'Fórmula'!D103,31))+'Fórmula'!G103*(INDEX(properties!A$1:CB$87,'Fórmula'!F103,31))+'Fórmula'!I103*(INDEX(properties!A$1:CB$87,'Fórmula'!H103,31))+'Fórmula'!K103*(INDEX(properties!A$1:CB$87,'Fórmula'!J103,31))</f>
        <v>30.02</v>
      </c>
      <c r="CV103" s="118">
        <f t="array" ref="CV103">VARP(IF(INDEX(properties!A$1:CB$87,'Fórmula'!B103,31)&lt;&gt;"",INDEX(properties!A$1:CB$87,'Fórmula'!B103,31)),IF(INDEX(properties!A$1:CB$87,'Fórmula'!D103,31)&lt;&gt;"",INDEX(properties!A$1:CB$87,'Fórmula'!D103,31)),IF(INDEX(properties!A$1:CB$87,'Fórmula'!F103,31)&lt;&gt;"",INDEX(properties!A$1:CB$87,'Fórmula'!F103,31)),IF(INDEX(properties!A$1:CB$87,'Fórmula'!H103,31)&lt;&gt;"",INDEX(properties!A$1:CB$87,'Fórmula'!H103,31)),IF(INDEX(properties!A$1:CB$87,'Fórmula'!J103,31)&lt;&gt;"",INDEX(properties!A$1:CB$87,'Fórmula'!J103,31)))</f>
        <v>1.585216</v>
      </c>
      <c r="CW103" s="118">
        <f t="array" ref="CW103">MAX(INDEX(properties!A$1:CB$87,'Fórmula'!B103,31),INDEX(properties!A$1:CB$87,'Fórmula'!D103,31),INDEX(properties!A$1:CB$87,'Fórmula'!F103,31),INDEX(properties!A$1:CB$87,'Fórmula'!H103,31),INDEX(properties!A$1:CB$87,'Fórmula'!J103,31))</f>
        <v>3.32</v>
      </c>
      <c r="CX103" s="118">
        <f t="array" ref="CX103">MIN(IF(INDEX(properties!A$1:CB$87,'Fórmula'!B103,31)=0,10^6,INDEX(properties!A$1:CB$87,'Fórmula'!B103,31)),IF(INDEX(properties!A$1:CB$87,'Fórmula'!D103,31)=0,10^6,INDEX(properties!A$1:CB$87,'Fórmula'!D103,31)),IF(INDEX(properties!A$1:CB$87,'Fórmula'!F103,31)=0,10^6,INDEX(properties!A$1:CB$87,'Fórmula'!F103,31)),IF(INDEX(properties!A$1:CB$87,'Fórmula'!H103,31)=0,10^6,INDEX(properties!A$1:CB$87,'Fórmula'!H103,31)),IF(INDEX(properties!A$1:CB$87,'Fórmula'!J103,31)=0,10^6,INDEX(properties!A$1:CB$87,'Fórmula'!J103,31)))</f>
        <v>1.41</v>
      </c>
      <c r="CY103" s="118">
        <f t="shared" si="17"/>
        <v>1.91</v>
      </c>
      <c r="CZ103" s="119">
        <f t="array" ref="CZ103">(('Fórmula'!C103)/('Fórmula'!C103+'Fórmula'!E103+'Fórmula'!G103+'Fórmula'!I103+'Fórmula'!K103))*(INDEX(properties!A$1:CB$87,'Fórmula'!B103,32))+(('Fórmula'!E103)/('Fórmula'!C103+'Fórmula'!E103+'Fórmula'!G103+'Fórmula'!I103+'Fórmula'!K103))*(INDEX(properties!A$1:CB$87,'Fórmula'!D103,32))+(('Fórmula'!G103)/('Fórmula'!C103+'Fórmula'!E103+'Fórmula'!G103+'Fórmula'!I103+'Fórmula'!K103))*(INDEX(properties!A$1:CB$87,'Fórmula'!F103,32))+(('Fórmula'!I103)/('Fórmula'!C103+'Fórmula'!E103+'Fórmula'!G103+'Fórmula'!I103+'Fórmula'!K103))*(INDEX(properties!A$1:CB$87,'Fórmula'!H103,32))+(('Fórmula'!K103)/('Fórmula'!C103+'Fórmula'!E103+'Fórmula'!G103+'Fórmula'!I103+'Fórmula'!K103))*(INDEX(properties!A$1:CB$87,'Fórmula'!J103,32))</f>
        <v>6.245454545</v>
      </c>
      <c r="DA103" s="119">
        <f t="array" ref="DA103">'Fórmula'!C103*(INDEX(properties!A$1:CB$87,'Fórmula'!B103,32))+'Fórmula'!E103*(INDEX(properties!A$1:CB$87,'Fórmula'!D103,32))+'Fórmula'!G103*(INDEX(properties!A$1:CB$87,'Fórmula'!F103,32))+'Fórmula'!I103*(INDEX(properties!A$1:CB$87,'Fórmula'!H103,32))+'Fórmula'!K103*(INDEX(properties!A$1:CB$87,'Fórmula'!J103,32))</f>
        <v>68.7</v>
      </c>
      <c r="DB103" s="119">
        <f t="array" ref="DB103">VARP(IF(INDEX(properties!A$1:CB$87,'Fórmula'!B103,32)&lt;&gt;"",INDEX(properties!A$1:CB$87,'Fórmula'!B103,32)),IF(INDEX(properties!A$1:CB$87,'Fórmula'!D103,32)&lt;&gt;"",INDEX(properties!A$1:CB$87,'Fórmula'!D103,32)),IF(INDEX(properties!A$1:CB$87,'Fórmula'!F103,32)&lt;&gt;"",INDEX(properties!A$1:CB$87,'Fórmula'!F103,32)),IF(INDEX(properties!A$1:CB$87,'Fórmula'!H103,32)&lt;&gt;"",INDEX(properties!A$1:CB$87,'Fórmula'!H103,32)),IF(INDEX(properties!A$1:CB$87,'Fórmula'!J103,32)&lt;&gt;"",INDEX(properties!A$1:CB$87,'Fórmula'!J103,32)))</f>
        <v>8.34612</v>
      </c>
      <c r="DC103" s="119">
        <f t="array" ref="DC103">MAX(INDEX(properties!A$1:CB$87,'Fórmula'!B103,32),INDEX(properties!A$1:CB$87,'Fórmula'!D103,32),INDEX(properties!A$1:CB$87,'Fórmula'!F103,32),INDEX(properties!A$1:CB$87,'Fórmula'!H103,32),INDEX(properties!A$1:CB$87,'Fórmula'!J103,32))</f>
        <v>7.54</v>
      </c>
      <c r="DD103" s="119">
        <f t="array" ref="DD103">MIN(IF(INDEX(properties!A$1:CB$87,'Fórmula'!B103,32)=0,10^6,INDEX(properties!A$1:CB$87,'Fórmula'!B103,32)),IF(INDEX(properties!A$1:CB$87,'Fórmula'!D103,32)=0,10^6,INDEX(properties!A$1:CB$87,'Fórmula'!D103,32)),IF(INDEX(properties!A$1:CB$87,'Fórmula'!F103,32)=0,10^6,INDEX(properties!A$1:CB$87,'Fórmula'!F103,32)),IF(INDEX(properties!A$1:CB$87,'Fórmula'!H103,32)=0,10^6,INDEX(properties!A$1:CB$87,'Fórmula'!H103,32)),IF(INDEX(properties!A$1:CB$87,'Fórmula'!J103,32)=0,10^6,INDEX(properties!A$1:CB$87,'Fórmula'!J103,32)))</f>
        <v>3.19</v>
      </c>
      <c r="DE103" s="119">
        <f t="shared" si="18"/>
        <v>4.35</v>
      </c>
      <c r="DF103" s="104">
        <f t="array" ref="DF103">(('Fórmula'!C103)/('Fórmula'!C103+'Fórmula'!E103+'Fórmula'!G103+'Fórmula'!I103+'Fórmula'!K103))*(INDEX(properties!A$1:CB$87,'Fórmula'!B103,34))+(('Fórmula'!E103)/('Fórmula'!C103+'Fórmula'!E103+'Fórmula'!G103+'Fórmula'!I103+'Fórmula'!K103))*(INDEX(properties!A$1:CB$87,'Fórmula'!D103,34))+(('Fórmula'!G103)/('Fórmula'!C103+'Fórmula'!E103+'Fórmula'!G103+'Fórmula'!I103+'Fórmula'!K103))*(INDEX(properties!A$1:CB$87,'Fórmula'!F103,34))+(('Fórmula'!I103)/('Fórmula'!C103+'Fórmula'!E103+'Fórmula'!G103+'Fórmula'!I103+'Fórmula'!K103))*(INDEX(properties!A$1:CB$87,'Fórmula'!H103,34))+(('Fórmula'!K103)/('Fórmula'!C103+'Fórmula'!E103+'Fórmula'!G103+'Fórmula'!I103+'Fórmula'!K103))*(INDEX(properties!A$1:CB$87,'Fórmula'!J103,34))</f>
        <v>2.849272727</v>
      </c>
      <c r="DG103" s="104">
        <f t="array" ref="DG103">'Fórmula'!C103*(INDEX(properties!A$1:CB$87,'Fórmula'!B103,34))+'Fórmula'!E103*(INDEX(properties!A$1:CB$87,'Fórmula'!D103,34))+'Fórmula'!G103*(INDEX(properties!A$1:CB$87,'Fórmula'!F103,34))+'Fórmula'!I103*(INDEX(properties!A$1:CB$87,'Fórmula'!H103,34))+'Fórmula'!K103*(INDEX(properties!A$1:CB$87,'Fórmula'!J103,34))</f>
        <v>31.342</v>
      </c>
      <c r="DH103" s="104">
        <f t="array" ref="DH103">VARP(IF(INDEX(properties!A$1:CB$87,'Fórmula'!B103,34)&lt;&gt;"",INDEX(properties!A$1:CB$87,'Fórmula'!B103,34)),IF(INDEX(properties!A$1:CB$87,'Fórmula'!D103,34)&lt;&gt;"",INDEX(properties!A$1:CB$87,'Fórmula'!D103,34)),IF(INDEX(properties!A$1:CB$87,'Fórmula'!F103,34)&lt;&gt;"",INDEX(properties!A$1:CB$87,'Fórmula'!F103,34)),IF(INDEX(properties!A$1:CB$87,'Fórmula'!H103,34)&lt;&gt;"",INDEX(properties!A$1:CB$87,'Fórmula'!H103,34)),IF(INDEX(properties!A$1:CB$87,'Fórmula'!J103,34)&lt;&gt;"",INDEX(properties!A$1:CB$87,'Fórmula'!J103,34)))</f>
        <v>1.82473856</v>
      </c>
      <c r="DI103" s="104">
        <f t="array" ref="DI103">MAX(INDEX(properties!A$1:CB$87,'Fórmula'!B103,34),INDEX(properties!A$1:CB$87,'Fórmula'!D103,34),INDEX(properties!A$1:CB$87,'Fórmula'!F103,34),INDEX(properties!A$1:CB$87,'Fórmula'!H103,34),INDEX(properties!A$1:CB$87,'Fórmula'!J103,34))</f>
        <v>3.61</v>
      </c>
      <c r="DJ103" s="104">
        <f t="array" ref="DJ103">MIN(IF(INDEX(properties!A$1:CB$87,'Fórmula'!B103,34)=0,10^6,INDEX(properties!A$1:CB$87,'Fórmula'!B103,34)),IF(INDEX(properties!A$1:CB$87,'Fórmula'!D103,34)=0,10^6,INDEX(properties!A$1:CB$87,'Fórmula'!D103,34)),IF(INDEX(properties!A$1:CB$87,'Fórmula'!F103,34)=0,10^6,INDEX(properties!A$1:CB$87,'Fórmula'!F103,34)),IF(INDEX(properties!A$1:CB$87,'Fórmula'!H103,34)=0,10^6,INDEX(properties!A$1:CB$87,'Fórmula'!H103,34)),IF(INDEX(properties!A$1:CB$87,'Fórmula'!J103,34)=0,10^6,INDEX(properties!A$1:CB$87,'Fórmula'!J103,34)))</f>
        <v>1.12</v>
      </c>
      <c r="DK103" s="104">
        <f t="shared" si="19"/>
        <v>2.49</v>
      </c>
      <c r="DL103" s="105">
        <f t="array" ref="DL103">(('Fórmula'!C103)/('Fórmula'!C103+'Fórmula'!E103+'Fórmula'!G103+'Fórmula'!I103+'Fórmula'!K103))*(INDEX(properties!A$1:CB$87,'Fórmula'!B103,37))+(('Fórmula'!E103)/('Fórmula'!C103+'Fórmula'!E103+'Fórmula'!G103+'Fórmula'!I103+'Fórmula'!K103))*(INDEX(properties!A$1:CB$87,'Fórmula'!D103,37))+(('Fórmula'!G103)/('Fórmula'!C103+'Fórmula'!E103+'Fórmula'!G103+'Fórmula'!I103+'Fórmula'!K103))*(INDEX(properties!A$1:CB$87,'Fórmula'!F103,37))+(('Fórmula'!I103)/('Fórmula'!C103+'Fórmula'!E103+'Fórmula'!G103+'Fórmula'!I103+'Fórmula'!K103))*(INDEX(properties!A$1:CB$87,'Fórmula'!H103,37))+(('Fórmula'!K103)/('Fórmula'!C103+'Fórmula'!E103+'Fórmula'!G103+'Fórmula'!I103+'Fórmula'!K103))*(INDEX(properties!A$1:CB$87,'Fórmula'!J103,37))</f>
        <v>2.759090909</v>
      </c>
      <c r="DM103" s="105">
        <f t="array" ref="DM103">'Fórmula'!C103*(INDEX(properties!A$1:CB$87,'Fórmula'!B103,37))+'Fórmula'!E103*(INDEX(properties!A$1:CB$87,'Fórmula'!D103,37))+'Fórmula'!G103*(INDEX(properties!A$1:CB$87,'Fórmula'!F103,37))+'Fórmula'!I103*(INDEX(properties!A$1:CB$87,'Fórmula'!H103,37))+'Fórmula'!K103*(INDEX(properties!A$1:CB$87,'Fórmula'!J103,37))</f>
        <v>30.35</v>
      </c>
      <c r="DN103" s="105">
        <f t="array" ref="DN103">VARP(IF(INDEX(properties!A$1:CB$87,'Fórmula'!B103,37)&lt;&gt;"",INDEX(properties!A$1:CB$87,'Fórmula'!B103,37)),IF(INDEX(properties!A$1:CB$87,'Fórmula'!D103,37)&lt;&gt;"",INDEX(properties!A$1:CB$87,'Fórmula'!D103,37)),IF(INDEX(properties!A$1:CB$87,'Fórmula'!F103,37)&lt;&gt;"",INDEX(properties!A$1:CB$87,'Fórmula'!F103,37)),IF(INDEX(properties!A$1:CB$87,'Fórmula'!H103,37)&lt;&gt;"",INDEX(properties!A$1:CB$87,'Fórmula'!H103,37)),IF(INDEX(properties!A$1:CB$87,'Fórmula'!J103,37)&lt;&gt;"",INDEX(properties!A$1:CB$87,'Fórmula'!J103,37)))</f>
        <v>1.6504</v>
      </c>
      <c r="DO103" s="105">
        <f t="array" ref="DO103">MAX(INDEX(properties!A$1:CB$87,'Fórmula'!B103,37),INDEX(properties!A$1:CB$87,'Fórmula'!D103,37),INDEX(properties!A$1:CB$87,'Fórmula'!F103,37),INDEX(properties!A$1:CB$87,'Fórmula'!H103,37),INDEX(properties!A$1:CB$87,'Fórmula'!J103,37))</f>
        <v>3.45</v>
      </c>
      <c r="DP103" s="105">
        <f t="array" ref="DP103">MIN(IF(INDEX(properties!A$1:CB$87,'Fórmula'!B103,37)=0,10^6,INDEX(properties!A$1:CB$87,'Fórmula'!B103,37)),IF(INDEX(properties!A$1:CB$87,'Fórmula'!D103,37)=0,10^6,INDEX(properties!A$1:CB$87,'Fórmula'!D103,37)),IF(INDEX(properties!A$1:CB$87,'Fórmula'!F103,37)=0,10^6,INDEX(properties!A$1:CB$87,'Fórmula'!F103,37)),IF(INDEX(properties!A$1:CB$87,'Fórmula'!H103,37)=0,10^6,INDEX(properties!A$1:CB$87,'Fórmula'!H103,37)),IF(INDEX(properties!A$1:CB$87,'Fórmula'!J103,37)=0,10^6,INDEX(properties!A$1:CB$87,'Fórmula'!J103,37)))</f>
        <v>1.3</v>
      </c>
      <c r="DQ103" s="105">
        <f t="shared" si="20"/>
        <v>2.15</v>
      </c>
      <c r="DR103" s="109">
        <f t="array" ref="DR103">(('Fórmula'!C103)/('Fórmula'!C103+'Fórmula'!E103+'Fórmula'!G103+'Fórmula'!I103+'Fórmula'!K103))*(INDEX(properties!A$1:CB$87,'Fórmula'!B103,39))+(('Fórmula'!E103)/('Fórmula'!C103+'Fórmula'!E103+'Fórmula'!G103+'Fórmula'!I103+'Fórmula'!K103))*(INDEX(properties!A$1:CB$87,'Fórmula'!D103,39))+(('Fórmula'!G103)/('Fórmula'!C103+'Fórmula'!E103+'Fórmula'!G103+'Fórmula'!I103+'Fórmula'!K103))*(INDEX(properties!A$1:CB$87,'Fórmula'!F103,39))+(('Fórmula'!I103)/('Fórmula'!C103+'Fórmula'!E103+'Fórmula'!G103+'Fórmula'!I103+'Fórmula'!K103))*(INDEX(properties!A$1:CB$87,'Fórmula'!H103,39))+(('Fórmula'!K103)/('Fórmula'!C103+'Fórmula'!E103+'Fórmula'!G103+'Fórmula'!I103+'Fórmula'!K103))*(INDEX(properties!A$1:CB$87,'Fórmula'!J103,39))</f>
        <v>0.8927272727</v>
      </c>
      <c r="DS103" s="109">
        <f t="array" ref="DS103">'Fórmula'!C103*(INDEX(properties!A$1:CB$87,'Fórmula'!B103,39))+'Fórmula'!E103*(INDEX(properties!A$1:CB$87,'Fórmula'!D103,39))+'Fórmula'!G103*(INDEX(properties!A$1:CB$87,'Fórmula'!F103,39))+'Fórmula'!I103*(INDEX(properties!A$1:CB$87,'Fórmula'!H103,39))+'Fórmula'!K103*(INDEX(properties!A$1:CB$87,'Fórmula'!J103,39))</f>
        <v>9.82</v>
      </c>
      <c r="DT103" s="109">
        <f t="array" ref="DT103">VARP(IF(INDEX(properties!A$1:CB$87,'Fórmula'!B103,39)&lt;&gt;"",INDEX(properties!A$1:CB$87,'Fórmula'!B103,39)),IF(INDEX(properties!A$1:CB$87,'Fórmula'!D103,39)&lt;&gt;"",INDEX(properties!A$1:CB$87,'Fórmula'!D103,39)),IF(INDEX(properties!A$1:CB$87,'Fórmula'!F103,39)&lt;&gt;"",INDEX(properties!A$1:CB$87,'Fórmula'!F103,39)),IF(INDEX(properties!A$1:CB$87,'Fórmula'!H103,39)&lt;&gt;"",INDEX(properties!A$1:CB$87,'Fórmula'!H103,39)),IF(INDEX(properties!A$1:CB$87,'Fórmula'!J103,39)&lt;&gt;"",INDEX(properties!A$1:CB$87,'Fórmula'!J103,39)))</f>
        <v>0.640816</v>
      </c>
      <c r="DU103" s="120">
        <f t="array" ref="DU103">MAX(INDEX(properties!A$1:CB$87,'Fórmula'!B103,39),INDEX(properties!A$1:CB$87,'Fórmula'!D103,39),INDEX(properties!A$1:CB$87,'Fórmula'!F103,39),INDEX(properties!A$1:CB$87,'Fórmula'!H103,39),INDEX(properties!A$1:CB$87,'Fórmula'!J103,39))</f>
        <v>2.12</v>
      </c>
      <c r="DV103" s="120">
        <f t="array" ref="DV103">MIN(IF(INDEX(properties!A$1:CB$87,'Fórmula'!B103,39)=0,10^6,INDEX(properties!A$1:CB$87,'Fórmula'!B103,39)),IF(INDEX(properties!A$1:CB$87,'Fórmula'!D103,39)=0,10^6,INDEX(properties!A$1:CB$87,'Fórmula'!D103,39)),IF(INDEX(properties!A$1:CB$87,'Fórmula'!F103,39)=0,10^6,INDEX(properties!A$1:CB$87,'Fórmula'!F103,39)),IF(INDEX(properties!A$1:CB$87,'Fórmula'!H103,39)=0,10^6,INDEX(properties!A$1:CB$87,'Fórmula'!H103,39)),IF(INDEX(properties!A$1:CB$87,'Fórmula'!J103,39)=0,10^6,INDEX(properties!A$1:CB$87,'Fórmula'!J103,39)))</f>
        <v>0.48</v>
      </c>
      <c r="DW103" s="109">
        <f t="shared" si="21"/>
        <v>1.64</v>
      </c>
      <c r="DX103" s="110">
        <f t="array" ref="DX103">(('Fórmula'!C103)/('Fórmula'!C103+'Fórmula'!E103+'Fórmula'!G103+'Fórmula'!I103+'Fórmula'!K103))*(INDEX(properties!A$1:CB$87,'Fórmula'!B103,40))+(('Fórmula'!E103)/('Fórmula'!C103+'Fórmula'!E103+'Fórmula'!G103+'Fórmula'!I103+'Fórmula'!K103))*(INDEX(properties!A$1:CB$87,'Fórmula'!D103,40))+(('Fórmula'!G103)/('Fórmula'!C103+'Fórmula'!E103+'Fórmula'!G103+'Fórmula'!I103+'Fórmula'!K103))*(INDEX(properties!A$1:CB$87,'Fórmula'!F103,40))+(('Fórmula'!I103)/('Fórmula'!C103+'Fórmula'!E103+'Fórmula'!G103+'Fórmula'!I103+'Fórmula'!K103))*(INDEX(properties!A$1:CB$87,'Fórmula'!H103,40))+(('Fórmula'!K103)/('Fórmula'!C103+'Fórmula'!E103+'Fórmula'!G103+'Fórmula'!I103+'Fórmula'!K103))*(INDEX(properties!A$1:CB$87,'Fórmula'!J103,40))</f>
        <v>0.9609090909</v>
      </c>
      <c r="DY103" s="110">
        <f t="array" ref="DY103">'Fórmula'!C103*(INDEX(properties!A$1:CB$87,'Fórmula'!B103,40))+'Fórmula'!E103*(INDEX(properties!A$1:CB$87,'Fórmula'!D103,40))+'Fórmula'!G103*(INDEX(properties!A$1:CB$87,'Fórmula'!F103,40))+'Fórmula'!I103*(INDEX(properties!A$1:CB$87,'Fórmula'!H103,40))+'Fórmula'!K103*(INDEX(properties!A$1:CB$87,'Fórmula'!J103,40))</f>
        <v>10.57</v>
      </c>
      <c r="DZ103" s="110">
        <f t="array" ref="DZ103">VARP(IF(INDEX(properties!A$1:CB$87,'Fórmula'!B103,40)&lt;&gt;"",INDEX(properties!A$1:CB$87,'Fórmula'!B103,40)),IF(INDEX(properties!A$1:CB$87,'Fórmula'!D103,40)&lt;&gt;"",INDEX(properties!A$1:CB$87,'Fórmula'!D103,40)),IF(INDEX(properties!A$1:CB$87,'Fórmula'!F103,40)&lt;&gt;"",INDEX(properties!A$1:CB$87,'Fórmula'!F103,40)),IF(INDEX(properties!A$1:CB$87,'Fórmula'!H103,40)&lt;&gt;"",INDEX(properties!A$1:CB$87,'Fórmula'!H103,40)),IF(INDEX(properties!A$1:CB$87,'Fórmula'!J103,40)&lt;&gt;"",INDEX(properties!A$1:CB$87,'Fórmula'!J103,40)))</f>
        <v>0.399016</v>
      </c>
      <c r="EA103" s="121">
        <f t="array" ref="EA103">MAX(INDEX(properties!A$1:CB$87,'Fórmula'!B103,40),INDEX(properties!A$1:CB$87,'Fórmula'!D103,40),INDEX(properties!A$1:CB$87,'Fórmula'!F103,40),INDEX(properties!A$1:CB$87,'Fórmula'!H103,40),INDEX(properties!A$1:CB$87,'Fórmula'!J103,40))</f>
        <v>1.62</v>
      </c>
      <c r="EB103" s="121">
        <f t="array" ref="EB103">MIN(IF(INDEX(properties!A$1:CB$87,'Fórmula'!B103,40)=0,10^6,INDEX(properties!A$1:CB$87,'Fórmula'!B103,40)),IF(INDEX(properties!A$1:CB$87,'Fórmula'!D103,40)=0,10^6,INDEX(properties!A$1:CB$87,'Fórmula'!D103,40)),IF(INDEX(properties!A$1:CB$87,'Fórmula'!F103,40)=0,10^6,INDEX(properties!A$1:CB$87,'Fórmula'!F103,40)),IF(INDEX(properties!A$1:CB$87,'Fórmula'!H103,40)=0,10^6,INDEX(properties!A$1:CB$87,'Fórmula'!H103,40)),IF(INDEX(properties!A$1:CB$87,'Fórmula'!J103,40)=0,10^6,INDEX(properties!A$1:CB$87,'Fórmula'!J103,40)))</f>
        <v>0.73</v>
      </c>
      <c r="EC103" s="110">
        <f t="shared" si="22"/>
        <v>0.89</v>
      </c>
      <c r="ED103" s="111">
        <f t="array" ref="ED103">(('Fórmula'!C103)/('Fórmula'!C103+'Fórmula'!E103+'Fórmula'!G103+'Fórmula'!I103+'Fórmula'!K103))*(INDEX(properties!A$1:CB$87,'Fórmula'!B103,41))+(('Fórmula'!E103)/('Fórmula'!C103+'Fórmula'!E103+'Fórmula'!G103+'Fórmula'!I103+'Fórmula'!K103))*(INDEX(properties!A$1:CB$87,'Fórmula'!D103,41))+(('Fórmula'!G103)/('Fórmula'!C103+'Fórmula'!E103+'Fórmula'!G103+'Fórmula'!I103+'Fórmula'!K103))*(INDEX(properties!A$1:CB$87,'Fórmula'!F103,41))+(('Fórmula'!I103)/('Fórmula'!C103+'Fórmula'!E103+'Fórmula'!G103+'Fórmula'!I103+'Fórmula'!K103))*(INDEX(properties!A$1:CB$87,'Fórmula'!H103,41))+(('Fórmula'!K103)/('Fórmula'!C103+'Fórmula'!E103+'Fórmula'!G103+'Fórmula'!I103+'Fórmula'!K103))*(INDEX(properties!A$1:CB$87,'Fórmula'!J103,41))</f>
        <v>1.089090909</v>
      </c>
      <c r="EE103" s="111">
        <f t="array" ref="EE103">'Fórmula'!C103*(INDEX(properties!A$1:CB$87,'Fórmula'!B103,41))+'Fórmula'!E103*(INDEX(properties!A$1:CB$87,'Fórmula'!D103,41))+'Fórmula'!G103*(INDEX(properties!A$1:CB$87,'Fórmula'!F103,41))+'Fórmula'!I103*(INDEX(properties!A$1:CB$87,'Fórmula'!H103,41))+'Fórmula'!K103*(INDEX(properties!A$1:CB$87,'Fórmula'!J103,41))</f>
        <v>11.98</v>
      </c>
      <c r="EF103" s="111">
        <f t="array" ref="EF103">VARP(IF(INDEX(properties!A$1:CB$87,'Fórmula'!B103,41)&lt;&gt;"",INDEX(properties!A$1:CB$87,'Fórmula'!B103,41)),IF(INDEX(properties!A$1:CB$87,'Fórmula'!D103,41)&lt;&gt;"",INDEX(properties!A$1:CB$87,'Fórmula'!D103,41)),IF(INDEX(properties!A$1:CB$87,'Fórmula'!F103,41)&lt;&gt;"",INDEX(properties!A$1:CB$87,'Fórmula'!F103,41)),IF(INDEX(properties!A$1:CB$87,'Fórmula'!H103,41)&lt;&gt;"",INDEX(properties!A$1:CB$87,'Fórmula'!H103,41)),IF(INDEX(properties!A$1:CB$87,'Fórmula'!J103,41)&lt;&gt;"",INDEX(properties!A$1:CB$87,'Fórmula'!J103,41)))</f>
        <v>0.269536</v>
      </c>
      <c r="EG103" s="122">
        <f t="array" ref="EG103">MAX(INDEX(properties!A$1:CB$87,'Fórmula'!B103,41),INDEX(properties!A$1:CB$87,'Fórmula'!D103,41),INDEX(properties!A$1:CB$87,'Fórmula'!F103,41),INDEX(properties!A$1:CB$87,'Fórmula'!H103,41),INDEX(properties!A$1:CB$87,'Fórmula'!J103,41))</f>
        <v>1.26</v>
      </c>
      <c r="EH103" s="122">
        <f t="array" ref="EH103">MIN(IF(INDEX(properties!A$1:CB$87,'Fórmula'!B103,41)=0,10^6,INDEX(properties!A$1:CB$87,'Fórmula'!B103,41)),IF(INDEX(properties!A$1:CB$87,'Fórmula'!D103,41)=0,10^6,INDEX(properties!A$1:CB$87,'Fórmula'!D103,41)),IF(INDEX(properties!A$1:CB$87,'Fórmula'!F103,41)=0,10^6,INDEX(properties!A$1:CB$87,'Fórmula'!F103,41)),IF(INDEX(properties!A$1:CB$87,'Fórmula'!H103,41)=0,10^6,INDEX(properties!A$1:CB$87,'Fórmula'!H103,41)),IF(INDEX(properties!A$1:CB$87,'Fórmula'!J103,41)=0,10^6,INDEX(properties!A$1:CB$87,'Fórmula'!J103,41)))</f>
        <v>0.54</v>
      </c>
      <c r="EI103" s="111">
        <f t="shared" si="23"/>
        <v>0.72</v>
      </c>
      <c r="EJ103" s="112">
        <f t="array" ref="EJ103">(('Fórmula'!C103)/('Fórmula'!C103+'Fórmula'!E103+'Fórmula'!G103+'Fórmula'!I103+'Fórmula'!K103))*(INDEX(properties!A$1:CB$87,'Fórmula'!B103,45))+(('Fórmula'!E103)/('Fórmula'!C103+'Fórmula'!E103+'Fórmula'!G103+'Fórmula'!I103+'Fórmula'!K103))*(INDEX(properties!A$1:CB$87,'Fórmula'!D103,45))+(('Fórmula'!G103)/('Fórmula'!C103+'Fórmula'!E103+'Fórmula'!G103+'Fórmula'!I103+'Fórmula'!K103))*(INDEX(properties!A$1:CB$87,'Fórmula'!F103,45))+(('Fórmula'!I103)/('Fórmula'!C103+'Fórmula'!E103+'Fórmula'!G103+'Fórmula'!I103+'Fórmula'!K103))*(INDEX(properties!A$1:CB$87,'Fórmula'!H103,45))+(('Fórmula'!K103)/('Fórmula'!C103+'Fórmula'!E103+'Fórmula'!G103+'Fórmula'!I103+'Fórmula'!K103))*(INDEX(properties!A$1:CB$87,'Fórmula'!J103,45))</f>
        <v>1.091818182</v>
      </c>
      <c r="EK103" s="112">
        <f t="array" ref="EK103">'Fórmula'!C103*(INDEX(properties!A$1:CB$87,'Fórmula'!B103,45))+'Fórmula'!E103*(INDEX(properties!A$1:CB$87,'Fórmula'!D103,45))+'Fórmula'!G103*(INDEX(properties!A$1:CB$87,'Fórmula'!F103,45))+'Fórmula'!I103*(INDEX(properties!A$1:CB$87,'Fórmula'!H103,45))+'Fórmula'!K103*(INDEX(properties!A$1:CB$87,'Fórmula'!J103,45))</f>
        <v>12.01</v>
      </c>
      <c r="EL103" s="112">
        <f t="array" ref="EL103">VARP(IF(INDEX(properties!A$1:CB$87,'Fórmula'!B103,45)&lt;&gt;"",INDEX(properties!A$1:CB$87,'Fórmula'!B103,45)),IF(INDEX(properties!A$1:CB$87,'Fórmula'!D103,45)&lt;&gt;"",INDEX(properties!A$1:CB$87,'Fórmula'!D103,45)),IF(INDEX(properties!A$1:CB$87,'Fórmula'!F103,45)&lt;&gt;"",INDEX(properties!A$1:CB$87,'Fórmula'!F103,45)),IF(INDEX(properties!A$1:CB$87,'Fórmula'!H103,45)&lt;&gt;"",INDEX(properties!A$1:CB$87,'Fórmula'!H103,45)),IF(INDEX(properties!A$1:CB$87,'Fórmula'!J103,45)&lt;&gt;"",INDEX(properties!A$1:CB$87,'Fórmula'!J103,45)))</f>
        <v>1.243024</v>
      </c>
      <c r="EM103" s="123">
        <f t="array" ref="EM103">MAX(INDEX(properties!A$1:CB$87,'Fórmula'!B103,45),INDEX(properties!A$1:CB$87,'Fórmula'!D103,45),INDEX(properties!A$1:CB$87,'Fórmula'!F103,45),INDEX(properties!A$1:CB$87,'Fórmula'!H103,45),INDEX(properties!A$1:CB$87,'Fórmula'!J103,45))</f>
        <v>2.94</v>
      </c>
      <c r="EN103" s="123">
        <f t="array" ref="EN103">MIN(IF(INDEX(properties!A$1:CB$87,'Fórmula'!B103,45)=0,10^6,INDEX(properties!A$1:CB$87,'Fórmula'!B103,45)),IF(INDEX(properties!A$1:CB$87,'Fórmula'!D103,45)=0,10^6,INDEX(properties!A$1:CB$87,'Fórmula'!D103,45)),IF(INDEX(properties!A$1:CB$87,'Fórmula'!F103,45)=0,10^6,INDEX(properties!A$1:CB$87,'Fórmula'!F103,45)),IF(INDEX(properties!A$1:CB$87,'Fórmula'!H103,45)=0,10^6,INDEX(properties!A$1:CB$87,'Fórmula'!H103,45)),IF(INDEX(properties!A$1:CB$87,'Fórmula'!J103,45)=0,10^6,INDEX(properties!A$1:CB$87,'Fórmula'!J103,45)))</f>
        <v>0.47</v>
      </c>
      <c r="EO103" s="112">
        <f t="shared" si="24"/>
        <v>2.47</v>
      </c>
      <c r="EP103" s="113">
        <f t="array" ref="EP103">(('Fórmula'!C103)/('Fórmula'!C103+'Fórmula'!E103+'Fórmula'!G103+'Fórmula'!I103+'Fórmula'!K103))*(INDEX(properties!A$1:CB$87,'Fórmula'!B103,46))+(('Fórmula'!E103)/('Fórmula'!C103+'Fórmula'!E103+'Fórmula'!G103+'Fórmula'!I103+'Fórmula'!K103))*(INDEX(properties!A$1:CB$87,'Fórmula'!D103,46))+(('Fórmula'!G103)/('Fórmula'!C103+'Fórmula'!E103+'Fórmula'!G103+'Fórmula'!I103+'Fórmula'!K103))*(INDEX(properties!A$1:CB$87,'Fórmula'!F103,46))+(('Fórmula'!I103)/('Fórmula'!C103+'Fórmula'!E103+'Fórmula'!G103+'Fórmula'!I103+'Fórmula'!K103))*(INDEX(properties!A$1:CB$87,'Fórmula'!H103,46))+(('Fórmula'!K103)/('Fórmula'!C103+'Fórmula'!E103+'Fórmula'!G103+'Fórmula'!I103+'Fórmula'!K103))*(INDEX(properties!A$1:CB$87,'Fórmula'!J103,46))</f>
        <v>1.031818182</v>
      </c>
      <c r="EQ103" s="113">
        <f t="array" ref="EQ103">'Fórmula'!C103*(INDEX(properties!A$1:CB$87,'Fórmula'!B103,46))+'Fórmula'!E103*(INDEX(properties!A$1:CB$87,'Fórmula'!D103,46))+'Fórmula'!G103*(INDEX(properties!A$1:CB$87,'Fórmula'!F103,46))+'Fórmula'!I103*(INDEX(properties!A$1:CB$87,'Fórmula'!H103,46))+'Fórmula'!K103*(INDEX(properties!A$1:CB$87,'Fórmula'!J103,46))</f>
        <v>11.35</v>
      </c>
      <c r="ER103" s="113">
        <f t="array" ref="ER103">VARP(IF(INDEX(properties!A$1:CB$87,'Fórmula'!B103,46)&lt;&gt;"",INDEX(properties!A$1:CB$87,'Fórmula'!B103,46)),IF(INDEX(properties!A$1:CB$87,'Fórmula'!D103,46)&lt;&gt;"",INDEX(properties!A$1:CB$87,'Fórmula'!D103,46)),IF(INDEX(properties!A$1:CB$87,'Fórmula'!F103,46)&lt;&gt;"",INDEX(properties!A$1:CB$87,'Fórmula'!F103,46)),IF(INDEX(properties!A$1:CB$87,'Fórmula'!H103,46)&lt;&gt;"",INDEX(properties!A$1:CB$87,'Fórmula'!H103,46)),IF(INDEX(properties!A$1:CB$87,'Fórmula'!J103,46)&lt;&gt;"",INDEX(properties!A$1:CB$87,'Fórmula'!J103,46)))</f>
        <v>0.26024</v>
      </c>
      <c r="ES103" s="124">
        <f t="array" ref="ES103">MAX(INDEX(properties!A$1:CB$87,'Fórmula'!B103,46),INDEX(properties!A$1:CB$87,'Fórmula'!D103,46),INDEX(properties!A$1:CB$87,'Fórmula'!F103,46),INDEX(properties!A$1:CB$87,'Fórmula'!H103,46),INDEX(properties!A$1:CB$87,'Fórmula'!J103,46))</f>
        <v>1.21</v>
      </c>
      <c r="ET103" s="124">
        <f t="array" ref="ET103">MIN(IF(INDEX(properties!A$1:CB$87,'Fórmula'!B103,46)=0,10^6,INDEX(properties!A$1:CB$87,'Fórmula'!B103,46)),IF(INDEX(properties!A$1:CB$87,'Fórmula'!D103,46)=0,10^6,INDEX(properties!A$1:CB$87,'Fórmula'!D103,46)),IF(INDEX(properties!A$1:CB$87,'Fórmula'!F103,46)=0,10^6,INDEX(properties!A$1:CB$87,'Fórmula'!F103,46)),IF(INDEX(properties!A$1:CB$87,'Fórmula'!H103,46)=0,10^6,INDEX(properties!A$1:CB$87,'Fórmula'!H103,46)),IF(INDEX(properties!A$1:CB$87,'Fórmula'!J103,46)=0,10^6,INDEX(properties!A$1:CB$87,'Fórmula'!J103,46)))</f>
        <v>0.4</v>
      </c>
      <c r="EU103" s="113">
        <f t="shared" si="25"/>
        <v>0.81</v>
      </c>
      <c r="EV103" s="114">
        <f t="array" ref="EV103">(('Fórmula'!C103)/('Fórmula'!C103+'Fórmula'!E103+'Fórmula'!G103+'Fórmula'!I103+'Fórmula'!K103))*(INDEX(properties!A$1:CB$87,'Fórmula'!B103,52))+(('Fórmula'!E103)/('Fórmula'!C103+'Fórmula'!E103+'Fórmula'!G103+'Fórmula'!I103+'Fórmula'!K103))*(INDEX(properties!A$1:CB$87,'Fórmula'!D103,52))+(('Fórmula'!G103)/('Fórmula'!C103+'Fórmula'!E103+'Fórmula'!G103+'Fórmula'!I103+'Fórmula'!K103))*(INDEX(properties!A$1:CB$87,'Fórmula'!F103,52))+(('Fórmula'!I103)/('Fórmula'!C103+'Fórmula'!E103+'Fórmula'!G103+'Fórmula'!I103+'Fórmula'!K103))*(INDEX(properties!A$1:CB$87,'Fórmula'!H103,52))+(('Fórmula'!K103)/('Fórmula'!C103+'Fórmula'!E103+'Fórmula'!G103+'Fórmula'!I103+'Fórmula'!K103))*(INDEX(properties!A$1:CB$87,'Fórmula'!J103,52))</f>
        <v>5.613727273</v>
      </c>
      <c r="EW103" s="114">
        <f t="array" ref="EW103">'Fórmula'!C103*(INDEX(properties!A$1:CB$87,'Fórmula'!B103,52))+'Fórmula'!E103*(INDEX(properties!A$1:CB$87,'Fórmula'!D103,52))+'Fórmula'!G103*(INDEX(properties!A$1:CB$87,'Fórmula'!F103,52))+'Fórmula'!I103*(INDEX(properties!A$1:CB$87,'Fórmula'!H103,52))+'Fórmula'!K103*(INDEX(properties!A$1:CB$87,'Fórmula'!J103,52))</f>
        <v>61.751</v>
      </c>
      <c r="EX103" s="114">
        <f t="array" ref="EX103">VARP(IF(INDEX(properties!A$1:CB$87,'Fórmula'!B103,52)&lt;&gt;"",INDEX(properties!A$1:CB$87,'Fórmula'!B103,52)),IF(INDEX(properties!A$1:CB$87,'Fórmula'!D103,52)&lt;&gt;"",INDEX(properties!A$1:CB$87,'Fórmula'!D103,52)),IF(INDEX(properties!A$1:CB$87,'Fórmula'!F103,52)&lt;&gt;"",INDEX(properties!A$1:CB$87,'Fórmula'!F103,52)),IF(INDEX(properties!A$1:CB$87,'Fórmula'!H103,52)&lt;&gt;"",INDEX(properties!A$1:CB$87,'Fórmula'!H103,52)),IF(INDEX(properties!A$1:CB$87,'Fórmula'!J103,52)&lt;&gt;"",INDEX(properties!A$1:CB$87,'Fórmula'!J103,52)))</f>
        <v>75.62355184</v>
      </c>
      <c r="EY103" s="114">
        <f t="array" ref="EY103">MAX(INDEX(properties!A$1:CB$87,'Fórmula'!B103,52),INDEX(properties!A$1:CB$87,'Fórmula'!D103,52),INDEX(properties!A$1:CB$87,'Fórmula'!F103,52),INDEX(properties!A$1:CB$87,'Fórmula'!H103,52),INDEX(properties!A$1:CB$87,'Fórmula'!J103,52))</f>
        <v>22.7</v>
      </c>
      <c r="EZ103" s="114">
        <f t="array" ref="EZ103">MIN(IF(INDEX(properties!A$1:CB$87,'Fórmula'!B103,52)=0,10^6,INDEX(properties!A$1:CB$87,'Fórmula'!B103,52)),IF(INDEX(properties!A$1:CB$87,'Fórmula'!D103,52)=0,10^6,INDEX(properties!A$1:CB$87,'Fórmula'!D103,52)),IF(INDEX(properties!A$1:CB$87,'Fórmula'!F103,52)=0,10^6,INDEX(properties!A$1:CB$87,'Fórmula'!F103,52)),IF(INDEX(properties!A$1:CB$87,'Fórmula'!H103,52)=0,10^6,INDEX(properties!A$1:CB$87,'Fórmula'!H103,52)),IF(INDEX(properties!A$1:CB$87,'Fórmula'!J103,52)=0,10^6,INDEX(properties!A$1:CB$87,'Fórmula'!J103,52)))</f>
        <v>0.793</v>
      </c>
      <c r="FA103" s="114">
        <f t="shared" si="26"/>
        <v>21.907</v>
      </c>
      <c r="FB103" s="115">
        <f t="array" ref="FB103">(('Fórmula'!C103)/('Fórmula'!C103+'Fórmula'!E103+'Fórmula'!G103+'Fórmula'!I103+'Fórmula'!K103))*(INDEX(properties!A$1:CB$87,'Fórmula'!B103,53))+(('Fórmula'!E103)/('Fórmula'!C103+'Fórmula'!E103+'Fórmula'!G103+'Fórmula'!I103+'Fórmula'!K103))*(INDEX(properties!A$1:CB$87,'Fórmula'!D103,53))+(('Fórmula'!G103)/('Fórmula'!C103+'Fórmula'!E103+'Fórmula'!G103+'Fórmula'!I103+'Fórmula'!K103))*(INDEX(properties!A$1:CB$87,'Fórmula'!F103,53))+(('Fórmula'!I103)/('Fórmula'!C103+'Fórmula'!E103+'Fórmula'!G103+'Fórmula'!I103+'Fórmula'!K103))*(INDEX(properties!A$1:CB$87,'Fórmula'!H103,53))+(('Fórmula'!K103)/('Fórmula'!C103+'Fórmula'!E103+'Fórmula'!G103+'Fórmula'!I103+'Fórmula'!K103))*(INDEX(properties!A$1:CB$87,'Fórmula'!J103,53))</f>
        <v>667.4409091</v>
      </c>
      <c r="FC103" s="115">
        <f t="array" ref="FC103">'Fórmula'!C103*(INDEX(properties!A$1:CB$87,'Fórmula'!B103,53))+'Fórmula'!E103*(INDEX(properties!A$1:CB$87,'Fórmula'!D103,53))+'Fórmula'!G103*(INDEX(properties!A$1:CB$87,'Fórmula'!F103,53))+'Fórmula'!I103*(INDEX(properties!A$1:CB$87,'Fórmula'!H103,53))+'Fórmula'!K103*(INDEX(properties!A$1:CB$87,'Fórmula'!J103,53))</f>
        <v>7341.85</v>
      </c>
      <c r="FD103" s="115">
        <f t="array" ref="FD103">VARP(IF(INDEX(properties!A$1:CB$87,'Fórmula'!B103,53)&lt;&gt;"",INDEX(properties!A$1:CB$87,'Fórmula'!B103,53)),IF(INDEX(properties!A$1:CB$87,'Fórmula'!D103,53)&lt;&gt;"",INDEX(properties!A$1:CB$87,'Fórmula'!D103,53)),IF(INDEX(properties!A$1:CB$87,'Fórmula'!F103,53)&lt;&gt;"",INDEX(properties!A$1:CB$87,'Fórmula'!F103,53)),IF(INDEX(properties!A$1:CB$87,'Fórmula'!H103,53)&lt;&gt;"",INDEX(properties!A$1:CB$87,'Fórmula'!H103,53)),IF(INDEX(properties!A$1:CB$87,'Fórmula'!J103,53)&lt;&gt;"",INDEX(properties!A$1:CB$87,'Fórmula'!J103,53)))</f>
        <v>712848.8854</v>
      </c>
      <c r="FE103" s="115">
        <f t="array" ref="FE103">MAX(INDEX(properties!A$1:CB$87,'Fórmula'!B103,53),INDEX(properties!A$1:CB$87,'Fórmula'!D103,53),INDEX(properties!A$1:CB$87,'Fórmula'!F103,53),INDEX(properties!A$1:CB$87,'Fórmula'!H103,53),INDEX(properties!A$1:CB$87,'Fórmula'!J103,53))</f>
        <v>1796.15</v>
      </c>
      <c r="FF103" s="115">
        <f t="array" ref="FF103">MIN(IF(INDEX(properties!A$1:CB$87,'Fórmula'!B103,53)=0,10^6,INDEX(properties!A$1:CB$87,'Fórmula'!B103,53)),IF(INDEX(properties!A$1:CB$87,'Fórmula'!D103,53)=0,10^6,INDEX(properties!A$1:CB$87,'Fórmula'!D103,53)),IF(INDEX(properties!A$1:CB$87,'Fórmula'!F103,53)=0,10^6,INDEX(properties!A$1:CB$87,'Fórmula'!F103,53)),IF(INDEX(properties!A$1:CB$87,'Fórmula'!H103,53)=0,10^6,INDEX(properties!A$1:CB$87,'Fórmula'!H103,53)),IF(INDEX(properties!A$1:CB$87,'Fórmula'!J103,53)=0,10^6,INDEX(properties!A$1:CB$87,'Fórmula'!J103,53)))</f>
        <v>54.75</v>
      </c>
      <c r="FG103" s="115">
        <f t="shared" si="27"/>
        <v>1741.4</v>
      </c>
      <c r="FH103" s="117">
        <f t="array" ref="FH103">(('Fórmula'!C103)/('Fórmula'!C103+'Fórmula'!E103+'Fórmula'!G103+'Fórmula'!I103+'Fórmula'!K103))*(INDEX(properties!A$1:CB$87,'Fórmula'!B103,54))+(('Fórmula'!E103)/('Fórmula'!C103+'Fórmula'!E103+'Fórmula'!G103+'Fórmula'!I103+'Fórmula'!K103))*(INDEX(properties!A$1:CB$87,'Fórmula'!D103,54))+(('Fórmula'!G103)/('Fórmula'!C103+'Fórmula'!E103+'Fórmula'!G103+'Fórmula'!I103+'Fórmula'!K103))*(INDEX(properties!A$1:CB$87,'Fórmula'!F103,54))+(('Fórmula'!I103)/('Fórmula'!C103+'Fórmula'!E103+'Fórmula'!G103+'Fórmula'!I103+'Fórmula'!K103))*(INDEX(properties!A$1:CB$87,'Fórmula'!H103,54))+(('Fórmula'!K103)/('Fórmula'!C103+'Fórmula'!E103+'Fórmula'!G103+'Fórmula'!I103+'Fórmula'!K103))*(INDEX(properties!A$1:CB$87,'Fórmula'!J103,54))</f>
        <v>1191.604545</v>
      </c>
      <c r="FI103" s="117">
        <f t="array" ref="FI103">'Fórmula'!C103*(INDEX(properties!A$1:CB$87,'Fórmula'!B103,54))+'Fórmula'!E103*(INDEX(properties!A$1:CB$87,'Fórmula'!D103,54))+'Fórmula'!G103*(INDEX(properties!A$1:CB$87,'Fórmula'!F103,54))+'Fórmula'!I103*(INDEX(properties!A$1:CB$87,'Fórmula'!H103,54))+'Fórmula'!K103*(INDEX(properties!A$1:CB$87,'Fórmula'!J103,54))</f>
        <v>13107.65</v>
      </c>
      <c r="FJ103" s="117">
        <f t="array" ref="FJ103">VARP(IF(INDEX(properties!A$1:CB$87,'Fórmula'!B103,54)&lt;&gt;"",INDEX(properties!A$1:CB$87,'Fórmula'!B103,54)),IF(INDEX(properties!A$1:CB$87,'Fórmula'!D103,54)&lt;&gt;"",INDEX(properties!A$1:CB$87,'Fórmula'!D103,54)),IF(INDEX(properties!A$1:CB$87,'Fórmula'!F103,54)&lt;&gt;"",INDEX(properties!A$1:CB$87,'Fórmula'!F103,54)),IF(INDEX(properties!A$1:CB$87,'Fórmula'!H103,54)&lt;&gt;"",INDEX(properties!A$1:CB$87,'Fórmula'!H103,54)),IF(INDEX(properties!A$1:CB$87,'Fórmula'!J103,54)&lt;&gt;"",INDEX(properties!A$1:CB$87,'Fórmula'!J103,54)))</f>
        <v>2387725.317</v>
      </c>
      <c r="FK103" s="117">
        <f t="array" ref="FK103">MAX(INDEX(properties!A$1:CB$87,'Fórmula'!B103,54),INDEX(properties!A$1:CB$87,'Fórmula'!D103,54),INDEX(properties!A$1:CB$87,'Fórmula'!F103,54),INDEX(properties!A$1:CB$87,'Fórmula'!H103,54),INDEX(properties!A$1:CB$87,'Fórmula'!J103,54))</f>
        <v>3610.15</v>
      </c>
      <c r="FL103" s="117">
        <f t="array" ref="FL103">MIN(IF(INDEX(properties!A$1:CB$87,'Fórmula'!B103,54)=0,10^6,INDEX(properties!A$1:CB$87,'Fórmula'!B103,54)),IF(INDEX(properties!A$1:CB$87,'Fórmula'!D103,54)=0,10^6,INDEX(properties!A$1:CB$87,'Fórmula'!D103,54)),IF(INDEX(properties!A$1:CB$87,'Fórmula'!F103,54)=0,10^6,INDEX(properties!A$1:CB$87,'Fórmula'!F103,54)),IF(INDEX(properties!A$1:CB$87,'Fórmula'!H103,54)=0,10^6,INDEX(properties!A$1:CB$87,'Fórmula'!H103,54)),IF(INDEX(properties!A$1:CB$87,'Fórmula'!J103,54)=0,10^6,INDEX(properties!A$1:CB$87,'Fórmula'!J103,54)))</f>
        <v>90.15</v>
      </c>
      <c r="FM103" s="117">
        <f t="shared" si="28"/>
        <v>3520</v>
      </c>
      <c r="FN103" s="118">
        <f t="array" ref="FN103">(('Fórmula'!C103)/('Fórmula'!C103+'Fórmula'!E103+'Fórmula'!G103+'Fórmula'!I103+'Fórmula'!K103))*(INDEX(properties!A$1:CB$87,'Fórmula'!B103,55))+(('Fórmula'!E103)/('Fórmula'!C103+'Fórmula'!E103+'Fórmula'!G103+'Fórmula'!I103+'Fórmula'!K103))*(INDEX(properties!A$1:CB$87,'Fórmula'!D103,55))+(('Fórmula'!G103)/('Fórmula'!C103+'Fórmula'!E103+'Fórmula'!G103+'Fórmula'!I103+'Fórmula'!K103))*(INDEX(properties!A$1:CB$87,'Fórmula'!F103,55))+(('Fórmula'!I103)/('Fórmula'!C103+'Fórmula'!E103+'Fórmula'!G103+'Fórmula'!I103+'Fórmula'!K103))*(INDEX(properties!A$1:CB$87,'Fórmula'!H103,55))+(('Fórmula'!K103)/('Fórmula'!C103+'Fórmula'!E103+'Fórmula'!G103+'Fórmula'!I103+'Fórmula'!K103))*(INDEX(properties!A$1:CB$87,'Fórmula'!J103,55))</f>
        <v>1.237273636</v>
      </c>
      <c r="FO103" s="118">
        <f t="array" ref="FO103">'Fórmula'!C103*(INDEX(properties!A$1:CB$87,'Fórmula'!B103,55))+'Fórmula'!E103*(INDEX(properties!A$1:CB$87,'Fórmula'!D103,54))+'Fórmula'!G103*(INDEX(properties!A$1:CB$87,'Fórmula'!F103,55))+'Fórmula'!I103*(INDEX(properties!A$1:CB$87,'Fórmula'!H103,55))+'Fórmula'!K103*(INDEX(properties!A$1:CB$87,'Fórmula'!J103,55))</f>
        <v>5265.25001</v>
      </c>
      <c r="FP103" s="118">
        <f t="array" ref="FP103">VARP(IF(INDEX(properties!A$1:CB$87,'Fórmula'!B103,55)&lt;&gt;"",INDEX(properties!A$1:CB$87,'Fórmula'!B103,55)),IF(INDEX(properties!A$1:CB$87,'Fórmula'!D103,55)&lt;&gt;"",INDEX(properties!A$1:CB$87,'Fórmula'!D103,55)),IF(INDEX(properties!A$1:CB$87,'Fórmula'!F103,55)&lt;&gt;"",INDEX(properties!A$1:CB$87,'Fórmula'!F103,55)),IF(INDEX(properties!A$1:CB$87,'Fórmula'!H103,55)&lt;&gt;"",INDEX(properties!A$1:CB$87,'Fórmula'!H103,55)),IF(INDEX(properties!A$1:CB$87,'Fórmula'!J103,55)&lt;&gt;"",INDEX(properties!A$1:CB$87,'Fórmula'!J103,55)))</f>
        <v>3.231582407</v>
      </c>
      <c r="FQ103" s="118">
        <f t="array" ref="FQ103">MAX(INDEX(properties!A$1:CB$87,'Fórmula'!B103,55),INDEX(properties!A$1:CB$87,'Fórmula'!D103,55),INDEX(properties!A$1:CB$87,'Fórmula'!F103,55),INDEX(properties!A$1:CB$87,'Fórmula'!H103,55),INDEX(properties!A$1:CB$87,'Fórmula'!J103,55))</f>
        <v>4.47</v>
      </c>
      <c r="FR103" s="118">
        <f t="array" ref="FR103">MIN(IF(INDEX(properties!A$1:CB$87,'Fórmula'!B103,55)=0,10^6,INDEX(properties!A$1:CB$87,'Fórmula'!B103,55)),IF(INDEX(properties!A$1:CB$87,'Fórmula'!D103,55)=0,10^6,INDEX(properties!A$1:CB$87,'Fórmula'!D103,55)),IF(INDEX(properties!A$1:CB$87,'Fórmula'!F103,55)=0,10^6,INDEX(properties!A$1:CB$87,'Fórmula'!F103,55)),IF(INDEX(properties!A$1:CB$87,'Fórmula'!H103,55)=0,10^6,INDEX(properties!A$1:CB$87,'Fórmula'!H103,55)),IF(INDEX(properties!A$1:CB$87,'Fórmula'!J103,55)=0,10^6,INDEX(properties!A$1:CB$87,'Fórmula'!J103,55)))</f>
        <v>0.00143</v>
      </c>
      <c r="FS103" s="118">
        <f t="shared" si="29"/>
        <v>4.46857</v>
      </c>
      <c r="FT103" s="119">
        <f t="array" ref="FT103">(('Fórmula'!C103)/('Fórmula'!C103+'Fórmula'!E103+'Fórmula'!G103+'Fórmula'!I103+'Fórmula'!K103))*(INDEX(properties!A$1:CB$87,'Fórmula'!B103,56))+(('Fórmula'!E103)/('Fórmula'!C103+'Fórmula'!E103+'Fórmula'!G103+'Fórmula'!I103+'Fórmula'!K103))*(INDEX(properties!A$1:CB$87,'Fórmula'!D103,56))+(('Fórmula'!G103)/('Fórmula'!C103+'Fórmula'!E103+'Fórmula'!G103+'Fórmula'!I103+'Fórmula'!K103))*(INDEX(properties!A$1:CB$87,'Fórmula'!F103,56))+(('Fórmula'!I103)/('Fórmula'!C103+'Fórmula'!E103+'Fórmula'!G103+'Fórmula'!I103+'Fórmula'!K103))*(INDEX(properties!A$1:CB$87,'Fórmula'!H103,56))+(('Fórmula'!K103)/('Fórmula'!C103+'Fórmula'!E103+'Fórmula'!G103+'Fórmula'!I103+'Fórmula'!K103))*(INDEX(properties!A$1:CB$87,'Fórmula'!J103,56))</f>
        <v>0.7690909091</v>
      </c>
      <c r="FU103" s="119">
        <f t="array" ref="FU103">'Fórmula'!C103*(INDEX(properties!A$1:CB$87,'Fórmula'!B103,56))+'Fórmula'!E103*(INDEX(properties!A$1:CB$87,'Fórmula'!D103,56))+'Fórmula'!G103*(INDEX(properties!A$1:CB$87,'Fórmula'!F103,56))+'Fórmula'!I103*(INDEX(properties!A$1:CB$87,'Fórmula'!H103,56))+'Fórmula'!K103*(INDEX(properties!A$1:CB$87,'Fórmula'!J103,56))</f>
        <v>8.46</v>
      </c>
      <c r="FV103" s="119">
        <f t="array" ref="FV103">VARP(IF(INDEX(properties!A$1:CB$87,'Fórmula'!B103,56)&lt;&gt;"",INDEX(properties!A$1:CB$87,'Fórmula'!B103,56)),IF(INDEX(properties!A$1:CB$87,'Fórmula'!D103,56)&lt;&gt;"",INDEX(properties!A$1:CB$87,'Fórmula'!D103,56)),IF(INDEX(properties!A$1:CB$87,'Fórmula'!F103,56)&lt;&gt;"",INDEX(properties!A$1:CB$87,'Fórmula'!F103,56)),IF(INDEX(properties!A$1:CB$87,'Fórmula'!H103,56)&lt;&gt;"",INDEX(properties!A$1:CB$87,'Fórmula'!H103,56)),IF(INDEX(properties!A$1:CB$87,'Fórmula'!J103,56)&lt;&gt;"",INDEX(properties!A$1:CB$87,'Fórmula'!J103,56)))</f>
        <v>0.139104</v>
      </c>
      <c r="FW103" s="119">
        <f t="array" ref="FW103">MAX(INDEX(properties!A$1:CB$87,'Fórmula'!B103,56),INDEX(properties!A$1:CB$87,'Fórmula'!D103,56),INDEX(properties!A$1:CB$87,'Fórmula'!F103,56),INDEX(properties!A$1:CB$87,'Fórmula'!H103,56),INDEX(properties!A$1:CB$87,'Fórmula'!J103,56))</f>
        <v>0.92</v>
      </c>
      <c r="FX103" s="119">
        <f t="array" ref="FX103">MIN(IF(INDEX(properties!A$1:CB$87,'Fórmula'!B103,56)=0,10^6,INDEX(properties!A$1:CB$87,'Fórmula'!B103,56)),IF(INDEX(properties!A$1:CB$87,'Fórmula'!D103,56)=0,10^6,INDEX(properties!A$1:CB$87,'Fórmula'!D103,56)),IF(INDEX(properties!A$1:CB$87,'Fórmula'!F103,56)=0,10^6,INDEX(properties!A$1:CB$87,'Fórmula'!F103,56)),IF(INDEX(properties!A$1:CB$87,'Fórmula'!H103,56)=0,10^6,INDEX(properties!A$1:CB$87,'Fórmula'!H103,56)),IF(INDEX(properties!A$1:CB$87,'Fórmula'!J103,56)=0,10^6,INDEX(properties!A$1:CB$87,'Fórmula'!J103,56)))</f>
        <v>0.3</v>
      </c>
      <c r="FY103" s="119">
        <f t="shared" si="30"/>
        <v>0.62</v>
      </c>
      <c r="FZ103" s="104">
        <f t="array" ref="FZ103">(('Fórmula'!C103)/('Fórmula'!C103+'Fórmula'!E103+'Fórmula'!G103+'Fórmula'!I103+'Fórmula'!K103))*(INDEX(properties!A$1:CB$87,'Fórmula'!B103,57))+(('Fórmula'!E103)/('Fórmula'!C103+'Fórmula'!E103+'Fórmula'!G103+'Fórmula'!I103+'Fórmula'!K103))*(INDEX(properties!A$1:CB$87,'Fórmula'!D103,57))+(('Fórmula'!G103)/('Fórmula'!C103+'Fórmula'!E103+'Fórmula'!G103+'Fórmula'!I103+'Fórmula'!K103))*(INDEX(properties!A$1:CB$87,'Fórmula'!F103,57))+(('Fórmula'!I103)/('Fórmula'!C103+'Fórmula'!E103+'Fórmula'!G103+'Fórmula'!I103+'Fórmula'!K103))*(INDEX(properties!A$1:CB$87,'Fórmula'!H103,57))+(('Fórmula'!K103)/('Fórmula'!C103+'Fórmula'!E103+'Fórmula'!G103+'Fórmula'!I103+'Fórmula'!K103))*(INDEX(properties!A$1:CB$87,'Fórmula'!J103,57))</f>
        <v>11.40528455</v>
      </c>
      <c r="GA103" s="104">
        <f t="array" ref="GA103">'Fórmula'!C103*(INDEX(properties!A$1:CB$87,'Fórmula'!B103,57))+'Fórmula'!E103*(INDEX(properties!A$1:CB$87,'Fórmula'!D103,57))+'Fórmula'!G103*(INDEX(properties!A$1:CB$87,'Fórmula'!F103,57))+'Fórmula'!I103*(INDEX(properties!A$1:CB$87,'Fórmula'!H103,57))+'Fórmula'!K103*(INDEX(properties!A$1:CB$87,'Fórmula'!J103,57))</f>
        <v>125.45813</v>
      </c>
      <c r="GB103" s="104">
        <f t="array" ref="GB103">VARP(IF(INDEX(properties!A$1:CB$87,'Fórmula'!B103,57)&lt;&gt;"",INDEX(properties!A$1:CB$87,'Fórmula'!B103,57)),IF(INDEX(properties!A$1:CB$87,'Fórmula'!D103,57)&lt;&gt;"",INDEX(properties!A$1:CB$87,'Fórmula'!D103,57)),IF(INDEX(properties!A$1:CB$87,'Fórmula'!F103,57)&lt;&gt;"",INDEX(properties!A$1:CB$87,'Fórmula'!F103,57)),IF(INDEX(properties!A$1:CB$87,'Fórmula'!H103,57)&lt;&gt;"",INDEX(properties!A$1:CB$87,'Fórmula'!H103,57)),IF(INDEX(properties!A$1:CB$87,'Fórmula'!J103,57)&lt;&gt;"",INDEX(properties!A$1:CB$87,'Fórmula'!J103,57)))</f>
        <v>382.4451714</v>
      </c>
      <c r="GC103" s="104">
        <f t="array" ref="GC103">MAX(INDEX(properties!A$1:CB$87,'Fórmula'!B103,57),INDEX(properties!A$1:CB$87,'Fórmula'!D103,57),INDEX(properties!A$1:CB$87,'Fórmula'!F103,57),INDEX(properties!A$1:CB$87,'Fórmula'!H103,57),INDEX(properties!A$1:CB$87,'Fórmula'!J103,57))</f>
        <v>50.55</v>
      </c>
      <c r="GD103" s="104">
        <f t="array" ref="GD103">MIN(IF(INDEX(properties!A$1:CB$87,'Fórmula'!B103,57)=0,10^6,INDEX(properties!A$1:CB$87,'Fórmula'!B103,57)),IF(INDEX(properties!A$1:CB$87,'Fórmula'!D103,57)=0,10^6,INDEX(properties!A$1:CB$87,'Fórmula'!D103,57)),IF(INDEX(properties!A$1:CB$87,'Fórmula'!F103,57)=0,10^6,INDEX(properties!A$1:CB$87,'Fórmula'!F103,57)),IF(INDEX(properties!A$1:CB$87,'Fórmula'!H103,57)=0,10^6,INDEX(properties!A$1:CB$87,'Fórmula'!H103,57)),IF(INDEX(properties!A$1:CB$87,'Fórmula'!J103,57)=0,10^6,INDEX(properties!A$1:CB$87,'Fórmula'!J103,57)))</f>
        <v>0.22259</v>
      </c>
      <c r="GE103" s="104">
        <f t="shared" si="31"/>
        <v>50.32741</v>
      </c>
      <c r="GF103" s="105">
        <f t="array" ref="GF103">(('Fórmula'!C103)/('Fórmula'!C103+'Fórmula'!E103+'Fórmula'!G103+'Fórmula'!I103+'Fórmula'!K103))*(INDEX(properties!A$1:CB$87,'Fórmula'!B103,60))+(('Fórmula'!E103)/('Fórmula'!C103+'Fórmula'!E103+'Fórmula'!G103+'Fórmula'!I103+'Fórmula'!K103))*(INDEX(properties!A$1:CB$87,'Fórmula'!D103,60))+(('Fórmula'!G103)/('Fórmula'!C103+'Fórmula'!E103+'Fórmula'!G103+'Fórmula'!I103+'Fórmula'!K103))*(INDEX(properties!A$1:CB$87,'Fórmula'!F103,60))+(('Fórmula'!I103)/('Fórmula'!C103+'Fórmula'!E103+'Fórmula'!G103+'Fórmula'!I103+'Fórmula'!K103))*(INDEX(properties!A$1:CB$87,'Fórmula'!H103,60))+(('Fórmula'!K103)/('Fórmula'!C103+'Fórmula'!E103+'Fórmula'!G103+'Fórmula'!I103+'Fórmula'!K103))*(INDEX(properties!A$1:CB$87,'Fórmula'!J103,60))</f>
        <v>30.05338</v>
      </c>
      <c r="GG103" s="105">
        <f t="array" ref="GG103">'Fórmula'!C103*(INDEX(properties!A$1:CB$87,'Fórmula'!B103,60))+'Fórmula'!E103*(INDEX(properties!A$1:CB$87,'Fórmula'!D103,60))+'Fórmula'!G103*(INDEX(properties!A$1:CB$87,'Fórmula'!F103,60))+'Fórmula'!I103*(INDEX(properties!A$1:CB$87,'Fórmula'!H103,60))+'Fórmula'!K103*(INDEX(properties!A$1:CB$87,'Fórmula'!J103,60))</f>
        <v>330.58718</v>
      </c>
      <c r="GH103" s="105">
        <f t="array" ref="GH103">VARP(IF(INDEX(properties!A$1:CB$87,'Fórmula'!B103,60)&lt;&gt;"",INDEX(properties!A$1:CB$87,'Fórmula'!B103,60)),IF(INDEX(properties!A$1:CB$87,'Fórmula'!D103,60)&lt;&gt;"",INDEX(properties!A$1:CB$87,'Fórmula'!D103,60)),IF(INDEX(properties!A$1:CB$87,'Fórmula'!F103,60)&lt;&gt;"",INDEX(properties!A$1:CB$87,'Fórmula'!F103,60)),IF(INDEX(properties!A$1:CB$87,'Fórmula'!H103,60)&lt;&gt;"",INDEX(properties!A$1:CB$87,'Fórmula'!H103,60)),IF(INDEX(properties!A$1:CB$87,'Fórmula'!J103,60)&lt;&gt;"",INDEX(properties!A$1:CB$87,'Fórmula'!J103,60)))</f>
        <v>3347.973119</v>
      </c>
      <c r="GI103" s="105">
        <f t="array" ref="GI103">MAX(INDEX(properties!A$1:CB$87,'Fórmula'!B103,60),INDEX(properties!A$1:CB$87,'Fórmula'!D103,60),INDEX(properties!A$1:CB$87,'Fórmula'!F103,60),INDEX(properties!A$1:CB$87,'Fórmula'!H103,60),INDEX(properties!A$1:CB$87,'Fórmula'!J103,60))</f>
        <v>148</v>
      </c>
      <c r="GJ103" s="105">
        <f t="array" ref="GJ103">MIN(IF(INDEX(properties!A$1:CB$87,'Fórmula'!B103,60)=0,10^6,INDEX(properties!A$1:CB$87,'Fórmula'!B103,60)),IF(INDEX(properties!A$1:CB$87,'Fórmula'!D103,60)=0,10^6,INDEX(properties!A$1:CB$87,'Fórmula'!D103,60)),IF(INDEX(properties!A$1:CB$87,'Fórmula'!F103,60)=0,10^6,INDEX(properties!A$1:CB$87,'Fórmula'!F103,60)),IF(INDEX(properties!A$1:CB$87,'Fórmula'!H103,60)=0,10^6,INDEX(properties!A$1:CB$87,'Fórmula'!H103,60)),IF(INDEX(properties!A$1:CB$87,'Fórmula'!J103,60)=0,10^6,INDEX(properties!A$1:CB$87,'Fórmula'!J103,60)))</f>
        <v>0.02674</v>
      </c>
      <c r="GK103" s="105">
        <f t="shared" si="32"/>
        <v>147.97326</v>
      </c>
      <c r="GL103" s="106">
        <f t="array" ref="GL103">(('Fórmula'!C103)/('Fórmula'!C103+'Fórmula'!E103+'Fórmula'!G103+'Fórmula'!I103+'Fórmula'!K103))*(INDEX(properties!A$1:CB$87,'Fórmula'!B103,62))+(('Fórmula'!E103)/('Fórmula'!C103+'Fórmula'!E103+'Fórmula'!G103+'Fórmula'!I103+'Fórmula'!K103))*(INDEX(properties!A$1:CB$87,'Fórmula'!D103,62))+(('Fórmula'!G103)/('Fórmula'!C103+'Fórmula'!E103+'Fórmula'!G103+'Fórmula'!I103+'Fórmula'!K103))*(INDEX(properties!A$1:CB$87,'Fórmula'!F103,62))+(('Fórmula'!I103)/('Fórmula'!C103+'Fórmula'!E103+'Fórmula'!G103+'Fórmula'!I103+'Fórmula'!K103))*(INDEX(properties!A$1:CB$87,'Fórmula'!H103,62))+(('Fórmula'!K103)/('Fórmula'!C103+'Fórmula'!E103+'Fórmula'!G103+'Fórmula'!I103+'Fórmula'!K103))*(INDEX(properties!A$1:CB$87,'Fórmula'!J103,62))</f>
        <v>3.303636364</v>
      </c>
      <c r="GM103" s="106">
        <f t="array" ref="GM103">'Fórmula'!C103*(INDEX(properties!A$1:CB$87,'Fórmula'!B103,62))+'Fórmula'!E103*(INDEX(properties!A$1:CB$87,'Fórmula'!D103,62))+'Fórmula'!G103*(INDEX(properties!A$1:CB$87,'Fórmula'!F103,62))+'Fórmula'!I103*(INDEX(properties!A$1:CB$87,'Fórmula'!H103,62))+'Fórmula'!K103*(INDEX(properties!A$1:CB$87,'Fórmula'!J103,62))</f>
        <v>36.34</v>
      </c>
      <c r="GN103" s="106">
        <f t="array" ref="GN103">VARP(IF(INDEX(properties!A$1:CB$87,'Fórmula'!B103,62)&lt;&gt;"",INDEX(properties!A$1:CB$87,'Fórmula'!B103,62)),IF(INDEX(properties!A$1:CB$87,'Fórmula'!D103,62)&lt;&gt;"",INDEX(properties!A$1:CB$87,'Fórmula'!D103,62)),IF(INDEX(properties!A$1:CB$87,'Fórmula'!F103,62)&lt;&gt;"",INDEX(properties!A$1:CB$87,'Fórmula'!F103,62)),IF(INDEX(properties!A$1:CB$87,'Fórmula'!H103,62)&lt;&gt;"",INDEX(properties!A$1:CB$87,'Fórmula'!H103,62)),IF(INDEX(properties!A$1:CB$87,'Fórmula'!J103,62)&lt;&gt;"",INDEX(properties!A$1:CB$87,'Fórmula'!J103,62)))</f>
        <v>4.078664</v>
      </c>
      <c r="GO103" s="106">
        <f t="array" ref="GO103">MAX(INDEX(properties!A$1:CB$87,'Fórmula'!B103,62),INDEX(properties!A$1:CB$87,'Fórmula'!D103,62),INDEX(properties!A$1:CB$87,'Fórmula'!F103,62),INDEX(properties!A$1:CB$87,'Fórmula'!H103,62),INDEX(properties!A$1:CB$87,'Fórmula'!J103,62))</f>
        <v>4.63</v>
      </c>
      <c r="GP103" s="106">
        <f t="array" ref="GP103">MIN(IF(INDEX(properties!A$1:CB$87,'Fórmula'!B103,62)=0,10^6,INDEX(properties!A$1:CB$87,'Fórmula'!B103,62)),IF(INDEX(properties!A$1:CB$87,'Fórmula'!D103,62)=0,10^6,INDEX(properties!A$1:CB$87,'Fórmula'!D103,62)),IF(INDEX(properties!A$1:CB$87,'Fórmula'!F103,62)=0,10^6,INDEX(properties!A$1:CB$87,'Fórmula'!F103,62)),IF(INDEX(properties!A$1:CB$87,'Fórmula'!H103,62)=0,10^6,INDEX(properties!A$1:CB$87,'Fórmula'!H103,62)),IF(INDEX(properties!A$1:CB$87,'Fórmula'!J103,62)=0,10^6,INDEX(properties!A$1:CB$87,'Fórmula'!J103,62)))</f>
        <v>2.62</v>
      </c>
      <c r="GQ103" s="106">
        <f t="shared" si="33"/>
        <v>2.01</v>
      </c>
      <c r="GR103" s="106">
        <f>'Fórmula'!Q103</f>
        <v>2</v>
      </c>
      <c r="GS103" s="107">
        <f>'Fórmula'!P103</f>
        <v>7</v>
      </c>
      <c r="GT103" s="113">
        <f>'Fórmula'!O103</f>
        <v>4.41</v>
      </c>
      <c r="GU103" s="114">
        <f>AVERAGE('Fórmula'!R103/'Fórmula'!S103,'Fórmula'!S103/'Fórmula'!T103,'Fórmula'!T103/'Fórmula'!R103)</f>
        <v>2.202721048</v>
      </c>
      <c r="GV103" s="125">
        <f>'Fórmula'!U103</f>
        <v>1561.58</v>
      </c>
      <c r="GW103" s="106">
        <f>'Fórmula'!N103</f>
        <v>0.04</v>
      </c>
    </row>
    <row r="104" ht="14.25" customHeight="1">
      <c r="A104" s="99" t="str">
        <f>'Fórmula'!A104</f>
        <v>NaLaP2O7</v>
      </c>
      <c r="B104" s="101">
        <f t="array" ref="B104">(('Fórmula'!C104)/('Fórmula'!C104+'Fórmula'!E104+'Fórmula'!G104+'Fórmula'!I104+'Fórmula'!K104))*(INDEX(properties!A$1:CB$87,'Fórmula'!B104,3))+(('Fórmula'!E104)/('Fórmula'!C104+'Fórmula'!E104+'Fórmula'!G104+'Fórmula'!I104+'Fórmula'!K104))*(INDEX(properties!A$1:CB$87,'Fórmula'!D104,3))+(('Fórmula'!G104)/('Fórmula'!C104+'Fórmula'!E104+'Fórmula'!G104+'Fórmula'!I104+'Fórmula'!K104))*(INDEX(properties!A$1:CB$87,'Fórmula'!F104,3))+(('Fórmula'!I104)/('Fórmula'!C104+'Fórmula'!E104+'Fórmula'!G104+'Fórmula'!I104+'Fórmula'!K104))*(INDEX(properties!A$1:CB$87,'Fórmula'!H104,3))+(('Fórmula'!K104)/('Fórmula'!C104+'Fórmula'!E104+'Fórmula'!G104+'Fórmula'!I104+'Fórmula'!K104))*(INDEX(properties!A$1:CB$87,'Fórmula'!J104,3))</f>
        <v>30.53078109</v>
      </c>
      <c r="C104" s="101">
        <f t="array" ref="C104">'Fórmula'!C104*(INDEX(properties!A$1:CB$87,'Fórmula'!B104,3))+'Fórmula'!E104*(INDEX(properties!A$1:CB$87,'Fórmula'!D104,3))+'Fórmula'!G104*(INDEX(properties!A$1:CB$87,'Fórmula'!F104,3))+'Fórmula'!I104*(INDEX(properties!A$1:CB$87,'Fórmula'!H104,3))+'Fórmula'!K104*(INDEX(properties!A$1:CB$87,'Fórmula'!J104,3))</f>
        <v>335.838592</v>
      </c>
      <c r="D104" s="101">
        <f t="array" ref="D104">VARP(IF(INDEX(properties!A$1:CB$87,'Fórmula'!B104,3)&lt;&gt;"",INDEX(properties!A$1:CB$87,'Fórmula'!B104,3)),IF(INDEX(properties!A$1:CB$87,'Fórmula'!D104,3)&lt;&gt;"",INDEX(properties!A$1:CB$87,'Fórmula'!D104,3)),IF(INDEX(properties!A$1:CB$87,'Fórmula'!F104,3)&lt;&gt;"",INDEX(properties!A$1:CB$87,'Fórmula'!F104,3)),IF(INDEX(properties!A$1:CB$87,'Fórmula'!H104,3)&lt;&gt;"",INDEX(properties!A$1:CB$87,'Fórmula'!H104,3)),IF(INDEX(properties!A$1:CB$87,'Fórmula'!J104,3)&lt;&gt;"",INDEX(properties!A$1:CB$87,'Fórmula'!J104,3)))</f>
        <v>2462.683577</v>
      </c>
      <c r="E104" s="101">
        <f t="array" ref="E104">MAX(INDEX(properties!A$1:CB$87,'Fórmula'!B104,3),INDEX(properties!A$1:CB$87,'Fórmula'!D104,3),INDEX(properties!A$1:CB$87,'Fórmula'!F104,3),INDEX(properties!A$1:CB$87,'Fórmula'!H104,3),INDEX(properties!A$1:CB$87,'Fórmula'!J104,3))</f>
        <v>138.9055</v>
      </c>
      <c r="F104" s="101">
        <f t="array" ref="F104">MIN(IF(INDEX(properties!A$1:CB$87,'Fórmula'!B104,3)=0,10^6,INDEX(properties!A$1:CB$87,'Fórmula'!B104,3)),IF(INDEX(properties!A$1:CB$87,'Fórmula'!D104,3)=0,10^6,INDEX(properties!A$1:CB$87,'Fórmula'!D104,3)),IF(INDEX(properties!A$1:CB$87,'Fórmula'!F104,3)=0,10^6,INDEX(properties!A$1:CB$87,'Fórmula'!F104,3)),IF(INDEX(properties!A$1:CB$87,'Fórmula'!H104,3)=0,10^6,INDEX(properties!A$1:CB$87,'Fórmula'!H104,3)),IF(INDEX(properties!A$1:CB$87,'Fórmula'!J104,3)=0,10^6,INDEX(properties!A$1:CB$87,'Fórmula'!J104,3)))</f>
        <v>15.9994</v>
      </c>
      <c r="G104" s="101">
        <f t="shared" si="1"/>
        <v>122.9061</v>
      </c>
      <c r="H104" s="102">
        <f t="array" ref="H104">(('Fórmula'!C104)/('Fórmula'!C104+'Fórmula'!E104+'Fórmula'!G104+'Fórmula'!I104+'Fórmula'!K104))*(INDEX(properties!A$1:CB$87,'Fórmula'!B104,4))+(('Fórmula'!E104)/('Fórmula'!C104+'Fórmula'!E104+'Fórmula'!G104+'Fórmula'!I104+'Fórmula'!K104))*(INDEX(properties!A$1:CB$87,'Fórmula'!D104,4))+(('Fórmula'!G104)/('Fórmula'!C104+'Fórmula'!E104+'Fórmula'!G104+'Fórmula'!I104+'Fórmula'!K104))*(INDEX(properties!A$1:CB$87,'Fórmula'!F104,4))+(('Fórmula'!I104)/('Fórmula'!C104+'Fórmula'!E104+'Fórmula'!G104+'Fórmula'!I104+'Fórmula'!K104))*(INDEX(properties!A$1:CB$87,'Fórmula'!H104,4))+(('Fórmula'!K104)/('Fórmula'!C104+'Fórmula'!E104+'Fórmula'!G104+'Fórmula'!I104+'Fórmula'!K104))*(INDEX(properties!A$1:CB$87,'Fórmula'!J104,4))</f>
        <v>14</v>
      </c>
      <c r="I104" s="102">
        <f t="array" ref="I104">'Fórmula'!C104*(INDEX(properties!A$1:CB$87,'Fórmula'!B104,4))+'Fórmula'!E104*(INDEX(properties!A$1:CB$87,'Fórmula'!D104,4))+'Fórmula'!G104*(INDEX(properties!A$1:CB$87,'Fórmula'!F104,4))+'Fórmula'!I104*(INDEX(properties!A$1:CB$87,'Fórmula'!H104,4))+'Fórmula'!K104*(INDEX(properties!A$1:CB$87,'Fórmula'!J104,4))</f>
        <v>154</v>
      </c>
      <c r="J104" s="102">
        <f t="array" ref="J104">VARP(IF(INDEX(properties!A$1:CB$87,'Fórmula'!B104,4)&lt;&gt;"",INDEX(properties!A$1:CB$87,'Fórmula'!B104,4)),IF(INDEX(properties!A$1:CB$87,'Fórmula'!D104,4)&lt;&gt;"",INDEX(properties!A$1:CB$87,'Fórmula'!D104,4)),IF(INDEX(properties!A$1:CB$87,'Fórmula'!F104,4)&lt;&gt;"",INDEX(properties!A$1:CB$87,'Fórmula'!F104,4)),IF(INDEX(properties!A$1:CB$87,'Fórmula'!H104,4)&lt;&gt;"",INDEX(properties!A$1:CB$87,'Fórmula'!H104,4)),IF(INDEX(properties!A$1:CB$87,'Fórmula'!J104,4)&lt;&gt;"",INDEX(properties!A$1:CB$87,'Fórmula'!J104,4)))</f>
        <v>400.56</v>
      </c>
      <c r="K104" s="102">
        <f t="array" ref="K104">MAX(INDEX(properties!A$1:CB$87,'Fórmula'!B104,4),INDEX(properties!A$1:CB$87,'Fórmula'!D104,4),INDEX(properties!A$1:CB$87,'Fórmula'!F104,4),INDEX(properties!A$1:CB$87,'Fórmula'!H104,4),INDEX(properties!A$1:CB$87,'Fórmula'!J104,4))</f>
        <v>57</v>
      </c>
      <c r="L104" s="102">
        <f t="array" ref="L104">MIN(IF(INDEX(properties!A$1:CB$87,'Fórmula'!B104,4)=0,10^6,INDEX(properties!A$1:CB$87,'Fórmula'!B104,4)),IF(INDEX(properties!A$1:CB$87,'Fórmula'!D104,4)=0,10^6,INDEX(properties!A$1:CB$87,'Fórmula'!D104,4)),IF(INDEX(properties!A$1:CB$87,'Fórmula'!F104,4)=0,10^6,INDEX(properties!A$1:CB$87,'Fórmula'!F104,4)),IF(INDEX(properties!A$1:CB$87,'Fórmula'!H104,4)=0,10^6,INDEX(properties!A$1:CB$87,'Fórmula'!H104,4)),IF(INDEX(properties!A$1:CB$87,'Fórmula'!J104,4)=0,10^6,INDEX(properties!A$1:CB$87,'Fórmula'!J104,4)))</f>
        <v>8</v>
      </c>
      <c r="M104" s="102">
        <f t="shared" si="2"/>
        <v>49</v>
      </c>
      <c r="N104" s="103">
        <f t="array" ref="N104">(('Fórmula'!C104)/('Fórmula'!C104+'Fórmula'!E104+'Fórmula'!G104+'Fórmula'!I104+'Fórmula'!K104))*(INDEX(properties!A$1:CB$87,'Fórmula'!B104,5))+(('Fórmula'!E104)/('Fórmula'!C104+'Fórmula'!E104+'Fórmula'!G104+'Fórmula'!I104+'Fórmula'!K104))*(INDEX(properties!A$1:CB$87,'Fórmula'!D104,5))+(('Fórmula'!G104)/('Fórmula'!C104+'Fórmula'!E104+'Fórmula'!G104+'Fórmula'!I104+'Fórmula'!K104))*(INDEX(properties!A$1:CB$87,'Fórmula'!F104,5))+(('Fórmula'!I104)/('Fórmula'!C104+'Fórmula'!E104+'Fórmula'!G104+'Fórmula'!I104+'Fórmula'!K104))*(INDEX(properties!A$1:CB$87,'Fórmula'!H104,5))+(('Fórmula'!K104)/('Fórmula'!C104+'Fórmula'!E104+'Fórmula'!G104+'Fórmula'!I104+'Fórmula'!K104))*(INDEX(properties!A$1:CB$87,'Fórmula'!J104,5))</f>
        <v>2.636363636</v>
      </c>
      <c r="O104" s="103">
        <f t="array" ref="O104">'Fórmula'!C104*(INDEX(properties!A$1:CB$87,'Fórmula'!B104,5))+'Fórmula'!E104*(INDEX(properties!A$1:CB$87,'Fórmula'!D104,5))+'Fórmula'!G104*(INDEX(properties!A$1:CB$87,'Fórmula'!F104,5))+'Fórmula'!I104*(INDEX(properties!A$1:CB$87,'Fórmula'!H104,5))+'Fórmula'!K104*(INDEX(properties!A$1:CB$87,'Fórmula'!J104,5))</f>
        <v>29</v>
      </c>
      <c r="P104" s="103">
        <f t="array" ref="P104">VARP(IF(INDEX(properties!A$1:CB$87,'Fórmula'!B104,5)&lt;&gt;"",INDEX(properties!A$1:CB$87,'Fórmula'!B104,5)),IF(INDEX(properties!A$1:CB$87,'Fórmula'!D104,5)&lt;&gt;"",INDEX(properties!A$1:CB$87,'Fórmula'!D104,5)),IF(INDEX(properties!A$1:CB$87,'Fórmula'!F104,5)&lt;&gt;"",INDEX(properties!A$1:CB$87,'Fórmula'!F104,5)),IF(INDEX(properties!A$1:CB$87,'Fórmula'!H104,5)&lt;&gt;"",INDEX(properties!A$1:CB$87,'Fórmula'!H104,5)),IF(INDEX(properties!A$1:CB$87,'Fórmula'!J104,5)&lt;&gt;"",INDEX(properties!A$1:CB$87,'Fórmula'!J104,5)))</f>
        <v>3.76</v>
      </c>
      <c r="Q104" s="103">
        <f t="array" ref="Q104">MAX(INDEX(properties!A$1:CB$87,'Fórmula'!B104,5),INDEX(properties!A$1:CB$87,'Fórmula'!D104,5),INDEX(properties!A$1:CB$87,'Fórmula'!F104,5),INDEX(properties!A$1:CB$87,'Fórmula'!H104,5),INDEX(properties!A$1:CB$87,'Fórmula'!J104,5))</f>
        <v>6</v>
      </c>
      <c r="R104" s="103">
        <f t="array" ref="R104">MIN(IF(INDEX(properties!A$1:CB$87,'Fórmula'!B104,5)=0,10^6,INDEX(properties!A$1:CB$87,'Fórmula'!B104,5)),IF(INDEX(properties!A$1:CB$87,'Fórmula'!D104,5)=0,10^6,INDEX(properties!A$1:CB$87,'Fórmula'!D104,5)),IF(INDEX(properties!A$1:CB$87,'Fórmula'!F104,5)=0,10^6,INDEX(properties!A$1:CB$87,'Fórmula'!F104,5)),IF(INDEX(properties!A$1:CB$87,'Fórmula'!H104,5)=0,10^6,INDEX(properties!A$1:CB$87,'Fórmula'!H104,5)),IF(INDEX(properties!A$1:CB$87,'Fórmula'!J104,5)=0,10^6,INDEX(properties!A$1:CB$87,'Fórmula'!J104,5)))</f>
        <v>2</v>
      </c>
      <c r="S104" s="103">
        <f t="shared" si="3"/>
        <v>4</v>
      </c>
      <c r="T104" s="104">
        <f t="array" ref="T104">(('Fórmula'!C104)/('Fórmula'!C104+'Fórmula'!E104+'Fórmula'!G104+'Fórmula'!I104+'Fórmula'!K104))*(INDEX(properties!A$1:CB$87,'Fórmula'!B104,6))+(('Fórmula'!E104)/('Fórmula'!C104+'Fórmula'!E104+'Fórmula'!G104+'Fórmula'!I104+'Fórmula'!K104))*(INDEX(properties!A$1:CB$87,'Fórmula'!D104,6))+(('Fórmula'!G104)/('Fórmula'!C104+'Fórmula'!E104+'Fórmula'!G104+'Fórmula'!I104+'Fórmula'!K104))*(INDEX(properties!A$1:CB$87,'Fórmula'!F104,6))+(('Fórmula'!I104)/('Fórmula'!C104+'Fórmula'!E104+'Fórmula'!G104+'Fórmula'!I104+'Fórmula'!K104))*(INDEX(properties!A$1:CB$87,'Fórmula'!H104,6))+(('Fórmula'!K104)/('Fórmula'!C104+'Fórmula'!E104+'Fórmula'!G104+'Fórmula'!I104+'Fórmula'!K104))*(INDEX(properties!A$1:CB$87,'Fórmula'!J104,6))</f>
        <v>13.27272727</v>
      </c>
      <c r="U104" s="104">
        <f t="array" ref="U104">'Fórmula'!C104*(INDEX(properties!A$1:CB$87,'Fórmula'!B104,6))+'Fórmula'!E104*(INDEX(properties!A$1:CB$87,'Fórmula'!D104,6))+'Fórmula'!G104*(INDEX(properties!A$1:CB$87,'Fórmula'!F104,6))+'Fórmula'!I104*(INDEX(properties!A$1:CB$87,'Fórmula'!H104,6))+'Fórmula'!K104*(INDEX(properties!A$1:CB$87,'Fórmula'!J104,6))</f>
        <v>146</v>
      </c>
      <c r="V104" s="103">
        <f t="array" ref="V104">VARP(IF(INDEX(properties!A$1:CB$87,'Fórmula'!B104,6)&lt;&gt;"",INDEX(properties!A$1:CB$87,'Fórmula'!B104,6)),IF(INDEX(properties!A$1:CB$87,'Fórmula'!D104,6)&lt;&gt;"",INDEX(properties!A$1:CB$87,'Fórmula'!D104,6)),IF(INDEX(properties!A$1:CB$87,'Fórmula'!F104,6)&lt;&gt;"",INDEX(properties!A$1:CB$87,'Fórmula'!F104,6)),IF(INDEX(properties!A$1:CB$87,'Fórmula'!H104,6)&lt;&gt;"",INDEX(properties!A$1:CB$87,'Fórmula'!H104,6)),IF(INDEX(properties!A$1:CB$87,'Fórmula'!J104,6)&lt;&gt;"",INDEX(properties!A$1:CB$87,'Fórmula'!J104,6)))</f>
        <v>49.2</v>
      </c>
      <c r="W104" s="104">
        <f t="array" ref="W104">MAX(INDEX(properties!A$1:CB$87,'Fórmula'!B104,6),INDEX(properties!A$1:CB$87,'Fórmula'!D104,6),INDEX(properties!A$1:CB$87,'Fórmula'!F104,6),INDEX(properties!A$1:CB$87,'Fórmula'!H104,4),INDEX(properties!A$1:CB$87,'Fórmula'!J104,6))</f>
        <v>15</v>
      </c>
      <c r="X104" s="104">
        <f t="array" ref="X104">MIN(IF(INDEX(properties!A$1:CB$87,'Fórmula'!B104,6)=0,10^6,INDEX(properties!A$1:CB$87,'Fórmula'!B104,6)),IF(INDEX(properties!A$1:CB$87,'Fórmula'!D104,6)=0,10^6,INDEX(properties!A$1:CB$87,'Fórmula'!D104,6)),IF(INDEX(properties!A$1:CB$87,'Fórmula'!F104,6)=0,10^6,INDEX(properties!A$1:CB$87,'Fórmula'!F104,6)),IF(INDEX(properties!A$1:CB$87,'Fórmula'!H104,6)=0,10^6,INDEX(properties!A$1:CB$87,'Fórmula'!H104,6)),IF(INDEX(properties!A$1:CB$87,'Fórmula'!J104,6)=0,10^6,INDEX(properties!A$1:CB$87,'Fórmula'!J104,6)))</f>
        <v>1</v>
      </c>
      <c r="Y104" s="104">
        <f t="shared" si="4"/>
        <v>14</v>
      </c>
      <c r="Z104" s="105">
        <f t="array" ref="Z104">(('Fórmula'!C104)/('Fórmula'!C104+'Fórmula'!E104+'Fórmula'!G104+'Fórmula'!I104+'Fórmula'!K104))*(INDEX(properties!A$1:CB$87,'Fórmula'!B104,9))+(('Fórmula'!E104)/('Fórmula'!C104+'Fórmula'!E104+'Fórmula'!G104+'Fórmula'!I104+'Fórmula'!K104))*(INDEX(properties!A$1:CB$87,'Fórmula'!D104,9))+(('Fórmula'!G104)/('Fórmula'!C104+'Fórmula'!E104+'Fórmula'!G104+'Fórmula'!I104+'Fórmula'!K104))*(INDEX(properties!A$1:CB$87,'Fórmula'!F104,9))+(('Fórmula'!I104)/('Fórmula'!C104+'Fórmula'!E104+'Fórmula'!G104+'Fórmula'!I104+'Fórmula'!K104))*(INDEX(properties!A$1:CB$87,'Fórmula'!H104,9))+(('Fórmula'!K104)/('Fórmula'!C104+'Fórmula'!E104+'Fórmula'!G104+'Fórmula'!I104+'Fórmula'!K104))*(INDEX(properties!A$1:CB$87,'Fórmula'!J104,9))</f>
        <v>71.81818182</v>
      </c>
      <c r="AA104" s="105">
        <f t="array" ref="AA104">'Fórmula'!C104*(INDEX(properties!A$1:CB$87,'Fórmula'!B104,9))+'Fórmula'!E104*(INDEX(properties!A$1:CB$87,'Fórmula'!D104,9))+'Fórmula'!G104*(INDEX(properties!A$1:CB$87,'Fórmula'!F104,9))+'Fórmula'!I104*(INDEX(properties!A$1:CB$87,'Fórmula'!H104,9))+'Fórmula'!K104*(INDEX(properties!A$1:CB$87,'Fórmula'!J104,9))</f>
        <v>790</v>
      </c>
      <c r="AB104" s="105">
        <f t="array" ref="AB104">VARP(IF(INDEX(properties!A$1:CB$87,'Fórmula'!B104,9)&lt;&gt;"",INDEX(properties!A$1:CB$87,'Fórmula'!B104,9)),IF(INDEX(properties!A$1:CB$87,'Fórmula'!D104,9)&lt;&gt;"",INDEX(properties!A$1:CB$87,'Fórmula'!D104,9)),IF(INDEX(properties!A$1:CB$87,'Fórmula'!F104,9)&lt;&gt;"",INDEX(properties!A$1:CB$87,'Fórmula'!F104,9)),IF(INDEX(properties!A$1:CB$87,'Fórmula'!H104,9)&lt;&gt;"",INDEX(properties!A$1:CB$87,'Fórmula'!H104,9)),IF(INDEX(properties!A$1:CB$87,'Fórmula'!J104,9)&lt;&gt;"",INDEX(properties!A$1:CB$87,'Fórmula'!J104,9)))</f>
        <v>1557.2</v>
      </c>
      <c r="AC104" s="105">
        <f t="array" ref="AC104">MAX(INDEX(properties!A$1:CB$87,'Fórmula'!B104,9),INDEX(properties!A$1:CB$87,'Fórmula'!D104,9),INDEX(properties!A$1:CB$87,'Fórmula'!F104,9),INDEX(properties!A$1:CB$87,'Fórmula'!H104,9),INDEX(properties!A$1:CB$87,'Fórmula'!J104,9))</f>
        <v>87</v>
      </c>
      <c r="AD104" s="105">
        <f t="array" ref="AD104">MIN(IF(INDEX(properties!A$1:CB$87,'Fórmula'!B104,9)=0,10^6,INDEX(properties!A$1:CB$87,'Fórmula'!B104,9)),IF(INDEX(properties!A$1:CB$87,'Fórmula'!D104,9)=0,10^6,INDEX(properties!A$1:CB$87,'Fórmula'!D104,9)),IF(INDEX(properties!A$1:CB$87,'Fórmula'!F104,9)=0,10^6,INDEX(properties!A$1:CB$87,'Fórmula'!F104,9)),IF(INDEX(properties!A$1:CB$87,'Fórmula'!H104,9)=0,10^6,INDEX(properties!A$1:CB$87,'Fórmula'!H104,9)),IF(INDEX(properties!A$1:CB$87,'Fórmula'!J104,9)=0,10^6,INDEX(properties!A$1:CB$87,'Fórmula'!J104,9)))</f>
        <v>2</v>
      </c>
      <c r="AE104" s="105">
        <f t="shared" si="5"/>
        <v>85</v>
      </c>
      <c r="AF104" s="106">
        <f t="array" ref="AF104">(('Fórmula'!C104)/('Fórmula'!C104+'Fórmula'!E104+'Fórmula'!G104+'Fórmula'!I104+'Fórmula'!K104))*(INDEX(properties!A$1:CB$87,'Fórmula'!B104,10))+(('Fórmula'!E104)/('Fórmula'!C104+'Fórmula'!E104+'Fórmula'!G104+'Fórmula'!I104+'Fórmula'!K104))*(INDEX(properties!A$1:CB$87,'Fórmula'!D104,10))+(('Fórmula'!G104)/('Fórmula'!C104+'Fórmula'!E104+'Fórmula'!G104+'Fórmula'!I104+'Fórmula'!K104))*(INDEX(properties!A$1:CB$87,'Fórmula'!F104,10))+(('Fórmula'!I104)/('Fórmula'!C104+'Fórmula'!E104+'Fórmula'!G104+'Fórmula'!I104+'Fórmula'!K104))*(INDEX(properties!A$1:CB$87,'Fórmula'!H104,10))+(('Fórmula'!K104)/('Fórmula'!C104+'Fórmula'!E104+'Fórmula'!G104+'Fórmula'!I104+'Fórmula'!K104))*(INDEX(properties!A$1:CB$87,'Fórmula'!J104,10))</f>
        <v>6.090909091</v>
      </c>
      <c r="AG104" s="106">
        <f t="array" ref="AG104">'Fórmula'!C104*(INDEX(properties!A$1:CB$87,'Fórmula'!B104,10))+'Fórmula'!E104*(INDEX(properties!A$1:CB$87,'Fórmula'!D104,10))+'Fórmula'!G104*(INDEX(properties!A$1:CB$87,'Fórmula'!F104,10))+'Fórmula'!I104*(INDEX(properties!A$1:CB$87,'Fórmula'!H104,10))+'Fórmula'!K104*(INDEX(properties!A$1:CB$87,'Fórmula'!J104,10))</f>
        <v>67</v>
      </c>
      <c r="AH104" s="106">
        <f t="array" ref="AH104">VARP(IF(INDEX(properties!A$1:CB$87,'Fórmula'!B104,10)&lt;&gt;"",INDEX(properties!A$1:CB$87,'Fórmula'!B104,10)),IF(INDEX(properties!A$1:CB$87,'Fórmula'!D104,10)&lt;&gt;"",INDEX(properties!A$1:CB$87,'Fórmula'!D104,10)),IF(INDEX(properties!A$1:CB$87,'Fórmula'!F104,10)&lt;&gt;"",INDEX(properties!A$1:CB$87,'Fórmula'!F104,10)),IF(INDEX(properties!A$1:CB$87,'Fórmula'!H104,10)&lt;&gt;"",INDEX(properties!A$1:CB$87,'Fórmula'!H104,10)),IF(INDEX(properties!A$1:CB$87,'Fórmula'!J104,10)&lt;&gt;"",INDEX(properties!A$1:CB$87,'Fórmula'!J104,10)))</f>
        <v>8.64</v>
      </c>
      <c r="AI104" s="106">
        <f t="array" ref="AI104">MAX(INDEX(properties!A$1:CB$87,'Fórmula'!B104,10),INDEX(properties!A$1:CB$87,'Fórmula'!D104,10),INDEX(properties!A$1:CB$87,'Fórmula'!F104,10),INDEX(properties!A$1:CB$87,'Fórmula'!H104,10),INDEX(properties!A$1:CB$87,'Fórmula'!J104,10))</f>
        <v>7</v>
      </c>
      <c r="AJ104" s="106">
        <f t="array" ref="AJ104">MIN(IF(INDEX(properties!A$1:CB$87,'Fórmula'!B104,10)=0,10^6,INDEX(properties!A$1:CB$87,'Fórmula'!B104,10)),IF(INDEX(properties!A$1:CB$87,'Fórmula'!D104,10)=0,10^6,INDEX(properties!A$1:CB$87,'Fórmula'!D104,10)),IF(INDEX(properties!A$1:CB$87,'Fórmula'!F104,10)=0,10^6,INDEX(properties!A$1:CB$87,'Fórmula'!F104,10)),IF(INDEX(properties!A$1:CB$87,'Fórmula'!H104,10)=0,10^6,INDEX(properties!A$1:CB$87,'Fórmula'!H104,10)),IF(INDEX(properties!A$1:CB$87,'Fórmula'!J104,10)=0,10^6,INDEX(properties!A$1:CB$87,'Fórmula'!J104,10)))</f>
        <v>1</v>
      </c>
      <c r="AK104" s="106">
        <f t="shared" si="6"/>
        <v>6</v>
      </c>
      <c r="AL104" s="107">
        <f t="array" ref="AL104">(('Fórmula'!C104)/('Fórmula'!C104+'Fórmula'!E104+'Fórmula'!G104+'Fórmula'!I104+'Fórmula'!K104))*(INDEX(properties!A$1:CB$87,'Fórmula'!B104,11))+(('Fórmula'!E104)/('Fórmula'!C104+'Fórmula'!E104+'Fórmula'!G104+'Fórmula'!I104+'Fórmula'!K104))*(INDEX(properties!A$1:CB$87,'Fórmula'!D104,11))+(('Fórmula'!G104)/('Fórmula'!C104+'Fórmula'!E104+'Fórmula'!G104+'Fórmula'!I104+'Fórmula'!K104))*(INDEX(properties!A$1:CB$87,'Fórmula'!F104,11))+(('Fórmula'!I104)/('Fórmula'!C104+'Fórmula'!E104+'Fórmula'!G104+'Fórmula'!I104+'Fórmula'!K104))*(INDEX(properties!A$1:CB$87,'Fórmula'!H104,11))+(('Fórmula'!K104)/('Fórmula'!C104+'Fórmula'!E104+'Fórmula'!G104+'Fórmula'!I104+'Fórmula'!K104))*(INDEX(properties!A$1:CB$87,'Fórmula'!J104,11))</f>
        <v>1.909090909</v>
      </c>
      <c r="AM104" s="107">
        <f t="array" ref="AM104">'Fórmula'!C104*(INDEX(properties!A$1:CB$87,'Fórmula'!B104,11))+'Fórmula'!E104*(INDEX(properties!A$1:CB$87,'Fórmula'!D104,11))+'Fórmula'!G104*(INDEX(properties!A$1:CB$87,'Fórmula'!F104,11))+'Fórmula'!I104*(INDEX(properties!A$1:CB$87,'Fórmula'!H104,11))+'Fórmula'!K104*(INDEX(properties!A$1:CB$87,'Fórmula'!J104,11))</f>
        <v>21</v>
      </c>
      <c r="AN104" s="107">
        <f t="array" ref="AN104">VARP(IF(INDEX(properties!A$1:CB$87,'Fórmula'!B104,11)&lt;&gt;"",INDEX(properties!A$1:CB$87,'Fórmula'!B104,11)),IF(INDEX(properties!A$1:CB$87,'Fórmula'!D104,11)&lt;&gt;"",INDEX(properties!A$1:CB$87,'Fórmula'!D104,11)),IF(INDEX(properties!A$1:CB$87,'Fórmula'!F104,11)&lt;&gt;"",INDEX(properties!A$1:CB$87,'Fórmula'!F104,11)),IF(INDEX(properties!A$1:CB$87,'Fórmula'!H104,11)&lt;&gt;"",INDEX(properties!A$1:CB$87,'Fórmula'!H104,11)),IF(INDEX(properties!A$1:CB$87,'Fórmula'!J104,11)&lt;&gt;"",INDEX(properties!A$1:CB$87,'Fórmula'!J104,11)))</f>
        <v>0.64</v>
      </c>
      <c r="AO104" s="107">
        <f t="array" ref="AO104">MAX(INDEX(properties!A$1:CB$87,'Fórmula'!B104,11),INDEX(properties!A$1:CB$87,'Fórmula'!D104,11),INDEX(properties!A$1:CB$87,'Fórmula'!F104,11),INDEX(properties!A$1:CB$87,'Fórmula'!H104,11),INDEX(properties!A$1:CB$87,'Fórmula'!J104,11))</f>
        <v>2</v>
      </c>
      <c r="AP104" s="107">
        <f t="array" ref="AP104">MIN(IF('Fórmula'!B104=87,10^6,INDEX(properties!A$1:CB$87,'Fórmula'!B104,11)),IF(('Fórmula'!D104)=87,10^6,INDEX(properties!A$1:CB$87,'Fórmula'!D104,11)),IF(('Fórmula'!F104)=87,10^6,INDEX(properties!A$1:CB$87,'Fórmula'!F104,11)),IF(('Fórmula'!H104)=87,10^6,INDEX(properties!A$1:CB$87,'Fórmula'!H104,11)),IF('Fórmula'!J104=87,10^6,INDEX(properties!A$1:CB$87,'Fórmula'!J104,11)))</f>
        <v>1</v>
      </c>
      <c r="AQ104" s="107">
        <f t="shared" si="7"/>
        <v>1</v>
      </c>
      <c r="AR104" s="108">
        <f t="array" ref="AR104">(('Fórmula'!C104)/('Fórmula'!C104+'Fórmula'!E104+'Fórmula'!G104+'Fórmula'!I104+'Fórmula'!K104))*(INDEX(properties!A$1:CB$87,'Fórmula'!B104,12))+(('Fórmula'!E104)/('Fórmula'!C104+'Fórmula'!E104+'Fórmula'!G104+'Fórmula'!I104+'Fórmula'!K104))*(INDEX(properties!A$1:CB$87,'Fórmula'!D104,12))+(('Fórmula'!G104)/('Fórmula'!C104+'Fórmula'!E104+'Fórmula'!G104+'Fórmula'!I104+'Fórmula'!K104))*(INDEX(properties!A$1:CB$87,'Fórmula'!F104,12))+(('Fórmula'!I104)/('Fórmula'!C104+'Fórmula'!E104+'Fórmula'!G104+'Fórmula'!I104+'Fórmula'!K104))*(INDEX(properties!A$1:CB$87,'Fórmula'!H104,12))+(('Fórmula'!K104)/('Fórmula'!C104+'Fórmula'!E104+'Fórmula'!G104+'Fórmula'!I104+'Fórmula'!K104))*(INDEX(properties!A$1:CB$87,'Fórmula'!J104,12))</f>
        <v>3.090909091</v>
      </c>
      <c r="AS104" s="108">
        <f t="array" ref="AS104">'Fórmula'!C104*(INDEX(properties!A$1:CB$87,'Fórmula'!B104,12))+'Fórmula'!E104*(INDEX(properties!A$1:CB$87,'Fórmula'!D104,12))+'Fórmula'!G104*(INDEX(properties!A$1:CB$87,'Fórmula'!F104,12))+'Fórmula'!I104*(INDEX(properties!A$1:CB$87,'Fórmula'!H104,12))+'Fórmula'!K104*(INDEX(properties!A$1:CB$87,'Fórmula'!J104,12))</f>
        <v>34</v>
      </c>
      <c r="AT104" s="108">
        <f t="array" ref="AT104">VARP(IF(INDEX(properties!A$1:CB$87,'Fórmula'!B104,12)&lt;&gt;"",INDEX(properties!A$1:CB$87,'Fórmula'!B104,12)),IF(INDEX(properties!A$1:CB$87,'Fórmula'!D104,12)&lt;&gt;"",INDEX(properties!A$1:CB$87,'Fórmula'!D104,12)),IF(INDEX(properties!A$1:CB$87,'Fórmula'!F104,12)&lt;&gt;"",INDEX(properties!A$1:CB$87,'Fórmula'!F104,12)),IF(INDEX(properties!A$1:CB$87,'Fórmula'!H104,12)&lt;&gt;"",INDEX(properties!A$1:CB$87,'Fórmula'!H104,12)),IF(INDEX(properties!A$1:CB$87,'Fórmula'!J104,12)&lt;&gt;"",INDEX(properties!A$1:CB$87,'Fórmula'!J104,12)))</f>
        <v>3.04</v>
      </c>
      <c r="AU104" s="108">
        <f t="array" ref="AU104">MAX(INDEX(properties!A$1:CB$87,'Fórmula'!B104,12),INDEX(properties!A$1:CB$87,'Fórmula'!D104,12),INDEX(properties!A$1:CB$87,'Fórmula'!F104,12),INDEX(properties!A$1:CB$87,'Fórmula'!H104,12),INDEX(properties!A$1:CB$87,'Fórmula'!J104,12))</f>
        <v>4</v>
      </c>
      <c r="AV104" s="108">
        <f t="array" ref="AV104">MIN(IF('Fórmula'!B104=87,10^6,INDEX(properties!A$1:CB$87,'Fórmula'!B104,12)),IF(('Fórmula'!D104)=87,10^6,INDEX(properties!A$1:CB$87,'Fórmula'!D104,12)),IF(('Fórmula'!F104)=87,10^6,INDEX(properties!A$1:CB$87,'Fórmula'!F104,12)),IF(('Fórmula'!H104)=87,10^6,INDEX(properties!A$1:CB$87,'Fórmula'!H104,12)),IF('Fórmula'!J104=87,10^6,INDEX(properties!A$1:CB$87,'Fórmula'!J104,12)))</f>
        <v>0</v>
      </c>
      <c r="AW104" s="108">
        <f t="shared" si="8"/>
        <v>4</v>
      </c>
      <c r="AX104" s="109">
        <f t="array" ref="AX104">(('Fórmula'!C104)/('Fórmula'!C104+'Fórmula'!E104+'Fórmula'!G104+'Fórmula'!I104+'Fórmula'!K104))*(INDEX(properties!A$1:CB$87,'Fórmula'!B104,13))+(('Fórmula'!E104)/('Fórmula'!C104+'Fórmula'!E104+'Fórmula'!G104+'Fórmula'!I104+'Fórmula'!K104))*(INDEX(properties!A$1:CB$87,'Fórmula'!D104,13))+(('Fórmula'!G104)/('Fórmula'!C104+'Fórmula'!E104+'Fórmula'!G104+'Fórmula'!I104+'Fórmula'!K104))*(INDEX(properties!A$1:CB$87,'Fórmula'!F104,13))+(('Fórmula'!I104)/('Fórmula'!C104+'Fórmula'!E104+'Fórmula'!G104+'Fórmula'!I104+'Fórmula'!K104))*(INDEX(properties!A$1:CB$87,'Fórmula'!H104,13))+(('Fórmula'!K104)/('Fórmula'!C104+'Fórmula'!E104+'Fórmula'!G104+'Fórmula'!I104+'Fórmula'!K104))*(INDEX(properties!A$1:CB$87,'Fórmula'!J104,13))</f>
        <v>0.09090909091</v>
      </c>
      <c r="AY104" s="109">
        <f t="array" ref="AY104">'Fórmula'!C104*(INDEX(properties!A$1:CB$87,'Fórmula'!B104,13))+'Fórmula'!E104*(INDEX(properties!A$1:CB$87,'Fórmula'!D104,13))+'Fórmula'!G104*(INDEX(properties!A$1:CB$87,'Fórmula'!F104,13))+'Fórmula'!I104*(INDEX(properties!A$1:CB$87,'Fórmula'!H104,13))+'Fórmula'!K104*(INDEX(properties!A$1:CB$87,'Fórmula'!J104,13))</f>
        <v>1</v>
      </c>
      <c r="AZ104" s="109">
        <f t="array" ref="AZ104">VARP(IF(INDEX(properties!A$1:CB$87,'Fórmula'!B104,13)&lt;&gt;"",INDEX(properties!A$1:CB$87,'Fórmula'!B104,13)),IF(INDEX(properties!A$1:CB$87,'Fórmula'!D104,13)&lt;&gt;"",INDEX(properties!A$1:CB$87,'Fórmula'!D104,13)),IF(INDEX(properties!A$1:CB$87,'Fórmula'!F104,13)&lt;&gt;"",INDEX(properties!A$1:CB$87,'Fórmula'!F104,13)),IF(INDEX(properties!A$1:CB$87,'Fórmula'!H104,13)&lt;&gt;"",INDEX(properties!A$1:CB$87,'Fórmula'!H104,13)),IF(INDEX(properties!A$1:CB$87,'Fórmula'!J104,13)&lt;&gt;"",INDEX(properties!A$1:CB$87,'Fórmula'!J104,13)))</f>
        <v>0.16</v>
      </c>
      <c r="BA104" s="109">
        <f t="array" ref="BA104">MAX(INDEX(properties!A$1:CB$87,'Fórmula'!B104,13),INDEX(properties!A$1:CB$87,'Fórmula'!D104,13),INDEX(properties!A$1:CB$87,'Fórmula'!F104,13),INDEX(properties!A$1:CB$87,'Fórmula'!H104,13),INDEX(properties!A$1:CB$87,'Fórmula'!J104,13))</f>
        <v>1</v>
      </c>
      <c r="BB104" s="109">
        <f t="array" ref="BB104">MIN(IF('Fórmula'!B104=87,10^6,INDEX(properties!A$1:CB$87,'Fórmula'!B104,13)),IF(('Fórmula'!D104)=87,10^6,INDEX(properties!A$1:CB$87,'Fórmula'!D104,13)),IF(('Fórmula'!F104)=87,10^6,INDEX(properties!A$1:CB$87,'Fórmula'!F104,13)),IF(('Fórmula'!H104)=87,10^6,INDEX(properties!A$1:CB$87,'Fórmula'!H104,13)),IF('Fórmula'!J104=87,10^6,INDEX(properties!A$1:CB$87,'Fórmula'!J104,13)))</f>
        <v>0</v>
      </c>
      <c r="BC104" s="109">
        <f t="shared" si="9"/>
        <v>1</v>
      </c>
      <c r="BD104" s="110">
        <f t="array" ref="BD104">(('Fórmula'!C104)/('Fórmula'!C104+'Fórmula'!E104+'Fórmula'!G104+'Fórmula'!I104+'Fórmula'!K104))*(INDEX(properties!A$1:CB$87,'Fórmula'!B104,14))+(('Fórmula'!E104)/('Fórmula'!C104+'Fórmula'!E104+'Fórmula'!G104+'Fórmula'!I104+'Fórmula'!K104))*(INDEX(properties!A$1:CB$87,'Fórmula'!D104,14))+(('Fórmula'!G104)/('Fórmula'!C104+'Fórmula'!E104+'Fórmula'!G104+'Fórmula'!I104+'Fórmula'!K104))*(INDEX(properties!A$1:CB$87,'Fórmula'!F104,14))+(('Fórmula'!I104)/('Fórmula'!C104+'Fórmula'!E104+'Fórmula'!G104+'Fórmula'!I104+'Fórmula'!K104))*(INDEX(properties!A$1:CB$87,'Fórmula'!H104,14))+(('Fórmula'!K104)/('Fórmula'!C104+'Fórmula'!E104+'Fórmula'!G104+'Fórmula'!I104+'Fórmula'!K104))*(INDEX(properties!A$1:CB$87,'Fórmula'!J104,14))</f>
        <v>0</v>
      </c>
      <c r="BE104" s="110">
        <f t="array" ref="BE104">'Fórmula'!C104*(INDEX(properties!A$1:CB$87,'Fórmula'!B104,14))+'Fórmula'!E104*(INDEX(properties!A$1:CB$87,'Fórmula'!D104,14))+'Fórmula'!G104*(INDEX(properties!A$1:CB$87,'Fórmula'!F104,14))+'Fórmula'!I104*(INDEX(properties!A$1:CB$87,'Fórmula'!H104,14))+'Fórmula'!K104*(INDEX(properties!A$1:CB$87,'Fórmula'!J104,14))</f>
        <v>0</v>
      </c>
      <c r="BF104" s="110">
        <f t="array" ref="BF104">VARP(IF(INDEX(properties!A$1:CB$87,'Fórmula'!B104,14)&lt;&gt;"",INDEX(properties!A$1:CB$87,'Fórmula'!B104,14)),IF(INDEX(properties!A$1:CB$87,'Fórmula'!D104,14)&lt;&gt;"",INDEX(properties!A$1:CB$87,'Fórmula'!D104,14)),IF(INDEX(properties!A$1:CB$87,'Fórmula'!F104,14)&lt;&gt;"",INDEX(properties!A$1:CB$87,'Fórmula'!F104,14)),IF(INDEX(properties!A$1:CB$87,'Fórmula'!H104,14)&lt;&gt;"",INDEX(properties!A$1:CB$87,'Fórmula'!H104,14)),IF(INDEX(properties!A$1:CB$87,'Fórmula'!J104,14)&lt;&gt;"",INDEX(properties!A$1:CB$87,'Fórmula'!J104,14)))</f>
        <v>0</v>
      </c>
      <c r="BG104" s="110">
        <f t="array" ref="BG104">MAX(INDEX(properties!A$1:CB$87,'Fórmula'!B104,14),INDEX(properties!A$1:CB$87,'Fórmula'!D104,14),INDEX(properties!A$1:CB$87,'Fórmula'!F104,14),INDEX(properties!A$1:CB$87,'Fórmula'!H104,14),INDEX(properties!A$1:CB$87,'Fórmula'!J104,14))</f>
        <v>0</v>
      </c>
      <c r="BH104" s="110">
        <f t="array" ref="BH104">MIN(IF('Fórmula'!B104=87,10^6,INDEX(properties!A$1:CB$87,'Fórmula'!B104,14)),IF(('Fórmula'!D104)=87,10^6,INDEX(properties!A$1:CB$87,'Fórmula'!D104,14)),IF(('Fórmula'!F104)=87,10^6,INDEX(properties!A$1:CB$87,'Fórmula'!F104,14)),IF(('Fórmula'!H104)=87,10^6,INDEX(properties!A$1:CB$87,'Fórmula'!H104,14)),IF('Fórmula'!J104=87,10^6,INDEX(properties!A$1:CB$87,'Fórmula'!J104,14)))</f>
        <v>0</v>
      </c>
      <c r="BI104" s="110">
        <f t="shared" si="10"/>
        <v>0</v>
      </c>
      <c r="BJ104" s="111">
        <f t="array" ref="BJ104">(('Fórmula'!C104)/('Fórmula'!C104+'Fórmula'!E104+'Fórmula'!G104+'Fórmula'!I104+'Fórmula'!K104))*(INDEX(properties!A$1:CB$87,'Fórmula'!B104,19))+(('Fórmula'!E104)/('Fórmula'!C104+'Fórmula'!E104+'Fórmula'!G104+'Fórmula'!I104+'Fórmula'!K104))*(INDEX(properties!A$1:CB$87,'Fórmula'!D104,19))+(('Fórmula'!G104)/('Fórmula'!C104+'Fórmula'!E104+'Fórmula'!G104+'Fórmula'!I104+'Fórmula'!K104))*(INDEX(properties!A$1:CB$87,'Fórmula'!F104,19))+(('Fórmula'!I104)/('Fórmula'!C104+'Fórmula'!E104+'Fórmula'!G104+'Fórmula'!I104+'Fórmula'!K104))*(INDEX(properties!A$1:CB$87,'Fórmula'!H104,19))+(('Fórmula'!K104)/('Fórmula'!C104+'Fórmula'!E104+'Fórmula'!G104+'Fórmula'!I104+'Fórmula'!K104))*(INDEX(properties!A$1:CB$87,'Fórmula'!J104,19))</f>
        <v>5.090909091</v>
      </c>
      <c r="BK104" s="111">
        <f t="array" ref="BK104">'Fórmula'!C104*(INDEX(properties!A$1:CB$87,'Fórmula'!B104,19))+'Fórmula'!E104*(INDEX(properties!A$1:CB$87,'Fórmula'!D104,19))+'Fórmula'!G104*(INDEX(properties!A$1:CB$87,'Fórmula'!F104,19))+'Fórmula'!I104*(INDEX(properties!A$1:CB$87,'Fórmula'!H104,19))+'Fórmula'!K104*(INDEX(properties!A$1:CB$87,'Fórmula'!J104,19))</f>
        <v>56</v>
      </c>
      <c r="BL104" s="111">
        <f t="array" ref="BL104">VARP(IF(INDEX(properties!A$1:CB$87,'Fórmula'!B104,19)&lt;&gt;"",INDEX(properties!A$1:CB$87,'Fórmula'!B104,19)),IF(INDEX(properties!A$1:CB$87,'Fórmula'!D104,19)&lt;&gt;"",INDEX(properties!A$1:CB$87,'Fórmula'!D104,19)),IF(INDEX(properties!A$1:CB$87,'Fórmula'!F104,19)&lt;&gt;"",INDEX(properties!A$1:CB$87,'Fórmula'!F104,19)),IF(INDEX(properties!A$1:CB$87,'Fórmula'!H104,19)&lt;&gt;"",INDEX(properties!A$1:CB$87,'Fórmula'!H104,19)),IF(INDEX(properties!A$1:CB$87,'Fórmula'!J104,19)&lt;&gt;"",INDEX(properties!A$1:CB$87,'Fórmula'!J104,19)))</f>
        <v>5.2</v>
      </c>
      <c r="BM104" s="111">
        <f t="array" ref="BM104">MAX(INDEX(properties!A$1:CB$87,'Fórmula'!B104,19),INDEX(properties!A$1:CB$87,'Fórmula'!D104,19),INDEX(properties!A$1:CB$87,'Fórmula'!F104,19),INDEX(properties!A$1:CB$87,'Fórmula'!H104,19),INDEX(properties!A$1:CB$87,'Fórmula'!J104,19))</f>
        <v>6</v>
      </c>
      <c r="BN104" s="111">
        <f t="array" ref="BN104">MIN(IF(INDEX(properties!A$1:CB$87,'Fórmula'!B104,19)=0,10^6,INDEX(properties!A$1:CB$87,'Fórmula'!B104,19)),IF(INDEX(properties!A$1:CB$87,'Fórmula'!D104,19)=0,10^6,INDEX(properties!A$1:CB$87,'Fórmula'!D104,19)),IF(INDEX(properties!A$1:CB$87,'Fórmula'!F104,19)=0,10^6,INDEX(properties!A$1:CB$87,'Fórmula'!F104,19)),IF(INDEX(properties!A$1:CB$87,'Fórmula'!H104,19)=0,10^6,INDEX(properties!A$1:CB$87,'Fórmula'!H104,19)),IF(INDEX(properties!A$1:CB$87,'Fórmula'!J104,19)=0,10^6,INDEX(properties!A$1:CB$87,'Fórmula'!J104,19)))</f>
        <v>1</v>
      </c>
      <c r="BO104" s="111">
        <f t="shared" si="11"/>
        <v>5</v>
      </c>
      <c r="BP104" s="112">
        <f t="array" ref="BP104">(('Fórmula'!C104)/('Fórmula'!C104+'Fórmula'!E104+'Fórmula'!G104+'Fórmula'!I104+'Fórmula'!K104))*(INDEX(properties!A$1:CB$87,'Fórmula'!B104,20))+(('Fórmula'!E104)/('Fórmula'!C104+'Fórmula'!E104+'Fórmula'!G104+'Fórmula'!I104+'Fórmula'!K104))*(INDEX(properties!A$1:CB$87,'Fórmula'!D104,20))+(('Fórmula'!G104)/('Fórmula'!C104+'Fórmula'!E104+'Fórmula'!G104+'Fórmula'!I104+'Fórmula'!K104))*(INDEX(properties!A$1:CB$87,'Fórmula'!F104,20))+(('Fórmula'!I104)/('Fórmula'!C104+'Fórmula'!E104+'Fórmula'!G104+'Fórmula'!I104+'Fórmula'!K104))*(INDEX(properties!A$1:CB$87,'Fórmula'!H104,20))+(('Fórmula'!K104)/('Fórmula'!C104+'Fórmula'!E104+'Fórmula'!G104+'Fórmula'!I104+'Fórmula'!K104))*(INDEX(properties!A$1:CB$87,'Fórmula'!J104,20))</f>
        <v>5</v>
      </c>
      <c r="BQ104" s="112">
        <f t="array" ref="BQ104">'Fórmula'!C104*(INDEX(properties!A$1:CB$87,'Fórmula'!B104,20))+'Fórmula'!E104*(INDEX(properties!A$1:CB$87,'Fórmula'!D104,20))+'Fórmula'!G104*(INDEX(properties!A$1:CB$87,'Fórmula'!F104,20))+'Fórmula'!I104*(INDEX(properties!A$1:CB$87,'Fórmula'!H104,20))+'Fórmula'!K104*(INDEX(properties!A$1:CB$87,'Fórmula'!J104,20))</f>
        <v>55</v>
      </c>
      <c r="BR104" s="112">
        <f t="array" ref="BR104">VARP(IF(INDEX(properties!A$1:CB$87,'Fórmula'!B104,20)&lt;&gt;"",INDEX(properties!A$1:CB$87,'Fórmula'!B104,20)),IF(INDEX(properties!A$1:CB$87,'Fórmula'!D104,20)&lt;&gt;"",INDEX(properties!A$1:CB$87,'Fórmula'!D104,20)),IF(INDEX(properties!A$1:CB$87,'Fórmula'!F104,20)&lt;&gt;"",INDEX(properties!A$1:CB$87,'Fórmula'!F104,20)),IF(INDEX(properties!A$1:CB$87,'Fórmula'!H104,20)&lt;&gt;"",INDEX(properties!A$1:CB$87,'Fórmula'!H104,20)),IF(INDEX(properties!A$1:CB$87,'Fórmula'!J104,20)&lt;&gt;"",INDEX(properties!A$1:CB$87,'Fórmula'!J104,20)))</f>
        <v>5.36</v>
      </c>
      <c r="BS104" s="112">
        <f t="array" ref="BS104">MAX(INDEX(properties!A$1:CB$87,'Fórmula'!B104,20),INDEX(properties!A$1:CB$87,'Fórmula'!D104,20),INDEX(properties!A$1:CB$87,'Fórmula'!F104,20),INDEX(properties!A$1:CB$87,'Fórmula'!H104,20),INDEX(properties!A$1:CB$87,'Fórmula'!J104,20))</f>
        <v>6</v>
      </c>
      <c r="BT104" s="112">
        <f t="array" ref="BT104">MIN(IF(INDEX(properties!A$1:CB$87,'Fórmula'!B104,20)=0,10^6,INDEX(properties!A$1:CB$87,'Fórmula'!B104,20)),IF(INDEX(properties!A$1:CB$87,'Fórmula'!D104,20)=0,10^6,INDEX(properties!A$1:CB$87,'Fórmula'!D104,20)),IF(INDEX(properties!A$1:CB$87,'Fórmula'!F104,20)=0,10^6,INDEX(properties!A$1:CB$87,'Fórmula'!F104,20)),IF(INDEX(properties!A$1:CB$87,'Fórmula'!H104,20)=0,10^6,INDEX(properties!A$1:CB$87,'Fórmula'!H104,20)),IF(INDEX(properties!A$1:CB$87,'Fórmula'!J104,20)=0,10^6,INDEX(properties!A$1:CB$87,'Fórmula'!J104,20)))</f>
        <v>1</v>
      </c>
      <c r="BU104" s="112">
        <f t="shared" si="12"/>
        <v>5</v>
      </c>
      <c r="BV104" s="113">
        <f t="array" ref="BV104">(('Fórmula'!C104)/('Fórmula'!C104+'Fórmula'!E104+'Fórmula'!G104+'Fórmula'!I104+'Fórmula'!K104))*(INDEX(properties!A$1:CB$87,'Fórmula'!B104,21))+(('Fórmula'!E104)/('Fórmula'!C104+'Fórmula'!E104+'Fórmula'!G104+'Fórmula'!I104+'Fórmula'!K104))*(INDEX(properties!A$1:CB$87,'Fórmula'!D104,21))+(('Fórmula'!G104)/('Fórmula'!C104+'Fórmula'!E104+'Fórmula'!G104+'Fórmula'!I104+'Fórmula'!K104))*(INDEX(properties!A$1:CB$87,'Fórmula'!F104,21))+(('Fórmula'!I104)/('Fórmula'!C104+'Fórmula'!E104+'Fórmula'!G104+'Fórmula'!I104+'Fórmula'!K104))*(INDEX(properties!A$1:CB$87,'Fórmula'!H104,21))+(('Fórmula'!K104)/('Fórmula'!C104+'Fórmula'!E104+'Fórmula'!G104+'Fórmula'!I104+'Fórmula'!K104))*(INDEX(properties!A$1:CB$87,'Fórmula'!J104,21))</f>
        <v>4.909090909</v>
      </c>
      <c r="BW104" s="113">
        <f t="array" ref="BW104">'Fórmula'!C104*(INDEX(properties!A$1:CB$87,'Fórmula'!B104,21))+'Fórmula'!E104*(INDEX(properties!A$1:CB$87,'Fórmula'!D104,21))+'Fórmula'!G104*(INDEX(properties!A$1:CB$87,'Fórmula'!F104,21))+'Fórmula'!I104*(INDEX(properties!A$1:CB$87,'Fórmula'!H104,21))+'Fórmula'!K104*(INDEX(properties!A$1:CB$87,'Fórmula'!J104,21))</f>
        <v>54</v>
      </c>
      <c r="BX104" s="113">
        <f t="array" ref="BX104">VARP(IF(INDEX(properties!A$1:CB$87,'Fórmula'!B104,21)&lt;&gt;"",INDEX(properties!A$1:CB$87,'Fórmula'!B104,21)),IF(INDEX(properties!A$1:CB$87,'Fórmula'!D104,21)&lt;&gt;"",INDEX(properties!A$1:CB$87,'Fórmula'!D104,21)),IF(INDEX(properties!A$1:CB$87,'Fórmula'!F104,21)&lt;&gt;"",INDEX(properties!A$1:CB$87,'Fórmula'!F104,21)),IF(INDEX(properties!A$1:CB$87,'Fórmula'!H104,21)&lt;&gt;"",INDEX(properties!A$1:CB$87,'Fórmula'!H104,21)),IF(INDEX(properties!A$1:CB$87,'Fórmula'!J104,21)&lt;&gt;"",INDEX(properties!A$1:CB$87,'Fórmula'!J104,21)))</f>
        <v>5.84</v>
      </c>
      <c r="BY104" s="113">
        <f t="array" ref="BY104">MAX(INDEX(properties!A$1:CB$87,'Fórmula'!B104,21),INDEX(properties!A$1:CB$87,'Fórmula'!D104,21),INDEX(properties!A$1:CB$87,'Fórmula'!F104,21),INDEX(properties!A$1:CB$87,'Fórmula'!H104,21),INDEX(properties!A$1:CB$87,'Fórmula'!J104,21))</f>
        <v>6</v>
      </c>
      <c r="BZ104" s="113">
        <f t="array" ref="BZ104">MIN(IF(INDEX(properties!A$1:CB$87,'Fórmula'!B104,21)=0,10^6,INDEX(properties!A$1:CB$87,'Fórmula'!B104,21)),IF(INDEX(properties!A$1:CB$87,'Fórmula'!D104,21)=0,10^6,INDEX(properties!A$1:CB$87,'Fórmula'!D104,21)),IF(INDEX(properties!A$1:CB$87,'Fórmula'!F104,21)=0,10^6,INDEX(properties!A$1:CB$87,'Fórmula'!F104,21)),IF(INDEX(properties!A$1:CB$87,'Fórmula'!H104,21)=0,10^6,INDEX(properties!A$1:CB$87,'Fórmula'!H104,21)),IF(INDEX(properties!A$1:CB$87,'Fórmula'!J104,21)=0,10^6,INDEX(properties!A$1:CB$87,'Fórmula'!J104,21)))</f>
        <v>1</v>
      </c>
      <c r="CA104" s="113">
        <f t="shared" si="13"/>
        <v>5</v>
      </c>
      <c r="CB104" s="114">
        <f t="array" ref="CB104">(('Fórmula'!C104)/('Fórmula'!C104+'Fórmula'!E104+'Fórmula'!G104+'Fórmula'!I104+'Fórmula'!K104))*(INDEX(properties!A$1:CB$87,'Fórmula'!B104,23))+(('Fórmula'!E104)/('Fórmula'!C104+'Fórmula'!E104+'Fórmula'!G104+'Fórmula'!I104+'Fórmula'!K104))*(INDEX(properties!A$1:CB$87,'Fórmula'!D104,23))+(('Fórmula'!G104)/('Fórmula'!C104+'Fórmula'!E104+'Fórmula'!G104+'Fórmula'!I104+'Fórmula'!K104))*(INDEX(properties!A$1:CB$87,'Fórmula'!F104,23))+(('Fórmula'!I104)/('Fórmula'!C104+'Fórmula'!E104+'Fórmula'!G104+'Fórmula'!I104+'Fórmula'!K104))*(INDEX(properties!A$1:CB$87,'Fórmula'!H104,23))+(('Fórmula'!K104)/('Fórmula'!C104+'Fórmula'!E104+'Fórmula'!G104+'Fórmula'!I104+'Fórmula'!K104))*(INDEX(properties!A$1:CB$87,'Fórmula'!J104,23))</f>
        <v>0.9090909091</v>
      </c>
      <c r="CC104" s="114">
        <f t="array" ref="CC104">'Fórmula'!C104*(INDEX(properties!A$1:CB$87,'Fórmula'!B104,23))+'Fórmula'!E104*(INDEX(properties!A$1:CB$87,'Fórmula'!D104,23))+'Fórmula'!G104*(INDEX(properties!A$1:CB$87,'Fórmula'!F104,23))+'Fórmula'!I104*(INDEX(properties!A$1:CB$87,'Fórmula'!H104,23))+'Fórmula'!K104*(INDEX(properties!A$1:CB$87,'Fórmula'!J104,23))</f>
        <v>10</v>
      </c>
      <c r="CD104" s="114">
        <f t="array" ref="CD104">VARP(IF(INDEX(properties!A$1:CB$87,'Fórmula'!B104,23)&lt;&gt;"",INDEX(properties!A$1:CB$87,'Fórmula'!B104,23)),IF(INDEX(properties!A$1:CB$87,'Fórmula'!D104,23)&lt;&gt;"",INDEX(properties!A$1:CB$87,'Fórmula'!D104,23)),IF(INDEX(properties!A$1:CB$87,'Fórmula'!F104,23)&lt;&gt;"",INDEX(properties!A$1:CB$87,'Fórmula'!F104,23)),IF(INDEX(properties!A$1:CB$87,'Fórmula'!H104,23)&lt;&gt;"",INDEX(properties!A$1:CB$87,'Fórmula'!H104,23)),IF(INDEX(properties!A$1:CB$87,'Fórmula'!J104,23)&lt;&gt;"",INDEX(properties!A$1:CB$87,'Fórmula'!J104,23)))</f>
        <v>1.84</v>
      </c>
      <c r="CE104" s="114">
        <f t="array" ref="CE104">MAX(INDEX(properties!A$1:CB$87,'Fórmula'!B104,23),INDEX(properties!A$1:CB$87,'Fórmula'!D104,23),INDEX(properties!A$1:CB$87,'Fórmula'!F104,23),INDEX(properties!A$1:CB$87,'Fórmula'!H104,23),INDEX(properties!A$1:CB$87,'Fórmula'!J104,23))</f>
        <v>3</v>
      </c>
      <c r="CF104" s="114">
        <f t="array" ref="CF104">MIN(IF('Fórmula'!B104=87,10^6,INDEX(properties!A$1:CB$87,'Fórmula'!B104,23)),IF(('Fórmula'!D104)=87,10^6,INDEX(properties!A$1:CB$87,'Fórmula'!D104,23)),IF(('Fórmula'!F104)=87,10^6,INDEX(properties!A$1:CB$87,'Fórmula'!F104,23)),IF(('Fórmula'!H104)=87,10^6,INDEX(properties!A$1:CB$87,'Fórmula'!H104,23)),IF('Fórmula'!J104=87,10^6,INDEX(properties!A$1:CB$87,'Fórmula'!J104,23)))</f>
        <v>0</v>
      </c>
      <c r="CG104" s="114">
        <f t="shared" si="14"/>
        <v>3</v>
      </c>
      <c r="CH104" s="115">
        <f t="array" ref="CH104">(('Fórmula'!C104)/('Fórmula'!C104+'Fórmula'!E104+'Fórmula'!G104+'Fórmula'!I104+'Fórmula'!K104))*(INDEX(properties!A$1:CB$87,'Fórmula'!B104,26))+(('Fórmula'!E104)/('Fórmula'!C104+'Fórmula'!E104+'Fórmula'!G104+'Fórmula'!I104+'Fórmula'!K104))*(INDEX(properties!A$1:CB$87,'Fórmula'!D104,26))+(('Fórmula'!G104)/('Fórmula'!C104+'Fórmula'!E104+'Fórmula'!G104+'Fórmula'!I104+'Fórmula'!K104))*(INDEX(properties!A$1:CB$87,'Fórmula'!F104,26))+(('Fórmula'!I104)/('Fórmula'!C104+'Fórmula'!E104+'Fórmula'!G104+'Fórmula'!I104+'Fórmula'!K104))*(INDEX(properties!A$1:CB$87,'Fórmula'!H104,26))+(('Fórmula'!K104)/('Fórmula'!C104+'Fórmula'!E104+'Fórmula'!G104+'Fórmula'!I104+'Fórmula'!K104))*(INDEX(properties!A$1:CB$87,'Fórmula'!J104,26))</f>
        <v>11.54691818</v>
      </c>
      <c r="CI104" s="115">
        <f t="array" ref="CI104">'Fórmula'!C104*(INDEX(properties!A$1:CB$87,'Fórmula'!B104,26))+'Fórmula'!E104*(INDEX(properties!A$1:CB$87,'Fórmula'!D104,26))+'Fórmula'!G104*(INDEX(properties!A$1:CB$87,'Fórmula'!F104,26))+'Fórmula'!I104*(INDEX(properties!A$1:CB$87,'Fórmula'!H104,26))+'Fórmula'!K104*(INDEX(properties!A$1:CB$87,'Fórmula'!J104,26))</f>
        <v>127.0161</v>
      </c>
      <c r="CJ104" s="115">
        <f t="array" ref="CJ104">VARP(IF(INDEX(properties!A$1:CB$87,'Fórmula'!B104,26)&lt;&gt;"",INDEX(properties!A$1:CB$87,'Fórmula'!B104,26)),IF(INDEX(properties!A$1:CB$87,'Fórmula'!D104,26)&lt;&gt;"",INDEX(properties!A$1:CB$87,'Fórmula'!D104,26)),IF(INDEX(properties!A$1:CB$87,'Fórmula'!F104,26)&lt;&gt;"",INDEX(properties!A$1:CB$87,'Fórmula'!F104,26)),IF(INDEX(properties!A$1:CB$87,'Fórmula'!H104,26)&lt;&gt;"",INDEX(properties!A$1:CB$87,'Fórmula'!H104,26)),IF(INDEX(properties!A$1:CB$87,'Fórmula'!J104,26)&lt;&gt;"",INDEX(properties!A$1:CB$87,'Fórmula'!J104,26)))</f>
        <v>22.08761288</v>
      </c>
      <c r="CK104" s="116">
        <f t="array" ref="CK104">MAX(INDEX(properties!A$1:CB$87,'Fórmula'!B104,26),INDEX(properties!A$1:CB$87,'Fórmula'!D104,26),INDEX(properties!A$1:CB$87,'Fórmula'!F104,26),INDEX(properties!A$1:CB$87,'Fórmula'!H104,26),INDEX(properties!A$1:CB$87,'Fórmula'!J104,26))</f>
        <v>13.6181</v>
      </c>
      <c r="CL104" s="116">
        <f t="array" ref="CL104">MIN(IF(INDEX(properties!A$1:CB$87,'Fórmula'!B104,26)=0,10^6,INDEX(properties!A$1:CB$87,'Fórmula'!B104,26)),IF(INDEX(properties!A$1:CB$87,'Fórmula'!D104,26)=0,10^6,INDEX(properties!A$1:CB$87,'Fórmula'!D104,26)),IF(INDEX(properties!A$1:CB$87,'Fórmula'!F104,26)=0,10^6,INDEX(properties!A$1:CB$87,'Fórmula'!F104,26)),IF(INDEX(properties!A$1:CB$87,'Fórmula'!H104,26)=0,10^6,INDEX(properties!A$1:CB$87,'Fórmula'!H104,26)),IF(INDEX(properties!A$1:CB$87,'Fórmula'!J104,26)=0,10^6,INDEX(properties!A$1:CB$87,'Fórmula'!J104,26)))</f>
        <v>5.1391</v>
      </c>
      <c r="CM104" s="115">
        <f t="shared" si="15"/>
        <v>8.479</v>
      </c>
      <c r="CN104" s="117">
        <f t="array" ref="CN104">(('Fórmula'!C104)/('Fórmula'!C104+'Fórmula'!E104+'Fórmula'!G104+'Fórmula'!I104+'Fórmula'!K104))*(INDEX(properties!A$1:CB$87,'Fórmula'!B104,30))+(('Fórmula'!E104)/('Fórmula'!C104+'Fórmula'!E104+'Fórmula'!G104+'Fórmula'!I104+'Fórmula'!K104))*(INDEX(properties!A$1:CB$87,'Fórmula'!D104,30))+(('Fórmula'!G104)/('Fórmula'!C104+'Fórmula'!E104+'Fórmula'!G104+'Fórmula'!I104+'Fórmula'!K104))*(INDEX(properties!A$1:CB$87,'Fórmula'!F104,30))+(('Fórmula'!I104)/('Fórmula'!C104+'Fórmula'!E104+'Fórmula'!G104+'Fórmula'!I104+'Fórmula'!K104))*(INDEX(properties!A$1:CB$87,'Fórmula'!H104,30))+(('Fórmula'!K104)/('Fórmula'!C104+'Fórmula'!E104+'Fórmula'!G104+'Fórmula'!I104+'Fórmula'!K104))*(INDEX(properties!A$1:CB$87,'Fórmula'!J104,30))</f>
        <v>2.771818182</v>
      </c>
      <c r="CO104" s="117">
        <f t="array" ref="CO104">'Fórmula'!C104*(INDEX(properties!A$1:CB$87,'Fórmula'!B104,30))+'Fórmula'!E104*(INDEX(properties!A$1:CB$87,'Fórmula'!D104,30))+'Fórmula'!G104*(INDEX(properties!A$1:CB$87,'Fórmula'!F104,30))+'Fórmula'!I104*(INDEX(properties!A$1:CB$87,'Fórmula'!H104,30))+'Fórmula'!K104*(INDEX(properties!A$1:CB$87,'Fórmula'!J104,30))</f>
        <v>30.49</v>
      </c>
      <c r="CP104" s="117">
        <f t="array" ref="CP104">VARP(IF(INDEX(properties!A$1:CB$87,'Fórmula'!B104,30)&lt;&gt;"",INDEX(properties!A$1:CB$87,'Fórmula'!B104,30)),IF(INDEX(properties!A$1:CB$87,'Fórmula'!D104,30)&lt;&gt;"",INDEX(properties!A$1:CB$87,'Fórmula'!D104,30)),IF(INDEX(properties!A$1:CB$87,'Fórmula'!F104,30)&lt;&gt;"",INDEX(properties!A$1:CB$87,'Fórmula'!F104,30)),IF(INDEX(properties!A$1:CB$87,'Fórmula'!H104,30)&lt;&gt;"",INDEX(properties!A$1:CB$87,'Fórmula'!H104,30)),IF(INDEX(properties!A$1:CB$87,'Fórmula'!J104,30)&lt;&gt;"",INDEX(properties!A$1:CB$87,'Fórmula'!J104,30)))</f>
        <v>1.393896</v>
      </c>
      <c r="CQ104" s="117">
        <f t="array" ref="CQ104">MAX(INDEX(properties!A$1:CB$87,'Fórmula'!B104,30),INDEX(properties!A$1:CB$87,'Fórmula'!D104,30),INDEX(properties!A$1:CB$87,'Fórmula'!F104,30),INDEX(properties!A$1:CB$87,'Fórmula'!H104,30),INDEX(properties!A$1:CB$87,'Fórmula'!J104,30))</f>
        <v>3.44</v>
      </c>
      <c r="CR104" s="117">
        <f t="array" ref="CR104">MIN(IF(INDEX(properties!A$1:CB$87,'Fórmula'!B104,30)=0,10^6,INDEX(properties!A$1:CB$87,'Fórmula'!B104,30)),IF(INDEX(properties!A$1:CB$87,'Fórmula'!D104,30)=0,10^6,INDEX(properties!A$1:CB$87,'Fórmula'!D104,30)),IF(INDEX(properties!A$1:CB$87,'Fórmula'!F104,30)=0,10^6,INDEX(properties!A$1:CB$87,'Fórmula'!F104,30)),IF(INDEX(properties!A$1:CB$87,'Fórmula'!H104,30)=0,10^6,INDEX(properties!A$1:CB$87,'Fórmula'!H104,30)),IF(INDEX(properties!A$1:CB$87,'Fórmula'!J104,30)=0,10^6,INDEX(properties!A$1:CB$87,'Fórmula'!J104,30)))</f>
        <v>0.93</v>
      </c>
      <c r="CS104" s="117">
        <f t="shared" si="16"/>
        <v>2.51</v>
      </c>
      <c r="CT104" s="118">
        <f t="array" ref="CT104">(('Fórmula'!C104)/('Fórmula'!C104+'Fórmula'!E104+'Fórmula'!G104+'Fórmula'!I104+'Fórmula'!K104))*(INDEX(properties!A$1:CB$87,'Fórmula'!B104,31))+(('Fórmula'!E104)/('Fórmula'!C104+'Fórmula'!E104+'Fórmula'!G104+'Fórmula'!I104+'Fórmula'!K104))*(INDEX(properties!A$1:CB$87,'Fórmula'!D104,31))+(('Fórmula'!G104)/('Fórmula'!C104+'Fórmula'!E104+'Fórmula'!G104+'Fórmula'!I104+'Fórmula'!K104))*(INDEX(properties!A$1:CB$87,'Fórmula'!F104,31))+(('Fórmula'!I104)/('Fórmula'!C104+'Fórmula'!E104+'Fórmula'!G104+'Fórmula'!I104+'Fórmula'!K104))*(INDEX(properties!A$1:CB$87,'Fórmula'!H104,31))+(('Fórmula'!K104)/('Fórmula'!C104+'Fórmula'!E104+'Fórmula'!G104+'Fórmula'!I104+'Fórmula'!K104))*(INDEX(properties!A$1:CB$87,'Fórmula'!J104,31))</f>
        <v>2.738181818</v>
      </c>
      <c r="CU104" s="118">
        <f t="array" ref="CU104">'Fórmula'!C104*(INDEX(properties!A$1:CB$87,'Fórmula'!B104,31))+'Fórmula'!E104*(INDEX(properties!A$1:CB$87,'Fórmula'!D104,31))+'Fórmula'!G104*(INDEX(properties!A$1:CB$87,'Fórmula'!F104,31))+'Fórmula'!I104*(INDEX(properties!A$1:CB$87,'Fórmula'!H104,31))+'Fórmula'!K104*(INDEX(properties!A$1:CB$87,'Fórmula'!J104,31))</f>
        <v>30.12</v>
      </c>
      <c r="CV104" s="118">
        <f t="array" ref="CV104">VARP(IF(INDEX(properties!A$1:CB$87,'Fórmula'!B104,31)&lt;&gt;"",INDEX(properties!A$1:CB$87,'Fórmula'!B104,31)),IF(INDEX(properties!A$1:CB$87,'Fórmula'!D104,31)&lt;&gt;"",INDEX(properties!A$1:CB$87,'Fórmula'!D104,31)),IF(INDEX(properties!A$1:CB$87,'Fórmula'!F104,31)&lt;&gt;"",INDEX(properties!A$1:CB$87,'Fórmula'!F104,31)),IF(INDEX(properties!A$1:CB$87,'Fórmula'!H104,31)&lt;&gt;"",INDEX(properties!A$1:CB$87,'Fórmula'!H104,31)),IF(INDEX(properties!A$1:CB$87,'Fórmula'!J104,31)&lt;&gt;"",INDEX(properties!A$1:CB$87,'Fórmula'!J104,31)))</f>
        <v>1.320104</v>
      </c>
      <c r="CW104" s="118">
        <f t="array" ref="CW104">MAX(INDEX(properties!A$1:CB$87,'Fórmula'!B104,31),INDEX(properties!A$1:CB$87,'Fórmula'!D104,31),INDEX(properties!A$1:CB$87,'Fórmula'!F104,31),INDEX(properties!A$1:CB$87,'Fórmula'!H104,31),INDEX(properties!A$1:CB$87,'Fórmula'!J104,31))</f>
        <v>3.32</v>
      </c>
      <c r="CX104" s="118">
        <f t="array" ref="CX104">MIN(IF(INDEX(properties!A$1:CB$87,'Fórmula'!B104,31)=0,10^6,INDEX(properties!A$1:CB$87,'Fórmula'!B104,31)),IF(INDEX(properties!A$1:CB$87,'Fórmula'!D104,31)=0,10^6,INDEX(properties!A$1:CB$87,'Fórmula'!D104,31)),IF(INDEX(properties!A$1:CB$87,'Fórmula'!F104,31)=0,10^6,INDEX(properties!A$1:CB$87,'Fórmula'!F104,31)),IF(INDEX(properties!A$1:CB$87,'Fórmula'!H104,31)=0,10^6,INDEX(properties!A$1:CB$87,'Fórmula'!H104,31)),IF(INDEX(properties!A$1:CB$87,'Fórmula'!J104,31)=0,10^6,INDEX(properties!A$1:CB$87,'Fórmula'!J104,31)))</f>
        <v>0.89</v>
      </c>
      <c r="CY104" s="118">
        <f t="shared" si="17"/>
        <v>2.43</v>
      </c>
      <c r="CZ104" s="119">
        <f t="array" ref="CZ104">(('Fórmula'!C104)/('Fórmula'!C104+'Fórmula'!E104+'Fórmula'!G104+'Fórmula'!I104+'Fórmula'!K104))*(INDEX(properties!A$1:CB$87,'Fórmula'!B104,32))+(('Fórmula'!E104)/('Fórmula'!C104+'Fórmula'!E104+'Fórmula'!G104+'Fórmula'!I104+'Fórmula'!K104))*(INDEX(properties!A$1:CB$87,'Fórmula'!D104,32))+(('Fórmula'!G104)/('Fórmula'!C104+'Fórmula'!E104+'Fórmula'!G104+'Fórmula'!I104+'Fórmula'!K104))*(INDEX(properties!A$1:CB$87,'Fórmula'!F104,32))+(('Fórmula'!I104)/('Fórmula'!C104+'Fórmula'!E104+'Fórmula'!G104+'Fórmula'!I104+'Fórmula'!K104))*(INDEX(properties!A$1:CB$87,'Fórmula'!H104,32))+(('Fórmula'!K104)/('Fórmula'!C104+'Fórmula'!E104+'Fórmula'!G104+'Fórmula'!I104+'Fórmula'!K104))*(INDEX(properties!A$1:CB$87,'Fórmula'!J104,32))</f>
        <v>6.360909091</v>
      </c>
      <c r="DA104" s="119">
        <f t="array" ref="DA104">'Fórmula'!C104*(INDEX(properties!A$1:CB$87,'Fórmula'!B104,32))+'Fórmula'!E104*(INDEX(properties!A$1:CB$87,'Fórmula'!D104,32))+'Fórmula'!G104*(INDEX(properties!A$1:CB$87,'Fórmula'!F104,32))+'Fórmula'!I104*(INDEX(properties!A$1:CB$87,'Fórmula'!H104,32))+'Fórmula'!K104*(INDEX(properties!A$1:CB$87,'Fórmula'!J104,32))</f>
        <v>69.97</v>
      </c>
      <c r="DB104" s="119">
        <f t="array" ref="DB104">VARP(IF(INDEX(properties!A$1:CB$87,'Fórmula'!B104,32)&lt;&gt;"",INDEX(properties!A$1:CB$87,'Fórmula'!B104,32)),IF(INDEX(properties!A$1:CB$87,'Fórmula'!D104,32)&lt;&gt;"",INDEX(properties!A$1:CB$87,'Fórmula'!D104,32)),IF(INDEX(properties!A$1:CB$87,'Fórmula'!F104,32)&lt;&gt;"",INDEX(properties!A$1:CB$87,'Fórmula'!F104,32)),IF(INDEX(properties!A$1:CB$87,'Fórmula'!H104,32)&lt;&gt;"",INDEX(properties!A$1:CB$87,'Fórmula'!H104,32)),IF(INDEX(properties!A$1:CB$87,'Fórmula'!J104,32)&lt;&gt;"",INDEX(properties!A$1:CB$87,'Fórmula'!J104,32)))</f>
        <v>6.626016</v>
      </c>
      <c r="DC104" s="119">
        <f t="array" ref="DC104">MAX(INDEX(properties!A$1:CB$87,'Fórmula'!B104,32),INDEX(properties!A$1:CB$87,'Fórmula'!D104,32),INDEX(properties!A$1:CB$87,'Fórmula'!F104,32),INDEX(properties!A$1:CB$87,'Fórmula'!H104,32),INDEX(properties!A$1:CB$87,'Fórmula'!J104,32))</f>
        <v>7.54</v>
      </c>
      <c r="DD104" s="119">
        <f t="array" ref="DD104">MIN(IF(INDEX(properties!A$1:CB$87,'Fórmula'!B104,32)=0,10^6,INDEX(properties!A$1:CB$87,'Fórmula'!B104,32)),IF(INDEX(properties!A$1:CB$87,'Fórmula'!D104,32)=0,10^6,INDEX(properties!A$1:CB$87,'Fórmula'!D104,32)),IF(INDEX(properties!A$1:CB$87,'Fórmula'!F104,32)=0,10^6,INDEX(properties!A$1:CB$87,'Fórmula'!F104,32)),IF(INDEX(properties!A$1:CB$87,'Fórmula'!H104,32)=0,10^6,INDEX(properties!A$1:CB$87,'Fórmula'!H104,32)),IF(INDEX(properties!A$1:CB$87,'Fórmula'!J104,32)=0,10^6,INDEX(properties!A$1:CB$87,'Fórmula'!J104,32)))</f>
        <v>2.85</v>
      </c>
      <c r="DE104" s="119">
        <f t="shared" si="18"/>
        <v>4.69</v>
      </c>
      <c r="DF104" s="104">
        <f t="array" ref="DF104">(('Fórmula'!C104)/('Fórmula'!C104+'Fórmula'!E104+'Fórmula'!G104+'Fórmula'!I104+'Fórmula'!K104))*(INDEX(properties!A$1:CB$87,'Fórmula'!B104,34))+(('Fórmula'!E104)/('Fórmula'!C104+'Fórmula'!E104+'Fórmula'!G104+'Fórmula'!I104+'Fórmula'!K104))*(INDEX(properties!A$1:CB$87,'Fórmula'!D104,34))+(('Fórmula'!G104)/('Fórmula'!C104+'Fórmula'!E104+'Fórmula'!G104+'Fórmula'!I104+'Fórmula'!K104))*(INDEX(properties!A$1:CB$87,'Fórmula'!F104,34))+(('Fórmula'!I104)/('Fórmula'!C104+'Fórmula'!E104+'Fórmula'!G104+'Fórmula'!I104+'Fórmula'!K104))*(INDEX(properties!A$1:CB$87,'Fórmula'!H104,34))+(('Fórmula'!K104)/('Fórmula'!C104+'Fórmula'!E104+'Fórmula'!G104+'Fórmula'!I104+'Fórmula'!K104))*(INDEX(properties!A$1:CB$87,'Fórmula'!J104,34))</f>
        <v>2.885</v>
      </c>
      <c r="DG104" s="104">
        <f t="array" ref="DG104">'Fórmula'!C104*(INDEX(properties!A$1:CB$87,'Fórmula'!B104,34))+'Fórmula'!E104*(INDEX(properties!A$1:CB$87,'Fórmula'!D104,34))+'Fórmula'!G104*(INDEX(properties!A$1:CB$87,'Fórmula'!F104,34))+'Fórmula'!I104*(INDEX(properties!A$1:CB$87,'Fórmula'!H104,34))+'Fórmula'!K104*(INDEX(properties!A$1:CB$87,'Fórmula'!J104,34))</f>
        <v>31.735</v>
      </c>
      <c r="DH104" s="104">
        <f t="array" ref="DH104">VARP(IF(INDEX(properties!A$1:CB$87,'Fórmula'!B104,34)&lt;&gt;"",INDEX(properties!A$1:CB$87,'Fórmula'!B104,34)),IF(INDEX(properties!A$1:CB$87,'Fórmula'!D104,34)&lt;&gt;"",INDEX(properties!A$1:CB$87,'Fórmula'!D104,34)),IF(INDEX(properties!A$1:CB$87,'Fórmula'!F104,34)&lt;&gt;"",INDEX(properties!A$1:CB$87,'Fórmula'!F104,34)),IF(INDEX(properties!A$1:CB$87,'Fórmula'!H104,34)&lt;&gt;"",INDEX(properties!A$1:CB$87,'Fórmula'!H104,34)),IF(INDEX(properties!A$1:CB$87,'Fórmula'!J104,34)&lt;&gt;"",INDEX(properties!A$1:CB$87,'Fórmula'!J104,34)))</f>
        <v>1.56292664</v>
      </c>
      <c r="DI104" s="104">
        <f t="array" ref="DI104">MAX(INDEX(properties!A$1:CB$87,'Fórmula'!B104,34),INDEX(properties!A$1:CB$87,'Fórmula'!D104,34),INDEX(properties!A$1:CB$87,'Fórmula'!F104,34),INDEX(properties!A$1:CB$87,'Fórmula'!H104,34),INDEX(properties!A$1:CB$87,'Fórmula'!J104,34))</f>
        <v>3.61</v>
      </c>
      <c r="DJ104" s="104">
        <f t="array" ref="DJ104">MIN(IF(INDEX(properties!A$1:CB$87,'Fórmula'!B104,34)=0,10^6,INDEX(properties!A$1:CB$87,'Fórmula'!B104,34)),IF(INDEX(properties!A$1:CB$87,'Fórmula'!D104,34)=0,10^6,INDEX(properties!A$1:CB$87,'Fórmula'!D104,34)),IF(INDEX(properties!A$1:CB$87,'Fórmula'!F104,34)=0,10^6,INDEX(properties!A$1:CB$87,'Fórmula'!F104,34)),IF(INDEX(properties!A$1:CB$87,'Fórmula'!H104,34)=0,10^6,INDEX(properties!A$1:CB$87,'Fórmula'!H104,34)),IF(INDEX(properties!A$1:CB$87,'Fórmula'!J104,34)=0,10^6,INDEX(properties!A$1:CB$87,'Fórmula'!J104,34)))</f>
        <v>0.869</v>
      </c>
      <c r="DK104" s="104">
        <f t="shared" si="19"/>
        <v>2.741</v>
      </c>
      <c r="DL104" s="105">
        <f t="array" ref="DL104">(('Fórmula'!C104)/('Fórmula'!C104+'Fórmula'!E104+'Fórmula'!G104+'Fórmula'!I104+'Fórmula'!K104))*(INDEX(properties!A$1:CB$87,'Fórmula'!B104,37))+(('Fórmula'!E104)/('Fórmula'!C104+'Fórmula'!E104+'Fórmula'!G104+'Fórmula'!I104+'Fórmula'!K104))*(INDEX(properties!A$1:CB$87,'Fórmula'!D104,37))+(('Fórmula'!G104)/('Fórmula'!C104+'Fórmula'!E104+'Fórmula'!G104+'Fórmula'!I104+'Fórmula'!K104))*(INDEX(properties!A$1:CB$87,'Fórmula'!F104,37))+(('Fórmula'!I104)/('Fórmula'!C104+'Fórmula'!E104+'Fórmula'!G104+'Fórmula'!I104+'Fórmula'!K104))*(INDEX(properties!A$1:CB$87,'Fórmula'!H104,37))+(('Fórmula'!K104)/('Fórmula'!C104+'Fórmula'!E104+'Fórmula'!G104+'Fórmula'!I104+'Fórmula'!K104))*(INDEX(properties!A$1:CB$87,'Fórmula'!J104,37))</f>
        <v>2.768181818</v>
      </c>
      <c r="DM104" s="105">
        <f t="array" ref="DM104">'Fórmula'!C104*(INDEX(properties!A$1:CB$87,'Fórmula'!B104,37))+'Fórmula'!E104*(INDEX(properties!A$1:CB$87,'Fórmula'!D104,37))+'Fórmula'!G104*(INDEX(properties!A$1:CB$87,'Fórmula'!F104,37))+'Fórmula'!I104*(INDEX(properties!A$1:CB$87,'Fórmula'!H104,37))+'Fórmula'!K104*(INDEX(properties!A$1:CB$87,'Fórmula'!J104,37))</f>
        <v>30.45</v>
      </c>
      <c r="DN104" s="105">
        <f t="array" ref="DN104">VARP(IF(INDEX(properties!A$1:CB$87,'Fórmula'!B104,37)&lt;&gt;"",INDEX(properties!A$1:CB$87,'Fórmula'!B104,37)),IF(INDEX(properties!A$1:CB$87,'Fórmula'!D104,37)&lt;&gt;"",INDEX(properties!A$1:CB$87,'Fórmula'!D104,37)),IF(INDEX(properties!A$1:CB$87,'Fórmula'!F104,37)&lt;&gt;"",INDEX(properties!A$1:CB$87,'Fórmula'!F104,37)),IF(INDEX(properties!A$1:CB$87,'Fórmula'!H104,37)&lt;&gt;"",INDEX(properties!A$1:CB$87,'Fórmula'!H104,37)),IF(INDEX(properties!A$1:CB$87,'Fórmula'!J104,37)&lt;&gt;"",INDEX(properties!A$1:CB$87,'Fórmula'!J104,37)))</f>
        <v>1.3716</v>
      </c>
      <c r="DO104" s="105">
        <f t="array" ref="DO104">MAX(INDEX(properties!A$1:CB$87,'Fórmula'!B104,37),INDEX(properties!A$1:CB$87,'Fórmula'!D104,37),INDEX(properties!A$1:CB$87,'Fórmula'!F104,37),INDEX(properties!A$1:CB$87,'Fórmula'!H104,37),INDEX(properties!A$1:CB$87,'Fórmula'!J104,37))</f>
        <v>3.45</v>
      </c>
      <c r="DP104" s="105">
        <f t="array" ref="DP104">MIN(IF(INDEX(properties!A$1:CB$87,'Fórmula'!B104,37)=0,10^6,INDEX(properties!A$1:CB$87,'Fórmula'!B104,37)),IF(INDEX(properties!A$1:CB$87,'Fórmula'!D104,37)=0,10^6,INDEX(properties!A$1:CB$87,'Fórmula'!D104,37)),IF(INDEX(properties!A$1:CB$87,'Fórmula'!F104,37)=0,10^6,INDEX(properties!A$1:CB$87,'Fórmula'!F104,37)),IF(INDEX(properties!A$1:CB$87,'Fórmula'!H104,37)=0,10^6,INDEX(properties!A$1:CB$87,'Fórmula'!H104,37)),IF(INDEX(properties!A$1:CB$87,'Fórmula'!J104,37)=0,10^6,INDEX(properties!A$1:CB$87,'Fórmula'!J104,37)))</f>
        <v>0.9</v>
      </c>
      <c r="DQ104" s="105">
        <f t="shared" si="20"/>
        <v>2.55</v>
      </c>
      <c r="DR104" s="109">
        <f t="array" ref="DR104">(('Fórmula'!C104)/('Fórmula'!C104+'Fórmula'!E104+'Fórmula'!G104+'Fórmula'!I104+'Fórmula'!K104))*(INDEX(properties!A$1:CB$87,'Fórmula'!B104,39))+(('Fórmula'!E104)/('Fórmula'!C104+'Fórmula'!E104+'Fórmula'!G104+'Fórmula'!I104+'Fórmula'!K104))*(INDEX(properties!A$1:CB$87,'Fórmula'!D104,39))+(('Fórmula'!G104)/('Fórmula'!C104+'Fórmula'!E104+'Fórmula'!G104+'Fórmula'!I104+'Fórmula'!K104))*(INDEX(properties!A$1:CB$87,'Fórmula'!F104,39))+(('Fórmula'!I104)/('Fórmula'!C104+'Fórmula'!E104+'Fórmula'!G104+'Fórmula'!I104+'Fórmula'!K104))*(INDEX(properties!A$1:CB$87,'Fórmula'!H104,39))+(('Fórmula'!K104)/('Fórmula'!C104+'Fórmula'!E104+'Fórmula'!G104+'Fórmula'!I104+'Fórmula'!K104))*(INDEX(properties!A$1:CB$87,'Fórmula'!J104,39))</f>
        <v>0.8336363636</v>
      </c>
      <c r="DS104" s="109">
        <f t="array" ref="DS104">'Fórmula'!C104*(INDEX(properties!A$1:CB$87,'Fórmula'!B104,39))+'Fórmula'!E104*(INDEX(properties!A$1:CB$87,'Fórmula'!D104,39))+'Fórmula'!G104*(INDEX(properties!A$1:CB$87,'Fórmula'!F104,39))+'Fórmula'!I104*(INDEX(properties!A$1:CB$87,'Fórmula'!H104,39))+'Fórmula'!K104*(INDEX(properties!A$1:CB$87,'Fórmula'!J104,39))</f>
        <v>9.17</v>
      </c>
      <c r="DT104" s="109">
        <f t="array" ref="DT104">VARP(IF(INDEX(properties!A$1:CB$87,'Fórmula'!B104,39)&lt;&gt;"",INDEX(properties!A$1:CB$87,'Fórmula'!B104,39)),IF(INDEX(properties!A$1:CB$87,'Fórmula'!D104,39)&lt;&gt;"",INDEX(properties!A$1:CB$87,'Fórmula'!D104,39)),IF(INDEX(properties!A$1:CB$87,'Fórmula'!F104,39)&lt;&gt;"",INDEX(properties!A$1:CB$87,'Fórmula'!F104,39)),IF(INDEX(properties!A$1:CB$87,'Fórmula'!H104,39)&lt;&gt;"",INDEX(properties!A$1:CB$87,'Fórmula'!H104,39)),IF(INDEX(properties!A$1:CB$87,'Fórmula'!J104,39)&lt;&gt;"",INDEX(properties!A$1:CB$87,'Fórmula'!J104,39)))</f>
        <v>0.592816</v>
      </c>
      <c r="DU104" s="120">
        <f t="array" ref="DU104">MAX(INDEX(properties!A$1:CB$87,'Fórmula'!B104,39),INDEX(properties!A$1:CB$87,'Fórmula'!D104,39),INDEX(properties!A$1:CB$87,'Fórmula'!F104,39),INDEX(properties!A$1:CB$87,'Fórmula'!H104,39),INDEX(properties!A$1:CB$87,'Fórmula'!J104,39))</f>
        <v>1.95</v>
      </c>
      <c r="DV104" s="120">
        <f t="array" ref="DV104">MIN(IF(INDEX(properties!A$1:CB$87,'Fórmula'!B104,39)=0,10^6,INDEX(properties!A$1:CB$87,'Fórmula'!B104,39)),IF(INDEX(properties!A$1:CB$87,'Fórmula'!D104,39)=0,10^6,INDEX(properties!A$1:CB$87,'Fórmula'!D104,39)),IF(INDEX(properties!A$1:CB$87,'Fórmula'!F104,39)=0,10^6,INDEX(properties!A$1:CB$87,'Fórmula'!F104,39)),IF(INDEX(properties!A$1:CB$87,'Fórmula'!H104,39)=0,10^6,INDEX(properties!A$1:CB$87,'Fórmula'!H104,39)),IF(INDEX(properties!A$1:CB$87,'Fórmula'!J104,39)=0,10^6,INDEX(properties!A$1:CB$87,'Fórmula'!J104,39)))</f>
        <v>0.48</v>
      </c>
      <c r="DW104" s="109">
        <f t="shared" si="21"/>
        <v>1.47</v>
      </c>
      <c r="DX104" s="110">
        <f t="array" ref="DX104">(('Fórmula'!C104)/('Fórmula'!C104+'Fórmula'!E104+'Fórmula'!G104+'Fórmula'!I104+'Fórmula'!K104))*(INDEX(properties!A$1:CB$87,'Fórmula'!B104,40))+(('Fórmula'!E104)/('Fórmula'!C104+'Fórmula'!E104+'Fórmula'!G104+'Fórmula'!I104+'Fórmula'!K104))*(INDEX(properties!A$1:CB$87,'Fórmula'!D104,40))+(('Fórmula'!G104)/('Fórmula'!C104+'Fórmula'!E104+'Fórmula'!G104+'Fórmula'!I104+'Fórmula'!K104))*(INDEX(properties!A$1:CB$87,'Fórmula'!F104,40))+(('Fórmula'!I104)/('Fórmula'!C104+'Fórmula'!E104+'Fórmula'!G104+'Fórmula'!I104+'Fórmula'!K104))*(INDEX(properties!A$1:CB$87,'Fórmula'!H104,40))+(('Fórmula'!K104)/('Fórmula'!C104+'Fórmula'!E104+'Fórmula'!G104+'Fórmula'!I104+'Fórmula'!K104))*(INDEX(properties!A$1:CB$87,'Fórmula'!J104,40))</f>
        <v>0.9509090909</v>
      </c>
      <c r="DY104" s="110">
        <f t="array" ref="DY104">'Fórmula'!C104*(INDEX(properties!A$1:CB$87,'Fórmula'!B104,40))+'Fórmula'!E104*(INDEX(properties!A$1:CB$87,'Fórmula'!D104,40))+'Fórmula'!G104*(INDEX(properties!A$1:CB$87,'Fórmula'!F104,40))+'Fórmula'!I104*(INDEX(properties!A$1:CB$87,'Fórmula'!H104,40))+'Fórmula'!K104*(INDEX(properties!A$1:CB$87,'Fórmula'!J104,40))</f>
        <v>10.46</v>
      </c>
      <c r="DZ104" s="110">
        <f t="array" ref="DZ104">VARP(IF(INDEX(properties!A$1:CB$87,'Fórmula'!B104,40)&lt;&gt;"",INDEX(properties!A$1:CB$87,'Fórmula'!B104,40)),IF(INDEX(properties!A$1:CB$87,'Fórmula'!D104,40)&lt;&gt;"",INDEX(properties!A$1:CB$87,'Fórmula'!D104,40)),IF(INDEX(properties!A$1:CB$87,'Fórmula'!F104,40)&lt;&gt;"",INDEX(properties!A$1:CB$87,'Fórmula'!F104,40)),IF(INDEX(properties!A$1:CB$87,'Fórmula'!H104,40)&lt;&gt;"",INDEX(properties!A$1:CB$87,'Fórmula'!H104,40)),IF(INDEX(properties!A$1:CB$87,'Fórmula'!J104,40)&lt;&gt;"",INDEX(properties!A$1:CB$87,'Fórmula'!J104,40)))</f>
        <v>0.368824</v>
      </c>
      <c r="EA104" s="121">
        <f t="array" ref="EA104">MAX(INDEX(properties!A$1:CB$87,'Fórmula'!B104,40),INDEX(properties!A$1:CB$87,'Fórmula'!D104,40),INDEX(properties!A$1:CB$87,'Fórmula'!F104,40),INDEX(properties!A$1:CB$87,'Fórmula'!H104,40),INDEX(properties!A$1:CB$87,'Fórmula'!J104,40))</f>
        <v>1.69</v>
      </c>
      <c r="EB104" s="121">
        <f t="array" ref="EB104">MIN(IF(INDEX(properties!A$1:CB$87,'Fórmula'!B104,40)=0,10^6,INDEX(properties!A$1:CB$87,'Fórmula'!B104,40)),IF(INDEX(properties!A$1:CB$87,'Fórmula'!D104,40)=0,10^6,INDEX(properties!A$1:CB$87,'Fórmula'!D104,40)),IF(INDEX(properties!A$1:CB$87,'Fórmula'!F104,40)=0,10^6,INDEX(properties!A$1:CB$87,'Fórmula'!F104,40)),IF(INDEX(properties!A$1:CB$87,'Fórmula'!H104,40)=0,10^6,INDEX(properties!A$1:CB$87,'Fórmula'!H104,40)),IF(INDEX(properties!A$1:CB$87,'Fórmula'!J104,40)=0,10^6,INDEX(properties!A$1:CB$87,'Fórmula'!J104,40)))</f>
        <v>0.73</v>
      </c>
      <c r="EC104" s="110">
        <f t="shared" si="22"/>
        <v>0.96</v>
      </c>
      <c r="ED104" s="111">
        <f t="array" ref="ED104">(('Fórmula'!C104)/('Fórmula'!C104+'Fórmula'!E104+'Fórmula'!G104+'Fórmula'!I104+'Fórmula'!K104))*(INDEX(properties!A$1:CB$87,'Fórmula'!B104,41))+(('Fórmula'!E104)/('Fórmula'!C104+'Fórmula'!E104+'Fórmula'!G104+'Fórmula'!I104+'Fórmula'!K104))*(INDEX(properties!A$1:CB$87,'Fórmula'!D104,41))+(('Fórmula'!G104)/('Fórmula'!C104+'Fórmula'!E104+'Fórmula'!G104+'Fórmula'!I104+'Fórmula'!K104))*(INDEX(properties!A$1:CB$87,'Fórmula'!F104,41))+(('Fórmula'!I104)/('Fórmula'!C104+'Fórmula'!E104+'Fórmula'!G104+'Fórmula'!I104+'Fórmula'!K104))*(INDEX(properties!A$1:CB$87,'Fórmula'!H104,41))+(('Fórmula'!K104)/('Fórmula'!C104+'Fórmula'!E104+'Fórmula'!G104+'Fórmula'!I104+'Fórmula'!K104))*(INDEX(properties!A$1:CB$87,'Fórmula'!J104,41))</f>
        <v>1.119090909</v>
      </c>
      <c r="EE104" s="111">
        <f t="array" ref="EE104">'Fórmula'!C104*(INDEX(properties!A$1:CB$87,'Fórmula'!B104,41))+'Fórmula'!E104*(INDEX(properties!A$1:CB$87,'Fórmula'!D104,41))+'Fórmula'!G104*(INDEX(properties!A$1:CB$87,'Fórmula'!F104,41))+'Fórmula'!I104*(INDEX(properties!A$1:CB$87,'Fórmula'!H104,41))+'Fórmula'!K104*(INDEX(properties!A$1:CB$87,'Fórmula'!J104,41))</f>
        <v>12.31</v>
      </c>
      <c r="EF104" s="111">
        <f t="array" ref="EF104">VARP(IF(INDEX(properties!A$1:CB$87,'Fórmula'!B104,41)&lt;&gt;"",INDEX(properties!A$1:CB$87,'Fórmula'!B104,41)),IF(INDEX(properties!A$1:CB$87,'Fórmula'!D104,41)&lt;&gt;"",INDEX(properties!A$1:CB$87,'Fórmula'!D104,41)),IF(INDEX(properties!A$1:CB$87,'Fórmula'!F104,41)&lt;&gt;"",INDEX(properties!A$1:CB$87,'Fórmula'!F104,41)),IF(INDEX(properties!A$1:CB$87,'Fórmula'!H104,41)&lt;&gt;"",INDEX(properties!A$1:CB$87,'Fórmula'!H104,41)),IF(INDEX(properties!A$1:CB$87,'Fórmula'!J104,41)&lt;&gt;"",INDEX(properties!A$1:CB$87,'Fórmula'!J104,41)))</f>
        <v>0.232144</v>
      </c>
      <c r="EG104" s="122">
        <f t="array" ref="EG104">MAX(INDEX(properties!A$1:CB$87,'Fórmula'!B104,41),INDEX(properties!A$1:CB$87,'Fórmula'!D104,41),INDEX(properties!A$1:CB$87,'Fórmula'!F104,41),INDEX(properties!A$1:CB$87,'Fórmula'!H104,41),INDEX(properties!A$1:CB$87,'Fórmula'!J104,41))</f>
        <v>1.26</v>
      </c>
      <c r="EH104" s="122">
        <f t="array" ref="EH104">MIN(IF(INDEX(properties!A$1:CB$87,'Fórmula'!B104,41)=0,10^6,INDEX(properties!A$1:CB$87,'Fórmula'!B104,41)),IF(INDEX(properties!A$1:CB$87,'Fórmula'!D104,41)=0,10^6,INDEX(properties!A$1:CB$87,'Fórmula'!D104,41)),IF(INDEX(properties!A$1:CB$87,'Fórmula'!F104,41)=0,10^6,INDEX(properties!A$1:CB$87,'Fórmula'!F104,41)),IF(INDEX(properties!A$1:CB$87,'Fórmula'!H104,41)=0,10^6,INDEX(properties!A$1:CB$87,'Fórmula'!H104,41)),IF(INDEX(properties!A$1:CB$87,'Fórmula'!J104,41)=0,10^6,INDEX(properties!A$1:CB$87,'Fórmula'!J104,41)))</f>
        <v>0.58</v>
      </c>
      <c r="EI104" s="111">
        <f t="shared" si="23"/>
        <v>0.68</v>
      </c>
      <c r="EJ104" s="112">
        <f t="array" ref="EJ104">(('Fórmula'!C104)/('Fórmula'!C104+'Fórmula'!E104+'Fórmula'!G104+'Fórmula'!I104+'Fórmula'!K104))*(INDEX(properties!A$1:CB$87,'Fórmula'!B104,45))+(('Fórmula'!E104)/('Fórmula'!C104+'Fórmula'!E104+'Fórmula'!G104+'Fórmula'!I104+'Fórmula'!K104))*(INDEX(properties!A$1:CB$87,'Fórmula'!D104,45))+(('Fórmula'!G104)/('Fórmula'!C104+'Fórmula'!E104+'Fórmula'!G104+'Fórmula'!I104+'Fórmula'!K104))*(INDEX(properties!A$1:CB$87,'Fórmula'!F104,45))+(('Fórmula'!I104)/('Fórmula'!C104+'Fórmula'!E104+'Fórmula'!G104+'Fórmula'!I104+'Fórmula'!K104))*(INDEX(properties!A$1:CB$87,'Fórmula'!H104,45))+(('Fórmula'!K104)/('Fórmula'!C104+'Fórmula'!E104+'Fórmula'!G104+'Fórmula'!I104+'Fórmula'!K104))*(INDEX(properties!A$1:CB$87,'Fórmula'!J104,45))</f>
        <v>1.045454545</v>
      </c>
      <c r="EK104" s="112">
        <f t="array" ref="EK104">'Fórmula'!C104*(INDEX(properties!A$1:CB$87,'Fórmula'!B104,45))+'Fórmula'!E104*(INDEX(properties!A$1:CB$87,'Fórmula'!D104,45))+'Fórmula'!G104*(INDEX(properties!A$1:CB$87,'Fórmula'!F104,45))+'Fórmula'!I104*(INDEX(properties!A$1:CB$87,'Fórmula'!H104,45))+'Fórmula'!K104*(INDEX(properties!A$1:CB$87,'Fórmula'!J104,45))</f>
        <v>11.5</v>
      </c>
      <c r="EL104" s="112">
        <f t="array" ref="EL104">VARP(IF(INDEX(properties!A$1:CB$87,'Fórmula'!B104,45)&lt;&gt;"",INDEX(properties!A$1:CB$87,'Fórmula'!B104,45)),IF(INDEX(properties!A$1:CB$87,'Fórmula'!D104,45)&lt;&gt;"",INDEX(properties!A$1:CB$87,'Fórmula'!D104,45)),IF(INDEX(properties!A$1:CB$87,'Fórmula'!F104,45)&lt;&gt;"",INDEX(properties!A$1:CB$87,'Fórmula'!F104,45)),IF(INDEX(properties!A$1:CB$87,'Fórmula'!H104,45)&lt;&gt;"",INDEX(properties!A$1:CB$87,'Fórmula'!H104,45)),IF(INDEX(properties!A$1:CB$87,'Fórmula'!J104,45)&lt;&gt;"",INDEX(properties!A$1:CB$87,'Fórmula'!J104,45)))</f>
        <v>1.439336</v>
      </c>
      <c r="EM104" s="123">
        <f t="array" ref="EM104">MAX(INDEX(properties!A$1:CB$87,'Fórmula'!B104,45),INDEX(properties!A$1:CB$87,'Fórmula'!D104,45),INDEX(properties!A$1:CB$87,'Fórmula'!F104,45),INDEX(properties!A$1:CB$87,'Fórmula'!H104,45),INDEX(properties!A$1:CB$87,'Fórmula'!J104,45))</f>
        <v>3.08</v>
      </c>
      <c r="EN104" s="123">
        <f t="array" ref="EN104">MIN(IF(INDEX(properties!A$1:CB$87,'Fórmula'!B104,45)=0,10^6,INDEX(properties!A$1:CB$87,'Fórmula'!B104,45)),IF(INDEX(properties!A$1:CB$87,'Fórmula'!D104,45)=0,10^6,INDEX(properties!A$1:CB$87,'Fórmula'!D104,45)),IF(INDEX(properties!A$1:CB$87,'Fórmula'!F104,45)=0,10^6,INDEX(properties!A$1:CB$87,'Fórmula'!F104,45)),IF(INDEX(properties!A$1:CB$87,'Fórmula'!H104,45)=0,10^6,INDEX(properties!A$1:CB$87,'Fórmula'!H104,45)),IF(INDEX(properties!A$1:CB$87,'Fórmula'!J104,45)=0,10^6,INDEX(properties!A$1:CB$87,'Fórmula'!J104,45)))</f>
        <v>0.47</v>
      </c>
      <c r="EO104" s="112">
        <f t="shared" si="24"/>
        <v>2.61</v>
      </c>
      <c r="EP104" s="113">
        <f t="array" ref="EP104">(('Fórmula'!C104)/('Fórmula'!C104+'Fórmula'!E104+'Fórmula'!G104+'Fórmula'!I104+'Fórmula'!K104))*(INDEX(properties!A$1:CB$87,'Fórmula'!B104,46))+(('Fórmula'!E104)/('Fórmula'!C104+'Fórmula'!E104+'Fórmula'!G104+'Fórmula'!I104+'Fórmula'!K104))*(INDEX(properties!A$1:CB$87,'Fórmula'!D104,46))+(('Fórmula'!G104)/('Fórmula'!C104+'Fórmula'!E104+'Fórmula'!G104+'Fórmula'!I104+'Fórmula'!K104))*(INDEX(properties!A$1:CB$87,'Fórmula'!F104,46))+(('Fórmula'!I104)/('Fórmula'!C104+'Fórmula'!E104+'Fórmula'!G104+'Fórmula'!I104+'Fórmula'!K104))*(INDEX(properties!A$1:CB$87,'Fórmula'!H104,46))+(('Fórmula'!K104)/('Fórmula'!C104+'Fórmula'!E104+'Fórmula'!G104+'Fórmula'!I104+'Fórmula'!K104))*(INDEX(properties!A$1:CB$87,'Fórmula'!J104,46))</f>
        <v>1.055454545</v>
      </c>
      <c r="EQ104" s="113">
        <f t="array" ref="EQ104">'Fórmula'!C104*(INDEX(properties!A$1:CB$87,'Fórmula'!B104,46))+'Fórmula'!E104*(INDEX(properties!A$1:CB$87,'Fórmula'!D104,46))+'Fórmula'!G104*(INDEX(properties!A$1:CB$87,'Fórmula'!F104,46))+'Fórmula'!I104*(INDEX(properties!A$1:CB$87,'Fórmula'!H104,46))+'Fórmula'!K104*(INDEX(properties!A$1:CB$87,'Fórmula'!J104,46))</f>
        <v>11.61</v>
      </c>
      <c r="ER104" s="113">
        <f t="array" ref="ER104">VARP(IF(INDEX(properties!A$1:CB$87,'Fórmula'!B104,46)&lt;&gt;"",INDEX(properties!A$1:CB$87,'Fórmula'!B104,46)),IF(INDEX(properties!A$1:CB$87,'Fórmula'!D104,46)&lt;&gt;"",INDEX(properties!A$1:CB$87,'Fórmula'!D104,46)),IF(INDEX(properties!A$1:CB$87,'Fórmula'!F104,46)&lt;&gt;"",INDEX(properties!A$1:CB$87,'Fórmula'!F104,46)),IF(INDEX(properties!A$1:CB$87,'Fórmula'!H104,46)&lt;&gt;"",INDEX(properties!A$1:CB$87,'Fórmula'!H104,46)),IF(INDEX(properties!A$1:CB$87,'Fórmula'!J104,46)&lt;&gt;"",INDEX(properties!A$1:CB$87,'Fórmula'!J104,46)))</f>
        <v>0.298216</v>
      </c>
      <c r="ES104" s="124">
        <f t="array" ref="ES104">MAX(INDEX(properties!A$1:CB$87,'Fórmula'!B104,46),INDEX(properties!A$1:CB$87,'Fórmula'!D104,46),INDEX(properties!A$1:CB$87,'Fórmula'!F104,46),INDEX(properties!A$1:CB$87,'Fórmula'!H104,46),INDEX(properties!A$1:CB$87,'Fórmula'!J104,46))</f>
        <v>1.36</v>
      </c>
      <c r="ET104" s="124">
        <f t="array" ref="ET104">MIN(IF(INDEX(properties!A$1:CB$87,'Fórmula'!B104,46)=0,10^6,INDEX(properties!A$1:CB$87,'Fórmula'!B104,46)),IF(INDEX(properties!A$1:CB$87,'Fórmula'!D104,46)=0,10^6,INDEX(properties!A$1:CB$87,'Fórmula'!D104,46)),IF(INDEX(properties!A$1:CB$87,'Fórmula'!F104,46)=0,10^6,INDEX(properties!A$1:CB$87,'Fórmula'!F104,46)),IF(INDEX(properties!A$1:CB$87,'Fórmula'!H104,46)=0,10^6,INDEX(properties!A$1:CB$87,'Fórmula'!H104,46)),IF(INDEX(properties!A$1:CB$87,'Fórmula'!J104,46)=0,10^6,INDEX(properties!A$1:CB$87,'Fórmula'!J104,46)))</f>
        <v>0.31</v>
      </c>
      <c r="EU104" s="113">
        <f t="shared" si="25"/>
        <v>1.05</v>
      </c>
      <c r="EV104" s="114">
        <f t="array" ref="EV104">(('Fórmula'!C104)/('Fórmula'!C104+'Fórmula'!E104+'Fórmula'!G104+'Fórmula'!I104+'Fórmula'!K104))*(INDEX(properties!A$1:CB$87,'Fórmula'!B104,52))+(('Fórmula'!E104)/('Fórmula'!C104+'Fórmula'!E104+'Fórmula'!G104+'Fórmula'!I104+'Fórmula'!K104))*(INDEX(properties!A$1:CB$87,'Fórmula'!D104,52))+(('Fórmula'!G104)/('Fórmula'!C104+'Fórmula'!E104+'Fórmula'!G104+'Fórmula'!I104+'Fórmula'!K104))*(INDEX(properties!A$1:CB$87,'Fórmula'!F104,52))+(('Fórmula'!I104)/('Fórmula'!C104+'Fórmula'!E104+'Fórmula'!G104+'Fórmula'!I104+'Fórmula'!K104))*(INDEX(properties!A$1:CB$87,'Fórmula'!H104,52))+(('Fórmula'!K104)/('Fórmula'!C104+'Fórmula'!E104+'Fórmula'!G104+'Fórmula'!I104+'Fórmula'!K104))*(INDEX(properties!A$1:CB$87,'Fórmula'!J104,52))</f>
        <v>6.131909091</v>
      </c>
      <c r="EW104" s="114">
        <f t="array" ref="EW104">'Fórmula'!C104*(INDEX(properties!A$1:CB$87,'Fórmula'!B104,52))+'Fórmula'!E104*(INDEX(properties!A$1:CB$87,'Fórmula'!D104,52))+'Fórmula'!G104*(INDEX(properties!A$1:CB$87,'Fórmula'!F104,52))+'Fórmula'!I104*(INDEX(properties!A$1:CB$87,'Fórmula'!H104,52))+'Fórmula'!K104*(INDEX(properties!A$1:CB$87,'Fórmula'!J104,52))</f>
        <v>67.451</v>
      </c>
      <c r="EX104" s="114">
        <f t="array" ref="EX104">VARP(IF(INDEX(properties!A$1:CB$87,'Fórmula'!B104,52)&lt;&gt;"",INDEX(properties!A$1:CB$87,'Fórmula'!B104,52)),IF(INDEX(properties!A$1:CB$87,'Fórmula'!D104,52)&lt;&gt;"",INDEX(properties!A$1:CB$87,'Fórmula'!D104,52)),IF(INDEX(properties!A$1:CB$87,'Fórmula'!F104,52)&lt;&gt;"",INDEX(properties!A$1:CB$87,'Fórmula'!F104,52)),IF(INDEX(properties!A$1:CB$87,'Fórmula'!H104,52)&lt;&gt;"",INDEX(properties!A$1:CB$87,'Fórmula'!H104,52)),IF(INDEX(properties!A$1:CB$87,'Fórmula'!J104,52)&lt;&gt;"",INDEX(properties!A$1:CB$87,'Fórmula'!J104,52)))</f>
        <v>167.8724638</v>
      </c>
      <c r="EY104" s="114">
        <f t="array" ref="EY104">MAX(INDEX(properties!A$1:CB$87,'Fórmula'!B104,52),INDEX(properties!A$1:CB$87,'Fórmula'!D104,52),INDEX(properties!A$1:CB$87,'Fórmula'!F104,52),INDEX(properties!A$1:CB$87,'Fórmula'!H104,52),INDEX(properties!A$1:CB$87,'Fórmula'!J104,52))</f>
        <v>31.1</v>
      </c>
      <c r="EZ104" s="114">
        <f t="array" ref="EZ104">MIN(IF(INDEX(properties!A$1:CB$87,'Fórmula'!B104,52)=0,10^6,INDEX(properties!A$1:CB$87,'Fórmula'!B104,52)),IF(INDEX(properties!A$1:CB$87,'Fórmula'!D104,52)=0,10^6,INDEX(properties!A$1:CB$87,'Fórmula'!D104,52)),IF(INDEX(properties!A$1:CB$87,'Fórmula'!F104,52)=0,10^6,INDEX(properties!A$1:CB$87,'Fórmula'!F104,52)),IF(INDEX(properties!A$1:CB$87,'Fórmula'!H104,52)=0,10^6,INDEX(properties!A$1:CB$87,'Fórmula'!H104,52)),IF(INDEX(properties!A$1:CB$87,'Fórmula'!J104,52)=0,10^6,INDEX(properties!A$1:CB$87,'Fórmula'!J104,52)))</f>
        <v>0.793</v>
      </c>
      <c r="FA104" s="114">
        <f t="shared" si="26"/>
        <v>30.307</v>
      </c>
      <c r="FB104" s="115">
        <f t="array" ref="FB104">(('Fórmula'!C104)/('Fórmula'!C104+'Fórmula'!E104+'Fórmula'!G104+'Fórmula'!I104+'Fórmula'!K104))*(INDEX(properties!A$1:CB$87,'Fórmula'!B104,53))+(('Fórmula'!E104)/('Fórmula'!C104+'Fórmula'!E104+'Fórmula'!G104+'Fórmula'!I104+'Fórmula'!K104))*(INDEX(properties!A$1:CB$87,'Fórmula'!D104,53))+(('Fórmula'!G104)/('Fórmula'!C104+'Fórmula'!E104+'Fórmula'!G104+'Fórmula'!I104+'Fórmula'!K104))*(INDEX(properties!A$1:CB$87,'Fórmula'!F104,53))+(('Fórmula'!I104)/('Fórmula'!C104+'Fórmula'!E104+'Fórmula'!G104+'Fórmula'!I104+'Fórmula'!K104))*(INDEX(properties!A$1:CB$87,'Fórmula'!H104,53))+(('Fórmula'!K104)/('Fórmula'!C104+'Fórmula'!E104+'Fórmula'!G104+'Fórmula'!I104+'Fórmula'!K104))*(INDEX(properties!A$1:CB$87,'Fórmula'!J104,53))</f>
        <v>234.7136364</v>
      </c>
      <c r="FC104" s="115">
        <f t="array" ref="FC104">'Fórmula'!C104*(INDEX(properties!A$1:CB$87,'Fórmula'!B104,53))+'Fórmula'!E104*(INDEX(properties!A$1:CB$87,'Fórmula'!D104,53))+'Fórmula'!G104*(INDEX(properties!A$1:CB$87,'Fórmula'!F104,53))+'Fórmula'!I104*(INDEX(properties!A$1:CB$87,'Fórmula'!H104,53))+'Fórmula'!K104*(INDEX(properties!A$1:CB$87,'Fórmula'!J104,53))</f>
        <v>2581.85</v>
      </c>
      <c r="FD104" s="115">
        <f t="array" ref="FD104">VARP(IF(INDEX(properties!A$1:CB$87,'Fórmula'!B104,53)&lt;&gt;"",INDEX(properties!A$1:CB$87,'Fórmula'!B104,53)),IF(INDEX(properties!A$1:CB$87,'Fórmula'!D104,53)&lt;&gt;"",INDEX(properties!A$1:CB$87,'Fórmula'!D104,53)),IF(INDEX(properties!A$1:CB$87,'Fórmula'!F104,53)&lt;&gt;"",INDEX(properties!A$1:CB$87,'Fórmula'!F104,53)),IF(INDEX(properties!A$1:CB$87,'Fórmula'!H104,53)&lt;&gt;"",INDEX(properties!A$1:CB$87,'Fórmula'!H104,53)),IF(INDEX(properties!A$1:CB$87,'Fórmula'!J104,53)&lt;&gt;"",INDEX(properties!A$1:CB$87,'Fórmula'!J104,53)))</f>
        <v>183031.8616</v>
      </c>
      <c r="FE104" s="115">
        <f t="array" ref="FE104">MAX(INDEX(properties!A$1:CB$87,'Fórmula'!B104,53),INDEX(properties!A$1:CB$87,'Fórmula'!D104,53),INDEX(properties!A$1:CB$87,'Fórmula'!F104,53),INDEX(properties!A$1:CB$87,'Fórmula'!H104,53),INDEX(properties!A$1:CB$87,'Fórmula'!J104,53))</f>
        <v>1193.15</v>
      </c>
      <c r="FF104" s="115">
        <f t="array" ref="FF104">MIN(IF(INDEX(properties!A$1:CB$87,'Fórmula'!B104,53)=0,10^6,INDEX(properties!A$1:CB$87,'Fórmula'!B104,53)),IF(INDEX(properties!A$1:CB$87,'Fórmula'!D104,53)=0,10^6,INDEX(properties!A$1:CB$87,'Fórmula'!D104,53)),IF(INDEX(properties!A$1:CB$87,'Fórmula'!F104,53)=0,10^6,INDEX(properties!A$1:CB$87,'Fórmula'!F104,53)),IF(INDEX(properties!A$1:CB$87,'Fórmula'!H104,53)=0,10^6,INDEX(properties!A$1:CB$87,'Fórmula'!H104,53)),IF(INDEX(properties!A$1:CB$87,'Fórmula'!J104,53)=0,10^6,INDEX(properties!A$1:CB$87,'Fórmula'!J104,53)))</f>
        <v>54.75</v>
      </c>
      <c r="FG104" s="115">
        <f t="shared" si="27"/>
        <v>1138.4</v>
      </c>
      <c r="FH104" s="117">
        <f t="array" ref="FH104">(('Fórmula'!C104)/('Fórmula'!C104+'Fórmula'!E104+'Fórmula'!G104+'Fórmula'!I104+'Fórmula'!K104))*(INDEX(properties!A$1:CB$87,'Fórmula'!B104,54))+(('Fórmula'!E104)/('Fórmula'!C104+'Fórmula'!E104+'Fórmula'!G104+'Fórmula'!I104+'Fórmula'!K104))*(INDEX(properties!A$1:CB$87,'Fórmula'!D104,54))+(('Fórmula'!G104)/('Fórmula'!C104+'Fórmula'!E104+'Fórmula'!G104+'Fórmula'!I104+'Fórmula'!K104))*(INDEX(properties!A$1:CB$87,'Fórmula'!F104,54))+(('Fórmula'!I104)/('Fórmula'!C104+'Fórmula'!E104+'Fórmula'!G104+'Fórmula'!I104+'Fórmula'!K104))*(INDEX(properties!A$1:CB$87,'Fórmula'!H104,54))+(('Fórmula'!K104)/('Fórmula'!C104+'Fórmula'!E104+'Fórmula'!G104+'Fórmula'!I104+'Fórmula'!K104))*(INDEX(properties!A$1:CB$87,'Fórmula'!J104,54))</f>
        <v>601.8772727</v>
      </c>
      <c r="FI104" s="117">
        <f t="array" ref="FI104">'Fórmula'!C104*(INDEX(properties!A$1:CB$87,'Fórmula'!B104,54))+'Fórmula'!E104*(INDEX(properties!A$1:CB$87,'Fórmula'!D104,54))+'Fórmula'!G104*(INDEX(properties!A$1:CB$87,'Fórmula'!F104,54))+'Fórmula'!I104*(INDEX(properties!A$1:CB$87,'Fórmula'!H104,54))+'Fórmula'!K104*(INDEX(properties!A$1:CB$87,'Fórmula'!J104,54))</f>
        <v>6620.65</v>
      </c>
      <c r="FJ104" s="117">
        <f t="array" ref="FJ104">VARP(IF(INDEX(properties!A$1:CB$87,'Fórmula'!B104,54)&lt;&gt;"",INDEX(properties!A$1:CB$87,'Fórmula'!B104,54)),IF(INDEX(properties!A$1:CB$87,'Fórmula'!D104,54)&lt;&gt;"",INDEX(properties!A$1:CB$87,'Fórmula'!D104,54)),IF(INDEX(properties!A$1:CB$87,'Fórmula'!F104,54)&lt;&gt;"",INDEX(properties!A$1:CB$87,'Fórmula'!F104,54)),IF(INDEX(properties!A$1:CB$87,'Fórmula'!H104,54)&lt;&gt;"",INDEX(properties!A$1:CB$87,'Fórmula'!H104,54)),IF(INDEX(properties!A$1:CB$87,'Fórmula'!J104,54)&lt;&gt;"",INDEX(properties!A$1:CB$87,'Fórmula'!J104,54)))</f>
        <v>1886754.076</v>
      </c>
      <c r="FK104" s="117">
        <f t="array" ref="FK104">MAX(INDEX(properties!A$1:CB$87,'Fórmula'!B104,54),INDEX(properties!A$1:CB$87,'Fórmula'!D104,54),INDEX(properties!A$1:CB$87,'Fórmula'!F104,54),INDEX(properties!A$1:CB$87,'Fórmula'!H104,54),INDEX(properties!A$1:CB$87,'Fórmula'!J104,54))</f>
        <v>3727.15</v>
      </c>
      <c r="FL104" s="117">
        <f t="array" ref="FL104">MIN(IF(INDEX(properties!A$1:CB$87,'Fórmula'!B104,54)=0,10^6,INDEX(properties!A$1:CB$87,'Fórmula'!B104,54)),IF(INDEX(properties!A$1:CB$87,'Fórmula'!D104,54)=0,10^6,INDEX(properties!A$1:CB$87,'Fórmula'!D104,54)),IF(INDEX(properties!A$1:CB$87,'Fórmula'!F104,54)=0,10^6,INDEX(properties!A$1:CB$87,'Fórmula'!F104,54)),IF(INDEX(properties!A$1:CB$87,'Fórmula'!H104,54)=0,10^6,INDEX(properties!A$1:CB$87,'Fórmula'!H104,54)),IF(INDEX(properties!A$1:CB$87,'Fórmula'!J104,54)=0,10^6,INDEX(properties!A$1:CB$87,'Fórmula'!J104,54)))</f>
        <v>90.15</v>
      </c>
      <c r="FM104" s="117">
        <f t="shared" si="28"/>
        <v>3637</v>
      </c>
      <c r="FN104" s="118">
        <f t="array" ref="FN104">(('Fórmula'!C104)/('Fórmula'!C104+'Fórmula'!E104+'Fórmula'!G104+'Fórmula'!I104+'Fórmula'!K104))*(INDEX(properties!A$1:CB$87,'Fórmula'!B104,55))+(('Fórmula'!E104)/('Fórmula'!C104+'Fórmula'!E104+'Fórmula'!G104+'Fórmula'!I104+'Fórmula'!K104))*(INDEX(properties!A$1:CB$87,'Fórmula'!D104,55))+(('Fórmula'!G104)/('Fórmula'!C104+'Fórmula'!E104+'Fórmula'!G104+'Fórmula'!I104+'Fórmula'!K104))*(INDEX(properties!A$1:CB$87,'Fórmula'!F104,55))+(('Fórmula'!I104)/('Fórmula'!C104+'Fórmula'!E104+'Fórmula'!G104+'Fórmula'!I104+'Fórmula'!K104))*(INDEX(properties!A$1:CB$87,'Fórmula'!H104,55))+(('Fórmula'!K104)/('Fórmula'!C104+'Fórmula'!E104+'Fórmula'!G104+'Fórmula'!I104+'Fórmula'!K104))*(INDEX(properties!A$1:CB$87,'Fórmula'!J104,55))</f>
        <v>0.9791827273</v>
      </c>
      <c r="FO104" s="118">
        <f t="array" ref="FO104">'Fórmula'!C104*(INDEX(properties!A$1:CB$87,'Fórmula'!B104,55))+'Fórmula'!E104*(INDEX(properties!A$1:CB$87,'Fórmula'!D104,54))+'Fórmula'!G104*(INDEX(properties!A$1:CB$87,'Fórmula'!F104,55))+'Fórmula'!I104*(INDEX(properties!A$1:CB$87,'Fórmula'!H104,55))+'Fórmula'!K104*(INDEX(properties!A$1:CB$87,'Fórmula'!J104,55))</f>
        <v>3731.77101</v>
      </c>
      <c r="FP104" s="118">
        <f t="array" ref="FP104">VARP(IF(INDEX(properties!A$1:CB$87,'Fórmula'!B104,55)&lt;&gt;"",INDEX(properties!A$1:CB$87,'Fórmula'!B104,55)),IF(INDEX(properties!A$1:CB$87,'Fórmula'!D104,55)&lt;&gt;"",INDEX(properties!A$1:CB$87,'Fórmula'!D104,55)),IF(INDEX(properties!A$1:CB$87,'Fórmula'!F104,55)&lt;&gt;"",INDEX(properties!A$1:CB$87,'Fórmula'!F104,55)),IF(INDEX(properties!A$1:CB$87,'Fórmula'!H104,55)&lt;&gt;"",INDEX(properties!A$1:CB$87,'Fórmula'!H104,55)),IF(INDEX(properties!A$1:CB$87,'Fórmula'!J104,55)&lt;&gt;"",INDEX(properties!A$1:CB$87,'Fórmula'!J104,55)))</f>
        <v>5.216866437</v>
      </c>
      <c r="FQ104" s="118">
        <f t="array" ref="FQ104">MAX(INDEX(properties!A$1:CB$87,'Fórmula'!B104,55),INDEX(properties!A$1:CB$87,'Fórmula'!D104,55),INDEX(properties!A$1:CB$87,'Fórmula'!F104,55),INDEX(properties!A$1:CB$87,'Fórmula'!H104,55),INDEX(properties!A$1:CB$87,'Fórmula'!J104,55))</f>
        <v>6.15</v>
      </c>
      <c r="FR104" s="118">
        <f t="array" ref="FR104">MIN(IF(INDEX(properties!A$1:CB$87,'Fórmula'!B104,55)=0,10^6,INDEX(properties!A$1:CB$87,'Fórmula'!B104,55)),IF(INDEX(properties!A$1:CB$87,'Fórmula'!D104,55)=0,10^6,INDEX(properties!A$1:CB$87,'Fórmula'!D104,55)),IF(INDEX(properties!A$1:CB$87,'Fórmula'!F104,55)=0,10^6,INDEX(properties!A$1:CB$87,'Fórmula'!F104,55)),IF(INDEX(properties!A$1:CB$87,'Fórmula'!H104,55)=0,10^6,INDEX(properties!A$1:CB$87,'Fórmula'!H104,55)),IF(INDEX(properties!A$1:CB$87,'Fórmula'!J104,55)=0,10^6,INDEX(properties!A$1:CB$87,'Fórmula'!J104,55)))</f>
        <v>0.00143</v>
      </c>
      <c r="FS104" s="118">
        <f t="shared" si="29"/>
        <v>6.14857</v>
      </c>
      <c r="FT104" s="119">
        <f t="array" ref="FT104">(('Fórmula'!C104)/('Fórmula'!C104+'Fórmula'!E104+'Fórmula'!G104+'Fórmula'!I104+'Fórmula'!K104))*(INDEX(properties!A$1:CB$87,'Fórmula'!B104,56))+(('Fórmula'!E104)/('Fórmula'!C104+'Fórmula'!E104+'Fórmula'!G104+'Fórmula'!I104+'Fórmula'!K104))*(INDEX(properties!A$1:CB$87,'Fórmula'!D104,56))+(('Fórmula'!G104)/('Fórmula'!C104+'Fórmula'!E104+'Fórmula'!G104+'Fórmula'!I104+'Fórmula'!K104))*(INDEX(properties!A$1:CB$87,'Fórmula'!F104,56))+(('Fórmula'!I104)/('Fórmula'!C104+'Fórmula'!E104+'Fórmula'!G104+'Fórmula'!I104+'Fórmula'!K104))*(INDEX(properties!A$1:CB$87,'Fórmula'!H104,56))+(('Fórmula'!K104)/('Fórmula'!C104+'Fórmula'!E104+'Fórmula'!G104+'Fórmula'!I104+'Fórmula'!K104))*(INDEX(properties!A$1:CB$87,'Fórmula'!J104,56))</f>
        <v>0.8545454545</v>
      </c>
      <c r="FU104" s="119">
        <f t="array" ref="FU104">'Fórmula'!C104*(INDEX(properties!A$1:CB$87,'Fórmula'!B104,56))+'Fórmula'!E104*(INDEX(properties!A$1:CB$87,'Fórmula'!D104,56))+'Fórmula'!G104*(INDEX(properties!A$1:CB$87,'Fórmula'!F104,56))+'Fórmula'!I104*(INDEX(properties!A$1:CB$87,'Fórmula'!H104,56))+'Fórmula'!K104*(INDEX(properties!A$1:CB$87,'Fórmula'!J104,56))</f>
        <v>9.4</v>
      </c>
      <c r="FV104" s="119">
        <f t="array" ref="FV104">VARP(IF(INDEX(properties!A$1:CB$87,'Fórmula'!B104,56)&lt;&gt;"",INDEX(properties!A$1:CB$87,'Fórmula'!B104,56)),IF(INDEX(properties!A$1:CB$87,'Fórmula'!D104,56)&lt;&gt;"",INDEX(properties!A$1:CB$87,'Fórmula'!D104,56)),IF(INDEX(properties!A$1:CB$87,'Fórmula'!F104,56)&lt;&gt;"",INDEX(properties!A$1:CB$87,'Fórmula'!F104,56)),IF(INDEX(properties!A$1:CB$87,'Fórmula'!H104,56)&lt;&gt;"",INDEX(properties!A$1:CB$87,'Fórmula'!H104,56)),IF(INDEX(properties!A$1:CB$87,'Fórmula'!J104,56)&lt;&gt;"",INDEX(properties!A$1:CB$87,'Fórmula'!J104,56)))</f>
        <v>0.210776</v>
      </c>
      <c r="FW104" s="119">
        <f t="array" ref="FW104">MAX(INDEX(properties!A$1:CB$87,'Fórmula'!B104,56),INDEX(properties!A$1:CB$87,'Fórmula'!D104,56),INDEX(properties!A$1:CB$87,'Fórmula'!F104,56),INDEX(properties!A$1:CB$87,'Fórmula'!H104,56),INDEX(properties!A$1:CB$87,'Fórmula'!J104,56))</f>
        <v>1.23</v>
      </c>
      <c r="FX104" s="119">
        <f t="array" ref="FX104">MIN(IF(INDEX(properties!A$1:CB$87,'Fórmula'!B104,56)=0,10^6,INDEX(properties!A$1:CB$87,'Fórmula'!B104,56)),IF(INDEX(properties!A$1:CB$87,'Fórmula'!D104,56)=0,10^6,INDEX(properties!A$1:CB$87,'Fórmula'!D104,56)),IF(INDEX(properties!A$1:CB$87,'Fórmula'!F104,56)=0,10^6,INDEX(properties!A$1:CB$87,'Fórmula'!F104,56)),IF(INDEX(properties!A$1:CB$87,'Fórmula'!H104,56)=0,10^6,INDEX(properties!A$1:CB$87,'Fórmula'!H104,56)),IF(INDEX(properties!A$1:CB$87,'Fórmula'!J104,56)=0,10^6,INDEX(properties!A$1:CB$87,'Fórmula'!J104,56)))</f>
        <v>0.19</v>
      </c>
      <c r="FY104" s="119">
        <f t="shared" si="30"/>
        <v>1.04</v>
      </c>
      <c r="FZ104" s="104">
        <f t="array" ref="FZ104">(('Fórmula'!C104)/('Fórmula'!C104+'Fórmula'!E104+'Fórmula'!G104+'Fórmula'!I104+'Fórmula'!K104))*(INDEX(properties!A$1:CB$87,'Fórmula'!B104,57))+(('Fórmula'!E104)/('Fórmula'!C104+'Fórmula'!E104+'Fórmula'!G104+'Fórmula'!I104+'Fórmula'!K104))*(INDEX(properties!A$1:CB$87,'Fórmula'!D104,57))+(('Fórmula'!G104)/('Fórmula'!C104+'Fórmula'!E104+'Fórmula'!G104+'Fórmula'!I104+'Fórmula'!K104))*(INDEX(properties!A$1:CB$87,'Fórmula'!F104,57))+(('Fórmula'!I104)/('Fórmula'!C104+'Fórmula'!E104+'Fórmula'!G104+'Fórmula'!I104+'Fórmula'!K104))*(INDEX(properties!A$1:CB$87,'Fórmula'!H104,57))+(('Fórmula'!K104)/('Fórmula'!C104+'Fórmula'!E104+'Fórmula'!G104+'Fórmula'!I104+'Fórmula'!K104))*(INDEX(properties!A$1:CB$87,'Fórmula'!J104,57))</f>
        <v>1.060920909</v>
      </c>
      <c r="GA104" s="104">
        <f t="array" ref="GA104">'Fórmula'!C104*(INDEX(properties!A$1:CB$87,'Fórmula'!B104,57))+'Fórmula'!E104*(INDEX(properties!A$1:CB$87,'Fórmula'!D104,57))+'Fórmula'!G104*(INDEX(properties!A$1:CB$87,'Fórmula'!F104,57))+'Fórmula'!I104*(INDEX(properties!A$1:CB$87,'Fórmula'!H104,57))+'Fórmula'!K104*(INDEX(properties!A$1:CB$87,'Fórmula'!J104,57))</f>
        <v>11.67013</v>
      </c>
      <c r="GB104" s="104">
        <f t="array" ref="GB104">VARP(IF(INDEX(properties!A$1:CB$87,'Fórmula'!B104,57)&lt;&gt;"",INDEX(properties!A$1:CB$87,'Fórmula'!B104,57)),IF(INDEX(properties!A$1:CB$87,'Fórmula'!D104,57)&lt;&gt;"",INDEX(properties!A$1:CB$87,'Fórmula'!D104,57)),IF(INDEX(properties!A$1:CB$87,'Fórmula'!F104,57)&lt;&gt;"",INDEX(properties!A$1:CB$87,'Fórmula'!F104,57)),IF(INDEX(properties!A$1:CB$87,'Fórmula'!H104,57)&lt;&gt;"",INDEX(properties!A$1:CB$87,'Fórmula'!H104,57)),IF(INDEX(properties!A$1:CB$87,'Fórmula'!J104,57)&lt;&gt;"",INDEX(properties!A$1:CB$87,'Fórmula'!J104,57)))</f>
        <v>5.387929933</v>
      </c>
      <c r="GC104" s="104">
        <f t="array" ref="GC104">MAX(INDEX(properties!A$1:CB$87,'Fórmula'!B104,57),INDEX(properties!A$1:CB$87,'Fórmula'!D104,57),INDEX(properties!A$1:CB$87,'Fórmula'!F104,57),INDEX(properties!A$1:CB$87,'Fórmula'!H104,57),INDEX(properties!A$1:CB$87,'Fórmula'!J104,57))</f>
        <v>6.2</v>
      </c>
      <c r="GD104" s="104">
        <f t="array" ref="GD104">MIN(IF(INDEX(properties!A$1:CB$87,'Fórmula'!B104,57)=0,10^6,INDEX(properties!A$1:CB$87,'Fórmula'!B104,57)),IF(INDEX(properties!A$1:CB$87,'Fórmula'!D104,57)=0,10^6,INDEX(properties!A$1:CB$87,'Fórmula'!D104,57)),IF(INDEX(properties!A$1:CB$87,'Fórmula'!F104,57)=0,10^6,INDEX(properties!A$1:CB$87,'Fórmula'!F104,57)),IF(INDEX(properties!A$1:CB$87,'Fórmula'!H104,57)=0,10^6,INDEX(properties!A$1:CB$87,'Fórmula'!H104,57)),IF(INDEX(properties!A$1:CB$87,'Fórmula'!J104,57)=0,10^6,INDEX(properties!A$1:CB$87,'Fórmula'!J104,57)))</f>
        <v>0.22259</v>
      </c>
      <c r="GE104" s="104">
        <f t="shared" si="31"/>
        <v>5.97741</v>
      </c>
      <c r="GF104" s="105">
        <f t="array" ref="GF104">(('Fórmula'!C104)/('Fórmula'!C104+'Fórmula'!E104+'Fórmula'!G104+'Fórmula'!I104+'Fórmula'!K104))*(INDEX(properties!A$1:CB$87,'Fórmula'!B104,60))+(('Fórmula'!E104)/('Fórmula'!C104+'Fórmula'!E104+'Fórmula'!G104+'Fórmula'!I104+'Fórmula'!K104))*(INDEX(properties!A$1:CB$87,'Fórmula'!D104,60))+(('Fórmula'!G104)/('Fórmula'!C104+'Fórmula'!E104+'Fórmula'!G104+'Fórmula'!I104+'Fórmula'!K104))*(INDEX(properties!A$1:CB$87,'Fórmula'!F104,60))+(('Fórmula'!I104)/('Fórmula'!C104+'Fórmula'!E104+'Fórmula'!G104+'Fórmula'!I104+'Fórmula'!K104))*(INDEX(properties!A$1:CB$87,'Fórmula'!H104,60))+(('Fórmula'!K104)/('Fórmula'!C104+'Fórmula'!E104+'Fórmula'!G104+'Fórmula'!I104+'Fórmula'!K104))*(INDEX(properties!A$1:CB$87,'Fórmula'!J104,60))</f>
        <v>14.10519818</v>
      </c>
      <c r="GG104" s="105">
        <f t="array" ref="GG104">'Fórmula'!C104*(INDEX(properties!A$1:CB$87,'Fórmula'!B104,60))+'Fórmula'!E104*(INDEX(properties!A$1:CB$87,'Fórmula'!D104,60))+'Fórmula'!G104*(INDEX(properties!A$1:CB$87,'Fórmula'!F104,60))+'Fórmula'!I104*(INDEX(properties!A$1:CB$87,'Fórmula'!H104,60))+'Fórmula'!K104*(INDEX(properties!A$1:CB$87,'Fórmula'!J104,60))</f>
        <v>155.15718</v>
      </c>
      <c r="GH104" s="105">
        <f t="array" ref="GH104">VARP(IF(INDEX(properties!A$1:CB$87,'Fórmula'!B104,60)&lt;&gt;"",INDEX(properties!A$1:CB$87,'Fórmula'!B104,60)),IF(INDEX(properties!A$1:CB$87,'Fórmula'!D104,60)&lt;&gt;"",INDEX(properties!A$1:CB$87,'Fórmula'!D104,60)),IF(INDEX(properties!A$1:CB$87,'Fórmula'!F104,60)&lt;&gt;"",INDEX(properties!A$1:CB$87,'Fórmula'!F104,60)),IF(INDEX(properties!A$1:CB$87,'Fórmula'!H104,60)&lt;&gt;"",INDEX(properties!A$1:CB$87,'Fórmula'!H104,60)),IF(INDEX(properties!A$1:CB$87,'Fórmula'!J104,60)&lt;&gt;"",INDEX(properties!A$1:CB$87,'Fórmula'!J104,60)))</f>
        <v>3054.613341</v>
      </c>
      <c r="GI104" s="105">
        <f t="array" ref="GI104">MAX(INDEX(properties!A$1:CB$87,'Fórmula'!B104,60),INDEX(properties!A$1:CB$87,'Fórmula'!D104,60),INDEX(properties!A$1:CB$87,'Fórmula'!F104,60),INDEX(properties!A$1:CB$87,'Fórmula'!H104,60),INDEX(properties!A$1:CB$87,'Fórmula'!J104,60))</f>
        <v>141</v>
      </c>
      <c r="GJ104" s="105">
        <f t="array" ref="GJ104">MIN(IF(INDEX(properties!A$1:CB$87,'Fórmula'!B104,60)=0,10^6,INDEX(properties!A$1:CB$87,'Fórmula'!B104,60)),IF(INDEX(properties!A$1:CB$87,'Fórmula'!D104,60)=0,10^6,INDEX(properties!A$1:CB$87,'Fórmula'!D104,60)),IF(INDEX(properties!A$1:CB$87,'Fórmula'!F104,60)=0,10^6,INDEX(properties!A$1:CB$87,'Fórmula'!F104,60)),IF(INDEX(properties!A$1:CB$87,'Fórmula'!H104,60)=0,10^6,INDEX(properties!A$1:CB$87,'Fórmula'!H104,60)),IF(INDEX(properties!A$1:CB$87,'Fórmula'!J104,60)=0,10^6,INDEX(properties!A$1:CB$87,'Fórmula'!J104,60)))</f>
        <v>0.02674</v>
      </c>
      <c r="GK104" s="105">
        <f t="shared" si="32"/>
        <v>140.97326</v>
      </c>
      <c r="GL104" s="106">
        <f t="array" ref="GL104">(('Fórmula'!C104)/('Fórmula'!C104+'Fórmula'!E104+'Fórmula'!G104+'Fórmula'!I104+'Fórmula'!K104))*(INDEX(properties!A$1:CB$87,'Fórmula'!B104,62))+(('Fórmula'!E104)/('Fórmula'!C104+'Fórmula'!E104+'Fórmula'!G104+'Fórmula'!I104+'Fórmula'!K104))*(INDEX(properties!A$1:CB$87,'Fórmula'!D104,62))+(('Fórmula'!G104)/('Fórmula'!C104+'Fórmula'!E104+'Fórmula'!G104+'Fórmula'!I104+'Fórmula'!K104))*(INDEX(properties!A$1:CB$87,'Fórmula'!F104,62))+(('Fórmula'!I104)/('Fórmula'!C104+'Fórmula'!E104+'Fórmula'!G104+'Fórmula'!I104+'Fórmula'!K104))*(INDEX(properties!A$1:CB$87,'Fórmula'!H104,62))+(('Fórmula'!K104)/('Fórmula'!C104+'Fórmula'!E104+'Fórmula'!G104+'Fórmula'!I104+'Fórmula'!K104))*(INDEX(properties!A$1:CB$87,'Fórmula'!J104,62))</f>
        <v>2.798454545</v>
      </c>
      <c r="GM104" s="106">
        <f t="array" ref="GM104">'Fórmula'!C104*(INDEX(properties!A$1:CB$87,'Fórmula'!B104,62))+'Fórmula'!E104*(INDEX(properties!A$1:CB$87,'Fórmula'!D104,62))+'Fórmula'!G104*(INDEX(properties!A$1:CB$87,'Fórmula'!F104,62))+'Fórmula'!I104*(INDEX(properties!A$1:CB$87,'Fórmula'!H104,62))+'Fórmula'!K104*(INDEX(properties!A$1:CB$87,'Fórmula'!J104,62))</f>
        <v>30.783</v>
      </c>
      <c r="GN104" s="106">
        <f t="array" ref="GN104">VARP(IF(INDEX(properties!A$1:CB$87,'Fórmula'!B104,62)&lt;&gt;"",INDEX(properties!A$1:CB$87,'Fórmula'!B104,62)),IF(INDEX(properties!A$1:CB$87,'Fórmula'!D104,62)&lt;&gt;"",INDEX(properties!A$1:CB$87,'Fórmula'!D104,62)),IF(INDEX(properties!A$1:CB$87,'Fórmula'!F104,62)&lt;&gt;"",INDEX(properties!A$1:CB$87,'Fórmula'!F104,62)),IF(INDEX(properties!A$1:CB$87,'Fórmula'!H104,62)&lt;&gt;"",INDEX(properties!A$1:CB$87,'Fórmula'!H104,62)),IF(INDEX(properties!A$1:CB$87,'Fórmula'!J104,62)&lt;&gt;"",INDEX(properties!A$1:CB$87,'Fórmula'!J104,62)))</f>
        <v>2.55672624</v>
      </c>
      <c r="GO104" s="106">
        <f t="array" ref="GO104">MAX(INDEX(properties!A$1:CB$87,'Fórmula'!B104,62),INDEX(properties!A$1:CB$87,'Fórmula'!D104,62),INDEX(properties!A$1:CB$87,'Fórmula'!F104,62),INDEX(properties!A$1:CB$87,'Fórmula'!H104,62),INDEX(properties!A$1:CB$87,'Fórmula'!J104,62))</f>
        <v>4.47</v>
      </c>
      <c r="GP104" s="106">
        <f t="array" ref="GP104">MIN(IF(INDEX(properties!A$1:CB$87,'Fórmula'!B104,62)=0,10^6,INDEX(properties!A$1:CB$87,'Fórmula'!B104,62)),IF(INDEX(properties!A$1:CB$87,'Fórmula'!D104,62)=0,10^6,INDEX(properties!A$1:CB$87,'Fórmula'!D104,62)),IF(INDEX(properties!A$1:CB$87,'Fórmula'!F104,62)=0,10^6,INDEX(properties!A$1:CB$87,'Fórmula'!F104,62)),IF(INDEX(properties!A$1:CB$87,'Fórmula'!H104,62)=0,10^6,INDEX(properties!A$1:CB$87,'Fórmula'!H104,62)),IF(INDEX(properties!A$1:CB$87,'Fórmula'!J104,62)=0,10^6,INDEX(properties!A$1:CB$87,'Fórmula'!J104,62)))</f>
        <v>1.113</v>
      </c>
      <c r="GQ104" s="106">
        <f t="shared" si="33"/>
        <v>3.357</v>
      </c>
      <c r="GR104" s="106">
        <f>'Fórmula'!Q104</f>
        <v>62</v>
      </c>
      <c r="GS104" s="107">
        <f>'Fórmula'!P104</f>
        <v>3</v>
      </c>
      <c r="GT104" s="113">
        <f>'Fórmula'!O104</f>
        <v>3.81</v>
      </c>
      <c r="GU104" s="114">
        <f>AVERAGE('Fórmula'!R104/'Fórmula'!S104,'Fórmula'!S104/'Fórmula'!T104,'Fórmula'!T104/'Fórmula'!R104)</f>
        <v>1.172507092</v>
      </c>
      <c r="GV104" s="125">
        <f>'Fórmula'!U104</f>
        <v>585.46</v>
      </c>
      <c r="GW104" s="106">
        <f>'Fórmula'!N104</f>
        <v>0.16</v>
      </c>
    </row>
    <row r="105" ht="14.25" customHeight="1">
      <c r="A105" s="99" t="str">
        <f>'Fórmula'!A105</f>
        <v>BaGd2ZnO5</v>
      </c>
      <c r="B105" s="101">
        <f t="array" ref="B105">(('Fórmula'!C105)/('Fórmula'!C105+'Fórmula'!E105+'Fórmula'!G105+'Fórmula'!I105+'Fórmula'!K105))*(INDEX(properties!A$1:CB$87,'Fórmula'!B105,3))+(('Fórmula'!E105)/('Fórmula'!C105+'Fórmula'!E105+'Fórmula'!G105+'Fórmula'!I105+'Fórmula'!K105))*(INDEX(properties!A$1:CB$87,'Fórmula'!D105,3))+(('Fórmula'!G105)/('Fórmula'!C105+'Fórmula'!E105+'Fórmula'!G105+'Fórmula'!I105+'Fórmula'!K105))*(INDEX(properties!A$1:CB$87,'Fórmula'!F105,3))+(('Fórmula'!I105)/('Fórmula'!C105+'Fórmula'!E105+'Fórmula'!G105+'Fórmula'!I105+'Fórmula'!K105))*(INDEX(properties!A$1:CB$87,'Fórmula'!H105,3))+(('Fórmula'!K105)/('Fórmula'!C105+'Fórmula'!E105+'Fórmula'!G105+'Fórmula'!I105+'Fórmula'!K105))*(INDEX(properties!A$1:CB$87,'Fórmula'!J105,3))</f>
        <v>66.356</v>
      </c>
      <c r="C105" s="101">
        <f t="array" ref="C105">'Fórmula'!C105*(INDEX(properties!A$1:CB$87,'Fórmula'!B105,3))+'Fórmula'!E105*(INDEX(properties!A$1:CB$87,'Fórmula'!D105,3))+'Fórmula'!G105*(INDEX(properties!A$1:CB$87,'Fórmula'!F105,3))+'Fórmula'!I105*(INDEX(properties!A$1:CB$87,'Fórmula'!H105,3))+'Fórmula'!K105*(INDEX(properties!A$1:CB$87,'Fórmula'!J105,3))</f>
        <v>597.204</v>
      </c>
      <c r="D105" s="101">
        <f t="array" ref="D105">VARP(IF(INDEX(properties!A$1:CB$87,'Fórmula'!B105,3)&lt;&gt;"",INDEX(properties!A$1:CB$87,'Fórmula'!B105,3)),IF(INDEX(properties!A$1:CB$87,'Fórmula'!D105,3)&lt;&gt;"",INDEX(properties!A$1:CB$87,'Fórmula'!D105,3)),IF(INDEX(properties!A$1:CB$87,'Fórmula'!F105,3)&lt;&gt;"",INDEX(properties!A$1:CB$87,'Fórmula'!F105,3)),IF(INDEX(properties!A$1:CB$87,'Fórmula'!H105,3)&lt;&gt;"",INDEX(properties!A$1:CB$87,'Fórmula'!H105,3)),IF(INDEX(properties!A$1:CB$87,'Fórmula'!J105,3)&lt;&gt;"",INDEX(properties!A$1:CB$87,'Fórmula'!J105,3)))</f>
        <v>3969.629938</v>
      </c>
      <c r="E105" s="101">
        <f t="array" ref="E105">MAX(INDEX(properties!A$1:CB$87,'Fórmula'!B105,3),INDEX(properties!A$1:CB$87,'Fórmula'!D105,3),INDEX(properties!A$1:CB$87,'Fórmula'!F105,3),INDEX(properties!A$1:CB$87,'Fórmula'!H105,3),INDEX(properties!A$1:CB$87,'Fórmula'!J105,3))</f>
        <v>157.25</v>
      </c>
      <c r="F105" s="101">
        <f t="array" ref="F105">MIN(IF(INDEX(properties!A$1:CB$87,'Fórmula'!B105,3)=0,10^6,INDEX(properties!A$1:CB$87,'Fórmula'!B105,3)),IF(INDEX(properties!A$1:CB$87,'Fórmula'!D105,3)=0,10^6,INDEX(properties!A$1:CB$87,'Fórmula'!D105,3)),IF(INDEX(properties!A$1:CB$87,'Fórmula'!F105,3)=0,10^6,INDEX(properties!A$1:CB$87,'Fórmula'!F105,3)),IF(INDEX(properties!A$1:CB$87,'Fórmula'!H105,3)=0,10^6,INDEX(properties!A$1:CB$87,'Fórmula'!H105,3)),IF(INDEX(properties!A$1:CB$87,'Fórmula'!J105,3)=0,10^6,INDEX(properties!A$1:CB$87,'Fórmula'!J105,3)))</f>
        <v>15.9994</v>
      </c>
      <c r="G105" s="101">
        <f t="shared" si="1"/>
        <v>141.2506</v>
      </c>
      <c r="H105" s="102">
        <f t="array" ref="H105">(('Fórmula'!C105)/('Fórmula'!C105+'Fórmula'!E105+'Fórmula'!G105+'Fórmula'!I105+'Fórmula'!K105))*(INDEX(properties!A$1:CB$87,'Fórmula'!B105,4))+(('Fórmula'!E105)/('Fórmula'!C105+'Fórmula'!E105+'Fórmula'!G105+'Fórmula'!I105+'Fórmula'!K105))*(INDEX(properties!A$1:CB$87,'Fórmula'!D105,4))+(('Fórmula'!G105)/('Fórmula'!C105+'Fórmula'!E105+'Fórmula'!G105+'Fórmula'!I105+'Fórmula'!K105))*(INDEX(properties!A$1:CB$87,'Fórmula'!F105,4))+(('Fórmula'!I105)/('Fórmula'!C105+'Fórmula'!E105+'Fórmula'!G105+'Fórmula'!I105+'Fórmula'!K105))*(INDEX(properties!A$1:CB$87,'Fórmula'!H105,4))+(('Fórmula'!K105)/('Fórmula'!C105+'Fórmula'!E105+'Fórmula'!G105+'Fórmula'!I105+'Fórmula'!K105))*(INDEX(properties!A$1:CB$87,'Fórmula'!J105,4))</f>
        <v>28.22222222</v>
      </c>
      <c r="I105" s="102">
        <f t="array" ref="I105">'Fórmula'!C105*(INDEX(properties!A$1:CB$87,'Fórmula'!B105,4))+'Fórmula'!E105*(INDEX(properties!A$1:CB$87,'Fórmula'!D105,4))+'Fórmula'!G105*(INDEX(properties!A$1:CB$87,'Fórmula'!F105,4))+'Fórmula'!I105*(INDEX(properties!A$1:CB$87,'Fórmula'!H105,4))+'Fórmula'!K105*(INDEX(properties!A$1:CB$87,'Fórmula'!J105,4))</f>
        <v>254</v>
      </c>
      <c r="J105" s="102">
        <f t="array" ref="J105">VARP(IF(INDEX(properties!A$1:CB$87,'Fórmula'!B105,4)&lt;&gt;"",INDEX(properties!A$1:CB$87,'Fórmula'!B105,4)),IF(INDEX(properties!A$1:CB$87,'Fórmula'!D105,4)&lt;&gt;"",INDEX(properties!A$1:CB$87,'Fórmula'!D105,4)),IF(INDEX(properties!A$1:CB$87,'Fórmula'!F105,4)&lt;&gt;"",INDEX(properties!A$1:CB$87,'Fórmula'!F105,4)),IF(INDEX(properties!A$1:CB$87,'Fórmula'!H105,4)&lt;&gt;"",INDEX(properties!A$1:CB$87,'Fórmula'!H105,4)),IF(INDEX(properties!A$1:CB$87,'Fórmula'!J105,4)&lt;&gt;"",INDEX(properties!A$1:CB$87,'Fórmula'!J105,4)))</f>
        <v>640.64</v>
      </c>
      <c r="K105" s="102">
        <f t="array" ref="K105">MAX(INDEX(properties!A$1:CB$87,'Fórmula'!B105,4),INDEX(properties!A$1:CB$87,'Fórmula'!D105,4),INDEX(properties!A$1:CB$87,'Fórmula'!F105,4),INDEX(properties!A$1:CB$87,'Fórmula'!H105,4),INDEX(properties!A$1:CB$87,'Fórmula'!J105,4))</f>
        <v>64</v>
      </c>
      <c r="L105" s="102">
        <f t="array" ref="L105">MIN(IF(INDEX(properties!A$1:CB$87,'Fórmula'!B105,4)=0,10^6,INDEX(properties!A$1:CB$87,'Fórmula'!B105,4)),IF(INDEX(properties!A$1:CB$87,'Fórmula'!D105,4)=0,10^6,INDEX(properties!A$1:CB$87,'Fórmula'!D105,4)),IF(INDEX(properties!A$1:CB$87,'Fórmula'!F105,4)=0,10^6,INDEX(properties!A$1:CB$87,'Fórmula'!F105,4)),IF(INDEX(properties!A$1:CB$87,'Fórmula'!H105,4)=0,10^6,INDEX(properties!A$1:CB$87,'Fórmula'!H105,4)),IF(INDEX(properties!A$1:CB$87,'Fórmula'!J105,4)=0,10^6,INDEX(properties!A$1:CB$87,'Fórmula'!J105,4)))</f>
        <v>8</v>
      </c>
      <c r="M105" s="102">
        <f t="shared" si="2"/>
        <v>56</v>
      </c>
      <c r="N105" s="103">
        <f t="array" ref="N105">(('Fórmula'!C105)/('Fórmula'!C105+'Fórmula'!E105+'Fórmula'!G105+'Fórmula'!I105+'Fórmula'!K105))*(INDEX(properties!A$1:CB$87,'Fórmula'!B105,5))+(('Fórmula'!E105)/('Fórmula'!C105+'Fórmula'!E105+'Fórmula'!G105+'Fórmula'!I105+'Fórmula'!K105))*(INDEX(properties!A$1:CB$87,'Fórmula'!D105,5))+(('Fórmula'!G105)/('Fórmula'!C105+'Fórmula'!E105+'Fórmula'!G105+'Fórmula'!I105+'Fórmula'!K105))*(INDEX(properties!A$1:CB$87,'Fórmula'!F105,5))+(('Fórmula'!I105)/('Fórmula'!C105+'Fórmula'!E105+'Fórmula'!G105+'Fórmula'!I105+'Fórmula'!K105))*(INDEX(properties!A$1:CB$87,'Fórmula'!H105,5))+(('Fórmula'!K105)/('Fórmula'!C105+'Fórmula'!E105+'Fórmula'!G105+'Fórmula'!I105+'Fórmula'!K105))*(INDEX(properties!A$1:CB$87,'Fórmula'!J105,5))</f>
        <v>3.555555556</v>
      </c>
      <c r="O105" s="103">
        <f t="array" ref="O105">'Fórmula'!C105*(INDEX(properties!A$1:CB$87,'Fórmula'!B105,5))+'Fórmula'!E105*(INDEX(properties!A$1:CB$87,'Fórmula'!D105,5))+'Fórmula'!G105*(INDEX(properties!A$1:CB$87,'Fórmula'!F105,5))+'Fórmula'!I105*(INDEX(properties!A$1:CB$87,'Fórmula'!H105,5))+'Fórmula'!K105*(INDEX(properties!A$1:CB$87,'Fórmula'!J105,5))</f>
        <v>32</v>
      </c>
      <c r="P105" s="103">
        <f t="array" ref="P105">VARP(IF(INDEX(properties!A$1:CB$87,'Fórmula'!B105,5)&lt;&gt;"",INDEX(properties!A$1:CB$87,'Fórmula'!B105,5)),IF(INDEX(properties!A$1:CB$87,'Fórmula'!D105,5)&lt;&gt;"",INDEX(properties!A$1:CB$87,'Fórmula'!D105,5)),IF(INDEX(properties!A$1:CB$87,'Fórmula'!F105,5)&lt;&gt;"",INDEX(properties!A$1:CB$87,'Fórmula'!F105,5)),IF(INDEX(properties!A$1:CB$87,'Fórmula'!H105,5)&lt;&gt;"",INDEX(properties!A$1:CB$87,'Fórmula'!H105,5)),IF(INDEX(properties!A$1:CB$87,'Fórmula'!J105,5)&lt;&gt;"",INDEX(properties!A$1:CB$87,'Fórmula'!J105,5)))</f>
        <v>5.44</v>
      </c>
      <c r="Q105" s="103">
        <f t="array" ref="Q105">MAX(INDEX(properties!A$1:CB$87,'Fórmula'!B105,5),INDEX(properties!A$1:CB$87,'Fórmula'!D105,5),INDEX(properties!A$1:CB$87,'Fórmula'!F105,5),INDEX(properties!A$1:CB$87,'Fórmula'!H105,5),INDEX(properties!A$1:CB$87,'Fórmula'!J105,5))</f>
        <v>6</v>
      </c>
      <c r="R105" s="103">
        <f t="array" ref="R105">MIN(IF(INDEX(properties!A$1:CB$87,'Fórmula'!B105,5)=0,10^6,INDEX(properties!A$1:CB$87,'Fórmula'!B105,5)),IF(INDEX(properties!A$1:CB$87,'Fórmula'!D105,5)=0,10^6,INDEX(properties!A$1:CB$87,'Fórmula'!D105,5)),IF(INDEX(properties!A$1:CB$87,'Fórmula'!F105,5)=0,10^6,INDEX(properties!A$1:CB$87,'Fórmula'!F105,5)),IF(INDEX(properties!A$1:CB$87,'Fórmula'!H105,5)=0,10^6,INDEX(properties!A$1:CB$87,'Fórmula'!H105,5)),IF(INDEX(properties!A$1:CB$87,'Fórmula'!J105,5)=0,10^6,INDEX(properties!A$1:CB$87,'Fórmula'!J105,5)))</f>
        <v>2</v>
      </c>
      <c r="S105" s="103">
        <f t="shared" si="3"/>
        <v>4</v>
      </c>
      <c r="T105" s="104">
        <f t="array" ref="T105">(('Fórmula'!C105)/('Fórmula'!C105+'Fórmula'!E105+'Fórmula'!G105+'Fórmula'!I105+'Fórmula'!K105))*(INDEX(properties!A$1:CB$87,'Fórmula'!B105,6))+(('Fórmula'!E105)/('Fórmula'!C105+'Fórmula'!E105+'Fórmula'!G105+'Fórmula'!I105+'Fórmula'!K105))*(INDEX(properties!A$1:CB$87,'Fórmula'!D105,6))+(('Fórmula'!G105)/('Fórmula'!C105+'Fórmula'!E105+'Fórmula'!G105+'Fórmula'!I105+'Fórmula'!K105))*(INDEX(properties!A$1:CB$87,'Fórmula'!F105,6))+(('Fórmula'!I105)/('Fórmula'!C105+'Fórmula'!E105+'Fórmula'!G105+'Fórmula'!I105+'Fórmula'!K105))*(INDEX(properties!A$1:CB$87,'Fórmula'!H105,6))+(('Fórmula'!K105)/('Fórmula'!C105+'Fórmula'!E105+'Fórmula'!G105+'Fórmula'!I105+'Fórmula'!K105))*(INDEX(properties!A$1:CB$87,'Fórmula'!J105,6))</f>
        <v>11.11111111</v>
      </c>
      <c r="U105" s="104">
        <f t="array" ref="U105">'Fórmula'!C105*(INDEX(properties!A$1:CB$87,'Fórmula'!B105,6))+'Fórmula'!E105*(INDEX(properties!A$1:CB$87,'Fórmula'!D105,6))+'Fórmula'!G105*(INDEX(properties!A$1:CB$87,'Fórmula'!F105,6))+'Fórmula'!I105*(INDEX(properties!A$1:CB$87,'Fórmula'!H105,6))+'Fórmula'!K105*(INDEX(properties!A$1:CB$87,'Fórmula'!J105,6))</f>
        <v>100</v>
      </c>
      <c r="V105" s="103">
        <f t="array" ref="V105">VARP(IF(INDEX(properties!A$1:CB$87,'Fórmula'!B105,6)&lt;&gt;"",INDEX(properties!A$1:CB$87,'Fórmula'!B105,6)),IF(INDEX(properties!A$1:CB$87,'Fórmula'!D105,6)&lt;&gt;"",INDEX(properties!A$1:CB$87,'Fórmula'!D105,6)),IF(INDEX(properties!A$1:CB$87,'Fórmula'!F105,6)&lt;&gt;"",INDEX(properties!A$1:CB$87,'Fórmula'!F105,6)),IF(INDEX(properties!A$1:CB$87,'Fórmula'!H105,6)&lt;&gt;"",INDEX(properties!A$1:CB$87,'Fórmula'!H105,6)),IF(INDEX(properties!A$1:CB$87,'Fórmula'!J105,6)&lt;&gt;"",INDEX(properties!A$1:CB$87,'Fórmula'!J105,6)))</f>
        <v>39.04</v>
      </c>
      <c r="W105" s="104">
        <f t="array" ref="W105">MAX(INDEX(properties!A$1:CB$87,'Fórmula'!B105,6),INDEX(properties!A$1:CB$87,'Fórmula'!D105,6),INDEX(properties!A$1:CB$87,'Fórmula'!F105,6),INDEX(properties!A$1:CB$87,'Fórmula'!H105,4),INDEX(properties!A$1:CB$87,'Fórmula'!J105,6))</f>
        <v>12</v>
      </c>
      <c r="X105" s="104">
        <f t="array" ref="X105">MIN(IF(INDEX(properties!A$1:CB$87,'Fórmula'!B105,6)=0,10^6,INDEX(properties!A$1:CB$87,'Fórmula'!B105,6)),IF(INDEX(properties!A$1:CB$87,'Fórmula'!D105,6)=0,10^6,INDEX(properties!A$1:CB$87,'Fórmula'!D105,6)),IF(INDEX(properties!A$1:CB$87,'Fórmula'!F105,6)=0,10^6,INDEX(properties!A$1:CB$87,'Fórmula'!F105,6)),IF(INDEX(properties!A$1:CB$87,'Fórmula'!H105,6)=0,10^6,INDEX(properties!A$1:CB$87,'Fórmula'!H105,6)),IF(INDEX(properties!A$1:CB$87,'Fórmula'!J105,6)=0,10^6,INDEX(properties!A$1:CB$87,'Fórmula'!J105,6)))</f>
        <v>2</v>
      </c>
      <c r="Y105" s="104">
        <f t="shared" si="4"/>
        <v>10</v>
      </c>
      <c r="Z105" s="105">
        <f t="array" ref="Z105">(('Fórmula'!C105)/('Fórmula'!C105+'Fórmula'!E105+'Fórmula'!G105+'Fórmula'!I105+'Fórmula'!K105))*(INDEX(properties!A$1:CB$87,'Fórmula'!B105,9))+(('Fórmula'!E105)/('Fórmula'!C105+'Fórmula'!E105+'Fórmula'!G105+'Fórmula'!I105+'Fórmula'!K105))*(INDEX(properties!A$1:CB$87,'Fórmula'!D105,9))+(('Fórmula'!G105)/('Fórmula'!C105+'Fórmula'!E105+'Fórmula'!G105+'Fórmula'!I105+'Fórmula'!K105))*(INDEX(properties!A$1:CB$87,'Fórmula'!F105,9))+(('Fórmula'!I105)/('Fórmula'!C105+'Fórmula'!E105+'Fórmula'!G105+'Fórmula'!I105+'Fórmula'!K105))*(INDEX(properties!A$1:CB$87,'Fórmula'!H105,9))+(('Fórmula'!K105)/('Fórmula'!C105+'Fórmula'!E105+'Fórmula'!G105+'Fórmula'!I105+'Fórmula'!K105))*(INDEX(properties!A$1:CB$87,'Fórmula'!J105,9))</f>
        <v>63</v>
      </c>
      <c r="AA105" s="105">
        <f t="array" ref="AA105">'Fórmula'!C105*(INDEX(properties!A$1:CB$87,'Fórmula'!B105,9))+'Fórmula'!E105*(INDEX(properties!A$1:CB$87,'Fórmula'!D105,9))+'Fórmula'!G105*(INDEX(properties!A$1:CB$87,'Fórmula'!F105,9))+'Fórmula'!I105*(INDEX(properties!A$1:CB$87,'Fórmula'!H105,9))+'Fórmula'!K105*(INDEX(properties!A$1:CB$87,'Fórmula'!J105,9))</f>
        <v>567</v>
      </c>
      <c r="AB105" s="105">
        <f t="array" ref="AB105">VARP(IF(INDEX(properties!A$1:CB$87,'Fórmula'!B105,9)&lt;&gt;"",INDEX(properties!A$1:CB$87,'Fórmula'!B105,9)),IF(INDEX(properties!A$1:CB$87,'Fórmula'!D105,9)&lt;&gt;"",INDEX(properties!A$1:CB$87,'Fórmula'!D105,9)),IF(INDEX(properties!A$1:CB$87,'Fórmula'!F105,9)&lt;&gt;"",INDEX(properties!A$1:CB$87,'Fórmula'!F105,9)),IF(INDEX(properties!A$1:CB$87,'Fórmula'!H105,9)&lt;&gt;"",INDEX(properties!A$1:CB$87,'Fórmula'!H105,9)),IF(INDEX(properties!A$1:CB$87,'Fórmula'!J105,9)&lt;&gt;"",INDEX(properties!A$1:CB$87,'Fórmula'!J105,9)))</f>
        <v>1153.44</v>
      </c>
      <c r="AC105" s="105">
        <f t="array" ref="AC105">MAX(INDEX(properties!A$1:CB$87,'Fórmula'!B105,9),INDEX(properties!A$1:CB$87,'Fórmula'!D105,9),INDEX(properties!A$1:CB$87,'Fórmula'!F105,9),INDEX(properties!A$1:CB$87,'Fórmula'!H105,9),INDEX(properties!A$1:CB$87,'Fórmula'!J105,9))</f>
        <v>87</v>
      </c>
      <c r="AD105" s="105">
        <f t="array" ref="AD105">MIN(IF(INDEX(properties!A$1:CB$87,'Fórmula'!B105,9)=0,10^6,INDEX(properties!A$1:CB$87,'Fórmula'!B105,9)),IF(INDEX(properties!A$1:CB$87,'Fórmula'!D105,9)=0,10^6,INDEX(properties!A$1:CB$87,'Fórmula'!D105,9)),IF(INDEX(properties!A$1:CB$87,'Fórmula'!F105,9)=0,10^6,INDEX(properties!A$1:CB$87,'Fórmula'!F105,9)),IF(INDEX(properties!A$1:CB$87,'Fórmula'!H105,9)=0,10^6,INDEX(properties!A$1:CB$87,'Fórmula'!H105,9)),IF(INDEX(properties!A$1:CB$87,'Fórmula'!J105,9)=0,10^6,INDEX(properties!A$1:CB$87,'Fórmula'!J105,9)))</f>
        <v>9</v>
      </c>
      <c r="AE105" s="105">
        <f t="shared" si="5"/>
        <v>78</v>
      </c>
      <c r="AF105" s="106">
        <f t="array" ref="AF105">(('Fórmula'!C105)/('Fórmula'!C105+'Fórmula'!E105+'Fórmula'!G105+'Fórmula'!I105+'Fórmula'!K105))*(INDEX(properties!A$1:CB$87,'Fórmula'!B105,10))+(('Fórmula'!E105)/('Fórmula'!C105+'Fórmula'!E105+'Fórmula'!G105+'Fórmula'!I105+'Fórmula'!K105))*(INDEX(properties!A$1:CB$87,'Fórmula'!D105,10))+(('Fórmula'!G105)/('Fórmula'!C105+'Fórmula'!E105+'Fórmula'!G105+'Fórmula'!I105+'Fórmula'!K105))*(INDEX(properties!A$1:CB$87,'Fórmula'!F105,10))+(('Fórmula'!I105)/('Fórmula'!C105+'Fórmula'!E105+'Fórmula'!G105+'Fórmula'!I105+'Fórmula'!K105))*(INDEX(properties!A$1:CB$87,'Fórmula'!H105,10))+(('Fórmula'!K105)/('Fórmula'!C105+'Fórmula'!E105+'Fórmula'!G105+'Fórmula'!I105+'Fórmula'!K105))*(INDEX(properties!A$1:CB$87,'Fórmula'!J105,10))</f>
        <v>5.222222222</v>
      </c>
      <c r="AG105" s="106">
        <f t="array" ref="AG105">'Fórmula'!C105*(INDEX(properties!A$1:CB$87,'Fórmula'!B105,10))+'Fórmula'!E105*(INDEX(properties!A$1:CB$87,'Fórmula'!D105,10))+'Fórmula'!G105*(INDEX(properties!A$1:CB$87,'Fórmula'!F105,10))+'Fórmula'!I105*(INDEX(properties!A$1:CB$87,'Fórmula'!H105,10))+'Fórmula'!K105*(INDEX(properties!A$1:CB$87,'Fórmula'!J105,10))</f>
        <v>47</v>
      </c>
      <c r="AH105" s="106">
        <f t="array" ref="AH105">VARP(IF(INDEX(properties!A$1:CB$87,'Fórmula'!B105,10)&lt;&gt;"",INDEX(properties!A$1:CB$87,'Fórmula'!B105,10)),IF(INDEX(properties!A$1:CB$87,'Fórmula'!D105,10)&lt;&gt;"",INDEX(properties!A$1:CB$87,'Fórmula'!D105,10)),IF(INDEX(properties!A$1:CB$87,'Fórmula'!F105,10)&lt;&gt;"",INDEX(properties!A$1:CB$87,'Fórmula'!F105,10)),IF(INDEX(properties!A$1:CB$87,'Fórmula'!H105,10)&lt;&gt;"",INDEX(properties!A$1:CB$87,'Fórmula'!H105,10)),IF(INDEX(properties!A$1:CB$87,'Fórmula'!J105,10)&lt;&gt;"",INDEX(properties!A$1:CB$87,'Fórmula'!J105,10)))</f>
        <v>5.36</v>
      </c>
      <c r="AI105" s="106">
        <f t="array" ref="AI105">MAX(INDEX(properties!A$1:CB$87,'Fórmula'!B105,10),INDEX(properties!A$1:CB$87,'Fórmula'!D105,10),INDEX(properties!A$1:CB$87,'Fórmula'!F105,10),INDEX(properties!A$1:CB$87,'Fórmula'!H105,10),INDEX(properties!A$1:CB$87,'Fórmula'!J105,10))</f>
        <v>7</v>
      </c>
      <c r="AJ105" s="106">
        <f t="array" ref="AJ105">MIN(IF(INDEX(properties!A$1:CB$87,'Fórmula'!B105,10)=0,10^6,INDEX(properties!A$1:CB$87,'Fórmula'!B105,10)),IF(INDEX(properties!A$1:CB$87,'Fórmula'!D105,10)=0,10^6,INDEX(properties!A$1:CB$87,'Fórmula'!D105,10)),IF(INDEX(properties!A$1:CB$87,'Fórmula'!F105,10)=0,10^6,INDEX(properties!A$1:CB$87,'Fórmula'!F105,10)),IF(INDEX(properties!A$1:CB$87,'Fórmula'!H105,10)=0,10^6,INDEX(properties!A$1:CB$87,'Fórmula'!H105,10)),IF(INDEX(properties!A$1:CB$87,'Fórmula'!J105,10)=0,10^6,INDEX(properties!A$1:CB$87,'Fórmula'!J105,10)))</f>
        <v>2</v>
      </c>
      <c r="AK105" s="106">
        <f t="shared" si="6"/>
        <v>5</v>
      </c>
      <c r="AL105" s="107">
        <f t="array" ref="AL105">(('Fórmula'!C105)/('Fórmula'!C105+'Fórmula'!E105+'Fórmula'!G105+'Fórmula'!I105+'Fórmula'!K105))*(INDEX(properties!A$1:CB$87,'Fórmula'!B105,11))+(('Fórmula'!E105)/('Fórmula'!C105+'Fórmula'!E105+'Fórmula'!G105+'Fórmula'!I105+'Fórmula'!K105))*(INDEX(properties!A$1:CB$87,'Fórmula'!D105,11))+(('Fórmula'!G105)/('Fórmula'!C105+'Fórmula'!E105+'Fórmula'!G105+'Fórmula'!I105+'Fórmula'!K105))*(INDEX(properties!A$1:CB$87,'Fórmula'!F105,11))+(('Fórmula'!I105)/('Fórmula'!C105+'Fórmula'!E105+'Fórmula'!G105+'Fórmula'!I105+'Fórmula'!K105))*(INDEX(properties!A$1:CB$87,'Fórmula'!H105,11))+(('Fórmula'!K105)/('Fórmula'!C105+'Fórmula'!E105+'Fórmula'!G105+'Fórmula'!I105+'Fórmula'!K105))*(INDEX(properties!A$1:CB$87,'Fórmula'!J105,11))</f>
        <v>2</v>
      </c>
      <c r="AM105" s="107">
        <f t="array" ref="AM105">'Fórmula'!C105*(INDEX(properties!A$1:CB$87,'Fórmula'!B105,11))+'Fórmula'!E105*(INDEX(properties!A$1:CB$87,'Fórmula'!D105,11))+'Fórmula'!G105*(INDEX(properties!A$1:CB$87,'Fórmula'!F105,11))+'Fórmula'!I105*(INDEX(properties!A$1:CB$87,'Fórmula'!H105,11))+'Fórmula'!K105*(INDEX(properties!A$1:CB$87,'Fórmula'!J105,11))</f>
        <v>18</v>
      </c>
      <c r="AN105" s="107">
        <f t="array" ref="AN105">VARP(IF(INDEX(properties!A$1:CB$87,'Fórmula'!B105,11)&lt;&gt;"",INDEX(properties!A$1:CB$87,'Fórmula'!B105,11)),IF(INDEX(properties!A$1:CB$87,'Fórmula'!D105,11)&lt;&gt;"",INDEX(properties!A$1:CB$87,'Fórmula'!D105,11)),IF(INDEX(properties!A$1:CB$87,'Fórmula'!F105,11)&lt;&gt;"",INDEX(properties!A$1:CB$87,'Fórmula'!F105,11)),IF(INDEX(properties!A$1:CB$87,'Fórmula'!H105,11)&lt;&gt;"",INDEX(properties!A$1:CB$87,'Fórmula'!H105,11)),IF(INDEX(properties!A$1:CB$87,'Fórmula'!J105,11)&lt;&gt;"",INDEX(properties!A$1:CB$87,'Fórmula'!J105,11)))</f>
        <v>0.64</v>
      </c>
      <c r="AO105" s="107">
        <f t="array" ref="AO105">MAX(INDEX(properties!A$1:CB$87,'Fórmula'!B105,11),INDEX(properties!A$1:CB$87,'Fórmula'!D105,11),INDEX(properties!A$1:CB$87,'Fórmula'!F105,11),INDEX(properties!A$1:CB$87,'Fórmula'!H105,11),INDEX(properties!A$1:CB$87,'Fórmula'!J105,11))</f>
        <v>2</v>
      </c>
      <c r="AP105" s="107">
        <f t="array" ref="AP105">MIN(IF('Fórmula'!B105=87,10^6,INDEX(properties!A$1:CB$87,'Fórmula'!B105,11)),IF(('Fórmula'!D105)=87,10^6,INDEX(properties!A$1:CB$87,'Fórmula'!D105,11)),IF(('Fórmula'!F105)=87,10^6,INDEX(properties!A$1:CB$87,'Fórmula'!F105,11)),IF(('Fórmula'!H105)=87,10^6,INDEX(properties!A$1:CB$87,'Fórmula'!H105,11)),IF('Fórmula'!J105=87,10^6,INDEX(properties!A$1:CB$87,'Fórmula'!J105,11)))</f>
        <v>2</v>
      </c>
      <c r="AQ105" s="107">
        <f t="shared" si="7"/>
        <v>0</v>
      </c>
      <c r="AR105" s="108">
        <f t="array" ref="AR105">(('Fórmula'!C105)/('Fórmula'!C105+'Fórmula'!E105+'Fórmula'!G105+'Fórmula'!I105+'Fórmula'!K105))*(INDEX(properties!A$1:CB$87,'Fórmula'!B105,12))+(('Fórmula'!E105)/('Fórmula'!C105+'Fórmula'!E105+'Fórmula'!G105+'Fórmula'!I105+'Fórmula'!K105))*(INDEX(properties!A$1:CB$87,'Fórmula'!D105,12))+(('Fórmula'!G105)/('Fórmula'!C105+'Fórmula'!E105+'Fórmula'!G105+'Fórmula'!I105+'Fórmula'!K105))*(INDEX(properties!A$1:CB$87,'Fórmula'!F105,12))+(('Fórmula'!I105)/('Fórmula'!C105+'Fórmula'!E105+'Fórmula'!G105+'Fórmula'!I105+'Fórmula'!K105))*(INDEX(properties!A$1:CB$87,'Fórmula'!H105,12))+(('Fórmula'!K105)/('Fórmula'!C105+'Fórmula'!E105+'Fórmula'!G105+'Fórmula'!I105+'Fórmula'!K105))*(INDEX(properties!A$1:CB$87,'Fórmula'!J105,12))</f>
        <v>2.222222222</v>
      </c>
      <c r="AS105" s="108">
        <f t="array" ref="AS105">'Fórmula'!C105*(INDEX(properties!A$1:CB$87,'Fórmula'!B105,12))+'Fórmula'!E105*(INDEX(properties!A$1:CB$87,'Fórmula'!D105,12))+'Fórmula'!G105*(INDEX(properties!A$1:CB$87,'Fórmula'!F105,12))+'Fórmula'!I105*(INDEX(properties!A$1:CB$87,'Fórmula'!H105,12))+'Fórmula'!K105*(INDEX(properties!A$1:CB$87,'Fórmula'!J105,12))</f>
        <v>20</v>
      </c>
      <c r="AT105" s="108">
        <f t="array" ref="AT105">VARP(IF(INDEX(properties!A$1:CB$87,'Fórmula'!B105,12)&lt;&gt;"",INDEX(properties!A$1:CB$87,'Fórmula'!B105,12)),IF(INDEX(properties!A$1:CB$87,'Fórmula'!D105,12)&lt;&gt;"",INDEX(properties!A$1:CB$87,'Fórmula'!D105,12)),IF(INDEX(properties!A$1:CB$87,'Fórmula'!F105,12)&lt;&gt;"",INDEX(properties!A$1:CB$87,'Fórmula'!F105,12)),IF(INDEX(properties!A$1:CB$87,'Fórmula'!H105,12)&lt;&gt;"",INDEX(properties!A$1:CB$87,'Fórmula'!H105,12)),IF(INDEX(properties!A$1:CB$87,'Fórmula'!J105,12)&lt;&gt;"",INDEX(properties!A$1:CB$87,'Fórmula'!J105,12)))</f>
        <v>2.56</v>
      </c>
      <c r="AU105" s="108">
        <f t="array" ref="AU105">MAX(INDEX(properties!A$1:CB$87,'Fórmula'!B105,12),INDEX(properties!A$1:CB$87,'Fórmula'!D105,12),INDEX(properties!A$1:CB$87,'Fórmula'!F105,12),INDEX(properties!A$1:CB$87,'Fórmula'!H105,12),INDEX(properties!A$1:CB$87,'Fórmula'!J105,12))</f>
        <v>4</v>
      </c>
      <c r="AV105" s="108">
        <f t="array" ref="AV105">MIN(IF('Fórmula'!B105=87,10^6,INDEX(properties!A$1:CB$87,'Fórmula'!B105,12)),IF(('Fórmula'!D105)=87,10^6,INDEX(properties!A$1:CB$87,'Fórmula'!D105,12)),IF(('Fórmula'!F105)=87,10^6,INDEX(properties!A$1:CB$87,'Fórmula'!F105,12)),IF(('Fórmula'!H105)=87,10^6,INDEX(properties!A$1:CB$87,'Fórmula'!H105,12)),IF('Fórmula'!J105=87,10^6,INDEX(properties!A$1:CB$87,'Fórmula'!J105,12)))</f>
        <v>0</v>
      </c>
      <c r="AW105" s="108">
        <f t="shared" si="8"/>
        <v>4</v>
      </c>
      <c r="AX105" s="109">
        <f t="array" ref="AX105">(('Fórmula'!C105)/('Fórmula'!C105+'Fórmula'!E105+'Fórmula'!G105+'Fórmula'!I105+'Fórmula'!K105))*(INDEX(properties!A$1:CB$87,'Fórmula'!B105,13))+(('Fórmula'!E105)/('Fórmula'!C105+'Fórmula'!E105+'Fórmula'!G105+'Fórmula'!I105+'Fórmula'!K105))*(INDEX(properties!A$1:CB$87,'Fórmula'!D105,13))+(('Fórmula'!G105)/('Fórmula'!C105+'Fórmula'!E105+'Fórmula'!G105+'Fórmula'!I105+'Fórmula'!K105))*(INDEX(properties!A$1:CB$87,'Fórmula'!F105,13))+(('Fórmula'!I105)/('Fórmula'!C105+'Fórmula'!E105+'Fórmula'!G105+'Fórmula'!I105+'Fórmula'!K105))*(INDEX(properties!A$1:CB$87,'Fórmula'!H105,13))+(('Fórmula'!K105)/('Fórmula'!C105+'Fórmula'!E105+'Fórmula'!G105+'Fórmula'!I105+'Fórmula'!K105))*(INDEX(properties!A$1:CB$87,'Fórmula'!J105,13))</f>
        <v>1.333333333</v>
      </c>
      <c r="AY105" s="109">
        <f t="array" ref="AY105">'Fórmula'!C105*(INDEX(properties!A$1:CB$87,'Fórmula'!B105,13))+'Fórmula'!E105*(INDEX(properties!A$1:CB$87,'Fórmula'!D105,13))+'Fórmula'!G105*(INDEX(properties!A$1:CB$87,'Fórmula'!F105,13))+'Fórmula'!I105*(INDEX(properties!A$1:CB$87,'Fórmula'!H105,13))+'Fórmula'!K105*(INDEX(properties!A$1:CB$87,'Fórmula'!J105,13))</f>
        <v>12</v>
      </c>
      <c r="AZ105" s="109">
        <f t="array" ref="AZ105">VARP(IF(INDEX(properties!A$1:CB$87,'Fórmula'!B105,13)&lt;&gt;"",INDEX(properties!A$1:CB$87,'Fórmula'!B105,13)),IF(INDEX(properties!A$1:CB$87,'Fórmula'!D105,13)&lt;&gt;"",INDEX(properties!A$1:CB$87,'Fórmula'!D105,13)),IF(INDEX(properties!A$1:CB$87,'Fórmula'!F105,13)&lt;&gt;"",INDEX(properties!A$1:CB$87,'Fórmula'!F105,13)),IF(INDEX(properties!A$1:CB$87,'Fórmula'!H105,13)&lt;&gt;"",INDEX(properties!A$1:CB$87,'Fórmula'!H105,13)),IF(INDEX(properties!A$1:CB$87,'Fórmula'!J105,13)&lt;&gt;"",INDEX(properties!A$1:CB$87,'Fórmula'!J105,13)))</f>
        <v>15.36</v>
      </c>
      <c r="BA105" s="109">
        <f t="array" ref="BA105">MAX(INDEX(properties!A$1:CB$87,'Fórmula'!B105,13),INDEX(properties!A$1:CB$87,'Fórmula'!D105,13),INDEX(properties!A$1:CB$87,'Fórmula'!F105,13),INDEX(properties!A$1:CB$87,'Fórmula'!H105,13),INDEX(properties!A$1:CB$87,'Fórmula'!J105,13))</f>
        <v>10</v>
      </c>
      <c r="BB105" s="109">
        <f t="array" ref="BB105">MIN(IF('Fórmula'!B105=87,10^6,INDEX(properties!A$1:CB$87,'Fórmula'!B105,13)),IF(('Fórmula'!D105)=87,10^6,INDEX(properties!A$1:CB$87,'Fórmula'!D105,13)),IF(('Fórmula'!F105)=87,10^6,INDEX(properties!A$1:CB$87,'Fórmula'!F105,13)),IF(('Fórmula'!H105)=87,10^6,INDEX(properties!A$1:CB$87,'Fórmula'!H105,13)),IF('Fórmula'!J105=87,10^6,INDEX(properties!A$1:CB$87,'Fórmula'!J105,13)))</f>
        <v>0</v>
      </c>
      <c r="BC105" s="109">
        <f t="shared" si="9"/>
        <v>10</v>
      </c>
      <c r="BD105" s="110">
        <f t="array" ref="BD105">(('Fórmula'!C105)/('Fórmula'!C105+'Fórmula'!E105+'Fórmula'!G105+'Fórmula'!I105+'Fórmula'!K105))*(INDEX(properties!A$1:CB$87,'Fórmula'!B105,14))+(('Fórmula'!E105)/('Fórmula'!C105+'Fórmula'!E105+'Fórmula'!G105+'Fórmula'!I105+'Fórmula'!K105))*(INDEX(properties!A$1:CB$87,'Fórmula'!D105,14))+(('Fórmula'!G105)/('Fórmula'!C105+'Fórmula'!E105+'Fórmula'!G105+'Fórmula'!I105+'Fórmula'!K105))*(INDEX(properties!A$1:CB$87,'Fórmula'!F105,14))+(('Fórmula'!I105)/('Fórmula'!C105+'Fórmula'!E105+'Fórmula'!G105+'Fórmula'!I105+'Fórmula'!K105))*(INDEX(properties!A$1:CB$87,'Fórmula'!H105,14))+(('Fórmula'!K105)/('Fórmula'!C105+'Fórmula'!E105+'Fórmula'!G105+'Fórmula'!I105+'Fórmula'!K105))*(INDEX(properties!A$1:CB$87,'Fórmula'!J105,14))</f>
        <v>1.555555556</v>
      </c>
      <c r="BE105" s="110">
        <f t="array" ref="BE105">'Fórmula'!C105*(INDEX(properties!A$1:CB$87,'Fórmula'!B105,14))+'Fórmula'!E105*(INDEX(properties!A$1:CB$87,'Fórmula'!D105,14))+'Fórmula'!G105*(INDEX(properties!A$1:CB$87,'Fórmula'!F105,14))+'Fórmula'!I105*(INDEX(properties!A$1:CB$87,'Fórmula'!H105,14))+'Fórmula'!K105*(INDEX(properties!A$1:CB$87,'Fórmula'!J105,14))</f>
        <v>14</v>
      </c>
      <c r="BF105" s="110">
        <f t="array" ref="BF105">VARP(IF(INDEX(properties!A$1:CB$87,'Fórmula'!B105,14)&lt;&gt;"",INDEX(properties!A$1:CB$87,'Fórmula'!B105,14)),IF(INDEX(properties!A$1:CB$87,'Fórmula'!D105,14)&lt;&gt;"",INDEX(properties!A$1:CB$87,'Fórmula'!D105,14)),IF(INDEX(properties!A$1:CB$87,'Fórmula'!F105,14)&lt;&gt;"",INDEX(properties!A$1:CB$87,'Fórmula'!F105,14)),IF(INDEX(properties!A$1:CB$87,'Fórmula'!H105,14)&lt;&gt;"",INDEX(properties!A$1:CB$87,'Fórmula'!H105,14)),IF(INDEX(properties!A$1:CB$87,'Fórmula'!J105,14)&lt;&gt;"",INDEX(properties!A$1:CB$87,'Fórmula'!J105,14)))</f>
        <v>7.84</v>
      </c>
      <c r="BG105" s="110">
        <f t="array" ref="BG105">MAX(INDEX(properties!A$1:CB$87,'Fórmula'!B105,14),INDEX(properties!A$1:CB$87,'Fórmula'!D105,14),INDEX(properties!A$1:CB$87,'Fórmula'!F105,14),INDEX(properties!A$1:CB$87,'Fórmula'!H105,14),INDEX(properties!A$1:CB$87,'Fórmula'!J105,14))</f>
        <v>7</v>
      </c>
      <c r="BH105" s="110">
        <f t="array" ref="BH105">MIN(IF('Fórmula'!B105=87,10^6,INDEX(properties!A$1:CB$87,'Fórmula'!B105,14)),IF(('Fórmula'!D105)=87,10^6,INDEX(properties!A$1:CB$87,'Fórmula'!D105,14)),IF(('Fórmula'!F105)=87,10^6,INDEX(properties!A$1:CB$87,'Fórmula'!F105,14)),IF(('Fórmula'!H105)=87,10^6,INDEX(properties!A$1:CB$87,'Fórmula'!H105,14)),IF('Fórmula'!J105=87,10^6,INDEX(properties!A$1:CB$87,'Fórmula'!J105,14)))</f>
        <v>0</v>
      </c>
      <c r="BI105" s="110">
        <f t="shared" si="10"/>
        <v>7</v>
      </c>
      <c r="BJ105" s="111">
        <f t="array" ref="BJ105">(('Fórmula'!C105)/('Fórmula'!C105+'Fórmula'!E105+'Fórmula'!G105+'Fórmula'!I105+'Fórmula'!K105))*(INDEX(properties!A$1:CB$87,'Fórmula'!B105,19))+(('Fórmula'!E105)/('Fórmula'!C105+'Fórmula'!E105+'Fórmula'!G105+'Fórmula'!I105+'Fórmula'!K105))*(INDEX(properties!A$1:CB$87,'Fórmula'!D105,19))+(('Fórmula'!G105)/('Fórmula'!C105+'Fórmula'!E105+'Fórmula'!G105+'Fórmula'!I105+'Fórmula'!K105))*(INDEX(properties!A$1:CB$87,'Fórmula'!F105,19))+(('Fórmula'!I105)/('Fórmula'!C105+'Fórmula'!E105+'Fórmula'!G105+'Fórmula'!I105+'Fórmula'!K105))*(INDEX(properties!A$1:CB$87,'Fórmula'!H105,19))+(('Fórmula'!K105)/('Fórmula'!C105+'Fórmula'!E105+'Fórmula'!G105+'Fórmula'!I105+'Fórmula'!K105))*(INDEX(properties!A$1:CB$87,'Fórmula'!J105,19))</f>
        <v>7.111111111</v>
      </c>
      <c r="BK105" s="111">
        <f t="array" ref="BK105">'Fórmula'!C105*(INDEX(properties!A$1:CB$87,'Fórmula'!B105,19))+'Fórmula'!E105*(INDEX(properties!A$1:CB$87,'Fórmula'!D105,19))+'Fórmula'!G105*(INDEX(properties!A$1:CB$87,'Fórmula'!F105,19))+'Fórmula'!I105*(INDEX(properties!A$1:CB$87,'Fórmula'!H105,19))+'Fórmula'!K105*(INDEX(properties!A$1:CB$87,'Fórmula'!J105,19))</f>
        <v>64</v>
      </c>
      <c r="BL105" s="111">
        <f t="array" ref="BL105">VARP(IF(INDEX(properties!A$1:CB$87,'Fórmula'!B105,19)&lt;&gt;"",INDEX(properties!A$1:CB$87,'Fórmula'!B105,19)),IF(INDEX(properties!A$1:CB$87,'Fórmula'!D105,19)&lt;&gt;"",INDEX(properties!A$1:CB$87,'Fórmula'!D105,19)),IF(INDEX(properties!A$1:CB$87,'Fórmula'!F105,19)&lt;&gt;"",INDEX(properties!A$1:CB$87,'Fórmula'!F105,19)),IF(INDEX(properties!A$1:CB$87,'Fórmula'!H105,19)&lt;&gt;"",INDEX(properties!A$1:CB$87,'Fórmula'!H105,19)),IF(INDEX(properties!A$1:CB$87,'Fórmula'!J105,19)&lt;&gt;"",INDEX(properties!A$1:CB$87,'Fórmula'!J105,19)))</f>
        <v>20.8</v>
      </c>
      <c r="BM105" s="111">
        <f t="array" ref="BM105">MAX(INDEX(properties!A$1:CB$87,'Fórmula'!B105,19),INDEX(properties!A$1:CB$87,'Fórmula'!D105,19),INDEX(properties!A$1:CB$87,'Fórmula'!F105,19),INDEX(properties!A$1:CB$87,'Fórmula'!H105,19),INDEX(properties!A$1:CB$87,'Fórmula'!J105,19))</f>
        <v>12</v>
      </c>
      <c r="BN105" s="111">
        <f t="array" ref="BN105">MIN(IF(INDEX(properties!A$1:CB$87,'Fórmula'!B105,19)=0,10^6,INDEX(properties!A$1:CB$87,'Fórmula'!B105,19)),IF(INDEX(properties!A$1:CB$87,'Fórmula'!D105,19)=0,10^6,INDEX(properties!A$1:CB$87,'Fórmula'!D105,19)),IF(INDEX(properties!A$1:CB$87,'Fórmula'!F105,19)=0,10^6,INDEX(properties!A$1:CB$87,'Fórmula'!F105,19)),IF(INDEX(properties!A$1:CB$87,'Fórmula'!H105,19)=0,10^6,INDEX(properties!A$1:CB$87,'Fórmula'!H105,19)),IF(INDEX(properties!A$1:CB$87,'Fórmula'!J105,19)=0,10^6,INDEX(properties!A$1:CB$87,'Fórmula'!J105,19)))</f>
        <v>2</v>
      </c>
      <c r="BO105" s="111">
        <f t="shared" si="11"/>
        <v>10</v>
      </c>
      <c r="BP105" s="112">
        <f t="array" ref="BP105">(('Fórmula'!C105)/('Fórmula'!C105+'Fórmula'!E105+'Fórmula'!G105+'Fórmula'!I105+'Fórmula'!K105))*(INDEX(properties!A$1:CB$87,'Fórmula'!B105,20))+(('Fórmula'!E105)/('Fórmula'!C105+'Fórmula'!E105+'Fórmula'!G105+'Fórmula'!I105+'Fórmula'!K105))*(INDEX(properties!A$1:CB$87,'Fórmula'!D105,20))+(('Fórmula'!G105)/('Fórmula'!C105+'Fórmula'!E105+'Fórmula'!G105+'Fórmula'!I105+'Fórmula'!K105))*(INDEX(properties!A$1:CB$87,'Fórmula'!F105,20))+(('Fórmula'!I105)/('Fórmula'!C105+'Fórmula'!E105+'Fórmula'!G105+'Fórmula'!I105+'Fórmula'!K105))*(INDEX(properties!A$1:CB$87,'Fórmula'!H105,20))+(('Fórmula'!K105)/('Fórmula'!C105+'Fórmula'!E105+'Fórmula'!G105+'Fórmula'!I105+'Fórmula'!K105))*(INDEX(properties!A$1:CB$87,'Fórmula'!J105,20))</f>
        <v>4.222222222</v>
      </c>
      <c r="BQ105" s="112">
        <f t="array" ref="BQ105">'Fórmula'!C105*(INDEX(properties!A$1:CB$87,'Fórmula'!B105,20))+'Fórmula'!E105*(INDEX(properties!A$1:CB$87,'Fórmula'!D105,20))+'Fórmula'!G105*(INDEX(properties!A$1:CB$87,'Fórmula'!F105,20))+'Fórmula'!I105*(INDEX(properties!A$1:CB$87,'Fórmula'!H105,20))+'Fórmula'!K105*(INDEX(properties!A$1:CB$87,'Fórmula'!J105,20))</f>
        <v>38</v>
      </c>
      <c r="BR105" s="112">
        <f t="array" ref="BR105">VARP(IF(INDEX(properties!A$1:CB$87,'Fórmula'!B105,20)&lt;&gt;"",INDEX(properties!A$1:CB$87,'Fórmula'!B105,20)),IF(INDEX(properties!A$1:CB$87,'Fórmula'!D105,20)&lt;&gt;"",INDEX(properties!A$1:CB$87,'Fórmula'!D105,20)),IF(INDEX(properties!A$1:CB$87,'Fórmula'!F105,20)&lt;&gt;"",INDEX(properties!A$1:CB$87,'Fórmula'!F105,20)),IF(INDEX(properties!A$1:CB$87,'Fórmula'!H105,20)&lt;&gt;"",INDEX(properties!A$1:CB$87,'Fórmula'!H105,20)),IF(INDEX(properties!A$1:CB$87,'Fórmula'!J105,20)&lt;&gt;"",INDEX(properties!A$1:CB$87,'Fórmula'!J105,20)))</f>
        <v>3.84</v>
      </c>
      <c r="BS105" s="112">
        <f t="array" ref="BS105">MAX(INDEX(properties!A$1:CB$87,'Fórmula'!B105,20),INDEX(properties!A$1:CB$87,'Fórmula'!D105,20),INDEX(properties!A$1:CB$87,'Fórmula'!F105,20),INDEX(properties!A$1:CB$87,'Fórmula'!H105,20),INDEX(properties!A$1:CB$87,'Fórmula'!J105,20))</f>
        <v>6</v>
      </c>
      <c r="BT105" s="112">
        <f t="array" ref="BT105">MIN(IF(INDEX(properties!A$1:CB$87,'Fórmula'!B105,20)=0,10^6,INDEX(properties!A$1:CB$87,'Fórmula'!B105,20)),IF(INDEX(properties!A$1:CB$87,'Fórmula'!D105,20)=0,10^6,INDEX(properties!A$1:CB$87,'Fórmula'!D105,20)),IF(INDEX(properties!A$1:CB$87,'Fórmula'!F105,20)=0,10^6,INDEX(properties!A$1:CB$87,'Fórmula'!F105,20)),IF(INDEX(properties!A$1:CB$87,'Fórmula'!H105,20)=0,10^6,INDEX(properties!A$1:CB$87,'Fórmula'!H105,20)),IF(INDEX(properties!A$1:CB$87,'Fórmula'!J105,20)=0,10^6,INDEX(properties!A$1:CB$87,'Fórmula'!J105,20)))</f>
        <v>2</v>
      </c>
      <c r="BU105" s="112">
        <f t="shared" si="12"/>
        <v>4</v>
      </c>
      <c r="BV105" s="113">
        <f t="array" ref="BV105">(('Fórmula'!C105)/('Fórmula'!C105+'Fórmula'!E105+'Fórmula'!G105+'Fórmula'!I105+'Fórmula'!K105))*(INDEX(properties!A$1:CB$87,'Fórmula'!B105,21))+(('Fórmula'!E105)/('Fórmula'!C105+'Fórmula'!E105+'Fórmula'!G105+'Fórmula'!I105+'Fórmula'!K105))*(INDEX(properties!A$1:CB$87,'Fórmula'!D105,21))+(('Fórmula'!G105)/('Fórmula'!C105+'Fórmula'!E105+'Fórmula'!G105+'Fórmula'!I105+'Fórmula'!K105))*(INDEX(properties!A$1:CB$87,'Fórmula'!F105,21))+(('Fórmula'!I105)/('Fórmula'!C105+'Fórmula'!E105+'Fórmula'!G105+'Fórmula'!I105+'Fórmula'!K105))*(INDEX(properties!A$1:CB$87,'Fórmula'!H105,21))+(('Fórmula'!K105)/('Fórmula'!C105+'Fórmula'!E105+'Fórmula'!G105+'Fórmula'!I105+'Fórmula'!K105))*(INDEX(properties!A$1:CB$87,'Fórmula'!J105,21))</f>
        <v>4.333333333</v>
      </c>
      <c r="BW105" s="113">
        <f t="array" ref="BW105">'Fórmula'!C105*(INDEX(properties!A$1:CB$87,'Fórmula'!B105,21))+'Fórmula'!E105*(INDEX(properties!A$1:CB$87,'Fórmula'!D105,21))+'Fórmula'!G105*(INDEX(properties!A$1:CB$87,'Fórmula'!F105,21))+'Fórmula'!I105*(INDEX(properties!A$1:CB$87,'Fórmula'!H105,21))+'Fórmula'!K105*(INDEX(properties!A$1:CB$87,'Fórmula'!J105,21))</f>
        <v>39</v>
      </c>
      <c r="BX105" s="113">
        <f t="array" ref="BX105">VARP(IF(INDEX(properties!A$1:CB$87,'Fórmula'!B105,21)&lt;&gt;"",INDEX(properties!A$1:CB$87,'Fórmula'!B105,21)),IF(INDEX(properties!A$1:CB$87,'Fórmula'!D105,21)&lt;&gt;"",INDEX(properties!A$1:CB$87,'Fórmula'!D105,21)),IF(INDEX(properties!A$1:CB$87,'Fórmula'!F105,21)&lt;&gt;"",INDEX(properties!A$1:CB$87,'Fórmula'!F105,21)),IF(INDEX(properties!A$1:CB$87,'Fórmula'!H105,21)&lt;&gt;"",INDEX(properties!A$1:CB$87,'Fórmula'!H105,21)),IF(INDEX(properties!A$1:CB$87,'Fórmula'!J105,21)&lt;&gt;"",INDEX(properties!A$1:CB$87,'Fórmula'!J105,21)))</f>
        <v>4.24</v>
      </c>
      <c r="BY105" s="113">
        <f t="array" ref="BY105">MAX(INDEX(properties!A$1:CB$87,'Fórmula'!B105,21),INDEX(properties!A$1:CB$87,'Fórmula'!D105,21),INDEX(properties!A$1:CB$87,'Fórmula'!F105,21),INDEX(properties!A$1:CB$87,'Fórmula'!H105,21),INDEX(properties!A$1:CB$87,'Fórmula'!J105,21))</f>
        <v>6</v>
      </c>
      <c r="BZ105" s="113">
        <f t="array" ref="BZ105">MIN(IF(INDEX(properties!A$1:CB$87,'Fórmula'!B105,21)=0,10^6,INDEX(properties!A$1:CB$87,'Fórmula'!B105,21)),IF(INDEX(properties!A$1:CB$87,'Fórmula'!D105,21)=0,10^6,INDEX(properties!A$1:CB$87,'Fórmula'!D105,21)),IF(INDEX(properties!A$1:CB$87,'Fórmula'!F105,21)=0,10^6,INDEX(properties!A$1:CB$87,'Fórmula'!F105,21)),IF(INDEX(properties!A$1:CB$87,'Fórmula'!H105,21)=0,10^6,INDEX(properties!A$1:CB$87,'Fórmula'!H105,21)),IF(INDEX(properties!A$1:CB$87,'Fórmula'!J105,21)=0,10^6,INDEX(properties!A$1:CB$87,'Fórmula'!J105,21)))</f>
        <v>1</v>
      </c>
      <c r="CA105" s="113">
        <f t="shared" si="13"/>
        <v>5</v>
      </c>
      <c r="CB105" s="114">
        <f t="array" ref="CB105">(('Fórmula'!C105)/('Fórmula'!C105+'Fórmula'!E105+'Fórmula'!G105+'Fórmula'!I105+'Fórmula'!K105))*(INDEX(properties!A$1:CB$87,'Fórmula'!B105,23))+(('Fórmula'!E105)/('Fórmula'!C105+'Fórmula'!E105+'Fórmula'!G105+'Fórmula'!I105+'Fórmula'!K105))*(INDEX(properties!A$1:CB$87,'Fórmula'!D105,23))+(('Fórmula'!G105)/('Fórmula'!C105+'Fórmula'!E105+'Fórmula'!G105+'Fórmula'!I105+'Fórmula'!K105))*(INDEX(properties!A$1:CB$87,'Fórmula'!F105,23))+(('Fórmula'!I105)/('Fórmula'!C105+'Fórmula'!E105+'Fórmula'!G105+'Fórmula'!I105+'Fórmula'!K105))*(INDEX(properties!A$1:CB$87,'Fórmula'!H105,23))+(('Fórmula'!K105)/('Fórmula'!C105+'Fórmula'!E105+'Fórmula'!G105+'Fórmula'!I105+'Fórmula'!K105))*(INDEX(properties!A$1:CB$87,'Fórmula'!J105,23))</f>
        <v>1.382222222</v>
      </c>
      <c r="CC105" s="114">
        <f t="array" ref="CC105">'Fórmula'!C105*(INDEX(properties!A$1:CB$87,'Fórmula'!B105,23))+'Fórmula'!E105*(INDEX(properties!A$1:CB$87,'Fórmula'!D105,23))+'Fórmula'!G105*(INDEX(properties!A$1:CB$87,'Fórmula'!F105,23))+'Fórmula'!I105*(INDEX(properties!A$1:CB$87,'Fórmula'!H105,23))+'Fórmula'!K105*(INDEX(properties!A$1:CB$87,'Fórmula'!J105,23))</f>
        <v>12.44</v>
      </c>
      <c r="CD105" s="114">
        <f t="array" ref="CD105">VARP(IF(INDEX(properties!A$1:CB$87,'Fórmula'!B105,23)&lt;&gt;"",INDEX(properties!A$1:CB$87,'Fórmula'!B105,23)),IF(INDEX(properties!A$1:CB$87,'Fórmula'!D105,23)&lt;&gt;"",INDEX(properties!A$1:CB$87,'Fórmula'!D105,23)),IF(INDEX(properties!A$1:CB$87,'Fórmula'!F105,23)&lt;&gt;"",INDEX(properties!A$1:CB$87,'Fórmula'!F105,23)),IF(INDEX(properties!A$1:CB$87,'Fórmula'!H105,23)&lt;&gt;"",INDEX(properties!A$1:CB$87,'Fórmula'!H105,23)),IF(INDEX(properties!A$1:CB$87,'Fórmula'!J105,23)&lt;&gt;"",INDEX(properties!A$1:CB$87,'Fórmula'!J105,23)))</f>
        <v>2.978176</v>
      </c>
      <c r="CE105" s="114">
        <f t="array" ref="CE105">MAX(INDEX(properties!A$1:CB$87,'Fórmula'!B105,23),INDEX(properties!A$1:CB$87,'Fórmula'!D105,23),INDEX(properties!A$1:CB$87,'Fórmula'!F105,23),INDEX(properties!A$1:CB$87,'Fórmula'!H105,23),INDEX(properties!A$1:CB$87,'Fórmula'!J105,23))</f>
        <v>4.44</v>
      </c>
      <c r="CF105" s="114">
        <f t="array" ref="CF105">MIN(IF('Fórmula'!B105=87,10^6,INDEX(properties!A$1:CB$87,'Fórmula'!B105,23)),IF(('Fórmula'!D105)=87,10^6,INDEX(properties!A$1:CB$87,'Fórmula'!D105,23)),IF(('Fórmula'!F105)=87,10^6,INDEX(properties!A$1:CB$87,'Fórmula'!F105,23)),IF(('Fórmula'!H105)=87,10^6,INDEX(properties!A$1:CB$87,'Fórmula'!H105,23)),IF('Fórmula'!J105=87,10^6,INDEX(properties!A$1:CB$87,'Fórmula'!J105,23)))</f>
        <v>0</v>
      </c>
      <c r="CG105" s="114">
        <f t="shared" si="14"/>
        <v>4.44</v>
      </c>
      <c r="CH105" s="115">
        <f t="array" ref="CH105">(('Fórmula'!C105)/('Fórmula'!C105+'Fórmula'!E105+'Fórmula'!G105+'Fórmula'!I105+'Fórmula'!K105))*(INDEX(properties!A$1:CB$87,'Fórmula'!B105,26))+(('Fórmula'!E105)/('Fórmula'!C105+'Fórmula'!E105+'Fórmula'!G105+'Fórmula'!I105+'Fórmula'!K105))*(INDEX(properties!A$1:CB$87,'Fórmula'!D105,26))+(('Fórmula'!G105)/('Fórmula'!C105+'Fórmula'!E105+'Fórmula'!G105+'Fórmula'!I105+'Fórmula'!K105))*(INDEX(properties!A$1:CB$87,'Fórmula'!F105,26))+(('Fórmula'!I105)/('Fórmula'!C105+'Fórmula'!E105+'Fórmula'!G105+'Fórmula'!I105+'Fórmula'!K105))*(INDEX(properties!A$1:CB$87,'Fórmula'!H105,26))+(('Fórmula'!K105)/('Fórmula'!C105+'Fórmula'!E105+'Fórmula'!G105+'Fórmula'!I105+'Fórmula'!K105))*(INDEX(properties!A$1:CB$87,'Fórmula'!J105,26))</f>
        <v>10.55511111</v>
      </c>
      <c r="CI105" s="115">
        <f t="array" ref="CI105">'Fórmula'!C105*(INDEX(properties!A$1:CB$87,'Fórmula'!B105,26))+'Fórmula'!E105*(INDEX(properties!A$1:CB$87,'Fórmula'!D105,26))+'Fórmula'!G105*(INDEX(properties!A$1:CB$87,'Fórmula'!F105,26))+'Fórmula'!I105*(INDEX(properties!A$1:CB$87,'Fórmula'!H105,26))+'Fórmula'!K105*(INDEX(properties!A$1:CB$87,'Fórmula'!J105,26))</f>
        <v>94.996</v>
      </c>
      <c r="CJ105" s="115">
        <f t="array" ref="CJ105">VARP(IF(INDEX(properties!A$1:CB$87,'Fórmula'!B105,26)&lt;&gt;"",INDEX(properties!A$1:CB$87,'Fórmula'!B105,26)),IF(INDEX(properties!A$1:CB$87,'Fórmula'!D105,26)&lt;&gt;"",INDEX(properties!A$1:CB$87,'Fórmula'!D105,26)),IF(INDEX(properties!A$1:CB$87,'Fórmula'!F105,26)&lt;&gt;"",INDEX(properties!A$1:CB$87,'Fórmula'!F105,26)),IF(INDEX(properties!A$1:CB$87,'Fórmula'!H105,26)&lt;&gt;"",INDEX(properties!A$1:CB$87,'Fórmula'!H105,26)),IF(INDEX(properties!A$1:CB$87,'Fórmula'!J105,26)&lt;&gt;"",INDEX(properties!A$1:CB$87,'Fórmula'!J105,26)))</f>
        <v>20.47477458</v>
      </c>
      <c r="CK105" s="116">
        <f t="array" ref="CK105">MAX(INDEX(properties!A$1:CB$87,'Fórmula'!B105,26),INDEX(properties!A$1:CB$87,'Fórmula'!D105,26),INDEX(properties!A$1:CB$87,'Fórmula'!F105,26),INDEX(properties!A$1:CB$87,'Fórmula'!H105,26),INDEX(properties!A$1:CB$87,'Fórmula'!J105,26))</f>
        <v>13.6181</v>
      </c>
      <c r="CL105" s="116">
        <f t="array" ref="CL105">MIN(IF(INDEX(properties!A$1:CB$87,'Fórmula'!B105,26)=0,10^6,INDEX(properties!A$1:CB$87,'Fórmula'!B105,26)),IF(INDEX(properties!A$1:CB$87,'Fórmula'!D105,26)=0,10^6,INDEX(properties!A$1:CB$87,'Fórmula'!D105,26)),IF(INDEX(properties!A$1:CB$87,'Fórmula'!F105,26)=0,10^6,INDEX(properties!A$1:CB$87,'Fórmula'!F105,26)),IF(INDEX(properties!A$1:CB$87,'Fórmula'!H105,26)=0,10^6,INDEX(properties!A$1:CB$87,'Fórmula'!H105,26)),IF(INDEX(properties!A$1:CB$87,'Fórmula'!J105,26)=0,10^6,INDEX(properties!A$1:CB$87,'Fórmula'!J105,26)))</f>
        <v>5.2117</v>
      </c>
      <c r="CM105" s="115">
        <f t="shared" si="15"/>
        <v>8.4064</v>
      </c>
      <c r="CN105" s="117">
        <f t="array" ref="CN105">(('Fórmula'!C105)/('Fórmula'!C105+'Fórmula'!E105+'Fórmula'!G105+'Fórmula'!I105+'Fórmula'!K105))*(INDEX(properties!A$1:CB$87,'Fórmula'!B105,30))+(('Fórmula'!E105)/('Fórmula'!C105+'Fórmula'!E105+'Fórmula'!G105+'Fórmula'!I105+'Fórmula'!K105))*(INDEX(properties!A$1:CB$87,'Fórmula'!D105,30))+(('Fórmula'!G105)/('Fórmula'!C105+'Fórmula'!E105+'Fórmula'!G105+'Fórmula'!I105+'Fórmula'!K105))*(INDEX(properties!A$1:CB$87,'Fórmula'!F105,30))+(('Fórmula'!I105)/('Fórmula'!C105+'Fórmula'!E105+'Fórmula'!G105+'Fórmula'!I105+'Fórmula'!K105))*(INDEX(properties!A$1:CB$87,'Fórmula'!H105,30))+(('Fórmula'!K105)/('Fórmula'!C105+'Fórmula'!E105+'Fórmula'!G105+'Fórmula'!I105+'Fórmula'!K105))*(INDEX(properties!A$1:CB$87,'Fórmula'!J105,30))</f>
        <v>2.46</v>
      </c>
      <c r="CO105" s="117">
        <f t="array" ref="CO105">'Fórmula'!C105*(INDEX(properties!A$1:CB$87,'Fórmula'!B105,30))+'Fórmula'!E105*(INDEX(properties!A$1:CB$87,'Fórmula'!D105,30))+'Fórmula'!G105*(INDEX(properties!A$1:CB$87,'Fórmula'!F105,30))+'Fórmula'!I105*(INDEX(properties!A$1:CB$87,'Fórmula'!H105,30))+'Fórmula'!K105*(INDEX(properties!A$1:CB$87,'Fórmula'!J105,30))</f>
        <v>22.14</v>
      </c>
      <c r="CP105" s="117">
        <f t="array" ref="CP105">VARP(IF(INDEX(properties!A$1:CB$87,'Fórmula'!B105,30)&lt;&gt;"",INDEX(properties!A$1:CB$87,'Fórmula'!B105,30)),IF(INDEX(properties!A$1:CB$87,'Fórmula'!D105,30)&lt;&gt;"",INDEX(properties!A$1:CB$87,'Fórmula'!D105,30)),IF(INDEX(properties!A$1:CB$87,'Fórmula'!F105,30)&lt;&gt;"",INDEX(properties!A$1:CB$87,'Fórmula'!F105,30)),IF(INDEX(properties!A$1:CB$87,'Fórmula'!H105,30)&lt;&gt;"",INDEX(properties!A$1:CB$87,'Fórmula'!H105,30)),IF(INDEX(properties!A$1:CB$87,'Fórmula'!J105,30)&lt;&gt;"",INDEX(properties!A$1:CB$87,'Fórmula'!J105,30)))</f>
        <v>1.295544</v>
      </c>
      <c r="CQ105" s="117">
        <f t="array" ref="CQ105">MAX(INDEX(properties!A$1:CB$87,'Fórmula'!B105,30),INDEX(properties!A$1:CB$87,'Fórmula'!D105,30),INDEX(properties!A$1:CB$87,'Fórmula'!F105,30),INDEX(properties!A$1:CB$87,'Fórmula'!H105,30),INDEX(properties!A$1:CB$87,'Fórmula'!J105,30))</f>
        <v>3.44</v>
      </c>
      <c r="CR105" s="117">
        <f t="array" ref="CR105">MIN(IF(INDEX(properties!A$1:CB$87,'Fórmula'!B105,30)=0,10^6,INDEX(properties!A$1:CB$87,'Fórmula'!B105,30)),IF(INDEX(properties!A$1:CB$87,'Fórmula'!D105,30)=0,10^6,INDEX(properties!A$1:CB$87,'Fórmula'!D105,30)),IF(INDEX(properties!A$1:CB$87,'Fórmula'!F105,30)=0,10^6,INDEX(properties!A$1:CB$87,'Fórmula'!F105,30)),IF(INDEX(properties!A$1:CB$87,'Fórmula'!H105,30)=0,10^6,INDEX(properties!A$1:CB$87,'Fórmula'!H105,30)),IF(INDEX(properties!A$1:CB$87,'Fórmula'!J105,30)=0,10^6,INDEX(properties!A$1:CB$87,'Fórmula'!J105,30)))</f>
        <v>0.89</v>
      </c>
      <c r="CS105" s="117">
        <f t="shared" si="16"/>
        <v>2.55</v>
      </c>
      <c r="CT105" s="118">
        <f t="array" ref="CT105">(('Fórmula'!C105)/('Fórmula'!C105+'Fórmula'!E105+'Fórmula'!G105+'Fórmula'!I105+'Fórmula'!K105))*(INDEX(properties!A$1:CB$87,'Fórmula'!B105,31))+(('Fórmula'!E105)/('Fórmula'!C105+'Fórmula'!E105+'Fórmula'!G105+'Fórmula'!I105+'Fórmula'!K105))*(INDEX(properties!A$1:CB$87,'Fórmula'!D105,31))+(('Fórmula'!G105)/('Fórmula'!C105+'Fórmula'!E105+'Fórmula'!G105+'Fórmula'!I105+'Fórmula'!K105))*(INDEX(properties!A$1:CB$87,'Fórmula'!F105,31))+(('Fórmula'!I105)/('Fórmula'!C105+'Fórmula'!E105+'Fórmula'!G105+'Fórmula'!I105+'Fórmula'!K105))*(INDEX(properties!A$1:CB$87,'Fórmula'!H105,31))+(('Fórmula'!K105)/('Fórmula'!C105+'Fórmula'!E105+'Fórmula'!G105+'Fórmula'!I105+'Fórmula'!K105))*(INDEX(properties!A$1:CB$87,'Fórmula'!J105,31))</f>
        <v>2.368888889</v>
      </c>
      <c r="CU105" s="118">
        <f t="array" ref="CU105">'Fórmula'!C105*(INDEX(properties!A$1:CB$87,'Fórmula'!B105,31))+'Fórmula'!E105*(INDEX(properties!A$1:CB$87,'Fórmula'!D105,31))+'Fórmula'!G105*(INDEX(properties!A$1:CB$87,'Fórmula'!F105,31))+'Fórmula'!I105*(INDEX(properties!A$1:CB$87,'Fórmula'!H105,31))+'Fórmula'!K105*(INDEX(properties!A$1:CB$87,'Fórmula'!J105,31))</f>
        <v>21.32</v>
      </c>
      <c r="CV105" s="118">
        <f t="array" ref="CV105">VARP(IF(INDEX(properties!A$1:CB$87,'Fórmula'!B105,31)&lt;&gt;"",INDEX(properties!A$1:CB$87,'Fórmula'!B105,31)),IF(INDEX(properties!A$1:CB$87,'Fórmula'!D105,31)&lt;&gt;"",INDEX(properties!A$1:CB$87,'Fórmula'!D105,31)),IF(INDEX(properties!A$1:CB$87,'Fórmula'!F105,31)&lt;&gt;"",INDEX(properties!A$1:CB$87,'Fórmula'!F105,31)),IF(INDEX(properties!A$1:CB$87,'Fórmula'!H105,31)&lt;&gt;"",INDEX(properties!A$1:CB$87,'Fórmula'!H105,31)),IF(INDEX(properties!A$1:CB$87,'Fórmula'!J105,31)&lt;&gt;"",INDEX(properties!A$1:CB$87,'Fórmula'!J105,31)))</f>
        <v>1.167936</v>
      </c>
      <c r="CW105" s="118">
        <f t="array" ref="CW105">MAX(INDEX(properties!A$1:CB$87,'Fórmula'!B105,31),INDEX(properties!A$1:CB$87,'Fórmula'!D105,31),INDEX(properties!A$1:CB$87,'Fórmula'!F105,31),INDEX(properties!A$1:CB$87,'Fórmula'!H105,31),INDEX(properties!A$1:CB$87,'Fórmula'!J105,31))</f>
        <v>3.32</v>
      </c>
      <c r="CX105" s="118">
        <f t="array" ref="CX105">MIN(IF(INDEX(properties!A$1:CB$87,'Fórmula'!B105,31)=0,10^6,INDEX(properties!A$1:CB$87,'Fórmula'!B105,31)),IF(INDEX(properties!A$1:CB$87,'Fórmula'!D105,31)=0,10^6,INDEX(properties!A$1:CB$87,'Fórmula'!D105,31)),IF(INDEX(properties!A$1:CB$87,'Fórmula'!F105,31)=0,10^6,INDEX(properties!A$1:CB$87,'Fórmula'!F105,31)),IF(INDEX(properties!A$1:CB$87,'Fórmula'!H105,31)=0,10^6,INDEX(properties!A$1:CB$87,'Fórmula'!H105,31)),IF(INDEX(properties!A$1:CB$87,'Fórmula'!J105,31)=0,10^6,INDEX(properties!A$1:CB$87,'Fórmula'!J105,31)))</f>
        <v>1.08</v>
      </c>
      <c r="CY105" s="118">
        <f t="shared" si="17"/>
        <v>2.24</v>
      </c>
      <c r="CZ105" s="119">
        <f t="array" ref="CZ105">(('Fórmula'!C105)/('Fórmula'!C105+'Fórmula'!E105+'Fórmula'!G105+'Fórmula'!I105+'Fórmula'!K105))*(INDEX(properties!A$1:CB$87,'Fórmula'!B105,32))+(('Fórmula'!E105)/('Fórmula'!C105+'Fórmula'!E105+'Fórmula'!G105+'Fórmula'!I105+'Fórmula'!K105))*(INDEX(properties!A$1:CB$87,'Fórmula'!D105,32))+(('Fórmula'!G105)/('Fórmula'!C105+'Fórmula'!E105+'Fórmula'!G105+'Fórmula'!I105+'Fórmula'!K105))*(INDEX(properties!A$1:CB$87,'Fórmula'!F105,32))+(('Fórmula'!I105)/('Fórmula'!C105+'Fórmula'!E105+'Fórmula'!G105+'Fórmula'!I105+'Fórmula'!K105))*(INDEX(properties!A$1:CB$87,'Fórmula'!H105,32))+(('Fórmula'!K105)/('Fórmula'!C105+'Fórmula'!E105+'Fórmula'!G105+'Fórmula'!I105+'Fórmula'!K105))*(INDEX(properties!A$1:CB$87,'Fórmula'!J105,32))</f>
        <v>5.638888889</v>
      </c>
      <c r="DA105" s="119">
        <f t="array" ref="DA105">'Fórmula'!C105*(INDEX(properties!A$1:CB$87,'Fórmula'!B105,32))+'Fórmula'!E105*(INDEX(properties!A$1:CB$87,'Fórmula'!D105,32))+'Fórmula'!G105*(INDEX(properties!A$1:CB$87,'Fórmula'!F105,32))+'Fórmula'!I105*(INDEX(properties!A$1:CB$87,'Fórmula'!H105,32))+'Fórmula'!K105*(INDEX(properties!A$1:CB$87,'Fórmula'!J105,32))</f>
        <v>50.75</v>
      </c>
      <c r="DB105" s="119">
        <f t="array" ref="DB105">VARP(IF(INDEX(properties!A$1:CB$87,'Fórmula'!B105,32)&lt;&gt;"",INDEX(properties!A$1:CB$87,'Fórmula'!B105,32)),IF(INDEX(properties!A$1:CB$87,'Fórmula'!D105,32)&lt;&gt;"",INDEX(properties!A$1:CB$87,'Fórmula'!D105,32)),IF(INDEX(properties!A$1:CB$87,'Fórmula'!F105,32)&lt;&gt;"",INDEX(properties!A$1:CB$87,'Fórmula'!F105,32)),IF(INDEX(properties!A$1:CB$87,'Fórmula'!H105,32)&lt;&gt;"",INDEX(properties!A$1:CB$87,'Fórmula'!H105,32)),IF(INDEX(properties!A$1:CB$87,'Fórmula'!J105,32)&lt;&gt;"",INDEX(properties!A$1:CB$87,'Fórmula'!J105,32)))</f>
        <v>6.168816</v>
      </c>
      <c r="DC105" s="119">
        <f t="array" ref="DC105">MAX(INDEX(properties!A$1:CB$87,'Fórmula'!B105,32),INDEX(properties!A$1:CB$87,'Fórmula'!D105,32),INDEX(properties!A$1:CB$87,'Fórmula'!F105,32),INDEX(properties!A$1:CB$87,'Fórmula'!H105,32),INDEX(properties!A$1:CB$87,'Fórmula'!J105,32))</f>
        <v>7.54</v>
      </c>
      <c r="DD105" s="119">
        <f t="array" ref="DD105">MIN(IF(INDEX(properties!A$1:CB$87,'Fórmula'!B105,32)=0,10^6,INDEX(properties!A$1:CB$87,'Fórmula'!B105,32)),IF(INDEX(properties!A$1:CB$87,'Fórmula'!D105,32)=0,10^6,INDEX(properties!A$1:CB$87,'Fórmula'!D105,32)),IF(INDEX(properties!A$1:CB$87,'Fórmula'!F105,32)=0,10^6,INDEX(properties!A$1:CB$87,'Fórmula'!F105,32)),IF(INDEX(properties!A$1:CB$87,'Fórmula'!H105,32)=0,10^6,INDEX(properties!A$1:CB$87,'Fórmula'!H105,32)),IF(INDEX(properties!A$1:CB$87,'Fórmula'!J105,32)=0,10^6,INDEX(properties!A$1:CB$87,'Fórmula'!J105,32)))</f>
        <v>2.4</v>
      </c>
      <c r="DE105" s="119">
        <f t="shared" si="18"/>
        <v>5.14</v>
      </c>
      <c r="DF105" s="104">
        <f t="array" ref="DF105">(('Fórmula'!C105)/('Fórmula'!C105+'Fórmula'!E105+'Fórmula'!G105+'Fórmula'!I105+'Fórmula'!K105))*(INDEX(properties!A$1:CB$87,'Fórmula'!B105,34))+(('Fórmula'!E105)/('Fórmula'!C105+'Fórmula'!E105+'Fórmula'!G105+'Fórmula'!I105+'Fórmula'!K105))*(INDEX(properties!A$1:CB$87,'Fórmula'!D105,34))+(('Fórmula'!G105)/('Fórmula'!C105+'Fórmula'!E105+'Fórmula'!G105+'Fórmula'!I105+'Fórmula'!K105))*(INDEX(properties!A$1:CB$87,'Fórmula'!F105,34))+(('Fórmula'!I105)/('Fórmula'!C105+'Fórmula'!E105+'Fórmula'!G105+'Fórmula'!I105+'Fórmula'!K105))*(INDEX(properties!A$1:CB$87,'Fórmula'!H105,34))+(('Fórmula'!K105)/('Fórmula'!C105+'Fórmula'!E105+'Fórmula'!G105+'Fórmula'!I105+'Fórmula'!K105))*(INDEX(properties!A$1:CB$87,'Fórmula'!J105,34))</f>
        <v>2.522333333</v>
      </c>
      <c r="DG105" s="104">
        <f t="array" ref="DG105">'Fórmula'!C105*(INDEX(properties!A$1:CB$87,'Fórmula'!B105,34))+'Fórmula'!E105*(INDEX(properties!A$1:CB$87,'Fórmula'!D105,34))+'Fórmula'!G105*(INDEX(properties!A$1:CB$87,'Fórmula'!F105,34))+'Fórmula'!I105*(INDEX(properties!A$1:CB$87,'Fórmula'!H105,34))+'Fórmula'!K105*(INDEX(properties!A$1:CB$87,'Fórmula'!J105,34))</f>
        <v>22.701</v>
      </c>
      <c r="DH105" s="104">
        <f t="array" ref="DH105">VARP(IF(INDEX(properties!A$1:CB$87,'Fórmula'!B105,34)&lt;&gt;"",INDEX(properties!A$1:CB$87,'Fórmula'!B105,34)),IF(INDEX(properties!A$1:CB$87,'Fórmula'!D105,34)&lt;&gt;"",INDEX(properties!A$1:CB$87,'Fórmula'!D105,34)),IF(INDEX(properties!A$1:CB$87,'Fórmula'!F105,34)&lt;&gt;"",INDEX(properties!A$1:CB$87,'Fórmula'!F105,34)),IF(INDEX(properties!A$1:CB$87,'Fórmula'!H105,34)&lt;&gt;"",INDEX(properties!A$1:CB$87,'Fórmula'!H105,34)),IF(INDEX(properties!A$1:CB$87,'Fórmula'!J105,34)&lt;&gt;"",INDEX(properties!A$1:CB$87,'Fórmula'!J105,34)))</f>
        <v>1.44796256</v>
      </c>
      <c r="DI105" s="104">
        <f t="array" ref="DI105">MAX(INDEX(properties!A$1:CB$87,'Fórmula'!B105,34),INDEX(properties!A$1:CB$87,'Fórmula'!D105,34),INDEX(properties!A$1:CB$87,'Fórmula'!F105,34),INDEX(properties!A$1:CB$87,'Fórmula'!H105,34),INDEX(properties!A$1:CB$87,'Fórmula'!J105,34))</f>
        <v>3.61</v>
      </c>
      <c r="DJ105" s="104">
        <f t="array" ref="DJ105">MIN(IF(INDEX(properties!A$1:CB$87,'Fórmula'!B105,34)=0,10^6,INDEX(properties!A$1:CB$87,'Fórmula'!B105,34)),IF(INDEX(properties!A$1:CB$87,'Fórmula'!D105,34)=0,10^6,INDEX(properties!A$1:CB$87,'Fórmula'!D105,34)),IF(INDEX(properties!A$1:CB$87,'Fórmula'!F105,34)=0,10^6,INDEX(properties!A$1:CB$87,'Fórmula'!F105,34)),IF(INDEX(properties!A$1:CB$87,'Fórmula'!H105,34)=0,10^6,INDEX(properties!A$1:CB$87,'Fórmula'!H105,34)),IF(INDEX(properties!A$1:CB$87,'Fórmula'!J105,34)=0,10^6,INDEX(properties!A$1:CB$87,'Fórmula'!J105,34)))</f>
        <v>0.881</v>
      </c>
      <c r="DK105" s="104">
        <f t="shared" si="19"/>
        <v>2.729</v>
      </c>
      <c r="DL105" s="105" t="str">
        <f t="array" ref="DL105">(('Fórmula'!C105)/('Fórmula'!C105+'Fórmula'!E105+'Fórmula'!G105+'Fórmula'!I105+'Fórmula'!K105))*(INDEX(properties!A$1:CB$87,'Fórmula'!B105,37))+(('Fórmula'!E105)/('Fórmula'!C105+'Fórmula'!E105+'Fórmula'!G105+'Fórmula'!I105+'Fórmula'!K105))*(INDEX(properties!A$1:CB$87,'Fórmula'!D105,37))+(('Fórmula'!G105)/('Fórmula'!C105+'Fórmula'!E105+'Fórmula'!G105+'Fórmula'!I105+'Fórmula'!K105))*(INDEX(properties!A$1:CB$87,'Fórmula'!F105,37))+(('Fórmula'!I105)/('Fórmula'!C105+'Fórmula'!E105+'Fórmula'!G105+'Fórmula'!I105+'Fórmula'!K105))*(INDEX(properties!A$1:CB$87,'Fórmula'!H105,37))+(('Fórmula'!K105)/('Fórmula'!C105+'Fórmula'!E105+'Fórmula'!G105+'Fórmula'!I105+'Fórmula'!K105))*(INDEX(properties!A$1:CB$87,'Fórmula'!J105,37))</f>
        <v>#VALUE!</v>
      </c>
      <c r="DM105" s="105" t="str">
        <f t="array" ref="DM105">'Fórmula'!C105*(INDEX(properties!A$1:CB$87,'Fórmula'!B105,37))+'Fórmula'!E105*(INDEX(properties!A$1:CB$87,'Fórmula'!D105,37))+'Fórmula'!G105*(INDEX(properties!A$1:CB$87,'Fórmula'!F105,37))+'Fórmula'!I105*(INDEX(properties!A$1:CB$87,'Fórmula'!H105,37))+'Fórmula'!K105*(INDEX(properties!A$1:CB$87,'Fórmula'!J105,37))</f>
        <v>#VALUE!</v>
      </c>
      <c r="DN105" s="105">
        <f t="array" ref="DN105">VARP(IF(INDEX(properties!A$1:CB$87,'Fórmula'!B105,37)&lt;&gt;"",INDEX(properties!A$1:CB$87,'Fórmula'!B105,37)),IF(INDEX(properties!A$1:CB$87,'Fórmula'!D105,37)&lt;&gt;"",INDEX(properties!A$1:CB$87,'Fórmula'!D105,37)),IF(INDEX(properties!A$1:CB$87,'Fórmula'!F105,37)&lt;&gt;"",INDEX(properties!A$1:CB$87,'Fórmula'!F105,37)),IF(INDEX(properties!A$1:CB$87,'Fórmula'!H105,37)&lt;&gt;"",INDEX(properties!A$1:CB$87,'Fórmula'!H105,37)),IF(INDEX(properties!A$1:CB$87,'Fórmula'!J105,37)&lt;&gt;"",INDEX(properties!A$1:CB$87,'Fórmula'!J105,37)))</f>
        <v>1.61296875</v>
      </c>
      <c r="DO105" s="105">
        <f t="array" ref="DO105">MAX(INDEX(properties!A$1:CB$87,'Fórmula'!B105,37),INDEX(properties!A$1:CB$87,'Fórmula'!D105,37),INDEX(properties!A$1:CB$87,'Fórmula'!F105,37),INDEX(properties!A$1:CB$87,'Fórmula'!H105,37),INDEX(properties!A$1:CB$87,'Fórmula'!J105,37))</f>
        <v>3.45</v>
      </c>
      <c r="DP105" s="105">
        <f t="array" ref="DP105">MIN(IF(INDEX(properties!A$1:CB$87,'Fórmula'!B105,37)=0,10^6,INDEX(properties!A$1:CB$87,'Fórmula'!B105,37)),IF(INDEX(properties!A$1:CB$87,'Fórmula'!D105,37)=0,10^6,INDEX(properties!A$1:CB$87,'Fórmula'!D105,37)),IF(INDEX(properties!A$1:CB$87,'Fórmula'!F105,37)=0,10^6,INDEX(properties!A$1:CB$87,'Fórmula'!F105,37)),IF(INDEX(properties!A$1:CB$87,'Fórmula'!H105,37)=0,10^6,INDEX(properties!A$1:CB$87,'Fórmula'!H105,37)),IF(INDEX(properties!A$1:CB$87,'Fórmula'!J105,37)=0,10^6,INDEX(properties!A$1:CB$87,'Fórmula'!J105,37)))</f>
        <v>0.9</v>
      </c>
      <c r="DQ105" s="105">
        <f t="shared" si="20"/>
        <v>2.55</v>
      </c>
      <c r="DR105" s="109">
        <f t="array" ref="DR105">(('Fórmula'!C105)/('Fórmula'!C105+'Fórmula'!E105+'Fórmula'!G105+'Fórmula'!I105+'Fórmula'!K105))*(INDEX(properties!A$1:CB$87,'Fórmula'!B105,39))+(('Fórmula'!E105)/('Fórmula'!C105+'Fórmula'!E105+'Fórmula'!G105+'Fórmula'!I105+'Fórmula'!K105))*(INDEX(properties!A$1:CB$87,'Fórmula'!D105,39))+(('Fórmula'!G105)/('Fórmula'!C105+'Fórmula'!E105+'Fórmula'!G105+'Fórmula'!I105+'Fórmula'!K105))*(INDEX(properties!A$1:CB$87,'Fórmula'!F105,39))+(('Fórmula'!I105)/('Fórmula'!C105+'Fórmula'!E105+'Fórmula'!G105+'Fórmula'!I105+'Fórmula'!K105))*(INDEX(properties!A$1:CB$87,'Fórmula'!H105,39))+(('Fórmula'!K105)/('Fórmula'!C105+'Fórmula'!E105+'Fórmula'!G105+'Fórmula'!I105+'Fórmula'!K105))*(INDEX(properties!A$1:CB$87,'Fórmula'!J105,39))</f>
        <v>1.223333333</v>
      </c>
      <c r="DS105" s="109">
        <f t="array" ref="DS105">'Fórmula'!C105*(INDEX(properties!A$1:CB$87,'Fórmula'!B105,39))+'Fórmula'!E105*(INDEX(properties!A$1:CB$87,'Fórmula'!D105,39))+'Fórmula'!G105*(INDEX(properties!A$1:CB$87,'Fórmula'!F105,39))+'Fórmula'!I105*(INDEX(properties!A$1:CB$87,'Fórmula'!H105,39))+'Fórmula'!K105*(INDEX(properties!A$1:CB$87,'Fórmula'!J105,39))</f>
        <v>11.01</v>
      </c>
      <c r="DT105" s="109">
        <f t="array" ref="DT105">VARP(IF(INDEX(properties!A$1:CB$87,'Fórmula'!B105,39)&lt;&gt;"",INDEX(properties!A$1:CB$87,'Fórmula'!B105,39)),IF(INDEX(properties!A$1:CB$87,'Fórmula'!D105,39)&lt;&gt;"",INDEX(properties!A$1:CB$87,'Fórmula'!D105,39)),IF(INDEX(properties!A$1:CB$87,'Fórmula'!F105,39)&lt;&gt;"",INDEX(properties!A$1:CB$87,'Fórmula'!F105,39)),IF(INDEX(properties!A$1:CB$87,'Fórmula'!H105,39)&lt;&gt;"",INDEX(properties!A$1:CB$87,'Fórmula'!H105,39)),IF(INDEX(properties!A$1:CB$87,'Fórmula'!J105,39)&lt;&gt;"",INDEX(properties!A$1:CB$87,'Fórmula'!J105,39)))</f>
        <v>0.987416</v>
      </c>
      <c r="DU105" s="120">
        <f t="array" ref="DU105">MAX(INDEX(properties!A$1:CB$87,'Fórmula'!B105,39),INDEX(properties!A$1:CB$87,'Fórmula'!D105,39),INDEX(properties!A$1:CB$87,'Fórmula'!F105,39),INDEX(properties!A$1:CB$87,'Fórmula'!H105,39),INDEX(properties!A$1:CB$87,'Fórmula'!J105,39))</f>
        <v>2.53</v>
      </c>
      <c r="DV105" s="120">
        <f t="array" ref="DV105">MIN(IF(INDEX(properties!A$1:CB$87,'Fórmula'!B105,39)=0,10^6,INDEX(properties!A$1:CB$87,'Fórmula'!B105,39)),IF(INDEX(properties!A$1:CB$87,'Fórmula'!D105,39)=0,10^6,INDEX(properties!A$1:CB$87,'Fórmula'!D105,39)),IF(INDEX(properties!A$1:CB$87,'Fórmula'!F105,39)=0,10^6,INDEX(properties!A$1:CB$87,'Fórmula'!F105,39)),IF(INDEX(properties!A$1:CB$87,'Fórmula'!H105,39)=0,10^6,INDEX(properties!A$1:CB$87,'Fórmula'!H105,39)),IF(INDEX(properties!A$1:CB$87,'Fórmula'!J105,39)=0,10^6,INDEX(properties!A$1:CB$87,'Fórmula'!J105,39)))</f>
        <v>0.48</v>
      </c>
      <c r="DW105" s="109">
        <f t="shared" si="21"/>
        <v>2.05</v>
      </c>
      <c r="DX105" s="110">
        <f t="array" ref="DX105">(('Fórmula'!C105)/('Fórmula'!C105+'Fórmula'!E105+'Fórmula'!G105+'Fórmula'!I105+'Fórmula'!K105))*(INDEX(properties!A$1:CB$87,'Fórmula'!B105,40))+(('Fórmula'!E105)/('Fórmula'!C105+'Fórmula'!E105+'Fórmula'!G105+'Fórmula'!I105+'Fórmula'!K105))*(INDEX(properties!A$1:CB$87,'Fórmula'!D105,40))+(('Fórmula'!G105)/('Fórmula'!C105+'Fórmula'!E105+'Fórmula'!G105+'Fórmula'!I105+'Fórmula'!K105))*(INDEX(properties!A$1:CB$87,'Fórmula'!F105,40))+(('Fórmula'!I105)/('Fórmula'!C105+'Fórmula'!E105+'Fórmula'!G105+'Fórmula'!I105+'Fórmula'!K105))*(INDEX(properties!A$1:CB$87,'Fórmula'!H105,40))+(('Fórmula'!K105)/('Fórmula'!C105+'Fórmula'!E105+'Fórmula'!G105+'Fórmula'!I105+'Fórmula'!K105))*(INDEX(properties!A$1:CB$87,'Fórmula'!J105,40))</f>
        <v>1.128888889</v>
      </c>
      <c r="DY105" s="110">
        <f t="array" ref="DY105">'Fórmula'!C105*(INDEX(properties!A$1:CB$87,'Fórmula'!B105,40))+'Fórmula'!E105*(INDEX(properties!A$1:CB$87,'Fórmula'!D105,40))+'Fórmula'!G105*(INDEX(properties!A$1:CB$87,'Fórmula'!F105,40))+'Fórmula'!I105*(INDEX(properties!A$1:CB$87,'Fórmula'!H105,40))+'Fórmula'!K105*(INDEX(properties!A$1:CB$87,'Fórmula'!J105,40))</f>
        <v>10.16</v>
      </c>
      <c r="DZ105" s="110">
        <f t="array" ref="DZ105">VARP(IF(INDEX(properties!A$1:CB$87,'Fórmula'!B105,40)&lt;&gt;"",INDEX(properties!A$1:CB$87,'Fórmula'!B105,40)),IF(INDEX(properties!A$1:CB$87,'Fórmula'!D105,40)&lt;&gt;"",INDEX(properties!A$1:CB$87,'Fórmula'!D105,40)),IF(INDEX(properties!A$1:CB$87,'Fórmula'!F105,40)&lt;&gt;"",INDEX(properties!A$1:CB$87,'Fórmula'!F105,40)),IF(INDEX(properties!A$1:CB$87,'Fórmula'!H105,40)&lt;&gt;"",INDEX(properties!A$1:CB$87,'Fórmula'!H105,40)),IF(INDEX(properties!A$1:CB$87,'Fórmula'!J105,40)&lt;&gt;"",INDEX(properties!A$1:CB$87,'Fórmula'!J105,40)))</f>
        <v>0.484424</v>
      </c>
      <c r="EA105" s="121">
        <f t="array" ref="EA105">MAX(INDEX(properties!A$1:CB$87,'Fórmula'!B105,40),INDEX(properties!A$1:CB$87,'Fórmula'!D105,40),INDEX(properties!A$1:CB$87,'Fórmula'!F105,40),INDEX(properties!A$1:CB$87,'Fórmula'!H105,40),INDEX(properties!A$1:CB$87,'Fórmula'!J105,40))</f>
        <v>1.98</v>
      </c>
      <c r="EB105" s="121">
        <f t="array" ref="EB105">MIN(IF(INDEX(properties!A$1:CB$87,'Fórmula'!B105,40)=0,10^6,INDEX(properties!A$1:CB$87,'Fórmula'!B105,40)),IF(INDEX(properties!A$1:CB$87,'Fórmula'!D105,40)=0,10^6,INDEX(properties!A$1:CB$87,'Fórmula'!D105,40)),IF(INDEX(properties!A$1:CB$87,'Fórmula'!F105,40)=0,10^6,INDEX(properties!A$1:CB$87,'Fórmula'!F105,40)),IF(INDEX(properties!A$1:CB$87,'Fórmula'!H105,40)=0,10^6,INDEX(properties!A$1:CB$87,'Fórmula'!H105,40)),IF(INDEX(properties!A$1:CB$87,'Fórmula'!J105,40)=0,10^6,INDEX(properties!A$1:CB$87,'Fórmula'!J105,40)))</f>
        <v>0.73</v>
      </c>
      <c r="EC105" s="110">
        <f t="shared" si="22"/>
        <v>1.25</v>
      </c>
      <c r="ED105" s="111">
        <f t="array" ref="ED105">(('Fórmula'!C105)/('Fórmula'!C105+'Fórmula'!E105+'Fórmula'!G105+'Fórmula'!I105+'Fórmula'!K105))*(INDEX(properties!A$1:CB$87,'Fórmula'!B105,41))+(('Fórmula'!E105)/('Fórmula'!C105+'Fórmula'!E105+'Fórmula'!G105+'Fórmula'!I105+'Fórmula'!K105))*(INDEX(properties!A$1:CB$87,'Fórmula'!D105,41))+(('Fórmula'!G105)/('Fórmula'!C105+'Fórmula'!E105+'Fórmula'!G105+'Fórmula'!I105+'Fórmula'!K105))*(INDEX(properties!A$1:CB$87,'Fórmula'!F105,41))+(('Fórmula'!I105)/('Fórmula'!C105+'Fórmula'!E105+'Fórmula'!G105+'Fórmula'!I105+'Fórmula'!K105))*(INDEX(properties!A$1:CB$87,'Fórmula'!H105,41))+(('Fórmula'!K105)/('Fórmula'!C105+'Fórmula'!E105+'Fórmula'!G105+'Fórmula'!I105+'Fórmula'!K105))*(INDEX(properties!A$1:CB$87,'Fórmula'!J105,41))</f>
        <v>1.203333333</v>
      </c>
      <c r="EE105" s="111">
        <f t="array" ref="EE105">'Fórmula'!C105*(INDEX(properties!A$1:CB$87,'Fórmula'!B105,41))+'Fórmula'!E105*(INDEX(properties!A$1:CB$87,'Fórmula'!D105,41))+'Fórmula'!G105*(INDEX(properties!A$1:CB$87,'Fórmula'!F105,41))+'Fórmula'!I105*(INDEX(properties!A$1:CB$87,'Fórmula'!H105,41))+'Fórmula'!K105*(INDEX(properties!A$1:CB$87,'Fórmula'!J105,41))</f>
        <v>10.83</v>
      </c>
      <c r="EF105" s="111">
        <f t="array" ref="EF105">VARP(IF(INDEX(properties!A$1:CB$87,'Fórmula'!B105,41)&lt;&gt;"",INDEX(properties!A$1:CB$87,'Fórmula'!B105,41)),IF(INDEX(properties!A$1:CB$87,'Fórmula'!D105,41)&lt;&gt;"",INDEX(properties!A$1:CB$87,'Fórmula'!D105,41)),IF(INDEX(properties!A$1:CB$87,'Fórmula'!F105,41)&lt;&gt;"",INDEX(properties!A$1:CB$87,'Fórmula'!F105,41)),IF(INDEX(properties!A$1:CB$87,'Fórmula'!H105,41)&lt;&gt;"",INDEX(properties!A$1:CB$87,'Fórmula'!H105,41)),IF(INDEX(properties!A$1:CB$87,'Fórmula'!J105,41)&lt;&gt;"",INDEX(properties!A$1:CB$87,'Fórmula'!J105,41)))</f>
        <v>0.262336</v>
      </c>
      <c r="EG105" s="122">
        <f t="array" ref="EG105">MAX(INDEX(properties!A$1:CB$87,'Fórmula'!B105,41),INDEX(properties!A$1:CB$87,'Fórmula'!D105,41),INDEX(properties!A$1:CB$87,'Fórmula'!F105,41),INDEX(properties!A$1:CB$87,'Fórmula'!H105,41),INDEX(properties!A$1:CB$87,'Fórmula'!J105,41))</f>
        <v>1.49</v>
      </c>
      <c r="EH105" s="122">
        <f t="array" ref="EH105">MIN(IF(INDEX(properties!A$1:CB$87,'Fórmula'!B105,41)=0,10^6,INDEX(properties!A$1:CB$87,'Fórmula'!B105,41)),IF(INDEX(properties!A$1:CB$87,'Fórmula'!D105,41)=0,10^6,INDEX(properties!A$1:CB$87,'Fórmula'!D105,41)),IF(INDEX(properties!A$1:CB$87,'Fórmula'!F105,41)=0,10^6,INDEX(properties!A$1:CB$87,'Fórmula'!F105,41)),IF(INDEX(properties!A$1:CB$87,'Fórmula'!H105,41)=0,10^6,INDEX(properties!A$1:CB$87,'Fórmula'!H105,41)),IF(INDEX(properties!A$1:CB$87,'Fórmula'!J105,41)=0,10^6,INDEX(properties!A$1:CB$87,'Fórmula'!J105,41)))</f>
        <v>0.88</v>
      </c>
      <c r="EI105" s="111">
        <f t="shared" si="23"/>
        <v>0.61</v>
      </c>
      <c r="EJ105" s="112">
        <f t="array" ref="EJ105">(('Fórmula'!C105)/('Fórmula'!C105+'Fórmula'!E105+'Fórmula'!G105+'Fórmula'!I105+'Fórmula'!K105))*(INDEX(properties!A$1:CB$87,'Fórmula'!B105,45))+(('Fórmula'!E105)/('Fórmula'!C105+'Fórmula'!E105+'Fórmula'!G105+'Fórmula'!I105+'Fórmula'!K105))*(INDEX(properties!A$1:CB$87,'Fórmula'!D105,45))+(('Fórmula'!G105)/('Fórmula'!C105+'Fórmula'!E105+'Fórmula'!G105+'Fórmula'!I105+'Fórmula'!K105))*(INDEX(properties!A$1:CB$87,'Fórmula'!F105,45))+(('Fórmula'!I105)/('Fórmula'!C105+'Fórmula'!E105+'Fórmula'!G105+'Fórmula'!I105+'Fórmula'!K105))*(INDEX(properties!A$1:CB$87,'Fórmula'!H105,45))+(('Fórmula'!K105)/('Fórmula'!C105+'Fórmula'!E105+'Fórmula'!G105+'Fórmula'!I105+'Fórmula'!K105))*(INDEX(properties!A$1:CB$87,'Fórmula'!J105,45))</f>
        <v>1.716666667</v>
      </c>
      <c r="EK105" s="112">
        <f t="array" ref="EK105">'Fórmula'!C105*(INDEX(properties!A$1:CB$87,'Fórmula'!B105,45))+'Fórmula'!E105*(INDEX(properties!A$1:CB$87,'Fórmula'!D105,45))+'Fórmula'!G105*(INDEX(properties!A$1:CB$87,'Fórmula'!F105,45))+'Fórmula'!I105*(INDEX(properties!A$1:CB$87,'Fórmula'!H105,45))+'Fórmula'!K105*(INDEX(properties!A$1:CB$87,'Fórmula'!J105,45))</f>
        <v>15.45</v>
      </c>
      <c r="EL105" s="112">
        <f t="array" ref="EL105">VARP(IF(INDEX(properties!A$1:CB$87,'Fórmula'!B105,45)&lt;&gt;"",INDEX(properties!A$1:CB$87,'Fórmula'!B105,45)),IF(INDEX(properties!A$1:CB$87,'Fórmula'!D105,45)&lt;&gt;"",INDEX(properties!A$1:CB$87,'Fórmula'!D105,45)),IF(INDEX(properties!A$1:CB$87,'Fórmula'!F105,45)&lt;&gt;"",INDEX(properties!A$1:CB$87,'Fórmula'!F105,45)),IF(INDEX(properties!A$1:CB$87,'Fórmula'!H105,45)&lt;&gt;"",INDEX(properties!A$1:CB$87,'Fórmula'!H105,45)),IF(INDEX(properties!A$1:CB$87,'Fórmula'!J105,45)&lt;&gt;"",INDEX(properties!A$1:CB$87,'Fórmula'!J105,45)))</f>
        <v>2.388056</v>
      </c>
      <c r="EM105" s="123">
        <f t="array" ref="EM105">MAX(INDEX(properties!A$1:CB$87,'Fórmula'!B105,45),INDEX(properties!A$1:CB$87,'Fórmula'!D105,45),INDEX(properties!A$1:CB$87,'Fórmula'!F105,45),INDEX(properties!A$1:CB$87,'Fórmula'!H105,45),INDEX(properties!A$1:CB$87,'Fórmula'!J105,45))</f>
        <v>3.91</v>
      </c>
      <c r="EN105" s="123">
        <f t="array" ref="EN105">MIN(IF(INDEX(properties!A$1:CB$87,'Fórmula'!B105,45)=0,10^6,INDEX(properties!A$1:CB$87,'Fórmula'!B105,45)),IF(INDEX(properties!A$1:CB$87,'Fórmula'!D105,45)=0,10^6,INDEX(properties!A$1:CB$87,'Fórmula'!D105,45)),IF(INDEX(properties!A$1:CB$87,'Fórmula'!F105,45)=0,10^6,INDEX(properties!A$1:CB$87,'Fórmula'!F105,45)),IF(INDEX(properties!A$1:CB$87,'Fórmula'!H105,45)=0,10^6,INDEX(properties!A$1:CB$87,'Fórmula'!H105,45)),IF(INDEX(properties!A$1:CB$87,'Fórmula'!J105,45)=0,10^6,INDEX(properties!A$1:CB$87,'Fórmula'!J105,45)))</f>
        <v>0.47</v>
      </c>
      <c r="EO105" s="112">
        <f t="shared" si="24"/>
        <v>3.44</v>
      </c>
      <c r="EP105" s="113">
        <f t="array" ref="EP105">(('Fórmula'!C105)/('Fórmula'!C105+'Fórmula'!E105+'Fórmula'!G105+'Fórmula'!I105+'Fórmula'!K105))*(INDEX(properties!A$1:CB$87,'Fórmula'!B105,46))+(('Fórmula'!E105)/('Fórmula'!C105+'Fórmula'!E105+'Fórmula'!G105+'Fórmula'!I105+'Fórmula'!K105))*(INDEX(properties!A$1:CB$87,'Fórmula'!D105,46))+(('Fórmula'!G105)/('Fórmula'!C105+'Fórmula'!E105+'Fórmula'!G105+'Fórmula'!I105+'Fórmula'!K105))*(INDEX(properties!A$1:CB$87,'Fórmula'!F105,46))+(('Fórmula'!I105)/('Fórmula'!C105+'Fórmula'!E105+'Fórmula'!G105+'Fórmula'!I105+'Fórmula'!K105))*(INDEX(properties!A$1:CB$87,'Fórmula'!H105,46))+(('Fórmula'!K105)/('Fórmula'!C105+'Fórmula'!E105+'Fórmula'!G105+'Fórmula'!I105+'Fórmula'!K105))*(INDEX(properties!A$1:CB$87,'Fórmula'!J105,46))</f>
        <v>1.16</v>
      </c>
      <c r="EQ105" s="113">
        <f t="array" ref="EQ105">'Fórmula'!C105*(INDEX(properties!A$1:CB$87,'Fórmula'!B105,46))+'Fórmula'!E105*(INDEX(properties!A$1:CB$87,'Fórmula'!D105,46))+'Fórmula'!G105*(INDEX(properties!A$1:CB$87,'Fórmula'!F105,46))+'Fórmula'!I105*(INDEX(properties!A$1:CB$87,'Fórmula'!H105,46))+'Fórmula'!K105*(INDEX(properties!A$1:CB$87,'Fórmula'!J105,46))</f>
        <v>10.44</v>
      </c>
      <c r="ER105" s="113">
        <f t="array" ref="ER105">VARP(IF(INDEX(properties!A$1:CB$87,'Fórmula'!B105,46)&lt;&gt;"",INDEX(properties!A$1:CB$87,'Fórmula'!B105,46)),IF(INDEX(properties!A$1:CB$87,'Fórmula'!D105,46)&lt;&gt;"",INDEX(properties!A$1:CB$87,'Fórmula'!D105,46)),IF(INDEX(properties!A$1:CB$87,'Fórmula'!F105,46)&lt;&gt;"",INDEX(properties!A$1:CB$87,'Fórmula'!F105,46)),IF(INDEX(properties!A$1:CB$87,'Fórmula'!H105,46)&lt;&gt;"",INDEX(properties!A$1:CB$87,'Fórmula'!H105,46)),IF(INDEX(properties!A$1:CB$87,'Fórmula'!J105,46)&lt;&gt;"",INDEX(properties!A$1:CB$87,'Fórmula'!J105,46)))</f>
        <v>0.262424</v>
      </c>
      <c r="ES105" s="124">
        <f t="array" ref="ES105">MAX(INDEX(properties!A$1:CB$87,'Fórmula'!B105,46),INDEX(properties!A$1:CB$87,'Fórmula'!D105,46),INDEX(properties!A$1:CB$87,'Fórmula'!F105,46),INDEX(properties!A$1:CB$87,'Fórmula'!H105,46),INDEX(properties!A$1:CB$87,'Fórmula'!J105,46))</f>
        <v>1.49</v>
      </c>
      <c r="ET105" s="124">
        <f t="array" ref="ET105">MIN(IF(INDEX(properties!A$1:CB$87,'Fórmula'!B105,46)=0,10^6,INDEX(properties!A$1:CB$87,'Fórmula'!B105,46)),IF(INDEX(properties!A$1:CB$87,'Fórmula'!D105,46)=0,10^6,INDEX(properties!A$1:CB$87,'Fórmula'!D105,46)),IF(INDEX(properties!A$1:CB$87,'Fórmula'!F105,46)=0,10^6,INDEX(properties!A$1:CB$87,'Fórmula'!F105,46)),IF(INDEX(properties!A$1:CB$87,'Fórmula'!H105,46)=0,10^6,INDEX(properties!A$1:CB$87,'Fórmula'!H105,46)),IF(INDEX(properties!A$1:CB$87,'Fórmula'!J105,46)=0,10^6,INDEX(properties!A$1:CB$87,'Fórmula'!J105,46)))</f>
        <v>0.74</v>
      </c>
      <c r="EU105" s="113">
        <f t="shared" si="25"/>
        <v>0.75</v>
      </c>
      <c r="EV105" s="114">
        <f t="array" ref="EV105">(('Fórmula'!C105)/('Fórmula'!C105+'Fórmula'!E105+'Fórmula'!G105+'Fórmula'!I105+'Fórmula'!K105))*(INDEX(properties!A$1:CB$87,'Fórmula'!B105,52))+(('Fórmula'!E105)/('Fórmula'!C105+'Fórmula'!E105+'Fórmula'!G105+'Fórmula'!I105+'Fórmula'!K105))*(INDEX(properties!A$1:CB$87,'Fórmula'!D105,52))+(('Fórmula'!G105)/('Fórmula'!C105+'Fórmula'!E105+'Fórmula'!G105+'Fórmula'!I105+'Fórmula'!K105))*(INDEX(properties!A$1:CB$87,'Fórmula'!F105,52))+(('Fórmula'!I105)/('Fórmula'!C105+'Fórmula'!E105+'Fórmula'!G105+'Fórmula'!I105+'Fórmula'!K105))*(INDEX(properties!A$1:CB$87,'Fórmula'!H105,52))+(('Fórmula'!K105)/('Fórmula'!C105+'Fórmula'!E105+'Fórmula'!G105+'Fórmula'!I105+'Fórmula'!K105))*(INDEX(properties!A$1:CB$87,'Fórmula'!J105,52))</f>
        <v>10.785</v>
      </c>
      <c r="EW105" s="114">
        <f t="array" ref="EW105">'Fórmula'!C105*(INDEX(properties!A$1:CB$87,'Fórmula'!B105,52))+'Fórmula'!E105*(INDEX(properties!A$1:CB$87,'Fórmula'!D105,52))+'Fórmula'!G105*(INDEX(properties!A$1:CB$87,'Fórmula'!F105,52))+'Fórmula'!I105*(INDEX(properties!A$1:CB$87,'Fórmula'!H105,52))+'Fórmula'!K105*(INDEX(properties!A$1:CB$87,'Fórmula'!J105,52))</f>
        <v>97.065</v>
      </c>
      <c r="EX105" s="114">
        <f t="array" ref="EX105">VARP(IF(INDEX(properties!A$1:CB$87,'Fórmula'!B105,52)&lt;&gt;"",INDEX(properties!A$1:CB$87,'Fórmula'!B105,52)),IF(INDEX(properties!A$1:CB$87,'Fórmula'!D105,52)&lt;&gt;"",INDEX(properties!A$1:CB$87,'Fórmula'!D105,52)),IF(INDEX(properties!A$1:CB$87,'Fórmula'!F105,52)&lt;&gt;"",INDEX(properties!A$1:CB$87,'Fórmula'!F105,52)),IF(INDEX(properties!A$1:CB$87,'Fórmula'!H105,52)&lt;&gt;"",INDEX(properties!A$1:CB$87,'Fórmula'!H105,52)),IF(INDEX(properties!A$1:CB$87,'Fórmula'!J105,52)&lt;&gt;"",INDEX(properties!A$1:CB$87,'Fórmula'!J105,52)))</f>
        <v>235.7787918</v>
      </c>
      <c r="EY105" s="114">
        <f t="array" ref="EY105">MAX(INDEX(properties!A$1:CB$87,'Fórmula'!B105,52),INDEX(properties!A$1:CB$87,'Fórmula'!D105,52),INDEX(properties!A$1:CB$87,'Fórmula'!F105,52),INDEX(properties!A$1:CB$87,'Fórmula'!H105,52),INDEX(properties!A$1:CB$87,'Fórmula'!J105,52))</f>
        <v>39.7</v>
      </c>
      <c r="EZ105" s="114">
        <f t="array" ref="EZ105">MIN(IF(INDEX(properties!A$1:CB$87,'Fórmula'!B105,52)=0,10^6,INDEX(properties!A$1:CB$87,'Fórmula'!B105,52)),IF(INDEX(properties!A$1:CB$87,'Fórmula'!D105,52)=0,10^6,INDEX(properties!A$1:CB$87,'Fórmula'!D105,52)),IF(INDEX(properties!A$1:CB$87,'Fórmula'!F105,52)=0,10^6,INDEX(properties!A$1:CB$87,'Fórmula'!F105,52)),IF(INDEX(properties!A$1:CB$87,'Fórmula'!H105,52)=0,10^6,INDEX(properties!A$1:CB$87,'Fórmula'!H105,52)),IF(INDEX(properties!A$1:CB$87,'Fórmula'!J105,52)=0,10^6,INDEX(properties!A$1:CB$87,'Fórmula'!J105,52)))</f>
        <v>0.793</v>
      </c>
      <c r="FA105" s="114">
        <f t="shared" si="26"/>
        <v>38.907</v>
      </c>
      <c r="FB105" s="115">
        <f t="array" ref="FB105">(('Fórmula'!C105)/('Fórmula'!C105+'Fórmula'!E105+'Fórmula'!G105+'Fórmula'!I105+'Fórmula'!K105))*(INDEX(properties!A$1:CB$87,'Fórmula'!B105,53))+(('Fórmula'!E105)/('Fórmula'!C105+'Fórmula'!E105+'Fórmula'!G105+'Fórmula'!I105+'Fórmula'!K105))*(INDEX(properties!A$1:CB$87,'Fórmula'!D105,53))+(('Fórmula'!G105)/('Fórmula'!C105+'Fórmula'!E105+'Fórmula'!G105+'Fórmula'!I105+'Fórmula'!K105))*(INDEX(properties!A$1:CB$87,'Fórmula'!F105,53))+(('Fórmula'!I105)/('Fórmula'!C105+'Fórmula'!E105+'Fórmula'!G105+'Fórmula'!I105+'Fórmula'!K105))*(INDEX(properties!A$1:CB$87,'Fórmula'!H105,53))+(('Fórmula'!K105)/('Fórmula'!C105+'Fórmula'!E105+'Fórmula'!G105+'Fórmula'!I105+'Fórmula'!K105))*(INDEX(properties!A$1:CB$87,'Fórmula'!J105,53))</f>
        <v>570.7722222</v>
      </c>
      <c r="FC105" s="115">
        <f t="array" ref="FC105">'Fórmula'!C105*(INDEX(properties!A$1:CB$87,'Fórmula'!B105,53))+'Fórmula'!E105*(INDEX(properties!A$1:CB$87,'Fórmula'!D105,53))+'Fórmula'!G105*(INDEX(properties!A$1:CB$87,'Fórmula'!F105,53))+'Fórmula'!I105*(INDEX(properties!A$1:CB$87,'Fórmula'!H105,53))+'Fórmula'!K105*(INDEX(properties!A$1:CB$87,'Fórmula'!J105,53))</f>
        <v>5136.95</v>
      </c>
      <c r="FD105" s="115">
        <f t="array" ref="FD105">VARP(IF(INDEX(properties!A$1:CB$87,'Fórmula'!B105,53)&lt;&gt;"",INDEX(properties!A$1:CB$87,'Fórmula'!B105,53)),IF(INDEX(properties!A$1:CB$87,'Fórmula'!D105,53)&lt;&gt;"",INDEX(properties!A$1:CB$87,'Fórmula'!D105,53)),IF(INDEX(properties!A$1:CB$87,'Fórmula'!F105,53)&lt;&gt;"",INDEX(properties!A$1:CB$87,'Fórmula'!F105,53)),IF(INDEX(properties!A$1:CB$87,'Fórmula'!H105,53)&lt;&gt;"",INDEX(properties!A$1:CB$87,'Fórmula'!H105,53)),IF(INDEX(properties!A$1:CB$87,'Fórmula'!J105,53)&lt;&gt;"",INDEX(properties!A$1:CB$87,'Fórmula'!J105,53)))</f>
        <v>354979.4244</v>
      </c>
      <c r="FE105" s="115">
        <f t="array" ref="FE105">MAX(INDEX(properties!A$1:CB$87,'Fórmula'!B105,53),INDEX(properties!A$1:CB$87,'Fórmula'!D105,53),INDEX(properties!A$1:CB$87,'Fórmula'!F105,53),INDEX(properties!A$1:CB$87,'Fórmula'!H105,53),INDEX(properties!A$1:CB$87,'Fórmula'!J105,53))</f>
        <v>1586.15</v>
      </c>
      <c r="FF105" s="115">
        <f t="array" ref="FF105">MIN(IF(INDEX(properties!A$1:CB$87,'Fórmula'!B105,53)=0,10^6,INDEX(properties!A$1:CB$87,'Fórmula'!B105,53)),IF(INDEX(properties!A$1:CB$87,'Fórmula'!D105,53)=0,10^6,INDEX(properties!A$1:CB$87,'Fórmula'!D105,53)),IF(INDEX(properties!A$1:CB$87,'Fórmula'!F105,53)=0,10^6,INDEX(properties!A$1:CB$87,'Fórmula'!F105,53)),IF(INDEX(properties!A$1:CB$87,'Fórmula'!H105,53)=0,10^6,INDEX(properties!A$1:CB$87,'Fórmula'!H105,53)),IF(INDEX(properties!A$1:CB$87,'Fórmula'!J105,53)=0,10^6,INDEX(properties!A$1:CB$87,'Fórmula'!J105,53)))</f>
        <v>54.75</v>
      </c>
      <c r="FG105" s="115">
        <f t="shared" si="27"/>
        <v>1531.4</v>
      </c>
      <c r="FH105" s="117">
        <f t="array" ref="FH105">(('Fórmula'!C105)/('Fórmula'!C105+'Fórmula'!E105+'Fórmula'!G105+'Fórmula'!I105+'Fórmula'!K105))*(INDEX(properties!A$1:CB$87,'Fórmula'!B105,54))+(('Fórmula'!E105)/('Fórmula'!C105+'Fórmula'!E105+'Fórmula'!G105+'Fórmula'!I105+'Fórmula'!K105))*(INDEX(properties!A$1:CB$87,'Fórmula'!D105,54))+(('Fórmula'!G105)/('Fórmula'!C105+'Fórmula'!E105+'Fórmula'!G105+'Fórmula'!I105+'Fórmula'!K105))*(INDEX(properties!A$1:CB$87,'Fórmula'!F105,54))+(('Fórmula'!I105)/('Fórmula'!C105+'Fórmula'!E105+'Fórmula'!G105+'Fórmula'!I105+'Fórmula'!K105))*(INDEX(properties!A$1:CB$87,'Fórmula'!H105,54))+(('Fórmula'!K105)/('Fórmula'!C105+'Fórmula'!E105+'Fórmula'!G105+'Fórmula'!I105+'Fórmula'!K105))*(INDEX(properties!A$1:CB$87,'Fórmula'!J105,54))</f>
        <v>1181.705556</v>
      </c>
      <c r="FI105" s="117">
        <f t="array" ref="FI105">'Fórmula'!C105*(INDEX(properties!A$1:CB$87,'Fórmula'!B105,54))+'Fórmula'!E105*(INDEX(properties!A$1:CB$87,'Fórmula'!D105,54))+'Fórmula'!G105*(INDEX(properties!A$1:CB$87,'Fórmula'!F105,54))+'Fórmula'!I105*(INDEX(properties!A$1:CB$87,'Fórmula'!H105,54))+'Fórmula'!K105*(INDEX(properties!A$1:CB$87,'Fórmula'!J105,54))</f>
        <v>10635.35</v>
      </c>
      <c r="FJ105" s="117">
        <f t="array" ref="FJ105">VARP(IF(INDEX(properties!A$1:CB$87,'Fórmula'!B105,54)&lt;&gt;"",INDEX(properties!A$1:CB$87,'Fórmula'!B105,54)),IF(INDEX(properties!A$1:CB$87,'Fórmula'!D105,54)&lt;&gt;"",INDEX(properties!A$1:CB$87,'Fórmula'!D105,54)),IF(INDEX(properties!A$1:CB$87,'Fórmula'!F105,54)&lt;&gt;"",INDEX(properties!A$1:CB$87,'Fórmula'!F105,54)),IF(INDEX(properties!A$1:CB$87,'Fórmula'!H105,54)&lt;&gt;"",INDEX(properties!A$1:CB$87,'Fórmula'!H105,54)),IF(INDEX(properties!A$1:CB$87,'Fórmula'!J105,54)&lt;&gt;"",INDEX(properties!A$1:CB$87,'Fórmula'!J105,54)))</f>
        <v>1715806.58</v>
      </c>
      <c r="FK105" s="117">
        <f t="array" ref="FK105">MAX(INDEX(properties!A$1:CB$87,'Fórmula'!B105,54),INDEX(properties!A$1:CB$87,'Fórmula'!D105,54),INDEX(properties!A$1:CB$87,'Fórmula'!F105,54),INDEX(properties!A$1:CB$87,'Fórmula'!H105,54),INDEX(properties!A$1:CB$87,'Fórmula'!J105,54))</f>
        <v>3546.15</v>
      </c>
      <c r="FL105" s="117">
        <f t="array" ref="FL105">MIN(IF(INDEX(properties!A$1:CB$87,'Fórmula'!B105,54)=0,10^6,INDEX(properties!A$1:CB$87,'Fórmula'!B105,54)),IF(INDEX(properties!A$1:CB$87,'Fórmula'!D105,54)=0,10^6,INDEX(properties!A$1:CB$87,'Fórmula'!D105,54)),IF(INDEX(properties!A$1:CB$87,'Fórmula'!F105,54)=0,10^6,INDEX(properties!A$1:CB$87,'Fórmula'!F105,54)),IF(INDEX(properties!A$1:CB$87,'Fórmula'!H105,54)=0,10^6,INDEX(properties!A$1:CB$87,'Fórmula'!H105,54)),IF(INDEX(properties!A$1:CB$87,'Fórmula'!J105,54)=0,10^6,INDEX(properties!A$1:CB$87,'Fórmula'!J105,54)))</f>
        <v>90.15</v>
      </c>
      <c r="FM105" s="117">
        <f t="shared" si="28"/>
        <v>3456</v>
      </c>
      <c r="FN105" s="118">
        <f t="array" ref="FN105">(('Fórmula'!C105)/('Fórmula'!C105+'Fórmula'!E105+'Fórmula'!G105+'Fórmula'!I105+'Fórmula'!K105))*(INDEX(properties!A$1:CB$87,'Fórmula'!B105,55))+(('Fórmula'!E105)/('Fórmula'!C105+'Fórmula'!E105+'Fórmula'!G105+'Fórmula'!I105+'Fórmula'!K105))*(INDEX(properties!A$1:CB$87,'Fórmula'!D105,55))+(('Fórmula'!G105)/('Fórmula'!C105+'Fórmula'!E105+'Fórmula'!G105+'Fórmula'!I105+'Fórmula'!K105))*(INDEX(properties!A$1:CB$87,'Fórmula'!F105,55))+(('Fórmula'!I105)/('Fórmula'!C105+'Fórmula'!E105+'Fórmula'!G105+'Fórmula'!I105+'Fórmula'!K105))*(INDEX(properties!A$1:CB$87,'Fórmula'!H105,55))+(('Fórmula'!K105)/('Fórmula'!C105+'Fórmula'!E105+'Fórmula'!G105+'Fórmula'!I105+'Fórmula'!K105))*(INDEX(properties!A$1:CB$87,'Fórmula'!J105,55))</f>
        <v>2.937461111</v>
      </c>
      <c r="FO105" s="118">
        <f t="array" ref="FO105">'Fórmula'!C105*(INDEX(properties!A$1:CB$87,'Fórmula'!B105,55))+'Fórmula'!E105*(INDEX(properties!A$1:CB$87,'Fórmula'!D105,54))+'Fórmula'!G105*(INDEX(properties!A$1:CB$87,'Fórmula'!F105,55))+'Fórmula'!I105*(INDEX(properties!A$1:CB$87,'Fórmula'!H105,55))+'Fórmula'!K105*(INDEX(properties!A$1:CB$87,'Fórmula'!J105,55))</f>
        <v>7102.93715</v>
      </c>
      <c r="FP105" s="118">
        <f t="array" ref="FP105">VARP(IF(INDEX(properties!A$1:CB$87,'Fórmula'!B105,55)&lt;&gt;"",INDEX(properties!A$1:CB$87,'Fórmula'!B105,55)),IF(INDEX(properties!A$1:CB$87,'Fórmula'!D105,55)&lt;&gt;"",INDEX(properties!A$1:CB$87,'Fórmula'!D105,55)),IF(INDEX(properties!A$1:CB$87,'Fórmula'!F105,55)&lt;&gt;"",INDEX(properties!A$1:CB$87,'Fórmula'!F105,55)),IF(INDEX(properties!A$1:CB$87,'Fórmula'!H105,55)&lt;&gt;"",INDEX(properties!A$1:CB$87,'Fórmula'!H105,55)),IF(INDEX(properties!A$1:CB$87,'Fórmula'!J105,55)&lt;&gt;"",INDEX(properties!A$1:CB$87,'Fórmula'!J105,55)))</f>
        <v>11.3628245</v>
      </c>
      <c r="FQ105" s="118">
        <f t="array" ref="FQ105">MAX(INDEX(properties!A$1:CB$87,'Fórmula'!B105,55),INDEX(properties!A$1:CB$87,'Fórmula'!D105,55),INDEX(properties!A$1:CB$87,'Fórmula'!F105,55),INDEX(properties!A$1:CB$87,'Fórmula'!H105,55),INDEX(properties!A$1:CB$87,'Fórmula'!J105,55))</f>
        <v>7.9</v>
      </c>
      <c r="FR105" s="118">
        <f t="array" ref="FR105">MIN(IF(INDEX(properties!A$1:CB$87,'Fórmula'!B105,55)=0,10^6,INDEX(properties!A$1:CB$87,'Fórmula'!B105,55)),IF(INDEX(properties!A$1:CB$87,'Fórmula'!D105,55)=0,10^6,INDEX(properties!A$1:CB$87,'Fórmula'!D105,55)),IF(INDEX(properties!A$1:CB$87,'Fórmula'!F105,55)=0,10^6,INDEX(properties!A$1:CB$87,'Fórmula'!F105,55)),IF(INDEX(properties!A$1:CB$87,'Fórmula'!H105,55)=0,10^6,INDEX(properties!A$1:CB$87,'Fórmula'!H105,55)),IF(INDEX(properties!A$1:CB$87,'Fórmula'!J105,55)=0,10^6,INDEX(properties!A$1:CB$87,'Fórmula'!J105,55)))</f>
        <v>0.00143</v>
      </c>
      <c r="FS105" s="118">
        <f t="shared" si="29"/>
        <v>7.89857</v>
      </c>
      <c r="FT105" s="119">
        <f t="array" ref="FT105">(('Fórmula'!C105)/('Fórmula'!C105+'Fórmula'!E105+'Fórmula'!G105+'Fórmula'!I105+'Fórmula'!K105))*(INDEX(properties!A$1:CB$87,'Fórmula'!B105,56))+(('Fórmula'!E105)/('Fórmula'!C105+'Fórmula'!E105+'Fórmula'!G105+'Fórmula'!I105+'Fórmula'!K105))*(INDEX(properties!A$1:CB$87,'Fórmula'!D105,56))+(('Fórmula'!G105)/('Fórmula'!C105+'Fórmula'!E105+'Fórmula'!G105+'Fórmula'!I105+'Fórmula'!K105))*(INDEX(properties!A$1:CB$87,'Fórmula'!F105,56))+(('Fórmula'!I105)/('Fórmula'!C105+'Fórmula'!E105+'Fórmula'!G105+'Fórmula'!I105+'Fórmula'!K105))*(INDEX(properties!A$1:CB$87,'Fórmula'!H105,56))+(('Fórmula'!K105)/('Fórmula'!C105+'Fórmula'!E105+'Fórmula'!G105+'Fórmula'!I105+'Fórmula'!K105))*(INDEX(properties!A$1:CB$87,'Fórmula'!J105,56))</f>
        <v>0.6282222222</v>
      </c>
      <c r="FU105" s="119">
        <f t="array" ref="FU105">'Fórmula'!C105*(INDEX(properties!A$1:CB$87,'Fórmula'!B105,56))+'Fórmula'!E105*(INDEX(properties!A$1:CB$87,'Fórmula'!D105,56))+'Fórmula'!G105*(INDEX(properties!A$1:CB$87,'Fórmula'!F105,56))+'Fórmula'!I105*(INDEX(properties!A$1:CB$87,'Fórmula'!H105,56))+'Fórmula'!K105*(INDEX(properties!A$1:CB$87,'Fórmula'!J105,56))</f>
        <v>5.654</v>
      </c>
      <c r="FV105" s="119">
        <f t="array" ref="FV105">VARP(IF(INDEX(properties!A$1:CB$87,'Fórmula'!B105,56)&lt;&gt;"",INDEX(properties!A$1:CB$87,'Fórmula'!B105,56)),IF(INDEX(properties!A$1:CB$87,'Fórmula'!D105,56)&lt;&gt;"",INDEX(properties!A$1:CB$87,'Fórmula'!D105,56)),IF(INDEX(properties!A$1:CB$87,'Fórmula'!F105,56)&lt;&gt;"",INDEX(properties!A$1:CB$87,'Fórmula'!F105,56)),IF(INDEX(properties!A$1:CB$87,'Fórmula'!H105,56)&lt;&gt;"",INDEX(properties!A$1:CB$87,'Fórmula'!H105,56)),IF(INDEX(properties!A$1:CB$87,'Fórmula'!J105,56)&lt;&gt;"",INDEX(properties!A$1:CB$87,'Fórmula'!J105,56)))</f>
        <v>0.09694176</v>
      </c>
      <c r="FW105" s="119">
        <f t="array" ref="FW105">MAX(INDEX(properties!A$1:CB$87,'Fórmula'!B105,56),INDEX(properties!A$1:CB$87,'Fórmula'!D105,56),INDEX(properties!A$1:CB$87,'Fórmula'!F105,56),INDEX(properties!A$1:CB$87,'Fórmula'!H105,56),INDEX(properties!A$1:CB$87,'Fórmula'!J105,56))</f>
        <v>0.92</v>
      </c>
      <c r="FX105" s="119">
        <f t="array" ref="FX105">MIN(IF(INDEX(properties!A$1:CB$87,'Fórmula'!B105,56)=0,10^6,INDEX(properties!A$1:CB$87,'Fórmula'!B105,56)),IF(INDEX(properties!A$1:CB$87,'Fórmula'!D105,56)=0,10^6,INDEX(properties!A$1:CB$87,'Fórmula'!D105,56)),IF(INDEX(properties!A$1:CB$87,'Fórmula'!F105,56)=0,10^6,INDEX(properties!A$1:CB$87,'Fórmula'!F105,56)),IF(INDEX(properties!A$1:CB$87,'Fórmula'!H105,56)=0,10^6,INDEX(properties!A$1:CB$87,'Fórmula'!H105,56)),IF(INDEX(properties!A$1:CB$87,'Fórmula'!J105,56)=0,10^6,INDEX(properties!A$1:CB$87,'Fórmula'!J105,56)))</f>
        <v>0.204</v>
      </c>
      <c r="FY105" s="119">
        <f t="shared" si="30"/>
        <v>0.716</v>
      </c>
      <c r="FZ105" s="104">
        <f t="array" ref="FZ105">(('Fórmula'!C105)/('Fórmula'!C105+'Fórmula'!E105+'Fórmula'!G105+'Fórmula'!I105+'Fórmula'!K105))*(INDEX(properties!A$1:CB$87,'Fórmula'!B105,57))+(('Fórmula'!E105)/('Fórmula'!C105+'Fórmula'!E105+'Fórmula'!G105+'Fórmula'!I105+'Fórmula'!K105))*(INDEX(properties!A$1:CB$87,'Fórmula'!D105,57))+(('Fórmula'!G105)/('Fórmula'!C105+'Fórmula'!E105+'Fórmula'!G105+'Fórmula'!I105+'Fórmula'!K105))*(INDEX(properties!A$1:CB$87,'Fórmula'!F105,57))+(('Fórmula'!I105)/('Fórmula'!C105+'Fórmula'!E105+'Fórmula'!G105+'Fórmula'!I105+'Fórmula'!K105))*(INDEX(properties!A$1:CB$87,'Fórmula'!H105,57))+(('Fórmula'!K105)/('Fórmula'!C105+'Fórmula'!E105+'Fórmula'!G105+'Fórmula'!I105+'Fórmula'!K105))*(INDEX(properties!A$1:CB$87,'Fórmula'!J105,57))</f>
        <v>4.031661111</v>
      </c>
      <c r="GA105" s="104">
        <f t="array" ref="GA105">'Fórmula'!C105*(INDEX(properties!A$1:CB$87,'Fórmula'!B105,57))+'Fórmula'!E105*(INDEX(properties!A$1:CB$87,'Fórmula'!D105,57))+'Fórmula'!G105*(INDEX(properties!A$1:CB$87,'Fórmula'!F105,57))+'Fórmula'!I105*(INDEX(properties!A$1:CB$87,'Fórmula'!H105,57))+'Fórmula'!K105*(INDEX(properties!A$1:CB$87,'Fórmula'!J105,57))</f>
        <v>36.28495</v>
      </c>
      <c r="GB105" s="104">
        <f t="array" ref="GB105">VARP(IF(INDEX(properties!A$1:CB$87,'Fórmula'!B105,57)&lt;&gt;"",INDEX(properties!A$1:CB$87,'Fórmula'!B105,57)),IF(INDEX(properties!A$1:CB$87,'Fórmula'!D105,57)&lt;&gt;"",INDEX(properties!A$1:CB$87,'Fórmula'!D105,57)),IF(INDEX(properties!A$1:CB$87,'Fórmula'!F105,57)&lt;&gt;"",INDEX(properties!A$1:CB$87,'Fórmula'!F105,57)),IF(INDEX(properties!A$1:CB$87,'Fórmula'!H105,57)&lt;&gt;"",INDEX(properties!A$1:CB$87,'Fórmula'!H105,57)),IF(INDEX(properties!A$1:CB$87,'Fórmula'!J105,57)&lt;&gt;"",INDEX(properties!A$1:CB$87,'Fórmula'!J105,57)))</f>
        <v>17.25131637</v>
      </c>
      <c r="GC105" s="104">
        <f t="array" ref="GC105">MAX(INDEX(properties!A$1:CB$87,'Fórmula'!B105,57),INDEX(properties!A$1:CB$87,'Fórmula'!D105,57),INDEX(properties!A$1:CB$87,'Fórmula'!F105,57),INDEX(properties!A$1:CB$87,'Fórmula'!H105,57),INDEX(properties!A$1:CB$87,'Fórmula'!J105,57))</f>
        <v>10.05</v>
      </c>
      <c r="GD105" s="104">
        <f t="array" ref="GD105">MIN(IF(INDEX(properties!A$1:CB$87,'Fórmula'!B105,57)=0,10^6,INDEX(properties!A$1:CB$87,'Fórmula'!B105,57)),IF(INDEX(properties!A$1:CB$87,'Fórmula'!D105,57)=0,10^6,INDEX(properties!A$1:CB$87,'Fórmula'!D105,57)),IF(INDEX(properties!A$1:CB$87,'Fórmula'!F105,57)=0,10^6,INDEX(properties!A$1:CB$87,'Fórmula'!F105,57)),IF(INDEX(properties!A$1:CB$87,'Fórmula'!H105,57)=0,10^6,INDEX(properties!A$1:CB$87,'Fórmula'!H105,57)),IF(INDEX(properties!A$1:CB$87,'Fórmula'!J105,57)=0,10^6,INDEX(properties!A$1:CB$87,'Fórmula'!J105,57)))</f>
        <v>0.22259</v>
      </c>
      <c r="GE105" s="104">
        <f t="shared" si="31"/>
        <v>9.82741</v>
      </c>
      <c r="GF105" s="105">
        <f t="array" ref="GF105">(('Fórmula'!C105)/('Fórmula'!C105+'Fórmula'!E105+'Fórmula'!G105+'Fórmula'!I105+'Fórmula'!K105))*(INDEX(properties!A$1:CB$87,'Fórmula'!B105,60))+(('Fórmula'!E105)/('Fórmula'!C105+'Fórmula'!E105+'Fórmula'!G105+'Fórmula'!I105+'Fórmula'!K105))*(INDEX(properties!A$1:CB$87,'Fórmula'!D105,60))+(('Fórmula'!G105)/('Fórmula'!C105+'Fórmula'!E105+'Fórmula'!G105+'Fórmula'!I105+'Fórmula'!K105))*(INDEX(properties!A$1:CB$87,'Fórmula'!F105,60))+(('Fórmula'!I105)/('Fórmula'!C105+'Fórmula'!E105+'Fórmula'!G105+'Fórmula'!I105+'Fórmula'!K105))*(INDEX(properties!A$1:CB$87,'Fórmula'!H105,60))+(('Fórmula'!K105)/('Fórmula'!C105+'Fórmula'!E105+'Fórmula'!G105+'Fórmula'!I105+'Fórmula'!K105))*(INDEX(properties!A$1:CB$87,'Fórmula'!J105,60))</f>
        <v>17.30374444</v>
      </c>
      <c r="GG105" s="105">
        <f t="array" ref="GG105">'Fórmula'!C105*(INDEX(properties!A$1:CB$87,'Fórmula'!B105,60))+'Fórmula'!E105*(INDEX(properties!A$1:CB$87,'Fórmula'!D105,60))+'Fórmula'!G105*(INDEX(properties!A$1:CB$87,'Fórmula'!F105,60))+'Fórmula'!I105*(INDEX(properties!A$1:CB$87,'Fórmula'!H105,60))+'Fórmula'!K105*(INDEX(properties!A$1:CB$87,'Fórmula'!J105,60))</f>
        <v>155.7337</v>
      </c>
      <c r="GH105" s="105">
        <f t="array" ref="GH105">VARP(IF(INDEX(properties!A$1:CB$87,'Fórmula'!B105,60)&lt;&gt;"",INDEX(properties!A$1:CB$87,'Fórmula'!B105,60)),IF(INDEX(properties!A$1:CB$87,'Fórmula'!D105,60)&lt;&gt;"",INDEX(properties!A$1:CB$87,'Fórmula'!D105,60)),IF(INDEX(properties!A$1:CB$87,'Fórmula'!F105,60)&lt;&gt;"",INDEX(properties!A$1:CB$87,'Fórmula'!F105,60)),IF(INDEX(properties!A$1:CB$87,'Fórmula'!H105,60)&lt;&gt;"",INDEX(properties!A$1:CB$87,'Fórmula'!H105,60)),IF(INDEX(properties!A$1:CB$87,'Fórmula'!J105,60)&lt;&gt;"",INDEX(properties!A$1:CB$87,'Fórmula'!J105,60)))</f>
        <v>1940.07393</v>
      </c>
      <c r="GI105" s="105">
        <f t="array" ref="GI105">MAX(INDEX(properties!A$1:CB$87,'Fórmula'!B105,60),INDEX(properties!A$1:CB$87,'Fórmula'!D105,60),INDEX(properties!A$1:CB$87,'Fórmula'!F105,60),INDEX(properties!A$1:CB$87,'Fórmula'!H105,60),INDEX(properties!A$1:CB$87,'Fórmula'!J105,60))</f>
        <v>116</v>
      </c>
      <c r="GJ105" s="105">
        <f t="array" ref="GJ105">MIN(IF(INDEX(properties!A$1:CB$87,'Fórmula'!B105,60)=0,10^6,INDEX(properties!A$1:CB$87,'Fórmula'!B105,60)),IF(INDEX(properties!A$1:CB$87,'Fórmula'!D105,60)=0,10^6,INDEX(properties!A$1:CB$87,'Fórmula'!D105,60)),IF(INDEX(properties!A$1:CB$87,'Fórmula'!F105,60)=0,10^6,INDEX(properties!A$1:CB$87,'Fórmula'!F105,60)),IF(INDEX(properties!A$1:CB$87,'Fórmula'!H105,60)=0,10^6,INDEX(properties!A$1:CB$87,'Fórmula'!H105,60)),IF(INDEX(properties!A$1:CB$87,'Fórmula'!J105,60)=0,10^6,INDEX(properties!A$1:CB$87,'Fórmula'!J105,60)))</f>
        <v>0.02674</v>
      </c>
      <c r="GK105" s="105">
        <f t="shared" si="32"/>
        <v>115.97326</v>
      </c>
      <c r="GL105" s="106">
        <f t="array" ref="GL105">(('Fórmula'!C105)/('Fórmula'!C105+'Fórmula'!E105+'Fórmula'!G105+'Fórmula'!I105+'Fórmula'!K105))*(INDEX(properties!A$1:CB$87,'Fórmula'!B105,62))+(('Fórmula'!E105)/('Fórmula'!C105+'Fórmula'!E105+'Fórmula'!G105+'Fórmula'!I105+'Fórmula'!K105))*(INDEX(properties!A$1:CB$87,'Fórmula'!D105,62))+(('Fórmula'!G105)/('Fórmula'!C105+'Fórmula'!E105+'Fórmula'!G105+'Fórmula'!I105+'Fórmula'!K105))*(INDEX(properties!A$1:CB$87,'Fórmula'!F105,62))+(('Fórmula'!I105)/('Fórmula'!C105+'Fórmula'!E105+'Fórmula'!G105+'Fórmula'!I105+'Fórmula'!K105))*(INDEX(properties!A$1:CB$87,'Fórmula'!H105,62))+(('Fórmula'!K105)/('Fórmula'!C105+'Fórmula'!E105+'Fórmula'!G105+'Fórmula'!I105+'Fórmula'!K105))*(INDEX(properties!A$1:CB$87,'Fórmula'!J105,62))</f>
        <v>2.736666667</v>
      </c>
      <c r="GM105" s="106">
        <f t="array" ref="GM105">'Fórmula'!C105*(INDEX(properties!A$1:CB$87,'Fórmula'!B105,62))+'Fórmula'!E105*(INDEX(properties!A$1:CB$87,'Fórmula'!D105,62))+'Fórmula'!G105*(INDEX(properties!A$1:CB$87,'Fórmula'!F105,62))+'Fórmula'!I105*(INDEX(properties!A$1:CB$87,'Fórmula'!H105,62))+'Fórmula'!K105*(INDEX(properties!A$1:CB$87,'Fórmula'!J105,62))</f>
        <v>24.63</v>
      </c>
      <c r="GN105" s="106">
        <f t="array" ref="GN105">VARP(IF(INDEX(properties!A$1:CB$87,'Fórmula'!B105,62)&lt;&gt;"",INDEX(properties!A$1:CB$87,'Fórmula'!B105,62)),IF(INDEX(properties!A$1:CB$87,'Fórmula'!D105,62)&lt;&gt;"",INDEX(properties!A$1:CB$87,'Fórmula'!D105,62)),IF(INDEX(properties!A$1:CB$87,'Fórmula'!F105,62)&lt;&gt;"",INDEX(properties!A$1:CB$87,'Fórmula'!F105,62)),IF(INDEX(properties!A$1:CB$87,'Fórmula'!H105,62)&lt;&gt;"",INDEX(properties!A$1:CB$87,'Fórmula'!H105,62)),IF(INDEX(properties!A$1:CB$87,'Fórmula'!J105,62)&lt;&gt;"",INDEX(properties!A$1:CB$87,'Fórmula'!J105,62)))</f>
        <v>1.879296</v>
      </c>
      <c r="GO105" s="106">
        <f t="array" ref="GO105">MAX(INDEX(properties!A$1:CB$87,'Fórmula'!B105,62),INDEX(properties!A$1:CB$87,'Fórmula'!D105,62),INDEX(properties!A$1:CB$87,'Fórmula'!F105,62),INDEX(properties!A$1:CB$87,'Fórmula'!H105,62),INDEX(properties!A$1:CB$87,'Fórmula'!J105,62))</f>
        <v>4.14</v>
      </c>
      <c r="GP105" s="106">
        <f t="array" ref="GP105">MIN(IF(INDEX(properties!A$1:CB$87,'Fórmula'!B105,62)=0,10^6,INDEX(properties!A$1:CB$87,'Fórmula'!B105,62)),IF(INDEX(properties!A$1:CB$87,'Fórmula'!D105,62)=0,10^6,INDEX(properties!A$1:CB$87,'Fórmula'!D105,62)),IF(INDEX(properties!A$1:CB$87,'Fórmula'!F105,62)=0,10^6,INDEX(properties!A$1:CB$87,'Fórmula'!F105,62)),IF(INDEX(properties!A$1:CB$87,'Fórmula'!H105,62)=0,10^6,INDEX(properties!A$1:CB$87,'Fórmula'!H105,62)),IF(INDEX(properties!A$1:CB$87,'Fórmula'!J105,62)=0,10^6,INDEX(properties!A$1:CB$87,'Fórmula'!J105,62)))</f>
        <v>1.35</v>
      </c>
      <c r="GQ105" s="106">
        <f t="shared" si="33"/>
        <v>2.79</v>
      </c>
      <c r="GR105" s="106">
        <f>'Fórmula'!Q105</f>
        <v>62</v>
      </c>
      <c r="GS105" s="107">
        <f>'Fórmula'!P105</f>
        <v>3</v>
      </c>
      <c r="GT105" s="113">
        <f>'Fórmula'!O105</f>
        <v>7.67</v>
      </c>
      <c r="GU105" s="114">
        <f>AVERAGE('Fórmula'!R105/'Fórmula'!S105,'Fórmula'!S105/'Fórmula'!T105,'Fórmula'!T105/'Fórmula'!R105)</f>
        <v>1.181082801</v>
      </c>
      <c r="GV105" s="125">
        <f>'Fórmula'!U105</f>
        <v>516.84</v>
      </c>
      <c r="GW105" s="106">
        <f>'Fórmula'!N105</f>
        <v>0.05</v>
      </c>
    </row>
    <row r="106" ht="14.25" customHeight="1">
      <c r="A106" s="99" t="str">
        <f>'Fórmula'!A106</f>
        <v>LaAlO3</v>
      </c>
      <c r="B106" s="100">
        <f t="array" ref="B106">(('Fórmula'!C106)/('Fórmula'!C106+'Fórmula'!E106+'Fórmula'!G106+'Fórmula'!I106+'Fórmula'!K106))*(INDEX(properties!A$1:CB$87,'Fórmula'!B106,3))+(('Fórmula'!E106)/('Fórmula'!C106+'Fórmula'!E106+'Fórmula'!G106+'Fórmula'!I106+'Fórmula'!K106))*(INDEX(properties!A$1:CB$87,'Fórmula'!D106,3))+(('Fórmula'!G106)/('Fórmula'!C106+'Fórmula'!E106+'Fórmula'!G106+'Fórmula'!I106+'Fórmula'!K106))*(INDEX(properties!A$1:CB$87,'Fórmula'!F106,3))+(('Fórmula'!I106)/('Fórmula'!C106+'Fórmula'!E106+'Fórmula'!G106+'Fórmula'!I106+'Fórmula'!K106))*(INDEX(properties!A$1:CB$87,'Fórmula'!H106,3))+(('Fórmula'!K106)/('Fórmula'!C106+'Fórmula'!E106+'Fórmula'!G106+'Fórmula'!I106+'Fórmula'!K106))*(INDEX(properties!A$1:CB$87,'Fórmula'!J106,3))</f>
        <v>42.7770478</v>
      </c>
      <c r="C106" s="101">
        <f t="array" ref="C106">'Fórmula'!C106*(INDEX(properties!A$1:CB$87,'Fórmula'!B106,3))+'Fórmula'!E106*(INDEX(properties!A$1:CB$87,'Fórmula'!D106,3))+'Fórmula'!G106*(INDEX(properties!A$1:CB$87,'Fórmula'!F106,3))+'Fórmula'!I106*(INDEX(properties!A$1:CB$87,'Fórmula'!H106,3))+'Fórmula'!K106*(INDEX(properties!A$1:CB$87,'Fórmula'!J106,3))</f>
        <v>213.885239</v>
      </c>
      <c r="D106" s="101">
        <f t="array" ref="D106">VARP(IF(INDEX(properties!A$1:CB$87,'Fórmula'!B106,3)&lt;&gt;"",INDEX(properties!A$1:CB$87,'Fórmula'!B106,3)),IF(INDEX(properties!A$1:CB$87,'Fórmula'!D106,3)&lt;&gt;"",INDEX(properties!A$1:CB$87,'Fórmula'!D106,3)),IF(INDEX(properties!A$1:CB$87,'Fórmula'!F106,3)&lt;&gt;"",INDEX(properties!A$1:CB$87,'Fórmula'!F106,3)),IF(INDEX(properties!A$1:CB$87,'Fórmula'!H106,3)&lt;&gt;"",INDEX(properties!A$1:CB$87,'Fórmula'!H106,3)),IF(INDEX(properties!A$1:CB$87,'Fórmula'!J106,3)&lt;&gt;"",INDEX(properties!A$1:CB$87,'Fórmula'!J106,3)))</f>
        <v>2732.437368</v>
      </c>
      <c r="E106" s="101">
        <f t="array" ref="E106">MAX(INDEX(properties!A$1:CB$87,'Fórmula'!B106,3),INDEX(properties!A$1:CB$87,'Fórmula'!D106,3),INDEX(properties!A$1:CB$87,'Fórmula'!F106,3),INDEX(properties!A$1:CB$87,'Fórmula'!H106,3),INDEX(properties!A$1:CB$87,'Fórmula'!J106,3))</f>
        <v>138.9055</v>
      </c>
      <c r="F106" s="101">
        <f t="array" ref="F106">MIN(IF(INDEX(properties!A$1:CB$87,'Fórmula'!B106,3)=0,10^6,INDEX(properties!A$1:CB$87,'Fórmula'!B106,3)),IF(INDEX(properties!A$1:CB$87,'Fórmula'!D106,3)=0,10^6,INDEX(properties!A$1:CB$87,'Fórmula'!D106,3)),IF(INDEX(properties!A$1:CB$87,'Fórmula'!F106,3)=0,10^6,INDEX(properties!A$1:CB$87,'Fórmula'!F106,3)),IF(INDEX(properties!A$1:CB$87,'Fórmula'!H106,3)=0,10^6,INDEX(properties!A$1:CB$87,'Fórmula'!H106,3)),IF(INDEX(properties!A$1:CB$87,'Fórmula'!J106,3)=0,10^6,INDEX(properties!A$1:CB$87,'Fórmula'!J106,3)))</f>
        <v>15.9994</v>
      </c>
      <c r="G106" s="101">
        <f t="shared" si="1"/>
        <v>122.9061</v>
      </c>
      <c r="H106" s="102">
        <f t="array" ref="H106">(('Fórmula'!C106)/('Fórmula'!C106+'Fórmula'!E106+'Fórmula'!G106+'Fórmula'!I106+'Fórmula'!K106))*(INDEX(properties!A$1:CB$87,'Fórmula'!B106,4))+(('Fórmula'!E106)/('Fórmula'!C106+'Fórmula'!E106+'Fórmula'!G106+'Fórmula'!I106+'Fórmula'!K106))*(INDEX(properties!A$1:CB$87,'Fórmula'!D106,4))+(('Fórmula'!G106)/('Fórmula'!C106+'Fórmula'!E106+'Fórmula'!G106+'Fórmula'!I106+'Fórmula'!K106))*(INDEX(properties!A$1:CB$87,'Fórmula'!F106,4))+(('Fórmula'!I106)/('Fórmula'!C106+'Fórmula'!E106+'Fórmula'!G106+'Fórmula'!I106+'Fórmula'!K106))*(INDEX(properties!A$1:CB$87,'Fórmula'!H106,4))+(('Fórmula'!K106)/('Fórmula'!C106+'Fórmula'!E106+'Fórmula'!G106+'Fórmula'!I106+'Fórmula'!K106))*(INDEX(properties!A$1:CB$87,'Fórmula'!J106,4))</f>
        <v>18.8</v>
      </c>
      <c r="I106" s="102">
        <f t="array" ref="I106">'Fórmula'!C106*(INDEX(properties!A$1:CB$87,'Fórmula'!B106,4))+'Fórmula'!E106*(INDEX(properties!A$1:CB$87,'Fórmula'!D106,4))+'Fórmula'!G106*(INDEX(properties!A$1:CB$87,'Fórmula'!F106,4))+'Fórmula'!I106*(INDEX(properties!A$1:CB$87,'Fórmula'!H106,4))+'Fórmula'!K106*(INDEX(properties!A$1:CB$87,'Fórmula'!J106,4))</f>
        <v>94</v>
      </c>
      <c r="J106" s="102">
        <f t="array" ref="J106">VARP(IF(INDEX(properties!A$1:CB$87,'Fórmula'!B106,4)&lt;&gt;"",INDEX(properties!A$1:CB$87,'Fórmula'!B106,4)),IF(INDEX(properties!A$1:CB$87,'Fórmula'!D106,4)&lt;&gt;"",INDEX(properties!A$1:CB$87,'Fórmula'!D106,4)),IF(INDEX(properties!A$1:CB$87,'Fórmula'!F106,4)&lt;&gt;"",INDEX(properties!A$1:CB$87,'Fórmula'!F106,4)),IF(INDEX(properties!A$1:CB$87,'Fórmula'!H106,4)&lt;&gt;"",INDEX(properties!A$1:CB$87,'Fórmula'!H106,4)),IF(INDEX(properties!A$1:CB$87,'Fórmula'!J106,4)&lt;&gt;"",INDEX(properties!A$1:CB$87,'Fórmula'!J106,4)))</f>
        <v>453.04</v>
      </c>
      <c r="K106" s="102">
        <f t="array" ref="K106">MAX(INDEX(properties!A$1:CB$87,'Fórmula'!B106,4),INDEX(properties!A$1:CB$87,'Fórmula'!D106,4),INDEX(properties!A$1:CB$87,'Fórmula'!F106,4),INDEX(properties!A$1:CB$87,'Fórmula'!H106,4),INDEX(properties!A$1:CB$87,'Fórmula'!J106,4))</f>
        <v>57</v>
      </c>
      <c r="L106" s="102">
        <f t="array" ref="L106">MIN(IF(INDEX(properties!A$1:CB$87,'Fórmula'!B106,4)=0,10^6,INDEX(properties!A$1:CB$87,'Fórmula'!B106,4)),IF(INDEX(properties!A$1:CB$87,'Fórmula'!D106,4)=0,10^6,INDEX(properties!A$1:CB$87,'Fórmula'!D106,4)),IF(INDEX(properties!A$1:CB$87,'Fórmula'!F106,4)=0,10^6,INDEX(properties!A$1:CB$87,'Fórmula'!F106,4)),IF(INDEX(properties!A$1:CB$87,'Fórmula'!H106,4)=0,10^6,INDEX(properties!A$1:CB$87,'Fórmula'!H106,4)),IF(INDEX(properties!A$1:CB$87,'Fórmula'!J106,4)=0,10^6,INDEX(properties!A$1:CB$87,'Fórmula'!J106,4)))</f>
        <v>8</v>
      </c>
      <c r="M106" s="102">
        <f t="shared" si="2"/>
        <v>49</v>
      </c>
      <c r="N106" s="103">
        <f t="array" ref="N106">(('Fórmula'!C106)/('Fórmula'!C106+'Fórmula'!E106+'Fórmula'!G106+'Fórmula'!I106+'Fórmula'!K106))*(INDEX(properties!A$1:CB$87,'Fórmula'!B106,5))+(('Fórmula'!E106)/('Fórmula'!C106+'Fórmula'!E106+'Fórmula'!G106+'Fórmula'!I106+'Fórmula'!K106))*(INDEX(properties!A$1:CB$87,'Fórmula'!D106,5))+(('Fórmula'!G106)/('Fórmula'!C106+'Fórmula'!E106+'Fórmula'!G106+'Fórmula'!I106+'Fórmula'!K106))*(INDEX(properties!A$1:CB$87,'Fórmula'!F106,5))+(('Fórmula'!I106)/('Fórmula'!C106+'Fórmula'!E106+'Fórmula'!G106+'Fórmula'!I106+'Fórmula'!K106))*(INDEX(properties!A$1:CB$87,'Fórmula'!H106,5))+(('Fórmula'!K106)/('Fórmula'!C106+'Fórmula'!E106+'Fórmula'!G106+'Fórmula'!I106+'Fórmula'!K106))*(INDEX(properties!A$1:CB$87,'Fórmula'!J106,5))</f>
        <v>3</v>
      </c>
      <c r="O106" s="103">
        <f t="array" ref="O106">'Fórmula'!C106*(INDEX(properties!A$1:CB$87,'Fórmula'!B106,5))+'Fórmula'!E106*(INDEX(properties!A$1:CB$87,'Fórmula'!D106,5))+'Fórmula'!G106*(INDEX(properties!A$1:CB$87,'Fórmula'!F106,5))+'Fórmula'!I106*(INDEX(properties!A$1:CB$87,'Fórmula'!H106,5))+'Fórmula'!K106*(INDEX(properties!A$1:CB$87,'Fórmula'!J106,5))</f>
        <v>15</v>
      </c>
      <c r="P106" s="103">
        <f t="array" ref="P106">VARP(IF(INDEX(properties!A$1:CB$87,'Fórmula'!B106,5)&lt;&gt;"",INDEX(properties!A$1:CB$87,'Fórmula'!B106,5)),IF(INDEX(properties!A$1:CB$87,'Fórmula'!D106,5)&lt;&gt;"",INDEX(properties!A$1:CB$87,'Fórmula'!D106,5)),IF(INDEX(properties!A$1:CB$87,'Fórmula'!F106,5)&lt;&gt;"",INDEX(properties!A$1:CB$87,'Fórmula'!F106,5)),IF(INDEX(properties!A$1:CB$87,'Fórmula'!H106,5)&lt;&gt;"",INDEX(properties!A$1:CB$87,'Fórmula'!H106,5)),IF(INDEX(properties!A$1:CB$87,'Fórmula'!J106,5)&lt;&gt;"",INDEX(properties!A$1:CB$87,'Fórmula'!J106,5)))</f>
        <v>4.96</v>
      </c>
      <c r="Q106" s="103">
        <f t="array" ref="Q106">MAX(INDEX(properties!A$1:CB$87,'Fórmula'!B106,5),INDEX(properties!A$1:CB$87,'Fórmula'!D106,5),INDEX(properties!A$1:CB$87,'Fórmula'!F106,5),INDEX(properties!A$1:CB$87,'Fórmula'!H106,5),INDEX(properties!A$1:CB$87,'Fórmula'!J106,5))</f>
        <v>6</v>
      </c>
      <c r="R106" s="103">
        <f t="array" ref="R106">MIN(IF(INDEX(properties!A$1:CB$87,'Fórmula'!B106,5)=0,10^6,INDEX(properties!A$1:CB$87,'Fórmula'!B106,5)),IF(INDEX(properties!A$1:CB$87,'Fórmula'!D106,5)=0,10^6,INDEX(properties!A$1:CB$87,'Fórmula'!D106,5)),IF(INDEX(properties!A$1:CB$87,'Fórmula'!F106,5)=0,10^6,INDEX(properties!A$1:CB$87,'Fórmula'!F106,5)),IF(INDEX(properties!A$1:CB$87,'Fórmula'!H106,5)=0,10^6,INDEX(properties!A$1:CB$87,'Fórmula'!H106,5)),IF(INDEX(properties!A$1:CB$87,'Fórmula'!J106,5)=0,10^6,INDEX(properties!A$1:CB$87,'Fórmula'!J106,5)))</f>
        <v>2</v>
      </c>
      <c r="S106" s="103">
        <f t="shared" si="3"/>
        <v>4</v>
      </c>
      <c r="T106" s="104">
        <f t="array" ref="T106">(('Fórmula'!C106)/('Fórmula'!C106+'Fórmula'!E106+'Fórmula'!G106+'Fórmula'!I106+'Fórmula'!K106))*(INDEX(properties!A$1:CB$87,'Fórmula'!B106,6))+(('Fórmula'!E106)/('Fórmula'!C106+'Fórmula'!E106+'Fórmula'!G106+'Fórmula'!I106+'Fórmula'!K106))*(INDEX(properties!A$1:CB$87,'Fórmula'!D106,6))+(('Fórmula'!G106)/('Fórmula'!C106+'Fórmula'!E106+'Fórmula'!G106+'Fórmula'!I106+'Fórmula'!K106))*(INDEX(properties!A$1:CB$87,'Fórmula'!F106,6))+(('Fórmula'!I106)/('Fórmula'!C106+'Fórmula'!E106+'Fórmula'!G106+'Fórmula'!I106+'Fórmula'!K106))*(INDEX(properties!A$1:CB$87,'Fórmula'!H106,6))+(('Fórmula'!K106)/('Fórmula'!C106+'Fórmula'!E106+'Fórmula'!G106+'Fórmula'!I106+'Fórmula'!K106))*(INDEX(properties!A$1:CB$87,'Fórmula'!J106,6))</f>
        <v>12.8</v>
      </c>
      <c r="U106" s="104">
        <f t="array" ref="U106">'Fórmula'!C106*(INDEX(properties!A$1:CB$87,'Fórmula'!B106,6))+'Fórmula'!E106*(INDEX(properties!A$1:CB$87,'Fórmula'!D106,6))+'Fórmula'!G106*(INDEX(properties!A$1:CB$87,'Fórmula'!F106,6))+'Fórmula'!I106*(INDEX(properties!A$1:CB$87,'Fórmula'!H106,6))+'Fórmula'!K106*(INDEX(properties!A$1:CB$87,'Fórmula'!J106,6))</f>
        <v>64</v>
      </c>
      <c r="V106" s="103">
        <f t="array" ref="V106">VARP(IF(INDEX(properties!A$1:CB$87,'Fórmula'!B106,6)&lt;&gt;"",INDEX(properties!A$1:CB$87,'Fórmula'!B106,6)),IF(INDEX(properties!A$1:CB$87,'Fórmula'!D106,6)&lt;&gt;"",INDEX(properties!A$1:CB$87,'Fórmula'!D106,6)),IF(INDEX(properties!A$1:CB$87,'Fórmula'!F106,6)&lt;&gt;"",INDEX(properties!A$1:CB$87,'Fórmula'!F106,6)),IF(INDEX(properties!A$1:CB$87,'Fórmula'!H106,6)&lt;&gt;"",INDEX(properties!A$1:CB$87,'Fórmula'!H106,6)),IF(INDEX(properties!A$1:CB$87,'Fórmula'!J106,6)&lt;&gt;"",INDEX(properties!A$1:CB$87,'Fórmula'!J106,6)))</f>
        <v>45.84</v>
      </c>
      <c r="W106" s="104">
        <f t="array" ref="W106">MAX(INDEX(properties!A$1:CB$87,'Fórmula'!B106,6),INDEX(properties!A$1:CB$87,'Fórmula'!D106,6),INDEX(properties!A$1:CB$87,'Fórmula'!F106,6),INDEX(properties!A$1:CB$87,'Fórmula'!H106,4),INDEX(properties!A$1:CB$87,'Fórmula'!J106,6))</f>
        <v>16</v>
      </c>
      <c r="X106" s="104">
        <f t="array" ref="X106">MIN(IF(INDEX(properties!A$1:CB$87,'Fórmula'!B106,6)=0,10^6,INDEX(properties!A$1:CB$87,'Fórmula'!B106,6)),IF(INDEX(properties!A$1:CB$87,'Fórmula'!D106,6)=0,10^6,INDEX(properties!A$1:CB$87,'Fórmula'!D106,6)),IF(INDEX(properties!A$1:CB$87,'Fórmula'!F106,6)=0,10^6,INDEX(properties!A$1:CB$87,'Fórmula'!F106,6)),IF(INDEX(properties!A$1:CB$87,'Fórmula'!H106,6)=0,10^6,INDEX(properties!A$1:CB$87,'Fórmula'!H106,6)),IF(INDEX(properties!A$1:CB$87,'Fórmula'!J106,6)=0,10^6,INDEX(properties!A$1:CB$87,'Fórmula'!J106,6)))</f>
        <v>3</v>
      </c>
      <c r="Y106" s="104">
        <f t="shared" si="4"/>
        <v>13</v>
      </c>
      <c r="Z106" s="105">
        <f t="array" ref="Z106">(('Fórmula'!C106)/('Fórmula'!C106+'Fórmula'!E106+'Fórmula'!G106+'Fórmula'!I106+'Fórmula'!K106))*(INDEX(properties!A$1:CB$87,'Fórmula'!B106,9))+(('Fórmula'!E106)/('Fórmula'!C106+'Fórmula'!E106+'Fórmula'!G106+'Fórmula'!I106+'Fórmula'!K106))*(INDEX(properties!A$1:CB$87,'Fórmula'!D106,9))+(('Fórmula'!G106)/('Fórmula'!C106+'Fórmula'!E106+'Fórmula'!G106+'Fórmula'!I106+'Fórmula'!K106))*(INDEX(properties!A$1:CB$87,'Fórmula'!F106,9))+(('Fórmula'!I106)/('Fórmula'!C106+'Fórmula'!E106+'Fórmula'!G106+'Fórmula'!I106+'Fórmula'!K106))*(INDEX(properties!A$1:CB$87,'Fórmula'!H106,9))+(('Fórmula'!K106)/('Fórmula'!C106+'Fórmula'!E106+'Fórmula'!G106+'Fórmula'!I106+'Fórmula'!K106))*(INDEX(properties!A$1:CB$87,'Fórmula'!J106,9))</f>
        <v>69.4</v>
      </c>
      <c r="AA106" s="105">
        <f t="array" ref="AA106">'Fórmula'!C106*(INDEX(properties!A$1:CB$87,'Fórmula'!B106,9))+'Fórmula'!E106*(INDEX(properties!A$1:CB$87,'Fórmula'!D106,9))+'Fórmula'!G106*(INDEX(properties!A$1:CB$87,'Fórmula'!F106,9))+'Fórmula'!I106*(INDEX(properties!A$1:CB$87,'Fórmula'!H106,9))+'Fórmula'!K106*(INDEX(properties!A$1:CB$87,'Fórmula'!J106,9))</f>
        <v>347</v>
      </c>
      <c r="AB106" s="105">
        <f t="array" ref="AB106">VARP(IF(INDEX(properties!A$1:CB$87,'Fórmula'!B106,9)&lt;&gt;"",INDEX(properties!A$1:CB$87,'Fórmula'!B106,9)),IF(INDEX(properties!A$1:CB$87,'Fórmula'!D106,9)&lt;&gt;"",INDEX(properties!A$1:CB$87,'Fórmula'!D106,9)),IF(INDEX(properties!A$1:CB$87,'Fórmula'!F106,9)&lt;&gt;"",INDEX(properties!A$1:CB$87,'Fórmula'!F106,9)),IF(INDEX(properties!A$1:CB$87,'Fórmula'!H106,9)&lt;&gt;"",INDEX(properties!A$1:CB$87,'Fórmula'!H106,9)),IF(INDEX(properties!A$1:CB$87,'Fórmula'!J106,9)&lt;&gt;"",INDEX(properties!A$1:CB$87,'Fórmula'!J106,9)))</f>
        <v>1416.24</v>
      </c>
      <c r="AC106" s="105">
        <f t="array" ref="AC106">MAX(INDEX(properties!A$1:CB$87,'Fórmula'!B106,9),INDEX(properties!A$1:CB$87,'Fórmula'!D106,9),INDEX(properties!A$1:CB$87,'Fórmula'!F106,9),INDEX(properties!A$1:CB$87,'Fórmula'!H106,9),INDEX(properties!A$1:CB$87,'Fórmula'!J106,9))</f>
        <v>87</v>
      </c>
      <c r="AD106" s="105">
        <f t="array" ref="AD106">MIN(IF(INDEX(properties!A$1:CB$87,'Fórmula'!B106,9)=0,10^6,INDEX(properties!A$1:CB$87,'Fórmula'!B106,9)),IF(INDEX(properties!A$1:CB$87,'Fórmula'!D106,9)=0,10^6,INDEX(properties!A$1:CB$87,'Fórmula'!D106,9)),IF(INDEX(properties!A$1:CB$87,'Fórmula'!F106,9)=0,10^6,INDEX(properties!A$1:CB$87,'Fórmula'!F106,9)),IF(INDEX(properties!A$1:CB$87,'Fórmula'!H106,9)=0,10^6,INDEX(properties!A$1:CB$87,'Fórmula'!H106,9)),IF(INDEX(properties!A$1:CB$87,'Fórmula'!J106,9)=0,10^6,INDEX(properties!A$1:CB$87,'Fórmula'!J106,9)))</f>
        <v>13</v>
      </c>
      <c r="AE106" s="105">
        <f t="shared" si="5"/>
        <v>74</v>
      </c>
      <c r="AF106" s="106">
        <f t="array" ref="AF106">(('Fórmula'!C106)/('Fórmula'!C106+'Fórmula'!E106+'Fórmula'!G106+'Fórmula'!I106+'Fórmula'!K106))*(INDEX(properties!A$1:CB$87,'Fórmula'!B106,10))+(('Fórmula'!E106)/('Fórmula'!C106+'Fórmula'!E106+'Fórmula'!G106+'Fórmula'!I106+'Fórmula'!K106))*(INDEX(properties!A$1:CB$87,'Fórmula'!D106,10))+(('Fórmula'!G106)/('Fórmula'!C106+'Fórmula'!E106+'Fórmula'!G106+'Fórmula'!I106+'Fórmula'!K106))*(INDEX(properties!A$1:CB$87,'Fórmula'!F106,10))+(('Fórmula'!I106)/('Fórmula'!C106+'Fórmula'!E106+'Fórmula'!G106+'Fórmula'!I106+'Fórmula'!K106))*(INDEX(properties!A$1:CB$87,'Fórmula'!H106,10))+(('Fórmula'!K106)/('Fórmula'!C106+'Fórmula'!E106+'Fórmula'!G106+'Fórmula'!I106+'Fórmula'!K106))*(INDEX(properties!A$1:CB$87,'Fórmula'!J106,10))</f>
        <v>5.8</v>
      </c>
      <c r="AG106" s="106">
        <f t="array" ref="AG106">'Fórmula'!C106*(INDEX(properties!A$1:CB$87,'Fórmula'!B106,10))+'Fórmula'!E106*(INDEX(properties!A$1:CB$87,'Fórmula'!D106,10))+'Fórmula'!G106*(INDEX(properties!A$1:CB$87,'Fórmula'!F106,10))+'Fórmula'!I106*(INDEX(properties!A$1:CB$87,'Fórmula'!H106,10))+'Fórmula'!K106*(INDEX(properties!A$1:CB$87,'Fórmula'!J106,10))</f>
        <v>29</v>
      </c>
      <c r="AH106" s="106">
        <f t="array" ref="AH106">VARP(IF(INDEX(properties!A$1:CB$87,'Fórmula'!B106,10)&lt;&gt;"",INDEX(properties!A$1:CB$87,'Fórmula'!B106,10)),IF(INDEX(properties!A$1:CB$87,'Fórmula'!D106,10)&lt;&gt;"",INDEX(properties!A$1:CB$87,'Fórmula'!D106,10)),IF(INDEX(properties!A$1:CB$87,'Fórmula'!F106,10)&lt;&gt;"",INDEX(properties!A$1:CB$87,'Fórmula'!F106,10)),IF(INDEX(properties!A$1:CB$87,'Fórmula'!H106,10)&lt;&gt;"",INDEX(properties!A$1:CB$87,'Fórmula'!H106,10)),IF(INDEX(properties!A$1:CB$87,'Fórmula'!J106,10)&lt;&gt;"",INDEX(properties!A$1:CB$87,'Fórmula'!J106,10)))</f>
        <v>7.6</v>
      </c>
      <c r="AI106" s="106">
        <f t="array" ref="AI106">MAX(INDEX(properties!A$1:CB$87,'Fórmula'!B106,10),INDEX(properties!A$1:CB$87,'Fórmula'!D106,10),INDEX(properties!A$1:CB$87,'Fórmula'!F106,10),INDEX(properties!A$1:CB$87,'Fórmula'!H106,10),INDEX(properties!A$1:CB$87,'Fórmula'!J106,10))</f>
        <v>7</v>
      </c>
      <c r="AJ106" s="106">
        <f t="array" ref="AJ106">MIN(IF(INDEX(properties!A$1:CB$87,'Fórmula'!B106,10)=0,10^6,INDEX(properties!A$1:CB$87,'Fórmula'!B106,10)),IF(INDEX(properties!A$1:CB$87,'Fórmula'!D106,10)=0,10^6,INDEX(properties!A$1:CB$87,'Fórmula'!D106,10)),IF(INDEX(properties!A$1:CB$87,'Fórmula'!F106,10)=0,10^6,INDEX(properties!A$1:CB$87,'Fórmula'!F106,10)),IF(INDEX(properties!A$1:CB$87,'Fórmula'!H106,10)=0,10^6,INDEX(properties!A$1:CB$87,'Fórmula'!H106,10)),IF(INDEX(properties!A$1:CB$87,'Fórmula'!J106,10)=0,10^6,INDEX(properties!A$1:CB$87,'Fórmula'!J106,10)))</f>
        <v>3</v>
      </c>
      <c r="AK106" s="106">
        <f t="shared" si="6"/>
        <v>4</v>
      </c>
      <c r="AL106" s="107">
        <f t="array" ref="AL106">(('Fórmula'!C106)/('Fórmula'!C106+'Fórmula'!E106+'Fórmula'!G106+'Fórmula'!I106+'Fórmula'!K106))*(INDEX(properties!A$1:CB$87,'Fórmula'!B106,11))+(('Fórmula'!E106)/('Fórmula'!C106+'Fórmula'!E106+'Fórmula'!G106+'Fórmula'!I106+'Fórmula'!K106))*(INDEX(properties!A$1:CB$87,'Fórmula'!D106,11))+(('Fórmula'!G106)/('Fórmula'!C106+'Fórmula'!E106+'Fórmula'!G106+'Fórmula'!I106+'Fórmula'!K106))*(INDEX(properties!A$1:CB$87,'Fórmula'!F106,11))+(('Fórmula'!I106)/('Fórmula'!C106+'Fórmula'!E106+'Fórmula'!G106+'Fórmula'!I106+'Fórmula'!K106))*(INDEX(properties!A$1:CB$87,'Fórmula'!H106,11))+(('Fórmula'!K106)/('Fórmula'!C106+'Fórmula'!E106+'Fórmula'!G106+'Fórmula'!I106+'Fórmula'!K106))*(INDEX(properties!A$1:CB$87,'Fórmula'!J106,11))</f>
        <v>2</v>
      </c>
      <c r="AM106" s="107">
        <f t="array" ref="AM106">'Fórmula'!C106*(INDEX(properties!A$1:CB$87,'Fórmula'!B106,11))+'Fórmula'!E106*(INDEX(properties!A$1:CB$87,'Fórmula'!D106,11))+'Fórmula'!G106*(INDEX(properties!A$1:CB$87,'Fórmula'!F106,11))+'Fórmula'!I106*(INDEX(properties!A$1:CB$87,'Fórmula'!H106,11))+'Fórmula'!K106*(INDEX(properties!A$1:CB$87,'Fórmula'!J106,11))</f>
        <v>10</v>
      </c>
      <c r="AN106" s="107">
        <f t="array" ref="AN106">VARP(IF(INDEX(properties!A$1:CB$87,'Fórmula'!B106,11)&lt;&gt;"",INDEX(properties!A$1:CB$87,'Fórmula'!B106,11)),IF(INDEX(properties!A$1:CB$87,'Fórmula'!D106,11)&lt;&gt;"",INDEX(properties!A$1:CB$87,'Fórmula'!D106,11)),IF(INDEX(properties!A$1:CB$87,'Fórmula'!F106,11)&lt;&gt;"",INDEX(properties!A$1:CB$87,'Fórmula'!F106,11)),IF(INDEX(properties!A$1:CB$87,'Fórmula'!H106,11)&lt;&gt;"",INDEX(properties!A$1:CB$87,'Fórmula'!H106,11)),IF(INDEX(properties!A$1:CB$87,'Fórmula'!J106,11)&lt;&gt;"",INDEX(properties!A$1:CB$87,'Fórmula'!J106,11)))</f>
        <v>0.96</v>
      </c>
      <c r="AO106" s="107">
        <f t="array" ref="AO106">MAX(INDEX(properties!A$1:CB$87,'Fórmula'!B106,11),INDEX(properties!A$1:CB$87,'Fórmula'!D106,11),INDEX(properties!A$1:CB$87,'Fórmula'!F106,11),INDEX(properties!A$1:CB$87,'Fórmula'!H106,11),INDEX(properties!A$1:CB$87,'Fórmula'!J106,11))</f>
        <v>2</v>
      </c>
      <c r="AP106" s="107">
        <f t="array" ref="AP106">MIN(IF('Fórmula'!B106=87,10^6,INDEX(properties!A$1:CB$87,'Fórmula'!B106,11)),IF(('Fórmula'!D106)=87,10^6,INDEX(properties!A$1:CB$87,'Fórmula'!D106,11)),IF(('Fórmula'!F106)=87,10^6,INDEX(properties!A$1:CB$87,'Fórmula'!F106,11)),IF(('Fórmula'!H106)=87,10^6,INDEX(properties!A$1:CB$87,'Fórmula'!H106,11)),IF('Fórmula'!J106=87,10^6,INDEX(properties!A$1:CB$87,'Fórmula'!J106,11)))</f>
        <v>2</v>
      </c>
      <c r="AQ106" s="107">
        <f t="shared" si="7"/>
        <v>0</v>
      </c>
      <c r="AR106" s="108">
        <f t="array" ref="AR106">(('Fórmula'!C106)/('Fórmula'!C106+'Fórmula'!E106+'Fórmula'!G106+'Fórmula'!I106+'Fórmula'!K106))*(INDEX(properties!A$1:CB$87,'Fórmula'!B106,12))+(('Fórmula'!E106)/('Fórmula'!C106+'Fórmula'!E106+'Fórmula'!G106+'Fórmula'!I106+'Fórmula'!K106))*(INDEX(properties!A$1:CB$87,'Fórmula'!D106,12))+(('Fórmula'!G106)/('Fórmula'!C106+'Fórmula'!E106+'Fórmula'!G106+'Fórmula'!I106+'Fórmula'!K106))*(INDEX(properties!A$1:CB$87,'Fórmula'!F106,12))+(('Fórmula'!I106)/('Fórmula'!C106+'Fórmula'!E106+'Fórmula'!G106+'Fórmula'!I106+'Fórmula'!K106))*(INDEX(properties!A$1:CB$87,'Fórmula'!H106,12))+(('Fórmula'!K106)/('Fórmula'!C106+'Fórmula'!E106+'Fórmula'!G106+'Fórmula'!I106+'Fórmula'!K106))*(INDEX(properties!A$1:CB$87,'Fórmula'!J106,12))</f>
        <v>2.6</v>
      </c>
      <c r="AS106" s="108">
        <f t="array" ref="AS106">'Fórmula'!C106*(INDEX(properties!A$1:CB$87,'Fórmula'!B106,12))+'Fórmula'!E106*(INDEX(properties!A$1:CB$87,'Fórmula'!D106,12))+'Fórmula'!G106*(INDEX(properties!A$1:CB$87,'Fórmula'!F106,12))+'Fórmula'!I106*(INDEX(properties!A$1:CB$87,'Fórmula'!H106,12))+'Fórmula'!K106*(INDEX(properties!A$1:CB$87,'Fórmula'!J106,12))</f>
        <v>13</v>
      </c>
      <c r="AT106" s="108">
        <f t="array" ref="AT106">VARP(IF(INDEX(properties!A$1:CB$87,'Fórmula'!B106,12)&lt;&gt;"",INDEX(properties!A$1:CB$87,'Fórmula'!B106,12)),IF(INDEX(properties!A$1:CB$87,'Fórmula'!D106,12)&lt;&gt;"",INDEX(properties!A$1:CB$87,'Fórmula'!D106,12)),IF(INDEX(properties!A$1:CB$87,'Fórmula'!F106,12)&lt;&gt;"",INDEX(properties!A$1:CB$87,'Fórmula'!F106,12)),IF(INDEX(properties!A$1:CB$87,'Fórmula'!H106,12)&lt;&gt;"",INDEX(properties!A$1:CB$87,'Fórmula'!H106,12)),IF(INDEX(properties!A$1:CB$87,'Fórmula'!J106,12)&lt;&gt;"",INDEX(properties!A$1:CB$87,'Fórmula'!J106,12)))</f>
        <v>2.4</v>
      </c>
      <c r="AU106" s="108">
        <f t="array" ref="AU106">MAX(INDEX(properties!A$1:CB$87,'Fórmula'!B106,12),INDEX(properties!A$1:CB$87,'Fórmula'!D106,12),INDEX(properties!A$1:CB$87,'Fórmula'!F106,12),INDEX(properties!A$1:CB$87,'Fórmula'!H106,12),INDEX(properties!A$1:CB$87,'Fórmula'!J106,12))</f>
        <v>4</v>
      </c>
      <c r="AV106" s="108">
        <f t="array" ref="AV106">MIN(IF('Fórmula'!B106=87,10^6,INDEX(properties!A$1:CB$87,'Fórmula'!B106,12)),IF(('Fórmula'!D106)=87,10^6,INDEX(properties!A$1:CB$87,'Fórmula'!D106,12)),IF(('Fórmula'!F106)=87,10^6,INDEX(properties!A$1:CB$87,'Fórmula'!F106,12)),IF(('Fórmula'!H106)=87,10^6,INDEX(properties!A$1:CB$87,'Fórmula'!H106,12)),IF('Fórmula'!J106=87,10^6,INDEX(properties!A$1:CB$87,'Fórmula'!J106,12)))</f>
        <v>0</v>
      </c>
      <c r="AW106" s="108">
        <f t="shared" si="8"/>
        <v>4</v>
      </c>
      <c r="AX106" s="109">
        <f t="array" ref="AX106">(('Fórmula'!C106)/('Fórmula'!C106+'Fórmula'!E106+'Fórmula'!G106+'Fórmula'!I106+'Fórmula'!K106))*(INDEX(properties!A$1:CB$87,'Fórmula'!B106,13))+(('Fórmula'!E106)/('Fórmula'!C106+'Fórmula'!E106+'Fórmula'!G106+'Fórmula'!I106+'Fórmula'!K106))*(INDEX(properties!A$1:CB$87,'Fórmula'!D106,13))+(('Fórmula'!G106)/('Fórmula'!C106+'Fórmula'!E106+'Fórmula'!G106+'Fórmula'!I106+'Fórmula'!K106))*(INDEX(properties!A$1:CB$87,'Fórmula'!F106,13))+(('Fórmula'!I106)/('Fórmula'!C106+'Fórmula'!E106+'Fórmula'!G106+'Fórmula'!I106+'Fórmula'!K106))*(INDEX(properties!A$1:CB$87,'Fórmula'!H106,13))+(('Fórmula'!K106)/('Fórmula'!C106+'Fórmula'!E106+'Fórmula'!G106+'Fórmula'!I106+'Fórmula'!K106))*(INDEX(properties!A$1:CB$87,'Fórmula'!J106,13))</f>
        <v>0.2</v>
      </c>
      <c r="AY106" s="109">
        <f t="array" ref="AY106">'Fórmula'!C106*(INDEX(properties!A$1:CB$87,'Fórmula'!B106,13))+'Fórmula'!E106*(INDEX(properties!A$1:CB$87,'Fórmula'!D106,13))+'Fórmula'!G106*(INDEX(properties!A$1:CB$87,'Fórmula'!F106,13))+'Fórmula'!I106*(INDEX(properties!A$1:CB$87,'Fórmula'!H106,13))+'Fórmula'!K106*(INDEX(properties!A$1:CB$87,'Fórmula'!J106,13))</f>
        <v>1</v>
      </c>
      <c r="AZ106" s="109">
        <f t="array" ref="AZ106">VARP(IF(INDEX(properties!A$1:CB$87,'Fórmula'!B106,13)&lt;&gt;"",INDEX(properties!A$1:CB$87,'Fórmula'!B106,13)),IF(INDEX(properties!A$1:CB$87,'Fórmula'!D106,13)&lt;&gt;"",INDEX(properties!A$1:CB$87,'Fórmula'!D106,13)),IF(INDEX(properties!A$1:CB$87,'Fórmula'!F106,13)&lt;&gt;"",INDEX(properties!A$1:CB$87,'Fórmula'!F106,13)),IF(INDEX(properties!A$1:CB$87,'Fórmula'!H106,13)&lt;&gt;"",INDEX(properties!A$1:CB$87,'Fórmula'!H106,13)),IF(INDEX(properties!A$1:CB$87,'Fórmula'!J106,13)&lt;&gt;"",INDEX(properties!A$1:CB$87,'Fórmula'!J106,13)))</f>
        <v>0.16</v>
      </c>
      <c r="BA106" s="109">
        <f t="array" ref="BA106">MAX(INDEX(properties!A$1:CB$87,'Fórmula'!B106,13),INDEX(properties!A$1:CB$87,'Fórmula'!D106,13),INDEX(properties!A$1:CB$87,'Fórmula'!F106,13),INDEX(properties!A$1:CB$87,'Fórmula'!H106,13),INDEX(properties!A$1:CB$87,'Fórmula'!J106,13))</f>
        <v>1</v>
      </c>
      <c r="BB106" s="109">
        <f t="array" ref="BB106">MIN(IF('Fórmula'!B106=87,10^6,INDEX(properties!A$1:CB$87,'Fórmula'!B106,13)),IF(('Fórmula'!D106)=87,10^6,INDEX(properties!A$1:CB$87,'Fórmula'!D106,13)),IF(('Fórmula'!F106)=87,10^6,INDEX(properties!A$1:CB$87,'Fórmula'!F106,13)),IF(('Fórmula'!H106)=87,10^6,INDEX(properties!A$1:CB$87,'Fórmula'!H106,13)),IF('Fórmula'!J106=87,10^6,INDEX(properties!A$1:CB$87,'Fórmula'!J106,13)))</f>
        <v>0</v>
      </c>
      <c r="BC106" s="109">
        <f t="shared" si="9"/>
        <v>1</v>
      </c>
      <c r="BD106" s="110">
        <f t="array" ref="BD106">(('Fórmula'!C106)/('Fórmula'!C106+'Fórmula'!E106+'Fórmula'!G106+'Fórmula'!I106+'Fórmula'!K106))*(INDEX(properties!A$1:CB$87,'Fórmula'!B106,14))+(('Fórmula'!E106)/('Fórmula'!C106+'Fórmula'!E106+'Fórmula'!G106+'Fórmula'!I106+'Fórmula'!K106))*(INDEX(properties!A$1:CB$87,'Fórmula'!D106,14))+(('Fórmula'!G106)/('Fórmula'!C106+'Fórmula'!E106+'Fórmula'!G106+'Fórmula'!I106+'Fórmula'!K106))*(INDEX(properties!A$1:CB$87,'Fórmula'!F106,14))+(('Fórmula'!I106)/('Fórmula'!C106+'Fórmula'!E106+'Fórmula'!G106+'Fórmula'!I106+'Fórmula'!K106))*(INDEX(properties!A$1:CB$87,'Fórmula'!H106,14))+(('Fórmula'!K106)/('Fórmula'!C106+'Fórmula'!E106+'Fórmula'!G106+'Fórmula'!I106+'Fórmula'!K106))*(INDEX(properties!A$1:CB$87,'Fórmula'!J106,14))</f>
        <v>0</v>
      </c>
      <c r="BE106" s="110">
        <f t="array" ref="BE106">'Fórmula'!C106*(INDEX(properties!A$1:CB$87,'Fórmula'!B106,14))+'Fórmula'!E106*(INDEX(properties!A$1:CB$87,'Fórmula'!D106,14))+'Fórmula'!G106*(INDEX(properties!A$1:CB$87,'Fórmula'!F106,14))+'Fórmula'!I106*(INDEX(properties!A$1:CB$87,'Fórmula'!H106,14))+'Fórmula'!K106*(INDEX(properties!A$1:CB$87,'Fórmula'!J106,14))</f>
        <v>0</v>
      </c>
      <c r="BF106" s="110">
        <f t="array" ref="BF106">VARP(IF(INDEX(properties!A$1:CB$87,'Fórmula'!B106,14)&lt;&gt;"",INDEX(properties!A$1:CB$87,'Fórmula'!B106,14)),IF(INDEX(properties!A$1:CB$87,'Fórmula'!D106,14)&lt;&gt;"",INDEX(properties!A$1:CB$87,'Fórmula'!D106,14)),IF(INDEX(properties!A$1:CB$87,'Fórmula'!F106,14)&lt;&gt;"",INDEX(properties!A$1:CB$87,'Fórmula'!F106,14)),IF(INDEX(properties!A$1:CB$87,'Fórmula'!H106,14)&lt;&gt;"",INDEX(properties!A$1:CB$87,'Fórmula'!H106,14)),IF(INDEX(properties!A$1:CB$87,'Fórmula'!J106,14)&lt;&gt;"",INDEX(properties!A$1:CB$87,'Fórmula'!J106,14)))</f>
        <v>0</v>
      </c>
      <c r="BG106" s="110">
        <f t="array" ref="BG106">MAX(INDEX(properties!A$1:CB$87,'Fórmula'!B106,14),INDEX(properties!A$1:CB$87,'Fórmula'!D106,14),INDEX(properties!A$1:CB$87,'Fórmula'!F106,14),INDEX(properties!A$1:CB$87,'Fórmula'!H106,14),INDEX(properties!A$1:CB$87,'Fórmula'!J106,14))</f>
        <v>0</v>
      </c>
      <c r="BH106" s="110">
        <f t="array" ref="BH106">MIN(IF('Fórmula'!B106=87,10^6,INDEX(properties!A$1:CB$87,'Fórmula'!B106,14)),IF(('Fórmula'!D106)=87,10^6,INDEX(properties!A$1:CB$87,'Fórmula'!D106,14)),IF(('Fórmula'!F106)=87,10^6,INDEX(properties!A$1:CB$87,'Fórmula'!F106,14)),IF(('Fórmula'!H106)=87,10^6,INDEX(properties!A$1:CB$87,'Fórmula'!H106,14)),IF('Fórmula'!J106=87,10^6,INDEX(properties!A$1:CB$87,'Fórmula'!J106,14)))</f>
        <v>0</v>
      </c>
      <c r="BI106" s="110">
        <f t="shared" si="10"/>
        <v>0</v>
      </c>
      <c r="BJ106" s="111">
        <f t="array" ref="BJ106">(('Fórmula'!C106)/('Fórmula'!C106+'Fórmula'!E106+'Fórmula'!G106+'Fórmula'!I106+'Fórmula'!K106))*(INDEX(properties!A$1:CB$87,'Fórmula'!B106,19))+(('Fórmula'!E106)/('Fórmula'!C106+'Fórmula'!E106+'Fórmula'!G106+'Fórmula'!I106+'Fórmula'!K106))*(INDEX(properties!A$1:CB$87,'Fórmula'!D106,19))+(('Fórmula'!G106)/('Fórmula'!C106+'Fórmula'!E106+'Fórmula'!G106+'Fórmula'!I106+'Fórmula'!K106))*(INDEX(properties!A$1:CB$87,'Fórmula'!F106,19))+(('Fórmula'!I106)/('Fórmula'!C106+'Fórmula'!E106+'Fórmula'!G106+'Fórmula'!I106+'Fórmula'!K106))*(INDEX(properties!A$1:CB$87,'Fórmula'!H106,19))+(('Fórmula'!K106)/('Fórmula'!C106+'Fórmula'!E106+'Fórmula'!G106+'Fórmula'!I106+'Fórmula'!K106))*(INDEX(properties!A$1:CB$87,'Fórmula'!J106,19))</f>
        <v>4.8</v>
      </c>
      <c r="BK106" s="111">
        <f t="array" ref="BK106">'Fórmula'!C106*(INDEX(properties!A$1:CB$87,'Fórmula'!B106,19))+'Fórmula'!E106*(INDEX(properties!A$1:CB$87,'Fórmula'!D106,19))+'Fórmula'!G106*(INDEX(properties!A$1:CB$87,'Fórmula'!F106,19))+'Fórmula'!I106*(INDEX(properties!A$1:CB$87,'Fórmula'!H106,19))+'Fórmula'!K106*(INDEX(properties!A$1:CB$87,'Fórmula'!J106,19))</f>
        <v>24</v>
      </c>
      <c r="BL106" s="111">
        <f t="array" ref="BL106">VARP(IF(INDEX(properties!A$1:CB$87,'Fórmula'!B106,19)&lt;&gt;"",INDEX(properties!A$1:CB$87,'Fórmula'!B106,19)),IF(INDEX(properties!A$1:CB$87,'Fórmula'!D106,19)&lt;&gt;"",INDEX(properties!A$1:CB$87,'Fórmula'!D106,19)),IF(INDEX(properties!A$1:CB$87,'Fórmula'!F106,19)&lt;&gt;"",INDEX(properties!A$1:CB$87,'Fórmula'!F106,19)),IF(INDEX(properties!A$1:CB$87,'Fórmula'!H106,19)&lt;&gt;"",INDEX(properties!A$1:CB$87,'Fórmula'!H106,19)),IF(INDEX(properties!A$1:CB$87,'Fórmula'!J106,19)&lt;&gt;"",INDEX(properties!A$1:CB$87,'Fórmula'!J106,19)))</f>
        <v>5.04</v>
      </c>
      <c r="BM106" s="111">
        <f t="array" ref="BM106">MAX(INDEX(properties!A$1:CB$87,'Fórmula'!B106,19),INDEX(properties!A$1:CB$87,'Fórmula'!D106,19),INDEX(properties!A$1:CB$87,'Fórmula'!F106,19),INDEX(properties!A$1:CB$87,'Fórmula'!H106,19),INDEX(properties!A$1:CB$87,'Fórmula'!J106,19))</f>
        <v>6</v>
      </c>
      <c r="BN106" s="111">
        <f t="array" ref="BN106">MIN(IF(INDEX(properties!A$1:CB$87,'Fórmula'!B106,19)=0,10^6,INDEX(properties!A$1:CB$87,'Fórmula'!B106,19)),IF(INDEX(properties!A$1:CB$87,'Fórmula'!D106,19)=0,10^6,INDEX(properties!A$1:CB$87,'Fórmula'!D106,19)),IF(INDEX(properties!A$1:CB$87,'Fórmula'!F106,19)=0,10^6,INDEX(properties!A$1:CB$87,'Fórmula'!F106,19)),IF(INDEX(properties!A$1:CB$87,'Fórmula'!H106,19)=0,10^6,INDEX(properties!A$1:CB$87,'Fórmula'!H106,19)),IF(INDEX(properties!A$1:CB$87,'Fórmula'!J106,19)=0,10^6,INDEX(properties!A$1:CB$87,'Fórmula'!J106,19)))</f>
        <v>3</v>
      </c>
      <c r="BO106" s="111">
        <f t="shared" si="11"/>
        <v>3</v>
      </c>
      <c r="BP106" s="112">
        <f t="array" ref="BP106">(('Fórmula'!C106)/('Fórmula'!C106+'Fórmula'!E106+'Fórmula'!G106+'Fórmula'!I106+'Fórmula'!K106))*(INDEX(properties!A$1:CB$87,'Fórmula'!B106,20))+(('Fórmula'!E106)/('Fórmula'!C106+'Fórmula'!E106+'Fórmula'!G106+'Fórmula'!I106+'Fórmula'!K106))*(INDEX(properties!A$1:CB$87,'Fórmula'!D106,20))+(('Fórmula'!G106)/('Fórmula'!C106+'Fórmula'!E106+'Fórmula'!G106+'Fórmula'!I106+'Fórmula'!K106))*(INDEX(properties!A$1:CB$87,'Fórmula'!F106,20))+(('Fórmula'!I106)/('Fórmula'!C106+'Fórmula'!E106+'Fórmula'!G106+'Fórmula'!I106+'Fórmula'!K106))*(INDEX(properties!A$1:CB$87,'Fórmula'!H106,20))+(('Fórmula'!K106)/('Fórmula'!C106+'Fórmula'!E106+'Fórmula'!G106+'Fórmula'!I106+'Fórmula'!K106))*(INDEX(properties!A$1:CB$87,'Fórmula'!J106,20))</f>
        <v>4.6</v>
      </c>
      <c r="BQ106" s="112">
        <f t="array" ref="BQ106">'Fórmula'!C106*(INDEX(properties!A$1:CB$87,'Fórmula'!B106,20))+'Fórmula'!E106*(INDEX(properties!A$1:CB$87,'Fórmula'!D106,20))+'Fórmula'!G106*(INDEX(properties!A$1:CB$87,'Fórmula'!F106,20))+'Fórmula'!I106*(INDEX(properties!A$1:CB$87,'Fórmula'!H106,20))+'Fórmula'!K106*(INDEX(properties!A$1:CB$87,'Fórmula'!J106,20))</f>
        <v>23</v>
      </c>
      <c r="BR106" s="112">
        <f t="array" ref="BR106">VARP(IF(INDEX(properties!A$1:CB$87,'Fórmula'!B106,20)&lt;&gt;"",INDEX(properties!A$1:CB$87,'Fórmula'!B106,20)),IF(INDEX(properties!A$1:CB$87,'Fórmula'!D106,20)&lt;&gt;"",INDEX(properties!A$1:CB$87,'Fórmula'!D106,20)),IF(INDEX(properties!A$1:CB$87,'Fórmula'!F106,20)&lt;&gt;"",INDEX(properties!A$1:CB$87,'Fórmula'!F106,20)),IF(INDEX(properties!A$1:CB$87,'Fórmula'!H106,20)&lt;&gt;"",INDEX(properties!A$1:CB$87,'Fórmula'!H106,20)),IF(INDEX(properties!A$1:CB$87,'Fórmula'!J106,20)&lt;&gt;"",INDEX(properties!A$1:CB$87,'Fórmula'!J106,20)))</f>
        <v>4.96</v>
      </c>
      <c r="BS106" s="112">
        <f t="array" ref="BS106">MAX(INDEX(properties!A$1:CB$87,'Fórmula'!B106,20),INDEX(properties!A$1:CB$87,'Fórmula'!D106,20),INDEX(properties!A$1:CB$87,'Fórmula'!F106,20),INDEX(properties!A$1:CB$87,'Fórmula'!H106,20),INDEX(properties!A$1:CB$87,'Fórmula'!J106,20))</f>
        <v>6</v>
      </c>
      <c r="BT106" s="112">
        <f t="array" ref="BT106">MIN(IF(INDEX(properties!A$1:CB$87,'Fórmula'!B106,20)=0,10^6,INDEX(properties!A$1:CB$87,'Fórmula'!B106,20)),IF(INDEX(properties!A$1:CB$87,'Fórmula'!D106,20)=0,10^6,INDEX(properties!A$1:CB$87,'Fórmula'!D106,20)),IF(INDEX(properties!A$1:CB$87,'Fórmula'!F106,20)=0,10^6,INDEX(properties!A$1:CB$87,'Fórmula'!F106,20)),IF(INDEX(properties!A$1:CB$87,'Fórmula'!H106,20)=0,10^6,INDEX(properties!A$1:CB$87,'Fórmula'!H106,20)),IF(INDEX(properties!A$1:CB$87,'Fórmula'!J106,20)=0,10^6,INDEX(properties!A$1:CB$87,'Fórmula'!J106,20)))</f>
        <v>2</v>
      </c>
      <c r="BU106" s="112">
        <f t="shared" si="12"/>
        <v>4</v>
      </c>
      <c r="BV106" s="113">
        <f t="array" ref="BV106">(('Fórmula'!C106)/('Fórmula'!C106+'Fórmula'!E106+'Fórmula'!G106+'Fórmula'!I106+'Fórmula'!K106))*(INDEX(properties!A$1:CB$87,'Fórmula'!B106,21))+(('Fórmula'!E106)/('Fórmula'!C106+'Fórmula'!E106+'Fórmula'!G106+'Fórmula'!I106+'Fórmula'!K106))*(INDEX(properties!A$1:CB$87,'Fórmula'!D106,21))+(('Fórmula'!G106)/('Fórmula'!C106+'Fórmula'!E106+'Fórmula'!G106+'Fórmula'!I106+'Fórmula'!K106))*(INDEX(properties!A$1:CB$87,'Fórmula'!F106,21))+(('Fórmula'!I106)/('Fórmula'!C106+'Fórmula'!E106+'Fórmula'!G106+'Fórmula'!I106+'Fórmula'!K106))*(INDEX(properties!A$1:CB$87,'Fórmula'!H106,21))+(('Fórmula'!K106)/('Fórmula'!C106+'Fórmula'!E106+'Fórmula'!G106+'Fórmula'!I106+'Fórmula'!K106))*(INDEX(properties!A$1:CB$87,'Fórmula'!J106,21))</f>
        <v>4.4</v>
      </c>
      <c r="BW106" s="113">
        <f t="array" ref="BW106">'Fórmula'!C106*(INDEX(properties!A$1:CB$87,'Fórmula'!B106,21))+'Fórmula'!E106*(INDEX(properties!A$1:CB$87,'Fórmula'!D106,21))+'Fórmula'!G106*(INDEX(properties!A$1:CB$87,'Fórmula'!F106,21))+'Fórmula'!I106*(INDEX(properties!A$1:CB$87,'Fórmula'!H106,21))+'Fórmula'!K106*(INDEX(properties!A$1:CB$87,'Fórmula'!J106,21))</f>
        <v>22</v>
      </c>
      <c r="BX106" s="113">
        <f t="array" ref="BX106">VARP(IF(INDEX(properties!A$1:CB$87,'Fórmula'!B106,21)&lt;&gt;"",INDEX(properties!A$1:CB$87,'Fórmula'!B106,21)),IF(INDEX(properties!A$1:CB$87,'Fórmula'!D106,21)&lt;&gt;"",INDEX(properties!A$1:CB$87,'Fórmula'!D106,21)),IF(INDEX(properties!A$1:CB$87,'Fórmula'!F106,21)&lt;&gt;"",INDEX(properties!A$1:CB$87,'Fórmula'!F106,21)),IF(INDEX(properties!A$1:CB$87,'Fórmula'!H106,21)&lt;&gt;"",INDEX(properties!A$1:CB$87,'Fórmula'!H106,21)),IF(INDEX(properties!A$1:CB$87,'Fórmula'!J106,21)&lt;&gt;"",INDEX(properties!A$1:CB$87,'Fórmula'!J106,21)))</f>
        <v>5.2</v>
      </c>
      <c r="BY106" s="113">
        <f t="array" ref="BY106">MAX(INDEX(properties!A$1:CB$87,'Fórmula'!B106,21),INDEX(properties!A$1:CB$87,'Fórmula'!D106,21),INDEX(properties!A$1:CB$87,'Fórmula'!F106,21),INDEX(properties!A$1:CB$87,'Fórmula'!H106,21),INDEX(properties!A$1:CB$87,'Fórmula'!J106,21))</f>
        <v>6</v>
      </c>
      <c r="BZ106" s="113">
        <f t="array" ref="BZ106">MIN(IF(INDEX(properties!A$1:CB$87,'Fórmula'!B106,21)=0,10^6,INDEX(properties!A$1:CB$87,'Fórmula'!B106,21)),IF(INDEX(properties!A$1:CB$87,'Fórmula'!D106,21)=0,10^6,INDEX(properties!A$1:CB$87,'Fórmula'!D106,21)),IF(INDEX(properties!A$1:CB$87,'Fórmula'!F106,21)=0,10^6,INDEX(properties!A$1:CB$87,'Fórmula'!F106,21)),IF(INDEX(properties!A$1:CB$87,'Fórmula'!H106,21)=0,10^6,INDEX(properties!A$1:CB$87,'Fórmula'!H106,21)),IF(INDEX(properties!A$1:CB$87,'Fórmula'!J106,21)=0,10^6,INDEX(properties!A$1:CB$87,'Fórmula'!J106,21)))</f>
        <v>1</v>
      </c>
      <c r="CA106" s="113">
        <f t="shared" si="13"/>
        <v>5</v>
      </c>
      <c r="CB106" s="114">
        <f t="array" ref="CB106">(('Fórmula'!C106)/('Fórmula'!C106+'Fórmula'!E106+'Fórmula'!G106+'Fórmula'!I106+'Fórmula'!K106))*(INDEX(properties!A$1:CB$87,'Fórmula'!B106,23))+(('Fórmula'!E106)/('Fórmula'!C106+'Fórmula'!E106+'Fórmula'!G106+'Fórmula'!I106+'Fórmula'!K106))*(INDEX(properties!A$1:CB$87,'Fórmula'!D106,23))+(('Fórmula'!G106)/('Fórmula'!C106+'Fórmula'!E106+'Fórmula'!G106+'Fórmula'!I106+'Fórmula'!K106))*(INDEX(properties!A$1:CB$87,'Fórmula'!F106,23))+(('Fórmula'!I106)/('Fórmula'!C106+'Fórmula'!E106+'Fórmula'!G106+'Fórmula'!I106+'Fórmula'!K106))*(INDEX(properties!A$1:CB$87,'Fórmula'!H106,23))+(('Fórmula'!K106)/('Fórmula'!C106+'Fórmula'!E106+'Fórmula'!G106+'Fórmula'!I106+'Fórmula'!K106))*(INDEX(properties!A$1:CB$87,'Fórmula'!J106,23))</f>
        <v>1.2</v>
      </c>
      <c r="CC106" s="114">
        <f t="array" ref="CC106">'Fórmula'!C106*(INDEX(properties!A$1:CB$87,'Fórmula'!B106,23))+'Fórmula'!E106*(INDEX(properties!A$1:CB$87,'Fórmula'!D106,23))+'Fórmula'!G106*(INDEX(properties!A$1:CB$87,'Fórmula'!F106,23))+'Fórmula'!I106*(INDEX(properties!A$1:CB$87,'Fórmula'!H106,23))+'Fórmula'!K106*(INDEX(properties!A$1:CB$87,'Fórmula'!J106,23))</f>
        <v>6</v>
      </c>
      <c r="CD106" s="114">
        <f t="array" ref="CD106">VARP(IF(INDEX(properties!A$1:CB$87,'Fórmula'!B106,23)&lt;&gt;"",INDEX(properties!A$1:CB$87,'Fórmula'!B106,23)),IF(INDEX(properties!A$1:CB$87,'Fórmula'!D106,23)&lt;&gt;"",INDEX(properties!A$1:CB$87,'Fórmula'!D106,23)),IF(INDEX(properties!A$1:CB$87,'Fórmula'!F106,23)&lt;&gt;"",INDEX(properties!A$1:CB$87,'Fórmula'!F106,23)),IF(INDEX(properties!A$1:CB$87,'Fórmula'!H106,23)&lt;&gt;"",INDEX(properties!A$1:CB$87,'Fórmula'!H106,23)),IF(INDEX(properties!A$1:CB$87,'Fórmula'!J106,23)&lt;&gt;"",INDEX(properties!A$1:CB$87,'Fórmula'!J106,23)))</f>
        <v>2.16</v>
      </c>
      <c r="CE106" s="114">
        <f t="array" ref="CE106">MAX(INDEX(properties!A$1:CB$87,'Fórmula'!B106,23),INDEX(properties!A$1:CB$87,'Fórmula'!D106,23),INDEX(properties!A$1:CB$87,'Fórmula'!F106,23),INDEX(properties!A$1:CB$87,'Fórmula'!H106,23),INDEX(properties!A$1:CB$87,'Fórmula'!J106,23))</f>
        <v>3</v>
      </c>
      <c r="CF106" s="114">
        <f t="array" ref="CF106">MIN(IF('Fórmula'!B106=87,10^6,INDEX(properties!A$1:CB$87,'Fórmula'!B106,23)),IF(('Fórmula'!D106)=87,10^6,INDEX(properties!A$1:CB$87,'Fórmula'!D106,23)),IF(('Fórmula'!F106)=87,10^6,INDEX(properties!A$1:CB$87,'Fórmula'!F106,23)),IF(('Fórmula'!H106)=87,10^6,INDEX(properties!A$1:CB$87,'Fórmula'!H106,23)),IF('Fórmula'!J106=87,10^6,INDEX(properties!A$1:CB$87,'Fórmula'!J106,23)))</f>
        <v>0</v>
      </c>
      <c r="CG106" s="114">
        <f t="shared" si="14"/>
        <v>3</v>
      </c>
      <c r="CH106" s="115">
        <f t="array" ref="CH106">(('Fórmula'!C106)/('Fórmula'!C106+'Fórmula'!E106+'Fórmula'!G106+'Fórmula'!I106+'Fórmula'!K106))*(INDEX(properties!A$1:CB$87,'Fórmula'!B106,26))+(('Fórmula'!E106)/('Fórmula'!C106+'Fórmula'!E106+'Fórmula'!G106+'Fórmula'!I106+'Fórmula'!K106))*(INDEX(properties!A$1:CB$87,'Fórmula'!D106,26))+(('Fórmula'!G106)/('Fórmula'!C106+'Fórmula'!E106+'Fórmula'!G106+'Fórmula'!I106+'Fórmula'!K106))*(INDEX(properties!A$1:CB$87,'Fórmula'!F106,26))+(('Fórmula'!I106)/('Fórmula'!C106+'Fórmula'!E106+'Fórmula'!G106+'Fórmula'!I106+'Fórmula'!K106))*(INDEX(properties!A$1:CB$87,'Fórmula'!H106,26))+(('Fórmula'!K106)/('Fórmula'!C106+'Fórmula'!E106+'Fórmula'!G106+'Fórmula'!I106+'Fórmula'!K106))*(INDEX(properties!A$1:CB$87,'Fórmula'!J106,26))</f>
        <v>10.4834</v>
      </c>
      <c r="CI106" s="115">
        <f t="array" ref="CI106">'Fórmula'!C106*(INDEX(properties!A$1:CB$87,'Fórmula'!B106,26))+'Fórmula'!E106*(INDEX(properties!A$1:CB$87,'Fórmula'!D106,26))+'Fórmula'!G106*(INDEX(properties!A$1:CB$87,'Fórmula'!F106,26))+'Fórmula'!I106*(INDEX(properties!A$1:CB$87,'Fórmula'!H106,26))+'Fórmula'!K106*(INDEX(properties!A$1:CB$87,'Fórmula'!J106,26))</f>
        <v>52.417</v>
      </c>
      <c r="CJ106" s="115">
        <f t="array" ref="CJ106">VARP(IF(INDEX(properties!A$1:CB$87,'Fórmula'!B106,26)&lt;&gt;"",INDEX(properties!A$1:CB$87,'Fórmula'!B106,26)),IF(INDEX(properties!A$1:CB$87,'Fórmula'!D106,26)&lt;&gt;"",INDEX(properties!A$1:CB$87,'Fórmula'!D106,26)),IF(INDEX(properties!A$1:CB$87,'Fórmula'!F106,26)&lt;&gt;"",INDEX(properties!A$1:CB$87,'Fórmula'!F106,26)),IF(INDEX(properties!A$1:CB$87,'Fórmula'!H106,26)&lt;&gt;"",INDEX(properties!A$1:CB$87,'Fórmula'!H106,26)),IF(INDEX(properties!A$1:CB$87,'Fórmula'!J106,26)&lt;&gt;"",INDEX(properties!A$1:CB$87,'Fórmula'!J106,26)))</f>
        <v>25.11394503</v>
      </c>
      <c r="CK106" s="116">
        <f t="array" ref="CK106">MAX(INDEX(properties!A$1:CB$87,'Fórmula'!B106,26),INDEX(properties!A$1:CB$87,'Fórmula'!D106,26),INDEX(properties!A$1:CB$87,'Fórmula'!F106,26),INDEX(properties!A$1:CB$87,'Fórmula'!H106,26),INDEX(properties!A$1:CB$87,'Fórmula'!J106,26))</f>
        <v>13.6181</v>
      </c>
      <c r="CL106" s="116">
        <f t="array" ref="CL106">MIN(IF(INDEX(properties!A$1:CB$87,'Fórmula'!B106,26)=0,10^6,INDEX(properties!A$1:CB$87,'Fórmula'!B106,26)),IF(INDEX(properties!A$1:CB$87,'Fórmula'!D106,26)=0,10^6,INDEX(properties!A$1:CB$87,'Fórmula'!D106,26)),IF(INDEX(properties!A$1:CB$87,'Fórmula'!F106,26)=0,10^6,INDEX(properties!A$1:CB$87,'Fórmula'!F106,26)),IF(INDEX(properties!A$1:CB$87,'Fórmula'!H106,26)=0,10^6,INDEX(properties!A$1:CB$87,'Fórmula'!H106,26)),IF(INDEX(properties!A$1:CB$87,'Fórmula'!J106,26)=0,10^6,INDEX(properties!A$1:CB$87,'Fórmula'!J106,26)))</f>
        <v>5.5769</v>
      </c>
      <c r="CM106" s="115">
        <f t="shared" si="15"/>
        <v>8.0412</v>
      </c>
      <c r="CN106" s="117">
        <f t="array" ref="CN106">(('Fórmula'!C106)/('Fórmula'!C106+'Fórmula'!E106+'Fórmula'!G106+'Fórmula'!I106+'Fórmula'!K106))*(INDEX(properties!A$1:CB$87,'Fórmula'!B106,30))+(('Fórmula'!E106)/('Fórmula'!C106+'Fórmula'!E106+'Fórmula'!G106+'Fórmula'!I106+'Fórmula'!K106))*(INDEX(properties!A$1:CB$87,'Fórmula'!D106,30))+(('Fórmula'!G106)/('Fórmula'!C106+'Fórmula'!E106+'Fórmula'!G106+'Fórmula'!I106+'Fórmula'!K106))*(INDEX(properties!A$1:CB$87,'Fórmula'!F106,30))+(('Fórmula'!I106)/('Fórmula'!C106+'Fórmula'!E106+'Fórmula'!G106+'Fórmula'!I106+'Fórmula'!K106))*(INDEX(properties!A$1:CB$87,'Fórmula'!H106,30))+(('Fórmula'!K106)/('Fórmula'!C106+'Fórmula'!E106+'Fórmula'!G106+'Fórmula'!I106+'Fórmula'!K106))*(INDEX(properties!A$1:CB$87,'Fórmula'!J106,30))</f>
        <v>2.606</v>
      </c>
      <c r="CO106" s="117">
        <f t="array" ref="CO106">'Fórmula'!C106*(INDEX(properties!A$1:CB$87,'Fórmula'!B106,30))+'Fórmula'!E106*(INDEX(properties!A$1:CB$87,'Fórmula'!D106,30))+'Fórmula'!G106*(INDEX(properties!A$1:CB$87,'Fórmula'!F106,30))+'Fórmula'!I106*(INDEX(properties!A$1:CB$87,'Fórmula'!H106,30))+'Fórmula'!K106*(INDEX(properties!A$1:CB$87,'Fórmula'!J106,30))</f>
        <v>13.03</v>
      </c>
      <c r="CP106" s="117">
        <f t="array" ref="CP106">VARP(IF(INDEX(properties!A$1:CB$87,'Fórmula'!B106,30)&lt;&gt;"",INDEX(properties!A$1:CB$87,'Fórmula'!B106,30)),IF(INDEX(properties!A$1:CB$87,'Fórmula'!D106,30)&lt;&gt;"",INDEX(properties!A$1:CB$87,'Fórmula'!D106,30)),IF(INDEX(properties!A$1:CB$87,'Fórmula'!F106,30)&lt;&gt;"",INDEX(properties!A$1:CB$87,'Fórmula'!F106,30)),IF(INDEX(properties!A$1:CB$87,'Fórmula'!H106,30)&lt;&gt;"",INDEX(properties!A$1:CB$87,'Fórmula'!H106,30)),IF(INDEX(properties!A$1:CB$87,'Fórmula'!J106,30)&lt;&gt;"",INDEX(properties!A$1:CB$87,'Fórmula'!J106,30)))</f>
        <v>1.61424</v>
      </c>
      <c r="CQ106" s="117">
        <f t="array" ref="CQ106">MAX(INDEX(properties!A$1:CB$87,'Fórmula'!B106,30),INDEX(properties!A$1:CB$87,'Fórmula'!D106,30),INDEX(properties!A$1:CB$87,'Fórmula'!F106,30),INDEX(properties!A$1:CB$87,'Fórmula'!H106,30),INDEX(properties!A$1:CB$87,'Fórmula'!J106,30))</f>
        <v>3.44</v>
      </c>
      <c r="CR106" s="117">
        <f t="array" ref="CR106">MIN(IF(INDEX(properties!A$1:CB$87,'Fórmula'!B106,30)=0,10^6,INDEX(properties!A$1:CB$87,'Fórmula'!B106,30)),IF(INDEX(properties!A$1:CB$87,'Fórmula'!D106,30)=0,10^6,INDEX(properties!A$1:CB$87,'Fórmula'!D106,30)),IF(INDEX(properties!A$1:CB$87,'Fórmula'!F106,30)=0,10^6,INDEX(properties!A$1:CB$87,'Fórmula'!F106,30)),IF(INDEX(properties!A$1:CB$87,'Fórmula'!H106,30)=0,10^6,INDEX(properties!A$1:CB$87,'Fórmula'!H106,30)),IF(INDEX(properties!A$1:CB$87,'Fórmula'!J106,30)=0,10^6,INDEX(properties!A$1:CB$87,'Fórmula'!J106,30)))</f>
        <v>1.1</v>
      </c>
      <c r="CS106" s="117">
        <f t="shared" si="16"/>
        <v>2.34</v>
      </c>
      <c r="CT106" s="118">
        <f t="array" ref="CT106">(('Fórmula'!C106)/('Fórmula'!C106+'Fórmula'!E106+'Fórmula'!G106+'Fórmula'!I106+'Fórmula'!K106))*(INDEX(properties!A$1:CB$87,'Fórmula'!B106,31))+(('Fórmula'!E106)/('Fórmula'!C106+'Fórmula'!E106+'Fórmula'!G106+'Fórmula'!I106+'Fórmula'!K106))*(INDEX(properties!A$1:CB$87,'Fórmula'!D106,31))+(('Fórmula'!G106)/('Fórmula'!C106+'Fórmula'!E106+'Fórmula'!G106+'Fórmula'!I106+'Fórmula'!K106))*(INDEX(properties!A$1:CB$87,'Fórmula'!F106,31))+(('Fórmula'!I106)/('Fórmula'!C106+'Fórmula'!E106+'Fórmula'!G106+'Fórmula'!I106+'Fórmula'!K106))*(INDEX(properties!A$1:CB$87,'Fórmula'!H106,31))+(('Fórmula'!K106)/('Fórmula'!C106+'Fórmula'!E106+'Fórmula'!G106+'Fórmula'!I106+'Fórmula'!K106))*(INDEX(properties!A$1:CB$87,'Fórmula'!J106,31))</f>
        <v>2.59</v>
      </c>
      <c r="CU106" s="118">
        <f t="array" ref="CU106">'Fórmula'!C106*(INDEX(properties!A$1:CB$87,'Fórmula'!B106,31))+'Fórmula'!E106*(INDEX(properties!A$1:CB$87,'Fórmula'!D106,31))+'Fórmula'!G106*(INDEX(properties!A$1:CB$87,'Fórmula'!F106,31))+'Fórmula'!I106*(INDEX(properties!A$1:CB$87,'Fórmula'!H106,31))+'Fórmula'!K106*(INDEX(properties!A$1:CB$87,'Fórmula'!J106,31))</f>
        <v>12.95</v>
      </c>
      <c r="CV106" s="118">
        <f t="array" ref="CV106">VARP(IF(INDEX(properties!A$1:CB$87,'Fórmula'!B106,31)&lt;&gt;"",INDEX(properties!A$1:CB$87,'Fórmula'!B106,31)),IF(INDEX(properties!A$1:CB$87,'Fórmula'!D106,31)&lt;&gt;"",INDEX(properties!A$1:CB$87,'Fórmula'!D106,31)),IF(INDEX(properties!A$1:CB$87,'Fórmula'!F106,31)&lt;&gt;"",INDEX(properties!A$1:CB$87,'Fórmula'!F106,31)),IF(INDEX(properties!A$1:CB$87,'Fórmula'!H106,31)&lt;&gt;"",INDEX(properties!A$1:CB$87,'Fórmula'!H106,31)),IF(INDEX(properties!A$1:CB$87,'Fórmula'!J106,31)&lt;&gt;"",INDEX(properties!A$1:CB$87,'Fórmula'!J106,31)))</f>
        <v>1.514256</v>
      </c>
      <c r="CW106" s="118">
        <f t="array" ref="CW106">MAX(INDEX(properties!A$1:CB$87,'Fórmula'!B106,31),INDEX(properties!A$1:CB$87,'Fórmula'!D106,31),INDEX(properties!A$1:CB$87,'Fórmula'!F106,31),INDEX(properties!A$1:CB$87,'Fórmula'!H106,31),INDEX(properties!A$1:CB$87,'Fórmula'!J106,31))</f>
        <v>3.32</v>
      </c>
      <c r="CX106" s="118">
        <f t="array" ref="CX106">MIN(IF(INDEX(properties!A$1:CB$87,'Fórmula'!B106,31)=0,10^6,INDEX(properties!A$1:CB$87,'Fórmula'!B106,31)),IF(INDEX(properties!A$1:CB$87,'Fórmula'!D106,31)=0,10^6,INDEX(properties!A$1:CB$87,'Fórmula'!D106,31)),IF(INDEX(properties!A$1:CB$87,'Fórmula'!F106,31)=0,10^6,INDEX(properties!A$1:CB$87,'Fórmula'!F106,31)),IF(INDEX(properties!A$1:CB$87,'Fórmula'!H106,31)=0,10^6,INDEX(properties!A$1:CB$87,'Fórmula'!H106,31)),IF(INDEX(properties!A$1:CB$87,'Fórmula'!J106,31)=0,10^6,INDEX(properties!A$1:CB$87,'Fórmula'!J106,31)))</f>
        <v>1.35</v>
      </c>
      <c r="CY106" s="118">
        <f t="shared" si="17"/>
        <v>1.97</v>
      </c>
      <c r="CZ106" s="119">
        <f t="array" ref="CZ106">(('Fórmula'!C106)/('Fórmula'!C106+'Fórmula'!E106+'Fórmula'!G106+'Fórmula'!I106+'Fórmula'!K106))*(INDEX(properties!A$1:CB$87,'Fórmula'!B106,32))+(('Fórmula'!E106)/('Fórmula'!C106+'Fórmula'!E106+'Fórmula'!G106+'Fórmula'!I106+'Fórmula'!K106))*(INDEX(properties!A$1:CB$87,'Fórmula'!D106,32))+(('Fórmula'!G106)/('Fórmula'!C106+'Fórmula'!E106+'Fórmula'!G106+'Fórmula'!I106+'Fórmula'!K106))*(INDEX(properties!A$1:CB$87,'Fórmula'!F106,32))+(('Fórmula'!I106)/('Fórmula'!C106+'Fórmula'!E106+'Fórmula'!G106+'Fórmula'!I106+'Fórmula'!K106))*(INDEX(properties!A$1:CB$87,'Fórmula'!H106,32))+(('Fórmula'!K106)/('Fórmula'!C106+'Fórmula'!E106+'Fórmula'!G106+'Fórmula'!I106+'Fórmula'!K106))*(INDEX(properties!A$1:CB$87,'Fórmula'!J106,32))</f>
        <v>5.79</v>
      </c>
      <c r="DA106" s="119">
        <f t="array" ref="DA106">'Fórmula'!C106*(INDEX(properties!A$1:CB$87,'Fórmula'!B106,32))+'Fórmula'!E106*(INDEX(properties!A$1:CB$87,'Fórmula'!D106,32))+'Fórmula'!G106*(INDEX(properties!A$1:CB$87,'Fórmula'!F106,32))+'Fórmula'!I106*(INDEX(properties!A$1:CB$87,'Fórmula'!H106,32))+'Fórmula'!K106*(INDEX(properties!A$1:CB$87,'Fórmula'!J106,32))</f>
        <v>28.95</v>
      </c>
      <c r="DB106" s="119">
        <f t="array" ref="DB106">VARP(IF(INDEX(properties!A$1:CB$87,'Fórmula'!B106,32)&lt;&gt;"",INDEX(properties!A$1:CB$87,'Fórmula'!B106,32)),IF(INDEX(properties!A$1:CB$87,'Fórmula'!D106,32)&lt;&gt;"",INDEX(properties!A$1:CB$87,'Fórmula'!D106,32)),IF(INDEX(properties!A$1:CB$87,'Fórmula'!F106,32)&lt;&gt;"",INDEX(properties!A$1:CB$87,'Fórmula'!F106,32)),IF(INDEX(properties!A$1:CB$87,'Fórmula'!H106,32)&lt;&gt;"",INDEX(properties!A$1:CB$87,'Fórmula'!H106,32)),IF(INDEX(properties!A$1:CB$87,'Fórmula'!J106,32)&lt;&gt;"",INDEX(properties!A$1:CB$87,'Fórmula'!J106,32)))</f>
        <v>7.683824</v>
      </c>
      <c r="DC106" s="119">
        <f t="array" ref="DC106">MAX(INDEX(properties!A$1:CB$87,'Fórmula'!B106,32),INDEX(properties!A$1:CB$87,'Fórmula'!D106,32),INDEX(properties!A$1:CB$87,'Fórmula'!F106,32),INDEX(properties!A$1:CB$87,'Fórmula'!H106,32),INDEX(properties!A$1:CB$87,'Fórmula'!J106,32))</f>
        <v>7.54</v>
      </c>
      <c r="DD106" s="119">
        <f t="array" ref="DD106">MIN(IF(INDEX(properties!A$1:CB$87,'Fórmula'!B106,32)=0,10^6,INDEX(properties!A$1:CB$87,'Fórmula'!B106,32)),IF(INDEX(properties!A$1:CB$87,'Fórmula'!D106,32)=0,10^6,INDEX(properties!A$1:CB$87,'Fórmula'!D106,32)),IF(INDEX(properties!A$1:CB$87,'Fórmula'!F106,32)=0,10^6,INDEX(properties!A$1:CB$87,'Fórmula'!F106,32)),IF(INDEX(properties!A$1:CB$87,'Fórmula'!H106,32)=0,10^6,INDEX(properties!A$1:CB$87,'Fórmula'!H106,32)),IF(INDEX(properties!A$1:CB$87,'Fórmula'!J106,32)=0,10^6,INDEX(properties!A$1:CB$87,'Fórmula'!J106,32)))</f>
        <v>3.1</v>
      </c>
      <c r="DE106" s="119">
        <f t="shared" si="18"/>
        <v>4.44</v>
      </c>
      <c r="DF106" s="104">
        <f t="array" ref="DF106">(('Fórmula'!C106)/('Fórmula'!C106+'Fórmula'!E106+'Fórmula'!G106+'Fórmula'!I106+'Fórmula'!K106))*(INDEX(properties!A$1:CB$87,'Fórmula'!B106,34))+(('Fórmula'!E106)/('Fórmula'!C106+'Fórmula'!E106+'Fórmula'!G106+'Fórmula'!I106+'Fórmula'!K106))*(INDEX(properties!A$1:CB$87,'Fórmula'!D106,34))+(('Fórmula'!G106)/('Fórmula'!C106+'Fórmula'!E106+'Fórmula'!G106+'Fórmula'!I106+'Fórmula'!K106))*(INDEX(properties!A$1:CB$87,'Fórmula'!F106,34))+(('Fórmula'!I106)/('Fórmula'!C106+'Fórmula'!E106+'Fórmula'!G106+'Fórmula'!I106+'Fórmula'!K106))*(INDEX(properties!A$1:CB$87,'Fórmula'!H106,34))+(('Fórmula'!K106)/('Fórmula'!C106+'Fórmula'!E106+'Fórmula'!G106+'Fórmula'!I106+'Fórmula'!K106))*(INDEX(properties!A$1:CB$87,'Fórmula'!J106,34))</f>
        <v>2.7066</v>
      </c>
      <c r="DG106" s="104">
        <f t="array" ref="DG106">'Fórmula'!C106*(INDEX(properties!A$1:CB$87,'Fórmula'!B106,34))+'Fórmula'!E106*(INDEX(properties!A$1:CB$87,'Fórmula'!D106,34))+'Fórmula'!G106*(INDEX(properties!A$1:CB$87,'Fórmula'!F106,34))+'Fórmula'!I106*(INDEX(properties!A$1:CB$87,'Fórmula'!H106,34))+'Fórmula'!K106*(INDEX(properties!A$1:CB$87,'Fórmula'!J106,34))</f>
        <v>13.533</v>
      </c>
      <c r="DH106" s="104">
        <f t="array" ref="DH106">VARP(IF(INDEX(properties!A$1:CB$87,'Fórmula'!B106,34)&lt;&gt;"",INDEX(properties!A$1:CB$87,'Fórmula'!B106,34)),IF(INDEX(properties!A$1:CB$87,'Fórmula'!D106,34)&lt;&gt;"",INDEX(properties!A$1:CB$87,'Fórmula'!D106,34)),IF(INDEX(properties!A$1:CB$87,'Fórmula'!F106,34)&lt;&gt;"",INDEX(properties!A$1:CB$87,'Fórmula'!F106,34)),IF(INDEX(properties!A$1:CB$87,'Fórmula'!H106,34)&lt;&gt;"",INDEX(properties!A$1:CB$87,'Fórmula'!H106,34)),IF(INDEX(properties!A$1:CB$87,'Fórmula'!J106,34)&lt;&gt;"",INDEX(properties!A$1:CB$87,'Fórmula'!J106,34)))</f>
        <v>1.77023504</v>
      </c>
      <c r="DI106" s="104">
        <f t="array" ref="DI106">MAX(INDEX(properties!A$1:CB$87,'Fórmula'!B106,34),INDEX(properties!A$1:CB$87,'Fórmula'!D106,34),INDEX(properties!A$1:CB$87,'Fórmula'!F106,34),INDEX(properties!A$1:CB$87,'Fórmula'!H106,34),INDEX(properties!A$1:CB$87,'Fórmula'!J106,34))</f>
        <v>3.61</v>
      </c>
      <c r="DJ106" s="104">
        <f t="array" ref="DJ106">MIN(IF(INDEX(properties!A$1:CB$87,'Fórmula'!B106,34)=0,10^6,INDEX(properties!A$1:CB$87,'Fórmula'!B106,34)),IF(INDEX(properties!A$1:CB$87,'Fórmula'!D106,34)=0,10^6,INDEX(properties!A$1:CB$87,'Fórmula'!D106,34)),IF(INDEX(properties!A$1:CB$87,'Fórmula'!F106,34)=0,10^6,INDEX(properties!A$1:CB$87,'Fórmula'!F106,34)),IF(INDEX(properties!A$1:CB$87,'Fórmula'!H106,34)=0,10^6,INDEX(properties!A$1:CB$87,'Fórmula'!H106,34)),IF(INDEX(properties!A$1:CB$87,'Fórmula'!J106,34)=0,10^6,INDEX(properties!A$1:CB$87,'Fórmula'!J106,34)))</f>
        <v>1.09</v>
      </c>
      <c r="DK106" s="104">
        <f t="shared" si="19"/>
        <v>2.52</v>
      </c>
      <c r="DL106" s="105">
        <f t="array" ref="DL106">(('Fórmula'!C106)/('Fórmula'!C106+'Fórmula'!E106+'Fórmula'!G106+'Fórmula'!I106+'Fórmula'!K106))*(INDEX(properties!A$1:CB$87,'Fórmula'!B106,37))+(('Fórmula'!E106)/('Fórmula'!C106+'Fórmula'!E106+'Fórmula'!G106+'Fórmula'!I106+'Fórmula'!K106))*(INDEX(properties!A$1:CB$87,'Fórmula'!D106,37))+(('Fórmula'!G106)/('Fórmula'!C106+'Fórmula'!E106+'Fórmula'!G106+'Fórmula'!I106+'Fórmula'!K106))*(INDEX(properties!A$1:CB$87,'Fórmula'!F106,37))+(('Fórmula'!I106)/('Fórmula'!C106+'Fórmula'!E106+'Fórmula'!G106+'Fórmula'!I106+'Fórmula'!K106))*(INDEX(properties!A$1:CB$87,'Fórmula'!H106,37))+(('Fórmula'!K106)/('Fórmula'!C106+'Fórmula'!E106+'Fórmula'!G106+'Fórmula'!I106+'Fórmula'!K106))*(INDEX(properties!A$1:CB$87,'Fórmula'!J106,37))</f>
        <v>2.61</v>
      </c>
      <c r="DM106" s="105">
        <f t="array" ref="DM106">'Fórmula'!C106*(INDEX(properties!A$1:CB$87,'Fórmula'!B106,37))+'Fórmula'!E106*(INDEX(properties!A$1:CB$87,'Fórmula'!D106,37))+'Fórmula'!G106*(INDEX(properties!A$1:CB$87,'Fórmula'!F106,37))+'Fórmula'!I106*(INDEX(properties!A$1:CB$87,'Fórmula'!H106,37))+'Fórmula'!K106*(INDEX(properties!A$1:CB$87,'Fórmula'!J106,37))</f>
        <v>13.05</v>
      </c>
      <c r="DN106" s="105">
        <f t="array" ref="DN106">VARP(IF(INDEX(properties!A$1:CB$87,'Fórmula'!B106,37)&lt;&gt;"",INDEX(properties!A$1:CB$87,'Fórmula'!B106,37)),IF(INDEX(properties!A$1:CB$87,'Fórmula'!D106,37)&lt;&gt;"",INDEX(properties!A$1:CB$87,'Fórmula'!D106,37)),IF(INDEX(properties!A$1:CB$87,'Fórmula'!F106,37)&lt;&gt;"",INDEX(properties!A$1:CB$87,'Fórmula'!F106,37)),IF(INDEX(properties!A$1:CB$87,'Fórmula'!H106,37)&lt;&gt;"",INDEX(properties!A$1:CB$87,'Fórmula'!H106,37)),IF(INDEX(properties!A$1:CB$87,'Fórmula'!J106,37)&lt;&gt;"",INDEX(properties!A$1:CB$87,'Fórmula'!J106,37)))</f>
        <v>1.6056</v>
      </c>
      <c r="DO106" s="105">
        <f t="array" ref="DO106">MAX(INDEX(properties!A$1:CB$87,'Fórmula'!B106,37),INDEX(properties!A$1:CB$87,'Fórmula'!D106,37),INDEX(properties!A$1:CB$87,'Fórmula'!F106,37),INDEX(properties!A$1:CB$87,'Fórmula'!H106,37),INDEX(properties!A$1:CB$87,'Fórmula'!J106,37))</f>
        <v>3.45</v>
      </c>
      <c r="DP106" s="105">
        <f t="array" ref="DP106">MIN(IF(INDEX(properties!A$1:CB$87,'Fórmula'!B106,37)=0,10^6,INDEX(properties!A$1:CB$87,'Fórmula'!B106,37)),IF(INDEX(properties!A$1:CB$87,'Fórmula'!D106,37)=0,10^6,INDEX(properties!A$1:CB$87,'Fórmula'!D106,37)),IF(INDEX(properties!A$1:CB$87,'Fórmula'!F106,37)=0,10^6,INDEX(properties!A$1:CB$87,'Fórmula'!F106,37)),IF(INDEX(properties!A$1:CB$87,'Fórmula'!H106,37)=0,10^6,INDEX(properties!A$1:CB$87,'Fórmula'!H106,37)),IF(INDEX(properties!A$1:CB$87,'Fórmula'!J106,37)=0,10^6,INDEX(properties!A$1:CB$87,'Fórmula'!J106,37)))</f>
        <v>1.2</v>
      </c>
      <c r="DQ106" s="105">
        <f t="shared" si="20"/>
        <v>2.25</v>
      </c>
      <c r="DR106" s="109">
        <f t="array" ref="DR106">(('Fórmula'!C106)/('Fórmula'!C106+'Fórmula'!E106+'Fórmula'!G106+'Fórmula'!I106+'Fórmula'!K106))*(INDEX(properties!A$1:CB$87,'Fórmula'!B106,39))+(('Fórmula'!E106)/('Fórmula'!C106+'Fórmula'!E106+'Fórmula'!G106+'Fórmula'!I106+'Fórmula'!K106))*(INDEX(properties!A$1:CB$87,'Fórmula'!D106,39))+(('Fórmula'!G106)/('Fórmula'!C106+'Fórmula'!E106+'Fórmula'!G106+'Fórmula'!I106+'Fórmula'!K106))*(INDEX(properties!A$1:CB$87,'Fórmula'!F106,39))+(('Fórmula'!I106)/('Fórmula'!C106+'Fórmula'!E106+'Fórmula'!G106+'Fórmula'!I106+'Fórmula'!K106))*(INDEX(properties!A$1:CB$87,'Fórmula'!H106,39))+(('Fórmula'!K106)/('Fórmula'!C106+'Fórmula'!E106+'Fórmula'!G106+'Fórmula'!I106+'Fórmula'!K106))*(INDEX(properties!A$1:CB$87,'Fórmula'!J106,39))</f>
        <v>0.914</v>
      </c>
      <c r="DS106" s="109">
        <f t="array" ref="DS106">'Fórmula'!C106*(INDEX(properties!A$1:CB$87,'Fórmula'!B106,39))+'Fórmula'!E106*(INDEX(properties!A$1:CB$87,'Fórmula'!D106,39))+'Fórmula'!G106*(INDEX(properties!A$1:CB$87,'Fórmula'!F106,39))+'Fórmula'!I106*(INDEX(properties!A$1:CB$87,'Fórmula'!H106,39))+'Fórmula'!K106*(INDEX(properties!A$1:CB$87,'Fórmula'!J106,39))</f>
        <v>4.57</v>
      </c>
      <c r="DT106" s="109">
        <f t="array" ref="DT106">VARP(IF(INDEX(properties!A$1:CB$87,'Fórmula'!B106,39)&lt;&gt;"",INDEX(properties!A$1:CB$87,'Fórmula'!B106,39)),IF(INDEX(properties!A$1:CB$87,'Fórmula'!D106,39)&lt;&gt;"",INDEX(properties!A$1:CB$87,'Fórmula'!D106,39)),IF(INDEX(properties!A$1:CB$87,'Fórmula'!F106,39)&lt;&gt;"",INDEX(properties!A$1:CB$87,'Fórmula'!F106,39)),IF(INDEX(properties!A$1:CB$87,'Fórmula'!H106,39)&lt;&gt;"",INDEX(properties!A$1:CB$87,'Fórmula'!H106,39)),IF(INDEX(properties!A$1:CB$87,'Fórmula'!J106,39)&lt;&gt;"",INDEX(properties!A$1:CB$87,'Fórmula'!J106,39)))</f>
        <v>0.563776</v>
      </c>
      <c r="DU106" s="120">
        <f t="array" ref="DU106">MAX(INDEX(properties!A$1:CB$87,'Fórmula'!B106,39),INDEX(properties!A$1:CB$87,'Fórmula'!D106,39),INDEX(properties!A$1:CB$87,'Fórmula'!F106,39),INDEX(properties!A$1:CB$87,'Fórmula'!H106,39),INDEX(properties!A$1:CB$87,'Fórmula'!J106,39))</f>
        <v>1.95</v>
      </c>
      <c r="DV106" s="120">
        <f t="array" ref="DV106">MIN(IF(INDEX(properties!A$1:CB$87,'Fórmula'!B106,39)=0,10^6,INDEX(properties!A$1:CB$87,'Fórmula'!B106,39)),IF(INDEX(properties!A$1:CB$87,'Fórmula'!D106,39)=0,10^6,INDEX(properties!A$1:CB$87,'Fórmula'!D106,39)),IF(INDEX(properties!A$1:CB$87,'Fórmula'!F106,39)=0,10^6,INDEX(properties!A$1:CB$87,'Fórmula'!F106,39)),IF(INDEX(properties!A$1:CB$87,'Fórmula'!H106,39)=0,10^6,INDEX(properties!A$1:CB$87,'Fórmula'!H106,39)),IF(INDEX(properties!A$1:CB$87,'Fórmula'!J106,39)=0,10^6,INDEX(properties!A$1:CB$87,'Fórmula'!J106,39)))</f>
        <v>0.48</v>
      </c>
      <c r="DW106" s="109">
        <f t="shared" si="21"/>
        <v>1.47</v>
      </c>
      <c r="DX106" s="110">
        <f t="array" ref="DX106">(('Fórmula'!C106)/('Fórmula'!C106+'Fórmula'!E106+'Fórmula'!G106+'Fórmula'!I106+'Fórmula'!K106))*(INDEX(properties!A$1:CB$87,'Fórmula'!B106,40))+(('Fórmula'!E106)/('Fórmula'!C106+'Fórmula'!E106+'Fórmula'!G106+'Fórmula'!I106+'Fórmula'!K106))*(INDEX(properties!A$1:CB$87,'Fórmula'!D106,40))+(('Fórmula'!G106)/('Fórmula'!C106+'Fórmula'!E106+'Fórmula'!G106+'Fórmula'!I106+'Fórmula'!K106))*(INDEX(properties!A$1:CB$87,'Fórmula'!F106,40))+(('Fórmula'!I106)/('Fórmula'!C106+'Fórmula'!E106+'Fórmula'!G106+'Fórmula'!I106+'Fórmula'!K106))*(INDEX(properties!A$1:CB$87,'Fórmula'!H106,40))+(('Fórmula'!K106)/('Fórmula'!C106+'Fórmula'!E106+'Fórmula'!G106+'Fórmula'!I106+'Fórmula'!K106))*(INDEX(properties!A$1:CB$87,'Fórmula'!J106,40))</f>
        <v>1.012</v>
      </c>
      <c r="DY106" s="110">
        <f t="array" ref="DY106">'Fórmula'!C106*(INDEX(properties!A$1:CB$87,'Fórmula'!B106,40))+'Fórmula'!E106*(INDEX(properties!A$1:CB$87,'Fórmula'!D106,40))+'Fórmula'!G106*(INDEX(properties!A$1:CB$87,'Fórmula'!F106,40))+'Fórmula'!I106*(INDEX(properties!A$1:CB$87,'Fórmula'!H106,40))+'Fórmula'!K106*(INDEX(properties!A$1:CB$87,'Fórmula'!J106,40))</f>
        <v>5.06</v>
      </c>
      <c r="DZ106" s="110">
        <f t="array" ref="DZ106">VARP(IF(INDEX(properties!A$1:CB$87,'Fórmula'!B106,40)&lt;&gt;"",INDEX(properties!A$1:CB$87,'Fórmula'!B106,40)),IF(INDEX(properties!A$1:CB$87,'Fórmula'!D106,40)&lt;&gt;"",INDEX(properties!A$1:CB$87,'Fórmula'!D106,40)),IF(INDEX(properties!A$1:CB$87,'Fórmula'!F106,40)&lt;&gt;"",INDEX(properties!A$1:CB$87,'Fórmula'!F106,40)),IF(INDEX(properties!A$1:CB$87,'Fórmula'!H106,40)&lt;&gt;"",INDEX(properties!A$1:CB$87,'Fórmula'!H106,40)),IF(INDEX(properties!A$1:CB$87,'Fórmula'!J106,40)&lt;&gt;"",INDEX(properties!A$1:CB$87,'Fórmula'!J106,40)))</f>
        <v>0.43788</v>
      </c>
      <c r="EA106" s="121">
        <f t="array" ref="EA106">MAX(INDEX(properties!A$1:CB$87,'Fórmula'!B106,40),INDEX(properties!A$1:CB$87,'Fórmula'!D106,40),INDEX(properties!A$1:CB$87,'Fórmula'!F106,40),INDEX(properties!A$1:CB$87,'Fórmula'!H106,40),INDEX(properties!A$1:CB$87,'Fórmula'!J106,40))</f>
        <v>1.69</v>
      </c>
      <c r="EB106" s="121">
        <f t="array" ref="EB106">MIN(IF(INDEX(properties!A$1:CB$87,'Fórmula'!B106,40)=0,10^6,INDEX(properties!A$1:CB$87,'Fórmula'!B106,40)),IF(INDEX(properties!A$1:CB$87,'Fórmula'!D106,40)=0,10^6,INDEX(properties!A$1:CB$87,'Fórmula'!D106,40)),IF(INDEX(properties!A$1:CB$87,'Fórmula'!F106,40)=0,10^6,INDEX(properties!A$1:CB$87,'Fórmula'!F106,40)),IF(INDEX(properties!A$1:CB$87,'Fórmula'!H106,40)=0,10^6,INDEX(properties!A$1:CB$87,'Fórmula'!H106,40)),IF(INDEX(properties!A$1:CB$87,'Fórmula'!J106,40)=0,10^6,INDEX(properties!A$1:CB$87,'Fórmula'!J106,40)))</f>
        <v>0.73</v>
      </c>
      <c r="EC106" s="110">
        <f t="shared" si="22"/>
        <v>0.96</v>
      </c>
      <c r="ED106" s="111">
        <f t="array" ref="ED106">(('Fórmula'!C106)/('Fórmula'!C106+'Fórmula'!E106+'Fórmula'!G106+'Fórmula'!I106+'Fórmula'!K106))*(INDEX(properties!A$1:CB$87,'Fórmula'!B106,41))+(('Fórmula'!E106)/('Fórmula'!C106+'Fórmula'!E106+'Fórmula'!G106+'Fórmula'!I106+'Fórmula'!K106))*(INDEX(properties!A$1:CB$87,'Fórmula'!D106,41))+(('Fórmula'!G106)/('Fórmula'!C106+'Fórmula'!E106+'Fórmula'!G106+'Fórmula'!I106+'Fórmula'!K106))*(INDEX(properties!A$1:CB$87,'Fórmula'!F106,41))+(('Fórmula'!I106)/('Fórmula'!C106+'Fórmula'!E106+'Fórmula'!G106+'Fórmula'!I106+'Fórmula'!K106))*(INDEX(properties!A$1:CB$87,'Fórmula'!H106,41))+(('Fórmula'!K106)/('Fórmula'!C106+'Fórmula'!E106+'Fórmula'!G106+'Fórmula'!I106+'Fórmula'!K106))*(INDEX(properties!A$1:CB$87,'Fórmula'!J106,41))</f>
        <v>1.126</v>
      </c>
      <c r="EE106" s="111">
        <f t="array" ref="EE106">'Fórmula'!C106*(INDEX(properties!A$1:CB$87,'Fórmula'!B106,41))+'Fórmula'!E106*(INDEX(properties!A$1:CB$87,'Fórmula'!D106,41))+'Fórmula'!G106*(INDEX(properties!A$1:CB$87,'Fórmula'!F106,41))+'Fórmula'!I106*(INDEX(properties!A$1:CB$87,'Fórmula'!H106,41))+'Fórmula'!K106*(INDEX(properties!A$1:CB$87,'Fórmula'!J106,41))</f>
        <v>5.63</v>
      </c>
      <c r="EF106" s="111">
        <f t="array" ref="EF106">VARP(IF(INDEX(properties!A$1:CB$87,'Fórmula'!B106,41)&lt;&gt;"",INDEX(properties!A$1:CB$87,'Fórmula'!B106,41)),IF(INDEX(properties!A$1:CB$87,'Fórmula'!D106,41)&lt;&gt;"",INDEX(properties!A$1:CB$87,'Fórmula'!D106,41)),IF(INDEX(properties!A$1:CB$87,'Fórmula'!F106,41)&lt;&gt;"",INDEX(properties!A$1:CB$87,'Fórmula'!F106,41)),IF(INDEX(properties!A$1:CB$87,'Fórmula'!H106,41)&lt;&gt;"",INDEX(properties!A$1:CB$87,'Fórmula'!H106,41)),IF(INDEX(properties!A$1:CB$87,'Fórmula'!J106,41)&lt;&gt;"",INDEX(properties!A$1:CB$87,'Fórmula'!J106,41)))</f>
        <v>0.296896</v>
      </c>
      <c r="EG106" s="122">
        <f t="array" ref="EG106">MAX(INDEX(properties!A$1:CB$87,'Fórmula'!B106,41),INDEX(properties!A$1:CB$87,'Fórmula'!D106,41),INDEX(properties!A$1:CB$87,'Fórmula'!F106,41),INDEX(properties!A$1:CB$87,'Fórmula'!H106,41),INDEX(properties!A$1:CB$87,'Fórmula'!J106,41))</f>
        <v>1.26</v>
      </c>
      <c r="EH106" s="122">
        <f t="array" ref="EH106">MIN(IF(INDEX(properties!A$1:CB$87,'Fórmula'!B106,41)=0,10^6,INDEX(properties!A$1:CB$87,'Fórmula'!B106,41)),IF(INDEX(properties!A$1:CB$87,'Fórmula'!D106,41)=0,10^6,INDEX(properties!A$1:CB$87,'Fórmula'!D106,41)),IF(INDEX(properties!A$1:CB$87,'Fórmula'!F106,41)=0,10^6,INDEX(properties!A$1:CB$87,'Fórmula'!F106,41)),IF(INDEX(properties!A$1:CB$87,'Fórmula'!H106,41)=0,10^6,INDEX(properties!A$1:CB$87,'Fórmula'!H106,41)),IF(INDEX(properties!A$1:CB$87,'Fórmula'!J106,41)=0,10^6,INDEX(properties!A$1:CB$87,'Fórmula'!J106,41)))</f>
        <v>0.68</v>
      </c>
      <c r="EI106" s="111">
        <f t="shared" si="23"/>
        <v>0.58</v>
      </c>
      <c r="EJ106" s="112">
        <f t="array" ref="EJ106">(('Fórmula'!C106)/('Fórmula'!C106+'Fórmula'!E106+'Fórmula'!G106+'Fórmula'!I106+'Fórmula'!K106))*(INDEX(properties!A$1:CB$87,'Fórmula'!B106,45))+(('Fórmula'!E106)/('Fórmula'!C106+'Fórmula'!E106+'Fórmula'!G106+'Fórmula'!I106+'Fórmula'!K106))*(INDEX(properties!A$1:CB$87,'Fórmula'!D106,45))+(('Fórmula'!G106)/('Fórmula'!C106+'Fórmula'!E106+'Fórmula'!G106+'Fórmula'!I106+'Fórmula'!K106))*(INDEX(properties!A$1:CB$87,'Fórmula'!F106,45))+(('Fórmula'!I106)/('Fórmula'!C106+'Fórmula'!E106+'Fórmula'!G106+'Fórmula'!I106+'Fórmula'!K106))*(INDEX(properties!A$1:CB$87,'Fórmula'!H106,45))+(('Fórmula'!K106)/('Fórmula'!C106+'Fórmula'!E106+'Fórmula'!G106+'Fórmula'!I106+'Fórmula'!K106))*(INDEX(properties!A$1:CB$87,'Fórmula'!J106,45))</f>
        <v>1.234</v>
      </c>
      <c r="EK106" s="112">
        <f t="array" ref="EK106">'Fórmula'!C106*(INDEX(properties!A$1:CB$87,'Fórmula'!B106,45))+'Fórmula'!E106*(INDEX(properties!A$1:CB$87,'Fórmula'!D106,45))+'Fórmula'!G106*(INDEX(properties!A$1:CB$87,'Fórmula'!F106,45))+'Fórmula'!I106*(INDEX(properties!A$1:CB$87,'Fórmula'!H106,45))+'Fórmula'!K106*(INDEX(properties!A$1:CB$87,'Fórmula'!J106,45))</f>
        <v>6.17</v>
      </c>
      <c r="EL106" s="112">
        <f t="array" ref="EL106">VARP(IF(INDEX(properties!A$1:CB$87,'Fórmula'!B106,45)&lt;&gt;"",INDEX(properties!A$1:CB$87,'Fórmula'!B106,45)),IF(INDEX(properties!A$1:CB$87,'Fórmula'!D106,45)&lt;&gt;"",INDEX(properties!A$1:CB$87,'Fórmula'!D106,45)),IF(INDEX(properties!A$1:CB$87,'Fórmula'!F106,45)&lt;&gt;"",INDEX(properties!A$1:CB$87,'Fórmula'!F106,45)),IF(INDEX(properties!A$1:CB$87,'Fórmula'!H106,45)&lt;&gt;"",INDEX(properties!A$1:CB$87,'Fórmula'!H106,45)),IF(INDEX(properties!A$1:CB$87,'Fórmula'!J106,45)&lt;&gt;"",INDEX(properties!A$1:CB$87,'Fórmula'!J106,45)))</f>
        <v>1.411824</v>
      </c>
      <c r="EM106" s="123">
        <f t="array" ref="EM106">MAX(INDEX(properties!A$1:CB$87,'Fórmula'!B106,45),INDEX(properties!A$1:CB$87,'Fórmula'!D106,45),INDEX(properties!A$1:CB$87,'Fórmula'!F106,45),INDEX(properties!A$1:CB$87,'Fórmula'!H106,45),INDEX(properties!A$1:CB$87,'Fórmula'!J106,45))</f>
        <v>3.08</v>
      </c>
      <c r="EN106" s="123">
        <f t="array" ref="EN106">MIN(IF(INDEX(properties!A$1:CB$87,'Fórmula'!B106,45)=0,10^6,INDEX(properties!A$1:CB$87,'Fórmula'!B106,45)),IF(INDEX(properties!A$1:CB$87,'Fórmula'!D106,45)=0,10^6,INDEX(properties!A$1:CB$87,'Fórmula'!D106,45)),IF(INDEX(properties!A$1:CB$87,'Fórmula'!F106,45)=0,10^6,INDEX(properties!A$1:CB$87,'Fórmula'!F106,45)),IF(INDEX(properties!A$1:CB$87,'Fórmula'!H106,45)=0,10^6,INDEX(properties!A$1:CB$87,'Fórmula'!H106,45)),IF(INDEX(properties!A$1:CB$87,'Fórmula'!J106,45)=0,10^6,INDEX(properties!A$1:CB$87,'Fórmula'!J106,45)))</f>
        <v>0.47</v>
      </c>
      <c r="EO106" s="112">
        <f t="shared" si="24"/>
        <v>2.61</v>
      </c>
      <c r="EP106" s="113">
        <f t="array" ref="EP106">(('Fórmula'!C106)/('Fórmula'!C106+'Fórmula'!E106+'Fórmula'!G106+'Fórmula'!I106+'Fórmula'!K106))*(INDEX(properties!A$1:CB$87,'Fórmula'!B106,46))+(('Fórmula'!E106)/('Fórmula'!C106+'Fórmula'!E106+'Fórmula'!G106+'Fórmula'!I106+'Fórmula'!K106))*(INDEX(properties!A$1:CB$87,'Fórmula'!D106,46))+(('Fórmula'!G106)/('Fórmula'!C106+'Fórmula'!E106+'Fórmula'!G106+'Fórmula'!I106+'Fórmula'!K106))*(INDEX(properties!A$1:CB$87,'Fórmula'!F106,46))+(('Fórmula'!I106)/('Fórmula'!C106+'Fórmula'!E106+'Fórmula'!G106+'Fórmula'!I106+'Fórmula'!K106))*(INDEX(properties!A$1:CB$87,'Fórmula'!H106,46))+(('Fórmula'!K106)/('Fórmula'!C106+'Fórmula'!E106+'Fórmula'!G106+'Fórmula'!I106+'Fórmula'!K106))*(INDEX(properties!A$1:CB$87,'Fórmula'!J106,46))</f>
        <v>1.104</v>
      </c>
      <c r="EQ106" s="113">
        <f t="array" ref="EQ106">'Fórmula'!C106*(INDEX(properties!A$1:CB$87,'Fórmula'!B106,46))+'Fórmula'!E106*(INDEX(properties!A$1:CB$87,'Fórmula'!D106,46))+'Fórmula'!G106*(INDEX(properties!A$1:CB$87,'Fórmula'!F106,46))+'Fórmula'!I106*(INDEX(properties!A$1:CB$87,'Fórmula'!H106,46))+'Fórmula'!K106*(INDEX(properties!A$1:CB$87,'Fórmula'!J106,46))</f>
        <v>5.52</v>
      </c>
      <c r="ER106" s="113">
        <f t="array" ref="ER106">VARP(IF(INDEX(properties!A$1:CB$87,'Fórmula'!B106,46)&lt;&gt;"",INDEX(properties!A$1:CB$87,'Fórmula'!B106,46)),IF(INDEX(properties!A$1:CB$87,'Fórmula'!D106,46)&lt;&gt;"",INDEX(properties!A$1:CB$87,'Fórmula'!D106,46)),IF(INDEX(properties!A$1:CB$87,'Fórmula'!F106,46)&lt;&gt;"",INDEX(properties!A$1:CB$87,'Fórmula'!F106,46)),IF(INDEX(properties!A$1:CB$87,'Fórmula'!H106,46)&lt;&gt;"",INDEX(properties!A$1:CB$87,'Fórmula'!H106,46)),IF(INDEX(properties!A$1:CB$87,'Fórmula'!J106,46)&lt;&gt;"",INDEX(properties!A$1:CB$87,'Fórmula'!J106,46)))</f>
        <v>0.33452</v>
      </c>
      <c r="ES106" s="124">
        <f t="array" ref="ES106">MAX(INDEX(properties!A$1:CB$87,'Fórmula'!B106,46),INDEX(properties!A$1:CB$87,'Fórmula'!D106,46),INDEX(properties!A$1:CB$87,'Fórmula'!F106,46),INDEX(properties!A$1:CB$87,'Fórmula'!H106,46),INDEX(properties!A$1:CB$87,'Fórmula'!J106,46))</f>
        <v>1.36</v>
      </c>
      <c r="ET106" s="124">
        <f t="array" ref="ET106">MIN(IF(INDEX(properties!A$1:CB$87,'Fórmula'!B106,46)=0,10^6,INDEX(properties!A$1:CB$87,'Fórmula'!B106,46)),IF(INDEX(properties!A$1:CB$87,'Fórmula'!D106,46)=0,10^6,INDEX(properties!A$1:CB$87,'Fórmula'!D106,46)),IF(INDEX(properties!A$1:CB$87,'Fórmula'!F106,46)=0,10^6,INDEX(properties!A$1:CB$87,'Fórmula'!F106,46)),IF(INDEX(properties!A$1:CB$87,'Fórmula'!H106,46)=0,10^6,INDEX(properties!A$1:CB$87,'Fórmula'!H106,46)),IF(INDEX(properties!A$1:CB$87,'Fórmula'!J106,46)=0,10^6,INDEX(properties!A$1:CB$87,'Fórmula'!J106,46)))</f>
        <v>0.53</v>
      </c>
      <c r="EU106" s="113">
        <f t="shared" si="25"/>
        <v>0.83</v>
      </c>
      <c r="EV106" s="114">
        <f t="array" ref="EV106">(('Fórmula'!C106)/('Fórmula'!C106+'Fórmula'!E106+'Fórmula'!G106+'Fórmula'!I106+'Fórmula'!K106))*(INDEX(properties!A$1:CB$87,'Fórmula'!B106,52))+(('Fórmula'!E106)/('Fórmula'!C106+'Fórmula'!E106+'Fórmula'!G106+'Fórmula'!I106+'Fórmula'!K106))*(INDEX(properties!A$1:CB$87,'Fórmula'!D106,52))+(('Fórmula'!G106)/('Fórmula'!C106+'Fórmula'!E106+'Fórmula'!G106+'Fórmula'!I106+'Fórmula'!K106))*(INDEX(properties!A$1:CB$87,'Fórmula'!F106,52))+(('Fórmula'!I106)/('Fórmula'!C106+'Fórmula'!E106+'Fórmula'!G106+'Fórmula'!I106+'Fórmula'!K106))*(INDEX(properties!A$1:CB$87,'Fórmula'!H106,52))+(('Fórmula'!K106)/('Fórmula'!C106+'Fórmula'!E106+'Fórmula'!G106+'Fórmula'!I106+'Fórmula'!K106))*(INDEX(properties!A$1:CB$87,'Fórmula'!J106,52))</f>
        <v>8.3558</v>
      </c>
      <c r="EW106" s="114">
        <f t="array" ref="EW106">'Fórmula'!C106*(INDEX(properties!A$1:CB$87,'Fórmula'!B106,52))+'Fórmula'!E106*(INDEX(properties!A$1:CB$87,'Fórmula'!D106,52))+'Fórmula'!G106*(INDEX(properties!A$1:CB$87,'Fórmula'!F106,52))+'Fórmula'!I106*(INDEX(properties!A$1:CB$87,'Fórmula'!H106,52))+'Fórmula'!K106*(INDEX(properties!A$1:CB$87,'Fórmula'!J106,52))</f>
        <v>41.779</v>
      </c>
      <c r="EX106" s="114">
        <f t="array" ref="EX106">VARP(IF(INDEX(properties!A$1:CB$87,'Fórmula'!B106,52)&lt;&gt;"",INDEX(properties!A$1:CB$87,'Fórmula'!B106,52)),IF(INDEX(properties!A$1:CB$87,'Fórmula'!D106,52)&lt;&gt;"",INDEX(properties!A$1:CB$87,'Fórmula'!D106,52)),IF(INDEX(properties!A$1:CB$87,'Fórmula'!F106,52)&lt;&gt;"",INDEX(properties!A$1:CB$87,'Fórmula'!F106,52)),IF(INDEX(properties!A$1:CB$87,'Fórmula'!H106,52)&lt;&gt;"",INDEX(properties!A$1:CB$87,'Fórmula'!H106,52)),IF(INDEX(properties!A$1:CB$87,'Fórmula'!J106,52)&lt;&gt;"",INDEX(properties!A$1:CB$87,'Fórmula'!J106,52)))</f>
        <v>142.7266798</v>
      </c>
      <c r="EY106" s="114">
        <f t="array" ref="EY106">MAX(INDEX(properties!A$1:CB$87,'Fórmula'!B106,52),INDEX(properties!A$1:CB$87,'Fórmula'!D106,52),INDEX(properties!A$1:CB$87,'Fórmula'!F106,52),INDEX(properties!A$1:CB$87,'Fórmula'!H106,52),INDEX(properties!A$1:CB$87,'Fórmula'!J106,52))</f>
        <v>31.1</v>
      </c>
      <c r="EZ106" s="114">
        <f t="array" ref="EZ106">MIN(IF(INDEX(properties!A$1:CB$87,'Fórmula'!B106,52)=0,10^6,INDEX(properties!A$1:CB$87,'Fórmula'!B106,52)),IF(INDEX(properties!A$1:CB$87,'Fórmula'!D106,52)=0,10^6,INDEX(properties!A$1:CB$87,'Fórmula'!D106,52)),IF(INDEX(properties!A$1:CB$87,'Fórmula'!F106,52)=0,10^6,INDEX(properties!A$1:CB$87,'Fórmula'!F106,52)),IF(INDEX(properties!A$1:CB$87,'Fórmula'!H106,52)=0,10^6,INDEX(properties!A$1:CB$87,'Fórmula'!H106,52)),IF(INDEX(properties!A$1:CB$87,'Fórmula'!J106,52)=0,10^6,INDEX(properties!A$1:CB$87,'Fórmula'!J106,52)))</f>
        <v>0.793</v>
      </c>
      <c r="FA106" s="114">
        <f t="shared" si="26"/>
        <v>30.307</v>
      </c>
      <c r="FB106" s="115">
        <f t="array" ref="FB106">(('Fórmula'!C106)/('Fórmula'!C106+'Fórmula'!E106+'Fórmula'!G106+'Fórmula'!I106+'Fórmula'!K106))*(INDEX(properties!A$1:CB$87,'Fórmula'!B106,53))+(('Fórmula'!E106)/('Fórmula'!C106+'Fórmula'!E106+'Fórmula'!G106+'Fórmula'!I106+'Fórmula'!K106))*(INDEX(properties!A$1:CB$87,'Fórmula'!D106,53))+(('Fórmula'!G106)/('Fórmula'!C106+'Fórmula'!E106+'Fórmula'!G106+'Fórmula'!I106+'Fórmula'!K106))*(INDEX(properties!A$1:CB$87,'Fórmula'!F106,53))+(('Fórmula'!I106)/('Fórmula'!C106+'Fórmula'!E106+'Fórmula'!G106+'Fórmula'!I106+'Fórmula'!K106))*(INDEX(properties!A$1:CB$87,'Fórmula'!H106,53))+(('Fórmula'!K106)/('Fórmula'!C106+'Fórmula'!E106+'Fórmula'!G106+'Fórmula'!I106+'Fórmula'!K106))*(INDEX(properties!A$1:CB$87,'Fórmula'!J106,53))</f>
        <v>458.11</v>
      </c>
      <c r="FC106" s="115">
        <f t="array" ref="FC106">'Fórmula'!C106*(INDEX(properties!A$1:CB$87,'Fórmula'!B106,53))+'Fórmula'!E106*(INDEX(properties!A$1:CB$87,'Fórmula'!D106,53))+'Fórmula'!G106*(INDEX(properties!A$1:CB$87,'Fórmula'!F106,53))+'Fórmula'!I106*(INDEX(properties!A$1:CB$87,'Fórmula'!H106,53))+'Fórmula'!K106*(INDEX(properties!A$1:CB$87,'Fórmula'!J106,53))</f>
        <v>2290.55</v>
      </c>
      <c r="FD106" s="115">
        <f t="array" ref="FD106">VARP(IF(INDEX(properties!A$1:CB$87,'Fórmula'!B106,53)&lt;&gt;"",INDEX(properties!A$1:CB$87,'Fórmula'!B106,53)),IF(INDEX(properties!A$1:CB$87,'Fórmula'!D106,53)&lt;&gt;"",INDEX(properties!A$1:CB$87,'Fórmula'!D106,53)),IF(INDEX(properties!A$1:CB$87,'Fórmula'!F106,53)&lt;&gt;"",INDEX(properties!A$1:CB$87,'Fórmula'!F106,53)),IF(INDEX(properties!A$1:CB$87,'Fórmula'!H106,53)&lt;&gt;"",INDEX(properties!A$1:CB$87,'Fórmula'!H106,53)),IF(INDEX(properties!A$1:CB$87,'Fórmula'!J106,53)&lt;&gt;"",INDEX(properties!A$1:CB$87,'Fórmula'!J106,53)))</f>
        <v>269195.5174</v>
      </c>
      <c r="FE106" s="115">
        <f t="array" ref="FE106">MAX(INDEX(properties!A$1:CB$87,'Fórmula'!B106,53),INDEX(properties!A$1:CB$87,'Fórmula'!D106,53),INDEX(properties!A$1:CB$87,'Fórmula'!F106,53),INDEX(properties!A$1:CB$87,'Fórmula'!H106,53),INDEX(properties!A$1:CB$87,'Fórmula'!J106,53))</f>
        <v>1193.15</v>
      </c>
      <c r="FF106" s="115">
        <f t="array" ref="FF106">MIN(IF(INDEX(properties!A$1:CB$87,'Fórmula'!B106,53)=0,10^6,INDEX(properties!A$1:CB$87,'Fórmula'!B106,53)),IF(INDEX(properties!A$1:CB$87,'Fórmula'!D106,53)=0,10^6,INDEX(properties!A$1:CB$87,'Fórmula'!D106,53)),IF(INDEX(properties!A$1:CB$87,'Fórmula'!F106,53)=0,10^6,INDEX(properties!A$1:CB$87,'Fórmula'!F106,53)),IF(INDEX(properties!A$1:CB$87,'Fórmula'!H106,53)=0,10^6,INDEX(properties!A$1:CB$87,'Fórmula'!H106,53)),IF(INDEX(properties!A$1:CB$87,'Fórmula'!J106,53)=0,10^6,INDEX(properties!A$1:CB$87,'Fórmula'!J106,53)))</f>
        <v>54.75</v>
      </c>
      <c r="FG106" s="115">
        <f t="shared" si="27"/>
        <v>1138.4</v>
      </c>
      <c r="FH106" s="117">
        <f t="array" ref="FH106">(('Fórmula'!C106)/('Fórmula'!C106+'Fórmula'!E106+'Fórmula'!G106+'Fórmula'!I106+'Fórmula'!K106))*(INDEX(properties!A$1:CB$87,'Fórmula'!B106,54))+(('Fórmula'!E106)/('Fórmula'!C106+'Fórmula'!E106+'Fórmula'!G106+'Fórmula'!I106+'Fórmula'!K106))*(INDEX(properties!A$1:CB$87,'Fórmula'!D106,54))+(('Fórmula'!G106)/('Fórmula'!C106+'Fórmula'!E106+'Fórmula'!G106+'Fórmula'!I106+'Fórmula'!K106))*(INDEX(properties!A$1:CB$87,'Fórmula'!F106,54))+(('Fórmula'!I106)/('Fórmula'!C106+'Fórmula'!E106+'Fórmula'!G106+'Fórmula'!I106+'Fórmula'!K106))*(INDEX(properties!A$1:CB$87,'Fórmula'!H106,54))+(('Fórmula'!K106)/('Fórmula'!C106+'Fórmula'!E106+'Fórmula'!G106+'Fórmula'!I106+'Fórmula'!K106))*(INDEX(properties!A$1:CB$87,'Fórmula'!J106,54))</f>
        <v>1347.55</v>
      </c>
      <c r="FI106" s="117">
        <f t="array" ref="FI106">'Fórmula'!C106*(INDEX(properties!A$1:CB$87,'Fórmula'!B106,54))+'Fórmula'!E106*(INDEX(properties!A$1:CB$87,'Fórmula'!D106,54))+'Fórmula'!G106*(INDEX(properties!A$1:CB$87,'Fórmula'!F106,54))+'Fórmula'!I106*(INDEX(properties!A$1:CB$87,'Fórmula'!H106,54))+'Fórmula'!K106*(INDEX(properties!A$1:CB$87,'Fórmula'!J106,54))</f>
        <v>6737.75</v>
      </c>
      <c r="FJ106" s="117">
        <f t="array" ref="FJ106">VARP(IF(INDEX(properties!A$1:CB$87,'Fórmula'!B106,54)&lt;&gt;"",INDEX(properties!A$1:CB$87,'Fórmula'!B106,54)),IF(INDEX(properties!A$1:CB$87,'Fórmula'!D106,54)&lt;&gt;"",INDEX(properties!A$1:CB$87,'Fórmula'!D106,54)),IF(INDEX(properties!A$1:CB$87,'Fórmula'!F106,54)&lt;&gt;"",INDEX(properties!A$1:CB$87,'Fórmula'!F106,54)),IF(INDEX(properties!A$1:CB$87,'Fórmula'!H106,54)&lt;&gt;"",INDEX(properties!A$1:CB$87,'Fórmula'!H106,54)),IF(INDEX(properties!A$1:CB$87,'Fórmula'!J106,54)&lt;&gt;"",INDEX(properties!A$1:CB$87,'Fórmula'!J106,54)))</f>
        <v>2561633.213</v>
      </c>
      <c r="FK106" s="117">
        <f t="array" ref="FK106">MAX(INDEX(properties!A$1:CB$87,'Fórmula'!B106,54),INDEX(properties!A$1:CB$87,'Fórmula'!D106,54),INDEX(properties!A$1:CB$87,'Fórmula'!F106,54),INDEX(properties!A$1:CB$87,'Fórmula'!H106,54),INDEX(properties!A$1:CB$87,'Fórmula'!J106,54))</f>
        <v>3727.15</v>
      </c>
      <c r="FL106" s="117">
        <f t="array" ref="FL106">MIN(IF(INDEX(properties!A$1:CB$87,'Fórmula'!B106,54)=0,10^6,INDEX(properties!A$1:CB$87,'Fórmula'!B106,54)),IF(INDEX(properties!A$1:CB$87,'Fórmula'!D106,54)=0,10^6,INDEX(properties!A$1:CB$87,'Fórmula'!D106,54)),IF(INDEX(properties!A$1:CB$87,'Fórmula'!F106,54)=0,10^6,INDEX(properties!A$1:CB$87,'Fórmula'!F106,54)),IF(INDEX(properties!A$1:CB$87,'Fórmula'!H106,54)=0,10^6,INDEX(properties!A$1:CB$87,'Fórmula'!H106,54)),IF(INDEX(properties!A$1:CB$87,'Fórmula'!J106,54)=0,10^6,INDEX(properties!A$1:CB$87,'Fórmula'!J106,54)))</f>
        <v>90.15</v>
      </c>
      <c r="FM106" s="117">
        <f t="shared" si="28"/>
        <v>3637</v>
      </c>
      <c r="FN106" s="118">
        <f t="array" ref="FN106">(('Fórmula'!C106)/('Fórmula'!C106+'Fórmula'!E106+'Fórmula'!G106+'Fórmula'!I106+'Fórmula'!K106))*(INDEX(properties!A$1:CB$87,'Fórmula'!B106,55))+(('Fórmula'!E106)/('Fórmula'!C106+'Fórmula'!E106+'Fórmula'!G106+'Fórmula'!I106+'Fórmula'!K106))*(INDEX(properties!A$1:CB$87,'Fórmula'!D106,55))+(('Fórmula'!G106)/('Fórmula'!C106+'Fórmula'!E106+'Fórmula'!G106+'Fórmula'!I106+'Fórmula'!K106))*(INDEX(properties!A$1:CB$87,'Fórmula'!F106,55))+(('Fórmula'!I106)/('Fórmula'!C106+'Fórmula'!E106+'Fórmula'!G106+'Fórmula'!I106+'Fórmula'!K106))*(INDEX(properties!A$1:CB$87,'Fórmula'!H106,55))+(('Fórmula'!K106)/('Fórmula'!C106+'Fórmula'!E106+'Fórmula'!G106+'Fórmula'!I106+'Fórmula'!K106))*(INDEX(properties!A$1:CB$87,'Fórmula'!J106,55))</f>
        <v>1.770858</v>
      </c>
      <c r="FO106" s="118">
        <f t="array" ref="FO106">'Fórmula'!C106*(INDEX(properties!A$1:CB$87,'Fórmula'!B106,55))+'Fórmula'!E106*(INDEX(properties!A$1:CB$87,'Fórmula'!D106,54))+'Fórmula'!G106*(INDEX(properties!A$1:CB$87,'Fórmula'!F106,55))+'Fórmula'!I106*(INDEX(properties!A$1:CB$87,'Fórmula'!H106,55))+'Fórmula'!K106*(INDEX(properties!A$1:CB$87,'Fórmula'!J106,55))</f>
        <v>2746.30429</v>
      </c>
      <c r="FP106" s="118">
        <f t="array" ref="FP106">VARP(IF(INDEX(properties!A$1:CB$87,'Fórmula'!B106,55)&lt;&gt;"",INDEX(properties!A$1:CB$87,'Fórmula'!B106,55)),IF(INDEX(properties!A$1:CB$87,'Fórmula'!D106,55)&lt;&gt;"",INDEX(properties!A$1:CB$87,'Fórmula'!D106,55)),IF(INDEX(properties!A$1:CB$87,'Fórmula'!F106,55)&lt;&gt;"",INDEX(properties!A$1:CB$87,'Fórmula'!F106,55)),IF(INDEX(properties!A$1:CB$87,'Fórmula'!H106,55)&lt;&gt;"",INDEX(properties!A$1:CB$87,'Fórmula'!H106,55)),IF(INDEX(properties!A$1:CB$87,'Fórmula'!J106,55)&lt;&gt;"",INDEX(properties!A$1:CB$87,'Fórmula'!J106,55)))</f>
        <v>5.888587887</v>
      </c>
      <c r="FQ106" s="118">
        <f t="array" ref="FQ106">MAX(INDEX(properties!A$1:CB$87,'Fórmula'!B106,55),INDEX(properties!A$1:CB$87,'Fórmula'!D106,55),INDEX(properties!A$1:CB$87,'Fórmula'!F106,55),INDEX(properties!A$1:CB$87,'Fórmula'!H106,55),INDEX(properties!A$1:CB$87,'Fórmula'!J106,55))</f>
        <v>6.15</v>
      </c>
      <c r="FR106" s="118">
        <f t="array" ref="FR106">MIN(IF(INDEX(properties!A$1:CB$87,'Fórmula'!B106,55)=0,10^6,INDEX(properties!A$1:CB$87,'Fórmula'!B106,55)),IF(INDEX(properties!A$1:CB$87,'Fórmula'!D106,55)=0,10^6,INDEX(properties!A$1:CB$87,'Fórmula'!D106,55)),IF(INDEX(properties!A$1:CB$87,'Fórmula'!F106,55)=0,10^6,INDEX(properties!A$1:CB$87,'Fórmula'!F106,55)),IF(INDEX(properties!A$1:CB$87,'Fórmula'!H106,55)=0,10^6,INDEX(properties!A$1:CB$87,'Fórmula'!H106,55)),IF(INDEX(properties!A$1:CB$87,'Fórmula'!J106,55)=0,10^6,INDEX(properties!A$1:CB$87,'Fórmula'!J106,55)))</f>
        <v>0.00143</v>
      </c>
      <c r="FS106" s="118">
        <f t="shared" si="29"/>
        <v>6.14857</v>
      </c>
      <c r="FT106" s="119">
        <f t="array" ref="FT106">(('Fórmula'!C106)/('Fórmula'!C106+'Fórmula'!E106+'Fórmula'!G106+'Fórmula'!I106+'Fórmula'!K106))*(INDEX(properties!A$1:CB$87,'Fórmula'!B106,56))+(('Fórmula'!E106)/('Fórmula'!C106+'Fórmula'!E106+'Fórmula'!G106+'Fórmula'!I106+'Fórmula'!K106))*(INDEX(properties!A$1:CB$87,'Fórmula'!D106,56))+(('Fórmula'!G106)/('Fórmula'!C106+'Fórmula'!E106+'Fórmula'!G106+'Fórmula'!I106+'Fórmula'!K106))*(INDEX(properties!A$1:CB$87,'Fórmula'!F106,56))+(('Fórmula'!I106)/('Fórmula'!C106+'Fórmula'!E106+'Fórmula'!G106+'Fórmula'!I106+'Fórmula'!K106))*(INDEX(properties!A$1:CB$87,'Fórmula'!H106,56))+(('Fórmula'!K106)/('Fórmula'!C106+'Fórmula'!E106+'Fórmula'!G106+'Fórmula'!I106+'Fórmula'!K106))*(INDEX(properties!A$1:CB$87,'Fórmula'!J106,56))</f>
        <v>0.77</v>
      </c>
      <c r="FU106" s="119">
        <f t="array" ref="FU106">'Fórmula'!C106*(INDEX(properties!A$1:CB$87,'Fórmula'!B106,56))+'Fórmula'!E106*(INDEX(properties!A$1:CB$87,'Fórmula'!D106,56))+'Fórmula'!G106*(INDEX(properties!A$1:CB$87,'Fórmula'!F106,56))+'Fórmula'!I106*(INDEX(properties!A$1:CB$87,'Fórmula'!H106,56))+'Fórmula'!K106*(INDEX(properties!A$1:CB$87,'Fórmula'!J106,56))</f>
        <v>3.85</v>
      </c>
      <c r="FV106" s="119">
        <f t="array" ref="FV106">VARP(IF(INDEX(properties!A$1:CB$87,'Fórmula'!B106,56)&lt;&gt;"",INDEX(properties!A$1:CB$87,'Fórmula'!B106,56)),IF(INDEX(properties!A$1:CB$87,'Fórmula'!D106,56)&lt;&gt;"",INDEX(properties!A$1:CB$87,'Fórmula'!D106,56)),IF(INDEX(properties!A$1:CB$87,'Fórmula'!F106,56)&lt;&gt;"",INDEX(properties!A$1:CB$87,'Fórmula'!F106,56)),IF(INDEX(properties!A$1:CB$87,'Fórmula'!H106,56)&lt;&gt;"",INDEX(properties!A$1:CB$87,'Fórmula'!H106,56)),IF(INDEX(properties!A$1:CB$87,'Fórmula'!J106,56)&lt;&gt;"",INDEX(properties!A$1:CB$87,'Fórmula'!J106,56)))</f>
        <v>0.176896</v>
      </c>
      <c r="FW106" s="119">
        <f t="array" ref="FW106">MAX(INDEX(properties!A$1:CB$87,'Fórmula'!B106,56),INDEX(properties!A$1:CB$87,'Fórmula'!D106,56),INDEX(properties!A$1:CB$87,'Fórmula'!F106,56),INDEX(properties!A$1:CB$87,'Fórmula'!H106,56),INDEX(properties!A$1:CB$87,'Fórmula'!J106,56))</f>
        <v>0.92</v>
      </c>
      <c r="FX106" s="119">
        <f t="array" ref="FX106">MIN(IF(INDEX(properties!A$1:CB$87,'Fórmula'!B106,56)=0,10^6,INDEX(properties!A$1:CB$87,'Fórmula'!B106,56)),IF(INDEX(properties!A$1:CB$87,'Fórmula'!D106,56)=0,10^6,INDEX(properties!A$1:CB$87,'Fórmula'!D106,56)),IF(INDEX(properties!A$1:CB$87,'Fórmula'!F106,56)=0,10^6,INDEX(properties!A$1:CB$87,'Fórmula'!F106,56)),IF(INDEX(properties!A$1:CB$87,'Fórmula'!H106,56)=0,10^6,INDEX(properties!A$1:CB$87,'Fórmula'!H106,56)),IF(INDEX(properties!A$1:CB$87,'Fórmula'!J106,56)=0,10^6,INDEX(properties!A$1:CB$87,'Fórmula'!J106,56)))</f>
        <v>0.19</v>
      </c>
      <c r="FY106" s="119">
        <f t="shared" si="30"/>
        <v>0.73</v>
      </c>
      <c r="FZ106" s="104">
        <f t="array" ref="FZ106">(('Fórmula'!C106)/('Fórmula'!C106+'Fórmula'!E106+'Fórmula'!G106+'Fórmula'!I106+'Fórmula'!K106))*(INDEX(properties!A$1:CB$87,'Fórmula'!B106,57))+(('Fórmula'!E106)/('Fórmula'!C106+'Fórmula'!E106+'Fórmula'!G106+'Fórmula'!I106+'Fórmula'!K106))*(INDEX(properties!A$1:CB$87,'Fórmula'!D106,57))+(('Fórmula'!G106)/('Fórmula'!C106+'Fórmula'!E106+'Fórmula'!G106+'Fórmula'!I106+'Fórmula'!K106))*(INDEX(properties!A$1:CB$87,'Fórmula'!F106,57))+(('Fórmula'!I106)/('Fórmula'!C106+'Fórmula'!E106+'Fórmula'!G106+'Fórmula'!I106+'Fórmula'!K106))*(INDEX(properties!A$1:CB$87,'Fórmula'!H106,57))+(('Fórmula'!K106)/('Fórmula'!C106+'Fórmula'!E106+'Fórmula'!G106+'Fórmula'!I106+'Fórmula'!K106))*(INDEX(properties!A$1:CB$87,'Fórmula'!J106,57))</f>
        <v>3.531554</v>
      </c>
      <c r="GA106" s="104">
        <f t="array" ref="GA106">'Fórmula'!C106*(INDEX(properties!A$1:CB$87,'Fórmula'!B106,57))+'Fórmula'!E106*(INDEX(properties!A$1:CB$87,'Fórmula'!D106,57))+'Fórmula'!G106*(INDEX(properties!A$1:CB$87,'Fórmula'!F106,57))+'Fórmula'!I106*(INDEX(properties!A$1:CB$87,'Fórmula'!H106,57))+'Fórmula'!K106*(INDEX(properties!A$1:CB$87,'Fórmula'!J106,57))</f>
        <v>17.65777</v>
      </c>
      <c r="GB106" s="104">
        <f t="array" ref="GB106">VARP(IF(INDEX(properties!A$1:CB$87,'Fórmula'!B106,57)&lt;&gt;"",INDEX(properties!A$1:CB$87,'Fórmula'!B106,57)),IF(INDEX(properties!A$1:CB$87,'Fórmula'!D106,57)&lt;&gt;"",INDEX(properties!A$1:CB$87,'Fórmula'!D106,57)),IF(INDEX(properties!A$1:CB$87,'Fórmula'!F106,57)&lt;&gt;"",INDEX(properties!A$1:CB$87,'Fórmula'!F106,57)),IF(INDEX(properties!A$1:CB$87,'Fórmula'!H106,57)&lt;&gt;"",INDEX(properties!A$1:CB$87,'Fórmula'!H106,57)),IF(INDEX(properties!A$1:CB$87,'Fórmula'!J106,57)&lt;&gt;"",INDEX(properties!A$1:CB$87,'Fórmula'!J106,57)))</f>
        <v>19.13179908</v>
      </c>
      <c r="GC106" s="104">
        <f t="array" ref="GC106">MAX(INDEX(properties!A$1:CB$87,'Fórmula'!B106,57),INDEX(properties!A$1:CB$87,'Fórmula'!D106,57),INDEX(properties!A$1:CB$87,'Fórmula'!F106,57),INDEX(properties!A$1:CB$87,'Fórmula'!H106,57),INDEX(properties!A$1:CB$87,'Fórmula'!J106,57))</f>
        <v>10.79</v>
      </c>
      <c r="GD106" s="104">
        <f t="array" ref="GD106">MIN(IF(INDEX(properties!A$1:CB$87,'Fórmula'!B106,57)=0,10^6,INDEX(properties!A$1:CB$87,'Fórmula'!B106,57)),IF(INDEX(properties!A$1:CB$87,'Fórmula'!D106,57)=0,10^6,INDEX(properties!A$1:CB$87,'Fórmula'!D106,57)),IF(INDEX(properties!A$1:CB$87,'Fórmula'!F106,57)=0,10^6,INDEX(properties!A$1:CB$87,'Fórmula'!F106,57)),IF(INDEX(properties!A$1:CB$87,'Fórmula'!H106,57)=0,10^6,INDEX(properties!A$1:CB$87,'Fórmula'!H106,57)),IF(INDEX(properties!A$1:CB$87,'Fórmula'!J106,57)=0,10^6,INDEX(properties!A$1:CB$87,'Fórmula'!J106,57)))</f>
        <v>0.22259</v>
      </c>
      <c r="GE106" s="104">
        <f t="shared" si="31"/>
        <v>10.56741</v>
      </c>
      <c r="GF106" s="105">
        <f t="array" ref="GF106">(('Fórmula'!C106)/('Fórmula'!C106+'Fórmula'!E106+'Fórmula'!G106+'Fórmula'!I106+'Fórmula'!K106))*(INDEX(properties!A$1:CB$87,'Fórmula'!B106,60))+(('Fórmula'!E106)/('Fórmula'!C106+'Fórmula'!E106+'Fórmula'!G106+'Fórmula'!I106+'Fórmula'!K106))*(INDEX(properties!A$1:CB$87,'Fórmula'!D106,60))+(('Fórmula'!G106)/('Fórmula'!C106+'Fórmula'!E106+'Fórmula'!G106+'Fórmula'!I106+'Fórmula'!K106))*(INDEX(properties!A$1:CB$87,'Fórmula'!F106,60))+(('Fórmula'!I106)/('Fórmula'!C106+'Fórmula'!E106+'Fórmula'!G106+'Fórmula'!I106+'Fórmula'!K106))*(INDEX(properties!A$1:CB$87,'Fórmula'!H106,60))+(('Fórmula'!K106)/('Fórmula'!C106+'Fórmula'!E106+'Fórmula'!G106+'Fórmula'!I106+'Fórmula'!K106))*(INDEX(properties!A$1:CB$87,'Fórmula'!J106,60))</f>
        <v>50.116044</v>
      </c>
      <c r="GG106" s="105">
        <f t="array" ref="GG106">'Fórmula'!C106*(INDEX(properties!A$1:CB$87,'Fórmula'!B106,60))+'Fórmula'!E106*(INDEX(properties!A$1:CB$87,'Fórmula'!D106,60))+'Fórmula'!G106*(INDEX(properties!A$1:CB$87,'Fórmula'!F106,60))+'Fórmula'!I106*(INDEX(properties!A$1:CB$87,'Fórmula'!H106,60))+'Fórmula'!K106*(INDEX(properties!A$1:CB$87,'Fórmula'!J106,60))</f>
        <v>250.58022</v>
      </c>
      <c r="GH106" s="105">
        <f t="array" ref="GH106">VARP(IF(INDEX(properties!A$1:CB$87,'Fórmula'!B106,60)&lt;&gt;"",INDEX(properties!A$1:CB$87,'Fórmula'!B106,60)),IF(INDEX(properties!A$1:CB$87,'Fórmula'!D106,60)&lt;&gt;"",INDEX(properties!A$1:CB$87,'Fórmula'!D106,60)),IF(INDEX(properties!A$1:CB$87,'Fórmula'!F106,60)&lt;&gt;"",INDEX(properties!A$1:CB$87,'Fórmula'!F106,60)),IF(INDEX(properties!A$1:CB$87,'Fórmula'!H106,60)&lt;&gt;"",INDEX(properties!A$1:CB$87,'Fórmula'!H106,60)),IF(INDEX(properties!A$1:CB$87,'Fórmula'!J106,60)&lt;&gt;"",INDEX(properties!A$1:CB$87,'Fórmula'!J106,60)))</f>
        <v>8759.704245</v>
      </c>
      <c r="GI106" s="105">
        <f t="array" ref="GI106">MAX(INDEX(properties!A$1:CB$87,'Fórmula'!B106,60),INDEX(properties!A$1:CB$87,'Fórmula'!D106,60),INDEX(properties!A$1:CB$87,'Fórmula'!F106,60),INDEX(properties!A$1:CB$87,'Fórmula'!H106,60),INDEX(properties!A$1:CB$87,'Fórmula'!J106,60))</f>
        <v>237</v>
      </c>
      <c r="GJ106" s="105">
        <f t="array" ref="GJ106">MIN(IF(INDEX(properties!A$1:CB$87,'Fórmula'!B106,60)=0,10^6,INDEX(properties!A$1:CB$87,'Fórmula'!B106,60)),IF(INDEX(properties!A$1:CB$87,'Fórmula'!D106,60)=0,10^6,INDEX(properties!A$1:CB$87,'Fórmula'!D106,60)),IF(INDEX(properties!A$1:CB$87,'Fórmula'!F106,60)=0,10^6,INDEX(properties!A$1:CB$87,'Fórmula'!F106,60)),IF(INDEX(properties!A$1:CB$87,'Fórmula'!H106,60)=0,10^6,INDEX(properties!A$1:CB$87,'Fórmula'!H106,60)),IF(INDEX(properties!A$1:CB$87,'Fórmula'!J106,60)=0,10^6,INDEX(properties!A$1:CB$87,'Fórmula'!J106,60)))</f>
        <v>0.02674</v>
      </c>
      <c r="GK106" s="105">
        <f t="shared" si="32"/>
        <v>236.97326</v>
      </c>
      <c r="GL106" s="106">
        <f t="array" ref="GL106">(('Fórmula'!C106)/('Fórmula'!C106+'Fórmula'!E106+'Fórmula'!G106+'Fórmula'!I106+'Fórmula'!K106))*(INDEX(properties!A$1:CB$87,'Fórmula'!B106,62))+(('Fórmula'!E106)/('Fórmula'!C106+'Fórmula'!E106+'Fórmula'!G106+'Fórmula'!I106+'Fórmula'!K106))*(INDEX(properties!A$1:CB$87,'Fórmula'!D106,62))+(('Fórmula'!G106)/('Fórmula'!C106+'Fórmula'!E106+'Fórmula'!G106+'Fórmula'!I106+'Fórmula'!K106))*(INDEX(properties!A$1:CB$87,'Fórmula'!F106,62))+(('Fórmula'!I106)/('Fórmula'!C106+'Fórmula'!E106+'Fórmula'!G106+'Fórmula'!I106+'Fórmula'!K106))*(INDEX(properties!A$1:CB$87,'Fórmula'!H106,62))+(('Fórmula'!K106)/('Fórmula'!C106+'Fórmula'!E106+'Fórmula'!G106+'Fórmula'!I106+'Fórmula'!K106))*(INDEX(properties!A$1:CB$87,'Fórmula'!J106,62))</f>
        <v>3.144</v>
      </c>
      <c r="GM106" s="106">
        <f t="array" ref="GM106">'Fórmula'!C106*(INDEX(properties!A$1:CB$87,'Fórmula'!B106,62))+'Fórmula'!E106*(INDEX(properties!A$1:CB$87,'Fórmula'!D106,62))+'Fórmula'!G106*(INDEX(properties!A$1:CB$87,'Fórmula'!F106,62))+'Fórmula'!I106*(INDEX(properties!A$1:CB$87,'Fórmula'!H106,62))+'Fórmula'!K106*(INDEX(properties!A$1:CB$87,'Fórmula'!J106,62))</f>
        <v>15.72</v>
      </c>
      <c r="GN106" s="106">
        <f t="array" ref="GN106">VARP(IF(INDEX(properties!A$1:CB$87,'Fórmula'!B106,62)&lt;&gt;"",INDEX(properties!A$1:CB$87,'Fórmula'!B106,62)),IF(INDEX(properties!A$1:CB$87,'Fórmula'!D106,62)&lt;&gt;"",INDEX(properties!A$1:CB$87,'Fórmula'!D106,62)),IF(INDEX(properties!A$1:CB$87,'Fórmula'!F106,62)&lt;&gt;"",INDEX(properties!A$1:CB$87,'Fórmula'!F106,62)),IF(INDEX(properties!A$1:CB$87,'Fórmula'!H106,62)&lt;&gt;"",INDEX(properties!A$1:CB$87,'Fórmula'!H106,62)),IF(INDEX(properties!A$1:CB$87,'Fórmula'!J106,62)&lt;&gt;"",INDEX(properties!A$1:CB$87,'Fórmula'!J106,62)))</f>
        <v>3.274264</v>
      </c>
      <c r="GO106" s="106">
        <f t="array" ref="GO106">MAX(INDEX(properties!A$1:CB$87,'Fórmula'!B106,62),INDEX(properties!A$1:CB$87,'Fórmula'!D106,62),INDEX(properties!A$1:CB$87,'Fórmula'!F106,62),INDEX(properties!A$1:CB$87,'Fórmula'!H106,62),INDEX(properties!A$1:CB$87,'Fórmula'!J106,62))</f>
        <v>4.47</v>
      </c>
      <c r="GP106" s="106">
        <f t="array" ref="GP106">MIN(IF(INDEX(properties!A$1:CB$87,'Fórmula'!B106,62)=0,10^6,INDEX(properties!A$1:CB$87,'Fórmula'!B106,62)),IF(INDEX(properties!A$1:CB$87,'Fórmula'!D106,62)=0,10^6,INDEX(properties!A$1:CB$87,'Fórmula'!D106,62)),IF(INDEX(properties!A$1:CB$87,'Fórmula'!F106,62)=0,10^6,INDEX(properties!A$1:CB$87,'Fórmula'!F106,62)),IF(INDEX(properties!A$1:CB$87,'Fórmula'!H106,62)=0,10^6,INDEX(properties!A$1:CB$87,'Fórmula'!H106,62)),IF(INDEX(properties!A$1:CB$87,'Fórmula'!J106,62)=0,10^6,INDEX(properties!A$1:CB$87,'Fórmula'!J106,62)))</f>
        <v>2.62</v>
      </c>
      <c r="GQ106" s="106">
        <f t="shared" si="33"/>
        <v>1.85</v>
      </c>
      <c r="GR106" s="106">
        <f>'Fórmula'!Q106</f>
        <v>160</v>
      </c>
      <c r="GS106" s="107">
        <f>'Fórmula'!P106</f>
        <v>4</v>
      </c>
      <c r="GT106" s="113">
        <f>'Fórmula'!O106</f>
        <v>6.52</v>
      </c>
      <c r="GU106" s="114">
        <f>AVERAGE('Fórmula'!R106/'Fórmula'!S106,'Fórmula'!S106/'Fórmula'!T106,'Fórmula'!T106/'Fórmula'!R106)</f>
        <v>1</v>
      </c>
      <c r="GV106" s="125">
        <f>'Fórmula'!U106</f>
        <v>54.47</v>
      </c>
      <c r="GW106" s="106">
        <f>'Fórmula'!N106</f>
        <v>0.05</v>
      </c>
    </row>
    <row r="107" ht="14.25" customHeight="1">
      <c r="A107" s="99" t="str">
        <f>'Fórmula'!A107</f>
        <v>Sr2MgSi2O7</v>
      </c>
      <c r="B107" s="101">
        <f t="array" ref="B107">(('Fórmula'!C107)/('Fórmula'!C107+'Fórmula'!E107+'Fórmula'!G107+'Fórmula'!I107+'Fórmula'!K107))*(INDEX(properties!A$1:CB$87,'Fórmula'!B107,3))+(('Fórmula'!E107)/('Fórmula'!C107+'Fórmula'!E107+'Fórmula'!G107+'Fórmula'!I107+'Fórmula'!K107))*(INDEX(properties!A$1:CB$87,'Fórmula'!D107,3))+(('Fórmula'!G107)/('Fórmula'!C107+'Fórmula'!E107+'Fórmula'!G107+'Fórmula'!I107+'Fórmula'!K107))*(INDEX(properties!A$1:CB$87,'Fórmula'!F107,3))+(('Fórmula'!I107)/('Fórmula'!C107+'Fórmula'!E107+'Fórmula'!G107+'Fórmula'!I107+'Fórmula'!K107))*(INDEX(properties!A$1:CB$87,'Fórmula'!H107,3))+(('Fórmula'!K107)/('Fórmula'!C107+'Fórmula'!E107+'Fórmula'!G107+'Fórmula'!I107+'Fórmula'!K107))*(INDEX(properties!A$1:CB$87,'Fórmula'!J107,3))</f>
        <v>30.64265</v>
      </c>
      <c r="C107" s="101">
        <f t="array" ref="C107">'Fórmula'!C107*(INDEX(properties!A$1:CB$87,'Fórmula'!B107,3))+'Fórmula'!E107*(INDEX(properties!A$1:CB$87,'Fórmula'!D107,3))+'Fórmula'!G107*(INDEX(properties!A$1:CB$87,'Fórmula'!F107,3))+'Fórmula'!I107*(INDEX(properties!A$1:CB$87,'Fórmula'!H107,3))+'Fórmula'!K107*(INDEX(properties!A$1:CB$87,'Fórmula'!J107,3))</f>
        <v>367.7118</v>
      </c>
      <c r="D107" s="101">
        <f t="array" ref="D107">VARP(IF(INDEX(properties!A$1:CB$87,'Fórmula'!B107,3)&lt;&gt;"",INDEX(properties!A$1:CB$87,'Fórmula'!B107,3)),IF(INDEX(properties!A$1:CB$87,'Fórmula'!D107,3)&lt;&gt;"",INDEX(properties!A$1:CB$87,'Fórmula'!D107,3)),IF(INDEX(properties!A$1:CB$87,'Fórmula'!F107,3)&lt;&gt;"",INDEX(properties!A$1:CB$87,'Fórmula'!F107,3)),IF(INDEX(properties!A$1:CB$87,'Fórmula'!H107,3)&lt;&gt;"",INDEX(properties!A$1:CB$87,'Fórmula'!H107,3)),IF(INDEX(properties!A$1:CB$87,'Fórmula'!J107,3)&lt;&gt;"",INDEX(properties!A$1:CB$87,'Fórmula'!J107,3)))</f>
        <v>888.9911512</v>
      </c>
      <c r="E107" s="101">
        <f t="array" ref="E107">MAX(INDEX(properties!A$1:CB$87,'Fórmula'!B107,3),INDEX(properties!A$1:CB$87,'Fórmula'!D107,3),INDEX(properties!A$1:CB$87,'Fórmula'!F107,3),INDEX(properties!A$1:CB$87,'Fórmula'!H107,3),INDEX(properties!A$1:CB$87,'Fórmula'!J107,3))</f>
        <v>87.62</v>
      </c>
      <c r="F107" s="101">
        <f t="array" ref="F107">MIN(IF(INDEX(properties!A$1:CB$87,'Fórmula'!B107,3)=0,10^6,INDEX(properties!A$1:CB$87,'Fórmula'!B107,3)),IF(INDEX(properties!A$1:CB$87,'Fórmula'!D107,3)=0,10^6,INDEX(properties!A$1:CB$87,'Fórmula'!D107,3)),IF(INDEX(properties!A$1:CB$87,'Fórmula'!F107,3)=0,10^6,INDEX(properties!A$1:CB$87,'Fórmula'!F107,3)),IF(INDEX(properties!A$1:CB$87,'Fórmula'!H107,3)=0,10^6,INDEX(properties!A$1:CB$87,'Fórmula'!H107,3)),IF(INDEX(properties!A$1:CB$87,'Fórmula'!J107,3)=0,10^6,INDEX(properties!A$1:CB$87,'Fórmula'!J107,3)))</f>
        <v>15.9994</v>
      </c>
      <c r="G107" s="101">
        <f t="shared" si="1"/>
        <v>71.6206</v>
      </c>
      <c r="H107" s="102">
        <f t="array" ref="H107">(('Fórmula'!C107)/('Fórmula'!C107+'Fórmula'!E107+'Fórmula'!G107+'Fórmula'!I107+'Fórmula'!K107))*(INDEX(properties!A$1:CB$87,'Fórmula'!B107,4))+(('Fórmula'!E107)/('Fórmula'!C107+'Fórmula'!E107+'Fórmula'!G107+'Fórmula'!I107+'Fórmula'!K107))*(INDEX(properties!A$1:CB$87,'Fórmula'!D107,4))+(('Fórmula'!G107)/('Fórmula'!C107+'Fórmula'!E107+'Fórmula'!G107+'Fórmula'!I107+'Fórmula'!K107))*(INDEX(properties!A$1:CB$87,'Fórmula'!F107,4))+(('Fórmula'!I107)/('Fórmula'!C107+'Fórmula'!E107+'Fórmula'!G107+'Fórmula'!I107+'Fórmula'!K107))*(INDEX(properties!A$1:CB$87,'Fórmula'!H107,4))+(('Fórmula'!K107)/('Fórmula'!C107+'Fórmula'!E107+'Fórmula'!G107+'Fórmula'!I107+'Fórmula'!K107))*(INDEX(properties!A$1:CB$87,'Fórmula'!J107,4))</f>
        <v>14.33333333</v>
      </c>
      <c r="I107" s="102">
        <f t="array" ref="I107">'Fórmula'!C107*(INDEX(properties!A$1:CB$87,'Fórmula'!B107,4))+'Fórmula'!E107*(INDEX(properties!A$1:CB$87,'Fórmula'!D107,4))+'Fórmula'!G107*(INDEX(properties!A$1:CB$87,'Fórmula'!F107,4))+'Fórmula'!I107*(INDEX(properties!A$1:CB$87,'Fórmula'!H107,4))+'Fórmula'!K107*(INDEX(properties!A$1:CB$87,'Fórmula'!J107,4))</f>
        <v>172</v>
      </c>
      <c r="J107" s="102">
        <f t="array" ref="J107">VARP(IF(INDEX(properties!A$1:CB$87,'Fórmula'!B107,4)&lt;&gt;"",INDEX(properties!A$1:CB$87,'Fórmula'!B107,4)),IF(INDEX(properties!A$1:CB$87,'Fórmula'!D107,4)&lt;&gt;"",INDEX(properties!A$1:CB$87,'Fórmula'!D107,4)),IF(INDEX(properties!A$1:CB$87,'Fórmula'!F107,4)&lt;&gt;"",INDEX(properties!A$1:CB$87,'Fórmula'!F107,4)),IF(INDEX(properties!A$1:CB$87,'Fórmula'!H107,4)&lt;&gt;"",INDEX(properties!A$1:CB$87,'Fórmula'!H107,4)),IF(INDEX(properties!A$1:CB$87,'Fórmula'!J107,4)&lt;&gt;"",INDEX(properties!A$1:CB$87,'Fórmula'!J107,4)))</f>
        <v>162.24</v>
      </c>
      <c r="K107" s="102">
        <f t="array" ref="K107">MAX(INDEX(properties!A$1:CB$87,'Fórmula'!B107,4),INDEX(properties!A$1:CB$87,'Fórmula'!D107,4),INDEX(properties!A$1:CB$87,'Fórmula'!F107,4),INDEX(properties!A$1:CB$87,'Fórmula'!H107,4),INDEX(properties!A$1:CB$87,'Fórmula'!J107,4))</f>
        <v>38</v>
      </c>
      <c r="L107" s="102">
        <f t="array" ref="L107">MIN(IF(INDEX(properties!A$1:CB$87,'Fórmula'!B107,4)=0,10^6,INDEX(properties!A$1:CB$87,'Fórmula'!B107,4)),IF(INDEX(properties!A$1:CB$87,'Fórmula'!D107,4)=0,10^6,INDEX(properties!A$1:CB$87,'Fórmula'!D107,4)),IF(INDEX(properties!A$1:CB$87,'Fórmula'!F107,4)=0,10^6,INDEX(properties!A$1:CB$87,'Fórmula'!F107,4)),IF(INDEX(properties!A$1:CB$87,'Fórmula'!H107,4)=0,10^6,INDEX(properties!A$1:CB$87,'Fórmula'!H107,4)),IF(INDEX(properties!A$1:CB$87,'Fórmula'!J107,4)=0,10^6,INDEX(properties!A$1:CB$87,'Fórmula'!J107,4)))</f>
        <v>8</v>
      </c>
      <c r="M107" s="102">
        <f t="shared" si="2"/>
        <v>30</v>
      </c>
      <c r="N107" s="103">
        <f t="array" ref="N107">(('Fórmula'!C107)/('Fórmula'!C107+'Fórmula'!E107+'Fórmula'!G107+'Fórmula'!I107+'Fórmula'!K107))*(INDEX(properties!A$1:CB$87,'Fórmula'!B107,5))+(('Fórmula'!E107)/('Fórmula'!C107+'Fórmula'!E107+'Fórmula'!G107+'Fórmula'!I107+'Fórmula'!K107))*(INDEX(properties!A$1:CB$87,'Fórmula'!D107,5))+(('Fórmula'!G107)/('Fórmula'!C107+'Fórmula'!E107+'Fórmula'!G107+'Fórmula'!I107+'Fórmula'!K107))*(INDEX(properties!A$1:CB$87,'Fórmula'!F107,5))+(('Fórmula'!I107)/('Fórmula'!C107+'Fórmula'!E107+'Fórmula'!G107+'Fórmula'!I107+'Fórmula'!K107))*(INDEX(properties!A$1:CB$87,'Fórmula'!H107,5))+(('Fórmula'!K107)/('Fórmula'!C107+'Fórmula'!E107+'Fórmula'!G107+'Fórmula'!I107+'Fórmula'!K107))*(INDEX(properties!A$1:CB$87,'Fórmula'!J107,5))</f>
        <v>2.75</v>
      </c>
      <c r="O107" s="103">
        <f t="array" ref="O107">'Fórmula'!C107*(INDEX(properties!A$1:CB$87,'Fórmula'!B107,5))+'Fórmula'!E107*(INDEX(properties!A$1:CB$87,'Fórmula'!D107,5))+'Fórmula'!G107*(INDEX(properties!A$1:CB$87,'Fórmula'!F107,5))+'Fórmula'!I107*(INDEX(properties!A$1:CB$87,'Fórmula'!H107,5))+'Fórmula'!K107*(INDEX(properties!A$1:CB$87,'Fórmula'!J107,5))</f>
        <v>33</v>
      </c>
      <c r="P107" s="103">
        <f t="array" ref="P107">VARP(IF(INDEX(properties!A$1:CB$87,'Fórmula'!B107,5)&lt;&gt;"",INDEX(properties!A$1:CB$87,'Fórmula'!B107,5)),IF(INDEX(properties!A$1:CB$87,'Fórmula'!D107,5)&lt;&gt;"",INDEX(properties!A$1:CB$87,'Fórmula'!D107,5)),IF(INDEX(properties!A$1:CB$87,'Fórmula'!F107,5)&lt;&gt;"",INDEX(properties!A$1:CB$87,'Fórmula'!F107,5)),IF(INDEX(properties!A$1:CB$87,'Fórmula'!H107,5)&lt;&gt;"",INDEX(properties!A$1:CB$87,'Fórmula'!H107,5)),IF(INDEX(properties!A$1:CB$87,'Fórmula'!J107,5)&lt;&gt;"",INDEX(properties!A$1:CB$87,'Fórmula'!J107,5)))</f>
        <v>2.64</v>
      </c>
      <c r="Q107" s="103">
        <f t="array" ref="Q107">MAX(INDEX(properties!A$1:CB$87,'Fórmula'!B107,5),INDEX(properties!A$1:CB$87,'Fórmula'!D107,5),INDEX(properties!A$1:CB$87,'Fórmula'!F107,5),INDEX(properties!A$1:CB$87,'Fórmula'!H107,5),INDEX(properties!A$1:CB$87,'Fórmula'!J107,5))</f>
        <v>5</v>
      </c>
      <c r="R107" s="103">
        <f t="array" ref="R107">MIN(IF(INDEX(properties!A$1:CB$87,'Fórmula'!B107,5)=0,10^6,INDEX(properties!A$1:CB$87,'Fórmula'!B107,5)),IF(INDEX(properties!A$1:CB$87,'Fórmula'!D107,5)=0,10^6,INDEX(properties!A$1:CB$87,'Fórmula'!D107,5)),IF(INDEX(properties!A$1:CB$87,'Fórmula'!F107,5)=0,10^6,INDEX(properties!A$1:CB$87,'Fórmula'!F107,5)),IF(INDEX(properties!A$1:CB$87,'Fórmula'!H107,5)=0,10^6,INDEX(properties!A$1:CB$87,'Fórmula'!H107,5)),IF(INDEX(properties!A$1:CB$87,'Fórmula'!J107,5)=0,10^6,INDEX(properties!A$1:CB$87,'Fórmula'!J107,5)))</f>
        <v>2</v>
      </c>
      <c r="S107" s="103">
        <f t="shared" si="3"/>
        <v>3</v>
      </c>
      <c r="T107" s="104">
        <f t="array" ref="T107">(('Fórmula'!C107)/('Fórmula'!C107+'Fórmula'!E107+'Fórmula'!G107+'Fórmula'!I107+'Fórmula'!K107))*(INDEX(properties!A$1:CB$87,'Fórmula'!B107,6))+(('Fórmula'!E107)/('Fórmula'!C107+'Fórmula'!E107+'Fórmula'!G107+'Fórmula'!I107+'Fórmula'!K107))*(INDEX(properties!A$1:CB$87,'Fórmula'!D107,6))+(('Fórmula'!G107)/('Fórmula'!C107+'Fórmula'!E107+'Fórmula'!G107+'Fórmula'!I107+'Fórmula'!K107))*(INDEX(properties!A$1:CB$87,'Fórmula'!F107,6))+(('Fórmula'!I107)/('Fórmula'!C107+'Fórmula'!E107+'Fórmula'!G107+'Fórmula'!I107+'Fórmula'!K107))*(INDEX(properties!A$1:CB$87,'Fórmula'!H107,6))+(('Fórmula'!K107)/('Fórmula'!C107+'Fórmula'!E107+'Fórmula'!G107+'Fórmula'!I107+'Fórmula'!K107))*(INDEX(properties!A$1:CB$87,'Fórmula'!J107,6))</f>
        <v>12.16666667</v>
      </c>
      <c r="U107" s="104">
        <f t="array" ref="U107">'Fórmula'!C107*(INDEX(properties!A$1:CB$87,'Fórmula'!B107,6))+'Fórmula'!E107*(INDEX(properties!A$1:CB$87,'Fórmula'!D107,6))+'Fórmula'!G107*(INDEX(properties!A$1:CB$87,'Fórmula'!F107,6))+'Fórmula'!I107*(INDEX(properties!A$1:CB$87,'Fórmula'!H107,6))+'Fórmula'!K107*(INDEX(properties!A$1:CB$87,'Fórmula'!J107,6))</f>
        <v>146</v>
      </c>
      <c r="V107" s="103">
        <f t="array" ref="V107">VARP(IF(INDEX(properties!A$1:CB$87,'Fórmula'!B107,6)&lt;&gt;"",INDEX(properties!A$1:CB$87,'Fórmula'!B107,6)),IF(INDEX(properties!A$1:CB$87,'Fórmula'!D107,6)&lt;&gt;"",INDEX(properties!A$1:CB$87,'Fórmula'!D107,6)),IF(INDEX(properties!A$1:CB$87,'Fórmula'!F107,6)&lt;&gt;"",INDEX(properties!A$1:CB$87,'Fórmula'!F107,6)),IF(INDEX(properties!A$1:CB$87,'Fórmula'!H107,6)&lt;&gt;"",INDEX(properties!A$1:CB$87,'Fórmula'!H107,6)),IF(INDEX(properties!A$1:CB$87,'Fórmula'!J107,6)&lt;&gt;"",INDEX(properties!A$1:CB$87,'Fórmula'!J107,6)))</f>
        <v>45.76</v>
      </c>
      <c r="W107" s="104">
        <f t="array" ref="W107">MAX(INDEX(properties!A$1:CB$87,'Fórmula'!B107,6),INDEX(properties!A$1:CB$87,'Fórmula'!D107,6),INDEX(properties!A$1:CB$87,'Fórmula'!F107,6),INDEX(properties!A$1:CB$87,'Fórmula'!H107,4),INDEX(properties!A$1:CB$87,'Fórmula'!J107,6))</f>
        <v>14</v>
      </c>
      <c r="X107" s="104">
        <f t="array" ref="X107">MIN(IF(INDEX(properties!A$1:CB$87,'Fórmula'!B107,6)=0,10^6,INDEX(properties!A$1:CB$87,'Fórmula'!B107,6)),IF(INDEX(properties!A$1:CB$87,'Fórmula'!D107,6)=0,10^6,INDEX(properties!A$1:CB$87,'Fórmula'!D107,6)),IF(INDEX(properties!A$1:CB$87,'Fórmula'!F107,6)=0,10^6,INDEX(properties!A$1:CB$87,'Fórmula'!F107,6)),IF(INDEX(properties!A$1:CB$87,'Fórmula'!H107,6)=0,10^6,INDEX(properties!A$1:CB$87,'Fórmula'!H107,6)),IF(INDEX(properties!A$1:CB$87,'Fórmula'!J107,6)=0,10^6,INDEX(properties!A$1:CB$87,'Fórmula'!J107,6)))</f>
        <v>2</v>
      </c>
      <c r="Y107" s="104">
        <f t="shared" si="4"/>
        <v>12</v>
      </c>
      <c r="Z107" s="105">
        <f t="array" ref="Z107">(('Fórmula'!C107)/('Fórmula'!C107+'Fórmula'!E107+'Fórmula'!G107+'Fórmula'!I107+'Fórmula'!K107))*(INDEX(properties!A$1:CB$87,'Fórmula'!B107,9))+(('Fórmula'!E107)/('Fórmula'!C107+'Fórmula'!E107+'Fórmula'!G107+'Fórmula'!I107+'Fórmula'!K107))*(INDEX(properties!A$1:CB$87,'Fórmula'!D107,9))+(('Fórmula'!G107)/('Fórmula'!C107+'Fórmula'!E107+'Fórmula'!G107+'Fórmula'!I107+'Fórmula'!K107))*(INDEX(properties!A$1:CB$87,'Fórmula'!F107,9))+(('Fórmula'!I107)/('Fórmula'!C107+'Fórmula'!E107+'Fórmula'!G107+'Fórmula'!I107+'Fórmula'!K107))*(INDEX(properties!A$1:CB$87,'Fórmula'!H107,9))+(('Fórmula'!K107)/('Fórmula'!C107+'Fórmula'!E107+'Fórmula'!G107+'Fórmula'!I107+'Fórmula'!K107))*(INDEX(properties!A$1:CB$87,'Fórmula'!J107,9))</f>
        <v>70.75</v>
      </c>
      <c r="AA107" s="105">
        <f t="array" ref="AA107">'Fórmula'!C107*(INDEX(properties!A$1:CB$87,'Fórmula'!B107,9))+'Fórmula'!E107*(INDEX(properties!A$1:CB$87,'Fórmula'!D107,9))+'Fórmula'!G107*(INDEX(properties!A$1:CB$87,'Fórmula'!F107,9))+'Fórmula'!I107*(INDEX(properties!A$1:CB$87,'Fórmula'!H107,9))+'Fórmula'!K107*(INDEX(properties!A$1:CB$87,'Fórmula'!J107,9))</f>
        <v>849</v>
      </c>
      <c r="AB107" s="105">
        <f t="array" ref="AB107">VARP(IF(INDEX(properties!A$1:CB$87,'Fórmula'!B107,9)&lt;&gt;"",INDEX(properties!A$1:CB$87,'Fórmula'!B107,9)),IF(INDEX(properties!A$1:CB$87,'Fórmula'!D107,9)&lt;&gt;"",INDEX(properties!A$1:CB$87,'Fórmula'!D107,9)),IF(INDEX(properties!A$1:CB$87,'Fórmula'!F107,9)&lt;&gt;"",INDEX(properties!A$1:CB$87,'Fórmula'!F107,9)),IF(INDEX(properties!A$1:CB$87,'Fórmula'!H107,9)&lt;&gt;"",INDEX(properties!A$1:CB$87,'Fórmula'!H107,9)),IF(INDEX(properties!A$1:CB$87,'Fórmula'!J107,9)&lt;&gt;"",INDEX(properties!A$1:CB$87,'Fórmula'!J107,9)))</f>
        <v>1344.96</v>
      </c>
      <c r="AC107" s="105">
        <f t="array" ref="AC107">MAX(INDEX(properties!A$1:CB$87,'Fórmula'!B107,9),INDEX(properties!A$1:CB$87,'Fórmula'!D107,9),INDEX(properties!A$1:CB$87,'Fórmula'!F107,9),INDEX(properties!A$1:CB$87,'Fórmula'!H107,9),INDEX(properties!A$1:CB$87,'Fórmula'!J107,9))</f>
        <v>87</v>
      </c>
      <c r="AD107" s="105">
        <f t="array" ref="AD107">MIN(IF(INDEX(properties!A$1:CB$87,'Fórmula'!B107,9)=0,10^6,INDEX(properties!A$1:CB$87,'Fórmula'!B107,9)),IF(INDEX(properties!A$1:CB$87,'Fórmula'!D107,9)=0,10^6,INDEX(properties!A$1:CB$87,'Fórmula'!D107,9)),IF(INDEX(properties!A$1:CB$87,'Fórmula'!F107,9)=0,10^6,INDEX(properties!A$1:CB$87,'Fórmula'!F107,9)),IF(INDEX(properties!A$1:CB$87,'Fórmula'!H107,9)=0,10^6,INDEX(properties!A$1:CB$87,'Fórmula'!H107,9)),IF(INDEX(properties!A$1:CB$87,'Fórmula'!J107,9)=0,10^6,INDEX(properties!A$1:CB$87,'Fórmula'!J107,9)))</f>
        <v>8</v>
      </c>
      <c r="AE107" s="105">
        <f t="shared" si="5"/>
        <v>79</v>
      </c>
      <c r="AF107" s="106">
        <f t="array" ref="AF107">(('Fórmula'!C107)/('Fórmula'!C107+'Fórmula'!E107+'Fórmula'!G107+'Fórmula'!I107+'Fórmula'!K107))*(INDEX(properties!A$1:CB$87,'Fórmula'!B107,10))+(('Fórmula'!E107)/('Fórmula'!C107+'Fórmula'!E107+'Fórmula'!G107+'Fórmula'!I107+'Fórmula'!K107))*(INDEX(properties!A$1:CB$87,'Fórmula'!D107,10))+(('Fórmula'!G107)/('Fórmula'!C107+'Fórmula'!E107+'Fórmula'!G107+'Fórmula'!I107+'Fórmula'!K107))*(INDEX(properties!A$1:CB$87,'Fórmula'!F107,10))+(('Fórmula'!I107)/('Fórmula'!C107+'Fórmula'!E107+'Fórmula'!G107+'Fórmula'!I107+'Fórmula'!K107))*(INDEX(properties!A$1:CB$87,'Fórmula'!H107,10))+(('Fórmula'!K107)/('Fórmula'!C107+'Fórmula'!E107+'Fórmula'!G107+'Fórmula'!I107+'Fórmula'!K107))*(INDEX(properties!A$1:CB$87,'Fórmula'!J107,10))</f>
        <v>5.583333333</v>
      </c>
      <c r="AG107" s="106">
        <f t="array" ref="AG107">'Fórmula'!C107*(INDEX(properties!A$1:CB$87,'Fórmula'!B107,10))+'Fórmula'!E107*(INDEX(properties!A$1:CB$87,'Fórmula'!D107,10))+'Fórmula'!G107*(INDEX(properties!A$1:CB$87,'Fórmula'!F107,10))+'Fórmula'!I107*(INDEX(properties!A$1:CB$87,'Fórmula'!H107,10))+'Fórmula'!K107*(INDEX(properties!A$1:CB$87,'Fórmula'!J107,10))</f>
        <v>67</v>
      </c>
      <c r="AH107" s="106">
        <f t="array" ref="AH107">VARP(IF(INDEX(properties!A$1:CB$87,'Fórmula'!B107,10)&lt;&gt;"",INDEX(properties!A$1:CB$87,'Fórmula'!B107,10)),IF(INDEX(properties!A$1:CB$87,'Fórmula'!D107,10)&lt;&gt;"",INDEX(properties!A$1:CB$87,'Fórmula'!D107,10)),IF(INDEX(properties!A$1:CB$87,'Fórmula'!F107,10)&lt;&gt;"",INDEX(properties!A$1:CB$87,'Fórmula'!F107,10)),IF(INDEX(properties!A$1:CB$87,'Fórmula'!H107,10)&lt;&gt;"",INDEX(properties!A$1:CB$87,'Fórmula'!H107,10)),IF(INDEX(properties!A$1:CB$87,'Fórmula'!J107,10)&lt;&gt;"",INDEX(properties!A$1:CB$87,'Fórmula'!J107,10)))</f>
        <v>7.04</v>
      </c>
      <c r="AI107" s="106">
        <f t="array" ref="AI107">MAX(INDEX(properties!A$1:CB$87,'Fórmula'!B107,10),INDEX(properties!A$1:CB$87,'Fórmula'!D107,10),INDEX(properties!A$1:CB$87,'Fórmula'!F107,10),INDEX(properties!A$1:CB$87,'Fórmula'!H107,10),INDEX(properties!A$1:CB$87,'Fórmula'!J107,10))</f>
        <v>7</v>
      </c>
      <c r="AJ107" s="106">
        <f t="array" ref="AJ107">MIN(IF(INDEX(properties!A$1:CB$87,'Fórmula'!B107,10)=0,10^6,INDEX(properties!A$1:CB$87,'Fórmula'!B107,10)),IF(INDEX(properties!A$1:CB$87,'Fórmula'!D107,10)=0,10^6,INDEX(properties!A$1:CB$87,'Fórmula'!D107,10)),IF(INDEX(properties!A$1:CB$87,'Fórmula'!F107,10)=0,10^6,INDEX(properties!A$1:CB$87,'Fórmula'!F107,10)),IF(INDEX(properties!A$1:CB$87,'Fórmula'!H107,10)=0,10^6,INDEX(properties!A$1:CB$87,'Fórmula'!H107,10)),IF(INDEX(properties!A$1:CB$87,'Fórmula'!J107,10)=0,10^6,INDEX(properties!A$1:CB$87,'Fórmula'!J107,10)))</f>
        <v>2</v>
      </c>
      <c r="AK107" s="106">
        <f t="shared" si="6"/>
        <v>5</v>
      </c>
      <c r="AL107" s="107">
        <f t="array" ref="AL107">(('Fórmula'!C107)/('Fórmula'!C107+'Fórmula'!E107+'Fórmula'!G107+'Fórmula'!I107+'Fórmula'!K107))*(INDEX(properties!A$1:CB$87,'Fórmula'!B107,11))+(('Fórmula'!E107)/('Fórmula'!C107+'Fórmula'!E107+'Fórmula'!G107+'Fórmula'!I107+'Fórmula'!K107))*(INDEX(properties!A$1:CB$87,'Fórmula'!D107,11))+(('Fórmula'!G107)/('Fórmula'!C107+'Fórmula'!E107+'Fórmula'!G107+'Fórmula'!I107+'Fórmula'!K107))*(INDEX(properties!A$1:CB$87,'Fórmula'!F107,11))+(('Fórmula'!I107)/('Fórmula'!C107+'Fórmula'!E107+'Fórmula'!G107+'Fórmula'!I107+'Fórmula'!K107))*(INDEX(properties!A$1:CB$87,'Fórmula'!H107,11))+(('Fórmula'!K107)/('Fórmula'!C107+'Fórmula'!E107+'Fórmula'!G107+'Fórmula'!I107+'Fórmula'!K107))*(INDEX(properties!A$1:CB$87,'Fórmula'!J107,11))</f>
        <v>2</v>
      </c>
      <c r="AM107" s="107">
        <f t="array" ref="AM107">'Fórmula'!C107*(INDEX(properties!A$1:CB$87,'Fórmula'!B107,11))+'Fórmula'!E107*(INDEX(properties!A$1:CB$87,'Fórmula'!D107,11))+'Fórmula'!G107*(INDEX(properties!A$1:CB$87,'Fórmula'!F107,11))+'Fórmula'!I107*(INDEX(properties!A$1:CB$87,'Fórmula'!H107,11))+'Fórmula'!K107*(INDEX(properties!A$1:CB$87,'Fórmula'!J107,11))</f>
        <v>24</v>
      </c>
      <c r="AN107" s="107">
        <f t="array" ref="AN107">VARP(IF(INDEX(properties!A$1:CB$87,'Fórmula'!B107,11)&lt;&gt;"",INDEX(properties!A$1:CB$87,'Fórmula'!B107,11)),IF(INDEX(properties!A$1:CB$87,'Fórmula'!D107,11)&lt;&gt;"",INDEX(properties!A$1:CB$87,'Fórmula'!D107,11)),IF(INDEX(properties!A$1:CB$87,'Fórmula'!F107,11)&lt;&gt;"",INDEX(properties!A$1:CB$87,'Fórmula'!F107,11)),IF(INDEX(properties!A$1:CB$87,'Fórmula'!H107,11)&lt;&gt;"",INDEX(properties!A$1:CB$87,'Fórmula'!H107,11)),IF(INDEX(properties!A$1:CB$87,'Fórmula'!J107,11)&lt;&gt;"",INDEX(properties!A$1:CB$87,'Fórmula'!J107,11)))</f>
        <v>0.64</v>
      </c>
      <c r="AO107" s="107">
        <f t="array" ref="AO107">MAX(INDEX(properties!A$1:CB$87,'Fórmula'!B107,11),INDEX(properties!A$1:CB$87,'Fórmula'!D107,11),INDEX(properties!A$1:CB$87,'Fórmula'!F107,11),INDEX(properties!A$1:CB$87,'Fórmula'!H107,11),INDEX(properties!A$1:CB$87,'Fórmula'!J107,11))</f>
        <v>2</v>
      </c>
      <c r="AP107" s="107">
        <f t="array" ref="AP107">MIN(IF('Fórmula'!B107=87,10^6,INDEX(properties!A$1:CB$87,'Fórmula'!B107,11)),IF(('Fórmula'!D107)=87,10^6,INDEX(properties!A$1:CB$87,'Fórmula'!D107,11)),IF(('Fórmula'!F107)=87,10^6,INDEX(properties!A$1:CB$87,'Fórmula'!F107,11)),IF(('Fórmula'!H107)=87,10^6,INDEX(properties!A$1:CB$87,'Fórmula'!H107,11)),IF('Fórmula'!J107=87,10^6,INDEX(properties!A$1:CB$87,'Fórmula'!J107,11)))</f>
        <v>2</v>
      </c>
      <c r="AQ107" s="107">
        <f t="shared" si="7"/>
        <v>0</v>
      </c>
      <c r="AR107" s="108">
        <f t="array" ref="AR107">(('Fórmula'!C107)/('Fórmula'!C107+'Fórmula'!E107+'Fórmula'!G107+'Fórmula'!I107+'Fórmula'!K107))*(INDEX(properties!A$1:CB$87,'Fórmula'!B107,12))+(('Fórmula'!E107)/('Fórmula'!C107+'Fórmula'!E107+'Fórmula'!G107+'Fórmula'!I107+'Fórmula'!K107))*(INDEX(properties!A$1:CB$87,'Fórmula'!D107,12))+(('Fórmula'!G107)/('Fórmula'!C107+'Fórmula'!E107+'Fórmula'!G107+'Fórmula'!I107+'Fórmula'!K107))*(INDEX(properties!A$1:CB$87,'Fórmula'!F107,12))+(('Fórmula'!I107)/('Fórmula'!C107+'Fórmula'!E107+'Fórmula'!G107+'Fórmula'!I107+'Fórmula'!K107))*(INDEX(properties!A$1:CB$87,'Fórmula'!H107,12))+(('Fórmula'!K107)/('Fórmula'!C107+'Fórmula'!E107+'Fórmula'!G107+'Fórmula'!I107+'Fórmula'!K107))*(INDEX(properties!A$1:CB$87,'Fórmula'!J107,12))</f>
        <v>2.666666667</v>
      </c>
      <c r="AS107" s="108">
        <f t="array" ref="AS107">'Fórmula'!C107*(INDEX(properties!A$1:CB$87,'Fórmula'!B107,12))+'Fórmula'!E107*(INDEX(properties!A$1:CB$87,'Fórmula'!D107,12))+'Fórmula'!G107*(INDEX(properties!A$1:CB$87,'Fórmula'!F107,12))+'Fórmula'!I107*(INDEX(properties!A$1:CB$87,'Fórmula'!H107,12))+'Fórmula'!K107*(INDEX(properties!A$1:CB$87,'Fórmula'!J107,12))</f>
        <v>32</v>
      </c>
      <c r="AT107" s="108">
        <f t="array" ref="AT107">VARP(IF(INDEX(properties!A$1:CB$87,'Fórmula'!B107,12)&lt;&gt;"",INDEX(properties!A$1:CB$87,'Fórmula'!B107,12)),IF(INDEX(properties!A$1:CB$87,'Fórmula'!D107,12)&lt;&gt;"",INDEX(properties!A$1:CB$87,'Fórmula'!D107,12)),IF(INDEX(properties!A$1:CB$87,'Fórmula'!F107,12)&lt;&gt;"",INDEX(properties!A$1:CB$87,'Fórmula'!F107,12)),IF(INDEX(properties!A$1:CB$87,'Fórmula'!H107,12)&lt;&gt;"",INDEX(properties!A$1:CB$87,'Fórmula'!H107,12)),IF(INDEX(properties!A$1:CB$87,'Fórmula'!J107,12)&lt;&gt;"",INDEX(properties!A$1:CB$87,'Fórmula'!J107,12)))</f>
        <v>2.56</v>
      </c>
      <c r="AU107" s="108">
        <f t="array" ref="AU107">MAX(INDEX(properties!A$1:CB$87,'Fórmula'!B107,12),INDEX(properties!A$1:CB$87,'Fórmula'!D107,12),INDEX(properties!A$1:CB$87,'Fórmula'!F107,12),INDEX(properties!A$1:CB$87,'Fórmula'!H107,12),INDEX(properties!A$1:CB$87,'Fórmula'!J107,12))</f>
        <v>4</v>
      </c>
      <c r="AV107" s="108">
        <f t="array" ref="AV107">MIN(IF('Fórmula'!B107=87,10^6,INDEX(properties!A$1:CB$87,'Fórmula'!B107,12)),IF(('Fórmula'!D107)=87,10^6,INDEX(properties!A$1:CB$87,'Fórmula'!D107,12)),IF(('Fórmula'!F107)=87,10^6,INDEX(properties!A$1:CB$87,'Fórmula'!F107,12)),IF(('Fórmula'!H107)=87,10^6,INDEX(properties!A$1:CB$87,'Fórmula'!H107,12)),IF('Fórmula'!J107=87,10^6,INDEX(properties!A$1:CB$87,'Fórmula'!J107,12)))</f>
        <v>0</v>
      </c>
      <c r="AW107" s="108">
        <f t="shared" si="8"/>
        <v>4</v>
      </c>
      <c r="AX107" s="109">
        <f t="array" ref="AX107">(('Fórmula'!C107)/('Fórmula'!C107+'Fórmula'!E107+'Fórmula'!G107+'Fórmula'!I107+'Fórmula'!K107))*(INDEX(properties!A$1:CB$87,'Fórmula'!B107,13))+(('Fórmula'!E107)/('Fórmula'!C107+'Fórmula'!E107+'Fórmula'!G107+'Fórmula'!I107+'Fórmula'!K107))*(INDEX(properties!A$1:CB$87,'Fórmula'!D107,13))+(('Fórmula'!G107)/('Fórmula'!C107+'Fórmula'!E107+'Fórmula'!G107+'Fórmula'!I107+'Fórmula'!K107))*(INDEX(properties!A$1:CB$87,'Fórmula'!F107,13))+(('Fórmula'!I107)/('Fórmula'!C107+'Fórmula'!E107+'Fórmula'!G107+'Fórmula'!I107+'Fórmula'!K107))*(INDEX(properties!A$1:CB$87,'Fórmula'!H107,13))+(('Fórmula'!K107)/('Fórmula'!C107+'Fórmula'!E107+'Fórmula'!G107+'Fórmula'!I107+'Fórmula'!K107))*(INDEX(properties!A$1:CB$87,'Fórmula'!J107,13))</f>
        <v>0</v>
      </c>
      <c r="AY107" s="109">
        <f t="array" ref="AY107">'Fórmula'!C107*(INDEX(properties!A$1:CB$87,'Fórmula'!B107,13))+'Fórmula'!E107*(INDEX(properties!A$1:CB$87,'Fórmula'!D107,13))+'Fórmula'!G107*(INDEX(properties!A$1:CB$87,'Fórmula'!F107,13))+'Fórmula'!I107*(INDEX(properties!A$1:CB$87,'Fórmula'!H107,13))+'Fórmula'!K107*(INDEX(properties!A$1:CB$87,'Fórmula'!J107,13))</f>
        <v>0</v>
      </c>
      <c r="AZ107" s="109">
        <f t="array" ref="AZ107">VARP(IF(INDEX(properties!A$1:CB$87,'Fórmula'!B107,13)&lt;&gt;"",INDEX(properties!A$1:CB$87,'Fórmula'!B107,13)),IF(INDEX(properties!A$1:CB$87,'Fórmula'!D107,13)&lt;&gt;"",INDEX(properties!A$1:CB$87,'Fórmula'!D107,13)),IF(INDEX(properties!A$1:CB$87,'Fórmula'!F107,13)&lt;&gt;"",INDEX(properties!A$1:CB$87,'Fórmula'!F107,13)),IF(INDEX(properties!A$1:CB$87,'Fórmula'!H107,13)&lt;&gt;"",INDEX(properties!A$1:CB$87,'Fórmula'!H107,13)),IF(INDEX(properties!A$1:CB$87,'Fórmula'!J107,13)&lt;&gt;"",INDEX(properties!A$1:CB$87,'Fórmula'!J107,13)))</f>
        <v>0</v>
      </c>
      <c r="BA107" s="109">
        <f t="array" ref="BA107">MAX(INDEX(properties!A$1:CB$87,'Fórmula'!B107,13),INDEX(properties!A$1:CB$87,'Fórmula'!D107,13),INDEX(properties!A$1:CB$87,'Fórmula'!F107,13),INDEX(properties!A$1:CB$87,'Fórmula'!H107,13),INDEX(properties!A$1:CB$87,'Fórmula'!J107,13))</f>
        <v>0</v>
      </c>
      <c r="BB107" s="109">
        <f t="array" ref="BB107">MIN(IF('Fórmula'!B107=87,10^6,INDEX(properties!A$1:CB$87,'Fórmula'!B107,13)),IF(('Fórmula'!D107)=87,10^6,INDEX(properties!A$1:CB$87,'Fórmula'!D107,13)),IF(('Fórmula'!F107)=87,10^6,INDEX(properties!A$1:CB$87,'Fórmula'!F107,13)),IF(('Fórmula'!H107)=87,10^6,INDEX(properties!A$1:CB$87,'Fórmula'!H107,13)),IF('Fórmula'!J107=87,10^6,INDEX(properties!A$1:CB$87,'Fórmula'!J107,13)))</f>
        <v>0</v>
      </c>
      <c r="BC107" s="109">
        <f t="shared" si="9"/>
        <v>0</v>
      </c>
      <c r="BD107" s="110">
        <f t="array" ref="BD107">(('Fórmula'!C107)/('Fórmula'!C107+'Fórmula'!E107+'Fórmula'!G107+'Fórmula'!I107+'Fórmula'!K107))*(INDEX(properties!A$1:CB$87,'Fórmula'!B107,14))+(('Fórmula'!E107)/('Fórmula'!C107+'Fórmula'!E107+'Fórmula'!G107+'Fórmula'!I107+'Fórmula'!K107))*(INDEX(properties!A$1:CB$87,'Fórmula'!D107,14))+(('Fórmula'!G107)/('Fórmula'!C107+'Fórmula'!E107+'Fórmula'!G107+'Fórmula'!I107+'Fórmula'!K107))*(INDEX(properties!A$1:CB$87,'Fórmula'!F107,14))+(('Fórmula'!I107)/('Fórmula'!C107+'Fórmula'!E107+'Fórmula'!G107+'Fórmula'!I107+'Fórmula'!K107))*(INDEX(properties!A$1:CB$87,'Fórmula'!H107,14))+(('Fórmula'!K107)/('Fórmula'!C107+'Fórmula'!E107+'Fórmula'!G107+'Fórmula'!I107+'Fórmula'!K107))*(INDEX(properties!A$1:CB$87,'Fórmula'!J107,14))</f>
        <v>0</v>
      </c>
      <c r="BE107" s="110">
        <f t="array" ref="BE107">'Fórmula'!C107*(INDEX(properties!A$1:CB$87,'Fórmula'!B107,14))+'Fórmula'!E107*(INDEX(properties!A$1:CB$87,'Fórmula'!D107,14))+'Fórmula'!G107*(INDEX(properties!A$1:CB$87,'Fórmula'!F107,14))+'Fórmula'!I107*(INDEX(properties!A$1:CB$87,'Fórmula'!H107,14))+'Fórmula'!K107*(INDEX(properties!A$1:CB$87,'Fórmula'!J107,14))</f>
        <v>0</v>
      </c>
      <c r="BF107" s="110">
        <f t="array" ref="BF107">VARP(IF(INDEX(properties!A$1:CB$87,'Fórmula'!B107,14)&lt;&gt;"",INDEX(properties!A$1:CB$87,'Fórmula'!B107,14)),IF(INDEX(properties!A$1:CB$87,'Fórmula'!D107,14)&lt;&gt;"",INDEX(properties!A$1:CB$87,'Fórmula'!D107,14)),IF(INDEX(properties!A$1:CB$87,'Fórmula'!F107,14)&lt;&gt;"",INDEX(properties!A$1:CB$87,'Fórmula'!F107,14)),IF(INDEX(properties!A$1:CB$87,'Fórmula'!H107,14)&lt;&gt;"",INDEX(properties!A$1:CB$87,'Fórmula'!H107,14)),IF(INDEX(properties!A$1:CB$87,'Fórmula'!J107,14)&lt;&gt;"",INDEX(properties!A$1:CB$87,'Fórmula'!J107,14)))</f>
        <v>0</v>
      </c>
      <c r="BG107" s="110">
        <f t="array" ref="BG107">MAX(INDEX(properties!A$1:CB$87,'Fórmula'!B107,14),INDEX(properties!A$1:CB$87,'Fórmula'!D107,14),INDEX(properties!A$1:CB$87,'Fórmula'!F107,14),INDEX(properties!A$1:CB$87,'Fórmula'!H107,14),INDEX(properties!A$1:CB$87,'Fórmula'!J107,14))</f>
        <v>0</v>
      </c>
      <c r="BH107" s="110">
        <f t="array" ref="BH107">MIN(IF('Fórmula'!B107=87,10^6,INDEX(properties!A$1:CB$87,'Fórmula'!B107,14)),IF(('Fórmula'!D107)=87,10^6,INDEX(properties!A$1:CB$87,'Fórmula'!D107,14)),IF(('Fórmula'!F107)=87,10^6,INDEX(properties!A$1:CB$87,'Fórmula'!F107,14)),IF(('Fórmula'!H107)=87,10^6,INDEX(properties!A$1:CB$87,'Fórmula'!H107,14)),IF('Fórmula'!J107=87,10^6,INDEX(properties!A$1:CB$87,'Fórmula'!J107,14)))</f>
        <v>0</v>
      </c>
      <c r="BI107" s="110">
        <f t="shared" si="10"/>
        <v>0</v>
      </c>
      <c r="BJ107" s="111">
        <f t="array" ref="BJ107">(('Fórmula'!C107)/('Fórmula'!C107+'Fórmula'!E107+'Fórmula'!G107+'Fórmula'!I107+'Fórmula'!K107))*(INDEX(properties!A$1:CB$87,'Fórmula'!B107,19))+(('Fórmula'!E107)/('Fórmula'!C107+'Fórmula'!E107+'Fórmula'!G107+'Fórmula'!I107+'Fórmula'!K107))*(INDEX(properties!A$1:CB$87,'Fórmula'!D107,19))+(('Fórmula'!G107)/('Fórmula'!C107+'Fórmula'!E107+'Fórmula'!G107+'Fórmula'!I107+'Fórmula'!K107))*(INDEX(properties!A$1:CB$87,'Fórmula'!F107,19))+(('Fórmula'!I107)/('Fórmula'!C107+'Fórmula'!E107+'Fórmula'!G107+'Fórmula'!I107+'Fórmula'!K107))*(INDEX(properties!A$1:CB$87,'Fórmula'!H107,19))+(('Fórmula'!K107)/('Fórmula'!C107+'Fórmula'!E107+'Fórmula'!G107+'Fórmula'!I107+'Fórmula'!K107))*(INDEX(properties!A$1:CB$87,'Fórmula'!J107,19))</f>
        <v>4.666666667</v>
      </c>
      <c r="BK107" s="111">
        <f t="array" ref="BK107">'Fórmula'!C107*(INDEX(properties!A$1:CB$87,'Fórmula'!B107,19))+'Fórmula'!E107*(INDEX(properties!A$1:CB$87,'Fórmula'!D107,19))+'Fórmula'!G107*(INDEX(properties!A$1:CB$87,'Fórmula'!F107,19))+'Fórmula'!I107*(INDEX(properties!A$1:CB$87,'Fórmula'!H107,19))+'Fórmula'!K107*(INDEX(properties!A$1:CB$87,'Fórmula'!J107,19))</f>
        <v>56</v>
      </c>
      <c r="BL107" s="111">
        <f t="array" ref="BL107">VARP(IF(INDEX(properties!A$1:CB$87,'Fórmula'!B107,19)&lt;&gt;"",INDEX(properties!A$1:CB$87,'Fórmula'!B107,19)),IF(INDEX(properties!A$1:CB$87,'Fórmula'!D107,19)&lt;&gt;"",INDEX(properties!A$1:CB$87,'Fórmula'!D107,19)),IF(INDEX(properties!A$1:CB$87,'Fórmula'!F107,19)&lt;&gt;"",INDEX(properties!A$1:CB$87,'Fórmula'!F107,19)),IF(INDEX(properties!A$1:CB$87,'Fórmula'!H107,19)&lt;&gt;"",INDEX(properties!A$1:CB$87,'Fórmula'!H107,19)),IF(INDEX(properties!A$1:CB$87,'Fórmula'!J107,19)&lt;&gt;"",INDEX(properties!A$1:CB$87,'Fórmula'!J107,19)))</f>
        <v>4.16</v>
      </c>
      <c r="BM107" s="111">
        <f t="array" ref="BM107">MAX(INDEX(properties!A$1:CB$87,'Fórmula'!B107,19),INDEX(properties!A$1:CB$87,'Fórmula'!D107,19),INDEX(properties!A$1:CB$87,'Fórmula'!F107,19),INDEX(properties!A$1:CB$87,'Fórmula'!H107,19),INDEX(properties!A$1:CB$87,'Fórmula'!J107,19))</f>
        <v>6</v>
      </c>
      <c r="BN107" s="111">
        <f t="array" ref="BN107">MIN(IF(INDEX(properties!A$1:CB$87,'Fórmula'!B107,19)=0,10^6,INDEX(properties!A$1:CB$87,'Fórmula'!B107,19)),IF(INDEX(properties!A$1:CB$87,'Fórmula'!D107,19)=0,10^6,INDEX(properties!A$1:CB$87,'Fórmula'!D107,19)),IF(INDEX(properties!A$1:CB$87,'Fórmula'!F107,19)=0,10^6,INDEX(properties!A$1:CB$87,'Fórmula'!F107,19)),IF(INDEX(properties!A$1:CB$87,'Fórmula'!H107,19)=0,10^6,INDEX(properties!A$1:CB$87,'Fórmula'!H107,19)),IF(INDEX(properties!A$1:CB$87,'Fórmula'!J107,19)=0,10^6,INDEX(properties!A$1:CB$87,'Fórmula'!J107,19)))</f>
        <v>2</v>
      </c>
      <c r="BO107" s="111">
        <f t="shared" si="11"/>
        <v>4</v>
      </c>
      <c r="BP107" s="112">
        <f t="array" ref="BP107">(('Fórmula'!C107)/('Fórmula'!C107+'Fórmula'!E107+'Fórmula'!G107+'Fórmula'!I107+'Fórmula'!K107))*(INDEX(properties!A$1:CB$87,'Fórmula'!B107,20))+(('Fórmula'!E107)/('Fórmula'!C107+'Fórmula'!E107+'Fórmula'!G107+'Fórmula'!I107+'Fórmula'!K107))*(INDEX(properties!A$1:CB$87,'Fórmula'!D107,20))+(('Fórmula'!G107)/('Fórmula'!C107+'Fórmula'!E107+'Fórmula'!G107+'Fórmula'!I107+'Fórmula'!K107))*(INDEX(properties!A$1:CB$87,'Fórmula'!F107,20))+(('Fórmula'!I107)/('Fórmula'!C107+'Fórmula'!E107+'Fórmula'!G107+'Fórmula'!I107+'Fórmula'!K107))*(INDEX(properties!A$1:CB$87,'Fórmula'!H107,20))+(('Fórmula'!K107)/('Fórmula'!C107+'Fórmula'!E107+'Fórmula'!G107+'Fórmula'!I107+'Fórmula'!K107))*(INDEX(properties!A$1:CB$87,'Fórmula'!J107,20))</f>
        <v>4.666666667</v>
      </c>
      <c r="BQ107" s="112">
        <f t="array" ref="BQ107">'Fórmula'!C107*(INDEX(properties!A$1:CB$87,'Fórmula'!B107,20))+'Fórmula'!E107*(INDEX(properties!A$1:CB$87,'Fórmula'!D107,20))+'Fórmula'!G107*(INDEX(properties!A$1:CB$87,'Fórmula'!F107,20))+'Fórmula'!I107*(INDEX(properties!A$1:CB$87,'Fórmula'!H107,20))+'Fórmula'!K107*(INDEX(properties!A$1:CB$87,'Fórmula'!J107,20))</f>
        <v>56</v>
      </c>
      <c r="BR107" s="112">
        <f t="array" ref="BR107">VARP(IF(INDEX(properties!A$1:CB$87,'Fórmula'!B107,20)&lt;&gt;"",INDEX(properties!A$1:CB$87,'Fórmula'!B107,20)),IF(INDEX(properties!A$1:CB$87,'Fórmula'!D107,20)&lt;&gt;"",INDEX(properties!A$1:CB$87,'Fórmula'!D107,20)),IF(INDEX(properties!A$1:CB$87,'Fórmula'!F107,20)&lt;&gt;"",INDEX(properties!A$1:CB$87,'Fórmula'!F107,20)),IF(INDEX(properties!A$1:CB$87,'Fórmula'!H107,20)&lt;&gt;"",INDEX(properties!A$1:CB$87,'Fórmula'!H107,20)),IF(INDEX(properties!A$1:CB$87,'Fórmula'!J107,20)&lt;&gt;"",INDEX(properties!A$1:CB$87,'Fórmula'!J107,20)))</f>
        <v>4.16</v>
      </c>
      <c r="BS107" s="112">
        <f t="array" ref="BS107">MAX(INDEX(properties!A$1:CB$87,'Fórmula'!B107,20),INDEX(properties!A$1:CB$87,'Fórmula'!D107,20),INDEX(properties!A$1:CB$87,'Fórmula'!F107,20),INDEX(properties!A$1:CB$87,'Fórmula'!H107,20),INDEX(properties!A$1:CB$87,'Fórmula'!J107,20))</f>
        <v>6</v>
      </c>
      <c r="BT107" s="112">
        <f t="array" ref="BT107">MIN(IF(INDEX(properties!A$1:CB$87,'Fórmula'!B107,20)=0,10^6,INDEX(properties!A$1:CB$87,'Fórmula'!B107,20)),IF(INDEX(properties!A$1:CB$87,'Fórmula'!D107,20)=0,10^6,INDEX(properties!A$1:CB$87,'Fórmula'!D107,20)),IF(INDEX(properties!A$1:CB$87,'Fórmula'!F107,20)=0,10^6,INDEX(properties!A$1:CB$87,'Fórmula'!F107,20)),IF(INDEX(properties!A$1:CB$87,'Fórmula'!H107,20)=0,10^6,INDEX(properties!A$1:CB$87,'Fórmula'!H107,20)),IF(INDEX(properties!A$1:CB$87,'Fórmula'!J107,20)=0,10^6,INDEX(properties!A$1:CB$87,'Fórmula'!J107,20)))</f>
        <v>2</v>
      </c>
      <c r="BU107" s="112">
        <f t="shared" si="12"/>
        <v>4</v>
      </c>
      <c r="BV107" s="113">
        <f t="array" ref="BV107">(('Fórmula'!C107)/('Fórmula'!C107+'Fórmula'!E107+'Fórmula'!G107+'Fórmula'!I107+'Fórmula'!K107))*(INDEX(properties!A$1:CB$87,'Fórmula'!B107,21))+(('Fórmula'!E107)/('Fórmula'!C107+'Fórmula'!E107+'Fórmula'!G107+'Fórmula'!I107+'Fórmula'!K107))*(INDEX(properties!A$1:CB$87,'Fórmula'!D107,21))+(('Fórmula'!G107)/('Fórmula'!C107+'Fórmula'!E107+'Fórmula'!G107+'Fórmula'!I107+'Fórmula'!K107))*(INDEX(properties!A$1:CB$87,'Fórmula'!F107,21))+(('Fórmula'!I107)/('Fórmula'!C107+'Fórmula'!E107+'Fórmula'!G107+'Fórmula'!I107+'Fórmula'!K107))*(INDEX(properties!A$1:CB$87,'Fórmula'!H107,21))+(('Fórmula'!K107)/('Fórmula'!C107+'Fórmula'!E107+'Fórmula'!G107+'Fórmula'!I107+'Fórmula'!K107))*(INDEX(properties!A$1:CB$87,'Fórmula'!J107,21))</f>
        <v>4.666666667</v>
      </c>
      <c r="BW107" s="113">
        <f t="array" ref="BW107">'Fórmula'!C107*(INDEX(properties!A$1:CB$87,'Fórmula'!B107,21))+'Fórmula'!E107*(INDEX(properties!A$1:CB$87,'Fórmula'!D107,21))+'Fórmula'!G107*(INDEX(properties!A$1:CB$87,'Fórmula'!F107,21))+'Fórmula'!I107*(INDEX(properties!A$1:CB$87,'Fórmula'!H107,21))+'Fórmula'!K107*(INDEX(properties!A$1:CB$87,'Fórmula'!J107,21))</f>
        <v>56</v>
      </c>
      <c r="BX107" s="113">
        <f t="array" ref="BX107">VARP(IF(INDEX(properties!A$1:CB$87,'Fórmula'!B107,21)&lt;&gt;"",INDEX(properties!A$1:CB$87,'Fórmula'!B107,21)),IF(INDEX(properties!A$1:CB$87,'Fórmula'!D107,21)&lt;&gt;"",INDEX(properties!A$1:CB$87,'Fórmula'!D107,21)),IF(INDEX(properties!A$1:CB$87,'Fórmula'!F107,21)&lt;&gt;"",INDEX(properties!A$1:CB$87,'Fórmula'!F107,21)),IF(INDEX(properties!A$1:CB$87,'Fórmula'!H107,21)&lt;&gt;"",INDEX(properties!A$1:CB$87,'Fórmula'!H107,21)),IF(INDEX(properties!A$1:CB$87,'Fórmula'!J107,21)&lt;&gt;"",INDEX(properties!A$1:CB$87,'Fórmula'!J107,21)))</f>
        <v>4.16</v>
      </c>
      <c r="BY107" s="113">
        <f t="array" ref="BY107">MAX(INDEX(properties!A$1:CB$87,'Fórmula'!B107,21),INDEX(properties!A$1:CB$87,'Fórmula'!D107,21),INDEX(properties!A$1:CB$87,'Fórmula'!F107,21),INDEX(properties!A$1:CB$87,'Fórmula'!H107,21),INDEX(properties!A$1:CB$87,'Fórmula'!J107,21))</f>
        <v>6</v>
      </c>
      <c r="BZ107" s="113">
        <f t="array" ref="BZ107">MIN(IF(INDEX(properties!A$1:CB$87,'Fórmula'!B107,21)=0,10^6,INDEX(properties!A$1:CB$87,'Fórmula'!B107,21)),IF(INDEX(properties!A$1:CB$87,'Fórmula'!D107,21)=0,10^6,INDEX(properties!A$1:CB$87,'Fórmula'!D107,21)),IF(INDEX(properties!A$1:CB$87,'Fórmula'!F107,21)=0,10^6,INDEX(properties!A$1:CB$87,'Fórmula'!F107,21)),IF(INDEX(properties!A$1:CB$87,'Fórmula'!H107,21)=0,10^6,INDEX(properties!A$1:CB$87,'Fórmula'!H107,21)),IF(INDEX(properties!A$1:CB$87,'Fórmula'!J107,21)=0,10^6,INDEX(properties!A$1:CB$87,'Fórmula'!J107,21)))</f>
        <v>2</v>
      </c>
      <c r="CA107" s="113">
        <f t="shared" si="13"/>
        <v>4</v>
      </c>
      <c r="CB107" s="114">
        <f t="array" ref="CB107">(('Fórmula'!C107)/('Fórmula'!C107+'Fórmula'!E107+'Fórmula'!G107+'Fórmula'!I107+'Fórmula'!K107))*(INDEX(properties!A$1:CB$87,'Fórmula'!B107,23))+(('Fórmula'!E107)/('Fórmula'!C107+'Fórmula'!E107+'Fórmula'!G107+'Fórmula'!I107+'Fórmula'!K107))*(INDEX(properties!A$1:CB$87,'Fórmula'!D107,23))+(('Fórmula'!G107)/('Fórmula'!C107+'Fórmula'!E107+'Fórmula'!G107+'Fórmula'!I107+'Fórmula'!K107))*(INDEX(properties!A$1:CB$87,'Fórmula'!F107,23))+(('Fórmula'!I107)/('Fórmula'!C107+'Fórmula'!E107+'Fórmula'!G107+'Fórmula'!I107+'Fórmula'!K107))*(INDEX(properties!A$1:CB$87,'Fórmula'!H107,23))+(('Fórmula'!K107)/('Fórmula'!C107+'Fórmula'!E107+'Fórmula'!G107+'Fórmula'!I107+'Fórmula'!K107))*(INDEX(properties!A$1:CB$87,'Fórmula'!J107,23))</f>
        <v>1.166666667</v>
      </c>
      <c r="CC107" s="114">
        <f t="array" ref="CC107">'Fórmula'!C107*(INDEX(properties!A$1:CB$87,'Fórmula'!B107,23))+'Fórmula'!E107*(INDEX(properties!A$1:CB$87,'Fórmula'!D107,23))+'Fórmula'!G107*(INDEX(properties!A$1:CB$87,'Fórmula'!F107,23))+'Fórmula'!I107*(INDEX(properties!A$1:CB$87,'Fórmula'!H107,23))+'Fórmula'!K107*(INDEX(properties!A$1:CB$87,'Fórmula'!J107,23))</f>
        <v>14</v>
      </c>
      <c r="CD107" s="114">
        <f t="array" ref="CD107">VARP(IF(INDEX(properties!A$1:CB$87,'Fórmula'!B107,23)&lt;&gt;"",INDEX(properties!A$1:CB$87,'Fórmula'!B107,23)),IF(INDEX(properties!A$1:CB$87,'Fórmula'!D107,23)&lt;&gt;"",INDEX(properties!A$1:CB$87,'Fórmula'!D107,23)),IF(INDEX(properties!A$1:CB$87,'Fórmula'!F107,23)&lt;&gt;"",INDEX(properties!A$1:CB$87,'Fórmula'!F107,23)),IF(INDEX(properties!A$1:CB$87,'Fórmula'!H107,23)&lt;&gt;"",INDEX(properties!A$1:CB$87,'Fórmula'!H107,23)),IF(INDEX(properties!A$1:CB$87,'Fórmula'!J107,23)&lt;&gt;"",INDEX(properties!A$1:CB$87,'Fórmula'!J107,23)))</f>
        <v>2.24</v>
      </c>
      <c r="CE107" s="114">
        <f t="array" ref="CE107">MAX(INDEX(properties!A$1:CB$87,'Fórmula'!B107,23),INDEX(properties!A$1:CB$87,'Fórmula'!D107,23),INDEX(properties!A$1:CB$87,'Fórmula'!F107,23),INDEX(properties!A$1:CB$87,'Fórmula'!H107,23),INDEX(properties!A$1:CB$87,'Fórmula'!J107,23))</f>
        <v>4</v>
      </c>
      <c r="CF107" s="114">
        <f t="array" ref="CF107">MIN(IF('Fórmula'!B107=87,10^6,INDEX(properties!A$1:CB$87,'Fórmula'!B107,23)),IF(('Fórmula'!D107)=87,10^6,INDEX(properties!A$1:CB$87,'Fórmula'!D107,23)),IF(('Fórmula'!F107)=87,10^6,INDEX(properties!A$1:CB$87,'Fórmula'!F107,23)),IF(('Fórmula'!H107)=87,10^6,INDEX(properties!A$1:CB$87,'Fórmula'!H107,23)),IF('Fórmula'!J107=87,10^6,INDEX(properties!A$1:CB$87,'Fórmula'!J107,23)))</f>
        <v>0</v>
      </c>
      <c r="CG107" s="114">
        <f t="shared" si="14"/>
        <v>4</v>
      </c>
      <c r="CH107" s="115">
        <f t="array" ref="CH107">(('Fórmula'!C107)/('Fórmula'!C107+'Fórmula'!E107+'Fórmula'!G107+'Fórmula'!I107+'Fórmula'!K107))*(INDEX(properties!A$1:CB$87,'Fórmula'!B107,26))+(('Fórmula'!E107)/('Fórmula'!C107+'Fórmula'!E107+'Fórmula'!G107+'Fórmula'!I107+'Fórmula'!K107))*(INDEX(properties!A$1:CB$87,'Fórmula'!D107,26))+(('Fórmula'!G107)/('Fórmula'!C107+'Fórmula'!E107+'Fórmula'!G107+'Fórmula'!I107+'Fórmula'!K107))*(INDEX(properties!A$1:CB$87,'Fórmula'!F107,26))+(('Fórmula'!I107)/('Fórmula'!C107+'Fórmula'!E107+'Fórmula'!G107+'Fórmula'!I107+'Fórmula'!K107))*(INDEX(properties!A$1:CB$87,'Fórmula'!H107,26))+(('Fórmula'!K107)/('Fórmula'!C107+'Fórmula'!E107+'Fórmula'!G107+'Fórmula'!I107+'Fórmula'!K107))*(INDEX(properties!A$1:CB$87,'Fórmula'!J107,26))</f>
        <v>10.88884167</v>
      </c>
      <c r="CI107" s="115">
        <f t="array" ref="CI107">'Fórmula'!C107*(INDEX(properties!A$1:CB$87,'Fórmula'!B107,26))+'Fórmula'!E107*(INDEX(properties!A$1:CB$87,'Fórmula'!D107,26))+'Fórmula'!G107*(INDEX(properties!A$1:CB$87,'Fórmula'!F107,26))+'Fórmula'!I107*(INDEX(properties!A$1:CB$87,'Fórmula'!H107,26))+'Fórmula'!K107*(INDEX(properties!A$1:CB$87,'Fórmula'!J107,26))</f>
        <v>130.6661</v>
      </c>
      <c r="CJ107" s="115">
        <f t="array" ref="CJ107">VARP(IF(INDEX(properties!A$1:CB$87,'Fórmula'!B107,26)&lt;&gt;"",INDEX(properties!A$1:CB$87,'Fórmula'!B107,26)),IF(INDEX(properties!A$1:CB$87,'Fórmula'!D107,26)&lt;&gt;"",INDEX(properties!A$1:CB$87,'Fórmula'!D107,26)),IF(INDEX(properties!A$1:CB$87,'Fórmula'!F107,26)&lt;&gt;"",INDEX(properties!A$1:CB$87,'Fórmula'!F107,26)),IF(INDEX(properties!A$1:CB$87,'Fórmula'!H107,26)&lt;&gt;"",INDEX(properties!A$1:CB$87,'Fórmula'!H107,26)),IF(INDEX(properties!A$1:CB$87,'Fórmula'!J107,26)&lt;&gt;"",INDEX(properties!A$1:CB$87,'Fórmula'!J107,26)))</f>
        <v>19.24881224</v>
      </c>
      <c r="CK107" s="116">
        <f t="array" ref="CK107">MAX(INDEX(properties!A$1:CB$87,'Fórmula'!B107,26),INDEX(properties!A$1:CB$87,'Fórmula'!D107,26),INDEX(properties!A$1:CB$87,'Fórmula'!F107,26),INDEX(properties!A$1:CB$87,'Fórmula'!H107,26),INDEX(properties!A$1:CB$87,'Fórmula'!J107,26))</f>
        <v>13.6181</v>
      </c>
      <c r="CL107" s="116">
        <f t="array" ref="CL107">MIN(IF(INDEX(properties!A$1:CB$87,'Fórmula'!B107,26)=0,10^6,INDEX(properties!A$1:CB$87,'Fórmula'!B107,26)),IF(INDEX(properties!A$1:CB$87,'Fórmula'!D107,26)=0,10^6,INDEX(properties!A$1:CB$87,'Fórmula'!D107,26)),IF(INDEX(properties!A$1:CB$87,'Fórmula'!F107,26)=0,10^6,INDEX(properties!A$1:CB$87,'Fórmula'!F107,26)),IF(INDEX(properties!A$1:CB$87,'Fórmula'!H107,26)=0,10^6,INDEX(properties!A$1:CB$87,'Fórmula'!H107,26)),IF(INDEX(properties!A$1:CB$87,'Fórmula'!J107,26)=0,10^6,INDEX(properties!A$1:CB$87,'Fórmula'!J107,26)))</f>
        <v>5.6949</v>
      </c>
      <c r="CM107" s="115">
        <f t="shared" si="15"/>
        <v>7.9232</v>
      </c>
      <c r="CN107" s="117">
        <f t="array" ref="CN107">(('Fórmula'!C107)/('Fórmula'!C107+'Fórmula'!E107+'Fórmula'!G107+'Fórmula'!I107+'Fórmula'!K107))*(INDEX(properties!A$1:CB$87,'Fórmula'!B107,30))+(('Fórmula'!E107)/('Fórmula'!C107+'Fórmula'!E107+'Fórmula'!G107+'Fórmula'!I107+'Fórmula'!K107))*(INDEX(properties!A$1:CB$87,'Fórmula'!D107,30))+(('Fórmula'!G107)/('Fórmula'!C107+'Fórmula'!E107+'Fórmula'!G107+'Fórmula'!I107+'Fórmula'!K107))*(INDEX(properties!A$1:CB$87,'Fórmula'!F107,30))+(('Fórmula'!I107)/('Fórmula'!C107+'Fórmula'!E107+'Fórmula'!G107+'Fórmula'!I107+'Fórmula'!K107))*(INDEX(properties!A$1:CB$87,'Fórmula'!H107,30))+(('Fórmula'!K107)/('Fórmula'!C107+'Fórmula'!E107+'Fórmula'!G107+'Fórmula'!I107+'Fórmula'!K107))*(INDEX(properties!A$1:CB$87,'Fórmula'!J107,30))</f>
        <v>2.590833333</v>
      </c>
      <c r="CO107" s="117">
        <f t="array" ref="CO107">'Fórmula'!C107*(INDEX(properties!A$1:CB$87,'Fórmula'!B107,30))+'Fórmula'!E107*(INDEX(properties!A$1:CB$87,'Fórmula'!D107,30))+'Fórmula'!G107*(INDEX(properties!A$1:CB$87,'Fórmula'!F107,30))+'Fórmula'!I107*(INDEX(properties!A$1:CB$87,'Fórmula'!H107,30))+'Fórmula'!K107*(INDEX(properties!A$1:CB$87,'Fórmula'!J107,30))</f>
        <v>31.09</v>
      </c>
      <c r="CP107" s="117">
        <f t="array" ref="CP107">VARP(IF(INDEX(properties!A$1:CB$87,'Fórmula'!B107,30)&lt;&gt;"",INDEX(properties!A$1:CB$87,'Fórmula'!B107,30)),IF(INDEX(properties!A$1:CB$87,'Fórmula'!D107,30)&lt;&gt;"",INDEX(properties!A$1:CB$87,'Fórmula'!D107,30)),IF(INDEX(properties!A$1:CB$87,'Fórmula'!F107,30)&lt;&gt;"",INDEX(properties!A$1:CB$87,'Fórmula'!F107,30)),IF(INDEX(properties!A$1:CB$87,'Fórmula'!H107,30)&lt;&gt;"",INDEX(properties!A$1:CB$87,'Fórmula'!H107,30)),IF(INDEX(properties!A$1:CB$87,'Fórmula'!J107,30)&lt;&gt;"",INDEX(properties!A$1:CB$87,'Fórmula'!J107,30)))</f>
        <v>1.30204</v>
      </c>
      <c r="CQ107" s="117">
        <f t="array" ref="CQ107">MAX(INDEX(properties!A$1:CB$87,'Fórmula'!B107,30),INDEX(properties!A$1:CB$87,'Fórmula'!D107,30),INDEX(properties!A$1:CB$87,'Fórmula'!F107,30),INDEX(properties!A$1:CB$87,'Fórmula'!H107,30),INDEX(properties!A$1:CB$87,'Fórmula'!J107,30))</f>
        <v>3.44</v>
      </c>
      <c r="CR107" s="117">
        <f t="array" ref="CR107">MIN(IF(INDEX(properties!A$1:CB$87,'Fórmula'!B107,30)=0,10^6,INDEX(properties!A$1:CB$87,'Fórmula'!B107,30)),IF(INDEX(properties!A$1:CB$87,'Fórmula'!D107,30)=0,10^6,INDEX(properties!A$1:CB$87,'Fórmula'!D107,30)),IF(INDEX(properties!A$1:CB$87,'Fórmula'!F107,30)=0,10^6,INDEX(properties!A$1:CB$87,'Fórmula'!F107,30)),IF(INDEX(properties!A$1:CB$87,'Fórmula'!H107,30)=0,10^6,INDEX(properties!A$1:CB$87,'Fórmula'!H107,30)),IF(INDEX(properties!A$1:CB$87,'Fórmula'!J107,30)=0,10^6,INDEX(properties!A$1:CB$87,'Fórmula'!J107,30)))</f>
        <v>0.95</v>
      </c>
      <c r="CS107" s="117">
        <f t="shared" si="16"/>
        <v>2.49</v>
      </c>
      <c r="CT107" s="118">
        <f t="array" ref="CT107">(('Fórmula'!C107)/('Fórmula'!C107+'Fórmula'!E107+'Fórmula'!G107+'Fórmula'!I107+'Fórmula'!K107))*(INDEX(properties!A$1:CB$87,'Fórmula'!B107,31))+(('Fórmula'!E107)/('Fórmula'!C107+'Fórmula'!E107+'Fórmula'!G107+'Fórmula'!I107+'Fórmula'!K107))*(INDEX(properties!A$1:CB$87,'Fórmula'!D107,31))+(('Fórmula'!G107)/('Fórmula'!C107+'Fórmula'!E107+'Fórmula'!G107+'Fórmula'!I107+'Fórmula'!K107))*(INDEX(properties!A$1:CB$87,'Fórmula'!F107,31))+(('Fórmula'!I107)/('Fórmula'!C107+'Fórmula'!E107+'Fórmula'!G107+'Fórmula'!I107+'Fórmula'!K107))*(INDEX(properties!A$1:CB$87,'Fórmula'!H107,31))+(('Fórmula'!K107)/('Fórmula'!C107+'Fórmula'!E107+'Fórmula'!G107+'Fórmula'!I107+'Fórmula'!K107))*(INDEX(properties!A$1:CB$87,'Fórmula'!J107,31))</f>
        <v>2.564166667</v>
      </c>
      <c r="CU107" s="118">
        <f t="array" ref="CU107">'Fórmula'!C107*(INDEX(properties!A$1:CB$87,'Fórmula'!B107,31))+'Fórmula'!E107*(INDEX(properties!A$1:CB$87,'Fórmula'!D107,31))+'Fórmula'!G107*(INDEX(properties!A$1:CB$87,'Fórmula'!F107,31))+'Fórmula'!I107*(INDEX(properties!A$1:CB$87,'Fórmula'!H107,31))+'Fórmula'!K107*(INDEX(properties!A$1:CB$87,'Fórmula'!J107,31))</f>
        <v>30.77</v>
      </c>
      <c r="CV107" s="118">
        <f t="array" ref="CV107">VARP(IF(INDEX(properties!A$1:CB$87,'Fórmula'!B107,31)&lt;&gt;"",INDEX(properties!A$1:CB$87,'Fórmula'!B107,31)),IF(INDEX(properties!A$1:CB$87,'Fórmula'!D107,31)&lt;&gt;"",INDEX(properties!A$1:CB$87,'Fórmula'!D107,31)),IF(INDEX(properties!A$1:CB$87,'Fórmula'!F107,31)&lt;&gt;"",INDEX(properties!A$1:CB$87,'Fórmula'!F107,31)),IF(INDEX(properties!A$1:CB$87,'Fórmula'!H107,31)&lt;&gt;"",INDEX(properties!A$1:CB$87,'Fórmula'!H107,31)),IF(INDEX(properties!A$1:CB$87,'Fórmula'!J107,31)&lt;&gt;"",INDEX(properties!A$1:CB$87,'Fórmula'!J107,31)))</f>
        <v>1.190856</v>
      </c>
      <c r="CW107" s="118">
        <f t="array" ref="CW107">MAX(INDEX(properties!A$1:CB$87,'Fórmula'!B107,31),INDEX(properties!A$1:CB$87,'Fórmula'!D107,31),INDEX(properties!A$1:CB$87,'Fórmula'!F107,31),INDEX(properties!A$1:CB$87,'Fórmula'!H107,31),INDEX(properties!A$1:CB$87,'Fórmula'!J107,31))</f>
        <v>3.32</v>
      </c>
      <c r="CX107" s="118">
        <f t="array" ref="CX107">MIN(IF(INDEX(properties!A$1:CB$87,'Fórmula'!B107,31)=0,10^6,INDEX(properties!A$1:CB$87,'Fórmula'!B107,31)),IF(INDEX(properties!A$1:CB$87,'Fórmula'!D107,31)=0,10^6,INDEX(properties!A$1:CB$87,'Fórmula'!D107,31)),IF(INDEX(properties!A$1:CB$87,'Fórmula'!F107,31)=0,10^6,INDEX(properties!A$1:CB$87,'Fórmula'!F107,31)),IF(INDEX(properties!A$1:CB$87,'Fórmula'!H107,31)=0,10^6,INDEX(properties!A$1:CB$87,'Fórmula'!H107,31)),IF(INDEX(properties!A$1:CB$87,'Fórmula'!J107,31)=0,10^6,INDEX(properties!A$1:CB$87,'Fórmula'!J107,31)))</f>
        <v>1.13</v>
      </c>
      <c r="CY107" s="118">
        <f t="shared" si="17"/>
        <v>2.19</v>
      </c>
      <c r="CZ107" s="119">
        <f t="array" ref="CZ107">(('Fórmula'!C107)/('Fórmula'!C107+'Fórmula'!E107+'Fórmula'!G107+'Fórmula'!I107+'Fórmula'!K107))*(INDEX(properties!A$1:CB$87,'Fórmula'!B107,32))+(('Fórmula'!E107)/('Fórmula'!C107+'Fórmula'!E107+'Fórmula'!G107+'Fórmula'!I107+'Fórmula'!K107))*(INDEX(properties!A$1:CB$87,'Fórmula'!D107,32))+(('Fórmula'!G107)/('Fórmula'!C107+'Fórmula'!E107+'Fórmula'!G107+'Fórmula'!I107+'Fórmula'!K107))*(INDEX(properties!A$1:CB$87,'Fórmula'!F107,32))+(('Fórmula'!I107)/('Fórmula'!C107+'Fórmula'!E107+'Fórmula'!G107+'Fórmula'!I107+'Fórmula'!K107))*(INDEX(properties!A$1:CB$87,'Fórmula'!H107,32))+(('Fórmula'!K107)/('Fórmula'!C107+'Fórmula'!E107+'Fórmula'!G107+'Fórmula'!I107+'Fórmula'!K107))*(INDEX(properties!A$1:CB$87,'Fórmula'!J107,32))</f>
        <v>5.839166667</v>
      </c>
      <c r="DA107" s="119">
        <f t="array" ref="DA107">'Fórmula'!C107*(INDEX(properties!A$1:CB$87,'Fórmula'!B107,32))+'Fórmula'!E107*(INDEX(properties!A$1:CB$87,'Fórmula'!D107,32))+'Fórmula'!G107*(INDEX(properties!A$1:CB$87,'Fórmula'!F107,32))+'Fórmula'!I107*(INDEX(properties!A$1:CB$87,'Fórmula'!H107,32))+'Fórmula'!K107*(INDEX(properties!A$1:CB$87,'Fórmula'!J107,32))</f>
        <v>70.07</v>
      </c>
      <c r="DB107" s="119">
        <f t="array" ref="DB107">VARP(IF(INDEX(properties!A$1:CB$87,'Fórmula'!B107,32)&lt;&gt;"",INDEX(properties!A$1:CB$87,'Fórmula'!B107,32)),IF(INDEX(properties!A$1:CB$87,'Fórmula'!D107,32)&lt;&gt;"",INDEX(properties!A$1:CB$87,'Fórmula'!D107,32)),IF(INDEX(properties!A$1:CB$87,'Fórmula'!F107,32)&lt;&gt;"",INDEX(properties!A$1:CB$87,'Fórmula'!F107,32)),IF(INDEX(properties!A$1:CB$87,'Fórmula'!H107,32)&lt;&gt;"",INDEX(properties!A$1:CB$87,'Fórmula'!H107,32)),IF(INDEX(properties!A$1:CB$87,'Fórmula'!J107,32)&lt;&gt;"",INDEX(properties!A$1:CB$87,'Fórmula'!J107,32)))</f>
        <v>6.486856</v>
      </c>
      <c r="DC107" s="119">
        <f t="array" ref="DC107">MAX(INDEX(properties!A$1:CB$87,'Fórmula'!B107,32),INDEX(properties!A$1:CB$87,'Fórmula'!D107,32),INDEX(properties!A$1:CB$87,'Fórmula'!F107,32),INDEX(properties!A$1:CB$87,'Fórmula'!H107,32),INDEX(properties!A$1:CB$87,'Fórmula'!J107,32))</f>
        <v>7.54</v>
      </c>
      <c r="DD107" s="119">
        <f t="array" ref="DD107">MIN(IF(INDEX(properties!A$1:CB$87,'Fórmula'!B107,32)=0,10^6,INDEX(properties!A$1:CB$87,'Fórmula'!B107,32)),IF(INDEX(properties!A$1:CB$87,'Fórmula'!D107,32)=0,10^6,INDEX(properties!A$1:CB$87,'Fórmula'!D107,32)),IF(INDEX(properties!A$1:CB$87,'Fórmula'!F107,32)=0,10^6,INDEX(properties!A$1:CB$87,'Fórmula'!F107,32)),IF(INDEX(properties!A$1:CB$87,'Fórmula'!H107,32)=0,10^6,INDEX(properties!A$1:CB$87,'Fórmula'!H107,32)),IF(INDEX(properties!A$1:CB$87,'Fórmula'!J107,32)=0,10^6,INDEX(properties!A$1:CB$87,'Fórmula'!J107,32)))</f>
        <v>2</v>
      </c>
      <c r="DE107" s="119">
        <f t="shared" si="18"/>
        <v>5.54</v>
      </c>
      <c r="DF107" s="104">
        <f t="array" ref="DF107">(('Fórmula'!C107)/('Fórmula'!C107+'Fórmula'!E107+'Fórmula'!G107+'Fórmula'!I107+'Fórmula'!K107))*(INDEX(properties!A$1:CB$87,'Fórmula'!B107,34))+(('Fórmula'!E107)/('Fórmula'!C107+'Fórmula'!E107+'Fórmula'!G107+'Fórmula'!I107+'Fórmula'!K107))*(INDEX(properties!A$1:CB$87,'Fórmula'!D107,34))+(('Fórmula'!G107)/('Fórmula'!C107+'Fórmula'!E107+'Fórmula'!G107+'Fórmula'!I107+'Fórmula'!K107))*(INDEX(properties!A$1:CB$87,'Fórmula'!F107,34))+(('Fórmula'!I107)/('Fórmula'!C107+'Fórmula'!E107+'Fórmula'!G107+'Fórmula'!I107+'Fórmula'!K107))*(INDEX(properties!A$1:CB$87,'Fórmula'!H107,34))+(('Fórmula'!K107)/('Fórmula'!C107+'Fórmula'!E107+'Fórmula'!G107+'Fórmula'!I107+'Fórmula'!K107))*(INDEX(properties!A$1:CB$87,'Fórmula'!J107,34))</f>
        <v>2.693416667</v>
      </c>
      <c r="DG107" s="104">
        <f t="array" ref="DG107">'Fórmula'!C107*(INDEX(properties!A$1:CB$87,'Fórmula'!B107,34))+'Fórmula'!E107*(INDEX(properties!A$1:CB$87,'Fórmula'!D107,34))+'Fórmula'!G107*(INDEX(properties!A$1:CB$87,'Fórmula'!F107,34))+'Fórmula'!I107*(INDEX(properties!A$1:CB$87,'Fórmula'!H107,34))+'Fórmula'!K107*(INDEX(properties!A$1:CB$87,'Fórmula'!J107,34))</f>
        <v>32.321</v>
      </c>
      <c r="DH107" s="104">
        <f t="array" ref="DH107">VARP(IF(INDEX(properties!A$1:CB$87,'Fórmula'!B107,34)&lt;&gt;"",INDEX(properties!A$1:CB$87,'Fórmula'!B107,34)),IF(INDEX(properties!A$1:CB$87,'Fórmula'!D107,34)&lt;&gt;"",INDEX(properties!A$1:CB$87,'Fórmula'!D107,34)),IF(INDEX(properties!A$1:CB$87,'Fórmula'!F107,34)&lt;&gt;"",INDEX(properties!A$1:CB$87,'Fórmula'!F107,34)),IF(INDEX(properties!A$1:CB$87,'Fórmula'!H107,34)&lt;&gt;"",INDEX(properties!A$1:CB$87,'Fórmula'!H107,34)),IF(INDEX(properties!A$1:CB$87,'Fórmula'!J107,34)&lt;&gt;"",INDEX(properties!A$1:CB$87,'Fórmula'!J107,34)))</f>
        <v>1.43809384</v>
      </c>
      <c r="DI107" s="104">
        <f t="array" ref="DI107">MAX(INDEX(properties!A$1:CB$87,'Fórmula'!B107,34),INDEX(properties!A$1:CB$87,'Fórmula'!D107,34),INDEX(properties!A$1:CB$87,'Fórmula'!F107,34),INDEX(properties!A$1:CB$87,'Fórmula'!H107,34),INDEX(properties!A$1:CB$87,'Fórmula'!J107,34))</f>
        <v>3.61</v>
      </c>
      <c r="DJ107" s="104">
        <f t="array" ref="DJ107">MIN(IF(INDEX(properties!A$1:CB$87,'Fórmula'!B107,34)=0,10^6,INDEX(properties!A$1:CB$87,'Fórmula'!B107,34)),IF(INDEX(properties!A$1:CB$87,'Fórmula'!D107,34)=0,10^6,INDEX(properties!A$1:CB$87,'Fórmula'!D107,34)),IF(INDEX(properties!A$1:CB$87,'Fórmula'!F107,34)=0,10^6,INDEX(properties!A$1:CB$87,'Fórmula'!F107,34)),IF(INDEX(properties!A$1:CB$87,'Fórmula'!H107,34)=0,10^6,INDEX(properties!A$1:CB$87,'Fórmula'!H107,34)),IF(INDEX(properties!A$1:CB$87,'Fórmula'!J107,34)=0,10^6,INDEX(properties!A$1:CB$87,'Fórmula'!J107,34)))</f>
        <v>0.963</v>
      </c>
      <c r="DK107" s="104">
        <f t="shared" si="19"/>
        <v>2.647</v>
      </c>
      <c r="DL107" s="105">
        <f t="array" ref="DL107">(('Fórmula'!C107)/('Fórmula'!C107+'Fórmula'!E107+'Fórmula'!G107+'Fórmula'!I107+'Fórmula'!K107))*(INDEX(properties!A$1:CB$87,'Fórmula'!B107,37))+(('Fórmula'!E107)/('Fórmula'!C107+'Fórmula'!E107+'Fórmula'!G107+'Fórmula'!I107+'Fórmula'!K107))*(INDEX(properties!A$1:CB$87,'Fórmula'!D107,37))+(('Fórmula'!G107)/('Fórmula'!C107+'Fórmula'!E107+'Fórmula'!G107+'Fórmula'!I107+'Fórmula'!K107))*(INDEX(properties!A$1:CB$87,'Fórmula'!F107,37))+(('Fórmula'!I107)/('Fórmula'!C107+'Fórmula'!E107+'Fórmula'!G107+'Fórmula'!I107+'Fórmula'!K107))*(INDEX(properties!A$1:CB$87,'Fórmula'!H107,37))+(('Fórmula'!K107)/('Fórmula'!C107+'Fórmula'!E107+'Fórmula'!G107+'Fórmula'!I107+'Fórmula'!K107))*(INDEX(properties!A$1:CB$87,'Fórmula'!J107,37))</f>
        <v>2.579166667</v>
      </c>
      <c r="DM107" s="105">
        <f t="array" ref="DM107">'Fórmula'!C107*(INDEX(properties!A$1:CB$87,'Fórmula'!B107,37))+'Fórmula'!E107*(INDEX(properties!A$1:CB$87,'Fórmula'!D107,37))+'Fórmula'!G107*(INDEX(properties!A$1:CB$87,'Fórmula'!F107,37))+'Fórmula'!I107*(INDEX(properties!A$1:CB$87,'Fórmula'!H107,37))+'Fórmula'!K107*(INDEX(properties!A$1:CB$87,'Fórmula'!J107,37))</f>
        <v>30.95</v>
      </c>
      <c r="DN107" s="105">
        <f t="array" ref="DN107">VARP(IF(INDEX(properties!A$1:CB$87,'Fórmula'!B107,37)&lt;&gt;"",INDEX(properties!A$1:CB$87,'Fórmula'!B107,37)),IF(INDEX(properties!A$1:CB$87,'Fórmula'!D107,37)&lt;&gt;"",INDEX(properties!A$1:CB$87,'Fórmula'!D107,37)),IF(INDEX(properties!A$1:CB$87,'Fórmula'!F107,37)&lt;&gt;"",INDEX(properties!A$1:CB$87,'Fórmula'!F107,37)),IF(INDEX(properties!A$1:CB$87,'Fórmula'!H107,37)&lt;&gt;"",INDEX(properties!A$1:CB$87,'Fórmula'!H107,37)),IF(INDEX(properties!A$1:CB$87,'Fórmula'!J107,37)&lt;&gt;"",INDEX(properties!A$1:CB$87,'Fórmula'!J107,37)))</f>
        <v>1.2964</v>
      </c>
      <c r="DO107" s="105">
        <f t="array" ref="DO107">MAX(INDEX(properties!A$1:CB$87,'Fórmula'!B107,37),INDEX(properties!A$1:CB$87,'Fórmula'!D107,37),INDEX(properties!A$1:CB$87,'Fórmula'!F107,37),INDEX(properties!A$1:CB$87,'Fórmula'!H107,37),INDEX(properties!A$1:CB$87,'Fórmula'!J107,37))</f>
        <v>3.45</v>
      </c>
      <c r="DP107" s="105">
        <f t="array" ref="DP107">MIN(IF(INDEX(properties!A$1:CB$87,'Fórmula'!B107,37)=0,10^6,INDEX(properties!A$1:CB$87,'Fórmula'!B107,37)),IF(INDEX(properties!A$1:CB$87,'Fórmula'!D107,37)=0,10^6,INDEX(properties!A$1:CB$87,'Fórmula'!D107,37)),IF(INDEX(properties!A$1:CB$87,'Fórmula'!F107,37)=0,10^6,INDEX(properties!A$1:CB$87,'Fórmula'!F107,37)),IF(INDEX(properties!A$1:CB$87,'Fórmula'!H107,37)=0,10^6,INDEX(properties!A$1:CB$87,'Fórmula'!H107,37)),IF(INDEX(properties!A$1:CB$87,'Fórmula'!J107,37)=0,10^6,INDEX(properties!A$1:CB$87,'Fórmula'!J107,37)))</f>
        <v>1</v>
      </c>
      <c r="DQ107" s="105">
        <f t="shared" si="20"/>
        <v>2.45</v>
      </c>
      <c r="DR107" s="109">
        <f t="array" ref="DR107">(('Fórmula'!C107)/('Fórmula'!C107+'Fórmula'!E107+'Fórmula'!G107+'Fórmula'!I107+'Fórmula'!K107))*(INDEX(properties!A$1:CB$87,'Fórmula'!B107,39))+(('Fórmula'!E107)/('Fórmula'!C107+'Fórmula'!E107+'Fórmula'!G107+'Fórmula'!I107+'Fórmula'!K107))*(INDEX(properties!A$1:CB$87,'Fórmula'!D107,39))+(('Fórmula'!G107)/('Fórmula'!C107+'Fórmula'!E107+'Fórmula'!G107+'Fórmula'!I107+'Fórmula'!K107))*(INDEX(properties!A$1:CB$87,'Fórmula'!F107,39))+(('Fórmula'!I107)/('Fórmula'!C107+'Fórmula'!E107+'Fórmula'!G107+'Fórmula'!I107+'Fórmula'!K107))*(INDEX(properties!A$1:CB$87,'Fórmula'!H107,39))+(('Fórmula'!K107)/('Fórmula'!C107+'Fórmula'!E107+'Fórmula'!G107+'Fórmula'!I107+'Fórmula'!K107))*(INDEX(properties!A$1:CB$87,'Fórmula'!J107,39))</f>
        <v>0.9508333333</v>
      </c>
      <c r="DS107" s="109">
        <f t="array" ref="DS107">'Fórmula'!C107*(INDEX(properties!A$1:CB$87,'Fórmula'!B107,39))+'Fórmula'!E107*(INDEX(properties!A$1:CB$87,'Fórmula'!D107,39))+'Fórmula'!G107*(INDEX(properties!A$1:CB$87,'Fórmula'!F107,39))+'Fórmula'!I107*(INDEX(properties!A$1:CB$87,'Fórmula'!H107,39))+'Fórmula'!K107*(INDEX(properties!A$1:CB$87,'Fórmula'!J107,39))</f>
        <v>11.41</v>
      </c>
      <c r="DT107" s="109">
        <f t="array" ref="DT107">VARP(IF(INDEX(properties!A$1:CB$87,'Fórmula'!B107,39)&lt;&gt;"",INDEX(properties!A$1:CB$87,'Fórmula'!B107,39)),IF(INDEX(properties!A$1:CB$87,'Fórmula'!D107,39)&lt;&gt;"",INDEX(properties!A$1:CB$87,'Fórmula'!D107,39)),IF(INDEX(properties!A$1:CB$87,'Fórmula'!F107,39)&lt;&gt;"",INDEX(properties!A$1:CB$87,'Fórmula'!F107,39)),IF(INDEX(properties!A$1:CB$87,'Fórmula'!H107,39)&lt;&gt;"",INDEX(properties!A$1:CB$87,'Fórmula'!H107,39)),IF(INDEX(properties!A$1:CB$87,'Fórmula'!J107,39)&lt;&gt;"",INDEX(properties!A$1:CB$87,'Fórmula'!J107,39)))</f>
        <v>0.578104</v>
      </c>
      <c r="DU107" s="120">
        <f t="array" ref="DU107">MAX(INDEX(properties!A$1:CB$87,'Fórmula'!B107,39),INDEX(properties!A$1:CB$87,'Fórmula'!D107,39),INDEX(properties!A$1:CB$87,'Fórmula'!F107,39),INDEX(properties!A$1:CB$87,'Fórmula'!H107,39),INDEX(properties!A$1:CB$87,'Fórmula'!J107,39))</f>
        <v>2.19</v>
      </c>
      <c r="DV107" s="120">
        <f t="array" ref="DV107">MIN(IF(INDEX(properties!A$1:CB$87,'Fórmula'!B107,39)=0,10^6,INDEX(properties!A$1:CB$87,'Fórmula'!B107,39)),IF(INDEX(properties!A$1:CB$87,'Fórmula'!D107,39)=0,10^6,INDEX(properties!A$1:CB$87,'Fórmula'!D107,39)),IF(INDEX(properties!A$1:CB$87,'Fórmula'!F107,39)=0,10^6,INDEX(properties!A$1:CB$87,'Fórmula'!F107,39)),IF(INDEX(properties!A$1:CB$87,'Fórmula'!H107,39)=0,10^6,INDEX(properties!A$1:CB$87,'Fórmula'!H107,39)),IF(INDEX(properties!A$1:CB$87,'Fórmula'!J107,39)=0,10^6,INDEX(properties!A$1:CB$87,'Fórmula'!J107,39)))</f>
        <v>0.48</v>
      </c>
      <c r="DW107" s="109">
        <f t="shared" si="21"/>
        <v>1.71</v>
      </c>
      <c r="DX107" s="110">
        <f t="array" ref="DX107">(('Fórmula'!C107)/('Fórmula'!C107+'Fórmula'!E107+'Fórmula'!G107+'Fórmula'!I107+'Fórmula'!K107))*(INDEX(properties!A$1:CB$87,'Fórmula'!B107,40))+(('Fórmula'!E107)/('Fórmula'!C107+'Fórmula'!E107+'Fórmula'!G107+'Fórmula'!I107+'Fórmula'!K107))*(INDEX(properties!A$1:CB$87,'Fórmula'!D107,40))+(('Fórmula'!G107)/('Fórmula'!C107+'Fórmula'!E107+'Fórmula'!G107+'Fórmula'!I107+'Fórmula'!K107))*(INDEX(properties!A$1:CB$87,'Fórmula'!F107,40))+(('Fórmula'!I107)/('Fórmula'!C107+'Fórmula'!E107+'Fórmula'!G107+'Fórmula'!I107+'Fórmula'!K107))*(INDEX(properties!A$1:CB$87,'Fórmula'!H107,40))+(('Fórmula'!K107)/('Fórmula'!C107+'Fórmula'!E107+'Fórmula'!G107+'Fórmula'!I107+'Fórmula'!K107))*(INDEX(properties!A$1:CB$87,'Fórmula'!J107,40))</f>
        <v>1.039166667</v>
      </c>
      <c r="DY107" s="110">
        <f t="array" ref="DY107">'Fórmula'!C107*(INDEX(properties!A$1:CB$87,'Fórmula'!B107,40))+'Fórmula'!E107*(INDEX(properties!A$1:CB$87,'Fórmula'!D107,40))+'Fórmula'!G107*(INDEX(properties!A$1:CB$87,'Fórmula'!F107,40))+'Fórmula'!I107*(INDEX(properties!A$1:CB$87,'Fórmula'!H107,40))+'Fórmula'!K107*(INDEX(properties!A$1:CB$87,'Fórmula'!J107,40))</f>
        <v>12.47</v>
      </c>
      <c r="DZ107" s="110">
        <f t="array" ref="DZ107">VARP(IF(INDEX(properties!A$1:CB$87,'Fórmula'!B107,40)&lt;&gt;"",INDEX(properties!A$1:CB$87,'Fórmula'!B107,40)),IF(INDEX(properties!A$1:CB$87,'Fórmula'!D107,40)&lt;&gt;"",INDEX(properties!A$1:CB$87,'Fórmula'!D107,40)),IF(INDEX(properties!A$1:CB$87,'Fórmula'!F107,40)&lt;&gt;"",INDEX(properties!A$1:CB$87,'Fórmula'!F107,40)),IF(INDEX(properties!A$1:CB$87,'Fórmula'!H107,40)&lt;&gt;"",INDEX(properties!A$1:CB$87,'Fórmula'!H107,40)),IF(INDEX(properties!A$1:CB$87,'Fórmula'!J107,40)&lt;&gt;"",INDEX(properties!A$1:CB$87,'Fórmula'!J107,40)))</f>
        <v>0.404136</v>
      </c>
      <c r="EA107" s="121">
        <f t="array" ref="EA107">MAX(INDEX(properties!A$1:CB$87,'Fórmula'!B107,40),INDEX(properties!A$1:CB$87,'Fórmula'!D107,40),INDEX(properties!A$1:CB$87,'Fórmula'!F107,40),INDEX(properties!A$1:CB$87,'Fórmula'!H107,40),INDEX(properties!A$1:CB$87,'Fórmula'!J107,40))</f>
        <v>1.92</v>
      </c>
      <c r="EB107" s="121">
        <f t="array" ref="EB107">MIN(IF(INDEX(properties!A$1:CB$87,'Fórmula'!B107,40)=0,10^6,INDEX(properties!A$1:CB$87,'Fórmula'!B107,40)),IF(INDEX(properties!A$1:CB$87,'Fórmula'!D107,40)=0,10^6,INDEX(properties!A$1:CB$87,'Fórmula'!D107,40)),IF(INDEX(properties!A$1:CB$87,'Fórmula'!F107,40)=0,10^6,INDEX(properties!A$1:CB$87,'Fórmula'!F107,40)),IF(INDEX(properties!A$1:CB$87,'Fórmula'!H107,40)=0,10^6,INDEX(properties!A$1:CB$87,'Fórmula'!H107,40)),IF(INDEX(properties!A$1:CB$87,'Fórmula'!J107,40)=0,10^6,INDEX(properties!A$1:CB$87,'Fórmula'!J107,40)))</f>
        <v>0.73</v>
      </c>
      <c r="EC107" s="110">
        <f t="shared" si="22"/>
        <v>1.19</v>
      </c>
      <c r="ED107" s="111">
        <f t="array" ref="ED107">(('Fórmula'!C107)/('Fórmula'!C107+'Fórmula'!E107+'Fórmula'!G107+'Fórmula'!I107+'Fórmula'!K107))*(INDEX(properties!A$1:CB$87,'Fórmula'!B107,41))+(('Fórmula'!E107)/('Fórmula'!C107+'Fórmula'!E107+'Fórmula'!G107+'Fórmula'!I107+'Fórmula'!K107))*(INDEX(properties!A$1:CB$87,'Fórmula'!D107,41))+(('Fórmula'!G107)/('Fórmula'!C107+'Fórmula'!E107+'Fórmula'!G107+'Fórmula'!I107+'Fórmula'!K107))*(INDEX(properties!A$1:CB$87,'Fórmula'!F107,41))+(('Fórmula'!I107)/('Fórmula'!C107+'Fórmula'!E107+'Fórmula'!G107+'Fórmula'!I107+'Fórmula'!K107))*(INDEX(properties!A$1:CB$87,'Fórmula'!H107,41))+(('Fórmula'!K107)/('Fórmula'!C107+'Fórmula'!E107+'Fórmula'!G107+'Fórmula'!I107+'Fórmula'!K107))*(INDEX(properties!A$1:CB$87,'Fórmula'!J107,41))</f>
        <v>1.116666667</v>
      </c>
      <c r="EE107" s="111">
        <f t="array" ref="EE107">'Fórmula'!C107*(INDEX(properties!A$1:CB$87,'Fórmula'!B107,41))+'Fórmula'!E107*(INDEX(properties!A$1:CB$87,'Fórmula'!D107,41))+'Fórmula'!G107*(INDEX(properties!A$1:CB$87,'Fórmula'!F107,41))+'Fórmula'!I107*(INDEX(properties!A$1:CB$87,'Fórmula'!H107,41))+'Fórmula'!K107*(INDEX(properties!A$1:CB$87,'Fórmula'!J107,41))</f>
        <v>13.4</v>
      </c>
      <c r="EF107" s="111">
        <f t="array" ref="EF107">VARP(IF(INDEX(properties!A$1:CB$87,'Fórmula'!B107,41)&lt;&gt;"",INDEX(properties!A$1:CB$87,'Fórmula'!B107,41)),IF(INDEX(properties!A$1:CB$87,'Fórmula'!D107,41)&lt;&gt;"",INDEX(properties!A$1:CB$87,'Fórmula'!D107,41)),IF(INDEX(properties!A$1:CB$87,'Fórmula'!F107,41)&lt;&gt;"",INDEX(properties!A$1:CB$87,'Fórmula'!F107,41)),IF(INDEX(properties!A$1:CB$87,'Fórmula'!H107,41)&lt;&gt;"",INDEX(properties!A$1:CB$87,'Fórmula'!H107,41)),IF(INDEX(properties!A$1:CB$87,'Fórmula'!J107,41)&lt;&gt;"",INDEX(properties!A$1:CB$87,'Fórmula'!J107,41)))</f>
        <v>0.238624</v>
      </c>
      <c r="EG107" s="122">
        <f t="array" ref="EG107">MAX(INDEX(properties!A$1:CB$87,'Fórmula'!B107,41),INDEX(properties!A$1:CB$87,'Fórmula'!D107,41),INDEX(properties!A$1:CB$87,'Fórmula'!F107,41),INDEX(properties!A$1:CB$87,'Fórmula'!H107,41),INDEX(properties!A$1:CB$87,'Fórmula'!J107,41))</f>
        <v>1.32</v>
      </c>
      <c r="EH107" s="122">
        <f t="array" ref="EH107">MIN(IF(INDEX(properties!A$1:CB$87,'Fórmula'!B107,41)=0,10^6,INDEX(properties!A$1:CB$87,'Fórmula'!B107,41)),IF(INDEX(properties!A$1:CB$87,'Fórmula'!D107,41)=0,10^6,INDEX(properties!A$1:CB$87,'Fórmula'!D107,41)),IF(INDEX(properties!A$1:CB$87,'Fórmula'!F107,41)=0,10^6,INDEX(properties!A$1:CB$87,'Fórmula'!F107,41)),IF(INDEX(properties!A$1:CB$87,'Fórmula'!H107,41)=0,10^6,INDEX(properties!A$1:CB$87,'Fórmula'!H107,41)),IF(INDEX(properties!A$1:CB$87,'Fórmula'!J107,41)=0,10^6,INDEX(properties!A$1:CB$87,'Fórmula'!J107,41)))</f>
        <v>0.54</v>
      </c>
      <c r="EI107" s="111">
        <f t="shared" si="23"/>
        <v>0.78</v>
      </c>
      <c r="EJ107" s="112">
        <f t="array" ref="EJ107">(('Fórmula'!C107)/('Fórmula'!C107+'Fórmula'!E107+'Fórmula'!G107+'Fórmula'!I107+'Fórmula'!K107))*(INDEX(properties!A$1:CB$87,'Fórmula'!B107,45))+(('Fórmula'!E107)/('Fórmula'!C107+'Fórmula'!E107+'Fórmula'!G107+'Fórmula'!I107+'Fórmula'!K107))*(INDEX(properties!A$1:CB$87,'Fórmula'!D107,45))+(('Fórmula'!G107)/('Fórmula'!C107+'Fórmula'!E107+'Fórmula'!G107+'Fórmula'!I107+'Fórmula'!K107))*(INDEX(properties!A$1:CB$87,'Fórmula'!F107,45))+(('Fórmula'!I107)/('Fórmula'!C107+'Fórmula'!E107+'Fórmula'!G107+'Fórmula'!I107+'Fórmula'!K107))*(INDEX(properties!A$1:CB$87,'Fórmula'!H107,45))+(('Fórmula'!K107)/('Fórmula'!C107+'Fórmula'!E107+'Fórmula'!G107+'Fórmula'!I107+'Fórmula'!K107))*(INDEX(properties!A$1:CB$87,'Fórmula'!J107,45))</f>
        <v>1.215</v>
      </c>
      <c r="EK107" s="112">
        <f t="array" ref="EK107">'Fórmula'!C107*(INDEX(properties!A$1:CB$87,'Fórmula'!B107,45))+'Fórmula'!E107*(INDEX(properties!A$1:CB$87,'Fórmula'!D107,45))+'Fórmula'!G107*(INDEX(properties!A$1:CB$87,'Fórmula'!F107,45))+'Fórmula'!I107*(INDEX(properties!A$1:CB$87,'Fórmula'!H107,45))+'Fórmula'!K107*(INDEX(properties!A$1:CB$87,'Fórmula'!J107,45))</f>
        <v>14.58</v>
      </c>
      <c r="EL107" s="112">
        <f t="array" ref="EL107">VARP(IF(INDEX(properties!A$1:CB$87,'Fórmula'!B107,45)&lt;&gt;"",INDEX(properties!A$1:CB$87,'Fórmula'!B107,45)),IF(INDEX(properties!A$1:CB$87,'Fórmula'!D107,45)&lt;&gt;"",INDEX(properties!A$1:CB$87,'Fórmula'!D107,45)),IF(INDEX(properties!A$1:CB$87,'Fórmula'!F107,45)&lt;&gt;"",INDEX(properties!A$1:CB$87,'Fórmula'!F107,45)),IF(INDEX(properties!A$1:CB$87,'Fórmula'!H107,45)&lt;&gt;"",INDEX(properties!A$1:CB$87,'Fórmula'!H107,45)),IF(INDEX(properties!A$1:CB$87,'Fórmula'!J107,45)&lt;&gt;"",INDEX(properties!A$1:CB$87,'Fórmula'!J107,45)))</f>
        <v>1.298984</v>
      </c>
      <c r="EM107" s="123">
        <f t="array" ref="EM107">MAX(INDEX(properties!A$1:CB$87,'Fórmula'!B107,45),INDEX(properties!A$1:CB$87,'Fórmula'!D107,45),INDEX(properties!A$1:CB$87,'Fórmula'!F107,45),INDEX(properties!A$1:CB$87,'Fórmula'!H107,45),INDEX(properties!A$1:CB$87,'Fórmula'!J107,45))</f>
        <v>3.21</v>
      </c>
      <c r="EN107" s="123">
        <f t="array" ref="EN107">MIN(IF(INDEX(properties!A$1:CB$87,'Fórmula'!B107,45)=0,10^6,INDEX(properties!A$1:CB$87,'Fórmula'!B107,45)),IF(INDEX(properties!A$1:CB$87,'Fórmula'!D107,45)=0,10^6,INDEX(properties!A$1:CB$87,'Fórmula'!D107,45)),IF(INDEX(properties!A$1:CB$87,'Fórmula'!F107,45)=0,10^6,INDEX(properties!A$1:CB$87,'Fórmula'!F107,45)),IF(INDEX(properties!A$1:CB$87,'Fórmula'!H107,45)=0,10^6,INDEX(properties!A$1:CB$87,'Fórmula'!H107,45)),IF(INDEX(properties!A$1:CB$87,'Fórmula'!J107,45)=0,10^6,INDEX(properties!A$1:CB$87,'Fórmula'!J107,45)))</f>
        <v>0.47</v>
      </c>
      <c r="EO107" s="112">
        <f t="shared" si="24"/>
        <v>2.74</v>
      </c>
      <c r="EP107" s="113">
        <f t="array" ref="EP107">(('Fórmula'!C107)/('Fórmula'!C107+'Fórmula'!E107+'Fórmula'!G107+'Fórmula'!I107+'Fórmula'!K107))*(INDEX(properties!A$1:CB$87,'Fórmula'!B107,46))+(('Fórmula'!E107)/('Fórmula'!C107+'Fórmula'!E107+'Fórmula'!G107+'Fórmula'!I107+'Fórmula'!K107))*(INDEX(properties!A$1:CB$87,'Fórmula'!D107,46))+(('Fórmula'!G107)/('Fórmula'!C107+'Fórmula'!E107+'Fórmula'!G107+'Fórmula'!I107+'Fórmula'!K107))*(INDEX(properties!A$1:CB$87,'Fórmula'!F107,46))+(('Fórmula'!I107)/('Fórmula'!C107+'Fórmula'!E107+'Fórmula'!G107+'Fórmula'!I107+'Fórmula'!K107))*(INDEX(properties!A$1:CB$87,'Fórmula'!H107,46))+(('Fórmula'!K107)/('Fórmula'!C107+'Fórmula'!E107+'Fórmula'!G107+'Fórmula'!I107+'Fórmula'!K107))*(INDEX(properties!A$1:CB$87,'Fórmula'!J107,46))</f>
        <v>1.064166667</v>
      </c>
      <c r="EQ107" s="113">
        <f t="array" ref="EQ107">'Fórmula'!C107*(INDEX(properties!A$1:CB$87,'Fórmula'!B107,46))+'Fórmula'!E107*(INDEX(properties!A$1:CB$87,'Fórmula'!D107,46))+'Fórmula'!G107*(INDEX(properties!A$1:CB$87,'Fórmula'!F107,46))+'Fórmula'!I107*(INDEX(properties!A$1:CB$87,'Fórmula'!H107,46))+'Fórmula'!K107*(INDEX(properties!A$1:CB$87,'Fórmula'!J107,46))</f>
        <v>12.77</v>
      </c>
      <c r="ER107" s="113">
        <f t="array" ref="ER107">VARP(IF(INDEX(properties!A$1:CB$87,'Fórmula'!B107,46)&lt;&gt;"",INDEX(properties!A$1:CB$87,'Fórmula'!B107,46)),IF(INDEX(properties!A$1:CB$87,'Fórmula'!D107,46)&lt;&gt;"",INDEX(properties!A$1:CB$87,'Fórmula'!D107,46)),IF(INDEX(properties!A$1:CB$87,'Fórmula'!F107,46)&lt;&gt;"",INDEX(properties!A$1:CB$87,'Fórmula'!F107,46)),IF(INDEX(properties!A$1:CB$87,'Fórmula'!H107,46)&lt;&gt;"",INDEX(properties!A$1:CB$87,'Fórmula'!H107,46)),IF(INDEX(properties!A$1:CB$87,'Fórmula'!J107,46)&lt;&gt;"",INDEX(properties!A$1:CB$87,'Fórmula'!J107,46)))</f>
        <v>0.246656</v>
      </c>
      <c r="ES107" s="124">
        <f t="array" ref="ES107">MAX(INDEX(properties!A$1:CB$87,'Fórmula'!B107,46),INDEX(properties!A$1:CB$87,'Fórmula'!D107,46),INDEX(properties!A$1:CB$87,'Fórmula'!F107,46),INDEX(properties!A$1:CB$87,'Fórmula'!H107,46),INDEX(properties!A$1:CB$87,'Fórmula'!J107,46))</f>
        <v>1.32</v>
      </c>
      <c r="ET107" s="124">
        <f t="array" ref="ET107">MIN(IF(INDEX(properties!A$1:CB$87,'Fórmula'!B107,46)=0,10^6,INDEX(properties!A$1:CB$87,'Fórmula'!B107,46)),IF(INDEX(properties!A$1:CB$87,'Fórmula'!D107,46)=0,10^6,INDEX(properties!A$1:CB$87,'Fórmula'!D107,46)),IF(INDEX(properties!A$1:CB$87,'Fórmula'!F107,46)=0,10^6,INDEX(properties!A$1:CB$87,'Fórmula'!F107,46)),IF(INDEX(properties!A$1:CB$87,'Fórmula'!H107,46)=0,10^6,INDEX(properties!A$1:CB$87,'Fórmula'!H107,46)),IF(INDEX(properties!A$1:CB$87,'Fórmula'!J107,46)=0,10^6,INDEX(properties!A$1:CB$87,'Fórmula'!J107,46)))</f>
        <v>0.4</v>
      </c>
      <c r="EU107" s="113">
        <f t="shared" si="25"/>
        <v>0.92</v>
      </c>
      <c r="EV107" s="114">
        <f t="array" ref="EV107">(('Fórmula'!C107)/('Fórmula'!C107+'Fórmula'!E107+'Fórmula'!G107+'Fórmula'!I107+'Fórmula'!K107))*(INDEX(properties!A$1:CB$87,'Fórmula'!B107,52))+(('Fórmula'!E107)/('Fórmula'!C107+'Fórmula'!E107+'Fórmula'!G107+'Fórmula'!I107+'Fórmula'!K107))*(INDEX(properties!A$1:CB$87,'Fórmula'!D107,52))+(('Fórmula'!G107)/('Fórmula'!C107+'Fórmula'!E107+'Fórmula'!G107+'Fórmula'!I107+'Fórmula'!K107))*(INDEX(properties!A$1:CB$87,'Fórmula'!F107,52))+(('Fórmula'!I107)/('Fórmula'!C107+'Fórmula'!E107+'Fórmula'!G107+'Fórmula'!I107+'Fórmula'!K107))*(INDEX(properties!A$1:CB$87,'Fórmula'!H107,52))+(('Fórmula'!K107)/('Fórmula'!C107+'Fórmula'!E107+'Fórmula'!G107+'Fórmula'!I107+'Fórmula'!K107))*(INDEX(properties!A$1:CB$87,'Fórmula'!J107,52))</f>
        <v>6.845916667</v>
      </c>
      <c r="EW107" s="114">
        <f t="array" ref="EW107">'Fórmula'!C107*(INDEX(properties!A$1:CB$87,'Fórmula'!B107,52))+'Fórmula'!E107*(INDEX(properties!A$1:CB$87,'Fórmula'!D107,52))+'Fórmula'!G107*(INDEX(properties!A$1:CB$87,'Fórmula'!F107,52))+'Fórmula'!I107*(INDEX(properties!A$1:CB$87,'Fórmula'!H107,52))+'Fórmula'!K107*(INDEX(properties!A$1:CB$87,'Fórmula'!J107,52))</f>
        <v>82.151</v>
      </c>
      <c r="EX107" s="114">
        <f t="array" ref="EX107">VARP(IF(INDEX(properties!A$1:CB$87,'Fórmula'!B107,52)&lt;&gt;"",INDEX(properties!A$1:CB$87,'Fórmula'!B107,52)),IF(INDEX(properties!A$1:CB$87,'Fórmula'!D107,52)&lt;&gt;"",INDEX(properties!A$1:CB$87,'Fórmula'!D107,52)),IF(INDEX(properties!A$1:CB$87,'Fórmula'!F107,52)&lt;&gt;"",INDEX(properties!A$1:CB$87,'Fórmula'!F107,52)),IF(INDEX(properties!A$1:CB$87,'Fórmula'!H107,52)&lt;&gt;"",INDEX(properties!A$1:CB$87,'Fórmula'!H107,52)),IF(INDEX(properties!A$1:CB$87,'Fórmula'!J107,52)&lt;&gt;"",INDEX(properties!A$1:CB$87,'Fórmula'!J107,52)))</f>
        <v>101.9522318</v>
      </c>
      <c r="EY107" s="114">
        <f t="array" ref="EY107">MAX(INDEX(properties!A$1:CB$87,'Fórmula'!B107,52),INDEX(properties!A$1:CB$87,'Fórmula'!D107,52),INDEX(properties!A$1:CB$87,'Fórmula'!F107,52),INDEX(properties!A$1:CB$87,'Fórmula'!H107,52),INDEX(properties!A$1:CB$87,'Fórmula'!J107,52))</f>
        <v>27.6</v>
      </c>
      <c r="EZ107" s="114">
        <f t="array" ref="EZ107">MIN(IF(INDEX(properties!A$1:CB$87,'Fórmula'!B107,52)=0,10^6,INDEX(properties!A$1:CB$87,'Fórmula'!B107,52)),IF(INDEX(properties!A$1:CB$87,'Fórmula'!D107,52)=0,10^6,INDEX(properties!A$1:CB$87,'Fórmula'!D107,52)),IF(INDEX(properties!A$1:CB$87,'Fórmula'!F107,52)=0,10^6,INDEX(properties!A$1:CB$87,'Fórmula'!F107,52)),IF(INDEX(properties!A$1:CB$87,'Fórmula'!H107,52)=0,10^6,INDEX(properties!A$1:CB$87,'Fórmula'!H107,52)),IF(INDEX(properties!A$1:CB$87,'Fórmula'!J107,52)=0,10^6,INDEX(properties!A$1:CB$87,'Fórmula'!J107,52)))</f>
        <v>0.793</v>
      </c>
      <c r="FA107" s="114">
        <f t="shared" si="26"/>
        <v>26.807</v>
      </c>
      <c r="FB107" s="115">
        <f t="array" ref="FB107">(('Fórmula'!C107)/('Fórmula'!C107+'Fórmula'!E107+'Fórmula'!G107+'Fórmula'!I107+'Fórmula'!K107))*(INDEX(properties!A$1:CB$87,'Fórmula'!B107,53))+(('Fórmula'!E107)/('Fórmula'!C107+'Fórmula'!E107+'Fórmula'!G107+'Fórmula'!I107+'Fórmula'!K107))*(INDEX(properties!A$1:CB$87,'Fórmula'!D107,53))+(('Fórmula'!G107)/('Fórmula'!C107+'Fórmula'!E107+'Fórmula'!G107+'Fórmula'!I107+'Fórmula'!K107))*(INDEX(properties!A$1:CB$87,'Fórmula'!F107,53))+(('Fórmula'!I107)/('Fórmula'!C107+'Fórmula'!E107+'Fórmula'!G107+'Fórmula'!I107+'Fórmula'!K107))*(INDEX(properties!A$1:CB$87,'Fórmula'!H107,53))+(('Fórmula'!K107)/('Fórmula'!C107+'Fórmula'!E107+'Fórmula'!G107+'Fórmula'!I107+'Fórmula'!K107))*(INDEX(properties!A$1:CB$87,'Fórmula'!J107,53))</f>
        <v>563</v>
      </c>
      <c r="FC107" s="115">
        <f t="array" ref="FC107">'Fórmula'!C107*(INDEX(properties!A$1:CB$87,'Fórmula'!B107,53))+'Fórmula'!E107*(INDEX(properties!A$1:CB$87,'Fórmula'!D107,53))+'Fórmula'!G107*(INDEX(properties!A$1:CB$87,'Fórmula'!F107,53))+'Fórmula'!I107*(INDEX(properties!A$1:CB$87,'Fórmula'!H107,53))+'Fórmula'!K107*(INDEX(properties!A$1:CB$87,'Fórmula'!J107,53))</f>
        <v>6756</v>
      </c>
      <c r="FD107" s="115">
        <f t="array" ref="FD107">VARP(IF(INDEX(properties!A$1:CB$87,'Fórmula'!B107,53)&lt;&gt;"",INDEX(properties!A$1:CB$87,'Fórmula'!B107,53)),IF(INDEX(properties!A$1:CB$87,'Fórmula'!D107,53)&lt;&gt;"",INDEX(properties!A$1:CB$87,'Fórmula'!D107,53)),IF(INDEX(properties!A$1:CB$87,'Fórmula'!F107,53)&lt;&gt;"",INDEX(properties!A$1:CB$87,'Fórmula'!F107,53)),IF(INDEX(properties!A$1:CB$87,'Fórmula'!H107,53)&lt;&gt;"",INDEX(properties!A$1:CB$87,'Fórmula'!H107,53)),IF(INDEX(properties!A$1:CB$87,'Fórmula'!J107,53)&lt;&gt;"",INDEX(properties!A$1:CB$87,'Fórmula'!J107,53)))</f>
        <v>406234.3524</v>
      </c>
      <c r="FE107" s="115">
        <f t="array" ref="FE107">MAX(INDEX(properties!A$1:CB$87,'Fórmula'!B107,53),INDEX(properties!A$1:CB$87,'Fórmula'!D107,53),INDEX(properties!A$1:CB$87,'Fórmula'!F107,53),INDEX(properties!A$1:CB$87,'Fórmula'!H107,53),INDEX(properties!A$1:CB$87,'Fórmula'!J107,53))</f>
        <v>1683.15</v>
      </c>
      <c r="FF107" s="115">
        <f t="array" ref="FF107">MIN(IF(INDEX(properties!A$1:CB$87,'Fórmula'!B107,53)=0,10^6,INDEX(properties!A$1:CB$87,'Fórmula'!B107,53)),IF(INDEX(properties!A$1:CB$87,'Fórmula'!D107,53)=0,10^6,INDEX(properties!A$1:CB$87,'Fórmula'!D107,53)),IF(INDEX(properties!A$1:CB$87,'Fórmula'!F107,53)=0,10^6,INDEX(properties!A$1:CB$87,'Fórmula'!F107,53)),IF(INDEX(properties!A$1:CB$87,'Fórmula'!H107,53)=0,10^6,INDEX(properties!A$1:CB$87,'Fórmula'!H107,53)),IF(INDEX(properties!A$1:CB$87,'Fórmula'!J107,53)=0,10^6,INDEX(properties!A$1:CB$87,'Fórmula'!J107,53)))</f>
        <v>54.75</v>
      </c>
      <c r="FG107" s="115">
        <f t="shared" si="27"/>
        <v>1628.4</v>
      </c>
      <c r="FH107" s="117">
        <f t="array" ref="FH107">(('Fórmula'!C107)/('Fórmula'!C107+'Fórmula'!E107+'Fórmula'!G107+'Fórmula'!I107+'Fórmula'!K107))*(INDEX(properties!A$1:CB$87,'Fórmula'!B107,54))+(('Fórmula'!E107)/('Fórmula'!C107+'Fórmula'!E107+'Fórmula'!G107+'Fórmula'!I107+'Fórmula'!K107))*(INDEX(properties!A$1:CB$87,'Fórmula'!D107,54))+(('Fórmula'!G107)/('Fórmula'!C107+'Fórmula'!E107+'Fórmula'!G107+'Fórmula'!I107+'Fórmula'!K107))*(INDEX(properties!A$1:CB$87,'Fórmula'!F107,54))+(('Fórmula'!I107)/('Fórmula'!C107+'Fórmula'!E107+'Fórmula'!G107+'Fórmula'!I107+'Fórmula'!K107))*(INDEX(properties!A$1:CB$87,'Fórmula'!H107,54))+(('Fórmula'!K107)/('Fórmula'!C107+'Fórmula'!E107+'Fórmula'!G107+'Fórmula'!I107+'Fórmula'!K107))*(INDEX(properties!A$1:CB$87,'Fórmula'!J107,54))</f>
        <v>880.4</v>
      </c>
      <c r="FI107" s="117">
        <f t="array" ref="FI107">'Fórmula'!C107*(INDEX(properties!A$1:CB$87,'Fórmula'!B107,54))+'Fórmula'!E107*(INDEX(properties!A$1:CB$87,'Fórmula'!D107,54))+'Fórmula'!G107*(INDEX(properties!A$1:CB$87,'Fórmula'!F107,54))+'Fórmula'!I107*(INDEX(properties!A$1:CB$87,'Fórmula'!H107,54))+'Fórmula'!K107*(INDEX(properties!A$1:CB$87,'Fórmula'!J107,54))</f>
        <v>10564.8</v>
      </c>
      <c r="FJ107" s="117">
        <f t="array" ref="FJ107">VARP(IF(INDEX(properties!A$1:CB$87,'Fórmula'!B107,54)&lt;&gt;"",INDEX(properties!A$1:CB$87,'Fórmula'!B107,54)),IF(INDEX(properties!A$1:CB$87,'Fórmula'!D107,54)&lt;&gt;"",INDEX(properties!A$1:CB$87,'Fórmula'!D107,54)),IF(INDEX(properties!A$1:CB$87,'Fórmula'!F107,54)&lt;&gt;"",INDEX(properties!A$1:CB$87,'Fórmula'!F107,54)),IF(INDEX(properties!A$1:CB$87,'Fórmula'!H107,54)&lt;&gt;"",INDEX(properties!A$1:CB$87,'Fórmula'!H107,54)),IF(INDEX(properties!A$1:CB$87,'Fórmula'!J107,54)&lt;&gt;"",INDEX(properties!A$1:CB$87,'Fórmula'!J107,54)))</f>
        <v>986663.4996</v>
      </c>
      <c r="FK107" s="117">
        <f t="array" ref="FK107">MAX(INDEX(properties!A$1:CB$87,'Fórmula'!B107,54),INDEX(properties!A$1:CB$87,'Fórmula'!D107,54),INDEX(properties!A$1:CB$87,'Fórmula'!F107,54),INDEX(properties!A$1:CB$87,'Fórmula'!H107,54),INDEX(properties!A$1:CB$87,'Fórmula'!J107,54))</f>
        <v>2628.15</v>
      </c>
      <c r="FL107" s="117">
        <f t="array" ref="FL107">MIN(IF(INDEX(properties!A$1:CB$87,'Fórmula'!B107,54)=0,10^6,INDEX(properties!A$1:CB$87,'Fórmula'!B107,54)),IF(INDEX(properties!A$1:CB$87,'Fórmula'!D107,54)=0,10^6,INDEX(properties!A$1:CB$87,'Fórmula'!D107,54)),IF(INDEX(properties!A$1:CB$87,'Fórmula'!F107,54)=0,10^6,INDEX(properties!A$1:CB$87,'Fórmula'!F107,54)),IF(INDEX(properties!A$1:CB$87,'Fórmula'!H107,54)=0,10^6,INDEX(properties!A$1:CB$87,'Fórmula'!H107,54)),IF(INDEX(properties!A$1:CB$87,'Fórmula'!J107,54)=0,10^6,INDEX(properties!A$1:CB$87,'Fórmula'!J107,54)))</f>
        <v>90.15</v>
      </c>
      <c r="FM107" s="117">
        <f t="shared" si="28"/>
        <v>2538</v>
      </c>
      <c r="FN107" s="118">
        <f t="array" ref="FN107">(('Fórmula'!C107)/('Fórmula'!C107+'Fórmula'!E107+'Fórmula'!G107+'Fórmula'!I107+'Fórmula'!K107))*(INDEX(properties!A$1:CB$87,'Fórmula'!B107,55))+(('Fórmula'!E107)/('Fórmula'!C107+'Fórmula'!E107+'Fórmula'!G107+'Fórmula'!I107+'Fórmula'!K107))*(INDEX(properties!A$1:CB$87,'Fórmula'!D107,55))+(('Fórmula'!G107)/('Fórmula'!C107+'Fórmula'!E107+'Fórmula'!G107+'Fórmula'!I107+'Fórmula'!K107))*(INDEX(properties!A$1:CB$87,'Fórmula'!F107,55))+(('Fórmula'!I107)/('Fórmula'!C107+'Fórmula'!E107+'Fórmula'!G107+'Fórmula'!I107+'Fórmula'!K107))*(INDEX(properties!A$1:CB$87,'Fórmula'!H107,55))+(('Fórmula'!K107)/('Fórmula'!C107+'Fórmula'!E107+'Fórmula'!G107+'Fórmula'!I107+'Fórmula'!K107))*(INDEX(properties!A$1:CB$87,'Fórmula'!J107,55))</f>
        <v>0.9725008333</v>
      </c>
      <c r="FO107" s="118">
        <f t="array" ref="FO107">'Fórmula'!C107*(INDEX(properties!A$1:CB$87,'Fórmula'!B107,55))+'Fórmula'!E107*(INDEX(properties!A$1:CB$87,'Fórmula'!D107,54))+'Fórmula'!G107*(INDEX(properties!A$1:CB$87,'Fórmula'!F107,55))+'Fórmula'!I107*(INDEX(properties!A$1:CB$87,'Fórmula'!H107,55))+'Fórmula'!K107*(INDEX(properties!A$1:CB$87,'Fórmula'!J107,55))</f>
        <v>1373.08001</v>
      </c>
      <c r="FP107" s="118">
        <f t="array" ref="FP107">VARP(IF(INDEX(properties!A$1:CB$87,'Fórmula'!B107,55)&lt;&gt;"",INDEX(properties!A$1:CB$87,'Fórmula'!B107,55)),IF(INDEX(properties!A$1:CB$87,'Fórmula'!D107,55)&lt;&gt;"",INDEX(properties!A$1:CB$87,'Fórmula'!D107,55)),IF(INDEX(properties!A$1:CB$87,'Fórmula'!F107,55)&lt;&gt;"",INDEX(properties!A$1:CB$87,'Fórmula'!F107,55)),IF(INDEX(properties!A$1:CB$87,'Fórmula'!H107,55)&lt;&gt;"",INDEX(properties!A$1:CB$87,'Fórmula'!H107,55)),IF(INDEX(properties!A$1:CB$87,'Fórmula'!J107,55)&lt;&gt;"",INDEX(properties!A$1:CB$87,'Fórmula'!J107,55)))</f>
        <v>1.278313847</v>
      </c>
      <c r="FQ107" s="118">
        <f t="array" ref="FQ107">MAX(INDEX(properties!A$1:CB$87,'Fórmula'!B107,55),INDEX(properties!A$1:CB$87,'Fórmula'!D107,55),INDEX(properties!A$1:CB$87,'Fórmula'!F107,55),INDEX(properties!A$1:CB$87,'Fórmula'!H107,55),INDEX(properties!A$1:CB$87,'Fórmula'!J107,55))</f>
        <v>2.63</v>
      </c>
      <c r="FR107" s="118">
        <f t="array" ref="FR107">MIN(IF(INDEX(properties!A$1:CB$87,'Fórmula'!B107,55)=0,10^6,INDEX(properties!A$1:CB$87,'Fórmula'!B107,55)),IF(INDEX(properties!A$1:CB$87,'Fórmula'!D107,55)=0,10^6,INDEX(properties!A$1:CB$87,'Fórmula'!D107,55)),IF(INDEX(properties!A$1:CB$87,'Fórmula'!F107,55)=0,10^6,INDEX(properties!A$1:CB$87,'Fórmula'!F107,55)),IF(INDEX(properties!A$1:CB$87,'Fórmula'!H107,55)=0,10^6,INDEX(properties!A$1:CB$87,'Fórmula'!H107,55)),IF(INDEX(properties!A$1:CB$87,'Fórmula'!J107,55)=0,10^6,INDEX(properties!A$1:CB$87,'Fórmula'!J107,55)))</f>
        <v>0.00143</v>
      </c>
      <c r="FS107" s="118">
        <f t="shared" si="29"/>
        <v>2.62857</v>
      </c>
      <c r="FT107" s="119">
        <f t="array" ref="FT107">(('Fórmula'!C107)/('Fórmula'!C107+'Fórmula'!E107+'Fórmula'!G107+'Fórmula'!I107+'Fórmula'!K107))*(INDEX(properties!A$1:CB$87,'Fórmula'!B107,56))+(('Fórmula'!E107)/('Fórmula'!C107+'Fórmula'!E107+'Fórmula'!G107+'Fórmula'!I107+'Fórmula'!K107))*(INDEX(properties!A$1:CB$87,'Fórmula'!D107,56))+(('Fórmula'!G107)/('Fórmula'!C107+'Fórmula'!E107+'Fórmula'!G107+'Fórmula'!I107+'Fórmula'!K107))*(INDEX(properties!A$1:CB$87,'Fórmula'!F107,56))+(('Fórmula'!I107)/('Fórmula'!C107+'Fórmula'!E107+'Fórmula'!G107+'Fórmula'!I107+'Fórmula'!K107))*(INDEX(properties!A$1:CB$87,'Fórmula'!H107,56))+(('Fórmula'!K107)/('Fórmula'!C107+'Fórmula'!E107+'Fórmula'!G107+'Fórmula'!I107+'Fórmula'!K107))*(INDEX(properties!A$1:CB$87,'Fórmula'!J107,56))</f>
        <v>0.79</v>
      </c>
      <c r="FU107" s="119">
        <f t="array" ref="FU107">'Fórmula'!C107*(INDEX(properties!A$1:CB$87,'Fórmula'!B107,56))+'Fórmula'!E107*(INDEX(properties!A$1:CB$87,'Fórmula'!D107,56))+'Fórmula'!G107*(INDEX(properties!A$1:CB$87,'Fórmula'!F107,56))+'Fórmula'!I107*(INDEX(properties!A$1:CB$87,'Fórmula'!H107,56))+'Fórmula'!K107*(INDEX(properties!A$1:CB$87,'Fórmula'!J107,56))</f>
        <v>9.48</v>
      </c>
      <c r="FV107" s="119">
        <f t="array" ref="FV107">VARP(IF(INDEX(properties!A$1:CB$87,'Fórmula'!B107,56)&lt;&gt;"",INDEX(properties!A$1:CB$87,'Fórmula'!B107,56)),IF(INDEX(properties!A$1:CB$87,'Fórmula'!D107,56)&lt;&gt;"",INDEX(properties!A$1:CB$87,'Fórmula'!D107,56)),IF(INDEX(properties!A$1:CB$87,'Fórmula'!F107,56)&lt;&gt;"",INDEX(properties!A$1:CB$87,'Fórmula'!F107,56)),IF(INDEX(properties!A$1:CB$87,'Fórmula'!H107,56)&lt;&gt;"",INDEX(properties!A$1:CB$87,'Fórmula'!H107,56)),IF(INDEX(properties!A$1:CB$87,'Fórmula'!J107,56)&lt;&gt;"",INDEX(properties!A$1:CB$87,'Fórmula'!J107,56)))</f>
        <v>0.14808</v>
      </c>
      <c r="FW107" s="119">
        <f t="array" ref="FW107">MAX(INDEX(properties!A$1:CB$87,'Fórmula'!B107,56),INDEX(properties!A$1:CB$87,'Fórmula'!D107,56),INDEX(properties!A$1:CB$87,'Fórmula'!F107,56),INDEX(properties!A$1:CB$87,'Fórmula'!H107,56),INDEX(properties!A$1:CB$87,'Fórmula'!J107,56))</f>
        <v>1.02</v>
      </c>
      <c r="FX107" s="119">
        <f t="array" ref="FX107">MIN(IF(INDEX(properties!A$1:CB$87,'Fórmula'!B107,56)=0,10^6,INDEX(properties!A$1:CB$87,'Fórmula'!B107,56)),IF(INDEX(properties!A$1:CB$87,'Fórmula'!D107,56)=0,10^6,INDEX(properties!A$1:CB$87,'Fórmula'!D107,56)),IF(INDEX(properties!A$1:CB$87,'Fórmula'!F107,56)=0,10^6,INDEX(properties!A$1:CB$87,'Fórmula'!F107,56)),IF(INDEX(properties!A$1:CB$87,'Fórmula'!H107,56)=0,10^6,INDEX(properties!A$1:CB$87,'Fórmula'!H107,56)),IF(INDEX(properties!A$1:CB$87,'Fórmula'!J107,56)=0,10^6,INDEX(properties!A$1:CB$87,'Fórmula'!J107,56)))</f>
        <v>0.3</v>
      </c>
      <c r="FY107" s="119">
        <f t="shared" si="30"/>
        <v>0.72</v>
      </c>
      <c r="FZ107" s="104">
        <f t="array" ref="FZ107">(('Fórmula'!C107)/('Fórmula'!C107+'Fórmula'!E107+'Fórmula'!G107+'Fórmula'!I107+'Fórmula'!K107))*(INDEX(properties!A$1:CB$87,'Fórmula'!B107,57))+(('Fórmula'!E107)/('Fórmula'!C107+'Fórmula'!E107+'Fórmula'!G107+'Fórmula'!I107+'Fórmula'!K107))*(INDEX(properties!A$1:CB$87,'Fórmula'!D107,57))+(('Fórmula'!G107)/('Fórmula'!C107+'Fórmula'!E107+'Fórmula'!G107+'Fórmula'!I107+'Fórmula'!K107))*(INDEX(properties!A$1:CB$87,'Fórmula'!F107,57))+(('Fórmula'!I107)/('Fórmula'!C107+'Fórmula'!E107+'Fórmula'!G107+'Fórmula'!I107+'Fórmula'!K107))*(INDEX(properties!A$1:CB$87,'Fórmula'!H107,57))+(('Fórmula'!K107)/('Fórmula'!C107+'Fórmula'!E107+'Fórmula'!G107+'Fórmula'!I107+'Fórmula'!K107))*(INDEX(properties!A$1:CB$87,'Fórmula'!J107,57))</f>
        <v>10.68434417</v>
      </c>
      <c r="GA107" s="104">
        <f t="array" ref="GA107">'Fórmula'!C107*(INDEX(properties!A$1:CB$87,'Fórmula'!B107,57))+'Fórmula'!E107*(INDEX(properties!A$1:CB$87,'Fórmula'!D107,57))+'Fórmula'!G107*(INDEX(properties!A$1:CB$87,'Fórmula'!F107,57))+'Fórmula'!I107*(INDEX(properties!A$1:CB$87,'Fórmula'!H107,57))+'Fórmula'!K107*(INDEX(properties!A$1:CB$87,'Fórmula'!J107,57))</f>
        <v>128.21213</v>
      </c>
      <c r="GB107" s="104">
        <f t="array" ref="GB107">VARP(IF(INDEX(properties!A$1:CB$87,'Fórmula'!B107,57)&lt;&gt;"",INDEX(properties!A$1:CB$87,'Fórmula'!B107,57)),IF(INDEX(properties!A$1:CB$87,'Fórmula'!D107,57)&lt;&gt;"",INDEX(properties!A$1:CB$87,'Fórmula'!D107,57)),IF(INDEX(properties!A$1:CB$87,'Fórmula'!F107,57)&lt;&gt;"",INDEX(properties!A$1:CB$87,'Fórmula'!F107,57)),IF(INDEX(properties!A$1:CB$87,'Fórmula'!H107,57)&lt;&gt;"",INDEX(properties!A$1:CB$87,'Fórmula'!H107,57)),IF(INDEX(properties!A$1:CB$87,'Fórmula'!J107,57)&lt;&gt;"",INDEX(properties!A$1:CB$87,'Fórmula'!J107,57)))</f>
        <v>355.7785546</v>
      </c>
      <c r="GC107" s="104">
        <f t="array" ref="GC107">MAX(INDEX(properties!A$1:CB$87,'Fórmula'!B107,57),INDEX(properties!A$1:CB$87,'Fórmula'!D107,57),INDEX(properties!A$1:CB$87,'Fórmula'!F107,57),INDEX(properties!A$1:CB$87,'Fórmula'!H107,57),INDEX(properties!A$1:CB$87,'Fórmula'!J107,57))</f>
        <v>50.55</v>
      </c>
      <c r="GD107" s="104">
        <f t="array" ref="GD107">MIN(IF(INDEX(properties!A$1:CB$87,'Fórmula'!B107,57)=0,10^6,INDEX(properties!A$1:CB$87,'Fórmula'!B107,57)),IF(INDEX(properties!A$1:CB$87,'Fórmula'!D107,57)=0,10^6,INDEX(properties!A$1:CB$87,'Fórmula'!D107,57)),IF(INDEX(properties!A$1:CB$87,'Fórmula'!F107,57)=0,10^6,INDEX(properties!A$1:CB$87,'Fórmula'!F107,57)),IF(INDEX(properties!A$1:CB$87,'Fórmula'!H107,57)=0,10^6,INDEX(properties!A$1:CB$87,'Fórmula'!H107,57)),IF(INDEX(properties!A$1:CB$87,'Fórmula'!J107,57)=0,10^6,INDEX(properties!A$1:CB$87,'Fórmula'!J107,57)))</f>
        <v>0.22259</v>
      </c>
      <c r="GE107" s="104">
        <f t="shared" si="31"/>
        <v>50.32741</v>
      </c>
      <c r="GF107" s="105">
        <f t="array" ref="GF107">(('Fórmula'!C107)/('Fórmula'!C107+'Fórmula'!E107+'Fórmula'!G107+'Fórmula'!I107+'Fórmula'!K107))*(INDEX(properties!A$1:CB$87,'Fórmula'!B107,60))+(('Fórmula'!E107)/('Fórmula'!C107+'Fórmula'!E107+'Fórmula'!G107+'Fórmula'!I107+'Fórmula'!K107))*(INDEX(properties!A$1:CB$87,'Fórmula'!D107,60))+(('Fórmula'!G107)/('Fórmula'!C107+'Fórmula'!E107+'Fórmula'!G107+'Fórmula'!I107+'Fórmula'!K107))*(INDEX(properties!A$1:CB$87,'Fórmula'!F107,60))+(('Fórmula'!I107)/('Fórmula'!C107+'Fórmula'!E107+'Fórmula'!G107+'Fórmula'!I107+'Fórmula'!K107))*(INDEX(properties!A$1:CB$87,'Fórmula'!H107,60))+(('Fórmula'!K107)/('Fórmula'!C107+'Fórmula'!E107+'Fórmula'!G107+'Fórmula'!I107+'Fórmula'!K107))*(INDEX(properties!A$1:CB$87,'Fórmula'!J107,60))</f>
        <v>43.56559833</v>
      </c>
      <c r="GG107" s="105">
        <f t="array" ref="GG107">'Fórmula'!C107*(INDEX(properties!A$1:CB$87,'Fórmula'!B107,60))+'Fórmula'!E107*(INDEX(properties!A$1:CB$87,'Fórmula'!D107,60))+'Fórmula'!G107*(INDEX(properties!A$1:CB$87,'Fórmula'!F107,60))+'Fórmula'!I107*(INDEX(properties!A$1:CB$87,'Fórmula'!H107,60))+'Fórmula'!K107*(INDEX(properties!A$1:CB$87,'Fórmula'!J107,60))</f>
        <v>522.78718</v>
      </c>
      <c r="GH107" s="105">
        <f t="array" ref="GH107">VARP(IF(INDEX(properties!A$1:CB$87,'Fórmula'!B107,60)&lt;&gt;"",INDEX(properties!A$1:CB$87,'Fórmula'!B107,60)),IF(INDEX(properties!A$1:CB$87,'Fórmula'!D107,60)&lt;&gt;"",INDEX(properties!A$1:CB$87,'Fórmula'!D107,60)),IF(INDEX(properties!A$1:CB$87,'Fórmula'!F107,60)&lt;&gt;"",INDEX(properties!A$1:CB$87,'Fórmula'!F107,60)),IF(INDEX(properties!A$1:CB$87,'Fórmula'!H107,60)&lt;&gt;"",INDEX(properties!A$1:CB$87,'Fórmula'!H107,60)),IF(INDEX(properties!A$1:CB$87,'Fórmula'!J107,60)&lt;&gt;"",INDEX(properties!A$1:CB$87,'Fórmula'!J107,60)))</f>
        <v>4891.512684</v>
      </c>
      <c r="GI107" s="105">
        <f t="array" ref="GI107">MAX(INDEX(properties!A$1:CB$87,'Fórmula'!B107,60),INDEX(properties!A$1:CB$87,'Fórmula'!D107,60),INDEX(properties!A$1:CB$87,'Fórmula'!F107,60),INDEX(properties!A$1:CB$87,'Fórmula'!H107,60),INDEX(properties!A$1:CB$87,'Fórmula'!J107,60))</f>
        <v>156</v>
      </c>
      <c r="GJ107" s="105">
        <f t="array" ref="GJ107">MIN(IF(INDEX(properties!A$1:CB$87,'Fórmula'!B107,60)=0,10^6,INDEX(properties!A$1:CB$87,'Fórmula'!B107,60)),IF(INDEX(properties!A$1:CB$87,'Fórmula'!D107,60)=0,10^6,INDEX(properties!A$1:CB$87,'Fórmula'!D107,60)),IF(INDEX(properties!A$1:CB$87,'Fórmula'!F107,60)=0,10^6,INDEX(properties!A$1:CB$87,'Fórmula'!F107,60)),IF(INDEX(properties!A$1:CB$87,'Fórmula'!H107,60)=0,10^6,INDEX(properties!A$1:CB$87,'Fórmula'!H107,60)),IF(INDEX(properties!A$1:CB$87,'Fórmula'!J107,60)=0,10^6,INDEX(properties!A$1:CB$87,'Fórmula'!J107,60)))</f>
        <v>0.02674</v>
      </c>
      <c r="GK107" s="105">
        <f t="shared" si="32"/>
        <v>155.97326</v>
      </c>
      <c r="GL107" s="106">
        <f t="array" ref="GL107">(('Fórmula'!C107)/('Fórmula'!C107+'Fórmula'!E107+'Fórmula'!G107+'Fórmula'!I107+'Fórmula'!K107))*(INDEX(properties!A$1:CB$87,'Fórmula'!B107,62))+(('Fórmula'!E107)/('Fórmula'!C107+'Fórmula'!E107+'Fórmula'!G107+'Fórmula'!I107+'Fórmula'!K107))*(INDEX(properties!A$1:CB$87,'Fórmula'!D107,62))+(('Fórmula'!G107)/('Fórmula'!C107+'Fórmula'!E107+'Fórmula'!G107+'Fórmula'!I107+'Fórmula'!K107))*(INDEX(properties!A$1:CB$87,'Fórmula'!F107,62))+(('Fórmula'!I107)/('Fórmula'!C107+'Fórmula'!E107+'Fórmula'!G107+'Fórmula'!I107+'Fórmula'!K107))*(INDEX(properties!A$1:CB$87,'Fórmula'!H107,62))+(('Fórmula'!K107)/('Fórmula'!C107+'Fórmula'!E107+'Fórmula'!G107+'Fórmula'!I107+'Fórmula'!K107))*(INDEX(properties!A$1:CB$87,'Fórmula'!J107,62))</f>
        <v>2.7125</v>
      </c>
      <c r="GM107" s="106">
        <f t="array" ref="GM107">'Fórmula'!C107*(INDEX(properties!A$1:CB$87,'Fórmula'!B107,62))+'Fórmula'!E107*(INDEX(properties!A$1:CB$87,'Fórmula'!D107,62))+'Fórmula'!G107*(INDEX(properties!A$1:CB$87,'Fórmula'!F107,62))+'Fórmula'!I107*(INDEX(properties!A$1:CB$87,'Fórmula'!H107,62))+'Fórmula'!K107*(INDEX(properties!A$1:CB$87,'Fórmula'!J107,62))</f>
        <v>32.55</v>
      </c>
      <c r="GN107" s="106">
        <f t="array" ref="GN107">VARP(IF(INDEX(properties!A$1:CB$87,'Fórmula'!B107,62)&lt;&gt;"",INDEX(properties!A$1:CB$87,'Fórmula'!B107,62)),IF(INDEX(properties!A$1:CB$87,'Fórmula'!D107,62)&lt;&gt;"",INDEX(properties!A$1:CB$87,'Fórmula'!D107,62)),IF(INDEX(properties!A$1:CB$87,'Fórmula'!F107,62)&lt;&gt;"",INDEX(properties!A$1:CB$87,'Fórmula'!F107,62)),IF(INDEX(properties!A$1:CB$87,'Fórmula'!H107,62)&lt;&gt;"",INDEX(properties!A$1:CB$87,'Fórmula'!H107,62)),IF(INDEX(properties!A$1:CB$87,'Fórmula'!J107,62)&lt;&gt;"",INDEX(properties!A$1:CB$87,'Fórmula'!J107,62)))</f>
        <v>2.314744</v>
      </c>
      <c r="GO107" s="106">
        <f t="array" ref="GO107">MAX(INDEX(properties!A$1:CB$87,'Fórmula'!B107,62),INDEX(properties!A$1:CB$87,'Fórmula'!D107,62),INDEX(properties!A$1:CB$87,'Fórmula'!F107,62),INDEX(properties!A$1:CB$87,'Fórmula'!H107,62),INDEX(properties!A$1:CB$87,'Fórmula'!J107,62))</f>
        <v>4.63</v>
      </c>
      <c r="GP107" s="106">
        <f t="array" ref="GP107">MIN(IF(INDEX(properties!A$1:CB$87,'Fórmula'!B107,62)=0,10^6,INDEX(properties!A$1:CB$87,'Fórmula'!B107,62)),IF(INDEX(properties!A$1:CB$87,'Fórmula'!D107,62)=0,10^6,INDEX(properties!A$1:CB$87,'Fórmula'!D107,62)),IF(INDEX(properties!A$1:CB$87,'Fórmula'!F107,62)=0,10^6,INDEX(properties!A$1:CB$87,'Fórmula'!F107,62)),IF(INDEX(properties!A$1:CB$87,'Fórmula'!H107,62)=0,10^6,INDEX(properties!A$1:CB$87,'Fórmula'!H107,62)),IF(INDEX(properties!A$1:CB$87,'Fórmula'!J107,62)=0,10^6,INDEX(properties!A$1:CB$87,'Fórmula'!J107,62)))</f>
        <v>1.51</v>
      </c>
      <c r="GQ107" s="106">
        <f t="shared" si="33"/>
        <v>3.12</v>
      </c>
      <c r="GR107" s="106">
        <f>'Fórmula'!Q107</f>
        <v>113</v>
      </c>
      <c r="GS107" s="107">
        <f>'Fórmula'!P107</f>
        <v>2</v>
      </c>
      <c r="GT107" s="113">
        <f>'Fórmula'!O107</f>
        <v>3.68</v>
      </c>
      <c r="GU107" s="114">
        <f>AVERAGE('Fórmula'!R107/'Fórmula'!S107,'Fórmula'!S107/'Fórmula'!T107,'Fórmula'!T107/'Fórmula'!R107)</f>
        <v>1.065337233</v>
      </c>
      <c r="GV107" s="125">
        <f>'Fórmula'!U107</f>
        <v>331.77</v>
      </c>
      <c r="GW107" s="106">
        <f>'Fórmula'!N107</f>
        <v>0.07</v>
      </c>
    </row>
    <row r="108" ht="14.25" customHeight="1">
      <c r="A108" s="99" t="str">
        <f>'Fórmula'!A108</f>
        <v>Gd3Al5O12</v>
      </c>
      <c r="B108" s="101">
        <f t="array" ref="B108">(('Fórmula'!C108)/('Fórmula'!C108+'Fórmula'!E108+'Fórmula'!G108+'Fórmula'!I108+'Fórmula'!K108))*(INDEX(properties!A$1:CB$87,'Fórmula'!B108,3))+(('Fórmula'!E108)/('Fórmula'!C108+'Fórmula'!E108+'Fórmula'!G108+'Fórmula'!I108+'Fórmula'!K108))*(INDEX(properties!A$1:CB$87,'Fórmula'!D108,3))+(('Fórmula'!G108)/('Fórmula'!C108+'Fórmula'!E108+'Fórmula'!G108+'Fórmula'!I108+'Fórmula'!K108))*(INDEX(properties!A$1:CB$87,'Fórmula'!F108,3))+(('Fórmula'!I108)/('Fórmula'!C108+'Fórmula'!E108+'Fórmula'!G108+'Fórmula'!I108+'Fórmula'!K108))*(INDEX(properties!A$1:CB$87,'Fórmula'!H108,3))+(('Fórmula'!K108)/('Fórmula'!C108+'Fórmula'!E108+'Fórmula'!G108+'Fórmula'!I108+'Fórmula'!K108))*(INDEX(properties!A$1:CB$87,'Fórmula'!J108,3))</f>
        <v>39.93252475</v>
      </c>
      <c r="C108" s="101">
        <f t="array" ref="C108">'Fórmula'!C108*(INDEX(properties!A$1:CB$87,'Fórmula'!B108,3))+'Fórmula'!E108*(INDEX(properties!A$1:CB$87,'Fórmula'!D108,3))+'Fórmula'!G108*(INDEX(properties!A$1:CB$87,'Fórmula'!F108,3))+'Fórmula'!I108*(INDEX(properties!A$1:CB$87,'Fórmula'!H108,3))+'Fórmula'!K108*(INDEX(properties!A$1:CB$87,'Fórmula'!J108,3))</f>
        <v>798.650495</v>
      </c>
      <c r="D108" s="101">
        <f t="array" ref="D108">VARP(IF(INDEX(properties!A$1:CB$87,'Fórmula'!B108,3)&lt;&gt;"",INDEX(properties!A$1:CB$87,'Fórmula'!B108,3)),IF(INDEX(properties!A$1:CB$87,'Fórmula'!D108,3)&lt;&gt;"",INDEX(properties!A$1:CB$87,'Fórmula'!D108,3)),IF(INDEX(properties!A$1:CB$87,'Fórmula'!F108,3)&lt;&gt;"",INDEX(properties!A$1:CB$87,'Fórmula'!F108,3)),IF(INDEX(properties!A$1:CB$87,'Fórmula'!H108,3)&lt;&gt;"",INDEX(properties!A$1:CB$87,'Fórmula'!H108,3)),IF(INDEX(properties!A$1:CB$87,'Fórmula'!J108,3)&lt;&gt;"",INDEX(properties!A$1:CB$87,'Fórmula'!J108,3)))</f>
        <v>3538.612192</v>
      </c>
      <c r="E108" s="101">
        <f t="array" ref="E108">MAX(INDEX(properties!A$1:CB$87,'Fórmula'!B108,3),INDEX(properties!A$1:CB$87,'Fórmula'!D108,3),INDEX(properties!A$1:CB$87,'Fórmula'!F108,3),INDEX(properties!A$1:CB$87,'Fórmula'!H108,3),INDEX(properties!A$1:CB$87,'Fórmula'!J108,3))</f>
        <v>157.25</v>
      </c>
      <c r="F108" s="101">
        <f t="array" ref="F108">MIN(IF(INDEX(properties!A$1:CB$87,'Fórmula'!B108,3)=0,10^6,INDEX(properties!A$1:CB$87,'Fórmula'!B108,3)),IF(INDEX(properties!A$1:CB$87,'Fórmula'!D108,3)=0,10^6,INDEX(properties!A$1:CB$87,'Fórmula'!D108,3)),IF(INDEX(properties!A$1:CB$87,'Fórmula'!F108,3)=0,10^6,INDEX(properties!A$1:CB$87,'Fórmula'!F108,3)),IF(INDEX(properties!A$1:CB$87,'Fórmula'!H108,3)=0,10^6,INDEX(properties!A$1:CB$87,'Fórmula'!H108,3)),IF(INDEX(properties!A$1:CB$87,'Fórmula'!J108,3)=0,10^6,INDEX(properties!A$1:CB$87,'Fórmula'!J108,3)))</f>
        <v>15.9994</v>
      </c>
      <c r="G108" s="101">
        <f t="shared" si="1"/>
        <v>141.2506</v>
      </c>
      <c r="H108" s="102">
        <f t="array" ref="H108">(('Fórmula'!C108)/('Fórmula'!C108+'Fórmula'!E108+'Fórmula'!G108+'Fórmula'!I108+'Fórmula'!K108))*(INDEX(properties!A$1:CB$87,'Fórmula'!B108,4))+(('Fórmula'!E108)/('Fórmula'!C108+'Fórmula'!E108+'Fórmula'!G108+'Fórmula'!I108+'Fórmula'!K108))*(INDEX(properties!A$1:CB$87,'Fórmula'!D108,4))+(('Fórmula'!G108)/('Fórmula'!C108+'Fórmula'!E108+'Fórmula'!G108+'Fórmula'!I108+'Fórmula'!K108))*(INDEX(properties!A$1:CB$87,'Fórmula'!F108,4))+(('Fórmula'!I108)/('Fórmula'!C108+'Fórmula'!E108+'Fórmula'!G108+'Fórmula'!I108+'Fórmula'!K108))*(INDEX(properties!A$1:CB$87,'Fórmula'!H108,4))+(('Fórmula'!K108)/('Fórmula'!C108+'Fórmula'!E108+'Fórmula'!G108+'Fórmula'!I108+'Fórmula'!K108))*(INDEX(properties!A$1:CB$87,'Fórmula'!J108,4))</f>
        <v>17.65</v>
      </c>
      <c r="I108" s="102">
        <f t="array" ref="I108">'Fórmula'!C108*(INDEX(properties!A$1:CB$87,'Fórmula'!B108,4))+'Fórmula'!E108*(INDEX(properties!A$1:CB$87,'Fórmula'!D108,4))+'Fórmula'!G108*(INDEX(properties!A$1:CB$87,'Fórmula'!F108,4))+'Fórmula'!I108*(INDEX(properties!A$1:CB$87,'Fórmula'!H108,4))+'Fórmula'!K108*(INDEX(properties!A$1:CB$87,'Fórmula'!J108,4))</f>
        <v>353</v>
      </c>
      <c r="J108" s="102">
        <f t="array" ref="J108">VARP(IF(INDEX(properties!A$1:CB$87,'Fórmula'!B108,4)&lt;&gt;"",INDEX(properties!A$1:CB$87,'Fórmula'!B108,4)),IF(INDEX(properties!A$1:CB$87,'Fórmula'!D108,4)&lt;&gt;"",INDEX(properties!A$1:CB$87,'Fórmula'!D108,4)),IF(INDEX(properties!A$1:CB$87,'Fórmula'!F108,4)&lt;&gt;"",INDEX(properties!A$1:CB$87,'Fórmula'!F108,4)),IF(INDEX(properties!A$1:CB$87,'Fórmula'!H108,4)&lt;&gt;"",INDEX(properties!A$1:CB$87,'Fórmula'!H108,4)),IF(INDEX(properties!A$1:CB$87,'Fórmula'!J108,4)&lt;&gt;"",INDEX(properties!A$1:CB$87,'Fórmula'!J108,4)))</f>
        <v>576.8</v>
      </c>
      <c r="K108" s="102">
        <f t="array" ref="K108">MAX(INDEX(properties!A$1:CB$87,'Fórmula'!B108,4),INDEX(properties!A$1:CB$87,'Fórmula'!D108,4),INDEX(properties!A$1:CB$87,'Fórmula'!F108,4),INDEX(properties!A$1:CB$87,'Fórmula'!H108,4),INDEX(properties!A$1:CB$87,'Fórmula'!J108,4))</f>
        <v>64</v>
      </c>
      <c r="L108" s="102">
        <f t="array" ref="L108">MIN(IF(INDEX(properties!A$1:CB$87,'Fórmula'!B108,4)=0,10^6,INDEX(properties!A$1:CB$87,'Fórmula'!B108,4)),IF(INDEX(properties!A$1:CB$87,'Fórmula'!D108,4)=0,10^6,INDEX(properties!A$1:CB$87,'Fórmula'!D108,4)),IF(INDEX(properties!A$1:CB$87,'Fórmula'!F108,4)=0,10^6,INDEX(properties!A$1:CB$87,'Fórmula'!F108,4)),IF(INDEX(properties!A$1:CB$87,'Fórmula'!H108,4)=0,10^6,INDEX(properties!A$1:CB$87,'Fórmula'!H108,4)),IF(INDEX(properties!A$1:CB$87,'Fórmula'!J108,4)=0,10^6,INDEX(properties!A$1:CB$87,'Fórmula'!J108,4)))</f>
        <v>8</v>
      </c>
      <c r="M108" s="102">
        <f t="shared" si="2"/>
        <v>56</v>
      </c>
      <c r="N108" s="103">
        <f t="array" ref="N108">(('Fórmula'!C108)/('Fórmula'!C108+'Fórmula'!E108+'Fórmula'!G108+'Fórmula'!I108+'Fórmula'!K108))*(INDEX(properties!A$1:CB$87,'Fórmula'!B108,5))+(('Fórmula'!E108)/('Fórmula'!C108+'Fórmula'!E108+'Fórmula'!G108+'Fórmula'!I108+'Fórmula'!K108))*(INDEX(properties!A$1:CB$87,'Fórmula'!D108,5))+(('Fórmula'!G108)/('Fórmula'!C108+'Fórmula'!E108+'Fórmula'!G108+'Fórmula'!I108+'Fórmula'!K108))*(INDEX(properties!A$1:CB$87,'Fórmula'!F108,5))+(('Fórmula'!I108)/('Fórmula'!C108+'Fórmula'!E108+'Fórmula'!G108+'Fórmula'!I108+'Fórmula'!K108))*(INDEX(properties!A$1:CB$87,'Fórmula'!H108,5))+(('Fórmula'!K108)/('Fórmula'!C108+'Fórmula'!E108+'Fórmula'!G108+'Fórmula'!I108+'Fórmula'!K108))*(INDEX(properties!A$1:CB$87,'Fórmula'!J108,5))</f>
        <v>2.85</v>
      </c>
      <c r="O108" s="103">
        <f t="array" ref="O108">'Fórmula'!C108*(INDEX(properties!A$1:CB$87,'Fórmula'!B108,5))+'Fórmula'!E108*(INDEX(properties!A$1:CB$87,'Fórmula'!D108,5))+'Fórmula'!G108*(INDEX(properties!A$1:CB$87,'Fórmula'!F108,5))+'Fórmula'!I108*(INDEX(properties!A$1:CB$87,'Fórmula'!H108,5))+'Fórmula'!K108*(INDEX(properties!A$1:CB$87,'Fórmula'!J108,5))</f>
        <v>57</v>
      </c>
      <c r="P108" s="103">
        <f t="array" ref="P108">VARP(IF(INDEX(properties!A$1:CB$87,'Fórmula'!B108,5)&lt;&gt;"",INDEX(properties!A$1:CB$87,'Fórmula'!B108,5)),IF(INDEX(properties!A$1:CB$87,'Fórmula'!D108,5)&lt;&gt;"",INDEX(properties!A$1:CB$87,'Fórmula'!D108,5)),IF(INDEX(properties!A$1:CB$87,'Fórmula'!F108,5)&lt;&gt;"",INDEX(properties!A$1:CB$87,'Fórmula'!F108,5)),IF(INDEX(properties!A$1:CB$87,'Fórmula'!H108,5)&lt;&gt;"",INDEX(properties!A$1:CB$87,'Fórmula'!H108,5)),IF(INDEX(properties!A$1:CB$87,'Fórmula'!J108,5)&lt;&gt;"",INDEX(properties!A$1:CB$87,'Fórmula'!J108,5)))</f>
        <v>4.96</v>
      </c>
      <c r="Q108" s="103">
        <f t="array" ref="Q108">MAX(INDEX(properties!A$1:CB$87,'Fórmula'!B108,5),INDEX(properties!A$1:CB$87,'Fórmula'!D108,5),INDEX(properties!A$1:CB$87,'Fórmula'!F108,5),INDEX(properties!A$1:CB$87,'Fórmula'!H108,5),INDEX(properties!A$1:CB$87,'Fórmula'!J108,5))</f>
        <v>6</v>
      </c>
      <c r="R108" s="103">
        <f t="array" ref="R108">MIN(IF(INDEX(properties!A$1:CB$87,'Fórmula'!B108,5)=0,10^6,INDEX(properties!A$1:CB$87,'Fórmula'!B108,5)),IF(INDEX(properties!A$1:CB$87,'Fórmula'!D108,5)=0,10^6,INDEX(properties!A$1:CB$87,'Fórmula'!D108,5)),IF(INDEX(properties!A$1:CB$87,'Fórmula'!F108,5)=0,10^6,INDEX(properties!A$1:CB$87,'Fórmula'!F108,5)),IF(INDEX(properties!A$1:CB$87,'Fórmula'!H108,5)=0,10^6,INDEX(properties!A$1:CB$87,'Fórmula'!H108,5)),IF(INDEX(properties!A$1:CB$87,'Fórmula'!J108,5)=0,10^6,INDEX(properties!A$1:CB$87,'Fórmula'!J108,5)))</f>
        <v>2</v>
      </c>
      <c r="S108" s="103">
        <f t="shared" si="3"/>
        <v>4</v>
      </c>
      <c r="T108" s="104">
        <f t="array" ref="T108">(('Fórmula'!C108)/('Fórmula'!C108+'Fórmula'!E108+'Fórmula'!G108+'Fórmula'!I108+'Fórmula'!K108))*(INDEX(properties!A$1:CB$87,'Fórmula'!B108,6))+(('Fórmula'!E108)/('Fórmula'!C108+'Fórmula'!E108+'Fórmula'!G108+'Fórmula'!I108+'Fórmula'!K108))*(INDEX(properties!A$1:CB$87,'Fórmula'!D108,6))+(('Fórmula'!G108)/('Fórmula'!C108+'Fórmula'!E108+'Fórmula'!G108+'Fórmula'!I108+'Fórmula'!K108))*(INDEX(properties!A$1:CB$87,'Fórmula'!F108,6))+(('Fórmula'!I108)/('Fórmula'!C108+'Fórmula'!E108+'Fórmula'!G108+'Fórmula'!I108+'Fórmula'!K108))*(INDEX(properties!A$1:CB$87,'Fórmula'!H108,6))+(('Fórmula'!K108)/('Fórmula'!C108+'Fórmula'!E108+'Fórmula'!G108+'Fórmula'!I108+'Fórmula'!K108))*(INDEX(properties!A$1:CB$87,'Fórmula'!J108,6))</f>
        <v>13.3</v>
      </c>
      <c r="U108" s="104">
        <f t="array" ref="U108">'Fórmula'!C108*(INDEX(properties!A$1:CB$87,'Fórmula'!B108,6))+'Fórmula'!E108*(INDEX(properties!A$1:CB$87,'Fórmula'!D108,6))+'Fórmula'!G108*(INDEX(properties!A$1:CB$87,'Fórmula'!F108,6))+'Fórmula'!I108*(INDEX(properties!A$1:CB$87,'Fórmula'!H108,6))+'Fórmula'!K108*(INDEX(properties!A$1:CB$87,'Fórmula'!J108,6))</f>
        <v>266</v>
      </c>
      <c r="V108" s="103">
        <f t="array" ref="V108">VARP(IF(INDEX(properties!A$1:CB$87,'Fórmula'!B108,6)&lt;&gt;"",INDEX(properties!A$1:CB$87,'Fórmula'!B108,6)),IF(INDEX(properties!A$1:CB$87,'Fórmula'!D108,6)&lt;&gt;"",INDEX(properties!A$1:CB$87,'Fórmula'!D108,6)),IF(INDEX(properties!A$1:CB$87,'Fórmula'!F108,6)&lt;&gt;"",INDEX(properties!A$1:CB$87,'Fórmula'!F108,6)),IF(INDEX(properties!A$1:CB$87,'Fórmula'!H108,6)&lt;&gt;"",INDEX(properties!A$1:CB$87,'Fórmula'!H108,6)),IF(INDEX(properties!A$1:CB$87,'Fórmula'!J108,6)&lt;&gt;"",INDEX(properties!A$1:CB$87,'Fórmula'!J108,6)))</f>
        <v>45.84</v>
      </c>
      <c r="W108" s="104">
        <f t="array" ref="W108">MAX(INDEX(properties!A$1:CB$87,'Fórmula'!B108,6),INDEX(properties!A$1:CB$87,'Fórmula'!D108,6),INDEX(properties!A$1:CB$87,'Fórmula'!F108,6),INDEX(properties!A$1:CB$87,'Fórmula'!H108,4),INDEX(properties!A$1:CB$87,'Fórmula'!J108,6))</f>
        <v>16</v>
      </c>
      <c r="X108" s="104">
        <f t="array" ref="X108">MIN(IF(INDEX(properties!A$1:CB$87,'Fórmula'!B108,6)=0,10^6,INDEX(properties!A$1:CB$87,'Fórmula'!B108,6)),IF(INDEX(properties!A$1:CB$87,'Fórmula'!D108,6)=0,10^6,INDEX(properties!A$1:CB$87,'Fórmula'!D108,6)),IF(INDEX(properties!A$1:CB$87,'Fórmula'!F108,6)=0,10^6,INDEX(properties!A$1:CB$87,'Fórmula'!F108,6)),IF(INDEX(properties!A$1:CB$87,'Fórmula'!H108,6)=0,10^6,INDEX(properties!A$1:CB$87,'Fórmula'!H108,6)),IF(INDEX(properties!A$1:CB$87,'Fórmula'!J108,6)=0,10^6,INDEX(properties!A$1:CB$87,'Fórmula'!J108,6)))</f>
        <v>3</v>
      </c>
      <c r="Y108" s="104">
        <f t="shared" si="4"/>
        <v>13</v>
      </c>
      <c r="Z108" s="105">
        <f t="array" ref="Z108">(('Fórmula'!C108)/('Fórmula'!C108+'Fórmula'!E108+'Fórmula'!G108+'Fórmula'!I108+'Fórmula'!K108))*(INDEX(properties!A$1:CB$87,'Fórmula'!B108,9))+(('Fórmula'!E108)/('Fórmula'!C108+'Fórmula'!E108+'Fórmula'!G108+'Fórmula'!I108+'Fórmula'!K108))*(INDEX(properties!A$1:CB$87,'Fórmula'!D108,9))+(('Fórmula'!G108)/('Fórmula'!C108+'Fórmula'!E108+'Fórmula'!G108+'Fórmula'!I108+'Fórmula'!K108))*(INDEX(properties!A$1:CB$87,'Fórmula'!F108,9))+(('Fórmula'!I108)/('Fórmula'!C108+'Fórmula'!E108+'Fórmula'!G108+'Fórmula'!I108+'Fórmula'!K108))*(INDEX(properties!A$1:CB$87,'Fórmula'!H108,9))+(('Fórmula'!K108)/('Fórmula'!C108+'Fórmula'!E108+'Fórmula'!G108+'Fórmula'!I108+'Fórmula'!K108))*(INDEX(properties!A$1:CB$87,'Fórmula'!J108,9))</f>
        <v>74.5</v>
      </c>
      <c r="AA108" s="105">
        <f t="array" ref="AA108">'Fórmula'!C108*(INDEX(properties!A$1:CB$87,'Fórmula'!B108,9))+'Fórmula'!E108*(INDEX(properties!A$1:CB$87,'Fórmula'!D108,9))+'Fórmula'!G108*(INDEX(properties!A$1:CB$87,'Fórmula'!F108,9))+'Fórmula'!I108*(INDEX(properties!A$1:CB$87,'Fórmula'!H108,9))+'Fórmula'!K108*(INDEX(properties!A$1:CB$87,'Fórmula'!J108,9))</f>
        <v>1490</v>
      </c>
      <c r="AB108" s="105">
        <f t="array" ref="AB108">VARP(IF(INDEX(properties!A$1:CB$87,'Fórmula'!B108,9)&lt;&gt;"",INDEX(properties!A$1:CB$87,'Fórmula'!B108,9)),IF(INDEX(properties!A$1:CB$87,'Fórmula'!D108,9)&lt;&gt;"",INDEX(properties!A$1:CB$87,'Fórmula'!D108,9)),IF(INDEX(properties!A$1:CB$87,'Fórmula'!F108,9)&lt;&gt;"",INDEX(properties!A$1:CB$87,'Fórmula'!F108,9)),IF(INDEX(properties!A$1:CB$87,'Fórmula'!H108,9)&lt;&gt;"",INDEX(properties!A$1:CB$87,'Fórmula'!H108,9)),IF(INDEX(properties!A$1:CB$87,'Fórmula'!J108,9)&lt;&gt;"",INDEX(properties!A$1:CB$87,'Fórmula'!J108,9)))</f>
        <v>1326.64</v>
      </c>
      <c r="AC108" s="105">
        <f t="array" ref="AC108">MAX(INDEX(properties!A$1:CB$87,'Fórmula'!B108,9),INDEX(properties!A$1:CB$87,'Fórmula'!D108,9),INDEX(properties!A$1:CB$87,'Fórmula'!F108,9),INDEX(properties!A$1:CB$87,'Fórmula'!H108,9),INDEX(properties!A$1:CB$87,'Fórmula'!J108,9))</f>
        <v>87</v>
      </c>
      <c r="AD108" s="105">
        <f t="array" ref="AD108">MIN(IF(INDEX(properties!A$1:CB$87,'Fórmula'!B108,9)=0,10^6,INDEX(properties!A$1:CB$87,'Fórmula'!B108,9)),IF(INDEX(properties!A$1:CB$87,'Fórmula'!D108,9)=0,10^6,INDEX(properties!A$1:CB$87,'Fórmula'!D108,9)),IF(INDEX(properties!A$1:CB$87,'Fórmula'!F108,9)=0,10^6,INDEX(properties!A$1:CB$87,'Fórmula'!F108,9)),IF(INDEX(properties!A$1:CB$87,'Fórmula'!H108,9)=0,10^6,INDEX(properties!A$1:CB$87,'Fórmula'!H108,9)),IF(INDEX(properties!A$1:CB$87,'Fórmula'!J108,9)=0,10^6,INDEX(properties!A$1:CB$87,'Fórmula'!J108,9)))</f>
        <v>27</v>
      </c>
      <c r="AE108" s="105">
        <f t="shared" si="5"/>
        <v>60</v>
      </c>
      <c r="AF108" s="106">
        <f t="array" ref="AF108">(('Fórmula'!C108)/('Fórmula'!C108+'Fórmula'!E108+'Fórmula'!G108+'Fórmula'!I108+'Fórmula'!K108))*(INDEX(properties!A$1:CB$87,'Fórmula'!B108,10))+(('Fórmula'!E108)/('Fórmula'!C108+'Fórmula'!E108+'Fórmula'!G108+'Fórmula'!I108+'Fórmula'!K108))*(INDEX(properties!A$1:CB$87,'Fórmula'!D108,10))+(('Fórmula'!G108)/('Fórmula'!C108+'Fórmula'!E108+'Fórmula'!G108+'Fórmula'!I108+'Fórmula'!K108))*(INDEX(properties!A$1:CB$87,'Fórmula'!F108,10))+(('Fórmula'!I108)/('Fórmula'!C108+'Fórmula'!E108+'Fórmula'!G108+'Fórmula'!I108+'Fórmula'!K108))*(INDEX(properties!A$1:CB$87,'Fórmula'!H108,10))+(('Fórmula'!K108)/('Fórmula'!C108+'Fórmula'!E108+'Fórmula'!G108+'Fórmula'!I108+'Fórmula'!K108))*(INDEX(properties!A$1:CB$87,'Fórmula'!J108,10))</f>
        <v>5.9</v>
      </c>
      <c r="AG108" s="106">
        <f t="array" ref="AG108">'Fórmula'!C108*(INDEX(properties!A$1:CB$87,'Fórmula'!B108,10))+'Fórmula'!E108*(INDEX(properties!A$1:CB$87,'Fórmula'!D108,10))+'Fórmula'!G108*(INDEX(properties!A$1:CB$87,'Fórmula'!F108,10))+'Fórmula'!I108*(INDEX(properties!A$1:CB$87,'Fórmula'!H108,10))+'Fórmula'!K108*(INDEX(properties!A$1:CB$87,'Fórmula'!J108,10))</f>
        <v>118</v>
      </c>
      <c r="AH108" s="106">
        <f t="array" ref="AH108">VARP(IF(INDEX(properties!A$1:CB$87,'Fórmula'!B108,10)&lt;&gt;"",INDEX(properties!A$1:CB$87,'Fórmula'!B108,10)),IF(INDEX(properties!A$1:CB$87,'Fórmula'!D108,10)&lt;&gt;"",INDEX(properties!A$1:CB$87,'Fórmula'!D108,10)),IF(INDEX(properties!A$1:CB$87,'Fórmula'!F108,10)&lt;&gt;"",INDEX(properties!A$1:CB$87,'Fórmula'!F108,10)),IF(INDEX(properties!A$1:CB$87,'Fórmula'!H108,10)&lt;&gt;"",INDEX(properties!A$1:CB$87,'Fórmula'!H108,10)),IF(INDEX(properties!A$1:CB$87,'Fórmula'!J108,10)&lt;&gt;"",INDEX(properties!A$1:CB$87,'Fórmula'!J108,10)))</f>
        <v>7.6</v>
      </c>
      <c r="AI108" s="106">
        <f t="array" ref="AI108">MAX(INDEX(properties!A$1:CB$87,'Fórmula'!B108,10),INDEX(properties!A$1:CB$87,'Fórmula'!D108,10),INDEX(properties!A$1:CB$87,'Fórmula'!F108,10),INDEX(properties!A$1:CB$87,'Fórmula'!H108,10),INDEX(properties!A$1:CB$87,'Fórmula'!J108,10))</f>
        <v>7</v>
      </c>
      <c r="AJ108" s="106">
        <f t="array" ref="AJ108">MIN(IF(INDEX(properties!A$1:CB$87,'Fórmula'!B108,10)=0,10^6,INDEX(properties!A$1:CB$87,'Fórmula'!B108,10)),IF(INDEX(properties!A$1:CB$87,'Fórmula'!D108,10)=0,10^6,INDEX(properties!A$1:CB$87,'Fórmula'!D108,10)),IF(INDEX(properties!A$1:CB$87,'Fórmula'!F108,10)=0,10^6,INDEX(properties!A$1:CB$87,'Fórmula'!F108,10)),IF(INDEX(properties!A$1:CB$87,'Fórmula'!H108,10)=0,10^6,INDEX(properties!A$1:CB$87,'Fórmula'!H108,10)),IF(INDEX(properties!A$1:CB$87,'Fórmula'!J108,10)=0,10^6,INDEX(properties!A$1:CB$87,'Fórmula'!J108,10)))</f>
        <v>3</v>
      </c>
      <c r="AK108" s="106">
        <f t="shared" si="6"/>
        <v>4</v>
      </c>
      <c r="AL108" s="107">
        <f t="array" ref="AL108">(('Fórmula'!C108)/('Fórmula'!C108+'Fórmula'!E108+'Fórmula'!G108+'Fórmula'!I108+'Fórmula'!K108))*(INDEX(properties!A$1:CB$87,'Fórmula'!B108,11))+(('Fórmula'!E108)/('Fórmula'!C108+'Fórmula'!E108+'Fórmula'!G108+'Fórmula'!I108+'Fórmula'!K108))*(INDEX(properties!A$1:CB$87,'Fórmula'!D108,11))+(('Fórmula'!G108)/('Fórmula'!C108+'Fórmula'!E108+'Fórmula'!G108+'Fórmula'!I108+'Fórmula'!K108))*(INDEX(properties!A$1:CB$87,'Fórmula'!F108,11))+(('Fórmula'!I108)/('Fórmula'!C108+'Fórmula'!E108+'Fórmula'!G108+'Fórmula'!I108+'Fórmula'!K108))*(INDEX(properties!A$1:CB$87,'Fórmula'!H108,11))+(('Fórmula'!K108)/('Fórmula'!C108+'Fórmula'!E108+'Fórmula'!G108+'Fórmula'!I108+'Fórmula'!K108))*(INDEX(properties!A$1:CB$87,'Fórmula'!J108,11))</f>
        <v>2</v>
      </c>
      <c r="AM108" s="107">
        <f t="array" ref="AM108">'Fórmula'!C108*(INDEX(properties!A$1:CB$87,'Fórmula'!B108,11))+'Fórmula'!E108*(INDEX(properties!A$1:CB$87,'Fórmula'!D108,11))+'Fórmula'!G108*(INDEX(properties!A$1:CB$87,'Fórmula'!F108,11))+'Fórmula'!I108*(INDEX(properties!A$1:CB$87,'Fórmula'!H108,11))+'Fórmula'!K108*(INDEX(properties!A$1:CB$87,'Fórmula'!J108,11))</f>
        <v>40</v>
      </c>
      <c r="AN108" s="107">
        <f t="array" ref="AN108">VARP(IF(INDEX(properties!A$1:CB$87,'Fórmula'!B108,11)&lt;&gt;"",INDEX(properties!A$1:CB$87,'Fórmula'!B108,11)),IF(INDEX(properties!A$1:CB$87,'Fórmula'!D108,11)&lt;&gt;"",INDEX(properties!A$1:CB$87,'Fórmula'!D108,11)),IF(INDEX(properties!A$1:CB$87,'Fórmula'!F108,11)&lt;&gt;"",INDEX(properties!A$1:CB$87,'Fórmula'!F108,11)),IF(INDEX(properties!A$1:CB$87,'Fórmula'!H108,11)&lt;&gt;"",INDEX(properties!A$1:CB$87,'Fórmula'!H108,11)),IF(INDEX(properties!A$1:CB$87,'Fórmula'!J108,11)&lt;&gt;"",INDEX(properties!A$1:CB$87,'Fórmula'!J108,11)))</f>
        <v>0.96</v>
      </c>
      <c r="AO108" s="107">
        <f t="array" ref="AO108">MAX(INDEX(properties!A$1:CB$87,'Fórmula'!B108,11),INDEX(properties!A$1:CB$87,'Fórmula'!D108,11),INDEX(properties!A$1:CB$87,'Fórmula'!F108,11),INDEX(properties!A$1:CB$87,'Fórmula'!H108,11),INDEX(properties!A$1:CB$87,'Fórmula'!J108,11))</f>
        <v>2</v>
      </c>
      <c r="AP108" s="107">
        <f t="array" ref="AP108">MIN(IF('Fórmula'!B108=87,10^6,INDEX(properties!A$1:CB$87,'Fórmula'!B108,11)),IF(('Fórmula'!D108)=87,10^6,INDEX(properties!A$1:CB$87,'Fórmula'!D108,11)),IF(('Fórmula'!F108)=87,10^6,INDEX(properties!A$1:CB$87,'Fórmula'!F108,11)),IF(('Fórmula'!H108)=87,10^6,INDEX(properties!A$1:CB$87,'Fórmula'!H108,11)),IF('Fórmula'!J108=87,10^6,INDEX(properties!A$1:CB$87,'Fórmula'!J108,11)))</f>
        <v>2</v>
      </c>
      <c r="AQ108" s="107">
        <f t="shared" si="7"/>
        <v>0</v>
      </c>
      <c r="AR108" s="108">
        <f t="array" ref="AR108">(('Fórmula'!C108)/('Fórmula'!C108+'Fórmula'!E108+'Fórmula'!G108+'Fórmula'!I108+'Fórmula'!K108))*(INDEX(properties!A$1:CB$87,'Fórmula'!B108,12))+(('Fórmula'!E108)/('Fórmula'!C108+'Fórmula'!E108+'Fórmula'!G108+'Fórmula'!I108+'Fórmula'!K108))*(INDEX(properties!A$1:CB$87,'Fórmula'!D108,12))+(('Fórmula'!G108)/('Fórmula'!C108+'Fórmula'!E108+'Fórmula'!G108+'Fórmula'!I108+'Fórmula'!K108))*(INDEX(properties!A$1:CB$87,'Fórmula'!F108,12))+(('Fórmula'!I108)/('Fórmula'!C108+'Fórmula'!E108+'Fórmula'!G108+'Fórmula'!I108+'Fórmula'!K108))*(INDEX(properties!A$1:CB$87,'Fórmula'!H108,12))+(('Fórmula'!K108)/('Fórmula'!C108+'Fórmula'!E108+'Fórmula'!G108+'Fórmula'!I108+'Fórmula'!K108))*(INDEX(properties!A$1:CB$87,'Fórmula'!J108,12))</f>
        <v>2.65</v>
      </c>
      <c r="AS108" s="108">
        <f t="array" ref="AS108">'Fórmula'!C108*(INDEX(properties!A$1:CB$87,'Fórmula'!B108,12))+'Fórmula'!E108*(INDEX(properties!A$1:CB$87,'Fórmula'!D108,12))+'Fórmula'!G108*(INDEX(properties!A$1:CB$87,'Fórmula'!F108,12))+'Fórmula'!I108*(INDEX(properties!A$1:CB$87,'Fórmula'!H108,12))+'Fórmula'!K108*(INDEX(properties!A$1:CB$87,'Fórmula'!J108,12))</f>
        <v>53</v>
      </c>
      <c r="AT108" s="108">
        <f t="array" ref="AT108">VARP(IF(INDEX(properties!A$1:CB$87,'Fórmula'!B108,12)&lt;&gt;"",INDEX(properties!A$1:CB$87,'Fórmula'!B108,12)),IF(INDEX(properties!A$1:CB$87,'Fórmula'!D108,12)&lt;&gt;"",INDEX(properties!A$1:CB$87,'Fórmula'!D108,12)),IF(INDEX(properties!A$1:CB$87,'Fórmula'!F108,12)&lt;&gt;"",INDEX(properties!A$1:CB$87,'Fórmula'!F108,12)),IF(INDEX(properties!A$1:CB$87,'Fórmula'!H108,12)&lt;&gt;"",INDEX(properties!A$1:CB$87,'Fórmula'!H108,12)),IF(INDEX(properties!A$1:CB$87,'Fórmula'!J108,12)&lt;&gt;"",INDEX(properties!A$1:CB$87,'Fórmula'!J108,12)))</f>
        <v>2.4</v>
      </c>
      <c r="AU108" s="108">
        <f t="array" ref="AU108">MAX(INDEX(properties!A$1:CB$87,'Fórmula'!B108,12),INDEX(properties!A$1:CB$87,'Fórmula'!D108,12),INDEX(properties!A$1:CB$87,'Fórmula'!F108,12),INDEX(properties!A$1:CB$87,'Fórmula'!H108,12),INDEX(properties!A$1:CB$87,'Fórmula'!J108,12))</f>
        <v>4</v>
      </c>
      <c r="AV108" s="108">
        <f t="array" ref="AV108">MIN(IF('Fórmula'!B108=87,10^6,INDEX(properties!A$1:CB$87,'Fórmula'!B108,12)),IF(('Fórmula'!D108)=87,10^6,INDEX(properties!A$1:CB$87,'Fórmula'!D108,12)),IF(('Fórmula'!F108)=87,10^6,INDEX(properties!A$1:CB$87,'Fórmula'!F108,12)),IF(('Fórmula'!H108)=87,10^6,INDEX(properties!A$1:CB$87,'Fórmula'!H108,12)),IF('Fórmula'!J108=87,10^6,INDEX(properties!A$1:CB$87,'Fórmula'!J108,12)))</f>
        <v>0</v>
      </c>
      <c r="AW108" s="108">
        <f t="shared" si="8"/>
        <v>4</v>
      </c>
      <c r="AX108" s="109">
        <f t="array" ref="AX108">(('Fórmula'!C108)/('Fórmula'!C108+'Fórmula'!E108+'Fórmula'!G108+'Fórmula'!I108+'Fórmula'!K108))*(INDEX(properties!A$1:CB$87,'Fórmula'!B108,13))+(('Fórmula'!E108)/('Fórmula'!C108+'Fórmula'!E108+'Fórmula'!G108+'Fórmula'!I108+'Fórmula'!K108))*(INDEX(properties!A$1:CB$87,'Fórmula'!D108,13))+(('Fórmula'!G108)/('Fórmula'!C108+'Fórmula'!E108+'Fórmula'!G108+'Fórmula'!I108+'Fórmula'!K108))*(INDEX(properties!A$1:CB$87,'Fórmula'!F108,13))+(('Fórmula'!I108)/('Fórmula'!C108+'Fórmula'!E108+'Fórmula'!G108+'Fórmula'!I108+'Fórmula'!K108))*(INDEX(properties!A$1:CB$87,'Fórmula'!H108,13))+(('Fórmula'!K108)/('Fórmula'!C108+'Fórmula'!E108+'Fórmula'!G108+'Fórmula'!I108+'Fórmula'!K108))*(INDEX(properties!A$1:CB$87,'Fórmula'!J108,13))</f>
        <v>0.15</v>
      </c>
      <c r="AY108" s="109">
        <f t="array" ref="AY108">'Fórmula'!C108*(INDEX(properties!A$1:CB$87,'Fórmula'!B108,13))+'Fórmula'!E108*(INDEX(properties!A$1:CB$87,'Fórmula'!D108,13))+'Fórmula'!G108*(INDEX(properties!A$1:CB$87,'Fórmula'!F108,13))+'Fórmula'!I108*(INDEX(properties!A$1:CB$87,'Fórmula'!H108,13))+'Fórmula'!K108*(INDEX(properties!A$1:CB$87,'Fórmula'!J108,13))</f>
        <v>3</v>
      </c>
      <c r="AZ108" s="109">
        <f t="array" ref="AZ108">VARP(IF(INDEX(properties!A$1:CB$87,'Fórmula'!B108,13)&lt;&gt;"",INDEX(properties!A$1:CB$87,'Fórmula'!B108,13)),IF(INDEX(properties!A$1:CB$87,'Fórmula'!D108,13)&lt;&gt;"",INDEX(properties!A$1:CB$87,'Fórmula'!D108,13)),IF(INDEX(properties!A$1:CB$87,'Fórmula'!F108,13)&lt;&gt;"",INDEX(properties!A$1:CB$87,'Fórmula'!F108,13)),IF(INDEX(properties!A$1:CB$87,'Fórmula'!H108,13)&lt;&gt;"",INDEX(properties!A$1:CB$87,'Fórmula'!H108,13)),IF(INDEX(properties!A$1:CB$87,'Fórmula'!J108,13)&lt;&gt;"",INDEX(properties!A$1:CB$87,'Fórmula'!J108,13)))</f>
        <v>0.16</v>
      </c>
      <c r="BA108" s="109">
        <f t="array" ref="BA108">MAX(INDEX(properties!A$1:CB$87,'Fórmula'!B108,13),INDEX(properties!A$1:CB$87,'Fórmula'!D108,13),INDEX(properties!A$1:CB$87,'Fórmula'!F108,13),INDEX(properties!A$1:CB$87,'Fórmula'!H108,13),INDEX(properties!A$1:CB$87,'Fórmula'!J108,13))</f>
        <v>1</v>
      </c>
      <c r="BB108" s="109">
        <f t="array" ref="BB108">MIN(IF('Fórmula'!B108=87,10^6,INDEX(properties!A$1:CB$87,'Fórmula'!B108,13)),IF(('Fórmula'!D108)=87,10^6,INDEX(properties!A$1:CB$87,'Fórmula'!D108,13)),IF(('Fórmula'!F108)=87,10^6,INDEX(properties!A$1:CB$87,'Fórmula'!F108,13)),IF(('Fórmula'!H108)=87,10^6,INDEX(properties!A$1:CB$87,'Fórmula'!H108,13)),IF('Fórmula'!J108=87,10^6,INDEX(properties!A$1:CB$87,'Fórmula'!J108,13)))</f>
        <v>0</v>
      </c>
      <c r="BC108" s="109">
        <f t="shared" si="9"/>
        <v>1</v>
      </c>
      <c r="BD108" s="110">
        <f t="array" ref="BD108">(('Fórmula'!C108)/('Fórmula'!C108+'Fórmula'!E108+'Fórmula'!G108+'Fórmula'!I108+'Fórmula'!K108))*(INDEX(properties!A$1:CB$87,'Fórmula'!B108,14))+(('Fórmula'!E108)/('Fórmula'!C108+'Fórmula'!E108+'Fórmula'!G108+'Fórmula'!I108+'Fórmula'!K108))*(INDEX(properties!A$1:CB$87,'Fórmula'!D108,14))+(('Fórmula'!G108)/('Fórmula'!C108+'Fórmula'!E108+'Fórmula'!G108+'Fórmula'!I108+'Fórmula'!K108))*(INDEX(properties!A$1:CB$87,'Fórmula'!F108,14))+(('Fórmula'!I108)/('Fórmula'!C108+'Fórmula'!E108+'Fórmula'!G108+'Fórmula'!I108+'Fórmula'!K108))*(INDEX(properties!A$1:CB$87,'Fórmula'!H108,14))+(('Fórmula'!K108)/('Fórmula'!C108+'Fórmula'!E108+'Fórmula'!G108+'Fórmula'!I108+'Fórmula'!K108))*(INDEX(properties!A$1:CB$87,'Fórmula'!J108,14))</f>
        <v>1.05</v>
      </c>
      <c r="BE108" s="110">
        <f t="array" ref="BE108">'Fórmula'!C108*(INDEX(properties!A$1:CB$87,'Fórmula'!B108,14))+'Fórmula'!E108*(INDEX(properties!A$1:CB$87,'Fórmula'!D108,14))+'Fórmula'!G108*(INDEX(properties!A$1:CB$87,'Fórmula'!F108,14))+'Fórmula'!I108*(INDEX(properties!A$1:CB$87,'Fórmula'!H108,14))+'Fórmula'!K108*(INDEX(properties!A$1:CB$87,'Fórmula'!J108,14))</f>
        <v>21</v>
      </c>
      <c r="BF108" s="110">
        <f t="array" ref="BF108">VARP(IF(INDEX(properties!A$1:CB$87,'Fórmula'!B108,14)&lt;&gt;"",INDEX(properties!A$1:CB$87,'Fórmula'!B108,14)),IF(INDEX(properties!A$1:CB$87,'Fórmula'!D108,14)&lt;&gt;"",INDEX(properties!A$1:CB$87,'Fórmula'!D108,14)),IF(INDEX(properties!A$1:CB$87,'Fórmula'!F108,14)&lt;&gt;"",INDEX(properties!A$1:CB$87,'Fórmula'!F108,14)),IF(INDEX(properties!A$1:CB$87,'Fórmula'!H108,14)&lt;&gt;"",INDEX(properties!A$1:CB$87,'Fórmula'!H108,14)),IF(INDEX(properties!A$1:CB$87,'Fórmula'!J108,14)&lt;&gt;"",INDEX(properties!A$1:CB$87,'Fórmula'!J108,14)))</f>
        <v>7.84</v>
      </c>
      <c r="BG108" s="110">
        <f t="array" ref="BG108">MAX(INDEX(properties!A$1:CB$87,'Fórmula'!B108,14),INDEX(properties!A$1:CB$87,'Fórmula'!D108,14),INDEX(properties!A$1:CB$87,'Fórmula'!F108,14),INDEX(properties!A$1:CB$87,'Fórmula'!H108,14),INDEX(properties!A$1:CB$87,'Fórmula'!J108,14))</f>
        <v>7</v>
      </c>
      <c r="BH108" s="110">
        <f t="array" ref="BH108">MIN(IF('Fórmula'!B108=87,10^6,INDEX(properties!A$1:CB$87,'Fórmula'!B108,14)),IF(('Fórmula'!D108)=87,10^6,INDEX(properties!A$1:CB$87,'Fórmula'!D108,14)),IF(('Fórmula'!F108)=87,10^6,INDEX(properties!A$1:CB$87,'Fórmula'!F108,14)),IF(('Fórmula'!H108)=87,10^6,INDEX(properties!A$1:CB$87,'Fórmula'!H108,14)),IF('Fórmula'!J108=87,10^6,INDEX(properties!A$1:CB$87,'Fórmula'!J108,14)))</f>
        <v>0</v>
      </c>
      <c r="BI108" s="110">
        <f t="shared" si="10"/>
        <v>7</v>
      </c>
      <c r="BJ108" s="111">
        <f t="array" ref="BJ108">(('Fórmula'!C108)/('Fórmula'!C108+'Fórmula'!E108+'Fórmula'!G108+'Fórmula'!I108+'Fórmula'!K108))*(INDEX(properties!A$1:CB$87,'Fórmula'!B108,19))+(('Fórmula'!E108)/('Fórmula'!C108+'Fórmula'!E108+'Fórmula'!G108+'Fórmula'!I108+'Fórmula'!K108))*(INDEX(properties!A$1:CB$87,'Fórmula'!D108,19))+(('Fórmula'!G108)/('Fórmula'!C108+'Fórmula'!E108+'Fórmula'!G108+'Fórmula'!I108+'Fórmula'!K108))*(INDEX(properties!A$1:CB$87,'Fórmula'!F108,19))+(('Fórmula'!I108)/('Fórmula'!C108+'Fórmula'!E108+'Fórmula'!G108+'Fórmula'!I108+'Fórmula'!K108))*(INDEX(properties!A$1:CB$87,'Fórmula'!H108,19))+(('Fórmula'!K108)/('Fórmula'!C108+'Fórmula'!E108+'Fórmula'!G108+'Fórmula'!I108+'Fórmula'!K108))*(INDEX(properties!A$1:CB$87,'Fórmula'!J108,19))</f>
        <v>5.85</v>
      </c>
      <c r="BK108" s="111">
        <f t="array" ref="BK108">'Fórmula'!C108*(INDEX(properties!A$1:CB$87,'Fórmula'!B108,19))+'Fórmula'!E108*(INDEX(properties!A$1:CB$87,'Fórmula'!D108,19))+'Fórmula'!G108*(INDEX(properties!A$1:CB$87,'Fórmula'!F108,19))+'Fórmula'!I108*(INDEX(properties!A$1:CB$87,'Fórmula'!H108,19))+'Fórmula'!K108*(INDEX(properties!A$1:CB$87,'Fórmula'!J108,19))</f>
        <v>117</v>
      </c>
      <c r="BL108" s="111">
        <f t="array" ref="BL108">VARP(IF(INDEX(properties!A$1:CB$87,'Fórmula'!B108,19)&lt;&gt;"",INDEX(properties!A$1:CB$87,'Fórmula'!B108,19)),IF(INDEX(properties!A$1:CB$87,'Fórmula'!D108,19)&lt;&gt;"",INDEX(properties!A$1:CB$87,'Fórmula'!D108,19)),IF(INDEX(properties!A$1:CB$87,'Fórmula'!F108,19)&lt;&gt;"",INDEX(properties!A$1:CB$87,'Fórmula'!F108,19)),IF(INDEX(properties!A$1:CB$87,'Fórmula'!H108,19)&lt;&gt;"",INDEX(properties!A$1:CB$87,'Fórmula'!H108,19)),IF(INDEX(properties!A$1:CB$87,'Fórmula'!J108,19)&lt;&gt;"",INDEX(properties!A$1:CB$87,'Fórmula'!J108,19)))</f>
        <v>14.56</v>
      </c>
      <c r="BM108" s="111">
        <f t="array" ref="BM108">MAX(INDEX(properties!A$1:CB$87,'Fórmula'!B108,19),INDEX(properties!A$1:CB$87,'Fórmula'!D108,19),INDEX(properties!A$1:CB$87,'Fórmula'!F108,19),INDEX(properties!A$1:CB$87,'Fórmula'!H108,19),INDEX(properties!A$1:CB$87,'Fórmula'!J108,19))</f>
        <v>10</v>
      </c>
      <c r="BN108" s="111">
        <f t="array" ref="BN108">MIN(IF(INDEX(properties!A$1:CB$87,'Fórmula'!B108,19)=0,10^6,INDEX(properties!A$1:CB$87,'Fórmula'!B108,19)),IF(INDEX(properties!A$1:CB$87,'Fórmula'!D108,19)=0,10^6,INDEX(properties!A$1:CB$87,'Fórmula'!D108,19)),IF(INDEX(properties!A$1:CB$87,'Fórmula'!F108,19)=0,10^6,INDEX(properties!A$1:CB$87,'Fórmula'!F108,19)),IF(INDEX(properties!A$1:CB$87,'Fórmula'!H108,19)=0,10^6,INDEX(properties!A$1:CB$87,'Fórmula'!H108,19)),IF(INDEX(properties!A$1:CB$87,'Fórmula'!J108,19)=0,10^6,INDEX(properties!A$1:CB$87,'Fórmula'!J108,19)))</f>
        <v>3</v>
      </c>
      <c r="BO108" s="111">
        <f t="shared" si="11"/>
        <v>7</v>
      </c>
      <c r="BP108" s="112">
        <f t="array" ref="BP108">(('Fórmula'!C108)/('Fórmula'!C108+'Fórmula'!E108+'Fórmula'!G108+'Fórmula'!I108+'Fórmula'!K108))*(INDEX(properties!A$1:CB$87,'Fórmula'!B108,20))+(('Fórmula'!E108)/('Fórmula'!C108+'Fórmula'!E108+'Fórmula'!G108+'Fórmula'!I108+'Fórmula'!K108))*(INDEX(properties!A$1:CB$87,'Fórmula'!D108,20))+(('Fórmula'!G108)/('Fórmula'!C108+'Fórmula'!E108+'Fórmula'!G108+'Fórmula'!I108+'Fórmula'!K108))*(INDEX(properties!A$1:CB$87,'Fórmula'!F108,20))+(('Fórmula'!I108)/('Fórmula'!C108+'Fórmula'!E108+'Fórmula'!G108+'Fórmula'!I108+'Fórmula'!K108))*(INDEX(properties!A$1:CB$87,'Fórmula'!H108,20))+(('Fórmula'!K108)/('Fórmula'!C108+'Fórmula'!E108+'Fórmula'!G108+'Fórmula'!I108+'Fórmula'!K108))*(INDEX(properties!A$1:CB$87,'Fórmula'!J108,20))</f>
        <v>4.65</v>
      </c>
      <c r="BQ108" s="112">
        <f t="array" ref="BQ108">'Fórmula'!C108*(INDEX(properties!A$1:CB$87,'Fórmula'!B108,20))+'Fórmula'!E108*(INDEX(properties!A$1:CB$87,'Fórmula'!D108,20))+'Fórmula'!G108*(INDEX(properties!A$1:CB$87,'Fórmula'!F108,20))+'Fórmula'!I108*(INDEX(properties!A$1:CB$87,'Fórmula'!H108,20))+'Fórmula'!K108*(INDEX(properties!A$1:CB$87,'Fórmula'!J108,20))</f>
        <v>93</v>
      </c>
      <c r="BR108" s="112">
        <f t="array" ref="BR108">VARP(IF(INDEX(properties!A$1:CB$87,'Fórmula'!B108,20)&lt;&gt;"",INDEX(properties!A$1:CB$87,'Fórmula'!B108,20)),IF(INDEX(properties!A$1:CB$87,'Fórmula'!D108,20)&lt;&gt;"",INDEX(properties!A$1:CB$87,'Fórmula'!D108,20)),IF(INDEX(properties!A$1:CB$87,'Fórmula'!F108,20)&lt;&gt;"",INDEX(properties!A$1:CB$87,'Fórmula'!F108,20)),IF(INDEX(properties!A$1:CB$87,'Fórmula'!H108,20)&lt;&gt;"",INDEX(properties!A$1:CB$87,'Fórmula'!H108,20)),IF(INDEX(properties!A$1:CB$87,'Fórmula'!J108,20)&lt;&gt;"",INDEX(properties!A$1:CB$87,'Fórmula'!J108,20)))</f>
        <v>4.96</v>
      </c>
      <c r="BS108" s="112">
        <f t="array" ref="BS108">MAX(INDEX(properties!A$1:CB$87,'Fórmula'!B108,20),INDEX(properties!A$1:CB$87,'Fórmula'!D108,20),INDEX(properties!A$1:CB$87,'Fórmula'!F108,20),INDEX(properties!A$1:CB$87,'Fórmula'!H108,20),INDEX(properties!A$1:CB$87,'Fórmula'!J108,20))</f>
        <v>6</v>
      </c>
      <c r="BT108" s="112">
        <f t="array" ref="BT108">MIN(IF(INDEX(properties!A$1:CB$87,'Fórmula'!B108,20)=0,10^6,INDEX(properties!A$1:CB$87,'Fórmula'!B108,20)),IF(INDEX(properties!A$1:CB$87,'Fórmula'!D108,20)=0,10^6,INDEX(properties!A$1:CB$87,'Fórmula'!D108,20)),IF(INDEX(properties!A$1:CB$87,'Fórmula'!F108,20)=0,10^6,INDEX(properties!A$1:CB$87,'Fórmula'!F108,20)),IF(INDEX(properties!A$1:CB$87,'Fórmula'!H108,20)=0,10^6,INDEX(properties!A$1:CB$87,'Fórmula'!H108,20)),IF(INDEX(properties!A$1:CB$87,'Fórmula'!J108,20)=0,10^6,INDEX(properties!A$1:CB$87,'Fórmula'!J108,20)))</f>
        <v>2</v>
      </c>
      <c r="BU108" s="112">
        <f t="shared" si="12"/>
        <v>4</v>
      </c>
      <c r="BV108" s="113">
        <f t="array" ref="BV108">(('Fórmula'!C108)/('Fórmula'!C108+'Fórmula'!E108+'Fórmula'!G108+'Fórmula'!I108+'Fórmula'!K108))*(INDEX(properties!A$1:CB$87,'Fórmula'!B108,21))+(('Fórmula'!E108)/('Fórmula'!C108+'Fórmula'!E108+'Fórmula'!G108+'Fórmula'!I108+'Fórmula'!K108))*(INDEX(properties!A$1:CB$87,'Fórmula'!D108,21))+(('Fórmula'!G108)/('Fórmula'!C108+'Fórmula'!E108+'Fórmula'!G108+'Fórmula'!I108+'Fórmula'!K108))*(INDEX(properties!A$1:CB$87,'Fórmula'!F108,21))+(('Fórmula'!I108)/('Fórmula'!C108+'Fórmula'!E108+'Fórmula'!G108+'Fórmula'!I108+'Fórmula'!K108))*(INDEX(properties!A$1:CB$87,'Fórmula'!H108,21))+(('Fórmula'!K108)/('Fórmula'!C108+'Fórmula'!E108+'Fórmula'!G108+'Fórmula'!I108+'Fórmula'!K108))*(INDEX(properties!A$1:CB$87,'Fórmula'!J108,21))</f>
        <v>4.8</v>
      </c>
      <c r="BW108" s="113">
        <f t="array" ref="BW108">'Fórmula'!C108*(INDEX(properties!A$1:CB$87,'Fórmula'!B108,21))+'Fórmula'!E108*(INDEX(properties!A$1:CB$87,'Fórmula'!D108,21))+'Fórmula'!G108*(INDEX(properties!A$1:CB$87,'Fórmula'!F108,21))+'Fórmula'!I108*(INDEX(properties!A$1:CB$87,'Fórmula'!H108,21))+'Fórmula'!K108*(INDEX(properties!A$1:CB$87,'Fórmula'!J108,21))</f>
        <v>96</v>
      </c>
      <c r="BX108" s="113">
        <f t="array" ref="BX108">VARP(IF(INDEX(properties!A$1:CB$87,'Fórmula'!B108,21)&lt;&gt;"",INDEX(properties!A$1:CB$87,'Fórmula'!B108,21)),IF(INDEX(properties!A$1:CB$87,'Fórmula'!D108,21)&lt;&gt;"",INDEX(properties!A$1:CB$87,'Fórmula'!D108,21)),IF(INDEX(properties!A$1:CB$87,'Fórmula'!F108,21)&lt;&gt;"",INDEX(properties!A$1:CB$87,'Fórmula'!F108,21)),IF(INDEX(properties!A$1:CB$87,'Fórmula'!H108,21)&lt;&gt;"",INDEX(properties!A$1:CB$87,'Fórmula'!H108,21)),IF(INDEX(properties!A$1:CB$87,'Fórmula'!J108,21)&lt;&gt;"",INDEX(properties!A$1:CB$87,'Fórmula'!J108,21)))</f>
        <v>5.04</v>
      </c>
      <c r="BY108" s="113">
        <f t="array" ref="BY108">MAX(INDEX(properties!A$1:CB$87,'Fórmula'!B108,21),INDEX(properties!A$1:CB$87,'Fórmula'!D108,21),INDEX(properties!A$1:CB$87,'Fórmula'!F108,21),INDEX(properties!A$1:CB$87,'Fórmula'!H108,21),INDEX(properties!A$1:CB$87,'Fórmula'!J108,21))</f>
        <v>6</v>
      </c>
      <c r="BZ108" s="113">
        <f t="array" ref="BZ108">MIN(IF(INDEX(properties!A$1:CB$87,'Fórmula'!B108,21)=0,10^6,INDEX(properties!A$1:CB$87,'Fórmula'!B108,21)),IF(INDEX(properties!A$1:CB$87,'Fórmula'!D108,21)=0,10^6,INDEX(properties!A$1:CB$87,'Fórmula'!D108,21)),IF(INDEX(properties!A$1:CB$87,'Fórmula'!F108,21)=0,10^6,INDEX(properties!A$1:CB$87,'Fórmula'!F108,21)),IF(INDEX(properties!A$1:CB$87,'Fórmula'!H108,21)=0,10^6,INDEX(properties!A$1:CB$87,'Fórmula'!H108,21)),IF(INDEX(properties!A$1:CB$87,'Fórmula'!J108,21)=0,10^6,INDEX(properties!A$1:CB$87,'Fórmula'!J108,21)))</f>
        <v>3</v>
      </c>
      <c r="CA108" s="113">
        <f t="shared" si="13"/>
        <v>3</v>
      </c>
      <c r="CB108" s="114">
        <f t="array" ref="CB108">(('Fórmula'!C108)/('Fórmula'!C108+'Fórmula'!E108+'Fórmula'!G108+'Fórmula'!I108+'Fórmula'!K108))*(INDEX(properties!A$1:CB$87,'Fórmula'!B108,23))+(('Fórmula'!E108)/('Fórmula'!C108+'Fórmula'!E108+'Fórmula'!G108+'Fórmula'!I108+'Fórmula'!K108))*(INDEX(properties!A$1:CB$87,'Fórmula'!D108,23))+(('Fórmula'!G108)/('Fórmula'!C108+'Fórmula'!E108+'Fórmula'!G108+'Fórmula'!I108+'Fórmula'!K108))*(INDEX(properties!A$1:CB$87,'Fórmula'!F108,23))+(('Fórmula'!I108)/('Fórmula'!C108+'Fórmula'!E108+'Fórmula'!G108+'Fórmula'!I108+'Fórmula'!K108))*(INDEX(properties!A$1:CB$87,'Fórmula'!H108,23))+(('Fórmula'!K108)/('Fórmula'!C108+'Fórmula'!E108+'Fórmula'!G108+'Fórmula'!I108+'Fórmula'!K108))*(INDEX(properties!A$1:CB$87,'Fórmula'!J108,23))</f>
        <v>1.2</v>
      </c>
      <c r="CC108" s="114">
        <f t="array" ref="CC108">'Fórmula'!C108*(INDEX(properties!A$1:CB$87,'Fórmula'!B108,23))+'Fórmula'!E108*(INDEX(properties!A$1:CB$87,'Fórmula'!D108,23))+'Fórmula'!G108*(INDEX(properties!A$1:CB$87,'Fórmula'!F108,23))+'Fórmula'!I108*(INDEX(properties!A$1:CB$87,'Fórmula'!H108,23))+'Fórmula'!K108*(INDEX(properties!A$1:CB$87,'Fórmula'!J108,23))</f>
        <v>24</v>
      </c>
      <c r="CD108" s="114">
        <f t="array" ref="CD108">VARP(IF(INDEX(properties!A$1:CB$87,'Fórmula'!B108,23)&lt;&gt;"",INDEX(properties!A$1:CB$87,'Fórmula'!B108,23)),IF(INDEX(properties!A$1:CB$87,'Fórmula'!D108,23)&lt;&gt;"",INDEX(properties!A$1:CB$87,'Fórmula'!D108,23)),IF(INDEX(properties!A$1:CB$87,'Fórmula'!F108,23)&lt;&gt;"",INDEX(properties!A$1:CB$87,'Fórmula'!F108,23)),IF(INDEX(properties!A$1:CB$87,'Fórmula'!H108,23)&lt;&gt;"",INDEX(properties!A$1:CB$87,'Fórmula'!H108,23)),IF(INDEX(properties!A$1:CB$87,'Fórmula'!J108,23)&lt;&gt;"",INDEX(properties!A$1:CB$87,'Fórmula'!J108,23)))</f>
        <v>2.16</v>
      </c>
      <c r="CE108" s="114">
        <f t="array" ref="CE108">MAX(INDEX(properties!A$1:CB$87,'Fórmula'!B108,23),INDEX(properties!A$1:CB$87,'Fórmula'!D108,23),INDEX(properties!A$1:CB$87,'Fórmula'!F108,23),INDEX(properties!A$1:CB$87,'Fórmula'!H108,23),INDEX(properties!A$1:CB$87,'Fórmula'!J108,23))</f>
        <v>3</v>
      </c>
      <c r="CF108" s="114">
        <f t="array" ref="CF108">MIN(IF('Fórmula'!B108=87,10^6,INDEX(properties!A$1:CB$87,'Fórmula'!B108,23)),IF(('Fórmula'!D108)=87,10^6,INDEX(properties!A$1:CB$87,'Fórmula'!D108,23)),IF(('Fórmula'!F108)=87,10^6,INDEX(properties!A$1:CB$87,'Fórmula'!F108,23)),IF(('Fórmula'!H108)=87,10^6,INDEX(properties!A$1:CB$87,'Fórmula'!H108,23)),IF('Fórmula'!J108=87,10^6,INDEX(properties!A$1:CB$87,'Fórmula'!J108,23)))</f>
        <v>0</v>
      </c>
      <c r="CG108" s="114">
        <f t="shared" si="14"/>
        <v>3</v>
      </c>
      <c r="CH108" s="115">
        <f t="array" ref="CH108">(('Fórmula'!C108)/('Fórmula'!C108+'Fórmula'!E108+'Fórmula'!G108+'Fórmula'!I108+'Fórmula'!K108))*(INDEX(properties!A$1:CB$87,'Fórmula'!B108,26))+(('Fórmula'!E108)/('Fórmula'!C108+'Fórmula'!E108+'Fórmula'!G108+'Fórmula'!I108+'Fórmula'!K108))*(INDEX(properties!A$1:CB$87,'Fórmula'!D108,26))+(('Fórmula'!G108)/('Fórmula'!C108+'Fórmula'!E108+'Fórmula'!G108+'Fórmula'!I108+'Fórmula'!K108))*(INDEX(properties!A$1:CB$87,'Fórmula'!F108,26))+(('Fórmula'!I108)/('Fórmula'!C108+'Fórmula'!E108+'Fórmula'!G108+'Fórmula'!I108+'Fórmula'!K108))*(INDEX(properties!A$1:CB$87,'Fórmula'!H108,26))+(('Fórmula'!K108)/('Fórmula'!C108+'Fórmula'!E108+'Fórmula'!G108+'Fórmula'!I108+'Fórmula'!K108))*(INDEX(properties!A$1:CB$87,'Fórmula'!J108,26))</f>
        <v>10.58978</v>
      </c>
      <c r="CI108" s="115">
        <f t="array" ref="CI108">'Fórmula'!C108*(INDEX(properties!A$1:CB$87,'Fórmula'!B108,26))+'Fórmula'!E108*(INDEX(properties!A$1:CB$87,'Fórmula'!D108,26))+'Fórmula'!G108*(INDEX(properties!A$1:CB$87,'Fórmula'!F108,26))+'Fórmula'!I108*(INDEX(properties!A$1:CB$87,'Fórmula'!H108,26))+'Fórmula'!K108*(INDEX(properties!A$1:CB$87,'Fórmula'!J108,26))</f>
        <v>211.7956</v>
      </c>
      <c r="CJ108" s="115">
        <f t="array" ref="CJ108">VARP(IF(INDEX(properties!A$1:CB$87,'Fórmula'!B108,26)&lt;&gt;"",INDEX(properties!A$1:CB$87,'Fórmula'!B108,26)),IF(INDEX(properties!A$1:CB$87,'Fórmula'!D108,26)&lt;&gt;"",INDEX(properties!A$1:CB$87,'Fórmula'!D108,26)),IF(INDEX(properties!A$1:CB$87,'Fórmula'!F108,26)&lt;&gt;"",INDEX(properties!A$1:CB$87,'Fórmula'!F108,26)),IF(INDEX(properties!A$1:CB$87,'Fórmula'!H108,26)&lt;&gt;"",INDEX(properties!A$1:CB$87,'Fórmula'!H108,26)),IF(INDEX(properties!A$1:CB$87,'Fórmula'!J108,26)&lt;&gt;"",INDEX(properties!A$1:CB$87,'Fórmula'!J108,26)))</f>
        <v>25.29037531</v>
      </c>
      <c r="CK108" s="116">
        <f t="array" ref="CK108">MAX(INDEX(properties!A$1:CB$87,'Fórmula'!B108,26),INDEX(properties!A$1:CB$87,'Fórmula'!D108,26),INDEX(properties!A$1:CB$87,'Fórmula'!F108,26),INDEX(properties!A$1:CB$87,'Fórmula'!H108,26),INDEX(properties!A$1:CB$87,'Fórmula'!J108,26))</f>
        <v>13.6181</v>
      </c>
      <c r="CL108" s="116">
        <f t="array" ref="CL108">MIN(IF(INDEX(properties!A$1:CB$87,'Fórmula'!B108,26)=0,10^6,INDEX(properties!A$1:CB$87,'Fórmula'!B108,26)),IF(INDEX(properties!A$1:CB$87,'Fórmula'!D108,26)=0,10^6,INDEX(properties!A$1:CB$87,'Fórmula'!D108,26)),IF(INDEX(properties!A$1:CB$87,'Fórmula'!F108,26)=0,10^6,INDEX(properties!A$1:CB$87,'Fórmula'!F108,26)),IF(INDEX(properties!A$1:CB$87,'Fórmula'!H108,26)=0,10^6,INDEX(properties!A$1:CB$87,'Fórmula'!H108,26)),IF(INDEX(properties!A$1:CB$87,'Fórmula'!J108,26)=0,10^6,INDEX(properties!A$1:CB$87,'Fórmula'!J108,26)))</f>
        <v>5.9858</v>
      </c>
      <c r="CM108" s="115">
        <f t="shared" si="15"/>
        <v>7.6323</v>
      </c>
      <c r="CN108" s="117">
        <f t="array" ref="CN108">(('Fórmula'!C108)/('Fórmula'!C108+'Fórmula'!E108+'Fórmula'!G108+'Fórmula'!I108+'Fórmula'!K108))*(INDEX(properties!A$1:CB$87,'Fórmula'!B108,30))+(('Fórmula'!E108)/('Fórmula'!C108+'Fórmula'!E108+'Fórmula'!G108+'Fórmula'!I108+'Fórmula'!K108))*(INDEX(properties!A$1:CB$87,'Fórmula'!D108,30))+(('Fórmula'!G108)/('Fórmula'!C108+'Fórmula'!E108+'Fórmula'!G108+'Fórmula'!I108+'Fórmula'!K108))*(INDEX(properties!A$1:CB$87,'Fórmula'!F108,30))+(('Fórmula'!I108)/('Fórmula'!C108+'Fórmula'!E108+'Fórmula'!G108+'Fórmula'!I108+'Fórmula'!K108))*(INDEX(properties!A$1:CB$87,'Fórmula'!H108,30))+(('Fórmula'!K108)/('Fórmula'!C108+'Fórmula'!E108+'Fórmula'!G108+'Fórmula'!I108+'Fórmula'!K108))*(INDEX(properties!A$1:CB$87,'Fórmula'!J108,30))</f>
        <v>2.6465</v>
      </c>
      <c r="CO108" s="117">
        <f t="array" ref="CO108">'Fórmula'!C108*(INDEX(properties!A$1:CB$87,'Fórmula'!B108,30))+'Fórmula'!E108*(INDEX(properties!A$1:CB$87,'Fórmula'!D108,30))+'Fórmula'!G108*(INDEX(properties!A$1:CB$87,'Fórmula'!F108,30))+'Fórmula'!I108*(INDEX(properties!A$1:CB$87,'Fórmula'!H108,30))+'Fórmula'!K108*(INDEX(properties!A$1:CB$87,'Fórmula'!J108,30))</f>
        <v>52.93</v>
      </c>
      <c r="CP108" s="117">
        <f t="array" ref="CP108">VARP(IF(INDEX(properties!A$1:CB$87,'Fórmula'!B108,30)&lt;&gt;"",INDEX(properties!A$1:CB$87,'Fórmula'!B108,30)),IF(INDEX(properties!A$1:CB$87,'Fórmula'!D108,30)&lt;&gt;"",INDEX(properties!A$1:CB$87,'Fórmula'!D108,30)),IF(INDEX(properties!A$1:CB$87,'Fórmula'!F108,30)&lt;&gt;"",INDEX(properties!A$1:CB$87,'Fórmula'!F108,30)),IF(INDEX(properties!A$1:CB$87,'Fórmula'!H108,30)&lt;&gt;"",INDEX(properties!A$1:CB$87,'Fórmula'!H108,30)),IF(INDEX(properties!A$1:CB$87,'Fórmula'!J108,30)&lt;&gt;"",INDEX(properties!A$1:CB$87,'Fórmula'!J108,30)))</f>
        <v>1.61064</v>
      </c>
      <c r="CQ108" s="117">
        <f t="array" ref="CQ108">MAX(INDEX(properties!A$1:CB$87,'Fórmula'!B108,30),INDEX(properties!A$1:CB$87,'Fórmula'!D108,30),INDEX(properties!A$1:CB$87,'Fórmula'!F108,30),INDEX(properties!A$1:CB$87,'Fórmula'!H108,30),INDEX(properties!A$1:CB$87,'Fórmula'!J108,30))</f>
        <v>3.44</v>
      </c>
      <c r="CR108" s="117">
        <f t="array" ref="CR108">MIN(IF(INDEX(properties!A$1:CB$87,'Fórmula'!B108,30)=0,10^6,INDEX(properties!A$1:CB$87,'Fórmula'!B108,30)),IF(INDEX(properties!A$1:CB$87,'Fórmula'!D108,30)=0,10^6,INDEX(properties!A$1:CB$87,'Fórmula'!D108,30)),IF(INDEX(properties!A$1:CB$87,'Fórmula'!F108,30)=0,10^6,INDEX(properties!A$1:CB$87,'Fórmula'!F108,30)),IF(INDEX(properties!A$1:CB$87,'Fórmula'!H108,30)=0,10^6,INDEX(properties!A$1:CB$87,'Fórmula'!H108,30)),IF(INDEX(properties!A$1:CB$87,'Fórmula'!J108,30)=0,10^6,INDEX(properties!A$1:CB$87,'Fórmula'!J108,30)))</f>
        <v>1.2</v>
      </c>
      <c r="CS108" s="117">
        <f t="shared" si="16"/>
        <v>2.24</v>
      </c>
      <c r="CT108" s="118">
        <f t="array" ref="CT108">(('Fórmula'!C108)/('Fórmula'!C108+'Fórmula'!E108+'Fórmula'!G108+'Fórmula'!I108+'Fórmula'!K108))*(INDEX(properties!A$1:CB$87,'Fórmula'!B108,31))+(('Fórmula'!E108)/('Fórmula'!C108+'Fórmula'!E108+'Fórmula'!G108+'Fórmula'!I108+'Fórmula'!K108))*(INDEX(properties!A$1:CB$87,'Fórmula'!D108,31))+(('Fórmula'!G108)/('Fórmula'!C108+'Fórmula'!E108+'Fórmula'!G108+'Fórmula'!I108+'Fórmula'!K108))*(INDEX(properties!A$1:CB$87,'Fórmula'!F108,31))+(('Fórmula'!I108)/('Fórmula'!C108+'Fórmula'!E108+'Fórmula'!G108+'Fórmula'!I108+'Fórmula'!K108))*(INDEX(properties!A$1:CB$87,'Fórmula'!H108,31))+(('Fórmula'!K108)/('Fórmula'!C108+'Fórmula'!E108+'Fórmula'!G108+'Fórmula'!I108+'Fórmula'!K108))*(INDEX(properties!A$1:CB$87,'Fórmula'!J108,31))</f>
        <v>2.567</v>
      </c>
      <c r="CU108" s="118">
        <f t="array" ref="CU108">'Fórmula'!C108*(INDEX(properties!A$1:CB$87,'Fórmula'!B108,31))+'Fórmula'!E108*(INDEX(properties!A$1:CB$87,'Fórmula'!D108,31))+'Fórmula'!G108*(INDEX(properties!A$1:CB$87,'Fórmula'!F108,31))+'Fórmula'!I108*(INDEX(properties!A$1:CB$87,'Fórmula'!H108,31))+'Fórmula'!K108*(INDEX(properties!A$1:CB$87,'Fórmula'!J108,31))</f>
        <v>51.34</v>
      </c>
      <c r="CV108" s="118">
        <f t="array" ref="CV108">VARP(IF(INDEX(properties!A$1:CB$87,'Fórmula'!B108,31)&lt;&gt;"",INDEX(properties!A$1:CB$87,'Fórmula'!B108,31)),IF(INDEX(properties!A$1:CB$87,'Fórmula'!D108,31)&lt;&gt;"",INDEX(properties!A$1:CB$87,'Fórmula'!D108,31)),IF(INDEX(properties!A$1:CB$87,'Fórmula'!F108,31)&lt;&gt;"",INDEX(properties!A$1:CB$87,'Fórmula'!F108,31)),IF(INDEX(properties!A$1:CB$87,'Fórmula'!H108,31)&lt;&gt;"",INDEX(properties!A$1:CB$87,'Fórmula'!H108,31)),IF(INDEX(properties!A$1:CB$87,'Fórmula'!J108,31)&lt;&gt;"",INDEX(properties!A$1:CB$87,'Fórmula'!J108,31)))</f>
        <v>1.515456</v>
      </c>
      <c r="CW108" s="118">
        <f t="array" ref="CW108">MAX(INDEX(properties!A$1:CB$87,'Fórmula'!B108,31),INDEX(properties!A$1:CB$87,'Fórmula'!D108,31),INDEX(properties!A$1:CB$87,'Fórmula'!F108,31),INDEX(properties!A$1:CB$87,'Fórmula'!H108,31),INDEX(properties!A$1:CB$87,'Fórmula'!J108,31))</f>
        <v>3.32</v>
      </c>
      <c r="CX108" s="118">
        <f t="array" ref="CX108">MIN(IF(INDEX(properties!A$1:CB$87,'Fórmula'!B108,31)=0,10^6,INDEX(properties!A$1:CB$87,'Fórmula'!B108,31)),IF(INDEX(properties!A$1:CB$87,'Fórmula'!D108,31)=0,10^6,INDEX(properties!A$1:CB$87,'Fórmula'!D108,31)),IF(INDEX(properties!A$1:CB$87,'Fórmula'!F108,31)=0,10^6,INDEX(properties!A$1:CB$87,'Fórmula'!F108,31)),IF(INDEX(properties!A$1:CB$87,'Fórmula'!H108,31)=0,10^6,INDEX(properties!A$1:CB$87,'Fórmula'!H108,31)),IF(INDEX(properties!A$1:CB$87,'Fórmula'!J108,31)=0,10^6,INDEX(properties!A$1:CB$87,'Fórmula'!J108,31)))</f>
        <v>1.1</v>
      </c>
      <c r="CY108" s="118">
        <f t="shared" si="17"/>
        <v>2.22</v>
      </c>
      <c r="CZ108" s="119">
        <f t="array" ref="CZ108">(('Fórmula'!C108)/('Fórmula'!C108+'Fórmula'!E108+'Fórmula'!G108+'Fórmula'!I108+'Fórmula'!K108))*(INDEX(properties!A$1:CB$87,'Fórmula'!B108,32))+(('Fórmula'!E108)/('Fórmula'!C108+'Fórmula'!E108+'Fórmula'!G108+'Fórmula'!I108+'Fórmula'!K108))*(INDEX(properties!A$1:CB$87,'Fórmula'!D108,32))+(('Fórmula'!G108)/('Fórmula'!C108+'Fórmula'!E108+'Fórmula'!G108+'Fórmula'!I108+'Fórmula'!K108))*(INDEX(properties!A$1:CB$87,'Fórmula'!F108,32))+(('Fórmula'!I108)/('Fórmula'!C108+'Fórmula'!E108+'Fórmula'!G108+'Fórmula'!I108+'Fórmula'!K108))*(INDEX(properties!A$1:CB$87,'Fórmula'!H108,32))+(('Fórmula'!K108)/('Fórmula'!C108+'Fórmula'!E108+'Fórmula'!G108+'Fórmula'!I108+'Fórmula'!K108))*(INDEX(properties!A$1:CB$87,'Fórmula'!J108,32))</f>
        <v>5.7965</v>
      </c>
      <c r="DA108" s="119">
        <f t="array" ref="DA108">'Fórmula'!C108*(INDEX(properties!A$1:CB$87,'Fórmula'!B108,32))+'Fórmula'!E108*(INDEX(properties!A$1:CB$87,'Fórmula'!D108,32))+'Fórmula'!G108*(INDEX(properties!A$1:CB$87,'Fórmula'!F108,32))+'Fórmula'!I108*(INDEX(properties!A$1:CB$87,'Fórmula'!H108,32))+'Fórmula'!K108*(INDEX(properties!A$1:CB$87,'Fórmula'!J108,32))</f>
        <v>115.93</v>
      </c>
      <c r="DB108" s="119">
        <f t="array" ref="DB108">VARP(IF(INDEX(properties!A$1:CB$87,'Fórmula'!B108,32)&lt;&gt;"",INDEX(properties!A$1:CB$87,'Fórmula'!B108,32)),IF(INDEX(properties!A$1:CB$87,'Fórmula'!D108,32)&lt;&gt;"",INDEX(properties!A$1:CB$87,'Fórmula'!D108,32)),IF(INDEX(properties!A$1:CB$87,'Fórmula'!F108,32)&lt;&gt;"",INDEX(properties!A$1:CB$87,'Fórmula'!F108,32)),IF(INDEX(properties!A$1:CB$87,'Fórmula'!H108,32)&lt;&gt;"",INDEX(properties!A$1:CB$87,'Fórmula'!H108,32)),IF(INDEX(properties!A$1:CB$87,'Fórmula'!J108,32)&lt;&gt;"",INDEX(properties!A$1:CB$87,'Fórmula'!J108,32)))</f>
        <v>7.683824</v>
      </c>
      <c r="DC108" s="119">
        <f t="array" ref="DC108">MAX(INDEX(properties!A$1:CB$87,'Fórmula'!B108,32),INDEX(properties!A$1:CB$87,'Fórmula'!D108,32),INDEX(properties!A$1:CB$87,'Fórmula'!F108,32),INDEX(properties!A$1:CB$87,'Fórmula'!H108,32),INDEX(properties!A$1:CB$87,'Fórmula'!J108,32))</f>
        <v>7.54</v>
      </c>
      <c r="DD108" s="119">
        <f t="array" ref="DD108">MIN(IF(INDEX(properties!A$1:CB$87,'Fórmula'!B108,32)=0,10^6,INDEX(properties!A$1:CB$87,'Fórmula'!B108,32)),IF(INDEX(properties!A$1:CB$87,'Fórmula'!D108,32)=0,10^6,INDEX(properties!A$1:CB$87,'Fórmula'!D108,32)),IF(INDEX(properties!A$1:CB$87,'Fórmula'!F108,32)=0,10^6,INDEX(properties!A$1:CB$87,'Fórmula'!F108,32)),IF(INDEX(properties!A$1:CB$87,'Fórmula'!H108,32)=0,10^6,INDEX(properties!A$1:CB$87,'Fórmula'!H108,32)),IF(INDEX(properties!A$1:CB$87,'Fórmula'!J108,32)=0,10^6,INDEX(properties!A$1:CB$87,'Fórmula'!J108,32)))</f>
        <v>3.1</v>
      </c>
      <c r="DE108" s="119">
        <f t="shared" si="18"/>
        <v>4.44</v>
      </c>
      <c r="DF108" s="104">
        <f t="array" ref="DF108">(('Fórmula'!C108)/('Fórmula'!C108+'Fórmula'!E108+'Fórmula'!G108+'Fórmula'!I108+'Fórmula'!K108))*(INDEX(properties!A$1:CB$87,'Fórmula'!B108,34))+(('Fórmula'!E108)/('Fórmula'!C108+'Fórmula'!E108+'Fórmula'!G108+'Fórmula'!I108+'Fórmula'!K108))*(INDEX(properties!A$1:CB$87,'Fórmula'!D108,34))+(('Fórmula'!G108)/('Fórmula'!C108+'Fórmula'!E108+'Fórmula'!G108+'Fórmula'!I108+'Fórmula'!K108))*(INDEX(properties!A$1:CB$87,'Fórmula'!F108,34))+(('Fórmula'!I108)/('Fórmula'!C108+'Fórmula'!E108+'Fórmula'!G108+'Fórmula'!I108+'Fórmula'!K108))*(INDEX(properties!A$1:CB$87,'Fórmula'!H108,34))+(('Fórmula'!K108)/('Fórmula'!C108+'Fórmula'!E108+'Fórmula'!G108+'Fórmula'!I108+'Fórmula'!K108))*(INDEX(properties!A$1:CB$87,'Fórmula'!J108,34))</f>
        <v>2.73275</v>
      </c>
      <c r="DG108" s="104">
        <f t="array" ref="DG108">'Fórmula'!C108*(INDEX(properties!A$1:CB$87,'Fórmula'!B108,34))+'Fórmula'!E108*(INDEX(properties!A$1:CB$87,'Fórmula'!D108,34))+'Fórmula'!G108*(INDEX(properties!A$1:CB$87,'Fórmula'!F108,34))+'Fórmula'!I108*(INDEX(properties!A$1:CB$87,'Fórmula'!H108,34))+'Fórmula'!K108*(INDEX(properties!A$1:CB$87,'Fórmula'!J108,34))</f>
        <v>54.655</v>
      </c>
      <c r="DH108" s="104">
        <f t="array" ref="DH108">VARP(IF(INDEX(properties!A$1:CB$87,'Fórmula'!B108,34)&lt;&gt;"",INDEX(properties!A$1:CB$87,'Fórmula'!B108,34)),IF(INDEX(properties!A$1:CB$87,'Fórmula'!D108,34)&lt;&gt;"",INDEX(properties!A$1:CB$87,'Fórmula'!D108,34)),IF(INDEX(properties!A$1:CB$87,'Fórmula'!F108,34)&lt;&gt;"",INDEX(properties!A$1:CB$87,'Fórmula'!F108,34)),IF(INDEX(properties!A$1:CB$87,'Fórmula'!H108,34)&lt;&gt;"",INDEX(properties!A$1:CB$87,'Fórmula'!H108,34)),IF(INDEX(properties!A$1:CB$87,'Fórmula'!J108,34)&lt;&gt;"",INDEX(properties!A$1:CB$87,'Fórmula'!J108,34)))</f>
        <v>1.77023504</v>
      </c>
      <c r="DI108" s="104">
        <f t="array" ref="DI108">MAX(INDEX(properties!A$1:CB$87,'Fórmula'!B108,34),INDEX(properties!A$1:CB$87,'Fórmula'!D108,34),INDEX(properties!A$1:CB$87,'Fórmula'!F108,34),INDEX(properties!A$1:CB$87,'Fórmula'!H108,34),INDEX(properties!A$1:CB$87,'Fórmula'!J108,34))</f>
        <v>3.61</v>
      </c>
      <c r="DJ108" s="104">
        <f t="array" ref="DJ108">MIN(IF(INDEX(properties!A$1:CB$87,'Fórmula'!B108,34)=0,10^6,INDEX(properties!A$1:CB$87,'Fórmula'!B108,34)),IF(INDEX(properties!A$1:CB$87,'Fórmula'!D108,34)=0,10^6,INDEX(properties!A$1:CB$87,'Fórmula'!D108,34)),IF(INDEX(properties!A$1:CB$87,'Fórmula'!F108,34)=0,10^6,INDEX(properties!A$1:CB$87,'Fórmula'!F108,34)),IF(INDEX(properties!A$1:CB$87,'Fórmula'!H108,34)=0,10^6,INDEX(properties!A$1:CB$87,'Fórmula'!H108,34)),IF(INDEX(properties!A$1:CB$87,'Fórmula'!J108,34)=0,10^6,INDEX(properties!A$1:CB$87,'Fórmula'!J108,34)))</f>
        <v>1.09</v>
      </c>
      <c r="DK108" s="104">
        <f t="shared" si="19"/>
        <v>2.52</v>
      </c>
      <c r="DL108" s="105" t="str">
        <f t="array" ref="DL108">(('Fórmula'!C108)/('Fórmula'!C108+'Fórmula'!E108+'Fórmula'!G108+'Fórmula'!I108+'Fórmula'!K108))*(INDEX(properties!A$1:CB$87,'Fórmula'!B108,37))+(('Fórmula'!E108)/('Fórmula'!C108+'Fórmula'!E108+'Fórmula'!G108+'Fórmula'!I108+'Fórmula'!K108))*(INDEX(properties!A$1:CB$87,'Fórmula'!D108,37))+(('Fórmula'!G108)/('Fórmula'!C108+'Fórmula'!E108+'Fórmula'!G108+'Fórmula'!I108+'Fórmula'!K108))*(INDEX(properties!A$1:CB$87,'Fórmula'!F108,37))+(('Fórmula'!I108)/('Fórmula'!C108+'Fórmula'!E108+'Fórmula'!G108+'Fórmula'!I108+'Fórmula'!K108))*(INDEX(properties!A$1:CB$87,'Fórmula'!H108,37))+(('Fórmula'!K108)/('Fórmula'!C108+'Fórmula'!E108+'Fórmula'!G108+'Fórmula'!I108+'Fórmula'!K108))*(INDEX(properties!A$1:CB$87,'Fórmula'!J108,37))</f>
        <v>#VALUE!</v>
      </c>
      <c r="DM108" s="105" t="str">
        <f t="array" ref="DM108">'Fórmula'!C108*(INDEX(properties!A$1:CB$87,'Fórmula'!B108,37))+'Fórmula'!E108*(INDEX(properties!A$1:CB$87,'Fórmula'!D108,37))+'Fórmula'!G108*(INDEX(properties!A$1:CB$87,'Fórmula'!F108,37))+'Fórmula'!I108*(INDEX(properties!A$1:CB$87,'Fórmula'!H108,37))+'Fórmula'!K108*(INDEX(properties!A$1:CB$87,'Fórmula'!J108,37))</f>
        <v>#VALUE!</v>
      </c>
      <c r="DN108" s="105">
        <f t="array" ref="DN108">VARP(IF(INDEX(properties!A$1:CB$87,'Fórmula'!B108,37)&lt;&gt;"",INDEX(properties!A$1:CB$87,'Fórmula'!B108,37)),IF(INDEX(properties!A$1:CB$87,'Fórmula'!D108,37)&lt;&gt;"",INDEX(properties!A$1:CB$87,'Fórmula'!D108,37)),IF(INDEX(properties!A$1:CB$87,'Fórmula'!F108,37)&lt;&gt;"",INDEX(properties!A$1:CB$87,'Fórmula'!F108,37)),IF(INDEX(properties!A$1:CB$87,'Fórmula'!H108,37)&lt;&gt;"",INDEX(properties!A$1:CB$87,'Fórmula'!H108,37)),IF(INDEX(properties!A$1:CB$87,'Fórmula'!J108,37)&lt;&gt;"",INDEX(properties!A$1:CB$87,'Fórmula'!J108,37)))</f>
        <v>2.00671875</v>
      </c>
      <c r="DO108" s="105">
        <f t="array" ref="DO108">MAX(INDEX(properties!A$1:CB$87,'Fórmula'!B108,37),INDEX(properties!A$1:CB$87,'Fórmula'!D108,37),INDEX(properties!A$1:CB$87,'Fórmula'!F108,37),INDEX(properties!A$1:CB$87,'Fórmula'!H108,37),INDEX(properties!A$1:CB$87,'Fórmula'!J108,37))</f>
        <v>3.45</v>
      </c>
      <c r="DP108" s="105">
        <f t="array" ref="DP108">MIN(IF(INDEX(properties!A$1:CB$87,'Fórmula'!B108,37)=0,10^6,INDEX(properties!A$1:CB$87,'Fórmula'!B108,37)),IF(INDEX(properties!A$1:CB$87,'Fórmula'!D108,37)=0,10^6,INDEX(properties!A$1:CB$87,'Fórmula'!D108,37)),IF(INDEX(properties!A$1:CB$87,'Fórmula'!F108,37)=0,10^6,INDEX(properties!A$1:CB$87,'Fórmula'!F108,37)),IF(INDEX(properties!A$1:CB$87,'Fórmula'!H108,37)=0,10^6,INDEX(properties!A$1:CB$87,'Fórmula'!H108,37)),IF(INDEX(properties!A$1:CB$87,'Fórmula'!J108,37)=0,10^6,INDEX(properties!A$1:CB$87,'Fórmula'!J108,37)))</f>
        <v>1.5</v>
      </c>
      <c r="DQ108" s="105">
        <f t="shared" si="20"/>
        <v>1.95</v>
      </c>
      <c r="DR108" s="109">
        <f t="array" ref="DR108">(('Fórmula'!C108)/('Fórmula'!C108+'Fórmula'!E108+'Fórmula'!G108+'Fórmula'!I108+'Fórmula'!K108))*(INDEX(properties!A$1:CB$87,'Fórmula'!B108,39))+(('Fórmula'!E108)/('Fórmula'!C108+'Fórmula'!E108+'Fórmula'!G108+'Fórmula'!I108+'Fórmula'!K108))*(INDEX(properties!A$1:CB$87,'Fórmula'!D108,39))+(('Fórmula'!G108)/('Fórmula'!C108+'Fórmula'!E108+'Fórmula'!G108+'Fórmula'!I108+'Fórmula'!K108))*(INDEX(properties!A$1:CB$87,'Fórmula'!F108,39))+(('Fórmula'!I108)/('Fórmula'!C108+'Fórmula'!E108+'Fórmula'!G108+'Fórmula'!I108+'Fórmula'!K108))*(INDEX(properties!A$1:CB$87,'Fórmula'!H108,39))+(('Fórmula'!K108)/('Fórmula'!C108+'Fórmula'!E108+'Fórmula'!G108+'Fórmula'!I108+'Fórmula'!K108))*(INDEX(properties!A$1:CB$87,'Fórmula'!J108,39))</f>
        <v>0.9325</v>
      </c>
      <c r="DS108" s="109">
        <f t="array" ref="DS108">'Fórmula'!C108*(INDEX(properties!A$1:CB$87,'Fórmula'!B108,39))+'Fórmula'!E108*(INDEX(properties!A$1:CB$87,'Fórmula'!D108,39))+'Fórmula'!G108*(INDEX(properties!A$1:CB$87,'Fórmula'!F108,39))+'Fórmula'!I108*(INDEX(properties!A$1:CB$87,'Fórmula'!H108,39))+'Fórmula'!K108*(INDEX(properties!A$1:CB$87,'Fórmula'!J108,39))</f>
        <v>18.65</v>
      </c>
      <c r="DT108" s="109">
        <f t="array" ref="DT108">VARP(IF(INDEX(properties!A$1:CB$87,'Fórmula'!B108,39)&lt;&gt;"",INDEX(properties!A$1:CB$87,'Fórmula'!B108,39)),IF(INDEX(properties!A$1:CB$87,'Fórmula'!D108,39)&lt;&gt;"",INDEX(properties!A$1:CB$87,'Fórmula'!D108,39)),IF(INDEX(properties!A$1:CB$87,'Fórmula'!F108,39)&lt;&gt;"",INDEX(properties!A$1:CB$87,'Fórmula'!F108,39)),IF(INDEX(properties!A$1:CB$87,'Fórmula'!H108,39)&lt;&gt;"",INDEX(properties!A$1:CB$87,'Fórmula'!H108,39)),IF(INDEX(properties!A$1:CB$87,'Fórmula'!J108,39)&lt;&gt;"",INDEX(properties!A$1:CB$87,'Fórmula'!J108,39)))</f>
        <v>0.773536</v>
      </c>
      <c r="DU108" s="120">
        <f t="array" ref="DU108">MAX(INDEX(properties!A$1:CB$87,'Fórmula'!B108,39),INDEX(properties!A$1:CB$87,'Fórmula'!D108,39),INDEX(properties!A$1:CB$87,'Fórmula'!F108,39),INDEX(properties!A$1:CB$87,'Fórmula'!H108,39),INDEX(properties!A$1:CB$87,'Fórmula'!J108,39))</f>
        <v>2.33</v>
      </c>
      <c r="DV108" s="120">
        <f t="array" ref="DV108">MIN(IF(INDEX(properties!A$1:CB$87,'Fórmula'!B108,39)=0,10^6,INDEX(properties!A$1:CB$87,'Fórmula'!B108,39)),IF(INDEX(properties!A$1:CB$87,'Fórmula'!D108,39)=0,10^6,INDEX(properties!A$1:CB$87,'Fórmula'!D108,39)),IF(INDEX(properties!A$1:CB$87,'Fórmula'!F108,39)=0,10^6,INDEX(properties!A$1:CB$87,'Fórmula'!F108,39)),IF(INDEX(properties!A$1:CB$87,'Fórmula'!H108,39)=0,10^6,INDEX(properties!A$1:CB$87,'Fórmula'!H108,39)),IF(INDEX(properties!A$1:CB$87,'Fórmula'!J108,39)=0,10^6,INDEX(properties!A$1:CB$87,'Fórmula'!J108,39)))</f>
        <v>0.48</v>
      </c>
      <c r="DW108" s="109">
        <f t="shared" si="21"/>
        <v>1.85</v>
      </c>
      <c r="DX108" s="110">
        <f t="array" ref="DX108">(('Fórmula'!C108)/('Fórmula'!C108+'Fórmula'!E108+'Fórmula'!G108+'Fórmula'!I108+'Fórmula'!K108))*(INDEX(properties!A$1:CB$87,'Fórmula'!B108,40))+(('Fórmula'!E108)/('Fórmula'!C108+'Fórmula'!E108+'Fórmula'!G108+'Fórmula'!I108+'Fórmula'!K108))*(INDEX(properties!A$1:CB$87,'Fórmula'!D108,40))+(('Fórmula'!G108)/('Fórmula'!C108+'Fórmula'!E108+'Fórmula'!G108+'Fórmula'!I108+'Fórmula'!K108))*(INDEX(properties!A$1:CB$87,'Fórmula'!F108,40))+(('Fórmula'!I108)/('Fórmula'!C108+'Fórmula'!E108+'Fórmula'!G108+'Fórmula'!I108+'Fórmula'!K108))*(INDEX(properties!A$1:CB$87,'Fórmula'!H108,40))+(('Fórmula'!K108)/('Fórmula'!C108+'Fórmula'!E108+'Fórmula'!G108+'Fórmula'!I108+'Fórmula'!K108))*(INDEX(properties!A$1:CB$87,'Fórmula'!J108,40))</f>
        <v>0.9745</v>
      </c>
      <c r="DY108" s="110">
        <f t="array" ref="DY108">'Fórmula'!C108*(INDEX(properties!A$1:CB$87,'Fórmula'!B108,40))+'Fórmula'!E108*(INDEX(properties!A$1:CB$87,'Fórmula'!D108,40))+'Fórmula'!G108*(INDEX(properties!A$1:CB$87,'Fórmula'!F108,40))+'Fórmula'!I108*(INDEX(properties!A$1:CB$87,'Fórmula'!H108,40))+'Fórmula'!K108*(INDEX(properties!A$1:CB$87,'Fórmula'!J108,40))</f>
        <v>19.49</v>
      </c>
      <c r="DZ108" s="110">
        <f t="array" ref="DZ108">VARP(IF(INDEX(properties!A$1:CB$87,'Fórmula'!B108,40)&lt;&gt;"",INDEX(properties!A$1:CB$87,'Fórmula'!B108,40)),IF(INDEX(properties!A$1:CB$87,'Fórmula'!D108,40)&lt;&gt;"",INDEX(properties!A$1:CB$87,'Fórmula'!D108,40)),IF(INDEX(properties!A$1:CB$87,'Fórmula'!F108,40)&lt;&gt;"",INDEX(properties!A$1:CB$87,'Fórmula'!F108,40)),IF(INDEX(properties!A$1:CB$87,'Fórmula'!H108,40)&lt;&gt;"",INDEX(properties!A$1:CB$87,'Fórmula'!H108,40)),IF(INDEX(properties!A$1:CB$87,'Fórmula'!J108,40)&lt;&gt;"",INDEX(properties!A$1:CB$87,'Fórmula'!J108,40)))</f>
        <v>0.407864</v>
      </c>
      <c r="EA108" s="121">
        <f t="array" ref="EA108">MAX(INDEX(properties!A$1:CB$87,'Fórmula'!B108,40),INDEX(properties!A$1:CB$87,'Fórmula'!D108,40),INDEX(properties!A$1:CB$87,'Fórmula'!F108,40),INDEX(properties!A$1:CB$87,'Fórmula'!H108,40),INDEX(properties!A$1:CB$87,'Fórmula'!J108,40))</f>
        <v>1.61</v>
      </c>
      <c r="EB108" s="121">
        <f t="array" ref="EB108">MIN(IF(INDEX(properties!A$1:CB$87,'Fórmula'!B108,40)=0,10^6,INDEX(properties!A$1:CB$87,'Fórmula'!B108,40)),IF(INDEX(properties!A$1:CB$87,'Fórmula'!D108,40)=0,10^6,INDEX(properties!A$1:CB$87,'Fórmula'!D108,40)),IF(INDEX(properties!A$1:CB$87,'Fórmula'!F108,40)=0,10^6,INDEX(properties!A$1:CB$87,'Fórmula'!F108,40)),IF(INDEX(properties!A$1:CB$87,'Fórmula'!H108,40)=0,10^6,INDEX(properties!A$1:CB$87,'Fórmula'!H108,40)),IF(INDEX(properties!A$1:CB$87,'Fórmula'!J108,40)=0,10^6,INDEX(properties!A$1:CB$87,'Fórmula'!J108,40)))</f>
        <v>0.73</v>
      </c>
      <c r="EC108" s="110">
        <f t="shared" si="22"/>
        <v>0.88</v>
      </c>
      <c r="ED108" s="111">
        <f t="array" ref="ED108">(('Fórmula'!C108)/('Fórmula'!C108+'Fórmula'!E108+'Fórmula'!G108+'Fórmula'!I108+'Fórmula'!K108))*(INDEX(properties!A$1:CB$87,'Fórmula'!B108,41))+(('Fórmula'!E108)/('Fórmula'!C108+'Fórmula'!E108+'Fórmula'!G108+'Fórmula'!I108+'Fórmula'!K108))*(INDEX(properties!A$1:CB$87,'Fórmula'!D108,41))+(('Fórmula'!G108)/('Fórmula'!C108+'Fórmula'!E108+'Fórmula'!G108+'Fórmula'!I108+'Fórmula'!K108))*(INDEX(properties!A$1:CB$87,'Fórmula'!F108,41))+(('Fórmula'!I108)/('Fórmula'!C108+'Fórmula'!E108+'Fórmula'!G108+'Fórmula'!I108+'Fórmula'!K108))*(INDEX(properties!A$1:CB$87,'Fórmula'!H108,41))+(('Fórmula'!K108)/('Fórmula'!C108+'Fórmula'!E108+'Fórmula'!G108+'Fórmula'!I108+'Fórmula'!K108))*(INDEX(properties!A$1:CB$87,'Fórmula'!J108,41))</f>
        <v>1.088</v>
      </c>
      <c r="EE108" s="111">
        <f t="array" ref="EE108">'Fórmula'!C108*(INDEX(properties!A$1:CB$87,'Fórmula'!B108,41))+'Fórmula'!E108*(INDEX(properties!A$1:CB$87,'Fórmula'!D108,41))+'Fórmula'!G108*(INDEX(properties!A$1:CB$87,'Fórmula'!F108,41))+'Fórmula'!I108*(INDEX(properties!A$1:CB$87,'Fórmula'!H108,41))+'Fórmula'!K108*(INDEX(properties!A$1:CB$87,'Fórmula'!J108,41))</f>
        <v>21.76</v>
      </c>
      <c r="EF108" s="111">
        <f t="array" ref="EF108">VARP(IF(INDEX(properties!A$1:CB$87,'Fórmula'!B108,41)&lt;&gt;"",INDEX(properties!A$1:CB$87,'Fórmula'!B108,41)),IF(INDEX(properties!A$1:CB$87,'Fórmula'!D108,41)&lt;&gt;"",INDEX(properties!A$1:CB$87,'Fórmula'!D108,41)),IF(INDEX(properties!A$1:CB$87,'Fórmula'!F108,41)&lt;&gt;"",INDEX(properties!A$1:CB$87,'Fórmula'!F108,41)),IF(INDEX(properties!A$1:CB$87,'Fórmula'!H108,41)&lt;&gt;"",INDEX(properties!A$1:CB$87,'Fórmula'!H108,41)),IF(INDEX(properties!A$1:CB$87,'Fórmula'!J108,41)&lt;&gt;"",INDEX(properties!A$1:CB$87,'Fórmula'!J108,41)))</f>
        <v>0.278464</v>
      </c>
      <c r="EG108" s="122">
        <f t="array" ref="EG108">MAX(INDEX(properties!A$1:CB$87,'Fórmula'!B108,41),INDEX(properties!A$1:CB$87,'Fórmula'!D108,41),INDEX(properties!A$1:CB$87,'Fórmula'!F108,41),INDEX(properties!A$1:CB$87,'Fórmula'!H108,41),INDEX(properties!A$1:CB$87,'Fórmula'!J108,41))</f>
        <v>1.26</v>
      </c>
      <c r="EH108" s="122">
        <f t="array" ref="EH108">MIN(IF(INDEX(properties!A$1:CB$87,'Fórmula'!B108,41)=0,10^6,INDEX(properties!A$1:CB$87,'Fórmula'!B108,41)),IF(INDEX(properties!A$1:CB$87,'Fórmula'!D108,41)=0,10^6,INDEX(properties!A$1:CB$87,'Fórmula'!D108,41)),IF(INDEX(properties!A$1:CB$87,'Fórmula'!F108,41)=0,10^6,INDEX(properties!A$1:CB$87,'Fórmula'!F108,41)),IF(INDEX(properties!A$1:CB$87,'Fórmula'!H108,41)=0,10^6,INDEX(properties!A$1:CB$87,'Fórmula'!H108,41)),IF(INDEX(properties!A$1:CB$87,'Fórmula'!J108,41)=0,10^6,INDEX(properties!A$1:CB$87,'Fórmula'!J108,41)))</f>
        <v>0.68</v>
      </c>
      <c r="EI108" s="111">
        <f t="shared" si="23"/>
        <v>0.58</v>
      </c>
      <c r="EJ108" s="112">
        <f t="array" ref="EJ108">(('Fórmula'!C108)/('Fórmula'!C108+'Fórmula'!E108+'Fórmula'!G108+'Fórmula'!I108+'Fórmula'!K108))*(INDEX(properties!A$1:CB$87,'Fórmula'!B108,45))+(('Fórmula'!E108)/('Fórmula'!C108+'Fórmula'!E108+'Fórmula'!G108+'Fórmula'!I108+'Fórmula'!K108))*(INDEX(properties!A$1:CB$87,'Fórmula'!D108,45))+(('Fórmula'!G108)/('Fórmula'!C108+'Fórmula'!E108+'Fórmula'!G108+'Fórmula'!I108+'Fórmula'!K108))*(INDEX(properties!A$1:CB$87,'Fórmula'!F108,45))+(('Fórmula'!I108)/('Fórmula'!C108+'Fórmula'!E108+'Fórmula'!G108+'Fórmula'!I108+'Fórmula'!K108))*(INDEX(properties!A$1:CB$87,'Fórmula'!H108,45))+(('Fórmula'!K108)/('Fórmula'!C108+'Fórmula'!E108+'Fórmula'!G108+'Fórmula'!I108+'Fórmula'!K108))*(INDEX(properties!A$1:CB$87,'Fórmula'!J108,45))</f>
        <v>1.2885</v>
      </c>
      <c r="EK108" s="112">
        <f t="array" ref="EK108">'Fórmula'!C108*(INDEX(properties!A$1:CB$87,'Fórmula'!B108,45))+'Fórmula'!E108*(INDEX(properties!A$1:CB$87,'Fórmula'!D108,45))+'Fórmula'!G108*(INDEX(properties!A$1:CB$87,'Fórmula'!F108,45))+'Fórmula'!I108*(INDEX(properties!A$1:CB$87,'Fórmula'!H108,45))+'Fórmula'!K108*(INDEX(properties!A$1:CB$87,'Fórmula'!J108,45))</f>
        <v>25.77</v>
      </c>
      <c r="EL108" s="112">
        <f t="array" ref="EL108">VARP(IF(INDEX(properties!A$1:CB$87,'Fórmula'!B108,45)&lt;&gt;"",INDEX(properties!A$1:CB$87,'Fórmula'!B108,45)),IF(INDEX(properties!A$1:CB$87,'Fórmula'!D108,45)&lt;&gt;"",INDEX(properties!A$1:CB$87,'Fórmula'!D108,45)),IF(INDEX(properties!A$1:CB$87,'Fórmula'!F108,45)&lt;&gt;"",INDEX(properties!A$1:CB$87,'Fórmula'!F108,45)),IF(INDEX(properties!A$1:CB$87,'Fórmula'!H108,45)&lt;&gt;"",INDEX(properties!A$1:CB$87,'Fórmula'!H108,45)),IF(INDEX(properties!A$1:CB$87,'Fórmula'!J108,45)&lt;&gt;"",INDEX(properties!A$1:CB$87,'Fórmula'!J108,45)))</f>
        <v>2.197336</v>
      </c>
      <c r="EM108" s="123">
        <f t="array" ref="EM108">MAX(INDEX(properties!A$1:CB$87,'Fórmula'!B108,45),INDEX(properties!A$1:CB$87,'Fórmula'!D108,45),INDEX(properties!A$1:CB$87,'Fórmula'!F108,45),INDEX(properties!A$1:CB$87,'Fórmula'!H108,45),INDEX(properties!A$1:CB$87,'Fórmula'!J108,45))</f>
        <v>3.91</v>
      </c>
      <c r="EN108" s="123">
        <f t="array" ref="EN108">MIN(IF(INDEX(properties!A$1:CB$87,'Fórmula'!B108,45)=0,10^6,INDEX(properties!A$1:CB$87,'Fórmula'!B108,45)),IF(INDEX(properties!A$1:CB$87,'Fórmula'!D108,45)=0,10^6,INDEX(properties!A$1:CB$87,'Fórmula'!D108,45)),IF(INDEX(properties!A$1:CB$87,'Fórmula'!F108,45)=0,10^6,INDEX(properties!A$1:CB$87,'Fórmula'!F108,45)),IF(INDEX(properties!A$1:CB$87,'Fórmula'!H108,45)=0,10^6,INDEX(properties!A$1:CB$87,'Fórmula'!H108,45)),IF(INDEX(properties!A$1:CB$87,'Fórmula'!J108,45)=0,10^6,INDEX(properties!A$1:CB$87,'Fórmula'!J108,45)))</f>
        <v>0.47</v>
      </c>
      <c r="EO108" s="112">
        <f t="shared" si="24"/>
        <v>3.44</v>
      </c>
      <c r="EP108" s="113">
        <f t="array" ref="EP108">(('Fórmula'!C108)/('Fórmula'!C108+'Fórmula'!E108+'Fórmula'!G108+'Fórmula'!I108+'Fórmula'!K108))*(INDEX(properties!A$1:CB$87,'Fórmula'!B108,46))+(('Fórmula'!E108)/('Fórmula'!C108+'Fórmula'!E108+'Fórmula'!G108+'Fórmula'!I108+'Fórmula'!K108))*(INDEX(properties!A$1:CB$87,'Fórmula'!D108,46))+(('Fórmula'!G108)/('Fórmula'!C108+'Fórmula'!E108+'Fórmula'!G108+'Fórmula'!I108+'Fórmula'!K108))*(INDEX(properties!A$1:CB$87,'Fórmula'!F108,46))+(('Fórmula'!I108)/('Fórmula'!C108+'Fórmula'!E108+'Fórmula'!G108+'Fórmula'!I108+'Fórmula'!K108))*(INDEX(properties!A$1:CB$87,'Fórmula'!H108,46))+(('Fórmula'!K108)/('Fórmula'!C108+'Fórmula'!E108+'Fórmula'!G108+'Fórmula'!I108+'Fórmula'!K108))*(INDEX(properties!A$1:CB$87,'Fórmula'!J108,46))</f>
        <v>1.0205</v>
      </c>
      <c r="EQ108" s="113">
        <f t="array" ref="EQ108">'Fórmula'!C108*(INDEX(properties!A$1:CB$87,'Fórmula'!B108,46))+'Fórmula'!E108*(INDEX(properties!A$1:CB$87,'Fórmula'!D108,46))+'Fórmula'!G108*(INDEX(properties!A$1:CB$87,'Fórmula'!F108,46))+'Fórmula'!I108*(INDEX(properties!A$1:CB$87,'Fórmula'!H108,46))+'Fórmula'!K108*(INDEX(properties!A$1:CB$87,'Fórmula'!J108,46))</f>
        <v>20.41</v>
      </c>
      <c r="ER108" s="113">
        <f t="array" ref="ER108">VARP(IF(INDEX(properties!A$1:CB$87,'Fórmula'!B108,46)&lt;&gt;"",INDEX(properties!A$1:CB$87,'Fórmula'!B108,46)),IF(INDEX(properties!A$1:CB$87,'Fórmula'!D108,46)&lt;&gt;"",INDEX(properties!A$1:CB$87,'Fórmula'!D108,46)),IF(INDEX(properties!A$1:CB$87,'Fórmula'!F108,46)&lt;&gt;"",INDEX(properties!A$1:CB$87,'Fórmula'!F108,46)),IF(INDEX(properties!A$1:CB$87,'Fórmula'!H108,46)&lt;&gt;"",INDEX(properties!A$1:CB$87,'Fórmula'!H108,46)),IF(INDEX(properties!A$1:CB$87,'Fórmula'!J108,46)&lt;&gt;"",INDEX(properties!A$1:CB$87,'Fórmula'!J108,46)))</f>
        <v>0.264184</v>
      </c>
      <c r="ES108" s="124">
        <f t="array" ref="ES108">MAX(INDEX(properties!A$1:CB$87,'Fórmula'!B108,46),INDEX(properties!A$1:CB$87,'Fórmula'!D108,46),INDEX(properties!A$1:CB$87,'Fórmula'!F108,46),INDEX(properties!A$1:CB$87,'Fórmula'!H108,46),INDEX(properties!A$1:CB$87,'Fórmula'!J108,46))</f>
        <v>1.21</v>
      </c>
      <c r="ET108" s="124">
        <f t="array" ref="ET108">MIN(IF(INDEX(properties!A$1:CB$87,'Fórmula'!B108,46)=0,10^6,INDEX(properties!A$1:CB$87,'Fórmula'!B108,46)),IF(INDEX(properties!A$1:CB$87,'Fórmula'!D108,46)=0,10^6,INDEX(properties!A$1:CB$87,'Fórmula'!D108,46)),IF(INDEX(properties!A$1:CB$87,'Fórmula'!F108,46)=0,10^6,INDEX(properties!A$1:CB$87,'Fórmula'!F108,46)),IF(INDEX(properties!A$1:CB$87,'Fórmula'!H108,46)=0,10^6,INDEX(properties!A$1:CB$87,'Fórmula'!H108,46)),IF(INDEX(properties!A$1:CB$87,'Fórmula'!J108,46)=0,10^6,INDEX(properties!A$1:CB$87,'Fórmula'!J108,46)))</f>
        <v>0.53</v>
      </c>
      <c r="EU108" s="113">
        <f t="shared" si="25"/>
        <v>0.68</v>
      </c>
      <c r="EV108" s="114">
        <f t="array" ref="EV108">(('Fórmula'!C108)/('Fórmula'!C108+'Fórmula'!E108+'Fórmula'!G108+'Fórmula'!I108+'Fórmula'!K108))*(INDEX(properties!A$1:CB$87,'Fórmula'!B108,52))+(('Fórmula'!E108)/('Fórmula'!C108+'Fórmula'!E108+'Fórmula'!G108+'Fórmula'!I108+'Fórmula'!K108))*(INDEX(properties!A$1:CB$87,'Fórmula'!D108,52))+(('Fórmula'!G108)/('Fórmula'!C108+'Fórmula'!E108+'Fórmula'!G108+'Fórmula'!I108+'Fórmula'!K108))*(INDEX(properties!A$1:CB$87,'Fórmula'!F108,52))+(('Fórmula'!I108)/('Fórmula'!C108+'Fórmula'!E108+'Fórmula'!G108+'Fórmula'!I108+'Fórmula'!K108))*(INDEX(properties!A$1:CB$87,'Fórmula'!H108,52))+(('Fórmula'!K108)/('Fórmula'!C108+'Fórmula'!E108+'Fórmula'!G108+'Fórmula'!I108+'Fórmula'!K108))*(INDEX(properties!A$1:CB$87,'Fórmula'!J108,52))</f>
        <v>6.0758</v>
      </c>
      <c r="EW108" s="114">
        <f t="array" ref="EW108">'Fórmula'!C108*(INDEX(properties!A$1:CB$87,'Fórmula'!B108,52))+'Fórmula'!E108*(INDEX(properties!A$1:CB$87,'Fórmula'!D108,52))+'Fórmula'!G108*(INDEX(properties!A$1:CB$87,'Fórmula'!F108,52))+'Fórmula'!I108*(INDEX(properties!A$1:CB$87,'Fórmula'!H108,52))+'Fórmula'!K108*(INDEX(properties!A$1:CB$87,'Fórmula'!J108,52))</f>
        <v>121.516</v>
      </c>
      <c r="EX108" s="114">
        <f t="array" ref="EX108">VARP(IF(INDEX(properties!A$1:CB$87,'Fórmula'!B108,52)&lt;&gt;"",INDEX(properties!A$1:CB$87,'Fórmula'!B108,52)),IF(INDEX(properties!A$1:CB$87,'Fórmula'!D108,52)&lt;&gt;"",INDEX(properties!A$1:CB$87,'Fórmula'!D108,52)),IF(INDEX(properties!A$1:CB$87,'Fórmula'!F108,52)&lt;&gt;"",INDEX(properties!A$1:CB$87,'Fórmula'!F108,52)),IF(INDEX(properties!A$1:CB$87,'Fórmula'!H108,52)&lt;&gt;"",INDEX(properties!A$1:CB$87,'Fórmula'!H108,52)),IF(INDEX(properties!A$1:CB$87,'Fórmula'!J108,52)&lt;&gt;"",INDEX(properties!A$1:CB$87,'Fórmula'!J108,52)))</f>
        <v>81.86162384</v>
      </c>
      <c r="EY108" s="114">
        <f t="array" ref="EY108">MAX(INDEX(properties!A$1:CB$87,'Fórmula'!B108,52),INDEX(properties!A$1:CB$87,'Fórmula'!D108,52),INDEX(properties!A$1:CB$87,'Fórmula'!F108,52),INDEX(properties!A$1:CB$87,'Fórmula'!H108,52),INDEX(properties!A$1:CB$87,'Fórmula'!J108,52))</f>
        <v>23.5</v>
      </c>
      <c r="EZ108" s="114">
        <f t="array" ref="EZ108">MIN(IF(INDEX(properties!A$1:CB$87,'Fórmula'!B108,52)=0,10^6,INDEX(properties!A$1:CB$87,'Fórmula'!B108,52)),IF(INDEX(properties!A$1:CB$87,'Fórmula'!D108,52)=0,10^6,INDEX(properties!A$1:CB$87,'Fórmula'!D108,52)),IF(INDEX(properties!A$1:CB$87,'Fórmula'!F108,52)=0,10^6,INDEX(properties!A$1:CB$87,'Fórmula'!F108,52)),IF(INDEX(properties!A$1:CB$87,'Fórmula'!H108,52)=0,10^6,INDEX(properties!A$1:CB$87,'Fórmula'!H108,52)),IF(INDEX(properties!A$1:CB$87,'Fórmula'!J108,52)=0,10^6,INDEX(properties!A$1:CB$87,'Fórmula'!J108,52)))</f>
        <v>0.793</v>
      </c>
      <c r="FA108" s="114">
        <f t="shared" si="26"/>
        <v>22.707</v>
      </c>
      <c r="FB108" s="115">
        <f t="array" ref="FB108">(('Fórmula'!C108)/('Fórmula'!C108+'Fórmula'!E108+'Fórmula'!G108+'Fórmula'!I108+'Fórmula'!K108))*(INDEX(properties!A$1:CB$87,'Fórmula'!B108,53))+(('Fórmula'!E108)/('Fórmula'!C108+'Fórmula'!E108+'Fórmula'!G108+'Fórmula'!I108+'Fórmula'!K108))*(INDEX(properties!A$1:CB$87,'Fórmula'!D108,53))+(('Fórmula'!G108)/('Fórmula'!C108+'Fórmula'!E108+'Fórmula'!G108+'Fórmula'!I108+'Fórmula'!K108))*(INDEX(properties!A$1:CB$87,'Fórmula'!F108,53))+(('Fórmula'!I108)/('Fórmula'!C108+'Fórmula'!E108+'Fórmula'!G108+'Fórmula'!I108+'Fórmula'!K108))*(INDEX(properties!A$1:CB$87,'Fórmula'!H108,53))+(('Fórmula'!K108)/('Fórmula'!C108+'Fórmula'!E108+'Fórmula'!G108+'Fórmula'!I108+'Fórmula'!K108))*(INDEX(properties!A$1:CB$87,'Fórmula'!J108,53))</f>
        <v>504.06</v>
      </c>
      <c r="FC108" s="115">
        <f t="array" ref="FC108">'Fórmula'!C108*(INDEX(properties!A$1:CB$87,'Fórmula'!B108,53))+'Fórmula'!E108*(INDEX(properties!A$1:CB$87,'Fórmula'!D108,53))+'Fórmula'!G108*(INDEX(properties!A$1:CB$87,'Fórmula'!F108,53))+'Fórmula'!I108*(INDEX(properties!A$1:CB$87,'Fórmula'!H108,53))+'Fórmula'!K108*(INDEX(properties!A$1:CB$87,'Fórmula'!J108,53))</f>
        <v>10081.2</v>
      </c>
      <c r="FD108" s="115">
        <f t="array" ref="FD108">VARP(IF(INDEX(properties!A$1:CB$87,'Fórmula'!B108,53)&lt;&gt;"",INDEX(properties!A$1:CB$87,'Fórmula'!B108,53)),IF(INDEX(properties!A$1:CB$87,'Fórmula'!D108,53)&lt;&gt;"",INDEX(properties!A$1:CB$87,'Fórmula'!D108,53)),IF(INDEX(properties!A$1:CB$87,'Fórmula'!F108,53)&lt;&gt;"",INDEX(properties!A$1:CB$87,'Fórmula'!F108,53)),IF(INDEX(properties!A$1:CB$87,'Fórmula'!H108,53)&lt;&gt;"",INDEX(properties!A$1:CB$87,'Fórmula'!H108,53)),IF(INDEX(properties!A$1:CB$87,'Fórmula'!J108,53)&lt;&gt;"",INDEX(properties!A$1:CB$87,'Fórmula'!J108,53)))</f>
        <v>412898.3254</v>
      </c>
      <c r="FE108" s="115">
        <f t="array" ref="FE108">MAX(INDEX(properties!A$1:CB$87,'Fórmula'!B108,53),INDEX(properties!A$1:CB$87,'Fórmula'!D108,53),INDEX(properties!A$1:CB$87,'Fórmula'!F108,53),INDEX(properties!A$1:CB$87,'Fórmula'!H108,53),INDEX(properties!A$1:CB$87,'Fórmula'!J108,53))</f>
        <v>1586.15</v>
      </c>
      <c r="FF108" s="115">
        <f t="array" ref="FF108">MIN(IF(INDEX(properties!A$1:CB$87,'Fórmula'!B108,53)=0,10^6,INDEX(properties!A$1:CB$87,'Fórmula'!B108,53)),IF(INDEX(properties!A$1:CB$87,'Fórmula'!D108,53)=0,10^6,INDEX(properties!A$1:CB$87,'Fórmula'!D108,53)),IF(INDEX(properties!A$1:CB$87,'Fórmula'!F108,53)=0,10^6,INDEX(properties!A$1:CB$87,'Fórmula'!F108,53)),IF(INDEX(properties!A$1:CB$87,'Fórmula'!H108,53)=0,10^6,INDEX(properties!A$1:CB$87,'Fórmula'!H108,53)),IF(INDEX(properties!A$1:CB$87,'Fórmula'!J108,53)=0,10^6,INDEX(properties!A$1:CB$87,'Fórmula'!J108,53)))</f>
        <v>54.75</v>
      </c>
      <c r="FG108" s="115">
        <f t="shared" si="27"/>
        <v>1531.4</v>
      </c>
      <c r="FH108" s="117">
        <f t="array" ref="FH108">(('Fórmula'!C108)/('Fórmula'!C108+'Fórmula'!E108+'Fórmula'!G108+'Fórmula'!I108+'Fórmula'!K108))*(INDEX(properties!A$1:CB$87,'Fórmula'!B108,54))+(('Fórmula'!E108)/('Fórmula'!C108+'Fórmula'!E108+'Fórmula'!G108+'Fórmula'!I108+'Fórmula'!K108))*(INDEX(properties!A$1:CB$87,'Fórmula'!D108,54))+(('Fórmula'!G108)/('Fórmula'!C108+'Fórmula'!E108+'Fórmula'!G108+'Fórmula'!I108+'Fórmula'!K108))*(INDEX(properties!A$1:CB$87,'Fórmula'!F108,54))+(('Fórmula'!I108)/('Fórmula'!C108+'Fórmula'!E108+'Fórmula'!G108+'Fórmula'!I108+'Fórmula'!K108))*(INDEX(properties!A$1:CB$87,'Fórmula'!H108,54))+(('Fórmula'!K108)/('Fórmula'!C108+'Fórmula'!E108+'Fórmula'!G108+'Fórmula'!I108+'Fórmula'!K108))*(INDEX(properties!A$1:CB$87,'Fórmula'!J108,54))</f>
        <v>1271.05</v>
      </c>
      <c r="FI108" s="117">
        <f t="array" ref="FI108">'Fórmula'!C108*(INDEX(properties!A$1:CB$87,'Fórmula'!B108,54))+'Fórmula'!E108*(INDEX(properties!A$1:CB$87,'Fórmula'!D108,54))+'Fórmula'!G108*(INDEX(properties!A$1:CB$87,'Fórmula'!F108,54))+'Fórmula'!I108*(INDEX(properties!A$1:CB$87,'Fórmula'!H108,54))+'Fórmula'!K108*(INDEX(properties!A$1:CB$87,'Fórmula'!J108,54))</f>
        <v>25421</v>
      </c>
      <c r="FJ108" s="117">
        <f t="array" ref="FJ108">VARP(IF(INDEX(properties!A$1:CB$87,'Fórmula'!B108,54)&lt;&gt;"",INDEX(properties!A$1:CB$87,'Fórmula'!B108,54)),IF(INDEX(properties!A$1:CB$87,'Fórmula'!D108,54)&lt;&gt;"",INDEX(properties!A$1:CB$87,'Fórmula'!D108,54)),IF(INDEX(properties!A$1:CB$87,'Fórmula'!F108,54)&lt;&gt;"",INDEX(properties!A$1:CB$87,'Fórmula'!F108,54)),IF(INDEX(properties!A$1:CB$87,'Fórmula'!H108,54)&lt;&gt;"",INDEX(properties!A$1:CB$87,'Fórmula'!H108,54)),IF(INDEX(properties!A$1:CB$87,'Fórmula'!J108,54)&lt;&gt;"",INDEX(properties!A$1:CB$87,'Fórmula'!J108,54)))</f>
        <v>2391981.189</v>
      </c>
      <c r="FK108" s="117">
        <f t="array" ref="FK108">MAX(INDEX(properties!A$1:CB$87,'Fórmula'!B108,54),INDEX(properties!A$1:CB$87,'Fórmula'!D108,54),INDEX(properties!A$1:CB$87,'Fórmula'!F108,54),INDEX(properties!A$1:CB$87,'Fórmula'!H108,54),INDEX(properties!A$1:CB$87,'Fórmula'!J108,54))</f>
        <v>3546.15</v>
      </c>
      <c r="FL108" s="117">
        <f t="array" ref="FL108">MIN(IF(INDEX(properties!A$1:CB$87,'Fórmula'!B108,54)=0,10^6,INDEX(properties!A$1:CB$87,'Fórmula'!B108,54)),IF(INDEX(properties!A$1:CB$87,'Fórmula'!D108,54)=0,10^6,INDEX(properties!A$1:CB$87,'Fórmula'!D108,54)),IF(INDEX(properties!A$1:CB$87,'Fórmula'!F108,54)=0,10^6,INDEX(properties!A$1:CB$87,'Fórmula'!F108,54)),IF(INDEX(properties!A$1:CB$87,'Fórmula'!H108,54)=0,10^6,INDEX(properties!A$1:CB$87,'Fórmula'!H108,54)),IF(INDEX(properties!A$1:CB$87,'Fórmula'!J108,54)=0,10^6,INDEX(properties!A$1:CB$87,'Fórmula'!J108,54)))</f>
        <v>90.15</v>
      </c>
      <c r="FM108" s="117">
        <f t="shared" si="28"/>
        <v>3456</v>
      </c>
      <c r="FN108" s="118">
        <f t="array" ref="FN108">(('Fórmula'!C108)/('Fórmula'!C108+'Fórmula'!E108+'Fórmula'!G108+'Fórmula'!I108+'Fórmula'!K108))*(INDEX(properties!A$1:CB$87,'Fórmula'!B108,55))+(('Fórmula'!E108)/('Fórmula'!C108+'Fórmula'!E108+'Fórmula'!G108+'Fórmula'!I108+'Fórmula'!K108))*(INDEX(properties!A$1:CB$87,'Fórmula'!D108,55))+(('Fórmula'!G108)/('Fórmula'!C108+'Fórmula'!E108+'Fórmula'!G108+'Fórmula'!I108+'Fórmula'!K108))*(INDEX(properties!A$1:CB$87,'Fórmula'!F108,55))+(('Fórmula'!I108)/('Fórmula'!C108+'Fórmula'!E108+'Fórmula'!G108+'Fórmula'!I108+'Fórmula'!K108))*(INDEX(properties!A$1:CB$87,'Fórmula'!H108,55))+(('Fórmula'!K108)/('Fórmula'!C108+'Fórmula'!E108+'Fórmula'!G108+'Fórmula'!I108+'Fórmula'!K108))*(INDEX(properties!A$1:CB$87,'Fórmula'!J108,55))</f>
        <v>1.860858</v>
      </c>
      <c r="FO108" s="118">
        <f t="array" ref="FO108">'Fórmula'!C108*(INDEX(properties!A$1:CB$87,'Fórmula'!B108,55))+'Fórmula'!E108*(INDEX(properties!A$1:CB$87,'Fórmula'!D108,54))+'Fórmula'!G108*(INDEX(properties!A$1:CB$87,'Fórmula'!F108,55))+'Fórmula'!I108*(INDEX(properties!A$1:CB$87,'Fórmula'!H108,55))+'Fórmula'!K108*(INDEX(properties!A$1:CB$87,'Fórmula'!J108,55))</f>
        <v>13724.46716</v>
      </c>
      <c r="FP108" s="118">
        <f t="array" ref="FP108">VARP(IF(INDEX(properties!A$1:CB$87,'Fórmula'!B108,55)&lt;&gt;"",INDEX(properties!A$1:CB$87,'Fórmula'!B108,55)),IF(INDEX(properties!A$1:CB$87,'Fórmula'!D108,55)&lt;&gt;"",INDEX(properties!A$1:CB$87,'Fórmula'!D108,55)),IF(INDEX(properties!A$1:CB$87,'Fórmula'!F108,55)&lt;&gt;"",INDEX(properties!A$1:CB$87,'Fórmula'!F108,55)),IF(INDEX(properties!A$1:CB$87,'Fórmula'!H108,55)&lt;&gt;"",INDEX(properties!A$1:CB$87,'Fórmula'!H108,55)),IF(INDEX(properties!A$1:CB$87,'Fórmula'!J108,55)&lt;&gt;"",INDEX(properties!A$1:CB$87,'Fórmula'!J108,55)))</f>
        <v>9.444387687</v>
      </c>
      <c r="FQ108" s="118">
        <f t="array" ref="FQ108">MAX(INDEX(properties!A$1:CB$87,'Fórmula'!B108,55),INDEX(properties!A$1:CB$87,'Fórmula'!D108,55),INDEX(properties!A$1:CB$87,'Fórmula'!F108,55),INDEX(properties!A$1:CB$87,'Fórmula'!H108,55),INDEX(properties!A$1:CB$87,'Fórmula'!J108,55))</f>
        <v>7.9</v>
      </c>
      <c r="FR108" s="118">
        <f t="array" ref="FR108">MIN(IF(INDEX(properties!A$1:CB$87,'Fórmula'!B108,55)=0,10^6,INDEX(properties!A$1:CB$87,'Fórmula'!B108,55)),IF(INDEX(properties!A$1:CB$87,'Fórmula'!D108,55)=0,10^6,INDEX(properties!A$1:CB$87,'Fórmula'!D108,55)),IF(INDEX(properties!A$1:CB$87,'Fórmula'!F108,55)=0,10^6,INDEX(properties!A$1:CB$87,'Fórmula'!F108,55)),IF(INDEX(properties!A$1:CB$87,'Fórmula'!H108,55)=0,10^6,INDEX(properties!A$1:CB$87,'Fórmula'!H108,55)),IF(INDEX(properties!A$1:CB$87,'Fórmula'!J108,55)=0,10^6,INDEX(properties!A$1:CB$87,'Fórmula'!J108,55)))</f>
        <v>0.00143</v>
      </c>
      <c r="FS108" s="118">
        <f t="shared" si="29"/>
        <v>7.89857</v>
      </c>
      <c r="FT108" s="119">
        <f t="array" ref="FT108">(('Fórmula'!C108)/('Fórmula'!C108+'Fórmula'!E108+'Fórmula'!G108+'Fórmula'!I108+'Fórmula'!K108))*(INDEX(properties!A$1:CB$87,'Fórmula'!B108,56))+(('Fórmula'!E108)/('Fórmula'!C108+'Fórmula'!E108+'Fórmula'!G108+'Fórmula'!I108+'Fórmula'!K108))*(INDEX(properties!A$1:CB$87,'Fórmula'!D108,56))+(('Fórmula'!G108)/('Fórmula'!C108+'Fórmula'!E108+'Fórmula'!G108+'Fórmula'!I108+'Fórmula'!K108))*(INDEX(properties!A$1:CB$87,'Fórmula'!F108,56))+(('Fórmula'!I108)/('Fórmula'!C108+'Fórmula'!E108+'Fórmula'!G108+'Fórmula'!I108+'Fórmula'!K108))*(INDEX(properties!A$1:CB$87,'Fórmula'!H108,56))+(('Fórmula'!K108)/('Fórmula'!C108+'Fórmula'!E108+'Fórmula'!G108+'Fórmula'!I108+'Fórmula'!K108))*(INDEX(properties!A$1:CB$87,'Fórmula'!J108,56))</f>
        <v>0.8115</v>
      </c>
      <c r="FU108" s="119">
        <f t="array" ref="FU108">'Fórmula'!C108*(INDEX(properties!A$1:CB$87,'Fórmula'!B108,56))+'Fórmula'!E108*(INDEX(properties!A$1:CB$87,'Fórmula'!D108,56))+'Fórmula'!G108*(INDEX(properties!A$1:CB$87,'Fórmula'!F108,56))+'Fórmula'!I108*(INDEX(properties!A$1:CB$87,'Fórmula'!H108,56))+'Fórmula'!K108*(INDEX(properties!A$1:CB$87,'Fórmula'!J108,56))</f>
        <v>16.23</v>
      </c>
      <c r="FV108" s="119">
        <f t="array" ref="FV108">VARP(IF(INDEX(properties!A$1:CB$87,'Fórmula'!B108,56)&lt;&gt;"",INDEX(properties!A$1:CB$87,'Fórmula'!B108,56)),IF(INDEX(properties!A$1:CB$87,'Fórmula'!D108,56)&lt;&gt;"",INDEX(properties!A$1:CB$87,'Fórmula'!D108,56)),IF(INDEX(properties!A$1:CB$87,'Fórmula'!F108,56)&lt;&gt;"",INDEX(properties!A$1:CB$87,'Fórmula'!F108,56)),IF(INDEX(properties!A$1:CB$87,'Fórmula'!H108,56)&lt;&gt;"",INDEX(properties!A$1:CB$87,'Fórmula'!H108,56)),IF(INDEX(properties!A$1:CB$87,'Fórmula'!J108,56)&lt;&gt;"",INDEX(properties!A$1:CB$87,'Fórmula'!J108,56)))</f>
        <v>0.17376</v>
      </c>
      <c r="FW108" s="119">
        <f t="array" ref="FW108">MAX(INDEX(properties!A$1:CB$87,'Fórmula'!B108,56),INDEX(properties!A$1:CB$87,'Fórmula'!D108,56),INDEX(properties!A$1:CB$87,'Fórmula'!F108,56),INDEX(properties!A$1:CB$87,'Fórmula'!H108,56),INDEX(properties!A$1:CB$87,'Fórmula'!J108,56))</f>
        <v>0.92</v>
      </c>
      <c r="FX108" s="119">
        <f t="array" ref="FX108">MIN(IF(INDEX(properties!A$1:CB$87,'Fórmula'!B108,56)=0,10^6,INDEX(properties!A$1:CB$87,'Fórmula'!B108,56)),IF(INDEX(properties!A$1:CB$87,'Fórmula'!D108,56)=0,10^6,INDEX(properties!A$1:CB$87,'Fórmula'!D108,56)),IF(INDEX(properties!A$1:CB$87,'Fórmula'!F108,56)=0,10^6,INDEX(properties!A$1:CB$87,'Fórmula'!F108,56)),IF(INDEX(properties!A$1:CB$87,'Fórmula'!H108,56)=0,10^6,INDEX(properties!A$1:CB$87,'Fórmula'!H108,56)),IF(INDEX(properties!A$1:CB$87,'Fórmula'!J108,56)=0,10^6,INDEX(properties!A$1:CB$87,'Fórmula'!J108,56)))</f>
        <v>0.23</v>
      </c>
      <c r="FY108" s="119">
        <f t="shared" si="30"/>
        <v>0.69</v>
      </c>
      <c r="FZ108" s="104">
        <f t="array" ref="FZ108">(('Fórmula'!C108)/('Fórmula'!C108+'Fórmula'!E108+'Fórmula'!G108+'Fórmula'!I108+'Fórmula'!K108))*(INDEX(properties!A$1:CB$87,'Fórmula'!B108,57))+(('Fórmula'!E108)/('Fórmula'!C108+'Fórmula'!E108+'Fórmula'!G108+'Fórmula'!I108+'Fórmula'!K108))*(INDEX(properties!A$1:CB$87,'Fórmula'!D108,57))+(('Fórmula'!G108)/('Fórmula'!C108+'Fórmula'!E108+'Fórmula'!G108+'Fórmula'!I108+'Fórmula'!K108))*(INDEX(properties!A$1:CB$87,'Fórmula'!F108,57))+(('Fórmula'!I108)/('Fórmula'!C108+'Fórmula'!E108+'Fórmula'!G108+'Fórmula'!I108+'Fórmula'!K108))*(INDEX(properties!A$1:CB$87,'Fórmula'!H108,57))+(('Fórmula'!K108)/('Fórmula'!C108+'Fórmula'!E108+'Fórmula'!G108+'Fórmula'!I108+'Fórmula'!K108))*(INDEX(properties!A$1:CB$87,'Fórmula'!J108,57))</f>
        <v>4.338554</v>
      </c>
      <c r="GA108" s="104">
        <f t="array" ref="GA108">'Fórmula'!C108*(INDEX(properties!A$1:CB$87,'Fórmula'!B108,57))+'Fórmula'!E108*(INDEX(properties!A$1:CB$87,'Fórmula'!D108,57))+'Fórmula'!G108*(INDEX(properties!A$1:CB$87,'Fórmula'!F108,57))+'Fórmula'!I108*(INDEX(properties!A$1:CB$87,'Fórmula'!H108,57))+'Fórmula'!K108*(INDEX(properties!A$1:CB$87,'Fórmula'!J108,57))</f>
        <v>86.77108</v>
      </c>
      <c r="GB108" s="104">
        <f t="array" ref="GB108">VARP(IF(INDEX(properties!A$1:CB$87,'Fórmula'!B108,57)&lt;&gt;"",INDEX(properties!A$1:CB$87,'Fórmula'!B108,57)),IF(INDEX(properties!A$1:CB$87,'Fórmula'!D108,57)&lt;&gt;"",INDEX(properties!A$1:CB$87,'Fórmula'!D108,57)),IF(INDEX(properties!A$1:CB$87,'Fórmula'!F108,57)&lt;&gt;"",INDEX(properties!A$1:CB$87,'Fórmula'!F108,57)),IF(INDEX(properties!A$1:CB$87,'Fórmula'!H108,57)&lt;&gt;"",INDEX(properties!A$1:CB$87,'Fórmula'!H108,57)),IF(INDEX(properties!A$1:CB$87,'Fórmula'!J108,57)&lt;&gt;"",INDEX(properties!A$1:CB$87,'Fórmula'!J108,57)))</f>
        <v>25.74992136</v>
      </c>
      <c r="GC108" s="104">
        <f t="array" ref="GC108">MAX(INDEX(properties!A$1:CB$87,'Fórmula'!B108,57),INDEX(properties!A$1:CB$87,'Fórmula'!D108,57),INDEX(properties!A$1:CB$87,'Fórmula'!F108,57),INDEX(properties!A$1:CB$87,'Fórmula'!H108,57),INDEX(properties!A$1:CB$87,'Fórmula'!J108,57))</f>
        <v>10.79</v>
      </c>
      <c r="GD108" s="104">
        <f t="array" ref="GD108">MIN(IF(INDEX(properties!A$1:CB$87,'Fórmula'!B108,57)=0,10^6,INDEX(properties!A$1:CB$87,'Fórmula'!B108,57)),IF(INDEX(properties!A$1:CB$87,'Fórmula'!D108,57)=0,10^6,INDEX(properties!A$1:CB$87,'Fórmula'!D108,57)),IF(INDEX(properties!A$1:CB$87,'Fórmula'!F108,57)=0,10^6,INDEX(properties!A$1:CB$87,'Fórmula'!F108,57)),IF(INDEX(properties!A$1:CB$87,'Fórmula'!H108,57)=0,10^6,INDEX(properties!A$1:CB$87,'Fórmula'!H108,57)),IF(INDEX(properties!A$1:CB$87,'Fórmula'!J108,57)=0,10^6,INDEX(properties!A$1:CB$87,'Fórmula'!J108,57)))</f>
        <v>0.22259</v>
      </c>
      <c r="GE108" s="104">
        <f t="shared" si="31"/>
        <v>10.56741</v>
      </c>
      <c r="GF108" s="105">
        <f t="array" ref="GF108">(('Fórmula'!C108)/('Fórmula'!C108+'Fórmula'!E108+'Fórmula'!G108+'Fórmula'!I108+'Fórmula'!K108))*(INDEX(properties!A$1:CB$87,'Fórmula'!B108,60))+(('Fórmula'!E108)/('Fórmula'!C108+'Fórmula'!E108+'Fórmula'!G108+'Fórmula'!I108+'Fórmula'!K108))*(INDEX(properties!A$1:CB$87,'Fórmula'!D108,60))+(('Fórmula'!G108)/('Fórmula'!C108+'Fórmula'!E108+'Fórmula'!G108+'Fórmula'!I108+'Fórmula'!K108))*(INDEX(properties!A$1:CB$87,'Fórmula'!F108,60))+(('Fórmula'!I108)/('Fórmula'!C108+'Fórmula'!E108+'Fórmula'!G108+'Fórmula'!I108+'Fórmula'!K108))*(INDEX(properties!A$1:CB$87,'Fórmula'!H108,60))+(('Fórmula'!K108)/('Fórmula'!C108+'Fórmula'!E108+'Fórmula'!G108+'Fórmula'!I108+'Fórmula'!K108))*(INDEX(properties!A$1:CB$87,'Fórmula'!J108,60))</f>
        <v>60.856044</v>
      </c>
      <c r="GG108" s="105">
        <f t="array" ref="GG108">'Fórmula'!C108*(INDEX(properties!A$1:CB$87,'Fórmula'!B108,60))+'Fórmula'!E108*(INDEX(properties!A$1:CB$87,'Fórmula'!D108,60))+'Fórmula'!G108*(INDEX(properties!A$1:CB$87,'Fórmula'!F108,60))+'Fórmula'!I108*(INDEX(properties!A$1:CB$87,'Fórmula'!H108,60))+'Fórmula'!K108*(INDEX(properties!A$1:CB$87,'Fórmula'!J108,60))</f>
        <v>1217.12088</v>
      </c>
      <c r="GH108" s="105">
        <f t="array" ref="GH108">VARP(IF(INDEX(properties!A$1:CB$87,'Fórmula'!B108,60)&lt;&gt;"",INDEX(properties!A$1:CB$87,'Fórmula'!B108,60)),IF(INDEX(properties!A$1:CB$87,'Fórmula'!D108,60)&lt;&gt;"",INDEX(properties!A$1:CB$87,'Fórmula'!D108,60)),IF(INDEX(properties!A$1:CB$87,'Fórmula'!F108,60)&lt;&gt;"",INDEX(properties!A$1:CB$87,'Fórmula'!F108,60)),IF(INDEX(properties!A$1:CB$87,'Fórmula'!H108,60)&lt;&gt;"",INDEX(properties!A$1:CB$87,'Fórmula'!H108,60)),IF(INDEX(properties!A$1:CB$87,'Fórmula'!J108,60)&lt;&gt;"",INDEX(properties!A$1:CB$87,'Fórmula'!J108,60)))</f>
        <v>8803.512048</v>
      </c>
      <c r="GI108" s="105">
        <f t="array" ref="GI108">MAX(INDEX(properties!A$1:CB$87,'Fórmula'!B108,60),INDEX(properties!A$1:CB$87,'Fórmula'!D108,60),INDEX(properties!A$1:CB$87,'Fórmula'!F108,60),INDEX(properties!A$1:CB$87,'Fórmula'!H108,60),INDEX(properties!A$1:CB$87,'Fórmula'!J108,60))</f>
        <v>237</v>
      </c>
      <c r="GJ108" s="105">
        <f t="array" ref="GJ108">MIN(IF(INDEX(properties!A$1:CB$87,'Fórmula'!B108,60)=0,10^6,INDEX(properties!A$1:CB$87,'Fórmula'!B108,60)),IF(INDEX(properties!A$1:CB$87,'Fórmula'!D108,60)=0,10^6,INDEX(properties!A$1:CB$87,'Fórmula'!D108,60)),IF(INDEX(properties!A$1:CB$87,'Fórmula'!F108,60)=0,10^6,INDEX(properties!A$1:CB$87,'Fórmula'!F108,60)),IF(INDEX(properties!A$1:CB$87,'Fórmula'!H108,60)=0,10^6,INDEX(properties!A$1:CB$87,'Fórmula'!H108,60)),IF(INDEX(properties!A$1:CB$87,'Fórmula'!J108,60)=0,10^6,INDEX(properties!A$1:CB$87,'Fórmula'!J108,60)))</f>
        <v>0.02674</v>
      </c>
      <c r="GK108" s="105">
        <f t="shared" si="32"/>
        <v>236.97326</v>
      </c>
      <c r="GL108" s="106">
        <f t="array" ref="GL108">(('Fórmula'!C108)/('Fórmula'!C108+'Fórmula'!E108+'Fórmula'!G108+'Fórmula'!I108+'Fórmula'!K108))*(INDEX(properties!A$1:CB$87,'Fórmula'!B108,62))+(('Fórmula'!E108)/('Fórmula'!C108+'Fórmula'!E108+'Fórmula'!G108+'Fórmula'!I108+'Fórmula'!K108))*(INDEX(properties!A$1:CB$87,'Fórmula'!D108,62))+(('Fórmula'!G108)/('Fórmula'!C108+'Fórmula'!E108+'Fórmula'!G108+'Fórmula'!I108+'Fórmula'!K108))*(INDEX(properties!A$1:CB$87,'Fórmula'!F108,62))+(('Fórmula'!I108)/('Fórmula'!C108+'Fórmula'!E108+'Fórmula'!G108+'Fórmula'!I108+'Fórmula'!K108))*(INDEX(properties!A$1:CB$87,'Fórmula'!H108,62))+(('Fórmula'!K108)/('Fórmula'!C108+'Fórmula'!E108+'Fórmula'!G108+'Fórmula'!I108+'Fórmula'!K108))*(INDEX(properties!A$1:CB$87,'Fórmula'!J108,62))</f>
        <v>3.0405</v>
      </c>
      <c r="GM108" s="106">
        <f t="array" ref="GM108">'Fórmula'!C108*(INDEX(properties!A$1:CB$87,'Fórmula'!B108,62))+'Fórmula'!E108*(INDEX(properties!A$1:CB$87,'Fórmula'!D108,62))+'Fórmula'!G108*(INDEX(properties!A$1:CB$87,'Fórmula'!F108,62))+'Fórmula'!I108*(INDEX(properties!A$1:CB$87,'Fórmula'!H108,62))+'Fórmula'!K108*(INDEX(properties!A$1:CB$87,'Fórmula'!J108,62))</f>
        <v>60.81</v>
      </c>
      <c r="GN108" s="106">
        <f t="array" ref="GN108">VARP(IF(INDEX(properties!A$1:CB$87,'Fórmula'!B108,62)&lt;&gt;"",INDEX(properties!A$1:CB$87,'Fórmula'!B108,62)),IF(INDEX(properties!A$1:CB$87,'Fórmula'!D108,62)&lt;&gt;"",INDEX(properties!A$1:CB$87,'Fórmula'!D108,62)),IF(INDEX(properties!A$1:CB$87,'Fórmula'!F108,62)&lt;&gt;"",INDEX(properties!A$1:CB$87,'Fórmula'!F108,62)),IF(INDEX(properties!A$1:CB$87,'Fórmula'!H108,62)&lt;&gt;"",INDEX(properties!A$1:CB$87,'Fórmula'!H108,62)),IF(INDEX(properties!A$1:CB$87,'Fórmula'!J108,62)&lt;&gt;"",INDEX(properties!A$1:CB$87,'Fórmula'!J108,62)))</f>
        <v>2.97832</v>
      </c>
      <c r="GO108" s="106">
        <f t="array" ref="GO108">MAX(INDEX(properties!A$1:CB$87,'Fórmula'!B108,62),INDEX(properties!A$1:CB$87,'Fórmula'!D108,62),INDEX(properties!A$1:CB$87,'Fórmula'!F108,62),INDEX(properties!A$1:CB$87,'Fórmula'!H108,62),INDEX(properties!A$1:CB$87,'Fórmula'!J108,62))</f>
        <v>4.14</v>
      </c>
      <c r="GP108" s="106">
        <f t="array" ref="GP108">MIN(IF(INDEX(properties!A$1:CB$87,'Fórmula'!B108,62)=0,10^6,INDEX(properties!A$1:CB$87,'Fórmula'!B108,62)),IF(INDEX(properties!A$1:CB$87,'Fórmula'!D108,62)=0,10^6,INDEX(properties!A$1:CB$87,'Fórmula'!D108,62)),IF(INDEX(properties!A$1:CB$87,'Fórmula'!F108,62)=0,10^6,INDEX(properties!A$1:CB$87,'Fórmula'!F108,62)),IF(INDEX(properties!A$1:CB$87,'Fórmula'!H108,62)=0,10^6,INDEX(properties!A$1:CB$87,'Fórmula'!H108,62)),IF(INDEX(properties!A$1:CB$87,'Fórmula'!J108,62)=0,10^6,INDEX(properties!A$1:CB$87,'Fórmula'!J108,62)))</f>
        <v>2.62</v>
      </c>
      <c r="GQ108" s="106">
        <f t="shared" si="33"/>
        <v>1.52</v>
      </c>
      <c r="GR108" s="106">
        <f>'Fórmula'!Q108</f>
        <v>230</v>
      </c>
      <c r="GS108" s="107">
        <f>'Fórmula'!P108</f>
        <v>1</v>
      </c>
      <c r="GT108" s="113">
        <f>'Fórmula'!O108</f>
        <v>5.83</v>
      </c>
      <c r="GU108" s="114">
        <f>AVERAGE('Fórmula'!R108/'Fórmula'!S108,'Fórmula'!S108/'Fórmula'!T108,'Fórmula'!T108/'Fórmula'!R108)</f>
        <v>1</v>
      </c>
      <c r="GV108" s="125">
        <f>'Fórmula'!U108</f>
        <v>1775.384</v>
      </c>
      <c r="GW108" s="106">
        <f>'Fórmula'!N108</f>
        <v>0.04</v>
      </c>
    </row>
    <row r="109" ht="14.25" customHeight="1">
      <c r="A109" s="99" t="str">
        <f>'Fórmula'!A109</f>
        <v>GdAlO3</v>
      </c>
      <c r="B109" s="101">
        <f t="array" ref="B109">(('Fórmula'!C109)/('Fórmula'!C109+'Fórmula'!E109+'Fórmula'!G109+'Fórmula'!I109+'Fórmula'!K109))*(INDEX(properties!A$1:CB$87,'Fórmula'!B109,3))+(('Fórmula'!E109)/('Fórmula'!C109+'Fórmula'!E109+'Fórmula'!G109+'Fórmula'!I109+'Fórmula'!K109))*(INDEX(properties!A$1:CB$87,'Fórmula'!D109,3))+(('Fórmula'!G109)/('Fórmula'!C109+'Fórmula'!E109+'Fórmula'!G109+'Fórmula'!I109+'Fórmula'!K109))*(INDEX(properties!A$1:CB$87,'Fórmula'!F109,3))+(('Fórmula'!I109)/('Fórmula'!C109+'Fórmula'!E109+'Fórmula'!G109+'Fórmula'!I109+'Fórmula'!K109))*(INDEX(properties!A$1:CB$87,'Fórmula'!H109,3))+(('Fórmula'!K109)/('Fórmula'!C109+'Fórmula'!E109+'Fórmula'!G109+'Fórmula'!I109+'Fórmula'!K109))*(INDEX(properties!A$1:CB$87,'Fórmula'!J109,3))</f>
        <v>46.4459478</v>
      </c>
      <c r="C109" s="101">
        <f t="array" ref="C109">'Fórmula'!C109*(INDEX(properties!A$1:CB$87,'Fórmula'!B109,3))+'Fórmula'!E109*(INDEX(properties!A$1:CB$87,'Fórmula'!D109,3))+'Fórmula'!G109*(INDEX(properties!A$1:CB$87,'Fórmula'!F109,3))+'Fórmula'!I109*(INDEX(properties!A$1:CB$87,'Fórmula'!H109,3))+'Fórmula'!K109*(INDEX(properties!A$1:CB$87,'Fórmula'!J109,3))</f>
        <v>232.229739</v>
      </c>
      <c r="D109" s="101">
        <f t="array" ref="D109">VARP(IF(INDEX(properties!A$1:CB$87,'Fórmula'!B109,3)&lt;&gt;"",INDEX(properties!A$1:CB$87,'Fórmula'!B109,3)),IF(INDEX(properties!A$1:CB$87,'Fórmula'!D109,3)&lt;&gt;"",INDEX(properties!A$1:CB$87,'Fórmula'!D109,3)),IF(INDEX(properties!A$1:CB$87,'Fórmula'!F109,3)&lt;&gt;"",INDEX(properties!A$1:CB$87,'Fórmula'!F109,3)),IF(INDEX(properties!A$1:CB$87,'Fórmula'!H109,3)&lt;&gt;"",INDEX(properties!A$1:CB$87,'Fórmula'!H109,3)),IF(INDEX(properties!A$1:CB$87,'Fórmula'!J109,3)&lt;&gt;"",INDEX(properties!A$1:CB$87,'Fórmula'!J109,3)))</f>
        <v>3538.612192</v>
      </c>
      <c r="E109" s="101">
        <f t="array" ref="E109">MAX(INDEX(properties!A$1:CB$87,'Fórmula'!B109,3),INDEX(properties!A$1:CB$87,'Fórmula'!D109,3),INDEX(properties!A$1:CB$87,'Fórmula'!F109,3),INDEX(properties!A$1:CB$87,'Fórmula'!H109,3),INDEX(properties!A$1:CB$87,'Fórmula'!J109,3))</f>
        <v>157.25</v>
      </c>
      <c r="F109" s="101">
        <f t="array" ref="F109">MIN(IF(INDEX(properties!A$1:CB$87,'Fórmula'!B109,3)=0,10^6,INDEX(properties!A$1:CB$87,'Fórmula'!B109,3)),IF(INDEX(properties!A$1:CB$87,'Fórmula'!D109,3)=0,10^6,INDEX(properties!A$1:CB$87,'Fórmula'!D109,3)),IF(INDEX(properties!A$1:CB$87,'Fórmula'!F109,3)=0,10^6,INDEX(properties!A$1:CB$87,'Fórmula'!F109,3)),IF(INDEX(properties!A$1:CB$87,'Fórmula'!H109,3)=0,10^6,INDEX(properties!A$1:CB$87,'Fórmula'!H109,3)),IF(INDEX(properties!A$1:CB$87,'Fórmula'!J109,3)=0,10^6,INDEX(properties!A$1:CB$87,'Fórmula'!J109,3)))</f>
        <v>15.9994</v>
      </c>
      <c r="G109" s="101">
        <f t="shared" si="1"/>
        <v>141.2506</v>
      </c>
      <c r="H109" s="102">
        <f t="array" ref="H109">(('Fórmula'!C109)/('Fórmula'!C109+'Fórmula'!E109+'Fórmula'!G109+'Fórmula'!I109+'Fórmula'!K109))*(INDEX(properties!A$1:CB$87,'Fórmula'!B109,4))+(('Fórmula'!E109)/('Fórmula'!C109+'Fórmula'!E109+'Fórmula'!G109+'Fórmula'!I109+'Fórmula'!K109))*(INDEX(properties!A$1:CB$87,'Fórmula'!D109,4))+(('Fórmula'!G109)/('Fórmula'!C109+'Fórmula'!E109+'Fórmula'!G109+'Fórmula'!I109+'Fórmula'!K109))*(INDEX(properties!A$1:CB$87,'Fórmula'!F109,4))+(('Fórmula'!I109)/('Fórmula'!C109+'Fórmula'!E109+'Fórmula'!G109+'Fórmula'!I109+'Fórmula'!K109))*(INDEX(properties!A$1:CB$87,'Fórmula'!H109,4))+(('Fórmula'!K109)/('Fórmula'!C109+'Fórmula'!E109+'Fórmula'!G109+'Fórmula'!I109+'Fórmula'!K109))*(INDEX(properties!A$1:CB$87,'Fórmula'!J109,4))</f>
        <v>20.2</v>
      </c>
      <c r="I109" s="102">
        <f t="array" ref="I109">'Fórmula'!C109*(INDEX(properties!A$1:CB$87,'Fórmula'!B109,4))+'Fórmula'!E109*(INDEX(properties!A$1:CB$87,'Fórmula'!D109,4))+'Fórmula'!G109*(INDEX(properties!A$1:CB$87,'Fórmula'!F109,4))+'Fórmula'!I109*(INDEX(properties!A$1:CB$87,'Fórmula'!H109,4))+'Fórmula'!K109*(INDEX(properties!A$1:CB$87,'Fórmula'!J109,4))</f>
        <v>101</v>
      </c>
      <c r="J109" s="102">
        <f t="array" ref="J109">VARP(IF(INDEX(properties!A$1:CB$87,'Fórmula'!B109,4)&lt;&gt;"",INDEX(properties!A$1:CB$87,'Fórmula'!B109,4)),IF(INDEX(properties!A$1:CB$87,'Fórmula'!D109,4)&lt;&gt;"",INDEX(properties!A$1:CB$87,'Fórmula'!D109,4)),IF(INDEX(properties!A$1:CB$87,'Fórmula'!F109,4)&lt;&gt;"",INDEX(properties!A$1:CB$87,'Fórmula'!F109,4)),IF(INDEX(properties!A$1:CB$87,'Fórmula'!H109,4)&lt;&gt;"",INDEX(properties!A$1:CB$87,'Fórmula'!H109,4)),IF(INDEX(properties!A$1:CB$87,'Fórmula'!J109,4)&lt;&gt;"",INDEX(properties!A$1:CB$87,'Fórmula'!J109,4)))</f>
        <v>576.8</v>
      </c>
      <c r="K109" s="102">
        <f t="array" ref="K109">MAX(INDEX(properties!A$1:CB$87,'Fórmula'!B109,4),INDEX(properties!A$1:CB$87,'Fórmula'!D109,4),INDEX(properties!A$1:CB$87,'Fórmula'!F109,4),INDEX(properties!A$1:CB$87,'Fórmula'!H109,4),INDEX(properties!A$1:CB$87,'Fórmula'!J109,4))</f>
        <v>64</v>
      </c>
      <c r="L109" s="102">
        <f t="array" ref="L109">MIN(IF(INDEX(properties!A$1:CB$87,'Fórmula'!B109,4)=0,10^6,INDEX(properties!A$1:CB$87,'Fórmula'!B109,4)),IF(INDEX(properties!A$1:CB$87,'Fórmula'!D109,4)=0,10^6,INDEX(properties!A$1:CB$87,'Fórmula'!D109,4)),IF(INDEX(properties!A$1:CB$87,'Fórmula'!F109,4)=0,10^6,INDEX(properties!A$1:CB$87,'Fórmula'!F109,4)),IF(INDEX(properties!A$1:CB$87,'Fórmula'!H109,4)=0,10^6,INDEX(properties!A$1:CB$87,'Fórmula'!H109,4)),IF(INDEX(properties!A$1:CB$87,'Fórmula'!J109,4)=0,10^6,INDEX(properties!A$1:CB$87,'Fórmula'!J109,4)))</f>
        <v>8</v>
      </c>
      <c r="M109" s="102">
        <f t="shared" si="2"/>
        <v>56</v>
      </c>
      <c r="N109" s="103">
        <f t="array" ref="N109">(('Fórmula'!C109)/('Fórmula'!C109+'Fórmula'!E109+'Fórmula'!G109+'Fórmula'!I109+'Fórmula'!K109))*(INDEX(properties!A$1:CB$87,'Fórmula'!B109,5))+(('Fórmula'!E109)/('Fórmula'!C109+'Fórmula'!E109+'Fórmula'!G109+'Fórmula'!I109+'Fórmula'!K109))*(INDEX(properties!A$1:CB$87,'Fórmula'!D109,5))+(('Fórmula'!G109)/('Fórmula'!C109+'Fórmula'!E109+'Fórmula'!G109+'Fórmula'!I109+'Fórmula'!K109))*(INDEX(properties!A$1:CB$87,'Fórmula'!F109,5))+(('Fórmula'!I109)/('Fórmula'!C109+'Fórmula'!E109+'Fórmula'!G109+'Fórmula'!I109+'Fórmula'!K109))*(INDEX(properties!A$1:CB$87,'Fórmula'!H109,5))+(('Fórmula'!K109)/('Fórmula'!C109+'Fórmula'!E109+'Fórmula'!G109+'Fórmula'!I109+'Fórmula'!K109))*(INDEX(properties!A$1:CB$87,'Fórmula'!J109,5))</f>
        <v>3</v>
      </c>
      <c r="O109" s="103">
        <f t="array" ref="O109">'Fórmula'!C109*(INDEX(properties!A$1:CB$87,'Fórmula'!B109,5))+'Fórmula'!E109*(INDEX(properties!A$1:CB$87,'Fórmula'!D109,5))+'Fórmula'!G109*(INDEX(properties!A$1:CB$87,'Fórmula'!F109,5))+'Fórmula'!I109*(INDEX(properties!A$1:CB$87,'Fórmula'!H109,5))+'Fórmula'!K109*(INDEX(properties!A$1:CB$87,'Fórmula'!J109,5))</f>
        <v>15</v>
      </c>
      <c r="P109" s="103">
        <f t="array" ref="P109">VARP(IF(INDEX(properties!A$1:CB$87,'Fórmula'!B109,5)&lt;&gt;"",INDEX(properties!A$1:CB$87,'Fórmula'!B109,5)),IF(INDEX(properties!A$1:CB$87,'Fórmula'!D109,5)&lt;&gt;"",INDEX(properties!A$1:CB$87,'Fórmula'!D109,5)),IF(INDEX(properties!A$1:CB$87,'Fórmula'!F109,5)&lt;&gt;"",INDEX(properties!A$1:CB$87,'Fórmula'!F109,5)),IF(INDEX(properties!A$1:CB$87,'Fórmula'!H109,5)&lt;&gt;"",INDEX(properties!A$1:CB$87,'Fórmula'!H109,5)),IF(INDEX(properties!A$1:CB$87,'Fórmula'!J109,5)&lt;&gt;"",INDEX(properties!A$1:CB$87,'Fórmula'!J109,5)))</f>
        <v>4.96</v>
      </c>
      <c r="Q109" s="103">
        <f t="array" ref="Q109">MAX(INDEX(properties!A$1:CB$87,'Fórmula'!B109,5),INDEX(properties!A$1:CB$87,'Fórmula'!D109,5),INDEX(properties!A$1:CB$87,'Fórmula'!F109,5),INDEX(properties!A$1:CB$87,'Fórmula'!H109,5),INDEX(properties!A$1:CB$87,'Fórmula'!J109,5))</f>
        <v>6</v>
      </c>
      <c r="R109" s="103">
        <f t="array" ref="R109">MIN(IF(INDEX(properties!A$1:CB$87,'Fórmula'!B109,5)=0,10^6,INDEX(properties!A$1:CB$87,'Fórmula'!B109,5)),IF(INDEX(properties!A$1:CB$87,'Fórmula'!D109,5)=0,10^6,INDEX(properties!A$1:CB$87,'Fórmula'!D109,5)),IF(INDEX(properties!A$1:CB$87,'Fórmula'!F109,5)=0,10^6,INDEX(properties!A$1:CB$87,'Fórmula'!F109,5)),IF(INDEX(properties!A$1:CB$87,'Fórmula'!H109,5)=0,10^6,INDEX(properties!A$1:CB$87,'Fórmula'!H109,5)),IF(INDEX(properties!A$1:CB$87,'Fórmula'!J109,5)=0,10^6,INDEX(properties!A$1:CB$87,'Fórmula'!J109,5)))</f>
        <v>2</v>
      </c>
      <c r="S109" s="103">
        <f t="shared" si="3"/>
        <v>4</v>
      </c>
      <c r="T109" s="104">
        <f t="array" ref="T109">(('Fórmula'!C109)/('Fórmula'!C109+'Fórmula'!E109+'Fórmula'!G109+'Fórmula'!I109+'Fórmula'!K109))*(INDEX(properties!A$1:CB$87,'Fórmula'!B109,6))+(('Fórmula'!E109)/('Fórmula'!C109+'Fórmula'!E109+'Fórmula'!G109+'Fórmula'!I109+'Fórmula'!K109))*(INDEX(properties!A$1:CB$87,'Fórmula'!D109,6))+(('Fórmula'!G109)/('Fórmula'!C109+'Fórmula'!E109+'Fórmula'!G109+'Fórmula'!I109+'Fórmula'!K109))*(INDEX(properties!A$1:CB$87,'Fórmula'!F109,6))+(('Fórmula'!I109)/('Fórmula'!C109+'Fórmula'!E109+'Fórmula'!G109+'Fórmula'!I109+'Fórmula'!K109))*(INDEX(properties!A$1:CB$87,'Fórmula'!H109,6))+(('Fórmula'!K109)/('Fórmula'!C109+'Fórmula'!E109+'Fórmula'!G109+'Fórmula'!I109+'Fórmula'!K109))*(INDEX(properties!A$1:CB$87,'Fórmula'!J109,6))</f>
        <v>12.8</v>
      </c>
      <c r="U109" s="104">
        <f t="array" ref="U109">'Fórmula'!C109*(INDEX(properties!A$1:CB$87,'Fórmula'!B109,6))+'Fórmula'!E109*(INDEX(properties!A$1:CB$87,'Fórmula'!D109,6))+'Fórmula'!G109*(INDEX(properties!A$1:CB$87,'Fórmula'!F109,6))+'Fórmula'!I109*(INDEX(properties!A$1:CB$87,'Fórmula'!H109,6))+'Fórmula'!K109*(INDEX(properties!A$1:CB$87,'Fórmula'!J109,6))</f>
        <v>64</v>
      </c>
      <c r="V109" s="103">
        <f t="array" ref="V109">VARP(IF(INDEX(properties!A$1:CB$87,'Fórmula'!B109,6)&lt;&gt;"",INDEX(properties!A$1:CB$87,'Fórmula'!B109,6)),IF(INDEX(properties!A$1:CB$87,'Fórmula'!D109,6)&lt;&gt;"",INDEX(properties!A$1:CB$87,'Fórmula'!D109,6)),IF(INDEX(properties!A$1:CB$87,'Fórmula'!F109,6)&lt;&gt;"",INDEX(properties!A$1:CB$87,'Fórmula'!F109,6)),IF(INDEX(properties!A$1:CB$87,'Fórmula'!H109,6)&lt;&gt;"",INDEX(properties!A$1:CB$87,'Fórmula'!H109,6)),IF(INDEX(properties!A$1:CB$87,'Fórmula'!J109,6)&lt;&gt;"",INDEX(properties!A$1:CB$87,'Fórmula'!J109,6)))</f>
        <v>45.84</v>
      </c>
      <c r="W109" s="104">
        <f t="array" ref="W109">MAX(INDEX(properties!A$1:CB$87,'Fórmula'!B109,6),INDEX(properties!A$1:CB$87,'Fórmula'!D109,6),INDEX(properties!A$1:CB$87,'Fórmula'!F109,6),INDEX(properties!A$1:CB$87,'Fórmula'!H109,4),INDEX(properties!A$1:CB$87,'Fórmula'!J109,6))</f>
        <v>16</v>
      </c>
      <c r="X109" s="104">
        <f t="array" ref="X109">MIN(IF(INDEX(properties!A$1:CB$87,'Fórmula'!B109,6)=0,10^6,INDEX(properties!A$1:CB$87,'Fórmula'!B109,6)),IF(INDEX(properties!A$1:CB$87,'Fórmula'!D109,6)=0,10^6,INDEX(properties!A$1:CB$87,'Fórmula'!D109,6)),IF(INDEX(properties!A$1:CB$87,'Fórmula'!F109,6)=0,10^6,INDEX(properties!A$1:CB$87,'Fórmula'!F109,6)),IF(INDEX(properties!A$1:CB$87,'Fórmula'!H109,6)=0,10^6,INDEX(properties!A$1:CB$87,'Fórmula'!H109,6)),IF(INDEX(properties!A$1:CB$87,'Fórmula'!J109,6)=0,10^6,INDEX(properties!A$1:CB$87,'Fórmula'!J109,6)))</f>
        <v>3</v>
      </c>
      <c r="Y109" s="104">
        <f t="shared" si="4"/>
        <v>13</v>
      </c>
      <c r="Z109" s="105">
        <f t="array" ref="Z109">(('Fórmula'!C109)/('Fórmula'!C109+'Fórmula'!E109+'Fórmula'!G109+'Fórmula'!I109+'Fórmula'!K109))*(INDEX(properties!A$1:CB$87,'Fórmula'!B109,9))+(('Fórmula'!E109)/('Fórmula'!C109+'Fórmula'!E109+'Fórmula'!G109+'Fórmula'!I109+'Fórmula'!K109))*(INDEX(properties!A$1:CB$87,'Fórmula'!D109,9))+(('Fórmula'!G109)/('Fórmula'!C109+'Fórmula'!E109+'Fórmula'!G109+'Fórmula'!I109+'Fórmula'!K109))*(INDEX(properties!A$1:CB$87,'Fórmula'!F109,9))+(('Fórmula'!I109)/('Fórmula'!C109+'Fórmula'!E109+'Fórmula'!G109+'Fórmula'!I109+'Fórmula'!K109))*(INDEX(properties!A$1:CB$87,'Fórmula'!H109,9))+(('Fórmula'!K109)/('Fórmula'!C109+'Fórmula'!E109+'Fórmula'!G109+'Fórmula'!I109+'Fórmula'!K109))*(INDEX(properties!A$1:CB$87,'Fórmula'!J109,9))</f>
        <v>72.2</v>
      </c>
      <c r="AA109" s="105">
        <f t="array" ref="AA109">'Fórmula'!C109*(INDEX(properties!A$1:CB$87,'Fórmula'!B109,9))+'Fórmula'!E109*(INDEX(properties!A$1:CB$87,'Fórmula'!D109,9))+'Fórmula'!G109*(INDEX(properties!A$1:CB$87,'Fórmula'!F109,9))+'Fórmula'!I109*(INDEX(properties!A$1:CB$87,'Fórmula'!H109,9))+'Fórmula'!K109*(INDEX(properties!A$1:CB$87,'Fórmula'!J109,9))</f>
        <v>361</v>
      </c>
      <c r="AB109" s="105">
        <f t="array" ref="AB109">VARP(IF(INDEX(properties!A$1:CB$87,'Fórmula'!B109,9)&lt;&gt;"",INDEX(properties!A$1:CB$87,'Fórmula'!B109,9)),IF(INDEX(properties!A$1:CB$87,'Fórmula'!D109,9)&lt;&gt;"",INDEX(properties!A$1:CB$87,'Fórmula'!D109,9)),IF(INDEX(properties!A$1:CB$87,'Fórmula'!F109,9)&lt;&gt;"",INDEX(properties!A$1:CB$87,'Fórmula'!F109,9)),IF(INDEX(properties!A$1:CB$87,'Fórmula'!H109,9)&lt;&gt;"",INDEX(properties!A$1:CB$87,'Fórmula'!H109,9)),IF(INDEX(properties!A$1:CB$87,'Fórmula'!J109,9)&lt;&gt;"",INDEX(properties!A$1:CB$87,'Fórmula'!J109,9)))</f>
        <v>1326.64</v>
      </c>
      <c r="AC109" s="105">
        <f t="array" ref="AC109">MAX(INDEX(properties!A$1:CB$87,'Fórmula'!B109,9),INDEX(properties!A$1:CB$87,'Fórmula'!D109,9),INDEX(properties!A$1:CB$87,'Fórmula'!F109,9),INDEX(properties!A$1:CB$87,'Fórmula'!H109,9),INDEX(properties!A$1:CB$87,'Fórmula'!J109,9))</f>
        <v>87</v>
      </c>
      <c r="AD109" s="105">
        <f t="array" ref="AD109">MIN(IF(INDEX(properties!A$1:CB$87,'Fórmula'!B109,9)=0,10^6,INDEX(properties!A$1:CB$87,'Fórmula'!B109,9)),IF(INDEX(properties!A$1:CB$87,'Fórmula'!D109,9)=0,10^6,INDEX(properties!A$1:CB$87,'Fórmula'!D109,9)),IF(INDEX(properties!A$1:CB$87,'Fórmula'!F109,9)=0,10^6,INDEX(properties!A$1:CB$87,'Fórmula'!F109,9)),IF(INDEX(properties!A$1:CB$87,'Fórmula'!H109,9)=0,10^6,INDEX(properties!A$1:CB$87,'Fórmula'!H109,9)),IF(INDEX(properties!A$1:CB$87,'Fórmula'!J109,9)=0,10^6,INDEX(properties!A$1:CB$87,'Fórmula'!J109,9)))</f>
        <v>27</v>
      </c>
      <c r="AE109" s="105">
        <f t="shared" si="5"/>
        <v>60</v>
      </c>
      <c r="AF109" s="106">
        <f t="array" ref="AF109">(('Fórmula'!C109)/('Fórmula'!C109+'Fórmula'!E109+'Fórmula'!G109+'Fórmula'!I109+'Fórmula'!K109))*(INDEX(properties!A$1:CB$87,'Fórmula'!B109,10))+(('Fórmula'!E109)/('Fórmula'!C109+'Fórmula'!E109+'Fórmula'!G109+'Fórmula'!I109+'Fórmula'!K109))*(INDEX(properties!A$1:CB$87,'Fórmula'!D109,10))+(('Fórmula'!G109)/('Fórmula'!C109+'Fórmula'!E109+'Fórmula'!G109+'Fórmula'!I109+'Fórmula'!K109))*(INDEX(properties!A$1:CB$87,'Fórmula'!F109,10))+(('Fórmula'!I109)/('Fórmula'!C109+'Fórmula'!E109+'Fórmula'!G109+'Fórmula'!I109+'Fórmula'!K109))*(INDEX(properties!A$1:CB$87,'Fórmula'!H109,10))+(('Fórmula'!K109)/('Fórmula'!C109+'Fórmula'!E109+'Fórmula'!G109+'Fórmula'!I109+'Fórmula'!K109))*(INDEX(properties!A$1:CB$87,'Fórmula'!J109,10))</f>
        <v>5.8</v>
      </c>
      <c r="AG109" s="106">
        <f t="array" ref="AG109">'Fórmula'!C109*(INDEX(properties!A$1:CB$87,'Fórmula'!B109,10))+'Fórmula'!E109*(INDEX(properties!A$1:CB$87,'Fórmula'!D109,10))+'Fórmula'!G109*(INDEX(properties!A$1:CB$87,'Fórmula'!F109,10))+'Fórmula'!I109*(INDEX(properties!A$1:CB$87,'Fórmula'!H109,10))+'Fórmula'!K109*(INDEX(properties!A$1:CB$87,'Fórmula'!J109,10))</f>
        <v>29</v>
      </c>
      <c r="AH109" s="106">
        <f t="array" ref="AH109">VARP(IF(INDEX(properties!A$1:CB$87,'Fórmula'!B109,10)&lt;&gt;"",INDEX(properties!A$1:CB$87,'Fórmula'!B109,10)),IF(INDEX(properties!A$1:CB$87,'Fórmula'!D109,10)&lt;&gt;"",INDEX(properties!A$1:CB$87,'Fórmula'!D109,10)),IF(INDEX(properties!A$1:CB$87,'Fórmula'!F109,10)&lt;&gt;"",INDEX(properties!A$1:CB$87,'Fórmula'!F109,10)),IF(INDEX(properties!A$1:CB$87,'Fórmula'!H109,10)&lt;&gt;"",INDEX(properties!A$1:CB$87,'Fórmula'!H109,10)),IF(INDEX(properties!A$1:CB$87,'Fórmula'!J109,10)&lt;&gt;"",INDEX(properties!A$1:CB$87,'Fórmula'!J109,10)))</f>
        <v>7.6</v>
      </c>
      <c r="AI109" s="106">
        <f t="array" ref="AI109">MAX(INDEX(properties!A$1:CB$87,'Fórmula'!B109,10),INDEX(properties!A$1:CB$87,'Fórmula'!D109,10),INDEX(properties!A$1:CB$87,'Fórmula'!F109,10),INDEX(properties!A$1:CB$87,'Fórmula'!H109,10),INDEX(properties!A$1:CB$87,'Fórmula'!J109,10))</f>
        <v>7</v>
      </c>
      <c r="AJ109" s="106">
        <f t="array" ref="AJ109">MIN(IF(INDEX(properties!A$1:CB$87,'Fórmula'!B109,10)=0,10^6,INDEX(properties!A$1:CB$87,'Fórmula'!B109,10)),IF(INDEX(properties!A$1:CB$87,'Fórmula'!D109,10)=0,10^6,INDEX(properties!A$1:CB$87,'Fórmula'!D109,10)),IF(INDEX(properties!A$1:CB$87,'Fórmula'!F109,10)=0,10^6,INDEX(properties!A$1:CB$87,'Fórmula'!F109,10)),IF(INDEX(properties!A$1:CB$87,'Fórmula'!H109,10)=0,10^6,INDEX(properties!A$1:CB$87,'Fórmula'!H109,10)),IF(INDEX(properties!A$1:CB$87,'Fórmula'!J109,10)=0,10^6,INDEX(properties!A$1:CB$87,'Fórmula'!J109,10)))</f>
        <v>3</v>
      </c>
      <c r="AK109" s="106">
        <f t="shared" si="6"/>
        <v>4</v>
      </c>
      <c r="AL109" s="107">
        <f t="array" ref="AL109">(('Fórmula'!C109)/('Fórmula'!C109+'Fórmula'!E109+'Fórmula'!G109+'Fórmula'!I109+'Fórmula'!K109))*(INDEX(properties!A$1:CB$87,'Fórmula'!B109,11))+(('Fórmula'!E109)/('Fórmula'!C109+'Fórmula'!E109+'Fórmula'!G109+'Fórmula'!I109+'Fórmula'!K109))*(INDEX(properties!A$1:CB$87,'Fórmula'!D109,11))+(('Fórmula'!G109)/('Fórmula'!C109+'Fórmula'!E109+'Fórmula'!G109+'Fórmula'!I109+'Fórmula'!K109))*(INDEX(properties!A$1:CB$87,'Fórmula'!F109,11))+(('Fórmula'!I109)/('Fórmula'!C109+'Fórmula'!E109+'Fórmula'!G109+'Fórmula'!I109+'Fórmula'!K109))*(INDEX(properties!A$1:CB$87,'Fórmula'!H109,11))+(('Fórmula'!K109)/('Fórmula'!C109+'Fórmula'!E109+'Fórmula'!G109+'Fórmula'!I109+'Fórmula'!K109))*(INDEX(properties!A$1:CB$87,'Fórmula'!J109,11))</f>
        <v>2</v>
      </c>
      <c r="AM109" s="107">
        <f t="array" ref="AM109">'Fórmula'!C109*(INDEX(properties!A$1:CB$87,'Fórmula'!B109,11))+'Fórmula'!E109*(INDEX(properties!A$1:CB$87,'Fórmula'!D109,11))+'Fórmula'!G109*(INDEX(properties!A$1:CB$87,'Fórmula'!F109,11))+'Fórmula'!I109*(INDEX(properties!A$1:CB$87,'Fórmula'!H109,11))+'Fórmula'!K109*(INDEX(properties!A$1:CB$87,'Fórmula'!J109,11))</f>
        <v>10</v>
      </c>
      <c r="AN109" s="107">
        <f t="array" ref="AN109">VARP(IF(INDEX(properties!A$1:CB$87,'Fórmula'!B109,11)&lt;&gt;"",INDEX(properties!A$1:CB$87,'Fórmula'!B109,11)),IF(INDEX(properties!A$1:CB$87,'Fórmula'!D109,11)&lt;&gt;"",INDEX(properties!A$1:CB$87,'Fórmula'!D109,11)),IF(INDEX(properties!A$1:CB$87,'Fórmula'!F109,11)&lt;&gt;"",INDEX(properties!A$1:CB$87,'Fórmula'!F109,11)),IF(INDEX(properties!A$1:CB$87,'Fórmula'!H109,11)&lt;&gt;"",INDEX(properties!A$1:CB$87,'Fórmula'!H109,11)),IF(INDEX(properties!A$1:CB$87,'Fórmula'!J109,11)&lt;&gt;"",INDEX(properties!A$1:CB$87,'Fórmula'!J109,11)))</f>
        <v>0.96</v>
      </c>
      <c r="AO109" s="107">
        <f t="array" ref="AO109">MAX(INDEX(properties!A$1:CB$87,'Fórmula'!B109,11),INDEX(properties!A$1:CB$87,'Fórmula'!D109,11),INDEX(properties!A$1:CB$87,'Fórmula'!F109,11),INDEX(properties!A$1:CB$87,'Fórmula'!H109,11),INDEX(properties!A$1:CB$87,'Fórmula'!J109,11))</f>
        <v>2</v>
      </c>
      <c r="AP109" s="107">
        <f t="array" ref="AP109">MIN(IF('Fórmula'!B109=87,10^6,INDEX(properties!A$1:CB$87,'Fórmula'!B109,11)),IF(('Fórmula'!D109)=87,10^6,INDEX(properties!A$1:CB$87,'Fórmula'!D109,11)),IF(('Fórmula'!F109)=87,10^6,INDEX(properties!A$1:CB$87,'Fórmula'!F109,11)),IF(('Fórmula'!H109)=87,10^6,INDEX(properties!A$1:CB$87,'Fórmula'!H109,11)),IF('Fórmula'!J109=87,10^6,INDEX(properties!A$1:CB$87,'Fórmula'!J109,11)))</f>
        <v>2</v>
      </c>
      <c r="AQ109" s="107">
        <f t="shared" si="7"/>
        <v>0</v>
      </c>
      <c r="AR109" s="108">
        <f t="array" ref="AR109">(('Fórmula'!C109)/('Fórmula'!C109+'Fórmula'!E109+'Fórmula'!G109+'Fórmula'!I109+'Fórmula'!K109))*(INDEX(properties!A$1:CB$87,'Fórmula'!B109,12))+(('Fórmula'!E109)/('Fórmula'!C109+'Fórmula'!E109+'Fórmula'!G109+'Fórmula'!I109+'Fórmula'!K109))*(INDEX(properties!A$1:CB$87,'Fórmula'!D109,12))+(('Fórmula'!G109)/('Fórmula'!C109+'Fórmula'!E109+'Fórmula'!G109+'Fórmula'!I109+'Fórmula'!K109))*(INDEX(properties!A$1:CB$87,'Fórmula'!F109,12))+(('Fórmula'!I109)/('Fórmula'!C109+'Fórmula'!E109+'Fórmula'!G109+'Fórmula'!I109+'Fórmula'!K109))*(INDEX(properties!A$1:CB$87,'Fórmula'!H109,12))+(('Fórmula'!K109)/('Fórmula'!C109+'Fórmula'!E109+'Fórmula'!G109+'Fórmula'!I109+'Fórmula'!K109))*(INDEX(properties!A$1:CB$87,'Fórmula'!J109,12))</f>
        <v>2.6</v>
      </c>
      <c r="AS109" s="108">
        <f t="array" ref="AS109">'Fórmula'!C109*(INDEX(properties!A$1:CB$87,'Fórmula'!B109,12))+'Fórmula'!E109*(INDEX(properties!A$1:CB$87,'Fórmula'!D109,12))+'Fórmula'!G109*(INDEX(properties!A$1:CB$87,'Fórmula'!F109,12))+'Fórmula'!I109*(INDEX(properties!A$1:CB$87,'Fórmula'!H109,12))+'Fórmula'!K109*(INDEX(properties!A$1:CB$87,'Fórmula'!J109,12))</f>
        <v>13</v>
      </c>
      <c r="AT109" s="108">
        <f t="array" ref="AT109">VARP(IF(INDEX(properties!A$1:CB$87,'Fórmula'!B109,12)&lt;&gt;"",INDEX(properties!A$1:CB$87,'Fórmula'!B109,12)),IF(INDEX(properties!A$1:CB$87,'Fórmula'!D109,12)&lt;&gt;"",INDEX(properties!A$1:CB$87,'Fórmula'!D109,12)),IF(INDEX(properties!A$1:CB$87,'Fórmula'!F109,12)&lt;&gt;"",INDEX(properties!A$1:CB$87,'Fórmula'!F109,12)),IF(INDEX(properties!A$1:CB$87,'Fórmula'!H109,12)&lt;&gt;"",INDEX(properties!A$1:CB$87,'Fórmula'!H109,12)),IF(INDEX(properties!A$1:CB$87,'Fórmula'!J109,12)&lt;&gt;"",INDEX(properties!A$1:CB$87,'Fórmula'!J109,12)))</f>
        <v>2.4</v>
      </c>
      <c r="AU109" s="108">
        <f t="array" ref="AU109">MAX(INDEX(properties!A$1:CB$87,'Fórmula'!B109,12),INDEX(properties!A$1:CB$87,'Fórmula'!D109,12),INDEX(properties!A$1:CB$87,'Fórmula'!F109,12),INDEX(properties!A$1:CB$87,'Fórmula'!H109,12),INDEX(properties!A$1:CB$87,'Fórmula'!J109,12))</f>
        <v>4</v>
      </c>
      <c r="AV109" s="108">
        <f t="array" ref="AV109">MIN(IF('Fórmula'!B109=87,10^6,INDEX(properties!A$1:CB$87,'Fórmula'!B109,12)),IF(('Fórmula'!D109)=87,10^6,INDEX(properties!A$1:CB$87,'Fórmula'!D109,12)),IF(('Fórmula'!F109)=87,10^6,INDEX(properties!A$1:CB$87,'Fórmula'!F109,12)),IF(('Fórmula'!H109)=87,10^6,INDEX(properties!A$1:CB$87,'Fórmula'!H109,12)),IF('Fórmula'!J109=87,10^6,INDEX(properties!A$1:CB$87,'Fórmula'!J109,12)))</f>
        <v>0</v>
      </c>
      <c r="AW109" s="108">
        <f t="shared" si="8"/>
        <v>4</v>
      </c>
      <c r="AX109" s="109">
        <f t="array" ref="AX109">(('Fórmula'!C109)/('Fórmula'!C109+'Fórmula'!E109+'Fórmula'!G109+'Fórmula'!I109+'Fórmula'!K109))*(INDEX(properties!A$1:CB$87,'Fórmula'!B109,13))+(('Fórmula'!E109)/('Fórmula'!C109+'Fórmula'!E109+'Fórmula'!G109+'Fórmula'!I109+'Fórmula'!K109))*(INDEX(properties!A$1:CB$87,'Fórmula'!D109,13))+(('Fórmula'!G109)/('Fórmula'!C109+'Fórmula'!E109+'Fórmula'!G109+'Fórmula'!I109+'Fórmula'!K109))*(INDEX(properties!A$1:CB$87,'Fórmula'!F109,13))+(('Fórmula'!I109)/('Fórmula'!C109+'Fórmula'!E109+'Fórmula'!G109+'Fórmula'!I109+'Fórmula'!K109))*(INDEX(properties!A$1:CB$87,'Fórmula'!H109,13))+(('Fórmula'!K109)/('Fórmula'!C109+'Fórmula'!E109+'Fórmula'!G109+'Fórmula'!I109+'Fórmula'!K109))*(INDEX(properties!A$1:CB$87,'Fórmula'!J109,13))</f>
        <v>0.2</v>
      </c>
      <c r="AY109" s="109">
        <f t="array" ref="AY109">'Fórmula'!C109*(INDEX(properties!A$1:CB$87,'Fórmula'!B109,13))+'Fórmula'!E109*(INDEX(properties!A$1:CB$87,'Fórmula'!D109,13))+'Fórmula'!G109*(INDEX(properties!A$1:CB$87,'Fórmula'!F109,13))+'Fórmula'!I109*(INDEX(properties!A$1:CB$87,'Fórmula'!H109,13))+'Fórmula'!K109*(INDEX(properties!A$1:CB$87,'Fórmula'!J109,13))</f>
        <v>1</v>
      </c>
      <c r="AZ109" s="109">
        <f t="array" ref="AZ109">VARP(IF(INDEX(properties!A$1:CB$87,'Fórmula'!B109,13)&lt;&gt;"",INDEX(properties!A$1:CB$87,'Fórmula'!B109,13)),IF(INDEX(properties!A$1:CB$87,'Fórmula'!D109,13)&lt;&gt;"",INDEX(properties!A$1:CB$87,'Fórmula'!D109,13)),IF(INDEX(properties!A$1:CB$87,'Fórmula'!F109,13)&lt;&gt;"",INDEX(properties!A$1:CB$87,'Fórmula'!F109,13)),IF(INDEX(properties!A$1:CB$87,'Fórmula'!H109,13)&lt;&gt;"",INDEX(properties!A$1:CB$87,'Fórmula'!H109,13)),IF(INDEX(properties!A$1:CB$87,'Fórmula'!J109,13)&lt;&gt;"",INDEX(properties!A$1:CB$87,'Fórmula'!J109,13)))</f>
        <v>0.16</v>
      </c>
      <c r="BA109" s="109">
        <f t="array" ref="BA109">MAX(INDEX(properties!A$1:CB$87,'Fórmula'!B109,13),INDEX(properties!A$1:CB$87,'Fórmula'!D109,13),INDEX(properties!A$1:CB$87,'Fórmula'!F109,13),INDEX(properties!A$1:CB$87,'Fórmula'!H109,13),INDEX(properties!A$1:CB$87,'Fórmula'!J109,13))</f>
        <v>1</v>
      </c>
      <c r="BB109" s="109">
        <f t="array" ref="BB109">MIN(IF('Fórmula'!B109=87,10^6,INDEX(properties!A$1:CB$87,'Fórmula'!B109,13)),IF(('Fórmula'!D109)=87,10^6,INDEX(properties!A$1:CB$87,'Fórmula'!D109,13)),IF(('Fórmula'!F109)=87,10^6,INDEX(properties!A$1:CB$87,'Fórmula'!F109,13)),IF(('Fórmula'!H109)=87,10^6,INDEX(properties!A$1:CB$87,'Fórmula'!H109,13)),IF('Fórmula'!J109=87,10^6,INDEX(properties!A$1:CB$87,'Fórmula'!J109,13)))</f>
        <v>0</v>
      </c>
      <c r="BC109" s="109">
        <f t="shared" si="9"/>
        <v>1</v>
      </c>
      <c r="BD109" s="110">
        <f t="array" ref="BD109">(('Fórmula'!C109)/('Fórmula'!C109+'Fórmula'!E109+'Fórmula'!G109+'Fórmula'!I109+'Fórmula'!K109))*(INDEX(properties!A$1:CB$87,'Fórmula'!B109,14))+(('Fórmula'!E109)/('Fórmula'!C109+'Fórmula'!E109+'Fórmula'!G109+'Fórmula'!I109+'Fórmula'!K109))*(INDEX(properties!A$1:CB$87,'Fórmula'!D109,14))+(('Fórmula'!G109)/('Fórmula'!C109+'Fórmula'!E109+'Fórmula'!G109+'Fórmula'!I109+'Fórmula'!K109))*(INDEX(properties!A$1:CB$87,'Fórmula'!F109,14))+(('Fórmula'!I109)/('Fórmula'!C109+'Fórmula'!E109+'Fórmula'!G109+'Fórmula'!I109+'Fórmula'!K109))*(INDEX(properties!A$1:CB$87,'Fórmula'!H109,14))+(('Fórmula'!K109)/('Fórmula'!C109+'Fórmula'!E109+'Fórmula'!G109+'Fórmula'!I109+'Fórmula'!K109))*(INDEX(properties!A$1:CB$87,'Fórmula'!J109,14))</f>
        <v>1.4</v>
      </c>
      <c r="BE109" s="110">
        <f t="array" ref="BE109">'Fórmula'!C109*(INDEX(properties!A$1:CB$87,'Fórmula'!B109,14))+'Fórmula'!E109*(INDEX(properties!A$1:CB$87,'Fórmula'!D109,14))+'Fórmula'!G109*(INDEX(properties!A$1:CB$87,'Fórmula'!F109,14))+'Fórmula'!I109*(INDEX(properties!A$1:CB$87,'Fórmula'!H109,14))+'Fórmula'!K109*(INDEX(properties!A$1:CB$87,'Fórmula'!J109,14))</f>
        <v>7</v>
      </c>
      <c r="BF109" s="110">
        <f t="array" ref="BF109">VARP(IF(INDEX(properties!A$1:CB$87,'Fórmula'!B109,14)&lt;&gt;"",INDEX(properties!A$1:CB$87,'Fórmula'!B109,14)),IF(INDEX(properties!A$1:CB$87,'Fórmula'!D109,14)&lt;&gt;"",INDEX(properties!A$1:CB$87,'Fórmula'!D109,14)),IF(INDEX(properties!A$1:CB$87,'Fórmula'!F109,14)&lt;&gt;"",INDEX(properties!A$1:CB$87,'Fórmula'!F109,14)),IF(INDEX(properties!A$1:CB$87,'Fórmula'!H109,14)&lt;&gt;"",INDEX(properties!A$1:CB$87,'Fórmula'!H109,14)),IF(INDEX(properties!A$1:CB$87,'Fórmula'!J109,14)&lt;&gt;"",INDEX(properties!A$1:CB$87,'Fórmula'!J109,14)))</f>
        <v>7.84</v>
      </c>
      <c r="BG109" s="110">
        <f t="array" ref="BG109">MAX(INDEX(properties!A$1:CB$87,'Fórmula'!B109,14),INDEX(properties!A$1:CB$87,'Fórmula'!D109,14),INDEX(properties!A$1:CB$87,'Fórmula'!F109,14),INDEX(properties!A$1:CB$87,'Fórmula'!H109,14),INDEX(properties!A$1:CB$87,'Fórmula'!J109,14))</f>
        <v>7</v>
      </c>
      <c r="BH109" s="110">
        <f t="array" ref="BH109">MIN(IF('Fórmula'!B109=87,10^6,INDEX(properties!A$1:CB$87,'Fórmula'!B109,14)),IF(('Fórmula'!D109)=87,10^6,INDEX(properties!A$1:CB$87,'Fórmula'!D109,14)),IF(('Fórmula'!F109)=87,10^6,INDEX(properties!A$1:CB$87,'Fórmula'!F109,14)),IF(('Fórmula'!H109)=87,10^6,INDEX(properties!A$1:CB$87,'Fórmula'!H109,14)),IF('Fórmula'!J109=87,10^6,INDEX(properties!A$1:CB$87,'Fórmula'!J109,14)))</f>
        <v>0</v>
      </c>
      <c r="BI109" s="110">
        <f t="shared" si="10"/>
        <v>7</v>
      </c>
      <c r="BJ109" s="111">
        <f t="array" ref="BJ109">(('Fórmula'!C109)/('Fórmula'!C109+'Fórmula'!E109+'Fórmula'!G109+'Fórmula'!I109+'Fórmula'!K109))*(INDEX(properties!A$1:CB$87,'Fórmula'!B109,19))+(('Fórmula'!E109)/('Fórmula'!C109+'Fórmula'!E109+'Fórmula'!G109+'Fórmula'!I109+'Fórmula'!K109))*(INDEX(properties!A$1:CB$87,'Fórmula'!D109,19))+(('Fórmula'!G109)/('Fórmula'!C109+'Fórmula'!E109+'Fórmula'!G109+'Fórmula'!I109+'Fórmula'!K109))*(INDEX(properties!A$1:CB$87,'Fórmula'!F109,19))+(('Fórmula'!I109)/('Fórmula'!C109+'Fórmula'!E109+'Fórmula'!G109+'Fórmula'!I109+'Fórmula'!K109))*(INDEX(properties!A$1:CB$87,'Fórmula'!H109,19))+(('Fórmula'!K109)/('Fórmula'!C109+'Fórmula'!E109+'Fórmula'!G109+'Fórmula'!I109+'Fórmula'!K109))*(INDEX(properties!A$1:CB$87,'Fórmula'!J109,19))</f>
        <v>6.2</v>
      </c>
      <c r="BK109" s="111">
        <f t="array" ref="BK109">'Fórmula'!C109*(INDEX(properties!A$1:CB$87,'Fórmula'!B109,19))+'Fórmula'!E109*(INDEX(properties!A$1:CB$87,'Fórmula'!D109,19))+'Fórmula'!G109*(INDEX(properties!A$1:CB$87,'Fórmula'!F109,19))+'Fórmula'!I109*(INDEX(properties!A$1:CB$87,'Fórmula'!H109,19))+'Fórmula'!K109*(INDEX(properties!A$1:CB$87,'Fórmula'!J109,19))</f>
        <v>31</v>
      </c>
      <c r="BL109" s="111">
        <f t="array" ref="BL109">VARP(IF(INDEX(properties!A$1:CB$87,'Fórmula'!B109,19)&lt;&gt;"",INDEX(properties!A$1:CB$87,'Fórmula'!B109,19)),IF(INDEX(properties!A$1:CB$87,'Fórmula'!D109,19)&lt;&gt;"",INDEX(properties!A$1:CB$87,'Fórmula'!D109,19)),IF(INDEX(properties!A$1:CB$87,'Fórmula'!F109,19)&lt;&gt;"",INDEX(properties!A$1:CB$87,'Fórmula'!F109,19)),IF(INDEX(properties!A$1:CB$87,'Fórmula'!H109,19)&lt;&gt;"",INDEX(properties!A$1:CB$87,'Fórmula'!H109,19)),IF(INDEX(properties!A$1:CB$87,'Fórmula'!J109,19)&lt;&gt;"",INDEX(properties!A$1:CB$87,'Fórmula'!J109,19)))</f>
        <v>14.56</v>
      </c>
      <c r="BM109" s="111">
        <f t="array" ref="BM109">MAX(INDEX(properties!A$1:CB$87,'Fórmula'!B109,19),INDEX(properties!A$1:CB$87,'Fórmula'!D109,19),INDEX(properties!A$1:CB$87,'Fórmula'!F109,19),INDEX(properties!A$1:CB$87,'Fórmula'!H109,19),INDEX(properties!A$1:CB$87,'Fórmula'!J109,19))</f>
        <v>10</v>
      </c>
      <c r="BN109" s="111">
        <f t="array" ref="BN109">MIN(IF(INDEX(properties!A$1:CB$87,'Fórmula'!B109,19)=0,10^6,INDEX(properties!A$1:CB$87,'Fórmula'!B109,19)),IF(INDEX(properties!A$1:CB$87,'Fórmula'!D109,19)=0,10^6,INDEX(properties!A$1:CB$87,'Fórmula'!D109,19)),IF(INDEX(properties!A$1:CB$87,'Fórmula'!F109,19)=0,10^6,INDEX(properties!A$1:CB$87,'Fórmula'!F109,19)),IF(INDEX(properties!A$1:CB$87,'Fórmula'!H109,19)=0,10^6,INDEX(properties!A$1:CB$87,'Fórmula'!H109,19)),IF(INDEX(properties!A$1:CB$87,'Fórmula'!J109,19)=0,10^6,INDEX(properties!A$1:CB$87,'Fórmula'!J109,19)))</f>
        <v>3</v>
      </c>
      <c r="BO109" s="111">
        <f t="shared" si="11"/>
        <v>7</v>
      </c>
      <c r="BP109" s="112">
        <f t="array" ref="BP109">(('Fórmula'!C109)/('Fórmula'!C109+'Fórmula'!E109+'Fórmula'!G109+'Fórmula'!I109+'Fórmula'!K109))*(INDEX(properties!A$1:CB$87,'Fórmula'!B109,20))+(('Fórmula'!E109)/('Fórmula'!C109+'Fórmula'!E109+'Fórmula'!G109+'Fórmula'!I109+'Fórmula'!K109))*(INDEX(properties!A$1:CB$87,'Fórmula'!D109,20))+(('Fórmula'!G109)/('Fórmula'!C109+'Fórmula'!E109+'Fórmula'!G109+'Fórmula'!I109+'Fórmula'!K109))*(INDEX(properties!A$1:CB$87,'Fórmula'!F109,20))+(('Fórmula'!I109)/('Fórmula'!C109+'Fórmula'!E109+'Fórmula'!G109+'Fórmula'!I109+'Fórmula'!K109))*(INDEX(properties!A$1:CB$87,'Fórmula'!H109,20))+(('Fórmula'!K109)/('Fórmula'!C109+'Fórmula'!E109+'Fórmula'!G109+'Fórmula'!I109+'Fórmula'!K109))*(INDEX(properties!A$1:CB$87,'Fórmula'!J109,20))</f>
        <v>4.6</v>
      </c>
      <c r="BQ109" s="112">
        <f t="array" ref="BQ109">'Fórmula'!C109*(INDEX(properties!A$1:CB$87,'Fórmula'!B109,20))+'Fórmula'!E109*(INDEX(properties!A$1:CB$87,'Fórmula'!D109,20))+'Fórmula'!G109*(INDEX(properties!A$1:CB$87,'Fórmula'!F109,20))+'Fórmula'!I109*(INDEX(properties!A$1:CB$87,'Fórmula'!H109,20))+'Fórmula'!K109*(INDEX(properties!A$1:CB$87,'Fórmula'!J109,20))</f>
        <v>23</v>
      </c>
      <c r="BR109" s="112">
        <f t="array" ref="BR109">VARP(IF(INDEX(properties!A$1:CB$87,'Fórmula'!B109,20)&lt;&gt;"",INDEX(properties!A$1:CB$87,'Fórmula'!B109,20)),IF(INDEX(properties!A$1:CB$87,'Fórmula'!D109,20)&lt;&gt;"",INDEX(properties!A$1:CB$87,'Fórmula'!D109,20)),IF(INDEX(properties!A$1:CB$87,'Fórmula'!F109,20)&lt;&gt;"",INDEX(properties!A$1:CB$87,'Fórmula'!F109,20)),IF(INDEX(properties!A$1:CB$87,'Fórmula'!H109,20)&lt;&gt;"",INDEX(properties!A$1:CB$87,'Fórmula'!H109,20)),IF(INDEX(properties!A$1:CB$87,'Fórmula'!J109,20)&lt;&gt;"",INDEX(properties!A$1:CB$87,'Fórmula'!J109,20)))</f>
        <v>4.96</v>
      </c>
      <c r="BS109" s="112">
        <f t="array" ref="BS109">MAX(INDEX(properties!A$1:CB$87,'Fórmula'!B109,20),INDEX(properties!A$1:CB$87,'Fórmula'!D109,20),INDEX(properties!A$1:CB$87,'Fórmula'!F109,20),INDEX(properties!A$1:CB$87,'Fórmula'!H109,20),INDEX(properties!A$1:CB$87,'Fórmula'!J109,20))</f>
        <v>6</v>
      </c>
      <c r="BT109" s="112">
        <f t="array" ref="BT109">MIN(IF(INDEX(properties!A$1:CB$87,'Fórmula'!B109,20)=0,10^6,INDEX(properties!A$1:CB$87,'Fórmula'!B109,20)),IF(INDEX(properties!A$1:CB$87,'Fórmula'!D109,20)=0,10^6,INDEX(properties!A$1:CB$87,'Fórmula'!D109,20)),IF(INDEX(properties!A$1:CB$87,'Fórmula'!F109,20)=0,10^6,INDEX(properties!A$1:CB$87,'Fórmula'!F109,20)),IF(INDEX(properties!A$1:CB$87,'Fórmula'!H109,20)=0,10^6,INDEX(properties!A$1:CB$87,'Fórmula'!H109,20)),IF(INDEX(properties!A$1:CB$87,'Fórmula'!J109,20)=0,10^6,INDEX(properties!A$1:CB$87,'Fórmula'!J109,20)))</f>
        <v>2</v>
      </c>
      <c r="BU109" s="112">
        <f t="shared" si="12"/>
        <v>4</v>
      </c>
      <c r="BV109" s="113">
        <f t="array" ref="BV109">(('Fórmula'!C109)/('Fórmula'!C109+'Fórmula'!E109+'Fórmula'!G109+'Fórmula'!I109+'Fórmula'!K109))*(INDEX(properties!A$1:CB$87,'Fórmula'!B109,21))+(('Fórmula'!E109)/('Fórmula'!C109+'Fórmula'!E109+'Fórmula'!G109+'Fórmula'!I109+'Fórmula'!K109))*(INDEX(properties!A$1:CB$87,'Fórmula'!D109,21))+(('Fórmula'!G109)/('Fórmula'!C109+'Fórmula'!E109+'Fórmula'!G109+'Fórmula'!I109+'Fórmula'!K109))*(INDEX(properties!A$1:CB$87,'Fórmula'!F109,21))+(('Fórmula'!I109)/('Fórmula'!C109+'Fórmula'!E109+'Fórmula'!G109+'Fórmula'!I109+'Fórmula'!K109))*(INDEX(properties!A$1:CB$87,'Fórmula'!H109,21))+(('Fórmula'!K109)/('Fórmula'!C109+'Fórmula'!E109+'Fórmula'!G109+'Fórmula'!I109+'Fórmula'!K109))*(INDEX(properties!A$1:CB$87,'Fórmula'!J109,21))</f>
        <v>4.8</v>
      </c>
      <c r="BW109" s="113">
        <f t="array" ref="BW109">'Fórmula'!C109*(INDEX(properties!A$1:CB$87,'Fórmula'!B109,21))+'Fórmula'!E109*(INDEX(properties!A$1:CB$87,'Fórmula'!D109,21))+'Fórmula'!G109*(INDEX(properties!A$1:CB$87,'Fórmula'!F109,21))+'Fórmula'!I109*(INDEX(properties!A$1:CB$87,'Fórmula'!H109,21))+'Fórmula'!K109*(INDEX(properties!A$1:CB$87,'Fórmula'!J109,21))</f>
        <v>24</v>
      </c>
      <c r="BX109" s="113">
        <f t="array" ref="BX109">VARP(IF(INDEX(properties!A$1:CB$87,'Fórmula'!B109,21)&lt;&gt;"",INDEX(properties!A$1:CB$87,'Fórmula'!B109,21)),IF(INDEX(properties!A$1:CB$87,'Fórmula'!D109,21)&lt;&gt;"",INDEX(properties!A$1:CB$87,'Fórmula'!D109,21)),IF(INDEX(properties!A$1:CB$87,'Fórmula'!F109,21)&lt;&gt;"",INDEX(properties!A$1:CB$87,'Fórmula'!F109,21)),IF(INDEX(properties!A$1:CB$87,'Fórmula'!H109,21)&lt;&gt;"",INDEX(properties!A$1:CB$87,'Fórmula'!H109,21)),IF(INDEX(properties!A$1:CB$87,'Fórmula'!J109,21)&lt;&gt;"",INDEX(properties!A$1:CB$87,'Fórmula'!J109,21)))</f>
        <v>5.04</v>
      </c>
      <c r="BY109" s="113">
        <f t="array" ref="BY109">MAX(INDEX(properties!A$1:CB$87,'Fórmula'!B109,21),INDEX(properties!A$1:CB$87,'Fórmula'!D109,21),INDEX(properties!A$1:CB$87,'Fórmula'!F109,21),INDEX(properties!A$1:CB$87,'Fórmula'!H109,21),INDEX(properties!A$1:CB$87,'Fórmula'!J109,21))</f>
        <v>6</v>
      </c>
      <c r="BZ109" s="113">
        <f t="array" ref="BZ109">MIN(IF(INDEX(properties!A$1:CB$87,'Fórmula'!B109,21)=0,10^6,INDEX(properties!A$1:CB$87,'Fórmula'!B109,21)),IF(INDEX(properties!A$1:CB$87,'Fórmula'!D109,21)=0,10^6,INDEX(properties!A$1:CB$87,'Fórmula'!D109,21)),IF(INDEX(properties!A$1:CB$87,'Fórmula'!F109,21)=0,10^6,INDEX(properties!A$1:CB$87,'Fórmula'!F109,21)),IF(INDEX(properties!A$1:CB$87,'Fórmula'!H109,21)=0,10^6,INDEX(properties!A$1:CB$87,'Fórmula'!H109,21)),IF(INDEX(properties!A$1:CB$87,'Fórmula'!J109,21)=0,10^6,INDEX(properties!A$1:CB$87,'Fórmula'!J109,21)))</f>
        <v>3</v>
      </c>
      <c r="CA109" s="113">
        <f t="shared" si="13"/>
        <v>3</v>
      </c>
      <c r="CB109" s="114">
        <f t="array" ref="CB109">(('Fórmula'!C109)/('Fórmula'!C109+'Fórmula'!E109+'Fórmula'!G109+'Fórmula'!I109+'Fórmula'!K109))*(INDEX(properties!A$1:CB$87,'Fórmula'!B109,23))+(('Fórmula'!E109)/('Fórmula'!C109+'Fórmula'!E109+'Fórmula'!G109+'Fórmula'!I109+'Fórmula'!K109))*(INDEX(properties!A$1:CB$87,'Fórmula'!D109,23))+(('Fórmula'!G109)/('Fórmula'!C109+'Fórmula'!E109+'Fórmula'!G109+'Fórmula'!I109+'Fórmula'!K109))*(INDEX(properties!A$1:CB$87,'Fórmula'!F109,23))+(('Fórmula'!I109)/('Fórmula'!C109+'Fórmula'!E109+'Fórmula'!G109+'Fórmula'!I109+'Fórmula'!K109))*(INDEX(properties!A$1:CB$87,'Fórmula'!H109,23))+(('Fórmula'!K109)/('Fórmula'!C109+'Fórmula'!E109+'Fórmula'!G109+'Fórmula'!I109+'Fórmula'!K109))*(INDEX(properties!A$1:CB$87,'Fórmula'!J109,23))</f>
        <v>1.2</v>
      </c>
      <c r="CC109" s="114">
        <f t="array" ref="CC109">'Fórmula'!C109*(INDEX(properties!A$1:CB$87,'Fórmula'!B109,23))+'Fórmula'!E109*(INDEX(properties!A$1:CB$87,'Fórmula'!D109,23))+'Fórmula'!G109*(INDEX(properties!A$1:CB$87,'Fórmula'!F109,23))+'Fórmula'!I109*(INDEX(properties!A$1:CB$87,'Fórmula'!H109,23))+'Fórmula'!K109*(INDEX(properties!A$1:CB$87,'Fórmula'!J109,23))</f>
        <v>6</v>
      </c>
      <c r="CD109" s="114">
        <f t="array" ref="CD109">VARP(IF(INDEX(properties!A$1:CB$87,'Fórmula'!B109,23)&lt;&gt;"",INDEX(properties!A$1:CB$87,'Fórmula'!B109,23)),IF(INDEX(properties!A$1:CB$87,'Fórmula'!D109,23)&lt;&gt;"",INDEX(properties!A$1:CB$87,'Fórmula'!D109,23)),IF(INDEX(properties!A$1:CB$87,'Fórmula'!F109,23)&lt;&gt;"",INDEX(properties!A$1:CB$87,'Fórmula'!F109,23)),IF(INDEX(properties!A$1:CB$87,'Fórmula'!H109,23)&lt;&gt;"",INDEX(properties!A$1:CB$87,'Fórmula'!H109,23)),IF(INDEX(properties!A$1:CB$87,'Fórmula'!J109,23)&lt;&gt;"",INDEX(properties!A$1:CB$87,'Fórmula'!J109,23)))</f>
        <v>2.16</v>
      </c>
      <c r="CE109" s="114">
        <f t="array" ref="CE109">MAX(INDEX(properties!A$1:CB$87,'Fórmula'!B109,23),INDEX(properties!A$1:CB$87,'Fórmula'!D109,23),INDEX(properties!A$1:CB$87,'Fórmula'!F109,23),INDEX(properties!A$1:CB$87,'Fórmula'!H109,23),INDEX(properties!A$1:CB$87,'Fórmula'!J109,23))</f>
        <v>3</v>
      </c>
      <c r="CF109" s="114">
        <f t="array" ref="CF109">MIN(IF('Fórmula'!B109=87,10^6,INDEX(properties!A$1:CB$87,'Fórmula'!B109,23)),IF(('Fórmula'!D109)=87,10^6,INDEX(properties!A$1:CB$87,'Fórmula'!D109,23)),IF(('Fórmula'!F109)=87,10^6,INDEX(properties!A$1:CB$87,'Fórmula'!F109,23)),IF(('Fórmula'!H109)=87,10^6,INDEX(properties!A$1:CB$87,'Fórmula'!H109,23)),IF('Fórmula'!J109=87,10^6,INDEX(properties!A$1:CB$87,'Fórmula'!J109,23)))</f>
        <v>0</v>
      </c>
      <c r="CG109" s="114">
        <f t="shared" si="14"/>
        <v>3</v>
      </c>
      <c r="CH109" s="115">
        <f t="array" ref="CH109">(('Fórmula'!C109)/('Fórmula'!C109+'Fórmula'!E109+'Fórmula'!G109+'Fórmula'!I109+'Fórmula'!K109))*(INDEX(properties!A$1:CB$87,'Fórmula'!B109,26))+(('Fórmula'!E109)/('Fórmula'!C109+'Fórmula'!E109+'Fórmula'!G109+'Fórmula'!I109+'Fórmula'!K109))*(INDEX(properties!A$1:CB$87,'Fórmula'!D109,26))+(('Fórmula'!G109)/('Fórmula'!C109+'Fórmula'!E109+'Fórmula'!G109+'Fórmula'!I109+'Fórmula'!K109))*(INDEX(properties!A$1:CB$87,'Fórmula'!F109,26))+(('Fórmula'!I109)/('Fórmula'!C109+'Fórmula'!E109+'Fórmula'!G109+'Fórmula'!I109+'Fórmula'!K109))*(INDEX(properties!A$1:CB$87,'Fórmula'!H109,26))+(('Fórmula'!K109)/('Fórmula'!C109+'Fórmula'!E109+'Fórmula'!G109+'Fórmula'!I109+'Fórmula'!K109))*(INDEX(properties!A$1:CB$87,'Fórmula'!J109,26))</f>
        <v>10.59798</v>
      </c>
      <c r="CI109" s="115">
        <f t="array" ref="CI109">'Fórmula'!C109*(INDEX(properties!A$1:CB$87,'Fórmula'!B109,26))+'Fórmula'!E109*(INDEX(properties!A$1:CB$87,'Fórmula'!D109,26))+'Fórmula'!G109*(INDEX(properties!A$1:CB$87,'Fórmula'!F109,26))+'Fórmula'!I109*(INDEX(properties!A$1:CB$87,'Fórmula'!H109,26))+'Fórmula'!K109*(INDEX(properties!A$1:CB$87,'Fórmula'!J109,26))</f>
        <v>52.9899</v>
      </c>
      <c r="CJ109" s="115">
        <f t="array" ref="CJ109">VARP(IF(INDEX(properties!A$1:CB$87,'Fórmula'!B109,26)&lt;&gt;"",INDEX(properties!A$1:CB$87,'Fórmula'!B109,26)),IF(INDEX(properties!A$1:CB$87,'Fórmula'!D109,26)&lt;&gt;"",INDEX(properties!A$1:CB$87,'Fórmula'!D109,26)),IF(INDEX(properties!A$1:CB$87,'Fórmula'!F109,26)&lt;&gt;"",INDEX(properties!A$1:CB$87,'Fórmula'!F109,26)),IF(INDEX(properties!A$1:CB$87,'Fórmula'!H109,26)&lt;&gt;"",INDEX(properties!A$1:CB$87,'Fórmula'!H109,26)),IF(INDEX(properties!A$1:CB$87,'Fórmula'!J109,26)&lt;&gt;"",INDEX(properties!A$1:CB$87,'Fórmula'!J109,26)))</f>
        <v>25.29037531</v>
      </c>
      <c r="CK109" s="116">
        <f t="array" ref="CK109">MAX(INDEX(properties!A$1:CB$87,'Fórmula'!B109,26),INDEX(properties!A$1:CB$87,'Fórmula'!D109,26),INDEX(properties!A$1:CB$87,'Fórmula'!F109,26),INDEX(properties!A$1:CB$87,'Fórmula'!H109,26),INDEX(properties!A$1:CB$87,'Fórmula'!J109,26))</f>
        <v>13.6181</v>
      </c>
      <c r="CL109" s="116">
        <f t="array" ref="CL109">MIN(IF(INDEX(properties!A$1:CB$87,'Fórmula'!B109,26)=0,10^6,INDEX(properties!A$1:CB$87,'Fórmula'!B109,26)),IF(INDEX(properties!A$1:CB$87,'Fórmula'!D109,26)=0,10^6,INDEX(properties!A$1:CB$87,'Fórmula'!D109,26)),IF(INDEX(properties!A$1:CB$87,'Fórmula'!F109,26)=0,10^6,INDEX(properties!A$1:CB$87,'Fórmula'!F109,26)),IF(INDEX(properties!A$1:CB$87,'Fórmula'!H109,26)=0,10^6,INDEX(properties!A$1:CB$87,'Fórmula'!H109,26)),IF(INDEX(properties!A$1:CB$87,'Fórmula'!J109,26)=0,10^6,INDEX(properties!A$1:CB$87,'Fórmula'!J109,26)))</f>
        <v>5.9858</v>
      </c>
      <c r="CM109" s="115">
        <f t="shared" si="15"/>
        <v>7.6323</v>
      </c>
      <c r="CN109" s="117">
        <f t="array" ref="CN109">(('Fórmula'!C109)/('Fórmula'!C109+'Fórmula'!E109+'Fórmula'!G109+'Fórmula'!I109+'Fórmula'!K109))*(INDEX(properties!A$1:CB$87,'Fórmula'!B109,30))+(('Fórmula'!E109)/('Fórmula'!C109+'Fórmula'!E109+'Fórmula'!G109+'Fórmula'!I109+'Fórmula'!K109))*(INDEX(properties!A$1:CB$87,'Fórmula'!D109,30))+(('Fórmula'!G109)/('Fórmula'!C109+'Fórmula'!E109+'Fórmula'!G109+'Fórmula'!I109+'Fórmula'!K109))*(INDEX(properties!A$1:CB$87,'Fórmula'!F109,30))+(('Fórmula'!I109)/('Fórmula'!C109+'Fórmula'!E109+'Fórmula'!G109+'Fórmula'!I109+'Fórmula'!K109))*(INDEX(properties!A$1:CB$87,'Fórmula'!H109,30))+(('Fórmula'!K109)/('Fórmula'!C109+'Fórmula'!E109+'Fórmula'!G109+'Fórmula'!I109+'Fórmula'!K109))*(INDEX(properties!A$1:CB$87,'Fórmula'!J109,30))</f>
        <v>2.626</v>
      </c>
      <c r="CO109" s="117">
        <f t="array" ref="CO109">'Fórmula'!C109*(INDEX(properties!A$1:CB$87,'Fórmula'!B109,30))+'Fórmula'!E109*(INDEX(properties!A$1:CB$87,'Fórmula'!D109,30))+'Fórmula'!G109*(INDEX(properties!A$1:CB$87,'Fórmula'!F109,30))+'Fórmula'!I109*(INDEX(properties!A$1:CB$87,'Fórmula'!H109,30))+'Fórmula'!K109*(INDEX(properties!A$1:CB$87,'Fórmula'!J109,30))</f>
        <v>13.13</v>
      </c>
      <c r="CP109" s="117">
        <f t="array" ref="CP109">VARP(IF(INDEX(properties!A$1:CB$87,'Fórmula'!B109,30)&lt;&gt;"",INDEX(properties!A$1:CB$87,'Fórmula'!B109,30)),IF(INDEX(properties!A$1:CB$87,'Fórmula'!D109,30)&lt;&gt;"",INDEX(properties!A$1:CB$87,'Fórmula'!D109,30)),IF(INDEX(properties!A$1:CB$87,'Fórmula'!F109,30)&lt;&gt;"",INDEX(properties!A$1:CB$87,'Fórmula'!F109,30)),IF(INDEX(properties!A$1:CB$87,'Fórmula'!H109,30)&lt;&gt;"",INDEX(properties!A$1:CB$87,'Fórmula'!H109,30)),IF(INDEX(properties!A$1:CB$87,'Fórmula'!J109,30)&lt;&gt;"",INDEX(properties!A$1:CB$87,'Fórmula'!J109,30)))</f>
        <v>1.61064</v>
      </c>
      <c r="CQ109" s="117">
        <f t="array" ref="CQ109">MAX(INDEX(properties!A$1:CB$87,'Fórmula'!B109,30),INDEX(properties!A$1:CB$87,'Fórmula'!D109,30),INDEX(properties!A$1:CB$87,'Fórmula'!F109,30),INDEX(properties!A$1:CB$87,'Fórmula'!H109,30),INDEX(properties!A$1:CB$87,'Fórmula'!J109,30))</f>
        <v>3.44</v>
      </c>
      <c r="CR109" s="117">
        <f t="array" ref="CR109">MIN(IF(INDEX(properties!A$1:CB$87,'Fórmula'!B109,30)=0,10^6,INDEX(properties!A$1:CB$87,'Fórmula'!B109,30)),IF(INDEX(properties!A$1:CB$87,'Fórmula'!D109,30)=0,10^6,INDEX(properties!A$1:CB$87,'Fórmula'!D109,30)),IF(INDEX(properties!A$1:CB$87,'Fórmula'!F109,30)=0,10^6,INDEX(properties!A$1:CB$87,'Fórmula'!F109,30)),IF(INDEX(properties!A$1:CB$87,'Fórmula'!H109,30)=0,10^6,INDEX(properties!A$1:CB$87,'Fórmula'!H109,30)),IF(INDEX(properties!A$1:CB$87,'Fórmula'!J109,30)=0,10^6,INDEX(properties!A$1:CB$87,'Fórmula'!J109,30)))</f>
        <v>1.2</v>
      </c>
      <c r="CS109" s="117">
        <f t="shared" si="16"/>
        <v>2.24</v>
      </c>
      <c r="CT109" s="118">
        <f t="array" ref="CT109">(('Fórmula'!C109)/('Fórmula'!C109+'Fórmula'!E109+'Fórmula'!G109+'Fórmula'!I109+'Fórmula'!K109))*(INDEX(properties!A$1:CB$87,'Fórmula'!B109,31))+(('Fórmula'!E109)/('Fórmula'!C109+'Fórmula'!E109+'Fórmula'!G109+'Fórmula'!I109+'Fórmula'!K109))*(INDEX(properties!A$1:CB$87,'Fórmula'!D109,31))+(('Fórmula'!G109)/('Fórmula'!C109+'Fórmula'!E109+'Fórmula'!G109+'Fórmula'!I109+'Fórmula'!K109))*(INDEX(properties!A$1:CB$87,'Fórmula'!F109,31))+(('Fórmula'!I109)/('Fórmula'!C109+'Fórmula'!E109+'Fórmula'!G109+'Fórmula'!I109+'Fórmula'!K109))*(INDEX(properties!A$1:CB$87,'Fórmula'!H109,31))+(('Fórmula'!K109)/('Fórmula'!C109+'Fórmula'!E109+'Fórmula'!G109+'Fórmula'!I109+'Fórmula'!K109))*(INDEX(properties!A$1:CB$87,'Fórmula'!J109,31))</f>
        <v>2.54</v>
      </c>
      <c r="CU109" s="118">
        <f t="array" ref="CU109">'Fórmula'!C109*(INDEX(properties!A$1:CB$87,'Fórmula'!B109,31))+'Fórmula'!E109*(INDEX(properties!A$1:CB$87,'Fórmula'!D109,31))+'Fórmula'!G109*(INDEX(properties!A$1:CB$87,'Fórmula'!F109,31))+'Fórmula'!I109*(INDEX(properties!A$1:CB$87,'Fórmula'!H109,31))+'Fórmula'!K109*(INDEX(properties!A$1:CB$87,'Fórmula'!J109,31))</f>
        <v>12.7</v>
      </c>
      <c r="CV109" s="118">
        <f t="array" ref="CV109">VARP(IF(INDEX(properties!A$1:CB$87,'Fórmula'!B109,31)&lt;&gt;"",INDEX(properties!A$1:CB$87,'Fórmula'!B109,31)),IF(INDEX(properties!A$1:CB$87,'Fórmula'!D109,31)&lt;&gt;"",INDEX(properties!A$1:CB$87,'Fórmula'!D109,31)),IF(INDEX(properties!A$1:CB$87,'Fórmula'!F109,31)&lt;&gt;"",INDEX(properties!A$1:CB$87,'Fórmula'!F109,31)),IF(INDEX(properties!A$1:CB$87,'Fórmula'!H109,31)&lt;&gt;"",INDEX(properties!A$1:CB$87,'Fórmula'!H109,31)),IF(INDEX(properties!A$1:CB$87,'Fórmula'!J109,31)&lt;&gt;"",INDEX(properties!A$1:CB$87,'Fórmula'!J109,31)))</f>
        <v>1.515456</v>
      </c>
      <c r="CW109" s="118">
        <f t="array" ref="CW109">MAX(INDEX(properties!A$1:CB$87,'Fórmula'!B109,31),INDEX(properties!A$1:CB$87,'Fórmula'!D109,31),INDEX(properties!A$1:CB$87,'Fórmula'!F109,31),INDEX(properties!A$1:CB$87,'Fórmula'!H109,31),INDEX(properties!A$1:CB$87,'Fórmula'!J109,31))</f>
        <v>3.32</v>
      </c>
      <c r="CX109" s="118">
        <f t="array" ref="CX109">MIN(IF(INDEX(properties!A$1:CB$87,'Fórmula'!B109,31)=0,10^6,INDEX(properties!A$1:CB$87,'Fórmula'!B109,31)),IF(INDEX(properties!A$1:CB$87,'Fórmula'!D109,31)=0,10^6,INDEX(properties!A$1:CB$87,'Fórmula'!D109,31)),IF(INDEX(properties!A$1:CB$87,'Fórmula'!F109,31)=0,10^6,INDEX(properties!A$1:CB$87,'Fórmula'!F109,31)),IF(INDEX(properties!A$1:CB$87,'Fórmula'!H109,31)=0,10^6,INDEX(properties!A$1:CB$87,'Fórmula'!H109,31)),IF(INDEX(properties!A$1:CB$87,'Fórmula'!J109,31)=0,10^6,INDEX(properties!A$1:CB$87,'Fórmula'!J109,31)))</f>
        <v>1.1</v>
      </c>
      <c r="CY109" s="118">
        <f t="shared" si="17"/>
        <v>2.22</v>
      </c>
      <c r="CZ109" s="119">
        <f t="array" ref="CZ109">(('Fórmula'!C109)/('Fórmula'!C109+'Fórmula'!E109+'Fórmula'!G109+'Fórmula'!I109+'Fórmula'!K109))*(INDEX(properties!A$1:CB$87,'Fórmula'!B109,32))+(('Fórmula'!E109)/('Fórmula'!C109+'Fórmula'!E109+'Fórmula'!G109+'Fórmula'!I109+'Fórmula'!K109))*(INDEX(properties!A$1:CB$87,'Fórmula'!D109,32))+(('Fórmula'!G109)/('Fórmula'!C109+'Fórmula'!E109+'Fórmula'!G109+'Fórmula'!I109+'Fórmula'!K109))*(INDEX(properties!A$1:CB$87,'Fórmula'!F109,32))+(('Fórmula'!I109)/('Fórmula'!C109+'Fórmula'!E109+'Fórmula'!G109+'Fórmula'!I109+'Fórmula'!K109))*(INDEX(properties!A$1:CB$87,'Fórmula'!H109,32))+(('Fórmula'!K109)/('Fórmula'!C109+'Fórmula'!E109+'Fórmula'!G109+'Fórmula'!I109+'Fórmula'!K109))*(INDEX(properties!A$1:CB$87,'Fórmula'!J109,32))</f>
        <v>5.79</v>
      </c>
      <c r="DA109" s="119">
        <f t="array" ref="DA109">'Fórmula'!C109*(INDEX(properties!A$1:CB$87,'Fórmula'!B109,32))+'Fórmula'!E109*(INDEX(properties!A$1:CB$87,'Fórmula'!D109,32))+'Fórmula'!G109*(INDEX(properties!A$1:CB$87,'Fórmula'!F109,32))+'Fórmula'!I109*(INDEX(properties!A$1:CB$87,'Fórmula'!H109,32))+'Fórmula'!K109*(INDEX(properties!A$1:CB$87,'Fórmula'!J109,32))</f>
        <v>28.95</v>
      </c>
      <c r="DB109" s="119">
        <f t="array" ref="DB109">VARP(IF(INDEX(properties!A$1:CB$87,'Fórmula'!B109,32)&lt;&gt;"",INDEX(properties!A$1:CB$87,'Fórmula'!B109,32)),IF(INDEX(properties!A$1:CB$87,'Fórmula'!D109,32)&lt;&gt;"",INDEX(properties!A$1:CB$87,'Fórmula'!D109,32)),IF(INDEX(properties!A$1:CB$87,'Fórmula'!F109,32)&lt;&gt;"",INDEX(properties!A$1:CB$87,'Fórmula'!F109,32)),IF(INDEX(properties!A$1:CB$87,'Fórmula'!H109,32)&lt;&gt;"",INDEX(properties!A$1:CB$87,'Fórmula'!H109,32)),IF(INDEX(properties!A$1:CB$87,'Fórmula'!J109,32)&lt;&gt;"",INDEX(properties!A$1:CB$87,'Fórmula'!J109,32)))</f>
        <v>7.683824</v>
      </c>
      <c r="DC109" s="119">
        <f t="array" ref="DC109">MAX(INDEX(properties!A$1:CB$87,'Fórmula'!B109,32),INDEX(properties!A$1:CB$87,'Fórmula'!D109,32),INDEX(properties!A$1:CB$87,'Fórmula'!F109,32),INDEX(properties!A$1:CB$87,'Fórmula'!H109,32),INDEX(properties!A$1:CB$87,'Fórmula'!J109,32))</f>
        <v>7.54</v>
      </c>
      <c r="DD109" s="119">
        <f t="array" ref="DD109">MIN(IF(INDEX(properties!A$1:CB$87,'Fórmula'!B109,32)=0,10^6,INDEX(properties!A$1:CB$87,'Fórmula'!B109,32)),IF(INDEX(properties!A$1:CB$87,'Fórmula'!D109,32)=0,10^6,INDEX(properties!A$1:CB$87,'Fórmula'!D109,32)),IF(INDEX(properties!A$1:CB$87,'Fórmula'!F109,32)=0,10^6,INDEX(properties!A$1:CB$87,'Fórmula'!F109,32)),IF(INDEX(properties!A$1:CB$87,'Fórmula'!H109,32)=0,10^6,INDEX(properties!A$1:CB$87,'Fórmula'!H109,32)),IF(INDEX(properties!A$1:CB$87,'Fórmula'!J109,32)=0,10^6,INDEX(properties!A$1:CB$87,'Fórmula'!J109,32)))</f>
        <v>3.1</v>
      </c>
      <c r="DE109" s="119">
        <f t="shared" si="18"/>
        <v>4.44</v>
      </c>
      <c r="DF109" s="104">
        <f t="array" ref="DF109">(('Fórmula'!C109)/('Fórmula'!C109+'Fórmula'!E109+'Fórmula'!G109+'Fórmula'!I109+'Fórmula'!K109))*(INDEX(properties!A$1:CB$87,'Fórmula'!B109,34))+(('Fórmula'!E109)/('Fórmula'!C109+'Fórmula'!E109+'Fórmula'!G109+'Fórmula'!I109+'Fórmula'!K109))*(INDEX(properties!A$1:CB$87,'Fórmula'!D109,34))+(('Fórmula'!G109)/('Fórmula'!C109+'Fórmula'!E109+'Fórmula'!G109+'Fórmula'!I109+'Fórmula'!K109))*(INDEX(properties!A$1:CB$87,'Fórmula'!F109,34))+(('Fórmula'!I109)/('Fórmula'!C109+'Fórmula'!E109+'Fórmula'!G109+'Fórmula'!I109+'Fórmula'!K109))*(INDEX(properties!A$1:CB$87,'Fórmula'!H109,34))+(('Fórmula'!K109)/('Fórmula'!C109+'Fórmula'!E109+'Fórmula'!G109+'Fórmula'!I109+'Fórmula'!K109))*(INDEX(properties!A$1:CB$87,'Fórmula'!J109,34))</f>
        <v>2.7066</v>
      </c>
      <c r="DG109" s="104">
        <f t="array" ref="DG109">'Fórmula'!C109*(INDEX(properties!A$1:CB$87,'Fórmula'!B109,34))+'Fórmula'!E109*(INDEX(properties!A$1:CB$87,'Fórmula'!D109,34))+'Fórmula'!G109*(INDEX(properties!A$1:CB$87,'Fórmula'!F109,34))+'Fórmula'!I109*(INDEX(properties!A$1:CB$87,'Fórmula'!H109,34))+'Fórmula'!K109*(INDEX(properties!A$1:CB$87,'Fórmula'!J109,34))</f>
        <v>13.533</v>
      </c>
      <c r="DH109" s="104">
        <f t="array" ref="DH109">VARP(IF(INDEX(properties!A$1:CB$87,'Fórmula'!B109,34)&lt;&gt;"",INDEX(properties!A$1:CB$87,'Fórmula'!B109,34)),IF(INDEX(properties!A$1:CB$87,'Fórmula'!D109,34)&lt;&gt;"",INDEX(properties!A$1:CB$87,'Fórmula'!D109,34)),IF(INDEX(properties!A$1:CB$87,'Fórmula'!F109,34)&lt;&gt;"",INDEX(properties!A$1:CB$87,'Fórmula'!F109,34)),IF(INDEX(properties!A$1:CB$87,'Fórmula'!H109,34)&lt;&gt;"",INDEX(properties!A$1:CB$87,'Fórmula'!H109,34)),IF(INDEX(properties!A$1:CB$87,'Fórmula'!J109,34)&lt;&gt;"",INDEX(properties!A$1:CB$87,'Fórmula'!J109,34)))</f>
        <v>1.77023504</v>
      </c>
      <c r="DI109" s="104">
        <f t="array" ref="DI109">MAX(INDEX(properties!A$1:CB$87,'Fórmula'!B109,34),INDEX(properties!A$1:CB$87,'Fórmula'!D109,34),INDEX(properties!A$1:CB$87,'Fórmula'!F109,34),INDEX(properties!A$1:CB$87,'Fórmula'!H109,34),INDEX(properties!A$1:CB$87,'Fórmula'!J109,34))</f>
        <v>3.61</v>
      </c>
      <c r="DJ109" s="104">
        <f t="array" ref="DJ109">MIN(IF(INDEX(properties!A$1:CB$87,'Fórmula'!B109,34)=0,10^6,INDEX(properties!A$1:CB$87,'Fórmula'!B109,34)),IF(INDEX(properties!A$1:CB$87,'Fórmula'!D109,34)=0,10^6,INDEX(properties!A$1:CB$87,'Fórmula'!D109,34)),IF(INDEX(properties!A$1:CB$87,'Fórmula'!F109,34)=0,10^6,INDEX(properties!A$1:CB$87,'Fórmula'!F109,34)),IF(INDEX(properties!A$1:CB$87,'Fórmula'!H109,34)=0,10^6,INDEX(properties!A$1:CB$87,'Fórmula'!H109,34)),IF(INDEX(properties!A$1:CB$87,'Fórmula'!J109,34)=0,10^6,INDEX(properties!A$1:CB$87,'Fórmula'!J109,34)))</f>
        <v>1.09</v>
      </c>
      <c r="DK109" s="104">
        <f t="shared" si="19"/>
        <v>2.52</v>
      </c>
      <c r="DL109" s="105" t="str">
        <f t="array" ref="DL109">(('Fórmula'!C109)/('Fórmula'!C109+'Fórmula'!E109+'Fórmula'!G109+'Fórmula'!I109+'Fórmula'!K109))*(INDEX(properties!A$1:CB$87,'Fórmula'!B109,37))+(('Fórmula'!E109)/('Fórmula'!C109+'Fórmula'!E109+'Fórmula'!G109+'Fórmula'!I109+'Fórmula'!K109))*(INDEX(properties!A$1:CB$87,'Fórmula'!D109,37))+(('Fórmula'!G109)/('Fórmula'!C109+'Fórmula'!E109+'Fórmula'!G109+'Fórmula'!I109+'Fórmula'!K109))*(INDEX(properties!A$1:CB$87,'Fórmula'!F109,37))+(('Fórmula'!I109)/('Fórmula'!C109+'Fórmula'!E109+'Fórmula'!G109+'Fórmula'!I109+'Fórmula'!K109))*(INDEX(properties!A$1:CB$87,'Fórmula'!H109,37))+(('Fórmula'!K109)/('Fórmula'!C109+'Fórmula'!E109+'Fórmula'!G109+'Fórmula'!I109+'Fórmula'!K109))*(INDEX(properties!A$1:CB$87,'Fórmula'!J109,37))</f>
        <v>#VALUE!</v>
      </c>
      <c r="DM109" s="105" t="str">
        <f t="array" ref="DM109">'Fórmula'!C109*(INDEX(properties!A$1:CB$87,'Fórmula'!B109,37))+'Fórmula'!E109*(INDEX(properties!A$1:CB$87,'Fórmula'!D109,37))+'Fórmula'!G109*(INDEX(properties!A$1:CB$87,'Fórmula'!F109,37))+'Fórmula'!I109*(INDEX(properties!A$1:CB$87,'Fórmula'!H109,37))+'Fórmula'!K109*(INDEX(properties!A$1:CB$87,'Fórmula'!J109,37))</f>
        <v>#VALUE!</v>
      </c>
      <c r="DN109" s="105">
        <f t="array" ref="DN109">VARP(IF(INDEX(properties!A$1:CB$87,'Fórmula'!B109,37)&lt;&gt;"",INDEX(properties!A$1:CB$87,'Fórmula'!B109,37)),IF(INDEX(properties!A$1:CB$87,'Fórmula'!D109,37)&lt;&gt;"",INDEX(properties!A$1:CB$87,'Fórmula'!D109,37)),IF(INDEX(properties!A$1:CB$87,'Fórmula'!F109,37)&lt;&gt;"",INDEX(properties!A$1:CB$87,'Fórmula'!F109,37)),IF(INDEX(properties!A$1:CB$87,'Fórmula'!H109,37)&lt;&gt;"",INDEX(properties!A$1:CB$87,'Fórmula'!H109,37)),IF(INDEX(properties!A$1:CB$87,'Fórmula'!J109,37)&lt;&gt;"",INDEX(properties!A$1:CB$87,'Fórmula'!J109,37)))</f>
        <v>2.00671875</v>
      </c>
      <c r="DO109" s="105">
        <f t="array" ref="DO109">MAX(INDEX(properties!A$1:CB$87,'Fórmula'!B109,37),INDEX(properties!A$1:CB$87,'Fórmula'!D109,37),INDEX(properties!A$1:CB$87,'Fórmula'!F109,37),INDEX(properties!A$1:CB$87,'Fórmula'!H109,37),INDEX(properties!A$1:CB$87,'Fórmula'!J109,37))</f>
        <v>3.45</v>
      </c>
      <c r="DP109" s="105">
        <f t="array" ref="DP109">MIN(IF(INDEX(properties!A$1:CB$87,'Fórmula'!B109,37)=0,10^6,INDEX(properties!A$1:CB$87,'Fórmula'!B109,37)),IF(INDEX(properties!A$1:CB$87,'Fórmula'!D109,37)=0,10^6,INDEX(properties!A$1:CB$87,'Fórmula'!D109,37)),IF(INDEX(properties!A$1:CB$87,'Fórmula'!F109,37)=0,10^6,INDEX(properties!A$1:CB$87,'Fórmula'!F109,37)),IF(INDEX(properties!A$1:CB$87,'Fórmula'!H109,37)=0,10^6,INDEX(properties!A$1:CB$87,'Fórmula'!H109,37)),IF(INDEX(properties!A$1:CB$87,'Fórmula'!J109,37)=0,10^6,INDEX(properties!A$1:CB$87,'Fórmula'!J109,37)))</f>
        <v>1.5</v>
      </c>
      <c r="DQ109" s="105">
        <f t="shared" si="20"/>
        <v>1.95</v>
      </c>
      <c r="DR109" s="109">
        <f t="array" ref="DR109">(('Fórmula'!C109)/('Fórmula'!C109+'Fórmula'!E109+'Fórmula'!G109+'Fórmula'!I109+'Fórmula'!K109))*(INDEX(properties!A$1:CB$87,'Fórmula'!B109,39))+(('Fórmula'!E109)/('Fórmula'!C109+'Fórmula'!E109+'Fórmula'!G109+'Fórmula'!I109+'Fórmula'!K109))*(INDEX(properties!A$1:CB$87,'Fórmula'!D109,39))+(('Fórmula'!G109)/('Fórmula'!C109+'Fórmula'!E109+'Fórmula'!G109+'Fórmula'!I109+'Fórmula'!K109))*(INDEX(properties!A$1:CB$87,'Fórmula'!F109,39))+(('Fórmula'!I109)/('Fórmula'!C109+'Fórmula'!E109+'Fórmula'!G109+'Fórmula'!I109+'Fórmula'!K109))*(INDEX(properties!A$1:CB$87,'Fórmula'!H109,39))+(('Fórmula'!K109)/('Fórmula'!C109+'Fórmula'!E109+'Fórmula'!G109+'Fórmula'!I109+'Fórmula'!K109))*(INDEX(properties!A$1:CB$87,'Fórmula'!J109,39))</f>
        <v>0.99</v>
      </c>
      <c r="DS109" s="109">
        <f t="array" ref="DS109">'Fórmula'!C109*(INDEX(properties!A$1:CB$87,'Fórmula'!B109,39))+'Fórmula'!E109*(INDEX(properties!A$1:CB$87,'Fórmula'!D109,39))+'Fórmula'!G109*(INDEX(properties!A$1:CB$87,'Fórmula'!F109,39))+'Fórmula'!I109*(INDEX(properties!A$1:CB$87,'Fórmula'!H109,39))+'Fórmula'!K109*(INDEX(properties!A$1:CB$87,'Fórmula'!J109,39))</f>
        <v>4.95</v>
      </c>
      <c r="DT109" s="109">
        <f t="array" ref="DT109">VARP(IF(INDEX(properties!A$1:CB$87,'Fórmula'!B109,39)&lt;&gt;"",INDEX(properties!A$1:CB$87,'Fórmula'!B109,39)),IF(INDEX(properties!A$1:CB$87,'Fórmula'!D109,39)&lt;&gt;"",INDEX(properties!A$1:CB$87,'Fórmula'!D109,39)),IF(INDEX(properties!A$1:CB$87,'Fórmula'!F109,39)&lt;&gt;"",INDEX(properties!A$1:CB$87,'Fórmula'!F109,39)),IF(INDEX(properties!A$1:CB$87,'Fórmula'!H109,39)&lt;&gt;"",INDEX(properties!A$1:CB$87,'Fórmula'!H109,39)),IF(INDEX(properties!A$1:CB$87,'Fórmula'!J109,39)&lt;&gt;"",INDEX(properties!A$1:CB$87,'Fórmula'!J109,39)))</f>
        <v>0.773536</v>
      </c>
      <c r="DU109" s="120">
        <f t="array" ref="DU109">MAX(INDEX(properties!A$1:CB$87,'Fórmula'!B109,39),INDEX(properties!A$1:CB$87,'Fórmula'!D109,39),INDEX(properties!A$1:CB$87,'Fórmula'!F109,39),INDEX(properties!A$1:CB$87,'Fórmula'!H109,39),INDEX(properties!A$1:CB$87,'Fórmula'!J109,39))</f>
        <v>2.33</v>
      </c>
      <c r="DV109" s="120">
        <f t="array" ref="DV109">MIN(IF(INDEX(properties!A$1:CB$87,'Fórmula'!B109,39)=0,10^6,INDEX(properties!A$1:CB$87,'Fórmula'!B109,39)),IF(INDEX(properties!A$1:CB$87,'Fórmula'!D109,39)=0,10^6,INDEX(properties!A$1:CB$87,'Fórmula'!D109,39)),IF(INDEX(properties!A$1:CB$87,'Fórmula'!F109,39)=0,10^6,INDEX(properties!A$1:CB$87,'Fórmula'!F109,39)),IF(INDEX(properties!A$1:CB$87,'Fórmula'!H109,39)=0,10^6,INDEX(properties!A$1:CB$87,'Fórmula'!H109,39)),IF(INDEX(properties!A$1:CB$87,'Fórmula'!J109,39)=0,10^6,INDEX(properties!A$1:CB$87,'Fórmula'!J109,39)))</f>
        <v>0.48</v>
      </c>
      <c r="DW109" s="109">
        <f t="shared" si="21"/>
        <v>1.85</v>
      </c>
      <c r="DX109" s="110">
        <f t="array" ref="DX109">(('Fórmula'!C109)/('Fórmula'!C109+'Fórmula'!E109+'Fórmula'!G109+'Fórmula'!I109+'Fórmula'!K109))*(INDEX(properties!A$1:CB$87,'Fórmula'!B109,40))+(('Fórmula'!E109)/('Fórmula'!C109+'Fórmula'!E109+'Fórmula'!G109+'Fórmula'!I109+'Fórmula'!K109))*(INDEX(properties!A$1:CB$87,'Fórmula'!D109,40))+(('Fórmula'!G109)/('Fórmula'!C109+'Fórmula'!E109+'Fórmula'!G109+'Fórmula'!I109+'Fórmula'!K109))*(INDEX(properties!A$1:CB$87,'Fórmula'!F109,40))+(('Fórmula'!I109)/('Fórmula'!C109+'Fórmula'!E109+'Fórmula'!G109+'Fórmula'!I109+'Fórmula'!K109))*(INDEX(properties!A$1:CB$87,'Fórmula'!H109,40))+(('Fórmula'!K109)/('Fórmula'!C109+'Fórmula'!E109+'Fórmula'!G109+'Fórmula'!I109+'Fórmula'!K109))*(INDEX(properties!A$1:CB$87,'Fórmula'!J109,40))</f>
        <v>0.996</v>
      </c>
      <c r="DY109" s="110">
        <f t="array" ref="DY109">'Fórmula'!C109*(INDEX(properties!A$1:CB$87,'Fórmula'!B109,40))+'Fórmula'!E109*(INDEX(properties!A$1:CB$87,'Fórmula'!D109,40))+'Fórmula'!G109*(INDEX(properties!A$1:CB$87,'Fórmula'!F109,40))+'Fórmula'!I109*(INDEX(properties!A$1:CB$87,'Fórmula'!H109,40))+'Fórmula'!K109*(INDEX(properties!A$1:CB$87,'Fórmula'!J109,40))</f>
        <v>4.98</v>
      </c>
      <c r="DZ109" s="110">
        <f t="array" ref="DZ109">VARP(IF(INDEX(properties!A$1:CB$87,'Fórmula'!B109,40)&lt;&gt;"",INDEX(properties!A$1:CB$87,'Fórmula'!B109,40)),IF(INDEX(properties!A$1:CB$87,'Fórmula'!D109,40)&lt;&gt;"",INDEX(properties!A$1:CB$87,'Fórmula'!D109,40)),IF(INDEX(properties!A$1:CB$87,'Fórmula'!F109,40)&lt;&gt;"",INDEX(properties!A$1:CB$87,'Fórmula'!F109,40)),IF(INDEX(properties!A$1:CB$87,'Fórmula'!H109,40)&lt;&gt;"",INDEX(properties!A$1:CB$87,'Fórmula'!H109,40)),IF(INDEX(properties!A$1:CB$87,'Fórmula'!J109,40)&lt;&gt;"",INDEX(properties!A$1:CB$87,'Fórmula'!J109,40)))</f>
        <v>0.407864</v>
      </c>
      <c r="EA109" s="121">
        <f t="array" ref="EA109">MAX(INDEX(properties!A$1:CB$87,'Fórmula'!B109,40),INDEX(properties!A$1:CB$87,'Fórmula'!D109,40),INDEX(properties!A$1:CB$87,'Fórmula'!F109,40),INDEX(properties!A$1:CB$87,'Fórmula'!H109,40),INDEX(properties!A$1:CB$87,'Fórmula'!J109,40))</f>
        <v>1.61</v>
      </c>
      <c r="EB109" s="121">
        <f t="array" ref="EB109">MIN(IF(INDEX(properties!A$1:CB$87,'Fórmula'!B109,40)=0,10^6,INDEX(properties!A$1:CB$87,'Fórmula'!B109,40)),IF(INDEX(properties!A$1:CB$87,'Fórmula'!D109,40)=0,10^6,INDEX(properties!A$1:CB$87,'Fórmula'!D109,40)),IF(INDEX(properties!A$1:CB$87,'Fórmula'!F109,40)=0,10^6,INDEX(properties!A$1:CB$87,'Fórmula'!F109,40)),IF(INDEX(properties!A$1:CB$87,'Fórmula'!H109,40)=0,10^6,INDEX(properties!A$1:CB$87,'Fórmula'!H109,40)),IF(INDEX(properties!A$1:CB$87,'Fórmula'!J109,40)=0,10^6,INDEX(properties!A$1:CB$87,'Fórmula'!J109,40)))</f>
        <v>0.73</v>
      </c>
      <c r="EC109" s="110">
        <f t="shared" si="22"/>
        <v>0.88</v>
      </c>
      <c r="ED109" s="111">
        <f t="array" ref="ED109">(('Fórmula'!C109)/('Fórmula'!C109+'Fórmula'!E109+'Fórmula'!G109+'Fórmula'!I109+'Fórmula'!K109))*(INDEX(properties!A$1:CB$87,'Fórmula'!B109,41))+(('Fórmula'!E109)/('Fórmula'!C109+'Fórmula'!E109+'Fórmula'!G109+'Fórmula'!I109+'Fórmula'!K109))*(INDEX(properties!A$1:CB$87,'Fórmula'!D109,41))+(('Fórmula'!G109)/('Fórmula'!C109+'Fórmula'!E109+'Fórmula'!G109+'Fórmula'!I109+'Fórmula'!K109))*(INDEX(properties!A$1:CB$87,'Fórmula'!F109,41))+(('Fórmula'!I109)/('Fórmula'!C109+'Fórmula'!E109+'Fórmula'!G109+'Fórmula'!I109+'Fórmula'!K109))*(INDEX(properties!A$1:CB$87,'Fórmula'!H109,41))+(('Fórmula'!K109)/('Fórmula'!C109+'Fórmula'!E109+'Fórmula'!G109+'Fórmula'!I109+'Fórmula'!K109))*(INDEX(properties!A$1:CB$87,'Fórmula'!J109,41))</f>
        <v>1.108</v>
      </c>
      <c r="EE109" s="111">
        <f t="array" ref="EE109">'Fórmula'!C109*(INDEX(properties!A$1:CB$87,'Fórmula'!B109,41))+'Fórmula'!E109*(INDEX(properties!A$1:CB$87,'Fórmula'!D109,41))+'Fórmula'!G109*(INDEX(properties!A$1:CB$87,'Fórmula'!F109,41))+'Fórmula'!I109*(INDEX(properties!A$1:CB$87,'Fórmula'!H109,41))+'Fórmula'!K109*(INDEX(properties!A$1:CB$87,'Fórmula'!J109,41))</f>
        <v>5.54</v>
      </c>
      <c r="EF109" s="111">
        <f t="array" ref="EF109">VARP(IF(INDEX(properties!A$1:CB$87,'Fórmula'!B109,41)&lt;&gt;"",INDEX(properties!A$1:CB$87,'Fórmula'!B109,41)),IF(INDEX(properties!A$1:CB$87,'Fórmula'!D109,41)&lt;&gt;"",INDEX(properties!A$1:CB$87,'Fórmula'!D109,41)),IF(INDEX(properties!A$1:CB$87,'Fórmula'!F109,41)&lt;&gt;"",INDEX(properties!A$1:CB$87,'Fórmula'!F109,41)),IF(INDEX(properties!A$1:CB$87,'Fórmula'!H109,41)&lt;&gt;"",INDEX(properties!A$1:CB$87,'Fórmula'!H109,41)),IF(INDEX(properties!A$1:CB$87,'Fórmula'!J109,41)&lt;&gt;"",INDEX(properties!A$1:CB$87,'Fórmula'!J109,41)))</f>
        <v>0.278464</v>
      </c>
      <c r="EG109" s="122">
        <f t="array" ref="EG109">MAX(INDEX(properties!A$1:CB$87,'Fórmula'!B109,41),INDEX(properties!A$1:CB$87,'Fórmula'!D109,41),INDEX(properties!A$1:CB$87,'Fórmula'!F109,41),INDEX(properties!A$1:CB$87,'Fórmula'!H109,41),INDEX(properties!A$1:CB$87,'Fórmula'!J109,41))</f>
        <v>1.26</v>
      </c>
      <c r="EH109" s="122">
        <f t="array" ref="EH109">MIN(IF(INDEX(properties!A$1:CB$87,'Fórmula'!B109,41)=0,10^6,INDEX(properties!A$1:CB$87,'Fórmula'!B109,41)),IF(INDEX(properties!A$1:CB$87,'Fórmula'!D109,41)=0,10^6,INDEX(properties!A$1:CB$87,'Fórmula'!D109,41)),IF(INDEX(properties!A$1:CB$87,'Fórmula'!F109,41)=0,10^6,INDEX(properties!A$1:CB$87,'Fórmula'!F109,41)),IF(INDEX(properties!A$1:CB$87,'Fórmula'!H109,41)=0,10^6,INDEX(properties!A$1:CB$87,'Fórmula'!H109,41)),IF(INDEX(properties!A$1:CB$87,'Fórmula'!J109,41)=0,10^6,INDEX(properties!A$1:CB$87,'Fórmula'!J109,41)))</f>
        <v>0.68</v>
      </c>
      <c r="EI109" s="111">
        <f t="shared" si="23"/>
        <v>0.58</v>
      </c>
      <c r="EJ109" s="112">
        <f t="array" ref="EJ109">(('Fórmula'!C109)/('Fórmula'!C109+'Fórmula'!E109+'Fórmula'!G109+'Fórmula'!I109+'Fórmula'!K109))*(INDEX(properties!A$1:CB$87,'Fórmula'!B109,45))+(('Fórmula'!E109)/('Fórmula'!C109+'Fórmula'!E109+'Fórmula'!G109+'Fórmula'!I109+'Fórmula'!K109))*(INDEX(properties!A$1:CB$87,'Fórmula'!D109,45))+(('Fórmula'!G109)/('Fórmula'!C109+'Fórmula'!E109+'Fórmula'!G109+'Fórmula'!I109+'Fórmula'!K109))*(INDEX(properties!A$1:CB$87,'Fórmula'!F109,45))+(('Fórmula'!I109)/('Fórmula'!C109+'Fórmula'!E109+'Fórmula'!G109+'Fórmula'!I109+'Fórmula'!K109))*(INDEX(properties!A$1:CB$87,'Fórmula'!H109,45))+(('Fórmula'!K109)/('Fórmula'!C109+'Fórmula'!E109+'Fórmula'!G109+'Fórmula'!I109+'Fórmula'!K109))*(INDEX(properties!A$1:CB$87,'Fórmula'!J109,45))</f>
        <v>1.4</v>
      </c>
      <c r="EK109" s="112">
        <f t="array" ref="EK109">'Fórmula'!C109*(INDEX(properties!A$1:CB$87,'Fórmula'!B109,45))+'Fórmula'!E109*(INDEX(properties!A$1:CB$87,'Fórmula'!D109,45))+'Fórmula'!G109*(INDEX(properties!A$1:CB$87,'Fórmula'!F109,45))+'Fórmula'!I109*(INDEX(properties!A$1:CB$87,'Fórmula'!H109,45))+'Fórmula'!K109*(INDEX(properties!A$1:CB$87,'Fórmula'!J109,45))</f>
        <v>7</v>
      </c>
      <c r="EL109" s="112">
        <f t="array" ref="EL109">VARP(IF(INDEX(properties!A$1:CB$87,'Fórmula'!B109,45)&lt;&gt;"",INDEX(properties!A$1:CB$87,'Fórmula'!B109,45)),IF(INDEX(properties!A$1:CB$87,'Fórmula'!D109,45)&lt;&gt;"",INDEX(properties!A$1:CB$87,'Fórmula'!D109,45)),IF(INDEX(properties!A$1:CB$87,'Fórmula'!F109,45)&lt;&gt;"",INDEX(properties!A$1:CB$87,'Fórmula'!F109,45)),IF(INDEX(properties!A$1:CB$87,'Fórmula'!H109,45)&lt;&gt;"",INDEX(properties!A$1:CB$87,'Fórmula'!H109,45)),IF(INDEX(properties!A$1:CB$87,'Fórmula'!J109,45)&lt;&gt;"",INDEX(properties!A$1:CB$87,'Fórmula'!J109,45)))</f>
        <v>2.197336</v>
      </c>
      <c r="EM109" s="123">
        <f t="array" ref="EM109">MAX(INDEX(properties!A$1:CB$87,'Fórmula'!B109,45),INDEX(properties!A$1:CB$87,'Fórmula'!D109,45),INDEX(properties!A$1:CB$87,'Fórmula'!F109,45),INDEX(properties!A$1:CB$87,'Fórmula'!H109,45),INDEX(properties!A$1:CB$87,'Fórmula'!J109,45))</f>
        <v>3.91</v>
      </c>
      <c r="EN109" s="123">
        <f t="array" ref="EN109">MIN(IF(INDEX(properties!A$1:CB$87,'Fórmula'!B109,45)=0,10^6,INDEX(properties!A$1:CB$87,'Fórmula'!B109,45)),IF(INDEX(properties!A$1:CB$87,'Fórmula'!D109,45)=0,10^6,INDEX(properties!A$1:CB$87,'Fórmula'!D109,45)),IF(INDEX(properties!A$1:CB$87,'Fórmula'!F109,45)=0,10^6,INDEX(properties!A$1:CB$87,'Fórmula'!F109,45)),IF(INDEX(properties!A$1:CB$87,'Fórmula'!H109,45)=0,10^6,INDEX(properties!A$1:CB$87,'Fórmula'!H109,45)),IF(INDEX(properties!A$1:CB$87,'Fórmula'!J109,45)=0,10^6,INDEX(properties!A$1:CB$87,'Fórmula'!J109,45)))</f>
        <v>0.47</v>
      </c>
      <c r="EO109" s="112">
        <f t="shared" si="24"/>
        <v>3.44</v>
      </c>
      <c r="EP109" s="113">
        <f t="array" ref="EP109">(('Fórmula'!C109)/('Fórmula'!C109+'Fórmula'!E109+'Fórmula'!G109+'Fórmula'!I109+'Fórmula'!K109))*(INDEX(properties!A$1:CB$87,'Fórmula'!B109,46))+(('Fórmula'!E109)/('Fórmula'!C109+'Fórmula'!E109+'Fórmula'!G109+'Fórmula'!I109+'Fórmula'!K109))*(INDEX(properties!A$1:CB$87,'Fórmula'!D109,46))+(('Fórmula'!G109)/('Fórmula'!C109+'Fórmula'!E109+'Fórmula'!G109+'Fórmula'!I109+'Fórmula'!K109))*(INDEX(properties!A$1:CB$87,'Fórmula'!F109,46))+(('Fórmula'!I109)/('Fórmula'!C109+'Fórmula'!E109+'Fórmula'!G109+'Fórmula'!I109+'Fórmula'!K109))*(INDEX(properties!A$1:CB$87,'Fórmula'!H109,46))+(('Fórmula'!K109)/('Fórmula'!C109+'Fórmula'!E109+'Fórmula'!G109+'Fórmula'!I109+'Fórmula'!K109))*(INDEX(properties!A$1:CB$87,'Fórmula'!J109,46))</f>
        <v>1.048</v>
      </c>
      <c r="EQ109" s="113">
        <f t="array" ref="EQ109">'Fórmula'!C109*(INDEX(properties!A$1:CB$87,'Fórmula'!B109,46))+'Fórmula'!E109*(INDEX(properties!A$1:CB$87,'Fórmula'!D109,46))+'Fórmula'!G109*(INDEX(properties!A$1:CB$87,'Fórmula'!F109,46))+'Fórmula'!I109*(INDEX(properties!A$1:CB$87,'Fórmula'!H109,46))+'Fórmula'!K109*(INDEX(properties!A$1:CB$87,'Fórmula'!J109,46))</f>
        <v>5.24</v>
      </c>
      <c r="ER109" s="113">
        <f t="array" ref="ER109">VARP(IF(INDEX(properties!A$1:CB$87,'Fórmula'!B109,46)&lt;&gt;"",INDEX(properties!A$1:CB$87,'Fórmula'!B109,46)),IF(INDEX(properties!A$1:CB$87,'Fórmula'!D109,46)&lt;&gt;"",INDEX(properties!A$1:CB$87,'Fórmula'!D109,46)),IF(INDEX(properties!A$1:CB$87,'Fórmula'!F109,46)&lt;&gt;"",INDEX(properties!A$1:CB$87,'Fórmula'!F109,46)),IF(INDEX(properties!A$1:CB$87,'Fórmula'!H109,46)&lt;&gt;"",INDEX(properties!A$1:CB$87,'Fórmula'!H109,46)),IF(INDEX(properties!A$1:CB$87,'Fórmula'!J109,46)&lt;&gt;"",INDEX(properties!A$1:CB$87,'Fórmula'!J109,46)))</f>
        <v>0.264184</v>
      </c>
      <c r="ES109" s="124">
        <f t="array" ref="ES109">MAX(INDEX(properties!A$1:CB$87,'Fórmula'!B109,46),INDEX(properties!A$1:CB$87,'Fórmula'!D109,46),INDEX(properties!A$1:CB$87,'Fórmula'!F109,46),INDEX(properties!A$1:CB$87,'Fórmula'!H109,46),INDEX(properties!A$1:CB$87,'Fórmula'!J109,46))</f>
        <v>1.21</v>
      </c>
      <c r="ET109" s="124">
        <f t="array" ref="ET109">MIN(IF(INDEX(properties!A$1:CB$87,'Fórmula'!B109,46)=0,10^6,INDEX(properties!A$1:CB$87,'Fórmula'!B109,46)),IF(INDEX(properties!A$1:CB$87,'Fórmula'!D109,46)=0,10^6,INDEX(properties!A$1:CB$87,'Fórmula'!D109,46)),IF(INDEX(properties!A$1:CB$87,'Fórmula'!F109,46)=0,10^6,INDEX(properties!A$1:CB$87,'Fórmula'!F109,46)),IF(INDEX(properties!A$1:CB$87,'Fórmula'!H109,46)=0,10^6,INDEX(properties!A$1:CB$87,'Fórmula'!H109,46)),IF(INDEX(properties!A$1:CB$87,'Fórmula'!J109,46)=0,10^6,INDEX(properties!A$1:CB$87,'Fórmula'!J109,46)))</f>
        <v>0.53</v>
      </c>
      <c r="EU109" s="113">
        <f t="shared" si="25"/>
        <v>0.68</v>
      </c>
      <c r="EV109" s="114">
        <f t="array" ref="EV109">(('Fórmula'!C109)/('Fórmula'!C109+'Fórmula'!E109+'Fórmula'!G109+'Fórmula'!I109+'Fórmula'!K109))*(INDEX(properties!A$1:CB$87,'Fórmula'!B109,52))+(('Fórmula'!E109)/('Fórmula'!C109+'Fórmula'!E109+'Fórmula'!G109+'Fórmula'!I109+'Fórmula'!K109))*(INDEX(properties!A$1:CB$87,'Fórmula'!D109,52))+(('Fórmula'!G109)/('Fórmula'!C109+'Fórmula'!E109+'Fórmula'!G109+'Fórmula'!I109+'Fórmula'!K109))*(INDEX(properties!A$1:CB$87,'Fórmula'!F109,52))+(('Fórmula'!I109)/('Fórmula'!C109+'Fórmula'!E109+'Fórmula'!G109+'Fórmula'!I109+'Fórmula'!K109))*(INDEX(properties!A$1:CB$87,'Fórmula'!H109,52))+(('Fórmula'!K109)/('Fórmula'!C109+'Fórmula'!E109+'Fórmula'!G109+'Fórmula'!I109+'Fórmula'!K109))*(INDEX(properties!A$1:CB$87,'Fórmula'!J109,52))</f>
        <v>6.8358</v>
      </c>
      <c r="EW109" s="114">
        <f t="array" ref="EW109">'Fórmula'!C109*(INDEX(properties!A$1:CB$87,'Fórmula'!B109,52))+'Fórmula'!E109*(INDEX(properties!A$1:CB$87,'Fórmula'!D109,52))+'Fórmula'!G109*(INDEX(properties!A$1:CB$87,'Fórmula'!F109,52))+'Fórmula'!I109*(INDEX(properties!A$1:CB$87,'Fórmula'!H109,52))+'Fórmula'!K109*(INDEX(properties!A$1:CB$87,'Fórmula'!J109,52))</f>
        <v>34.179</v>
      </c>
      <c r="EX109" s="114">
        <f t="array" ref="EX109">VARP(IF(INDEX(properties!A$1:CB$87,'Fórmula'!B109,52)&lt;&gt;"",INDEX(properties!A$1:CB$87,'Fórmula'!B109,52)),IF(INDEX(properties!A$1:CB$87,'Fórmula'!D109,52)&lt;&gt;"",INDEX(properties!A$1:CB$87,'Fórmula'!D109,52)),IF(INDEX(properties!A$1:CB$87,'Fórmula'!F109,52)&lt;&gt;"",INDEX(properties!A$1:CB$87,'Fórmula'!F109,52)),IF(INDEX(properties!A$1:CB$87,'Fórmula'!H109,52)&lt;&gt;"",INDEX(properties!A$1:CB$87,'Fórmula'!H109,52)),IF(INDEX(properties!A$1:CB$87,'Fórmula'!J109,52)&lt;&gt;"",INDEX(properties!A$1:CB$87,'Fórmula'!J109,52)))</f>
        <v>81.86162384</v>
      </c>
      <c r="EY109" s="114">
        <f t="array" ref="EY109">MAX(INDEX(properties!A$1:CB$87,'Fórmula'!B109,52),INDEX(properties!A$1:CB$87,'Fórmula'!D109,52),INDEX(properties!A$1:CB$87,'Fórmula'!F109,52),INDEX(properties!A$1:CB$87,'Fórmula'!H109,52),INDEX(properties!A$1:CB$87,'Fórmula'!J109,52))</f>
        <v>23.5</v>
      </c>
      <c r="EZ109" s="114">
        <f t="array" ref="EZ109">MIN(IF(INDEX(properties!A$1:CB$87,'Fórmula'!B109,52)=0,10^6,INDEX(properties!A$1:CB$87,'Fórmula'!B109,52)),IF(INDEX(properties!A$1:CB$87,'Fórmula'!D109,52)=0,10^6,INDEX(properties!A$1:CB$87,'Fórmula'!D109,52)),IF(INDEX(properties!A$1:CB$87,'Fórmula'!F109,52)=0,10^6,INDEX(properties!A$1:CB$87,'Fórmula'!F109,52)),IF(INDEX(properties!A$1:CB$87,'Fórmula'!H109,52)=0,10^6,INDEX(properties!A$1:CB$87,'Fórmula'!H109,52)),IF(INDEX(properties!A$1:CB$87,'Fórmula'!J109,52)=0,10^6,INDEX(properties!A$1:CB$87,'Fórmula'!J109,52)))</f>
        <v>0.793</v>
      </c>
      <c r="FA109" s="114">
        <f t="shared" si="26"/>
        <v>22.707</v>
      </c>
      <c r="FB109" s="115">
        <f t="array" ref="FB109">(('Fórmula'!C109)/('Fórmula'!C109+'Fórmula'!E109+'Fórmula'!G109+'Fórmula'!I109+'Fórmula'!K109))*(INDEX(properties!A$1:CB$87,'Fórmula'!B109,53))+(('Fórmula'!E109)/('Fórmula'!C109+'Fórmula'!E109+'Fórmula'!G109+'Fórmula'!I109+'Fórmula'!K109))*(INDEX(properties!A$1:CB$87,'Fórmula'!D109,53))+(('Fórmula'!G109)/('Fórmula'!C109+'Fórmula'!E109+'Fórmula'!G109+'Fórmula'!I109+'Fórmula'!K109))*(INDEX(properties!A$1:CB$87,'Fórmula'!F109,53))+(('Fórmula'!I109)/('Fórmula'!C109+'Fórmula'!E109+'Fórmula'!G109+'Fórmula'!I109+'Fórmula'!K109))*(INDEX(properties!A$1:CB$87,'Fórmula'!H109,53))+(('Fórmula'!K109)/('Fórmula'!C109+'Fórmula'!E109+'Fórmula'!G109+'Fórmula'!I109+'Fórmula'!K109))*(INDEX(properties!A$1:CB$87,'Fórmula'!J109,53))</f>
        <v>536.71</v>
      </c>
      <c r="FC109" s="115">
        <f t="array" ref="FC109">'Fórmula'!C109*(INDEX(properties!A$1:CB$87,'Fórmula'!B109,53))+'Fórmula'!E109*(INDEX(properties!A$1:CB$87,'Fórmula'!D109,53))+'Fórmula'!G109*(INDEX(properties!A$1:CB$87,'Fórmula'!F109,53))+'Fórmula'!I109*(INDEX(properties!A$1:CB$87,'Fórmula'!H109,53))+'Fórmula'!K109*(INDEX(properties!A$1:CB$87,'Fórmula'!J109,53))</f>
        <v>2683.55</v>
      </c>
      <c r="FD109" s="115">
        <f t="array" ref="FD109">VARP(IF(INDEX(properties!A$1:CB$87,'Fórmula'!B109,53)&lt;&gt;"",INDEX(properties!A$1:CB$87,'Fórmula'!B109,53)),IF(INDEX(properties!A$1:CB$87,'Fórmula'!D109,53)&lt;&gt;"",INDEX(properties!A$1:CB$87,'Fórmula'!D109,53)),IF(INDEX(properties!A$1:CB$87,'Fórmula'!F109,53)&lt;&gt;"",INDEX(properties!A$1:CB$87,'Fórmula'!F109,53)),IF(INDEX(properties!A$1:CB$87,'Fórmula'!H109,53)&lt;&gt;"",INDEX(properties!A$1:CB$87,'Fórmula'!H109,53)),IF(INDEX(properties!A$1:CB$87,'Fórmula'!J109,53)&lt;&gt;"",INDEX(properties!A$1:CB$87,'Fórmula'!J109,53)))</f>
        <v>412898.3254</v>
      </c>
      <c r="FE109" s="115">
        <f t="array" ref="FE109">MAX(INDEX(properties!A$1:CB$87,'Fórmula'!B109,53),INDEX(properties!A$1:CB$87,'Fórmula'!D109,53),INDEX(properties!A$1:CB$87,'Fórmula'!F109,53),INDEX(properties!A$1:CB$87,'Fórmula'!H109,53),INDEX(properties!A$1:CB$87,'Fórmula'!J109,53))</f>
        <v>1586.15</v>
      </c>
      <c r="FF109" s="115">
        <f t="array" ref="FF109">MIN(IF(INDEX(properties!A$1:CB$87,'Fórmula'!B109,53)=0,10^6,INDEX(properties!A$1:CB$87,'Fórmula'!B109,53)),IF(INDEX(properties!A$1:CB$87,'Fórmula'!D109,53)=0,10^6,INDEX(properties!A$1:CB$87,'Fórmula'!D109,53)),IF(INDEX(properties!A$1:CB$87,'Fórmula'!F109,53)=0,10^6,INDEX(properties!A$1:CB$87,'Fórmula'!F109,53)),IF(INDEX(properties!A$1:CB$87,'Fórmula'!H109,53)=0,10^6,INDEX(properties!A$1:CB$87,'Fórmula'!H109,53)),IF(INDEX(properties!A$1:CB$87,'Fórmula'!J109,53)=0,10^6,INDEX(properties!A$1:CB$87,'Fórmula'!J109,53)))</f>
        <v>54.75</v>
      </c>
      <c r="FG109" s="115">
        <f t="shared" si="27"/>
        <v>1531.4</v>
      </c>
      <c r="FH109" s="117">
        <f t="array" ref="FH109">(('Fórmula'!C109)/('Fórmula'!C109+'Fórmula'!E109+'Fórmula'!G109+'Fórmula'!I109+'Fórmula'!K109))*(INDEX(properties!A$1:CB$87,'Fórmula'!B109,54))+(('Fórmula'!E109)/('Fórmula'!C109+'Fórmula'!E109+'Fórmula'!G109+'Fórmula'!I109+'Fórmula'!K109))*(INDEX(properties!A$1:CB$87,'Fórmula'!D109,54))+(('Fórmula'!G109)/('Fórmula'!C109+'Fórmula'!E109+'Fórmula'!G109+'Fórmula'!I109+'Fórmula'!K109))*(INDEX(properties!A$1:CB$87,'Fórmula'!F109,54))+(('Fórmula'!I109)/('Fórmula'!C109+'Fórmula'!E109+'Fórmula'!G109+'Fórmula'!I109+'Fórmula'!K109))*(INDEX(properties!A$1:CB$87,'Fórmula'!H109,54))+(('Fórmula'!K109)/('Fórmula'!C109+'Fórmula'!E109+'Fórmula'!G109+'Fórmula'!I109+'Fórmula'!K109))*(INDEX(properties!A$1:CB$87,'Fórmula'!J109,54))</f>
        <v>1311.35</v>
      </c>
      <c r="FI109" s="117">
        <f t="array" ref="FI109">'Fórmula'!C109*(INDEX(properties!A$1:CB$87,'Fórmula'!B109,54))+'Fórmula'!E109*(INDEX(properties!A$1:CB$87,'Fórmula'!D109,54))+'Fórmula'!G109*(INDEX(properties!A$1:CB$87,'Fórmula'!F109,54))+'Fórmula'!I109*(INDEX(properties!A$1:CB$87,'Fórmula'!H109,54))+'Fórmula'!K109*(INDEX(properties!A$1:CB$87,'Fórmula'!J109,54))</f>
        <v>6556.75</v>
      </c>
      <c r="FJ109" s="117">
        <f t="array" ref="FJ109">VARP(IF(INDEX(properties!A$1:CB$87,'Fórmula'!B109,54)&lt;&gt;"",INDEX(properties!A$1:CB$87,'Fórmula'!B109,54)),IF(INDEX(properties!A$1:CB$87,'Fórmula'!D109,54)&lt;&gt;"",INDEX(properties!A$1:CB$87,'Fórmula'!D109,54)),IF(INDEX(properties!A$1:CB$87,'Fórmula'!F109,54)&lt;&gt;"",INDEX(properties!A$1:CB$87,'Fórmula'!F109,54)),IF(INDEX(properties!A$1:CB$87,'Fórmula'!H109,54)&lt;&gt;"",INDEX(properties!A$1:CB$87,'Fórmula'!H109,54)),IF(INDEX(properties!A$1:CB$87,'Fórmula'!J109,54)&lt;&gt;"",INDEX(properties!A$1:CB$87,'Fórmula'!J109,54)))</f>
        <v>2391981.189</v>
      </c>
      <c r="FK109" s="117">
        <f t="array" ref="FK109">MAX(INDEX(properties!A$1:CB$87,'Fórmula'!B109,54),INDEX(properties!A$1:CB$87,'Fórmula'!D109,54),INDEX(properties!A$1:CB$87,'Fórmula'!F109,54),INDEX(properties!A$1:CB$87,'Fórmula'!H109,54),INDEX(properties!A$1:CB$87,'Fórmula'!J109,54))</f>
        <v>3546.15</v>
      </c>
      <c r="FL109" s="117">
        <f t="array" ref="FL109">MIN(IF(INDEX(properties!A$1:CB$87,'Fórmula'!B109,54)=0,10^6,INDEX(properties!A$1:CB$87,'Fórmula'!B109,54)),IF(INDEX(properties!A$1:CB$87,'Fórmula'!D109,54)=0,10^6,INDEX(properties!A$1:CB$87,'Fórmula'!D109,54)),IF(INDEX(properties!A$1:CB$87,'Fórmula'!F109,54)=0,10^6,INDEX(properties!A$1:CB$87,'Fórmula'!F109,54)),IF(INDEX(properties!A$1:CB$87,'Fórmula'!H109,54)=0,10^6,INDEX(properties!A$1:CB$87,'Fórmula'!H109,54)),IF(INDEX(properties!A$1:CB$87,'Fórmula'!J109,54)=0,10^6,INDEX(properties!A$1:CB$87,'Fórmula'!J109,54)))</f>
        <v>90.15</v>
      </c>
      <c r="FM109" s="117">
        <f t="shared" si="28"/>
        <v>3456</v>
      </c>
      <c r="FN109" s="118">
        <f t="array" ref="FN109">(('Fórmula'!C109)/('Fórmula'!C109+'Fórmula'!E109+'Fórmula'!G109+'Fórmula'!I109+'Fórmula'!K109))*(INDEX(properties!A$1:CB$87,'Fórmula'!B109,55))+(('Fórmula'!E109)/('Fórmula'!C109+'Fórmula'!E109+'Fórmula'!G109+'Fórmula'!I109+'Fórmula'!K109))*(INDEX(properties!A$1:CB$87,'Fórmula'!D109,55))+(('Fórmula'!G109)/('Fórmula'!C109+'Fórmula'!E109+'Fórmula'!G109+'Fórmula'!I109+'Fórmula'!K109))*(INDEX(properties!A$1:CB$87,'Fórmula'!F109,55))+(('Fórmula'!I109)/('Fórmula'!C109+'Fórmula'!E109+'Fórmula'!G109+'Fórmula'!I109+'Fórmula'!K109))*(INDEX(properties!A$1:CB$87,'Fórmula'!H109,55))+(('Fórmula'!K109)/('Fórmula'!C109+'Fórmula'!E109+'Fórmula'!G109+'Fórmula'!I109+'Fórmula'!K109))*(INDEX(properties!A$1:CB$87,'Fórmula'!J109,55))</f>
        <v>2.120858</v>
      </c>
      <c r="FO109" s="118">
        <f t="array" ref="FO109">'Fórmula'!C109*(INDEX(properties!A$1:CB$87,'Fórmula'!B109,55))+'Fórmula'!E109*(INDEX(properties!A$1:CB$87,'Fórmula'!D109,54))+'Fórmula'!G109*(INDEX(properties!A$1:CB$87,'Fórmula'!F109,55))+'Fórmula'!I109*(INDEX(properties!A$1:CB$87,'Fórmula'!H109,55))+'Fórmula'!K109*(INDEX(properties!A$1:CB$87,'Fórmula'!J109,55))</f>
        <v>2748.05429</v>
      </c>
      <c r="FP109" s="118">
        <f t="array" ref="FP109">VARP(IF(INDEX(properties!A$1:CB$87,'Fórmula'!B109,55)&lt;&gt;"",INDEX(properties!A$1:CB$87,'Fórmula'!B109,55)),IF(INDEX(properties!A$1:CB$87,'Fórmula'!D109,55)&lt;&gt;"",INDEX(properties!A$1:CB$87,'Fórmula'!D109,55)),IF(INDEX(properties!A$1:CB$87,'Fórmula'!F109,55)&lt;&gt;"",INDEX(properties!A$1:CB$87,'Fórmula'!F109,55)),IF(INDEX(properties!A$1:CB$87,'Fórmula'!H109,55)&lt;&gt;"",INDEX(properties!A$1:CB$87,'Fórmula'!H109,55)),IF(INDEX(properties!A$1:CB$87,'Fórmula'!J109,55)&lt;&gt;"",INDEX(properties!A$1:CB$87,'Fórmula'!J109,55)))</f>
        <v>9.444387687</v>
      </c>
      <c r="FQ109" s="118">
        <f t="array" ref="FQ109">MAX(INDEX(properties!A$1:CB$87,'Fórmula'!B109,55),INDEX(properties!A$1:CB$87,'Fórmula'!D109,55),INDEX(properties!A$1:CB$87,'Fórmula'!F109,55),INDEX(properties!A$1:CB$87,'Fórmula'!H109,55),INDEX(properties!A$1:CB$87,'Fórmula'!J109,55))</f>
        <v>7.9</v>
      </c>
      <c r="FR109" s="118">
        <f t="array" ref="FR109">MIN(IF(INDEX(properties!A$1:CB$87,'Fórmula'!B109,55)=0,10^6,INDEX(properties!A$1:CB$87,'Fórmula'!B109,55)),IF(INDEX(properties!A$1:CB$87,'Fórmula'!D109,55)=0,10^6,INDEX(properties!A$1:CB$87,'Fórmula'!D109,55)),IF(INDEX(properties!A$1:CB$87,'Fórmula'!F109,55)=0,10^6,INDEX(properties!A$1:CB$87,'Fórmula'!F109,55)),IF(INDEX(properties!A$1:CB$87,'Fórmula'!H109,55)=0,10^6,INDEX(properties!A$1:CB$87,'Fórmula'!H109,55)),IF(INDEX(properties!A$1:CB$87,'Fórmula'!J109,55)=0,10^6,INDEX(properties!A$1:CB$87,'Fórmula'!J109,55)))</f>
        <v>0.00143</v>
      </c>
      <c r="FS109" s="118">
        <f t="shared" si="29"/>
        <v>7.89857</v>
      </c>
      <c r="FT109" s="119">
        <f t="array" ref="FT109">(('Fórmula'!C109)/('Fórmula'!C109+'Fórmula'!E109+'Fórmula'!G109+'Fórmula'!I109+'Fórmula'!K109))*(INDEX(properties!A$1:CB$87,'Fórmula'!B109,56))+(('Fórmula'!E109)/('Fórmula'!C109+'Fórmula'!E109+'Fórmula'!G109+'Fórmula'!I109+'Fórmula'!K109))*(INDEX(properties!A$1:CB$87,'Fórmula'!D109,56))+(('Fórmula'!G109)/('Fórmula'!C109+'Fórmula'!E109+'Fórmula'!G109+'Fórmula'!I109+'Fórmula'!K109))*(INDEX(properties!A$1:CB$87,'Fórmula'!F109,56))+(('Fórmula'!I109)/('Fórmula'!C109+'Fórmula'!E109+'Fórmula'!G109+'Fórmula'!I109+'Fórmula'!K109))*(INDEX(properties!A$1:CB$87,'Fórmula'!H109,56))+(('Fórmula'!K109)/('Fórmula'!C109+'Fórmula'!E109+'Fórmula'!G109+'Fórmula'!I109+'Fórmula'!K109))*(INDEX(properties!A$1:CB$87,'Fórmula'!J109,56))</f>
        <v>0.778</v>
      </c>
      <c r="FU109" s="119">
        <f t="array" ref="FU109">'Fórmula'!C109*(INDEX(properties!A$1:CB$87,'Fórmula'!B109,56))+'Fórmula'!E109*(INDEX(properties!A$1:CB$87,'Fórmula'!D109,56))+'Fórmula'!G109*(INDEX(properties!A$1:CB$87,'Fórmula'!F109,56))+'Fórmula'!I109*(INDEX(properties!A$1:CB$87,'Fórmula'!H109,56))+'Fórmula'!K109*(INDEX(properties!A$1:CB$87,'Fórmula'!J109,56))</f>
        <v>3.89</v>
      </c>
      <c r="FV109" s="119">
        <f t="array" ref="FV109">VARP(IF(INDEX(properties!A$1:CB$87,'Fórmula'!B109,56)&lt;&gt;"",INDEX(properties!A$1:CB$87,'Fórmula'!B109,56)),IF(INDEX(properties!A$1:CB$87,'Fórmula'!D109,56)&lt;&gt;"",INDEX(properties!A$1:CB$87,'Fórmula'!D109,56)),IF(INDEX(properties!A$1:CB$87,'Fórmula'!F109,56)&lt;&gt;"",INDEX(properties!A$1:CB$87,'Fórmula'!F109,56)),IF(INDEX(properties!A$1:CB$87,'Fórmula'!H109,56)&lt;&gt;"",INDEX(properties!A$1:CB$87,'Fórmula'!H109,56)),IF(INDEX(properties!A$1:CB$87,'Fórmula'!J109,56)&lt;&gt;"",INDEX(properties!A$1:CB$87,'Fórmula'!J109,56)))</f>
        <v>0.17376</v>
      </c>
      <c r="FW109" s="119">
        <f t="array" ref="FW109">MAX(INDEX(properties!A$1:CB$87,'Fórmula'!B109,56),INDEX(properties!A$1:CB$87,'Fórmula'!D109,56),INDEX(properties!A$1:CB$87,'Fórmula'!F109,56),INDEX(properties!A$1:CB$87,'Fórmula'!H109,56),INDEX(properties!A$1:CB$87,'Fórmula'!J109,56))</f>
        <v>0.92</v>
      </c>
      <c r="FX109" s="119">
        <f t="array" ref="FX109">MIN(IF(INDEX(properties!A$1:CB$87,'Fórmula'!B109,56)=0,10^6,INDEX(properties!A$1:CB$87,'Fórmula'!B109,56)),IF(INDEX(properties!A$1:CB$87,'Fórmula'!D109,56)=0,10^6,INDEX(properties!A$1:CB$87,'Fórmula'!D109,56)),IF(INDEX(properties!A$1:CB$87,'Fórmula'!F109,56)=0,10^6,INDEX(properties!A$1:CB$87,'Fórmula'!F109,56)),IF(INDEX(properties!A$1:CB$87,'Fórmula'!H109,56)=0,10^6,INDEX(properties!A$1:CB$87,'Fórmula'!H109,56)),IF(INDEX(properties!A$1:CB$87,'Fórmula'!J109,56)=0,10^6,INDEX(properties!A$1:CB$87,'Fórmula'!J109,56)))</f>
        <v>0.23</v>
      </c>
      <c r="FY109" s="119">
        <f t="shared" si="30"/>
        <v>0.69</v>
      </c>
      <c r="FZ109" s="104">
        <f t="array" ref="FZ109">(('Fórmula'!C109)/('Fórmula'!C109+'Fórmula'!E109+'Fórmula'!G109+'Fórmula'!I109+'Fórmula'!K109))*(INDEX(properties!A$1:CB$87,'Fórmula'!B109,57))+(('Fórmula'!E109)/('Fórmula'!C109+'Fórmula'!E109+'Fórmula'!G109+'Fórmula'!I109+'Fórmula'!K109))*(INDEX(properties!A$1:CB$87,'Fórmula'!D109,57))+(('Fórmula'!G109)/('Fórmula'!C109+'Fórmula'!E109+'Fórmula'!G109+'Fórmula'!I109+'Fórmula'!K109))*(INDEX(properties!A$1:CB$87,'Fórmula'!F109,57))+(('Fórmula'!I109)/('Fórmula'!C109+'Fórmula'!E109+'Fórmula'!G109+'Fórmula'!I109+'Fórmula'!K109))*(INDEX(properties!A$1:CB$87,'Fórmula'!H109,57))+(('Fórmula'!K109)/('Fórmula'!C109+'Fórmula'!E109+'Fórmula'!G109+'Fórmula'!I109+'Fórmula'!K109))*(INDEX(properties!A$1:CB$87,'Fórmula'!J109,57))</f>
        <v>4.301554</v>
      </c>
      <c r="GA109" s="104">
        <f t="array" ref="GA109">'Fórmula'!C109*(INDEX(properties!A$1:CB$87,'Fórmula'!B109,57))+'Fórmula'!E109*(INDEX(properties!A$1:CB$87,'Fórmula'!D109,57))+'Fórmula'!G109*(INDEX(properties!A$1:CB$87,'Fórmula'!F109,57))+'Fórmula'!I109*(INDEX(properties!A$1:CB$87,'Fórmula'!H109,57))+'Fórmula'!K109*(INDEX(properties!A$1:CB$87,'Fórmula'!J109,57))</f>
        <v>21.50777</v>
      </c>
      <c r="GB109" s="104">
        <f t="array" ref="GB109">VARP(IF(INDEX(properties!A$1:CB$87,'Fórmula'!B109,57)&lt;&gt;"",INDEX(properties!A$1:CB$87,'Fórmula'!B109,57)),IF(INDEX(properties!A$1:CB$87,'Fórmula'!D109,57)&lt;&gt;"",INDEX(properties!A$1:CB$87,'Fórmula'!D109,57)),IF(INDEX(properties!A$1:CB$87,'Fórmula'!F109,57)&lt;&gt;"",INDEX(properties!A$1:CB$87,'Fórmula'!F109,57)),IF(INDEX(properties!A$1:CB$87,'Fórmula'!H109,57)&lt;&gt;"",INDEX(properties!A$1:CB$87,'Fórmula'!H109,57)),IF(INDEX(properties!A$1:CB$87,'Fórmula'!J109,57)&lt;&gt;"",INDEX(properties!A$1:CB$87,'Fórmula'!J109,57)))</f>
        <v>25.74992136</v>
      </c>
      <c r="GC109" s="104">
        <f t="array" ref="GC109">MAX(INDEX(properties!A$1:CB$87,'Fórmula'!B109,57),INDEX(properties!A$1:CB$87,'Fórmula'!D109,57),INDEX(properties!A$1:CB$87,'Fórmula'!F109,57),INDEX(properties!A$1:CB$87,'Fórmula'!H109,57),INDEX(properties!A$1:CB$87,'Fórmula'!J109,57))</f>
        <v>10.79</v>
      </c>
      <c r="GD109" s="104">
        <f t="array" ref="GD109">MIN(IF(INDEX(properties!A$1:CB$87,'Fórmula'!B109,57)=0,10^6,INDEX(properties!A$1:CB$87,'Fórmula'!B109,57)),IF(INDEX(properties!A$1:CB$87,'Fórmula'!D109,57)=0,10^6,INDEX(properties!A$1:CB$87,'Fórmula'!D109,57)),IF(INDEX(properties!A$1:CB$87,'Fórmula'!F109,57)=0,10^6,INDEX(properties!A$1:CB$87,'Fórmula'!F109,57)),IF(INDEX(properties!A$1:CB$87,'Fórmula'!H109,57)=0,10^6,INDEX(properties!A$1:CB$87,'Fórmula'!H109,57)),IF(INDEX(properties!A$1:CB$87,'Fórmula'!J109,57)=0,10^6,INDEX(properties!A$1:CB$87,'Fórmula'!J109,57)))</f>
        <v>0.22259</v>
      </c>
      <c r="GE109" s="104">
        <f t="shared" si="31"/>
        <v>10.56741</v>
      </c>
      <c r="GF109" s="105">
        <f t="array" ref="GF109">(('Fórmula'!C109)/('Fórmula'!C109+'Fórmula'!E109+'Fórmula'!G109+'Fórmula'!I109+'Fórmula'!K109))*(INDEX(properties!A$1:CB$87,'Fórmula'!B109,60))+(('Fórmula'!E109)/('Fórmula'!C109+'Fórmula'!E109+'Fórmula'!G109+'Fórmula'!I109+'Fórmula'!K109))*(INDEX(properties!A$1:CB$87,'Fórmula'!D109,60))+(('Fórmula'!G109)/('Fórmula'!C109+'Fórmula'!E109+'Fórmula'!G109+'Fórmula'!I109+'Fórmula'!K109))*(INDEX(properties!A$1:CB$87,'Fórmula'!F109,60))+(('Fórmula'!I109)/('Fórmula'!C109+'Fórmula'!E109+'Fórmula'!G109+'Fórmula'!I109+'Fórmula'!K109))*(INDEX(properties!A$1:CB$87,'Fórmula'!H109,60))+(('Fórmula'!K109)/('Fórmula'!C109+'Fórmula'!E109+'Fórmula'!G109+'Fórmula'!I109+'Fórmula'!K109))*(INDEX(properties!A$1:CB$87,'Fórmula'!J109,60))</f>
        <v>49.536044</v>
      </c>
      <c r="GG109" s="105">
        <f t="array" ref="GG109">'Fórmula'!C109*(INDEX(properties!A$1:CB$87,'Fórmula'!B109,60))+'Fórmula'!E109*(INDEX(properties!A$1:CB$87,'Fórmula'!D109,60))+'Fórmula'!G109*(INDEX(properties!A$1:CB$87,'Fórmula'!F109,60))+'Fórmula'!I109*(INDEX(properties!A$1:CB$87,'Fórmula'!H109,60))+'Fórmula'!K109*(INDEX(properties!A$1:CB$87,'Fórmula'!J109,60))</f>
        <v>247.68022</v>
      </c>
      <c r="GH109" s="105">
        <f t="array" ref="GH109">VARP(IF(INDEX(properties!A$1:CB$87,'Fórmula'!B109,60)&lt;&gt;"",INDEX(properties!A$1:CB$87,'Fórmula'!B109,60)),IF(INDEX(properties!A$1:CB$87,'Fórmula'!D109,60)&lt;&gt;"",INDEX(properties!A$1:CB$87,'Fórmula'!D109,60)),IF(INDEX(properties!A$1:CB$87,'Fórmula'!F109,60)&lt;&gt;"",INDEX(properties!A$1:CB$87,'Fórmula'!F109,60)),IF(INDEX(properties!A$1:CB$87,'Fórmula'!H109,60)&lt;&gt;"",INDEX(properties!A$1:CB$87,'Fórmula'!H109,60)),IF(INDEX(properties!A$1:CB$87,'Fórmula'!J109,60)&lt;&gt;"",INDEX(properties!A$1:CB$87,'Fórmula'!J109,60)))</f>
        <v>8803.512048</v>
      </c>
      <c r="GI109" s="105">
        <f t="array" ref="GI109">MAX(INDEX(properties!A$1:CB$87,'Fórmula'!B109,60),INDEX(properties!A$1:CB$87,'Fórmula'!D109,60),INDEX(properties!A$1:CB$87,'Fórmula'!F109,60),INDEX(properties!A$1:CB$87,'Fórmula'!H109,60),INDEX(properties!A$1:CB$87,'Fórmula'!J109,60))</f>
        <v>237</v>
      </c>
      <c r="GJ109" s="105">
        <f t="array" ref="GJ109">MIN(IF(INDEX(properties!A$1:CB$87,'Fórmula'!B109,60)=0,10^6,INDEX(properties!A$1:CB$87,'Fórmula'!B109,60)),IF(INDEX(properties!A$1:CB$87,'Fórmula'!D109,60)=0,10^6,INDEX(properties!A$1:CB$87,'Fórmula'!D109,60)),IF(INDEX(properties!A$1:CB$87,'Fórmula'!F109,60)=0,10^6,INDEX(properties!A$1:CB$87,'Fórmula'!F109,60)),IF(INDEX(properties!A$1:CB$87,'Fórmula'!H109,60)=0,10^6,INDEX(properties!A$1:CB$87,'Fórmula'!H109,60)),IF(INDEX(properties!A$1:CB$87,'Fórmula'!J109,60)=0,10^6,INDEX(properties!A$1:CB$87,'Fórmula'!J109,60)))</f>
        <v>0.02674</v>
      </c>
      <c r="GK109" s="105">
        <f t="shared" si="32"/>
        <v>236.97326</v>
      </c>
      <c r="GL109" s="106">
        <f t="array" ref="GL109">(('Fórmula'!C109)/('Fórmula'!C109+'Fórmula'!E109+'Fórmula'!G109+'Fórmula'!I109+'Fórmula'!K109))*(INDEX(properties!A$1:CB$87,'Fórmula'!B109,62))+(('Fórmula'!E109)/('Fórmula'!C109+'Fórmula'!E109+'Fórmula'!G109+'Fórmula'!I109+'Fórmula'!K109))*(INDEX(properties!A$1:CB$87,'Fórmula'!D109,62))+(('Fórmula'!G109)/('Fórmula'!C109+'Fórmula'!E109+'Fórmula'!G109+'Fórmula'!I109+'Fórmula'!K109))*(INDEX(properties!A$1:CB$87,'Fórmula'!F109,62))+(('Fórmula'!I109)/('Fórmula'!C109+'Fórmula'!E109+'Fórmula'!G109+'Fórmula'!I109+'Fórmula'!K109))*(INDEX(properties!A$1:CB$87,'Fórmula'!H109,62))+(('Fórmula'!K109)/('Fórmula'!C109+'Fórmula'!E109+'Fórmula'!G109+'Fórmula'!I109+'Fórmula'!K109))*(INDEX(properties!A$1:CB$87,'Fórmula'!J109,62))</f>
        <v>3.078</v>
      </c>
      <c r="GM109" s="106">
        <f t="array" ref="GM109">'Fórmula'!C109*(INDEX(properties!A$1:CB$87,'Fórmula'!B109,62))+'Fórmula'!E109*(INDEX(properties!A$1:CB$87,'Fórmula'!D109,62))+'Fórmula'!G109*(INDEX(properties!A$1:CB$87,'Fórmula'!F109,62))+'Fórmula'!I109*(INDEX(properties!A$1:CB$87,'Fórmula'!H109,62))+'Fórmula'!K109*(INDEX(properties!A$1:CB$87,'Fórmula'!J109,62))</f>
        <v>15.39</v>
      </c>
      <c r="GN109" s="106">
        <f t="array" ref="GN109">VARP(IF(INDEX(properties!A$1:CB$87,'Fórmula'!B109,62)&lt;&gt;"",INDEX(properties!A$1:CB$87,'Fórmula'!B109,62)),IF(INDEX(properties!A$1:CB$87,'Fórmula'!D109,62)&lt;&gt;"",INDEX(properties!A$1:CB$87,'Fórmula'!D109,62)),IF(INDEX(properties!A$1:CB$87,'Fórmula'!F109,62)&lt;&gt;"",INDEX(properties!A$1:CB$87,'Fórmula'!F109,62)),IF(INDEX(properties!A$1:CB$87,'Fórmula'!H109,62)&lt;&gt;"",INDEX(properties!A$1:CB$87,'Fórmula'!H109,62)),IF(INDEX(properties!A$1:CB$87,'Fórmula'!J109,62)&lt;&gt;"",INDEX(properties!A$1:CB$87,'Fórmula'!J109,62)))</f>
        <v>2.97832</v>
      </c>
      <c r="GO109" s="106">
        <f t="array" ref="GO109">MAX(INDEX(properties!A$1:CB$87,'Fórmula'!B109,62),INDEX(properties!A$1:CB$87,'Fórmula'!D109,62),INDEX(properties!A$1:CB$87,'Fórmula'!F109,62),INDEX(properties!A$1:CB$87,'Fórmula'!H109,62),INDEX(properties!A$1:CB$87,'Fórmula'!J109,62))</f>
        <v>4.14</v>
      </c>
      <c r="GP109" s="106">
        <f t="array" ref="GP109">MIN(IF(INDEX(properties!A$1:CB$87,'Fórmula'!B109,62)=0,10^6,INDEX(properties!A$1:CB$87,'Fórmula'!B109,62)),IF(INDEX(properties!A$1:CB$87,'Fórmula'!D109,62)=0,10^6,INDEX(properties!A$1:CB$87,'Fórmula'!D109,62)),IF(INDEX(properties!A$1:CB$87,'Fórmula'!F109,62)=0,10^6,INDEX(properties!A$1:CB$87,'Fórmula'!F109,62)),IF(INDEX(properties!A$1:CB$87,'Fórmula'!H109,62)=0,10^6,INDEX(properties!A$1:CB$87,'Fórmula'!H109,62)),IF(INDEX(properties!A$1:CB$87,'Fórmula'!J109,62)=0,10^6,INDEX(properties!A$1:CB$87,'Fórmula'!J109,62)))</f>
        <v>2.62</v>
      </c>
      <c r="GQ109" s="106">
        <f t="shared" si="33"/>
        <v>1.52</v>
      </c>
      <c r="GR109" s="106">
        <f>'Fórmula'!Q109</f>
        <v>62</v>
      </c>
      <c r="GS109" s="107">
        <f>'Fórmula'!P109</f>
        <v>3</v>
      </c>
      <c r="GT109" s="113">
        <f>'Fórmula'!O109</f>
        <v>7.45</v>
      </c>
      <c r="GU109" s="114">
        <f>AVERAGE('Fórmula'!R109/'Fórmula'!S109,'Fórmula'!S109/'Fórmula'!T109,'Fórmula'!T109/'Fórmula'!R109)</f>
        <v>1.040185874</v>
      </c>
      <c r="GV109" s="125">
        <f>'Fórmula'!U109</f>
        <v>207.17</v>
      </c>
      <c r="GW109" s="106">
        <f>'Fórmula'!N109</f>
        <v>0.05</v>
      </c>
    </row>
    <row r="110" ht="14.25" customHeight="1">
      <c r="A110" s="99" t="str">
        <f>'Fórmula'!A110</f>
        <v>La10Si6O27</v>
      </c>
      <c r="B110" s="101">
        <f t="array" ref="B110">(('Fórmula'!C110)/('Fórmula'!C110+'Fórmula'!E110+'Fórmula'!G110+'Fórmula'!I110+'Fórmula'!K110))*(INDEX(properties!A$1:CB$87,'Fórmula'!B110,3))+(('Fórmula'!E110)/('Fórmula'!C110+'Fórmula'!E110+'Fórmula'!G110+'Fórmula'!I110+'Fórmula'!K110))*(INDEX(properties!A$1:CB$87,'Fórmula'!D110,3))+(('Fórmula'!G110)/('Fórmula'!C110+'Fórmula'!E110+'Fórmula'!G110+'Fórmula'!I110+'Fórmula'!K110))*(INDEX(properties!A$1:CB$87,'Fórmula'!F110,3))+(('Fórmula'!I110)/('Fórmula'!C110+'Fórmula'!E110+'Fórmula'!G110+'Fórmula'!I110+'Fórmula'!K110))*(INDEX(properties!A$1:CB$87,'Fórmula'!H110,3))+(('Fórmula'!K110)/('Fórmula'!C110+'Fórmula'!E110+'Fórmula'!G110+'Fórmula'!I110+'Fórmula'!K110))*(INDEX(properties!A$1:CB$87,'Fórmula'!J110,3))</f>
        <v>46.26864651</v>
      </c>
      <c r="C110" s="101">
        <f t="array" ref="C110">'Fórmula'!C110*(INDEX(properties!A$1:CB$87,'Fórmula'!B110,3))+'Fórmula'!E110*(INDEX(properties!A$1:CB$87,'Fórmula'!D110,3))+'Fórmula'!G110*(INDEX(properties!A$1:CB$87,'Fórmula'!F110,3))+'Fórmula'!I110*(INDEX(properties!A$1:CB$87,'Fórmula'!H110,3))+'Fórmula'!K110*(INDEX(properties!A$1:CB$87,'Fórmula'!J110,3))</f>
        <v>1989.5518</v>
      </c>
      <c r="D110" s="101">
        <f t="array" ref="D110">VARP(IF(INDEX(properties!A$1:CB$87,'Fórmula'!B110,3)&lt;&gt;"",INDEX(properties!A$1:CB$87,'Fórmula'!B110,3)),IF(INDEX(properties!A$1:CB$87,'Fórmula'!D110,3)&lt;&gt;"",INDEX(properties!A$1:CB$87,'Fórmula'!D110,3)),IF(INDEX(properties!A$1:CB$87,'Fórmula'!F110,3)&lt;&gt;"",INDEX(properties!A$1:CB$87,'Fórmula'!F110,3)),IF(INDEX(properties!A$1:CB$87,'Fórmula'!H110,3)&lt;&gt;"",INDEX(properties!A$1:CB$87,'Fórmula'!H110,3)),IF(INDEX(properties!A$1:CB$87,'Fórmula'!J110,3)&lt;&gt;"",INDEX(properties!A$1:CB$87,'Fórmula'!J110,3)))</f>
        <v>2728.483348</v>
      </c>
      <c r="E110" s="101">
        <f t="array" ref="E110">MAX(INDEX(properties!A$1:CB$87,'Fórmula'!B110,3),INDEX(properties!A$1:CB$87,'Fórmula'!D110,3),INDEX(properties!A$1:CB$87,'Fórmula'!F110,3),INDEX(properties!A$1:CB$87,'Fórmula'!H110,3),INDEX(properties!A$1:CB$87,'Fórmula'!J110,3))</f>
        <v>138.9055</v>
      </c>
      <c r="F110" s="101">
        <f t="array" ref="F110">MIN(IF(INDEX(properties!A$1:CB$87,'Fórmula'!B110,3)=0,10^6,INDEX(properties!A$1:CB$87,'Fórmula'!B110,3)),IF(INDEX(properties!A$1:CB$87,'Fórmula'!D110,3)=0,10^6,INDEX(properties!A$1:CB$87,'Fórmula'!D110,3)),IF(INDEX(properties!A$1:CB$87,'Fórmula'!F110,3)=0,10^6,INDEX(properties!A$1:CB$87,'Fórmula'!F110,3)),IF(INDEX(properties!A$1:CB$87,'Fórmula'!H110,3)=0,10^6,INDEX(properties!A$1:CB$87,'Fórmula'!H110,3)),IF(INDEX(properties!A$1:CB$87,'Fórmula'!J110,3)=0,10^6,INDEX(properties!A$1:CB$87,'Fórmula'!J110,3)))</f>
        <v>15.9994</v>
      </c>
      <c r="G110" s="101">
        <f t="shared" si="1"/>
        <v>122.9061</v>
      </c>
      <c r="H110" s="102">
        <f t="array" ref="H110">(('Fórmula'!C110)/('Fórmula'!C110+'Fórmula'!E110+'Fórmula'!G110+'Fórmula'!I110+'Fórmula'!K110))*(INDEX(properties!A$1:CB$87,'Fórmula'!B110,4))+(('Fórmula'!E110)/('Fórmula'!C110+'Fórmula'!E110+'Fórmula'!G110+'Fórmula'!I110+'Fórmula'!K110))*(INDEX(properties!A$1:CB$87,'Fórmula'!D110,4))+(('Fórmula'!G110)/('Fórmula'!C110+'Fórmula'!E110+'Fórmula'!G110+'Fórmula'!I110+'Fórmula'!K110))*(INDEX(properties!A$1:CB$87,'Fórmula'!F110,4))+(('Fórmula'!I110)/('Fórmula'!C110+'Fórmula'!E110+'Fórmula'!G110+'Fórmula'!I110+'Fórmula'!K110))*(INDEX(properties!A$1:CB$87,'Fórmula'!H110,4))+(('Fórmula'!K110)/('Fórmula'!C110+'Fórmula'!E110+'Fórmula'!G110+'Fórmula'!I110+'Fórmula'!K110))*(INDEX(properties!A$1:CB$87,'Fórmula'!J110,4))</f>
        <v>20.23255814</v>
      </c>
      <c r="I110" s="102">
        <f t="array" ref="I110">'Fórmula'!C110*(INDEX(properties!A$1:CB$87,'Fórmula'!B110,4))+'Fórmula'!E110*(INDEX(properties!A$1:CB$87,'Fórmula'!D110,4))+'Fórmula'!G110*(INDEX(properties!A$1:CB$87,'Fórmula'!F110,4))+'Fórmula'!I110*(INDEX(properties!A$1:CB$87,'Fórmula'!H110,4))+'Fórmula'!K110*(INDEX(properties!A$1:CB$87,'Fórmula'!J110,4))</f>
        <v>870</v>
      </c>
      <c r="J110" s="102">
        <f t="array" ref="J110">VARP(IF(INDEX(properties!A$1:CB$87,'Fórmula'!B110,4)&lt;&gt;"",INDEX(properties!A$1:CB$87,'Fórmula'!B110,4)),IF(INDEX(properties!A$1:CB$87,'Fórmula'!D110,4)&lt;&gt;"",INDEX(properties!A$1:CB$87,'Fórmula'!D110,4)),IF(INDEX(properties!A$1:CB$87,'Fórmula'!F110,4)&lt;&gt;"",INDEX(properties!A$1:CB$87,'Fórmula'!F110,4)),IF(INDEX(properties!A$1:CB$87,'Fórmula'!H110,4)&lt;&gt;"",INDEX(properties!A$1:CB$87,'Fórmula'!H110,4)),IF(INDEX(properties!A$1:CB$87,'Fórmula'!J110,4)&lt;&gt;"",INDEX(properties!A$1:CB$87,'Fórmula'!J110,4)))</f>
        <v>452.16</v>
      </c>
      <c r="K110" s="102">
        <f t="array" ref="K110">MAX(INDEX(properties!A$1:CB$87,'Fórmula'!B110,4),INDEX(properties!A$1:CB$87,'Fórmula'!D110,4),INDEX(properties!A$1:CB$87,'Fórmula'!F110,4),INDEX(properties!A$1:CB$87,'Fórmula'!H110,4),INDEX(properties!A$1:CB$87,'Fórmula'!J110,4))</f>
        <v>57</v>
      </c>
      <c r="L110" s="102">
        <f t="array" ref="L110">MIN(IF(INDEX(properties!A$1:CB$87,'Fórmula'!B110,4)=0,10^6,INDEX(properties!A$1:CB$87,'Fórmula'!B110,4)),IF(INDEX(properties!A$1:CB$87,'Fórmula'!D110,4)=0,10^6,INDEX(properties!A$1:CB$87,'Fórmula'!D110,4)),IF(INDEX(properties!A$1:CB$87,'Fórmula'!F110,4)=0,10^6,INDEX(properties!A$1:CB$87,'Fórmula'!F110,4)),IF(INDEX(properties!A$1:CB$87,'Fórmula'!H110,4)=0,10^6,INDEX(properties!A$1:CB$87,'Fórmula'!H110,4)),IF(INDEX(properties!A$1:CB$87,'Fórmula'!J110,4)=0,10^6,INDEX(properties!A$1:CB$87,'Fórmula'!J110,4)))</f>
        <v>8</v>
      </c>
      <c r="M110" s="102">
        <f t="shared" si="2"/>
        <v>49</v>
      </c>
      <c r="N110" s="103">
        <f t="array" ref="N110">(('Fórmula'!C110)/('Fórmula'!C110+'Fórmula'!E110+'Fórmula'!G110+'Fórmula'!I110+'Fórmula'!K110))*(INDEX(properties!A$1:CB$87,'Fórmula'!B110,5))+(('Fórmula'!E110)/('Fórmula'!C110+'Fórmula'!E110+'Fórmula'!G110+'Fórmula'!I110+'Fórmula'!K110))*(INDEX(properties!A$1:CB$87,'Fórmula'!D110,5))+(('Fórmula'!G110)/('Fórmula'!C110+'Fórmula'!E110+'Fórmula'!G110+'Fórmula'!I110+'Fórmula'!K110))*(INDEX(properties!A$1:CB$87,'Fórmula'!F110,5))+(('Fórmula'!I110)/('Fórmula'!C110+'Fórmula'!E110+'Fórmula'!G110+'Fórmula'!I110+'Fórmula'!K110))*(INDEX(properties!A$1:CB$87,'Fórmula'!H110,5))+(('Fórmula'!K110)/('Fórmula'!C110+'Fórmula'!E110+'Fórmula'!G110+'Fórmula'!I110+'Fórmula'!K110))*(INDEX(properties!A$1:CB$87,'Fórmula'!J110,5))</f>
        <v>3.069767442</v>
      </c>
      <c r="O110" s="103">
        <f t="array" ref="O110">'Fórmula'!C110*(INDEX(properties!A$1:CB$87,'Fórmula'!B110,5))+'Fórmula'!E110*(INDEX(properties!A$1:CB$87,'Fórmula'!D110,5))+'Fórmula'!G110*(INDEX(properties!A$1:CB$87,'Fórmula'!F110,5))+'Fórmula'!I110*(INDEX(properties!A$1:CB$87,'Fórmula'!H110,5))+'Fórmula'!K110*(INDEX(properties!A$1:CB$87,'Fórmula'!J110,5))</f>
        <v>132</v>
      </c>
      <c r="P110" s="103">
        <f t="array" ref="P110">VARP(IF(INDEX(properties!A$1:CB$87,'Fórmula'!B110,5)&lt;&gt;"",INDEX(properties!A$1:CB$87,'Fórmula'!B110,5)),IF(INDEX(properties!A$1:CB$87,'Fórmula'!D110,5)&lt;&gt;"",INDEX(properties!A$1:CB$87,'Fórmula'!D110,5)),IF(INDEX(properties!A$1:CB$87,'Fórmula'!F110,5)&lt;&gt;"",INDEX(properties!A$1:CB$87,'Fórmula'!F110,5)),IF(INDEX(properties!A$1:CB$87,'Fórmula'!H110,5)&lt;&gt;"",INDEX(properties!A$1:CB$87,'Fórmula'!H110,5)),IF(INDEX(properties!A$1:CB$87,'Fórmula'!J110,5)&lt;&gt;"",INDEX(properties!A$1:CB$87,'Fórmula'!J110,5)))</f>
        <v>4.96</v>
      </c>
      <c r="Q110" s="103">
        <f t="array" ref="Q110">MAX(INDEX(properties!A$1:CB$87,'Fórmula'!B110,5),INDEX(properties!A$1:CB$87,'Fórmula'!D110,5),INDEX(properties!A$1:CB$87,'Fórmula'!F110,5),INDEX(properties!A$1:CB$87,'Fórmula'!H110,5),INDEX(properties!A$1:CB$87,'Fórmula'!J110,5))</f>
        <v>6</v>
      </c>
      <c r="R110" s="103">
        <f t="array" ref="R110">MIN(IF(INDEX(properties!A$1:CB$87,'Fórmula'!B110,5)=0,10^6,INDEX(properties!A$1:CB$87,'Fórmula'!B110,5)),IF(INDEX(properties!A$1:CB$87,'Fórmula'!D110,5)=0,10^6,INDEX(properties!A$1:CB$87,'Fórmula'!D110,5)),IF(INDEX(properties!A$1:CB$87,'Fórmula'!F110,5)=0,10^6,INDEX(properties!A$1:CB$87,'Fórmula'!F110,5)),IF(INDEX(properties!A$1:CB$87,'Fórmula'!H110,5)=0,10^6,INDEX(properties!A$1:CB$87,'Fórmula'!H110,5)),IF(INDEX(properties!A$1:CB$87,'Fórmula'!J110,5)=0,10^6,INDEX(properties!A$1:CB$87,'Fórmula'!J110,5)))</f>
        <v>2</v>
      </c>
      <c r="S110" s="103">
        <f t="shared" si="3"/>
        <v>4</v>
      </c>
      <c r="T110" s="104">
        <f t="array" ref="T110">(('Fórmula'!C110)/('Fórmula'!C110+'Fórmula'!E110+'Fórmula'!G110+'Fórmula'!I110+'Fórmula'!K110))*(INDEX(properties!A$1:CB$87,'Fórmula'!B110,6))+(('Fórmula'!E110)/('Fórmula'!C110+'Fórmula'!E110+'Fórmula'!G110+'Fórmula'!I110+'Fórmula'!K110))*(INDEX(properties!A$1:CB$87,'Fórmula'!D110,6))+(('Fórmula'!G110)/('Fórmula'!C110+'Fórmula'!E110+'Fórmula'!G110+'Fórmula'!I110+'Fórmula'!K110))*(INDEX(properties!A$1:CB$87,'Fórmula'!F110,6))+(('Fórmula'!I110)/('Fórmula'!C110+'Fórmula'!E110+'Fórmula'!G110+'Fórmula'!I110+'Fórmula'!K110))*(INDEX(properties!A$1:CB$87,'Fórmula'!H110,6))+(('Fórmula'!K110)/('Fórmula'!C110+'Fórmula'!E110+'Fórmula'!G110+'Fórmula'!I110+'Fórmula'!K110))*(INDEX(properties!A$1:CB$87,'Fórmula'!J110,6))</f>
        <v>12.69767442</v>
      </c>
      <c r="U110" s="104">
        <f t="array" ref="U110">'Fórmula'!C110*(INDEX(properties!A$1:CB$87,'Fórmula'!B110,6))+'Fórmula'!E110*(INDEX(properties!A$1:CB$87,'Fórmula'!D110,6))+'Fórmula'!G110*(INDEX(properties!A$1:CB$87,'Fórmula'!F110,6))+'Fórmula'!I110*(INDEX(properties!A$1:CB$87,'Fórmula'!H110,6))+'Fórmula'!K110*(INDEX(properties!A$1:CB$87,'Fórmula'!J110,6))</f>
        <v>546</v>
      </c>
      <c r="V110" s="103">
        <f t="array" ref="V110">VARP(IF(INDEX(properties!A$1:CB$87,'Fórmula'!B110,6)&lt;&gt;"",INDEX(properties!A$1:CB$87,'Fórmula'!B110,6)),IF(INDEX(properties!A$1:CB$87,'Fórmula'!D110,6)&lt;&gt;"",INDEX(properties!A$1:CB$87,'Fórmula'!D110,6)),IF(INDEX(properties!A$1:CB$87,'Fórmula'!F110,6)&lt;&gt;"",INDEX(properties!A$1:CB$87,'Fórmula'!F110,6)),IF(INDEX(properties!A$1:CB$87,'Fórmula'!H110,6)&lt;&gt;"",INDEX(properties!A$1:CB$87,'Fórmula'!H110,6)),IF(INDEX(properties!A$1:CB$87,'Fórmula'!J110,6)&lt;&gt;"",INDEX(properties!A$1:CB$87,'Fórmula'!J110,6)))</f>
        <v>48.64</v>
      </c>
      <c r="W110" s="104">
        <f t="array" ref="W110">MAX(INDEX(properties!A$1:CB$87,'Fórmula'!B110,6),INDEX(properties!A$1:CB$87,'Fórmula'!D110,6),INDEX(properties!A$1:CB$87,'Fórmula'!F110,6),INDEX(properties!A$1:CB$87,'Fórmula'!H110,4),INDEX(properties!A$1:CB$87,'Fórmula'!J110,6))</f>
        <v>16</v>
      </c>
      <c r="X110" s="104">
        <f t="array" ref="X110">MIN(IF(INDEX(properties!A$1:CB$87,'Fórmula'!B110,6)=0,10^6,INDEX(properties!A$1:CB$87,'Fórmula'!B110,6)),IF(INDEX(properties!A$1:CB$87,'Fórmula'!D110,6)=0,10^6,INDEX(properties!A$1:CB$87,'Fórmula'!D110,6)),IF(INDEX(properties!A$1:CB$87,'Fórmula'!F110,6)=0,10^6,INDEX(properties!A$1:CB$87,'Fórmula'!F110,6)),IF(INDEX(properties!A$1:CB$87,'Fórmula'!H110,6)=0,10^6,INDEX(properties!A$1:CB$87,'Fórmula'!H110,6)),IF(INDEX(properties!A$1:CB$87,'Fórmula'!J110,6)=0,10^6,INDEX(properties!A$1:CB$87,'Fórmula'!J110,6)))</f>
        <v>3</v>
      </c>
      <c r="Y110" s="104">
        <f t="shared" si="4"/>
        <v>13</v>
      </c>
      <c r="Z110" s="105">
        <f t="array" ref="Z110">(('Fórmula'!C110)/('Fórmula'!C110+'Fórmula'!E110+'Fórmula'!G110+'Fórmula'!I110+'Fórmula'!K110))*(INDEX(properties!A$1:CB$87,'Fórmula'!B110,9))+(('Fórmula'!E110)/('Fórmula'!C110+'Fórmula'!E110+'Fórmula'!G110+'Fórmula'!I110+'Fórmula'!K110))*(INDEX(properties!A$1:CB$87,'Fórmula'!D110,9))+(('Fórmula'!G110)/('Fórmula'!C110+'Fórmula'!E110+'Fórmula'!G110+'Fórmula'!I110+'Fórmula'!K110))*(INDEX(properties!A$1:CB$87,'Fórmula'!F110,9))+(('Fórmula'!I110)/('Fórmula'!C110+'Fórmula'!E110+'Fórmula'!G110+'Fórmula'!I110+'Fórmula'!K110))*(INDEX(properties!A$1:CB$87,'Fórmula'!H110,9))+(('Fórmula'!K110)/('Fórmula'!C110+'Fórmula'!E110+'Fórmula'!G110+'Fórmula'!I110+'Fórmula'!K110))*(INDEX(properties!A$1:CB$87,'Fórmula'!J110,9))</f>
        <v>68.53488372</v>
      </c>
      <c r="AA110" s="105">
        <f t="array" ref="AA110">'Fórmula'!C110*(INDEX(properties!A$1:CB$87,'Fórmula'!B110,9))+'Fórmula'!E110*(INDEX(properties!A$1:CB$87,'Fórmula'!D110,9))+'Fórmula'!G110*(INDEX(properties!A$1:CB$87,'Fórmula'!F110,9))+'Fórmula'!I110*(INDEX(properties!A$1:CB$87,'Fórmula'!H110,9))+'Fórmula'!K110*(INDEX(properties!A$1:CB$87,'Fórmula'!J110,9))</f>
        <v>2947</v>
      </c>
      <c r="AB110" s="105">
        <f t="array" ref="AB110">VARP(IF(INDEX(properties!A$1:CB$87,'Fórmula'!B110,9)&lt;&gt;"",INDEX(properties!A$1:CB$87,'Fórmula'!B110,9)),IF(INDEX(properties!A$1:CB$87,'Fórmula'!D110,9)&lt;&gt;"",INDEX(properties!A$1:CB$87,'Fórmula'!D110,9)),IF(INDEX(properties!A$1:CB$87,'Fórmula'!F110,9)&lt;&gt;"",INDEX(properties!A$1:CB$87,'Fórmula'!F110,9)),IF(INDEX(properties!A$1:CB$87,'Fórmula'!H110,9)&lt;&gt;"",INDEX(properties!A$1:CB$87,'Fórmula'!H110,9)),IF(INDEX(properties!A$1:CB$87,'Fórmula'!J110,9)&lt;&gt;"",INDEX(properties!A$1:CB$87,'Fórmula'!J110,9)))</f>
        <v>1497.04</v>
      </c>
      <c r="AC110" s="105">
        <f t="array" ref="AC110">MAX(INDEX(properties!A$1:CB$87,'Fórmula'!B110,9),INDEX(properties!A$1:CB$87,'Fórmula'!D110,9),INDEX(properties!A$1:CB$87,'Fórmula'!F110,9),INDEX(properties!A$1:CB$87,'Fórmula'!H110,9),INDEX(properties!A$1:CB$87,'Fórmula'!J110,9))</f>
        <v>87</v>
      </c>
      <c r="AD110" s="105">
        <f t="array" ref="AD110">MIN(IF(INDEX(properties!A$1:CB$87,'Fórmula'!B110,9)=0,10^6,INDEX(properties!A$1:CB$87,'Fórmula'!B110,9)),IF(INDEX(properties!A$1:CB$87,'Fórmula'!D110,9)=0,10^6,INDEX(properties!A$1:CB$87,'Fórmula'!D110,9)),IF(INDEX(properties!A$1:CB$87,'Fórmula'!F110,9)=0,10^6,INDEX(properties!A$1:CB$87,'Fórmula'!F110,9)),IF(INDEX(properties!A$1:CB$87,'Fórmula'!H110,9)=0,10^6,INDEX(properties!A$1:CB$87,'Fórmula'!H110,9)),IF(INDEX(properties!A$1:CB$87,'Fórmula'!J110,9)=0,10^6,INDEX(properties!A$1:CB$87,'Fórmula'!J110,9)))</f>
        <v>13</v>
      </c>
      <c r="AE110" s="105">
        <f t="shared" si="5"/>
        <v>74</v>
      </c>
      <c r="AF110" s="106">
        <f t="array" ref="AF110">(('Fórmula'!C110)/('Fórmula'!C110+'Fórmula'!E110+'Fórmula'!G110+'Fórmula'!I110+'Fórmula'!K110))*(INDEX(properties!A$1:CB$87,'Fórmula'!B110,10))+(('Fórmula'!E110)/('Fórmula'!C110+'Fórmula'!E110+'Fórmula'!G110+'Fórmula'!I110+'Fórmula'!K110))*(INDEX(properties!A$1:CB$87,'Fórmula'!D110,10))+(('Fórmula'!G110)/('Fórmula'!C110+'Fórmula'!E110+'Fórmula'!G110+'Fórmula'!I110+'Fórmula'!K110))*(INDEX(properties!A$1:CB$87,'Fórmula'!F110,10))+(('Fórmula'!I110)/('Fórmula'!C110+'Fórmula'!E110+'Fórmula'!G110+'Fórmula'!I110+'Fórmula'!K110))*(INDEX(properties!A$1:CB$87,'Fórmula'!H110,10))+(('Fórmula'!K110)/('Fórmula'!C110+'Fórmula'!E110+'Fórmula'!G110+'Fórmula'!I110+'Fórmula'!K110))*(INDEX(properties!A$1:CB$87,'Fórmula'!J110,10))</f>
        <v>5.930232558</v>
      </c>
      <c r="AG110" s="106">
        <f t="array" ref="AG110">'Fórmula'!C110*(INDEX(properties!A$1:CB$87,'Fórmula'!B110,10))+'Fórmula'!E110*(INDEX(properties!A$1:CB$87,'Fórmula'!D110,10))+'Fórmula'!G110*(INDEX(properties!A$1:CB$87,'Fórmula'!F110,10))+'Fórmula'!I110*(INDEX(properties!A$1:CB$87,'Fórmula'!H110,10))+'Fórmula'!K110*(INDEX(properties!A$1:CB$87,'Fórmula'!J110,10))</f>
        <v>255</v>
      </c>
      <c r="AH110" s="106">
        <f t="array" ref="AH110">VARP(IF(INDEX(properties!A$1:CB$87,'Fórmula'!B110,10)&lt;&gt;"",INDEX(properties!A$1:CB$87,'Fórmula'!B110,10)),IF(INDEX(properties!A$1:CB$87,'Fórmula'!D110,10)&lt;&gt;"",INDEX(properties!A$1:CB$87,'Fórmula'!D110,10)),IF(INDEX(properties!A$1:CB$87,'Fórmula'!F110,10)&lt;&gt;"",INDEX(properties!A$1:CB$87,'Fórmula'!F110,10)),IF(INDEX(properties!A$1:CB$87,'Fórmula'!H110,10)&lt;&gt;"",INDEX(properties!A$1:CB$87,'Fórmula'!H110,10)),IF(INDEX(properties!A$1:CB$87,'Fórmula'!J110,10)&lt;&gt;"",INDEX(properties!A$1:CB$87,'Fórmula'!J110,10)))</f>
        <v>8.56</v>
      </c>
      <c r="AI110" s="106">
        <f t="array" ref="AI110">MAX(INDEX(properties!A$1:CB$87,'Fórmula'!B110,10),INDEX(properties!A$1:CB$87,'Fórmula'!D110,10),INDEX(properties!A$1:CB$87,'Fórmula'!F110,10),INDEX(properties!A$1:CB$87,'Fórmula'!H110,10),INDEX(properties!A$1:CB$87,'Fórmula'!J110,10))</f>
        <v>7</v>
      </c>
      <c r="AJ110" s="106">
        <f t="array" ref="AJ110">MIN(IF(INDEX(properties!A$1:CB$87,'Fórmula'!B110,10)=0,10^6,INDEX(properties!A$1:CB$87,'Fórmula'!B110,10)),IF(INDEX(properties!A$1:CB$87,'Fórmula'!D110,10)=0,10^6,INDEX(properties!A$1:CB$87,'Fórmula'!D110,10)),IF(INDEX(properties!A$1:CB$87,'Fórmula'!F110,10)=0,10^6,INDEX(properties!A$1:CB$87,'Fórmula'!F110,10)),IF(INDEX(properties!A$1:CB$87,'Fórmula'!H110,10)=0,10^6,INDEX(properties!A$1:CB$87,'Fórmula'!H110,10)),IF(INDEX(properties!A$1:CB$87,'Fórmula'!J110,10)=0,10^6,INDEX(properties!A$1:CB$87,'Fórmula'!J110,10)))</f>
        <v>3</v>
      </c>
      <c r="AK110" s="106">
        <f t="shared" si="6"/>
        <v>4</v>
      </c>
      <c r="AL110" s="107">
        <f t="array" ref="AL110">(('Fórmula'!C110)/('Fórmula'!C110+'Fórmula'!E110+'Fórmula'!G110+'Fórmula'!I110+'Fórmula'!K110))*(INDEX(properties!A$1:CB$87,'Fórmula'!B110,11))+(('Fórmula'!E110)/('Fórmula'!C110+'Fórmula'!E110+'Fórmula'!G110+'Fórmula'!I110+'Fórmula'!K110))*(INDEX(properties!A$1:CB$87,'Fórmula'!D110,11))+(('Fórmula'!G110)/('Fórmula'!C110+'Fórmula'!E110+'Fórmula'!G110+'Fórmula'!I110+'Fórmula'!K110))*(INDEX(properties!A$1:CB$87,'Fórmula'!F110,11))+(('Fórmula'!I110)/('Fórmula'!C110+'Fórmula'!E110+'Fórmula'!G110+'Fórmula'!I110+'Fórmula'!K110))*(INDEX(properties!A$1:CB$87,'Fórmula'!H110,11))+(('Fórmula'!K110)/('Fórmula'!C110+'Fórmula'!E110+'Fórmula'!G110+'Fórmula'!I110+'Fórmula'!K110))*(INDEX(properties!A$1:CB$87,'Fórmula'!J110,11))</f>
        <v>2</v>
      </c>
      <c r="AM110" s="107">
        <f t="array" ref="AM110">'Fórmula'!C110*(INDEX(properties!A$1:CB$87,'Fórmula'!B110,11))+'Fórmula'!E110*(INDEX(properties!A$1:CB$87,'Fórmula'!D110,11))+'Fórmula'!G110*(INDEX(properties!A$1:CB$87,'Fórmula'!F110,11))+'Fórmula'!I110*(INDEX(properties!A$1:CB$87,'Fórmula'!H110,11))+'Fórmula'!K110*(INDEX(properties!A$1:CB$87,'Fórmula'!J110,11))</f>
        <v>86</v>
      </c>
      <c r="AN110" s="107">
        <f t="array" ref="AN110">VARP(IF(INDEX(properties!A$1:CB$87,'Fórmula'!B110,11)&lt;&gt;"",INDEX(properties!A$1:CB$87,'Fórmula'!B110,11)),IF(INDEX(properties!A$1:CB$87,'Fórmula'!D110,11)&lt;&gt;"",INDEX(properties!A$1:CB$87,'Fórmula'!D110,11)),IF(INDEX(properties!A$1:CB$87,'Fórmula'!F110,11)&lt;&gt;"",INDEX(properties!A$1:CB$87,'Fórmula'!F110,11)),IF(INDEX(properties!A$1:CB$87,'Fórmula'!H110,11)&lt;&gt;"",INDEX(properties!A$1:CB$87,'Fórmula'!H110,11)),IF(INDEX(properties!A$1:CB$87,'Fórmula'!J110,11)&lt;&gt;"",INDEX(properties!A$1:CB$87,'Fórmula'!J110,11)))</f>
        <v>0.96</v>
      </c>
      <c r="AO110" s="107">
        <f t="array" ref="AO110">MAX(INDEX(properties!A$1:CB$87,'Fórmula'!B110,11),INDEX(properties!A$1:CB$87,'Fórmula'!D110,11),INDEX(properties!A$1:CB$87,'Fórmula'!F110,11),INDEX(properties!A$1:CB$87,'Fórmula'!H110,11),INDEX(properties!A$1:CB$87,'Fórmula'!J110,11))</f>
        <v>2</v>
      </c>
      <c r="AP110" s="107">
        <f t="array" ref="AP110">MIN(IF('Fórmula'!B110=87,10^6,INDEX(properties!A$1:CB$87,'Fórmula'!B110,11)),IF(('Fórmula'!D110)=87,10^6,INDEX(properties!A$1:CB$87,'Fórmula'!D110,11)),IF(('Fórmula'!F110)=87,10^6,INDEX(properties!A$1:CB$87,'Fórmula'!F110,11)),IF(('Fórmula'!H110)=87,10^6,INDEX(properties!A$1:CB$87,'Fórmula'!H110,11)),IF('Fórmula'!J110=87,10^6,INDEX(properties!A$1:CB$87,'Fórmula'!J110,11)))</f>
        <v>2</v>
      </c>
      <c r="AQ110" s="107">
        <f t="shared" si="7"/>
        <v>0</v>
      </c>
      <c r="AR110" s="108">
        <f t="array" ref="AR110">(('Fórmula'!C110)/('Fórmula'!C110+'Fórmula'!E110+'Fórmula'!G110+'Fórmula'!I110+'Fórmula'!K110))*(INDEX(properties!A$1:CB$87,'Fórmula'!B110,12))+(('Fórmula'!E110)/('Fórmula'!C110+'Fórmula'!E110+'Fórmula'!G110+'Fórmula'!I110+'Fórmula'!K110))*(INDEX(properties!A$1:CB$87,'Fórmula'!D110,12))+(('Fórmula'!G110)/('Fórmula'!C110+'Fórmula'!E110+'Fórmula'!G110+'Fórmula'!I110+'Fórmula'!K110))*(INDEX(properties!A$1:CB$87,'Fórmula'!F110,12))+(('Fórmula'!I110)/('Fórmula'!C110+'Fórmula'!E110+'Fórmula'!G110+'Fórmula'!I110+'Fórmula'!K110))*(INDEX(properties!A$1:CB$87,'Fórmula'!H110,12))+(('Fórmula'!K110)/('Fórmula'!C110+'Fórmula'!E110+'Fórmula'!G110+'Fórmula'!I110+'Fórmula'!K110))*(INDEX(properties!A$1:CB$87,'Fórmula'!J110,12))</f>
        <v>2.790697674</v>
      </c>
      <c r="AS110" s="108">
        <f t="array" ref="AS110">'Fórmula'!C110*(INDEX(properties!A$1:CB$87,'Fórmula'!B110,12))+'Fórmula'!E110*(INDEX(properties!A$1:CB$87,'Fórmula'!D110,12))+'Fórmula'!G110*(INDEX(properties!A$1:CB$87,'Fórmula'!F110,12))+'Fórmula'!I110*(INDEX(properties!A$1:CB$87,'Fórmula'!H110,12))+'Fórmula'!K110*(INDEX(properties!A$1:CB$87,'Fórmula'!J110,12))</f>
        <v>120</v>
      </c>
      <c r="AT110" s="108">
        <f t="array" ref="AT110">VARP(IF(INDEX(properties!A$1:CB$87,'Fórmula'!B110,12)&lt;&gt;"",INDEX(properties!A$1:CB$87,'Fórmula'!B110,12)),IF(INDEX(properties!A$1:CB$87,'Fórmula'!D110,12)&lt;&gt;"",INDEX(properties!A$1:CB$87,'Fórmula'!D110,12)),IF(INDEX(properties!A$1:CB$87,'Fórmula'!F110,12)&lt;&gt;"",INDEX(properties!A$1:CB$87,'Fórmula'!F110,12)),IF(INDEX(properties!A$1:CB$87,'Fórmula'!H110,12)&lt;&gt;"",INDEX(properties!A$1:CB$87,'Fórmula'!H110,12)),IF(INDEX(properties!A$1:CB$87,'Fórmula'!J110,12)&lt;&gt;"",INDEX(properties!A$1:CB$87,'Fórmula'!J110,12)))</f>
        <v>2.56</v>
      </c>
      <c r="AU110" s="108">
        <f t="array" ref="AU110">MAX(INDEX(properties!A$1:CB$87,'Fórmula'!B110,12),INDEX(properties!A$1:CB$87,'Fórmula'!D110,12),INDEX(properties!A$1:CB$87,'Fórmula'!F110,12),INDEX(properties!A$1:CB$87,'Fórmula'!H110,12),INDEX(properties!A$1:CB$87,'Fórmula'!J110,12))</f>
        <v>4</v>
      </c>
      <c r="AV110" s="108">
        <f t="array" ref="AV110">MIN(IF('Fórmula'!B110=87,10^6,INDEX(properties!A$1:CB$87,'Fórmula'!B110,12)),IF(('Fórmula'!D110)=87,10^6,INDEX(properties!A$1:CB$87,'Fórmula'!D110,12)),IF(('Fórmula'!F110)=87,10^6,INDEX(properties!A$1:CB$87,'Fórmula'!F110,12)),IF(('Fórmula'!H110)=87,10^6,INDEX(properties!A$1:CB$87,'Fórmula'!H110,12)),IF('Fórmula'!J110=87,10^6,INDEX(properties!A$1:CB$87,'Fórmula'!J110,12)))</f>
        <v>0</v>
      </c>
      <c r="AW110" s="108">
        <f t="shared" si="8"/>
        <v>4</v>
      </c>
      <c r="AX110" s="109">
        <f t="array" ref="AX110">(('Fórmula'!C110)/('Fórmula'!C110+'Fórmula'!E110+'Fórmula'!G110+'Fórmula'!I110+'Fórmula'!K110))*(INDEX(properties!A$1:CB$87,'Fórmula'!B110,13))+(('Fórmula'!E110)/('Fórmula'!C110+'Fórmula'!E110+'Fórmula'!G110+'Fórmula'!I110+'Fórmula'!K110))*(INDEX(properties!A$1:CB$87,'Fórmula'!D110,13))+(('Fórmula'!G110)/('Fórmula'!C110+'Fórmula'!E110+'Fórmula'!G110+'Fórmula'!I110+'Fórmula'!K110))*(INDEX(properties!A$1:CB$87,'Fórmula'!F110,13))+(('Fórmula'!I110)/('Fórmula'!C110+'Fórmula'!E110+'Fórmula'!G110+'Fórmula'!I110+'Fórmula'!K110))*(INDEX(properties!A$1:CB$87,'Fórmula'!H110,13))+(('Fórmula'!K110)/('Fórmula'!C110+'Fórmula'!E110+'Fórmula'!G110+'Fórmula'!I110+'Fórmula'!K110))*(INDEX(properties!A$1:CB$87,'Fórmula'!J110,13))</f>
        <v>0.2325581395</v>
      </c>
      <c r="AY110" s="109">
        <f t="array" ref="AY110">'Fórmula'!C110*(INDEX(properties!A$1:CB$87,'Fórmula'!B110,13))+'Fórmula'!E110*(INDEX(properties!A$1:CB$87,'Fórmula'!D110,13))+'Fórmula'!G110*(INDEX(properties!A$1:CB$87,'Fórmula'!F110,13))+'Fórmula'!I110*(INDEX(properties!A$1:CB$87,'Fórmula'!H110,13))+'Fórmula'!K110*(INDEX(properties!A$1:CB$87,'Fórmula'!J110,13))</f>
        <v>10</v>
      </c>
      <c r="AZ110" s="109">
        <f t="array" ref="AZ110">VARP(IF(INDEX(properties!A$1:CB$87,'Fórmula'!B110,13)&lt;&gt;"",INDEX(properties!A$1:CB$87,'Fórmula'!B110,13)),IF(INDEX(properties!A$1:CB$87,'Fórmula'!D110,13)&lt;&gt;"",INDEX(properties!A$1:CB$87,'Fórmula'!D110,13)),IF(INDEX(properties!A$1:CB$87,'Fórmula'!F110,13)&lt;&gt;"",INDEX(properties!A$1:CB$87,'Fórmula'!F110,13)),IF(INDEX(properties!A$1:CB$87,'Fórmula'!H110,13)&lt;&gt;"",INDEX(properties!A$1:CB$87,'Fórmula'!H110,13)),IF(INDEX(properties!A$1:CB$87,'Fórmula'!J110,13)&lt;&gt;"",INDEX(properties!A$1:CB$87,'Fórmula'!J110,13)))</f>
        <v>0.16</v>
      </c>
      <c r="BA110" s="109">
        <f t="array" ref="BA110">MAX(INDEX(properties!A$1:CB$87,'Fórmula'!B110,13),INDEX(properties!A$1:CB$87,'Fórmula'!D110,13),INDEX(properties!A$1:CB$87,'Fórmula'!F110,13),INDEX(properties!A$1:CB$87,'Fórmula'!H110,13),INDEX(properties!A$1:CB$87,'Fórmula'!J110,13))</f>
        <v>1</v>
      </c>
      <c r="BB110" s="109">
        <f t="array" ref="BB110">MIN(IF('Fórmula'!B110=87,10^6,INDEX(properties!A$1:CB$87,'Fórmula'!B110,13)),IF(('Fórmula'!D110)=87,10^6,INDEX(properties!A$1:CB$87,'Fórmula'!D110,13)),IF(('Fórmula'!F110)=87,10^6,INDEX(properties!A$1:CB$87,'Fórmula'!F110,13)),IF(('Fórmula'!H110)=87,10^6,INDEX(properties!A$1:CB$87,'Fórmula'!H110,13)),IF('Fórmula'!J110=87,10^6,INDEX(properties!A$1:CB$87,'Fórmula'!J110,13)))</f>
        <v>0</v>
      </c>
      <c r="BC110" s="109">
        <f t="shared" si="9"/>
        <v>1</v>
      </c>
      <c r="BD110" s="110">
        <f t="array" ref="BD110">(('Fórmula'!C110)/('Fórmula'!C110+'Fórmula'!E110+'Fórmula'!G110+'Fórmula'!I110+'Fórmula'!K110))*(INDEX(properties!A$1:CB$87,'Fórmula'!B110,14))+(('Fórmula'!E110)/('Fórmula'!C110+'Fórmula'!E110+'Fórmula'!G110+'Fórmula'!I110+'Fórmula'!K110))*(INDEX(properties!A$1:CB$87,'Fórmula'!D110,14))+(('Fórmula'!G110)/('Fórmula'!C110+'Fórmula'!E110+'Fórmula'!G110+'Fórmula'!I110+'Fórmula'!K110))*(INDEX(properties!A$1:CB$87,'Fórmula'!F110,14))+(('Fórmula'!I110)/('Fórmula'!C110+'Fórmula'!E110+'Fórmula'!G110+'Fórmula'!I110+'Fórmula'!K110))*(INDEX(properties!A$1:CB$87,'Fórmula'!H110,14))+(('Fórmula'!K110)/('Fórmula'!C110+'Fórmula'!E110+'Fórmula'!G110+'Fórmula'!I110+'Fórmula'!K110))*(INDEX(properties!A$1:CB$87,'Fórmula'!J110,14))</f>
        <v>0</v>
      </c>
      <c r="BE110" s="110">
        <f t="array" ref="BE110">'Fórmula'!C110*(INDEX(properties!A$1:CB$87,'Fórmula'!B110,14))+'Fórmula'!E110*(INDEX(properties!A$1:CB$87,'Fórmula'!D110,14))+'Fórmula'!G110*(INDEX(properties!A$1:CB$87,'Fórmula'!F110,14))+'Fórmula'!I110*(INDEX(properties!A$1:CB$87,'Fórmula'!H110,14))+'Fórmula'!K110*(INDEX(properties!A$1:CB$87,'Fórmula'!J110,14))</f>
        <v>0</v>
      </c>
      <c r="BF110" s="110">
        <f t="array" ref="BF110">VARP(IF(INDEX(properties!A$1:CB$87,'Fórmula'!B110,14)&lt;&gt;"",INDEX(properties!A$1:CB$87,'Fórmula'!B110,14)),IF(INDEX(properties!A$1:CB$87,'Fórmula'!D110,14)&lt;&gt;"",INDEX(properties!A$1:CB$87,'Fórmula'!D110,14)),IF(INDEX(properties!A$1:CB$87,'Fórmula'!F110,14)&lt;&gt;"",INDEX(properties!A$1:CB$87,'Fórmula'!F110,14)),IF(INDEX(properties!A$1:CB$87,'Fórmula'!H110,14)&lt;&gt;"",INDEX(properties!A$1:CB$87,'Fórmula'!H110,14)),IF(INDEX(properties!A$1:CB$87,'Fórmula'!J110,14)&lt;&gt;"",INDEX(properties!A$1:CB$87,'Fórmula'!J110,14)))</f>
        <v>0</v>
      </c>
      <c r="BG110" s="110">
        <f t="array" ref="BG110">MAX(INDEX(properties!A$1:CB$87,'Fórmula'!B110,14),INDEX(properties!A$1:CB$87,'Fórmula'!D110,14),INDEX(properties!A$1:CB$87,'Fórmula'!F110,14),INDEX(properties!A$1:CB$87,'Fórmula'!H110,14),INDEX(properties!A$1:CB$87,'Fórmula'!J110,14))</f>
        <v>0</v>
      </c>
      <c r="BH110" s="110">
        <f t="array" ref="BH110">MIN(IF('Fórmula'!B110=87,10^6,INDEX(properties!A$1:CB$87,'Fórmula'!B110,14)),IF(('Fórmula'!D110)=87,10^6,INDEX(properties!A$1:CB$87,'Fórmula'!D110,14)),IF(('Fórmula'!F110)=87,10^6,INDEX(properties!A$1:CB$87,'Fórmula'!F110,14)),IF(('Fórmula'!H110)=87,10^6,INDEX(properties!A$1:CB$87,'Fórmula'!H110,14)),IF('Fórmula'!J110=87,10^6,INDEX(properties!A$1:CB$87,'Fórmula'!J110,14)))</f>
        <v>0</v>
      </c>
      <c r="BI110" s="110">
        <f t="shared" si="10"/>
        <v>0</v>
      </c>
      <c r="BJ110" s="111">
        <f t="array" ref="BJ110">(('Fórmula'!C110)/('Fórmula'!C110+'Fórmula'!E110+'Fórmula'!G110+'Fórmula'!I110+'Fórmula'!K110))*(INDEX(properties!A$1:CB$87,'Fórmula'!B110,19))+(('Fórmula'!E110)/('Fórmula'!C110+'Fórmula'!E110+'Fórmula'!G110+'Fórmula'!I110+'Fórmula'!K110))*(INDEX(properties!A$1:CB$87,'Fórmula'!D110,19))+(('Fórmula'!G110)/('Fórmula'!C110+'Fórmula'!E110+'Fórmula'!G110+'Fórmula'!I110+'Fórmula'!K110))*(INDEX(properties!A$1:CB$87,'Fórmula'!F110,19))+(('Fórmula'!I110)/('Fórmula'!C110+'Fórmula'!E110+'Fórmula'!G110+'Fórmula'!I110+'Fórmula'!K110))*(INDEX(properties!A$1:CB$87,'Fórmula'!H110,19))+(('Fórmula'!K110)/('Fórmula'!C110+'Fórmula'!E110+'Fórmula'!G110+'Fórmula'!I110+'Fórmula'!K110))*(INDEX(properties!A$1:CB$87,'Fórmula'!J110,19))</f>
        <v>5.023255814</v>
      </c>
      <c r="BK110" s="111">
        <f t="array" ref="BK110">'Fórmula'!C110*(INDEX(properties!A$1:CB$87,'Fórmula'!B110,19))+'Fórmula'!E110*(INDEX(properties!A$1:CB$87,'Fórmula'!D110,19))+'Fórmula'!G110*(INDEX(properties!A$1:CB$87,'Fórmula'!F110,19))+'Fórmula'!I110*(INDEX(properties!A$1:CB$87,'Fórmula'!H110,19))+'Fórmula'!K110*(INDEX(properties!A$1:CB$87,'Fórmula'!J110,19))</f>
        <v>216</v>
      </c>
      <c r="BL110" s="111">
        <f t="array" ref="BL110">VARP(IF(INDEX(properties!A$1:CB$87,'Fórmula'!B110,19)&lt;&gt;"",INDEX(properties!A$1:CB$87,'Fórmula'!B110,19)),IF(INDEX(properties!A$1:CB$87,'Fórmula'!D110,19)&lt;&gt;"",INDEX(properties!A$1:CB$87,'Fórmula'!D110,19)),IF(INDEX(properties!A$1:CB$87,'Fórmula'!F110,19)&lt;&gt;"",INDEX(properties!A$1:CB$87,'Fórmula'!F110,19)),IF(INDEX(properties!A$1:CB$87,'Fórmula'!H110,19)&lt;&gt;"",INDEX(properties!A$1:CB$87,'Fórmula'!H110,19)),IF(INDEX(properties!A$1:CB$87,'Fórmula'!J110,19)&lt;&gt;"",INDEX(properties!A$1:CB$87,'Fórmula'!J110,19)))</f>
        <v>5.44</v>
      </c>
      <c r="BM110" s="111">
        <f t="array" ref="BM110">MAX(INDEX(properties!A$1:CB$87,'Fórmula'!B110,19),INDEX(properties!A$1:CB$87,'Fórmula'!D110,19),INDEX(properties!A$1:CB$87,'Fórmula'!F110,19),INDEX(properties!A$1:CB$87,'Fórmula'!H110,19),INDEX(properties!A$1:CB$87,'Fórmula'!J110,19))</f>
        <v>6</v>
      </c>
      <c r="BN110" s="111">
        <f t="array" ref="BN110">MIN(IF(INDEX(properties!A$1:CB$87,'Fórmula'!B110,19)=0,10^6,INDEX(properties!A$1:CB$87,'Fórmula'!B110,19)),IF(INDEX(properties!A$1:CB$87,'Fórmula'!D110,19)=0,10^6,INDEX(properties!A$1:CB$87,'Fórmula'!D110,19)),IF(INDEX(properties!A$1:CB$87,'Fórmula'!F110,19)=0,10^6,INDEX(properties!A$1:CB$87,'Fórmula'!F110,19)),IF(INDEX(properties!A$1:CB$87,'Fórmula'!H110,19)=0,10^6,INDEX(properties!A$1:CB$87,'Fórmula'!H110,19)),IF(INDEX(properties!A$1:CB$87,'Fórmula'!J110,19)=0,10^6,INDEX(properties!A$1:CB$87,'Fórmula'!J110,19)))</f>
        <v>3</v>
      </c>
      <c r="BO110" s="111">
        <f t="shared" si="11"/>
        <v>3</v>
      </c>
      <c r="BP110" s="112">
        <f t="array" ref="BP110">(('Fórmula'!C110)/('Fórmula'!C110+'Fórmula'!E110+'Fórmula'!G110+'Fórmula'!I110+'Fórmula'!K110))*(INDEX(properties!A$1:CB$87,'Fórmula'!B110,20))+(('Fórmula'!E110)/('Fórmula'!C110+'Fórmula'!E110+'Fórmula'!G110+'Fórmula'!I110+'Fórmula'!K110))*(INDEX(properties!A$1:CB$87,'Fórmula'!D110,20))+(('Fórmula'!G110)/('Fórmula'!C110+'Fórmula'!E110+'Fórmula'!G110+'Fórmula'!I110+'Fórmula'!K110))*(INDEX(properties!A$1:CB$87,'Fórmula'!F110,20))+(('Fórmula'!I110)/('Fórmula'!C110+'Fórmula'!E110+'Fórmula'!G110+'Fórmula'!I110+'Fórmula'!K110))*(INDEX(properties!A$1:CB$87,'Fórmula'!H110,20))+(('Fórmula'!K110)/('Fórmula'!C110+'Fórmula'!E110+'Fórmula'!G110+'Fórmula'!I110+'Fórmula'!K110))*(INDEX(properties!A$1:CB$87,'Fórmula'!J110,20))</f>
        <v>4.790697674</v>
      </c>
      <c r="BQ110" s="112">
        <f t="array" ref="BQ110">'Fórmula'!C110*(INDEX(properties!A$1:CB$87,'Fórmula'!B110,20))+'Fórmula'!E110*(INDEX(properties!A$1:CB$87,'Fórmula'!D110,20))+'Fórmula'!G110*(INDEX(properties!A$1:CB$87,'Fórmula'!F110,20))+'Fórmula'!I110*(INDEX(properties!A$1:CB$87,'Fórmula'!H110,20))+'Fórmula'!K110*(INDEX(properties!A$1:CB$87,'Fórmula'!J110,20))</f>
        <v>206</v>
      </c>
      <c r="BR110" s="112">
        <f t="array" ref="BR110">VARP(IF(INDEX(properties!A$1:CB$87,'Fórmula'!B110,20)&lt;&gt;"",INDEX(properties!A$1:CB$87,'Fórmula'!B110,20)),IF(INDEX(properties!A$1:CB$87,'Fórmula'!D110,20)&lt;&gt;"",INDEX(properties!A$1:CB$87,'Fórmula'!D110,20)),IF(INDEX(properties!A$1:CB$87,'Fórmula'!F110,20)&lt;&gt;"",INDEX(properties!A$1:CB$87,'Fórmula'!F110,20)),IF(INDEX(properties!A$1:CB$87,'Fórmula'!H110,20)&lt;&gt;"",INDEX(properties!A$1:CB$87,'Fórmula'!H110,20)),IF(INDEX(properties!A$1:CB$87,'Fórmula'!J110,20)&lt;&gt;"",INDEX(properties!A$1:CB$87,'Fórmula'!J110,20)))</f>
        <v>5.44</v>
      </c>
      <c r="BS110" s="112">
        <f t="array" ref="BS110">MAX(INDEX(properties!A$1:CB$87,'Fórmula'!B110,20),INDEX(properties!A$1:CB$87,'Fórmula'!D110,20),INDEX(properties!A$1:CB$87,'Fórmula'!F110,20),INDEX(properties!A$1:CB$87,'Fórmula'!H110,20),INDEX(properties!A$1:CB$87,'Fórmula'!J110,20))</f>
        <v>6</v>
      </c>
      <c r="BT110" s="112">
        <f t="array" ref="BT110">MIN(IF(INDEX(properties!A$1:CB$87,'Fórmula'!B110,20)=0,10^6,INDEX(properties!A$1:CB$87,'Fórmula'!B110,20)),IF(INDEX(properties!A$1:CB$87,'Fórmula'!D110,20)=0,10^6,INDEX(properties!A$1:CB$87,'Fórmula'!D110,20)),IF(INDEX(properties!A$1:CB$87,'Fórmula'!F110,20)=0,10^6,INDEX(properties!A$1:CB$87,'Fórmula'!F110,20)),IF(INDEX(properties!A$1:CB$87,'Fórmula'!H110,20)=0,10^6,INDEX(properties!A$1:CB$87,'Fórmula'!H110,20)),IF(INDEX(properties!A$1:CB$87,'Fórmula'!J110,20)=0,10^6,INDEX(properties!A$1:CB$87,'Fórmula'!J110,20)))</f>
        <v>2</v>
      </c>
      <c r="BU110" s="112">
        <f t="shared" si="12"/>
        <v>4</v>
      </c>
      <c r="BV110" s="113">
        <f t="array" ref="BV110">(('Fórmula'!C110)/('Fórmula'!C110+'Fórmula'!E110+'Fórmula'!G110+'Fórmula'!I110+'Fórmula'!K110))*(INDEX(properties!A$1:CB$87,'Fórmula'!B110,21))+(('Fórmula'!E110)/('Fórmula'!C110+'Fórmula'!E110+'Fórmula'!G110+'Fórmula'!I110+'Fórmula'!K110))*(INDEX(properties!A$1:CB$87,'Fórmula'!D110,21))+(('Fórmula'!G110)/('Fórmula'!C110+'Fórmula'!E110+'Fórmula'!G110+'Fórmula'!I110+'Fórmula'!K110))*(INDEX(properties!A$1:CB$87,'Fórmula'!F110,21))+(('Fórmula'!I110)/('Fórmula'!C110+'Fórmula'!E110+'Fórmula'!G110+'Fórmula'!I110+'Fórmula'!K110))*(INDEX(properties!A$1:CB$87,'Fórmula'!H110,21))+(('Fórmula'!K110)/('Fórmula'!C110+'Fórmula'!E110+'Fórmula'!G110+'Fórmula'!I110+'Fórmula'!K110))*(INDEX(properties!A$1:CB$87,'Fórmula'!J110,21))</f>
        <v>4.558139535</v>
      </c>
      <c r="BW110" s="113">
        <f t="array" ref="BW110">'Fórmula'!C110*(INDEX(properties!A$1:CB$87,'Fórmula'!B110,21))+'Fórmula'!E110*(INDEX(properties!A$1:CB$87,'Fórmula'!D110,21))+'Fórmula'!G110*(INDEX(properties!A$1:CB$87,'Fórmula'!F110,21))+'Fórmula'!I110*(INDEX(properties!A$1:CB$87,'Fórmula'!H110,21))+'Fórmula'!K110*(INDEX(properties!A$1:CB$87,'Fórmula'!J110,21))</f>
        <v>196</v>
      </c>
      <c r="BX110" s="113">
        <f t="array" ref="BX110">VARP(IF(INDEX(properties!A$1:CB$87,'Fórmula'!B110,21)&lt;&gt;"",INDEX(properties!A$1:CB$87,'Fórmula'!B110,21)),IF(INDEX(properties!A$1:CB$87,'Fórmula'!D110,21)&lt;&gt;"",INDEX(properties!A$1:CB$87,'Fórmula'!D110,21)),IF(INDEX(properties!A$1:CB$87,'Fórmula'!F110,21)&lt;&gt;"",INDEX(properties!A$1:CB$87,'Fórmula'!F110,21)),IF(INDEX(properties!A$1:CB$87,'Fórmula'!H110,21)&lt;&gt;"",INDEX(properties!A$1:CB$87,'Fórmula'!H110,21)),IF(INDEX(properties!A$1:CB$87,'Fórmula'!J110,21)&lt;&gt;"",INDEX(properties!A$1:CB$87,'Fórmula'!J110,21)))</f>
        <v>5.76</v>
      </c>
      <c r="BY110" s="113">
        <f t="array" ref="BY110">MAX(INDEX(properties!A$1:CB$87,'Fórmula'!B110,21),INDEX(properties!A$1:CB$87,'Fórmula'!D110,21),INDEX(properties!A$1:CB$87,'Fórmula'!F110,21),INDEX(properties!A$1:CB$87,'Fórmula'!H110,21),INDEX(properties!A$1:CB$87,'Fórmula'!J110,21))</f>
        <v>6</v>
      </c>
      <c r="BZ110" s="113">
        <f t="array" ref="BZ110">MIN(IF(INDEX(properties!A$1:CB$87,'Fórmula'!B110,21)=0,10^6,INDEX(properties!A$1:CB$87,'Fórmula'!B110,21)),IF(INDEX(properties!A$1:CB$87,'Fórmula'!D110,21)=0,10^6,INDEX(properties!A$1:CB$87,'Fórmula'!D110,21)),IF(INDEX(properties!A$1:CB$87,'Fórmula'!F110,21)=0,10^6,INDEX(properties!A$1:CB$87,'Fórmula'!F110,21)),IF(INDEX(properties!A$1:CB$87,'Fórmula'!H110,21)=0,10^6,INDEX(properties!A$1:CB$87,'Fórmula'!H110,21)),IF(INDEX(properties!A$1:CB$87,'Fórmula'!J110,21)=0,10^6,INDEX(properties!A$1:CB$87,'Fórmula'!J110,21)))</f>
        <v>1</v>
      </c>
      <c r="CA110" s="113">
        <f t="shared" si="13"/>
        <v>5</v>
      </c>
      <c r="CB110" s="114">
        <f t="array" ref="CB110">(('Fórmula'!C110)/('Fórmula'!C110+'Fórmula'!E110+'Fórmula'!G110+'Fórmula'!I110+'Fórmula'!K110))*(INDEX(properties!A$1:CB$87,'Fórmula'!B110,23))+(('Fórmula'!E110)/('Fórmula'!C110+'Fórmula'!E110+'Fórmula'!G110+'Fórmula'!I110+'Fórmula'!K110))*(INDEX(properties!A$1:CB$87,'Fórmula'!D110,23))+(('Fórmula'!G110)/('Fórmula'!C110+'Fórmula'!E110+'Fórmula'!G110+'Fórmula'!I110+'Fórmula'!K110))*(INDEX(properties!A$1:CB$87,'Fórmula'!F110,23))+(('Fórmula'!I110)/('Fórmula'!C110+'Fórmula'!E110+'Fórmula'!G110+'Fórmula'!I110+'Fórmula'!K110))*(INDEX(properties!A$1:CB$87,'Fórmula'!H110,23))+(('Fórmula'!K110)/('Fórmula'!C110+'Fórmula'!E110+'Fórmula'!G110+'Fórmula'!I110+'Fórmula'!K110))*(INDEX(properties!A$1:CB$87,'Fórmula'!J110,23))</f>
        <v>1.255813953</v>
      </c>
      <c r="CC110" s="114">
        <f t="array" ref="CC110">'Fórmula'!C110*(INDEX(properties!A$1:CB$87,'Fórmula'!B110,23))+'Fórmula'!E110*(INDEX(properties!A$1:CB$87,'Fórmula'!D110,23))+'Fórmula'!G110*(INDEX(properties!A$1:CB$87,'Fórmula'!F110,23))+'Fórmula'!I110*(INDEX(properties!A$1:CB$87,'Fórmula'!H110,23))+'Fórmula'!K110*(INDEX(properties!A$1:CB$87,'Fórmula'!J110,23))</f>
        <v>54</v>
      </c>
      <c r="CD110" s="114">
        <f t="array" ref="CD110">VARP(IF(INDEX(properties!A$1:CB$87,'Fórmula'!B110,23)&lt;&gt;"",INDEX(properties!A$1:CB$87,'Fórmula'!B110,23)),IF(INDEX(properties!A$1:CB$87,'Fórmula'!D110,23)&lt;&gt;"",INDEX(properties!A$1:CB$87,'Fórmula'!D110,23)),IF(INDEX(properties!A$1:CB$87,'Fórmula'!F110,23)&lt;&gt;"",INDEX(properties!A$1:CB$87,'Fórmula'!F110,23)),IF(INDEX(properties!A$1:CB$87,'Fórmula'!H110,23)&lt;&gt;"",INDEX(properties!A$1:CB$87,'Fórmula'!H110,23)),IF(INDEX(properties!A$1:CB$87,'Fórmula'!J110,23)&lt;&gt;"",INDEX(properties!A$1:CB$87,'Fórmula'!J110,23)))</f>
        <v>3.04</v>
      </c>
      <c r="CE110" s="114">
        <f t="array" ref="CE110">MAX(INDEX(properties!A$1:CB$87,'Fórmula'!B110,23),INDEX(properties!A$1:CB$87,'Fórmula'!D110,23),INDEX(properties!A$1:CB$87,'Fórmula'!F110,23),INDEX(properties!A$1:CB$87,'Fórmula'!H110,23),INDEX(properties!A$1:CB$87,'Fórmula'!J110,23))</f>
        <v>4</v>
      </c>
      <c r="CF110" s="114">
        <f t="array" ref="CF110">MIN(IF('Fórmula'!B110=87,10^6,INDEX(properties!A$1:CB$87,'Fórmula'!B110,23)),IF(('Fórmula'!D110)=87,10^6,INDEX(properties!A$1:CB$87,'Fórmula'!D110,23)),IF(('Fórmula'!F110)=87,10^6,INDEX(properties!A$1:CB$87,'Fórmula'!F110,23)),IF(('Fórmula'!H110)=87,10^6,INDEX(properties!A$1:CB$87,'Fórmula'!H110,23)),IF('Fórmula'!J110=87,10^6,INDEX(properties!A$1:CB$87,'Fórmula'!J110,23)))</f>
        <v>0</v>
      </c>
      <c r="CG110" s="114">
        <f t="shared" si="14"/>
        <v>4</v>
      </c>
      <c r="CH110" s="115">
        <f t="array" ref="CH110">(('Fórmula'!C110)/('Fórmula'!C110+'Fórmula'!E110+'Fórmula'!G110+'Fórmula'!I110+'Fórmula'!K110))*(INDEX(properties!A$1:CB$87,'Fórmula'!B110,26))+(('Fórmula'!E110)/('Fórmula'!C110+'Fórmula'!E110+'Fórmula'!G110+'Fórmula'!I110+'Fórmula'!K110))*(INDEX(properties!A$1:CB$87,'Fórmula'!D110,26))+(('Fórmula'!G110)/('Fórmula'!C110+'Fórmula'!E110+'Fórmula'!G110+'Fórmula'!I110+'Fórmula'!K110))*(INDEX(properties!A$1:CB$87,'Fórmula'!F110,26))+(('Fórmula'!I110)/('Fórmula'!C110+'Fórmula'!E110+'Fórmula'!G110+'Fórmula'!I110+'Fórmula'!K110))*(INDEX(properties!A$1:CB$87,'Fórmula'!H110,26))+(('Fórmula'!K110)/('Fórmula'!C110+'Fórmula'!E110+'Fórmula'!G110+'Fórmula'!I110+'Fórmula'!K110))*(INDEX(properties!A$1:CB$87,'Fórmula'!J110,26))</f>
        <v>10.9853</v>
      </c>
      <c r="CI110" s="115">
        <f t="array" ref="CI110">'Fórmula'!C110*(INDEX(properties!A$1:CB$87,'Fórmula'!B110,26))+'Fórmula'!E110*(INDEX(properties!A$1:CB$87,'Fórmula'!D110,26))+'Fórmula'!G110*(INDEX(properties!A$1:CB$87,'Fórmula'!F110,26))+'Fórmula'!I110*(INDEX(properties!A$1:CB$87,'Fórmula'!H110,26))+'Fórmula'!K110*(INDEX(properties!A$1:CB$87,'Fórmula'!J110,26))</f>
        <v>472.3679</v>
      </c>
      <c r="CJ110" s="115">
        <f t="array" ref="CJ110">VARP(IF(INDEX(properties!A$1:CB$87,'Fórmula'!B110,26)&lt;&gt;"",INDEX(properties!A$1:CB$87,'Fórmula'!B110,26)),IF(INDEX(properties!A$1:CB$87,'Fórmula'!D110,26)&lt;&gt;"",INDEX(properties!A$1:CB$87,'Fórmula'!D110,26)),IF(INDEX(properties!A$1:CB$87,'Fórmula'!F110,26)&lt;&gt;"",INDEX(properties!A$1:CB$87,'Fórmula'!F110,26)),IF(INDEX(properties!A$1:CB$87,'Fórmula'!H110,26)&lt;&gt;"",INDEX(properties!A$1:CB$87,'Fórmula'!H110,26)),IF(INDEX(properties!A$1:CB$87,'Fórmula'!J110,26)&lt;&gt;"",INDEX(properties!A$1:CB$87,'Fórmula'!J110,26)))</f>
        <v>26.68725479</v>
      </c>
      <c r="CK110" s="116">
        <f t="array" ref="CK110">MAX(INDEX(properties!A$1:CB$87,'Fórmula'!B110,26),INDEX(properties!A$1:CB$87,'Fórmula'!D110,26),INDEX(properties!A$1:CB$87,'Fórmula'!F110,26),INDEX(properties!A$1:CB$87,'Fórmula'!H110,26),INDEX(properties!A$1:CB$87,'Fórmula'!J110,26))</f>
        <v>13.6181</v>
      </c>
      <c r="CL110" s="116">
        <f t="array" ref="CL110">MIN(IF(INDEX(properties!A$1:CB$87,'Fórmula'!B110,26)=0,10^6,INDEX(properties!A$1:CB$87,'Fórmula'!B110,26)),IF(INDEX(properties!A$1:CB$87,'Fórmula'!D110,26)=0,10^6,INDEX(properties!A$1:CB$87,'Fórmula'!D110,26)),IF(INDEX(properties!A$1:CB$87,'Fórmula'!F110,26)=0,10^6,INDEX(properties!A$1:CB$87,'Fórmula'!F110,26)),IF(INDEX(properties!A$1:CB$87,'Fórmula'!H110,26)=0,10^6,INDEX(properties!A$1:CB$87,'Fórmula'!H110,26)),IF(INDEX(properties!A$1:CB$87,'Fórmula'!J110,26)=0,10^6,INDEX(properties!A$1:CB$87,'Fórmula'!J110,26)))</f>
        <v>5.5769</v>
      </c>
      <c r="CM110" s="115">
        <f t="shared" si="15"/>
        <v>8.0412</v>
      </c>
      <c r="CN110" s="117">
        <f t="array" ref="CN110">(('Fórmula'!C110)/('Fórmula'!C110+'Fórmula'!E110+'Fórmula'!G110+'Fórmula'!I110+'Fórmula'!K110))*(INDEX(properties!A$1:CB$87,'Fórmula'!B110,30))+(('Fórmula'!E110)/('Fórmula'!C110+'Fórmula'!E110+'Fórmula'!G110+'Fórmula'!I110+'Fórmula'!K110))*(INDEX(properties!A$1:CB$87,'Fórmula'!D110,30))+(('Fórmula'!G110)/('Fórmula'!C110+'Fórmula'!E110+'Fórmula'!G110+'Fórmula'!I110+'Fórmula'!K110))*(INDEX(properties!A$1:CB$87,'Fórmula'!F110,30))+(('Fórmula'!I110)/('Fórmula'!C110+'Fórmula'!E110+'Fórmula'!G110+'Fórmula'!I110+'Fórmula'!K110))*(INDEX(properties!A$1:CB$87,'Fórmula'!H110,30))+(('Fórmula'!K110)/('Fórmula'!C110+'Fórmula'!E110+'Fórmula'!G110+'Fórmula'!I110+'Fórmula'!K110))*(INDEX(properties!A$1:CB$87,'Fórmula'!J110,30))</f>
        <v>2.680930233</v>
      </c>
      <c r="CO110" s="117">
        <f t="array" ref="CO110">'Fórmula'!C110*(INDEX(properties!A$1:CB$87,'Fórmula'!B110,30))+'Fórmula'!E110*(INDEX(properties!A$1:CB$87,'Fórmula'!D110,30))+'Fórmula'!G110*(INDEX(properties!A$1:CB$87,'Fórmula'!F110,30))+'Fórmula'!I110*(INDEX(properties!A$1:CB$87,'Fórmula'!H110,30))+'Fórmula'!K110*(INDEX(properties!A$1:CB$87,'Fórmula'!J110,30))</f>
        <v>115.28</v>
      </c>
      <c r="CP110" s="117">
        <f t="array" ref="CP110">VARP(IF(INDEX(properties!A$1:CB$87,'Fórmula'!B110,30)&lt;&gt;"",INDEX(properties!A$1:CB$87,'Fórmula'!B110,30)),IF(INDEX(properties!A$1:CB$87,'Fórmula'!D110,30)&lt;&gt;"",INDEX(properties!A$1:CB$87,'Fórmula'!D110,30)),IF(INDEX(properties!A$1:CB$87,'Fórmula'!F110,30)&lt;&gt;"",INDEX(properties!A$1:CB$87,'Fórmula'!F110,30)),IF(INDEX(properties!A$1:CB$87,'Fórmula'!H110,30)&lt;&gt;"",INDEX(properties!A$1:CB$87,'Fórmula'!H110,30)),IF(INDEX(properties!A$1:CB$87,'Fórmula'!J110,30)&lt;&gt;"",INDEX(properties!A$1:CB$87,'Fórmula'!J110,30)))</f>
        <v>1.671776</v>
      </c>
      <c r="CQ110" s="117">
        <f t="array" ref="CQ110">MAX(INDEX(properties!A$1:CB$87,'Fórmula'!B110,30),INDEX(properties!A$1:CB$87,'Fórmula'!D110,30),INDEX(properties!A$1:CB$87,'Fórmula'!F110,30),INDEX(properties!A$1:CB$87,'Fórmula'!H110,30),INDEX(properties!A$1:CB$87,'Fórmula'!J110,30))</f>
        <v>3.44</v>
      </c>
      <c r="CR110" s="117">
        <f t="array" ref="CR110">MIN(IF(INDEX(properties!A$1:CB$87,'Fórmula'!B110,30)=0,10^6,INDEX(properties!A$1:CB$87,'Fórmula'!B110,30)),IF(INDEX(properties!A$1:CB$87,'Fórmula'!D110,30)=0,10^6,INDEX(properties!A$1:CB$87,'Fórmula'!D110,30)),IF(INDEX(properties!A$1:CB$87,'Fórmula'!F110,30)=0,10^6,INDEX(properties!A$1:CB$87,'Fórmula'!F110,30)),IF(INDEX(properties!A$1:CB$87,'Fórmula'!H110,30)=0,10^6,INDEX(properties!A$1:CB$87,'Fórmula'!H110,30)),IF(INDEX(properties!A$1:CB$87,'Fórmula'!J110,30)=0,10^6,INDEX(properties!A$1:CB$87,'Fórmula'!J110,30)))</f>
        <v>1.1</v>
      </c>
      <c r="CS110" s="117">
        <f t="shared" si="16"/>
        <v>2.34</v>
      </c>
      <c r="CT110" s="118">
        <f t="array" ref="CT110">(('Fórmula'!C110)/('Fórmula'!C110+'Fórmula'!E110+'Fórmula'!G110+'Fórmula'!I110+'Fórmula'!K110))*(INDEX(properties!A$1:CB$87,'Fórmula'!B110,31))+(('Fórmula'!E110)/('Fórmula'!C110+'Fórmula'!E110+'Fórmula'!G110+'Fórmula'!I110+'Fórmula'!K110))*(INDEX(properties!A$1:CB$87,'Fórmula'!D110,31))+(('Fórmula'!G110)/('Fórmula'!C110+'Fórmula'!E110+'Fórmula'!G110+'Fórmula'!I110+'Fórmula'!K110))*(INDEX(properties!A$1:CB$87,'Fórmula'!F110,31))+(('Fórmula'!I110)/('Fórmula'!C110+'Fórmula'!E110+'Fórmula'!G110+'Fórmula'!I110+'Fórmula'!K110))*(INDEX(properties!A$1:CB$87,'Fórmula'!H110,31))+(('Fórmula'!K110)/('Fórmula'!C110+'Fórmula'!E110+'Fórmula'!G110+'Fórmula'!I110+'Fórmula'!K110))*(INDEX(properties!A$1:CB$87,'Fórmula'!J110,31))</f>
        <v>2.674883721</v>
      </c>
      <c r="CU110" s="118">
        <f t="array" ref="CU110">'Fórmula'!C110*(INDEX(properties!A$1:CB$87,'Fórmula'!B110,31))+'Fórmula'!E110*(INDEX(properties!A$1:CB$87,'Fórmula'!D110,31))+'Fórmula'!G110*(INDEX(properties!A$1:CB$87,'Fórmula'!F110,31))+'Fórmula'!I110*(INDEX(properties!A$1:CB$87,'Fórmula'!H110,31))+'Fórmula'!K110*(INDEX(properties!A$1:CB$87,'Fórmula'!J110,31))</f>
        <v>115.02</v>
      </c>
      <c r="CV110" s="118">
        <f t="array" ref="CV110">VARP(IF(INDEX(properties!A$1:CB$87,'Fórmula'!B110,31)&lt;&gt;"",INDEX(properties!A$1:CB$87,'Fórmula'!B110,31)),IF(INDEX(properties!A$1:CB$87,'Fórmula'!D110,31)&lt;&gt;"",INDEX(properties!A$1:CB$87,'Fórmula'!D110,31)),IF(INDEX(properties!A$1:CB$87,'Fórmula'!F110,31)&lt;&gt;"",INDEX(properties!A$1:CB$87,'Fórmula'!F110,31)),IF(INDEX(properties!A$1:CB$87,'Fórmula'!H110,31)&lt;&gt;"",INDEX(properties!A$1:CB$87,'Fórmula'!H110,31)),IF(INDEX(properties!A$1:CB$87,'Fórmula'!J110,31)&lt;&gt;"",INDEX(properties!A$1:CB$87,'Fórmula'!J110,31)))</f>
        <v>1.58416</v>
      </c>
      <c r="CW110" s="118">
        <f t="array" ref="CW110">MAX(INDEX(properties!A$1:CB$87,'Fórmula'!B110,31),INDEX(properties!A$1:CB$87,'Fórmula'!D110,31),INDEX(properties!A$1:CB$87,'Fórmula'!F110,31),INDEX(properties!A$1:CB$87,'Fórmula'!H110,31),INDEX(properties!A$1:CB$87,'Fórmula'!J110,31))</f>
        <v>3.32</v>
      </c>
      <c r="CX110" s="118">
        <f t="array" ref="CX110">MIN(IF(INDEX(properties!A$1:CB$87,'Fórmula'!B110,31)=0,10^6,INDEX(properties!A$1:CB$87,'Fórmula'!B110,31)),IF(INDEX(properties!A$1:CB$87,'Fórmula'!D110,31)=0,10^6,INDEX(properties!A$1:CB$87,'Fórmula'!D110,31)),IF(INDEX(properties!A$1:CB$87,'Fórmula'!F110,31)=0,10^6,INDEX(properties!A$1:CB$87,'Fórmula'!F110,31)),IF(INDEX(properties!A$1:CB$87,'Fórmula'!H110,31)=0,10^6,INDEX(properties!A$1:CB$87,'Fórmula'!H110,31)),IF(INDEX(properties!A$1:CB$87,'Fórmula'!J110,31)=0,10^6,INDEX(properties!A$1:CB$87,'Fórmula'!J110,31)))</f>
        <v>1.35</v>
      </c>
      <c r="CY110" s="118">
        <f t="shared" si="17"/>
        <v>1.97</v>
      </c>
      <c r="CZ110" s="119">
        <f t="array" ref="CZ110">(('Fórmula'!C110)/('Fórmula'!C110+'Fórmula'!E110+'Fórmula'!G110+'Fórmula'!I110+'Fórmula'!K110))*(INDEX(properties!A$1:CB$87,'Fórmula'!B110,32))+(('Fórmula'!E110)/('Fórmula'!C110+'Fórmula'!E110+'Fórmula'!G110+'Fórmula'!I110+'Fórmula'!K110))*(INDEX(properties!A$1:CB$87,'Fórmula'!D110,32))+(('Fórmula'!G110)/('Fórmula'!C110+'Fórmula'!E110+'Fórmula'!G110+'Fórmula'!I110+'Fórmula'!K110))*(INDEX(properties!A$1:CB$87,'Fórmula'!F110,32))+(('Fórmula'!I110)/('Fórmula'!C110+'Fórmula'!E110+'Fórmula'!G110+'Fórmula'!I110+'Fórmula'!K110))*(INDEX(properties!A$1:CB$87,'Fórmula'!H110,32))+(('Fórmula'!K110)/('Fórmula'!C110+'Fórmula'!E110+'Fórmula'!G110+'Fórmula'!I110+'Fórmula'!K110))*(INDEX(properties!A$1:CB$87,'Fórmula'!J110,32))</f>
        <v>6.120930233</v>
      </c>
      <c r="DA110" s="119">
        <f t="array" ref="DA110">'Fórmula'!C110*(INDEX(properties!A$1:CB$87,'Fórmula'!B110,32))+'Fórmula'!E110*(INDEX(properties!A$1:CB$87,'Fórmula'!D110,32))+'Fórmula'!G110*(INDEX(properties!A$1:CB$87,'Fórmula'!F110,32))+'Fórmula'!I110*(INDEX(properties!A$1:CB$87,'Fórmula'!H110,32))+'Fórmula'!K110*(INDEX(properties!A$1:CB$87,'Fórmula'!J110,32))</f>
        <v>263.2</v>
      </c>
      <c r="DB110" s="119">
        <f t="array" ref="DB110">VARP(IF(INDEX(properties!A$1:CB$87,'Fórmula'!B110,32)&lt;&gt;"",INDEX(properties!A$1:CB$87,'Fórmula'!B110,32)),IF(INDEX(properties!A$1:CB$87,'Fórmula'!D110,32)&lt;&gt;"",INDEX(properties!A$1:CB$87,'Fórmula'!D110,32)),IF(INDEX(properties!A$1:CB$87,'Fórmula'!F110,32)&lt;&gt;"",INDEX(properties!A$1:CB$87,'Fórmula'!F110,32)),IF(INDEX(properties!A$1:CB$87,'Fórmula'!H110,32)&lt;&gt;"",INDEX(properties!A$1:CB$87,'Fórmula'!H110,32)),IF(INDEX(properties!A$1:CB$87,'Fórmula'!J110,32)&lt;&gt;"",INDEX(properties!A$1:CB$87,'Fórmula'!J110,32)))</f>
        <v>8.344176</v>
      </c>
      <c r="DC110" s="119">
        <f t="array" ref="DC110">MAX(INDEX(properties!A$1:CB$87,'Fórmula'!B110,32),INDEX(properties!A$1:CB$87,'Fórmula'!D110,32),INDEX(properties!A$1:CB$87,'Fórmula'!F110,32),INDEX(properties!A$1:CB$87,'Fórmula'!H110,32),INDEX(properties!A$1:CB$87,'Fórmula'!J110,32))</f>
        <v>7.54</v>
      </c>
      <c r="DD110" s="119">
        <f t="array" ref="DD110">MIN(IF(INDEX(properties!A$1:CB$87,'Fórmula'!B110,32)=0,10^6,INDEX(properties!A$1:CB$87,'Fórmula'!B110,32)),IF(INDEX(properties!A$1:CB$87,'Fórmula'!D110,32)=0,10^6,INDEX(properties!A$1:CB$87,'Fórmula'!D110,32)),IF(INDEX(properties!A$1:CB$87,'Fórmula'!F110,32)=0,10^6,INDEX(properties!A$1:CB$87,'Fórmula'!F110,32)),IF(INDEX(properties!A$1:CB$87,'Fórmula'!H110,32)=0,10^6,INDEX(properties!A$1:CB$87,'Fórmula'!H110,32)),IF(INDEX(properties!A$1:CB$87,'Fórmula'!J110,32)=0,10^6,INDEX(properties!A$1:CB$87,'Fórmula'!J110,32)))</f>
        <v>3.1</v>
      </c>
      <c r="DE110" s="119">
        <f t="shared" si="18"/>
        <v>4.44</v>
      </c>
      <c r="DF110" s="104">
        <f t="array" ref="DF110">(('Fórmula'!C110)/('Fórmula'!C110+'Fórmula'!E110+'Fórmula'!G110+'Fórmula'!I110+'Fórmula'!K110))*(INDEX(properties!A$1:CB$87,'Fórmula'!B110,34))+(('Fórmula'!E110)/('Fórmula'!C110+'Fórmula'!E110+'Fórmula'!G110+'Fórmula'!I110+'Fórmula'!K110))*(INDEX(properties!A$1:CB$87,'Fórmula'!D110,34))+(('Fórmula'!G110)/('Fórmula'!C110+'Fórmula'!E110+'Fórmula'!G110+'Fórmula'!I110+'Fórmula'!K110))*(INDEX(properties!A$1:CB$87,'Fórmula'!F110,34))+(('Fórmula'!I110)/('Fórmula'!C110+'Fórmula'!E110+'Fórmula'!G110+'Fórmula'!I110+'Fórmula'!K110))*(INDEX(properties!A$1:CB$87,'Fórmula'!H110,34))+(('Fórmula'!K110)/('Fórmula'!C110+'Fórmula'!E110+'Fórmula'!G110+'Fórmula'!I110+'Fórmula'!K110))*(INDEX(properties!A$1:CB$87,'Fórmula'!J110,34))</f>
        <v>2.787581395</v>
      </c>
      <c r="DG110" s="104">
        <f t="array" ref="DG110">'Fórmula'!C110*(INDEX(properties!A$1:CB$87,'Fórmula'!B110,34))+'Fórmula'!E110*(INDEX(properties!A$1:CB$87,'Fórmula'!D110,34))+'Fórmula'!G110*(INDEX(properties!A$1:CB$87,'Fórmula'!F110,34))+'Fórmula'!I110*(INDEX(properties!A$1:CB$87,'Fórmula'!H110,34))+'Fórmula'!K110*(INDEX(properties!A$1:CB$87,'Fórmula'!J110,34))</f>
        <v>119.866</v>
      </c>
      <c r="DH110" s="104">
        <f t="array" ref="DH110">VARP(IF(INDEX(properties!A$1:CB$87,'Fórmula'!B110,34)&lt;&gt;"",INDEX(properties!A$1:CB$87,'Fórmula'!B110,34)),IF(INDEX(properties!A$1:CB$87,'Fórmula'!D110,34)&lt;&gt;"",INDEX(properties!A$1:CB$87,'Fórmula'!D110,34)),IF(INDEX(properties!A$1:CB$87,'Fórmula'!F110,34)&lt;&gt;"",INDEX(properties!A$1:CB$87,'Fórmula'!F110,34)),IF(INDEX(properties!A$1:CB$87,'Fórmula'!H110,34)&lt;&gt;"",INDEX(properties!A$1:CB$87,'Fórmula'!H110,34)),IF(INDEX(properties!A$1:CB$87,'Fórmula'!J110,34)&lt;&gt;"",INDEX(properties!A$1:CB$87,'Fórmula'!J110,34)))</f>
        <v>1.82739296</v>
      </c>
      <c r="DI110" s="104">
        <f t="array" ref="DI110">MAX(INDEX(properties!A$1:CB$87,'Fórmula'!B110,34),INDEX(properties!A$1:CB$87,'Fórmula'!D110,34),INDEX(properties!A$1:CB$87,'Fórmula'!F110,34),INDEX(properties!A$1:CB$87,'Fórmula'!H110,34),INDEX(properties!A$1:CB$87,'Fórmula'!J110,34))</f>
        <v>3.61</v>
      </c>
      <c r="DJ110" s="104">
        <f t="array" ref="DJ110">MIN(IF(INDEX(properties!A$1:CB$87,'Fórmula'!B110,34)=0,10^6,INDEX(properties!A$1:CB$87,'Fórmula'!B110,34)),IF(INDEX(properties!A$1:CB$87,'Fórmula'!D110,34)=0,10^6,INDEX(properties!A$1:CB$87,'Fórmula'!D110,34)),IF(INDEX(properties!A$1:CB$87,'Fórmula'!F110,34)=0,10^6,INDEX(properties!A$1:CB$87,'Fórmula'!F110,34)),IF(INDEX(properties!A$1:CB$87,'Fórmula'!H110,34)=0,10^6,INDEX(properties!A$1:CB$87,'Fórmula'!H110,34)),IF(INDEX(properties!A$1:CB$87,'Fórmula'!J110,34)=0,10^6,INDEX(properties!A$1:CB$87,'Fórmula'!J110,34)))</f>
        <v>1.09</v>
      </c>
      <c r="DK110" s="104">
        <f t="shared" si="19"/>
        <v>2.52</v>
      </c>
      <c r="DL110" s="105">
        <f t="array" ref="DL110">(('Fórmula'!C110)/('Fórmula'!C110+'Fórmula'!E110+'Fórmula'!G110+'Fórmula'!I110+'Fórmula'!K110))*(INDEX(properties!A$1:CB$87,'Fórmula'!B110,37))+(('Fórmula'!E110)/('Fórmula'!C110+'Fórmula'!E110+'Fórmula'!G110+'Fórmula'!I110+'Fórmula'!K110))*(INDEX(properties!A$1:CB$87,'Fórmula'!D110,37))+(('Fórmula'!G110)/('Fórmula'!C110+'Fórmula'!E110+'Fórmula'!G110+'Fórmula'!I110+'Fórmula'!K110))*(INDEX(properties!A$1:CB$87,'Fórmula'!F110,37))+(('Fórmula'!I110)/('Fórmula'!C110+'Fórmula'!E110+'Fórmula'!G110+'Fórmula'!I110+'Fórmula'!K110))*(INDEX(properties!A$1:CB$87,'Fórmula'!H110,37))+(('Fórmula'!K110)/('Fórmula'!C110+'Fórmula'!E110+'Fórmula'!G110+'Fórmula'!I110+'Fórmula'!K110))*(INDEX(properties!A$1:CB$87,'Fórmula'!J110,37))</f>
        <v>2.696511628</v>
      </c>
      <c r="DM110" s="105">
        <f t="array" ref="DM110">'Fórmula'!C110*(INDEX(properties!A$1:CB$87,'Fórmula'!B110,37))+'Fórmula'!E110*(INDEX(properties!A$1:CB$87,'Fórmula'!D110,37))+'Fórmula'!G110*(INDEX(properties!A$1:CB$87,'Fórmula'!F110,37))+'Fórmula'!I110*(INDEX(properties!A$1:CB$87,'Fórmula'!H110,37))+'Fórmula'!K110*(INDEX(properties!A$1:CB$87,'Fórmula'!J110,37))</f>
        <v>115.95</v>
      </c>
      <c r="DN110" s="105">
        <f t="array" ref="DN110">VARP(IF(INDEX(properties!A$1:CB$87,'Fórmula'!B110,37)&lt;&gt;"",INDEX(properties!A$1:CB$87,'Fórmula'!B110,37)),IF(INDEX(properties!A$1:CB$87,'Fórmula'!D110,37)&lt;&gt;"",INDEX(properties!A$1:CB$87,'Fórmula'!D110,37)),IF(INDEX(properties!A$1:CB$87,'Fórmula'!F110,37)&lt;&gt;"",INDEX(properties!A$1:CB$87,'Fórmula'!F110,37)),IF(INDEX(properties!A$1:CB$87,'Fórmula'!H110,37)&lt;&gt;"",INDEX(properties!A$1:CB$87,'Fórmula'!H110,37)),IF(INDEX(properties!A$1:CB$87,'Fórmula'!J110,37)&lt;&gt;"",INDEX(properties!A$1:CB$87,'Fórmula'!J110,37)))</f>
        <v>1.6524</v>
      </c>
      <c r="DO110" s="105">
        <f t="array" ref="DO110">MAX(INDEX(properties!A$1:CB$87,'Fórmula'!B110,37),INDEX(properties!A$1:CB$87,'Fórmula'!D110,37),INDEX(properties!A$1:CB$87,'Fórmula'!F110,37),INDEX(properties!A$1:CB$87,'Fórmula'!H110,37),INDEX(properties!A$1:CB$87,'Fórmula'!J110,37))</f>
        <v>3.45</v>
      </c>
      <c r="DP110" s="105">
        <f t="array" ref="DP110">MIN(IF(INDEX(properties!A$1:CB$87,'Fórmula'!B110,37)=0,10^6,INDEX(properties!A$1:CB$87,'Fórmula'!B110,37)),IF(INDEX(properties!A$1:CB$87,'Fórmula'!D110,37)=0,10^6,INDEX(properties!A$1:CB$87,'Fórmula'!D110,37)),IF(INDEX(properties!A$1:CB$87,'Fórmula'!F110,37)=0,10^6,INDEX(properties!A$1:CB$87,'Fórmula'!F110,37)),IF(INDEX(properties!A$1:CB$87,'Fórmula'!H110,37)=0,10^6,INDEX(properties!A$1:CB$87,'Fórmula'!H110,37)),IF(INDEX(properties!A$1:CB$87,'Fórmula'!J110,37)=0,10^6,INDEX(properties!A$1:CB$87,'Fórmula'!J110,37)))</f>
        <v>1.2</v>
      </c>
      <c r="DQ110" s="105">
        <f t="shared" si="20"/>
        <v>2.25</v>
      </c>
      <c r="DR110" s="109">
        <f t="array" ref="DR110">(('Fórmula'!C110)/('Fórmula'!C110+'Fórmula'!E110+'Fórmula'!G110+'Fórmula'!I110+'Fórmula'!K110))*(INDEX(properties!A$1:CB$87,'Fórmula'!B110,39))+(('Fórmula'!E110)/('Fórmula'!C110+'Fórmula'!E110+'Fórmula'!G110+'Fórmula'!I110+'Fórmula'!K110))*(INDEX(properties!A$1:CB$87,'Fórmula'!D110,39))+(('Fórmula'!G110)/('Fórmula'!C110+'Fórmula'!E110+'Fórmula'!G110+'Fórmula'!I110+'Fórmula'!K110))*(INDEX(properties!A$1:CB$87,'Fórmula'!F110,39))+(('Fórmula'!I110)/('Fórmula'!C110+'Fórmula'!E110+'Fórmula'!G110+'Fórmula'!I110+'Fórmula'!K110))*(INDEX(properties!A$1:CB$87,'Fórmula'!H110,39))+(('Fórmula'!K110)/('Fórmula'!C110+'Fórmula'!E110+'Fórmula'!G110+'Fórmula'!I110+'Fórmula'!K110))*(INDEX(properties!A$1:CB$87,'Fórmula'!J110,39))</f>
        <v>0.9097674419</v>
      </c>
      <c r="DS110" s="109">
        <f t="array" ref="DS110">'Fórmula'!C110*(INDEX(properties!A$1:CB$87,'Fórmula'!B110,39))+'Fórmula'!E110*(INDEX(properties!A$1:CB$87,'Fórmula'!D110,39))+'Fórmula'!G110*(INDEX(properties!A$1:CB$87,'Fórmula'!F110,39))+'Fórmula'!I110*(INDEX(properties!A$1:CB$87,'Fórmula'!H110,39))+'Fórmula'!K110*(INDEX(properties!A$1:CB$87,'Fórmula'!J110,39))</f>
        <v>39.12</v>
      </c>
      <c r="DT110" s="109">
        <f t="array" ref="DT110">VARP(IF(INDEX(properties!A$1:CB$87,'Fórmula'!B110,39)&lt;&gt;"",INDEX(properties!A$1:CB$87,'Fórmula'!B110,39)),IF(INDEX(properties!A$1:CB$87,'Fórmula'!D110,39)&lt;&gt;"",INDEX(properties!A$1:CB$87,'Fórmula'!D110,39)),IF(INDEX(properties!A$1:CB$87,'Fórmula'!F110,39)&lt;&gt;"",INDEX(properties!A$1:CB$87,'Fórmula'!F110,39)),IF(INDEX(properties!A$1:CB$87,'Fórmula'!H110,39)&lt;&gt;"",INDEX(properties!A$1:CB$87,'Fórmula'!H110,39)),IF(INDEX(properties!A$1:CB$87,'Fórmula'!J110,39)&lt;&gt;"",INDEX(properties!A$1:CB$87,'Fórmula'!J110,39)))</f>
        <v>0.551736</v>
      </c>
      <c r="DU110" s="120">
        <f t="array" ref="DU110">MAX(INDEX(properties!A$1:CB$87,'Fórmula'!B110,39),INDEX(properties!A$1:CB$87,'Fórmula'!D110,39),INDEX(properties!A$1:CB$87,'Fórmula'!F110,39),INDEX(properties!A$1:CB$87,'Fórmula'!H110,39),INDEX(properties!A$1:CB$87,'Fórmula'!J110,39))</f>
        <v>1.95</v>
      </c>
      <c r="DV110" s="120">
        <f t="array" ref="DV110">MIN(IF(INDEX(properties!A$1:CB$87,'Fórmula'!B110,39)=0,10^6,INDEX(properties!A$1:CB$87,'Fórmula'!B110,39)),IF(INDEX(properties!A$1:CB$87,'Fórmula'!D110,39)=0,10^6,INDEX(properties!A$1:CB$87,'Fórmula'!D110,39)),IF(INDEX(properties!A$1:CB$87,'Fórmula'!F110,39)=0,10^6,INDEX(properties!A$1:CB$87,'Fórmula'!F110,39)),IF(INDEX(properties!A$1:CB$87,'Fórmula'!H110,39)=0,10^6,INDEX(properties!A$1:CB$87,'Fórmula'!H110,39)),IF(INDEX(properties!A$1:CB$87,'Fórmula'!J110,39)=0,10^6,INDEX(properties!A$1:CB$87,'Fórmula'!J110,39)))</f>
        <v>0.48</v>
      </c>
      <c r="DW110" s="109">
        <f t="shared" si="21"/>
        <v>1.47</v>
      </c>
      <c r="DX110" s="110">
        <f t="array" ref="DX110">(('Fórmula'!C110)/('Fórmula'!C110+'Fórmula'!E110+'Fórmula'!G110+'Fórmula'!I110+'Fórmula'!K110))*(INDEX(properties!A$1:CB$87,'Fórmula'!B110,40))+(('Fórmula'!E110)/('Fórmula'!C110+'Fórmula'!E110+'Fórmula'!G110+'Fórmula'!I110+'Fórmula'!K110))*(INDEX(properties!A$1:CB$87,'Fórmula'!D110,40))+(('Fórmula'!G110)/('Fórmula'!C110+'Fórmula'!E110+'Fórmula'!G110+'Fórmula'!I110+'Fórmula'!K110))*(INDEX(properties!A$1:CB$87,'Fórmula'!F110,40))+(('Fórmula'!I110)/('Fórmula'!C110+'Fórmula'!E110+'Fórmula'!G110+'Fórmula'!I110+'Fórmula'!K110))*(INDEX(properties!A$1:CB$87,'Fórmula'!H110,40))+(('Fórmula'!K110)/('Fórmula'!C110+'Fórmula'!E110+'Fórmula'!G110+'Fórmula'!I110+'Fórmula'!K110))*(INDEX(properties!A$1:CB$87,'Fórmula'!J110,40))</f>
        <v>1.00627907</v>
      </c>
      <c r="DY110" s="110">
        <f t="array" ref="DY110">'Fórmula'!C110*(INDEX(properties!A$1:CB$87,'Fórmula'!B110,40))+'Fórmula'!E110*(INDEX(properties!A$1:CB$87,'Fórmula'!D110,40))+'Fórmula'!G110*(INDEX(properties!A$1:CB$87,'Fórmula'!F110,40))+'Fórmula'!I110*(INDEX(properties!A$1:CB$87,'Fórmula'!H110,40))+'Fórmula'!K110*(INDEX(properties!A$1:CB$87,'Fórmula'!J110,40))</f>
        <v>43.27</v>
      </c>
      <c r="DZ110" s="110">
        <f t="array" ref="DZ110">VARP(IF(INDEX(properties!A$1:CB$87,'Fórmula'!B110,40)&lt;&gt;"",INDEX(properties!A$1:CB$87,'Fórmula'!B110,40)),IF(INDEX(properties!A$1:CB$87,'Fórmula'!D110,40)&lt;&gt;"",INDEX(properties!A$1:CB$87,'Fórmula'!D110,40)),IF(INDEX(properties!A$1:CB$87,'Fórmula'!F110,40)&lt;&gt;"",INDEX(properties!A$1:CB$87,'Fórmula'!F110,40)),IF(INDEX(properties!A$1:CB$87,'Fórmula'!H110,40)&lt;&gt;"",INDEX(properties!A$1:CB$87,'Fórmula'!H110,40)),IF(INDEX(properties!A$1:CB$87,'Fórmula'!J110,40)&lt;&gt;"",INDEX(properties!A$1:CB$87,'Fórmula'!J110,40)))</f>
        <v>0.425784</v>
      </c>
      <c r="EA110" s="121">
        <f t="array" ref="EA110">MAX(INDEX(properties!A$1:CB$87,'Fórmula'!B110,40),INDEX(properties!A$1:CB$87,'Fórmula'!D110,40),INDEX(properties!A$1:CB$87,'Fórmula'!F110,40),INDEX(properties!A$1:CB$87,'Fórmula'!H110,40),INDEX(properties!A$1:CB$87,'Fórmula'!J110,40))</f>
        <v>1.69</v>
      </c>
      <c r="EB110" s="121">
        <f t="array" ref="EB110">MIN(IF(INDEX(properties!A$1:CB$87,'Fórmula'!B110,40)=0,10^6,INDEX(properties!A$1:CB$87,'Fórmula'!B110,40)),IF(INDEX(properties!A$1:CB$87,'Fórmula'!D110,40)=0,10^6,INDEX(properties!A$1:CB$87,'Fórmula'!D110,40)),IF(INDEX(properties!A$1:CB$87,'Fórmula'!F110,40)=0,10^6,INDEX(properties!A$1:CB$87,'Fórmula'!F110,40)),IF(INDEX(properties!A$1:CB$87,'Fórmula'!H110,40)=0,10^6,INDEX(properties!A$1:CB$87,'Fórmula'!H110,40)),IF(INDEX(properties!A$1:CB$87,'Fórmula'!J110,40)=0,10^6,INDEX(properties!A$1:CB$87,'Fórmula'!J110,40)))</f>
        <v>0.73</v>
      </c>
      <c r="EC110" s="110">
        <f t="shared" si="22"/>
        <v>0.96</v>
      </c>
      <c r="ED110" s="111">
        <f t="array" ref="ED110">(('Fórmula'!C110)/('Fórmula'!C110+'Fórmula'!E110+'Fórmula'!G110+'Fórmula'!I110+'Fórmula'!K110))*(INDEX(properties!A$1:CB$87,'Fórmula'!B110,41))+(('Fórmula'!E110)/('Fórmula'!C110+'Fórmula'!E110+'Fórmula'!G110+'Fórmula'!I110+'Fórmula'!K110))*(INDEX(properties!A$1:CB$87,'Fórmula'!D110,41))+(('Fórmula'!G110)/('Fórmula'!C110+'Fórmula'!E110+'Fórmula'!G110+'Fórmula'!I110+'Fórmula'!K110))*(INDEX(properties!A$1:CB$87,'Fórmula'!F110,41))+(('Fórmula'!I110)/('Fórmula'!C110+'Fórmula'!E110+'Fórmula'!G110+'Fórmula'!I110+'Fórmula'!K110))*(INDEX(properties!A$1:CB$87,'Fórmula'!H110,41))+(('Fórmula'!K110)/('Fórmula'!C110+'Fórmula'!E110+'Fórmula'!G110+'Fórmula'!I110+'Fórmula'!K110))*(INDEX(properties!A$1:CB$87,'Fórmula'!J110,41))</f>
        <v>1.138604651</v>
      </c>
      <c r="EE110" s="111">
        <f t="array" ref="EE110">'Fórmula'!C110*(INDEX(properties!A$1:CB$87,'Fórmula'!B110,41))+'Fórmula'!E110*(INDEX(properties!A$1:CB$87,'Fórmula'!D110,41))+'Fórmula'!G110*(INDEX(properties!A$1:CB$87,'Fórmula'!F110,41))+'Fórmula'!I110*(INDEX(properties!A$1:CB$87,'Fórmula'!H110,41))+'Fórmula'!K110*(INDEX(properties!A$1:CB$87,'Fórmula'!J110,41))</f>
        <v>48.96</v>
      </c>
      <c r="EF110" s="111">
        <f t="array" ref="EF110">VARP(IF(INDEX(properties!A$1:CB$87,'Fórmula'!B110,41)&lt;&gt;"",INDEX(properties!A$1:CB$87,'Fórmula'!B110,41)),IF(INDEX(properties!A$1:CB$87,'Fórmula'!D110,41)&lt;&gt;"",INDEX(properties!A$1:CB$87,'Fórmula'!D110,41)),IF(INDEX(properties!A$1:CB$87,'Fórmula'!F110,41)&lt;&gt;"",INDEX(properties!A$1:CB$87,'Fórmula'!F110,41)),IF(INDEX(properties!A$1:CB$87,'Fórmula'!H110,41)&lt;&gt;"",INDEX(properties!A$1:CB$87,'Fórmula'!H110,41)),IF(INDEX(properties!A$1:CB$87,'Fórmula'!J110,41)&lt;&gt;"",INDEX(properties!A$1:CB$87,'Fórmula'!J110,41)))</f>
        <v>0.296784</v>
      </c>
      <c r="EG110" s="122">
        <f t="array" ref="EG110">MAX(INDEX(properties!A$1:CB$87,'Fórmula'!B110,41),INDEX(properties!A$1:CB$87,'Fórmula'!D110,41),INDEX(properties!A$1:CB$87,'Fórmula'!F110,41),INDEX(properties!A$1:CB$87,'Fórmula'!H110,41),INDEX(properties!A$1:CB$87,'Fórmula'!J110,41))</f>
        <v>1.26</v>
      </c>
      <c r="EH110" s="122">
        <f t="array" ref="EH110">MIN(IF(INDEX(properties!A$1:CB$87,'Fórmula'!B110,41)=0,10^6,INDEX(properties!A$1:CB$87,'Fórmula'!B110,41)),IF(INDEX(properties!A$1:CB$87,'Fórmula'!D110,41)=0,10^6,INDEX(properties!A$1:CB$87,'Fórmula'!D110,41)),IF(INDEX(properties!A$1:CB$87,'Fórmula'!F110,41)=0,10^6,INDEX(properties!A$1:CB$87,'Fórmula'!F110,41)),IF(INDEX(properties!A$1:CB$87,'Fórmula'!H110,41)=0,10^6,INDEX(properties!A$1:CB$87,'Fórmula'!H110,41)),IF(INDEX(properties!A$1:CB$87,'Fórmula'!J110,41)=0,10^6,INDEX(properties!A$1:CB$87,'Fórmula'!J110,41)))</f>
        <v>0.54</v>
      </c>
      <c r="EI110" s="111">
        <f t="shared" si="23"/>
        <v>0.72</v>
      </c>
      <c r="EJ110" s="112">
        <f t="array" ref="EJ110">(('Fórmula'!C110)/('Fórmula'!C110+'Fórmula'!E110+'Fórmula'!G110+'Fórmula'!I110+'Fórmula'!K110))*(INDEX(properties!A$1:CB$87,'Fórmula'!B110,45))+(('Fórmula'!E110)/('Fórmula'!C110+'Fórmula'!E110+'Fórmula'!G110+'Fórmula'!I110+'Fórmula'!K110))*(INDEX(properties!A$1:CB$87,'Fórmula'!D110,45))+(('Fórmula'!G110)/('Fórmula'!C110+'Fórmula'!E110+'Fórmula'!G110+'Fórmula'!I110+'Fórmula'!K110))*(INDEX(properties!A$1:CB$87,'Fórmula'!F110,45))+(('Fórmula'!I110)/('Fórmula'!C110+'Fórmula'!E110+'Fórmula'!G110+'Fórmula'!I110+'Fórmula'!K110))*(INDEX(properties!A$1:CB$87,'Fórmula'!H110,45))+(('Fórmula'!K110)/('Fórmula'!C110+'Fórmula'!E110+'Fórmula'!G110+'Fórmula'!I110+'Fórmula'!K110))*(INDEX(properties!A$1:CB$87,'Fórmula'!J110,45))</f>
        <v>1.209534884</v>
      </c>
      <c r="EK110" s="112">
        <f t="array" ref="EK110">'Fórmula'!C110*(INDEX(properties!A$1:CB$87,'Fórmula'!B110,45))+'Fórmula'!E110*(INDEX(properties!A$1:CB$87,'Fórmula'!D110,45))+'Fórmula'!G110*(INDEX(properties!A$1:CB$87,'Fórmula'!F110,45))+'Fórmula'!I110*(INDEX(properties!A$1:CB$87,'Fórmula'!H110,45))+'Fórmula'!K110*(INDEX(properties!A$1:CB$87,'Fórmula'!J110,45))</f>
        <v>52.01</v>
      </c>
      <c r="EL110" s="112">
        <f t="array" ref="EL110">VARP(IF(INDEX(properties!A$1:CB$87,'Fórmula'!B110,45)&lt;&gt;"",INDEX(properties!A$1:CB$87,'Fórmula'!B110,45)),IF(INDEX(properties!A$1:CB$87,'Fórmula'!D110,45)&lt;&gt;"",INDEX(properties!A$1:CB$87,'Fórmula'!D110,45)),IF(INDEX(properties!A$1:CB$87,'Fórmula'!F110,45)&lt;&gt;"",INDEX(properties!A$1:CB$87,'Fórmula'!F110,45)),IF(INDEX(properties!A$1:CB$87,'Fórmula'!H110,45)&lt;&gt;"",INDEX(properties!A$1:CB$87,'Fórmula'!H110,45)),IF(INDEX(properties!A$1:CB$87,'Fórmula'!J110,45)&lt;&gt;"",INDEX(properties!A$1:CB$87,'Fórmula'!J110,45)))</f>
        <v>1.356704</v>
      </c>
      <c r="EM110" s="123">
        <f t="array" ref="EM110">MAX(INDEX(properties!A$1:CB$87,'Fórmula'!B110,45),INDEX(properties!A$1:CB$87,'Fórmula'!D110,45),INDEX(properties!A$1:CB$87,'Fórmula'!F110,45),INDEX(properties!A$1:CB$87,'Fórmula'!H110,45),INDEX(properties!A$1:CB$87,'Fórmula'!J110,45))</f>
        <v>3.08</v>
      </c>
      <c r="EN110" s="123">
        <f t="array" ref="EN110">MIN(IF(INDEX(properties!A$1:CB$87,'Fórmula'!B110,45)=0,10^6,INDEX(properties!A$1:CB$87,'Fórmula'!B110,45)),IF(INDEX(properties!A$1:CB$87,'Fórmula'!D110,45)=0,10^6,INDEX(properties!A$1:CB$87,'Fórmula'!D110,45)),IF(INDEX(properties!A$1:CB$87,'Fórmula'!F110,45)=0,10^6,INDEX(properties!A$1:CB$87,'Fórmula'!F110,45)),IF(INDEX(properties!A$1:CB$87,'Fórmula'!H110,45)=0,10^6,INDEX(properties!A$1:CB$87,'Fórmula'!H110,45)),IF(INDEX(properties!A$1:CB$87,'Fórmula'!J110,45)=0,10^6,INDEX(properties!A$1:CB$87,'Fórmula'!J110,45)))</f>
        <v>0.47</v>
      </c>
      <c r="EO110" s="112">
        <f t="shared" si="24"/>
        <v>2.61</v>
      </c>
      <c r="EP110" s="113">
        <f t="array" ref="EP110">(('Fórmula'!C110)/('Fórmula'!C110+'Fórmula'!E110+'Fórmula'!G110+'Fórmula'!I110+'Fórmula'!K110))*(INDEX(properties!A$1:CB$87,'Fórmula'!B110,46))+(('Fórmula'!E110)/('Fórmula'!C110+'Fórmula'!E110+'Fórmula'!G110+'Fórmula'!I110+'Fórmula'!K110))*(INDEX(properties!A$1:CB$87,'Fórmula'!D110,46))+(('Fórmula'!G110)/('Fórmula'!C110+'Fórmula'!E110+'Fórmula'!G110+'Fórmula'!I110+'Fórmula'!K110))*(INDEX(properties!A$1:CB$87,'Fórmula'!F110,46))+(('Fórmula'!I110)/('Fórmula'!C110+'Fórmula'!E110+'Fórmula'!G110+'Fórmula'!I110+'Fórmula'!K110))*(INDEX(properties!A$1:CB$87,'Fórmula'!H110,46))+(('Fórmula'!K110)/('Fórmula'!C110+'Fórmula'!E110+'Fórmula'!G110+'Fórmula'!I110+'Fórmula'!K110))*(INDEX(properties!A$1:CB$87,'Fórmula'!J110,46))</f>
        <v>1.131860465</v>
      </c>
      <c r="EQ110" s="113">
        <f t="array" ref="EQ110">'Fórmula'!C110*(INDEX(properties!A$1:CB$87,'Fórmula'!B110,46))+'Fórmula'!E110*(INDEX(properties!A$1:CB$87,'Fórmula'!D110,46))+'Fórmula'!G110*(INDEX(properties!A$1:CB$87,'Fórmula'!F110,46))+'Fórmula'!I110*(INDEX(properties!A$1:CB$87,'Fórmula'!H110,46))+'Fórmula'!K110*(INDEX(properties!A$1:CB$87,'Fórmula'!J110,46))</f>
        <v>48.67</v>
      </c>
      <c r="ER110" s="113">
        <f t="array" ref="ER110">VARP(IF(INDEX(properties!A$1:CB$87,'Fórmula'!B110,46)&lt;&gt;"",INDEX(properties!A$1:CB$87,'Fórmula'!B110,46)),IF(INDEX(properties!A$1:CB$87,'Fórmula'!D110,46)&lt;&gt;"",INDEX(properties!A$1:CB$87,'Fórmula'!D110,46)),IF(INDEX(properties!A$1:CB$87,'Fórmula'!F110,46)&lt;&gt;"",INDEX(properties!A$1:CB$87,'Fórmula'!F110,46)),IF(INDEX(properties!A$1:CB$87,'Fórmula'!H110,46)&lt;&gt;"",INDEX(properties!A$1:CB$87,'Fórmula'!H110,46)),IF(INDEX(properties!A$1:CB$87,'Fórmula'!J110,46)&lt;&gt;"",INDEX(properties!A$1:CB$87,'Fórmula'!J110,46)))</f>
        <v>0.341904</v>
      </c>
      <c r="ES110" s="124">
        <f t="array" ref="ES110">MAX(INDEX(properties!A$1:CB$87,'Fórmula'!B110,46),INDEX(properties!A$1:CB$87,'Fórmula'!D110,46),INDEX(properties!A$1:CB$87,'Fórmula'!F110,46),INDEX(properties!A$1:CB$87,'Fórmula'!H110,46),INDEX(properties!A$1:CB$87,'Fórmula'!J110,46))</f>
        <v>1.36</v>
      </c>
      <c r="ET110" s="124">
        <f t="array" ref="ET110">MIN(IF(INDEX(properties!A$1:CB$87,'Fórmula'!B110,46)=0,10^6,INDEX(properties!A$1:CB$87,'Fórmula'!B110,46)),IF(INDEX(properties!A$1:CB$87,'Fórmula'!D110,46)=0,10^6,INDEX(properties!A$1:CB$87,'Fórmula'!D110,46)),IF(INDEX(properties!A$1:CB$87,'Fórmula'!F110,46)=0,10^6,INDEX(properties!A$1:CB$87,'Fórmula'!F110,46)),IF(INDEX(properties!A$1:CB$87,'Fórmula'!H110,46)=0,10^6,INDEX(properties!A$1:CB$87,'Fórmula'!H110,46)),IF(INDEX(properties!A$1:CB$87,'Fórmula'!J110,46)=0,10^6,INDEX(properties!A$1:CB$87,'Fórmula'!J110,46)))</f>
        <v>0.4</v>
      </c>
      <c r="EU110" s="113">
        <f t="shared" si="25"/>
        <v>0.96</v>
      </c>
      <c r="EV110" s="114">
        <f t="array" ref="EV110">(('Fórmula'!C110)/('Fórmula'!C110+'Fórmula'!E110+'Fórmula'!G110+'Fórmula'!I110+'Fórmula'!K110))*(INDEX(properties!A$1:CB$87,'Fórmula'!B110,52))+(('Fórmula'!E110)/('Fórmula'!C110+'Fórmula'!E110+'Fórmula'!G110+'Fórmula'!I110+'Fórmula'!K110))*(INDEX(properties!A$1:CB$87,'Fórmula'!D110,52))+(('Fórmula'!G110)/('Fórmula'!C110+'Fórmula'!E110+'Fórmula'!G110+'Fórmula'!I110+'Fórmula'!K110))*(INDEX(properties!A$1:CB$87,'Fórmula'!F110,52))+(('Fórmula'!I110)/('Fórmula'!C110+'Fórmula'!E110+'Fórmula'!G110+'Fórmula'!I110+'Fórmula'!K110))*(INDEX(properties!A$1:CB$87,'Fórmula'!H110,52))+(('Fórmula'!K110)/('Fórmula'!C110+'Fórmula'!E110+'Fórmula'!G110+'Fórmula'!I110+'Fórmula'!K110))*(INDEX(properties!A$1:CB$87,'Fórmula'!J110,52))</f>
        <v>8.483976744</v>
      </c>
      <c r="EW110" s="114">
        <f t="array" ref="EW110">'Fórmula'!C110*(INDEX(properties!A$1:CB$87,'Fórmula'!B110,52))+'Fórmula'!E110*(INDEX(properties!A$1:CB$87,'Fórmula'!D110,52))+'Fórmula'!G110*(INDEX(properties!A$1:CB$87,'Fórmula'!F110,52))+'Fórmula'!I110*(INDEX(properties!A$1:CB$87,'Fórmula'!H110,52))+'Fórmula'!K110*(INDEX(properties!A$1:CB$87,'Fórmula'!J110,52))</f>
        <v>364.811</v>
      </c>
      <c r="EX110" s="114">
        <f t="array" ref="EX110">VARP(IF(INDEX(properties!A$1:CB$87,'Fórmula'!B110,52)&lt;&gt;"",INDEX(properties!A$1:CB$87,'Fórmula'!B110,52)),IF(INDEX(properties!A$1:CB$87,'Fórmula'!D110,52)&lt;&gt;"",INDEX(properties!A$1:CB$87,'Fórmula'!D110,52)),IF(INDEX(properties!A$1:CB$87,'Fórmula'!F110,52)&lt;&gt;"",INDEX(properties!A$1:CB$87,'Fórmula'!F110,52)),IF(INDEX(properties!A$1:CB$87,'Fórmula'!H110,52)&lt;&gt;"",INDEX(properties!A$1:CB$87,'Fórmula'!H110,52)),IF(INDEX(properties!A$1:CB$87,'Fórmula'!J110,52)&lt;&gt;"",INDEX(properties!A$1:CB$87,'Fórmula'!J110,52)))</f>
        <v>143.7690558</v>
      </c>
      <c r="EY110" s="114">
        <f t="array" ref="EY110">MAX(INDEX(properties!A$1:CB$87,'Fórmula'!B110,52),INDEX(properties!A$1:CB$87,'Fórmula'!D110,52),INDEX(properties!A$1:CB$87,'Fórmula'!F110,52),INDEX(properties!A$1:CB$87,'Fórmula'!H110,52),INDEX(properties!A$1:CB$87,'Fórmula'!J110,52))</f>
        <v>31.1</v>
      </c>
      <c r="EZ110" s="114">
        <f t="array" ref="EZ110">MIN(IF(INDEX(properties!A$1:CB$87,'Fórmula'!B110,52)=0,10^6,INDEX(properties!A$1:CB$87,'Fórmula'!B110,52)),IF(INDEX(properties!A$1:CB$87,'Fórmula'!D110,52)=0,10^6,INDEX(properties!A$1:CB$87,'Fórmula'!D110,52)),IF(INDEX(properties!A$1:CB$87,'Fórmula'!F110,52)=0,10^6,INDEX(properties!A$1:CB$87,'Fórmula'!F110,52)),IF(INDEX(properties!A$1:CB$87,'Fórmula'!H110,52)=0,10^6,INDEX(properties!A$1:CB$87,'Fórmula'!H110,52)),IF(INDEX(properties!A$1:CB$87,'Fórmula'!J110,52)=0,10^6,INDEX(properties!A$1:CB$87,'Fórmula'!J110,52)))</f>
        <v>0.793</v>
      </c>
      <c r="FA110" s="114">
        <f t="shared" si="26"/>
        <v>30.307</v>
      </c>
      <c r="FB110" s="115">
        <f t="array" ref="FB110">(('Fórmula'!C110)/('Fórmula'!C110+'Fórmula'!E110+'Fórmula'!G110+'Fórmula'!I110+'Fórmula'!K110))*(INDEX(properties!A$1:CB$87,'Fórmula'!B110,53))+(('Fórmula'!E110)/('Fórmula'!C110+'Fórmula'!E110+'Fórmula'!G110+'Fórmula'!I110+'Fórmula'!K110))*(INDEX(properties!A$1:CB$87,'Fórmula'!D110,53))+(('Fórmula'!G110)/('Fórmula'!C110+'Fórmula'!E110+'Fórmula'!G110+'Fórmula'!I110+'Fórmula'!K110))*(INDEX(properties!A$1:CB$87,'Fórmula'!F110,53))+(('Fórmula'!I110)/('Fórmula'!C110+'Fórmula'!E110+'Fórmula'!G110+'Fórmula'!I110+'Fórmula'!K110))*(INDEX(properties!A$1:CB$87,'Fórmula'!H110,53))+(('Fórmula'!K110)/('Fórmula'!C110+'Fórmula'!E110+'Fórmula'!G110+'Fórmula'!I110+'Fórmula'!K110))*(INDEX(properties!A$1:CB$87,'Fórmula'!J110,53))</f>
        <v>546.7127907</v>
      </c>
      <c r="FC110" s="115">
        <f t="array" ref="FC110">'Fórmula'!C110*(INDEX(properties!A$1:CB$87,'Fórmula'!B110,53))+'Fórmula'!E110*(INDEX(properties!A$1:CB$87,'Fórmula'!D110,53))+'Fórmula'!G110*(INDEX(properties!A$1:CB$87,'Fórmula'!F110,53))+'Fórmula'!I110*(INDEX(properties!A$1:CB$87,'Fórmula'!H110,53))+'Fórmula'!K110*(INDEX(properties!A$1:CB$87,'Fórmula'!J110,53))</f>
        <v>23508.65</v>
      </c>
      <c r="FD110" s="115">
        <f t="array" ref="FD110">VARP(IF(INDEX(properties!A$1:CB$87,'Fórmula'!B110,53)&lt;&gt;"",INDEX(properties!A$1:CB$87,'Fórmula'!B110,53)),IF(INDEX(properties!A$1:CB$87,'Fórmula'!D110,53)&lt;&gt;"",INDEX(properties!A$1:CB$87,'Fórmula'!D110,53)),IF(INDEX(properties!A$1:CB$87,'Fórmula'!F110,53)&lt;&gt;"",INDEX(properties!A$1:CB$87,'Fórmula'!F110,53)),IF(INDEX(properties!A$1:CB$87,'Fórmula'!H110,53)&lt;&gt;"",INDEX(properties!A$1:CB$87,'Fórmula'!H110,53)),IF(INDEX(properties!A$1:CB$87,'Fórmula'!J110,53)&lt;&gt;"",INDEX(properties!A$1:CB$87,'Fórmula'!J110,53)))</f>
        <v>508277.5174</v>
      </c>
      <c r="FE110" s="115">
        <f t="array" ref="FE110">MAX(INDEX(properties!A$1:CB$87,'Fórmula'!B110,53),INDEX(properties!A$1:CB$87,'Fórmula'!D110,53),INDEX(properties!A$1:CB$87,'Fórmula'!F110,53),INDEX(properties!A$1:CB$87,'Fórmula'!H110,53),INDEX(properties!A$1:CB$87,'Fórmula'!J110,53))</f>
        <v>1683.15</v>
      </c>
      <c r="FF110" s="115">
        <f t="array" ref="FF110">MIN(IF(INDEX(properties!A$1:CB$87,'Fórmula'!B110,53)=0,10^6,INDEX(properties!A$1:CB$87,'Fórmula'!B110,53)),IF(INDEX(properties!A$1:CB$87,'Fórmula'!D110,53)=0,10^6,INDEX(properties!A$1:CB$87,'Fórmula'!D110,53)),IF(INDEX(properties!A$1:CB$87,'Fórmula'!F110,53)=0,10^6,INDEX(properties!A$1:CB$87,'Fórmula'!F110,53)),IF(INDEX(properties!A$1:CB$87,'Fórmula'!H110,53)=0,10^6,INDEX(properties!A$1:CB$87,'Fórmula'!H110,53)),IF(INDEX(properties!A$1:CB$87,'Fórmula'!J110,53)=0,10^6,INDEX(properties!A$1:CB$87,'Fórmula'!J110,53)))</f>
        <v>54.75</v>
      </c>
      <c r="FG110" s="115">
        <f t="shared" si="27"/>
        <v>1628.4</v>
      </c>
      <c r="FH110" s="117">
        <f t="array" ref="FH110">(('Fórmula'!C110)/('Fórmula'!C110+'Fórmula'!E110+'Fórmula'!G110+'Fórmula'!I110+'Fórmula'!K110))*(INDEX(properties!A$1:CB$87,'Fórmula'!B110,54))+(('Fórmula'!E110)/('Fórmula'!C110+'Fórmula'!E110+'Fórmula'!G110+'Fórmula'!I110+'Fórmula'!K110))*(INDEX(properties!A$1:CB$87,'Fórmula'!D110,54))+(('Fórmula'!G110)/('Fórmula'!C110+'Fórmula'!E110+'Fórmula'!G110+'Fórmula'!I110+'Fórmula'!K110))*(INDEX(properties!A$1:CB$87,'Fórmula'!F110,54))+(('Fórmula'!I110)/('Fórmula'!C110+'Fórmula'!E110+'Fórmula'!G110+'Fórmula'!I110+'Fórmula'!K110))*(INDEX(properties!A$1:CB$87,'Fórmula'!H110,54))+(('Fórmula'!K110)/('Fórmula'!C110+'Fórmula'!E110+'Fórmula'!G110+'Fórmula'!I110+'Fórmula'!K110))*(INDEX(properties!A$1:CB$87,'Fórmula'!J110,54))</f>
        <v>1290.103488</v>
      </c>
      <c r="FI110" s="117">
        <f t="array" ref="FI110">'Fórmula'!C110*(INDEX(properties!A$1:CB$87,'Fórmula'!B110,54))+'Fórmula'!E110*(INDEX(properties!A$1:CB$87,'Fórmula'!D110,54))+'Fórmula'!G110*(INDEX(properties!A$1:CB$87,'Fórmula'!F110,54))+'Fórmula'!I110*(INDEX(properties!A$1:CB$87,'Fórmula'!H110,54))+'Fórmula'!K110*(INDEX(properties!A$1:CB$87,'Fórmula'!J110,54))</f>
        <v>55474.45</v>
      </c>
      <c r="FJ110" s="117">
        <f t="array" ref="FJ110">VARP(IF(INDEX(properties!A$1:CB$87,'Fórmula'!B110,54)&lt;&gt;"",INDEX(properties!A$1:CB$87,'Fórmula'!B110,54)),IF(INDEX(properties!A$1:CB$87,'Fórmula'!D110,54)&lt;&gt;"",INDEX(properties!A$1:CB$87,'Fórmula'!D110,54)),IF(INDEX(properties!A$1:CB$87,'Fórmula'!F110,54)&lt;&gt;"",INDEX(properties!A$1:CB$87,'Fórmula'!F110,54)),IF(INDEX(properties!A$1:CB$87,'Fórmula'!H110,54)&lt;&gt;"",INDEX(properties!A$1:CB$87,'Fórmula'!H110,54)),IF(INDEX(properties!A$1:CB$87,'Fórmula'!J110,54)&lt;&gt;"",INDEX(properties!A$1:CB$87,'Fórmula'!J110,54)))</f>
        <v>2499636.285</v>
      </c>
      <c r="FK110" s="117">
        <f t="array" ref="FK110">MAX(INDEX(properties!A$1:CB$87,'Fórmula'!B110,54),INDEX(properties!A$1:CB$87,'Fórmula'!D110,54),INDEX(properties!A$1:CB$87,'Fórmula'!F110,54),INDEX(properties!A$1:CB$87,'Fórmula'!H110,54),INDEX(properties!A$1:CB$87,'Fórmula'!J110,54))</f>
        <v>3727.15</v>
      </c>
      <c r="FL110" s="117">
        <f t="array" ref="FL110">MIN(IF(INDEX(properties!A$1:CB$87,'Fórmula'!B110,54)=0,10^6,INDEX(properties!A$1:CB$87,'Fórmula'!B110,54)),IF(INDEX(properties!A$1:CB$87,'Fórmula'!D110,54)=0,10^6,INDEX(properties!A$1:CB$87,'Fórmula'!D110,54)),IF(INDEX(properties!A$1:CB$87,'Fórmula'!F110,54)=0,10^6,INDEX(properties!A$1:CB$87,'Fórmula'!F110,54)),IF(INDEX(properties!A$1:CB$87,'Fórmula'!H110,54)=0,10^6,INDEX(properties!A$1:CB$87,'Fórmula'!H110,54)),IF(INDEX(properties!A$1:CB$87,'Fórmula'!J110,54)=0,10^6,INDEX(properties!A$1:CB$87,'Fórmula'!J110,54)))</f>
        <v>90.15</v>
      </c>
      <c r="FM110" s="117">
        <f t="shared" si="28"/>
        <v>3637</v>
      </c>
      <c r="FN110" s="118">
        <f t="array" ref="FN110">(('Fórmula'!C110)/('Fórmula'!C110+'Fórmula'!E110+'Fórmula'!G110+'Fórmula'!I110+'Fórmula'!K110))*(INDEX(properties!A$1:CB$87,'Fórmula'!B110,55))+(('Fórmula'!E110)/('Fórmula'!C110+'Fórmula'!E110+'Fórmula'!G110+'Fórmula'!I110+'Fórmula'!K110))*(INDEX(properties!A$1:CB$87,'Fórmula'!D110,55))+(('Fórmula'!G110)/('Fórmula'!C110+'Fórmula'!E110+'Fórmula'!G110+'Fórmula'!I110+'Fórmula'!K110))*(INDEX(properties!A$1:CB$87,'Fórmula'!F110,55))+(('Fórmula'!I110)/('Fórmula'!C110+'Fórmula'!E110+'Fórmula'!G110+'Fórmula'!I110+'Fórmula'!K110))*(INDEX(properties!A$1:CB$87,'Fórmula'!H110,55))+(('Fórmula'!K110)/('Fórmula'!C110+'Fórmula'!E110+'Fórmula'!G110+'Fórmula'!I110+'Fórmula'!K110))*(INDEX(properties!A$1:CB$87,'Fórmula'!J110,55))</f>
        <v>1.756246744</v>
      </c>
      <c r="FO110" s="118">
        <f t="array" ref="FO110">'Fórmula'!C110*(INDEX(properties!A$1:CB$87,'Fórmula'!B110,55))+'Fórmula'!E110*(INDEX(properties!A$1:CB$87,'Fórmula'!D110,54))+'Fórmula'!G110*(INDEX(properties!A$1:CB$87,'Fórmula'!F110,55))+'Fórmula'!I110*(INDEX(properties!A$1:CB$87,'Fórmula'!H110,55))+'Fórmula'!K110*(INDEX(properties!A$1:CB$87,'Fórmula'!J110,55))</f>
        <v>15830.43861</v>
      </c>
      <c r="FP110" s="118">
        <f t="array" ref="FP110">VARP(IF(INDEX(properties!A$1:CB$87,'Fórmula'!B110,55)&lt;&gt;"",INDEX(properties!A$1:CB$87,'Fórmula'!B110,55)),IF(INDEX(properties!A$1:CB$87,'Fórmula'!D110,55)&lt;&gt;"",INDEX(properties!A$1:CB$87,'Fórmula'!D110,55)),IF(INDEX(properties!A$1:CB$87,'Fórmula'!F110,55)&lt;&gt;"",INDEX(properties!A$1:CB$87,'Fórmula'!F110,55)),IF(INDEX(properties!A$1:CB$87,'Fórmula'!H110,55)&lt;&gt;"",INDEX(properties!A$1:CB$87,'Fórmula'!H110,55)),IF(INDEX(properties!A$1:CB$87,'Fórmula'!J110,55)&lt;&gt;"",INDEX(properties!A$1:CB$87,'Fórmula'!J110,55)))</f>
        <v>5.772894215</v>
      </c>
      <c r="FQ110" s="118">
        <f t="array" ref="FQ110">MAX(INDEX(properties!A$1:CB$87,'Fórmula'!B110,55),INDEX(properties!A$1:CB$87,'Fórmula'!D110,55),INDEX(properties!A$1:CB$87,'Fórmula'!F110,55),INDEX(properties!A$1:CB$87,'Fórmula'!H110,55),INDEX(properties!A$1:CB$87,'Fórmula'!J110,55))</f>
        <v>6.15</v>
      </c>
      <c r="FR110" s="118">
        <f t="array" ref="FR110">MIN(IF(INDEX(properties!A$1:CB$87,'Fórmula'!B110,55)=0,10^6,INDEX(properties!A$1:CB$87,'Fórmula'!B110,55)),IF(INDEX(properties!A$1:CB$87,'Fórmula'!D110,55)=0,10^6,INDEX(properties!A$1:CB$87,'Fórmula'!D110,55)),IF(INDEX(properties!A$1:CB$87,'Fórmula'!F110,55)=0,10^6,INDEX(properties!A$1:CB$87,'Fórmula'!F110,55)),IF(INDEX(properties!A$1:CB$87,'Fórmula'!H110,55)=0,10^6,INDEX(properties!A$1:CB$87,'Fórmula'!H110,55)),IF(INDEX(properties!A$1:CB$87,'Fórmula'!J110,55)=0,10^6,INDEX(properties!A$1:CB$87,'Fórmula'!J110,55)))</f>
        <v>0.00143</v>
      </c>
      <c r="FS110" s="118">
        <f t="shared" si="29"/>
        <v>6.14857</v>
      </c>
      <c r="FT110" s="119">
        <f t="array" ref="FT110">(('Fórmula'!C110)/('Fórmula'!C110+'Fórmula'!E110+'Fórmula'!G110+'Fórmula'!I110+'Fórmula'!K110))*(INDEX(properties!A$1:CB$87,'Fórmula'!B110,56))+(('Fórmula'!E110)/('Fórmula'!C110+'Fórmula'!E110+'Fórmula'!G110+'Fórmula'!I110+'Fórmula'!K110))*(INDEX(properties!A$1:CB$87,'Fórmula'!D110,56))+(('Fórmula'!G110)/('Fórmula'!C110+'Fórmula'!E110+'Fórmula'!G110+'Fórmula'!I110+'Fórmula'!K110))*(INDEX(properties!A$1:CB$87,'Fórmula'!F110,56))+(('Fórmula'!I110)/('Fórmula'!C110+'Fórmula'!E110+'Fórmula'!G110+'Fórmula'!I110+'Fórmula'!K110))*(INDEX(properties!A$1:CB$87,'Fórmula'!H110,56))+(('Fórmula'!K110)/('Fórmula'!C110+'Fórmula'!E110+'Fórmula'!G110+'Fórmula'!I110+'Fórmula'!K110))*(INDEX(properties!A$1:CB$87,'Fórmula'!J110,56))</f>
        <v>0.7209302326</v>
      </c>
      <c r="FU110" s="119">
        <f t="array" ref="FU110">'Fórmula'!C110*(INDEX(properties!A$1:CB$87,'Fórmula'!B110,56))+'Fórmula'!E110*(INDEX(properties!A$1:CB$87,'Fórmula'!D110,56))+'Fórmula'!G110*(INDEX(properties!A$1:CB$87,'Fórmula'!F110,56))+'Fórmula'!I110*(INDEX(properties!A$1:CB$87,'Fórmula'!H110,56))+'Fórmula'!K110*(INDEX(properties!A$1:CB$87,'Fórmula'!J110,56))</f>
        <v>31</v>
      </c>
      <c r="FV110" s="119">
        <f t="array" ref="FV110">VARP(IF(INDEX(properties!A$1:CB$87,'Fórmula'!B110,56)&lt;&gt;"",INDEX(properties!A$1:CB$87,'Fórmula'!B110,56)),IF(INDEX(properties!A$1:CB$87,'Fórmula'!D110,56)&lt;&gt;"",INDEX(properties!A$1:CB$87,'Fórmula'!D110,56)),IF(INDEX(properties!A$1:CB$87,'Fórmula'!F110,56)&lt;&gt;"",INDEX(properties!A$1:CB$87,'Fórmula'!F110,56)),IF(INDEX(properties!A$1:CB$87,'Fórmula'!H110,56)&lt;&gt;"",INDEX(properties!A$1:CB$87,'Fórmula'!H110,56)),IF(INDEX(properties!A$1:CB$87,'Fórmula'!J110,56)&lt;&gt;"",INDEX(properties!A$1:CB$87,'Fórmula'!J110,56)))</f>
        <v>0.144824</v>
      </c>
      <c r="FW110" s="119">
        <f t="array" ref="FW110">MAX(INDEX(properties!A$1:CB$87,'Fórmula'!B110,56),INDEX(properties!A$1:CB$87,'Fórmula'!D110,56),INDEX(properties!A$1:CB$87,'Fórmula'!F110,56),INDEX(properties!A$1:CB$87,'Fórmula'!H110,56),INDEX(properties!A$1:CB$87,'Fórmula'!J110,56))</f>
        <v>0.92</v>
      </c>
      <c r="FX110" s="119">
        <f t="array" ref="FX110">MIN(IF(INDEX(properties!A$1:CB$87,'Fórmula'!B110,56)=0,10^6,INDEX(properties!A$1:CB$87,'Fórmula'!B110,56)),IF(INDEX(properties!A$1:CB$87,'Fórmula'!D110,56)=0,10^6,INDEX(properties!A$1:CB$87,'Fórmula'!D110,56)),IF(INDEX(properties!A$1:CB$87,'Fórmula'!F110,56)=0,10^6,INDEX(properties!A$1:CB$87,'Fórmula'!F110,56)),IF(INDEX(properties!A$1:CB$87,'Fórmula'!H110,56)=0,10^6,INDEX(properties!A$1:CB$87,'Fórmula'!H110,56)),IF(INDEX(properties!A$1:CB$87,'Fórmula'!J110,56)=0,10^6,INDEX(properties!A$1:CB$87,'Fórmula'!J110,56)))</f>
        <v>0.19</v>
      </c>
      <c r="FY110" s="119">
        <f t="shared" si="30"/>
        <v>0.73</v>
      </c>
      <c r="FZ110" s="104">
        <f t="array" ref="FZ110">(('Fórmula'!C110)/('Fórmula'!C110+'Fórmula'!E110+'Fórmula'!G110+'Fórmula'!I110+'Fórmula'!K110))*(INDEX(properties!A$1:CB$87,'Fórmula'!B110,57))+(('Fórmula'!E110)/('Fórmula'!C110+'Fórmula'!E110+'Fórmula'!G110+'Fórmula'!I110+'Fórmula'!K110))*(INDEX(properties!A$1:CB$87,'Fórmula'!D110,57))+(('Fórmula'!G110)/('Fórmula'!C110+'Fórmula'!E110+'Fórmula'!G110+'Fórmula'!I110+'Fórmula'!K110))*(INDEX(properties!A$1:CB$87,'Fórmula'!F110,57))+(('Fórmula'!I110)/('Fórmula'!C110+'Fórmula'!E110+'Fórmula'!G110+'Fórmula'!I110+'Fórmula'!K110))*(INDEX(properties!A$1:CB$87,'Fórmula'!H110,57))+(('Fórmula'!K110)/('Fórmula'!C110+'Fórmula'!E110+'Fórmula'!G110+'Fórmula'!I110+'Fórmula'!K110))*(INDEX(properties!A$1:CB$87,'Fórmula'!J110,57))</f>
        <v>8.635114651</v>
      </c>
      <c r="GA110" s="104">
        <f t="array" ref="GA110">'Fórmula'!C110*(INDEX(properties!A$1:CB$87,'Fórmula'!B110,57))+'Fórmula'!E110*(INDEX(properties!A$1:CB$87,'Fórmula'!D110,57))+'Fórmula'!G110*(INDEX(properties!A$1:CB$87,'Fórmula'!F110,57))+'Fórmula'!I110*(INDEX(properties!A$1:CB$87,'Fórmula'!H110,57))+'Fórmula'!K110*(INDEX(properties!A$1:CB$87,'Fórmula'!J110,57))</f>
        <v>371.30993</v>
      </c>
      <c r="GB110" s="104">
        <f t="array" ref="GB110">VARP(IF(INDEX(properties!A$1:CB$87,'Fórmula'!B110,57)&lt;&gt;"",INDEX(properties!A$1:CB$87,'Fórmula'!B110,57)),IF(INDEX(properties!A$1:CB$87,'Fórmula'!D110,57)&lt;&gt;"",INDEX(properties!A$1:CB$87,'Fórmula'!D110,57)),IF(INDEX(properties!A$1:CB$87,'Fórmula'!F110,57)&lt;&gt;"",INDEX(properties!A$1:CB$87,'Fórmula'!F110,57)),IF(INDEX(properties!A$1:CB$87,'Fórmula'!H110,57)&lt;&gt;"",INDEX(properties!A$1:CB$87,'Fórmula'!H110,57)),IF(INDEX(properties!A$1:CB$87,'Fórmula'!J110,57)&lt;&gt;"",INDEX(properties!A$1:CB$87,'Fórmula'!J110,57)))</f>
        <v>388.9233688</v>
      </c>
      <c r="GC110" s="104">
        <f t="array" ref="GC110">MAX(INDEX(properties!A$1:CB$87,'Fórmula'!B110,57),INDEX(properties!A$1:CB$87,'Fórmula'!D110,57),INDEX(properties!A$1:CB$87,'Fórmula'!F110,57),INDEX(properties!A$1:CB$87,'Fórmula'!H110,57),INDEX(properties!A$1:CB$87,'Fórmula'!J110,57))</f>
        <v>50.55</v>
      </c>
      <c r="GD110" s="104">
        <f t="array" ref="GD110">MIN(IF(INDEX(properties!A$1:CB$87,'Fórmula'!B110,57)=0,10^6,INDEX(properties!A$1:CB$87,'Fórmula'!B110,57)),IF(INDEX(properties!A$1:CB$87,'Fórmula'!D110,57)=0,10^6,INDEX(properties!A$1:CB$87,'Fórmula'!D110,57)),IF(INDEX(properties!A$1:CB$87,'Fórmula'!F110,57)=0,10^6,INDEX(properties!A$1:CB$87,'Fórmula'!F110,57)),IF(INDEX(properties!A$1:CB$87,'Fórmula'!H110,57)=0,10^6,INDEX(properties!A$1:CB$87,'Fórmula'!H110,57)),IF(INDEX(properties!A$1:CB$87,'Fórmula'!J110,57)=0,10^6,INDEX(properties!A$1:CB$87,'Fórmula'!J110,57)))</f>
        <v>0.22259</v>
      </c>
      <c r="GE110" s="104">
        <f t="shared" si="31"/>
        <v>50.32741</v>
      </c>
      <c r="GF110" s="105">
        <f t="array" ref="GF110">(('Fórmula'!C110)/('Fórmula'!C110+'Fórmula'!E110+'Fórmula'!G110+'Fórmula'!I110+'Fórmula'!K110))*(INDEX(properties!A$1:CB$87,'Fórmula'!B110,60))+(('Fórmula'!E110)/('Fórmula'!C110+'Fórmula'!E110+'Fórmula'!G110+'Fórmula'!I110+'Fórmula'!K110))*(INDEX(properties!A$1:CB$87,'Fórmula'!D110,60))+(('Fórmula'!G110)/('Fórmula'!C110+'Fórmula'!E110+'Fórmula'!G110+'Fórmula'!I110+'Fórmula'!K110))*(INDEX(properties!A$1:CB$87,'Fórmula'!F110,60))+(('Fórmula'!I110)/('Fórmula'!C110+'Fórmula'!E110+'Fórmula'!G110+'Fórmula'!I110+'Fórmula'!K110))*(INDEX(properties!A$1:CB$87,'Fórmula'!H110,60))+(('Fórmula'!K110)/('Fórmula'!C110+'Fórmula'!E110+'Fórmula'!G110+'Fórmula'!I110+'Fórmula'!K110))*(INDEX(properties!A$1:CB$87,'Fórmula'!J110,60))</f>
        <v>23.80748791</v>
      </c>
      <c r="GG110" s="105">
        <f t="array" ref="GG110">'Fórmula'!C110*(INDEX(properties!A$1:CB$87,'Fórmula'!B110,60))+'Fórmula'!E110*(INDEX(properties!A$1:CB$87,'Fórmula'!D110,60))+'Fórmula'!G110*(INDEX(properties!A$1:CB$87,'Fórmula'!F110,60))+'Fórmula'!I110*(INDEX(properties!A$1:CB$87,'Fórmula'!H110,60))+'Fórmula'!K110*(INDEX(properties!A$1:CB$87,'Fórmula'!J110,60))</f>
        <v>1023.72198</v>
      </c>
      <c r="GH110" s="105">
        <f t="array" ref="GH110">VARP(IF(INDEX(properties!A$1:CB$87,'Fórmula'!B110,60)&lt;&gt;"",INDEX(properties!A$1:CB$87,'Fórmula'!B110,60)),IF(INDEX(properties!A$1:CB$87,'Fórmula'!D110,60)&lt;&gt;"",INDEX(properties!A$1:CB$87,'Fórmula'!D110,60)),IF(INDEX(properties!A$1:CB$87,'Fórmula'!F110,60)&lt;&gt;"",INDEX(properties!A$1:CB$87,'Fórmula'!F110,60)),IF(INDEX(properties!A$1:CB$87,'Fórmula'!H110,60)&lt;&gt;"",INDEX(properties!A$1:CB$87,'Fórmula'!H110,60)),IF(INDEX(properties!A$1:CB$87,'Fórmula'!J110,60)&lt;&gt;"",INDEX(properties!A$1:CB$87,'Fórmula'!J110,60)))</f>
        <v>3373.614634</v>
      </c>
      <c r="GI110" s="105">
        <f t="array" ref="GI110">MAX(INDEX(properties!A$1:CB$87,'Fórmula'!B110,60),INDEX(properties!A$1:CB$87,'Fórmula'!D110,60),INDEX(properties!A$1:CB$87,'Fórmula'!F110,60),INDEX(properties!A$1:CB$87,'Fórmula'!H110,60),INDEX(properties!A$1:CB$87,'Fórmula'!J110,60))</f>
        <v>148</v>
      </c>
      <c r="GJ110" s="105">
        <f t="array" ref="GJ110">MIN(IF(INDEX(properties!A$1:CB$87,'Fórmula'!B110,60)=0,10^6,INDEX(properties!A$1:CB$87,'Fórmula'!B110,60)),IF(INDEX(properties!A$1:CB$87,'Fórmula'!D110,60)=0,10^6,INDEX(properties!A$1:CB$87,'Fórmula'!D110,60)),IF(INDEX(properties!A$1:CB$87,'Fórmula'!F110,60)=0,10^6,INDEX(properties!A$1:CB$87,'Fórmula'!F110,60)),IF(INDEX(properties!A$1:CB$87,'Fórmula'!H110,60)=0,10^6,INDEX(properties!A$1:CB$87,'Fórmula'!H110,60)),IF(INDEX(properties!A$1:CB$87,'Fórmula'!J110,60)=0,10^6,INDEX(properties!A$1:CB$87,'Fórmula'!J110,60)))</f>
        <v>0.02674</v>
      </c>
      <c r="GK110" s="105">
        <f t="shared" si="32"/>
        <v>147.97326</v>
      </c>
      <c r="GL110" s="106">
        <f t="array" ref="GL110">(('Fórmula'!C110)/('Fórmula'!C110+'Fórmula'!E110+'Fórmula'!G110+'Fórmula'!I110+'Fórmula'!K110))*(INDEX(properties!A$1:CB$87,'Fórmula'!B110,62))+(('Fórmula'!E110)/('Fórmula'!C110+'Fórmula'!E110+'Fórmula'!G110+'Fórmula'!I110+'Fórmula'!K110))*(INDEX(properties!A$1:CB$87,'Fórmula'!D110,62))+(('Fórmula'!G110)/('Fórmula'!C110+'Fórmula'!E110+'Fórmula'!G110+'Fórmula'!I110+'Fórmula'!K110))*(INDEX(properties!A$1:CB$87,'Fórmula'!F110,62))+(('Fórmula'!I110)/('Fórmula'!C110+'Fórmula'!E110+'Fórmula'!G110+'Fórmula'!I110+'Fórmula'!K110))*(INDEX(properties!A$1:CB$87,'Fórmula'!H110,62))+(('Fórmula'!K110)/('Fórmula'!C110+'Fórmula'!E110+'Fórmula'!G110+'Fórmula'!I110+'Fórmula'!K110))*(INDEX(properties!A$1:CB$87,'Fórmula'!J110,62))</f>
        <v>3.330697674</v>
      </c>
      <c r="GM110" s="106">
        <f t="array" ref="GM110">'Fórmula'!C110*(INDEX(properties!A$1:CB$87,'Fórmula'!B110,62))+'Fórmula'!E110*(INDEX(properties!A$1:CB$87,'Fórmula'!D110,62))+'Fórmula'!G110*(INDEX(properties!A$1:CB$87,'Fórmula'!F110,62))+'Fórmula'!I110*(INDEX(properties!A$1:CB$87,'Fórmula'!H110,62))+'Fórmula'!K110*(INDEX(properties!A$1:CB$87,'Fórmula'!J110,62))</f>
        <v>143.22</v>
      </c>
      <c r="GN110" s="106">
        <f t="array" ref="GN110">VARP(IF(INDEX(properties!A$1:CB$87,'Fórmula'!B110,62)&lt;&gt;"",INDEX(properties!A$1:CB$87,'Fórmula'!B110,62)),IF(INDEX(properties!A$1:CB$87,'Fórmula'!D110,62)&lt;&gt;"",INDEX(properties!A$1:CB$87,'Fórmula'!D110,62)),IF(INDEX(properties!A$1:CB$87,'Fórmula'!F110,62)&lt;&gt;"",INDEX(properties!A$1:CB$87,'Fórmula'!F110,62)),IF(INDEX(properties!A$1:CB$87,'Fórmula'!H110,62)&lt;&gt;"",INDEX(properties!A$1:CB$87,'Fórmula'!H110,62)),IF(INDEX(properties!A$1:CB$87,'Fórmula'!J110,62)&lt;&gt;"",INDEX(properties!A$1:CB$87,'Fórmula'!J110,62)))</f>
        <v>4.162104</v>
      </c>
      <c r="GO110" s="106">
        <f t="array" ref="GO110">MAX(INDEX(properties!A$1:CB$87,'Fórmula'!B110,62),INDEX(properties!A$1:CB$87,'Fórmula'!D110,62),INDEX(properties!A$1:CB$87,'Fórmula'!F110,62),INDEX(properties!A$1:CB$87,'Fórmula'!H110,62),INDEX(properties!A$1:CB$87,'Fórmula'!J110,62))</f>
        <v>4.63</v>
      </c>
      <c r="GP110" s="106">
        <f t="array" ref="GP110">MIN(IF(INDEX(properties!A$1:CB$87,'Fórmula'!B110,62)=0,10^6,INDEX(properties!A$1:CB$87,'Fórmula'!B110,62)),IF(INDEX(properties!A$1:CB$87,'Fórmula'!D110,62)=0,10^6,INDEX(properties!A$1:CB$87,'Fórmula'!D110,62)),IF(INDEX(properties!A$1:CB$87,'Fórmula'!F110,62)=0,10^6,INDEX(properties!A$1:CB$87,'Fórmula'!F110,62)),IF(INDEX(properties!A$1:CB$87,'Fórmula'!H110,62)=0,10^6,INDEX(properties!A$1:CB$87,'Fórmula'!H110,62)),IF(INDEX(properties!A$1:CB$87,'Fórmula'!J110,62)=0,10^6,INDEX(properties!A$1:CB$87,'Fórmula'!J110,62)))</f>
        <v>2.62</v>
      </c>
      <c r="GQ110" s="106">
        <f t="shared" si="33"/>
        <v>2.01</v>
      </c>
      <c r="GR110" s="106">
        <f>'Fórmula'!Q110</f>
        <v>176</v>
      </c>
      <c r="GS110" s="107">
        <f>'Fórmula'!P110</f>
        <v>5</v>
      </c>
      <c r="GT110" s="113">
        <f>'Fórmula'!O110</f>
        <v>5.71</v>
      </c>
      <c r="GU110" s="114">
        <f>AVERAGE('Fórmula'!R110/'Fórmula'!S110,'Fórmula'!S110/'Fórmula'!T110,'Fórmula'!T110/'Fórmula'!R110)</f>
        <v>1.03010284</v>
      </c>
      <c r="GV110" s="125">
        <f>'Fórmula'!U110</f>
        <v>578.98</v>
      </c>
      <c r="GW110" s="106">
        <f>'Fórmula'!N110</f>
        <v>0.05</v>
      </c>
    </row>
    <row r="111" ht="14.25" customHeight="1">
      <c r="A111" s="99" t="str">
        <f>'Fórmula'!A111</f>
        <v>RbBaBP2O8</v>
      </c>
      <c r="B111" s="101">
        <f t="array" ref="B111">(('Fórmula'!C111)/('Fórmula'!C111+'Fórmula'!E111+'Fórmula'!G111+'Fórmula'!I111+'Fórmula'!K111))*(INDEX(properties!A$1:CB$87,'Fórmula'!B111,3))+(('Fórmula'!E111)/('Fórmula'!C111+'Fórmula'!E111+'Fórmula'!G111+'Fórmula'!I111+'Fórmula'!K111))*(INDEX(properties!A$1:CB$87,'Fórmula'!D111,3))+(('Fórmula'!G111)/('Fórmula'!C111+'Fórmula'!E111+'Fórmula'!G111+'Fórmula'!I111+'Fórmula'!K111))*(INDEX(properties!A$1:CB$87,'Fórmula'!F111,3))+(('Fórmula'!I111)/('Fórmula'!C111+'Fórmula'!E111+'Fórmula'!G111+'Fórmula'!I111+'Fórmula'!K111))*(INDEX(properties!A$1:CB$87,'Fórmula'!H111,3))+(('Fórmula'!K111)/('Fórmula'!C111+'Fórmula'!E111+'Fórmula'!G111+'Fórmula'!I111+'Fórmula'!K111))*(INDEX(properties!A$1:CB$87,'Fórmula'!J111,3))</f>
        <v>32.58065569</v>
      </c>
      <c r="C111" s="101">
        <f t="array" ref="C111">'Fórmula'!C111*(INDEX(properties!A$1:CB$87,'Fórmula'!B111,3))+'Fórmula'!E111*(INDEX(properties!A$1:CB$87,'Fórmula'!D111,3))+'Fórmula'!G111*(INDEX(properties!A$1:CB$87,'Fórmula'!F111,3))+'Fórmula'!I111*(INDEX(properties!A$1:CB$87,'Fórmula'!H111,3))+'Fórmula'!K111*(INDEX(properties!A$1:CB$87,'Fórmula'!J111,3))</f>
        <v>423.548524</v>
      </c>
      <c r="D111" s="101">
        <f t="array" ref="D111">VARP(IF(INDEX(properties!A$1:CB$87,'Fórmula'!B111,3)&lt;&gt;"",INDEX(properties!A$1:CB$87,'Fórmula'!B111,3)),IF(INDEX(properties!A$1:CB$87,'Fórmula'!D111,3)&lt;&gt;"",INDEX(properties!A$1:CB$87,'Fórmula'!D111,3)),IF(INDEX(properties!A$1:CB$87,'Fórmula'!F111,3)&lt;&gt;"",INDEX(properties!A$1:CB$87,'Fórmula'!F111,3)),IF(INDEX(properties!A$1:CB$87,'Fórmula'!H111,3)&lt;&gt;"",INDEX(properties!A$1:CB$87,'Fórmula'!H111,3)),IF(INDEX(properties!A$1:CB$87,'Fórmula'!J111,3)&lt;&gt;"",INDEX(properties!A$1:CB$87,'Fórmula'!J111,3)))</f>
        <v>2350.154287</v>
      </c>
      <c r="E111" s="101">
        <f t="array" ref="E111">MAX(INDEX(properties!A$1:CB$87,'Fórmula'!B111,3),INDEX(properties!A$1:CB$87,'Fórmula'!D111,3),INDEX(properties!A$1:CB$87,'Fórmula'!F111,3),INDEX(properties!A$1:CB$87,'Fórmula'!H111,3),INDEX(properties!A$1:CB$87,'Fórmula'!J111,3))</f>
        <v>137.327</v>
      </c>
      <c r="F111" s="101">
        <f t="array" ref="F111">MIN(IF(INDEX(properties!A$1:CB$87,'Fórmula'!B111,3)=0,10^6,INDEX(properties!A$1:CB$87,'Fórmula'!B111,3)),IF(INDEX(properties!A$1:CB$87,'Fórmula'!D111,3)=0,10^6,INDEX(properties!A$1:CB$87,'Fórmula'!D111,3)),IF(INDEX(properties!A$1:CB$87,'Fórmula'!F111,3)=0,10^6,INDEX(properties!A$1:CB$87,'Fórmula'!F111,3)),IF(INDEX(properties!A$1:CB$87,'Fórmula'!H111,3)=0,10^6,INDEX(properties!A$1:CB$87,'Fórmula'!H111,3)),IF(INDEX(properties!A$1:CB$87,'Fórmula'!J111,3)=0,10^6,INDEX(properties!A$1:CB$87,'Fórmula'!J111,3)))</f>
        <v>10.811</v>
      </c>
      <c r="G111" s="101">
        <f t="shared" si="1"/>
        <v>126.516</v>
      </c>
      <c r="H111" s="102">
        <f t="array" ref="H111">(('Fórmula'!C111)/('Fórmula'!C111+'Fórmula'!E111+'Fórmula'!G111+'Fórmula'!I111+'Fórmula'!K111))*(INDEX(properties!A$1:CB$87,'Fórmula'!B111,4))+(('Fórmula'!E111)/('Fórmula'!C111+'Fórmula'!E111+'Fórmula'!G111+'Fórmula'!I111+'Fórmula'!K111))*(INDEX(properties!A$1:CB$87,'Fórmula'!D111,4))+(('Fórmula'!G111)/('Fórmula'!C111+'Fórmula'!E111+'Fórmula'!G111+'Fórmula'!I111+'Fórmula'!K111))*(INDEX(properties!A$1:CB$87,'Fórmula'!F111,4))+(('Fórmula'!I111)/('Fórmula'!C111+'Fórmula'!E111+'Fórmula'!G111+'Fórmula'!I111+'Fórmula'!K111))*(INDEX(properties!A$1:CB$87,'Fórmula'!H111,4))+(('Fórmula'!K111)/('Fórmula'!C111+'Fórmula'!E111+'Fórmula'!G111+'Fórmula'!I111+'Fórmula'!K111))*(INDEX(properties!A$1:CB$87,'Fórmula'!J111,4))</f>
        <v>14.76923077</v>
      </c>
      <c r="I111" s="102">
        <f t="array" ref="I111">'Fórmula'!C111*(INDEX(properties!A$1:CB$87,'Fórmula'!B111,4))+'Fórmula'!E111*(INDEX(properties!A$1:CB$87,'Fórmula'!D111,4))+'Fórmula'!G111*(INDEX(properties!A$1:CB$87,'Fórmula'!F111,4))+'Fórmula'!I111*(INDEX(properties!A$1:CB$87,'Fórmula'!H111,4))+'Fórmula'!K111*(INDEX(properties!A$1:CB$87,'Fórmula'!J111,4))</f>
        <v>192</v>
      </c>
      <c r="J111" s="102">
        <f t="array" ref="J111">VARP(IF(INDEX(properties!A$1:CB$87,'Fórmula'!B111,4)&lt;&gt;"",INDEX(properties!A$1:CB$87,'Fórmula'!B111,4)),IF(INDEX(properties!A$1:CB$87,'Fórmula'!D111,4)&lt;&gt;"",INDEX(properties!A$1:CB$87,'Fórmula'!D111,4)),IF(INDEX(properties!A$1:CB$87,'Fórmula'!F111,4)&lt;&gt;"",INDEX(properties!A$1:CB$87,'Fórmula'!F111,4)),IF(INDEX(properties!A$1:CB$87,'Fórmula'!H111,4)&lt;&gt;"",INDEX(properties!A$1:CB$87,'Fórmula'!H111,4)),IF(INDEX(properties!A$1:CB$87,'Fórmula'!J111,4)&lt;&gt;"",INDEX(properties!A$1:CB$87,'Fórmula'!J111,4)))</f>
        <v>378.16</v>
      </c>
      <c r="K111" s="102">
        <f t="array" ref="K111">MAX(INDEX(properties!A$1:CB$87,'Fórmula'!B111,4),INDEX(properties!A$1:CB$87,'Fórmula'!D111,4),INDEX(properties!A$1:CB$87,'Fórmula'!F111,4),INDEX(properties!A$1:CB$87,'Fórmula'!H111,4),INDEX(properties!A$1:CB$87,'Fórmula'!J111,4))</f>
        <v>56</v>
      </c>
      <c r="L111" s="102">
        <f t="array" ref="L111">MIN(IF(INDEX(properties!A$1:CB$87,'Fórmula'!B111,4)=0,10^6,INDEX(properties!A$1:CB$87,'Fórmula'!B111,4)),IF(INDEX(properties!A$1:CB$87,'Fórmula'!D111,4)=0,10^6,INDEX(properties!A$1:CB$87,'Fórmula'!D111,4)),IF(INDEX(properties!A$1:CB$87,'Fórmula'!F111,4)=0,10^6,INDEX(properties!A$1:CB$87,'Fórmula'!F111,4)),IF(INDEX(properties!A$1:CB$87,'Fórmula'!H111,4)=0,10^6,INDEX(properties!A$1:CB$87,'Fórmula'!H111,4)),IF(INDEX(properties!A$1:CB$87,'Fórmula'!J111,4)=0,10^6,INDEX(properties!A$1:CB$87,'Fórmula'!J111,4)))</f>
        <v>5</v>
      </c>
      <c r="M111" s="102">
        <f t="shared" si="2"/>
        <v>51</v>
      </c>
      <c r="N111" s="103">
        <f t="array" ref="N111">(('Fórmula'!C111)/('Fórmula'!C111+'Fórmula'!E111+'Fórmula'!G111+'Fórmula'!I111+'Fórmula'!K111))*(INDEX(properties!A$1:CB$87,'Fórmula'!B111,5))+(('Fórmula'!E111)/('Fórmula'!C111+'Fórmula'!E111+'Fórmula'!G111+'Fórmula'!I111+'Fórmula'!K111))*(INDEX(properties!A$1:CB$87,'Fórmula'!D111,5))+(('Fórmula'!G111)/('Fórmula'!C111+'Fórmula'!E111+'Fórmula'!G111+'Fórmula'!I111+'Fórmula'!K111))*(INDEX(properties!A$1:CB$87,'Fórmula'!F111,5))+(('Fórmula'!I111)/('Fórmula'!C111+'Fórmula'!E111+'Fórmula'!G111+'Fórmula'!I111+'Fórmula'!K111))*(INDEX(properties!A$1:CB$87,'Fórmula'!H111,5))+(('Fórmula'!K111)/('Fórmula'!C111+'Fórmula'!E111+'Fórmula'!G111+'Fórmula'!I111+'Fórmula'!K111))*(INDEX(properties!A$1:CB$87,'Fórmula'!J111,5))</f>
        <v>2.692307692</v>
      </c>
      <c r="O111" s="103">
        <f t="array" ref="O111">'Fórmula'!C111*(INDEX(properties!A$1:CB$87,'Fórmula'!B111,5))+'Fórmula'!E111*(INDEX(properties!A$1:CB$87,'Fórmula'!D111,5))+'Fórmula'!G111*(INDEX(properties!A$1:CB$87,'Fórmula'!F111,5))+'Fórmula'!I111*(INDEX(properties!A$1:CB$87,'Fórmula'!H111,5))+'Fórmula'!K111*(INDEX(properties!A$1:CB$87,'Fórmula'!J111,5))</f>
        <v>35</v>
      </c>
      <c r="P111" s="103">
        <f t="array" ref="P111">VARP(IF(INDEX(properties!A$1:CB$87,'Fórmula'!B111,5)&lt;&gt;"",INDEX(properties!A$1:CB$87,'Fórmula'!B111,5)),IF(INDEX(properties!A$1:CB$87,'Fórmula'!D111,5)&lt;&gt;"",INDEX(properties!A$1:CB$87,'Fórmula'!D111,5)),IF(INDEX(properties!A$1:CB$87,'Fórmula'!F111,5)&lt;&gt;"",INDEX(properties!A$1:CB$87,'Fórmula'!F111,5)),IF(INDEX(properties!A$1:CB$87,'Fórmula'!H111,5)&lt;&gt;"",INDEX(properties!A$1:CB$87,'Fórmula'!H111,5)),IF(INDEX(properties!A$1:CB$87,'Fórmula'!J111,5)&lt;&gt;"",INDEX(properties!A$1:CB$87,'Fórmula'!J111,5)))</f>
        <v>2.64</v>
      </c>
      <c r="Q111" s="103">
        <f t="array" ref="Q111">MAX(INDEX(properties!A$1:CB$87,'Fórmula'!B111,5),INDEX(properties!A$1:CB$87,'Fórmula'!D111,5),INDEX(properties!A$1:CB$87,'Fórmula'!F111,5),INDEX(properties!A$1:CB$87,'Fórmula'!H111,5),INDEX(properties!A$1:CB$87,'Fórmula'!J111,5))</f>
        <v>6</v>
      </c>
      <c r="R111" s="103">
        <f t="array" ref="R111">MIN(IF(INDEX(properties!A$1:CB$87,'Fórmula'!B111,5)=0,10^6,INDEX(properties!A$1:CB$87,'Fórmula'!B111,5)),IF(INDEX(properties!A$1:CB$87,'Fórmula'!D111,5)=0,10^6,INDEX(properties!A$1:CB$87,'Fórmula'!D111,5)),IF(INDEX(properties!A$1:CB$87,'Fórmula'!F111,5)=0,10^6,INDEX(properties!A$1:CB$87,'Fórmula'!F111,5)),IF(INDEX(properties!A$1:CB$87,'Fórmula'!H111,5)=0,10^6,INDEX(properties!A$1:CB$87,'Fórmula'!H111,5)),IF(INDEX(properties!A$1:CB$87,'Fórmula'!J111,5)=0,10^6,INDEX(properties!A$1:CB$87,'Fórmula'!J111,5)))</f>
        <v>2</v>
      </c>
      <c r="S111" s="103">
        <f t="shared" si="3"/>
        <v>4</v>
      </c>
      <c r="T111" s="104">
        <f t="array" ref="T111">(('Fórmula'!C111)/('Fórmula'!C111+'Fórmula'!E111+'Fórmula'!G111+'Fórmula'!I111+'Fórmula'!K111))*(INDEX(properties!A$1:CB$87,'Fórmula'!B111,6))+(('Fórmula'!E111)/('Fórmula'!C111+'Fórmula'!E111+'Fórmula'!G111+'Fórmula'!I111+'Fórmula'!K111))*(INDEX(properties!A$1:CB$87,'Fórmula'!D111,6))+(('Fórmula'!G111)/('Fórmula'!C111+'Fórmula'!E111+'Fórmula'!G111+'Fórmula'!I111+'Fórmula'!K111))*(INDEX(properties!A$1:CB$87,'Fórmula'!F111,6))+(('Fórmula'!I111)/('Fórmula'!C111+'Fórmula'!E111+'Fórmula'!G111+'Fórmula'!I111+'Fórmula'!K111))*(INDEX(properties!A$1:CB$87,'Fórmula'!H111,6))+(('Fórmula'!K111)/('Fórmula'!C111+'Fórmula'!E111+'Fórmula'!G111+'Fórmula'!I111+'Fórmula'!K111))*(INDEX(properties!A$1:CB$87,'Fórmula'!J111,6))</f>
        <v>13.38461538</v>
      </c>
      <c r="U111" s="104">
        <f t="array" ref="U111">'Fórmula'!C111*(INDEX(properties!A$1:CB$87,'Fórmula'!B111,6))+'Fórmula'!E111*(INDEX(properties!A$1:CB$87,'Fórmula'!D111,6))+'Fórmula'!G111*(INDEX(properties!A$1:CB$87,'Fórmula'!F111,6))+'Fórmula'!I111*(INDEX(properties!A$1:CB$87,'Fórmula'!H111,6))+'Fórmula'!K111*(INDEX(properties!A$1:CB$87,'Fórmula'!J111,6))</f>
        <v>174</v>
      </c>
      <c r="V111" s="103">
        <f t="array" ref="V111">VARP(IF(INDEX(properties!A$1:CB$87,'Fórmula'!B111,6)&lt;&gt;"",INDEX(properties!A$1:CB$87,'Fórmula'!B111,6)),IF(INDEX(properties!A$1:CB$87,'Fórmula'!D111,6)&lt;&gt;"",INDEX(properties!A$1:CB$87,'Fórmula'!D111,6)),IF(INDEX(properties!A$1:CB$87,'Fórmula'!F111,6)&lt;&gt;"",INDEX(properties!A$1:CB$87,'Fórmula'!F111,6)),IF(INDEX(properties!A$1:CB$87,'Fórmula'!H111,6)&lt;&gt;"",INDEX(properties!A$1:CB$87,'Fórmula'!H111,6)),IF(INDEX(properties!A$1:CB$87,'Fórmula'!J111,6)&lt;&gt;"",INDEX(properties!A$1:CB$87,'Fórmula'!J111,6)))</f>
        <v>42.64</v>
      </c>
      <c r="W111" s="104">
        <f t="array" ref="W111">MAX(INDEX(properties!A$1:CB$87,'Fórmula'!B111,6),INDEX(properties!A$1:CB$87,'Fórmula'!D111,6),INDEX(properties!A$1:CB$87,'Fórmula'!F111,6),INDEX(properties!A$1:CB$87,'Fórmula'!H111,4),INDEX(properties!A$1:CB$87,'Fórmula'!J111,6))</f>
        <v>16</v>
      </c>
      <c r="X111" s="104">
        <f t="array" ref="X111">MIN(IF(INDEX(properties!A$1:CB$87,'Fórmula'!B111,6)=0,10^6,INDEX(properties!A$1:CB$87,'Fórmula'!B111,6)),IF(INDEX(properties!A$1:CB$87,'Fórmula'!D111,6)=0,10^6,INDEX(properties!A$1:CB$87,'Fórmula'!D111,6)),IF(INDEX(properties!A$1:CB$87,'Fórmula'!F111,6)=0,10^6,INDEX(properties!A$1:CB$87,'Fórmula'!F111,6)),IF(INDEX(properties!A$1:CB$87,'Fórmula'!H111,6)=0,10^6,INDEX(properties!A$1:CB$87,'Fórmula'!H111,6)),IF(INDEX(properties!A$1:CB$87,'Fórmula'!J111,6)=0,10^6,INDEX(properties!A$1:CB$87,'Fórmula'!J111,6)))</f>
        <v>1</v>
      </c>
      <c r="Y111" s="104">
        <f t="shared" si="4"/>
        <v>15</v>
      </c>
      <c r="Z111" s="105">
        <f t="array" ref="Z111">(('Fórmula'!C111)/('Fórmula'!C111+'Fórmula'!E111+'Fórmula'!G111+'Fórmula'!I111+'Fórmula'!K111))*(INDEX(properties!A$1:CB$87,'Fórmula'!B111,9))+(('Fórmula'!E111)/('Fórmula'!C111+'Fórmula'!E111+'Fórmula'!G111+'Fórmula'!I111+'Fórmula'!K111))*(INDEX(properties!A$1:CB$87,'Fórmula'!D111,9))+(('Fórmula'!G111)/('Fórmula'!C111+'Fórmula'!E111+'Fórmula'!G111+'Fórmula'!I111+'Fórmula'!K111))*(INDEX(properties!A$1:CB$87,'Fórmula'!F111,9))+(('Fórmula'!I111)/('Fórmula'!C111+'Fórmula'!E111+'Fórmula'!G111+'Fórmula'!I111+'Fórmula'!K111))*(INDEX(properties!A$1:CB$87,'Fórmula'!H111,9))+(('Fórmula'!K111)/('Fórmula'!C111+'Fórmula'!E111+'Fórmula'!G111+'Fórmula'!I111+'Fórmula'!K111))*(INDEX(properties!A$1:CB$87,'Fórmula'!J111,9))</f>
        <v>72.84615385</v>
      </c>
      <c r="AA111" s="105">
        <f t="array" ref="AA111">'Fórmula'!C111*(INDEX(properties!A$1:CB$87,'Fórmula'!B111,9))+'Fórmula'!E111*(INDEX(properties!A$1:CB$87,'Fórmula'!D111,9))+'Fórmula'!G111*(INDEX(properties!A$1:CB$87,'Fórmula'!F111,9))+'Fórmula'!I111*(INDEX(properties!A$1:CB$87,'Fórmula'!H111,9))+'Fórmula'!K111*(INDEX(properties!A$1:CB$87,'Fórmula'!J111,9))</f>
        <v>947</v>
      </c>
      <c r="AB111" s="105">
        <f t="array" ref="AB111">VARP(IF(INDEX(properties!A$1:CB$87,'Fórmula'!B111,9)&lt;&gt;"",INDEX(properties!A$1:CB$87,'Fórmula'!B111,9)),IF(INDEX(properties!A$1:CB$87,'Fórmula'!D111,9)&lt;&gt;"",INDEX(properties!A$1:CB$87,'Fórmula'!D111,9)),IF(INDEX(properties!A$1:CB$87,'Fórmula'!F111,9)&lt;&gt;"",INDEX(properties!A$1:CB$87,'Fórmula'!F111,9)),IF(INDEX(properties!A$1:CB$87,'Fórmula'!H111,9)&lt;&gt;"",INDEX(properties!A$1:CB$87,'Fórmula'!H111,9)),IF(INDEX(properties!A$1:CB$87,'Fórmula'!J111,9)&lt;&gt;"",INDEX(properties!A$1:CB$87,'Fórmula'!J111,9)))</f>
        <v>1346.8</v>
      </c>
      <c r="AC111" s="105">
        <f t="array" ref="AC111">MAX(INDEX(properties!A$1:CB$87,'Fórmula'!B111,9),INDEX(properties!A$1:CB$87,'Fórmula'!D111,9),INDEX(properties!A$1:CB$87,'Fórmula'!F111,9),INDEX(properties!A$1:CB$87,'Fórmula'!H111,9),INDEX(properties!A$1:CB$87,'Fórmula'!J111,9))</f>
        <v>87</v>
      </c>
      <c r="AD111" s="105">
        <f t="array" ref="AD111">MIN(IF(INDEX(properties!A$1:CB$87,'Fórmula'!B111,9)=0,10^6,INDEX(properties!A$1:CB$87,'Fórmula'!B111,9)),IF(INDEX(properties!A$1:CB$87,'Fórmula'!D111,9)=0,10^6,INDEX(properties!A$1:CB$87,'Fórmula'!D111,9)),IF(INDEX(properties!A$1:CB$87,'Fórmula'!F111,9)=0,10^6,INDEX(properties!A$1:CB$87,'Fórmula'!F111,9)),IF(INDEX(properties!A$1:CB$87,'Fórmula'!H111,9)=0,10^6,INDEX(properties!A$1:CB$87,'Fórmula'!H111,9)),IF(INDEX(properties!A$1:CB$87,'Fórmula'!J111,9)=0,10^6,INDEX(properties!A$1:CB$87,'Fórmula'!J111,9)))</f>
        <v>4</v>
      </c>
      <c r="AE111" s="105">
        <f t="shared" si="5"/>
        <v>83</v>
      </c>
      <c r="AF111" s="106">
        <f t="array" ref="AF111">(('Fórmula'!C111)/('Fórmula'!C111+'Fórmula'!E111+'Fórmula'!G111+'Fórmula'!I111+'Fórmula'!K111))*(INDEX(properties!A$1:CB$87,'Fórmula'!B111,10))+(('Fórmula'!E111)/('Fórmula'!C111+'Fórmula'!E111+'Fórmula'!G111+'Fórmula'!I111+'Fórmula'!K111))*(INDEX(properties!A$1:CB$87,'Fórmula'!D111,10))+(('Fórmula'!G111)/('Fórmula'!C111+'Fórmula'!E111+'Fórmula'!G111+'Fórmula'!I111+'Fórmula'!K111))*(INDEX(properties!A$1:CB$87,'Fórmula'!F111,10))+(('Fórmula'!I111)/('Fórmula'!C111+'Fórmula'!E111+'Fórmula'!G111+'Fórmula'!I111+'Fórmula'!K111))*(INDEX(properties!A$1:CB$87,'Fórmula'!H111,10))+(('Fórmula'!K111)/('Fórmula'!C111+'Fórmula'!E111+'Fórmula'!G111+'Fórmula'!I111+'Fórmula'!K111))*(INDEX(properties!A$1:CB$87,'Fórmula'!J111,10))</f>
        <v>6.076923077</v>
      </c>
      <c r="AG111" s="106">
        <f t="array" ref="AG111">'Fórmula'!C111*(INDEX(properties!A$1:CB$87,'Fórmula'!B111,10))+'Fórmula'!E111*(INDEX(properties!A$1:CB$87,'Fórmula'!D111,10))+'Fórmula'!G111*(INDEX(properties!A$1:CB$87,'Fórmula'!F111,10))+'Fórmula'!I111*(INDEX(properties!A$1:CB$87,'Fórmula'!H111,10))+'Fórmula'!K111*(INDEX(properties!A$1:CB$87,'Fórmula'!J111,10))</f>
        <v>79</v>
      </c>
      <c r="AH111" s="106">
        <f t="array" ref="AH111">VARP(IF(INDEX(properties!A$1:CB$87,'Fórmula'!B111,10)&lt;&gt;"",INDEX(properties!A$1:CB$87,'Fórmula'!B111,10)),IF(INDEX(properties!A$1:CB$87,'Fórmula'!D111,10)&lt;&gt;"",INDEX(properties!A$1:CB$87,'Fórmula'!D111,10)),IF(INDEX(properties!A$1:CB$87,'Fórmula'!F111,10)&lt;&gt;"",INDEX(properties!A$1:CB$87,'Fórmula'!F111,10)),IF(INDEX(properties!A$1:CB$87,'Fórmula'!H111,10)&lt;&gt;"",INDEX(properties!A$1:CB$87,'Fórmula'!H111,10)),IF(INDEX(properties!A$1:CB$87,'Fórmula'!J111,10)&lt;&gt;"",INDEX(properties!A$1:CB$87,'Fórmula'!J111,10)))</f>
        <v>6.64</v>
      </c>
      <c r="AI111" s="106">
        <f t="array" ref="AI111">MAX(INDEX(properties!A$1:CB$87,'Fórmula'!B111,10),INDEX(properties!A$1:CB$87,'Fórmula'!D111,10),INDEX(properties!A$1:CB$87,'Fórmula'!F111,10),INDEX(properties!A$1:CB$87,'Fórmula'!H111,10),INDEX(properties!A$1:CB$87,'Fórmula'!J111,10))</f>
        <v>7</v>
      </c>
      <c r="AJ111" s="106">
        <f t="array" ref="AJ111">MIN(IF(INDEX(properties!A$1:CB$87,'Fórmula'!B111,10)=0,10^6,INDEX(properties!A$1:CB$87,'Fórmula'!B111,10)),IF(INDEX(properties!A$1:CB$87,'Fórmula'!D111,10)=0,10^6,INDEX(properties!A$1:CB$87,'Fórmula'!D111,10)),IF(INDEX(properties!A$1:CB$87,'Fórmula'!F111,10)=0,10^6,INDEX(properties!A$1:CB$87,'Fórmula'!F111,10)),IF(INDEX(properties!A$1:CB$87,'Fórmula'!H111,10)=0,10^6,INDEX(properties!A$1:CB$87,'Fórmula'!H111,10)),IF(INDEX(properties!A$1:CB$87,'Fórmula'!J111,10)=0,10^6,INDEX(properties!A$1:CB$87,'Fórmula'!J111,10)))</f>
        <v>1</v>
      </c>
      <c r="AK111" s="106">
        <f t="shared" si="6"/>
        <v>6</v>
      </c>
      <c r="AL111" s="107">
        <f t="array" ref="AL111">(('Fórmula'!C111)/('Fórmula'!C111+'Fórmula'!E111+'Fórmula'!G111+'Fórmula'!I111+'Fórmula'!K111))*(INDEX(properties!A$1:CB$87,'Fórmula'!B111,11))+(('Fórmula'!E111)/('Fórmula'!C111+'Fórmula'!E111+'Fórmula'!G111+'Fórmula'!I111+'Fórmula'!K111))*(INDEX(properties!A$1:CB$87,'Fórmula'!D111,11))+(('Fórmula'!G111)/('Fórmula'!C111+'Fórmula'!E111+'Fórmula'!G111+'Fórmula'!I111+'Fórmula'!K111))*(INDEX(properties!A$1:CB$87,'Fórmula'!F111,11))+(('Fórmula'!I111)/('Fórmula'!C111+'Fórmula'!E111+'Fórmula'!G111+'Fórmula'!I111+'Fórmula'!K111))*(INDEX(properties!A$1:CB$87,'Fórmula'!H111,11))+(('Fórmula'!K111)/('Fórmula'!C111+'Fórmula'!E111+'Fórmula'!G111+'Fórmula'!I111+'Fórmula'!K111))*(INDEX(properties!A$1:CB$87,'Fórmula'!J111,11))</f>
        <v>1.923076923</v>
      </c>
      <c r="AM111" s="107">
        <f t="array" ref="AM111">'Fórmula'!C111*(INDEX(properties!A$1:CB$87,'Fórmula'!B111,11))+'Fórmula'!E111*(INDEX(properties!A$1:CB$87,'Fórmula'!D111,11))+'Fórmula'!G111*(INDEX(properties!A$1:CB$87,'Fórmula'!F111,11))+'Fórmula'!I111*(INDEX(properties!A$1:CB$87,'Fórmula'!H111,11))+'Fórmula'!K111*(INDEX(properties!A$1:CB$87,'Fórmula'!J111,11))</f>
        <v>25</v>
      </c>
      <c r="AN111" s="107">
        <f t="array" ref="AN111">VARP(IF(INDEX(properties!A$1:CB$87,'Fórmula'!B111,11)&lt;&gt;"",INDEX(properties!A$1:CB$87,'Fórmula'!B111,11)),IF(INDEX(properties!A$1:CB$87,'Fórmula'!D111,11)&lt;&gt;"",INDEX(properties!A$1:CB$87,'Fórmula'!D111,11)),IF(INDEX(properties!A$1:CB$87,'Fórmula'!F111,11)&lt;&gt;"",INDEX(properties!A$1:CB$87,'Fórmula'!F111,11)),IF(INDEX(properties!A$1:CB$87,'Fórmula'!H111,11)&lt;&gt;"",INDEX(properties!A$1:CB$87,'Fórmula'!H111,11)),IF(INDEX(properties!A$1:CB$87,'Fórmula'!J111,11)&lt;&gt;"",INDEX(properties!A$1:CB$87,'Fórmula'!J111,11)))</f>
        <v>0.16</v>
      </c>
      <c r="AO111" s="107">
        <f t="array" ref="AO111">MAX(INDEX(properties!A$1:CB$87,'Fórmula'!B111,11),INDEX(properties!A$1:CB$87,'Fórmula'!D111,11),INDEX(properties!A$1:CB$87,'Fórmula'!F111,11),INDEX(properties!A$1:CB$87,'Fórmula'!H111,11),INDEX(properties!A$1:CB$87,'Fórmula'!J111,11))</f>
        <v>2</v>
      </c>
      <c r="AP111" s="107">
        <f t="array" ref="AP111">MIN(IF('Fórmula'!B111=87,10^6,INDEX(properties!A$1:CB$87,'Fórmula'!B111,11)),IF(('Fórmula'!D111)=87,10^6,INDEX(properties!A$1:CB$87,'Fórmula'!D111,11)),IF(('Fórmula'!F111)=87,10^6,INDEX(properties!A$1:CB$87,'Fórmula'!F111,11)),IF(('Fórmula'!H111)=87,10^6,INDEX(properties!A$1:CB$87,'Fórmula'!H111,11)),IF('Fórmula'!J111=87,10^6,INDEX(properties!A$1:CB$87,'Fórmula'!J111,11)))</f>
        <v>1</v>
      </c>
      <c r="AQ111" s="107">
        <f t="shared" si="7"/>
        <v>1</v>
      </c>
      <c r="AR111" s="108">
        <f t="array" ref="AR111">(('Fórmula'!C111)/('Fórmula'!C111+'Fórmula'!E111+'Fórmula'!G111+'Fórmula'!I111+'Fórmula'!K111))*(INDEX(properties!A$1:CB$87,'Fórmula'!B111,12))+(('Fórmula'!E111)/('Fórmula'!C111+'Fórmula'!E111+'Fórmula'!G111+'Fórmula'!I111+'Fórmula'!K111))*(INDEX(properties!A$1:CB$87,'Fórmula'!D111,12))+(('Fórmula'!G111)/('Fórmula'!C111+'Fórmula'!E111+'Fórmula'!G111+'Fórmula'!I111+'Fórmula'!K111))*(INDEX(properties!A$1:CB$87,'Fórmula'!F111,12))+(('Fórmula'!I111)/('Fórmula'!C111+'Fórmula'!E111+'Fórmula'!G111+'Fórmula'!I111+'Fórmula'!K111))*(INDEX(properties!A$1:CB$87,'Fórmula'!H111,12))+(('Fórmula'!K111)/('Fórmula'!C111+'Fórmula'!E111+'Fórmula'!G111+'Fórmula'!I111+'Fórmula'!K111))*(INDEX(properties!A$1:CB$87,'Fórmula'!J111,12))</f>
        <v>3</v>
      </c>
      <c r="AS111" s="108">
        <f t="array" ref="AS111">'Fórmula'!C111*(INDEX(properties!A$1:CB$87,'Fórmula'!B111,12))+'Fórmula'!E111*(INDEX(properties!A$1:CB$87,'Fórmula'!D111,12))+'Fórmula'!G111*(INDEX(properties!A$1:CB$87,'Fórmula'!F111,12))+'Fórmula'!I111*(INDEX(properties!A$1:CB$87,'Fórmula'!H111,12))+'Fórmula'!K111*(INDEX(properties!A$1:CB$87,'Fórmula'!J111,12))</f>
        <v>39</v>
      </c>
      <c r="AT111" s="108">
        <f t="array" ref="AT111">VARP(IF(INDEX(properties!A$1:CB$87,'Fórmula'!B111,12)&lt;&gt;"",INDEX(properties!A$1:CB$87,'Fórmula'!B111,12)),IF(INDEX(properties!A$1:CB$87,'Fórmula'!D111,12)&lt;&gt;"",INDEX(properties!A$1:CB$87,'Fórmula'!D111,12)),IF(INDEX(properties!A$1:CB$87,'Fórmula'!F111,12)&lt;&gt;"",INDEX(properties!A$1:CB$87,'Fórmula'!F111,12)),IF(INDEX(properties!A$1:CB$87,'Fórmula'!H111,12)&lt;&gt;"",INDEX(properties!A$1:CB$87,'Fórmula'!H111,12)),IF(INDEX(properties!A$1:CB$87,'Fórmula'!J111,12)&lt;&gt;"",INDEX(properties!A$1:CB$87,'Fórmula'!J111,12)))</f>
        <v>2.64</v>
      </c>
      <c r="AU111" s="108">
        <f t="array" ref="AU111">MAX(INDEX(properties!A$1:CB$87,'Fórmula'!B111,12),INDEX(properties!A$1:CB$87,'Fórmula'!D111,12),INDEX(properties!A$1:CB$87,'Fórmula'!F111,12),INDEX(properties!A$1:CB$87,'Fórmula'!H111,12),INDEX(properties!A$1:CB$87,'Fórmula'!J111,12))</f>
        <v>4</v>
      </c>
      <c r="AV111" s="108">
        <f t="array" ref="AV111">MIN(IF('Fórmula'!B111=87,10^6,INDEX(properties!A$1:CB$87,'Fórmula'!B111,12)),IF(('Fórmula'!D111)=87,10^6,INDEX(properties!A$1:CB$87,'Fórmula'!D111,12)),IF(('Fórmula'!F111)=87,10^6,INDEX(properties!A$1:CB$87,'Fórmula'!F111,12)),IF(('Fórmula'!H111)=87,10^6,INDEX(properties!A$1:CB$87,'Fórmula'!H111,12)),IF('Fórmula'!J111=87,10^6,INDEX(properties!A$1:CB$87,'Fórmula'!J111,12)))</f>
        <v>0</v>
      </c>
      <c r="AW111" s="108">
        <f t="shared" si="8"/>
        <v>4</v>
      </c>
      <c r="AX111" s="109">
        <f t="array" ref="AX111">(('Fórmula'!C111)/('Fórmula'!C111+'Fórmula'!E111+'Fórmula'!G111+'Fórmula'!I111+'Fórmula'!K111))*(INDEX(properties!A$1:CB$87,'Fórmula'!B111,13))+(('Fórmula'!E111)/('Fórmula'!C111+'Fórmula'!E111+'Fórmula'!G111+'Fórmula'!I111+'Fórmula'!K111))*(INDEX(properties!A$1:CB$87,'Fórmula'!D111,13))+(('Fórmula'!G111)/('Fórmula'!C111+'Fórmula'!E111+'Fórmula'!G111+'Fórmula'!I111+'Fórmula'!K111))*(INDEX(properties!A$1:CB$87,'Fórmula'!F111,13))+(('Fórmula'!I111)/('Fórmula'!C111+'Fórmula'!E111+'Fórmula'!G111+'Fórmula'!I111+'Fórmula'!K111))*(INDEX(properties!A$1:CB$87,'Fórmula'!H111,13))+(('Fórmula'!K111)/('Fórmula'!C111+'Fórmula'!E111+'Fórmula'!G111+'Fórmula'!I111+'Fórmula'!K111))*(INDEX(properties!A$1:CB$87,'Fórmula'!J111,13))</f>
        <v>0</v>
      </c>
      <c r="AY111" s="109">
        <f t="array" ref="AY111">'Fórmula'!C111*(INDEX(properties!A$1:CB$87,'Fórmula'!B111,13))+'Fórmula'!E111*(INDEX(properties!A$1:CB$87,'Fórmula'!D111,13))+'Fórmula'!G111*(INDEX(properties!A$1:CB$87,'Fórmula'!F111,13))+'Fórmula'!I111*(INDEX(properties!A$1:CB$87,'Fórmula'!H111,13))+'Fórmula'!K111*(INDEX(properties!A$1:CB$87,'Fórmula'!J111,13))</f>
        <v>0</v>
      </c>
      <c r="AZ111" s="109">
        <f t="array" ref="AZ111">VARP(IF(INDEX(properties!A$1:CB$87,'Fórmula'!B111,13)&lt;&gt;"",INDEX(properties!A$1:CB$87,'Fórmula'!B111,13)),IF(INDEX(properties!A$1:CB$87,'Fórmula'!D111,13)&lt;&gt;"",INDEX(properties!A$1:CB$87,'Fórmula'!D111,13)),IF(INDEX(properties!A$1:CB$87,'Fórmula'!F111,13)&lt;&gt;"",INDEX(properties!A$1:CB$87,'Fórmula'!F111,13)),IF(INDEX(properties!A$1:CB$87,'Fórmula'!H111,13)&lt;&gt;"",INDEX(properties!A$1:CB$87,'Fórmula'!H111,13)),IF(INDEX(properties!A$1:CB$87,'Fórmula'!J111,13)&lt;&gt;"",INDEX(properties!A$1:CB$87,'Fórmula'!J111,13)))</f>
        <v>0</v>
      </c>
      <c r="BA111" s="109">
        <f t="array" ref="BA111">MAX(INDEX(properties!A$1:CB$87,'Fórmula'!B111,13),INDEX(properties!A$1:CB$87,'Fórmula'!D111,13),INDEX(properties!A$1:CB$87,'Fórmula'!F111,13),INDEX(properties!A$1:CB$87,'Fórmula'!H111,13),INDEX(properties!A$1:CB$87,'Fórmula'!J111,13))</f>
        <v>0</v>
      </c>
      <c r="BB111" s="109">
        <f t="array" ref="BB111">MIN(IF('Fórmula'!B111=87,10^6,INDEX(properties!A$1:CB$87,'Fórmula'!B111,13)),IF(('Fórmula'!D111)=87,10^6,INDEX(properties!A$1:CB$87,'Fórmula'!D111,13)),IF(('Fórmula'!F111)=87,10^6,INDEX(properties!A$1:CB$87,'Fórmula'!F111,13)),IF(('Fórmula'!H111)=87,10^6,INDEX(properties!A$1:CB$87,'Fórmula'!H111,13)),IF('Fórmula'!J111=87,10^6,INDEX(properties!A$1:CB$87,'Fórmula'!J111,13)))</f>
        <v>0</v>
      </c>
      <c r="BC111" s="109">
        <f t="shared" si="9"/>
        <v>0</v>
      </c>
      <c r="BD111" s="110">
        <f t="array" ref="BD111">(('Fórmula'!C111)/('Fórmula'!C111+'Fórmula'!E111+'Fórmula'!G111+'Fórmula'!I111+'Fórmula'!K111))*(INDEX(properties!A$1:CB$87,'Fórmula'!B111,14))+(('Fórmula'!E111)/('Fórmula'!C111+'Fórmula'!E111+'Fórmula'!G111+'Fórmula'!I111+'Fórmula'!K111))*(INDEX(properties!A$1:CB$87,'Fórmula'!D111,14))+(('Fórmula'!G111)/('Fórmula'!C111+'Fórmula'!E111+'Fórmula'!G111+'Fórmula'!I111+'Fórmula'!K111))*(INDEX(properties!A$1:CB$87,'Fórmula'!F111,14))+(('Fórmula'!I111)/('Fórmula'!C111+'Fórmula'!E111+'Fórmula'!G111+'Fórmula'!I111+'Fórmula'!K111))*(INDEX(properties!A$1:CB$87,'Fórmula'!H111,14))+(('Fórmula'!K111)/('Fórmula'!C111+'Fórmula'!E111+'Fórmula'!G111+'Fórmula'!I111+'Fórmula'!K111))*(INDEX(properties!A$1:CB$87,'Fórmula'!J111,14))</f>
        <v>0</v>
      </c>
      <c r="BE111" s="110">
        <f t="array" ref="BE111">'Fórmula'!C111*(INDEX(properties!A$1:CB$87,'Fórmula'!B111,14))+'Fórmula'!E111*(INDEX(properties!A$1:CB$87,'Fórmula'!D111,14))+'Fórmula'!G111*(INDEX(properties!A$1:CB$87,'Fórmula'!F111,14))+'Fórmula'!I111*(INDEX(properties!A$1:CB$87,'Fórmula'!H111,14))+'Fórmula'!K111*(INDEX(properties!A$1:CB$87,'Fórmula'!J111,14))</f>
        <v>0</v>
      </c>
      <c r="BF111" s="110">
        <f t="array" ref="BF111">VARP(IF(INDEX(properties!A$1:CB$87,'Fórmula'!B111,14)&lt;&gt;"",INDEX(properties!A$1:CB$87,'Fórmula'!B111,14)),IF(INDEX(properties!A$1:CB$87,'Fórmula'!D111,14)&lt;&gt;"",INDEX(properties!A$1:CB$87,'Fórmula'!D111,14)),IF(INDEX(properties!A$1:CB$87,'Fórmula'!F111,14)&lt;&gt;"",INDEX(properties!A$1:CB$87,'Fórmula'!F111,14)),IF(INDEX(properties!A$1:CB$87,'Fórmula'!H111,14)&lt;&gt;"",INDEX(properties!A$1:CB$87,'Fórmula'!H111,14)),IF(INDEX(properties!A$1:CB$87,'Fórmula'!J111,14)&lt;&gt;"",INDEX(properties!A$1:CB$87,'Fórmula'!J111,14)))</f>
        <v>0</v>
      </c>
      <c r="BG111" s="110">
        <f t="array" ref="BG111">MAX(INDEX(properties!A$1:CB$87,'Fórmula'!B111,14),INDEX(properties!A$1:CB$87,'Fórmula'!D111,14),INDEX(properties!A$1:CB$87,'Fórmula'!F111,14),INDEX(properties!A$1:CB$87,'Fórmula'!H111,14),INDEX(properties!A$1:CB$87,'Fórmula'!J111,14))</f>
        <v>0</v>
      </c>
      <c r="BH111" s="110">
        <f t="array" ref="BH111">MIN(IF('Fórmula'!B111=87,10^6,INDEX(properties!A$1:CB$87,'Fórmula'!B111,14)),IF(('Fórmula'!D111)=87,10^6,INDEX(properties!A$1:CB$87,'Fórmula'!D111,14)),IF(('Fórmula'!F111)=87,10^6,INDEX(properties!A$1:CB$87,'Fórmula'!F111,14)),IF(('Fórmula'!H111)=87,10^6,INDEX(properties!A$1:CB$87,'Fórmula'!H111,14)),IF('Fórmula'!J111=87,10^6,INDEX(properties!A$1:CB$87,'Fórmula'!J111,14)))</f>
        <v>0</v>
      </c>
      <c r="BI111" s="110">
        <f t="shared" si="10"/>
        <v>0</v>
      </c>
      <c r="BJ111" s="111">
        <f t="array" ref="BJ111">(('Fórmula'!C111)/('Fórmula'!C111+'Fórmula'!E111+'Fórmula'!G111+'Fórmula'!I111+'Fórmula'!K111))*(INDEX(properties!A$1:CB$87,'Fórmula'!B111,19))+(('Fórmula'!E111)/('Fórmula'!C111+'Fórmula'!E111+'Fórmula'!G111+'Fórmula'!I111+'Fórmula'!K111))*(INDEX(properties!A$1:CB$87,'Fórmula'!D111,19))+(('Fórmula'!G111)/('Fórmula'!C111+'Fórmula'!E111+'Fórmula'!G111+'Fórmula'!I111+'Fórmula'!K111))*(INDEX(properties!A$1:CB$87,'Fórmula'!F111,19))+(('Fórmula'!I111)/('Fórmula'!C111+'Fórmula'!E111+'Fórmula'!G111+'Fórmula'!I111+'Fórmula'!K111))*(INDEX(properties!A$1:CB$87,'Fórmula'!H111,19))+(('Fórmula'!K111)/('Fórmula'!C111+'Fórmula'!E111+'Fórmula'!G111+'Fórmula'!I111+'Fórmula'!K111))*(INDEX(properties!A$1:CB$87,'Fórmula'!J111,19))</f>
        <v>4.923076923</v>
      </c>
      <c r="BK111" s="111">
        <f t="array" ref="BK111">'Fórmula'!C111*(INDEX(properties!A$1:CB$87,'Fórmula'!B111,19))+'Fórmula'!E111*(INDEX(properties!A$1:CB$87,'Fórmula'!D111,19))+'Fórmula'!G111*(INDEX(properties!A$1:CB$87,'Fórmula'!F111,19))+'Fórmula'!I111*(INDEX(properties!A$1:CB$87,'Fórmula'!H111,19))+'Fórmula'!K111*(INDEX(properties!A$1:CB$87,'Fórmula'!J111,19))</f>
        <v>64</v>
      </c>
      <c r="BL111" s="111">
        <f t="array" ref="BL111">VARP(IF(INDEX(properties!A$1:CB$87,'Fórmula'!B111,19)&lt;&gt;"",INDEX(properties!A$1:CB$87,'Fórmula'!B111,19)),IF(INDEX(properties!A$1:CB$87,'Fórmula'!D111,19)&lt;&gt;"",INDEX(properties!A$1:CB$87,'Fórmula'!D111,19)),IF(INDEX(properties!A$1:CB$87,'Fórmula'!F111,19)&lt;&gt;"",INDEX(properties!A$1:CB$87,'Fórmula'!F111,19)),IF(INDEX(properties!A$1:CB$87,'Fórmula'!H111,19)&lt;&gt;"",INDEX(properties!A$1:CB$87,'Fórmula'!H111,19)),IF(INDEX(properties!A$1:CB$87,'Fórmula'!J111,19)&lt;&gt;"",INDEX(properties!A$1:CB$87,'Fórmula'!J111,19)))</f>
        <v>3.44</v>
      </c>
      <c r="BM111" s="111">
        <f t="array" ref="BM111">MAX(INDEX(properties!A$1:CB$87,'Fórmula'!B111,19),INDEX(properties!A$1:CB$87,'Fórmula'!D111,19),INDEX(properties!A$1:CB$87,'Fórmula'!F111,19),INDEX(properties!A$1:CB$87,'Fórmula'!H111,19),INDEX(properties!A$1:CB$87,'Fórmula'!J111,19))</f>
        <v>6</v>
      </c>
      <c r="BN111" s="111">
        <f t="array" ref="BN111">MIN(IF(INDEX(properties!A$1:CB$87,'Fórmula'!B111,19)=0,10^6,INDEX(properties!A$1:CB$87,'Fórmula'!B111,19)),IF(INDEX(properties!A$1:CB$87,'Fórmula'!D111,19)=0,10^6,INDEX(properties!A$1:CB$87,'Fórmula'!D111,19)),IF(INDEX(properties!A$1:CB$87,'Fórmula'!F111,19)=0,10^6,INDEX(properties!A$1:CB$87,'Fórmula'!F111,19)),IF(INDEX(properties!A$1:CB$87,'Fórmula'!H111,19)=0,10^6,INDEX(properties!A$1:CB$87,'Fórmula'!H111,19)),IF(INDEX(properties!A$1:CB$87,'Fórmula'!J111,19)=0,10^6,INDEX(properties!A$1:CB$87,'Fórmula'!J111,19)))</f>
        <v>1</v>
      </c>
      <c r="BO111" s="111">
        <f t="shared" si="11"/>
        <v>5</v>
      </c>
      <c r="BP111" s="112">
        <f t="array" ref="BP111">(('Fórmula'!C111)/('Fórmula'!C111+'Fórmula'!E111+'Fórmula'!G111+'Fórmula'!I111+'Fórmula'!K111))*(INDEX(properties!A$1:CB$87,'Fórmula'!B111,20))+(('Fórmula'!E111)/('Fórmula'!C111+'Fórmula'!E111+'Fórmula'!G111+'Fórmula'!I111+'Fórmula'!K111))*(INDEX(properties!A$1:CB$87,'Fórmula'!D111,20))+(('Fórmula'!G111)/('Fórmula'!C111+'Fórmula'!E111+'Fórmula'!G111+'Fórmula'!I111+'Fórmula'!K111))*(INDEX(properties!A$1:CB$87,'Fórmula'!F111,20))+(('Fórmula'!I111)/('Fórmula'!C111+'Fórmula'!E111+'Fórmula'!G111+'Fórmula'!I111+'Fórmula'!K111))*(INDEX(properties!A$1:CB$87,'Fórmula'!H111,20))+(('Fórmula'!K111)/('Fórmula'!C111+'Fórmula'!E111+'Fórmula'!G111+'Fórmula'!I111+'Fórmula'!K111))*(INDEX(properties!A$1:CB$87,'Fórmula'!J111,20))</f>
        <v>4.923076923</v>
      </c>
      <c r="BQ111" s="112">
        <f t="array" ref="BQ111">'Fórmula'!C111*(INDEX(properties!A$1:CB$87,'Fórmula'!B111,20))+'Fórmula'!E111*(INDEX(properties!A$1:CB$87,'Fórmula'!D111,20))+'Fórmula'!G111*(INDEX(properties!A$1:CB$87,'Fórmula'!F111,20))+'Fórmula'!I111*(INDEX(properties!A$1:CB$87,'Fórmula'!H111,20))+'Fórmula'!K111*(INDEX(properties!A$1:CB$87,'Fórmula'!J111,20))</f>
        <v>64</v>
      </c>
      <c r="BR111" s="112">
        <f t="array" ref="BR111">VARP(IF(INDEX(properties!A$1:CB$87,'Fórmula'!B111,20)&lt;&gt;"",INDEX(properties!A$1:CB$87,'Fórmula'!B111,20)),IF(INDEX(properties!A$1:CB$87,'Fórmula'!D111,20)&lt;&gt;"",INDEX(properties!A$1:CB$87,'Fórmula'!D111,20)),IF(INDEX(properties!A$1:CB$87,'Fórmula'!F111,20)&lt;&gt;"",INDEX(properties!A$1:CB$87,'Fórmula'!F111,20)),IF(INDEX(properties!A$1:CB$87,'Fórmula'!H111,20)&lt;&gt;"",INDEX(properties!A$1:CB$87,'Fórmula'!H111,20)),IF(INDEX(properties!A$1:CB$87,'Fórmula'!J111,20)&lt;&gt;"",INDEX(properties!A$1:CB$87,'Fórmula'!J111,20)))</f>
        <v>3.44</v>
      </c>
      <c r="BS111" s="112">
        <f t="array" ref="BS111">MAX(INDEX(properties!A$1:CB$87,'Fórmula'!B111,20),INDEX(properties!A$1:CB$87,'Fórmula'!D111,20),INDEX(properties!A$1:CB$87,'Fórmula'!F111,20),INDEX(properties!A$1:CB$87,'Fórmula'!H111,20),INDEX(properties!A$1:CB$87,'Fórmula'!J111,20))</f>
        <v>6</v>
      </c>
      <c r="BT111" s="112">
        <f t="array" ref="BT111">MIN(IF(INDEX(properties!A$1:CB$87,'Fórmula'!B111,20)=0,10^6,INDEX(properties!A$1:CB$87,'Fórmula'!B111,20)),IF(INDEX(properties!A$1:CB$87,'Fórmula'!D111,20)=0,10^6,INDEX(properties!A$1:CB$87,'Fórmula'!D111,20)),IF(INDEX(properties!A$1:CB$87,'Fórmula'!F111,20)=0,10^6,INDEX(properties!A$1:CB$87,'Fórmula'!F111,20)),IF(INDEX(properties!A$1:CB$87,'Fórmula'!H111,20)=0,10^6,INDEX(properties!A$1:CB$87,'Fórmula'!H111,20)),IF(INDEX(properties!A$1:CB$87,'Fórmula'!J111,20)=0,10^6,INDEX(properties!A$1:CB$87,'Fórmula'!J111,20)))</f>
        <v>1</v>
      </c>
      <c r="BU111" s="112">
        <f t="shared" si="12"/>
        <v>5</v>
      </c>
      <c r="BV111" s="113">
        <f t="array" ref="BV111">(('Fórmula'!C111)/('Fórmula'!C111+'Fórmula'!E111+'Fórmula'!G111+'Fórmula'!I111+'Fórmula'!K111))*(INDEX(properties!A$1:CB$87,'Fórmula'!B111,21))+(('Fórmula'!E111)/('Fórmula'!C111+'Fórmula'!E111+'Fórmula'!G111+'Fórmula'!I111+'Fórmula'!K111))*(INDEX(properties!A$1:CB$87,'Fórmula'!D111,21))+(('Fórmula'!G111)/('Fórmula'!C111+'Fórmula'!E111+'Fórmula'!G111+'Fórmula'!I111+'Fórmula'!K111))*(INDEX(properties!A$1:CB$87,'Fórmula'!F111,21))+(('Fórmula'!I111)/('Fórmula'!C111+'Fórmula'!E111+'Fórmula'!G111+'Fórmula'!I111+'Fórmula'!K111))*(INDEX(properties!A$1:CB$87,'Fórmula'!H111,21))+(('Fórmula'!K111)/('Fórmula'!C111+'Fórmula'!E111+'Fórmula'!G111+'Fórmula'!I111+'Fórmula'!K111))*(INDEX(properties!A$1:CB$87,'Fórmula'!J111,21))</f>
        <v>4.923076923</v>
      </c>
      <c r="BW111" s="113">
        <f t="array" ref="BW111">'Fórmula'!C111*(INDEX(properties!A$1:CB$87,'Fórmula'!B111,21))+'Fórmula'!E111*(INDEX(properties!A$1:CB$87,'Fórmula'!D111,21))+'Fórmula'!G111*(INDEX(properties!A$1:CB$87,'Fórmula'!F111,21))+'Fórmula'!I111*(INDEX(properties!A$1:CB$87,'Fórmula'!H111,21))+'Fórmula'!K111*(INDEX(properties!A$1:CB$87,'Fórmula'!J111,21))</f>
        <v>64</v>
      </c>
      <c r="BX111" s="113">
        <f t="array" ref="BX111">VARP(IF(INDEX(properties!A$1:CB$87,'Fórmula'!B111,21)&lt;&gt;"",INDEX(properties!A$1:CB$87,'Fórmula'!B111,21)),IF(INDEX(properties!A$1:CB$87,'Fórmula'!D111,21)&lt;&gt;"",INDEX(properties!A$1:CB$87,'Fórmula'!D111,21)),IF(INDEX(properties!A$1:CB$87,'Fórmula'!F111,21)&lt;&gt;"",INDEX(properties!A$1:CB$87,'Fórmula'!F111,21)),IF(INDEX(properties!A$1:CB$87,'Fórmula'!H111,21)&lt;&gt;"",INDEX(properties!A$1:CB$87,'Fórmula'!H111,21)),IF(INDEX(properties!A$1:CB$87,'Fórmula'!J111,21)&lt;&gt;"",INDEX(properties!A$1:CB$87,'Fórmula'!J111,21)))</f>
        <v>3.44</v>
      </c>
      <c r="BY111" s="113">
        <f t="array" ref="BY111">MAX(INDEX(properties!A$1:CB$87,'Fórmula'!B111,21),INDEX(properties!A$1:CB$87,'Fórmula'!D111,21),INDEX(properties!A$1:CB$87,'Fórmula'!F111,21),INDEX(properties!A$1:CB$87,'Fórmula'!H111,21),INDEX(properties!A$1:CB$87,'Fórmula'!J111,21))</f>
        <v>6</v>
      </c>
      <c r="BZ111" s="113">
        <f t="array" ref="BZ111">MIN(IF(INDEX(properties!A$1:CB$87,'Fórmula'!B111,21)=0,10^6,INDEX(properties!A$1:CB$87,'Fórmula'!B111,21)),IF(INDEX(properties!A$1:CB$87,'Fórmula'!D111,21)=0,10^6,INDEX(properties!A$1:CB$87,'Fórmula'!D111,21)),IF(INDEX(properties!A$1:CB$87,'Fórmula'!F111,21)=0,10^6,INDEX(properties!A$1:CB$87,'Fórmula'!F111,21)),IF(INDEX(properties!A$1:CB$87,'Fórmula'!H111,21)=0,10^6,INDEX(properties!A$1:CB$87,'Fórmula'!H111,21)),IF(INDEX(properties!A$1:CB$87,'Fórmula'!J111,21)=0,10^6,INDEX(properties!A$1:CB$87,'Fórmula'!J111,21)))</f>
        <v>1</v>
      </c>
      <c r="CA111" s="113">
        <f t="shared" si="13"/>
        <v>5</v>
      </c>
      <c r="CB111" s="114">
        <f t="array" ref="CB111">(('Fórmula'!C111)/('Fórmula'!C111+'Fórmula'!E111+'Fórmula'!G111+'Fórmula'!I111+'Fórmula'!K111))*(INDEX(properties!A$1:CB$87,'Fórmula'!B111,23))+(('Fórmula'!E111)/('Fórmula'!C111+'Fórmula'!E111+'Fórmula'!G111+'Fórmula'!I111+'Fórmula'!K111))*(INDEX(properties!A$1:CB$87,'Fórmula'!D111,23))+(('Fórmula'!G111)/('Fórmula'!C111+'Fórmula'!E111+'Fórmula'!G111+'Fórmula'!I111+'Fórmula'!K111))*(INDEX(properties!A$1:CB$87,'Fórmula'!F111,23))+(('Fórmula'!I111)/('Fórmula'!C111+'Fórmula'!E111+'Fórmula'!G111+'Fórmula'!I111+'Fórmula'!K111))*(INDEX(properties!A$1:CB$87,'Fórmula'!H111,23))+(('Fórmula'!K111)/('Fórmula'!C111+'Fórmula'!E111+'Fórmula'!G111+'Fórmula'!I111+'Fórmula'!K111))*(INDEX(properties!A$1:CB$87,'Fórmula'!J111,23))</f>
        <v>0.9230769231</v>
      </c>
      <c r="CC111" s="114">
        <f t="array" ref="CC111">'Fórmula'!C111*(INDEX(properties!A$1:CB$87,'Fórmula'!B111,23))+'Fórmula'!E111*(INDEX(properties!A$1:CB$87,'Fórmula'!D111,23))+'Fórmula'!G111*(INDEX(properties!A$1:CB$87,'Fórmula'!F111,23))+'Fórmula'!I111*(INDEX(properties!A$1:CB$87,'Fórmula'!H111,23))+'Fórmula'!K111*(INDEX(properties!A$1:CB$87,'Fórmula'!J111,23))</f>
        <v>12</v>
      </c>
      <c r="CD111" s="114">
        <f t="array" ref="CD111">VARP(IF(INDEX(properties!A$1:CB$87,'Fórmula'!B111,23)&lt;&gt;"",INDEX(properties!A$1:CB$87,'Fórmula'!B111,23)),IF(INDEX(properties!A$1:CB$87,'Fórmula'!D111,23)&lt;&gt;"",INDEX(properties!A$1:CB$87,'Fórmula'!D111,23)),IF(INDEX(properties!A$1:CB$87,'Fórmula'!F111,23)&lt;&gt;"",INDEX(properties!A$1:CB$87,'Fórmula'!F111,23)),IF(INDEX(properties!A$1:CB$87,'Fórmula'!H111,23)&lt;&gt;"",INDEX(properties!A$1:CB$87,'Fórmula'!H111,23)),IF(INDEX(properties!A$1:CB$87,'Fórmula'!J111,23)&lt;&gt;"",INDEX(properties!A$1:CB$87,'Fórmula'!J111,23)))</f>
        <v>1.36</v>
      </c>
      <c r="CE111" s="114">
        <f t="array" ref="CE111">MAX(INDEX(properties!A$1:CB$87,'Fórmula'!B111,23),INDEX(properties!A$1:CB$87,'Fórmula'!D111,23),INDEX(properties!A$1:CB$87,'Fórmula'!F111,23),INDEX(properties!A$1:CB$87,'Fórmula'!H111,23),INDEX(properties!A$1:CB$87,'Fórmula'!J111,23))</f>
        <v>3</v>
      </c>
      <c r="CF111" s="114">
        <f t="array" ref="CF111">MIN(IF('Fórmula'!B111=87,10^6,INDEX(properties!A$1:CB$87,'Fórmula'!B111,23)),IF(('Fórmula'!D111)=87,10^6,INDEX(properties!A$1:CB$87,'Fórmula'!D111,23)),IF(('Fórmula'!F111)=87,10^6,INDEX(properties!A$1:CB$87,'Fórmula'!F111,23)),IF(('Fórmula'!H111)=87,10^6,INDEX(properties!A$1:CB$87,'Fórmula'!H111,23)),IF('Fórmula'!J111=87,10^6,INDEX(properties!A$1:CB$87,'Fórmula'!J111,23)))</f>
        <v>0</v>
      </c>
      <c r="CG111" s="114">
        <f t="shared" si="14"/>
        <v>3</v>
      </c>
      <c r="CH111" s="115">
        <f t="array" ref="CH111">(('Fórmula'!C111)/('Fórmula'!C111+'Fórmula'!E111+'Fórmula'!G111+'Fórmula'!I111+'Fórmula'!K111))*(INDEX(properties!A$1:CB$87,'Fórmula'!B111,26))+(('Fórmula'!E111)/('Fórmula'!C111+'Fórmula'!E111+'Fórmula'!G111+'Fórmula'!I111+'Fórmula'!K111))*(INDEX(properties!A$1:CB$87,'Fórmula'!D111,26))+(('Fórmula'!G111)/('Fórmula'!C111+'Fórmula'!E111+'Fórmula'!G111+'Fórmula'!I111+'Fórmula'!K111))*(INDEX(properties!A$1:CB$87,'Fórmula'!F111,26))+(('Fórmula'!I111)/('Fórmula'!C111+'Fórmula'!E111+'Fórmula'!G111+'Fórmula'!I111+'Fórmula'!K111))*(INDEX(properties!A$1:CB$87,'Fórmula'!H111,26))+(('Fórmula'!K111)/('Fórmula'!C111+'Fórmula'!E111+'Fórmula'!G111+'Fórmula'!I111+'Fórmula'!K111))*(INDEX(properties!A$1:CB$87,'Fórmula'!J111,26))</f>
        <v>11.35423077</v>
      </c>
      <c r="CI111" s="115">
        <f t="array" ref="CI111">'Fórmula'!C111*(INDEX(properties!A$1:CB$87,'Fórmula'!B111,26))+'Fórmula'!E111*(INDEX(properties!A$1:CB$87,'Fórmula'!D111,26))+'Fórmula'!G111*(INDEX(properties!A$1:CB$87,'Fórmula'!F111,26))+'Fórmula'!I111*(INDEX(properties!A$1:CB$87,'Fórmula'!H111,26))+'Fórmula'!K111*(INDEX(properties!A$1:CB$87,'Fórmula'!J111,26))</f>
        <v>147.605</v>
      </c>
      <c r="CJ111" s="115">
        <f t="array" ref="CJ111">VARP(IF(INDEX(properties!A$1:CB$87,'Fórmula'!B111,26)&lt;&gt;"",INDEX(properties!A$1:CB$87,'Fórmula'!B111,26)),IF(INDEX(properties!A$1:CB$87,'Fórmula'!D111,26)&lt;&gt;"",INDEX(properties!A$1:CB$87,'Fórmula'!D111,26)),IF(INDEX(properties!A$1:CB$87,'Fórmula'!F111,26)&lt;&gt;"",INDEX(properties!A$1:CB$87,'Fórmula'!F111,26)),IF(INDEX(properties!A$1:CB$87,'Fórmula'!H111,26)&lt;&gt;"",INDEX(properties!A$1:CB$87,'Fórmula'!H111,26)),IF(INDEX(properties!A$1:CB$87,'Fórmula'!J111,26)&lt;&gt;"",INDEX(properties!A$1:CB$87,'Fórmula'!J111,26)))</f>
        <v>11.91654874</v>
      </c>
      <c r="CK111" s="116">
        <f t="array" ref="CK111">MAX(INDEX(properties!A$1:CB$87,'Fórmula'!B111,26),INDEX(properties!A$1:CB$87,'Fórmula'!D111,26),INDEX(properties!A$1:CB$87,'Fórmula'!F111,26),INDEX(properties!A$1:CB$87,'Fórmula'!H111,26),INDEX(properties!A$1:CB$87,'Fórmula'!J111,26))</f>
        <v>13.6181</v>
      </c>
      <c r="CL111" s="116">
        <f t="array" ref="CL111">MIN(IF(INDEX(properties!A$1:CB$87,'Fórmula'!B111,26)=0,10^6,INDEX(properties!A$1:CB$87,'Fórmula'!B111,26)),IF(INDEX(properties!A$1:CB$87,'Fórmula'!D111,26)=0,10^6,INDEX(properties!A$1:CB$87,'Fórmula'!D111,26)),IF(INDEX(properties!A$1:CB$87,'Fórmula'!F111,26)=0,10^6,INDEX(properties!A$1:CB$87,'Fórmula'!F111,26)),IF(INDEX(properties!A$1:CB$87,'Fórmula'!H111,26)=0,10^6,INDEX(properties!A$1:CB$87,'Fórmula'!H111,26)),IF(INDEX(properties!A$1:CB$87,'Fórmula'!J111,26)=0,10^6,INDEX(properties!A$1:CB$87,'Fórmula'!J111,26)))</f>
        <v>4.1771</v>
      </c>
      <c r="CM111" s="115">
        <f t="shared" si="15"/>
        <v>9.441</v>
      </c>
      <c r="CN111" s="117">
        <f t="array" ref="CN111">(('Fórmula'!C111)/('Fórmula'!C111+'Fórmula'!E111+'Fórmula'!G111+'Fórmula'!I111+'Fórmula'!K111))*(INDEX(properties!A$1:CB$87,'Fórmula'!B111,30))+(('Fórmula'!E111)/('Fórmula'!C111+'Fórmula'!E111+'Fórmula'!G111+'Fórmula'!I111+'Fórmula'!K111))*(INDEX(properties!A$1:CB$87,'Fórmula'!D111,30))+(('Fórmula'!G111)/('Fórmula'!C111+'Fórmula'!E111+'Fórmula'!G111+'Fórmula'!I111+'Fórmula'!K111))*(INDEX(properties!A$1:CB$87,'Fórmula'!F111,30))+(('Fórmula'!I111)/('Fórmula'!C111+'Fórmula'!E111+'Fórmula'!G111+'Fórmula'!I111+'Fórmula'!K111))*(INDEX(properties!A$1:CB$87,'Fórmula'!H111,30))+(('Fórmula'!K111)/('Fórmula'!C111+'Fórmula'!E111+'Fórmula'!G111+'Fórmula'!I111+'Fórmula'!K111))*(INDEX(properties!A$1:CB$87,'Fórmula'!J111,30))</f>
        <v>2.742307692</v>
      </c>
      <c r="CO111" s="117">
        <f t="array" ref="CO111">'Fórmula'!C111*(INDEX(properties!A$1:CB$87,'Fórmula'!B111,30))+'Fórmula'!E111*(INDEX(properties!A$1:CB$87,'Fórmula'!D111,30))+'Fórmula'!G111*(INDEX(properties!A$1:CB$87,'Fórmula'!F111,30))+'Fórmula'!I111*(INDEX(properties!A$1:CB$87,'Fórmula'!H111,30))+'Fórmula'!K111*(INDEX(properties!A$1:CB$87,'Fórmula'!J111,30))</f>
        <v>35.65</v>
      </c>
      <c r="CP111" s="117">
        <f t="array" ref="CP111">VARP(IF(INDEX(properties!A$1:CB$87,'Fórmula'!B111,30)&lt;&gt;"",INDEX(properties!A$1:CB$87,'Fórmula'!B111,30)),IF(INDEX(properties!A$1:CB$87,'Fórmula'!D111,30)&lt;&gt;"",INDEX(properties!A$1:CB$87,'Fórmula'!D111,30)),IF(INDEX(properties!A$1:CB$87,'Fórmula'!F111,30)&lt;&gt;"",INDEX(properties!A$1:CB$87,'Fórmula'!F111,30)),IF(INDEX(properties!A$1:CB$87,'Fórmula'!H111,30)&lt;&gt;"",INDEX(properties!A$1:CB$87,'Fórmula'!H111,30)),IF(INDEX(properties!A$1:CB$87,'Fórmula'!J111,30)&lt;&gt;"",INDEX(properties!A$1:CB$87,'Fórmula'!J111,30)))</f>
        <v>0.931784</v>
      </c>
      <c r="CQ111" s="117">
        <f t="array" ref="CQ111">MAX(INDEX(properties!A$1:CB$87,'Fórmula'!B111,30),INDEX(properties!A$1:CB$87,'Fórmula'!D111,30),INDEX(properties!A$1:CB$87,'Fórmula'!F111,30),INDEX(properties!A$1:CB$87,'Fórmula'!H111,30),INDEX(properties!A$1:CB$87,'Fórmula'!J111,30))</f>
        <v>3.44</v>
      </c>
      <c r="CR111" s="117">
        <f t="array" ref="CR111">MIN(IF(INDEX(properties!A$1:CB$87,'Fórmula'!B111,30)=0,10^6,INDEX(properties!A$1:CB$87,'Fórmula'!B111,30)),IF(INDEX(properties!A$1:CB$87,'Fórmula'!D111,30)=0,10^6,INDEX(properties!A$1:CB$87,'Fórmula'!D111,30)),IF(INDEX(properties!A$1:CB$87,'Fórmula'!F111,30)=0,10^6,INDEX(properties!A$1:CB$87,'Fórmula'!F111,30)),IF(INDEX(properties!A$1:CB$87,'Fórmula'!H111,30)=0,10^6,INDEX(properties!A$1:CB$87,'Fórmula'!H111,30)),IF(INDEX(properties!A$1:CB$87,'Fórmula'!J111,30)=0,10^6,INDEX(properties!A$1:CB$87,'Fórmula'!J111,30)))</f>
        <v>0.82</v>
      </c>
      <c r="CS111" s="117">
        <f t="shared" si="16"/>
        <v>2.62</v>
      </c>
      <c r="CT111" s="118">
        <f t="array" ref="CT111">(('Fórmula'!C111)/('Fórmula'!C111+'Fórmula'!E111+'Fórmula'!G111+'Fórmula'!I111+'Fórmula'!K111))*(INDEX(properties!A$1:CB$87,'Fórmula'!B111,31))+(('Fórmula'!E111)/('Fórmula'!C111+'Fórmula'!E111+'Fórmula'!G111+'Fórmula'!I111+'Fórmula'!K111))*(INDEX(properties!A$1:CB$87,'Fórmula'!D111,31))+(('Fórmula'!G111)/('Fórmula'!C111+'Fórmula'!E111+'Fórmula'!G111+'Fórmula'!I111+'Fórmula'!K111))*(INDEX(properties!A$1:CB$87,'Fórmula'!F111,31))+(('Fórmula'!I111)/('Fórmula'!C111+'Fórmula'!E111+'Fórmula'!G111+'Fórmula'!I111+'Fórmula'!K111))*(INDEX(properties!A$1:CB$87,'Fórmula'!H111,31))+(('Fórmula'!K111)/('Fórmula'!C111+'Fórmula'!E111+'Fórmula'!G111+'Fórmula'!I111+'Fórmula'!K111))*(INDEX(properties!A$1:CB$87,'Fórmula'!J111,31))</f>
        <v>2.690769231</v>
      </c>
      <c r="CU111" s="118">
        <f t="array" ref="CU111">'Fórmula'!C111*(INDEX(properties!A$1:CB$87,'Fórmula'!B111,31))+'Fórmula'!E111*(INDEX(properties!A$1:CB$87,'Fórmula'!D111,31))+'Fórmula'!G111*(INDEX(properties!A$1:CB$87,'Fórmula'!F111,31))+'Fórmula'!I111*(INDEX(properties!A$1:CB$87,'Fórmula'!H111,31))+'Fórmula'!K111*(INDEX(properties!A$1:CB$87,'Fórmula'!J111,31))</f>
        <v>34.98</v>
      </c>
      <c r="CV111" s="118">
        <f t="array" ref="CV111">VARP(IF(INDEX(properties!A$1:CB$87,'Fórmula'!B111,31)&lt;&gt;"",INDEX(properties!A$1:CB$87,'Fórmula'!B111,31)),IF(INDEX(properties!A$1:CB$87,'Fórmula'!D111,31)&lt;&gt;"",INDEX(properties!A$1:CB$87,'Fórmula'!D111,31)),IF(INDEX(properties!A$1:CB$87,'Fórmula'!F111,31)&lt;&gt;"",INDEX(properties!A$1:CB$87,'Fórmula'!F111,31)),IF(INDEX(properties!A$1:CB$87,'Fórmula'!H111,31)&lt;&gt;"",INDEX(properties!A$1:CB$87,'Fórmula'!H111,31)),IF(INDEX(properties!A$1:CB$87,'Fórmula'!J111,31)&lt;&gt;"",INDEX(properties!A$1:CB$87,'Fórmula'!J111,31)))</f>
        <v>0.814784</v>
      </c>
      <c r="CW111" s="118">
        <f t="array" ref="CW111">MAX(INDEX(properties!A$1:CB$87,'Fórmula'!B111,31),INDEX(properties!A$1:CB$87,'Fórmula'!D111,31),INDEX(properties!A$1:CB$87,'Fórmula'!F111,31),INDEX(properties!A$1:CB$87,'Fórmula'!H111,31),INDEX(properties!A$1:CB$87,'Fórmula'!J111,31))</f>
        <v>3.32</v>
      </c>
      <c r="CX111" s="118">
        <f t="array" ref="CX111">MIN(IF(INDEX(properties!A$1:CB$87,'Fórmula'!B111,31)=0,10^6,INDEX(properties!A$1:CB$87,'Fórmula'!B111,31)),IF(INDEX(properties!A$1:CB$87,'Fórmula'!D111,31)=0,10^6,INDEX(properties!A$1:CB$87,'Fórmula'!D111,31)),IF(INDEX(properties!A$1:CB$87,'Fórmula'!F111,31)=0,10^6,INDEX(properties!A$1:CB$87,'Fórmula'!F111,31)),IF(INDEX(properties!A$1:CB$87,'Fórmula'!H111,31)=0,10^6,INDEX(properties!A$1:CB$87,'Fórmula'!H111,31)),IF(INDEX(properties!A$1:CB$87,'Fórmula'!J111,31)=0,10^6,INDEX(properties!A$1:CB$87,'Fórmula'!J111,31)))</f>
        <v>0.8</v>
      </c>
      <c r="CY111" s="118">
        <f t="shared" si="17"/>
        <v>2.52</v>
      </c>
      <c r="CZ111" s="119">
        <f t="array" ref="CZ111">(('Fórmula'!C111)/('Fórmula'!C111+'Fórmula'!E111+'Fórmula'!G111+'Fórmula'!I111+'Fórmula'!K111))*(INDEX(properties!A$1:CB$87,'Fórmula'!B111,32))+(('Fórmula'!E111)/('Fórmula'!C111+'Fórmula'!E111+'Fórmula'!G111+'Fórmula'!I111+'Fórmula'!K111))*(INDEX(properties!A$1:CB$87,'Fórmula'!D111,32))+(('Fórmula'!G111)/('Fórmula'!C111+'Fórmula'!E111+'Fórmula'!G111+'Fórmula'!I111+'Fórmula'!K111))*(INDEX(properties!A$1:CB$87,'Fórmula'!F111,32))+(('Fórmula'!I111)/('Fórmula'!C111+'Fórmula'!E111+'Fórmula'!G111+'Fórmula'!I111+'Fórmula'!K111))*(INDEX(properties!A$1:CB$87,'Fórmula'!H111,32))+(('Fórmula'!K111)/('Fórmula'!C111+'Fórmula'!E111+'Fórmula'!G111+'Fórmula'!I111+'Fórmula'!K111))*(INDEX(properties!A$1:CB$87,'Fórmula'!J111,32))</f>
        <v>6.199230769</v>
      </c>
      <c r="DA111" s="119">
        <f t="array" ref="DA111">'Fórmula'!C111*(INDEX(properties!A$1:CB$87,'Fórmula'!B111,32))+'Fórmula'!E111*(INDEX(properties!A$1:CB$87,'Fórmula'!D111,32))+'Fórmula'!G111*(INDEX(properties!A$1:CB$87,'Fórmula'!F111,32))+'Fórmula'!I111*(INDEX(properties!A$1:CB$87,'Fórmula'!H111,32))+'Fórmula'!K111*(INDEX(properties!A$1:CB$87,'Fórmula'!J111,32))</f>
        <v>80.59</v>
      </c>
      <c r="DB111" s="119">
        <f t="array" ref="DB111">VARP(IF(INDEX(properties!A$1:CB$87,'Fórmula'!B111,32)&lt;&gt;"",INDEX(properties!A$1:CB$87,'Fórmula'!B111,32)),IF(INDEX(properties!A$1:CB$87,'Fórmula'!D111,32)&lt;&gt;"",INDEX(properties!A$1:CB$87,'Fórmula'!D111,32)),IF(INDEX(properties!A$1:CB$87,'Fórmula'!F111,32)&lt;&gt;"",INDEX(properties!A$1:CB$87,'Fórmula'!F111,32)),IF(INDEX(properties!A$1:CB$87,'Fórmula'!H111,32)&lt;&gt;"",INDEX(properties!A$1:CB$87,'Fórmula'!H111,32)),IF(INDEX(properties!A$1:CB$87,'Fórmula'!J111,32)&lt;&gt;"",INDEX(properties!A$1:CB$87,'Fórmula'!J111,32)))</f>
        <v>3.919296</v>
      </c>
      <c r="DC111" s="119">
        <f t="array" ref="DC111">MAX(INDEX(properties!A$1:CB$87,'Fórmula'!B111,32),INDEX(properties!A$1:CB$87,'Fórmula'!D111,32),INDEX(properties!A$1:CB$87,'Fórmula'!F111,32),INDEX(properties!A$1:CB$87,'Fórmula'!H111,32),INDEX(properties!A$1:CB$87,'Fórmula'!J111,32))</f>
        <v>7.54</v>
      </c>
      <c r="DD111" s="119">
        <f t="array" ref="DD111">MIN(IF(INDEX(properties!A$1:CB$87,'Fórmula'!B111,32)=0,10^6,INDEX(properties!A$1:CB$87,'Fórmula'!B111,32)),IF(INDEX(properties!A$1:CB$87,'Fórmula'!D111,32)=0,10^6,INDEX(properties!A$1:CB$87,'Fórmula'!D111,32)),IF(INDEX(properties!A$1:CB$87,'Fórmula'!F111,32)=0,10^6,INDEX(properties!A$1:CB$87,'Fórmula'!F111,32)),IF(INDEX(properties!A$1:CB$87,'Fórmula'!H111,32)=0,10^6,INDEX(properties!A$1:CB$87,'Fórmula'!H111,32)),IF(INDEX(properties!A$1:CB$87,'Fórmula'!J111,32)=0,10^6,INDEX(properties!A$1:CB$87,'Fórmula'!J111,32)))</f>
        <v>2.34</v>
      </c>
      <c r="DE111" s="119">
        <f t="shared" si="18"/>
        <v>5.2</v>
      </c>
      <c r="DF111" s="104">
        <f t="array" ref="DF111">(('Fórmula'!C111)/('Fórmula'!C111+'Fórmula'!E111+'Fórmula'!G111+'Fórmula'!I111+'Fórmula'!K111))*(INDEX(properties!A$1:CB$87,'Fórmula'!B111,34))+(('Fórmula'!E111)/('Fórmula'!C111+'Fórmula'!E111+'Fórmula'!G111+'Fórmula'!I111+'Fórmula'!K111))*(INDEX(properties!A$1:CB$87,'Fórmula'!D111,34))+(('Fórmula'!G111)/('Fórmula'!C111+'Fórmula'!E111+'Fórmula'!G111+'Fórmula'!I111+'Fórmula'!K111))*(INDEX(properties!A$1:CB$87,'Fórmula'!F111,34))+(('Fórmula'!I111)/('Fórmula'!C111+'Fórmula'!E111+'Fórmula'!G111+'Fórmula'!I111+'Fórmula'!K111))*(INDEX(properties!A$1:CB$87,'Fórmula'!H111,34))+(('Fórmula'!K111)/('Fórmula'!C111+'Fórmula'!E111+'Fórmula'!G111+'Fórmula'!I111+'Fórmula'!K111))*(INDEX(properties!A$1:CB$87,'Fórmula'!J111,34))</f>
        <v>2.848</v>
      </c>
      <c r="DG111" s="104">
        <f t="array" ref="DG111">'Fórmula'!C111*(INDEX(properties!A$1:CB$87,'Fórmula'!B111,34))+'Fórmula'!E111*(INDEX(properties!A$1:CB$87,'Fórmula'!D111,34))+'Fórmula'!G111*(INDEX(properties!A$1:CB$87,'Fórmula'!F111,34))+'Fórmula'!I111*(INDEX(properties!A$1:CB$87,'Fórmula'!H111,34))+'Fórmula'!K111*(INDEX(properties!A$1:CB$87,'Fórmula'!J111,34))</f>
        <v>37.024</v>
      </c>
      <c r="DH111" s="104">
        <f t="array" ref="DH111">VARP(IF(INDEX(properties!A$1:CB$87,'Fórmula'!B111,34)&lt;&gt;"",INDEX(properties!A$1:CB$87,'Fórmula'!B111,34)),IF(INDEX(properties!A$1:CB$87,'Fórmula'!D111,34)&lt;&gt;"",INDEX(properties!A$1:CB$87,'Fórmula'!D111,34)),IF(INDEX(properties!A$1:CB$87,'Fórmula'!F111,34)&lt;&gt;"",INDEX(properties!A$1:CB$87,'Fórmula'!F111,34)),IF(INDEX(properties!A$1:CB$87,'Fórmula'!H111,34)&lt;&gt;"",INDEX(properties!A$1:CB$87,'Fórmula'!H111,34)),IF(INDEX(properties!A$1:CB$87,'Fórmula'!J111,34)&lt;&gt;"",INDEX(properties!A$1:CB$87,'Fórmula'!J111,34)))</f>
        <v>1.10710136</v>
      </c>
      <c r="DI111" s="104">
        <f t="array" ref="DI111">MAX(INDEX(properties!A$1:CB$87,'Fórmula'!B111,34),INDEX(properties!A$1:CB$87,'Fórmula'!D111,34),INDEX(properties!A$1:CB$87,'Fórmula'!F111,34),INDEX(properties!A$1:CB$87,'Fórmula'!H111,34),INDEX(properties!A$1:CB$87,'Fórmula'!J111,34))</f>
        <v>3.61</v>
      </c>
      <c r="DJ111" s="104">
        <f t="array" ref="DJ111">MIN(IF(INDEX(properties!A$1:CB$87,'Fórmula'!B111,34)=0,10^6,INDEX(properties!A$1:CB$87,'Fórmula'!B111,34)),IF(INDEX(properties!A$1:CB$87,'Fórmula'!D111,34)=0,10^6,INDEX(properties!A$1:CB$87,'Fórmula'!D111,34)),IF(INDEX(properties!A$1:CB$87,'Fórmula'!F111,34)=0,10^6,INDEX(properties!A$1:CB$87,'Fórmula'!F111,34)),IF(INDEX(properties!A$1:CB$87,'Fórmula'!H111,34)=0,10^6,INDEX(properties!A$1:CB$87,'Fórmula'!H111,34)),IF(INDEX(properties!A$1:CB$87,'Fórmula'!J111,34)=0,10^6,INDEX(properties!A$1:CB$87,'Fórmula'!J111,34)))</f>
        <v>0.706</v>
      </c>
      <c r="DK111" s="104">
        <f t="shared" si="19"/>
        <v>2.904</v>
      </c>
      <c r="DL111" s="105">
        <f t="array" ref="DL111">(('Fórmula'!C111)/('Fórmula'!C111+'Fórmula'!E111+'Fórmula'!G111+'Fórmula'!I111+'Fórmula'!K111))*(INDEX(properties!A$1:CB$87,'Fórmula'!B111,37))+(('Fórmula'!E111)/('Fórmula'!C111+'Fórmula'!E111+'Fórmula'!G111+'Fórmula'!I111+'Fórmula'!K111))*(INDEX(properties!A$1:CB$87,'Fórmula'!D111,37))+(('Fórmula'!G111)/('Fórmula'!C111+'Fórmula'!E111+'Fórmula'!G111+'Fórmula'!I111+'Fórmula'!K111))*(INDEX(properties!A$1:CB$87,'Fórmula'!F111,37))+(('Fórmula'!I111)/('Fórmula'!C111+'Fórmula'!E111+'Fórmula'!G111+'Fórmula'!I111+'Fórmula'!K111))*(INDEX(properties!A$1:CB$87,'Fórmula'!H111,37))+(('Fórmula'!K111)/('Fórmula'!C111+'Fórmula'!E111+'Fórmula'!G111+'Fórmula'!I111+'Fórmula'!K111))*(INDEX(properties!A$1:CB$87,'Fórmula'!J111,37))</f>
        <v>2.721538462</v>
      </c>
      <c r="DM111" s="105">
        <f t="array" ref="DM111">'Fórmula'!C111*(INDEX(properties!A$1:CB$87,'Fórmula'!B111,37))+'Fórmula'!E111*(INDEX(properties!A$1:CB$87,'Fórmula'!D111,37))+'Fórmula'!G111*(INDEX(properties!A$1:CB$87,'Fórmula'!F111,37))+'Fórmula'!I111*(INDEX(properties!A$1:CB$87,'Fórmula'!H111,37))+'Fórmula'!K111*(INDEX(properties!A$1:CB$87,'Fórmula'!J111,37))</f>
        <v>35.38</v>
      </c>
      <c r="DN111" s="105">
        <f t="array" ref="DN111">VARP(IF(INDEX(properties!A$1:CB$87,'Fórmula'!B111,37)&lt;&gt;"",INDEX(properties!A$1:CB$87,'Fórmula'!B111,37)),IF(INDEX(properties!A$1:CB$87,'Fórmula'!D111,37)&lt;&gt;"",INDEX(properties!A$1:CB$87,'Fórmula'!D111,37)),IF(INDEX(properties!A$1:CB$87,'Fórmula'!F111,37)&lt;&gt;"",INDEX(properties!A$1:CB$87,'Fórmula'!F111,37)),IF(INDEX(properties!A$1:CB$87,'Fórmula'!H111,37)&lt;&gt;"",INDEX(properties!A$1:CB$87,'Fórmula'!H111,37)),IF(INDEX(properties!A$1:CB$87,'Fórmula'!J111,37)&lt;&gt;"",INDEX(properties!A$1:CB$87,'Fórmula'!J111,37)))</f>
        <v>0.933904</v>
      </c>
      <c r="DO111" s="105">
        <f t="array" ref="DO111">MAX(INDEX(properties!A$1:CB$87,'Fórmula'!B111,37),INDEX(properties!A$1:CB$87,'Fórmula'!D111,37),INDEX(properties!A$1:CB$87,'Fórmula'!F111,37),INDEX(properties!A$1:CB$87,'Fórmula'!H111,37),INDEX(properties!A$1:CB$87,'Fórmula'!J111,37))</f>
        <v>3.45</v>
      </c>
      <c r="DP111" s="105">
        <f t="array" ref="DP111">MIN(IF(INDEX(properties!A$1:CB$87,'Fórmula'!B111,37)=0,10^6,INDEX(properties!A$1:CB$87,'Fórmula'!B111,37)),IF(INDEX(properties!A$1:CB$87,'Fórmula'!D111,37)=0,10^6,INDEX(properties!A$1:CB$87,'Fórmula'!D111,37)),IF(INDEX(properties!A$1:CB$87,'Fórmula'!F111,37)=0,10^6,INDEX(properties!A$1:CB$87,'Fórmula'!F111,37)),IF(INDEX(properties!A$1:CB$87,'Fórmula'!H111,37)=0,10^6,INDEX(properties!A$1:CB$87,'Fórmula'!H111,37)),IF(INDEX(properties!A$1:CB$87,'Fórmula'!J111,37)=0,10^6,INDEX(properties!A$1:CB$87,'Fórmula'!J111,37)))</f>
        <v>0.78</v>
      </c>
      <c r="DQ111" s="105">
        <f t="shared" si="20"/>
        <v>2.67</v>
      </c>
      <c r="DR111" s="109">
        <f t="array" ref="DR111">(('Fórmula'!C111)/('Fórmula'!C111+'Fórmula'!E111+'Fórmula'!G111+'Fórmula'!I111+'Fórmula'!K111))*(INDEX(properties!A$1:CB$87,'Fórmula'!B111,39))+(('Fórmula'!E111)/('Fórmula'!C111+'Fórmula'!E111+'Fórmula'!G111+'Fórmula'!I111+'Fórmula'!K111))*(INDEX(properties!A$1:CB$87,'Fórmula'!D111,39))+(('Fórmula'!G111)/('Fórmula'!C111+'Fórmula'!E111+'Fórmula'!G111+'Fórmula'!I111+'Fórmula'!K111))*(INDEX(properties!A$1:CB$87,'Fórmula'!F111,39))+(('Fórmula'!I111)/('Fórmula'!C111+'Fórmula'!E111+'Fórmula'!G111+'Fórmula'!I111+'Fórmula'!K111))*(INDEX(properties!A$1:CB$87,'Fórmula'!H111,39))+(('Fórmula'!K111)/('Fórmula'!C111+'Fórmula'!E111+'Fórmula'!G111+'Fórmula'!I111+'Fórmula'!K111))*(INDEX(properties!A$1:CB$87,'Fórmula'!J111,39))</f>
        <v>0.9115384615</v>
      </c>
      <c r="DS111" s="109">
        <f t="array" ref="DS111">'Fórmula'!C111*(INDEX(properties!A$1:CB$87,'Fórmula'!B111,39))+'Fórmula'!E111*(INDEX(properties!A$1:CB$87,'Fórmula'!D111,39))+'Fórmula'!G111*(INDEX(properties!A$1:CB$87,'Fórmula'!F111,39))+'Fórmula'!I111*(INDEX(properties!A$1:CB$87,'Fórmula'!H111,39))+'Fórmula'!K111*(INDEX(properties!A$1:CB$87,'Fórmula'!J111,39))</f>
        <v>11.85</v>
      </c>
      <c r="DT111" s="109">
        <f t="array" ref="DT111">VARP(IF(INDEX(properties!A$1:CB$87,'Fórmula'!B111,39)&lt;&gt;"",INDEX(properties!A$1:CB$87,'Fórmula'!B111,39)),IF(INDEX(properties!A$1:CB$87,'Fórmula'!D111,39)&lt;&gt;"",INDEX(properties!A$1:CB$87,'Fórmula'!D111,39)),IF(INDEX(properties!A$1:CB$87,'Fórmula'!F111,39)&lt;&gt;"",INDEX(properties!A$1:CB$87,'Fórmula'!F111,39)),IF(INDEX(properties!A$1:CB$87,'Fórmula'!H111,39)&lt;&gt;"",INDEX(properties!A$1:CB$87,'Fórmula'!H111,39)),IF(INDEX(properties!A$1:CB$87,'Fórmula'!J111,39)&lt;&gt;"",INDEX(properties!A$1:CB$87,'Fórmula'!J111,39)))</f>
        <v>0.818216</v>
      </c>
      <c r="DU111" s="120">
        <f t="array" ref="DU111">MAX(INDEX(properties!A$1:CB$87,'Fórmula'!B111,39),INDEX(properties!A$1:CB$87,'Fórmula'!D111,39),INDEX(properties!A$1:CB$87,'Fórmula'!F111,39),INDEX(properties!A$1:CB$87,'Fórmula'!H111,39),INDEX(properties!A$1:CB$87,'Fórmula'!J111,39))</f>
        <v>2.65</v>
      </c>
      <c r="DV111" s="120">
        <f t="array" ref="DV111">MIN(IF(INDEX(properties!A$1:CB$87,'Fórmula'!B111,39)=0,10^6,INDEX(properties!A$1:CB$87,'Fórmula'!B111,39)),IF(INDEX(properties!A$1:CB$87,'Fórmula'!D111,39)=0,10^6,INDEX(properties!A$1:CB$87,'Fórmula'!D111,39)),IF(INDEX(properties!A$1:CB$87,'Fórmula'!F111,39)=0,10^6,INDEX(properties!A$1:CB$87,'Fórmula'!F111,39)),IF(INDEX(properties!A$1:CB$87,'Fórmula'!H111,39)=0,10^6,INDEX(properties!A$1:CB$87,'Fórmula'!H111,39)),IF(INDEX(properties!A$1:CB$87,'Fórmula'!J111,39)=0,10^6,INDEX(properties!A$1:CB$87,'Fórmula'!J111,39)))</f>
        <v>0.48</v>
      </c>
      <c r="DW111" s="109">
        <f t="shared" si="21"/>
        <v>2.17</v>
      </c>
      <c r="DX111" s="110">
        <f t="array" ref="DX111">(('Fórmula'!C111)/('Fórmula'!C111+'Fórmula'!E111+'Fórmula'!G111+'Fórmula'!I111+'Fórmula'!K111))*(INDEX(properties!A$1:CB$87,'Fórmula'!B111,40))+(('Fórmula'!E111)/('Fórmula'!C111+'Fórmula'!E111+'Fórmula'!G111+'Fórmula'!I111+'Fórmula'!K111))*(INDEX(properties!A$1:CB$87,'Fórmula'!D111,40))+(('Fórmula'!G111)/('Fórmula'!C111+'Fórmula'!E111+'Fórmula'!G111+'Fórmula'!I111+'Fórmula'!K111))*(INDEX(properties!A$1:CB$87,'Fórmula'!F111,40))+(('Fórmula'!I111)/('Fórmula'!C111+'Fórmula'!E111+'Fórmula'!G111+'Fórmula'!I111+'Fórmula'!K111))*(INDEX(properties!A$1:CB$87,'Fórmula'!H111,40))+(('Fórmula'!K111)/('Fórmula'!C111+'Fórmula'!E111+'Fórmula'!G111+'Fórmula'!I111+'Fórmula'!K111))*(INDEX(properties!A$1:CB$87,'Fórmula'!J111,40))</f>
        <v>0.99</v>
      </c>
      <c r="DY111" s="110">
        <f t="array" ref="DY111">'Fórmula'!C111*(INDEX(properties!A$1:CB$87,'Fórmula'!B111,40))+'Fórmula'!E111*(INDEX(properties!A$1:CB$87,'Fórmula'!D111,40))+'Fórmula'!G111*(INDEX(properties!A$1:CB$87,'Fórmula'!F111,40))+'Fórmula'!I111*(INDEX(properties!A$1:CB$87,'Fórmula'!H111,40))+'Fórmula'!K111*(INDEX(properties!A$1:CB$87,'Fórmula'!J111,40))</f>
        <v>12.87</v>
      </c>
      <c r="DZ111" s="110">
        <f t="array" ref="DZ111">VARP(IF(INDEX(properties!A$1:CB$87,'Fórmula'!B111,40)&lt;&gt;"",INDEX(properties!A$1:CB$87,'Fórmula'!B111,40)),IF(INDEX(properties!A$1:CB$87,'Fórmula'!D111,40)&lt;&gt;"",INDEX(properties!A$1:CB$87,'Fórmula'!D111,40)),IF(INDEX(properties!A$1:CB$87,'Fórmula'!F111,40)&lt;&gt;"",INDEX(properties!A$1:CB$87,'Fórmula'!F111,40)),IF(INDEX(properties!A$1:CB$87,'Fórmula'!H111,40)&lt;&gt;"",INDEX(properties!A$1:CB$87,'Fórmula'!H111,40)),IF(INDEX(properties!A$1:CB$87,'Fórmula'!J111,40)&lt;&gt;"",INDEX(properties!A$1:CB$87,'Fórmula'!J111,40)))</f>
        <v>0.34468</v>
      </c>
      <c r="EA111" s="121">
        <f t="array" ref="EA111">MAX(INDEX(properties!A$1:CB$87,'Fórmula'!B111,40),INDEX(properties!A$1:CB$87,'Fórmula'!D111,40),INDEX(properties!A$1:CB$87,'Fórmula'!F111,40),INDEX(properties!A$1:CB$87,'Fórmula'!H111,40),INDEX(properties!A$1:CB$87,'Fórmula'!J111,40))</f>
        <v>2.11</v>
      </c>
      <c r="EB111" s="121">
        <f t="array" ref="EB111">MIN(IF(INDEX(properties!A$1:CB$87,'Fórmula'!B111,40)=0,10^6,INDEX(properties!A$1:CB$87,'Fórmula'!B111,40)),IF(INDEX(properties!A$1:CB$87,'Fórmula'!D111,40)=0,10^6,INDEX(properties!A$1:CB$87,'Fórmula'!D111,40)),IF(INDEX(properties!A$1:CB$87,'Fórmula'!F111,40)=0,10^6,INDEX(properties!A$1:CB$87,'Fórmula'!F111,40)),IF(INDEX(properties!A$1:CB$87,'Fórmula'!H111,40)=0,10^6,INDEX(properties!A$1:CB$87,'Fórmula'!H111,40)),IF(INDEX(properties!A$1:CB$87,'Fórmula'!J111,40)=0,10^6,INDEX(properties!A$1:CB$87,'Fórmula'!J111,40)))</f>
        <v>0.73</v>
      </c>
      <c r="EC111" s="110">
        <f t="shared" si="22"/>
        <v>1.38</v>
      </c>
      <c r="ED111" s="111">
        <f t="array" ref="ED111">(('Fórmula'!C111)/('Fórmula'!C111+'Fórmula'!E111+'Fórmula'!G111+'Fórmula'!I111+'Fórmula'!K111))*(INDEX(properties!A$1:CB$87,'Fórmula'!B111,41))+(('Fórmula'!E111)/('Fórmula'!C111+'Fórmula'!E111+'Fórmula'!G111+'Fórmula'!I111+'Fórmula'!K111))*(INDEX(properties!A$1:CB$87,'Fórmula'!D111,41))+(('Fórmula'!G111)/('Fórmula'!C111+'Fórmula'!E111+'Fórmula'!G111+'Fórmula'!I111+'Fórmula'!K111))*(INDEX(properties!A$1:CB$87,'Fórmula'!F111,41))+(('Fórmula'!I111)/('Fórmula'!C111+'Fórmula'!E111+'Fórmula'!G111+'Fórmula'!I111+'Fórmula'!K111))*(INDEX(properties!A$1:CB$87,'Fórmula'!H111,41))+(('Fórmula'!K111)/('Fórmula'!C111+'Fórmula'!E111+'Fórmula'!G111+'Fórmula'!I111+'Fórmula'!K111))*(INDEX(properties!A$1:CB$87,'Fórmula'!J111,41))</f>
        <v>1.138461538</v>
      </c>
      <c r="EE111" s="111">
        <f t="array" ref="EE111">'Fórmula'!C111*(INDEX(properties!A$1:CB$87,'Fórmula'!B111,41))+'Fórmula'!E111*(INDEX(properties!A$1:CB$87,'Fórmula'!D111,41))+'Fórmula'!G111*(INDEX(properties!A$1:CB$87,'Fórmula'!F111,41))+'Fórmula'!I111*(INDEX(properties!A$1:CB$87,'Fórmula'!H111,41))+'Fórmula'!K111*(INDEX(properties!A$1:CB$87,'Fórmula'!J111,41))</f>
        <v>14.8</v>
      </c>
      <c r="EF111" s="111">
        <f t="array" ref="EF111">VARP(IF(INDEX(properties!A$1:CB$87,'Fórmula'!B111,41)&lt;&gt;"",INDEX(properties!A$1:CB$87,'Fórmula'!B111,41)),IF(INDEX(properties!A$1:CB$87,'Fórmula'!D111,41)&lt;&gt;"",INDEX(properties!A$1:CB$87,'Fórmula'!D111,41)),IF(INDEX(properties!A$1:CB$87,'Fórmula'!F111,41)&lt;&gt;"",INDEX(properties!A$1:CB$87,'Fórmula'!F111,41)),IF(INDEX(properties!A$1:CB$87,'Fórmula'!H111,41)&lt;&gt;"",INDEX(properties!A$1:CB$87,'Fórmula'!H111,41)),IF(INDEX(properties!A$1:CB$87,'Fórmula'!J111,41)&lt;&gt;"",INDEX(properties!A$1:CB$87,'Fórmula'!J111,41)))</f>
        <v>0.24716</v>
      </c>
      <c r="EG111" s="122">
        <f t="array" ref="EG111">MAX(INDEX(properties!A$1:CB$87,'Fórmula'!B111,41),INDEX(properties!A$1:CB$87,'Fórmula'!D111,41),INDEX(properties!A$1:CB$87,'Fórmula'!F111,41),INDEX(properties!A$1:CB$87,'Fórmula'!H111,41),INDEX(properties!A$1:CB$87,'Fórmula'!J111,41))</f>
        <v>1.66</v>
      </c>
      <c r="EH111" s="122">
        <f t="array" ref="EH111">MIN(IF(INDEX(properties!A$1:CB$87,'Fórmula'!B111,41)=0,10^6,INDEX(properties!A$1:CB$87,'Fórmula'!B111,41)),IF(INDEX(properties!A$1:CB$87,'Fórmula'!D111,41)=0,10^6,INDEX(properties!A$1:CB$87,'Fórmula'!D111,41)),IF(INDEX(properties!A$1:CB$87,'Fórmula'!F111,41)=0,10^6,INDEX(properties!A$1:CB$87,'Fórmula'!F111,41)),IF(INDEX(properties!A$1:CB$87,'Fórmula'!H111,41)=0,10^6,INDEX(properties!A$1:CB$87,'Fórmula'!H111,41)),IF(INDEX(properties!A$1:CB$87,'Fórmula'!J111,41)=0,10^6,INDEX(properties!A$1:CB$87,'Fórmula'!J111,41)))</f>
        <v>0.41</v>
      </c>
      <c r="EI111" s="111">
        <f t="shared" si="23"/>
        <v>1.25</v>
      </c>
      <c r="EJ111" s="112">
        <f t="array" ref="EJ111">(('Fórmula'!C111)/('Fórmula'!C111+'Fórmula'!E111+'Fórmula'!G111+'Fórmula'!I111+'Fórmula'!K111))*(INDEX(properties!A$1:CB$87,'Fórmula'!B111,45))+(('Fórmula'!E111)/('Fórmula'!C111+'Fórmula'!E111+'Fórmula'!G111+'Fórmula'!I111+'Fórmula'!K111))*(INDEX(properties!A$1:CB$87,'Fórmula'!D111,45))+(('Fórmula'!G111)/('Fórmula'!C111+'Fórmula'!E111+'Fórmula'!G111+'Fórmula'!I111+'Fórmula'!K111))*(INDEX(properties!A$1:CB$87,'Fórmula'!F111,45))+(('Fórmula'!I111)/('Fórmula'!C111+'Fórmula'!E111+'Fórmula'!G111+'Fórmula'!I111+'Fórmula'!K111))*(INDEX(properties!A$1:CB$87,'Fórmula'!H111,45))+(('Fórmula'!K111)/('Fórmula'!C111+'Fórmula'!E111+'Fórmula'!G111+'Fórmula'!I111+'Fórmula'!K111))*(INDEX(properties!A$1:CB$87,'Fórmula'!J111,45))</f>
        <v>1.118461538</v>
      </c>
      <c r="EK111" s="112">
        <f t="array" ref="EK111">'Fórmula'!C111*(INDEX(properties!A$1:CB$87,'Fórmula'!B111,45))+'Fórmula'!E111*(INDEX(properties!A$1:CB$87,'Fórmula'!D111,45))+'Fórmula'!G111*(INDEX(properties!A$1:CB$87,'Fórmula'!F111,45))+'Fórmula'!I111*(INDEX(properties!A$1:CB$87,'Fórmula'!H111,45))+'Fórmula'!K111*(INDEX(properties!A$1:CB$87,'Fórmula'!J111,45))</f>
        <v>14.54</v>
      </c>
      <c r="EL111" s="112">
        <f t="array" ref="EL111">VARP(IF(INDEX(properties!A$1:CB$87,'Fórmula'!B111,45)&lt;&gt;"",INDEX(properties!A$1:CB$87,'Fórmula'!B111,45)),IF(INDEX(properties!A$1:CB$87,'Fórmula'!D111,45)&lt;&gt;"",INDEX(properties!A$1:CB$87,'Fórmula'!D111,45)),IF(INDEX(properties!A$1:CB$87,'Fórmula'!F111,45)&lt;&gt;"",INDEX(properties!A$1:CB$87,'Fórmula'!F111,45)),IF(INDEX(properties!A$1:CB$87,'Fórmula'!H111,45)&lt;&gt;"",INDEX(properties!A$1:CB$87,'Fórmula'!H111,45)),IF(INDEX(properties!A$1:CB$87,'Fórmula'!J111,45)&lt;&gt;"",INDEX(properties!A$1:CB$87,'Fórmula'!J111,45)))</f>
        <v>2.145696</v>
      </c>
      <c r="EM111" s="123">
        <f t="array" ref="EM111">MAX(INDEX(properties!A$1:CB$87,'Fórmula'!B111,45),INDEX(properties!A$1:CB$87,'Fórmula'!D111,45),INDEX(properties!A$1:CB$87,'Fórmula'!F111,45),INDEX(properties!A$1:CB$87,'Fórmula'!H111,45),INDEX(properties!A$1:CB$87,'Fórmula'!J111,45))</f>
        <v>4.1</v>
      </c>
      <c r="EN111" s="123">
        <f t="array" ref="EN111">MIN(IF(INDEX(properties!A$1:CB$87,'Fórmula'!B111,45)=0,10^6,INDEX(properties!A$1:CB$87,'Fórmula'!B111,45)),IF(INDEX(properties!A$1:CB$87,'Fórmula'!D111,45)=0,10^6,INDEX(properties!A$1:CB$87,'Fórmula'!D111,45)),IF(INDEX(properties!A$1:CB$87,'Fórmula'!F111,45)=0,10^6,INDEX(properties!A$1:CB$87,'Fórmula'!F111,45)),IF(INDEX(properties!A$1:CB$87,'Fórmula'!H111,45)=0,10^6,INDEX(properties!A$1:CB$87,'Fórmula'!H111,45)),IF(INDEX(properties!A$1:CB$87,'Fórmula'!J111,45)=0,10^6,INDEX(properties!A$1:CB$87,'Fórmula'!J111,45)))</f>
        <v>0.47</v>
      </c>
      <c r="EO111" s="112">
        <f t="shared" si="24"/>
        <v>3.63</v>
      </c>
      <c r="EP111" s="113">
        <f t="array" ref="EP111">(('Fórmula'!C111)/('Fórmula'!C111+'Fórmula'!E111+'Fórmula'!G111+'Fórmula'!I111+'Fórmula'!K111))*(INDEX(properties!A$1:CB$87,'Fórmula'!B111,46))+(('Fórmula'!E111)/('Fórmula'!C111+'Fórmula'!E111+'Fórmula'!G111+'Fórmula'!I111+'Fórmula'!K111))*(INDEX(properties!A$1:CB$87,'Fórmula'!D111,46))+(('Fórmula'!G111)/('Fórmula'!C111+'Fórmula'!E111+'Fórmula'!G111+'Fórmula'!I111+'Fórmula'!K111))*(INDEX(properties!A$1:CB$87,'Fórmula'!F111,46))+(('Fórmula'!I111)/('Fórmula'!C111+'Fórmula'!E111+'Fórmula'!G111+'Fórmula'!I111+'Fórmula'!K111))*(INDEX(properties!A$1:CB$87,'Fórmula'!H111,46))+(('Fórmula'!K111)/('Fórmula'!C111+'Fórmula'!E111+'Fórmula'!G111+'Fórmula'!I111+'Fórmula'!K111))*(INDEX(properties!A$1:CB$87,'Fórmula'!J111,46))</f>
        <v>1.053846154</v>
      </c>
      <c r="EQ111" s="113">
        <f t="array" ref="EQ111">'Fórmula'!C111*(INDEX(properties!A$1:CB$87,'Fórmula'!B111,46))+'Fórmula'!E111*(INDEX(properties!A$1:CB$87,'Fórmula'!D111,46))+'Fórmula'!G111*(INDEX(properties!A$1:CB$87,'Fórmula'!F111,46))+'Fórmula'!I111*(INDEX(properties!A$1:CB$87,'Fórmula'!H111,46))+'Fórmula'!K111*(INDEX(properties!A$1:CB$87,'Fórmula'!J111,46))</f>
        <v>13.7</v>
      </c>
      <c r="ER111" s="113">
        <f t="array" ref="ER111">VARP(IF(INDEX(properties!A$1:CB$87,'Fórmula'!B111,46)&lt;&gt;"",INDEX(properties!A$1:CB$87,'Fórmula'!B111,46)),IF(INDEX(properties!A$1:CB$87,'Fórmula'!D111,46)&lt;&gt;"",INDEX(properties!A$1:CB$87,'Fórmula'!D111,46)),IF(INDEX(properties!A$1:CB$87,'Fórmula'!F111,46)&lt;&gt;"",INDEX(properties!A$1:CB$87,'Fórmula'!F111,46)),IF(INDEX(properties!A$1:CB$87,'Fórmula'!H111,46)&lt;&gt;"",INDEX(properties!A$1:CB$87,'Fórmula'!H111,46)),IF(INDEX(properties!A$1:CB$87,'Fórmula'!J111,46)&lt;&gt;"",INDEX(properties!A$1:CB$87,'Fórmula'!J111,46)))</f>
        <v>0.351424</v>
      </c>
      <c r="ES111" s="124">
        <f t="array" ref="ES111">MAX(INDEX(properties!A$1:CB$87,'Fórmula'!B111,46),INDEX(properties!A$1:CB$87,'Fórmula'!D111,46),INDEX(properties!A$1:CB$87,'Fórmula'!F111,46),INDEX(properties!A$1:CB$87,'Fórmula'!H111,46),INDEX(properties!A$1:CB$87,'Fórmula'!J111,46))</f>
        <v>1.66</v>
      </c>
      <c r="ET111" s="124">
        <f t="array" ref="ET111">MIN(IF(INDEX(properties!A$1:CB$87,'Fórmula'!B111,46)=0,10^6,INDEX(properties!A$1:CB$87,'Fórmula'!B111,46)),IF(INDEX(properties!A$1:CB$87,'Fórmula'!D111,46)=0,10^6,INDEX(properties!A$1:CB$87,'Fórmula'!D111,46)),IF(INDEX(properties!A$1:CB$87,'Fórmula'!F111,46)=0,10^6,INDEX(properties!A$1:CB$87,'Fórmula'!F111,46)),IF(INDEX(properties!A$1:CB$87,'Fórmula'!H111,46)=0,10^6,INDEX(properties!A$1:CB$87,'Fórmula'!H111,46)),IF(INDEX(properties!A$1:CB$87,'Fórmula'!J111,46)=0,10^6,INDEX(properties!A$1:CB$87,'Fórmula'!J111,46)))</f>
        <v>0.25</v>
      </c>
      <c r="EU111" s="113">
        <f t="shared" si="25"/>
        <v>1.41</v>
      </c>
      <c r="EV111" s="114">
        <f t="array" ref="EV111">(('Fórmula'!C111)/('Fórmula'!C111+'Fórmula'!E111+'Fórmula'!G111+'Fórmula'!I111+'Fórmula'!K111))*(INDEX(properties!A$1:CB$87,'Fórmula'!B111,52))+(('Fórmula'!E111)/('Fórmula'!C111+'Fórmula'!E111+'Fórmula'!G111+'Fórmula'!I111+'Fórmula'!K111))*(INDEX(properties!A$1:CB$87,'Fórmula'!D111,52))+(('Fórmula'!G111)/('Fórmula'!C111+'Fórmula'!E111+'Fórmula'!G111+'Fórmula'!I111+'Fórmula'!K111))*(INDEX(properties!A$1:CB$87,'Fórmula'!F111,52))+(('Fórmula'!I111)/('Fórmula'!C111+'Fórmula'!E111+'Fórmula'!G111+'Fórmula'!I111+'Fórmula'!K111))*(INDEX(properties!A$1:CB$87,'Fórmula'!H111,52))+(('Fórmula'!K111)/('Fórmula'!C111+'Fórmula'!E111+'Fórmula'!G111+'Fórmula'!I111+'Fórmula'!K111))*(INDEX(properties!A$1:CB$87,'Fórmula'!J111,52))</f>
        <v>7.964923077</v>
      </c>
      <c r="EW111" s="114">
        <f t="array" ref="EW111">'Fórmula'!C111*(INDEX(properties!A$1:CB$87,'Fórmula'!B111,52))+'Fórmula'!E111*(INDEX(properties!A$1:CB$87,'Fórmula'!D111,52))+'Fórmula'!G111*(INDEX(properties!A$1:CB$87,'Fórmula'!F111,52))+'Fórmula'!I111*(INDEX(properties!A$1:CB$87,'Fórmula'!H111,52))+'Fórmula'!K111*(INDEX(properties!A$1:CB$87,'Fórmula'!J111,52))</f>
        <v>103.544</v>
      </c>
      <c r="EX111" s="114">
        <f t="array" ref="EX111">VARP(IF(INDEX(properties!A$1:CB$87,'Fórmula'!B111,52)&lt;&gt;"",INDEX(properties!A$1:CB$87,'Fórmula'!B111,52)),IF(INDEX(properties!A$1:CB$87,'Fórmula'!D111,52)&lt;&gt;"",INDEX(properties!A$1:CB$87,'Fórmula'!D111,52)),IF(INDEX(properties!A$1:CB$87,'Fórmula'!F111,52)&lt;&gt;"",INDEX(properties!A$1:CB$87,'Fórmula'!F111,52)),IF(INDEX(properties!A$1:CB$87,'Fórmula'!H111,52)&lt;&gt;"",INDEX(properties!A$1:CB$87,'Fórmula'!H111,52)),IF(INDEX(properties!A$1:CB$87,'Fórmula'!J111,52)&lt;&gt;"",INDEX(properties!A$1:CB$87,'Fórmula'!J111,52)))</f>
        <v>410.7922318</v>
      </c>
      <c r="EY111" s="114">
        <f t="array" ref="EY111">MAX(INDEX(properties!A$1:CB$87,'Fórmula'!B111,52),INDEX(properties!A$1:CB$87,'Fórmula'!D111,52),INDEX(properties!A$1:CB$87,'Fórmula'!F111,52),INDEX(properties!A$1:CB$87,'Fórmula'!H111,52),INDEX(properties!A$1:CB$87,'Fórmula'!J111,52))</f>
        <v>47.3</v>
      </c>
      <c r="EZ111" s="114">
        <f t="array" ref="EZ111">MIN(IF(INDEX(properties!A$1:CB$87,'Fórmula'!B111,52)=0,10^6,INDEX(properties!A$1:CB$87,'Fórmula'!B111,52)),IF(INDEX(properties!A$1:CB$87,'Fórmula'!D111,52)=0,10^6,INDEX(properties!A$1:CB$87,'Fórmula'!D111,52)),IF(INDEX(properties!A$1:CB$87,'Fórmula'!F111,52)=0,10^6,INDEX(properties!A$1:CB$87,'Fórmula'!F111,52)),IF(INDEX(properties!A$1:CB$87,'Fórmula'!H111,52)=0,10^6,INDEX(properties!A$1:CB$87,'Fórmula'!H111,52)),IF(INDEX(properties!A$1:CB$87,'Fórmula'!J111,52)=0,10^6,INDEX(properties!A$1:CB$87,'Fórmula'!J111,52)))</f>
        <v>0.793</v>
      </c>
      <c r="FA111" s="114">
        <f t="shared" si="26"/>
        <v>46.507</v>
      </c>
      <c r="FB111" s="115">
        <f t="array" ref="FB111">(('Fórmula'!C111)/('Fórmula'!C111+'Fórmula'!E111+'Fórmula'!G111+'Fórmula'!I111+'Fórmula'!K111))*(INDEX(properties!A$1:CB$87,'Fórmula'!B111,53))+(('Fórmula'!E111)/('Fórmula'!C111+'Fórmula'!E111+'Fórmula'!G111+'Fórmula'!I111+'Fórmula'!K111))*(INDEX(properties!A$1:CB$87,'Fórmula'!D111,53))+(('Fórmula'!G111)/('Fórmula'!C111+'Fórmula'!E111+'Fórmula'!G111+'Fórmula'!I111+'Fórmula'!K111))*(INDEX(properties!A$1:CB$87,'Fórmula'!F111,53))+(('Fórmula'!I111)/('Fórmula'!C111+'Fórmula'!E111+'Fórmula'!G111+'Fórmula'!I111+'Fórmula'!K111))*(INDEX(properties!A$1:CB$87,'Fórmula'!H111,53))+(('Fórmula'!K111)/('Fórmula'!C111+'Fórmula'!E111+'Fórmula'!G111+'Fórmula'!I111+'Fórmula'!K111))*(INDEX(properties!A$1:CB$87,'Fórmula'!J111,53))</f>
        <v>364.2192308</v>
      </c>
      <c r="FC111" s="115">
        <f t="array" ref="FC111">'Fórmula'!C111*(INDEX(properties!A$1:CB$87,'Fórmula'!B111,53))+'Fórmula'!E111*(INDEX(properties!A$1:CB$87,'Fórmula'!D111,53))+'Fórmula'!G111*(INDEX(properties!A$1:CB$87,'Fórmula'!F111,53))+'Fórmula'!I111*(INDEX(properties!A$1:CB$87,'Fórmula'!H111,53))+'Fórmula'!K111*(INDEX(properties!A$1:CB$87,'Fórmula'!J111,53))</f>
        <v>4734.85</v>
      </c>
      <c r="FD111" s="115">
        <f t="array" ref="FD111">VARP(IF(INDEX(properties!A$1:CB$87,'Fórmula'!B111,53)&lt;&gt;"",INDEX(properties!A$1:CB$87,'Fórmula'!B111,53)),IF(INDEX(properties!A$1:CB$87,'Fórmula'!D111,53)&lt;&gt;"",INDEX(properties!A$1:CB$87,'Fórmula'!D111,53)),IF(INDEX(properties!A$1:CB$87,'Fórmula'!F111,53)&lt;&gt;"",INDEX(properties!A$1:CB$87,'Fórmula'!F111,53)),IF(INDEX(properties!A$1:CB$87,'Fórmula'!H111,53)&lt;&gt;"",INDEX(properties!A$1:CB$87,'Fórmula'!H111,53)),IF(INDEX(properties!A$1:CB$87,'Fórmula'!J111,53)&lt;&gt;"",INDEX(properties!A$1:CB$87,'Fórmula'!J111,53)))</f>
        <v>694947.4776</v>
      </c>
      <c r="FE111" s="115">
        <f t="array" ref="FE111">MAX(INDEX(properties!A$1:CB$87,'Fórmula'!B111,53),INDEX(properties!A$1:CB$87,'Fórmula'!D111,53),INDEX(properties!A$1:CB$87,'Fórmula'!F111,53),INDEX(properties!A$1:CB$87,'Fórmula'!H111,53),INDEX(properties!A$1:CB$87,'Fórmula'!J111,53))</f>
        <v>2352.15</v>
      </c>
      <c r="FF111" s="115">
        <f t="array" ref="FF111">MIN(IF(INDEX(properties!A$1:CB$87,'Fórmula'!B111,53)=0,10^6,INDEX(properties!A$1:CB$87,'Fórmula'!B111,53)),IF(INDEX(properties!A$1:CB$87,'Fórmula'!D111,53)=0,10^6,INDEX(properties!A$1:CB$87,'Fórmula'!D111,53)),IF(INDEX(properties!A$1:CB$87,'Fórmula'!F111,53)=0,10^6,INDEX(properties!A$1:CB$87,'Fórmula'!F111,53)),IF(INDEX(properties!A$1:CB$87,'Fórmula'!H111,53)=0,10^6,INDEX(properties!A$1:CB$87,'Fórmula'!H111,53)),IF(INDEX(properties!A$1:CB$87,'Fórmula'!J111,53)=0,10^6,INDEX(properties!A$1:CB$87,'Fórmula'!J111,53)))</f>
        <v>54.75</v>
      </c>
      <c r="FG111" s="115">
        <f t="shared" si="27"/>
        <v>2297.4</v>
      </c>
      <c r="FH111" s="117">
        <f t="array" ref="FH111">(('Fórmula'!C111)/('Fórmula'!C111+'Fórmula'!E111+'Fórmula'!G111+'Fórmula'!I111+'Fórmula'!K111))*(INDEX(properties!A$1:CB$87,'Fórmula'!B111,54))+(('Fórmula'!E111)/('Fórmula'!C111+'Fórmula'!E111+'Fórmula'!G111+'Fórmula'!I111+'Fórmula'!K111))*(INDEX(properties!A$1:CB$87,'Fórmula'!D111,54))+(('Fórmula'!G111)/('Fórmula'!C111+'Fórmula'!E111+'Fórmula'!G111+'Fórmula'!I111+'Fórmula'!K111))*(INDEX(properties!A$1:CB$87,'Fórmula'!F111,54))+(('Fórmula'!I111)/('Fórmula'!C111+'Fórmula'!E111+'Fórmula'!G111+'Fórmula'!I111+'Fórmula'!K111))*(INDEX(properties!A$1:CB$87,'Fórmula'!H111,54))+(('Fórmula'!K111)/('Fórmula'!C111+'Fórmula'!E111+'Fórmula'!G111+'Fórmula'!I111+'Fórmula'!K111))*(INDEX(properties!A$1:CB$87,'Fórmula'!J111,54))</f>
        <v>690.3692308</v>
      </c>
      <c r="FI111" s="117">
        <f t="array" ref="FI111">'Fórmula'!C111*(INDEX(properties!A$1:CB$87,'Fórmula'!B111,54))+'Fórmula'!E111*(INDEX(properties!A$1:CB$87,'Fórmula'!D111,54))+'Fórmula'!G111*(INDEX(properties!A$1:CB$87,'Fórmula'!F111,54))+'Fórmula'!I111*(INDEX(properties!A$1:CB$87,'Fórmula'!H111,54))+'Fórmula'!K111*(INDEX(properties!A$1:CB$87,'Fórmula'!J111,54))</f>
        <v>8974.8</v>
      </c>
      <c r="FJ111" s="117">
        <f t="array" ref="FJ111">VARP(IF(INDEX(properties!A$1:CB$87,'Fórmula'!B111,54)&lt;&gt;"",INDEX(properties!A$1:CB$87,'Fórmula'!B111,54)),IF(INDEX(properties!A$1:CB$87,'Fórmula'!D111,54)&lt;&gt;"",INDEX(properties!A$1:CB$87,'Fórmula'!D111,54)),IF(INDEX(properties!A$1:CB$87,'Fórmula'!F111,54)&lt;&gt;"",INDEX(properties!A$1:CB$87,'Fórmula'!F111,54)),IF(INDEX(properties!A$1:CB$87,'Fórmula'!H111,54)&lt;&gt;"",INDEX(properties!A$1:CB$87,'Fórmula'!H111,54)),IF(INDEX(properties!A$1:CB$87,'Fórmula'!J111,54)&lt;&gt;"",INDEX(properties!A$1:CB$87,'Fórmula'!J111,54)))</f>
        <v>2206229.784</v>
      </c>
      <c r="FK111" s="117">
        <f t="array" ref="FK111">MAX(INDEX(properties!A$1:CB$87,'Fórmula'!B111,54),INDEX(properties!A$1:CB$87,'Fórmula'!D111,54),INDEX(properties!A$1:CB$87,'Fórmula'!F111,54),INDEX(properties!A$1:CB$87,'Fórmula'!H111,54),INDEX(properties!A$1:CB$87,'Fórmula'!J111,54))</f>
        <v>4275</v>
      </c>
      <c r="FL111" s="117">
        <f t="array" ref="FL111">MIN(IF(INDEX(properties!A$1:CB$87,'Fórmula'!B111,54)=0,10^6,INDEX(properties!A$1:CB$87,'Fórmula'!B111,54)),IF(INDEX(properties!A$1:CB$87,'Fórmula'!D111,54)=0,10^6,INDEX(properties!A$1:CB$87,'Fórmula'!D111,54)),IF(INDEX(properties!A$1:CB$87,'Fórmula'!F111,54)=0,10^6,INDEX(properties!A$1:CB$87,'Fórmula'!F111,54)),IF(INDEX(properties!A$1:CB$87,'Fórmula'!H111,54)=0,10^6,INDEX(properties!A$1:CB$87,'Fórmula'!H111,54)),IF(INDEX(properties!A$1:CB$87,'Fórmula'!J111,54)=0,10^6,INDEX(properties!A$1:CB$87,'Fórmula'!J111,54)))</f>
        <v>90.15</v>
      </c>
      <c r="FM111" s="117">
        <f t="shared" si="28"/>
        <v>4184.85</v>
      </c>
      <c r="FN111" s="118">
        <f t="array" ref="FN111">(('Fórmula'!C111)/('Fórmula'!C111+'Fórmula'!E111+'Fórmula'!G111+'Fórmula'!I111+'Fórmula'!K111))*(INDEX(properties!A$1:CB$87,'Fórmula'!B111,55))+(('Fórmula'!E111)/('Fórmula'!C111+'Fórmula'!E111+'Fórmula'!G111+'Fórmula'!I111+'Fórmula'!K111))*(INDEX(properties!A$1:CB$87,'Fórmula'!D111,55))+(('Fórmula'!G111)/('Fórmula'!C111+'Fórmula'!E111+'Fórmula'!G111+'Fórmula'!I111+'Fórmula'!K111))*(INDEX(properties!A$1:CB$87,'Fórmula'!F111,55))+(('Fórmula'!I111)/('Fórmula'!C111+'Fórmula'!E111+'Fórmula'!G111+'Fórmula'!I111+'Fórmula'!K111))*(INDEX(properties!A$1:CB$87,'Fórmula'!H111,55))+(('Fórmula'!K111)/('Fórmula'!C111+'Fórmula'!E111+'Fórmula'!G111+'Fórmula'!I111+'Fórmula'!K111))*(INDEX(properties!A$1:CB$87,'Fórmula'!J111,55))</f>
        <v>0.8478030769</v>
      </c>
      <c r="FO111" s="118">
        <f t="array" ref="FO111">'Fórmula'!C111*(INDEX(properties!A$1:CB$87,'Fórmula'!B111,55))+'Fórmula'!E111*(INDEX(properties!A$1:CB$87,'Fórmula'!D111,54))+'Fórmula'!G111*(INDEX(properties!A$1:CB$87,'Fórmula'!F111,55))+'Fórmula'!I111*(INDEX(properties!A$1:CB$87,'Fórmula'!H111,55))+'Fórmula'!K111*(INDEX(properties!A$1:CB$87,'Fórmula'!J111,55))</f>
        <v>1920.67144</v>
      </c>
      <c r="FP111" s="118">
        <f t="array" ref="FP111">VARP(IF(INDEX(properties!A$1:CB$87,'Fórmula'!B111,55)&lt;&gt;"",INDEX(properties!A$1:CB$87,'Fórmula'!B111,55)),IF(INDEX(properties!A$1:CB$87,'Fórmula'!D111,55)&lt;&gt;"",INDEX(properties!A$1:CB$87,'Fórmula'!D111,55)),IF(INDEX(properties!A$1:CB$87,'Fórmula'!F111,55)&lt;&gt;"",INDEX(properties!A$1:CB$87,'Fórmula'!F111,55)),IF(INDEX(properties!A$1:CB$87,'Fórmula'!H111,55)&lt;&gt;"",INDEX(properties!A$1:CB$87,'Fórmula'!H111,55)),IF(INDEX(properties!A$1:CB$87,'Fórmula'!J111,55)&lt;&gt;"",INDEX(properties!A$1:CB$87,'Fórmula'!J111,55)))</f>
        <v>1.296484991</v>
      </c>
      <c r="FQ111" s="118">
        <f t="array" ref="FQ111">MAX(INDEX(properties!A$1:CB$87,'Fórmula'!B111,55),INDEX(properties!A$1:CB$87,'Fórmula'!D111,55),INDEX(properties!A$1:CB$87,'Fórmula'!F111,55),INDEX(properties!A$1:CB$87,'Fórmula'!H111,55),INDEX(properties!A$1:CB$87,'Fórmula'!J111,55))</f>
        <v>3.5</v>
      </c>
      <c r="FR111" s="118">
        <f t="array" ref="FR111">MIN(IF(INDEX(properties!A$1:CB$87,'Fórmula'!B111,55)=0,10^6,INDEX(properties!A$1:CB$87,'Fórmula'!B111,55)),IF(INDEX(properties!A$1:CB$87,'Fórmula'!D111,55)=0,10^6,INDEX(properties!A$1:CB$87,'Fórmula'!D111,55)),IF(INDEX(properties!A$1:CB$87,'Fórmula'!F111,55)=0,10^6,INDEX(properties!A$1:CB$87,'Fórmula'!F111,55)),IF(INDEX(properties!A$1:CB$87,'Fórmula'!H111,55)=0,10^6,INDEX(properties!A$1:CB$87,'Fórmula'!H111,55)),IF(INDEX(properties!A$1:CB$87,'Fórmula'!J111,55)=0,10^6,INDEX(properties!A$1:CB$87,'Fórmula'!J111,55)))</f>
        <v>0.00143</v>
      </c>
      <c r="FS111" s="118">
        <f t="shared" si="29"/>
        <v>3.49857</v>
      </c>
      <c r="FT111" s="119">
        <f t="array" ref="FT111">(('Fórmula'!C111)/('Fórmula'!C111+'Fórmula'!E111+'Fórmula'!G111+'Fórmula'!I111+'Fórmula'!K111))*(INDEX(properties!A$1:CB$87,'Fórmula'!B111,56))+(('Fórmula'!E111)/('Fórmula'!C111+'Fórmula'!E111+'Fórmula'!G111+'Fórmula'!I111+'Fórmula'!K111))*(INDEX(properties!A$1:CB$87,'Fórmula'!D111,56))+(('Fórmula'!G111)/('Fórmula'!C111+'Fórmula'!E111+'Fórmula'!G111+'Fórmula'!I111+'Fórmula'!K111))*(INDEX(properties!A$1:CB$87,'Fórmula'!F111,56))+(('Fórmula'!I111)/('Fórmula'!C111+'Fórmula'!E111+'Fórmula'!G111+'Fórmula'!I111+'Fórmula'!K111))*(INDEX(properties!A$1:CB$87,'Fórmula'!H111,56))+(('Fórmula'!K111)/('Fórmula'!C111+'Fórmula'!E111+'Fórmula'!G111+'Fórmula'!I111+'Fórmula'!K111))*(INDEX(properties!A$1:CB$87,'Fórmula'!J111,56))</f>
        <v>0.8066923077</v>
      </c>
      <c r="FU111" s="119">
        <f t="array" ref="FU111">'Fórmula'!C111*(INDEX(properties!A$1:CB$87,'Fórmula'!B111,56))+'Fórmula'!E111*(INDEX(properties!A$1:CB$87,'Fórmula'!D111,56))+'Fórmula'!G111*(INDEX(properties!A$1:CB$87,'Fórmula'!F111,56))+'Fórmula'!I111*(INDEX(properties!A$1:CB$87,'Fórmula'!H111,56))+'Fórmula'!K111*(INDEX(properties!A$1:CB$87,'Fórmula'!J111,56))</f>
        <v>10.487</v>
      </c>
      <c r="FV111" s="119">
        <f t="array" ref="FV111">VARP(IF(INDEX(properties!A$1:CB$87,'Fórmula'!B111,56)&lt;&gt;"",INDEX(properties!A$1:CB$87,'Fórmula'!B111,56)),IF(INDEX(properties!A$1:CB$87,'Fórmula'!D111,56)&lt;&gt;"",INDEX(properties!A$1:CB$87,'Fórmula'!D111,56)),IF(INDEX(properties!A$1:CB$87,'Fórmula'!F111,56)&lt;&gt;"",INDEX(properties!A$1:CB$87,'Fórmula'!F111,56)),IF(INDEX(properties!A$1:CB$87,'Fórmula'!H111,56)&lt;&gt;"",INDEX(properties!A$1:CB$87,'Fórmula'!H111,56)),IF(INDEX(properties!A$1:CB$87,'Fórmula'!J111,56)&lt;&gt;"",INDEX(properties!A$1:CB$87,'Fórmula'!J111,56)))</f>
        <v>0.10106784</v>
      </c>
      <c r="FW111" s="119">
        <f t="array" ref="FW111">MAX(INDEX(properties!A$1:CB$87,'Fórmula'!B111,56),INDEX(properties!A$1:CB$87,'Fórmula'!D111,56),INDEX(properties!A$1:CB$87,'Fórmula'!F111,56),INDEX(properties!A$1:CB$87,'Fórmula'!H111,56),INDEX(properties!A$1:CB$87,'Fórmula'!J111,56))</f>
        <v>1.02</v>
      </c>
      <c r="FX111" s="119">
        <f t="array" ref="FX111">MIN(IF(INDEX(properties!A$1:CB$87,'Fórmula'!B111,56)=0,10^6,INDEX(properties!A$1:CB$87,'Fórmula'!B111,56)),IF(INDEX(properties!A$1:CB$87,'Fórmula'!D111,56)=0,10^6,INDEX(properties!A$1:CB$87,'Fórmula'!D111,56)),IF(INDEX(properties!A$1:CB$87,'Fórmula'!F111,56)=0,10^6,INDEX(properties!A$1:CB$87,'Fórmula'!F111,56)),IF(INDEX(properties!A$1:CB$87,'Fórmula'!H111,56)=0,10^6,INDEX(properties!A$1:CB$87,'Fórmula'!H111,56)),IF(INDEX(properties!A$1:CB$87,'Fórmula'!J111,56)=0,10^6,INDEX(properties!A$1:CB$87,'Fórmula'!J111,56)))</f>
        <v>0.204</v>
      </c>
      <c r="FY111" s="119">
        <f t="shared" si="30"/>
        <v>0.816</v>
      </c>
      <c r="FZ111" s="104">
        <f t="array" ref="FZ111">(('Fórmula'!C111)/('Fórmula'!C111+'Fórmula'!E111+'Fórmula'!G111+'Fórmula'!I111+'Fórmula'!K111))*(INDEX(properties!A$1:CB$87,'Fórmula'!B111,57))+(('Fórmula'!E111)/('Fórmula'!C111+'Fórmula'!E111+'Fórmula'!G111+'Fórmula'!I111+'Fórmula'!K111))*(INDEX(properties!A$1:CB$87,'Fórmula'!D111,57))+(('Fórmula'!G111)/('Fórmula'!C111+'Fórmula'!E111+'Fórmula'!G111+'Fórmula'!I111+'Fórmula'!K111))*(INDEX(properties!A$1:CB$87,'Fórmula'!F111,57))+(('Fórmula'!I111)/('Fórmula'!C111+'Fórmula'!E111+'Fórmula'!G111+'Fórmula'!I111+'Fórmula'!K111))*(INDEX(properties!A$1:CB$87,'Fórmula'!H111,57))+(('Fórmula'!K111)/('Fórmula'!C111+'Fórmula'!E111+'Fórmula'!G111+'Fórmula'!I111+'Fórmula'!K111))*(INDEX(properties!A$1:CB$87,'Fórmula'!J111,57))</f>
        <v>4.864363077</v>
      </c>
      <c r="GA111" s="104">
        <f t="array" ref="GA111">'Fórmula'!C111*(INDEX(properties!A$1:CB$87,'Fórmula'!B111,57))+'Fórmula'!E111*(INDEX(properties!A$1:CB$87,'Fórmula'!D111,57))+'Fórmula'!G111*(INDEX(properties!A$1:CB$87,'Fórmula'!F111,57))+'Fórmula'!I111*(INDEX(properties!A$1:CB$87,'Fórmula'!H111,57))+'Fórmula'!K111*(INDEX(properties!A$1:CB$87,'Fórmula'!J111,57))</f>
        <v>63.23672</v>
      </c>
      <c r="GB111" s="104">
        <f t="array" ref="GB111">VARP(IF(INDEX(properties!A$1:CB$87,'Fórmula'!B111,57)&lt;&gt;"",INDEX(properties!A$1:CB$87,'Fórmula'!B111,57)),IF(INDEX(properties!A$1:CB$87,'Fórmula'!D111,57)&lt;&gt;"",INDEX(properties!A$1:CB$87,'Fórmula'!D111,57)),IF(INDEX(properties!A$1:CB$87,'Fórmula'!F111,57)&lt;&gt;"",INDEX(properties!A$1:CB$87,'Fórmula'!F111,57)),IF(INDEX(properties!A$1:CB$87,'Fórmula'!H111,57)&lt;&gt;"",INDEX(properties!A$1:CB$87,'Fórmula'!H111,57)),IF(INDEX(properties!A$1:CB$87,'Fórmula'!J111,57)&lt;&gt;"",INDEX(properties!A$1:CB$87,'Fórmula'!J111,57)))</f>
        <v>368.132334</v>
      </c>
      <c r="GC111" s="104">
        <f t="array" ref="GC111">MAX(INDEX(properties!A$1:CB$87,'Fórmula'!B111,57),INDEX(properties!A$1:CB$87,'Fórmula'!D111,57),INDEX(properties!A$1:CB$87,'Fórmula'!F111,57),INDEX(properties!A$1:CB$87,'Fórmula'!H111,57),INDEX(properties!A$1:CB$87,'Fórmula'!J111,57))</f>
        <v>50.2</v>
      </c>
      <c r="GD111" s="104">
        <f t="array" ref="GD111">MIN(IF(INDEX(properties!A$1:CB$87,'Fórmula'!B111,57)=0,10^6,INDEX(properties!A$1:CB$87,'Fórmula'!B111,57)),IF(INDEX(properties!A$1:CB$87,'Fórmula'!D111,57)=0,10^6,INDEX(properties!A$1:CB$87,'Fórmula'!D111,57)),IF(INDEX(properties!A$1:CB$87,'Fórmula'!F111,57)=0,10^6,INDEX(properties!A$1:CB$87,'Fórmula'!F111,57)),IF(INDEX(properties!A$1:CB$87,'Fórmula'!H111,57)=0,10^6,INDEX(properties!A$1:CB$87,'Fórmula'!H111,57)),IF(INDEX(properties!A$1:CB$87,'Fórmula'!J111,57)=0,10^6,INDEX(properties!A$1:CB$87,'Fórmula'!J111,57)))</f>
        <v>0.22259</v>
      </c>
      <c r="GE111" s="104">
        <f t="shared" si="31"/>
        <v>49.97741</v>
      </c>
      <c r="GF111" s="105">
        <f t="array" ref="GF111">(('Fórmula'!C111)/('Fórmula'!C111+'Fórmula'!E111+'Fórmula'!G111+'Fórmula'!I111+'Fórmula'!K111))*(INDEX(properties!A$1:CB$87,'Fórmula'!B111,60))+(('Fórmula'!E111)/('Fórmula'!C111+'Fórmula'!E111+'Fórmula'!G111+'Fórmula'!I111+'Fórmula'!K111))*(INDEX(properties!A$1:CB$87,'Fórmula'!D111,60))+(('Fórmula'!G111)/('Fórmula'!C111+'Fórmula'!E111+'Fórmula'!G111+'Fórmula'!I111+'Fórmula'!K111))*(INDEX(properties!A$1:CB$87,'Fórmula'!F111,60))+(('Fórmula'!I111)/('Fórmula'!C111+'Fórmula'!E111+'Fórmula'!G111+'Fórmula'!I111+'Fórmula'!K111))*(INDEX(properties!A$1:CB$87,'Fórmula'!H111,60))+(('Fórmula'!K111)/('Fórmula'!C111+'Fórmula'!E111+'Fórmula'!G111+'Fórmula'!I111+'Fórmula'!K111))*(INDEX(properties!A$1:CB$87,'Fórmula'!J111,60))</f>
        <v>8.02184</v>
      </c>
      <c r="GG111" s="105">
        <f t="array" ref="GG111">'Fórmula'!C111*(INDEX(properties!A$1:CB$87,'Fórmula'!B111,60))+'Fórmula'!E111*(INDEX(properties!A$1:CB$87,'Fórmula'!D111,60))+'Fórmula'!G111*(INDEX(properties!A$1:CB$87,'Fórmula'!F111,60))+'Fórmula'!I111*(INDEX(properties!A$1:CB$87,'Fórmula'!H111,60))+'Fórmula'!K111*(INDEX(properties!A$1:CB$87,'Fórmula'!J111,60))</f>
        <v>104.28392</v>
      </c>
      <c r="GH111" s="105">
        <f t="array" ref="GH111">VARP(IF(INDEX(properties!A$1:CB$87,'Fórmula'!B111,60)&lt;&gt;"",INDEX(properties!A$1:CB$87,'Fórmula'!B111,60)),IF(INDEX(properties!A$1:CB$87,'Fórmula'!D111,60)&lt;&gt;"",INDEX(properties!A$1:CB$87,'Fórmula'!D111,60)),IF(INDEX(properties!A$1:CB$87,'Fórmula'!F111,60)&lt;&gt;"",INDEX(properties!A$1:CB$87,'Fórmula'!F111,60)),IF(INDEX(properties!A$1:CB$87,'Fórmula'!H111,60)&lt;&gt;"",INDEX(properties!A$1:CB$87,'Fórmula'!H111,60)),IF(INDEX(properties!A$1:CB$87,'Fórmula'!J111,60)&lt;&gt;"",INDEX(properties!A$1:CB$87,'Fórmula'!J111,60)))</f>
        <v>459.4807466</v>
      </c>
      <c r="GI111" s="105">
        <f t="array" ref="GI111">MAX(INDEX(properties!A$1:CB$87,'Fórmula'!B111,60),INDEX(properties!A$1:CB$87,'Fórmula'!D111,60),INDEX(properties!A$1:CB$87,'Fórmula'!F111,60),INDEX(properties!A$1:CB$87,'Fórmula'!H111,60),INDEX(properties!A$1:CB$87,'Fórmula'!J111,60))</f>
        <v>58.2</v>
      </c>
      <c r="GJ111" s="105">
        <f t="array" ref="GJ111">MIN(IF(INDEX(properties!A$1:CB$87,'Fórmula'!B111,60)=0,10^6,INDEX(properties!A$1:CB$87,'Fórmula'!B111,60)),IF(INDEX(properties!A$1:CB$87,'Fórmula'!D111,60)=0,10^6,INDEX(properties!A$1:CB$87,'Fórmula'!D111,60)),IF(INDEX(properties!A$1:CB$87,'Fórmula'!F111,60)=0,10^6,INDEX(properties!A$1:CB$87,'Fórmula'!F111,60)),IF(INDEX(properties!A$1:CB$87,'Fórmula'!H111,60)=0,10^6,INDEX(properties!A$1:CB$87,'Fórmula'!H111,60)),IF(INDEX(properties!A$1:CB$87,'Fórmula'!J111,60)=0,10^6,INDEX(properties!A$1:CB$87,'Fórmula'!J111,60)))</f>
        <v>0.02674</v>
      </c>
      <c r="GK111" s="105">
        <f t="shared" si="32"/>
        <v>58.17326</v>
      </c>
      <c r="GL111" s="106">
        <f t="array" ref="GL111">(('Fórmula'!C111)/('Fórmula'!C111+'Fórmula'!E111+'Fórmula'!G111+'Fórmula'!I111+'Fórmula'!K111))*(INDEX(properties!A$1:CB$87,'Fórmula'!B111,62))+(('Fórmula'!E111)/('Fórmula'!C111+'Fórmula'!E111+'Fórmula'!G111+'Fórmula'!I111+'Fórmula'!K111))*(INDEX(properties!A$1:CB$87,'Fórmula'!D111,62))+(('Fórmula'!G111)/('Fórmula'!C111+'Fórmula'!E111+'Fórmula'!G111+'Fórmula'!I111+'Fórmula'!K111))*(INDEX(properties!A$1:CB$87,'Fórmula'!F111,62))+(('Fórmula'!I111)/('Fórmula'!C111+'Fórmula'!E111+'Fórmula'!G111+'Fórmula'!I111+'Fórmula'!K111))*(INDEX(properties!A$1:CB$87,'Fórmula'!H111,62))+(('Fórmula'!K111)/('Fórmula'!C111+'Fórmula'!E111+'Fórmula'!G111+'Fórmula'!I111+'Fórmula'!K111))*(INDEX(properties!A$1:CB$87,'Fórmula'!J111,62))</f>
        <v>2.798615385</v>
      </c>
      <c r="GM111" s="106">
        <f t="array" ref="GM111">'Fórmula'!C111*(INDEX(properties!A$1:CB$87,'Fórmula'!B111,62))+'Fórmula'!E111*(INDEX(properties!A$1:CB$87,'Fórmula'!D111,62))+'Fórmula'!G111*(INDEX(properties!A$1:CB$87,'Fórmula'!F111,62))+'Fórmula'!I111*(INDEX(properties!A$1:CB$87,'Fórmula'!H111,62))+'Fórmula'!K111*(INDEX(properties!A$1:CB$87,'Fórmula'!J111,62))</f>
        <v>36.382</v>
      </c>
      <c r="GN111" s="106">
        <f t="array" ref="GN111">VARP(IF(INDEX(properties!A$1:CB$87,'Fórmula'!B111,62)&lt;&gt;"",INDEX(properties!A$1:CB$87,'Fórmula'!B111,62)),IF(INDEX(properties!A$1:CB$87,'Fórmula'!D111,62)&lt;&gt;"",INDEX(properties!A$1:CB$87,'Fórmula'!D111,62)),IF(INDEX(properties!A$1:CB$87,'Fórmula'!F111,62)&lt;&gt;"",INDEX(properties!A$1:CB$87,'Fórmula'!F111,62)),IF(INDEX(properties!A$1:CB$87,'Fórmula'!H111,62)&lt;&gt;"",INDEX(properties!A$1:CB$87,'Fórmula'!H111,62)),IF(INDEX(properties!A$1:CB$87,'Fórmula'!J111,62)&lt;&gt;"",INDEX(properties!A$1:CB$87,'Fórmula'!J111,62)))</f>
        <v>2.80383904</v>
      </c>
      <c r="GO111" s="106">
        <f t="array" ref="GO111">MAX(INDEX(properties!A$1:CB$87,'Fórmula'!B111,62),INDEX(properties!A$1:CB$87,'Fórmula'!D111,62),INDEX(properties!A$1:CB$87,'Fórmula'!F111,62),INDEX(properties!A$1:CB$87,'Fórmula'!H111,62),INDEX(properties!A$1:CB$87,'Fórmula'!J111,62))</f>
        <v>5.81</v>
      </c>
      <c r="GP111" s="106">
        <f t="array" ref="GP111">MIN(IF(INDEX(properties!A$1:CB$87,'Fórmula'!B111,62)=0,10^6,INDEX(properties!A$1:CB$87,'Fórmula'!B111,62)),IF(INDEX(properties!A$1:CB$87,'Fórmula'!D111,62)=0,10^6,INDEX(properties!A$1:CB$87,'Fórmula'!D111,62)),IF(INDEX(properties!A$1:CB$87,'Fórmula'!F111,62)=0,10^6,INDEX(properties!A$1:CB$87,'Fórmula'!F111,62)),IF(INDEX(properties!A$1:CB$87,'Fórmula'!H111,62)=0,10^6,INDEX(properties!A$1:CB$87,'Fórmula'!H111,62)),IF(INDEX(properties!A$1:CB$87,'Fórmula'!J111,62)=0,10^6,INDEX(properties!A$1:CB$87,'Fórmula'!J111,62)))</f>
        <v>0.852</v>
      </c>
      <c r="GQ111" s="106">
        <f t="shared" si="33"/>
        <v>4.958</v>
      </c>
      <c r="GR111" s="106">
        <f>'Fórmula'!Q111</f>
        <v>122</v>
      </c>
      <c r="GS111" s="107">
        <f>'Fórmula'!P111</f>
        <v>2</v>
      </c>
      <c r="GT111" s="113">
        <f>'Fórmula'!O111</f>
        <v>3.7</v>
      </c>
      <c r="GU111" s="114">
        <f>AVERAGE('Fórmula'!R111/'Fórmula'!S111,'Fórmula'!S111/'Fórmula'!T111,'Fórmula'!T111/'Fórmula'!R111)</f>
        <v>1.158743717</v>
      </c>
      <c r="GV111" s="125">
        <f>'Fórmula'!U111</f>
        <v>759.67</v>
      </c>
      <c r="GW111" s="106">
        <f>'Fórmula'!N111</f>
        <v>0.09</v>
      </c>
    </row>
    <row r="112" ht="14.25" customHeight="1">
      <c r="A112" s="99" t="str">
        <f>'Fórmula'!A112</f>
        <v>MgGa2O4</v>
      </c>
      <c r="B112" s="101">
        <f t="array" ref="B112">(('Fórmula'!C112)/('Fórmula'!C112+'Fórmula'!E112+'Fórmula'!G112+'Fórmula'!I112+'Fórmula'!K112))*(INDEX(properties!A$1:CB$87,'Fórmula'!B112,3))+(('Fórmula'!E112)/('Fórmula'!C112+'Fórmula'!E112+'Fórmula'!G112+'Fórmula'!I112+'Fórmula'!K112))*(INDEX(properties!A$1:CB$87,'Fórmula'!D112,3))+(('Fórmula'!G112)/('Fórmula'!C112+'Fórmula'!E112+'Fórmula'!G112+'Fórmula'!I112+'Fórmula'!K112))*(INDEX(properties!A$1:CB$87,'Fórmula'!F112,3))+(('Fórmula'!I112)/('Fórmula'!C112+'Fórmula'!E112+'Fórmula'!G112+'Fórmula'!I112+'Fórmula'!K112))*(INDEX(properties!A$1:CB$87,'Fórmula'!H112,3))+(('Fórmula'!K112)/('Fórmula'!C112+'Fórmula'!E112+'Fórmula'!G112+'Fórmula'!I112+'Fórmula'!K112))*(INDEX(properties!A$1:CB$87,'Fórmula'!J112,3))</f>
        <v>32.53551429</v>
      </c>
      <c r="C112" s="101">
        <f t="array" ref="C112">'Fórmula'!C112*(INDEX(properties!A$1:CB$87,'Fórmula'!B112,3))+'Fórmula'!E112*(INDEX(properties!A$1:CB$87,'Fórmula'!D112,3))+'Fórmula'!G112*(INDEX(properties!A$1:CB$87,'Fórmula'!F112,3))+'Fórmula'!I112*(INDEX(properties!A$1:CB$87,'Fórmula'!H112,3))+'Fórmula'!K112*(INDEX(properties!A$1:CB$87,'Fórmula'!J112,3))</f>
        <v>227.7486</v>
      </c>
      <c r="D112" s="101">
        <f t="array" ref="D112">VARP(IF(INDEX(properties!A$1:CB$87,'Fórmula'!B112,3)&lt;&gt;"",INDEX(properties!A$1:CB$87,'Fórmula'!B112,3)),IF(INDEX(properties!A$1:CB$87,'Fórmula'!D112,3)&lt;&gt;"",INDEX(properties!A$1:CB$87,'Fórmula'!D112,3)),IF(INDEX(properties!A$1:CB$87,'Fórmula'!F112,3)&lt;&gt;"",INDEX(properties!A$1:CB$87,'Fórmula'!F112,3)),IF(INDEX(properties!A$1:CB$87,'Fórmula'!H112,3)&lt;&gt;"",INDEX(properties!A$1:CB$87,'Fórmula'!H112,3)),IF(INDEX(properties!A$1:CB$87,'Fórmula'!J112,3)&lt;&gt;"",INDEX(properties!A$1:CB$87,'Fórmula'!J112,3)))</f>
        <v>657.3609608</v>
      </c>
      <c r="E112" s="101">
        <f t="array" ref="E112">MAX(INDEX(properties!A$1:CB$87,'Fórmula'!B112,3),INDEX(properties!A$1:CB$87,'Fórmula'!D112,3),INDEX(properties!A$1:CB$87,'Fórmula'!F112,3),INDEX(properties!A$1:CB$87,'Fórmula'!H112,3),INDEX(properties!A$1:CB$87,'Fórmula'!J112,3))</f>
        <v>69.723</v>
      </c>
      <c r="F112" s="101">
        <f t="array" ref="F112">MIN(IF(INDEX(properties!A$1:CB$87,'Fórmula'!B112,3)=0,10^6,INDEX(properties!A$1:CB$87,'Fórmula'!B112,3)),IF(INDEX(properties!A$1:CB$87,'Fórmula'!D112,3)=0,10^6,INDEX(properties!A$1:CB$87,'Fórmula'!D112,3)),IF(INDEX(properties!A$1:CB$87,'Fórmula'!F112,3)=0,10^6,INDEX(properties!A$1:CB$87,'Fórmula'!F112,3)),IF(INDEX(properties!A$1:CB$87,'Fórmula'!H112,3)=0,10^6,INDEX(properties!A$1:CB$87,'Fórmula'!H112,3)),IF(INDEX(properties!A$1:CB$87,'Fórmula'!J112,3)=0,10^6,INDEX(properties!A$1:CB$87,'Fórmula'!J112,3)))</f>
        <v>15.9994</v>
      </c>
      <c r="G112" s="101">
        <f t="shared" si="1"/>
        <v>53.7236</v>
      </c>
      <c r="H112" s="102">
        <f t="array" ref="H112">(('Fórmula'!C112)/('Fórmula'!C112+'Fórmula'!E112+'Fórmula'!G112+'Fórmula'!I112+'Fórmula'!K112))*(INDEX(properties!A$1:CB$87,'Fórmula'!B112,4))+(('Fórmula'!E112)/('Fórmula'!C112+'Fórmula'!E112+'Fórmula'!G112+'Fórmula'!I112+'Fórmula'!K112))*(INDEX(properties!A$1:CB$87,'Fórmula'!D112,4))+(('Fórmula'!G112)/('Fórmula'!C112+'Fórmula'!E112+'Fórmula'!G112+'Fórmula'!I112+'Fórmula'!K112))*(INDEX(properties!A$1:CB$87,'Fórmula'!F112,4))+(('Fórmula'!I112)/('Fórmula'!C112+'Fórmula'!E112+'Fórmula'!G112+'Fórmula'!I112+'Fórmula'!K112))*(INDEX(properties!A$1:CB$87,'Fórmula'!H112,4))+(('Fórmula'!K112)/('Fórmula'!C112+'Fórmula'!E112+'Fórmula'!G112+'Fórmula'!I112+'Fórmula'!K112))*(INDEX(properties!A$1:CB$87,'Fórmula'!J112,4))</f>
        <v>15.14285714</v>
      </c>
      <c r="I112" s="102">
        <f t="array" ref="I112">'Fórmula'!C112*(INDEX(properties!A$1:CB$87,'Fórmula'!B112,4))+'Fórmula'!E112*(INDEX(properties!A$1:CB$87,'Fórmula'!D112,4))+'Fórmula'!G112*(INDEX(properties!A$1:CB$87,'Fórmula'!F112,4))+'Fórmula'!I112*(INDEX(properties!A$1:CB$87,'Fórmula'!H112,4))+'Fórmula'!K112*(INDEX(properties!A$1:CB$87,'Fórmula'!J112,4))</f>
        <v>106</v>
      </c>
      <c r="J112" s="102">
        <f t="array" ref="J112">VARP(IF(INDEX(properties!A$1:CB$87,'Fórmula'!B112,4)&lt;&gt;"",INDEX(properties!A$1:CB$87,'Fórmula'!B112,4)),IF(INDEX(properties!A$1:CB$87,'Fórmula'!D112,4)&lt;&gt;"",INDEX(properties!A$1:CB$87,'Fórmula'!D112,4)),IF(INDEX(properties!A$1:CB$87,'Fórmula'!F112,4)&lt;&gt;"",INDEX(properties!A$1:CB$87,'Fórmula'!F112,4)),IF(INDEX(properties!A$1:CB$87,'Fórmula'!H112,4)&lt;&gt;"",INDEX(properties!A$1:CB$87,'Fórmula'!H112,4)),IF(INDEX(properties!A$1:CB$87,'Fórmula'!J112,4)&lt;&gt;"",INDEX(properties!A$1:CB$87,'Fórmula'!J112,4)))</f>
        <v>129.76</v>
      </c>
      <c r="K112" s="102">
        <f t="array" ref="K112">MAX(INDEX(properties!A$1:CB$87,'Fórmula'!B112,4),INDEX(properties!A$1:CB$87,'Fórmula'!D112,4),INDEX(properties!A$1:CB$87,'Fórmula'!F112,4),INDEX(properties!A$1:CB$87,'Fórmula'!H112,4),INDEX(properties!A$1:CB$87,'Fórmula'!J112,4))</f>
        <v>31</v>
      </c>
      <c r="L112" s="102">
        <f t="array" ref="L112">MIN(IF(INDEX(properties!A$1:CB$87,'Fórmula'!B112,4)=0,10^6,INDEX(properties!A$1:CB$87,'Fórmula'!B112,4)),IF(INDEX(properties!A$1:CB$87,'Fórmula'!D112,4)=0,10^6,INDEX(properties!A$1:CB$87,'Fórmula'!D112,4)),IF(INDEX(properties!A$1:CB$87,'Fórmula'!F112,4)=0,10^6,INDEX(properties!A$1:CB$87,'Fórmula'!F112,4)),IF(INDEX(properties!A$1:CB$87,'Fórmula'!H112,4)=0,10^6,INDEX(properties!A$1:CB$87,'Fórmula'!H112,4)),IF(INDEX(properties!A$1:CB$87,'Fórmula'!J112,4)=0,10^6,INDEX(properties!A$1:CB$87,'Fórmula'!J112,4)))</f>
        <v>8</v>
      </c>
      <c r="M112" s="102">
        <f t="shared" si="2"/>
        <v>23</v>
      </c>
      <c r="N112" s="103">
        <f t="array" ref="N112">(('Fórmula'!C112)/('Fórmula'!C112+'Fórmula'!E112+'Fórmula'!G112+'Fórmula'!I112+'Fórmula'!K112))*(INDEX(properties!A$1:CB$87,'Fórmula'!B112,5))+(('Fórmula'!E112)/('Fórmula'!C112+'Fórmula'!E112+'Fórmula'!G112+'Fórmula'!I112+'Fórmula'!K112))*(INDEX(properties!A$1:CB$87,'Fórmula'!D112,5))+(('Fórmula'!G112)/('Fórmula'!C112+'Fórmula'!E112+'Fórmula'!G112+'Fórmula'!I112+'Fórmula'!K112))*(INDEX(properties!A$1:CB$87,'Fórmula'!F112,5))+(('Fórmula'!I112)/('Fórmula'!C112+'Fórmula'!E112+'Fórmula'!G112+'Fórmula'!I112+'Fórmula'!K112))*(INDEX(properties!A$1:CB$87,'Fórmula'!H112,5))+(('Fórmula'!K112)/('Fórmula'!C112+'Fórmula'!E112+'Fórmula'!G112+'Fórmula'!I112+'Fórmula'!K112))*(INDEX(properties!A$1:CB$87,'Fórmula'!J112,5))</f>
        <v>2.714285714</v>
      </c>
      <c r="O112" s="103">
        <f t="array" ref="O112">'Fórmula'!C112*(INDEX(properties!A$1:CB$87,'Fórmula'!B112,5))+'Fórmula'!E112*(INDEX(properties!A$1:CB$87,'Fórmula'!D112,5))+'Fórmula'!G112*(INDEX(properties!A$1:CB$87,'Fórmula'!F112,5))+'Fórmula'!I112*(INDEX(properties!A$1:CB$87,'Fórmula'!H112,5))+'Fórmula'!K112*(INDEX(properties!A$1:CB$87,'Fórmula'!J112,5))</f>
        <v>19</v>
      </c>
      <c r="P112" s="103">
        <f t="array" ref="P112">VARP(IF(INDEX(properties!A$1:CB$87,'Fórmula'!B112,5)&lt;&gt;"",INDEX(properties!A$1:CB$87,'Fórmula'!B112,5)),IF(INDEX(properties!A$1:CB$87,'Fórmula'!D112,5)&lt;&gt;"",INDEX(properties!A$1:CB$87,'Fórmula'!D112,5)),IF(INDEX(properties!A$1:CB$87,'Fórmula'!F112,5)&lt;&gt;"",INDEX(properties!A$1:CB$87,'Fórmula'!F112,5)),IF(INDEX(properties!A$1:CB$87,'Fórmula'!H112,5)&lt;&gt;"",INDEX(properties!A$1:CB$87,'Fórmula'!H112,5)),IF(INDEX(properties!A$1:CB$87,'Fórmula'!J112,5)&lt;&gt;"",INDEX(properties!A$1:CB$87,'Fórmula'!J112,5)))</f>
        <v>2.56</v>
      </c>
      <c r="Q112" s="103">
        <f t="array" ref="Q112">MAX(INDEX(properties!A$1:CB$87,'Fórmula'!B112,5),INDEX(properties!A$1:CB$87,'Fórmula'!D112,5),INDEX(properties!A$1:CB$87,'Fórmula'!F112,5),INDEX(properties!A$1:CB$87,'Fórmula'!H112,5),INDEX(properties!A$1:CB$87,'Fórmula'!J112,5))</f>
        <v>4</v>
      </c>
      <c r="R112" s="103">
        <f t="array" ref="R112">MIN(IF(INDEX(properties!A$1:CB$87,'Fórmula'!B112,5)=0,10^6,INDEX(properties!A$1:CB$87,'Fórmula'!B112,5)),IF(INDEX(properties!A$1:CB$87,'Fórmula'!D112,5)=0,10^6,INDEX(properties!A$1:CB$87,'Fórmula'!D112,5)),IF(INDEX(properties!A$1:CB$87,'Fórmula'!F112,5)=0,10^6,INDEX(properties!A$1:CB$87,'Fórmula'!F112,5)),IF(INDEX(properties!A$1:CB$87,'Fórmula'!H112,5)=0,10^6,INDEX(properties!A$1:CB$87,'Fórmula'!H112,5)),IF(INDEX(properties!A$1:CB$87,'Fórmula'!J112,5)=0,10^6,INDEX(properties!A$1:CB$87,'Fórmula'!J112,5)))</f>
        <v>2</v>
      </c>
      <c r="S112" s="103">
        <f t="shared" si="3"/>
        <v>2</v>
      </c>
      <c r="T112" s="104">
        <f t="array" ref="T112">(('Fórmula'!C112)/('Fórmula'!C112+'Fórmula'!E112+'Fórmula'!G112+'Fórmula'!I112+'Fórmula'!K112))*(INDEX(properties!A$1:CB$87,'Fórmula'!B112,6))+(('Fórmula'!E112)/('Fórmula'!C112+'Fórmula'!E112+'Fórmula'!G112+'Fórmula'!I112+'Fórmula'!K112))*(INDEX(properties!A$1:CB$87,'Fórmula'!D112,6))+(('Fórmula'!G112)/('Fórmula'!C112+'Fórmula'!E112+'Fórmula'!G112+'Fórmula'!I112+'Fórmula'!K112))*(INDEX(properties!A$1:CB$87,'Fórmula'!F112,6))+(('Fórmula'!I112)/('Fórmula'!C112+'Fórmula'!E112+'Fórmula'!G112+'Fórmula'!I112+'Fórmula'!K112))*(INDEX(properties!A$1:CB$87,'Fórmula'!H112,6))+(('Fórmula'!K112)/('Fórmula'!C112+'Fórmula'!E112+'Fórmula'!G112+'Fórmula'!I112+'Fórmula'!K112))*(INDEX(properties!A$1:CB$87,'Fórmula'!J112,6))</f>
        <v>13.14285714</v>
      </c>
      <c r="U112" s="104">
        <f t="array" ref="U112">'Fórmula'!C112*(INDEX(properties!A$1:CB$87,'Fórmula'!B112,6))+'Fórmula'!E112*(INDEX(properties!A$1:CB$87,'Fórmula'!D112,6))+'Fórmula'!G112*(INDEX(properties!A$1:CB$87,'Fórmula'!F112,6))+'Fórmula'!I112*(INDEX(properties!A$1:CB$87,'Fórmula'!H112,6))+'Fórmula'!K112*(INDEX(properties!A$1:CB$87,'Fórmula'!J112,6))</f>
        <v>92</v>
      </c>
      <c r="V112" s="103">
        <f t="array" ref="V112">VARP(IF(INDEX(properties!A$1:CB$87,'Fórmula'!B112,6)&lt;&gt;"",INDEX(properties!A$1:CB$87,'Fórmula'!B112,6)),IF(INDEX(properties!A$1:CB$87,'Fórmula'!D112,6)&lt;&gt;"",INDEX(properties!A$1:CB$87,'Fórmula'!D112,6)),IF(INDEX(properties!A$1:CB$87,'Fórmula'!F112,6)&lt;&gt;"",INDEX(properties!A$1:CB$87,'Fórmula'!F112,6)),IF(INDEX(properties!A$1:CB$87,'Fórmula'!H112,6)&lt;&gt;"",INDEX(properties!A$1:CB$87,'Fórmula'!H112,6)),IF(INDEX(properties!A$1:CB$87,'Fórmula'!J112,6)&lt;&gt;"",INDEX(properties!A$1:CB$87,'Fórmula'!J112,6)))</f>
        <v>47.36</v>
      </c>
      <c r="W112" s="104">
        <f t="array" ref="W112">MAX(INDEX(properties!A$1:CB$87,'Fórmula'!B112,6),INDEX(properties!A$1:CB$87,'Fórmula'!D112,6),INDEX(properties!A$1:CB$87,'Fórmula'!F112,6),INDEX(properties!A$1:CB$87,'Fórmula'!H112,4),INDEX(properties!A$1:CB$87,'Fórmula'!J112,6))</f>
        <v>16</v>
      </c>
      <c r="X112" s="104">
        <f t="array" ref="X112">MIN(IF(INDEX(properties!A$1:CB$87,'Fórmula'!B112,6)=0,10^6,INDEX(properties!A$1:CB$87,'Fórmula'!B112,6)),IF(INDEX(properties!A$1:CB$87,'Fórmula'!D112,6)=0,10^6,INDEX(properties!A$1:CB$87,'Fórmula'!D112,6)),IF(INDEX(properties!A$1:CB$87,'Fórmula'!F112,6)=0,10^6,INDEX(properties!A$1:CB$87,'Fórmula'!F112,6)),IF(INDEX(properties!A$1:CB$87,'Fórmula'!H112,6)=0,10^6,INDEX(properties!A$1:CB$87,'Fórmula'!H112,6)),IF(INDEX(properties!A$1:CB$87,'Fórmula'!J112,6)=0,10^6,INDEX(properties!A$1:CB$87,'Fórmula'!J112,6)))</f>
        <v>2</v>
      </c>
      <c r="Y112" s="104">
        <f t="shared" si="4"/>
        <v>14</v>
      </c>
      <c r="Z112" s="105">
        <f t="array" ref="Z112">(('Fórmula'!C112)/('Fórmula'!C112+'Fórmula'!E112+'Fórmula'!G112+'Fórmula'!I112+'Fórmula'!K112))*(INDEX(properties!A$1:CB$87,'Fórmula'!B112,9))+(('Fórmula'!E112)/('Fórmula'!C112+'Fórmula'!E112+'Fórmula'!G112+'Fórmula'!I112+'Fórmula'!K112))*(INDEX(properties!A$1:CB$87,'Fórmula'!D112,9))+(('Fórmula'!G112)/('Fórmula'!C112+'Fórmula'!E112+'Fórmula'!G112+'Fórmula'!I112+'Fórmula'!K112))*(INDEX(properties!A$1:CB$87,'Fórmula'!F112,9))+(('Fórmula'!I112)/('Fórmula'!C112+'Fórmula'!E112+'Fórmula'!G112+'Fórmula'!I112+'Fórmula'!K112))*(INDEX(properties!A$1:CB$87,'Fórmula'!H112,9))+(('Fórmula'!K112)/('Fórmula'!C112+'Fórmula'!E112+'Fórmula'!G112+'Fórmula'!I112+'Fórmula'!K112))*(INDEX(properties!A$1:CB$87,'Fórmula'!J112,9))</f>
        <v>80.57142857</v>
      </c>
      <c r="AA112" s="105">
        <f t="array" ref="AA112">'Fórmula'!C112*(INDEX(properties!A$1:CB$87,'Fórmula'!B112,9))+'Fórmula'!E112*(INDEX(properties!A$1:CB$87,'Fórmula'!D112,9))+'Fórmula'!G112*(INDEX(properties!A$1:CB$87,'Fórmula'!F112,9))+'Fórmula'!I112*(INDEX(properties!A$1:CB$87,'Fórmula'!H112,9))+'Fórmula'!K112*(INDEX(properties!A$1:CB$87,'Fórmula'!J112,9))</f>
        <v>564</v>
      </c>
      <c r="AB112" s="105">
        <f t="array" ref="AB112">VARP(IF(INDEX(properties!A$1:CB$87,'Fórmula'!B112,9)&lt;&gt;"",INDEX(properties!A$1:CB$87,'Fórmula'!B112,9)),IF(INDEX(properties!A$1:CB$87,'Fórmula'!D112,9)&lt;&gt;"",INDEX(properties!A$1:CB$87,'Fórmula'!D112,9)),IF(INDEX(properties!A$1:CB$87,'Fórmula'!F112,9)&lt;&gt;"",INDEX(properties!A$1:CB$87,'Fórmula'!F112,9)),IF(INDEX(properties!A$1:CB$87,'Fórmula'!H112,9)&lt;&gt;"",INDEX(properties!A$1:CB$87,'Fórmula'!H112,9)),IF(INDEX(properties!A$1:CB$87,'Fórmula'!J112,9)&lt;&gt;"",INDEX(properties!A$1:CB$87,'Fórmula'!J112,9)))</f>
        <v>1436.16</v>
      </c>
      <c r="AC112" s="105">
        <f t="array" ref="AC112">MAX(INDEX(properties!A$1:CB$87,'Fórmula'!B112,9),INDEX(properties!A$1:CB$87,'Fórmula'!D112,9),INDEX(properties!A$1:CB$87,'Fórmula'!F112,9),INDEX(properties!A$1:CB$87,'Fórmula'!H112,9),INDEX(properties!A$1:CB$87,'Fórmula'!J112,9))</f>
        <v>87</v>
      </c>
      <c r="AD112" s="105">
        <f t="array" ref="AD112">MIN(IF(INDEX(properties!A$1:CB$87,'Fórmula'!B112,9)=0,10^6,INDEX(properties!A$1:CB$87,'Fórmula'!B112,9)),IF(INDEX(properties!A$1:CB$87,'Fórmula'!D112,9)=0,10^6,INDEX(properties!A$1:CB$87,'Fórmula'!D112,9)),IF(INDEX(properties!A$1:CB$87,'Fórmula'!F112,9)=0,10^6,INDEX(properties!A$1:CB$87,'Fórmula'!F112,9)),IF(INDEX(properties!A$1:CB$87,'Fórmula'!H112,9)=0,10^6,INDEX(properties!A$1:CB$87,'Fórmula'!H112,9)),IF(INDEX(properties!A$1:CB$87,'Fórmula'!J112,9)=0,10^6,INDEX(properties!A$1:CB$87,'Fórmula'!J112,9)))</f>
        <v>68</v>
      </c>
      <c r="AE112" s="105">
        <f t="shared" si="5"/>
        <v>19</v>
      </c>
      <c r="AF112" s="106">
        <f t="array" ref="AF112">(('Fórmula'!C112)/('Fórmula'!C112+'Fórmula'!E112+'Fórmula'!G112+'Fórmula'!I112+'Fórmula'!K112))*(INDEX(properties!A$1:CB$87,'Fórmula'!B112,10))+(('Fórmula'!E112)/('Fórmula'!C112+'Fórmula'!E112+'Fórmula'!G112+'Fórmula'!I112+'Fórmula'!K112))*(INDEX(properties!A$1:CB$87,'Fórmula'!D112,10))+(('Fórmula'!G112)/('Fórmula'!C112+'Fórmula'!E112+'Fórmula'!G112+'Fórmula'!I112+'Fórmula'!K112))*(INDEX(properties!A$1:CB$87,'Fórmula'!F112,10))+(('Fórmula'!I112)/('Fórmula'!C112+'Fórmula'!E112+'Fórmula'!G112+'Fórmula'!I112+'Fórmula'!K112))*(INDEX(properties!A$1:CB$87,'Fórmula'!H112,10))+(('Fórmula'!K112)/('Fórmula'!C112+'Fórmula'!E112+'Fórmula'!G112+'Fórmula'!I112+'Fórmula'!K112))*(INDEX(properties!A$1:CB$87,'Fórmula'!J112,10))</f>
        <v>5.714285714</v>
      </c>
      <c r="AG112" s="106">
        <f t="array" ref="AG112">'Fórmula'!C112*(INDEX(properties!A$1:CB$87,'Fórmula'!B112,10))+'Fórmula'!E112*(INDEX(properties!A$1:CB$87,'Fórmula'!D112,10))+'Fórmula'!G112*(INDEX(properties!A$1:CB$87,'Fórmula'!F112,10))+'Fórmula'!I112*(INDEX(properties!A$1:CB$87,'Fórmula'!H112,10))+'Fórmula'!K112*(INDEX(properties!A$1:CB$87,'Fórmula'!J112,10))</f>
        <v>40</v>
      </c>
      <c r="AH112" s="106">
        <f t="array" ref="AH112">VARP(IF(INDEX(properties!A$1:CB$87,'Fórmula'!B112,10)&lt;&gt;"",INDEX(properties!A$1:CB$87,'Fórmula'!B112,10)),IF(INDEX(properties!A$1:CB$87,'Fórmula'!D112,10)&lt;&gt;"",INDEX(properties!A$1:CB$87,'Fórmula'!D112,10)),IF(INDEX(properties!A$1:CB$87,'Fórmula'!F112,10)&lt;&gt;"",INDEX(properties!A$1:CB$87,'Fórmula'!F112,10)),IF(INDEX(properties!A$1:CB$87,'Fórmula'!H112,10)&lt;&gt;"",INDEX(properties!A$1:CB$87,'Fórmula'!H112,10)),IF(INDEX(properties!A$1:CB$87,'Fórmula'!J112,10)&lt;&gt;"",INDEX(properties!A$1:CB$87,'Fórmula'!J112,10)))</f>
        <v>7.76</v>
      </c>
      <c r="AI112" s="106">
        <f t="array" ref="AI112">MAX(INDEX(properties!A$1:CB$87,'Fórmula'!B112,10),INDEX(properties!A$1:CB$87,'Fórmula'!D112,10),INDEX(properties!A$1:CB$87,'Fórmula'!F112,10),INDEX(properties!A$1:CB$87,'Fórmula'!H112,10),INDEX(properties!A$1:CB$87,'Fórmula'!J112,10))</f>
        <v>7</v>
      </c>
      <c r="AJ112" s="106">
        <f t="array" ref="AJ112">MIN(IF(INDEX(properties!A$1:CB$87,'Fórmula'!B112,10)=0,10^6,INDEX(properties!A$1:CB$87,'Fórmula'!B112,10)),IF(INDEX(properties!A$1:CB$87,'Fórmula'!D112,10)=0,10^6,INDEX(properties!A$1:CB$87,'Fórmula'!D112,10)),IF(INDEX(properties!A$1:CB$87,'Fórmula'!F112,10)=0,10^6,INDEX(properties!A$1:CB$87,'Fórmula'!F112,10)),IF(INDEX(properties!A$1:CB$87,'Fórmula'!H112,10)=0,10^6,INDEX(properties!A$1:CB$87,'Fórmula'!H112,10)),IF(INDEX(properties!A$1:CB$87,'Fórmula'!J112,10)=0,10^6,INDEX(properties!A$1:CB$87,'Fórmula'!J112,10)))</f>
        <v>2</v>
      </c>
      <c r="AK112" s="106">
        <f t="shared" si="6"/>
        <v>5</v>
      </c>
      <c r="AL112" s="107">
        <f t="array" ref="AL112">(('Fórmula'!C112)/('Fórmula'!C112+'Fórmula'!E112+'Fórmula'!G112+'Fórmula'!I112+'Fórmula'!K112))*(INDEX(properties!A$1:CB$87,'Fórmula'!B112,11))+(('Fórmula'!E112)/('Fórmula'!C112+'Fórmula'!E112+'Fórmula'!G112+'Fórmula'!I112+'Fórmula'!K112))*(INDEX(properties!A$1:CB$87,'Fórmula'!D112,11))+(('Fórmula'!G112)/('Fórmula'!C112+'Fórmula'!E112+'Fórmula'!G112+'Fórmula'!I112+'Fórmula'!K112))*(INDEX(properties!A$1:CB$87,'Fórmula'!F112,11))+(('Fórmula'!I112)/('Fórmula'!C112+'Fórmula'!E112+'Fórmula'!G112+'Fórmula'!I112+'Fórmula'!K112))*(INDEX(properties!A$1:CB$87,'Fórmula'!H112,11))+(('Fórmula'!K112)/('Fórmula'!C112+'Fórmula'!E112+'Fórmula'!G112+'Fórmula'!I112+'Fórmula'!K112))*(INDEX(properties!A$1:CB$87,'Fórmula'!J112,11))</f>
        <v>2</v>
      </c>
      <c r="AM112" s="107">
        <f t="array" ref="AM112">'Fórmula'!C112*(INDEX(properties!A$1:CB$87,'Fórmula'!B112,11))+'Fórmula'!E112*(INDEX(properties!A$1:CB$87,'Fórmula'!D112,11))+'Fórmula'!G112*(INDEX(properties!A$1:CB$87,'Fórmula'!F112,11))+'Fórmula'!I112*(INDEX(properties!A$1:CB$87,'Fórmula'!H112,11))+'Fórmula'!K112*(INDEX(properties!A$1:CB$87,'Fórmula'!J112,11))</f>
        <v>14</v>
      </c>
      <c r="AN112" s="107">
        <f t="array" ref="AN112">VARP(IF(INDEX(properties!A$1:CB$87,'Fórmula'!B112,11)&lt;&gt;"",INDEX(properties!A$1:CB$87,'Fórmula'!B112,11)),IF(INDEX(properties!A$1:CB$87,'Fórmula'!D112,11)&lt;&gt;"",INDEX(properties!A$1:CB$87,'Fórmula'!D112,11)),IF(INDEX(properties!A$1:CB$87,'Fórmula'!F112,11)&lt;&gt;"",INDEX(properties!A$1:CB$87,'Fórmula'!F112,11)),IF(INDEX(properties!A$1:CB$87,'Fórmula'!H112,11)&lt;&gt;"",INDEX(properties!A$1:CB$87,'Fórmula'!H112,11)),IF(INDEX(properties!A$1:CB$87,'Fórmula'!J112,11)&lt;&gt;"",INDEX(properties!A$1:CB$87,'Fórmula'!J112,11)))</f>
        <v>0.96</v>
      </c>
      <c r="AO112" s="107">
        <f t="array" ref="AO112">MAX(INDEX(properties!A$1:CB$87,'Fórmula'!B112,11),INDEX(properties!A$1:CB$87,'Fórmula'!D112,11),INDEX(properties!A$1:CB$87,'Fórmula'!F112,11),INDEX(properties!A$1:CB$87,'Fórmula'!H112,11),INDEX(properties!A$1:CB$87,'Fórmula'!J112,11))</f>
        <v>2</v>
      </c>
      <c r="AP112" s="107">
        <f t="array" ref="AP112">MIN(IF('Fórmula'!B112=87,10^6,INDEX(properties!A$1:CB$87,'Fórmula'!B112,11)),IF(('Fórmula'!D112)=87,10^6,INDEX(properties!A$1:CB$87,'Fórmula'!D112,11)),IF(('Fórmula'!F112)=87,10^6,INDEX(properties!A$1:CB$87,'Fórmula'!F112,11)),IF(('Fórmula'!H112)=87,10^6,INDEX(properties!A$1:CB$87,'Fórmula'!H112,11)),IF('Fórmula'!J112=87,10^6,INDEX(properties!A$1:CB$87,'Fórmula'!J112,11)))</f>
        <v>2</v>
      </c>
      <c r="AQ112" s="107">
        <f t="shared" si="7"/>
        <v>0</v>
      </c>
      <c r="AR112" s="108">
        <f t="array" ref="AR112">(('Fórmula'!C112)/('Fórmula'!C112+'Fórmula'!E112+'Fórmula'!G112+'Fórmula'!I112+'Fórmula'!K112))*(INDEX(properties!A$1:CB$87,'Fórmula'!B112,12))+(('Fórmula'!E112)/('Fórmula'!C112+'Fórmula'!E112+'Fórmula'!G112+'Fórmula'!I112+'Fórmula'!K112))*(INDEX(properties!A$1:CB$87,'Fórmula'!D112,12))+(('Fórmula'!G112)/('Fórmula'!C112+'Fórmula'!E112+'Fórmula'!G112+'Fórmula'!I112+'Fórmula'!K112))*(INDEX(properties!A$1:CB$87,'Fórmula'!F112,12))+(('Fórmula'!I112)/('Fórmula'!C112+'Fórmula'!E112+'Fórmula'!G112+'Fórmula'!I112+'Fórmula'!K112))*(INDEX(properties!A$1:CB$87,'Fórmula'!H112,12))+(('Fórmula'!K112)/('Fórmula'!C112+'Fórmula'!E112+'Fórmula'!G112+'Fórmula'!I112+'Fórmula'!K112))*(INDEX(properties!A$1:CB$87,'Fórmula'!J112,12))</f>
        <v>2.571428571</v>
      </c>
      <c r="AS112" s="108">
        <f t="array" ref="AS112">'Fórmula'!C112*(INDEX(properties!A$1:CB$87,'Fórmula'!B112,12))+'Fórmula'!E112*(INDEX(properties!A$1:CB$87,'Fórmula'!D112,12))+'Fórmula'!G112*(INDEX(properties!A$1:CB$87,'Fórmula'!F112,12))+'Fórmula'!I112*(INDEX(properties!A$1:CB$87,'Fórmula'!H112,12))+'Fórmula'!K112*(INDEX(properties!A$1:CB$87,'Fórmula'!J112,12))</f>
        <v>18</v>
      </c>
      <c r="AT112" s="108">
        <f t="array" ref="AT112">VARP(IF(INDEX(properties!A$1:CB$87,'Fórmula'!B112,12)&lt;&gt;"",INDEX(properties!A$1:CB$87,'Fórmula'!B112,12)),IF(INDEX(properties!A$1:CB$87,'Fórmula'!D112,12)&lt;&gt;"",INDEX(properties!A$1:CB$87,'Fórmula'!D112,12)),IF(INDEX(properties!A$1:CB$87,'Fórmula'!F112,12)&lt;&gt;"",INDEX(properties!A$1:CB$87,'Fórmula'!F112,12)),IF(INDEX(properties!A$1:CB$87,'Fórmula'!H112,12)&lt;&gt;"",INDEX(properties!A$1:CB$87,'Fórmula'!H112,12)),IF(INDEX(properties!A$1:CB$87,'Fórmula'!J112,12)&lt;&gt;"",INDEX(properties!A$1:CB$87,'Fórmula'!J112,12)))</f>
        <v>2.4</v>
      </c>
      <c r="AU112" s="108">
        <f t="array" ref="AU112">MAX(INDEX(properties!A$1:CB$87,'Fórmula'!B112,12),INDEX(properties!A$1:CB$87,'Fórmula'!D112,12),INDEX(properties!A$1:CB$87,'Fórmula'!F112,12),INDEX(properties!A$1:CB$87,'Fórmula'!H112,12),INDEX(properties!A$1:CB$87,'Fórmula'!J112,12))</f>
        <v>4</v>
      </c>
      <c r="AV112" s="108">
        <f t="array" ref="AV112">MIN(IF('Fórmula'!B112=87,10^6,INDEX(properties!A$1:CB$87,'Fórmula'!B112,12)),IF(('Fórmula'!D112)=87,10^6,INDEX(properties!A$1:CB$87,'Fórmula'!D112,12)),IF(('Fórmula'!F112)=87,10^6,INDEX(properties!A$1:CB$87,'Fórmula'!F112,12)),IF(('Fórmula'!H112)=87,10^6,INDEX(properties!A$1:CB$87,'Fórmula'!H112,12)),IF('Fórmula'!J112=87,10^6,INDEX(properties!A$1:CB$87,'Fórmula'!J112,12)))</f>
        <v>0</v>
      </c>
      <c r="AW112" s="108">
        <f t="shared" si="8"/>
        <v>4</v>
      </c>
      <c r="AX112" s="109">
        <f t="array" ref="AX112">(('Fórmula'!C112)/('Fórmula'!C112+'Fórmula'!E112+'Fórmula'!G112+'Fórmula'!I112+'Fórmula'!K112))*(INDEX(properties!A$1:CB$87,'Fórmula'!B112,13))+(('Fórmula'!E112)/('Fórmula'!C112+'Fórmula'!E112+'Fórmula'!G112+'Fórmula'!I112+'Fórmula'!K112))*(INDEX(properties!A$1:CB$87,'Fórmula'!D112,13))+(('Fórmula'!G112)/('Fórmula'!C112+'Fórmula'!E112+'Fórmula'!G112+'Fórmula'!I112+'Fórmula'!K112))*(INDEX(properties!A$1:CB$87,'Fórmula'!F112,13))+(('Fórmula'!I112)/('Fórmula'!C112+'Fórmula'!E112+'Fórmula'!G112+'Fórmula'!I112+'Fórmula'!K112))*(INDEX(properties!A$1:CB$87,'Fórmula'!H112,13))+(('Fórmula'!K112)/('Fórmula'!C112+'Fórmula'!E112+'Fórmula'!G112+'Fórmula'!I112+'Fórmula'!K112))*(INDEX(properties!A$1:CB$87,'Fórmula'!J112,13))</f>
        <v>2.857142857</v>
      </c>
      <c r="AY112" s="109">
        <f t="array" ref="AY112">'Fórmula'!C112*(INDEX(properties!A$1:CB$87,'Fórmula'!B112,13))+'Fórmula'!E112*(INDEX(properties!A$1:CB$87,'Fórmula'!D112,13))+'Fórmula'!G112*(INDEX(properties!A$1:CB$87,'Fórmula'!F112,13))+'Fórmula'!I112*(INDEX(properties!A$1:CB$87,'Fórmula'!H112,13))+'Fórmula'!K112*(INDEX(properties!A$1:CB$87,'Fórmula'!J112,13))</f>
        <v>20</v>
      </c>
      <c r="AZ112" s="109">
        <f t="array" ref="AZ112">VARP(IF(INDEX(properties!A$1:CB$87,'Fórmula'!B112,13)&lt;&gt;"",INDEX(properties!A$1:CB$87,'Fórmula'!B112,13)),IF(INDEX(properties!A$1:CB$87,'Fórmula'!D112,13)&lt;&gt;"",INDEX(properties!A$1:CB$87,'Fórmula'!D112,13)),IF(INDEX(properties!A$1:CB$87,'Fórmula'!F112,13)&lt;&gt;"",INDEX(properties!A$1:CB$87,'Fórmula'!F112,13)),IF(INDEX(properties!A$1:CB$87,'Fórmula'!H112,13)&lt;&gt;"",INDEX(properties!A$1:CB$87,'Fórmula'!H112,13)),IF(INDEX(properties!A$1:CB$87,'Fórmula'!J112,13)&lt;&gt;"",INDEX(properties!A$1:CB$87,'Fórmula'!J112,13)))</f>
        <v>16</v>
      </c>
      <c r="BA112" s="109">
        <f t="array" ref="BA112">MAX(INDEX(properties!A$1:CB$87,'Fórmula'!B112,13),INDEX(properties!A$1:CB$87,'Fórmula'!D112,13),INDEX(properties!A$1:CB$87,'Fórmula'!F112,13),INDEX(properties!A$1:CB$87,'Fórmula'!H112,13),INDEX(properties!A$1:CB$87,'Fórmula'!J112,13))</f>
        <v>10</v>
      </c>
      <c r="BB112" s="109">
        <f t="array" ref="BB112">MIN(IF('Fórmula'!B112=87,10^6,INDEX(properties!A$1:CB$87,'Fórmula'!B112,13)),IF(('Fórmula'!D112)=87,10^6,INDEX(properties!A$1:CB$87,'Fórmula'!D112,13)),IF(('Fórmula'!F112)=87,10^6,INDEX(properties!A$1:CB$87,'Fórmula'!F112,13)),IF(('Fórmula'!H112)=87,10^6,INDEX(properties!A$1:CB$87,'Fórmula'!H112,13)),IF('Fórmula'!J112=87,10^6,INDEX(properties!A$1:CB$87,'Fórmula'!J112,13)))</f>
        <v>0</v>
      </c>
      <c r="BC112" s="109">
        <f t="shared" si="9"/>
        <v>10</v>
      </c>
      <c r="BD112" s="110">
        <f t="array" ref="BD112">(('Fórmula'!C112)/('Fórmula'!C112+'Fórmula'!E112+'Fórmula'!G112+'Fórmula'!I112+'Fórmula'!K112))*(INDEX(properties!A$1:CB$87,'Fórmula'!B112,14))+(('Fórmula'!E112)/('Fórmula'!C112+'Fórmula'!E112+'Fórmula'!G112+'Fórmula'!I112+'Fórmula'!K112))*(INDEX(properties!A$1:CB$87,'Fórmula'!D112,14))+(('Fórmula'!G112)/('Fórmula'!C112+'Fórmula'!E112+'Fórmula'!G112+'Fórmula'!I112+'Fórmula'!K112))*(INDEX(properties!A$1:CB$87,'Fórmula'!F112,14))+(('Fórmula'!I112)/('Fórmula'!C112+'Fórmula'!E112+'Fórmula'!G112+'Fórmula'!I112+'Fórmula'!K112))*(INDEX(properties!A$1:CB$87,'Fórmula'!H112,14))+(('Fórmula'!K112)/('Fórmula'!C112+'Fórmula'!E112+'Fórmula'!G112+'Fórmula'!I112+'Fórmula'!K112))*(INDEX(properties!A$1:CB$87,'Fórmula'!J112,14))</f>
        <v>0</v>
      </c>
      <c r="BE112" s="110">
        <f t="array" ref="BE112">'Fórmula'!C112*(INDEX(properties!A$1:CB$87,'Fórmula'!B112,14))+'Fórmula'!E112*(INDEX(properties!A$1:CB$87,'Fórmula'!D112,14))+'Fórmula'!G112*(INDEX(properties!A$1:CB$87,'Fórmula'!F112,14))+'Fórmula'!I112*(INDEX(properties!A$1:CB$87,'Fórmula'!H112,14))+'Fórmula'!K112*(INDEX(properties!A$1:CB$87,'Fórmula'!J112,14))</f>
        <v>0</v>
      </c>
      <c r="BF112" s="110">
        <f t="array" ref="BF112">VARP(IF(INDEX(properties!A$1:CB$87,'Fórmula'!B112,14)&lt;&gt;"",INDEX(properties!A$1:CB$87,'Fórmula'!B112,14)),IF(INDEX(properties!A$1:CB$87,'Fórmula'!D112,14)&lt;&gt;"",INDEX(properties!A$1:CB$87,'Fórmula'!D112,14)),IF(INDEX(properties!A$1:CB$87,'Fórmula'!F112,14)&lt;&gt;"",INDEX(properties!A$1:CB$87,'Fórmula'!F112,14)),IF(INDEX(properties!A$1:CB$87,'Fórmula'!H112,14)&lt;&gt;"",INDEX(properties!A$1:CB$87,'Fórmula'!H112,14)),IF(INDEX(properties!A$1:CB$87,'Fórmula'!J112,14)&lt;&gt;"",INDEX(properties!A$1:CB$87,'Fórmula'!J112,14)))</f>
        <v>0</v>
      </c>
      <c r="BG112" s="110">
        <f t="array" ref="BG112">MAX(INDEX(properties!A$1:CB$87,'Fórmula'!B112,14),INDEX(properties!A$1:CB$87,'Fórmula'!D112,14),INDEX(properties!A$1:CB$87,'Fórmula'!F112,14),INDEX(properties!A$1:CB$87,'Fórmula'!H112,14),INDEX(properties!A$1:CB$87,'Fórmula'!J112,14))</f>
        <v>0</v>
      </c>
      <c r="BH112" s="110">
        <f t="array" ref="BH112">MIN(IF('Fórmula'!B112=87,10^6,INDEX(properties!A$1:CB$87,'Fórmula'!B112,14)),IF(('Fórmula'!D112)=87,10^6,INDEX(properties!A$1:CB$87,'Fórmula'!D112,14)),IF(('Fórmula'!F112)=87,10^6,INDEX(properties!A$1:CB$87,'Fórmula'!F112,14)),IF(('Fórmula'!H112)=87,10^6,INDEX(properties!A$1:CB$87,'Fórmula'!H112,14)),IF('Fórmula'!J112=87,10^6,INDEX(properties!A$1:CB$87,'Fórmula'!J112,14)))</f>
        <v>0</v>
      </c>
      <c r="BI112" s="110">
        <f t="shared" si="10"/>
        <v>0</v>
      </c>
      <c r="BJ112" s="111">
        <f t="array" ref="BJ112">(('Fórmula'!C112)/('Fórmula'!C112+'Fórmula'!E112+'Fórmula'!G112+'Fórmula'!I112+'Fórmula'!K112))*(INDEX(properties!A$1:CB$87,'Fórmula'!B112,19))+(('Fórmula'!E112)/('Fórmula'!C112+'Fórmula'!E112+'Fórmula'!G112+'Fórmula'!I112+'Fórmula'!K112))*(INDEX(properties!A$1:CB$87,'Fórmula'!D112,19))+(('Fórmula'!G112)/('Fórmula'!C112+'Fórmula'!E112+'Fórmula'!G112+'Fórmula'!I112+'Fórmula'!K112))*(INDEX(properties!A$1:CB$87,'Fórmula'!F112,19))+(('Fórmula'!I112)/('Fórmula'!C112+'Fórmula'!E112+'Fórmula'!G112+'Fórmula'!I112+'Fórmula'!K112))*(INDEX(properties!A$1:CB$87,'Fórmula'!H112,19))+(('Fórmula'!K112)/('Fórmula'!C112+'Fórmula'!E112+'Fórmula'!G112+'Fórmula'!I112+'Fórmula'!K112))*(INDEX(properties!A$1:CB$87,'Fórmula'!J112,19))</f>
        <v>7.428571429</v>
      </c>
      <c r="BK112" s="111">
        <f t="array" ref="BK112">'Fórmula'!C112*(INDEX(properties!A$1:CB$87,'Fórmula'!B112,19))+'Fórmula'!E112*(INDEX(properties!A$1:CB$87,'Fórmula'!D112,19))+'Fórmula'!G112*(INDEX(properties!A$1:CB$87,'Fórmula'!F112,19))+'Fórmula'!I112*(INDEX(properties!A$1:CB$87,'Fórmula'!H112,19))+'Fórmula'!K112*(INDEX(properties!A$1:CB$87,'Fórmula'!J112,19))</f>
        <v>52</v>
      </c>
      <c r="BL112" s="111">
        <f t="array" ref="BL112">VARP(IF(INDEX(properties!A$1:CB$87,'Fórmula'!B112,19)&lt;&gt;"",INDEX(properties!A$1:CB$87,'Fórmula'!B112,19)),IF(INDEX(properties!A$1:CB$87,'Fórmula'!D112,19)&lt;&gt;"",INDEX(properties!A$1:CB$87,'Fórmula'!D112,19)),IF(INDEX(properties!A$1:CB$87,'Fórmula'!F112,19)&lt;&gt;"",INDEX(properties!A$1:CB$87,'Fórmula'!F112,19)),IF(INDEX(properties!A$1:CB$87,'Fórmula'!H112,19)&lt;&gt;"",INDEX(properties!A$1:CB$87,'Fórmula'!H112,19)),IF(INDEX(properties!A$1:CB$87,'Fórmula'!J112,19)&lt;&gt;"",INDEX(properties!A$1:CB$87,'Fórmula'!J112,19)))</f>
        <v>24.16</v>
      </c>
      <c r="BM112" s="111">
        <f t="array" ref="BM112">MAX(INDEX(properties!A$1:CB$87,'Fórmula'!B112,19),INDEX(properties!A$1:CB$87,'Fórmula'!D112,19),INDEX(properties!A$1:CB$87,'Fórmula'!F112,19),INDEX(properties!A$1:CB$87,'Fórmula'!H112,19),INDEX(properties!A$1:CB$87,'Fórmula'!J112,19))</f>
        <v>13</v>
      </c>
      <c r="BN112" s="111">
        <f t="array" ref="BN112">MIN(IF(INDEX(properties!A$1:CB$87,'Fórmula'!B112,19)=0,10^6,INDEX(properties!A$1:CB$87,'Fórmula'!B112,19)),IF(INDEX(properties!A$1:CB$87,'Fórmula'!D112,19)=0,10^6,INDEX(properties!A$1:CB$87,'Fórmula'!D112,19)),IF(INDEX(properties!A$1:CB$87,'Fórmula'!F112,19)=0,10^6,INDEX(properties!A$1:CB$87,'Fórmula'!F112,19)),IF(INDEX(properties!A$1:CB$87,'Fórmula'!H112,19)=0,10^6,INDEX(properties!A$1:CB$87,'Fórmula'!H112,19)),IF(INDEX(properties!A$1:CB$87,'Fórmula'!J112,19)=0,10^6,INDEX(properties!A$1:CB$87,'Fórmula'!J112,19)))</f>
        <v>2</v>
      </c>
      <c r="BO112" s="111">
        <f t="shared" si="11"/>
        <v>11</v>
      </c>
      <c r="BP112" s="112">
        <f t="array" ref="BP112">(('Fórmula'!C112)/('Fórmula'!C112+'Fórmula'!E112+'Fórmula'!G112+'Fórmula'!I112+'Fórmula'!K112))*(INDEX(properties!A$1:CB$87,'Fórmula'!B112,20))+(('Fórmula'!E112)/('Fórmula'!C112+'Fórmula'!E112+'Fórmula'!G112+'Fórmula'!I112+'Fórmula'!K112))*(INDEX(properties!A$1:CB$87,'Fórmula'!D112,20))+(('Fórmula'!G112)/('Fórmula'!C112+'Fórmula'!E112+'Fórmula'!G112+'Fórmula'!I112+'Fórmula'!K112))*(INDEX(properties!A$1:CB$87,'Fórmula'!F112,20))+(('Fórmula'!I112)/('Fórmula'!C112+'Fórmula'!E112+'Fórmula'!G112+'Fórmula'!I112+'Fórmula'!K112))*(INDEX(properties!A$1:CB$87,'Fórmula'!H112,20))+(('Fórmula'!K112)/('Fórmula'!C112+'Fórmula'!E112+'Fórmula'!G112+'Fórmula'!I112+'Fórmula'!K112))*(INDEX(properties!A$1:CB$87,'Fórmula'!J112,20))</f>
        <v>4.571428571</v>
      </c>
      <c r="BQ112" s="112">
        <f t="array" ref="BQ112">'Fórmula'!C112*(INDEX(properties!A$1:CB$87,'Fórmula'!B112,20))+'Fórmula'!E112*(INDEX(properties!A$1:CB$87,'Fórmula'!D112,20))+'Fórmula'!G112*(INDEX(properties!A$1:CB$87,'Fórmula'!F112,20))+'Fórmula'!I112*(INDEX(properties!A$1:CB$87,'Fórmula'!H112,20))+'Fórmula'!K112*(INDEX(properties!A$1:CB$87,'Fórmula'!J112,20))</f>
        <v>32</v>
      </c>
      <c r="BR112" s="112">
        <f t="array" ref="BR112">VARP(IF(INDEX(properties!A$1:CB$87,'Fórmula'!B112,20)&lt;&gt;"",INDEX(properties!A$1:CB$87,'Fórmula'!B112,20)),IF(INDEX(properties!A$1:CB$87,'Fórmula'!D112,20)&lt;&gt;"",INDEX(properties!A$1:CB$87,'Fórmula'!D112,20)),IF(INDEX(properties!A$1:CB$87,'Fórmula'!F112,20)&lt;&gt;"",INDEX(properties!A$1:CB$87,'Fórmula'!F112,20)),IF(INDEX(properties!A$1:CB$87,'Fórmula'!H112,20)&lt;&gt;"",INDEX(properties!A$1:CB$87,'Fórmula'!H112,20)),IF(INDEX(properties!A$1:CB$87,'Fórmula'!J112,20)&lt;&gt;"",INDEX(properties!A$1:CB$87,'Fórmula'!J112,20)))</f>
        <v>4.96</v>
      </c>
      <c r="BS112" s="112">
        <f t="array" ref="BS112">MAX(INDEX(properties!A$1:CB$87,'Fórmula'!B112,20),INDEX(properties!A$1:CB$87,'Fórmula'!D112,20),INDEX(properties!A$1:CB$87,'Fórmula'!F112,20),INDEX(properties!A$1:CB$87,'Fórmula'!H112,20),INDEX(properties!A$1:CB$87,'Fórmula'!J112,20))</f>
        <v>6</v>
      </c>
      <c r="BT112" s="112">
        <f t="array" ref="BT112">MIN(IF(INDEX(properties!A$1:CB$87,'Fórmula'!B112,20)=0,10^6,INDEX(properties!A$1:CB$87,'Fórmula'!B112,20)),IF(INDEX(properties!A$1:CB$87,'Fórmula'!D112,20)=0,10^6,INDEX(properties!A$1:CB$87,'Fórmula'!D112,20)),IF(INDEX(properties!A$1:CB$87,'Fórmula'!F112,20)=0,10^6,INDEX(properties!A$1:CB$87,'Fórmula'!F112,20)),IF(INDEX(properties!A$1:CB$87,'Fórmula'!H112,20)=0,10^6,INDEX(properties!A$1:CB$87,'Fórmula'!H112,20)),IF(INDEX(properties!A$1:CB$87,'Fórmula'!J112,20)=0,10^6,INDEX(properties!A$1:CB$87,'Fórmula'!J112,20)))</f>
        <v>2</v>
      </c>
      <c r="BU112" s="112">
        <f t="shared" si="12"/>
        <v>4</v>
      </c>
      <c r="BV112" s="113">
        <f t="array" ref="BV112">(('Fórmula'!C112)/('Fórmula'!C112+'Fórmula'!E112+'Fórmula'!G112+'Fórmula'!I112+'Fórmula'!K112))*(INDEX(properties!A$1:CB$87,'Fórmula'!B112,21))+(('Fórmula'!E112)/('Fórmula'!C112+'Fórmula'!E112+'Fórmula'!G112+'Fórmula'!I112+'Fórmula'!K112))*(INDEX(properties!A$1:CB$87,'Fórmula'!D112,21))+(('Fórmula'!G112)/('Fórmula'!C112+'Fórmula'!E112+'Fórmula'!G112+'Fórmula'!I112+'Fórmula'!K112))*(INDEX(properties!A$1:CB$87,'Fórmula'!F112,21))+(('Fórmula'!I112)/('Fórmula'!C112+'Fórmula'!E112+'Fórmula'!G112+'Fórmula'!I112+'Fórmula'!K112))*(INDEX(properties!A$1:CB$87,'Fórmula'!H112,21))+(('Fórmula'!K112)/('Fórmula'!C112+'Fórmula'!E112+'Fórmula'!G112+'Fórmula'!I112+'Fórmula'!K112))*(INDEX(properties!A$1:CB$87,'Fórmula'!J112,21))</f>
        <v>4.571428571</v>
      </c>
      <c r="BW112" s="113">
        <f t="array" ref="BW112">'Fórmula'!C112*(INDEX(properties!A$1:CB$87,'Fórmula'!B112,21))+'Fórmula'!E112*(INDEX(properties!A$1:CB$87,'Fórmula'!D112,21))+'Fórmula'!G112*(INDEX(properties!A$1:CB$87,'Fórmula'!F112,21))+'Fórmula'!I112*(INDEX(properties!A$1:CB$87,'Fórmula'!H112,21))+'Fórmula'!K112*(INDEX(properties!A$1:CB$87,'Fórmula'!J112,21))</f>
        <v>32</v>
      </c>
      <c r="BX112" s="113">
        <f t="array" ref="BX112">VARP(IF(INDEX(properties!A$1:CB$87,'Fórmula'!B112,21)&lt;&gt;"",INDEX(properties!A$1:CB$87,'Fórmula'!B112,21)),IF(INDEX(properties!A$1:CB$87,'Fórmula'!D112,21)&lt;&gt;"",INDEX(properties!A$1:CB$87,'Fórmula'!D112,21)),IF(INDEX(properties!A$1:CB$87,'Fórmula'!F112,21)&lt;&gt;"",INDEX(properties!A$1:CB$87,'Fórmula'!F112,21)),IF(INDEX(properties!A$1:CB$87,'Fórmula'!H112,21)&lt;&gt;"",INDEX(properties!A$1:CB$87,'Fórmula'!H112,21)),IF(INDEX(properties!A$1:CB$87,'Fórmula'!J112,21)&lt;&gt;"",INDEX(properties!A$1:CB$87,'Fórmula'!J112,21)))</f>
        <v>4.96</v>
      </c>
      <c r="BY112" s="113">
        <f t="array" ref="BY112">MAX(INDEX(properties!A$1:CB$87,'Fórmula'!B112,21),INDEX(properties!A$1:CB$87,'Fórmula'!D112,21),INDEX(properties!A$1:CB$87,'Fórmula'!F112,21),INDEX(properties!A$1:CB$87,'Fórmula'!H112,21),INDEX(properties!A$1:CB$87,'Fórmula'!J112,21))</f>
        <v>6</v>
      </c>
      <c r="BZ112" s="113">
        <f t="array" ref="BZ112">MIN(IF(INDEX(properties!A$1:CB$87,'Fórmula'!B112,21)=0,10^6,INDEX(properties!A$1:CB$87,'Fórmula'!B112,21)),IF(INDEX(properties!A$1:CB$87,'Fórmula'!D112,21)=0,10^6,INDEX(properties!A$1:CB$87,'Fórmula'!D112,21)),IF(INDEX(properties!A$1:CB$87,'Fórmula'!F112,21)=0,10^6,INDEX(properties!A$1:CB$87,'Fórmula'!F112,21)),IF(INDEX(properties!A$1:CB$87,'Fórmula'!H112,21)=0,10^6,INDEX(properties!A$1:CB$87,'Fórmula'!H112,21)),IF(INDEX(properties!A$1:CB$87,'Fórmula'!J112,21)=0,10^6,INDEX(properties!A$1:CB$87,'Fórmula'!J112,21)))</f>
        <v>2</v>
      </c>
      <c r="CA112" s="113">
        <f t="shared" si="13"/>
        <v>4</v>
      </c>
      <c r="CB112" s="114">
        <f t="array" ref="CB112">(('Fórmula'!C112)/('Fórmula'!C112+'Fórmula'!E112+'Fórmula'!G112+'Fórmula'!I112+'Fórmula'!K112))*(INDEX(properties!A$1:CB$87,'Fórmula'!B112,23))+(('Fórmula'!E112)/('Fórmula'!C112+'Fórmula'!E112+'Fórmula'!G112+'Fórmula'!I112+'Fórmula'!K112))*(INDEX(properties!A$1:CB$87,'Fórmula'!D112,23))+(('Fórmula'!G112)/('Fórmula'!C112+'Fórmula'!E112+'Fórmula'!G112+'Fórmula'!I112+'Fórmula'!K112))*(INDEX(properties!A$1:CB$87,'Fórmula'!F112,23))+(('Fórmula'!I112)/('Fórmula'!C112+'Fórmula'!E112+'Fórmula'!G112+'Fórmula'!I112+'Fórmula'!K112))*(INDEX(properties!A$1:CB$87,'Fórmula'!H112,23))+(('Fórmula'!K112)/('Fórmula'!C112+'Fórmula'!E112+'Fórmula'!G112+'Fórmula'!I112+'Fórmula'!K112))*(INDEX(properties!A$1:CB$87,'Fórmula'!J112,23))</f>
        <v>1.268571429</v>
      </c>
      <c r="CC112" s="114">
        <f t="array" ref="CC112">'Fórmula'!C112*(INDEX(properties!A$1:CB$87,'Fórmula'!B112,23))+'Fórmula'!E112*(INDEX(properties!A$1:CB$87,'Fórmula'!D112,23))+'Fórmula'!G112*(INDEX(properties!A$1:CB$87,'Fórmula'!F112,23))+'Fórmula'!I112*(INDEX(properties!A$1:CB$87,'Fórmula'!H112,23))+'Fórmula'!K112*(INDEX(properties!A$1:CB$87,'Fórmula'!J112,23))</f>
        <v>8.88</v>
      </c>
      <c r="CD112" s="114">
        <f t="array" ref="CD112">VARP(IF(INDEX(properties!A$1:CB$87,'Fórmula'!B112,23)&lt;&gt;"",INDEX(properties!A$1:CB$87,'Fórmula'!B112,23)),IF(INDEX(properties!A$1:CB$87,'Fórmula'!D112,23)&lt;&gt;"",INDEX(properties!A$1:CB$87,'Fórmula'!D112,23)),IF(INDEX(properties!A$1:CB$87,'Fórmula'!F112,23)&lt;&gt;"",INDEX(properties!A$1:CB$87,'Fórmula'!F112,23)),IF(INDEX(properties!A$1:CB$87,'Fórmula'!H112,23)&lt;&gt;"",INDEX(properties!A$1:CB$87,'Fórmula'!H112,23)),IF(INDEX(properties!A$1:CB$87,'Fórmula'!J112,23)&lt;&gt;"",INDEX(properties!A$1:CB$87,'Fórmula'!J112,23)))</f>
        <v>1.982976</v>
      </c>
      <c r="CE112" s="114">
        <f t="array" ref="CE112">MAX(INDEX(properties!A$1:CB$87,'Fórmula'!B112,23),INDEX(properties!A$1:CB$87,'Fórmula'!D112,23),INDEX(properties!A$1:CB$87,'Fórmula'!F112,23),INDEX(properties!A$1:CB$87,'Fórmula'!H112,23),INDEX(properties!A$1:CB$87,'Fórmula'!J112,23))</f>
        <v>3.44</v>
      </c>
      <c r="CF112" s="114">
        <f t="array" ref="CF112">MIN(IF('Fórmula'!B112=87,10^6,INDEX(properties!A$1:CB$87,'Fórmula'!B112,23)),IF(('Fórmula'!D112)=87,10^6,INDEX(properties!A$1:CB$87,'Fórmula'!D112,23)),IF(('Fórmula'!F112)=87,10^6,INDEX(properties!A$1:CB$87,'Fórmula'!F112,23)),IF(('Fórmula'!H112)=87,10^6,INDEX(properties!A$1:CB$87,'Fórmula'!H112,23)),IF('Fórmula'!J112=87,10^6,INDEX(properties!A$1:CB$87,'Fórmula'!J112,23)))</f>
        <v>0</v>
      </c>
      <c r="CG112" s="114">
        <f t="shared" si="14"/>
        <v>3.44</v>
      </c>
      <c r="CH112" s="115">
        <f t="array" ref="CH112">(('Fórmula'!C112)/('Fórmula'!C112+'Fórmula'!E112+'Fórmula'!G112+'Fórmula'!I112+'Fórmula'!K112))*(INDEX(properties!A$1:CB$87,'Fórmula'!B112,26))+(('Fórmula'!E112)/('Fórmula'!C112+'Fórmula'!E112+'Fórmula'!G112+'Fórmula'!I112+'Fórmula'!K112))*(INDEX(properties!A$1:CB$87,'Fórmula'!D112,26))+(('Fórmula'!G112)/('Fórmula'!C112+'Fórmula'!E112+'Fórmula'!G112+'Fórmula'!I112+'Fórmula'!K112))*(INDEX(properties!A$1:CB$87,'Fórmula'!F112,26))+(('Fórmula'!I112)/('Fórmula'!C112+'Fórmula'!E112+'Fórmula'!G112+'Fórmula'!I112+'Fórmula'!K112))*(INDEX(properties!A$1:CB$87,'Fórmula'!H112,26))+(('Fórmula'!K112)/('Fórmula'!C112+'Fórmula'!E112+'Fórmula'!G112+'Fórmula'!I112+'Fórmula'!K112))*(INDEX(properties!A$1:CB$87,'Fórmula'!J112,26))</f>
        <v>10.58817143</v>
      </c>
      <c r="CI112" s="115">
        <f t="array" ref="CI112">'Fórmula'!C112*(INDEX(properties!A$1:CB$87,'Fórmula'!B112,26))+'Fórmula'!E112*(INDEX(properties!A$1:CB$87,'Fórmula'!D112,26))+'Fórmula'!G112*(INDEX(properties!A$1:CB$87,'Fórmula'!F112,26))+'Fórmula'!I112*(INDEX(properties!A$1:CB$87,'Fórmula'!H112,26))+'Fórmula'!K112*(INDEX(properties!A$1:CB$87,'Fórmula'!J112,26))</f>
        <v>74.1172</v>
      </c>
      <c r="CJ112" s="115">
        <f t="array" ref="CJ112">VARP(IF(INDEX(properties!A$1:CB$87,'Fórmula'!B112,26)&lt;&gt;"",INDEX(properties!A$1:CB$87,'Fórmula'!B112,26)),IF(INDEX(properties!A$1:CB$87,'Fórmula'!D112,26)&lt;&gt;"",INDEX(properties!A$1:CB$87,'Fórmula'!D112,26)),IF(INDEX(properties!A$1:CB$87,'Fórmula'!F112,26)&lt;&gt;"",INDEX(properties!A$1:CB$87,'Fórmula'!F112,26)),IF(INDEX(properties!A$1:CB$87,'Fórmula'!H112,26)&lt;&gt;"",INDEX(properties!A$1:CB$87,'Fórmula'!H112,26)),IF(INDEX(properties!A$1:CB$87,'Fórmula'!J112,26)&lt;&gt;"",INDEX(properties!A$1:CB$87,'Fórmula'!J112,26)))</f>
        <v>26.24956911</v>
      </c>
      <c r="CK112" s="116">
        <f t="array" ref="CK112">MAX(INDEX(properties!A$1:CB$87,'Fórmula'!B112,26),INDEX(properties!A$1:CB$87,'Fórmula'!D112,26),INDEX(properties!A$1:CB$87,'Fórmula'!F112,26),INDEX(properties!A$1:CB$87,'Fórmula'!H112,26),INDEX(properties!A$1:CB$87,'Fórmula'!J112,26))</f>
        <v>13.6181</v>
      </c>
      <c r="CL112" s="116">
        <f t="array" ref="CL112">MIN(IF(INDEX(properties!A$1:CB$87,'Fórmula'!B112,26)=0,10^6,INDEX(properties!A$1:CB$87,'Fórmula'!B112,26)),IF(INDEX(properties!A$1:CB$87,'Fórmula'!D112,26)=0,10^6,INDEX(properties!A$1:CB$87,'Fórmula'!D112,26)),IF(INDEX(properties!A$1:CB$87,'Fórmula'!F112,26)=0,10^6,INDEX(properties!A$1:CB$87,'Fórmula'!F112,26)),IF(INDEX(properties!A$1:CB$87,'Fórmula'!H112,26)=0,10^6,INDEX(properties!A$1:CB$87,'Fórmula'!H112,26)),IF(INDEX(properties!A$1:CB$87,'Fórmula'!J112,26)=0,10^6,INDEX(properties!A$1:CB$87,'Fórmula'!J112,26)))</f>
        <v>5.9993</v>
      </c>
      <c r="CM112" s="115">
        <f t="shared" si="15"/>
        <v>7.6188</v>
      </c>
      <c r="CN112" s="117">
        <f t="array" ref="CN112">(('Fórmula'!C112)/('Fórmula'!C112+'Fórmula'!E112+'Fórmula'!G112+'Fórmula'!I112+'Fórmula'!K112))*(INDEX(properties!A$1:CB$87,'Fórmula'!B112,30))+(('Fórmula'!E112)/('Fórmula'!C112+'Fórmula'!E112+'Fórmula'!G112+'Fórmula'!I112+'Fórmula'!K112))*(INDEX(properties!A$1:CB$87,'Fórmula'!D112,30))+(('Fórmula'!G112)/('Fórmula'!C112+'Fórmula'!E112+'Fórmula'!G112+'Fórmula'!I112+'Fórmula'!K112))*(INDEX(properties!A$1:CB$87,'Fórmula'!F112,30))+(('Fórmula'!I112)/('Fórmula'!C112+'Fórmula'!E112+'Fórmula'!G112+'Fórmula'!I112+'Fórmula'!K112))*(INDEX(properties!A$1:CB$87,'Fórmula'!H112,30))+(('Fórmula'!K112)/('Fórmula'!C112+'Fórmula'!E112+'Fórmula'!G112+'Fórmula'!I112+'Fórmula'!K112))*(INDEX(properties!A$1:CB$87,'Fórmula'!J112,30))</f>
        <v>2.67</v>
      </c>
      <c r="CO112" s="117">
        <f t="array" ref="CO112">'Fórmula'!C112*(INDEX(properties!A$1:CB$87,'Fórmula'!B112,30))+'Fórmula'!E112*(INDEX(properties!A$1:CB$87,'Fórmula'!D112,30))+'Fórmula'!G112*(INDEX(properties!A$1:CB$87,'Fórmula'!F112,30))+'Fórmula'!I112*(INDEX(properties!A$1:CB$87,'Fórmula'!H112,30))+'Fórmula'!K112*(INDEX(properties!A$1:CB$87,'Fórmula'!J112,30))</f>
        <v>18.69</v>
      </c>
      <c r="CP112" s="117">
        <f t="array" ref="CP112">VARP(IF(INDEX(properties!A$1:CB$87,'Fórmula'!B112,30)&lt;&gt;"",INDEX(properties!A$1:CB$87,'Fórmula'!B112,30)),IF(INDEX(properties!A$1:CB$87,'Fórmula'!D112,30)&lt;&gt;"",INDEX(properties!A$1:CB$87,'Fórmula'!D112,30)),IF(INDEX(properties!A$1:CB$87,'Fórmula'!F112,30)&lt;&gt;"",INDEX(properties!A$1:CB$87,'Fórmula'!F112,30)),IF(INDEX(properties!A$1:CB$87,'Fórmula'!H112,30)&lt;&gt;"",INDEX(properties!A$1:CB$87,'Fórmula'!H112,30)),IF(INDEX(properties!A$1:CB$87,'Fórmula'!J112,30)&lt;&gt;"",INDEX(properties!A$1:CB$87,'Fórmula'!J112,30)))</f>
        <v>1.643816</v>
      </c>
      <c r="CQ112" s="117">
        <f t="array" ref="CQ112">MAX(INDEX(properties!A$1:CB$87,'Fórmula'!B112,30),INDEX(properties!A$1:CB$87,'Fórmula'!D112,30),INDEX(properties!A$1:CB$87,'Fórmula'!F112,30),INDEX(properties!A$1:CB$87,'Fórmula'!H112,30),INDEX(properties!A$1:CB$87,'Fórmula'!J112,30))</f>
        <v>3.44</v>
      </c>
      <c r="CR112" s="117">
        <f t="array" ref="CR112">MIN(IF(INDEX(properties!A$1:CB$87,'Fórmula'!B112,30)=0,10^6,INDEX(properties!A$1:CB$87,'Fórmula'!B112,30)),IF(INDEX(properties!A$1:CB$87,'Fórmula'!D112,30)=0,10^6,INDEX(properties!A$1:CB$87,'Fórmula'!D112,30)),IF(INDEX(properties!A$1:CB$87,'Fórmula'!F112,30)=0,10^6,INDEX(properties!A$1:CB$87,'Fórmula'!F112,30)),IF(INDEX(properties!A$1:CB$87,'Fórmula'!H112,30)=0,10^6,INDEX(properties!A$1:CB$87,'Fórmula'!H112,30)),IF(INDEX(properties!A$1:CB$87,'Fórmula'!J112,30)=0,10^6,INDEX(properties!A$1:CB$87,'Fórmula'!J112,30)))</f>
        <v>1.31</v>
      </c>
      <c r="CS112" s="117">
        <f t="shared" si="16"/>
        <v>2.13</v>
      </c>
      <c r="CT112" s="118">
        <f t="array" ref="CT112">(('Fórmula'!C112)/('Fórmula'!C112+'Fórmula'!E112+'Fórmula'!G112+'Fórmula'!I112+'Fórmula'!K112))*(INDEX(properties!A$1:CB$87,'Fórmula'!B112,31))+(('Fórmula'!E112)/('Fórmula'!C112+'Fórmula'!E112+'Fórmula'!G112+'Fórmula'!I112+'Fórmula'!K112))*(INDEX(properties!A$1:CB$87,'Fórmula'!D112,31))+(('Fórmula'!G112)/('Fórmula'!C112+'Fórmula'!E112+'Fórmula'!G112+'Fórmula'!I112+'Fórmula'!K112))*(INDEX(properties!A$1:CB$87,'Fórmula'!F112,31))+(('Fórmula'!I112)/('Fórmula'!C112+'Fórmula'!E112+'Fórmula'!G112+'Fórmula'!I112+'Fórmula'!K112))*(INDEX(properties!A$1:CB$87,'Fórmula'!H112,31))+(('Fórmula'!K112)/('Fórmula'!C112+'Fórmula'!E112+'Fórmula'!G112+'Fórmula'!I112+'Fórmula'!K112))*(INDEX(properties!A$1:CB$87,'Fórmula'!J112,31))</f>
        <v>2.57</v>
      </c>
      <c r="CU112" s="118">
        <f t="array" ref="CU112">'Fórmula'!C112*(INDEX(properties!A$1:CB$87,'Fórmula'!B112,31))+'Fórmula'!E112*(INDEX(properties!A$1:CB$87,'Fórmula'!D112,31))+'Fórmula'!G112*(INDEX(properties!A$1:CB$87,'Fórmula'!F112,31))+'Fórmula'!I112*(INDEX(properties!A$1:CB$87,'Fórmula'!H112,31))+'Fórmula'!K112*(INDEX(properties!A$1:CB$87,'Fórmula'!J112,31))</f>
        <v>17.99</v>
      </c>
      <c r="CV112" s="118">
        <f t="array" ref="CV112">VARP(IF(INDEX(properties!A$1:CB$87,'Fórmula'!B112,31)&lt;&gt;"",INDEX(properties!A$1:CB$87,'Fórmula'!B112,31)),IF(INDEX(properties!A$1:CB$87,'Fórmula'!D112,31)&lt;&gt;"",INDEX(properties!A$1:CB$87,'Fórmula'!D112,31)),IF(INDEX(properties!A$1:CB$87,'Fórmula'!F112,31)&lt;&gt;"",INDEX(properties!A$1:CB$87,'Fórmula'!F112,31)),IF(INDEX(properties!A$1:CB$87,'Fórmula'!H112,31)&lt;&gt;"",INDEX(properties!A$1:CB$87,'Fórmula'!H112,31)),IF(INDEX(properties!A$1:CB$87,'Fórmula'!J112,31)&lt;&gt;"",INDEX(properties!A$1:CB$87,'Fórmula'!J112,31)))</f>
        <v>1.522944</v>
      </c>
      <c r="CW112" s="118">
        <f t="array" ref="CW112">MAX(INDEX(properties!A$1:CB$87,'Fórmula'!B112,31),INDEX(properties!A$1:CB$87,'Fórmula'!D112,31),INDEX(properties!A$1:CB$87,'Fórmula'!F112,31),INDEX(properties!A$1:CB$87,'Fórmula'!H112,31),INDEX(properties!A$1:CB$87,'Fórmula'!J112,31))</f>
        <v>3.32</v>
      </c>
      <c r="CX112" s="118">
        <f t="array" ref="CX112">MIN(IF(INDEX(properties!A$1:CB$87,'Fórmula'!B112,31)=0,10^6,INDEX(properties!A$1:CB$87,'Fórmula'!B112,31)),IF(INDEX(properties!A$1:CB$87,'Fórmula'!D112,31)=0,10^6,INDEX(properties!A$1:CB$87,'Fórmula'!D112,31)),IF(INDEX(properties!A$1:CB$87,'Fórmula'!F112,31)=0,10^6,INDEX(properties!A$1:CB$87,'Fórmula'!F112,31)),IF(INDEX(properties!A$1:CB$87,'Fórmula'!H112,31)=0,10^6,INDEX(properties!A$1:CB$87,'Fórmula'!H112,31)),IF(INDEX(properties!A$1:CB$87,'Fórmula'!J112,31)=0,10^6,INDEX(properties!A$1:CB$87,'Fórmula'!J112,31)))</f>
        <v>1.31</v>
      </c>
      <c r="CY112" s="118">
        <f t="shared" si="17"/>
        <v>2.01</v>
      </c>
      <c r="CZ112" s="119">
        <f t="array" ref="CZ112">(('Fórmula'!C112)/('Fórmula'!C112+'Fórmula'!E112+'Fórmula'!G112+'Fórmula'!I112+'Fórmula'!K112))*(INDEX(properties!A$1:CB$87,'Fórmula'!B112,32))+(('Fórmula'!E112)/('Fórmula'!C112+'Fórmula'!E112+'Fórmula'!G112+'Fórmula'!I112+'Fórmula'!K112))*(INDEX(properties!A$1:CB$87,'Fórmula'!D112,32))+(('Fórmula'!G112)/('Fórmula'!C112+'Fórmula'!E112+'Fórmula'!G112+'Fórmula'!I112+'Fórmula'!K112))*(INDEX(properties!A$1:CB$87,'Fórmula'!F112,32))+(('Fórmula'!I112)/('Fórmula'!C112+'Fórmula'!E112+'Fórmula'!G112+'Fórmula'!I112+'Fórmula'!K112))*(INDEX(properties!A$1:CB$87,'Fórmula'!H112,32))+(('Fórmula'!K112)/('Fórmula'!C112+'Fórmula'!E112+'Fórmula'!G112+'Fórmula'!I112+'Fórmula'!K112))*(INDEX(properties!A$1:CB$87,'Fórmula'!J112,32))</f>
        <v>5.758571429</v>
      </c>
      <c r="DA112" s="119">
        <f t="array" ref="DA112">'Fórmula'!C112*(INDEX(properties!A$1:CB$87,'Fórmula'!B112,32))+'Fórmula'!E112*(INDEX(properties!A$1:CB$87,'Fórmula'!D112,32))+'Fórmula'!G112*(INDEX(properties!A$1:CB$87,'Fórmula'!F112,32))+'Fórmula'!I112*(INDEX(properties!A$1:CB$87,'Fórmula'!H112,32))+'Fórmula'!K112*(INDEX(properties!A$1:CB$87,'Fórmula'!J112,32))</f>
        <v>40.31</v>
      </c>
      <c r="DB112" s="119">
        <f t="array" ref="DB112">VARP(IF(INDEX(properties!A$1:CB$87,'Fórmula'!B112,32)&lt;&gt;"",INDEX(properties!A$1:CB$87,'Fórmula'!B112,32)),IF(INDEX(properties!A$1:CB$87,'Fórmula'!D112,32)&lt;&gt;"",INDEX(properties!A$1:CB$87,'Fórmula'!D112,32)),IF(INDEX(properties!A$1:CB$87,'Fórmula'!F112,32)&lt;&gt;"",INDEX(properties!A$1:CB$87,'Fórmula'!F112,32)),IF(INDEX(properties!A$1:CB$87,'Fórmula'!H112,32)&lt;&gt;"",INDEX(properties!A$1:CB$87,'Fórmula'!H112,32)),IF(INDEX(properties!A$1:CB$87,'Fórmula'!J112,32)&lt;&gt;"",INDEX(properties!A$1:CB$87,'Fórmula'!J112,32)))</f>
        <v>7.832416</v>
      </c>
      <c r="DC112" s="119">
        <f t="array" ref="DC112">MAX(INDEX(properties!A$1:CB$87,'Fórmula'!B112,32),INDEX(properties!A$1:CB$87,'Fórmula'!D112,32),INDEX(properties!A$1:CB$87,'Fórmula'!F112,32),INDEX(properties!A$1:CB$87,'Fórmula'!H112,32),INDEX(properties!A$1:CB$87,'Fórmula'!J112,32))</f>
        <v>7.54</v>
      </c>
      <c r="DD112" s="119">
        <f t="array" ref="DD112">MIN(IF(INDEX(properties!A$1:CB$87,'Fórmula'!B112,32)=0,10^6,INDEX(properties!A$1:CB$87,'Fórmula'!B112,32)),IF(INDEX(properties!A$1:CB$87,'Fórmula'!D112,32)=0,10^6,INDEX(properties!A$1:CB$87,'Fórmula'!D112,32)),IF(INDEX(properties!A$1:CB$87,'Fórmula'!F112,32)=0,10^6,INDEX(properties!A$1:CB$87,'Fórmula'!F112,32)),IF(INDEX(properties!A$1:CB$87,'Fórmula'!H112,32)=0,10^6,INDEX(properties!A$1:CB$87,'Fórmula'!H112,32)),IF(INDEX(properties!A$1:CB$87,'Fórmula'!J112,32)=0,10^6,INDEX(properties!A$1:CB$87,'Fórmula'!J112,32)))</f>
        <v>3.2</v>
      </c>
      <c r="DE112" s="119">
        <f t="shared" si="18"/>
        <v>4.34</v>
      </c>
      <c r="DF112" s="104">
        <f t="array" ref="DF112">(('Fórmula'!C112)/('Fórmula'!C112+'Fórmula'!E112+'Fórmula'!G112+'Fórmula'!I112+'Fórmula'!K112))*(INDEX(properties!A$1:CB$87,'Fórmula'!B112,34))+(('Fórmula'!E112)/('Fórmula'!C112+'Fórmula'!E112+'Fórmula'!G112+'Fórmula'!I112+'Fórmula'!K112))*(INDEX(properties!A$1:CB$87,'Fórmula'!D112,34))+(('Fórmula'!G112)/('Fórmula'!C112+'Fórmula'!E112+'Fórmula'!G112+'Fórmula'!I112+'Fórmula'!K112))*(INDEX(properties!A$1:CB$87,'Fórmula'!F112,34))+(('Fórmula'!I112)/('Fórmula'!C112+'Fórmula'!E112+'Fórmula'!G112+'Fórmula'!I112+'Fórmula'!K112))*(INDEX(properties!A$1:CB$87,'Fórmula'!H112,34))+(('Fórmula'!K112)/('Fórmula'!C112+'Fórmula'!E112+'Fórmula'!G112+'Fórmula'!I112+'Fórmula'!K112))*(INDEX(properties!A$1:CB$87,'Fórmula'!J112,34))</f>
        <v>2.749285714</v>
      </c>
      <c r="DG112" s="104">
        <f t="array" ref="DG112">'Fórmula'!C112*(INDEX(properties!A$1:CB$87,'Fórmula'!B112,34))+'Fórmula'!E112*(INDEX(properties!A$1:CB$87,'Fórmula'!D112,34))+'Fórmula'!G112*(INDEX(properties!A$1:CB$87,'Fórmula'!F112,34))+'Fórmula'!I112*(INDEX(properties!A$1:CB$87,'Fórmula'!H112,34))+'Fórmula'!K112*(INDEX(properties!A$1:CB$87,'Fórmula'!J112,34))</f>
        <v>19.245</v>
      </c>
      <c r="DH112" s="104">
        <f t="array" ref="DH112">VARP(IF(INDEX(properties!A$1:CB$87,'Fórmula'!B112,34)&lt;&gt;"",INDEX(properties!A$1:CB$87,'Fórmula'!B112,34)),IF(INDEX(properties!A$1:CB$87,'Fórmula'!D112,34)&lt;&gt;"",INDEX(properties!A$1:CB$87,'Fórmula'!D112,34)),IF(INDEX(properties!A$1:CB$87,'Fórmula'!F112,34)&lt;&gt;"",INDEX(properties!A$1:CB$87,'Fórmula'!F112,34)),IF(INDEX(properties!A$1:CB$87,'Fórmula'!H112,34)&lt;&gt;"",INDEX(properties!A$1:CB$87,'Fórmula'!H112,34)),IF(INDEX(properties!A$1:CB$87,'Fórmula'!J112,34)&lt;&gt;"",INDEX(properties!A$1:CB$87,'Fórmula'!J112,34)))</f>
        <v>1.78380576</v>
      </c>
      <c r="DI112" s="104">
        <f t="array" ref="DI112">MAX(INDEX(properties!A$1:CB$87,'Fórmula'!B112,34),INDEX(properties!A$1:CB$87,'Fórmula'!D112,34),INDEX(properties!A$1:CB$87,'Fórmula'!F112,34),INDEX(properties!A$1:CB$87,'Fórmula'!H112,34),INDEX(properties!A$1:CB$87,'Fórmula'!J112,34))</f>
        <v>3.61</v>
      </c>
      <c r="DJ112" s="104">
        <f t="array" ref="DJ112">MIN(IF(INDEX(properties!A$1:CB$87,'Fórmula'!B112,34)=0,10^6,INDEX(properties!A$1:CB$87,'Fórmula'!B112,34)),IF(INDEX(properties!A$1:CB$87,'Fórmula'!D112,34)=0,10^6,INDEX(properties!A$1:CB$87,'Fórmula'!D112,34)),IF(INDEX(properties!A$1:CB$87,'Fórmula'!F112,34)=0,10^6,INDEX(properties!A$1:CB$87,'Fórmula'!F112,34)),IF(INDEX(properties!A$1:CB$87,'Fórmula'!H112,34)=0,10^6,INDEX(properties!A$1:CB$87,'Fórmula'!H112,34)),IF(INDEX(properties!A$1:CB$87,'Fórmula'!J112,34)=0,10^6,INDEX(properties!A$1:CB$87,'Fórmula'!J112,34)))</f>
        <v>1.293</v>
      </c>
      <c r="DK112" s="104">
        <f t="shared" si="19"/>
        <v>2.317</v>
      </c>
      <c r="DL112" s="105">
        <f t="array" ref="DL112">(('Fórmula'!C112)/('Fórmula'!C112+'Fórmula'!E112+'Fórmula'!G112+'Fórmula'!I112+'Fórmula'!K112))*(INDEX(properties!A$1:CB$87,'Fórmula'!B112,37))+(('Fórmula'!E112)/('Fórmula'!C112+'Fórmula'!E112+'Fórmula'!G112+'Fórmula'!I112+'Fórmula'!K112))*(INDEX(properties!A$1:CB$87,'Fórmula'!D112,37))+(('Fórmula'!G112)/('Fórmula'!C112+'Fórmula'!E112+'Fórmula'!G112+'Fórmula'!I112+'Fórmula'!K112))*(INDEX(properties!A$1:CB$87,'Fórmula'!F112,37))+(('Fórmula'!I112)/('Fórmula'!C112+'Fórmula'!E112+'Fórmula'!G112+'Fórmula'!I112+'Fórmula'!K112))*(INDEX(properties!A$1:CB$87,'Fórmula'!H112,37))+(('Fórmula'!K112)/('Fórmula'!C112+'Fórmula'!E112+'Fórmula'!G112+'Fórmula'!I112+'Fórmula'!K112))*(INDEX(properties!A$1:CB$87,'Fórmula'!J112,37))</f>
        <v>2.542857143</v>
      </c>
      <c r="DM112" s="105">
        <f t="array" ref="DM112">'Fórmula'!C112*(INDEX(properties!A$1:CB$87,'Fórmula'!B112,37))+'Fórmula'!E112*(INDEX(properties!A$1:CB$87,'Fórmula'!D112,37))+'Fórmula'!G112*(INDEX(properties!A$1:CB$87,'Fórmula'!F112,37))+'Fórmula'!I112*(INDEX(properties!A$1:CB$87,'Fórmula'!H112,37))+'Fórmula'!K112*(INDEX(properties!A$1:CB$87,'Fórmula'!J112,37))</f>
        <v>17.8</v>
      </c>
      <c r="DN112" s="105">
        <f t="array" ref="DN112">VARP(IF(INDEX(properties!A$1:CB$87,'Fórmula'!B112,37)&lt;&gt;"",INDEX(properties!A$1:CB$87,'Fórmula'!B112,37)),IF(INDEX(properties!A$1:CB$87,'Fórmula'!D112,37)&lt;&gt;"",INDEX(properties!A$1:CB$87,'Fórmula'!D112,37)),IF(INDEX(properties!A$1:CB$87,'Fórmula'!F112,37)&lt;&gt;"",INDEX(properties!A$1:CB$87,'Fórmula'!F112,37)),IF(INDEX(properties!A$1:CB$87,'Fórmula'!H112,37)&lt;&gt;"",INDEX(properties!A$1:CB$87,'Fórmula'!H112,37)),IF(INDEX(properties!A$1:CB$87,'Fórmula'!J112,37)&lt;&gt;"",INDEX(properties!A$1:CB$87,'Fórmula'!J112,37)))</f>
        <v>1.5964</v>
      </c>
      <c r="DO112" s="105">
        <f t="array" ref="DO112">MAX(INDEX(properties!A$1:CB$87,'Fórmula'!B112,37),INDEX(properties!A$1:CB$87,'Fórmula'!D112,37),INDEX(properties!A$1:CB$87,'Fórmula'!F112,37),INDEX(properties!A$1:CB$87,'Fórmula'!H112,37),INDEX(properties!A$1:CB$87,'Fórmula'!J112,37))</f>
        <v>3.45</v>
      </c>
      <c r="DP112" s="105">
        <f t="array" ref="DP112">MIN(IF(INDEX(properties!A$1:CB$87,'Fórmula'!B112,37)=0,10^6,INDEX(properties!A$1:CB$87,'Fórmula'!B112,37)),IF(INDEX(properties!A$1:CB$87,'Fórmula'!D112,37)=0,10^6,INDEX(properties!A$1:CB$87,'Fórmula'!D112,37)),IF(INDEX(properties!A$1:CB$87,'Fórmula'!F112,37)=0,10^6,INDEX(properties!A$1:CB$87,'Fórmula'!F112,37)),IF(INDEX(properties!A$1:CB$87,'Fórmula'!H112,37)=0,10^6,INDEX(properties!A$1:CB$87,'Fórmula'!H112,37)),IF(INDEX(properties!A$1:CB$87,'Fórmula'!J112,37)=0,10^6,INDEX(properties!A$1:CB$87,'Fórmula'!J112,37)))</f>
        <v>1.2</v>
      </c>
      <c r="DQ112" s="105">
        <f t="shared" si="20"/>
        <v>2.25</v>
      </c>
      <c r="DR112" s="109">
        <f t="array" ref="DR112">(('Fórmula'!C112)/('Fórmula'!C112+'Fórmula'!E112+'Fórmula'!G112+'Fórmula'!I112+'Fórmula'!K112))*(INDEX(properties!A$1:CB$87,'Fórmula'!B112,39))+(('Fórmula'!E112)/('Fórmula'!C112+'Fórmula'!E112+'Fórmula'!G112+'Fórmula'!I112+'Fórmula'!K112))*(INDEX(properties!A$1:CB$87,'Fórmula'!D112,39))+(('Fórmula'!G112)/('Fórmula'!C112+'Fórmula'!E112+'Fórmula'!G112+'Fórmula'!I112+'Fórmula'!K112))*(INDEX(properties!A$1:CB$87,'Fórmula'!F112,39))+(('Fórmula'!I112)/('Fórmula'!C112+'Fórmula'!E112+'Fórmula'!G112+'Fórmula'!I112+'Fórmula'!K112))*(INDEX(properties!A$1:CB$87,'Fórmula'!H112,39))+(('Fórmula'!K112)/('Fórmula'!C112+'Fórmula'!E112+'Fórmula'!G112+'Fórmula'!I112+'Fórmula'!K112))*(INDEX(properties!A$1:CB$87,'Fórmula'!J112,39))</f>
        <v>0.87</v>
      </c>
      <c r="DS112" s="109">
        <f t="array" ref="DS112">'Fórmula'!C112*(INDEX(properties!A$1:CB$87,'Fórmula'!B112,39))+'Fórmula'!E112*(INDEX(properties!A$1:CB$87,'Fórmula'!D112,39))+'Fórmula'!G112*(INDEX(properties!A$1:CB$87,'Fórmula'!F112,39))+'Fórmula'!I112*(INDEX(properties!A$1:CB$87,'Fórmula'!H112,39))+'Fórmula'!K112*(INDEX(properties!A$1:CB$87,'Fórmula'!J112,39))</f>
        <v>6.09</v>
      </c>
      <c r="DT112" s="109">
        <f t="array" ref="DT112">VARP(IF(INDEX(properties!A$1:CB$87,'Fórmula'!B112,39)&lt;&gt;"",INDEX(properties!A$1:CB$87,'Fórmula'!B112,39)),IF(INDEX(properties!A$1:CB$87,'Fórmula'!D112,39)&lt;&gt;"",INDEX(properties!A$1:CB$87,'Fórmula'!D112,39)),IF(INDEX(properties!A$1:CB$87,'Fórmula'!F112,39)&lt;&gt;"",INDEX(properties!A$1:CB$87,'Fórmula'!F112,39)),IF(INDEX(properties!A$1:CB$87,'Fórmula'!H112,39)&lt;&gt;"",INDEX(properties!A$1:CB$87,'Fórmula'!H112,39)),IF(INDEX(properties!A$1:CB$87,'Fórmula'!J112,39)&lt;&gt;"",INDEX(properties!A$1:CB$87,'Fórmula'!J112,39)))</f>
        <v>0.403536</v>
      </c>
      <c r="DU112" s="120">
        <f t="array" ref="DU112">MAX(INDEX(properties!A$1:CB$87,'Fórmula'!B112,39),INDEX(properties!A$1:CB$87,'Fórmula'!D112,39),INDEX(properties!A$1:CB$87,'Fórmula'!F112,39),INDEX(properties!A$1:CB$87,'Fórmula'!H112,39),INDEX(properties!A$1:CB$87,'Fórmula'!J112,39))</f>
        <v>1.45</v>
      </c>
      <c r="DV112" s="120">
        <f t="array" ref="DV112">MIN(IF(INDEX(properties!A$1:CB$87,'Fórmula'!B112,39)=0,10^6,INDEX(properties!A$1:CB$87,'Fórmula'!B112,39)),IF(INDEX(properties!A$1:CB$87,'Fórmula'!D112,39)=0,10^6,INDEX(properties!A$1:CB$87,'Fórmula'!D112,39)),IF(INDEX(properties!A$1:CB$87,'Fórmula'!F112,39)=0,10^6,INDEX(properties!A$1:CB$87,'Fórmula'!F112,39)),IF(INDEX(properties!A$1:CB$87,'Fórmula'!H112,39)=0,10^6,INDEX(properties!A$1:CB$87,'Fórmula'!H112,39)),IF(INDEX(properties!A$1:CB$87,'Fórmula'!J112,39)=0,10^6,INDEX(properties!A$1:CB$87,'Fórmula'!J112,39)))</f>
        <v>0.48</v>
      </c>
      <c r="DW112" s="109">
        <f t="shared" si="21"/>
        <v>0.97</v>
      </c>
      <c r="DX112" s="110">
        <f t="array" ref="DX112">(('Fórmula'!C112)/('Fórmula'!C112+'Fórmula'!E112+'Fórmula'!G112+'Fórmula'!I112+'Fórmula'!K112))*(INDEX(properties!A$1:CB$87,'Fórmula'!B112,40))+(('Fórmula'!E112)/('Fórmula'!C112+'Fórmula'!E112+'Fórmula'!G112+'Fórmula'!I112+'Fórmula'!K112))*(INDEX(properties!A$1:CB$87,'Fórmula'!D112,40))+(('Fórmula'!G112)/('Fórmula'!C112+'Fórmula'!E112+'Fórmula'!G112+'Fórmula'!I112+'Fórmula'!K112))*(INDEX(properties!A$1:CB$87,'Fórmula'!F112,40))+(('Fórmula'!I112)/('Fórmula'!C112+'Fórmula'!E112+'Fórmula'!G112+'Fórmula'!I112+'Fórmula'!K112))*(INDEX(properties!A$1:CB$87,'Fórmula'!H112,40))+(('Fórmula'!K112)/('Fórmula'!C112+'Fórmula'!E112+'Fórmula'!G112+'Fórmula'!I112+'Fórmula'!K112))*(INDEX(properties!A$1:CB$87,'Fórmula'!J112,40))</f>
        <v>0.9628571429</v>
      </c>
      <c r="DY112" s="110">
        <f t="array" ref="DY112">'Fórmula'!C112*(INDEX(properties!A$1:CB$87,'Fórmula'!B112,40))+'Fórmula'!E112*(INDEX(properties!A$1:CB$87,'Fórmula'!D112,40))+'Fórmula'!G112*(INDEX(properties!A$1:CB$87,'Fórmula'!F112,40))+'Fórmula'!I112*(INDEX(properties!A$1:CB$87,'Fórmula'!H112,40))+'Fórmula'!K112*(INDEX(properties!A$1:CB$87,'Fórmula'!J112,40))</f>
        <v>6.74</v>
      </c>
      <c r="DZ112" s="110">
        <f t="array" ref="DZ112">VARP(IF(INDEX(properties!A$1:CB$87,'Fórmula'!B112,40)&lt;&gt;"",INDEX(properties!A$1:CB$87,'Fórmula'!B112,40)),IF(INDEX(properties!A$1:CB$87,'Fórmula'!D112,40)&lt;&gt;"",INDEX(properties!A$1:CB$87,'Fórmula'!D112,40)),IF(INDEX(properties!A$1:CB$87,'Fórmula'!F112,40)&lt;&gt;"",INDEX(properties!A$1:CB$87,'Fórmula'!F112,40)),IF(INDEX(properties!A$1:CB$87,'Fórmula'!H112,40)&lt;&gt;"",INDEX(properties!A$1:CB$87,'Fórmula'!H112,40)),IF(INDEX(properties!A$1:CB$87,'Fórmula'!J112,40)&lt;&gt;"",INDEX(properties!A$1:CB$87,'Fórmula'!J112,40)))</f>
        <v>0.329136</v>
      </c>
      <c r="EA112" s="121">
        <f t="array" ref="EA112">MAX(INDEX(properties!A$1:CB$87,'Fórmula'!B112,40),INDEX(properties!A$1:CB$87,'Fórmula'!D112,40),INDEX(properties!A$1:CB$87,'Fórmula'!F112,40),INDEX(properties!A$1:CB$87,'Fórmula'!H112,40),INDEX(properties!A$1:CB$87,'Fórmula'!J112,40))</f>
        <v>1.3</v>
      </c>
      <c r="EB112" s="121">
        <f t="array" ref="EB112">MIN(IF(INDEX(properties!A$1:CB$87,'Fórmula'!B112,40)=0,10^6,INDEX(properties!A$1:CB$87,'Fórmula'!B112,40)),IF(INDEX(properties!A$1:CB$87,'Fórmula'!D112,40)=0,10^6,INDEX(properties!A$1:CB$87,'Fórmula'!D112,40)),IF(INDEX(properties!A$1:CB$87,'Fórmula'!F112,40)=0,10^6,INDEX(properties!A$1:CB$87,'Fórmula'!F112,40)),IF(INDEX(properties!A$1:CB$87,'Fórmula'!H112,40)=0,10^6,INDEX(properties!A$1:CB$87,'Fórmula'!H112,40)),IF(INDEX(properties!A$1:CB$87,'Fórmula'!J112,40)=0,10^6,INDEX(properties!A$1:CB$87,'Fórmula'!J112,40)))</f>
        <v>0.73</v>
      </c>
      <c r="EC112" s="110">
        <f t="shared" si="22"/>
        <v>0.57</v>
      </c>
      <c r="ED112" s="111">
        <f t="array" ref="ED112">(('Fórmula'!C112)/('Fórmula'!C112+'Fórmula'!E112+'Fórmula'!G112+'Fórmula'!I112+'Fórmula'!K112))*(INDEX(properties!A$1:CB$87,'Fórmula'!B112,41))+(('Fórmula'!E112)/('Fórmula'!C112+'Fórmula'!E112+'Fórmula'!G112+'Fórmula'!I112+'Fórmula'!K112))*(INDEX(properties!A$1:CB$87,'Fórmula'!D112,41))+(('Fórmula'!G112)/('Fórmula'!C112+'Fórmula'!E112+'Fórmula'!G112+'Fórmula'!I112+'Fórmula'!K112))*(INDEX(properties!A$1:CB$87,'Fórmula'!F112,41))+(('Fórmula'!I112)/('Fórmula'!C112+'Fórmula'!E112+'Fórmula'!G112+'Fórmula'!I112+'Fórmula'!K112))*(INDEX(properties!A$1:CB$87,'Fórmula'!H112,41))+(('Fórmula'!K112)/('Fórmula'!C112+'Fórmula'!E112+'Fórmula'!G112+'Fórmula'!I112+'Fórmula'!K112))*(INDEX(properties!A$1:CB$87,'Fórmula'!J112,41))</f>
        <v>1.06</v>
      </c>
      <c r="EE112" s="111">
        <f t="array" ref="EE112">'Fórmula'!C112*(INDEX(properties!A$1:CB$87,'Fórmula'!B112,41))+'Fórmula'!E112*(INDEX(properties!A$1:CB$87,'Fórmula'!D112,41))+'Fórmula'!G112*(INDEX(properties!A$1:CB$87,'Fórmula'!F112,41))+'Fórmula'!I112*(INDEX(properties!A$1:CB$87,'Fórmula'!H112,41))+'Fórmula'!K112*(INDEX(properties!A$1:CB$87,'Fórmula'!J112,41))</f>
        <v>7.42</v>
      </c>
      <c r="EF112" s="111">
        <f t="array" ref="EF112">VARP(IF(INDEX(properties!A$1:CB$87,'Fórmula'!B112,41)&lt;&gt;"",INDEX(properties!A$1:CB$87,'Fórmula'!B112,41)),IF(INDEX(properties!A$1:CB$87,'Fórmula'!D112,41)&lt;&gt;"",INDEX(properties!A$1:CB$87,'Fórmula'!D112,41)),IF(INDEX(properties!A$1:CB$87,'Fórmula'!F112,41)&lt;&gt;"",INDEX(properties!A$1:CB$87,'Fórmula'!F112,41)),IF(INDEX(properties!A$1:CB$87,'Fórmula'!H112,41)&lt;&gt;"",INDEX(properties!A$1:CB$87,'Fórmula'!H112,41)),IF(INDEX(properties!A$1:CB$87,'Fórmula'!J112,41)&lt;&gt;"",INDEX(properties!A$1:CB$87,'Fórmula'!J112,41)))</f>
        <v>0.249184</v>
      </c>
      <c r="EG112" s="122">
        <f t="array" ref="EG112">MAX(INDEX(properties!A$1:CB$87,'Fórmula'!B112,41),INDEX(properties!A$1:CB$87,'Fórmula'!D112,41),INDEX(properties!A$1:CB$87,'Fórmula'!F112,41),INDEX(properties!A$1:CB$87,'Fórmula'!H112,41),INDEX(properties!A$1:CB$87,'Fórmula'!J112,41))</f>
        <v>1.26</v>
      </c>
      <c r="EH112" s="122">
        <f t="array" ref="EH112">MIN(IF(INDEX(properties!A$1:CB$87,'Fórmula'!B112,41)=0,10^6,INDEX(properties!A$1:CB$87,'Fórmula'!B112,41)),IF(INDEX(properties!A$1:CB$87,'Fórmula'!D112,41)=0,10^6,INDEX(properties!A$1:CB$87,'Fórmula'!D112,41)),IF(INDEX(properties!A$1:CB$87,'Fórmula'!F112,41)=0,10^6,INDEX(properties!A$1:CB$87,'Fórmula'!F112,41)),IF(INDEX(properties!A$1:CB$87,'Fórmula'!H112,41)=0,10^6,INDEX(properties!A$1:CB$87,'Fórmula'!H112,41)),IF(INDEX(properties!A$1:CB$87,'Fórmula'!J112,41)=0,10^6,INDEX(properties!A$1:CB$87,'Fórmula'!J112,41)))</f>
        <v>0.76</v>
      </c>
      <c r="EI112" s="111">
        <f t="shared" si="23"/>
        <v>0.5</v>
      </c>
      <c r="EJ112" s="112">
        <f t="array" ref="EJ112">(('Fórmula'!C112)/('Fórmula'!C112+'Fórmula'!E112+'Fórmula'!G112+'Fórmula'!I112+'Fórmula'!K112))*(INDEX(properties!A$1:CB$87,'Fórmula'!B112,45))+(('Fórmula'!E112)/('Fórmula'!C112+'Fórmula'!E112+'Fórmula'!G112+'Fórmula'!I112+'Fórmula'!K112))*(INDEX(properties!A$1:CB$87,'Fórmula'!D112,45))+(('Fórmula'!G112)/('Fórmula'!C112+'Fórmula'!E112+'Fórmula'!G112+'Fórmula'!I112+'Fórmula'!K112))*(INDEX(properties!A$1:CB$87,'Fórmula'!F112,45))+(('Fórmula'!I112)/('Fórmula'!C112+'Fórmula'!E112+'Fórmula'!G112+'Fórmula'!I112+'Fórmula'!K112))*(INDEX(properties!A$1:CB$87,'Fórmula'!H112,45))+(('Fórmula'!K112)/('Fórmula'!C112+'Fórmula'!E112+'Fórmula'!G112+'Fórmula'!I112+'Fórmula'!K112))*(INDEX(properties!A$1:CB$87,'Fórmula'!J112,45))</f>
        <v>1.044285714</v>
      </c>
      <c r="EK112" s="112">
        <f t="array" ref="EK112">'Fórmula'!C112*(INDEX(properties!A$1:CB$87,'Fórmula'!B112,45))+'Fórmula'!E112*(INDEX(properties!A$1:CB$87,'Fórmula'!D112,45))+'Fórmula'!G112*(INDEX(properties!A$1:CB$87,'Fórmula'!F112,45))+'Fórmula'!I112*(INDEX(properties!A$1:CB$87,'Fórmula'!H112,45))+'Fórmula'!K112*(INDEX(properties!A$1:CB$87,'Fórmula'!J112,45))</f>
        <v>7.31</v>
      </c>
      <c r="EL112" s="112">
        <f t="array" ref="EL112">VARP(IF(INDEX(properties!A$1:CB$87,'Fórmula'!B112,45)&lt;&gt;"",INDEX(properties!A$1:CB$87,'Fórmula'!B112,45)),IF(INDEX(properties!A$1:CB$87,'Fórmula'!D112,45)&lt;&gt;"",INDEX(properties!A$1:CB$87,'Fórmula'!D112,45)),IF(INDEX(properties!A$1:CB$87,'Fórmula'!F112,45)&lt;&gt;"",INDEX(properties!A$1:CB$87,'Fórmula'!F112,45)),IF(INDEX(properties!A$1:CB$87,'Fórmula'!H112,45)&lt;&gt;"",INDEX(properties!A$1:CB$87,'Fórmula'!H112,45)),IF(INDEX(properties!A$1:CB$87,'Fórmula'!J112,45)&lt;&gt;"",INDEX(properties!A$1:CB$87,'Fórmula'!J112,45)))</f>
        <v>0.74076</v>
      </c>
      <c r="EM112" s="123">
        <f t="array" ref="EM112">MAX(INDEX(properties!A$1:CB$87,'Fórmula'!B112,45),INDEX(properties!A$1:CB$87,'Fórmula'!D112,45),INDEX(properties!A$1:CB$87,'Fórmula'!F112,45),INDEX(properties!A$1:CB$87,'Fórmula'!H112,45),INDEX(properties!A$1:CB$87,'Fórmula'!J112,45))</f>
        <v>2.03</v>
      </c>
      <c r="EN112" s="123">
        <f t="array" ref="EN112">MIN(IF(INDEX(properties!A$1:CB$87,'Fórmula'!B112,45)=0,10^6,INDEX(properties!A$1:CB$87,'Fórmula'!B112,45)),IF(INDEX(properties!A$1:CB$87,'Fórmula'!D112,45)=0,10^6,INDEX(properties!A$1:CB$87,'Fórmula'!D112,45)),IF(INDEX(properties!A$1:CB$87,'Fórmula'!F112,45)=0,10^6,INDEX(properties!A$1:CB$87,'Fórmula'!F112,45)),IF(INDEX(properties!A$1:CB$87,'Fórmula'!H112,45)=0,10^6,INDEX(properties!A$1:CB$87,'Fórmula'!H112,45)),IF(INDEX(properties!A$1:CB$87,'Fórmula'!J112,45)=0,10^6,INDEX(properties!A$1:CB$87,'Fórmula'!J112,45)))</f>
        <v>0.47</v>
      </c>
      <c r="EO112" s="112">
        <f t="shared" si="24"/>
        <v>1.56</v>
      </c>
      <c r="EP112" s="113">
        <f t="array" ref="EP112">(('Fórmula'!C112)/('Fórmula'!C112+'Fórmula'!E112+'Fórmula'!G112+'Fórmula'!I112+'Fórmula'!K112))*(INDEX(properties!A$1:CB$87,'Fórmula'!B112,46))+(('Fórmula'!E112)/('Fórmula'!C112+'Fórmula'!E112+'Fórmula'!G112+'Fórmula'!I112+'Fórmula'!K112))*(INDEX(properties!A$1:CB$87,'Fórmula'!D112,46))+(('Fórmula'!G112)/('Fórmula'!C112+'Fórmula'!E112+'Fórmula'!G112+'Fórmula'!I112+'Fórmula'!K112))*(INDEX(properties!A$1:CB$87,'Fórmula'!F112,46))+(('Fórmula'!I112)/('Fórmula'!C112+'Fórmula'!E112+'Fórmula'!G112+'Fórmula'!I112+'Fórmula'!K112))*(INDEX(properties!A$1:CB$87,'Fórmula'!H112,46))+(('Fórmula'!K112)/('Fórmula'!C112+'Fórmula'!E112+'Fórmula'!G112+'Fórmula'!I112+'Fórmula'!K112))*(INDEX(properties!A$1:CB$87,'Fórmula'!J112,46))</f>
        <v>1.031428571</v>
      </c>
      <c r="EQ112" s="113">
        <f t="array" ref="EQ112">'Fórmula'!C112*(INDEX(properties!A$1:CB$87,'Fórmula'!B112,46))+'Fórmula'!E112*(INDEX(properties!A$1:CB$87,'Fórmula'!D112,46))+'Fórmula'!G112*(INDEX(properties!A$1:CB$87,'Fórmula'!F112,46))+'Fórmula'!I112*(INDEX(properties!A$1:CB$87,'Fórmula'!H112,46))+'Fórmula'!K112*(INDEX(properties!A$1:CB$87,'Fórmula'!J112,46))</f>
        <v>7.22</v>
      </c>
      <c r="ER112" s="113">
        <f t="array" ref="ER112">VARP(IF(INDEX(properties!A$1:CB$87,'Fórmula'!B112,46)&lt;&gt;"",INDEX(properties!A$1:CB$87,'Fórmula'!B112,46)),IF(INDEX(properties!A$1:CB$87,'Fórmula'!D112,46)&lt;&gt;"",INDEX(properties!A$1:CB$87,'Fórmula'!D112,46)),IF(INDEX(properties!A$1:CB$87,'Fórmula'!F112,46)&lt;&gt;"",INDEX(properties!A$1:CB$87,'Fórmula'!F112,46)),IF(INDEX(properties!A$1:CB$87,'Fórmula'!H112,46)&lt;&gt;"",INDEX(properties!A$1:CB$87,'Fórmula'!H112,46)),IF(INDEX(properties!A$1:CB$87,'Fórmula'!J112,46)&lt;&gt;"",INDEX(properties!A$1:CB$87,'Fórmula'!J112,46)))</f>
        <v>0.235904</v>
      </c>
      <c r="ES112" s="124">
        <f t="array" ref="ES112">MAX(INDEX(properties!A$1:CB$87,'Fórmula'!B112,46),INDEX(properties!A$1:CB$87,'Fórmula'!D112,46),INDEX(properties!A$1:CB$87,'Fórmula'!F112,46),INDEX(properties!A$1:CB$87,'Fórmula'!H112,46),INDEX(properties!A$1:CB$87,'Fórmula'!J112,46))</f>
        <v>1.21</v>
      </c>
      <c r="ET112" s="124">
        <f t="array" ref="ET112">MIN(IF(INDEX(properties!A$1:CB$87,'Fórmula'!B112,46)=0,10^6,INDEX(properties!A$1:CB$87,'Fórmula'!B112,46)),IF(INDEX(properties!A$1:CB$87,'Fórmula'!D112,46)=0,10^6,INDEX(properties!A$1:CB$87,'Fórmula'!D112,46)),IF(INDEX(properties!A$1:CB$87,'Fórmula'!F112,46)=0,10^6,INDEX(properties!A$1:CB$87,'Fórmula'!F112,46)),IF(INDEX(properties!A$1:CB$87,'Fórmula'!H112,46)=0,10^6,INDEX(properties!A$1:CB$87,'Fórmula'!H112,46)),IF(INDEX(properties!A$1:CB$87,'Fórmula'!J112,46)=0,10^6,INDEX(properties!A$1:CB$87,'Fórmula'!J112,46)))</f>
        <v>0.76</v>
      </c>
      <c r="EU112" s="113">
        <f t="shared" si="25"/>
        <v>0.45</v>
      </c>
      <c r="EV112" s="114">
        <f t="array" ref="EV112">(('Fórmula'!C112)/('Fórmula'!C112+'Fórmula'!E112+'Fórmula'!G112+'Fórmula'!I112+'Fórmula'!K112))*(INDEX(properties!A$1:CB$87,'Fórmula'!B112,52))+(('Fórmula'!E112)/('Fórmula'!C112+'Fórmula'!E112+'Fórmula'!G112+'Fórmula'!I112+'Fórmula'!K112))*(INDEX(properties!A$1:CB$87,'Fórmula'!D112,52))+(('Fórmula'!G112)/('Fórmula'!C112+'Fórmula'!E112+'Fórmula'!G112+'Fórmula'!I112+'Fórmula'!K112))*(INDEX(properties!A$1:CB$87,'Fórmula'!F112,52))+(('Fórmula'!I112)/('Fórmula'!C112+'Fórmula'!E112+'Fórmula'!G112+'Fórmula'!I112+'Fórmula'!K112))*(INDEX(properties!A$1:CB$87,'Fórmula'!H112,52))+(('Fórmula'!K112)/('Fórmula'!C112+'Fórmula'!E112+'Fórmula'!G112+'Fórmula'!I112+'Fórmula'!K112))*(INDEX(properties!A$1:CB$87,'Fórmula'!J112,52))</f>
        <v>4.281714286</v>
      </c>
      <c r="EW112" s="114">
        <f t="array" ref="EW112">'Fórmula'!C112*(INDEX(properties!A$1:CB$87,'Fórmula'!B112,52))+'Fórmula'!E112*(INDEX(properties!A$1:CB$87,'Fórmula'!D112,52))+'Fórmula'!G112*(INDEX(properties!A$1:CB$87,'Fórmula'!F112,52))+'Fórmula'!I112*(INDEX(properties!A$1:CB$87,'Fórmula'!H112,52))+'Fórmula'!K112*(INDEX(properties!A$1:CB$87,'Fórmula'!J112,52))</f>
        <v>29.972</v>
      </c>
      <c r="EX112" s="114">
        <f t="array" ref="EX112">VARP(IF(INDEX(properties!A$1:CB$87,'Fórmula'!B112,52)&lt;&gt;"",INDEX(properties!A$1:CB$87,'Fórmula'!B112,52)),IF(INDEX(properties!A$1:CB$87,'Fórmula'!D112,52)&lt;&gt;"",INDEX(properties!A$1:CB$87,'Fórmula'!D112,52)),IF(INDEX(properties!A$1:CB$87,'Fórmula'!F112,52)&lt;&gt;"",INDEX(properties!A$1:CB$87,'Fórmula'!F112,52)),IF(INDEX(properties!A$1:CB$87,'Fórmula'!H112,52)&lt;&gt;"",INDEX(properties!A$1:CB$87,'Fórmula'!H112,52)),IF(INDEX(properties!A$1:CB$87,'Fórmula'!J112,52)&lt;&gt;"",INDEX(properties!A$1:CB$87,'Fórmula'!J112,52)))</f>
        <v>20.52068784</v>
      </c>
      <c r="EY112" s="114">
        <f t="array" ref="EY112">MAX(INDEX(properties!A$1:CB$87,'Fórmula'!B112,52),INDEX(properties!A$1:CB$87,'Fórmula'!D112,52),INDEX(properties!A$1:CB$87,'Fórmula'!F112,52),INDEX(properties!A$1:CB$87,'Fórmula'!H112,52),INDEX(properties!A$1:CB$87,'Fórmula'!J112,52))</f>
        <v>10.6</v>
      </c>
      <c r="EZ112" s="114">
        <f t="array" ref="EZ112">MIN(IF(INDEX(properties!A$1:CB$87,'Fórmula'!B112,52)=0,10^6,INDEX(properties!A$1:CB$87,'Fórmula'!B112,52)),IF(INDEX(properties!A$1:CB$87,'Fórmula'!D112,52)=0,10^6,INDEX(properties!A$1:CB$87,'Fórmula'!D112,52)),IF(INDEX(properties!A$1:CB$87,'Fórmula'!F112,52)=0,10^6,INDEX(properties!A$1:CB$87,'Fórmula'!F112,52)),IF(INDEX(properties!A$1:CB$87,'Fórmula'!H112,52)=0,10^6,INDEX(properties!A$1:CB$87,'Fórmula'!H112,52)),IF(INDEX(properties!A$1:CB$87,'Fórmula'!J112,52)=0,10^6,INDEX(properties!A$1:CB$87,'Fórmula'!J112,52)))</f>
        <v>0.793</v>
      </c>
      <c r="FA112" s="114">
        <f t="shared" si="26"/>
        <v>9.807</v>
      </c>
      <c r="FB112" s="115">
        <f t="array" ref="FB112">(('Fórmula'!C112)/('Fórmula'!C112+'Fórmula'!E112+'Fórmula'!G112+'Fórmula'!I112+'Fórmula'!K112))*(INDEX(properties!A$1:CB$87,'Fórmula'!B112,53))+(('Fórmula'!E112)/('Fórmula'!C112+'Fórmula'!E112+'Fórmula'!G112+'Fórmula'!I112+'Fórmula'!K112))*(INDEX(properties!A$1:CB$87,'Fórmula'!D112,53))+(('Fórmula'!G112)/('Fórmula'!C112+'Fórmula'!E112+'Fórmula'!G112+'Fórmula'!I112+'Fórmula'!K112))*(INDEX(properties!A$1:CB$87,'Fórmula'!F112,53))+(('Fórmula'!I112)/('Fórmula'!C112+'Fórmula'!E112+'Fórmula'!G112+'Fórmula'!I112+'Fórmula'!K112))*(INDEX(properties!A$1:CB$87,'Fórmula'!H112,53))+(('Fórmula'!K112)/('Fórmula'!C112+'Fórmula'!E112+'Fórmula'!G112+'Fórmula'!I112+'Fórmula'!K112))*(INDEX(properties!A$1:CB$87,'Fórmula'!J112,53))</f>
        <v>249.5785714</v>
      </c>
      <c r="FC112" s="115">
        <f t="array" ref="FC112">'Fórmula'!C112*(INDEX(properties!A$1:CB$87,'Fórmula'!B112,53))+'Fórmula'!E112*(INDEX(properties!A$1:CB$87,'Fórmula'!D112,53))+'Fórmula'!G112*(INDEX(properties!A$1:CB$87,'Fórmula'!F112,53))+'Fórmula'!I112*(INDEX(properties!A$1:CB$87,'Fórmula'!H112,53))+'Fórmula'!K112*(INDEX(properties!A$1:CB$87,'Fórmula'!J112,53))</f>
        <v>1747.05</v>
      </c>
      <c r="FD112" s="115">
        <f t="array" ref="FD112">VARP(IF(INDEX(properties!A$1:CB$87,'Fórmula'!B112,53)&lt;&gt;"",INDEX(properties!A$1:CB$87,'Fórmula'!B112,53)),IF(INDEX(properties!A$1:CB$87,'Fórmula'!D112,53)&lt;&gt;"",INDEX(properties!A$1:CB$87,'Fórmula'!D112,53)),IF(INDEX(properties!A$1:CB$87,'Fórmula'!F112,53)&lt;&gt;"",INDEX(properties!A$1:CB$87,'Fórmula'!F112,53)),IF(INDEX(properties!A$1:CB$87,'Fórmula'!H112,53)&lt;&gt;"",INDEX(properties!A$1:CB$87,'Fórmula'!H112,53)),IF(INDEX(properties!A$1:CB$87,'Fórmula'!J112,53)&lt;&gt;"",INDEX(properties!A$1:CB$87,'Fórmula'!J112,53)))</f>
        <v>123506.7366</v>
      </c>
      <c r="FE112" s="115">
        <f t="array" ref="FE112">MAX(INDEX(properties!A$1:CB$87,'Fórmula'!B112,53),INDEX(properties!A$1:CB$87,'Fórmula'!D112,53),INDEX(properties!A$1:CB$87,'Fórmula'!F112,53),INDEX(properties!A$1:CB$87,'Fórmula'!H112,53),INDEX(properties!A$1:CB$87,'Fórmula'!J112,53))</f>
        <v>922.15</v>
      </c>
      <c r="FF112" s="115">
        <f t="array" ref="FF112">MIN(IF(INDEX(properties!A$1:CB$87,'Fórmula'!B112,53)=0,10^6,INDEX(properties!A$1:CB$87,'Fórmula'!B112,53)),IF(INDEX(properties!A$1:CB$87,'Fórmula'!D112,53)=0,10^6,INDEX(properties!A$1:CB$87,'Fórmula'!D112,53)),IF(INDEX(properties!A$1:CB$87,'Fórmula'!F112,53)=0,10^6,INDEX(properties!A$1:CB$87,'Fórmula'!F112,53)),IF(INDEX(properties!A$1:CB$87,'Fórmula'!H112,53)=0,10^6,INDEX(properties!A$1:CB$87,'Fórmula'!H112,53)),IF(INDEX(properties!A$1:CB$87,'Fórmula'!J112,53)=0,10^6,INDEX(properties!A$1:CB$87,'Fórmula'!J112,53)))</f>
        <v>54.75</v>
      </c>
      <c r="FG112" s="115">
        <f t="shared" si="27"/>
        <v>867.4</v>
      </c>
      <c r="FH112" s="117">
        <f t="array" ref="FH112">(('Fórmula'!C112)/('Fórmula'!C112+'Fórmula'!E112+'Fórmula'!G112+'Fórmula'!I112+'Fórmula'!K112))*(INDEX(properties!A$1:CB$87,'Fórmula'!B112,54))+(('Fórmula'!E112)/('Fórmula'!C112+'Fórmula'!E112+'Fórmula'!G112+'Fórmula'!I112+'Fórmula'!K112))*(INDEX(properties!A$1:CB$87,'Fórmula'!D112,54))+(('Fórmula'!G112)/('Fórmula'!C112+'Fórmula'!E112+'Fórmula'!G112+'Fórmula'!I112+'Fórmula'!K112))*(INDEX(properties!A$1:CB$87,'Fórmula'!F112,54))+(('Fórmula'!I112)/('Fórmula'!C112+'Fórmula'!E112+'Fórmula'!G112+'Fórmula'!I112+'Fórmula'!K112))*(INDEX(properties!A$1:CB$87,'Fórmula'!H112,54))+(('Fórmula'!K112)/('Fórmula'!C112+'Fórmula'!E112+'Fórmula'!G112+'Fórmula'!I112+'Fórmula'!K112))*(INDEX(properties!A$1:CB$87,'Fórmula'!J112,54))</f>
        <v>1010.864286</v>
      </c>
      <c r="FI112" s="117">
        <f t="array" ref="FI112">'Fórmula'!C112*(INDEX(properties!A$1:CB$87,'Fórmula'!B112,54))+'Fórmula'!E112*(INDEX(properties!A$1:CB$87,'Fórmula'!D112,54))+'Fórmula'!G112*(INDEX(properties!A$1:CB$87,'Fórmula'!F112,54))+'Fórmula'!I112*(INDEX(properties!A$1:CB$87,'Fórmula'!H112,54))+'Fórmula'!K112*(INDEX(properties!A$1:CB$87,'Fórmula'!J112,54))</f>
        <v>7076.05</v>
      </c>
      <c r="FJ112" s="117">
        <f t="array" ref="FJ112">VARP(IF(INDEX(properties!A$1:CB$87,'Fórmula'!B112,54)&lt;&gt;"",INDEX(properties!A$1:CB$87,'Fórmula'!B112,54)),IF(INDEX(properties!A$1:CB$87,'Fórmula'!D112,54)&lt;&gt;"",INDEX(properties!A$1:CB$87,'Fórmula'!D112,54)),IF(INDEX(properties!A$1:CB$87,'Fórmula'!F112,54)&lt;&gt;"",INDEX(properties!A$1:CB$87,'Fórmula'!F112,54)),IF(INDEX(properties!A$1:CB$87,'Fórmula'!H112,54)&lt;&gt;"",INDEX(properties!A$1:CB$87,'Fórmula'!H112,54)),IF(INDEX(properties!A$1:CB$87,'Fórmula'!J112,54)&lt;&gt;"",INDEX(properties!A$1:CB$87,'Fórmula'!J112,54)))</f>
        <v>1123522.461</v>
      </c>
      <c r="FK112" s="117">
        <f t="array" ref="FK112">MAX(INDEX(properties!A$1:CB$87,'Fórmula'!B112,54),INDEX(properties!A$1:CB$87,'Fórmula'!D112,54),INDEX(properties!A$1:CB$87,'Fórmula'!F112,54),INDEX(properties!A$1:CB$87,'Fórmula'!H112,54),INDEX(properties!A$1:CB$87,'Fórmula'!J112,54))</f>
        <v>2676.15</v>
      </c>
      <c r="FL112" s="117">
        <f t="array" ref="FL112">MIN(IF(INDEX(properties!A$1:CB$87,'Fórmula'!B112,54)=0,10^6,INDEX(properties!A$1:CB$87,'Fórmula'!B112,54)),IF(INDEX(properties!A$1:CB$87,'Fórmula'!D112,54)=0,10^6,INDEX(properties!A$1:CB$87,'Fórmula'!D112,54)),IF(INDEX(properties!A$1:CB$87,'Fórmula'!F112,54)=0,10^6,INDEX(properties!A$1:CB$87,'Fórmula'!F112,54)),IF(INDEX(properties!A$1:CB$87,'Fórmula'!H112,54)=0,10^6,INDEX(properties!A$1:CB$87,'Fórmula'!H112,54)),IF(INDEX(properties!A$1:CB$87,'Fórmula'!J112,54)=0,10^6,INDEX(properties!A$1:CB$87,'Fórmula'!J112,54)))</f>
        <v>90.15</v>
      </c>
      <c r="FM112" s="117">
        <f t="shared" si="28"/>
        <v>2586</v>
      </c>
      <c r="FN112" s="118">
        <f t="array" ref="FN112">(('Fórmula'!C112)/('Fórmula'!C112+'Fórmula'!E112+'Fórmula'!G112+'Fórmula'!I112+'Fórmula'!K112))*(INDEX(properties!A$1:CB$87,'Fórmula'!B112,55))+(('Fórmula'!E112)/('Fórmula'!C112+'Fórmula'!E112+'Fórmula'!G112+'Fórmula'!I112+'Fórmula'!K112))*(INDEX(properties!A$1:CB$87,'Fórmula'!D112,55))+(('Fórmula'!G112)/('Fórmula'!C112+'Fórmula'!E112+'Fórmula'!G112+'Fórmula'!I112+'Fórmula'!K112))*(INDEX(properties!A$1:CB$87,'Fórmula'!F112,55))+(('Fórmula'!I112)/('Fórmula'!C112+'Fórmula'!E112+'Fórmula'!G112+'Fórmula'!I112+'Fórmula'!K112))*(INDEX(properties!A$1:CB$87,'Fórmula'!H112,55))+(('Fórmula'!K112)/('Fórmula'!C112+'Fórmula'!E112+'Fórmula'!G112+'Fórmula'!I112+'Fórmula'!K112))*(INDEX(properties!A$1:CB$87,'Fórmula'!J112,55))</f>
        <v>1.935102857</v>
      </c>
      <c r="FO112" s="118">
        <f t="array" ref="FO112">'Fórmula'!C112*(INDEX(properties!A$1:CB$87,'Fórmula'!B112,55))+'Fórmula'!E112*(INDEX(properties!A$1:CB$87,'Fórmula'!D112,54))+'Fórmula'!G112*(INDEX(properties!A$1:CB$87,'Fórmula'!F112,55))+'Fórmula'!I112*(INDEX(properties!A$1:CB$87,'Fórmula'!H112,55))+'Fórmula'!K112*(INDEX(properties!A$1:CB$87,'Fórmula'!J112,55))</f>
        <v>5354.04572</v>
      </c>
      <c r="FP112" s="118">
        <f t="array" ref="FP112">VARP(IF(INDEX(properties!A$1:CB$87,'Fórmula'!B112,55)&lt;&gt;"",INDEX(properties!A$1:CB$87,'Fórmula'!B112,55)),IF(INDEX(properties!A$1:CB$87,'Fórmula'!D112,55)&lt;&gt;"",INDEX(properties!A$1:CB$87,'Fórmula'!D112,55)),IF(INDEX(properties!A$1:CB$87,'Fórmula'!F112,55)&lt;&gt;"",INDEX(properties!A$1:CB$87,'Fórmula'!F112,55)),IF(INDEX(properties!A$1:CB$87,'Fórmula'!H112,55)&lt;&gt;"",INDEX(properties!A$1:CB$87,'Fórmula'!H112,55)),IF(INDEX(properties!A$1:CB$87,'Fórmula'!J112,55)&lt;&gt;"",INDEX(properties!A$1:CB$87,'Fórmula'!J112,55)))</f>
        <v>5.231862311</v>
      </c>
      <c r="FQ112" s="118">
        <f t="array" ref="FQ112">MAX(INDEX(properties!A$1:CB$87,'Fórmula'!B112,55),INDEX(properties!A$1:CB$87,'Fórmula'!D112,55),INDEX(properties!A$1:CB$87,'Fórmula'!F112,55),INDEX(properties!A$1:CB$87,'Fórmula'!H112,55),INDEX(properties!A$1:CB$87,'Fórmula'!J112,55))</f>
        <v>5.9</v>
      </c>
      <c r="FR112" s="118">
        <f t="array" ref="FR112">MIN(IF(INDEX(properties!A$1:CB$87,'Fórmula'!B112,55)=0,10^6,INDEX(properties!A$1:CB$87,'Fórmula'!B112,55)),IF(INDEX(properties!A$1:CB$87,'Fórmula'!D112,55)=0,10^6,INDEX(properties!A$1:CB$87,'Fórmula'!D112,55)),IF(INDEX(properties!A$1:CB$87,'Fórmula'!F112,55)=0,10^6,INDEX(properties!A$1:CB$87,'Fórmula'!F112,55)),IF(INDEX(properties!A$1:CB$87,'Fórmula'!H112,55)=0,10^6,INDEX(properties!A$1:CB$87,'Fórmula'!H112,55)),IF(INDEX(properties!A$1:CB$87,'Fórmula'!J112,55)=0,10^6,INDEX(properties!A$1:CB$87,'Fórmula'!J112,55)))</f>
        <v>0.00143</v>
      </c>
      <c r="FS112" s="118">
        <f t="shared" si="29"/>
        <v>5.89857</v>
      </c>
      <c r="FT112" s="119">
        <f t="array" ref="FT112">(('Fórmula'!C112)/('Fórmula'!C112+'Fórmula'!E112+'Fórmula'!G112+'Fórmula'!I112+'Fórmula'!K112))*(INDEX(properties!A$1:CB$87,'Fórmula'!B112,56))+(('Fórmula'!E112)/('Fórmula'!C112+'Fórmula'!E112+'Fórmula'!G112+'Fórmula'!I112+'Fórmula'!K112))*(INDEX(properties!A$1:CB$87,'Fórmula'!D112,56))+(('Fórmula'!G112)/('Fórmula'!C112+'Fórmula'!E112+'Fórmula'!G112+'Fórmula'!I112+'Fórmula'!K112))*(INDEX(properties!A$1:CB$87,'Fórmula'!F112,56))+(('Fórmula'!I112)/('Fórmula'!C112+'Fórmula'!E112+'Fórmula'!G112+'Fórmula'!I112+'Fórmula'!K112))*(INDEX(properties!A$1:CB$87,'Fórmula'!H112,56))+(('Fórmula'!K112)/('Fórmula'!C112+'Fórmula'!E112+'Fórmula'!G112+'Fórmula'!I112+'Fórmula'!K112))*(INDEX(properties!A$1:CB$87,'Fórmula'!J112,56))</f>
        <v>0.7771428571</v>
      </c>
      <c r="FU112" s="119">
        <f t="array" ref="FU112">'Fórmula'!C112*(INDEX(properties!A$1:CB$87,'Fórmula'!B112,56))+'Fórmula'!E112*(INDEX(properties!A$1:CB$87,'Fórmula'!D112,56))+'Fórmula'!G112*(INDEX(properties!A$1:CB$87,'Fórmula'!F112,56))+'Fórmula'!I112*(INDEX(properties!A$1:CB$87,'Fórmula'!H112,56))+'Fórmula'!K112*(INDEX(properties!A$1:CB$87,'Fórmula'!J112,56))</f>
        <v>5.44</v>
      </c>
      <c r="FV112" s="119">
        <f t="array" ref="FV112">VARP(IF(INDEX(properties!A$1:CB$87,'Fórmula'!B112,56)&lt;&gt;"",INDEX(properties!A$1:CB$87,'Fórmula'!B112,56)),IF(INDEX(properties!A$1:CB$87,'Fórmula'!D112,56)&lt;&gt;"",INDEX(properties!A$1:CB$87,'Fórmula'!D112,56)),IF(INDEX(properties!A$1:CB$87,'Fórmula'!F112,56)&lt;&gt;"",INDEX(properties!A$1:CB$87,'Fórmula'!F112,56)),IF(INDEX(properties!A$1:CB$87,'Fórmula'!H112,56)&lt;&gt;"",INDEX(properties!A$1:CB$87,'Fórmula'!H112,56)),IF(INDEX(properties!A$1:CB$87,'Fórmula'!J112,56)&lt;&gt;"",INDEX(properties!A$1:CB$87,'Fórmula'!J112,56)))</f>
        <v>0.191296</v>
      </c>
      <c r="FW112" s="119">
        <f t="array" ref="FW112">MAX(INDEX(properties!A$1:CB$87,'Fórmula'!B112,56),INDEX(properties!A$1:CB$87,'Fórmula'!D112,56),INDEX(properties!A$1:CB$87,'Fórmula'!F112,56),INDEX(properties!A$1:CB$87,'Fórmula'!H112,56),INDEX(properties!A$1:CB$87,'Fórmula'!J112,56))</f>
        <v>1.02</v>
      </c>
      <c r="FX112" s="119">
        <f t="array" ref="FX112">MIN(IF(INDEX(properties!A$1:CB$87,'Fórmula'!B112,56)=0,10^6,INDEX(properties!A$1:CB$87,'Fórmula'!B112,56)),IF(INDEX(properties!A$1:CB$87,'Fórmula'!D112,56)=0,10^6,INDEX(properties!A$1:CB$87,'Fórmula'!D112,56)),IF(INDEX(properties!A$1:CB$87,'Fórmula'!F112,56)=0,10^6,INDEX(properties!A$1:CB$87,'Fórmula'!F112,56)),IF(INDEX(properties!A$1:CB$87,'Fórmula'!H112,56)=0,10^6,INDEX(properties!A$1:CB$87,'Fórmula'!H112,56)),IF(INDEX(properties!A$1:CB$87,'Fórmula'!J112,56)=0,10^6,INDEX(properties!A$1:CB$87,'Fórmula'!J112,56)))</f>
        <v>0.37</v>
      </c>
      <c r="FY112" s="119">
        <f t="shared" si="30"/>
        <v>0.65</v>
      </c>
      <c r="FZ112" s="104">
        <f t="array" ref="FZ112">(('Fórmula'!C112)/('Fórmula'!C112+'Fórmula'!E112+'Fórmula'!G112+'Fórmula'!I112+'Fórmula'!K112))*(INDEX(properties!A$1:CB$87,'Fórmula'!B112,57))+(('Fórmula'!E112)/('Fórmula'!C112+'Fórmula'!E112+'Fórmula'!G112+'Fórmula'!I112+'Fórmula'!K112))*(INDEX(properties!A$1:CB$87,'Fórmula'!D112,57))+(('Fórmula'!G112)/('Fórmula'!C112+'Fórmula'!E112+'Fórmula'!G112+'Fórmula'!I112+'Fórmula'!K112))*(INDEX(properties!A$1:CB$87,'Fórmula'!F112,57))+(('Fórmula'!I112)/('Fórmula'!C112+'Fórmula'!E112+'Fórmula'!G112+'Fórmula'!I112+'Fórmula'!K112))*(INDEX(properties!A$1:CB$87,'Fórmula'!H112,57))+(('Fórmula'!K112)/('Fórmula'!C112+'Fórmula'!E112+'Fórmula'!G112+'Fórmula'!I112+'Fórmula'!K112))*(INDEX(properties!A$1:CB$87,'Fórmula'!J112,57))</f>
        <v>3.00348</v>
      </c>
      <c r="GA112" s="104">
        <f t="array" ref="GA112">'Fórmula'!C112*(INDEX(properties!A$1:CB$87,'Fórmula'!B112,57))+'Fórmula'!E112*(INDEX(properties!A$1:CB$87,'Fórmula'!D112,57))+'Fórmula'!G112*(INDEX(properties!A$1:CB$87,'Fórmula'!F112,57))+'Fórmula'!I112*(INDEX(properties!A$1:CB$87,'Fórmula'!H112,57))+'Fórmula'!K112*(INDEX(properties!A$1:CB$87,'Fórmula'!J112,57))</f>
        <v>21.02436</v>
      </c>
      <c r="GB112" s="104">
        <f t="array" ref="GB112">VARP(IF(INDEX(properties!A$1:CB$87,'Fórmula'!B112,57)&lt;&gt;"",INDEX(properties!A$1:CB$87,'Fórmula'!B112,57)),IF(INDEX(properties!A$1:CB$87,'Fórmula'!D112,57)&lt;&gt;"",INDEX(properties!A$1:CB$87,'Fórmula'!D112,57)),IF(INDEX(properties!A$1:CB$87,'Fórmula'!F112,57)&lt;&gt;"",INDEX(properties!A$1:CB$87,'Fórmula'!F112,57)),IF(INDEX(properties!A$1:CB$87,'Fórmula'!H112,57)&lt;&gt;"",INDEX(properties!A$1:CB$87,'Fórmula'!H112,57)),IF(INDEX(properties!A$1:CB$87,'Fórmula'!J112,57)&lt;&gt;"",INDEX(properties!A$1:CB$87,'Fórmula'!J112,57)))</f>
        <v>13.57226525</v>
      </c>
      <c r="GC112" s="104">
        <f t="array" ref="GC112">MAX(INDEX(properties!A$1:CB$87,'Fórmula'!B112,57),INDEX(properties!A$1:CB$87,'Fórmula'!D112,57),INDEX(properties!A$1:CB$87,'Fórmula'!F112,57),INDEX(properties!A$1:CB$87,'Fórmula'!H112,57),INDEX(properties!A$1:CB$87,'Fórmula'!J112,57))</f>
        <v>8.954</v>
      </c>
      <c r="GD112" s="104">
        <f t="array" ref="GD112">MIN(IF(INDEX(properties!A$1:CB$87,'Fórmula'!B112,57)=0,10^6,INDEX(properties!A$1:CB$87,'Fórmula'!B112,57)),IF(INDEX(properties!A$1:CB$87,'Fórmula'!D112,57)=0,10^6,INDEX(properties!A$1:CB$87,'Fórmula'!D112,57)),IF(INDEX(properties!A$1:CB$87,'Fórmula'!F112,57)=0,10^6,INDEX(properties!A$1:CB$87,'Fórmula'!F112,57)),IF(INDEX(properties!A$1:CB$87,'Fórmula'!H112,57)=0,10^6,INDEX(properties!A$1:CB$87,'Fórmula'!H112,57)),IF(INDEX(properties!A$1:CB$87,'Fórmula'!J112,57)=0,10^6,INDEX(properties!A$1:CB$87,'Fórmula'!J112,57)))</f>
        <v>0.22259</v>
      </c>
      <c r="GE112" s="104">
        <f t="shared" si="31"/>
        <v>8.73141</v>
      </c>
      <c r="GF112" s="105">
        <f t="array" ref="GF112">(('Fórmula'!C112)/('Fórmula'!C112+'Fórmula'!E112+'Fórmula'!G112+'Fórmula'!I112+'Fórmula'!K112))*(INDEX(properties!A$1:CB$87,'Fórmula'!B112,60))+(('Fórmula'!E112)/('Fórmula'!C112+'Fórmula'!E112+'Fórmula'!G112+'Fórmula'!I112+'Fórmula'!K112))*(INDEX(properties!A$1:CB$87,'Fórmula'!D112,60))+(('Fórmula'!G112)/('Fórmula'!C112+'Fórmula'!E112+'Fórmula'!G112+'Fórmula'!I112+'Fórmula'!K112))*(INDEX(properties!A$1:CB$87,'Fórmula'!F112,60))+(('Fórmula'!I112)/('Fórmula'!C112+'Fórmula'!E112+'Fórmula'!G112+'Fórmula'!I112+'Fórmula'!K112))*(INDEX(properties!A$1:CB$87,'Fórmula'!H112,60))+(('Fórmula'!K112)/('Fórmula'!C112+'Fórmula'!E112+'Fórmula'!G112+'Fórmula'!I112+'Fórmula'!K112))*(INDEX(properties!A$1:CB$87,'Fórmula'!J112,60))</f>
        <v>33.90099429</v>
      </c>
      <c r="GG112" s="105">
        <f t="array" ref="GG112">'Fórmula'!C112*(INDEX(properties!A$1:CB$87,'Fórmula'!B112,60))+'Fórmula'!E112*(INDEX(properties!A$1:CB$87,'Fórmula'!D112,60))+'Fórmula'!G112*(INDEX(properties!A$1:CB$87,'Fórmula'!F112,60))+'Fórmula'!I112*(INDEX(properties!A$1:CB$87,'Fórmula'!H112,60))+'Fórmula'!K112*(INDEX(properties!A$1:CB$87,'Fórmula'!J112,60))</f>
        <v>237.30696</v>
      </c>
      <c r="GH112" s="105">
        <f t="array" ref="GH112">VARP(IF(INDEX(properties!A$1:CB$87,'Fórmula'!B112,60)&lt;&gt;"",INDEX(properties!A$1:CB$87,'Fórmula'!B112,60)),IF(INDEX(properties!A$1:CB$87,'Fórmula'!D112,60)&lt;&gt;"",INDEX(properties!A$1:CB$87,'Fórmula'!D112,60)),IF(INDEX(properties!A$1:CB$87,'Fórmula'!F112,60)&lt;&gt;"",INDEX(properties!A$1:CB$87,'Fórmula'!F112,60)),IF(INDEX(properties!A$1:CB$87,'Fórmula'!H112,60)&lt;&gt;"",INDEX(properties!A$1:CB$87,'Fórmula'!H112,60)),IF(INDEX(properties!A$1:CB$87,'Fórmula'!J112,60)&lt;&gt;"",INDEX(properties!A$1:CB$87,'Fórmula'!J112,60)))</f>
        <v>3650.389148</v>
      </c>
      <c r="GI112" s="105">
        <f t="array" ref="GI112">MAX(INDEX(properties!A$1:CB$87,'Fórmula'!B112,60),INDEX(properties!A$1:CB$87,'Fórmula'!D112,60),INDEX(properties!A$1:CB$87,'Fórmula'!F112,60),INDEX(properties!A$1:CB$87,'Fórmula'!H112,60),INDEX(properties!A$1:CB$87,'Fórmula'!J112,60))</f>
        <v>156</v>
      </c>
      <c r="GJ112" s="105">
        <f t="array" ref="GJ112">MIN(IF(INDEX(properties!A$1:CB$87,'Fórmula'!B112,60)=0,10^6,INDEX(properties!A$1:CB$87,'Fórmula'!B112,60)),IF(INDEX(properties!A$1:CB$87,'Fórmula'!D112,60)=0,10^6,INDEX(properties!A$1:CB$87,'Fórmula'!D112,60)),IF(INDEX(properties!A$1:CB$87,'Fórmula'!F112,60)=0,10^6,INDEX(properties!A$1:CB$87,'Fórmula'!F112,60)),IF(INDEX(properties!A$1:CB$87,'Fórmula'!H112,60)=0,10^6,INDEX(properties!A$1:CB$87,'Fórmula'!H112,60)),IF(INDEX(properties!A$1:CB$87,'Fórmula'!J112,60)=0,10^6,INDEX(properties!A$1:CB$87,'Fórmula'!J112,60)))</f>
        <v>0.02674</v>
      </c>
      <c r="GK112" s="105">
        <f t="shared" si="32"/>
        <v>155.97326</v>
      </c>
      <c r="GL112" s="106">
        <f t="array" ref="GL112">(('Fórmula'!C112)/('Fórmula'!C112+'Fórmula'!E112+'Fórmula'!G112+'Fórmula'!I112+'Fórmula'!K112))*(INDEX(properties!A$1:CB$87,'Fórmula'!B112,62))+(('Fórmula'!E112)/('Fórmula'!C112+'Fórmula'!E112+'Fórmula'!G112+'Fórmula'!I112+'Fórmula'!K112))*(INDEX(properties!A$1:CB$87,'Fórmula'!D112,62))+(('Fórmula'!G112)/('Fórmula'!C112+'Fórmula'!E112+'Fórmula'!G112+'Fórmula'!I112+'Fórmula'!K112))*(INDEX(properties!A$1:CB$87,'Fórmula'!F112,62))+(('Fórmula'!I112)/('Fórmula'!C112+'Fórmula'!E112+'Fórmula'!G112+'Fórmula'!I112+'Fórmula'!K112))*(INDEX(properties!A$1:CB$87,'Fórmula'!H112,62))+(('Fórmula'!K112)/('Fórmula'!C112+'Fórmula'!E112+'Fórmula'!G112+'Fórmula'!I112+'Fórmula'!K112))*(INDEX(properties!A$1:CB$87,'Fórmula'!J112,62))</f>
        <v>2.515714286</v>
      </c>
      <c r="GM112" s="106">
        <f t="array" ref="GM112">'Fórmula'!C112*(INDEX(properties!A$1:CB$87,'Fórmula'!B112,62))+'Fórmula'!E112*(INDEX(properties!A$1:CB$87,'Fórmula'!D112,62))+'Fórmula'!G112*(INDEX(properties!A$1:CB$87,'Fórmula'!F112,62))+'Fórmula'!I112*(INDEX(properties!A$1:CB$87,'Fórmula'!H112,62))+'Fórmula'!K112*(INDEX(properties!A$1:CB$87,'Fórmula'!J112,62))</f>
        <v>17.61</v>
      </c>
      <c r="GN112" s="106">
        <f t="array" ref="GN112">VARP(IF(INDEX(properties!A$1:CB$87,'Fórmula'!B112,62)&lt;&gt;"",INDEX(properties!A$1:CB$87,'Fórmula'!B112,62)),IF(INDEX(properties!A$1:CB$87,'Fórmula'!D112,62)&lt;&gt;"",INDEX(properties!A$1:CB$87,'Fórmula'!D112,62)),IF(INDEX(properties!A$1:CB$87,'Fórmula'!F112,62)&lt;&gt;"",INDEX(properties!A$1:CB$87,'Fórmula'!F112,62)),IF(INDEX(properties!A$1:CB$87,'Fórmula'!H112,62)&lt;&gt;"",INDEX(properties!A$1:CB$87,'Fórmula'!H112,62)),IF(INDEX(properties!A$1:CB$87,'Fórmula'!J112,62)&lt;&gt;"",INDEX(properties!A$1:CB$87,'Fórmula'!J112,62)))</f>
        <v>1.481576</v>
      </c>
      <c r="GO112" s="106">
        <f t="array" ref="GO112">MAX(INDEX(properties!A$1:CB$87,'Fórmula'!B112,62),INDEX(properties!A$1:CB$87,'Fórmula'!D112,62),INDEX(properties!A$1:CB$87,'Fórmula'!F112,62),INDEX(properties!A$1:CB$87,'Fórmula'!H112,62),INDEX(properties!A$1:CB$87,'Fórmula'!J112,62))</f>
        <v>2.81</v>
      </c>
      <c r="GP112" s="106">
        <f t="array" ref="GP112">MIN(IF(INDEX(properties!A$1:CB$87,'Fórmula'!B112,62)=0,10^6,INDEX(properties!A$1:CB$87,'Fórmula'!B112,62)),IF(INDEX(properties!A$1:CB$87,'Fórmula'!D112,62)=0,10^6,INDEX(properties!A$1:CB$87,'Fórmula'!D112,62)),IF(INDEX(properties!A$1:CB$87,'Fórmula'!F112,62)=0,10^6,INDEX(properties!A$1:CB$87,'Fórmula'!F112,62)),IF(INDEX(properties!A$1:CB$87,'Fórmula'!H112,62)=0,10^6,INDEX(properties!A$1:CB$87,'Fórmula'!H112,62)),IF(INDEX(properties!A$1:CB$87,'Fórmula'!J112,62)=0,10^6,INDEX(properties!A$1:CB$87,'Fórmula'!J112,62)))</f>
        <v>1.51</v>
      </c>
      <c r="GQ112" s="106">
        <f t="shared" si="33"/>
        <v>1.3</v>
      </c>
      <c r="GR112" s="106">
        <f>'Fórmula'!Q112</f>
        <v>227</v>
      </c>
      <c r="GS112" s="107">
        <f>'Fórmula'!P112</f>
        <v>1</v>
      </c>
      <c r="GT112" s="113">
        <f>'Fórmula'!O112</f>
        <v>5.34</v>
      </c>
      <c r="GU112" s="114">
        <f>AVERAGE('Fórmula'!R112/'Fórmula'!S112,'Fórmula'!S112/'Fórmula'!T112,'Fórmula'!T112/'Fórmula'!R112)</f>
        <v>1</v>
      </c>
      <c r="GV112" s="125">
        <f>'Fórmula'!U112</f>
        <v>566.04</v>
      </c>
      <c r="GW112" s="106">
        <f>'Fórmula'!N112</f>
        <v>0.04</v>
      </c>
    </row>
    <row r="113" ht="14.25" customHeight="1">
      <c r="A113" s="99" t="str">
        <f>'Fórmula'!A113</f>
        <v>La2ZnTiO6</v>
      </c>
      <c r="B113" s="101">
        <f t="array" ref="B113">(('Fórmula'!C113)/('Fórmula'!C113+'Fórmula'!E113+'Fórmula'!G113+'Fórmula'!I113+'Fórmula'!K113))*(INDEX(properties!A$1:CB$87,'Fórmula'!B113,3))+(('Fórmula'!E113)/('Fórmula'!C113+'Fórmula'!E113+'Fórmula'!G113+'Fórmula'!I113+'Fórmula'!K113))*(INDEX(properties!A$1:CB$87,'Fórmula'!D113,3))+(('Fórmula'!G113)/('Fórmula'!C113+'Fórmula'!E113+'Fórmula'!G113+'Fórmula'!I113+'Fórmula'!K113))*(INDEX(properties!A$1:CB$87,'Fórmula'!F113,3))+(('Fórmula'!I113)/('Fórmula'!C113+'Fórmula'!E113+'Fórmula'!G113+'Fórmula'!I113+'Fórmula'!K113))*(INDEX(properties!A$1:CB$87,'Fórmula'!H113,3))+(('Fórmula'!K113)/('Fórmula'!C113+'Fórmula'!E113+'Fórmula'!G113+'Fórmula'!I113+'Fórmula'!K113))*(INDEX(properties!A$1:CB$87,'Fórmula'!J113,3))</f>
        <v>38.0179</v>
      </c>
      <c r="C113" s="101">
        <f t="array" ref="C113">'Fórmula'!C113*(INDEX(properties!A$1:CB$87,'Fórmula'!B113,3))+'Fórmula'!E113*(INDEX(properties!A$1:CB$87,'Fórmula'!D113,3))+'Fórmula'!G113*(INDEX(properties!A$1:CB$87,'Fórmula'!F113,3))+'Fórmula'!I113*(INDEX(properties!A$1:CB$87,'Fórmula'!H113,3))+'Fórmula'!K113*(INDEX(properties!A$1:CB$87,'Fórmula'!J113,3))</f>
        <v>380.179</v>
      </c>
      <c r="D113" s="101">
        <f t="array" ref="D113">VARP(IF(INDEX(properties!A$1:CB$87,'Fórmula'!B113,3)&lt;&gt;"",INDEX(properties!A$1:CB$87,'Fórmula'!B113,3)),IF(INDEX(properties!A$1:CB$87,'Fórmula'!D113,3)&lt;&gt;"",INDEX(properties!A$1:CB$87,'Fórmula'!D113,3)),IF(INDEX(properties!A$1:CB$87,'Fórmula'!F113,3)&lt;&gt;"",INDEX(properties!A$1:CB$87,'Fórmula'!F113,3)),IF(INDEX(properties!A$1:CB$87,'Fórmula'!H113,3)&lt;&gt;"",INDEX(properties!A$1:CB$87,'Fórmula'!H113,3)),IF(INDEX(properties!A$1:CB$87,'Fórmula'!J113,3)&lt;&gt;"",INDEX(properties!A$1:CB$87,'Fórmula'!J113,3)))</f>
        <v>981.216438</v>
      </c>
      <c r="E113" s="101">
        <f t="array" ref="E113">MAX(INDEX(properties!A$1:CB$87,'Fórmula'!B113,3),INDEX(properties!A$1:CB$87,'Fórmula'!D113,3),INDEX(properties!A$1:CB$87,'Fórmula'!F113,3),INDEX(properties!A$1:CB$87,'Fórmula'!H113,3),INDEX(properties!A$1:CB$87,'Fórmula'!J113,3))</f>
        <v>85.4678</v>
      </c>
      <c r="F113" s="101">
        <f t="array" ref="F113">MIN(IF(INDEX(properties!A$1:CB$87,'Fórmula'!B113,3)=0,10^6,INDEX(properties!A$1:CB$87,'Fórmula'!B113,3)),IF(INDEX(properties!A$1:CB$87,'Fórmula'!D113,3)=0,10^6,INDEX(properties!A$1:CB$87,'Fórmula'!D113,3)),IF(INDEX(properties!A$1:CB$87,'Fórmula'!F113,3)=0,10^6,INDEX(properties!A$1:CB$87,'Fórmula'!F113,3)),IF(INDEX(properties!A$1:CB$87,'Fórmula'!H113,3)=0,10^6,INDEX(properties!A$1:CB$87,'Fórmula'!H113,3)),IF(INDEX(properties!A$1:CB$87,'Fórmula'!J113,3)=0,10^6,INDEX(properties!A$1:CB$87,'Fórmula'!J113,3)))</f>
        <v>15.9994</v>
      </c>
      <c r="G113" s="101">
        <f t="shared" si="1"/>
        <v>69.4684</v>
      </c>
      <c r="H113" s="102">
        <f t="array" ref="H113">(('Fórmula'!C113)/('Fórmula'!C113+'Fórmula'!E113+'Fórmula'!G113+'Fórmula'!I113+'Fórmula'!K113))*(INDEX(properties!A$1:CB$87,'Fórmula'!B113,4))+(('Fórmula'!E113)/('Fórmula'!C113+'Fórmula'!E113+'Fórmula'!G113+'Fórmula'!I113+'Fórmula'!K113))*(INDEX(properties!A$1:CB$87,'Fórmula'!D113,4))+(('Fórmula'!G113)/('Fórmula'!C113+'Fórmula'!E113+'Fórmula'!G113+'Fórmula'!I113+'Fórmula'!K113))*(INDEX(properties!A$1:CB$87,'Fórmula'!F113,4))+(('Fórmula'!I113)/('Fórmula'!C113+'Fórmula'!E113+'Fórmula'!G113+'Fórmula'!I113+'Fórmula'!K113))*(INDEX(properties!A$1:CB$87,'Fórmula'!H113,4))+(('Fórmula'!K113)/('Fórmula'!C113+'Fórmula'!E113+'Fórmula'!G113+'Fórmula'!I113+'Fórmula'!K113))*(INDEX(properties!A$1:CB$87,'Fórmula'!J113,4))</f>
        <v>17.4</v>
      </c>
      <c r="I113" s="102">
        <f t="array" ref="I113">'Fórmula'!C113*(INDEX(properties!A$1:CB$87,'Fórmula'!B113,4))+'Fórmula'!E113*(INDEX(properties!A$1:CB$87,'Fórmula'!D113,4))+'Fórmula'!G113*(INDEX(properties!A$1:CB$87,'Fórmula'!F113,4))+'Fórmula'!I113*(INDEX(properties!A$1:CB$87,'Fórmula'!H113,4))+'Fórmula'!K113*(INDEX(properties!A$1:CB$87,'Fórmula'!J113,4))</f>
        <v>174</v>
      </c>
      <c r="J113" s="102">
        <f t="array" ref="J113">VARP(IF(INDEX(properties!A$1:CB$87,'Fórmula'!B113,4)&lt;&gt;"",INDEX(properties!A$1:CB$87,'Fórmula'!B113,4)),IF(INDEX(properties!A$1:CB$87,'Fórmula'!D113,4)&lt;&gt;"",INDEX(properties!A$1:CB$87,'Fórmula'!D113,4)),IF(INDEX(properties!A$1:CB$87,'Fórmula'!F113,4)&lt;&gt;"",INDEX(properties!A$1:CB$87,'Fórmula'!F113,4)),IF(INDEX(properties!A$1:CB$87,'Fórmula'!H113,4)&lt;&gt;"",INDEX(properties!A$1:CB$87,'Fórmula'!H113,4)),IF(INDEX(properties!A$1:CB$87,'Fórmula'!J113,4)&lt;&gt;"",INDEX(properties!A$1:CB$87,'Fórmula'!J113,4)))</f>
        <v>187.04</v>
      </c>
      <c r="K113" s="102">
        <f t="array" ref="K113">MAX(INDEX(properties!A$1:CB$87,'Fórmula'!B113,4),INDEX(properties!A$1:CB$87,'Fórmula'!D113,4),INDEX(properties!A$1:CB$87,'Fórmula'!F113,4),INDEX(properties!A$1:CB$87,'Fórmula'!H113,4),INDEX(properties!A$1:CB$87,'Fórmula'!J113,4))</f>
        <v>37</v>
      </c>
      <c r="L113" s="102">
        <f t="array" ref="L113">MIN(IF(INDEX(properties!A$1:CB$87,'Fórmula'!B113,4)=0,10^6,INDEX(properties!A$1:CB$87,'Fórmula'!B113,4)),IF(INDEX(properties!A$1:CB$87,'Fórmula'!D113,4)=0,10^6,INDEX(properties!A$1:CB$87,'Fórmula'!D113,4)),IF(INDEX(properties!A$1:CB$87,'Fórmula'!F113,4)=0,10^6,INDEX(properties!A$1:CB$87,'Fórmula'!F113,4)),IF(INDEX(properties!A$1:CB$87,'Fórmula'!H113,4)=0,10^6,INDEX(properties!A$1:CB$87,'Fórmula'!H113,4)),IF(INDEX(properties!A$1:CB$87,'Fórmula'!J113,4)=0,10^6,INDEX(properties!A$1:CB$87,'Fórmula'!J113,4)))</f>
        <v>8</v>
      </c>
      <c r="M113" s="102">
        <f t="shared" si="2"/>
        <v>29</v>
      </c>
      <c r="N113" s="103">
        <f t="array" ref="N113">(('Fórmula'!C113)/('Fórmula'!C113+'Fórmula'!E113+'Fórmula'!G113+'Fórmula'!I113+'Fórmula'!K113))*(INDEX(properties!A$1:CB$87,'Fórmula'!B113,5))+(('Fórmula'!E113)/('Fórmula'!C113+'Fórmula'!E113+'Fórmula'!G113+'Fórmula'!I113+'Fórmula'!K113))*(INDEX(properties!A$1:CB$87,'Fórmula'!D113,5))+(('Fórmula'!G113)/('Fórmula'!C113+'Fórmula'!E113+'Fórmula'!G113+'Fórmula'!I113+'Fórmula'!K113))*(INDEX(properties!A$1:CB$87,'Fórmula'!F113,5))+(('Fórmula'!I113)/('Fórmula'!C113+'Fórmula'!E113+'Fórmula'!G113+'Fórmula'!I113+'Fórmula'!K113))*(INDEX(properties!A$1:CB$87,'Fórmula'!H113,5))+(('Fórmula'!K113)/('Fórmula'!C113+'Fórmula'!E113+'Fórmula'!G113+'Fórmula'!I113+'Fórmula'!K113))*(INDEX(properties!A$1:CB$87,'Fórmula'!J113,5))</f>
        <v>3</v>
      </c>
      <c r="O113" s="103">
        <f t="array" ref="O113">'Fórmula'!C113*(INDEX(properties!A$1:CB$87,'Fórmula'!B113,5))+'Fórmula'!E113*(INDEX(properties!A$1:CB$87,'Fórmula'!D113,5))+'Fórmula'!G113*(INDEX(properties!A$1:CB$87,'Fórmula'!F113,5))+'Fórmula'!I113*(INDEX(properties!A$1:CB$87,'Fórmula'!H113,5))+'Fórmula'!K113*(INDEX(properties!A$1:CB$87,'Fórmula'!J113,5))</f>
        <v>30</v>
      </c>
      <c r="P113" s="103">
        <f t="array" ref="P113">VARP(IF(INDEX(properties!A$1:CB$87,'Fórmula'!B113,5)&lt;&gt;"",INDEX(properties!A$1:CB$87,'Fórmula'!B113,5)),IF(INDEX(properties!A$1:CB$87,'Fórmula'!D113,5)&lt;&gt;"",INDEX(properties!A$1:CB$87,'Fórmula'!D113,5)),IF(INDEX(properties!A$1:CB$87,'Fórmula'!F113,5)&lt;&gt;"",INDEX(properties!A$1:CB$87,'Fórmula'!F113,5)),IF(INDEX(properties!A$1:CB$87,'Fórmula'!H113,5)&lt;&gt;"",INDEX(properties!A$1:CB$87,'Fórmula'!H113,5)),IF(INDEX(properties!A$1:CB$87,'Fórmula'!J113,5)&lt;&gt;"",INDEX(properties!A$1:CB$87,'Fórmula'!J113,5)))</f>
        <v>3.2</v>
      </c>
      <c r="Q113" s="103">
        <f t="array" ref="Q113">MAX(INDEX(properties!A$1:CB$87,'Fórmula'!B113,5),INDEX(properties!A$1:CB$87,'Fórmula'!D113,5),INDEX(properties!A$1:CB$87,'Fórmula'!F113,5),INDEX(properties!A$1:CB$87,'Fórmula'!H113,5),INDEX(properties!A$1:CB$87,'Fórmula'!J113,5))</f>
        <v>5</v>
      </c>
      <c r="R113" s="103">
        <f t="array" ref="R113">MIN(IF(INDEX(properties!A$1:CB$87,'Fórmula'!B113,5)=0,10^6,INDEX(properties!A$1:CB$87,'Fórmula'!B113,5)),IF(INDEX(properties!A$1:CB$87,'Fórmula'!D113,5)=0,10^6,INDEX(properties!A$1:CB$87,'Fórmula'!D113,5)),IF(INDEX(properties!A$1:CB$87,'Fórmula'!F113,5)=0,10^6,INDEX(properties!A$1:CB$87,'Fórmula'!F113,5)),IF(INDEX(properties!A$1:CB$87,'Fórmula'!H113,5)=0,10^6,INDEX(properties!A$1:CB$87,'Fórmula'!H113,5)),IF(INDEX(properties!A$1:CB$87,'Fórmula'!J113,5)=0,10^6,INDEX(properties!A$1:CB$87,'Fórmula'!J113,5)))</f>
        <v>2</v>
      </c>
      <c r="S113" s="103">
        <f t="shared" si="3"/>
        <v>3</v>
      </c>
      <c r="T113" s="104">
        <f t="array" ref="T113">(('Fórmula'!C113)/('Fórmula'!C113+'Fórmula'!E113+'Fórmula'!G113+'Fórmula'!I113+'Fórmula'!K113))*(INDEX(properties!A$1:CB$87,'Fórmula'!B113,6))+(('Fórmula'!E113)/('Fórmula'!C113+'Fórmula'!E113+'Fórmula'!G113+'Fórmula'!I113+'Fórmula'!K113))*(INDEX(properties!A$1:CB$87,'Fórmula'!D113,6))+(('Fórmula'!G113)/('Fórmula'!C113+'Fórmula'!E113+'Fórmula'!G113+'Fórmula'!I113+'Fórmula'!K113))*(INDEX(properties!A$1:CB$87,'Fórmula'!F113,6))+(('Fórmula'!I113)/('Fórmula'!C113+'Fórmula'!E113+'Fórmula'!G113+'Fórmula'!I113+'Fórmula'!K113))*(INDEX(properties!A$1:CB$87,'Fórmula'!H113,6))+(('Fórmula'!K113)/('Fórmula'!C113+'Fórmula'!E113+'Fórmula'!G113+'Fórmula'!I113+'Fórmula'!K113))*(INDEX(properties!A$1:CB$87,'Fórmula'!J113,6))</f>
        <v>11.4</v>
      </c>
      <c r="U113" s="104">
        <f t="array" ref="U113">'Fórmula'!C113*(INDEX(properties!A$1:CB$87,'Fórmula'!B113,6))+'Fórmula'!E113*(INDEX(properties!A$1:CB$87,'Fórmula'!D113,6))+'Fórmula'!G113*(INDEX(properties!A$1:CB$87,'Fórmula'!F113,6))+'Fórmula'!I113*(INDEX(properties!A$1:CB$87,'Fórmula'!H113,6))+'Fórmula'!K113*(INDEX(properties!A$1:CB$87,'Fórmula'!J113,6))</f>
        <v>114</v>
      </c>
      <c r="V113" s="103">
        <f t="array" ref="V113">VARP(IF(INDEX(properties!A$1:CB$87,'Fórmula'!B113,6)&lt;&gt;"",INDEX(properties!A$1:CB$87,'Fórmula'!B113,6)),IF(INDEX(properties!A$1:CB$87,'Fórmula'!D113,6)&lt;&gt;"",INDEX(properties!A$1:CB$87,'Fórmula'!D113,6)),IF(INDEX(properties!A$1:CB$87,'Fórmula'!F113,6)&lt;&gt;"",INDEX(properties!A$1:CB$87,'Fórmula'!F113,6)),IF(INDEX(properties!A$1:CB$87,'Fórmula'!H113,6)&lt;&gt;"",INDEX(properties!A$1:CB$87,'Fórmula'!H113,6)),IF(INDEX(properties!A$1:CB$87,'Fórmula'!J113,6)&lt;&gt;"",INDEX(properties!A$1:CB$87,'Fórmula'!J113,6)))</f>
        <v>39.84</v>
      </c>
      <c r="W113" s="104">
        <f t="array" ref="W113">MAX(INDEX(properties!A$1:CB$87,'Fórmula'!B113,6),INDEX(properties!A$1:CB$87,'Fórmula'!D113,6),INDEX(properties!A$1:CB$87,'Fórmula'!F113,6),INDEX(properties!A$1:CB$87,'Fórmula'!H113,4),INDEX(properties!A$1:CB$87,'Fórmula'!J113,6))</f>
        <v>12</v>
      </c>
      <c r="X113" s="104">
        <f t="array" ref="X113">MIN(IF(INDEX(properties!A$1:CB$87,'Fórmula'!B113,6)=0,10^6,INDEX(properties!A$1:CB$87,'Fórmula'!B113,6)),IF(INDEX(properties!A$1:CB$87,'Fórmula'!D113,6)=0,10^6,INDEX(properties!A$1:CB$87,'Fórmula'!D113,6)),IF(INDEX(properties!A$1:CB$87,'Fórmula'!F113,6)=0,10^6,INDEX(properties!A$1:CB$87,'Fórmula'!F113,6)),IF(INDEX(properties!A$1:CB$87,'Fórmula'!H113,6)=0,10^6,INDEX(properties!A$1:CB$87,'Fórmula'!H113,6)),IF(INDEX(properties!A$1:CB$87,'Fórmula'!J113,6)=0,10^6,INDEX(properties!A$1:CB$87,'Fórmula'!J113,6)))</f>
        <v>1</v>
      </c>
      <c r="Y113" s="104">
        <f t="shared" si="4"/>
        <v>11</v>
      </c>
      <c r="Z113" s="105">
        <f t="array" ref="Z113">(('Fórmula'!C113)/('Fórmula'!C113+'Fórmula'!E113+'Fórmula'!G113+'Fórmula'!I113+'Fórmula'!K113))*(INDEX(properties!A$1:CB$87,'Fórmula'!B113,9))+(('Fórmula'!E113)/('Fórmula'!C113+'Fórmula'!E113+'Fórmula'!G113+'Fórmula'!I113+'Fórmula'!K113))*(INDEX(properties!A$1:CB$87,'Fórmula'!D113,9))+(('Fórmula'!G113)/('Fórmula'!C113+'Fórmula'!E113+'Fórmula'!G113+'Fórmula'!I113+'Fórmula'!K113))*(INDEX(properties!A$1:CB$87,'Fórmula'!F113,9))+(('Fórmula'!I113)/('Fórmula'!C113+'Fórmula'!E113+'Fórmula'!G113+'Fórmula'!I113+'Fórmula'!K113))*(INDEX(properties!A$1:CB$87,'Fórmula'!H113,9))+(('Fórmula'!K113)/('Fórmula'!C113+'Fórmula'!E113+'Fórmula'!G113+'Fórmula'!I113+'Fórmula'!K113))*(INDEX(properties!A$1:CB$87,'Fórmula'!J113,9))</f>
        <v>64.2</v>
      </c>
      <c r="AA113" s="105">
        <f t="array" ref="AA113">'Fórmula'!C113*(INDEX(properties!A$1:CB$87,'Fórmula'!B113,9))+'Fórmula'!E113*(INDEX(properties!A$1:CB$87,'Fórmula'!D113,9))+'Fórmula'!G113*(INDEX(properties!A$1:CB$87,'Fórmula'!F113,9))+'Fórmula'!I113*(INDEX(properties!A$1:CB$87,'Fórmula'!H113,9))+'Fórmula'!K113*(INDEX(properties!A$1:CB$87,'Fórmula'!J113,9))</f>
        <v>642</v>
      </c>
      <c r="AB113" s="105">
        <f t="array" ref="AB113">VARP(IF(INDEX(properties!A$1:CB$87,'Fórmula'!B113,9)&lt;&gt;"",INDEX(properties!A$1:CB$87,'Fórmula'!B113,9)),IF(INDEX(properties!A$1:CB$87,'Fórmula'!D113,9)&lt;&gt;"",INDEX(properties!A$1:CB$87,'Fórmula'!D113,9)),IF(INDEX(properties!A$1:CB$87,'Fórmula'!F113,9)&lt;&gt;"",INDEX(properties!A$1:CB$87,'Fórmula'!F113,9)),IF(INDEX(properties!A$1:CB$87,'Fórmula'!H113,9)&lt;&gt;"",INDEX(properties!A$1:CB$87,'Fórmula'!H113,9)),IF(INDEX(properties!A$1:CB$87,'Fórmula'!J113,9)&lt;&gt;"",INDEX(properties!A$1:CB$87,'Fórmula'!J113,9)))</f>
        <v>1190.64</v>
      </c>
      <c r="AC113" s="105">
        <f t="array" ref="AC113">MAX(INDEX(properties!A$1:CB$87,'Fórmula'!B113,9),INDEX(properties!A$1:CB$87,'Fórmula'!D113,9),INDEX(properties!A$1:CB$87,'Fórmula'!F113,9),INDEX(properties!A$1:CB$87,'Fórmula'!H113,9),INDEX(properties!A$1:CB$87,'Fórmula'!J113,9))</f>
        <v>87</v>
      </c>
      <c r="AD113" s="105">
        <f t="array" ref="AD113">MIN(IF(INDEX(properties!A$1:CB$87,'Fórmula'!B113,9)=0,10^6,INDEX(properties!A$1:CB$87,'Fórmula'!B113,9)),IF(INDEX(properties!A$1:CB$87,'Fórmula'!D113,9)=0,10^6,INDEX(properties!A$1:CB$87,'Fórmula'!D113,9)),IF(INDEX(properties!A$1:CB$87,'Fórmula'!F113,9)=0,10^6,INDEX(properties!A$1:CB$87,'Fórmula'!F113,9)),IF(INDEX(properties!A$1:CB$87,'Fórmula'!H113,9)=0,10^6,INDEX(properties!A$1:CB$87,'Fórmula'!H113,9)),IF(INDEX(properties!A$1:CB$87,'Fórmula'!J113,9)=0,10^6,INDEX(properties!A$1:CB$87,'Fórmula'!J113,9)))</f>
        <v>4</v>
      </c>
      <c r="AE113" s="105">
        <f t="shared" si="5"/>
        <v>83</v>
      </c>
      <c r="AF113" s="106">
        <f t="array" ref="AF113">(('Fórmula'!C113)/('Fórmula'!C113+'Fórmula'!E113+'Fórmula'!G113+'Fórmula'!I113+'Fórmula'!K113))*(INDEX(properties!A$1:CB$87,'Fórmula'!B113,10))+(('Fórmula'!E113)/('Fórmula'!C113+'Fórmula'!E113+'Fórmula'!G113+'Fórmula'!I113+'Fórmula'!K113))*(INDEX(properties!A$1:CB$87,'Fórmula'!D113,10))+(('Fórmula'!G113)/('Fórmula'!C113+'Fórmula'!E113+'Fórmula'!G113+'Fórmula'!I113+'Fórmula'!K113))*(INDEX(properties!A$1:CB$87,'Fórmula'!F113,10))+(('Fórmula'!I113)/('Fórmula'!C113+'Fórmula'!E113+'Fórmula'!G113+'Fórmula'!I113+'Fórmula'!K113))*(INDEX(properties!A$1:CB$87,'Fórmula'!H113,10))+(('Fórmula'!K113)/('Fórmula'!C113+'Fórmula'!E113+'Fórmula'!G113+'Fórmula'!I113+'Fórmula'!K113))*(INDEX(properties!A$1:CB$87,'Fórmula'!J113,10))</f>
        <v>5.2</v>
      </c>
      <c r="AG113" s="106">
        <f t="array" ref="AG113">'Fórmula'!C113*(INDEX(properties!A$1:CB$87,'Fórmula'!B113,10))+'Fórmula'!E113*(INDEX(properties!A$1:CB$87,'Fórmula'!D113,10))+'Fórmula'!G113*(INDEX(properties!A$1:CB$87,'Fórmula'!F113,10))+'Fórmula'!I113*(INDEX(properties!A$1:CB$87,'Fórmula'!H113,10))+'Fórmula'!K113*(INDEX(properties!A$1:CB$87,'Fórmula'!J113,10))</f>
        <v>52</v>
      </c>
      <c r="AH113" s="106">
        <f t="array" ref="AH113">VARP(IF(INDEX(properties!A$1:CB$87,'Fórmula'!B113,10)&lt;&gt;"",INDEX(properties!A$1:CB$87,'Fórmula'!B113,10)),IF(INDEX(properties!A$1:CB$87,'Fórmula'!D113,10)&lt;&gt;"",INDEX(properties!A$1:CB$87,'Fórmula'!D113,10)),IF(INDEX(properties!A$1:CB$87,'Fórmula'!F113,10)&lt;&gt;"",INDEX(properties!A$1:CB$87,'Fórmula'!F113,10)),IF(INDEX(properties!A$1:CB$87,'Fórmula'!H113,10)&lt;&gt;"",INDEX(properties!A$1:CB$87,'Fórmula'!H113,10)),IF(INDEX(properties!A$1:CB$87,'Fórmula'!J113,10)&lt;&gt;"",INDEX(properties!A$1:CB$87,'Fórmula'!J113,10)))</f>
        <v>6.16</v>
      </c>
      <c r="AI113" s="106">
        <f t="array" ref="AI113">MAX(INDEX(properties!A$1:CB$87,'Fórmula'!B113,10),INDEX(properties!A$1:CB$87,'Fórmula'!D113,10),INDEX(properties!A$1:CB$87,'Fórmula'!F113,10),INDEX(properties!A$1:CB$87,'Fórmula'!H113,10),INDEX(properties!A$1:CB$87,'Fórmula'!J113,10))</f>
        <v>7</v>
      </c>
      <c r="AJ113" s="106">
        <f t="array" ref="AJ113">MIN(IF(INDEX(properties!A$1:CB$87,'Fórmula'!B113,10)=0,10^6,INDEX(properties!A$1:CB$87,'Fórmula'!B113,10)),IF(INDEX(properties!A$1:CB$87,'Fórmula'!D113,10)=0,10^6,INDEX(properties!A$1:CB$87,'Fórmula'!D113,10)),IF(INDEX(properties!A$1:CB$87,'Fórmula'!F113,10)=0,10^6,INDEX(properties!A$1:CB$87,'Fórmula'!F113,10)),IF(INDEX(properties!A$1:CB$87,'Fórmula'!H113,10)=0,10^6,INDEX(properties!A$1:CB$87,'Fórmula'!H113,10)),IF(INDEX(properties!A$1:CB$87,'Fórmula'!J113,10)=0,10^6,INDEX(properties!A$1:CB$87,'Fórmula'!J113,10)))</f>
        <v>1</v>
      </c>
      <c r="AK113" s="106">
        <f t="shared" si="6"/>
        <v>6</v>
      </c>
      <c r="AL113" s="107">
        <f t="array" ref="AL113">(('Fórmula'!C113)/('Fórmula'!C113+'Fórmula'!E113+'Fórmula'!G113+'Fórmula'!I113+'Fórmula'!K113))*(INDEX(properties!A$1:CB$87,'Fórmula'!B113,11))+(('Fórmula'!E113)/('Fórmula'!C113+'Fórmula'!E113+'Fórmula'!G113+'Fórmula'!I113+'Fórmula'!K113))*(INDEX(properties!A$1:CB$87,'Fórmula'!D113,11))+(('Fórmula'!G113)/('Fórmula'!C113+'Fórmula'!E113+'Fórmula'!G113+'Fórmula'!I113+'Fórmula'!K113))*(INDEX(properties!A$1:CB$87,'Fórmula'!F113,11))+(('Fórmula'!I113)/('Fórmula'!C113+'Fórmula'!E113+'Fórmula'!G113+'Fórmula'!I113+'Fórmula'!K113))*(INDEX(properties!A$1:CB$87,'Fórmula'!H113,11))+(('Fórmula'!K113)/('Fórmula'!C113+'Fórmula'!E113+'Fórmula'!G113+'Fórmula'!I113+'Fórmula'!K113))*(INDEX(properties!A$1:CB$87,'Fórmula'!J113,11))</f>
        <v>1.8</v>
      </c>
      <c r="AM113" s="107">
        <f t="array" ref="AM113">'Fórmula'!C113*(INDEX(properties!A$1:CB$87,'Fórmula'!B113,11))+'Fórmula'!E113*(INDEX(properties!A$1:CB$87,'Fórmula'!D113,11))+'Fórmula'!G113*(INDEX(properties!A$1:CB$87,'Fórmula'!F113,11))+'Fórmula'!I113*(INDEX(properties!A$1:CB$87,'Fórmula'!H113,11))+'Fórmula'!K113*(INDEX(properties!A$1:CB$87,'Fórmula'!J113,11))</f>
        <v>18</v>
      </c>
      <c r="AN113" s="107">
        <f t="array" ref="AN113">VARP(IF(INDEX(properties!A$1:CB$87,'Fórmula'!B113,11)&lt;&gt;"",INDEX(properties!A$1:CB$87,'Fórmula'!B113,11)),IF(INDEX(properties!A$1:CB$87,'Fórmula'!D113,11)&lt;&gt;"",INDEX(properties!A$1:CB$87,'Fórmula'!D113,11)),IF(INDEX(properties!A$1:CB$87,'Fórmula'!F113,11)&lt;&gt;"",INDEX(properties!A$1:CB$87,'Fórmula'!F113,11)),IF(INDEX(properties!A$1:CB$87,'Fórmula'!H113,11)&lt;&gt;"",INDEX(properties!A$1:CB$87,'Fórmula'!H113,11)),IF(INDEX(properties!A$1:CB$87,'Fórmula'!J113,11)&lt;&gt;"",INDEX(properties!A$1:CB$87,'Fórmula'!J113,11)))</f>
        <v>0.64</v>
      </c>
      <c r="AO113" s="107">
        <f t="array" ref="AO113">MAX(INDEX(properties!A$1:CB$87,'Fórmula'!B113,11),INDEX(properties!A$1:CB$87,'Fórmula'!D113,11),INDEX(properties!A$1:CB$87,'Fórmula'!F113,11),INDEX(properties!A$1:CB$87,'Fórmula'!H113,11),INDEX(properties!A$1:CB$87,'Fórmula'!J113,11))</f>
        <v>2</v>
      </c>
      <c r="AP113" s="107">
        <f t="array" ref="AP113">MIN(IF('Fórmula'!B113=87,10^6,INDEX(properties!A$1:CB$87,'Fórmula'!B113,11)),IF(('Fórmula'!D113)=87,10^6,INDEX(properties!A$1:CB$87,'Fórmula'!D113,11)),IF(('Fórmula'!F113)=87,10^6,INDEX(properties!A$1:CB$87,'Fórmula'!F113,11)),IF(('Fórmula'!H113)=87,10^6,INDEX(properties!A$1:CB$87,'Fórmula'!H113,11)),IF('Fórmula'!J113=87,10^6,INDEX(properties!A$1:CB$87,'Fórmula'!J113,11)))</f>
        <v>1</v>
      </c>
      <c r="AQ113" s="107">
        <f t="shared" si="7"/>
        <v>1</v>
      </c>
      <c r="AR113" s="108">
        <f t="array" ref="AR113">(('Fórmula'!C113)/('Fórmula'!C113+'Fórmula'!E113+'Fórmula'!G113+'Fórmula'!I113+'Fórmula'!K113))*(INDEX(properties!A$1:CB$87,'Fórmula'!B113,12))+(('Fórmula'!E113)/('Fórmula'!C113+'Fórmula'!E113+'Fórmula'!G113+'Fórmula'!I113+'Fórmula'!K113))*(INDEX(properties!A$1:CB$87,'Fórmula'!D113,12))+(('Fórmula'!G113)/('Fórmula'!C113+'Fórmula'!E113+'Fórmula'!G113+'Fórmula'!I113+'Fórmula'!K113))*(INDEX(properties!A$1:CB$87,'Fórmula'!F113,12))+(('Fórmula'!I113)/('Fórmula'!C113+'Fórmula'!E113+'Fórmula'!G113+'Fórmula'!I113+'Fórmula'!K113))*(INDEX(properties!A$1:CB$87,'Fórmula'!H113,12))+(('Fórmula'!K113)/('Fórmula'!C113+'Fórmula'!E113+'Fórmula'!G113+'Fórmula'!I113+'Fórmula'!K113))*(INDEX(properties!A$1:CB$87,'Fórmula'!J113,12))</f>
        <v>2.4</v>
      </c>
      <c r="AS113" s="108">
        <f t="array" ref="AS113">'Fórmula'!C113*(INDEX(properties!A$1:CB$87,'Fórmula'!B113,12))+'Fórmula'!E113*(INDEX(properties!A$1:CB$87,'Fórmula'!D113,12))+'Fórmula'!G113*(INDEX(properties!A$1:CB$87,'Fórmula'!F113,12))+'Fórmula'!I113*(INDEX(properties!A$1:CB$87,'Fórmula'!H113,12))+'Fórmula'!K113*(INDEX(properties!A$1:CB$87,'Fórmula'!J113,12))</f>
        <v>24</v>
      </c>
      <c r="AT113" s="108">
        <f t="array" ref="AT113">VARP(IF(INDEX(properties!A$1:CB$87,'Fórmula'!B113,12)&lt;&gt;"",INDEX(properties!A$1:CB$87,'Fórmula'!B113,12)),IF(INDEX(properties!A$1:CB$87,'Fórmula'!D113,12)&lt;&gt;"",INDEX(properties!A$1:CB$87,'Fórmula'!D113,12)),IF(INDEX(properties!A$1:CB$87,'Fórmula'!F113,12)&lt;&gt;"",INDEX(properties!A$1:CB$87,'Fórmula'!F113,12)),IF(INDEX(properties!A$1:CB$87,'Fórmula'!H113,12)&lt;&gt;"",INDEX(properties!A$1:CB$87,'Fórmula'!H113,12)),IF(INDEX(properties!A$1:CB$87,'Fórmula'!J113,12)&lt;&gt;"",INDEX(properties!A$1:CB$87,'Fórmula'!J113,12)))</f>
        <v>2.56</v>
      </c>
      <c r="AU113" s="108">
        <f t="array" ref="AU113">MAX(INDEX(properties!A$1:CB$87,'Fórmula'!B113,12),INDEX(properties!A$1:CB$87,'Fórmula'!D113,12),INDEX(properties!A$1:CB$87,'Fórmula'!F113,12),INDEX(properties!A$1:CB$87,'Fórmula'!H113,12),INDEX(properties!A$1:CB$87,'Fórmula'!J113,12))</f>
        <v>4</v>
      </c>
      <c r="AV113" s="108">
        <f t="array" ref="AV113">MIN(IF('Fórmula'!B113=87,10^6,INDEX(properties!A$1:CB$87,'Fórmula'!B113,12)),IF(('Fórmula'!D113)=87,10^6,INDEX(properties!A$1:CB$87,'Fórmula'!D113,12)),IF(('Fórmula'!F113)=87,10^6,INDEX(properties!A$1:CB$87,'Fórmula'!F113,12)),IF(('Fórmula'!H113)=87,10^6,INDEX(properties!A$1:CB$87,'Fórmula'!H113,12)),IF('Fórmula'!J113=87,10^6,INDEX(properties!A$1:CB$87,'Fórmula'!J113,12)))</f>
        <v>0</v>
      </c>
      <c r="AW113" s="108">
        <f t="shared" si="8"/>
        <v>4</v>
      </c>
      <c r="AX113" s="109">
        <f t="array" ref="AX113">(('Fórmula'!C113)/('Fórmula'!C113+'Fórmula'!E113+'Fórmula'!G113+'Fórmula'!I113+'Fórmula'!K113))*(INDEX(properties!A$1:CB$87,'Fórmula'!B113,13))+(('Fórmula'!E113)/('Fórmula'!C113+'Fórmula'!E113+'Fórmula'!G113+'Fórmula'!I113+'Fórmula'!K113))*(INDEX(properties!A$1:CB$87,'Fórmula'!D113,13))+(('Fórmula'!G113)/('Fórmula'!C113+'Fórmula'!E113+'Fórmula'!G113+'Fórmula'!I113+'Fórmula'!K113))*(INDEX(properties!A$1:CB$87,'Fórmula'!F113,13))+(('Fórmula'!I113)/('Fórmula'!C113+'Fórmula'!E113+'Fórmula'!G113+'Fórmula'!I113+'Fórmula'!K113))*(INDEX(properties!A$1:CB$87,'Fórmula'!H113,13))+(('Fórmula'!K113)/('Fórmula'!C113+'Fórmula'!E113+'Fórmula'!G113+'Fórmula'!I113+'Fórmula'!K113))*(INDEX(properties!A$1:CB$87,'Fórmula'!J113,13))</f>
        <v>1.2</v>
      </c>
      <c r="AY113" s="109">
        <f t="array" ref="AY113">'Fórmula'!C113*(INDEX(properties!A$1:CB$87,'Fórmula'!B113,13))+'Fórmula'!E113*(INDEX(properties!A$1:CB$87,'Fórmula'!D113,13))+'Fórmula'!G113*(INDEX(properties!A$1:CB$87,'Fórmula'!F113,13))+'Fórmula'!I113*(INDEX(properties!A$1:CB$87,'Fórmula'!H113,13))+'Fórmula'!K113*(INDEX(properties!A$1:CB$87,'Fórmula'!J113,13))</f>
        <v>12</v>
      </c>
      <c r="AZ113" s="109">
        <f t="array" ref="AZ113">VARP(IF(INDEX(properties!A$1:CB$87,'Fórmula'!B113,13)&lt;&gt;"",INDEX(properties!A$1:CB$87,'Fórmula'!B113,13)),IF(INDEX(properties!A$1:CB$87,'Fórmula'!D113,13)&lt;&gt;"",INDEX(properties!A$1:CB$87,'Fórmula'!D113,13)),IF(INDEX(properties!A$1:CB$87,'Fórmula'!F113,13)&lt;&gt;"",INDEX(properties!A$1:CB$87,'Fórmula'!F113,13)),IF(INDEX(properties!A$1:CB$87,'Fórmula'!H113,13)&lt;&gt;"",INDEX(properties!A$1:CB$87,'Fórmula'!H113,13)),IF(INDEX(properties!A$1:CB$87,'Fórmula'!J113,13)&lt;&gt;"",INDEX(properties!A$1:CB$87,'Fórmula'!J113,13)))</f>
        <v>15.04</v>
      </c>
      <c r="BA113" s="109">
        <f t="array" ref="BA113">MAX(INDEX(properties!A$1:CB$87,'Fórmula'!B113,13),INDEX(properties!A$1:CB$87,'Fórmula'!D113,13),INDEX(properties!A$1:CB$87,'Fórmula'!F113,13),INDEX(properties!A$1:CB$87,'Fórmula'!H113,13),INDEX(properties!A$1:CB$87,'Fórmula'!J113,13))</f>
        <v>10</v>
      </c>
      <c r="BB113" s="109">
        <f t="array" ref="BB113">MIN(IF('Fórmula'!B113=87,10^6,INDEX(properties!A$1:CB$87,'Fórmula'!B113,13)),IF(('Fórmula'!D113)=87,10^6,INDEX(properties!A$1:CB$87,'Fórmula'!D113,13)),IF(('Fórmula'!F113)=87,10^6,INDEX(properties!A$1:CB$87,'Fórmula'!F113,13)),IF(('Fórmula'!H113)=87,10^6,INDEX(properties!A$1:CB$87,'Fórmula'!H113,13)),IF('Fórmula'!J113=87,10^6,INDEX(properties!A$1:CB$87,'Fórmula'!J113,13)))</f>
        <v>0</v>
      </c>
      <c r="BC113" s="109">
        <f t="shared" si="9"/>
        <v>10</v>
      </c>
      <c r="BD113" s="110">
        <f t="array" ref="BD113">(('Fórmula'!C113)/('Fórmula'!C113+'Fórmula'!E113+'Fórmula'!G113+'Fórmula'!I113+'Fórmula'!K113))*(INDEX(properties!A$1:CB$87,'Fórmula'!B113,14))+(('Fórmula'!E113)/('Fórmula'!C113+'Fórmula'!E113+'Fórmula'!G113+'Fórmula'!I113+'Fórmula'!K113))*(INDEX(properties!A$1:CB$87,'Fórmula'!D113,14))+(('Fórmula'!G113)/('Fórmula'!C113+'Fórmula'!E113+'Fórmula'!G113+'Fórmula'!I113+'Fórmula'!K113))*(INDEX(properties!A$1:CB$87,'Fórmula'!F113,14))+(('Fórmula'!I113)/('Fórmula'!C113+'Fórmula'!E113+'Fórmula'!G113+'Fórmula'!I113+'Fórmula'!K113))*(INDEX(properties!A$1:CB$87,'Fórmula'!H113,14))+(('Fórmula'!K113)/('Fórmula'!C113+'Fórmula'!E113+'Fórmula'!G113+'Fórmula'!I113+'Fórmula'!K113))*(INDEX(properties!A$1:CB$87,'Fórmula'!J113,14))</f>
        <v>0</v>
      </c>
      <c r="BE113" s="110">
        <f t="array" ref="BE113">'Fórmula'!C113*(INDEX(properties!A$1:CB$87,'Fórmula'!B113,14))+'Fórmula'!E113*(INDEX(properties!A$1:CB$87,'Fórmula'!D113,14))+'Fórmula'!G113*(INDEX(properties!A$1:CB$87,'Fórmula'!F113,14))+'Fórmula'!I113*(INDEX(properties!A$1:CB$87,'Fórmula'!H113,14))+'Fórmula'!K113*(INDEX(properties!A$1:CB$87,'Fórmula'!J113,14))</f>
        <v>0</v>
      </c>
      <c r="BF113" s="110">
        <f t="array" ref="BF113">VARP(IF(INDEX(properties!A$1:CB$87,'Fórmula'!B113,14)&lt;&gt;"",INDEX(properties!A$1:CB$87,'Fórmula'!B113,14)),IF(INDEX(properties!A$1:CB$87,'Fórmula'!D113,14)&lt;&gt;"",INDEX(properties!A$1:CB$87,'Fórmula'!D113,14)),IF(INDEX(properties!A$1:CB$87,'Fórmula'!F113,14)&lt;&gt;"",INDEX(properties!A$1:CB$87,'Fórmula'!F113,14)),IF(INDEX(properties!A$1:CB$87,'Fórmula'!H113,14)&lt;&gt;"",INDEX(properties!A$1:CB$87,'Fórmula'!H113,14)),IF(INDEX(properties!A$1:CB$87,'Fórmula'!J113,14)&lt;&gt;"",INDEX(properties!A$1:CB$87,'Fórmula'!J113,14)))</f>
        <v>0</v>
      </c>
      <c r="BG113" s="110">
        <f t="array" ref="BG113">MAX(INDEX(properties!A$1:CB$87,'Fórmula'!B113,14),INDEX(properties!A$1:CB$87,'Fórmula'!D113,14),INDEX(properties!A$1:CB$87,'Fórmula'!F113,14),INDEX(properties!A$1:CB$87,'Fórmula'!H113,14),INDEX(properties!A$1:CB$87,'Fórmula'!J113,14))</f>
        <v>0</v>
      </c>
      <c r="BH113" s="110">
        <f t="array" ref="BH113">MIN(IF('Fórmula'!B113=87,10^6,INDEX(properties!A$1:CB$87,'Fórmula'!B113,14)),IF(('Fórmula'!D113)=87,10^6,INDEX(properties!A$1:CB$87,'Fórmula'!D113,14)),IF(('Fórmula'!F113)=87,10^6,INDEX(properties!A$1:CB$87,'Fórmula'!F113,14)),IF(('Fórmula'!H113)=87,10^6,INDEX(properties!A$1:CB$87,'Fórmula'!H113,14)),IF('Fórmula'!J113=87,10^6,INDEX(properties!A$1:CB$87,'Fórmula'!J113,14)))</f>
        <v>0</v>
      </c>
      <c r="BI113" s="110">
        <f t="shared" si="10"/>
        <v>0</v>
      </c>
      <c r="BJ113" s="111">
        <f t="array" ref="BJ113">(('Fórmula'!C113)/('Fórmula'!C113+'Fórmula'!E113+'Fórmula'!G113+'Fórmula'!I113+'Fórmula'!K113))*(INDEX(properties!A$1:CB$87,'Fórmula'!B113,19))+(('Fórmula'!E113)/('Fórmula'!C113+'Fórmula'!E113+'Fórmula'!G113+'Fórmula'!I113+'Fórmula'!K113))*(INDEX(properties!A$1:CB$87,'Fórmula'!D113,19))+(('Fórmula'!G113)/('Fórmula'!C113+'Fórmula'!E113+'Fórmula'!G113+'Fórmula'!I113+'Fórmula'!K113))*(INDEX(properties!A$1:CB$87,'Fórmula'!F113,19))+(('Fórmula'!I113)/('Fórmula'!C113+'Fórmula'!E113+'Fórmula'!G113+'Fórmula'!I113+'Fórmula'!K113))*(INDEX(properties!A$1:CB$87,'Fórmula'!H113,19))+(('Fórmula'!K113)/('Fórmula'!C113+'Fórmula'!E113+'Fórmula'!G113+'Fórmula'!I113+'Fórmula'!K113))*(INDEX(properties!A$1:CB$87,'Fórmula'!J113,19))</f>
        <v>5.4</v>
      </c>
      <c r="BK113" s="111">
        <f t="array" ref="BK113">'Fórmula'!C113*(INDEX(properties!A$1:CB$87,'Fórmula'!B113,19))+'Fórmula'!E113*(INDEX(properties!A$1:CB$87,'Fórmula'!D113,19))+'Fórmula'!G113*(INDEX(properties!A$1:CB$87,'Fórmula'!F113,19))+'Fórmula'!I113*(INDEX(properties!A$1:CB$87,'Fórmula'!H113,19))+'Fórmula'!K113*(INDEX(properties!A$1:CB$87,'Fórmula'!J113,19))</f>
        <v>54</v>
      </c>
      <c r="BL113" s="111">
        <f t="array" ref="BL113">VARP(IF(INDEX(properties!A$1:CB$87,'Fórmula'!B113,19)&lt;&gt;"",INDEX(properties!A$1:CB$87,'Fórmula'!B113,19)),IF(INDEX(properties!A$1:CB$87,'Fórmula'!D113,19)&lt;&gt;"",INDEX(properties!A$1:CB$87,'Fórmula'!D113,19)),IF(INDEX(properties!A$1:CB$87,'Fórmula'!F113,19)&lt;&gt;"",INDEX(properties!A$1:CB$87,'Fórmula'!F113,19)),IF(INDEX(properties!A$1:CB$87,'Fórmula'!H113,19)&lt;&gt;"",INDEX(properties!A$1:CB$87,'Fórmula'!H113,19)),IF(INDEX(properties!A$1:CB$87,'Fórmula'!J113,19)&lt;&gt;"",INDEX(properties!A$1:CB$87,'Fórmula'!J113,19)))</f>
        <v>18.24</v>
      </c>
      <c r="BM113" s="111">
        <f t="array" ref="BM113">MAX(INDEX(properties!A$1:CB$87,'Fórmula'!B113,19),INDEX(properties!A$1:CB$87,'Fórmula'!D113,19),INDEX(properties!A$1:CB$87,'Fórmula'!F113,19),INDEX(properties!A$1:CB$87,'Fórmula'!H113,19),INDEX(properties!A$1:CB$87,'Fórmula'!J113,19))</f>
        <v>12</v>
      </c>
      <c r="BN113" s="111">
        <f t="array" ref="BN113">MIN(IF(INDEX(properties!A$1:CB$87,'Fórmula'!B113,19)=0,10^6,INDEX(properties!A$1:CB$87,'Fórmula'!B113,19)),IF(INDEX(properties!A$1:CB$87,'Fórmula'!D113,19)=0,10^6,INDEX(properties!A$1:CB$87,'Fórmula'!D113,19)),IF(INDEX(properties!A$1:CB$87,'Fórmula'!F113,19)=0,10^6,INDEX(properties!A$1:CB$87,'Fórmula'!F113,19)),IF(INDEX(properties!A$1:CB$87,'Fórmula'!H113,19)=0,10^6,INDEX(properties!A$1:CB$87,'Fórmula'!H113,19)),IF(INDEX(properties!A$1:CB$87,'Fórmula'!J113,19)=0,10^6,INDEX(properties!A$1:CB$87,'Fórmula'!J113,19)))</f>
        <v>1</v>
      </c>
      <c r="BO113" s="111">
        <f t="shared" si="11"/>
        <v>11</v>
      </c>
      <c r="BP113" s="112">
        <f t="array" ref="BP113">(('Fórmula'!C113)/('Fórmula'!C113+'Fórmula'!E113+'Fórmula'!G113+'Fórmula'!I113+'Fórmula'!K113))*(INDEX(properties!A$1:CB$87,'Fórmula'!B113,20))+(('Fórmula'!E113)/('Fórmula'!C113+'Fórmula'!E113+'Fórmula'!G113+'Fórmula'!I113+'Fórmula'!K113))*(INDEX(properties!A$1:CB$87,'Fórmula'!D113,20))+(('Fórmula'!G113)/('Fórmula'!C113+'Fórmula'!E113+'Fórmula'!G113+'Fórmula'!I113+'Fórmula'!K113))*(INDEX(properties!A$1:CB$87,'Fórmula'!F113,20))+(('Fórmula'!I113)/('Fórmula'!C113+'Fórmula'!E113+'Fórmula'!G113+'Fórmula'!I113+'Fórmula'!K113))*(INDEX(properties!A$1:CB$87,'Fórmula'!H113,20))+(('Fórmula'!K113)/('Fórmula'!C113+'Fórmula'!E113+'Fórmula'!G113+'Fórmula'!I113+'Fórmula'!K113))*(INDEX(properties!A$1:CB$87,'Fórmula'!J113,20))</f>
        <v>4.2</v>
      </c>
      <c r="BQ113" s="112">
        <f t="array" ref="BQ113">'Fórmula'!C113*(INDEX(properties!A$1:CB$87,'Fórmula'!B113,20))+'Fórmula'!E113*(INDEX(properties!A$1:CB$87,'Fórmula'!D113,20))+'Fórmula'!G113*(INDEX(properties!A$1:CB$87,'Fórmula'!F113,20))+'Fórmula'!I113*(INDEX(properties!A$1:CB$87,'Fórmula'!H113,20))+'Fórmula'!K113*(INDEX(properties!A$1:CB$87,'Fórmula'!J113,20))</f>
        <v>42</v>
      </c>
      <c r="BR113" s="112">
        <f t="array" ref="BR113">VARP(IF(INDEX(properties!A$1:CB$87,'Fórmula'!B113,20)&lt;&gt;"",INDEX(properties!A$1:CB$87,'Fórmula'!B113,20)),IF(INDEX(properties!A$1:CB$87,'Fórmula'!D113,20)&lt;&gt;"",INDEX(properties!A$1:CB$87,'Fórmula'!D113,20)),IF(INDEX(properties!A$1:CB$87,'Fórmula'!F113,20)&lt;&gt;"",INDEX(properties!A$1:CB$87,'Fórmula'!F113,20)),IF(INDEX(properties!A$1:CB$87,'Fórmula'!H113,20)&lt;&gt;"",INDEX(properties!A$1:CB$87,'Fórmula'!H113,20)),IF(INDEX(properties!A$1:CB$87,'Fórmula'!J113,20)&lt;&gt;"",INDEX(properties!A$1:CB$87,'Fórmula'!J113,20)))</f>
        <v>4.16</v>
      </c>
      <c r="BS113" s="112">
        <f t="array" ref="BS113">MAX(INDEX(properties!A$1:CB$87,'Fórmula'!B113,20),INDEX(properties!A$1:CB$87,'Fórmula'!D113,20),INDEX(properties!A$1:CB$87,'Fórmula'!F113,20),INDEX(properties!A$1:CB$87,'Fórmula'!H113,20),INDEX(properties!A$1:CB$87,'Fórmula'!J113,20))</f>
        <v>6</v>
      </c>
      <c r="BT113" s="112">
        <f t="array" ref="BT113">MIN(IF(INDEX(properties!A$1:CB$87,'Fórmula'!B113,20)=0,10^6,INDEX(properties!A$1:CB$87,'Fórmula'!B113,20)),IF(INDEX(properties!A$1:CB$87,'Fórmula'!D113,20)=0,10^6,INDEX(properties!A$1:CB$87,'Fórmula'!D113,20)),IF(INDEX(properties!A$1:CB$87,'Fórmula'!F113,20)=0,10^6,INDEX(properties!A$1:CB$87,'Fórmula'!F113,20)),IF(INDEX(properties!A$1:CB$87,'Fórmula'!H113,20)=0,10^6,INDEX(properties!A$1:CB$87,'Fórmula'!H113,20)),IF(INDEX(properties!A$1:CB$87,'Fórmula'!J113,20)=0,10^6,INDEX(properties!A$1:CB$87,'Fórmula'!J113,20)))</f>
        <v>1</v>
      </c>
      <c r="BU113" s="112">
        <f t="shared" si="12"/>
        <v>5</v>
      </c>
      <c r="BV113" s="113">
        <f t="array" ref="BV113">(('Fórmula'!C113)/('Fórmula'!C113+'Fórmula'!E113+'Fórmula'!G113+'Fórmula'!I113+'Fórmula'!K113))*(INDEX(properties!A$1:CB$87,'Fórmula'!B113,21))+(('Fórmula'!E113)/('Fórmula'!C113+'Fórmula'!E113+'Fórmula'!G113+'Fórmula'!I113+'Fórmula'!K113))*(INDEX(properties!A$1:CB$87,'Fórmula'!D113,21))+(('Fórmula'!G113)/('Fórmula'!C113+'Fórmula'!E113+'Fórmula'!G113+'Fórmula'!I113+'Fórmula'!K113))*(INDEX(properties!A$1:CB$87,'Fórmula'!F113,21))+(('Fórmula'!I113)/('Fórmula'!C113+'Fórmula'!E113+'Fórmula'!G113+'Fórmula'!I113+'Fórmula'!K113))*(INDEX(properties!A$1:CB$87,'Fórmula'!H113,21))+(('Fórmula'!K113)/('Fórmula'!C113+'Fórmula'!E113+'Fórmula'!G113+'Fórmula'!I113+'Fórmula'!K113))*(INDEX(properties!A$1:CB$87,'Fórmula'!J113,21))</f>
        <v>4.1</v>
      </c>
      <c r="BW113" s="113">
        <f t="array" ref="BW113">'Fórmula'!C113*(INDEX(properties!A$1:CB$87,'Fórmula'!B113,21))+'Fórmula'!E113*(INDEX(properties!A$1:CB$87,'Fórmula'!D113,21))+'Fórmula'!G113*(INDEX(properties!A$1:CB$87,'Fórmula'!F113,21))+'Fórmula'!I113*(INDEX(properties!A$1:CB$87,'Fórmula'!H113,21))+'Fórmula'!K113*(INDEX(properties!A$1:CB$87,'Fórmula'!J113,21))</f>
        <v>41</v>
      </c>
      <c r="BX113" s="113">
        <f t="array" ref="BX113">VARP(IF(INDEX(properties!A$1:CB$87,'Fórmula'!B113,21)&lt;&gt;"",INDEX(properties!A$1:CB$87,'Fórmula'!B113,21)),IF(INDEX(properties!A$1:CB$87,'Fórmula'!D113,21)&lt;&gt;"",INDEX(properties!A$1:CB$87,'Fórmula'!D113,21)),IF(INDEX(properties!A$1:CB$87,'Fórmula'!F113,21)&lt;&gt;"",INDEX(properties!A$1:CB$87,'Fórmula'!F113,21)),IF(INDEX(properties!A$1:CB$87,'Fórmula'!H113,21)&lt;&gt;"",INDEX(properties!A$1:CB$87,'Fórmula'!H113,21)),IF(INDEX(properties!A$1:CB$87,'Fórmula'!J113,21)&lt;&gt;"",INDEX(properties!A$1:CB$87,'Fórmula'!J113,21)))</f>
        <v>4.4</v>
      </c>
      <c r="BY113" s="113">
        <f t="array" ref="BY113">MAX(INDEX(properties!A$1:CB$87,'Fórmula'!B113,21),INDEX(properties!A$1:CB$87,'Fórmula'!D113,21),INDEX(properties!A$1:CB$87,'Fórmula'!F113,21),INDEX(properties!A$1:CB$87,'Fórmula'!H113,21),INDEX(properties!A$1:CB$87,'Fórmula'!J113,21))</f>
        <v>6</v>
      </c>
      <c r="BZ113" s="113">
        <f t="array" ref="BZ113">MIN(IF(INDEX(properties!A$1:CB$87,'Fórmula'!B113,21)=0,10^6,INDEX(properties!A$1:CB$87,'Fórmula'!B113,21)),IF(INDEX(properties!A$1:CB$87,'Fórmula'!D113,21)=0,10^6,INDEX(properties!A$1:CB$87,'Fórmula'!D113,21)),IF(INDEX(properties!A$1:CB$87,'Fórmula'!F113,21)=0,10^6,INDEX(properties!A$1:CB$87,'Fórmula'!F113,21)),IF(INDEX(properties!A$1:CB$87,'Fórmula'!H113,21)=0,10^6,INDEX(properties!A$1:CB$87,'Fórmula'!H113,21)),IF(INDEX(properties!A$1:CB$87,'Fórmula'!J113,21)=0,10^6,INDEX(properties!A$1:CB$87,'Fórmula'!J113,21)))</f>
        <v>1</v>
      </c>
      <c r="CA113" s="113">
        <f t="shared" si="13"/>
        <v>5</v>
      </c>
      <c r="CB113" s="114">
        <f t="array" ref="CB113">(('Fórmula'!C113)/('Fórmula'!C113+'Fórmula'!E113+'Fórmula'!G113+'Fórmula'!I113+'Fórmula'!K113))*(INDEX(properties!A$1:CB$87,'Fórmula'!B113,23))+(('Fórmula'!E113)/('Fórmula'!C113+'Fórmula'!E113+'Fórmula'!G113+'Fórmula'!I113+'Fórmula'!K113))*(INDEX(properties!A$1:CB$87,'Fórmula'!D113,23))+(('Fórmula'!G113)/('Fórmula'!C113+'Fórmula'!E113+'Fórmula'!G113+'Fórmula'!I113+'Fórmula'!K113))*(INDEX(properties!A$1:CB$87,'Fórmula'!F113,23))+(('Fórmula'!I113)/('Fórmula'!C113+'Fórmula'!E113+'Fórmula'!G113+'Fórmula'!I113+'Fórmula'!K113))*(INDEX(properties!A$1:CB$87,'Fórmula'!H113,23))+(('Fórmula'!K113)/('Fórmula'!C113+'Fórmula'!E113+'Fórmula'!G113+'Fórmula'!I113+'Fórmula'!K113))*(INDEX(properties!A$1:CB$87,'Fórmula'!J113,23))</f>
        <v>1.044</v>
      </c>
      <c r="CC113" s="114">
        <f t="array" ref="CC113">'Fórmula'!C113*(INDEX(properties!A$1:CB$87,'Fórmula'!B113,23))+'Fórmula'!E113*(INDEX(properties!A$1:CB$87,'Fórmula'!D113,23))+'Fórmula'!G113*(INDEX(properties!A$1:CB$87,'Fórmula'!F113,23))+'Fórmula'!I113*(INDEX(properties!A$1:CB$87,'Fórmula'!H113,23))+'Fórmula'!K113*(INDEX(properties!A$1:CB$87,'Fórmula'!J113,23))</f>
        <v>10.44</v>
      </c>
      <c r="CD113" s="114">
        <f t="array" ref="CD113">VARP(IF(INDEX(properties!A$1:CB$87,'Fórmula'!B113,23)&lt;&gt;"",INDEX(properties!A$1:CB$87,'Fórmula'!B113,23)),IF(INDEX(properties!A$1:CB$87,'Fórmula'!D113,23)&lt;&gt;"",INDEX(properties!A$1:CB$87,'Fórmula'!D113,23)),IF(INDEX(properties!A$1:CB$87,'Fórmula'!F113,23)&lt;&gt;"",INDEX(properties!A$1:CB$87,'Fórmula'!F113,23)),IF(INDEX(properties!A$1:CB$87,'Fórmula'!H113,23)&lt;&gt;"",INDEX(properties!A$1:CB$87,'Fórmula'!H113,23)),IF(INDEX(properties!A$1:CB$87,'Fórmula'!J113,23)&lt;&gt;"",INDEX(properties!A$1:CB$87,'Fórmula'!J113,23)))</f>
        <v>3.778176</v>
      </c>
      <c r="CE113" s="114">
        <f t="array" ref="CE113">MAX(INDEX(properties!A$1:CB$87,'Fórmula'!B113,23),INDEX(properties!A$1:CB$87,'Fórmula'!D113,23),INDEX(properties!A$1:CB$87,'Fórmula'!F113,23),INDEX(properties!A$1:CB$87,'Fórmula'!H113,23),INDEX(properties!A$1:CB$87,'Fórmula'!J113,23))</f>
        <v>4.44</v>
      </c>
      <c r="CF113" s="114">
        <f t="array" ref="CF113">MIN(IF('Fórmula'!B113=87,10^6,INDEX(properties!A$1:CB$87,'Fórmula'!B113,23)),IF(('Fórmula'!D113)=87,10^6,INDEX(properties!A$1:CB$87,'Fórmula'!D113,23)),IF(('Fórmula'!F113)=87,10^6,INDEX(properties!A$1:CB$87,'Fórmula'!F113,23)),IF(('Fórmula'!H113)=87,10^6,INDEX(properties!A$1:CB$87,'Fórmula'!H113,23)),IF('Fórmula'!J113=87,10^6,INDEX(properties!A$1:CB$87,'Fórmula'!J113,23)))</f>
        <v>0</v>
      </c>
      <c r="CG113" s="114">
        <f t="shared" si="14"/>
        <v>4.44</v>
      </c>
      <c r="CH113" s="115">
        <f t="array" ref="CH113">(('Fórmula'!C113)/('Fórmula'!C113+'Fórmula'!E113+'Fórmula'!G113+'Fórmula'!I113+'Fórmula'!K113))*(INDEX(properties!A$1:CB$87,'Fórmula'!B113,26))+(('Fórmula'!E113)/('Fórmula'!C113+'Fórmula'!E113+'Fórmula'!G113+'Fórmula'!I113+'Fórmula'!K113))*(INDEX(properties!A$1:CB$87,'Fórmula'!D113,26))+(('Fórmula'!G113)/('Fórmula'!C113+'Fórmula'!E113+'Fórmula'!G113+'Fórmula'!I113+'Fórmula'!K113))*(INDEX(properties!A$1:CB$87,'Fórmula'!F113,26))+(('Fórmula'!I113)/('Fórmula'!C113+'Fórmula'!E113+'Fórmula'!G113+'Fórmula'!I113+'Fórmula'!K113))*(INDEX(properties!A$1:CB$87,'Fórmula'!H113,26))+(('Fórmula'!K113)/('Fórmula'!C113+'Fórmula'!E113+'Fórmula'!G113+'Fórmula'!I113+'Fórmula'!K113))*(INDEX(properties!A$1:CB$87,'Fórmula'!J113,26))</f>
        <v>10.62851</v>
      </c>
      <c r="CI113" s="115">
        <f t="array" ref="CI113">'Fórmula'!C113*(INDEX(properties!A$1:CB$87,'Fórmula'!B113,26))+'Fórmula'!E113*(INDEX(properties!A$1:CB$87,'Fórmula'!D113,26))+'Fórmula'!G113*(INDEX(properties!A$1:CB$87,'Fórmula'!F113,26))+'Fórmula'!I113*(INDEX(properties!A$1:CB$87,'Fórmula'!H113,26))+'Fórmula'!K113*(INDEX(properties!A$1:CB$87,'Fórmula'!J113,26))</f>
        <v>106.2851</v>
      </c>
      <c r="CJ113" s="115">
        <f t="array" ref="CJ113">VARP(IF(INDEX(properties!A$1:CB$87,'Fórmula'!B113,26)&lt;&gt;"",INDEX(properties!A$1:CB$87,'Fórmula'!B113,26)),IF(INDEX(properties!A$1:CB$87,'Fórmula'!D113,26)&lt;&gt;"",INDEX(properties!A$1:CB$87,'Fórmula'!D113,26)),IF(INDEX(properties!A$1:CB$87,'Fórmula'!F113,26)&lt;&gt;"",INDEX(properties!A$1:CB$87,'Fórmula'!F113,26)),IF(INDEX(properties!A$1:CB$87,'Fórmula'!H113,26)&lt;&gt;"",INDEX(properties!A$1:CB$87,'Fórmula'!H113,26)),IF(INDEX(properties!A$1:CB$87,'Fórmula'!J113,26)&lt;&gt;"",INDEX(properties!A$1:CB$87,'Fórmula'!J113,26)))</f>
        <v>21.2673388</v>
      </c>
      <c r="CK113" s="116">
        <f t="array" ref="CK113">MAX(INDEX(properties!A$1:CB$87,'Fórmula'!B113,26),INDEX(properties!A$1:CB$87,'Fórmula'!D113,26),INDEX(properties!A$1:CB$87,'Fórmula'!F113,26),INDEX(properties!A$1:CB$87,'Fórmula'!H113,26),INDEX(properties!A$1:CB$87,'Fórmula'!J113,26))</f>
        <v>13.6181</v>
      </c>
      <c r="CL113" s="116">
        <f t="array" ref="CL113">MIN(IF(INDEX(properties!A$1:CB$87,'Fórmula'!B113,26)=0,10^6,INDEX(properties!A$1:CB$87,'Fórmula'!B113,26)),IF(INDEX(properties!A$1:CB$87,'Fórmula'!D113,26)=0,10^6,INDEX(properties!A$1:CB$87,'Fórmula'!D113,26)),IF(INDEX(properties!A$1:CB$87,'Fórmula'!F113,26)=0,10^6,INDEX(properties!A$1:CB$87,'Fórmula'!F113,26)),IF(INDEX(properties!A$1:CB$87,'Fórmula'!H113,26)=0,10^6,INDEX(properties!A$1:CB$87,'Fórmula'!H113,26)),IF(INDEX(properties!A$1:CB$87,'Fórmula'!J113,26)=0,10^6,INDEX(properties!A$1:CB$87,'Fórmula'!J113,26)))</f>
        <v>4.1771</v>
      </c>
      <c r="CM113" s="115">
        <f t="shared" si="15"/>
        <v>9.441</v>
      </c>
      <c r="CN113" s="117">
        <f t="array" ref="CN113">(('Fórmula'!C113)/('Fórmula'!C113+'Fórmula'!E113+'Fórmula'!G113+'Fórmula'!I113+'Fórmula'!K113))*(INDEX(properties!A$1:CB$87,'Fórmula'!B113,30))+(('Fórmula'!E113)/('Fórmula'!C113+'Fórmula'!E113+'Fórmula'!G113+'Fórmula'!I113+'Fórmula'!K113))*(INDEX(properties!A$1:CB$87,'Fórmula'!D113,30))+(('Fórmula'!G113)/('Fórmula'!C113+'Fórmula'!E113+'Fórmula'!G113+'Fórmula'!I113+'Fórmula'!K113))*(INDEX(properties!A$1:CB$87,'Fórmula'!F113,30))+(('Fórmula'!I113)/('Fórmula'!C113+'Fórmula'!E113+'Fórmula'!G113+'Fórmula'!I113+'Fórmula'!K113))*(INDEX(properties!A$1:CB$87,'Fórmula'!H113,30))+(('Fórmula'!K113)/('Fórmula'!C113+'Fórmula'!E113+'Fórmula'!G113+'Fórmula'!I113+'Fórmula'!K113))*(INDEX(properties!A$1:CB$87,'Fórmula'!J113,30))</f>
        <v>2.547</v>
      </c>
      <c r="CO113" s="117">
        <f t="array" ref="CO113">'Fórmula'!C113*(INDEX(properties!A$1:CB$87,'Fórmula'!B113,30))+'Fórmula'!E113*(INDEX(properties!A$1:CB$87,'Fórmula'!D113,30))+'Fórmula'!G113*(INDEX(properties!A$1:CB$87,'Fórmula'!F113,30))+'Fórmula'!I113*(INDEX(properties!A$1:CB$87,'Fórmula'!H113,30))+'Fórmula'!K113*(INDEX(properties!A$1:CB$87,'Fórmula'!J113,30))</f>
        <v>25.47</v>
      </c>
      <c r="CP113" s="117">
        <f t="array" ref="CP113">VARP(IF(INDEX(properties!A$1:CB$87,'Fórmula'!B113,30)&lt;&gt;"",INDEX(properties!A$1:CB$87,'Fórmula'!B113,30)),IF(INDEX(properties!A$1:CB$87,'Fórmula'!D113,30)&lt;&gt;"",INDEX(properties!A$1:CB$87,'Fórmula'!D113,30)),IF(INDEX(properties!A$1:CB$87,'Fórmula'!F113,30)&lt;&gt;"",INDEX(properties!A$1:CB$87,'Fórmula'!F113,30)),IF(INDEX(properties!A$1:CB$87,'Fórmula'!H113,30)&lt;&gt;"",INDEX(properties!A$1:CB$87,'Fórmula'!H113,30)),IF(INDEX(properties!A$1:CB$87,'Fórmula'!J113,30)&lt;&gt;"",INDEX(properties!A$1:CB$87,'Fórmula'!J113,30)))</f>
        <v>1.29992</v>
      </c>
      <c r="CQ113" s="117">
        <f t="array" ref="CQ113">MAX(INDEX(properties!A$1:CB$87,'Fórmula'!B113,30),INDEX(properties!A$1:CB$87,'Fórmula'!D113,30),INDEX(properties!A$1:CB$87,'Fórmula'!F113,30),INDEX(properties!A$1:CB$87,'Fórmula'!H113,30),INDEX(properties!A$1:CB$87,'Fórmula'!J113,30))</f>
        <v>3.44</v>
      </c>
      <c r="CR113" s="117">
        <f t="array" ref="CR113">MIN(IF(INDEX(properties!A$1:CB$87,'Fórmula'!B113,30)=0,10^6,INDEX(properties!A$1:CB$87,'Fórmula'!B113,30)),IF(INDEX(properties!A$1:CB$87,'Fórmula'!D113,30)=0,10^6,INDEX(properties!A$1:CB$87,'Fórmula'!D113,30)),IF(INDEX(properties!A$1:CB$87,'Fórmula'!F113,30)=0,10^6,INDEX(properties!A$1:CB$87,'Fórmula'!F113,30)),IF(INDEX(properties!A$1:CB$87,'Fórmula'!H113,30)=0,10^6,INDEX(properties!A$1:CB$87,'Fórmula'!H113,30)),IF(INDEX(properties!A$1:CB$87,'Fórmula'!J113,30)=0,10^6,INDEX(properties!A$1:CB$87,'Fórmula'!J113,30)))</f>
        <v>0.82</v>
      </c>
      <c r="CS113" s="117">
        <f t="shared" si="16"/>
        <v>2.62</v>
      </c>
      <c r="CT113" s="118">
        <f t="array" ref="CT113">(('Fórmula'!C113)/('Fórmula'!C113+'Fórmula'!E113+'Fórmula'!G113+'Fórmula'!I113+'Fórmula'!K113))*(INDEX(properties!A$1:CB$87,'Fórmula'!B113,31))+(('Fórmula'!E113)/('Fórmula'!C113+'Fórmula'!E113+'Fórmula'!G113+'Fórmula'!I113+'Fórmula'!K113))*(INDEX(properties!A$1:CB$87,'Fórmula'!D113,31))+(('Fórmula'!G113)/('Fórmula'!C113+'Fórmula'!E113+'Fórmula'!G113+'Fórmula'!I113+'Fórmula'!K113))*(INDEX(properties!A$1:CB$87,'Fórmula'!F113,31))+(('Fórmula'!I113)/('Fórmula'!C113+'Fórmula'!E113+'Fórmula'!G113+'Fórmula'!I113+'Fórmula'!K113))*(INDEX(properties!A$1:CB$87,'Fórmula'!H113,31))+(('Fórmula'!K113)/('Fórmula'!C113+'Fórmula'!E113+'Fórmula'!G113+'Fórmula'!I113+'Fórmula'!K113))*(INDEX(properties!A$1:CB$87,'Fórmula'!J113,31))</f>
        <v>2.482</v>
      </c>
      <c r="CU113" s="118">
        <f t="array" ref="CU113">'Fórmula'!C113*(INDEX(properties!A$1:CB$87,'Fórmula'!B113,31))+'Fórmula'!E113*(INDEX(properties!A$1:CB$87,'Fórmula'!D113,31))+'Fórmula'!G113*(INDEX(properties!A$1:CB$87,'Fórmula'!F113,31))+'Fórmula'!I113*(INDEX(properties!A$1:CB$87,'Fórmula'!H113,31))+'Fórmula'!K113*(INDEX(properties!A$1:CB$87,'Fórmula'!J113,31))</f>
        <v>24.82</v>
      </c>
      <c r="CV113" s="118">
        <f t="array" ref="CV113">VARP(IF(INDEX(properties!A$1:CB$87,'Fórmula'!B113,31)&lt;&gt;"",INDEX(properties!A$1:CB$87,'Fórmula'!B113,31)),IF(INDEX(properties!A$1:CB$87,'Fórmula'!D113,31)&lt;&gt;"",INDEX(properties!A$1:CB$87,'Fórmula'!D113,31)),IF(INDEX(properties!A$1:CB$87,'Fórmula'!F113,31)&lt;&gt;"",INDEX(properties!A$1:CB$87,'Fórmula'!F113,31)),IF(INDEX(properties!A$1:CB$87,'Fórmula'!H113,31)&lt;&gt;"",INDEX(properties!A$1:CB$87,'Fórmula'!H113,31)),IF(INDEX(properties!A$1:CB$87,'Fórmula'!J113,31)&lt;&gt;"",INDEX(properties!A$1:CB$87,'Fórmula'!J113,31)))</f>
        <v>1.236864</v>
      </c>
      <c r="CW113" s="118">
        <f t="array" ref="CW113">MAX(INDEX(properties!A$1:CB$87,'Fórmula'!B113,31),INDEX(properties!A$1:CB$87,'Fórmula'!D113,31),INDEX(properties!A$1:CB$87,'Fórmula'!F113,31),INDEX(properties!A$1:CB$87,'Fórmula'!H113,31),INDEX(properties!A$1:CB$87,'Fórmula'!J113,31))</f>
        <v>3.32</v>
      </c>
      <c r="CX113" s="118">
        <f t="array" ref="CX113">MIN(IF(INDEX(properties!A$1:CB$87,'Fórmula'!B113,31)=0,10^6,INDEX(properties!A$1:CB$87,'Fórmula'!B113,31)),IF(INDEX(properties!A$1:CB$87,'Fórmula'!D113,31)=0,10^6,INDEX(properties!A$1:CB$87,'Fórmula'!D113,31)),IF(INDEX(properties!A$1:CB$87,'Fórmula'!F113,31)=0,10^6,INDEX(properties!A$1:CB$87,'Fórmula'!F113,31)),IF(INDEX(properties!A$1:CB$87,'Fórmula'!H113,31)=0,10^6,INDEX(properties!A$1:CB$87,'Fórmula'!H113,31)),IF(INDEX(properties!A$1:CB$87,'Fórmula'!J113,31)=0,10^6,INDEX(properties!A$1:CB$87,'Fórmula'!J113,31)))</f>
        <v>0.8</v>
      </c>
      <c r="CY113" s="118">
        <f t="shared" si="17"/>
        <v>2.52</v>
      </c>
      <c r="CZ113" s="119">
        <f t="array" ref="CZ113">(('Fórmula'!C113)/('Fórmula'!C113+'Fórmula'!E113+'Fórmula'!G113+'Fórmula'!I113+'Fórmula'!K113))*(INDEX(properties!A$1:CB$87,'Fórmula'!B113,32))+(('Fórmula'!E113)/('Fórmula'!C113+'Fórmula'!E113+'Fórmula'!G113+'Fórmula'!I113+'Fórmula'!K113))*(INDEX(properties!A$1:CB$87,'Fórmula'!D113,32))+(('Fórmula'!G113)/('Fórmula'!C113+'Fórmula'!E113+'Fórmula'!G113+'Fórmula'!I113+'Fórmula'!K113))*(INDEX(properties!A$1:CB$87,'Fórmula'!F113,32))+(('Fórmula'!I113)/('Fórmula'!C113+'Fórmula'!E113+'Fórmula'!G113+'Fórmula'!I113+'Fórmula'!K113))*(INDEX(properties!A$1:CB$87,'Fórmula'!H113,32))+(('Fórmula'!K113)/('Fórmula'!C113+'Fórmula'!E113+'Fórmula'!G113+'Fórmula'!I113+'Fórmula'!K113))*(INDEX(properties!A$1:CB$87,'Fórmula'!J113,32))</f>
        <v>5.782</v>
      </c>
      <c r="DA113" s="119">
        <f t="array" ref="DA113">'Fórmula'!C113*(INDEX(properties!A$1:CB$87,'Fórmula'!B113,32))+'Fórmula'!E113*(INDEX(properties!A$1:CB$87,'Fórmula'!D113,32))+'Fórmula'!G113*(INDEX(properties!A$1:CB$87,'Fórmula'!F113,32))+'Fórmula'!I113*(INDEX(properties!A$1:CB$87,'Fórmula'!H113,32))+'Fórmula'!K113*(INDEX(properties!A$1:CB$87,'Fórmula'!J113,32))</f>
        <v>57.82</v>
      </c>
      <c r="DB113" s="119">
        <f t="array" ref="DB113">VARP(IF(INDEX(properties!A$1:CB$87,'Fórmula'!B113,32)&lt;&gt;"",INDEX(properties!A$1:CB$87,'Fórmula'!B113,32)),IF(INDEX(properties!A$1:CB$87,'Fórmula'!D113,32)&lt;&gt;"",INDEX(properties!A$1:CB$87,'Fórmula'!D113,32)),IF(INDEX(properties!A$1:CB$87,'Fórmula'!F113,32)&lt;&gt;"",INDEX(properties!A$1:CB$87,'Fórmula'!F113,32)),IF(INDEX(properties!A$1:CB$87,'Fórmula'!H113,32)&lt;&gt;"",INDEX(properties!A$1:CB$87,'Fórmula'!H113,32)),IF(INDEX(properties!A$1:CB$87,'Fórmula'!J113,32)&lt;&gt;"",INDEX(properties!A$1:CB$87,'Fórmula'!J113,32)))</f>
        <v>6.161304</v>
      </c>
      <c r="DC113" s="119">
        <f t="array" ref="DC113">MAX(INDEX(properties!A$1:CB$87,'Fórmula'!B113,32),INDEX(properties!A$1:CB$87,'Fórmula'!D113,32),INDEX(properties!A$1:CB$87,'Fórmula'!F113,32),INDEX(properties!A$1:CB$87,'Fórmula'!H113,32),INDEX(properties!A$1:CB$87,'Fórmula'!J113,32))</f>
        <v>7.54</v>
      </c>
      <c r="DD113" s="119">
        <f t="array" ref="DD113">MIN(IF(INDEX(properties!A$1:CB$87,'Fórmula'!B113,32)=0,10^6,INDEX(properties!A$1:CB$87,'Fórmula'!B113,32)),IF(INDEX(properties!A$1:CB$87,'Fórmula'!D113,32)=0,10^6,INDEX(properties!A$1:CB$87,'Fórmula'!D113,32)),IF(INDEX(properties!A$1:CB$87,'Fórmula'!F113,32)=0,10^6,INDEX(properties!A$1:CB$87,'Fórmula'!F113,32)),IF(INDEX(properties!A$1:CB$87,'Fórmula'!H113,32)=0,10^6,INDEX(properties!A$1:CB$87,'Fórmula'!H113,32)),IF(INDEX(properties!A$1:CB$87,'Fórmula'!J113,32)=0,10^6,INDEX(properties!A$1:CB$87,'Fórmula'!J113,32)))</f>
        <v>2.34</v>
      </c>
      <c r="DE113" s="119">
        <f t="shared" si="18"/>
        <v>5.2</v>
      </c>
      <c r="DF113" s="104">
        <f t="array" ref="DF113">(('Fórmula'!C113)/('Fórmula'!C113+'Fórmula'!E113+'Fórmula'!G113+'Fórmula'!I113+'Fórmula'!K113))*(INDEX(properties!A$1:CB$87,'Fórmula'!B113,34))+(('Fórmula'!E113)/('Fórmula'!C113+'Fórmula'!E113+'Fórmula'!G113+'Fórmula'!I113+'Fórmula'!K113))*(INDEX(properties!A$1:CB$87,'Fórmula'!D113,34))+(('Fórmula'!G113)/('Fórmula'!C113+'Fórmula'!E113+'Fórmula'!G113+'Fórmula'!I113+'Fórmula'!K113))*(INDEX(properties!A$1:CB$87,'Fórmula'!F113,34))+(('Fórmula'!I113)/('Fórmula'!C113+'Fórmula'!E113+'Fórmula'!G113+'Fórmula'!I113+'Fórmula'!K113))*(INDEX(properties!A$1:CB$87,'Fórmula'!H113,34))+(('Fórmula'!K113)/('Fórmula'!C113+'Fórmula'!E113+'Fórmula'!G113+'Fórmula'!I113+'Fórmula'!K113))*(INDEX(properties!A$1:CB$87,'Fórmula'!J113,34))</f>
        <v>2.6042</v>
      </c>
      <c r="DG113" s="104">
        <f t="array" ref="DG113">'Fórmula'!C113*(INDEX(properties!A$1:CB$87,'Fórmula'!B113,34))+'Fórmula'!E113*(INDEX(properties!A$1:CB$87,'Fórmula'!D113,34))+'Fórmula'!G113*(INDEX(properties!A$1:CB$87,'Fórmula'!F113,34))+'Fórmula'!I113*(INDEX(properties!A$1:CB$87,'Fórmula'!H113,34))+'Fórmula'!K113*(INDEX(properties!A$1:CB$87,'Fórmula'!J113,34))</f>
        <v>26.042</v>
      </c>
      <c r="DH113" s="104">
        <f t="array" ref="DH113">VARP(IF(INDEX(properties!A$1:CB$87,'Fórmula'!B113,34)&lt;&gt;"",INDEX(properties!A$1:CB$87,'Fórmula'!B113,34)),IF(INDEX(properties!A$1:CB$87,'Fórmula'!D113,34)&lt;&gt;"",INDEX(properties!A$1:CB$87,'Fórmula'!D113,34)),IF(INDEX(properties!A$1:CB$87,'Fórmula'!F113,34)&lt;&gt;"",INDEX(properties!A$1:CB$87,'Fórmula'!F113,34)),IF(INDEX(properties!A$1:CB$87,'Fórmula'!H113,34)&lt;&gt;"",INDEX(properties!A$1:CB$87,'Fórmula'!H113,34)),IF(INDEX(properties!A$1:CB$87,'Fórmula'!J113,34)&lt;&gt;"",INDEX(properties!A$1:CB$87,'Fórmula'!J113,34)))</f>
        <v>1.46917536</v>
      </c>
      <c r="DI113" s="104">
        <f t="array" ref="DI113">MAX(INDEX(properties!A$1:CB$87,'Fórmula'!B113,34),INDEX(properties!A$1:CB$87,'Fórmula'!D113,34),INDEX(properties!A$1:CB$87,'Fórmula'!F113,34),INDEX(properties!A$1:CB$87,'Fórmula'!H113,34),INDEX(properties!A$1:CB$87,'Fórmula'!J113,34))</f>
        <v>3.61</v>
      </c>
      <c r="DJ113" s="104">
        <f t="array" ref="DJ113">MIN(IF(INDEX(properties!A$1:CB$87,'Fórmula'!B113,34)=0,10^6,INDEX(properties!A$1:CB$87,'Fórmula'!B113,34)),IF(INDEX(properties!A$1:CB$87,'Fórmula'!D113,34)=0,10^6,INDEX(properties!A$1:CB$87,'Fórmula'!D113,34)),IF(INDEX(properties!A$1:CB$87,'Fórmula'!F113,34)=0,10^6,INDEX(properties!A$1:CB$87,'Fórmula'!F113,34)),IF(INDEX(properties!A$1:CB$87,'Fórmula'!H113,34)=0,10^6,INDEX(properties!A$1:CB$87,'Fórmula'!H113,34)),IF(INDEX(properties!A$1:CB$87,'Fórmula'!J113,34)=0,10^6,INDEX(properties!A$1:CB$87,'Fórmula'!J113,34)))</f>
        <v>0.706</v>
      </c>
      <c r="DK113" s="104">
        <f t="shared" si="19"/>
        <v>2.904</v>
      </c>
      <c r="DL113" s="105">
        <f t="array" ref="DL113">(('Fórmula'!C113)/('Fórmula'!C113+'Fórmula'!E113+'Fórmula'!G113+'Fórmula'!I113+'Fórmula'!K113))*(INDEX(properties!A$1:CB$87,'Fórmula'!B113,37))+(('Fórmula'!E113)/('Fórmula'!C113+'Fórmula'!E113+'Fórmula'!G113+'Fórmula'!I113+'Fórmula'!K113))*(INDEX(properties!A$1:CB$87,'Fórmula'!D113,37))+(('Fórmula'!G113)/('Fórmula'!C113+'Fórmula'!E113+'Fórmula'!G113+'Fórmula'!I113+'Fórmula'!K113))*(INDEX(properties!A$1:CB$87,'Fórmula'!F113,37))+(('Fórmula'!I113)/('Fórmula'!C113+'Fórmula'!E113+'Fórmula'!G113+'Fórmula'!I113+'Fórmula'!K113))*(INDEX(properties!A$1:CB$87,'Fórmula'!H113,37))+(('Fórmula'!K113)/('Fórmula'!C113+'Fórmula'!E113+'Fórmula'!G113+'Fórmula'!I113+'Fórmula'!K113))*(INDEX(properties!A$1:CB$87,'Fórmula'!J113,37))</f>
        <v>2.506</v>
      </c>
      <c r="DM113" s="105">
        <f t="array" ref="DM113">'Fórmula'!C113*(INDEX(properties!A$1:CB$87,'Fórmula'!B113,37))+'Fórmula'!E113*(INDEX(properties!A$1:CB$87,'Fórmula'!D113,37))+'Fórmula'!G113*(INDEX(properties!A$1:CB$87,'Fórmula'!F113,37))+'Fórmula'!I113*(INDEX(properties!A$1:CB$87,'Fórmula'!H113,37))+'Fórmula'!K113*(INDEX(properties!A$1:CB$87,'Fórmula'!J113,37))</f>
        <v>25.06</v>
      </c>
      <c r="DN113" s="105">
        <f t="array" ref="DN113">VARP(IF(INDEX(properties!A$1:CB$87,'Fórmula'!B113,37)&lt;&gt;"",INDEX(properties!A$1:CB$87,'Fórmula'!B113,37)),IF(INDEX(properties!A$1:CB$87,'Fórmula'!D113,37)&lt;&gt;"",INDEX(properties!A$1:CB$87,'Fórmula'!D113,37)),IF(INDEX(properties!A$1:CB$87,'Fórmula'!F113,37)&lt;&gt;"",INDEX(properties!A$1:CB$87,'Fórmula'!F113,37)),IF(INDEX(properties!A$1:CB$87,'Fórmula'!H113,37)&lt;&gt;"",INDEX(properties!A$1:CB$87,'Fórmula'!H113,37)),IF(INDEX(properties!A$1:CB$87,'Fórmula'!J113,37)&lt;&gt;"",INDEX(properties!A$1:CB$87,'Fórmula'!J113,37)))</f>
        <v>1.325344</v>
      </c>
      <c r="DO113" s="105">
        <f t="array" ref="DO113">MAX(INDEX(properties!A$1:CB$87,'Fórmula'!B113,37),INDEX(properties!A$1:CB$87,'Fórmula'!D113,37),INDEX(properties!A$1:CB$87,'Fórmula'!F113,37),INDEX(properties!A$1:CB$87,'Fórmula'!H113,37),INDEX(properties!A$1:CB$87,'Fórmula'!J113,37))</f>
        <v>3.45</v>
      </c>
      <c r="DP113" s="105">
        <f t="array" ref="DP113">MIN(IF(INDEX(properties!A$1:CB$87,'Fórmula'!B113,37)=0,10^6,INDEX(properties!A$1:CB$87,'Fórmula'!B113,37)),IF(INDEX(properties!A$1:CB$87,'Fórmula'!D113,37)=0,10^6,INDEX(properties!A$1:CB$87,'Fórmula'!D113,37)),IF(INDEX(properties!A$1:CB$87,'Fórmula'!F113,37)=0,10^6,INDEX(properties!A$1:CB$87,'Fórmula'!F113,37)),IF(INDEX(properties!A$1:CB$87,'Fórmula'!H113,37)=0,10^6,INDEX(properties!A$1:CB$87,'Fórmula'!H113,37)),IF(INDEX(properties!A$1:CB$87,'Fórmula'!J113,37)=0,10^6,INDEX(properties!A$1:CB$87,'Fórmula'!J113,37)))</f>
        <v>0.78</v>
      </c>
      <c r="DQ113" s="105">
        <f t="shared" si="20"/>
        <v>2.67</v>
      </c>
      <c r="DR113" s="109">
        <f t="array" ref="DR113">(('Fórmula'!C113)/('Fórmula'!C113+'Fórmula'!E113+'Fórmula'!G113+'Fórmula'!I113+'Fórmula'!K113))*(INDEX(properties!A$1:CB$87,'Fórmula'!B113,39))+(('Fórmula'!E113)/('Fórmula'!C113+'Fórmula'!E113+'Fórmula'!G113+'Fórmula'!I113+'Fórmula'!K113))*(INDEX(properties!A$1:CB$87,'Fórmula'!D113,39))+(('Fórmula'!G113)/('Fórmula'!C113+'Fórmula'!E113+'Fórmula'!G113+'Fórmula'!I113+'Fórmula'!K113))*(INDEX(properties!A$1:CB$87,'Fórmula'!F113,39))+(('Fórmula'!I113)/('Fórmula'!C113+'Fórmula'!E113+'Fórmula'!G113+'Fórmula'!I113+'Fórmula'!K113))*(INDEX(properties!A$1:CB$87,'Fórmula'!H113,39))+(('Fórmula'!K113)/('Fórmula'!C113+'Fórmula'!E113+'Fórmula'!G113+'Fórmula'!I113+'Fórmula'!K113))*(INDEX(properties!A$1:CB$87,'Fórmula'!J113,39))</f>
        <v>1.136</v>
      </c>
      <c r="DS113" s="109">
        <f t="array" ref="DS113">'Fórmula'!C113*(INDEX(properties!A$1:CB$87,'Fórmula'!B113,39))+'Fórmula'!E113*(INDEX(properties!A$1:CB$87,'Fórmula'!D113,39))+'Fórmula'!G113*(INDEX(properties!A$1:CB$87,'Fórmula'!F113,39))+'Fórmula'!I113*(INDEX(properties!A$1:CB$87,'Fórmula'!H113,39))+'Fórmula'!K113*(INDEX(properties!A$1:CB$87,'Fórmula'!J113,39))</f>
        <v>11.36</v>
      </c>
      <c r="DT113" s="109">
        <f t="array" ref="DT113">VARP(IF(INDEX(properties!A$1:CB$87,'Fórmula'!B113,39)&lt;&gt;"",INDEX(properties!A$1:CB$87,'Fórmula'!B113,39)),IF(INDEX(properties!A$1:CB$87,'Fórmula'!D113,39)&lt;&gt;"",INDEX(properties!A$1:CB$87,'Fórmula'!D113,39)),IF(INDEX(properties!A$1:CB$87,'Fórmula'!F113,39)&lt;&gt;"",INDEX(properties!A$1:CB$87,'Fórmula'!F113,39)),IF(INDEX(properties!A$1:CB$87,'Fórmula'!H113,39)&lt;&gt;"",INDEX(properties!A$1:CB$87,'Fórmula'!H113,39)),IF(INDEX(properties!A$1:CB$87,'Fórmula'!J113,39)&lt;&gt;"",INDEX(properties!A$1:CB$87,'Fórmula'!J113,39)))</f>
        <v>0.880736</v>
      </c>
      <c r="DU113" s="120">
        <f t="array" ref="DU113">MAX(INDEX(properties!A$1:CB$87,'Fórmula'!B113,39),INDEX(properties!A$1:CB$87,'Fórmula'!D113,39),INDEX(properties!A$1:CB$87,'Fórmula'!F113,39),INDEX(properties!A$1:CB$87,'Fórmula'!H113,39),INDEX(properties!A$1:CB$87,'Fórmula'!J113,39))</f>
        <v>2.65</v>
      </c>
      <c r="DV113" s="120">
        <f t="array" ref="DV113">MIN(IF(INDEX(properties!A$1:CB$87,'Fórmula'!B113,39)=0,10^6,INDEX(properties!A$1:CB$87,'Fórmula'!B113,39)),IF(INDEX(properties!A$1:CB$87,'Fórmula'!D113,39)=0,10^6,INDEX(properties!A$1:CB$87,'Fórmula'!D113,39)),IF(INDEX(properties!A$1:CB$87,'Fórmula'!F113,39)=0,10^6,INDEX(properties!A$1:CB$87,'Fórmula'!F113,39)),IF(INDEX(properties!A$1:CB$87,'Fórmula'!H113,39)=0,10^6,INDEX(properties!A$1:CB$87,'Fórmula'!H113,39)),IF(INDEX(properties!A$1:CB$87,'Fórmula'!J113,39)=0,10^6,INDEX(properties!A$1:CB$87,'Fórmula'!J113,39)))</f>
        <v>0.48</v>
      </c>
      <c r="DW113" s="109">
        <f t="shared" si="21"/>
        <v>2.17</v>
      </c>
      <c r="DX113" s="110">
        <f t="array" ref="DX113">(('Fórmula'!C113)/('Fórmula'!C113+'Fórmula'!E113+'Fórmula'!G113+'Fórmula'!I113+'Fórmula'!K113))*(INDEX(properties!A$1:CB$87,'Fórmula'!B113,40))+(('Fórmula'!E113)/('Fórmula'!C113+'Fórmula'!E113+'Fórmula'!G113+'Fórmula'!I113+'Fórmula'!K113))*(INDEX(properties!A$1:CB$87,'Fórmula'!D113,40))+(('Fórmula'!G113)/('Fórmula'!C113+'Fórmula'!E113+'Fórmula'!G113+'Fórmula'!I113+'Fórmula'!K113))*(INDEX(properties!A$1:CB$87,'Fórmula'!F113,40))+(('Fórmula'!I113)/('Fórmula'!C113+'Fórmula'!E113+'Fórmula'!G113+'Fórmula'!I113+'Fórmula'!K113))*(INDEX(properties!A$1:CB$87,'Fórmula'!H113,40))+(('Fórmula'!K113)/('Fórmula'!C113+'Fórmula'!E113+'Fórmula'!G113+'Fórmula'!I113+'Fórmula'!K113))*(INDEX(properties!A$1:CB$87,'Fórmula'!J113,40))</f>
        <v>1.127</v>
      </c>
      <c r="DY113" s="110">
        <f t="array" ref="DY113">'Fórmula'!C113*(INDEX(properties!A$1:CB$87,'Fórmula'!B113,40))+'Fórmula'!E113*(INDEX(properties!A$1:CB$87,'Fórmula'!D113,40))+'Fórmula'!G113*(INDEX(properties!A$1:CB$87,'Fórmula'!F113,40))+'Fórmula'!I113*(INDEX(properties!A$1:CB$87,'Fórmula'!H113,40))+'Fórmula'!K113*(INDEX(properties!A$1:CB$87,'Fórmula'!J113,40))</f>
        <v>11.27</v>
      </c>
      <c r="DZ113" s="110">
        <f t="array" ref="DZ113">VARP(IF(INDEX(properties!A$1:CB$87,'Fórmula'!B113,40)&lt;&gt;"",INDEX(properties!A$1:CB$87,'Fórmula'!B113,40)),IF(INDEX(properties!A$1:CB$87,'Fórmula'!D113,40)&lt;&gt;"",INDEX(properties!A$1:CB$87,'Fórmula'!D113,40)),IF(INDEX(properties!A$1:CB$87,'Fórmula'!F113,40)&lt;&gt;"",INDEX(properties!A$1:CB$87,'Fórmula'!F113,40)),IF(INDEX(properties!A$1:CB$87,'Fórmula'!H113,40)&lt;&gt;"",INDEX(properties!A$1:CB$87,'Fórmula'!H113,40)),IF(INDEX(properties!A$1:CB$87,'Fórmula'!J113,40)&lt;&gt;"",INDEX(properties!A$1:CB$87,'Fórmula'!J113,40)))</f>
        <v>0.495736</v>
      </c>
      <c r="EA113" s="121">
        <f t="array" ref="EA113">MAX(INDEX(properties!A$1:CB$87,'Fórmula'!B113,40),INDEX(properties!A$1:CB$87,'Fórmula'!D113,40),INDEX(properties!A$1:CB$87,'Fórmula'!F113,40),INDEX(properties!A$1:CB$87,'Fórmula'!H113,40),INDEX(properties!A$1:CB$87,'Fórmula'!J113,40))</f>
        <v>2.11</v>
      </c>
      <c r="EB113" s="121">
        <f t="array" ref="EB113">MIN(IF(INDEX(properties!A$1:CB$87,'Fórmula'!B113,40)=0,10^6,INDEX(properties!A$1:CB$87,'Fórmula'!B113,40)),IF(INDEX(properties!A$1:CB$87,'Fórmula'!D113,40)=0,10^6,INDEX(properties!A$1:CB$87,'Fórmula'!D113,40)),IF(INDEX(properties!A$1:CB$87,'Fórmula'!F113,40)=0,10^6,INDEX(properties!A$1:CB$87,'Fórmula'!F113,40)),IF(INDEX(properties!A$1:CB$87,'Fórmula'!H113,40)=0,10^6,INDEX(properties!A$1:CB$87,'Fórmula'!H113,40)),IF(INDEX(properties!A$1:CB$87,'Fórmula'!J113,40)=0,10^6,INDEX(properties!A$1:CB$87,'Fórmula'!J113,40)))</f>
        <v>0.73</v>
      </c>
      <c r="EC113" s="110">
        <f t="shared" si="22"/>
        <v>1.38</v>
      </c>
      <c r="ED113" s="111">
        <f t="array" ref="ED113">(('Fórmula'!C113)/('Fórmula'!C113+'Fórmula'!E113+'Fórmula'!G113+'Fórmula'!I113+'Fórmula'!K113))*(INDEX(properties!A$1:CB$87,'Fórmula'!B113,41))+(('Fórmula'!E113)/('Fórmula'!C113+'Fórmula'!E113+'Fórmula'!G113+'Fórmula'!I113+'Fórmula'!K113))*(INDEX(properties!A$1:CB$87,'Fórmula'!D113,41))+(('Fórmula'!G113)/('Fórmula'!C113+'Fórmula'!E113+'Fórmula'!G113+'Fórmula'!I113+'Fórmula'!K113))*(INDEX(properties!A$1:CB$87,'Fórmula'!F113,41))+(('Fórmula'!I113)/('Fórmula'!C113+'Fórmula'!E113+'Fórmula'!G113+'Fórmula'!I113+'Fórmula'!K113))*(INDEX(properties!A$1:CB$87,'Fórmula'!H113,41))+(('Fórmula'!K113)/('Fórmula'!C113+'Fórmula'!E113+'Fórmula'!G113+'Fórmula'!I113+'Fórmula'!K113))*(INDEX(properties!A$1:CB$87,'Fórmula'!J113,41))</f>
        <v>1.276</v>
      </c>
      <c r="EE113" s="111">
        <f t="array" ref="EE113">'Fórmula'!C113*(INDEX(properties!A$1:CB$87,'Fórmula'!B113,41))+'Fórmula'!E113*(INDEX(properties!A$1:CB$87,'Fórmula'!D113,41))+'Fórmula'!G113*(INDEX(properties!A$1:CB$87,'Fórmula'!F113,41))+'Fórmula'!I113*(INDEX(properties!A$1:CB$87,'Fórmula'!H113,41))+'Fórmula'!K113*(INDEX(properties!A$1:CB$87,'Fórmula'!J113,41))</f>
        <v>12.76</v>
      </c>
      <c r="EF113" s="111">
        <f t="array" ref="EF113">VARP(IF(INDEX(properties!A$1:CB$87,'Fórmula'!B113,41)&lt;&gt;"",INDEX(properties!A$1:CB$87,'Fórmula'!B113,41)),IF(INDEX(properties!A$1:CB$87,'Fórmula'!D113,41)&lt;&gt;"",INDEX(properties!A$1:CB$87,'Fórmula'!D113,41)),IF(INDEX(properties!A$1:CB$87,'Fórmula'!F113,41)&lt;&gt;"",INDEX(properties!A$1:CB$87,'Fórmula'!F113,41)),IF(INDEX(properties!A$1:CB$87,'Fórmula'!H113,41)&lt;&gt;"",INDEX(properties!A$1:CB$87,'Fórmula'!H113,41)),IF(INDEX(properties!A$1:CB$87,'Fórmula'!J113,41)&lt;&gt;"",INDEX(properties!A$1:CB$87,'Fórmula'!J113,41)))</f>
        <v>0.30192</v>
      </c>
      <c r="EG113" s="122">
        <f t="array" ref="EG113">MAX(INDEX(properties!A$1:CB$87,'Fórmula'!B113,41),INDEX(properties!A$1:CB$87,'Fórmula'!D113,41),INDEX(properties!A$1:CB$87,'Fórmula'!F113,41),INDEX(properties!A$1:CB$87,'Fórmula'!H113,41),INDEX(properties!A$1:CB$87,'Fórmula'!J113,41))</f>
        <v>1.66</v>
      </c>
      <c r="EH113" s="122">
        <f t="array" ref="EH113">MIN(IF(INDEX(properties!A$1:CB$87,'Fórmula'!B113,41)=0,10^6,INDEX(properties!A$1:CB$87,'Fórmula'!B113,41)),IF(INDEX(properties!A$1:CB$87,'Fórmula'!D113,41)=0,10^6,INDEX(properties!A$1:CB$87,'Fórmula'!D113,41)),IF(INDEX(properties!A$1:CB$87,'Fórmula'!F113,41)=0,10^6,INDEX(properties!A$1:CB$87,'Fórmula'!F113,41)),IF(INDEX(properties!A$1:CB$87,'Fórmula'!H113,41)=0,10^6,INDEX(properties!A$1:CB$87,'Fórmula'!H113,41)),IF(INDEX(properties!A$1:CB$87,'Fórmula'!J113,41)=0,10^6,INDEX(properties!A$1:CB$87,'Fórmula'!J113,41)))</f>
        <v>0.88</v>
      </c>
      <c r="EI113" s="111">
        <f t="shared" si="23"/>
        <v>0.78</v>
      </c>
      <c r="EJ113" s="112">
        <f t="array" ref="EJ113">(('Fórmula'!C113)/('Fórmula'!C113+'Fórmula'!E113+'Fórmula'!G113+'Fórmula'!I113+'Fórmula'!K113))*(INDEX(properties!A$1:CB$87,'Fórmula'!B113,45))+(('Fórmula'!E113)/('Fórmula'!C113+'Fórmula'!E113+'Fórmula'!G113+'Fórmula'!I113+'Fórmula'!K113))*(INDEX(properties!A$1:CB$87,'Fórmula'!D113,45))+(('Fórmula'!G113)/('Fórmula'!C113+'Fórmula'!E113+'Fórmula'!G113+'Fórmula'!I113+'Fórmula'!K113))*(INDEX(properties!A$1:CB$87,'Fórmula'!F113,45))+(('Fórmula'!I113)/('Fórmula'!C113+'Fórmula'!E113+'Fórmula'!G113+'Fórmula'!I113+'Fórmula'!K113))*(INDEX(properties!A$1:CB$87,'Fórmula'!H113,45))+(('Fórmula'!K113)/('Fórmula'!C113+'Fórmula'!E113+'Fórmula'!G113+'Fórmula'!I113+'Fórmula'!K113))*(INDEX(properties!A$1:CB$87,'Fórmula'!J113,45))</f>
        <v>1.548</v>
      </c>
      <c r="EK113" s="112">
        <f t="array" ref="EK113">'Fórmula'!C113*(INDEX(properties!A$1:CB$87,'Fórmula'!B113,45))+'Fórmula'!E113*(INDEX(properties!A$1:CB$87,'Fórmula'!D113,45))+'Fórmula'!G113*(INDEX(properties!A$1:CB$87,'Fórmula'!F113,45))+'Fórmula'!I113*(INDEX(properties!A$1:CB$87,'Fórmula'!H113,45))+'Fórmula'!K113*(INDEX(properties!A$1:CB$87,'Fórmula'!J113,45))</f>
        <v>15.48</v>
      </c>
      <c r="EL113" s="112">
        <f t="array" ref="EL113">VARP(IF(INDEX(properties!A$1:CB$87,'Fórmula'!B113,45)&lt;&gt;"",INDEX(properties!A$1:CB$87,'Fórmula'!B113,45)),IF(INDEX(properties!A$1:CB$87,'Fórmula'!D113,45)&lt;&gt;"",INDEX(properties!A$1:CB$87,'Fórmula'!D113,45)),IF(INDEX(properties!A$1:CB$87,'Fórmula'!F113,45)&lt;&gt;"",INDEX(properties!A$1:CB$87,'Fórmula'!F113,45)),IF(INDEX(properties!A$1:CB$87,'Fórmula'!H113,45)&lt;&gt;"",INDEX(properties!A$1:CB$87,'Fórmula'!H113,45)),IF(INDEX(properties!A$1:CB$87,'Fórmula'!J113,45)&lt;&gt;"",INDEX(properties!A$1:CB$87,'Fórmula'!J113,45)))</f>
        <v>2.182704</v>
      </c>
      <c r="EM113" s="123">
        <f t="array" ref="EM113">MAX(INDEX(properties!A$1:CB$87,'Fórmula'!B113,45),INDEX(properties!A$1:CB$87,'Fórmula'!D113,45),INDEX(properties!A$1:CB$87,'Fórmula'!F113,45),INDEX(properties!A$1:CB$87,'Fórmula'!H113,45),INDEX(properties!A$1:CB$87,'Fórmula'!J113,45))</f>
        <v>4.1</v>
      </c>
      <c r="EN113" s="123">
        <f t="array" ref="EN113">MIN(IF(INDEX(properties!A$1:CB$87,'Fórmula'!B113,45)=0,10^6,INDEX(properties!A$1:CB$87,'Fórmula'!B113,45)),IF(INDEX(properties!A$1:CB$87,'Fórmula'!D113,45)=0,10^6,INDEX(properties!A$1:CB$87,'Fórmula'!D113,45)),IF(INDEX(properties!A$1:CB$87,'Fórmula'!F113,45)=0,10^6,INDEX(properties!A$1:CB$87,'Fórmula'!F113,45)),IF(INDEX(properties!A$1:CB$87,'Fórmula'!H113,45)=0,10^6,INDEX(properties!A$1:CB$87,'Fórmula'!H113,45)),IF(INDEX(properties!A$1:CB$87,'Fórmula'!J113,45)=0,10^6,INDEX(properties!A$1:CB$87,'Fórmula'!J113,45)))</f>
        <v>0.47</v>
      </c>
      <c r="EO113" s="112">
        <f t="shared" si="24"/>
        <v>3.63</v>
      </c>
      <c r="EP113" s="113">
        <f t="array" ref="EP113">(('Fórmula'!C113)/('Fórmula'!C113+'Fórmula'!E113+'Fórmula'!G113+'Fórmula'!I113+'Fórmula'!K113))*(INDEX(properties!A$1:CB$87,'Fórmula'!B113,46))+(('Fórmula'!E113)/('Fórmula'!C113+'Fórmula'!E113+'Fórmula'!G113+'Fórmula'!I113+'Fórmula'!K113))*(INDEX(properties!A$1:CB$87,'Fórmula'!D113,46))+(('Fórmula'!G113)/('Fórmula'!C113+'Fórmula'!E113+'Fórmula'!G113+'Fórmula'!I113+'Fórmula'!K113))*(INDEX(properties!A$1:CB$87,'Fórmula'!F113,46))+(('Fórmula'!I113)/('Fórmula'!C113+'Fórmula'!E113+'Fórmula'!G113+'Fórmula'!I113+'Fórmula'!K113))*(INDEX(properties!A$1:CB$87,'Fórmula'!H113,46))+(('Fórmula'!K113)/('Fórmula'!C113+'Fórmula'!E113+'Fórmula'!G113+'Fórmula'!I113+'Fórmula'!K113))*(INDEX(properties!A$1:CB$87,'Fórmula'!J113,46))</f>
        <v>1.207</v>
      </c>
      <c r="EQ113" s="113">
        <f t="array" ref="EQ113">'Fórmula'!C113*(INDEX(properties!A$1:CB$87,'Fórmula'!B113,46))+'Fórmula'!E113*(INDEX(properties!A$1:CB$87,'Fórmula'!D113,46))+'Fórmula'!G113*(INDEX(properties!A$1:CB$87,'Fórmula'!F113,46))+'Fórmula'!I113*(INDEX(properties!A$1:CB$87,'Fórmula'!H113,46))+'Fórmula'!K113*(INDEX(properties!A$1:CB$87,'Fórmula'!J113,46))</f>
        <v>12.07</v>
      </c>
      <c r="ER113" s="113">
        <f t="array" ref="ER113">VARP(IF(INDEX(properties!A$1:CB$87,'Fórmula'!B113,46)&lt;&gt;"",INDEX(properties!A$1:CB$87,'Fórmula'!B113,46)),IF(INDEX(properties!A$1:CB$87,'Fórmula'!D113,46)&lt;&gt;"",INDEX(properties!A$1:CB$87,'Fórmula'!D113,46)),IF(INDEX(properties!A$1:CB$87,'Fórmula'!F113,46)&lt;&gt;"",INDEX(properties!A$1:CB$87,'Fórmula'!F113,46)),IF(INDEX(properties!A$1:CB$87,'Fórmula'!H113,46)&lt;&gt;"",INDEX(properties!A$1:CB$87,'Fórmula'!H113,46)),IF(INDEX(properties!A$1:CB$87,'Fórmula'!J113,46)&lt;&gt;"",INDEX(properties!A$1:CB$87,'Fórmula'!J113,46)))</f>
        <v>0.305576</v>
      </c>
      <c r="ES113" s="124">
        <f t="array" ref="ES113">MAX(INDEX(properties!A$1:CB$87,'Fórmula'!B113,46),INDEX(properties!A$1:CB$87,'Fórmula'!D113,46),INDEX(properties!A$1:CB$87,'Fórmula'!F113,46),INDEX(properties!A$1:CB$87,'Fórmula'!H113,46),INDEX(properties!A$1:CB$87,'Fórmula'!J113,46))</f>
        <v>1.66</v>
      </c>
      <c r="ET113" s="124">
        <f t="array" ref="ET113">MIN(IF(INDEX(properties!A$1:CB$87,'Fórmula'!B113,46)=0,10^6,INDEX(properties!A$1:CB$87,'Fórmula'!B113,46)),IF(INDEX(properties!A$1:CB$87,'Fórmula'!D113,46)=0,10^6,INDEX(properties!A$1:CB$87,'Fórmula'!D113,46)),IF(INDEX(properties!A$1:CB$87,'Fórmula'!F113,46)=0,10^6,INDEX(properties!A$1:CB$87,'Fórmula'!F113,46)),IF(INDEX(properties!A$1:CB$87,'Fórmula'!H113,46)=0,10^6,INDEX(properties!A$1:CB$87,'Fórmula'!H113,46)),IF(INDEX(properties!A$1:CB$87,'Fórmula'!J113,46)=0,10^6,INDEX(properties!A$1:CB$87,'Fórmula'!J113,46)))</f>
        <v>0.74</v>
      </c>
      <c r="EU113" s="113">
        <f t="shared" si="25"/>
        <v>0.92</v>
      </c>
      <c r="EV113" s="114">
        <f t="array" ref="EV113">(('Fórmula'!C113)/('Fórmula'!C113+'Fórmula'!E113+'Fórmula'!G113+'Fórmula'!I113+'Fórmula'!K113))*(INDEX(properties!A$1:CB$87,'Fórmula'!B113,52))+(('Fórmula'!E113)/('Fórmula'!C113+'Fórmula'!E113+'Fórmula'!G113+'Fórmula'!I113+'Fórmula'!K113))*(INDEX(properties!A$1:CB$87,'Fórmula'!D113,52))+(('Fórmula'!G113)/('Fórmula'!C113+'Fórmula'!E113+'Fórmula'!G113+'Fórmula'!I113+'Fórmula'!K113))*(INDEX(properties!A$1:CB$87,'Fórmula'!F113,52))+(('Fórmula'!I113)/('Fórmula'!C113+'Fórmula'!E113+'Fórmula'!G113+'Fórmula'!I113+'Fórmula'!K113))*(INDEX(properties!A$1:CB$87,'Fórmula'!H113,52))+(('Fórmula'!K113)/('Fórmula'!C113+'Fórmula'!E113+'Fórmula'!G113+'Fórmula'!I113+'Fórmula'!K113))*(INDEX(properties!A$1:CB$87,'Fórmula'!J113,52))</f>
        <v>12.0358</v>
      </c>
      <c r="EW113" s="114">
        <f t="array" ref="EW113">'Fórmula'!C113*(INDEX(properties!A$1:CB$87,'Fórmula'!B113,52))+'Fórmula'!E113*(INDEX(properties!A$1:CB$87,'Fórmula'!D113,52))+'Fórmula'!G113*(INDEX(properties!A$1:CB$87,'Fórmula'!F113,52))+'Fórmula'!I113*(INDEX(properties!A$1:CB$87,'Fórmula'!H113,52))+'Fórmula'!K113*(INDEX(properties!A$1:CB$87,'Fórmula'!J113,52))</f>
        <v>120.358</v>
      </c>
      <c r="EX113" s="114">
        <f t="array" ref="EX113">VARP(IF(INDEX(properties!A$1:CB$87,'Fórmula'!B113,52)&lt;&gt;"",INDEX(properties!A$1:CB$87,'Fórmula'!B113,52)),IF(INDEX(properties!A$1:CB$87,'Fórmula'!D113,52)&lt;&gt;"",INDEX(properties!A$1:CB$87,'Fórmula'!D113,52)),IF(INDEX(properties!A$1:CB$87,'Fórmula'!F113,52)&lt;&gt;"",INDEX(properties!A$1:CB$87,'Fórmula'!F113,52)),IF(INDEX(properties!A$1:CB$87,'Fórmula'!H113,52)&lt;&gt;"",INDEX(properties!A$1:CB$87,'Fórmula'!H113,52)),IF(INDEX(properties!A$1:CB$87,'Fórmula'!J113,52)&lt;&gt;"",INDEX(properties!A$1:CB$87,'Fórmula'!J113,52)))</f>
        <v>307.4540638</v>
      </c>
      <c r="EY113" s="114">
        <f t="array" ref="EY113">MAX(INDEX(properties!A$1:CB$87,'Fórmula'!B113,52),INDEX(properties!A$1:CB$87,'Fórmula'!D113,52),INDEX(properties!A$1:CB$87,'Fórmula'!F113,52),INDEX(properties!A$1:CB$87,'Fórmula'!H113,52),INDEX(properties!A$1:CB$87,'Fórmula'!J113,52))</f>
        <v>47.3</v>
      </c>
      <c r="EZ113" s="114">
        <f t="array" ref="EZ113">MIN(IF(INDEX(properties!A$1:CB$87,'Fórmula'!B113,52)=0,10^6,INDEX(properties!A$1:CB$87,'Fórmula'!B113,52)),IF(INDEX(properties!A$1:CB$87,'Fórmula'!D113,52)=0,10^6,INDEX(properties!A$1:CB$87,'Fórmula'!D113,52)),IF(INDEX(properties!A$1:CB$87,'Fórmula'!F113,52)=0,10^6,INDEX(properties!A$1:CB$87,'Fórmula'!F113,52)),IF(INDEX(properties!A$1:CB$87,'Fórmula'!H113,52)=0,10^6,INDEX(properties!A$1:CB$87,'Fórmula'!H113,52)),IF(INDEX(properties!A$1:CB$87,'Fórmula'!J113,52)=0,10^6,INDEX(properties!A$1:CB$87,'Fórmula'!J113,52)))</f>
        <v>0.793</v>
      </c>
      <c r="FA113" s="114">
        <f t="shared" si="26"/>
        <v>46.507</v>
      </c>
      <c r="FB113" s="115">
        <f t="array" ref="FB113">(('Fórmula'!C113)/('Fórmula'!C113+'Fórmula'!E113+'Fórmula'!G113+'Fórmula'!I113+'Fórmula'!K113))*(INDEX(properties!A$1:CB$87,'Fórmula'!B113,53))+(('Fórmula'!E113)/('Fórmula'!C113+'Fórmula'!E113+'Fórmula'!G113+'Fórmula'!I113+'Fórmula'!K113))*(INDEX(properties!A$1:CB$87,'Fórmula'!D113,53))+(('Fórmula'!G113)/('Fórmula'!C113+'Fórmula'!E113+'Fórmula'!G113+'Fórmula'!I113+'Fórmula'!K113))*(INDEX(properties!A$1:CB$87,'Fórmula'!F113,53))+(('Fórmula'!I113)/('Fórmula'!C113+'Fórmula'!E113+'Fórmula'!G113+'Fórmula'!I113+'Fórmula'!K113))*(INDEX(properties!A$1:CB$87,'Fórmula'!H113,53))+(('Fórmula'!K113)/('Fórmula'!C113+'Fórmula'!E113+'Fórmula'!G113+'Fórmula'!I113+'Fórmula'!K113))*(INDEX(properties!A$1:CB$87,'Fórmula'!J113,53))</f>
        <v>357.85</v>
      </c>
      <c r="FC113" s="115">
        <f t="array" ref="FC113">'Fórmula'!C113*(INDEX(properties!A$1:CB$87,'Fórmula'!B113,53))+'Fórmula'!E113*(INDEX(properties!A$1:CB$87,'Fórmula'!D113,53))+'Fórmula'!G113*(INDEX(properties!A$1:CB$87,'Fórmula'!F113,53))+'Fórmula'!I113*(INDEX(properties!A$1:CB$87,'Fórmula'!H113,53))+'Fórmula'!K113*(INDEX(properties!A$1:CB$87,'Fórmula'!J113,53))</f>
        <v>3578.5</v>
      </c>
      <c r="FD113" s="115">
        <f t="array" ref="FD113">VARP(IF(INDEX(properties!A$1:CB$87,'Fórmula'!B113,53)&lt;&gt;"",INDEX(properties!A$1:CB$87,'Fórmula'!B113,53)),IF(INDEX(properties!A$1:CB$87,'Fórmula'!D113,53)&lt;&gt;"",INDEX(properties!A$1:CB$87,'Fórmula'!D113,53)),IF(INDEX(properties!A$1:CB$87,'Fórmula'!F113,53)&lt;&gt;"",INDEX(properties!A$1:CB$87,'Fórmula'!F113,53)),IF(INDEX(properties!A$1:CB$87,'Fórmula'!H113,53)&lt;&gt;"",INDEX(properties!A$1:CB$87,'Fórmula'!H113,53)),IF(INDEX(properties!A$1:CB$87,'Fórmula'!J113,53)&lt;&gt;"",INDEX(properties!A$1:CB$87,'Fórmula'!J113,53)))</f>
        <v>505218.7184</v>
      </c>
      <c r="FE113" s="115">
        <f t="array" ref="FE113">MAX(INDEX(properties!A$1:CB$87,'Fórmula'!B113,53),INDEX(properties!A$1:CB$87,'Fórmula'!D113,53),INDEX(properties!A$1:CB$87,'Fórmula'!F113,53),INDEX(properties!A$1:CB$87,'Fórmula'!H113,53),INDEX(properties!A$1:CB$87,'Fórmula'!J113,53))</f>
        <v>1933.15</v>
      </c>
      <c r="FF113" s="115">
        <f t="array" ref="FF113">MIN(IF(INDEX(properties!A$1:CB$87,'Fórmula'!B113,53)=0,10^6,INDEX(properties!A$1:CB$87,'Fórmula'!B113,53)),IF(INDEX(properties!A$1:CB$87,'Fórmula'!D113,53)=0,10^6,INDEX(properties!A$1:CB$87,'Fórmula'!D113,53)),IF(INDEX(properties!A$1:CB$87,'Fórmula'!F113,53)=0,10^6,INDEX(properties!A$1:CB$87,'Fórmula'!F113,53)),IF(INDEX(properties!A$1:CB$87,'Fórmula'!H113,53)=0,10^6,INDEX(properties!A$1:CB$87,'Fórmula'!H113,53)),IF(INDEX(properties!A$1:CB$87,'Fórmula'!J113,53)=0,10^6,INDEX(properties!A$1:CB$87,'Fórmula'!J113,53)))</f>
        <v>54.75</v>
      </c>
      <c r="FG113" s="115">
        <f t="shared" si="27"/>
        <v>1878.4</v>
      </c>
      <c r="FH113" s="117">
        <f t="array" ref="FH113">(('Fórmula'!C113)/('Fórmula'!C113+'Fórmula'!E113+'Fórmula'!G113+'Fórmula'!I113+'Fórmula'!K113))*(INDEX(properties!A$1:CB$87,'Fórmula'!B113,54))+(('Fórmula'!E113)/('Fórmula'!C113+'Fórmula'!E113+'Fórmula'!G113+'Fórmula'!I113+'Fórmula'!K113))*(INDEX(properties!A$1:CB$87,'Fórmula'!D113,54))+(('Fórmula'!G113)/('Fórmula'!C113+'Fórmula'!E113+'Fórmula'!G113+'Fórmula'!I113+'Fórmula'!K113))*(INDEX(properties!A$1:CB$87,'Fórmula'!F113,54))+(('Fórmula'!I113)/('Fórmula'!C113+'Fórmula'!E113+'Fórmula'!G113+'Fórmula'!I113+'Fórmula'!K113))*(INDEX(properties!A$1:CB$87,'Fórmula'!H113,54))+(('Fórmula'!K113)/('Fórmula'!C113+'Fórmula'!E113+'Fórmula'!G113+'Fórmula'!I113+'Fórmula'!K113))*(INDEX(properties!A$1:CB$87,'Fórmula'!J113,54))</f>
        <v>719.85</v>
      </c>
      <c r="FI113" s="117">
        <f t="array" ref="FI113">'Fórmula'!C113*(INDEX(properties!A$1:CB$87,'Fórmula'!B113,54))+'Fórmula'!E113*(INDEX(properties!A$1:CB$87,'Fórmula'!D113,54))+'Fórmula'!G113*(INDEX(properties!A$1:CB$87,'Fórmula'!F113,54))+'Fórmula'!I113*(INDEX(properties!A$1:CB$87,'Fórmula'!H113,54))+'Fórmula'!K113*(INDEX(properties!A$1:CB$87,'Fórmula'!J113,54))</f>
        <v>7198.5</v>
      </c>
      <c r="FJ113" s="117">
        <f t="array" ref="FJ113">VARP(IF(INDEX(properties!A$1:CB$87,'Fórmula'!B113,54)&lt;&gt;"",INDEX(properties!A$1:CB$87,'Fórmula'!B113,54)),IF(INDEX(properties!A$1:CB$87,'Fórmula'!D113,54)&lt;&gt;"",INDEX(properties!A$1:CB$87,'Fórmula'!D113,54)),IF(INDEX(properties!A$1:CB$87,'Fórmula'!F113,54)&lt;&gt;"",INDEX(properties!A$1:CB$87,'Fórmula'!F113,54)),IF(INDEX(properties!A$1:CB$87,'Fórmula'!H113,54)&lt;&gt;"",INDEX(properties!A$1:CB$87,'Fórmula'!H113,54)),IF(INDEX(properties!A$1:CB$87,'Fórmula'!J113,54)&lt;&gt;"",INDEX(properties!A$1:CB$87,'Fórmula'!J113,54)))</f>
        <v>1658316.1</v>
      </c>
      <c r="FK113" s="117">
        <f t="array" ref="FK113">MAX(INDEX(properties!A$1:CB$87,'Fórmula'!B113,54),INDEX(properties!A$1:CB$87,'Fórmula'!D113,54),INDEX(properties!A$1:CB$87,'Fórmula'!F113,54),INDEX(properties!A$1:CB$87,'Fórmula'!H113,54),INDEX(properties!A$1:CB$87,'Fórmula'!J113,54))</f>
        <v>3560.15</v>
      </c>
      <c r="FL113" s="117">
        <f t="array" ref="FL113">MIN(IF(INDEX(properties!A$1:CB$87,'Fórmula'!B113,54)=0,10^6,INDEX(properties!A$1:CB$87,'Fórmula'!B113,54)),IF(INDEX(properties!A$1:CB$87,'Fórmula'!D113,54)=0,10^6,INDEX(properties!A$1:CB$87,'Fórmula'!D113,54)),IF(INDEX(properties!A$1:CB$87,'Fórmula'!F113,54)=0,10^6,INDEX(properties!A$1:CB$87,'Fórmula'!F113,54)),IF(INDEX(properties!A$1:CB$87,'Fórmula'!H113,54)=0,10^6,INDEX(properties!A$1:CB$87,'Fórmula'!H113,54)),IF(INDEX(properties!A$1:CB$87,'Fórmula'!J113,54)=0,10^6,INDEX(properties!A$1:CB$87,'Fórmula'!J113,54)))</f>
        <v>90.15</v>
      </c>
      <c r="FM113" s="117">
        <f t="shared" si="28"/>
        <v>3470</v>
      </c>
      <c r="FN113" s="118">
        <f t="array" ref="FN113">(('Fórmula'!C113)/('Fórmula'!C113+'Fórmula'!E113+'Fórmula'!G113+'Fórmula'!I113+'Fórmula'!K113))*(INDEX(properties!A$1:CB$87,'Fórmula'!B113,55))+(('Fórmula'!E113)/('Fórmula'!C113+'Fórmula'!E113+'Fórmula'!G113+'Fórmula'!I113+'Fórmula'!K113))*(INDEX(properties!A$1:CB$87,'Fórmula'!D113,55))+(('Fórmula'!G113)/('Fórmula'!C113+'Fórmula'!E113+'Fórmula'!G113+'Fórmula'!I113+'Fórmula'!K113))*(INDEX(properties!A$1:CB$87,'Fórmula'!F113,55))+(('Fórmula'!I113)/('Fórmula'!C113+'Fórmula'!E113+'Fórmula'!G113+'Fórmula'!I113+'Fórmula'!K113))*(INDEX(properties!A$1:CB$87,'Fórmula'!H113,55))+(('Fórmula'!K113)/('Fórmula'!C113+'Fórmula'!E113+'Fórmula'!G113+'Fórmula'!I113+'Fórmula'!K113))*(INDEX(properties!A$1:CB$87,'Fórmula'!J113,55))</f>
        <v>1.473858</v>
      </c>
      <c r="FO113" s="118">
        <f t="array" ref="FO113">'Fórmula'!C113*(INDEX(properties!A$1:CB$87,'Fórmula'!B113,55))+'Fórmula'!E113*(INDEX(properties!A$1:CB$87,'Fórmula'!D113,54))+'Fórmula'!G113*(INDEX(properties!A$1:CB$87,'Fórmula'!F113,55))+'Fórmula'!I113*(INDEX(properties!A$1:CB$87,'Fórmula'!H113,55))+'Fórmula'!K113*(INDEX(properties!A$1:CB$87,'Fórmula'!J113,55))</f>
        <v>1186.75858</v>
      </c>
      <c r="FP113" s="118">
        <f t="array" ref="FP113">VARP(IF(INDEX(properties!A$1:CB$87,'Fórmula'!B113,55)&lt;&gt;"",INDEX(properties!A$1:CB$87,'Fórmula'!B113,55)),IF(INDEX(properties!A$1:CB$87,'Fórmula'!D113,55)&lt;&gt;"",INDEX(properties!A$1:CB$87,'Fórmula'!D113,55)),IF(INDEX(properties!A$1:CB$87,'Fórmula'!F113,55)&lt;&gt;"",INDEX(properties!A$1:CB$87,'Fórmula'!F113,55)),IF(INDEX(properties!A$1:CB$87,'Fórmula'!H113,55)&lt;&gt;"",INDEX(properties!A$1:CB$87,'Fórmula'!H113,55)),IF(INDEX(properties!A$1:CB$87,'Fórmula'!J113,55)&lt;&gt;"",INDEX(properties!A$1:CB$87,'Fórmula'!J113,55)))</f>
        <v>7.786770247</v>
      </c>
      <c r="FQ113" s="118">
        <f t="array" ref="FQ113">MAX(INDEX(properties!A$1:CB$87,'Fórmula'!B113,55),INDEX(properties!A$1:CB$87,'Fórmula'!D113,55),INDEX(properties!A$1:CB$87,'Fórmula'!F113,55),INDEX(properties!A$1:CB$87,'Fórmula'!H113,55),INDEX(properties!A$1:CB$87,'Fórmula'!J113,55))</f>
        <v>7.13</v>
      </c>
      <c r="FR113" s="118">
        <f t="array" ref="FR113">MIN(IF(INDEX(properties!A$1:CB$87,'Fórmula'!B113,55)=0,10^6,INDEX(properties!A$1:CB$87,'Fórmula'!B113,55)),IF(INDEX(properties!A$1:CB$87,'Fórmula'!D113,55)=0,10^6,INDEX(properties!A$1:CB$87,'Fórmula'!D113,55)),IF(INDEX(properties!A$1:CB$87,'Fórmula'!F113,55)=0,10^6,INDEX(properties!A$1:CB$87,'Fórmula'!F113,55)),IF(INDEX(properties!A$1:CB$87,'Fórmula'!H113,55)=0,10^6,INDEX(properties!A$1:CB$87,'Fórmula'!H113,55)),IF(INDEX(properties!A$1:CB$87,'Fórmula'!J113,55)=0,10^6,INDEX(properties!A$1:CB$87,'Fórmula'!J113,55)))</f>
        <v>0.00143</v>
      </c>
      <c r="FS113" s="118">
        <f t="shared" si="29"/>
        <v>7.12857</v>
      </c>
      <c r="FT113" s="119">
        <f t="array" ref="FT113">(('Fórmula'!C113)/('Fórmula'!C113+'Fórmula'!E113+'Fórmula'!G113+'Fórmula'!I113+'Fórmula'!K113))*(INDEX(properties!A$1:CB$87,'Fórmula'!B113,56))+(('Fórmula'!E113)/('Fórmula'!C113+'Fórmula'!E113+'Fórmula'!G113+'Fórmula'!I113+'Fórmula'!K113))*(INDEX(properties!A$1:CB$87,'Fórmula'!D113,56))+(('Fórmula'!G113)/('Fórmula'!C113+'Fórmula'!E113+'Fórmula'!G113+'Fórmula'!I113+'Fórmula'!K113))*(INDEX(properties!A$1:CB$87,'Fórmula'!F113,56))+(('Fórmula'!I113)/('Fórmula'!C113+'Fórmula'!E113+'Fórmula'!G113+'Fórmula'!I113+'Fórmula'!K113))*(INDEX(properties!A$1:CB$87,'Fórmula'!H113,56))+(('Fórmula'!K113)/('Fórmula'!C113+'Fórmula'!E113+'Fórmula'!G113+'Fórmula'!I113+'Fórmula'!K113))*(INDEX(properties!A$1:CB$87,'Fórmula'!J113,56))</f>
        <v>0.7156</v>
      </c>
      <c r="FU113" s="119">
        <f t="array" ref="FU113">'Fórmula'!C113*(INDEX(properties!A$1:CB$87,'Fórmula'!B113,56))+'Fórmula'!E113*(INDEX(properties!A$1:CB$87,'Fórmula'!D113,56))+'Fórmula'!G113*(INDEX(properties!A$1:CB$87,'Fórmula'!F113,56))+'Fórmula'!I113*(INDEX(properties!A$1:CB$87,'Fórmula'!H113,56))+'Fórmula'!K113*(INDEX(properties!A$1:CB$87,'Fórmula'!J113,56))</f>
        <v>7.156</v>
      </c>
      <c r="FV113" s="119">
        <f t="array" ref="FV113">VARP(IF(INDEX(properties!A$1:CB$87,'Fórmula'!B113,56)&lt;&gt;"",INDEX(properties!A$1:CB$87,'Fórmula'!B113,56)),IF(INDEX(properties!A$1:CB$87,'Fórmula'!D113,56)&lt;&gt;"",INDEX(properties!A$1:CB$87,'Fórmula'!D113,56)),IF(INDEX(properties!A$1:CB$87,'Fórmula'!F113,56)&lt;&gt;"",INDEX(properties!A$1:CB$87,'Fórmula'!F113,56)),IF(INDEX(properties!A$1:CB$87,'Fórmula'!H113,56)&lt;&gt;"",INDEX(properties!A$1:CB$87,'Fórmula'!H113,56)),IF(INDEX(properties!A$1:CB$87,'Fórmula'!J113,56)&lt;&gt;"",INDEX(properties!A$1:CB$87,'Fórmula'!J113,56)))</f>
        <v>0.08776384</v>
      </c>
      <c r="FW113" s="119">
        <f t="array" ref="FW113">MAX(INDEX(properties!A$1:CB$87,'Fórmula'!B113,56),INDEX(properties!A$1:CB$87,'Fórmula'!D113,56),INDEX(properties!A$1:CB$87,'Fórmula'!F113,56),INDEX(properties!A$1:CB$87,'Fórmula'!H113,56),INDEX(properties!A$1:CB$87,'Fórmula'!J113,56))</f>
        <v>0.92</v>
      </c>
      <c r="FX113" s="119">
        <f t="array" ref="FX113">MIN(IF(INDEX(properties!A$1:CB$87,'Fórmula'!B113,56)=0,10^6,INDEX(properties!A$1:CB$87,'Fórmula'!B113,56)),IF(INDEX(properties!A$1:CB$87,'Fórmula'!D113,56)=0,10^6,INDEX(properties!A$1:CB$87,'Fórmula'!D113,56)),IF(INDEX(properties!A$1:CB$87,'Fórmula'!F113,56)=0,10^6,INDEX(properties!A$1:CB$87,'Fórmula'!F113,56)),IF(INDEX(properties!A$1:CB$87,'Fórmula'!H113,56)=0,10^6,INDEX(properties!A$1:CB$87,'Fórmula'!H113,56)),IF(INDEX(properties!A$1:CB$87,'Fórmula'!J113,56)=0,10^6,INDEX(properties!A$1:CB$87,'Fórmula'!J113,56)))</f>
        <v>0.363</v>
      </c>
      <c r="FY113" s="119">
        <f t="shared" si="30"/>
        <v>0.557</v>
      </c>
      <c r="FZ113" s="104">
        <f t="array" ref="FZ113">(('Fórmula'!C113)/('Fórmula'!C113+'Fórmula'!E113+'Fórmula'!G113+'Fórmula'!I113+'Fórmula'!K113))*(INDEX(properties!A$1:CB$87,'Fórmula'!B113,57))+(('Fórmula'!E113)/('Fórmula'!C113+'Fórmula'!E113+'Fórmula'!G113+'Fórmula'!I113+'Fórmula'!K113))*(INDEX(properties!A$1:CB$87,'Fórmula'!D113,57))+(('Fórmula'!G113)/('Fórmula'!C113+'Fórmula'!E113+'Fórmula'!G113+'Fórmula'!I113+'Fórmula'!K113))*(INDEX(properties!A$1:CB$87,'Fórmula'!F113,57))+(('Fórmula'!I113)/('Fórmula'!C113+'Fórmula'!E113+'Fórmula'!G113+'Fórmula'!I113+'Fórmula'!K113))*(INDEX(properties!A$1:CB$87,'Fórmula'!H113,57))+(('Fórmula'!K113)/('Fórmula'!C113+'Fórmula'!E113+'Fórmula'!G113+'Fórmula'!I113+'Fórmula'!K113))*(INDEX(properties!A$1:CB$87,'Fórmula'!J113,57))</f>
        <v>2.849154</v>
      </c>
      <c r="GA113" s="104">
        <f t="array" ref="GA113">'Fórmula'!C113*(INDEX(properties!A$1:CB$87,'Fórmula'!B113,57))+'Fórmula'!E113*(INDEX(properties!A$1:CB$87,'Fórmula'!D113,57))+'Fórmula'!G113*(INDEX(properties!A$1:CB$87,'Fórmula'!F113,57))+'Fórmula'!I113*(INDEX(properties!A$1:CB$87,'Fórmula'!H113,57))+'Fórmula'!K113*(INDEX(properties!A$1:CB$87,'Fórmula'!J113,57))</f>
        <v>28.49154</v>
      </c>
      <c r="GB113" s="104">
        <f t="array" ref="GB113">VARP(IF(INDEX(properties!A$1:CB$87,'Fórmula'!B113,57)&lt;&gt;"",INDEX(properties!A$1:CB$87,'Fórmula'!B113,57)),IF(INDEX(properties!A$1:CB$87,'Fórmula'!D113,57)&lt;&gt;"",INDEX(properties!A$1:CB$87,'Fórmula'!D113,57)),IF(INDEX(properties!A$1:CB$87,'Fórmula'!F113,57)&lt;&gt;"",INDEX(properties!A$1:CB$87,'Fórmula'!F113,57)),IF(INDEX(properties!A$1:CB$87,'Fórmula'!H113,57)&lt;&gt;"",INDEX(properties!A$1:CB$87,'Fórmula'!H113,57)),IF(INDEX(properties!A$1:CB$87,'Fórmula'!J113,57)&lt;&gt;"",INDEX(properties!A$1:CB$87,'Fórmula'!J113,57)))</f>
        <v>34.05914623</v>
      </c>
      <c r="GC113" s="104">
        <f t="array" ref="GC113">MAX(INDEX(properties!A$1:CB$87,'Fórmula'!B113,57),INDEX(properties!A$1:CB$87,'Fórmula'!D113,57),INDEX(properties!A$1:CB$87,'Fórmula'!F113,57),INDEX(properties!A$1:CB$87,'Fórmula'!H113,57),INDEX(properties!A$1:CB$87,'Fórmula'!J113,57))</f>
        <v>15.45</v>
      </c>
      <c r="GD113" s="104">
        <f t="array" ref="GD113">MIN(IF(INDEX(properties!A$1:CB$87,'Fórmula'!B113,57)=0,10^6,INDEX(properties!A$1:CB$87,'Fórmula'!B113,57)),IF(INDEX(properties!A$1:CB$87,'Fórmula'!D113,57)=0,10^6,INDEX(properties!A$1:CB$87,'Fórmula'!D113,57)),IF(INDEX(properties!A$1:CB$87,'Fórmula'!F113,57)=0,10^6,INDEX(properties!A$1:CB$87,'Fórmula'!F113,57)),IF(INDEX(properties!A$1:CB$87,'Fórmula'!H113,57)=0,10^6,INDEX(properties!A$1:CB$87,'Fórmula'!H113,57)),IF(INDEX(properties!A$1:CB$87,'Fórmula'!J113,57)=0,10^6,INDEX(properties!A$1:CB$87,'Fórmula'!J113,57)))</f>
        <v>0.22259</v>
      </c>
      <c r="GE113" s="104">
        <f t="shared" si="31"/>
        <v>15.22741</v>
      </c>
      <c r="GF113" s="105">
        <f t="array" ref="GF113">(('Fórmula'!C113)/('Fórmula'!C113+'Fórmula'!E113+'Fórmula'!G113+'Fórmula'!I113+'Fórmula'!K113))*(INDEX(properties!A$1:CB$87,'Fórmula'!B113,60))+(('Fórmula'!E113)/('Fórmula'!C113+'Fórmula'!E113+'Fórmula'!G113+'Fórmula'!I113+'Fórmula'!K113))*(INDEX(properties!A$1:CB$87,'Fórmula'!D113,60))+(('Fórmula'!G113)/('Fórmula'!C113+'Fórmula'!E113+'Fórmula'!G113+'Fórmula'!I113+'Fórmula'!K113))*(INDEX(properties!A$1:CB$87,'Fórmula'!F113,60))+(('Fórmula'!I113)/('Fórmula'!C113+'Fórmula'!E113+'Fórmula'!G113+'Fórmula'!I113+'Fórmula'!K113))*(INDEX(properties!A$1:CB$87,'Fórmula'!H113,60))+(('Fórmula'!K113)/('Fórmula'!C113+'Fórmula'!E113+'Fórmula'!G113+'Fórmula'!I113+'Fórmula'!K113))*(INDEX(properties!A$1:CB$87,'Fórmula'!J113,60))</f>
        <v>25.446044</v>
      </c>
      <c r="GG113" s="105">
        <f t="array" ref="GG113">'Fórmula'!C113*(INDEX(properties!A$1:CB$87,'Fórmula'!B113,60))+'Fórmula'!E113*(INDEX(properties!A$1:CB$87,'Fórmula'!D113,60))+'Fórmula'!G113*(INDEX(properties!A$1:CB$87,'Fórmula'!F113,60))+'Fórmula'!I113*(INDEX(properties!A$1:CB$87,'Fórmula'!H113,60))+'Fórmula'!K113*(INDEX(properties!A$1:CB$87,'Fórmula'!J113,60))</f>
        <v>254.46044</v>
      </c>
      <c r="GH113" s="105">
        <f t="array" ref="GH113">VARP(IF(INDEX(properties!A$1:CB$87,'Fórmula'!B113,60)&lt;&gt;"",INDEX(properties!A$1:CB$87,'Fórmula'!B113,60)),IF(INDEX(properties!A$1:CB$87,'Fórmula'!D113,60)&lt;&gt;"",INDEX(properties!A$1:CB$87,'Fórmula'!D113,60)),IF(INDEX(properties!A$1:CB$87,'Fórmula'!F113,60)&lt;&gt;"",INDEX(properties!A$1:CB$87,'Fórmula'!F113,60)),IF(INDEX(properties!A$1:CB$87,'Fórmula'!H113,60)&lt;&gt;"",INDEX(properties!A$1:CB$87,'Fórmula'!H113,60)),IF(INDEX(properties!A$1:CB$87,'Fórmula'!J113,60)&lt;&gt;"",INDEX(properties!A$1:CB$87,'Fórmula'!J113,60)))</f>
        <v>1925.942217</v>
      </c>
      <c r="GI113" s="105">
        <f t="array" ref="GI113">MAX(INDEX(properties!A$1:CB$87,'Fórmula'!B113,60),INDEX(properties!A$1:CB$87,'Fórmula'!D113,60),INDEX(properties!A$1:CB$87,'Fórmula'!F113,60),INDEX(properties!A$1:CB$87,'Fórmula'!H113,60),INDEX(properties!A$1:CB$87,'Fórmula'!J113,60))</f>
        <v>116</v>
      </c>
      <c r="GJ113" s="105">
        <f t="array" ref="GJ113">MIN(IF(INDEX(properties!A$1:CB$87,'Fórmula'!B113,60)=0,10^6,INDEX(properties!A$1:CB$87,'Fórmula'!B113,60)),IF(INDEX(properties!A$1:CB$87,'Fórmula'!D113,60)=0,10^6,INDEX(properties!A$1:CB$87,'Fórmula'!D113,60)),IF(INDEX(properties!A$1:CB$87,'Fórmula'!F113,60)=0,10^6,INDEX(properties!A$1:CB$87,'Fórmula'!F113,60)),IF(INDEX(properties!A$1:CB$87,'Fórmula'!H113,60)=0,10^6,INDEX(properties!A$1:CB$87,'Fórmula'!H113,60)),IF(INDEX(properties!A$1:CB$87,'Fórmula'!J113,60)=0,10^6,INDEX(properties!A$1:CB$87,'Fórmula'!J113,60)))</f>
        <v>0.02674</v>
      </c>
      <c r="GK113" s="105">
        <f t="shared" si="32"/>
        <v>115.97326</v>
      </c>
      <c r="GL113" s="106">
        <f t="array" ref="GL113">(('Fórmula'!C113)/('Fórmula'!C113+'Fórmula'!E113+'Fórmula'!G113+'Fórmula'!I113+'Fórmula'!K113))*(INDEX(properties!A$1:CB$87,'Fórmula'!B113,62))+(('Fórmula'!E113)/('Fórmula'!C113+'Fórmula'!E113+'Fórmula'!G113+'Fórmula'!I113+'Fórmula'!K113))*(INDEX(properties!A$1:CB$87,'Fórmula'!D113,62))+(('Fórmula'!G113)/('Fórmula'!C113+'Fórmula'!E113+'Fórmula'!G113+'Fórmula'!I113+'Fórmula'!K113))*(INDEX(properties!A$1:CB$87,'Fórmula'!F113,62))+(('Fórmula'!I113)/('Fórmula'!C113+'Fórmula'!E113+'Fórmula'!G113+'Fórmula'!I113+'Fórmula'!K113))*(INDEX(properties!A$1:CB$87,'Fórmula'!H113,62))+(('Fórmula'!K113)/('Fórmula'!C113+'Fórmula'!E113+'Fórmula'!G113+'Fórmula'!I113+'Fórmula'!K113))*(INDEX(properties!A$1:CB$87,'Fórmula'!J113,62))</f>
        <v>2.3624</v>
      </c>
      <c r="GM113" s="106">
        <f t="array" ref="GM113">'Fórmula'!C113*(INDEX(properties!A$1:CB$87,'Fórmula'!B113,62))+'Fórmula'!E113*(INDEX(properties!A$1:CB$87,'Fórmula'!D113,62))+'Fórmula'!G113*(INDEX(properties!A$1:CB$87,'Fórmula'!F113,62))+'Fórmula'!I113*(INDEX(properties!A$1:CB$87,'Fórmula'!H113,62))+'Fórmula'!K113*(INDEX(properties!A$1:CB$87,'Fórmula'!J113,62))</f>
        <v>23.624</v>
      </c>
      <c r="GN113" s="106">
        <f t="array" ref="GN113">VARP(IF(INDEX(properties!A$1:CB$87,'Fórmula'!B113,62)&lt;&gt;"",INDEX(properties!A$1:CB$87,'Fórmula'!B113,62)),IF(INDEX(properties!A$1:CB$87,'Fórmula'!D113,62)&lt;&gt;"",INDEX(properties!A$1:CB$87,'Fórmula'!D113,62)),IF(INDEX(properties!A$1:CB$87,'Fórmula'!F113,62)&lt;&gt;"",INDEX(properties!A$1:CB$87,'Fórmula'!F113,62)),IF(INDEX(properties!A$1:CB$87,'Fórmula'!H113,62)&lt;&gt;"",INDEX(properties!A$1:CB$87,'Fórmula'!H113,62)),IF(INDEX(properties!A$1:CB$87,'Fórmula'!J113,62)&lt;&gt;"",INDEX(properties!A$1:CB$87,'Fórmula'!J113,62)))</f>
        <v>2.84515744</v>
      </c>
      <c r="GO113" s="106">
        <f t="array" ref="GO113">MAX(INDEX(properties!A$1:CB$87,'Fórmula'!B113,62),INDEX(properties!A$1:CB$87,'Fórmula'!D113,62),INDEX(properties!A$1:CB$87,'Fórmula'!F113,62),INDEX(properties!A$1:CB$87,'Fórmula'!H113,62),INDEX(properties!A$1:CB$87,'Fórmula'!J113,62))</f>
        <v>4.85</v>
      </c>
      <c r="GP113" s="106">
        <f t="array" ref="GP113">MIN(IF(INDEX(properties!A$1:CB$87,'Fórmula'!B113,62)=0,10^6,INDEX(properties!A$1:CB$87,'Fórmula'!B113,62)),IF(INDEX(properties!A$1:CB$87,'Fórmula'!D113,62)=0,10^6,INDEX(properties!A$1:CB$87,'Fórmula'!D113,62)),IF(INDEX(properties!A$1:CB$87,'Fórmula'!F113,62)=0,10^6,INDEX(properties!A$1:CB$87,'Fórmula'!F113,62)),IF(INDEX(properties!A$1:CB$87,'Fórmula'!H113,62)=0,10^6,INDEX(properties!A$1:CB$87,'Fórmula'!H113,62)),IF(INDEX(properties!A$1:CB$87,'Fórmula'!J113,62)=0,10^6,INDEX(properties!A$1:CB$87,'Fórmula'!J113,62)))</f>
        <v>0.852</v>
      </c>
      <c r="GQ113" s="106">
        <f t="shared" si="33"/>
        <v>3.998</v>
      </c>
      <c r="GR113" s="106">
        <f>'Fórmula'!Q113</f>
        <v>14</v>
      </c>
      <c r="GS113" s="107">
        <f>'Fórmula'!P113</f>
        <v>6</v>
      </c>
      <c r="GT113" s="113">
        <f>'Fórmula'!O113</f>
        <v>6.54</v>
      </c>
      <c r="GU113" s="114">
        <f>AVERAGE('Fórmula'!R113/'Fórmula'!S113,'Fórmula'!S113/'Fórmula'!T113,'Fórmula'!T113/'Fórmula'!R113)</f>
        <v>1.039758885</v>
      </c>
      <c r="GV113" s="125">
        <f>'Fórmula'!U113</f>
        <v>247.45</v>
      </c>
      <c r="GW113" s="106">
        <f>'Fórmula'!N113</f>
        <v>0.015</v>
      </c>
    </row>
    <row r="114" ht="14.25" customHeight="1">
      <c r="A114" s="99" t="str">
        <f>'Fórmula'!A114</f>
        <v>BaLa2ZnO5</v>
      </c>
      <c r="B114" s="101">
        <f t="array" ref="B114">(('Fórmula'!C114)/('Fórmula'!C114+'Fórmula'!E114+'Fórmula'!G114+'Fórmula'!I114+'Fórmula'!K114))*(INDEX(properties!A$1:CB$87,'Fórmula'!B114,3))+(('Fórmula'!E114)/('Fórmula'!C114+'Fórmula'!E114+'Fórmula'!G114+'Fórmula'!I114+'Fórmula'!K114))*(INDEX(properties!A$1:CB$87,'Fórmula'!D114,3))+(('Fórmula'!G114)/('Fórmula'!C114+'Fórmula'!E114+'Fórmula'!G114+'Fórmula'!I114+'Fórmula'!K114))*(INDEX(properties!A$1:CB$87,'Fórmula'!F114,3))+(('Fórmula'!I114)/('Fórmula'!C114+'Fórmula'!E114+'Fórmula'!G114+'Fórmula'!I114+'Fórmula'!K114))*(INDEX(properties!A$1:CB$87,'Fórmula'!H114,3))+(('Fórmula'!K114)/('Fórmula'!C114+'Fórmula'!E114+'Fórmula'!G114+'Fórmula'!I114+'Fórmula'!K114))*(INDEX(properties!A$1:CB$87,'Fórmula'!J114,3))</f>
        <v>50.4044</v>
      </c>
      <c r="C114" s="101">
        <f t="array" ref="C114">'Fórmula'!C114*(INDEX(properties!A$1:CB$87,'Fórmula'!B114,3))+'Fórmula'!E114*(INDEX(properties!A$1:CB$87,'Fórmula'!D114,3))+'Fórmula'!G114*(INDEX(properties!A$1:CB$87,'Fórmula'!F114,3))+'Fórmula'!I114*(INDEX(properties!A$1:CB$87,'Fórmula'!H114,3))+'Fórmula'!K114*(INDEX(properties!A$1:CB$87,'Fórmula'!J114,3))</f>
        <v>453.6396</v>
      </c>
      <c r="D114" s="101">
        <f t="array" ref="D114">VARP(IF(INDEX(properties!A$1:CB$87,'Fórmula'!B114,3)&lt;&gt;"",INDEX(properties!A$1:CB$87,'Fórmula'!B114,3)),IF(INDEX(properties!A$1:CB$87,'Fórmula'!D114,3)&lt;&gt;"",INDEX(properties!A$1:CB$87,'Fórmula'!D114,3)),IF(INDEX(properties!A$1:CB$87,'Fórmula'!F114,3)&lt;&gt;"",INDEX(properties!A$1:CB$87,'Fórmula'!F114,3)),IF(INDEX(properties!A$1:CB$87,'Fórmula'!H114,3)&lt;&gt;"",INDEX(properties!A$1:CB$87,'Fórmula'!H114,3)),IF(INDEX(properties!A$1:CB$87,'Fórmula'!J114,3)&lt;&gt;"",INDEX(properties!A$1:CB$87,'Fórmula'!J114,3)))</f>
        <v>2437.917235</v>
      </c>
      <c r="E114" s="101">
        <f t="array" ref="E114">MAX(INDEX(properties!A$1:CB$87,'Fórmula'!B114,3),INDEX(properties!A$1:CB$87,'Fórmula'!D114,3),INDEX(properties!A$1:CB$87,'Fórmula'!F114,3),INDEX(properties!A$1:CB$87,'Fórmula'!H114,3),INDEX(properties!A$1:CB$87,'Fórmula'!J114,3))</f>
        <v>137.327</v>
      </c>
      <c r="F114" s="101">
        <f t="array" ref="F114">MIN(IF(INDEX(properties!A$1:CB$87,'Fórmula'!B114,3)=0,10^6,INDEX(properties!A$1:CB$87,'Fórmula'!B114,3)),IF(INDEX(properties!A$1:CB$87,'Fórmula'!D114,3)=0,10^6,INDEX(properties!A$1:CB$87,'Fórmula'!D114,3)),IF(INDEX(properties!A$1:CB$87,'Fórmula'!F114,3)=0,10^6,INDEX(properties!A$1:CB$87,'Fórmula'!F114,3)),IF(INDEX(properties!A$1:CB$87,'Fórmula'!H114,3)=0,10^6,INDEX(properties!A$1:CB$87,'Fórmula'!H114,3)),IF(INDEX(properties!A$1:CB$87,'Fórmula'!J114,3)=0,10^6,INDEX(properties!A$1:CB$87,'Fórmula'!J114,3)))</f>
        <v>15.9994</v>
      </c>
      <c r="G114" s="101">
        <f t="shared" si="1"/>
        <v>121.3276</v>
      </c>
      <c r="H114" s="102">
        <f t="array" ref="H114">(('Fórmula'!C114)/('Fórmula'!C114+'Fórmula'!E114+'Fórmula'!G114+'Fórmula'!I114+'Fórmula'!K114))*(INDEX(properties!A$1:CB$87,'Fórmula'!B114,4))+(('Fórmula'!E114)/('Fórmula'!C114+'Fórmula'!E114+'Fórmula'!G114+'Fórmula'!I114+'Fórmula'!K114))*(INDEX(properties!A$1:CB$87,'Fórmula'!D114,4))+(('Fórmula'!G114)/('Fórmula'!C114+'Fórmula'!E114+'Fórmula'!G114+'Fórmula'!I114+'Fórmula'!K114))*(INDEX(properties!A$1:CB$87,'Fórmula'!F114,4))+(('Fórmula'!I114)/('Fórmula'!C114+'Fórmula'!E114+'Fórmula'!G114+'Fórmula'!I114+'Fórmula'!K114))*(INDEX(properties!A$1:CB$87,'Fórmula'!H114,4))+(('Fórmula'!K114)/('Fórmula'!C114+'Fórmula'!E114+'Fórmula'!G114+'Fórmula'!I114+'Fórmula'!K114))*(INDEX(properties!A$1:CB$87,'Fórmula'!J114,4))</f>
        <v>22.22222222</v>
      </c>
      <c r="I114" s="102">
        <f t="array" ref="I114">'Fórmula'!C114*(INDEX(properties!A$1:CB$87,'Fórmula'!B114,4))+'Fórmula'!E114*(INDEX(properties!A$1:CB$87,'Fórmula'!D114,4))+'Fórmula'!G114*(INDEX(properties!A$1:CB$87,'Fórmula'!F114,4))+'Fórmula'!I114*(INDEX(properties!A$1:CB$87,'Fórmula'!H114,4))+'Fórmula'!K114*(INDEX(properties!A$1:CB$87,'Fórmula'!J114,4))</f>
        <v>200</v>
      </c>
      <c r="J114" s="102">
        <f t="array" ref="J114">VARP(IF(INDEX(properties!A$1:CB$87,'Fórmula'!B114,4)&lt;&gt;"",INDEX(properties!A$1:CB$87,'Fórmula'!B114,4)),IF(INDEX(properties!A$1:CB$87,'Fórmula'!D114,4)&lt;&gt;"",INDEX(properties!A$1:CB$87,'Fórmula'!D114,4)),IF(INDEX(properties!A$1:CB$87,'Fórmula'!F114,4)&lt;&gt;"",INDEX(properties!A$1:CB$87,'Fórmula'!F114,4)),IF(INDEX(properties!A$1:CB$87,'Fórmula'!H114,4)&lt;&gt;"",INDEX(properties!A$1:CB$87,'Fórmula'!H114,4)),IF(INDEX(properties!A$1:CB$87,'Fórmula'!J114,4)&lt;&gt;"",INDEX(properties!A$1:CB$87,'Fórmula'!J114,4)))</f>
        <v>407.36</v>
      </c>
      <c r="K114" s="102">
        <f t="array" ref="K114">MAX(INDEX(properties!A$1:CB$87,'Fórmula'!B114,4),INDEX(properties!A$1:CB$87,'Fórmula'!D114,4),INDEX(properties!A$1:CB$87,'Fórmula'!F114,4),INDEX(properties!A$1:CB$87,'Fórmula'!H114,4),INDEX(properties!A$1:CB$87,'Fórmula'!J114,4))</f>
        <v>56</v>
      </c>
      <c r="L114" s="102">
        <f t="array" ref="L114">MIN(IF(INDEX(properties!A$1:CB$87,'Fórmula'!B114,4)=0,10^6,INDEX(properties!A$1:CB$87,'Fórmula'!B114,4)),IF(INDEX(properties!A$1:CB$87,'Fórmula'!D114,4)=0,10^6,INDEX(properties!A$1:CB$87,'Fórmula'!D114,4)),IF(INDEX(properties!A$1:CB$87,'Fórmula'!F114,4)=0,10^6,INDEX(properties!A$1:CB$87,'Fórmula'!F114,4)),IF(INDEX(properties!A$1:CB$87,'Fórmula'!H114,4)=0,10^6,INDEX(properties!A$1:CB$87,'Fórmula'!H114,4)),IF(INDEX(properties!A$1:CB$87,'Fórmula'!J114,4)=0,10^6,INDEX(properties!A$1:CB$87,'Fórmula'!J114,4)))</f>
        <v>8</v>
      </c>
      <c r="M114" s="102">
        <f t="shared" si="2"/>
        <v>48</v>
      </c>
      <c r="N114" s="103">
        <f t="array" ref="N114">(('Fórmula'!C114)/('Fórmula'!C114+'Fórmula'!E114+'Fórmula'!G114+'Fórmula'!I114+'Fórmula'!K114))*(INDEX(properties!A$1:CB$87,'Fórmula'!B114,5))+(('Fórmula'!E114)/('Fórmula'!C114+'Fórmula'!E114+'Fórmula'!G114+'Fórmula'!I114+'Fórmula'!K114))*(INDEX(properties!A$1:CB$87,'Fórmula'!D114,5))+(('Fórmula'!G114)/('Fórmula'!C114+'Fórmula'!E114+'Fórmula'!G114+'Fórmula'!I114+'Fórmula'!K114))*(INDEX(properties!A$1:CB$87,'Fórmula'!F114,5))+(('Fórmula'!I114)/('Fórmula'!C114+'Fórmula'!E114+'Fórmula'!G114+'Fórmula'!I114+'Fórmula'!K114))*(INDEX(properties!A$1:CB$87,'Fórmula'!H114,5))+(('Fórmula'!K114)/('Fórmula'!C114+'Fórmula'!E114+'Fórmula'!G114+'Fórmula'!I114+'Fórmula'!K114))*(INDEX(properties!A$1:CB$87,'Fórmula'!J114,5))</f>
        <v>3.333333333</v>
      </c>
      <c r="O114" s="103">
        <f t="array" ref="O114">'Fórmula'!C114*(INDEX(properties!A$1:CB$87,'Fórmula'!B114,5))+'Fórmula'!E114*(INDEX(properties!A$1:CB$87,'Fórmula'!D114,5))+'Fórmula'!G114*(INDEX(properties!A$1:CB$87,'Fórmula'!F114,5))+'Fórmula'!I114*(INDEX(properties!A$1:CB$87,'Fórmula'!H114,5))+'Fórmula'!K114*(INDEX(properties!A$1:CB$87,'Fórmula'!J114,5))</f>
        <v>30</v>
      </c>
      <c r="P114" s="103">
        <f t="array" ref="P114">VARP(IF(INDEX(properties!A$1:CB$87,'Fórmula'!B114,5)&lt;&gt;"",INDEX(properties!A$1:CB$87,'Fórmula'!B114,5)),IF(INDEX(properties!A$1:CB$87,'Fórmula'!D114,5)&lt;&gt;"",INDEX(properties!A$1:CB$87,'Fórmula'!D114,5)),IF(INDEX(properties!A$1:CB$87,'Fórmula'!F114,5)&lt;&gt;"",INDEX(properties!A$1:CB$87,'Fórmula'!F114,5)),IF(INDEX(properties!A$1:CB$87,'Fórmula'!H114,5)&lt;&gt;"",INDEX(properties!A$1:CB$87,'Fórmula'!H114,5)),IF(INDEX(properties!A$1:CB$87,'Fórmula'!J114,5)&lt;&gt;"",INDEX(properties!A$1:CB$87,'Fórmula'!J114,5)))</f>
        <v>4.64</v>
      </c>
      <c r="Q114" s="103">
        <f t="array" ref="Q114">MAX(INDEX(properties!A$1:CB$87,'Fórmula'!B114,5),INDEX(properties!A$1:CB$87,'Fórmula'!D114,5),INDEX(properties!A$1:CB$87,'Fórmula'!F114,5),INDEX(properties!A$1:CB$87,'Fórmula'!H114,5),INDEX(properties!A$1:CB$87,'Fórmula'!J114,5))</f>
        <v>6</v>
      </c>
      <c r="R114" s="103">
        <f t="array" ref="R114">MIN(IF(INDEX(properties!A$1:CB$87,'Fórmula'!B114,5)=0,10^6,INDEX(properties!A$1:CB$87,'Fórmula'!B114,5)),IF(INDEX(properties!A$1:CB$87,'Fórmula'!D114,5)=0,10^6,INDEX(properties!A$1:CB$87,'Fórmula'!D114,5)),IF(INDEX(properties!A$1:CB$87,'Fórmula'!F114,5)=0,10^6,INDEX(properties!A$1:CB$87,'Fórmula'!F114,5)),IF(INDEX(properties!A$1:CB$87,'Fórmula'!H114,5)=0,10^6,INDEX(properties!A$1:CB$87,'Fórmula'!H114,5)),IF(INDEX(properties!A$1:CB$87,'Fórmula'!J114,5)=0,10^6,INDEX(properties!A$1:CB$87,'Fórmula'!J114,5)))</f>
        <v>2</v>
      </c>
      <c r="S114" s="103">
        <f t="shared" si="3"/>
        <v>4</v>
      </c>
      <c r="T114" s="104">
        <f t="array" ref="T114">(('Fórmula'!C114)/('Fórmula'!C114+'Fórmula'!E114+'Fórmula'!G114+'Fórmula'!I114+'Fórmula'!K114))*(INDEX(properties!A$1:CB$87,'Fórmula'!B114,6))+(('Fórmula'!E114)/('Fórmula'!C114+'Fórmula'!E114+'Fórmula'!G114+'Fórmula'!I114+'Fórmula'!K114))*(INDEX(properties!A$1:CB$87,'Fórmula'!D114,6))+(('Fórmula'!G114)/('Fórmula'!C114+'Fórmula'!E114+'Fórmula'!G114+'Fórmula'!I114+'Fórmula'!K114))*(INDEX(properties!A$1:CB$87,'Fórmula'!F114,6))+(('Fórmula'!I114)/('Fórmula'!C114+'Fórmula'!E114+'Fórmula'!G114+'Fórmula'!I114+'Fórmula'!K114))*(INDEX(properties!A$1:CB$87,'Fórmula'!H114,6))+(('Fórmula'!K114)/('Fórmula'!C114+'Fórmula'!E114+'Fórmula'!G114+'Fórmula'!I114+'Fórmula'!K114))*(INDEX(properties!A$1:CB$87,'Fórmula'!J114,6))</f>
        <v>10.66666667</v>
      </c>
      <c r="U114" s="104">
        <f t="array" ref="U114">'Fórmula'!C114*(INDEX(properties!A$1:CB$87,'Fórmula'!B114,6))+'Fórmula'!E114*(INDEX(properties!A$1:CB$87,'Fórmula'!D114,6))+'Fórmula'!G114*(INDEX(properties!A$1:CB$87,'Fórmula'!F114,6))+'Fórmula'!I114*(INDEX(properties!A$1:CB$87,'Fórmula'!H114,6))+'Fórmula'!K114*(INDEX(properties!A$1:CB$87,'Fórmula'!J114,6))</f>
        <v>96</v>
      </c>
      <c r="V114" s="103">
        <f t="array" ref="V114">VARP(IF(INDEX(properties!A$1:CB$87,'Fórmula'!B114,6)&lt;&gt;"",INDEX(properties!A$1:CB$87,'Fórmula'!B114,6)),IF(INDEX(properties!A$1:CB$87,'Fórmula'!D114,6)&lt;&gt;"",INDEX(properties!A$1:CB$87,'Fórmula'!D114,6)),IF(INDEX(properties!A$1:CB$87,'Fórmula'!F114,6)&lt;&gt;"",INDEX(properties!A$1:CB$87,'Fórmula'!F114,6)),IF(INDEX(properties!A$1:CB$87,'Fórmula'!H114,6)&lt;&gt;"",INDEX(properties!A$1:CB$87,'Fórmula'!H114,6)),IF(INDEX(properties!A$1:CB$87,'Fórmula'!J114,6)&lt;&gt;"",INDEX(properties!A$1:CB$87,'Fórmula'!J114,6)))</f>
        <v>42.56</v>
      </c>
      <c r="W114" s="104">
        <f t="array" ref="W114">MAX(INDEX(properties!A$1:CB$87,'Fórmula'!B114,6),INDEX(properties!A$1:CB$87,'Fórmula'!D114,6),INDEX(properties!A$1:CB$87,'Fórmula'!F114,6),INDEX(properties!A$1:CB$87,'Fórmula'!H114,4),INDEX(properties!A$1:CB$87,'Fórmula'!J114,6))</f>
        <v>12</v>
      </c>
      <c r="X114" s="104">
        <f t="array" ref="X114">MIN(IF(INDEX(properties!A$1:CB$87,'Fórmula'!B114,6)=0,10^6,INDEX(properties!A$1:CB$87,'Fórmula'!B114,6)),IF(INDEX(properties!A$1:CB$87,'Fórmula'!D114,6)=0,10^6,INDEX(properties!A$1:CB$87,'Fórmula'!D114,6)),IF(INDEX(properties!A$1:CB$87,'Fórmula'!F114,6)=0,10^6,INDEX(properties!A$1:CB$87,'Fórmula'!F114,6)),IF(INDEX(properties!A$1:CB$87,'Fórmula'!H114,6)=0,10^6,INDEX(properties!A$1:CB$87,'Fórmula'!H114,6)),IF(INDEX(properties!A$1:CB$87,'Fórmula'!J114,6)=0,10^6,INDEX(properties!A$1:CB$87,'Fórmula'!J114,6)))</f>
        <v>1</v>
      </c>
      <c r="Y114" s="104">
        <f t="shared" si="4"/>
        <v>11</v>
      </c>
      <c r="Z114" s="105">
        <f t="array" ref="Z114">(('Fórmula'!C114)/('Fórmula'!C114+'Fórmula'!E114+'Fórmula'!G114+'Fórmula'!I114+'Fórmula'!K114))*(INDEX(properties!A$1:CB$87,'Fórmula'!B114,9))+(('Fórmula'!E114)/('Fórmula'!C114+'Fórmula'!E114+'Fórmula'!G114+'Fórmula'!I114+'Fórmula'!K114))*(INDEX(properties!A$1:CB$87,'Fórmula'!D114,9))+(('Fórmula'!G114)/('Fórmula'!C114+'Fórmula'!E114+'Fórmula'!G114+'Fórmula'!I114+'Fórmula'!K114))*(INDEX(properties!A$1:CB$87,'Fórmula'!F114,9))+(('Fórmula'!I114)/('Fórmula'!C114+'Fórmula'!E114+'Fórmula'!G114+'Fórmula'!I114+'Fórmula'!K114))*(INDEX(properties!A$1:CB$87,'Fórmula'!H114,9))+(('Fórmula'!K114)/('Fórmula'!C114+'Fórmula'!E114+'Fórmula'!G114+'Fórmula'!I114+'Fórmula'!K114))*(INDEX(properties!A$1:CB$87,'Fórmula'!J114,9))</f>
        <v>57.88888889</v>
      </c>
      <c r="AA114" s="105">
        <f t="array" ref="AA114">'Fórmula'!C114*(INDEX(properties!A$1:CB$87,'Fórmula'!B114,9))+'Fórmula'!E114*(INDEX(properties!A$1:CB$87,'Fórmula'!D114,9))+'Fórmula'!G114*(INDEX(properties!A$1:CB$87,'Fórmula'!F114,9))+'Fórmula'!I114*(INDEX(properties!A$1:CB$87,'Fórmula'!H114,9))+'Fórmula'!K114*(INDEX(properties!A$1:CB$87,'Fórmula'!J114,9))</f>
        <v>521</v>
      </c>
      <c r="AB114" s="105">
        <f t="array" ref="AB114">VARP(IF(INDEX(properties!A$1:CB$87,'Fórmula'!B114,9)&lt;&gt;"",INDEX(properties!A$1:CB$87,'Fórmula'!B114,9)),IF(INDEX(properties!A$1:CB$87,'Fórmula'!D114,9)&lt;&gt;"",INDEX(properties!A$1:CB$87,'Fórmula'!D114,9)),IF(INDEX(properties!A$1:CB$87,'Fórmula'!F114,9)&lt;&gt;"",INDEX(properties!A$1:CB$87,'Fórmula'!F114,9)),IF(INDEX(properties!A$1:CB$87,'Fórmula'!H114,9)&lt;&gt;"",INDEX(properties!A$1:CB$87,'Fórmula'!H114,9)),IF(INDEX(properties!A$1:CB$87,'Fórmula'!J114,9)&lt;&gt;"",INDEX(properties!A$1:CB$87,'Fórmula'!J114,9)))</f>
        <v>1342.96</v>
      </c>
      <c r="AC114" s="105">
        <f t="array" ref="AC114">MAX(INDEX(properties!A$1:CB$87,'Fórmula'!B114,9),INDEX(properties!A$1:CB$87,'Fórmula'!D114,9),INDEX(properties!A$1:CB$87,'Fórmula'!F114,9),INDEX(properties!A$1:CB$87,'Fórmula'!H114,9),INDEX(properties!A$1:CB$87,'Fórmula'!J114,9))</f>
        <v>87</v>
      </c>
      <c r="AD114" s="105">
        <f t="array" ref="AD114">MIN(IF(INDEX(properties!A$1:CB$87,'Fórmula'!B114,9)=0,10^6,INDEX(properties!A$1:CB$87,'Fórmula'!B114,9)),IF(INDEX(properties!A$1:CB$87,'Fórmula'!D114,9)=0,10^6,INDEX(properties!A$1:CB$87,'Fórmula'!D114,9)),IF(INDEX(properties!A$1:CB$87,'Fórmula'!F114,9)=0,10^6,INDEX(properties!A$1:CB$87,'Fórmula'!F114,9)),IF(INDEX(properties!A$1:CB$87,'Fórmula'!H114,9)=0,10^6,INDEX(properties!A$1:CB$87,'Fórmula'!H114,9)),IF(INDEX(properties!A$1:CB$87,'Fórmula'!J114,9)=0,10^6,INDEX(properties!A$1:CB$87,'Fórmula'!J114,9)))</f>
        <v>4</v>
      </c>
      <c r="AE114" s="105">
        <f t="shared" si="5"/>
        <v>83</v>
      </c>
      <c r="AF114" s="106">
        <f t="array" ref="AF114">(('Fórmula'!C114)/('Fórmula'!C114+'Fórmula'!E114+'Fórmula'!G114+'Fórmula'!I114+'Fórmula'!K114))*(INDEX(properties!A$1:CB$87,'Fórmula'!B114,10))+(('Fórmula'!E114)/('Fórmula'!C114+'Fórmula'!E114+'Fórmula'!G114+'Fórmula'!I114+'Fórmula'!K114))*(INDEX(properties!A$1:CB$87,'Fórmula'!D114,10))+(('Fórmula'!G114)/('Fórmula'!C114+'Fórmula'!E114+'Fórmula'!G114+'Fórmula'!I114+'Fórmula'!K114))*(INDEX(properties!A$1:CB$87,'Fórmula'!F114,10))+(('Fórmula'!I114)/('Fórmula'!C114+'Fórmula'!E114+'Fórmula'!G114+'Fórmula'!I114+'Fórmula'!K114))*(INDEX(properties!A$1:CB$87,'Fórmula'!H114,10))+(('Fórmula'!K114)/('Fórmula'!C114+'Fórmula'!E114+'Fórmula'!G114+'Fórmula'!I114+'Fórmula'!K114))*(INDEX(properties!A$1:CB$87,'Fórmula'!J114,10))</f>
        <v>4.777777778</v>
      </c>
      <c r="AG114" s="106">
        <f t="array" ref="AG114">'Fórmula'!C114*(INDEX(properties!A$1:CB$87,'Fórmula'!B114,10))+'Fórmula'!E114*(INDEX(properties!A$1:CB$87,'Fórmula'!D114,10))+'Fórmula'!G114*(INDEX(properties!A$1:CB$87,'Fórmula'!F114,10))+'Fórmula'!I114*(INDEX(properties!A$1:CB$87,'Fórmula'!H114,10))+'Fórmula'!K114*(INDEX(properties!A$1:CB$87,'Fórmula'!J114,10))</f>
        <v>43</v>
      </c>
      <c r="AH114" s="106">
        <f t="array" ref="AH114">VARP(IF(INDEX(properties!A$1:CB$87,'Fórmula'!B114,10)&lt;&gt;"",INDEX(properties!A$1:CB$87,'Fórmula'!B114,10)),IF(INDEX(properties!A$1:CB$87,'Fórmula'!D114,10)&lt;&gt;"",INDEX(properties!A$1:CB$87,'Fórmula'!D114,10)),IF(INDEX(properties!A$1:CB$87,'Fórmula'!F114,10)&lt;&gt;"",INDEX(properties!A$1:CB$87,'Fórmula'!F114,10)),IF(INDEX(properties!A$1:CB$87,'Fórmula'!H114,10)&lt;&gt;"",INDEX(properties!A$1:CB$87,'Fórmula'!H114,10)),IF(INDEX(properties!A$1:CB$87,'Fórmula'!J114,10)&lt;&gt;"",INDEX(properties!A$1:CB$87,'Fórmula'!J114,10)))</f>
        <v>6.16</v>
      </c>
      <c r="AI114" s="106">
        <f t="array" ref="AI114">MAX(INDEX(properties!A$1:CB$87,'Fórmula'!B114,10),INDEX(properties!A$1:CB$87,'Fórmula'!D114,10),INDEX(properties!A$1:CB$87,'Fórmula'!F114,10),INDEX(properties!A$1:CB$87,'Fórmula'!H114,10),INDEX(properties!A$1:CB$87,'Fórmula'!J114,10))</f>
        <v>7</v>
      </c>
      <c r="AJ114" s="106">
        <f t="array" ref="AJ114">MIN(IF(INDEX(properties!A$1:CB$87,'Fórmula'!B114,10)=0,10^6,INDEX(properties!A$1:CB$87,'Fórmula'!B114,10)),IF(INDEX(properties!A$1:CB$87,'Fórmula'!D114,10)=0,10^6,INDEX(properties!A$1:CB$87,'Fórmula'!D114,10)),IF(INDEX(properties!A$1:CB$87,'Fórmula'!F114,10)=0,10^6,INDEX(properties!A$1:CB$87,'Fórmula'!F114,10)),IF(INDEX(properties!A$1:CB$87,'Fórmula'!H114,10)=0,10^6,INDEX(properties!A$1:CB$87,'Fórmula'!H114,10)),IF(INDEX(properties!A$1:CB$87,'Fórmula'!J114,10)=0,10^6,INDEX(properties!A$1:CB$87,'Fórmula'!J114,10)))</f>
        <v>1</v>
      </c>
      <c r="AK114" s="106">
        <f t="shared" si="6"/>
        <v>6</v>
      </c>
      <c r="AL114" s="107">
        <f t="array" ref="AL114">(('Fórmula'!C114)/('Fórmula'!C114+'Fórmula'!E114+'Fórmula'!G114+'Fórmula'!I114+'Fórmula'!K114))*(INDEX(properties!A$1:CB$87,'Fórmula'!B114,11))+(('Fórmula'!E114)/('Fórmula'!C114+'Fórmula'!E114+'Fórmula'!G114+'Fórmula'!I114+'Fórmula'!K114))*(INDEX(properties!A$1:CB$87,'Fórmula'!D114,11))+(('Fórmula'!G114)/('Fórmula'!C114+'Fórmula'!E114+'Fórmula'!G114+'Fórmula'!I114+'Fórmula'!K114))*(INDEX(properties!A$1:CB$87,'Fórmula'!F114,11))+(('Fórmula'!I114)/('Fórmula'!C114+'Fórmula'!E114+'Fórmula'!G114+'Fórmula'!I114+'Fórmula'!K114))*(INDEX(properties!A$1:CB$87,'Fórmula'!H114,11))+(('Fórmula'!K114)/('Fórmula'!C114+'Fórmula'!E114+'Fórmula'!G114+'Fórmula'!I114+'Fórmula'!K114))*(INDEX(properties!A$1:CB$87,'Fórmula'!J114,11))</f>
        <v>1.777777778</v>
      </c>
      <c r="AM114" s="107">
        <f t="array" ref="AM114">'Fórmula'!C114*(INDEX(properties!A$1:CB$87,'Fórmula'!B114,11))+'Fórmula'!E114*(INDEX(properties!A$1:CB$87,'Fórmula'!D114,11))+'Fórmula'!G114*(INDEX(properties!A$1:CB$87,'Fórmula'!F114,11))+'Fórmula'!I114*(INDEX(properties!A$1:CB$87,'Fórmula'!H114,11))+'Fórmula'!K114*(INDEX(properties!A$1:CB$87,'Fórmula'!J114,11))</f>
        <v>16</v>
      </c>
      <c r="AN114" s="107">
        <f t="array" ref="AN114">VARP(IF(INDEX(properties!A$1:CB$87,'Fórmula'!B114,11)&lt;&gt;"",INDEX(properties!A$1:CB$87,'Fórmula'!B114,11)),IF(INDEX(properties!A$1:CB$87,'Fórmula'!D114,11)&lt;&gt;"",INDEX(properties!A$1:CB$87,'Fórmula'!D114,11)),IF(INDEX(properties!A$1:CB$87,'Fórmula'!F114,11)&lt;&gt;"",INDEX(properties!A$1:CB$87,'Fórmula'!F114,11)),IF(INDEX(properties!A$1:CB$87,'Fórmula'!H114,11)&lt;&gt;"",INDEX(properties!A$1:CB$87,'Fórmula'!H114,11)),IF(INDEX(properties!A$1:CB$87,'Fórmula'!J114,11)&lt;&gt;"",INDEX(properties!A$1:CB$87,'Fórmula'!J114,11)))</f>
        <v>0.64</v>
      </c>
      <c r="AO114" s="107">
        <f t="array" ref="AO114">MAX(INDEX(properties!A$1:CB$87,'Fórmula'!B114,11),INDEX(properties!A$1:CB$87,'Fórmula'!D114,11),INDEX(properties!A$1:CB$87,'Fórmula'!F114,11),INDEX(properties!A$1:CB$87,'Fórmula'!H114,11),INDEX(properties!A$1:CB$87,'Fórmula'!J114,11))</f>
        <v>2</v>
      </c>
      <c r="AP114" s="107">
        <f t="array" ref="AP114">MIN(IF('Fórmula'!B114=87,10^6,INDEX(properties!A$1:CB$87,'Fórmula'!B114,11)),IF(('Fórmula'!D114)=87,10^6,INDEX(properties!A$1:CB$87,'Fórmula'!D114,11)),IF(('Fórmula'!F114)=87,10^6,INDEX(properties!A$1:CB$87,'Fórmula'!F114,11)),IF(('Fórmula'!H114)=87,10^6,INDEX(properties!A$1:CB$87,'Fórmula'!H114,11)),IF('Fórmula'!J114=87,10^6,INDEX(properties!A$1:CB$87,'Fórmula'!J114,11)))</f>
        <v>1</v>
      </c>
      <c r="AQ114" s="107">
        <f t="shared" si="7"/>
        <v>1</v>
      </c>
      <c r="AR114" s="108">
        <f t="array" ref="AR114">(('Fórmula'!C114)/('Fórmula'!C114+'Fórmula'!E114+'Fórmula'!G114+'Fórmula'!I114+'Fórmula'!K114))*(INDEX(properties!A$1:CB$87,'Fórmula'!B114,12))+(('Fórmula'!E114)/('Fórmula'!C114+'Fórmula'!E114+'Fórmula'!G114+'Fórmula'!I114+'Fórmula'!K114))*(INDEX(properties!A$1:CB$87,'Fórmula'!D114,12))+(('Fórmula'!G114)/('Fórmula'!C114+'Fórmula'!E114+'Fórmula'!G114+'Fórmula'!I114+'Fórmula'!K114))*(INDEX(properties!A$1:CB$87,'Fórmula'!F114,12))+(('Fórmula'!I114)/('Fórmula'!C114+'Fórmula'!E114+'Fórmula'!G114+'Fórmula'!I114+'Fórmula'!K114))*(INDEX(properties!A$1:CB$87,'Fórmula'!H114,12))+(('Fórmula'!K114)/('Fórmula'!C114+'Fórmula'!E114+'Fórmula'!G114+'Fórmula'!I114+'Fórmula'!K114))*(INDEX(properties!A$1:CB$87,'Fórmula'!J114,12))</f>
        <v>2.222222222</v>
      </c>
      <c r="AS114" s="108">
        <f t="array" ref="AS114">'Fórmula'!C114*(INDEX(properties!A$1:CB$87,'Fórmula'!B114,12))+'Fórmula'!E114*(INDEX(properties!A$1:CB$87,'Fórmula'!D114,12))+'Fórmula'!G114*(INDEX(properties!A$1:CB$87,'Fórmula'!F114,12))+'Fórmula'!I114*(INDEX(properties!A$1:CB$87,'Fórmula'!H114,12))+'Fórmula'!K114*(INDEX(properties!A$1:CB$87,'Fórmula'!J114,12))</f>
        <v>20</v>
      </c>
      <c r="AT114" s="108">
        <f t="array" ref="AT114">VARP(IF(INDEX(properties!A$1:CB$87,'Fórmula'!B114,12)&lt;&gt;"",INDEX(properties!A$1:CB$87,'Fórmula'!B114,12)),IF(INDEX(properties!A$1:CB$87,'Fórmula'!D114,12)&lt;&gt;"",INDEX(properties!A$1:CB$87,'Fórmula'!D114,12)),IF(INDEX(properties!A$1:CB$87,'Fórmula'!F114,12)&lt;&gt;"",INDEX(properties!A$1:CB$87,'Fórmula'!F114,12)),IF(INDEX(properties!A$1:CB$87,'Fórmula'!H114,12)&lt;&gt;"",INDEX(properties!A$1:CB$87,'Fórmula'!H114,12)),IF(INDEX(properties!A$1:CB$87,'Fórmula'!J114,12)&lt;&gt;"",INDEX(properties!A$1:CB$87,'Fórmula'!J114,12)))</f>
        <v>2.56</v>
      </c>
      <c r="AU114" s="108">
        <f t="array" ref="AU114">MAX(INDEX(properties!A$1:CB$87,'Fórmula'!B114,12),INDEX(properties!A$1:CB$87,'Fórmula'!D114,12),INDEX(properties!A$1:CB$87,'Fórmula'!F114,12),INDEX(properties!A$1:CB$87,'Fórmula'!H114,12),INDEX(properties!A$1:CB$87,'Fórmula'!J114,12))</f>
        <v>4</v>
      </c>
      <c r="AV114" s="108">
        <f t="array" ref="AV114">MIN(IF('Fórmula'!B114=87,10^6,INDEX(properties!A$1:CB$87,'Fórmula'!B114,12)),IF(('Fórmula'!D114)=87,10^6,INDEX(properties!A$1:CB$87,'Fórmula'!D114,12)),IF(('Fórmula'!F114)=87,10^6,INDEX(properties!A$1:CB$87,'Fórmula'!F114,12)),IF(('Fórmula'!H114)=87,10^6,INDEX(properties!A$1:CB$87,'Fórmula'!H114,12)),IF('Fórmula'!J114=87,10^6,INDEX(properties!A$1:CB$87,'Fórmula'!J114,12)))</f>
        <v>0</v>
      </c>
      <c r="AW114" s="108">
        <f t="shared" si="8"/>
        <v>4</v>
      </c>
      <c r="AX114" s="109">
        <f t="array" ref="AX114">(('Fórmula'!C114)/('Fórmula'!C114+'Fórmula'!E114+'Fórmula'!G114+'Fórmula'!I114+'Fórmula'!K114))*(INDEX(properties!A$1:CB$87,'Fórmula'!B114,13))+(('Fórmula'!E114)/('Fórmula'!C114+'Fórmula'!E114+'Fórmula'!G114+'Fórmula'!I114+'Fórmula'!K114))*(INDEX(properties!A$1:CB$87,'Fórmula'!D114,13))+(('Fórmula'!G114)/('Fórmula'!C114+'Fórmula'!E114+'Fórmula'!G114+'Fórmula'!I114+'Fórmula'!K114))*(INDEX(properties!A$1:CB$87,'Fórmula'!F114,13))+(('Fórmula'!I114)/('Fórmula'!C114+'Fórmula'!E114+'Fórmula'!G114+'Fórmula'!I114+'Fórmula'!K114))*(INDEX(properties!A$1:CB$87,'Fórmula'!H114,13))+(('Fórmula'!K114)/('Fórmula'!C114+'Fórmula'!E114+'Fórmula'!G114+'Fórmula'!I114+'Fórmula'!K114))*(INDEX(properties!A$1:CB$87,'Fórmula'!J114,13))</f>
        <v>1.111111111</v>
      </c>
      <c r="AY114" s="109">
        <f t="array" ref="AY114">'Fórmula'!C114*(INDEX(properties!A$1:CB$87,'Fórmula'!B114,13))+'Fórmula'!E114*(INDEX(properties!A$1:CB$87,'Fórmula'!D114,13))+'Fórmula'!G114*(INDEX(properties!A$1:CB$87,'Fórmula'!F114,13))+'Fórmula'!I114*(INDEX(properties!A$1:CB$87,'Fórmula'!H114,13))+'Fórmula'!K114*(INDEX(properties!A$1:CB$87,'Fórmula'!J114,13))</f>
        <v>10</v>
      </c>
      <c r="AZ114" s="109">
        <f t="array" ref="AZ114">VARP(IF(INDEX(properties!A$1:CB$87,'Fórmula'!B114,13)&lt;&gt;"",INDEX(properties!A$1:CB$87,'Fórmula'!B114,13)),IF(INDEX(properties!A$1:CB$87,'Fórmula'!D114,13)&lt;&gt;"",INDEX(properties!A$1:CB$87,'Fórmula'!D114,13)),IF(INDEX(properties!A$1:CB$87,'Fórmula'!F114,13)&lt;&gt;"",INDEX(properties!A$1:CB$87,'Fórmula'!F114,13)),IF(INDEX(properties!A$1:CB$87,'Fórmula'!H114,13)&lt;&gt;"",INDEX(properties!A$1:CB$87,'Fórmula'!H114,13)),IF(INDEX(properties!A$1:CB$87,'Fórmula'!J114,13)&lt;&gt;"",INDEX(properties!A$1:CB$87,'Fórmula'!J114,13)))</f>
        <v>16</v>
      </c>
      <c r="BA114" s="109">
        <f t="array" ref="BA114">MAX(INDEX(properties!A$1:CB$87,'Fórmula'!B114,13),INDEX(properties!A$1:CB$87,'Fórmula'!D114,13),INDEX(properties!A$1:CB$87,'Fórmula'!F114,13),INDEX(properties!A$1:CB$87,'Fórmula'!H114,13),INDEX(properties!A$1:CB$87,'Fórmula'!J114,13))</f>
        <v>10</v>
      </c>
      <c r="BB114" s="109">
        <f t="array" ref="BB114">MIN(IF('Fórmula'!B114=87,10^6,INDEX(properties!A$1:CB$87,'Fórmula'!B114,13)),IF(('Fórmula'!D114)=87,10^6,INDEX(properties!A$1:CB$87,'Fórmula'!D114,13)),IF(('Fórmula'!F114)=87,10^6,INDEX(properties!A$1:CB$87,'Fórmula'!F114,13)),IF(('Fórmula'!H114)=87,10^6,INDEX(properties!A$1:CB$87,'Fórmula'!H114,13)),IF('Fórmula'!J114=87,10^6,INDEX(properties!A$1:CB$87,'Fórmula'!J114,13)))</f>
        <v>0</v>
      </c>
      <c r="BC114" s="109">
        <f t="shared" si="9"/>
        <v>10</v>
      </c>
      <c r="BD114" s="110">
        <f t="array" ref="BD114">(('Fórmula'!C114)/('Fórmula'!C114+'Fórmula'!E114+'Fórmula'!G114+'Fórmula'!I114+'Fórmula'!K114))*(INDEX(properties!A$1:CB$87,'Fórmula'!B114,14))+(('Fórmula'!E114)/('Fórmula'!C114+'Fórmula'!E114+'Fórmula'!G114+'Fórmula'!I114+'Fórmula'!K114))*(INDEX(properties!A$1:CB$87,'Fórmula'!D114,14))+(('Fórmula'!G114)/('Fórmula'!C114+'Fórmula'!E114+'Fórmula'!G114+'Fórmula'!I114+'Fórmula'!K114))*(INDEX(properties!A$1:CB$87,'Fórmula'!F114,14))+(('Fórmula'!I114)/('Fórmula'!C114+'Fórmula'!E114+'Fórmula'!G114+'Fórmula'!I114+'Fórmula'!K114))*(INDEX(properties!A$1:CB$87,'Fórmula'!H114,14))+(('Fórmula'!K114)/('Fórmula'!C114+'Fórmula'!E114+'Fórmula'!G114+'Fórmula'!I114+'Fórmula'!K114))*(INDEX(properties!A$1:CB$87,'Fórmula'!J114,14))</f>
        <v>0</v>
      </c>
      <c r="BE114" s="110">
        <f t="array" ref="BE114">'Fórmula'!C114*(INDEX(properties!A$1:CB$87,'Fórmula'!B114,14))+'Fórmula'!E114*(INDEX(properties!A$1:CB$87,'Fórmula'!D114,14))+'Fórmula'!G114*(INDEX(properties!A$1:CB$87,'Fórmula'!F114,14))+'Fórmula'!I114*(INDEX(properties!A$1:CB$87,'Fórmula'!H114,14))+'Fórmula'!K114*(INDEX(properties!A$1:CB$87,'Fórmula'!J114,14))</f>
        <v>0</v>
      </c>
      <c r="BF114" s="110">
        <f t="array" ref="BF114">VARP(IF(INDEX(properties!A$1:CB$87,'Fórmula'!B114,14)&lt;&gt;"",INDEX(properties!A$1:CB$87,'Fórmula'!B114,14)),IF(INDEX(properties!A$1:CB$87,'Fórmula'!D114,14)&lt;&gt;"",INDEX(properties!A$1:CB$87,'Fórmula'!D114,14)),IF(INDEX(properties!A$1:CB$87,'Fórmula'!F114,14)&lt;&gt;"",INDEX(properties!A$1:CB$87,'Fórmula'!F114,14)),IF(INDEX(properties!A$1:CB$87,'Fórmula'!H114,14)&lt;&gt;"",INDEX(properties!A$1:CB$87,'Fórmula'!H114,14)),IF(INDEX(properties!A$1:CB$87,'Fórmula'!J114,14)&lt;&gt;"",INDEX(properties!A$1:CB$87,'Fórmula'!J114,14)))</f>
        <v>0</v>
      </c>
      <c r="BG114" s="110">
        <f t="array" ref="BG114">MAX(INDEX(properties!A$1:CB$87,'Fórmula'!B114,14),INDEX(properties!A$1:CB$87,'Fórmula'!D114,14),INDEX(properties!A$1:CB$87,'Fórmula'!F114,14),INDEX(properties!A$1:CB$87,'Fórmula'!H114,14),INDEX(properties!A$1:CB$87,'Fórmula'!J114,14))</f>
        <v>0</v>
      </c>
      <c r="BH114" s="110">
        <f t="array" ref="BH114">MIN(IF('Fórmula'!B114=87,10^6,INDEX(properties!A$1:CB$87,'Fórmula'!B114,14)),IF(('Fórmula'!D114)=87,10^6,INDEX(properties!A$1:CB$87,'Fórmula'!D114,14)),IF(('Fórmula'!F114)=87,10^6,INDEX(properties!A$1:CB$87,'Fórmula'!F114,14)),IF(('Fórmula'!H114)=87,10^6,INDEX(properties!A$1:CB$87,'Fórmula'!H114,14)),IF('Fórmula'!J114=87,10^6,INDEX(properties!A$1:CB$87,'Fórmula'!J114,14)))</f>
        <v>0</v>
      </c>
      <c r="BI114" s="110">
        <f t="shared" si="10"/>
        <v>0</v>
      </c>
      <c r="BJ114" s="111">
        <f t="array" ref="BJ114">(('Fórmula'!C114)/('Fórmula'!C114+'Fórmula'!E114+'Fórmula'!G114+'Fórmula'!I114+'Fórmula'!K114))*(INDEX(properties!A$1:CB$87,'Fórmula'!B114,19))+(('Fórmula'!E114)/('Fórmula'!C114+'Fórmula'!E114+'Fórmula'!G114+'Fórmula'!I114+'Fórmula'!K114))*(INDEX(properties!A$1:CB$87,'Fórmula'!D114,19))+(('Fórmula'!G114)/('Fórmula'!C114+'Fórmula'!E114+'Fórmula'!G114+'Fórmula'!I114+'Fórmula'!K114))*(INDEX(properties!A$1:CB$87,'Fórmula'!F114,19))+(('Fórmula'!I114)/('Fórmula'!C114+'Fórmula'!E114+'Fórmula'!G114+'Fórmula'!I114+'Fórmula'!K114))*(INDEX(properties!A$1:CB$87,'Fórmula'!H114,19))+(('Fórmula'!K114)/('Fórmula'!C114+'Fórmula'!E114+'Fórmula'!G114+'Fórmula'!I114+'Fórmula'!K114))*(INDEX(properties!A$1:CB$87,'Fórmula'!J114,19))</f>
        <v>5.111111111</v>
      </c>
      <c r="BK114" s="111">
        <f t="array" ref="BK114">'Fórmula'!C114*(INDEX(properties!A$1:CB$87,'Fórmula'!B114,19))+'Fórmula'!E114*(INDEX(properties!A$1:CB$87,'Fórmula'!D114,19))+'Fórmula'!G114*(INDEX(properties!A$1:CB$87,'Fórmula'!F114,19))+'Fórmula'!I114*(INDEX(properties!A$1:CB$87,'Fórmula'!H114,19))+'Fórmula'!K114*(INDEX(properties!A$1:CB$87,'Fórmula'!J114,19))</f>
        <v>46</v>
      </c>
      <c r="BL114" s="111">
        <f t="array" ref="BL114">VARP(IF(INDEX(properties!A$1:CB$87,'Fórmula'!B114,19)&lt;&gt;"",INDEX(properties!A$1:CB$87,'Fórmula'!B114,19)),IF(INDEX(properties!A$1:CB$87,'Fórmula'!D114,19)&lt;&gt;"",INDEX(properties!A$1:CB$87,'Fórmula'!D114,19)),IF(INDEX(properties!A$1:CB$87,'Fórmula'!F114,19)&lt;&gt;"",INDEX(properties!A$1:CB$87,'Fórmula'!F114,19)),IF(INDEX(properties!A$1:CB$87,'Fórmula'!H114,19)&lt;&gt;"",INDEX(properties!A$1:CB$87,'Fórmula'!H114,19)),IF(INDEX(properties!A$1:CB$87,'Fórmula'!J114,19)&lt;&gt;"",INDEX(properties!A$1:CB$87,'Fórmula'!J114,19)))</f>
        <v>19.36</v>
      </c>
      <c r="BM114" s="111">
        <f t="array" ref="BM114">MAX(INDEX(properties!A$1:CB$87,'Fórmula'!B114,19),INDEX(properties!A$1:CB$87,'Fórmula'!D114,19),INDEX(properties!A$1:CB$87,'Fórmula'!F114,19),INDEX(properties!A$1:CB$87,'Fórmula'!H114,19),INDEX(properties!A$1:CB$87,'Fórmula'!J114,19))</f>
        <v>12</v>
      </c>
      <c r="BN114" s="111">
        <f t="array" ref="BN114">MIN(IF(INDEX(properties!A$1:CB$87,'Fórmula'!B114,19)=0,10^6,INDEX(properties!A$1:CB$87,'Fórmula'!B114,19)),IF(INDEX(properties!A$1:CB$87,'Fórmula'!D114,19)=0,10^6,INDEX(properties!A$1:CB$87,'Fórmula'!D114,19)),IF(INDEX(properties!A$1:CB$87,'Fórmula'!F114,19)=0,10^6,INDEX(properties!A$1:CB$87,'Fórmula'!F114,19)),IF(INDEX(properties!A$1:CB$87,'Fórmula'!H114,19)=0,10^6,INDEX(properties!A$1:CB$87,'Fórmula'!H114,19)),IF(INDEX(properties!A$1:CB$87,'Fórmula'!J114,19)=0,10^6,INDEX(properties!A$1:CB$87,'Fórmula'!J114,19)))</f>
        <v>1</v>
      </c>
      <c r="BO114" s="111">
        <f t="shared" si="11"/>
        <v>11</v>
      </c>
      <c r="BP114" s="112">
        <f t="array" ref="BP114">(('Fórmula'!C114)/('Fórmula'!C114+'Fórmula'!E114+'Fórmula'!G114+'Fórmula'!I114+'Fórmula'!K114))*(INDEX(properties!A$1:CB$87,'Fórmula'!B114,20))+(('Fórmula'!E114)/('Fórmula'!C114+'Fórmula'!E114+'Fórmula'!G114+'Fórmula'!I114+'Fórmula'!K114))*(INDEX(properties!A$1:CB$87,'Fórmula'!D114,20))+(('Fórmula'!G114)/('Fórmula'!C114+'Fórmula'!E114+'Fórmula'!G114+'Fórmula'!I114+'Fórmula'!K114))*(INDEX(properties!A$1:CB$87,'Fórmula'!F114,20))+(('Fórmula'!I114)/('Fórmula'!C114+'Fórmula'!E114+'Fórmula'!G114+'Fórmula'!I114+'Fórmula'!K114))*(INDEX(properties!A$1:CB$87,'Fórmula'!H114,20))+(('Fórmula'!K114)/('Fórmula'!C114+'Fórmula'!E114+'Fórmula'!G114+'Fórmula'!I114+'Fórmula'!K114))*(INDEX(properties!A$1:CB$87,'Fórmula'!J114,20))</f>
        <v>4</v>
      </c>
      <c r="BQ114" s="112">
        <f t="array" ref="BQ114">'Fórmula'!C114*(INDEX(properties!A$1:CB$87,'Fórmula'!B114,20))+'Fórmula'!E114*(INDEX(properties!A$1:CB$87,'Fórmula'!D114,20))+'Fórmula'!G114*(INDEX(properties!A$1:CB$87,'Fórmula'!F114,20))+'Fórmula'!I114*(INDEX(properties!A$1:CB$87,'Fórmula'!H114,20))+'Fórmula'!K114*(INDEX(properties!A$1:CB$87,'Fórmula'!J114,20))</f>
        <v>36</v>
      </c>
      <c r="BR114" s="112">
        <f t="array" ref="BR114">VARP(IF(INDEX(properties!A$1:CB$87,'Fórmula'!B114,20)&lt;&gt;"",INDEX(properties!A$1:CB$87,'Fórmula'!B114,20)),IF(INDEX(properties!A$1:CB$87,'Fórmula'!D114,20)&lt;&gt;"",INDEX(properties!A$1:CB$87,'Fórmula'!D114,20)),IF(INDEX(properties!A$1:CB$87,'Fórmula'!F114,20)&lt;&gt;"",INDEX(properties!A$1:CB$87,'Fórmula'!F114,20)),IF(INDEX(properties!A$1:CB$87,'Fórmula'!H114,20)&lt;&gt;"",INDEX(properties!A$1:CB$87,'Fórmula'!H114,20)),IF(INDEX(properties!A$1:CB$87,'Fórmula'!J114,20)&lt;&gt;"",INDEX(properties!A$1:CB$87,'Fórmula'!J114,20)))</f>
        <v>4.16</v>
      </c>
      <c r="BS114" s="112">
        <f t="array" ref="BS114">MAX(INDEX(properties!A$1:CB$87,'Fórmula'!B114,20),INDEX(properties!A$1:CB$87,'Fórmula'!D114,20),INDEX(properties!A$1:CB$87,'Fórmula'!F114,20),INDEX(properties!A$1:CB$87,'Fórmula'!H114,20),INDEX(properties!A$1:CB$87,'Fórmula'!J114,20))</f>
        <v>6</v>
      </c>
      <c r="BT114" s="112">
        <f t="array" ref="BT114">MIN(IF(INDEX(properties!A$1:CB$87,'Fórmula'!B114,20)=0,10^6,INDEX(properties!A$1:CB$87,'Fórmula'!B114,20)),IF(INDEX(properties!A$1:CB$87,'Fórmula'!D114,20)=0,10^6,INDEX(properties!A$1:CB$87,'Fórmula'!D114,20)),IF(INDEX(properties!A$1:CB$87,'Fórmula'!F114,20)=0,10^6,INDEX(properties!A$1:CB$87,'Fórmula'!F114,20)),IF(INDEX(properties!A$1:CB$87,'Fórmula'!H114,20)=0,10^6,INDEX(properties!A$1:CB$87,'Fórmula'!H114,20)),IF(INDEX(properties!A$1:CB$87,'Fórmula'!J114,20)=0,10^6,INDEX(properties!A$1:CB$87,'Fórmula'!J114,20)))</f>
        <v>1</v>
      </c>
      <c r="BU114" s="112">
        <f t="shared" si="12"/>
        <v>5</v>
      </c>
      <c r="BV114" s="113">
        <f t="array" ref="BV114">(('Fórmula'!C114)/('Fórmula'!C114+'Fórmula'!E114+'Fórmula'!G114+'Fórmula'!I114+'Fórmula'!K114))*(INDEX(properties!A$1:CB$87,'Fórmula'!B114,21))+(('Fórmula'!E114)/('Fórmula'!C114+'Fórmula'!E114+'Fórmula'!G114+'Fórmula'!I114+'Fórmula'!K114))*(INDEX(properties!A$1:CB$87,'Fórmula'!D114,21))+(('Fórmula'!G114)/('Fórmula'!C114+'Fórmula'!E114+'Fórmula'!G114+'Fórmula'!I114+'Fórmula'!K114))*(INDEX(properties!A$1:CB$87,'Fórmula'!F114,21))+(('Fórmula'!I114)/('Fórmula'!C114+'Fórmula'!E114+'Fórmula'!G114+'Fórmula'!I114+'Fórmula'!K114))*(INDEX(properties!A$1:CB$87,'Fórmula'!H114,21))+(('Fórmula'!K114)/('Fórmula'!C114+'Fórmula'!E114+'Fórmula'!G114+'Fórmula'!I114+'Fórmula'!K114))*(INDEX(properties!A$1:CB$87,'Fórmula'!J114,21))</f>
        <v>3.888888889</v>
      </c>
      <c r="BW114" s="113">
        <f t="array" ref="BW114">'Fórmula'!C114*(INDEX(properties!A$1:CB$87,'Fórmula'!B114,21))+'Fórmula'!E114*(INDEX(properties!A$1:CB$87,'Fórmula'!D114,21))+'Fórmula'!G114*(INDEX(properties!A$1:CB$87,'Fórmula'!F114,21))+'Fórmula'!I114*(INDEX(properties!A$1:CB$87,'Fórmula'!H114,21))+'Fórmula'!K114*(INDEX(properties!A$1:CB$87,'Fórmula'!J114,21))</f>
        <v>35</v>
      </c>
      <c r="BX114" s="113">
        <f t="array" ref="BX114">VARP(IF(INDEX(properties!A$1:CB$87,'Fórmula'!B114,21)&lt;&gt;"",INDEX(properties!A$1:CB$87,'Fórmula'!B114,21)),IF(INDEX(properties!A$1:CB$87,'Fórmula'!D114,21)&lt;&gt;"",INDEX(properties!A$1:CB$87,'Fórmula'!D114,21)),IF(INDEX(properties!A$1:CB$87,'Fórmula'!F114,21)&lt;&gt;"",INDEX(properties!A$1:CB$87,'Fórmula'!F114,21)),IF(INDEX(properties!A$1:CB$87,'Fórmula'!H114,21)&lt;&gt;"",INDEX(properties!A$1:CB$87,'Fórmula'!H114,21)),IF(INDEX(properties!A$1:CB$87,'Fórmula'!J114,21)&lt;&gt;"",INDEX(properties!A$1:CB$87,'Fórmula'!J114,21)))</f>
        <v>4.4</v>
      </c>
      <c r="BY114" s="113">
        <f t="array" ref="BY114">MAX(INDEX(properties!A$1:CB$87,'Fórmula'!B114,21),INDEX(properties!A$1:CB$87,'Fórmula'!D114,21),INDEX(properties!A$1:CB$87,'Fórmula'!F114,21),INDEX(properties!A$1:CB$87,'Fórmula'!H114,21),INDEX(properties!A$1:CB$87,'Fórmula'!J114,21))</f>
        <v>6</v>
      </c>
      <c r="BZ114" s="113">
        <f t="array" ref="BZ114">MIN(IF(INDEX(properties!A$1:CB$87,'Fórmula'!B114,21)=0,10^6,INDEX(properties!A$1:CB$87,'Fórmula'!B114,21)),IF(INDEX(properties!A$1:CB$87,'Fórmula'!D114,21)=0,10^6,INDEX(properties!A$1:CB$87,'Fórmula'!D114,21)),IF(INDEX(properties!A$1:CB$87,'Fórmula'!F114,21)=0,10^6,INDEX(properties!A$1:CB$87,'Fórmula'!F114,21)),IF(INDEX(properties!A$1:CB$87,'Fórmula'!H114,21)=0,10^6,INDEX(properties!A$1:CB$87,'Fórmula'!H114,21)),IF(INDEX(properties!A$1:CB$87,'Fórmula'!J114,21)=0,10^6,INDEX(properties!A$1:CB$87,'Fórmula'!J114,21)))</f>
        <v>1</v>
      </c>
      <c r="CA114" s="113">
        <f t="shared" si="13"/>
        <v>5</v>
      </c>
      <c r="CB114" s="114">
        <f t="array" ref="CB114">(('Fórmula'!C114)/('Fórmula'!C114+'Fórmula'!E114+'Fórmula'!G114+'Fórmula'!I114+'Fórmula'!K114))*(INDEX(properties!A$1:CB$87,'Fórmula'!B114,23))+(('Fórmula'!E114)/('Fórmula'!C114+'Fórmula'!E114+'Fórmula'!G114+'Fórmula'!I114+'Fórmula'!K114))*(INDEX(properties!A$1:CB$87,'Fórmula'!D114,23))+(('Fórmula'!G114)/('Fórmula'!C114+'Fórmula'!E114+'Fórmula'!G114+'Fórmula'!I114+'Fórmula'!K114))*(INDEX(properties!A$1:CB$87,'Fórmula'!F114,23))+(('Fórmula'!I114)/('Fórmula'!C114+'Fórmula'!E114+'Fórmula'!G114+'Fórmula'!I114+'Fórmula'!K114))*(INDEX(properties!A$1:CB$87,'Fórmula'!H114,23))+(('Fórmula'!K114)/('Fórmula'!C114+'Fórmula'!E114+'Fórmula'!G114+'Fórmula'!I114+'Fórmula'!K114))*(INDEX(properties!A$1:CB$87,'Fórmula'!J114,23))</f>
        <v>0.9377777778</v>
      </c>
      <c r="CC114" s="114">
        <f t="array" ref="CC114">'Fórmula'!C114*(INDEX(properties!A$1:CB$87,'Fórmula'!B114,23))+'Fórmula'!E114*(INDEX(properties!A$1:CB$87,'Fórmula'!D114,23))+'Fórmula'!G114*(INDEX(properties!A$1:CB$87,'Fórmula'!F114,23))+'Fórmula'!I114*(INDEX(properties!A$1:CB$87,'Fórmula'!H114,23))+'Fórmula'!K114*(INDEX(properties!A$1:CB$87,'Fórmula'!J114,23))</f>
        <v>8.44</v>
      </c>
      <c r="CD114" s="114">
        <f t="array" ref="CD114">VARP(IF(INDEX(properties!A$1:CB$87,'Fórmula'!B114,23)&lt;&gt;"",INDEX(properties!A$1:CB$87,'Fórmula'!B114,23)),IF(INDEX(properties!A$1:CB$87,'Fórmula'!D114,23)&lt;&gt;"",INDEX(properties!A$1:CB$87,'Fórmula'!D114,23)),IF(INDEX(properties!A$1:CB$87,'Fórmula'!F114,23)&lt;&gt;"",INDEX(properties!A$1:CB$87,'Fórmula'!F114,23)),IF(INDEX(properties!A$1:CB$87,'Fórmula'!H114,23)&lt;&gt;"",INDEX(properties!A$1:CB$87,'Fórmula'!H114,23)),IF(INDEX(properties!A$1:CB$87,'Fórmula'!J114,23)&lt;&gt;"",INDEX(properties!A$1:CB$87,'Fórmula'!J114,23)))</f>
        <v>2.728576</v>
      </c>
      <c r="CE114" s="114">
        <f t="array" ref="CE114">MAX(INDEX(properties!A$1:CB$87,'Fórmula'!B114,23),INDEX(properties!A$1:CB$87,'Fórmula'!D114,23),INDEX(properties!A$1:CB$87,'Fórmula'!F114,23),INDEX(properties!A$1:CB$87,'Fórmula'!H114,23),INDEX(properties!A$1:CB$87,'Fórmula'!J114,23))</f>
        <v>4.44</v>
      </c>
      <c r="CF114" s="114">
        <f t="array" ref="CF114">MIN(IF('Fórmula'!B114=87,10^6,INDEX(properties!A$1:CB$87,'Fórmula'!B114,23)),IF(('Fórmula'!D114)=87,10^6,INDEX(properties!A$1:CB$87,'Fórmula'!D114,23)),IF(('Fórmula'!F114)=87,10^6,INDEX(properties!A$1:CB$87,'Fórmula'!F114,23)),IF(('Fórmula'!H114)=87,10^6,INDEX(properties!A$1:CB$87,'Fórmula'!H114,23)),IF('Fórmula'!J114=87,10^6,INDEX(properties!A$1:CB$87,'Fórmula'!J114,23)))</f>
        <v>0</v>
      </c>
      <c r="CG114" s="114">
        <f t="shared" si="14"/>
        <v>4.44</v>
      </c>
      <c r="CH114" s="115">
        <f t="array" ref="CH114">(('Fórmula'!C114)/('Fórmula'!C114+'Fórmula'!E114+'Fórmula'!G114+'Fórmula'!I114+'Fórmula'!K114))*(INDEX(properties!A$1:CB$87,'Fórmula'!B114,26))+(('Fórmula'!E114)/('Fórmula'!C114+'Fórmula'!E114+'Fórmula'!G114+'Fórmula'!I114+'Fórmula'!K114))*(INDEX(properties!A$1:CB$87,'Fórmula'!D114,26))+(('Fórmula'!G114)/('Fórmula'!C114+'Fórmula'!E114+'Fórmula'!G114+'Fórmula'!I114+'Fórmula'!K114))*(INDEX(properties!A$1:CB$87,'Fórmula'!F114,26))+(('Fórmula'!I114)/('Fórmula'!C114+'Fórmula'!E114+'Fórmula'!G114+'Fórmula'!I114+'Fórmula'!K114))*(INDEX(properties!A$1:CB$87,'Fórmula'!H114,26))+(('Fórmula'!K114)/('Fórmula'!C114+'Fórmula'!E114+'Fórmula'!G114+'Fórmula'!I114+'Fórmula'!K114))*(INDEX(properties!A$1:CB$87,'Fórmula'!J114,26))</f>
        <v>10.11673333</v>
      </c>
      <c r="CI114" s="115">
        <f t="array" ref="CI114">'Fórmula'!C114*(INDEX(properties!A$1:CB$87,'Fórmula'!B114,26))+'Fórmula'!E114*(INDEX(properties!A$1:CB$87,'Fórmula'!D114,26))+'Fórmula'!G114*(INDEX(properties!A$1:CB$87,'Fórmula'!F114,26))+'Fórmula'!I114*(INDEX(properties!A$1:CB$87,'Fórmula'!H114,26))+'Fórmula'!K114*(INDEX(properties!A$1:CB$87,'Fórmula'!J114,26))</f>
        <v>91.0506</v>
      </c>
      <c r="CJ114" s="115">
        <f t="array" ref="CJ114">VARP(IF(INDEX(properties!A$1:CB$87,'Fórmula'!B114,26)&lt;&gt;"",INDEX(properties!A$1:CB$87,'Fórmula'!B114,26)),IF(INDEX(properties!A$1:CB$87,'Fórmula'!D114,26)&lt;&gt;"",INDEX(properties!A$1:CB$87,'Fórmula'!D114,26)),IF(INDEX(properties!A$1:CB$87,'Fórmula'!F114,26)&lt;&gt;"",INDEX(properties!A$1:CB$87,'Fórmula'!F114,26)),IF(INDEX(properties!A$1:CB$87,'Fórmula'!H114,26)&lt;&gt;"",INDEX(properties!A$1:CB$87,'Fórmula'!H114,26)),IF(INDEX(properties!A$1:CB$87,'Fórmula'!J114,26)&lt;&gt;"",INDEX(properties!A$1:CB$87,'Fórmula'!J114,26)))</f>
        <v>21.66947326</v>
      </c>
      <c r="CK114" s="116">
        <f t="array" ref="CK114">MAX(INDEX(properties!A$1:CB$87,'Fórmula'!B114,26),INDEX(properties!A$1:CB$87,'Fórmula'!D114,26),INDEX(properties!A$1:CB$87,'Fórmula'!F114,26),INDEX(properties!A$1:CB$87,'Fórmula'!H114,26),INDEX(properties!A$1:CB$87,'Fórmula'!J114,26))</f>
        <v>13.6181</v>
      </c>
      <c r="CL114" s="116">
        <f t="array" ref="CL114">MIN(IF(INDEX(properties!A$1:CB$87,'Fórmula'!B114,26)=0,10^6,INDEX(properties!A$1:CB$87,'Fórmula'!B114,26)),IF(INDEX(properties!A$1:CB$87,'Fórmula'!D114,26)=0,10^6,INDEX(properties!A$1:CB$87,'Fórmula'!D114,26)),IF(INDEX(properties!A$1:CB$87,'Fórmula'!F114,26)=0,10^6,INDEX(properties!A$1:CB$87,'Fórmula'!F114,26)),IF(INDEX(properties!A$1:CB$87,'Fórmula'!H114,26)=0,10^6,INDEX(properties!A$1:CB$87,'Fórmula'!H114,26)),IF(INDEX(properties!A$1:CB$87,'Fórmula'!J114,26)=0,10^6,INDEX(properties!A$1:CB$87,'Fórmula'!J114,26)))</f>
        <v>4.1771</v>
      </c>
      <c r="CM114" s="115">
        <f t="shared" si="15"/>
        <v>9.441</v>
      </c>
      <c r="CN114" s="117">
        <f t="array" ref="CN114">(('Fórmula'!C114)/('Fórmula'!C114+'Fórmula'!E114+'Fórmula'!G114+'Fórmula'!I114+'Fórmula'!K114))*(INDEX(properties!A$1:CB$87,'Fórmula'!B114,30))+(('Fórmula'!E114)/('Fórmula'!C114+'Fórmula'!E114+'Fórmula'!G114+'Fórmula'!I114+'Fórmula'!K114))*(INDEX(properties!A$1:CB$87,'Fórmula'!D114,30))+(('Fórmula'!G114)/('Fórmula'!C114+'Fórmula'!E114+'Fórmula'!G114+'Fórmula'!I114+'Fórmula'!K114))*(INDEX(properties!A$1:CB$87,'Fórmula'!F114,30))+(('Fórmula'!I114)/('Fórmula'!C114+'Fórmula'!E114+'Fórmula'!G114+'Fórmula'!I114+'Fórmula'!K114))*(INDEX(properties!A$1:CB$87,'Fórmula'!H114,30))+(('Fórmula'!K114)/('Fórmula'!C114+'Fórmula'!E114+'Fórmula'!G114+'Fórmula'!I114+'Fórmula'!K114))*(INDEX(properties!A$1:CB$87,'Fórmula'!J114,30))</f>
        <v>2.375555556</v>
      </c>
      <c r="CO114" s="117">
        <f t="array" ref="CO114">'Fórmula'!C114*(INDEX(properties!A$1:CB$87,'Fórmula'!B114,30))+'Fórmula'!E114*(INDEX(properties!A$1:CB$87,'Fórmula'!D114,30))+'Fórmula'!G114*(INDEX(properties!A$1:CB$87,'Fórmula'!F114,30))+'Fórmula'!I114*(INDEX(properties!A$1:CB$87,'Fórmula'!H114,30))+'Fórmula'!K114*(INDEX(properties!A$1:CB$87,'Fórmula'!J114,30))</f>
        <v>21.38</v>
      </c>
      <c r="CP114" s="117">
        <f t="array" ref="CP114">VARP(IF(INDEX(properties!A$1:CB$87,'Fórmula'!B114,30)&lt;&gt;"",INDEX(properties!A$1:CB$87,'Fórmula'!B114,30)),IF(INDEX(properties!A$1:CB$87,'Fórmula'!D114,30)&lt;&gt;"",INDEX(properties!A$1:CB$87,'Fórmula'!D114,30)),IF(INDEX(properties!A$1:CB$87,'Fórmula'!F114,30)&lt;&gt;"",INDEX(properties!A$1:CB$87,'Fórmula'!F114,30)),IF(INDEX(properties!A$1:CB$87,'Fórmula'!H114,30)&lt;&gt;"",INDEX(properties!A$1:CB$87,'Fórmula'!H114,30)),IF(INDEX(properties!A$1:CB$87,'Fórmula'!J114,30)&lt;&gt;"",INDEX(properties!A$1:CB$87,'Fórmula'!J114,30)))</f>
        <v>1.35452</v>
      </c>
      <c r="CQ114" s="117">
        <f t="array" ref="CQ114">MAX(INDEX(properties!A$1:CB$87,'Fórmula'!B114,30),INDEX(properties!A$1:CB$87,'Fórmula'!D114,30),INDEX(properties!A$1:CB$87,'Fórmula'!F114,30),INDEX(properties!A$1:CB$87,'Fórmula'!H114,30),INDEX(properties!A$1:CB$87,'Fórmula'!J114,30))</f>
        <v>3.44</v>
      </c>
      <c r="CR114" s="117">
        <f t="array" ref="CR114">MIN(IF(INDEX(properties!A$1:CB$87,'Fórmula'!B114,30)=0,10^6,INDEX(properties!A$1:CB$87,'Fórmula'!B114,30)),IF(INDEX(properties!A$1:CB$87,'Fórmula'!D114,30)=0,10^6,INDEX(properties!A$1:CB$87,'Fórmula'!D114,30)),IF(INDEX(properties!A$1:CB$87,'Fórmula'!F114,30)=0,10^6,INDEX(properties!A$1:CB$87,'Fórmula'!F114,30)),IF(INDEX(properties!A$1:CB$87,'Fórmula'!H114,30)=0,10^6,INDEX(properties!A$1:CB$87,'Fórmula'!H114,30)),IF(INDEX(properties!A$1:CB$87,'Fórmula'!J114,30)=0,10^6,INDEX(properties!A$1:CB$87,'Fórmula'!J114,30)))</f>
        <v>0.82</v>
      </c>
      <c r="CS114" s="117">
        <f t="shared" si="16"/>
        <v>2.62</v>
      </c>
      <c r="CT114" s="118">
        <f t="array" ref="CT114">(('Fórmula'!C114)/('Fórmula'!C114+'Fórmula'!E114+'Fórmula'!G114+'Fórmula'!I114+'Fórmula'!K114))*(INDEX(properties!A$1:CB$87,'Fórmula'!B114,31))+(('Fórmula'!E114)/('Fórmula'!C114+'Fórmula'!E114+'Fórmula'!G114+'Fórmula'!I114+'Fórmula'!K114))*(INDEX(properties!A$1:CB$87,'Fórmula'!D114,31))+(('Fórmula'!G114)/('Fórmula'!C114+'Fórmula'!E114+'Fórmula'!G114+'Fórmula'!I114+'Fórmula'!K114))*(INDEX(properties!A$1:CB$87,'Fórmula'!F114,31))+(('Fórmula'!I114)/('Fórmula'!C114+'Fórmula'!E114+'Fórmula'!G114+'Fórmula'!I114+'Fórmula'!K114))*(INDEX(properties!A$1:CB$87,'Fórmula'!H114,31))+(('Fórmula'!K114)/('Fórmula'!C114+'Fórmula'!E114+'Fórmula'!G114+'Fórmula'!I114+'Fórmula'!K114))*(INDEX(properties!A$1:CB$87,'Fórmula'!J114,31))</f>
        <v>2.302222222</v>
      </c>
      <c r="CU114" s="118">
        <f t="array" ref="CU114">'Fórmula'!C114*(INDEX(properties!A$1:CB$87,'Fórmula'!B114,31))+'Fórmula'!E114*(INDEX(properties!A$1:CB$87,'Fórmula'!D114,31))+'Fórmula'!G114*(INDEX(properties!A$1:CB$87,'Fórmula'!F114,31))+'Fórmula'!I114*(INDEX(properties!A$1:CB$87,'Fórmula'!H114,31))+'Fórmula'!K114*(INDEX(properties!A$1:CB$87,'Fórmula'!J114,31))</f>
        <v>20.72</v>
      </c>
      <c r="CV114" s="118">
        <f t="array" ref="CV114">VARP(IF(INDEX(properties!A$1:CB$87,'Fórmula'!B114,31)&lt;&gt;"",INDEX(properties!A$1:CB$87,'Fórmula'!B114,31)),IF(INDEX(properties!A$1:CB$87,'Fórmula'!D114,31)&lt;&gt;"",INDEX(properties!A$1:CB$87,'Fórmula'!D114,31)),IF(INDEX(properties!A$1:CB$87,'Fórmula'!F114,31)&lt;&gt;"",INDEX(properties!A$1:CB$87,'Fórmula'!F114,31)),IF(INDEX(properties!A$1:CB$87,'Fórmula'!H114,31)&lt;&gt;"",INDEX(properties!A$1:CB$87,'Fórmula'!H114,31)),IF(INDEX(properties!A$1:CB$87,'Fórmula'!J114,31)&lt;&gt;"",INDEX(properties!A$1:CB$87,'Fórmula'!J114,31)))</f>
        <v>1.216896</v>
      </c>
      <c r="CW114" s="118">
        <f t="array" ref="CW114">MAX(INDEX(properties!A$1:CB$87,'Fórmula'!B114,31),INDEX(properties!A$1:CB$87,'Fórmula'!D114,31),INDEX(properties!A$1:CB$87,'Fórmula'!F114,31),INDEX(properties!A$1:CB$87,'Fórmula'!H114,31),INDEX(properties!A$1:CB$87,'Fórmula'!J114,31))</f>
        <v>3.32</v>
      </c>
      <c r="CX114" s="118">
        <f t="array" ref="CX114">MIN(IF(INDEX(properties!A$1:CB$87,'Fórmula'!B114,31)=0,10^6,INDEX(properties!A$1:CB$87,'Fórmula'!B114,31)),IF(INDEX(properties!A$1:CB$87,'Fórmula'!D114,31)=0,10^6,INDEX(properties!A$1:CB$87,'Fórmula'!D114,31)),IF(INDEX(properties!A$1:CB$87,'Fórmula'!F114,31)=0,10^6,INDEX(properties!A$1:CB$87,'Fórmula'!F114,31)),IF(INDEX(properties!A$1:CB$87,'Fórmula'!H114,31)=0,10^6,INDEX(properties!A$1:CB$87,'Fórmula'!H114,31)),IF(INDEX(properties!A$1:CB$87,'Fórmula'!J114,31)=0,10^6,INDEX(properties!A$1:CB$87,'Fórmula'!J114,31)))</f>
        <v>0.8</v>
      </c>
      <c r="CY114" s="118">
        <f t="shared" si="17"/>
        <v>2.52</v>
      </c>
      <c r="CZ114" s="119">
        <f t="array" ref="CZ114">(('Fórmula'!C114)/('Fórmula'!C114+'Fórmula'!E114+'Fórmula'!G114+'Fórmula'!I114+'Fórmula'!K114))*(INDEX(properties!A$1:CB$87,'Fórmula'!B114,32))+(('Fórmula'!E114)/('Fórmula'!C114+'Fórmula'!E114+'Fórmula'!G114+'Fórmula'!I114+'Fórmula'!K114))*(INDEX(properties!A$1:CB$87,'Fórmula'!D114,32))+(('Fórmula'!G114)/('Fórmula'!C114+'Fórmula'!E114+'Fórmula'!G114+'Fórmula'!I114+'Fórmula'!K114))*(INDEX(properties!A$1:CB$87,'Fórmula'!F114,32))+(('Fórmula'!I114)/('Fórmula'!C114+'Fórmula'!E114+'Fórmula'!G114+'Fórmula'!I114+'Fórmula'!K114))*(INDEX(properties!A$1:CB$87,'Fórmula'!H114,32))+(('Fórmula'!K114)/('Fórmula'!C114+'Fórmula'!E114+'Fórmula'!G114+'Fórmula'!I114+'Fórmula'!K114))*(INDEX(properties!A$1:CB$87,'Fórmula'!J114,32))</f>
        <v>5.47</v>
      </c>
      <c r="DA114" s="119">
        <f t="array" ref="DA114">'Fórmula'!C114*(INDEX(properties!A$1:CB$87,'Fórmula'!B114,32))+'Fórmula'!E114*(INDEX(properties!A$1:CB$87,'Fórmula'!D114,32))+'Fórmula'!G114*(INDEX(properties!A$1:CB$87,'Fórmula'!F114,32))+'Fórmula'!I114*(INDEX(properties!A$1:CB$87,'Fórmula'!H114,32))+'Fórmula'!K114*(INDEX(properties!A$1:CB$87,'Fórmula'!J114,32))</f>
        <v>49.23</v>
      </c>
      <c r="DB114" s="119">
        <f t="array" ref="DB114">VARP(IF(INDEX(properties!A$1:CB$87,'Fórmula'!B114,32)&lt;&gt;"",INDEX(properties!A$1:CB$87,'Fórmula'!B114,32)),IF(INDEX(properties!A$1:CB$87,'Fórmula'!D114,32)&lt;&gt;"",INDEX(properties!A$1:CB$87,'Fórmula'!D114,32)),IF(INDEX(properties!A$1:CB$87,'Fórmula'!F114,32)&lt;&gt;"",INDEX(properties!A$1:CB$87,'Fórmula'!F114,32)),IF(INDEX(properties!A$1:CB$87,'Fórmula'!H114,32)&lt;&gt;"",INDEX(properties!A$1:CB$87,'Fórmula'!H114,32)),IF(INDEX(properties!A$1:CB$87,'Fórmula'!J114,32)&lt;&gt;"",INDEX(properties!A$1:CB$87,'Fórmula'!J114,32)))</f>
        <v>6.382224</v>
      </c>
      <c r="DC114" s="119">
        <f t="array" ref="DC114">MAX(INDEX(properties!A$1:CB$87,'Fórmula'!B114,32),INDEX(properties!A$1:CB$87,'Fórmula'!D114,32),INDEX(properties!A$1:CB$87,'Fórmula'!F114,32),INDEX(properties!A$1:CB$87,'Fórmula'!H114,32),INDEX(properties!A$1:CB$87,'Fórmula'!J114,32))</f>
        <v>7.54</v>
      </c>
      <c r="DD114" s="119">
        <f t="array" ref="DD114">MIN(IF(INDEX(properties!A$1:CB$87,'Fórmula'!B114,32)=0,10^6,INDEX(properties!A$1:CB$87,'Fórmula'!B114,32)),IF(INDEX(properties!A$1:CB$87,'Fórmula'!D114,32)=0,10^6,INDEX(properties!A$1:CB$87,'Fórmula'!D114,32)),IF(INDEX(properties!A$1:CB$87,'Fórmula'!F114,32)=0,10^6,INDEX(properties!A$1:CB$87,'Fórmula'!F114,32)),IF(INDEX(properties!A$1:CB$87,'Fórmula'!H114,32)=0,10^6,INDEX(properties!A$1:CB$87,'Fórmula'!H114,32)),IF(INDEX(properties!A$1:CB$87,'Fórmula'!J114,32)=0,10^6,INDEX(properties!A$1:CB$87,'Fórmula'!J114,32)))</f>
        <v>2.34</v>
      </c>
      <c r="DE114" s="119">
        <f t="shared" si="18"/>
        <v>5.2</v>
      </c>
      <c r="DF114" s="104">
        <f t="array" ref="DF114">(('Fórmula'!C114)/('Fórmula'!C114+'Fórmula'!E114+'Fórmula'!G114+'Fórmula'!I114+'Fórmula'!K114))*(INDEX(properties!A$1:CB$87,'Fórmula'!B114,34))+(('Fórmula'!E114)/('Fórmula'!C114+'Fórmula'!E114+'Fórmula'!G114+'Fórmula'!I114+'Fórmula'!K114))*(INDEX(properties!A$1:CB$87,'Fórmula'!D114,34))+(('Fórmula'!G114)/('Fórmula'!C114+'Fórmula'!E114+'Fórmula'!G114+'Fórmula'!I114+'Fórmula'!K114))*(INDEX(properties!A$1:CB$87,'Fórmula'!F114,34))+(('Fórmula'!I114)/('Fórmula'!C114+'Fórmula'!E114+'Fórmula'!G114+'Fórmula'!I114+'Fórmula'!K114))*(INDEX(properties!A$1:CB$87,'Fórmula'!H114,34))+(('Fórmula'!K114)/('Fórmula'!C114+'Fórmula'!E114+'Fórmula'!G114+'Fórmula'!I114+'Fórmula'!K114))*(INDEX(properties!A$1:CB$87,'Fórmula'!J114,34))</f>
        <v>2.437</v>
      </c>
      <c r="DG114" s="104">
        <f t="array" ref="DG114">'Fórmula'!C114*(INDEX(properties!A$1:CB$87,'Fórmula'!B114,34))+'Fórmula'!E114*(INDEX(properties!A$1:CB$87,'Fórmula'!D114,34))+'Fórmula'!G114*(INDEX(properties!A$1:CB$87,'Fórmula'!F114,34))+'Fórmula'!I114*(INDEX(properties!A$1:CB$87,'Fórmula'!H114,34))+'Fórmula'!K114*(INDEX(properties!A$1:CB$87,'Fórmula'!J114,34))</f>
        <v>21.933</v>
      </c>
      <c r="DH114" s="104">
        <f t="array" ref="DH114">VARP(IF(INDEX(properties!A$1:CB$87,'Fórmula'!B114,34)&lt;&gt;"",INDEX(properties!A$1:CB$87,'Fórmula'!B114,34)),IF(INDEX(properties!A$1:CB$87,'Fórmula'!D114,34)&lt;&gt;"",INDEX(properties!A$1:CB$87,'Fórmula'!D114,34)),IF(INDEX(properties!A$1:CB$87,'Fórmula'!F114,34)&lt;&gt;"",INDEX(properties!A$1:CB$87,'Fórmula'!F114,34)),IF(INDEX(properties!A$1:CB$87,'Fórmula'!H114,34)&lt;&gt;"",INDEX(properties!A$1:CB$87,'Fórmula'!H114,34)),IF(INDEX(properties!A$1:CB$87,'Fórmula'!J114,34)&lt;&gt;"",INDEX(properties!A$1:CB$87,'Fórmula'!J114,34)))</f>
        <v>1.52442464</v>
      </c>
      <c r="DI114" s="104">
        <f t="array" ref="DI114">MAX(INDEX(properties!A$1:CB$87,'Fórmula'!B114,34),INDEX(properties!A$1:CB$87,'Fórmula'!D114,34),INDEX(properties!A$1:CB$87,'Fórmula'!F114,34),INDEX(properties!A$1:CB$87,'Fórmula'!H114,34),INDEX(properties!A$1:CB$87,'Fórmula'!J114,34))</f>
        <v>3.61</v>
      </c>
      <c r="DJ114" s="104">
        <f t="array" ref="DJ114">MIN(IF(INDEX(properties!A$1:CB$87,'Fórmula'!B114,34)=0,10^6,INDEX(properties!A$1:CB$87,'Fórmula'!B114,34)),IF(INDEX(properties!A$1:CB$87,'Fórmula'!D114,34)=0,10^6,INDEX(properties!A$1:CB$87,'Fórmula'!D114,34)),IF(INDEX(properties!A$1:CB$87,'Fórmula'!F114,34)=0,10^6,INDEX(properties!A$1:CB$87,'Fórmula'!F114,34)),IF(INDEX(properties!A$1:CB$87,'Fórmula'!H114,34)=0,10^6,INDEX(properties!A$1:CB$87,'Fórmula'!H114,34)),IF(INDEX(properties!A$1:CB$87,'Fórmula'!J114,34)=0,10^6,INDEX(properties!A$1:CB$87,'Fórmula'!J114,34)))</f>
        <v>0.706</v>
      </c>
      <c r="DK114" s="104">
        <f t="shared" si="19"/>
        <v>2.904</v>
      </c>
      <c r="DL114" s="105">
        <f t="array" ref="DL114">(('Fórmula'!C114)/('Fórmula'!C114+'Fórmula'!E114+'Fórmula'!G114+'Fórmula'!I114+'Fórmula'!K114))*(INDEX(properties!A$1:CB$87,'Fórmula'!B114,37))+(('Fórmula'!E114)/('Fórmula'!C114+'Fórmula'!E114+'Fórmula'!G114+'Fórmula'!I114+'Fórmula'!K114))*(INDEX(properties!A$1:CB$87,'Fórmula'!D114,37))+(('Fórmula'!G114)/('Fórmula'!C114+'Fórmula'!E114+'Fórmula'!G114+'Fórmula'!I114+'Fórmula'!K114))*(INDEX(properties!A$1:CB$87,'Fórmula'!F114,37))+(('Fórmula'!I114)/('Fórmula'!C114+'Fórmula'!E114+'Fórmula'!G114+'Fórmula'!I114+'Fórmula'!K114))*(INDEX(properties!A$1:CB$87,'Fórmula'!H114,37))+(('Fórmula'!K114)/('Fórmula'!C114+'Fórmula'!E114+'Fórmula'!G114+'Fórmula'!I114+'Fórmula'!K114))*(INDEX(properties!A$1:CB$87,'Fórmula'!J114,37))</f>
        <v>2.323333333</v>
      </c>
      <c r="DM114" s="105">
        <f t="array" ref="DM114">'Fórmula'!C114*(INDEX(properties!A$1:CB$87,'Fórmula'!B114,37))+'Fórmula'!E114*(INDEX(properties!A$1:CB$87,'Fórmula'!D114,37))+'Fórmula'!G114*(INDEX(properties!A$1:CB$87,'Fórmula'!F114,37))+'Fórmula'!I114*(INDEX(properties!A$1:CB$87,'Fórmula'!H114,37))+'Fórmula'!K114*(INDEX(properties!A$1:CB$87,'Fórmula'!J114,37))</f>
        <v>20.91</v>
      </c>
      <c r="DN114" s="105">
        <f t="array" ref="DN114">VARP(IF(INDEX(properties!A$1:CB$87,'Fórmula'!B114,37)&lt;&gt;"",INDEX(properties!A$1:CB$87,'Fórmula'!B114,37)),IF(INDEX(properties!A$1:CB$87,'Fórmula'!D114,37)&lt;&gt;"",INDEX(properties!A$1:CB$87,'Fórmula'!D114,37)),IF(INDEX(properties!A$1:CB$87,'Fórmula'!F114,37)&lt;&gt;"",INDEX(properties!A$1:CB$87,'Fórmula'!F114,37)),IF(INDEX(properties!A$1:CB$87,'Fórmula'!H114,37)&lt;&gt;"",INDEX(properties!A$1:CB$87,'Fórmula'!H114,37)),IF(INDEX(properties!A$1:CB$87,'Fórmula'!J114,37)&lt;&gt;"",INDEX(properties!A$1:CB$87,'Fórmula'!J114,37)))</f>
        <v>1.349424</v>
      </c>
      <c r="DO114" s="105">
        <f t="array" ref="DO114">MAX(INDEX(properties!A$1:CB$87,'Fórmula'!B114,37),INDEX(properties!A$1:CB$87,'Fórmula'!D114,37),INDEX(properties!A$1:CB$87,'Fórmula'!F114,37),INDEX(properties!A$1:CB$87,'Fórmula'!H114,37),INDEX(properties!A$1:CB$87,'Fórmula'!J114,37))</f>
        <v>3.45</v>
      </c>
      <c r="DP114" s="105">
        <f t="array" ref="DP114">MIN(IF(INDEX(properties!A$1:CB$87,'Fórmula'!B114,37)=0,10^6,INDEX(properties!A$1:CB$87,'Fórmula'!B114,37)),IF(INDEX(properties!A$1:CB$87,'Fórmula'!D114,37)=0,10^6,INDEX(properties!A$1:CB$87,'Fórmula'!D114,37)),IF(INDEX(properties!A$1:CB$87,'Fórmula'!F114,37)=0,10^6,INDEX(properties!A$1:CB$87,'Fórmula'!F114,37)),IF(INDEX(properties!A$1:CB$87,'Fórmula'!H114,37)=0,10^6,INDEX(properties!A$1:CB$87,'Fórmula'!H114,37)),IF(INDEX(properties!A$1:CB$87,'Fórmula'!J114,37)=0,10^6,INDEX(properties!A$1:CB$87,'Fórmula'!J114,37)))</f>
        <v>0.78</v>
      </c>
      <c r="DQ114" s="105">
        <f t="shared" si="20"/>
        <v>2.67</v>
      </c>
      <c r="DR114" s="109">
        <f t="array" ref="DR114">(('Fórmula'!C114)/('Fórmula'!C114+'Fórmula'!E114+'Fórmula'!G114+'Fórmula'!I114+'Fórmula'!K114))*(INDEX(properties!A$1:CB$87,'Fórmula'!B114,39))+(('Fórmula'!E114)/('Fórmula'!C114+'Fórmula'!E114+'Fórmula'!G114+'Fórmula'!I114+'Fórmula'!K114))*(INDEX(properties!A$1:CB$87,'Fórmula'!D114,39))+(('Fórmula'!G114)/('Fórmula'!C114+'Fórmula'!E114+'Fórmula'!G114+'Fórmula'!I114+'Fórmula'!K114))*(INDEX(properties!A$1:CB$87,'Fórmula'!F114,39))+(('Fórmula'!I114)/('Fórmula'!C114+'Fórmula'!E114+'Fórmula'!G114+'Fórmula'!I114+'Fórmula'!K114))*(INDEX(properties!A$1:CB$87,'Fórmula'!H114,39))+(('Fórmula'!K114)/('Fórmula'!C114+'Fórmula'!E114+'Fórmula'!G114+'Fórmula'!I114+'Fórmula'!K114))*(INDEX(properties!A$1:CB$87,'Fórmula'!J114,39))</f>
        <v>1.294444444</v>
      </c>
      <c r="DS114" s="109">
        <f t="array" ref="DS114">'Fórmula'!C114*(INDEX(properties!A$1:CB$87,'Fórmula'!B114,39))+'Fórmula'!E114*(INDEX(properties!A$1:CB$87,'Fórmula'!D114,39))+'Fórmula'!G114*(INDEX(properties!A$1:CB$87,'Fórmula'!F114,39))+'Fórmula'!I114*(INDEX(properties!A$1:CB$87,'Fórmula'!H114,39))+'Fórmula'!K114*(INDEX(properties!A$1:CB$87,'Fórmula'!J114,39))</f>
        <v>11.65</v>
      </c>
      <c r="DT114" s="109">
        <f t="array" ref="DT114">VARP(IF(INDEX(properties!A$1:CB$87,'Fórmula'!B114,39)&lt;&gt;"",INDEX(properties!A$1:CB$87,'Fórmula'!B114,39)),IF(INDEX(properties!A$1:CB$87,'Fórmula'!D114,39)&lt;&gt;"",INDEX(properties!A$1:CB$87,'Fórmula'!D114,39)),IF(INDEX(properties!A$1:CB$87,'Fórmula'!F114,39)&lt;&gt;"",INDEX(properties!A$1:CB$87,'Fórmula'!F114,39)),IF(INDEX(properties!A$1:CB$87,'Fórmula'!H114,39)&lt;&gt;"",INDEX(properties!A$1:CB$87,'Fórmula'!H114,39)),IF(INDEX(properties!A$1:CB$87,'Fórmula'!J114,39)&lt;&gt;"",INDEX(properties!A$1:CB$87,'Fórmula'!J114,39)))</f>
        <v>1.128984</v>
      </c>
      <c r="DU114" s="120">
        <f t="array" ref="DU114">MAX(INDEX(properties!A$1:CB$87,'Fórmula'!B114,39),INDEX(properties!A$1:CB$87,'Fórmula'!D114,39),INDEX(properties!A$1:CB$87,'Fórmula'!F114,39),INDEX(properties!A$1:CB$87,'Fórmula'!H114,39),INDEX(properties!A$1:CB$87,'Fórmula'!J114,39))</f>
        <v>2.65</v>
      </c>
      <c r="DV114" s="120">
        <f t="array" ref="DV114">MIN(IF(INDEX(properties!A$1:CB$87,'Fórmula'!B114,39)=0,10^6,INDEX(properties!A$1:CB$87,'Fórmula'!B114,39)),IF(INDEX(properties!A$1:CB$87,'Fórmula'!D114,39)=0,10^6,INDEX(properties!A$1:CB$87,'Fórmula'!D114,39)),IF(INDEX(properties!A$1:CB$87,'Fórmula'!F114,39)=0,10^6,INDEX(properties!A$1:CB$87,'Fórmula'!F114,39)),IF(INDEX(properties!A$1:CB$87,'Fórmula'!H114,39)=0,10^6,INDEX(properties!A$1:CB$87,'Fórmula'!H114,39)),IF(INDEX(properties!A$1:CB$87,'Fórmula'!J114,39)=0,10^6,INDEX(properties!A$1:CB$87,'Fórmula'!J114,39)))</f>
        <v>0.48</v>
      </c>
      <c r="DW114" s="109">
        <f t="shared" si="21"/>
        <v>2.17</v>
      </c>
      <c r="DX114" s="110">
        <f t="array" ref="DX114">(('Fórmula'!C114)/('Fórmula'!C114+'Fórmula'!E114+'Fórmula'!G114+'Fórmula'!I114+'Fórmula'!K114))*(INDEX(properties!A$1:CB$87,'Fórmula'!B114,40))+(('Fórmula'!E114)/('Fórmula'!C114+'Fórmula'!E114+'Fórmula'!G114+'Fórmula'!I114+'Fórmula'!K114))*(INDEX(properties!A$1:CB$87,'Fórmula'!D114,40))+(('Fórmula'!G114)/('Fórmula'!C114+'Fórmula'!E114+'Fórmula'!G114+'Fórmula'!I114+'Fórmula'!K114))*(INDEX(properties!A$1:CB$87,'Fórmula'!F114,40))+(('Fórmula'!I114)/('Fórmula'!C114+'Fórmula'!E114+'Fórmula'!G114+'Fórmula'!I114+'Fórmula'!K114))*(INDEX(properties!A$1:CB$87,'Fórmula'!H114,40))+(('Fórmula'!K114)/('Fórmula'!C114+'Fórmula'!E114+'Fórmula'!G114+'Fórmula'!I114+'Fórmula'!K114))*(INDEX(properties!A$1:CB$87,'Fórmula'!J114,40))</f>
        <v>1.24</v>
      </c>
      <c r="DY114" s="110">
        <f t="array" ref="DY114">'Fórmula'!C114*(INDEX(properties!A$1:CB$87,'Fórmula'!B114,40))+'Fórmula'!E114*(INDEX(properties!A$1:CB$87,'Fórmula'!D114,40))+'Fórmula'!G114*(INDEX(properties!A$1:CB$87,'Fórmula'!F114,40))+'Fórmula'!I114*(INDEX(properties!A$1:CB$87,'Fórmula'!H114,40))+'Fórmula'!K114*(INDEX(properties!A$1:CB$87,'Fórmula'!J114,40))</f>
        <v>11.16</v>
      </c>
      <c r="DZ114" s="110">
        <f t="array" ref="DZ114">VARP(IF(INDEX(properties!A$1:CB$87,'Fórmula'!B114,40)&lt;&gt;"",INDEX(properties!A$1:CB$87,'Fórmula'!B114,40)),IF(INDEX(properties!A$1:CB$87,'Fórmula'!D114,40)&lt;&gt;"",INDEX(properties!A$1:CB$87,'Fórmula'!D114,40)),IF(INDEX(properties!A$1:CB$87,'Fórmula'!F114,40)&lt;&gt;"",INDEX(properties!A$1:CB$87,'Fórmula'!F114,40)),IF(INDEX(properties!A$1:CB$87,'Fórmula'!H114,40)&lt;&gt;"",INDEX(properties!A$1:CB$87,'Fórmula'!H114,40)),IF(INDEX(properties!A$1:CB$87,'Fórmula'!J114,40)&lt;&gt;"",INDEX(properties!A$1:CB$87,'Fórmula'!J114,40)))</f>
        <v>0.621224</v>
      </c>
      <c r="EA114" s="121">
        <f t="array" ref="EA114">MAX(INDEX(properties!A$1:CB$87,'Fórmula'!B114,40),INDEX(properties!A$1:CB$87,'Fórmula'!D114,40),INDEX(properties!A$1:CB$87,'Fórmula'!F114,40),INDEX(properties!A$1:CB$87,'Fórmula'!H114,40),INDEX(properties!A$1:CB$87,'Fórmula'!J114,40))</f>
        <v>2.11</v>
      </c>
      <c r="EB114" s="121">
        <f t="array" ref="EB114">MIN(IF(INDEX(properties!A$1:CB$87,'Fórmula'!B114,40)=0,10^6,INDEX(properties!A$1:CB$87,'Fórmula'!B114,40)),IF(INDEX(properties!A$1:CB$87,'Fórmula'!D114,40)=0,10^6,INDEX(properties!A$1:CB$87,'Fórmula'!D114,40)),IF(INDEX(properties!A$1:CB$87,'Fórmula'!F114,40)=0,10^6,INDEX(properties!A$1:CB$87,'Fórmula'!F114,40)),IF(INDEX(properties!A$1:CB$87,'Fórmula'!H114,40)=0,10^6,INDEX(properties!A$1:CB$87,'Fórmula'!H114,40)),IF(INDEX(properties!A$1:CB$87,'Fórmula'!J114,40)=0,10^6,INDEX(properties!A$1:CB$87,'Fórmula'!J114,40)))</f>
        <v>0.73</v>
      </c>
      <c r="EC114" s="110">
        <f t="shared" si="22"/>
        <v>1.38</v>
      </c>
      <c r="ED114" s="111">
        <f t="array" ref="ED114">(('Fórmula'!C114)/('Fórmula'!C114+'Fórmula'!E114+'Fórmula'!G114+'Fórmula'!I114+'Fórmula'!K114))*(INDEX(properties!A$1:CB$87,'Fórmula'!B114,41))+(('Fórmula'!E114)/('Fórmula'!C114+'Fórmula'!E114+'Fórmula'!G114+'Fórmula'!I114+'Fórmula'!K114))*(INDEX(properties!A$1:CB$87,'Fórmula'!D114,41))+(('Fórmula'!G114)/('Fórmula'!C114+'Fórmula'!E114+'Fórmula'!G114+'Fórmula'!I114+'Fórmula'!K114))*(INDEX(properties!A$1:CB$87,'Fórmula'!F114,41))+(('Fórmula'!I114)/('Fórmula'!C114+'Fórmula'!E114+'Fórmula'!G114+'Fórmula'!I114+'Fórmula'!K114))*(INDEX(properties!A$1:CB$87,'Fórmula'!H114,41))+(('Fórmula'!K114)/('Fórmula'!C114+'Fórmula'!E114+'Fórmula'!G114+'Fórmula'!I114+'Fórmula'!K114))*(INDEX(properties!A$1:CB$87,'Fórmula'!J114,41))</f>
        <v>1.332222222</v>
      </c>
      <c r="EE114" s="111">
        <f t="array" ref="EE114">'Fórmula'!C114*(INDEX(properties!A$1:CB$87,'Fórmula'!B114,41))+'Fórmula'!E114*(INDEX(properties!A$1:CB$87,'Fórmula'!D114,41))+'Fórmula'!G114*(INDEX(properties!A$1:CB$87,'Fórmula'!F114,41))+'Fórmula'!I114*(INDEX(properties!A$1:CB$87,'Fórmula'!H114,41))+'Fórmula'!K114*(INDEX(properties!A$1:CB$87,'Fórmula'!J114,41))</f>
        <v>11.99</v>
      </c>
      <c r="EF114" s="111">
        <f t="array" ref="EF114">VARP(IF(INDEX(properties!A$1:CB$87,'Fórmula'!B114,41)&lt;&gt;"",INDEX(properties!A$1:CB$87,'Fórmula'!B114,41)),IF(INDEX(properties!A$1:CB$87,'Fórmula'!D114,41)&lt;&gt;"",INDEX(properties!A$1:CB$87,'Fórmula'!D114,41)),IF(INDEX(properties!A$1:CB$87,'Fórmula'!F114,41)&lt;&gt;"",INDEX(properties!A$1:CB$87,'Fórmula'!F114,41)),IF(INDEX(properties!A$1:CB$87,'Fórmula'!H114,41)&lt;&gt;"",INDEX(properties!A$1:CB$87,'Fórmula'!H114,41)),IF(INDEX(properties!A$1:CB$87,'Fórmula'!J114,41)&lt;&gt;"",INDEX(properties!A$1:CB$87,'Fórmula'!J114,41)))</f>
        <v>0.348176</v>
      </c>
      <c r="EG114" s="122">
        <f t="array" ref="EG114">MAX(INDEX(properties!A$1:CB$87,'Fórmula'!B114,41),INDEX(properties!A$1:CB$87,'Fórmula'!D114,41),INDEX(properties!A$1:CB$87,'Fórmula'!F114,41),INDEX(properties!A$1:CB$87,'Fórmula'!H114,41),INDEX(properties!A$1:CB$87,'Fórmula'!J114,41))</f>
        <v>1.66</v>
      </c>
      <c r="EH114" s="122">
        <f t="array" ref="EH114">MIN(IF(INDEX(properties!A$1:CB$87,'Fórmula'!B114,41)=0,10^6,INDEX(properties!A$1:CB$87,'Fórmula'!B114,41)),IF(INDEX(properties!A$1:CB$87,'Fórmula'!D114,41)=0,10^6,INDEX(properties!A$1:CB$87,'Fórmula'!D114,41)),IF(INDEX(properties!A$1:CB$87,'Fórmula'!F114,41)=0,10^6,INDEX(properties!A$1:CB$87,'Fórmula'!F114,41)),IF(INDEX(properties!A$1:CB$87,'Fórmula'!H114,41)=0,10^6,INDEX(properties!A$1:CB$87,'Fórmula'!H114,41)),IF(INDEX(properties!A$1:CB$87,'Fórmula'!J114,41)=0,10^6,INDEX(properties!A$1:CB$87,'Fórmula'!J114,41)))</f>
        <v>0.88</v>
      </c>
      <c r="EI114" s="111">
        <f t="shared" si="23"/>
        <v>0.78</v>
      </c>
      <c r="EJ114" s="112">
        <f t="array" ref="EJ114">(('Fórmula'!C114)/('Fórmula'!C114+'Fórmula'!E114+'Fórmula'!G114+'Fórmula'!I114+'Fórmula'!K114))*(INDEX(properties!A$1:CB$87,'Fórmula'!B114,45))+(('Fórmula'!E114)/('Fórmula'!C114+'Fórmula'!E114+'Fórmula'!G114+'Fórmula'!I114+'Fórmula'!K114))*(INDEX(properties!A$1:CB$87,'Fórmula'!D114,45))+(('Fórmula'!G114)/('Fórmula'!C114+'Fórmula'!E114+'Fórmula'!G114+'Fórmula'!I114+'Fórmula'!K114))*(INDEX(properties!A$1:CB$87,'Fórmula'!F114,45))+(('Fórmula'!I114)/('Fórmula'!C114+'Fórmula'!E114+'Fórmula'!G114+'Fórmula'!I114+'Fórmula'!K114))*(INDEX(properties!A$1:CB$87,'Fórmula'!H114,45))+(('Fórmula'!K114)/('Fórmula'!C114+'Fórmula'!E114+'Fórmula'!G114+'Fórmula'!I114+'Fórmula'!K114))*(INDEX(properties!A$1:CB$87,'Fórmula'!J114,45))</f>
        <v>1.758888889</v>
      </c>
      <c r="EK114" s="112">
        <f t="array" ref="EK114">'Fórmula'!C114*(INDEX(properties!A$1:CB$87,'Fórmula'!B114,45))+'Fórmula'!E114*(INDEX(properties!A$1:CB$87,'Fórmula'!D114,45))+'Fórmula'!G114*(INDEX(properties!A$1:CB$87,'Fórmula'!F114,45))+'Fórmula'!I114*(INDEX(properties!A$1:CB$87,'Fórmula'!H114,45))+'Fórmula'!K114*(INDEX(properties!A$1:CB$87,'Fórmula'!J114,45))</f>
        <v>15.83</v>
      </c>
      <c r="EL114" s="112">
        <f t="array" ref="EL114">VARP(IF(INDEX(properties!A$1:CB$87,'Fórmula'!B114,45)&lt;&gt;"",INDEX(properties!A$1:CB$87,'Fórmula'!B114,45)),IF(INDEX(properties!A$1:CB$87,'Fórmula'!D114,45)&lt;&gt;"",INDEX(properties!A$1:CB$87,'Fórmula'!D114,45)),IF(INDEX(properties!A$1:CB$87,'Fórmula'!F114,45)&lt;&gt;"",INDEX(properties!A$1:CB$87,'Fórmula'!F114,45)),IF(INDEX(properties!A$1:CB$87,'Fórmula'!H114,45)&lt;&gt;"",INDEX(properties!A$1:CB$87,'Fórmula'!H114,45)),IF(INDEX(properties!A$1:CB$87,'Fórmula'!J114,45)&lt;&gt;"",INDEX(properties!A$1:CB$87,'Fórmula'!J114,45)))</f>
        <v>2.54416</v>
      </c>
      <c r="EM114" s="123">
        <f t="array" ref="EM114">MAX(INDEX(properties!A$1:CB$87,'Fórmula'!B114,45),INDEX(properties!A$1:CB$87,'Fórmula'!D114,45),INDEX(properties!A$1:CB$87,'Fórmula'!F114,45),INDEX(properties!A$1:CB$87,'Fórmula'!H114,45),INDEX(properties!A$1:CB$87,'Fórmula'!J114,45))</f>
        <v>4.1</v>
      </c>
      <c r="EN114" s="123">
        <f t="array" ref="EN114">MIN(IF(INDEX(properties!A$1:CB$87,'Fórmula'!B114,45)=0,10^6,INDEX(properties!A$1:CB$87,'Fórmula'!B114,45)),IF(INDEX(properties!A$1:CB$87,'Fórmula'!D114,45)=0,10^6,INDEX(properties!A$1:CB$87,'Fórmula'!D114,45)),IF(INDEX(properties!A$1:CB$87,'Fórmula'!F114,45)=0,10^6,INDEX(properties!A$1:CB$87,'Fórmula'!F114,45)),IF(INDEX(properties!A$1:CB$87,'Fórmula'!H114,45)=0,10^6,INDEX(properties!A$1:CB$87,'Fórmula'!H114,45)),IF(INDEX(properties!A$1:CB$87,'Fórmula'!J114,45)=0,10^6,INDEX(properties!A$1:CB$87,'Fórmula'!J114,45)))</f>
        <v>0.47</v>
      </c>
      <c r="EO114" s="112">
        <f t="shared" si="24"/>
        <v>3.63</v>
      </c>
      <c r="EP114" s="113">
        <f t="array" ref="EP114">(('Fórmula'!C114)/('Fórmula'!C114+'Fórmula'!E114+'Fórmula'!G114+'Fórmula'!I114+'Fórmula'!K114))*(INDEX(properties!A$1:CB$87,'Fórmula'!B114,46))+(('Fórmula'!E114)/('Fórmula'!C114+'Fórmula'!E114+'Fórmula'!G114+'Fórmula'!I114+'Fórmula'!K114))*(INDEX(properties!A$1:CB$87,'Fórmula'!D114,46))+(('Fórmula'!G114)/('Fórmula'!C114+'Fórmula'!E114+'Fórmula'!G114+'Fórmula'!I114+'Fórmula'!K114))*(INDEX(properties!A$1:CB$87,'Fórmula'!F114,46))+(('Fórmula'!I114)/('Fórmula'!C114+'Fórmula'!E114+'Fórmula'!G114+'Fórmula'!I114+'Fórmula'!K114))*(INDEX(properties!A$1:CB$87,'Fórmula'!H114,46))+(('Fórmula'!K114)/('Fórmula'!C114+'Fórmula'!E114+'Fórmula'!G114+'Fórmula'!I114+'Fórmula'!K114))*(INDEX(properties!A$1:CB$87,'Fórmula'!J114,46))</f>
        <v>1.288888889</v>
      </c>
      <c r="EQ114" s="113">
        <f t="array" ref="EQ114">'Fórmula'!C114*(INDEX(properties!A$1:CB$87,'Fórmula'!B114,46))+'Fórmula'!E114*(INDEX(properties!A$1:CB$87,'Fórmula'!D114,46))+'Fórmula'!G114*(INDEX(properties!A$1:CB$87,'Fórmula'!F114,46))+'Fórmula'!I114*(INDEX(properties!A$1:CB$87,'Fórmula'!H114,46))+'Fórmula'!K114*(INDEX(properties!A$1:CB$87,'Fórmula'!J114,46))</f>
        <v>11.6</v>
      </c>
      <c r="ER114" s="113">
        <f t="array" ref="ER114">VARP(IF(INDEX(properties!A$1:CB$87,'Fórmula'!B114,46)&lt;&gt;"",INDEX(properties!A$1:CB$87,'Fórmula'!B114,46)),IF(INDEX(properties!A$1:CB$87,'Fórmula'!D114,46)&lt;&gt;"",INDEX(properties!A$1:CB$87,'Fórmula'!D114,46)),IF(INDEX(properties!A$1:CB$87,'Fórmula'!F114,46)&lt;&gt;"",INDEX(properties!A$1:CB$87,'Fórmula'!F114,46)),IF(INDEX(properties!A$1:CB$87,'Fórmula'!H114,46)&lt;&gt;"",INDEX(properties!A$1:CB$87,'Fórmula'!H114,46)),IF(INDEX(properties!A$1:CB$87,'Fórmula'!J114,46)&lt;&gt;"",INDEX(properties!A$1:CB$87,'Fórmula'!J114,46)))</f>
        <v>0.35708</v>
      </c>
      <c r="ES114" s="124">
        <f t="array" ref="ES114">MAX(INDEX(properties!A$1:CB$87,'Fórmula'!B114,46),INDEX(properties!A$1:CB$87,'Fórmula'!D114,46),INDEX(properties!A$1:CB$87,'Fórmula'!F114,46),INDEX(properties!A$1:CB$87,'Fórmula'!H114,46),INDEX(properties!A$1:CB$87,'Fórmula'!J114,46))</f>
        <v>1.66</v>
      </c>
      <c r="ET114" s="124">
        <f t="array" ref="ET114">MIN(IF(INDEX(properties!A$1:CB$87,'Fórmula'!B114,46)=0,10^6,INDEX(properties!A$1:CB$87,'Fórmula'!B114,46)),IF(INDEX(properties!A$1:CB$87,'Fórmula'!D114,46)=0,10^6,INDEX(properties!A$1:CB$87,'Fórmula'!D114,46)),IF(INDEX(properties!A$1:CB$87,'Fórmula'!F114,46)=0,10^6,INDEX(properties!A$1:CB$87,'Fórmula'!F114,46)),IF(INDEX(properties!A$1:CB$87,'Fórmula'!H114,46)=0,10^6,INDEX(properties!A$1:CB$87,'Fórmula'!H114,46)),IF(INDEX(properties!A$1:CB$87,'Fórmula'!J114,46)=0,10^6,INDEX(properties!A$1:CB$87,'Fórmula'!J114,46)))</f>
        <v>0.74</v>
      </c>
      <c r="EU114" s="113">
        <f t="shared" si="25"/>
        <v>0.92</v>
      </c>
      <c r="EV114" s="114">
        <f t="array" ref="EV114">(('Fórmula'!C114)/('Fórmula'!C114+'Fórmula'!E114+'Fórmula'!G114+'Fórmula'!I114+'Fórmula'!K114))*(INDEX(properties!A$1:CB$87,'Fórmula'!B114,52))+(('Fórmula'!E114)/('Fórmula'!C114+'Fórmula'!E114+'Fórmula'!G114+'Fórmula'!I114+'Fórmula'!K114))*(INDEX(properties!A$1:CB$87,'Fórmula'!D114,52))+(('Fórmula'!G114)/('Fórmula'!C114+'Fórmula'!E114+'Fórmula'!G114+'Fórmula'!I114+'Fórmula'!K114))*(INDEX(properties!A$1:CB$87,'Fórmula'!F114,52))+(('Fórmula'!I114)/('Fórmula'!C114+'Fórmula'!E114+'Fórmula'!G114+'Fórmula'!I114+'Fórmula'!K114))*(INDEX(properties!A$1:CB$87,'Fórmula'!H114,52))+(('Fórmula'!K114)/('Fórmula'!C114+'Fórmula'!E114+'Fórmula'!G114+'Fórmula'!I114+'Fórmula'!K114))*(INDEX(properties!A$1:CB$87,'Fórmula'!J114,52))</f>
        <v>16.07388889</v>
      </c>
      <c r="EW114" s="114">
        <f t="array" ref="EW114">'Fórmula'!C114*(INDEX(properties!A$1:CB$87,'Fórmula'!B114,52))+'Fórmula'!E114*(INDEX(properties!A$1:CB$87,'Fórmula'!D114,52))+'Fórmula'!G114*(INDEX(properties!A$1:CB$87,'Fórmula'!F114,52))+'Fórmula'!I114*(INDEX(properties!A$1:CB$87,'Fórmula'!H114,52))+'Fórmula'!K114*(INDEX(properties!A$1:CB$87,'Fórmula'!J114,52))</f>
        <v>144.665</v>
      </c>
      <c r="EX114" s="114">
        <f t="array" ref="EX114">VARP(IF(INDEX(properties!A$1:CB$87,'Fórmula'!B114,52)&lt;&gt;"",INDEX(properties!A$1:CB$87,'Fórmula'!B114,52)),IF(INDEX(properties!A$1:CB$87,'Fórmula'!D114,52)&lt;&gt;"",INDEX(properties!A$1:CB$87,'Fórmula'!D114,52)),IF(INDEX(properties!A$1:CB$87,'Fórmula'!F114,52)&lt;&gt;"",INDEX(properties!A$1:CB$87,'Fórmula'!F114,52)),IF(INDEX(properties!A$1:CB$87,'Fórmula'!H114,52)&lt;&gt;"",INDEX(properties!A$1:CB$87,'Fórmula'!H114,52)),IF(INDEX(properties!A$1:CB$87,'Fórmula'!J114,52)&lt;&gt;"",INDEX(properties!A$1:CB$87,'Fórmula'!J114,52)))</f>
        <v>416.1009198</v>
      </c>
      <c r="EY114" s="114">
        <f t="array" ref="EY114">MAX(INDEX(properties!A$1:CB$87,'Fórmula'!B114,52),INDEX(properties!A$1:CB$87,'Fórmula'!D114,52),INDEX(properties!A$1:CB$87,'Fórmula'!F114,52),INDEX(properties!A$1:CB$87,'Fórmula'!H114,52),INDEX(properties!A$1:CB$87,'Fórmula'!J114,52))</f>
        <v>47.3</v>
      </c>
      <c r="EZ114" s="114">
        <f t="array" ref="EZ114">MIN(IF(INDEX(properties!A$1:CB$87,'Fórmula'!B114,52)=0,10^6,INDEX(properties!A$1:CB$87,'Fórmula'!B114,52)),IF(INDEX(properties!A$1:CB$87,'Fórmula'!D114,52)=0,10^6,INDEX(properties!A$1:CB$87,'Fórmula'!D114,52)),IF(INDEX(properties!A$1:CB$87,'Fórmula'!F114,52)=0,10^6,INDEX(properties!A$1:CB$87,'Fórmula'!F114,52)),IF(INDEX(properties!A$1:CB$87,'Fórmula'!H114,52)=0,10^6,INDEX(properties!A$1:CB$87,'Fórmula'!H114,52)),IF(INDEX(properties!A$1:CB$87,'Fórmula'!J114,52)=0,10^6,INDEX(properties!A$1:CB$87,'Fórmula'!J114,52)))</f>
        <v>0.793</v>
      </c>
      <c r="FA114" s="114">
        <f t="shared" si="26"/>
        <v>46.507</v>
      </c>
      <c r="FB114" s="115">
        <f t="array" ref="FB114">(('Fórmula'!C114)/('Fórmula'!C114+'Fórmula'!E114+'Fórmula'!G114+'Fórmula'!I114+'Fórmula'!K114))*(INDEX(properties!A$1:CB$87,'Fórmula'!B114,53))+(('Fórmula'!E114)/('Fórmula'!C114+'Fórmula'!E114+'Fórmula'!G114+'Fórmula'!I114+'Fórmula'!K114))*(INDEX(properties!A$1:CB$87,'Fórmula'!D114,53))+(('Fórmula'!G114)/('Fórmula'!C114+'Fórmula'!E114+'Fórmula'!G114+'Fórmula'!I114+'Fórmula'!K114))*(INDEX(properties!A$1:CB$87,'Fórmula'!F114,53))+(('Fórmula'!I114)/('Fórmula'!C114+'Fórmula'!E114+'Fórmula'!G114+'Fórmula'!I114+'Fórmula'!K114))*(INDEX(properties!A$1:CB$87,'Fórmula'!H114,53))+(('Fórmula'!K114)/('Fórmula'!C114+'Fórmula'!E114+'Fórmula'!G114+'Fórmula'!I114+'Fórmula'!K114))*(INDEX(properties!A$1:CB$87,'Fórmula'!J114,53))</f>
        <v>287.6388889</v>
      </c>
      <c r="FC114" s="115">
        <f t="array" ref="FC114">'Fórmula'!C114*(INDEX(properties!A$1:CB$87,'Fórmula'!B114,53))+'Fórmula'!E114*(INDEX(properties!A$1:CB$87,'Fórmula'!D114,53))+'Fórmula'!G114*(INDEX(properties!A$1:CB$87,'Fórmula'!F114,53))+'Fórmula'!I114*(INDEX(properties!A$1:CB$87,'Fórmula'!H114,53))+'Fórmula'!K114*(INDEX(properties!A$1:CB$87,'Fórmula'!J114,53))</f>
        <v>2588.75</v>
      </c>
      <c r="FD114" s="115">
        <f t="array" ref="FD114">VARP(IF(INDEX(properties!A$1:CB$87,'Fórmula'!B114,53)&lt;&gt;"",INDEX(properties!A$1:CB$87,'Fórmula'!B114,53)),IF(INDEX(properties!A$1:CB$87,'Fórmula'!D114,53)&lt;&gt;"",INDEX(properties!A$1:CB$87,'Fórmula'!D114,53)),IF(INDEX(properties!A$1:CB$87,'Fórmula'!F114,53)&lt;&gt;"",INDEX(properties!A$1:CB$87,'Fórmula'!F114,53)),IF(INDEX(properties!A$1:CB$87,'Fórmula'!H114,53)&lt;&gt;"",INDEX(properties!A$1:CB$87,'Fórmula'!H114,53)),IF(INDEX(properties!A$1:CB$87,'Fórmula'!J114,53)&lt;&gt;"",INDEX(properties!A$1:CB$87,'Fórmula'!J114,53)))</f>
        <v>145950.5784</v>
      </c>
      <c r="FE114" s="115">
        <f t="array" ref="FE114">MAX(INDEX(properties!A$1:CB$87,'Fórmula'!B114,53),INDEX(properties!A$1:CB$87,'Fórmula'!D114,53),INDEX(properties!A$1:CB$87,'Fórmula'!F114,53),INDEX(properties!A$1:CB$87,'Fórmula'!H114,53),INDEX(properties!A$1:CB$87,'Fórmula'!J114,53))</f>
        <v>998.15</v>
      </c>
      <c r="FF114" s="115">
        <f t="array" ref="FF114">MIN(IF(INDEX(properties!A$1:CB$87,'Fórmula'!B114,53)=0,10^6,INDEX(properties!A$1:CB$87,'Fórmula'!B114,53)),IF(INDEX(properties!A$1:CB$87,'Fórmula'!D114,53)=0,10^6,INDEX(properties!A$1:CB$87,'Fórmula'!D114,53)),IF(INDEX(properties!A$1:CB$87,'Fórmula'!F114,53)=0,10^6,INDEX(properties!A$1:CB$87,'Fórmula'!F114,53)),IF(INDEX(properties!A$1:CB$87,'Fórmula'!H114,53)=0,10^6,INDEX(properties!A$1:CB$87,'Fórmula'!H114,53)),IF(INDEX(properties!A$1:CB$87,'Fórmula'!J114,53)=0,10^6,INDEX(properties!A$1:CB$87,'Fórmula'!J114,53)))</f>
        <v>54.75</v>
      </c>
      <c r="FG114" s="115">
        <f t="shared" si="27"/>
        <v>943.4</v>
      </c>
      <c r="FH114" s="117">
        <f t="array" ref="FH114">(('Fórmula'!C114)/('Fórmula'!C114+'Fórmula'!E114+'Fórmula'!G114+'Fórmula'!I114+'Fórmula'!K114))*(INDEX(properties!A$1:CB$87,'Fórmula'!B114,54))+(('Fórmula'!E114)/('Fórmula'!C114+'Fórmula'!E114+'Fórmula'!G114+'Fórmula'!I114+'Fórmula'!K114))*(INDEX(properties!A$1:CB$87,'Fórmula'!D114,54))+(('Fórmula'!G114)/('Fórmula'!C114+'Fórmula'!E114+'Fórmula'!G114+'Fórmula'!I114+'Fórmula'!K114))*(INDEX(properties!A$1:CB$87,'Fórmula'!F114,54))+(('Fórmula'!I114)/('Fórmula'!C114+'Fórmula'!E114+'Fórmula'!G114+'Fórmula'!I114+'Fórmula'!K114))*(INDEX(properties!A$1:CB$87,'Fórmula'!H114,54))+(('Fórmula'!K114)/('Fórmula'!C114+'Fórmula'!E114+'Fórmula'!G114+'Fórmula'!I114+'Fórmula'!K114))*(INDEX(properties!A$1:CB$87,'Fórmula'!J114,54))</f>
        <v>606.8166667</v>
      </c>
      <c r="FI114" s="117">
        <f t="array" ref="FI114">'Fórmula'!C114*(INDEX(properties!A$1:CB$87,'Fórmula'!B114,54))+'Fórmula'!E114*(INDEX(properties!A$1:CB$87,'Fórmula'!D114,54))+'Fórmula'!G114*(INDEX(properties!A$1:CB$87,'Fórmula'!F114,54))+'Fórmula'!I114*(INDEX(properties!A$1:CB$87,'Fórmula'!H114,54))+'Fórmula'!K114*(INDEX(properties!A$1:CB$87,'Fórmula'!J114,54))</f>
        <v>5461.35</v>
      </c>
      <c r="FJ114" s="117">
        <f t="array" ref="FJ114">VARP(IF(INDEX(properties!A$1:CB$87,'Fórmula'!B114,54)&lt;&gt;"",INDEX(properties!A$1:CB$87,'Fórmula'!B114,54)),IF(INDEX(properties!A$1:CB$87,'Fórmula'!D114,54)&lt;&gt;"",INDEX(properties!A$1:CB$87,'Fórmula'!D114,54)),IF(INDEX(properties!A$1:CB$87,'Fórmula'!F114,54)&lt;&gt;"",INDEX(properties!A$1:CB$87,'Fórmula'!F114,54)),IF(INDEX(properties!A$1:CB$87,'Fórmula'!H114,54)&lt;&gt;"",INDEX(properties!A$1:CB$87,'Fórmula'!H114,54)),IF(INDEX(properties!A$1:CB$87,'Fórmula'!J114,54)&lt;&gt;"",INDEX(properties!A$1:CB$87,'Fórmula'!J114,54)))</f>
        <v>509612.6556</v>
      </c>
      <c r="FK114" s="117">
        <f t="array" ref="FK114">MAX(INDEX(properties!A$1:CB$87,'Fórmula'!B114,54),INDEX(properties!A$1:CB$87,'Fórmula'!D114,54),INDEX(properties!A$1:CB$87,'Fórmula'!F114,54),INDEX(properties!A$1:CB$87,'Fórmula'!H114,54),INDEX(properties!A$1:CB$87,'Fórmula'!J114,54))</f>
        <v>1913.15</v>
      </c>
      <c r="FL114" s="117">
        <f t="array" ref="FL114">MIN(IF(INDEX(properties!A$1:CB$87,'Fórmula'!B114,54)=0,10^6,INDEX(properties!A$1:CB$87,'Fórmula'!B114,54)),IF(INDEX(properties!A$1:CB$87,'Fórmula'!D114,54)=0,10^6,INDEX(properties!A$1:CB$87,'Fórmula'!D114,54)),IF(INDEX(properties!A$1:CB$87,'Fórmula'!F114,54)=0,10^6,INDEX(properties!A$1:CB$87,'Fórmula'!F114,54)),IF(INDEX(properties!A$1:CB$87,'Fórmula'!H114,54)=0,10^6,INDEX(properties!A$1:CB$87,'Fórmula'!H114,54)),IF(INDEX(properties!A$1:CB$87,'Fórmula'!J114,54)=0,10^6,INDEX(properties!A$1:CB$87,'Fórmula'!J114,54)))</f>
        <v>90.15</v>
      </c>
      <c r="FM114" s="117">
        <f t="shared" si="28"/>
        <v>1823</v>
      </c>
      <c r="FN114" s="118">
        <f t="array" ref="FN114">(('Fórmula'!C114)/('Fórmula'!C114+'Fórmula'!E114+'Fórmula'!G114+'Fórmula'!I114+'Fórmula'!K114))*(INDEX(properties!A$1:CB$87,'Fórmula'!B114,55))+(('Fórmula'!E114)/('Fórmula'!C114+'Fórmula'!E114+'Fórmula'!G114+'Fórmula'!I114+'Fórmula'!K114))*(INDEX(properties!A$1:CB$87,'Fórmula'!D114,55))+(('Fórmula'!G114)/('Fórmula'!C114+'Fórmula'!E114+'Fórmula'!G114+'Fórmula'!I114+'Fórmula'!K114))*(INDEX(properties!A$1:CB$87,'Fórmula'!F114,55))+(('Fórmula'!I114)/('Fórmula'!C114+'Fórmula'!E114+'Fórmula'!G114+'Fórmula'!I114+'Fórmula'!K114))*(INDEX(properties!A$1:CB$87,'Fórmula'!H114,55))+(('Fórmula'!K114)/('Fórmula'!C114+'Fórmula'!E114+'Fórmula'!G114+'Fórmula'!I114+'Fórmula'!K114))*(INDEX(properties!A$1:CB$87,'Fórmula'!J114,55))</f>
        <v>1.521905556</v>
      </c>
      <c r="FO114" s="118">
        <f t="array" ref="FO114">'Fórmula'!C114*(INDEX(properties!A$1:CB$87,'Fórmula'!B114,55))+'Fórmula'!E114*(INDEX(properties!A$1:CB$87,'Fórmula'!D114,54))+'Fórmula'!G114*(INDEX(properties!A$1:CB$87,'Fórmula'!F114,55))+'Fórmula'!I114*(INDEX(properties!A$1:CB$87,'Fórmula'!H114,55))+'Fórmula'!K114*(INDEX(properties!A$1:CB$87,'Fórmula'!J114,55))</f>
        <v>1928.93715</v>
      </c>
      <c r="FP114" s="118">
        <f t="array" ref="FP114">VARP(IF(INDEX(properties!A$1:CB$87,'Fórmula'!B114,55)&lt;&gt;"",INDEX(properties!A$1:CB$87,'Fórmula'!B114,55)),IF(INDEX(properties!A$1:CB$87,'Fórmula'!D114,55)&lt;&gt;"",INDEX(properties!A$1:CB$87,'Fórmula'!D114,55)),IF(INDEX(properties!A$1:CB$87,'Fórmula'!F114,55)&lt;&gt;"",INDEX(properties!A$1:CB$87,'Fórmula'!F114,55)),IF(INDEX(properties!A$1:CB$87,'Fórmula'!H114,55)&lt;&gt;"",INDEX(properties!A$1:CB$87,'Fórmula'!H114,55)),IF(INDEX(properties!A$1:CB$87,'Fórmula'!J114,55)&lt;&gt;"",INDEX(properties!A$1:CB$87,'Fórmula'!J114,55)))</f>
        <v>7.169545223</v>
      </c>
      <c r="FQ114" s="118">
        <f t="array" ref="FQ114">MAX(INDEX(properties!A$1:CB$87,'Fórmula'!B114,55),INDEX(properties!A$1:CB$87,'Fórmula'!D114,55),INDEX(properties!A$1:CB$87,'Fórmula'!F114,55),INDEX(properties!A$1:CB$87,'Fórmula'!H114,55),INDEX(properties!A$1:CB$87,'Fórmula'!J114,55))</f>
        <v>7.13</v>
      </c>
      <c r="FR114" s="118">
        <f t="array" ref="FR114">MIN(IF(INDEX(properties!A$1:CB$87,'Fórmula'!B114,55)=0,10^6,INDEX(properties!A$1:CB$87,'Fórmula'!B114,55)),IF(INDEX(properties!A$1:CB$87,'Fórmula'!D114,55)=0,10^6,INDEX(properties!A$1:CB$87,'Fórmula'!D114,55)),IF(INDEX(properties!A$1:CB$87,'Fórmula'!F114,55)=0,10^6,INDEX(properties!A$1:CB$87,'Fórmula'!F114,55)),IF(INDEX(properties!A$1:CB$87,'Fórmula'!H114,55)=0,10^6,INDEX(properties!A$1:CB$87,'Fórmula'!H114,55)),IF(INDEX(properties!A$1:CB$87,'Fórmula'!J114,55)=0,10^6,INDEX(properties!A$1:CB$87,'Fórmula'!J114,55)))</f>
        <v>0.00143</v>
      </c>
      <c r="FS114" s="118">
        <f t="shared" si="29"/>
        <v>7.12857</v>
      </c>
      <c r="FT114" s="119">
        <f t="array" ref="FT114">(('Fórmula'!C114)/('Fórmula'!C114+'Fórmula'!E114+'Fórmula'!G114+'Fórmula'!I114+'Fórmula'!K114))*(INDEX(properties!A$1:CB$87,'Fórmula'!B114,56))+(('Fórmula'!E114)/('Fórmula'!C114+'Fórmula'!E114+'Fórmula'!G114+'Fórmula'!I114+'Fórmula'!K114))*(INDEX(properties!A$1:CB$87,'Fórmula'!D114,56))+(('Fórmula'!G114)/('Fórmula'!C114+'Fórmula'!E114+'Fórmula'!G114+'Fórmula'!I114+'Fórmula'!K114))*(INDEX(properties!A$1:CB$87,'Fórmula'!F114,56))+(('Fórmula'!I114)/('Fórmula'!C114+'Fórmula'!E114+'Fórmula'!G114+'Fórmula'!I114+'Fórmula'!K114))*(INDEX(properties!A$1:CB$87,'Fórmula'!H114,56))+(('Fórmula'!K114)/('Fórmula'!C114+'Fórmula'!E114+'Fórmula'!G114+'Fórmula'!I114+'Fórmula'!K114))*(INDEX(properties!A$1:CB$87,'Fórmula'!J114,56))</f>
        <v>0.6577777778</v>
      </c>
      <c r="FU114" s="119">
        <f t="array" ref="FU114">'Fórmula'!C114*(INDEX(properties!A$1:CB$87,'Fórmula'!B114,56))+'Fórmula'!E114*(INDEX(properties!A$1:CB$87,'Fórmula'!D114,56))+'Fórmula'!G114*(INDEX(properties!A$1:CB$87,'Fórmula'!F114,56))+'Fórmula'!I114*(INDEX(properties!A$1:CB$87,'Fórmula'!H114,56))+'Fórmula'!K114*(INDEX(properties!A$1:CB$87,'Fórmula'!J114,56))</f>
        <v>5.92</v>
      </c>
      <c r="FV114" s="119">
        <f t="array" ref="FV114">VARP(IF(INDEX(properties!A$1:CB$87,'Fórmula'!B114,56)&lt;&gt;"",INDEX(properties!A$1:CB$87,'Fórmula'!B114,56)),IF(INDEX(properties!A$1:CB$87,'Fórmula'!D114,56)&lt;&gt;"",INDEX(properties!A$1:CB$87,'Fórmula'!D114,56)),IF(INDEX(properties!A$1:CB$87,'Fórmula'!F114,56)&lt;&gt;"",INDEX(properties!A$1:CB$87,'Fórmula'!F114,56)),IF(INDEX(properties!A$1:CB$87,'Fórmula'!H114,56)&lt;&gt;"",INDEX(properties!A$1:CB$87,'Fórmula'!H114,56)),IF(INDEX(properties!A$1:CB$87,'Fórmula'!J114,56)&lt;&gt;"",INDEX(properties!A$1:CB$87,'Fórmula'!J114,56)))</f>
        <v>0.09345184</v>
      </c>
      <c r="FW114" s="119">
        <f t="array" ref="FW114">MAX(INDEX(properties!A$1:CB$87,'Fórmula'!B114,56),INDEX(properties!A$1:CB$87,'Fórmula'!D114,56),INDEX(properties!A$1:CB$87,'Fórmula'!F114,56),INDEX(properties!A$1:CB$87,'Fórmula'!H114,56),INDEX(properties!A$1:CB$87,'Fórmula'!J114,56))</f>
        <v>0.92</v>
      </c>
      <c r="FX114" s="119">
        <f t="array" ref="FX114">MIN(IF(INDEX(properties!A$1:CB$87,'Fórmula'!B114,56)=0,10^6,INDEX(properties!A$1:CB$87,'Fórmula'!B114,56)),IF(INDEX(properties!A$1:CB$87,'Fórmula'!D114,56)=0,10^6,INDEX(properties!A$1:CB$87,'Fórmula'!D114,56)),IF(INDEX(properties!A$1:CB$87,'Fórmula'!F114,56)=0,10^6,INDEX(properties!A$1:CB$87,'Fórmula'!F114,56)),IF(INDEX(properties!A$1:CB$87,'Fórmula'!H114,56)=0,10^6,INDEX(properties!A$1:CB$87,'Fórmula'!H114,56)),IF(INDEX(properties!A$1:CB$87,'Fórmula'!J114,56)=0,10^6,INDEX(properties!A$1:CB$87,'Fórmula'!J114,56)))</f>
        <v>0.204</v>
      </c>
      <c r="FY114" s="119">
        <f t="shared" si="30"/>
        <v>0.716</v>
      </c>
      <c r="FZ114" s="104">
        <f t="array" ref="FZ114">(('Fórmula'!C114)/('Fórmula'!C114+'Fórmula'!E114+'Fórmula'!G114+'Fórmula'!I114+'Fórmula'!K114))*(INDEX(properties!A$1:CB$87,'Fórmula'!B114,57))+(('Fórmula'!E114)/('Fórmula'!C114+'Fórmula'!E114+'Fórmula'!G114+'Fórmula'!I114+'Fórmula'!K114))*(INDEX(properties!A$1:CB$87,'Fórmula'!D114,57))+(('Fórmula'!G114)/('Fórmula'!C114+'Fórmula'!E114+'Fórmula'!G114+'Fórmula'!I114+'Fórmula'!K114))*(INDEX(properties!A$1:CB$87,'Fórmula'!F114,57))+(('Fórmula'!I114)/('Fórmula'!C114+'Fórmula'!E114+'Fórmula'!G114+'Fórmula'!I114+'Fórmula'!K114))*(INDEX(properties!A$1:CB$87,'Fórmula'!H114,57))+(('Fórmula'!K114)/('Fórmula'!C114+'Fórmula'!E114+'Fórmula'!G114+'Fórmula'!I114+'Fórmula'!K114))*(INDEX(properties!A$1:CB$87,'Fórmula'!J114,57))</f>
        <v>2.285438889</v>
      </c>
      <c r="GA114" s="104">
        <f t="array" ref="GA114">'Fórmula'!C114*(INDEX(properties!A$1:CB$87,'Fórmula'!B114,57))+'Fórmula'!E114*(INDEX(properties!A$1:CB$87,'Fórmula'!D114,57))+'Fórmula'!G114*(INDEX(properties!A$1:CB$87,'Fórmula'!F114,57))+'Fórmula'!I114*(INDEX(properties!A$1:CB$87,'Fórmula'!H114,57))+'Fórmula'!K114*(INDEX(properties!A$1:CB$87,'Fórmula'!J114,57))</f>
        <v>20.56895</v>
      </c>
      <c r="GB114" s="104">
        <f t="array" ref="GB114">VARP(IF(INDEX(properties!A$1:CB$87,'Fórmula'!B114,57)&lt;&gt;"",INDEX(properties!A$1:CB$87,'Fórmula'!B114,57)),IF(INDEX(properties!A$1:CB$87,'Fórmula'!D114,57)&lt;&gt;"",INDEX(properties!A$1:CB$87,'Fórmula'!D114,57)),IF(INDEX(properties!A$1:CB$87,'Fórmula'!F114,57)&lt;&gt;"",INDEX(properties!A$1:CB$87,'Fórmula'!F114,57)),IF(INDEX(properties!A$1:CB$87,'Fórmula'!H114,57)&lt;&gt;"",INDEX(properties!A$1:CB$87,'Fórmula'!H114,57)),IF(INDEX(properties!A$1:CB$87,'Fórmula'!J114,57)&lt;&gt;"",INDEX(properties!A$1:CB$87,'Fórmula'!J114,57)))</f>
        <v>11.47448567</v>
      </c>
      <c r="GC114" s="104">
        <f t="array" ref="GC114">MAX(INDEX(properties!A$1:CB$87,'Fórmula'!B114,57),INDEX(properties!A$1:CB$87,'Fórmula'!D114,57),INDEX(properties!A$1:CB$87,'Fórmula'!F114,57),INDEX(properties!A$1:CB$87,'Fórmula'!H114,57),INDEX(properties!A$1:CB$87,'Fórmula'!J114,57))</f>
        <v>7.75</v>
      </c>
      <c r="GD114" s="104">
        <f t="array" ref="GD114">MIN(IF(INDEX(properties!A$1:CB$87,'Fórmula'!B114,57)=0,10^6,INDEX(properties!A$1:CB$87,'Fórmula'!B114,57)),IF(INDEX(properties!A$1:CB$87,'Fórmula'!D114,57)=0,10^6,INDEX(properties!A$1:CB$87,'Fórmula'!D114,57)),IF(INDEX(properties!A$1:CB$87,'Fórmula'!F114,57)=0,10^6,INDEX(properties!A$1:CB$87,'Fórmula'!F114,57)),IF(INDEX(properties!A$1:CB$87,'Fórmula'!H114,57)=0,10^6,INDEX(properties!A$1:CB$87,'Fórmula'!H114,57)),IF(INDEX(properties!A$1:CB$87,'Fórmula'!J114,57)=0,10^6,INDEX(properties!A$1:CB$87,'Fórmula'!J114,57)))</f>
        <v>0.22259</v>
      </c>
      <c r="GE114" s="104">
        <f t="shared" si="31"/>
        <v>7.52741</v>
      </c>
      <c r="GF114" s="105">
        <f t="array" ref="GF114">(('Fórmula'!C114)/('Fórmula'!C114+'Fórmula'!E114+'Fórmula'!G114+'Fórmula'!I114+'Fórmula'!K114))*(INDEX(properties!A$1:CB$87,'Fórmula'!B114,60))+(('Fórmula'!E114)/('Fórmula'!C114+'Fórmula'!E114+'Fórmula'!G114+'Fórmula'!I114+'Fórmula'!K114))*(INDEX(properties!A$1:CB$87,'Fórmula'!D114,60))+(('Fórmula'!G114)/('Fórmula'!C114+'Fórmula'!E114+'Fórmula'!G114+'Fórmula'!I114+'Fórmula'!K114))*(INDEX(properties!A$1:CB$87,'Fórmula'!F114,60))+(('Fórmula'!I114)/('Fórmula'!C114+'Fórmula'!E114+'Fórmula'!G114+'Fórmula'!I114+'Fórmula'!K114))*(INDEX(properties!A$1:CB$87,'Fórmula'!H114,60))+(('Fórmula'!K114)/('Fórmula'!C114+'Fórmula'!E114+'Fórmula'!G114+'Fórmula'!I114+'Fórmula'!K114))*(INDEX(properties!A$1:CB$87,'Fórmula'!J114,60))</f>
        <v>27.88152222</v>
      </c>
      <c r="GG114" s="105">
        <f t="array" ref="GG114">'Fórmula'!C114*(INDEX(properties!A$1:CB$87,'Fórmula'!B114,60))+'Fórmula'!E114*(INDEX(properties!A$1:CB$87,'Fórmula'!D114,60))+'Fórmula'!G114*(INDEX(properties!A$1:CB$87,'Fórmula'!F114,60))+'Fórmula'!I114*(INDEX(properties!A$1:CB$87,'Fórmula'!H114,60))+'Fórmula'!K114*(INDEX(properties!A$1:CB$87,'Fórmula'!J114,60))</f>
        <v>250.9337</v>
      </c>
      <c r="GH114" s="105">
        <f t="array" ref="GH114">VARP(IF(INDEX(properties!A$1:CB$87,'Fórmula'!B114,60)&lt;&gt;"",INDEX(properties!A$1:CB$87,'Fórmula'!B114,60)),IF(INDEX(properties!A$1:CB$87,'Fórmula'!D114,60)&lt;&gt;"",INDEX(properties!A$1:CB$87,'Fórmula'!D114,60)),IF(INDEX(properties!A$1:CB$87,'Fórmula'!F114,60)&lt;&gt;"",INDEX(properties!A$1:CB$87,'Fórmula'!F114,60)),IF(INDEX(properties!A$1:CB$87,'Fórmula'!H114,60)&lt;&gt;"",INDEX(properties!A$1:CB$87,'Fórmula'!H114,60)),IF(INDEX(properties!A$1:CB$87,'Fórmula'!J114,60)&lt;&gt;"",INDEX(properties!A$1:CB$87,'Fórmula'!J114,60)))</f>
        <v>1952.157704</v>
      </c>
      <c r="GI114" s="105">
        <f t="array" ref="GI114">MAX(INDEX(properties!A$1:CB$87,'Fórmula'!B114,60),INDEX(properties!A$1:CB$87,'Fórmula'!D114,60),INDEX(properties!A$1:CB$87,'Fórmula'!F114,60),INDEX(properties!A$1:CB$87,'Fórmula'!H114,60),INDEX(properties!A$1:CB$87,'Fórmula'!J114,60))</f>
        <v>116</v>
      </c>
      <c r="GJ114" s="105">
        <f t="array" ref="GJ114">MIN(IF(INDEX(properties!A$1:CB$87,'Fórmula'!B114,60)=0,10^6,INDEX(properties!A$1:CB$87,'Fórmula'!B114,60)),IF(INDEX(properties!A$1:CB$87,'Fórmula'!D114,60)=0,10^6,INDEX(properties!A$1:CB$87,'Fórmula'!D114,60)),IF(INDEX(properties!A$1:CB$87,'Fórmula'!F114,60)=0,10^6,INDEX(properties!A$1:CB$87,'Fórmula'!F114,60)),IF(INDEX(properties!A$1:CB$87,'Fórmula'!H114,60)=0,10^6,INDEX(properties!A$1:CB$87,'Fórmula'!H114,60)),IF(INDEX(properties!A$1:CB$87,'Fórmula'!J114,60)=0,10^6,INDEX(properties!A$1:CB$87,'Fórmula'!J114,60)))</f>
        <v>0.02674</v>
      </c>
      <c r="GK114" s="105">
        <f t="shared" si="32"/>
        <v>115.97326</v>
      </c>
      <c r="GL114" s="106">
        <f t="array" ref="GL114">(('Fórmula'!C114)/('Fórmula'!C114+'Fórmula'!E114+'Fórmula'!G114+'Fórmula'!I114+'Fórmula'!K114))*(INDEX(properties!A$1:CB$87,'Fórmula'!B114,62))+(('Fórmula'!E114)/('Fórmula'!C114+'Fórmula'!E114+'Fórmula'!G114+'Fórmula'!I114+'Fórmula'!K114))*(INDEX(properties!A$1:CB$87,'Fórmula'!D114,62))+(('Fórmula'!G114)/('Fórmula'!C114+'Fórmula'!E114+'Fórmula'!G114+'Fórmula'!I114+'Fórmula'!K114))*(INDEX(properties!A$1:CB$87,'Fórmula'!F114,62))+(('Fórmula'!I114)/('Fórmula'!C114+'Fórmula'!E114+'Fórmula'!G114+'Fórmula'!I114+'Fórmula'!K114))*(INDEX(properties!A$1:CB$87,'Fórmula'!H114,62))+(('Fórmula'!K114)/('Fórmula'!C114+'Fórmula'!E114+'Fórmula'!G114+'Fórmula'!I114+'Fórmula'!K114))*(INDEX(properties!A$1:CB$87,'Fórmula'!J114,62))</f>
        <v>2.006</v>
      </c>
      <c r="GM114" s="106">
        <f t="array" ref="GM114">'Fórmula'!C114*(INDEX(properties!A$1:CB$87,'Fórmula'!B114,62))+'Fórmula'!E114*(INDEX(properties!A$1:CB$87,'Fórmula'!D114,62))+'Fórmula'!G114*(INDEX(properties!A$1:CB$87,'Fórmula'!F114,62))+'Fórmula'!I114*(INDEX(properties!A$1:CB$87,'Fórmula'!H114,62))+'Fórmula'!K114*(INDEX(properties!A$1:CB$87,'Fórmula'!J114,62))</f>
        <v>18.054</v>
      </c>
      <c r="GN114" s="106">
        <f t="array" ref="GN114">VARP(IF(INDEX(properties!A$1:CB$87,'Fórmula'!B114,62)&lt;&gt;"",INDEX(properties!A$1:CB$87,'Fórmula'!B114,62)),IF(INDEX(properties!A$1:CB$87,'Fórmula'!D114,62)&lt;&gt;"",INDEX(properties!A$1:CB$87,'Fórmula'!D114,62)),IF(INDEX(properties!A$1:CB$87,'Fórmula'!F114,62)&lt;&gt;"",INDEX(properties!A$1:CB$87,'Fórmula'!F114,62)),IF(INDEX(properties!A$1:CB$87,'Fórmula'!H114,62)&lt;&gt;"",INDEX(properties!A$1:CB$87,'Fórmula'!H114,62)),IF(INDEX(properties!A$1:CB$87,'Fórmula'!J114,62)&lt;&gt;"",INDEX(properties!A$1:CB$87,'Fórmula'!J114,62)))</f>
        <v>0.79714944</v>
      </c>
      <c r="GO114" s="106">
        <f t="array" ref="GO114">MAX(INDEX(properties!A$1:CB$87,'Fórmula'!B114,62),INDEX(properties!A$1:CB$87,'Fórmula'!D114,62),INDEX(properties!A$1:CB$87,'Fórmula'!F114,62),INDEX(properties!A$1:CB$87,'Fórmula'!H114,62),INDEX(properties!A$1:CB$87,'Fórmula'!J114,62))</f>
        <v>2.62</v>
      </c>
      <c r="GP114" s="106">
        <f t="array" ref="GP114">MIN(IF(INDEX(properties!A$1:CB$87,'Fórmula'!B114,62)=0,10^6,INDEX(properties!A$1:CB$87,'Fórmula'!B114,62)),IF(INDEX(properties!A$1:CB$87,'Fórmula'!D114,62)=0,10^6,INDEX(properties!A$1:CB$87,'Fórmula'!D114,62)),IF(INDEX(properties!A$1:CB$87,'Fórmula'!F114,62)=0,10^6,INDEX(properties!A$1:CB$87,'Fórmula'!F114,62)),IF(INDEX(properties!A$1:CB$87,'Fórmula'!H114,62)=0,10^6,INDEX(properties!A$1:CB$87,'Fórmula'!H114,62)),IF(INDEX(properties!A$1:CB$87,'Fórmula'!J114,62)=0,10^6,INDEX(properties!A$1:CB$87,'Fórmula'!J114,62)))</f>
        <v>0.852</v>
      </c>
      <c r="GQ114" s="106">
        <f t="shared" si="33"/>
        <v>1.768</v>
      </c>
      <c r="GR114" s="106">
        <f>'Fórmula'!Q114</f>
        <v>140</v>
      </c>
      <c r="GS114" s="107">
        <f>'Fórmula'!P114</f>
        <v>2</v>
      </c>
      <c r="GT114" s="113">
        <f>'Fórmula'!O114</f>
        <v>6.72</v>
      </c>
      <c r="GU114" s="114">
        <f>AVERAGE('Fórmula'!R114/'Fórmula'!S114,'Fórmula'!S114/'Fórmula'!T114,'Fórmula'!T114/'Fórmula'!R114)</f>
        <v>1.091408908</v>
      </c>
      <c r="GV114" s="125">
        <f>'Fórmula'!U114</f>
        <v>553.76</v>
      </c>
      <c r="GW114" s="106">
        <f>'Fórmula'!N114</f>
        <v>0.04</v>
      </c>
    </row>
    <row r="115" ht="14.25" customHeight="1">
      <c r="A115" s="99" t="str">
        <f>'Fórmula'!A115</f>
        <v>NaYW2O8</v>
      </c>
      <c r="B115" s="101">
        <f t="array" ref="B115">(('Fórmula'!C115)/('Fórmula'!C115+'Fórmula'!E115+'Fórmula'!G115+'Fórmula'!I115+'Fórmula'!K115))*(INDEX(properties!A$1:CB$87,'Fórmula'!B115,3))+(('Fórmula'!E115)/('Fórmula'!C115+'Fórmula'!E115+'Fórmula'!G115+'Fórmula'!I115+'Fórmula'!K115))*(INDEX(properties!A$1:CB$87,'Fórmula'!D115,3))+(('Fórmula'!G115)/('Fórmula'!C115+'Fórmula'!E115+'Fórmula'!G115+'Fórmula'!I115+'Fórmula'!K115))*(INDEX(properties!A$1:CB$87,'Fórmula'!F115,3))+(('Fórmula'!I115)/('Fórmula'!C115+'Fórmula'!E115+'Fórmula'!G115+'Fórmula'!I115+'Fórmula'!K115))*(INDEX(properties!A$1:CB$87,'Fórmula'!H115,3))+(('Fórmula'!K115)/('Fórmula'!C115+'Fórmula'!E115+'Fórmula'!G115+'Fórmula'!I115+'Fórmula'!K115))*(INDEX(properties!A$1:CB$87,'Fórmula'!J115,3))</f>
        <v>50.63090067</v>
      </c>
      <c r="C115" s="101">
        <f t="array" ref="C115">'Fórmula'!C115*(INDEX(properties!A$1:CB$87,'Fórmula'!B115,3))+'Fórmula'!E115*(INDEX(properties!A$1:CB$87,'Fórmula'!D115,3))+'Fórmula'!G115*(INDEX(properties!A$1:CB$87,'Fórmula'!F115,3))+'Fórmula'!I115*(INDEX(properties!A$1:CB$87,'Fórmula'!H115,3))+'Fórmula'!K115*(INDEX(properties!A$1:CB$87,'Fórmula'!J115,3))</f>
        <v>607.570808</v>
      </c>
      <c r="D115" s="101">
        <f t="array" ref="D115">VARP(IF(INDEX(properties!A$1:CB$87,'Fórmula'!B115,3)&lt;&gt;"",INDEX(properties!A$1:CB$87,'Fórmula'!B115,3)),IF(INDEX(properties!A$1:CB$87,'Fórmula'!D115,3)&lt;&gt;"",INDEX(properties!A$1:CB$87,'Fórmula'!D115,3)),IF(INDEX(properties!A$1:CB$87,'Fórmula'!F115,3)&lt;&gt;"",INDEX(properties!A$1:CB$87,'Fórmula'!F115,3)),IF(INDEX(properties!A$1:CB$87,'Fórmula'!H115,3)&lt;&gt;"",INDEX(properties!A$1:CB$87,'Fórmula'!H115,3)),IF(INDEX(properties!A$1:CB$87,'Fórmula'!J115,3)&lt;&gt;"",INDEX(properties!A$1:CB$87,'Fórmula'!J115,3)))</f>
        <v>4610.032235</v>
      </c>
      <c r="E115" s="101">
        <f t="array" ref="E115">MAX(INDEX(properties!A$1:CB$87,'Fórmula'!B115,3),INDEX(properties!A$1:CB$87,'Fórmula'!D115,3),INDEX(properties!A$1:CB$87,'Fórmula'!F115,3),INDEX(properties!A$1:CB$87,'Fórmula'!H115,3),INDEX(properties!A$1:CB$87,'Fórmula'!J115,3))</f>
        <v>183.84</v>
      </c>
      <c r="F115" s="101">
        <f t="array" ref="F115">MIN(IF(INDEX(properties!A$1:CB$87,'Fórmula'!B115,3)=0,10^6,INDEX(properties!A$1:CB$87,'Fórmula'!B115,3)),IF(INDEX(properties!A$1:CB$87,'Fórmula'!D115,3)=0,10^6,INDEX(properties!A$1:CB$87,'Fórmula'!D115,3)),IF(INDEX(properties!A$1:CB$87,'Fórmula'!F115,3)=0,10^6,INDEX(properties!A$1:CB$87,'Fórmula'!F115,3)),IF(INDEX(properties!A$1:CB$87,'Fórmula'!H115,3)=0,10^6,INDEX(properties!A$1:CB$87,'Fórmula'!H115,3)),IF(INDEX(properties!A$1:CB$87,'Fórmula'!J115,3)=0,10^6,INDEX(properties!A$1:CB$87,'Fórmula'!J115,3)))</f>
        <v>15.9994</v>
      </c>
      <c r="G115" s="101">
        <f t="shared" si="1"/>
        <v>167.8406</v>
      </c>
      <c r="H115" s="102">
        <f t="array" ref="H115">(('Fórmula'!C115)/('Fórmula'!C115+'Fórmula'!E115+'Fórmula'!G115+'Fórmula'!I115+'Fórmula'!K115))*(INDEX(properties!A$1:CB$87,'Fórmula'!B115,4))+(('Fórmula'!E115)/('Fórmula'!C115+'Fórmula'!E115+'Fórmula'!G115+'Fórmula'!I115+'Fórmula'!K115))*(INDEX(properties!A$1:CB$87,'Fórmula'!D115,4))+(('Fórmula'!G115)/('Fórmula'!C115+'Fórmula'!E115+'Fórmula'!G115+'Fórmula'!I115+'Fórmula'!K115))*(INDEX(properties!A$1:CB$87,'Fórmula'!F115,4))+(('Fórmula'!I115)/('Fórmula'!C115+'Fórmula'!E115+'Fórmula'!G115+'Fórmula'!I115+'Fórmula'!K115))*(INDEX(properties!A$1:CB$87,'Fórmula'!H115,4))+(('Fórmula'!K115)/('Fórmula'!C115+'Fórmula'!E115+'Fórmula'!G115+'Fórmula'!I115+'Fórmula'!K115))*(INDEX(properties!A$1:CB$87,'Fórmula'!J115,4))</f>
        <v>21.83333333</v>
      </c>
      <c r="I115" s="102">
        <f t="array" ref="I115">'Fórmula'!C115*(INDEX(properties!A$1:CB$87,'Fórmula'!B115,4))+'Fórmula'!E115*(INDEX(properties!A$1:CB$87,'Fórmula'!D115,4))+'Fórmula'!G115*(INDEX(properties!A$1:CB$87,'Fórmula'!F115,4))+'Fórmula'!I115*(INDEX(properties!A$1:CB$87,'Fórmula'!H115,4))+'Fórmula'!K115*(INDEX(properties!A$1:CB$87,'Fórmula'!J115,4))</f>
        <v>262</v>
      </c>
      <c r="J115" s="102">
        <f t="array" ref="J115">VARP(IF(INDEX(properties!A$1:CB$87,'Fórmula'!B115,4)&lt;&gt;"",INDEX(properties!A$1:CB$87,'Fórmula'!B115,4)),IF(INDEX(properties!A$1:CB$87,'Fórmula'!D115,4)&lt;&gt;"",INDEX(properties!A$1:CB$87,'Fórmula'!D115,4)),IF(INDEX(properties!A$1:CB$87,'Fórmula'!F115,4)&lt;&gt;"",INDEX(properties!A$1:CB$87,'Fórmula'!F115,4)),IF(INDEX(properties!A$1:CB$87,'Fórmula'!H115,4)&lt;&gt;"",INDEX(properties!A$1:CB$87,'Fórmula'!H115,4)),IF(INDEX(properties!A$1:CB$87,'Fórmula'!J115,4)&lt;&gt;"",INDEX(properties!A$1:CB$87,'Fórmula'!J115,4)))</f>
        <v>739.44</v>
      </c>
      <c r="K115" s="102">
        <f t="array" ref="K115">MAX(INDEX(properties!A$1:CB$87,'Fórmula'!B115,4),INDEX(properties!A$1:CB$87,'Fórmula'!D115,4),INDEX(properties!A$1:CB$87,'Fórmula'!F115,4),INDEX(properties!A$1:CB$87,'Fórmula'!H115,4),INDEX(properties!A$1:CB$87,'Fórmula'!J115,4))</f>
        <v>74</v>
      </c>
      <c r="L115" s="102">
        <f t="array" ref="L115">MIN(IF(INDEX(properties!A$1:CB$87,'Fórmula'!B115,4)=0,10^6,INDEX(properties!A$1:CB$87,'Fórmula'!B115,4)),IF(INDEX(properties!A$1:CB$87,'Fórmula'!D115,4)=0,10^6,INDEX(properties!A$1:CB$87,'Fórmula'!D115,4)),IF(INDEX(properties!A$1:CB$87,'Fórmula'!F115,4)=0,10^6,INDEX(properties!A$1:CB$87,'Fórmula'!F115,4)),IF(INDEX(properties!A$1:CB$87,'Fórmula'!H115,4)=0,10^6,INDEX(properties!A$1:CB$87,'Fórmula'!H115,4)),IF(INDEX(properties!A$1:CB$87,'Fórmula'!J115,4)=0,10^6,INDEX(properties!A$1:CB$87,'Fórmula'!J115,4)))</f>
        <v>8</v>
      </c>
      <c r="M115" s="102">
        <f t="shared" si="2"/>
        <v>66</v>
      </c>
      <c r="N115" s="103">
        <f t="array" ref="N115">(('Fórmula'!C115)/('Fórmula'!C115+'Fórmula'!E115+'Fórmula'!G115+'Fórmula'!I115+'Fórmula'!K115))*(INDEX(properties!A$1:CB$87,'Fórmula'!B115,5))+(('Fórmula'!E115)/('Fórmula'!C115+'Fórmula'!E115+'Fórmula'!G115+'Fórmula'!I115+'Fórmula'!K115))*(INDEX(properties!A$1:CB$87,'Fórmula'!D115,5))+(('Fórmula'!G115)/('Fórmula'!C115+'Fórmula'!E115+'Fórmula'!G115+'Fórmula'!I115+'Fórmula'!K115))*(INDEX(properties!A$1:CB$87,'Fórmula'!F115,5))+(('Fórmula'!I115)/('Fórmula'!C115+'Fórmula'!E115+'Fórmula'!G115+'Fórmula'!I115+'Fórmula'!K115))*(INDEX(properties!A$1:CB$87,'Fórmula'!H115,5))+(('Fórmula'!K115)/('Fórmula'!C115+'Fórmula'!E115+'Fórmula'!G115+'Fórmula'!I115+'Fórmula'!K115))*(INDEX(properties!A$1:CB$87,'Fórmula'!J115,5))</f>
        <v>3</v>
      </c>
      <c r="O115" s="103">
        <f t="array" ref="O115">'Fórmula'!C115*(INDEX(properties!A$1:CB$87,'Fórmula'!B115,5))+'Fórmula'!E115*(INDEX(properties!A$1:CB$87,'Fórmula'!D115,5))+'Fórmula'!G115*(INDEX(properties!A$1:CB$87,'Fórmula'!F115,5))+'Fórmula'!I115*(INDEX(properties!A$1:CB$87,'Fórmula'!H115,5))+'Fórmula'!K115*(INDEX(properties!A$1:CB$87,'Fórmula'!J115,5))</f>
        <v>36</v>
      </c>
      <c r="P115" s="103">
        <f t="array" ref="P115">VARP(IF(INDEX(properties!A$1:CB$87,'Fórmula'!B115,5)&lt;&gt;"",INDEX(properties!A$1:CB$87,'Fórmula'!B115,5)),IF(INDEX(properties!A$1:CB$87,'Fórmula'!D115,5)&lt;&gt;"",INDEX(properties!A$1:CB$87,'Fórmula'!D115,5)),IF(INDEX(properties!A$1:CB$87,'Fórmula'!F115,5)&lt;&gt;"",INDEX(properties!A$1:CB$87,'Fórmula'!F115,5)),IF(INDEX(properties!A$1:CB$87,'Fórmula'!H115,5)&lt;&gt;"",INDEX(properties!A$1:CB$87,'Fórmula'!H115,5)),IF(INDEX(properties!A$1:CB$87,'Fórmula'!J115,5)&lt;&gt;"",INDEX(properties!A$1:CB$87,'Fórmula'!J115,5)))</f>
        <v>4.56</v>
      </c>
      <c r="Q115" s="103">
        <f t="array" ref="Q115">MAX(INDEX(properties!A$1:CB$87,'Fórmula'!B115,5),INDEX(properties!A$1:CB$87,'Fórmula'!D115,5),INDEX(properties!A$1:CB$87,'Fórmula'!F115,5),INDEX(properties!A$1:CB$87,'Fórmula'!H115,5),INDEX(properties!A$1:CB$87,'Fórmula'!J115,5))</f>
        <v>6</v>
      </c>
      <c r="R115" s="103">
        <f t="array" ref="R115">MIN(IF(INDEX(properties!A$1:CB$87,'Fórmula'!B115,5)=0,10^6,INDEX(properties!A$1:CB$87,'Fórmula'!B115,5)),IF(INDEX(properties!A$1:CB$87,'Fórmula'!D115,5)=0,10^6,INDEX(properties!A$1:CB$87,'Fórmula'!D115,5)),IF(INDEX(properties!A$1:CB$87,'Fórmula'!F115,5)=0,10^6,INDEX(properties!A$1:CB$87,'Fórmula'!F115,5)),IF(INDEX(properties!A$1:CB$87,'Fórmula'!H115,5)=0,10^6,INDEX(properties!A$1:CB$87,'Fórmula'!H115,5)),IF(INDEX(properties!A$1:CB$87,'Fórmula'!J115,5)=0,10^6,INDEX(properties!A$1:CB$87,'Fórmula'!J115,5)))</f>
        <v>2</v>
      </c>
      <c r="S115" s="103">
        <f t="shared" si="3"/>
        <v>4</v>
      </c>
      <c r="T115" s="104">
        <f t="array" ref="T115">(('Fórmula'!C115)/('Fórmula'!C115+'Fórmula'!E115+'Fórmula'!G115+'Fórmula'!I115+'Fórmula'!K115))*(INDEX(properties!A$1:CB$87,'Fórmula'!B115,6))+(('Fórmula'!E115)/('Fórmula'!C115+'Fórmula'!E115+'Fórmula'!G115+'Fórmula'!I115+'Fórmula'!K115))*(INDEX(properties!A$1:CB$87,'Fórmula'!D115,6))+(('Fórmula'!G115)/('Fórmula'!C115+'Fórmula'!E115+'Fórmula'!G115+'Fórmula'!I115+'Fórmula'!K115))*(INDEX(properties!A$1:CB$87,'Fórmula'!F115,6))+(('Fórmula'!I115)/('Fórmula'!C115+'Fórmula'!E115+'Fórmula'!G115+'Fórmula'!I115+'Fórmula'!K115))*(INDEX(properties!A$1:CB$87,'Fórmula'!H115,6))+(('Fórmula'!K115)/('Fórmula'!C115+'Fórmula'!E115+'Fórmula'!G115+'Fórmula'!I115+'Fórmula'!K115))*(INDEX(properties!A$1:CB$87,'Fórmula'!J115,6))</f>
        <v>12</v>
      </c>
      <c r="U115" s="104">
        <f t="array" ref="U115">'Fórmula'!C115*(INDEX(properties!A$1:CB$87,'Fórmula'!B115,6))+'Fórmula'!E115*(INDEX(properties!A$1:CB$87,'Fórmula'!D115,6))+'Fórmula'!G115*(INDEX(properties!A$1:CB$87,'Fórmula'!F115,6))+'Fórmula'!I115*(INDEX(properties!A$1:CB$87,'Fórmula'!H115,6))+'Fórmula'!K115*(INDEX(properties!A$1:CB$87,'Fórmula'!J115,6))</f>
        <v>144</v>
      </c>
      <c r="V115" s="103">
        <f t="array" ref="V115">VARP(IF(INDEX(properties!A$1:CB$87,'Fórmula'!B115,6)&lt;&gt;"",INDEX(properties!A$1:CB$87,'Fórmula'!B115,6)),IF(INDEX(properties!A$1:CB$87,'Fórmula'!D115,6)&lt;&gt;"",INDEX(properties!A$1:CB$87,'Fórmula'!D115,6)),IF(INDEX(properties!A$1:CB$87,'Fórmula'!F115,6)&lt;&gt;"",INDEX(properties!A$1:CB$87,'Fórmula'!F115,6)),IF(INDEX(properties!A$1:CB$87,'Fórmula'!H115,6)&lt;&gt;"",INDEX(properties!A$1:CB$87,'Fórmula'!H115,6)),IF(INDEX(properties!A$1:CB$87,'Fórmula'!J115,6)&lt;&gt;"",INDEX(properties!A$1:CB$87,'Fórmula'!J115,6)))</f>
        <v>33.36</v>
      </c>
      <c r="W115" s="104">
        <f t="array" ref="W115">MAX(INDEX(properties!A$1:CB$87,'Fórmula'!B115,6),INDEX(properties!A$1:CB$87,'Fórmula'!D115,6),INDEX(properties!A$1:CB$87,'Fórmula'!F115,6),INDEX(properties!A$1:CB$87,'Fórmula'!H115,4),INDEX(properties!A$1:CB$87,'Fórmula'!J115,6))</f>
        <v>8</v>
      </c>
      <c r="X115" s="104">
        <f t="array" ref="X115">MIN(IF(INDEX(properties!A$1:CB$87,'Fórmula'!B115,6)=0,10^6,INDEX(properties!A$1:CB$87,'Fórmula'!B115,6)),IF(INDEX(properties!A$1:CB$87,'Fórmula'!D115,6)=0,10^6,INDEX(properties!A$1:CB$87,'Fórmula'!D115,6)),IF(INDEX(properties!A$1:CB$87,'Fórmula'!F115,6)=0,10^6,INDEX(properties!A$1:CB$87,'Fórmula'!F115,6)),IF(INDEX(properties!A$1:CB$87,'Fórmula'!H115,6)=0,10^6,INDEX(properties!A$1:CB$87,'Fórmula'!H115,6)),IF(INDEX(properties!A$1:CB$87,'Fórmula'!J115,6)=0,10^6,INDEX(properties!A$1:CB$87,'Fórmula'!J115,6)))</f>
        <v>1</v>
      </c>
      <c r="Y115" s="104">
        <f t="shared" si="4"/>
        <v>7</v>
      </c>
      <c r="Z115" s="105">
        <f t="array" ref="Z115">(('Fórmula'!C115)/('Fórmula'!C115+'Fórmula'!E115+'Fórmula'!G115+'Fórmula'!I115+'Fórmula'!K115))*(INDEX(properties!A$1:CB$87,'Fórmula'!B115,9))+(('Fórmula'!E115)/('Fórmula'!C115+'Fórmula'!E115+'Fórmula'!G115+'Fórmula'!I115+'Fórmula'!K115))*(INDEX(properties!A$1:CB$87,'Fórmula'!D115,9))+(('Fórmula'!G115)/('Fórmula'!C115+'Fórmula'!E115+'Fórmula'!G115+'Fórmula'!I115+'Fórmula'!K115))*(INDEX(properties!A$1:CB$87,'Fórmula'!F115,9))+(('Fórmula'!I115)/('Fórmula'!C115+'Fórmula'!E115+'Fórmula'!G115+'Fórmula'!I115+'Fórmula'!K115))*(INDEX(properties!A$1:CB$87,'Fórmula'!H115,9))+(('Fórmula'!K115)/('Fórmula'!C115+'Fórmula'!E115+'Fórmula'!G115+'Fórmula'!I115+'Fórmula'!K115))*(INDEX(properties!A$1:CB$87,'Fórmula'!J115,9))</f>
        <v>67.66666667</v>
      </c>
      <c r="AA115" s="105">
        <f t="array" ref="AA115">'Fórmula'!C115*(INDEX(properties!A$1:CB$87,'Fórmula'!B115,9))+'Fórmula'!E115*(INDEX(properties!A$1:CB$87,'Fórmula'!D115,9))+'Fórmula'!G115*(INDEX(properties!A$1:CB$87,'Fórmula'!F115,9))+'Fórmula'!I115*(INDEX(properties!A$1:CB$87,'Fórmula'!H115,9))+'Fórmula'!K115*(INDEX(properties!A$1:CB$87,'Fórmula'!J115,9))</f>
        <v>812</v>
      </c>
      <c r="AB115" s="105">
        <f t="array" ref="AB115">VARP(IF(INDEX(properties!A$1:CB$87,'Fórmula'!B115,9)&lt;&gt;"",INDEX(properties!A$1:CB$87,'Fórmula'!B115,9)),IF(INDEX(properties!A$1:CB$87,'Fórmula'!D115,9)&lt;&gt;"",INDEX(properties!A$1:CB$87,'Fórmula'!D115,9)),IF(INDEX(properties!A$1:CB$87,'Fórmula'!F115,9)&lt;&gt;"",INDEX(properties!A$1:CB$87,'Fórmula'!F115,9)),IF(INDEX(properties!A$1:CB$87,'Fórmula'!H115,9)&lt;&gt;"",INDEX(properties!A$1:CB$87,'Fórmula'!H115,9)),IF(INDEX(properties!A$1:CB$87,'Fórmula'!J115,9)&lt;&gt;"",INDEX(properties!A$1:CB$87,'Fórmula'!J115,9)))</f>
        <v>1139.44</v>
      </c>
      <c r="AC115" s="105">
        <f t="array" ref="AC115">MAX(INDEX(properties!A$1:CB$87,'Fórmula'!B115,9),INDEX(properties!A$1:CB$87,'Fórmula'!D115,9),INDEX(properties!A$1:CB$87,'Fórmula'!F115,9),INDEX(properties!A$1:CB$87,'Fórmula'!H115,9),INDEX(properties!A$1:CB$87,'Fórmula'!J115,9))</f>
        <v>87</v>
      </c>
      <c r="AD115" s="105">
        <f t="array" ref="AD115">MIN(IF(INDEX(properties!A$1:CB$87,'Fórmula'!B115,9)=0,10^6,INDEX(properties!A$1:CB$87,'Fórmula'!B115,9)),IF(INDEX(properties!A$1:CB$87,'Fórmula'!D115,9)=0,10^6,INDEX(properties!A$1:CB$87,'Fórmula'!D115,9)),IF(INDEX(properties!A$1:CB$87,'Fórmula'!F115,9)=0,10^6,INDEX(properties!A$1:CB$87,'Fórmula'!F115,9)),IF(INDEX(properties!A$1:CB$87,'Fórmula'!H115,9)=0,10^6,INDEX(properties!A$1:CB$87,'Fórmula'!H115,9)),IF(INDEX(properties!A$1:CB$87,'Fórmula'!J115,9)=0,10^6,INDEX(properties!A$1:CB$87,'Fórmula'!J115,9)))</f>
        <v>2</v>
      </c>
      <c r="AE115" s="105">
        <f t="shared" si="5"/>
        <v>85</v>
      </c>
      <c r="AF115" s="106">
        <f t="array" ref="AF115">(('Fórmula'!C115)/('Fórmula'!C115+'Fórmula'!E115+'Fórmula'!G115+'Fórmula'!I115+'Fórmula'!K115))*(INDEX(properties!A$1:CB$87,'Fórmula'!B115,10))+(('Fórmula'!E115)/('Fórmula'!C115+'Fórmula'!E115+'Fórmula'!G115+'Fórmula'!I115+'Fórmula'!K115))*(INDEX(properties!A$1:CB$87,'Fórmula'!D115,10))+(('Fórmula'!G115)/('Fórmula'!C115+'Fórmula'!E115+'Fórmula'!G115+'Fórmula'!I115+'Fórmula'!K115))*(INDEX(properties!A$1:CB$87,'Fórmula'!F115,10))+(('Fórmula'!I115)/('Fórmula'!C115+'Fórmula'!E115+'Fórmula'!G115+'Fórmula'!I115+'Fórmula'!K115))*(INDEX(properties!A$1:CB$87,'Fórmula'!H115,10))+(('Fórmula'!K115)/('Fórmula'!C115+'Fórmula'!E115+'Fórmula'!G115+'Fórmula'!I115+'Fórmula'!K115))*(INDEX(properties!A$1:CB$87,'Fórmula'!J115,10))</f>
        <v>5.666666667</v>
      </c>
      <c r="AG115" s="106">
        <f t="array" ref="AG115">'Fórmula'!C115*(INDEX(properties!A$1:CB$87,'Fórmula'!B115,10))+'Fórmula'!E115*(INDEX(properties!A$1:CB$87,'Fórmula'!D115,10))+'Fórmula'!G115*(INDEX(properties!A$1:CB$87,'Fórmula'!F115,10))+'Fórmula'!I115*(INDEX(properties!A$1:CB$87,'Fórmula'!H115,10))+'Fórmula'!K115*(INDEX(properties!A$1:CB$87,'Fórmula'!J115,10))</f>
        <v>68</v>
      </c>
      <c r="AH115" s="106">
        <f t="array" ref="AH115">VARP(IF(INDEX(properties!A$1:CB$87,'Fórmula'!B115,10)&lt;&gt;"",INDEX(properties!A$1:CB$87,'Fórmula'!B115,10)),IF(INDEX(properties!A$1:CB$87,'Fórmula'!D115,10)&lt;&gt;"",INDEX(properties!A$1:CB$87,'Fórmula'!D115,10)),IF(INDEX(properties!A$1:CB$87,'Fórmula'!F115,10)&lt;&gt;"",INDEX(properties!A$1:CB$87,'Fórmula'!F115,10)),IF(INDEX(properties!A$1:CB$87,'Fórmula'!H115,10)&lt;&gt;"",INDEX(properties!A$1:CB$87,'Fórmula'!H115,10)),IF(INDEX(properties!A$1:CB$87,'Fórmula'!J115,10)&lt;&gt;"",INDEX(properties!A$1:CB$87,'Fórmula'!J115,10)))</f>
        <v>6</v>
      </c>
      <c r="AI115" s="106">
        <f t="array" ref="AI115">MAX(INDEX(properties!A$1:CB$87,'Fórmula'!B115,10),INDEX(properties!A$1:CB$87,'Fórmula'!D115,10),INDEX(properties!A$1:CB$87,'Fórmula'!F115,10),INDEX(properties!A$1:CB$87,'Fórmula'!H115,10),INDEX(properties!A$1:CB$87,'Fórmula'!J115,10))</f>
        <v>7</v>
      </c>
      <c r="AJ115" s="106">
        <f t="array" ref="AJ115">MIN(IF(INDEX(properties!A$1:CB$87,'Fórmula'!B115,10)=0,10^6,INDEX(properties!A$1:CB$87,'Fórmula'!B115,10)),IF(INDEX(properties!A$1:CB$87,'Fórmula'!D115,10)=0,10^6,INDEX(properties!A$1:CB$87,'Fórmula'!D115,10)),IF(INDEX(properties!A$1:CB$87,'Fórmula'!F115,10)=0,10^6,INDEX(properties!A$1:CB$87,'Fórmula'!F115,10)),IF(INDEX(properties!A$1:CB$87,'Fórmula'!H115,10)=0,10^6,INDEX(properties!A$1:CB$87,'Fórmula'!H115,10)),IF(INDEX(properties!A$1:CB$87,'Fórmula'!J115,10)=0,10^6,INDEX(properties!A$1:CB$87,'Fórmula'!J115,10)))</f>
        <v>1</v>
      </c>
      <c r="AK115" s="106">
        <f t="shared" si="6"/>
        <v>6</v>
      </c>
      <c r="AL115" s="107">
        <f t="array" ref="AL115">(('Fórmula'!C115)/('Fórmula'!C115+'Fórmula'!E115+'Fórmula'!G115+'Fórmula'!I115+'Fórmula'!K115))*(INDEX(properties!A$1:CB$87,'Fórmula'!B115,11))+(('Fórmula'!E115)/('Fórmula'!C115+'Fórmula'!E115+'Fórmula'!G115+'Fórmula'!I115+'Fórmula'!K115))*(INDEX(properties!A$1:CB$87,'Fórmula'!D115,11))+(('Fórmula'!G115)/('Fórmula'!C115+'Fórmula'!E115+'Fórmula'!G115+'Fórmula'!I115+'Fórmula'!K115))*(INDEX(properties!A$1:CB$87,'Fórmula'!F115,11))+(('Fórmula'!I115)/('Fórmula'!C115+'Fórmula'!E115+'Fórmula'!G115+'Fórmula'!I115+'Fórmula'!K115))*(INDEX(properties!A$1:CB$87,'Fórmula'!H115,11))+(('Fórmula'!K115)/('Fórmula'!C115+'Fórmula'!E115+'Fórmula'!G115+'Fórmula'!I115+'Fórmula'!K115))*(INDEX(properties!A$1:CB$87,'Fórmula'!J115,11))</f>
        <v>1.916666667</v>
      </c>
      <c r="AM115" s="107">
        <f t="array" ref="AM115">'Fórmula'!C115*(INDEX(properties!A$1:CB$87,'Fórmula'!B115,11))+'Fórmula'!E115*(INDEX(properties!A$1:CB$87,'Fórmula'!D115,11))+'Fórmula'!G115*(INDEX(properties!A$1:CB$87,'Fórmula'!F115,11))+'Fórmula'!I115*(INDEX(properties!A$1:CB$87,'Fórmula'!H115,11))+'Fórmula'!K115*(INDEX(properties!A$1:CB$87,'Fórmula'!J115,11))</f>
        <v>23</v>
      </c>
      <c r="AN115" s="107">
        <f t="array" ref="AN115">VARP(IF(INDEX(properties!A$1:CB$87,'Fórmula'!B115,11)&lt;&gt;"",INDEX(properties!A$1:CB$87,'Fórmula'!B115,11)),IF(INDEX(properties!A$1:CB$87,'Fórmula'!D115,11)&lt;&gt;"",INDEX(properties!A$1:CB$87,'Fórmula'!D115,11)),IF(INDEX(properties!A$1:CB$87,'Fórmula'!F115,11)&lt;&gt;"",INDEX(properties!A$1:CB$87,'Fórmula'!F115,11)),IF(INDEX(properties!A$1:CB$87,'Fórmula'!H115,11)&lt;&gt;"",INDEX(properties!A$1:CB$87,'Fórmula'!H115,11)),IF(INDEX(properties!A$1:CB$87,'Fórmula'!J115,11)&lt;&gt;"",INDEX(properties!A$1:CB$87,'Fórmula'!J115,11)))</f>
        <v>0.64</v>
      </c>
      <c r="AO115" s="107">
        <f t="array" ref="AO115">MAX(INDEX(properties!A$1:CB$87,'Fórmula'!B115,11),INDEX(properties!A$1:CB$87,'Fórmula'!D115,11),INDEX(properties!A$1:CB$87,'Fórmula'!F115,11),INDEX(properties!A$1:CB$87,'Fórmula'!H115,11),INDEX(properties!A$1:CB$87,'Fórmula'!J115,11))</f>
        <v>2</v>
      </c>
      <c r="AP115" s="107">
        <f t="array" ref="AP115">MIN(IF('Fórmula'!B115=87,10^6,INDEX(properties!A$1:CB$87,'Fórmula'!B115,11)),IF(('Fórmula'!D115)=87,10^6,INDEX(properties!A$1:CB$87,'Fórmula'!D115,11)),IF(('Fórmula'!F115)=87,10^6,INDEX(properties!A$1:CB$87,'Fórmula'!F115,11)),IF(('Fórmula'!H115)=87,10^6,INDEX(properties!A$1:CB$87,'Fórmula'!H115,11)),IF('Fórmula'!J115=87,10^6,INDEX(properties!A$1:CB$87,'Fórmula'!J115,11)))</f>
        <v>1</v>
      </c>
      <c r="AQ115" s="107">
        <f t="shared" si="7"/>
        <v>1</v>
      </c>
      <c r="AR115" s="108">
        <f t="array" ref="AR115">(('Fórmula'!C115)/('Fórmula'!C115+'Fórmula'!E115+'Fórmula'!G115+'Fórmula'!I115+'Fórmula'!K115))*(INDEX(properties!A$1:CB$87,'Fórmula'!B115,12))+(('Fórmula'!E115)/('Fórmula'!C115+'Fórmula'!E115+'Fórmula'!G115+'Fórmula'!I115+'Fórmula'!K115))*(INDEX(properties!A$1:CB$87,'Fórmula'!D115,12))+(('Fórmula'!G115)/('Fórmula'!C115+'Fórmula'!E115+'Fórmula'!G115+'Fórmula'!I115+'Fórmula'!K115))*(INDEX(properties!A$1:CB$87,'Fórmula'!F115,12))+(('Fórmula'!I115)/('Fórmula'!C115+'Fórmula'!E115+'Fórmula'!G115+'Fórmula'!I115+'Fórmula'!K115))*(INDEX(properties!A$1:CB$87,'Fórmula'!H115,12))+(('Fórmula'!K115)/('Fórmula'!C115+'Fórmula'!E115+'Fórmula'!G115+'Fórmula'!I115+'Fórmula'!K115))*(INDEX(properties!A$1:CB$87,'Fórmula'!J115,12))</f>
        <v>2.666666667</v>
      </c>
      <c r="AS115" s="108">
        <f t="array" ref="AS115">'Fórmula'!C115*(INDEX(properties!A$1:CB$87,'Fórmula'!B115,12))+'Fórmula'!E115*(INDEX(properties!A$1:CB$87,'Fórmula'!D115,12))+'Fórmula'!G115*(INDEX(properties!A$1:CB$87,'Fórmula'!F115,12))+'Fórmula'!I115*(INDEX(properties!A$1:CB$87,'Fórmula'!H115,12))+'Fórmula'!K115*(INDEX(properties!A$1:CB$87,'Fórmula'!J115,12))</f>
        <v>32</v>
      </c>
      <c r="AT115" s="108">
        <f t="array" ref="AT115">VARP(IF(INDEX(properties!A$1:CB$87,'Fórmula'!B115,12)&lt;&gt;"",INDEX(properties!A$1:CB$87,'Fórmula'!B115,12)),IF(INDEX(properties!A$1:CB$87,'Fórmula'!D115,12)&lt;&gt;"",INDEX(properties!A$1:CB$87,'Fórmula'!D115,12)),IF(INDEX(properties!A$1:CB$87,'Fórmula'!F115,12)&lt;&gt;"",INDEX(properties!A$1:CB$87,'Fórmula'!F115,12)),IF(INDEX(properties!A$1:CB$87,'Fórmula'!H115,12)&lt;&gt;"",INDEX(properties!A$1:CB$87,'Fórmula'!H115,12)),IF(INDEX(properties!A$1:CB$87,'Fórmula'!J115,12)&lt;&gt;"",INDEX(properties!A$1:CB$87,'Fórmula'!J115,12)))</f>
        <v>2.56</v>
      </c>
      <c r="AU115" s="108">
        <f t="array" ref="AU115">MAX(INDEX(properties!A$1:CB$87,'Fórmula'!B115,12),INDEX(properties!A$1:CB$87,'Fórmula'!D115,12),INDEX(properties!A$1:CB$87,'Fórmula'!F115,12),INDEX(properties!A$1:CB$87,'Fórmula'!H115,12),INDEX(properties!A$1:CB$87,'Fórmula'!J115,12))</f>
        <v>4</v>
      </c>
      <c r="AV115" s="108">
        <f t="array" ref="AV115">MIN(IF('Fórmula'!B115=87,10^6,INDEX(properties!A$1:CB$87,'Fórmula'!B115,12)),IF(('Fórmula'!D115)=87,10^6,INDEX(properties!A$1:CB$87,'Fórmula'!D115,12)),IF(('Fórmula'!F115)=87,10^6,INDEX(properties!A$1:CB$87,'Fórmula'!F115,12)),IF(('Fórmula'!H115)=87,10^6,INDEX(properties!A$1:CB$87,'Fórmula'!H115,12)),IF('Fórmula'!J115=87,10^6,INDEX(properties!A$1:CB$87,'Fórmula'!J115,12)))</f>
        <v>0</v>
      </c>
      <c r="AW115" s="108">
        <f t="shared" si="8"/>
        <v>4</v>
      </c>
      <c r="AX115" s="109">
        <f t="array" ref="AX115">(('Fórmula'!C115)/('Fórmula'!C115+'Fórmula'!E115+'Fórmula'!G115+'Fórmula'!I115+'Fórmula'!K115))*(INDEX(properties!A$1:CB$87,'Fórmula'!B115,13))+(('Fórmula'!E115)/('Fórmula'!C115+'Fórmula'!E115+'Fórmula'!G115+'Fórmula'!I115+'Fórmula'!K115))*(INDEX(properties!A$1:CB$87,'Fórmula'!D115,13))+(('Fórmula'!G115)/('Fórmula'!C115+'Fórmula'!E115+'Fórmula'!G115+'Fórmula'!I115+'Fórmula'!K115))*(INDEX(properties!A$1:CB$87,'Fórmula'!F115,13))+(('Fórmula'!I115)/('Fórmula'!C115+'Fórmula'!E115+'Fórmula'!G115+'Fórmula'!I115+'Fórmula'!K115))*(INDEX(properties!A$1:CB$87,'Fórmula'!H115,13))+(('Fórmula'!K115)/('Fórmula'!C115+'Fórmula'!E115+'Fórmula'!G115+'Fórmula'!I115+'Fórmula'!K115))*(INDEX(properties!A$1:CB$87,'Fórmula'!J115,13))</f>
        <v>0.75</v>
      </c>
      <c r="AY115" s="109">
        <f t="array" ref="AY115">'Fórmula'!C115*(INDEX(properties!A$1:CB$87,'Fórmula'!B115,13))+'Fórmula'!E115*(INDEX(properties!A$1:CB$87,'Fórmula'!D115,13))+'Fórmula'!G115*(INDEX(properties!A$1:CB$87,'Fórmula'!F115,13))+'Fórmula'!I115*(INDEX(properties!A$1:CB$87,'Fórmula'!H115,13))+'Fórmula'!K115*(INDEX(properties!A$1:CB$87,'Fórmula'!J115,13))</f>
        <v>9</v>
      </c>
      <c r="AZ115" s="109">
        <f t="array" ref="AZ115">VARP(IF(INDEX(properties!A$1:CB$87,'Fórmula'!B115,13)&lt;&gt;"",INDEX(properties!A$1:CB$87,'Fórmula'!B115,13)),IF(INDEX(properties!A$1:CB$87,'Fórmula'!D115,13)&lt;&gt;"",INDEX(properties!A$1:CB$87,'Fórmula'!D115,13)),IF(INDEX(properties!A$1:CB$87,'Fórmula'!F115,13)&lt;&gt;"",INDEX(properties!A$1:CB$87,'Fórmula'!F115,13)),IF(INDEX(properties!A$1:CB$87,'Fórmula'!H115,13)&lt;&gt;"",INDEX(properties!A$1:CB$87,'Fórmula'!H115,13)),IF(INDEX(properties!A$1:CB$87,'Fórmula'!J115,13)&lt;&gt;"",INDEX(properties!A$1:CB$87,'Fórmula'!J115,13)))</f>
        <v>2.4</v>
      </c>
      <c r="BA115" s="109">
        <f t="array" ref="BA115">MAX(INDEX(properties!A$1:CB$87,'Fórmula'!B115,13),INDEX(properties!A$1:CB$87,'Fórmula'!D115,13),INDEX(properties!A$1:CB$87,'Fórmula'!F115,13),INDEX(properties!A$1:CB$87,'Fórmula'!H115,13),INDEX(properties!A$1:CB$87,'Fórmula'!J115,13))</f>
        <v>4</v>
      </c>
      <c r="BB115" s="109">
        <f t="array" ref="BB115">MIN(IF('Fórmula'!B115=87,10^6,INDEX(properties!A$1:CB$87,'Fórmula'!B115,13)),IF(('Fórmula'!D115)=87,10^6,INDEX(properties!A$1:CB$87,'Fórmula'!D115,13)),IF(('Fórmula'!F115)=87,10^6,INDEX(properties!A$1:CB$87,'Fórmula'!F115,13)),IF(('Fórmula'!H115)=87,10^6,INDEX(properties!A$1:CB$87,'Fórmula'!H115,13)),IF('Fórmula'!J115=87,10^6,INDEX(properties!A$1:CB$87,'Fórmula'!J115,13)))</f>
        <v>0</v>
      </c>
      <c r="BC115" s="109">
        <f t="shared" si="9"/>
        <v>4</v>
      </c>
      <c r="BD115" s="110">
        <f t="array" ref="BD115">(('Fórmula'!C115)/('Fórmula'!C115+'Fórmula'!E115+'Fórmula'!G115+'Fórmula'!I115+'Fórmula'!K115))*(INDEX(properties!A$1:CB$87,'Fórmula'!B115,14))+(('Fórmula'!E115)/('Fórmula'!C115+'Fórmula'!E115+'Fórmula'!G115+'Fórmula'!I115+'Fórmula'!K115))*(INDEX(properties!A$1:CB$87,'Fórmula'!D115,14))+(('Fórmula'!G115)/('Fórmula'!C115+'Fórmula'!E115+'Fórmula'!G115+'Fórmula'!I115+'Fórmula'!K115))*(INDEX(properties!A$1:CB$87,'Fórmula'!F115,14))+(('Fórmula'!I115)/('Fórmula'!C115+'Fórmula'!E115+'Fórmula'!G115+'Fórmula'!I115+'Fórmula'!K115))*(INDEX(properties!A$1:CB$87,'Fórmula'!H115,14))+(('Fórmula'!K115)/('Fórmula'!C115+'Fórmula'!E115+'Fórmula'!G115+'Fórmula'!I115+'Fórmula'!K115))*(INDEX(properties!A$1:CB$87,'Fórmula'!J115,14))</f>
        <v>2.333333333</v>
      </c>
      <c r="BE115" s="110">
        <f t="array" ref="BE115">'Fórmula'!C115*(INDEX(properties!A$1:CB$87,'Fórmula'!B115,14))+'Fórmula'!E115*(INDEX(properties!A$1:CB$87,'Fórmula'!D115,14))+'Fórmula'!G115*(INDEX(properties!A$1:CB$87,'Fórmula'!F115,14))+'Fórmula'!I115*(INDEX(properties!A$1:CB$87,'Fórmula'!H115,14))+'Fórmula'!K115*(INDEX(properties!A$1:CB$87,'Fórmula'!J115,14))</f>
        <v>28</v>
      </c>
      <c r="BF115" s="110">
        <f t="array" ref="BF115">VARP(IF(INDEX(properties!A$1:CB$87,'Fórmula'!B115,14)&lt;&gt;"",INDEX(properties!A$1:CB$87,'Fórmula'!B115,14)),IF(INDEX(properties!A$1:CB$87,'Fórmula'!D115,14)&lt;&gt;"",INDEX(properties!A$1:CB$87,'Fórmula'!D115,14)),IF(INDEX(properties!A$1:CB$87,'Fórmula'!F115,14)&lt;&gt;"",INDEX(properties!A$1:CB$87,'Fórmula'!F115,14)),IF(INDEX(properties!A$1:CB$87,'Fórmula'!H115,14)&lt;&gt;"",INDEX(properties!A$1:CB$87,'Fórmula'!H115,14)),IF(INDEX(properties!A$1:CB$87,'Fórmula'!J115,14)&lt;&gt;"",INDEX(properties!A$1:CB$87,'Fórmula'!J115,14)))</f>
        <v>31.36</v>
      </c>
      <c r="BG115" s="110">
        <f t="array" ref="BG115">MAX(INDEX(properties!A$1:CB$87,'Fórmula'!B115,14),INDEX(properties!A$1:CB$87,'Fórmula'!D115,14),INDEX(properties!A$1:CB$87,'Fórmula'!F115,14),INDEX(properties!A$1:CB$87,'Fórmula'!H115,14),INDEX(properties!A$1:CB$87,'Fórmula'!J115,14))</f>
        <v>14</v>
      </c>
      <c r="BH115" s="110">
        <f t="array" ref="BH115">MIN(IF('Fórmula'!B115=87,10^6,INDEX(properties!A$1:CB$87,'Fórmula'!B115,14)),IF(('Fórmula'!D115)=87,10^6,INDEX(properties!A$1:CB$87,'Fórmula'!D115,14)),IF(('Fórmula'!F115)=87,10^6,INDEX(properties!A$1:CB$87,'Fórmula'!F115,14)),IF(('Fórmula'!H115)=87,10^6,INDEX(properties!A$1:CB$87,'Fórmula'!H115,14)),IF('Fórmula'!J115=87,10^6,INDEX(properties!A$1:CB$87,'Fórmula'!J115,14)))</f>
        <v>0</v>
      </c>
      <c r="BI115" s="110">
        <f t="shared" si="10"/>
        <v>14</v>
      </c>
      <c r="BJ115" s="111">
        <f t="array" ref="BJ115">(('Fórmula'!C115)/('Fórmula'!C115+'Fórmula'!E115+'Fórmula'!G115+'Fórmula'!I115+'Fórmula'!K115))*(INDEX(properties!A$1:CB$87,'Fórmula'!B115,19))+(('Fórmula'!E115)/('Fórmula'!C115+'Fórmula'!E115+'Fórmula'!G115+'Fórmula'!I115+'Fórmula'!K115))*(INDEX(properties!A$1:CB$87,'Fórmula'!D115,19))+(('Fórmula'!G115)/('Fórmula'!C115+'Fórmula'!E115+'Fórmula'!G115+'Fórmula'!I115+'Fórmula'!K115))*(INDEX(properties!A$1:CB$87,'Fórmula'!F115,19))+(('Fórmula'!I115)/('Fórmula'!C115+'Fórmula'!E115+'Fórmula'!G115+'Fórmula'!I115+'Fórmula'!K115))*(INDEX(properties!A$1:CB$87,'Fórmula'!H115,19))+(('Fórmula'!K115)/('Fórmula'!C115+'Fórmula'!E115+'Fórmula'!G115+'Fórmula'!I115+'Fórmula'!K115))*(INDEX(properties!A$1:CB$87,'Fórmula'!J115,19))</f>
        <v>7.666666667</v>
      </c>
      <c r="BK115" s="111">
        <f t="array" ref="BK115">'Fórmula'!C115*(INDEX(properties!A$1:CB$87,'Fórmula'!B115,19))+'Fórmula'!E115*(INDEX(properties!A$1:CB$87,'Fórmula'!D115,19))+'Fórmula'!G115*(INDEX(properties!A$1:CB$87,'Fórmula'!F115,19))+'Fórmula'!I115*(INDEX(properties!A$1:CB$87,'Fórmula'!H115,19))+'Fórmula'!K115*(INDEX(properties!A$1:CB$87,'Fórmula'!J115,19))</f>
        <v>92</v>
      </c>
      <c r="BL115" s="111">
        <f t="array" ref="BL115">VARP(IF(INDEX(properties!A$1:CB$87,'Fórmula'!B115,19)&lt;&gt;"",INDEX(properties!A$1:CB$87,'Fórmula'!B115,19)),IF(INDEX(properties!A$1:CB$87,'Fórmula'!D115,19)&lt;&gt;"",INDEX(properties!A$1:CB$87,'Fórmula'!D115,19)),IF(INDEX(properties!A$1:CB$87,'Fórmula'!F115,19)&lt;&gt;"",INDEX(properties!A$1:CB$87,'Fórmula'!F115,19)),IF(INDEX(properties!A$1:CB$87,'Fórmula'!H115,19)&lt;&gt;"",INDEX(properties!A$1:CB$87,'Fórmula'!H115,19)),IF(INDEX(properties!A$1:CB$87,'Fórmula'!J115,19)&lt;&gt;"",INDEX(properties!A$1:CB$87,'Fórmula'!J115,19)))</f>
        <v>53.2</v>
      </c>
      <c r="BM115" s="111">
        <f t="array" ref="BM115">MAX(INDEX(properties!A$1:CB$87,'Fórmula'!B115,19),INDEX(properties!A$1:CB$87,'Fórmula'!D115,19),INDEX(properties!A$1:CB$87,'Fórmula'!F115,19),INDEX(properties!A$1:CB$87,'Fórmula'!H115,19),INDEX(properties!A$1:CB$87,'Fórmula'!J115,19))</f>
        <v>20</v>
      </c>
      <c r="BN115" s="111">
        <f t="array" ref="BN115">MIN(IF(INDEX(properties!A$1:CB$87,'Fórmula'!B115,19)=0,10^6,INDEX(properties!A$1:CB$87,'Fórmula'!B115,19)),IF(INDEX(properties!A$1:CB$87,'Fórmula'!D115,19)=0,10^6,INDEX(properties!A$1:CB$87,'Fórmula'!D115,19)),IF(INDEX(properties!A$1:CB$87,'Fórmula'!F115,19)=0,10^6,INDEX(properties!A$1:CB$87,'Fórmula'!F115,19)),IF(INDEX(properties!A$1:CB$87,'Fórmula'!H115,19)=0,10^6,INDEX(properties!A$1:CB$87,'Fórmula'!H115,19)),IF(INDEX(properties!A$1:CB$87,'Fórmula'!J115,19)=0,10^6,INDEX(properties!A$1:CB$87,'Fórmula'!J115,19)))</f>
        <v>1</v>
      </c>
      <c r="BO115" s="111">
        <f t="shared" si="11"/>
        <v>19</v>
      </c>
      <c r="BP115" s="112">
        <f t="array" ref="BP115">(('Fórmula'!C115)/('Fórmula'!C115+'Fórmula'!E115+'Fórmula'!G115+'Fórmula'!I115+'Fórmula'!K115))*(INDEX(properties!A$1:CB$87,'Fórmula'!B115,20))+(('Fórmula'!E115)/('Fórmula'!C115+'Fórmula'!E115+'Fórmula'!G115+'Fórmula'!I115+'Fórmula'!K115))*(INDEX(properties!A$1:CB$87,'Fórmula'!D115,20))+(('Fórmula'!G115)/('Fórmula'!C115+'Fórmula'!E115+'Fórmula'!G115+'Fórmula'!I115+'Fórmula'!K115))*(INDEX(properties!A$1:CB$87,'Fórmula'!F115,20))+(('Fórmula'!I115)/('Fórmula'!C115+'Fórmula'!E115+'Fórmula'!G115+'Fórmula'!I115+'Fórmula'!K115))*(INDEX(properties!A$1:CB$87,'Fórmula'!H115,20))+(('Fórmula'!K115)/('Fórmula'!C115+'Fórmula'!E115+'Fórmula'!G115+'Fórmula'!I115+'Fórmula'!K115))*(INDEX(properties!A$1:CB$87,'Fórmula'!J115,20))</f>
        <v>4.583333333</v>
      </c>
      <c r="BQ115" s="112">
        <f t="array" ref="BQ115">'Fórmula'!C115*(INDEX(properties!A$1:CB$87,'Fórmula'!B115,20))+'Fórmula'!E115*(INDEX(properties!A$1:CB$87,'Fórmula'!D115,20))+'Fórmula'!G115*(INDEX(properties!A$1:CB$87,'Fórmula'!F115,20))+'Fórmula'!I115*(INDEX(properties!A$1:CB$87,'Fórmula'!H115,20))+'Fórmula'!K115*(INDEX(properties!A$1:CB$87,'Fórmula'!J115,20))</f>
        <v>55</v>
      </c>
      <c r="BR115" s="112">
        <f t="array" ref="BR115">VARP(IF(INDEX(properties!A$1:CB$87,'Fórmula'!B115,20)&lt;&gt;"",INDEX(properties!A$1:CB$87,'Fórmula'!B115,20)),IF(INDEX(properties!A$1:CB$87,'Fórmula'!D115,20)&lt;&gt;"",INDEX(properties!A$1:CB$87,'Fórmula'!D115,20)),IF(INDEX(properties!A$1:CB$87,'Fórmula'!F115,20)&lt;&gt;"",INDEX(properties!A$1:CB$87,'Fórmula'!F115,20)),IF(INDEX(properties!A$1:CB$87,'Fórmula'!H115,20)&lt;&gt;"",INDEX(properties!A$1:CB$87,'Fórmula'!H115,20)),IF(INDEX(properties!A$1:CB$87,'Fórmula'!J115,20)&lt;&gt;"",INDEX(properties!A$1:CB$87,'Fórmula'!J115,20)))</f>
        <v>4.16</v>
      </c>
      <c r="BS115" s="112">
        <f t="array" ref="BS115">MAX(INDEX(properties!A$1:CB$87,'Fórmula'!B115,20),INDEX(properties!A$1:CB$87,'Fórmula'!D115,20),INDEX(properties!A$1:CB$87,'Fórmula'!F115,20),INDEX(properties!A$1:CB$87,'Fórmula'!H115,20),INDEX(properties!A$1:CB$87,'Fórmula'!J115,20))</f>
        <v>6</v>
      </c>
      <c r="BT115" s="112">
        <f t="array" ref="BT115">MIN(IF(INDEX(properties!A$1:CB$87,'Fórmula'!B115,20)=0,10^6,INDEX(properties!A$1:CB$87,'Fórmula'!B115,20)),IF(INDEX(properties!A$1:CB$87,'Fórmula'!D115,20)=0,10^6,INDEX(properties!A$1:CB$87,'Fórmula'!D115,20)),IF(INDEX(properties!A$1:CB$87,'Fórmula'!F115,20)=0,10^6,INDEX(properties!A$1:CB$87,'Fórmula'!F115,20)),IF(INDEX(properties!A$1:CB$87,'Fórmula'!H115,20)=0,10^6,INDEX(properties!A$1:CB$87,'Fórmula'!H115,20)),IF(INDEX(properties!A$1:CB$87,'Fórmula'!J115,20)=0,10^6,INDEX(properties!A$1:CB$87,'Fórmula'!J115,20)))</f>
        <v>1</v>
      </c>
      <c r="BU115" s="112">
        <f t="shared" si="12"/>
        <v>5</v>
      </c>
      <c r="BV115" s="113">
        <f t="array" ref="BV115">(('Fórmula'!C115)/('Fórmula'!C115+'Fórmula'!E115+'Fórmula'!G115+'Fórmula'!I115+'Fórmula'!K115))*(INDEX(properties!A$1:CB$87,'Fórmula'!B115,21))+(('Fórmula'!E115)/('Fórmula'!C115+'Fórmula'!E115+'Fórmula'!G115+'Fórmula'!I115+'Fórmula'!K115))*(INDEX(properties!A$1:CB$87,'Fórmula'!D115,21))+(('Fórmula'!G115)/('Fórmula'!C115+'Fórmula'!E115+'Fórmula'!G115+'Fórmula'!I115+'Fórmula'!K115))*(INDEX(properties!A$1:CB$87,'Fórmula'!F115,21))+(('Fórmula'!I115)/('Fórmula'!C115+'Fórmula'!E115+'Fórmula'!G115+'Fórmula'!I115+'Fórmula'!K115))*(INDEX(properties!A$1:CB$87,'Fórmula'!H115,21))+(('Fórmula'!K115)/('Fórmula'!C115+'Fórmula'!E115+'Fórmula'!G115+'Fórmula'!I115+'Fórmula'!K115))*(INDEX(properties!A$1:CB$87,'Fórmula'!J115,21))</f>
        <v>4.833333333</v>
      </c>
      <c r="BW115" s="113">
        <f t="array" ref="BW115">'Fórmula'!C115*(INDEX(properties!A$1:CB$87,'Fórmula'!B115,21))+'Fórmula'!E115*(INDEX(properties!A$1:CB$87,'Fórmula'!D115,21))+'Fórmula'!G115*(INDEX(properties!A$1:CB$87,'Fórmula'!F115,21))+'Fórmula'!I115*(INDEX(properties!A$1:CB$87,'Fórmula'!H115,21))+'Fórmula'!K115*(INDEX(properties!A$1:CB$87,'Fórmula'!J115,21))</f>
        <v>58</v>
      </c>
      <c r="BX115" s="113">
        <f t="array" ref="BX115">VARP(IF(INDEX(properties!A$1:CB$87,'Fórmula'!B115,21)&lt;&gt;"",INDEX(properties!A$1:CB$87,'Fórmula'!B115,21)),IF(INDEX(properties!A$1:CB$87,'Fórmula'!D115,21)&lt;&gt;"",INDEX(properties!A$1:CB$87,'Fórmula'!D115,21)),IF(INDEX(properties!A$1:CB$87,'Fórmula'!F115,21)&lt;&gt;"",INDEX(properties!A$1:CB$87,'Fórmula'!F115,21)),IF(INDEX(properties!A$1:CB$87,'Fórmula'!H115,21)&lt;&gt;"",INDEX(properties!A$1:CB$87,'Fórmula'!H115,21)),IF(INDEX(properties!A$1:CB$87,'Fórmula'!J115,21)&lt;&gt;"",INDEX(properties!A$1:CB$87,'Fórmula'!J115,21)))</f>
        <v>5.04</v>
      </c>
      <c r="BY115" s="113">
        <f t="array" ref="BY115">MAX(INDEX(properties!A$1:CB$87,'Fórmula'!B115,21),INDEX(properties!A$1:CB$87,'Fórmula'!D115,21),INDEX(properties!A$1:CB$87,'Fórmula'!F115,21),INDEX(properties!A$1:CB$87,'Fórmula'!H115,21),INDEX(properties!A$1:CB$87,'Fórmula'!J115,21))</f>
        <v>6</v>
      </c>
      <c r="BZ115" s="113">
        <f t="array" ref="BZ115">MIN(IF(INDEX(properties!A$1:CB$87,'Fórmula'!B115,21)=0,10^6,INDEX(properties!A$1:CB$87,'Fórmula'!B115,21)),IF(INDEX(properties!A$1:CB$87,'Fórmula'!D115,21)=0,10^6,INDEX(properties!A$1:CB$87,'Fórmula'!D115,21)),IF(INDEX(properties!A$1:CB$87,'Fórmula'!F115,21)=0,10^6,INDEX(properties!A$1:CB$87,'Fórmula'!F115,21)),IF(INDEX(properties!A$1:CB$87,'Fórmula'!H115,21)=0,10^6,INDEX(properties!A$1:CB$87,'Fórmula'!H115,21)),IF(INDEX(properties!A$1:CB$87,'Fórmula'!J115,21)=0,10^6,INDEX(properties!A$1:CB$87,'Fórmula'!J115,21)))</f>
        <v>1</v>
      </c>
      <c r="CA115" s="113">
        <f t="shared" si="13"/>
        <v>5</v>
      </c>
      <c r="CB115" s="114">
        <f t="array" ref="CB115">(('Fórmula'!C115)/('Fórmula'!C115+'Fórmula'!E115+'Fórmula'!G115+'Fórmula'!I115+'Fórmula'!K115))*(INDEX(properties!A$1:CB$87,'Fórmula'!B115,23))+(('Fórmula'!E115)/('Fórmula'!C115+'Fórmula'!E115+'Fórmula'!G115+'Fórmula'!I115+'Fórmula'!K115))*(INDEX(properties!A$1:CB$87,'Fórmula'!D115,23))+(('Fórmula'!G115)/('Fórmula'!C115+'Fórmula'!E115+'Fórmula'!G115+'Fórmula'!I115+'Fórmula'!K115))*(INDEX(properties!A$1:CB$87,'Fórmula'!F115,23))+(('Fórmula'!I115)/('Fórmula'!C115+'Fórmula'!E115+'Fórmula'!G115+'Fórmula'!I115+'Fórmula'!K115))*(INDEX(properties!A$1:CB$87,'Fórmula'!H115,23))+(('Fórmula'!K115)/('Fórmula'!C115+'Fórmula'!E115+'Fórmula'!G115+'Fórmula'!I115+'Fórmula'!K115))*(INDEX(properties!A$1:CB$87,'Fórmula'!J115,23))</f>
        <v>1.296666667</v>
      </c>
      <c r="CC115" s="114">
        <f t="array" ref="CC115">'Fórmula'!C115*(INDEX(properties!A$1:CB$87,'Fórmula'!B115,23))+'Fórmula'!E115*(INDEX(properties!A$1:CB$87,'Fórmula'!D115,23))+'Fórmula'!G115*(INDEX(properties!A$1:CB$87,'Fórmula'!F115,23))+'Fórmula'!I115*(INDEX(properties!A$1:CB$87,'Fórmula'!H115,23))+'Fórmula'!K115*(INDEX(properties!A$1:CB$87,'Fórmula'!J115,23))</f>
        <v>15.56</v>
      </c>
      <c r="CD115" s="114">
        <f t="array" ref="CD115">VARP(IF(INDEX(properties!A$1:CB$87,'Fórmula'!B115,23)&lt;&gt;"",INDEX(properties!A$1:CB$87,'Fórmula'!B115,23)),IF(INDEX(properties!A$1:CB$87,'Fórmula'!D115,23)&lt;&gt;"",INDEX(properties!A$1:CB$87,'Fórmula'!D115,23)),IF(INDEX(properties!A$1:CB$87,'Fórmula'!F115,23)&lt;&gt;"",INDEX(properties!A$1:CB$87,'Fórmula'!F115,23)),IF(INDEX(properties!A$1:CB$87,'Fórmula'!H115,23)&lt;&gt;"",INDEX(properties!A$1:CB$87,'Fórmula'!H115,23)),IF(INDEX(properties!A$1:CB$87,'Fórmula'!J115,23)&lt;&gt;"",INDEX(properties!A$1:CB$87,'Fórmula'!J115,23)))</f>
        <v>4.855744</v>
      </c>
      <c r="CE115" s="114">
        <f t="array" ref="CE115">MAX(INDEX(properties!A$1:CB$87,'Fórmula'!B115,23),INDEX(properties!A$1:CB$87,'Fórmula'!D115,23),INDEX(properties!A$1:CB$87,'Fórmula'!F115,23),INDEX(properties!A$1:CB$87,'Fórmula'!H115,23),INDEX(properties!A$1:CB$87,'Fórmula'!J115,23))</f>
        <v>5.78</v>
      </c>
      <c r="CF115" s="114">
        <f t="array" ref="CF115">MIN(IF('Fórmula'!B115=87,10^6,INDEX(properties!A$1:CB$87,'Fórmula'!B115,23)),IF(('Fórmula'!D115)=87,10^6,INDEX(properties!A$1:CB$87,'Fórmula'!D115,23)),IF(('Fórmula'!F115)=87,10^6,INDEX(properties!A$1:CB$87,'Fórmula'!F115,23)),IF(('Fórmula'!H115)=87,10^6,INDEX(properties!A$1:CB$87,'Fórmula'!H115,23)),IF('Fórmula'!J115=87,10^6,INDEX(properties!A$1:CB$87,'Fórmula'!J115,23)))</f>
        <v>0</v>
      </c>
      <c r="CG115" s="114">
        <f t="shared" si="14"/>
        <v>5.78</v>
      </c>
      <c r="CH115" s="115">
        <f t="array" ref="CH115">(('Fórmula'!C115)/('Fórmula'!C115+'Fórmula'!E115+'Fórmula'!G115+'Fórmula'!I115+'Fórmula'!K115))*(INDEX(properties!A$1:CB$87,'Fórmula'!B115,26))+(('Fórmula'!E115)/('Fórmula'!C115+'Fórmula'!E115+'Fórmula'!G115+'Fórmula'!I115+'Fórmula'!K115))*(INDEX(properties!A$1:CB$87,'Fórmula'!D115,26))+(('Fórmula'!G115)/('Fórmula'!C115+'Fórmula'!E115+'Fórmula'!G115+'Fórmula'!I115+'Fórmula'!K115))*(INDEX(properties!A$1:CB$87,'Fórmula'!F115,26))+(('Fórmula'!I115)/('Fórmula'!C115+'Fórmula'!E115+'Fórmula'!G115+'Fórmula'!I115+'Fórmula'!K115))*(INDEX(properties!A$1:CB$87,'Fórmula'!H115,26))+(('Fórmula'!K115)/('Fórmula'!C115+'Fórmula'!E115+'Fórmula'!G115+'Fórmula'!I115+'Fórmula'!K115))*(INDEX(properties!A$1:CB$87,'Fórmula'!J115,26))</f>
        <v>11.33576667</v>
      </c>
      <c r="CI115" s="115">
        <f t="array" ref="CI115">'Fórmula'!C115*(INDEX(properties!A$1:CB$87,'Fórmula'!B115,26))+'Fórmula'!E115*(INDEX(properties!A$1:CB$87,'Fórmula'!D115,26))+'Fórmula'!G115*(INDEX(properties!A$1:CB$87,'Fórmula'!F115,26))+'Fórmula'!I115*(INDEX(properties!A$1:CB$87,'Fórmula'!H115,26))+'Fórmula'!K115*(INDEX(properties!A$1:CB$87,'Fórmula'!J115,26))</f>
        <v>136.0292</v>
      </c>
      <c r="CJ115" s="115">
        <f t="array" ref="CJ115">VARP(IF(INDEX(properties!A$1:CB$87,'Fórmula'!B115,26)&lt;&gt;"",INDEX(properties!A$1:CB$87,'Fórmula'!B115,26)),IF(INDEX(properties!A$1:CB$87,'Fórmula'!D115,26)&lt;&gt;"",INDEX(properties!A$1:CB$87,'Fórmula'!D115,26)),IF(INDEX(properties!A$1:CB$87,'Fórmula'!F115,26)&lt;&gt;"",INDEX(properties!A$1:CB$87,'Fórmula'!F115,26)),IF(INDEX(properties!A$1:CB$87,'Fórmula'!H115,26)&lt;&gt;"",INDEX(properties!A$1:CB$87,'Fórmula'!H115,26)),IF(INDEX(properties!A$1:CB$87,'Fórmula'!J115,26)&lt;&gt;"",INDEX(properties!A$1:CB$87,'Fórmula'!J115,26)))</f>
        <v>19.33737905</v>
      </c>
      <c r="CK115" s="116">
        <f t="array" ref="CK115">MAX(INDEX(properties!A$1:CB$87,'Fórmula'!B115,26),INDEX(properties!A$1:CB$87,'Fórmula'!D115,26),INDEX(properties!A$1:CB$87,'Fórmula'!F115,26),INDEX(properties!A$1:CB$87,'Fórmula'!H115,26),INDEX(properties!A$1:CB$87,'Fórmula'!J115,26))</f>
        <v>13.6181</v>
      </c>
      <c r="CL115" s="116">
        <f t="array" ref="CL115">MIN(IF(INDEX(properties!A$1:CB$87,'Fórmula'!B115,26)=0,10^6,INDEX(properties!A$1:CB$87,'Fórmula'!B115,26)),IF(INDEX(properties!A$1:CB$87,'Fórmula'!D115,26)=0,10^6,INDEX(properties!A$1:CB$87,'Fórmula'!D115,26)),IF(INDEX(properties!A$1:CB$87,'Fórmula'!F115,26)=0,10^6,INDEX(properties!A$1:CB$87,'Fórmula'!F115,26)),IF(INDEX(properties!A$1:CB$87,'Fórmula'!H115,26)=0,10^6,INDEX(properties!A$1:CB$87,'Fórmula'!H115,26)),IF(INDEX(properties!A$1:CB$87,'Fórmula'!J115,26)=0,10^6,INDEX(properties!A$1:CB$87,'Fórmula'!J115,26)))</f>
        <v>5.1391</v>
      </c>
      <c r="CM115" s="115">
        <f t="shared" si="15"/>
        <v>8.479</v>
      </c>
      <c r="CN115" s="117">
        <f t="array" ref="CN115">(('Fórmula'!C115)/('Fórmula'!C115+'Fórmula'!E115+'Fórmula'!G115+'Fórmula'!I115+'Fórmula'!K115))*(INDEX(properties!A$1:CB$87,'Fórmula'!B115,30))+(('Fórmula'!E115)/('Fórmula'!C115+'Fórmula'!E115+'Fórmula'!G115+'Fórmula'!I115+'Fórmula'!K115))*(INDEX(properties!A$1:CB$87,'Fórmula'!D115,30))+(('Fórmula'!G115)/('Fórmula'!C115+'Fórmula'!E115+'Fórmula'!G115+'Fórmula'!I115+'Fórmula'!K115))*(INDEX(properties!A$1:CB$87,'Fórmula'!F115,30))+(('Fórmula'!I115)/('Fórmula'!C115+'Fórmula'!E115+'Fórmula'!G115+'Fórmula'!I115+'Fórmula'!K115))*(INDEX(properties!A$1:CB$87,'Fórmula'!H115,30))+(('Fórmula'!K115)/('Fórmula'!C115+'Fórmula'!E115+'Fórmula'!G115+'Fórmula'!I115+'Fórmula'!K115))*(INDEX(properties!A$1:CB$87,'Fórmula'!J115,30))</f>
        <v>2.865833333</v>
      </c>
      <c r="CO115" s="117">
        <f t="array" ref="CO115">'Fórmula'!C115*(INDEX(properties!A$1:CB$87,'Fórmula'!B115,30))+'Fórmula'!E115*(INDEX(properties!A$1:CB$87,'Fórmula'!D115,30))+'Fórmula'!G115*(INDEX(properties!A$1:CB$87,'Fórmula'!F115,30))+'Fórmula'!I115*(INDEX(properties!A$1:CB$87,'Fórmula'!H115,30))+'Fórmula'!K115*(INDEX(properties!A$1:CB$87,'Fórmula'!J115,30))</f>
        <v>34.39</v>
      </c>
      <c r="CP115" s="117">
        <f t="array" ref="CP115">VARP(IF(INDEX(properties!A$1:CB$87,'Fórmula'!B115,30)&lt;&gt;"",INDEX(properties!A$1:CB$87,'Fórmula'!B115,30)),IF(INDEX(properties!A$1:CB$87,'Fórmula'!D115,30)&lt;&gt;"",INDEX(properties!A$1:CB$87,'Fórmula'!D115,30)),IF(INDEX(properties!A$1:CB$87,'Fórmula'!F115,30)&lt;&gt;"",INDEX(properties!A$1:CB$87,'Fórmula'!F115,30)),IF(INDEX(properties!A$1:CB$87,'Fórmula'!H115,30)&lt;&gt;"",INDEX(properties!A$1:CB$87,'Fórmula'!H115,30)),IF(INDEX(properties!A$1:CB$87,'Fórmula'!J115,30)&lt;&gt;"",INDEX(properties!A$1:CB$87,'Fórmula'!J115,30)))</f>
        <v>1.4232</v>
      </c>
      <c r="CQ115" s="117">
        <f t="array" ref="CQ115">MAX(INDEX(properties!A$1:CB$87,'Fórmula'!B115,30),INDEX(properties!A$1:CB$87,'Fórmula'!D115,30),INDEX(properties!A$1:CB$87,'Fórmula'!F115,30),INDEX(properties!A$1:CB$87,'Fórmula'!H115,30),INDEX(properties!A$1:CB$87,'Fórmula'!J115,30))</f>
        <v>3.44</v>
      </c>
      <c r="CR115" s="117">
        <f t="array" ref="CR115">MIN(IF(INDEX(properties!A$1:CB$87,'Fórmula'!B115,30)=0,10^6,INDEX(properties!A$1:CB$87,'Fórmula'!B115,30)),IF(INDEX(properties!A$1:CB$87,'Fórmula'!D115,30)=0,10^6,INDEX(properties!A$1:CB$87,'Fórmula'!D115,30)),IF(INDEX(properties!A$1:CB$87,'Fórmula'!F115,30)=0,10^6,INDEX(properties!A$1:CB$87,'Fórmula'!F115,30)),IF(INDEX(properties!A$1:CB$87,'Fórmula'!H115,30)=0,10^6,INDEX(properties!A$1:CB$87,'Fórmula'!H115,30)),IF(INDEX(properties!A$1:CB$87,'Fórmula'!J115,30)=0,10^6,INDEX(properties!A$1:CB$87,'Fórmula'!J115,30)))</f>
        <v>0.93</v>
      </c>
      <c r="CS115" s="117">
        <f t="shared" si="16"/>
        <v>2.51</v>
      </c>
      <c r="CT115" s="118">
        <f t="array" ref="CT115">(('Fórmula'!C115)/('Fórmula'!C115+'Fórmula'!E115+'Fórmula'!G115+'Fórmula'!I115+'Fórmula'!K115))*(INDEX(properties!A$1:CB$87,'Fórmula'!B115,31))+(('Fórmula'!E115)/('Fórmula'!C115+'Fórmula'!E115+'Fórmula'!G115+'Fórmula'!I115+'Fórmula'!K115))*(INDEX(properties!A$1:CB$87,'Fórmula'!D115,31))+(('Fórmula'!G115)/('Fórmula'!C115+'Fórmula'!E115+'Fórmula'!G115+'Fórmula'!I115+'Fórmula'!K115))*(INDEX(properties!A$1:CB$87,'Fórmula'!F115,31))+(('Fórmula'!I115)/('Fórmula'!C115+'Fórmula'!E115+'Fórmula'!G115+'Fórmula'!I115+'Fórmula'!K115))*(INDEX(properties!A$1:CB$87,'Fórmula'!H115,31))+(('Fórmula'!K115)/('Fórmula'!C115+'Fórmula'!E115+'Fórmula'!G115+'Fórmula'!I115+'Fórmula'!K115))*(INDEX(properties!A$1:CB$87,'Fórmula'!J115,31))</f>
        <v>2.703333333</v>
      </c>
      <c r="CU115" s="118">
        <f t="array" ref="CU115">'Fórmula'!C115*(INDEX(properties!A$1:CB$87,'Fórmula'!B115,31))+'Fórmula'!E115*(INDEX(properties!A$1:CB$87,'Fórmula'!D115,31))+'Fórmula'!G115*(INDEX(properties!A$1:CB$87,'Fórmula'!F115,31))+'Fórmula'!I115*(INDEX(properties!A$1:CB$87,'Fórmula'!H115,31))+'Fórmula'!K115*(INDEX(properties!A$1:CB$87,'Fórmula'!J115,31))</f>
        <v>32.44</v>
      </c>
      <c r="CV115" s="118">
        <f t="array" ref="CV115">VARP(IF(INDEX(properties!A$1:CB$87,'Fórmula'!B115,31)&lt;&gt;"",INDEX(properties!A$1:CB$87,'Fórmula'!B115,31)),IF(INDEX(properties!A$1:CB$87,'Fórmula'!D115,31)&lt;&gt;"",INDEX(properties!A$1:CB$87,'Fórmula'!D115,31)),IF(INDEX(properties!A$1:CB$87,'Fórmula'!F115,31)&lt;&gt;"",INDEX(properties!A$1:CB$87,'Fórmula'!F115,31)),IF(INDEX(properties!A$1:CB$87,'Fórmula'!H115,31)&lt;&gt;"",INDEX(properties!A$1:CB$87,'Fórmula'!H115,31)),IF(INDEX(properties!A$1:CB$87,'Fórmula'!J115,31)&lt;&gt;"",INDEX(properties!A$1:CB$87,'Fórmula'!J115,31)))</f>
        <v>1.205016</v>
      </c>
      <c r="CW115" s="118">
        <f t="array" ref="CW115">MAX(INDEX(properties!A$1:CB$87,'Fórmula'!B115,31),INDEX(properties!A$1:CB$87,'Fórmula'!D115,31),INDEX(properties!A$1:CB$87,'Fórmula'!F115,31),INDEX(properties!A$1:CB$87,'Fórmula'!H115,31),INDEX(properties!A$1:CB$87,'Fórmula'!J115,31))</f>
        <v>3.32</v>
      </c>
      <c r="CX115" s="118">
        <f t="array" ref="CX115">MIN(IF(INDEX(properties!A$1:CB$87,'Fórmula'!B115,31)=0,10^6,INDEX(properties!A$1:CB$87,'Fórmula'!B115,31)),IF(INDEX(properties!A$1:CB$87,'Fórmula'!D115,31)=0,10^6,INDEX(properties!A$1:CB$87,'Fórmula'!D115,31)),IF(INDEX(properties!A$1:CB$87,'Fórmula'!F115,31)=0,10^6,INDEX(properties!A$1:CB$87,'Fórmula'!F115,31)),IF(INDEX(properties!A$1:CB$87,'Fórmula'!H115,31)=0,10^6,INDEX(properties!A$1:CB$87,'Fórmula'!H115,31)),IF(INDEX(properties!A$1:CB$87,'Fórmula'!J115,31)=0,10^6,INDEX(properties!A$1:CB$87,'Fórmula'!J115,31)))</f>
        <v>0.89</v>
      </c>
      <c r="CY115" s="118">
        <f t="shared" si="17"/>
        <v>2.43</v>
      </c>
      <c r="CZ115" s="119">
        <f t="array" ref="CZ115">(('Fórmula'!C115)/('Fórmula'!C115+'Fórmula'!E115+'Fórmula'!G115+'Fórmula'!I115+'Fórmula'!K115))*(INDEX(properties!A$1:CB$87,'Fórmula'!B115,32))+(('Fórmula'!E115)/('Fórmula'!C115+'Fórmula'!E115+'Fórmula'!G115+'Fórmula'!I115+'Fórmula'!K115))*(INDEX(properties!A$1:CB$87,'Fórmula'!D115,32))+(('Fórmula'!G115)/('Fórmula'!C115+'Fórmula'!E115+'Fórmula'!G115+'Fórmula'!I115+'Fórmula'!K115))*(INDEX(properties!A$1:CB$87,'Fórmula'!F115,32))+(('Fórmula'!I115)/('Fórmula'!C115+'Fórmula'!E115+'Fórmula'!G115+'Fórmula'!I115+'Fórmula'!K115))*(INDEX(properties!A$1:CB$87,'Fórmula'!H115,32))+(('Fórmula'!K115)/('Fórmula'!C115+'Fórmula'!E115+'Fórmula'!G115+'Fórmula'!I115+'Fórmula'!K115))*(INDEX(properties!A$1:CB$87,'Fórmula'!J115,32))</f>
        <v>6.263333333</v>
      </c>
      <c r="DA115" s="119">
        <f t="array" ref="DA115">'Fórmula'!C115*(INDEX(properties!A$1:CB$87,'Fórmula'!B115,32))+'Fórmula'!E115*(INDEX(properties!A$1:CB$87,'Fórmula'!D115,32))+'Fórmula'!G115*(INDEX(properties!A$1:CB$87,'Fórmula'!F115,32))+'Fórmula'!I115*(INDEX(properties!A$1:CB$87,'Fórmula'!H115,32))+'Fórmula'!K115*(INDEX(properties!A$1:CB$87,'Fórmula'!J115,32))</f>
        <v>75.16</v>
      </c>
      <c r="DB115" s="119">
        <f t="array" ref="DB115">VARP(IF(INDEX(properties!A$1:CB$87,'Fórmula'!B115,32)&lt;&gt;"",INDEX(properties!A$1:CB$87,'Fórmula'!B115,32)),IF(INDEX(properties!A$1:CB$87,'Fórmula'!D115,32)&lt;&gt;"",INDEX(properties!A$1:CB$87,'Fórmula'!D115,32)),IF(INDEX(properties!A$1:CB$87,'Fórmula'!F115,32)&lt;&gt;"",INDEX(properties!A$1:CB$87,'Fórmula'!F115,32)),IF(INDEX(properties!A$1:CB$87,'Fórmula'!H115,32)&lt;&gt;"",INDEX(properties!A$1:CB$87,'Fórmula'!H115,32)),IF(INDEX(properties!A$1:CB$87,'Fórmula'!J115,32)&lt;&gt;"",INDEX(properties!A$1:CB$87,'Fórmula'!J115,32)))</f>
        <v>5.970824</v>
      </c>
      <c r="DC115" s="119">
        <f t="array" ref="DC115">MAX(INDEX(properties!A$1:CB$87,'Fórmula'!B115,32),INDEX(properties!A$1:CB$87,'Fórmula'!D115,32),INDEX(properties!A$1:CB$87,'Fórmula'!F115,32),INDEX(properties!A$1:CB$87,'Fórmula'!H115,32),INDEX(properties!A$1:CB$87,'Fórmula'!J115,32))</f>
        <v>7.54</v>
      </c>
      <c r="DD115" s="119">
        <f t="array" ref="DD115">MIN(IF(INDEX(properties!A$1:CB$87,'Fórmula'!B115,32)=0,10^6,INDEX(properties!A$1:CB$87,'Fórmula'!B115,32)),IF(INDEX(properties!A$1:CB$87,'Fórmula'!D115,32)=0,10^6,INDEX(properties!A$1:CB$87,'Fórmula'!D115,32)),IF(INDEX(properties!A$1:CB$87,'Fórmula'!F115,32)=0,10^6,INDEX(properties!A$1:CB$87,'Fórmula'!F115,32)),IF(INDEX(properties!A$1:CB$87,'Fórmula'!H115,32)=0,10^6,INDEX(properties!A$1:CB$87,'Fórmula'!H115,32)),IF(INDEX(properties!A$1:CB$87,'Fórmula'!J115,32)=0,10^6,INDEX(properties!A$1:CB$87,'Fórmula'!J115,32)))</f>
        <v>2.85</v>
      </c>
      <c r="DE115" s="119">
        <f t="shared" si="18"/>
        <v>4.69</v>
      </c>
      <c r="DF115" s="104">
        <f t="array" ref="DF115">(('Fórmula'!C115)/('Fórmula'!C115+'Fórmula'!E115+'Fórmula'!G115+'Fórmula'!I115+'Fórmula'!K115))*(INDEX(properties!A$1:CB$87,'Fórmula'!B115,34))+(('Fórmula'!E115)/('Fórmula'!C115+'Fórmula'!E115+'Fórmula'!G115+'Fórmula'!I115+'Fórmula'!K115))*(INDEX(properties!A$1:CB$87,'Fórmula'!D115,34))+(('Fórmula'!G115)/('Fórmula'!C115+'Fórmula'!E115+'Fórmula'!G115+'Fórmula'!I115+'Fórmula'!K115))*(INDEX(properties!A$1:CB$87,'Fórmula'!F115,34))+(('Fórmula'!I115)/('Fórmula'!C115+'Fórmula'!E115+'Fórmula'!G115+'Fórmula'!I115+'Fórmula'!K115))*(INDEX(properties!A$1:CB$87,'Fórmula'!H115,34))+(('Fórmula'!K115)/('Fórmula'!C115+'Fórmula'!E115+'Fórmula'!G115+'Fórmula'!I115+'Fórmula'!K115))*(INDEX(properties!A$1:CB$87,'Fórmula'!J115,34))</f>
        <v>2.817416667</v>
      </c>
      <c r="DG115" s="104">
        <f t="array" ref="DG115">'Fórmula'!C115*(INDEX(properties!A$1:CB$87,'Fórmula'!B115,34))+'Fórmula'!E115*(INDEX(properties!A$1:CB$87,'Fórmula'!D115,34))+'Fórmula'!G115*(INDEX(properties!A$1:CB$87,'Fórmula'!F115,34))+'Fórmula'!I115*(INDEX(properties!A$1:CB$87,'Fórmula'!H115,34))+'Fórmula'!K115*(INDEX(properties!A$1:CB$87,'Fórmula'!J115,34))</f>
        <v>33.809</v>
      </c>
      <c r="DH115" s="104">
        <f t="array" ref="DH115">VARP(IF(INDEX(properties!A$1:CB$87,'Fórmula'!B115,34)&lt;&gt;"",INDEX(properties!A$1:CB$87,'Fórmula'!B115,34)),IF(INDEX(properties!A$1:CB$87,'Fórmula'!D115,34)&lt;&gt;"",INDEX(properties!A$1:CB$87,'Fórmula'!D115,34)),IF(INDEX(properties!A$1:CB$87,'Fórmula'!F115,34)&lt;&gt;"",INDEX(properties!A$1:CB$87,'Fórmula'!F115,34)),IF(INDEX(properties!A$1:CB$87,'Fórmula'!H115,34)&lt;&gt;"",INDEX(properties!A$1:CB$87,'Fórmula'!H115,34)),IF(INDEX(properties!A$1:CB$87,'Fórmula'!J115,34)&lt;&gt;"",INDEX(properties!A$1:CB$87,'Fórmula'!J115,34)))</f>
        <v>1.44168176</v>
      </c>
      <c r="DI115" s="104">
        <f t="array" ref="DI115">MAX(INDEX(properties!A$1:CB$87,'Fórmula'!B115,34),INDEX(properties!A$1:CB$87,'Fórmula'!D115,34),INDEX(properties!A$1:CB$87,'Fórmula'!F115,34),INDEX(properties!A$1:CB$87,'Fórmula'!H115,34),INDEX(properties!A$1:CB$87,'Fórmula'!J115,34))</f>
        <v>3.61</v>
      </c>
      <c r="DJ115" s="104">
        <f t="array" ref="DJ115">MIN(IF(INDEX(properties!A$1:CB$87,'Fórmula'!B115,34)=0,10^6,INDEX(properties!A$1:CB$87,'Fórmula'!B115,34)),IF(INDEX(properties!A$1:CB$87,'Fórmula'!D115,34)=0,10^6,INDEX(properties!A$1:CB$87,'Fórmula'!D115,34)),IF(INDEX(properties!A$1:CB$87,'Fórmula'!F115,34)=0,10^6,INDEX(properties!A$1:CB$87,'Fórmula'!F115,34)),IF(INDEX(properties!A$1:CB$87,'Fórmula'!H115,34)=0,10^6,INDEX(properties!A$1:CB$87,'Fórmula'!H115,34)),IF(INDEX(properties!A$1:CB$87,'Fórmula'!J115,34)=0,10^6,INDEX(properties!A$1:CB$87,'Fórmula'!J115,34)))</f>
        <v>0.869</v>
      </c>
      <c r="DK115" s="104">
        <f t="shared" si="19"/>
        <v>2.741</v>
      </c>
      <c r="DL115" s="105" t="str">
        <f t="array" ref="DL115">(('Fórmula'!C115)/('Fórmula'!C115+'Fórmula'!E115+'Fórmula'!G115+'Fórmula'!I115+'Fórmula'!K115))*(INDEX(properties!A$1:CB$87,'Fórmula'!B115,37))+(('Fórmula'!E115)/('Fórmula'!C115+'Fórmula'!E115+'Fórmula'!G115+'Fórmula'!I115+'Fórmula'!K115))*(INDEX(properties!A$1:CB$87,'Fórmula'!D115,37))+(('Fórmula'!G115)/('Fórmula'!C115+'Fórmula'!E115+'Fórmula'!G115+'Fórmula'!I115+'Fórmula'!K115))*(INDEX(properties!A$1:CB$87,'Fórmula'!F115,37))+(('Fórmula'!I115)/('Fórmula'!C115+'Fórmula'!E115+'Fórmula'!G115+'Fórmula'!I115+'Fórmula'!K115))*(INDEX(properties!A$1:CB$87,'Fórmula'!H115,37))+(('Fórmula'!K115)/('Fórmula'!C115+'Fórmula'!E115+'Fórmula'!G115+'Fórmula'!I115+'Fórmula'!K115))*(INDEX(properties!A$1:CB$87,'Fórmula'!J115,37))</f>
        <v>#VALUE!</v>
      </c>
      <c r="DM115" s="105" t="str">
        <f t="array" ref="DM115">'Fórmula'!C115*(INDEX(properties!A$1:CB$87,'Fórmula'!B115,37))+'Fórmula'!E115*(INDEX(properties!A$1:CB$87,'Fórmula'!D115,37))+'Fórmula'!G115*(INDEX(properties!A$1:CB$87,'Fórmula'!F115,37))+'Fórmula'!I115*(INDEX(properties!A$1:CB$87,'Fórmula'!H115,37))+'Fórmula'!K115*(INDEX(properties!A$1:CB$87,'Fórmula'!J115,37))</f>
        <v>#VALUE!</v>
      </c>
      <c r="DN115" s="105">
        <f t="array" ref="DN115">VARP(IF(INDEX(properties!A$1:CB$87,'Fórmula'!B115,37)&lt;&gt;"",INDEX(properties!A$1:CB$87,'Fórmula'!B115,37)),IF(INDEX(properties!A$1:CB$87,'Fórmula'!D115,37)&lt;&gt;"",INDEX(properties!A$1:CB$87,'Fórmula'!D115,37)),IF(INDEX(properties!A$1:CB$87,'Fórmula'!F115,37)&lt;&gt;"",INDEX(properties!A$1:CB$87,'Fórmula'!F115,37)),IF(INDEX(properties!A$1:CB$87,'Fórmula'!H115,37)&lt;&gt;"",INDEX(properties!A$1:CB$87,'Fórmula'!H115,37)),IF(INDEX(properties!A$1:CB$87,'Fórmula'!J115,37)&lt;&gt;"",INDEX(properties!A$1:CB$87,'Fórmula'!J115,37)))</f>
        <v>1.60546875</v>
      </c>
      <c r="DO115" s="105">
        <f t="array" ref="DO115">MAX(INDEX(properties!A$1:CB$87,'Fórmula'!B115,37),INDEX(properties!A$1:CB$87,'Fórmula'!D115,37),INDEX(properties!A$1:CB$87,'Fórmula'!F115,37),INDEX(properties!A$1:CB$87,'Fórmula'!H115,37),INDEX(properties!A$1:CB$87,'Fórmula'!J115,37))</f>
        <v>3.45</v>
      </c>
      <c r="DP115" s="105">
        <f t="array" ref="DP115">MIN(IF(INDEX(properties!A$1:CB$87,'Fórmula'!B115,37)=0,10^6,INDEX(properties!A$1:CB$87,'Fórmula'!B115,37)),IF(INDEX(properties!A$1:CB$87,'Fórmula'!D115,37)=0,10^6,INDEX(properties!A$1:CB$87,'Fórmula'!D115,37)),IF(INDEX(properties!A$1:CB$87,'Fórmula'!F115,37)=0,10^6,INDEX(properties!A$1:CB$87,'Fórmula'!F115,37)),IF(INDEX(properties!A$1:CB$87,'Fórmula'!H115,37)=0,10^6,INDEX(properties!A$1:CB$87,'Fórmula'!H115,37)),IF(INDEX(properties!A$1:CB$87,'Fórmula'!J115,37)=0,10^6,INDEX(properties!A$1:CB$87,'Fórmula'!J115,37)))</f>
        <v>0.9</v>
      </c>
      <c r="DQ115" s="105">
        <f t="shared" si="20"/>
        <v>2.55</v>
      </c>
      <c r="DR115" s="109">
        <f t="array" ref="DR115">(('Fórmula'!C115)/('Fórmula'!C115+'Fórmula'!E115+'Fórmula'!G115+'Fórmula'!I115+'Fórmula'!K115))*(INDEX(properties!A$1:CB$87,'Fórmula'!B115,39))+(('Fórmula'!E115)/('Fórmula'!C115+'Fórmula'!E115+'Fórmula'!G115+'Fórmula'!I115+'Fórmula'!K115))*(INDEX(properties!A$1:CB$87,'Fórmula'!D115,39))+(('Fórmula'!G115)/('Fórmula'!C115+'Fórmula'!E115+'Fórmula'!G115+'Fórmula'!I115+'Fórmula'!K115))*(INDEX(properties!A$1:CB$87,'Fórmula'!F115,39))+(('Fórmula'!I115)/('Fórmula'!C115+'Fórmula'!E115+'Fórmula'!G115+'Fórmula'!I115+'Fórmula'!K115))*(INDEX(properties!A$1:CB$87,'Fórmula'!H115,39))+(('Fórmula'!K115)/('Fórmula'!C115+'Fórmula'!E115+'Fórmula'!G115+'Fórmula'!I115+'Fórmula'!K115))*(INDEX(properties!A$1:CB$87,'Fórmula'!J115,39))</f>
        <v>0.9766666667</v>
      </c>
      <c r="DS115" s="109">
        <f t="array" ref="DS115">'Fórmula'!C115*(INDEX(properties!A$1:CB$87,'Fórmula'!B115,39))+'Fórmula'!E115*(INDEX(properties!A$1:CB$87,'Fórmula'!D115,39))+'Fórmula'!G115*(INDEX(properties!A$1:CB$87,'Fórmula'!F115,39))+'Fórmula'!I115*(INDEX(properties!A$1:CB$87,'Fórmula'!H115,39))+'Fórmula'!K115*(INDEX(properties!A$1:CB$87,'Fórmula'!J115,39))</f>
        <v>11.72</v>
      </c>
      <c r="DT115" s="109">
        <f t="array" ref="DT115">VARP(IF(INDEX(properties!A$1:CB$87,'Fórmula'!B115,39)&lt;&gt;"",INDEX(properties!A$1:CB$87,'Fórmula'!B115,39)),IF(INDEX(properties!A$1:CB$87,'Fórmula'!D115,39)&lt;&gt;"",INDEX(properties!A$1:CB$87,'Fórmula'!D115,39)),IF(INDEX(properties!A$1:CB$87,'Fórmula'!F115,39)&lt;&gt;"",INDEX(properties!A$1:CB$87,'Fórmula'!F115,39)),IF(INDEX(properties!A$1:CB$87,'Fórmula'!H115,39)&lt;&gt;"",INDEX(properties!A$1:CB$87,'Fórmula'!H115,39)),IF(INDEX(properties!A$1:CB$87,'Fórmula'!J115,39)&lt;&gt;"",INDEX(properties!A$1:CB$87,'Fórmula'!J115,39)))</f>
        <v>0.758144</v>
      </c>
      <c r="DU115" s="120">
        <f t="array" ref="DU115">MAX(INDEX(properties!A$1:CB$87,'Fórmula'!B115,39),INDEX(properties!A$1:CB$87,'Fórmula'!D115,39),INDEX(properties!A$1:CB$87,'Fórmula'!F115,39),INDEX(properties!A$1:CB$87,'Fórmula'!H115,39),INDEX(properties!A$1:CB$87,'Fórmula'!J115,39))</f>
        <v>2.12</v>
      </c>
      <c r="DV115" s="120">
        <f t="array" ref="DV115">MIN(IF(INDEX(properties!A$1:CB$87,'Fórmula'!B115,39)=0,10^6,INDEX(properties!A$1:CB$87,'Fórmula'!B115,39)),IF(INDEX(properties!A$1:CB$87,'Fórmula'!D115,39)=0,10^6,INDEX(properties!A$1:CB$87,'Fórmula'!D115,39)),IF(INDEX(properties!A$1:CB$87,'Fórmula'!F115,39)=0,10^6,INDEX(properties!A$1:CB$87,'Fórmula'!F115,39)),IF(INDEX(properties!A$1:CB$87,'Fórmula'!H115,39)=0,10^6,INDEX(properties!A$1:CB$87,'Fórmula'!H115,39)),IF(INDEX(properties!A$1:CB$87,'Fórmula'!J115,39)=0,10^6,INDEX(properties!A$1:CB$87,'Fórmula'!J115,39)))</f>
        <v>0.48</v>
      </c>
      <c r="DW115" s="109">
        <f t="shared" si="21"/>
        <v>1.64</v>
      </c>
      <c r="DX115" s="110">
        <f t="array" ref="DX115">(('Fórmula'!C115)/('Fórmula'!C115+'Fórmula'!E115+'Fórmula'!G115+'Fórmula'!I115+'Fórmula'!K115))*(INDEX(properties!A$1:CB$87,'Fórmula'!B115,40))+(('Fórmula'!E115)/('Fórmula'!C115+'Fórmula'!E115+'Fórmula'!G115+'Fórmula'!I115+'Fórmula'!K115))*(INDEX(properties!A$1:CB$87,'Fórmula'!D115,40))+(('Fórmula'!G115)/('Fórmula'!C115+'Fórmula'!E115+'Fórmula'!G115+'Fórmula'!I115+'Fórmula'!K115))*(INDEX(properties!A$1:CB$87,'Fórmula'!F115,40))+(('Fórmula'!I115)/('Fórmula'!C115+'Fórmula'!E115+'Fórmula'!G115+'Fórmula'!I115+'Fórmula'!K115))*(INDEX(properties!A$1:CB$87,'Fórmula'!H115,40))+(('Fórmula'!K115)/('Fórmula'!C115+'Fórmula'!E115+'Fórmula'!G115+'Fórmula'!I115+'Fórmula'!K115))*(INDEX(properties!A$1:CB$87,'Fórmula'!J115,40))</f>
        <v>0.9933333333</v>
      </c>
      <c r="DY115" s="110">
        <f t="array" ref="DY115">'Fórmula'!C115*(INDEX(properties!A$1:CB$87,'Fórmula'!B115,40))+'Fórmula'!E115*(INDEX(properties!A$1:CB$87,'Fórmula'!D115,40))+'Fórmula'!G115*(INDEX(properties!A$1:CB$87,'Fórmula'!F115,40))+'Fórmula'!I115*(INDEX(properties!A$1:CB$87,'Fórmula'!H115,40))+'Fórmula'!K115*(INDEX(properties!A$1:CB$87,'Fórmula'!J115,40))</f>
        <v>11.92</v>
      </c>
      <c r="DZ115" s="110">
        <f t="array" ref="DZ115">VARP(IF(INDEX(properties!A$1:CB$87,'Fórmula'!B115,40)&lt;&gt;"",INDEX(properties!A$1:CB$87,'Fórmula'!B115,40)),IF(INDEX(properties!A$1:CB$87,'Fórmula'!D115,40)&lt;&gt;"",INDEX(properties!A$1:CB$87,'Fórmula'!D115,40)),IF(INDEX(properties!A$1:CB$87,'Fórmula'!F115,40)&lt;&gt;"",INDEX(properties!A$1:CB$87,'Fórmula'!F115,40)),IF(INDEX(properties!A$1:CB$87,'Fórmula'!H115,40)&lt;&gt;"",INDEX(properties!A$1:CB$87,'Fórmula'!H115,40)),IF(INDEX(properties!A$1:CB$87,'Fórmula'!J115,40)&lt;&gt;"",INDEX(properties!A$1:CB$87,'Fórmula'!J115,40)))</f>
        <v>0.3872</v>
      </c>
      <c r="EA115" s="121">
        <f t="array" ref="EA115">MAX(INDEX(properties!A$1:CB$87,'Fórmula'!B115,40),INDEX(properties!A$1:CB$87,'Fórmula'!D115,40),INDEX(properties!A$1:CB$87,'Fórmula'!F115,40),INDEX(properties!A$1:CB$87,'Fórmula'!H115,40),INDEX(properties!A$1:CB$87,'Fórmula'!J115,40))</f>
        <v>1.62</v>
      </c>
      <c r="EB115" s="121">
        <f t="array" ref="EB115">MIN(IF(INDEX(properties!A$1:CB$87,'Fórmula'!B115,40)=0,10^6,INDEX(properties!A$1:CB$87,'Fórmula'!B115,40)),IF(INDEX(properties!A$1:CB$87,'Fórmula'!D115,40)=0,10^6,INDEX(properties!A$1:CB$87,'Fórmula'!D115,40)),IF(INDEX(properties!A$1:CB$87,'Fórmula'!F115,40)=0,10^6,INDEX(properties!A$1:CB$87,'Fórmula'!F115,40)),IF(INDEX(properties!A$1:CB$87,'Fórmula'!H115,40)=0,10^6,INDEX(properties!A$1:CB$87,'Fórmula'!H115,40)),IF(INDEX(properties!A$1:CB$87,'Fórmula'!J115,40)=0,10^6,INDEX(properties!A$1:CB$87,'Fórmula'!J115,40)))</f>
        <v>0.73</v>
      </c>
      <c r="EC115" s="110">
        <f t="shared" si="22"/>
        <v>0.89</v>
      </c>
      <c r="ED115" s="111">
        <f t="array" ref="ED115">(('Fórmula'!C115)/('Fórmula'!C115+'Fórmula'!E115+'Fórmula'!G115+'Fórmula'!I115+'Fórmula'!K115))*(INDEX(properties!A$1:CB$87,'Fórmula'!B115,41))+(('Fórmula'!E115)/('Fórmula'!C115+'Fórmula'!E115+'Fórmula'!G115+'Fórmula'!I115+'Fórmula'!K115))*(INDEX(properties!A$1:CB$87,'Fórmula'!D115,41))+(('Fórmula'!G115)/('Fórmula'!C115+'Fórmula'!E115+'Fórmula'!G115+'Fórmula'!I115+'Fórmula'!K115))*(INDEX(properties!A$1:CB$87,'Fórmula'!F115,41))+(('Fórmula'!I115)/('Fórmula'!C115+'Fórmula'!E115+'Fórmula'!G115+'Fórmula'!I115+'Fórmula'!K115))*(INDEX(properties!A$1:CB$87,'Fórmula'!H115,41))+(('Fórmula'!K115)/('Fórmula'!C115+'Fórmula'!E115+'Fórmula'!G115+'Fórmula'!I115+'Fórmula'!K115))*(INDEX(properties!A$1:CB$87,'Fórmula'!J115,41))</f>
        <v>1.156666667</v>
      </c>
      <c r="EE115" s="111">
        <f t="array" ref="EE115">'Fórmula'!C115*(INDEX(properties!A$1:CB$87,'Fórmula'!B115,41))+'Fórmula'!E115*(INDEX(properties!A$1:CB$87,'Fórmula'!D115,41))+'Fórmula'!G115*(INDEX(properties!A$1:CB$87,'Fórmula'!F115,41))+'Fórmula'!I115*(INDEX(properties!A$1:CB$87,'Fórmula'!H115,41))+'Fórmula'!K115*(INDEX(properties!A$1:CB$87,'Fórmula'!J115,41))</f>
        <v>13.88</v>
      </c>
      <c r="EF115" s="111">
        <f t="array" ref="EF115">VARP(IF(INDEX(properties!A$1:CB$87,'Fórmula'!B115,41)&lt;&gt;"",INDEX(properties!A$1:CB$87,'Fórmula'!B115,41)),IF(INDEX(properties!A$1:CB$87,'Fórmula'!D115,41)&lt;&gt;"",INDEX(properties!A$1:CB$87,'Fórmula'!D115,41)),IF(INDEX(properties!A$1:CB$87,'Fórmula'!F115,41)&lt;&gt;"",INDEX(properties!A$1:CB$87,'Fórmula'!F115,41)),IF(INDEX(properties!A$1:CB$87,'Fórmula'!H115,41)&lt;&gt;"",INDEX(properties!A$1:CB$87,'Fórmula'!H115,41)),IF(INDEX(properties!A$1:CB$87,'Fórmula'!J115,41)&lt;&gt;"",INDEX(properties!A$1:CB$87,'Fórmula'!J115,41)))</f>
        <v>0.205056</v>
      </c>
      <c r="EG115" s="122">
        <f t="array" ref="EG115">MAX(INDEX(properties!A$1:CB$87,'Fórmula'!B115,41),INDEX(properties!A$1:CB$87,'Fórmula'!D115,41),INDEX(properties!A$1:CB$87,'Fórmula'!F115,41),INDEX(properties!A$1:CB$87,'Fórmula'!H115,41),INDEX(properties!A$1:CB$87,'Fórmula'!J115,41))</f>
        <v>1.26</v>
      </c>
      <c r="EH115" s="122">
        <f t="array" ref="EH115">MIN(IF(INDEX(properties!A$1:CB$87,'Fórmula'!B115,41)=0,10^6,INDEX(properties!A$1:CB$87,'Fórmula'!B115,41)),IF(INDEX(properties!A$1:CB$87,'Fórmula'!D115,41)=0,10^6,INDEX(properties!A$1:CB$87,'Fórmula'!D115,41)),IF(INDEX(properties!A$1:CB$87,'Fórmula'!F115,41)=0,10^6,INDEX(properties!A$1:CB$87,'Fórmula'!F115,41)),IF(INDEX(properties!A$1:CB$87,'Fórmula'!H115,41)=0,10^6,INDEX(properties!A$1:CB$87,'Fórmula'!H115,41)),IF(INDEX(properties!A$1:CB$87,'Fórmula'!J115,41)=0,10^6,INDEX(properties!A$1:CB$87,'Fórmula'!J115,41)))</f>
        <v>0.8</v>
      </c>
      <c r="EI115" s="111">
        <f t="shared" si="23"/>
        <v>0.46</v>
      </c>
      <c r="EJ115" s="112">
        <f t="array" ref="EJ115">(('Fórmula'!C115)/('Fórmula'!C115+'Fórmula'!E115+'Fórmula'!G115+'Fórmula'!I115+'Fórmula'!K115))*(INDEX(properties!A$1:CB$87,'Fórmula'!B115,45))+(('Fórmula'!E115)/('Fórmula'!C115+'Fórmula'!E115+'Fórmula'!G115+'Fórmula'!I115+'Fórmula'!K115))*(INDEX(properties!A$1:CB$87,'Fórmula'!D115,45))+(('Fórmula'!G115)/('Fórmula'!C115+'Fórmula'!E115+'Fórmula'!G115+'Fórmula'!I115+'Fórmula'!K115))*(INDEX(properties!A$1:CB$87,'Fórmula'!F115,45))+(('Fórmula'!I115)/('Fórmula'!C115+'Fórmula'!E115+'Fórmula'!G115+'Fórmula'!I115+'Fórmula'!K115))*(INDEX(properties!A$1:CB$87,'Fórmula'!H115,45))+(('Fórmula'!K115)/('Fórmula'!C115+'Fórmula'!E115+'Fórmula'!G115+'Fórmula'!I115+'Fórmula'!K115))*(INDEX(properties!A$1:CB$87,'Fórmula'!J115,45))</f>
        <v>1.235833333</v>
      </c>
      <c r="EK115" s="112">
        <f t="array" ref="EK115">'Fórmula'!C115*(INDEX(properties!A$1:CB$87,'Fórmula'!B115,45))+'Fórmula'!E115*(INDEX(properties!A$1:CB$87,'Fórmula'!D115,45))+'Fórmula'!G115*(INDEX(properties!A$1:CB$87,'Fórmula'!F115,45))+'Fórmula'!I115*(INDEX(properties!A$1:CB$87,'Fórmula'!H115,45))+'Fórmula'!K115*(INDEX(properties!A$1:CB$87,'Fórmula'!J115,45))</f>
        <v>14.83</v>
      </c>
      <c r="EL115" s="112">
        <f t="array" ref="EL115">VARP(IF(INDEX(properties!A$1:CB$87,'Fórmula'!B115,45)&lt;&gt;"",INDEX(properties!A$1:CB$87,'Fórmula'!B115,45)),IF(INDEX(properties!A$1:CB$87,'Fórmula'!D115,45)&lt;&gt;"",INDEX(properties!A$1:CB$87,'Fórmula'!D115,45)),IF(INDEX(properties!A$1:CB$87,'Fórmula'!F115,45)&lt;&gt;"",INDEX(properties!A$1:CB$87,'Fórmula'!F115,45)),IF(INDEX(properties!A$1:CB$87,'Fórmula'!H115,45)&lt;&gt;"",INDEX(properties!A$1:CB$87,'Fórmula'!H115,45)),IF(INDEX(properties!A$1:CB$87,'Fórmula'!J115,45)&lt;&gt;"",INDEX(properties!A$1:CB$87,'Fórmula'!J115,45)))</f>
        <v>1.58132</v>
      </c>
      <c r="EM115" s="123">
        <f t="array" ref="EM115">MAX(INDEX(properties!A$1:CB$87,'Fórmula'!B115,45),INDEX(properties!A$1:CB$87,'Fórmula'!D115,45),INDEX(properties!A$1:CB$87,'Fórmula'!F115,45),INDEX(properties!A$1:CB$87,'Fórmula'!H115,45),INDEX(properties!A$1:CB$87,'Fórmula'!J115,45))</f>
        <v>2.94</v>
      </c>
      <c r="EN115" s="123">
        <f t="array" ref="EN115">MIN(IF(INDEX(properties!A$1:CB$87,'Fórmula'!B115,45)=0,10^6,INDEX(properties!A$1:CB$87,'Fórmula'!B115,45)),IF(INDEX(properties!A$1:CB$87,'Fórmula'!D115,45)=0,10^6,INDEX(properties!A$1:CB$87,'Fórmula'!D115,45)),IF(INDEX(properties!A$1:CB$87,'Fórmula'!F115,45)=0,10^6,INDEX(properties!A$1:CB$87,'Fórmula'!F115,45)),IF(INDEX(properties!A$1:CB$87,'Fórmula'!H115,45)=0,10^6,INDEX(properties!A$1:CB$87,'Fórmula'!H115,45)),IF(INDEX(properties!A$1:CB$87,'Fórmula'!J115,45)=0,10^6,INDEX(properties!A$1:CB$87,'Fórmula'!J115,45)))</f>
        <v>0.47</v>
      </c>
      <c r="EO115" s="112">
        <f t="shared" si="24"/>
        <v>2.47</v>
      </c>
      <c r="EP115" s="113">
        <f t="array" ref="EP115">(('Fórmula'!C115)/('Fórmula'!C115+'Fórmula'!E115+'Fórmula'!G115+'Fórmula'!I115+'Fórmula'!K115))*(INDEX(properties!A$1:CB$87,'Fórmula'!B115,46))+(('Fórmula'!E115)/('Fórmula'!C115+'Fórmula'!E115+'Fórmula'!G115+'Fórmula'!I115+'Fórmula'!K115))*(INDEX(properties!A$1:CB$87,'Fórmula'!D115,46))+(('Fórmula'!G115)/('Fórmula'!C115+'Fórmula'!E115+'Fórmula'!G115+'Fórmula'!I115+'Fórmula'!K115))*(INDEX(properties!A$1:CB$87,'Fórmula'!F115,46))+(('Fórmula'!I115)/('Fórmula'!C115+'Fórmula'!E115+'Fórmula'!G115+'Fórmula'!I115+'Fórmula'!K115))*(INDEX(properties!A$1:CB$87,'Fórmula'!H115,46))+(('Fórmula'!K115)/('Fórmula'!C115+'Fórmula'!E115+'Fórmula'!G115+'Fórmula'!I115+'Fórmula'!K115))*(INDEX(properties!A$1:CB$87,'Fórmula'!J115,46))</f>
        <v>1.113333333</v>
      </c>
      <c r="EQ115" s="113">
        <f t="array" ref="EQ115">'Fórmula'!C115*(INDEX(properties!A$1:CB$87,'Fórmula'!B115,46))+'Fórmula'!E115*(INDEX(properties!A$1:CB$87,'Fórmula'!D115,46))+'Fórmula'!G115*(INDEX(properties!A$1:CB$87,'Fórmula'!F115,46))+'Fórmula'!I115*(INDEX(properties!A$1:CB$87,'Fórmula'!H115,46))+'Fórmula'!K115*(INDEX(properties!A$1:CB$87,'Fórmula'!J115,46))</f>
        <v>13.36</v>
      </c>
      <c r="ER115" s="113">
        <f t="array" ref="ER115">VARP(IF(INDEX(properties!A$1:CB$87,'Fórmula'!B115,46)&lt;&gt;"",INDEX(properties!A$1:CB$87,'Fórmula'!B115,46)),IF(INDEX(properties!A$1:CB$87,'Fórmula'!D115,46)&lt;&gt;"",INDEX(properties!A$1:CB$87,'Fórmula'!D115,46)),IF(INDEX(properties!A$1:CB$87,'Fórmula'!F115,46)&lt;&gt;"",INDEX(properties!A$1:CB$87,'Fórmula'!F115,46)),IF(INDEX(properties!A$1:CB$87,'Fórmula'!H115,46)&lt;&gt;"",INDEX(properties!A$1:CB$87,'Fórmula'!H115,46)),IF(INDEX(properties!A$1:CB$87,'Fórmula'!J115,46)&lt;&gt;"",INDEX(properties!A$1:CB$87,'Fórmula'!J115,46)))</f>
        <v>0.19888</v>
      </c>
      <c r="ES115" s="124">
        <f t="array" ref="ES115">MAX(INDEX(properties!A$1:CB$87,'Fórmula'!B115,46),INDEX(properties!A$1:CB$87,'Fórmula'!D115,46),INDEX(properties!A$1:CB$87,'Fórmula'!F115,46),INDEX(properties!A$1:CB$87,'Fórmula'!H115,46),INDEX(properties!A$1:CB$87,'Fórmula'!J115,46))</f>
        <v>1.21</v>
      </c>
      <c r="ET115" s="124">
        <f t="array" ref="ET115">MIN(IF(INDEX(properties!A$1:CB$87,'Fórmula'!B115,46)=0,10^6,INDEX(properties!A$1:CB$87,'Fórmula'!B115,46)),IF(INDEX(properties!A$1:CB$87,'Fórmula'!D115,46)=0,10^6,INDEX(properties!A$1:CB$87,'Fórmula'!D115,46)),IF(INDEX(properties!A$1:CB$87,'Fórmula'!F115,46)=0,10^6,INDEX(properties!A$1:CB$87,'Fórmula'!F115,46)),IF(INDEX(properties!A$1:CB$87,'Fórmula'!H115,46)=0,10^6,INDEX(properties!A$1:CB$87,'Fórmula'!H115,46)),IF(INDEX(properties!A$1:CB$87,'Fórmula'!J115,46)=0,10^6,INDEX(properties!A$1:CB$87,'Fórmula'!J115,46)))</f>
        <v>0.74</v>
      </c>
      <c r="EU115" s="113">
        <f t="shared" si="25"/>
        <v>0.47</v>
      </c>
      <c r="EV115" s="114">
        <f t="array" ref="EV115">(('Fórmula'!C115)/('Fórmula'!C115+'Fórmula'!E115+'Fórmula'!G115+'Fórmula'!I115+'Fórmula'!K115))*(INDEX(properties!A$1:CB$87,'Fórmula'!B115,52))+(('Fórmula'!E115)/('Fórmula'!C115+'Fórmula'!E115+'Fórmula'!G115+'Fórmula'!I115+'Fórmula'!K115))*(INDEX(properties!A$1:CB$87,'Fórmula'!D115,52))+(('Fórmula'!G115)/('Fórmula'!C115+'Fórmula'!E115+'Fórmula'!G115+'Fórmula'!I115+'Fórmula'!K115))*(INDEX(properties!A$1:CB$87,'Fórmula'!F115,52))+(('Fórmula'!I115)/('Fórmula'!C115+'Fórmula'!E115+'Fórmula'!G115+'Fórmula'!I115+'Fórmula'!K115))*(INDEX(properties!A$1:CB$87,'Fórmula'!H115,52))+(('Fórmula'!K115)/('Fórmula'!C115+'Fórmula'!E115+'Fórmula'!G115+'Fórmula'!I115+'Fórmula'!K115))*(INDEX(properties!A$1:CB$87,'Fórmula'!J115,52))</f>
        <v>6.237</v>
      </c>
      <c r="EW115" s="114">
        <f t="array" ref="EW115">'Fórmula'!C115*(INDEX(properties!A$1:CB$87,'Fórmula'!B115,52))+'Fórmula'!E115*(INDEX(properties!A$1:CB$87,'Fórmula'!D115,52))+'Fórmula'!G115*(INDEX(properties!A$1:CB$87,'Fórmula'!F115,52))+'Fórmula'!I115*(INDEX(properties!A$1:CB$87,'Fórmula'!H115,52))+'Fórmula'!K115*(INDEX(properties!A$1:CB$87,'Fórmula'!J115,52))</f>
        <v>74.844</v>
      </c>
      <c r="EX115" s="114">
        <f t="array" ref="EX115">VARP(IF(INDEX(properties!A$1:CB$87,'Fórmula'!B115,52)&lt;&gt;"",INDEX(properties!A$1:CB$87,'Fórmula'!B115,52)),IF(INDEX(properties!A$1:CB$87,'Fórmula'!D115,52)&lt;&gt;"",INDEX(properties!A$1:CB$87,'Fórmula'!D115,52)),IF(INDEX(properties!A$1:CB$87,'Fórmula'!F115,52)&lt;&gt;"",INDEX(properties!A$1:CB$87,'Fórmula'!F115,52)),IF(INDEX(properties!A$1:CB$87,'Fórmula'!H115,52)&lt;&gt;"",INDEX(properties!A$1:CB$87,'Fórmula'!H115,52)),IF(INDEX(properties!A$1:CB$87,'Fórmula'!J115,52)&lt;&gt;"",INDEX(properties!A$1:CB$87,'Fórmula'!J115,52)))</f>
        <v>103.7607598</v>
      </c>
      <c r="EY115" s="114">
        <f t="array" ref="EY115">MAX(INDEX(properties!A$1:CB$87,'Fórmula'!B115,52),INDEX(properties!A$1:CB$87,'Fórmula'!D115,52),INDEX(properties!A$1:CB$87,'Fórmula'!F115,52),INDEX(properties!A$1:CB$87,'Fórmula'!H115,52),INDEX(properties!A$1:CB$87,'Fórmula'!J115,52))</f>
        <v>23.6</v>
      </c>
      <c r="EZ115" s="114">
        <f t="array" ref="EZ115">MIN(IF(INDEX(properties!A$1:CB$87,'Fórmula'!B115,52)=0,10^6,INDEX(properties!A$1:CB$87,'Fórmula'!B115,52)),IF(INDEX(properties!A$1:CB$87,'Fórmula'!D115,52)=0,10^6,INDEX(properties!A$1:CB$87,'Fórmula'!D115,52)),IF(INDEX(properties!A$1:CB$87,'Fórmula'!F115,52)=0,10^6,INDEX(properties!A$1:CB$87,'Fórmula'!F115,52)),IF(INDEX(properties!A$1:CB$87,'Fórmula'!H115,52)=0,10^6,INDEX(properties!A$1:CB$87,'Fórmula'!H115,52)),IF(INDEX(properties!A$1:CB$87,'Fórmula'!J115,52)=0,10^6,INDEX(properties!A$1:CB$87,'Fórmula'!J115,52)))</f>
        <v>0.793</v>
      </c>
      <c r="FA115" s="114">
        <f t="shared" si="26"/>
        <v>22.807</v>
      </c>
      <c r="FB115" s="115">
        <f t="array" ref="FB115">(('Fórmula'!C115)/('Fórmula'!C115+'Fórmula'!E115+'Fórmula'!G115+'Fórmula'!I115+'Fórmula'!K115))*(INDEX(properties!A$1:CB$87,'Fórmula'!B115,53))+(('Fórmula'!E115)/('Fórmula'!C115+'Fórmula'!E115+'Fórmula'!G115+'Fórmula'!I115+'Fórmula'!K115))*(INDEX(properties!A$1:CB$87,'Fórmula'!D115,53))+(('Fórmula'!G115)/('Fórmula'!C115+'Fórmula'!E115+'Fórmula'!G115+'Fórmula'!I115+'Fórmula'!K115))*(INDEX(properties!A$1:CB$87,'Fórmula'!F115,53))+(('Fórmula'!I115)/('Fórmula'!C115+'Fórmula'!E115+'Fórmula'!G115+'Fórmula'!I115+'Fórmula'!K115))*(INDEX(properties!A$1:CB$87,'Fórmula'!H115,53))+(('Fórmula'!K115)/('Fórmula'!C115+'Fórmula'!E115+'Fórmula'!G115+'Fórmula'!I115+'Fórmula'!K115))*(INDEX(properties!A$1:CB$87,'Fórmula'!J115,53))</f>
        <v>830.95</v>
      </c>
      <c r="FC115" s="115">
        <f t="array" ref="FC115">'Fórmula'!C115*(INDEX(properties!A$1:CB$87,'Fórmula'!B115,53))+'Fórmula'!E115*(INDEX(properties!A$1:CB$87,'Fórmula'!D115,53))+'Fórmula'!G115*(INDEX(properties!A$1:CB$87,'Fórmula'!F115,53))+'Fórmula'!I115*(INDEX(properties!A$1:CB$87,'Fórmula'!H115,53))+'Fórmula'!K115*(INDEX(properties!A$1:CB$87,'Fórmula'!J115,53))</f>
        <v>9971.4</v>
      </c>
      <c r="FD115" s="115">
        <f t="array" ref="FD115">VARP(IF(INDEX(properties!A$1:CB$87,'Fórmula'!B115,53)&lt;&gt;"",INDEX(properties!A$1:CB$87,'Fórmula'!B115,53)),IF(INDEX(properties!A$1:CB$87,'Fórmula'!D115,53)&lt;&gt;"",INDEX(properties!A$1:CB$87,'Fórmula'!D115,53)),IF(INDEX(properties!A$1:CB$87,'Fórmula'!F115,53)&lt;&gt;"",INDEX(properties!A$1:CB$87,'Fórmula'!F115,53)),IF(INDEX(properties!A$1:CB$87,'Fórmula'!H115,53)&lt;&gt;"",INDEX(properties!A$1:CB$87,'Fórmula'!H115,53)),IF(INDEX(properties!A$1:CB$87,'Fórmula'!J115,53)&lt;&gt;"",INDEX(properties!A$1:CB$87,'Fórmula'!J115,53)))</f>
        <v>1991709.042</v>
      </c>
      <c r="FE115" s="115">
        <f t="array" ref="FE115">MAX(INDEX(properties!A$1:CB$87,'Fórmula'!B115,53),INDEX(properties!A$1:CB$87,'Fórmula'!D115,53),INDEX(properties!A$1:CB$87,'Fórmula'!F115,53),INDEX(properties!A$1:CB$87,'Fórmula'!H115,53),INDEX(properties!A$1:CB$87,'Fórmula'!J115,53))</f>
        <v>3683.15</v>
      </c>
      <c r="FF115" s="115">
        <f t="array" ref="FF115">MIN(IF(INDEX(properties!A$1:CB$87,'Fórmula'!B115,53)=0,10^6,INDEX(properties!A$1:CB$87,'Fórmula'!B115,53)),IF(INDEX(properties!A$1:CB$87,'Fórmula'!D115,53)=0,10^6,INDEX(properties!A$1:CB$87,'Fórmula'!D115,53)),IF(INDEX(properties!A$1:CB$87,'Fórmula'!F115,53)=0,10^6,INDEX(properties!A$1:CB$87,'Fórmula'!F115,53)),IF(INDEX(properties!A$1:CB$87,'Fórmula'!H115,53)=0,10^6,INDEX(properties!A$1:CB$87,'Fórmula'!H115,53)),IF(INDEX(properties!A$1:CB$87,'Fórmula'!J115,53)=0,10^6,INDEX(properties!A$1:CB$87,'Fórmula'!J115,53)))</f>
        <v>54.75</v>
      </c>
      <c r="FG115" s="115">
        <f t="shared" si="27"/>
        <v>3628.4</v>
      </c>
      <c r="FH115" s="117">
        <f t="array" ref="FH115">(('Fórmula'!C115)/('Fórmula'!C115+'Fórmula'!E115+'Fórmula'!G115+'Fórmula'!I115+'Fórmula'!K115))*(INDEX(properties!A$1:CB$87,'Fórmula'!B115,54))+(('Fórmula'!E115)/('Fórmula'!C115+'Fórmula'!E115+'Fórmula'!G115+'Fórmula'!I115+'Fórmula'!K115))*(INDEX(properties!A$1:CB$87,'Fórmula'!D115,54))+(('Fórmula'!G115)/('Fórmula'!C115+'Fórmula'!E115+'Fórmula'!G115+'Fórmula'!I115+'Fórmula'!K115))*(INDEX(properties!A$1:CB$87,'Fórmula'!F115,54))+(('Fórmula'!I115)/('Fórmula'!C115+'Fórmula'!E115+'Fórmula'!G115+'Fórmula'!I115+'Fórmula'!K115))*(INDEX(properties!A$1:CB$87,'Fórmula'!H115,54))+(('Fórmula'!K115)/('Fórmula'!C115+'Fórmula'!E115+'Fórmula'!G115+'Fórmula'!I115+'Fórmula'!K115))*(INDEX(properties!A$1:CB$87,'Fórmula'!J115,54))</f>
        <v>1446.15</v>
      </c>
      <c r="FI115" s="117">
        <f t="array" ref="FI115">'Fórmula'!C115*(INDEX(properties!A$1:CB$87,'Fórmula'!B115,54))+'Fórmula'!E115*(INDEX(properties!A$1:CB$87,'Fórmula'!D115,54))+'Fórmula'!G115*(INDEX(properties!A$1:CB$87,'Fórmula'!F115,54))+'Fórmula'!I115*(INDEX(properties!A$1:CB$87,'Fórmula'!H115,54))+'Fórmula'!K115*(INDEX(properties!A$1:CB$87,'Fórmula'!J115,54))</f>
        <v>17353.8</v>
      </c>
      <c r="FJ115" s="117">
        <f t="array" ref="FJ115">VARP(IF(INDEX(properties!A$1:CB$87,'Fórmula'!B115,54)&lt;&gt;"",INDEX(properties!A$1:CB$87,'Fórmula'!B115,54)),IF(INDEX(properties!A$1:CB$87,'Fórmula'!D115,54)&lt;&gt;"",INDEX(properties!A$1:CB$87,'Fórmula'!D115,54)),IF(INDEX(properties!A$1:CB$87,'Fórmula'!F115,54)&lt;&gt;"",INDEX(properties!A$1:CB$87,'Fórmula'!F115,54)),IF(INDEX(properties!A$1:CB$87,'Fórmula'!H115,54)&lt;&gt;"",INDEX(properties!A$1:CB$87,'Fórmula'!H115,54)),IF(INDEX(properties!A$1:CB$87,'Fórmula'!J115,54)&lt;&gt;"",INDEX(properties!A$1:CB$87,'Fórmula'!J115,54)))</f>
        <v>5259433.632</v>
      </c>
      <c r="FK115" s="117">
        <f t="array" ref="FK115">MAX(INDEX(properties!A$1:CB$87,'Fórmula'!B115,54),INDEX(properties!A$1:CB$87,'Fórmula'!D115,54),INDEX(properties!A$1:CB$87,'Fórmula'!F115,54),INDEX(properties!A$1:CB$87,'Fórmula'!H115,54),INDEX(properties!A$1:CB$87,'Fórmula'!J115,54))</f>
        <v>5933.15</v>
      </c>
      <c r="FL115" s="117">
        <f t="array" ref="FL115">MIN(IF(INDEX(properties!A$1:CB$87,'Fórmula'!B115,54)=0,10^6,INDEX(properties!A$1:CB$87,'Fórmula'!B115,54)),IF(INDEX(properties!A$1:CB$87,'Fórmula'!D115,54)=0,10^6,INDEX(properties!A$1:CB$87,'Fórmula'!D115,54)),IF(INDEX(properties!A$1:CB$87,'Fórmula'!F115,54)=0,10^6,INDEX(properties!A$1:CB$87,'Fórmula'!F115,54)),IF(INDEX(properties!A$1:CB$87,'Fórmula'!H115,54)=0,10^6,INDEX(properties!A$1:CB$87,'Fórmula'!H115,54)),IF(INDEX(properties!A$1:CB$87,'Fórmula'!J115,54)=0,10^6,INDEX(properties!A$1:CB$87,'Fórmula'!J115,54)))</f>
        <v>90.15</v>
      </c>
      <c r="FM115" s="117">
        <f t="shared" si="28"/>
        <v>5843</v>
      </c>
      <c r="FN115" s="118">
        <f t="array" ref="FN115">(('Fórmula'!C115)/('Fórmula'!C115+'Fórmula'!E115+'Fórmula'!G115+'Fórmula'!I115+'Fórmula'!K115))*(INDEX(properties!A$1:CB$87,'Fórmula'!B115,55))+(('Fórmula'!E115)/('Fórmula'!C115+'Fórmula'!E115+'Fórmula'!G115+'Fórmula'!I115+'Fórmula'!K115))*(INDEX(properties!A$1:CB$87,'Fórmula'!D115,55))+(('Fórmula'!G115)/('Fórmula'!C115+'Fórmula'!E115+'Fórmula'!G115+'Fórmula'!I115+'Fórmula'!K115))*(INDEX(properties!A$1:CB$87,'Fórmula'!F115,55))+(('Fórmula'!I115)/('Fórmula'!C115+'Fórmula'!E115+'Fórmula'!G115+'Fórmula'!I115+'Fórmula'!K115))*(INDEX(properties!A$1:CB$87,'Fórmula'!H115,55))+(('Fórmula'!K115)/('Fórmula'!C115+'Fórmula'!E115+'Fórmula'!G115+'Fórmula'!I115+'Fórmula'!K115))*(INDEX(properties!A$1:CB$87,'Fórmula'!J115,55))</f>
        <v>3.671036667</v>
      </c>
      <c r="FO115" s="118">
        <f t="array" ref="FO115">'Fórmula'!C115*(INDEX(properties!A$1:CB$87,'Fórmula'!B115,55))+'Fórmula'!E115*(INDEX(properties!A$1:CB$87,'Fórmula'!D115,54))+'Fórmula'!G115*(INDEX(properties!A$1:CB$87,'Fórmula'!F115,55))+'Fórmula'!I115*(INDEX(properties!A$1:CB$87,'Fórmula'!H115,55))+'Fórmula'!K115*(INDEX(properties!A$1:CB$87,'Fórmula'!J115,55))</f>
        <v>3649.73244</v>
      </c>
      <c r="FP115" s="118">
        <f t="array" ref="FP115">VARP(IF(INDEX(properties!A$1:CB$87,'Fórmula'!B115,55)&lt;&gt;"",INDEX(properties!A$1:CB$87,'Fórmula'!B115,55)),IF(INDEX(properties!A$1:CB$87,'Fórmula'!D115,55)&lt;&gt;"",INDEX(properties!A$1:CB$87,'Fórmula'!D115,55)),IF(INDEX(properties!A$1:CB$87,'Fórmula'!F115,55)&lt;&gt;"",INDEX(properties!A$1:CB$87,'Fórmula'!F115,55)),IF(INDEX(properties!A$1:CB$87,'Fórmula'!H115,55)&lt;&gt;"",INDEX(properties!A$1:CB$87,'Fórmula'!H115,55)),IF(INDEX(properties!A$1:CB$87,'Fórmula'!J115,55)&lt;&gt;"",INDEX(properties!A$1:CB$87,'Fórmula'!J115,55)))</f>
        <v>54.19523492</v>
      </c>
      <c r="FQ115" s="118">
        <f t="array" ref="FQ115">MAX(INDEX(properties!A$1:CB$87,'Fórmula'!B115,55),INDEX(properties!A$1:CB$87,'Fórmula'!D115,55),INDEX(properties!A$1:CB$87,'Fórmula'!F115,55),INDEX(properties!A$1:CB$87,'Fórmula'!H115,55),INDEX(properties!A$1:CB$87,'Fórmula'!J115,55))</f>
        <v>19.3</v>
      </c>
      <c r="FR115" s="118">
        <f t="array" ref="FR115">MIN(IF(INDEX(properties!A$1:CB$87,'Fórmula'!B115,55)=0,10^6,INDEX(properties!A$1:CB$87,'Fórmula'!B115,55)),IF(INDEX(properties!A$1:CB$87,'Fórmula'!D115,55)=0,10^6,INDEX(properties!A$1:CB$87,'Fórmula'!D115,55)),IF(INDEX(properties!A$1:CB$87,'Fórmula'!F115,55)=0,10^6,INDEX(properties!A$1:CB$87,'Fórmula'!F115,55)),IF(INDEX(properties!A$1:CB$87,'Fórmula'!H115,55)=0,10^6,INDEX(properties!A$1:CB$87,'Fórmula'!H115,55)),IF(INDEX(properties!A$1:CB$87,'Fórmula'!J115,55)=0,10^6,INDEX(properties!A$1:CB$87,'Fórmula'!J115,55)))</f>
        <v>0.00143</v>
      </c>
      <c r="FS115" s="118">
        <f t="shared" si="29"/>
        <v>19.29857</v>
      </c>
      <c r="FT115" s="119">
        <f t="array" ref="FT115">(('Fórmula'!C115)/('Fórmula'!C115+'Fórmula'!E115+'Fórmula'!G115+'Fórmula'!I115+'Fórmula'!K115))*(INDEX(properties!A$1:CB$87,'Fórmula'!B115,56))+(('Fórmula'!E115)/('Fórmula'!C115+'Fórmula'!E115+'Fórmula'!G115+'Fórmula'!I115+'Fórmula'!K115))*(INDEX(properties!A$1:CB$87,'Fórmula'!D115,56))+(('Fórmula'!G115)/('Fórmula'!C115+'Fórmula'!E115+'Fórmula'!G115+'Fórmula'!I115+'Fórmula'!K115))*(INDEX(properties!A$1:CB$87,'Fórmula'!F115,56))+(('Fórmula'!I115)/('Fórmula'!C115+'Fórmula'!E115+'Fórmula'!G115+'Fórmula'!I115+'Fórmula'!K115))*(INDEX(properties!A$1:CB$87,'Fórmula'!H115,56))+(('Fórmula'!K115)/('Fórmula'!C115+'Fórmula'!E115+'Fórmula'!G115+'Fórmula'!I115+'Fórmula'!K115))*(INDEX(properties!A$1:CB$87,'Fórmula'!J115,56))</f>
        <v>0.7625</v>
      </c>
      <c r="FU115" s="119">
        <f t="array" ref="FU115">'Fórmula'!C115*(INDEX(properties!A$1:CB$87,'Fórmula'!B115,56))+'Fórmula'!E115*(INDEX(properties!A$1:CB$87,'Fórmula'!D115,56))+'Fórmula'!G115*(INDEX(properties!A$1:CB$87,'Fórmula'!F115,56))+'Fórmula'!I115*(INDEX(properties!A$1:CB$87,'Fórmula'!H115,56))+'Fórmula'!K115*(INDEX(properties!A$1:CB$87,'Fórmula'!J115,56))</f>
        <v>9.15</v>
      </c>
      <c r="FV115" s="119">
        <f t="array" ref="FV115">VARP(IF(INDEX(properties!A$1:CB$87,'Fórmula'!B115,56)&lt;&gt;"",INDEX(properties!A$1:CB$87,'Fórmula'!B115,56)),IF(INDEX(properties!A$1:CB$87,'Fórmula'!D115,56)&lt;&gt;"",INDEX(properties!A$1:CB$87,'Fórmula'!D115,56)),IF(INDEX(properties!A$1:CB$87,'Fórmula'!F115,56)&lt;&gt;"",INDEX(properties!A$1:CB$87,'Fórmula'!F115,56)),IF(INDEX(properties!A$1:CB$87,'Fórmula'!H115,56)&lt;&gt;"",INDEX(properties!A$1:CB$87,'Fórmula'!H115,56)),IF(INDEX(properties!A$1:CB$87,'Fórmula'!J115,56)&lt;&gt;"",INDEX(properties!A$1:CB$87,'Fórmula'!J115,56)))</f>
        <v>0.226984</v>
      </c>
      <c r="FW115" s="119">
        <f t="array" ref="FW115">MAX(INDEX(properties!A$1:CB$87,'Fórmula'!B115,56),INDEX(properties!A$1:CB$87,'Fórmula'!D115,56),INDEX(properties!A$1:CB$87,'Fórmula'!F115,56),INDEX(properties!A$1:CB$87,'Fórmula'!H115,56),INDEX(properties!A$1:CB$87,'Fórmula'!J115,56))</f>
        <v>1.23</v>
      </c>
      <c r="FX115" s="119">
        <f t="array" ref="FX115">MIN(IF(INDEX(properties!A$1:CB$87,'Fórmula'!B115,56)=0,10^6,INDEX(properties!A$1:CB$87,'Fórmula'!B115,56)),IF(INDEX(properties!A$1:CB$87,'Fórmula'!D115,56)=0,10^6,INDEX(properties!A$1:CB$87,'Fórmula'!D115,56)),IF(INDEX(properties!A$1:CB$87,'Fórmula'!F115,56)=0,10^6,INDEX(properties!A$1:CB$87,'Fórmula'!F115,56)),IF(INDEX(properties!A$1:CB$87,'Fórmula'!H115,56)=0,10^6,INDEX(properties!A$1:CB$87,'Fórmula'!H115,56)),IF(INDEX(properties!A$1:CB$87,'Fórmula'!J115,56)=0,10^6,INDEX(properties!A$1:CB$87,'Fórmula'!J115,56)))</f>
        <v>0.13</v>
      </c>
      <c r="FY115" s="119">
        <f t="shared" si="30"/>
        <v>1.1</v>
      </c>
      <c r="FZ115" s="104">
        <f t="array" ref="FZ115">(('Fórmula'!C115)/('Fórmula'!C115+'Fórmula'!E115+'Fórmula'!G115+'Fórmula'!I115+'Fórmula'!K115))*(INDEX(properties!A$1:CB$87,'Fórmula'!B115,57))+(('Fórmula'!E115)/('Fórmula'!C115+'Fórmula'!E115+'Fórmula'!G115+'Fórmula'!I115+'Fórmula'!K115))*(INDEX(properties!A$1:CB$87,'Fórmula'!D115,57))+(('Fórmula'!G115)/('Fórmula'!C115+'Fórmula'!E115+'Fórmula'!G115+'Fórmula'!I115+'Fórmula'!K115))*(INDEX(properties!A$1:CB$87,'Fórmula'!F115,57))+(('Fórmula'!I115)/('Fórmula'!C115+'Fórmula'!E115+'Fórmula'!G115+'Fórmula'!I115+'Fórmula'!K115))*(INDEX(properties!A$1:CB$87,'Fórmula'!H115,57))+(('Fórmula'!K115)/('Fórmula'!C115+'Fórmula'!E115+'Fórmula'!G115+'Fórmula'!I115+'Fórmula'!K115))*(INDEX(properties!A$1:CB$87,'Fórmula'!J115,57))</f>
        <v>7.214893333</v>
      </c>
      <c r="GA115" s="104">
        <f t="array" ref="GA115">'Fórmula'!C115*(INDEX(properties!A$1:CB$87,'Fórmula'!B115,57))+'Fórmula'!E115*(INDEX(properties!A$1:CB$87,'Fórmula'!D115,57))+'Fórmula'!G115*(INDEX(properties!A$1:CB$87,'Fórmula'!F115,57))+'Fórmula'!I115*(INDEX(properties!A$1:CB$87,'Fórmula'!H115,57))+'Fórmula'!K115*(INDEX(properties!A$1:CB$87,'Fórmula'!J115,57))</f>
        <v>86.57872</v>
      </c>
      <c r="GB115" s="104">
        <f t="array" ref="GB115">VARP(IF(INDEX(properties!A$1:CB$87,'Fórmula'!B115,57)&lt;&gt;"",INDEX(properties!A$1:CB$87,'Fórmula'!B115,57)),IF(INDEX(properties!A$1:CB$87,'Fórmula'!D115,57)&lt;&gt;"",INDEX(properties!A$1:CB$87,'Fórmula'!D115,57)),IF(INDEX(properties!A$1:CB$87,'Fórmula'!F115,57)&lt;&gt;"",INDEX(properties!A$1:CB$87,'Fórmula'!F115,57)),IF(INDEX(properties!A$1:CB$87,'Fórmula'!H115,57)&lt;&gt;"",INDEX(properties!A$1:CB$87,'Fórmula'!H115,57)),IF(INDEX(properties!A$1:CB$87,'Fórmula'!J115,57)&lt;&gt;"",INDEX(properties!A$1:CB$87,'Fórmula'!J115,57)))</f>
        <v>179.495712</v>
      </c>
      <c r="GC115" s="104">
        <f t="array" ref="GC115">MAX(INDEX(properties!A$1:CB$87,'Fórmula'!B115,57),INDEX(properties!A$1:CB$87,'Fórmula'!D115,57),INDEX(properties!A$1:CB$87,'Fórmula'!F115,57),INDEX(properties!A$1:CB$87,'Fórmula'!H115,57),INDEX(properties!A$1:CB$87,'Fórmula'!J115,57))</f>
        <v>35.4</v>
      </c>
      <c r="GD115" s="104">
        <f t="array" ref="GD115">MIN(IF(INDEX(properties!A$1:CB$87,'Fórmula'!B115,57)=0,10^6,INDEX(properties!A$1:CB$87,'Fórmula'!B115,57)),IF(INDEX(properties!A$1:CB$87,'Fórmula'!D115,57)=0,10^6,INDEX(properties!A$1:CB$87,'Fórmula'!D115,57)),IF(INDEX(properties!A$1:CB$87,'Fórmula'!F115,57)=0,10^6,INDEX(properties!A$1:CB$87,'Fórmula'!F115,57)),IF(INDEX(properties!A$1:CB$87,'Fórmula'!H115,57)=0,10^6,INDEX(properties!A$1:CB$87,'Fórmula'!H115,57)),IF(INDEX(properties!A$1:CB$87,'Fórmula'!J115,57)=0,10^6,INDEX(properties!A$1:CB$87,'Fórmula'!J115,57)))</f>
        <v>0.22259</v>
      </c>
      <c r="GE115" s="104">
        <f t="shared" si="31"/>
        <v>35.17741</v>
      </c>
      <c r="GF115" s="105">
        <f t="array" ref="GF115">(('Fórmula'!C115)/('Fórmula'!C115+'Fórmula'!E115+'Fórmula'!G115+'Fórmula'!I115+'Fórmula'!K115))*(INDEX(properties!A$1:CB$87,'Fórmula'!B115,60))+(('Fórmula'!E115)/('Fórmula'!C115+'Fórmula'!E115+'Fórmula'!G115+'Fórmula'!I115+'Fórmula'!K115))*(INDEX(properties!A$1:CB$87,'Fórmula'!D115,60))+(('Fórmula'!G115)/('Fórmula'!C115+'Fórmula'!E115+'Fórmula'!G115+'Fórmula'!I115+'Fórmula'!K115))*(INDEX(properties!A$1:CB$87,'Fórmula'!F115,60))+(('Fórmula'!I115)/('Fórmula'!C115+'Fórmula'!E115+'Fórmula'!G115+'Fórmula'!I115+'Fórmula'!K115))*(INDEX(properties!A$1:CB$87,'Fórmula'!H115,60))+(('Fórmula'!K115)/('Fórmula'!C115+'Fórmula'!E115+'Fórmula'!G115+'Fórmula'!I115+'Fórmula'!K115))*(INDEX(properties!A$1:CB$87,'Fórmula'!J115,60))</f>
        <v>42.20116</v>
      </c>
      <c r="GG115" s="105">
        <f t="array" ref="GG115">'Fórmula'!C115*(INDEX(properties!A$1:CB$87,'Fórmula'!B115,60))+'Fórmula'!E115*(INDEX(properties!A$1:CB$87,'Fórmula'!D115,60))+'Fórmula'!G115*(INDEX(properties!A$1:CB$87,'Fórmula'!F115,60))+'Fórmula'!I115*(INDEX(properties!A$1:CB$87,'Fórmula'!H115,60))+'Fórmula'!K115*(INDEX(properties!A$1:CB$87,'Fórmula'!J115,60))</f>
        <v>506.41392</v>
      </c>
      <c r="GH115" s="105">
        <f t="array" ref="GH115">VARP(IF(INDEX(properties!A$1:CB$87,'Fórmula'!B115,60)&lt;&gt;"",INDEX(properties!A$1:CB$87,'Fórmula'!B115,60)),IF(INDEX(properties!A$1:CB$87,'Fórmula'!D115,60)&lt;&gt;"",INDEX(properties!A$1:CB$87,'Fórmula'!D115,60)),IF(INDEX(properties!A$1:CB$87,'Fórmula'!F115,60)&lt;&gt;"",INDEX(properties!A$1:CB$87,'Fórmula'!F115,60)),IF(INDEX(properties!A$1:CB$87,'Fórmula'!H115,60)&lt;&gt;"",INDEX(properties!A$1:CB$87,'Fórmula'!H115,60)),IF(INDEX(properties!A$1:CB$87,'Fórmula'!J115,60)&lt;&gt;"",INDEX(properties!A$1:CB$87,'Fórmula'!J115,60)))</f>
        <v>5675.583872</v>
      </c>
      <c r="GI115" s="105">
        <f t="array" ref="GI115">MAX(INDEX(properties!A$1:CB$87,'Fórmula'!B115,60),INDEX(properties!A$1:CB$87,'Fórmula'!D115,60),INDEX(properties!A$1:CB$87,'Fórmula'!F115,60),INDEX(properties!A$1:CB$87,'Fórmula'!H115,60),INDEX(properties!A$1:CB$87,'Fórmula'!J115,60))</f>
        <v>174</v>
      </c>
      <c r="GJ115" s="105">
        <f t="array" ref="GJ115">MIN(IF(INDEX(properties!A$1:CB$87,'Fórmula'!B115,60)=0,10^6,INDEX(properties!A$1:CB$87,'Fórmula'!B115,60)),IF(INDEX(properties!A$1:CB$87,'Fórmula'!D115,60)=0,10^6,INDEX(properties!A$1:CB$87,'Fórmula'!D115,60)),IF(INDEX(properties!A$1:CB$87,'Fórmula'!F115,60)=0,10^6,INDEX(properties!A$1:CB$87,'Fórmula'!F115,60)),IF(INDEX(properties!A$1:CB$87,'Fórmula'!H115,60)=0,10^6,INDEX(properties!A$1:CB$87,'Fórmula'!H115,60)),IF(INDEX(properties!A$1:CB$87,'Fórmula'!J115,60)=0,10^6,INDEX(properties!A$1:CB$87,'Fórmula'!J115,60)))</f>
        <v>0.02674</v>
      </c>
      <c r="GK115" s="105">
        <f t="shared" si="32"/>
        <v>173.97326</v>
      </c>
      <c r="GL115" s="106">
        <f t="array" ref="GL115">(('Fórmula'!C115)/('Fórmula'!C115+'Fórmula'!E115+'Fórmula'!G115+'Fórmula'!I115+'Fórmula'!K115))*(INDEX(properties!A$1:CB$87,'Fórmula'!B115,62))+(('Fórmula'!E115)/('Fórmula'!C115+'Fórmula'!E115+'Fórmula'!G115+'Fórmula'!I115+'Fórmula'!K115))*(INDEX(properties!A$1:CB$87,'Fórmula'!D115,62))+(('Fórmula'!G115)/('Fórmula'!C115+'Fórmula'!E115+'Fórmula'!G115+'Fórmula'!I115+'Fórmula'!K115))*(INDEX(properties!A$1:CB$87,'Fórmula'!F115,62))+(('Fórmula'!I115)/('Fórmula'!C115+'Fórmula'!E115+'Fórmula'!G115+'Fórmula'!I115+'Fórmula'!K115))*(INDEX(properties!A$1:CB$87,'Fórmula'!H115,62))+(('Fórmula'!K115)/('Fórmula'!C115+'Fórmula'!E115+'Fórmula'!G115+'Fórmula'!I115+'Fórmula'!K115))*(INDEX(properties!A$1:CB$87,'Fórmula'!J115,62))</f>
        <v>3.686916667</v>
      </c>
      <c r="GM115" s="106">
        <f t="array" ref="GM115">'Fórmula'!C115*(INDEX(properties!A$1:CB$87,'Fórmula'!B115,62))+'Fórmula'!E115*(INDEX(properties!A$1:CB$87,'Fórmula'!D115,62))+'Fórmula'!G115*(INDEX(properties!A$1:CB$87,'Fórmula'!F115,62))+'Fórmula'!I115*(INDEX(properties!A$1:CB$87,'Fórmula'!H115,62))+'Fórmula'!K115*(INDEX(properties!A$1:CB$87,'Fórmula'!J115,62))</f>
        <v>44.243</v>
      </c>
      <c r="GN115" s="106">
        <f t="array" ref="GN115">VARP(IF(INDEX(properties!A$1:CB$87,'Fórmula'!B115,62)&lt;&gt;"",INDEX(properties!A$1:CB$87,'Fórmula'!B115,62)),IF(INDEX(properties!A$1:CB$87,'Fórmula'!D115,62)&lt;&gt;"",INDEX(properties!A$1:CB$87,'Fórmula'!D115,62)),IF(INDEX(properties!A$1:CB$87,'Fórmula'!F115,62)&lt;&gt;"",INDEX(properties!A$1:CB$87,'Fórmula'!F115,62)),IF(INDEX(properties!A$1:CB$87,'Fórmula'!H115,62)&lt;&gt;"",INDEX(properties!A$1:CB$87,'Fórmula'!H115,62)),IF(INDEX(properties!A$1:CB$87,'Fórmula'!J115,62)&lt;&gt;"",INDEX(properties!A$1:CB$87,'Fórmula'!J115,62)))</f>
        <v>9.71793344</v>
      </c>
      <c r="GO115" s="106">
        <f t="array" ref="GO115">MAX(INDEX(properties!A$1:CB$87,'Fórmula'!B115,62),INDEX(properties!A$1:CB$87,'Fórmula'!D115,62),INDEX(properties!A$1:CB$87,'Fórmula'!F115,62),INDEX(properties!A$1:CB$87,'Fórmula'!H115,62),INDEX(properties!A$1:CB$87,'Fórmula'!J115,62))</f>
        <v>8.9</v>
      </c>
      <c r="GP115" s="106">
        <f t="array" ref="GP115">MIN(IF(INDEX(properties!A$1:CB$87,'Fórmula'!B115,62)=0,10^6,INDEX(properties!A$1:CB$87,'Fórmula'!B115,62)),IF(INDEX(properties!A$1:CB$87,'Fórmula'!D115,62)=0,10^6,INDEX(properties!A$1:CB$87,'Fórmula'!D115,62)),IF(INDEX(properties!A$1:CB$87,'Fórmula'!F115,62)=0,10^6,INDEX(properties!A$1:CB$87,'Fórmula'!F115,62)),IF(INDEX(properties!A$1:CB$87,'Fórmula'!H115,62)=0,10^6,INDEX(properties!A$1:CB$87,'Fórmula'!H115,62)),IF(INDEX(properties!A$1:CB$87,'Fórmula'!J115,62)=0,10^6,INDEX(properties!A$1:CB$87,'Fórmula'!J115,62)))</f>
        <v>1.113</v>
      </c>
      <c r="GQ115" s="106">
        <f t="shared" si="33"/>
        <v>7.787</v>
      </c>
      <c r="GR115" s="106">
        <f>'Fórmula'!Q115</f>
        <v>88</v>
      </c>
      <c r="GS115" s="107">
        <f>'Fórmula'!P115</f>
        <v>2</v>
      </c>
      <c r="GT115" s="113">
        <f>'Fórmula'!O115</f>
        <v>6.86</v>
      </c>
      <c r="GU115" s="114">
        <f>AVERAGE('Fórmula'!R115/'Fórmula'!S115,'Fórmula'!S115/'Fórmula'!T115,'Fórmula'!T115/'Fórmula'!R115)</f>
        <v>1.201689224</v>
      </c>
      <c r="GV115" s="125">
        <f>'Fórmula'!U115</f>
        <v>293.93</v>
      </c>
      <c r="GW115" s="106">
        <f>'Fórmula'!N115</f>
        <v>0.13</v>
      </c>
    </row>
    <row r="116" ht="14.25" customHeight="1">
      <c r="A116" s="99" t="str">
        <f>'Fórmula'!A116</f>
        <v>ZnGa2O4</v>
      </c>
      <c r="B116" s="101">
        <f t="array" ref="B116">(('Fórmula'!C116)/('Fórmula'!C116+'Fórmula'!E116+'Fórmula'!G116+'Fórmula'!I116+'Fórmula'!K116))*(INDEX(properties!A$1:CB$87,'Fórmula'!B116,3))+(('Fórmula'!E116)/('Fórmula'!C116+'Fórmula'!E116+'Fórmula'!G116+'Fórmula'!I116+'Fórmula'!K116))*(INDEX(properties!A$1:CB$87,'Fórmula'!D116,3))+(('Fórmula'!G116)/('Fórmula'!C116+'Fórmula'!E116+'Fórmula'!G116+'Fórmula'!I116+'Fórmula'!K116))*(INDEX(properties!A$1:CB$87,'Fórmula'!F116,3))+(('Fórmula'!I116)/('Fórmula'!C116+'Fórmula'!E116+'Fórmula'!G116+'Fórmula'!I116+'Fórmula'!K116))*(INDEX(properties!A$1:CB$87,'Fórmula'!H116,3))+(('Fórmula'!K116)/('Fórmula'!C116+'Fórmula'!E116+'Fórmula'!G116+'Fórmula'!I116+'Fórmula'!K116))*(INDEX(properties!A$1:CB$87,'Fórmula'!J116,3))</f>
        <v>38.40337143</v>
      </c>
      <c r="C116" s="101">
        <f t="array" ref="C116">'Fórmula'!C116*(INDEX(properties!A$1:CB$87,'Fórmula'!B116,3))+'Fórmula'!E116*(INDEX(properties!A$1:CB$87,'Fórmula'!D116,3))+'Fórmula'!G116*(INDEX(properties!A$1:CB$87,'Fórmula'!F116,3))+'Fórmula'!I116*(INDEX(properties!A$1:CB$87,'Fórmula'!H116,3))+'Fórmula'!K116*(INDEX(properties!A$1:CB$87,'Fórmula'!J116,3))</f>
        <v>268.8236</v>
      </c>
      <c r="D116" s="101">
        <f t="array" ref="D116">VARP(IF(INDEX(properties!A$1:CB$87,'Fórmula'!B116,3)&lt;&gt;"",INDEX(properties!A$1:CB$87,'Fórmula'!B116,3)),IF(INDEX(properties!A$1:CB$87,'Fórmula'!D116,3)&lt;&gt;"",INDEX(properties!A$1:CB$87,'Fórmula'!D116,3)),IF(INDEX(properties!A$1:CB$87,'Fórmula'!F116,3)&lt;&gt;"",INDEX(properties!A$1:CB$87,'Fórmula'!F116,3)),IF(INDEX(properties!A$1:CB$87,'Fórmula'!H116,3)&lt;&gt;"",INDEX(properties!A$1:CB$87,'Fórmula'!H116,3)),IF(INDEX(properties!A$1:CB$87,'Fórmula'!J116,3)&lt;&gt;"",INDEX(properties!A$1:CB$87,'Fórmula'!J116,3)))</f>
        <v>965.0869744</v>
      </c>
      <c r="E116" s="101">
        <f t="array" ref="E116">MAX(INDEX(properties!A$1:CB$87,'Fórmula'!B116,3),INDEX(properties!A$1:CB$87,'Fórmula'!D116,3),INDEX(properties!A$1:CB$87,'Fórmula'!F116,3),INDEX(properties!A$1:CB$87,'Fórmula'!H116,3),INDEX(properties!A$1:CB$87,'Fórmula'!J116,3))</f>
        <v>69.723</v>
      </c>
      <c r="F116" s="101">
        <f t="array" ref="F116">MIN(IF(INDEX(properties!A$1:CB$87,'Fórmula'!B116,3)=0,10^6,INDEX(properties!A$1:CB$87,'Fórmula'!B116,3)),IF(INDEX(properties!A$1:CB$87,'Fórmula'!D116,3)=0,10^6,INDEX(properties!A$1:CB$87,'Fórmula'!D116,3)),IF(INDEX(properties!A$1:CB$87,'Fórmula'!F116,3)=0,10^6,INDEX(properties!A$1:CB$87,'Fórmula'!F116,3)),IF(INDEX(properties!A$1:CB$87,'Fórmula'!H116,3)=0,10^6,INDEX(properties!A$1:CB$87,'Fórmula'!H116,3)),IF(INDEX(properties!A$1:CB$87,'Fórmula'!J116,3)=0,10^6,INDEX(properties!A$1:CB$87,'Fórmula'!J116,3)))</f>
        <v>15.9994</v>
      </c>
      <c r="G116" s="101">
        <f t="shared" si="1"/>
        <v>53.7236</v>
      </c>
      <c r="H116" s="102">
        <f t="array" ref="H116">(('Fórmula'!C116)/('Fórmula'!C116+'Fórmula'!E116+'Fórmula'!G116+'Fórmula'!I116+'Fórmula'!K116))*(INDEX(properties!A$1:CB$87,'Fórmula'!B116,4))+(('Fórmula'!E116)/('Fórmula'!C116+'Fórmula'!E116+'Fórmula'!G116+'Fórmula'!I116+'Fórmula'!K116))*(INDEX(properties!A$1:CB$87,'Fórmula'!D116,4))+(('Fórmula'!G116)/('Fórmula'!C116+'Fórmula'!E116+'Fórmula'!G116+'Fórmula'!I116+'Fórmula'!K116))*(INDEX(properties!A$1:CB$87,'Fórmula'!F116,4))+(('Fórmula'!I116)/('Fórmula'!C116+'Fórmula'!E116+'Fórmula'!G116+'Fórmula'!I116+'Fórmula'!K116))*(INDEX(properties!A$1:CB$87,'Fórmula'!H116,4))+(('Fórmula'!K116)/('Fórmula'!C116+'Fórmula'!E116+'Fórmula'!G116+'Fórmula'!I116+'Fórmula'!K116))*(INDEX(properties!A$1:CB$87,'Fórmula'!J116,4))</f>
        <v>17.71428571</v>
      </c>
      <c r="I116" s="102">
        <f t="array" ref="I116">'Fórmula'!C116*(INDEX(properties!A$1:CB$87,'Fórmula'!B116,4))+'Fórmula'!E116*(INDEX(properties!A$1:CB$87,'Fórmula'!D116,4))+'Fórmula'!G116*(INDEX(properties!A$1:CB$87,'Fórmula'!F116,4))+'Fórmula'!I116*(INDEX(properties!A$1:CB$87,'Fórmula'!H116,4))+'Fórmula'!K116*(INDEX(properties!A$1:CB$87,'Fórmula'!J116,4))</f>
        <v>124</v>
      </c>
      <c r="J116" s="102">
        <f t="array" ref="J116">VARP(IF(INDEX(properties!A$1:CB$87,'Fórmula'!B116,4)&lt;&gt;"",INDEX(properties!A$1:CB$87,'Fórmula'!B116,4)),IF(INDEX(properties!A$1:CB$87,'Fórmula'!D116,4)&lt;&gt;"",INDEX(properties!A$1:CB$87,'Fórmula'!D116,4)),IF(INDEX(properties!A$1:CB$87,'Fórmula'!F116,4)&lt;&gt;"",INDEX(properties!A$1:CB$87,'Fórmula'!F116,4)),IF(INDEX(properties!A$1:CB$87,'Fórmula'!H116,4)&lt;&gt;"",INDEX(properties!A$1:CB$87,'Fórmula'!H116,4)),IF(INDEX(properties!A$1:CB$87,'Fórmula'!J116,4)&lt;&gt;"",INDEX(properties!A$1:CB$87,'Fórmula'!J116,4)))</f>
        <v>194.56</v>
      </c>
      <c r="K116" s="102">
        <f t="array" ref="K116">MAX(INDEX(properties!A$1:CB$87,'Fórmula'!B116,4),INDEX(properties!A$1:CB$87,'Fórmula'!D116,4),INDEX(properties!A$1:CB$87,'Fórmula'!F116,4),INDEX(properties!A$1:CB$87,'Fórmula'!H116,4),INDEX(properties!A$1:CB$87,'Fórmula'!J116,4))</f>
        <v>31</v>
      </c>
      <c r="L116" s="102">
        <f t="array" ref="L116">MIN(IF(INDEX(properties!A$1:CB$87,'Fórmula'!B116,4)=0,10^6,INDEX(properties!A$1:CB$87,'Fórmula'!B116,4)),IF(INDEX(properties!A$1:CB$87,'Fórmula'!D116,4)=0,10^6,INDEX(properties!A$1:CB$87,'Fórmula'!D116,4)),IF(INDEX(properties!A$1:CB$87,'Fórmula'!F116,4)=0,10^6,INDEX(properties!A$1:CB$87,'Fórmula'!F116,4)),IF(INDEX(properties!A$1:CB$87,'Fórmula'!H116,4)=0,10^6,INDEX(properties!A$1:CB$87,'Fórmula'!H116,4)),IF(INDEX(properties!A$1:CB$87,'Fórmula'!J116,4)=0,10^6,INDEX(properties!A$1:CB$87,'Fórmula'!J116,4)))</f>
        <v>8</v>
      </c>
      <c r="M116" s="102">
        <f t="shared" si="2"/>
        <v>23</v>
      </c>
      <c r="N116" s="103">
        <f t="array" ref="N116">(('Fórmula'!C116)/('Fórmula'!C116+'Fórmula'!E116+'Fórmula'!G116+'Fórmula'!I116+'Fórmula'!K116))*(INDEX(properties!A$1:CB$87,'Fórmula'!B116,5))+(('Fórmula'!E116)/('Fórmula'!C116+'Fórmula'!E116+'Fórmula'!G116+'Fórmula'!I116+'Fórmula'!K116))*(INDEX(properties!A$1:CB$87,'Fórmula'!D116,5))+(('Fórmula'!G116)/('Fórmula'!C116+'Fórmula'!E116+'Fórmula'!G116+'Fórmula'!I116+'Fórmula'!K116))*(INDEX(properties!A$1:CB$87,'Fórmula'!F116,5))+(('Fórmula'!I116)/('Fórmula'!C116+'Fórmula'!E116+'Fórmula'!G116+'Fórmula'!I116+'Fórmula'!K116))*(INDEX(properties!A$1:CB$87,'Fórmula'!H116,5))+(('Fórmula'!K116)/('Fórmula'!C116+'Fórmula'!E116+'Fórmula'!G116+'Fórmula'!I116+'Fórmula'!K116))*(INDEX(properties!A$1:CB$87,'Fórmula'!J116,5))</f>
        <v>2.857142857</v>
      </c>
      <c r="O116" s="103">
        <f t="array" ref="O116">'Fórmula'!C116*(INDEX(properties!A$1:CB$87,'Fórmula'!B116,5))+'Fórmula'!E116*(INDEX(properties!A$1:CB$87,'Fórmula'!D116,5))+'Fórmula'!G116*(INDEX(properties!A$1:CB$87,'Fórmula'!F116,5))+'Fórmula'!I116*(INDEX(properties!A$1:CB$87,'Fórmula'!H116,5))+'Fórmula'!K116*(INDEX(properties!A$1:CB$87,'Fórmula'!J116,5))</f>
        <v>20</v>
      </c>
      <c r="P116" s="103">
        <f t="array" ref="P116">VARP(IF(INDEX(properties!A$1:CB$87,'Fórmula'!B116,5)&lt;&gt;"",INDEX(properties!A$1:CB$87,'Fórmula'!B116,5)),IF(INDEX(properties!A$1:CB$87,'Fórmula'!D116,5)&lt;&gt;"",INDEX(properties!A$1:CB$87,'Fórmula'!D116,5)),IF(INDEX(properties!A$1:CB$87,'Fórmula'!F116,5)&lt;&gt;"",INDEX(properties!A$1:CB$87,'Fórmula'!F116,5)),IF(INDEX(properties!A$1:CB$87,'Fórmula'!H116,5)&lt;&gt;"",INDEX(properties!A$1:CB$87,'Fórmula'!H116,5)),IF(INDEX(properties!A$1:CB$87,'Fórmula'!J116,5)&lt;&gt;"",INDEX(properties!A$1:CB$87,'Fórmula'!J116,5)))</f>
        <v>3.2</v>
      </c>
      <c r="Q116" s="103">
        <f t="array" ref="Q116">MAX(INDEX(properties!A$1:CB$87,'Fórmula'!B116,5),INDEX(properties!A$1:CB$87,'Fórmula'!D116,5),INDEX(properties!A$1:CB$87,'Fórmula'!F116,5),INDEX(properties!A$1:CB$87,'Fórmula'!H116,5),INDEX(properties!A$1:CB$87,'Fórmula'!J116,5))</f>
        <v>4</v>
      </c>
      <c r="R116" s="103">
        <f t="array" ref="R116">MIN(IF(INDEX(properties!A$1:CB$87,'Fórmula'!B116,5)=0,10^6,INDEX(properties!A$1:CB$87,'Fórmula'!B116,5)),IF(INDEX(properties!A$1:CB$87,'Fórmula'!D116,5)=0,10^6,INDEX(properties!A$1:CB$87,'Fórmula'!D116,5)),IF(INDEX(properties!A$1:CB$87,'Fórmula'!F116,5)=0,10^6,INDEX(properties!A$1:CB$87,'Fórmula'!F116,5)),IF(INDEX(properties!A$1:CB$87,'Fórmula'!H116,5)=0,10^6,INDEX(properties!A$1:CB$87,'Fórmula'!H116,5)),IF(INDEX(properties!A$1:CB$87,'Fórmula'!J116,5)=0,10^6,INDEX(properties!A$1:CB$87,'Fórmula'!J116,5)))</f>
        <v>2</v>
      </c>
      <c r="S116" s="103">
        <f t="shared" si="3"/>
        <v>2</v>
      </c>
      <c r="T116" s="104">
        <f t="array" ref="T116">(('Fórmula'!C116)/('Fórmula'!C116+'Fórmula'!E116+'Fórmula'!G116+'Fórmula'!I116+'Fórmula'!K116))*(INDEX(properties!A$1:CB$87,'Fórmula'!B116,6))+(('Fórmula'!E116)/('Fórmula'!C116+'Fórmula'!E116+'Fórmula'!G116+'Fórmula'!I116+'Fórmula'!K116))*(INDEX(properties!A$1:CB$87,'Fórmula'!D116,6))+(('Fórmula'!G116)/('Fórmula'!C116+'Fórmula'!E116+'Fórmula'!G116+'Fórmula'!I116+'Fórmula'!K116))*(INDEX(properties!A$1:CB$87,'Fórmula'!F116,6))+(('Fórmula'!I116)/('Fórmula'!C116+'Fórmula'!E116+'Fórmula'!G116+'Fórmula'!I116+'Fórmula'!K116))*(INDEX(properties!A$1:CB$87,'Fórmula'!H116,6))+(('Fórmula'!K116)/('Fórmula'!C116+'Fórmula'!E116+'Fórmula'!G116+'Fórmula'!I116+'Fórmula'!K116))*(INDEX(properties!A$1:CB$87,'Fórmula'!J116,6))</f>
        <v>14.57142857</v>
      </c>
      <c r="U116" s="104">
        <f t="array" ref="U116">'Fórmula'!C116*(INDEX(properties!A$1:CB$87,'Fórmula'!B116,6))+'Fórmula'!E116*(INDEX(properties!A$1:CB$87,'Fórmula'!D116,6))+'Fórmula'!G116*(INDEX(properties!A$1:CB$87,'Fórmula'!F116,6))+'Fórmula'!I116*(INDEX(properties!A$1:CB$87,'Fórmula'!H116,6))+'Fórmula'!K116*(INDEX(properties!A$1:CB$87,'Fórmula'!J116,6))</f>
        <v>102</v>
      </c>
      <c r="V116" s="103">
        <f t="array" ref="V116">VARP(IF(INDEX(properties!A$1:CB$87,'Fórmula'!B116,6)&lt;&gt;"",INDEX(properties!A$1:CB$87,'Fórmula'!B116,6)),IF(INDEX(properties!A$1:CB$87,'Fórmula'!D116,6)&lt;&gt;"",INDEX(properties!A$1:CB$87,'Fórmula'!D116,6)),IF(INDEX(properties!A$1:CB$87,'Fórmula'!F116,6)&lt;&gt;"",INDEX(properties!A$1:CB$87,'Fórmula'!F116,6)),IF(INDEX(properties!A$1:CB$87,'Fórmula'!H116,6)&lt;&gt;"",INDEX(properties!A$1:CB$87,'Fórmula'!H116,6)),IF(INDEX(properties!A$1:CB$87,'Fórmula'!J116,6)&lt;&gt;"",INDEX(properties!A$1:CB$87,'Fórmula'!J116,6)))</f>
        <v>46.56</v>
      </c>
      <c r="W116" s="104">
        <f t="array" ref="W116">MAX(INDEX(properties!A$1:CB$87,'Fórmula'!B116,6),INDEX(properties!A$1:CB$87,'Fórmula'!D116,6),INDEX(properties!A$1:CB$87,'Fórmula'!F116,6),INDEX(properties!A$1:CB$87,'Fórmula'!H116,4),INDEX(properties!A$1:CB$87,'Fórmula'!J116,6))</f>
        <v>16</v>
      </c>
      <c r="X116" s="104">
        <f t="array" ref="X116">MIN(IF(INDEX(properties!A$1:CB$87,'Fórmula'!B116,6)=0,10^6,INDEX(properties!A$1:CB$87,'Fórmula'!B116,6)),IF(INDEX(properties!A$1:CB$87,'Fórmula'!D116,6)=0,10^6,INDEX(properties!A$1:CB$87,'Fórmula'!D116,6)),IF(INDEX(properties!A$1:CB$87,'Fórmula'!F116,6)=0,10^6,INDEX(properties!A$1:CB$87,'Fórmula'!F116,6)),IF(INDEX(properties!A$1:CB$87,'Fórmula'!H116,6)=0,10^6,INDEX(properties!A$1:CB$87,'Fórmula'!H116,6)),IF(INDEX(properties!A$1:CB$87,'Fórmula'!J116,6)=0,10^6,INDEX(properties!A$1:CB$87,'Fórmula'!J116,6)))</f>
        <v>12</v>
      </c>
      <c r="Y116" s="104">
        <f t="shared" si="4"/>
        <v>4</v>
      </c>
      <c r="Z116" s="105">
        <f t="array" ref="Z116">(('Fórmula'!C116)/('Fórmula'!C116+'Fórmula'!E116+'Fórmula'!G116+'Fórmula'!I116+'Fórmula'!K116))*(INDEX(properties!A$1:CB$87,'Fórmula'!B116,9))+(('Fórmula'!E116)/('Fórmula'!C116+'Fórmula'!E116+'Fórmula'!G116+'Fórmula'!I116+'Fórmula'!K116))*(INDEX(properties!A$1:CB$87,'Fórmula'!D116,9))+(('Fórmula'!G116)/('Fórmula'!C116+'Fórmula'!E116+'Fórmula'!G116+'Fórmula'!I116+'Fórmula'!K116))*(INDEX(properties!A$1:CB$87,'Fórmula'!F116,9))+(('Fórmula'!I116)/('Fórmula'!C116+'Fórmula'!E116+'Fórmula'!G116+'Fórmula'!I116+'Fórmula'!K116))*(INDEX(properties!A$1:CB$87,'Fórmula'!H116,9))+(('Fórmula'!K116)/('Fórmula'!C116+'Fórmula'!E116+'Fórmula'!G116+'Fórmula'!I116+'Fórmula'!K116))*(INDEX(properties!A$1:CB$87,'Fórmula'!J116,9))</f>
        <v>80.71428571</v>
      </c>
      <c r="AA116" s="105">
        <f t="array" ref="AA116">'Fórmula'!C116*(INDEX(properties!A$1:CB$87,'Fórmula'!B116,9))+'Fórmula'!E116*(INDEX(properties!A$1:CB$87,'Fórmula'!D116,9))+'Fórmula'!G116*(INDEX(properties!A$1:CB$87,'Fórmula'!F116,9))+'Fórmula'!I116*(INDEX(properties!A$1:CB$87,'Fórmula'!H116,9))+'Fórmula'!K116*(INDEX(properties!A$1:CB$87,'Fórmula'!J116,9))</f>
        <v>565</v>
      </c>
      <c r="AB116" s="105">
        <f t="array" ref="AB116">VARP(IF(INDEX(properties!A$1:CB$87,'Fórmula'!B116,9)&lt;&gt;"",INDEX(properties!A$1:CB$87,'Fórmula'!B116,9)),IF(INDEX(properties!A$1:CB$87,'Fórmula'!D116,9)&lt;&gt;"",INDEX(properties!A$1:CB$87,'Fórmula'!D116,9)),IF(INDEX(properties!A$1:CB$87,'Fórmula'!F116,9)&lt;&gt;"",INDEX(properties!A$1:CB$87,'Fórmula'!F116,9)),IF(INDEX(properties!A$1:CB$87,'Fórmula'!H116,9)&lt;&gt;"",INDEX(properties!A$1:CB$87,'Fórmula'!H116,9)),IF(INDEX(properties!A$1:CB$87,'Fórmula'!J116,9)&lt;&gt;"",INDEX(properties!A$1:CB$87,'Fórmula'!J116,9)))</f>
        <v>1445.2</v>
      </c>
      <c r="AC116" s="105">
        <f t="array" ref="AC116">MAX(INDEX(properties!A$1:CB$87,'Fórmula'!B116,9),INDEX(properties!A$1:CB$87,'Fórmula'!D116,9),INDEX(properties!A$1:CB$87,'Fórmula'!F116,9),INDEX(properties!A$1:CB$87,'Fórmula'!H116,9),INDEX(properties!A$1:CB$87,'Fórmula'!J116,9))</f>
        <v>87</v>
      </c>
      <c r="AD116" s="105">
        <f t="array" ref="AD116">MIN(IF(INDEX(properties!A$1:CB$87,'Fórmula'!B116,9)=0,10^6,INDEX(properties!A$1:CB$87,'Fórmula'!B116,9)),IF(INDEX(properties!A$1:CB$87,'Fórmula'!D116,9)=0,10^6,INDEX(properties!A$1:CB$87,'Fórmula'!D116,9)),IF(INDEX(properties!A$1:CB$87,'Fórmula'!F116,9)=0,10^6,INDEX(properties!A$1:CB$87,'Fórmula'!F116,9)),IF(INDEX(properties!A$1:CB$87,'Fórmula'!H116,9)=0,10^6,INDEX(properties!A$1:CB$87,'Fórmula'!H116,9)),IF(INDEX(properties!A$1:CB$87,'Fórmula'!J116,9)=0,10^6,INDEX(properties!A$1:CB$87,'Fórmula'!J116,9)))</f>
        <v>69</v>
      </c>
      <c r="AE116" s="105">
        <f t="shared" si="5"/>
        <v>18</v>
      </c>
      <c r="AF116" s="106">
        <f t="array" ref="AF116">(('Fórmula'!C116)/('Fórmula'!C116+'Fórmula'!E116+'Fórmula'!G116+'Fórmula'!I116+'Fórmula'!K116))*(INDEX(properties!A$1:CB$87,'Fórmula'!B116,10))+(('Fórmula'!E116)/('Fórmula'!C116+'Fórmula'!E116+'Fórmula'!G116+'Fórmula'!I116+'Fórmula'!K116))*(INDEX(properties!A$1:CB$87,'Fórmula'!D116,10))+(('Fórmula'!G116)/('Fórmula'!C116+'Fórmula'!E116+'Fórmula'!G116+'Fórmula'!I116+'Fórmula'!K116))*(INDEX(properties!A$1:CB$87,'Fórmula'!F116,10))+(('Fórmula'!I116)/('Fórmula'!C116+'Fórmula'!E116+'Fórmula'!G116+'Fórmula'!I116+'Fórmula'!K116))*(INDEX(properties!A$1:CB$87,'Fórmula'!H116,10))+(('Fórmula'!K116)/('Fórmula'!C116+'Fórmula'!E116+'Fórmula'!G116+'Fórmula'!I116+'Fórmula'!K116))*(INDEX(properties!A$1:CB$87,'Fórmula'!J116,10))</f>
        <v>6</v>
      </c>
      <c r="AG116" s="106">
        <f t="array" ref="AG116">'Fórmula'!C116*(INDEX(properties!A$1:CB$87,'Fórmula'!B116,10))+'Fórmula'!E116*(INDEX(properties!A$1:CB$87,'Fórmula'!D116,10))+'Fórmula'!G116*(INDEX(properties!A$1:CB$87,'Fórmula'!F116,10))+'Fórmula'!I116*(INDEX(properties!A$1:CB$87,'Fórmula'!H116,10))+'Fórmula'!K116*(INDEX(properties!A$1:CB$87,'Fórmula'!J116,10))</f>
        <v>42</v>
      </c>
      <c r="AH116" s="106">
        <f t="array" ref="AH116">VARP(IF(INDEX(properties!A$1:CB$87,'Fórmula'!B116,10)&lt;&gt;"",INDEX(properties!A$1:CB$87,'Fórmula'!B116,10)),IF(INDEX(properties!A$1:CB$87,'Fórmula'!D116,10)&lt;&gt;"",INDEX(properties!A$1:CB$87,'Fórmula'!D116,10)),IF(INDEX(properties!A$1:CB$87,'Fórmula'!F116,10)&lt;&gt;"",INDEX(properties!A$1:CB$87,'Fórmula'!F116,10)),IF(INDEX(properties!A$1:CB$87,'Fórmula'!H116,10)&lt;&gt;"",INDEX(properties!A$1:CB$87,'Fórmula'!H116,10)),IF(INDEX(properties!A$1:CB$87,'Fórmula'!J116,10)&lt;&gt;"",INDEX(properties!A$1:CB$87,'Fórmula'!J116,10)))</f>
        <v>7.76</v>
      </c>
      <c r="AI116" s="106">
        <f t="array" ref="AI116">MAX(INDEX(properties!A$1:CB$87,'Fórmula'!B116,10),INDEX(properties!A$1:CB$87,'Fórmula'!D116,10),INDEX(properties!A$1:CB$87,'Fórmula'!F116,10),INDEX(properties!A$1:CB$87,'Fórmula'!H116,10),INDEX(properties!A$1:CB$87,'Fórmula'!J116,10))</f>
        <v>7</v>
      </c>
      <c r="AJ116" s="106">
        <f t="array" ref="AJ116">MIN(IF(INDEX(properties!A$1:CB$87,'Fórmula'!B116,10)=0,10^6,INDEX(properties!A$1:CB$87,'Fórmula'!B116,10)),IF(INDEX(properties!A$1:CB$87,'Fórmula'!D116,10)=0,10^6,INDEX(properties!A$1:CB$87,'Fórmula'!D116,10)),IF(INDEX(properties!A$1:CB$87,'Fórmula'!F116,10)=0,10^6,INDEX(properties!A$1:CB$87,'Fórmula'!F116,10)),IF(INDEX(properties!A$1:CB$87,'Fórmula'!H116,10)=0,10^6,INDEX(properties!A$1:CB$87,'Fórmula'!H116,10)),IF(INDEX(properties!A$1:CB$87,'Fórmula'!J116,10)=0,10^6,INDEX(properties!A$1:CB$87,'Fórmula'!J116,10)))</f>
        <v>4</v>
      </c>
      <c r="AK116" s="106">
        <f t="shared" si="6"/>
        <v>3</v>
      </c>
      <c r="AL116" s="107">
        <f t="array" ref="AL116">(('Fórmula'!C116)/('Fórmula'!C116+'Fórmula'!E116+'Fórmula'!G116+'Fórmula'!I116+'Fórmula'!K116))*(INDEX(properties!A$1:CB$87,'Fórmula'!B116,11))+(('Fórmula'!E116)/('Fórmula'!C116+'Fórmula'!E116+'Fórmula'!G116+'Fórmula'!I116+'Fórmula'!K116))*(INDEX(properties!A$1:CB$87,'Fórmula'!D116,11))+(('Fórmula'!G116)/('Fórmula'!C116+'Fórmula'!E116+'Fórmula'!G116+'Fórmula'!I116+'Fórmula'!K116))*(INDEX(properties!A$1:CB$87,'Fórmula'!F116,11))+(('Fórmula'!I116)/('Fórmula'!C116+'Fórmula'!E116+'Fórmula'!G116+'Fórmula'!I116+'Fórmula'!K116))*(INDEX(properties!A$1:CB$87,'Fórmula'!H116,11))+(('Fórmula'!K116)/('Fórmula'!C116+'Fórmula'!E116+'Fórmula'!G116+'Fórmula'!I116+'Fórmula'!K116))*(INDEX(properties!A$1:CB$87,'Fórmula'!J116,11))</f>
        <v>2</v>
      </c>
      <c r="AM116" s="107">
        <f t="array" ref="AM116">'Fórmula'!C116*(INDEX(properties!A$1:CB$87,'Fórmula'!B116,11))+'Fórmula'!E116*(INDEX(properties!A$1:CB$87,'Fórmula'!D116,11))+'Fórmula'!G116*(INDEX(properties!A$1:CB$87,'Fórmula'!F116,11))+'Fórmula'!I116*(INDEX(properties!A$1:CB$87,'Fórmula'!H116,11))+'Fórmula'!K116*(INDEX(properties!A$1:CB$87,'Fórmula'!J116,11))</f>
        <v>14</v>
      </c>
      <c r="AN116" s="107">
        <f t="array" ref="AN116">VARP(IF(INDEX(properties!A$1:CB$87,'Fórmula'!B116,11)&lt;&gt;"",INDEX(properties!A$1:CB$87,'Fórmula'!B116,11)),IF(INDEX(properties!A$1:CB$87,'Fórmula'!D116,11)&lt;&gt;"",INDEX(properties!A$1:CB$87,'Fórmula'!D116,11)),IF(INDEX(properties!A$1:CB$87,'Fórmula'!F116,11)&lt;&gt;"",INDEX(properties!A$1:CB$87,'Fórmula'!F116,11)),IF(INDEX(properties!A$1:CB$87,'Fórmula'!H116,11)&lt;&gt;"",INDEX(properties!A$1:CB$87,'Fórmula'!H116,11)),IF(INDEX(properties!A$1:CB$87,'Fórmula'!J116,11)&lt;&gt;"",INDEX(properties!A$1:CB$87,'Fórmula'!J116,11)))</f>
        <v>0.96</v>
      </c>
      <c r="AO116" s="107">
        <f t="array" ref="AO116">MAX(INDEX(properties!A$1:CB$87,'Fórmula'!B116,11),INDEX(properties!A$1:CB$87,'Fórmula'!D116,11),INDEX(properties!A$1:CB$87,'Fórmula'!F116,11),INDEX(properties!A$1:CB$87,'Fórmula'!H116,11),INDEX(properties!A$1:CB$87,'Fórmula'!J116,11))</f>
        <v>2</v>
      </c>
      <c r="AP116" s="107">
        <f t="array" ref="AP116">MIN(IF('Fórmula'!B116=87,10^6,INDEX(properties!A$1:CB$87,'Fórmula'!B116,11)),IF(('Fórmula'!D116)=87,10^6,INDEX(properties!A$1:CB$87,'Fórmula'!D116,11)),IF(('Fórmula'!F116)=87,10^6,INDEX(properties!A$1:CB$87,'Fórmula'!F116,11)),IF(('Fórmula'!H116)=87,10^6,INDEX(properties!A$1:CB$87,'Fórmula'!H116,11)),IF('Fórmula'!J116=87,10^6,INDEX(properties!A$1:CB$87,'Fórmula'!J116,11)))</f>
        <v>2</v>
      </c>
      <c r="AQ116" s="107">
        <f t="shared" si="7"/>
        <v>0</v>
      </c>
      <c r="AR116" s="108">
        <f t="array" ref="AR116">(('Fórmula'!C116)/('Fórmula'!C116+'Fórmula'!E116+'Fórmula'!G116+'Fórmula'!I116+'Fórmula'!K116))*(INDEX(properties!A$1:CB$87,'Fórmula'!B116,12))+(('Fórmula'!E116)/('Fórmula'!C116+'Fórmula'!E116+'Fórmula'!G116+'Fórmula'!I116+'Fórmula'!K116))*(INDEX(properties!A$1:CB$87,'Fórmula'!D116,12))+(('Fórmula'!G116)/('Fórmula'!C116+'Fórmula'!E116+'Fórmula'!G116+'Fórmula'!I116+'Fórmula'!K116))*(INDEX(properties!A$1:CB$87,'Fórmula'!F116,12))+(('Fórmula'!I116)/('Fórmula'!C116+'Fórmula'!E116+'Fórmula'!G116+'Fórmula'!I116+'Fórmula'!K116))*(INDEX(properties!A$1:CB$87,'Fórmula'!H116,12))+(('Fórmula'!K116)/('Fórmula'!C116+'Fórmula'!E116+'Fórmula'!G116+'Fórmula'!I116+'Fórmula'!K116))*(INDEX(properties!A$1:CB$87,'Fórmula'!J116,12))</f>
        <v>2.571428571</v>
      </c>
      <c r="AS116" s="108">
        <f t="array" ref="AS116">'Fórmula'!C116*(INDEX(properties!A$1:CB$87,'Fórmula'!B116,12))+'Fórmula'!E116*(INDEX(properties!A$1:CB$87,'Fórmula'!D116,12))+'Fórmula'!G116*(INDEX(properties!A$1:CB$87,'Fórmula'!F116,12))+'Fórmula'!I116*(INDEX(properties!A$1:CB$87,'Fórmula'!H116,12))+'Fórmula'!K116*(INDEX(properties!A$1:CB$87,'Fórmula'!J116,12))</f>
        <v>18</v>
      </c>
      <c r="AT116" s="108">
        <f t="array" ref="AT116">VARP(IF(INDEX(properties!A$1:CB$87,'Fórmula'!B116,12)&lt;&gt;"",INDEX(properties!A$1:CB$87,'Fórmula'!B116,12)),IF(INDEX(properties!A$1:CB$87,'Fórmula'!D116,12)&lt;&gt;"",INDEX(properties!A$1:CB$87,'Fórmula'!D116,12)),IF(INDEX(properties!A$1:CB$87,'Fórmula'!F116,12)&lt;&gt;"",INDEX(properties!A$1:CB$87,'Fórmula'!F116,12)),IF(INDEX(properties!A$1:CB$87,'Fórmula'!H116,12)&lt;&gt;"",INDEX(properties!A$1:CB$87,'Fórmula'!H116,12)),IF(INDEX(properties!A$1:CB$87,'Fórmula'!J116,12)&lt;&gt;"",INDEX(properties!A$1:CB$87,'Fórmula'!J116,12)))</f>
        <v>2.4</v>
      </c>
      <c r="AU116" s="108">
        <f t="array" ref="AU116">MAX(INDEX(properties!A$1:CB$87,'Fórmula'!B116,12),INDEX(properties!A$1:CB$87,'Fórmula'!D116,12),INDEX(properties!A$1:CB$87,'Fórmula'!F116,12),INDEX(properties!A$1:CB$87,'Fórmula'!H116,12),INDEX(properties!A$1:CB$87,'Fórmula'!J116,12))</f>
        <v>4</v>
      </c>
      <c r="AV116" s="108">
        <f t="array" ref="AV116">MIN(IF('Fórmula'!B116=87,10^6,INDEX(properties!A$1:CB$87,'Fórmula'!B116,12)),IF(('Fórmula'!D116)=87,10^6,INDEX(properties!A$1:CB$87,'Fórmula'!D116,12)),IF(('Fórmula'!F116)=87,10^6,INDEX(properties!A$1:CB$87,'Fórmula'!F116,12)),IF(('Fórmula'!H116)=87,10^6,INDEX(properties!A$1:CB$87,'Fórmula'!H116,12)),IF('Fórmula'!J116=87,10^6,INDEX(properties!A$1:CB$87,'Fórmula'!J116,12)))</f>
        <v>0</v>
      </c>
      <c r="AW116" s="108">
        <f t="shared" si="8"/>
        <v>4</v>
      </c>
      <c r="AX116" s="109">
        <f t="array" ref="AX116">(('Fórmula'!C116)/('Fórmula'!C116+'Fórmula'!E116+'Fórmula'!G116+'Fórmula'!I116+'Fórmula'!K116))*(INDEX(properties!A$1:CB$87,'Fórmula'!B116,13))+(('Fórmula'!E116)/('Fórmula'!C116+'Fórmula'!E116+'Fórmula'!G116+'Fórmula'!I116+'Fórmula'!K116))*(INDEX(properties!A$1:CB$87,'Fórmula'!D116,13))+(('Fórmula'!G116)/('Fórmula'!C116+'Fórmula'!E116+'Fórmula'!G116+'Fórmula'!I116+'Fórmula'!K116))*(INDEX(properties!A$1:CB$87,'Fórmula'!F116,13))+(('Fórmula'!I116)/('Fórmula'!C116+'Fórmula'!E116+'Fórmula'!G116+'Fórmula'!I116+'Fórmula'!K116))*(INDEX(properties!A$1:CB$87,'Fórmula'!H116,13))+(('Fórmula'!K116)/('Fórmula'!C116+'Fórmula'!E116+'Fórmula'!G116+'Fórmula'!I116+'Fórmula'!K116))*(INDEX(properties!A$1:CB$87,'Fórmula'!J116,13))</f>
        <v>4.285714286</v>
      </c>
      <c r="AY116" s="109">
        <f t="array" ref="AY116">'Fórmula'!C116*(INDEX(properties!A$1:CB$87,'Fórmula'!B116,13))+'Fórmula'!E116*(INDEX(properties!A$1:CB$87,'Fórmula'!D116,13))+'Fórmula'!G116*(INDEX(properties!A$1:CB$87,'Fórmula'!F116,13))+'Fórmula'!I116*(INDEX(properties!A$1:CB$87,'Fórmula'!H116,13))+'Fórmula'!K116*(INDEX(properties!A$1:CB$87,'Fórmula'!J116,13))</f>
        <v>30</v>
      </c>
      <c r="AZ116" s="109">
        <f t="array" ref="AZ116">VARP(IF(INDEX(properties!A$1:CB$87,'Fórmula'!B116,13)&lt;&gt;"",INDEX(properties!A$1:CB$87,'Fórmula'!B116,13)),IF(INDEX(properties!A$1:CB$87,'Fórmula'!D116,13)&lt;&gt;"",INDEX(properties!A$1:CB$87,'Fórmula'!D116,13)),IF(INDEX(properties!A$1:CB$87,'Fórmula'!F116,13)&lt;&gt;"",INDEX(properties!A$1:CB$87,'Fórmula'!F116,13)),IF(INDEX(properties!A$1:CB$87,'Fórmula'!H116,13)&lt;&gt;"",INDEX(properties!A$1:CB$87,'Fórmula'!H116,13)),IF(INDEX(properties!A$1:CB$87,'Fórmula'!J116,13)&lt;&gt;"",INDEX(properties!A$1:CB$87,'Fórmula'!J116,13)))</f>
        <v>24</v>
      </c>
      <c r="BA116" s="109">
        <f t="array" ref="BA116">MAX(INDEX(properties!A$1:CB$87,'Fórmula'!B116,13),INDEX(properties!A$1:CB$87,'Fórmula'!D116,13),INDEX(properties!A$1:CB$87,'Fórmula'!F116,13),INDEX(properties!A$1:CB$87,'Fórmula'!H116,13),INDEX(properties!A$1:CB$87,'Fórmula'!J116,13))</f>
        <v>10</v>
      </c>
      <c r="BB116" s="109">
        <f t="array" ref="BB116">MIN(IF('Fórmula'!B116=87,10^6,INDEX(properties!A$1:CB$87,'Fórmula'!B116,13)),IF(('Fórmula'!D116)=87,10^6,INDEX(properties!A$1:CB$87,'Fórmula'!D116,13)),IF(('Fórmula'!F116)=87,10^6,INDEX(properties!A$1:CB$87,'Fórmula'!F116,13)),IF(('Fórmula'!H116)=87,10^6,INDEX(properties!A$1:CB$87,'Fórmula'!H116,13)),IF('Fórmula'!J116=87,10^6,INDEX(properties!A$1:CB$87,'Fórmula'!J116,13)))</f>
        <v>0</v>
      </c>
      <c r="BC116" s="109">
        <f t="shared" si="9"/>
        <v>10</v>
      </c>
      <c r="BD116" s="110">
        <f t="array" ref="BD116">(('Fórmula'!C116)/('Fórmula'!C116+'Fórmula'!E116+'Fórmula'!G116+'Fórmula'!I116+'Fórmula'!K116))*(INDEX(properties!A$1:CB$87,'Fórmula'!B116,14))+(('Fórmula'!E116)/('Fórmula'!C116+'Fórmula'!E116+'Fórmula'!G116+'Fórmula'!I116+'Fórmula'!K116))*(INDEX(properties!A$1:CB$87,'Fórmula'!D116,14))+(('Fórmula'!G116)/('Fórmula'!C116+'Fórmula'!E116+'Fórmula'!G116+'Fórmula'!I116+'Fórmula'!K116))*(INDEX(properties!A$1:CB$87,'Fórmula'!F116,14))+(('Fórmula'!I116)/('Fórmula'!C116+'Fórmula'!E116+'Fórmula'!G116+'Fórmula'!I116+'Fórmula'!K116))*(INDEX(properties!A$1:CB$87,'Fórmula'!H116,14))+(('Fórmula'!K116)/('Fórmula'!C116+'Fórmula'!E116+'Fórmula'!G116+'Fórmula'!I116+'Fórmula'!K116))*(INDEX(properties!A$1:CB$87,'Fórmula'!J116,14))</f>
        <v>0</v>
      </c>
      <c r="BE116" s="110">
        <f t="array" ref="BE116">'Fórmula'!C116*(INDEX(properties!A$1:CB$87,'Fórmula'!B116,14))+'Fórmula'!E116*(INDEX(properties!A$1:CB$87,'Fórmula'!D116,14))+'Fórmula'!G116*(INDEX(properties!A$1:CB$87,'Fórmula'!F116,14))+'Fórmula'!I116*(INDEX(properties!A$1:CB$87,'Fórmula'!H116,14))+'Fórmula'!K116*(INDEX(properties!A$1:CB$87,'Fórmula'!J116,14))</f>
        <v>0</v>
      </c>
      <c r="BF116" s="110">
        <f t="array" ref="BF116">VARP(IF(INDEX(properties!A$1:CB$87,'Fórmula'!B116,14)&lt;&gt;"",INDEX(properties!A$1:CB$87,'Fórmula'!B116,14)),IF(INDEX(properties!A$1:CB$87,'Fórmula'!D116,14)&lt;&gt;"",INDEX(properties!A$1:CB$87,'Fórmula'!D116,14)),IF(INDEX(properties!A$1:CB$87,'Fórmula'!F116,14)&lt;&gt;"",INDEX(properties!A$1:CB$87,'Fórmula'!F116,14)),IF(INDEX(properties!A$1:CB$87,'Fórmula'!H116,14)&lt;&gt;"",INDEX(properties!A$1:CB$87,'Fórmula'!H116,14)),IF(INDEX(properties!A$1:CB$87,'Fórmula'!J116,14)&lt;&gt;"",INDEX(properties!A$1:CB$87,'Fórmula'!J116,14)))</f>
        <v>0</v>
      </c>
      <c r="BG116" s="110">
        <f t="array" ref="BG116">MAX(INDEX(properties!A$1:CB$87,'Fórmula'!B116,14),INDEX(properties!A$1:CB$87,'Fórmula'!D116,14),INDEX(properties!A$1:CB$87,'Fórmula'!F116,14),INDEX(properties!A$1:CB$87,'Fórmula'!H116,14),INDEX(properties!A$1:CB$87,'Fórmula'!J116,14))</f>
        <v>0</v>
      </c>
      <c r="BH116" s="110">
        <f t="array" ref="BH116">MIN(IF('Fórmula'!B116=87,10^6,INDEX(properties!A$1:CB$87,'Fórmula'!B116,14)),IF(('Fórmula'!D116)=87,10^6,INDEX(properties!A$1:CB$87,'Fórmula'!D116,14)),IF(('Fórmula'!F116)=87,10^6,INDEX(properties!A$1:CB$87,'Fórmula'!F116,14)),IF(('Fórmula'!H116)=87,10^6,INDEX(properties!A$1:CB$87,'Fórmula'!H116,14)),IF('Fórmula'!J116=87,10^6,INDEX(properties!A$1:CB$87,'Fórmula'!J116,14)))</f>
        <v>0</v>
      </c>
      <c r="BI116" s="110">
        <f t="shared" si="10"/>
        <v>0</v>
      </c>
      <c r="BJ116" s="111">
        <f t="array" ref="BJ116">(('Fórmula'!C116)/('Fórmula'!C116+'Fórmula'!E116+'Fórmula'!G116+'Fórmula'!I116+'Fórmula'!K116))*(INDEX(properties!A$1:CB$87,'Fórmula'!B116,19))+(('Fórmula'!E116)/('Fórmula'!C116+'Fórmula'!E116+'Fórmula'!G116+'Fórmula'!I116+'Fórmula'!K116))*(INDEX(properties!A$1:CB$87,'Fórmula'!D116,19))+(('Fórmula'!G116)/('Fórmula'!C116+'Fórmula'!E116+'Fórmula'!G116+'Fórmula'!I116+'Fórmula'!K116))*(INDEX(properties!A$1:CB$87,'Fórmula'!F116,19))+(('Fórmula'!I116)/('Fórmula'!C116+'Fórmula'!E116+'Fórmula'!G116+'Fórmula'!I116+'Fórmula'!K116))*(INDEX(properties!A$1:CB$87,'Fórmula'!H116,19))+(('Fórmula'!K116)/('Fórmula'!C116+'Fórmula'!E116+'Fórmula'!G116+'Fórmula'!I116+'Fórmula'!K116))*(INDEX(properties!A$1:CB$87,'Fórmula'!J116,19))</f>
        <v>8.857142857</v>
      </c>
      <c r="BK116" s="111">
        <f t="array" ref="BK116">'Fórmula'!C116*(INDEX(properties!A$1:CB$87,'Fórmula'!B116,19))+'Fórmula'!E116*(INDEX(properties!A$1:CB$87,'Fórmula'!D116,19))+'Fórmula'!G116*(INDEX(properties!A$1:CB$87,'Fórmula'!F116,19))+'Fórmula'!I116*(INDEX(properties!A$1:CB$87,'Fórmula'!H116,19))+'Fórmula'!K116*(INDEX(properties!A$1:CB$87,'Fórmula'!J116,19))</f>
        <v>62</v>
      </c>
      <c r="BL116" s="111">
        <f t="array" ref="BL116">VARP(IF(INDEX(properties!A$1:CB$87,'Fórmula'!B116,19)&lt;&gt;"",INDEX(properties!A$1:CB$87,'Fórmula'!B116,19)),IF(INDEX(properties!A$1:CB$87,'Fórmula'!D116,19)&lt;&gt;"",INDEX(properties!A$1:CB$87,'Fórmula'!D116,19)),IF(INDEX(properties!A$1:CB$87,'Fórmula'!F116,19)&lt;&gt;"",INDEX(properties!A$1:CB$87,'Fórmula'!F116,19)),IF(INDEX(properties!A$1:CB$87,'Fórmula'!H116,19)&lt;&gt;"",INDEX(properties!A$1:CB$87,'Fórmula'!H116,19)),IF(INDEX(properties!A$1:CB$87,'Fórmula'!J116,19)&lt;&gt;"",INDEX(properties!A$1:CB$87,'Fórmula'!J116,19)))</f>
        <v>31.36</v>
      </c>
      <c r="BM116" s="111">
        <f t="array" ref="BM116">MAX(INDEX(properties!A$1:CB$87,'Fórmula'!B116,19),INDEX(properties!A$1:CB$87,'Fórmula'!D116,19),INDEX(properties!A$1:CB$87,'Fórmula'!F116,19),INDEX(properties!A$1:CB$87,'Fórmula'!H116,19),INDEX(properties!A$1:CB$87,'Fórmula'!J116,19))</f>
        <v>13</v>
      </c>
      <c r="BN116" s="111">
        <f t="array" ref="BN116">MIN(IF(INDEX(properties!A$1:CB$87,'Fórmula'!B116,19)=0,10^6,INDEX(properties!A$1:CB$87,'Fórmula'!B116,19)),IF(INDEX(properties!A$1:CB$87,'Fórmula'!D116,19)=0,10^6,INDEX(properties!A$1:CB$87,'Fórmula'!D116,19)),IF(INDEX(properties!A$1:CB$87,'Fórmula'!F116,19)=0,10^6,INDEX(properties!A$1:CB$87,'Fórmula'!F116,19)),IF(INDEX(properties!A$1:CB$87,'Fórmula'!H116,19)=0,10^6,INDEX(properties!A$1:CB$87,'Fórmula'!H116,19)),IF(INDEX(properties!A$1:CB$87,'Fórmula'!J116,19)=0,10^6,INDEX(properties!A$1:CB$87,'Fórmula'!J116,19)))</f>
        <v>6</v>
      </c>
      <c r="BO116" s="111">
        <f t="shared" si="11"/>
        <v>7</v>
      </c>
      <c r="BP116" s="112">
        <f t="array" ref="BP116">(('Fórmula'!C116)/('Fórmula'!C116+'Fórmula'!E116+'Fórmula'!G116+'Fórmula'!I116+'Fórmula'!K116))*(INDEX(properties!A$1:CB$87,'Fórmula'!B116,20))+(('Fórmula'!E116)/('Fórmula'!C116+'Fórmula'!E116+'Fórmula'!G116+'Fórmula'!I116+'Fórmula'!K116))*(INDEX(properties!A$1:CB$87,'Fórmula'!D116,20))+(('Fórmula'!G116)/('Fórmula'!C116+'Fórmula'!E116+'Fórmula'!G116+'Fórmula'!I116+'Fórmula'!K116))*(INDEX(properties!A$1:CB$87,'Fórmula'!F116,20))+(('Fórmula'!I116)/('Fórmula'!C116+'Fórmula'!E116+'Fórmula'!G116+'Fórmula'!I116+'Fórmula'!K116))*(INDEX(properties!A$1:CB$87,'Fórmula'!H116,20))+(('Fórmula'!K116)/('Fórmula'!C116+'Fórmula'!E116+'Fórmula'!G116+'Fórmula'!I116+'Fórmula'!K116))*(INDEX(properties!A$1:CB$87,'Fórmula'!J116,20))</f>
        <v>4.571428571</v>
      </c>
      <c r="BQ116" s="112">
        <f t="array" ref="BQ116">'Fórmula'!C116*(INDEX(properties!A$1:CB$87,'Fórmula'!B116,20))+'Fórmula'!E116*(INDEX(properties!A$1:CB$87,'Fórmula'!D116,20))+'Fórmula'!G116*(INDEX(properties!A$1:CB$87,'Fórmula'!F116,20))+'Fórmula'!I116*(INDEX(properties!A$1:CB$87,'Fórmula'!H116,20))+'Fórmula'!K116*(INDEX(properties!A$1:CB$87,'Fórmula'!J116,20))</f>
        <v>32</v>
      </c>
      <c r="BR116" s="112">
        <f t="array" ref="BR116">VARP(IF(INDEX(properties!A$1:CB$87,'Fórmula'!B116,20)&lt;&gt;"",INDEX(properties!A$1:CB$87,'Fórmula'!B116,20)),IF(INDEX(properties!A$1:CB$87,'Fórmula'!D116,20)&lt;&gt;"",INDEX(properties!A$1:CB$87,'Fórmula'!D116,20)),IF(INDEX(properties!A$1:CB$87,'Fórmula'!F116,20)&lt;&gt;"",INDEX(properties!A$1:CB$87,'Fórmula'!F116,20)),IF(INDEX(properties!A$1:CB$87,'Fórmula'!H116,20)&lt;&gt;"",INDEX(properties!A$1:CB$87,'Fórmula'!H116,20)),IF(INDEX(properties!A$1:CB$87,'Fórmula'!J116,20)&lt;&gt;"",INDEX(properties!A$1:CB$87,'Fórmula'!J116,20)))</f>
        <v>4.96</v>
      </c>
      <c r="BS116" s="112">
        <f t="array" ref="BS116">MAX(INDEX(properties!A$1:CB$87,'Fórmula'!B116,20),INDEX(properties!A$1:CB$87,'Fórmula'!D116,20),INDEX(properties!A$1:CB$87,'Fórmula'!F116,20),INDEX(properties!A$1:CB$87,'Fórmula'!H116,20),INDEX(properties!A$1:CB$87,'Fórmula'!J116,20))</f>
        <v>6</v>
      </c>
      <c r="BT116" s="112">
        <f t="array" ref="BT116">MIN(IF(INDEX(properties!A$1:CB$87,'Fórmula'!B116,20)=0,10^6,INDEX(properties!A$1:CB$87,'Fórmula'!B116,20)),IF(INDEX(properties!A$1:CB$87,'Fórmula'!D116,20)=0,10^6,INDEX(properties!A$1:CB$87,'Fórmula'!D116,20)),IF(INDEX(properties!A$1:CB$87,'Fórmula'!F116,20)=0,10^6,INDEX(properties!A$1:CB$87,'Fórmula'!F116,20)),IF(INDEX(properties!A$1:CB$87,'Fórmula'!H116,20)=0,10^6,INDEX(properties!A$1:CB$87,'Fórmula'!H116,20)),IF(INDEX(properties!A$1:CB$87,'Fórmula'!J116,20)=0,10^6,INDEX(properties!A$1:CB$87,'Fórmula'!J116,20)))</f>
        <v>2</v>
      </c>
      <c r="BU116" s="112">
        <f t="shared" si="12"/>
        <v>4</v>
      </c>
      <c r="BV116" s="113">
        <f t="array" ref="BV116">(('Fórmula'!C116)/('Fórmula'!C116+'Fórmula'!E116+'Fórmula'!G116+'Fórmula'!I116+'Fórmula'!K116))*(INDEX(properties!A$1:CB$87,'Fórmula'!B116,21))+(('Fórmula'!E116)/('Fórmula'!C116+'Fórmula'!E116+'Fórmula'!G116+'Fórmula'!I116+'Fórmula'!K116))*(INDEX(properties!A$1:CB$87,'Fórmula'!D116,21))+(('Fórmula'!G116)/('Fórmula'!C116+'Fórmula'!E116+'Fórmula'!G116+'Fórmula'!I116+'Fórmula'!K116))*(INDEX(properties!A$1:CB$87,'Fórmula'!F116,21))+(('Fórmula'!I116)/('Fórmula'!C116+'Fórmula'!E116+'Fórmula'!G116+'Fórmula'!I116+'Fórmula'!K116))*(INDEX(properties!A$1:CB$87,'Fórmula'!H116,21))+(('Fórmula'!K116)/('Fórmula'!C116+'Fórmula'!E116+'Fórmula'!G116+'Fórmula'!I116+'Fórmula'!K116))*(INDEX(properties!A$1:CB$87,'Fórmula'!J116,21))</f>
        <v>4.428571429</v>
      </c>
      <c r="BW116" s="113">
        <f t="array" ref="BW116">'Fórmula'!C116*(INDEX(properties!A$1:CB$87,'Fórmula'!B116,21))+'Fórmula'!E116*(INDEX(properties!A$1:CB$87,'Fórmula'!D116,21))+'Fórmula'!G116*(INDEX(properties!A$1:CB$87,'Fórmula'!F116,21))+'Fórmula'!I116*(INDEX(properties!A$1:CB$87,'Fórmula'!H116,21))+'Fórmula'!K116*(INDEX(properties!A$1:CB$87,'Fórmula'!J116,21))</f>
        <v>31</v>
      </c>
      <c r="BX116" s="113">
        <f t="array" ref="BX116">VARP(IF(INDEX(properties!A$1:CB$87,'Fórmula'!B116,21)&lt;&gt;"",INDEX(properties!A$1:CB$87,'Fórmula'!B116,21)),IF(INDEX(properties!A$1:CB$87,'Fórmula'!D116,21)&lt;&gt;"",INDEX(properties!A$1:CB$87,'Fórmula'!D116,21)),IF(INDEX(properties!A$1:CB$87,'Fórmula'!F116,21)&lt;&gt;"",INDEX(properties!A$1:CB$87,'Fórmula'!F116,21)),IF(INDEX(properties!A$1:CB$87,'Fórmula'!H116,21)&lt;&gt;"",INDEX(properties!A$1:CB$87,'Fórmula'!H116,21)),IF(INDEX(properties!A$1:CB$87,'Fórmula'!J116,21)&lt;&gt;"",INDEX(properties!A$1:CB$87,'Fórmula'!J116,21)))</f>
        <v>5.2</v>
      </c>
      <c r="BY116" s="113">
        <f t="array" ref="BY116">MAX(INDEX(properties!A$1:CB$87,'Fórmula'!B116,21),INDEX(properties!A$1:CB$87,'Fórmula'!D116,21),INDEX(properties!A$1:CB$87,'Fórmula'!F116,21),INDEX(properties!A$1:CB$87,'Fórmula'!H116,21),INDEX(properties!A$1:CB$87,'Fórmula'!J116,21))</f>
        <v>6</v>
      </c>
      <c r="BZ116" s="113">
        <f t="array" ref="BZ116">MIN(IF(INDEX(properties!A$1:CB$87,'Fórmula'!B116,21)=0,10^6,INDEX(properties!A$1:CB$87,'Fórmula'!B116,21)),IF(INDEX(properties!A$1:CB$87,'Fórmula'!D116,21)=0,10^6,INDEX(properties!A$1:CB$87,'Fórmula'!D116,21)),IF(INDEX(properties!A$1:CB$87,'Fórmula'!F116,21)=0,10^6,INDEX(properties!A$1:CB$87,'Fórmula'!F116,21)),IF(INDEX(properties!A$1:CB$87,'Fórmula'!H116,21)=0,10^6,INDEX(properties!A$1:CB$87,'Fórmula'!H116,21)),IF(INDEX(properties!A$1:CB$87,'Fórmula'!J116,21)=0,10^6,INDEX(properties!A$1:CB$87,'Fórmula'!J116,21)))</f>
        <v>1</v>
      </c>
      <c r="CA116" s="113">
        <f t="shared" si="13"/>
        <v>5</v>
      </c>
      <c r="CB116" s="114">
        <f t="array" ref="CB116">(('Fórmula'!C116)/('Fórmula'!C116+'Fórmula'!E116+'Fórmula'!G116+'Fórmula'!I116+'Fórmula'!K116))*(INDEX(properties!A$1:CB$87,'Fórmula'!B116,23))+(('Fórmula'!E116)/('Fórmula'!C116+'Fórmula'!E116+'Fórmula'!G116+'Fórmula'!I116+'Fórmula'!K116))*(INDEX(properties!A$1:CB$87,'Fórmula'!D116,23))+(('Fórmula'!G116)/('Fórmula'!C116+'Fórmula'!E116+'Fórmula'!G116+'Fórmula'!I116+'Fórmula'!K116))*(INDEX(properties!A$1:CB$87,'Fórmula'!F116,23))+(('Fórmula'!I116)/('Fórmula'!C116+'Fórmula'!E116+'Fórmula'!G116+'Fórmula'!I116+'Fórmula'!K116))*(INDEX(properties!A$1:CB$87,'Fórmula'!H116,23))+(('Fórmula'!K116)/('Fórmula'!C116+'Fórmula'!E116+'Fórmula'!G116+'Fórmula'!I116+'Fórmula'!K116))*(INDEX(properties!A$1:CB$87,'Fórmula'!J116,23))</f>
        <v>1.617142857</v>
      </c>
      <c r="CC116" s="114">
        <f t="array" ref="CC116">'Fórmula'!C116*(INDEX(properties!A$1:CB$87,'Fórmula'!B116,23))+'Fórmula'!E116*(INDEX(properties!A$1:CB$87,'Fórmula'!D116,23))+'Fórmula'!G116*(INDEX(properties!A$1:CB$87,'Fórmula'!F116,23))+'Fórmula'!I116*(INDEX(properties!A$1:CB$87,'Fórmula'!H116,23))+'Fórmula'!K116*(INDEX(properties!A$1:CB$87,'Fórmula'!J116,23))</f>
        <v>11.32</v>
      </c>
      <c r="CD116" s="114">
        <f t="array" ref="CD116">VARP(IF(INDEX(properties!A$1:CB$87,'Fórmula'!B116,23)&lt;&gt;"",INDEX(properties!A$1:CB$87,'Fórmula'!B116,23)),IF(INDEX(properties!A$1:CB$87,'Fórmula'!D116,23)&lt;&gt;"",INDEX(properties!A$1:CB$87,'Fórmula'!D116,23)),IF(INDEX(properties!A$1:CB$87,'Fórmula'!F116,23)&lt;&gt;"",INDEX(properties!A$1:CB$87,'Fórmula'!F116,23)),IF(INDEX(properties!A$1:CB$87,'Fórmula'!H116,23)&lt;&gt;"",INDEX(properties!A$1:CB$87,'Fórmula'!H116,23)),IF(INDEX(properties!A$1:CB$87,'Fórmula'!J116,23)&lt;&gt;"",INDEX(properties!A$1:CB$87,'Fórmula'!J116,23)))</f>
        <v>3.825664</v>
      </c>
      <c r="CE116" s="114">
        <f t="array" ref="CE116">MAX(INDEX(properties!A$1:CB$87,'Fórmula'!B116,23),INDEX(properties!A$1:CB$87,'Fórmula'!D116,23),INDEX(properties!A$1:CB$87,'Fórmula'!F116,23),INDEX(properties!A$1:CB$87,'Fórmula'!H116,23),INDEX(properties!A$1:CB$87,'Fórmula'!J116,23))</f>
        <v>4.44</v>
      </c>
      <c r="CF116" s="114">
        <f t="array" ref="CF116">MIN(IF('Fórmula'!B116=87,10^6,INDEX(properties!A$1:CB$87,'Fórmula'!B116,23)),IF(('Fórmula'!D116)=87,10^6,INDEX(properties!A$1:CB$87,'Fórmula'!D116,23)),IF(('Fórmula'!F116)=87,10^6,INDEX(properties!A$1:CB$87,'Fórmula'!F116,23)),IF(('Fórmula'!H116)=87,10^6,INDEX(properties!A$1:CB$87,'Fórmula'!H116,23)),IF('Fórmula'!J116=87,10^6,INDEX(properties!A$1:CB$87,'Fórmula'!J116,23)))</f>
        <v>0</v>
      </c>
      <c r="CG116" s="114">
        <f t="shared" si="14"/>
        <v>4.44</v>
      </c>
      <c r="CH116" s="115">
        <f t="array" ref="CH116">(('Fórmula'!C116)/('Fórmula'!C116+'Fórmula'!E116+'Fórmula'!G116+'Fórmula'!I116+'Fórmula'!K116))*(INDEX(properties!A$1:CB$87,'Fórmula'!B116,26))+(('Fórmula'!E116)/('Fórmula'!C116+'Fórmula'!E116+'Fórmula'!G116+'Fórmula'!I116+'Fórmula'!K116))*(INDEX(properties!A$1:CB$87,'Fórmula'!D116,26))+(('Fórmula'!G116)/('Fórmula'!C116+'Fórmula'!E116+'Fórmula'!G116+'Fórmula'!I116+'Fórmula'!K116))*(INDEX(properties!A$1:CB$87,'Fórmula'!F116,26))+(('Fórmula'!I116)/('Fórmula'!C116+'Fórmula'!E116+'Fórmula'!G116+'Fórmula'!I116+'Fórmula'!K116))*(INDEX(properties!A$1:CB$87,'Fórmula'!H116,26))+(('Fórmula'!K116)/('Fórmula'!C116+'Fórmula'!E116+'Fórmula'!G116+'Fórmula'!I116+'Fórmula'!K116))*(INDEX(properties!A$1:CB$87,'Fórmula'!J116,26))</f>
        <v>10.83788571</v>
      </c>
      <c r="CI116" s="115">
        <f t="array" ref="CI116">'Fórmula'!C116*(INDEX(properties!A$1:CB$87,'Fórmula'!B116,26))+'Fórmula'!E116*(INDEX(properties!A$1:CB$87,'Fórmula'!D116,26))+'Fórmula'!G116*(INDEX(properties!A$1:CB$87,'Fórmula'!F116,26))+'Fórmula'!I116*(INDEX(properties!A$1:CB$87,'Fórmula'!H116,26))+'Fórmula'!K116*(INDEX(properties!A$1:CB$87,'Fórmula'!J116,26))</f>
        <v>75.8652</v>
      </c>
      <c r="CJ116" s="115">
        <f t="array" ref="CJ116">VARP(IF(INDEX(properties!A$1:CB$87,'Fórmula'!B116,26)&lt;&gt;"",INDEX(properties!A$1:CB$87,'Fórmula'!B116,26)),IF(INDEX(properties!A$1:CB$87,'Fórmula'!D116,26)&lt;&gt;"",INDEX(properties!A$1:CB$87,'Fórmula'!D116,26)),IF(INDEX(properties!A$1:CB$87,'Fórmula'!F116,26)&lt;&gt;"",INDEX(properties!A$1:CB$87,'Fórmula'!F116,26)),IF(INDEX(properties!A$1:CB$87,'Fórmula'!H116,26)&lt;&gt;"",INDEX(properties!A$1:CB$87,'Fórmula'!H116,26)),IF(INDEX(properties!A$1:CB$87,'Fórmula'!J116,26)&lt;&gt;"",INDEX(properties!A$1:CB$87,'Fórmula'!J116,26)))</f>
        <v>28.27213097</v>
      </c>
      <c r="CK116" s="116">
        <f t="array" ref="CK116">MAX(INDEX(properties!A$1:CB$87,'Fórmula'!B116,26),INDEX(properties!A$1:CB$87,'Fórmula'!D116,26),INDEX(properties!A$1:CB$87,'Fórmula'!F116,26),INDEX(properties!A$1:CB$87,'Fórmula'!H116,26),INDEX(properties!A$1:CB$87,'Fórmula'!J116,26))</f>
        <v>13.6181</v>
      </c>
      <c r="CL116" s="116">
        <f t="array" ref="CL116">MIN(IF(INDEX(properties!A$1:CB$87,'Fórmula'!B116,26)=0,10^6,INDEX(properties!A$1:CB$87,'Fórmula'!B116,26)),IF(INDEX(properties!A$1:CB$87,'Fórmula'!D116,26)=0,10^6,INDEX(properties!A$1:CB$87,'Fórmula'!D116,26)),IF(INDEX(properties!A$1:CB$87,'Fórmula'!F116,26)=0,10^6,INDEX(properties!A$1:CB$87,'Fórmula'!F116,26)),IF(INDEX(properties!A$1:CB$87,'Fórmula'!H116,26)=0,10^6,INDEX(properties!A$1:CB$87,'Fórmula'!H116,26)),IF(INDEX(properties!A$1:CB$87,'Fórmula'!J116,26)=0,10^6,INDEX(properties!A$1:CB$87,'Fórmula'!J116,26)))</f>
        <v>5.9993</v>
      </c>
      <c r="CM116" s="115">
        <f t="shared" si="15"/>
        <v>7.6188</v>
      </c>
      <c r="CN116" s="117">
        <f t="array" ref="CN116">(('Fórmula'!C116)/('Fórmula'!C116+'Fórmula'!E116+'Fórmula'!G116+'Fórmula'!I116+'Fórmula'!K116))*(INDEX(properties!A$1:CB$87,'Fórmula'!B116,30))+(('Fórmula'!E116)/('Fórmula'!C116+'Fórmula'!E116+'Fórmula'!G116+'Fórmula'!I116+'Fórmula'!K116))*(INDEX(properties!A$1:CB$87,'Fórmula'!D116,30))+(('Fórmula'!G116)/('Fórmula'!C116+'Fórmula'!E116+'Fórmula'!G116+'Fórmula'!I116+'Fórmula'!K116))*(INDEX(properties!A$1:CB$87,'Fórmula'!F116,30))+(('Fórmula'!I116)/('Fórmula'!C116+'Fórmula'!E116+'Fórmula'!G116+'Fórmula'!I116+'Fórmula'!K116))*(INDEX(properties!A$1:CB$87,'Fórmula'!H116,30))+(('Fórmula'!K116)/('Fórmula'!C116+'Fórmula'!E116+'Fórmula'!G116+'Fórmula'!I116+'Fórmula'!K116))*(INDEX(properties!A$1:CB$87,'Fórmula'!J116,30))</f>
        <v>2.718571429</v>
      </c>
      <c r="CO116" s="117">
        <f t="array" ref="CO116">'Fórmula'!C116*(INDEX(properties!A$1:CB$87,'Fórmula'!B116,30))+'Fórmula'!E116*(INDEX(properties!A$1:CB$87,'Fórmula'!D116,30))+'Fórmula'!G116*(INDEX(properties!A$1:CB$87,'Fórmula'!F116,30))+'Fórmula'!I116*(INDEX(properties!A$1:CB$87,'Fórmula'!H116,30))+'Fórmula'!K116*(INDEX(properties!A$1:CB$87,'Fórmula'!J116,30))</f>
        <v>19.03</v>
      </c>
      <c r="CP116" s="117">
        <f t="array" ref="CP116">VARP(IF(INDEX(properties!A$1:CB$87,'Fórmula'!B116,30)&lt;&gt;"",INDEX(properties!A$1:CB$87,'Fórmula'!B116,30)),IF(INDEX(properties!A$1:CB$87,'Fórmula'!D116,30)&lt;&gt;"",INDEX(properties!A$1:CB$87,'Fórmula'!D116,30)),IF(INDEX(properties!A$1:CB$87,'Fórmula'!F116,30)&lt;&gt;"",INDEX(properties!A$1:CB$87,'Fórmula'!F116,30)),IF(INDEX(properties!A$1:CB$87,'Fórmula'!H116,30)&lt;&gt;"",INDEX(properties!A$1:CB$87,'Fórmula'!H116,30)),IF(INDEX(properties!A$1:CB$87,'Fórmula'!J116,30)&lt;&gt;"",INDEX(properties!A$1:CB$87,'Fórmula'!J116,30)))</f>
        <v>1.66204</v>
      </c>
      <c r="CQ116" s="117">
        <f t="array" ref="CQ116">MAX(INDEX(properties!A$1:CB$87,'Fórmula'!B116,30),INDEX(properties!A$1:CB$87,'Fórmula'!D116,30),INDEX(properties!A$1:CB$87,'Fórmula'!F116,30),INDEX(properties!A$1:CB$87,'Fórmula'!H116,30),INDEX(properties!A$1:CB$87,'Fórmula'!J116,30))</f>
        <v>3.44</v>
      </c>
      <c r="CR116" s="117">
        <f t="array" ref="CR116">MIN(IF(INDEX(properties!A$1:CB$87,'Fórmula'!B116,30)=0,10^6,INDEX(properties!A$1:CB$87,'Fórmula'!B116,30)),IF(INDEX(properties!A$1:CB$87,'Fórmula'!D116,30)=0,10^6,INDEX(properties!A$1:CB$87,'Fórmula'!D116,30)),IF(INDEX(properties!A$1:CB$87,'Fórmula'!F116,30)=0,10^6,INDEX(properties!A$1:CB$87,'Fórmula'!F116,30)),IF(INDEX(properties!A$1:CB$87,'Fórmula'!H116,30)=0,10^6,INDEX(properties!A$1:CB$87,'Fórmula'!H116,30)),IF(INDEX(properties!A$1:CB$87,'Fórmula'!J116,30)=0,10^6,INDEX(properties!A$1:CB$87,'Fórmula'!J116,30)))</f>
        <v>1.65</v>
      </c>
      <c r="CS116" s="117">
        <f t="shared" si="16"/>
        <v>1.79</v>
      </c>
      <c r="CT116" s="118">
        <f t="array" ref="CT116">(('Fórmula'!C116)/('Fórmula'!C116+'Fórmula'!E116+'Fórmula'!G116+'Fórmula'!I116+'Fórmula'!K116))*(INDEX(properties!A$1:CB$87,'Fórmula'!B116,31))+(('Fórmula'!E116)/('Fórmula'!C116+'Fórmula'!E116+'Fórmula'!G116+'Fórmula'!I116+'Fórmula'!K116))*(INDEX(properties!A$1:CB$87,'Fórmula'!D116,31))+(('Fórmula'!G116)/('Fórmula'!C116+'Fórmula'!E116+'Fórmula'!G116+'Fórmula'!I116+'Fórmula'!K116))*(INDEX(properties!A$1:CB$87,'Fórmula'!F116,31))+(('Fórmula'!I116)/('Fórmula'!C116+'Fórmula'!E116+'Fórmula'!G116+'Fórmula'!I116+'Fórmula'!K116))*(INDEX(properties!A$1:CB$87,'Fórmula'!H116,31))+(('Fórmula'!K116)/('Fórmula'!C116+'Fórmula'!E116+'Fórmula'!G116+'Fórmula'!I116+'Fórmula'!K116))*(INDEX(properties!A$1:CB$87,'Fórmula'!J116,31))</f>
        <v>2.588571429</v>
      </c>
      <c r="CU116" s="118">
        <f t="array" ref="CU116">'Fórmula'!C116*(INDEX(properties!A$1:CB$87,'Fórmula'!B116,31))+'Fórmula'!E116*(INDEX(properties!A$1:CB$87,'Fórmula'!D116,31))+'Fórmula'!G116*(INDEX(properties!A$1:CB$87,'Fórmula'!F116,31))+'Fórmula'!I116*(INDEX(properties!A$1:CB$87,'Fórmula'!H116,31))+'Fórmula'!K116*(INDEX(properties!A$1:CB$87,'Fórmula'!J116,31))</f>
        <v>18.12</v>
      </c>
      <c r="CV116" s="118">
        <f t="array" ref="CV116">VARP(IF(INDEX(properties!A$1:CB$87,'Fórmula'!B116,31)&lt;&gt;"",INDEX(properties!A$1:CB$87,'Fórmula'!B116,31)),IF(INDEX(properties!A$1:CB$87,'Fórmula'!D116,31)&lt;&gt;"",INDEX(properties!A$1:CB$87,'Fórmula'!D116,31)),IF(INDEX(properties!A$1:CB$87,'Fórmula'!F116,31)&lt;&gt;"",INDEX(properties!A$1:CB$87,'Fórmula'!F116,31)),IF(INDEX(properties!A$1:CB$87,'Fórmula'!H116,31)&lt;&gt;"",INDEX(properties!A$1:CB$87,'Fórmula'!H116,31)),IF(INDEX(properties!A$1:CB$87,'Fórmula'!J116,31)&lt;&gt;"",INDEX(properties!A$1:CB$87,'Fórmula'!J116,31)))</f>
        <v>1.527936</v>
      </c>
      <c r="CW116" s="118">
        <f t="array" ref="CW116">MAX(INDEX(properties!A$1:CB$87,'Fórmula'!B116,31),INDEX(properties!A$1:CB$87,'Fórmula'!D116,31),INDEX(properties!A$1:CB$87,'Fórmula'!F116,31),INDEX(properties!A$1:CB$87,'Fórmula'!H116,31),INDEX(properties!A$1:CB$87,'Fórmula'!J116,31))</f>
        <v>3.32</v>
      </c>
      <c r="CX116" s="118">
        <f t="array" ref="CX116">MIN(IF(INDEX(properties!A$1:CB$87,'Fórmula'!B116,31)=0,10^6,INDEX(properties!A$1:CB$87,'Fórmula'!B116,31)),IF(INDEX(properties!A$1:CB$87,'Fórmula'!D116,31)=0,10^6,INDEX(properties!A$1:CB$87,'Fórmula'!D116,31)),IF(INDEX(properties!A$1:CB$87,'Fórmula'!F116,31)=0,10^6,INDEX(properties!A$1:CB$87,'Fórmula'!F116,31)),IF(INDEX(properties!A$1:CB$87,'Fórmula'!H116,31)=0,10^6,INDEX(properties!A$1:CB$87,'Fórmula'!H116,31)),IF(INDEX(properties!A$1:CB$87,'Fórmula'!J116,31)=0,10^6,INDEX(properties!A$1:CB$87,'Fórmula'!J116,31)))</f>
        <v>1.44</v>
      </c>
      <c r="CY116" s="118">
        <f t="shared" si="17"/>
        <v>1.88</v>
      </c>
      <c r="CZ116" s="119">
        <f t="array" ref="CZ116">(('Fórmula'!C116)/('Fórmula'!C116+'Fórmula'!E116+'Fórmula'!G116+'Fórmula'!I116+'Fórmula'!K116))*(INDEX(properties!A$1:CB$87,'Fórmula'!B116,32))+(('Fórmula'!E116)/('Fórmula'!C116+'Fórmula'!E116+'Fórmula'!G116+'Fórmula'!I116+'Fórmula'!K116))*(INDEX(properties!A$1:CB$87,'Fórmula'!D116,32))+(('Fórmula'!G116)/('Fórmula'!C116+'Fórmula'!E116+'Fórmula'!G116+'Fórmula'!I116+'Fórmula'!K116))*(INDEX(properties!A$1:CB$87,'Fórmula'!F116,32))+(('Fórmula'!I116)/('Fórmula'!C116+'Fórmula'!E116+'Fórmula'!G116+'Fórmula'!I116+'Fórmula'!K116))*(INDEX(properties!A$1:CB$87,'Fórmula'!H116,32))+(('Fórmula'!K116)/('Fórmula'!C116+'Fórmula'!E116+'Fórmula'!G116+'Fórmula'!I116+'Fórmula'!K116))*(INDEX(properties!A$1:CB$87,'Fórmula'!J116,32))</f>
        <v>5.858571429</v>
      </c>
      <c r="DA116" s="119">
        <f t="array" ref="DA116">'Fórmula'!C116*(INDEX(properties!A$1:CB$87,'Fórmula'!B116,32))+'Fórmula'!E116*(INDEX(properties!A$1:CB$87,'Fórmula'!D116,32))+'Fórmula'!G116*(INDEX(properties!A$1:CB$87,'Fórmula'!F116,32))+'Fórmula'!I116*(INDEX(properties!A$1:CB$87,'Fórmula'!H116,32))+'Fórmula'!K116*(INDEX(properties!A$1:CB$87,'Fórmula'!J116,32))</f>
        <v>41.01</v>
      </c>
      <c r="DB116" s="119">
        <f t="array" ref="DB116">VARP(IF(INDEX(properties!A$1:CB$87,'Fórmula'!B116,32)&lt;&gt;"",INDEX(properties!A$1:CB$87,'Fórmula'!B116,32)),IF(INDEX(properties!A$1:CB$87,'Fórmula'!D116,32)&lt;&gt;"",INDEX(properties!A$1:CB$87,'Fórmula'!D116,32)),IF(INDEX(properties!A$1:CB$87,'Fórmula'!F116,32)&lt;&gt;"",INDEX(properties!A$1:CB$87,'Fórmula'!F116,32)),IF(INDEX(properties!A$1:CB$87,'Fórmula'!H116,32)&lt;&gt;"",INDEX(properties!A$1:CB$87,'Fórmula'!H116,32)),IF(INDEX(properties!A$1:CB$87,'Fórmula'!J116,32)&lt;&gt;"",INDEX(properties!A$1:CB$87,'Fórmula'!J116,32)))</f>
        <v>8.149376</v>
      </c>
      <c r="DC116" s="119">
        <f t="array" ref="DC116">MAX(INDEX(properties!A$1:CB$87,'Fórmula'!B116,32),INDEX(properties!A$1:CB$87,'Fórmula'!D116,32),INDEX(properties!A$1:CB$87,'Fórmula'!F116,32),INDEX(properties!A$1:CB$87,'Fórmula'!H116,32),INDEX(properties!A$1:CB$87,'Fórmula'!J116,32))</f>
        <v>7.54</v>
      </c>
      <c r="DD116" s="119">
        <f t="array" ref="DD116">MIN(IF(INDEX(properties!A$1:CB$87,'Fórmula'!B116,32)=0,10^6,INDEX(properties!A$1:CB$87,'Fórmula'!B116,32)),IF(INDEX(properties!A$1:CB$87,'Fórmula'!D116,32)=0,10^6,INDEX(properties!A$1:CB$87,'Fórmula'!D116,32)),IF(INDEX(properties!A$1:CB$87,'Fórmula'!F116,32)=0,10^6,INDEX(properties!A$1:CB$87,'Fórmula'!F116,32)),IF(INDEX(properties!A$1:CB$87,'Fórmula'!H116,32)=0,10^6,INDEX(properties!A$1:CB$87,'Fórmula'!H116,32)),IF(INDEX(properties!A$1:CB$87,'Fórmula'!J116,32)=0,10^6,INDEX(properties!A$1:CB$87,'Fórmula'!J116,32)))</f>
        <v>3.2</v>
      </c>
      <c r="DE116" s="119">
        <f t="shared" si="18"/>
        <v>4.34</v>
      </c>
      <c r="DF116" s="104">
        <f t="array" ref="DF116">(('Fórmula'!C116)/('Fórmula'!C116+'Fórmula'!E116+'Fórmula'!G116+'Fórmula'!I116+'Fórmula'!K116))*(INDEX(properties!A$1:CB$87,'Fórmula'!B116,34))+(('Fórmula'!E116)/('Fórmula'!C116+'Fórmula'!E116+'Fórmula'!G116+'Fórmula'!I116+'Fórmula'!K116))*(INDEX(properties!A$1:CB$87,'Fórmula'!D116,34))+(('Fórmula'!G116)/('Fórmula'!C116+'Fórmula'!E116+'Fórmula'!G116+'Fórmula'!I116+'Fórmula'!K116))*(INDEX(properties!A$1:CB$87,'Fórmula'!F116,34))+(('Fórmula'!I116)/('Fórmula'!C116+'Fórmula'!E116+'Fórmula'!G116+'Fórmula'!I116+'Fórmula'!K116))*(INDEX(properties!A$1:CB$87,'Fórmula'!H116,34))+(('Fórmula'!K116)/('Fórmula'!C116+'Fórmula'!E116+'Fórmula'!G116+'Fórmula'!I116+'Fórmula'!K116))*(INDEX(properties!A$1:CB$87,'Fórmula'!J116,34))</f>
        <v>2.791714286</v>
      </c>
      <c r="DG116" s="104">
        <f t="array" ref="DG116">'Fórmula'!C116*(INDEX(properties!A$1:CB$87,'Fórmula'!B116,34))+'Fórmula'!E116*(INDEX(properties!A$1:CB$87,'Fórmula'!D116,34))+'Fórmula'!G116*(INDEX(properties!A$1:CB$87,'Fórmula'!F116,34))+'Fórmula'!I116*(INDEX(properties!A$1:CB$87,'Fórmula'!H116,34))+'Fórmula'!K116*(INDEX(properties!A$1:CB$87,'Fórmula'!J116,34))</f>
        <v>19.542</v>
      </c>
      <c r="DH116" s="104">
        <f t="array" ref="DH116">VARP(IF(INDEX(properties!A$1:CB$87,'Fórmula'!B116,34)&lt;&gt;"",INDEX(properties!A$1:CB$87,'Fórmula'!B116,34)),IF(INDEX(properties!A$1:CB$87,'Fórmula'!D116,34)&lt;&gt;"",INDEX(properties!A$1:CB$87,'Fórmula'!D116,34)),IF(INDEX(properties!A$1:CB$87,'Fórmula'!F116,34)&lt;&gt;"",INDEX(properties!A$1:CB$87,'Fórmula'!F116,34)),IF(INDEX(properties!A$1:CB$87,'Fórmula'!H116,34)&lt;&gt;"",INDEX(properties!A$1:CB$87,'Fórmula'!H116,34)),IF(INDEX(properties!A$1:CB$87,'Fórmula'!J116,34)&lt;&gt;"",INDEX(properties!A$1:CB$87,'Fórmula'!J116,34)))</f>
        <v>1.79330976</v>
      </c>
      <c r="DI116" s="104">
        <f t="array" ref="DI116">MAX(INDEX(properties!A$1:CB$87,'Fórmula'!B116,34),INDEX(properties!A$1:CB$87,'Fórmula'!D116,34),INDEX(properties!A$1:CB$87,'Fórmula'!F116,34),INDEX(properties!A$1:CB$87,'Fórmula'!H116,34),INDEX(properties!A$1:CB$87,'Fórmula'!J116,34))</f>
        <v>3.61</v>
      </c>
      <c r="DJ116" s="104">
        <f t="array" ref="DJ116">MIN(IF(INDEX(properties!A$1:CB$87,'Fórmula'!B116,34)=0,10^6,INDEX(properties!A$1:CB$87,'Fórmula'!B116,34)),IF(INDEX(properties!A$1:CB$87,'Fórmula'!D116,34)=0,10^6,INDEX(properties!A$1:CB$87,'Fórmula'!D116,34)),IF(INDEX(properties!A$1:CB$87,'Fórmula'!F116,34)=0,10^6,INDEX(properties!A$1:CB$87,'Fórmula'!F116,34)),IF(INDEX(properties!A$1:CB$87,'Fórmula'!H116,34)=0,10^6,INDEX(properties!A$1:CB$87,'Fórmula'!H116,34)),IF(INDEX(properties!A$1:CB$87,'Fórmula'!J116,34)=0,10^6,INDEX(properties!A$1:CB$87,'Fórmula'!J116,34)))</f>
        <v>1.59</v>
      </c>
      <c r="DK116" s="104">
        <f t="shared" si="19"/>
        <v>2.02</v>
      </c>
      <c r="DL116" s="105">
        <f t="array" ref="DL116">(('Fórmula'!C116)/('Fórmula'!C116+'Fórmula'!E116+'Fórmula'!G116+'Fórmula'!I116+'Fórmula'!K116))*(INDEX(properties!A$1:CB$87,'Fórmula'!B116,37))+(('Fórmula'!E116)/('Fórmula'!C116+'Fórmula'!E116+'Fórmula'!G116+'Fórmula'!I116+'Fórmula'!K116))*(INDEX(properties!A$1:CB$87,'Fórmula'!D116,37))+(('Fórmula'!G116)/('Fórmula'!C116+'Fórmula'!E116+'Fórmula'!G116+'Fórmula'!I116+'Fórmula'!K116))*(INDEX(properties!A$1:CB$87,'Fórmula'!F116,37))+(('Fórmula'!I116)/('Fórmula'!C116+'Fórmula'!E116+'Fórmula'!G116+'Fórmula'!I116+'Fórmula'!K116))*(INDEX(properties!A$1:CB$87,'Fórmula'!H116,37))+(('Fórmula'!K116)/('Fórmula'!C116+'Fórmula'!E116+'Fórmula'!G116+'Fórmula'!I116+'Fórmula'!K116))*(INDEX(properties!A$1:CB$87,'Fórmula'!J116,37))</f>
        <v>2.542857143</v>
      </c>
      <c r="DM116" s="105">
        <f t="array" ref="DM116">'Fórmula'!C116*(INDEX(properties!A$1:CB$87,'Fórmula'!B116,37))+'Fórmula'!E116*(INDEX(properties!A$1:CB$87,'Fórmula'!D116,37))+'Fórmula'!G116*(INDEX(properties!A$1:CB$87,'Fórmula'!F116,37))+'Fórmula'!I116*(INDEX(properties!A$1:CB$87,'Fórmula'!H116,37))+'Fórmula'!K116*(INDEX(properties!A$1:CB$87,'Fórmula'!J116,37))</f>
        <v>17.8</v>
      </c>
      <c r="DN116" s="105">
        <f t="array" ref="DN116">VARP(IF(INDEX(properties!A$1:CB$87,'Fórmula'!B116,37)&lt;&gt;"",INDEX(properties!A$1:CB$87,'Fórmula'!B116,37)),IF(INDEX(properties!A$1:CB$87,'Fórmula'!D116,37)&lt;&gt;"",INDEX(properties!A$1:CB$87,'Fórmula'!D116,37)),IF(INDEX(properties!A$1:CB$87,'Fórmula'!F116,37)&lt;&gt;"",INDEX(properties!A$1:CB$87,'Fórmula'!F116,37)),IF(INDEX(properties!A$1:CB$87,'Fórmula'!H116,37)&lt;&gt;"",INDEX(properties!A$1:CB$87,'Fórmula'!H116,37)),IF(INDEX(properties!A$1:CB$87,'Fórmula'!J116,37)&lt;&gt;"",INDEX(properties!A$1:CB$87,'Fórmula'!J116,37)))</f>
        <v>1.5964</v>
      </c>
      <c r="DO116" s="105">
        <f t="array" ref="DO116">MAX(INDEX(properties!A$1:CB$87,'Fórmula'!B116,37),INDEX(properties!A$1:CB$87,'Fórmula'!D116,37),INDEX(properties!A$1:CB$87,'Fórmula'!F116,37),INDEX(properties!A$1:CB$87,'Fórmula'!H116,37),INDEX(properties!A$1:CB$87,'Fórmula'!J116,37))</f>
        <v>3.45</v>
      </c>
      <c r="DP116" s="105">
        <f t="array" ref="DP116">MIN(IF(INDEX(properties!A$1:CB$87,'Fórmula'!B116,37)=0,10^6,INDEX(properties!A$1:CB$87,'Fórmula'!B116,37)),IF(INDEX(properties!A$1:CB$87,'Fórmula'!D116,37)=0,10^6,INDEX(properties!A$1:CB$87,'Fórmula'!D116,37)),IF(INDEX(properties!A$1:CB$87,'Fórmula'!F116,37)=0,10^6,INDEX(properties!A$1:CB$87,'Fórmula'!F116,37)),IF(INDEX(properties!A$1:CB$87,'Fórmula'!H116,37)=0,10^6,INDEX(properties!A$1:CB$87,'Fórmula'!H116,37)),IF(INDEX(properties!A$1:CB$87,'Fórmula'!J116,37)=0,10^6,INDEX(properties!A$1:CB$87,'Fórmula'!J116,37)))</f>
        <v>1.2</v>
      </c>
      <c r="DQ116" s="105">
        <f t="shared" si="20"/>
        <v>2.25</v>
      </c>
      <c r="DR116" s="109">
        <f t="array" ref="DR116">(('Fórmula'!C116)/('Fórmula'!C116+'Fórmula'!E116+'Fórmula'!G116+'Fórmula'!I116+'Fórmula'!K116))*(INDEX(properties!A$1:CB$87,'Fórmula'!B116,39))+(('Fórmula'!E116)/('Fórmula'!C116+'Fórmula'!E116+'Fórmula'!G116+'Fórmula'!I116+'Fórmula'!K116))*(INDEX(properties!A$1:CB$87,'Fórmula'!D116,39))+(('Fórmula'!G116)/('Fórmula'!C116+'Fórmula'!E116+'Fórmula'!G116+'Fórmula'!I116+'Fórmula'!K116))*(INDEX(properties!A$1:CB$87,'Fórmula'!F116,39))+(('Fórmula'!I116)/('Fórmula'!C116+'Fórmula'!E116+'Fórmula'!G116+'Fórmula'!I116+'Fórmula'!K116))*(INDEX(properties!A$1:CB$87,'Fórmula'!H116,39))+(('Fórmula'!K116)/('Fórmula'!C116+'Fórmula'!E116+'Fórmula'!G116+'Fórmula'!I116+'Fórmula'!K116))*(INDEX(properties!A$1:CB$87,'Fórmula'!J116,39))</f>
        <v>0.8657142857</v>
      </c>
      <c r="DS116" s="109">
        <f t="array" ref="DS116">'Fórmula'!C116*(INDEX(properties!A$1:CB$87,'Fórmula'!B116,39))+'Fórmula'!E116*(INDEX(properties!A$1:CB$87,'Fórmula'!D116,39))+'Fórmula'!G116*(INDEX(properties!A$1:CB$87,'Fórmula'!F116,39))+'Fórmula'!I116*(INDEX(properties!A$1:CB$87,'Fórmula'!H116,39))+'Fórmula'!K116*(INDEX(properties!A$1:CB$87,'Fórmula'!J116,39))</f>
        <v>6.06</v>
      </c>
      <c r="DT116" s="109">
        <f t="array" ref="DT116">VARP(IF(INDEX(properties!A$1:CB$87,'Fórmula'!B116,39)&lt;&gt;"",INDEX(properties!A$1:CB$87,'Fórmula'!B116,39)),IF(INDEX(properties!A$1:CB$87,'Fórmula'!D116,39)&lt;&gt;"",INDEX(properties!A$1:CB$87,'Fórmula'!D116,39)),IF(INDEX(properties!A$1:CB$87,'Fórmula'!F116,39)&lt;&gt;"",INDEX(properties!A$1:CB$87,'Fórmula'!F116,39)),IF(INDEX(properties!A$1:CB$87,'Fórmula'!H116,39)&lt;&gt;"",INDEX(properties!A$1:CB$87,'Fórmula'!H116,39)),IF(INDEX(properties!A$1:CB$87,'Fórmula'!J116,39)&lt;&gt;"",INDEX(properties!A$1:CB$87,'Fórmula'!J116,39)))</f>
        <v>0.394176</v>
      </c>
      <c r="DU116" s="120">
        <f t="array" ref="DU116">MAX(INDEX(properties!A$1:CB$87,'Fórmula'!B116,39),INDEX(properties!A$1:CB$87,'Fórmula'!D116,39),INDEX(properties!A$1:CB$87,'Fórmula'!F116,39),INDEX(properties!A$1:CB$87,'Fórmula'!H116,39),INDEX(properties!A$1:CB$87,'Fórmula'!J116,39))</f>
        <v>1.42</v>
      </c>
      <c r="DV116" s="120">
        <f t="array" ref="DV116">MIN(IF(INDEX(properties!A$1:CB$87,'Fórmula'!B116,39)=0,10^6,INDEX(properties!A$1:CB$87,'Fórmula'!B116,39)),IF(INDEX(properties!A$1:CB$87,'Fórmula'!D116,39)=0,10^6,INDEX(properties!A$1:CB$87,'Fórmula'!D116,39)),IF(INDEX(properties!A$1:CB$87,'Fórmula'!F116,39)=0,10^6,INDEX(properties!A$1:CB$87,'Fórmula'!F116,39)),IF(INDEX(properties!A$1:CB$87,'Fórmula'!H116,39)=0,10^6,INDEX(properties!A$1:CB$87,'Fórmula'!H116,39)),IF(INDEX(properties!A$1:CB$87,'Fórmula'!J116,39)=0,10^6,INDEX(properties!A$1:CB$87,'Fórmula'!J116,39)))</f>
        <v>0.48</v>
      </c>
      <c r="DW116" s="109">
        <f t="shared" si="21"/>
        <v>0.94</v>
      </c>
      <c r="DX116" s="110">
        <f t="array" ref="DX116">(('Fórmula'!C116)/('Fórmula'!C116+'Fórmula'!E116+'Fórmula'!G116+'Fórmula'!I116+'Fórmula'!K116))*(INDEX(properties!A$1:CB$87,'Fórmula'!B116,40))+(('Fórmula'!E116)/('Fórmula'!C116+'Fórmula'!E116+'Fórmula'!G116+'Fórmula'!I116+'Fórmula'!K116))*(INDEX(properties!A$1:CB$87,'Fórmula'!D116,40))+(('Fórmula'!G116)/('Fórmula'!C116+'Fórmula'!E116+'Fórmula'!G116+'Fórmula'!I116+'Fórmula'!K116))*(INDEX(properties!A$1:CB$87,'Fórmula'!F116,40))+(('Fórmula'!I116)/('Fórmula'!C116+'Fórmula'!E116+'Fórmula'!G116+'Fórmula'!I116+'Fórmula'!K116))*(INDEX(properties!A$1:CB$87,'Fórmula'!H116,40))+(('Fórmula'!K116)/('Fórmula'!C116+'Fórmula'!E116+'Fórmula'!G116+'Fórmula'!I116+'Fórmula'!K116))*(INDEX(properties!A$1:CB$87,'Fórmula'!J116,40))</f>
        <v>0.9642857143</v>
      </c>
      <c r="DY116" s="110">
        <f t="array" ref="DY116">'Fórmula'!C116*(INDEX(properties!A$1:CB$87,'Fórmula'!B116,40))+'Fórmula'!E116*(INDEX(properties!A$1:CB$87,'Fórmula'!D116,40))+'Fórmula'!G116*(INDEX(properties!A$1:CB$87,'Fórmula'!F116,40))+'Fórmula'!I116*(INDEX(properties!A$1:CB$87,'Fórmula'!H116,40))+'Fórmula'!K116*(INDEX(properties!A$1:CB$87,'Fórmula'!J116,40))</f>
        <v>6.75</v>
      </c>
      <c r="DZ116" s="110">
        <f t="array" ref="DZ116">VARP(IF(INDEX(properties!A$1:CB$87,'Fórmula'!B116,40)&lt;&gt;"",INDEX(properties!A$1:CB$87,'Fórmula'!B116,40)),IF(INDEX(properties!A$1:CB$87,'Fórmula'!D116,40)&lt;&gt;"",INDEX(properties!A$1:CB$87,'Fórmula'!D116,40)),IF(INDEX(properties!A$1:CB$87,'Fórmula'!F116,40)&lt;&gt;"",INDEX(properties!A$1:CB$87,'Fórmula'!F116,40)),IF(INDEX(properties!A$1:CB$87,'Fórmula'!H116,40)&lt;&gt;"",INDEX(properties!A$1:CB$87,'Fórmula'!H116,40)),IF(INDEX(properties!A$1:CB$87,'Fórmula'!J116,40)&lt;&gt;"",INDEX(properties!A$1:CB$87,'Fórmula'!J116,40)))</f>
        <v>0.33172</v>
      </c>
      <c r="EA116" s="121">
        <f t="array" ref="EA116">MAX(INDEX(properties!A$1:CB$87,'Fórmula'!B116,40),INDEX(properties!A$1:CB$87,'Fórmula'!D116,40),INDEX(properties!A$1:CB$87,'Fórmula'!F116,40),INDEX(properties!A$1:CB$87,'Fórmula'!H116,40),INDEX(properties!A$1:CB$87,'Fórmula'!J116,40))</f>
        <v>1.31</v>
      </c>
      <c r="EB116" s="121">
        <f t="array" ref="EB116">MIN(IF(INDEX(properties!A$1:CB$87,'Fórmula'!B116,40)=0,10^6,INDEX(properties!A$1:CB$87,'Fórmula'!B116,40)),IF(INDEX(properties!A$1:CB$87,'Fórmula'!D116,40)=0,10^6,INDEX(properties!A$1:CB$87,'Fórmula'!D116,40)),IF(INDEX(properties!A$1:CB$87,'Fórmula'!F116,40)=0,10^6,INDEX(properties!A$1:CB$87,'Fórmula'!F116,40)),IF(INDEX(properties!A$1:CB$87,'Fórmula'!H116,40)=0,10^6,INDEX(properties!A$1:CB$87,'Fórmula'!H116,40)),IF(INDEX(properties!A$1:CB$87,'Fórmula'!J116,40)=0,10^6,INDEX(properties!A$1:CB$87,'Fórmula'!J116,40)))</f>
        <v>0.73</v>
      </c>
      <c r="EC116" s="110">
        <f t="shared" si="22"/>
        <v>0.58</v>
      </c>
      <c r="ED116" s="111">
        <f t="array" ref="ED116">(('Fórmula'!C116)/('Fórmula'!C116+'Fórmula'!E116+'Fórmula'!G116+'Fórmula'!I116+'Fórmula'!K116))*(INDEX(properties!A$1:CB$87,'Fórmula'!B116,41))+(('Fórmula'!E116)/('Fórmula'!C116+'Fórmula'!E116+'Fórmula'!G116+'Fórmula'!I116+'Fórmula'!K116))*(INDEX(properties!A$1:CB$87,'Fórmula'!D116,41))+(('Fórmula'!G116)/('Fórmula'!C116+'Fórmula'!E116+'Fórmula'!G116+'Fórmula'!I116+'Fórmula'!K116))*(INDEX(properties!A$1:CB$87,'Fórmula'!F116,41))+(('Fórmula'!I116)/('Fórmula'!C116+'Fórmula'!E116+'Fórmula'!G116+'Fórmula'!I116+'Fórmula'!K116))*(INDEX(properties!A$1:CB$87,'Fórmula'!H116,41))+(('Fórmula'!K116)/('Fórmula'!C116+'Fórmula'!E116+'Fórmula'!G116+'Fórmula'!I116+'Fórmula'!K116))*(INDEX(properties!A$1:CB$87,'Fórmula'!J116,41))</f>
        <v>1.062857143</v>
      </c>
      <c r="EE116" s="111">
        <f t="array" ref="EE116">'Fórmula'!C116*(INDEX(properties!A$1:CB$87,'Fórmula'!B116,41))+'Fórmula'!E116*(INDEX(properties!A$1:CB$87,'Fórmula'!D116,41))+'Fórmula'!G116*(INDEX(properties!A$1:CB$87,'Fórmula'!F116,41))+'Fórmula'!I116*(INDEX(properties!A$1:CB$87,'Fórmula'!H116,41))+'Fórmula'!K116*(INDEX(properties!A$1:CB$87,'Fórmula'!J116,41))</f>
        <v>7.44</v>
      </c>
      <c r="EF116" s="111">
        <f t="array" ref="EF116">VARP(IF(INDEX(properties!A$1:CB$87,'Fórmula'!B116,41)&lt;&gt;"",INDEX(properties!A$1:CB$87,'Fórmula'!B116,41)),IF(INDEX(properties!A$1:CB$87,'Fórmula'!D116,41)&lt;&gt;"",INDEX(properties!A$1:CB$87,'Fórmula'!D116,41)),IF(INDEX(properties!A$1:CB$87,'Fórmula'!F116,41)&lt;&gt;"",INDEX(properties!A$1:CB$87,'Fórmula'!F116,41)),IF(INDEX(properties!A$1:CB$87,'Fórmula'!H116,41)&lt;&gt;"",INDEX(properties!A$1:CB$87,'Fórmula'!H116,41)),IF(INDEX(properties!A$1:CB$87,'Fórmula'!J116,41)&lt;&gt;"",INDEX(properties!A$1:CB$87,'Fórmula'!J116,41)))</f>
        <v>0.25152</v>
      </c>
      <c r="EG116" s="122">
        <f t="array" ref="EG116">MAX(INDEX(properties!A$1:CB$87,'Fórmula'!B116,41),INDEX(properties!A$1:CB$87,'Fórmula'!D116,41),INDEX(properties!A$1:CB$87,'Fórmula'!F116,41),INDEX(properties!A$1:CB$87,'Fórmula'!H116,41),INDEX(properties!A$1:CB$87,'Fórmula'!J116,41))</f>
        <v>1.26</v>
      </c>
      <c r="EH116" s="122">
        <f t="array" ref="EH116">MIN(IF(INDEX(properties!A$1:CB$87,'Fórmula'!B116,41)=0,10^6,INDEX(properties!A$1:CB$87,'Fórmula'!B116,41)),IF(INDEX(properties!A$1:CB$87,'Fórmula'!D116,41)=0,10^6,INDEX(properties!A$1:CB$87,'Fórmula'!D116,41)),IF(INDEX(properties!A$1:CB$87,'Fórmula'!F116,41)=0,10^6,INDEX(properties!A$1:CB$87,'Fórmula'!F116,41)),IF(INDEX(properties!A$1:CB$87,'Fórmula'!H116,41)=0,10^6,INDEX(properties!A$1:CB$87,'Fórmula'!H116,41)),IF(INDEX(properties!A$1:CB$87,'Fórmula'!J116,41)=0,10^6,INDEX(properties!A$1:CB$87,'Fórmula'!J116,41)))</f>
        <v>0.76</v>
      </c>
      <c r="EI116" s="111">
        <f t="shared" si="23"/>
        <v>0.5</v>
      </c>
      <c r="EJ116" s="112">
        <f t="array" ref="EJ116">(('Fórmula'!C116)/('Fórmula'!C116+'Fórmula'!E116+'Fórmula'!G116+'Fórmula'!I116+'Fórmula'!K116))*(INDEX(properties!A$1:CB$87,'Fórmula'!B116,45))+(('Fórmula'!E116)/('Fórmula'!C116+'Fórmula'!E116+'Fórmula'!G116+'Fórmula'!I116+'Fórmula'!K116))*(INDEX(properties!A$1:CB$87,'Fórmula'!D116,45))+(('Fórmula'!G116)/('Fórmula'!C116+'Fórmula'!E116+'Fórmula'!G116+'Fórmula'!I116+'Fórmula'!K116))*(INDEX(properties!A$1:CB$87,'Fórmula'!F116,45))+(('Fórmula'!I116)/('Fórmula'!C116+'Fórmula'!E116+'Fórmula'!G116+'Fórmula'!I116+'Fórmula'!K116))*(INDEX(properties!A$1:CB$87,'Fórmula'!H116,45))+(('Fórmula'!K116)/('Fórmula'!C116+'Fórmula'!E116+'Fórmula'!G116+'Fórmula'!I116+'Fórmula'!K116))*(INDEX(properties!A$1:CB$87,'Fórmula'!J116,45))</f>
        <v>1.022857143</v>
      </c>
      <c r="EK116" s="112">
        <f t="array" ref="EK116">'Fórmula'!C116*(INDEX(properties!A$1:CB$87,'Fórmula'!B116,45))+'Fórmula'!E116*(INDEX(properties!A$1:CB$87,'Fórmula'!D116,45))+'Fórmula'!G116*(INDEX(properties!A$1:CB$87,'Fórmula'!F116,45))+'Fórmula'!I116*(INDEX(properties!A$1:CB$87,'Fórmula'!H116,45))+'Fórmula'!K116*(INDEX(properties!A$1:CB$87,'Fórmula'!J116,45))</f>
        <v>7.16</v>
      </c>
      <c r="EL116" s="112">
        <f t="array" ref="EL116">VARP(IF(INDEX(properties!A$1:CB$87,'Fórmula'!B116,45)&lt;&gt;"",INDEX(properties!A$1:CB$87,'Fórmula'!B116,45)),IF(INDEX(properties!A$1:CB$87,'Fórmula'!D116,45)&lt;&gt;"",INDEX(properties!A$1:CB$87,'Fórmula'!D116,45)),IF(INDEX(properties!A$1:CB$87,'Fórmula'!F116,45)&lt;&gt;"",INDEX(properties!A$1:CB$87,'Fórmula'!F116,45)),IF(INDEX(properties!A$1:CB$87,'Fórmula'!H116,45)&lt;&gt;"",INDEX(properties!A$1:CB$87,'Fórmula'!H116,45)),IF(INDEX(properties!A$1:CB$87,'Fórmula'!J116,45)&lt;&gt;"",INDEX(properties!A$1:CB$87,'Fórmula'!J116,45)))</f>
        <v>0.67296</v>
      </c>
      <c r="EM116" s="123">
        <f t="array" ref="EM116">MAX(INDEX(properties!A$1:CB$87,'Fórmula'!B116,45),INDEX(properties!A$1:CB$87,'Fórmula'!D116,45),INDEX(properties!A$1:CB$87,'Fórmula'!F116,45),INDEX(properties!A$1:CB$87,'Fórmula'!H116,45),INDEX(properties!A$1:CB$87,'Fórmula'!J116,45))</f>
        <v>1.88</v>
      </c>
      <c r="EN116" s="123">
        <f t="array" ref="EN116">MIN(IF(INDEX(properties!A$1:CB$87,'Fórmula'!B116,45)=0,10^6,INDEX(properties!A$1:CB$87,'Fórmula'!B116,45)),IF(INDEX(properties!A$1:CB$87,'Fórmula'!D116,45)=0,10^6,INDEX(properties!A$1:CB$87,'Fórmula'!D116,45)),IF(INDEX(properties!A$1:CB$87,'Fórmula'!F116,45)=0,10^6,INDEX(properties!A$1:CB$87,'Fórmula'!F116,45)),IF(INDEX(properties!A$1:CB$87,'Fórmula'!H116,45)=0,10^6,INDEX(properties!A$1:CB$87,'Fórmula'!H116,45)),IF(INDEX(properties!A$1:CB$87,'Fórmula'!J116,45)=0,10^6,INDEX(properties!A$1:CB$87,'Fórmula'!J116,45)))</f>
        <v>0.47</v>
      </c>
      <c r="EO116" s="112">
        <f t="shared" si="24"/>
        <v>1.41</v>
      </c>
      <c r="EP116" s="113">
        <f t="array" ref="EP116">(('Fórmula'!C116)/('Fórmula'!C116+'Fórmula'!E116+'Fórmula'!G116+'Fórmula'!I116+'Fórmula'!K116))*(INDEX(properties!A$1:CB$87,'Fórmula'!B116,46))+(('Fórmula'!E116)/('Fórmula'!C116+'Fórmula'!E116+'Fórmula'!G116+'Fórmula'!I116+'Fórmula'!K116))*(INDEX(properties!A$1:CB$87,'Fórmula'!D116,46))+(('Fórmula'!G116)/('Fórmula'!C116+'Fórmula'!E116+'Fórmula'!G116+'Fórmula'!I116+'Fórmula'!K116))*(INDEX(properties!A$1:CB$87,'Fórmula'!F116,46))+(('Fórmula'!I116)/('Fórmula'!C116+'Fórmula'!E116+'Fórmula'!G116+'Fórmula'!I116+'Fórmula'!K116))*(INDEX(properties!A$1:CB$87,'Fórmula'!H116,46))+(('Fórmula'!K116)/('Fórmula'!C116+'Fórmula'!E116+'Fórmula'!G116+'Fórmula'!I116+'Fórmula'!K116))*(INDEX(properties!A$1:CB$87,'Fórmula'!J116,46))</f>
        <v>1.014285714</v>
      </c>
      <c r="EQ116" s="113">
        <f t="array" ref="EQ116">'Fórmula'!C116*(INDEX(properties!A$1:CB$87,'Fórmula'!B116,46))+'Fórmula'!E116*(INDEX(properties!A$1:CB$87,'Fórmula'!D116,46))+'Fórmula'!G116*(INDEX(properties!A$1:CB$87,'Fórmula'!F116,46))+'Fórmula'!I116*(INDEX(properties!A$1:CB$87,'Fórmula'!H116,46))+'Fórmula'!K116*(INDEX(properties!A$1:CB$87,'Fórmula'!J116,46))</f>
        <v>7.1</v>
      </c>
      <c r="ER116" s="113">
        <f t="array" ref="ER116">VARP(IF(INDEX(properties!A$1:CB$87,'Fórmula'!B116,46)&lt;&gt;"",INDEX(properties!A$1:CB$87,'Fórmula'!B116,46)),IF(INDEX(properties!A$1:CB$87,'Fórmula'!D116,46)&lt;&gt;"",INDEX(properties!A$1:CB$87,'Fórmula'!D116,46)),IF(INDEX(properties!A$1:CB$87,'Fórmula'!F116,46)&lt;&gt;"",INDEX(properties!A$1:CB$87,'Fórmula'!F116,46)),IF(INDEX(properties!A$1:CB$87,'Fórmula'!H116,46)&lt;&gt;"",INDEX(properties!A$1:CB$87,'Fórmula'!H116,46)),IF(INDEX(properties!A$1:CB$87,'Fórmula'!J116,46)&lt;&gt;"",INDEX(properties!A$1:CB$87,'Fórmula'!J116,46)))</f>
        <v>0.224096</v>
      </c>
      <c r="ES116" s="124">
        <f t="array" ref="ES116">MAX(INDEX(properties!A$1:CB$87,'Fórmula'!B116,46),INDEX(properties!A$1:CB$87,'Fórmula'!D116,46),INDEX(properties!A$1:CB$87,'Fórmula'!F116,46),INDEX(properties!A$1:CB$87,'Fórmula'!H116,46),INDEX(properties!A$1:CB$87,'Fórmula'!J116,46))</f>
        <v>1.21</v>
      </c>
      <c r="ET116" s="124">
        <f t="array" ref="ET116">MIN(IF(INDEX(properties!A$1:CB$87,'Fórmula'!B116,46)=0,10^6,INDEX(properties!A$1:CB$87,'Fórmula'!B116,46)),IF(INDEX(properties!A$1:CB$87,'Fórmula'!D116,46)=0,10^6,INDEX(properties!A$1:CB$87,'Fórmula'!D116,46)),IF(INDEX(properties!A$1:CB$87,'Fórmula'!F116,46)=0,10^6,INDEX(properties!A$1:CB$87,'Fórmula'!F116,46)),IF(INDEX(properties!A$1:CB$87,'Fórmula'!H116,46)=0,10^6,INDEX(properties!A$1:CB$87,'Fórmula'!H116,46)),IF(INDEX(properties!A$1:CB$87,'Fórmula'!J116,46)=0,10^6,INDEX(properties!A$1:CB$87,'Fórmula'!J116,46)))</f>
        <v>0.74</v>
      </c>
      <c r="EU116" s="113">
        <f t="shared" si="25"/>
        <v>0.47</v>
      </c>
      <c r="EV116" s="114">
        <f t="array" ref="EV116">(('Fórmula'!C116)/('Fórmula'!C116+'Fórmula'!E116+'Fórmula'!G116+'Fórmula'!I116+'Fórmula'!K116))*(INDEX(properties!A$1:CB$87,'Fórmula'!B116,52))+(('Fórmula'!E116)/('Fórmula'!C116+'Fórmula'!E116+'Fórmula'!G116+'Fórmula'!I116+'Fórmula'!K116))*(INDEX(properties!A$1:CB$87,'Fórmula'!D116,52))+(('Fórmula'!G116)/('Fórmula'!C116+'Fórmula'!E116+'Fórmula'!G116+'Fórmula'!I116+'Fórmula'!K116))*(INDEX(properties!A$1:CB$87,'Fórmula'!F116,52))+(('Fórmula'!I116)/('Fórmula'!C116+'Fórmula'!E116+'Fórmula'!G116+'Fórmula'!I116+'Fórmula'!K116))*(INDEX(properties!A$1:CB$87,'Fórmula'!H116,52))+(('Fórmula'!K116)/('Fórmula'!C116+'Fórmula'!E116+'Fórmula'!G116+'Fórmula'!I116+'Fórmula'!K116))*(INDEX(properties!A$1:CB$87,'Fórmula'!J116,52))</f>
        <v>3.681714286</v>
      </c>
      <c r="EW116" s="114">
        <f t="array" ref="EW116">'Fórmula'!C116*(INDEX(properties!A$1:CB$87,'Fórmula'!B116,52))+'Fórmula'!E116*(INDEX(properties!A$1:CB$87,'Fórmula'!D116,52))+'Fórmula'!G116*(INDEX(properties!A$1:CB$87,'Fórmula'!F116,52))+'Fórmula'!I116*(INDEX(properties!A$1:CB$87,'Fórmula'!H116,52))+'Fórmula'!K116*(INDEX(properties!A$1:CB$87,'Fórmula'!J116,52))</f>
        <v>25.772</v>
      </c>
      <c r="EX116" s="114">
        <f t="array" ref="EX116">VARP(IF(INDEX(properties!A$1:CB$87,'Fórmula'!B116,52)&lt;&gt;"",INDEX(properties!A$1:CB$87,'Fórmula'!B116,52)),IF(INDEX(properties!A$1:CB$87,'Fórmula'!D116,52)&lt;&gt;"",INDEX(properties!A$1:CB$87,'Fórmula'!D116,52)),IF(INDEX(properties!A$1:CB$87,'Fórmula'!F116,52)&lt;&gt;"",INDEX(properties!A$1:CB$87,'Fórmula'!F116,52)),IF(INDEX(properties!A$1:CB$87,'Fórmula'!H116,52)&lt;&gt;"",INDEX(properties!A$1:CB$87,'Fórmula'!H116,52)),IF(INDEX(properties!A$1:CB$87,'Fórmula'!J116,52)&lt;&gt;"",INDEX(properties!A$1:CB$87,'Fórmula'!J116,52)))</f>
        <v>12.08473584</v>
      </c>
      <c r="EY116" s="114">
        <f t="array" ref="EY116">MAX(INDEX(properties!A$1:CB$87,'Fórmula'!B116,52),INDEX(properties!A$1:CB$87,'Fórmula'!D116,52),INDEX(properties!A$1:CB$87,'Fórmula'!F116,52),INDEX(properties!A$1:CB$87,'Fórmula'!H116,52),INDEX(properties!A$1:CB$87,'Fórmula'!J116,52))</f>
        <v>8.1</v>
      </c>
      <c r="EZ116" s="114">
        <f t="array" ref="EZ116">MIN(IF(INDEX(properties!A$1:CB$87,'Fórmula'!B116,52)=0,10^6,INDEX(properties!A$1:CB$87,'Fórmula'!B116,52)),IF(INDEX(properties!A$1:CB$87,'Fórmula'!D116,52)=0,10^6,INDEX(properties!A$1:CB$87,'Fórmula'!D116,52)),IF(INDEX(properties!A$1:CB$87,'Fórmula'!F116,52)=0,10^6,INDEX(properties!A$1:CB$87,'Fórmula'!F116,52)),IF(INDEX(properties!A$1:CB$87,'Fórmula'!H116,52)=0,10^6,INDEX(properties!A$1:CB$87,'Fórmula'!H116,52)),IF(INDEX(properties!A$1:CB$87,'Fórmula'!J116,52)=0,10^6,INDEX(properties!A$1:CB$87,'Fórmula'!J116,52)))</f>
        <v>0.793</v>
      </c>
      <c r="FA116" s="114">
        <f t="shared" si="26"/>
        <v>7.307</v>
      </c>
      <c r="FB116" s="115">
        <f t="array" ref="FB116">(('Fórmula'!C116)/('Fórmula'!C116+'Fórmula'!E116+'Fórmula'!G116+'Fórmula'!I116+'Fórmula'!K116))*(INDEX(properties!A$1:CB$87,'Fórmula'!B116,53))+(('Fórmula'!E116)/('Fórmula'!C116+'Fórmula'!E116+'Fórmula'!G116+'Fórmula'!I116+'Fórmula'!K116))*(INDEX(properties!A$1:CB$87,'Fórmula'!D116,53))+(('Fórmula'!G116)/('Fórmula'!C116+'Fórmula'!E116+'Fórmula'!G116+'Fórmula'!I116+'Fórmula'!K116))*(INDEX(properties!A$1:CB$87,'Fórmula'!F116,53))+(('Fórmula'!I116)/('Fórmula'!C116+'Fórmula'!E116+'Fórmula'!G116+'Fórmula'!I116+'Fórmula'!K116))*(INDEX(properties!A$1:CB$87,'Fórmula'!H116,53))+(('Fórmula'!K116)/('Fórmula'!C116+'Fórmula'!E116+'Fórmula'!G116+'Fórmula'!I116+'Fórmula'!K116))*(INDEX(properties!A$1:CB$87,'Fórmula'!J116,53))</f>
        <v>216.8071429</v>
      </c>
      <c r="FC116" s="115">
        <f t="array" ref="FC116">'Fórmula'!C116*(INDEX(properties!A$1:CB$87,'Fórmula'!B116,53))+'Fórmula'!E116*(INDEX(properties!A$1:CB$87,'Fórmula'!D116,53))+'Fórmula'!G116*(INDEX(properties!A$1:CB$87,'Fórmula'!F116,53))+'Fórmula'!I116*(INDEX(properties!A$1:CB$87,'Fórmula'!H116,53))+'Fórmula'!K116*(INDEX(properties!A$1:CB$87,'Fórmula'!J116,53))</f>
        <v>1517.65</v>
      </c>
      <c r="FD116" s="115">
        <f t="array" ref="FD116">VARP(IF(INDEX(properties!A$1:CB$87,'Fórmula'!B116,53)&lt;&gt;"",INDEX(properties!A$1:CB$87,'Fórmula'!B116,53)),IF(INDEX(properties!A$1:CB$87,'Fórmula'!D116,53)&lt;&gt;"",INDEX(properties!A$1:CB$87,'Fórmula'!D116,53)),IF(INDEX(properties!A$1:CB$87,'Fórmula'!F116,53)&lt;&gt;"",INDEX(properties!A$1:CB$87,'Fórmula'!F116,53)),IF(INDEX(properties!A$1:CB$87,'Fórmula'!H116,53)&lt;&gt;"",INDEX(properties!A$1:CB$87,'Fórmula'!H116,53)),IF(INDEX(properties!A$1:CB$87,'Fórmula'!J116,53)&lt;&gt;"",INDEX(properties!A$1:CB$87,'Fórmula'!J116,53)))</f>
        <v>70797.9574</v>
      </c>
      <c r="FE116" s="115">
        <f t="array" ref="FE116">MAX(INDEX(properties!A$1:CB$87,'Fórmula'!B116,53),INDEX(properties!A$1:CB$87,'Fórmula'!D116,53),INDEX(properties!A$1:CB$87,'Fórmula'!F116,53),INDEX(properties!A$1:CB$87,'Fórmula'!H116,53),INDEX(properties!A$1:CB$87,'Fórmula'!J116,53))</f>
        <v>692.75</v>
      </c>
      <c r="FF116" s="115">
        <f t="array" ref="FF116">MIN(IF(INDEX(properties!A$1:CB$87,'Fórmula'!B116,53)=0,10^6,INDEX(properties!A$1:CB$87,'Fórmula'!B116,53)),IF(INDEX(properties!A$1:CB$87,'Fórmula'!D116,53)=0,10^6,INDEX(properties!A$1:CB$87,'Fórmula'!D116,53)),IF(INDEX(properties!A$1:CB$87,'Fórmula'!F116,53)=0,10^6,INDEX(properties!A$1:CB$87,'Fórmula'!F116,53)),IF(INDEX(properties!A$1:CB$87,'Fórmula'!H116,53)=0,10^6,INDEX(properties!A$1:CB$87,'Fórmula'!H116,53)),IF(INDEX(properties!A$1:CB$87,'Fórmula'!J116,53)=0,10^6,INDEX(properties!A$1:CB$87,'Fórmula'!J116,53)))</f>
        <v>54.75</v>
      </c>
      <c r="FG116" s="115">
        <f t="shared" si="27"/>
        <v>638</v>
      </c>
      <c r="FH116" s="117">
        <f t="array" ref="FH116">(('Fórmula'!C116)/('Fórmula'!C116+'Fórmula'!E116+'Fórmula'!G116+'Fórmula'!I116+'Fórmula'!K116))*(INDEX(properties!A$1:CB$87,'Fórmula'!B116,54))+(('Fórmula'!E116)/('Fórmula'!C116+'Fórmula'!E116+'Fórmula'!G116+'Fórmula'!I116+'Fórmula'!K116))*(INDEX(properties!A$1:CB$87,'Fórmula'!D116,54))+(('Fórmula'!G116)/('Fórmula'!C116+'Fórmula'!E116+'Fórmula'!G116+'Fórmula'!I116+'Fórmula'!K116))*(INDEX(properties!A$1:CB$87,'Fórmula'!F116,54))+(('Fórmula'!I116)/('Fórmula'!C116+'Fórmula'!E116+'Fórmula'!G116+'Fórmula'!I116+'Fórmula'!K116))*(INDEX(properties!A$1:CB$87,'Fórmula'!H116,54))+(('Fórmula'!K116)/('Fórmula'!C116+'Fórmula'!E116+'Fórmula'!G116+'Fórmula'!I116+'Fórmula'!K116))*(INDEX(properties!A$1:CB$87,'Fórmula'!J116,54))</f>
        <v>984.5785714</v>
      </c>
      <c r="FI116" s="117">
        <f t="array" ref="FI116">'Fórmula'!C116*(INDEX(properties!A$1:CB$87,'Fórmula'!B116,54))+'Fórmula'!E116*(INDEX(properties!A$1:CB$87,'Fórmula'!D116,54))+'Fórmula'!G116*(INDEX(properties!A$1:CB$87,'Fórmula'!F116,54))+'Fórmula'!I116*(INDEX(properties!A$1:CB$87,'Fórmula'!H116,54))+'Fórmula'!K116*(INDEX(properties!A$1:CB$87,'Fórmula'!J116,54))</f>
        <v>6892.05</v>
      </c>
      <c r="FJ116" s="117">
        <f t="array" ref="FJ116">VARP(IF(INDEX(properties!A$1:CB$87,'Fórmula'!B116,54)&lt;&gt;"",INDEX(properties!A$1:CB$87,'Fórmula'!B116,54)),IF(INDEX(properties!A$1:CB$87,'Fórmula'!D116,54)&lt;&gt;"",INDEX(properties!A$1:CB$87,'Fórmula'!D116,54)),IF(INDEX(properties!A$1:CB$87,'Fórmula'!F116,54)&lt;&gt;"",INDEX(properties!A$1:CB$87,'Fórmula'!F116,54)),IF(INDEX(properties!A$1:CB$87,'Fórmula'!H116,54)&lt;&gt;"",INDEX(properties!A$1:CB$87,'Fórmula'!H116,54)),IF(INDEX(properties!A$1:CB$87,'Fórmula'!J116,54)&lt;&gt;"",INDEX(properties!A$1:CB$87,'Fórmula'!J116,54)))</f>
        <v>1089397.085</v>
      </c>
      <c r="FK116" s="117">
        <f t="array" ref="FK116">MAX(INDEX(properties!A$1:CB$87,'Fórmula'!B116,54),INDEX(properties!A$1:CB$87,'Fórmula'!D116,54),INDEX(properties!A$1:CB$87,'Fórmula'!F116,54),INDEX(properties!A$1:CB$87,'Fórmula'!H116,54),INDEX(properties!A$1:CB$87,'Fórmula'!J116,54))</f>
        <v>2676.15</v>
      </c>
      <c r="FL116" s="117">
        <f t="array" ref="FL116">MIN(IF(INDEX(properties!A$1:CB$87,'Fórmula'!B116,54)=0,10^6,INDEX(properties!A$1:CB$87,'Fórmula'!B116,54)),IF(INDEX(properties!A$1:CB$87,'Fórmula'!D116,54)=0,10^6,INDEX(properties!A$1:CB$87,'Fórmula'!D116,54)),IF(INDEX(properties!A$1:CB$87,'Fórmula'!F116,54)=0,10^6,INDEX(properties!A$1:CB$87,'Fórmula'!F116,54)),IF(INDEX(properties!A$1:CB$87,'Fórmula'!H116,54)=0,10^6,INDEX(properties!A$1:CB$87,'Fórmula'!H116,54)),IF(INDEX(properties!A$1:CB$87,'Fórmula'!J116,54)=0,10^6,INDEX(properties!A$1:CB$87,'Fórmula'!J116,54)))</f>
        <v>90.15</v>
      </c>
      <c r="FM116" s="117">
        <f t="shared" si="28"/>
        <v>2586</v>
      </c>
      <c r="FN116" s="118">
        <f t="array" ref="FN116">(('Fórmula'!C116)/('Fórmula'!C116+'Fórmula'!E116+'Fórmula'!G116+'Fórmula'!I116+'Fórmula'!K116))*(INDEX(properties!A$1:CB$87,'Fórmula'!B116,55))+(('Fórmula'!E116)/('Fórmula'!C116+'Fórmula'!E116+'Fórmula'!G116+'Fórmula'!I116+'Fórmula'!K116))*(INDEX(properties!A$1:CB$87,'Fórmula'!D116,55))+(('Fórmula'!G116)/('Fórmula'!C116+'Fórmula'!E116+'Fórmula'!G116+'Fórmula'!I116+'Fórmula'!K116))*(INDEX(properties!A$1:CB$87,'Fórmula'!F116,55))+(('Fórmula'!I116)/('Fórmula'!C116+'Fórmula'!E116+'Fórmula'!G116+'Fórmula'!I116+'Fórmula'!K116))*(INDEX(properties!A$1:CB$87,'Fórmula'!H116,55))+(('Fórmula'!K116)/('Fórmula'!C116+'Fórmula'!E116+'Fórmula'!G116+'Fórmula'!I116+'Fórmula'!K116))*(INDEX(properties!A$1:CB$87,'Fórmula'!J116,55))</f>
        <v>2.705102857</v>
      </c>
      <c r="FO116" s="118">
        <f t="array" ref="FO116">'Fórmula'!C116*(INDEX(properties!A$1:CB$87,'Fórmula'!B116,55))+'Fórmula'!E116*(INDEX(properties!A$1:CB$87,'Fórmula'!D116,54))+'Fórmula'!G116*(INDEX(properties!A$1:CB$87,'Fórmula'!F116,55))+'Fórmula'!I116*(INDEX(properties!A$1:CB$87,'Fórmula'!H116,55))+'Fórmula'!K116*(INDEX(properties!A$1:CB$87,'Fórmula'!J116,55))</f>
        <v>5359.43572</v>
      </c>
      <c r="FP116" s="118">
        <f t="array" ref="FP116">VARP(IF(INDEX(properties!A$1:CB$87,'Fórmula'!B116,55)&lt;&gt;"",INDEX(properties!A$1:CB$87,'Fórmula'!B116,55)),IF(INDEX(properties!A$1:CB$87,'Fórmula'!D116,55)&lt;&gt;"",INDEX(properties!A$1:CB$87,'Fórmula'!D116,55)),IF(INDEX(properties!A$1:CB$87,'Fórmula'!F116,55)&lt;&gt;"",INDEX(properties!A$1:CB$87,'Fórmula'!F116,55)),IF(INDEX(properties!A$1:CB$87,'Fórmula'!H116,55)&lt;&gt;"",INDEX(properties!A$1:CB$87,'Fórmula'!H116,55)),IF(INDEX(properties!A$1:CB$87,'Fórmula'!J116,55)&lt;&gt;"",INDEX(properties!A$1:CB$87,'Fórmula'!J116,55)))</f>
        <v>10.3366537</v>
      </c>
      <c r="FQ116" s="118">
        <f t="array" ref="FQ116">MAX(INDEX(properties!A$1:CB$87,'Fórmula'!B116,55),INDEX(properties!A$1:CB$87,'Fórmula'!D116,55),INDEX(properties!A$1:CB$87,'Fórmula'!F116,55),INDEX(properties!A$1:CB$87,'Fórmula'!H116,55),INDEX(properties!A$1:CB$87,'Fórmula'!J116,55))</f>
        <v>7.13</v>
      </c>
      <c r="FR116" s="118">
        <f t="array" ref="FR116">MIN(IF(INDEX(properties!A$1:CB$87,'Fórmula'!B116,55)=0,10^6,INDEX(properties!A$1:CB$87,'Fórmula'!B116,55)),IF(INDEX(properties!A$1:CB$87,'Fórmula'!D116,55)=0,10^6,INDEX(properties!A$1:CB$87,'Fórmula'!D116,55)),IF(INDEX(properties!A$1:CB$87,'Fórmula'!F116,55)=0,10^6,INDEX(properties!A$1:CB$87,'Fórmula'!F116,55)),IF(INDEX(properties!A$1:CB$87,'Fórmula'!H116,55)=0,10^6,INDEX(properties!A$1:CB$87,'Fórmula'!H116,55)),IF(INDEX(properties!A$1:CB$87,'Fórmula'!J116,55)=0,10^6,INDEX(properties!A$1:CB$87,'Fórmula'!J116,55)))</f>
        <v>0.00143</v>
      </c>
      <c r="FS116" s="118">
        <f t="shared" si="29"/>
        <v>7.12857</v>
      </c>
      <c r="FT116" s="119">
        <f t="array" ref="FT116">(('Fórmula'!C116)/('Fórmula'!C116+'Fórmula'!E116+'Fórmula'!G116+'Fórmula'!I116+'Fórmula'!K116))*(INDEX(properties!A$1:CB$87,'Fórmula'!B116,56))+(('Fórmula'!E116)/('Fórmula'!C116+'Fórmula'!E116+'Fórmula'!G116+'Fórmula'!I116+'Fórmula'!K116))*(INDEX(properties!A$1:CB$87,'Fórmula'!D116,56))+(('Fórmula'!G116)/('Fórmula'!C116+'Fórmula'!E116+'Fórmula'!G116+'Fórmula'!I116+'Fórmula'!K116))*(INDEX(properties!A$1:CB$87,'Fórmula'!F116,56))+(('Fórmula'!I116)/('Fórmula'!C116+'Fórmula'!E116+'Fórmula'!G116+'Fórmula'!I116+'Fórmula'!K116))*(INDEX(properties!A$1:CB$87,'Fórmula'!H116,56))+(('Fórmula'!K116)/('Fórmula'!C116+'Fórmula'!E116+'Fórmula'!G116+'Fórmula'!I116+'Fórmula'!K116))*(INDEX(properties!A$1:CB$87,'Fórmula'!J116,56))</f>
        <v>0.6871428571</v>
      </c>
      <c r="FU116" s="119">
        <f t="array" ref="FU116">'Fórmula'!C116*(INDEX(properties!A$1:CB$87,'Fórmula'!B116,56))+'Fórmula'!E116*(INDEX(properties!A$1:CB$87,'Fórmula'!D116,56))+'Fórmula'!G116*(INDEX(properties!A$1:CB$87,'Fórmula'!F116,56))+'Fórmula'!I116*(INDEX(properties!A$1:CB$87,'Fórmula'!H116,56))+'Fórmula'!K116*(INDEX(properties!A$1:CB$87,'Fórmula'!J116,56))</f>
        <v>4.81</v>
      </c>
      <c r="FV116" s="119">
        <f t="array" ref="FV116">VARP(IF(INDEX(properties!A$1:CB$87,'Fórmula'!B116,56)&lt;&gt;"",INDEX(properties!A$1:CB$87,'Fórmula'!B116,56)),IF(INDEX(properties!A$1:CB$87,'Fórmula'!D116,56)&lt;&gt;"",INDEX(properties!A$1:CB$87,'Fórmula'!D116,56)),IF(INDEX(properties!A$1:CB$87,'Fórmula'!F116,56)&lt;&gt;"",INDEX(properties!A$1:CB$87,'Fórmula'!F116,56)),IF(INDEX(properties!A$1:CB$87,'Fórmula'!H116,56)&lt;&gt;"",INDEX(properties!A$1:CB$87,'Fórmula'!H116,56)),IF(INDEX(properties!A$1:CB$87,'Fórmula'!J116,56)&lt;&gt;"",INDEX(properties!A$1:CB$87,'Fórmula'!J116,56)))</f>
        <v>0.114184</v>
      </c>
      <c r="FW116" s="119">
        <f t="array" ref="FW116">MAX(INDEX(properties!A$1:CB$87,'Fórmula'!B116,56),INDEX(properties!A$1:CB$87,'Fórmula'!D116,56),INDEX(properties!A$1:CB$87,'Fórmula'!F116,56),INDEX(properties!A$1:CB$87,'Fórmula'!H116,56),INDEX(properties!A$1:CB$87,'Fórmula'!J116,56))</f>
        <v>0.92</v>
      </c>
      <c r="FX116" s="119">
        <f t="array" ref="FX116">MIN(IF(INDEX(properties!A$1:CB$87,'Fórmula'!B116,56)=0,10^6,INDEX(properties!A$1:CB$87,'Fórmula'!B116,56)),IF(INDEX(properties!A$1:CB$87,'Fórmula'!D116,56)=0,10^6,INDEX(properties!A$1:CB$87,'Fórmula'!D116,56)),IF(INDEX(properties!A$1:CB$87,'Fórmula'!F116,56)=0,10^6,INDEX(properties!A$1:CB$87,'Fórmula'!F116,56)),IF(INDEX(properties!A$1:CB$87,'Fórmula'!H116,56)=0,10^6,INDEX(properties!A$1:CB$87,'Fórmula'!H116,56)),IF(INDEX(properties!A$1:CB$87,'Fórmula'!J116,56)=0,10^6,INDEX(properties!A$1:CB$87,'Fórmula'!J116,56)))</f>
        <v>0.37</v>
      </c>
      <c r="FY116" s="119">
        <f t="shared" si="30"/>
        <v>0.55</v>
      </c>
      <c r="FZ116" s="104">
        <f t="array" ref="FZ116">(('Fórmula'!C116)/('Fórmula'!C116+'Fórmula'!E116+'Fórmula'!G116+'Fórmula'!I116+'Fórmula'!K116))*(INDEX(properties!A$1:CB$87,'Fórmula'!B116,57))+(('Fórmula'!E116)/('Fórmula'!C116+'Fórmula'!E116+'Fórmula'!G116+'Fórmula'!I116+'Fórmula'!K116))*(INDEX(properties!A$1:CB$87,'Fórmula'!D116,57))+(('Fórmula'!G116)/('Fórmula'!C116+'Fórmula'!E116+'Fórmula'!G116+'Fórmula'!I116+'Fórmula'!K116))*(INDEX(properties!A$1:CB$87,'Fórmula'!F116,57))+(('Fórmula'!I116)/('Fórmula'!C116+'Fórmula'!E116+'Fórmula'!G116+'Fórmula'!I116+'Fórmula'!K116))*(INDEX(properties!A$1:CB$87,'Fórmula'!H116,57))+(('Fórmula'!K116)/('Fórmula'!C116+'Fórmula'!E116+'Fórmula'!G116+'Fórmula'!I116+'Fórmula'!K116))*(INDEX(properties!A$1:CB$87,'Fórmula'!J116,57))</f>
        <v>2.770337143</v>
      </c>
      <c r="GA116" s="104">
        <f t="array" ref="GA116">'Fórmula'!C116*(INDEX(properties!A$1:CB$87,'Fórmula'!B116,57))+'Fórmula'!E116*(INDEX(properties!A$1:CB$87,'Fórmula'!D116,57))+'Fórmula'!G116*(INDEX(properties!A$1:CB$87,'Fórmula'!F116,57))+'Fórmula'!I116*(INDEX(properties!A$1:CB$87,'Fórmula'!H116,57))+'Fórmula'!K116*(INDEX(properties!A$1:CB$87,'Fórmula'!J116,57))</f>
        <v>19.39236</v>
      </c>
      <c r="GB116" s="104">
        <f t="array" ref="GB116">VARP(IF(INDEX(properties!A$1:CB$87,'Fórmula'!B116,57)&lt;&gt;"",INDEX(properties!A$1:CB$87,'Fórmula'!B116,57)),IF(INDEX(properties!A$1:CB$87,'Fórmula'!D116,57)&lt;&gt;"",INDEX(properties!A$1:CB$87,'Fórmula'!D116,57)),IF(INDEX(properties!A$1:CB$87,'Fórmula'!F116,57)&lt;&gt;"",INDEX(properties!A$1:CB$87,'Fórmula'!F116,57)),IF(INDEX(properties!A$1:CB$87,'Fórmula'!H116,57)&lt;&gt;"",INDEX(properties!A$1:CB$87,'Fórmula'!H116,57)),IF(INDEX(properties!A$1:CB$87,'Fórmula'!J116,57)&lt;&gt;"",INDEX(properties!A$1:CB$87,'Fórmula'!J116,57)))</f>
        <v>10.08116788</v>
      </c>
      <c r="GC116" s="104">
        <f t="array" ref="GC116">MAX(INDEX(properties!A$1:CB$87,'Fórmula'!B116,57),INDEX(properties!A$1:CB$87,'Fórmula'!D116,57),INDEX(properties!A$1:CB$87,'Fórmula'!F116,57),INDEX(properties!A$1:CB$87,'Fórmula'!H116,57),INDEX(properties!A$1:CB$87,'Fórmula'!J116,57))</f>
        <v>7.322</v>
      </c>
      <c r="GD116" s="104">
        <f t="array" ref="GD116">MIN(IF(INDEX(properties!A$1:CB$87,'Fórmula'!B116,57)=0,10^6,INDEX(properties!A$1:CB$87,'Fórmula'!B116,57)),IF(INDEX(properties!A$1:CB$87,'Fórmula'!D116,57)=0,10^6,INDEX(properties!A$1:CB$87,'Fórmula'!D116,57)),IF(INDEX(properties!A$1:CB$87,'Fórmula'!F116,57)=0,10^6,INDEX(properties!A$1:CB$87,'Fórmula'!F116,57)),IF(INDEX(properties!A$1:CB$87,'Fórmula'!H116,57)=0,10^6,INDEX(properties!A$1:CB$87,'Fórmula'!H116,57)),IF(INDEX(properties!A$1:CB$87,'Fórmula'!J116,57)=0,10^6,INDEX(properties!A$1:CB$87,'Fórmula'!J116,57)))</f>
        <v>0.22259</v>
      </c>
      <c r="GE116" s="104">
        <f t="shared" si="31"/>
        <v>7.09941</v>
      </c>
      <c r="GF116" s="105">
        <f t="array" ref="GF116">(('Fórmula'!C116)/('Fórmula'!C116+'Fórmula'!E116+'Fórmula'!G116+'Fórmula'!I116+'Fórmula'!K116))*(INDEX(properties!A$1:CB$87,'Fórmula'!B116,60))+(('Fórmula'!E116)/('Fórmula'!C116+'Fórmula'!E116+'Fórmula'!G116+'Fórmula'!I116+'Fórmula'!K116))*(INDEX(properties!A$1:CB$87,'Fórmula'!D116,60))+(('Fórmula'!G116)/('Fórmula'!C116+'Fórmula'!E116+'Fórmula'!G116+'Fórmula'!I116+'Fórmula'!K116))*(INDEX(properties!A$1:CB$87,'Fórmula'!F116,60))+(('Fórmula'!I116)/('Fórmula'!C116+'Fórmula'!E116+'Fórmula'!G116+'Fórmula'!I116+'Fórmula'!K116))*(INDEX(properties!A$1:CB$87,'Fórmula'!H116,60))+(('Fórmula'!K116)/('Fórmula'!C116+'Fórmula'!E116+'Fórmula'!G116+'Fórmula'!I116+'Fórmula'!K116))*(INDEX(properties!A$1:CB$87,'Fórmula'!J116,60))</f>
        <v>28.18670857</v>
      </c>
      <c r="GG116" s="105">
        <f t="array" ref="GG116">'Fórmula'!C116*(INDEX(properties!A$1:CB$87,'Fórmula'!B116,60))+'Fórmula'!E116*(INDEX(properties!A$1:CB$87,'Fórmula'!D116,60))+'Fórmula'!G116*(INDEX(properties!A$1:CB$87,'Fórmula'!F116,60))+'Fórmula'!I116*(INDEX(properties!A$1:CB$87,'Fórmula'!H116,60))+'Fórmula'!K116*(INDEX(properties!A$1:CB$87,'Fórmula'!J116,60))</f>
        <v>197.30696</v>
      </c>
      <c r="GH116" s="105">
        <f t="array" ref="GH116">VARP(IF(INDEX(properties!A$1:CB$87,'Fórmula'!B116,60)&lt;&gt;"",INDEX(properties!A$1:CB$87,'Fórmula'!B116,60)),IF(INDEX(properties!A$1:CB$87,'Fórmula'!D116,60)&lt;&gt;"",INDEX(properties!A$1:CB$87,'Fórmula'!D116,60)),IF(INDEX(properties!A$1:CB$87,'Fórmula'!F116,60)&lt;&gt;"",INDEX(properties!A$1:CB$87,'Fórmula'!F116,60)),IF(INDEX(properties!A$1:CB$87,'Fórmula'!H116,60)&lt;&gt;"",INDEX(properties!A$1:CB$87,'Fórmula'!H116,60)),IF(INDEX(properties!A$1:CB$87,'Fórmula'!J116,60)&lt;&gt;"",INDEX(properties!A$1:CB$87,'Fórmula'!J116,60)))</f>
        <v>2039.594716</v>
      </c>
      <c r="GI116" s="105">
        <f t="array" ref="GI116">MAX(INDEX(properties!A$1:CB$87,'Fórmula'!B116,60),INDEX(properties!A$1:CB$87,'Fórmula'!D116,60),INDEX(properties!A$1:CB$87,'Fórmula'!F116,60),INDEX(properties!A$1:CB$87,'Fórmula'!H116,60),INDEX(properties!A$1:CB$87,'Fórmula'!J116,60))</f>
        <v>116</v>
      </c>
      <c r="GJ116" s="105">
        <f t="array" ref="GJ116">MIN(IF(INDEX(properties!A$1:CB$87,'Fórmula'!B116,60)=0,10^6,INDEX(properties!A$1:CB$87,'Fórmula'!B116,60)),IF(INDEX(properties!A$1:CB$87,'Fórmula'!D116,60)=0,10^6,INDEX(properties!A$1:CB$87,'Fórmula'!D116,60)),IF(INDEX(properties!A$1:CB$87,'Fórmula'!F116,60)=0,10^6,INDEX(properties!A$1:CB$87,'Fórmula'!F116,60)),IF(INDEX(properties!A$1:CB$87,'Fórmula'!H116,60)=0,10^6,INDEX(properties!A$1:CB$87,'Fórmula'!H116,60)),IF(INDEX(properties!A$1:CB$87,'Fórmula'!J116,60)=0,10^6,INDEX(properties!A$1:CB$87,'Fórmula'!J116,60)))</f>
        <v>0.02674</v>
      </c>
      <c r="GK116" s="105">
        <f t="shared" si="32"/>
        <v>115.97326</v>
      </c>
      <c r="GL116" s="106">
        <f t="array" ref="GL116">(('Fórmula'!C116)/('Fórmula'!C116+'Fórmula'!E116+'Fórmula'!G116+'Fórmula'!I116+'Fórmula'!K116))*(INDEX(properties!A$1:CB$87,'Fórmula'!B116,62))+(('Fórmula'!E116)/('Fórmula'!C116+'Fórmula'!E116+'Fórmula'!G116+'Fórmula'!I116+'Fórmula'!K116))*(INDEX(properties!A$1:CB$87,'Fórmula'!D116,62))+(('Fórmula'!G116)/('Fórmula'!C116+'Fórmula'!E116+'Fórmula'!G116+'Fórmula'!I116+'Fórmula'!K116))*(INDEX(properties!A$1:CB$87,'Fórmula'!F116,62))+(('Fórmula'!I116)/('Fórmula'!C116+'Fórmula'!E116+'Fórmula'!G116+'Fórmula'!I116+'Fórmula'!K116))*(INDEX(properties!A$1:CB$87,'Fórmula'!H116,62))+(('Fórmula'!K116)/('Fórmula'!C116+'Fórmula'!E116+'Fórmula'!G116+'Fórmula'!I116+'Fórmula'!K116))*(INDEX(properties!A$1:CB$87,'Fórmula'!J116,62))</f>
        <v>2.492857143</v>
      </c>
      <c r="GM116" s="106">
        <f t="array" ref="GM116">'Fórmula'!C116*(INDEX(properties!A$1:CB$87,'Fórmula'!B116,62))+'Fórmula'!E116*(INDEX(properties!A$1:CB$87,'Fórmula'!D116,62))+'Fórmula'!G116*(INDEX(properties!A$1:CB$87,'Fórmula'!F116,62))+'Fórmula'!I116*(INDEX(properties!A$1:CB$87,'Fórmula'!H116,62))+'Fórmula'!K116*(INDEX(properties!A$1:CB$87,'Fórmula'!J116,62))</f>
        <v>17.45</v>
      </c>
      <c r="GN116" s="106">
        <f t="array" ref="GN116">VARP(IF(INDEX(properties!A$1:CB$87,'Fórmula'!B116,62)&lt;&gt;"",INDEX(properties!A$1:CB$87,'Fórmula'!B116,62)),IF(INDEX(properties!A$1:CB$87,'Fórmula'!D116,62)&lt;&gt;"",INDEX(properties!A$1:CB$87,'Fórmula'!D116,62)),IF(INDEX(properties!A$1:CB$87,'Fórmula'!F116,62)&lt;&gt;"",INDEX(properties!A$1:CB$87,'Fórmula'!F116,62)),IF(INDEX(properties!A$1:CB$87,'Fórmula'!H116,62)&lt;&gt;"",INDEX(properties!A$1:CB$87,'Fórmula'!H116,62)),IF(INDEX(properties!A$1:CB$87,'Fórmula'!J116,62)&lt;&gt;"",INDEX(properties!A$1:CB$87,'Fórmula'!J116,62)))</f>
        <v>1.477864</v>
      </c>
      <c r="GO116" s="106">
        <f t="array" ref="GO116">MAX(INDEX(properties!A$1:CB$87,'Fórmula'!B116,62),INDEX(properties!A$1:CB$87,'Fórmula'!D116,62),INDEX(properties!A$1:CB$87,'Fórmula'!F116,62),INDEX(properties!A$1:CB$87,'Fórmula'!H116,62),INDEX(properties!A$1:CB$87,'Fórmula'!J116,62))</f>
        <v>2.81</v>
      </c>
      <c r="GP116" s="106">
        <f t="array" ref="GP116">MIN(IF(INDEX(properties!A$1:CB$87,'Fórmula'!B116,62)=0,10^6,INDEX(properties!A$1:CB$87,'Fórmula'!B116,62)),IF(INDEX(properties!A$1:CB$87,'Fórmula'!D116,62)=0,10^6,INDEX(properties!A$1:CB$87,'Fórmula'!D116,62)),IF(INDEX(properties!A$1:CB$87,'Fórmula'!F116,62)=0,10^6,INDEX(properties!A$1:CB$87,'Fórmula'!F116,62)),IF(INDEX(properties!A$1:CB$87,'Fórmula'!H116,62)=0,10^6,INDEX(properties!A$1:CB$87,'Fórmula'!H116,62)),IF(INDEX(properties!A$1:CB$87,'Fórmula'!J116,62)=0,10^6,INDEX(properties!A$1:CB$87,'Fórmula'!J116,62)))</f>
        <v>1.35</v>
      </c>
      <c r="GQ116" s="106">
        <f t="shared" si="33"/>
        <v>1.46</v>
      </c>
      <c r="GR116" s="106">
        <f>'Fórmula'!Q116</f>
        <v>227</v>
      </c>
      <c r="GS116" s="107">
        <f>'Fórmula'!P116</f>
        <v>1</v>
      </c>
      <c r="GT116" s="113">
        <f>'Fórmula'!O116</f>
        <v>6.17</v>
      </c>
      <c r="GU116" s="114">
        <f>AVERAGE('Fórmula'!R116/'Fórmula'!S116,'Fórmula'!S116/'Fórmula'!T116,'Fórmula'!T116/'Fórmula'!R116)</f>
        <v>1</v>
      </c>
      <c r="GV116" s="125">
        <f>'Fórmula'!U116</f>
        <v>579.22</v>
      </c>
      <c r="GW116" s="106">
        <f>'Fórmula'!N116</f>
        <v>0.01</v>
      </c>
    </row>
    <row r="117" ht="14.25" customHeight="1">
      <c r="A117" s="99" t="str">
        <f>'Fórmula'!A117</f>
        <v>NaBaB9O15</v>
      </c>
      <c r="B117" s="101">
        <f t="array" ref="B117">(('Fórmula'!C117)/('Fórmula'!C117+'Fórmula'!E117+'Fórmula'!G117+'Fórmula'!I117+'Fórmula'!K117))*(INDEX(properties!A$1:CB$87,'Fórmula'!B117,3))+(('Fórmula'!E117)/('Fórmula'!C117+'Fórmula'!E117+'Fórmula'!G117+'Fórmula'!I117+'Fórmula'!K117))*(INDEX(properties!A$1:CB$87,'Fórmula'!D117,3))+(('Fórmula'!G117)/('Fórmula'!C117+'Fórmula'!E117+'Fórmula'!G117+'Fórmula'!I117+'Fórmula'!K117))*(INDEX(properties!A$1:CB$87,'Fórmula'!F117,3))+(('Fórmula'!I117)/('Fórmula'!C117+'Fórmula'!E117+'Fórmula'!G117+'Fórmula'!I117+'Fórmula'!K117))*(INDEX(properties!A$1:CB$87,'Fórmula'!H117,3))+(('Fórmula'!K117)/('Fórmula'!C117+'Fórmula'!E117+'Fórmula'!G117+'Fórmula'!I117+'Fórmula'!K117))*(INDEX(properties!A$1:CB$87,'Fórmula'!J117,3))</f>
        <v>19.13872185</v>
      </c>
      <c r="C117" s="101">
        <f t="array" ref="C117">'Fórmula'!C117*(INDEX(properties!A$1:CB$87,'Fórmula'!B117,3))+'Fórmula'!E117*(INDEX(properties!A$1:CB$87,'Fórmula'!D117,3))+'Fórmula'!G117*(INDEX(properties!A$1:CB$87,'Fórmula'!F117,3))+'Fórmula'!I117*(INDEX(properties!A$1:CB$87,'Fórmula'!H117,3))+'Fórmula'!K117*(INDEX(properties!A$1:CB$87,'Fórmula'!J117,3))</f>
        <v>497.606768</v>
      </c>
      <c r="D117" s="101">
        <f t="array" ref="D117">VARP(IF(INDEX(properties!A$1:CB$87,'Fórmula'!B117,3)&lt;&gt;"",INDEX(properties!A$1:CB$87,'Fórmula'!B117,3)),IF(INDEX(properties!A$1:CB$87,'Fórmula'!D117,3)&lt;&gt;"",INDEX(properties!A$1:CB$87,'Fórmula'!D117,3)),IF(INDEX(properties!A$1:CB$87,'Fórmula'!F117,3)&lt;&gt;"",INDEX(properties!A$1:CB$87,'Fórmula'!F117,3)),IF(INDEX(properties!A$1:CB$87,'Fórmula'!H117,3)&lt;&gt;"",INDEX(properties!A$1:CB$87,'Fórmula'!H117,3)),IF(INDEX(properties!A$1:CB$87,'Fórmula'!J117,3)&lt;&gt;"",INDEX(properties!A$1:CB$87,'Fórmula'!J117,3)))</f>
        <v>2551.355496</v>
      </c>
      <c r="E117" s="101">
        <f t="array" ref="E117">MAX(INDEX(properties!A$1:CB$87,'Fórmula'!B117,3),INDEX(properties!A$1:CB$87,'Fórmula'!D117,3),INDEX(properties!A$1:CB$87,'Fórmula'!F117,3),INDEX(properties!A$1:CB$87,'Fórmula'!H117,3),INDEX(properties!A$1:CB$87,'Fórmula'!J117,3))</f>
        <v>137.327</v>
      </c>
      <c r="F117" s="101">
        <f t="array" ref="F117">MIN(IF(INDEX(properties!A$1:CB$87,'Fórmula'!B117,3)=0,10^6,INDEX(properties!A$1:CB$87,'Fórmula'!B117,3)),IF(INDEX(properties!A$1:CB$87,'Fórmula'!D117,3)=0,10^6,INDEX(properties!A$1:CB$87,'Fórmula'!D117,3)),IF(INDEX(properties!A$1:CB$87,'Fórmula'!F117,3)=0,10^6,INDEX(properties!A$1:CB$87,'Fórmula'!F117,3)),IF(INDEX(properties!A$1:CB$87,'Fórmula'!H117,3)=0,10^6,INDEX(properties!A$1:CB$87,'Fórmula'!H117,3)),IF(INDEX(properties!A$1:CB$87,'Fórmula'!J117,3)=0,10^6,INDEX(properties!A$1:CB$87,'Fórmula'!J117,3)))</f>
        <v>10.811</v>
      </c>
      <c r="G117" s="101">
        <f t="shared" si="1"/>
        <v>126.516</v>
      </c>
      <c r="H117" s="102">
        <f t="array" ref="H117">(('Fórmula'!C117)/('Fórmula'!C117+'Fórmula'!E117+'Fórmula'!G117+'Fórmula'!I117+'Fórmula'!K117))*(INDEX(properties!A$1:CB$87,'Fórmula'!B117,4))+(('Fórmula'!E117)/('Fórmula'!C117+'Fórmula'!E117+'Fórmula'!G117+'Fórmula'!I117+'Fórmula'!K117))*(INDEX(properties!A$1:CB$87,'Fórmula'!D117,4))+(('Fórmula'!G117)/('Fórmula'!C117+'Fórmula'!E117+'Fórmula'!G117+'Fórmula'!I117+'Fórmula'!K117))*(INDEX(properties!A$1:CB$87,'Fórmula'!F117,4))+(('Fórmula'!I117)/('Fórmula'!C117+'Fórmula'!E117+'Fórmula'!G117+'Fórmula'!I117+'Fórmula'!K117))*(INDEX(properties!A$1:CB$87,'Fórmula'!H117,4))+(('Fórmula'!K117)/('Fórmula'!C117+'Fórmula'!E117+'Fórmula'!G117+'Fórmula'!I117+'Fórmula'!K117))*(INDEX(properties!A$1:CB$87,'Fórmula'!J117,4))</f>
        <v>8.923076923</v>
      </c>
      <c r="I117" s="102">
        <f t="array" ref="I117">'Fórmula'!C117*(INDEX(properties!A$1:CB$87,'Fórmula'!B117,4))+'Fórmula'!E117*(INDEX(properties!A$1:CB$87,'Fórmula'!D117,4))+'Fórmula'!G117*(INDEX(properties!A$1:CB$87,'Fórmula'!F117,4))+'Fórmula'!I117*(INDEX(properties!A$1:CB$87,'Fórmula'!H117,4))+'Fórmula'!K117*(INDEX(properties!A$1:CB$87,'Fórmula'!J117,4))</f>
        <v>232</v>
      </c>
      <c r="J117" s="102">
        <f t="array" ref="J117">VARP(IF(INDEX(properties!A$1:CB$87,'Fórmula'!B117,4)&lt;&gt;"",INDEX(properties!A$1:CB$87,'Fórmula'!B117,4)),IF(INDEX(properties!A$1:CB$87,'Fórmula'!D117,4)&lt;&gt;"",INDEX(properties!A$1:CB$87,'Fórmula'!D117,4)),IF(INDEX(properties!A$1:CB$87,'Fórmula'!F117,4)&lt;&gt;"",INDEX(properties!A$1:CB$87,'Fórmula'!F117,4)),IF(INDEX(properties!A$1:CB$87,'Fórmula'!H117,4)&lt;&gt;"",INDEX(properties!A$1:CB$87,'Fórmula'!H117,4)),IF(INDEX(properties!A$1:CB$87,'Fórmula'!J117,4)&lt;&gt;"",INDEX(properties!A$1:CB$87,'Fórmula'!J117,4)))</f>
        <v>413.2</v>
      </c>
      <c r="K117" s="102">
        <f t="array" ref="K117">MAX(INDEX(properties!A$1:CB$87,'Fórmula'!B117,4),INDEX(properties!A$1:CB$87,'Fórmula'!D117,4),INDEX(properties!A$1:CB$87,'Fórmula'!F117,4),INDEX(properties!A$1:CB$87,'Fórmula'!H117,4),INDEX(properties!A$1:CB$87,'Fórmula'!J117,4))</f>
        <v>56</v>
      </c>
      <c r="L117" s="102">
        <f t="array" ref="L117">MIN(IF(INDEX(properties!A$1:CB$87,'Fórmula'!B117,4)=0,10^6,INDEX(properties!A$1:CB$87,'Fórmula'!B117,4)),IF(INDEX(properties!A$1:CB$87,'Fórmula'!D117,4)=0,10^6,INDEX(properties!A$1:CB$87,'Fórmula'!D117,4)),IF(INDEX(properties!A$1:CB$87,'Fórmula'!F117,4)=0,10^6,INDEX(properties!A$1:CB$87,'Fórmula'!F117,4)),IF(INDEX(properties!A$1:CB$87,'Fórmula'!H117,4)=0,10^6,INDEX(properties!A$1:CB$87,'Fórmula'!H117,4)),IF(INDEX(properties!A$1:CB$87,'Fórmula'!J117,4)=0,10^6,INDEX(properties!A$1:CB$87,'Fórmula'!J117,4)))</f>
        <v>5</v>
      </c>
      <c r="M117" s="102">
        <f t="shared" si="2"/>
        <v>51</v>
      </c>
      <c r="N117" s="103">
        <f t="array" ref="N117">(('Fórmula'!C117)/('Fórmula'!C117+'Fórmula'!E117+'Fórmula'!G117+'Fórmula'!I117+'Fórmula'!K117))*(INDEX(properties!A$1:CB$87,'Fórmula'!B117,5))+(('Fórmula'!E117)/('Fórmula'!C117+'Fórmula'!E117+'Fórmula'!G117+'Fórmula'!I117+'Fórmula'!K117))*(INDEX(properties!A$1:CB$87,'Fórmula'!D117,5))+(('Fórmula'!G117)/('Fórmula'!C117+'Fórmula'!E117+'Fórmula'!G117+'Fórmula'!I117+'Fórmula'!K117))*(INDEX(properties!A$1:CB$87,'Fórmula'!F117,5))+(('Fórmula'!I117)/('Fórmula'!C117+'Fórmula'!E117+'Fórmula'!G117+'Fórmula'!I117+'Fórmula'!K117))*(INDEX(properties!A$1:CB$87,'Fórmula'!H117,5))+(('Fórmula'!K117)/('Fórmula'!C117+'Fórmula'!E117+'Fórmula'!G117+'Fórmula'!I117+'Fórmula'!K117))*(INDEX(properties!A$1:CB$87,'Fórmula'!J117,5))</f>
        <v>2.192307692</v>
      </c>
      <c r="O117" s="103">
        <f t="array" ref="O117">'Fórmula'!C117*(INDEX(properties!A$1:CB$87,'Fórmula'!B117,5))+'Fórmula'!E117*(INDEX(properties!A$1:CB$87,'Fórmula'!D117,5))+'Fórmula'!G117*(INDEX(properties!A$1:CB$87,'Fórmula'!F117,5))+'Fórmula'!I117*(INDEX(properties!A$1:CB$87,'Fórmula'!H117,5))+'Fórmula'!K117*(INDEX(properties!A$1:CB$87,'Fórmula'!J117,5))</f>
        <v>57</v>
      </c>
      <c r="P117" s="103">
        <f t="array" ref="P117">VARP(IF(INDEX(properties!A$1:CB$87,'Fórmula'!B117,5)&lt;&gt;"",INDEX(properties!A$1:CB$87,'Fórmula'!B117,5)),IF(INDEX(properties!A$1:CB$87,'Fórmula'!D117,5)&lt;&gt;"",INDEX(properties!A$1:CB$87,'Fórmula'!D117,5)),IF(INDEX(properties!A$1:CB$87,'Fórmula'!F117,5)&lt;&gt;"",INDEX(properties!A$1:CB$87,'Fórmula'!F117,5)),IF(INDEX(properties!A$1:CB$87,'Fórmula'!H117,5)&lt;&gt;"",INDEX(properties!A$1:CB$87,'Fórmula'!H117,5)),IF(INDEX(properties!A$1:CB$87,'Fórmula'!J117,5)&lt;&gt;"",INDEX(properties!A$1:CB$87,'Fórmula'!J117,5)))</f>
        <v>3.84</v>
      </c>
      <c r="Q117" s="103">
        <f t="array" ref="Q117">MAX(INDEX(properties!A$1:CB$87,'Fórmula'!B117,5),INDEX(properties!A$1:CB$87,'Fórmula'!D117,5),INDEX(properties!A$1:CB$87,'Fórmula'!F117,5),INDEX(properties!A$1:CB$87,'Fórmula'!H117,5),INDEX(properties!A$1:CB$87,'Fórmula'!J117,5))</f>
        <v>6</v>
      </c>
      <c r="R117" s="103">
        <f t="array" ref="R117">MIN(IF(INDEX(properties!A$1:CB$87,'Fórmula'!B117,5)=0,10^6,INDEX(properties!A$1:CB$87,'Fórmula'!B117,5)),IF(INDEX(properties!A$1:CB$87,'Fórmula'!D117,5)=0,10^6,INDEX(properties!A$1:CB$87,'Fórmula'!D117,5)),IF(INDEX(properties!A$1:CB$87,'Fórmula'!F117,5)=0,10^6,INDEX(properties!A$1:CB$87,'Fórmula'!F117,5)),IF(INDEX(properties!A$1:CB$87,'Fórmula'!H117,5)=0,10^6,INDEX(properties!A$1:CB$87,'Fórmula'!H117,5)),IF(INDEX(properties!A$1:CB$87,'Fórmula'!J117,5)=0,10^6,INDEX(properties!A$1:CB$87,'Fórmula'!J117,5)))</f>
        <v>2</v>
      </c>
      <c r="S117" s="103">
        <f t="shared" si="3"/>
        <v>4</v>
      </c>
      <c r="T117" s="104">
        <f t="array" ref="T117">(('Fórmula'!C117)/('Fórmula'!C117+'Fórmula'!E117+'Fórmula'!G117+'Fórmula'!I117+'Fórmula'!K117))*(INDEX(properties!A$1:CB$87,'Fórmula'!B117,6))+(('Fórmula'!E117)/('Fórmula'!C117+'Fórmula'!E117+'Fórmula'!G117+'Fórmula'!I117+'Fórmula'!K117))*(INDEX(properties!A$1:CB$87,'Fórmula'!D117,6))+(('Fórmula'!G117)/('Fórmula'!C117+'Fórmula'!E117+'Fórmula'!G117+'Fórmula'!I117+'Fórmula'!K117))*(INDEX(properties!A$1:CB$87,'Fórmula'!F117,6))+(('Fórmula'!I117)/('Fórmula'!C117+'Fórmula'!E117+'Fórmula'!G117+'Fórmula'!I117+'Fórmula'!K117))*(INDEX(properties!A$1:CB$87,'Fórmula'!H117,6))+(('Fórmula'!K117)/('Fórmula'!C117+'Fórmula'!E117+'Fórmula'!G117+'Fórmula'!I117+'Fórmula'!K117))*(INDEX(properties!A$1:CB$87,'Fórmula'!J117,6))</f>
        <v>13.84615385</v>
      </c>
      <c r="U117" s="104">
        <f t="array" ref="U117">'Fórmula'!C117*(INDEX(properties!A$1:CB$87,'Fórmula'!B117,6))+'Fórmula'!E117*(INDEX(properties!A$1:CB$87,'Fórmula'!D117,6))+'Fórmula'!G117*(INDEX(properties!A$1:CB$87,'Fórmula'!F117,6))+'Fórmula'!I117*(INDEX(properties!A$1:CB$87,'Fórmula'!H117,6))+'Fórmula'!K117*(INDEX(properties!A$1:CB$87,'Fórmula'!J117,6))</f>
        <v>360</v>
      </c>
      <c r="V117" s="103">
        <f t="array" ref="V117">VARP(IF(INDEX(properties!A$1:CB$87,'Fórmula'!B117,6)&lt;&gt;"",INDEX(properties!A$1:CB$87,'Fórmula'!B117,6)),IF(INDEX(properties!A$1:CB$87,'Fórmula'!D117,6)&lt;&gt;"",INDEX(properties!A$1:CB$87,'Fórmula'!D117,6)),IF(INDEX(properties!A$1:CB$87,'Fórmula'!F117,6)&lt;&gt;"",INDEX(properties!A$1:CB$87,'Fórmula'!F117,6)),IF(INDEX(properties!A$1:CB$87,'Fórmula'!H117,6)&lt;&gt;"",INDEX(properties!A$1:CB$87,'Fórmula'!H117,6)),IF(INDEX(properties!A$1:CB$87,'Fórmula'!J117,6)&lt;&gt;"",INDEX(properties!A$1:CB$87,'Fórmula'!J117,6)))</f>
        <v>45.04</v>
      </c>
      <c r="W117" s="104">
        <f t="array" ref="W117">MAX(INDEX(properties!A$1:CB$87,'Fórmula'!B117,6),INDEX(properties!A$1:CB$87,'Fórmula'!D117,6),INDEX(properties!A$1:CB$87,'Fórmula'!F117,6),INDEX(properties!A$1:CB$87,'Fórmula'!H117,4),INDEX(properties!A$1:CB$87,'Fórmula'!J117,6))</f>
        <v>13</v>
      </c>
      <c r="X117" s="104">
        <f t="array" ref="X117">MIN(IF(INDEX(properties!A$1:CB$87,'Fórmula'!B117,6)=0,10^6,INDEX(properties!A$1:CB$87,'Fórmula'!B117,6)),IF(INDEX(properties!A$1:CB$87,'Fórmula'!D117,6)=0,10^6,INDEX(properties!A$1:CB$87,'Fórmula'!D117,6)),IF(INDEX(properties!A$1:CB$87,'Fórmula'!F117,6)=0,10^6,INDEX(properties!A$1:CB$87,'Fórmula'!F117,6)),IF(INDEX(properties!A$1:CB$87,'Fórmula'!H117,6)=0,10^6,INDEX(properties!A$1:CB$87,'Fórmula'!H117,6)),IF(INDEX(properties!A$1:CB$87,'Fórmula'!J117,6)=0,10^6,INDEX(properties!A$1:CB$87,'Fórmula'!J117,6)))</f>
        <v>1</v>
      </c>
      <c r="Y117" s="104">
        <f t="shared" si="4"/>
        <v>12</v>
      </c>
      <c r="Z117" s="105">
        <f t="array" ref="Z117">(('Fórmula'!C117)/('Fórmula'!C117+'Fórmula'!E117+'Fórmula'!G117+'Fórmula'!I117+'Fórmula'!K117))*(INDEX(properties!A$1:CB$87,'Fórmula'!B117,9))+(('Fórmula'!E117)/('Fórmula'!C117+'Fórmula'!E117+'Fórmula'!G117+'Fórmula'!I117+'Fórmula'!K117))*(INDEX(properties!A$1:CB$87,'Fórmula'!D117,9))+(('Fórmula'!G117)/('Fórmula'!C117+'Fórmula'!E117+'Fórmula'!G117+'Fórmula'!I117+'Fórmula'!K117))*(INDEX(properties!A$1:CB$87,'Fórmula'!F117,9))+(('Fórmula'!I117)/('Fórmula'!C117+'Fórmula'!E117+'Fórmula'!G117+'Fórmula'!I117+'Fórmula'!K117))*(INDEX(properties!A$1:CB$87,'Fórmula'!H117,9))+(('Fórmula'!K117)/('Fórmula'!C117+'Fórmula'!E117+'Fórmula'!G117+'Fórmula'!I117+'Fórmula'!K117))*(INDEX(properties!A$1:CB$87,'Fórmula'!J117,9))</f>
        <v>75.53846154</v>
      </c>
      <c r="AA117" s="105">
        <f t="array" ref="AA117">'Fórmula'!C117*(INDEX(properties!A$1:CB$87,'Fórmula'!B117,9))+'Fórmula'!E117*(INDEX(properties!A$1:CB$87,'Fórmula'!D117,9))+'Fórmula'!G117*(INDEX(properties!A$1:CB$87,'Fórmula'!F117,9))+'Fórmula'!I117*(INDEX(properties!A$1:CB$87,'Fórmula'!H117,9))+'Fórmula'!K117*(INDEX(properties!A$1:CB$87,'Fórmula'!J117,9))</f>
        <v>1964</v>
      </c>
      <c r="AB117" s="105">
        <f t="array" ref="AB117">VARP(IF(INDEX(properties!A$1:CB$87,'Fórmula'!B117,9)&lt;&gt;"",INDEX(properties!A$1:CB$87,'Fórmula'!B117,9)),IF(INDEX(properties!A$1:CB$87,'Fórmula'!D117,9)&lt;&gt;"",INDEX(properties!A$1:CB$87,'Fórmula'!D117,9)),IF(INDEX(properties!A$1:CB$87,'Fórmula'!F117,9)&lt;&gt;"",INDEX(properties!A$1:CB$87,'Fórmula'!F117,9)),IF(INDEX(properties!A$1:CB$87,'Fórmula'!H117,9)&lt;&gt;"",INDEX(properties!A$1:CB$87,'Fórmula'!H117,9)),IF(INDEX(properties!A$1:CB$87,'Fórmula'!J117,9)&lt;&gt;"",INDEX(properties!A$1:CB$87,'Fórmula'!J117,9)))</f>
        <v>1411.6</v>
      </c>
      <c r="AC117" s="105">
        <f t="array" ref="AC117">MAX(INDEX(properties!A$1:CB$87,'Fórmula'!B117,9),INDEX(properties!A$1:CB$87,'Fórmula'!D117,9),INDEX(properties!A$1:CB$87,'Fórmula'!F117,9),INDEX(properties!A$1:CB$87,'Fórmula'!H117,9),INDEX(properties!A$1:CB$87,'Fórmula'!J117,9))</f>
        <v>87</v>
      </c>
      <c r="AD117" s="105">
        <f t="array" ref="AD117">MIN(IF(INDEX(properties!A$1:CB$87,'Fórmula'!B117,9)=0,10^6,INDEX(properties!A$1:CB$87,'Fórmula'!B117,9)),IF(INDEX(properties!A$1:CB$87,'Fórmula'!D117,9)=0,10^6,INDEX(properties!A$1:CB$87,'Fórmula'!D117,9)),IF(INDEX(properties!A$1:CB$87,'Fórmula'!F117,9)=0,10^6,INDEX(properties!A$1:CB$87,'Fórmula'!F117,9)),IF(INDEX(properties!A$1:CB$87,'Fórmula'!H117,9)=0,10^6,INDEX(properties!A$1:CB$87,'Fórmula'!H117,9)),IF(INDEX(properties!A$1:CB$87,'Fórmula'!J117,9)=0,10^6,INDEX(properties!A$1:CB$87,'Fórmula'!J117,9)))</f>
        <v>2</v>
      </c>
      <c r="AE117" s="105">
        <f t="shared" si="5"/>
        <v>85</v>
      </c>
      <c r="AF117" s="106">
        <f t="array" ref="AF117">(('Fórmula'!C117)/('Fórmula'!C117+'Fórmula'!E117+'Fórmula'!G117+'Fórmula'!I117+'Fórmula'!K117))*(INDEX(properties!A$1:CB$87,'Fórmula'!B117,10))+(('Fórmula'!E117)/('Fórmula'!C117+'Fórmula'!E117+'Fórmula'!G117+'Fórmula'!I117+'Fórmula'!K117))*(INDEX(properties!A$1:CB$87,'Fórmula'!D117,10))+(('Fórmula'!G117)/('Fórmula'!C117+'Fórmula'!E117+'Fórmula'!G117+'Fórmula'!I117+'Fórmula'!K117))*(INDEX(properties!A$1:CB$87,'Fórmula'!F117,10))+(('Fórmula'!I117)/('Fórmula'!C117+'Fórmula'!E117+'Fórmula'!G117+'Fórmula'!I117+'Fórmula'!K117))*(INDEX(properties!A$1:CB$87,'Fórmula'!H117,10))+(('Fórmula'!K117)/('Fórmula'!C117+'Fórmula'!E117+'Fórmula'!G117+'Fórmula'!I117+'Fórmula'!K117))*(INDEX(properties!A$1:CB$87,'Fórmula'!J117,10))</f>
        <v>6.230769231</v>
      </c>
      <c r="AG117" s="106">
        <f t="array" ref="AG117">'Fórmula'!C117*(INDEX(properties!A$1:CB$87,'Fórmula'!B117,10))+'Fórmula'!E117*(INDEX(properties!A$1:CB$87,'Fórmula'!D117,10))+'Fórmula'!G117*(INDEX(properties!A$1:CB$87,'Fórmula'!F117,10))+'Fórmula'!I117*(INDEX(properties!A$1:CB$87,'Fórmula'!H117,10))+'Fórmula'!K117*(INDEX(properties!A$1:CB$87,'Fórmula'!J117,10))</f>
        <v>162</v>
      </c>
      <c r="AH117" s="106">
        <f t="array" ref="AH117">VARP(IF(INDEX(properties!A$1:CB$87,'Fórmula'!B117,10)&lt;&gt;"",INDEX(properties!A$1:CB$87,'Fórmula'!B117,10)),IF(INDEX(properties!A$1:CB$87,'Fórmula'!D117,10)&lt;&gt;"",INDEX(properties!A$1:CB$87,'Fórmula'!D117,10)),IF(INDEX(properties!A$1:CB$87,'Fórmula'!F117,10)&lt;&gt;"",INDEX(properties!A$1:CB$87,'Fórmula'!F117,10)),IF(INDEX(properties!A$1:CB$87,'Fórmula'!H117,10)&lt;&gt;"",INDEX(properties!A$1:CB$87,'Fórmula'!H117,10)),IF(INDEX(properties!A$1:CB$87,'Fórmula'!J117,10)&lt;&gt;"",INDEX(properties!A$1:CB$87,'Fórmula'!J117,10)))</f>
        <v>7.76</v>
      </c>
      <c r="AI117" s="106">
        <f t="array" ref="AI117">MAX(INDEX(properties!A$1:CB$87,'Fórmula'!B117,10),INDEX(properties!A$1:CB$87,'Fórmula'!D117,10),INDEX(properties!A$1:CB$87,'Fórmula'!F117,10),INDEX(properties!A$1:CB$87,'Fórmula'!H117,10),INDEX(properties!A$1:CB$87,'Fórmula'!J117,10))</f>
        <v>7</v>
      </c>
      <c r="AJ117" s="106">
        <f t="array" ref="AJ117">MIN(IF(INDEX(properties!A$1:CB$87,'Fórmula'!B117,10)=0,10^6,INDEX(properties!A$1:CB$87,'Fórmula'!B117,10)),IF(INDEX(properties!A$1:CB$87,'Fórmula'!D117,10)=0,10^6,INDEX(properties!A$1:CB$87,'Fórmula'!D117,10)),IF(INDEX(properties!A$1:CB$87,'Fórmula'!F117,10)=0,10^6,INDEX(properties!A$1:CB$87,'Fórmula'!F117,10)),IF(INDEX(properties!A$1:CB$87,'Fórmula'!H117,10)=0,10^6,INDEX(properties!A$1:CB$87,'Fórmula'!H117,10)),IF(INDEX(properties!A$1:CB$87,'Fórmula'!J117,10)=0,10^6,INDEX(properties!A$1:CB$87,'Fórmula'!J117,10)))</f>
        <v>1</v>
      </c>
      <c r="AK117" s="106">
        <f t="shared" si="6"/>
        <v>6</v>
      </c>
      <c r="AL117" s="107">
        <f t="array" ref="AL117">(('Fórmula'!C117)/('Fórmula'!C117+'Fórmula'!E117+'Fórmula'!G117+'Fórmula'!I117+'Fórmula'!K117))*(INDEX(properties!A$1:CB$87,'Fórmula'!B117,11))+(('Fórmula'!E117)/('Fórmula'!C117+'Fórmula'!E117+'Fórmula'!G117+'Fórmula'!I117+'Fórmula'!K117))*(INDEX(properties!A$1:CB$87,'Fórmula'!D117,11))+(('Fórmula'!G117)/('Fórmula'!C117+'Fórmula'!E117+'Fórmula'!G117+'Fórmula'!I117+'Fórmula'!K117))*(INDEX(properties!A$1:CB$87,'Fórmula'!F117,11))+(('Fórmula'!I117)/('Fórmula'!C117+'Fórmula'!E117+'Fórmula'!G117+'Fórmula'!I117+'Fórmula'!K117))*(INDEX(properties!A$1:CB$87,'Fórmula'!H117,11))+(('Fórmula'!K117)/('Fórmula'!C117+'Fórmula'!E117+'Fórmula'!G117+'Fórmula'!I117+'Fórmula'!K117))*(INDEX(properties!A$1:CB$87,'Fórmula'!J117,11))</f>
        <v>1.961538462</v>
      </c>
      <c r="AM117" s="107">
        <f t="array" ref="AM117">'Fórmula'!C117*(INDEX(properties!A$1:CB$87,'Fórmula'!B117,11))+'Fórmula'!E117*(INDEX(properties!A$1:CB$87,'Fórmula'!D117,11))+'Fórmula'!G117*(INDEX(properties!A$1:CB$87,'Fórmula'!F117,11))+'Fórmula'!I117*(INDEX(properties!A$1:CB$87,'Fórmula'!H117,11))+'Fórmula'!K117*(INDEX(properties!A$1:CB$87,'Fórmula'!J117,11))</f>
        <v>51</v>
      </c>
      <c r="AN117" s="107">
        <f t="array" ref="AN117">VARP(IF(INDEX(properties!A$1:CB$87,'Fórmula'!B117,11)&lt;&gt;"",INDEX(properties!A$1:CB$87,'Fórmula'!B117,11)),IF(INDEX(properties!A$1:CB$87,'Fórmula'!D117,11)&lt;&gt;"",INDEX(properties!A$1:CB$87,'Fórmula'!D117,11)),IF(INDEX(properties!A$1:CB$87,'Fórmula'!F117,11)&lt;&gt;"",INDEX(properties!A$1:CB$87,'Fórmula'!F117,11)),IF(INDEX(properties!A$1:CB$87,'Fórmula'!H117,11)&lt;&gt;"",INDEX(properties!A$1:CB$87,'Fórmula'!H117,11)),IF(INDEX(properties!A$1:CB$87,'Fórmula'!J117,11)&lt;&gt;"",INDEX(properties!A$1:CB$87,'Fórmula'!J117,11)))</f>
        <v>0.64</v>
      </c>
      <c r="AO117" s="107">
        <f t="array" ref="AO117">MAX(INDEX(properties!A$1:CB$87,'Fórmula'!B117,11),INDEX(properties!A$1:CB$87,'Fórmula'!D117,11),INDEX(properties!A$1:CB$87,'Fórmula'!F117,11),INDEX(properties!A$1:CB$87,'Fórmula'!H117,11),INDEX(properties!A$1:CB$87,'Fórmula'!J117,11))</f>
        <v>2</v>
      </c>
      <c r="AP117" s="107">
        <f t="array" ref="AP117">MIN(IF('Fórmula'!B117=87,10^6,INDEX(properties!A$1:CB$87,'Fórmula'!B117,11)),IF(('Fórmula'!D117)=87,10^6,INDEX(properties!A$1:CB$87,'Fórmula'!D117,11)),IF(('Fórmula'!F117)=87,10^6,INDEX(properties!A$1:CB$87,'Fórmula'!F117,11)),IF(('Fórmula'!H117)=87,10^6,INDEX(properties!A$1:CB$87,'Fórmula'!H117,11)),IF('Fórmula'!J117=87,10^6,INDEX(properties!A$1:CB$87,'Fórmula'!J117,11)))</f>
        <v>1</v>
      </c>
      <c r="AQ117" s="107">
        <f t="shared" si="7"/>
        <v>1</v>
      </c>
      <c r="AR117" s="108">
        <f t="array" ref="AR117">(('Fórmula'!C117)/('Fórmula'!C117+'Fórmula'!E117+'Fórmula'!G117+'Fórmula'!I117+'Fórmula'!K117))*(INDEX(properties!A$1:CB$87,'Fórmula'!B117,12))+(('Fórmula'!E117)/('Fórmula'!C117+'Fórmula'!E117+'Fórmula'!G117+'Fórmula'!I117+'Fórmula'!K117))*(INDEX(properties!A$1:CB$87,'Fórmula'!D117,12))+(('Fórmula'!G117)/('Fórmula'!C117+'Fórmula'!E117+'Fórmula'!G117+'Fórmula'!I117+'Fórmula'!K117))*(INDEX(properties!A$1:CB$87,'Fórmula'!F117,12))+(('Fórmula'!I117)/('Fórmula'!C117+'Fórmula'!E117+'Fórmula'!G117+'Fórmula'!I117+'Fórmula'!K117))*(INDEX(properties!A$1:CB$87,'Fórmula'!H117,12))+(('Fórmula'!K117)/('Fórmula'!C117+'Fórmula'!E117+'Fórmula'!G117+'Fórmula'!I117+'Fórmula'!K117))*(INDEX(properties!A$1:CB$87,'Fórmula'!J117,12))</f>
        <v>2.653846154</v>
      </c>
      <c r="AS117" s="108">
        <f t="array" ref="AS117">'Fórmula'!C117*(INDEX(properties!A$1:CB$87,'Fórmula'!B117,12))+'Fórmula'!E117*(INDEX(properties!A$1:CB$87,'Fórmula'!D117,12))+'Fórmula'!G117*(INDEX(properties!A$1:CB$87,'Fórmula'!F117,12))+'Fórmula'!I117*(INDEX(properties!A$1:CB$87,'Fórmula'!H117,12))+'Fórmula'!K117*(INDEX(properties!A$1:CB$87,'Fórmula'!J117,12))</f>
        <v>69</v>
      </c>
      <c r="AT117" s="108">
        <f t="array" ref="AT117">VARP(IF(INDEX(properties!A$1:CB$87,'Fórmula'!B117,12)&lt;&gt;"",INDEX(properties!A$1:CB$87,'Fórmula'!B117,12)),IF(INDEX(properties!A$1:CB$87,'Fórmula'!D117,12)&lt;&gt;"",INDEX(properties!A$1:CB$87,'Fórmula'!D117,12)),IF(INDEX(properties!A$1:CB$87,'Fórmula'!F117,12)&lt;&gt;"",INDEX(properties!A$1:CB$87,'Fórmula'!F117,12)),IF(INDEX(properties!A$1:CB$87,'Fórmula'!H117,12)&lt;&gt;"",INDEX(properties!A$1:CB$87,'Fórmula'!H117,12)),IF(INDEX(properties!A$1:CB$87,'Fórmula'!J117,12)&lt;&gt;"",INDEX(properties!A$1:CB$87,'Fórmula'!J117,12)))</f>
        <v>2.4</v>
      </c>
      <c r="AU117" s="108">
        <f t="array" ref="AU117">MAX(INDEX(properties!A$1:CB$87,'Fórmula'!B117,12),INDEX(properties!A$1:CB$87,'Fórmula'!D117,12),INDEX(properties!A$1:CB$87,'Fórmula'!F117,12),INDEX(properties!A$1:CB$87,'Fórmula'!H117,12),INDEX(properties!A$1:CB$87,'Fórmula'!J117,12))</f>
        <v>4</v>
      </c>
      <c r="AV117" s="108">
        <f t="array" ref="AV117">MIN(IF('Fórmula'!B117=87,10^6,INDEX(properties!A$1:CB$87,'Fórmula'!B117,12)),IF(('Fórmula'!D117)=87,10^6,INDEX(properties!A$1:CB$87,'Fórmula'!D117,12)),IF(('Fórmula'!F117)=87,10^6,INDEX(properties!A$1:CB$87,'Fórmula'!F117,12)),IF(('Fórmula'!H117)=87,10^6,INDEX(properties!A$1:CB$87,'Fórmula'!H117,12)),IF('Fórmula'!J117=87,10^6,INDEX(properties!A$1:CB$87,'Fórmula'!J117,12)))</f>
        <v>0</v>
      </c>
      <c r="AW117" s="108">
        <f t="shared" si="8"/>
        <v>4</v>
      </c>
      <c r="AX117" s="109">
        <f t="array" ref="AX117">(('Fórmula'!C117)/('Fórmula'!C117+'Fórmula'!E117+'Fórmula'!G117+'Fórmula'!I117+'Fórmula'!K117))*(INDEX(properties!A$1:CB$87,'Fórmula'!B117,13))+(('Fórmula'!E117)/('Fórmula'!C117+'Fórmula'!E117+'Fórmula'!G117+'Fórmula'!I117+'Fórmula'!K117))*(INDEX(properties!A$1:CB$87,'Fórmula'!D117,13))+(('Fórmula'!G117)/('Fórmula'!C117+'Fórmula'!E117+'Fórmula'!G117+'Fórmula'!I117+'Fórmula'!K117))*(INDEX(properties!A$1:CB$87,'Fórmula'!F117,13))+(('Fórmula'!I117)/('Fórmula'!C117+'Fórmula'!E117+'Fórmula'!G117+'Fórmula'!I117+'Fórmula'!K117))*(INDEX(properties!A$1:CB$87,'Fórmula'!H117,13))+(('Fórmula'!K117)/('Fórmula'!C117+'Fórmula'!E117+'Fórmula'!G117+'Fórmula'!I117+'Fórmula'!K117))*(INDEX(properties!A$1:CB$87,'Fórmula'!J117,13))</f>
        <v>0</v>
      </c>
      <c r="AY117" s="109">
        <f t="array" ref="AY117">'Fórmula'!C117*(INDEX(properties!A$1:CB$87,'Fórmula'!B117,13))+'Fórmula'!E117*(INDEX(properties!A$1:CB$87,'Fórmula'!D117,13))+'Fórmula'!G117*(INDEX(properties!A$1:CB$87,'Fórmula'!F117,13))+'Fórmula'!I117*(INDEX(properties!A$1:CB$87,'Fórmula'!H117,13))+'Fórmula'!K117*(INDEX(properties!A$1:CB$87,'Fórmula'!J117,13))</f>
        <v>0</v>
      </c>
      <c r="AZ117" s="109">
        <f t="array" ref="AZ117">VARP(IF(INDEX(properties!A$1:CB$87,'Fórmula'!B117,13)&lt;&gt;"",INDEX(properties!A$1:CB$87,'Fórmula'!B117,13)),IF(INDEX(properties!A$1:CB$87,'Fórmula'!D117,13)&lt;&gt;"",INDEX(properties!A$1:CB$87,'Fórmula'!D117,13)),IF(INDEX(properties!A$1:CB$87,'Fórmula'!F117,13)&lt;&gt;"",INDEX(properties!A$1:CB$87,'Fórmula'!F117,13)),IF(INDEX(properties!A$1:CB$87,'Fórmula'!H117,13)&lt;&gt;"",INDEX(properties!A$1:CB$87,'Fórmula'!H117,13)),IF(INDEX(properties!A$1:CB$87,'Fórmula'!J117,13)&lt;&gt;"",INDEX(properties!A$1:CB$87,'Fórmula'!J117,13)))</f>
        <v>0</v>
      </c>
      <c r="BA117" s="109">
        <f t="array" ref="BA117">MAX(INDEX(properties!A$1:CB$87,'Fórmula'!B117,13),INDEX(properties!A$1:CB$87,'Fórmula'!D117,13),INDEX(properties!A$1:CB$87,'Fórmula'!F117,13),INDEX(properties!A$1:CB$87,'Fórmula'!H117,13),INDEX(properties!A$1:CB$87,'Fórmula'!J117,13))</f>
        <v>0</v>
      </c>
      <c r="BB117" s="109">
        <f t="array" ref="BB117">MIN(IF('Fórmula'!B117=87,10^6,INDEX(properties!A$1:CB$87,'Fórmula'!B117,13)),IF(('Fórmula'!D117)=87,10^6,INDEX(properties!A$1:CB$87,'Fórmula'!D117,13)),IF(('Fórmula'!F117)=87,10^6,INDEX(properties!A$1:CB$87,'Fórmula'!F117,13)),IF(('Fórmula'!H117)=87,10^6,INDEX(properties!A$1:CB$87,'Fórmula'!H117,13)),IF('Fórmula'!J117=87,10^6,INDEX(properties!A$1:CB$87,'Fórmula'!J117,13)))</f>
        <v>0</v>
      </c>
      <c r="BC117" s="109">
        <f t="shared" si="9"/>
        <v>0</v>
      </c>
      <c r="BD117" s="110">
        <f t="array" ref="BD117">(('Fórmula'!C117)/('Fórmula'!C117+'Fórmula'!E117+'Fórmula'!G117+'Fórmula'!I117+'Fórmula'!K117))*(INDEX(properties!A$1:CB$87,'Fórmula'!B117,14))+(('Fórmula'!E117)/('Fórmula'!C117+'Fórmula'!E117+'Fórmula'!G117+'Fórmula'!I117+'Fórmula'!K117))*(INDEX(properties!A$1:CB$87,'Fórmula'!D117,14))+(('Fórmula'!G117)/('Fórmula'!C117+'Fórmula'!E117+'Fórmula'!G117+'Fórmula'!I117+'Fórmula'!K117))*(INDEX(properties!A$1:CB$87,'Fórmula'!F117,14))+(('Fórmula'!I117)/('Fórmula'!C117+'Fórmula'!E117+'Fórmula'!G117+'Fórmula'!I117+'Fórmula'!K117))*(INDEX(properties!A$1:CB$87,'Fórmula'!H117,14))+(('Fórmula'!K117)/('Fórmula'!C117+'Fórmula'!E117+'Fórmula'!G117+'Fórmula'!I117+'Fórmula'!K117))*(INDEX(properties!A$1:CB$87,'Fórmula'!J117,14))</f>
        <v>0</v>
      </c>
      <c r="BE117" s="110">
        <f t="array" ref="BE117">'Fórmula'!C117*(INDEX(properties!A$1:CB$87,'Fórmula'!B117,14))+'Fórmula'!E117*(INDEX(properties!A$1:CB$87,'Fórmula'!D117,14))+'Fórmula'!G117*(INDEX(properties!A$1:CB$87,'Fórmula'!F117,14))+'Fórmula'!I117*(INDEX(properties!A$1:CB$87,'Fórmula'!H117,14))+'Fórmula'!K117*(INDEX(properties!A$1:CB$87,'Fórmula'!J117,14))</f>
        <v>0</v>
      </c>
      <c r="BF117" s="110">
        <f t="array" ref="BF117">VARP(IF(INDEX(properties!A$1:CB$87,'Fórmula'!B117,14)&lt;&gt;"",INDEX(properties!A$1:CB$87,'Fórmula'!B117,14)),IF(INDEX(properties!A$1:CB$87,'Fórmula'!D117,14)&lt;&gt;"",INDEX(properties!A$1:CB$87,'Fórmula'!D117,14)),IF(INDEX(properties!A$1:CB$87,'Fórmula'!F117,14)&lt;&gt;"",INDEX(properties!A$1:CB$87,'Fórmula'!F117,14)),IF(INDEX(properties!A$1:CB$87,'Fórmula'!H117,14)&lt;&gt;"",INDEX(properties!A$1:CB$87,'Fórmula'!H117,14)),IF(INDEX(properties!A$1:CB$87,'Fórmula'!J117,14)&lt;&gt;"",INDEX(properties!A$1:CB$87,'Fórmula'!J117,14)))</f>
        <v>0</v>
      </c>
      <c r="BG117" s="110">
        <f t="array" ref="BG117">MAX(INDEX(properties!A$1:CB$87,'Fórmula'!B117,14),INDEX(properties!A$1:CB$87,'Fórmula'!D117,14),INDEX(properties!A$1:CB$87,'Fórmula'!F117,14),INDEX(properties!A$1:CB$87,'Fórmula'!H117,14),INDEX(properties!A$1:CB$87,'Fórmula'!J117,14))</f>
        <v>0</v>
      </c>
      <c r="BH117" s="110">
        <f t="array" ref="BH117">MIN(IF('Fórmula'!B117=87,10^6,INDEX(properties!A$1:CB$87,'Fórmula'!B117,14)),IF(('Fórmula'!D117)=87,10^6,INDEX(properties!A$1:CB$87,'Fórmula'!D117,14)),IF(('Fórmula'!F117)=87,10^6,INDEX(properties!A$1:CB$87,'Fórmula'!F117,14)),IF(('Fórmula'!H117)=87,10^6,INDEX(properties!A$1:CB$87,'Fórmula'!H117,14)),IF('Fórmula'!J117=87,10^6,INDEX(properties!A$1:CB$87,'Fórmula'!J117,14)))</f>
        <v>0</v>
      </c>
      <c r="BI117" s="110">
        <f t="shared" si="10"/>
        <v>0</v>
      </c>
      <c r="BJ117" s="111">
        <f t="array" ref="BJ117">(('Fórmula'!C117)/('Fórmula'!C117+'Fórmula'!E117+'Fórmula'!G117+'Fórmula'!I117+'Fórmula'!K117))*(INDEX(properties!A$1:CB$87,'Fórmula'!B117,19))+(('Fórmula'!E117)/('Fórmula'!C117+'Fórmula'!E117+'Fórmula'!G117+'Fórmula'!I117+'Fórmula'!K117))*(INDEX(properties!A$1:CB$87,'Fórmula'!D117,19))+(('Fórmula'!G117)/('Fórmula'!C117+'Fórmula'!E117+'Fórmula'!G117+'Fórmula'!I117+'Fórmula'!K117))*(INDEX(properties!A$1:CB$87,'Fórmula'!F117,19))+(('Fórmula'!I117)/('Fórmula'!C117+'Fórmula'!E117+'Fórmula'!G117+'Fórmula'!I117+'Fórmula'!K117))*(INDEX(properties!A$1:CB$87,'Fórmula'!H117,19))+(('Fórmula'!K117)/('Fórmula'!C117+'Fórmula'!E117+'Fórmula'!G117+'Fórmula'!I117+'Fórmula'!K117))*(INDEX(properties!A$1:CB$87,'Fórmula'!J117,19))</f>
        <v>4.615384615</v>
      </c>
      <c r="BK117" s="111">
        <f t="array" ref="BK117">'Fórmula'!C117*(INDEX(properties!A$1:CB$87,'Fórmula'!B117,19))+'Fórmula'!E117*(INDEX(properties!A$1:CB$87,'Fórmula'!D117,19))+'Fórmula'!G117*(INDEX(properties!A$1:CB$87,'Fórmula'!F117,19))+'Fórmula'!I117*(INDEX(properties!A$1:CB$87,'Fórmula'!H117,19))+'Fórmula'!K117*(INDEX(properties!A$1:CB$87,'Fórmula'!J117,19))</f>
        <v>120</v>
      </c>
      <c r="BL117" s="111">
        <f t="array" ref="BL117">VARP(IF(INDEX(properties!A$1:CB$87,'Fórmula'!B117,19)&lt;&gt;"",INDEX(properties!A$1:CB$87,'Fórmula'!B117,19)),IF(INDEX(properties!A$1:CB$87,'Fórmula'!D117,19)&lt;&gt;"",INDEX(properties!A$1:CB$87,'Fórmula'!D117,19)),IF(INDEX(properties!A$1:CB$87,'Fórmula'!F117,19)&lt;&gt;"",INDEX(properties!A$1:CB$87,'Fórmula'!F117,19)),IF(INDEX(properties!A$1:CB$87,'Fórmula'!H117,19)&lt;&gt;"",INDEX(properties!A$1:CB$87,'Fórmula'!H117,19)),IF(INDEX(properties!A$1:CB$87,'Fórmula'!J117,19)&lt;&gt;"",INDEX(properties!A$1:CB$87,'Fórmula'!J117,19)))</f>
        <v>4.24</v>
      </c>
      <c r="BM117" s="111">
        <f t="array" ref="BM117">MAX(INDEX(properties!A$1:CB$87,'Fórmula'!B117,19),INDEX(properties!A$1:CB$87,'Fórmula'!D117,19),INDEX(properties!A$1:CB$87,'Fórmula'!F117,19),INDEX(properties!A$1:CB$87,'Fórmula'!H117,19),INDEX(properties!A$1:CB$87,'Fórmula'!J117,19))</f>
        <v>6</v>
      </c>
      <c r="BN117" s="111">
        <f t="array" ref="BN117">MIN(IF(INDEX(properties!A$1:CB$87,'Fórmula'!B117,19)=0,10^6,INDEX(properties!A$1:CB$87,'Fórmula'!B117,19)),IF(INDEX(properties!A$1:CB$87,'Fórmula'!D117,19)=0,10^6,INDEX(properties!A$1:CB$87,'Fórmula'!D117,19)),IF(INDEX(properties!A$1:CB$87,'Fórmula'!F117,19)=0,10^6,INDEX(properties!A$1:CB$87,'Fórmula'!F117,19)),IF(INDEX(properties!A$1:CB$87,'Fórmula'!H117,19)=0,10^6,INDEX(properties!A$1:CB$87,'Fórmula'!H117,19)),IF(INDEX(properties!A$1:CB$87,'Fórmula'!J117,19)=0,10^6,INDEX(properties!A$1:CB$87,'Fórmula'!J117,19)))</f>
        <v>1</v>
      </c>
      <c r="BO117" s="111">
        <f t="shared" si="11"/>
        <v>5</v>
      </c>
      <c r="BP117" s="112">
        <f t="array" ref="BP117">(('Fórmula'!C117)/('Fórmula'!C117+'Fórmula'!E117+'Fórmula'!G117+'Fórmula'!I117+'Fórmula'!K117))*(INDEX(properties!A$1:CB$87,'Fórmula'!B117,20))+(('Fórmula'!E117)/('Fórmula'!C117+'Fórmula'!E117+'Fórmula'!G117+'Fórmula'!I117+'Fórmula'!K117))*(INDEX(properties!A$1:CB$87,'Fórmula'!D117,20))+(('Fórmula'!G117)/('Fórmula'!C117+'Fórmula'!E117+'Fórmula'!G117+'Fórmula'!I117+'Fórmula'!K117))*(INDEX(properties!A$1:CB$87,'Fórmula'!F117,20))+(('Fórmula'!I117)/('Fórmula'!C117+'Fórmula'!E117+'Fórmula'!G117+'Fórmula'!I117+'Fórmula'!K117))*(INDEX(properties!A$1:CB$87,'Fórmula'!H117,20))+(('Fórmula'!K117)/('Fórmula'!C117+'Fórmula'!E117+'Fórmula'!G117+'Fórmula'!I117+'Fórmula'!K117))*(INDEX(properties!A$1:CB$87,'Fórmula'!J117,20))</f>
        <v>4.615384615</v>
      </c>
      <c r="BQ117" s="112">
        <f t="array" ref="BQ117">'Fórmula'!C117*(INDEX(properties!A$1:CB$87,'Fórmula'!B117,20))+'Fórmula'!E117*(INDEX(properties!A$1:CB$87,'Fórmula'!D117,20))+'Fórmula'!G117*(INDEX(properties!A$1:CB$87,'Fórmula'!F117,20))+'Fórmula'!I117*(INDEX(properties!A$1:CB$87,'Fórmula'!H117,20))+'Fórmula'!K117*(INDEX(properties!A$1:CB$87,'Fórmula'!J117,20))</f>
        <v>120</v>
      </c>
      <c r="BR117" s="112">
        <f t="array" ref="BR117">VARP(IF(INDEX(properties!A$1:CB$87,'Fórmula'!B117,20)&lt;&gt;"",INDEX(properties!A$1:CB$87,'Fórmula'!B117,20)),IF(INDEX(properties!A$1:CB$87,'Fórmula'!D117,20)&lt;&gt;"",INDEX(properties!A$1:CB$87,'Fórmula'!D117,20)),IF(INDEX(properties!A$1:CB$87,'Fórmula'!F117,20)&lt;&gt;"",INDEX(properties!A$1:CB$87,'Fórmula'!F117,20)),IF(INDEX(properties!A$1:CB$87,'Fórmula'!H117,20)&lt;&gt;"",INDEX(properties!A$1:CB$87,'Fórmula'!H117,20)),IF(INDEX(properties!A$1:CB$87,'Fórmula'!J117,20)&lt;&gt;"",INDEX(properties!A$1:CB$87,'Fórmula'!J117,20)))</f>
        <v>4.24</v>
      </c>
      <c r="BS117" s="112">
        <f t="array" ref="BS117">MAX(INDEX(properties!A$1:CB$87,'Fórmula'!B117,20),INDEX(properties!A$1:CB$87,'Fórmula'!D117,20),INDEX(properties!A$1:CB$87,'Fórmula'!F117,20),INDEX(properties!A$1:CB$87,'Fórmula'!H117,20),INDEX(properties!A$1:CB$87,'Fórmula'!J117,20))</f>
        <v>6</v>
      </c>
      <c r="BT117" s="112">
        <f t="array" ref="BT117">MIN(IF(INDEX(properties!A$1:CB$87,'Fórmula'!B117,20)=0,10^6,INDEX(properties!A$1:CB$87,'Fórmula'!B117,20)),IF(INDEX(properties!A$1:CB$87,'Fórmula'!D117,20)=0,10^6,INDEX(properties!A$1:CB$87,'Fórmula'!D117,20)),IF(INDEX(properties!A$1:CB$87,'Fórmula'!F117,20)=0,10^6,INDEX(properties!A$1:CB$87,'Fórmula'!F117,20)),IF(INDEX(properties!A$1:CB$87,'Fórmula'!H117,20)=0,10^6,INDEX(properties!A$1:CB$87,'Fórmula'!H117,20)),IF(INDEX(properties!A$1:CB$87,'Fórmula'!J117,20)=0,10^6,INDEX(properties!A$1:CB$87,'Fórmula'!J117,20)))</f>
        <v>1</v>
      </c>
      <c r="BU117" s="112">
        <f t="shared" si="12"/>
        <v>5</v>
      </c>
      <c r="BV117" s="113">
        <f t="array" ref="BV117">(('Fórmula'!C117)/('Fórmula'!C117+'Fórmula'!E117+'Fórmula'!G117+'Fórmula'!I117+'Fórmula'!K117))*(INDEX(properties!A$1:CB$87,'Fórmula'!B117,21))+(('Fórmula'!E117)/('Fórmula'!C117+'Fórmula'!E117+'Fórmula'!G117+'Fórmula'!I117+'Fórmula'!K117))*(INDEX(properties!A$1:CB$87,'Fórmula'!D117,21))+(('Fórmula'!G117)/('Fórmula'!C117+'Fórmula'!E117+'Fórmula'!G117+'Fórmula'!I117+'Fórmula'!K117))*(INDEX(properties!A$1:CB$87,'Fórmula'!F117,21))+(('Fórmula'!I117)/('Fórmula'!C117+'Fórmula'!E117+'Fórmula'!G117+'Fórmula'!I117+'Fórmula'!K117))*(INDEX(properties!A$1:CB$87,'Fórmula'!H117,21))+(('Fórmula'!K117)/('Fórmula'!C117+'Fórmula'!E117+'Fórmula'!G117+'Fórmula'!I117+'Fórmula'!K117))*(INDEX(properties!A$1:CB$87,'Fórmula'!J117,21))</f>
        <v>4.615384615</v>
      </c>
      <c r="BW117" s="113">
        <f t="array" ref="BW117">'Fórmula'!C117*(INDEX(properties!A$1:CB$87,'Fórmula'!B117,21))+'Fórmula'!E117*(INDEX(properties!A$1:CB$87,'Fórmula'!D117,21))+'Fórmula'!G117*(INDEX(properties!A$1:CB$87,'Fórmula'!F117,21))+'Fórmula'!I117*(INDEX(properties!A$1:CB$87,'Fórmula'!H117,21))+'Fórmula'!K117*(INDEX(properties!A$1:CB$87,'Fórmula'!J117,21))</f>
        <v>120</v>
      </c>
      <c r="BX117" s="113">
        <f t="array" ref="BX117">VARP(IF(INDEX(properties!A$1:CB$87,'Fórmula'!B117,21)&lt;&gt;"",INDEX(properties!A$1:CB$87,'Fórmula'!B117,21)),IF(INDEX(properties!A$1:CB$87,'Fórmula'!D117,21)&lt;&gt;"",INDEX(properties!A$1:CB$87,'Fórmula'!D117,21)),IF(INDEX(properties!A$1:CB$87,'Fórmula'!F117,21)&lt;&gt;"",INDEX(properties!A$1:CB$87,'Fórmula'!F117,21)),IF(INDEX(properties!A$1:CB$87,'Fórmula'!H117,21)&lt;&gt;"",INDEX(properties!A$1:CB$87,'Fórmula'!H117,21)),IF(INDEX(properties!A$1:CB$87,'Fórmula'!J117,21)&lt;&gt;"",INDEX(properties!A$1:CB$87,'Fórmula'!J117,21)))</f>
        <v>4.24</v>
      </c>
      <c r="BY117" s="113">
        <f t="array" ref="BY117">MAX(INDEX(properties!A$1:CB$87,'Fórmula'!B117,21),INDEX(properties!A$1:CB$87,'Fórmula'!D117,21),INDEX(properties!A$1:CB$87,'Fórmula'!F117,21),INDEX(properties!A$1:CB$87,'Fórmula'!H117,21),INDEX(properties!A$1:CB$87,'Fórmula'!J117,21))</f>
        <v>6</v>
      </c>
      <c r="BZ117" s="113">
        <f t="array" ref="BZ117">MIN(IF(INDEX(properties!A$1:CB$87,'Fórmula'!B117,21)=0,10^6,INDEX(properties!A$1:CB$87,'Fórmula'!B117,21)),IF(INDEX(properties!A$1:CB$87,'Fórmula'!D117,21)=0,10^6,INDEX(properties!A$1:CB$87,'Fórmula'!D117,21)),IF(INDEX(properties!A$1:CB$87,'Fórmula'!F117,21)=0,10^6,INDEX(properties!A$1:CB$87,'Fórmula'!F117,21)),IF(INDEX(properties!A$1:CB$87,'Fórmula'!H117,21)=0,10^6,INDEX(properties!A$1:CB$87,'Fórmula'!H117,21)),IF(INDEX(properties!A$1:CB$87,'Fórmula'!J117,21)=0,10^6,INDEX(properties!A$1:CB$87,'Fórmula'!J117,21)))</f>
        <v>1</v>
      </c>
      <c r="CA117" s="113">
        <f t="shared" si="13"/>
        <v>5</v>
      </c>
      <c r="CB117" s="114">
        <f t="array" ref="CB117">(('Fórmula'!C117)/('Fórmula'!C117+'Fórmula'!E117+'Fórmula'!G117+'Fórmula'!I117+'Fórmula'!K117))*(INDEX(properties!A$1:CB$87,'Fórmula'!B117,23))+(('Fórmula'!E117)/('Fórmula'!C117+'Fórmula'!E117+'Fórmula'!G117+'Fórmula'!I117+'Fórmula'!K117))*(INDEX(properties!A$1:CB$87,'Fórmula'!D117,23))+(('Fórmula'!G117)/('Fórmula'!C117+'Fórmula'!E117+'Fórmula'!G117+'Fórmula'!I117+'Fórmula'!K117))*(INDEX(properties!A$1:CB$87,'Fórmula'!F117,23))+(('Fórmula'!I117)/('Fórmula'!C117+'Fórmula'!E117+'Fórmula'!G117+'Fórmula'!I117+'Fórmula'!K117))*(INDEX(properties!A$1:CB$87,'Fórmula'!H117,23))+(('Fórmula'!K117)/('Fórmula'!C117+'Fórmula'!E117+'Fórmula'!G117+'Fórmula'!I117+'Fórmula'!K117))*(INDEX(properties!A$1:CB$87,'Fórmula'!J117,23))</f>
        <v>1.153846154</v>
      </c>
      <c r="CC117" s="114">
        <f t="array" ref="CC117">'Fórmula'!C117*(INDEX(properties!A$1:CB$87,'Fórmula'!B117,23))+'Fórmula'!E117*(INDEX(properties!A$1:CB$87,'Fórmula'!D117,23))+'Fórmula'!G117*(INDEX(properties!A$1:CB$87,'Fórmula'!F117,23))+'Fórmula'!I117*(INDEX(properties!A$1:CB$87,'Fórmula'!H117,23))+'Fórmula'!K117*(INDEX(properties!A$1:CB$87,'Fórmula'!J117,23))</f>
        <v>30</v>
      </c>
      <c r="CD117" s="114">
        <f t="array" ref="CD117">VARP(IF(INDEX(properties!A$1:CB$87,'Fórmula'!B117,23)&lt;&gt;"",INDEX(properties!A$1:CB$87,'Fórmula'!B117,23)),IF(INDEX(properties!A$1:CB$87,'Fórmula'!D117,23)&lt;&gt;"",INDEX(properties!A$1:CB$87,'Fórmula'!D117,23)),IF(INDEX(properties!A$1:CB$87,'Fórmula'!F117,23)&lt;&gt;"",INDEX(properties!A$1:CB$87,'Fórmula'!F117,23)),IF(INDEX(properties!A$1:CB$87,'Fórmula'!H117,23)&lt;&gt;"",INDEX(properties!A$1:CB$87,'Fórmula'!H117,23)),IF(INDEX(properties!A$1:CB$87,'Fórmula'!J117,23)&lt;&gt;"",INDEX(properties!A$1:CB$87,'Fórmula'!J117,23)))</f>
        <v>1.36</v>
      </c>
      <c r="CE117" s="114">
        <f t="array" ref="CE117">MAX(INDEX(properties!A$1:CB$87,'Fórmula'!B117,23),INDEX(properties!A$1:CB$87,'Fórmula'!D117,23),INDEX(properties!A$1:CB$87,'Fórmula'!F117,23),INDEX(properties!A$1:CB$87,'Fórmula'!H117,23),INDEX(properties!A$1:CB$87,'Fórmula'!J117,23))</f>
        <v>3</v>
      </c>
      <c r="CF117" s="114">
        <f t="array" ref="CF117">MIN(IF('Fórmula'!B117=87,10^6,INDEX(properties!A$1:CB$87,'Fórmula'!B117,23)),IF(('Fórmula'!D117)=87,10^6,INDEX(properties!A$1:CB$87,'Fórmula'!D117,23)),IF(('Fórmula'!F117)=87,10^6,INDEX(properties!A$1:CB$87,'Fórmula'!F117,23)),IF(('Fórmula'!H117)=87,10^6,INDEX(properties!A$1:CB$87,'Fórmula'!H117,23)),IF('Fórmula'!J117=87,10^6,INDEX(properties!A$1:CB$87,'Fórmula'!J117,23)))</f>
        <v>0</v>
      </c>
      <c r="CG117" s="114">
        <f t="shared" si="14"/>
        <v>3</v>
      </c>
      <c r="CH117" s="115">
        <f t="array" ref="CH117">(('Fórmula'!C117)/('Fórmula'!C117+'Fórmula'!E117+'Fórmula'!G117+'Fórmula'!I117+'Fórmula'!K117))*(INDEX(properties!A$1:CB$87,'Fórmula'!B117,26))+(('Fórmula'!E117)/('Fórmula'!C117+'Fórmula'!E117+'Fórmula'!G117+'Fórmula'!I117+'Fórmula'!K117))*(INDEX(properties!A$1:CB$87,'Fórmula'!D117,26))+(('Fórmula'!G117)/('Fórmula'!C117+'Fórmula'!E117+'Fórmula'!G117+'Fórmula'!I117+'Fórmula'!K117))*(INDEX(properties!A$1:CB$87,'Fórmula'!F117,26))+(('Fórmula'!I117)/('Fórmula'!C117+'Fórmula'!E117+'Fórmula'!G117+'Fórmula'!I117+'Fórmula'!K117))*(INDEX(properties!A$1:CB$87,'Fórmula'!H117,26))+(('Fórmula'!K117)/('Fórmula'!C117+'Fórmula'!E117+'Fórmula'!G117+'Fórmula'!I117+'Fórmula'!K117))*(INDEX(properties!A$1:CB$87,'Fórmula'!J117,26))</f>
        <v>11.12708846</v>
      </c>
      <c r="CI117" s="115">
        <f t="array" ref="CI117">'Fórmula'!C117*(INDEX(properties!A$1:CB$87,'Fórmula'!B117,26))+'Fórmula'!E117*(INDEX(properties!A$1:CB$87,'Fórmula'!D117,26))+'Fórmula'!G117*(INDEX(properties!A$1:CB$87,'Fórmula'!F117,26))+'Fórmula'!I117*(INDEX(properties!A$1:CB$87,'Fórmula'!H117,26))+'Fórmula'!K117*(INDEX(properties!A$1:CB$87,'Fórmula'!J117,26))</f>
        <v>289.3043</v>
      </c>
      <c r="CJ117" s="115">
        <f t="array" ref="CJ117">VARP(IF(INDEX(properties!A$1:CB$87,'Fórmula'!B117,26)&lt;&gt;"",INDEX(properties!A$1:CB$87,'Fórmula'!B117,26)),IF(INDEX(properties!A$1:CB$87,'Fórmula'!D117,26)&lt;&gt;"",INDEX(properties!A$1:CB$87,'Fórmula'!D117,26)),IF(INDEX(properties!A$1:CB$87,'Fórmula'!F117,26)&lt;&gt;"",INDEX(properties!A$1:CB$87,'Fórmula'!F117,26)),IF(INDEX(properties!A$1:CB$87,'Fórmula'!H117,26)&lt;&gt;"",INDEX(properties!A$1:CB$87,'Fórmula'!H117,26)),IF(INDEX(properties!A$1:CB$87,'Fórmula'!J117,26)&lt;&gt;"",INDEX(properties!A$1:CB$87,'Fórmula'!J117,26)))</f>
        <v>19.93021004</v>
      </c>
      <c r="CK117" s="116">
        <f t="array" ref="CK117">MAX(INDEX(properties!A$1:CB$87,'Fórmula'!B117,26),INDEX(properties!A$1:CB$87,'Fórmula'!D117,26),INDEX(properties!A$1:CB$87,'Fórmula'!F117,26),INDEX(properties!A$1:CB$87,'Fórmula'!H117,26),INDEX(properties!A$1:CB$87,'Fórmula'!J117,26))</f>
        <v>13.6181</v>
      </c>
      <c r="CL117" s="116">
        <f t="array" ref="CL117">MIN(IF(INDEX(properties!A$1:CB$87,'Fórmula'!B117,26)=0,10^6,INDEX(properties!A$1:CB$87,'Fórmula'!B117,26)),IF(INDEX(properties!A$1:CB$87,'Fórmula'!D117,26)=0,10^6,INDEX(properties!A$1:CB$87,'Fórmula'!D117,26)),IF(INDEX(properties!A$1:CB$87,'Fórmula'!F117,26)=0,10^6,INDEX(properties!A$1:CB$87,'Fórmula'!F117,26)),IF(INDEX(properties!A$1:CB$87,'Fórmula'!H117,26)=0,10^6,INDEX(properties!A$1:CB$87,'Fórmula'!H117,26)),IF(INDEX(properties!A$1:CB$87,'Fórmula'!J117,26)=0,10^6,INDEX(properties!A$1:CB$87,'Fórmula'!J117,26)))</f>
        <v>5.1391</v>
      </c>
      <c r="CM117" s="115">
        <f t="shared" si="15"/>
        <v>8.479</v>
      </c>
      <c r="CN117" s="117">
        <f t="array" ref="CN117">(('Fórmula'!C117)/('Fórmula'!C117+'Fórmula'!E117+'Fórmula'!G117+'Fórmula'!I117+'Fórmula'!K117))*(INDEX(properties!A$1:CB$87,'Fórmula'!B117,30))+(('Fórmula'!E117)/('Fórmula'!C117+'Fórmula'!E117+'Fórmula'!G117+'Fórmula'!I117+'Fórmula'!K117))*(INDEX(properties!A$1:CB$87,'Fórmula'!D117,30))+(('Fórmula'!G117)/('Fórmula'!C117+'Fórmula'!E117+'Fórmula'!G117+'Fórmula'!I117+'Fórmula'!K117))*(INDEX(properties!A$1:CB$87,'Fórmula'!F117,30))+(('Fórmula'!I117)/('Fórmula'!C117+'Fórmula'!E117+'Fórmula'!G117+'Fórmula'!I117+'Fórmula'!K117))*(INDEX(properties!A$1:CB$87,'Fórmula'!H117,30))+(('Fórmula'!K117)/('Fórmula'!C117+'Fórmula'!E117+'Fórmula'!G117+'Fórmula'!I117+'Fórmula'!K117))*(INDEX(properties!A$1:CB$87,'Fórmula'!J117,30))</f>
        <v>2.760769231</v>
      </c>
      <c r="CO117" s="117">
        <f t="array" ref="CO117">'Fórmula'!C117*(INDEX(properties!A$1:CB$87,'Fórmula'!B117,30))+'Fórmula'!E117*(INDEX(properties!A$1:CB$87,'Fórmula'!D117,30))+'Fórmula'!G117*(INDEX(properties!A$1:CB$87,'Fórmula'!F117,30))+'Fórmula'!I117*(INDEX(properties!A$1:CB$87,'Fórmula'!H117,30))+'Fórmula'!K117*(INDEX(properties!A$1:CB$87,'Fórmula'!J117,30))</f>
        <v>71.78</v>
      </c>
      <c r="CP117" s="117">
        <f t="array" ref="CP117">VARP(IF(INDEX(properties!A$1:CB$87,'Fórmula'!B117,30)&lt;&gt;"",INDEX(properties!A$1:CB$87,'Fórmula'!B117,30)),IF(INDEX(properties!A$1:CB$87,'Fórmula'!D117,30)&lt;&gt;"",INDEX(properties!A$1:CB$87,'Fórmula'!D117,30)),IF(INDEX(properties!A$1:CB$87,'Fórmula'!F117,30)&lt;&gt;"",INDEX(properties!A$1:CB$87,'Fórmula'!F117,30)),IF(INDEX(properties!A$1:CB$87,'Fórmula'!H117,30)&lt;&gt;"",INDEX(properties!A$1:CB$87,'Fórmula'!H117,30)),IF(INDEX(properties!A$1:CB$87,'Fórmula'!J117,30)&lt;&gt;"",INDEX(properties!A$1:CB$87,'Fórmula'!J117,30)))</f>
        <v>1.39884</v>
      </c>
      <c r="CQ117" s="117">
        <f t="array" ref="CQ117">MAX(INDEX(properties!A$1:CB$87,'Fórmula'!B117,30),INDEX(properties!A$1:CB$87,'Fórmula'!D117,30),INDEX(properties!A$1:CB$87,'Fórmula'!F117,30),INDEX(properties!A$1:CB$87,'Fórmula'!H117,30),INDEX(properties!A$1:CB$87,'Fórmula'!J117,30))</f>
        <v>3.44</v>
      </c>
      <c r="CR117" s="117">
        <f t="array" ref="CR117">MIN(IF(INDEX(properties!A$1:CB$87,'Fórmula'!B117,30)=0,10^6,INDEX(properties!A$1:CB$87,'Fórmula'!B117,30)),IF(INDEX(properties!A$1:CB$87,'Fórmula'!D117,30)=0,10^6,INDEX(properties!A$1:CB$87,'Fórmula'!D117,30)),IF(INDEX(properties!A$1:CB$87,'Fórmula'!F117,30)=0,10^6,INDEX(properties!A$1:CB$87,'Fórmula'!F117,30)),IF(INDEX(properties!A$1:CB$87,'Fórmula'!H117,30)=0,10^6,INDEX(properties!A$1:CB$87,'Fórmula'!H117,30)),IF(INDEX(properties!A$1:CB$87,'Fórmula'!J117,30)=0,10^6,INDEX(properties!A$1:CB$87,'Fórmula'!J117,30)))</f>
        <v>0.89</v>
      </c>
      <c r="CS117" s="117">
        <f t="shared" si="16"/>
        <v>2.55</v>
      </c>
      <c r="CT117" s="118">
        <f t="array" ref="CT117">(('Fórmula'!C117)/('Fórmula'!C117+'Fórmula'!E117+'Fórmula'!G117+'Fórmula'!I117+'Fórmula'!K117))*(INDEX(properties!A$1:CB$87,'Fórmula'!B117,31))+(('Fórmula'!E117)/('Fórmula'!C117+'Fórmula'!E117+'Fórmula'!G117+'Fórmula'!I117+'Fórmula'!K117))*(INDEX(properties!A$1:CB$87,'Fórmula'!D117,31))+(('Fórmula'!G117)/('Fórmula'!C117+'Fórmula'!E117+'Fórmula'!G117+'Fórmula'!I117+'Fórmula'!K117))*(INDEX(properties!A$1:CB$87,'Fórmula'!F117,31))+(('Fórmula'!I117)/('Fórmula'!C117+'Fórmula'!E117+'Fórmula'!G117+'Fórmula'!I117+'Fórmula'!K117))*(INDEX(properties!A$1:CB$87,'Fórmula'!H117,31))+(('Fórmula'!K117)/('Fórmula'!C117+'Fórmula'!E117+'Fórmula'!G117+'Fórmula'!I117+'Fórmula'!K117))*(INDEX(properties!A$1:CB$87,'Fórmula'!J117,31))</f>
        <v>2.648846154</v>
      </c>
      <c r="CU117" s="118">
        <f t="array" ref="CU117">'Fórmula'!C117*(INDEX(properties!A$1:CB$87,'Fórmula'!B117,31))+'Fórmula'!E117*(INDEX(properties!A$1:CB$87,'Fórmula'!D117,31))+'Fórmula'!G117*(INDEX(properties!A$1:CB$87,'Fórmula'!F117,31))+'Fórmula'!I117*(INDEX(properties!A$1:CB$87,'Fórmula'!H117,31))+'Fórmula'!K117*(INDEX(properties!A$1:CB$87,'Fórmula'!J117,31))</f>
        <v>68.87</v>
      </c>
      <c r="CV117" s="118">
        <f t="array" ref="CV117">VARP(IF(INDEX(properties!A$1:CB$87,'Fórmula'!B117,31)&lt;&gt;"",INDEX(properties!A$1:CB$87,'Fórmula'!B117,31)),IF(INDEX(properties!A$1:CB$87,'Fórmula'!D117,31)&lt;&gt;"",INDEX(properties!A$1:CB$87,'Fórmula'!D117,31)),IF(INDEX(properties!A$1:CB$87,'Fórmula'!F117,31)&lt;&gt;"",INDEX(properties!A$1:CB$87,'Fórmula'!F117,31)),IF(INDEX(properties!A$1:CB$87,'Fórmula'!H117,31)&lt;&gt;"",INDEX(properties!A$1:CB$87,'Fórmula'!H117,31)),IF(INDEX(properties!A$1:CB$87,'Fórmula'!J117,31)&lt;&gt;"",INDEX(properties!A$1:CB$87,'Fórmula'!J117,31)))</f>
        <v>1.250336</v>
      </c>
      <c r="CW117" s="118">
        <f t="array" ref="CW117">MAX(INDEX(properties!A$1:CB$87,'Fórmula'!B117,31),INDEX(properties!A$1:CB$87,'Fórmula'!D117,31),INDEX(properties!A$1:CB$87,'Fórmula'!F117,31),INDEX(properties!A$1:CB$87,'Fórmula'!H117,31),INDEX(properties!A$1:CB$87,'Fórmula'!J117,31))</f>
        <v>3.32</v>
      </c>
      <c r="CX117" s="118">
        <f t="array" ref="CX117">MIN(IF(INDEX(properties!A$1:CB$87,'Fórmula'!B117,31)=0,10^6,INDEX(properties!A$1:CB$87,'Fórmula'!B117,31)),IF(INDEX(properties!A$1:CB$87,'Fórmula'!D117,31)=0,10^6,INDEX(properties!A$1:CB$87,'Fórmula'!D117,31)),IF(INDEX(properties!A$1:CB$87,'Fórmula'!F117,31)=0,10^6,INDEX(properties!A$1:CB$87,'Fórmula'!F117,31)),IF(INDEX(properties!A$1:CB$87,'Fórmula'!H117,31)=0,10^6,INDEX(properties!A$1:CB$87,'Fórmula'!H117,31)),IF(INDEX(properties!A$1:CB$87,'Fórmula'!J117,31)=0,10^6,INDEX(properties!A$1:CB$87,'Fórmula'!J117,31)))</f>
        <v>0.89</v>
      </c>
      <c r="CY117" s="118">
        <f t="shared" si="17"/>
        <v>2.43</v>
      </c>
      <c r="CZ117" s="119">
        <f t="array" ref="CZ117">(('Fórmula'!C117)/('Fórmula'!C117+'Fórmula'!E117+'Fórmula'!G117+'Fórmula'!I117+'Fórmula'!K117))*(INDEX(properties!A$1:CB$87,'Fórmula'!B117,32))+(('Fórmula'!E117)/('Fórmula'!C117+'Fórmula'!E117+'Fórmula'!G117+'Fórmula'!I117+'Fórmula'!K117))*(INDEX(properties!A$1:CB$87,'Fórmula'!D117,32))+(('Fórmula'!G117)/('Fórmula'!C117+'Fórmula'!E117+'Fórmula'!G117+'Fórmula'!I117+'Fórmula'!K117))*(INDEX(properties!A$1:CB$87,'Fórmula'!F117,32))+(('Fórmula'!I117)/('Fórmula'!C117+'Fórmula'!E117+'Fórmula'!G117+'Fórmula'!I117+'Fórmula'!K117))*(INDEX(properties!A$1:CB$87,'Fórmula'!H117,32))+(('Fórmula'!K117)/('Fórmula'!C117+'Fórmula'!E117+'Fórmula'!G117+'Fórmula'!I117+'Fórmula'!K117))*(INDEX(properties!A$1:CB$87,'Fórmula'!J117,32))</f>
        <v>6.036923077</v>
      </c>
      <c r="DA117" s="119">
        <f t="array" ref="DA117">'Fórmula'!C117*(INDEX(properties!A$1:CB$87,'Fórmula'!B117,32))+'Fórmula'!E117*(INDEX(properties!A$1:CB$87,'Fórmula'!D117,32))+'Fórmula'!G117*(INDEX(properties!A$1:CB$87,'Fórmula'!F117,32))+'Fórmula'!I117*(INDEX(properties!A$1:CB$87,'Fórmula'!H117,32))+'Fórmula'!K117*(INDEX(properties!A$1:CB$87,'Fórmula'!J117,32))</f>
        <v>156.96</v>
      </c>
      <c r="DB117" s="119">
        <f t="array" ref="DB117">VARP(IF(INDEX(properties!A$1:CB$87,'Fórmula'!B117,32)&lt;&gt;"",INDEX(properties!A$1:CB$87,'Fórmula'!B117,32)),IF(INDEX(properties!A$1:CB$87,'Fórmula'!D117,32)&lt;&gt;"",INDEX(properties!A$1:CB$87,'Fórmula'!D117,32)),IF(INDEX(properties!A$1:CB$87,'Fórmula'!F117,32)&lt;&gt;"",INDEX(properties!A$1:CB$87,'Fórmula'!F117,32)),IF(INDEX(properties!A$1:CB$87,'Fórmula'!H117,32)&lt;&gt;"",INDEX(properties!A$1:CB$87,'Fórmula'!H117,32)),IF(INDEX(properties!A$1:CB$87,'Fórmula'!J117,32)&lt;&gt;"",INDEX(properties!A$1:CB$87,'Fórmula'!J117,32)))</f>
        <v>6.158584</v>
      </c>
      <c r="DC117" s="119">
        <f t="array" ref="DC117">MAX(INDEX(properties!A$1:CB$87,'Fórmula'!B117,32),INDEX(properties!A$1:CB$87,'Fórmula'!D117,32),INDEX(properties!A$1:CB$87,'Fórmula'!F117,32),INDEX(properties!A$1:CB$87,'Fórmula'!H117,32),INDEX(properties!A$1:CB$87,'Fórmula'!J117,32))</f>
        <v>7.54</v>
      </c>
      <c r="DD117" s="119">
        <f t="array" ref="DD117">MIN(IF(INDEX(properties!A$1:CB$87,'Fórmula'!B117,32)=0,10^6,INDEX(properties!A$1:CB$87,'Fórmula'!B117,32)),IF(INDEX(properties!A$1:CB$87,'Fórmula'!D117,32)=0,10^6,INDEX(properties!A$1:CB$87,'Fórmula'!D117,32)),IF(INDEX(properties!A$1:CB$87,'Fórmula'!F117,32)=0,10^6,INDEX(properties!A$1:CB$87,'Fórmula'!F117,32)),IF(INDEX(properties!A$1:CB$87,'Fórmula'!H117,32)=0,10^6,INDEX(properties!A$1:CB$87,'Fórmula'!H117,32)),IF(INDEX(properties!A$1:CB$87,'Fórmula'!J117,32)=0,10^6,INDEX(properties!A$1:CB$87,'Fórmula'!J117,32)))</f>
        <v>2.4</v>
      </c>
      <c r="DE117" s="119">
        <f t="shared" si="18"/>
        <v>5.14</v>
      </c>
      <c r="DF117" s="104">
        <f t="array" ref="DF117">(('Fórmula'!C117)/('Fórmula'!C117+'Fórmula'!E117+'Fórmula'!G117+'Fórmula'!I117+'Fórmula'!K117))*(INDEX(properties!A$1:CB$87,'Fórmula'!B117,34))+(('Fórmula'!E117)/('Fórmula'!C117+'Fórmula'!E117+'Fórmula'!G117+'Fórmula'!I117+'Fórmula'!K117))*(INDEX(properties!A$1:CB$87,'Fórmula'!D117,34))+(('Fórmula'!G117)/('Fórmula'!C117+'Fórmula'!E117+'Fórmula'!G117+'Fórmula'!I117+'Fórmula'!K117))*(INDEX(properties!A$1:CB$87,'Fórmula'!F117,34))+(('Fórmula'!I117)/('Fórmula'!C117+'Fórmula'!E117+'Fórmula'!G117+'Fórmula'!I117+'Fórmula'!K117))*(INDEX(properties!A$1:CB$87,'Fórmula'!H117,34))+(('Fórmula'!K117)/('Fórmula'!C117+'Fórmula'!E117+'Fórmula'!G117+'Fórmula'!I117+'Fórmula'!K117))*(INDEX(properties!A$1:CB$87,'Fórmula'!J117,34))</f>
        <v>2.859961538</v>
      </c>
      <c r="DG117" s="104">
        <f t="array" ref="DG117">'Fórmula'!C117*(INDEX(properties!A$1:CB$87,'Fórmula'!B117,34))+'Fórmula'!E117*(INDEX(properties!A$1:CB$87,'Fórmula'!D117,34))+'Fórmula'!G117*(INDEX(properties!A$1:CB$87,'Fórmula'!F117,34))+'Fórmula'!I117*(INDEX(properties!A$1:CB$87,'Fórmula'!H117,34))+'Fórmula'!K117*(INDEX(properties!A$1:CB$87,'Fórmula'!J117,34))</f>
        <v>74.359</v>
      </c>
      <c r="DH117" s="104">
        <f t="array" ref="DH117">VARP(IF(INDEX(properties!A$1:CB$87,'Fórmula'!B117,34)&lt;&gt;"",INDEX(properties!A$1:CB$87,'Fórmula'!B117,34)),IF(INDEX(properties!A$1:CB$87,'Fórmula'!D117,34)&lt;&gt;"",INDEX(properties!A$1:CB$87,'Fórmula'!D117,34)),IF(INDEX(properties!A$1:CB$87,'Fórmula'!F117,34)&lt;&gt;"",INDEX(properties!A$1:CB$87,'Fórmula'!F117,34)),IF(INDEX(properties!A$1:CB$87,'Fórmula'!H117,34)&lt;&gt;"",INDEX(properties!A$1:CB$87,'Fórmula'!H117,34)),IF(INDEX(properties!A$1:CB$87,'Fórmula'!J117,34)&lt;&gt;"",INDEX(properties!A$1:CB$87,'Fórmula'!J117,34)))</f>
        <v>1.55708776</v>
      </c>
      <c r="DI117" s="104">
        <f t="array" ref="DI117">MAX(INDEX(properties!A$1:CB$87,'Fórmula'!B117,34),INDEX(properties!A$1:CB$87,'Fórmula'!D117,34),INDEX(properties!A$1:CB$87,'Fórmula'!F117,34),INDEX(properties!A$1:CB$87,'Fórmula'!H117,34),INDEX(properties!A$1:CB$87,'Fórmula'!J117,34))</f>
        <v>3.61</v>
      </c>
      <c r="DJ117" s="104">
        <f t="array" ref="DJ117">MIN(IF(INDEX(properties!A$1:CB$87,'Fórmula'!B117,34)=0,10^6,INDEX(properties!A$1:CB$87,'Fórmula'!B117,34)),IF(INDEX(properties!A$1:CB$87,'Fórmula'!D117,34)=0,10^6,INDEX(properties!A$1:CB$87,'Fórmula'!D117,34)),IF(INDEX(properties!A$1:CB$87,'Fórmula'!F117,34)=0,10^6,INDEX(properties!A$1:CB$87,'Fórmula'!F117,34)),IF(INDEX(properties!A$1:CB$87,'Fórmula'!H117,34)=0,10^6,INDEX(properties!A$1:CB$87,'Fórmula'!H117,34)),IF(INDEX(properties!A$1:CB$87,'Fórmula'!J117,34)=0,10^6,INDEX(properties!A$1:CB$87,'Fórmula'!J117,34)))</f>
        <v>0.869</v>
      </c>
      <c r="DK117" s="104">
        <f t="shared" si="19"/>
        <v>2.741</v>
      </c>
      <c r="DL117" s="105">
        <f t="array" ref="DL117">(('Fórmula'!C117)/('Fórmula'!C117+'Fórmula'!E117+'Fórmula'!G117+'Fórmula'!I117+'Fórmula'!K117))*(INDEX(properties!A$1:CB$87,'Fórmula'!B117,37))+(('Fórmula'!E117)/('Fórmula'!C117+'Fórmula'!E117+'Fórmula'!G117+'Fórmula'!I117+'Fórmula'!K117))*(INDEX(properties!A$1:CB$87,'Fórmula'!D117,37))+(('Fórmula'!G117)/('Fórmula'!C117+'Fórmula'!E117+'Fórmula'!G117+'Fórmula'!I117+'Fórmula'!K117))*(INDEX(properties!A$1:CB$87,'Fórmula'!F117,37))+(('Fórmula'!I117)/('Fórmula'!C117+'Fórmula'!E117+'Fórmula'!G117+'Fórmula'!I117+'Fórmula'!K117))*(INDEX(properties!A$1:CB$87,'Fórmula'!H117,37))+(('Fórmula'!K117)/('Fórmula'!C117+'Fórmula'!E117+'Fórmula'!G117+'Fórmula'!I117+'Fórmula'!K117))*(INDEX(properties!A$1:CB$87,'Fórmula'!J117,37))</f>
        <v>2.717307692</v>
      </c>
      <c r="DM117" s="105">
        <f t="array" ref="DM117">'Fórmula'!C117*(INDEX(properties!A$1:CB$87,'Fórmula'!B117,37))+'Fórmula'!E117*(INDEX(properties!A$1:CB$87,'Fórmula'!D117,37))+'Fórmula'!G117*(INDEX(properties!A$1:CB$87,'Fórmula'!F117,37))+'Fórmula'!I117*(INDEX(properties!A$1:CB$87,'Fórmula'!H117,37))+'Fórmula'!K117*(INDEX(properties!A$1:CB$87,'Fórmula'!J117,37))</f>
        <v>70.65</v>
      </c>
      <c r="DN117" s="105">
        <f t="array" ref="DN117">VARP(IF(INDEX(properties!A$1:CB$87,'Fórmula'!B117,37)&lt;&gt;"",INDEX(properties!A$1:CB$87,'Fórmula'!B117,37)),IF(INDEX(properties!A$1:CB$87,'Fórmula'!D117,37)&lt;&gt;"",INDEX(properties!A$1:CB$87,'Fórmula'!D117,37)),IF(INDEX(properties!A$1:CB$87,'Fórmula'!F117,37)&lt;&gt;"",INDEX(properties!A$1:CB$87,'Fórmula'!F117,37)),IF(INDEX(properties!A$1:CB$87,'Fórmula'!H117,37)&lt;&gt;"",INDEX(properties!A$1:CB$87,'Fórmula'!H117,37)),IF(INDEX(properties!A$1:CB$87,'Fórmula'!J117,37)&lt;&gt;"",INDEX(properties!A$1:CB$87,'Fórmula'!J117,37)))</f>
        <v>1.3816</v>
      </c>
      <c r="DO117" s="105">
        <f t="array" ref="DO117">MAX(INDEX(properties!A$1:CB$87,'Fórmula'!B117,37),INDEX(properties!A$1:CB$87,'Fórmula'!D117,37),INDEX(properties!A$1:CB$87,'Fórmula'!F117,37),INDEX(properties!A$1:CB$87,'Fórmula'!H117,37),INDEX(properties!A$1:CB$87,'Fórmula'!J117,37))</f>
        <v>3.45</v>
      </c>
      <c r="DP117" s="105">
        <f t="array" ref="DP117">MIN(IF(INDEX(properties!A$1:CB$87,'Fórmula'!B117,37)=0,10^6,INDEX(properties!A$1:CB$87,'Fórmula'!B117,37)),IF(INDEX(properties!A$1:CB$87,'Fórmula'!D117,37)=0,10^6,INDEX(properties!A$1:CB$87,'Fórmula'!D117,37)),IF(INDEX(properties!A$1:CB$87,'Fórmula'!F117,37)=0,10^6,INDEX(properties!A$1:CB$87,'Fórmula'!F117,37)),IF(INDEX(properties!A$1:CB$87,'Fórmula'!H117,37)=0,10^6,INDEX(properties!A$1:CB$87,'Fórmula'!H117,37)),IF(INDEX(properties!A$1:CB$87,'Fórmula'!J117,37)=0,10^6,INDEX(properties!A$1:CB$87,'Fórmula'!J117,37)))</f>
        <v>0.9</v>
      </c>
      <c r="DQ117" s="105">
        <f t="shared" si="20"/>
        <v>2.55</v>
      </c>
      <c r="DR117" s="109">
        <f t="array" ref="DR117">(('Fórmula'!C117)/('Fórmula'!C117+'Fórmula'!E117+'Fórmula'!G117+'Fórmula'!I117+'Fórmula'!K117))*(INDEX(properties!A$1:CB$87,'Fórmula'!B117,39))+(('Fórmula'!E117)/('Fórmula'!C117+'Fórmula'!E117+'Fórmula'!G117+'Fórmula'!I117+'Fórmula'!K117))*(INDEX(properties!A$1:CB$87,'Fórmula'!D117,39))+(('Fórmula'!G117)/('Fórmula'!C117+'Fórmula'!E117+'Fórmula'!G117+'Fórmula'!I117+'Fórmula'!K117))*(INDEX(properties!A$1:CB$87,'Fórmula'!F117,39))+(('Fórmula'!I117)/('Fórmula'!C117+'Fórmula'!E117+'Fórmula'!G117+'Fórmula'!I117+'Fórmula'!K117))*(INDEX(properties!A$1:CB$87,'Fórmula'!H117,39))+(('Fórmula'!K117)/('Fórmula'!C117+'Fórmula'!E117+'Fórmula'!G117+'Fórmula'!I117+'Fórmula'!K117))*(INDEX(properties!A$1:CB$87,'Fórmula'!J117,39))</f>
        <v>0.7484615385</v>
      </c>
      <c r="DS117" s="109">
        <f t="array" ref="DS117">'Fórmula'!C117*(INDEX(properties!A$1:CB$87,'Fórmula'!B117,39))+'Fórmula'!E117*(INDEX(properties!A$1:CB$87,'Fórmula'!D117,39))+'Fórmula'!G117*(INDEX(properties!A$1:CB$87,'Fórmula'!F117,39))+'Fórmula'!I117*(INDEX(properties!A$1:CB$87,'Fórmula'!H117,39))+'Fórmula'!K117*(INDEX(properties!A$1:CB$87,'Fórmula'!J117,39))</f>
        <v>19.46</v>
      </c>
      <c r="DT117" s="109">
        <f t="array" ref="DT117">VARP(IF(INDEX(properties!A$1:CB$87,'Fórmula'!B117,39)&lt;&gt;"",INDEX(properties!A$1:CB$87,'Fórmula'!B117,39)),IF(INDEX(properties!A$1:CB$87,'Fórmula'!D117,39)&lt;&gt;"",INDEX(properties!A$1:CB$87,'Fórmula'!D117,39)),IF(INDEX(properties!A$1:CB$87,'Fórmula'!F117,39)&lt;&gt;"",INDEX(properties!A$1:CB$87,'Fórmula'!F117,39)),IF(INDEX(properties!A$1:CB$87,'Fórmula'!H117,39)&lt;&gt;"",INDEX(properties!A$1:CB$87,'Fórmula'!H117,39)),IF(INDEX(properties!A$1:CB$87,'Fórmula'!J117,39)&lt;&gt;"",INDEX(properties!A$1:CB$87,'Fórmula'!J117,39)))</f>
        <v>0.863304</v>
      </c>
      <c r="DU117" s="120">
        <f t="array" ref="DU117">MAX(INDEX(properties!A$1:CB$87,'Fórmula'!B117,39),INDEX(properties!A$1:CB$87,'Fórmula'!D117,39),INDEX(properties!A$1:CB$87,'Fórmula'!F117,39),INDEX(properties!A$1:CB$87,'Fórmula'!H117,39),INDEX(properties!A$1:CB$87,'Fórmula'!J117,39))</f>
        <v>2.53</v>
      </c>
      <c r="DV117" s="120">
        <f t="array" ref="DV117">MIN(IF(INDEX(properties!A$1:CB$87,'Fórmula'!B117,39)=0,10^6,INDEX(properties!A$1:CB$87,'Fórmula'!B117,39)),IF(INDEX(properties!A$1:CB$87,'Fórmula'!D117,39)=0,10^6,INDEX(properties!A$1:CB$87,'Fórmula'!D117,39)),IF(INDEX(properties!A$1:CB$87,'Fórmula'!F117,39)=0,10^6,INDEX(properties!A$1:CB$87,'Fórmula'!F117,39)),IF(INDEX(properties!A$1:CB$87,'Fórmula'!H117,39)=0,10^6,INDEX(properties!A$1:CB$87,'Fórmula'!H117,39)),IF(INDEX(properties!A$1:CB$87,'Fórmula'!J117,39)=0,10^6,INDEX(properties!A$1:CB$87,'Fórmula'!J117,39)))</f>
        <v>0.48</v>
      </c>
      <c r="DW117" s="109">
        <f t="shared" si="21"/>
        <v>2.05</v>
      </c>
      <c r="DX117" s="110">
        <f t="array" ref="DX117">(('Fórmula'!C117)/('Fórmula'!C117+'Fórmula'!E117+'Fórmula'!G117+'Fórmula'!I117+'Fórmula'!K117))*(INDEX(properties!A$1:CB$87,'Fórmula'!B117,40))+(('Fórmula'!E117)/('Fórmula'!C117+'Fórmula'!E117+'Fórmula'!G117+'Fórmula'!I117+'Fórmula'!K117))*(INDEX(properties!A$1:CB$87,'Fórmula'!D117,40))+(('Fórmula'!G117)/('Fórmula'!C117+'Fórmula'!E117+'Fórmula'!G117+'Fórmula'!I117+'Fórmula'!K117))*(INDEX(properties!A$1:CB$87,'Fórmula'!F117,40))+(('Fórmula'!I117)/('Fórmula'!C117+'Fórmula'!E117+'Fórmula'!G117+'Fórmula'!I117+'Fórmula'!K117))*(INDEX(properties!A$1:CB$87,'Fórmula'!H117,40))+(('Fórmula'!K117)/('Fórmula'!C117+'Fórmula'!E117+'Fórmula'!G117+'Fórmula'!I117+'Fórmula'!K117))*(INDEX(properties!A$1:CB$87,'Fórmula'!J117,40))</f>
        <v>0.8403846154</v>
      </c>
      <c r="DY117" s="110">
        <f t="array" ref="DY117">'Fórmula'!C117*(INDEX(properties!A$1:CB$87,'Fórmula'!B117,40))+'Fórmula'!E117*(INDEX(properties!A$1:CB$87,'Fórmula'!D117,40))+'Fórmula'!G117*(INDEX(properties!A$1:CB$87,'Fórmula'!F117,40))+'Fórmula'!I117*(INDEX(properties!A$1:CB$87,'Fórmula'!H117,40))+'Fórmula'!K117*(INDEX(properties!A$1:CB$87,'Fórmula'!J117,40))</f>
        <v>21.85</v>
      </c>
      <c r="DZ117" s="110">
        <f t="array" ref="DZ117">VARP(IF(INDEX(properties!A$1:CB$87,'Fórmula'!B117,40)&lt;&gt;"",INDEX(properties!A$1:CB$87,'Fórmula'!B117,40)),IF(INDEX(properties!A$1:CB$87,'Fórmula'!D117,40)&lt;&gt;"",INDEX(properties!A$1:CB$87,'Fórmula'!D117,40)),IF(INDEX(properties!A$1:CB$87,'Fórmula'!F117,40)&lt;&gt;"",INDEX(properties!A$1:CB$87,'Fórmula'!F117,40)),IF(INDEX(properties!A$1:CB$87,'Fórmula'!H117,40)&lt;&gt;"",INDEX(properties!A$1:CB$87,'Fórmula'!H117,40)),IF(INDEX(properties!A$1:CB$87,'Fórmula'!J117,40)&lt;&gt;"",INDEX(properties!A$1:CB$87,'Fórmula'!J117,40)))</f>
        <v>0.471264</v>
      </c>
      <c r="EA117" s="121">
        <f t="array" ref="EA117">MAX(INDEX(properties!A$1:CB$87,'Fórmula'!B117,40),INDEX(properties!A$1:CB$87,'Fórmula'!D117,40),INDEX(properties!A$1:CB$87,'Fórmula'!F117,40),INDEX(properties!A$1:CB$87,'Fórmula'!H117,40),INDEX(properties!A$1:CB$87,'Fórmula'!J117,40))</f>
        <v>1.98</v>
      </c>
      <c r="EB117" s="121">
        <f t="array" ref="EB117">MIN(IF(INDEX(properties!A$1:CB$87,'Fórmula'!B117,40)=0,10^6,INDEX(properties!A$1:CB$87,'Fórmula'!B117,40)),IF(INDEX(properties!A$1:CB$87,'Fórmula'!D117,40)=0,10^6,INDEX(properties!A$1:CB$87,'Fórmula'!D117,40)),IF(INDEX(properties!A$1:CB$87,'Fórmula'!F117,40)=0,10^6,INDEX(properties!A$1:CB$87,'Fórmula'!F117,40)),IF(INDEX(properties!A$1:CB$87,'Fórmula'!H117,40)=0,10^6,INDEX(properties!A$1:CB$87,'Fórmula'!H117,40)),IF(INDEX(properties!A$1:CB$87,'Fórmula'!J117,40)=0,10^6,INDEX(properties!A$1:CB$87,'Fórmula'!J117,40)))</f>
        <v>0.73</v>
      </c>
      <c r="EC117" s="110">
        <f t="shared" si="22"/>
        <v>1.25</v>
      </c>
      <c r="ED117" s="111">
        <f t="array" ref="ED117">(('Fórmula'!C117)/('Fórmula'!C117+'Fórmula'!E117+'Fórmula'!G117+'Fórmula'!I117+'Fórmula'!K117))*(INDEX(properties!A$1:CB$87,'Fórmula'!B117,41))+(('Fórmula'!E117)/('Fórmula'!C117+'Fórmula'!E117+'Fórmula'!G117+'Fórmula'!I117+'Fórmula'!K117))*(INDEX(properties!A$1:CB$87,'Fórmula'!D117,41))+(('Fórmula'!G117)/('Fórmula'!C117+'Fórmula'!E117+'Fórmula'!G117+'Fórmula'!I117+'Fórmula'!K117))*(INDEX(properties!A$1:CB$87,'Fórmula'!F117,41))+(('Fórmula'!I117)/('Fórmula'!C117+'Fórmula'!E117+'Fórmula'!G117+'Fórmula'!I117+'Fórmula'!K117))*(INDEX(properties!A$1:CB$87,'Fórmula'!H117,41))+(('Fórmula'!K117)/('Fórmula'!C117+'Fórmula'!E117+'Fórmula'!G117+'Fórmula'!I117+'Fórmula'!K117))*(INDEX(properties!A$1:CB$87,'Fórmula'!J117,41))</f>
        <v>0.9707692308</v>
      </c>
      <c r="EE117" s="111">
        <f t="array" ref="EE117">'Fórmula'!C117*(INDEX(properties!A$1:CB$87,'Fórmula'!B117,41))+'Fórmula'!E117*(INDEX(properties!A$1:CB$87,'Fórmula'!D117,41))+'Fórmula'!G117*(INDEX(properties!A$1:CB$87,'Fórmula'!F117,41))+'Fórmula'!I117*(INDEX(properties!A$1:CB$87,'Fórmula'!H117,41))+'Fórmula'!K117*(INDEX(properties!A$1:CB$87,'Fórmula'!J117,41))</f>
        <v>25.24</v>
      </c>
      <c r="EF117" s="111">
        <f t="array" ref="EF117">VARP(IF(INDEX(properties!A$1:CB$87,'Fórmula'!B117,41)&lt;&gt;"",INDEX(properties!A$1:CB$87,'Fórmula'!B117,41)),IF(INDEX(properties!A$1:CB$87,'Fórmula'!D117,41)&lt;&gt;"",INDEX(properties!A$1:CB$87,'Fórmula'!D117,41)),IF(INDEX(properties!A$1:CB$87,'Fórmula'!F117,41)&lt;&gt;"",INDEX(properties!A$1:CB$87,'Fórmula'!F117,41)),IF(INDEX(properties!A$1:CB$87,'Fórmula'!H117,41)&lt;&gt;"",INDEX(properties!A$1:CB$87,'Fórmula'!H117,41)),IF(INDEX(properties!A$1:CB$87,'Fórmula'!J117,41)&lt;&gt;"",INDEX(properties!A$1:CB$87,'Fórmula'!J117,41)))</f>
        <v>0.317784</v>
      </c>
      <c r="EG117" s="122">
        <f t="array" ref="EG117">MAX(INDEX(properties!A$1:CB$87,'Fórmula'!B117,41),INDEX(properties!A$1:CB$87,'Fórmula'!D117,41),INDEX(properties!A$1:CB$87,'Fórmula'!F117,41),INDEX(properties!A$1:CB$87,'Fórmula'!H117,41),INDEX(properties!A$1:CB$87,'Fórmula'!J117,41))</f>
        <v>1.49</v>
      </c>
      <c r="EH117" s="122">
        <f t="array" ref="EH117">MIN(IF(INDEX(properties!A$1:CB$87,'Fórmula'!B117,41)=0,10^6,INDEX(properties!A$1:CB$87,'Fórmula'!B117,41)),IF(INDEX(properties!A$1:CB$87,'Fórmula'!D117,41)=0,10^6,INDEX(properties!A$1:CB$87,'Fórmula'!D117,41)),IF(INDEX(properties!A$1:CB$87,'Fórmula'!F117,41)=0,10^6,INDEX(properties!A$1:CB$87,'Fórmula'!F117,41)),IF(INDEX(properties!A$1:CB$87,'Fórmula'!H117,41)=0,10^6,INDEX(properties!A$1:CB$87,'Fórmula'!H117,41)),IF(INDEX(properties!A$1:CB$87,'Fórmula'!J117,41)=0,10^6,INDEX(properties!A$1:CB$87,'Fórmula'!J117,41)))</f>
        <v>0.41</v>
      </c>
      <c r="EI117" s="111">
        <f t="shared" si="23"/>
        <v>1.08</v>
      </c>
      <c r="EJ117" s="112">
        <f t="array" ref="EJ117">(('Fórmula'!C117)/('Fórmula'!C117+'Fórmula'!E117+'Fórmula'!G117+'Fórmula'!I117+'Fórmula'!K117))*(INDEX(properties!A$1:CB$87,'Fórmula'!B117,45))+(('Fórmula'!E117)/('Fórmula'!C117+'Fórmula'!E117+'Fórmula'!G117+'Fórmula'!I117+'Fórmula'!K117))*(INDEX(properties!A$1:CB$87,'Fórmula'!D117,45))+(('Fórmula'!G117)/('Fórmula'!C117+'Fórmula'!E117+'Fórmula'!G117+'Fórmula'!I117+'Fórmula'!K117))*(INDEX(properties!A$1:CB$87,'Fórmula'!F117,45))+(('Fórmula'!I117)/('Fórmula'!C117+'Fórmula'!E117+'Fórmula'!G117+'Fórmula'!I117+'Fórmula'!K117))*(INDEX(properties!A$1:CB$87,'Fórmula'!H117,45))+(('Fórmula'!K117)/('Fórmula'!C117+'Fórmula'!E117+'Fórmula'!G117+'Fórmula'!I117+'Fórmula'!K117))*(INDEX(properties!A$1:CB$87,'Fórmula'!J117,45))</f>
        <v>0.7807692308</v>
      </c>
      <c r="EK117" s="112">
        <f t="array" ref="EK117">'Fórmula'!C117*(INDEX(properties!A$1:CB$87,'Fórmula'!B117,45))+'Fórmula'!E117*(INDEX(properties!A$1:CB$87,'Fórmula'!D117,45))+'Fórmula'!G117*(INDEX(properties!A$1:CB$87,'Fórmula'!F117,45))+'Fórmula'!I117*(INDEX(properties!A$1:CB$87,'Fórmula'!H117,45))+'Fórmula'!K117*(INDEX(properties!A$1:CB$87,'Fórmula'!J117,45))</f>
        <v>20.3</v>
      </c>
      <c r="EL117" s="112">
        <f t="array" ref="EL117">VARP(IF(INDEX(properties!A$1:CB$87,'Fórmula'!B117,45)&lt;&gt;"",INDEX(properties!A$1:CB$87,'Fórmula'!B117,45)),IF(INDEX(properties!A$1:CB$87,'Fórmula'!D117,45)&lt;&gt;"",INDEX(properties!A$1:CB$87,'Fórmula'!D117,45)),IF(INDEX(properties!A$1:CB$87,'Fórmula'!F117,45)&lt;&gt;"",INDEX(properties!A$1:CB$87,'Fórmula'!F117,45)),IF(INDEX(properties!A$1:CB$87,'Fórmula'!H117,45)&lt;&gt;"",INDEX(properties!A$1:CB$87,'Fórmula'!H117,45)),IF(INDEX(properties!A$1:CB$87,'Fórmula'!J117,45)&lt;&gt;"",INDEX(properties!A$1:CB$87,'Fórmula'!J117,45)))</f>
        <v>1.745384</v>
      </c>
      <c r="EM117" s="123">
        <f t="array" ref="EM117">MAX(INDEX(properties!A$1:CB$87,'Fórmula'!B117,45),INDEX(properties!A$1:CB$87,'Fórmula'!D117,45),INDEX(properties!A$1:CB$87,'Fórmula'!F117,45),INDEX(properties!A$1:CB$87,'Fórmula'!H117,45),INDEX(properties!A$1:CB$87,'Fórmula'!J117,45))</f>
        <v>3.4</v>
      </c>
      <c r="EN117" s="123">
        <f t="array" ref="EN117">MIN(IF(INDEX(properties!A$1:CB$87,'Fórmula'!B117,45)=0,10^6,INDEX(properties!A$1:CB$87,'Fórmula'!B117,45)),IF(INDEX(properties!A$1:CB$87,'Fórmula'!D117,45)=0,10^6,INDEX(properties!A$1:CB$87,'Fórmula'!D117,45)),IF(INDEX(properties!A$1:CB$87,'Fórmula'!F117,45)=0,10^6,INDEX(properties!A$1:CB$87,'Fórmula'!F117,45)),IF(INDEX(properties!A$1:CB$87,'Fórmula'!H117,45)=0,10^6,INDEX(properties!A$1:CB$87,'Fórmula'!H117,45)),IF(INDEX(properties!A$1:CB$87,'Fórmula'!J117,45)=0,10^6,INDEX(properties!A$1:CB$87,'Fórmula'!J117,45)))</f>
        <v>0.47</v>
      </c>
      <c r="EO117" s="112">
        <f t="shared" si="24"/>
        <v>2.93</v>
      </c>
      <c r="EP117" s="113">
        <f t="array" ref="EP117">(('Fórmula'!C117)/('Fórmula'!C117+'Fórmula'!E117+'Fórmula'!G117+'Fórmula'!I117+'Fórmula'!K117))*(INDEX(properties!A$1:CB$87,'Fórmula'!B117,46))+(('Fórmula'!E117)/('Fórmula'!C117+'Fórmula'!E117+'Fórmula'!G117+'Fórmula'!I117+'Fórmula'!K117))*(INDEX(properties!A$1:CB$87,'Fórmula'!D117,46))+(('Fórmula'!G117)/('Fórmula'!C117+'Fórmula'!E117+'Fórmula'!G117+'Fórmula'!I117+'Fórmula'!K117))*(INDEX(properties!A$1:CB$87,'Fórmula'!F117,46))+(('Fórmula'!I117)/('Fórmula'!C117+'Fórmula'!E117+'Fórmula'!G117+'Fórmula'!I117+'Fórmula'!K117))*(INDEX(properties!A$1:CB$87,'Fórmula'!H117,46))+(('Fórmula'!K117)/('Fórmula'!C117+'Fórmula'!E117+'Fórmula'!G117+'Fórmula'!I117+'Fórmula'!K117))*(INDEX(properties!A$1:CB$87,'Fórmula'!J117,46))</f>
        <v>0.8865384615</v>
      </c>
      <c r="EQ117" s="113">
        <f t="array" ref="EQ117">'Fórmula'!C117*(INDEX(properties!A$1:CB$87,'Fórmula'!B117,46))+'Fórmula'!E117*(INDEX(properties!A$1:CB$87,'Fórmula'!D117,46))+'Fórmula'!G117*(INDEX(properties!A$1:CB$87,'Fórmula'!F117,46))+'Fórmula'!I117*(INDEX(properties!A$1:CB$87,'Fórmula'!H117,46))+'Fórmula'!K117*(INDEX(properties!A$1:CB$87,'Fórmula'!J117,46))</f>
        <v>23.05</v>
      </c>
      <c r="ER117" s="113">
        <f t="array" ref="ER117">VARP(IF(INDEX(properties!A$1:CB$87,'Fórmula'!B117,46)&lt;&gt;"",INDEX(properties!A$1:CB$87,'Fórmula'!B117,46)),IF(INDEX(properties!A$1:CB$87,'Fórmula'!D117,46)&lt;&gt;"",INDEX(properties!A$1:CB$87,'Fórmula'!D117,46)),IF(INDEX(properties!A$1:CB$87,'Fórmula'!F117,46)&lt;&gt;"",INDEX(properties!A$1:CB$87,'Fórmula'!F117,46)),IF(INDEX(properties!A$1:CB$87,'Fórmula'!H117,46)&lt;&gt;"",INDEX(properties!A$1:CB$87,'Fórmula'!H117,46)),IF(INDEX(properties!A$1:CB$87,'Fórmula'!J117,46)&lt;&gt;"",INDEX(properties!A$1:CB$87,'Fórmula'!J117,46)))</f>
        <v>0.342776</v>
      </c>
      <c r="ES117" s="124">
        <f t="array" ref="ES117">MAX(INDEX(properties!A$1:CB$87,'Fórmula'!B117,46),INDEX(properties!A$1:CB$87,'Fórmula'!D117,46),INDEX(properties!A$1:CB$87,'Fórmula'!F117,46),INDEX(properties!A$1:CB$87,'Fórmula'!H117,46),INDEX(properties!A$1:CB$87,'Fórmula'!J117,46))</f>
        <v>1.49</v>
      </c>
      <c r="ET117" s="124">
        <f t="array" ref="ET117">MIN(IF(INDEX(properties!A$1:CB$87,'Fórmula'!B117,46)=0,10^6,INDEX(properties!A$1:CB$87,'Fórmula'!B117,46)),IF(INDEX(properties!A$1:CB$87,'Fórmula'!D117,46)=0,10^6,INDEX(properties!A$1:CB$87,'Fórmula'!D117,46)),IF(INDEX(properties!A$1:CB$87,'Fórmula'!F117,46)=0,10^6,INDEX(properties!A$1:CB$87,'Fórmula'!F117,46)),IF(INDEX(properties!A$1:CB$87,'Fórmula'!H117,46)=0,10^6,INDEX(properties!A$1:CB$87,'Fórmula'!H117,46)),IF(INDEX(properties!A$1:CB$87,'Fórmula'!J117,46)=0,10^6,INDEX(properties!A$1:CB$87,'Fórmula'!J117,46)))</f>
        <v>0.25</v>
      </c>
      <c r="EU117" s="113">
        <f t="shared" si="25"/>
        <v>1.24</v>
      </c>
      <c r="EV117" s="114">
        <f t="array" ref="EV117">(('Fórmula'!C117)/('Fórmula'!C117+'Fórmula'!E117+'Fórmula'!G117+'Fórmula'!I117+'Fórmula'!K117))*(INDEX(properties!A$1:CB$87,'Fórmula'!B117,52))+(('Fórmula'!E117)/('Fórmula'!C117+'Fórmula'!E117+'Fórmula'!G117+'Fórmula'!I117+'Fórmula'!K117))*(INDEX(properties!A$1:CB$87,'Fórmula'!D117,52))+(('Fórmula'!G117)/('Fórmula'!C117+'Fórmula'!E117+'Fórmula'!G117+'Fórmula'!I117+'Fórmula'!K117))*(INDEX(properties!A$1:CB$87,'Fórmula'!F117,52))+(('Fórmula'!I117)/('Fórmula'!C117+'Fórmula'!E117+'Fórmula'!G117+'Fórmula'!I117+'Fórmula'!K117))*(INDEX(properties!A$1:CB$87,'Fórmula'!H117,52))+(('Fórmula'!K117)/('Fórmula'!C117+'Fórmula'!E117+'Fórmula'!G117+'Fórmula'!I117+'Fórmula'!K117))*(INDEX(properties!A$1:CB$87,'Fórmula'!J117,52))</f>
        <v>3.930576923</v>
      </c>
      <c r="EW117" s="114">
        <f t="array" ref="EW117">'Fórmula'!C117*(INDEX(properties!A$1:CB$87,'Fórmula'!B117,52))+'Fórmula'!E117*(INDEX(properties!A$1:CB$87,'Fórmula'!D117,52))+'Fórmula'!G117*(INDEX(properties!A$1:CB$87,'Fórmula'!F117,52))+'Fórmula'!I117*(INDEX(properties!A$1:CB$87,'Fórmula'!H117,52))+'Fórmula'!K117*(INDEX(properties!A$1:CB$87,'Fórmula'!J117,52))</f>
        <v>102.195</v>
      </c>
      <c r="EX117" s="114">
        <f t="array" ref="EX117">VARP(IF(INDEX(properties!A$1:CB$87,'Fórmula'!B117,52)&lt;&gt;"",INDEX(properties!A$1:CB$87,'Fórmula'!B117,52)),IF(INDEX(properties!A$1:CB$87,'Fórmula'!D117,52)&lt;&gt;"",INDEX(properties!A$1:CB$87,'Fórmula'!D117,52)),IF(INDEX(properties!A$1:CB$87,'Fórmula'!F117,52)&lt;&gt;"",INDEX(properties!A$1:CB$87,'Fórmula'!F117,52)),IF(INDEX(properties!A$1:CB$87,'Fórmula'!H117,52)&lt;&gt;"",INDEX(properties!A$1:CB$87,'Fórmula'!H117,52)),IF(INDEX(properties!A$1:CB$87,'Fórmula'!J117,52)&lt;&gt;"",INDEX(properties!A$1:CB$87,'Fórmula'!J117,52)))</f>
        <v>248.4769438</v>
      </c>
      <c r="EY117" s="114">
        <f t="array" ref="EY117">MAX(INDEX(properties!A$1:CB$87,'Fórmula'!B117,52),INDEX(properties!A$1:CB$87,'Fórmula'!D117,52),INDEX(properties!A$1:CB$87,'Fórmula'!F117,52),INDEX(properties!A$1:CB$87,'Fórmula'!H117,52),INDEX(properties!A$1:CB$87,'Fórmula'!J117,52))</f>
        <v>39.7</v>
      </c>
      <c r="EZ117" s="114">
        <f t="array" ref="EZ117">MIN(IF(INDEX(properties!A$1:CB$87,'Fórmula'!B117,52)=0,10^6,INDEX(properties!A$1:CB$87,'Fórmula'!B117,52)),IF(INDEX(properties!A$1:CB$87,'Fórmula'!D117,52)=0,10^6,INDEX(properties!A$1:CB$87,'Fórmula'!D117,52)),IF(INDEX(properties!A$1:CB$87,'Fórmula'!F117,52)=0,10^6,INDEX(properties!A$1:CB$87,'Fórmula'!F117,52)),IF(INDEX(properties!A$1:CB$87,'Fórmula'!H117,52)=0,10^6,INDEX(properties!A$1:CB$87,'Fórmula'!H117,52)),IF(INDEX(properties!A$1:CB$87,'Fórmula'!J117,52)=0,10^6,INDEX(properties!A$1:CB$87,'Fórmula'!J117,52)))</f>
        <v>0.793</v>
      </c>
      <c r="FA117" s="114">
        <f t="shared" si="26"/>
        <v>38.907</v>
      </c>
      <c r="FB117" s="115">
        <f t="array" ref="FB117">(('Fórmula'!C117)/('Fórmula'!C117+'Fórmula'!E117+'Fórmula'!G117+'Fórmula'!I117+'Fórmula'!K117))*(INDEX(properties!A$1:CB$87,'Fórmula'!B117,53))+(('Fórmula'!E117)/('Fórmula'!C117+'Fórmula'!E117+'Fórmula'!G117+'Fórmula'!I117+'Fórmula'!K117))*(INDEX(properties!A$1:CB$87,'Fórmula'!D117,53))+(('Fórmula'!G117)/('Fórmula'!C117+'Fórmula'!E117+'Fórmula'!G117+'Fórmula'!I117+'Fórmula'!K117))*(INDEX(properties!A$1:CB$87,'Fórmula'!F117,53))+(('Fórmula'!I117)/('Fórmula'!C117+'Fórmula'!E117+'Fórmula'!G117+'Fórmula'!I117+'Fórmula'!K117))*(INDEX(properties!A$1:CB$87,'Fórmula'!H117,53))+(('Fórmula'!K117)/('Fórmula'!C117+'Fórmula'!E117+'Fórmula'!G117+'Fórmula'!I117+'Fórmula'!K117))*(INDEX(properties!A$1:CB$87,'Fórmula'!J117,53))</f>
        <v>898.45</v>
      </c>
      <c r="FC117" s="115">
        <f t="array" ref="FC117">'Fórmula'!C117*(INDEX(properties!A$1:CB$87,'Fórmula'!B117,53))+'Fórmula'!E117*(INDEX(properties!A$1:CB$87,'Fórmula'!D117,53))+'Fórmula'!G117*(INDEX(properties!A$1:CB$87,'Fórmula'!F117,53))+'Fórmula'!I117*(INDEX(properties!A$1:CB$87,'Fórmula'!H117,53))+'Fórmula'!K117*(INDEX(properties!A$1:CB$87,'Fórmula'!J117,53))</f>
        <v>23359.7</v>
      </c>
      <c r="FD117" s="115">
        <f t="array" ref="FD117">VARP(IF(INDEX(properties!A$1:CB$87,'Fórmula'!B117,53)&lt;&gt;"",INDEX(properties!A$1:CB$87,'Fórmula'!B117,53)),IF(INDEX(properties!A$1:CB$87,'Fórmula'!D117,53)&lt;&gt;"",INDEX(properties!A$1:CB$87,'Fórmula'!D117,53)),IF(INDEX(properties!A$1:CB$87,'Fórmula'!F117,53)&lt;&gt;"",INDEX(properties!A$1:CB$87,'Fórmula'!F117,53)),IF(INDEX(properties!A$1:CB$87,'Fórmula'!H117,53)&lt;&gt;"",INDEX(properties!A$1:CB$87,'Fórmula'!H117,53)),IF(INDEX(properties!A$1:CB$87,'Fórmula'!J117,53)&lt;&gt;"",INDEX(properties!A$1:CB$87,'Fórmula'!J117,53)))</f>
        <v>763575.862</v>
      </c>
      <c r="FE117" s="115">
        <f t="array" ref="FE117">MAX(INDEX(properties!A$1:CB$87,'Fórmula'!B117,53),INDEX(properties!A$1:CB$87,'Fórmula'!D117,53),INDEX(properties!A$1:CB$87,'Fórmula'!F117,53),INDEX(properties!A$1:CB$87,'Fórmula'!H117,53),INDEX(properties!A$1:CB$87,'Fórmula'!J117,53))</f>
        <v>2352.15</v>
      </c>
      <c r="FF117" s="115">
        <f t="array" ref="FF117">MIN(IF(INDEX(properties!A$1:CB$87,'Fórmula'!B117,53)=0,10^6,INDEX(properties!A$1:CB$87,'Fórmula'!B117,53)),IF(INDEX(properties!A$1:CB$87,'Fórmula'!D117,53)=0,10^6,INDEX(properties!A$1:CB$87,'Fórmula'!D117,53)),IF(INDEX(properties!A$1:CB$87,'Fórmula'!F117,53)=0,10^6,INDEX(properties!A$1:CB$87,'Fórmula'!F117,53)),IF(INDEX(properties!A$1:CB$87,'Fórmula'!H117,53)=0,10^6,INDEX(properties!A$1:CB$87,'Fórmula'!H117,53)),IF(INDEX(properties!A$1:CB$87,'Fórmula'!J117,53)=0,10^6,INDEX(properties!A$1:CB$87,'Fórmula'!J117,53)))</f>
        <v>54.75</v>
      </c>
      <c r="FG117" s="115">
        <f t="shared" si="27"/>
        <v>2297.4</v>
      </c>
      <c r="FH117" s="117">
        <f t="array" ref="FH117">(('Fórmula'!C117)/('Fórmula'!C117+'Fórmula'!E117+'Fórmula'!G117+'Fórmula'!I117+'Fórmula'!K117))*(INDEX(properties!A$1:CB$87,'Fórmula'!B117,54))+(('Fórmula'!E117)/('Fórmula'!C117+'Fórmula'!E117+'Fórmula'!G117+'Fórmula'!I117+'Fórmula'!K117))*(INDEX(properties!A$1:CB$87,'Fórmula'!D117,54))+(('Fórmula'!G117)/('Fórmula'!C117+'Fórmula'!E117+'Fórmula'!G117+'Fórmula'!I117+'Fórmula'!K117))*(INDEX(properties!A$1:CB$87,'Fórmula'!F117,54))+(('Fórmula'!I117)/('Fórmula'!C117+'Fórmula'!E117+'Fórmula'!G117+'Fórmula'!I117+'Fórmula'!K117))*(INDEX(properties!A$1:CB$87,'Fórmula'!H117,54))+(('Fórmula'!K117)/('Fórmula'!C117+'Fórmula'!E117+'Fórmula'!G117+'Fórmula'!I117+'Fórmula'!K117))*(INDEX(properties!A$1:CB$87,'Fórmula'!J117,54))</f>
        <v>1649.867308</v>
      </c>
      <c r="FI117" s="117">
        <f t="array" ref="FI117">'Fórmula'!C117*(INDEX(properties!A$1:CB$87,'Fórmula'!B117,54))+'Fórmula'!E117*(INDEX(properties!A$1:CB$87,'Fórmula'!D117,54))+'Fórmula'!G117*(INDEX(properties!A$1:CB$87,'Fórmula'!F117,54))+'Fórmula'!I117*(INDEX(properties!A$1:CB$87,'Fórmula'!H117,54))+'Fórmula'!K117*(INDEX(properties!A$1:CB$87,'Fórmula'!J117,54))</f>
        <v>42896.55</v>
      </c>
      <c r="FJ117" s="117">
        <f t="array" ref="FJ117">VARP(IF(INDEX(properties!A$1:CB$87,'Fórmula'!B117,54)&lt;&gt;"",INDEX(properties!A$1:CB$87,'Fórmula'!B117,54)),IF(INDEX(properties!A$1:CB$87,'Fórmula'!D117,54)&lt;&gt;"",INDEX(properties!A$1:CB$87,'Fórmula'!D117,54)),IF(INDEX(properties!A$1:CB$87,'Fórmula'!F117,54)&lt;&gt;"",INDEX(properties!A$1:CB$87,'Fórmula'!F117,54)),IF(INDEX(properties!A$1:CB$87,'Fórmula'!H117,54)&lt;&gt;"",INDEX(properties!A$1:CB$87,'Fórmula'!H117,54)),IF(INDEX(properties!A$1:CB$87,'Fórmula'!J117,54)&lt;&gt;"",INDEX(properties!A$1:CB$87,'Fórmula'!J117,54)))</f>
        <v>2445273.681</v>
      </c>
      <c r="FK117" s="117">
        <f t="array" ref="FK117">MAX(INDEX(properties!A$1:CB$87,'Fórmula'!B117,54),INDEX(properties!A$1:CB$87,'Fórmula'!D117,54),INDEX(properties!A$1:CB$87,'Fórmula'!F117,54),INDEX(properties!A$1:CB$87,'Fórmula'!H117,54),INDEX(properties!A$1:CB$87,'Fórmula'!J117,54))</f>
        <v>4275</v>
      </c>
      <c r="FL117" s="117">
        <f t="array" ref="FL117">MIN(IF(INDEX(properties!A$1:CB$87,'Fórmula'!B117,54)=0,10^6,INDEX(properties!A$1:CB$87,'Fórmula'!B117,54)),IF(INDEX(properties!A$1:CB$87,'Fórmula'!D117,54)=0,10^6,INDEX(properties!A$1:CB$87,'Fórmula'!D117,54)),IF(INDEX(properties!A$1:CB$87,'Fórmula'!F117,54)=0,10^6,INDEX(properties!A$1:CB$87,'Fórmula'!F117,54)),IF(INDEX(properties!A$1:CB$87,'Fórmula'!H117,54)=0,10^6,INDEX(properties!A$1:CB$87,'Fórmula'!H117,54)),IF(INDEX(properties!A$1:CB$87,'Fórmula'!J117,54)=0,10^6,INDEX(properties!A$1:CB$87,'Fórmula'!J117,54)))</f>
        <v>90.15</v>
      </c>
      <c r="FM117" s="117">
        <f t="shared" si="28"/>
        <v>4184.85</v>
      </c>
      <c r="FN117" s="118">
        <f t="array" ref="FN117">(('Fórmula'!C117)/('Fórmula'!C117+'Fórmula'!E117+'Fórmula'!G117+'Fórmula'!I117+'Fórmula'!K117))*(INDEX(properties!A$1:CB$87,'Fórmula'!B117,55))+(('Fórmula'!E117)/('Fórmula'!C117+'Fórmula'!E117+'Fórmula'!G117+'Fórmula'!I117+'Fórmula'!K117))*(INDEX(properties!A$1:CB$87,'Fórmula'!D117,55))+(('Fórmula'!G117)/('Fórmula'!C117+'Fórmula'!E117+'Fórmula'!G117+'Fórmula'!I117+'Fórmula'!K117))*(INDEX(properties!A$1:CB$87,'Fórmula'!F117,55))+(('Fórmula'!I117)/('Fórmula'!C117+'Fórmula'!E117+'Fórmula'!G117+'Fórmula'!I117+'Fórmula'!K117))*(INDEX(properties!A$1:CB$87,'Fórmula'!H117,55))+(('Fórmula'!K117)/('Fórmula'!C117+'Fórmula'!E117+'Fórmula'!G117+'Fórmula'!I117+'Fórmula'!K117))*(INDEX(properties!A$1:CB$87,'Fórmula'!J117,55))</f>
        <v>0.9827865385</v>
      </c>
      <c r="FO117" s="118">
        <f t="array" ref="FO117">'Fórmula'!C117*(INDEX(properties!A$1:CB$87,'Fórmula'!B117,55))+'Fórmula'!E117*(INDEX(properties!A$1:CB$87,'Fórmula'!D117,54))+'Fórmula'!G117*(INDEX(properties!A$1:CB$87,'Fórmula'!F117,55))+'Fórmula'!I117*(INDEX(properties!A$1:CB$87,'Fórmula'!H117,55))+'Fórmula'!K117*(INDEX(properties!A$1:CB$87,'Fórmula'!J117,55))</f>
        <v>1935.20245</v>
      </c>
      <c r="FP117" s="118">
        <f t="array" ref="FP117">VARP(IF(INDEX(properties!A$1:CB$87,'Fórmula'!B117,55)&lt;&gt;"",INDEX(properties!A$1:CB$87,'Fórmula'!B117,55)),IF(INDEX(properties!A$1:CB$87,'Fórmula'!D117,55)&lt;&gt;"",INDEX(properties!A$1:CB$87,'Fórmula'!D117,55)),IF(INDEX(properties!A$1:CB$87,'Fórmula'!F117,55)&lt;&gt;"",INDEX(properties!A$1:CB$87,'Fórmula'!F117,55)),IF(INDEX(properties!A$1:CB$87,'Fórmula'!H117,55)&lt;&gt;"",INDEX(properties!A$1:CB$87,'Fórmula'!H117,55)),IF(INDEX(properties!A$1:CB$87,'Fórmula'!J117,55)&lt;&gt;"",INDEX(properties!A$1:CB$87,'Fórmula'!J117,55)))</f>
        <v>1.877320509</v>
      </c>
      <c r="FQ117" s="118">
        <f t="array" ref="FQ117">MAX(INDEX(properties!A$1:CB$87,'Fórmula'!B117,55),INDEX(properties!A$1:CB$87,'Fórmula'!D117,55),INDEX(properties!A$1:CB$87,'Fórmula'!F117,55),INDEX(properties!A$1:CB$87,'Fórmula'!H117,55),INDEX(properties!A$1:CB$87,'Fórmula'!J117,55))</f>
        <v>3.5</v>
      </c>
      <c r="FR117" s="118">
        <f t="array" ref="FR117">MIN(IF(INDEX(properties!A$1:CB$87,'Fórmula'!B117,55)=0,10^6,INDEX(properties!A$1:CB$87,'Fórmula'!B117,55)),IF(INDEX(properties!A$1:CB$87,'Fórmula'!D117,55)=0,10^6,INDEX(properties!A$1:CB$87,'Fórmula'!D117,55)),IF(INDEX(properties!A$1:CB$87,'Fórmula'!F117,55)=0,10^6,INDEX(properties!A$1:CB$87,'Fórmula'!F117,55)),IF(INDEX(properties!A$1:CB$87,'Fórmula'!H117,55)=0,10^6,INDEX(properties!A$1:CB$87,'Fórmula'!H117,55)),IF(INDEX(properties!A$1:CB$87,'Fórmula'!J117,55)=0,10^6,INDEX(properties!A$1:CB$87,'Fórmula'!J117,55)))</f>
        <v>0.00143</v>
      </c>
      <c r="FS117" s="118">
        <f t="shared" si="29"/>
        <v>3.49857</v>
      </c>
      <c r="FT117" s="119">
        <f t="array" ref="FT117">(('Fórmula'!C117)/('Fórmula'!C117+'Fórmula'!E117+'Fórmula'!G117+'Fórmula'!I117+'Fórmula'!K117))*(INDEX(properties!A$1:CB$87,'Fórmula'!B117,56))+(('Fórmula'!E117)/('Fórmula'!C117+'Fórmula'!E117+'Fórmula'!G117+'Fórmula'!I117+'Fórmula'!K117))*(INDEX(properties!A$1:CB$87,'Fórmula'!D117,56))+(('Fórmula'!G117)/('Fórmula'!C117+'Fórmula'!E117+'Fórmula'!G117+'Fórmula'!I117+'Fórmula'!K117))*(INDEX(properties!A$1:CB$87,'Fórmula'!F117,56))+(('Fórmula'!I117)/('Fórmula'!C117+'Fórmula'!E117+'Fórmula'!G117+'Fórmula'!I117+'Fórmula'!K117))*(INDEX(properties!A$1:CB$87,'Fórmula'!H117,56))+(('Fórmula'!K117)/('Fórmula'!C117+'Fórmula'!E117+'Fórmula'!G117+'Fórmula'!I117+'Fórmula'!K117))*(INDEX(properties!A$1:CB$87,'Fórmula'!J117,56))</f>
        <v>0.939</v>
      </c>
      <c r="FU117" s="119">
        <f t="array" ref="FU117">'Fórmula'!C117*(INDEX(properties!A$1:CB$87,'Fórmula'!B117,56))+'Fórmula'!E117*(INDEX(properties!A$1:CB$87,'Fórmula'!D117,56))+'Fórmula'!G117*(INDEX(properties!A$1:CB$87,'Fórmula'!F117,56))+'Fórmula'!I117*(INDEX(properties!A$1:CB$87,'Fórmula'!H117,56))+'Fórmula'!K117*(INDEX(properties!A$1:CB$87,'Fórmula'!J117,56))</f>
        <v>24.414</v>
      </c>
      <c r="FV117" s="119">
        <f t="array" ref="FV117">VARP(IF(INDEX(properties!A$1:CB$87,'Fórmula'!B117,56)&lt;&gt;"",INDEX(properties!A$1:CB$87,'Fórmula'!B117,56)),IF(INDEX(properties!A$1:CB$87,'Fórmula'!D117,56)&lt;&gt;"",INDEX(properties!A$1:CB$87,'Fórmula'!D117,56)),IF(INDEX(properties!A$1:CB$87,'Fórmula'!F117,56)&lt;&gt;"",INDEX(properties!A$1:CB$87,'Fórmula'!F117,56)),IF(INDEX(properties!A$1:CB$87,'Fórmula'!H117,56)&lt;&gt;"",INDEX(properties!A$1:CB$87,'Fórmula'!H117,56)),IF(INDEX(properties!A$1:CB$87,'Fórmula'!J117,56)&lt;&gt;"",INDEX(properties!A$1:CB$87,'Fórmula'!J117,56)))</f>
        <v>0.23290816</v>
      </c>
      <c r="FW117" s="119">
        <f t="array" ref="FW117">MAX(INDEX(properties!A$1:CB$87,'Fórmula'!B117,56),INDEX(properties!A$1:CB$87,'Fórmula'!D117,56),INDEX(properties!A$1:CB$87,'Fórmula'!F117,56),INDEX(properties!A$1:CB$87,'Fórmula'!H117,56),INDEX(properties!A$1:CB$87,'Fórmula'!J117,56))</f>
        <v>1.23</v>
      </c>
      <c r="FX117" s="119">
        <f t="array" ref="FX117">MIN(IF(INDEX(properties!A$1:CB$87,'Fórmula'!B117,56)=0,10^6,INDEX(properties!A$1:CB$87,'Fórmula'!B117,56)),IF(INDEX(properties!A$1:CB$87,'Fórmula'!D117,56)=0,10^6,INDEX(properties!A$1:CB$87,'Fórmula'!D117,56)),IF(INDEX(properties!A$1:CB$87,'Fórmula'!F117,56)=0,10^6,INDEX(properties!A$1:CB$87,'Fórmula'!F117,56)),IF(INDEX(properties!A$1:CB$87,'Fórmula'!H117,56)=0,10^6,INDEX(properties!A$1:CB$87,'Fórmula'!H117,56)),IF(INDEX(properties!A$1:CB$87,'Fórmula'!J117,56)=0,10^6,INDEX(properties!A$1:CB$87,'Fórmula'!J117,56)))</f>
        <v>0.204</v>
      </c>
      <c r="FY117" s="119">
        <f t="shared" si="30"/>
        <v>1.026</v>
      </c>
      <c r="FZ117" s="104">
        <f t="array" ref="FZ117">(('Fórmula'!C117)/('Fórmula'!C117+'Fórmula'!E117+'Fórmula'!G117+'Fórmula'!I117+'Fórmula'!K117))*(INDEX(properties!A$1:CB$87,'Fórmula'!B117,57))+(('Fórmula'!E117)/('Fórmula'!C117+'Fórmula'!E117+'Fórmula'!G117+'Fórmula'!I117+'Fórmula'!K117))*(INDEX(properties!A$1:CB$87,'Fórmula'!D117,57))+(('Fórmula'!G117)/('Fórmula'!C117+'Fórmula'!E117+'Fórmula'!G117+'Fórmula'!I117+'Fórmula'!K117))*(INDEX(properties!A$1:CB$87,'Fórmula'!F117,57))+(('Fórmula'!I117)/('Fórmula'!C117+'Fórmula'!E117+'Fórmula'!G117+'Fórmula'!I117+'Fórmula'!K117))*(INDEX(properties!A$1:CB$87,'Fórmula'!H117,57))+(('Fórmula'!K117)/('Fórmula'!C117+'Fórmula'!E117+'Fórmula'!G117+'Fórmula'!I117+'Fórmula'!K117))*(INDEX(properties!A$1:CB$87,'Fórmula'!J117,57))</f>
        <v>17.90334038</v>
      </c>
      <c r="GA117" s="104">
        <f t="array" ref="GA117">'Fórmula'!C117*(INDEX(properties!A$1:CB$87,'Fórmula'!B117,57))+'Fórmula'!E117*(INDEX(properties!A$1:CB$87,'Fórmula'!D117,57))+'Fórmula'!G117*(INDEX(properties!A$1:CB$87,'Fórmula'!F117,57))+'Fórmula'!I117*(INDEX(properties!A$1:CB$87,'Fórmula'!H117,57))+'Fórmula'!K117*(INDEX(properties!A$1:CB$87,'Fórmula'!J117,57))</f>
        <v>465.48685</v>
      </c>
      <c r="GB117" s="104">
        <f t="array" ref="GB117">VARP(IF(INDEX(properties!A$1:CB$87,'Fórmula'!B117,57)&lt;&gt;"",INDEX(properties!A$1:CB$87,'Fórmula'!B117,57)),IF(INDEX(properties!A$1:CB$87,'Fórmula'!D117,57)&lt;&gt;"",INDEX(properties!A$1:CB$87,'Fórmula'!D117,57)),IF(INDEX(properties!A$1:CB$87,'Fórmula'!F117,57)&lt;&gt;"",INDEX(properties!A$1:CB$87,'Fórmula'!F117,57)),IF(INDEX(properties!A$1:CB$87,'Fórmula'!H117,57)&lt;&gt;"",INDEX(properties!A$1:CB$87,'Fórmula'!H117,57)),IF(INDEX(properties!A$1:CB$87,'Fórmula'!J117,57)&lt;&gt;"",INDEX(properties!A$1:CB$87,'Fórmula'!J117,57)))</f>
        <v>369.6577457</v>
      </c>
      <c r="GC117" s="104">
        <f t="array" ref="GC117">MAX(INDEX(properties!A$1:CB$87,'Fórmula'!B117,57),INDEX(properties!A$1:CB$87,'Fórmula'!D117,57),INDEX(properties!A$1:CB$87,'Fórmula'!F117,57),INDEX(properties!A$1:CB$87,'Fórmula'!H117,57),INDEX(properties!A$1:CB$87,'Fórmula'!J117,57))</f>
        <v>50.2</v>
      </c>
      <c r="GD117" s="104">
        <f t="array" ref="GD117">MIN(IF(INDEX(properties!A$1:CB$87,'Fórmula'!B117,57)=0,10^6,INDEX(properties!A$1:CB$87,'Fórmula'!B117,57)),IF(INDEX(properties!A$1:CB$87,'Fórmula'!D117,57)=0,10^6,INDEX(properties!A$1:CB$87,'Fórmula'!D117,57)),IF(INDEX(properties!A$1:CB$87,'Fórmula'!F117,57)=0,10^6,INDEX(properties!A$1:CB$87,'Fórmula'!F117,57)),IF(INDEX(properties!A$1:CB$87,'Fórmula'!H117,57)=0,10^6,INDEX(properties!A$1:CB$87,'Fórmula'!H117,57)),IF(INDEX(properties!A$1:CB$87,'Fórmula'!J117,57)=0,10^6,INDEX(properties!A$1:CB$87,'Fórmula'!J117,57)))</f>
        <v>0.22259</v>
      </c>
      <c r="GE117" s="104">
        <f t="shared" si="31"/>
        <v>49.97741</v>
      </c>
      <c r="GF117" s="105">
        <f t="array" ref="GF117">(('Fórmula'!C117)/('Fórmula'!C117+'Fórmula'!E117+'Fórmula'!G117+'Fórmula'!I117+'Fórmula'!K117))*(INDEX(properties!A$1:CB$87,'Fórmula'!B117,60))+(('Fórmula'!E117)/('Fórmula'!C117+'Fórmula'!E117+'Fórmula'!G117+'Fórmula'!I117+'Fórmula'!K117))*(INDEX(properties!A$1:CB$87,'Fórmula'!D117,60))+(('Fórmula'!G117)/('Fórmula'!C117+'Fórmula'!E117+'Fórmula'!G117+'Fórmula'!I117+'Fórmula'!K117))*(INDEX(properties!A$1:CB$87,'Fórmula'!F117,60))+(('Fórmula'!I117)/('Fórmula'!C117+'Fórmula'!E117+'Fórmula'!G117+'Fórmula'!I117+'Fórmula'!K117))*(INDEX(properties!A$1:CB$87,'Fórmula'!H117,60))+(('Fórmula'!K117)/('Fórmula'!C117+'Fórmula'!E117+'Fórmula'!G117+'Fórmula'!I117+'Fórmula'!K117))*(INDEX(properties!A$1:CB$87,'Fórmula'!J117,60))</f>
        <v>15.49235</v>
      </c>
      <c r="GG117" s="105">
        <f t="array" ref="GG117">'Fórmula'!C117*(INDEX(properties!A$1:CB$87,'Fórmula'!B117,60))+'Fórmula'!E117*(INDEX(properties!A$1:CB$87,'Fórmula'!D117,60))+'Fórmula'!G117*(INDEX(properties!A$1:CB$87,'Fórmula'!F117,60))+'Fórmula'!I117*(INDEX(properties!A$1:CB$87,'Fórmula'!H117,60))+'Fórmula'!K117*(INDEX(properties!A$1:CB$87,'Fórmula'!J117,60))</f>
        <v>402.8011</v>
      </c>
      <c r="GH117" s="105">
        <f t="array" ref="GH117">VARP(IF(INDEX(properties!A$1:CB$87,'Fórmula'!B117,60)&lt;&gt;"",INDEX(properties!A$1:CB$87,'Fórmula'!B117,60)),IF(INDEX(properties!A$1:CB$87,'Fórmula'!D117,60)&lt;&gt;"",INDEX(properties!A$1:CB$87,'Fórmula'!D117,60)),IF(INDEX(properties!A$1:CB$87,'Fórmula'!F117,60)&lt;&gt;"",INDEX(properties!A$1:CB$87,'Fórmula'!F117,60)),IF(INDEX(properties!A$1:CB$87,'Fórmula'!H117,60)&lt;&gt;"",INDEX(properties!A$1:CB$87,'Fórmula'!H117,60)),IF(INDEX(properties!A$1:CB$87,'Fórmula'!J117,60)&lt;&gt;"",INDEX(properties!A$1:CB$87,'Fórmula'!J117,60)))</f>
        <v>2799.514968</v>
      </c>
      <c r="GI117" s="105">
        <f t="array" ref="GI117">MAX(INDEX(properties!A$1:CB$87,'Fórmula'!B117,60),INDEX(properties!A$1:CB$87,'Fórmula'!D117,60),INDEX(properties!A$1:CB$87,'Fórmula'!F117,60),INDEX(properties!A$1:CB$87,'Fórmula'!H117,60),INDEX(properties!A$1:CB$87,'Fórmula'!J117,60))</f>
        <v>141</v>
      </c>
      <c r="GJ117" s="105">
        <f t="array" ref="GJ117">MIN(IF(INDEX(properties!A$1:CB$87,'Fórmula'!B117,60)=0,10^6,INDEX(properties!A$1:CB$87,'Fórmula'!B117,60)),IF(INDEX(properties!A$1:CB$87,'Fórmula'!D117,60)=0,10^6,INDEX(properties!A$1:CB$87,'Fórmula'!D117,60)),IF(INDEX(properties!A$1:CB$87,'Fórmula'!F117,60)=0,10^6,INDEX(properties!A$1:CB$87,'Fórmula'!F117,60)),IF(INDEX(properties!A$1:CB$87,'Fórmula'!H117,60)=0,10^6,INDEX(properties!A$1:CB$87,'Fórmula'!H117,60)),IF(INDEX(properties!A$1:CB$87,'Fórmula'!J117,60)=0,10^6,INDEX(properties!A$1:CB$87,'Fórmula'!J117,60)))</f>
        <v>0.02674</v>
      </c>
      <c r="GK117" s="105">
        <f t="shared" si="32"/>
        <v>140.97326</v>
      </c>
      <c r="GL117" s="106">
        <f t="array" ref="GL117">(('Fórmula'!C117)/('Fórmula'!C117+'Fórmula'!E117+'Fórmula'!G117+'Fórmula'!I117+'Fórmula'!K117))*(INDEX(properties!A$1:CB$87,'Fórmula'!B117,62))+(('Fórmula'!E117)/('Fórmula'!C117+'Fórmula'!E117+'Fórmula'!G117+'Fórmula'!I117+'Fórmula'!K117))*(INDEX(properties!A$1:CB$87,'Fórmula'!D117,62))+(('Fórmula'!G117)/('Fórmula'!C117+'Fórmula'!E117+'Fórmula'!G117+'Fórmula'!I117+'Fórmula'!K117))*(INDEX(properties!A$1:CB$87,'Fórmula'!F117,62))+(('Fórmula'!I117)/('Fórmula'!C117+'Fórmula'!E117+'Fórmula'!G117+'Fórmula'!I117+'Fórmula'!K117))*(INDEX(properties!A$1:CB$87,'Fórmula'!H117,62))+(('Fórmula'!K117)/('Fórmula'!C117+'Fórmula'!E117+'Fórmula'!G117+'Fórmula'!I117+'Fórmula'!K117))*(INDEX(properties!A$1:CB$87,'Fórmula'!J117,62))</f>
        <v>3.638576923</v>
      </c>
      <c r="GM117" s="106">
        <f t="array" ref="GM117">'Fórmula'!C117*(INDEX(properties!A$1:CB$87,'Fórmula'!B117,62))+'Fórmula'!E117*(INDEX(properties!A$1:CB$87,'Fórmula'!D117,62))+'Fórmula'!G117*(INDEX(properties!A$1:CB$87,'Fórmula'!F117,62))+'Fórmula'!I117*(INDEX(properties!A$1:CB$87,'Fórmula'!H117,62))+'Fórmula'!K117*(INDEX(properties!A$1:CB$87,'Fórmula'!J117,62))</f>
        <v>94.603</v>
      </c>
      <c r="GN117" s="106">
        <f t="array" ref="GN117">VARP(IF(INDEX(properties!A$1:CB$87,'Fórmula'!B117,62)&lt;&gt;"",INDEX(properties!A$1:CB$87,'Fórmula'!B117,62)),IF(INDEX(properties!A$1:CB$87,'Fórmula'!D117,62)&lt;&gt;"",INDEX(properties!A$1:CB$87,'Fórmula'!D117,62)),IF(INDEX(properties!A$1:CB$87,'Fórmula'!F117,62)&lt;&gt;"",INDEX(properties!A$1:CB$87,'Fórmula'!F117,62)),IF(INDEX(properties!A$1:CB$87,'Fórmula'!H117,62)&lt;&gt;"",INDEX(properties!A$1:CB$87,'Fórmula'!H117,62)),IF(INDEX(properties!A$1:CB$87,'Fórmula'!J117,62)&lt;&gt;"",INDEX(properties!A$1:CB$87,'Fórmula'!J117,62)))</f>
        <v>3.85616384</v>
      </c>
      <c r="GO117" s="106">
        <f t="array" ref="GO117">MAX(INDEX(properties!A$1:CB$87,'Fórmula'!B117,62),INDEX(properties!A$1:CB$87,'Fórmula'!D117,62),INDEX(properties!A$1:CB$87,'Fórmula'!F117,62),INDEX(properties!A$1:CB$87,'Fórmula'!H117,62),INDEX(properties!A$1:CB$87,'Fórmula'!J117,62))</f>
        <v>5.81</v>
      </c>
      <c r="GP117" s="106">
        <f t="array" ref="GP117">MIN(IF(INDEX(properties!A$1:CB$87,'Fórmula'!B117,62)=0,10^6,INDEX(properties!A$1:CB$87,'Fórmula'!B117,62)),IF(INDEX(properties!A$1:CB$87,'Fórmula'!D117,62)=0,10^6,INDEX(properties!A$1:CB$87,'Fórmula'!D117,62)),IF(INDEX(properties!A$1:CB$87,'Fórmula'!F117,62)=0,10^6,INDEX(properties!A$1:CB$87,'Fórmula'!F117,62)),IF(INDEX(properties!A$1:CB$87,'Fórmula'!H117,62)=0,10^6,INDEX(properties!A$1:CB$87,'Fórmula'!H117,62)),IF(INDEX(properties!A$1:CB$87,'Fórmula'!J117,62)=0,10^6,INDEX(properties!A$1:CB$87,'Fórmula'!J117,62)))</f>
        <v>1.113</v>
      </c>
      <c r="GQ117" s="106">
        <f t="shared" si="33"/>
        <v>4.697</v>
      </c>
      <c r="GR117" s="106">
        <f>'Fórmula'!Q117</f>
        <v>161</v>
      </c>
      <c r="GS117" s="107">
        <f>'Fórmula'!P117</f>
        <v>4</v>
      </c>
      <c r="GT117" s="113">
        <f>'Fórmula'!O117</f>
        <v>2.67</v>
      </c>
      <c r="GU117" s="114">
        <f>AVERAGE('Fórmula'!R117/'Fórmula'!S117,'Fórmula'!S117/'Fórmula'!T117,'Fórmula'!T117/'Fórmula'!R117)</f>
        <v>1.06830135</v>
      </c>
      <c r="GV117" s="125">
        <f>'Fórmula'!U117</f>
        <v>1856.45</v>
      </c>
      <c r="GW117" s="106">
        <f>'Fórmula'!N117</f>
        <v>0.06</v>
      </c>
    </row>
    <row r="118" ht="14.25" customHeight="1">
      <c r="A118" s="99" t="str">
        <f>'Fórmula'!A118</f>
        <v>LiCaY5B6O18</v>
      </c>
      <c r="B118" s="101">
        <f t="array" ref="B118">(('Fórmula'!C118)/('Fórmula'!C118+'Fórmula'!E118+'Fórmula'!G118+'Fórmula'!I118+'Fórmula'!K118))*(INDEX(properties!A$1:CB$87,'Fórmula'!B118,3))+(('Fórmula'!E118)/('Fórmula'!C118+'Fórmula'!E118+'Fórmula'!G118+'Fórmula'!I118+'Fórmula'!K118))*(INDEX(properties!A$1:CB$87,'Fórmula'!D118,3))+(('Fórmula'!G118)/('Fórmula'!C118+'Fórmula'!E118+'Fórmula'!G118+'Fórmula'!I118+'Fórmula'!K118))*(INDEX(properties!A$1:CB$87,'Fórmula'!F118,3))+(('Fórmula'!I118)/('Fórmula'!C118+'Fórmula'!E118+'Fórmula'!G118+'Fórmula'!I118+'Fórmula'!K118))*(INDEX(properties!A$1:CB$87,'Fórmula'!H118,3))+(('Fórmula'!K118)/('Fórmula'!C118+'Fórmula'!E118+'Fórmula'!G118+'Fórmula'!I118+'Fórmula'!K118))*(INDEX(properties!A$1:CB$87,'Fórmula'!J118,3))</f>
        <v>26.08179097</v>
      </c>
      <c r="C118" s="101">
        <f t="array" ref="C118">'Fórmula'!C118*(INDEX(properties!A$1:CB$87,'Fórmula'!B118,3))+'Fórmula'!E118*(INDEX(properties!A$1:CB$87,'Fórmula'!D118,3))+'Fórmula'!G118*(INDEX(properties!A$1:CB$87,'Fórmula'!F118,3))+'Fórmula'!I118*(INDEX(properties!A$1:CB$87,'Fórmula'!H118,3))+'Fórmula'!K118*(INDEX(properties!A$1:CB$87,'Fórmula'!J118,3))</f>
        <v>808.53552</v>
      </c>
      <c r="D118" s="101">
        <f t="array" ref="D118">VARP(IF(INDEX(properties!A$1:CB$87,'Fórmula'!B118,3)&lt;&gt;"",INDEX(properties!A$1:CB$87,'Fórmula'!B118,3)),IF(INDEX(properties!A$1:CB$87,'Fórmula'!D118,3)&lt;&gt;"",INDEX(properties!A$1:CB$87,'Fórmula'!D118,3)),IF(INDEX(properties!A$1:CB$87,'Fórmula'!F118,3)&lt;&gt;"",INDEX(properties!A$1:CB$87,'Fórmula'!F118,3)),IF(INDEX(properties!A$1:CB$87,'Fórmula'!H118,3)&lt;&gt;"",INDEX(properties!A$1:CB$87,'Fórmula'!H118,3)),IF(INDEX(properties!A$1:CB$87,'Fórmula'!J118,3)&lt;&gt;"",INDEX(properties!A$1:CB$87,'Fórmula'!J118,3)))</f>
        <v>940.8206065</v>
      </c>
      <c r="E118" s="101">
        <f t="array" ref="E118">MAX(INDEX(properties!A$1:CB$87,'Fórmula'!B118,3),INDEX(properties!A$1:CB$87,'Fórmula'!D118,3),INDEX(properties!A$1:CB$87,'Fórmula'!F118,3),INDEX(properties!A$1:CB$87,'Fórmula'!H118,3),INDEX(properties!A$1:CB$87,'Fórmula'!J118,3))</f>
        <v>88.90584</v>
      </c>
      <c r="F118" s="101">
        <f t="array" ref="F118">MIN(IF(INDEX(properties!A$1:CB$87,'Fórmula'!B118,3)=0,10^6,INDEX(properties!A$1:CB$87,'Fórmula'!B118,3)),IF(INDEX(properties!A$1:CB$87,'Fórmula'!D118,3)=0,10^6,INDEX(properties!A$1:CB$87,'Fórmula'!D118,3)),IF(INDEX(properties!A$1:CB$87,'Fórmula'!F118,3)=0,10^6,INDEX(properties!A$1:CB$87,'Fórmula'!F118,3)),IF(INDEX(properties!A$1:CB$87,'Fórmula'!H118,3)=0,10^6,INDEX(properties!A$1:CB$87,'Fórmula'!H118,3)),IF(INDEX(properties!A$1:CB$87,'Fórmula'!J118,3)=0,10^6,INDEX(properties!A$1:CB$87,'Fórmula'!J118,3)))</f>
        <v>6.941</v>
      </c>
      <c r="G118" s="101">
        <f t="shared" si="1"/>
        <v>81.96484</v>
      </c>
      <c r="H118" s="102">
        <f t="array" ref="H118">(('Fórmula'!C118)/('Fórmula'!C118+'Fórmula'!E118+'Fórmula'!G118+'Fórmula'!I118+'Fórmula'!K118))*(INDEX(properties!A$1:CB$87,'Fórmula'!B118,4))+(('Fórmula'!E118)/('Fórmula'!C118+'Fórmula'!E118+'Fórmula'!G118+'Fórmula'!I118+'Fórmula'!K118))*(INDEX(properties!A$1:CB$87,'Fórmula'!D118,4))+(('Fórmula'!G118)/('Fórmula'!C118+'Fórmula'!E118+'Fórmula'!G118+'Fórmula'!I118+'Fórmula'!K118))*(INDEX(properties!A$1:CB$87,'Fórmula'!F118,4))+(('Fórmula'!I118)/('Fórmula'!C118+'Fórmula'!E118+'Fórmula'!G118+'Fórmula'!I118+'Fórmula'!K118))*(INDEX(properties!A$1:CB$87,'Fórmula'!H118,4))+(('Fórmula'!K118)/('Fórmula'!C118+'Fórmula'!E118+'Fórmula'!G118+'Fórmula'!I118+'Fórmula'!K118))*(INDEX(properties!A$1:CB$87,'Fórmula'!J118,4))</f>
        <v>12.06451613</v>
      </c>
      <c r="I118" s="102">
        <f t="array" ref="I118">'Fórmula'!C118*(INDEX(properties!A$1:CB$87,'Fórmula'!B118,4))+'Fórmula'!E118*(INDEX(properties!A$1:CB$87,'Fórmula'!D118,4))+'Fórmula'!G118*(INDEX(properties!A$1:CB$87,'Fórmula'!F118,4))+'Fórmula'!I118*(INDEX(properties!A$1:CB$87,'Fórmula'!H118,4))+'Fórmula'!K118*(INDEX(properties!A$1:CB$87,'Fórmula'!J118,4))</f>
        <v>374</v>
      </c>
      <c r="J118" s="102">
        <f t="array" ref="J118">VARP(IF(INDEX(properties!A$1:CB$87,'Fórmula'!B118,4)&lt;&gt;"",INDEX(properties!A$1:CB$87,'Fórmula'!B118,4)),IF(INDEX(properties!A$1:CB$87,'Fórmula'!D118,4)&lt;&gt;"",INDEX(properties!A$1:CB$87,'Fórmula'!D118,4)),IF(INDEX(properties!A$1:CB$87,'Fórmula'!F118,4)&lt;&gt;"",INDEX(properties!A$1:CB$87,'Fórmula'!F118,4)),IF(INDEX(properties!A$1:CB$87,'Fórmula'!H118,4)&lt;&gt;"",INDEX(properties!A$1:CB$87,'Fórmula'!H118,4)),IF(INDEX(properties!A$1:CB$87,'Fórmula'!J118,4)&lt;&gt;"",INDEX(properties!A$1:CB$87,'Fórmula'!J118,4)))</f>
        <v>181.76</v>
      </c>
      <c r="K118" s="102">
        <f t="array" ref="K118">MAX(INDEX(properties!A$1:CB$87,'Fórmula'!B118,4),INDEX(properties!A$1:CB$87,'Fórmula'!D118,4),INDEX(properties!A$1:CB$87,'Fórmula'!F118,4),INDEX(properties!A$1:CB$87,'Fórmula'!H118,4),INDEX(properties!A$1:CB$87,'Fórmula'!J118,4))</f>
        <v>39</v>
      </c>
      <c r="L118" s="102">
        <f t="array" ref="L118">MIN(IF(INDEX(properties!A$1:CB$87,'Fórmula'!B118,4)=0,10^6,INDEX(properties!A$1:CB$87,'Fórmula'!B118,4)),IF(INDEX(properties!A$1:CB$87,'Fórmula'!D118,4)=0,10^6,INDEX(properties!A$1:CB$87,'Fórmula'!D118,4)),IF(INDEX(properties!A$1:CB$87,'Fórmula'!F118,4)=0,10^6,INDEX(properties!A$1:CB$87,'Fórmula'!F118,4)),IF(INDEX(properties!A$1:CB$87,'Fórmula'!H118,4)=0,10^6,INDEX(properties!A$1:CB$87,'Fórmula'!H118,4)),IF(INDEX(properties!A$1:CB$87,'Fórmula'!J118,4)=0,10^6,INDEX(properties!A$1:CB$87,'Fórmula'!J118,4)))</f>
        <v>3</v>
      </c>
      <c r="M118" s="102">
        <f t="shared" si="2"/>
        <v>36</v>
      </c>
      <c r="N118" s="103">
        <f t="array" ref="N118">(('Fórmula'!C118)/('Fórmula'!C118+'Fórmula'!E118+'Fórmula'!G118+'Fórmula'!I118+'Fórmula'!K118))*(INDEX(properties!A$1:CB$87,'Fórmula'!B118,5))+(('Fórmula'!E118)/('Fórmula'!C118+'Fórmula'!E118+'Fórmula'!G118+'Fórmula'!I118+'Fórmula'!K118))*(INDEX(properties!A$1:CB$87,'Fórmula'!D118,5))+(('Fórmula'!G118)/('Fórmula'!C118+'Fórmula'!E118+'Fórmula'!G118+'Fórmula'!I118+'Fórmula'!K118))*(INDEX(properties!A$1:CB$87,'Fórmula'!F118,5))+(('Fórmula'!I118)/('Fórmula'!C118+'Fórmula'!E118+'Fórmula'!G118+'Fórmula'!I118+'Fórmula'!K118))*(INDEX(properties!A$1:CB$87,'Fórmula'!H118,5))+(('Fórmula'!K118)/('Fórmula'!C118+'Fórmula'!E118+'Fórmula'!G118+'Fórmula'!I118+'Fórmula'!K118))*(INDEX(properties!A$1:CB$87,'Fórmula'!J118,5))</f>
        <v>2.548387097</v>
      </c>
      <c r="O118" s="103">
        <f t="array" ref="O118">'Fórmula'!C118*(INDEX(properties!A$1:CB$87,'Fórmula'!B118,5))+'Fórmula'!E118*(INDEX(properties!A$1:CB$87,'Fórmula'!D118,5))+'Fórmula'!G118*(INDEX(properties!A$1:CB$87,'Fórmula'!F118,5))+'Fórmula'!I118*(INDEX(properties!A$1:CB$87,'Fórmula'!H118,5))+'Fórmula'!K118*(INDEX(properties!A$1:CB$87,'Fórmula'!J118,5))</f>
        <v>79</v>
      </c>
      <c r="P118" s="103">
        <f t="array" ref="P118">VARP(IF(INDEX(properties!A$1:CB$87,'Fórmula'!B118,5)&lt;&gt;"",INDEX(properties!A$1:CB$87,'Fórmula'!B118,5)),IF(INDEX(properties!A$1:CB$87,'Fórmula'!D118,5)&lt;&gt;"",INDEX(properties!A$1:CB$87,'Fórmula'!D118,5)),IF(INDEX(properties!A$1:CB$87,'Fórmula'!F118,5)&lt;&gt;"",INDEX(properties!A$1:CB$87,'Fórmula'!F118,5)),IF(INDEX(properties!A$1:CB$87,'Fórmula'!H118,5)&lt;&gt;"",INDEX(properties!A$1:CB$87,'Fórmula'!H118,5)),IF(INDEX(properties!A$1:CB$87,'Fórmula'!J118,5)&lt;&gt;"",INDEX(properties!A$1:CB$87,'Fórmula'!J118,5)))</f>
        <v>1.6</v>
      </c>
      <c r="Q118" s="103">
        <f t="array" ref="Q118">MAX(INDEX(properties!A$1:CB$87,'Fórmula'!B118,5),INDEX(properties!A$1:CB$87,'Fórmula'!D118,5),INDEX(properties!A$1:CB$87,'Fórmula'!F118,5),INDEX(properties!A$1:CB$87,'Fórmula'!H118,5),INDEX(properties!A$1:CB$87,'Fórmula'!J118,5))</f>
        <v>5</v>
      </c>
      <c r="R118" s="103">
        <f t="array" ref="R118">MIN(IF(INDEX(properties!A$1:CB$87,'Fórmula'!B118,5)=0,10^6,INDEX(properties!A$1:CB$87,'Fórmula'!B118,5)),IF(INDEX(properties!A$1:CB$87,'Fórmula'!D118,5)=0,10^6,INDEX(properties!A$1:CB$87,'Fórmula'!D118,5)),IF(INDEX(properties!A$1:CB$87,'Fórmula'!F118,5)=0,10^6,INDEX(properties!A$1:CB$87,'Fórmula'!F118,5)),IF(INDEX(properties!A$1:CB$87,'Fórmula'!H118,5)=0,10^6,INDEX(properties!A$1:CB$87,'Fórmula'!H118,5)),IF(INDEX(properties!A$1:CB$87,'Fórmula'!J118,5)=0,10^6,INDEX(properties!A$1:CB$87,'Fórmula'!J118,5)))</f>
        <v>2</v>
      </c>
      <c r="S118" s="103">
        <f t="shared" si="3"/>
        <v>3</v>
      </c>
      <c r="T118" s="104">
        <f t="array" ref="T118">(('Fórmula'!C118)/('Fórmula'!C118+'Fórmula'!E118+'Fórmula'!G118+'Fórmula'!I118+'Fórmula'!K118))*(INDEX(properties!A$1:CB$87,'Fórmula'!B118,6))+(('Fórmula'!E118)/('Fórmula'!C118+'Fórmula'!E118+'Fórmula'!G118+'Fórmula'!I118+'Fórmula'!K118))*(INDEX(properties!A$1:CB$87,'Fórmula'!D118,6))+(('Fórmula'!G118)/('Fórmula'!C118+'Fórmula'!E118+'Fórmula'!G118+'Fórmula'!I118+'Fórmula'!K118))*(INDEX(properties!A$1:CB$87,'Fórmula'!F118,6))+(('Fórmula'!I118)/('Fórmula'!C118+'Fórmula'!E118+'Fórmula'!G118+'Fórmula'!I118+'Fórmula'!K118))*(INDEX(properties!A$1:CB$87,'Fórmula'!H118,6))+(('Fórmula'!K118)/('Fórmula'!C118+'Fórmula'!E118+'Fórmula'!G118+'Fórmula'!I118+'Fórmula'!K118))*(INDEX(properties!A$1:CB$87,'Fórmula'!J118,6))</f>
        <v>11.80645161</v>
      </c>
      <c r="U118" s="104">
        <f t="array" ref="U118">'Fórmula'!C118*(INDEX(properties!A$1:CB$87,'Fórmula'!B118,6))+'Fórmula'!E118*(INDEX(properties!A$1:CB$87,'Fórmula'!D118,6))+'Fórmula'!G118*(INDEX(properties!A$1:CB$87,'Fórmula'!F118,6))+'Fórmula'!I118*(INDEX(properties!A$1:CB$87,'Fórmula'!H118,6))+'Fórmula'!K118*(INDEX(properties!A$1:CB$87,'Fórmula'!J118,6))</f>
        <v>366</v>
      </c>
      <c r="V118" s="103">
        <f t="array" ref="V118">VARP(IF(INDEX(properties!A$1:CB$87,'Fórmula'!B118,6)&lt;&gt;"",INDEX(properties!A$1:CB$87,'Fórmula'!B118,6)),IF(INDEX(properties!A$1:CB$87,'Fórmula'!D118,6)&lt;&gt;"",INDEX(properties!A$1:CB$87,'Fórmula'!D118,6)),IF(INDEX(properties!A$1:CB$87,'Fórmula'!F118,6)&lt;&gt;"",INDEX(properties!A$1:CB$87,'Fórmula'!F118,6)),IF(INDEX(properties!A$1:CB$87,'Fórmula'!H118,6)&lt;&gt;"",INDEX(properties!A$1:CB$87,'Fórmula'!H118,6)),IF(INDEX(properties!A$1:CB$87,'Fórmula'!J118,6)&lt;&gt;"",INDEX(properties!A$1:CB$87,'Fórmula'!J118,6)))</f>
        <v>35.36</v>
      </c>
      <c r="W118" s="104">
        <f t="array" ref="W118">MAX(INDEX(properties!A$1:CB$87,'Fórmula'!B118,6),INDEX(properties!A$1:CB$87,'Fórmula'!D118,6),INDEX(properties!A$1:CB$87,'Fórmula'!F118,6),INDEX(properties!A$1:CB$87,'Fórmula'!H118,4),INDEX(properties!A$1:CB$87,'Fórmula'!J118,6))</f>
        <v>15</v>
      </c>
      <c r="X118" s="104">
        <f t="array" ref="X118">MIN(IF(INDEX(properties!A$1:CB$87,'Fórmula'!B118,6)=0,10^6,INDEX(properties!A$1:CB$87,'Fórmula'!B118,6)),IF(INDEX(properties!A$1:CB$87,'Fórmula'!D118,6)=0,10^6,INDEX(properties!A$1:CB$87,'Fórmula'!D118,6)),IF(INDEX(properties!A$1:CB$87,'Fórmula'!F118,6)=0,10^6,INDEX(properties!A$1:CB$87,'Fórmula'!F118,6)),IF(INDEX(properties!A$1:CB$87,'Fórmula'!H118,6)=0,10^6,INDEX(properties!A$1:CB$87,'Fórmula'!H118,6)),IF(INDEX(properties!A$1:CB$87,'Fórmula'!J118,6)=0,10^6,INDEX(properties!A$1:CB$87,'Fórmula'!J118,6)))</f>
        <v>1</v>
      </c>
      <c r="Y118" s="104">
        <f t="shared" si="4"/>
        <v>14</v>
      </c>
      <c r="Z118" s="105">
        <f t="array" ref="Z118">(('Fórmula'!C118)/('Fórmula'!C118+'Fórmula'!E118+'Fórmula'!G118+'Fórmula'!I118+'Fórmula'!K118))*(INDEX(properties!A$1:CB$87,'Fórmula'!B118,9))+(('Fórmula'!E118)/('Fórmula'!C118+'Fórmula'!E118+'Fórmula'!G118+'Fórmula'!I118+'Fórmula'!K118))*(INDEX(properties!A$1:CB$87,'Fórmula'!D118,9))+(('Fórmula'!G118)/('Fórmula'!C118+'Fórmula'!E118+'Fórmula'!G118+'Fórmula'!I118+'Fórmula'!K118))*(INDEX(properties!A$1:CB$87,'Fórmula'!F118,9))+(('Fórmula'!I118)/('Fórmula'!C118+'Fórmula'!E118+'Fórmula'!G118+'Fórmula'!I118+'Fórmula'!K118))*(INDEX(properties!A$1:CB$87,'Fórmula'!H118,9))+(('Fórmula'!K118)/('Fórmula'!C118+'Fórmula'!E118+'Fórmula'!G118+'Fórmula'!I118+'Fórmula'!K118))*(INDEX(properties!A$1:CB$87,'Fórmula'!J118,9))</f>
        <v>63.74193548</v>
      </c>
      <c r="AA118" s="105">
        <f t="array" ref="AA118">'Fórmula'!C118*(INDEX(properties!A$1:CB$87,'Fórmula'!B118,9))+'Fórmula'!E118*(INDEX(properties!A$1:CB$87,'Fórmula'!D118,9))+'Fórmula'!G118*(INDEX(properties!A$1:CB$87,'Fórmula'!F118,9))+'Fórmula'!I118*(INDEX(properties!A$1:CB$87,'Fórmula'!H118,9))+'Fórmula'!K118*(INDEX(properties!A$1:CB$87,'Fórmula'!J118,9))</f>
        <v>1976</v>
      </c>
      <c r="AB118" s="105">
        <f t="array" ref="AB118">VARP(IF(INDEX(properties!A$1:CB$87,'Fórmula'!B118,9)&lt;&gt;"",INDEX(properties!A$1:CB$87,'Fórmula'!B118,9)),IF(INDEX(properties!A$1:CB$87,'Fórmula'!D118,9)&lt;&gt;"",INDEX(properties!A$1:CB$87,'Fórmula'!D118,9)),IF(INDEX(properties!A$1:CB$87,'Fórmula'!F118,9)&lt;&gt;"",INDEX(properties!A$1:CB$87,'Fórmula'!F118,9)),IF(INDEX(properties!A$1:CB$87,'Fórmula'!H118,9)&lt;&gt;"",INDEX(properties!A$1:CB$87,'Fórmula'!H118,9)),IF(INDEX(properties!A$1:CB$87,'Fórmula'!J118,9)&lt;&gt;"",INDEX(properties!A$1:CB$87,'Fórmula'!J118,9)))</f>
        <v>1209.36</v>
      </c>
      <c r="AC118" s="105">
        <f t="array" ref="AC118">MAX(INDEX(properties!A$1:CB$87,'Fórmula'!B118,9),INDEX(properties!A$1:CB$87,'Fórmula'!D118,9),INDEX(properties!A$1:CB$87,'Fórmula'!F118,9),INDEX(properties!A$1:CB$87,'Fórmula'!H118,9),INDEX(properties!A$1:CB$87,'Fórmula'!J118,9))</f>
        <v>82</v>
      </c>
      <c r="AD118" s="105">
        <f t="array" ref="AD118">MIN(IF(INDEX(properties!A$1:CB$87,'Fórmula'!B118,9)=0,10^6,INDEX(properties!A$1:CB$87,'Fórmula'!B118,9)),IF(INDEX(properties!A$1:CB$87,'Fórmula'!D118,9)=0,10^6,INDEX(properties!A$1:CB$87,'Fórmula'!D118,9)),IF(INDEX(properties!A$1:CB$87,'Fórmula'!F118,9)=0,10^6,INDEX(properties!A$1:CB$87,'Fórmula'!F118,9)),IF(INDEX(properties!A$1:CB$87,'Fórmula'!H118,9)=0,10^6,INDEX(properties!A$1:CB$87,'Fórmula'!H118,9)),IF(INDEX(properties!A$1:CB$87,'Fórmula'!J118,9)=0,10^6,INDEX(properties!A$1:CB$87,'Fórmula'!J118,9)))</f>
        <v>1</v>
      </c>
      <c r="AE118" s="105">
        <f t="shared" si="5"/>
        <v>81</v>
      </c>
      <c r="AF118" s="106">
        <f t="array" ref="AF118">(('Fórmula'!C118)/('Fórmula'!C118+'Fórmula'!E118+'Fórmula'!G118+'Fórmula'!I118+'Fórmula'!K118))*(INDEX(properties!A$1:CB$87,'Fórmula'!B118,10))+(('Fórmula'!E118)/('Fórmula'!C118+'Fórmula'!E118+'Fórmula'!G118+'Fórmula'!I118+'Fórmula'!K118))*(INDEX(properties!A$1:CB$87,'Fórmula'!D118,10))+(('Fórmula'!G118)/('Fórmula'!C118+'Fórmula'!E118+'Fórmula'!G118+'Fórmula'!I118+'Fórmula'!K118))*(INDEX(properties!A$1:CB$87,'Fórmula'!F118,10))+(('Fórmula'!I118)/('Fórmula'!C118+'Fórmula'!E118+'Fórmula'!G118+'Fórmula'!I118+'Fórmula'!K118))*(INDEX(properties!A$1:CB$87,'Fórmula'!H118,10))+(('Fórmula'!K118)/('Fórmula'!C118+'Fórmula'!E118+'Fórmula'!G118+'Fórmula'!I118+'Fórmula'!K118))*(INDEX(properties!A$1:CB$87,'Fórmula'!J118,10))</f>
        <v>5.806451613</v>
      </c>
      <c r="AG118" s="106">
        <f t="array" ref="AG118">'Fórmula'!C118*(INDEX(properties!A$1:CB$87,'Fórmula'!B118,10))+'Fórmula'!E118*(INDEX(properties!A$1:CB$87,'Fórmula'!D118,10))+'Fórmula'!G118*(INDEX(properties!A$1:CB$87,'Fórmula'!F118,10))+'Fórmula'!I118*(INDEX(properties!A$1:CB$87,'Fórmula'!H118,10))+'Fórmula'!K118*(INDEX(properties!A$1:CB$87,'Fórmula'!J118,10))</f>
        <v>180</v>
      </c>
      <c r="AH118" s="106">
        <f t="array" ref="AH118">VARP(IF(INDEX(properties!A$1:CB$87,'Fórmula'!B118,10)&lt;&gt;"",INDEX(properties!A$1:CB$87,'Fórmula'!B118,10)),IF(INDEX(properties!A$1:CB$87,'Fórmula'!D118,10)&lt;&gt;"",INDEX(properties!A$1:CB$87,'Fórmula'!D118,10)),IF(INDEX(properties!A$1:CB$87,'Fórmula'!F118,10)&lt;&gt;"",INDEX(properties!A$1:CB$87,'Fórmula'!F118,10)),IF(INDEX(properties!A$1:CB$87,'Fórmula'!H118,10)&lt;&gt;"",INDEX(properties!A$1:CB$87,'Fórmula'!H118,10)),IF(INDEX(properties!A$1:CB$87,'Fórmula'!J118,10)&lt;&gt;"",INDEX(properties!A$1:CB$87,'Fórmula'!J118,10)))</f>
        <v>5.36</v>
      </c>
      <c r="AI118" s="106">
        <f t="array" ref="AI118">MAX(INDEX(properties!A$1:CB$87,'Fórmula'!B118,10),INDEX(properties!A$1:CB$87,'Fórmula'!D118,10),INDEX(properties!A$1:CB$87,'Fórmula'!F118,10),INDEX(properties!A$1:CB$87,'Fórmula'!H118,10),INDEX(properties!A$1:CB$87,'Fórmula'!J118,10))</f>
        <v>7</v>
      </c>
      <c r="AJ118" s="106">
        <f t="array" ref="AJ118">MIN(IF(INDEX(properties!A$1:CB$87,'Fórmula'!B118,10)=0,10^6,INDEX(properties!A$1:CB$87,'Fórmula'!B118,10)),IF(INDEX(properties!A$1:CB$87,'Fórmula'!D118,10)=0,10^6,INDEX(properties!A$1:CB$87,'Fórmula'!D118,10)),IF(INDEX(properties!A$1:CB$87,'Fórmula'!F118,10)=0,10^6,INDEX(properties!A$1:CB$87,'Fórmula'!F118,10)),IF(INDEX(properties!A$1:CB$87,'Fórmula'!H118,10)=0,10^6,INDEX(properties!A$1:CB$87,'Fórmula'!H118,10)),IF(INDEX(properties!A$1:CB$87,'Fórmula'!J118,10)=0,10^6,INDEX(properties!A$1:CB$87,'Fórmula'!J118,10)))</f>
        <v>1</v>
      </c>
      <c r="AK118" s="106">
        <f t="shared" si="6"/>
        <v>6</v>
      </c>
      <c r="AL118" s="107">
        <f t="array" ref="AL118">(('Fórmula'!C118)/('Fórmula'!C118+'Fórmula'!E118+'Fórmula'!G118+'Fórmula'!I118+'Fórmula'!K118))*(INDEX(properties!A$1:CB$87,'Fórmula'!B118,11))+(('Fórmula'!E118)/('Fórmula'!C118+'Fórmula'!E118+'Fórmula'!G118+'Fórmula'!I118+'Fórmula'!K118))*(INDEX(properties!A$1:CB$87,'Fórmula'!D118,11))+(('Fórmula'!G118)/('Fórmula'!C118+'Fórmula'!E118+'Fórmula'!G118+'Fórmula'!I118+'Fórmula'!K118))*(INDEX(properties!A$1:CB$87,'Fórmula'!F118,11))+(('Fórmula'!I118)/('Fórmula'!C118+'Fórmula'!E118+'Fórmula'!G118+'Fórmula'!I118+'Fórmula'!K118))*(INDEX(properties!A$1:CB$87,'Fórmula'!H118,11))+(('Fórmula'!K118)/('Fórmula'!C118+'Fórmula'!E118+'Fórmula'!G118+'Fórmula'!I118+'Fórmula'!K118))*(INDEX(properties!A$1:CB$87,'Fórmula'!J118,11))</f>
        <v>1.967741935</v>
      </c>
      <c r="AM118" s="107">
        <f t="array" ref="AM118">'Fórmula'!C118*(INDEX(properties!A$1:CB$87,'Fórmula'!B118,11))+'Fórmula'!E118*(INDEX(properties!A$1:CB$87,'Fórmula'!D118,11))+'Fórmula'!G118*(INDEX(properties!A$1:CB$87,'Fórmula'!F118,11))+'Fórmula'!I118*(INDEX(properties!A$1:CB$87,'Fórmula'!H118,11))+'Fórmula'!K118*(INDEX(properties!A$1:CB$87,'Fórmula'!J118,11))</f>
        <v>61</v>
      </c>
      <c r="AN118" s="107">
        <f t="array" ref="AN118">VARP(IF(INDEX(properties!A$1:CB$87,'Fórmula'!B118,11)&lt;&gt;"",INDEX(properties!A$1:CB$87,'Fórmula'!B118,11)),IF(INDEX(properties!A$1:CB$87,'Fórmula'!D118,11)&lt;&gt;"",INDEX(properties!A$1:CB$87,'Fórmula'!D118,11)),IF(INDEX(properties!A$1:CB$87,'Fórmula'!F118,11)&lt;&gt;"",INDEX(properties!A$1:CB$87,'Fórmula'!F118,11)),IF(INDEX(properties!A$1:CB$87,'Fórmula'!H118,11)&lt;&gt;"",INDEX(properties!A$1:CB$87,'Fórmula'!H118,11)),IF(INDEX(properties!A$1:CB$87,'Fórmula'!J118,11)&lt;&gt;"",INDEX(properties!A$1:CB$87,'Fórmula'!J118,11)))</f>
        <v>0.16</v>
      </c>
      <c r="AO118" s="107">
        <f t="array" ref="AO118">MAX(INDEX(properties!A$1:CB$87,'Fórmula'!B118,11),INDEX(properties!A$1:CB$87,'Fórmula'!D118,11),INDEX(properties!A$1:CB$87,'Fórmula'!F118,11),INDEX(properties!A$1:CB$87,'Fórmula'!H118,11),INDEX(properties!A$1:CB$87,'Fórmula'!J118,11))</f>
        <v>2</v>
      </c>
      <c r="AP118" s="107">
        <f t="array" ref="AP118">MIN(IF('Fórmula'!B118=87,10^6,INDEX(properties!A$1:CB$87,'Fórmula'!B118,11)),IF(('Fórmula'!D118)=87,10^6,INDEX(properties!A$1:CB$87,'Fórmula'!D118,11)),IF(('Fórmula'!F118)=87,10^6,INDEX(properties!A$1:CB$87,'Fórmula'!F118,11)),IF(('Fórmula'!H118)=87,10^6,INDEX(properties!A$1:CB$87,'Fórmula'!H118,11)),IF('Fórmula'!J118=87,10^6,INDEX(properties!A$1:CB$87,'Fórmula'!J118,11)))</f>
        <v>1</v>
      </c>
      <c r="AQ118" s="107">
        <f t="shared" si="7"/>
        <v>1</v>
      </c>
      <c r="AR118" s="108">
        <f t="array" ref="AR118">(('Fórmula'!C118)/('Fórmula'!C118+'Fórmula'!E118+'Fórmula'!G118+'Fórmula'!I118+'Fórmula'!K118))*(INDEX(properties!A$1:CB$87,'Fórmula'!B118,12))+(('Fórmula'!E118)/('Fórmula'!C118+'Fórmula'!E118+'Fórmula'!G118+'Fórmula'!I118+'Fórmula'!K118))*(INDEX(properties!A$1:CB$87,'Fórmula'!D118,12))+(('Fórmula'!G118)/('Fórmula'!C118+'Fórmula'!E118+'Fórmula'!G118+'Fórmula'!I118+'Fórmula'!K118))*(INDEX(properties!A$1:CB$87,'Fórmula'!F118,12))+(('Fórmula'!I118)/('Fórmula'!C118+'Fórmula'!E118+'Fórmula'!G118+'Fórmula'!I118+'Fórmula'!K118))*(INDEX(properties!A$1:CB$87,'Fórmula'!H118,12))+(('Fórmula'!K118)/('Fórmula'!C118+'Fórmula'!E118+'Fórmula'!G118+'Fórmula'!I118+'Fórmula'!K118))*(INDEX(properties!A$1:CB$87,'Fórmula'!J118,12))</f>
        <v>1.935483871</v>
      </c>
      <c r="AS118" s="108">
        <f t="array" ref="AS118">'Fórmula'!C118*(INDEX(properties!A$1:CB$87,'Fórmula'!B118,12))+'Fórmula'!E118*(INDEX(properties!A$1:CB$87,'Fórmula'!D118,12))+'Fórmula'!G118*(INDEX(properties!A$1:CB$87,'Fórmula'!F118,12))+'Fórmula'!I118*(INDEX(properties!A$1:CB$87,'Fórmula'!H118,12))+'Fórmula'!K118*(INDEX(properties!A$1:CB$87,'Fórmula'!J118,12))</f>
        <v>60</v>
      </c>
      <c r="AT118" s="108">
        <f t="array" ref="AT118">VARP(IF(INDEX(properties!A$1:CB$87,'Fórmula'!B118,12)&lt;&gt;"",INDEX(properties!A$1:CB$87,'Fórmula'!B118,12)),IF(INDEX(properties!A$1:CB$87,'Fórmula'!D118,12)&lt;&gt;"",INDEX(properties!A$1:CB$87,'Fórmula'!D118,12)),IF(INDEX(properties!A$1:CB$87,'Fórmula'!F118,12)&lt;&gt;"",INDEX(properties!A$1:CB$87,'Fórmula'!F118,12)),IF(INDEX(properties!A$1:CB$87,'Fórmula'!H118,12)&lt;&gt;"",INDEX(properties!A$1:CB$87,'Fórmula'!H118,12)),IF(INDEX(properties!A$1:CB$87,'Fórmula'!J118,12)&lt;&gt;"",INDEX(properties!A$1:CB$87,'Fórmula'!J118,12)))</f>
        <v>1.36</v>
      </c>
      <c r="AU118" s="108">
        <f t="array" ref="AU118">MAX(INDEX(properties!A$1:CB$87,'Fórmula'!B118,12),INDEX(properties!A$1:CB$87,'Fórmula'!D118,12),INDEX(properties!A$1:CB$87,'Fórmula'!F118,12),INDEX(properties!A$1:CB$87,'Fórmula'!H118,12),INDEX(properties!A$1:CB$87,'Fórmula'!J118,12))</f>
        <v>3</v>
      </c>
      <c r="AV118" s="108">
        <f t="array" ref="AV118">MIN(IF('Fórmula'!B118=87,10^6,INDEX(properties!A$1:CB$87,'Fórmula'!B118,12)),IF(('Fórmula'!D118)=87,10^6,INDEX(properties!A$1:CB$87,'Fórmula'!D118,12)),IF(('Fórmula'!F118)=87,10^6,INDEX(properties!A$1:CB$87,'Fórmula'!F118,12)),IF(('Fórmula'!H118)=87,10^6,INDEX(properties!A$1:CB$87,'Fórmula'!H118,12)),IF('Fórmula'!J118=87,10^6,INDEX(properties!A$1:CB$87,'Fórmula'!J118,12)))</f>
        <v>0</v>
      </c>
      <c r="AW118" s="108">
        <f t="shared" si="8"/>
        <v>3</v>
      </c>
      <c r="AX118" s="109">
        <f t="array" ref="AX118">(('Fórmula'!C118)/('Fórmula'!C118+'Fórmula'!E118+'Fórmula'!G118+'Fórmula'!I118+'Fórmula'!K118))*(INDEX(properties!A$1:CB$87,'Fórmula'!B118,13))+(('Fórmula'!E118)/('Fórmula'!C118+'Fórmula'!E118+'Fórmula'!G118+'Fórmula'!I118+'Fórmula'!K118))*(INDEX(properties!A$1:CB$87,'Fórmula'!D118,13))+(('Fórmula'!G118)/('Fórmula'!C118+'Fórmula'!E118+'Fórmula'!G118+'Fórmula'!I118+'Fórmula'!K118))*(INDEX(properties!A$1:CB$87,'Fórmula'!F118,13))+(('Fórmula'!I118)/('Fórmula'!C118+'Fórmula'!E118+'Fórmula'!G118+'Fórmula'!I118+'Fórmula'!K118))*(INDEX(properties!A$1:CB$87,'Fórmula'!H118,13))+(('Fórmula'!K118)/('Fórmula'!C118+'Fórmula'!E118+'Fórmula'!G118+'Fórmula'!I118+'Fórmula'!K118))*(INDEX(properties!A$1:CB$87,'Fórmula'!J118,13))</f>
        <v>0.1612903226</v>
      </c>
      <c r="AY118" s="109">
        <f t="array" ref="AY118">'Fórmula'!C118*(INDEX(properties!A$1:CB$87,'Fórmula'!B118,13))+'Fórmula'!E118*(INDEX(properties!A$1:CB$87,'Fórmula'!D118,13))+'Fórmula'!G118*(INDEX(properties!A$1:CB$87,'Fórmula'!F118,13))+'Fórmula'!I118*(INDEX(properties!A$1:CB$87,'Fórmula'!H118,13))+'Fórmula'!K118*(INDEX(properties!A$1:CB$87,'Fórmula'!J118,13))</f>
        <v>5</v>
      </c>
      <c r="AZ118" s="109">
        <f t="array" ref="AZ118">VARP(IF(INDEX(properties!A$1:CB$87,'Fórmula'!B118,13)&lt;&gt;"",INDEX(properties!A$1:CB$87,'Fórmula'!B118,13)),IF(INDEX(properties!A$1:CB$87,'Fórmula'!D118,13)&lt;&gt;"",INDEX(properties!A$1:CB$87,'Fórmula'!D118,13)),IF(INDEX(properties!A$1:CB$87,'Fórmula'!F118,13)&lt;&gt;"",INDEX(properties!A$1:CB$87,'Fórmula'!F118,13)),IF(INDEX(properties!A$1:CB$87,'Fórmula'!H118,13)&lt;&gt;"",INDEX(properties!A$1:CB$87,'Fórmula'!H118,13)),IF(INDEX(properties!A$1:CB$87,'Fórmula'!J118,13)&lt;&gt;"",INDEX(properties!A$1:CB$87,'Fórmula'!J118,13)))</f>
        <v>0.16</v>
      </c>
      <c r="BA118" s="109">
        <f t="array" ref="BA118">MAX(INDEX(properties!A$1:CB$87,'Fórmula'!B118,13),INDEX(properties!A$1:CB$87,'Fórmula'!D118,13),INDEX(properties!A$1:CB$87,'Fórmula'!F118,13),INDEX(properties!A$1:CB$87,'Fórmula'!H118,13),INDEX(properties!A$1:CB$87,'Fórmula'!J118,13))</f>
        <v>1</v>
      </c>
      <c r="BB118" s="109">
        <f t="array" ref="BB118">MIN(IF('Fórmula'!B118=87,10^6,INDEX(properties!A$1:CB$87,'Fórmula'!B118,13)),IF(('Fórmula'!D118)=87,10^6,INDEX(properties!A$1:CB$87,'Fórmula'!D118,13)),IF(('Fórmula'!F118)=87,10^6,INDEX(properties!A$1:CB$87,'Fórmula'!F118,13)),IF(('Fórmula'!H118)=87,10^6,INDEX(properties!A$1:CB$87,'Fórmula'!H118,13)),IF('Fórmula'!J118=87,10^6,INDEX(properties!A$1:CB$87,'Fórmula'!J118,13)))</f>
        <v>0</v>
      </c>
      <c r="BC118" s="109">
        <f t="shared" si="9"/>
        <v>1</v>
      </c>
      <c r="BD118" s="110">
        <f t="array" ref="BD118">(('Fórmula'!C118)/('Fórmula'!C118+'Fórmula'!E118+'Fórmula'!G118+'Fórmula'!I118+'Fórmula'!K118))*(INDEX(properties!A$1:CB$87,'Fórmula'!B118,14))+(('Fórmula'!E118)/('Fórmula'!C118+'Fórmula'!E118+'Fórmula'!G118+'Fórmula'!I118+'Fórmula'!K118))*(INDEX(properties!A$1:CB$87,'Fórmula'!D118,14))+(('Fórmula'!G118)/('Fórmula'!C118+'Fórmula'!E118+'Fórmula'!G118+'Fórmula'!I118+'Fórmula'!K118))*(INDEX(properties!A$1:CB$87,'Fórmula'!F118,14))+(('Fórmula'!I118)/('Fórmula'!C118+'Fórmula'!E118+'Fórmula'!G118+'Fórmula'!I118+'Fórmula'!K118))*(INDEX(properties!A$1:CB$87,'Fórmula'!H118,14))+(('Fórmula'!K118)/('Fórmula'!C118+'Fórmula'!E118+'Fórmula'!G118+'Fórmula'!I118+'Fórmula'!K118))*(INDEX(properties!A$1:CB$87,'Fórmula'!J118,14))</f>
        <v>0</v>
      </c>
      <c r="BE118" s="110">
        <f t="array" ref="BE118">'Fórmula'!C118*(INDEX(properties!A$1:CB$87,'Fórmula'!B118,14))+'Fórmula'!E118*(INDEX(properties!A$1:CB$87,'Fórmula'!D118,14))+'Fórmula'!G118*(INDEX(properties!A$1:CB$87,'Fórmula'!F118,14))+'Fórmula'!I118*(INDEX(properties!A$1:CB$87,'Fórmula'!H118,14))+'Fórmula'!K118*(INDEX(properties!A$1:CB$87,'Fórmula'!J118,14))</f>
        <v>0</v>
      </c>
      <c r="BF118" s="110">
        <f t="array" ref="BF118">VARP(IF(INDEX(properties!A$1:CB$87,'Fórmula'!B118,14)&lt;&gt;"",INDEX(properties!A$1:CB$87,'Fórmula'!B118,14)),IF(INDEX(properties!A$1:CB$87,'Fórmula'!D118,14)&lt;&gt;"",INDEX(properties!A$1:CB$87,'Fórmula'!D118,14)),IF(INDEX(properties!A$1:CB$87,'Fórmula'!F118,14)&lt;&gt;"",INDEX(properties!A$1:CB$87,'Fórmula'!F118,14)),IF(INDEX(properties!A$1:CB$87,'Fórmula'!H118,14)&lt;&gt;"",INDEX(properties!A$1:CB$87,'Fórmula'!H118,14)),IF(INDEX(properties!A$1:CB$87,'Fórmula'!J118,14)&lt;&gt;"",INDEX(properties!A$1:CB$87,'Fórmula'!J118,14)))</f>
        <v>0</v>
      </c>
      <c r="BG118" s="110">
        <f t="array" ref="BG118">MAX(INDEX(properties!A$1:CB$87,'Fórmula'!B118,14),INDEX(properties!A$1:CB$87,'Fórmula'!D118,14),INDEX(properties!A$1:CB$87,'Fórmula'!F118,14),INDEX(properties!A$1:CB$87,'Fórmula'!H118,14),INDEX(properties!A$1:CB$87,'Fórmula'!J118,14))</f>
        <v>0</v>
      </c>
      <c r="BH118" s="110">
        <f t="array" ref="BH118">MIN(IF('Fórmula'!B118=87,10^6,INDEX(properties!A$1:CB$87,'Fórmula'!B118,14)),IF(('Fórmula'!D118)=87,10^6,INDEX(properties!A$1:CB$87,'Fórmula'!D118,14)),IF(('Fórmula'!F118)=87,10^6,INDEX(properties!A$1:CB$87,'Fórmula'!F118,14)),IF(('Fórmula'!H118)=87,10^6,INDEX(properties!A$1:CB$87,'Fórmula'!H118,14)),IF('Fórmula'!J118=87,10^6,INDEX(properties!A$1:CB$87,'Fórmula'!J118,14)))</f>
        <v>0</v>
      </c>
      <c r="BI118" s="110">
        <f t="shared" si="10"/>
        <v>0</v>
      </c>
      <c r="BJ118" s="111">
        <f t="array" ref="BJ118">(('Fórmula'!C118)/('Fórmula'!C118+'Fórmula'!E118+'Fórmula'!G118+'Fórmula'!I118+'Fórmula'!K118))*(INDEX(properties!A$1:CB$87,'Fórmula'!B118,19))+(('Fórmula'!E118)/('Fórmula'!C118+'Fórmula'!E118+'Fórmula'!G118+'Fórmula'!I118+'Fórmula'!K118))*(INDEX(properties!A$1:CB$87,'Fórmula'!D118,19))+(('Fórmula'!G118)/('Fórmula'!C118+'Fórmula'!E118+'Fórmula'!G118+'Fórmula'!I118+'Fórmula'!K118))*(INDEX(properties!A$1:CB$87,'Fórmula'!F118,19))+(('Fórmula'!I118)/('Fórmula'!C118+'Fórmula'!E118+'Fórmula'!G118+'Fórmula'!I118+'Fórmula'!K118))*(INDEX(properties!A$1:CB$87,'Fórmula'!H118,19))+(('Fórmula'!K118)/('Fórmula'!C118+'Fórmula'!E118+'Fórmula'!G118+'Fórmula'!I118+'Fórmula'!K118))*(INDEX(properties!A$1:CB$87,'Fórmula'!J118,19))</f>
        <v>4.064516129</v>
      </c>
      <c r="BK118" s="111">
        <f t="array" ref="BK118">'Fórmula'!C118*(INDEX(properties!A$1:CB$87,'Fórmula'!B118,19))+'Fórmula'!E118*(INDEX(properties!A$1:CB$87,'Fórmula'!D118,19))+'Fórmula'!G118*(INDEX(properties!A$1:CB$87,'Fórmula'!F118,19))+'Fórmula'!I118*(INDEX(properties!A$1:CB$87,'Fórmula'!H118,19))+'Fórmula'!K118*(INDEX(properties!A$1:CB$87,'Fórmula'!J118,19))</f>
        <v>126</v>
      </c>
      <c r="BL118" s="111">
        <f t="array" ref="BL118">VARP(IF(INDEX(properties!A$1:CB$87,'Fórmula'!B118,19)&lt;&gt;"",INDEX(properties!A$1:CB$87,'Fórmula'!B118,19)),IF(INDEX(properties!A$1:CB$87,'Fórmula'!D118,19)&lt;&gt;"",INDEX(properties!A$1:CB$87,'Fórmula'!D118,19)),IF(INDEX(properties!A$1:CB$87,'Fórmula'!F118,19)&lt;&gt;"",INDEX(properties!A$1:CB$87,'Fórmula'!F118,19)),IF(INDEX(properties!A$1:CB$87,'Fórmula'!H118,19)&lt;&gt;"",INDEX(properties!A$1:CB$87,'Fórmula'!H118,19)),IF(INDEX(properties!A$1:CB$87,'Fórmula'!J118,19)&lt;&gt;"",INDEX(properties!A$1:CB$87,'Fórmula'!J118,19)))</f>
        <v>1.76</v>
      </c>
      <c r="BM118" s="111">
        <f t="array" ref="BM118">MAX(INDEX(properties!A$1:CB$87,'Fórmula'!B118,19),INDEX(properties!A$1:CB$87,'Fórmula'!D118,19),INDEX(properties!A$1:CB$87,'Fórmula'!F118,19),INDEX(properties!A$1:CB$87,'Fórmula'!H118,19),INDEX(properties!A$1:CB$87,'Fórmula'!J118,19))</f>
        <v>5</v>
      </c>
      <c r="BN118" s="111">
        <f t="array" ref="BN118">MIN(IF(INDEX(properties!A$1:CB$87,'Fórmula'!B118,19)=0,10^6,INDEX(properties!A$1:CB$87,'Fórmula'!B118,19)),IF(INDEX(properties!A$1:CB$87,'Fórmula'!D118,19)=0,10^6,INDEX(properties!A$1:CB$87,'Fórmula'!D118,19)),IF(INDEX(properties!A$1:CB$87,'Fórmula'!F118,19)=0,10^6,INDEX(properties!A$1:CB$87,'Fórmula'!F118,19)),IF(INDEX(properties!A$1:CB$87,'Fórmula'!H118,19)=0,10^6,INDEX(properties!A$1:CB$87,'Fórmula'!H118,19)),IF(INDEX(properties!A$1:CB$87,'Fórmula'!J118,19)=0,10^6,INDEX(properties!A$1:CB$87,'Fórmula'!J118,19)))</f>
        <v>1</v>
      </c>
      <c r="BO118" s="111">
        <f t="shared" si="11"/>
        <v>4</v>
      </c>
      <c r="BP118" s="112">
        <f t="array" ref="BP118">(('Fórmula'!C118)/('Fórmula'!C118+'Fórmula'!E118+'Fórmula'!G118+'Fórmula'!I118+'Fórmula'!K118))*(INDEX(properties!A$1:CB$87,'Fórmula'!B118,20))+(('Fórmula'!E118)/('Fórmula'!C118+'Fórmula'!E118+'Fórmula'!G118+'Fórmula'!I118+'Fórmula'!K118))*(INDEX(properties!A$1:CB$87,'Fórmula'!D118,20))+(('Fórmula'!G118)/('Fórmula'!C118+'Fórmula'!E118+'Fórmula'!G118+'Fórmula'!I118+'Fórmula'!K118))*(INDEX(properties!A$1:CB$87,'Fórmula'!F118,20))+(('Fórmula'!I118)/('Fórmula'!C118+'Fórmula'!E118+'Fórmula'!G118+'Fórmula'!I118+'Fórmula'!K118))*(INDEX(properties!A$1:CB$87,'Fórmula'!H118,20))+(('Fórmula'!K118)/('Fórmula'!C118+'Fórmula'!E118+'Fórmula'!G118+'Fórmula'!I118+'Fórmula'!K118))*(INDEX(properties!A$1:CB$87,'Fórmula'!J118,20))</f>
        <v>3.903225806</v>
      </c>
      <c r="BQ118" s="112">
        <f t="array" ref="BQ118">'Fórmula'!C118*(INDEX(properties!A$1:CB$87,'Fórmula'!B118,20))+'Fórmula'!E118*(INDEX(properties!A$1:CB$87,'Fórmula'!D118,20))+'Fórmula'!G118*(INDEX(properties!A$1:CB$87,'Fórmula'!F118,20))+'Fórmula'!I118*(INDEX(properties!A$1:CB$87,'Fórmula'!H118,20))+'Fórmula'!K118*(INDEX(properties!A$1:CB$87,'Fórmula'!J118,20))</f>
        <v>121</v>
      </c>
      <c r="BR118" s="112">
        <f t="array" ref="BR118">VARP(IF(INDEX(properties!A$1:CB$87,'Fórmula'!B118,20)&lt;&gt;"",INDEX(properties!A$1:CB$87,'Fórmula'!B118,20)),IF(INDEX(properties!A$1:CB$87,'Fórmula'!D118,20)&lt;&gt;"",INDEX(properties!A$1:CB$87,'Fórmula'!D118,20)),IF(INDEX(properties!A$1:CB$87,'Fórmula'!F118,20)&lt;&gt;"",INDEX(properties!A$1:CB$87,'Fórmula'!F118,20)),IF(INDEX(properties!A$1:CB$87,'Fórmula'!H118,20)&lt;&gt;"",INDEX(properties!A$1:CB$87,'Fórmula'!H118,20)),IF(INDEX(properties!A$1:CB$87,'Fórmula'!J118,20)&lt;&gt;"",INDEX(properties!A$1:CB$87,'Fórmula'!J118,20)))</f>
        <v>1.84</v>
      </c>
      <c r="BS118" s="112">
        <f t="array" ref="BS118">MAX(INDEX(properties!A$1:CB$87,'Fórmula'!B118,20),INDEX(properties!A$1:CB$87,'Fórmula'!D118,20),INDEX(properties!A$1:CB$87,'Fórmula'!F118,20),INDEX(properties!A$1:CB$87,'Fórmula'!H118,20),INDEX(properties!A$1:CB$87,'Fórmula'!J118,20))</f>
        <v>5</v>
      </c>
      <c r="BT118" s="112">
        <f t="array" ref="BT118">MIN(IF(INDEX(properties!A$1:CB$87,'Fórmula'!B118,20)=0,10^6,INDEX(properties!A$1:CB$87,'Fórmula'!B118,20)),IF(INDEX(properties!A$1:CB$87,'Fórmula'!D118,20)=0,10^6,INDEX(properties!A$1:CB$87,'Fórmula'!D118,20)),IF(INDEX(properties!A$1:CB$87,'Fórmula'!F118,20)=0,10^6,INDEX(properties!A$1:CB$87,'Fórmula'!F118,20)),IF(INDEX(properties!A$1:CB$87,'Fórmula'!H118,20)=0,10^6,INDEX(properties!A$1:CB$87,'Fórmula'!H118,20)),IF(INDEX(properties!A$1:CB$87,'Fórmula'!J118,20)=0,10^6,INDEX(properties!A$1:CB$87,'Fórmula'!J118,20)))</f>
        <v>1</v>
      </c>
      <c r="BU118" s="112">
        <f t="shared" si="12"/>
        <v>4</v>
      </c>
      <c r="BV118" s="113">
        <f t="array" ref="BV118">(('Fórmula'!C118)/('Fórmula'!C118+'Fórmula'!E118+'Fórmula'!G118+'Fórmula'!I118+'Fórmula'!K118))*(INDEX(properties!A$1:CB$87,'Fórmula'!B118,21))+(('Fórmula'!E118)/('Fórmula'!C118+'Fórmula'!E118+'Fórmula'!G118+'Fórmula'!I118+'Fórmula'!K118))*(INDEX(properties!A$1:CB$87,'Fórmula'!D118,21))+(('Fórmula'!G118)/('Fórmula'!C118+'Fórmula'!E118+'Fórmula'!G118+'Fórmula'!I118+'Fórmula'!K118))*(INDEX(properties!A$1:CB$87,'Fórmula'!F118,21))+(('Fórmula'!I118)/('Fórmula'!C118+'Fórmula'!E118+'Fórmula'!G118+'Fórmula'!I118+'Fórmula'!K118))*(INDEX(properties!A$1:CB$87,'Fórmula'!H118,21))+(('Fórmula'!K118)/('Fórmula'!C118+'Fórmula'!E118+'Fórmula'!G118+'Fórmula'!I118+'Fórmula'!K118))*(INDEX(properties!A$1:CB$87,'Fórmula'!J118,21))</f>
        <v>3.741935484</v>
      </c>
      <c r="BW118" s="113">
        <f t="array" ref="BW118">'Fórmula'!C118*(INDEX(properties!A$1:CB$87,'Fórmula'!B118,21))+'Fórmula'!E118*(INDEX(properties!A$1:CB$87,'Fórmula'!D118,21))+'Fórmula'!G118*(INDEX(properties!A$1:CB$87,'Fórmula'!F118,21))+'Fórmula'!I118*(INDEX(properties!A$1:CB$87,'Fórmula'!H118,21))+'Fórmula'!K118*(INDEX(properties!A$1:CB$87,'Fórmula'!J118,21))</f>
        <v>116</v>
      </c>
      <c r="BX118" s="113">
        <f t="array" ref="BX118">VARP(IF(INDEX(properties!A$1:CB$87,'Fórmula'!B118,21)&lt;&gt;"",INDEX(properties!A$1:CB$87,'Fórmula'!B118,21)),IF(INDEX(properties!A$1:CB$87,'Fórmula'!D118,21)&lt;&gt;"",INDEX(properties!A$1:CB$87,'Fórmula'!D118,21)),IF(INDEX(properties!A$1:CB$87,'Fórmula'!F118,21)&lt;&gt;"",INDEX(properties!A$1:CB$87,'Fórmula'!F118,21)),IF(INDEX(properties!A$1:CB$87,'Fórmula'!H118,21)&lt;&gt;"",INDEX(properties!A$1:CB$87,'Fórmula'!H118,21)),IF(INDEX(properties!A$1:CB$87,'Fórmula'!J118,21)&lt;&gt;"",INDEX(properties!A$1:CB$87,'Fórmula'!J118,21)))</f>
        <v>2.24</v>
      </c>
      <c r="BY118" s="113">
        <f t="array" ref="BY118">MAX(INDEX(properties!A$1:CB$87,'Fórmula'!B118,21),INDEX(properties!A$1:CB$87,'Fórmula'!D118,21),INDEX(properties!A$1:CB$87,'Fórmula'!F118,21),INDEX(properties!A$1:CB$87,'Fórmula'!H118,21),INDEX(properties!A$1:CB$87,'Fórmula'!J118,21))</f>
        <v>5</v>
      </c>
      <c r="BZ118" s="113">
        <f t="array" ref="BZ118">MIN(IF(INDEX(properties!A$1:CB$87,'Fórmula'!B118,21)=0,10^6,INDEX(properties!A$1:CB$87,'Fórmula'!B118,21)),IF(INDEX(properties!A$1:CB$87,'Fórmula'!D118,21)=0,10^6,INDEX(properties!A$1:CB$87,'Fórmula'!D118,21)),IF(INDEX(properties!A$1:CB$87,'Fórmula'!F118,21)=0,10^6,INDEX(properties!A$1:CB$87,'Fórmula'!F118,21)),IF(INDEX(properties!A$1:CB$87,'Fórmula'!H118,21)=0,10^6,INDEX(properties!A$1:CB$87,'Fórmula'!H118,21)),IF(INDEX(properties!A$1:CB$87,'Fórmula'!J118,21)=0,10^6,INDEX(properties!A$1:CB$87,'Fórmula'!J118,21)))</f>
        <v>1</v>
      </c>
      <c r="CA118" s="113">
        <f t="shared" si="13"/>
        <v>4</v>
      </c>
      <c r="CB118" s="114">
        <f t="array" ref="CB118">(('Fórmula'!C118)/('Fórmula'!C118+'Fórmula'!E118+'Fórmula'!G118+'Fórmula'!I118+'Fórmula'!K118))*(INDEX(properties!A$1:CB$87,'Fórmula'!B118,23))+(('Fórmula'!E118)/('Fórmula'!C118+'Fórmula'!E118+'Fórmula'!G118+'Fórmula'!I118+'Fórmula'!K118))*(INDEX(properties!A$1:CB$87,'Fórmula'!D118,23))+(('Fórmula'!G118)/('Fórmula'!C118+'Fórmula'!E118+'Fórmula'!G118+'Fórmula'!I118+'Fórmula'!K118))*(INDEX(properties!A$1:CB$87,'Fórmula'!F118,23))+(('Fórmula'!I118)/('Fórmula'!C118+'Fórmula'!E118+'Fórmula'!G118+'Fórmula'!I118+'Fórmula'!K118))*(INDEX(properties!A$1:CB$87,'Fórmula'!H118,23))+(('Fórmula'!K118)/('Fórmula'!C118+'Fórmula'!E118+'Fórmula'!G118+'Fórmula'!I118+'Fórmula'!K118))*(INDEX(properties!A$1:CB$87,'Fórmula'!J118,23))</f>
        <v>2.903225806</v>
      </c>
      <c r="CC118" s="114">
        <f t="array" ref="CC118">'Fórmula'!C118*(INDEX(properties!A$1:CB$87,'Fórmula'!B118,23))+'Fórmula'!E118*(INDEX(properties!A$1:CB$87,'Fórmula'!D118,23))+'Fórmula'!G118*(INDEX(properties!A$1:CB$87,'Fórmula'!F118,23))+'Fórmula'!I118*(INDEX(properties!A$1:CB$87,'Fórmula'!H118,23))+'Fórmula'!K118*(INDEX(properties!A$1:CB$87,'Fórmula'!J118,23))</f>
        <v>90</v>
      </c>
      <c r="CD118" s="114">
        <f t="array" ref="CD118">VARP(IF(INDEX(properties!A$1:CB$87,'Fórmula'!B118,23)&lt;&gt;"",INDEX(properties!A$1:CB$87,'Fórmula'!B118,23)),IF(INDEX(properties!A$1:CB$87,'Fórmula'!D118,23)&lt;&gt;"",INDEX(properties!A$1:CB$87,'Fórmula'!D118,23)),IF(INDEX(properties!A$1:CB$87,'Fórmula'!F118,23)&lt;&gt;"",INDEX(properties!A$1:CB$87,'Fórmula'!F118,23)),IF(INDEX(properties!A$1:CB$87,'Fórmula'!H118,23)&lt;&gt;"",INDEX(properties!A$1:CB$87,'Fórmula'!H118,23)),IF(INDEX(properties!A$1:CB$87,'Fórmula'!J118,23)&lt;&gt;"",INDEX(properties!A$1:CB$87,'Fórmula'!J118,23)))</f>
        <v>0.64</v>
      </c>
      <c r="CE118" s="114">
        <f t="array" ref="CE118">MAX(INDEX(properties!A$1:CB$87,'Fórmula'!B118,23),INDEX(properties!A$1:CB$87,'Fórmula'!D118,23),INDEX(properties!A$1:CB$87,'Fórmula'!F118,23),INDEX(properties!A$1:CB$87,'Fórmula'!H118,23),INDEX(properties!A$1:CB$87,'Fórmula'!J118,23))</f>
        <v>3</v>
      </c>
      <c r="CF118" s="114">
        <f t="array" ref="CF118">MIN(IF('Fórmula'!B118=87,10^6,INDEX(properties!A$1:CB$87,'Fórmula'!B118,23)),IF(('Fórmula'!D118)=87,10^6,INDEX(properties!A$1:CB$87,'Fórmula'!D118,23)),IF(('Fórmula'!F118)=87,10^6,INDEX(properties!A$1:CB$87,'Fórmula'!F118,23)),IF(('Fórmula'!H118)=87,10^6,INDEX(properties!A$1:CB$87,'Fórmula'!H118,23)),IF('Fórmula'!J118=87,10^6,INDEX(properties!A$1:CB$87,'Fórmula'!J118,23)))</f>
        <v>1</v>
      </c>
      <c r="CG118" s="114">
        <f t="shared" si="14"/>
        <v>2</v>
      </c>
      <c r="CH118" s="115">
        <f t="array" ref="CH118">(('Fórmula'!C118)/('Fórmula'!C118+'Fórmula'!E118+'Fórmula'!G118+'Fórmula'!I118+'Fórmula'!K118))*(INDEX(properties!A$1:CB$87,'Fórmula'!B118,26))+(('Fórmula'!E118)/('Fórmula'!C118+'Fórmula'!E118+'Fórmula'!G118+'Fórmula'!I118+'Fórmula'!K118))*(INDEX(properties!A$1:CB$87,'Fórmula'!D118,26))+(('Fórmula'!G118)/('Fórmula'!C118+'Fórmula'!E118+'Fórmula'!G118+'Fórmula'!I118+'Fórmula'!K118))*(INDEX(properties!A$1:CB$87,'Fórmula'!F118,26))+(('Fórmula'!I118)/('Fórmula'!C118+'Fórmula'!E118+'Fórmula'!G118+'Fórmula'!I118+'Fórmula'!K118))*(INDEX(properties!A$1:CB$87,'Fórmula'!H118,26))+(('Fórmula'!K118)/('Fórmula'!C118+'Fórmula'!E118+'Fórmula'!G118+'Fórmula'!I118+'Fórmula'!K118))*(INDEX(properties!A$1:CB$87,'Fórmula'!J118,26))</f>
        <v>11.41913548</v>
      </c>
      <c r="CI118" s="115">
        <f t="array" ref="CI118">'Fórmula'!C118*(INDEX(properties!A$1:CB$87,'Fórmula'!B118,26))+'Fórmula'!E118*(INDEX(properties!A$1:CB$87,'Fórmula'!D118,26))+'Fórmula'!G118*(INDEX(properties!A$1:CB$87,'Fórmula'!F118,26))+'Fórmula'!I118*(INDEX(properties!A$1:CB$87,'Fórmula'!H118,26))+'Fórmula'!K118*(INDEX(properties!A$1:CB$87,'Fórmula'!J118,26))</f>
        <v>353.9932</v>
      </c>
      <c r="CJ118" s="115">
        <f t="array" ref="CJ118">VARP(IF(INDEX(properties!A$1:CB$87,'Fórmula'!B118,26)&lt;&gt;"",INDEX(properties!A$1:CB$87,'Fórmula'!B118,26)),IF(INDEX(properties!A$1:CB$87,'Fórmula'!D118,26)&lt;&gt;"",INDEX(properties!A$1:CB$87,'Fórmula'!D118,26)),IF(INDEX(properties!A$1:CB$87,'Fórmula'!F118,26)&lt;&gt;"",INDEX(properties!A$1:CB$87,'Fórmula'!F118,26)),IF(INDEX(properties!A$1:CB$87,'Fórmula'!H118,26)&lt;&gt;"",INDEX(properties!A$1:CB$87,'Fórmula'!H118,26)),IF(INDEX(properties!A$1:CB$87,'Fórmula'!J118,26)&lt;&gt;"",INDEX(properties!A$1:CB$87,'Fórmula'!J118,26)))</f>
        <v>11.25261591</v>
      </c>
      <c r="CK118" s="116">
        <f t="array" ref="CK118">MAX(INDEX(properties!A$1:CB$87,'Fórmula'!B118,26),INDEX(properties!A$1:CB$87,'Fórmula'!D118,26),INDEX(properties!A$1:CB$87,'Fórmula'!F118,26),INDEX(properties!A$1:CB$87,'Fórmula'!H118,26),INDEX(properties!A$1:CB$87,'Fórmula'!J118,26))</f>
        <v>14.5341</v>
      </c>
      <c r="CL118" s="116">
        <f t="array" ref="CL118">MIN(IF(INDEX(properties!A$1:CB$87,'Fórmula'!B118,26)=0,10^6,INDEX(properties!A$1:CB$87,'Fórmula'!B118,26)),IF(INDEX(properties!A$1:CB$87,'Fórmula'!D118,26)=0,10^6,INDEX(properties!A$1:CB$87,'Fórmula'!D118,26)),IF(INDEX(properties!A$1:CB$87,'Fórmula'!F118,26)=0,10^6,INDEX(properties!A$1:CB$87,'Fórmula'!F118,26)),IF(INDEX(properties!A$1:CB$87,'Fórmula'!H118,26)=0,10^6,INDEX(properties!A$1:CB$87,'Fórmula'!H118,26)),IF(INDEX(properties!A$1:CB$87,'Fórmula'!J118,26)=0,10^6,INDEX(properties!A$1:CB$87,'Fórmula'!J118,26)))</f>
        <v>5.3917</v>
      </c>
      <c r="CM118" s="115">
        <f t="shared" si="15"/>
        <v>9.1424</v>
      </c>
      <c r="CN118" s="117">
        <f t="array" ref="CN118">(('Fórmula'!C118)/('Fórmula'!C118+'Fórmula'!E118+'Fórmula'!G118+'Fórmula'!I118+'Fórmula'!K118))*(INDEX(properties!A$1:CB$87,'Fórmula'!B118,30))+(('Fórmula'!E118)/('Fórmula'!C118+'Fórmula'!E118+'Fórmula'!G118+'Fórmula'!I118+'Fórmula'!K118))*(INDEX(properties!A$1:CB$87,'Fórmula'!D118,30))+(('Fórmula'!G118)/('Fórmula'!C118+'Fórmula'!E118+'Fórmula'!G118+'Fórmula'!I118+'Fórmula'!K118))*(INDEX(properties!A$1:CB$87,'Fórmula'!F118,30))+(('Fórmula'!I118)/('Fórmula'!C118+'Fórmula'!E118+'Fórmula'!G118+'Fórmula'!I118+'Fórmula'!K118))*(INDEX(properties!A$1:CB$87,'Fórmula'!H118,30))+(('Fórmula'!K118)/('Fórmula'!C118+'Fórmula'!E118+'Fórmula'!G118+'Fórmula'!I118+'Fórmula'!K118))*(INDEX(properties!A$1:CB$87,'Fórmula'!J118,30))</f>
        <v>2.420645161</v>
      </c>
      <c r="CO118" s="117">
        <f t="array" ref="CO118">'Fórmula'!C118*(INDEX(properties!A$1:CB$87,'Fórmula'!B118,30))+'Fórmula'!E118*(INDEX(properties!A$1:CB$87,'Fórmula'!D118,30))+'Fórmula'!G118*(INDEX(properties!A$1:CB$87,'Fórmula'!F118,30))+'Fórmula'!I118*(INDEX(properties!A$1:CB$87,'Fórmula'!H118,30))+'Fórmula'!K118*(INDEX(properties!A$1:CB$87,'Fórmula'!J118,30))</f>
        <v>75.04</v>
      </c>
      <c r="CP118" s="117">
        <f t="array" ref="CP118">VARP(IF(INDEX(properties!A$1:CB$87,'Fórmula'!B118,30)&lt;&gt;"",INDEX(properties!A$1:CB$87,'Fórmula'!B118,30)),IF(INDEX(properties!A$1:CB$87,'Fórmula'!D118,30)&lt;&gt;"",INDEX(properties!A$1:CB$87,'Fórmula'!D118,30)),IF(INDEX(properties!A$1:CB$87,'Fórmula'!F118,30)&lt;&gt;"",INDEX(properties!A$1:CB$87,'Fórmula'!F118,30)),IF(INDEX(properties!A$1:CB$87,'Fórmula'!H118,30)&lt;&gt;"",INDEX(properties!A$1:CB$87,'Fórmula'!H118,30)),IF(INDEX(properties!A$1:CB$87,'Fórmula'!J118,30)&lt;&gt;"",INDEX(properties!A$1:CB$87,'Fórmula'!J118,30)))</f>
        <v>0.628064</v>
      </c>
      <c r="CQ118" s="117">
        <f t="array" ref="CQ118">MAX(INDEX(properties!A$1:CB$87,'Fórmula'!B118,30),INDEX(properties!A$1:CB$87,'Fórmula'!D118,30),INDEX(properties!A$1:CB$87,'Fórmula'!F118,30),INDEX(properties!A$1:CB$87,'Fórmula'!H118,30),INDEX(properties!A$1:CB$87,'Fórmula'!J118,30))</f>
        <v>3.04</v>
      </c>
      <c r="CR118" s="117">
        <f t="array" ref="CR118">MIN(IF(INDEX(properties!A$1:CB$87,'Fórmula'!B118,30)=0,10^6,INDEX(properties!A$1:CB$87,'Fórmula'!B118,30)),IF(INDEX(properties!A$1:CB$87,'Fórmula'!D118,30)=0,10^6,INDEX(properties!A$1:CB$87,'Fórmula'!D118,30)),IF(INDEX(properties!A$1:CB$87,'Fórmula'!F118,30)=0,10^6,INDEX(properties!A$1:CB$87,'Fórmula'!F118,30)),IF(INDEX(properties!A$1:CB$87,'Fórmula'!H118,30)=0,10^6,INDEX(properties!A$1:CB$87,'Fórmula'!H118,30)),IF(INDEX(properties!A$1:CB$87,'Fórmula'!J118,30)=0,10^6,INDEX(properties!A$1:CB$87,'Fórmula'!J118,30)))</f>
        <v>0.98</v>
      </c>
      <c r="CS118" s="117">
        <f t="shared" si="16"/>
        <v>2.06</v>
      </c>
      <c r="CT118" s="118">
        <f t="array" ref="CT118">(('Fórmula'!C118)/('Fórmula'!C118+'Fórmula'!E118+'Fórmula'!G118+'Fórmula'!I118+'Fórmula'!K118))*(INDEX(properties!A$1:CB$87,'Fórmula'!B118,31))+(('Fórmula'!E118)/('Fórmula'!C118+'Fórmula'!E118+'Fórmula'!G118+'Fórmula'!I118+'Fórmula'!K118))*(INDEX(properties!A$1:CB$87,'Fórmula'!D118,31))+(('Fórmula'!G118)/('Fórmula'!C118+'Fórmula'!E118+'Fórmula'!G118+'Fórmula'!I118+'Fórmula'!K118))*(INDEX(properties!A$1:CB$87,'Fórmula'!F118,31))+(('Fórmula'!I118)/('Fórmula'!C118+'Fórmula'!E118+'Fórmula'!G118+'Fórmula'!I118+'Fórmula'!K118))*(INDEX(properties!A$1:CB$87,'Fórmula'!H118,31))+(('Fórmula'!K118)/('Fórmula'!C118+'Fórmula'!E118+'Fórmula'!G118+'Fórmula'!I118+'Fórmula'!K118))*(INDEX(properties!A$1:CB$87,'Fórmula'!J118,31))</f>
        <v>2.316774194</v>
      </c>
      <c r="CU118" s="118">
        <f t="array" ref="CU118">'Fórmula'!C118*(INDEX(properties!A$1:CB$87,'Fórmula'!B118,31))+'Fórmula'!E118*(INDEX(properties!A$1:CB$87,'Fórmula'!D118,31))+'Fórmula'!G118*(INDEX(properties!A$1:CB$87,'Fórmula'!F118,31))+'Fórmula'!I118*(INDEX(properties!A$1:CB$87,'Fórmula'!H118,31))+'Fórmula'!K118*(INDEX(properties!A$1:CB$87,'Fórmula'!J118,31))</f>
        <v>71.82</v>
      </c>
      <c r="CV118" s="118">
        <f t="array" ref="CV118">VARP(IF(INDEX(properties!A$1:CB$87,'Fórmula'!B118,31)&lt;&gt;"",INDEX(properties!A$1:CB$87,'Fórmula'!B118,31)),IF(INDEX(properties!A$1:CB$87,'Fórmula'!D118,31)&lt;&gt;"",INDEX(properties!A$1:CB$87,'Fórmula'!D118,31)),IF(INDEX(properties!A$1:CB$87,'Fórmula'!F118,31)&lt;&gt;"",INDEX(properties!A$1:CB$87,'Fórmula'!F118,31)),IF(INDEX(properties!A$1:CB$87,'Fórmula'!H118,31)&lt;&gt;"",INDEX(properties!A$1:CB$87,'Fórmula'!H118,31)),IF(INDEX(properties!A$1:CB$87,'Fórmula'!J118,31)&lt;&gt;"",INDEX(properties!A$1:CB$87,'Fórmula'!J118,31)))</f>
        <v>0.470584</v>
      </c>
      <c r="CW118" s="118">
        <f t="array" ref="CW118">MAX(INDEX(properties!A$1:CB$87,'Fórmula'!B118,31),INDEX(properties!A$1:CB$87,'Fórmula'!D118,31),INDEX(properties!A$1:CB$87,'Fórmula'!F118,31),INDEX(properties!A$1:CB$87,'Fórmula'!H118,31),INDEX(properties!A$1:CB$87,'Fórmula'!J118,31))</f>
        <v>2.85</v>
      </c>
      <c r="CX118" s="118">
        <f t="array" ref="CX118">MIN(IF(INDEX(properties!A$1:CB$87,'Fórmula'!B118,31)=0,10^6,INDEX(properties!A$1:CB$87,'Fórmula'!B118,31)),IF(INDEX(properties!A$1:CB$87,'Fórmula'!D118,31)=0,10^6,INDEX(properties!A$1:CB$87,'Fórmula'!D118,31)),IF(INDEX(properties!A$1:CB$87,'Fórmula'!F118,31)=0,10^6,INDEX(properties!A$1:CB$87,'Fórmula'!F118,31)),IF(INDEX(properties!A$1:CB$87,'Fórmula'!H118,31)=0,10^6,INDEX(properties!A$1:CB$87,'Fórmula'!H118,31)),IF(INDEX(properties!A$1:CB$87,'Fórmula'!J118,31)=0,10^6,INDEX(properties!A$1:CB$87,'Fórmula'!J118,31)))</f>
        <v>0.9</v>
      </c>
      <c r="CY118" s="118">
        <f t="shared" si="17"/>
        <v>1.95</v>
      </c>
      <c r="CZ118" s="119">
        <f t="array" ref="CZ118">(('Fórmula'!C118)/('Fórmula'!C118+'Fórmula'!E118+'Fórmula'!G118+'Fórmula'!I118+'Fórmula'!K118))*(INDEX(properties!A$1:CB$87,'Fórmula'!B118,32))+(('Fórmula'!E118)/('Fórmula'!C118+'Fórmula'!E118+'Fórmula'!G118+'Fórmula'!I118+'Fórmula'!K118))*(INDEX(properties!A$1:CB$87,'Fórmula'!D118,32))+(('Fórmula'!G118)/('Fórmula'!C118+'Fórmula'!E118+'Fórmula'!G118+'Fórmula'!I118+'Fórmula'!K118))*(INDEX(properties!A$1:CB$87,'Fórmula'!F118,32))+(('Fórmula'!I118)/('Fórmula'!C118+'Fórmula'!E118+'Fórmula'!G118+'Fórmula'!I118+'Fórmula'!K118))*(INDEX(properties!A$1:CB$87,'Fórmula'!H118,32))+(('Fórmula'!K118)/('Fórmula'!C118+'Fórmula'!E118+'Fórmula'!G118+'Fórmula'!I118+'Fórmula'!K118))*(INDEX(properties!A$1:CB$87,'Fórmula'!J118,32))</f>
        <v>5.751612903</v>
      </c>
      <c r="DA118" s="119">
        <f t="array" ref="DA118">'Fórmula'!C118*(INDEX(properties!A$1:CB$87,'Fórmula'!B118,32))+'Fórmula'!E118*(INDEX(properties!A$1:CB$87,'Fórmula'!D118,32))+'Fórmula'!G118*(INDEX(properties!A$1:CB$87,'Fórmula'!F118,32))+'Fórmula'!I118*(INDEX(properties!A$1:CB$87,'Fórmula'!H118,32))+'Fórmula'!K118*(INDEX(properties!A$1:CB$87,'Fórmula'!J118,32))</f>
        <v>178.3</v>
      </c>
      <c r="DB118" s="119">
        <f t="array" ref="DB118">VARP(IF(INDEX(properties!A$1:CB$87,'Fórmula'!B118,32)&lt;&gt;"",INDEX(properties!A$1:CB$87,'Fórmula'!B118,32)),IF(INDEX(properties!A$1:CB$87,'Fórmula'!D118,32)&lt;&gt;"",INDEX(properties!A$1:CB$87,'Fórmula'!D118,32)),IF(INDEX(properties!A$1:CB$87,'Fórmula'!F118,32)&lt;&gt;"",INDEX(properties!A$1:CB$87,'Fórmula'!F118,32)),IF(INDEX(properties!A$1:CB$87,'Fórmula'!H118,32)&lt;&gt;"",INDEX(properties!A$1:CB$87,'Fórmula'!H118,32)),IF(INDEX(properties!A$1:CB$87,'Fórmula'!J118,32)&lt;&gt;"",INDEX(properties!A$1:CB$87,'Fórmula'!J118,32)))</f>
        <v>3.170056</v>
      </c>
      <c r="DC118" s="119">
        <f t="array" ref="DC118">MAX(INDEX(properties!A$1:CB$87,'Fórmula'!B118,32),INDEX(properties!A$1:CB$87,'Fórmula'!D118,32),INDEX(properties!A$1:CB$87,'Fórmula'!F118,32),INDEX(properties!A$1:CB$87,'Fórmula'!H118,32),INDEX(properties!A$1:CB$87,'Fórmula'!J118,32))</f>
        <v>7.3</v>
      </c>
      <c r="DD118" s="119">
        <f t="array" ref="DD118">MIN(IF(INDEX(properties!A$1:CB$87,'Fórmula'!B118,32)=0,10^6,INDEX(properties!A$1:CB$87,'Fórmula'!B118,32)),IF(INDEX(properties!A$1:CB$87,'Fórmula'!D118,32)=0,10^6,INDEX(properties!A$1:CB$87,'Fórmula'!D118,32)),IF(INDEX(properties!A$1:CB$87,'Fórmula'!F118,32)=0,10^6,INDEX(properties!A$1:CB$87,'Fórmula'!F118,32)),IF(INDEX(properties!A$1:CB$87,'Fórmula'!H118,32)=0,10^6,INDEX(properties!A$1:CB$87,'Fórmula'!H118,32)),IF(INDEX(properties!A$1:CB$87,'Fórmula'!J118,32)=0,10^6,INDEX(properties!A$1:CB$87,'Fórmula'!J118,32)))</f>
        <v>2.2</v>
      </c>
      <c r="DE118" s="119">
        <f t="shared" si="18"/>
        <v>5.1</v>
      </c>
      <c r="DF118" s="104">
        <f t="array" ref="DF118">(('Fórmula'!C118)/('Fórmula'!C118+'Fórmula'!E118+'Fórmula'!G118+'Fórmula'!I118+'Fórmula'!K118))*(INDEX(properties!A$1:CB$87,'Fórmula'!B118,34))+(('Fórmula'!E118)/('Fórmula'!C118+'Fórmula'!E118+'Fórmula'!G118+'Fórmula'!I118+'Fórmula'!K118))*(INDEX(properties!A$1:CB$87,'Fórmula'!D118,34))+(('Fórmula'!G118)/('Fórmula'!C118+'Fórmula'!E118+'Fórmula'!G118+'Fórmula'!I118+'Fórmula'!K118))*(INDEX(properties!A$1:CB$87,'Fórmula'!F118,34))+(('Fórmula'!I118)/('Fórmula'!C118+'Fórmula'!E118+'Fórmula'!G118+'Fórmula'!I118+'Fórmula'!K118))*(INDEX(properties!A$1:CB$87,'Fórmula'!H118,34))+(('Fórmula'!K118)/('Fórmula'!C118+'Fórmula'!E118+'Fórmula'!G118+'Fórmula'!I118+'Fórmula'!K118))*(INDEX(properties!A$1:CB$87,'Fórmula'!J118,34))</f>
        <v>2.420645161</v>
      </c>
      <c r="DG118" s="104">
        <f t="array" ref="DG118">'Fórmula'!C118*(INDEX(properties!A$1:CB$87,'Fórmula'!B118,34))+'Fórmula'!E118*(INDEX(properties!A$1:CB$87,'Fórmula'!D118,34))+'Fórmula'!G118*(INDEX(properties!A$1:CB$87,'Fórmula'!F118,34))+'Fórmula'!I118*(INDEX(properties!A$1:CB$87,'Fórmula'!H118,34))+'Fórmula'!K118*(INDEX(properties!A$1:CB$87,'Fórmula'!J118,34))</f>
        <v>75.04</v>
      </c>
      <c r="DH118" s="104">
        <f t="array" ref="DH118">VARP(IF(INDEX(properties!A$1:CB$87,'Fórmula'!B118,34)&lt;&gt;"",INDEX(properties!A$1:CB$87,'Fórmula'!B118,34)),IF(INDEX(properties!A$1:CB$87,'Fórmula'!D118,34)&lt;&gt;"",INDEX(properties!A$1:CB$87,'Fórmula'!D118,34)),IF(INDEX(properties!A$1:CB$87,'Fórmula'!F118,34)&lt;&gt;"",INDEX(properties!A$1:CB$87,'Fórmula'!F118,34)),IF(INDEX(properties!A$1:CB$87,'Fórmula'!H118,34)&lt;&gt;"",INDEX(properties!A$1:CB$87,'Fórmula'!H118,34)),IF(INDEX(properties!A$1:CB$87,'Fórmula'!J118,34)&lt;&gt;"",INDEX(properties!A$1:CB$87,'Fórmula'!J118,34)))</f>
        <v>0.67399184</v>
      </c>
      <c r="DI118" s="104">
        <f t="array" ref="DI118">MAX(INDEX(properties!A$1:CB$87,'Fórmula'!B118,34),INDEX(properties!A$1:CB$87,'Fórmula'!D118,34),INDEX(properties!A$1:CB$87,'Fórmula'!F118,34),INDEX(properties!A$1:CB$87,'Fórmula'!H118,34),INDEX(properties!A$1:CB$87,'Fórmula'!J118,34))</f>
        <v>3.066</v>
      </c>
      <c r="DJ118" s="104">
        <f t="array" ref="DJ118">MIN(IF(INDEX(properties!A$1:CB$87,'Fórmula'!B118,34)=0,10^6,INDEX(properties!A$1:CB$87,'Fórmula'!B118,34)),IF(INDEX(properties!A$1:CB$87,'Fórmula'!D118,34)=0,10^6,INDEX(properties!A$1:CB$87,'Fórmula'!D118,34)),IF(INDEX(properties!A$1:CB$87,'Fórmula'!F118,34)=0,10^6,INDEX(properties!A$1:CB$87,'Fórmula'!F118,34)),IF(INDEX(properties!A$1:CB$87,'Fórmula'!H118,34)=0,10^6,INDEX(properties!A$1:CB$87,'Fórmula'!H118,34)),IF(INDEX(properties!A$1:CB$87,'Fórmula'!J118,34)=0,10^6,INDEX(properties!A$1:CB$87,'Fórmula'!J118,34)))</f>
        <v>0.912</v>
      </c>
      <c r="DK118" s="104">
        <f t="shared" si="19"/>
        <v>2.154</v>
      </c>
      <c r="DL118" s="105">
        <f t="array" ref="DL118">(('Fórmula'!C118)/('Fórmula'!C118+'Fórmula'!E118+'Fórmula'!G118+'Fórmula'!I118+'Fórmula'!K118))*(INDEX(properties!A$1:CB$87,'Fórmula'!B118,37))+(('Fórmula'!E118)/('Fórmula'!C118+'Fórmula'!E118+'Fórmula'!G118+'Fórmula'!I118+'Fórmula'!K118))*(INDEX(properties!A$1:CB$87,'Fórmula'!D118,37))+(('Fórmula'!G118)/('Fórmula'!C118+'Fórmula'!E118+'Fórmula'!G118+'Fórmula'!I118+'Fórmula'!K118))*(INDEX(properties!A$1:CB$87,'Fórmula'!F118,37))+(('Fórmula'!I118)/('Fórmula'!C118+'Fórmula'!E118+'Fórmula'!G118+'Fórmula'!I118+'Fórmula'!K118))*(INDEX(properties!A$1:CB$87,'Fórmula'!H118,37))+(('Fórmula'!K118)/('Fórmula'!C118+'Fórmula'!E118+'Fórmula'!G118+'Fórmula'!I118+'Fórmula'!K118))*(INDEX(properties!A$1:CB$87,'Fórmula'!J118,37))</f>
        <v>2.370645161</v>
      </c>
      <c r="DM118" s="105">
        <f t="array" ref="DM118">'Fórmula'!C118*(INDEX(properties!A$1:CB$87,'Fórmula'!B118,37))+'Fórmula'!E118*(INDEX(properties!A$1:CB$87,'Fórmula'!D118,37))+'Fórmula'!G118*(INDEX(properties!A$1:CB$87,'Fórmula'!F118,37))+'Fórmula'!I118*(INDEX(properties!A$1:CB$87,'Fórmula'!H118,37))+'Fórmula'!K118*(INDEX(properties!A$1:CB$87,'Fórmula'!J118,37))</f>
        <v>73.49</v>
      </c>
      <c r="DN118" s="105">
        <f t="array" ref="DN118">VARP(IF(INDEX(properties!A$1:CB$87,'Fórmula'!B118,37)&lt;&gt;"",INDEX(properties!A$1:CB$87,'Fórmula'!B118,37)),IF(INDEX(properties!A$1:CB$87,'Fórmula'!D118,37)&lt;&gt;"",INDEX(properties!A$1:CB$87,'Fórmula'!D118,37)),IF(INDEX(properties!A$1:CB$87,'Fórmula'!F118,37)&lt;&gt;"",INDEX(properties!A$1:CB$87,'Fórmula'!F118,37)),IF(INDEX(properties!A$1:CB$87,'Fórmula'!H118,37)&lt;&gt;"",INDEX(properties!A$1:CB$87,'Fórmula'!H118,37)),IF(INDEX(properties!A$1:CB$87,'Fórmula'!J118,37)&lt;&gt;"",INDEX(properties!A$1:CB$87,'Fórmula'!J118,37)))</f>
        <v>0.572704</v>
      </c>
      <c r="DO118" s="105">
        <f t="array" ref="DO118">MAX(INDEX(properties!A$1:CB$87,'Fórmula'!B118,37),INDEX(properties!A$1:CB$87,'Fórmula'!D118,37),INDEX(properties!A$1:CB$87,'Fórmula'!F118,37),INDEX(properties!A$1:CB$87,'Fórmula'!H118,37),INDEX(properties!A$1:CB$87,'Fórmula'!J118,37))</f>
        <v>2.98</v>
      </c>
      <c r="DP118" s="105">
        <f t="array" ref="DP118">MIN(IF(INDEX(properties!A$1:CB$87,'Fórmula'!B118,37)=0,10^6,INDEX(properties!A$1:CB$87,'Fórmula'!B118,37)),IF(INDEX(properties!A$1:CB$87,'Fórmula'!D118,37)=0,10^6,INDEX(properties!A$1:CB$87,'Fórmula'!D118,37)),IF(INDEX(properties!A$1:CB$87,'Fórmula'!F118,37)=0,10^6,INDEX(properties!A$1:CB$87,'Fórmula'!F118,37)),IF(INDEX(properties!A$1:CB$87,'Fórmula'!H118,37)=0,10^6,INDEX(properties!A$1:CB$87,'Fórmula'!H118,37)),IF(INDEX(properties!A$1:CB$87,'Fórmula'!J118,37)=0,10^6,INDEX(properties!A$1:CB$87,'Fórmula'!J118,37)))</f>
        <v>0.95</v>
      </c>
      <c r="DQ118" s="105">
        <f t="shared" si="20"/>
        <v>2.03</v>
      </c>
      <c r="DR118" s="109">
        <f t="array" ref="DR118">(('Fórmula'!C118)/('Fórmula'!C118+'Fórmula'!E118+'Fórmula'!G118+'Fórmula'!I118+'Fórmula'!K118))*(INDEX(properties!A$1:CB$87,'Fórmula'!B118,39))+(('Fórmula'!E118)/('Fórmula'!C118+'Fórmula'!E118+'Fórmula'!G118+'Fórmula'!I118+'Fórmula'!K118))*(INDEX(properties!A$1:CB$87,'Fórmula'!D118,39))+(('Fórmula'!G118)/('Fórmula'!C118+'Fórmula'!E118+'Fórmula'!G118+'Fórmula'!I118+'Fórmula'!K118))*(INDEX(properties!A$1:CB$87,'Fórmula'!F118,39))+(('Fórmula'!I118)/('Fórmula'!C118+'Fórmula'!E118+'Fórmula'!G118+'Fórmula'!I118+'Fórmula'!K118))*(INDEX(properties!A$1:CB$87,'Fórmula'!H118,39))+(('Fórmula'!K118)/('Fórmula'!C118+'Fórmula'!E118+'Fórmula'!G118+'Fórmula'!I118+'Fórmula'!K118))*(INDEX(properties!A$1:CB$87,'Fórmula'!J118,39))</f>
        <v>0.9519354839</v>
      </c>
      <c r="DS118" s="109">
        <f t="array" ref="DS118">'Fórmula'!C118*(INDEX(properties!A$1:CB$87,'Fórmula'!B118,39))+'Fórmula'!E118*(INDEX(properties!A$1:CB$87,'Fórmula'!D118,39))+'Fórmula'!G118*(INDEX(properties!A$1:CB$87,'Fórmula'!F118,39))+'Fórmula'!I118*(INDEX(properties!A$1:CB$87,'Fórmula'!H118,39))+'Fórmula'!K118*(INDEX(properties!A$1:CB$87,'Fórmula'!J118,39))</f>
        <v>29.51</v>
      </c>
      <c r="DT118" s="109">
        <f t="array" ref="DT118">VARP(IF(INDEX(properties!A$1:CB$87,'Fórmula'!B118,39)&lt;&gt;"",INDEX(properties!A$1:CB$87,'Fórmula'!B118,39)),IF(INDEX(properties!A$1:CB$87,'Fórmula'!D118,39)&lt;&gt;"",INDEX(properties!A$1:CB$87,'Fórmula'!D118,39)),IF(INDEX(properties!A$1:CB$87,'Fórmula'!F118,39)&lt;&gt;"",INDEX(properties!A$1:CB$87,'Fórmula'!F118,39)),IF(INDEX(properties!A$1:CB$87,'Fórmula'!H118,39)&lt;&gt;"",INDEX(properties!A$1:CB$87,'Fórmula'!H118,39)),IF(INDEX(properties!A$1:CB$87,'Fórmula'!J118,39)&lt;&gt;"",INDEX(properties!A$1:CB$87,'Fórmula'!J118,39)))</f>
        <v>0.372856</v>
      </c>
      <c r="DU118" s="120">
        <f t="array" ref="DU118">MAX(INDEX(properties!A$1:CB$87,'Fórmula'!B118,39),INDEX(properties!A$1:CB$87,'Fórmula'!D118,39),INDEX(properties!A$1:CB$87,'Fórmula'!F118,39),INDEX(properties!A$1:CB$87,'Fórmula'!H118,39),INDEX(properties!A$1:CB$87,'Fórmula'!J118,39))</f>
        <v>2.12</v>
      </c>
      <c r="DV118" s="120">
        <f t="array" ref="DV118">MIN(IF(INDEX(properties!A$1:CB$87,'Fórmula'!B118,39)=0,10^6,INDEX(properties!A$1:CB$87,'Fórmula'!B118,39)),IF(INDEX(properties!A$1:CB$87,'Fórmula'!D118,39)=0,10^6,INDEX(properties!A$1:CB$87,'Fórmula'!D118,39)),IF(INDEX(properties!A$1:CB$87,'Fórmula'!F118,39)=0,10^6,INDEX(properties!A$1:CB$87,'Fórmula'!F118,39)),IF(INDEX(properties!A$1:CB$87,'Fórmula'!H118,39)=0,10^6,INDEX(properties!A$1:CB$87,'Fórmula'!H118,39)),IF(INDEX(properties!A$1:CB$87,'Fórmula'!J118,39)=0,10^6,INDEX(properties!A$1:CB$87,'Fórmula'!J118,39)))</f>
        <v>0.56</v>
      </c>
      <c r="DW118" s="109">
        <f t="shared" si="21"/>
        <v>1.56</v>
      </c>
      <c r="DX118" s="110">
        <f t="array" ref="DX118">(('Fórmula'!C118)/('Fórmula'!C118+'Fórmula'!E118+'Fórmula'!G118+'Fórmula'!I118+'Fórmula'!K118))*(INDEX(properties!A$1:CB$87,'Fórmula'!B118,40))+(('Fórmula'!E118)/('Fórmula'!C118+'Fórmula'!E118+'Fórmula'!G118+'Fórmula'!I118+'Fórmula'!K118))*(INDEX(properties!A$1:CB$87,'Fórmula'!D118,40))+(('Fórmula'!G118)/('Fórmula'!C118+'Fórmula'!E118+'Fórmula'!G118+'Fórmula'!I118+'Fórmula'!K118))*(INDEX(properties!A$1:CB$87,'Fórmula'!F118,40))+(('Fórmula'!I118)/('Fórmula'!C118+'Fórmula'!E118+'Fórmula'!G118+'Fórmula'!I118+'Fórmula'!K118))*(INDEX(properties!A$1:CB$87,'Fórmula'!H118,40))+(('Fórmula'!K118)/('Fórmula'!C118+'Fórmula'!E118+'Fórmula'!G118+'Fórmula'!I118+'Fórmula'!K118))*(INDEX(properties!A$1:CB$87,'Fórmula'!J118,40))</f>
        <v>0.9548387097</v>
      </c>
      <c r="DY118" s="110">
        <f t="array" ref="DY118">'Fórmula'!C118*(INDEX(properties!A$1:CB$87,'Fórmula'!B118,40))+'Fórmula'!E118*(INDEX(properties!A$1:CB$87,'Fórmula'!D118,40))+'Fórmula'!G118*(INDEX(properties!A$1:CB$87,'Fórmula'!F118,40))+'Fórmula'!I118*(INDEX(properties!A$1:CB$87,'Fórmula'!H118,40))+'Fórmula'!K118*(INDEX(properties!A$1:CB$87,'Fórmula'!J118,40))</f>
        <v>29.6</v>
      </c>
      <c r="DZ118" s="110">
        <f t="array" ref="DZ118">VARP(IF(INDEX(properties!A$1:CB$87,'Fórmula'!B118,40)&lt;&gt;"",INDEX(properties!A$1:CB$87,'Fórmula'!B118,40)),IF(INDEX(properties!A$1:CB$87,'Fórmula'!D118,40)&lt;&gt;"",INDEX(properties!A$1:CB$87,'Fórmula'!D118,40)),IF(INDEX(properties!A$1:CB$87,'Fórmula'!F118,40)&lt;&gt;"",INDEX(properties!A$1:CB$87,'Fórmula'!F118,40)),IF(INDEX(properties!A$1:CB$87,'Fórmula'!H118,40)&lt;&gt;"",INDEX(properties!A$1:CB$87,'Fórmula'!H118,40)),IF(INDEX(properties!A$1:CB$87,'Fórmula'!J118,40)&lt;&gt;"",INDEX(properties!A$1:CB$87,'Fórmula'!J118,40)))</f>
        <v>0.163984</v>
      </c>
      <c r="EA118" s="121">
        <f t="array" ref="EA118">MAX(INDEX(properties!A$1:CB$87,'Fórmula'!B118,40),INDEX(properties!A$1:CB$87,'Fórmula'!D118,40),INDEX(properties!A$1:CB$87,'Fórmula'!F118,40),INDEX(properties!A$1:CB$87,'Fórmula'!H118,40),INDEX(properties!A$1:CB$87,'Fórmula'!J118,40))</f>
        <v>1.74</v>
      </c>
      <c r="EB118" s="121">
        <f t="array" ref="EB118">MIN(IF(INDEX(properties!A$1:CB$87,'Fórmula'!B118,40)=0,10^6,INDEX(properties!A$1:CB$87,'Fórmula'!B118,40)),IF(INDEX(properties!A$1:CB$87,'Fórmula'!D118,40)=0,10^6,INDEX(properties!A$1:CB$87,'Fórmula'!D118,40)),IF(INDEX(properties!A$1:CB$87,'Fórmula'!F118,40)=0,10^6,INDEX(properties!A$1:CB$87,'Fórmula'!F118,40)),IF(INDEX(properties!A$1:CB$87,'Fórmula'!H118,40)=0,10^6,INDEX(properties!A$1:CB$87,'Fórmula'!H118,40)),IF(INDEX(properties!A$1:CB$87,'Fórmula'!J118,40)=0,10^6,INDEX(properties!A$1:CB$87,'Fórmula'!J118,40)))</f>
        <v>0.75</v>
      </c>
      <c r="EC118" s="110">
        <f t="shared" si="22"/>
        <v>0.99</v>
      </c>
      <c r="ED118" s="111">
        <f t="array" ref="ED118">(('Fórmula'!C118)/('Fórmula'!C118+'Fórmula'!E118+'Fórmula'!G118+'Fórmula'!I118+'Fórmula'!K118))*(INDEX(properties!A$1:CB$87,'Fórmula'!B118,41))+(('Fórmula'!E118)/('Fórmula'!C118+'Fórmula'!E118+'Fórmula'!G118+'Fórmula'!I118+'Fórmula'!K118))*(INDEX(properties!A$1:CB$87,'Fórmula'!D118,41))+(('Fórmula'!G118)/('Fórmula'!C118+'Fórmula'!E118+'Fórmula'!G118+'Fórmula'!I118+'Fórmula'!K118))*(INDEX(properties!A$1:CB$87,'Fórmula'!F118,41))+(('Fórmula'!I118)/('Fórmula'!C118+'Fórmula'!E118+'Fórmula'!G118+'Fórmula'!I118+'Fórmula'!K118))*(INDEX(properties!A$1:CB$87,'Fórmula'!H118,41))+(('Fórmula'!K118)/('Fórmula'!C118+'Fórmula'!E118+'Fórmula'!G118+'Fórmula'!I118+'Fórmula'!K118))*(INDEX(properties!A$1:CB$87,'Fórmula'!J118,41))</f>
        <v>1.079354839</v>
      </c>
      <c r="EE118" s="111">
        <f t="array" ref="EE118">'Fórmula'!C118*(INDEX(properties!A$1:CB$87,'Fórmula'!B118,41))+'Fórmula'!E118*(INDEX(properties!A$1:CB$87,'Fórmula'!D118,41))+'Fórmula'!G118*(INDEX(properties!A$1:CB$87,'Fórmula'!F118,41))+'Fórmula'!I118*(INDEX(properties!A$1:CB$87,'Fórmula'!H118,41))+'Fórmula'!K118*(INDEX(properties!A$1:CB$87,'Fórmula'!J118,41))</f>
        <v>33.46</v>
      </c>
      <c r="EF118" s="111">
        <f t="array" ref="EF118">VARP(IF(INDEX(properties!A$1:CB$87,'Fórmula'!B118,41)&lt;&gt;"",INDEX(properties!A$1:CB$87,'Fórmula'!B118,41)),IF(INDEX(properties!A$1:CB$87,'Fórmula'!D118,41)&lt;&gt;"",INDEX(properties!A$1:CB$87,'Fórmula'!D118,41)),IF(INDEX(properties!A$1:CB$87,'Fórmula'!F118,41)&lt;&gt;"",INDEX(properties!A$1:CB$87,'Fórmula'!F118,41)),IF(INDEX(properties!A$1:CB$87,'Fórmula'!H118,41)&lt;&gt;"",INDEX(properties!A$1:CB$87,'Fórmula'!H118,41)),IF(INDEX(properties!A$1:CB$87,'Fórmula'!J118,41)&lt;&gt;"",INDEX(properties!A$1:CB$87,'Fórmula'!J118,41)))</f>
        <v>0.094896</v>
      </c>
      <c r="EG118" s="122">
        <f t="array" ref="EG118">MAX(INDEX(properties!A$1:CB$87,'Fórmula'!B118,41),INDEX(properties!A$1:CB$87,'Fórmula'!D118,41),INDEX(properties!A$1:CB$87,'Fórmula'!F118,41),INDEX(properties!A$1:CB$87,'Fórmula'!H118,41),INDEX(properties!A$1:CB$87,'Fórmula'!J118,41))</f>
        <v>1.32</v>
      </c>
      <c r="EH118" s="122">
        <f t="array" ref="EH118">MIN(IF(INDEX(properties!A$1:CB$87,'Fórmula'!B118,41)=0,10^6,INDEX(properties!A$1:CB$87,'Fórmula'!B118,41)),IF(INDEX(properties!A$1:CB$87,'Fórmula'!D118,41)=0,10^6,INDEX(properties!A$1:CB$87,'Fórmula'!D118,41)),IF(INDEX(properties!A$1:CB$87,'Fórmula'!F118,41)=0,10^6,INDEX(properties!A$1:CB$87,'Fórmula'!F118,41)),IF(INDEX(properties!A$1:CB$87,'Fórmula'!H118,41)=0,10^6,INDEX(properties!A$1:CB$87,'Fórmula'!H118,41)),IF(INDEX(properties!A$1:CB$87,'Fórmula'!J118,41)=0,10^6,INDEX(properties!A$1:CB$87,'Fórmula'!J118,41)))</f>
        <v>0.41</v>
      </c>
      <c r="EI118" s="111">
        <f t="shared" si="23"/>
        <v>0.91</v>
      </c>
      <c r="EJ118" s="112">
        <f t="array" ref="EJ118">(('Fórmula'!C118)/('Fórmula'!C118+'Fórmula'!E118+'Fórmula'!G118+'Fórmula'!I118+'Fórmula'!K118))*(INDEX(properties!A$1:CB$87,'Fórmula'!B118,45))+(('Fórmula'!E118)/('Fórmula'!C118+'Fórmula'!E118+'Fórmula'!G118+'Fórmula'!I118+'Fórmula'!K118))*(INDEX(properties!A$1:CB$87,'Fórmula'!D118,45))+(('Fórmula'!G118)/('Fórmula'!C118+'Fórmula'!E118+'Fórmula'!G118+'Fórmula'!I118+'Fórmula'!K118))*(INDEX(properties!A$1:CB$87,'Fórmula'!F118,45))+(('Fórmula'!I118)/('Fórmula'!C118+'Fórmula'!E118+'Fórmula'!G118+'Fórmula'!I118+'Fórmula'!K118))*(INDEX(properties!A$1:CB$87,'Fórmula'!H118,45))+(('Fórmula'!K118)/('Fórmula'!C118+'Fórmula'!E118+'Fórmula'!G118+'Fórmula'!I118+'Fórmula'!K118))*(INDEX(properties!A$1:CB$87,'Fórmula'!J118,45))</f>
        <v>1.091290323</v>
      </c>
      <c r="EK118" s="112">
        <f t="array" ref="EK118">'Fórmula'!C118*(INDEX(properties!A$1:CB$87,'Fórmula'!B118,45))+'Fórmula'!E118*(INDEX(properties!A$1:CB$87,'Fórmula'!D118,45))+'Fórmula'!G118*(INDEX(properties!A$1:CB$87,'Fórmula'!F118,45))+'Fórmula'!I118*(INDEX(properties!A$1:CB$87,'Fórmula'!H118,45))+'Fórmula'!K118*(INDEX(properties!A$1:CB$87,'Fórmula'!J118,45))</f>
        <v>33.83</v>
      </c>
      <c r="EL118" s="112">
        <f t="array" ref="EL118">VARP(IF(INDEX(properties!A$1:CB$87,'Fórmula'!B118,45)&lt;&gt;"",INDEX(properties!A$1:CB$87,'Fórmula'!B118,45)),IF(INDEX(properties!A$1:CB$87,'Fórmula'!D118,45)&lt;&gt;"",INDEX(properties!A$1:CB$87,'Fórmula'!D118,45)),IF(INDEX(properties!A$1:CB$87,'Fórmula'!F118,45)&lt;&gt;"",INDEX(properties!A$1:CB$87,'Fórmula'!F118,45)),IF(INDEX(properties!A$1:CB$87,'Fórmula'!H118,45)&lt;&gt;"",INDEX(properties!A$1:CB$87,'Fórmula'!H118,45)),IF(INDEX(properties!A$1:CB$87,'Fórmula'!J118,45)&lt;&gt;"",INDEX(properties!A$1:CB$87,'Fórmula'!J118,45)))</f>
        <v>1.072176</v>
      </c>
      <c r="EM118" s="123">
        <f t="array" ref="EM118">MAX(INDEX(properties!A$1:CB$87,'Fórmula'!B118,45),INDEX(properties!A$1:CB$87,'Fórmula'!D118,45),INDEX(properties!A$1:CB$87,'Fórmula'!F118,45),INDEX(properties!A$1:CB$87,'Fórmula'!H118,45),INDEX(properties!A$1:CB$87,'Fórmula'!J118,45))</f>
        <v>3</v>
      </c>
      <c r="EN118" s="123">
        <f t="array" ref="EN118">MIN(IF(INDEX(properties!A$1:CB$87,'Fórmula'!B118,45)=0,10^6,INDEX(properties!A$1:CB$87,'Fórmula'!B118,45)),IF(INDEX(properties!A$1:CB$87,'Fórmula'!D118,45)=0,10^6,INDEX(properties!A$1:CB$87,'Fórmula'!D118,45)),IF(INDEX(properties!A$1:CB$87,'Fórmula'!F118,45)=0,10^6,INDEX(properties!A$1:CB$87,'Fórmula'!F118,45)),IF(INDEX(properties!A$1:CB$87,'Fórmula'!H118,45)=0,10^6,INDEX(properties!A$1:CB$87,'Fórmula'!H118,45)),IF(INDEX(properties!A$1:CB$87,'Fórmula'!J118,45)=0,10^6,INDEX(properties!A$1:CB$87,'Fórmula'!J118,45)))</f>
        <v>0.54</v>
      </c>
      <c r="EO118" s="112">
        <f t="shared" si="24"/>
        <v>2.46</v>
      </c>
      <c r="EP118" s="113">
        <f t="array" ref="EP118">(('Fórmula'!C118)/('Fórmula'!C118+'Fórmula'!E118+'Fórmula'!G118+'Fórmula'!I118+'Fórmula'!K118))*(INDEX(properties!A$1:CB$87,'Fórmula'!B118,46))+(('Fórmula'!E118)/('Fórmula'!C118+'Fórmula'!E118+'Fórmula'!G118+'Fórmula'!I118+'Fórmula'!K118))*(INDEX(properties!A$1:CB$87,'Fórmula'!D118,46))+(('Fórmula'!G118)/('Fórmula'!C118+'Fórmula'!E118+'Fórmula'!G118+'Fórmula'!I118+'Fórmula'!K118))*(INDEX(properties!A$1:CB$87,'Fórmula'!F118,46))+(('Fórmula'!I118)/('Fórmula'!C118+'Fórmula'!E118+'Fórmula'!G118+'Fórmula'!I118+'Fórmula'!K118))*(INDEX(properties!A$1:CB$87,'Fórmula'!H118,46))+(('Fórmula'!K118)/('Fórmula'!C118+'Fórmula'!E118+'Fórmula'!G118+'Fórmula'!I118+'Fórmula'!K118))*(INDEX(properties!A$1:CB$87,'Fórmula'!J118,46))</f>
        <v>0.4561290323</v>
      </c>
      <c r="EQ118" s="113">
        <f t="array" ref="EQ118">'Fórmula'!C118*(INDEX(properties!A$1:CB$87,'Fórmula'!B118,46))+'Fórmula'!E118*(INDEX(properties!A$1:CB$87,'Fórmula'!D118,46))+'Fórmula'!G118*(INDEX(properties!A$1:CB$87,'Fórmula'!F118,46))+'Fórmula'!I118*(INDEX(properties!A$1:CB$87,'Fórmula'!H118,46))+'Fórmula'!K118*(INDEX(properties!A$1:CB$87,'Fórmula'!J118,46))</f>
        <v>14.14</v>
      </c>
      <c r="ER118" s="113">
        <f t="array" ref="ER118">VARP(IF(INDEX(properties!A$1:CB$87,'Fórmula'!B118,46)&lt;&gt;"",INDEX(properties!A$1:CB$87,'Fórmula'!B118,46)),IF(INDEX(properties!A$1:CB$87,'Fórmula'!D118,46)&lt;&gt;"",INDEX(properties!A$1:CB$87,'Fórmula'!D118,46)),IF(INDEX(properties!A$1:CB$87,'Fórmula'!F118,46)&lt;&gt;"",INDEX(properties!A$1:CB$87,'Fórmula'!F118,46)),IF(INDEX(properties!A$1:CB$87,'Fórmula'!H118,46)&lt;&gt;"",INDEX(properties!A$1:CB$87,'Fórmula'!H118,46)),IF(INDEX(properties!A$1:CB$87,'Fórmula'!J118,46)&lt;&gt;"",INDEX(properties!A$1:CB$87,'Fórmula'!J118,46)))</f>
        <v>0.141664</v>
      </c>
      <c r="ES118" s="124">
        <f t="array" ref="ES118">MAX(INDEX(properties!A$1:CB$87,'Fórmula'!B118,46),INDEX(properties!A$1:CB$87,'Fórmula'!D118,46),INDEX(properties!A$1:CB$87,'Fórmula'!F118,46),INDEX(properties!A$1:CB$87,'Fórmula'!H118,46),INDEX(properties!A$1:CB$87,'Fórmula'!J118,46))</f>
        <v>1.14</v>
      </c>
      <c r="ET118" s="124">
        <f t="array" ref="ET118">MIN(IF(INDEX(properties!A$1:CB$87,'Fórmula'!B118,46)=0,10^6,INDEX(properties!A$1:CB$87,'Fórmula'!B118,46)),IF(INDEX(properties!A$1:CB$87,'Fórmula'!D118,46)=0,10^6,INDEX(properties!A$1:CB$87,'Fórmula'!D118,46)),IF(INDEX(properties!A$1:CB$87,'Fórmula'!F118,46)=0,10^6,INDEX(properties!A$1:CB$87,'Fórmula'!F118,46)),IF(INDEX(properties!A$1:CB$87,'Fórmula'!H118,46)=0,10^6,INDEX(properties!A$1:CB$87,'Fórmula'!H118,46)),IF(INDEX(properties!A$1:CB$87,'Fórmula'!J118,46)=0,10^6,INDEX(properties!A$1:CB$87,'Fórmula'!J118,46)))</f>
        <v>0.25</v>
      </c>
      <c r="EU118" s="113">
        <f t="shared" si="25"/>
        <v>0.89</v>
      </c>
      <c r="EV118" s="114">
        <f t="array" ref="EV118">(('Fórmula'!C118)/('Fórmula'!C118+'Fórmula'!E118+'Fórmula'!G118+'Fórmula'!I118+'Fórmula'!K118))*(INDEX(properties!A$1:CB$87,'Fórmula'!B118,52))+(('Fórmula'!E118)/('Fórmula'!C118+'Fórmula'!E118+'Fórmula'!G118+'Fórmula'!I118+'Fórmula'!K118))*(INDEX(properties!A$1:CB$87,'Fórmula'!D118,52))+(('Fórmula'!G118)/('Fórmula'!C118+'Fórmula'!E118+'Fórmula'!G118+'Fórmula'!I118+'Fórmula'!K118))*(INDEX(properties!A$1:CB$87,'Fórmula'!F118,52))+(('Fórmula'!I118)/('Fórmula'!C118+'Fórmula'!E118+'Fórmula'!G118+'Fórmula'!I118+'Fórmula'!K118))*(INDEX(properties!A$1:CB$87,'Fórmula'!H118,52))+(('Fórmula'!K118)/('Fórmula'!C118+'Fórmula'!E118+'Fórmula'!G118+'Fórmula'!I118+'Fórmula'!K118))*(INDEX(properties!A$1:CB$87,'Fórmula'!J118,52))</f>
        <v>6.4</v>
      </c>
      <c r="EW118" s="114">
        <f t="array" ref="EW118">'Fórmula'!C118*(INDEX(properties!A$1:CB$87,'Fórmula'!B118,52))+'Fórmula'!E118*(INDEX(properties!A$1:CB$87,'Fórmula'!D118,52))+'Fórmula'!G118*(INDEX(properties!A$1:CB$87,'Fórmula'!F118,52))+'Fórmula'!I118*(INDEX(properties!A$1:CB$87,'Fórmula'!H118,52))+'Fórmula'!K118*(INDEX(properties!A$1:CB$87,'Fórmula'!J118,52))</f>
        <v>198.4</v>
      </c>
      <c r="EX118" s="114">
        <f t="array" ref="EX118">VARP(IF(INDEX(properties!A$1:CB$87,'Fórmula'!B118,52)&lt;&gt;"",INDEX(properties!A$1:CB$87,'Fórmula'!B118,52)),IF(INDEX(properties!A$1:CB$87,'Fórmula'!D118,52)&lt;&gt;"",INDEX(properties!A$1:CB$87,'Fórmula'!D118,52)),IF(INDEX(properties!A$1:CB$87,'Fórmula'!F118,52)&lt;&gt;"",INDEX(properties!A$1:CB$87,'Fórmula'!F118,52)),IF(INDEX(properties!A$1:CB$87,'Fórmula'!H118,52)&lt;&gt;"",INDEX(properties!A$1:CB$87,'Fórmula'!H118,52)),IF(INDEX(properties!A$1:CB$87,'Fórmula'!J118,52)&lt;&gt;"",INDEX(properties!A$1:CB$87,'Fórmula'!J118,52)))</f>
        <v>108.7176</v>
      </c>
      <c r="EY118" s="114">
        <f t="array" ref="EY118">MAX(INDEX(properties!A$1:CB$87,'Fórmula'!B118,52),INDEX(properties!A$1:CB$87,'Fórmula'!D118,52),INDEX(properties!A$1:CB$87,'Fórmula'!F118,52),INDEX(properties!A$1:CB$87,'Fórmula'!H118,52),INDEX(properties!A$1:CB$87,'Fórmula'!J118,52))</f>
        <v>24.3</v>
      </c>
      <c r="EZ118" s="114">
        <f t="array" ref="EZ118">MIN(IF(INDEX(properties!A$1:CB$87,'Fórmula'!B118,52)=0,10^6,INDEX(properties!A$1:CB$87,'Fórmula'!B118,52)),IF(INDEX(properties!A$1:CB$87,'Fórmula'!D118,52)=0,10^6,INDEX(properties!A$1:CB$87,'Fórmula'!D118,52)),IF(INDEX(properties!A$1:CB$87,'Fórmula'!F118,52)=0,10^6,INDEX(properties!A$1:CB$87,'Fórmula'!F118,52)),IF(INDEX(properties!A$1:CB$87,'Fórmula'!H118,52)=0,10^6,INDEX(properties!A$1:CB$87,'Fórmula'!H118,52)),IF(INDEX(properties!A$1:CB$87,'Fórmula'!J118,52)=0,10^6,INDEX(properties!A$1:CB$87,'Fórmula'!J118,52)))</f>
        <v>1.1</v>
      </c>
      <c r="FA118" s="114">
        <f t="shared" si="26"/>
        <v>23.2</v>
      </c>
      <c r="FB118" s="115">
        <f t="array" ref="FB118">(('Fórmula'!C118)/('Fórmula'!C118+'Fórmula'!E118+'Fórmula'!G118+'Fórmula'!I118+'Fórmula'!K118))*(INDEX(properties!A$1:CB$87,'Fórmula'!B118,53))+(('Fórmula'!E118)/('Fórmula'!C118+'Fórmula'!E118+'Fórmula'!G118+'Fórmula'!I118+'Fórmula'!K118))*(INDEX(properties!A$1:CB$87,'Fórmula'!D118,53))+(('Fórmula'!G118)/('Fórmula'!C118+'Fórmula'!E118+'Fórmula'!G118+'Fórmula'!I118+'Fórmula'!K118))*(INDEX(properties!A$1:CB$87,'Fórmula'!F118,53))+(('Fórmula'!I118)/('Fórmula'!C118+'Fórmula'!E118+'Fórmula'!G118+'Fórmula'!I118+'Fórmula'!K118))*(INDEX(properties!A$1:CB$87,'Fórmula'!H118,53))+(('Fórmula'!K118)/('Fórmula'!C118+'Fórmula'!E118+'Fórmula'!G118+'Fórmula'!I118+'Fórmula'!K118))*(INDEX(properties!A$1:CB$87,'Fórmula'!J118,53))</f>
        <v>832.1919355</v>
      </c>
      <c r="FC118" s="115">
        <f t="array" ref="FC118">'Fórmula'!C118*(INDEX(properties!A$1:CB$87,'Fórmula'!B118,53))+'Fórmula'!E118*(INDEX(properties!A$1:CB$87,'Fórmula'!D118,53))+'Fórmula'!G118*(INDEX(properties!A$1:CB$87,'Fórmula'!F118,53))+'Fórmula'!I118*(INDEX(properties!A$1:CB$87,'Fórmula'!H118,53))+'Fórmula'!K118*(INDEX(properties!A$1:CB$87,'Fórmula'!J118,53))</f>
        <v>25797.95</v>
      </c>
      <c r="FD118" s="115">
        <f t="array" ref="FD118">VARP(IF(INDEX(properties!A$1:CB$87,'Fórmula'!B118,53)&lt;&gt;"",INDEX(properties!A$1:CB$87,'Fórmula'!B118,53)),IF(INDEX(properties!A$1:CB$87,'Fórmula'!D118,53)&lt;&gt;"",INDEX(properties!A$1:CB$87,'Fórmula'!D118,53)),IF(INDEX(properties!A$1:CB$87,'Fórmula'!F118,53)&lt;&gt;"",INDEX(properties!A$1:CB$87,'Fórmula'!F118,53)),IF(INDEX(properties!A$1:CB$87,'Fórmula'!H118,53)&lt;&gt;"",INDEX(properties!A$1:CB$87,'Fórmula'!H118,53)),IF(INDEX(properties!A$1:CB$87,'Fórmula'!J118,53)&lt;&gt;"",INDEX(properties!A$1:CB$87,'Fórmula'!J118,53)))</f>
        <v>705977.2696</v>
      </c>
      <c r="FE118" s="115">
        <f t="array" ref="FE118">MAX(INDEX(properties!A$1:CB$87,'Fórmula'!B118,53),INDEX(properties!A$1:CB$87,'Fórmula'!D118,53),INDEX(properties!A$1:CB$87,'Fórmula'!F118,53),INDEX(properties!A$1:CB$87,'Fórmula'!H118,53),INDEX(properties!A$1:CB$87,'Fórmula'!J118,53))</f>
        <v>2352.15</v>
      </c>
      <c r="FF118" s="115">
        <f t="array" ref="FF118">MIN(IF(INDEX(properties!A$1:CB$87,'Fórmula'!B118,53)=0,10^6,INDEX(properties!A$1:CB$87,'Fórmula'!B118,53)),IF(INDEX(properties!A$1:CB$87,'Fórmula'!D118,53)=0,10^6,INDEX(properties!A$1:CB$87,'Fórmula'!D118,53)),IF(INDEX(properties!A$1:CB$87,'Fórmula'!F118,53)=0,10^6,INDEX(properties!A$1:CB$87,'Fórmula'!F118,53)),IF(INDEX(properties!A$1:CB$87,'Fórmula'!H118,53)=0,10^6,INDEX(properties!A$1:CB$87,'Fórmula'!H118,53)),IF(INDEX(properties!A$1:CB$87,'Fórmula'!J118,53)=0,10^6,INDEX(properties!A$1:CB$87,'Fórmula'!J118,53)))</f>
        <v>63.25</v>
      </c>
      <c r="FG118" s="115">
        <f t="shared" si="27"/>
        <v>2288.9</v>
      </c>
      <c r="FH118" s="117">
        <f t="array" ref="FH118">(('Fórmula'!C118)/('Fórmula'!C118+'Fórmula'!E118+'Fórmula'!G118+'Fórmula'!I118+'Fórmula'!K118))*(INDEX(properties!A$1:CB$87,'Fórmula'!B118,54))+(('Fórmula'!E118)/('Fórmula'!C118+'Fórmula'!E118+'Fórmula'!G118+'Fórmula'!I118+'Fórmula'!K118))*(INDEX(properties!A$1:CB$87,'Fórmula'!D118,54))+(('Fórmula'!G118)/('Fórmula'!C118+'Fórmula'!E118+'Fórmula'!G118+'Fórmula'!I118+'Fórmula'!K118))*(INDEX(properties!A$1:CB$87,'Fórmula'!F118,54))+(('Fórmula'!I118)/('Fórmula'!C118+'Fórmula'!E118+'Fórmula'!G118+'Fórmula'!I118+'Fórmula'!K118))*(INDEX(properties!A$1:CB$87,'Fórmula'!H118,54))+(('Fórmula'!K118)/('Fórmula'!C118+'Fórmula'!E118+'Fórmula'!G118+'Fórmula'!I118+'Fórmula'!K118))*(INDEX(properties!A$1:CB$87,'Fórmula'!J118,54))</f>
        <v>1563.398387</v>
      </c>
      <c r="FI118" s="117">
        <f t="array" ref="FI118">'Fórmula'!C118*(INDEX(properties!A$1:CB$87,'Fórmula'!B118,54))+'Fórmula'!E118*(INDEX(properties!A$1:CB$87,'Fórmula'!D118,54))+'Fórmula'!G118*(INDEX(properties!A$1:CB$87,'Fórmula'!F118,54))+'Fórmula'!I118*(INDEX(properties!A$1:CB$87,'Fórmula'!H118,54))+'Fórmula'!K118*(INDEX(properties!A$1:CB$87,'Fórmula'!J118,54))</f>
        <v>48465.35</v>
      </c>
      <c r="FJ118" s="117">
        <f t="array" ref="FJ118">VARP(IF(INDEX(properties!A$1:CB$87,'Fórmula'!B118,54)&lt;&gt;"",INDEX(properties!A$1:CB$87,'Fórmula'!B118,54)),IF(INDEX(properties!A$1:CB$87,'Fórmula'!D118,54)&lt;&gt;"",INDEX(properties!A$1:CB$87,'Fórmula'!D118,54)),IF(INDEX(properties!A$1:CB$87,'Fórmula'!F118,54)&lt;&gt;"",INDEX(properties!A$1:CB$87,'Fórmula'!F118,54)),IF(INDEX(properties!A$1:CB$87,'Fórmula'!H118,54)&lt;&gt;"",INDEX(properties!A$1:CB$87,'Fórmula'!H118,54)),IF(INDEX(properties!A$1:CB$87,'Fórmula'!J118,54)&lt;&gt;"",INDEX(properties!A$1:CB$87,'Fórmula'!J118,54)))</f>
        <v>2263107.696</v>
      </c>
      <c r="FK118" s="117">
        <f t="array" ref="FK118">MAX(INDEX(properties!A$1:CB$87,'Fórmula'!B118,54),INDEX(properties!A$1:CB$87,'Fórmula'!D118,54),INDEX(properties!A$1:CB$87,'Fórmula'!F118,54),INDEX(properties!A$1:CB$87,'Fórmula'!H118,54),INDEX(properties!A$1:CB$87,'Fórmula'!J118,54))</f>
        <v>4275</v>
      </c>
      <c r="FL118" s="117">
        <f t="array" ref="FL118">MIN(IF(INDEX(properties!A$1:CB$87,'Fórmula'!B118,54)=0,10^6,INDEX(properties!A$1:CB$87,'Fórmula'!B118,54)),IF(INDEX(properties!A$1:CB$87,'Fórmula'!D118,54)=0,10^6,INDEX(properties!A$1:CB$87,'Fórmula'!D118,54)),IF(INDEX(properties!A$1:CB$87,'Fórmula'!F118,54)=0,10^6,INDEX(properties!A$1:CB$87,'Fórmula'!F118,54)),IF(INDEX(properties!A$1:CB$87,'Fórmula'!H118,54)=0,10^6,INDEX(properties!A$1:CB$87,'Fórmula'!H118,54)),IF(INDEX(properties!A$1:CB$87,'Fórmula'!J118,54)=0,10^6,INDEX(properties!A$1:CB$87,'Fórmula'!J118,54)))</f>
        <v>77.35</v>
      </c>
      <c r="FM118" s="117">
        <f t="shared" si="28"/>
        <v>4197.65</v>
      </c>
      <c r="FN118" s="118">
        <f t="array" ref="FN118">(('Fórmula'!C118)/('Fórmula'!C118+'Fórmula'!E118+'Fórmula'!G118+'Fórmula'!I118+'Fórmula'!K118))*(INDEX(properties!A$1:CB$87,'Fórmula'!B118,55))+(('Fórmula'!E118)/('Fórmula'!C118+'Fórmula'!E118+'Fórmula'!G118+'Fórmula'!I118+'Fórmula'!K118))*(INDEX(properties!A$1:CB$87,'Fórmula'!D118,55))+(('Fórmula'!G118)/('Fórmula'!C118+'Fórmula'!E118+'Fórmula'!G118+'Fórmula'!I118+'Fórmula'!K118))*(INDEX(properties!A$1:CB$87,'Fórmula'!F118,55))+(('Fórmula'!I118)/('Fórmula'!C118+'Fórmula'!E118+'Fórmula'!G118+'Fórmula'!I118+'Fórmula'!K118))*(INDEX(properties!A$1:CB$87,'Fórmula'!H118,55))+(('Fórmula'!K118)/('Fórmula'!C118+'Fórmula'!E118+'Fórmula'!G118+'Fórmula'!I118+'Fórmula'!K118))*(INDEX(properties!A$1:CB$87,'Fórmula'!J118,55))</f>
        <v>1.241854839</v>
      </c>
      <c r="FO118" s="118">
        <f t="array" ref="FO118">'Fórmula'!C118*(INDEX(properties!A$1:CB$87,'Fórmula'!B118,55))+'Fórmula'!E118*(INDEX(properties!A$1:CB$87,'Fórmula'!D118,54))+'Fórmula'!G118*(INDEX(properties!A$1:CB$87,'Fórmula'!F118,55))+'Fórmula'!I118*(INDEX(properties!A$1:CB$87,'Fórmula'!H118,55))+'Fórmula'!K118*(INDEX(properties!A$1:CB$87,'Fórmula'!J118,55))</f>
        <v>1794.0975</v>
      </c>
      <c r="FP118" s="118">
        <f t="array" ref="FP118">VARP(IF(INDEX(properties!A$1:CB$87,'Fórmula'!B118,55)&lt;&gt;"",INDEX(properties!A$1:CB$87,'Fórmula'!B118,55)),IF(INDEX(properties!A$1:CB$87,'Fórmula'!D118,55)&lt;&gt;"",INDEX(properties!A$1:CB$87,'Fórmula'!D118,55)),IF(INDEX(properties!A$1:CB$87,'Fórmula'!F118,55)&lt;&gt;"",INDEX(properties!A$1:CB$87,'Fórmula'!F118,55)),IF(INDEX(properties!A$1:CB$87,'Fórmula'!H118,55)&lt;&gt;"",INDEX(properties!A$1:CB$87,'Fórmula'!H118,55)),IF(INDEX(properties!A$1:CB$87,'Fórmula'!J118,55)&lt;&gt;"",INDEX(properties!A$1:CB$87,'Fórmula'!J118,55)))</f>
        <v>2.46331475</v>
      </c>
      <c r="FQ118" s="118">
        <f t="array" ref="FQ118">MAX(INDEX(properties!A$1:CB$87,'Fórmula'!B118,55),INDEX(properties!A$1:CB$87,'Fórmula'!D118,55),INDEX(properties!A$1:CB$87,'Fórmula'!F118,55),INDEX(properties!A$1:CB$87,'Fórmula'!H118,55),INDEX(properties!A$1:CB$87,'Fórmula'!J118,55))</f>
        <v>4.47</v>
      </c>
      <c r="FR118" s="118">
        <f t="array" ref="FR118">MIN(IF(INDEX(properties!A$1:CB$87,'Fórmula'!B118,55)=0,10^6,INDEX(properties!A$1:CB$87,'Fórmula'!B118,55)),IF(INDEX(properties!A$1:CB$87,'Fórmula'!D118,55)=0,10^6,INDEX(properties!A$1:CB$87,'Fórmula'!D118,55)),IF(INDEX(properties!A$1:CB$87,'Fórmula'!F118,55)=0,10^6,INDEX(properties!A$1:CB$87,'Fórmula'!F118,55)),IF(INDEX(properties!A$1:CB$87,'Fórmula'!H118,55)=0,10^6,INDEX(properties!A$1:CB$87,'Fórmula'!H118,55)),IF(INDEX(properties!A$1:CB$87,'Fórmula'!J118,55)=0,10^6,INDEX(properties!A$1:CB$87,'Fórmula'!J118,55)))</f>
        <v>0.00125</v>
      </c>
      <c r="FS118" s="118">
        <f t="shared" si="29"/>
        <v>4.46875</v>
      </c>
      <c r="FT118" s="119">
        <f t="array" ref="FT118">(('Fórmula'!C118)/('Fórmula'!C118+'Fórmula'!E118+'Fórmula'!G118+'Fórmula'!I118+'Fórmula'!K118))*(INDEX(properties!A$1:CB$87,'Fórmula'!B118,56))+(('Fórmula'!E118)/('Fórmula'!C118+'Fórmula'!E118+'Fórmula'!G118+'Fórmula'!I118+'Fórmula'!K118))*(INDEX(properties!A$1:CB$87,'Fórmula'!D118,56))+(('Fórmula'!G118)/('Fórmula'!C118+'Fórmula'!E118+'Fórmula'!G118+'Fórmula'!I118+'Fórmula'!K118))*(INDEX(properties!A$1:CB$87,'Fórmula'!F118,56))+(('Fórmula'!I118)/('Fórmula'!C118+'Fórmula'!E118+'Fórmula'!G118+'Fórmula'!I118+'Fórmula'!K118))*(INDEX(properties!A$1:CB$87,'Fórmula'!H118,56))+(('Fórmula'!K118)/('Fórmula'!C118+'Fórmula'!E118+'Fórmula'!G118+'Fórmula'!I118+'Fórmula'!K118))*(INDEX(properties!A$1:CB$87,'Fórmula'!J118,56))</f>
        <v>0.9861290323</v>
      </c>
      <c r="FU118" s="119">
        <f t="array" ref="FU118">'Fórmula'!C118*(INDEX(properties!A$1:CB$87,'Fórmula'!B118,56))+'Fórmula'!E118*(INDEX(properties!A$1:CB$87,'Fórmula'!D118,56))+'Fórmula'!G118*(INDEX(properties!A$1:CB$87,'Fórmula'!F118,56))+'Fórmula'!I118*(INDEX(properties!A$1:CB$87,'Fórmula'!H118,56))+'Fórmula'!K118*(INDEX(properties!A$1:CB$87,'Fórmula'!J118,56))</f>
        <v>30.57</v>
      </c>
      <c r="FV118" s="119">
        <f t="array" ref="FV118">VARP(IF(INDEX(properties!A$1:CB$87,'Fórmula'!B118,56)&lt;&gt;"",INDEX(properties!A$1:CB$87,'Fórmula'!B118,56)),IF(INDEX(properties!A$1:CB$87,'Fórmula'!D118,56)&lt;&gt;"",INDEX(properties!A$1:CB$87,'Fórmula'!D118,56)),IF(INDEX(properties!A$1:CB$87,'Fórmula'!F118,56)&lt;&gt;"",INDEX(properties!A$1:CB$87,'Fórmula'!F118,56)),IF(INDEX(properties!A$1:CB$87,'Fórmula'!H118,56)&lt;&gt;"",INDEX(properties!A$1:CB$87,'Fórmula'!H118,56)),IF(INDEX(properties!A$1:CB$87,'Fórmula'!J118,56)&lt;&gt;"",INDEX(properties!A$1:CB$87,'Fórmula'!J118,56)))</f>
        <v>1.376656</v>
      </c>
      <c r="FW118" s="119">
        <f t="array" ref="FW118">MAX(INDEX(properties!A$1:CB$87,'Fórmula'!B118,56),INDEX(properties!A$1:CB$87,'Fórmula'!D118,56),INDEX(properties!A$1:CB$87,'Fórmula'!F118,56),INDEX(properties!A$1:CB$87,'Fórmula'!H118,56),INDEX(properties!A$1:CB$87,'Fórmula'!J118,56))</f>
        <v>3.6</v>
      </c>
      <c r="FX118" s="119">
        <f t="array" ref="FX118">MIN(IF(INDEX(properties!A$1:CB$87,'Fórmula'!B118,56)=0,10^6,INDEX(properties!A$1:CB$87,'Fórmula'!B118,56)),IF(INDEX(properties!A$1:CB$87,'Fórmula'!D118,56)=0,10^6,INDEX(properties!A$1:CB$87,'Fórmula'!D118,56)),IF(INDEX(properties!A$1:CB$87,'Fórmula'!F118,56)=0,10^6,INDEX(properties!A$1:CB$87,'Fórmula'!F118,56)),IF(INDEX(properties!A$1:CB$87,'Fórmula'!H118,56)=0,10^6,INDEX(properties!A$1:CB$87,'Fórmula'!H118,56)),IF(INDEX(properties!A$1:CB$87,'Fórmula'!J118,56)=0,10^6,INDEX(properties!A$1:CB$87,'Fórmula'!J118,56)))</f>
        <v>0.3</v>
      </c>
      <c r="FY118" s="119">
        <f t="shared" si="30"/>
        <v>3.3</v>
      </c>
      <c r="FZ118" s="104">
        <f t="array" ref="FZ118">(('Fórmula'!C118)/('Fórmula'!C118+'Fórmula'!E118+'Fórmula'!G118+'Fórmula'!I118+'Fórmula'!K118))*(INDEX(properties!A$1:CB$87,'Fórmula'!B118,57))+(('Fórmula'!E118)/('Fórmula'!C118+'Fórmula'!E118+'Fórmula'!G118+'Fórmula'!I118+'Fórmula'!K118))*(INDEX(properties!A$1:CB$87,'Fórmula'!D118,57))+(('Fórmula'!G118)/('Fórmula'!C118+'Fórmula'!E118+'Fórmula'!G118+'Fórmula'!I118+'Fórmula'!K118))*(INDEX(properties!A$1:CB$87,'Fórmula'!F118,57))+(('Fórmula'!I118)/('Fórmula'!C118+'Fórmula'!E118+'Fórmula'!G118+'Fórmula'!I118+'Fórmula'!K118))*(INDEX(properties!A$1:CB$87,'Fórmula'!H118,57))+(('Fórmula'!K118)/('Fórmula'!C118+'Fórmula'!E118+'Fórmula'!G118+'Fórmula'!I118+'Fórmula'!K118))*(INDEX(properties!A$1:CB$87,'Fórmula'!J118,57))</f>
        <v>12.13636129</v>
      </c>
      <c r="GA118" s="104">
        <f t="array" ref="GA118">'Fórmula'!C118*(INDEX(properties!A$1:CB$87,'Fórmula'!B118,57))+'Fórmula'!E118*(INDEX(properties!A$1:CB$87,'Fórmula'!D118,57))+'Fórmula'!G118*(INDEX(properties!A$1:CB$87,'Fórmula'!F118,57))+'Fórmula'!I118*(INDEX(properties!A$1:CB$87,'Fórmula'!H118,57))+'Fórmula'!K118*(INDEX(properties!A$1:CB$87,'Fórmula'!J118,57))</f>
        <v>376.2272</v>
      </c>
      <c r="GB118" s="104">
        <f t="array" ref="GB118">VARP(IF(INDEX(properties!A$1:CB$87,'Fórmula'!B118,57)&lt;&gt;"",INDEX(properties!A$1:CB$87,'Fórmula'!B118,57)),IF(INDEX(properties!A$1:CB$87,'Fórmula'!D118,57)&lt;&gt;"",INDEX(properties!A$1:CB$87,'Fórmula'!D118,57)),IF(INDEX(properties!A$1:CB$87,'Fórmula'!F118,57)&lt;&gt;"",INDEX(properties!A$1:CB$87,'Fórmula'!F118,57)),IF(INDEX(properties!A$1:CB$87,'Fórmula'!H118,57)&lt;&gt;"",INDEX(properties!A$1:CB$87,'Fórmula'!H118,57)),IF(INDEX(properties!A$1:CB$87,'Fórmula'!J118,57)&lt;&gt;"",INDEX(properties!A$1:CB$87,'Fórmula'!J118,57)))</f>
        <v>330.3199456</v>
      </c>
      <c r="GC118" s="104">
        <f t="array" ref="GC118">MAX(INDEX(properties!A$1:CB$87,'Fórmula'!B118,57),INDEX(properties!A$1:CB$87,'Fórmula'!D118,57),INDEX(properties!A$1:CB$87,'Fórmula'!F118,57),INDEX(properties!A$1:CB$87,'Fórmula'!H118,57),INDEX(properties!A$1:CB$87,'Fórmula'!J118,57))</f>
        <v>50.2</v>
      </c>
      <c r="GD118" s="104">
        <f t="array" ref="GD118">MIN(IF(INDEX(properties!A$1:CB$87,'Fórmula'!B118,57)=0,10^6,INDEX(properties!A$1:CB$87,'Fórmula'!B118,57)),IF(INDEX(properties!A$1:CB$87,'Fórmula'!D118,57)=0,10^6,INDEX(properties!A$1:CB$87,'Fórmula'!D118,57)),IF(INDEX(properties!A$1:CB$87,'Fórmula'!F118,57)=0,10^6,INDEX(properties!A$1:CB$87,'Fórmula'!F118,57)),IF(INDEX(properties!A$1:CB$87,'Fórmula'!H118,57)=0,10^6,INDEX(properties!A$1:CB$87,'Fórmula'!H118,57)),IF(INDEX(properties!A$1:CB$87,'Fórmula'!J118,57)=0,10^6,INDEX(properties!A$1:CB$87,'Fórmula'!J118,57)))</f>
        <v>0.3604</v>
      </c>
      <c r="GE118" s="104">
        <f t="shared" si="31"/>
        <v>49.8396</v>
      </c>
      <c r="GF118" s="105">
        <f t="array" ref="GF118">(('Fórmula'!C118)/('Fórmula'!C118+'Fórmula'!E118+'Fórmula'!G118+'Fórmula'!I118+'Fórmula'!K118))*(INDEX(properties!A$1:CB$87,'Fórmula'!B118,60))+(('Fórmula'!E118)/('Fórmula'!C118+'Fórmula'!E118+'Fórmula'!G118+'Fórmula'!I118+'Fórmula'!K118))*(INDEX(properties!A$1:CB$87,'Fórmula'!D118,60))+(('Fórmula'!G118)/('Fórmula'!C118+'Fórmula'!E118+'Fórmula'!G118+'Fórmula'!I118+'Fórmula'!K118))*(INDEX(properties!A$1:CB$87,'Fórmula'!F118,60))+(('Fórmula'!I118)/('Fórmula'!C118+'Fórmula'!E118+'Fórmula'!G118+'Fórmula'!I118+'Fórmula'!K118))*(INDEX(properties!A$1:CB$87,'Fórmula'!H118,60))+(('Fórmula'!K118)/('Fórmula'!C118+'Fórmula'!E118+'Fórmula'!G118+'Fórmula'!I118+'Fórmula'!K118))*(INDEX(properties!A$1:CB$87,'Fórmula'!J118,60))</f>
        <v>17.19895613</v>
      </c>
      <c r="GG118" s="105">
        <f t="array" ref="GG118">'Fórmula'!C118*(INDEX(properties!A$1:CB$87,'Fórmula'!B118,60))+'Fórmula'!E118*(INDEX(properties!A$1:CB$87,'Fórmula'!D118,60))+'Fórmula'!G118*(INDEX(properties!A$1:CB$87,'Fórmula'!F118,60))+'Fórmula'!I118*(INDEX(properties!A$1:CB$87,'Fórmula'!H118,60))+'Fórmula'!K118*(INDEX(properties!A$1:CB$87,'Fórmula'!J118,60))</f>
        <v>533.16764</v>
      </c>
      <c r="GH118" s="105">
        <f t="array" ref="GH118">VARP(IF(INDEX(properties!A$1:CB$87,'Fórmula'!B118,60)&lt;&gt;"",INDEX(properties!A$1:CB$87,'Fórmula'!B118,60)),IF(INDEX(properties!A$1:CB$87,'Fórmula'!D118,60)&lt;&gt;"",INDEX(properties!A$1:CB$87,'Fórmula'!D118,60)),IF(INDEX(properties!A$1:CB$87,'Fórmula'!F118,60)&lt;&gt;"",INDEX(properties!A$1:CB$87,'Fórmula'!F118,60)),IF(INDEX(properties!A$1:CB$87,'Fórmula'!H118,60)&lt;&gt;"",INDEX(properties!A$1:CB$87,'Fórmula'!H118,60)),IF(INDEX(properties!A$1:CB$87,'Fórmula'!J118,60)&lt;&gt;"",INDEX(properties!A$1:CB$87,'Fórmula'!J118,60)))</f>
        <v>5312.094122</v>
      </c>
      <c r="GI118" s="105">
        <f t="array" ref="GI118">MAX(INDEX(properties!A$1:CB$87,'Fórmula'!B118,60),INDEX(properties!A$1:CB$87,'Fórmula'!D118,60),INDEX(properties!A$1:CB$87,'Fórmula'!F118,60),INDEX(properties!A$1:CB$87,'Fórmula'!H118,60),INDEX(properties!A$1:CB$87,'Fórmula'!J118,60))</f>
        <v>200</v>
      </c>
      <c r="GJ118" s="105">
        <f t="array" ref="GJ118">MIN(IF(INDEX(properties!A$1:CB$87,'Fórmula'!B118,60)=0,10^6,INDEX(properties!A$1:CB$87,'Fórmula'!B118,60)),IF(INDEX(properties!A$1:CB$87,'Fórmula'!D118,60)=0,10^6,INDEX(properties!A$1:CB$87,'Fórmula'!D118,60)),IF(INDEX(properties!A$1:CB$87,'Fórmula'!F118,60)=0,10^6,INDEX(properties!A$1:CB$87,'Fórmula'!F118,60)),IF(INDEX(properties!A$1:CB$87,'Fórmula'!H118,60)=0,10^6,INDEX(properties!A$1:CB$87,'Fórmula'!H118,60)),IF(INDEX(properties!A$1:CB$87,'Fórmula'!J118,60)=0,10^6,INDEX(properties!A$1:CB$87,'Fórmula'!J118,60)))</f>
        <v>0.02598</v>
      </c>
      <c r="GK118" s="105">
        <f t="shared" si="32"/>
        <v>199.97402</v>
      </c>
      <c r="GL118" s="106">
        <f t="array" ref="GL118">(('Fórmula'!C118)/('Fórmula'!C118+'Fórmula'!E118+'Fórmula'!G118+'Fórmula'!I118+'Fórmula'!K118))*(INDEX(properties!A$1:CB$87,'Fórmula'!B118,62))+(('Fórmula'!E118)/('Fórmula'!C118+'Fórmula'!E118+'Fórmula'!G118+'Fórmula'!I118+'Fórmula'!K118))*(INDEX(properties!A$1:CB$87,'Fórmula'!D118,62))+(('Fórmula'!G118)/('Fórmula'!C118+'Fórmula'!E118+'Fórmula'!G118+'Fórmula'!I118+'Fórmula'!K118))*(INDEX(properties!A$1:CB$87,'Fórmula'!F118,62))+(('Fórmula'!I118)/('Fórmula'!C118+'Fórmula'!E118+'Fórmula'!G118+'Fórmula'!I118+'Fórmula'!K118))*(INDEX(properties!A$1:CB$87,'Fórmula'!H118,62))+(('Fórmula'!K118)/('Fórmula'!C118+'Fórmula'!E118+'Fórmula'!G118+'Fórmula'!I118+'Fórmula'!K118))*(INDEX(properties!A$1:CB$87,'Fórmula'!J118,62))</f>
        <v>4.798064516</v>
      </c>
      <c r="GM118" s="106">
        <f t="array" ref="GM118">'Fórmula'!C118*(INDEX(properties!A$1:CB$87,'Fórmula'!B118,62))+'Fórmula'!E118*(INDEX(properties!A$1:CB$87,'Fórmula'!D118,62))+'Fórmula'!G118*(INDEX(properties!A$1:CB$87,'Fórmula'!F118,62))+'Fórmula'!I118*(INDEX(properties!A$1:CB$87,'Fórmula'!H118,62))+'Fórmula'!K118*(INDEX(properties!A$1:CB$87,'Fórmula'!J118,62))</f>
        <v>148.74</v>
      </c>
      <c r="GN118" s="106">
        <f t="array" ref="GN118">VARP(IF(INDEX(properties!A$1:CB$87,'Fórmula'!B118,62)&lt;&gt;"",INDEX(properties!A$1:CB$87,'Fórmula'!B118,62)),IF(INDEX(properties!A$1:CB$87,'Fórmula'!D118,62)&lt;&gt;"",INDEX(properties!A$1:CB$87,'Fórmula'!D118,62)),IF(INDEX(properties!A$1:CB$87,'Fórmula'!F118,62)&lt;&gt;"",INDEX(properties!A$1:CB$87,'Fórmula'!F118,62)),IF(INDEX(properties!A$1:CB$87,'Fórmula'!H118,62)&lt;&gt;"",INDEX(properties!A$1:CB$87,'Fórmula'!H118,62)),IF(INDEX(properties!A$1:CB$87,'Fórmula'!J118,62)&lt;&gt;"",INDEX(properties!A$1:CB$87,'Fórmula'!J118,62)))</f>
        <v>2.826584</v>
      </c>
      <c r="GO118" s="106">
        <f t="array" ref="GO118">MAX(INDEX(properties!A$1:CB$87,'Fórmula'!B118,62),INDEX(properties!A$1:CB$87,'Fórmula'!D118,62),INDEX(properties!A$1:CB$87,'Fórmula'!F118,62),INDEX(properties!A$1:CB$87,'Fórmula'!H118,62),INDEX(properties!A$1:CB$87,'Fórmula'!J118,62))</f>
        <v>5.81</v>
      </c>
      <c r="GP118" s="106">
        <f t="array" ref="GP118">MIN(IF(INDEX(properties!A$1:CB$87,'Fórmula'!B118,62)=0,10^6,INDEX(properties!A$1:CB$87,'Fórmula'!B118,62)),IF(INDEX(properties!A$1:CB$87,'Fórmula'!D118,62)=0,10^6,INDEX(properties!A$1:CB$87,'Fórmula'!D118,62)),IF(INDEX(properties!A$1:CB$87,'Fórmula'!F118,62)=0,10^6,INDEX(properties!A$1:CB$87,'Fórmula'!F118,62)),IF(INDEX(properties!A$1:CB$87,'Fórmula'!H118,62)=0,10^6,INDEX(properties!A$1:CB$87,'Fórmula'!H118,62)),IF(INDEX(properties!A$1:CB$87,'Fórmula'!J118,62)=0,10^6,INDEX(properties!A$1:CB$87,'Fórmula'!J118,62)))</f>
        <v>1.63</v>
      </c>
      <c r="GQ118" s="106">
        <f t="shared" si="33"/>
        <v>4.18</v>
      </c>
      <c r="GR118" s="106">
        <f>'Fórmula'!Q118</f>
        <v>179</v>
      </c>
      <c r="GS118" s="107">
        <f>'Fórmula'!P118</f>
        <v>5</v>
      </c>
      <c r="GT118" s="113">
        <f>'Fórmula'!O118</f>
        <v>3.88</v>
      </c>
      <c r="GU118" s="114">
        <f>AVERAGE('Fórmula'!R118/'Fórmula'!S118,'Fórmula'!S118/'Fórmula'!T118,'Fórmula'!T118/'Fórmula'!R118)</f>
        <v>1.634539084</v>
      </c>
      <c r="GV118" s="125">
        <f>'Fórmula'!U118</f>
        <v>1083.74</v>
      </c>
      <c r="GW118" s="106">
        <f>'Fórmula'!N118</f>
        <v>0.12</v>
      </c>
    </row>
    <row r="119" ht="14.25" customHeight="1">
      <c r="A119" s="99" t="str">
        <f>'Fórmula'!A119</f>
        <v>CaLaAl3O7</v>
      </c>
      <c r="B119" s="101">
        <f t="array" ref="B119">(('Fórmula'!C119)/('Fórmula'!C119+'Fórmula'!E119+'Fórmula'!G119+'Fórmula'!I119+'Fórmula'!K119))*(INDEX(properties!A$1:CB$87,'Fórmula'!B119,3))+(('Fórmula'!E119)/('Fórmula'!C119+'Fórmula'!E119+'Fórmula'!G119+'Fórmula'!I119+'Fórmula'!K119))*(INDEX(properties!A$1:CB$87,'Fórmula'!D119,3))+(('Fórmula'!G119)/('Fórmula'!C119+'Fórmula'!E119+'Fórmula'!G119+'Fórmula'!I119+'Fórmula'!K119))*(INDEX(properties!A$1:CB$87,'Fórmula'!F119,3))+(('Fórmula'!I119)/('Fórmula'!C119+'Fórmula'!E119+'Fórmula'!G119+'Fórmula'!I119+'Fórmula'!K119))*(INDEX(properties!A$1:CB$87,'Fórmula'!H119,3))+(('Fórmula'!K119)/('Fórmula'!C119+'Fórmula'!E119+'Fórmula'!G119+'Fórmula'!I119+'Fórmula'!K119))*(INDEX(properties!A$1:CB$87,'Fórmula'!J119,3))</f>
        <v>30.99365975</v>
      </c>
      <c r="C119" s="101">
        <f t="array" ref="C119">'Fórmula'!C119*(INDEX(properties!A$1:CB$87,'Fórmula'!B119,3))+'Fórmula'!E119*(INDEX(properties!A$1:CB$87,'Fórmula'!D119,3))+'Fórmula'!G119*(INDEX(properties!A$1:CB$87,'Fórmula'!F119,3))+'Fórmula'!I119*(INDEX(properties!A$1:CB$87,'Fórmula'!H119,3))+'Fórmula'!K119*(INDEX(properties!A$1:CB$87,'Fórmula'!J119,3))</f>
        <v>371.923917</v>
      </c>
      <c r="D119" s="101">
        <f t="array" ref="D119">VARP(IF(INDEX(properties!A$1:CB$87,'Fórmula'!B119,3)&lt;&gt;"",INDEX(properties!A$1:CB$87,'Fórmula'!B119,3)),IF(INDEX(properties!A$1:CB$87,'Fórmula'!D119,3)&lt;&gt;"",INDEX(properties!A$1:CB$87,'Fórmula'!D119,3)),IF(INDEX(properties!A$1:CB$87,'Fórmula'!F119,3)&lt;&gt;"",INDEX(properties!A$1:CB$87,'Fórmula'!F119,3)),IF(INDEX(properties!A$1:CB$87,'Fórmula'!H119,3)&lt;&gt;"",INDEX(properties!A$1:CB$87,'Fórmula'!H119,3)),IF(INDEX(properties!A$1:CB$87,'Fórmula'!J119,3)&lt;&gt;"",INDEX(properties!A$1:CB$87,'Fórmula'!J119,3)))</f>
        <v>2406.265165</v>
      </c>
      <c r="E119" s="101">
        <f t="array" ref="E119">MAX(INDEX(properties!A$1:CB$87,'Fórmula'!B119,3),INDEX(properties!A$1:CB$87,'Fórmula'!D119,3),INDEX(properties!A$1:CB$87,'Fórmula'!F119,3),INDEX(properties!A$1:CB$87,'Fórmula'!H119,3),INDEX(properties!A$1:CB$87,'Fórmula'!J119,3))</f>
        <v>138.9055</v>
      </c>
      <c r="F119" s="101">
        <f t="array" ref="F119">MIN(IF(INDEX(properties!A$1:CB$87,'Fórmula'!B119,3)=0,10^6,INDEX(properties!A$1:CB$87,'Fórmula'!B119,3)),IF(INDEX(properties!A$1:CB$87,'Fórmula'!D119,3)=0,10^6,INDEX(properties!A$1:CB$87,'Fórmula'!D119,3)),IF(INDEX(properties!A$1:CB$87,'Fórmula'!F119,3)=0,10^6,INDEX(properties!A$1:CB$87,'Fórmula'!F119,3)),IF(INDEX(properties!A$1:CB$87,'Fórmula'!H119,3)=0,10^6,INDEX(properties!A$1:CB$87,'Fórmula'!H119,3)),IF(INDEX(properties!A$1:CB$87,'Fórmula'!J119,3)=0,10^6,INDEX(properties!A$1:CB$87,'Fórmula'!J119,3)))</f>
        <v>15.9994</v>
      </c>
      <c r="G119" s="101">
        <f t="shared" si="1"/>
        <v>122.9061</v>
      </c>
      <c r="H119" s="102">
        <f t="array" ref="H119">(('Fórmula'!C119)/('Fórmula'!C119+'Fórmula'!E119+'Fórmula'!G119+'Fórmula'!I119+'Fórmula'!K119))*(INDEX(properties!A$1:CB$87,'Fórmula'!B119,4))+(('Fórmula'!E119)/('Fórmula'!C119+'Fórmula'!E119+'Fórmula'!G119+'Fórmula'!I119+'Fórmula'!K119))*(INDEX(properties!A$1:CB$87,'Fórmula'!D119,4))+(('Fórmula'!G119)/('Fórmula'!C119+'Fórmula'!E119+'Fórmula'!G119+'Fórmula'!I119+'Fórmula'!K119))*(INDEX(properties!A$1:CB$87,'Fórmula'!F119,4))+(('Fórmula'!I119)/('Fórmula'!C119+'Fórmula'!E119+'Fórmula'!G119+'Fórmula'!I119+'Fórmula'!K119))*(INDEX(properties!A$1:CB$87,'Fórmula'!H119,4))+(('Fórmula'!K119)/('Fórmula'!C119+'Fórmula'!E119+'Fórmula'!G119+'Fórmula'!I119+'Fórmula'!K119))*(INDEX(properties!A$1:CB$87,'Fórmula'!J119,4))</f>
        <v>14.33333333</v>
      </c>
      <c r="I119" s="102">
        <f t="array" ref="I119">'Fórmula'!C119*(INDEX(properties!A$1:CB$87,'Fórmula'!B119,4))+'Fórmula'!E119*(INDEX(properties!A$1:CB$87,'Fórmula'!D119,4))+'Fórmula'!G119*(INDEX(properties!A$1:CB$87,'Fórmula'!F119,4))+'Fórmula'!I119*(INDEX(properties!A$1:CB$87,'Fórmula'!H119,4))+'Fórmula'!K119*(INDEX(properties!A$1:CB$87,'Fórmula'!J119,4))</f>
        <v>172</v>
      </c>
      <c r="J119" s="102">
        <f t="array" ref="J119">VARP(IF(INDEX(properties!A$1:CB$87,'Fórmula'!B119,4)&lt;&gt;"",INDEX(properties!A$1:CB$87,'Fórmula'!B119,4)),IF(INDEX(properties!A$1:CB$87,'Fórmula'!D119,4)&lt;&gt;"",INDEX(properties!A$1:CB$87,'Fórmula'!D119,4)),IF(INDEX(properties!A$1:CB$87,'Fórmula'!F119,4)&lt;&gt;"",INDEX(properties!A$1:CB$87,'Fórmula'!F119,4)),IF(INDEX(properties!A$1:CB$87,'Fórmula'!H119,4)&lt;&gt;"",INDEX(properties!A$1:CB$87,'Fórmula'!H119,4)),IF(INDEX(properties!A$1:CB$87,'Fórmula'!J119,4)&lt;&gt;"",INDEX(properties!A$1:CB$87,'Fórmula'!J119,4)))</f>
        <v>392.24</v>
      </c>
      <c r="K119" s="102">
        <f t="array" ref="K119">MAX(INDEX(properties!A$1:CB$87,'Fórmula'!B119,4),INDEX(properties!A$1:CB$87,'Fórmula'!D119,4),INDEX(properties!A$1:CB$87,'Fórmula'!F119,4),INDEX(properties!A$1:CB$87,'Fórmula'!H119,4),INDEX(properties!A$1:CB$87,'Fórmula'!J119,4))</f>
        <v>57</v>
      </c>
      <c r="L119" s="102">
        <f t="array" ref="L119">MIN(IF(INDEX(properties!A$1:CB$87,'Fórmula'!B119,4)=0,10^6,INDEX(properties!A$1:CB$87,'Fórmula'!B119,4)),IF(INDEX(properties!A$1:CB$87,'Fórmula'!D119,4)=0,10^6,INDEX(properties!A$1:CB$87,'Fórmula'!D119,4)),IF(INDEX(properties!A$1:CB$87,'Fórmula'!F119,4)=0,10^6,INDEX(properties!A$1:CB$87,'Fórmula'!F119,4)),IF(INDEX(properties!A$1:CB$87,'Fórmula'!H119,4)=0,10^6,INDEX(properties!A$1:CB$87,'Fórmula'!H119,4)),IF(INDEX(properties!A$1:CB$87,'Fórmula'!J119,4)=0,10^6,INDEX(properties!A$1:CB$87,'Fórmula'!J119,4)))</f>
        <v>8</v>
      </c>
      <c r="M119" s="102">
        <f t="shared" si="2"/>
        <v>49</v>
      </c>
      <c r="N119" s="103">
        <f t="array" ref="N119">(('Fórmula'!C119)/('Fórmula'!C119+'Fórmula'!E119+'Fórmula'!G119+'Fórmula'!I119+'Fórmula'!K119))*(INDEX(properties!A$1:CB$87,'Fórmula'!B119,5))+(('Fórmula'!E119)/('Fórmula'!C119+'Fórmula'!E119+'Fórmula'!G119+'Fórmula'!I119+'Fórmula'!K119))*(INDEX(properties!A$1:CB$87,'Fórmula'!D119,5))+(('Fórmula'!G119)/('Fórmula'!C119+'Fórmula'!E119+'Fórmula'!G119+'Fórmula'!I119+'Fórmula'!K119))*(INDEX(properties!A$1:CB$87,'Fórmula'!F119,5))+(('Fórmula'!I119)/('Fórmula'!C119+'Fórmula'!E119+'Fórmula'!G119+'Fórmula'!I119+'Fórmula'!K119))*(INDEX(properties!A$1:CB$87,'Fórmula'!H119,5))+(('Fórmula'!K119)/('Fórmula'!C119+'Fórmula'!E119+'Fórmula'!G119+'Fórmula'!I119+'Fórmula'!K119))*(INDEX(properties!A$1:CB$87,'Fórmula'!J119,5))</f>
        <v>2.75</v>
      </c>
      <c r="O119" s="103">
        <f t="array" ref="O119">'Fórmula'!C119*(INDEX(properties!A$1:CB$87,'Fórmula'!B119,5))+'Fórmula'!E119*(INDEX(properties!A$1:CB$87,'Fórmula'!D119,5))+'Fórmula'!G119*(INDEX(properties!A$1:CB$87,'Fórmula'!F119,5))+'Fórmula'!I119*(INDEX(properties!A$1:CB$87,'Fórmula'!H119,5))+'Fórmula'!K119*(INDEX(properties!A$1:CB$87,'Fórmula'!J119,5))</f>
        <v>33</v>
      </c>
      <c r="P119" s="103">
        <f t="array" ref="P119">VARP(IF(INDEX(properties!A$1:CB$87,'Fórmula'!B119,5)&lt;&gt;"",INDEX(properties!A$1:CB$87,'Fórmula'!B119,5)),IF(INDEX(properties!A$1:CB$87,'Fórmula'!D119,5)&lt;&gt;"",INDEX(properties!A$1:CB$87,'Fórmula'!D119,5)),IF(INDEX(properties!A$1:CB$87,'Fórmula'!F119,5)&lt;&gt;"",INDEX(properties!A$1:CB$87,'Fórmula'!F119,5)),IF(INDEX(properties!A$1:CB$87,'Fórmula'!H119,5)&lt;&gt;"",INDEX(properties!A$1:CB$87,'Fórmula'!H119,5)),IF(INDEX(properties!A$1:CB$87,'Fórmula'!J119,5)&lt;&gt;"",INDEX(properties!A$1:CB$87,'Fórmula'!J119,5)))</f>
        <v>4</v>
      </c>
      <c r="Q119" s="103">
        <f t="array" ref="Q119">MAX(INDEX(properties!A$1:CB$87,'Fórmula'!B119,5),INDEX(properties!A$1:CB$87,'Fórmula'!D119,5),INDEX(properties!A$1:CB$87,'Fórmula'!F119,5),INDEX(properties!A$1:CB$87,'Fórmula'!H119,5),INDEX(properties!A$1:CB$87,'Fórmula'!J119,5))</f>
        <v>6</v>
      </c>
      <c r="R119" s="103">
        <f t="array" ref="R119">MIN(IF(INDEX(properties!A$1:CB$87,'Fórmula'!B119,5)=0,10^6,INDEX(properties!A$1:CB$87,'Fórmula'!B119,5)),IF(INDEX(properties!A$1:CB$87,'Fórmula'!D119,5)=0,10^6,INDEX(properties!A$1:CB$87,'Fórmula'!D119,5)),IF(INDEX(properties!A$1:CB$87,'Fórmula'!F119,5)=0,10^6,INDEX(properties!A$1:CB$87,'Fórmula'!F119,5)),IF(INDEX(properties!A$1:CB$87,'Fórmula'!H119,5)=0,10^6,INDEX(properties!A$1:CB$87,'Fórmula'!H119,5)),IF(INDEX(properties!A$1:CB$87,'Fórmula'!J119,5)=0,10^6,INDEX(properties!A$1:CB$87,'Fórmula'!J119,5)))</f>
        <v>2</v>
      </c>
      <c r="S119" s="103">
        <f t="shared" si="3"/>
        <v>4</v>
      </c>
      <c r="T119" s="104">
        <f t="array" ref="T119">(('Fórmula'!C119)/('Fórmula'!C119+'Fórmula'!E119+'Fórmula'!G119+'Fórmula'!I119+'Fórmula'!K119))*(INDEX(properties!A$1:CB$87,'Fórmula'!B119,6))+(('Fórmula'!E119)/('Fórmula'!C119+'Fórmula'!E119+'Fórmula'!G119+'Fórmula'!I119+'Fórmula'!K119))*(INDEX(properties!A$1:CB$87,'Fórmula'!D119,6))+(('Fórmula'!G119)/('Fórmula'!C119+'Fórmula'!E119+'Fórmula'!G119+'Fórmula'!I119+'Fórmula'!K119))*(INDEX(properties!A$1:CB$87,'Fórmula'!F119,6))+(('Fórmula'!I119)/('Fórmula'!C119+'Fórmula'!E119+'Fórmula'!G119+'Fórmula'!I119+'Fórmula'!K119))*(INDEX(properties!A$1:CB$87,'Fórmula'!H119,6))+(('Fórmula'!K119)/('Fórmula'!C119+'Fórmula'!E119+'Fórmula'!G119+'Fórmula'!I119+'Fórmula'!K119))*(INDEX(properties!A$1:CB$87,'Fórmula'!J119,6))</f>
        <v>13</v>
      </c>
      <c r="U119" s="104">
        <f t="array" ref="U119">'Fórmula'!C119*(INDEX(properties!A$1:CB$87,'Fórmula'!B119,6))+'Fórmula'!E119*(INDEX(properties!A$1:CB$87,'Fórmula'!D119,6))+'Fórmula'!G119*(INDEX(properties!A$1:CB$87,'Fórmula'!F119,6))+'Fórmula'!I119*(INDEX(properties!A$1:CB$87,'Fórmula'!H119,6))+'Fórmula'!K119*(INDEX(properties!A$1:CB$87,'Fórmula'!J119,6))</f>
        <v>156</v>
      </c>
      <c r="V119" s="103">
        <f t="array" ref="V119">VARP(IF(INDEX(properties!A$1:CB$87,'Fórmula'!B119,6)&lt;&gt;"",INDEX(properties!A$1:CB$87,'Fórmula'!B119,6)),IF(INDEX(properties!A$1:CB$87,'Fórmula'!D119,6)&lt;&gt;"",INDEX(properties!A$1:CB$87,'Fórmula'!D119,6)),IF(INDEX(properties!A$1:CB$87,'Fórmula'!F119,6)&lt;&gt;"",INDEX(properties!A$1:CB$87,'Fórmula'!F119,6)),IF(INDEX(properties!A$1:CB$87,'Fórmula'!H119,6)&lt;&gt;"",INDEX(properties!A$1:CB$87,'Fórmula'!H119,6)),IF(INDEX(properties!A$1:CB$87,'Fórmula'!J119,6)&lt;&gt;"",INDEX(properties!A$1:CB$87,'Fórmula'!J119,6)))</f>
        <v>41.36</v>
      </c>
      <c r="W119" s="104">
        <f t="array" ref="W119">MAX(INDEX(properties!A$1:CB$87,'Fórmula'!B119,6),INDEX(properties!A$1:CB$87,'Fórmula'!D119,6),INDEX(properties!A$1:CB$87,'Fórmula'!F119,6),INDEX(properties!A$1:CB$87,'Fórmula'!H119,4),INDEX(properties!A$1:CB$87,'Fórmula'!J119,6))</f>
        <v>13</v>
      </c>
      <c r="X119" s="104">
        <f t="array" ref="X119">MIN(IF(INDEX(properties!A$1:CB$87,'Fórmula'!B119,6)=0,10^6,INDEX(properties!A$1:CB$87,'Fórmula'!B119,6)),IF(INDEX(properties!A$1:CB$87,'Fórmula'!D119,6)=0,10^6,INDEX(properties!A$1:CB$87,'Fórmula'!D119,6)),IF(INDEX(properties!A$1:CB$87,'Fórmula'!F119,6)=0,10^6,INDEX(properties!A$1:CB$87,'Fórmula'!F119,6)),IF(INDEX(properties!A$1:CB$87,'Fórmula'!H119,6)=0,10^6,INDEX(properties!A$1:CB$87,'Fórmula'!H119,6)),IF(INDEX(properties!A$1:CB$87,'Fórmula'!J119,6)=0,10^6,INDEX(properties!A$1:CB$87,'Fórmula'!J119,6)))</f>
        <v>2</v>
      </c>
      <c r="Y119" s="104">
        <f t="shared" si="4"/>
        <v>11</v>
      </c>
      <c r="Z119" s="105">
        <f t="array" ref="Z119">(('Fórmula'!C119)/('Fórmula'!C119+'Fórmula'!E119+'Fórmula'!G119+'Fórmula'!I119+'Fórmula'!K119))*(INDEX(properties!A$1:CB$87,'Fórmula'!B119,9))+(('Fórmula'!E119)/('Fórmula'!C119+'Fórmula'!E119+'Fórmula'!G119+'Fórmula'!I119+'Fórmula'!K119))*(INDEX(properties!A$1:CB$87,'Fórmula'!D119,9))+(('Fórmula'!G119)/('Fórmula'!C119+'Fórmula'!E119+'Fórmula'!G119+'Fórmula'!I119+'Fórmula'!K119))*(INDEX(properties!A$1:CB$87,'Fórmula'!F119,9))+(('Fórmula'!I119)/('Fórmula'!C119+'Fórmula'!E119+'Fórmula'!G119+'Fórmula'!I119+'Fórmula'!K119))*(INDEX(properties!A$1:CB$87,'Fórmula'!H119,9))+(('Fórmula'!K119)/('Fórmula'!C119+'Fórmula'!E119+'Fórmula'!G119+'Fórmula'!I119+'Fórmula'!K119))*(INDEX(properties!A$1:CB$87,'Fórmula'!J119,9))</f>
        <v>70.66666667</v>
      </c>
      <c r="AA119" s="105">
        <f t="array" ref="AA119">'Fórmula'!C119*(INDEX(properties!A$1:CB$87,'Fórmula'!B119,9))+'Fórmula'!E119*(INDEX(properties!A$1:CB$87,'Fórmula'!D119,9))+'Fórmula'!G119*(INDEX(properties!A$1:CB$87,'Fórmula'!F119,9))+'Fórmula'!I119*(INDEX(properties!A$1:CB$87,'Fórmula'!H119,9))+'Fórmula'!K119*(INDEX(properties!A$1:CB$87,'Fórmula'!J119,9))</f>
        <v>848</v>
      </c>
      <c r="AB119" s="105">
        <f t="array" ref="AB119">VARP(IF(INDEX(properties!A$1:CB$87,'Fórmula'!B119,9)&lt;&gt;"",INDEX(properties!A$1:CB$87,'Fórmula'!B119,9)),IF(INDEX(properties!A$1:CB$87,'Fórmula'!D119,9)&lt;&gt;"",INDEX(properties!A$1:CB$87,'Fórmula'!D119,9)),IF(INDEX(properties!A$1:CB$87,'Fórmula'!F119,9)&lt;&gt;"",INDEX(properties!A$1:CB$87,'Fórmula'!F119,9)),IF(INDEX(properties!A$1:CB$87,'Fórmula'!H119,9)&lt;&gt;"",INDEX(properties!A$1:CB$87,'Fórmula'!H119,9)),IF(INDEX(properties!A$1:CB$87,'Fórmula'!J119,9)&lt;&gt;"",INDEX(properties!A$1:CB$87,'Fórmula'!J119,9)))</f>
        <v>1327.2</v>
      </c>
      <c r="AC119" s="105">
        <f t="array" ref="AC119">MAX(INDEX(properties!A$1:CB$87,'Fórmula'!B119,9),INDEX(properties!A$1:CB$87,'Fórmula'!D119,9),INDEX(properties!A$1:CB$87,'Fórmula'!F119,9),INDEX(properties!A$1:CB$87,'Fórmula'!H119,9),INDEX(properties!A$1:CB$87,'Fórmula'!J119,9))</f>
        <v>87</v>
      </c>
      <c r="AD119" s="105">
        <f t="array" ref="AD119">MIN(IF(INDEX(properties!A$1:CB$87,'Fórmula'!B119,9)=0,10^6,INDEX(properties!A$1:CB$87,'Fórmula'!B119,9)),IF(INDEX(properties!A$1:CB$87,'Fórmula'!D119,9)=0,10^6,INDEX(properties!A$1:CB$87,'Fórmula'!D119,9)),IF(INDEX(properties!A$1:CB$87,'Fórmula'!F119,9)=0,10^6,INDEX(properties!A$1:CB$87,'Fórmula'!F119,9)),IF(INDEX(properties!A$1:CB$87,'Fórmula'!H119,9)=0,10^6,INDEX(properties!A$1:CB$87,'Fórmula'!H119,9)),IF(INDEX(properties!A$1:CB$87,'Fórmula'!J119,9)=0,10^6,INDEX(properties!A$1:CB$87,'Fórmula'!J119,9)))</f>
        <v>7</v>
      </c>
      <c r="AE119" s="105">
        <f t="shared" si="5"/>
        <v>80</v>
      </c>
      <c r="AF119" s="106">
        <f t="array" ref="AF119">(('Fórmula'!C119)/('Fórmula'!C119+'Fórmula'!E119+'Fórmula'!G119+'Fórmula'!I119+'Fórmula'!K119))*(INDEX(properties!A$1:CB$87,'Fórmula'!B119,10))+(('Fórmula'!E119)/('Fórmula'!C119+'Fórmula'!E119+'Fórmula'!G119+'Fórmula'!I119+'Fórmula'!K119))*(INDEX(properties!A$1:CB$87,'Fórmula'!D119,10))+(('Fórmula'!G119)/('Fórmula'!C119+'Fórmula'!E119+'Fórmula'!G119+'Fórmula'!I119+'Fórmula'!K119))*(INDEX(properties!A$1:CB$87,'Fórmula'!F119,10))+(('Fórmula'!I119)/('Fórmula'!C119+'Fórmula'!E119+'Fórmula'!G119+'Fórmula'!I119+'Fórmula'!K119))*(INDEX(properties!A$1:CB$87,'Fórmula'!H119,10))+(('Fórmula'!K119)/('Fórmula'!C119+'Fórmula'!E119+'Fórmula'!G119+'Fórmula'!I119+'Fórmula'!K119))*(INDEX(properties!A$1:CB$87,'Fórmula'!J119,10))</f>
        <v>5.75</v>
      </c>
      <c r="AG119" s="106">
        <f t="array" ref="AG119">'Fórmula'!C119*(INDEX(properties!A$1:CB$87,'Fórmula'!B119,10))+'Fórmula'!E119*(INDEX(properties!A$1:CB$87,'Fórmula'!D119,10))+'Fórmula'!G119*(INDEX(properties!A$1:CB$87,'Fórmula'!F119,10))+'Fórmula'!I119*(INDEX(properties!A$1:CB$87,'Fórmula'!H119,10))+'Fórmula'!K119*(INDEX(properties!A$1:CB$87,'Fórmula'!J119,10))</f>
        <v>69</v>
      </c>
      <c r="AH119" s="106">
        <f t="array" ref="AH119">VARP(IF(INDEX(properties!A$1:CB$87,'Fórmula'!B119,10)&lt;&gt;"",INDEX(properties!A$1:CB$87,'Fórmula'!B119,10)),IF(INDEX(properties!A$1:CB$87,'Fórmula'!D119,10)&lt;&gt;"",INDEX(properties!A$1:CB$87,'Fórmula'!D119,10)),IF(INDEX(properties!A$1:CB$87,'Fórmula'!F119,10)&lt;&gt;"",INDEX(properties!A$1:CB$87,'Fórmula'!F119,10)),IF(INDEX(properties!A$1:CB$87,'Fórmula'!H119,10)&lt;&gt;"",INDEX(properties!A$1:CB$87,'Fórmula'!H119,10)),IF(INDEX(properties!A$1:CB$87,'Fórmula'!J119,10)&lt;&gt;"",INDEX(properties!A$1:CB$87,'Fórmula'!J119,10)))</f>
        <v>5.84</v>
      </c>
      <c r="AI119" s="106">
        <f t="array" ref="AI119">MAX(INDEX(properties!A$1:CB$87,'Fórmula'!B119,10),INDEX(properties!A$1:CB$87,'Fórmula'!D119,10),INDEX(properties!A$1:CB$87,'Fórmula'!F119,10),INDEX(properties!A$1:CB$87,'Fórmula'!H119,10),INDEX(properties!A$1:CB$87,'Fórmula'!J119,10))</f>
        <v>7</v>
      </c>
      <c r="AJ119" s="106">
        <f t="array" ref="AJ119">MIN(IF(INDEX(properties!A$1:CB$87,'Fórmula'!B119,10)=0,10^6,INDEX(properties!A$1:CB$87,'Fórmula'!B119,10)),IF(INDEX(properties!A$1:CB$87,'Fórmula'!D119,10)=0,10^6,INDEX(properties!A$1:CB$87,'Fórmula'!D119,10)),IF(INDEX(properties!A$1:CB$87,'Fórmula'!F119,10)=0,10^6,INDEX(properties!A$1:CB$87,'Fórmula'!F119,10)),IF(INDEX(properties!A$1:CB$87,'Fórmula'!H119,10)=0,10^6,INDEX(properties!A$1:CB$87,'Fórmula'!H119,10)),IF(INDEX(properties!A$1:CB$87,'Fórmula'!J119,10)=0,10^6,INDEX(properties!A$1:CB$87,'Fórmula'!J119,10)))</f>
        <v>2</v>
      </c>
      <c r="AK119" s="106">
        <f t="shared" si="6"/>
        <v>5</v>
      </c>
      <c r="AL119" s="107">
        <f t="array" ref="AL119">(('Fórmula'!C119)/('Fórmula'!C119+'Fórmula'!E119+'Fórmula'!G119+'Fórmula'!I119+'Fórmula'!K119))*(INDEX(properties!A$1:CB$87,'Fórmula'!B119,11))+(('Fórmula'!E119)/('Fórmula'!C119+'Fórmula'!E119+'Fórmula'!G119+'Fórmula'!I119+'Fórmula'!K119))*(INDEX(properties!A$1:CB$87,'Fórmula'!D119,11))+(('Fórmula'!G119)/('Fórmula'!C119+'Fórmula'!E119+'Fórmula'!G119+'Fórmula'!I119+'Fórmula'!K119))*(INDEX(properties!A$1:CB$87,'Fórmula'!F119,11))+(('Fórmula'!I119)/('Fórmula'!C119+'Fórmula'!E119+'Fórmula'!G119+'Fórmula'!I119+'Fórmula'!K119))*(INDEX(properties!A$1:CB$87,'Fórmula'!H119,11))+(('Fórmula'!K119)/('Fórmula'!C119+'Fórmula'!E119+'Fórmula'!G119+'Fórmula'!I119+'Fórmula'!K119))*(INDEX(properties!A$1:CB$87,'Fórmula'!J119,11))</f>
        <v>2</v>
      </c>
      <c r="AM119" s="107">
        <f t="array" ref="AM119">'Fórmula'!C119*(INDEX(properties!A$1:CB$87,'Fórmula'!B119,11))+'Fórmula'!E119*(INDEX(properties!A$1:CB$87,'Fórmula'!D119,11))+'Fórmula'!G119*(INDEX(properties!A$1:CB$87,'Fórmula'!F119,11))+'Fórmula'!I119*(INDEX(properties!A$1:CB$87,'Fórmula'!H119,11))+'Fórmula'!K119*(INDEX(properties!A$1:CB$87,'Fórmula'!J119,11))</f>
        <v>24</v>
      </c>
      <c r="AN119" s="107">
        <f t="array" ref="AN119">VARP(IF(INDEX(properties!A$1:CB$87,'Fórmula'!B119,11)&lt;&gt;"",INDEX(properties!A$1:CB$87,'Fórmula'!B119,11)),IF(INDEX(properties!A$1:CB$87,'Fórmula'!D119,11)&lt;&gt;"",INDEX(properties!A$1:CB$87,'Fórmula'!D119,11)),IF(INDEX(properties!A$1:CB$87,'Fórmula'!F119,11)&lt;&gt;"",INDEX(properties!A$1:CB$87,'Fórmula'!F119,11)),IF(INDEX(properties!A$1:CB$87,'Fórmula'!H119,11)&lt;&gt;"",INDEX(properties!A$1:CB$87,'Fórmula'!H119,11)),IF(INDEX(properties!A$1:CB$87,'Fórmula'!J119,11)&lt;&gt;"",INDEX(properties!A$1:CB$87,'Fórmula'!J119,11)))</f>
        <v>0.64</v>
      </c>
      <c r="AO119" s="107">
        <f t="array" ref="AO119">MAX(INDEX(properties!A$1:CB$87,'Fórmula'!B119,11),INDEX(properties!A$1:CB$87,'Fórmula'!D119,11),INDEX(properties!A$1:CB$87,'Fórmula'!F119,11),INDEX(properties!A$1:CB$87,'Fórmula'!H119,11),INDEX(properties!A$1:CB$87,'Fórmula'!J119,11))</f>
        <v>2</v>
      </c>
      <c r="AP119" s="107">
        <f t="array" ref="AP119">MIN(IF('Fórmula'!B119=87,10^6,INDEX(properties!A$1:CB$87,'Fórmula'!B119,11)),IF(('Fórmula'!D119)=87,10^6,INDEX(properties!A$1:CB$87,'Fórmula'!D119,11)),IF(('Fórmula'!F119)=87,10^6,INDEX(properties!A$1:CB$87,'Fórmula'!F119,11)),IF(('Fórmula'!H119)=87,10^6,INDEX(properties!A$1:CB$87,'Fórmula'!H119,11)),IF('Fórmula'!J119=87,10^6,INDEX(properties!A$1:CB$87,'Fórmula'!J119,11)))</f>
        <v>2</v>
      </c>
      <c r="AQ119" s="107">
        <f t="shared" si="7"/>
        <v>0</v>
      </c>
      <c r="AR119" s="108">
        <f t="array" ref="AR119">(('Fórmula'!C119)/('Fórmula'!C119+'Fórmula'!E119+'Fórmula'!G119+'Fórmula'!I119+'Fórmula'!K119))*(INDEX(properties!A$1:CB$87,'Fórmula'!B119,12))+(('Fórmula'!E119)/('Fórmula'!C119+'Fórmula'!E119+'Fórmula'!G119+'Fórmula'!I119+'Fórmula'!K119))*(INDEX(properties!A$1:CB$87,'Fórmula'!D119,12))+(('Fórmula'!G119)/('Fórmula'!C119+'Fórmula'!E119+'Fórmula'!G119+'Fórmula'!I119+'Fórmula'!K119))*(INDEX(properties!A$1:CB$87,'Fórmula'!F119,12))+(('Fórmula'!I119)/('Fórmula'!C119+'Fórmula'!E119+'Fórmula'!G119+'Fórmula'!I119+'Fórmula'!K119))*(INDEX(properties!A$1:CB$87,'Fórmula'!H119,12))+(('Fórmula'!K119)/('Fórmula'!C119+'Fórmula'!E119+'Fórmula'!G119+'Fórmula'!I119+'Fórmula'!K119))*(INDEX(properties!A$1:CB$87,'Fórmula'!J119,12))</f>
        <v>2.583333333</v>
      </c>
      <c r="AS119" s="108">
        <f t="array" ref="AS119">'Fórmula'!C119*(INDEX(properties!A$1:CB$87,'Fórmula'!B119,12))+'Fórmula'!E119*(INDEX(properties!A$1:CB$87,'Fórmula'!D119,12))+'Fórmula'!G119*(INDEX(properties!A$1:CB$87,'Fórmula'!F119,12))+'Fórmula'!I119*(INDEX(properties!A$1:CB$87,'Fórmula'!H119,12))+'Fórmula'!K119*(INDEX(properties!A$1:CB$87,'Fórmula'!J119,12))</f>
        <v>31</v>
      </c>
      <c r="AT119" s="108">
        <f t="array" ref="AT119">VARP(IF(INDEX(properties!A$1:CB$87,'Fórmula'!B119,12)&lt;&gt;"",INDEX(properties!A$1:CB$87,'Fórmula'!B119,12)),IF(INDEX(properties!A$1:CB$87,'Fórmula'!D119,12)&lt;&gt;"",INDEX(properties!A$1:CB$87,'Fórmula'!D119,12)),IF(INDEX(properties!A$1:CB$87,'Fórmula'!F119,12)&lt;&gt;"",INDEX(properties!A$1:CB$87,'Fórmula'!F119,12)),IF(INDEX(properties!A$1:CB$87,'Fórmula'!H119,12)&lt;&gt;"",INDEX(properties!A$1:CB$87,'Fórmula'!H119,12)),IF(INDEX(properties!A$1:CB$87,'Fórmula'!J119,12)&lt;&gt;"",INDEX(properties!A$1:CB$87,'Fórmula'!J119,12)))</f>
        <v>2.4</v>
      </c>
      <c r="AU119" s="108">
        <f t="array" ref="AU119">MAX(INDEX(properties!A$1:CB$87,'Fórmula'!B119,12),INDEX(properties!A$1:CB$87,'Fórmula'!D119,12),INDEX(properties!A$1:CB$87,'Fórmula'!F119,12),INDEX(properties!A$1:CB$87,'Fórmula'!H119,12),INDEX(properties!A$1:CB$87,'Fórmula'!J119,12))</f>
        <v>4</v>
      </c>
      <c r="AV119" s="108">
        <f t="array" ref="AV119">MIN(IF('Fórmula'!B119=87,10^6,INDEX(properties!A$1:CB$87,'Fórmula'!B119,12)),IF(('Fórmula'!D119)=87,10^6,INDEX(properties!A$1:CB$87,'Fórmula'!D119,12)),IF(('Fórmula'!F119)=87,10^6,INDEX(properties!A$1:CB$87,'Fórmula'!F119,12)),IF(('Fórmula'!H119)=87,10^6,INDEX(properties!A$1:CB$87,'Fórmula'!H119,12)),IF('Fórmula'!J119=87,10^6,INDEX(properties!A$1:CB$87,'Fórmula'!J119,12)))</f>
        <v>0</v>
      </c>
      <c r="AW119" s="108">
        <f t="shared" si="8"/>
        <v>4</v>
      </c>
      <c r="AX119" s="109">
        <f t="array" ref="AX119">(('Fórmula'!C119)/('Fórmula'!C119+'Fórmula'!E119+'Fórmula'!G119+'Fórmula'!I119+'Fórmula'!K119))*(INDEX(properties!A$1:CB$87,'Fórmula'!B119,13))+(('Fórmula'!E119)/('Fórmula'!C119+'Fórmula'!E119+'Fórmula'!G119+'Fórmula'!I119+'Fórmula'!K119))*(INDEX(properties!A$1:CB$87,'Fórmula'!D119,13))+(('Fórmula'!G119)/('Fórmula'!C119+'Fórmula'!E119+'Fórmula'!G119+'Fórmula'!I119+'Fórmula'!K119))*(INDEX(properties!A$1:CB$87,'Fórmula'!F119,13))+(('Fórmula'!I119)/('Fórmula'!C119+'Fórmula'!E119+'Fórmula'!G119+'Fórmula'!I119+'Fórmula'!K119))*(INDEX(properties!A$1:CB$87,'Fórmula'!H119,13))+(('Fórmula'!K119)/('Fórmula'!C119+'Fórmula'!E119+'Fórmula'!G119+'Fórmula'!I119+'Fórmula'!K119))*(INDEX(properties!A$1:CB$87,'Fórmula'!J119,13))</f>
        <v>0.08333333333</v>
      </c>
      <c r="AY119" s="109">
        <f t="array" ref="AY119">'Fórmula'!C119*(INDEX(properties!A$1:CB$87,'Fórmula'!B119,13))+'Fórmula'!E119*(INDEX(properties!A$1:CB$87,'Fórmula'!D119,13))+'Fórmula'!G119*(INDEX(properties!A$1:CB$87,'Fórmula'!F119,13))+'Fórmula'!I119*(INDEX(properties!A$1:CB$87,'Fórmula'!H119,13))+'Fórmula'!K119*(INDEX(properties!A$1:CB$87,'Fórmula'!J119,13))</f>
        <v>1</v>
      </c>
      <c r="AZ119" s="109">
        <f t="array" ref="AZ119">VARP(IF(INDEX(properties!A$1:CB$87,'Fórmula'!B119,13)&lt;&gt;"",INDEX(properties!A$1:CB$87,'Fórmula'!B119,13)),IF(INDEX(properties!A$1:CB$87,'Fórmula'!D119,13)&lt;&gt;"",INDEX(properties!A$1:CB$87,'Fórmula'!D119,13)),IF(INDEX(properties!A$1:CB$87,'Fórmula'!F119,13)&lt;&gt;"",INDEX(properties!A$1:CB$87,'Fórmula'!F119,13)),IF(INDEX(properties!A$1:CB$87,'Fórmula'!H119,13)&lt;&gt;"",INDEX(properties!A$1:CB$87,'Fórmula'!H119,13)),IF(INDEX(properties!A$1:CB$87,'Fórmula'!J119,13)&lt;&gt;"",INDEX(properties!A$1:CB$87,'Fórmula'!J119,13)))</f>
        <v>0.16</v>
      </c>
      <c r="BA119" s="109">
        <f t="array" ref="BA119">MAX(INDEX(properties!A$1:CB$87,'Fórmula'!B119,13),INDEX(properties!A$1:CB$87,'Fórmula'!D119,13),INDEX(properties!A$1:CB$87,'Fórmula'!F119,13),INDEX(properties!A$1:CB$87,'Fórmula'!H119,13),INDEX(properties!A$1:CB$87,'Fórmula'!J119,13))</f>
        <v>1</v>
      </c>
      <c r="BB119" s="109">
        <f t="array" ref="BB119">MIN(IF('Fórmula'!B119=87,10^6,INDEX(properties!A$1:CB$87,'Fórmula'!B119,13)),IF(('Fórmula'!D119)=87,10^6,INDEX(properties!A$1:CB$87,'Fórmula'!D119,13)),IF(('Fórmula'!F119)=87,10^6,INDEX(properties!A$1:CB$87,'Fórmula'!F119,13)),IF(('Fórmula'!H119)=87,10^6,INDEX(properties!A$1:CB$87,'Fórmula'!H119,13)),IF('Fórmula'!J119=87,10^6,INDEX(properties!A$1:CB$87,'Fórmula'!J119,13)))</f>
        <v>0</v>
      </c>
      <c r="BC119" s="109">
        <f t="shared" si="9"/>
        <v>1</v>
      </c>
      <c r="BD119" s="110">
        <f t="array" ref="BD119">(('Fórmula'!C119)/('Fórmula'!C119+'Fórmula'!E119+'Fórmula'!G119+'Fórmula'!I119+'Fórmula'!K119))*(INDEX(properties!A$1:CB$87,'Fórmula'!B119,14))+(('Fórmula'!E119)/('Fórmula'!C119+'Fórmula'!E119+'Fórmula'!G119+'Fórmula'!I119+'Fórmula'!K119))*(INDEX(properties!A$1:CB$87,'Fórmula'!D119,14))+(('Fórmula'!G119)/('Fórmula'!C119+'Fórmula'!E119+'Fórmula'!G119+'Fórmula'!I119+'Fórmula'!K119))*(INDEX(properties!A$1:CB$87,'Fórmula'!F119,14))+(('Fórmula'!I119)/('Fórmula'!C119+'Fórmula'!E119+'Fórmula'!G119+'Fórmula'!I119+'Fórmula'!K119))*(INDEX(properties!A$1:CB$87,'Fórmula'!H119,14))+(('Fórmula'!K119)/('Fórmula'!C119+'Fórmula'!E119+'Fórmula'!G119+'Fórmula'!I119+'Fórmula'!K119))*(INDEX(properties!A$1:CB$87,'Fórmula'!J119,14))</f>
        <v>0</v>
      </c>
      <c r="BE119" s="110">
        <f t="array" ref="BE119">'Fórmula'!C119*(INDEX(properties!A$1:CB$87,'Fórmula'!B119,14))+'Fórmula'!E119*(INDEX(properties!A$1:CB$87,'Fórmula'!D119,14))+'Fórmula'!G119*(INDEX(properties!A$1:CB$87,'Fórmula'!F119,14))+'Fórmula'!I119*(INDEX(properties!A$1:CB$87,'Fórmula'!H119,14))+'Fórmula'!K119*(INDEX(properties!A$1:CB$87,'Fórmula'!J119,14))</f>
        <v>0</v>
      </c>
      <c r="BF119" s="110">
        <f t="array" ref="BF119">VARP(IF(INDEX(properties!A$1:CB$87,'Fórmula'!B119,14)&lt;&gt;"",INDEX(properties!A$1:CB$87,'Fórmula'!B119,14)),IF(INDEX(properties!A$1:CB$87,'Fórmula'!D119,14)&lt;&gt;"",INDEX(properties!A$1:CB$87,'Fórmula'!D119,14)),IF(INDEX(properties!A$1:CB$87,'Fórmula'!F119,14)&lt;&gt;"",INDEX(properties!A$1:CB$87,'Fórmula'!F119,14)),IF(INDEX(properties!A$1:CB$87,'Fórmula'!H119,14)&lt;&gt;"",INDEX(properties!A$1:CB$87,'Fórmula'!H119,14)),IF(INDEX(properties!A$1:CB$87,'Fórmula'!J119,14)&lt;&gt;"",INDEX(properties!A$1:CB$87,'Fórmula'!J119,14)))</f>
        <v>0</v>
      </c>
      <c r="BG119" s="110">
        <f t="array" ref="BG119">MAX(INDEX(properties!A$1:CB$87,'Fórmula'!B119,14),INDEX(properties!A$1:CB$87,'Fórmula'!D119,14),INDEX(properties!A$1:CB$87,'Fórmula'!F119,14),INDEX(properties!A$1:CB$87,'Fórmula'!H119,14),INDEX(properties!A$1:CB$87,'Fórmula'!J119,14))</f>
        <v>0</v>
      </c>
      <c r="BH119" s="110">
        <f t="array" ref="BH119">MIN(IF('Fórmula'!B119=87,10^6,INDEX(properties!A$1:CB$87,'Fórmula'!B119,14)),IF(('Fórmula'!D119)=87,10^6,INDEX(properties!A$1:CB$87,'Fórmula'!D119,14)),IF(('Fórmula'!F119)=87,10^6,INDEX(properties!A$1:CB$87,'Fórmula'!F119,14)),IF(('Fórmula'!H119)=87,10^6,INDEX(properties!A$1:CB$87,'Fórmula'!H119,14)),IF('Fórmula'!J119=87,10^6,INDEX(properties!A$1:CB$87,'Fórmula'!J119,14)))</f>
        <v>0</v>
      </c>
      <c r="BI119" s="110">
        <f t="shared" si="10"/>
        <v>0</v>
      </c>
      <c r="BJ119" s="111">
        <f t="array" ref="BJ119">(('Fórmula'!C119)/('Fórmula'!C119+'Fórmula'!E119+'Fórmula'!G119+'Fórmula'!I119+'Fórmula'!K119))*(INDEX(properties!A$1:CB$87,'Fórmula'!B119,19))+(('Fórmula'!E119)/('Fórmula'!C119+'Fórmula'!E119+'Fórmula'!G119+'Fórmula'!I119+'Fórmula'!K119))*(INDEX(properties!A$1:CB$87,'Fórmula'!D119,19))+(('Fórmula'!G119)/('Fórmula'!C119+'Fórmula'!E119+'Fórmula'!G119+'Fórmula'!I119+'Fórmula'!K119))*(INDEX(properties!A$1:CB$87,'Fórmula'!F119,19))+(('Fórmula'!I119)/('Fórmula'!C119+'Fórmula'!E119+'Fórmula'!G119+'Fórmula'!I119+'Fórmula'!K119))*(INDEX(properties!A$1:CB$87,'Fórmula'!H119,19))+(('Fórmula'!K119)/('Fórmula'!C119+'Fórmula'!E119+'Fórmula'!G119+'Fórmula'!I119+'Fórmula'!K119))*(INDEX(properties!A$1:CB$87,'Fórmula'!J119,19))</f>
        <v>4.666666667</v>
      </c>
      <c r="BK119" s="111">
        <f t="array" ref="BK119">'Fórmula'!C119*(INDEX(properties!A$1:CB$87,'Fórmula'!B119,19))+'Fórmula'!E119*(INDEX(properties!A$1:CB$87,'Fórmula'!D119,19))+'Fórmula'!G119*(INDEX(properties!A$1:CB$87,'Fórmula'!F119,19))+'Fórmula'!I119*(INDEX(properties!A$1:CB$87,'Fórmula'!H119,19))+'Fórmula'!K119*(INDEX(properties!A$1:CB$87,'Fórmula'!J119,19))</f>
        <v>56</v>
      </c>
      <c r="BL119" s="111">
        <f t="array" ref="BL119">VARP(IF(INDEX(properties!A$1:CB$87,'Fórmula'!B119,19)&lt;&gt;"",INDEX(properties!A$1:CB$87,'Fórmula'!B119,19)),IF(INDEX(properties!A$1:CB$87,'Fórmula'!D119,19)&lt;&gt;"",INDEX(properties!A$1:CB$87,'Fórmula'!D119,19)),IF(INDEX(properties!A$1:CB$87,'Fórmula'!F119,19)&lt;&gt;"",INDEX(properties!A$1:CB$87,'Fórmula'!F119,19)),IF(INDEX(properties!A$1:CB$87,'Fórmula'!H119,19)&lt;&gt;"",INDEX(properties!A$1:CB$87,'Fórmula'!H119,19)),IF(INDEX(properties!A$1:CB$87,'Fórmula'!J119,19)&lt;&gt;"",INDEX(properties!A$1:CB$87,'Fórmula'!J119,19)))</f>
        <v>3.76</v>
      </c>
      <c r="BM119" s="111">
        <f t="array" ref="BM119">MAX(INDEX(properties!A$1:CB$87,'Fórmula'!B119,19),INDEX(properties!A$1:CB$87,'Fórmula'!D119,19),INDEX(properties!A$1:CB$87,'Fórmula'!F119,19),INDEX(properties!A$1:CB$87,'Fórmula'!H119,19),INDEX(properties!A$1:CB$87,'Fórmula'!J119,19))</f>
        <v>6</v>
      </c>
      <c r="BN119" s="111">
        <f t="array" ref="BN119">MIN(IF(INDEX(properties!A$1:CB$87,'Fórmula'!B119,19)=0,10^6,INDEX(properties!A$1:CB$87,'Fórmula'!B119,19)),IF(INDEX(properties!A$1:CB$87,'Fórmula'!D119,19)=0,10^6,INDEX(properties!A$1:CB$87,'Fórmula'!D119,19)),IF(INDEX(properties!A$1:CB$87,'Fórmula'!F119,19)=0,10^6,INDEX(properties!A$1:CB$87,'Fórmula'!F119,19)),IF(INDEX(properties!A$1:CB$87,'Fórmula'!H119,19)=0,10^6,INDEX(properties!A$1:CB$87,'Fórmula'!H119,19)),IF(INDEX(properties!A$1:CB$87,'Fórmula'!J119,19)=0,10^6,INDEX(properties!A$1:CB$87,'Fórmula'!J119,19)))</f>
        <v>2</v>
      </c>
      <c r="BO119" s="111">
        <f t="shared" si="11"/>
        <v>4</v>
      </c>
      <c r="BP119" s="112">
        <f t="array" ref="BP119">(('Fórmula'!C119)/('Fórmula'!C119+'Fórmula'!E119+'Fórmula'!G119+'Fórmula'!I119+'Fórmula'!K119))*(INDEX(properties!A$1:CB$87,'Fórmula'!B119,20))+(('Fórmula'!E119)/('Fórmula'!C119+'Fórmula'!E119+'Fórmula'!G119+'Fórmula'!I119+'Fórmula'!K119))*(INDEX(properties!A$1:CB$87,'Fórmula'!D119,20))+(('Fórmula'!G119)/('Fórmula'!C119+'Fórmula'!E119+'Fórmula'!G119+'Fórmula'!I119+'Fórmula'!K119))*(INDEX(properties!A$1:CB$87,'Fórmula'!F119,20))+(('Fórmula'!I119)/('Fórmula'!C119+'Fórmula'!E119+'Fórmula'!G119+'Fórmula'!I119+'Fórmula'!K119))*(INDEX(properties!A$1:CB$87,'Fórmula'!H119,20))+(('Fórmula'!K119)/('Fórmula'!C119+'Fórmula'!E119+'Fórmula'!G119+'Fórmula'!I119+'Fórmula'!K119))*(INDEX(properties!A$1:CB$87,'Fórmula'!J119,20))</f>
        <v>4.583333333</v>
      </c>
      <c r="BQ119" s="112">
        <f t="array" ref="BQ119">'Fórmula'!C119*(INDEX(properties!A$1:CB$87,'Fórmula'!B119,20))+'Fórmula'!E119*(INDEX(properties!A$1:CB$87,'Fórmula'!D119,20))+'Fórmula'!G119*(INDEX(properties!A$1:CB$87,'Fórmula'!F119,20))+'Fórmula'!I119*(INDEX(properties!A$1:CB$87,'Fórmula'!H119,20))+'Fórmula'!K119*(INDEX(properties!A$1:CB$87,'Fórmula'!J119,20))</f>
        <v>55</v>
      </c>
      <c r="BR119" s="112">
        <f t="array" ref="BR119">VARP(IF(INDEX(properties!A$1:CB$87,'Fórmula'!B119,20)&lt;&gt;"",INDEX(properties!A$1:CB$87,'Fórmula'!B119,20)),IF(INDEX(properties!A$1:CB$87,'Fórmula'!D119,20)&lt;&gt;"",INDEX(properties!A$1:CB$87,'Fórmula'!D119,20)),IF(INDEX(properties!A$1:CB$87,'Fórmula'!F119,20)&lt;&gt;"",INDEX(properties!A$1:CB$87,'Fórmula'!F119,20)),IF(INDEX(properties!A$1:CB$87,'Fórmula'!H119,20)&lt;&gt;"",INDEX(properties!A$1:CB$87,'Fórmula'!H119,20)),IF(INDEX(properties!A$1:CB$87,'Fórmula'!J119,20)&lt;&gt;"",INDEX(properties!A$1:CB$87,'Fórmula'!J119,20)))</f>
        <v>3.84</v>
      </c>
      <c r="BS119" s="112">
        <f t="array" ref="BS119">MAX(INDEX(properties!A$1:CB$87,'Fórmula'!B119,20),INDEX(properties!A$1:CB$87,'Fórmula'!D119,20),INDEX(properties!A$1:CB$87,'Fórmula'!F119,20),INDEX(properties!A$1:CB$87,'Fórmula'!H119,20),INDEX(properties!A$1:CB$87,'Fórmula'!J119,20))</f>
        <v>6</v>
      </c>
      <c r="BT119" s="112">
        <f t="array" ref="BT119">MIN(IF(INDEX(properties!A$1:CB$87,'Fórmula'!B119,20)=0,10^6,INDEX(properties!A$1:CB$87,'Fórmula'!B119,20)),IF(INDEX(properties!A$1:CB$87,'Fórmula'!D119,20)=0,10^6,INDEX(properties!A$1:CB$87,'Fórmula'!D119,20)),IF(INDEX(properties!A$1:CB$87,'Fórmula'!F119,20)=0,10^6,INDEX(properties!A$1:CB$87,'Fórmula'!F119,20)),IF(INDEX(properties!A$1:CB$87,'Fórmula'!H119,20)=0,10^6,INDEX(properties!A$1:CB$87,'Fórmula'!H119,20)),IF(INDEX(properties!A$1:CB$87,'Fórmula'!J119,20)=0,10^6,INDEX(properties!A$1:CB$87,'Fórmula'!J119,20)))</f>
        <v>2</v>
      </c>
      <c r="BU119" s="112">
        <f t="shared" si="12"/>
        <v>4</v>
      </c>
      <c r="BV119" s="113">
        <f t="array" ref="BV119">(('Fórmula'!C119)/('Fórmula'!C119+'Fórmula'!E119+'Fórmula'!G119+'Fórmula'!I119+'Fórmula'!K119))*(INDEX(properties!A$1:CB$87,'Fórmula'!B119,21))+(('Fórmula'!E119)/('Fórmula'!C119+'Fórmula'!E119+'Fórmula'!G119+'Fórmula'!I119+'Fórmula'!K119))*(INDEX(properties!A$1:CB$87,'Fórmula'!D119,21))+(('Fórmula'!G119)/('Fórmula'!C119+'Fórmula'!E119+'Fórmula'!G119+'Fórmula'!I119+'Fórmula'!K119))*(INDEX(properties!A$1:CB$87,'Fórmula'!F119,21))+(('Fórmula'!I119)/('Fórmula'!C119+'Fórmula'!E119+'Fórmula'!G119+'Fórmula'!I119+'Fórmula'!K119))*(INDEX(properties!A$1:CB$87,'Fórmula'!H119,21))+(('Fórmula'!K119)/('Fórmula'!C119+'Fórmula'!E119+'Fórmula'!G119+'Fórmula'!I119+'Fórmula'!K119))*(INDEX(properties!A$1:CB$87,'Fórmula'!J119,21))</f>
        <v>4.5</v>
      </c>
      <c r="BW119" s="113">
        <f t="array" ref="BW119">'Fórmula'!C119*(INDEX(properties!A$1:CB$87,'Fórmula'!B119,21))+'Fórmula'!E119*(INDEX(properties!A$1:CB$87,'Fórmula'!D119,21))+'Fórmula'!G119*(INDEX(properties!A$1:CB$87,'Fórmula'!F119,21))+'Fórmula'!I119*(INDEX(properties!A$1:CB$87,'Fórmula'!H119,21))+'Fórmula'!K119*(INDEX(properties!A$1:CB$87,'Fórmula'!J119,21))</f>
        <v>54</v>
      </c>
      <c r="BX119" s="113">
        <f t="array" ref="BX119">VARP(IF(INDEX(properties!A$1:CB$87,'Fórmula'!B119,21)&lt;&gt;"",INDEX(properties!A$1:CB$87,'Fórmula'!B119,21)),IF(INDEX(properties!A$1:CB$87,'Fórmula'!D119,21)&lt;&gt;"",INDEX(properties!A$1:CB$87,'Fórmula'!D119,21)),IF(INDEX(properties!A$1:CB$87,'Fórmula'!F119,21)&lt;&gt;"",INDEX(properties!A$1:CB$87,'Fórmula'!F119,21)),IF(INDEX(properties!A$1:CB$87,'Fórmula'!H119,21)&lt;&gt;"",INDEX(properties!A$1:CB$87,'Fórmula'!H119,21)),IF(INDEX(properties!A$1:CB$87,'Fórmula'!J119,21)&lt;&gt;"",INDEX(properties!A$1:CB$87,'Fórmula'!J119,21)))</f>
        <v>4.24</v>
      </c>
      <c r="BY119" s="113">
        <f t="array" ref="BY119">MAX(INDEX(properties!A$1:CB$87,'Fórmula'!B119,21),INDEX(properties!A$1:CB$87,'Fórmula'!D119,21),INDEX(properties!A$1:CB$87,'Fórmula'!F119,21),INDEX(properties!A$1:CB$87,'Fórmula'!H119,21),INDEX(properties!A$1:CB$87,'Fórmula'!J119,21))</f>
        <v>6</v>
      </c>
      <c r="BZ119" s="113">
        <f t="array" ref="BZ119">MIN(IF(INDEX(properties!A$1:CB$87,'Fórmula'!B119,21)=0,10^6,INDEX(properties!A$1:CB$87,'Fórmula'!B119,21)),IF(INDEX(properties!A$1:CB$87,'Fórmula'!D119,21)=0,10^6,INDEX(properties!A$1:CB$87,'Fórmula'!D119,21)),IF(INDEX(properties!A$1:CB$87,'Fórmula'!F119,21)=0,10^6,INDEX(properties!A$1:CB$87,'Fórmula'!F119,21)),IF(INDEX(properties!A$1:CB$87,'Fórmula'!H119,21)=0,10^6,INDEX(properties!A$1:CB$87,'Fórmula'!H119,21)),IF(INDEX(properties!A$1:CB$87,'Fórmula'!J119,21)=0,10^6,INDEX(properties!A$1:CB$87,'Fórmula'!J119,21)))</f>
        <v>1</v>
      </c>
      <c r="CA119" s="113">
        <f t="shared" si="13"/>
        <v>5</v>
      </c>
      <c r="CB119" s="114">
        <f t="array" ref="CB119">(('Fórmula'!C119)/('Fórmula'!C119+'Fórmula'!E119+'Fórmula'!G119+'Fórmula'!I119+'Fórmula'!K119))*(INDEX(properties!A$1:CB$87,'Fórmula'!B119,23))+(('Fórmula'!E119)/('Fórmula'!C119+'Fórmula'!E119+'Fórmula'!G119+'Fórmula'!I119+'Fórmula'!K119))*(INDEX(properties!A$1:CB$87,'Fórmula'!D119,23))+(('Fórmula'!G119)/('Fórmula'!C119+'Fórmula'!E119+'Fórmula'!G119+'Fórmula'!I119+'Fórmula'!K119))*(INDEX(properties!A$1:CB$87,'Fórmula'!F119,23))+(('Fórmula'!I119)/('Fórmula'!C119+'Fórmula'!E119+'Fórmula'!G119+'Fórmula'!I119+'Fórmula'!K119))*(INDEX(properties!A$1:CB$87,'Fórmula'!H119,23))+(('Fórmula'!K119)/('Fórmula'!C119+'Fórmula'!E119+'Fórmula'!G119+'Fórmula'!I119+'Fórmula'!K119))*(INDEX(properties!A$1:CB$87,'Fórmula'!J119,23))</f>
        <v>1.166666667</v>
      </c>
      <c r="CC119" s="114">
        <f t="array" ref="CC119">'Fórmula'!C119*(INDEX(properties!A$1:CB$87,'Fórmula'!B119,23))+'Fórmula'!E119*(INDEX(properties!A$1:CB$87,'Fórmula'!D119,23))+'Fórmula'!G119*(INDEX(properties!A$1:CB$87,'Fórmula'!F119,23))+'Fórmula'!I119*(INDEX(properties!A$1:CB$87,'Fórmula'!H119,23))+'Fórmula'!K119*(INDEX(properties!A$1:CB$87,'Fórmula'!J119,23))</f>
        <v>14</v>
      </c>
      <c r="CD119" s="114">
        <f t="array" ref="CD119">VARP(IF(INDEX(properties!A$1:CB$87,'Fórmula'!B119,23)&lt;&gt;"",INDEX(properties!A$1:CB$87,'Fórmula'!B119,23)),IF(INDEX(properties!A$1:CB$87,'Fórmula'!D119,23)&lt;&gt;"",INDEX(properties!A$1:CB$87,'Fórmula'!D119,23)),IF(INDEX(properties!A$1:CB$87,'Fórmula'!F119,23)&lt;&gt;"",INDEX(properties!A$1:CB$87,'Fórmula'!F119,23)),IF(INDEX(properties!A$1:CB$87,'Fórmula'!H119,23)&lt;&gt;"",INDEX(properties!A$1:CB$87,'Fórmula'!H119,23)),IF(INDEX(properties!A$1:CB$87,'Fórmula'!J119,23)&lt;&gt;"",INDEX(properties!A$1:CB$87,'Fórmula'!J119,23)))</f>
        <v>1.84</v>
      </c>
      <c r="CE119" s="114">
        <f t="array" ref="CE119">MAX(INDEX(properties!A$1:CB$87,'Fórmula'!B119,23),INDEX(properties!A$1:CB$87,'Fórmula'!D119,23),INDEX(properties!A$1:CB$87,'Fórmula'!F119,23),INDEX(properties!A$1:CB$87,'Fórmula'!H119,23),INDEX(properties!A$1:CB$87,'Fórmula'!J119,23))</f>
        <v>3</v>
      </c>
      <c r="CF119" s="114">
        <f t="array" ref="CF119">MIN(IF('Fórmula'!B119=87,10^6,INDEX(properties!A$1:CB$87,'Fórmula'!B119,23)),IF(('Fórmula'!D119)=87,10^6,INDEX(properties!A$1:CB$87,'Fórmula'!D119,23)),IF(('Fórmula'!F119)=87,10^6,INDEX(properties!A$1:CB$87,'Fórmula'!F119,23)),IF(('Fórmula'!H119)=87,10^6,INDEX(properties!A$1:CB$87,'Fórmula'!H119,23)),IF('Fórmula'!J119=87,10^6,INDEX(properties!A$1:CB$87,'Fórmula'!J119,23)))</f>
        <v>0</v>
      </c>
      <c r="CG119" s="114">
        <f t="shared" si="14"/>
        <v>3</v>
      </c>
      <c r="CH119" s="115">
        <f t="array" ref="CH119">(('Fórmula'!C119)/('Fórmula'!C119+'Fórmula'!E119+'Fórmula'!G119+'Fórmula'!I119+'Fórmula'!K119))*(INDEX(properties!A$1:CB$87,'Fórmula'!B119,26))+(('Fórmula'!E119)/('Fórmula'!C119+'Fórmula'!E119+'Fórmula'!G119+'Fórmula'!I119+'Fórmula'!K119))*(INDEX(properties!A$1:CB$87,'Fórmula'!D119,26))+(('Fórmula'!G119)/('Fórmula'!C119+'Fórmula'!E119+'Fórmula'!G119+'Fórmula'!I119+'Fórmula'!K119))*(INDEX(properties!A$1:CB$87,'Fórmula'!F119,26))+(('Fórmula'!I119)/('Fórmula'!C119+'Fórmula'!E119+'Fórmula'!G119+'Fórmula'!I119+'Fórmula'!K119))*(INDEX(properties!A$1:CB$87,'Fórmula'!H119,26))+(('Fórmula'!K119)/('Fórmula'!C119+'Fórmula'!E119+'Fórmula'!G119+'Fórmula'!I119+'Fórmula'!K119))*(INDEX(properties!A$1:CB$87,'Fórmula'!J119,26))</f>
        <v>10.41451667</v>
      </c>
      <c r="CI119" s="115">
        <f t="array" ref="CI119">'Fórmula'!C119*(INDEX(properties!A$1:CB$87,'Fórmula'!B119,26))+'Fórmula'!E119*(INDEX(properties!A$1:CB$87,'Fórmula'!D119,26))+'Fórmula'!G119*(INDEX(properties!A$1:CB$87,'Fórmula'!F119,26))+'Fórmula'!I119*(INDEX(properties!A$1:CB$87,'Fórmula'!H119,26))+'Fórmula'!K119*(INDEX(properties!A$1:CB$87,'Fórmula'!J119,26))</f>
        <v>124.9742</v>
      </c>
      <c r="CJ119" s="115">
        <f t="array" ref="CJ119">VARP(IF(INDEX(properties!A$1:CB$87,'Fórmula'!B119,26)&lt;&gt;"",INDEX(properties!A$1:CB$87,'Fórmula'!B119,26)),IF(INDEX(properties!A$1:CB$87,'Fórmula'!D119,26)&lt;&gt;"",INDEX(properties!A$1:CB$87,'Fórmula'!D119,26)),IF(INDEX(properties!A$1:CB$87,'Fórmula'!F119,26)&lt;&gt;"",INDEX(properties!A$1:CB$87,'Fórmula'!F119,26)),IF(INDEX(properties!A$1:CB$87,'Fórmula'!H119,26)&lt;&gt;"",INDEX(properties!A$1:CB$87,'Fórmula'!H119,26)),IF(INDEX(properties!A$1:CB$87,'Fórmula'!J119,26)&lt;&gt;"",INDEX(properties!A$1:CB$87,'Fórmula'!J119,26)))</f>
        <v>18.77851798</v>
      </c>
      <c r="CK119" s="116">
        <f t="array" ref="CK119">MAX(INDEX(properties!A$1:CB$87,'Fórmula'!B119,26),INDEX(properties!A$1:CB$87,'Fórmula'!D119,26),INDEX(properties!A$1:CB$87,'Fórmula'!F119,26),INDEX(properties!A$1:CB$87,'Fórmula'!H119,26),INDEX(properties!A$1:CB$87,'Fórmula'!J119,26))</f>
        <v>13.6181</v>
      </c>
      <c r="CL119" s="116">
        <f t="array" ref="CL119">MIN(IF(INDEX(properties!A$1:CB$87,'Fórmula'!B119,26)=0,10^6,INDEX(properties!A$1:CB$87,'Fórmula'!B119,26)),IF(INDEX(properties!A$1:CB$87,'Fórmula'!D119,26)=0,10^6,INDEX(properties!A$1:CB$87,'Fórmula'!D119,26)),IF(INDEX(properties!A$1:CB$87,'Fórmula'!F119,26)=0,10^6,INDEX(properties!A$1:CB$87,'Fórmula'!F119,26)),IF(INDEX(properties!A$1:CB$87,'Fórmula'!H119,26)=0,10^6,INDEX(properties!A$1:CB$87,'Fórmula'!H119,26)),IF(INDEX(properties!A$1:CB$87,'Fórmula'!J119,26)=0,10^6,INDEX(properties!A$1:CB$87,'Fórmula'!J119,26)))</f>
        <v>5.5769</v>
      </c>
      <c r="CM119" s="115">
        <f t="shared" si="15"/>
        <v>8.0412</v>
      </c>
      <c r="CN119" s="117">
        <f t="array" ref="CN119">(('Fórmula'!C119)/('Fórmula'!C119+'Fórmula'!E119+'Fórmula'!G119+'Fórmula'!I119+'Fórmula'!K119))*(INDEX(properties!A$1:CB$87,'Fórmula'!B119,30))+(('Fórmula'!E119)/('Fórmula'!C119+'Fórmula'!E119+'Fórmula'!G119+'Fórmula'!I119+'Fórmula'!K119))*(INDEX(properties!A$1:CB$87,'Fórmula'!D119,30))+(('Fórmula'!G119)/('Fórmula'!C119+'Fórmula'!E119+'Fórmula'!G119+'Fórmula'!I119+'Fórmula'!K119))*(INDEX(properties!A$1:CB$87,'Fórmula'!F119,30))+(('Fórmula'!I119)/('Fórmula'!C119+'Fórmula'!E119+'Fórmula'!G119+'Fórmula'!I119+'Fórmula'!K119))*(INDEX(properties!A$1:CB$87,'Fórmula'!H119,30))+(('Fórmula'!K119)/('Fórmula'!C119+'Fórmula'!E119+'Fórmula'!G119+'Fórmula'!I119+'Fórmula'!K119))*(INDEX(properties!A$1:CB$87,'Fórmula'!J119,30))</f>
        <v>2.584166667</v>
      </c>
      <c r="CO119" s="117">
        <f t="array" ref="CO119">'Fórmula'!C119*(INDEX(properties!A$1:CB$87,'Fórmula'!B119,30))+'Fórmula'!E119*(INDEX(properties!A$1:CB$87,'Fórmula'!D119,30))+'Fórmula'!G119*(INDEX(properties!A$1:CB$87,'Fórmula'!F119,30))+'Fórmula'!I119*(INDEX(properties!A$1:CB$87,'Fórmula'!H119,30))+'Fórmula'!K119*(INDEX(properties!A$1:CB$87,'Fórmula'!J119,30))</f>
        <v>31.01</v>
      </c>
      <c r="CP119" s="117">
        <f t="array" ref="CP119">VARP(IF(INDEX(properties!A$1:CB$87,'Fórmula'!B119,30)&lt;&gt;"",INDEX(properties!A$1:CB$87,'Fórmula'!B119,30)),IF(INDEX(properties!A$1:CB$87,'Fórmula'!D119,30)&lt;&gt;"",INDEX(properties!A$1:CB$87,'Fórmula'!D119,30)),IF(INDEX(properties!A$1:CB$87,'Fórmula'!F119,30)&lt;&gt;"",INDEX(properties!A$1:CB$87,'Fórmula'!F119,30)),IF(INDEX(properties!A$1:CB$87,'Fórmula'!H119,30)&lt;&gt;"",INDEX(properties!A$1:CB$87,'Fórmula'!H119,30)),IF(INDEX(properties!A$1:CB$87,'Fórmula'!J119,30)&lt;&gt;"",INDEX(properties!A$1:CB$87,'Fórmula'!J119,30)))</f>
        <v>1.28224</v>
      </c>
      <c r="CQ119" s="117">
        <f t="array" ref="CQ119">MAX(INDEX(properties!A$1:CB$87,'Fórmula'!B119,30),INDEX(properties!A$1:CB$87,'Fórmula'!D119,30),INDEX(properties!A$1:CB$87,'Fórmula'!F119,30),INDEX(properties!A$1:CB$87,'Fórmula'!H119,30),INDEX(properties!A$1:CB$87,'Fórmula'!J119,30))</f>
        <v>3.44</v>
      </c>
      <c r="CR119" s="117">
        <f t="array" ref="CR119">MIN(IF(INDEX(properties!A$1:CB$87,'Fórmula'!B119,30)=0,10^6,INDEX(properties!A$1:CB$87,'Fórmula'!B119,30)),IF(INDEX(properties!A$1:CB$87,'Fórmula'!D119,30)=0,10^6,INDEX(properties!A$1:CB$87,'Fórmula'!D119,30)),IF(INDEX(properties!A$1:CB$87,'Fórmula'!F119,30)=0,10^6,INDEX(properties!A$1:CB$87,'Fórmula'!F119,30)),IF(INDEX(properties!A$1:CB$87,'Fórmula'!H119,30)=0,10^6,INDEX(properties!A$1:CB$87,'Fórmula'!H119,30)),IF(INDEX(properties!A$1:CB$87,'Fórmula'!J119,30)=0,10^6,INDEX(properties!A$1:CB$87,'Fórmula'!J119,30)))</f>
        <v>1</v>
      </c>
      <c r="CS119" s="117">
        <f t="shared" si="16"/>
        <v>2.44</v>
      </c>
      <c r="CT119" s="118">
        <f t="array" ref="CT119">(('Fórmula'!C119)/('Fórmula'!C119+'Fórmula'!E119+'Fórmula'!G119+'Fórmula'!I119+'Fórmula'!K119))*(INDEX(properties!A$1:CB$87,'Fórmula'!B119,31))+(('Fórmula'!E119)/('Fórmula'!C119+'Fórmula'!E119+'Fórmula'!G119+'Fórmula'!I119+'Fórmula'!K119))*(INDEX(properties!A$1:CB$87,'Fórmula'!D119,31))+(('Fórmula'!G119)/('Fórmula'!C119+'Fórmula'!E119+'Fórmula'!G119+'Fórmula'!I119+'Fórmula'!K119))*(INDEX(properties!A$1:CB$87,'Fórmula'!F119,31))+(('Fórmula'!I119)/('Fórmula'!C119+'Fórmula'!E119+'Fórmula'!G119+'Fórmula'!I119+'Fórmula'!K119))*(INDEX(properties!A$1:CB$87,'Fórmula'!H119,31))+(('Fórmula'!K119)/('Fórmula'!C119+'Fórmula'!E119+'Fórmula'!G119+'Fórmula'!I119+'Fórmula'!K119))*(INDEX(properties!A$1:CB$87,'Fórmula'!J119,31))</f>
        <v>2.556666667</v>
      </c>
      <c r="CU119" s="118">
        <f t="array" ref="CU119">'Fórmula'!C119*(INDEX(properties!A$1:CB$87,'Fórmula'!B119,31))+'Fórmula'!E119*(INDEX(properties!A$1:CB$87,'Fórmula'!D119,31))+'Fórmula'!G119*(INDEX(properties!A$1:CB$87,'Fórmula'!F119,31))+'Fórmula'!I119*(INDEX(properties!A$1:CB$87,'Fórmula'!H119,31))+'Fórmula'!K119*(INDEX(properties!A$1:CB$87,'Fórmula'!J119,31))</f>
        <v>30.68</v>
      </c>
      <c r="CV119" s="118">
        <f t="array" ref="CV119">VARP(IF(INDEX(properties!A$1:CB$87,'Fórmula'!B119,31)&lt;&gt;"",INDEX(properties!A$1:CB$87,'Fórmula'!B119,31)),IF(INDEX(properties!A$1:CB$87,'Fórmula'!D119,31)&lt;&gt;"",INDEX(properties!A$1:CB$87,'Fórmula'!D119,31)),IF(INDEX(properties!A$1:CB$87,'Fórmula'!F119,31)&lt;&gt;"",INDEX(properties!A$1:CB$87,'Fórmula'!F119,31)),IF(INDEX(properties!A$1:CB$87,'Fórmula'!H119,31)&lt;&gt;"",INDEX(properties!A$1:CB$87,'Fórmula'!H119,31)),IF(INDEX(properties!A$1:CB$87,'Fórmula'!J119,31)&lt;&gt;"",INDEX(properties!A$1:CB$87,'Fórmula'!J119,31)))</f>
        <v>1.142664</v>
      </c>
      <c r="CW119" s="118">
        <f t="array" ref="CW119">MAX(INDEX(properties!A$1:CB$87,'Fórmula'!B119,31),INDEX(properties!A$1:CB$87,'Fórmula'!D119,31),INDEX(properties!A$1:CB$87,'Fórmula'!F119,31),INDEX(properties!A$1:CB$87,'Fórmula'!H119,31),INDEX(properties!A$1:CB$87,'Fórmula'!J119,31))</f>
        <v>3.32</v>
      </c>
      <c r="CX119" s="118">
        <f t="array" ref="CX119">MIN(IF(INDEX(properties!A$1:CB$87,'Fórmula'!B119,31)=0,10^6,INDEX(properties!A$1:CB$87,'Fórmula'!B119,31)),IF(INDEX(properties!A$1:CB$87,'Fórmula'!D119,31)=0,10^6,INDEX(properties!A$1:CB$87,'Fórmula'!D119,31)),IF(INDEX(properties!A$1:CB$87,'Fórmula'!F119,31)=0,10^6,INDEX(properties!A$1:CB$87,'Fórmula'!F119,31)),IF(INDEX(properties!A$1:CB$87,'Fórmula'!H119,31)=0,10^6,INDEX(properties!A$1:CB$87,'Fórmula'!H119,31)),IF(INDEX(properties!A$1:CB$87,'Fórmula'!J119,31)=0,10^6,INDEX(properties!A$1:CB$87,'Fórmula'!J119,31)))</f>
        <v>1.17</v>
      </c>
      <c r="CY119" s="118">
        <f t="shared" si="17"/>
        <v>2.15</v>
      </c>
      <c r="CZ119" s="119">
        <f t="array" ref="CZ119">(('Fórmula'!C119)/('Fórmula'!C119+'Fórmula'!E119+'Fórmula'!G119+'Fórmula'!I119+'Fórmula'!K119))*(INDEX(properties!A$1:CB$87,'Fórmula'!B119,32))+(('Fórmula'!E119)/('Fórmula'!C119+'Fórmula'!E119+'Fórmula'!G119+'Fórmula'!I119+'Fórmula'!K119))*(INDEX(properties!A$1:CB$87,'Fórmula'!D119,32))+(('Fórmula'!G119)/('Fórmula'!C119+'Fórmula'!E119+'Fórmula'!G119+'Fórmula'!I119+'Fórmula'!K119))*(INDEX(properties!A$1:CB$87,'Fórmula'!F119,32))+(('Fórmula'!I119)/('Fórmula'!C119+'Fórmula'!E119+'Fórmula'!G119+'Fórmula'!I119+'Fórmula'!K119))*(INDEX(properties!A$1:CB$87,'Fórmula'!H119,32))+(('Fórmula'!K119)/('Fórmula'!C119+'Fórmula'!E119+'Fórmula'!G119+'Fórmula'!I119+'Fórmula'!K119))*(INDEX(properties!A$1:CB$87,'Fórmula'!J119,32))</f>
        <v>5.6475</v>
      </c>
      <c r="DA119" s="119">
        <f t="array" ref="DA119">'Fórmula'!C119*(INDEX(properties!A$1:CB$87,'Fórmula'!B119,32))+'Fórmula'!E119*(INDEX(properties!A$1:CB$87,'Fórmula'!D119,32))+'Fórmula'!G119*(INDEX(properties!A$1:CB$87,'Fórmula'!F119,32))+'Fórmula'!I119*(INDEX(properties!A$1:CB$87,'Fórmula'!H119,32))+'Fórmula'!K119*(INDEX(properties!A$1:CB$87,'Fórmula'!J119,32))</f>
        <v>67.77</v>
      </c>
      <c r="DB119" s="119">
        <f t="array" ref="DB119">VARP(IF(INDEX(properties!A$1:CB$87,'Fórmula'!B119,32)&lt;&gt;"",INDEX(properties!A$1:CB$87,'Fórmula'!B119,32)),IF(INDEX(properties!A$1:CB$87,'Fórmula'!D119,32)&lt;&gt;"",INDEX(properties!A$1:CB$87,'Fórmula'!D119,32)),IF(INDEX(properties!A$1:CB$87,'Fórmula'!F119,32)&lt;&gt;"",INDEX(properties!A$1:CB$87,'Fórmula'!F119,32)),IF(INDEX(properties!A$1:CB$87,'Fórmula'!H119,32)&lt;&gt;"",INDEX(properties!A$1:CB$87,'Fórmula'!H119,32)),IF(INDEX(properties!A$1:CB$87,'Fórmula'!J119,32)&lt;&gt;"",INDEX(properties!A$1:CB$87,'Fórmula'!J119,32)))</f>
        <v>6.017104</v>
      </c>
      <c r="DC119" s="119">
        <f t="array" ref="DC119">MAX(INDEX(properties!A$1:CB$87,'Fórmula'!B119,32),INDEX(properties!A$1:CB$87,'Fórmula'!D119,32),INDEX(properties!A$1:CB$87,'Fórmula'!F119,32),INDEX(properties!A$1:CB$87,'Fórmula'!H119,32),INDEX(properties!A$1:CB$87,'Fórmula'!J119,32))</f>
        <v>7.54</v>
      </c>
      <c r="DD119" s="119">
        <f t="array" ref="DD119">MIN(IF(INDEX(properties!A$1:CB$87,'Fórmula'!B119,32)=0,10^6,INDEX(properties!A$1:CB$87,'Fórmula'!B119,32)),IF(INDEX(properties!A$1:CB$87,'Fórmula'!D119,32)=0,10^6,INDEX(properties!A$1:CB$87,'Fórmula'!D119,32)),IF(INDEX(properties!A$1:CB$87,'Fórmula'!F119,32)=0,10^6,INDEX(properties!A$1:CB$87,'Fórmula'!F119,32)),IF(INDEX(properties!A$1:CB$87,'Fórmula'!H119,32)=0,10^6,INDEX(properties!A$1:CB$87,'Fórmula'!H119,32)),IF(INDEX(properties!A$1:CB$87,'Fórmula'!J119,32)=0,10^6,INDEX(properties!A$1:CB$87,'Fórmula'!J119,32)))</f>
        <v>2.2</v>
      </c>
      <c r="DE119" s="119">
        <f t="shared" si="18"/>
        <v>5.34</v>
      </c>
      <c r="DF119" s="104">
        <f t="array" ref="DF119">(('Fórmula'!C119)/('Fórmula'!C119+'Fórmula'!E119+'Fórmula'!G119+'Fórmula'!I119+'Fórmula'!K119))*(INDEX(properties!A$1:CB$87,'Fórmula'!B119,34))+(('Fórmula'!E119)/('Fórmula'!C119+'Fórmula'!E119+'Fórmula'!G119+'Fórmula'!I119+'Fórmula'!K119))*(INDEX(properties!A$1:CB$87,'Fórmula'!D119,34))+(('Fórmula'!G119)/('Fórmula'!C119+'Fórmula'!E119+'Fórmula'!G119+'Fórmula'!I119+'Fórmula'!K119))*(INDEX(properties!A$1:CB$87,'Fórmula'!F119,34))+(('Fórmula'!I119)/('Fórmula'!C119+'Fórmula'!E119+'Fórmula'!G119+'Fórmula'!I119+'Fórmula'!K119))*(INDEX(properties!A$1:CB$87,'Fórmula'!H119,34))+(('Fórmula'!K119)/('Fórmula'!C119+'Fórmula'!E119+'Fórmula'!G119+'Fórmula'!I119+'Fórmula'!K119))*(INDEX(properties!A$1:CB$87,'Fórmula'!J119,34))</f>
        <v>2.686083333</v>
      </c>
      <c r="DG119" s="104">
        <f t="array" ref="DG119">'Fórmula'!C119*(INDEX(properties!A$1:CB$87,'Fórmula'!B119,34))+'Fórmula'!E119*(INDEX(properties!A$1:CB$87,'Fórmula'!D119,34))+'Fórmula'!G119*(INDEX(properties!A$1:CB$87,'Fórmula'!F119,34))+'Fórmula'!I119*(INDEX(properties!A$1:CB$87,'Fórmula'!H119,34))+'Fórmula'!K119*(INDEX(properties!A$1:CB$87,'Fórmula'!J119,34))</f>
        <v>32.233</v>
      </c>
      <c r="DH119" s="104">
        <f t="array" ref="DH119">VARP(IF(INDEX(properties!A$1:CB$87,'Fórmula'!B119,34)&lt;&gt;"",INDEX(properties!A$1:CB$87,'Fórmula'!B119,34)),IF(INDEX(properties!A$1:CB$87,'Fórmula'!D119,34)&lt;&gt;"",INDEX(properties!A$1:CB$87,'Fórmula'!D119,34)),IF(INDEX(properties!A$1:CB$87,'Fórmula'!F119,34)&lt;&gt;"",INDEX(properties!A$1:CB$87,'Fórmula'!F119,34)),IF(INDEX(properties!A$1:CB$87,'Fórmula'!H119,34)&lt;&gt;"",INDEX(properties!A$1:CB$87,'Fórmula'!H119,34)),IF(INDEX(properties!A$1:CB$87,'Fórmula'!J119,34)&lt;&gt;"",INDEX(properties!A$1:CB$87,'Fórmula'!J119,34)))</f>
        <v>1.41908864</v>
      </c>
      <c r="DI119" s="104">
        <f t="array" ref="DI119">MAX(INDEX(properties!A$1:CB$87,'Fórmula'!B119,34),INDEX(properties!A$1:CB$87,'Fórmula'!D119,34),INDEX(properties!A$1:CB$87,'Fórmula'!F119,34),INDEX(properties!A$1:CB$87,'Fórmula'!H119,34),INDEX(properties!A$1:CB$87,'Fórmula'!J119,34))</f>
        <v>3.61</v>
      </c>
      <c r="DJ119" s="104">
        <f t="array" ref="DJ119">MIN(IF(INDEX(properties!A$1:CB$87,'Fórmula'!B119,34)=0,10^6,INDEX(properties!A$1:CB$87,'Fórmula'!B119,34)),IF(INDEX(properties!A$1:CB$87,'Fórmula'!D119,34)=0,10^6,INDEX(properties!A$1:CB$87,'Fórmula'!D119,34)),IF(INDEX(properties!A$1:CB$87,'Fórmula'!F119,34)=0,10^6,INDEX(properties!A$1:CB$87,'Fórmula'!F119,34)),IF(INDEX(properties!A$1:CB$87,'Fórmula'!H119,34)=0,10^6,INDEX(properties!A$1:CB$87,'Fórmula'!H119,34)),IF(INDEX(properties!A$1:CB$87,'Fórmula'!J119,34)=0,10^6,INDEX(properties!A$1:CB$87,'Fórmula'!J119,34)))</f>
        <v>1.034</v>
      </c>
      <c r="DK119" s="104">
        <f t="shared" si="19"/>
        <v>2.576</v>
      </c>
      <c r="DL119" s="105">
        <f t="array" ref="DL119">(('Fórmula'!C119)/('Fórmula'!C119+'Fórmula'!E119+'Fórmula'!G119+'Fórmula'!I119+'Fórmula'!K119))*(INDEX(properties!A$1:CB$87,'Fórmula'!B119,37))+(('Fórmula'!E119)/('Fórmula'!C119+'Fórmula'!E119+'Fórmula'!G119+'Fórmula'!I119+'Fórmula'!K119))*(INDEX(properties!A$1:CB$87,'Fórmula'!D119,37))+(('Fórmula'!G119)/('Fórmula'!C119+'Fórmula'!E119+'Fórmula'!G119+'Fórmula'!I119+'Fórmula'!K119))*(INDEX(properties!A$1:CB$87,'Fórmula'!F119,37))+(('Fórmula'!I119)/('Fórmula'!C119+'Fórmula'!E119+'Fórmula'!G119+'Fórmula'!I119+'Fórmula'!K119))*(INDEX(properties!A$1:CB$87,'Fórmula'!H119,37))+(('Fórmula'!K119)/('Fórmula'!C119+'Fórmula'!E119+'Fórmula'!G119+'Fórmula'!I119+'Fórmula'!K119))*(INDEX(properties!A$1:CB$87,'Fórmula'!J119,37))</f>
        <v>2.570833333</v>
      </c>
      <c r="DM119" s="105">
        <f t="array" ref="DM119">'Fórmula'!C119*(INDEX(properties!A$1:CB$87,'Fórmula'!B119,37))+'Fórmula'!E119*(INDEX(properties!A$1:CB$87,'Fórmula'!D119,37))+'Fórmula'!G119*(INDEX(properties!A$1:CB$87,'Fórmula'!F119,37))+'Fórmula'!I119*(INDEX(properties!A$1:CB$87,'Fórmula'!H119,37))+'Fórmula'!K119*(INDEX(properties!A$1:CB$87,'Fórmula'!J119,37))</f>
        <v>30.85</v>
      </c>
      <c r="DN119" s="105">
        <f t="array" ref="DN119">VARP(IF(INDEX(properties!A$1:CB$87,'Fórmula'!B119,37)&lt;&gt;"",INDEX(properties!A$1:CB$87,'Fórmula'!B119,37)),IF(INDEX(properties!A$1:CB$87,'Fórmula'!D119,37)&lt;&gt;"",INDEX(properties!A$1:CB$87,'Fórmula'!D119,37)),IF(INDEX(properties!A$1:CB$87,'Fórmula'!F119,37)&lt;&gt;"",INDEX(properties!A$1:CB$87,'Fórmula'!F119,37)),IF(INDEX(properties!A$1:CB$87,'Fórmula'!H119,37)&lt;&gt;"",INDEX(properties!A$1:CB$87,'Fórmula'!H119,37)),IF(INDEX(properties!A$1:CB$87,'Fórmula'!J119,37)&lt;&gt;"",INDEX(properties!A$1:CB$87,'Fórmula'!J119,37)))</f>
        <v>1.2736</v>
      </c>
      <c r="DO119" s="105">
        <f t="array" ref="DO119">MAX(INDEX(properties!A$1:CB$87,'Fórmula'!B119,37),INDEX(properties!A$1:CB$87,'Fórmula'!D119,37),INDEX(properties!A$1:CB$87,'Fórmula'!F119,37),INDEX(properties!A$1:CB$87,'Fórmula'!H119,37),INDEX(properties!A$1:CB$87,'Fórmula'!J119,37))</f>
        <v>3.45</v>
      </c>
      <c r="DP119" s="105">
        <f t="array" ref="DP119">MIN(IF(INDEX(properties!A$1:CB$87,'Fórmula'!B119,37)=0,10^6,INDEX(properties!A$1:CB$87,'Fórmula'!B119,37)),IF(INDEX(properties!A$1:CB$87,'Fórmula'!D119,37)=0,10^6,INDEX(properties!A$1:CB$87,'Fórmula'!D119,37)),IF(INDEX(properties!A$1:CB$87,'Fórmula'!F119,37)=0,10^6,INDEX(properties!A$1:CB$87,'Fórmula'!F119,37)),IF(INDEX(properties!A$1:CB$87,'Fórmula'!H119,37)=0,10^6,INDEX(properties!A$1:CB$87,'Fórmula'!H119,37)),IF(INDEX(properties!A$1:CB$87,'Fórmula'!J119,37)=0,10^6,INDEX(properties!A$1:CB$87,'Fórmula'!J119,37)))</f>
        <v>1</v>
      </c>
      <c r="DQ119" s="105">
        <f t="shared" si="20"/>
        <v>2.45</v>
      </c>
      <c r="DR119" s="109">
        <f t="array" ref="DR119">(('Fórmula'!C119)/('Fórmula'!C119+'Fórmula'!E119+'Fórmula'!G119+'Fórmula'!I119+'Fórmula'!K119))*(INDEX(properties!A$1:CB$87,'Fórmula'!B119,39))+(('Fórmula'!E119)/('Fórmula'!C119+'Fórmula'!E119+'Fórmula'!G119+'Fórmula'!I119+'Fórmula'!K119))*(INDEX(properties!A$1:CB$87,'Fórmula'!D119,39))+(('Fórmula'!G119)/('Fórmula'!C119+'Fórmula'!E119+'Fórmula'!G119+'Fórmula'!I119+'Fórmula'!K119))*(INDEX(properties!A$1:CB$87,'Fórmula'!F119,39))+(('Fórmula'!I119)/('Fórmula'!C119+'Fórmula'!E119+'Fórmula'!G119+'Fórmula'!I119+'Fórmula'!K119))*(INDEX(properties!A$1:CB$87,'Fórmula'!H119,39))+(('Fórmula'!K119)/('Fórmula'!C119+'Fórmula'!E119+'Fórmula'!G119+'Fórmula'!I119+'Fórmula'!K119))*(INDEX(properties!A$1:CB$87,'Fórmula'!J119,39))</f>
        <v>0.8991666667</v>
      </c>
      <c r="DS119" s="109">
        <f t="array" ref="DS119">'Fórmula'!C119*(INDEX(properties!A$1:CB$87,'Fórmula'!B119,39))+'Fórmula'!E119*(INDEX(properties!A$1:CB$87,'Fórmula'!D119,39))+'Fórmula'!G119*(INDEX(properties!A$1:CB$87,'Fórmula'!F119,39))+'Fórmula'!I119*(INDEX(properties!A$1:CB$87,'Fórmula'!H119,39))+'Fórmula'!K119*(INDEX(properties!A$1:CB$87,'Fórmula'!J119,39))</f>
        <v>10.79</v>
      </c>
      <c r="DT119" s="109">
        <f t="array" ref="DT119">VARP(IF(INDEX(properties!A$1:CB$87,'Fórmula'!B119,39)&lt;&gt;"",INDEX(properties!A$1:CB$87,'Fórmula'!B119,39)),IF(INDEX(properties!A$1:CB$87,'Fórmula'!D119,39)&lt;&gt;"",INDEX(properties!A$1:CB$87,'Fórmula'!D119,39)),IF(INDEX(properties!A$1:CB$87,'Fórmula'!F119,39)&lt;&gt;"",INDEX(properties!A$1:CB$87,'Fórmula'!F119,39)),IF(INDEX(properties!A$1:CB$87,'Fórmula'!H119,39)&lt;&gt;"",INDEX(properties!A$1:CB$87,'Fórmula'!H119,39)),IF(INDEX(properties!A$1:CB$87,'Fórmula'!J119,39)&lt;&gt;"",INDEX(properties!A$1:CB$87,'Fórmula'!J119,39)))</f>
        <v>0.60568</v>
      </c>
      <c r="DU119" s="120">
        <f t="array" ref="DU119">MAX(INDEX(properties!A$1:CB$87,'Fórmula'!B119,39),INDEX(properties!A$1:CB$87,'Fórmula'!D119,39),INDEX(properties!A$1:CB$87,'Fórmula'!F119,39),INDEX(properties!A$1:CB$87,'Fórmula'!H119,39),INDEX(properties!A$1:CB$87,'Fórmula'!J119,39))</f>
        <v>1.95</v>
      </c>
      <c r="DV119" s="120">
        <f t="array" ref="DV119">MIN(IF(INDEX(properties!A$1:CB$87,'Fórmula'!B119,39)=0,10^6,INDEX(properties!A$1:CB$87,'Fórmula'!B119,39)),IF(INDEX(properties!A$1:CB$87,'Fórmula'!D119,39)=0,10^6,INDEX(properties!A$1:CB$87,'Fórmula'!D119,39)),IF(INDEX(properties!A$1:CB$87,'Fórmula'!F119,39)=0,10^6,INDEX(properties!A$1:CB$87,'Fórmula'!F119,39)),IF(INDEX(properties!A$1:CB$87,'Fórmula'!H119,39)=0,10^6,INDEX(properties!A$1:CB$87,'Fórmula'!H119,39)),IF(INDEX(properties!A$1:CB$87,'Fórmula'!J119,39)=0,10^6,INDEX(properties!A$1:CB$87,'Fórmula'!J119,39)))</f>
        <v>0.48</v>
      </c>
      <c r="DW119" s="109">
        <f t="shared" si="21"/>
        <v>1.47</v>
      </c>
      <c r="DX119" s="110">
        <f t="array" ref="DX119">(('Fórmula'!C119)/('Fórmula'!C119+'Fórmula'!E119+'Fórmula'!G119+'Fórmula'!I119+'Fórmula'!K119))*(INDEX(properties!A$1:CB$87,'Fórmula'!B119,40))+(('Fórmula'!E119)/('Fórmula'!C119+'Fórmula'!E119+'Fórmula'!G119+'Fórmula'!I119+'Fórmula'!K119))*(INDEX(properties!A$1:CB$87,'Fórmula'!D119,40))+(('Fórmula'!G119)/('Fórmula'!C119+'Fórmula'!E119+'Fórmula'!G119+'Fórmula'!I119+'Fórmula'!K119))*(INDEX(properties!A$1:CB$87,'Fórmula'!F119,40))+(('Fórmula'!I119)/('Fórmula'!C119+'Fórmula'!E119+'Fórmula'!G119+'Fórmula'!I119+'Fórmula'!K119))*(INDEX(properties!A$1:CB$87,'Fórmula'!H119,40))+(('Fórmula'!K119)/('Fórmula'!C119+'Fórmula'!E119+'Fórmula'!G119+'Fórmula'!I119+'Fórmula'!K119))*(INDEX(properties!A$1:CB$87,'Fórmula'!J119,40))</f>
        <v>1.006666667</v>
      </c>
      <c r="DY119" s="110">
        <f t="array" ref="DY119">'Fórmula'!C119*(INDEX(properties!A$1:CB$87,'Fórmula'!B119,40))+'Fórmula'!E119*(INDEX(properties!A$1:CB$87,'Fórmula'!D119,40))+'Fórmula'!G119*(INDEX(properties!A$1:CB$87,'Fórmula'!F119,40))+'Fórmula'!I119*(INDEX(properties!A$1:CB$87,'Fórmula'!H119,40))+'Fórmula'!K119*(INDEX(properties!A$1:CB$87,'Fórmula'!J119,40))</f>
        <v>12.08</v>
      </c>
      <c r="DZ119" s="110">
        <f t="array" ref="DZ119">VARP(IF(INDEX(properties!A$1:CB$87,'Fórmula'!B119,40)&lt;&gt;"",INDEX(properties!A$1:CB$87,'Fórmula'!B119,40)),IF(INDEX(properties!A$1:CB$87,'Fórmula'!D119,40)&lt;&gt;"",INDEX(properties!A$1:CB$87,'Fórmula'!D119,40)),IF(INDEX(properties!A$1:CB$87,'Fórmula'!F119,40)&lt;&gt;"",INDEX(properties!A$1:CB$87,'Fórmula'!F119,40)),IF(INDEX(properties!A$1:CB$87,'Fórmula'!H119,40)&lt;&gt;"",INDEX(properties!A$1:CB$87,'Fórmula'!H119,40)),IF(INDEX(properties!A$1:CB$87,'Fórmula'!J119,40)&lt;&gt;"",INDEX(properties!A$1:CB$87,'Fórmula'!J119,40)))</f>
        <v>0.421176</v>
      </c>
      <c r="EA119" s="121">
        <f t="array" ref="EA119">MAX(INDEX(properties!A$1:CB$87,'Fórmula'!B119,40),INDEX(properties!A$1:CB$87,'Fórmula'!D119,40),INDEX(properties!A$1:CB$87,'Fórmula'!F119,40),INDEX(properties!A$1:CB$87,'Fórmula'!H119,40),INDEX(properties!A$1:CB$87,'Fórmula'!J119,40))</f>
        <v>1.74</v>
      </c>
      <c r="EB119" s="121">
        <f t="array" ref="EB119">MIN(IF(INDEX(properties!A$1:CB$87,'Fórmula'!B119,40)=0,10^6,INDEX(properties!A$1:CB$87,'Fórmula'!B119,40)),IF(INDEX(properties!A$1:CB$87,'Fórmula'!D119,40)=0,10^6,INDEX(properties!A$1:CB$87,'Fórmula'!D119,40)),IF(INDEX(properties!A$1:CB$87,'Fórmula'!F119,40)=0,10^6,INDEX(properties!A$1:CB$87,'Fórmula'!F119,40)),IF(INDEX(properties!A$1:CB$87,'Fórmula'!H119,40)=0,10^6,INDEX(properties!A$1:CB$87,'Fórmula'!H119,40)),IF(INDEX(properties!A$1:CB$87,'Fórmula'!J119,40)=0,10^6,INDEX(properties!A$1:CB$87,'Fórmula'!J119,40)))</f>
        <v>0.73</v>
      </c>
      <c r="EC119" s="110">
        <f t="shared" si="22"/>
        <v>1.01</v>
      </c>
      <c r="ED119" s="111">
        <f t="array" ref="ED119">(('Fórmula'!C119)/('Fórmula'!C119+'Fórmula'!E119+'Fórmula'!G119+'Fórmula'!I119+'Fórmula'!K119))*(INDEX(properties!A$1:CB$87,'Fórmula'!B119,41))+(('Fórmula'!E119)/('Fórmula'!C119+'Fórmula'!E119+'Fórmula'!G119+'Fórmula'!I119+'Fórmula'!K119))*(INDEX(properties!A$1:CB$87,'Fórmula'!D119,41))+(('Fórmula'!G119)/('Fórmula'!C119+'Fórmula'!E119+'Fórmula'!G119+'Fórmula'!I119+'Fórmula'!K119))*(INDEX(properties!A$1:CB$87,'Fórmula'!F119,41))+(('Fórmula'!I119)/('Fórmula'!C119+'Fórmula'!E119+'Fórmula'!G119+'Fórmula'!I119+'Fórmula'!K119))*(INDEX(properties!A$1:CB$87,'Fórmula'!H119,41))+(('Fórmula'!K119)/('Fórmula'!C119+'Fórmula'!E119+'Fórmula'!G119+'Fórmula'!I119+'Fórmula'!K119))*(INDEX(properties!A$1:CB$87,'Fórmula'!J119,41))</f>
        <v>1.0975</v>
      </c>
      <c r="EE119" s="111">
        <f t="array" ref="EE119">'Fórmula'!C119*(INDEX(properties!A$1:CB$87,'Fórmula'!B119,41))+'Fórmula'!E119*(INDEX(properties!A$1:CB$87,'Fórmula'!D119,41))+'Fórmula'!G119*(INDEX(properties!A$1:CB$87,'Fórmula'!F119,41))+'Fórmula'!I119*(INDEX(properties!A$1:CB$87,'Fórmula'!H119,41))+'Fórmula'!K119*(INDEX(properties!A$1:CB$87,'Fórmula'!J119,41))</f>
        <v>13.17</v>
      </c>
      <c r="EF119" s="111">
        <f t="array" ref="EF119">VARP(IF(INDEX(properties!A$1:CB$87,'Fórmula'!B119,41)&lt;&gt;"",INDEX(properties!A$1:CB$87,'Fórmula'!B119,41)),IF(INDEX(properties!A$1:CB$87,'Fórmula'!D119,41)&lt;&gt;"",INDEX(properties!A$1:CB$87,'Fórmula'!D119,41)),IF(INDEX(properties!A$1:CB$87,'Fórmula'!F119,41)&lt;&gt;"",INDEX(properties!A$1:CB$87,'Fórmula'!F119,41)),IF(INDEX(properties!A$1:CB$87,'Fórmula'!H119,41)&lt;&gt;"",INDEX(properties!A$1:CB$87,'Fórmula'!H119,41)),IF(INDEX(properties!A$1:CB$87,'Fórmula'!J119,41)&lt;&gt;"",INDEX(properties!A$1:CB$87,'Fórmula'!J119,41)))</f>
        <v>0.2212</v>
      </c>
      <c r="EG119" s="122">
        <f t="array" ref="EG119">MAX(INDEX(properties!A$1:CB$87,'Fórmula'!B119,41),INDEX(properties!A$1:CB$87,'Fórmula'!D119,41),INDEX(properties!A$1:CB$87,'Fórmula'!F119,41),INDEX(properties!A$1:CB$87,'Fórmula'!H119,41),INDEX(properties!A$1:CB$87,'Fórmula'!J119,41))</f>
        <v>1.26</v>
      </c>
      <c r="EH119" s="122">
        <f t="array" ref="EH119">MIN(IF(INDEX(properties!A$1:CB$87,'Fórmula'!B119,41)=0,10^6,INDEX(properties!A$1:CB$87,'Fórmula'!B119,41)),IF(INDEX(properties!A$1:CB$87,'Fórmula'!D119,41)=0,10^6,INDEX(properties!A$1:CB$87,'Fórmula'!D119,41)),IF(INDEX(properties!A$1:CB$87,'Fórmula'!F119,41)=0,10^6,INDEX(properties!A$1:CB$87,'Fórmula'!F119,41)),IF(INDEX(properties!A$1:CB$87,'Fórmula'!H119,41)=0,10^6,INDEX(properties!A$1:CB$87,'Fórmula'!H119,41)),IF(INDEX(properties!A$1:CB$87,'Fórmula'!J119,41)=0,10^6,INDEX(properties!A$1:CB$87,'Fórmula'!J119,41)))</f>
        <v>0.68</v>
      </c>
      <c r="EI119" s="111">
        <f t="shared" si="23"/>
        <v>0.58</v>
      </c>
      <c r="EJ119" s="112">
        <f t="array" ref="EJ119">(('Fórmula'!C119)/('Fórmula'!C119+'Fórmula'!E119+'Fórmula'!G119+'Fórmula'!I119+'Fórmula'!K119))*(INDEX(properties!A$1:CB$87,'Fórmula'!B119,45))+(('Fórmula'!E119)/('Fórmula'!C119+'Fórmula'!E119+'Fórmula'!G119+'Fórmula'!I119+'Fórmula'!K119))*(INDEX(properties!A$1:CB$87,'Fórmula'!D119,45))+(('Fórmula'!G119)/('Fórmula'!C119+'Fórmula'!E119+'Fórmula'!G119+'Fórmula'!I119+'Fórmula'!K119))*(INDEX(properties!A$1:CB$87,'Fórmula'!F119,45))+(('Fórmula'!I119)/('Fórmula'!C119+'Fórmula'!E119+'Fórmula'!G119+'Fórmula'!I119+'Fórmula'!K119))*(INDEX(properties!A$1:CB$87,'Fórmula'!H119,45))+(('Fórmula'!K119)/('Fórmula'!C119+'Fórmula'!E119+'Fórmula'!G119+'Fórmula'!I119+'Fórmula'!K119))*(INDEX(properties!A$1:CB$87,'Fórmula'!J119,45))</f>
        <v>1.200833333</v>
      </c>
      <c r="EK119" s="112">
        <f t="array" ref="EK119">'Fórmula'!C119*(INDEX(properties!A$1:CB$87,'Fórmula'!B119,45))+'Fórmula'!E119*(INDEX(properties!A$1:CB$87,'Fórmula'!D119,45))+'Fórmula'!G119*(INDEX(properties!A$1:CB$87,'Fórmula'!F119,45))+'Fórmula'!I119*(INDEX(properties!A$1:CB$87,'Fórmula'!H119,45))+'Fórmula'!K119*(INDEX(properties!A$1:CB$87,'Fórmula'!J119,45))</f>
        <v>14.41</v>
      </c>
      <c r="EL119" s="112">
        <f t="array" ref="EL119">VARP(IF(INDEX(properties!A$1:CB$87,'Fórmula'!B119,45)&lt;&gt;"",INDEX(properties!A$1:CB$87,'Fórmula'!B119,45)),IF(INDEX(properties!A$1:CB$87,'Fórmula'!D119,45)&lt;&gt;"",INDEX(properties!A$1:CB$87,'Fórmula'!D119,45)),IF(INDEX(properties!A$1:CB$87,'Fórmula'!F119,45)&lt;&gt;"",INDEX(properties!A$1:CB$87,'Fórmula'!F119,45)),IF(INDEX(properties!A$1:CB$87,'Fórmula'!H119,45)&lt;&gt;"",INDEX(properties!A$1:CB$87,'Fórmula'!H119,45)),IF(INDEX(properties!A$1:CB$87,'Fórmula'!J119,45)&lt;&gt;"",INDEX(properties!A$1:CB$87,'Fórmula'!J119,45)))</f>
        <v>1.596624</v>
      </c>
      <c r="EM119" s="123">
        <f t="array" ref="EM119">MAX(INDEX(properties!A$1:CB$87,'Fórmula'!B119,45),INDEX(properties!A$1:CB$87,'Fórmula'!D119,45),INDEX(properties!A$1:CB$87,'Fórmula'!F119,45),INDEX(properties!A$1:CB$87,'Fórmula'!H119,45),INDEX(properties!A$1:CB$87,'Fórmula'!J119,45))</f>
        <v>3.08</v>
      </c>
      <c r="EN119" s="123">
        <f t="array" ref="EN119">MIN(IF(INDEX(properties!A$1:CB$87,'Fórmula'!B119,45)=0,10^6,INDEX(properties!A$1:CB$87,'Fórmula'!B119,45)),IF(INDEX(properties!A$1:CB$87,'Fórmula'!D119,45)=0,10^6,INDEX(properties!A$1:CB$87,'Fórmula'!D119,45)),IF(INDEX(properties!A$1:CB$87,'Fórmula'!F119,45)=0,10^6,INDEX(properties!A$1:CB$87,'Fórmula'!F119,45)),IF(INDEX(properties!A$1:CB$87,'Fórmula'!H119,45)=0,10^6,INDEX(properties!A$1:CB$87,'Fórmula'!H119,45)),IF(INDEX(properties!A$1:CB$87,'Fórmula'!J119,45)=0,10^6,INDEX(properties!A$1:CB$87,'Fórmula'!J119,45)))</f>
        <v>0.47</v>
      </c>
      <c r="EO119" s="112">
        <f t="shared" si="24"/>
        <v>2.61</v>
      </c>
      <c r="EP119" s="113">
        <f t="array" ref="EP119">(('Fórmula'!C119)/('Fórmula'!C119+'Fórmula'!E119+'Fórmula'!G119+'Fórmula'!I119+'Fórmula'!K119))*(INDEX(properties!A$1:CB$87,'Fórmula'!B119,46))+(('Fórmula'!E119)/('Fórmula'!C119+'Fórmula'!E119+'Fórmula'!G119+'Fórmula'!I119+'Fórmula'!K119))*(INDEX(properties!A$1:CB$87,'Fórmula'!D119,46))+(('Fórmula'!G119)/('Fórmula'!C119+'Fórmula'!E119+'Fórmula'!G119+'Fórmula'!I119+'Fórmula'!K119))*(INDEX(properties!A$1:CB$87,'Fórmula'!F119,46))+(('Fórmula'!I119)/('Fórmula'!C119+'Fórmula'!E119+'Fórmula'!G119+'Fórmula'!I119+'Fórmula'!K119))*(INDEX(properties!A$1:CB$87,'Fórmula'!H119,46))+(('Fórmula'!K119)/('Fórmula'!C119+'Fórmula'!E119+'Fórmula'!G119+'Fórmula'!I119+'Fórmula'!K119))*(INDEX(properties!A$1:CB$87,'Fórmula'!J119,46))</f>
        <v>1.046666667</v>
      </c>
      <c r="EQ119" s="113">
        <f t="array" ref="EQ119">'Fórmula'!C119*(INDEX(properties!A$1:CB$87,'Fórmula'!B119,46))+'Fórmula'!E119*(INDEX(properties!A$1:CB$87,'Fórmula'!D119,46))+'Fórmula'!G119*(INDEX(properties!A$1:CB$87,'Fórmula'!F119,46))+'Fórmula'!I119*(INDEX(properties!A$1:CB$87,'Fórmula'!H119,46))+'Fórmula'!K119*(INDEX(properties!A$1:CB$87,'Fórmula'!J119,46))</f>
        <v>12.56</v>
      </c>
      <c r="ER119" s="113">
        <f t="array" ref="ER119">VARP(IF(INDEX(properties!A$1:CB$87,'Fórmula'!B119,46)&lt;&gt;"",INDEX(properties!A$1:CB$87,'Fórmula'!B119,46)),IF(INDEX(properties!A$1:CB$87,'Fórmula'!D119,46)&lt;&gt;"",INDEX(properties!A$1:CB$87,'Fórmula'!D119,46)),IF(INDEX(properties!A$1:CB$87,'Fórmula'!F119,46)&lt;&gt;"",INDEX(properties!A$1:CB$87,'Fórmula'!F119,46)),IF(INDEX(properties!A$1:CB$87,'Fórmula'!H119,46)&lt;&gt;"",INDEX(properties!A$1:CB$87,'Fórmula'!H119,46)),IF(INDEX(properties!A$1:CB$87,'Fórmula'!J119,46)&lt;&gt;"",INDEX(properties!A$1:CB$87,'Fórmula'!J119,46)))</f>
        <v>0.259736</v>
      </c>
      <c r="ES119" s="124">
        <f t="array" ref="ES119">MAX(INDEX(properties!A$1:CB$87,'Fórmula'!B119,46),INDEX(properties!A$1:CB$87,'Fórmula'!D119,46),INDEX(properties!A$1:CB$87,'Fórmula'!F119,46),INDEX(properties!A$1:CB$87,'Fórmula'!H119,46),INDEX(properties!A$1:CB$87,'Fórmula'!J119,46))</f>
        <v>1.36</v>
      </c>
      <c r="ET119" s="124">
        <f t="array" ref="ET119">MIN(IF(INDEX(properties!A$1:CB$87,'Fórmula'!B119,46)=0,10^6,INDEX(properties!A$1:CB$87,'Fórmula'!B119,46)),IF(INDEX(properties!A$1:CB$87,'Fórmula'!D119,46)=0,10^6,INDEX(properties!A$1:CB$87,'Fórmula'!D119,46)),IF(INDEX(properties!A$1:CB$87,'Fórmula'!F119,46)=0,10^6,INDEX(properties!A$1:CB$87,'Fórmula'!F119,46)),IF(INDEX(properties!A$1:CB$87,'Fórmula'!H119,46)=0,10^6,INDEX(properties!A$1:CB$87,'Fórmula'!H119,46)),IF(INDEX(properties!A$1:CB$87,'Fórmula'!J119,46)=0,10^6,INDEX(properties!A$1:CB$87,'Fórmula'!J119,46)))</f>
        <v>0.53</v>
      </c>
      <c r="EU119" s="113">
        <f t="shared" si="25"/>
        <v>0.83</v>
      </c>
      <c r="EV119" s="114">
        <f t="array" ref="EV119">(('Fórmula'!C119)/('Fórmula'!C119+'Fórmula'!E119+'Fórmula'!G119+'Fórmula'!I119+'Fórmula'!K119))*(INDEX(properties!A$1:CB$87,'Fórmula'!B119,52))+(('Fórmula'!E119)/('Fórmula'!C119+'Fórmula'!E119+'Fórmula'!G119+'Fórmula'!I119+'Fórmula'!K119))*(INDEX(properties!A$1:CB$87,'Fórmula'!D119,52))+(('Fórmula'!G119)/('Fórmula'!C119+'Fórmula'!E119+'Fórmula'!G119+'Fórmula'!I119+'Fórmula'!K119))*(INDEX(properties!A$1:CB$87,'Fórmula'!F119,52))+(('Fórmula'!I119)/('Fórmula'!C119+'Fórmula'!E119+'Fórmula'!G119+'Fórmula'!I119+'Fórmula'!K119))*(INDEX(properties!A$1:CB$87,'Fórmula'!H119,52))+(('Fórmula'!K119)/('Fórmula'!C119+'Fórmula'!E119+'Fórmula'!G119+'Fórmula'!I119+'Fórmula'!K119))*(INDEX(properties!A$1:CB$87,'Fórmula'!J119,52))</f>
        <v>7.02925</v>
      </c>
      <c r="EW119" s="114">
        <f t="array" ref="EW119">'Fórmula'!C119*(INDEX(properties!A$1:CB$87,'Fórmula'!B119,52))+'Fórmula'!E119*(INDEX(properties!A$1:CB$87,'Fórmula'!D119,52))+'Fórmula'!G119*(INDEX(properties!A$1:CB$87,'Fórmula'!F119,52))+'Fórmula'!I119*(INDEX(properties!A$1:CB$87,'Fórmula'!H119,52))+'Fórmula'!K119*(INDEX(properties!A$1:CB$87,'Fórmula'!J119,52))</f>
        <v>84.351</v>
      </c>
      <c r="EX119" s="114">
        <f t="array" ref="EX119">VARP(IF(INDEX(properties!A$1:CB$87,'Fórmula'!B119,52)&lt;&gt;"",INDEX(properties!A$1:CB$87,'Fórmula'!B119,52)),IF(INDEX(properties!A$1:CB$87,'Fórmula'!D119,52)&lt;&gt;"",INDEX(properties!A$1:CB$87,'Fórmula'!D119,52)),IF(INDEX(properties!A$1:CB$87,'Fórmula'!F119,52)&lt;&gt;"",INDEX(properties!A$1:CB$87,'Fórmula'!F119,52)),IF(INDEX(properties!A$1:CB$87,'Fórmula'!H119,52)&lt;&gt;"",INDEX(properties!A$1:CB$87,'Fórmula'!H119,52)),IF(INDEX(properties!A$1:CB$87,'Fórmula'!J119,52)&lt;&gt;"",INDEX(properties!A$1:CB$87,'Fórmula'!J119,52)))</f>
        <v>152.5890478</v>
      </c>
      <c r="EY119" s="114">
        <f t="array" ref="EY119">MAX(INDEX(properties!A$1:CB$87,'Fórmula'!B119,52),INDEX(properties!A$1:CB$87,'Fórmula'!D119,52),INDEX(properties!A$1:CB$87,'Fórmula'!F119,52),INDEX(properties!A$1:CB$87,'Fórmula'!H119,52),INDEX(properties!A$1:CB$87,'Fórmula'!J119,52))</f>
        <v>31.1</v>
      </c>
      <c r="EZ119" s="114">
        <f t="array" ref="EZ119">MIN(IF(INDEX(properties!A$1:CB$87,'Fórmula'!B119,52)=0,10^6,INDEX(properties!A$1:CB$87,'Fórmula'!B119,52)),IF(INDEX(properties!A$1:CB$87,'Fórmula'!D119,52)=0,10^6,INDEX(properties!A$1:CB$87,'Fórmula'!D119,52)),IF(INDEX(properties!A$1:CB$87,'Fórmula'!F119,52)=0,10^6,INDEX(properties!A$1:CB$87,'Fórmula'!F119,52)),IF(INDEX(properties!A$1:CB$87,'Fórmula'!H119,52)=0,10^6,INDEX(properties!A$1:CB$87,'Fórmula'!H119,52)),IF(INDEX(properties!A$1:CB$87,'Fórmula'!J119,52)=0,10^6,INDEX(properties!A$1:CB$87,'Fórmula'!J119,52)))</f>
        <v>0.793</v>
      </c>
      <c r="FA119" s="114">
        <f t="shared" si="26"/>
        <v>30.307</v>
      </c>
      <c r="FB119" s="115">
        <f t="array" ref="FB119">(('Fórmula'!C119)/('Fórmula'!C119+'Fórmula'!E119+'Fórmula'!G119+'Fórmula'!I119+'Fórmula'!K119))*(INDEX(properties!A$1:CB$87,'Fórmula'!B119,53))+(('Fórmula'!E119)/('Fórmula'!C119+'Fórmula'!E119+'Fórmula'!G119+'Fórmula'!I119+'Fórmula'!K119))*(INDEX(properties!A$1:CB$87,'Fórmula'!D119,53))+(('Fórmula'!G119)/('Fórmula'!C119+'Fórmula'!E119+'Fórmula'!G119+'Fórmula'!I119+'Fórmula'!K119))*(INDEX(properties!A$1:CB$87,'Fórmula'!F119,53))+(('Fórmula'!I119)/('Fórmula'!C119+'Fórmula'!E119+'Fórmula'!G119+'Fórmula'!I119+'Fórmula'!K119))*(INDEX(properties!A$1:CB$87,'Fórmula'!H119,53))+(('Fórmula'!K119)/('Fórmula'!C119+'Fórmula'!E119+'Fórmula'!G119+'Fórmula'!I119+'Fórmula'!K119))*(INDEX(properties!A$1:CB$87,'Fórmula'!J119,53))</f>
        <v>457.3333333</v>
      </c>
      <c r="FC119" s="115">
        <f t="array" ref="FC119">'Fórmula'!C119*(INDEX(properties!A$1:CB$87,'Fórmula'!B119,53))+'Fórmula'!E119*(INDEX(properties!A$1:CB$87,'Fórmula'!D119,53))+'Fórmula'!G119*(INDEX(properties!A$1:CB$87,'Fórmula'!F119,53))+'Fórmula'!I119*(INDEX(properties!A$1:CB$87,'Fórmula'!H119,53))+'Fórmula'!K119*(INDEX(properties!A$1:CB$87,'Fórmula'!J119,53))</f>
        <v>5488</v>
      </c>
      <c r="FD119" s="115">
        <f t="array" ref="FD119">VARP(IF(INDEX(properties!A$1:CB$87,'Fórmula'!B119,53)&lt;&gt;"",INDEX(properties!A$1:CB$87,'Fórmula'!B119,53)),IF(INDEX(properties!A$1:CB$87,'Fórmula'!D119,53)&lt;&gt;"",INDEX(properties!A$1:CB$87,'Fórmula'!D119,53)),IF(INDEX(properties!A$1:CB$87,'Fórmula'!F119,53)&lt;&gt;"",INDEX(properties!A$1:CB$87,'Fórmula'!F119,53)),IF(INDEX(properties!A$1:CB$87,'Fórmula'!H119,53)&lt;&gt;"",INDEX(properties!A$1:CB$87,'Fórmula'!H119,53)),IF(INDEX(properties!A$1:CB$87,'Fórmula'!J119,53)&lt;&gt;"",INDEX(properties!A$1:CB$87,'Fórmula'!J119,53)))</f>
        <v>273043.5564</v>
      </c>
      <c r="FE119" s="115">
        <f t="array" ref="FE119">MAX(INDEX(properties!A$1:CB$87,'Fórmula'!B119,53),INDEX(properties!A$1:CB$87,'Fórmula'!D119,53),INDEX(properties!A$1:CB$87,'Fórmula'!F119,53),INDEX(properties!A$1:CB$87,'Fórmula'!H119,53),INDEX(properties!A$1:CB$87,'Fórmula'!J119,53))</f>
        <v>1193.15</v>
      </c>
      <c r="FF119" s="115">
        <f t="array" ref="FF119">MIN(IF(INDEX(properties!A$1:CB$87,'Fórmula'!B119,53)=0,10^6,INDEX(properties!A$1:CB$87,'Fórmula'!B119,53)),IF(INDEX(properties!A$1:CB$87,'Fórmula'!D119,53)=0,10^6,INDEX(properties!A$1:CB$87,'Fórmula'!D119,53)),IF(INDEX(properties!A$1:CB$87,'Fórmula'!F119,53)=0,10^6,INDEX(properties!A$1:CB$87,'Fórmula'!F119,53)),IF(INDEX(properties!A$1:CB$87,'Fórmula'!H119,53)=0,10^6,INDEX(properties!A$1:CB$87,'Fórmula'!H119,53)),IF(INDEX(properties!A$1:CB$87,'Fórmula'!J119,53)=0,10^6,INDEX(properties!A$1:CB$87,'Fórmula'!J119,53)))</f>
        <v>54.75</v>
      </c>
      <c r="FG119" s="115">
        <f t="shared" si="27"/>
        <v>1138.4</v>
      </c>
      <c r="FH119" s="117">
        <f t="array" ref="FH119">(('Fórmula'!C119)/('Fórmula'!C119+'Fórmula'!E119+'Fórmula'!G119+'Fórmula'!I119+'Fórmula'!K119))*(INDEX(properties!A$1:CB$87,'Fórmula'!B119,54))+(('Fórmula'!E119)/('Fórmula'!C119+'Fórmula'!E119+'Fórmula'!G119+'Fórmula'!I119+'Fórmula'!K119))*(INDEX(properties!A$1:CB$87,'Fórmula'!D119,54))+(('Fórmula'!G119)/('Fórmula'!C119+'Fórmula'!E119+'Fórmula'!G119+'Fórmula'!I119+'Fórmula'!K119))*(INDEX(properties!A$1:CB$87,'Fórmula'!F119,54))+(('Fórmula'!I119)/('Fórmula'!C119+'Fórmula'!E119+'Fórmula'!G119+'Fórmula'!I119+'Fórmula'!K119))*(INDEX(properties!A$1:CB$87,'Fórmula'!H119,54))+(('Fórmula'!K119)/('Fórmula'!C119+'Fórmula'!E119+'Fórmula'!G119+'Fórmula'!I119+'Fórmula'!K119))*(INDEX(properties!A$1:CB$87,'Fórmula'!J119,54))</f>
        <v>1194.65</v>
      </c>
      <c r="FI119" s="117">
        <f t="array" ref="FI119">'Fórmula'!C119*(INDEX(properties!A$1:CB$87,'Fórmula'!B119,54))+'Fórmula'!E119*(INDEX(properties!A$1:CB$87,'Fórmula'!D119,54))+'Fórmula'!G119*(INDEX(properties!A$1:CB$87,'Fórmula'!F119,54))+'Fórmula'!I119*(INDEX(properties!A$1:CB$87,'Fórmula'!H119,54))+'Fórmula'!K119*(INDEX(properties!A$1:CB$87,'Fórmula'!J119,54))</f>
        <v>14335.8</v>
      </c>
      <c r="FJ119" s="117">
        <f t="array" ref="FJ119">VARP(IF(INDEX(properties!A$1:CB$87,'Fórmula'!B119,54)&lt;&gt;"",INDEX(properties!A$1:CB$87,'Fórmula'!B119,54)),IF(INDEX(properties!A$1:CB$87,'Fórmula'!D119,54)&lt;&gt;"",INDEX(properties!A$1:CB$87,'Fórmula'!D119,54)),IF(INDEX(properties!A$1:CB$87,'Fórmula'!F119,54)&lt;&gt;"",INDEX(properties!A$1:CB$87,'Fórmula'!F119,54)),IF(INDEX(properties!A$1:CB$87,'Fórmula'!H119,54)&lt;&gt;"",INDEX(properties!A$1:CB$87,'Fórmula'!H119,54)),IF(INDEX(properties!A$1:CB$87,'Fórmula'!J119,54)&lt;&gt;"",INDEX(properties!A$1:CB$87,'Fórmula'!J119,54)))</f>
        <v>2133851.532</v>
      </c>
      <c r="FK119" s="117">
        <f t="array" ref="FK119">MAX(INDEX(properties!A$1:CB$87,'Fórmula'!B119,54),INDEX(properties!A$1:CB$87,'Fórmula'!D119,54),INDEX(properties!A$1:CB$87,'Fórmula'!F119,54),INDEX(properties!A$1:CB$87,'Fórmula'!H119,54),INDEX(properties!A$1:CB$87,'Fórmula'!J119,54))</f>
        <v>3727.15</v>
      </c>
      <c r="FL119" s="117">
        <f t="array" ref="FL119">MIN(IF(INDEX(properties!A$1:CB$87,'Fórmula'!B119,54)=0,10^6,INDEX(properties!A$1:CB$87,'Fórmula'!B119,54)),IF(INDEX(properties!A$1:CB$87,'Fórmula'!D119,54)=0,10^6,INDEX(properties!A$1:CB$87,'Fórmula'!D119,54)),IF(INDEX(properties!A$1:CB$87,'Fórmula'!F119,54)=0,10^6,INDEX(properties!A$1:CB$87,'Fórmula'!F119,54)),IF(INDEX(properties!A$1:CB$87,'Fórmula'!H119,54)=0,10^6,INDEX(properties!A$1:CB$87,'Fórmula'!H119,54)),IF(INDEX(properties!A$1:CB$87,'Fórmula'!J119,54)=0,10^6,INDEX(properties!A$1:CB$87,'Fórmula'!J119,54)))</f>
        <v>90.15</v>
      </c>
      <c r="FM119" s="117">
        <f t="shared" si="28"/>
        <v>3637</v>
      </c>
      <c r="FN119" s="118">
        <f t="array" ref="FN119">(('Fórmula'!C119)/('Fórmula'!C119+'Fórmula'!E119+'Fórmula'!G119+'Fórmula'!I119+'Fórmula'!K119))*(INDEX(properties!A$1:CB$87,'Fórmula'!B119,55))+(('Fórmula'!E119)/('Fórmula'!C119+'Fórmula'!E119+'Fórmula'!G119+'Fórmula'!I119+'Fórmula'!K119))*(INDEX(properties!A$1:CB$87,'Fórmula'!D119,55))+(('Fórmula'!G119)/('Fórmula'!C119+'Fórmula'!E119+'Fórmula'!G119+'Fórmula'!I119+'Fórmula'!K119))*(INDEX(properties!A$1:CB$87,'Fórmula'!F119,55))+(('Fórmula'!I119)/('Fórmula'!C119+'Fórmula'!E119+'Fórmula'!G119+'Fórmula'!I119+'Fórmula'!K119))*(INDEX(properties!A$1:CB$87,'Fórmula'!H119,55))+(('Fórmula'!K119)/('Fórmula'!C119+'Fórmula'!E119+'Fórmula'!G119+'Fórmula'!I119+'Fórmula'!K119))*(INDEX(properties!A$1:CB$87,'Fórmula'!J119,55))</f>
        <v>1.317500833</v>
      </c>
      <c r="FO119" s="118">
        <f t="array" ref="FO119">'Fórmula'!C119*(INDEX(properties!A$1:CB$87,'Fórmula'!B119,55))+'Fórmula'!E119*(INDEX(properties!A$1:CB$87,'Fórmula'!D119,54))+'Fórmula'!G119*(INDEX(properties!A$1:CB$87,'Fórmula'!F119,55))+'Fórmula'!I119*(INDEX(properties!A$1:CB$87,'Fórmula'!H119,55))+'Fórmula'!K119*(INDEX(properties!A$1:CB$87,'Fórmula'!J119,55))</f>
        <v>3736.81001</v>
      </c>
      <c r="FP119" s="118">
        <f t="array" ref="FP119">VARP(IF(INDEX(properties!A$1:CB$87,'Fórmula'!B119,55)&lt;&gt;"",INDEX(properties!A$1:CB$87,'Fórmula'!B119,55)),IF(INDEX(properties!A$1:CB$87,'Fórmula'!D119,55)&lt;&gt;"",INDEX(properties!A$1:CB$87,'Fórmula'!D119,55)),IF(INDEX(properties!A$1:CB$87,'Fórmula'!F119,55)&lt;&gt;"",INDEX(properties!A$1:CB$87,'Fórmula'!F119,55)),IF(INDEX(properties!A$1:CB$87,'Fórmula'!H119,55)&lt;&gt;"",INDEX(properties!A$1:CB$87,'Fórmula'!H119,55)),IF(INDEX(properties!A$1:CB$87,'Fórmula'!J119,55)&lt;&gt;"",INDEX(properties!A$1:CB$87,'Fórmula'!J119,55)))</f>
        <v>5.175410567</v>
      </c>
      <c r="FQ119" s="118">
        <f t="array" ref="FQ119">MAX(INDEX(properties!A$1:CB$87,'Fórmula'!B119,55),INDEX(properties!A$1:CB$87,'Fórmula'!D119,55),INDEX(properties!A$1:CB$87,'Fórmula'!F119,55),INDEX(properties!A$1:CB$87,'Fórmula'!H119,55),INDEX(properties!A$1:CB$87,'Fórmula'!J119,55))</f>
        <v>6.15</v>
      </c>
      <c r="FR119" s="118">
        <f t="array" ref="FR119">MIN(IF(INDEX(properties!A$1:CB$87,'Fórmula'!B119,55)=0,10^6,INDEX(properties!A$1:CB$87,'Fórmula'!B119,55)),IF(INDEX(properties!A$1:CB$87,'Fórmula'!D119,55)=0,10^6,INDEX(properties!A$1:CB$87,'Fórmula'!D119,55)),IF(INDEX(properties!A$1:CB$87,'Fórmula'!F119,55)=0,10^6,INDEX(properties!A$1:CB$87,'Fórmula'!F119,55)),IF(INDEX(properties!A$1:CB$87,'Fórmula'!H119,55)=0,10^6,INDEX(properties!A$1:CB$87,'Fórmula'!H119,55)),IF(INDEX(properties!A$1:CB$87,'Fórmula'!J119,55)=0,10^6,INDEX(properties!A$1:CB$87,'Fórmula'!J119,55)))</f>
        <v>0.00143</v>
      </c>
      <c r="FS119" s="118">
        <f t="shared" si="29"/>
        <v>6.14857</v>
      </c>
      <c r="FT119" s="119">
        <f t="array" ref="FT119">(('Fórmula'!C119)/('Fórmula'!C119+'Fórmula'!E119+'Fórmula'!G119+'Fórmula'!I119+'Fórmula'!K119))*(INDEX(properties!A$1:CB$87,'Fórmula'!B119,56))+(('Fórmula'!E119)/('Fórmula'!C119+'Fórmula'!E119+'Fórmula'!G119+'Fórmula'!I119+'Fórmula'!K119))*(INDEX(properties!A$1:CB$87,'Fórmula'!D119,56))+(('Fórmula'!G119)/('Fórmula'!C119+'Fórmula'!E119+'Fórmula'!G119+'Fórmula'!I119+'Fórmula'!K119))*(INDEX(properties!A$1:CB$87,'Fórmula'!F119,56))+(('Fórmula'!I119)/('Fórmula'!C119+'Fórmula'!E119+'Fórmula'!G119+'Fórmula'!I119+'Fórmula'!K119))*(INDEX(properties!A$1:CB$87,'Fórmula'!H119,56))+(('Fórmula'!K119)/('Fórmula'!C119+'Fórmula'!E119+'Fórmula'!G119+'Fórmula'!I119+'Fórmula'!K119))*(INDEX(properties!A$1:CB$87,'Fórmula'!J119,56))</f>
        <v>0.83</v>
      </c>
      <c r="FU119" s="119">
        <f t="array" ref="FU119">'Fórmula'!C119*(INDEX(properties!A$1:CB$87,'Fórmula'!B119,56))+'Fórmula'!E119*(INDEX(properties!A$1:CB$87,'Fórmula'!D119,56))+'Fórmula'!G119*(INDEX(properties!A$1:CB$87,'Fórmula'!F119,56))+'Fórmula'!I119*(INDEX(properties!A$1:CB$87,'Fórmula'!H119,56))+'Fórmula'!K119*(INDEX(properties!A$1:CB$87,'Fórmula'!J119,56))</f>
        <v>9.96</v>
      </c>
      <c r="FV119" s="119">
        <f t="array" ref="FV119">VARP(IF(INDEX(properties!A$1:CB$87,'Fórmula'!B119,56)&lt;&gt;"",INDEX(properties!A$1:CB$87,'Fórmula'!B119,56)),IF(INDEX(properties!A$1:CB$87,'Fórmula'!D119,56)&lt;&gt;"",INDEX(properties!A$1:CB$87,'Fórmula'!D119,56)),IF(INDEX(properties!A$1:CB$87,'Fórmula'!F119,56)&lt;&gt;"",INDEX(properties!A$1:CB$87,'Fórmula'!F119,56)),IF(INDEX(properties!A$1:CB$87,'Fórmula'!H119,56)&lt;&gt;"",INDEX(properties!A$1:CB$87,'Fórmula'!H119,56)),IF(INDEX(properties!A$1:CB$87,'Fórmula'!J119,56)&lt;&gt;"",INDEX(properties!A$1:CB$87,'Fórmula'!J119,56)))</f>
        <v>0.139096</v>
      </c>
      <c r="FW119" s="119">
        <f t="array" ref="FW119">MAX(INDEX(properties!A$1:CB$87,'Fórmula'!B119,56),INDEX(properties!A$1:CB$87,'Fórmula'!D119,56),INDEX(properties!A$1:CB$87,'Fórmula'!F119,56),INDEX(properties!A$1:CB$87,'Fórmula'!H119,56),INDEX(properties!A$1:CB$87,'Fórmula'!J119,56))</f>
        <v>0.92</v>
      </c>
      <c r="FX119" s="119">
        <f t="array" ref="FX119">MIN(IF(INDEX(properties!A$1:CB$87,'Fórmula'!B119,56)=0,10^6,INDEX(properties!A$1:CB$87,'Fórmula'!B119,56)),IF(INDEX(properties!A$1:CB$87,'Fórmula'!D119,56)=0,10^6,INDEX(properties!A$1:CB$87,'Fórmula'!D119,56)),IF(INDEX(properties!A$1:CB$87,'Fórmula'!F119,56)=0,10^6,INDEX(properties!A$1:CB$87,'Fórmula'!F119,56)),IF(INDEX(properties!A$1:CB$87,'Fórmula'!H119,56)=0,10^6,INDEX(properties!A$1:CB$87,'Fórmula'!H119,56)),IF(INDEX(properties!A$1:CB$87,'Fórmula'!J119,56)=0,10^6,INDEX(properties!A$1:CB$87,'Fórmula'!J119,56)))</f>
        <v>0.19</v>
      </c>
      <c r="FY119" s="119">
        <f t="shared" si="30"/>
        <v>0.73</v>
      </c>
      <c r="FZ119" s="104">
        <f t="array" ref="FZ119">(('Fórmula'!C119)/('Fórmula'!C119+'Fórmula'!E119+'Fórmula'!G119+'Fórmula'!I119+'Fórmula'!K119))*(INDEX(properties!A$1:CB$87,'Fórmula'!B119,57))+(('Fórmula'!E119)/('Fórmula'!C119+'Fórmula'!E119+'Fórmula'!G119+'Fórmula'!I119+'Fórmula'!K119))*(INDEX(properties!A$1:CB$87,'Fórmula'!D119,57))+(('Fórmula'!G119)/('Fórmula'!C119+'Fórmula'!E119+'Fórmula'!G119+'Fórmula'!I119+'Fórmula'!K119))*(INDEX(properties!A$1:CB$87,'Fórmula'!F119,57))+(('Fórmula'!I119)/('Fórmula'!C119+'Fórmula'!E119+'Fórmula'!G119+'Fórmula'!I119+'Fórmula'!K119))*(INDEX(properties!A$1:CB$87,'Fórmula'!H119,57))+(('Fórmula'!K119)/('Fórmula'!C119+'Fórmula'!E119+'Fórmula'!G119+'Fórmula'!I119+'Fórmula'!K119))*(INDEX(properties!A$1:CB$87,'Fórmula'!J119,57))</f>
        <v>4.0556775</v>
      </c>
      <c r="GA119" s="104">
        <f t="array" ref="GA119">'Fórmula'!C119*(INDEX(properties!A$1:CB$87,'Fórmula'!B119,57))+'Fórmula'!E119*(INDEX(properties!A$1:CB$87,'Fórmula'!D119,57))+'Fórmula'!G119*(INDEX(properties!A$1:CB$87,'Fórmula'!F119,57))+'Fórmula'!I119*(INDEX(properties!A$1:CB$87,'Fórmula'!H119,57))+'Fórmula'!K119*(INDEX(properties!A$1:CB$87,'Fórmula'!J119,57))</f>
        <v>48.66813</v>
      </c>
      <c r="GB119" s="104">
        <f t="array" ref="GB119">VARP(IF(INDEX(properties!A$1:CB$87,'Fórmula'!B119,57)&lt;&gt;"",INDEX(properties!A$1:CB$87,'Fórmula'!B119,57)),IF(INDEX(properties!A$1:CB$87,'Fórmula'!D119,57)&lt;&gt;"",INDEX(properties!A$1:CB$87,'Fórmula'!D119,57)),IF(INDEX(properties!A$1:CB$87,'Fórmula'!F119,57)&lt;&gt;"",INDEX(properties!A$1:CB$87,'Fórmula'!F119,57)),IF(INDEX(properties!A$1:CB$87,'Fórmula'!H119,57)&lt;&gt;"",INDEX(properties!A$1:CB$87,'Fórmula'!H119,57)),IF(INDEX(properties!A$1:CB$87,'Fórmula'!J119,57)&lt;&gt;"",INDEX(properties!A$1:CB$87,'Fórmula'!J119,57)))</f>
        <v>19.04121359</v>
      </c>
      <c r="GC119" s="104">
        <f t="array" ref="GC119">MAX(INDEX(properties!A$1:CB$87,'Fórmula'!B119,57),INDEX(properties!A$1:CB$87,'Fórmula'!D119,57),INDEX(properties!A$1:CB$87,'Fórmula'!F119,57),INDEX(properties!A$1:CB$87,'Fórmula'!H119,57),INDEX(properties!A$1:CB$87,'Fórmula'!J119,57))</f>
        <v>10.79</v>
      </c>
      <c r="GD119" s="104">
        <f t="array" ref="GD119">MIN(IF(INDEX(properties!A$1:CB$87,'Fórmula'!B119,57)=0,10^6,INDEX(properties!A$1:CB$87,'Fórmula'!B119,57)),IF(INDEX(properties!A$1:CB$87,'Fórmula'!D119,57)=0,10^6,INDEX(properties!A$1:CB$87,'Fórmula'!D119,57)),IF(INDEX(properties!A$1:CB$87,'Fórmula'!F119,57)=0,10^6,INDEX(properties!A$1:CB$87,'Fórmula'!F119,57)),IF(INDEX(properties!A$1:CB$87,'Fórmula'!H119,57)=0,10^6,INDEX(properties!A$1:CB$87,'Fórmula'!H119,57)),IF(INDEX(properties!A$1:CB$87,'Fórmula'!J119,57)=0,10^6,INDEX(properties!A$1:CB$87,'Fórmula'!J119,57)))</f>
        <v>0.22259</v>
      </c>
      <c r="GE119" s="104">
        <f t="shared" si="31"/>
        <v>10.56741</v>
      </c>
      <c r="GF119" s="105">
        <f t="array" ref="GF119">(('Fórmula'!C119)/('Fórmula'!C119+'Fórmula'!E119+'Fórmula'!G119+'Fórmula'!I119+'Fórmula'!K119))*(INDEX(properties!A$1:CB$87,'Fórmula'!B119,60))+(('Fórmula'!E119)/('Fórmula'!C119+'Fórmula'!E119+'Fórmula'!G119+'Fórmula'!I119+'Fórmula'!K119))*(INDEX(properties!A$1:CB$87,'Fórmula'!D119,60))+(('Fórmula'!G119)/('Fórmula'!C119+'Fórmula'!E119+'Fórmula'!G119+'Fórmula'!I119+'Fórmula'!K119))*(INDEX(properties!A$1:CB$87,'Fórmula'!F119,60))+(('Fórmula'!I119)/('Fórmula'!C119+'Fórmula'!E119+'Fórmula'!G119+'Fórmula'!I119+'Fórmula'!K119))*(INDEX(properties!A$1:CB$87,'Fórmula'!H119,60))+(('Fórmula'!K119)/('Fórmula'!C119+'Fórmula'!E119+'Fórmula'!G119+'Fórmula'!I119+'Fórmula'!K119))*(INDEX(properties!A$1:CB$87,'Fórmula'!J119,60))</f>
        <v>77.057265</v>
      </c>
      <c r="GG119" s="105">
        <f t="array" ref="GG119">'Fórmula'!C119*(INDEX(properties!A$1:CB$87,'Fórmula'!B119,60))+'Fórmula'!E119*(INDEX(properties!A$1:CB$87,'Fórmula'!D119,60))+'Fórmula'!G119*(INDEX(properties!A$1:CB$87,'Fórmula'!F119,60))+'Fórmula'!I119*(INDEX(properties!A$1:CB$87,'Fórmula'!H119,60))+'Fórmula'!K119*(INDEX(properties!A$1:CB$87,'Fórmula'!J119,60))</f>
        <v>924.68718</v>
      </c>
      <c r="GH119" s="105">
        <f t="array" ref="GH119">VARP(IF(INDEX(properties!A$1:CB$87,'Fórmula'!B119,60)&lt;&gt;"",INDEX(properties!A$1:CB$87,'Fórmula'!B119,60)),IF(INDEX(properties!A$1:CB$87,'Fórmula'!D119,60)&lt;&gt;"",INDEX(properties!A$1:CB$87,'Fórmula'!D119,60)),IF(INDEX(properties!A$1:CB$87,'Fórmula'!F119,60)&lt;&gt;"",INDEX(properties!A$1:CB$87,'Fórmula'!F119,60)),IF(INDEX(properties!A$1:CB$87,'Fórmula'!H119,60)&lt;&gt;"",INDEX(properties!A$1:CB$87,'Fórmula'!H119,60)),IF(INDEX(properties!A$1:CB$87,'Fórmula'!J119,60)&lt;&gt;"",INDEX(properties!A$1:CB$87,'Fórmula'!J119,60)))</f>
        <v>11151.2764</v>
      </c>
      <c r="GI119" s="105">
        <f t="array" ref="GI119">MAX(INDEX(properties!A$1:CB$87,'Fórmula'!B119,60),INDEX(properties!A$1:CB$87,'Fórmula'!D119,60),INDEX(properties!A$1:CB$87,'Fórmula'!F119,60),INDEX(properties!A$1:CB$87,'Fórmula'!H119,60),INDEX(properties!A$1:CB$87,'Fórmula'!J119,60))</f>
        <v>237</v>
      </c>
      <c r="GJ119" s="105">
        <f t="array" ref="GJ119">MIN(IF(INDEX(properties!A$1:CB$87,'Fórmula'!B119,60)=0,10^6,INDEX(properties!A$1:CB$87,'Fórmula'!B119,60)),IF(INDEX(properties!A$1:CB$87,'Fórmula'!D119,60)=0,10^6,INDEX(properties!A$1:CB$87,'Fórmula'!D119,60)),IF(INDEX(properties!A$1:CB$87,'Fórmula'!F119,60)=0,10^6,INDEX(properties!A$1:CB$87,'Fórmula'!F119,60)),IF(INDEX(properties!A$1:CB$87,'Fórmula'!H119,60)=0,10^6,INDEX(properties!A$1:CB$87,'Fórmula'!H119,60)),IF(INDEX(properties!A$1:CB$87,'Fórmula'!J119,60)=0,10^6,INDEX(properties!A$1:CB$87,'Fórmula'!J119,60)))</f>
        <v>0.02674</v>
      </c>
      <c r="GK119" s="105">
        <f t="shared" si="32"/>
        <v>236.97326</v>
      </c>
      <c r="GL119" s="106">
        <f t="array" ref="GL119">(('Fórmula'!C119)/('Fórmula'!C119+'Fórmula'!E119+'Fórmula'!G119+'Fórmula'!I119+'Fórmula'!K119))*(INDEX(properties!A$1:CB$87,'Fórmula'!B119,62))+(('Fórmula'!E119)/('Fórmula'!C119+'Fórmula'!E119+'Fórmula'!G119+'Fórmula'!I119+'Fórmula'!K119))*(INDEX(properties!A$1:CB$87,'Fórmula'!D119,62))+(('Fórmula'!G119)/('Fórmula'!C119+'Fórmula'!E119+'Fórmula'!G119+'Fórmula'!I119+'Fórmula'!K119))*(INDEX(properties!A$1:CB$87,'Fórmula'!F119,62))+(('Fórmula'!I119)/('Fórmula'!C119+'Fórmula'!E119+'Fórmula'!G119+'Fórmula'!I119+'Fórmula'!K119))*(INDEX(properties!A$1:CB$87,'Fórmula'!H119,62))+(('Fórmula'!K119)/('Fórmula'!C119+'Fórmula'!E119+'Fórmula'!G119+'Fórmula'!I119+'Fórmula'!K119))*(INDEX(properties!A$1:CB$87,'Fórmula'!J119,62))</f>
        <v>2.901666667</v>
      </c>
      <c r="GM119" s="106">
        <f t="array" ref="GM119">'Fórmula'!C119*(INDEX(properties!A$1:CB$87,'Fórmula'!B119,62))+'Fórmula'!E119*(INDEX(properties!A$1:CB$87,'Fórmula'!D119,62))+'Fórmula'!G119*(INDEX(properties!A$1:CB$87,'Fórmula'!F119,62))+'Fórmula'!I119*(INDEX(properties!A$1:CB$87,'Fórmula'!H119,62))+'Fórmula'!K119*(INDEX(properties!A$1:CB$87,'Fórmula'!J119,62))</f>
        <v>34.82</v>
      </c>
      <c r="GN119" s="106">
        <f t="array" ref="GN119">VARP(IF(INDEX(properties!A$1:CB$87,'Fórmula'!B119,62)&lt;&gt;"",INDEX(properties!A$1:CB$87,'Fórmula'!B119,62)),IF(INDEX(properties!A$1:CB$87,'Fórmula'!D119,62)&lt;&gt;"",INDEX(properties!A$1:CB$87,'Fórmula'!D119,62)),IF(INDEX(properties!A$1:CB$87,'Fórmula'!F119,62)&lt;&gt;"",INDEX(properties!A$1:CB$87,'Fórmula'!F119,62)),IF(INDEX(properties!A$1:CB$87,'Fórmula'!H119,62)&lt;&gt;"",INDEX(properties!A$1:CB$87,'Fórmula'!H119,62)),IF(INDEX(properties!A$1:CB$87,'Fórmula'!J119,62)&lt;&gt;"",INDEX(properties!A$1:CB$87,'Fórmula'!J119,62)))</f>
        <v>2.273304</v>
      </c>
      <c r="GO119" s="106">
        <f t="array" ref="GO119">MAX(INDEX(properties!A$1:CB$87,'Fórmula'!B119,62),INDEX(properties!A$1:CB$87,'Fórmula'!D119,62),INDEX(properties!A$1:CB$87,'Fórmula'!F119,62),INDEX(properties!A$1:CB$87,'Fórmula'!H119,62),INDEX(properties!A$1:CB$87,'Fórmula'!J119,62))</f>
        <v>4.47</v>
      </c>
      <c r="GP119" s="106">
        <f t="array" ref="GP119">MIN(IF(INDEX(properties!A$1:CB$87,'Fórmula'!B119,62)=0,10^6,INDEX(properties!A$1:CB$87,'Fórmula'!B119,62)),IF(INDEX(properties!A$1:CB$87,'Fórmula'!D119,62)=0,10^6,INDEX(properties!A$1:CB$87,'Fórmula'!D119,62)),IF(INDEX(properties!A$1:CB$87,'Fórmula'!F119,62)=0,10^6,INDEX(properties!A$1:CB$87,'Fórmula'!F119,62)),IF(INDEX(properties!A$1:CB$87,'Fórmula'!H119,62)=0,10^6,INDEX(properties!A$1:CB$87,'Fórmula'!H119,62)),IF(INDEX(properties!A$1:CB$87,'Fórmula'!J119,62)=0,10^6,INDEX(properties!A$1:CB$87,'Fórmula'!J119,62)))</f>
        <v>1.84</v>
      </c>
      <c r="GQ119" s="106">
        <f t="shared" si="33"/>
        <v>2.63</v>
      </c>
      <c r="GR119" s="106">
        <f>'Fórmula'!Q119</f>
        <v>113</v>
      </c>
      <c r="GS119" s="107">
        <f>'Fórmula'!P119</f>
        <v>2</v>
      </c>
      <c r="GT119" s="113">
        <f>'Fórmula'!O119</f>
        <v>3.93</v>
      </c>
      <c r="GU119" s="114">
        <f>AVERAGE('Fórmula'!R119/'Fórmula'!S119,'Fórmula'!S119/'Fórmula'!T119,'Fórmula'!T119/'Fórmula'!R119)</f>
        <v>1.058187699</v>
      </c>
      <c r="GV119" s="125">
        <f>'Fórmula'!U119</f>
        <v>314.32</v>
      </c>
      <c r="GW119" s="106">
        <f>'Fórmula'!N119</f>
        <v>0.06</v>
      </c>
    </row>
    <row r="120" ht="14.25" customHeight="1">
      <c r="A120" s="99" t="str">
        <f>'Fórmula'!A120</f>
        <v>GdSr2AlO5</v>
      </c>
      <c r="B120" s="101">
        <f t="array" ref="B120">(('Fórmula'!C120)/('Fórmula'!C120+'Fórmula'!E120+'Fórmula'!G120+'Fórmula'!I120+'Fórmula'!K120))*(INDEX(properties!A$1:CB$87,'Fórmula'!B120,3))+(('Fórmula'!E120)/('Fórmula'!C120+'Fórmula'!E120+'Fórmula'!G120+'Fórmula'!I120+'Fórmula'!K120))*(INDEX(properties!A$1:CB$87,'Fórmula'!D120,3))+(('Fórmula'!G120)/('Fórmula'!C120+'Fórmula'!E120+'Fórmula'!G120+'Fórmula'!I120+'Fórmula'!K120))*(INDEX(properties!A$1:CB$87,'Fórmula'!F120,3))+(('Fórmula'!I120)/('Fórmula'!C120+'Fórmula'!E120+'Fórmula'!G120+'Fórmula'!I120+'Fórmula'!K120))*(INDEX(properties!A$1:CB$87,'Fórmula'!H120,3))+(('Fórmula'!K120)/('Fórmula'!C120+'Fórmula'!E120+'Fórmula'!G120+'Fórmula'!I120+'Fórmula'!K120))*(INDEX(properties!A$1:CB$87,'Fórmula'!J120,3))</f>
        <v>48.82983767</v>
      </c>
      <c r="C120" s="101">
        <f t="array" ref="C120">'Fórmula'!C120*(INDEX(properties!A$1:CB$87,'Fórmula'!B120,3))+'Fórmula'!E120*(INDEX(properties!A$1:CB$87,'Fórmula'!D120,3))+'Fórmula'!G120*(INDEX(properties!A$1:CB$87,'Fórmula'!F120,3))+'Fórmula'!I120*(INDEX(properties!A$1:CB$87,'Fórmula'!H120,3))+'Fórmula'!K120*(INDEX(properties!A$1:CB$87,'Fórmula'!J120,3))</f>
        <v>439.468539</v>
      </c>
      <c r="D120" s="101">
        <f t="array" ref="D120">VARP(IF(INDEX(properties!A$1:CB$87,'Fórmula'!B120,3)&lt;&gt;"",INDEX(properties!A$1:CB$87,'Fórmula'!B120,3)),IF(INDEX(properties!A$1:CB$87,'Fórmula'!D120,3)&lt;&gt;"",INDEX(properties!A$1:CB$87,'Fórmula'!D120,3)),IF(INDEX(properties!A$1:CB$87,'Fórmula'!F120,3)&lt;&gt;"",INDEX(properties!A$1:CB$87,'Fórmula'!F120,3)),IF(INDEX(properties!A$1:CB$87,'Fórmula'!H120,3)&lt;&gt;"",INDEX(properties!A$1:CB$87,'Fórmula'!H120,3)),IF(INDEX(properties!A$1:CB$87,'Fórmula'!J120,3)&lt;&gt;"",INDEX(properties!A$1:CB$87,'Fórmula'!J120,3)))</f>
        <v>3363.435706</v>
      </c>
      <c r="E120" s="101">
        <f t="array" ref="E120">MAX(INDEX(properties!A$1:CB$87,'Fórmula'!B120,3),INDEX(properties!A$1:CB$87,'Fórmula'!D120,3),INDEX(properties!A$1:CB$87,'Fórmula'!F120,3),INDEX(properties!A$1:CB$87,'Fórmula'!H120,3),INDEX(properties!A$1:CB$87,'Fórmula'!J120,3))</f>
        <v>157.25</v>
      </c>
      <c r="F120" s="101">
        <f t="array" ref="F120">MIN(IF(INDEX(properties!A$1:CB$87,'Fórmula'!B120,3)=0,10^6,INDEX(properties!A$1:CB$87,'Fórmula'!B120,3)),IF(INDEX(properties!A$1:CB$87,'Fórmula'!D120,3)=0,10^6,INDEX(properties!A$1:CB$87,'Fórmula'!D120,3)),IF(INDEX(properties!A$1:CB$87,'Fórmula'!F120,3)=0,10^6,INDEX(properties!A$1:CB$87,'Fórmula'!F120,3)),IF(INDEX(properties!A$1:CB$87,'Fórmula'!H120,3)=0,10^6,INDEX(properties!A$1:CB$87,'Fórmula'!H120,3)),IF(INDEX(properties!A$1:CB$87,'Fórmula'!J120,3)=0,10^6,INDEX(properties!A$1:CB$87,'Fórmula'!J120,3)))</f>
        <v>15.9994</v>
      </c>
      <c r="G120" s="101">
        <f t="shared" si="1"/>
        <v>141.2506</v>
      </c>
      <c r="H120" s="102">
        <f t="array" ref="H120">(('Fórmula'!C120)/('Fórmula'!C120+'Fórmula'!E120+'Fórmula'!G120+'Fórmula'!I120+'Fórmula'!K120))*(INDEX(properties!A$1:CB$87,'Fórmula'!B120,4))+(('Fórmula'!E120)/('Fórmula'!C120+'Fórmula'!E120+'Fórmula'!G120+'Fórmula'!I120+'Fórmula'!K120))*(INDEX(properties!A$1:CB$87,'Fórmula'!D120,4))+(('Fórmula'!G120)/('Fórmula'!C120+'Fórmula'!E120+'Fórmula'!G120+'Fórmula'!I120+'Fórmula'!K120))*(INDEX(properties!A$1:CB$87,'Fórmula'!F120,4))+(('Fórmula'!I120)/('Fórmula'!C120+'Fórmula'!E120+'Fórmula'!G120+'Fórmula'!I120+'Fórmula'!K120))*(INDEX(properties!A$1:CB$87,'Fórmula'!H120,4))+(('Fórmula'!K120)/('Fórmula'!C120+'Fórmula'!E120+'Fórmula'!G120+'Fórmula'!I120+'Fórmula'!K120))*(INDEX(properties!A$1:CB$87,'Fórmula'!J120,4))</f>
        <v>21.44444444</v>
      </c>
      <c r="I120" s="102">
        <f t="array" ref="I120">'Fórmula'!C120*(INDEX(properties!A$1:CB$87,'Fórmula'!B120,4))+'Fórmula'!E120*(INDEX(properties!A$1:CB$87,'Fórmula'!D120,4))+'Fórmula'!G120*(INDEX(properties!A$1:CB$87,'Fórmula'!F120,4))+'Fórmula'!I120*(INDEX(properties!A$1:CB$87,'Fórmula'!H120,4))+'Fórmula'!K120*(INDEX(properties!A$1:CB$87,'Fórmula'!J120,4))</f>
        <v>193</v>
      </c>
      <c r="J120" s="102">
        <f t="array" ref="J120">VARP(IF(INDEX(properties!A$1:CB$87,'Fórmula'!B120,4)&lt;&gt;"",INDEX(properties!A$1:CB$87,'Fórmula'!B120,4)),IF(INDEX(properties!A$1:CB$87,'Fórmula'!D120,4)&lt;&gt;"",INDEX(properties!A$1:CB$87,'Fórmula'!D120,4)),IF(INDEX(properties!A$1:CB$87,'Fórmula'!F120,4)&lt;&gt;"",INDEX(properties!A$1:CB$87,'Fórmula'!F120,4)),IF(INDEX(properties!A$1:CB$87,'Fórmula'!H120,4)&lt;&gt;"",INDEX(properties!A$1:CB$87,'Fórmula'!H120,4)),IF(INDEX(properties!A$1:CB$87,'Fórmula'!J120,4)&lt;&gt;"",INDEX(properties!A$1:CB$87,'Fórmula'!J120,4)))</f>
        <v>549.44</v>
      </c>
      <c r="K120" s="102">
        <f t="array" ref="K120">MAX(INDEX(properties!A$1:CB$87,'Fórmula'!B120,4),INDEX(properties!A$1:CB$87,'Fórmula'!D120,4),INDEX(properties!A$1:CB$87,'Fórmula'!F120,4),INDEX(properties!A$1:CB$87,'Fórmula'!H120,4),INDEX(properties!A$1:CB$87,'Fórmula'!J120,4))</f>
        <v>64</v>
      </c>
      <c r="L120" s="102">
        <f t="array" ref="L120">MIN(IF(INDEX(properties!A$1:CB$87,'Fórmula'!B120,4)=0,10^6,INDEX(properties!A$1:CB$87,'Fórmula'!B120,4)),IF(INDEX(properties!A$1:CB$87,'Fórmula'!D120,4)=0,10^6,INDEX(properties!A$1:CB$87,'Fórmula'!D120,4)),IF(INDEX(properties!A$1:CB$87,'Fórmula'!F120,4)=0,10^6,INDEX(properties!A$1:CB$87,'Fórmula'!F120,4)),IF(INDEX(properties!A$1:CB$87,'Fórmula'!H120,4)=0,10^6,INDEX(properties!A$1:CB$87,'Fórmula'!H120,4)),IF(INDEX(properties!A$1:CB$87,'Fórmula'!J120,4)=0,10^6,INDEX(properties!A$1:CB$87,'Fórmula'!J120,4)))</f>
        <v>8</v>
      </c>
      <c r="M120" s="102">
        <f t="shared" si="2"/>
        <v>56</v>
      </c>
      <c r="N120" s="103">
        <f t="array" ref="N120">(('Fórmula'!C120)/('Fórmula'!C120+'Fórmula'!E120+'Fórmula'!G120+'Fórmula'!I120+'Fórmula'!K120))*(INDEX(properties!A$1:CB$87,'Fórmula'!B120,5))+(('Fórmula'!E120)/('Fórmula'!C120+'Fórmula'!E120+'Fórmula'!G120+'Fórmula'!I120+'Fórmula'!K120))*(INDEX(properties!A$1:CB$87,'Fórmula'!D120,5))+(('Fórmula'!G120)/('Fórmula'!C120+'Fórmula'!E120+'Fórmula'!G120+'Fórmula'!I120+'Fórmula'!K120))*(INDEX(properties!A$1:CB$87,'Fórmula'!F120,5))+(('Fórmula'!I120)/('Fórmula'!C120+'Fórmula'!E120+'Fórmula'!G120+'Fórmula'!I120+'Fórmula'!K120))*(INDEX(properties!A$1:CB$87,'Fórmula'!H120,5))+(('Fórmula'!K120)/('Fórmula'!C120+'Fórmula'!E120+'Fórmula'!G120+'Fórmula'!I120+'Fórmula'!K120))*(INDEX(properties!A$1:CB$87,'Fórmula'!J120,5))</f>
        <v>3.222222222</v>
      </c>
      <c r="O120" s="103">
        <f t="array" ref="O120">'Fórmula'!C120*(INDEX(properties!A$1:CB$87,'Fórmula'!B120,5))+'Fórmula'!E120*(INDEX(properties!A$1:CB$87,'Fórmula'!D120,5))+'Fórmula'!G120*(INDEX(properties!A$1:CB$87,'Fórmula'!F120,5))+'Fórmula'!I120*(INDEX(properties!A$1:CB$87,'Fórmula'!H120,5))+'Fórmula'!K120*(INDEX(properties!A$1:CB$87,'Fórmula'!J120,5))</f>
        <v>29</v>
      </c>
      <c r="P120" s="103">
        <f t="array" ref="P120">VARP(IF(INDEX(properties!A$1:CB$87,'Fórmula'!B120,5)&lt;&gt;"",INDEX(properties!A$1:CB$87,'Fórmula'!B120,5)),IF(INDEX(properties!A$1:CB$87,'Fórmula'!D120,5)&lt;&gt;"",INDEX(properties!A$1:CB$87,'Fórmula'!D120,5)),IF(INDEX(properties!A$1:CB$87,'Fórmula'!F120,5)&lt;&gt;"",INDEX(properties!A$1:CB$87,'Fórmula'!F120,5)),IF(INDEX(properties!A$1:CB$87,'Fórmula'!H120,5)&lt;&gt;"",INDEX(properties!A$1:CB$87,'Fórmula'!H120,5)),IF(INDEX(properties!A$1:CB$87,'Fórmula'!J120,5)&lt;&gt;"",INDEX(properties!A$1:CB$87,'Fórmula'!J120,5)))</f>
        <v>4.56</v>
      </c>
      <c r="Q120" s="103">
        <f t="array" ref="Q120">MAX(INDEX(properties!A$1:CB$87,'Fórmula'!B120,5),INDEX(properties!A$1:CB$87,'Fórmula'!D120,5),INDEX(properties!A$1:CB$87,'Fórmula'!F120,5),INDEX(properties!A$1:CB$87,'Fórmula'!H120,5),INDEX(properties!A$1:CB$87,'Fórmula'!J120,5))</f>
        <v>6</v>
      </c>
      <c r="R120" s="103">
        <f t="array" ref="R120">MIN(IF(INDEX(properties!A$1:CB$87,'Fórmula'!B120,5)=0,10^6,INDEX(properties!A$1:CB$87,'Fórmula'!B120,5)),IF(INDEX(properties!A$1:CB$87,'Fórmula'!D120,5)=0,10^6,INDEX(properties!A$1:CB$87,'Fórmula'!D120,5)),IF(INDEX(properties!A$1:CB$87,'Fórmula'!F120,5)=0,10^6,INDEX(properties!A$1:CB$87,'Fórmula'!F120,5)),IF(INDEX(properties!A$1:CB$87,'Fórmula'!H120,5)=0,10^6,INDEX(properties!A$1:CB$87,'Fórmula'!H120,5)),IF(INDEX(properties!A$1:CB$87,'Fórmula'!J120,5)=0,10^6,INDEX(properties!A$1:CB$87,'Fórmula'!J120,5)))</f>
        <v>2</v>
      </c>
      <c r="S120" s="103">
        <f t="shared" si="3"/>
        <v>4</v>
      </c>
      <c r="T120" s="104">
        <f t="array" ref="T120">(('Fórmula'!C120)/('Fórmula'!C120+'Fórmula'!E120+'Fórmula'!G120+'Fórmula'!I120+'Fórmula'!K120))*(INDEX(properties!A$1:CB$87,'Fórmula'!B120,6))+(('Fórmula'!E120)/('Fórmula'!C120+'Fórmula'!E120+'Fórmula'!G120+'Fórmula'!I120+'Fórmula'!K120))*(INDEX(properties!A$1:CB$87,'Fórmula'!D120,6))+(('Fórmula'!G120)/('Fórmula'!C120+'Fórmula'!E120+'Fórmula'!G120+'Fórmula'!I120+'Fórmula'!K120))*(INDEX(properties!A$1:CB$87,'Fórmula'!F120,6))+(('Fórmula'!I120)/('Fórmula'!C120+'Fórmula'!E120+'Fórmula'!G120+'Fórmula'!I120+'Fórmula'!K120))*(INDEX(properties!A$1:CB$87,'Fórmula'!H120,6))+(('Fórmula'!K120)/('Fórmula'!C120+'Fórmula'!E120+'Fórmula'!G120+'Fórmula'!I120+'Fórmula'!K120))*(INDEX(properties!A$1:CB$87,'Fórmula'!J120,6))</f>
        <v>11.11111111</v>
      </c>
      <c r="U120" s="104">
        <f t="array" ref="U120">'Fórmula'!C120*(INDEX(properties!A$1:CB$87,'Fórmula'!B120,6))+'Fórmula'!E120*(INDEX(properties!A$1:CB$87,'Fórmula'!D120,6))+'Fórmula'!G120*(INDEX(properties!A$1:CB$87,'Fórmula'!F120,6))+'Fórmula'!I120*(INDEX(properties!A$1:CB$87,'Fórmula'!H120,6))+'Fórmula'!K120*(INDEX(properties!A$1:CB$87,'Fórmula'!J120,6))</f>
        <v>100</v>
      </c>
      <c r="V120" s="103">
        <f t="array" ref="V120">VARP(IF(INDEX(properties!A$1:CB$87,'Fórmula'!B120,6)&lt;&gt;"",INDEX(properties!A$1:CB$87,'Fórmula'!B120,6)),IF(INDEX(properties!A$1:CB$87,'Fórmula'!D120,6)&lt;&gt;"",INDEX(properties!A$1:CB$87,'Fórmula'!D120,6)),IF(INDEX(properties!A$1:CB$87,'Fórmula'!F120,6)&lt;&gt;"",INDEX(properties!A$1:CB$87,'Fórmula'!F120,6)),IF(INDEX(properties!A$1:CB$87,'Fórmula'!H120,6)&lt;&gt;"",INDEX(properties!A$1:CB$87,'Fórmula'!H120,6)),IF(INDEX(properties!A$1:CB$87,'Fórmula'!J120,6)&lt;&gt;"",INDEX(properties!A$1:CB$87,'Fórmula'!J120,6)))</f>
        <v>41.36</v>
      </c>
      <c r="W120" s="104">
        <f t="array" ref="W120">MAX(INDEX(properties!A$1:CB$87,'Fórmula'!B120,6),INDEX(properties!A$1:CB$87,'Fórmula'!D120,6),INDEX(properties!A$1:CB$87,'Fórmula'!F120,6),INDEX(properties!A$1:CB$87,'Fórmula'!H120,4),INDEX(properties!A$1:CB$87,'Fórmula'!J120,6))</f>
        <v>13</v>
      </c>
      <c r="X120" s="104">
        <f t="array" ref="X120">MIN(IF(INDEX(properties!A$1:CB$87,'Fórmula'!B120,6)=0,10^6,INDEX(properties!A$1:CB$87,'Fórmula'!B120,6)),IF(INDEX(properties!A$1:CB$87,'Fórmula'!D120,6)=0,10^6,INDEX(properties!A$1:CB$87,'Fórmula'!D120,6)),IF(INDEX(properties!A$1:CB$87,'Fórmula'!F120,6)=0,10^6,INDEX(properties!A$1:CB$87,'Fórmula'!F120,6)),IF(INDEX(properties!A$1:CB$87,'Fórmula'!H120,6)=0,10^6,INDEX(properties!A$1:CB$87,'Fórmula'!H120,6)),IF(INDEX(properties!A$1:CB$87,'Fórmula'!J120,6)=0,10^6,INDEX(properties!A$1:CB$87,'Fórmula'!J120,6)))</f>
        <v>2</v>
      </c>
      <c r="Y120" s="104">
        <f t="shared" si="4"/>
        <v>11</v>
      </c>
      <c r="Z120" s="105">
        <f t="array" ref="Z120">(('Fórmula'!C120)/('Fórmula'!C120+'Fórmula'!E120+'Fórmula'!G120+'Fórmula'!I120+'Fórmula'!K120))*(INDEX(properties!A$1:CB$87,'Fórmula'!B120,9))+(('Fórmula'!E120)/('Fórmula'!C120+'Fórmula'!E120+'Fórmula'!G120+'Fórmula'!I120+'Fórmula'!K120))*(INDEX(properties!A$1:CB$87,'Fórmula'!D120,9))+(('Fórmula'!G120)/('Fórmula'!C120+'Fórmula'!E120+'Fórmula'!G120+'Fórmula'!I120+'Fórmula'!K120))*(INDEX(properties!A$1:CB$87,'Fórmula'!F120,9))+(('Fórmula'!I120)/('Fórmula'!C120+'Fórmula'!E120+'Fórmula'!G120+'Fórmula'!I120+'Fórmula'!K120))*(INDEX(properties!A$1:CB$87,'Fórmula'!H120,9))+(('Fórmula'!K120)/('Fórmula'!C120+'Fórmula'!E120+'Fórmula'!G120+'Fórmula'!I120+'Fórmula'!K120))*(INDEX(properties!A$1:CB$87,'Fórmula'!J120,9))</f>
        <v>61.22222222</v>
      </c>
      <c r="AA120" s="105">
        <f t="array" ref="AA120">'Fórmula'!C120*(INDEX(properties!A$1:CB$87,'Fórmula'!B120,9))+'Fórmula'!E120*(INDEX(properties!A$1:CB$87,'Fórmula'!D120,9))+'Fórmula'!G120*(INDEX(properties!A$1:CB$87,'Fórmula'!F120,9))+'Fórmula'!I120*(INDEX(properties!A$1:CB$87,'Fórmula'!H120,9))+'Fórmula'!K120*(INDEX(properties!A$1:CB$87,'Fórmula'!J120,9))</f>
        <v>551</v>
      </c>
      <c r="AB120" s="105">
        <f t="array" ref="AB120">VARP(IF(INDEX(properties!A$1:CB$87,'Fórmula'!B120,9)&lt;&gt;"",INDEX(properties!A$1:CB$87,'Fórmula'!B120,9)),IF(INDEX(properties!A$1:CB$87,'Fórmula'!D120,9)&lt;&gt;"",INDEX(properties!A$1:CB$87,'Fórmula'!D120,9)),IF(INDEX(properties!A$1:CB$87,'Fórmula'!F120,9)&lt;&gt;"",INDEX(properties!A$1:CB$87,'Fórmula'!F120,9)),IF(INDEX(properties!A$1:CB$87,'Fórmula'!H120,9)&lt;&gt;"",INDEX(properties!A$1:CB$87,'Fórmula'!H120,9)),IF(INDEX(properties!A$1:CB$87,'Fórmula'!J120,9)&lt;&gt;"",INDEX(properties!A$1:CB$87,'Fórmula'!J120,9)))</f>
        <v>1217.2</v>
      </c>
      <c r="AC120" s="105">
        <f t="array" ref="AC120">MAX(INDEX(properties!A$1:CB$87,'Fórmula'!B120,9),INDEX(properties!A$1:CB$87,'Fórmula'!D120,9),INDEX(properties!A$1:CB$87,'Fórmula'!F120,9),INDEX(properties!A$1:CB$87,'Fórmula'!H120,9),INDEX(properties!A$1:CB$87,'Fórmula'!J120,9))</f>
        <v>87</v>
      </c>
      <c r="AD120" s="105">
        <f t="array" ref="AD120">MIN(IF(INDEX(properties!A$1:CB$87,'Fórmula'!B120,9)=0,10^6,INDEX(properties!A$1:CB$87,'Fórmula'!B120,9)),IF(INDEX(properties!A$1:CB$87,'Fórmula'!D120,9)=0,10^6,INDEX(properties!A$1:CB$87,'Fórmula'!D120,9)),IF(INDEX(properties!A$1:CB$87,'Fórmula'!F120,9)=0,10^6,INDEX(properties!A$1:CB$87,'Fórmula'!F120,9)),IF(INDEX(properties!A$1:CB$87,'Fórmula'!H120,9)=0,10^6,INDEX(properties!A$1:CB$87,'Fórmula'!H120,9)),IF(INDEX(properties!A$1:CB$87,'Fórmula'!J120,9)=0,10^6,INDEX(properties!A$1:CB$87,'Fórmula'!J120,9)))</f>
        <v>8</v>
      </c>
      <c r="AE120" s="105">
        <f t="shared" si="5"/>
        <v>79</v>
      </c>
      <c r="AF120" s="106">
        <f t="array" ref="AF120">(('Fórmula'!C120)/('Fórmula'!C120+'Fórmula'!E120+'Fórmula'!G120+'Fórmula'!I120+'Fórmula'!K120))*(INDEX(properties!A$1:CB$87,'Fórmula'!B120,10))+(('Fórmula'!E120)/('Fórmula'!C120+'Fórmula'!E120+'Fórmula'!G120+'Fórmula'!I120+'Fórmula'!K120))*(INDEX(properties!A$1:CB$87,'Fórmula'!D120,10))+(('Fórmula'!G120)/('Fórmula'!C120+'Fórmula'!E120+'Fórmula'!G120+'Fórmula'!I120+'Fórmula'!K120))*(INDEX(properties!A$1:CB$87,'Fórmula'!F120,10))+(('Fórmula'!I120)/('Fórmula'!C120+'Fórmula'!E120+'Fórmula'!G120+'Fórmula'!I120+'Fórmula'!K120))*(INDEX(properties!A$1:CB$87,'Fórmula'!H120,10))+(('Fórmula'!K120)/('Fórmula'!C120+'Fórmula'!E120+'Fórmula'!G120+'Fórmula'!I120+'Fórmula'!K120))*(INDEX(properties!A$1:CB$87,'Fórmula'!J120,10))</f>
        <v>5.222222222</v>
      </c>
      <c r="AG120" s="106">
        <f t="array" ref="AG120">'Fórmula'!C120*(INDEX(properties!A$1:CB$87,'Fórmula'!B120,10))+'Fórmula'!E120*(INDEX(properties!A$1:CB$87,'Fórmula'!D120,10))+'Fórmula'!G120*(INDEX(properties!A$1:CB$87,'Fórmula'!F120,10))+'Fórmula'!I120*(INDEX(properties!A$1:CB$87,'Fórmula'!H120,10))+'Fórmula'!K120*(INDEX(properties!A$1:CB$87,'Fórmula'!J120,10))</f>
        <v>47</v>
      </c>
      <c r="AH120" s="106">
        <f t="array" ref="AH120">VARP(IF(INDEX(properties!A$1:CB$87,'Fórmula'!B120,10)&lt;&gt;"",INDEX(properties!A$1:CB$87,'Fórmula'!B120,10)),IF(INDEX(properties!A$1:CB$87,'Fórmula'!D120,10)&lt;&gt;"",INDEX(properties!A$1:CB$87,'Fórmula'!D120,10)),IF(INDEX(properties!A$1:CB$87,'Fórmula'!F120,10)&lt;&gt;"",INDEX(properties!A$1:CB$87,'Fórmula'!F120,10)),IF(INDEX(properties!A$1:CB$87,'Fórmula'!H120,10)&lt;&gt;"",INDEX(properties!A$1:CB$87,'Fórmula'!H120,10)),IF(INDEX(properties!A$1:CB$87,'Fórmula'!J120,10)&lt;&gt;"",INDEX(properties!A$1:CB$87,'Fórmula'!J120,10)))</f>
        <v>5.84</v>
      </c>
      <c r="AI120" s="106">
        <f t="array" ref="AI120">MAX(INDEX(properties!A$1:CB$87,'Fórmula'!B120,10),INDEX(properties!A$1:CB$87,'Fórmula'!D120,10),INDEX(properties!A$1:CB$87,'Fórmula'!F120,10),INDEX(properties!A$1:CB$87,'Fórmula'!H120,10),INDEX(properties!A$1:CB$87,'Fórmula'!J120,10))</f>
        <v>7</v>
      </c>
      <c r="AJ120" s="106">
        <f t="array" ref="AJ120">MIN(IF(INDEX(properties!A$1:CB$87,'Fórmula'!B120,10)=0,10^6,INDEX(properties!A$1:CB$87,'Fórmula'!B120,10)),IF(INDEX(properties!A$1:CB$87,'Fórmula'!D120,10)=0,10^6,INDEX(properties!A$1:CB$87,'Fórmula'!D120,10)),IF(INDEX(properties!A$1:CB$87,'Fórmula'!F120,10)=0,10^6,INDEX(properties!A$1:CB$87,'Fórmula'!F120,10)),IF(INDEX(properties!A$1:CB$87,'Fórmula'!H120,10)=0,10^6,INDEX(properties!A$1:CB$87,'Fórmula'!H120,10)),IF(INDEX(properties!A$1:CB$87,'Fórmula'!J120,10)=0,10^6,INDEX(properties!A$1:CB$87,'Fórmula'!J120,10)))</f>
        <v>2</v>
      </c>
      <c r="AK120" s="106">
        <f t="shared" si="6"/>
        <v>5</v>
      </c>
      <c r="AL120" s="107">
        <f t="array" ref="AL120">(('Fórmula'!C120)/('Fórmula'!C120+'Fórmula'!E120+'Fórmula'!G120+'Fórmula'!I120+'Fórmula'!K120))*(INDEX(properties!A$1:CB$87,'Fórmula'!B120,11))+(('Fórmula'!E120)/('Fórmula'!C120+'Fórmula'!E120+'Fórmula'!G120+'Fórmula'!I120+'Fórmula'!K120))*(INDEX(properties!A$1:CB$87,'Fórmula'!D120,11))+(('Fórmula'!G120)/('Fórmula'!C120+'Fórmula'!E120+'Fórmula'!G120+'Fórmula'!I120+'Fórmula'!K120))*(INDEX(properties!A$1:CB$87,'Fórmula'!F120,11))+(('Fórmula'!I120)/('Fórmula'!C120+'Fórmula'!E120+'Fórmula'!G120+'Fórmula'!I120+'Fórmula'!K120))*(INDEX(properties!A$1:CB$87,'Fórmula'!H120,11))+(('Fórmula'!K120)/('Fórmula'!C120+'Fórmula'!E120+'Fórmula'!G120+'Fórmula'!I120+'Fórmula'!K120))*(INDEX(properties!A$1:CB$87,'Fórmula'!J120,11))</f>
        <v>2</v>
      </c>
      <c r="AM120" s="107">
        <f t="array" ref="AM120">'Fórmula'!C120*(INDEX(properties!A$1:CB$87,'Fórmula'!B120,11))+'Fórmula'!E120*(INDEX(properties!A$1:CB$87,'Fórmula'!D120,11))+'Fórmula'!G120*(INDEX(properties!A$1:CB$87,'Fórmula'!F120,11))+'Fórmula'!I120*(INDEX(properties!A$1:CB$87,'Fórmula'!H120,11))+'Fórmula'!K120*(INDEX(properties!A$1:CB$87,'Fórmula'!J120,11))</f>
        <v>18</v>
      </c>
      <c r="AN120" s="107">
        <f t="array" ref="AN120">VARP(IF(INDEX(properties!A$1:CB$87,'Fórmula'!B120,11)&lt;&gt;"",INDEX(properties!A$1:CB$87,'Fórmula'!B120,11)),IF(INDEX(properties!A$1:CB$87,'Fórmula'!D120,11)&lt;&gt;"",INDEX(properties!A$1:CB$87,'Fórmula'!D120,11)),IF(INDEX(properties!A$1:CB$87,'Fórmula'!F120,11)&lt;&gt;"",INDEX(properties!A$1:CB$87,'Fórmula'!F120,11)),IF(INDEX(properties!A$1:CB$87,'Fórmula'!H120,11)&lt;&gt;"",INDEX(properties!A$1:CB$87,'Fórmula'!H120,11)),IF(INDEX(properties!A$1:CB$87,'Fórmula'!J120,11)&lt;&gt;"",INDEX(properties!A$1:CB$87,'Fórmula'!J120,11)))</f>
        <v>0.64</v>
      </c>
      <c r="AO120" s="107">
        <f t="array" ref="AO120">MAX(INDEX(properties!A$1:CB$87,'Fórmula'!B120,11),INDEX(properties!A$1:CB$87,'Fórmula'!D120,11),INDEX(properties!A$1:CB$87,'Fórmula'!F120,11),INDEX(properties!A$1:CB$87,'Fórmula'!H120,11),INDEX(properties!A$1:CB$87,'Fórmula'!J120,11))</f>
        <v>2</v>
      </c>
      <c r="AP120" s="107">
        <f t="array" ref="AP120">MIN(IF('Fórmula'!B120=87,10^6,INDEX(properties!A$1:CB$87,'Fórmula'!B120,11)),IF(('Fórmula'!D120)=87,10^6,INDEX(properties!A$1:CB$87,'Fórmula'!D120,11)),IF(('Fórmula'!F120)=87,10^6,INDEX(properties!A$1:CB$87,'Fórmula'!F120,11)),IF(('Fórmula'!H120)=87,10^6,INDEX(properties!A$1:CB$87,'Fórmula'!H120,11)),IF('Fórmula'!J120=87,10^6,INDEX(properties!A$1:CB$87,'Fórmula'!J120,11)))</f>
        <v>2</v>
      </c>
      <c r="AQ120" s="107">
        <f t="shared" si="7"/>
        <v>0</v>
      </c>
      <c r="AR120" s="108">
        <f t="array" ref="AR120">(('Fórmula'!C120)/('Fórmula'!C120+'Fórmula'!E120+'Fórmula'!G120+'Fórmula'!I120+'Fórmula'!K120))*(INDEX(properties!A$1:CB$87,'Fórmula'!B120,12))+(('Fórmula'!E120)/('Fórmula'!C120+'Fórmula'!E120+'Fórmula'!G120+'Fórmula'!I120+'Fórmula'!K120))*(INDEX(properties!A$1:CB$87,'Fórmula'!D120,12))+(('Fórmula'!G120)/('Fórmula'!C120+'Fórmula'!E120+'Fórmula'!G120+'Fórmula'!I120+'Fórmula'!K120))*(INDEX(properties!A$1:CB$87,'Fórmula'!F120,12))+(('Fórmula'!I120)/('Fórmula'!C120+'Fórmula'!E120+'Fórmula'!G120+'Fórmula'!I120+'Fórmula'!K120))*(INDEX(properties!A$1:CB$87,'Fórmula'!H120,12))+(('Fórmula'!K120)/('Fórmula'!C120+'Fórmula'!E120+'Fórmula'!G120+'Fórmula'!I120+'Fórmula'!K120))*(INDEX(properties!A$1:CB$87,'Fórmula'!J120,12))</f>
        <v>2.333333333</v>
      </c>
      <c r="AS120" s="108">
        <f t="array" ref="AS120">'Fórmula'!C120*(INDEX(properties!A$1:CB$87,'Fórmula'!B120,12))+'Fórmula'!E120*(INDEX(properties!A$1:CB$87,'Fórmula'!D120,12))+'Fórmula'!G120*(INDEX(properties!A$1:CB$87,'Fórmula'!F120,12))+'Fórmula'!I120*(INDEX(properties!A$1:CB$87,'Fórmula'!H120,12))+'Fórmula'!K120*(INDEX(properties!A$1:CB$87,'Fórmula'!J120,12))</f>
        <v>21</v>
      </c>
      <c r="AT120" s="108">
        <f t="array" ref="AT120">VARP(IF(INDEX(properties!A$1:CB$87,'Fórmula'!B120,12)&lt;&gt;"",INDEX(properties!A$1:CB$87,'Fórmula'!B120,12)),IF(INDEX(properties!A$1:CB$87,'Fórmula'!D120,12)&lt;&gt;"",INDEX(properties!A$1:CB$87,'Fórmula'!D120,12)),IF(INDEX(properties!A$1:CB$87,'Fórmula'!F120,12)&lt;&gt;"",INDEX(properties!A$1:CB$87,'Fórmula'!F120,12)),IF(INDEX(properties!A$1:CB$87,'Fórmula'!H120,12)&lt;&gt;"",INDEX(properties!A$1:CB$87,'Fórmula'!H120,12)),IF(INDEX(properties!A$1:CB$87,'Fórmula'!J120,12)&lt;&gt;"",INDEX(properties!A$1:CB$87,'Fórmula'!J120,12)))</f>
        <v>2.4</v>
      </c>
      <c r="AU120" s="108">
        <f t="array" ref="AU120">MAX(INDEX(properties!A$1:CB$87,'Fórmula'!B120,12),INDEX(properties!A$1:CB$87,'Fórmula'!D120,12),INDEX(properties!A$1:CB$87,'Fórmula'!F120,12),INDEX(properties!A$1:CB$87,'Fórmula'!H120,12),INDEX(properties!A$1:CB$87,'Fórmula'!J120,12))</f>
        <v>4</v>
      </c>
      <c r="AV120" s="108">
        <f t="array" ref="AV120">MIN(IF('Fórmula'!B120=87,10^6,INDEX(properties!A$1:CB$87,'Fórmula'!B120,12)),IF(('Fórmula'!D120)=87,10^6,INDEX(properties!A$1:CB$87,'Fórmula'!D120,12)),IF(('Fórmula'!F120)=87,10^6,INDEX(properties!A$1:CB$87,'Fórmula'!F120,12)),IF(('Fórmula'!H120)=87,10^6,INDEX(properties!A$1:CB$87,'Fórmula'!H120,12)),IF('Fórmula'!J120=87,10^6,INDEX(properties!A$1:CB$87,'Fórmula'!J120,12)))</f>
        <v>0</v>
      </c>
      <c r="AW120" s="108">
        <f t="shared" si="8"/>
        <v>4</v>
      </c>
      <c r="AX120" s="109">
        <f t="array" ref="AX120">(('Fórmula'!C120)/('Fórmula'!C120+'Fórmula'!E120+'Fórmula'!G120+'Fórmula'!I120+'Fórmula'!K120))*(INDEX(properties!A$1:CB$87,'Fórmula'!B120,13))+(('Fórmula'!E120)/('Fórmula'!C120+'Fórmula'!E120+'Fórmula'!G120+'Fórmula'!I120+'Fórmula'!K120))*(INDEX(properties!A$1:CB$87,'Fórmula'!D120,13))+(('Fórmula'!G120)/('Fórmula'!C120+'Fórmula'!E120+'Fórmula'!G120+'Fórmula'!I120+'Fórmula'!K120))*(INDEX(properties!A$1:CB$87,'Fórmula'!F120,13))+(('Fórmula'!I120)/('Fórmula'!C120+'Fórmula'!E120+'Fórmula'!G120+'Fórmula'!I120+'Fórmula'!K120))*(INDEX(properties!A$1:CB$87,'Fórmula'!H120,13))+(('Fórmula'!K120)/('Fórmula'!C120+'Fórmula'!E120+'Fórmula'!G120+'Fórmula'!I120+'Fórmula'!K120))*(INDEX(properties!A$1:CB$87,'Fórmula'!J120,13))</f>
        <v>0.1111111111</v>
      </c>
      <c r="AY120" s="109">
        <f t="array" ref="AY120">'Fórmula'!C120*(INDEX(properties!A$1:CB$87,'Fórmula'!B120,13))+'Fórmula'!E120*(INDEX(properties!A$1:CB$87,'Fórmula'!D120,13))+'Fórmula'!G120*(INDEX(properties!A$1:CB$87,'Fórmula'!F120,13))+'Fórmula'!I120*(INDEX(properties!A$1:CB$87,'Fórmula'!H120,13))+'Fórmula'!K120*(INDEX(properties!A$1:CB$87,'Fórmula'!J120,13))</f>
        <v>1</v>
      </c>
      <c r="AZ120" s="109">
        <f t="array" ref="AZ120">VARP(IF(INDEX(properties!A$1:CB$87,'Fórmula'!B120,13)&lt;&gt;"",INDEX(properties!A$1:CB$87,'Fórmula'!B120,13)),IF(INDEX(properties!A$1:CB$87,'Fórmula'!D120,13)&lt;&gt;"",INDEX(properties!A$1:CB$87,'Fórmula'!D120,13)),IF(INDEX(properties!A$1:CB$87,'Fórmula'!F120,13)&lt;&gt;"",INDEX(properties!A$1:CB$87,'Fórmula'!F120,13)),IF(INDEX(properties!A$1:CB$87,'Fórmula'!H120,13)&lt;&gt;"",INDEX(properties!A$1:CB$87,'Fórmula'!H120,13)),IF(INDEX(properties!A$1:CB$87,'Fórmula'!J120,13)&lt;&gt;"",INDEX(properties!A$1:CB$87,'Fórmula'!J120,13)))</f>
        <v>0.16</v>
      </c>
      <c r="BA120" s="109">
        <f t="array" ref="BA120">MAX(INDEX(properties!A$1:CB$87,'Fórmula'!B120,13),INDEX(properties!A$1:CB$87,'Fórmula'!D120,13),INDEX(properties!A$1:CB$87,'Fórmula'!F120,13),INDEX(properties!A$1:CB$87,'Fórmula'!H120,13),INDEX(properties!A$1:CB$87,'Fórmula'!J120,13))</f>
        <v>1</v>
      </c>
      <c r="BB120" s="109">
        <f t="array" ref="BB120">MIN(IF('Fórmula'!B120=87,10^6,INDEX(properties!A$1:CB$87,'Fórmula'!B120,13)),IF(('Fórmula'!D120)=87,10^6,INDEX(properties!A$1:CB$87,'Fórmula'!D120,13)),IF(('Fórmula'!F120)=87,10^6,INDEX(properties!A$1:CB$87,'Fórmula'!F120,13)),IF(('Fórmula'!H120)=87,10^6,INDEX(properties!A$1:CB$87,'Fórmula'!H120,13)),IF('Fórmula'!J120=87,10^6,INDEX(properties!A$1:CB$87,'Fórmula'!J120,13)))</f>
        <v>0</v>
      </c>
      <c r="BC120" s="109">
        <f t="shared" si="9"/>
        <v>1</v>
      </c>
      <c r="BD120" s="110">
        <f t="array" ref="BD120">(('Fórmula'!C120)/('Fórmula'!C120+'Fórmula'!E120+'Fórmula'!G120+'Fórmula'!I120+'Fórmula'!K120))*(INDEX(properties!A$1:CB$87,'Fórmula'!B120,14))+(('Fórmula'!E120)/('Fórmula'!C120+'Fórmula'!E120+'Fórmula'!G120+'Fórmula'!I120+'Fórmula'!K120))*(INDEX(properties!A$1:CB$87,'Fórmula'!D120,14))+(('Fórmula'!G120)/('Fórmula'!C120+'Fórmula'!E120+'Fórmula'!G120+'Fórmula'!I120+'Fórmula'!K120))*(INDEX(properties!A$1:CB$87,'Fórmula'!F120,14))+(('Fórmula'!I120)/('Fórmula'!C120+'Fórmula'!E120+'Fórmula'!G120+'Fórmula'!I120+'Fórmula'!K120))*(INDEX(properties!A$1:CB$87,'Fórmula'!H120,14))+(('Fórmula'!K120)/('Fórmula'!C120+'Fórmula'!E120+'Fórmula'!G120+'Fórmula'!I120+'Fórmula'!K120))*(INDEX(properties!A$1:CB$87,'Fórmula'!J120,14))</f>
        <v>0.7777777778</v>
      </c>
      <c r="BE120" s="110">
        <f t="array" ref="BE120">'Fórmula'!C120*(INDEX(properties!A$1:CB$87,'Fórmula'!B120,14))+'Fórmula'!E120*(INDEX(properties!A$1:CB$87,'Fórmula'!D120,14))+'Fórmula'!G120*(INDEX(properties!A$1:CB$87,'Fórmula'!F120,14))+'Fórmula'!I120*(INDEX(properties!A$1:CB$87,'Fórmula'!H120,14))+'Fórmula'!K120*(INDEX(properties!A$1:CB$87,'Fórmula'!J120,14))</f>
        <v>7</v>
      </c>
      <c r="BF120" s="110">
        <f t="array" ref="BF120">VARP(IF(INDEX(properties!A$1:CB$87,'Fórmula'!B120,14)&lt;&gt;"",INDEX(properties!A$1:CB$87,'Fórmula'!B120,14)),IF(INDEX(properties!A$1:CB$87,'Fórmula'!D120,14)&lt;&gt;"",INDEX(properties!A$1:CB$87,'Fórmula'!D120,14)),IF(INDEX(properties!A$1:CB$87,'Fórmula'!F120,14)&lt;&gt;"",INDEX(properties!A$1:CB$87,'Fórmula'!F120,14)),IF(INDEX(properties!A$1:CB$87,'Fórmula'!H120,14)&lt;&gt;"",INDEX(properties!A$1:CB$87,'Fórmula'!H120,14)),IF(INDEX(properties!A$1:CB$87,'Fórmula'!J120,14)&lt;&gt;"",INDEX(properties!A$1:CB$87,'Fórmula'!J120,14)))</f>
        <v>7.84</v>
      </c>
      <c r="BG120" s="110">
        <f t="array" ref="BG120">MAX(INDEX(properties!A$1:CB$87,'Fórmula'!B120,14),INDEX(properties!A$1:CB$87,'Fórmula'!D120,14),INDEX(properties!A$1:CB$87,'Fórmula'!F120,14),INDEX(properties!A$1:CB$87,'Fórmula'!H120,14),INDEX(properties!A$1:CB$87,'Fórmula'!J120,14))</f>
        <v>7</v>
      </c>
      <c r="BH120" s="110">
        <f t="array" ref="BH120">MIN(IF('Fórmula'!B120=87,10^6,INDEX(properties!A$1:CB$87,'Fórmula'!B120,14)),IF(('Fórmula'!D120)=87,10^6,INDEX(properties!A$1:CB$87,'Fórmula'!D120,14)),IF(('Fórmula'!F120)=87,10^6,INDEX(properties!A$1:CB$87,'Fórmula'!F120,14)),IF(('Fórmula'!H120)=87,10^6,INDEX(properties!A$1:CB$87,'Fórmula'!H120,14)),IF('Fórmula'!J120=87,10^6,INDEX(properties!A$1:CB$87,'Fórmula'!J120,14)))</f>
        <v>0</v>
      </c>
      <c r="BI120" s="110">
        <f t="shared" si="10"/>
        <v>7</v>
      </c>
      <c r="BJ120" s="111">
        <f t="array" ref="BJ120">(('Fórmula'!C120)/('Fórmula'!C120+'Fórmula'!E120+'Fórmula'!G120+'Fórmula'!I120+'Fórmula'!K120))*(INDEX(properties!A$1:CB$87,'Fórmula'!B120,19))+(('Fórmula'!E120)/('Fórmula'!C120+'Fórmula'!E120+'Fórmula'!G120+'Fórmula'!I120+'Fórmula'!K120))*(INDEX(properties!A$1:CB$87,'Fórmula'!D120,19))+(('Fórmula'!G120)/('Fórmula'!C120+'Fórmula'!E120+'Fórmula'!G120+'Fórmula'!I120+'Fórmula'!K120))*(INDEX(properties!A$1:CB$87,'Fórmula'!F120,19))+(('Fórmula'!I120)/('Fórmula'!C120+'Fórmula'!E120+'Fórmula'!G120+'Fórmula'!I120+'Fórmula'!K120))*(INDEX(properties!A$1:CB$87,'Fórmula'!H120,19))+(('Fórmula'!K120)/('Fórmula'!C120+'Fórmula'!E120+'Fórmula'!G120+'Fórmula'!I120+'Fórmula'!K120))*(INDEX(properties!A$1:CB$87,'Fórmula'!J120,19))</f>
        <v>5.222222222</v>
      </c>
      <c r="BK120" s="111">
        <f t="array" ref="BK120">'Fórmula'!C120*(INDEX(properties!A$1:CB$87,'Fórmula'!B120,19))+'Fórmula'!E120*(INDEX(properties!A$1:CB$87,'Fórmula'!D120,19))+'Fórmula'!G120*(INDEX(properties!A$1:CB$87,'Fórmula'!F120,19))+'Fórmula'!I120*(INDEX(properties!A$1:CB$87,'Fórmula'!H120,19))+'Fórmula'!K120*(INDEX(properties!A$1:CB$87,'Fórmula'!J120,19))</f>
        <v>47</v>
      </c>
      <c r="BL120" s="111">
        <f t="array" ref="BL120">VARP(IF(INDEX(properties!A$1:CB$87,'Fórmula'!B120,19)&lt;&gt;"",INDEX(properties!A$1:CB$87,'Fórmula'!B120,19)),IF(INDEX(properties!A$1:CB$87,'Fórmula'!D120,19)&lt;&gt;"",INDEX(properties!A$1:CB$87,'Fórmula'!D120,19)),IF(INDEX(properties!A$1:CB$87,'Fórmula'!F120,19)&lt;&gt;"",INDEX(properties!A$1:CB$87,'Fórmula'!F120,19)),IF(INDEX(properties!A$1:CB$87,'Fórmula'!H120,19)&lt;&gt;"",INDEX(properties!A$1:CB$87,'Fórmula'!H120,19)),IF(INDEX(properties!A$1:CB$87,'Fórmula'!J120,19)&lt;&gt;"",INDEX(properties!A$1:CB$87,'Fórmula'!J120,19)))</f>
        <v>12.16</v>
      </c>
      <c r="BM120" s="111">
        <f t="array" ref="BM120">MAX(INDEX(properties!A$1:CB$87,'Fórmula'!B120,19),INDEX(properties!A$1:CB$87,'Fórmula'!D120,19),INDEX(properties!A$1:CB$87,'Fórmula'!F120,19),INDEX(properties!A$1:CB$87,'Fórmula'!H120,19),INDEX(properties!A$1:CB$87,'Fórmula'!J120,19))</f>
        <v>10</v>
      </c>
      <c r="BN120" s="111">
        <f t="array" ref="BN120">MIN(IF(INDEX(properties!A$1:CB$87,'Fórmula'!B120,19)=0,10^6,INDEX(properties!A$1:CB$87,'Fórmula'!B120,19)),IF(INDEX(properties!A$1:CB$87,'Fórmula'!D120,19)=0,10^6,INDEX(properties!A$1:CB$87,'Fórmula'!D120,19)),IF(INDEX(properties!A$1:CB$87,'Fórmula'!F120,19)=0,10^6,INDEX(properties!A$1:CB$87,'Fórmula'!F120,19)),IF(INDEX(properties!A$1:CB$87,'Fórmula'!H120,19)=0,10^6,INDEX(properties!A$1:CB$87,'Fórmula'!H120,19)),IF(INDEX(properties!A$1:CB$87,'Fórmula'!J120,19)=0,10^6,INDEX(properties!A$1:CB$87,'Fórmula'!J120,19)))</f>
        <v>2</v>
      </c>
      <c r="BO120" s="111">
        <f t="shared" si="11"/>
        <v>8</v>
      </c>
      <c r="BP120" s="112">
        <f t="array" ref="BP120">(('Fórmula'!C120)/('Fórmula'!C120+'Fórmula'!E120+'Fórmula'!G120+'Fórmula'!I120+'Fórmula'!K120))*(INDEX(properties!A$1:CB$87,'Fórmula'!B120,20))+(('Fórmula'!E120)/('Fórmula'!C120+'Fórmula'!E120+'Fórmula'!G120+'Fórmula'!I120+'Fórmula'!K120))*(INDEX(properties!A$1:CB$87,'Fórmula'!D120,20))+(('Fórmula'!G120)/('Fórmula'!C120+'Fórmula'!E120+'Fórmula'!G120+'Fórmula'!I120+'Fórmula'!K120))*(INDEX(properties!A$1:CB$87,'Fórmula'!F120,20))+(('Fórmula'!I120)/('Fórmula'!C120+'Fórmula'!E120+'Fórmula'!G120+'Fórmula'!I120+'Fórmula'!K120))*(INDEX(properties!A$1:CB$87,'Fórmula'!H120,20))+(('Fórmula'!K120)/('Fórmula'!C120+'Fórmula'!E120+'Fórmula'!G120+'Fórmula'!I120+'Fórmula'!K120))*(INDEX(properties!A$1:CB$87,'Fórmula'!J120,20))</f>
        <v>4.333333333</v>
      </c>
      <c r="BQ120" s="112">
        <f t="array" ref="BQ120">'Fórmula'!C120*(INDEX(properties!A$1:CB$87,'Fórmula'!B120,20))+'Fórmula'!E120*(INDEX(properties!A$1:CB$87,'Fórmula'!D120,20))+'Fórmula'!G120*(INDEX(properties!A$1:CB$87,'Fórmula'!F120,20))+'Fórmula'!I120*(INDEX(properties!A$1:CB$87,'Fórmula'!H120,20))+'Fórmula'!K120*(INDEX(properties!A$1:CB$87,'Fórmula'!J120,20))</f>
        <v>39</v>
      </c>
      <c r="BR120" s="112">
        <f t="array" ref="BR120">VARP(IF(INDEX(properties!A$1:CB$87,'Fórmula'!B120,20)&lt;&gt;"",INDEX(properties!A$1:CB$87,'Fórmula'!B120,20)),IF(INDEX(properties!A$1:CB$87,'Fórmula'!D120,20)&lt;&gt;"",INDEX(properties!A$1:CB$87,'Fórmula'!D120,20)),IF(INDEX(properties!A$1:CB$87,'Fórmula'!F120,20)&lt;&gt;"",INDEX(properties!A$1:CB$87,'Fórmula'!F120,20)),IF(INDEX(properties!A$1:CB$87,'Fórmula'!H120,20)&lt;&gt;"",INDEX(properties!A$1:CB$87,'Fórmula'!H120,20)),IF(INDEX(properties!A$1:CB$87,'Fórmula'!J120,20)&lt;&gt;"",INDEX(properties!A$1:CB$87,'Fórmula'!J120,20)))</f>
        <v>3.84</v>
      </c>
      <c r="BS120" s="112">
        <f t="array" ref="BS120">MAX(INDEX(properties!A$1:CB$87,'Fórmula'!B120,20),INDEX(properties!A$1:CB$87,'Fórmula'!D120,20),INDEX(properties!A$1:CB$87,'Fórmula'!F120,20),INDEX(properties!A$1:CB$87,'Fórmula'!H120,20),INDEX(properties!A$1:CB$87,'Fórmula'!J120,20))</f>
        <v>6</v>
      </c>
      <c r="BT120" s="112">
        <f t="array" ref="BT120">MIN(IF(INDEX(properties!A$1:CB$87,'Fórmula'!B120,20)=0,10^6,INDEX(properties!A$1:CB$87,'Fórmula'!B120,20)),IF(INDEX(properties!A$1:CB$87,'Fórmula'!D120,20)=0,10^6,INDEX(properties!A$1:CB$87,'Fórmula'!D120,20)),IF(INDEX(properties!A$1:CB$87,'Fórmula'!F120,20)=0,10^6,INDEX(properties!A$1:CB$87,'Fórmula'!F120,20)),IF(INDEX(properties!A$1:CB$87,'Fórmula'!H120,20)=0,10^6,INDEX(properties!A$1:CB$87,'Fórmula'!H120,20)),IF(INDEX(properties!A$1:CB$87,'Fórmula'!J120,20)=0,10^6,INDEX(properties!A$1:CB$87,'Fórmula'!J120,20)))</f>
        <v>2</v>
      </c>
      <c r="BU120" s="112">
        <f t="shared" si="12"/>
        <v>4</v>
      </c>
      <c r="BV120" s="113">
        <f t="array" ref="BV120">(('Fórmula'!C120)/('Fórmula'!C120+'Fórmula'!E120+'Fórmula'!G120+'Fórmula'!I120+'Fórmula'!K120))*(INDEX(properties!A$1:CB$87,'Fórmula'!B120,21))+(('Fórmula'!E120)/('Fórmula'!C120+'Fórmula'!E120+'Fórmula'!G120+'Fórmula'!I120+'Fórmula'!K120))*(INDEX(properties!A$1:CB$87,'Fórmula'!D120,21))+(('Fórmula'!G120)/('Fórmula'!C120+'Fórmula'!E120+'Fórmula'!G120+'Fórmula'!I120+'Fórmula'!K120))*(INDEX(properties!A$1:CB$87,'Fórmula'!F120,21))+(('Fórmula'!I120)/('Fórmula'!C120+'Fórmula'!E120+'Fórmula'!G120+'Fórmula'!I120+'Fórmula'!K120))*(INDEX(properties!A$1:CB$87,'Fórmula'!H120,21))+(('Fórmula'!K120)/('Fórmula'!C120+'Fórmula'!E120+'Fórmula'!G120+'Fórmula'!I120+'Fórmula'!K120))*(INDEX(properties!A$1:CB$87,'Fórmula'!J120,21))</f>
        <v>4.444444444</v>
      </c>
      <c r="BW120" s="113">
        <f t="array" ref="BW120">'Fórmula'!C120*(INDEX(properties!A$1:CB$87,'Fórmula'!B120,21))+'Fórmula'!E120*(INDEX(properties!A$1:CB$87,'Fórmula'!D120,21))+'Fórmula'!G120*(INDEX(properties!A$1:CB$87,'Fórmula'!F120,21))+'Fórmula'!I120*(INDEX(properties!A$1:CB$87,'Fórmula'!H120,21))+'Fórmula'!K120*(INDEX(properties!A$1:CB$87,'Fórmula'!J120,21))</f>
        <v>40</v>
      </c>
      <c r="BX120" s="113">
        <f t="array" ref="BX120">VARP(IF(INDEX(properties!A$1:CB$87,'Fórmula'!B120,21)&lt;&gt;"",INDEX(properties!A$1:CB$87,'Fórmula'!B120,21)),IF(INDEX(properties!A$1:CB$87,'Fórmula'!D120,21)&lt;&gt;"",INDEX(properties!A$1:CB$87,'Fórmula'!D120,21)),IF(INDEX(properties!A$1:CB$87,'Fórmula'!F120,21)&lt;&gt;"",INDEX(properties!A$1:CB$87,'Fórmula'!F120,21)),IF(INDEX(properties!A$1:CB$87,'Fórmula'!H120,21)&lt;&gt;"",INDEX(properties!A$1:CB$87,'Fórmula'!H120,21)),IF(INDEX(properties!A$1:CB$87,'Fórmula'!J120,21)&lt;&gt;"",INDEX(properties!A$1:CB$87,'Fórmula'!J120,21)))</f>
        <v>3.76</v>
      </c>
      <c r="BY120" s="113">
        <f t="array" ref="BY120">MAX(INDEX(properties!A$1:CB$87,'Fórmula'!B120,21),INDEX(properties!A$1:CB$87,'Fórmula'!D120,21),INDEX(properties!A$1:CB$87,'Fórmula'!F120,21),INDEX(properties!A$1:CB$87,'Fórmula'!H120,21),INDEX(properties!A$1:CB$87,'Fórmula'!J120,21))</f>
        <v>6</v>
      </c>
      <c r="BZ120" s="113">
        <f t="array" ref="BZ120">MIN(IF(INDEX(properties!A$1:CB$87,'Fórmula'!B120,21)=0,10^6,INDEX(properties!A$1:CB$87,'Fórmula'!B120,21)),IF(INDEX(properties!A$1:CB$87,'Fórmula'!D120,21)=0,10^6,INDEX(properties!A$1:CB$87,'Fórmula'!D120,21)),IF(INDEX(properties!A$1:CB$87,'Fórmula'!F120,21)=0,10^6,INDEX(properties!A$1:CB$87,'Fórmula'!F120,21)),IF(INDEX(properties!A$1:CB$87,'Fórmula'!H120,21)=0,10^6,INDEX(properties!A$1:CB$87,'Fórmula'!H120,21)),IF(INDEX(properties!A$1:CB$87,'Fórmula'!J120,21)=0,10^6,INDEX(properties!A$1:CB$87,'Fórmula'!J120,21)))</f>
        <v>2</v>
      </c>
      <c r="CA120" s="113">
        <f t="shared" si="13"/>
        <v>4</v>
      </c>
      <c r="CB120" s="114">
        <f t="array" ref="CB120">(('Fórmula'!C120)/('Fórmula'!C120+'Fórmula'!E120+'Fórmula'!G120+'Fórmula'!I120+'Fórmula'!K120))*(INDEX(properties!A$1:CB$87,'Fórmula'!B120,23))+(('Fórmula'!E120)/('Fórmula'!C120+'Fórmula'!E120+'Fórmula'!G120+'Fórmula'!I120+'Fórmula'!K120))*(INDEX(properties!A$1:CB$87,'Fórmula'!D120,23))+(('Fórmula'!G120)/('Fórmula'!C120+'Fórmula'!E120+'Fórmula'!G120+'Fórmula'!I120+'Fórmula'!K120))*(INDEX(properties!A$1:CB$87,'Fórmula'!F120,23))+(('Fórmula'!I120)/('Fórmula'!C120+'Fórmula'!E120+'Fórmula'!G120+'Fórmula'!I120+'Fórmula'!K120))*(INDEX(properties!A$1:CB$87,'Fórmula'!H120,23))+(('Fórmula'!K120)/('Fórmula'!C120+'Fórmula'!E120+'Fórmula'!G120+'Fórmula'!I120+'Fórmula'!K120))*(INDEX(properties!A$1:CB$87,'Fórmula'!J120,23))</f>
        <v>1.111111111</v>
      </c>
      <c r="CC120" s="114">
        <f t="array" ref="CC120">'Fórmula'!C120*(INDEX(properties!A$1:CB$87,'Fórmula'!B120,23))+'Fórmula'!E120*(INDEX(properties!A$1:CB$87,'Fórmula'!D120,23))+'Fórmula'!G120*(INDEX(properties!A$1:CB$87,'Fórmula'!F120,23))+'Fórmula'!I120*(INDEX(properties!A$1:CB$87,'Fórmula'!H120,23))+'Fórmula'!K120*(INDEX(properties!A$1:CB$87,'Fórmula'!J120,23))</f>
        <v>10</v>
      </c>
      <c r="CD120" s="114">
        <f t="array" ref="CD120">VARP(IF(INDEX(properties!A$1:CB$87,'Fórmula'!B120,23)&lt;&gt;"",INDEX(properties!A$1:CB$87,'Fórmula'!B120,23)),IF(INDEX(properties!A$1:CB$87,'Fórmula'!D120,23)&lt;&gt;"",INDEX(properties!A$1:CB$87,'Fórmula'!D120,23)),IF(INDEX(properties!A$1:CB$87,'Fórmula'!F120,23)&lt;&gt;"",INDEX(properties!A$1:CB$87,'Fórmula'!F120,23)),IF(INDEX(properties!A$1:CB$87,'Fórmula'!H120,23)&lt;&gt;"",INDEX(properties!A$1:CB$87,'Fórmula'!H120,23)),IF(INDEX(properties!A$1:CB$87,'Fórmula'!J120,23)&lt;&gt;"",INDEX(properties!A$1:CB$87,'Fórmula'!J120,23)))</f>
        <v>1.84</v>
      </c>
      <c r="CE120" s="114">
        <f t="array" ref="CE120">MAX(INDEX(properties!A$1:CB$87,'Fórmula'!B120,23),INDEX(properties!A$1:CB$87,'Fórmula'!D120,23),INDEX(properties!A$1:CB$87,'Fórmula'!F120,23),INDEX(properties!A$1:CB$87,'Fórmula'!H120,23),INDEX(properties!A$1:CB$87,'Fórmula'!J120,23))</f>
        <v>3</v>
      </c>
      <c r="CF120" s="114">
        <f t="array" ref="CF120">MIN(IF('Fórmula'!B120=87,10^6,INDEX(properties!A$1:CB$87,'Fórmula'!B120,23)),IF(('Fórmula'!D120)=87,10^6,INDEX(properties!A$1:CB$87,'Fórmula'!D120,23)),IF(('Fórmula'!F120)=87,10^6,INDEX(properties!A$1:CB$87,'Fórmula'!F120,23)),IF(('Fórmula'!H120)=87,10^6,INDEX(properties!A$1:CB$87,'Fórmula'!H120,23)),IF('Fórmula'!J120=87,10^6,INDEX(properties!A$1:CB$87,'Fórmula'!J120,23)))</f>
        <v>0</v>
      </c>
      <c r="CG120" s="114">
        <f t="shared" si="14"/>
        <v>3</v>
      </c>
      <c r="CH120" s="115">
        <f t="array" ref="CH120">(('Fórmula'!C120)/('Fórmula'!C120+'Fórmula'!E120+'Fórmula'!G120+'Fórmula'!I120+'Fórmula'!K120))*(INDEX(properties!A$1:CB$87,'Fórmula'!B120,26))+(('Fórmula'!E120)/('Fórmula'!C120+'Fórmula'!E120+'Fórmula'!G120+'Fórmula'!I120+'Fórmula'!K120))*(INDEX(properties!A$1:CB$87,'Fórmula'!D120,26))+(('Fórmula'!G120)/('Fórmula'!C120+'Fórmula'!E120+'Fórmula'!G120+'Fórmula'!I120+'Fórmula'!K120))*(INDEX(properties!A$1:CB$87,'Fórmula'!F120,26))+(('Fórmula'!I120)/('Fórmula'!C120+'Fórmula'!E120+'Fórmula'!G120+'Fórmula'!I120+'Fórmula'!K120))*(INDEX(properties!A$1:CB$87,'Fórmula'!H120,26))+(('Fórmula'!K120)/('Fórmula'!C120+'Fórmula'!E120+'Fórmula'!G120+'Fórmula'!I120+'Fórmula'!K120))*(INDEX(properties!A$1:CB$87,'Fórmula'!J120,26))</f>
        <v>10.17954444</v>
      </c>
      <c r="CI120" s="115">
        <f t="array" ref="CI120">'Fórmula'!C120*(INDEX(properties!A$1:CB$87,'Fórmula'!B120,26))+'Fórmula'!E120*(INDEX(properties!A$1:CB$87,'Fórmula'!D120,26))+'Fórmula'!G120*(INDEX(properties!A$1:CB$87,'Fórmula'!F120,26))+'Fórmula'!I120*(INDEX(properties!A$1:CB$87,'Fórmula'!H120,26))+'Fórmula'!K120*(INDEX(properties!A$1:CB$87,'Fórmula'!J120,26))</f>
        <v>91.6159</v>
      </c>
      <c r="CJ120" s="115">
        <f t="array" ref="CJ120">VARP(IF(INDEX(properties!A$1:CB$87,'Fórmula'!B120,26)&lt;&gt;"",INDEX(properties!A$1:CB$87,'Fórmula'!B120,26)),IF(INDEX(properties!A$1:CB$87,'Fórmula'!D120,26)&lt;&gt;"",INDEX(properties!A$1:CB$87,'Fórmula'!D120,26)),IF(INDEX(properties!A$1:CB$87,'Fórmula'!F120,26)&lt;&gt;"",INDEX(properties!A$1:CB$87,'Fórmula'!F120,26)),IF(INDEX(properties!A$1:CB$87,'Fórmula'!H120,26)&lt;&gt;"",INDEX(properties!A$1:CB$87,'Fórmula'!H120,26)),IF(INDEX(properties!A$1:CB$87,'Fórmula'!J120,26)&lt;&gt;"",INDEX(properties!A$1:CB$87,'Fórmula'!J120,26)))</f>
        <v>18.74629738</v>
      </c>
      <c r="CK120" s="116">
        <f t="array" ref="CK120">MAX(INDEX(properties!A$1:CB$87,'Fórmula'!B120,26),INDEX(properties!A$1:CB$87,'Fórmula'!D120,26),INDEX(properties!A$1:CB$87,'Fórmula'!F120,26),INDEX(properties!A$1:CB$87,'Fórmula'!H120,26),INDEX(properties!A$1:CB$87,'Fórmula'!J120,26))</f>
        <v>13.6181</v>
      </c>
      <c r="CL120" s="116">
        <f t="array" ref="CL120">MIN(IF(INDEX(properties!A$1:CB$87,'Fórmula'!B120,26)=0,10^6,INDEX(properties!A$1:CB$87,'Fórmula'!B120,26)),IF(INDEX(properties!A$1:CB$87,'Fórmula'!D120,26)=0,10^6,INDEX(properties!A$1:CB$87,'Fórmula'!D120,26)),IF(INDEX(properties!A$1:CB$87,'Fórmula'!F120,26)=0,10^6,INDEX(properties!A$1:CB$87,'Fórmula'!F120,26)),IF(INDEX(properties!A$1:CB$87,'Fórmula'!H120,26)=0,10^6,INDEX(properties!A$1:CB$87,'Fórmula'!H120,26)),IF(INDEX(properties!A$1:CB$87,'Fórmula'!J120,26)=0,10^6,INDEX(properties!A$1:CB$87,'Fórmula'!J120,26)))</f>
        <v>5.6949</v>
      </c>
      <c r="CM120" s="115">
        <f t="shared" si="15"/>
        <v>7.9232</v>
      </c>
      <c r="CN120" s="117">
        <f t="array" ref="CN120">(('Fórmula'!C120)/('Fórmula'!C120+'Fórmula'!E120+'Fórmula'!G120+'Fórmula'!I120+'Fórmula'!K120))*(INDEX(properties!A$1:CB$87,'Fórmula'!B120,30))+(('Fórmula'!E120)/('Fórmula'!C120+'Fórmula'!E120+'Fórmula'!G120+'Fórmula'!I120+'Fórmula'!K120))*(INDEX(properties!A$1:CB$87,'Fórmula'!D120,30))+(('Fórmula'!G120)/('Fórmula'!C120+'Fórmula'!E120+'Fórmula'!G120+'Fórmula'!I120+'Fórmula'!K120))*(INDEX(properties!A$1:CB$87,'Fórmula'!F120,30))+(('Fórmula'!I120)/('Fórmula'!C120+'Fórmula'!E120+'Fórmula'!G120+'Fórmula'!I120+'Fórmula'!K120))*(INDEX(properties!A$1:CB$87,'Fórmula'!H120,30))+(('Fórmula'!K120)/('Fórmula'!C120+'Fórmula'!E120+'Fórmula'!G120+'Fórmula'!I120+'Fórmula'!K120))*(INDEX(properties!A$1:CB$87,'Fórmula'!J120,30))</f>
        <v>2.434444444</v>
      </c>
      <c r="CO120" s="117">
        <f t="array" ref="CO120">'Fórmula'!C120*(INDEX(properties!A$1:CB$87,'Fórmula'!B120,30))+'Fórmula'!E120*(INDEX(properties!A$1:CB$87,'Fórmula'!D120,30))+'Fórmula'!G120*(INDEX(properties!A$1:CB$87,'Fórmula'!F120,30))+'Fórmula'!I120*(INDEX(properties!A$1:CB$87,'Fórmula'!H120,30))+'Fórmula'!K120*(INDEX(properties!A$1:CB$87,'Fórmula'!J120,30))</f>
        <v>21.91</v>
      </c>
      <c r="CP120" s="117">
        <f t="array" ref="CP120">VARP(IF(INDEX(properties!A$1:CB$87,'Fórmula'!B120,30)&lt;&gt;"",INDEX(properties!A$1:CB$87,'Fórmula'!B120,30)),IF(INDEX(properties!A$1:CB$87,'Fórmula'!D120,30)&lt;&gt;"",INDEX(properties!A$1:CB$87,'Fórmula'!D120,30)),IF(INDEX(properties!A$1:CB$87,'Fórmula'!F120,30)&lt;&gt;"",INDEX(properties!A$1:CB$87,'Fórmula'!F120,30)),IF(INDEX(properties!A$1:CB$87,'Fórmula'!H120,30)&lt;&gt;"",INDEX(properties!A$1:CB$87,'Fórmula'!H120,30)),IF(INDEX(properties!A$1:CB$87,'Fórmula'!J120,30)&lt;&gt;"",INDEX(properties!A$1:CB$87,'Fórmula'!J120,30)))</f>
        <v>1.28004</v>
      </c>
      <c r="CQ120" s="117">
        <f t="array" ref="CQ120">MAX(INDEX(properties!A$1:CB$87,'Fórmula'!B120,30),INDEX(properties!A$1:CB$87,'Fórmula'!D120,30),INDEX(properties!A$1:CB$87,'Fórmula'!F120,30),INDEX(properties!A$1:CB$87,'Fórmula'!H120,30),INDEX(properties!A$1:CB$87,'Fórmula'!J120,30))</f>
        <v>3.44</v>
      </c>
      <c r="CR120" s="117">
        <f t="array" ref="CR120">MIN(IF(INDEX(properties!A$1:CB$87,'Fórmula'!B120,30)=0,10^6,INDEX(properties!A$1:CB$87,'Fórmula'!B120,30)),IF(INDEX(properties!A$1:CB$87,'Fórmula'!D120,30)=0,10^6,INDEX(properties!A$1:CB$87,'Fórmula'!D120,30)),IF(INDEX(properties!A$1:CB$87,'Fórmula'!F120,30)=0,10^6,INDEX(properties!A$1:CB$87,'Fórmula'!F120,30)),IF(INDEX(properties!A$1:CB$87,'Fórmula'!H120,30)=0,10^6,INDEX(properties!A$1:CB$87,'Fórmula'!H120,30)),IF(INDEX(properties!A$1:CB$87,'Fórmula'!J120,30)=0,10^6,INDEX(properties!A$1:CB$87,'Fórmula'!J120,30)))</f>
        <v>0.95</v>
      </c>
      <c r="CS120" s="117">
        <f t="shared" si="16"/>
        <v>2.49</v>
      </c>
      <c r="CT120" s="118">
        <f t="array" ref="CT120">(('Fórmula'!C120)/('Fórmula'!C120+'Fórmula'!E120+'Fórmula'!G120+'Fórmula'!I120+'Fórmula'!K120))*(INDEX(properties!A$1:CB$87,'Fórmula'!B120,31))+(('Fórmula'!E120)/('Fórmula'!C120+'Fórmula'!E120+'Fórmula'!G120+'Fórmula'!I120+'Fórmula'!K120))*(INDEX(properties!A$1:CB$87,'Fórmula'!D120,31))+(('Fórmula'!G120)/('Fórmula'!C120+'Fórmula'!E120+'Fórmula'!G120+'Fórmula'!I120+'Fórmula'!K120))*(INDEX(properties!A$1:CB$87,'Fórmula'!F120,31))+(('Fórmula'!I120)/('Fórmula'!C120+'Fórmula'!E120+'Fórmula'!G120+'Fórmula'!I120+'Fórmula'!K120))*(INDEX(properties!A$1:CB$87,'Fórmula'!H120,31))+(('Fórmula'!K120)/('Fórmula'!C120+'Fórmula'!E120+'Fórmula'!G120+'Fórmula'!I120+'Fórmula'!K120))*(INDEX(properties!A$1:CB$87,'Fórmula'!J120,31))</f>
        <v>2.4</v>
      </c>
      <c r="CU120" s="118">
        <f t="array" ref="CU120">'Fórmula'!C120*(INDEX(properties!A$1:CB$87,'Fórmula'!B120,31))+'Fórmula'!E120*(INDEX(properties!A$1:CB$87,'Fórmula'!D120,31))+'Fórmula'!G120*(INDEX(properties!A$1:CB$87,'Fórmula'!F120,31))+'Fórmula'!I120*(INDEX(properties!A$1:CB$87,'Fórmula'!H120,31))+'Fórmula'!K120*(INDEX(properties!A$1:CB$87,'Fórmula'!J120,31))</f>
        <v>21.6</v>
      </c>
      <c r="CV120" s="118">
        <f t="array" ref="CV120">VARP(IF(INDEX(properties!A$1:CB$87,'Fórmula'!B120,31)&lt;&gt;"",INDEX(properties!A$1:CB$87,'Fórmula'!B120,31)),IF(INDEX(properties!A$1:CB$87,'Fórmula'!D120,31)&lt;&gt;"",INDEX(properties!A$1:CB$87,'Fórmula'!D120,31)),IF(INDEX(properties!A$1:CB$87,'Fórmula'!F120,31)&lt;&gt;"",INDEX(properties!A$1:CB$87,'Fórmula'!F120,31)),IF(INDEX(properties!A$1:CB$87,'Fórmula'!H120,31)&lt;&gt;"",INDEX(properties!A$1:CB$87,'Fórmula'!H120,31)),IF(INDEX(properties!A$1:CB$87,'Fórmula'!J120,31)&lt;&gt;"",INDEX(properties!A$1:CB$87,'Fórmula'!J120,31)))</f>
        <v>1.171936</v>
      </c>
      <c r="CW120" s="118">
        <f t="array" ref="CW120">MAX(INDEX(properties!A$1:CB$87,'Fórmula'!B120,31),INDEX(properties!A$1:CB$87,'Fórmula'!D120,31),INDEX(properties!A$1:CB$87,'Fórmula'!F120,31),INDEX(properties!A$1:CB$87,'Fórmula'!H120,31),INDEX(properties!A$1:CB$87,'Fórmula'!J120,31))</f>
        <v>3.32</v>
      </c>
      <c r="CX120" s="118">
        <f t="array" ref="CX120">MIN(IF(INDEX(properties!A$1:CB$87,'Fórmula'!B120,31)=0,10^6,INDEX(properties!A$1:CB$87,'Fórmula'!B120,31)),IF(INDEX(properties!A$1:CB$87,'Fórmula'!D120,31)=0,10^6,INDEX(properties!A$1:CB$87,'Fórmula'!D120,31)),IF(INDEX(properties!A$1:CB$87,'Fórmula'!F120,31)=0,10^6,INDEX(properties!A$1:CB$87,'Fórmula'!F120,31)),IF(INDEX(properties!A$1:CB$87,'Fórmula'!H120,31)=0,10^6,INDEX(properties!A$1:CB$87,'Fórmula'!H120,31)),IF(INDEX(properties!A$1:CB$87,'Fórmula'!J120,31)=0,10^6,INDEX(properties!A$1:CB$87,'Fórmula'!J120,31)))</f>
        <v>1.1</v>
      </c>
      <c r="CY120" s="118">
        <f t="shared" si="17"/>
        <v>2.22</v>
      </c>
      <c r="CZ120" s="119">
        <f t="array" ref="CZ120">(('Fórmula'!C120)/('Fórmula'!C120+'Fórmula'!E120+'Fórmula'!G120+'Fórmula'!I120+'Fórmula'!K120))*(INDEX(properties!A$1:CB$87,'Fórmula'!B120,32))+(('Fórmula'!E120)/('Fórmula'!C120+'Fórmula'!E120+'Fórmula'!G120+'Fórmula'!I120+'Fórmula'!K120))*(INDEX(properties!A$1:CB$87,'Fórmula'!D120,32))+(('Fórmula'!G120)/('Fórmula'!C120+'Fórmula'!E120+'Fórmula'!G120+'Fórmula'!I120+'Fórmula'!K120))*(INDEX(properties!A$1:CB$87,'Fórmula'!F120,32))+(('Fórmula'!I120)/('Fórmula'!C120+'Fórmula'!E120+'Fórmula'!G120+'Fórmula'!I120+'Fórmula'!K120))*(INDEX(properties!A$1:CB$87,'Fórmula'!H120,32))+(('Fórmula'!K120)/('Fórmula'!C120+'Fórmula'!E120+'Fórmula'!G120+'Fórmula'!I120+'Fórmula'!K120))*(INDEX(properties!A$1:CB$87,'Fórmula'!J120,32))</f>
        <v>5.336666667</v>
      </c>
      <c r="DA120" s="119">
        <f t="array" ref="DA120">'Fórmula'!C120*(INDEX(properties!A$1:CB$87,'Fórmula'!B120,32))+'Fórmula'!E120*(INDEX(properties!A$1:CB$87,'Fórmula'!D120,32))+'Fórmula'!G120*(INDEX(properties!A$1:CB$87,'Fórmula'!F120,32))+'Fórmula'!I120*(INDEX(properties!A$1:CB$87,'Fórmula'!H120,32))+'Fórmula'!K120*(INDEX(properties!A$1:CB$87,'Fórmula'!J120,32))</f>
        <v>48.03</v>
      </c>
      <c r="DB120" s="119">
        <f t="array" ref="DB120">VARP(IF(INDEX(properties!A$1:CB$87,'Fórmula'!B120,32)&lt;&gt;"",INDEX(properties!A$1:CB$87,'Fórmula'!B120,32)),IF(INDEX(properties!A$1:CB$87,'Fórmula'!D120,32)&lt;&gt;"",INDEX(properties!A$1:CB$87,'Fórmula'!D120,32)),IF(INDEX(properties!A$1:CB$87,'Fórmula'!F120,32)&lt;&gt;"",INDEX(properties!A$1:CB$87,'Fórmula'!F120,32)),IF(INDEX(properties!A$1:CB$87,'Fórmula'!H120,32)&lt;&gt;"",INDEX(properties!A$1:CB$87,'Fórmula'!H120,32)),IF(INDEX(properties!A$1:CB$87,'Fórmula'!J120,32)&lt;&gt;"",INDEX(properties!A$1:CB$87,'Fórmula'!J120,32)))</f>
        <v>6.104624</v>
      </c>
      <c r="DC120" s="119">
        <f t="array" ref="DC120">MAX(INDEX(properties!A$1:CB$87,'Fórmula'!B120,32),INDEX(properties!A$1:CB$87,'Fórmula'!D120,32),INDEX(properties!A$1:CB$87,'Fórmula'!F120,32),INDEX(properties!A$1:CB$87,'Fórmula'!H120,32),INDEX(properties!A$1:CB$87,'Fórmula'!J120,32))</f>
        <v>7.54</v>
      </c>
      <c r="DD120" s="119">
        <f t="array" ref="DD120">MIN(IF(INDEX(properties!A$1:CB$87,'Fórmula'!B120,32)=0,10^6,INDEX(properties!A$1:CB$87,'Fórmula'!B120,32)),IF(INDEX(properties!A$1:CB$87,'Fórmula'!D120,32)=0,10^6,INDEX(properties!A$1:CB$87,'Fórmula'!D120,32)),IF(INDEX(properties!A$1:CB$87,'Fórmula'!F120,32)=0,10^6,INDEX(properties!A$1:CB$87,'Fórmula'!F120,32)),IF(INDEX(properties!A$1:CB$87,'Fórmula'!H120,32)=0,10^6,INDEX(properties!A$1:CB$87,'Fórmula'!H120,32)),IF(INDEX(properties!A$1:CB$87,'Fórmula'!J120,32)=0,10^6,INDEX(properties!A$1:CB$87,'Fórmula'!J120,32)))</f>
        <v>2</v>
      </c>
      <c r="DE120" s="119">
        <f t="shared" si="18"/>
        <v>5.54</v>
      </c>
      <c r="DF120" s="104">
        <f t="array" ref="DF120">(('Fórmula'!C120)/('Fórmula'!C120+'Fórmula'!E120+'Fórmula'!G120+'Fórmula'!I120+'Fórmula'!K120))*(INDEX(properties!A$1:CB$87,'Fórmula'!B120,34))+(('Fórmula'!E120)/('Fórmula'!C120+'Fórmula'!E120+'Fórmula'!G120+'Fórmula'!I120+'Fórmula'!K120))*(INDEX(properties!A$1:CB$87,'Fórmula'!D120,34))+(('Fórmula'!G120)/('Fórmula'!C120+'Fórmula'!E120+'Fórmula'!G120+'Fórmula'!I120+'Fórmula'!K120))*(INDEX(properties!A$1:CB$87,'Fórmula'!F120,34))+(('Fórmula'!I120)/('Fórmula'!C120+'Fórmula'!E120+'Fórmula'!G120+'Fórmula'!I120+'Fórmula'!K120))*(INDEX(properties!A$1:CB$87,'Fórmula'!H120,34))+(('Fórmula'!K120)/('Fórmula'!C120+'Fórmula'!E120+'Fórmula'!G120+'Fórmula'!I120+'Fórmula'!K120))*(INDEX(properties!A$1:CB$87,'Fórmula'!J120,34))</f>
        <v>2.519888889</v>
      </c>
      <c r="DG120" s="104">
        <f t="array" ref="DG120">'Fórmula'!C120*(INDEX(properties!A$1:CB$87,'Fórmula'!B120,34))+'Fórmula'!E120*(INDEX(properties!A$1:CB$87,'Fórmula'!D120,34))+'Fórmula'!G120*(INDEX(properties!A$1:CB$87,'Fórmula'!F120,34))+'Fórmula'!I120*(INDEX(properties!A$1:CB$87,'Fórmula'!H120,34))+'Fórmula'!K120*(INDEX(properties!A$1:CB$87,'Fórmula'!J120,34))</f>
        <v>22.679</v>
      </c>
      <c r="DH120" s="104">
        <f t="array" ref="DH120">VARP(IF(INDEX(properties!A$1:CB$87,'Fórmula'!B120,34)&lt;&gt;"",INDEX(properties!A$1:CB$87,'Fórmula'!B120,34)),IF(INDEX(properties!A$1:CB$87,'Fórmula'!D120,34)&lt;&gt;"",INDEX(properties!A$1:CB$87,'Fórmula'!D120,34)),IF(INDEX(properties!A$1:CB$87,'Fórmula'!F120,34)&lt;&gt;"",INDEX(properties!A$1:CB$87,'Fórmula'!F120,34)),IF(INDEX(properties!A$1:CB$87,'Fórmula'!H120,34)&lt;&gt;"",INDEX(properties!A$1:CB$87,'Fórmula'!H120,34)),IF(INDEX(properties!A$1:CB$87,'Fórmula'!J120,34)&lt;&gt;"",INDEX(properties!A$1:CB$87,'Fórmula'!J120,34)))</f>
        <v>1.43226056</v>
      </c>
      <c r="DI120" s="104">
        <f t="array" ref="DI120">MAX(INDEX(properties!A$1:CB$87,'Fórmula'!B120,34),INDEX(properties!A$1:CB$87,'Fórmula'!D120,34),INDEX(properties!A$1:CB$87,'Fórmula'!F120,34),INDEX(properties!A$1:CB$87,'Fórmula'!H120,34),INDEX(properties!A$1:CB$87,'Fórmula'!J120,34))</f>
        <v>3.61</v>
      </c>
      <c r="DJ120" s="104">
        <f t="array" ref="DJ120">MIN(IF(INDEX(properties!A$1:CB$87,'Fórmula'!B120,34)=0,10^6,INDEX(properties!A$1:CB$87,'Fórmula'!B120,34)),IF(INDEX(properties!A$1:CB$87,'Fórmula'!D120,34)=0,10^6,INDEX(properties!A$1:CB$87,'Fórmula'!D120,34)),IF(INDEX(properties!A$1:CB$87,'Fórmula'!F120,34)=0,10^6,INDEX(properties!A$1:CB$87,'Fórmula'!F120,34)),IF(INDEX(properties!A$1:CB$87,'Fórmula'!H120,34)=0,10^6,INDEX(properties!A$1:CB$87,'Fórmula'!H120,34)),IF(INDEX(properties!A$1:CB$87,'Fórmula'!J120,34)=0,10^6,INDEX(properties!A$1:CB$87,'Fórmula'!J120,34)))</f>
        <v>0.963</v>
      </c>
      <c r="DK120" s="104">
        <f t="shared" si="19"/>
        <v>2.647</v>
      </c>
      <c r="DL120" s="105" t="str">
        <f t="array" ref="DL120">(('Fórmula'!C120)/('Fórmula'!C120+'Fórmula'!E120+'Fórmula'!G120+'Fórmula'!I120+'Fórmula'!K120))*(INDEX(properties!A$1:CB$87,'Fórmula'!B120,37))+(('Fórmula'!E120)/('Fórmula'!C120+'Fórmula'!E120+'Fórmula'!G120+'Fórmula'!I120+'Fórmula'!K120))*(INDEX(properties!A$1:CB$87,'Fórmula'!D120,37))+(('Fórmula'!G120)/('Fórmula'!C120+'Fórmula'!E120+'Fórmula'!G120+'Fórmula'!I120+'Fórmula'!K120))*(INDEX(properties!A$1:CB$87,'Fórmula'!F120,37))+(('Fórmula'!I120)/('Fórmula'!C120+'Fórmula'!E120+'Fórmula'!G120+'Fórmula'!I120+'Fórmula'!K120))*(INDEX(properties!A$1:CB$87,'Fórmula'!H120,37))+(('Fórmula'!K120)/('Fórmula'!C120+'Fórmula'!E120+'Fórmula'!G120+'Fórmula'!I120+'Fórmula'!K120))*(INDEX(properties!A$1:CB$87,'Fórmula'!J120,37))</f>
        <v>#VALUE!</v>
      </c>
      <c r="DM120" s="105" t="str">
        <f t="array" ref="DM120">'Fórmula'!C120*(INDEX(properties!A$1:CB$87,'Fórmula'!B120,37))+'Fórmula'!E120*(INDEX(properties!A$1:CB$87,'Fórmula'!D120,37))+'Fórmula'!G120*(INDEX(properties!A$1:CB$87,'Fórmula'!F120,37))+'Fórmula'!I120*(INDEX(properties!A$1:CB$87,'Fórmula'!H120,37))+'Fórmula'!K120*(INDEX(properties!A$1:CB$87,'Fórmula'!J120,37))</f>
        <v>#VALUE!</v>
      </c>
      <c r="DN120" s="105">
        <f t="array" ref="DN120">VARP(IF(INDEX(properties!A$1:CB$87,'Fórmula'!B120,37)&lt;&gt;"",INDEX(properties!A$1:CB$87,'Fórmula'!B120,37)),IF(INDEX(properties!A$1:CB$87,'Fórmula'!D120,37)&lt;&gt;"",INDEX(properties!A$1:CB$87,'Fórmula'!D120,37)),IF(INDEX(properties!A$1:CB$87,'Fórmula'!F120,37)&lt;&gt;"",INDEX(properties!A$1:CB$87,'Fórmula'!F120,37)),IF(INDEX(properties!A$1:CB$87,'Fórmula'!H120,37)&lt;&gt;"",INDEX(properties!A$1:CB$87,'Fórmula'!H120,37)),IF(INDEX(properties!A$1:CB$87,'Fórmula'!J120,37)&lt;&gt;"",INDEX(properties!A$1:CB$87,'Fórmula'!J120,37)))</f>
        <v>1.57546875</v>
      </c>
      <c r="DO120" s="105">
        <f t="array" ref="DO120">MAX(INDEX(properties!A$1:CB$87,'Fórmula'!B120,37),INDEX(properties!A$1:CB$87,'Fórmula'!D120,37),INDEX(properties!A$1:CB$87,'Fórmula'!F120,37),INDEX(properties!A$1:CB$87,'Fórmula'!H120,37),INDEX(properties!A$1:CB$87,'Fórmula'!J120,37))</f>
        <v>3.45</v>
      </c>
      <c r="DP120" s="105">
        <f t="array" ref="DP120">MIN(IF(INDEX(properties!A$1:CB$87,'Fórmula'!B120,37)=0,10^6,INDEX(properties!A$1:CB$87,'Fórmula'!B120,37)),IF(INDEX(properties!A$1:CB$87,'Fórmula'!D120,37)=0,10^6,INDEX(properties!A$1:CB$87,'Fórmula'!D120,37)),IF(INDEX(properties!A$1:CB$87,'Fórmula'!F120,37)=0,10^6,INDEX(properties!A$1:CB$87,'Fórmula'!F120,37)),IF(INDEX(properties!A$1:CB$87,'Fórmula'!H120,37)=0,10^6,INDEX(properties!A$1:CB$87,'Fórmula'!H120,37)),IF(INDEX(properties!A$1:CB$87,'Fórmula'!J120,37)=0,10^6,INDEX(properties!A$1:CB$87,'Fórmula'!J120,37)))</f>
        <v>1</v>
      </c>
      <c r="DQ120" s="105">
        <f t="shared" si="20"/>
        <v>2.45</v>
      </c>
      <c r="DR120" s="109">
        <f t="array" ref="DR120">(('Fórmula'!C120)/('Fórmula'!C120+'Fórmula'!E120+'Fórmula'!G120+'Fórmula'!I120+'Fórmula'!K120))*(INDEX(properties!A$1:CB$87,'Fórmula'!B120,39))+(('Fórmula'!E120)/('Fórmula'!C120+'Fórmula'!E120+'Fórmula'!G120+'Fórmula'!I120+'Fórmula'!K120))*(INDEX(properties!A$1:CB$87,'Fórmula'!D120,39))+(('Fórmula'!G120)/('Fórmula'!C120+'Fórmula'!E120+'Fórmula'!G120+'Fórmula'!I120+'Fórmula'!K120))*(INDEX(properties!A$1:CB$87,'Fórmula'!F120,39))+(('Fórmula'!I120)/('Fórmula'!C120+'Fórmula'!E120+'Fórmula'!G120+'Fórmula'!I120+'Fórmula'!K120))*(INDEX(properties!A$1:CB$87,'Fórmula'!H120,39))+(('Fórmula'!K120)/('Fórmula'!C120+'Fórmula'!E120+'Fórmula'!G120+'Fórmula'!I120+'Fórmula'!K120))*(INDEX(properties!A$1:CB$87,'Fórmula'!J120,39))</f>
        <v>1.143333333</v>
      </c>
      <c r="DS120" s="109">
        <f t="array" ref="DS120">'Fórmula'!C120*(INDEX(properties!A$1:CB$87,'Fórmula'!B120,39))+'Fórmula'!E120*(INDEX(properties!A$1:CB$87,'Fórmula'!D120,39))+'Fórmula'!G120*(INDEX(properties!A$1:CB$87,'Fórmula'!F120,39))+'Fórmula'!I120*(INDEX(properties!A$1:CB$87,'Fórmula'!H120,39))+'Fórmula'!K120*(INDEX(properties!A$1:CB$87,'Fórmula'!J120,39))</f>
        <v>10.29</v>
      </c>
      <c r="DT120" s="109">
        <f t="array" ref="DT120">VARP(IF(INDEX(properties!A$1:CB$87,'Fórmula'!B120,39)&lt;&gt;"",INDEX(properties!A$1:CB$87,'Fórmula'!B120,39)),IF(INDEX(properties!A$1:CB$87,'Fórmula'!D120,39)&lt;&gt;"",INDEX(properties!A$1:CB$87,'Fórmula'!D120,39)),IF(INDEX(properties!A$1:CB$87,'Fórmula'!F120,39)&lt;&gt;"",INDEX(properties!A$1:CB$87,'Fórmula'!F120,39)),IF(INDEX(properties!A$1:CB$87,'Fórmula'!H120,39)&lt;&gt;"",INDEX(properties!A$1:CB$87,'Fórmula'!H120,39)),IF(INDEX(properties!A$1:CB$87,'Fórmula'!J120,39)&lt;&gt;"",INDEX(properties!A$1:CB$87,'Fórmula'!J120,39)))</f>
        <v>0.841864</v>
      </c>
      <c r="DU120" s="120">
        <f t="array" ref="DU120">MAX(INDEX(properties!A$1:CB$87,'Fórmula'!B120,39),INDEX(properties!A$1:CB$87,'Fórmula'!D120,39),INDEX(properties!A$1:CB$87,'Fórmula'!F120,39),INDEX(properties!A$1:CB$87,'Fórmula'!H120,39),INDEX(properties!A$1:CB$87,'Fórmula'!J120,39))</f>
        <v>2.33</v>
      </c>
      <c r="DV120" s="120">
        <f t="array" ref="DV120">MIN(IF(INDEX(properties!A$1:CB$87,'Fórmula'!B120,39)=0,10^6,INDEX(properties!A$1:CB$87,'Fórmula'!B120,39)),IF(INDEX(properties!A$1:CB$87,'Fórmula'!D120,39)=0,10^6,INDEX(properties!A$1:CB$87,'Fórmula'!D120,39)),IF(INDEX(properties!A$1:CB$87,'Fórmula'!F120,39)=0,10^6,INDEX(properties!A$1:CB$87,'Fórmula'!F120,39)),IF(INDEX(properties!A$1:CB$87,'Fórmula'!H120,39)=0,10^6,INDEX(properties!A$1:CB$87,'Fórmula'!H120,39)),IF(INDEX(properties!A$1:CB$87,'Fórmula'!J120,39)=0,10^6,INDEX(properties!A$1:CB$87,'Fórmula'!J120,39)))</f>
        <v>0.48</v>
      </c>
      <c r="DW120" s="109">
        <f t="shared" si="21"/>
        <v>1.85</v>
      </c>
      <c r="DX120" s="110">
        <f t="array" ref="DX120">(('Fórmula'!C120)/('Fórmula'!C120+'Fórmula'!E120+'Fórmula'!G120+'Fórmula'!I120+'Fórmula'!K120))*(INDEX(properties!A$1:CB$87,'Fórmula'!B120,40))+(('Fórmula'!E120)/('Fórmula'!C120+'Fórmula'!E120+'Fórmula'!G120+'Fórmula'!I120+'Fórmula'!K120))*(INDEX(properties!A$1:CB$87,'Fórmula'!D120,40))+(('Fórmula'!G120)/('Fórmula'!C120+'Fórmula'!E120+'Fórmula'!G120+'Fórmula'!I120+'Fórmula'!K120))*(INDEX(properties!A$1:CB$87,'Fórmula'!F120,40))+(('Fórmula'!I120)/('Fórmula'!C120+'Fórmula'!E120+'Fórmula'!G120+'Fórmula'!I120+'Fórmula'!K120))*(INDEX(properties!A$1:CB$87,'Fórmula'!H120,40))+(('Fórmula'!K120)/('Fórmula'!C120+'Fórmula'!E120+'Fórmula'!G120+'Fórmula'!I120+'Fórmula'!K120))*(INDEX(properties!A$1:CB$87,'Fórmula'!J120,40))</f>
        <v>1.142222222</v>
      </c>
      <c r="DY120" s="110">
        <f t="array" ref="DY120">'Fórmula'!C120*(INDEX(properties!A$1:CB$87,'Fórmula'!B120,40))+'Fórmula'!E120*(INDEX(properties!A$1:CB$87,'Fórmula'!D120,40))+'Fórmula'!G120*(INDEX(properties!A$1:CB$87,'Fórmula'!F120,40))+'Fórmula'!I120*(INDEX(properties!A$1:CB$87,'Fórmula'!H120,40))+'Fórmula'!K120*(INDEX(properties!A$1:CB$87,'Fórmula'!J120,40))</f>
        <v>10.28</v>
      </c>
      <c r="DZ120" s="110">
        <f t="array" ref="DZ120">VARP(IF(INDEX(properties!A$1:CB$87,'Fórmula'!B120,40)&lt;&gt;"",INDEX(properties!A$1:CB$87,'Fórmula'!B120,40)),IF(INDEX(properties!A$1:CB$87,'Fórmula'!D120,40)&lt;&gt;"",INDEX(properties!A$1:CB$87,'Fórmula'!D120,40)),IF(INDEX(properties!A$1:CB$87,'Fórmula'!F120,40)&lt;&gt;"",INDEX(properties!A$1:CB$87,'Fórmula'!F120,40)),IF(INDEX(properties!A$1:CB$87,'Fórmula'!H120,40)&lt;&gt;"",INDEX(properties!A$1:CB$87,'Fórmula'!H120,40)),IF(INDEX(properties!A$1:CB$87,'Fórmula'!J120,40)&lt;&gt;"",INDEX(properties!A$1:CB$87,'Fórmula'!J120,40)))</f>
        <v>0.457016</v>
      </c>
      <c r="EA120" s="121">
        <f t="array" ref="EA120">MAX(INDEX(properties!A$1:CB$87,'Fórmula'!B120,40),INDEX(properties!A$1:CB$87,'Fórmula'!D120,40),INDEX(properties!A$1:CB$87,'Fórmula'!F120,40),INDEX(properties!A$1:CB$87,'Fórmula'!H120,40),INDEX(properties!A$1:CB$87,'Fórmula'!J120,40))</f>
        <v>1.92</v>
      </c>
      <c r="EB120" s="121">
        <f t="array" ref="EB120">MIN(IF(INDEX(properties!A$1:CB$87,'Fórmula'!B120,40)=0,10^6,INDEX(properties!A$1:CB$87,'Fórmula'!B120,40)),IF(INDEX(properties!A$1:CB$87,'Fórmula'!D120,40)=0,10^6,INDEX(properties!A$1:CB$87,'Fórmula'!D120,40)),IF(INDEX(properties!A$1:CB$87,'Fórmula'!F120,40)=0,10^6,INDEX(properties!A$1:CB$87,'Fórmula'!F120,40)),IF(INDEX(properties!A$1:CB$87,'Fórmula'!H120,40)=0,10^6,INDEX(properties!A$1:CB$87,'Fórmula'!H120,40)),IF(INDEX(properties!A$1:CB$87,'Fórmula'!J120,40)=0,10^6,INDEX(properties!A$1:CB$87,'Fórmula'!J120,40)))</f>
        <v>0.73</v>
      </c>
      <c r="EC120" s="110">
        <f t="shared" si="22"/>
        <v>1.19</v>
      </c>
      <c r="ED120" s="111">
        <f t="array" ref="ED120">(('Fórmula'!C120)/('Fórmula'!C120+'Fórmula'!E120+'Fórmula'!G120+'Fórmula'!I120+'Fórmula'!K120))*(INDEX(properties!A$1:CB$87,'Fórmula'!B120,41))+(('Fórmula'!E120)/('Fórmula'!C120+'Fórmula'!E120+'Fórmula'!G120+'Fórmula'!I120+'Fórmula'!K120))*(INDEX(properties!A$1:CB$87,'Fórmula'!D120,41))+(('Fórmula'!G120)/('Fórmula'!C120+'Fórmula'!E120+'Fórmula'!G120+'Fórmula'!I120+'Fórmula'!K120))*(INDEX(properties!A$1:CB$87,'Fórmula'!F120,41))+(('Fórmula'!I120)/('Fórmula'!C120+'Fórmula'!E120+'Fórmula'!G120+'Fórmula'!I120+'Fórmula'!K120))*(INDEX(properties!A$1:CB$87,'Fórmula'!H120,41))+(('Fórmula'!K120)/('Fórmula'!C120+'Fórmula'!E120+'Fórmula'!G120+'Fórmula'!I120+'Fórmula'!K120))*(INDEX(properties!A$1:CB$87,'Fórmula'!J120,41))</f>
        <v>1.188888889</v>
      </c>
      <c r="EE120" s="111">
        <f t="array" ref="EE120">'Fórmula'!C120*(INDEX(properties!A$1:CB$87,'Fórmula'!B120,41))+'Fórmula'!E120*(INDEX(properties!A$1:CB$87,'Fórmula'!D120,41))+'Fórmula'!G120*(INDEX(properties!A$1:CB$87,'Fórmula'!F120,41))+'Fórmula'!I120*(INDEX(properties!A$1:CB$87,'Fórmula'!H120,41))+'Fórmula'!K120*(INDEX(properties!A$1:CB$87,'Fórmula'!J120,41))</f>
        <v>10.7</v>
      </c>
      <c r="EF120" s="111">
        <f t="array" ref="EF120">VARP(IF(INDEX(properties!A$1:CB$87,'Fórmula'!B120,41)&lt;&gt;"",INDEX(properties!A$1:CB$87,'Fórmula'!B120,41)),IF(INDEX(properties!A$1:CB$87,'Fórmula'!D120,41)&lt;&gt;"",INDEX(properties!A$1:CB$87,'Fórmula'!D120,41)),IF(INDEX(properties!A$1:CB$87,'Fórmula'!F120,41)&lt;&gt;"",INDEX(properties!A$1:CB$87,'Fórmula'!F120,41)),IF(INDEX(properties!A$1:CB$87,'Fórmula'!H120,41)&lt;&gt;"",INDEX(properties!A$1:CB$87,'Fórmula'!H120,41)),IF(INDEX(properties!A$1:CB$87,'Fórmula'!J120,41)&lt;&gt;"",INDEX(properties!A$1:CB$87,'Fórmula'!J120,41)))</f>
        <v>0.238336</v>
      </c>
      <c r="EG120" s="122">
        <f t="array" ref="EG120">MAX(INDEX(properties!A$1:CB$87,'Fórmula'!B120,41),INDEX(properties!A$1:CB$87,'Fórmula'!D120,41),INDEX(properties!A$1:CB$87,'Fórmula'!F120,41),INDEX(properties!A$1:CB$87,'Fórmula'!H120,41),INDEX(properties!A$1:CB$87,'Fórmula'!J120,41))</f>
        <v>1.32</v>
      </c>
      <c r="EH120" s="122">
        <f t="array" ref="EH120">MIN(IF(INDEX(properties!A$1:CB$87,'Fórmula'!B120,41)=0,10^6,INDEX(properties!A$1:CB$87,'Fórmula'!B120,41)),IF(INDEX(properties!A$1:CB$87,'Fórmula'!D120,41)=0,10^6,INDEX(properties!A$1:CB$87,'Fórmula'!D120,41)),IF(INDEX(properties!A$1:CB$87,'Fórmula'!F120,41)=0,10^6,INDEX(properties!A$1:CB$87,'Fórmula'!F120,41)),IF(INDEX(properties!A$1:CB$87,'Fórmula'!H120,41)=0,10^6,INDEX(properties!A$1:CB$87,'Fórmula'!H120,41)),IF(INDEX(properties!A$1:CB$87,'Fórmula'!J120,41)=0,10^6,INDEX(properties!A$1:CB$87,'Fórmula'!J120,41)))</f>
        <v>0.68</v>
      </c>
      <c r="EI120" s="111">
        <f t="shared" si="23"/>
        <v>0.64</v>
      </c>
      <c r="EJ120" s="112">
        <f t="array" ref="EJ120">(('Fórmula'!C120)/('Fórmula'!C120+'Fórmula'!E120+'Fórmula'!G120+'Fórmula'!I120+'Fórmula'!K120))*(INDEX(properties!A$1:CB$87,'Fórmula'!B120,45))+(('Fórmula'!E120)/('Fórmula'!C120+'Fórmula'!E120+'Fórmula'!G120+'Fórmula'!I120+'Fórmula'!K120))*(INDEX(properties!A$1:CB$87,'Fórmula'!D120,45))+(('Fórmula'!G120)/('Fórmula'!C120+'Fórmula'!E120+'Fórmula'!G120+'Fórmula'!I120+'Fórmula'!K120))*(INDEX(properties!A$1:CB$87,'Fórmula'!F120,45))+(('Fórmula'!I120)/('Fórmula'!C120+'Fórmula'!E120+'Fórmula'!G120+'Fórmula'!I120+'Fórmula'!K120))*(INDEX(properties!A$1:CB$87,'Fórmula'!H120,45))+(('Fórmula'!K120)/('Fórmula'!C120+'Fórmula'!E120+'Fórmula'!G120+'Fórmula'!I120+'Fórmula'!K120))*(INDEX(properties!A$1:CB$87,'Fórmula'!J120,45))</f>
        <v>1.595555556</v>
      </c>
      <c r="EK120" s="112">
        <f t="array" ref="EK120">'Fórmula'!C120*(INDEX(properties!A$1:CB$87,'Fórmula'!B120,45))+'Fórmula'!E120*(INDEX(properties!A$1:CB$87,'Fórmula'!D120,45))+'Fórmula'!G120*(INDEX(properties!A$1:CB$87,'Fórmula'!F120,45))+'Fórmula'!I120*(INDEX(properties!A$1:CB$87,'Fórmula'!H120,45))+'Fórmula'!K120*(INDEX(properties!A$1:CB$87,'Fórmula'!J120,45))</f>
        <v>14.36</v>
      </c>
      <c r="EL120" s="112">
        <f t="array" ref="EL120">VARP(IF(INDEX(properties!A$1:CB$87,'Fórmula'!B120,45)&lt;&gt;"",INDEX(properties!A$1:CB$87,'Fórmula'!B120,45)),IF(INDEX(properties!A$1:CB$87,'Fórmula'!D120,45)&lt;&gt;"",INDEX(properties!A$1:CB$87,'Fórmula'!D120,45)),IF(INDEX(properties!A$1:CB$87,'Fórmula'!F120,45)&lt;&gt;"",INDEX(properties!A$1:CB$87,'Fórmula'!F120,45)),IF(INDEX(properties!A$1:CB$87,'Fórmula'!H120,45)&lt;&gt;"",INDEX(properties!A$1:CB$87,'Fórmula'!H120,45)),IF(INDEX(properties!A$1:CB$87,'Fórmula'!J120,45)&lt;&gt;"",INDEX(properties!A$1:CB$87,'Fórmula'!J120,45)))</f>
        <v>2.289784</v>
      </c>
      <c r="EM120" s="123">
        <f t="array" ref="EM120">MAX(INDEX(properties!A$1:CB$87,'Fórmula'!B120,45),INDEX(properties!A$1:CB$87,'Fórmula'!D120,45),INDEX(properties!A$1:CB$87,'Fórmula'!F120,45),INDEX(properties!A$1:CB$87,'Fórmula'!H120,45),INDEX(properties!A$1:CB$87,'Fórmula'!J120,45))</f>
        <v>3.91</v>
      </c>
      <c r="EN120" s="123">
        <f t="array" ref="EN120">MIN(IF(INDEX(properties!A$1:CB$87,'Fórmula'!B120,45)=0,10^6,INDEX(properties!A$1:CB$87,'Fórmula'!B120,45)),IF(INDEX(properties!A$1:CB$87,'Fórmula'!D120,45)=0,10^6,INDEX(properties!A$1:CB$87,'Fórmula'!D120,45)),IF(INDEX(properties!A$1:CB$87,'Fórmula'!F120,45)=0,10^6,INDEX(properties!A$1:CB$87,'Fórmula'!F120,45)),IF(INDEX(properties!A$1:CB$87,'Fórmula'!H120,45)=0,10^6,INDEX(properties!A$1:CB$87,'Fórmula'!H120,45)),IF(INDEX(properties!A$1:CB$87,'Fórmula'!J120,45)=0,10^6,INDEX(properties!A$1:CB$87,'Fórmula'!J120,45)))</f>
        <v>0.47</v>
      </c>
      <c r="EO120" s="112">
        <f t="shared" si="24"/>
        <v>3.44</v>
      </c>
      <c r="EP120" s="113">
        <f t="array" ref="EP120">(('Fórmula'!C120)/('Fórmula'!C120+'Fórmula'!E120+'Fórmula'!G120+'Fórmula'!I120+'Fórmula'!K120))*(INDEX(properties!A$1:CB$87,'Fórmula'!B120,46))+(('Fórmula'!E120)/('Fórmula'!C120+'Fórmula'!E120+'Fórmula'!G120+'Fórmula'!I120+'Fórmula'!K120))*(INDEX(properties!A$1:CB$87,'Fórmula'!D120,46))+(('Fórmula'!G120)/('Fórmula'!C120+'Fórmula'!E120+'Fórmula'!G120+'Fórmula'!I120+'Fórmula'!K120))*(INDEX(properties!A$1:CB$87,'Fórmula'!F120,46))+(('Fórmula'!I120)/('Fórmula'!C120+'Fórmula'!E120+'Fórmula'!G120+'Fórmula'!I120+'Fórmula'!K120))*(INDEX(properties!A$1:CB$87,'Fórmula'!H120,46))+(('Fórmula'!K120)/('Fórmula'!C120+'Fórmula'!E120+'Fórmula'!G120+'Fórmula'!I120+'Fórmula'!K120))*(INDEX(properties!A$1:CB$87,'Fórmula'!J120,46))</f>
        <v>1.144444444</v>
      </c>
      <c r="EQ120" s="113">
        <f t="array" ref="EQ120">'Fórmula'!C120*(INDEX(properties!A$1:CB$87,'Fórmula'!B120,46))+'Fórmula'!E120*(INDEX(properties!A$1:CB$87,'Fórmula'!D120,46))+'Fórmula'!G120*(INDEX(properties!A$1:CB$87,'Fórmula'!F120,46))+'Fórmula'!I120*(INDEX(properties!A$1:CB$87,'Fórmula'!H120,46))+'Fórmula'!K120*(INDEX(properties!A$1:CB$87,'Fórmula'!J120,46))</f>
        <v>10.3</v>
      </c>
      <c r="ER120" s="113">
        <f t="array" ref="ER120">VARP(IF(INDEX(properties!A$1:CB$87,'Fórmula'!B120,46)&lt;&gt;"",INDEX(properties!A$1:CB$87,'Fórmula'!B120,46)),IF(INDEX(properties!A$1:CB$87,'Fórmula'!D120,46)&lt;&gt;"",INDEX(properties!A$1:CB$87,'Fórmula'!D120,46)),IF(INDEX(properties!A$1:CB$87,'Fórmula'!F120,46)&lt;&gt;"",INDEX(properties!A$1:CB$87,'Fórmula'!F120,46)),IF(INDEX(properties!A$1:CB$87,'Fórmula'!H120,46)&lt;&gt;"",INDEX(properties!A$1:CB$87,'Fórmula'!H120,46)),IF(INDEX(properties!A$1:CB$87,'Fórmula'!J120,46)&lt;&gt;"",INDEX(properties!A$1:CB$87,'Fórmula'!J120,46)))</f>
        <v>0.245176</v>
      </c>
      <c r="ES120" s="124">
        <f t="array" ref="ES120">MAX(INDEX(properties!A$1:CB$87,'Fórmula'!B120,46),INDEX(properties!A$1:CB$87,'Fórmula'!D120,46),INDEX(properties!A$1:CB$87,'Fórmula'!F120,46),INDEX(properties!A$1:CB$87,'Fórmula'!H120,46),INDEX(properties!A$1:CB$87,'Fórmula'!J120,46))</f>
        <v>1.32</v>
      </c>
      <c r="ET120" s="124">
        <f t="array" ref="ET120">MIN(IF(INDEX(properties!A$1:CB$87,'Fórmula'!B120,46)=0,10^6,INDEX(properties!A$1:CB$87,'Fórmula'!B120,46)),IF(INDEX(properties!A$1:CB$87,'Fórmula'!D120,46)=0,10^6,INDEX(properties!A$1:CB$87,'Fórmula'!D120,46)),IF(INDEX(properties!A$1:CB$87,'Fórmula'!F120,46)=0,10^6,INDEX(properties!A$1:CB$87,'Fórmula'!F120,46)),IF(INDEX(properties!A$1:CB$87,'Fórmula'!H120,46)=0,10^6,INDEX(properties!A$1:CB$87,'Fórmula'!H120,46)),IF(INDEX(properties!A$1:CB$87,'Fórmula'!J120,46)=0,10^6,INDEX(properties!A$1:CB$87,'Fórmula'!J120,46)))</f>
        <v>0.53</v>
      </c>
      <c r="EU120" s="113">
        <f t="shared" si="25"/>
        <v>0.79</v>
      </c>
      <c r="EV120" s="114">
        <f t="array" ref="EV120">(('Fórmula'!C120)/('Fórmula'!C120+'Fórmula'!E120+'Fórmula'!G120+'Fórmula'!I120+'Fórmula'!K120))*(INDEX(properties!A$1:CB$87,'Fórmula'!B120,52))+(('Fórmula'!E120)/('Fórmula'!C120+'Fórmula'!E120+'Fórmula'!G120+'Fórmula'!I120+'Fórmula'!K120))*(INDEX(properties!A$1:CB$87,'Fórmula'!D120,52))+(('Fórmula'!G120)/('Fórmula'!C120+'Fórmula'!E120+'Fórmula'!G120+'Fórmula'!I120+'Fórmula'!K120))*(INDEX(properties!A$1:CB$87,'Fórmula'!F120,52))+(('Fórmula'!I120)/('Fórmula'!C120+'Fórmula'!E120+'Fórmula'!G120+'Fórmula'!I120+'Fórmula'!K120))*(INDEX(properties!A$1:CB$87,'Fórmula'!H120,52))+(('Fórmula'!K120)/('Fórmula'!C120+'Fórmula'!E120+'Fórmula'!G120+'Fórmula'!I120+'Fórmula'!K120))*(INDEX(properties!A$1:CB$87,'Fórmula'!J120,52))</f>
        <v>10.10722222</v>
      </c>
      <c r="EW120" s="114">
        <f t="array" ref="EW120">'Fórmula'!C120*(INDEX(properties!A$1:CB$87,'Fórmula'!B120,52))+'Fórmula'!E120*(INDEX(properties!A$1:CB$87,'Fórmula'!D120,52))+'Fórmula'!G120*(INDEX(properties!A$1:CB$87,'Fórmula'!F120,52))+'Fórmula'!I120*(INDEX(properties!A$1:CB$87,'Fórmula'!H120,52))+'Fórmula'!K120*(INDEX(properties!A$1:CB$87,'Fórmula'!J120,52))</f>
        <v>90.965</v>
      </c>
      <c r="EX120" s="114">
        <f t="array" ref="EX120">VARP(IF(INDEX(properties!A$1:CB$87,'Fórmula'!B120,52)&lt;&gt;"",INDEX(properties!A$1:CB$87,'Fórmula'!B120,52)),IF(INDEX(properties!A$1:CB$87,'Fórmula'!D120,52)&lt;&gt;"",INDEX(properties!A$1:CB$87,'Fórmula'!D120,52)),IF(INDEX(properties!A$1:CB$87,'Fórmula'!F120,52)&lt;&gt;"",INDEX(properties!A$1:CB$87,'Fórmula'!F120,52)),IF(INDEX(properties!A$1:CB$87,'Fórmula'!H120,52)&lt;&gt;"",INDEX(properties!A$1:CB$87,'Fórmula'!H120,52)),IF(INDEX(properties!A$1:CB$87,'Fórmula'!J120,52)&lt;&gt;"",INDEX(properties!A$1:CB$87,'Fórmula'!J120,52)))</f>
        <v>131.7778798</v>
      </c>
      <c r="EY120" s="114">
        <f t="array" ref="EY120">MAX(INDEX(properties!A$1:CB$87,'Fórmula'!B120,52),INDEX(properties!A$1:CB$87,'Fórmula'!D120,52),INDEX(properties!A$1:CB$87,'Fórmula'!F120,52),INDEX(properties!A$1:CB$87,'Fórmula'!H120,52),INDEX(properties!A$1:CB$87,'Fórmula'!J120,52))</f>
        <v>27.6</v>
      </c>
      <c r="EZ120" s="114">
        <f t="array" ref="EZ120">MIN(IF(INDEX(properties!A$1:CB$87,'Fórmula'!B120,52)=0,10^6,INDEX(properties!A$1:CB$87,'Fórmula'!B120,52)),IF(INDEX(properties!A$1:CB$87,'Fórmula'!D120,52)=0,10^6,INDEX(properties!A$1:CB$87,'Fórmula'!D120,52)),IF(INDEX(properties!A$1:CB$87,'Fórmula'!F120,52)=0,10^6,INDEX(properties!A$1:CB$87,'Fórmula'!F120,52)),IF(INDEX(properties!A$1:CB$87,'Fórmula'!H120,52)=0,10^6,INDEX(properties!A$1:CB$87,'Fórmula'!H120,52)),IF(INDEX(properties!A$1:CB$87,'Fórmula'!J120,52)=0,10^6,INDEX(properties!A$1:CB$87,'Fórmula'!J120,52)))</f>
        <v>0.793</v>
      </c>
      <c r="FA120" s="114">
        <f t="shared" si="26"/>
        <v>26.807</v>
      </c>
      <c r="FB120" s="115">
        <f t="array" ref="FB120">(('Fórmula'!C120)/('Fórmula'!C120+'Fórmula'!E120+'Fórmula'!G120+'Fórmula'!I120+'Fórmula'!K120))*(INDEX(properties!A$1:CB$87,'Fórmula'!B120,53))+(('Fórmula'!E120)/('Fórmula'!C120+'Fórmula'!E120+'Fórmula'!G120+'Fórmula'!I120+'Fórmula'!K120))*(INDEX(properties!A$1:CB$87,'Fórmula'!D120,53))+(('Fórmula'!G120)/('Fórmula'!C120+'Fórmula'!E120+'Fórmula'!G120+'Fórmula'!I120+'Fórmula'!K120))*(INDEX(properties!A$1:CB$87,'Fórmula'!F120,53))+(('Fórmula'!I120)/('Fórmula'!C120+'Fórmula'!E120+'Fórmula'!G120+'Fórmula'!I120+'Fórmula'!K120))*(INDEX(properties!A$1:CB$87,'Fórmula'!H120,53))+(('Fórmula'!K120)/('Fórmula'!C120+'Fórmula'!E120+'Fórmula'!G120+'Fórmula'!I120+'Fórmula'!K120))*(INDEX(properties!A$1:CB$87,'Fórmula'!J120,53))</f>
        <v>541.9277778</v>
      </c>
      <c r="FC120" s="115">
        <f t="array" ref="FC120">'Fórmula'!C120*(INDEX(properties!A$1:CB$87,'Fórmula'!B120,53))+'Fórmula'!E120*(INDEX(properties!A$1:CB$87,'Fórmula'!D120,53))+'Fórmula'!G120*(INDEX(properties!A$1:CB$87,'Fórmula'!F120,53))+'Fórmula'!I120*(INDEX(properties!A$1:CB$87,'Fórmula'!H120,53))+'Fórmula'!K120*(INDEX(properties!A$1:CB$87,'Fórmula'!J120,53))</f>
        <v>4877.35</v>
      </c>
      <c r="FD120" s="115">
        <f t="array" ref="FD120">VARP(IF(INDEX(properties!A$1:CB$87,'Fórmula'!B120,53)&lt;&gt;"",INDEX(properties!A$1:CB$87,'Fórmula'!B120,53)),IF(INDEX(properties!A$1:CB$87,'Fórmula'!D120,53)&lt;&gt;"",INDEX(properties!A$1:CB$87,'Fórmula'!D120,53)),IF(INDEX(properties!A$1:CB$87,'Fórmula'!F120,53)&lt;&gt;"",INDEX(properties!A$1:CB$87,'Fórmula'!F120,53)),IF(INDEX(properties!A$1:CB$87,'Fórmula'!H120,53)&lt;&gt;"",INDEX(properties!A$1:CB$87,'Fórmula'!H120,53)),IF(INDEX(properties!A$1:CB$87,'Fórmula'!J120,53)&lt;&gt;"",INDEX(properties!A$1:CB$87,'Fórmula'!J120,53)))</f>
        <v>372066.8884</v>
      </c>
      <c r="FE120" s="115">
        <f t="array" ref="FE120">MAX(INDEX(properties!A$1:CB$87,'Fórmula'!B120,53),INDEX(properties!A$1:CB$87,'Fórmula'!D120,53),INDEX(properties!A$1:CB$87,'Fórmula'!F120,53),INDEX(properties!A$1:CB$87,'Fórmula'!H120,53),INDEX(properties!A$1:CB$87,'Fórmula'!J120,53))</f>
        <v>1586.15</v>
      </c>
      <c r="FF120" s="115">
        <f t="array" ref="FF120">MIN(IF(INDEX(properties!A$1:CB$87,'Fórmula'!B120,53)=0,10^6,INDEX(properties!A$1:CB$87,'Fórmula'!B120,53)),IF(INDEX(properties!A$1:CB$87,'Fórmula'!D120,53)=0,10^6,INDEX(properties!A$1:CB$87,'Fórmula'!D120,53)),IF(INDEX(properties!A$1:CB$87,'Fórmula'!F120,53)=0,10^6,INDEX(properties!A$1:CB$87,'Fórmula'!F120,53)),IF(INDEX(properties!A$1:CB$87,'Fórmula'!H120,53)=0,10^6,INDEX(properties!A$1:CB$87,'Fórmula'!H120,53)),IF(INDEX(properties!A$1:CB$87,'Fórmula'!J120,53)=0,10^6,INDEX(properties!A$1:CB$87,'Fórmula'!J120,53)))</f>
        <v>54.75</v>
      </c>
      <c r="FG120" s="115">
        <f t="shared" si="27"/>
        <v>1531.4</v>
      </c>
      <c r="FH120" s="117">
        <f t="array" ref="FH120">(('Fórmula'!C120)/('Fórmula'!C120+'Fórmula'!E120+'Fórmula'!G120+'Fórmula'!I120+'Fórmula'!K120))*(INDEX(properties!A$1:CB$87,'Fórmula'!B120,54))+(('Fórmula'!E120)/('Fórmula'!C120+'Fórmula'!E120+'Fórmula'!G120+'Fórmula'!I120+'Fórmula'!K120))*(INDEX(properties!A$1:CB$87,'Fórmula'!D120,54))+(('Fórmula'!G120)/('Fórmula'!C120+'Fórmula'!E120+'Fórmula'!G120+'Fórmula'!I120+'Fórmula'!K120))*(INDEX(properties!A$1:CB$87,'Fórmula'!F120,54))+(('Fórmula'!I120)/('Fórmula'!C120+'Fórmula'!E120+'Fórmula'!G120+'Fórmula'!I120+'Fórmula'!K120))*(INDEX(properties!A$1:CB$87,'Fórmula'!H120,54))+(('Fórmula'!K120)/('Fórmula'!C120+'Fórmula'!E120+'Fórmula'!G120+'Fórmula'!I120+'Fórmula'!K120))*(INDEX(properties!A$1:CB$87,'Fórmula'!J120,54))</f>
        <v>1116.816667</v>
      </c>
      <c r="FI120" s="117">
        <f t="array" ref="FI120">'Fórmula'!C120*(INDEX(properties!A$1:CB$87,'Fórmula'!B120,54))+'Fórmula'!E120*(INDEX(properties!A$1:CB$87,'Fórmula'!D120,54))+'Fórmula'!G120*(INDEX(properties!A$1:CB$87,'Fórmula'!F120,54))+'Fórmula'!I120*(INDEX(properties!A$1:CB$87,'Fórmula'!H120,54))+'Fórmula'!K120*(INDEX(properties!A$1:CB$87,'Fórmula'!J120,54))</f>
        <v>10051.35</v>
      </c>
      <c r="FJ120" s="117">
        <f t="array" ref="FJ120">VARP(IF(INDEX(properties!A$1:CB$87,'Fórmula'!B120,54)&lt;&gt;"",INDEX(properties!A$1:CB$87,'Fórmula'!B120,54)),IF(INDEX(properties!A$1:CB$87,'Fórmula'!D120,54)&lt;&gt;"",INDEX(properties!A$1:CB$87,'Fórmula'!D120,54)),IF(INDEX(properties!A$1:CB$87,'Fórmula'!F120,54)&lt;&gt;"",INDEX(properties!A$1:CB$87,'Fórmula'!F120,54)),IF(INDEX(properties!A$1:CB$87,'Fórmula'!H120,54)&lt;&gt;"",INDEX(properties!A$1:CB$87,'Fórmula'!H120,54)),IF(INDEX(properties!A$1:CB$87,'Fórmula'!J120,54)&lt;&gt;"",INDEX(properties!A$1:CB$87,'Fórmula'!J120,54)))</f>
        <v>1986025.84</v>
      </c>
      <c r="FK120" s="117">
        <f t="array" ref="FK120">MAX(INDEX(properties!A$1:CB$87,'Fórmula'!B120,54),INDEX(properties!A$1:CB$87,'Fórmula'!D120,54),INDEX(properties!A$1:CB$87,'Fórmula'!F120,54),INDEX(properties!A$1:CB$87,'Fórmula'!H120,54),INDEX(properties!A$1:CB$87,'Fórmula'!J120,54))</f>
        <v>3546.15</v>
      </c>
      <c r="FL120" s="117">
        <f t="array" ref="FL120">MIN(IF(INDEX(properties!A$1:CB$87,'Fórmula'!B120,54)=0,10^6,INDEX(properties!A$1:CB$87,'Fórmula'!B120,54)),IF(INDEX(properties!A$1:CB$87,'Fórmula'!D120,54)=0,10^6,INDEX(properties!A$1:CB$87,'Fórmula'!D120,54)),IF(INDEX(properties!A$1:CB$87,'Fórmula'!F120,54)=0,10^6,INDEX(properties!A$1:CB$87,'Fórmula'!F120,54)),IF(INDEX(properties!A$1:CB$87,'Fórmula'!H120,54)=0,10^6,INDEX(properties!A$1:CB$87,'Fórmula'!H120,54)),IF(INDEX(properties!A$1:CB$87,'Fórmula'!J120,54)=0,10^6,INDEX(properties!A$1:CB$87,'Fórmula'!J120,54)))</f>
        <v>90.15</v>
      </c>
      <c r="FM120" s="117">
        <f t="shared" si="28"/>
        <v>3456</v>
      </c>
      <c r="FN120" s="118">
        <f t="array" ref="FN120">(('Fórmula'!C120)/('Fórmula'!C120+'Fórmula'!E120+'Fórmula'!G120+'Fórmula'!I120+'Fórmula'!K120))*(INDEX(properties!A$1:CB$87,'Fórmula'!B120,55))+(('Fórmula'!E120)/('Fórmula'!C120+'Fórmula'!E120+'Fórmula'!G120+'Fórmula'!I120+'Fórmula'!K120))*(INDEX(properties!A$1:CB$87,'Fórmula'!D120,55))+(('Fórmula'!G120)/('Fórmula'!C120+'Fórmula'!E120+'Fórmula'!G120+'Fórmula'!I120+'Fórmula'!K120))*(INDEX(properties!A$1:CB$87,'Fórmula'!F120,55))+(('Fórmula'!I120)/('Fórmula'!C120+'Fórmula'!E120+'Fórmula'!G120+'Fórmula'!I120+'Fórmula'!K120))*(INDEX(properties!A$1:CB$87,'Fórmula'!H120,55))+(('Fórmula'!K120)/('Fórmula'!C120+'Fórmula'!E120+'Fórmula'!G120+'Fórmula'!I120+'Fórmula'!K120))*(INDEX(properties!A$1:CB$87,'Fórmula'!J120,55))</f>
        <v>1.763016667</v>
      </c>
      <c r="FO120" s="118">
        <f t="array" ref="FO120">'Fórmula'!C120*(INDEX(properties!A$1:CB$87,'Fórmula'!B120,55))+'Fórmula'!E120*(INDEX(properties!A$1:CB$87,'Fórmula'!D120,54))+'Fórmula'!G120*(INDEX(properties!A$1:CB$87,'Fórmula'!F120,55))+'Fórmula'!I120*(INDEX(properties!A$1:CB$87,'Fórmula'!H120,55))+'Fórmula'!K120*(INDEX(properties!A$1:CB$87,'Fórmula'!J120,55))</f>
        <v>3324.90715</v>
      </c>
      <c r="FP120" s="118">
        <f t="array" ref="FP120">VARP(IF(INDEX(properties!A$1:CB$87,'Fórmula'!B120,55)&lt;&gt;"",INDEX(properties!A$1:CB$87,'Fórmula'!B120,55)),IF(INDEX(properties!A$1:CB$87,'Fórmula'!D120,55)&lt;&gt;"",INDEX(properties!A$1:CB$87,'Fórmula'!D120,55)),IF(INDEX(properties!A$1:CB$87,'Fórmula'!F120,55)&lt;&gt;"",INDEX(properties!A$1:CB$87,'Fórmula'!F120,55)),IF(INDEX(properties!A$1:CB$87,'Fórmula'!H120,55)&lt;&gt;"",INDEX(properties!A$1:CB$87,'Fórmula'!H120,55)),IF(INDEX(properties!A$1:CB$87,'Fórmula'!J120,55)&lt;&gt;"",INDEX(properties!A$1:CB$87,'Fórmula'!J120,55)))</f>
        <v>8.320550815</v>
      </c>
      <c r="FQ120" s="118">
        <f t="array" ref="FQ120">MAX(INDEX(properties!A$1:CB$87,'Fórmula'!B120,55),INDEX(properties!A$1:CB$87,'Fórmula'!D120,55),INDEX(properties!A$1:CB$87,'Fórmula'!F120,55),INDEX(properties!A$1:CB$87,'Fórmula'!H120,55),INDEX(properties!A$1:CB$87,'Fórmula'!J120,55))</f>
        <v>7.9</v>
      </c>
      <c r="FR120" s="118">
        <f t="array" ref="FR120">MIN(IF(INDEX(properties!A$1:CB$87,'Fórmula'!B120,55)=0,10^6,INDEX(properties!A$1:CB$87,'Fórmula'!B120,55)),IF(INDEX(properties!A$1:CB$87,'Fórmula'!D120,55)=0,10^6,INDEX(properties!A$1:CB$87,'Fórmula'!D120,55)),IF(INDEX(properties!A$1:CB$87,'Fórmula'!F120,55)=0,10^6,INDEX(properties!A$1:CB$87,'Fórmula'!F120,55)),IF(INDEX(properties!A$1:CB$87,'Fórmula'!H120,55)=0,10^6,INDEX(properties!A$1:CB$87,'Fórmula'!H120,55)),IF(INDEX(properties!A$1:CB$87,'Fórmula'!J120,55)=0,10^6,INDEX(properties!A$1:CB$87,'Fórmula'!J120,55)))</f>
        <v>0.00143</v>
      </c>
      <c r="FS120" s="118">
        <f t="shared" si="29"/>
        <v>7.89857</v>
      </c>
      <c r="FT120" s="119">
        <f t="array" ref="FT120">(('Fórmula'!C120)/('Fórmula'!C120+'Fórmula'!E120+'Fórmula'!G120+'Fórmula'!I120+'Fórmula'!K120))*(INDEX(properties!A$1:CB$87,'Fórmula'!B120,56))+(('Fórmula'!E120)/('Fórmula'!C120+'Fórmula'!E120+'Fórmula'!G120+'Fórmula'!I120+'Fórmula'!K120))*(INDEX(properties!A$1:CB$87,'Fórmula'!D120,56))+(('Fórmula'!G120)/('Fórmula'!C120+'Fórmula'!E120+'Fórmula'!G120+'Fórmula'!I120+'Fórmula'!K120))*(INDEX(properties!A$1:CB$87,'Fórmula'!F120,56))+(('Fórmula'!I120)/('Fórmula'!C120+'Fórmula'!E120+'Fórmula'!G120+'Fórmula'!I120+'Fórmula'!K120))*(INDEX(properties!A$1:CB$87,'Fórmula'!H120,56))+(('Fórmula'!K120)/('Fórmula'!C120+'Fórmula'!E120+'Fórmula'!G120+'Fórmula'!I120+'Fórmula'!K120))*(INDEX(properties!A$1:CB$87,'Fórmula'!J120,56))</f>
        <v>0.7033333333</v>
      </c>
      <c r="FU120" s="119">
        <f t="array" ref="FU120">'Fórmula'!C120*(INDEX(properties!A$1:CB$87,'Fórmula'!B120,56))+'Fórmula'!E120*(INDEX(properties!A$1:CB$87,'Fórmula'!D120,56))+'Fórmula'!G120*(INDEX(properties!A$1:CB$87,'Fórmula'!F120,56))+'Fórmula'!I120*(INDEX(properties!A$1:CB$87,'Fórmula'!H120,56))+'Fórmula'!K120*(INDEX(properties!A$1:CB$87,'Fórmula'!J120,56))</f>
        <v>6.33</v>
      </c>
      <c r="FV120" s="119">
        <f t="array" ref="FV120">VARP(IF(INDEX(properties!A$1:CB$87,'Fórmula'!B120,56)&lt;&gt;"",INDEX(properties!A$1:CB$87,'Fórmula'!B120,56)),IF(INDEX(properties!A$1:CB$87,'Fórmula'!D120,56)&lt;&gt;"",INDEX(properties!A$1:CB$87,'Fórmula'!D120,56)),IF(INDEX(properties!A$1:CB$87,'Fórmula'!F120,56)&lt;&gt;"",INDEX(properties!A$1:CB$87,'Fórmula'!F120,56)),IF(INDEX(properties!A$1:CB$87,'Fórmula'!H120,56)&lt;&gt;"",INDEX(properties!A$1:CB$87,'Fórmula'!H120,56)),IF(INDEX(properties!A$1:CB$87,'Fórmula'!J120,56)&lt;&gt;"",INDEX(properties!A$1:CB$87,'Fórmula'!J120,56)))</f>
        <v>0.13896</v>
      </c>
      <c r="FW120" s="119">
        <f t="array" ref="FW120">MAX(INDEX(properties!A$1:CB$87,'Fórmula'!B120,56),INDEX(properties!A$1:CB$87,'Fórmula'!D120,56),INDEX(properties!A$1:CB$87,'Fórmula'!F120,56),INDEX(properties!A$1:CB$87,'Fórmula'!H120,56),INDEX(properties!A$1:CB$87,'Fórmula'!J120,56))</f>
        <v>0.92</v>
      </c>
      <c r="FX120" s="119">
        <f t="array" ref="FX120">MIN(IF(INDEX(properties!A$1:CB$87,'Fórmula'!B120,56)=0,10^6,INDEX(properties!A$1:CB$87,'Fórmula'!B120,56)),IF(INDEX(properties!A$1:CB$87,'Fórmula'!D120,56)=0,10^6,INDEX(properties!A$1:CB$87,'Fórmula'!D120,56)),IF(INDEX(properties!A$1:CB$87,'Fórmula'!F120,56)=0,10^6,INDEX(properties!A$1:CB$87,'Fórmula'!F120,56)),IF(INDEX(properties!A$1:CB$87,'Fórmula'!H120,56)=0,10^6,INDEX(properties!A$1:CB$87,'Fórmula'!H120,56)),IF(INDEX(properties!A$1:CB$87,'Fórmula'!J120,56)=0,10^6,INDEX(properties!A$1:CB$87,'Fórmula'!J120,56)))</f>
        <v>0.23</v>
      </c>
      <c r="FY120" s="119">
        <f t="shared" si="30"/>
        <v>0.69</v>
      </c>
      <c r="FZ120" s="104">
        <f t="array" ref="FZ120">(('Fórmula'!C120)/('Fórmula'!C120+'Fórmula'!E120+'Fórmula'!G120+'Fórmula'!I120+'Fórmula'!K120))*(INDEX(properties!A$1:CB$87,'Fórmula'!B120,57))+(('Fórmula'!E120)/('Fórmula'!C120+'Fórmula'!E120+'Fórmula'!G120+'Fórmula'!I120+'Fórmula'!K120))*(INDEX(properties!A$1:CB$87,'Fórmula'!D120,57))+(('Fórmula'!G120)/('Fórmula'!C120+'Fórmula'!E120+'Fórmula'!G120+'Fórmula'!I120+'Fórmula'!K120))*(INDEX(properties!A$1:CB$87,'Fórmula'!F120,57))+(('Fórmula'!I120)/('Fórmula'!C120+'Fórmula'!E120+'Fórmula'!G120+'Fórmula'!I120+'Fórmula'!K120))*(INDEX(properties!A$1:CB$87,'Fórmula'!H120,57))+(('Fórmula'!K120)/('Fórmula'!C120+'Fórmula'!E120+'Fórmula'!G120+'Fórmula'!I120+'Fórmula'!K120))*(INDEX(properties!A$1:CB$87,'Fórmula'!J120,57))</f>
        <v>4.283661111</v>
      </c>
      <c r="GA120" s="104">
        <f t="array" ref="GA120">'Fórmula'!C120*(INDEX(properties!A$1:CB$87,'Fórmula'!B120,57))+'Fórmula'!E120*(INDEX(properties!A$1:CB$87,'Fórmula'!D120,57))+'Fórmula'!G120*(INDEX(properties!A$1:CB$87,'Fórmula'!F120,57))+'Fórmula'!I120*(INDEX(properties!A$1:CB$87,'Fórmula'!H120,57))+'Fórmula'!K120*(INDEX(properties!A$1:CB$87,'Fórmula'!J120,57))</f>
        <v>38.55295</v>
      </c>
      <c r="GB120" s="104">
        <f t="array" ref="GB120">VARP(IF(INDEX(properties!A$1:CB$87,'Fórmula'!B120,57)&lt;&gt;"",INDEX(properties!A$1:CB$87,'Fórmula'!B120,57)),IF(INDEX(properties!A$1:CB$87,'Fórmula'!D120,57)&lt;&gt;"",INDEX(properties!A$1:CB$87,'Fórmula'!D120,57)),IF(INDEX(properties!A$1:CB$87,'Fórmula'!F120,57)&lt;&gt;"",INDEX(properties!A$1:CB$87,'Fórmula'!F120,57)),IF(INDEX(properties!A$1:CB$87,'Fórmula'!H120,57)&lt;&gt;"",INDEX(properties!A$1:CB$87,'Fórmula'!H120,57)),IF(INDEX(properties!A$1:CB$87,'Fórmula'!J120,57)&lt;&gt;"",INDEX(properties!A$1:CB$87,'Fórmula'!J120,57)))</f>
        <v>22.7867616</v>
      </c>
      <c r="GC120" s="104">
        <f t="array" ref="GC120">MAX(INDEX(properties!A$1:CB$87,'Fórmula'!B120,57),INDEX(properties!A$1:CB$87,'Fórmula'!D120,57),INDEX(properties!A$1:CB$87,'Fórmula'!F120,57),INDEX(properties!A$1:CB$87,'Fórmula'!H120,57),INDEX(properties!A$1:CB$87,'Fórmula'!J120,57))</f>
        <v>10.79</v>
      </c>
      <c r="GD120" s="104">
        <f t="array" ref="GD120">MIN(IF(INDEX(properties!A$1:CB$87,'Fórmula'!B120,57)=0,10^6,INDEX(properties!A$1:CB$87,'Fórmula'!B120,57)),IF(INDEX(properties!A$1:CB$87,'Fórmula'!D120,57)=0,10^6,INDEX(properties!A$1:CB$87,'Fórmula'!D120,57)),IF(INDEX(properties!A$1:CB$87,'Fórmula'!F120,57)=0,10^6,INDEX(properties!A$1:CB$87,'Fórmula'!F120,57)),IF(INDEX(properties!A$1:CB$87,'Fórmula'!H120,57)=0,10^6,INDEX(properties!A$1:CB$87,'Fórmula'!H120,57)),IF(INDEX(properties!A$1:CB$87,'Fórmula'!J120,57)=0,10^6,INDEX(properties!A$1:CB$87,'Fórmula'!J120,57)))</f>
        <v>0.22259</v>
      </c>
      <c r="GE120" s="104">
        <f t="shared" si="31"/>
        <v>10.56741</v>
      </c>
      <c r="GF120" s="105">
        <f t="array" ref="GF120">(('Fórmula'!C120)/('Fórmula'!C120+'Fórmula'!E120+'Fórmula'!G120+'Fórmula'!I120+'Fórmula'!K120))*(INDEX(properties!A$1:CB$87,'Fórmula'!B120,60))+(('Fórmula'!E120)/('Fórmula'!C120+'Fórmula'!E120+'Fórmula'!G120+'Fórmula'!I120+'Fórmula'!K120))*(INDEX(properties!A$1:CB$87,'Fórmula'!D120,60))+(('Fórmula'!G120)/('Fórmula'!C120+'Fórmula'!E120+'Fórmula'!G120+'Fórmula'!I120+'Fórmula'!K120))*(INDEX(properties!A$1:CB$87,'Fórmula'!F120,60))+(('Fórmula'!I120)/('Fórmula'!C120+'Fórmula'!E120+'Fórmula'!G120+'Fórmula'!I120+'Fórmula'!K120))*(INDEX(properties!A$1:CB$87,'Fórmula'!H120,60))+(('Fórmula'!K120)/('Fórmula'!C120+'Fórmula'!E120+'Fórmula'!G120+'Fórmula'!I120+'Fórmula'!K120))*(INDEX(properties!A$1:CB$87,'Fórmula'!J120,60))</f>
        <v>35.37041111</v>
      </c>
      <c r="GG120" s="105">
        <f t="array" ref="GG120">'Fórmula'!C120*(INDEX(properties!A$1:CB$87,'Fórmula'!B120,60))+'Fórmula'!E120*(INDEX(properties!A$1:CB$87,'Fórmula'!D120,60))+'Fórmula'!G120*(INDEX(properties!A$1:CB$87,'Fórmula'!F120,60))+'Fórmula'!I120*(INDEX(properties!A$1:CB$87,'Fórmula'!H120,60))+'Fórmula'!K120*(INDEX(properties!A$1:CB$87,'Fórmula'!J120,60))</f>
        <v>318.3337</v>
      </c>
      <c r="GH120" s="105">
        <f t="array" ref="GH120">VARP(IF(INDEX(properties!A$1:CB$87,'Fórmula'!B120,60)&lt;&gt;"",INDEX(properties!A$1:CB$87,'Fórmula'!B120,60)),IF(INDEX(properties!A$1:CB$87,'Fórmula'!D120,60)&lt;&gt;"",INDEX(properties!A$1:CB$87,'Fórmula'!D120,60)),IF(INDEX(properties!A$1:CB$87,'Fórmula'!F120,60)&lt;&gt;"",INDEX(properties!A$1:CB$87,'Fórmula'!F120,60)),IF(INDEX(properties!A$1:CB$87,'Fórmula'!H120,60)&lt;&gt;"",INDEX(properties!A$1:CB$87,'Fórmula'!H120,60)),IF(INDEX(properties!A$1:CB$87,'Fórmula'!J120,60)&lt;&gt;"",INDEX(properties!A$1:CB$87,'Fórmula'!J120,60)))</f>
        <v>8303.588535</v>
      </c>
      <c r="GI120" s="105">
        <f t="array" ref="GI120">MAX(INDEX(properties!A$1:CB$87,'Fórmula'!B120,60),INDEX(properties!A$1:CB$87,'Fórmula'!D120,60),INDEX(properties!A$1:CB$87,'Fórmula'!F120,60),INDEX(properties!A$1:CB$87,'Fórmula'!H120,60),INDEX(properties!A$1:CB$87,'Fórmula'!J120,60))</f>
        <v>237</v>
      </c>
      <c r="GJ120" s="105">
        <f t="array" ref="GJ120">MIN(IF(INDEX(properties!A$1:CB$87,'Fórmula'!B120,60)=0,10^6,INDEX(properties!A$1:CB$87,'Fórmula'!B120,60)),IF(INDEX(properties!A$1:CB$87,'Fórmula'!D120,60)=0,10^6,INDEX(properties!A$1:CB$87,'Fórmula'!D120,60)),IF(INDEX(properties!A$1:CB$87,'Fórmula'!F120,60)=0,10^6,INDEX(properties!A$1:CB$87,'Fórmula'!F120,60)),IF(INDEX(properties!A$1:CB$87,'Fórmula'!H120,60)=0,10^6,INDEX(properties!A$1:CB$87,'Fórmula'!H120,60)),IF(INDEX(properties!A$1:CB$87,'Fórmula'!J120,60)=0,10^6,INDEX(properties!A$1:CB$87,'Fórmula'!J120,60)))</f>
        <v>0.02674</v>
      </c>
      <c r="GK120" s="105">
        <f t="shared" si="32"/>
        <v>236.97326</v>
      </c>
      <c r="GL120" s="106">
        <f t="array" ref="GL120">(('Fórmula'!C120)/('Fórmula'!C120+'Fórmula'!E120+'Fórmula'!G120+'Fórmula'!I120+'Fórmula'!K120))*(INDEX(properties!A$1:CB$87,'Fórmula'!B120,62))+(('Fórmula'!E120)/('Fórmula'!C120+'Fórmula'!E120+'Fórmula'!G120+'Fórmula'!I120+'Fórmula'!K120))*(INDEX(properties!A$1:CB$87,'Fórmula'!D120,62))+(('Fórmula'!G120)/('Fórmula'!C120+'Fórmula'!E120+'Fórmula'!G120+'Fórmula'!I120+'Fórmula'!K120))*(INDEX(properties!A$1:CB$87,'Fórmula'!F120,62))+(('Fórmula'!I120)/('Fórmula'!C120+'Fórmula'!E120+'Fórmula'!G120+'Fórmula'!I120+'Fórmula'!K120))*(INDEX(properties!A$1:CB$87,'Fórmula'!H120,62))+(('Fórmula'!K120)/('Fórmula'!C120+'Fórmula'!E120+'Fórmula'!G120+'Fórmula'!I120+'Fórmula'!K120))*(INDEX(properties!A$1:CB$87,'Fórmula'!J120,62))</f>
        <v>2.674444444</v>
      </c>
      <c r="GM120" s="106">
        <f t="array" ref="GM120">'Fórmula'!C120*(INDEX(properties!A$1:CB$87,'Fórmula'!B120,62))+'Fórmula'!E120*(INDEX(properties!A$1:CB$87,'Fórmula'!D120,62))+'Fórmula'!G120*(INDEX(properties!A$1:CB$87,'Fórmula'!F120,62))+'Fórmula'!I120*(INDEX(properties!A$1:CB$87,'Fórmula'!H120,62))+'Fórmula'!K120*(INDEX(properties!A$1:CB$87,'Fórmula'!J120,62))</f>
        <v>24.07</v>
      </c>
      <c r="GN120" s="106">
        <f t="array" ref="GN120">VARP(IF(INDEX(properties!A$1:CB$87,'Fórmula'!B120,62)&lt;&gt;"",INDEX(properties!A$1:CB$87,'Fórmula'!B120,62)),IF(INDEX(properties!A$1:CB$87,'Fórmula'!D120,62)&lt;&gt;"",INDEX(properties!A$1:CB$87,'Fórmula'!D120,62)),IF(INDEX(properties!A$1:CB$87,'Fórmula'!F120,62)&lt;&gt;"",INDEX(properties!A$1:CB$87,'Fórmula'!F120,62)),IF(INDEX(properties!A$1:CB$87,'Fórmula'!H120,62)&lt;&gt;"",INDEX(properties!A$1:CB$87,'Fórmula'!H120,62)),IF(INDEX(properties!A$1:CB$87,'Fórmula'!J120,62)&lt;&gt;"",INDEX(properties!A$1:CB$87,'Fórmula'!J120,62)))</f>
        <v>2.055024</v>
      </c>
      <c r="GO120" s="106">
        <f t="array" ref="GO120">MAX(INDEX(properties!A$1:CB$87,'Fórmula'!B120,62),INDEX(properties!A$1:CB$87,'Fórmula'!D120,62),INDEX(properties!A$1:CB$87,'Fórmula'!F120,62),INDEX(properties!A$1:CB$87,'Fórmula'!H120,62),INDEX(properties!A$1:CB$87,'Fórmula'!J120,62))</f>
        <v>4.14</v>
      </c>
      <c r="GP120" s="106">
        <f t="array" ref="GP120">MIN(IF(INDEX(properties!A$1:CB$87,'Fórmula'!B120,62)=0,10^6,INDEX(properties!A$1:CB$87,'Fórmula'!B120,62)),IF(INDEX(properties!A$1:CB$87,'Fórmula'!D120,62)=0,10^6,INDEX(properties!A$1:CB$87,'Fórmula'!D120,62)),IF(INDEX(properties!A$1:CB$87,'Fórmula'!F120,62)=0,10^6,INDEX(properties!A$1:CB$87,'Fórmula'!F120,62)),IF(INDEX(properties!A$1:CB$87,'Fórmula'!H120,62)=0,10^6,INDEX(properties!A$1:CB$87,'Fórmula'!H120,62)),IF(INDEX(properties!A$1:CB$87,'Fórmula'!J120,62)=0,10^6,INDEX(properties!A$1:CB$87,'Fórmula'!J120,62)))</f>
        <v>1.72</v>
      </c>
      <c r="GQ120" s="106">
        <f t="shared" si="33"/>
        <v>2.42</v>
      </c>
      <c r="GR120" s="106">
        <f>'Fórmula'!Q120</f>
        <v>140</v>
      </c>
      <c r="GS120" s="107">
        <f>'Fórmula'!P120</f>
        <v>2</v>
      </c>
      <c r="GT120" s="113">
        <f>'Fórmula'!O120</f>
        <v>5.58</v>
      </c>
      <c r="GU120" s="114">
        <f>AVERAGE('Fórmula'!R120/'Fórmula'!S120,'Fórmula'!S120/'Fórmula'!T120,'Fórmula'!T120/'Fórmula'!R120)</f>
        <v>1.075668098</v>
      </c>
      <c r="GV120" s="125">
        <f>'Fórmula'!U120</f>
        <v>523.56</v>
      </c>
      <c r="GW120" s="106">
        <f>'Fórmula'!N120</f>
        <v>0.04</v>
      </c>
    </row>
    <row r="121" ht="14.25" customHeight="1">
      <c r="A121" s="99" t="str">
        <f>'Fórmula'!A121</f>
        <v>LaVO4</v>
      </c>
      <c r="B121" s="101">
        <f t="array" ref="B121">(('Fórmula'!C121)/('Fórmula'!C121+'Fórmula'!E121+'Fórmula'!G121+'Fórmula'!I121+'Fórmula'!K121))*(INDEX(properties!A$1:CB$87,'Fórmula'!B121,3))+(('Fórmula'!E121)/('Fórmula'!C121+'Fórmula'!E121+'Fórmula'!G121+'Fórmula'!I121+'Fórmula'!K121))*(INDEX(properties!A$1:CB$87,'Fórmula'!D121,3))+(('Fórmula'!G121)/('Fórmula'!C121+'Fórmula'!E121+'Fórmula'!G121+'Fórmula'!I121+'Fórmula'!K121))*(INDEX(properties!A$1:CB$87,'Fórmula'!F121,3))+(('Fórmula'!I121)/('Fórmula'!C121+'Fórmula'!E121+'Fórmula'!G121+'Fórmula'!I121+'Fórmula'!K121))*(INDEX(properties!A$1:CB$87,'Fórmula'!H121,3))+(('Fórmula'!K121)/('Fórmula'!C121+'Fórmula'!E121+'Fórmula'!G121+'Fórmula'!I121+'Fórmula'!K121))*(INDEX(properties!A$1:CB$87,'Fórmula'!J121,3))</f>
        <v>42.30743333</v>
      </c>
      <c r="C121" s="101">
        <f t="array" ref="C121">'Fórmula'!C121*(INDEX(properties!A$1:CB$87,'Fórmula'!B121,3))+'Fórmula'!E121*(INDEX(properties!A$1:CB$87,'Fórmula'!D121,3))+'Fórmula'!G121*(INDEX(properties!A$1:CB$87,'Fórmula'!F121,3))+'Fórmula'!I121*(INDEX(properties!A$1:CB$87,'Fórmula'!H121,3))+'Fórmula'!K121*(INDEX(properties!A$1:CB$87,'Fórmula'!J121,3))</f>
        <v>253.8446</v>
      </c>
      <c r="D121" s="101">
        <f t="array" ref="D121">VARP(IF(INDEX(properties!A$1:CB$87,'Fórmula'!B121,3)&lt;&gt;"",INDEX(properties!A$1:CB$87,'Fórmula'!B121,3)),IF(INDEX(properties!A$1:CB$87,'Fórmula'!D121,3)&lt;&gt;"",INDEX(properties!A$1:CB$87,'Fórmula'!D121,3)),IF(INDEX(properties!A$1:CB$87,'Fórmula'!F121,3)&lt;&gt;"",INDEX(properties!A$1:CB$87,'Fórmula'!F121,3)),IF(INDEX(properties!A$1:CB$87,'Fórmula'!H121,3)&lt;&gt;"",INDEX(properties!A$1:CB$87,'Fórmula'!H121,3)),IF(INDEX(properties!A$1:CB$87,'Fórmula'!J121,3)&lt;&gt;"",INDEX(properties!A$1:CB$87,'Fórmula'!J121,3)))</f>
        <v>2734.241415</v>
      </c>
      <c r="E121" s="101">
        <f t="array" ref="E121">MAX(INDEX(properties!A$1:CB$87,'Fórmula'!B121,3),INDEX(properties!A$1:CB$87,'Fórmula'!D121,3),INDEX(properties!A$1:CB$87,'Fórmula'!F121,3),INDEX(properties!A$1:CB$87,'Fórmula'!H121,3),INDEX(properties!A$1:CB$87,'Fórmula'!J121,3))</f>
        <v>138.9055</v>
      </c>
      <c r="F121" s="101">
        <f t="array" ref="F121">MIN(IF(INDEX(properties!A$1:CB$87,'Fórmula'!B121,3)=0,10^6,INDEX(properties!A$1:CB$87,'Fórmula'!B121,3)),IF(INDEX(properties!A$1:CB$87,'Fórmula'!D121,3)=0,10^6,INDEX(properties!A$1:CB$87,'Fórmula'!D121,3)),IF(INDEX(properties!A$1:CB$87,'Fórmula'!F121,3)=0,10^6,INDEX(properties!A$1:CB$87,'Fórmula'!F121,3)),IF(INDEX(properties!A$1:CB$87,'Fórmula'!H121,3)=0,10^6,INDEX(properties!A$1:CB$87,'Fórmula'!H121,3)),IF(INDEX(properties!A$1:CB$87,'Fórmula'!J121,3)=0,10^6,INDEX(properties!A$1:CB$87,'Fórmula'!J121,3)))</f>
        <v>15.9994</v>
      </c>
      <c r="G121" s="101">
        <f t="shared" si="1"/>
        <v>122.9061</v>
      </c>
      <c r="H121" s="102">
        <f t="array" ref="H121">(('Fórmula'!C121)/('Fórmula'!C121+'Fórmula'!E121+'Fórmula'!G121+'Fórmula'!I121+'Fórmula'!K121))*(INDEX(properties!A$1:CB$87,'Fórmula'!B121,4))+(('Fórmula'!E121)/('Fórmula'!C121+'Fórmula'!E121+'Fórmula'!G121+'Fórmula'!I121+'Fórmula'!K121))*(INDEX(properties!A$1:CB$87,'Fórmula'!D121,4))+(('Fórmula'!G121)/('Fórmula'!C121+'Fórmula'!E121+'Fórmula'!G121+'Fórmula'!I121+'Fórmula'!K121))*(INDEX(properties!A$1:CB$87,'Fórmula'!F121,4))+(('Fórmula'!I121)/('Fórmula'!C121+'Fórmula'!E121+'Fórmula'!G121+'Fórmula'!I121+'Fórmula'!K121))*(INDEX(properties!A$1:CB$87,'Fórmula'!H121,4))+(('Fórmula'!K121)/('Fórmula'!C121+'Fórmula'!E121+'Fórmula'!G121+'Fórmula'!I121+'Fórmula'!K121))*(INDEX(properties!A$1:CB$87,'Fórmula'!J121,4))</f>
        <v>18.66666667</v>
      </c>
      <c r="I121" s="102">
        <f t="array" ref="I121">'Fórmula'!C121*(INDEX(properties!A$1:CB$87,'Fórmula'!B121,4))+'Fórmula'!E121*(INDEX(properties!A$1:CB$87,'Fórmula'!D121,4))+'Fórmula'!G121*(INDEX(properties!A$1:CB$87,'Fórmula'!F121,4))+'Fórmula'!I121*(INDEX(properties!A$1:CB$87,'Fórmula'!H121,4))+'Fórmula'!K121*(INDEX(properties!A$1:CB$87,'Fórmula'!J121,4))</f>
        <v>112</v>
      </c>
      <c r="J121" s="102">
        <f t="array" ref="J121">VARP(IF(INDEX(properties!A$1:CB$87,'Fórmula'!B121,4)&lt;&gt;"",INDEX(properties!A$1:CB$87,'Fórmula'!B121,4)),IF(INDEX(properties!A$1:CB$87,'Fórmula'!D121,4)&lt;&gt;"",INDEX(properties!A$1:CB$87,'Fórmula'!D121,4)),IF(INDEX(properties!A$1:CB$87,'Fórmula'!F121,4)&lt;&gt;"",INDEX(properties!A$1:CB$87,'Fórmula'!F121,4)),IF(INDEX(properties!A$1:CB$87,'Fórmula'!H121,4)&lt;&gt;"",INDEX(properties!A$1:CB$87,'Fórmula'!H121,4)),IF(INDEX(properties!A$1:CB$87,'Fórmula'!J121,4)&lt;&gt;"",INDEX(properties!A$1:CB$87,'Fórmula'!J121,4)))</f>
        <v>458.64</v>
      </c>
      <c r="K121" s="102">
        <f t="array" ref="K121">MAX(INDEX(properties!A$1:CB$87,'Fórmula'!B121,4),INDEX(properties!A$1:CB$87,'Fórmula'!D121,4),INDEX(properties!A$1:CB$87,'Fórmula'!F121,4),INDEX(properties!A$1:CB$87,'Fórmula'!H121,4),INDEX(properties!A$1:CB$87,'Fórmula'!J121,4))</f>
        <v>57</v>
      </c>
      <c r="L121" s="102">
        <f t="array" ref="L121">MIN(IF(INDEX(properties!A$1:CB$87,'Fórmula'!B121,4)=0,10^6,INDEX(properties!A$1:CB$87,'Fórmula'!B121,4)),IF(INDEX(properties!A$1:CB$87,'Fórmula'!D121,4)=0,10^6,INDEX(properties!A$1:CB$87,'Fórmula'!D121,4)),IF(INDEX(properties!A$1:CB$87,'Fórmula'!F121,4)=0,10^6,INDEX(properties!A$1:CB$87,'Fórmula'!F121,4)),IF(INDEX(properties!A$1:CB$87,'Fórmula'!H121,4)=0,10^6,INDEX(properties!A$1:CB$87,'Fórmula'!H121,4)),IF(INDEX(properties!A$1:CB$87,'Fórmula'!J121,4)=0,10^6,INDEX(properties!A$1:CB$87,'Fórmula'!J121,4)))</f>
        <v>8</v>
      </c>
      <c r="M121" s="102">
        <f t="shared" si="2"/>
        <v>49</v>
      </c>
      <c r="N121" s="103">
        <f t="array" ref="N121">(('Fórmula'!C121)/('Fórmula'!C121+'Fórmula'!E121+'Fórmula'!G121+'Fórmula'!I121+'Fórmula'!K121))*(INDEX(properties!A$1:CB$87,'Fórmula'!B121,5))+(('Fórmula'!E121)/('Fórmula'!C121+'Fórmula'!E121+'Fórmula'!G121+'Fórmula'!I121+'Fórmula'!K121))*(INDEX(properties!A$1:CB$87,'Fórmula'!D121,5))+(('Fórmula'!G121)/('Fórmula'!C121+'Fórmula'!E121+'Fórmula'!G121+'Fórmula'!I121+'Fórmula'!K121))*(INDEX(properties!A$1:CB$87,'Fórmula'!F121,5))+(('Fórmula'!I121)/('Fórmula'!C121+'Fórmula'!E121+'Fórmula'!G121+'Fórmula'!I121+'Fórmula'!K121))*(INDEX(properties!A$1:CB$87,'Fórmula'!H121,5))+(('Fórmula'!K121)/('Fórmula'!C121+'Fórmula'!E121+'Fórmula'!G121+'Fórmula'!I121+'Fórmula'!K121))*(INDEX(properties!A$1:CB$87,'Fórmula'!J121,5))</f>
        <v>3</v>
      </c>
      <c r="O121" s="103">
        <f t="array" ref="O121">'Fórmula'!C121*(INDEX(properties!A$1:CB$87,'Fórmula'!B121,5))+'Fórmula'!E121*(INDEX(properties!A$1:CB$87,'Fórmula'!D121,5))+'Fórmula'!G121*(INDEX(properties!A$1:CB$87,'Fórmula'!F121,5))+'Fórmula'!I121*(INDEX(properties!A$1:CB$87,'Fórmula'!H121,5))+'Fórmula'!K121*(INDEX(properties!A$1:CB$87,'Fórmula'!J121,5))</f>
        <v>18</v>
      </c>
      <c r="P121" s="103">
        <f t="array" ref="P121">VARP(IF(INDEX(properties!A$1:CB$87,'Fórmula'!B121,5)&lt;&gt;"",INDEX(properties!A$1:CB$87,'Fórmula'!B121,5)),IF(INDEX(properties!A$1:CB$87,'Fórmula'!D121,5)&lt;&gt;"",INDEX(properties!A$1:CB$87,'Fórmula'!D121,5)),IF(INDEX(properties!A$1:CB$87,'Fórmula'!F121,5)&lt;&gt;"",INDEX(properties!A$1:CB$87,'Fórmula'!F121,5)),IF(INDEX(properties!A$1:CB$87,'Fórmula'!H121,5)&lt;&gt;"",INDEX(properties!A$1:CB$87,'Fórmula'!H121,5)),IF(INDEX(properties!A$1:CB$87,'Fórmula'!J121,5)&lt;&gt;"",INDEX(properties!A$1:CB$87,'Fórmula'!J121,5)))</f>
        <v>5.44</v>
      </c>
      <c r="Q121" s="103">
        <f t="array" ref="Q121">MAX(INDEX(properties!A$1:CB$87,'Fórmula'!B121,5),INDEX(properties!A$1:CB$87,'Fórmula'!D121,5),INDEX(properties!A$1:CB$87,'Fórmula'!F121,5),INDEX(properties!A$1:CB$87,'Fórmula'!H121,5),INDEX(properties!A$1:CB$87,'Fórmula'!J121,5))</f>
        <v>6</v>
      </c>
      <c r="R121" s="103">
        <f t="array" ref="R121">MIN(IF(INDEX(properties!A$1:CB$87,'Fórmula'!B121,5)=0,10^6,INDEX(properties!A$1:CB$87,'Fórmula'!B121,5)),IF(INDEX(properties!A$1:CB$87,'Fórmula'!D121,5)=0,10^6,INDEX(properties!A$1:CB$87,'Fórmula'!D121,5)),IF(INDEX(properties!A$1:CB$87,'Fórmula'!F121,5)=0,10^6,INDEX(properties!A$1:CB$87,'Fórmula'!F121,5)),IF(INDEX(properties!A$1:CB$87,'Fórmula'!H121,5)=0,10^6,INDEX(properties!A$1:CB$87,'Fórmula'!H121,5)),IF(INDEX(properties!A$1:CB$87,'Fórmula'!J121,5)=0,10^6,INDEX(properties!A$1:CB$87,'Fórmula'!J121,5)))</f>
        <v>2</v>
      </c>
      <c r="S121" s="103">
        <f t="shared" si="3"/>
        <v>4</v>
      </c>
      <c r="T121" s="104">
        <f t="array" ref="T121">(('Fórmula'!C121)/('Fórmula'!C121+'Fórmula'!E121+'Fórmula'!G121+'Fórmula'!I121+'Fórmula'!K121))*(INDEX(properties!A$1:CB$87,'Fórmula'!B121,6))+(('Fórmula'!E121)/('Fórmula'!C121+'Fórmula'!E121+'Fórmula'!G121+'Fórmula'!I121+'Fórmula'!K121))*(INDEX(properties!A$1:CB$87,'Fórmula'!D121,6))+(('Fórmula'!G121)/('Fórmula'!C121+'Fórmula'!E121+'Fórmula'!G121+'Fórmula'!I121+'Fórmula'!K121))*(INDEX(properties!A$1:CB$87,'Fórmula'!F121,6))+(('Fórmula'!I121)/('Fórmula'!C121+'Fórmula'!E121+'Fórmula'!G121+'Fórmula'!I121+'Fórmula'!K121))*(INDEX(properties!A$1:CB$87,'Fórmula'!H121,6))+(('Fórmula'!K121)/('Fórmula'!C121+'Fórmula'!E121+'Fórmula'!G121+'Fórmula'!I121+'Fórmula'!K121))*(INDEX(properties!A$1:CB$87,'Fórmula'!J121,6))</f>
        <v>12</v>
      </c>
      <c r="U121" s="104">
        <f t="array" ref="U121">'Fórmula'!C121*(INDEX(properties!A$1:CB$87,'Fórmula'!B121,6))+'Fórmula'!E121*(INDEX(properties!A$1:CB$87,'Fórmula'!D121,6))+'Fórmula'!G121*(INDEX(properties!A$1:CB$87,'Fórmula'!F121,6))+'Fórmula'!I121*(INDEX(properties!A$1:CB$87,'Fórmula'!H121,6))+'Fórmula'!K121*(INDEX(properties!A$1:CB$87,'Fórmula'!J121,6))</f>
        <v>72</v>
      </c>
      <c r="V121" s="103">
        <f t="array" ref="V121">VARP(IF(INDEX(properties!A$1:CB$87,'Fórmula'!B121,6)&lt;&gt;"",INDEX(properties!A$1:CB$87,'Fórmula'!B121,6)),IF(INDEX(properties!A$1:CB$87,'Fórmula'!D121,6)&lt;&gt;"",INDEX(properties!A$1:CB$87,'Fórmula'!D121,6)),IF(INDEX(properties!A$1:CB$87,'Fórmula'!F121,6)&lt;&gt;"",INDEX(properties!A$1:CB$87,'Fórmula'!F121,6)),IF(INDEX(properties!A$1:CB$87,'Fórmula'!H121,6)&lt;&gt;"",INDEX(properties!A$1:CB$87,'Fórmula'!H121,6)),IF(INDEX(properties!A$1:CB$87,'Fórmula'!J121,6)&lt;&gt;"",INDEX(properties!A$1:CB$87,'Fórmula'!J121,6)))</f>
        <v>34.96</v>
      </c>
      <c r="W121" s="104">
        <f t="array" ref="W121">MAX(INDEX(properties!A$1:CB$87,'Fórmula'!B121,6),INDEX(properties!A$1:CB$87,'Fórmula'!D121,6),INDEX(properties!A$1:CB$87,'Fórmula'!F121,6),INDEX(properties!A$1:CB$87,'Fórmula'!H121,4),INDEX(properties!A$1:CB$87,'Fórmula'!J121,6))</f>
        <v>16</v>
      </c>
      <c r="X121" s="104">
        <f t="array" ref="X121">MIN(IF(INDEX(properties!A$1:CB$87,'Fórmula'!B121,6)=0,10^6,INDEX(properties!A$1:CB$87,'Fórmula'!B121,6)),IF(INDEX(properties!A$1:CB$87,'Fórmula'!D121,6)=0,10^6,INDEX(properties!A$1:CB$87,'Fórmula'!D121,6)),IF(INDEX(properties!A$1:CB$87,'Fórmula'!F121,6)=0,10^6,INDEX(properties!A$1:CB$87,'Fórmula'!F121,6)),IF(INDEX(properties!A$1:CB$87,'Fórmula'!H121,6)=0,10^6,INDEX(properties!A$1:CB$87,'Fórmula'!H121,6)),IF(INDEX(properties!A$1:CB$87,'Fórmula'!J121,6)=0,10^6,INDEX(properties!A$1:CB$87,'Fórmula'!J121,6)))</f>
        <v>3</v>
      </c>
      <c r="Y121" s="104">
        <f t="shared" si="4"/>
        <v>13</v>
      </c>
      <c r="Z121" s="105">
        <f t="array" ref="Z121">(('Fórmula'!C121)/('Fórmula'!C121+'Fórmula'!E121+'Fórmula'!G121+'Fórmula'!I121+'Fórmula'!K121))*(INDEX(properties!A$1:CB$87,'Fórmula'!B121,9))+(('Fórmula'!E121)/('Fórmula'!C121+'Fórmula'!E121+'Fórmula'!G121+'Fórmula'!I121+'Fórmula'!K121))*(INDEX(properties!A$1:CB$87,'Fórmula'!D121,9))+(('Fórmula'!G121)/('Fórmula'!C121+'Fórmula'!E121+'Fórmula'!G121+'Fórmula'!I121+'Fórmula'!K121))*(INDEX(properties!A$1:CB$87,'Fórmula'!F121,9))+(('Fórmula'!I121)/('Fórmula'!C121+'Fórmula'!E121+'Fórmula'!G121+'Fórmula'!I121+'Fórmula'!K121))*(INDEX(properties!A$1:CB$87,'Fórmula'!H121,9))+(('Fórmula'!K121)/('Fórmula'!C121+'Fórmula'!E121+'Fórmula'!G121+'Fórmula'!I121+'Fórmula'!K121))*(INDEX(properties!A$1:CB$87,'Fórmula'!J121,9))</f>
        <v>67.83333333</v>
      </c>
      <c r="AA121" s="105">
        <f t="array" ref="AA121">'Fórmula'!C121*(INDEX(properties!A$1:CB$87,'Fórmula'!B121,9))+'Fórmula'!E121*(INDEX(properties!A$1:CB$87,'Fórmula'!D121,9))+'Fórmula'!G121*(INDEX(properties!A$1:CB$87,'Fórmula'!F121,9))+'Fórmula'!I121*(INDEX(properties!A$1:CB$87,'Fórmula'!H121,9))+'Fórmula'!K121*(INDEX(properties!A$1:CB$87,'Fórmula'!J121,9))</f>
        <v>407</v>
      </c>
      <c r="AB121" s="105">
        <f t="array" ref="AB121">VARP(IF(INDEX(properties!A$1:CB$87,'Fórmula'!B121,9)&lt;&gt;"",INDEX(properties!A$1:CB$87,'Fórmula'!B121,9)),IF(INDEX(properties!A$1:CB$87,'Fórmula'!D121,9)&lt;&gt;"",INDEX(properties!A$1:CB$87,'Fórmula'!D121,9)),IF(INDEX(properties!A$1:CB$87,'Fórmula'!F121,9)&lt;&gt;"",INDEX(properties!A$1:CB$87,'Fórmula'!F121,9)),IF(INDEX(properties!A$1:CB$87,'Fórmula'!H121,9)&lt;&gt;"",INDEX(properties!A$1:CB$87,'Fórmula'!H121,9)),IF(INDEX(properties!A$1:CB$87,'Fórmula'!J121,9)&lt;&gt;"",INDEX(properties!A$1:CB$87,'Fórmula'!J121,9)))</f>
        <v>1118.16</v>
      </c>
      <c r="AC121" s="105">
        <f t="array" ref="AC121">MAX(INDEX(properties!A$1:CB$87,'Fórmula'!B121,9),INDEX(properties!A$1:CB$87,'Fórmula'!D121,9),INDEX(properties!A$1:CB$87,'Fórmula'!F121,9),INDEX(properties!A$1:CB$87,'Fórmula'!H121,9),INDEX(properties!A$1:CB$87,'Fórmula'!J121,9))</f>
        <v>87</v>
      </c>
      <c r="AD121" s="105">
        <f t="array" ref="AD121">MIN(IF(INDEX(properties!A$1:CB$87,'Fórmula'!B121,9)=0,10^6,INDEX(properties!A$1:CB$87,'Fórmula'!B121,9)),IF(INDEX(properties!A$1:CB$87,'Fórmula'!D121,9)=0,10^6,INDEX(properties!A$1:CB$87,'Fórmula'!D121,9)),IF(INDEX(properties!A$1:CB$87,'Fórmula'!F121,9)=0,10^6,INDEX(properties!A$1:CB$87,'Fórmula'!F121,9)),IF(INDEX(properties!A$1:CB$87,'Fórmula'!H121,9)=0,10^6,INDEX(properties!A$1:CB$87,'Fórmula'!H121,9)),IF(INDEX(properties!A$1:CB$87,'Fórmula'!J121,9)=0,10^6,INDEX(properties!A$1:CB$87,'Fórmula'!J121,9)))</f>
        <v>13</v>
      </c>
      <c r="AE121" s="105">
        <f t="shared" si="5"/>
        <v>74</v>
      </c>
      <c r="AF121" s="106">
        <f t="array" ref="AF121">(('Fórmula'!C121)/('Fórmula'!C121+'Fórmula'!E121+'Fórmula'!G121+'Fórmula'!I121+'Fórmula'!K121))*(INDEX(properties!A$1:CB$87,'Fórmula'!B121,10))+(('Fórmula'!E121)/('Fórmula'!C121+'Fórmula'!E121+'Fórmula'!G121+'Fórmula'!I121+'Fórmula'!K121))*(INDEX(properties!A$1:CB$87,'Fórmula'!D121,10))+(('Fórmula'!G121)/('Fórmula'!C121+'Fórmula'!E121+'Fórmula'!G121+'Fórmula'!I121+'Fórmula'!K121))*(INDEX(properties!A$1:CB$87,'Fórmula'!F121,10))+(('Fórmula'!I121)/('Fórmula'!C121+'Fórmula'!E121+'Fórmula'!G121+'Fórmula'!I121+'Fórmula'!K121))*(INDEX(properties!A$1:CB$87,'Fórmula'!H121,10))+(('Fórmula'!K121)/('Fórmula'!C121+'Fórmula'!E121+'Fórmula'!G121+'Fórmula'!I121+'Fórmula'!K121))*(INDEX(properties!A$1:CB$87,'Fórmula'!J121,10))</f>
        <v>5.833333333</v>
      </c>
      <c r="AG121" s="106">
        <f t="array" ref="AG121">'Fórmula'!C121*(INDEX(properties!A$1:CB$87,'Fórmula'!B121,10))+'Fórmula'!E121*(INDEX(properties!A$1:CB$87,'Fórmula'!D121,10))+'Fórmula'!G121*(INDEX(properties!A$1:CB$87,'Fórmula'!F121,10))+'Fórmula'!I121*(INDEX(properties!A$1:CB$87,'Fórmula'!H121,10))+'Fórmula'!K121*(INDEX(properties!A$1:CB$87,'Fórmula'!J121,10))</f>
        <v>35</v>
      </c>
      <c r="AH121" s="106">
        <f t="array" ref="AH121">VARP(IF(INDEX(properties!A$1:CB$87,'Fórmula'!B121,10)&lt;&gt;"",INDEX(properties!A$1:CB$87,'Fórmula'!B121,10)),IF(INDEX(properties!A$1:CB$87,'Fórmula'!D121,10)&lt;&gt;"",INDEX(properties!A$1:CB$87,'Fórmula'!D121,10)),IF(INDEX(properties!A$1:CB$87,'Fórmula'!F121,10)&lt;&gt;"",INDEX(properties!A$1:CB$87,'Fórmula'!F121,10)),IF(INDEX(properties!A$1:CB$87,'Fórmula'!H121,10)&lt;&gt;"",INDEX(properties!A$1:CB$87,'Fórmula'!H121,10)),IF(INDEX(properties!A$1:CB$87,'Fórmula'!J121,10)&lt;&gt;"",INDEX(properties!A$1:CB$87,'Fórmula'!J121,10)))</f>
        <v>6.96</v>
      </c>
      <c r="AI121" s="106">
        <f t="array" ref="AI121">MAX(INDEX(properties!A$1:CB$87,'Fórmula'!B121,10),INDEX(properties!A$1:CB$87,'Fórmula'!D121,10),INDEX(properties!A$1:CB$87,'Fórmula'!F121,10),INDEX(properties!A$1:CB$87,'Fórmula'!H121,10),INDEX(properties!A$1:CB$87,'Fórmula'!J121,10))</f>
        <v>7</v>
      </c>
      <c r="AJ121" s="106">
        <f t="array" ref="AJ121">MIN(IF(INDEX(properties!A$1:CB$87,'Fórmula'!B121,10)=0,10^6,INDEX(properties!A$1:CB$87,'Fórmula'!B121,10)),IF(INDEX(properties!A$1:CB$87,'Fórmula'!D121,10)=0,10^6,INDEX(properties!A$1:CB$87,'Fórmula'!D121,10)),IF(INDEX(properties!A$1:CB$87,'Fórmula'!F121,10)=0,10^6,INDEX(properties!A$1:CB$87,'Fórmula'!F121,10)),IF(INDEX(properties!A$1:CB$87,'Fórmula'!H121,10)=0,10^6,INDEX(properties!A$1:CB$87,'Fórmula'!H121,10)),IF(INDEX(properties!A$1:CB$87,'Fórmula'!J121,10)=0,10^6,INDEX(properties!A$1:CB$87,'Fórmula'!J121,10)))</f>
        <v>3</v>
      </c>
      <c r="AK121" s="106">
        <f t="shared" si="6"/>
        <v>4</v>
      </c>
      <c r="AL121" s="107">
        <f t="array" ref="AL121">(('Fórmula'!C121)/('Fórmula'!C121+'Fórmula'!E121+'Fórmula'!G121+'Fórmula'!I121+'Fórmula'!K121))*(INDEX(properties!A$1:CB$87,'Fórmula'!B121,11))+(('Fórmula'!E121)/('Fórmula'!C121+'Fórmula'!E121+'Fórmula'!G121+'Fórmula'!I121+'Fórmula'!K121))*(INDEX(properties!A$1:CB$87,'Fórmula'!D121,11))+(('Fórmula'!G121)/('Fórmula'!C121+'Fórmula'!E121+'Fórmula'!G121+'Fórmula'!I121+'Fórmula'!K121))*(INDEX(properties!A$1:CB$87,'Fórmula'!F121,11))+(('Fórmula'!I121)/('Fórmula'!C121+'Fórmula'!E121+'Fórmula'!G121+'Fórmula'!I121+'Fórmula'!K121))*(INDEX(properties!A$1:CB$87,'Fórmula'!H121,11))+(('Fórmula'!K121)/('Fórmula'!C121+'Fórmula'!E121+'Fórmula'!G121+'Fórmula'!I121+'Fórmula'!K121))*(INDEX(properties!A$1:CB$87,'Fórmula'!J121,11))</f>
        <v>2</v>
      </c>
      <c r="AM121" s="107">
        <f t="array" ref="AM121">'Fórmula'!C121*(INDEX(properties!A$1:CB$87,'Fórmula'!B121,11))+'Fórmula'!E121*(INDEX(properties!A$1:CB$87,'Fórmula'!D121,11))+'Fórmula'!G121*(INDEX(properties!A$1:CB$87,'Fórmula'!F121,11))+'Fórmula'!I121*(INDEX(properties!A$1:CB$87,'Fórmula'!H121,11))+'Fórmula'!K121*(INDEX(properties!A$1:CB$87,'Fórmula'!J121,11))</f>
        <v>12</v>
      </c>
      <c r="AN121" s="107">
        <f t="array" ref="AN121">VARP(IF(INDEX(properties!A$1:CB$87,'Fórmula'!B121,11)&lt;&gt;"",INDEX(properties!A$1:CB$87,'Fórmula'!B121,11)),IF(INDEX(properties!A$1:CB$87,'Fórmula'!D121,11)&lt;&gt;"",INDEX(properties!A$1:CB$87,'Fórmula'!D121,11)),IF(INDEX(properties!A$1:CB$87,'Fórmula'!F121,11)&lt;&gt;"",INDEX(properties!A$1:CB$87,'Fórmula'!F121,11)),IF(INDEX(properties!A$1:CB$87,'Fórmula'!H121,11)&lt;&gt;"",INDEX(properties!A$1:CB$87,'Fórmula'!H121,11)),IF(INDEX(properties!A$1:CB$87,'Fórmula'!J121,11)&lt;&gt;"",INDEX(properties!A$1:CB$87,'Fórmula'!J121,11)))</f>
        <v>0.96</v>
      </c>
      <c r="AO121" s="107">
        <f t="array" ref="AO121">MAX(INDEX(properties!A$1:CB$87,'Fórmula'!B121,11),INDEX(properties!A$1:CB$87,'Fórmula'!D121,11),INDEX(properties!A$1:CB$87,'Fórmula'!F121,11),INDEX(properties!A$1:CB$87,'Fórmula'!H121,11),INDEX(properties!A$1:CB$87,'Fórmula'!J121,11))</f>
        <v>2</v>
      </c>
      <c r="AP121" s="107">
        <f t="array" ref="AP121">MIN(IF('Fórmula'!B121=87,10^6,INDEX(properties!A$1:CB$87,'Fórmula'!B121,11)),IF(('Fórmula'!D121)=87,10^6,INDEX(properties!A$1:CB$87,'Fórmula'!D121,11)),IF(('Fórmula'!F121)=87,10^6,INDEX(properties!A$1:CB$87,'Fórmula'!F121,11)),IF(('Fórmula'!H121)=87,10^6,INDEX(properties!A$1:CB$87,'Fórmula'!H121,11)),IF('Fórmula'!J121=87,10^6,INDEX(properties!A$1:CB$87,'Fórmula'!J121,11)))</f>
        <v>2</v>
      </c>
      <c r="AQ121" s="107">
        <f t="shared" si="7"/>
        <v>0</v>
      </c>
      <c r="AR121" s="108">
        <f t="array" ref="AR121">(('Fórmula'!C121)/('Fórmula'!C121+'Fórmula'!E121+'Fórmula'!G121+'Fórmula'!I121+'Fórmula'!K121))*(INDEX(properties!A$1:CB$87,'Fórmula'!B121,12))+(('Fórmula'!E121)/('Fórmula'!C121+'Fórmula'!E121+'Fórmula'!G121+'Fórmula'!I121+'Fórmula'!K121))*(INDEX(properties!A$1:CB$87,'Fórmula'!D121,12))+(('Fórmula'!G121)/('Fórmula'!C121+'Fórmula'!E121+'Fórmula'!G121+'Fórmula'!I121+'Fórmula'!K121))*(INDEX(properties!A$1:CB$87,'Fórmula'!F121,12))+(('Fórmula'!I121)/('Fórmula'!C121+'Fórmula'!E121+'Fórmula'!G121+'Fórmula'!I121+'Fórmula'!K121))*(INDEX(properties!A$1:CB$87,'Fórmula'!H121,12))+(('Fórmula'!K121)/('Fórmula'!C121+'Fórmula'!E121+'Fórmula'!G121+'Fórmula'!I121+'Fórmula'!K121))*(INDEX(properties!A$1:CB$87,'Fórmula'!J121,12))</f>
        <v>2.666666667</v>
      </c>
      <c r="AS121" s="108">
        <f t="array" ref="AS121">'Fórmula'!C121*(INDEX(properties!A$1:CB$87,'Fórmula'!B121,12))+'Fórmula'!E121*(INDEX(properties!A$1:CB$87,'Fórmula'!D121,12))+'Fórmula'!G121*(INDEX(properties!A$1:CB$87,'Fórmula'!F121,12))+'Fórmula'!I121*(INDEX(properties!A$1:CB$87,'Fórmula'!H121,12))+'Fórmula'!K121*(INDEX(properties!A$1:CB$87,'Fórmula'!J121,12))</f>
        <v>16</v>
      </c>
      <c r="AT121" s="108">
        <f t="array" ref="AT121">VARP(IF(INDEX(properties!A$1:CB$87,'Fórmula'!B121,12)&lt;&gt;"",INDEX(properties!A$1:CB$87,'Fórmula'!B121,12)),IF(INDEX(properties!A$1:CB$87,'Fórmula'!D121,12)&lt;&gt;"",INDEX(properties!A$1:CB$87,'Fórmula'!D121,12)),IF(INDEX(properties!A$1:CB$87,'Fórmula'!F121,12)&lt;&gt;"",INDEX(properties!A$1:CB$87,'Fórmula'!F121,12)),IF(INDEX(properties!A$1:CB$87,'Fórmula'!H121,12)&lt;&gt;"",INDEX(properties!A$1:CB$87,'Fórmula'!H121,12)),IF(INDEX(properties!A$1:CB$87,'Fórmula'!J121,12)&lt;&gt;"",INDEX(properties!A$1:CB$87,'Fórmula'!J121,12)))</f>
        <v>2.56</v>
      </c>
      <c r="AU121" s="108">
        <f t="array" ref="AU121">MAX(INDEX(properties!A$1:CB$87,'Fórmula'!B121,12),INDEX(properties!A$1:CB$87,'Fórmula'!D121,12),INDEX(properties!A$1:CB$87,'Fórmula'!F121,12),INDEX(properties!A$1:CB$87,'Fórmula'!H121,12),INDEX(properties!A$1:CB$87,'Fórmula'!J121,12))</f>
        <v>4</v>
      </c>
      <c r="AV121" s="108">
        <f t="array" ref="AV121">MIN(IF('Fórmula'!B121=87,10^6,INDEX(properties!A$1:CB$87,'Fórmula'!B121,12)),IF(('Fórmula'!D121)=87,10^6,INDEX(properties!A$1:CB$87,'Fórmula'!D121,12)),IF(('Fórmula'!F121)=87,10^6,INDEX(properties!A$1:CB$87,'Fórmula'!F121,12)),IF(('Fórmula'!H121)=87,10^6,INDEX(properties!A$1:CB$87,'Fórmula'!H121,12)),IF('Fórmula'!J121=87,10^6,INDEX(properties!A$1:CB$87,'Fórmula'!J121,12)))</f>
        <v>0</v>
      </c>
      <c r="AW121" s="108">
        <f t="shared" si="8"/>
        <v>4</v>
      </c>
      <c r="AX121" s="109">
        <f t="array" ref="AX121">(('Fórmula'!C121)/('Fórmula'!C121+'Fórmula'!E121+'Fórmula'!G121+'Fórmula'!I121+'Fórmula'!K121))*(INDEX(properties!A$1:CB$87,'Fórmula'!B121,13))+(('Fórmula'!E121)/('Fórmula'!C121+'Fórmula'!E121+'Fórmula'!G121+'Fórmula'!I121+'Fórmula'!K121))*(INDEX(properties!A$1:CB$87,'Fórmula'!D121,13))+(('Fórmula'!G121)/('Fórmula'!C121+'Fórmula'!E121+'Fórmula'!G121+'Fórmula'!I121+'Fórmula'!K121))*(INDEX(properties!A$1:CB$87,'Fórmula'!F121,13))+(('Fórmula'!I121)/('Fórmula'!C121+'Fórmula'!E121+'Fórmula'!G121+'Fórmula'!I121+'Fórmula'!K121))*(INDEX(properties!A$1:CB$87,'Fórmula'!H121,13))+(('Fórmula'!K121)/('Fórmula'!C121+'Fórmula'!E121+'Fórmula'!G121+'Fórmula'!I121+'Fórmula'!K121))*(INDEX(properties!A$1:CB$87,'Fórmula'!J121,13))</f>
        <v>0.6666666667</v>
      </c>
      <c r="AY121" s="109">
        <f t="array" ref="AY121">'Fórmula'!C121*(INDEX(properties!A$1:CB$87,'Fórmula'!B121,13))+'Fórmula'!E121*(INDEX(properties!A$1:CB$87,'Fórmula'!D121,13))+'Fórmula'!G121*(INDEX(properties!A$1:CB$87,'Fórmula'!F121,13))+'Fórmula'!I121*(INDEX(properties!A$1:CB$87,'Fórmula'!H121,13))+'Fórmula'!K121*(INDEX(properties!A$1:CB$87,'Fórmula'!J121,13))</f>
        <v>4</v>
      </c>
      <c r="AZ121" s="109">
        <f t="array" ref="AZ121">VARP(IF(INDEX(properties!A$1:CB$87,'Fórmula'!B121,13)&lt;&gt;"",INDEX(properties!A$1:CB$87,'Fórmula'!B121,13)),IF(INDEX(properties!A$1:CB$87,'Fórmula'!D121,13)&lt;&gt;"",INDEX(properties!A$1:CB$87,'Fórmula'!D121,13)),IF(INDEX(properties!A$1:CB$87,'Fórmula'!F121,13)&lt;&gt;"",INDEX(properties!A$1:CB$87,'Fórmula'!F121,13)),IF(INDEX(properties!A$1:CB$87,'Fórmula'!H121,13)&lt;&gt;"",INDEX(properties!A$1:CB$87,'Fórmula'!H121,13)),IF(INDEX(properties!A$1:CB$87,'Fórmula'!J121,13)&lt;&gt;"",INDEX(properties!A$1:CB$87,'Fórmula'!J121,13)))</f>
        <v>1.36</v>
      </c>
      <c r="BA121" s="109">
        <f t="array" ref="BA121">MAX(INDEX(properties!A$1:CB$87,'Fórmula'!B121,13),INDEX(properties!A$1:CB$87,'Fórmula'!D121,13),INDEX(properties!A$1:CB$87,'Fórmula'!F121,13),INDEX(properties!A$1:CB$87,'Fórmula'!H121,13),INDEX(properties!A$1:CB$87,'Fórmula'!J121,13))</f>
        <v>3</v>
      </c>
      <c r="BB121" s="109">
        <f t="array" ref="BB121">MIN(IF('Fórmula'!B121=87,10^6,INDEX(properties!A$1:CB$87,'Fórmula'!B121,13)),IF(('Fórmula'!D121)=87,10^6,INDEX(properties!A$1:CB$87,'Fórmula'!D121,13)),IF(('Fórmula'!F121)=87,10^6,INDEX(properties!A$1:CB$87,'Fórmula'!F121,13)),IF(('Fórmula'!H121)=87,10^6,INDEX(properties!A$1:CB$87,'Fórmula'!H121,13)),IF('Fórmula'!J121=87,10^6,INDEX(properties!A$1:CB$87,'Fórmula'!J121,13)))</f>
        <v>0</v>
      </c>
      <c r="BC121" s="109">
        <f t="shared" si="9"/>
        <v>3</v>
      </c>
      <c r="BD121" s="110">
        <f t="array" ref="BD121">(('Fórmula'!C121)/('Fórmula'!C121+'Fórmula'!E121+'Fórmula'!G121+'Fórmula'!I121+'Fórmula'!K121))*(INDEX(properties!A$1:CB$87,'Fórmula'!B121,14))+(('Fórmula'!E121)/('Fórmula'!C121+'Fórmula'!E121+'Fórmula'!G121+'Fórmula'!I121+'Fórmula'!K121))*(INDEX(properties!A$1:CB$87,'Fórmula'!D121,14))+(('Fórmula'!G121)/('Fórmula'!C121+'Fórmula'!E121+'Fórmula'!G121+'Fórmula'!I121+'Fórmula'!K121))*(INDEX(properties!A$1:CB$87,'Fórmula'!F121,14))+(('Fórmula'!I121)/('Fórmula'!C121+'Fórmula'!E121+'Fórmula'!G121+'Fórmula'!I121+'Fórmula'!K121))*(INDEX(properties!A$1:CB$87,'Fórmula'!H121,14))+(('Fórmula'!K121)/('Fórmula'!C121+'Fórmula'!E121+'Fórmula'!G121+'Fórmula'!I121+'Fórmula'!K121))*(INDEX(properties!A$1:CB$87,'Fórmula'!J121,14))</f>
        <v>0</v>
      </c>
      <c r="BE121" s="110">
        <f t="array" ref="BE121">'Fórmula'!C121*(INDEX(properties!A$1:CB$87,'Fórmula'!B121,14))+'Fórmula'!E121*(INDEX(properties!A$1:CB$87,'Fórmula'!D121,14))+'Fórmula'!G121*(INDEX(properties!A$1:CB$87,'Fórmula'!F121,14))+'Fórmula'!I121*(INDEX(properties!A$1:CB$87,'Fórmula'!H121,14))+'Fórmula'!K121*(INDEX(properties!A$1:CB$87,'Fórmula'!J121,14))</f>
        <v>0</v>
      </c>
      <c r="BF121" s="110">
        <f t="array" ref="BF121">VARP(IF(INDEX(properties!A$1:CB$87,'Fórmula'!B121,14)&lt;&gt;"",INDEX(properties!A$1:CB$87,'Fórmula'!B121,14)),IF(INDEX(properties!A$1:CB$87,'Fórmula'!D121,14)&lt;&gt;"",INDEX(properties!A$1:CB$87,'Fórmula'!D121,14)),IF(INDEX(properties!A$1:CB$87,'Fórmula'!F121,14)&lt;&gt;"",INDEX(properties!A$1:CB$87,'Fórmula'!F121,14)),IF(INDEX(properties!A$1:CB$87,'Fórmula'!H121,14)&lt;&gt;"",INDEX(properties!A$1:CB$87,'Fórmula'!H121,14)),IF(INDEX(properties!A$1:CB$87,'Fórmula'!J121,14)&lt;&gt;"",INDEX(properties!A$1:CB$87,'Fórmula'!J121,14)))</f>
        <v>0</v>
      </c>
      <c r="BG121" s="110">
        <f t="array" ref="BG121">MAX(INDEX(properties!A$1:CB$87,'Fórmula'!B121,14),INDEX(properties!A$1:CB$87,'Fórmula'!D121,14),INDEX(properties!A$1:CB$87,'Fórmula'!F121,14),INDEX(properties!A$1:CB$87,'Fórmula'!H121,14),INDEX(properties!A$1:CB$87,'Fórmula'!J121,14))</f>
        <v>0</v>
      </c>
      <c r="BH121" s="110">
        <f t="array" ref="BH121">MIN(IF('Fórmula'!B121=87,10^6,INDEX(properties!A$1:CB$87,'Fórmula'!B121,14)),IF(('Fórmula'!D121)=87,10^6,INDEX(properties!A$1:CB$87,'Fórmula'!D121,14)),IF(('Fórmula'!F121)=87,10^6,INDEX(properties!A$1:CB$87,'Fórmula'!F121,14)),IF(('Fórmula'!H121)=87,10^6,INDEX(properties!A$1:CB$87,'Fórmula'!H121,14)),IF('Fórmula'!J121=87,10^6,INDEX(properties!A$1:CB$87,'Fórmula'!J121,14)))</f>
        <v>0</v>
      </c>
      <c r="BI121" s="110">
        <f t="shared" si="10"/>
        <v>0</v>
      </c>
      <c r="BJ121" s="111">
        <f t="array" ref="BJ121">(('Fórmula'!C121)/('Fórmula'!C121+'Fórmula'!E121+'Fórmula'!G121+'Fórmula'!I121+'Fórmula'!K121))*(INDEX(properties!A$1:CB$87,'Fórmula'!B121,19))+(('Fórmula'!E121)/('Fórmula'!C121+'Fórmula'!E121+'Fórmula'!G121+'Fórmula'!I121+'Fórmula'!K121))*(INDEX(properties!A$1:CB$87,'Fórmula'!D121,19))+(('Fórmula'!G121)/('Fórmula'!C121+'Fórmula'!E121+'Fórmula'!G121+'Fórmula'!I121+'Fórmula'!K121))*(INDEX(properties!A$1:CB$87,'Fórmula'!F121,19))+(('Fórmula'!I121)/('Fórmula'!C121+'Fórmula'!E121+'Fórmula'!G121+'Fórmula'!I121+'Fórmula'!K121))*(INDEX(properties!A$1:CB$87,'Fórmula'!H121,19))+(('Fórmula'!K121)/('Fórmula'!C121+'Fórmula'!E121+'Fórmula'!G121+'Fórmula'!I121+'Fórmula'!K121))*(INDEX(properties!A$1:CB$87,'Fórmula'!J121,19))</f>
        <v>5.333333333</v>
      </c>
      <c r="BK121" s="111">
        <f t="array" ref="BK121">'Fórmula'!C121*(INDEX(properties!A$1:CB$87,'Fórmula'!B121,19))+'Fórmula'!E121*(INDEX(properties!A$1:CB$87,'Fórmula'!D121,19))+'Fórmula'!G121*(INDEX(properties!A$1:CB$87,'Fórmula'!F121,19))+'Fórmula'!I121*(INDEX(properties!A$1:CB$87,'Fórmula'!H121,19))+'Fórmula'!K121*(INDEX(properties!A$1:CB$87,'Fórmula'!J121,19))</f>
        <v>32</v>
      </c>
      <c r="BL121" s="111">
        <f t="array" ref="BL121">VARP(IF(INDEX(properties!A$1:CB$87,'Fórmula'!B121,19)&lt;&gt;"",INDEX(properties!A$1:CB$87,'Fórmula'!B121,19)),IF(INDEX(properties!A$1:CB$87,'Fórmula'!D121,19)&lt;&gt;"",INDEX(properties!A$1:CB$87,'Fórmula'!D121,19)),IF(INDEX(properties!A$1:CB$87,'Fórmula'!F121,19)&lt;&gt;"",INDEX(properties!A$1:CB$87,'Fórmula'!F121,19)),IF(INDEX(properties!A$1:CB$87,'Fórmula'!H121,19)&lt;&gt;"",INDEX(properties!A$1:CB$87,'Fórmula'!H121,19)),IF(INDEX(properties!A$1:CB$87,'Fórmula'!J121,19)&lt;&gt;"",INDEX(properties!A$1:CB$87,'Fórmula'!J121,19)))</f>
        <v>6.16</v>
      </c>
      <c r="BM121" s="111">
        <f t="array" ref="BM121">MAX(INDEX(properties!A$1:CB$87,'Fórmula'!B121,19),INDEX(properties!A$1:CB$87,'Fórmula'!D121,19),INDEX(properties!A$1:CB$87,'Fórmula'!F121,19),INDEX(properties!A$1:CB$87,'Fórmula'!H121,19),INDEX(properties!A$1:CB$87,'Fórmula'!J121,19))</f>
        <v>6</v>
      </c>
      <c r="BN121" s="111">
        <f t="array" ref="BN121">MIN(IF(INDEX(properties!A$1:CB$87,'Fórmula'!B121,19)=0,10^6,INDEX(properties!A$1:CB$87,'Fórmula'!B121,19)),IF(INDEX(properties!A$1:CB$87,'Fórmula'!D121,19)=0,10^6,INDEX(properties!A$1:CB$87,'Fórmula'!D121,19)),IF(INDEX(properties!A$1:CB$87,'Fórmula'!F121,19)=0,10^6,INDEX(properties!A$1:CB$87,'Fórmula'!F121,19)),IF(INDEX(properties!A$1:CB$87,'Fórmula'!H121,19)=0,10^6,INDEX(properties!A$1:CB$87,'Fórmula'!H121,19)),IF(INDEX(properties!A$1:CB$87,'Fórmula'!J121,19)=0,10^6,INDEX(properties!A$1:CB$87,'Fórmula'!J121,19)))</f>
        <v>3</v>
      </c>
      <c r="BO121" s="111">
        <f t="shared" si="11"/>
        <v>3</v>
      </c>
      <c r="BP121" s="112">
        <f t="array" ref="BP121">(('Fórmula'!C121)/('Fórmula'!C121+'Fórmula'!E121+'Fórmula'!G121+'Fórmula'!I121+'Fórmula'!K121))*(INDEX(properties!A$1:CB$87,'Fórmula'!B121,20))+(('Fórmula'!E121)/('Fórmula'!C121+'Fórmula'!E121+'Fórmula'!G121+'Fórmula'!I121+'Fórmula'!K121))*(INDEX(properties!A$1:CB$87,'Fórmula'!D121,20))+(('Fórmula'!G121)/('Fórmula'!C121+'Fórmula'!E121+'Fórmula'!G121+'Fórmula'!I121+'Fórmula'!K121))*(INDEX(properties!A$1:CB$87,'Fórmula'!F121,20))+(('Fórmula'!I121)/('Fórmula'!C121+'Fórmula'!E121+'Fórmula'!G121+'Fórmula'!I121+'Fórmula'!K121))*(INDEX(properties!A$1:CB$87,'Fórmula'!H121,20))+(('Fórmula'!K121)/('Fórmula'!C121+'Fórmula'!E121+'Fórmula'!G121+'Fórmula'!I121+'Fórmula'!K121))*(INDEX(properties!A$1:CB$87,'Fórmula'!J121,20))</f>
        <v>4.666666667</v>
      </c>
      <c r="BQ121" s="112">
        <f t="array" ref="BQ121">'Fórmula'!C121*(INDEX(properties!A$1:CB$87,'Fórmula'!B121,20))+'Fórmula'!E121*(INDEX(properties!A$1:CB$87,'Fórmula'!D121,20))+'Fórmula'!G121*(INDEX(properties!A$1:CB$87,'Fórmula'!F121,20))+'Fórmula'!I121*(INDEX(properties!A$1:CB$87,'Fórmula'!H121,20))+'Fórmula'!K121*(INDEX(properties!A$1:CB$87,'Fórmula'!J121,20))</f>
        <v>28</v>
      </c>
      <c r="BR121" s="112">
        <f t="array" ref="BR121">VARP(IF(INDEX(properties!A$1:CB$87,'Fórmula'!B121,20)&lt;&gt;"",INDEX(properties!A$1:CB$87,'Fórmula'!B121,20)),IF(INDEX(properties!A$1:CB$87,'Fórmula'!D121,20)&lt;&gt;"",INDEX(properties!A$1:CB$87,'Fórmula'!D121,20)),IF(INDEX(properties!A$1:CB$87,'Fórmula'!F121,20)&lt;&gt;"",INDEX(properties!A$1:CB$87,'Fórmula'!F121,20)),IF(INDEX(properties!A$1:CB$87,'Fórmula'!H121,20)&lt;&gt;"",INDEX(properties!A$1:CB$87,'Fórmula'!H121,20)),IF(INDEX(properties!A$1:CB$87,'Fórmula'!J121,20)&lt;&gt;"",INDEX(properties!A$1:CB$87,'Fórmula'!J121,20)))</f>
        <v>4.8</v>
      </c>
      <c r="BS121" s="112">
        <f t="array" ref="BS121">MAX(INDEX(properties!A$1:CB$87,'Fórmula'!B121,20),INDEX(properties!A$1:CB$87,'Fórmula'!D121,20),INDEX(properties!A$1:CB$87,'Fórmula'!F121,20),INDEX(properties!A$1:CB$87,'Fórmula'!H121,20),INDEX(properties!A$1:CB$87,'Fórmula'!J121,20))</f>
        <v>6</v>
      </c>
      <c r="BT121" s="112">
        <f t="array" ref="BT121">MIN(IF(INDEX(properties!A$1:CB$87,'Fórmula'!B121,20)=0,10^6,INDEX(properties!A$1:CB$87,'Fórmula'!B121,20)),IF(INDEX(properties!A$1:CB$87,'Fórmula'!D121,20)=0,10^6,INDEX(properties!A$1:CB$87,'Fórmula'!D121,20)),IF(INDEX(properties!A$1:CB$87,'Fórmula'!F121,20)=0,10^6,INDEX(properties!A$1:CB$87,'Fórmula'!F121,20)),IF(INDEX(properties!A$1:CB$87,'Fórmula'!H121,20)=0,10^6,INDEX(properties!A$1:CB$87,'Fórmula'!H121,20)),IF(INDEX(properties!A$1:CB$87,'Fórmula'!J121,20)=0,10^6,INDEX(properties!A$1:CB$87,'Fórmula'!J121,20)))</f>
        <v>2</v>
      </c>
      <c r="BU121" s="112">
        <f t="shared" si="12"/>
        <v>4</v>
      </c>
      <c r="BV121" s="113">
        <f t="array" ref="BV121">(('Fórmula'!C121)/('Fórmula'!C121+'Fórmula'!E121+'Fórmula'!G121+'Fórmula'!I121+'Fórmula'!K121))*(INDEX(properties!A$1:CB$87,'Fórmula'!B121,21))+(('Fórmula'!E121)/('Fórmula'!C121+'Fórmula'!E121+'Fórmula'!G121+'Fórmula'!I121+'Fórmula'!K121))*(INDEX(properties!A$1:CB$87,'Fórmula'!D121,21))+(('Fórmula'!G121)/('Fórmula'!C121+'Fórmula'!E121+'Fórmula'!G121+'Fórmula'!I121+'Fórmula'!K121))*(INDEX(properties!A$1:CB$87,'Fórmula'!F121,21))+(('Fórmula'!I121)/('Fórmula'!C121+'Fórmula'!E121+'Fórmula'!G121+'Fórmula'!I121+'Fórmula'!K121))*(INDEX(properties!A$1:CB$87,'Fórmula'!H121,21))+(('Fórmula'!K121)/('Fórmula'!C121+'Fórmula'!E121+'Fórmula'!G121+'Fórmula'!I121+'Fórmula'!K121))*(INDEX(properties!A$1:CB$87,'Fórmula'!J121,21))</f>
        <v>4.666666667</v>
      </c>
      <c r="BW121" s="113">
        <f t="array" ref="BW121">'Fórmula'!C121*(INDEX(properties!A$1:CB$87,'Fórmula'!B121,21))+'Fórmula'!E121*(INDEX(properties!A$1:CB$87,'Fórmula'!D121,21))+'Fórmula'!G121*(INDEX(properties!A$1:CB$87,'Fórmula'!F121,21))+'Fórmula'!I121*(INDEX(properties!A$1:CB$87,'Fórmula'!H121,21))+'Fórmula'!K121*(INDEX(properties!A$1:CB$87,'Fórmula'!J121,21))</f>
        <v>28</v>
      </c>
      <c r="BX121" s="113">
        <f t="array" ref="BX121">VARP(IF(INDEX(properties!A$1:CB$87,'Fórmula'!B121,21)&lt;&gt;"",INDEX(properties!A$1:CB$87,'Fórmula'!B121,21)),IF(INDEX(properties!A$1:CB$87,'Fórmula'!D121,21)&lt;&gt;"",INDEX(properties!A$1:CB$87,'Fórmula'!D121,21)),IF(INDEX(properties!A$1:CB$87,'Fórmula'!F121,21)&lt;&gt;"",INDEX(properties!A$1:CB$87,'Fórmula'!F121,21)),IF(INDEX(properties!A$1:CB$87,'Fórmula'!H121,21)&lt;&gt;"",INDEX(properties!A$1:CB$87,'Fórmula'!H121,21)),IF(INDEX(properties!A$1:CB$87,'Fórmula'!J121,21)&lt;&gt;"",INDEX(properties!A$1:CB$87,'Fórmula'!J121,21)))</f>
        <v>5.2</v>
      </c>
      <c r="BY121" s="113">
        <f t="array" ref="BY121">MAX(INDEX(properties!A$1:CB$87,'Fórmula'!B121,21),INDEX(properties!A$1:CB$87,'Fórmula'!D121,21),INDEX(properties!A$1:CB$87,'Fórmula'!F121,21),INDEX(properties!A$1:CB$87,'Fórmula'!H121,21),INDEX(properties!A$1:CB$87,'Fórmula'!J121,21))</f>
        <v>6</v>
      </c>
      <c r="BZ121" s="113">
        <f t="array" ref="BZ121">MIN(IF(INDEX(properties!A$1:CB$87,'Fórmula'!B121,21)=0,10^6,INDEX(properties!A$1:CB$87,'Fórmula'!B121,21)),IF(INDEX(properties!A$1:CB$87,'Fórmula'!D121,21)=0,10^6,INDEX(properties!A$1:CB$87,'Fórmula'!D121,21)),IF(INDEX(properties!A$1:CB$87,'Fórmula'!F121,21)=0,10^6,INDEX(properties!A$1:CB$87,'Fórmula'!F121,21)),IF(INDEX(properties!A$1:CB$87,'Fórmula'!H121,21)=0,10^6,INDEX(properties!A$1:CB$87,'Fórmula'!H121,21)),IF(INDEX(properties!A$1:CB$87,'Fórmula'!J121,21)=0,10^6,INDEX(properties!A$1:CB$87,'Fórmula'!J121,21)))</f>
        <v>1</v>
      </c>
      <c r="CA121" s="113">
        <f t="shared" si="13"/>
        <v>5</v>
      </c>
      <c r="CB121" s="114">
        <f t="array" ref="CB121">(('Fórmula'!C121)/('Fórmula'!C121+'Fórmula'!E121+'Fórmula'!G121+'Fórmula'!I121+'Fórmula'!K121))*(INDEX(properties!A$1:CB$87,'Fórmula'!B121,23))+(('Fórmula'!E121)/('Fórmula'!C121+'Fórmula'!E121+'Fórmula'!G121+'Fórmula'!I121+'Fórmula'!K121))*(INDEX(properties!A$1:CB$87,'Fórmula'!D121,23))+(('Fórmula'!G121)/('Fórmula'!C121+'Fórmula'!E121+'Fórmula'!G121+'Fórmula'!I121+'Fórmula'!K121))*(INDEX(properties!A$1:CB$87,'Fórmula'!F121,23))+(('Fórmula'!I121)/('Fórmula'!C121+'Fórmula'!E121+'Fórmula'!G121+'Fórmula'!I121+'Fórmula'!K121))*(INDEX(properties!A$1:CB$87,'Fórmula'!H121,23))+(('Fórmula'!K121)/('Fórmula'!C121+'Fórmula'!E121+'Fórmula'!G121+'Fórmula'!I121+'Fórmula'!K121))*(INDEX(properties!A$1:CB$87,'Fórmula'!J121,23))</f>
        <v>1.333333333</v>
      </c>
      <c r="CC121" s="114">
        <f t="array" ref="CC121">'Fórmula'!C121*(INDEX(properties!A$1:CB$87,'Fórmula'!B121,23))+'Fórmula'!E121*(INDEX(properties!A$1:CB$87,'Fórmula'!D121,23))+'Fórmula'!G121*(INDEX(properties!A$1:CB$87,'Fórmula'!F121,23))+'Fórmula'!I121*(INDEX(properties!A$1:CB$87,'Fórmula'!H121,23))+'Fórmula'!K121*(INDEX(properties!A$1:CB$87,'Fórmula'!J121,23))</f>
        <v>8</v>
      </c>
      <c r="CD121" s="114">
        <f t="array" ref="CD121">VARP(IF(INDEX(properties!A$1:CB$87,'Fórmula'!B121,23)&lt;&gt;"",INDEX(properties!A$1:CB$87,'Fórmula'!B121,23)),IF(INDEX(properties!A$1:CB$87,'Fórmula'!D121,23)&lt;&gt;"",INDEX(properties!A$1:CB$87,'Fórmula'!D121,23)),IF(INDEX(properties!A$1:CB$87,'Fórmula'!F121,23)&lt;&gt;"",INDEX(properties!A$1:CB$87,'Fórmula'!F121,23)),IF(INDEX(properties!A$1:CB$87,'Fórmula'!H121,23)&lt;&gt;"",INDEX(properties!A$1:CB$87,'Fórmula'!H121,23)),IF(INDEX(properties!A$1:CB$87,'Fórmula'!J121,23)&lt;&gt;"",INDEX(properties!A$1:CB$87,'Fórmula'!J121,23)))</f>
        <v>4.24</v>
      </c>
      <c r="CE121" s="114">
        <f t="array" ref="CE121">MAX(INDEX(properties!A$1:CB$87,'Fórmula'!B121,23),INDEX(properties!A$1:CB$87,'Fórmula'!D121,23),INDEX(properties!A$1:CB$87,'Fórmula'!F121,23),INDEX(properties!A$1:CB$87,'Fórmula'!H121,23),INDEX(properties!A$1:CB$87,'Fórmula'!J121,23))</f>
        <v>5</v>
      </c>
      <c r="CF121" s="114">
        <f t="array" ref="CF121">MIN(IF('Fórmula'!B121=87,10^6,INDEX(properties!A$1:CB$87,'Fórmula'!B121,23)),IF(('Fórmula'!D121)=87,10^6,INDEX(properties!A$1:CB$87,'Fórmula'!D121,23)),IF(('Fórmula'!F121)=87,10^6,INDEX(properties!A$1:CB$87,'Fórmula'!F121,23)),IF(('Fórmula'!H121)=87,10^6,INDEX(properties!A$1:CB$87,'Fórmula'!H121,23)),IF('Fórmula'!J121=87,10^6,INDEX(properties!A$1:CB$87,'Fórmula'!J121,23)))</f>
        <v>0</v>
      </c>
      <c r="CG121" s="114">
        <f t="shared" si="14"/>
        <v>5</v>
      </c>
      <c r="CH121" s="115">
        <f t="array" ref="CH121">(('Fórmula'!C121)/('Fórmula'!C121+'Fórmula'!E121+'Fórmula'!G121+'Fórmula'!I121+'Fórmula'!K121))*(INDEX(properties!A$1:CB$87,'Fórmula'!B121,26))+(('Fórmula'!E121)/('Fórmula'!C121+'Fórmula'!E121+'Fórmula'!G121+'Fórmula'!I121+'Fórmula'!K121))*(INDEX(properties!A$1:CB$87,'Fórmula'!D121,26))+(('Fórmula'!G121)/('Fórmula'!C121+'Fórmula'!E121+'Fórmula'!G121+'Fórmula'!I121+'Fórmula'!K121))*(INDEX(properties!A$1:CB$87,'Fórmula'!F121,26))+(('Fórmula'!I121)/('Fórmula'!C121+'Fórmula'!E121+'Fórmula'!G121+'Fórmula'!I121+'Fórmula'!K121))*(INDEX(properties!A$1:CB$87,'Fórmula'!H121,26))+(('Fórmula'!K121)/('Fórmula'!C121+'Fórmula'!E121+'Fórmula'!G121+'Fórmula'!I121+'Fórmula'!K121))*(INDEX(properties!A$1:CB$87,'Fórmula'!J121,26))</f>
        <v>11.13258333</v>
      </c>
      <c r="CI121" s="115">
        <f t="array" ref="CI121">'Fórmula'!C121*(INDEX(properties!A$1:CB$87,'Fórmula'!B121,26))+'Fórmula'!E121*(INDEX(properties!A$1:CB$87,'Fórmula'!D121,26))+'Fórmula'!G121*(INDEX(properties!A$1:CB$87,'Fórmula'!F121,26))+'Fórmula'!I121*(INDEX(properties!A$1:CB$87,'Fórmula'!H121,26))+'Fórmula'!K121*(INDEX(properties!A$1:CB$87,'Fórmula'!J121,26))</f>
        <v>66.7955</v>
      </c>
      <c r="CJ121" s="115">
        <f t="array" ref="CJ121">VARP(IF(INDEX(properties!A$1:CB$87,'Fórmula'!B121,26)&lt;&gt;"",INDEX(properties!A$1:CB$87,'Fórmula'!B121,26)),IF(INDEX(properties!A$1:CB$87,'Fórmula'!D121,26)&lt;&gt;"",INDEX(properties!A$1:CB$87,'Fórmula'!D121,26)),IF(INDEX(properties!A$1:CB$87,'Fórmula'!F121,26)&lt;&gt;"",INDEX(properties!A$1:CB$87,'Fórmula'!F121,26)),IF(INDEX(properties!A$1:CB$87,'Fórmula'!H121,26)&lt;&gt;"",INDEX(properties!A$1:CB$87,'Fórmula'!H121,26)),IF(INDEX(properties!A$1:CB$87,'Fórmula'!J121,26)&lt;&gt;"",INDEX(properties!A$1:CB$87,'Fórmula'!J121,26)))</f>
        <v>25.49530083</v>
      </c>
      <c r="CK121" s="116">
        <f t="array" ref="CK121">MAX(INDEX(properties!A$1:CB$87,'Fórmula'!B121,26),INDEX(properties!A$1:CB$87,'Fórmula'!D121,26),INDEX(properties!A$1:CB$87,'Fórmula'!F121,26),INDEX(properties!A$1:CB$87,'Fórmula'!H121,26),INDEX(properties!A$1:CB$87,'Fórmula'!J121,26))</f>
        <v>13.6181</v>
      </c>
      <c r="CL121" s="116">
        <f t="array" ref="CL121">MIN(IF(INDEX(properties!A$1:CB$87,'Fórmula'!B121,26)=0,10^6,INDEX(properties!A$1:CB$87,'Fórmula'!B121,26)),IF(INDEX(properties!A$1:CB$87,'Fórmula'!D121,26)=0,10^6,INDEX(properties!A$1:CB$87,'Fórmula'!D121,26)),IF(INDEX(properties!A$1:CB$87,'Fórmula'!F121,26)=0,10^6,INDEX(properties!A$1:CB$87,'Fórmula'!F121,26)),IF(INDEX(properties!A$1:CB$87,'Fórmula'!H121,26)=0,10^6,INDEX(properties!A$1:CB$87,'Fórmula'!H121,26)),IF(INDEX(properties!A$1:CB$87,'Fórmula'!J121,26)=0,10^6,INDEX(properties!A$1:CB$87,'Fórmula'!J121,26)))</f>
        <v>5.5769</v>
      </c>
      <c r="CM121" s="115">
        <f t="shared" si="15"/>
        <v>8.0412</v>
      </c>
      <c r="CN121" s="117">
        <f t="array" ref="CN121">(('Fórmula'!C121)/('Fórmula'!C121+'Fórmula'!E121+'Fórmula'!G121+'Fórmula'!I121+'Fórmula'!K121))*(INDEX(properties!A$1:CB$87,'Fórmula'!B121,30))+(('Fórmula'!E121)/('Fórmula'!C121+'Fórmula'!E121+'Fórmula'!G121+'Fórmula'!I121+'Fórmula'!K121))*(INDEX(properties!A$1:CB$87,'Fórmula'!D121,30))+(('Fórmula'!G121)/('Fórmula'!C121+'Fórmula'!E121+'Fórmula'!G121+'Fórmula'!I121+'Fórmula'!K121))*(INDEX(properties!A$1:CB$87,'Fórmula'!F121,30))+(('Fórmula'!I121)/('Fórmula'!C121+'Fórmula'!E121+'Fórmula'!G121+'Fórmula'!I121+'Fórmula'!K121))*(INDEX(properties!A$1:CB$87,'Fórmula'!H121,30))+(('Fórmula'!K121)/('Fórmula'!C121+'Fórmula'!E121+'Fórmula'!G121+'Fórmula'!I121+'Fórmula'!K121))*(INDEX(properties!A$1:CB$87,'Fórmula'!J121,30))</f>
        <v>2.748333333</v>
      </c>
      <c r="CO121" s="117">
        <f t="array" ref="CO121">'Fórmula'!C121*(INDEX(properties!A$1:CB$87,'Fórmula'!B121,30))+'Fórmula'!E121*(INDEX(properties!A$1:CB$87,'Fórmula'!D121,30))+'Fórmula'!G121*(INDEX(properties!A$1:CB$87,'Fórmula'!F121,30))+'Fórmula'!I121*(INDEX(properties!A$1:CB$87,'Fórmula'!H121,30))+'Fórmula'!K121*(INDEX(properties!A$1:CB$87,'Fórmula'!J121,30))</f>
        <v>16.49</v>
      </c>
      <c r="CP121" s="117">
        <f t="array" ref="CP121">VARP(IF(INDEX(properties!A$1:CB$87,'Fórmula'!B121,30)&lt;&gt;"",INDEX(properties!A$1:CB$87,'Fórmula'!B121,30)),IF(INDEX(properties!A$1:CB$87,'Fórmula'!D121,30)&lt;&gt;"",INDEX(properties!A$1:CB$87,'Fórmula'!D121,30)),IF(INDEX(properties!A$1:CB$87,'Fórmula'!F121,30)&lt;&gt;"",INDEX(properties!A$1:CB$87,'Fórmula'!F121,30)),IF(INDEX(properties!A$1:CB$87,'Fórmula'!H121,30)&lt;&gt;"",INDEX(properties!A$1:CB$87,'Fórmula'!H121,30)),IF(INDEX(properties!A$1:CB$87,'Fórmula'!J121,30)&lt;&gt;"",INDEX(properties!A$1:CB$87,'Fórmula'!J121,30)))</f>
        <v>1.617344</v>
      </c>
      <c r="CQ121" s="117">
        <f t="array" ref="CQ121">MAX(INDEX(properties!A$1:CB$87,'Fórmula'!B121,30),INDEX(properties!A$1:CB$87,'Fórmula'!D121,30),INDEX(properties!A$1:CB$87,'Fórmula'!F121,30),INDEX(properties!A$1:CB$87,'Fórmula'!H121,30),INDEX(properties!A$1:CB$87,'Fórmula'!J121,30))</f>
        <v>3.44</v>
      </c>
      <c r="CR121" s="117">
        <f t="array" ref="CR121">MIN(IF(INDEX(properties!A$1:CB$87,'Fórmula'!B121,30)=0,10^6,INDEX(properties!A$1:CB$87,'Fórmula'!B121,30)),IF(INDEX(properties!A$1:CB$87,'Fórmula'!D121,30)=0,10^6,INDEX(properties!A$1:CB$87,'Fórmula'!D121,30)),IF(INDEX(properties!A$1:CB$87,'Fórmula'!F121,30)=0,10^6,INDEX(properties!A$1:CB$87,'Fórmula'!F121,30)),IF(INDEX(properties!A$1:CB$87,'Fórmula'!H121,30)=0,10^6,INDEX(properties!A$1:CB$87,'Fórmula'!H121,30)),IF(INDEX(properties!A$1:CB$87,'Fórmula'!J121,30)=0,10^6,INDEX(properties!A$1:CB$87,'Fórmula'!J121,30)))</f>
        <v>1.1</v>
      </c>
      <c r="CS121" s="117">
        <f t="shared" si="16"/>
        <v>2.34</v>
      </c>
      <c r="CT121" s="118">
        <f t="array" ref="CT121">(('Fórmula'!C121)/('Fórmula'!C121+'Fórmula'!E121+'Fórmula'!G121+'Fórmula'!I121+'Fórmula'!K121))*(INDEX(properties!A$1:CB$87,'Fórmula'!B121,31))+(('Fórmula'!E121)/('Fórmula'!C121+'Fórmula'!E121+'Fórmula'!G121+'Fórmula'!I121+'Fórmula'!K121))*(INDEX(properties!A$1:CB$87,'Fórmula'!D121,31))+(('Fórmula'!G121)/('Fórmula'!C121+'Fórmula'!E121+'Fórmula'!G121+'Fórmula'!I121+'Fórmula'!K121))*(INDEX(properties!A$1:CB$87,'Fórmula'!F121,31))+(('Fórmula'!I121)/('Fórmula'!C121+'Fórmula'!E121+'Fórmula'!G121+'Fórmula'!I121+'Fórmula'!K121))*(INDEX(properties!A$1:CB$87,'Fórmula'!H121,31))+(('Fórmula'!K121)/('Fórmula'!C121+'Fórmula'!E121+'Fórmula'!G121+'Fórmula'!I121+'Fórmula'!K121))*(INDEX(properties!A$1:CB$87,'Fórmula'!J121,31))</f>
        <v>2.808333333</v>
      </c>
      <c r="CU121" s="118">
        <f t="array" ref="CU121">'Fórmula'!C121*(INDEX(properties!A$1:CB$87,'Fórmula'!B121,31))+'Fórmula'!E121*(INDEX(properties!A$1:CB$87,'Fórmula'!D121,31))+'Fórmula'!G121*(INDEX(properties!A$1:CB$87,'Fórmula'!F121,31))+'Fórmula'!I121*(INDEX(properties!A$1:CB$87,'Fórmula'!H121,31))+'Fórmula'!K121*(INDEX(properties!A$1:CB$87,'Fórmula'!J121,31))</f>
        <v>16.85</v>
      </c>
      <c r="CV121" s="118">
        <f t="array" ref="CV121">VARP(IF(INDEX(properties!A$1:CB$87,'Fórmula'!B121,31)&lt;&gt;"",INDEX(properties!A$1:CB$87,'Fórmula'!B121,31)),IF(INDEX(properties!A$1:CB$87,'Fórmula'!D121,31)&lt;&gt;"",INDEX(properties!A$1:CB$87,'Fórmula'!D121,31)),IF(INDEX(properties!A$1:CB$87,'Fórmula'!F121,31)&lt;&gt;"",INDEX(properties!A$1:CB$87,'Fórmula'!F121,31)),IF(INDEX(properties!A$1:CB$87,'Fórmula'!H121,31)&lt;&gt;"",INDEX(properties!A$1:CB$87,'Fórmula'!H121,31)),IF(INDEX(properties!A$1:CB$87,'Fórmula'!J121,31)&lt;&gt;"",INDEX(properties!A$1:CB$87,'Fórmula'!J121,31)))</f>
        <v>1.655776</v>
      </c>
      <c r="CW121" s="118">
        <f t="array" ref="CW121">MAX(INDEX(properties!A$1:CB$87,'Fórmula'!B121,31),INDEX(properties!A$1:CB$87,'Fórmula'!D121,31),INDEX(properties!A$1:CB$87,'Fórmula'!F121,31),INDEX(properties!A$1:CB$87,'Fórmula'!H121,31),INDEX(properties!A$1:CB$87,'Fórmula'!J121,31))</f>
        <v>3.32</v>
      </c>
      <c r="CX121" s="118">
        <f t="array" ref="CX121">MIN(IF(INDEX(properties!A$1:CB$87,'Fórmula'!B121,31)=0,10^6,INDEX(properties!A$1:CB$87,'Fórmula'!B121,31)),IF(INDEX(properties!A$1:CB$87,'Fórmula'!D121,31)=0,10^6,INDEX(properties!A$1:CB$87,'Fórmula'!D121,31)),IF(INDEX(properties!A$1:CB$87,'Fórmula'!F121,31)=0,10^6,INDEX(properties!A$1:CB$87,'Fórmula'!F121,31)),IF(INDEX(properties!A$1:CB$87,'Fórmula'!H121,31)=0,10^6,INDEX(properties!A$1:CB$87,'Fórmula'!H121,31)),IF(INDEX(properties!A$1:CB$87,'Fórmula'!J121,31)=0,10^6,INDEX(properties!A$1:CB$87,'Fórmula'!J121,31)))</f>
        <v>1.35</v>
      </c>
      <c r="CY121" s="118">
        <f t="shared" si="17"/>
        <v>1.97</v>
      </c>
      <c r="CZ121" s="119">
        <f t="array" ref="CZ121">(('Fórmula'!C121)/('Fórmula'!C121+'Fórmula'!E121+'Fórmula'!G121+'Fórmula'!I121+'Fórmula'!K121))*(INDEX(properties!A$1:CB$87,'Fórmula'!B121,32))+(('Fórmula'!E121)/('Fórmula'!C121+'Fórmula'!E121+'Fórmula'!G121+'Fórmula'!I121+'Fórmula'!K121))*(INDEX(properties!A$1:CB$87,'Fórmula'!D121,32))+(('Fórmula'!G121)/('Fórmula'!C121+'Fórmula'!E121+'Fórmula'!G121+'Fórmula'!I121+'Fórmula'!K121))*(INDEX(properties!A$1:CB$87,'Fórmula'!F121,32))+(('Fórmula'!I121)/('Fórmula'!C121+'Fórmula'!E121+'Fórmula'!G121+'Fórmula'!I121+'Fórmula'!K121))*(INDEX(properties!A$1:CB$87,'Fórmula'!H121,32))+(('Fórmula'!K121)/('Fórmula'!C121+'Fórmula'!E121+'Fórmula'!G121+'Fórmula'!I121+'Fórmula'!K121))*(INDEX(properties!A$1:CB$87,'Fórmula'!J121,32))</f>
        <v>6.143333333</v>
      </c>
      <c r="DA121" s="119">
        <f t="array" ref="DA121">'Fórmula'!C121*(INDEX(properties!A$1:CB$87,'Fórmula'!B121,32))+'Fórmula'!E121*(INDEX(properties!A$1:CB$87,'Fórmula'!D121,32))+'Fórmula'!G121*(INDEX(properties!A$1:CB$87,'Fórmula'!F121,32))+'Fórmula'!I121*(INDEX(properties!A$1:CB$87,'Fórmula'!H121,32))+'Fórmula'!K121*(INDEX(properties!A$1:CB$87,'Fórmula'!J121,32))</f>
        <v>36.86</v>
      </c>
      <c r="DB121" s="119">
        <f t="array" ref="DB121">VARP(IF(INDEX(properties!A$1:CB$87,'Fórmula'!B121,32)&lt;&gt;"",INDEX(properties!A$1:CB$87,'Fórmula'!B121,32)),IF(INDEX(properties!A$1:CB$87,'Fórmula'!D121,32)&lt;&gt;"",INDEX(properties!A$1:CB$87,'Fórmula'!D121,32)),IF(INDEX(properties!A$1:CB$87,'Fórmula'!F121,32)&lt;&gt;"",INDEX(properties!A$1:CB$87,'Fórmula'!F121,32)),IF(INDEX(properties!A$1:CB$87,'Fórmula'!H121,32)&lt;&gt;"",INDEX(properties!A$1:CB$87,'Fórmula'!H121,32)),IF(INDEX(properties!A$1:CB$87,'Fórmula'!J121,32)&lt;&gt;"",INDEX(properties!A$1:CB$87,'Fórmula'!J121,32)))</f>
        <v>7.773216</v>
      </c>
      <c r="DC121" s="119">
        <f t="array" ref="DC121">MAX(INDEX(properties!A$1:CB$87,'Fórmula'!B121,32),INDEX(properties!A$1:CB$87,'Fórmula'!D121,32),INDEX(properties!A$1:CB$87,'Fórmula'!F121,32),INDEX(properties!A$1:CB$87,'Fórmula'!H121,32),INDEX(properties!A$1:CB$87,'Fórmula'!J121,32))</f>
        <v>7.54</v>
      </c>
      <c r="DD121" s="119">
        <f t="array" ref="DD121">MIN(IF(INDEX(properties!A$1:CB$87,'Fórmula'!B121,32)=0,10^6,INDEX(properties!A$1:CB$87,'Fórmula'!B121,32)),IF(INDEX(properties!A$1:CB$87,'Fórmula'!D121,32)=0,10^6,INDEX(properties!A$1:CB$87,'Fórmula'!D121,32)),IF(INDEX(properties!A$1:CB$87,'Fórmula'!F121,32)=0,10^6,INDEX(properties!A$1:CB$87,'Fórmula'!F121,32)),IF(INDEX(properties!A$1:CB$87,'Fórmula'!H121,32)=0,10^6,INDEX(properties!A$1:CB$87,'Fórmula'!H121,32)),IF(INDEX(properties!A$1:CB$87,'Fórmula'!J121,32)=0,10^6,INDEX(properties!A$1:CB$87,'Fórmula'!J121,32)))</f>
        <v>3.1</v>
      </c>
      <c r="DE121" s="119">
        <f t="shared" si="18"/>
        <v>4.44</v>
      </c>
      <c r="DF121" s="104">
        <f t="array" ref="DF121">(('Fórmula'!C121)/('Fórmula'!C121+'Fórmula'!E121+'Fórmula'!G121+'Fórmula'!I121+'Fórmula'!K121))*(INDEX(properties!A$1:CB$87,'Fórmula'!B121,34))+(('Fórmula'!E121)/('Fórmula'!C121+'Fórmula'!E121+'Fórmula'!G121+'Fórmula'!I121+'Fórmula'!K121))*(INDEX(properties!A$1:CB$87,'Fórmula'!D121,34))+(('Fórmula'!G121)/('Fórmula'!C121+'Fórmula'!E121+'Fórmula'!G121+'Fórmula'!I121+'Fórmula'!K121))*(INDEX(properties!A$1:CB$87,'Fórmula'!F121,34))+(('Fórmula'!I121)/('Fórmula'!C121+'Fórmula'!E121+'Fórmula'!G121+'Fórmula'!I121+'Fórmula'!K121))*(INDEX(properties!A$1:CB$87,'Fórmula'!H121,34))+(('Fórmula'!K121)/('Fórmula'!C121+'Fórmula'!E121+'Fórmula'!G121+'Fórmula'!I121+'Fórmula'!K121))*(INDEX(properties!A$1:CB$87,'Fórmula'!J121,34))</f>
        <v>2.843333333</v>
      </c>
      <c r="DG121" s="104">
        <f t="array" ref="DG121">'Fórmula'!C121*(INDEX(properties!A$1:CB$87,'Fórmula'!B121,34))+'Fórmula'!E121*(INDEX(properties!A$1:CB$87,'Fórmula'!D121,34))+'Fórmula'!G121*(INDEX(properties!A$1:CB$87,'Fórmula'!F121,34))+'Fórmula'!I121*(INDEX(properties!A$1:CB$87,'Fórmula'!H121,34))+'Fórmula'!K121*(INDEX(properties!A$1:CB$87,'Fórmula'!J121,34))</f>
        <v>17.06</v>
      </c>
      <c r="DH121" s="104">
        <f t="array" ref="DH121">VARP(IF(INDEX(properties!A$1:CB$87,'Fórmula'!B121,34)&lt;&gt;"",INDEX(properties!A$1:CB$87,'Fórmula'!B121,34)),IF(INDEX(properties!A$1:CB$87,'Fórmula'!D121,34)&lt;&gt;"",INDEX(properties!A$1:CB$87,'Fórmula'!D121,34)),IF(INDEX(properties!A$1:CB$87,'Fórmula'!F121,34)&lt;&gt;"",INDEX(properties!A$1:CB$87,'Fórmula'!F121,34)),IF(INDEX(properties!A$1:CB$87,'Fórmula'!H121,34)&lt;&gt;"",INDEX(properties!A$1:CB$87,'Fórmula'!H121,34)),IF(INDEX(properties!A$1:CB$87,'Fórmula'!J121,34)&lt;&gt;"",INDEX(properties!A$1:CB$87,'Fórmula'!J121,34)))</f>
        <v>1.759704</v>
      </c>
      <c r="DI121" s="104">
        <f t="array" ref="DI121">MAX(INDEX(properties!A$1:CB$87,'Fórmula'!B121,34),INDEX(properties!A$1:CB$87,'Fórmula'!D121,34),INDEX(properties!A$1:CB$87,'Fórmula'!F121,34),INDEX(properties!A$1:CB$87,'Fórmula'!H121,34),INDEX(properties!A$1:CB$87,'Fórmula'!J121,34))</f>
        <v>3.61</v>
      </c>
      <c r="DJ121" s="104">
        <f t="array" ref="DJ121">MIN(IF(INDEX(properties!A$1:CB$87,'Fórmula'!B121,34)=0,10^6,INDEX(properties!A$1:CB$87,'Fórmula'!B121,34)),IF(INDEX(properties!A$1:CB$87,'Fórmula'!D121,34)=0,10^6,INDEX(properties!A$1:CB$87,'Fórmula'!D121,34)),IF(INDEX(properties!A$1:CB$87,'Fórmula'!F121,34)=0,10^6,INDEX(properties!A$1:CB$87,'Fórmula'!F121,34)),IF(INDEX(properties!A$1:CB$87,'Fórmula'!H121,34)=0,10^6,INDEX(properties!A$1:CB$87,'Fórmula'!H121,34)),IF(INDEX(properties!A$1:CB$87,'Fórmula'!J121,34)=0,10^6,INDEX(properties!A$1:CB$87,'Fórmula'!J121,34)))</f>
        <v>1.09</v>
      </c>
      <c r="DK121" s="104">
        <f t="shared" si="19"/>
        <v>2.52</v>
      </c>
      <c r="DL121" s="105">
        <f t="array" ref="DL121">(('Fórmula'!C121)/('Fórmula'!C121+'Fórmula'!E121+'Fórmula'!G121+'Fórmula'!I121+'Fórmula'!K121))*(INDEX(properties!A$1:CB$87,'Fórmula'!B121,37))+(('Fórmula'!E121)/('Fórmula'!C121+'Fórmula'!E121+'Fórmula'!G121+'Fórmula'!I121+'Fórmula'!K121))*(INDEX(properties!A$1:CB$87,'Fórmula'!D121,37))+(('Fórmula'!G121)/('Fórmula'!C121+'Fórmula'!E121+'Fórmula'!G121+'Fórmula'!I121+'Fórmula'!K121))*(INDEX(properties!A$1:CB$87,'Fórmula'!F121,37))+(('Fórmula'!I121)/('Fórmula'!C121+'Fórmula'!E121+'Fórmula'!G121+'Fórmula'!I121+'Fórmula'!K121))*(INDEX(properties!A$1:CB$87,'Fórmula'!H121,37))+(('Fórmula'!K121)/('Fórmula'!C121+'Fórmula'!E121+'Fórmula'!G121+'Fórmula'!I121+'Fórmula'!K121))*(INDEX(properties!A$1:CB$87,'Fórmula'!J121,37))</f>
        <v>2.816666667</v>
      </c>
      <c r="DM121" s="105">
        <f t="array" ref="DM121">'Fórmula'!C121*(INDEX(properties!A$1:CB$87,'Fórmula'!B121,37))+'Fórmula'!E121*(INDEX(properties!A$1:CB$87,'Fórmula'!D121,37))+'Fórmula'!G121*(INDEX(properties!A$1:CB$87,'Fórmula'!F121,37))+'Fórmula'!I121*(INDEX(properties!A$1:CB$87,'Fórmula'!H121,37))+'Fórmula'!K121*(INDEX(properties!A$1:CB$87,'Fórmula'!J121,37))</f>
        <v>16.9</v>
      </c>
      <c r="DN121" s="105">
        <f t="array" ref="DN121">VARP(IF(INDEX(properties!A$1:CB$87,'Fórmula'!B121,37)&lt;&gt;"",INDEX(properties!A$1:CB$87,'Fórmula'!B121,37)),IF(INDEX(properties!A$1:CB$87,'Fórmula'!D121,37)&lt;&gt;"",INDEX(properties!A$1:CB$87,'Fórmula'!D121,37)),IF(INDEX(properties!A$1:CB$87,'Fórmula'!F121,37)&lt;&gt;"",INDEX(properties!A$1:CB$87,'Fórmula'!F121,37)),IF(INDEX(properties!A$1:CB$87,'Fórmula'!H121,37)&lt;&gt;"",INDEX(properties!A$1:CB$87,'Fórmula'!H121,37)),IF(INDEX(properties!A$1:CB$87,'Fórmula'!J121,37)&lt;&gt;"",INDEX(properties!A$1:CB$87,'Fórmula'!J121,37)))</f>
        <v>1.6744</v>
      </c>
      <c r="DO121" s="105">
        <f t="array" ref="DO121">MAX(INDEX(properties!A$1:CB$87,'Fórmula'!B121,37),INDEX(properties!A$1:CB$87,'Fórmula'!D121,37),INDEX(properties!A$1:CB$87,'Fórmula'!F121,37),INDEX(properties!A$1:CB$87,'Fórmula'!H121,37),INDEX(properties!A$1:CB$87,'Fórmula'!J121,37))</f>
        <v>3.45</v>
      </c>
      <c r="DP121" s="105">
        <f t="array" ref="DP121">MIN(IF(INDEX(properties!A$1:CB$87,'Fórmula'!B121,37)=0,10^6,INDEX(properties!A$1:CB$87,'Fórmula'!B121,37)),IF(INDEX(properties!A$1:CB$87,'Fórmula'!D121,37)=0,10^6,INDEX(properties!A$1:CB$87,'Fórmula'!D121,37)),IF(INDEX(properties!A$1:CB$87,'Fórmula'!F121,37)=0,10^6,INDEX(properties!A$1:CB$87,'Fórmula'!F121,37)),IF(INDEX(properties!A$1:CB$87,'Fórmula'!H121,37)=0,10^6,INDEX(properties!A$1:CB$87,'Fórmula'!H121,37)),IF(INDEX(properties!A$1:CB$87,'Fórmula'!J121,37)=0,10^6,INDEX(properties!A$1:CB$87,'Fórmula'!J121,37)))</f>
        <v>1.2</v>
      </c>
      <c r="DQ121" s="105">
        <f t="shared" si="20"/>
        <v>2.25</v>
      </c>
      <c r="DR121" s="109">
        <f t="array" ref="DR121">(('Fórmula'!C121)/('Fórmula'!C121+'Fórmula'!E121+'Fórmula'!G121+'Fórmula'!I121+'Fórmula'!K121))*(INDEX(properties!A$1:CB$87,'Fórmula'!B121,39))+(('Fórmula'!E121)/('Fórmula'!C121+'Fórmula'!E121+'Fórmula'!G121+'Fórmula'!I121+'Fórmula'!K121))*(INDEX(properties!A$1:CB$87,'Fórmula'!D121,39))+(('Fórmula'!G121)/('Fórmula'!C121+'Fórmula'!E121+'Fórmula'!G121+'Fórmula'!I121+'Fórmula'!K121))*(INDEX(properties!A$1:CB$87,'Fórmula'!F121,39))+(('Fórmula'!I121)/('Fórmula'!C121+'Fórmula'!E121+'Fórmula'!G121+'Fórmula'!I121+'Fórmula'!K121))*(INDEX(properties!A$1:CB$87,'Fórmula'!H121,39))+(('Fórmula'!K121)/('Fórmula'!C121+'Fórmula'!E121+'Fórmula'!G121+'Fórmula'!I121+'Fórmula'!K121))*(INDEX(properties!A$1:CB$87,'Fórmula'!J121,39))</f>
        <v>0.93</v>
      </c>
      <c r="DS121" s="109">
        <f t="array" ref="DS121">'Fórmula'!C121*(INDEX(properties!A$1:CB$87,'Fórmula'!B121,39))+'Fórmula'!E121*(INDEX(properties!A$1:CB$87,'Fórmula'!D121,39))+'Fórmula'!G121*(INDEX(properties!A$1:CB$87,'Fórmula'!F121,39))+'Fórmula'!I121*(INDEX(properties!A$1:CB$87,'Fórmula'!H121,39))+'Fórmula'!K121*(INDEX(properties!A$1:CB$87,'Fórmula'!J121,39))</f>
        <v>5.58</v>
      </c>
      <c r="DT121" s="109">
        <f t="array" ref="DT121">VARP(IF(INDEX(properties!A$1:CB$87,'Fórmula'!B121,39)&lt;&gt;"",INDEX(properties!A$1:CB$87,'Fórmula'!B121,39)),IF(INDEX(properties!A$1:CB$87,'Fórmula'!D121,39)&lt;&gt;"",INDEX(properties!A$1:CB$87,'Fórmula'!D121,39)),IF(INDEX(properties!A$1:CB$87,'Fórmula'!F121,39)&lt;&gt;"",INDEX(properties!A$1:CB$87,'Fórmula'!F121,39)),IF(INDEX(properties!A$1:CB$87,'Fórmula'!H121,39)&lt;&gt;"",INDEX(properties!A$1:CB$87,'Fórmula'!H121,39)),IF(INDEX(properties!A$1:CB$87,'Fórmula'!J121,39)&lt;&gt;"",INDEX(properties!A$1:CB$87,'Fórmula'!J121,39)))</f>
        <v>0.705816</v>
      </c>
      <c r="DU121" s="120">
        <f t="array" ref="DU121">MAX(INDEX(properties!A$1:CB$87,'Fórmula'!B121,39),INDEX(properties!A$1:CB$87,'Fórmula'!D121,39),INDEX(properties!A$1:CB$87,'Fórmula'!F121,39),INDEX(properties!A$1:CB$87,'Fórmula'!H121,39),INDEX(properties!A$1:CB$87,'Fórmula'!J121,39))</f>
        <v>1.95</v>
      </c>
      <c r="DV121" s="120">
        <f t="array" ref="DV121">MIN(IF(INDEX(properties!A$1:CB$87,'Fórmula'!B121,39)=0,10^6,INDEX(properties!A$1:CB$87,'Fórmula'!B121,39)),IF(INDEX(properties!A$1:CB$87,'Fórmula'!D121,39)=0,10^6,INDEX(properties!A$1:CB$87,'Fórmula'!D121,39)),IF(INDEX(properties!A$1:CB$87,'Fórmula'!F121,39)=0,10^6,INDEX(properties!A$1:CB$87,'Fórmula'!F121,39)),IF(INDEX(properties!A$1:CB$87,'Fórmula'!H121,39)=0,10^6,INDEX(properties!A$1:CB$87,'Fórmula'!H121,39)),IF(INDEX(properties!A$1:CB$87,'Fórmula'!J121,39)=0,10^6,INDEX(properties!A$1:CB$87,'Fórmula'!J121,39)))</f>
        <v>0.48</v>
      </c>
      <c r="DW121" s="109">
        <f t="shared" si="21"/>
        <v>1.47</v>
      </c>
      <c r="DX121" s="110">
        <f t="array" ref="DX121">(('Fórmula'!C121)/('Fórmula'!C121+'Fórmula'!E121+'Fórmula'!G121+'Fórmula'!I121+'Fórmula'!K121))*(INDEX(properties!A$1:CB$87,'Fórmula'!B121,40))+(('Fórmula'!E121)/('Fórmula'!C121+'Fórmula'!E121+'Fórmula'!G121+'Fórmula'!I121+'Fórmula'!K121))*(INDEX(properties!A$1:CB$87,'Fórmula'!D121,40))+(('Fórmula'!G121)/('Fórmula'!C121+'Fórmula'!E121+'Fórmula'!G121+'Fórmula'!I121+'Fórmula'!K121))*(INDEX(properties!A$1:CB$87,'Fórmula'!F121,40))+(('Fórmula'!I121)/('Fórmula'!C121+'Fórmula'!E121+'Fórmula'!G121+'Fórmula'!I121+'Fórmula'!K121))*(INDEX(properties!A$1:CB$87,'Fórmula'!H121,40))+(('Fórmula'!K121)/('Fórmula'!C121+'Fórmula'!E121+'Fórmula'!G121+'Fórmula'!I121+'Fórmula'!K121))*(INDEX(properties!A$1:CB$87,'Fórmula'!J121,40))</f>
        <v>0.9766666667</v>
      </c>
      <c r="DY121" s="110">
        <f t="array" ref="DY121">'Fórmula'!C121*(INDEX(properties!A$1:CB$87,'Fórmula'!B121,40))+'Fórmula'!E121*(INDEX(properties!A$1:CB$87,'Fórmula'!D121,40))+'Fórmula'!G121*(INDEX(properties!A$1:CB$87,'Fórmula'!F121,40))+'Fórmula'!I121*(INDEX(properties!A$1:CB$87,'Fórmula'!H121,40))+'Fórmula'!K121*(INDEX(properties!A$1:CB$87,'Fórmula'!J121,40))</f>
        <v>5.86</v>
      </c>
      <c r="DZ121" s="110">
        <f t="array" ref="DZ121">VARP(IF(INDEX(properties!A$1:CB$87,'Fórmula'!B121,40)&lt;&gt;"",INDEX(properties!A$1:CB$87,'Fórmula'!B121,40)),IF(INDEX(properties!A$1:CB$87,'Fórmula'!D121,40)&lt;&gt;"",INDEX(properties!A$1:CB$87,'Fórmula'!D121,40)),IF(INDEX(properties!A$1:CB$87,'Fórmula'!F121,40)&lt;&gt;"",INDEX(properties!A$1:CB$87,'Fórmula'!F121,40)),IF(INDEX(properties!A$1:CB$87,'Fórmula'!H121,40)&lt;&gt;"",INDEX(properties!A$1:CB$87,'Fórmula'!H121,40)),IF(INDEX(properties!A$1:CB$87,'Fórmula'!J121,40)&lt;&gt;"",INDEX(properties!A$1:CB$87,'Fórmula'!J121,40)))</f>
        <v>0.451544</v>
      </c>
      <c r="EA121" s="121">
        <f t="array" ref="EA121">MAX(INDEX(properties!A$1:CB$87,'Fórmula'!B121,40),INDEX(properties!A$1:CB$87,'Fórmula'!D121,40),INDEX(properties!A$1:CB$87,'Fórmula'!F121,40),INDEX(properties!A$1:CB$87,'Fórmula'!H121,40),INDEX(properties!A$1:CB$87,'Fórmula'!J121,40))</f>
        <v>1.69</v>
      </c>
      <c r="EB121" s="121">
        <f t="array" ref="EB121">MIN(IF(INDEX(properties!A$1:CB$87,'Fórmula'!B121,40)=0,10^6,INDEX(properties!A$1:CB$87,'Fórmula'!B121,40)),IF(INDEX(properties!A$1:CB$87,'Fórmula'!D121,40)=0,10^6,INDEX(properties!A$1:CB$87,'Fórmula'!D121,40)),IF(INDEX(properties!A$1:CB$87,'Fórmula'!F121,40)=0,10^6,INDEX(properties!A$1:CB$87,'Fórmula'!F121,40)),IF(INDEX(properties!A$1:CB$87,'Fórmula'!H121,40)=0,10^6,INDEX(properties!A$1:CB$87,'Fórmula'!H121,40)),IF(INDEX(properties!A$1:CB$87,'Fórmula'!J121,40)=0,10^6,INDEX(properties!A$1:CB$87,'Fórmula'!J121,40)))</f>
        <v>0.73</v>
      </c>
      <c r="EC121" s="110">
        <f t="shared" si="22"/>
        <v>0.96</v>
      </c>
      <c r="ED121" s="111">
        <f t="array" ref="ED121">(('Fórmula'!C121)/('Fórmula'!C121+'Fórmula'!E121+'Fórmula'!G121+'Fórmula'!I121+'Fórmula'!K121))*(INDEX(properties!A$1:CB$87,'Fórmula'!B121,41))+(('Fórmula'!E121)/('Fórmula'!C121+'Fórmula'!E121+'Fórmula'!G121+'Fórmula'!I121+'Fórmula'!K121))*(INDEX(properties!A$1:CB$87,'Fórmula'!D121,41))+(('Fórmula'!G121)/('Fórmula'!C121+'Fórmula'!E121+'Fórmula'!G121+'Fórmula'!I121+'Fórmula'!K121))*(INDEX(properties!A$1:CB$87,'Fórmula'!F121,41))+(('Fórmula'!I121)/('Fórmula'!C121+'Fórmula'!E121+'Fórmula'!G121+'Fórmula'!I121+'Fórmula'!K121))*(INDEX(properties!A$1:CB$87,'Fórmula'!H121,41))+(('Fórmula'!K121)/('Fórmula'!C121+'Fórmula'!E121+'Fórmula'!G121+'Fórmula'!I121+'Fórmula'!K121))*(INDEX(properties!A$1:CB$87,'Fórmula'!J121,41))</f>
        <v>1.19</v>
      </c>
      <c r="EE121" s="111">
        <f t="array" ref="EE121">'Fórmula'!C121*(INDEX(properties!A$1:CB$87,'Fórmula'!B121,41))+'Fórmula'!E121*(INDEX(properties!A$1:CB$87,'Fórmula'!D121,41))+'Fórmula'!G121*(INDEX(properties!A$1:CB$87,'Fórmula'!F121,41))+'Fórmula'!I121*(INDEX(properties!A$1:CB$87,'Fórmula'!H121,41))+'Fórmula'!K121*(INDEX(properties!A$1:CB$87,'Fórmula'!J121,41))</f>
        <v>7.14</v>
      </c>
      <c r="EF121" s="111">
        <f t="array" ref="EF121">VARP(IF(INDEX(properties!A$1:CB$87,'Fórmula'!B121,41)&lt;&gt;"",INDEX(properties!A$1:CB$87,'Fórmula'!B121,41)),IF(INDEX(properties!A$1:CB$87,'Fórmula'!D121,41)&lt;&gt;"",INDEX(properties!A$1:CB$87,'Fórmula'!D121,41)),IF(INDEX(properties!A$1:CB$87,'Fórmula'!F121,41)&lt;&gt;"",INDEX(properties!A$1:CB$87,'Fórmula'!F121,41)),IF(INDEX(properties!A$1:CB$87,'Fórmula'!H121,41)&lt;&gt;"",INDEX(properties!A$1:CB$87,'Fórmula'!H121,41)),IF(INDEX(properties!A$1:CB$87,'Fórmula'!J121,41)&lt;&gt;"",INDEX(properties!A$1:CB$87,'Fórmula'!J121,41)))</f>
        <v>0.312696</v>
      </c>
      <c r="EG121" s="122">
        <f t="array" ref="EG121">MAX(INDEX(properties!A$1:CB$87,'Fórmula'!B121,41),INDEX(properties!A$1:CB$87,'Fórmula'!D121,41),INDEX(properties!A$1:CB$87,'Fórmula'!F121,41),INDEX(properties!A$1:CB$87,'Fórmula'!H121,41),INDEX(properties!A$1:CB$87,'Fórmula'!J121,41))</f>
        <v>1.26</v>
      </c>
      <c r="EH121" s="122">
        <f t="array" ref="EH121">MIN(IF(INDEX(properties!A$1:CB$87,'Fórmula'!B121,41)=0,10^6,INDEX(properties!A$1:CB$87,'Fórmula'!B121,41)),IF(INDEX(properties!A$1:CB$87,'Fórmula'!D121,41)=0,10^6,INDEX(properties!A$1:CB$87,'Fórmula'!D121,41)),IF(INDEX(properties!A$1:CB$87,'Fórmula'!F121,41)=0,10^6,INDEX(properties!A$1:CB$87,'Fórmula'!F121,41)),IF(INDEX(properties!A$1:CB$87,'Fórmula'!H121,41)=0,10^6,INDEX(properties!A$1:CB$87,'Fórmula'!H121,41)),IF(INDEX(properties!A$1:CB$87,'Fórmula'!J121,41)=0,10^6,INDEX(properties!A$1:CB$87,'Fórmula'!J121,41)))</f>
        <v>0.93</v>
      </c>
      <c r="EI121" s="111">
        <f t="shared" si="23"/>
        <v>0.33</v>
      </c>
      <c r="EJ121" s="112">
        <f t="array" ref="EJ121">(('Fórmula'!C121)/('Fórmula'!C121+'Fórmula'!E121+'Fórmula'!G121+'Fórmula'!I121+'Fórmula'!K121))*(INDEX(properties!A$1:CB$87,'Fórmula'!B121,45))+(('Fórmula'!E121)/('Fórmula'!C121+'Fórmula'!E121+'Fórmula'!G121+'Fórmula'!I121+'Fórmula'!K121))*(INDEX(properties!A$1:CB$87,'Fórmula'!D121,45))+(('Fórmula'!G121)/('Fórmula'!C121+'Fórmula'!E121+'Fórmula'!G121+'Fórmula'!I121+'Fórmula'!K121))*(INDEX(properties!A$1:CB$87,'Fórmula'!F121,45))+(('Fórmula'!I121)/('Fórmula'!C121+'Fórmula'!E121+'Fórmula'!G121+'Fórmula'!I121+'Fórmula'!K121))*(INDEX(properties!A$1:CB$87,'Fórmula'!H121,45))+(('Fórmula'!K121)/('Fórmula'!C121+'Fórmula'!E121+'Fórmula'!G121+'Fórmula'!I121+'Fórmula'!K121))*(INDEX(properties!A$1:CB$87,'Fórmula'!J121,45))</f>
        <v>1.231666667</v>
      </c>
      <c r="EK121" s="112">
        <f t="array" ref="EK121">'Fórmula'!C121*(INDEX(properties!A$1:CB$87,'Fórmula'!B121,45))+'Fórmula'!E121*(INDEX(properties!A$1:CB$87,'Fórmula'!D121,45))+'Fórmula'!G121*(INDEX(properties!A$1:CB$87,'Fórmula'!F121,45))+'Fórmula'!I121*(INDEX(properties!A$1:CB$87,'Fórmula'!H121,45))+'Fórmula'!K121*(INDEX(properties!A$1:CB$87,'Fórmula'!J121,45))</f>
        <v>7.39</v>
      </c>
      <c r="EL121" s="112">
        <f t="array" ref="EL121">VARP(IF(INDEX(properties!A$1:CB$87,'Fórmula'!B121,45)&lt;&gt;"",INDEX(properties!A$1:CB$87,'Fórmula'!B121,45)),IF(INDEX(properties!A$1:CB$87,'Fórmula'!D121,45)&lt;&gt;"",INDEX(properties!A$1:CB$87,'Fórmula'!D121,45)),IF(INDEX(properties!A$1:CB$87,'Fórmula'!F121,45)&lt;&gt;"",INDEX(properties!A$1:CB$87,'Fórmula'!F121,45)),IF(INDEX(properties!A$1:CB$87,'Fórmula'!H121,45)&lt;&gt;"",INDEX(properties!A$1:CB$87,'Fórmula'!H121,45)),IF(INDEX(properties!A$1:CB$87,'Fórmula'!J121,45)&lt;&gt;"",INDEX(properties!A$1:CB$87,'Fórmula'!J121,45)))</f>
        <v>1.692024</v>
      </c>
      <c r="EM121" s="123">
        <f t="array" ref="EM121">MAX(INDEX(properties!A$1:CB$87,'Fórmula'!B121,45),INDEX(properties!A$1:CB$87,'Fórmula'!D121,45),INDEX(properties!A$1:CB$87,'Fórmula'!F121,45),INDEX(properties!A$1:CB$87,'Fórmula'!H121,45),INDEX(properties!A$1:CB$87,'Fórmula'!J121,45))</f>
        <v>3.08</v>
      </c>
      <c r="EN121" s="123">
        <f t="array" ref="EN121">MIN(IF(INDEX(properties!A$1:CB$87,'Fórmula'!B121,45)=0,10^6,INDEX(properties!A$1:CB$87,'Fórmula'!B121,45)),IF(INDEX(properties!A$1:CB$87,'Fórmula'!D121,45)=0,10^6,INDEX(properties!A$1:CB$87,'Fórmula'!D121,45)),IF(INDEX(properties!A$1:CB$87,'Fórmula'!F121,45)=0,10^6,INDEX(properties!A$1:CB$87,'Fórmula'!F121,45)),IF(INDEX(properties!A$1:CB$87,'Fórmula'!H121,45)=0,10^6,INDEX(properties!A$1:CB$87,'Fórmula'!H121,45)),IF(INDEX(properties!A$1:CB$87,'Fórmula'!J121,45)=0,10^6,INDEX(properties!A$1:CB$87,'Fórmula'!J121,45)))</f>
        <v>0.47</v>
      </c>
      <c r="EO121" s="112">
        <f t="shared" si="24"/>
        <v>2.61</v>
      </c>
      <c r="EP121" s="113">
        <f t="array" ref="EP121">(('Fórmula'!C121)/('Fórmula'!C121+'Fórmula'!E121+'Fórmula'!G121+'Fórmula'!I121+'Fórmula'!K121))*(INDEX(properties!A$1:CB$87,'Fórmula'!B121,46))+(('Fórmula'!E121)/('Fórmula'!C121+'Fórmula'!E121+'Fórmula'!G121+'Fórmula'!I121+'Fórmula'!K121))*(INDEX(properties!A$1:CB$87,'Fórmula'!D121,46))+(('Fórmula'!G121)/('Fórmula'!C121+'Fórmula'!E121+'Fórmula'!G121+'Fórmula'!I121+'Fórmula'!K121))*(INDEX(properties!A$1:CB$87,'Fórmula'!F121,46))+(('Fórmula'!I121)/('Fórmula'!C121+'Fórmula'!E121+'Fórmula'!G121+'Fórmula'!I121+'Fórmula'!K121))*(INDEX(properties!A$1:CB$87,'Fórmula'!H121,46))+(('Fórmula'!K121)/('Fórmula'!C121+'Fórmula'!E121+'Fórmula'!G121+'Fórmula'!I121+'Fórmula'!K121))*(INDEX(properties!A$1:CB$87,'Fórmula'!J121,46))</f>
        <v>1.146666667</v>
      </c>
      <c r="EQ121" s="113">
        <f t="array" ref="EQ121">'Fórmula'!C121*(INDEX(properties!A$1:CB$87,'Fórmula'!B121,46))+'Fórmula'!E121*(INDEX(properties!A$1:CB$87,'Fórmula'!D121,46))+'Fórmula'!G121*(INDEX(properties!A$1:CB$87,'Fórmula'!F121,46))+'Fórmula'!I121*(INDEX(properties!A$1:CB$87,'Fórmula'!H121,46))+'Fórmula'!K121*(INDEX(properties!A$1:CB$87,'Fórmula'!J121,46))</f>
        <v>6.88</v>
      </c>
      <c r="ER121" s="113">
        <f t="array" ref="ER121">VARP(IF(INDEX(properties!A$1:CB$87,'Fórmula'!B121,46)&lt;&gt;"",INDEX(properties!A$1:CB$87,'Fórmula'!B121,46)),IF(INDEX(properties!A$1:CB$87,'Fórmula'!D121,46)&lt;&gt;"",INDEX(properties!A$1:CB$87,'Fórmula'!D121,46)),IF(INDEX(properties!A$1:CB$87,'Fórmula'!F121,46)&lt;&gt;"",INDEX(properties!A$1:CB$87,'Fórmula'!F121,46)),IF(INDEX(properties!A$1:CB$87,'Fórmula'!H121,46)&lt;&gt;"",INDEX(properties!A$1:CB$87,'Fórmula'!H121,46)),IF(INDEX(properties!A$1:CB$87,'Fórmula'!J121,46)&lt;&gt;"",INDEX(properties!A$1:CB$87,'Fórmula'!J121,46)))</f>
        <v>0.33272</v>
      </c>
      <c r="ES121" s="124">
        <f t="array" ref="ES121">MAX(INDEX(properties!A$1:CB$87,'Fórmula'!B121,46),INDEX(properties!A$1:CB$87,'Fórmula'!D121,46),INDEX(properties!A$1:CB$87,'Fórmula'!F121,46),INDEX(properties!A$1:CB$87,'Fórmula'!H121,46),INDEX(properties!A$1:CB$87,'Fórmula'!J121,46))</f>
        <v>1.36</v>
      </c>
      <c r="ET121" s="124">
        <f t="array" ref="ET121">MIN(IF(INDEX(properties!A$1:CB$87,'Fórmula'!B121,46)=0,10^6,INDEX(properties!A$1:CB$87,'Fórmula'!B121,46)),IF(INDEX(properties!A$1:CB$87,'Fórmula'!D121,46)=0,10^6,INDEX(properties!A$1:CB$87,'Fórmula'!D121,46)),IF(INDEX(properties!A$1:CB$87,'Fórmula'!F121,46)=0,10^6,INDEX(properties!A$1:CB$87,'Fórmula'!F121,46)),IF(INDEX(properties!A$1:CB$87,'Fórmula'!H121,46)=0,10^6,INDEX(properties!A$1:CB$87,'Fórmula'!H121,46)),IF(INDEX(properties!A$1:CB$87,'Fórmula'!J121,46)=0,10^6,INDEX(properties!A$1:CB$87,'Fórmula'!J121,46)))</f>
        <v>0.68</v>
      </c>
      <c r="EU121" s="113">
        <f t="shared" si="25"/>
        <v>0.68</v>
      </c>
      <c r="EV121" s="114">
        <f t="array" ref="EV121">(('Fórmula'!C121)/('Fórmula'!C121+'Fórmula'!E121+'Fórmula'!G121+'Fórmula'!I121+'Fórmula'!K121))*(INDEX(properties!A$1:CB$87,'Fórmula'!B121,52))+(('Fórmula'!E121)/('Fórmula'!C121+'Fórmula'!E121+'Fórmula'!G121+'Fórmula'!I121+'Fórmula'!K121))*(INDEX(properties!A$1:CB$87,'Fórmula'!D121,52))+(('Fórmula'!G121)/('Fórmula'!C121+'Fórmula'!E121+'Fórmula'!G121+'Fórmula'!I121+'Fórmula'!K121))*(INDEX(properties!A$1:CB$87,'Fórmula'!F121,52))+(('Fórmula'!I121)/('Fórmula'!C121+'Fórmula'!E121+'Fórmula'!G121+'Fórmula'!I121+'Fórmula'!K121))*(INDEX(properties!A$1:CB$87,'Fórmula'!H121,52))+(('Fórmula'!K121)/('Fórmula'!C121+'Fórmula'!E121+'Fórmula'!G121+'Fórmula'!I121+'Fórmula'!K121))*(INDEX(properties!A$1:CB$87,'Fórmula'!J121,52))</f>
        <v>7.778666667</v>
      </c>
      <c r="EW121" s="114">
        <f t="array" ref="EW121">'Fórmula'!C121*(INDEX(properties!A$1:CB$87,'Fórmula'!B121,52))+'Fórmula'!E121*(INDEX(properties!A$1:CB$87,'Fórmula'!D121,52))+'Fórmula'!G121*(INDEX(properties!A$1:CB$87,'Fórmula'!F121,52))+'Fórmula'!I121*(INDEX(properties!A$1:CB$87,'Fórmula'!H121,52))+'Fórmula'!K121*(INDEX(properties!A$1:CB$87,'Fórmula'!J121,52))</f>
        <v>46.672</v>
      </c>
      <c r="EX121" s="114">
        <f t="array" ref="EX121">VARP(IF(INDEX(properties!A$1:CB$87,'Fórmula'!B121,52)&lt;&gt;"",INDEX(properties!A$1:CB$87,'Fórmula'!B121,52)),IF(INDEX(properties!A$1:CB$87,'Fórmula'!D121,52)&lt;&gt;"",INDEX(properties!A$1:CB$87,'Fórmula'!D121,52)),IF(INDEX(properties!A$1:CB$87,'Fórmula'!F121,52)&lt;&gt;"",INDEX(properties!A$1:CB$87,'Fórmula'!F121,52)),IF(INDEX(properties!A$1:CB$87,'Fórmula'!H121,52)&lt;&gt;"",INDEX(properties!A$1:CB$87,'Fórmula'!H121,52)),IF(INDEX(properties!A$1:CB$87,'Fórmula'!J121,52)&lt;&gt;"",INDEX(properties!A$1:CB$87,'Fórmula'!J121,52)))</f>
        <v>145.8449758</v>
      </c>
      <c r="EY121" s="114">
        <f t="array" ref="EY121">MAX(INDEX(properties!A$1:CB$87,'Fórmula'!B121,52),INDEX(properties!A$1:CB$87,'Fórmula'!D121,52),INDEX(properties!A$1:CB$87,'Fórmula'!F121,52),INDEX(properties!A$1:CB$87,'Fórmula'!H121,52),INDEX(properties!A$1:CB$87,'Fórmula'!J121,52))</f>
        <v>31.1</v>
      </c>
      <c r="EZ121" s="114">
        <f t="array" ref="EZ121">MIN(IF(INDEX(properties!A$1:CB$87,'Fórmula'!B121,52)=0,10^6,INDEX(properties!A$1:CB$87,'Fórmula'!B121,52)),IF(INDEX(properties!A$1:CB$87,'Fórmula'!D121,52)=0,10^6,INDEX(properties!A$1:CB$87,'Fórmula'!D121,52)),IF(INDEX(properties!A$1:CB$87,'Fórmula'!F121,52)=0,10^6,INDEX(properties!A$1:CB$87,'Fórmula'!F121,52)),IF(INDEX(properties!A$1:CB$87,'Fórmula'!H121,52)=0,10^6,INDEX(properties!A$1:CB$87,'Fórmula'!H121,52)),IF(INDEX(properties!A$1:CB$87,'Fórmula'!J121,52)=0,10^6,INDEX(properties!A$1:CB$87,'Fórmula'!J121,52)))</f>
        <v>0.793</v>
      </c>
      <c r="FA121" s="114">
        <f t="shared" si="26"/>
        <v>30.307</v>
      </c>
      <c r="FB121" s="115">
        <f t="array" ref="FB121">(('Fórmula'!C121)/('Fórmula'!C121+'Fórmula'!E121+'Fórmula'!G121+'Fórmula'!I121+'Fórmula'!K121))*(INDEX(properties!A$1:CB$87,'Fórmula'!B121,53))+(('Fórmula'!E121)/('Fórmula'!C121+'Fórmula'!E121+'Fórmula'!G121+'Fórmula'!I121+'Fórmula'!K121))*(INDEX(properties!A$1:CB$87,'Fórmula'!D121,53))+(('Fórmula'!G121)/('Fórmula'!C121+'Fórmula'!E121+'Fórmula'!G121+'Fórmula'!I121+'Fórmula'!K121))*(INDEX(properties!A$1:CB$87,'Fórmula'!F121,53))+(('Fórmula'!I121)/('Fórmula'!C121+'Fórmula'!E121+'Fórmula'!G121+'Fórmula'!I121+'Fórmula'!K121))*(INDEX(properties!A$1:CB$87,'Fórmula'!H121,53))+(('Fórmula'!K121)/('Fórmula'!C121+'Fórmula'!E121+'Fórmula'!G121+'Fórmula'!I121+'Fórmula'!K121))*(INDEX(properties!A$1:CB$87,'Fórmula'!J121,53))</f>
        <v>595.8833333</v>
      </c>
      <c r="FC121" s="115">
        <f t="array" ref="FC121">'Fórmula'!C121*(INDEX(properties!A$1:CB$87,'Fórmula'!B121,53))+'Fórmula'!E121*(INDEX(properties!A$1:CB$87,'Fórmula'!D121,53))+'Fórmula'!G121*(INDEX(properties!A$1:CB$87,'Fórmula'!F121,53))+'Fórmula'!I121*(INDEX(properties!A$1:CB$87,'Fórmula'!H121,53))+'Fórmula'!K121*(INDEX(properties!A$1:CB$87,'Fórmula'!J121,53))</f>
        <v>3575.3</v>
      </c>
      <c r="FD121" s="115">
        <f t="array" ref="FD121">VARP(IF(INDEX(properties!A$1:CB$87,'Fórmula'!B121,53)&lt;&gt;"",INDEX(properties!A$1:CB$87,'Fórmula'!B121,53)),IF(INDEX(properties!A$1:CB$87,'Fórmula'!D121,53)&lt;&gt;"",INDEX(properties!A$1:CB$87,'Fórmula'!D121,53)),IF(INDEX(properties!A$1:CB$87,'Fórmula'!F121,53)&lt;&gt;"",INDEX(properties!A$1:CB$87,'Fórmula'!F121,53)),IF(INDEX(properties!A$1:CB$87,'Fórmula'!H121,53)&lt;&gt;"",INDEX(properties!A$1:CB$87,'Fórmula'!H121,53)),IF(INDEX(properties!A$1:CB$87,'Fórmula'!J121,53)&lt;&gt;"",INDEX(properties!A$1:CB$87,'Fórmula'!J121,53)))</f>
        <v>755753.9974</v>
      </c>
      <c r="FE121" s="115">
        <f t="array" ref="FE121">MAX(INDEX(properties!A$1:CB$87,'Fórmula'!B121,53),INDEX(properties!A$1:CB$87,'Fórmula'!D121,53),INDEX(properties!A$1:CB$87,'Fórmula'!F121,53),INDEX(properties!A$1:CB$87,'Fórmula'!H121,53),INDEX(properties!A$1:CB$87,'Fórmula'!J121,53))</f>
        <v>2163.15</v>
      </c>
      <c r="FF121" s="115">
        <f t="array" ref="FF121">MIN(IF(INDEX(properties!A$1:CB$87,'Fórmula'!B121,53)=0,10^6,INDEX(properties!A$1:CB$87,'Fórmula'!B121,53)),IF(INDEX(properties!A$1:CB$87,'Fórmula'!D121,53)=0,10^6,INDEX(properties!A$1:CB$87,'Fórmula'!D121,53)),IF(INDEX(properties!A$1:CB$87,'Fórmula'!F121,53)=0,10^6,INDEX(properties!A$1:CB$87,'Fórmula'!F121,53)),IF(INDEX(properties!A$1:CB$87,'Fórmula'!H121,53)=0,10^6,INDEX(properties!A$1:CB$87,'Fórmula'!H121,53)),IF(INDEX(properties!A$1:CB$87,'Fórmula'!J121,53)=0,10^6,INDEX(properties!A$1:CB$87,'Fórmula'!J121,53)))</f>
        <v>54.75</v>
      </c>
      <c r="FG121" s="115">
        <f t="shared" si="27"/>
        <v>2108.4</v>
      </c>
      <c r="FH121" s="117">
        <f t="array" ref="FH121">(('Fórmula'!C121)/('Fórmula'!C121+'Fórmula'!E121+'Fórmula'!G121+'Fórmula'!I121+'Fórmula'!K121))*(INDEX(properties!A$1:CB$87,'Fórmula'!B121,54))+(('Fórmula'!E121)/('Fórmula'!C121+'Fórmula'!E121+'Fórmula'!G121+'Fórmula'!I121+'Fórmula'!K121))*(INDEX(properties!A$1:CB$87,'Fórmula'!D121,54))+(('Fórmula'!G121)/('Fórmula'!C121+'Fórmula'!E121+'Fórmula'!G121+'Fórmula'!I121+'Fórmula'!K121))*(INDEX(properties!A$1:CB$87,'Fórmula'!F121,54))+(('Fórmula'!I121)/('Fórmula'!C121+'Fórmula'!E121+'Fórmula'!G121+'Fórmula'!I121+'Fórmula'!K121))*(INDEX(properties!A$1:CB$87,'Fórmula'!H121,54))+(('Fórmula'!K121)/('Fórmula'!C121+'Fórmula'!E121+'Fórmula'!G121+'Fórmula'!I121+'Fórmula'!K121))*(INDEX(properties!A$1:CB$87,'Fórmula'!J121,54))</f>
        <v>1290.15</v>
      </c>
      <c r="FI121" s="117">
        <f t="array" ref="FI121">'Fórmula'!C121*(INDEX(properties!A$1:CB$87,'Fórmula'!B121,54))+'Fórmula'!E121*(INDEX(properties!A$1:CB$87,'Fórmula'!D121,54))+'Fórmula'!G121*(INDEX(properties!A$1:CB$87,'Fórmula'!F121,54))+'Fórmula'!I121*(INDEX(properties!A$1:CB$87,'Fórmula'!H121,54))+'Fórmula'!K121*(INDEX(properties!A$1:CB$87,'Fórmula'!J121,54))</f>
        <v>7740.9</v>
      </c>
      <c r="FJ121" s="117">
        <f t="array" ref="FJ121">VARP(IF(INDEX(properties!A$1:CB$87,'Fórmula'!B121,54)&lt;&gt;"",INDEX(properties!A$1:CB$87,'Fórmula'!B121,54)),IF(INDEX(properties!A$1:CB$87,'Fórmula'!D121,54)&lt;&gt;"",INDEX(properties!A$1:CB$87,'Fórmula'!D121,54)),IF(INDEX(properties!A$1:CB$87,'Fórmula'!F121,54)&lt;&gt;"",INDEX(properties!A$1:CB$87,'Fórmula'!F121,54)),IF(INDEX(properties!A$1:CB$87,'Fórmula'!H121,54)&lt;&gt;"",INDEX(properties!A$1:CB$87,'Fórmula'!H121,54)),IF(INDEX(properties!A$1:CB$87,'Fórmula'!J121,54)&lt;&gt;"",INDEX(properties!A$1:CB$87,'Fórmula'!J121,54)))</f>
        <v>3216750.885</v>
      </c>
      <c r="FK121" s="117">
        <f t="array" ref="FK121">MAX(INDEX(properties!A$1:CB$87,'Fórmula'!B121,54),INDEX(properties!A$1:CB$87,'Fórmula'!D121,54),INDEX(properties!A$1:CB$87,'Fórmula'!F121,54),INDEX(properties!A$1:CB$87,'Fórmula'!H121,54),INDEX(properties!A$1:CB$87,'Fórmula'!J121,54))</f>
        <v>3727.15</v>
      </c>
      <c r="FL121" s="117">
        <f t="array" ref="FL121">MIN(IF(INDEX(properties!A$1:CB$87,'Fórmula'!B121,54)=0,10^6,INDEX(properties!A$1:CB$87,'Fórmula'!B121,54)),IF(INDEX(properties!A$1:CB$87,'Fórmula'!D121,54)=0,10^6,INDEX(properties!A$1:CB$87,'Fórmula'!D121,54)),IF(INDEX(properties!A$1:CB$87,'Fórmula'!F121,54)=0,10^6,INDEX(properties!A$1:CB$87,'Fórmula'!F121,54)),IF(INDEX(properties!A$1:CB$87,'Fórmula'!H121,54)=0,10^6,INDEX(properties!A$1:CB$87,'Fórmula'!H121,54)),IF(INDEX(properties!A$1:CB$87,'Fórmula'!J121,54)=0,10^6,INDEX(properties!A$1:CB$87,'Fórmula'!J121,54)))</f>
        <v>90.15</v>
      </c>
      <c r="FM121" s="117">
        <f t="shared" si="28"/>
        <v>3637</v>
      </c>
      <c r="FN121" s="118">
        <f t="array" ref="FN121">(('Fórmula'!C121)/('Fórmula'!C121+'Fórmula'!E121+'Fórmula'!G121+'Fórmula'!I121+'Fórmula'!K121))*(INDEX(properties!A$1:CB$87,'Fórmula'!B121,55))+(('Fórmula'!E121)/('Fórmula'!C121+'Fórmula'!E121+'Fórmula'!G121+'Fórmula'!I121+'Fórmula'!K121))*(INDEX(properties!A$1:CB$87,'Fórmula'!D121,55))+(('Fórmula'!G121)/('Fórmula'!C121+'Fórmula'!E121+'Fórmula'!G121+'Fórmula'!I121+'Fórmula'!K121))*(INDEX(properties!A$1:CB$87,'Fórmula'!F121,55))+(('Fórmula'!I121)/('Fórmula'!C121+'Fórmula'!E121+'Fórmula'!G121+'Fórmula'!I121+'Fórmula'!K121))*(INDEX(properties!A$1:CB$87,'Fórmula'!H121,55))+(('Fórmula'!K121)/('Fórmula'!C121+'Fórmula'!E121+'Fórmula'!G121+'Fórmula'!I121+'Fórmula'!K121))*(INDEX(properties!A$1:CB$87,'Fórmula'!J121,55))</f>
        <v>2.044286667</v>
      </c>
      <c r="FO121" s="118">
        <f t="array" ref="FO121">'Fórmula'!C121*(INDEX(properties!A$1:CB$87,'Fórmula'!B121,55))+'Fórmula'!E121*(INDEX(properties!A$1:CB$87,'Fórmula'!D121,54))+'Fórmula'!G121*(INDEX(properties!A$1:CB$87,'Fórmula'!F121,55))+'Fórmula'!I121*(INDEX(properties!A$1:CB$87,'Fórmula'!H121,55))+'Fórmula'!K121*(INDEX(properties!A$1:CB$87,'Fórmula'!J121,55))</f>
        <v>3659.30572</v>
      </c>
      <c r="FP121" s="118">
        <f t="array" ref="FP121">VARP(IF(INDEX(properties!A$1:CB$87,'Fórmula'!B121,55)&lt;&gt;"",INDEX(properties!A$1:CB$87,'Fórmula'!B121,55)),IF(INDEX(properties!A$1:CB$87,'Fórmula'!D121,55)&lt;&gt;"",INDEX(properties!A$1:CB$87,'Fórmula'!D121,55)),IF(INDEX(properties!A$1:CB$87,'Fórmula'!F121,55)&lt;&gt;"",INDEX(properties!A$1:CB$87,'Fórmula'!F121,55)),IF(INDEX(properties!A$1:CB$87,'Fórmula'!H121,55)&lt;&gt;"",INDEX(properties!A$1:CB$87,'Fórmula'!H121,55)),IF(INDEX(properties!A$1:CB$87,'Fórmula'!J121,55)&lt;&gt;"",INDEX(properties!A$1:CB$87,'Fórmula'!J121,55)))</f>
        <v>9.017213783</v>
      </c>
      <c r="FQ121" s="118">
        <f t="array" ref="FQ121">MAX(INDEX(properties!A$1:CB$87,'Fórmula'!B121,55),INDEX(properties!A$1:CB$87,'Fórmula'!D121,55),INDEX(properties!A$1:CB$87,'Fórmula'!F121,55),INDEX(properties!A$1:CB$87,'Fórmula'!H121,55),INDEX(properties!A$1:CB$87,'Fórmula'!J121,55))</f>
        <v>6.15</v>
      </c>
      <c r="FR121" s="118">
        <f t="array" ref="FR121">MIN(IF(INDEX(properties!A$1:CB$87,'Fórmula'!B121,55)=0,10^6,INDEX(properties!A$1:CB$87,'Fórmula'!B121,55)),IF(INDEX(properties!A$1:CB$87,'Fórmula'!D121,55)=0,10^6,INDEX(properties!A$1:CB$87,'Fórmula'!D121,55)),IF(INDEX(properties!A$1:CB$87,'Fórmula'!F121,55)=0,10^6,INDEX(properties!A$1:CB$87,'Fórmula'!F121,55)),IF(INDEX(properties!A$1:CB$87,'Fórmula'!H121,55)=0,10^6,INDEX(properties!A$1:CB$87,'Fórmula'!H121,55)),IF(INDEX(properties!A$1:CB$87,'Fórmula'!J121,55)=0,10^6,INDEX(properties!A$1:CB$87,'Fórmula'!J121,55)))</f>
        <v>0.00143</v>
      </c>
      <c r="FS121" s="118">
        <f t="shared" si="29"/>
        <v>6.14857</v>
      </c>
      <c r="FT121" s="119">
        <f t="array" ref="FT121">(('Fórmula'!C121)/('Fórmula'!C121+'Fórmula'!E121+'Fórmula'!G121+'Fórmula'!I121+'Fórmula'!K121))*(INDEX(properties!A$1:CB$87,'Fórmula'!B121,56))+(('Fórmula'!E121)/('Fórmula'!C121+'Fórmula'!E121+'Fórmula'!G121+'Fórmula'!I121+'Fórmula'!K121))*(INDEX(properties!A$1:CB$87,'Fórmula'!D121,56))+(('Fórmula'!G121)/('Fórmula'!C121+'Fórmula'!E121+'Fórmula'!G121+'Fórmula'!I121+'Fórmula'!K121))*(INDEX(properties!A$1:CB$87,'Fórmula'!F121,56))+(('Fórmula'!I121)/('Fórmula'!C121+'Fórmula'!E121+'Fórmula'!G121+'Fórmula'!I121+'Fórmula'!K121))*(INDEX(properties!A$1:CB$87,'Fórmula'!H121,56))+(('Fórmula'!K121)/('Fórmula'!C121+'Fórmula'!E121+'Fórmula'!G121+'Fórmula'!I121+'Fórmula'!K121))*(INDEX(properties!A$1:CB$87,'Fórmula'!J121,56))</f>
        <v>0.7266666667</v>
      </c>
      <c r="FU121" s="119">
        <f t="array" ref="FU121">'Fórmula'!C121*(INDEX(properties!A$1:CB$87,'Fórmula'!B121,56))+'Fórmula'!E121*(INDEX(properties!A$1:CB$87,'Fórmula'!D121,56))+'Fórmula'!G121*(INDEX(properties!A$1:CB$87,'Fórmula'!F121,56))+'Fórmula'!I121*(INDEX(properties!A$1:CB$87,'Fórmula'!H121,56))+'Fórmula'!K121*(INDEX(properties!A$1:CB$87,'Fórmula'!J121,56))</f>
        <v>4.36</v>
      </c>
      <c r="FV121" s="119">
        <f t="array" ref="FV121">VARP(IF(INDEX(properties!A$1:CB$87,'Fórmula'!B121,56)&lt;&gt;"",INDEX(properties!A$1:CB$87,'Fórmula'!B121,56)),IF(INDEX(properties!A$1:CB$87,'Fórmula'!D121,56)&lt;&gt;"",INDEX(properties!A$1:CB$87,'Fórmula'!D121,56)),IF(INDEX(properties!A$1:CB$87,'Fórmula'!F121,56)&lt;&gt;"",INDEX(properties!A$1:CB$87,'Fórmula'!F121,56)),IF(INDEX(properties!A$1:CB$87,'Fórmula'!H121,56)&lt;&gt;"",INDEX(properties!A$1:CB$87,'Fórmula'!H121,56)),IF(INDEX(properties!A$1:CB$87,'Fórmula'!J121,56)&lt;&gt;"",INDEX(properties!A$1:CB$87,'Fórmula'!J121,56)))</f>
        <v>0.12212</v>
      </c>
      <c r="FW121" s="119">
        <f t="array" ref="FW121">MAX(INDEX(properties!A$1:CB$87,'Fórmula'!B121,56),INDEX(properties!A$1:CB$87,'Fórmula'!D121,56),INDEX(properties!A$1:CB$87,'Fórmula'!F121,56),INDEX(properties!A$1:CB$87,'Fórmula'!H121,56),INDEX(properties!A$1:CB$87,'Fórmula'!J121,56))</f>
        <v>0.92</v>
      </c>
      <c r="FX121" s="119">
        <f t="array" ref="FX121">MIN(IF(INDEX(properties!A$1:CB$87,'Fórmula'!B121,56)=0,10^6,INDEX(properties!A$1:CB$87,'Fórmula'!B121,56)),IF(INDEX(properties!A$1:CB$87,'Fórmula'!D121,56)=0,10^6,INDEX(properties!A$1:CB$87,'Fórmula'!D121,56)),IF(INDEX(properties!A$1:CB$87,'Fórmula'!F121,56)=0,10^6,INDEX(properties!A$1:CB$87,'Fórmula'!F121,56)),IF(INDEX(properties!A$1:CB$87,'Fórmula'!H121,56)=0,10^6,INDEX(properties!A$1:CB$87,'Fórmula'!H121,56)),IF(INDEX(properties!A$1:CB$87,'Fórmula'!J121,56)=0,10^6,INDEX(properties!A$1:CB$87,'Fórmula'!J121,56)))</f>
        <v>0.19</v>
      </c>
      <c r="FY121" s="119">
        <f t="shared" si="30"/>
        <v>0.73</v>
      </c>
      <c r="FZ121" s="104">
        <f t="array" ref="FZ121">(('Fórmula'!C121)/('Fórmula'!C121+'Fórmula'!E121+'Fórmula'!G121+'Fórmula'!I121+'Fórmula'!K121))*(INDEX(properties!A$1:CB$87,'Fórmula'!B121,57))+(('Fórmula'!E121)/('Fórmula'!C121+'Fórmula'!E121+'Fórmula'!G121+'Fórmula'!I121+'Fórmula'!K121))*(INDEX(properties!A$1:CB$87,'Fórmula'!D121,57))+(('Fórmula'!G121)/('Fórmula'!C121+'Fórmula'!E121+'Fórmula'!G121+'Fórmula'!I121+'Fórmula'!K121))*(INDEX(properties!A$1:CB$87,'Fórmula'!F121,57))+(('Fórmula'!I121)/('Fórmula'!C121+'Fórmula'!E121+'Fórmula'!G121+'Fórmula'!I121+'Fórmula'!K121))*(INDEX(properties!A$1:CB$87,'Fórmula'!H121,57))+(('Fórmula'!K121)/('Fórmula'!C121+'Fórmula'!E121+'Fórmula'!G121+'Fórmula'!I121+'Fórmula'!K121))*(INDEX(properties!A$1:CB$87,'Fórmula'!J121,57))</f>
        <v>4.66506</v>
      </c>
      <c r="GA121" s="104">
        <f t="array" ref="GA121">'Fórmula'!C121*(INDEX(properties!A$1:CB$87,'Fórmula'!B121,57))+'Fórmula'!E121*(INDEX(properties!A$1:CB$87,'Fórmula'!D121,57))+'Fórmula'!G121*(INDEX(properties!A$1:CB$87,'Fórmula'!F121,57))+'Fórmula'!I121*(INDEX(properties!A$1:CB$87,'Fórmula'!H121,57))+'Fórmula'!K121*(INDEX(properties!A$1:CB$87,'Fórmula'!J121,57))</f>
        <v>27.99036</v>
      </c>
      <c r="GB121" s="104">
        <f t="array" ref="GB121">VARP(IF(INDEX(properties!A$1:CB$87,'Fórmula'!B121,57)&lt;&gt;"",INDEX(properties!A$1:CB$87,'Fórmula'!B121,57)),IF(INDEX(properties!A$1:CB$87,'Fórmula'!D121,57)&lt;&gt;"",INDEX(properties!A$1:CB$87,'Fórmula'!D121,57)),IF(INDEX(properties!A$1:CB$87,'Fórmula'!F121,57)&lt;&gt;"",INDEX(properties!A$1:CB$87,'Fórmula'!F121,57)),IF(INDEX(properties!A$1:CB$87,'Fórmula'!H121,57)&lt;&gt;"",INDEX(properties!A$1:CB$87,'Fórmula'!H121,57)),IF(INDEX(properties!A$1:CB$87,'Fórmula'!J121,57)&lt;&gt;"",INDEX(properties!A$1:CB$87,'Fórmula'!J121,57)))</f>
        <v>65.19895229</v>
      </c>
      <c r="GC121" s="104">
        <f t="array" ref="GC121">MAX(INDEX(properties!A$1:CB$87,'Fórmula'!B121,57),INDEX(properties!A$1:CB$87,'Fórmula'!D121,57),INDEX(properties!A$1:CB$87,'Fórmula'!F121,57),INDEX(properties!A$1:CB$87,'Fórmula'!H121,57),INDEX(properties!A$1:CB$87,'Fórmula'!J121,57))</f>
        <v>20.9</v>
      </c>
      <c r="GD121" s="104">
        <f t="array" ref="GD121">MIN(IF(INDEX(properties!A$1:CB$87,'Fórmula'!B121,57)=0,10^6,INDEX(properties!A$1:CB$87,'Fórmula'!B121,57)),IF(INDEX(properties!A$1:CB$87,'Fórmula'!D121,57)=0,10^6,INDEX(properties!A$1:CB$87,'Fórmula'!D121,57)),IF(INDEX(properties!A$1:CB$87,'Fórmula'!F121,57)=0,10^6,INDEX(properties!A$1:CB$87,'Fórmula'!F121,57)),IF(INDEX(properties!A$1:CB$87,'Fórmula'!H121,57)=0,10^6,INDEX(properties!A$1:CB$87,'Fórmula'!H121,57)),IF(INDEX(properties!A$1:CB$87,'Fórmula'!J121,57)=0,10^6,INDEX(properties!A$1:CB$87,'Fórmula'!J121,57)))</f>
        <v>0.22259</v>
      </c>
      <c r="GE121" s="104">
        <f t="shared" si="31"/>
        <v>20.67741</v>
      </c>
      <c r="GF121" s="105">
        <f t="array" ref="GF121">(('Fórmula'!C121)/('Fórmula'!C121+'Fórmula'!E121+'Fórmula'!G121+'Fórmula'!I121+'Fórmula'!K121))*(INDEX(properties!A$1:CB$87,'Fórmula'!B121,60))+(('Fórmula'!E121)/('Fórmula'!C121+'Fórmula'!E121+'Fórmula'!G121+'Fórmula'!I121+'Fórmula'!K121))*(INDEX(properties!A$1:CB$87,'Fórmula'!D121,60))+(('Fórmula'!G121)/('Fórmula'!C121+'Fórmula'!E121+'Fórmula'!G121+'Fórmula'!I121+'Fórmula'!K121))*(INDEX(properties!A$1:CB$87,'Fórmula'!F121,60))+(('Fórmula'!I121)/('Fórmula'!C121+'Fórmula'!E121+'Fórmula'!G121+'Fórmula'!I121+'Fórmula'!K121))*(INDEX(properties!A$1:CB$87,'Fórmula'!H121,60))+(('Fórmula'!K121)/('Fórmula'!C121+'Fórmula'!E121+'Fórmula'!G121+'Fórmula'!I121+'Fórmula'!K121))*(INDEX(properties!A$1:CB$87,'Fórmula'!J121,60))</f>
        <v>7.384493333</v>
      </c>
      <c r="GG121" s="105">
        <f t="array" ref="GG121">'Fórmula'!C121*(INDEX(properties!A$1:CB$87,'Fórmula'!B121,60))+'Fórmula'!E121*(INDEX(properties!A$1:CB$87,'Fórmula'!D121,60))+'Fórmula'!G121*(INDEX(properties!A$1:CB$87,'Fórmula'!F121,60))+'Fórmula'!I121*(INDEX(properties!A$1:CB$87,'Fórmula'!H121,60))+'Fórmula'!K121*(INDEX(properties!A$1:CB$87,'Fórmula'!J121,60))</f>
        <v>44.30696</v>
      </c>
      <c r="GH121" s="105">
        <f t="array" ref="GH121">VARP(IF(INDEX(properties!A$1:CB$87,'Fórmula'!B121,60)&lt;&gt;"",INDEX(properties!A$1:CB$87,'Fórmula'!B121,60)),IF(INDEX(properties!A$1:CB$87,'Fórmula'!D121,60)&lt;&gt;"",INDEX(properties!A$1:CB$87,'Fórmula'!D121,60)),IF(INDEX(properties!A$1:CB$87,'Fórmula'!F121,60)&lt;&gt;"",INDEX(properties!A$1:CB$87,'Fórmula'!F121,60)),IF(INDEX(properties!A$1:CB$87,'Fórmula'!H121,60)&lt;&gt;"",INDEX(properties!A$1:CB$87,'Fórmula'!H121,60)),IF(INDEX(properties!A$1:CB$87,'Fórmula'!J121,60)&lt;&gt;"",INDEX(properties!A$1:CB$87,'Fórmula'!J121,60)))</f>
        <v>146.7079618</v>
      </c>
      <c r="GI121" s="105">
        <f t="array" ref="GI121">MAX(INDEX(properties!A$1:CB$87,'Fórmula'!B121,60),INDEX(properties!A$1:CB$87,'Fórmula'!D121,60),INDEX(properties!A$1:CB$87,'Fórmula'!F121,60),INDEX(properties!A$1:CB$87,'Fórmula'!H121,60),INDEX(properties!A$1:CB$87,'Fórmula'!J121,60))</f>
        <v>30.7</v>
      </c>
      <c r="GJ121" s="105">
        <f t="array" ref="GJ121">MIN(IF(INDEX(properties!A$1:CB$87,'Fórmula'!B121,60)=0,10^6,INDEX(properties!A$1:CB$87,'Fórmula'!B121,60)),IF(INDEX(properties!A$1:CB$87,'Fórmula'!D121,60)=0,10^6,INDEX(properties!A$1:CB$87,'Fórmula'!D121,60)),IF(INDEX(properties!A$1:CB$87,'Fórmula'!F121,60)=0,10^6,INDEX(properties!A$1:CB$87,'Fórmula'!F121,60)),IF(INDEX(properties!A$1:CB$87,'Fórmula'!H121,60)=0,10^6,INDEX(properties!A$1:CB$87,'Fórmula'!H121,60)),IF(INDEX(properties!A$1:CB$87,'Fórmula'!J121,60)=0,10^6,INDEX(properties!A$1:CB$87,'Fórmula'!J121,60)))</f>
        <v>0.02674</v>
      </c>
      <c r="GK121" s="105">
        <f t="shared" si="32"/>
        <v>30.67326</v>
      </c>
      <c r="GL121" s="106">
        <f t="array" ref="GL121">(('Fórmula'!C121)/('Fórmula'!C121+'Fórmula'!E121+'Fórmula'!G121+'Fórmula'!I121+'Fórmula'!K121))*(INDEX(properties!A$1:CB$87,'Fórmula'!B121,62))+(('Fórmula'!E121)/('Fórmula'!C121+'Fórmula'!E121+'Fórmula'!G121+'Fórmula'!I121+'Fórmula'!K121))*(INDEX(properties!A$1:CB$87,'Fórmula'!D121,62))+(('Fórmula'!G121)/('Fórmula'!C121+'Fórmula'!E121+'Fórmula'!G121+'Fórmula'!I121+'Fórmula'!K121))*(INDEX(properties!A$1:CB$87,'Fórmula'!F121,62))+(('Fórmula'!I121)/('Fórmula'!C121+'Fórmula'!E121+'Fórmula'!G121+'Fórmula'!I121+'Fórmula'!K121))*(INDEX(properties!A$1:CB$87,'Fórmula'!H121,62))+(('Fórmula'!K121)/('Fórmula'!C121+'Fórmula'!E121+'Fórmula'!G121+'Fórmula'!I121+'Fórmula'!K121))*(INDEX(properties!A$1:CB$87,'Fórmula'!J121,62))</f>
        <v>3.376666667</v>
      </c>
      <c r="GM121" s="106">
        <f t="array" ref="GM121">'Fórmula'!C121*(INDEX(properties!A$1:CB$87,'Fórmula'!B121,62))+'Fórmula'!E121*(INDEX(properties!A$1:CB$87,'Fórmula'!D121,62))+'Fórmula'!G121*(INDEX(properties!A$1:CB$87,'Fórmula'!F121,62))+'Fórmula'!I121*(INDEX(properties!A$1:CB$87,'Fórmula'!H121,62))+'Fórmula'!K121*(INDEX(properties!A$1:CB$87,'Fórmula'!J121,62))</f>
        <v>20.26</v>
      </c>
      <c r="GN121" s="106">
        <f t="array" ref="GN121">VARP(IF(INDEX(properties!A$1:CB$87,'Fórmula'!B121,62)&lt;&gt;"",INDEX(properties!A$1:CB$87,'Fórmula'!B121,62)),IF(INDEX(properties!A$1:CB$87,'Fórmula'!D121,62)&lt;&gt;"",INDEX(properties!A$1:CB$87,'Fórmula'!D121,62)),IF(INDEX(properties!A$1:CB$87,'Fórmula'!F121,62)&lt;&gt;"",INDEX(properties!A$1:CB$87,'Fórmula'!F121,62)),IF(INDEX(properties!A$1:CB$87,'Fórmula'!H121,62)&lt;&gt;"",INDEX(properties!A$1:CB$87,'Fórmula'!H121,62)),IF(INDEX(properties!A$1:CB$87,'Fórmula'!J121,62)&lt;&gt;"",INDEX(properties!A$1:CB$87,'Fórmula'!J121,62)))</f>
        <v>4.85788</v>
      </c>
      <c r="GO121" s="106">
        <f t="array" ref="GO121">MAX(INDEX(properties!A$1:CB$87,'Fórmula'!B121,62),INDEX(properties!A$1:CB$87,'Fórmula'!D121,62),INDEX(properties!A$1:CB$87,'Fórmula'!F121,62),INDEX(properties!A$1:CB$87,'Fórmula'!H121,62),INDEX(properties!A$1:CB$87,'Fórmula'!J121,62))</f>
        <v>5.31</v>
      </c>
      <c r="GP121" s="106">
        <f t="array" ref="GP121">MIN(IF(INDEX(properties!A$1:CB$87,'Fórmula'!B121,62)=0,10^6,INDEX(properties!A$1:CB$87,'Fórmula'!B121,62)),IF(INDEX(properties!A$1:CB$87,'Fórmula'!D121,62)=0,10^6,INDEX(properties!A$1:CB$87,'Fórmula'!D121,62)),IF(INDEX(properties!A$1:CB$87,'Fórmula'!F121,62)=0,10^6,INDEX(properties!A$1:CB$87,'Fórmula'!F121,62)),IF(INDEX(properties!A$1:CB$87,'Fórmula'!H121,62)=0,10^6,INDEX(properties!A$1:CB$87,'Fórmula'!H121,62)),IF(INDEX(properties!A$1:CB$87,'Fórmula'!J121,62)=0,10^6,INDEX(properties!A$1:CB$87,'Fórmula'!J121,62)))</f>
        <v>2.62</v>
      </c>
      <c r="GQ121" s="106">
        <f t="shared" si="33"/>
        <v>2.69</v>
      </c>
      <c r="GR121" s="106">
        <f>'Fórmula'!Q121</f>
        <v>14</v>
      </c>
      <c r="GS121" s="107">
        <f>'Fórmula'!P121</f>
        <v>6</v>
      </c>
      <c r="GT121" s="113">
        <f>'Fórmula'!O121</f>
        <v>5.07</v>
      </c>
      <c r="GU121" s="114">
        <f>AVERAGE('Fórmula'!R121/'Fórmula'!S121,'Fórmula'!S121/'Fórmula'!T121,'Fórmula'!T121/'Fórmula'!R121)</f>
        <v>1.001617164</v>
      </c>
      <c r="GV121" s="125">
        <f>'Fórmula'!U121</f>
        <v>332.83</v>
      </c>
      <c r="GW121" s="106">
        <f>'Fórmula'!N121</f>
        <v>0.01</v>
      </c>
    </row>
    <row r="122" ht="14.25" customHeight="1">
      <c r="A122" s="99" t="str">
        <f>'Fórmula'!A122</f>
        <v>Sr3Ga4O9</v>
      </c>
      <c r="B122" s="101">
        <f t="array" ref="B122">(('Fórmula'!C122)/('Fórmula'!C122+'Fórmula'!E122+'Fórmula'!G122+'Fórmula'!I122+'Fórmula'!K122))*(INDEX(properties!A$1:CB$87,'Fórmula'!B122,3))+(('Fórmula'!E122)/('Fórmula'!C122+'Fórmula'!E122+'Fórmula'!G122+'Fórmula'!I122+'Fórmula'!K122))*(INDEX(properties!A$1:CB$87,'Fórmula'!D122,3))+(('Fórmula'!G122)/('Fórmula'!C122+'Fórmula'!E122+'Fórmula'!G122+'Fórmula'!I122+'Fórmula'!K122))*(INDEX(properties!A$1:CB$87,'Fórmula'!F122,3))+(('Fórmula'!I122)/('Fórmula'!C122+'Fórmula'!E122+'Fórmula'!G122+'Fórmula'!I122+'Fórmula'!K122))*(INDEX(properties!A$1:CB$87,'Fórmula'!H122,3))+(('Fórmula'!K122)/('Fórmula'!C122+'Fórmula'!E122+'Fórmula'!G122+'Fórmula'!I122+'Fórmula'!K122))*(INDEX(properties!A$1:CB$87,'Fórmula'!J122,3))</f>
        <v>42.8591625</v>
      </c>
      <c r="C122" s="101">
        <f t="array" ref="C122">'Fórmula'!C122*(INDEX(properties!A$1:CB$87,'Fórmula'!B122,3))+'Fórmula'!E122*(INDEX(properties!A$1:CB$87,'Fórmula'!D122,3))+'Fórmula'!G122*(INDEX(properties!A$1:CB$87,'Fórmula'!F122,3))+'Fórmula'!I122*(INDEX(properties!A$1:CB$87,'Fórmula'!H122,3))+'Fórmula'!K122*(INDEX(properties!A$1:CB$87,'Fórmula'!J122,3))</f>
        <v>685.7466</v>
      </c>
      <c r="D122" s="101">
        <f t="array" ref="D122">VARP(IF(INDEX(properties!A$1:CB$87,'Fórmula'!B122,3)&lt;&gt;"",INDEX(properties!A$1:CB$87,'Fórmula'!B122,3)),IF(INDEX(properties!A$1:CB$87,'Fórmula'!D122,3)&lt;&gt;"",INDEX(properties!A$1:CB$87,'Fórmula'!D122,3)),IF(INDEX(properties!A$1:CB$87,'Fórmula'!F122,3)&lt;&gt;"",INDEX(properties!A$1:CB$87,'Fórmula'!F122,3)),IF(INDEX(properties!A$1:CB$87,'Fórmula'!H122,3)&lt;&gt;"",INDEX(properties!A$1:CB$87,'Fórmula'!H122,3)),IF(INDEX(properties!A$1:CB$87,'Fórmula'!J122,3)&lt;&gt;"",INDEX(properties!A$1:CB$87,'Fórmula'!J122,3)))</f>
        <v>1357.00488</v>
      </c>
      <c r="E122" s="101">
        <f t="array" ref="E122">MAX(INDEX(properties!A$1:CB$87,'Fórmula'!B122,3),INDEX(properties!A$1:CB$87,'Fórmula'!D122,3),INDEX(properties!A$1:CB$87,'Fórmula'!F122,3),INDEX(properties!A$1:CB$87,'Fórmula'!H122,3),INDEX(properties!A$1:CB$87,'Fórmula'!J122,3))</f>
        <v>87.62</v>
      </c>
      <c r="F122" s="101">
        <f t="array" ref="F122">MIN(IF(INDEX(properties!A$1:CB$87,'Fórmula'!B122,3)=0,10^6,INDEX(properties!A$1:CB$87,'Fórmula'!B122,3)),IF(INDEX(properties!A$1:CB$87,'Fórmula'!D122,3)=0,10^6,INDEX(properties!A$1:CB$87,'Fórmula'!D122,3)),IF(INDEX(properties!A$1:CB$87,'Fórmula'!F122,3)=0,10^6,INDEX(properties!A$1:CB$87,'Fórmula'!F122,3)),IF(INDEX(properties!A$1:CB$87,'Fórmula'!H122,3)=0,10^6,INDEX(properties!A$1:CB$87,'Fórmula'!H122,3)),IF(INDEX(properties!A$1:CB$87,'Fórmula'!J122,3)=0,10^6,INDEX(properties!A$1:CB$87,'Fórmula'!J122,3)))</f>
        <v>15.9994</v>
      </c>
      <c r="G122" s="101">
        <f t="shared" si="1"/>
        <v>71.6206</v>
      </c>
      <c r="H122" s="102">
        <f t="array" ref="H122">(('Fórmula'!C122)/('Fórmula'!C122+'Fórmula'!E122+'Fórmula'!G122+'Fórmula'!I122+'Fórmula'!K122))*(INDEX(properties!A$1:CB$87,'Fórmula'!B122,4))+(('Fórmula'!E122)/('Fórmula'!C122+'Fórmula'!E122+'Fórmula'!G122+'Fórmula'!I122+'Fórmula'!K122))*(INDEX(properties!A$1:CB$87,'Fórmula'!D122,4))+(('Fórmula'!G122)/('Fórmula'!C122+'Fórmula'!E122+'Fórmula'!G122+'Fórmula'!I122+'Fórmula'!K122))*(INDEX(properties!A$1:CB$87,'Fórmula'!F122,4))+(('Fórmula'!I122)/('Fórmula'!C122+'Fórmula'!E122+'Fórmula'!G122+'Fórmula'!I122+'Fórmula'!K122))*(INDEX(properties!A$1:CB$87,'Fórmula'!H122,4))+(('Fórmula'!K122)/('Fórmula'!C122+'Fórmula'!E122+'Fórmula'!G122+'Fórmula'!I122+'Fórmula'!K122))*(INDEX(properties!A$1:CB$87,'Fórmula'!J122,4))</f>
        <v>19.375</v>
      </c>
      <c r="I122" s="102">
        <f t="array" ref="I122">'Fórmula'!C122*(INDEX(properties!A$1:CB$87,'Fórmula'!B122,4))+'Fórmula'!E122*(INDEX(properties!A$1:CB$87,'Fórmula'!D122,4))+'Fórmula'!G122*(INDEX(properties!A$1:CB$87,'Fórmula'!F122,4))+'Fórmula'!I122*(INDEX(properties!A$1:CB$87,'Fórmula'!H122,4))+'Fórmula'!K122*(INDEX(properties!A$1:CB$87,'Fórmula'!J122,4))</f>
        <v>310</v>
      </c>
      <c r="J122" s="102">
        <f t="array" ref="J122">VARP(IF(INDEX(properties!A$1:CB$87,'Fórmula'!B122,4)&lt;&gt;"",INDEX(properties!A$1:CB$87,'Fórmula'!B122,4)),IF(INDEX(properties!A$1:CB$87,'Fórmula'!D122,4)&lt;&gt;"",INDEX(properties!A$1:CB$87,'Fórmula'!D122,4)),IF(INDEX(properties!A$1:CB$87,'Fórmula'!F122,4)&lt;&gt;"",INDEX(properties!A$1:CB$87,'Fórmula'!F122,4)),IF(INDEX(properties!A$1:CB$87,'Fórmula'!H122,4)&lt;&gt;"",INDEX(properties!A$1:CB$87,'Fórmula'!H122,4)),IF(INDEX(properties!A$1:CB$87,'Fórmula'!J122,4)&lt;&gt;"",INDEX(properties!A$1:CB$87,'Fórmula'!J122,4)))</f>
        <v>256.64</v>
      </c>
      <c r="K122" s="102">
        <f t="array" ref="K122">MAX(INDEX(properties!A$1:CB$87,'Fórmula'!B122,4),INDEX(properties!A$1:CB$87,'Fórmula'!D122,4),INDEX(properties!A$1:CB$87,'Fórmula'!F122,4),INDEX(properties!A$1:CB$87,'Fórmula'!H122,4),INDEX(properties!A$1:CB$87,'Fórmula'!J122,4))</f>
        <v>38</v>
      </c>
      <c r="L122" s="102">
        <f t="array" ref="L122">MIN(IF(INDEX(properties!A$1:CB$87,'Fórmula'!B122,4)=0,10^6,INDEX(properties!A$1:CB$87,'Fórmula'!B122,4)),IF(INDEX(properties!A$1:CB$87,'Fórmula'!D122,4)=0,10^6,INDEX(properties!A$1:CB$87,'Fórmula'!D122,4)),IF(INDEX(properties!A$1:CB$87,'Fórmula'!F122,4)=0,10^6,INDEX(properties!A$1:CB$87,'Fórmula'!F122,4)),IF(INDEX(properties!A$1:CB$87,'Fórmula'!H122,4)=0,10^6,INDEX(properties!A$1:CB$87,'Fórmula'!H122,4)),IF(INDEX(properties!A$1:CB$87,'Fórmula'!J122,4)=0,10^6,INDEX(properties!A$1:CB$87,'Fórmula'!J122,4)))</f>
        <v>8</v>
      </c>
      <c r="M122" s="102">
        <f t="shared" si="2"/>
        <v>30</v>
      </c>
      <c r="N122" s="103">
        <f t="array" ref="N122">(('Fórmula'!C122)/('Fórmula'!C122+'Fórmula'!E122+'Fórmula'!G122+'Fórmula'!I122+'Fórmula'!K122))*(INDEX(properties!A$1:CB$87,'Fórmula'!B122,5))+(('Fórmula'!E122)/('Fórmula'!C122+'Fórmula'!E122+'Fórmula'!G122+'Fórmula'!I122+'Fórmula'!K122))*(INDEX(properties!A$1:CB$87,'Fórmula'!D122,5))+(('Fórmula'!G122)/('Fórmula'!C122+'Fórmula'!E122+'Fórmula'!G122+'Fórmula'!I122+'Fórmula'!K122))*(INDEX(properties!A$1:CB$87,'Fórmula'!F122,5))+(('Fórmula'!I122)/('Fórmula'!C122+'Fórmula'!E122+'Fórmula'!G122+'Fórmula'!I122+'Fórmula'!K122))*(INDEX(properties!A$1:CB$87,'Fórmula'!H122,5))+(('Fórmula'!K122)/('Fórmula'!C122+'Fórmula'!E122+'Fórmula'!G122+'Fórmula'!I122+'Fórmula'!K122))*(INDEX(properties!A$1:CB$87,'Fórmula'!J122,5))</f>
        <v>3.0625</v>
      </c>
      <c r="O122" s="103">
        <f t="array" ref="O122">'Fórmula'!C122*(INDEX(properties!A$1:CB$87,'Fórmula'!B122,5))+'Fórmula'!E122*(INDEX(properties!A$1:CB$87,'Fórmula'!D122,5))+'Fórmula'!G122*(INDEX(properties!A$1:CB$87,'Fórmula'!F122,5))+'Fórmula'!I122*(INDEX(properties!A$1:CB$87,'Fórmula'!H122,5))+'Fórmula'!K122*(INDEX(properties!A$1:CB$87,'Fórmula'!J122,5))</f>
        <v>49</v>
      </c>
      <c r="P122" s="103">
        <f t="array" ref="P122">VARP(IF(INDEX(properties!A$1:CB$87,'Fórmula'!B122,5)&lt;&gt;"",INDEX(properties!A$1:CB$87,'Fórmula'!B122,5)),IF(INDEX(properties!A$1:CB$87,'Fórmula'!D122,5)&lt;&gt;"",INDEX(properties!A$1:CB$87,'Fórmula'!D122,5)),IF(INDEX(properties!A$1:CB$87,'Fórmula'!F122,5)&lt;&gt;"",INDEX(properties!A$1:CB$87,'Fórmula'!F122,5)),IF(INDEX(properties!A$1:CB$87,'Fórmula'!H122,5)&lt;&gt;"",INDEX(properties!A$1:CB$87,'Fórmula'!H122,5)),IF(INDEX(properties!A$1:CB$87,'Fórmula'!J122,5)&lt;&gt;"",INDEX(properties!A$1:CB$87,'Fórmula'!J122,5)))</f>
        <v>4.16</v>
      </c>
      <c r="Q122" s="103">
        <f t="array" ref="Q122">MAX(INDEX(properties!A$1:CB$87,'Fórmula'!B122,5),INDEX(properties!A$1:CB$87,'Fórmula'!D122,5),INDEX(properties!A$1:CB$87,'Fórmula'!F122,5),INDEX(properties!A$1:CB$87,'Fórmula'!H122,5),INDEX(properties!A$1:CB$87,'Fórmula'!J122,5))</f>
        <v>5</v>
      </c>
      <c r="R122" s="103">
        <f t="array" ref="R122">MIN(IF(INDEX(properties!A$1:CB$87,'Fórmula'!B122,5)=0,10^6,INDEX(properties!A$1:CB$87,'Fórmula'!B122,5)),IF(INDEX(properties!A$1:CB$87,'Fórmula'!D122,5)=0,10^6,INDEX(properties!A$1:CB$87,'Fórmula'!D122,5)),IF(INDEX(properties!A$1:CB$87,'Fórmula'!F122,5)=0,10^6,INDEX(properties!A$1:CB$87,'Fórmula'!F122,5)),IF(INDEX(properties!A$1:CB$87,'Fórmula'!H122,5)=0,10^6,INDEX(properties!A$1:CB$87,'Fórmula'!H122,5)),IF(INDEX(properties!A$1:CB$87,'Fórmula'!J122,5)=0,10^6,INDEX(properties!A$1:CB$87,'Fórmula'!J122,5)))</f>
        <v>2</v>
      </c>
      <c r="S122" s="103">
        <f t="shared" si="3"/>
        <v>3</v>
      </c>
      <c r="T122" s="104">
        <f t="array" ref="T122">(('Fórmula'!C122)/('Fórmula'!C122+'Fórmula'!E122+'Fórmula'!G122+'Fórmula'!I122+'Fórmula'!K122))*(INDEX(properties!A$1:CB$87,'Fórmula'!B122,6))+(('Fórmula'!E122)/('Fórmula'!C122+'Fórmula'!E122+'Fórmula'!G122+'Fórmula'!I122+'Fórmula'!K122))*(INDEX(properties!A$1:CB$87,'Fórmula'!D122,6))+(('Fórmula'!G122)/('Fórmula'!C122+'Fórmula'!E122+'Fórmula'!G122+'Fórmula'!I122+'Fórmula'!K122))*(INDEX(properties!A$1:CB$87,'Fórmula'!F122,6))+(('Fórmula'!I122)/('Fórmula'!C122+'Fórmula'!E122+'Fórmula'!G122+'Fórmula'!I122+'Fórmula'!K122))*(INDEX(properties!A$1:CB$87,'Fórmula'!H122,6))+(('Fórmula'!K122)/('Fórmula'!C122+'Fórmula'!E122+'Fórmula'!G122+'Fórmula'!I122+'Fórmula'!K122))*(INDEX(properties!A$1:CB$87,'Fórmula'!J122,6))</f>
        <v>12.625</v>
      </c>
      <c r="U122" s="104">
        <f t="array" ref="U122">'Fórmula'!C122*(INDEX(properties!A$1:CB$87,'Fórmula'!B122,6))+'Fórmula'!E122*(INDEX(properties!A$1:CB$87,'Fórmula'!D122,6))+'Fórmula'!G122*(INDEX(properties!A$1:CB$87,'Fórmula'!F122,6))+'Fórmula'!I122*(INDEX(properties!A$1:CB$87,'Fórmula'!H122,6))+'Fórmula'!K122*(INDEX(properties!A$1:CB$87,'Fórmula'!J122,6))</f>
        <v>202</v>
      </c>
      <c r="V122" s="103">
        <f t="array" ref="V122">VARP(IF(INDEX(properties!A$1:CB$87,'Fórmula'!B122,6)&lt;&gt;"",INDEX(properties!A$1:CB$87,'Fórmula'!B122,6)),IF(INDEX(properties!A$1:CB$87,'Fórmula'!D122,6)&lt;&gt;"",INDEX(properties!A$1:CB$87,'Fórmula'!D122,6)),IF(INDEX(properties!A$1:CB$87,'Fórmula'!F122,6)&lt;&gt;"",INDEX(properties!A$1:CB$87,'Fórmula'!F122,6)),IF(INDEX(properties!A$1:CB$87,'Fórmula'!H122,6)&lt;&gt;"",INDEX(properties!A$1:CB$87,'Fórmula'!H122,6)),IF(INDEX(properties!A$1:CB$87,'Fórmula'!J122,6)&lt;&gt;"",INDEX(properties!A$1:CB$87,'Fórmula'!J122,6)))</f>
        <v>47.36</v>
      </c>
      <c r="W122" s="104">
        <f t="array" ref="W122">MAX(INDEX(properties!A$1:CB$87,'Fórmula'!B122,6),INDEX(properties!A$1:CB$87,'Fórmula'!D122,6),INDEX(properties!A$1:CB$87,'Fórmula'!F122,6),INDEX(properties!A$1:CB$87,'Fórmula'!H122,4),INDEX(properties!A$1:CB$87,'Fórmula'!J122,6))</f>
        <v>16</v>
      </c>
      <c r="X122" s="104">
        <f t="array" ref="X122">MIN(IF(INDEX(properties!A$1:CB$87,'Fórmula'!B122,6)=0,10^6,INDEX(properties!A$1:CB$87,'Fórmula'!B122,6)),IF(INDEX(properties!A$1:CB$87,'Fórmula'!D122,6)=0,10^6,INDEX(properties!A$1:CB$87,'Fórmula'!D122,6)),IF(INDEX(properties!A$1:CB$87,'Fórmula'!F122,6)=0,10^6,INDEX(properties!A$1:CB$87,'Fórmula'!F122,6)),IF(INDEX(properties!A$1:CB$87,'Fórmula'!H122,6)=0,10^6,INDEX(properties!A$1:CB$87,'Fórmula'!H122,6)),IF(INDEX(properties!A$1:CB$87,'Fórmula'!J122,6)=0,10^6,INDEX(properties!A$1:CB$87,'Fórmula'!J122,6)))</f>
        <v>2</v>
      </c>
      <c r="Y122" s="104">
        <f t="shared" si="4"/>
        <v>14</v>
      </c>
      <c r="Z122" s="105">
        <f t="array" ref="Z122">(('Fórmula'!C122)/('Fórmula'!C122+'Fórmula'!E122+'Fórmula'!G122+'Fórmula'!I122+'Fórmula'!K122))*(INDEX(properties!A$1:CB$87,'Fórmula'!B122,9))+(('Fórmula'!E122)/('Fórmula'!C122+'Fórmula'!E122+'Fórmula'!G122+'Fórmula'!I122+'Fórmula'!K122))*(INDEX(properties!A$1:CB$87,'Fórmula'!D122,9))+(('Fórmula'!G122)/('Fórmula'!C122+'Fórmula'!E122+'Fórmula'!G122+'Fórmula'!I122+'Fórmula'!K122))*(INDEX(properties!A$1:CB$87,'Fórmula'!F122,9))+(('Fórmula'!I122)/('Fórmula'!C122+'Fórmula'!E122+'Fórmula'!G122+'Fórmula'!I122+'Fórmula'!K122))*(INDEX(properties!A$1:CB$87,'Fórmula'!H122,9))+(('Fórmula'!K122)/('Fórmula'!C122+'Fórmula'!E122+'Fórmula'!G122+'Fórmula'!I122+'Fórmula'!K122))*(INDEX(properties!A$1:CB$87,'Fórmula'!J122,9))</f>
        <v>68.9375</v>
      </c>
      <c r="AA122" s="105">
        <f t="array" ref="AA122">'Fórmula'!C122*(INDEX(properties!A$1:CB$87,'Fórmula'!B122,9))+'Fórmula'!E122*(INDEX(properties!A$1:CB$87,'Fórmula'!D122,9))+'Fórmula'!G122*(INDEX(properties!A$1:CB$87,'Fórmula'!F122,9))+'Fórmula'!I122*(INDEX(properties!A$1:CB$87,'Fórmula'!H122,9))+'Fórmula'!K122*(INDEX(properties!A$1:CB$87,'Fórmula'!J122,9))</f>
        <v>1103</v>
      </c>
      <c r="AB122" s="105">
        <f t="array" ref="AB122">VARP(IF(INDEX(properties!A$1:CB$87,'Fórmula'!B122,9)&lt;&gt;"",INDEX(properties!A$1:CB$87,'Fórmula'!B122,9)),IF(INDEX(properties!A$1:CB$87,'Fórmula'!D122,9)&lt;&gt;"",INDEX(properties!A$1:CB$87,'Fórmula'!D122,9)),IF(INDEX(properties!A$1:CB$87,'Fórmula'!F122,9)&lt;&gt;"",INDEX(properties!A$1:CB$87,'Fórmula'!F122,9)),IF(INDEX(properties!A$1:CB$87,'Fórmula'!H122,9)&lt;&gt;"",INDEX(properties!A$1:CB$87,'Fórmula'!H122,9)),IF(INDEX(properties!A$1:CB$87,'Fórmula'!J122,9)&lt;&gt;"",INDEX(properties!A$1:CB$87,'Fórmula'!J122,9)))</f>
        <v>1479.36</v>
      </c>
      <c r="AC122" s="105">
        <f t="array" ref="AC122">MAX(INDEX(properties!A$1:CB$87,'Fórmula'!B122,9),INDEX(properties!A$1:CB$87,'Fórmula'!D122,9),INDEX(properties!A$1:CB$87,'Fórmula'!F122,9),INDEX(properties!A$1:CB$87,'Fórmula'!H122,9),INDEX(properties!A$1:CB$87,'Fórmula'!J122,9))</f>
        <v>87</v>
      </c>
      <c r="AD122" s="105">
        <f t="array" ref="AD122">MIN(IF(INDEX(properties!A$1:CB$87,'Fórmula'!B122,9)=0,10^6,INDEX(properties!A$1:CB$87,'Fórmula'!B122,9)),IF(INDEX(properties!A$1:CB$87,'Fórmula'!D122,9)=0,10^6,INDEX(properties!A$1:CB$87,'Fórmula'!D122,9)),IF(INDEX(properties!A$1:CB$87,'Fórmula'!F122,9)=0,10^6,INDEX(properties!A$1:CB$87,'Fórmula'!F122,9)),IF(INDEX(properties!A$1:CB$87,'Fórmula'!H122,9)=0,10^6,INDEX(properties!A$1:CB$87,'Fórmula'!H122,9)),IF(INDEX(properties!A$1:CB$87,'Fórmula'!J122,9)=0,10^6,INDEX(properties!A$1:CB$87,'Fórmula'!J122,9)))</f>
        <v>8</v>
      </c>
      <c r="AE122" s="105">
        <f t="shared" si="5"/>
        <v>79</v>
      </c>
      <c r="AF122" s="106">
        <f t="array" ref="AF122">(('Fórmula'!C122)/('Fórmula'!C122+'Fórmula'!E122+'Fórmula'!G122+'Fórmula'!I122+'Fórmula'!K122))*(INDEX(properties!A$1:CB$87,'Fórmula'!B122,10))+(('Fórmula'!E122)/('Fórmula'!C122+'Fórmula'!E122+'Fórmula'!G122+'Fórmula'!I122+'Fórmula'!K122))*(INDEX(properties!A$1:CB$87,'Fórmula'!D122,10))+(('Fórmula'!G122)/('Fórmula'!C122+'Fórmula'!E122+'Fórmula'!G122+'Fórmula'!I122+'Fórmula'!K122))*(INDEX(properties!A$1:CB$87,'Fórmula'!F122,10))+(('Fórmula'!I122)/('Fórmula'!C122+'Fórmula'!E122+'Fórmula'!G122+'Fórmula'!I122+'Fórmula'!K122))*(INDEX(properties!A$1:CB$87,'Fórmula'!H122,10))+(('Fórmula'!K122)/('Fórmula'!C122+'Fórmula'!E122+'Fórmula'!G122+'Fórmula'!I122+'Fórmula'!K122))*(INDEX(properties!A$1:CB$87,'Fórmula'!J122,10))</f>
        <v>5.5625</v>
      </c>
      <c r="AG122" s="106">
        <f t="array" ref="AG122">'Fórmula'!C122*(INDEX(properties!A$1:CB$87,'Fórmula'!B122,10))+'Fórmula'!E122*(INDEX(properties!A$1:CB$87,'Fórmula'!D122,10))+'Fórmula'!G122*(INDEX(properties!A$1:CB$87,'Fórmula'!F122,10))+'Fórmula'!I122*(INDEX(properties!A$1:CB$87,'Fórmula'!H122,10))+'Fórmula'!K122*(INDEX(properties!A$1:CB$87,'Fórmula'!J122,10))</f>
        <v>89</v>
      </c>
      <c r="AH122" s="106">
        <f t="array" ref="AH122">VARP(IF(INDEX(properties!A$1:CB$87,'Fórmula'!B122,10)&lt;&gt;"",INDEX(properties!A$1:CB$87,'Fórmula'!B122,10)),IF(INDEX(properties!A$1:CB$87,'Fórmula'!D122,10)&lt;&gt;"",INDEX(properties!A$1:CB$87,'Fórmula'!D122,10)),IF(INDEX(properties!A$1:CB$87,'Fórmula'!F122,10)&lt;&gt;"",INDEX(properties!A$1:CB$87,'Fórmula'!F122,10)),IF(INDEX(properties!A$1:CB$87,'Fórmula'!H122,10)&lt;&gt;"",INDEX(properties!A$1:CB$87,'Fórmula'!H122,10)),IF(INDEX(properties!A$1:CB$87,'Fórmula'!J122,10)&lt;&gt;"",INDEX(properties!A$1:CB$87,'Fórmula'!J122,10)))</f>
        <v>7.76</v>
      </c>
      <c r="AI122" s="106">
        <f t="array" ref="AI122">MAX(INDEX(properties!A$1:CB$87,'Fórmula'!B122,10),INDEX(properties!A$1:CB$87,'Fórmula'!D122,10),INDEX(properties!A$1:CB$87,'Fórmula'!F122,10),INDEX(properties!A$1:CB$87,'Fórmula'!H122,10),INDEX(properties!A$1:CB$87,'Fórmula'!J122,10))</f>
        <v>7</v>
      </c>
      <c r="AJ122" s="106">
        <f t="array" ref="AJ122">MIN(IF(INDEX(properties!A$1:CB$87,'Fórmula'!B122,10)=0,10^6,INDEX(properties!A$1:CB$87,'Fórmula'!B122,10)),IF(INDEX(properties!A$1:CB$87,'Fórmula'!D122,10)=0,10^6,INDEX(properties!A$1:CB$87,'Fórmula'!D122,10)),IF(INDEX(properties!A$1:CB$87,'Fórmula'!F122,10)=0,10^6,INDEX(properties!A$1:CB$87,'Fórmula'!F122,10)),IF(INDEX(properties!A$1:CB$87,'Fórmula'!H122,10)=0,10^6,INDEX(properties!A$1:CB$87,'Fórmula'!H122,10)),IF(INDEX(properties!A$1:CB$87,'Fórmula'!J122,10)=0,10^6,INDEX(properties!A$1:CB$87,'Fórmula'!J122,10)))</f>
        <v>2</v>
      </c>
      <c r="AK122" s="106">
        <f t="shared" si="6"/>
        <v>5</v>
      </c>
      <c r="AL122" s="107">
        <f t="array" ref="AL122">(('Fórmula'!C122)/('Fórmula'!C122+'Fórmula'!E122+'Fórmula'!G122+'Fórmula'!I122+'Fórmula'!K122))*(INDEX(properties!A$1:CB$87,'Fórmula'!B122,11))+(('Fórmula'!E122)/('Fórmula'!C122+'Fórmula'!E122+'Fórmula'!G122+'Fórmula'!I122+'Fórmula'!K122))*(INDEX(properties!A$1:CB$87,'Fórmula'!D122,11))+(('Fórmula'!G122)/('Fórmula'!C122+'Fórmula'!E122+'Fórmula'!G122+'Fórmula'!I122+'Fórmula'!K122))*(INDEX(properties!A$1:CB$87,'Fórmula'!F122,11))+(('Fórmula'!I122)/('Fórmula'!C122+'Fórmula'!E122+'Fórmula'!G122+'Fórmula'!I122+'Fórmula'!K122))*(INDEX(properties!A$1:CB$87,'Fórmula'!H122,11))+(('Fórmula'!K122)/('Fórmula'!C122+'Fórmula'!E122+'Fórmula'!G122+'Fórmula'!I122+'Fórmula'!K122))*(INDEX(properties!A$1:CB$87,'Fórmula'!J122,11))</f>
        <v>2</v>
      </c>
      <c r="AM122" s="107">
        <f t="array" ref="AM122">'Fórmula'!C122*(INDEX(properties!A$1:CB$87,'Fórmula'!B122,11))+'Fórmula'!E122*(INDEX(properties!A$1:CB$87,'Fórmula'!D122,11))+'Fórmula'!G122*(INDEX(properties!A$1:CB$87,'Fórmula'!F122,11))+'Fórmula'!I122*(INDEX(properties!A$1:CB$87,'Fórmula'!H122,11))+'Fórmula'!K122*(INDEX(properties!A$1:CB$87,'Fórmula'!J122,11))</f>
        <v>32</v>
      </c>
      <c r="AN122" s="107">
        <f t="array" ref="AN122">VARP(IF(INDEX(properties!A$1:CB$87,'Fórmula'!B122,11)&lt;&gt;"",INDEX(properties!A$1:CB$87,'Fórmula'!B122,11)),IF(INDEX(properties!A$1:CB$87,'Fórmula'!D122,11)&lt;&gt;"",INDEX(properties!A$1:CB$87,'Fórmula'!D122,11)),IF(INDEX(properties!A$1:CB$87,'Fórmula'!F122,11)&lt;&gt;"",INDEX(properties!A$1:CB$87,'Fórmula'!F122,11)),IF(INDEX(properties!A$1:CB$87,'Fórmula'!H122,11)&lt;&gt;"",INDEX(properties!A$1:CB$87,'Fórmula'!H122,11)),IF(INDEX(properties!A$1:CB$87,'Fórmula'!J122,11)&lt;&gt;"",INDEX(properties!A$1:CB$87,'Fórmula'!J122,11)))</f>
        <v>0.96</v>
      </c>
      <c r="AO122" s="107">
        <f t="array" ref="AO122">MAX(INDEX(properties!A$1:CB$87,'Fórmula'!B122,11),INDEX(properties!A$1:CB$87,'Fórmula'!D122,11),INDEX(properties!A$1:CB$87,'Fórmula'!F122,11),INDEX(properties!A$1:CB$87,'Fórmula'!H122,11),INDEX(properties!A$1:CB$87,'Fórmula'!J122,11))</f>
        <v>2</v>
      </c>
      <c r="AP122" s="107">
        <f t="array" ref="AP122">MIN(IF('Fórmula'!B122=87,10^6,INDEX(properties!A$1:CB$87,'Fórmula'!B122,11)),IF(('Fórmula'!D122)=87,10^6,INDEX(properties!A$1:CB$87,'Fórmula'!D122,11)),IF(('Fórmula'!F122)=87,10^6,INDEX(properties!A$1:CB$87,'Fórmula'!F122,11)),IF(('Fórmula'!H122)=87,10^6,INDEX(properties!A$1:CB$87,'Fórmula'!H122,11)),IF('Fórmula'!J122=87,10^6,INDEX(properties!A$1:CB$87,'Fórmula'!J122,11)))</f>
        <v>2</v>
      </c>
      <c r="AQ122" s="107">
        <f t="shared" si="7"/>
        <v>0</v>
      </c>
      <c r="AR122" s="108">
        <f t="array" ref="AR122">(('Fórmula'!C122)/('Fórmula'!C122+'Fórmula'!E122+'Fórmula'!G122+'Fórmula'!I122+'Fórmula'!K122))*(INDEX(properties!A$1:CB$87,'Fórmula'!B122,12))+(('Fórmula'!E122)/('Fórmula'!C122+'Fórmula'!E122+'Fórmula'!G122+'Fórmula'!I122+'Fórmula'!K122))*(INDEX(properties!A$1:CB$87,'Fórmula'!D122,12))+(('Fórmula'!G122)/('Fórmula'!C122+'Fórmula'!E122+'Fórmula'!G122+'Fórmula'!I122+'Fórmula'!K122))*(INDEX(properties!A$1:CB$87,'Fórmula'!F122,12))+(('Fórmula'!I122)/('Fórmula'!C122+'Fórmula'!E122+'Fórmula'!G122+'Fórmula'!I122+'Fórmula'!K122))*(INDEX(properties!A$1:CB$87,'Fórmula'!H122,12))+(('Fórmula'!K122)/('Fórmula'!C122+'Fórmula'!E122+'Fórmula'!G122+'Fórmula'!I122+'Fórmula'!K122))*(INDEX(properties!A$1:CB$87,'Fórmula'!J122,12))</f>
        <v>2.5</v>
      </c>
      <c r="AS122" s="108">
        <f t="array" ref="AS122">'Fórmula'!C122*(INDEX(properties!A$1:CB$87,'Fórmula'!B122,12))+'Fórmula'!E122*(INDEX(properties!A$1:CB$87,'Fórmula'!D122,12))+'Fórmula'!G122*(INDEX(properties!A$1:CB$87,'Fórmula'!F122,12))+'Fórmula'!I122*(INDEX(properties!A$1:CB$87,'Fórmula'!H122,12))+'Fórmula'!K122*(INDEX(properties!A$1:CB$87,'Fórmula'!J122,12))</f>
        <v>40</v>
      </c>
      <c r="AT122" s="108">
        <f t="array" ref="AT122">VARP(IF(INDEX(properties!A$1:CB$87,'Fórmula'!B122,12)&lt;&gt;"",INDEX(properties!A$1:CB$87,'Fórmula'!B122,12)),IF(INDEX(properties!A$1:CB$87,'Fórmula'!D122,12)&lt;&gt;"",INDEX(properties!A$1:CB$87,'Fórmula'!D122,12)),IF(INDEX(properties!A$1:CB$87,'Fórmula'!F122,12)&lt;&gt;"",INDEX(properties!A$1:CB$87,'Fórmula'!F122,12)),IF(INDEX(properties!A$1:CB$87,'Fórmula'!H122,12)&lt;&gt;"",INDEX(properties!A$1:CB$87,'Fórmula'!H122,12)),IF(INDEX(properties!A$1:CB$87,'Fórmula'!J122,12)&lt;&gt;"",INDEX(properties!A$1:CB$87,'Fórmula'!J122,12)))</f>
        <v>2.4</v>
      </c>
      <c r="AU122" s="108">
        <f t="array" ref="AU122">MAX(INDEX(properties!A$1:CB$87,'Fórmula'!B122,12),INDEX(properties!A$1:CB$87,'Fórmula'!D122,12),INDEX(properties!A$1:CB$87,'Fórmula'!F122,12),INDEX(properties!A$1:CB$87,'Fórmula'!H122,12),INDEX(properties!A$1:CB$87,'Fórmula'!J122,12))</f>
        <v>4</v>
      </c>
      <c r="AV122" s="108">
        <f t="array" ref="AV122">MIN(IF('Fórmula'!B122=87,10^6,INDEX(properties!A$1:CB$87,'Fórmula'!B122,12)),IF(('Fórmula'!D122)=87,10^6,INDEX(properties!A$1:CB$87,'Fórmula'!D122,12)),IF(('Fórmula'!F122)=87,10^6,INDEX(properties!A$1:CB$87,'Fórmula'!F122,12)),IF(('Fórmula'!H122)=87,10^6,INDEX(properties!A$1:CB$87,'Fórmula'!H122,12)),IF('Fórmula'!J122=87,10^6,INDEX(properties!A$1:CB$87,'Fórmula'!J122,12)))</f>
        <v>0</v>
      </c>
      <c r="AW122" s="108">
        <f t="shared" si="8"/>
        <v>4</v>
      </c>
      <c r="AX122" s="109">
        <f t="array" ref="AX122">(('Fórmula'!C122)/('Fórmula'!C122+'Fórmula'!E122+'Fórmula'!G122+'Fórmula'!I122+'Fórmula'!K122))*(INDEX(properties!A$1:CB$87,'Fórmula'!B122,13))+(('Fórmula'!E122)/('Fórmula'!C122+'Fórmula'!E122+'Fórmula'!G122+'Fórmula'!I122+'Fórmula'!K122))*(INDEX(properties!A$1:CB$87,'Fórmula'!D122,13))+(('Fórmula'!G122)/('Fórmula'!C122+'Fórmula'!E122+'Fórmula'!G122+'Fórmula'!I122+'Fórmula'!K122))*(INDEX(properties!A$1:CB$87,'Fórmula'!F122,13))+(('Fórmula'!I122)/('Fórmula'!C122+'Fórmula'!E122+'Fórmula'!G122+'Fórmula'!I122+'Fórmula'!K122))*(INDEX(properties!A$1:CB$87,'Fórmula'!H122,13))+(('Fórmula'!K122)/('Fórmula'!C122+'Fórmula'!E122+'Fórmula'!G122+'Fórmula'!I122+'Fórmula'!K122))*(INDEX(properties!A$1:CB$87,'Fórmula'!J122,13))</f>
        <v>2.5</v>
      </c>
      <c r="AY122" s="109">
        <f t="array" ref="AY122">'Fórmula'!C122*(INDEX(properties!A$1:CB$87,'Fórmula'!B122,13))+'Fórmula'!E122*(INDEX(properties!A$1:CB$87,'Fórmula'!D122,13))+'Fórmula'!G122*(INDEX(properties!A$1:CB$87,'Fórmula'!F122,13))+'Fórmula'!I122*(INDEX(properties!A$1:CB$87,'Fórmula'!H122,13))+'Fórmula'!K122*(INDEX(properties!A$1:CB$87,'Fórmula'!J122,13))</f>
        <v>40</v>
      </c>
      <c r="AZ122" s="109">
        <f t="array" ref="AZ122">VARP(IF(INDEX(properties!A$1:CB$87,'Fórmula'!B122,13)&lt;&gt;"",INDEX(properties!A$1:CB$87,'Fórmula'!B122,13)),IF(INDEX(properties!A$1:CB$87,'Fórmula'!D122,13)&lt;&gt;"",INDEX(properties!A$1:CB$87,'Fórmula'!D122,13)),IF(INDEX(properties!A$1:CB$87,'Fórmula'!F122,13)&lt;&gt;"",INDEX(properties!A$1:CB$87,'Fórmula'!F122,13)),IF(INDEX(properties!A$1:CB$87,'Fórmula'!H122,13)&lt;&gt;"",INDEX(properties!A$1:CB$87,'Fórmula'!H122,13)),IF(INDEX(properties!A$1:CB$87,'Fórmula'!J122,13)&lt;&gt;"",INDEX(properties!A$1:CB$87,'Fórmula'!J122,13)))</f>
        <v>16</v>
      </c>
      <c r="BA122" s="109">
        <f t="array" ref="BA122">MAX(INDEX(properties!A$1:CB$87,'Fórmula'!B122,13),INDEX(properties!A$1:CB$87,'Fórmula'!D122,13),INDEX(properties!A$1:CB$87,'Fórmula'!F122,13),INDEX(properties!A$1:CB$87,'Fórmula'!H122,13),INDEX(properties!A$1:CB$87,'Fórmula'!J122,13))</f>
        <v>10</v>
      </c>
      <c r="BB122" s="109">
        <f t="array" ref="BB122">MIN(IF('Fórmula'!B122=87,10^6,INDEX(properties!A$1:CB$87,'Fórmula'!B122,13)),IF(('Fórmula'!D122)=87,10^6,INDEX(properties!A$1:CB$87,'Fórmula'!D122,13)),IF(('Fórmula'!F122)=87,10^6,INDEX(properties!A$1:CB$87,'Fórmula'!F122,13)),IF(('Fórmula'!H122)=87,10^6,INDEX(properties!A$1:CB$87,'Fórmula'!H122,13)),IF('Fórmula'!J122=87,10^6,INDEX(properties!A$1:CB$87,'Fórmula'!J122,13)))</f>
        <v>0</v>
      </c>
      <c r="BC122" s="109">
        <f t="shared" si="9"/>
        <v>10</v>
      </c>
      <c r="BD122" s="110">
        <f t="array" ref="BD122">(('Fórmula'!C122)/('Fórmula'!C122+'Fórmula'!E122+'Fórmula'!G122+'Fórmula'!I122+'Fórmula'!K122))*(INDEX(properties!A$1:CB$87,'Fórmula'!B122,14))+(('Fórmula'!E122)/('Fórmula'!C122+'Fórmula'!E122+'Fórmula'!G122+'Fórmula'!I122+'Fórmula'!K122))*(INDEX(properties!A$1:CB$87,'Fórmula'!D122,14))+(('Fórmula'!G122)/('Fórmula'!C122+'Fórmula'!E122+'Fórmula'!G122+'Fórmula'!I122+'Fórmula'!K122))*(INDEX(properties!A$1:CB$87,'Fórmula'!F122,14))+(('Fórmula'!I122)/('Fórmula'!C122+'Fórmula'!E122+'Fórmula'!G122+'Fórmula'!I122+'Fórmula'!K122))*(INDEX(properties!A$1:CB$87,'Fórmula'!H122,14))+(('Fórmula'!K122)/('Fórmula'!C122+'Fórmula'!E122+'Fórmula'!G122+'Fórmula'!I122+'Fórmula'!K122))*(INDEX(properties!A$1:CB$87,'Fórmula'!J122,14))</f>
        <v>0</v>
      </c>
      <c r="BE122" s="110">
        <f t="array" ref="BE122">'Fórmula'!C122*(INDEX(properties!A$1:CB$87,'Fórmula'!B122,14))+'Fórmula'!E122*(INDEX(properties!A$1:CB$87,'Fórmula'!D122,14))+'Fórmula'!G122*(INDEX(properties!A$1:CB$87,'Fórmula'!F122,14))+'Fórmula'!I122*(INDEX(properties!A$1:CB$87,'Fórmula'!H122,14))+'Fórmula'!K122*(INDEX(properties!A$1:CB$87,'Fórmula'!J122,14))</f>
        <v>0</v>
      </c>
      <c r="BF122" s="110">
        <f t="array" ref="BF122">VARP(IF(INDEX(properties!A$1:CB$87,'Fórmula'!B122,14)&lt;&gt;"",INDEX(properties!A$1:CB$87,'Fórmula'!B122,14)),IF(INDEX(properties!A$1:CB$87,'Fórmula'!D122,14)&lt;&gt;"",INDEX(properties!A$1:CB$87,'Fórmula'!D122,14)),IF(INDEX(properties!A$1:CB$87,'Fórmula'!F122,14)&lt;&gt;"",INDEX(properties!A$1:CB$87,'Fórmula'!F122,14)),IF(INDEX(properties!A$1:CB$87,'Fórmula'!H122,14)&lt;&gt;"",INDEX(properties!A$1:CB$87,'Fórmula'!H122,14)),IF(INDEX(properties!A$1:CB$87,'Fórmula'!J122,14)&lt;&gt;"",INDEX(properties!A$1:CB$87,'Fórmula'!J122,14)))</f>
        <v>0</v>
      </c>
      <c r="BG122" s="110">
        <f t="array" ref="BG122">MAX(INDEX(properties!A$1:CB$87,'Fórmula'!B122,14),INDEX(properties!A$1:CB$87,'Fórmula'!D122,14),INDEX(properties!A$1:CB$87,'Fórmula'!F122,14),INDEX(properties!A$1:CB$87,'Fórmula'!H122,14),INDEX(properties!A$1:CB$87,'Fórmula'!J122,14))</f>
        <v>0</v>
      </c>
      <c r="BH122" s="110">
        <f t="array" ref="BH122">MIN(IF('Fórmula'!B122=87,10^6,INDEX(properties!A$1:CB$87,'Fórmula'!B122,14)),IF(('Fórmula'!D122)=87,10^6,INDEX(properties!A$1:CB$87,'Fórmula'!D122,14)),IF(('Fórmula'!F122)=87,10^6,INDEX(properties!A$1:CB$87,'Fórmula'!F122,14)),IF(('Fórmula'!H122)=87,10^6,INDEX(properties!A$1:CB$87,'Fórmula'!H122,14)),IF('Fórmula'!J122=87,10^6,INDEX(properties!A$1:CB$87,'Fórmula'!J122,14)))</f>
        <v>0</v>
      </c>
      <c r="BI122" s="110">
        <f t="shared" si="10"/>
        <v>0</v>
      </c>
      <c r="BJ122" s="111">
        <f t="array" ref="BJ122">(('Fórmula'!C122)/('Fórmula'!C122+'Fórmula'!E122+'Fórmula'!G122+'Fórmula'!I122+'Fórmula'!K122))*(INDEX(properties!A$1:CB$87,'Fórmula'!B122,19))+(('Fórmula'!E122)/('Fórmula'!C122+'Fórmula'!E122+'Fórmula'!G122+'Fórmula'!I122+'Fórmula'!K122))*(INDEX(properties!A$1:CB$87,'Fórmula'!D122,19))+(('Fórmula'!G122)/('Fórmula'!C122+'Fórmula'!E122+'Fórmula'!G122+'Fórmula'!I122+'Fórmula'!K122))*(INDEX(properties!A$1:CB$87,'Fórmula'!F122,19))+(('Fórmula'!I122)/('Fórmula'!C122+'Fórmula'!E122+'Fórmula'!G122+'Fórmula'!I122+'Fórmula'!K122))*(INDEX(properties!A$1:CB$87,'Fórmula'!H122,19))+(('Fórmula'!K122)/('Fórmula'!C122+'Fórmula'!E122+'Fórmula'!G122+'Fórmula'!I122+'Fórmula'!K122))*(INDEX(properties!A$1:CB$87,'Fórmula'!J122,19))</f>
        <v>7</v>
      </c>
      <c r="BK122" s="111">
        <f t="array" ref="BK122">'Fórmula'!C122*(INDEX(properties!A$1:CB$87,'Fórmula'!B122,19))+'Fórmula'!E122*(INDEX(properties!A$1:CB$87,'Fórmula'!D122,19))+'Fórmula'!G122*(INDEX(properties!A$1:CB$87,'Fórmula'!F122,19))+'Fórmula'!I122*(INDEX(properties!A$1:CB$87,'Fórmula'!H122,19))+'Fórmula'!K122*(INDEX(properties!A$1:CB$87,'Fórmula'!J122,19))</f>
        <v>112</v>
      </c>
      <c r="BL122" s="111">
        <f t="array" ref="BL122">VARP(IF(INDEX(properties!A$1:CB$87,'Fórmula'!B122,19)&lt;&gt;"",INDEX(properties!A$1:CB$87,'Fórmula'!B122,19)),IF(INDEX(properties!A$1:CB$87,'Fórmula'!D122,19)&lt;&gt;"",INDEX(properties!A$1:CB$87,'Fórmula'!D122,19)),IF(INDEX(properties!A$1:CB$87,'Fórmula'!F122,19)&lt;&gt;"",INDEX(properties!A$1:CB$87,'Fórmula'!F122,19)),IF(INDEX(properties!A$1:CB$87,'Fórmula'!H122,19)&lt;&gt;"",INDEX(properties!A$1:CB$87,'Fórmula'!H122,19)),IF(INDEX(properties!A$1:CB$87,'Fórmula'!J122,19)&lt;&gt;"",INDEX(properties!A$1:CB$87,'Fórmula'!J122,19)))</f>
        <v>24.16</v>
      </c>
      <c r="BM122" s="111">
        <f t="array" ref="BM122">MAX(INDEX(properties!A$1:CB$87,'Fórmula'!B122,19),INDEX(properties!A$1:CB$87,'Fórmula'!D122,19),INDEX(properties!A$1:CB$87,'Fórmula'!F122,19),INDEX(properties!A$1:CB$87,'Fórmula'!H122,19),INDEX(properties!A$1:CB$87,'Fórmula'!J122,19))</f>
        <v>13</v>
      </c>
      <c r="BN122" s="111">
        <f t="array" ref="BN122">MIN(IF(INDEX(properties!A$1:CB$87,'Fórmula'!B122,19)=0,10^6,INDEX(properties!A$1:CB$87,'Fórmula'!B122,19)),IF(INDEX(properties!A$1:CB$87,'Fórmula'!D122,19)=0,10^6,INDEX(properties!A$1:CB$87,'Fórmula'!D122,19)),IF(INDEX(properties!A$1:CB$87,'Fórmula'!F122,19)=0,10^6,INDEX(properties!A$1:CB$87,'Fórmula'!F122,19)),IF(INDEX(properties!A$1:CB$87,'Fórmula'!H122,19)=0,10^6,INDEX(properties!A$1:CB$87,'Fórmula'!H122,19)),IF(INDEX(properties!A$1:CB$87,'Fórmula'!J122,19)=0,10^6,INDEX(properties!A$1:CB$87,'Fórmula'!J122,19)))</f>
        <v>2</v>
      </c>
      <c r="BO122" s="111">
        <f t="shared" si="11"/>
        <v>11</v>
      </c>
      <c r="BP122" s="112">
        <f t="array" ref="BP122">(('Fórmula'!C122)/('Fórmula'!C122+'Fórmula'!E122+'Fórmula'!G122+'Fórmula'!I122+'Fórmula'!K122))*(INDEX(properties!A$1:CB$87,'Fórmula'!B122,20))+(('Fórmula'!E122)/('Fórmula'!C122+'Fórmula'!E122+'Fórmula'!G122+'Fórmula'!I122+'Fórmula'!K122))*(INDEX(properties!A$1:CB$87,'Fórmula'!D122,20))+(('Fórmula'!G122)/('Fórmula'!C122+'Fórmula'!E122+'Fórmula'!G122+'Fórmula'!I122+'Fórmula'!K122))*(INDEX(properties!A$1:CB$87,'Fórmula'!F122,20))+(('Fórmula'!I122)/('Fórmula'!C122+'Fórmula'!E122+'Fórmula'!G122+'Fórmula'!I122+'Fórmula'!K122))*(INDEX(properties!A$1:CB$87,'Fórmula'!H122,20))+(('Fórmula'!K122)/('Fórmula'!C122+'Fórmula'!E122+'Fórmula'!G122+'Fórmula'!I122+'Fórmula'!K122))*(INDEX(properties!A$1:CB$87,'Fórmula'!J122,20))</f>
        <v>4.5</v>
      </c>
      <c r="BQ122" s="112">
        <f t="array" ref="BQ122">'Fórmula'!C122*(INDEX(properties!A$1:CB$87,'Fórmula'!B122,20))+'Fórmula'!E122*(INDEX(properties!A$1:CB$87,'Fórmula'!D122,20))+'Fórmula'!G122*(INDEX(properties!A$1:CB$87,'Fórmula'!F122,20))+'Fórmula'!I122*(INDEX(properties!A$1:CB$87,'Fórmula'!H122,20))+'Fórmula'!K122*(INDEX(properties!A$1:CB$87,'Fórmula'!J122,20))</f>
        <v>72</v>
      </c>
      <c r="BR122" s="112">
        <f t="array" ref="BR122">VARP(IF(INDEX(properties!A$1:CB$87,'Fórmula'!B122,20)&lt;&gt;"",INDEX(properties!A$1:CB$87,'Fórmula'!B122,20)),IF(INDEX(properties!A$1:CB$87,'Fórmula'!D122,20)&lt;&gt;"",INDEX(properties!A$1:CB$87,'Fórmula'!D122,20)),IF(INDEX(properties!A$1:CB$87,'Fórmula'!F122,20)&lt;&gt;"",INDEX(properties!A$1:CB$87,'Fórmula'!F122,20)),IF(INDEX(properties!A$1:CB$87,'Fórmula'!H122,20)&lt;&gt;"",INDEX(properties!A$1:CB$87,'Fórmula'!H122,20)),IF(INDEX(properties!A$1:CB$87,'Fórmula'!J122,20)&lt;&gt;"",INDEX(properties!A$1:CB$87,'Fórmula'!J122,20)))</f>
        <v>4.96</v>
      </c>
      <c r="BS122" s="112">
        <f t="array" ref="BS122">MAX(INDEX(properties!A$1:CB$87,'Fórmula'!B122,20),INDEX(properties!A$1:CB$87,'Fórmula'!D122,20),INDEX(properties!A$1:CB$87,'Fórmula'!F122,20),INDEX(properties!A$1:CB$87,'Fórmula'!H122,20),INDEX(properties!A$1:CB$87,'Fórmula'!J122,20))</f>
        <v>6</v>
      </c>
      <c r="BT122" s="112">
        <f t="array" ref="BT122">MIN(IF(INDEX(properties!A$1:CB$87,'Fórmula'!B122,20)=0,10^6,INDEX(properties!A$1:CB$87,'Fórmula'!B122,20)),IF(INDEX(properties!A$1:CB$87,'Fórmula'!D122,20)=0,10^6,INDEX(properties!A$1:CB$87,'Fórmula'!D122,20)),IF(INDEX(properties!A$1:CB$87,'Fórmula'!F122,20)=0,10^6,INDEX(properties!A$1:CB$87,'Fórmula'!F122,20)),IF(INDEX(properties!A$1:CB$87,'Fórmula'!H122,20)=0,10^6,INDEX(properties!A$1:CB$87,'Fórmula'!H122,20)),IF(INDEX(properties!A$1:CB$87,'Fórmula'!J122,20)=0,10^6,INDEX(properties!A$1:CB$87,'Fórmula'!J122,20)))</f>
        <v>2</v>
      </c>
      <c r="BU122" s="112">
        <f t="shared" si="12"/>
        <v>4</v>
      </c>
      <c r="BV122" s="113">
        <f t="array" ref="BV122">(('Fórmula'!C122)/('Fórmula'!C122+'Fórmula'!E122+'Fórmula'!G122+'Fórmula'!I122+'Fórmula'!K122))*(INDEX(properties!A$1:CB$87,'Fórmula'!B122,21))+(('Fórmula'!E122)/('Fórmula'!C122+'Fórmula'!E122+'Fórmula'!G122+'Fórmula'!I122+'Fórmula'!K122))*(INDEX(properties!A$1:CB$87,'Fórmula'!D122,21))+(('Fórmula'!G122)/('Fórmula'!C122+'Fórmula'!E122+'Fórmula'!G122+'Fórmula'!I122+'Fórmula'!K122))*(INDEX(properties!A$1:CB$87,'Fórmula'!F122,21))+(('Fórmula'!I122)/('Fórmula'!C122+'Fórmula'!E122+'Fórmula'!G122+'Fórmula'!I122+'Fórmula'!K122))*(INDEX(properties!A$1:CB$87,'Fórmula'!H122,21))+(('Fórmula'!K122)/('Fórmula'!C122+'Fórmula'!E122+'Fórmula'!G122+'Fórmula'!I122+'Fórmula'!K122))*(INDEX(properties!A$1:CB$87,'Fórmula'!J122,21))</f>
        <v>4.5</v>
      </c>
      <c r="BW122" s="113">
        <f t="array" ref="BW122">'Fórmula'!C122*(INDEX(properties!A$1:CB$87,'Fórmula'!B122,21))+'Fórmula'!E122*(INDEX(properties!A$1:CB$87,'Fórmula'!D122,21))+'Fórmula'!G122*(INDEX(properties!A$1:CB$87,'Fórmula'!F122,21))+'Fórmula'!I122*(INDEX(properties!A$1:CB$87,'Fórmula'!H122,21))+'Fórmula'!K122*(INDEX(properties!A$1:CB$87,'Fórmula'!J122,21))</f>
        <v>72</v>
      </c>
      <c r="BX122" s="113">
        <f t="array" ref="BX122">VARP(IF(INDEX(properties!A$1:CB$87,'Fórmula'!B122,21)&lt;&gt;"",INDEX(properties!A$1:CB$87,'Fórmula'!B122,21)),IF(INDEX(properties!A$1:CB$87,'Fórmula'!D122,21)&lt;&gt;"",INDEX(properties!A$1:CB$87,'Fórmula'!D122,21)),IF(INDEX(properties!A$1:CB$87,'Fórmula'!F122,21)&lt;&gt;"",INDEX(properties!A$1:CB$87,'Fórmula'!F122,21)),IF(INDEX(properties!A$1:CB$87,'Fórmula'!H122,21)&lt;&gt;"",INDEX(properties!A$1:CB$87,'Fórmula'!H122,21)),IF(INDEX(properties!A$1:CB$87,'Fórmula'!J122,21)&lt;&gt;"",INDEX(properties!A$1:CB$87,'Fórmula'!J122,21)))</f>
        <v>4.96</v>
      </c>
      <c r="BY122" s="113">
        <f t="array" ref="BY122">MAX(INDEX(properties!A$1:CB$87,'Fórmula'!B122,21),INDEX(properties!A$1:CB$87,'Fórmula'!D122,21),INDEX(properties!A$1:CB$87,'Fórmula'!F122,21),INDEX(properties!A$1:CB$87,'Fórmula'!H122,21),INDEX(properties!A$1:CB$87,'Fórmula'!J122,21))</f>
        <v>6</v>
      </c>
      <c r="BZ122" s="113">
        <f t="array" ref="BZ122">MIN(IF(INDEX(properties!A$1:CB$87,'Fórmula'!B122,21)=0,10^6,INDEX(properties!A$1:CB$87,'Fórmula'!B122,21)),IF(INDEX(properties!A$1:CB$87,'Fórmula'!D122,21)=0,10^6,INDEX(properties!A$1:CB$87,'Fórmula'!D122,21)),IF(INDEX(properties!A$1:CB$87,'Fórmula'!F122,21)=0,10^6,INDEX(properties!A$1:CB$87,'Fórmula'!F122,21)),IF(INDEX(properties!A$1:CB$87,'Fórmula'!H122,21)=0,10^6,INDEX(properties!A$1:CB$87,'Fórmula'!H122,21)),IF(INDEX(properties!A$1:CB$87,'Fórmula'!J122,21)=0,10^6,INDEX(properties!A$1:CB$87,'Fórmula'!J122,21)))</f>
        <v>2</v>
      </c>
      <c r="CA122" s="113">
        <f t="shared" si="13"/>
        <v>4</v>
      </c>
      <c r="CB122" s="114">
        <f t="array" ref="CB122">(('Fórmula'!C122)/('Fórmula'!C122+'Fórmula'!E122+'Fórmula'!G122+'Fórmula'!I122+'Fórmula'!K122))*(INDEX(properties!A$1:CB$87,'Fórmula'!B122,23))+(('Fórmula'!E122)/('Fórmula'!C122+'Fórmula'!E122+'Fórmula'!G122+'Fórmula'!I122+'Fórmula'!K122))*(INDEX(properties!A$1:CB$87,'Fórmula'!D122,23))+(('Fórmula'!G122)/('Fórmula'!C122+'Fórmula'!E122+'Fórmula'!G122+'Fórmula'!I122+'Fórmula'!K122))*(INDEX(properties!A$1:CB$87,'Fórmula'!F122,23))+(('Fórmula'!I122)/('Fórmula'!C122+'Fórmula'!E122+'Fórmula'!G122+'Fórmula'!I122+'Fórmula'!K122))*(INDEX(properties!A$1:CB$87,'Fórmula'!H122,23))+(('Fórmula'!K122)/('Fórmula'!C122+'Fórmula'!E122+'Fórmula'!G122+'Fórmula'!I122+'Fórmula'!K122))*(INDEX(properties!A$1:CB$87,'Fórmula'!J122,23))</f>
        <v>1.235</v>
      </c>
      <c r="CC122" s="114">
        <f t="array" ref="CC122">'Fórmula'!C122*(INDEX(properties!A$1:CB$87,'Fórmula'!B122,23))+'Fórmula'!E122*(INDEX(properties!A$1:CB$87,'Fórmula'!D122,23))+'Fórmula'!G122*(INDEX(properties!A$1:CB$87,'Fórmula'!F122,23))+'Fórmula'!I122*(INDEX(properties!A$1:CB$87,'Fórmula'!H122,23))+'Fórmula'!K122*(INDEX(properties!A$1:CB$87,'Fórmula'!J122,23))</f>
        <v>19.76</v>
      </c>
      <c r="CD122" s="114">
        <f t="array" ref="CD122">VARP(IF(INDEX(properties!A$1:CB$87,'Fórmula'!B122,23)&lt;&gt;"",INDEX(properties!A$1:CB$87,'Fórmula'!B122,23)),IF(INDEX(properties!A$1:CB$87,'Fórmula'!D122,23)&lt;&gt;"",INDEX(properties!A$1:CB$87,'Fórmula'!D122,23)),IF(INDEX(properties!A$1:CB$87,'Fórmula'!F122,23)&lt;&gt;"",INDEX(properties!A$1:CB$87,'Fórmula'!F122,23)),IF(INDEX(properties!A$1:CB$87,'Fórmula'!H122,23)&lt;&gt;"",INDEX(properties!A$1:CB$87,'Fórmula'!H122,23)),IF(INDEX(properties!A$1:CB$87,'Fórmula'!J122,23)&lt;&gt;"",INDEX(properties!A$1:CB$87,'Fórmula'!J122,23)))</f>
        <v>1.982976</v>
      </c>
      <c r="CE122" s="114">
        <f t="array" ref="CE122">MAX(INDEX(properties!A$1:CB$87,'Fórmula'!B122,23),INDEX(properties!A$1:CB$87,'Fórmula'!D122,23),INDEX(properties!A$1:CB$87,'Fórmula'!F122,23),INDEX(properties!A$1:CB$87,'Fórmula'!H122,23),INDEX(properties!A$1:CB$87,'Fórmula'!J122,23))</f>
        <v>3.44</v>
      </c>
      <c r="CF122" s="114">
        <f t="array" ref="CF122">MIN(IF('Fórmula'!B122=87,10^6,INDEX(properties!A$1:CB$87,'Fórmula'!B122,23)),IF(('Fórmula'!D122)=87,10^6,INDEX(properties!A$1:CB$87,'Fórmula'!D122,23)),IF(('Fórmula'!F122)=87,10^6,INDEX(properties!A$1:CB$87,'Fórmula'!F122,23)),IF(('Fórmula'!H122)=87,10^6,INDEX(properties!A$1:CB$87,'Fórmula'!H122,23)),IF('Fórmula'!J122=87,10^6,INDEX(properties!A$1:CB$87,'Fórmula'!J122,23)))</f>
        <v>0</v>
      </c>
      <c r="CG122" s="114">
        <f t="shared" si="14"/>
        <v>3.44</v>
      </c>
      <c r="CH122" s="115">
        <f t="array" ref="CH122">(('Fórmula'!C122)/('Fórmula'!C122+'Fórmula'!E122+'Fórmula'!G122+'Fórmula'!I122+'Fórmula'!K122))*(INDEX(properties!A$1:CB$87,'Fórmula'!B122,26))+(('Fórmula'!E122)/('Fórmula'!C122+'Fórmula'!E122+'Fórmula'!G122+'Fórmula'!I122+'Fórmula'!K122))*(INDEX(properties!A$1:CB$87,'Fórmula'!D122,26))+(('Fórmula'!G122)/('Fórmula'!C122+'Fórmula'!E122+'Fórmula'!G122+'Fórmula'!I122+'Fórmula'!K122))*(INDEX(properties!A$1:CB$87,'Fórmula'!F122,26))+(('Fórmula'!I122)/('Fórmula'!C122+'Fórmula'!E122+'Fórmula'!G122+'Fórmula'!I122+'Fórmula'!K122))*(INDEX(properties!A$1:CB$87,'Fórmula'!H122,26))+(('Fórmula'!K122)/('Fórmula'!C122+'Fórmula'!E122+'Fórmula'!G122+'Fórmula'!I122+'Fórmula'!K122))*(INDEX(properties!A$1:CB$87,'Fórmula'!J122,26))</f>
        <v>10.2278</v>
      </c>
      <c r="CI122" s="115">
        <f t="array" ref="CI122">'Fórmula'!C122*(INDEX(properties!A$1:CB$87,'Fórmula'!B122,26))+'Fórmula'!E122*(INDEX(properties!A$1:CB$87,'Fórmula'!D122,26))+'Fórmula'!G122*(INDEX(properties!A$1:CB$87,'Fórmula'!F122,26))+'Fórmula'!I122*(INDEX(properties!A$1:CB$87,'Fórmula'!H122,26))+'Fórmula'!K122*(INDEX(properties!A$1:CB$87,'Fórmula'!J122,26))</f>
        <v>163.6448</v>
      </c>
      <c r="CJ122" s="115">
        <f t="array" ref="CJ122">VARP(IF(INDEX(properties!A$1:CB$87,'Fórmula'!B122,26)&lt;&gt;"",INDEX(properties!A$1:CB$87,'Fórmula'!B122,26)),IF(INDEX(properties!A$1:CB$87,'Fórmula'!D122,26)&lt;&gt;"",INDEX(properties!A$1:CB$87,'Fórmula'!D122,26)),IF(INDEX(properties!A$1:CB$87,'Fórmula'!F122,26)&lt;&gt;"",INDEX(properties!A$1:CB$87,'Fórmula'!F122,26)),IF(INDEX(properties!A$1:CB$87,'Fórmula'!H122,26)&lt;&gt;"",INDEX(properties!A$1:CB$87,'Fórmula'!H122,26)),IF(INDEX(properties!A$1:CB$87,'Fórmula'!J122,26)&lt;&gt;"",INDEX(properties!A$1:CB$87,'Fórmula'!J122,26)))</f>
        <v>25.14672557</v>
      </c>
      <c r="CK122" s="116">
        <f t="array" ref="CK122">MAX(INDEX(properties!A$1:CB$87,'Fórmula'!B122,26),INDEX(properties!A$1:CB$87,'Fórmula'!D122,26),INDEX(properties!A$1:CB$87,'Fórmula'!F122,26),INDEX(properties!A$1:CB$87,'Fórmula'!H122,26),INDEX(properties!A$1:CB$87,'Fórmula'!J122,26))</f>
        <v>13.6181</v>
      </c>
      <c r="CL122" s="116">
        <f t="array" ref="CL122">MIN(IF(INDEX(properties!A$1:CB$87,'Fórmula'!B122,26)=0,10^6,INDEX(properties!A$1:CB$87,'Fórmula'!B122,26)),IF(INDEX(properties!A$1:CB$87,'Fórmula'!D122,26)=0,10^6,INDEX(properties!A$1:CB$87,'Fórmula'!D122,26)),IF(INDEX(properties!A$1:CB$87,'Fórmula'!F122,26)=0,10^6,INDEX(properties!A$1:CB$87,'Fórmula'!F122,26)),IF(INDEX(properties!A$1:CB$87,'Fórmula'!H122,26)=0,10^6,INDEX(properties!A$1:CB$87,'Fórmula'!H122,26)),IF(INDEX(properties!A$1:CB$87,'Fórmula'!J122,26)=0,10^6,INDEX(properties!A$1:CB$87,'Fórmula'!J122,26)))</f>
        <v>5.6949</v>
      </c>
      <c r="CM122" s="115">
        <f t="shared" si="15"/>
        <v>7.9232</v>
      </c>
      <c r="CN122" s="117">
        <f t="array" ref="CN122">(('Fórmula'!C122)/('Fórmula'!C122+'Fórmula'!E122+'Fórmula'!G122+'Fórmula'!I122+'Fórmula'!K122))*(INDEX(properties!A$1:CB$87,'Fórmula'!B122,30))+(('Fórmula'!E122)/('Fórmula'!C122+'Fórmula'!E122+'Fórmula'!G122+'Fórmula'!I122+'Fórmula'!K122))*(INDEX(properties!A$1:CB$87,'Fórmula'!D122,30))+(('Fórmula'!G122)/('Fórmula'!C122+'Fórmula'!E122+'Fórmula'!G122+'Fórmula'!I122+'Fórmula'!K122))*(INDEX(properties!A$1:CB$87,'Fórmula'!F122,30))+(('Fórmula'!I122)/('Fórmula'!C122+'Fórmula'!E122+'Fórmula'!G122+'Fórmula'!I122+'Fórmula'!K122))*(INDEX(properties!A$1:CB$87,'Fórmula'!H122,30))+(('Fórmula'!K122)/('Fórmula'!C122+'Fórmula'!E122+'Fórmula'!G122+'Fórmula'!I122+'Fórmula'!K122))*(INDEX(properties!A$1:CB$87,'Fórmula'!J122,30))</f>
        <v>2.565625</v>
      </c>
      <c r="CO122" s="117">
        <f t="array" ref="CO122">'Fórmula'!C122*(INDEX(properties!A$1:CB$87,'Fórmula'!B122,30))+'Fórmula'!E122*(INDEX(properties!A$1:CB$87,'Fórmula'!D122,30))+'Fórmula'!G122*(INDEX(properties!A$1:CB$87,'Fórmula'!F122,30))+'Fórmula'!I122*(INDEX(properties!A$1:CB$87,'Fórmula'!H122,30))+'Fórmula'!K122*(INDEX(properties!A$1:CB$87,'Fórmula'!J122,30))</f>
        <v>41.05</v>
      </c>
      <c r="CP122" s="117">
        <f t="array" ref="CP122">VARP(IF(INDEX(properties!A$1:CB$87,'Fórmula'!B122,30)&lt;&gt;"",INDEX(properties!A$1:CB$87,'Fórmula'!B122,30)),IF(INDEX(properties!A$1:CB$87,'Fórmula'!D122,30)&lt;&gt;"",INDEX(properties!A$1:CB$87,'Fórmula'!D122,30)),IF(INDEX(properties!A$1:CB$87,'Fórmula'!F122,30)&lt;&gt;"",INDEX(properties!A$1:CB$87,'Fórmula'!F122,30)),IF(INDEX(properties!A$1:CB$87,'Fórmula'!H122,30)&lt;&gt;"",INDEX(properties!A$1:CB$87,'Fórmula'!H122,30)),IF(INDEX(properties!A$1:CB$87,'Fórmula'!J122,30)&lt;&gt;"",INDEX(properties!A$1:CB$87,'Fórmula'!J122,30)))</f>
        <v>1.66484</v>
      </c>
      <c r="CQ122" s="117">
        <f t="array" ref="CQ122">MAX(INDEX(properties!A$1:CB$87,'Fórmula'!B122,30),INDEX(properties!A$1:CB$87,'Fórmula'!D122,30),INDEX(properties!A$1:CB$87,'Fórmula'!F122,30),INDEX(properties!A$1:CB$87,'Fórmula'!H122,30),INDEX(properties!A$1:CB$87,'Fórmula'!J122,30))</f>
        <v>3.44</v>
      </c>
      <c r="CR122" s="117">
        <f t="array" ref="CR122">MIN(IF(INDEX(properties!A$1:CB$87,'Fórmula'!B122,30)=0,10^6,INDEX(properties!A$1:CB$87,'Fórmula'!B122,30)),IF(INDEX(properties!A$1:CB$87,'Fórmula'!D122,30)=0,10^6,INDEX(properties!A$1:CB$87,'Fórmula'!D122,30)),IF(INDEX(properties!A$1:CB$87,'Fórmula'!F122,30)=0,10^6,INDEX(properties!A$1:CB$87,'Fórmula'!F122,30)),IF(INDEX(properties!A$1:CB$87,'Fórmula'!H122,30)=0,10^6,INDEX(properties!A$1:CB$87,'Fórmula'!H122,30)),IF(INDEX(properties!A$1:CB$87,'Fórmula'!J122,30)=0,10^6,INDEX(properties!A$1:CB$87,'Fórmula'!J122,30)))</f>
        <v>0.95</v>
      </c>
      <c r="CS122" s="117">
        <f t="shared" si="16"/>
        <v>2.49</v>
      </c>
      <c r="CT122" s="118">
        <f t="array" ref="CT122">(('Fórmula'!C122)/('Fórmula'!C122+'Fórmula'!E122+'Fórmula'!G122+'Fórmula'!I122+'Fórmula'!K122))*(INDEX(properties!A$1:CB$87,'Fórmula'!B122,31))+(('Fórmula'!E122)/('Fórmula'!C122+'Fórmula'!E122+'Fórmula'!G122+'Fórmula'!I122+'Fórmula'!K122))*(INDEX(properties!A$1:CB$87,'Fórmula'!D122,31))+(('Fórmula'!G122)/('Fórmula'!C122+'Fórmula'!E122+'Fórmula'!G122+'Fórmula'!I122+'Fórmula'!K122))*(INDEX(properties!A$1:CB$87,'Fórmula'!F122,31))+(('Fórmula'!I122)/('Fórmula'!C122+'Fórmula'!E122+'Fórmula'!G122+'Fórmula'!I122+'Fórmula'!K122))*(INDEX(properties!A$1:CB$87,'Fórmula'!H122,31))+(('Fórmula'!K122)/('Fórmula'!C122+'Fórmula'!E122+'Fórmula'!G122+'Fórmula'!I122+'Fórmula'!K122))*(INDEX(properties!A$1:CB$87,'Fórmula'!J122,31))</f>
        <v>2.504375</v>
      </c>
      <c r="CU122" s="118">
        <f t="array" ref="CU122">'Fórmula'!C122*(INDEX(properties!A$1:CB$87,'Fórmula'!B122,31))+'Fórmula'!E122*(INDEX(properties!A$1:CB$87,'Fórmula'!D122,31))+'Fórmula'!G122*(INDEX(properties!A$1:CB$87,'Fórmula'!F122,31))+'Fórmula'!I122*(INDEX(properties!A$1:CB$87,'Fórmula'!H122,31))+'Fórmula'!K122*(INDEX(properties!A$1:CB$87,'Fórmula'!J122,31))</f>
        <v>40.07</v>
      </c>
      <c r="CV122" s="118">
        <f t="array" ref="CV122">VARP(IF(INDEX(properties!A$1:CB$87,'Fórmula'!B122,31)&lt;&gt;"",INDEX(properties!A$1:CB$87,'Fórmula'!B122,31)),IF(INDEX(properties!A$1:CB$87,'Fórmula'!D122,31)&lt;&gt;"",INDEX(properties!A$1:CB$87,'Fórmula'!D122,31)),IF(INDEX(properties!A$1:CB$87,'Fórmula'!F122,31)&lt;&gt;"",INDEX(properties!A$1:CB$87,'Fórmula'!F122,31)),IF(INDEX(properties!A$1:CB$87,'Fórmula'!H122,31)&lt;&gt;"",INDEX(properties!A$1:CB$87,'Fórmula'!H122,31)),IF(INDEX(properties!A$1:CB$87,'Fórmula'!J122,31)&lt;&gt;"",INDEX(properties!A$1:CB$87,'Fórmula'!J122,31)))</f>
        <v>1.52496</v>
      </c>
      <c r="CW122" s="118">
        <f t="array" ref="CW122">MAX(INDEX(properties!A$1:CB$87,'Fórmula'!B122,31),INDEX(properties!A$1:CB$87,'Fórmula'!D122,31),INDEX(properties!A$1:CB$87,'Fórmula'!F122,31),INDEX(properties!A$1:CB$87,'Fórmula'!H122,31),INDEX(properties!A$1:CB$87,'Fórmula'!J122,31))</f>
        <v>3.32</v>
      </c>
      <c r="CX122" s="118">
        <f t="array" ref="CX122">MIN(IF(INDEX(properties!A$1:CB$87,'Fórmula'!B122,31)=0,10^6,INDEX(properties!A$1:CB$87,'Fórmula'!B122,31)),IF(INDEX(properties!A$1:CB$87,'Fórmula'!D122,31)=0,10^6,INDEX(properties!A$1:CB$87,'Fórmula'!D122,31)),IF(INDEX(properties!A$1:CB$87,'Fórmula'!F122,31)=0,10^6,INDEX(properties!A$1:CB$87,'Fórmula'!F122,31)),IF(INDEX(properties!A$1:CB$87,'Fórmula'!H122,31)=0,10^6,INDEX(properties!A$1:CB$87,'Fórmula'!H122,31)),IF(INDEX(properties!A$1:CB$87,'Fórmula'!J122,31)=0,10^6,INDEX(properties!A$1:CB$87,'Fórmula'!J122,31)))</f>
        <v>1.13</v>
      </c>
      <c r="CY122" s="118">
        <f t="shared" si="17"/>
        <v>2.19</v>
      </c>
      <c r="CZ122" s="119">
        <f t="array" ref="CZ122">(('Fórmula'!C122)/('Fórmula'!C122+'Fórmula'!E122+'Fórmula'!G122+'Fórmula'!I122+'Fórmula'!K122))*(INDEX(properties!A$1:CB$87,'Fórmula'!B122,32))+(('Fórmula'!E122)/('Fórmula'!C122+'Fórmula'!E122+'Fórmula'!G122+'Fórmula'!I122+'Fórmula'!K122))*(INDEX(properties!A$1:CB$87,'Fórmula'!D122,32))+(('Fórmula'!G122)/('Fórmula'!C122+'Fórmula'!E122+'Fórmula'!G122+'Fórmula'!I122+'Fórmula'!K122))*(INDEX(properties!A$1:CB$87,'Fórmula'!F122,32))+(('Fórmula'!I122)/('Fórmula'!C122+'Fórmula'!E122+'Fórmula'!G122+'Fórmula'!I122+'Fórmula'!K122))*(INDEX(properties!A$1:CB$87,'Fórmula'!H122,32))+(('Fórmula'!K122)/('Fórmula'!C122+'Fórmula'!E122+'Fórmula'!G122+'Fórmula'!I122+'Fórmula'!K122))*(INDEX(properties!A$1:CB$87,'Fórmula'!J122,32))</f>
        <v>5.41625</v>
      </c>
      <c r="DA122" s="119">
        <f t="array" ref="DA122">'Fórmula'!C122*(INDEX(properties!A$1:CB$87,'Fórmula'!B122,32))+'Fórmula'!E122*(INDEX(properties!A$1:CB$87,'Fórmula'!D122,32))+'Fórmula'!G122*(INDEX(properties!A$1:CB$87,'Fórmula'!F122,32))+'Fórmula'!I122*(INDEX(properties!A$1:CB$87,'Fórmula'!H122,32))+'Fórmula'!K122*(INDEX(properties!A$1:CB$87,'Fórmula'!J122,32))</f>
        <v>86.66</v>
      </c>
      <c r="DB122" s="119">
        <f t="array" ref="DB122">VARP(IF(INDEX(properties!A$1:CB$87,'Fórmula'!B122,32)&lt;&gt;"",INDEX(properties!A$1:CB$87,'Fórmula'!B122,32)),IF(INDEX(properties!A$1:CB$87,'Fórmula'!D122,32)&lt;&gt;"",INDEX(properties!A$1:CB$87,'Fórmula'!D122,32)),IF(INDEX(properties!A$1:CB$87,'Fórmula'!F122,32)&lt;&gt;"",INDEX(properties!A$1:CB$87,'Fórmula'!F122,32)),IF(INDEX(properties!A$1:CB$87,'Fórmula'!H122,32)&lt;&gt;"",INDEX(properties!A$1:CB$87,'Fórmula'!H122,32)),IF(INDEX(properties!A$1:CB$87,'Fórmula'!J122,32)&lt;&gt;"",INDEX(properties!A$1:CB$87,'Fórmula'!J122,32)))</f>
        <v>7.726016</v>
      </c>
      <c r="DC122" s="119">
        <f t="array" ref="DC122">MAX(INDEX(properties!A$1:CB$87,'Fórmula'!B122,32),INDEX(properties!A$1:CB$87,'Fórmula'!D122,32),INDEX(properties!A$1:CB$87,'Fórmula'!F122,32),INDEX(properties!A$1:CB$87,'Fórmula'!H122,32),INDEX(properties!A$1:CB$87,'Fórmula'!J122,32))</f>
        <v>7.54</v>
      </c>
      <c r="DD122" s="119">
        <f t="array" ref="DD122">MIN(IF(INDEX(properties!A$1:CB$87,'Fórmula'!B122,32)=0,10^6,INDEX(properties!A$1:CB$87,'Fórmula'!B122,32)),IF(INDEX(properties!A$1:CB$87,'Fórmula'!D122,32)=0,10^6,INDEX(properties!A$1:CB$87,'Fórmula'!D122,32)),IF(INDEX(properties!A$1:CB$87,'Fórmula'!F122,32)=0,10^6,INDEX(properties!A$1:CB$87,'Fórmula'!F122,32)),IF(INDEX(properties!A$1:CB$87,'Fórmula'!H122,32)=0,10^6,INDEX(properties!A$1:CB$87,'Fórmula'!H122,32)),IF(INDEX(properties!A$1:CB$87,'Fórmula'!J122,32)=0,10^6,INDEX(properties!A$1:CB$87,'Fórmula'!J122,32)))</f>
        <v>2</v>
      </c>
      <c r="DE122" s="119">
        <f t="shared" si="18"/>
        <v>5.54</v>
      </c>
      <c r="DF122" s="104">
        <f t="array" ref="DF122">(('Fórmula'!C122)/('Fórmula'!C122+'Fórmula'!E122+'Fórmula'!G122+'Fórmula'!I122+'Fórmula'!K122))*(INDEX(properties!A$1:CB$87,'Fórmula'!B122,34))+(('Fórmula'!E122)/('Fórmula'!C122+'Fórmula'!E122+'Fórmula'!G122+'Fórmula'!I122+'Fórmula'!K122))*(INDEX(properties!A$1:CB$87,'Fórmula'!D122,34))+(('Fórmula'!G122)/('Fórmula'!C122+'Fórmula'!E122+'Fórmula'!G122+'Fórmula'!I122+'Fórmula'!K122))*(INDEX(properties!A$1:CB$87,'Fórmula'!F122,34))+(('Fórmula'!I122)/('Fórmula'!C122+'Fórmula'!E122+'Fórmula'!G122+'Fórmula'!I122+'Fórmula'!K122))*(INDEX(properties!A$1:CB$87,'Fórmula'!H122,34))+(('Fórmula'!K122)/('Fórmula'!C122+'Fórmula'!E122+'Fórmula'!G122+'Fórmula'!I122+'Fórmula'!K122))*(INDEX(properties!A$1:CB$87,'Fórmula'!J122,34))</f>
        <v>2.6501875</v>
      </c>
      <c r="DG122" s="104">
        <f t="array" ref="DG122">'Fórmula'!C122*(INDEX(properties!A$1:CB$87,'Fórmula'!B122,34))+'Fórmula'!E122*(INDEX(properties!A$1:CB$87,'Fórmula'!D122,34))+'Fórmula'!G122*(INDEX(properties!A$1:CB$87,'Fórmula'!F122,34))+'Fórmula'!I122*(INDEX(properties!A$1:CB$87,'Fórmula'!H122,34))+'Fórmula'!K122*(INDEX(properties!A$1:CB$87,'Fórmula'!J122,34))</f>
        <v>42.403</v>
      </c>
      <c r="DH122" s="104">
        <f t="array" ref="DH122">VARP(IF(INDEX(properties!A$1:CB$87,'Fórmula'!B122,34)&lt;&gt;"",INDEX(properties!A$1:CB$87,'Fórmula'!B122,34)),IF(INDEX(properties!A$1:CB$87,'Fórmula'!D122,34)&lt;&gt;"",INDEX(properties!A$1:CB$87,'Fórmula'!D122,34)),IF(INDEX(properties!A$1:CB$87,'Fórmula'!F122,34)&lt;&gt;"",INDEX(properties!A$1:CB$87,'Fórmula'!F122,34)),IF(INDEX(properties!A$1:CB$87,'Fórmula'!H122,34)&lt;&gt;"",INDEX(properties!A$1:CB$87,'Fórmula'!H122,34)),IF(INDEX(properties!A$1:CB$87,'Fórmula'!J122,34)&lt;&gt;"",INDEX(properties!A$1:CB$87,'Fórmula'!J122,34)))</f>
        <v>1.80635136</v>
      </c>
      <c r="DI122" s="104">
        <f t="array" ref="DI122">MAX(INDEX(properties!A$1:CB$87,'Fórmula'!B122,34),INDEX(properties!A$1:CB$87,'Fórmula'!D122,34),INDEX(properties!A$1:CB$87,'Fórmula'!F122,34),INDEX(properties!A$1:CB$87,'Fórmula'!H122,34),INDEX(properties!A$1:CB$87,'Fórmula'!J122,34))</f>
        <v>3.61</v>
      </c>
      <c r="DJ122" s="104">
        <f t="array" ref="DJ122">MIN(IF(INDEX(properties!A$1:CB$87,'Fórmula'!B122,34)=0,10^6,INDEX(properties!A$1:CB$87,'Fórmula'!B122,34)),IF(INDEX(properties!A$1:CB$87,'Fórmula'!D122,34)=0,10^6,INDEX(properties!A$1:CB$87,'Fórmula'!D122,34)),IF(INDEX(properties!A$1:CB$87,'Fórmula'!F122,34)=0,10^6,INDEX(properties!A$1:CB$87,'Fórmula'!F122,34)),IF(INDEX(properties!A$1:CB$87,'Fórmula'!H122,34)=0,10^6,INDEX(properties!A$1:CB$87,'Fórmula'!H122,34)),IF(INDEX(properties!A$1:CB$87,'Fórmula'!J122,34)=0,10^6,INDEX(properties!A$1:CB$87,'Fórmula'!J122,34)))</f>
        <v>0.963</v>
      </c>
      <c r="DK122" s="104">
        <f t="shared" si="19"/>
        <v>2.647</v>
      </c>
      <c r="DL122" s="105">
        <f t="array" ref="DL122">(('Fórmula'!C122)/('Fórmula'!C122+'Fórmula'!E122+'Fórmula'!G122+'Fórmula'!I122+'Fórmula'!K122))*(INDEX(properties!A$1:CB$87,'Fórmula'!B122,37))+(('Fórmula'!E122)/('Fórmula'!C122+'Fórmula'!E122+'Fórmula'!G122+'Fórmula'!I122+'Fórmula'!K122))*(INDEX(properties!A$1:CB$87,'Fórmula'!D122,37))+(('Fórmula'!G122)/('Fórmula'!C122+'Fórmula'!E122+'Fórmula'!G122+'Fórmula'!I122+'Fórmula'!K122))*(INDEX(properties!A$1:CB$87,'Fórmula'!F122,37))+(('Fórmula'!I122)/('Fórmula'!C122+'Fórmula'!E122+'Fórmula'!G122+'Fórmula'!I122+'Fórmula'!K122))*(INDEX(properties!A$1:CB$87,'Fórmula'!H122,37))+(('Fórmula'!K122)/('Fórmula'!C122+'Fórmula'!E122+'Fórmula'!G122+'Fórmula'!I122+'Fórmula'!K122))*(INDEX(properties!A$1:CB$87,'Fórmula'!J122,37))</f>
        <v>2.478125</v>
      </c>
      <c r="DM122" s="105">
        <f t="array" ref="DM122">'Fórmula'!C122*(INDEX(properties!A$1:CB$87,'Fórmula'!B122,37))+'Fórmula'!E122*(INDEX(properties!A$1:CB$87,'Fórmula'!D122,37))+'Fórmula'!G122*(INDEX(properties!A$1:CB$87,'Fórmula'!F122,37))+'Fórmula'!I122*(INDEX(properties!A$1:CB$87,'Fórmula'!H122,37))+'Fórmula'!K122*(INDEX(properties!A$1:CB$87,'Fórmula'!J122,37))</f>
        <v>39.65</v>
      </c>
      <c r="DN122" s="105">
        <f t="array" ref="DN122">VARP(IF(INDEX(properties!A$1:CB$87,'Fórmula'!B122,37)&lt;&gt;"",INDEX(properties!A$1:CB$87,'Fórmula'!B122,37)),IF(INDEX(properties!A$1:CB$87,'Fórmula'!D122,37)&lt;&gt;"",INDEX(properties!A$1:CB$87,'Fórmula'!D122,37)),IF(INDEX(properties!A$1:CB$87,'Fórmula'!F122,37)&lt;&gt;"",INDEX(properties!A$1:CB$87,'Fórmula'!F122,37)),IF(INDEX(properties!A$1:CB$87,'Fórmula'!H122,37)&lt;&gt;"",INDEX(properties!A$1:CB$87,'Fórmula'!H122,37)),IF(INDEX(properties!A$1:CB$87,'Fórmula'!J122,37)&lt;&gt;"",INDEX(properties!A$1:CB$87,'Fórmula'!J122,37)))</f>
        <v>1.6036</v>
      </c>
      <c r="DO122" s="105">
        <f t="array" ref="DO122">MAX(INDEX(properties!A$1:CB$87,'Fórmula'!B122,37),INDEX(properties!A$1:CB$87,'Fórmula'!D122,37),INDEX(properties!A$1:CB$87,'Fórmula'!F122,37),INDEX(properties!A$1:CB$87,'Fórmula'!H122,37),INDEX(properties!A$1:CB$87,'Fórmula'!J122,37))</f>
        <v>3.45</v>
      </c>
      <c r="DP122" s="105">
        <f t="array" ref="DP122">MIN(IF(INDEX(properties!A$1:CB$87,'Fórmula'!B122,37)=0,10^6,INDEX(properties!A$1:CB$87,'Fórmula'!B122,37)),IF(INDEX(properties!A$1:CB$87,'Fórmula'!D122,37)=0,10^6,INDEX(properties!A$1:CB$87,'Fórmula'!D122,37)),IF(INDEX(properties!A$1:CB$87,'Fórmula'!F122,37)=0,10^6,INDEX(properties!A$1:CB$87,'Fórmula'!F122,37)),IF(INDEX(properties!A$1:CB$87,'Fórmula'!H122,37)=0,10^6,INDEX(properties!A$1:CB$87,'Fórmula'!H122,37)),IF(INDEX(properties!A$1:CB$87,'Fórmula'!J122,37)=0,10^6,INDEX(properties!A$1:CB$87,'Fórmula'!J122,37)))</f>
        <v>1</v>
      </c>
      <c r="DQ122" s="105">
        <f t="shared" si="20"/>
        <v>2.45</v>
      </c>
      <c r="DR122" s="109">
        <f t="array" ref="DR122">(('Fórmula'!C122)/('Fórmula'!C122+'Fórmula'!E122+'Fórmula'!G122+'Fórmula'!I122+'Fórmula'!K122))*(INDEX(properties!A$1:CB$87,'Fórmula'!B122,39))+(('Fórmula'!E122)/('Fórmula'!C122+'Fórmula'!E122+'Fórmula'!G122+'Fórmula'!I122+'Fórmula'!K122))*(INDEX(properties!A$1:CB$87,'Fórmula'!D122,39))+(('Fórmula'!G122)/('Fórmula'!C122+'Fórmula'!E122+'Fórmula'!G122+'Fórmula'!I122+'Fórmula'!K122))*(INDEX(properties!A$1:CB$87,'Fórmula'!F122,39))+(('Fórmula'!I122)/('Fórmula'!C122+'Fórmula'!E122+'Fórmula'!G122+'Fórmula'!I122+'Fórmula'!K122))*(INDEX(properties!A$1:CB$87,'Fórmula'!H122,39))+(('Fórmula'!K122)/('Fórmula'!C122+'Fórmula'!E122+'Fórmula'!G122+'Fórmula'!I122+'Fórmula'!K122))*(INDEX(properties!A$1:CB$87,'Fórmula'!J122,39))</f>
        <v>1.020625</v>
      </c>
      <c r="DS122" s="109">
        <f t="array" ref="DS122">'Fórmula'!C122*(INDEX(properties!A$1:CB$87,'Fórmula'!B122,39))+'Fórmula'!E122*(INDEX(properties!A$1:CB$87,'Fórmula'!D122,39))+'Fórmula'!G122*(INDEX(properties!A$1:CB$87,'Fórmula'!F122,39))+'Fórmula'!I122*(INDEX(properties!A$1:CB$87,'Fórmula'!H122,39))+'Fórmula'!K122*(INDEX(properties!A$1:CB$87,'Fórmula'!J122,39))</f>
        <v>16.33</v>
      </c>
      <c r="DT122" s="109">
        <f t="array" ref="DT122">VARP(IF(INDEX(properties!A$1:CB$87,'Fórmula'!B122,39)&lt;&gt;"",INDEX(properties!A$1:CB$87,'Fórmula'!B122,39)),IF(INDEX(properties!A$1:CB$87,'Fórmula'!D122,39)&lt;&gt;"",INDEX(properties!A$1:CB$87,'Fórmula'!D122,39)),IF(INDEX(properties!A$1:CB$87,'Fórmula'!F122,39)&lt;&gt;"",INDEX(properties!A$1:CB$87,'Fórmula'!F122,39)),IF(INDEX(properties!A$1:CB$87,'Fórmula'!H122,39)&lt;&gt;"",INDEX(properties!A$1:CB$87,'Fórmula'!H122,39)),IF(INDEX(properties!A$1:CB$87,'Fórmula'!J122,39)&lt;&gt;"",INDEX(properties!A$1:CB$87,'Fórmula'!J122,39)))</f>
        <v>0.725584</v>
      </c>
      <c r="DU122" s="120">
        <f t="array" ref="DU122">MAX(INDEX(properties!A$1:CB$87,'Fórmula'!B122,39),INDEX(properties!A$1:CB$87,'Fórmula'!D122,39),INDEX(properties!A$1:CB$87,'Fórmula'!F122,39),INDEX(properties!A$1:CB$87,'Fórmula'!H122,39),INDEX(properties!A$1:CB$87,'Fórmula'!J122,39))</f>
        <v>2.19</v>
      </c>
      <c r="DV122" s="120">
        <f t="array" ref="DV122">MIN(IF(INDEX(properties!A$1:CB$87,'Fórmula'!B122,39)=0,10^6,INDEX(properties!A$1:CB$87,'Fórmula'!B122,39)),IF(INDEX(properties!A$1:CB$87,'Fórmula'!D122,39)=0,10^6,INDEX(properties!A$1:CB$87,'Fórmula'!D122,39)),IF(INDEX(properties!A$1:CB$87,'Fórmula'!F122,39)=0,10^6,INDEX(properties!A$1:CB$87,'Fórmula'!F122,39)),IF(INDEX(properties!A$1:CB$87,'Fórmula'!H122,39)=0,10^6,INDEX(properties!A$1:CB$87,'Fórmula'!H122,39)),IF(INDEX(properties!A$1:CB$87,'Fórmula'!J122,39)=0,10^6,INDEX(properties!A$1:CB$87,'Fórmula'!J122,39)))</f>
        <v>0.48</v>
      </c>
      <c r="DW122" s="109">
        <f t="shared" si="21"/>
        <v>1.71</v>
      </c>
      <c r="DX122" s="110">
        <f t="array" ref="DX122">(('Fórmula'!C122)/('Fórmula'!C122+'Fórmula'!E122+'Fórmula'!G122+'Fórmula'!I122+'Fórmula'!K122))*(INDEX(properties!A$1:CB$87,'Fórmula'!B122,40))+(('Fórmula'!E122)/('Fórmula'!C122+'Fórmula'!E122+'Fórmula'!G122+'Fórmula'!I122+'Fórmula'!K122))*(INDEX(properties!A$1:CB$87,'Fórmula'!D122,40))+(('Fórmula'!G122)/('Fórmula'!C122+'Fórmula'!E122+'Fórmula'!G122+'Fórmula'!I122+'Fórmula'!K122))*(INDEX(properties!A$1:CB$87,'Fórmula'!F122,40))+(('Fórmula'!I122)/('Fórmula'!C122+'Fórmula'!E122+'Fórmula'!G122+'Fórmula'!I122+'Fórmula'!K122))*(INDEX(properties!A$1:CB$87,'Fórmula'!H122,40))+(('Fórmula'!K122)/('Fórmula'!C122+'Fórmula'!E122+'Fórmula'!G122+'Fórmula'!I122+'Fórmula'!K122))*(INDEX(properties!A$1:CB$87,'Fórmula'!J122,40))</f>
        <v>1.085625</v>
      </c>
      <c r="DY122" s="110">
        <f t="array" ref="DY122">'Fórmula'!C122*(INDEX(properties!A$1:CB$87,'Fórmula'!B122,40))+'Fórmula'!E122*(INDEX(properties!A$1:CB$87,'Fórmula'!D122,40))+'Fórmula'!G122*(INDEX(properties!A$1:CB$87,'Fórmula'!F122,40))+'Fórmula'!I122*(INDEX(properties!A$1:CB$87,'Fórmula'!H122,40))+'Fórmula'!K122*(INDEX(properties!A$1:CB$87,'Fórmula'!J122,40))</f>
        <v>17.37</v>
      </c>
      <c r="DZ122" s="110">
        <f t="array" ref="DZ122">VARP(IF(INDEX(properties!A$1:CB$87,'Fórmula'!B122,40)&lt;&gt;"",INDEX(properties!A$1:CB$87,'Fórmula'!B122,40)),IF(INDEX(properties!A$1:CB$87,'Fórmula'!D122,40)&lt;&gt;"",INDEX(properties!A$1:CB$87,'Fórmula'!D122,40)),IF(INDEX(properties!A$1:CB$87,'Fórmula'!F122,40)&lt;&gt;"",INDEX(properties!A$1:CB$87,'Fórmula'!F122,40)),IF(INDEX(properties!A$1:CB$87,'Fórmula'!H122,40)&lt;&gt;"",INDEX(properties!A$1:CB$87,'Fórmula'!H122,40)),IF(INDEX(properties!A$1:CB$87,'Fórmula'!J122,40)&lt;&gt;"",INDEX(properties!A$1:CB$87,'Fórmula'!J122,40)))</f>
        <v>0.549856</v>
      </c>
      <c r="EA122" s="121">
        <f t="array" ref="EA122">MAX(INDEX(properties!A$1:CB$87,'Fórmula'!B122,40),INDEX(properties!A$1:CB$87,'Fórmula'!D122,40),INDEX(properties!A$1:CB$87,'Fórmula'!F122,40),INDEX(properties!A$1:CB$87,'Fórmula'!H122,40),INDEX(properties!A$1:CB$87,'Fórmula'!J122,40))</f>
        <v>1.92</v>
      </c>
      <c r="EB122" s="121">
        <f t="array" ref="EB122">MIN(IF(INDEX(properties!A$1:CB$87,'Fórmula'!B122,40)=0,10^6,INDEX(properties!A$1:CB$87,'Fórmula'!B122,40)),IF(INDEX(properties!A$1:CB$87,'Fórmula'!D122,40)=0,10^6,INDEX(properties!A$1:CB$87,'Fórmula'!D122,40)),IF(INDEX(properties!A$1:CB$87,'Fórmula'!F122,40)=0,10^6,INDEX(properties!A$1:CB$87,'Fórmula'!F122,40)),IF(INDEX(properties!A$1:CB$87,'Fórmula'!H122,40)=0,10^6,INDEX(properties!A$1:CB$87,'Fórmula'!H122,40)),IF(INDEX(properties!A$1:CB$87,'Fórmula'!J122,40)=0,10^6,INDEX(properties!A$1:CB$87,'Fórmula'!J122,40)))</f>
        <v>0.73</v>
      </c>
      <c r="EC122" s="110">
        <f t="shared" si="22"/>
        <v>1.19</v>
      </c>
      <c r="ED122" s="111">
        <f t="array" ref="ED122">(('Fórmula'!C122)/('Fórmula'!C122+'Fórmula'!E122+'Fórmula'!G122+'Fórmula'!I122+'Fórmula'!K122))*(INDEX(properties!A$1:CB$87,'Fórmula'!B122,41))+(('Fórmula'!E122)/('Fórmula'!C122+'Fórmula'!E122+'Fórmula'!G122+'Fórmula'!I122+'Fórmula'!K122))*(INDEX(properties!A$1:CB$87,'Fórmula'!D122,41))+(('Fórmula'!G122)/('Fórmula'!C122+'Fórmula'!E122+'Fórmula'!G122+'Fórmula'!I122+'Fórmula'!K122))*(INDEX(properties!A$1:CB$87,'Fórmula'!F122,41))+(('Fórmula'!I122)/('Fórmula'!C122+'Fórmula'!E122+'Fórmula'!G122+'Fórmula'!I122+'Fórmula'!K122))*(INDEX(properties!A$1:CB$87,'Fórmula'!H122,41))+(('Fórmula'!K122)/('Fórmula'!C122+'Fórmula'!E122+'Fórmula'!G122+'Fórmula'!I122+'Fórmula'!K122))*(INDEX(properties!A$1:CB$87,'Fórmula'!J122,41))</f>
        <v>1.14625</v>
      </c>
      <c r="EE122" s="111">
        <f t="array" ref="EE122">'Fórmula'!C122*(INDEX(properties!A$1:CB$87,'Fórmula'!B122,41))+'Fórmula'!E122*(INDEX(properties!A$1:CB$87,'Fórmula'!D122,41))+'Fórmula'!G122*(INDEX(properties!A$1:CB$87,'Fórmula'!F122,41))+'Fórmula'!I122*(INDEX(properties!A$1:CB$87,'Fórmula'!H122,41))+'Fórmula'!K122*(INDEX(properties!A$1:CB$87,'Fórmula'!J122,41))</f>
        <v>18.34</v>
      </c>
      <c r="EF122" s="111">
        <f t="array" ref="EF122">VARP(IF(INDEX(properties!A$1:CB$87,'Fórmula'!B122,41)&lt;&gt;"",INDEX(properties!A$1:CB$87,'Fórmula'!B122,41)),IF(INDEX(properties!A$1:CB$87,'Fórmula'!D122,41)&lt;&gt;"",INDEX(properties!A$1:CB$87,'Fórmula'!D122,41)),IF(INDEX(properties!A$1:CB$87,'Fórmula'!F122,41)&lt;&gt;"",INDEX(properties!A$1:CB$87,'Fórmula'!F122,41)),IF(INDEX(properties!A$1:CB$87,'Fórmula'!H122,41)&lt;&gt;"",INDEX(properties!A$1:CB$87,'Fórmula'!H122,41)),IF(INDEX(properties!A$1:CB$87,'Fórmula'!J122,41)&lt;&gt;"",INDEX(properties!A$1:CB$87,'Fórmula'!J122,41)))</f>
        <v>0.335296</v>
      </c>
      <c r="EG122" s="122">
        <f t="array" ref="EG122">MAX(INDEX(properties!A$1:CB$87,'Fórmula'!B122,41),INDEX(properties!A$1:CB$87,'Fórmula'!D122,41),INDEX(properties!A$1:CB$87,'Fórmula'!F122,41),INDEX(properties!A$1:CB$87,'Fórmula'!H122,41),INDEX(properties!A$1:CB$87,'Fórmula'!J122,41))</f>
        <v>1.32</v>
      </c>
      <c r="EH122" s="122">
        <f t="array" ref="EH122">MIN(IF(INDEX(properties!A$1:CB$87,'Fórmula'!B122,41)=0,10^6,INDEX(properties!A$1:CB$87,'Fórmula'!B122,41)),IF(INDEX(properties!A$1:CB$87,'Fórmula'!D122,41)=0,10^6,INDEX(properties!A$1:CB$87,'Fórmula'!D122,41)),IF(INDEX(properties!A$1:CB$87,'Fórmula'!F122,41)=0,10^6,INDEX(properties!A$1:CB$87,'Fórmula'!F122,41)),IF(INDEX(properties!A$1:CB$87,'Fórmula'!H122,41)=0,10^6,INDEX(properties!A$1:CB$87,'Fórmula'!H122,41)),IF(INDEX(properties!A$1:CB$87,'Fórmula'!J122,41)=0,10^6,INDEX(properties!A$1:CB$87,'Fórmula'!J122,41)))</f>
        <v>0.76</v>
      </c>
      <c r="EI122" s="111">
        <f t="shared" si="23"/>
        <v>0.56</v>
      </c>
      <c r="EJ122" s="112">
        <f t="array" ref="EJ122">(('Fórmula'!C122)/('Fórmula'!C122+'Fórmula'!E122+'Fórmula'!G122+'Fórmula'!I122+'Fórmula'!K122))*(INDEX(properties!A$1:CB$87,'Fórmula'!B122,45))+(('Fórmula'!E122)/('Fórmula'!C122+'Fórmula'!E122+'Fórmula'!G122+'Fórmula'!I122+'Fórmula'!K122))*(INDEX(properties!A$1:CB$87,'Fórmula'!D122,45))+(('Fórmula'!G122)/('Fórmula'!C122+'Fórmula'!E122+'Fórmula'!G122+'Fórmula'!I122+'Fórmula'!K122))*(INDEX(properties!A$1:CB$87,'Fórmula'!F122,45))+(('Fórmula'!I122)/('Fórmula'!C122+'Fórmula'!E122+'Fórmula'!G122+'Fórmula'!I122+'Fórmula'!K122))*(INDEX(properties!A$1:CB$87,'Fórmula'!H122,45))+(('Fórmula'!K122)/('Fórmula'!C122+'Fórmula'!E122+'Fórmula'!G122+'Fórmula'!I122+'Fórmula'!K122))*(INDEX(properties!A$1:CB$87,'Fórmula'!J122,45))</f>
        <v>1.29125</v>
      </c>
      <c r="EK122" s="112">
        <f t="array" ref="EK122">'Fórmula'!C122*(INDEX(properties!A$1:CB$87,'Fórmula'!B122,45))+'Fórmula'!E122*(INDEX(properties!A$1:CB$87,'Fórmula'!D122,45))+'Fórmula'!G122*(INDEX(properties!A$1:CB$87,'Fórmula'!F122,45))+'Fórmula'!I122*(INDEX(properties!A$1:CB$87,'Fórmula'!H122,45))+'Fórmula'!K122*(INDEX(properties!A$1:CB$87,'Fórmula'!J122,45))</f>
        <v>20.66</v>
      </c>
      <c r="EL122" s="112">
        <f t="array" ref="EL122">VARP(IF(INDEX(properties!A$1:CB$87,'Fórmula'!B122,45)&lt;&gt;"",INDEX(properties!A$1:CB$87,'Fórmula'!B122,45)),IF(INDEX(properties!A$1:CB$87,'Fórmula'!D122,45)&lt;&gt;"",INDEX(properties!A$1:CB$87,'Fórmula'!D122,45)),IF(INDEX(properties!A$1:CB$87,'Fórmula'!F122,45)&lt;&gt;"",INDEX(properties!A$1:CB$87,'Fórmula'!F122,45)),IF(INDEX(properties!A$1:CB$87,'Fórmula'!H122,45)&lt;&gt;"",INDEX(properties!A$1:CB$87,'Fórmula'!H122,45)),IF(INDEX(properties!A$1:CB$87,'Fórmula'!J122,45)&lt;&gt;"",INDEX(properties!A$1:CB$87,'Fórmula'!J122,45)))</f>
        <v>1.525224</v>
      </c>
      <c r="EM122" s="123">
        <f t="array" ref="EM122">MAX(INDEX(properties!A$1:CB$87,'Fórmula'!B122,45),INDEX(properties!A$1:CB$87,'Fórmula'!D122,45),INDEX(properties!A$1:CB$87,'Fórmula'!F122,45),INDEX(properties!A$1:CB$87,'Fórmula'!H122,45),INDEX(properties!A$1:CB$87,'Fórmula'!J122,45))</f>
        <v>3.21</v>
      </c>
      <c r="EN122" s="123">
        <f t="array" ref="EN122">MIN(IF(INDEX(properties!A$1:CB$87,'Fórmula'!B122,45)=0,10^6,INDEX(properties!A$1:CB$87,'Fórmula'!B122,45)),IF(INDEX(properties!A$1:CB$87,'Fórmula'!D122,45)=0,10^6,INDEX(properties!A$1:CB$87,'Fórmula'!D122,45)),IF(INDEX(properties!A$1:CB$87,'Fórmula'!F122,45)=0,10^6,INDEX(properties!A$1:CB$87,'Fórmula'!F122,45)),IF(INDEX(properties!A$1:CB$87,'Fórmula'!H122,45)=0,10^6,INDEX(properties!A$1:CB$87,'Fórmula'!H122,45)),IF(INDEX(properties!A$1:CB$87,'Fórmula'!J122,45)=0,10^6,INDEX(properties!A$1:CB$87,'Fórmula'!J122,45)))</f>
        <v>0.47</v>
      </c>
      <c r="EO122" s="112">
        <f t="shared" si="24"/>
        <v>2.74</v>
      </c>
      <c r="EP122" s="113">
        <f t="array" ref="EP122">(('Fórmula'!C122)/('Fórmula'!C122+'Fórmula'!E122+'Fórmula'!G122+'Fórmula'!I122+'Fórmula'!K122))*(INDEX(properties!A$1:CB$87,'Fórmula'!B122,46))+(('Fórmula'!E122)/('Fórmula'!C122+'Fórmula'!E122+'Fórmula'!G122+'Fórmula'!I122+'Fórmula'!K122))*(INDEX(properties!A$1:CB$87,'Fórmula'!D122,46))+(('Fórmula'!G122)/('Fórmula'!C122+'Fórmula'!E122+'Fórmula'!G122+'Fórmula'!I122+'Fórmula'!K122))*(INDEX(properties!A$1:CB$87,'Fórmula'!F122,46))+(('Fórmula'!I122)/('Fórmula'!C122+'Fórmula'!E122+'Fórmula'!G122+'Fórmula'!I122+'Fórmula'!K122))*(INDEX(properties!A$1:CB$87,'Fórmula'!H122,46))+(('Fórmula'!K122)/('Fórmula'!C122+'Fórmula'!E122+'Fórmula'!G122+'Fórmula'!I122+'Fórmula'!K122))*(INDEX(properties!A$1:CB$87,'Fórmula'!J122,46))</f>
        <v>1.118125</v>
      </c>
      <c r="EQ122" s="113">
        <f t="array" ref="EQ122">'Fórmula'!C122*(INDEX(properties!A$1:CB$87,'Fórmula'!B122,46))+'Fórmula'!E122*(INDEX(properties!A$1:CB$87,'Fórmula'!D122,46))+'Fórmula'!G122*(INDEX(properties!A$1:CB$87,'Fórmula'!F122,46))+'Fórmula'!I122*(INDEX(properties!A$1:CB$87,'Fórmula'!H122,46))+'Fórmula'!K122*(INDEX(properties!A$1:CB$87,'Fórmula'!J122,46))</f>
        <v>17.89</v>
      </c>
      <c r="ER122" s="113">
        <f t="array" ref="ER122">VARP(IF(INDEX(properties!A$1:CB$87,'Fórmula'!B122,46)&lt;&gt;"",INDEX(properties!A$1:CB$87,'Fórmula'!B122,46)),IF(INDEX(properties!A$1:CB$87,'Fórmula'!D122,46)&lt;&gt;"",INDEX(properties!A$1:CB$87,'Fórmula'!D122,46)),IF(INDEX(properties!A$1:CB$87,'Fórmula'!F122,46)&lt;&gt;"",INDEX(properties!A$1:CB$87,'Fórmula'!F122,46)),IF(INDEX(properties!A$1:CB$87,'Fórmula'!H122,46)&lt;&gt;"",INDEX(properties!A$1:CB$87,'Fórmula'!H122,46)),IF(INDEX(properties!A$1:CB$87,'Fórmula'!J122,46)&lt;&gt;"",INDEX(properties!A$1:CB$87,'Fórmula'!J122,46)))</f>
        <v>0.323856</v>
      </c>
      <c r="ES122" s="124">
        <f t="array" ref="ES122">MAX(INDEX(properties!A$1:CB$87,'Fórmula'!B122,46),INDEX(properties!A$1:CB$87,'Fórmula'!D122,46),INDEX(properties!A$1:CB$87,'Fórmula'!F122,46),INDEX(properties!A$1:CB$87,'Fórmula'!H122,46),INDEX(properties!A$1:CB$87,'Fórmula'!J122,46))</f>
        <v>1.32</v>
      </c>
      <c r="ET122" s="124">
        <f t="array" ref="ET122">MIN(IF(INDEX(properties!A$1:CB$87,'Fórmula'!B122,46)=0,10^6,INDEX(properties!A$1:CB$87,'Fórmula'!B122,46)),IF(INDEX(properties!A$1:CB$87,'Fórmula'!D122,46)=0,10^6,INDEX(properties!A$1:CB$87,'Fórmula'!D122,46)),IF(INDEX(properties!A$1:CB$87,'Fórmula'!F122,46)=0,10^6,INDEX(properties!A$1:CB$87,'Fórmula'!F122,46)),IF(INDEX(properties!A$1:CB$87,'Fórmula'!H122,46)=0,10^6,INDEX(properties!A$1:CB$87,'Fórmula'!H122,46)),IF(INDEX(properties!A$1:CB$87,'Fórmula'!J122,46)=0,10^6,INDEX(properties!A$1:CB$87,'Fórmula'!J122,46)))</f>
        <v>0.76</v>
      </c>
      <c r="EU122" s="113">
        <f t="shared" si="25"/>
        <v>0.56</v>
      </c>
      <c r="EV122" s="114">
        <f t="array" ref="EV122">(('Fórmula'!C122)/('Fórmula'!C122+'Fórmula'!E122+'Fórmula'!G122+'Fórmula'!I122+'Fórmula'!K122))*(INDEX(properties!A$1:CB$87,'Fórmula'!B122,52))+(('Fórmula'!E122)/('Fórmula'!C122+'Fórmula'!E122+'Fórmula'!G122+'Fórmula'!I122+'Fórmula'!K122))*(INDEX(properties!A$1:CB$87,'Fórmula'!D122,52))+(('Fórmula'!G122)/('Fórmula'!C122+'Fórmula'!E122+'Fórmula'!G122+'Fórmula'!I122+'Fórmula'!K122))*(INDEX(properties!A$1:CB$87,'Fórmula'!F122,52))+(('Fórmula'!I122)/('Fórmula'!C122+'Fórmula'!E122+'Fórmula'!G122+'Fórmula'!I122+'Fórmula'!K122))*(INDEX(properties!A$1:CB$87,'Fórmula'!H122,52))+(('Fórmula'!K122)/('Fórmula'!C122+'Fórmula'!E122+'Fórmula'!G122+'Fórmula'!I122+'Fórmula'!K122))*(INDEX(properties!A$1:CB$87,'Fórmula'!J122,52))</f>
        <v>7.6460625</v>
      </c>
      <c r="EW122" s="114">
        <f t="array" ref="EW122">'Fórmula'!C122*(INDEX(properties!A$1:CB$87,'Fórmula'!B122,52))+'Fórmula'!E122*(INDEX(properties!A$1:CB$87,'Fórmula'!D122,52))+'Fórmula'!G122*(INDEX(properties!A$1:CB$87,'Fórmula'!F122,52))+'Fórmula'!I122*(INDEX(properties!A$1:CB$87,'Fórmula'!H122,52))+'Fórmula'!K122*(INDEX(properties!A$1:CB$87,'Fórmula'!J122,52))</f>
        <v>122.337</v>
      </c>
      <c r="EX122" s="114">
        <f t="array" ref="EX122">VARP(IF(INDEX(properties!A$1:CB$87,'Fórmula'!B122,52)&lt;&gt;"",INDEX(properties!A$1:CB$87,'Fórmula'!B122,52)),IF(INDEX(properties!A$1:CB$87,'Fórmula'!D122,52)&lt;&gt;"",INDEX(properties!A$1:CB$87,'Fórmula'!D122,52)),IF(INDEX(properties!A$1:CB$87,'Fórmula'!F122,52)&lt;&gt;"",INDEX(properties!A$1:CB$87,'Fórmula'!F122,52)),IF(INDEX(properties!A$1:CB$87,'Fórmula'!H122,52)&lt;&gt;"",INDEX(properties!A$1:CB$87,'Fórmula'!H122,52)),IF(INDEX(properties!A$1:CB$87,'Fórmula'!J122,52)&lt;&gt;"",INDEX(properties!A$1:CB$87,'Fórmula'!J122,52)))</f>
        <v>112.3302078</v>
      </c>
      <c r="EY122" s="114">
        <f t="array" ref="EY122">MAX(INDEX(properties!A$1:CB$87,'Fórmula'!B122,52),INDEX(properties!A$1:CB$87,'Fórmula'!D122,52),INDEX(properties!A$1:CB$87,'Fórmula'!F122,52),INDEX(properties!A$1:CB$87,'Fórmula'!H122,52),INDEX(properties!A$1:CB$87,'Fórmula'!J122,52))</f>
        <v>27.6</v>
      </c>
      <c r="EZ122" s="114">
        <f t="array" ref="EZ122">MIN(IF(INDEX(properties!A$1:CB$87,'Fórmula'!B122,52)=0,10^6,INDEX(properties!A$1:CB$87,'Fórmula'!B122,52)),IF(INDEX(properties!A$1:CB$87,'Fórmula'!D122,52)=0,10^6,INDEX(properties!A$1:CB$87,'Fórmula'!D122,52)),IF(INDEX(properties!A$1:CB$87,'Fórmula'!F122,52)=0,10^6,INDEX(properties!A$1:CB$87,'Fórmula'!F122,52)),IF(INDEX(properties!A$1:CB$87,'Fórmula'!H122,52)=0,10^6,INDEX(properties!A$1:CB$87,'Fórmula'!H122,52)),IF(INDEX(properties!A$1:CB$87,'Fórmula'!J122,52)=0,10^6,INDEX(properties!A$1:CB$87,'Fórmula'!J122,52)))</f>
        <v>0.793</v>
      </c>
      <c r="FA122" s="114">
        <f t="shared" si="26"/>
        <v>26.807</v>
      </c>
      <c r="FB122" s="115">
        <f t="array" ref="FB122">(('Fórmula'!C122)/('Fórmula'!C122+'Fórmula'!E122+'Fórmula'!G122+'Fórmula'!I122+'Fórmula'!K122))*(INDEX(properties!A$1:CB$87,'Fórmula'!B122,53))+(('Fórmula'!E122)/('Fórmula'!C122+'Fórmula'!E122+'Fórmula'!G122+'Fórmula'!I122+'Fórmula'!K122))*(INDEX(properties!A$1:CB$87,'Fórmula'!D122,53))+(('Fórmula'!G122)/('Fórmula'!C122+'Fórmula'!E122+'Fórmula'!G122+'Fórmula'!I122+'Fórmula'!K122))*(INDEX(properties!A$1:CB$87,'Fórmula'!F122,53))+(('Fórmula'!I122)/('Fórmula'!C122+'Fórmula'!E122+'Fórmula'!G122+'Fórmula'!I122+'Fórmula'!K122))*(INDEX(properties!A$1:CB$87,'Fórmula'!H122,53))+(('Fórmula'!K122)/('Fórmula'!C122+'Fórmula'!E122+'Fórmula'!G122+'Fórmula'!I122+'Fórmula'!K122))*(INDEX(properties!A$1:CB$87,'Fórmula'!J122,53))</f>
        <v>301.9375</v>
      </c>
      <c r="FC122" s="115">
        <f t="array" ref="FC122">'Fórmula'!C122*(INDEX(properties!A$1:CB$87,'Fórmula'!B122,53))+'Fórmula'!E122*(INDEX(properties!A$1:CB$87,'Fórmula'!D122,53))+'Fórmula'!G122*(INDEX(properties!A$1:CB$87,'Fórmula'!F122,53))+'Fórmula'!I122*(INDEX(properties!A$1:CB$87,'Fórmula'!H122,53))+'Fórmula'!K122*(INDEX(properties!A$1:CB$87,'Fórmula'!J122,53))</f>
        <v>4831</v>
      </c>
      <c r="FD122" s="115">
        <f t="array" ref="FD122">VARP(IF(INDEX(properties!A$1:CB$87,'Fórmula'!B122,53)&lt;&gt;"",INDEX(properties!A$1:CB$87,'Fórmula'!B122,53)),IF(INDEX(properties!A$1:CB$87,'Fórmula'!D122,53)&lt;&gt;"",INDEX(properties!A$1:CB$87,'Fórmula'!D122,53)),IF(INDEX(properties!A$1:CB$87,'Fórmula'!F122,53)&lt;&gt;"",INDEX(properties!A$1:CB$87,'Fórmula'!F122,53)),IF(INDEX(properties!A$1:CB$87,'Fórmula'!H122,53)&lt;&gt;"",INDEX(properties!A$1:CB$87,'Fórmula'!H122,53)),IF(INDEX(properties!A$1:CB$87,'Fórmula'!J122,53)&lt;&gt;"",INDEX(properties!A$1:CB$87,'Fórmula'!J122,53)))</f>
        <v>157787.3766</v>
      </c>
      <c r="FE122" s="115">
        <f t="array" ref="FE122">MAX(INDEX(properties!A$1:CB$87,'Fórmula'!B122,53),INDEX(properties!A$1:CB$87,'Fórmula'!D122,53),INDEX(properties!A$1:CB$87,'Fórmula'!F122,53),INDEX(properties!A$1:CB$87,'Fórmula'!H122,53),INDEX(properties!A$1:CB$87,'Fórmula'!J122,53))</f>
        <v>1042.15</v>
      </c>
      <c r="FF122" s="115">
        <f t="array" ref="FF122">MIN(IF(INDEX(properties!A$1:CB$87,'Fórmula'!B122,53)=0,10^6,INDEX(properties!A$1:CB$87,'Fórmula'!B122,53)),IF(INDEX(properties!A$1:CB$87,'Fórmula'!D122,53)=0,10^6,INDEX(properties!A$1:CB$87,'Fórmula'!D122,53)),IF(INDEX(properties!A$1:CB$87,'Fórmula'!F122,53)=0,10^6,INDEX(properties!A$1:CB$87,'Fórmula'!F122,53)),IF(INDEX(properties!A$1:CB$87,'Fórmula'!H122,53)=0,10^6,INDEX(properties!A$1:CB$87,'Fórmula'!H122,53)),IF(INDEX(properties!A$1:CB$87,'Fórmula'!J122,53)=0,10^6,INDEX(properties!A$1:CB$87,'Fórmula'!J122,53)))</f>
        <v>54.75</v>
      </c>
      <c r="FG122" s="115">
        <f t="shared" si="27"/>
        <v>987.4</v>
      </c>
      <c r="FH122" s="117">
        <f t="array" ref="FH122">(('Fórmula'!C122)/('Fórmula'!C122+'Fórmula'!E122+'Fórmula'!G122+'Fórmula'!I122+'Fórmula'!K122))*(INDEX(properties!A$1:CB$87,'Fórmula'!B122,54))+(('Fórmula'!E122)/('Fórmula'!C122+'Fórmula'!E122+'Fórmula'!G122+'Fórmula'!I122+'Fórmula'!K122))*(INDEX(properties!A$1:CB$87,'Fórmula'!D122,54))+(('Fórmula'!G122)/('Fórmula'!C122+'Fórmula'!E122+'Fórmula'!G122+'Fórmula'!I122+'Fórmula'!K122))*(INDEX(properties!A$1:CB$87,'Fórmula'!F122,54))+(('Fórmula'!I122)/('Fórmula'!C122+'Fórmula'!E122+'Fórmula'!G122+'Fórmula'!I122+'Fórmula'!K122))*(INDEX(properties!A$1:CB$87,'Fórmula'!H122,54))+(('Fórmula'!K122)/('Fórmula'!C122+'Fórmula'!E122+'Fórmula'!G122+'Fórmula'!I122+'Fórmula'!K122))*(INDEX(properties!A$1:CB$87,'Fórmula'!J122,54))</f>
        <v>1030.4625</v>
      </c>
      <c r="FI122" s="117">
        <f t="array" ref="FI122">'Fórmula'!C122*(INDEX(properties!A$1:CB$87,'Fórmula'!B122,54))+'Fórmula'!E122*(INDEX(properties!A$1:CB$87,'Fórmula'!D122,54))+'Fórmula'!G122*(INDEX(properties!A$1:CB$87,'Fórmula'!F122,54))+'Fórmula'!I122*(INDEX(properties!A$1:CB$87,'Fórmula'!H122,54))+'Fórmula'!K122*(INDEX(properties!A$1:CB$87,'Fórmula'!J122,54))</f>
        <v>16487.4</v>
      </c>
      <c r="FJ122" s="117">
        <f t="array" ref="FJ122">VARP(IF(INDEX(properties!A$1:CB$87,'Fórmula'!B122,54)&lt;&gt;"",INDEX(properties!A$1:CB$87,'Fórmula'!B122,54)),IF(INDEX(properties!A$1:CB$87,'Fórmula'!D122,54)&lt;&gt;"",INDEX(properties!A$1:CB$87,'Fórmula'!D122,54)),IF(INDEX(properties!A$1:CB$87,'Fórmula'!F122,54)&lt;&gt;"",INDEX(properties!A$1:CB$87,'Fórmula'!F122,54)),IF(INDEX(properties!A$1:CB$87,'Fórmula'!H122,54)&lt;&gt;"",INDEX(properties!A$1:CB$87,'Fórmula'!H122,54)),IF(INDEX(properties!A$1:CB$87,'Fórmula'!J122,54)&lt;&gt;"",INDEX(properties!A$1:CB$87,'Fórmula'!J122,54)))</f>
        <v>1200533.997</v>
      </c>
      <c r="FK122" s="117">
        <f t="array" ref="FK122">MAX(INDEX(properties!A$1:CB$87,'Fórmula'!B122,54),INDEX(properties!A$1:CB$87,'Fórmula'!D122,54),INDEX(properties!A$1:CB$87,'Fórmula'!F122,54),INDEX(properties!A$1:CB$87,'Fórmula'!H122,54),INDEX(properties!A$1:CB$87,'Fórmula'!J122,54))</f>
        <v>2676.15</v>
      </c>
      <c r="FL122" s="117">
        <f t="array" ref="FL122">MIN(IF(INDEX(properties!A$1:CB$87,'Fórmula'!B122,54)=0,10^6,INDEX(properties!A$1:CB$87,'Fórmula'!B122,54)),IF(INDEX(properties!A$1:CB$87,'Fórmula'!D122,54)=0,10^6,INDEX(properties!A$1:CB$87,'Fórmula'!D122,54)),IF(INDEX(properties!A$1:CB$87,'Fórmula'!F122,54)=0,10^6,INDEX(properties!A$1:CB$87,'Fórmula'!F122,54)),IF(INDEX(properties!A$1:CB$87,'Fórmula'!H122,54)=0,10^6,INDEX(properties!A$1:CB$87,'Fórmula'!H122,54)),IF(INDEX(properties!A$1:CB$87,'Fórmula'!J122,54)=0,10^6,INDEX(properties!A$1:CB$87,'Fórmula'!J122,54)))</f>
        <v>90.15</v>
      </c>
      <c r="FM122" s="117">
        <f t="shared" si="28"/>
        <v>2586</v>
      </c>
      <c r="FN122" s="118">
        <f t="array" ref="FN122">(('Fórmula'!C122)/('Fórmula'!C122+'Fórmula'!E122+'Fórmula'!G122+'Fórmula'!I122+'Fórmula'!K122))*(INDEX(properties!A$1:CB$87,'Fórmula'!B122,55))+(('Fórmula'!E122)/('Fórmula'!C122+'Fórmula'!E122+'Fórmula'!G122+'Fórmula'!I122+'Fórmula'!K122))*(INDEX(properties!A$1:CB$87,'Fórmula'!D122,55))+(('Fórmula'!G122)/('Fórmula'!C122+'Fórmula'!E122+'Fórmula'!G122+'Fórmula'!I122+'Fórmula'!K122))*(INDEX(properties!A$1:CB$87,'Fórmula'!F122,55))+(('Fórmula'!I122)/('Fórmula'!C122+'Fórmula'!E122+'Fórmula'!G122+'Fórmula'!I122+'Fórmula'!K122))*(INDEX(properties!A$1:CB$87,'Fórmula'!H122,55))+(('Fórmula'!K122)/('Fórmula'!C122+'Fórmula'!E122+'Fórmula'!G122+'Fórmula'!I122+'Fórmula'!K122))*(INDEX(properties!A$1:CB$87,'Fórmula'!J122,55))</f>
        <v>1.968929375</v>
      </c>
      <c r="FO122" s="118">
        <f t="array" ref="FO122">'Fórmula'!C122*(INDEX(properties!A$1:CB$87,'Fórmula'!B122,55))+'Fórmula'!E122*(INDEX(properties!A$1:CB$87,'Fórmula'!D122,54))+'Fórmula'!G122*(INDEX(properties!A$1:CB$87,'Fórmula'!F122,55))+'Fórmula'!I122*(INDEX(properties!A$1:CB$87,'Fórmula'!H122,55))+'Fórmula'!K122*(INDEX(properties!A$1:CB$87,'Fórmula'!J122,55))</f>
        <v>10712.50287</v>
      </c>
      <c r="FP122" s="118">
        <f t="array" ref="FP122">VARP(IF(INDEX(properties!A$1:CB$87,'Fórmula'!B122,55)&lt;&gt;"",INDEX(properties!A$1:CB$87,'Fórmula'!B122,55)),IF(INDEX(properties!A$1:CB$87,'Fórmula'!D122,55)&lt;&gt;"",INDEX(properties!A$1:CB$87,'Fórmula'!D122,55)),IF(INDEX(properties!A$1:CB$87,'Fórmula'!F122,55)&lt;&gt;"",INDEX(properties!A$1:CB$87,'Fórmula'!F122,55)),IF(INDEX(properties!A$1:CB$87,'Fórmula'!H122,55)&lt;&gt;"",INDEX(properties!A$1:CB$87,'Fórmula'!H122,55)),IF(INDEX(properties!A$1:CB$87,'Fórmula'!J122,55)&lt;&gt;"",INDEX(properties!A$1:CB$87,'Fórmula'!J122,55)))</f>
        <v>5.433968495</v>
      </c>
      <c r="FQ122" s="118">
        <f t="array" ref="FQ122">MAX(INDEX(properties!A$1:CB$87,'Fórmula'!B122,55),INDEX(properties!A$1:CB$87,'Fórmula'!D122,55),INDEX(properties!A$1:CB$87,'Fórmula'!F122,55),INDEX(properties!A$1:CB$87,'Fórmula'!H122,55),INDEX(properties!A$1:CB$87,'Fórmula'!J122,55))</f>
        <v>5.9</v>
      </c>
      <c r="FR122" s="118">
        <f t="array" ref="FR122">MIN(IF(INDEX(properties!A$1:CB$87,'Fórmula'!B122,55)=0,10^6,INDEX(properties!A$1:CB$87,'Fórmula'!B122,55)),IF(INDEX(properties!A$1:CB$87,'Fórmula'!D122,55)=0,10^6,INDEX(properties!A$1:CB$87,'Fórmula'!D122,55)),IF(INDEX(properties!A$1:CB$87,'Fórmula'!F122,55)=0,10^6,INDEX(properties!A$1:CB$87,'Fórmula'!F122,55)),IF(INDEX(properties!A$1:CB$87,'Fórmula'!H122,55)=0,10^6,INDEX(properties!A$1:CB$87,'Fórmula'!H122,55)),IF(INDEX(properties!A$1:CB$87,'Fórmula'!J122,55)=0,10^6,INDEX(properties!A$1:CB$87,'Fórmula'!J122,55)))</f>
        <v>0.00143</v>
      </c>
      <c r="FS122" s="118">
        <f t="shared" si="29"/>
        <v>5.89857</v>
      </c>
      <c r="FT122" s="119">
        <f t="array" ref="FT122">(('Fórmula'!C122)/('Fórmula'!C122+'Fórmula'!E122+'Fórmula'!G122+'Fórmula'!I122+'Fórmula'!K122))*(INDEX(properties!A$1:CB$87,'Fórmula'!B122,56))+(('Fórmula'!E122)/('Fórmula'!C122+'Fórmula'!E122+'Fórmula'!G122+'Fórmula'!I122+'Fórmula'!K122))*(INDEX(properties!A$1:CB$87,'Fórmula'!D122,56))+(('Fórmula'!G122)/('Fórmula'!C122+'Fórmula'!E122+'Fórmula'!G122+'Fórmula'!I122+'Fórmula'!K122))*(INDEX(properties!A$1:CB$87,'Fórmula'!F122,56))+(('Fórmula'!I122)/('Fórmula'!C122+'Fórmula'!E122+'Fórmula'!G122+'Fórmula'!I122+'Fórmula'!K122))*(INDEX(properties!A$1:CB$87,'Fórmula'!H122,56))+(('Fórmula'!K122)/('Fórmula'!C122+'Fórmula'!E122+'Fórmula'!G122+'Fórmula'!I122+'Fórmula'!K122))*(INDEX(properties!A$1:CB$87,'Fórmula'!J122,56))</f>
        <v>0.66625</v>
      </c>
      <c r="FU122" s="119">
        <f t="array" ref="FU122">'Fórmula'!C122*(INDEX(properties!A$1:CB$87,'Fórmula'!B122,56))+'Fórmula'!E122*(INDEX(properties!A$1:CB$87,'Fórmula'!D122,56))+'Fórmula'!G122*(INDEX(properties!A$1:CB$87,'Fórmula'!F122,56))+'Fórmula'!I122*(INDEX(properties!A$1:CB$87,'Fórmula'!H122,56))+'Fórmula'!K122*(INDEX(properties!A$1:CB$87,'Fórmula'!J122,56))</f>
        <v>10.66</v>
      </c>
      <c r="FV122" s="119">
        <f t="array" ref="FV122">VARP(IF(INDEX(properties!A$1:CB$87,'Fórmula'!B122,56)&lt;&gt;"",INDEX(properties!A$1:CB$87,'Fórmula'!B122,56)),IF(INDEX(properties!A$1:CB$87,'Fórmula'!D122,56)&lt;&gt;"",INDEX(properties!A$1:CB$87,'Fórmula'!D122,56)),IF(INDEX(properties!A$1:CB$87,'Fórmula'!F122,56)&lt;&gt;"",INDEX(properties!A$1:CB$87,'Fórmula'!F122,56)),IF(INDEX(properties!A$1:CB$87,'Fórmula'!H122,56)&lt;&gt;"",INDEX(properties!A$1:CB$87,'Fórmula'!H122,56)),IF(INDEX(properties!A$1:CB$87,'Fórmula'!J122,56)&lt;&gt;"",INDEX(properties!A$1:CB$87,'Fórmula'!J122,56)))</f>
        <v>0.113536</v>
      </c>
      <c r="FW122" s="119">
        <f t="array" ref="FW122">MAX(INDEX(properties!A$1:CB$87,'Fórmula'!B122,56),INDEX(properties!A$1:CB$87,'Fórmula'!D122,56),INDEX(properties!A$1:CB$87,'Fórmula'!F122,56),INDEX(properties!A$1:CB$87,'Fórmula'!H122,56),INDEX(properties!A$1:CB$87,'Fórmula'!J122,56))</f>
        <v>0.92</v>
      </c>
      <c r="FX122" s="119">
        <f t="array" ref="FX122">MIN(IF(INDEX(properties!A$1:CB$87,'Fórmula'!B122,56)=0,10^6,INDEX(properties!A$1:CB$87,'Fórmula'!B122,56)),IF(INDEX(properties!A$1:CB$87,'Fórmula'!D122,56)=0,10^6,INDEX(properties!A$1:CB$87,'Fórmula'!D122,56)),IF(INDEX(properties!A$1:CB$87,'Fórmula'!F122,56)=0,10^6,INDEX(properties!A$1:CB$87,'Fórmula'!F122,56)),IF(INDEX(properties!A$1:CB$87,'Fórmula'!H122,56)=0,10^6,INDEX(properties!A$1:CB$87,'Fórmula'!H122,56)),IF(INDEX(properties!A$1:CB$87,'Fórmula'!J122,56)=0,10^6,INDEX(properties!A$1:CB$87,'Fórmula'!J122,56)))</f>
        <v>0.3</v>
      </c>
      <c r="FY122" s="119">
        <f t="shared" si="30"/>
        <v>0.62</v>
      </c>
      <c r="FZ122" s="104">
        <f t="array" ref="FZ122">(('Fórmula'!C122)/('Fórmula'!C122+'Fórmula'!E122+'Fórmula'!G122+'Fórmula'!I122+'Fórmula'!K122))*(INDEX(properties!A$1:CB$87,'Fórmula'!B122,57))+(('Fórmula'!E122)/('Fórmula'!C122+'Fórmula'!E122+'Fórmula'!G122+'Fórmula'!I122+'Fórmula'!K122))*(INDEX(properties!A$1:CB$87,'Fórmula'!D122,57))+(('Fórmula'!G122)/('Fórmula'!C122+'Fórmula'!E122+'Fórmula'!G122+'Fórmula'!I122+'Fórmula'!K122))*(INDEX(properties!A$1:CB$87,'Fórmula'!F122,57))+(('Fórmula'!I122)/('Fórmula'!C122+'Fórmula'!E122+'Fórmula'!G122+'Fórmula'!I122+'Fórmula'!K122))*(INDEX(properties!A$1:CB$87,'Fórmula'!H122,57))+(('Fórmula'!K122)/('Fórmula'!C122+'Fórmula'!E122+'Fórmula'!G122+'Fórmula'!I122+'Fórmula'!K122))*(INDEX(properties!A$1:CB$87,'Fórmula'!J122,57))</f>
        <v>3.078956875</v>
      </c>
      <c r="GA122" s="104">
        <f t="array" ref="GA122">'Fórmula'!C122*(INDEX(properties!A$1:CB$87,'Fórmula'!B122,57))+'Fórmula'!E122*(INDEX(properties!A$1:CB$87,'Fórmula'!D122,57))+'Fórmula'!G122*(INDEX(properties!A$1:CB$87,'Fórmula'!F122,57))+'Fórmula'!I122*(INDEX(properties!A$1:CB$87,'Fórmula'!H122,57))+'Fórmula'!K122*(INDEX(properties!A$1:CB$87,'Fórmula'!J122,57))</f>
        <v>49.26331</v>
      </c>
      <c r="GB122" s="104">
        <f t="array" ref="GB122">VARP(IF(INDEX(properties!A$1:CB$87,'Fórmula'!B122,57)&lt;&gt;"",INDEX(properties!A$1:CB$87,'Fórmula'!B122,57)),IF(INDEX(properties!A$1:CB$87,'Fórmula'!D122,57)&lt;&gt;"",INDEX(properties!A$1:CB$87,'Fórmula'!D122,57)),IF(INDEX(properties!A$1:CB$87,'Fórmula'!F122,57)&lt;&gt;"",INDEX(properties!A$1:CB$87,'Fórmula'!F122,57)),IF(INDEX(properties!A$1:CB$87,'Fórmula'!H122,57)&lt;&gt;"",INDEX(properties!A$1:CB$87,'Fórmula'!H122,57)),IF(INDEX(properties!A$1:CB$87,'Fórmula'!J122,57)&lt;&gt;"",INDEX(properties!A$1:CB$87,'Fórmula'!J122,57)))</f>
        <v>12.0709214</v>
      </c>
      <c r="GC122" s="104">
        <f t="array" ref="GC122">MAX(INDEX(properties!A$1:CB$87,'Fórmula'!B122,57),INDEX(properties!A$1:CB$87,'Fórmula'!D122,57),INDEX(properties!A$1:CB$87,'Fórmula'!F122,57),INDEX(properties!A$1:CB$87,'Fórmula'!H122,57),INDEX(properties!A$1:CB$87,'Fórmula'!J122,57))</f>
        <v>8.3</v>
      </c>
      <c r="GD122" s="104">
        <f t="array" ref="GD122">MIN(IF(INDEX(properties!A$1:CB$87,'Fórmula'!B122,57)=0,10^6,INDEX(properties!A$1:CB$87,'Fórmula'!B122,57)),IF(INDEX(properties!A$1:CB$87,'Fórmula'!D122,57)=0,10^6,INDEX(properties!A$1:CB$87,'Fórmula'!D122,57)),IF(INDEX(properties!A$1:CB$87,'Fórmula'!F122,57)=0,10^6,INDEX(properties!A$1:CB$87,'Fórmula'!F122,57)),IF(INDEX(properties!A$1:CB$87,'Fórmula'!H122,57)=0,10^6,INDEX(properties!A$1:CB$87,'Fórmula'!H122,57)),IF(INDEX(properties!A$1:CB$87,'Fórmula'!J122,57)=0,10^6,INDEX(properties!A$1:CB$87,'Fórmula'!J122,57)))</f>
        <v>0.22259</v>
      </c>
      <c r="GE122" s="104">
        <f t="shared" si="31"/>
        <v>8.07741</v>
      </c>
      <c r="GF122" s="105">
        <f t="array" ref="GF122">(('Fórmula'!C122)/('Fórmula'!C122+'Fórmula'!E122+'Fórmula'!G122+'Fórmula'!I122+'Fórmula'!K122))*(INDEX(properties!A$1:CB$87,'Fórmula'!B122,60))+(('Fórmula'!E122)/('Fórmula'!C122+'Fórmula'!E122+'Fórmula'!G122+'Fórmula'!I122+'Fórmula'!K122))*(INDEX(properties!A$1:CB$87,'Fórmula'!D122,60))+(('Fórmula'!G122)/('Fórmula'!C122+'Fórmula'!E122+'Fórmula'!G122+'Fórmula'!I122+'Fórmula'!K122))*(INDEX(properties!A$1:CB$87,'Fórmula'!F122,60))+(('Fórmula'!I122)/('Fórmula'!C122+'Fórmula'!E122+'Fórmula'!G122+'Fórmula'!I122+'Fórmula'!K122))*(INDEX(properties!A$1:CB$87,'Fórmula'!H122,60))+(('Fórmula'!K122)/('Fórmula'!C122+'Fórmula'!E122+'Fórmula'!G122+'Fórmula'!I122+'Fórmula'!K122))*(INDEX(properties!A$1:CB$87,'Fórmula'!J122,60))</f>
        <v>16.78379125</v>
      </c>
      <c r="GG122" s="105">
        <f t="array" ref="GG122">'Fórmula'!C122*(INDEX(properties!A$1:CB$87,'Fórmula'!B122,60))+'Fórmula'!E122*(INDEX(properties!A$1:CB$87,'Fórmula'!D122,60))+'Fórmula'!G122*(INDEX(properties!A$1:CB$87,'Fórmula'!F122,60))+'Fórmula'!I122*(INDEX(properties!A$1:CB$87,'Fórmula'!H122,60))+'Fórmula'!K122*(INDEX(properties!A$1:CB$87,'Fórmula'!J122,60))</f>
        <v>268.54066</v>
      </c>
      <c r="GH122" s="105">
        <f t="array" ref="GH122">VARP(IF(INDEX(properties!A$1:CB$87,'Fórmula'!B122,60)&lt;&gt;"",INDEX(properties!A$1:CB$87,'Fórmula'!B122,60)),IF(INDEX(properties!A$1:CB$87,'Fórmula'!D122,60)&lt;&gt;"",INDEX(properties!A$1:CB$87,'Fórmula'!D122,60)),IF(INDEX(properties!A$1:CB$87,'Fórmula'!F122,60)&lt;&gt;"",INDEX(properties!A$1:CB$87,'Fórmula'!F122,60)),IF(INDEX(properties!A$1:CB$87,'Fórmula'!H122,60)&lt;&gt;"",INDEX(properties!A$1:CB$87,'Fórmula'!H122,60)),IF(INDEX(properties!A$1:CB$87,'Fórmula'!J122,60)&lt;&gt;"",INDEX(properties!A$1:CB$87,'Fórmula'!J122,60)))</f>
        <v>348.2953491</v>
      </c>
      <c r="GI122" s="105">
        <f t="array" ref="GI122">MAX(INDEX(properties!A$1:CB$87,'Fórmula'!B122,60),INDEX(properties!A$1:CB$87,'Fórmula'!D122,60),INDEX(properties!A$1:CB$87,'Fórmula'!F122,60),INDEX(properties!A$1:CB$87,'Fórmula'!H122,60),INDEX(properties!A$1:CB$87,'Fórmula'!J122,60))</f>
        <v>40.6</v>
      </c>
      <c r="GJ122" s="105">
        <f t="array" ref="GJ122">MIN(IF(INDEX(properties!A$1:CB$87,'Fórmula'!B122,60)=0,10^6,INDEX(properties!A$1:CB$87,'Fórmula'!B122,60)),IF(INDEX(properties!A$1:CB$87,'Fórmula'!D122,60)=0,10^6,INDEX(properties!A$1:CB$87,'Fórmula'!D122,60)),IF(INDEX(properties!A$1:CB$87,'Fórmula'!F122,60)=0,10^6,INDEX(properties!A$1:CB$87,'Fórmula'!F122,60)),IF(INDEX(properties!A$1:CB$87,'Fórmula'!H122,60)=0,10^6,INDEX(properties!A$1:CB$87,'Fórmula'!H122,60)),IF(INDEX(properties!A$1:CB$87,'Fórmula'!J122,60)=0,10^6,INDEX(properties!A$1:CB$87,'Fórmula'!J122,60)))</f>
        <v>0.02674</v>
      </c>
      <c r="GK122" s="105">
        <f t="shared" si="32"/>
        <v>40.57326</v>
      </c>
      <c r="GL122" s="106">
        <f t="array" ref="GL122">(('Fórmula'!C122)/('Fórmula'!C122+'Fórmula'!E122+'Fórmula'!G122+'Fórmula'!I122+'Fórmula'!K122))*(INDEX(properties!A$1:CB$87,'Fórmula'!B122,62))+(('Fórmula'!E122)/('Fórmula'!C122+'Fórmula'!E122+'Fórmula'!G122+'Fórmula'!I122+'Fórmula'!K122))*(INDEX(properties!A$1:CB$87,'Fórmula'!D122,62))+(('Fórmula'!G122)/('Fórmula'!C122+'Fórmula'!E122+'Fórmula'!G122+'Fórmula'!I122+'Fórmula'!K122))*(INDEX(properties!A$1:CB$87,'Fórmula'!F122,62))+(('Fórmula'!I122)/('Fórmula'!C122+'Fórmula'!E122+'Fórmula'!G122+'Fórmula'!I122+'Fórmula'!K122))*(INDEX(properties!A$1:CB$87,'Fórmula'!H122,62))+(('Fórmula'!K122)/('Fórmula'!C122+'Fórmula'!E122+'Fórmula'!G122+'Fórmula'!I122+'Fórmula'!K122))*(INDEX(properties!A$1:CB$87,'Fórmula'!J122,62))</f>
        <v>2.49875</v>
      </c>
      <c r="GM122" s="106">
        <f t="array" ref="GM122">'Fórmula'!C122*(INDEX(properties!A$1:CB$87,'Fórmula'!B122,62))+'Fórmula'!E122*(INDEX(properties!A$1:CB$87,'Fórmula'!D122,62))+'Fórmula'!G122*(INDEX(properties!A$1:CB$87,'Fórmula'!F122,62))+'Fórmula'!I122*(INDEX(properties!A$1:CB$87,'Fórmula'!H122,62))+'Fórmula'!K122*(INDEX(properties!A$1:CB$87,'Fórmula'!J122,62))</f>
        <v>39.98</v>
      </c>
      <c r="GN122" s="106">
        <f t="array" ref="GN122">VARP(IF(INDEX(properties!A$1:CB$87,'Fórmula'!B122,62)&lt;&gt;"",INDEX(properties!A$1:CB$87,'Fórmula'!B122,62)),IF(INDEX(properties!A$1:CB$87,'Fórmula'!D122,62)&lt;&gt;"",INDEX(properties!A$1:CB$87,'Fórmula'!D122,62)),IF(INDEX(properties!A$1:CB$87,'Fórmula'!F122,62)&lt;&gt;"",INDEX(properties!A$1:CB$87,'Fórmula'!F122,62)),IF(INDEX(properties!A$1:CB$87,'Fórmula'!H122,62)&lt;&gt;"",INDEX(properties!A$1:CB$87,'Fórmula'!H122,62)),IF(INDEX(properties!A$1:CB$87,'Fórmula'!J122,62)&lt;&gt;"",INDEX(properties!A$1:CB$87,'Fórmula'!J122,62)))</f>
        <v>1.49888</v>
      </c>
      <c r="GO122" s="106">
        <f t="array" ref="GO122">MAX(INDEX(properties!A$1:CB$87,'Fórmula'!B122,62),INDEX(properties!A$1:CB$87,'Fórmula'!D122,62),INDEX(properties!A$1:CB$87,'Fórmula'!F122,62),INDEX(properties!A$1:CB$87,'Fórmula'!H122,62),INDEX(properties!A$1:CB$87,'Fórmula'!J122,62))</f>
        <v>2.81</v>
      </c>
      <c r="GP122" s="106">
        <f t="array" ref="GP122">MIN(IF(INDEX(properties!A$1:CB$87,'Fórmula'!B122,62)=0,10^6,INDEX(properties!A$1:CB$87,'Fórmula'!B122,62)),IF(INDEX(properties!A$1:CB$87,'Fórmula'!D122,62)=0,10^6,INDEX(properties!A$1:CB$87,'Fórmula'!D122,62)),IF(INDEX(properties!A$1:CB$87,'Fórmula'!F122,62)=0,10^6,INDEX(properties!A$1:CB$87,'Fórmula'!F122,62)),IF(INDEX(properties!A$1:CB$87,'Fórmula'!H122,62)=0,10^6,INDEX(properties!A$1:CB$87,'Fórmula'!H122,62)),IF(INDEX(properties!A$1:CB$87,'Fórmula'!J122,62)=0,10^6,INDEX(properties!A$1:CB$87,'Fórmula'!J122,62)))</f>
        <v>1.72</v>
      </c>
      <c r="GQ122" s="106">
        <f t="shared" si="33"/>
        <v>1.09</v>
      </c>
      <c r="GR122" s="106">
        <f>'Fórmula'!Q122</f>
        <v>2</v>
      </c>
      <c r="GS122" s="107">
        <f>'Fórmula'!P122</f>
        <v>7</v>
      </c>
      <c r="GT122" s="113">
        <f>'Fórmula'!O122</f>
        <v>6.49</v>
      </c>
      <c r="GU122" s="114">
        <f>AVERAGE('Fórmula'!R122/'Fórmula'!S122,'Fórmula'!S122/'Fórmula'!T122,'Fórmula'!T122/'Fórmula'!R122)</f>
        <v>1.035785511</v>
      </c>
      <c r="GV122" s="125">
        <f>'Fórmula'!U122</f>
        <v>485.69</v>
      </c>
      <c r="GW122" s="106">
        <f>'Fórmula'!N122</f>
        <v>0.05</v>
      </c>
    </row>
    <row r="123" ht="14.25" customHeight="1">
      <c r="A123" s="99" t="str">
        <f>'Fórmula'!A123</f>
        <v>Gd2Ti2O7</v>
      </c>
      <c r="B123" s="101">
        <f t="array" ref="B123">(('Fórmula'!C123)/('Fórmula'!C123+'Fórmula'!E123+'Fórmula'!G123+'Fórmula'!I123+'Fórmula'!K123))*(INDEX(properties!A$1:CB$87,'Fórmula'!B123,3))+(('Fórmula'!E123)/('Fórmula'!C123+'Fórmula'!E123+'Fórmula'!G123+'Fórmula'!I123+'Fórmula'!K123))*(INDEX(properties!A$1:CB$87,'Fórmula'!D123,3))+(('Fórmula'!G123)/('Fórmula'!C123+'Fórmula'!E123+'Fórmula'!G123+'Fórmula'!I123+'Fórmula'!K123))*(INDEX(properties!A$1:CB$87,'Fórmula'!F123,3))+(('Fórmula'!I123)/('Fórmula'!C123+'Fórmula'!E123+'Fórmula'!G123+'Fórmula'!I123+'Fórmula'!K123))*(INDEX(properties!A$1:CB$87,'Fórmula'!H123,3))+(('Fórmula'!K123)/('Fórmula'!C123+'Fórmula'!E123+'Fórmula'!G123+'Fórmula'!I123+'Fórmula'!K123))*(INDEX(properties!A$1:CB$87,'Fórmula'!J123,3))</f>
        <v>47.47543636</v>
      </c>
      <c r="C123" s="101">
        <f t="array" ref="C123">'Fórmula'!C123*(INDEX(properties!A$1:CB$87,'Fórmula'!B123,3))+'Fórmula'!E123*(INDEX(properties!A$1:CB$87,'Fórmula'!D123,3))+'Fórmula'!G123*(INDEX(properties!A$1:CB$87,'Fórmula'!F123,3))+'Fórmula'!I123*(INDEX(properties!A$1:CB$87,'Fórmula'!H123,3))+'Fórmula'!K123*(INDEX(properties!A$1:CB$87,'Fórmula'!J123,3))</f>
        <v>522.2298</v>
      </c>
      <c r="D123" s="101">
        <f t="array" ref="D123">VARP(IF(INDEX(properties!A$1:CB$87,'Fórmula'!B123,3)&lt;&gt;"",INDEX(properties!A$1:CB$87,'Fórmula'!B123,3)),IF(INDEX(properties!A$1:CB$87,'Fórmula'!D123,3)&lt;&gt;"",INDEX(properties!A$1:CB$87,'Fórmula'!D123,3)),IF(INDEX(properties!A$1:CB$87,'Fórmula'!F123,3)&lt;&gt;"",INDEX(properties!A$1:CB$87,'Fórmula'!F123,3)),IF(INDEX(properties!A$1:CB$87,'Fórmula'!H123,3)&lt;&gt;"",INDEX(properties!A$1:CB$87,'Fórmula'!H123,3)),IF(INDEX(properties!A$1:CB$87,'Fórmula'!J123,3)&lt;&gt;"",INDEX(properties!A$1:CB$87,'Fórmula'!J123,3)))</f>
        <v>3499.260104</v>
      </c>
      <c r="E123" s="101">
        <f t="array" ref="E123">MAX(INDEX(properties!A$1:CB$87,'Fórmula'!B123,3),INDEX(properties!A$1:CB$87,'Fórmula'!D123,3),INDEX(properties!A$1:CB$87,'Fórmula'!F123,3),INDEX(properties!A$1:CB$87,'Fórmula'!H123,3),INDEX(properties!A$1:CB$87,'Fórmula'!J123,3))</f>
        <v>157.25</v>
      </c>
      <c r="F123" s="101">
        <f t="array" ref="F123">MIN(IF(INDEX(properties!A$1:CB$87,'Fórmula'!B123,3)=0,10^6,INDEX(properties!A$1:CB$87,'Fórmula'!B123,3)),IF(INDEX(properties!A$1:CB$87,'Fórmula'!D123,3)=0,10^6,INDEX(properties!A$1:CB$87,'Fórmula'!D123,3)),IF(INDEX(properties!A$1:CB$87,'Fórmula'!F123,3)=0,10^6,INDEX(properties!A$1:CB$87,'Fórmula'!F123,3)),IF(INDEX(properties!A$1:CB$87,'Fórmula'!H123,3)=0,10^6,INDEX(properties!A$1:CB$87,'Fórmula'!H123,3)),IF(INDEX(properties!A$1:CB$87,'Fórmula'!J123,3)=0,10^6,INDEX(properties!A$1:CB$87,'Fórmula'!J123,3)))</f>
        <v>15.9994</v>
      </c>
      <c r="G123" s="101">
        <f t="shared" si="1"/>
        <v>141.2506</v>
      </c>
      <c r="H123" s="102">
        <f t="array" ref="H123">(('Fórmula'!C123)/('Fórmula'!C123+'Fórmula'!E123+'Fórmula'!G123+'Fórmula'!I123+'Fórmula'!K123))*(INDEX(properties!A$1:CB$87,'Fórmula'!B123,4))+(('Fórmula'!E123)/('Fórmula'!C123+'Fórmula'!E123+'Fórmula'!G123+'Fórmula'!I123+'Fórmula'!K123))*(INDEX(properties!A$1:CB$87,'Fórmula'!D123,4))+(('Fórmula'!G123)/('Fórmula'!C123+'Fórmula'!E123+'Fórmula'!G123+'Fórmula'!I123+'Fórmula'!K123))*(INDEX(properties!A$1:CB$87,'Fórmula'!F123,4))+(('Fórmula'!I123)/('Fórmula'!C123+'Fórmula'!E123+'Fórmula'!G123+'Fórmula'!I123+'Fórmula'!K123))*(INDEX(properties!A$1:CB$87,'Fórmula'!H123,4))+(('Fórmula'!K123)/('Fórmula'!C123+'Fórmula'!E123+'Fórmula'!G123+'Fórmula'!I123+'Fórmula'!K123))*(INDEX(properties!A$1:CB$87,'Fórmula'!J123,4))</f>
        <v>20.72727273</v>
      </c>
      <c r="I123" s="102">
        <f t="array" ref="I123">'Fórmula'!C123*(INDEX(properties!A$1:CB$87,'Fórmula'!B123,4))+'Fórmula'!E123*(INDEX(properties!A$1:CB$87,'Fórmula'!D123,4))+'Fórmula'!G123*(INDEX(properties!A$1:CB$87,'Fórmula'!F123,4))+'Fórmula'!I123*(INDEX(properties!A$1:CB$87,'Fórmula'!H123,4))+'Fórmula'!K123*(INDEX(properties!A$1:CB$87,'Fórmula'!J123,4))</f>
        <v>228</v>
      </c>
      <c r="J123" s="102">
        <f t="array" ref="J123">VARP(IF(INDEX(properties!A$1:CB$87,'Fórmula'!B123,4)&lt;&gt;"",INDEX(properties!A$1:CB$87,'Fórmula'!B123,4)),IF(INDEX(properties!A$1:CB$87,'Fórmula'!D123,4)&lt;&gt;"",INDEX(properties!A$1:CB$87,'Fórmula'!D123,4)),IF(INDEX(properties!A$1:CB$87,'Fórmula'!F123,4)&lt;&gt;"",INDEX(properties!A$1:CB$87,'Fórmula'!F123,4)),IF(INDEX(properties!A$1:CB$87,'Fórmula'!H123,4)&lt;&gt;"",INDEX(properties!A$1:CB$87,'Fórmula'!H123,4)),IF(INDEX(properties!A$1:CB$87,'Fórmula'!J123,4)&lt;&gt;"",INDEX(properties!A$1:CB$87,'Fórmula'!J123,4)))</f>
        <v>575.36</v>
      </c>
      <c r="K123" s="102">
        <f t="array" ref="K123">MAX(INDEX(properties!A$1:CB$87,'Fórmula'!B123,4),INDEX(properties!A$1:CB$87,'Fórmula'!D123,4),INDEX(properties!A$1:CB$87,'Fórmula'!F123,4),INDEX(properties!A$1:CB$87,'Fórmula'!H123,4),INDEX(properties!A$1:CB$87,'Fórmula'!J123,4))</f>
        <v>64</v>
      </c>
      <c r="L123" s="102">
        <f t="array" ref="L123">MIN(IF(INDEX(properties!A$1:CB$87,'Fórmula'!B123,4)=0,10^6,INDEX(properties!A$1:CB$87,'Fórmula'!B123,4)),IF(INDEX(properties!A$1:CB$87,'Fórmula'!D123,4)=0,10^6,INDEX(properties!A$1:CB$87,'Fórmula'!D123,4)),IF(INDEX(properties!A$1:CB$87,'Fórmula'!F123,4)=0,10^6,INDEX(properties!A$1:CB$87,'Fórmula'!F123,4)),IF(INDEX(properties!A$1:CB$87,'Fórmula'!H123,4)=0,10^6,INDEX(properties!A$1:CB$87,'Fórmula'!H123,4)),IF(INDEX(properties!A$1:CB$87,'Fórmula'!J123,4)=0,10^6,INDEX(properties!A$1:CB$87,'Fórmula'!J123,4)))</f>
        <v>8</v>
      </c>
      <c r="M123" s="102">
        <f t="shared" si="2"/>
        <v>56</v>
      </c>
      <c r="N123" s="103">
        <f t="array" ref="N123">(('Fórmula'!C123)/('Fórmula'!C123+'Fórmula'!E123+'Fórmula'!G123+'Fórmula'!I123+'Fórmula'!K123))*(INDEX(properties!A$1:CB$87,'Fórmula'!B123,5))+(('Fórmula'!E123)/('Fórmula'!C123+'Fórmula'!E123+'Fórmula'!G123+'Fórmula'!I123+'Fórmula'!K123))*(INDEX(properties!A$1:CB$87,'Fórmula'!D123,5))+(('Fórmula'!G123)/('Fórmula'!C123+'Fórmula'!E123+'Fórmula'!G123+'Fórmula'!I123+'Fórmula'!K123))*(INDEX(properties!A$1:CB$87,'Fórmula'!F123,5))+(('Fórmula'!I123)/('Fórmula'!C123+'Fórmula'!E123+'Fórmula'!G123+'Fórmula'!I123+'Fórmula'!K123))*(INDEX(properties!A$1:CB$87,'Fórmula'!H123,5))+(('Fórmula'!K123)/('Fórmula'!C123+'Fórmula'!E123+'Fórmula'!G123+'Fórmula'!I123+'Fórmula'!K123))*(INDEX(properties!A$1:CB$87,'Fórmula'!J123,5))</f>
        <v>3.090909091</v>
      </c>
      <c r="O123" s="103">
        <f t="array" ref="O123">'Fórmula'!C123*(INDEX(properties!A$1:CB$87,'Fórmula'!B123,5))+'Fórmula'!E123*(INDEX(properties!A$1:CB$87,'Fórmula'!D123,5))+'Fórmula'!G123*(INDEX(properties!A$1:CB$87,'Fórmula'!F123,5))+'Fórmula'!I123*(INDEX(properties!A$1:CB$87,'Fórmula'!H123,5))+'Fórmula'!K123*(INDEX(properties!A$1:CB$87,'Fórmula'!J123,5))</f>
        <v>34</v>
      </c>
      <c r="P123" s="103">
        <f t="array" ref="P123">VARP(IF(INDEX(properties!A$1:CB$87,'Fórmula'!B123,5)&lt;&gt;"",INDEX(properties!A$1:CB$87,'Fórmula'!B123,5)),IF(INDEX(properties!A$1:CB$87,'Fórmula'!D123,5)&lt;&gt;"",INDEX(properties!A$1:CB$87,'Fórmula'!D123,5)),IF(INDEX(properties!A$1:CB$87,'Fórmula'!F123,5)&lt;&gt;"",INDEX(properties!A$1:CB$87,'Fórmula'!F123,5)),IF(INDEX(properties!A$1:CB$87,'Fórmula'!H123,5)&lt;&gt;"",INDEX(properties!A$1:CB$87,'Fórmula'!H123,5)),IF(INDEX(properties!A$1:CB$87,'Fórmula'!J123,5)&lt;&gt;"",INDEX(properties!A$1:CB$87,'Fórmula'!J123,5)))</f>
        <v>5.44</v>
      </c>
      <c r="Q123" s="103">
        <f t="array" ref="Q123">MAX(INDEX(properties!A$1:CB$87,'Fórmula'!B123,5),INDEX(properties!A$1:CB$87,'Fórmula'!D123,5),INDEX(properties!A$1:CB$87,'Fórmula'!F123,5),INDEX(properties!A$1:CB$87,'Fórmula'!H123,5),INDEX(properties!A$1:CB$87,'Fórmula'!J123,5))</f>
        <v>6</v>
      </c>
      <c r="R123" s="103">
        <f t="array" ref="R123">MIN(IF(INDEX(properties!A$1:CB$87,'Fórmula'!B123,5)=0,10^6,INDEX(properties!A$1:CB$87,'Fórmula'!B123,5)),IF(INDEX(properties!A$1:CB$87,'Fórmula'!D123,5)=0,10^6,INDEX(properties!A$1:CB$87,'Fórmula'!D123,5)),IF(INDEX(properties!A$1:CB$87,'Fórmula'!F123,5)=0,10^6,INDEX(properties!A$1:CB$87,'Fórmula'!F123,5)),IF(INDEX(properties!A$1:CB$87,'Fórmula'!H123,5)=0,10^6,INDEX(properties!A$1:CB$87,'Fórmula'!H123,5)),IF(INDEX(properties!A$1:CB$87,'Fórmula'!J123,5)=0,10^6,INDEX(properties!A$1:CB$87,'Fórmula'!J123,5)))</f>
        <v>2</v>
      </c>
      <c r="S123" s="103">
        <f t="shared" si="3"/>
        <v>4</v>
      </c>
      <c r="T123" s="104">
        <f t="array" ref="T123">(('Fórmula'!C123)/('Fórmula'!C123+'Fórmula'!E123+'Fórmula'!G123+'Fórmula'!I123+'Fórmula'!K123))*(INDEX(properties!A$1:CB$87,'Fórmula'!B123,6))+(('Fórmula'!E123)/('Fórmula'!C123+'Fórmula'!E123+'Fórmula'!G123+'Fórmula'!I123+'Fórmula'!K123))*(INDEX(properties!A$1:CB$87,'Fórmula'!D123,6))+(('Fórmula'!G123)/('Fórmula'!C123+'Fórmula'!E123+'Fórmula'!G123+'Fórmula'!I123+'Fórmula'!K123))*(INDEX(properties!A$1:CB$87,'Fórmula'!F123,6))+(('Fórmula'!I123)/('Fórmula'!C123+'Fórmula'!E123+'Fórmula'!G123+'Fórmula'!I123+'Fórmula'!K123))*(INDEX(properties!A$1:CB$87,'Fórmula'!H123,6))+(('Fórmula'!K123)/('Fórmula'!C123+'Fórmula'!E123+'Fórmula'!G123+'Fórmula'!I123+'Fórmula'!K123))*(INDEX(properties!A$1:CB$87,'Fórmula'!J123,6))</f>
        <v>11.45454545</v>
      </c>
      <c r="U123" s="104">
        <f t="array" ref="U123">'Fórmula'!C123*(INDEX(properties!A$1:CB$87,'Fórmula'!B123,6))+'Fórmula'!E123*(INDEX(properties!A$1:CB$87,'Fórmula'!D123,6))+'Fórmula'!G123*(INDEX(properties!A$1:CB$87,'Fórmula'!F123,6))+'Fórmula'!I123*(INDEX(properties!A$1:CB$87,'Fórmula'!H123,6))+'Fórmula'!K123*(INDEX(properties!A$1:CB$87,'Fórmula'!J123,6))</f>
        <v>126</v>
      </c>
      <c r="V123" s="103">
        <f t="array" ref="V123">VARP(IF(INDEX(properties!A$1:CB$87,'Fórmula'!B123,6)&lt;&gt;"",INDEX(properties!A$1:CB$87,'Fórmula'!B123,6)),IF(INDEX(properties!A$1:CB$87,'Fórmula'!D123,6)&lt;&gt;"",INDEX(properties!A$1:CB$87,'Fórmula'!D123,6)),IF(INDEX(properties!A$1:CB$87,'Fórmula'!F123,6)&lt;&gt;"",INDEX(properties!A$1:CB$87,'Fórmula'!F123,6)),IF(INDEX(properties!A$1:CB$87,'Fórmula'!H123,6)&lt;&gt;"",INDEX(properties!A$1:CB$87,'Fórmula'!H123,6)),IF(INDEX(properties!A$1:CB$87,'Fórmula'!J123,6)&lt;&gt;"",INDEX(properties!A$1:CB$87,'Fórmula'!J123,6)))</f>
        <v>35.04</v>
      </c>
      <c r="W123" s="104">
        <f t="array" ref="W123">MAX(INDEX(properties!A$1:CB$87,'Fórmula'!B123,6),INDEX(properties!A$1:CB$87,'Fórmula'!D123,6),INDEX(properties!A$1:CB$87,'Fórmula'!F123,6),INDEX(properties!A$1:CB$87,'Fórmula'!H123,4),INDEX(properties!A$1:CB$87,'Fórmula'!J123,6))</f>
        <v>16</v>
      </c>
      <c r="X123" s="104">
        <f t="array" ref="X123">MIN(IF(INDEX(properties!A$1:CB$87,'Fórmula'!B123,6)=0,10^6,INDEX(properties!A$1:CB$87,'Fórmula'!B123,6)),IF(INDEX(properties!A$1:CB$87,'Fórmula'!D123,6)=0,10^6,INDEX(properties!A$1:CB$87,'Fórmula'!D123,6)),IF(INDEX(properties!A$1:CB$87,'Fórmula'!F123,6)=0,10^6,INDEX(properties!A$1:CB$87,'Fórmula'!F123,6)),IF(INDEX(properties!A$1:CB$87,'Fórmula'!H123,6)=0,10^6,INDEX(properties!A$1:CB$87,'Fórmula'!H123,6)),IF(INDEX(properties!A$1:CB$87,'Fórmula'!J123,6)=0,10^6,INDEX(properties!A$1:CB$87,'Fórmula'!J123,6)))</f>
        <v>3</v>
      </c>
      <c r="Y123" s="104">
        <f t="shared" si="4"/>
        <v>13</v>
      </c>
      <c r="Z123" s="105">
        <f t="array" ref="Z123">(('Fórmula'!C123)/('Fórmula'!C123+'Fórmula'!E123+'Fórmula'!G123+'Fórmula'!I123+'Fórmula'!K123))*(INDEX(properties!A$1:CB$87,'Fórmula'!B123,9))+(('Fórmula'!E123)/('Fórmula'!C123+'Fórmula'!E123+'Fórmula'!G123+'Fórmula'!I123+'Fórmula'!K123))*(INDEX(properties!A$1:CB$87,'Fórmula'!D123,9))+(('Fórmula'!G123)/('Fórmula'!C123+'Fórmula'!E123+'Fórmula'!G123+'Fórmula'!I123+'Fórmula'!K123))*(INDEX(properties!A$1:CB$87,'Fórmula'!F123,9))+(('Fórmula'!I123)/('Fórmula'!C123+'Fórmula'!E123+'Fórmula'!G123+'Fórmula'!I123+'Fórmula'!K123))*(INDEX(properties!A$1:CB$87,'Fórmula'!H123,9))+(('Fórmula'!K123)/('Fórmula'!C123+'Fórmula'!E123+'Fórmula'!G123+'Fórmula'!I123+'Fórmula'!K123))*(INDEX(properties!A$1:CB$87,'Fórmula'!J123,9))</f>
        <v>68.09090909</v>
      </c>
      <c r="AA123" s="105">
        <f t="array" ref="AA123">'Fórmula'!C123*(INDEX(properties!A$1:CB$87,'Fórmula'!B123,9))+'Fórmula'!E123*(INDEX(properties!A$1:CB$87,'Fórmula'!D123,9))+'Fórmula'!G123*(INDEX(properties!A$1:CB$87,'Fórmula'!F123,9))+'Fórmula'!I123*(INDEX(properties!A$1:CB$87,'Fórmula'!H123,9))+'Fórmula'!K123*(INDEX(properties!A$1:CB$87,'Fórmula'!J123,9))</f>
        <v>749</v>
      </c>
      <c r="AB123" s="105">
        <f t="array" ref="AB123">VARP(IF(INDEX(properties!A$1:CB$87,'Fórmula'!B123,9)&lt;&gt;"",INDEX(properties!A$1:CB$87,'Fórmula'!B123,9)),IF(INDEX(properties!A$1:CB$87,'Fórmula'!D123,9)&lt;&gt;"",INDEX(properties!A$1:CB$87,'Fórmula'!D123,9)),IF(INDEX(properties!A$1:CB$87,'Fórmula'!F123,9)&lt;&gt;"",INDEX(properties!A$1:CB$87,'Fórmula'!F123,9)),IF(INDEX(properties!A$1:CB$87,'Fórmula'!H123,9)&lt;&gt;"",INDEX(properties!A$1:CB$87,'Fórmula'!H123,9)),IF(INDEX(properties!A$1:CB$87,'Fórmula'!J123,9)&lt;&gt;"",INDEX(properties!A$1:CB$87,'Fórmula'!J123,9)))</f>
        <v>1043.44</v>
      </c>
      <c r="AC123" s="105">
        <f t="array" ref="AC123">MAX(INDEX(properties!A$1:CB$87,'Fórmula'!B123,9),INDEX(properties!A$1:CB$87,'Fórmula'!D123,9),INDEX(properties!A$1:CB$87,'Fórmula'!F123,9),INDEX(properties!A$1:CB$87,'Fórmula'!H123,9),INDEX(properties!A$1:CB$87,'Fórmula'!J123,9))</f>
        <v>87</v>
      </c>
      <c r="AD123" s="105">
        <f t="array" ref="AD123">MIN(IF(INDEX(properties!A$1:CB$87,'Fórmula'!B123,9)=0,10^6,INDEX(properties!A$1:CB$87,'Fórmula'!B123,9)),IF(INDEX(properties!A$1:CB$87,'Fórmula'!D123,9)=0,10^6,INDEX(properties!A$1:CB$87,'Fórmula'!D123,9)),IF(INDEX(properties!A$1:CB$87,'Fórmula'!F123,9)=0,10^6,INDEX(properties!A$1:CB$87,'Fórmula'!F123,9)),IF(INDEX(properties!A$1:CB$87,'Fórmula'!H123,9)=0,10^6,INDEX(properties!A$1:CB$87,'Fórmula'!H123,9)),IF(INDEX(properties!A$1:CB$87,'Fórmula'!J123,9)=0,10^6,INDEX(properties!A$1:CB$87,'Fórmula'!J123,9)))</f>
        <v>27</v>
      </c>
      <c r="AE123" s="105">
        <f t="shared" si="5"/>
        <v>60</v>
      </c>
      <c r="AF123" s="106">
        <f t="array" ref="AF123">(('Fórmula'!C123)/('Fórmula'!C123+'Fórmula'!E123+'Fórmula'!G123+'Fórmula'!I123+'Fórmula'!K123))*(INDEX(properties!A$1:CB$87,'Fórmula'!B123,10))+(('Fórmula'!E123)/('Fórmula'!C123+'Fórmula'!E123+'Fórmula'!G123+'Fórmula'!I123+'Fórmula'!K123))*(INDEX(properties!A$1:CB$87,'Fórmula'!D123,10))+(('Fórmula'!G123)/('Fórmula'!C123+'Fórmula'!E123+'Fórmula'!G123+'Fórmula'!I123+'Fórmula'!K123))*(INDEX(properties!A$1:CB$87,'Fórmula'!F123,10))+(('Fórmula'!I123)/('Fórmula'!C123+'Fórmula'!E123+'Fórmula'!G123+'Fórmula'!I123+'Fórmula'!K123))*(INDEX(properties!A$1:CB$87,'Fórmula'!H123,10))+(('Fórmula'!K123)/('Fórmula'!C123+'Fórmula'!E123+'Fórmula'!G123+'Fórmula'!I123+'Fórmula'!K123))*(INDEX(properties!A$1:CB$87,'Fórmula'!J123,10))</f>
        <v>5.727272727</v>
      </c>
      <c r="AG123" s="106">
        <f t="array" ref="AG123">'Fórmula'!C123*(INDEX(properties!A$1:CB$87,'Fórmula'!B123,10))+'Fórmula'!E123*(INDEX(properties!A$1:CB$87,'Fórmula'!D123,10))+'Fórmula'!G123*(INDEX(properties!A$1:CB$87,'Fórmula'!F123,10))+'Fórmula'!I123*(INDEX(properties!A$1:CB$87,'Fórmula'!H123,10))+'Fórmula'!K123*(INDEX(properties!A$1:CB$87,'Fórmula'!J123,10))</f>
        <v>63</v>
      </c>
      <c r="AH123" s="106">
        <f t="array" ref="AH123">VARP(IF(INDEX(properties!A$1:CB$87,'Fórmula'!B123,10)&lt;&gt;"",INDEX(properties!A$1:CB$87,'Fórmula'!B123,10)),IF(INDEX(properties!A$1:CB$87,'Fórmula'!D123,10)&lt;&gt;"",INDEX(properties!A$1:CB$87,'Fórmula'!D123,10)),IF(INDEX(properties!A$1:CB$87,'Fórmula'!F123,10)&lt;&gt;"",INDEX(properties!A$1:CB$87,'Fórmula'!F123,10)),IF(INDEX(properties!A$1:CB$87,'Fórmula'!H123,10)&lt;&gt;"",INDEX(properties!A$1:CB$87,'Fórmula'!H123,10)),IF(INDEX(properties!A$1:CB$87,'Fórmula'!J123,10)&lt;&gt;"",INDEX(properties!A$1:CB$87,'Fórmula'!J123,10)))</f>
        <v>6.96</v>
      </c>
      <c r="AI123" s="106">
        <f t="array" ref="AI123">MAX(INDEX(properties!A$1:CB$87,'Fórmula'!B123,10),INDEX(properties!A$1:CB$87,'Fórmula'!D123,10),INDEX(properties!A$1:CB$87,'Fórmula'!F123,10),INDEX(properties!A$1:CB$87,'Fórmula'!H123,10),INDEX(properties!A$1:CB$87,'Fórmula'!J123,10))</f>
        <v>7</v>
      </c>
      <c r="AJ123" s="106">
        <f t="array" ref="AJ123">MIN(IF(INDEX(properties!A$1:CB$87,'Fórmula'!B123,10)=0,10^6,INDEX(properties!A$1:CB$87,'Fórmula'!B123,10)),IF(INDEX(properties!A$1:CB$87,'Fórmula'!D123,10)=0,10^6,INDEX(properties!A$1:CB$87,'Fórmula'!D123,10)),IF(INDEX(properties!A$1:CB$87,'Fórmula'!F123,10)=0,10^6,INDEX(properties!A$1:CB$87,'Fórmula'!F123,10)),IF(INDEX(properties!A$1:CB$87,'Fórmula'!H123,10)=0,10^6,INDEX(properties!A$1:CB$87,'Fórmula'!H123,10)),IF(INDEX(properties!A$1:CB$87,'Fórmula'!J123,10)=0,10^6,INDEX(properties!A$1:CB$87,'Fórmula'!J123,10)))</f>
        <v>3</v>
      </c>
      <c r="AK123" s="106">
        <f t="shared" si="6"/>
        <v>4</v>
      </c>
      <c r="AL123" s="107">
        <f t="array" ref="AL123">(('Fórmula'!C123)/('Fórmula'!C123+'Fórmula'!E123+'Fórmula'!G123+'Fórmula'!I123+'Fórmula'!K123))*(INDEX(properties!A$1:CB$87,'Fórmula'!B123,11))+(('Fórmula'!E123)/('Fórmula'!C123+'Fórmula'!E123+'Fórmula'!G123+'Fórmula'!I123+'Fórmula'!K123))*(INDEX(properties!A$1:CB$87,'Fórmula'!D123,11))+(('Fórmula'!G123)/('Fórmula'!C123+'Fórmula'!E123+'Fórmula'!G123+'Fórmula'!I123+'Fórmula'!K123))*(INDEX(properties!A$1:CB$87,'Fórmula'!F123,11))+(('Fórmula'!I123)/('Fórmula'!C123+'Fórmula'!E123+'Fórmula'!G123+'Fórmula'!I123+'Fórmula'!K123))*(INDEX(properties!A$1:CB$87,'Fórmula'!H123,11))+(('Fórmula'!K123)/('Fórmula'!C123+'Fórmula'!E123+'Fórmula'!G123+'Fórmula'!I123+'Fórmula'!K123))*(INDEX(properties!A$1:CB$87,'Fórmula'!J123,11))</f>
        <v>2</v>
      </c>
      <c r="AM123" s="107">
        <f t="array" ref="AM123">'Fórmula'!C123*(INDEX(properties!A$1:CB$87,'Fórmula'!B123,11))+'Fórmula'!E123*(INDEX(properties!A$1:CB$87,'Fórmula'!D123,11))+'Fórmula'!G123*(INDEX(properties!A$1:CB$87,'Fórmula'!F123,11))+'Fórmula'!I123*(INDEX(properties!A$1:CB$87,'Fórmula'!H123,11))+'Fórmula'!K123*(INDEX(properties!A$1:CB$87,'Fórmula'!J123,11))</f>
        <v>22</v>
      </c>
      <c r="AN123" s="107">
        <f t="array" ref="AN123">VARP(IF(INDEX(properties!A$1:CB$87,'Fórmula'!B123,11)&lt;&gt;"",INDEX(properties!A$1:CB$87,'Fórmula'!B123,11)),IF(INDEX(properties!A$1:CB$87,'Fórmula'!D123,11)&lt;&gt;"",INDEX(properties!A$1:CB$87,'Fórmula'!D123,11)),IF(INDEX(properties!A$1:CB$87,'Fórmula'!F123,11)&lt;&gt;"",INDEX(properties!A$1:CB$87,'Fórmula'!F123,11)),IF(INDEX(properties!A$1:CB$87,'Fórmula'!H123,11)&lt;&gt;"",INDEX(properties!A$1:CB$87,'Fórmula'!H123,11)),IF(INDEX(properties!A$1:CB$87,'Fórmula'!J123,11)&lt;&gt;"",INDEX(properties!A$1:CB$87,'Fórmula'!J123,11)))</f>
        <v>0.96</v>
      </c>
      <c r="AO123" s="107">
        <f t="array" ref="AO123">MAX(INDEX(properties!A$1:CB$87,'Fórmula'!B123,11),INDEX(properties!A$1:CB$87,'Fórmula'!D123,11),INDEX(properties!A$1:CB$87,'Fórmula'!F123,11),INDEX(properties!A$1:CB$87,'Fórmula'!H123,11),INDEX(properties!A$1:CB$87,'Fórmula'!J123,11))</f>
        <v>2</v>
      </c>
      <c r="AP123" s="107">
        <f t="array" ref="AP123">MIN(IF('Fórmula'!B123=87,10^6,INDEX(properties!A$1:CB$87,'Fórmula'!B123,11)),IF(('Fórmula'!D123)=87,10^6,INDEX(properties!A$1:CB$87,'Fórmula'!D123,11)),IF(('Fórmula'!F123)=87,10^6,INDEX(properties!A$1:CB$87,'Fórmula'!F123,11)),IF(('Fórmula'!H123)=87,10^6,INDEX(properties!A$1:CB$87,'Fórmula'!H123,11)),IF('Fórmula'!J123=87,10^6,INDEX(properties!A$1:CB$87,'Fórmula'!J123,11)))</f>
        <v>2</v>
      </c>
      <c r="AQ123" s="107">
        <f t="shared" si="7"/>
        <v>0</v>
      </c>
      <c r="AR123" s="108">
        <f t="array" ref="AR123">(('Fórmula'!C123)/('Fórmula'!C123+'Fórmula'!E123+'Fórmula'!G123+'Fórmula'!I123+'Fórmula'!K123))*(INDEX(properties!A$1:CB$87,'Fórmula'!B123,12))+(('Fórmula'!E123)/('Fórmula'!C123+'Fórmula'!E123+'Fórmula'!G123+'Fórmula'!I123+'Fórmula'!K123))*(INDEX(properties!A$1:CB$87,'Fórmula'!D123,12))+(('Fórmula'!G123)/('Fórmula'!C123+'Fórmula'!E123+'Fórmula'!G123+'Fórmula'!I123+'Fórmula'!K123))*(INDEX(properties!A$1:CB$87,'Fórmula'!F123,12))+(('Fórmula'!I123)/('Fórmula'!C123+'Fórmula'!E123+'Fórmula'!G123+'Fórmula'!I123+'Fórmula'!K123))*(INDEX(properties!A$1:CB$87,'Fórmula'!H123,12))+(('Fórmula'!K123)/('Fórmula'!C123+'Fórmula'!E123+'Fórmula'!G123+'Fórmula'!I123+'Fórmula'!K123))*(INDEX(properties!A$1:CB$87,'Fórmula'!J123,12))</f>
        <v>2.545454545</v>
      </c>
      <c r="AS123" s="108">
        <f t="array" ref="AS123">'Fórmula'!C123*(INDEX(properties!A$1:CB$87,'Fórmula'!B123,12))+'Fórmula'!E123*(INDEX(properties!A$1:CB$87,'Fórmula'!D123,12))+'Fórmula'!G123*(INDEX(properties!A$1:CB$87,'Fórmula'!F123,12))+'Fórmula'!I123*(INDEX(properties!A$1:CB$87,'Fórmula'!H123,12))+'Fórmula'!K123*(INDEX(properties!A$1:CB$87,'Fórmula'!J123,12))</f>
        <v>28</v>
      </c>
      <c r="AT123" s="108">
        <f t="array" ref="AT123">VARP(IF(INDEX(properties!A$1:CB$87,'Fórmula'!B123,12)&lt;&gt;"",INDEX(properties!A$1:CB$87,'Fórmula'!B123,12)),IF(INDEX(properties!A$1:CB$87,'Fórmula'!D123,12)&lt;&gt;"",INDEX(properties!A$1:CB$87,'Fórmula'!D123,12)),IF(INDEX(properties!A$1:CB$87,'Fórmula'!F123,12)&lt;&gt;"",INDEX(properties!A$1:CB$87,'Fórmula'!F123,12)),IF(INDEX(properties!A$1:CB$87,'Fórmula'!H123,12)&lt;&gt;"",INDEX(properties!A$1:CB$87,'Fórmula'!H123,12)),IF(INDEX(properties!A$1:CB$87,'Fórmula'!J123,12)&lt;&gt;"",INDEX(properties!A$1:CB$87,'Fórmula'!J123,12)))</f>
        <v>2.56</v>
      </c>
      <c r="AU123" s="108">
        <f t="array" ref="AU123">MAX(INDEX(properties!A$1:CB$87,'Fórmula'!B123,12),INDEX(properties!A$1:CB$87,'Fórmula'!D123,12),INDEX(properties!A$1:CB$87,'Fórmula'!F123,12),INDEX(properties!A$1:CB$87,'Fórmula'!H123,12),INDEX(properties!A$1:CB$87,'Fórmula'!J123,12))</f>
        <v>4</v>
      </c>
      <c r="AV123" s="108">
        <f t="array" ref="AV123">MIN(IF('Fórmula'!B123=87,10^6,INDEX(properties!A$1:CB$87,'Fórmula'!B123,12)),IF(('Fórmula'!D123)=87,10^6,INDEX(properties!A$1:CB$87,'Fórmula'!D123,12)),IF(('Fórmula'!F123)=87,10^6,INDEX(properties!A$1:CB$87,'Fórmula'!F123,12)),IF(('Fórmula'!H123)=87,10^6,INDEX(properties!A$1:CB$87,'Fórmula'!H123,12)),IF('Fórmula'!J123=87,10^6,INDEX(properties!A$1:CB$87,'Fórmula'!J123,12)))</f>
        <v>0</v>
      </c>
      <c r="AW123" s="108">
        <f t="shared" si="8"/>
        <v>4</v>
      </c>
      <c r="AX123" s="109">
        <f t="array" ref="AX123">(('Fórmula'!C123)/('Fórmula'!C123+'Fórmula'!E123+'Fórmula'!G123+'Fórmula'!I123+'Fórmula'!K123))*(INDEX(properties!A$1:CB$87,'Fórmula'!B123,13))+(('Fórmula'!E123)/('Fórmula'!C123+'Fórmula'!E123+'Fórmula'!G123+'Fórmula'!I123+'Fórmula'!K123))*(INDEX(properties!A$1:CB$87,'Fórmula'!D123,13))+(('Fórmula'!G123)/('Fórmula'!C123+'Fórmula'!E123+'Fórmula'!G123+'Fórmula'!I123+'Fórmula'!K123))*(INDEX(properties!A$1:CB$87,'Fórmula'!F123,13))+(('Fórmula'!I123)/('Fórmula'!C123+'Fórmula'!E123+'Fórmula'!G123+'Fórmula'!I123+'Fórmula'!K123))*(INDEX(properties!A$1:CB$87,'Fórmula'!H123,13))+(('Fórmula'!K123)/('Fórmula'!C123+'Fórmula'!E123+'Fórmula'!G123+'Fórmula'!I123+'Fórmula'!K123))*(INDEX(properties!A$1:CB$87,'Fórmula'!J123,13))</f>
        <v>0.5454545455</v>
      </c>
      <c r="AY123" s="109">
        <f t="array" ref="AY123">'Fórmula'!C123*(INDEX(properties!A$1:CB$87,'Fórmula'!B123,13))+'Fórmula'!E123*(INDEX(properties!A$1:CB$87,'Fórmula'!D123,13))+'Fórmula'!G123*(INDEX(properties!A$1:CB$87,'Fórmula'!F123,13))+'Fórmula'!I123*(INDEX(properties!A$1:CB$87,'Fórmula'!H123,13))+'Fórmula'!K123*(INDEX(properties!A$1:CB$87,'Fórmula'!J123,13))</f>
        <v>6</v>
      </c>
      <c r="AZ123" s="109">
        <f t="array" ref="AZ123">VARP(IF(INDEX(properties!A$1:CB$87,'Fórmula'!B123,13)&lt;&gt;"",INDEX(properties!A$1:CB$87,'Fórmula'!B123,13)),IF(INDEX(properties!A$1:CB$87,'Fórmula'!D123,13)&lt;&gt;"",INDEX(properties!A$1:CB$87,'Fórmula'!D123,13)),IF(INDEX(properties!A$1:CB$87,'Fórmula'!F123,13)&lt;&gt;"",INDEX(properties!A$1:CB$87,'Fórmula'!F123,13)),IF(INDEX(properties!A$1:CB$87,'Fórmula'!H123,13)&lt;&gt;"",INDEX(properties!A$1:CB$87,'Fórmula'!H123,13)),IF(INDEX(properties!A$1:CB$87,'Fórmula'!J123,13)&lt;&gt;"",INDEX(properties!A$1:CB$87,'Fórmula'!J123,13)))</f>
        <v>0.64</v>
      </c>
      <c r="BA123" s="109">
        <f t="array" ref="BA123">MAX(INDEX(properties!A$1:CB$87,'Fórmula'!B123,13),INDEX(properties!A$1:CB$87,'Fórmula'!D123,13),INDEX(properties!A$1:CB$87,'Fórmula'!F123,13),INDEX(properties!A$1:CB$87,'Fórmula'!H123,13),INDEX(properties!A$1:CB$87,'Fórmula'!J123,13))</f>
        <v>2</v>
      </c>
      <c r="BB123" s="109">
        <f t="array" ref="BB123">MIN(IF('Fórmula'!B123=87,10^6,INDEX(properties!A$1:CB$87,'Fórmula'!B123,13)),IF(('Fórmula'!D123)=87,10^6,INDEX(properties!A$1:CB$87,'Fórmula'!D123,13)),IF(('Fórmula'!F123)=87,10^6,INDEX(properties!A$1:CB$87,'Fórmula'!F123,13)),IF(('Fórmula'!H123)=87,10^6,INDEX(properties!A$1:CB$87,'Fórmula'!H123,13)),IF('Fórmula'!J123=87,10^6,INDEX(properties!A$1:CB$87,'Fórmula'!J123,13)))</f>
        <v>0</v>
      </c>
      <c r="BC123" s="109">
        <f t="shared" si="9"/>
        <v>2</v>
      </c>
      <c r="BD123" s="110">
        <f t="array" ref="BD123">(('Fórmula'!C123)/('Fórmula'!C123+'Fórmula'!E123+'Fórmula'!G123+'Fórmula'!I123+'Fórmula'!K123))*(INDEX(properties!A$1:CB$87,'Fórmula'!B123,14))+(('Fórmula'!E123)/('Fórmula'!C123+'Fórmula'!E123+'Fórmula'!G123+'Fórmula'!I123+'Fórmula'!K123))*(INDEX(properties!A$1:CB$87,'Fórmula'!D123,14))+(('Fórmula'!G123)/('Fórmula'!C123+'Fórmula'!E123+'Fórmula'!G123+'Fórmula'!I123+'Fórmula'!K123))*(INDEX(properties!A$1:CB$87,'Fórmula'!F123,14))+(('Fórmula'!I123)/('Fórmula'!C123+'Fórmula'!E123+'Fórmula'!G123+'Fórmula'!I123+'Fórmula'!K123))*(INDEX(properties!A$1:CB$87,'Fórmula'!H123,14))+(('Fórmula'!K123)/('Fórmula'!C123+'Fórmula'!E123+'Fórmula'!G123+'Fórmula'!I123+'Fórmula'!K123))*(INDEX(properties!A$1:CB$87,'Fórmula'!J123,14))</f>
        <v>1.272727273</v>
      </c>
      <c r="BE123" s="110">
        <f t="array" ref="BE123">'Fórmula'!C123*(INDEX(properties!A$1:CB$87,'Fórmula'!B123,14))+'Fórmula'!E123*(INDEX(properties!A$1:CB$87,'Fórmula'!D123,14))+'Fórmula'!G123*(INDEX(properties!A$1:CB$87,'Fórmula'!F123,14))+'Fórmula'!I123*(INDEX(properties!A$1:CB$87,'Fórmula'!H123,14))+'Fórmula'!K123*(INDEX(properties!A$1:CB$87,'Fórmula'!J123,14))</f>
        <v>14</v>
      </c>
      <c r="BF123" s="110">
        <f t="array" ref="BF123">VARP(IF(INDEX(properties!A$1:CB$87,'Fórmula'!B123,14)&lt;&gt;"",INDEX(properties!A$1:CB$87,'Fórmula'!B123,14)),IF(INDEX(properties!A$1:CB$87,'Fórmula'!D123,14)&lt;&gt;"",INDEX(properties!A$1:CB$87,'Fórmula'!D123,14)),IF(INDEX(properties!A$1:CB$87,'Fórmula'!F123,14)&lt;&gt;"",INDEX(properties!A$1:CB$87,'Fórmula'!F123,14)),IF(INDEX(properties!A$1:CB$87,'Fórmula'!H123,14)&lt;&gt;"",INDEX(properties!A$1:CB$87,'Fórmula'!H123,14)),IF(INDEX(properties!A$1:CB$87,'Fórmula'!J123,14)&lt;&gt;"",INDEX(properties!A$1:CB$87,'Fórmula'!J123,14)))</f>
        <v>7.84</v>
      </c>
      <c r="BG123" s="110">
        <f t="array" ref="BG123">MAX(INDEX(properties!A$1:CB$87,'Fórmula'!B123,14),INDEX(properties!A$1:CB$87,'Fórmula'!D123,14),INDEX(properties!A$1:CB$87,'Fórmula'!F123,14),INDEX(properties!A$1:CB$87,'Fórmula'!H123,14),INDEX(properties!A$1:CB$87,'Fórmula'!J123,14))</f>
        <v>7</v>
      </c>
      <c r="BH123" s="110">
        <f t="array" ref="BH123">MIN(IF('Fórmula'!B123=87,10^6,INDEX(properties!A$1:CB$87,'Fórmula'!B123,14)),IF(('Fórmula'!D123)=87,10^6,INDEX(properties!A$1:CB$87,'Fórmula'!D123,14)),IF(('Fórmula'!F123)=87,10^6,INDEX(properties!A$1:CB$87,'Fórmula'!F123,14)),IF(('Fórmula'!H123)=87,10^6,INDEX(properties!A$1:CB$87,'Fórmula'!H123,14)),IF('Fórmula'!J123=87,10^6,INDEX(properties!A$1:CB$87,'Fórmula'!J123,14)))</f>
        <v>0</v>
      </c>
      <c r="BI123" s="110">
        <f t="shared" si="10"/>
        <v>7</v>
      </c>
      <c r="BJ123" s="111">
        <f t="array" ref="BJ123">(('Fórmula'!C123)/('Fórmula'!C123+'Fórmula'!E123+'Fórmula'!G123+'Fórmula'!I123+'Fórmula'!K123))*(INDEX(properties!A$1:CB$87,'Fórmula'!B123,19))+(('Fórmula'!E123)/('Fórmula'!C123+'Fórmula'!E123+'Fórmula'!G123+'Fórmula'!I123+'Fórmula'!K123))*(INDEX(properties!A$1:CB$87,'Fórmula'!D123,19))+(('Fórmula'!G123)/('Fórmula'!C123+'Fórmula'!E123+'Fórmula'!G123+'Fórmula'!I123+'Fórmula'!K123))*(INDEX(properties!A$1:CB$87,'Fórmula'!F123,19))+(('Fórmula'!I123)/('Fórmula'!C123+'Fórmula'!E123+'Fórmula'!G123+'Fórmula'!I123+'Fórmula'!K123))*(INDEX(properties!A$1:CB$87,'Fórmula'!H123,19))+(('Fórmula'!K123)/('Fórmula'!C123+'Fórmula'!E123+'Fórmula'!G123+'Fórmula'!I123+'Fórmula'!K123))*(INDEX(properties!A$1:CB$87,'Fórmula'!J123,19))</f>
        <v>6.363636364</v>
      </c>
      <c r="BK123" s="111">
        <f t="array" ref="BK123">'Fórmula'!C123*(INDEX(properties!A$1:CB$87,'Fórmula'!B123,19))+'Fórmula'!E123*(INDEX(properties!A$1:CB$87,'Fórmula'!D123,19))+'Fórmula'!G123*(INDEX(properties!A$1:CB$87,'Fórmula'!F123,19))+'Fórmula'!I123*(INDEX(properties!A$1:CB$87,'Fórmula'!H123,19))+'Fórmula'!K123*(INDEX(properties!A$1:CB$87,'Fórmula'!J123,19))</f>
        <v>70</v>
      </c>
      <c r="BL123" s="111">
        <f t="array" ref="BL123">VARP(IF(INDEX(properties!A$1:CB$87,'Fórmula'!B123,19)&lt;&gt;"",INDEX(properties!A$1:CB$87,'Fórmula'!B123,19)),IF(INDEX(properties!A$1:CB$87,'Fórmula'!D123,19)&lt;&gt;"",INDEX(properties!A$1:CB$87,'Fórmula'!D123,19)),IF(INDEX(properties!A$1:CB$87,'Fórmula'!F123,19)&lt;&gt;"",INDEX(properties!A$1:CB$87,'Fórmula'!F123,19)),IF(INDEX(properties!A$1:CB$87,'Fórmula'!H123,19)&lt;&gt;"",INDEX(properties!A$1:CB$87,'Fórmula'!H123,19)),IF(INDEX(properties!A$1:CB$87,'Fórmula'!J123,19)&lt;&gt;"",INDEX(properties!A$1:CB$87,'Fórmula'!J123,19)))</f>
        <v>14.4</v>
      </c>
      <c r="BM123" s="111">
        <f t="array" ref="BM123">MAX(INDEX(properties!A$1:CB$87,'Fórmula'!B123,19),INDEX(properties!A$1:CB$87,'Fórmula'!D123,19),INDEX(properties!A$1:CB$87,'Fórmula'!F123,19),INDEX(properties!A$1:CB$87,'Fórmula'!H123,19),INDEX(properties!A$1:CB$87,'Fórmula'!J123,19))</f>
        <v>10</v>
      </c>
      <c r="BN123" s="111">
        <f t="array" ref="BN123">MIN(IF(INDEX(properties!A$1:CB$87,'Fórmula'!B123,19)=0,10^6,INDEX(properties!A$1:CB$87,'Fórmula'!B123,19)),IF(INDEX(properties!A$1:CB$87,'Fórmula'!D123,19)=0,10^6,INDEX(properties!A$1:CB$87,'Fórmula'!D123,19)),IF(INDEX(properties!A$1:CB$87,'Fórmula'!F123,19)=0,10^6,INDEX(properties!A$1:CB$87,'Fórmula'!F123,19)),IF(INDEX(properties!A$1:CB$87,'Fórmula'!H123,19)=0,10^6,INDEX(properties!A$1:CB$87,'Fórmula'!H123,19)),IF(INDEX(properties!A$1:CB$87,'Fórmula'!J123,19)=0,10^6,INDEX(properties!A$1:CB$87,'Fórmula'!J123,19)))</f>
        <v>4</v>
      </c>
      <c r="BO123" s="111">
        <f t="shared" si="11"/>
        <v>6</v>
      </c>
      <c r="BP123" s="112">
        <f t="array" ref="BP123">(('Fórmula'!C123)/('Fórmula'!C123+'Fórmula'!E123+'Fórmula'!G123+'Fórmula'!I123+'Fórmula'!K123))*(INDEX(properties!A$1:CB$87,'Fórmula'!B123,20))+(('Fórmula'!E123)/('Fórmula'!C123+'Fórmula'!E123+'Fórmula'!G123+'Fórmula'!I123+'Fórmula'!K123))*(INDEX(properties!A$1:CB$87,'Fórmula'!D123,20))+(('Fórmula'!G123)/('Fórmula'!C123+'Fórmula'!E123+'Fórmula'!G123+'Fórmula'!I123+'Fórmula'!K123))*(INDEX(properties!A$1:CB$87,'Fórmula'!F123,20))+(('Fórmula'!I123)/('Fórmula'!C123+'Fórmula'!E123+'Fórmula'!G123+'Fórmula'!I123+'Fórmula'!K123))*(INDEX(properties!A$1:CB$87,'Fórmula'!H123,20))+(('Fórmula'!K123)/('Fórmula'!C123+'Fórmula'!E123+'Fórmula'!G123+'Fórmula'!I123+'Fórmula'!K123))*(INDEX(properties!A$1:CB$87,'Fórmula'!J123,20))</f>
        <v>4.545454545</v>
      </c>
      <c r="BQ123" s="112">
        <f t="array" ref="BQ123">'Fórmula'!C123*(INDEX(properties!A$1:CB$87,'Fórmula'!B123,20))+'Fórmula'!E123*(INDEX(properties!A$1:CB$87,'Fórmula'!D123,20))+'Fórmula'!G123*(INDEX(properties!A$1:CB$87,'Fórmula'!F123,20))+'Fórmula'!I123*(INDEX(properties!A$1:CB$87,'Fórmula'!H123,20))+'Fórmula'!K123*(INDEX(properties!A$1:CB$87,'Fórmula'!J123,20))</f>
        <v>50</v>
      </c>
      <c r="BR123" s="112">
        <f t="array" ref="BR123">VARP(IF(INDEX(properties!A$1:CB$87,'Fórmula'!B123,20)&lt;&gt;"",INDEX(properties!A$1:CB$87,'Fórmula'!B123,20)),IF(INDEX(properties!A$1:CB$87,'Fórmula'!D123,20)&lt;&gt;"",INDEX(properties!A$1:CB$87,'Fórmula'!D123,20)),IF(INDEX(properties!A$1:CB$87,'Fórmula'!F123,20)&lt;&gt;"",INDEX(properties!A$1:CB$87,'Fórmula'!F123,20)),IF(INDEX(properties!A$1:CB$87,'Fórmula'!H123,20)&lt;&gt;"",INDEX(properties!A$1:CB$87,'Fórmula'!H123,20)),IF(INDEX(properties!A$1:CB$87,'Fórmula'!J123,20)&lt;&gt;"",INDEX(properties!A$1:CB$87,'Fórmula'!J123,20)))</f>
        <v>4.8</v>
      </c>
      <c r="BS123" s="112">
        <f t="array" ref="BS123">MAX(INDEX(properties!A$1:CB$87,'Fórmula'!B123,20),INDEX(properties!A$1:CB$87,'Fórmula'!D123,20),INDEX(properties!A$1:CB$87,'Fórmula'!F123,20),INDEX(properties!A$1:CB$87,'Fórmula'!H123,20),INDEX(properties!A$1:CB$87,'Fórmula'!J123,20))</f>
        <v>6</v>
      </c>
      <c r="BT123" s="112">
        <f t="array" ref="BT123">MIN(IF(INDEX(properties!A$1:CB$87,'Fórmula'!B123,20)=0,10^6,INDEX(properties!A$1:CB$87,'Fórmula'!B123,20)),IF(INDEX(properties!A$1:CB$87,'Fórmula'!D123,20)=0,10^6,INDEX(properties!A$1:CB$87,'Fórmula'!D123,20)),IF(INDEX(properties!A$1:CB$87,'Fórmula'!F123,20)=0,10^6,INDEX(properties!A$1:CB$87,'Fórmula'!F123,20)),IF(INDEX(properties!A$1:CB$87,'Fórmula'!H123,20)=0,10^6,INDEX(properties!A$1:CB$87,'Fórmula'!H123,20)),IF(INDEX(properties!A$1:CB$87,'Fórmula'!J123,20)=0,10^6,INDEX(properties!A$1:CB$87,'Fórmula'!J123,20)))</f>
        <v>2</v>
      </c>
      <c r="BU123" s="112">
        <f t="shared" si="12"/>
        <v>4</v>
      </c>
      <c r="BV123" s="113">
        <f t="array" ref="BV123">(('Fórmula'!C123)/('Fórmula'!C123+'Fórmula'!E123+'Fórmula'!G123+'Fórmula'!I123+'Fórmula'!K123))*(INDEX(properties!A$1:CB$87,'Fórmula'!B123,21))+(('Fórmula'!E123)/('Fórmula'!C123+'Fórmula'!E123+'Fórmula'!G123+'Fórmula'!I123+'Fórmula'!K123))*(INDEX(properties!A$1:CB$87,'Fórmula'!D123,21))+(('Fórmula'!G123)/('Fórmula'!C123+'Fórmula'!E123+'Fórmula'!G123+'Fórmula'!I123+'Fórmula'!K123))*(INDEX(properties!A$1:CB$87,'Fórmula'!F123,21))+(('Fórmula'!I123)/('Fórmula'!C123+'Fórmula'!E123+'Fórmula'!G123+'Fórmula'!I123+'Fórmula'!K123))*(INDEX(properties!A$1:CB$87,'Fórmula'!H123,21))+(('Fórmula'!K123)/('Fórmula'!C123+'Fórmula'!E123+'Fórmula'!G123+'Fórmula'!I123+'Fórmula'!K123))*(INDEX(properties!A$1:CB$87,'Fórmula'!J123,21))</f>
        <v>4.727272727</v>
      </c>
      <c r="BW123" s="113">
        <f t="array" ref="BW123">'Fórmula'!C123*(INDEX(properties!A$1:CB$87,'Fórmula'!B123,21))+'Fórmula'!E123*(INDEX(properties!A$1:CB$87,'Fórmula'!D123,21))+'Fórmula'!G123*(INDEX(properties!A$1:CB$87,'Fórmula'!F123,21))+'Fórmula'!I123*(INDEX(properties!A$1:CB$87,'Fórmula'!H123,21))+'Fórmula'!K123*(INDEX(properties!A$1:CB$87,'Fórmula'!J123,21))</f>
        <v>52</v>
      </c>
      <c r="BX123" s="113">
        <f t="array" ref="BX123">VARP(IF(INDEX(properties!A$1:CB$87,'Fórmula'!B123,21)&lt;&gt;"",INDEX(properties!A$1:CB$87,'Fórmula'!B123,21)),IF(INDEX(properties!A$1:CB$87,'Fórmula'!D123,21)&lt;&gt;"",INDEX(properties!A$1:CB$87,'Fórmula'!D123,21)),IF(INDEX(properties!A$1:CB$87,'Fórmula'!F123,21)&lt;&gt;"",INDEX(properties!A$1:CB$87,'Fórmula'!F123,21)),IF(INDEX(properties!A$1:CB$87,'Fórmula'!H123,21)&lt;&gt;"",INDEX(properties!A$1:CB$87,'Fórmula'!H123,21)),IF(INDEX(properties!A$1:CB$87,'Fórmula'!J123,21)&lt;&gt;"",INDEX(properties!A$1:CB$87,'Fórmula'!J123,21)))</f>
        <v>4.96</v>
      </c>
      <c r="BY123" s="113">
        <f t="array" ref="BY123">MAX(INDEX(properties!A$1:CB$87,'Fórmula'!B123,21),INDEX(properties!A$1:CB$87,'Fórmula'!D123,21),INDEX(properties!A$1:CB$87,'Fórmula'!F123,21),INDEX(properties!A$1:CB$87,'Fórmula'!H123,21),INDEX(properties!A$1:CB$87,'Fórmula'!J123,21))</f>
        <v>6</v>
      </c>
      <c r="BZ123" s="113">
        <f t="array" ref="BZ123">MIN(IF(INDEX(properties!A$1:CB$87,'Fórmula'!B123,21)=0,10^6,INDEX(properties!A$1:CB$87,'Fórmula'!B123,21)),IF(INDEX(properties!A$1:CB$87,'Fórmula'!D123,21)=0,10^6,INDEX(properties!A$1:CB$87,'Fórmula'!D123,21)),IF(INDEX(properties!A$1:CB$87,'Fórmula'!F123,21)=0,10^6,INDEX(properties!A$1:CB$87,'Fórmula'!F123,21)),IF(INDEX(properties!A$1:CB$87,'Fórmula'!H123,21)=0,10^6,INDEX(properties!A$1:CB$87,'Fórmula'!H123,21)),IF(INDEX(properties!A$1:CB$87,'Fórmula'!J123,21)=0,10^6,INDEX(properties!A$1:CB$87,'Fórmula'!J123,21)))</f>
        <v>2</v>
      </c>
      <c r="CA123" s="113">
        <f t="shared" si="13"/>
        <v>4</v>
      </c>
      <c r="CB123" s="114">
        <f t="array" ref="CB123">(('Fórmula'!C123)/('Fórmula'!C123+'Fórmula'!E123+'Fórmula'!G123+'Fórmula'!I123+'Fórmula'!K123))*(INDEX(properties!A$1:CB$87,'Fórmula'!B123,23))+(('Fórmula'!E123)/('Fórmula'!C123+'Fórmula'!E123+'Fórmula'!G123+'Fórmula'!I123+'Fórmula'!K123))*(INDEX(properties!A$1:CB$87,'Fórmula'!D123,23))+(('Fórmula'!G123)/('Fórmula'!C123+'Fórmula'!E123+'Fórmula'!G123+'Fórmula'!I123+'Fórmula'!K123))*(INDEX(properties!A$1:CB$87,'Fórmula'!F123,23))+(('Fórmula'!I123)/('Fórmula'!C123+'Fórmula'!E123+'Fórmula'!G123+'Fórmula'!I123+'Fórmula'!K123))*(INDEX(properties!A$1:CB$87,'Fórmula'!H123,23))+(('Fórmula'!K123)/('Fórmula'!C123+'Fórmula'!E123+'Fórmula'!G123+'Fórmula'!I123+'Fórmula'!K123))*(INDEX(properties!A$1:CB$87,'Fórmula'!J123,23))</f>
        <v>1.272727273</v>
      </c>
      <c r="CC123" s="114">
        <f t="array" ref="CC123">'Fórmula'!C123*(INDEX(properties!A$1:CB$87,'Fórmula'!B123,23))+'Fórmula'!E123*(INDEX(properties!A$1:CB$87,'Fórmula'!D123,23))+'Fórmula'!G123*(INDEX(properties!A$1:CB$87,'Fórmula'!F123,23))+'Fórmula'!I123*(INDEX(properties!A$1:CB$87,'Fórmula'!H123,23))+'Fórmula'!K123*(INDEX(properties!A$1:CB$87,'Fórmula'!J123,23))</f>
        <v>14</v>
      </c>
      <c r="CD123" s="114">
        <f t="array" ref="CD123">VARP(IF(INDEX(properties!A$1:CB$87,'Fórmula'!B123,23)&lt;&gt;"",INDEX(properties!A$1:CB$87,'Fórmula'!B123,23)),IF(INDEX(properties!A$1:CB$87,'Fórmula'!D123,23)&lt;&gt;"",INDEX(properties!A$1:CB$87,'Fórmula'!D123,23)),IF(INDEX(properties!A$1:CB$87,'Fórmula'!F123,23)&lt;&gt;"",INDEX(properties!A$1:CB$87,'Fórmula'!F123,23)),IF(INDEX(properties!A$1:CB$87,'Fórmula'!H123,23)&lt;&gt;"",INDEX(properties!A$1:CB$87,'Fórmula'!H123,23)),IF(INDEX(properties!A$1:CB$87,'Fórmula'!J123,23)&lt;&gt;"",INDEX(properties!A$1:CB$87,'Fórmula'!J123,23)))</f>
        <v>3.04</v>
      </c>
      <c r="CE123" s="114">
        <f t="array" ref="CE123">MAX(INDEX(properties!A$1:CB$87,'Fórmula'!B123,23),INDEX(properties!A$1:CB$87,'Fórmula'!D123,23),INDEX(properties!A$1:CB$87,'Fórmula'!F123,23),INDEX(properties!A$1:CB$87,'Fórmula'!H123,23),INDEX(properties!A$1:CB$87,'Fórmula'!J123,23))</f>
        <v>4</v>
      </c>
      <c r="CF123" s="114">
        <f t="array" ref="CF123">MIN(IF('Fórmula'!B123=87,10^6,INDEX(properties!A$1:CB$87,'Fórmula'!B123,23)),IF(('Fórmula'!D123)=87,10^6,INDEX(properties!A$1:CB$87,'Fórmula'!D123,23)),IF(('Fórmula'!F123)=87,10^6,INDEX(properties!A$1:CB$87,'Fórmula'!F123,23)),IF(('Fórmula'!H123)=87,10^6,INDEX(properties!A$1:CB$87,'Fórmula'!H123,23)),IF('Fórmula'!J123=87,10^6,INDEX(properties!A$1:CB$87,'Fórmula'!J123,23)))</f>
        <v>0</v>
      </c>
      <c r="CG123" s="114">
        <f t="shared" si="14"/>
        <v>4</v>
      </c>
      <c r="CH123" s="115">
        <f t="array" ref="CH123">(('Fórmula'!C123)/('Fórmula'!C123+'Fórmula'!E123+'Fórmula'!G123+'Fórmula'!I123+'Fórmula'!K123))*(INDEX(properties!A$1:CB$87,'Fórmula'!B123,26))+(('Fórmula'!E123)/('Fórmula'!C123+'Fórmula'!E123+'Fórmula'!G123+'Fórmula'!I123+'Fórmula'!K123))*(INDEX(properties!A$1:CB$87,'Fórmula'!D123,26))+(('Fórmula'!G123)/('Fórmula'!C123+'Fórmula'!E123+'Fórmula'!G123+'Fórmula'!I123+'Fórmula'!K123))*(INDEX(properties!A$1:CB$87,'Fórmula'!F123,26))+(('Fórmula'!I123)/('Fórmula'!C123+'Fórmula'!E123+'Fórmula'!G123+'Fórmula'!I123+'Fórmula'!K123))*(INDEX(properties!A$1:CB$87,'Fórmula'!H123,26))+(('Fórmula'!K123)/('Fórmula'!C123+'Fórmula'!E123+'Fórmula'!G123+'Fórmula'!I123+'Fórmula'!K123))*(INDEX(properties!A$1:CB$87,'Fórmula'!J123,26))</f>
        <v>11.02568182</v>
      </c>
      <c r="CI123" s="115">
        <f t="array" ref="CI123">'Fórmula'!C123*(INDEX(properties!A$1:CB$87,'Fórmula'!B123,26))+'Fórmula'!E123*(INDEX(properties!A$1:CB$87,'Fórmula'!D123,26))+'Fórmula'!G123*(INDEX(properties!A$1:CB$87,'Fórmula'!F123,26))+'Fórmula'!I123*(INDEX(properties!A$1:CB$87,'Fórmula'!H123,26))+'Fórmula'!K123*(INDEX(properties!A$1:CB$87,'Fórmula'!J123,26))</f>
        <v>121.2825</v>
      </c>
      <c r="CJ123" s="115">
        <f t="array" ref="CJ123">VARP(IF(INDEX(properties!A$1:CB$87,'Fórmula'!B123,26)&lt;&gt;"",INDEX(properties!A$1:CB$87,'Fórmula'!B123,26)),IF(INDEX(properties!A$1:CB$87,'Fórmula'!D123,26)&lt;&gt;"",INDEX(properties!A$1:CB$87,'Fórmula'!D123,26)),IF(INDEX(properties!A$1:CB$87,'Fórmula'!F123,26)&lt;&gt;"",INDEX(properties!A$1:CB$87,'Fórmula'!F123,26)),IF(INDEX(properties!A$1:CB$87,'Fórmula'!H123,26)&lt;&gt;"",INDEX(properties!A$1:CB$87,'Fórmula'!H123,26)),IF(INDEX(properties!A$1:CB$87,'Fórmula'!J123,26)&lt;&gt;"",INDEX(properties!A$1:CB$87,'Fórmula'!J123,26)))</f>
        <v>25.68523881</v>
      </c>
      <c r="CK123" s="116">
        <f t="array" ref="CK123">MAX(INDEX(properties!A$1:CB$87,'Fórmula'!B123,26),INDEX(properties!A$1:CB$87,'Fórmula'!D123,26),INDEX(properties!A$1:CB$87,'Fórmula'!F123,26),INDEX(properties!A$1:CB$87,'Fórmula'!H123,26),INDEX(properties!A$1:CB$87,'Fórmula'!J123,26))</f>
        <v>13.6181</v>
      </c>
      <c r="CL123" s="116">
        <f t="array" ref="CL123">MIN(IF(INDEX(properties!A$1:CB$87,'Fórmula'!B123,26)=0,10^6,INDEX(properties!A$1:CB$87,'Fórmula'!B123,26)),IF(INDEX(properties!A$1:CB$87,'Fórmula'!D123,26)=0,10^6,INDEX(properties!A$1:CB$87,'Fórmula'!D123,26)),IF(INDEX(properties!A$1:CB$87,'Fórmula'!F123,26)=0,10^6,INDEX(properties!A$1:CB$87,'Fórmula'!F123,26)),IF(INDEX(properties!A$1:CB$87,'Fórmula'!H123,26)=0,10^6,INDEX(properties!A$1:CB$87,'Fórmula'!H123,26)),IF(INDEX(properties!A$1:CB$87,'Fórmula'!J123,26)=0,10^6,INDEX(properties!A$1:CB$87,'Fórmula'!J123,26)))</f>
        <v>6.1498</v>
      </c>
      <c r="CM123" s="115">
        <f t="shared" si="15"/>
        <v>7.4683</v>
      </c>
      <c r="CN123" s="117">
        <f t="array" ref="CN123">(('Fórmula'!C123)/('Fórmula'!C123+'Fórmula'!E123+'Fórmula'!G123+'Fórmula'!I123+'Fórmula'!K123))*(INDEX(properties!A$1:CB$87,'Fórmula'!B123,30))+(('Fórmula'!E123)/('Fórmula'!C123+'Fórmula'!E123+'Fórmula'!G123+'Fórmula'!I123+'Fórmula'!K123))*(INDEX(properties!A$1:CB$87,'Fórmula'!D123,30))+(('Fórmula'!G123)/('Fórmula'!C123+'Fórmula'!E123+'Fórmula'!G123+'Fórmula'!I123+'Fórmula'!K123))*(INDEX(properties!A$1:CB$87,'Fórmula'!F123,30))+(('Fórmula'!I123)/('Fórmula'!C123+'Fórmula'!E123+'Fórmula'!G123+'Fórmula'!I123+'Fórmula'!K123))*(INDEX(properties!A$1:CB$87,'Fórmula'!H123,30))+(('Fórmula'!K123)/('Fórmula'!C123+'Fórmula'!E123+'Fórmula'!G123+'Fórmula'!I123+'Fórmula'!K123))*(INDEX(properties!A$1:CB$87,'Fórmula'!J123,30))</f>
        <v>2.687272727</v>
      </c>
      <c r="CO123" s="117">
        <f t="array" ref="CO123">'Fórmula'!C123*(INDEX(properties!A$1:CB$87,'Fórmula'!B123,30))+'Fórmula'!E123*(INDEX(properties!A$1:CB$87,'Fórmula'!D123,30))+'Fórmula'!G123*(INDEX(properties!A$1:CB$87,'Fórmula'!F123,30))+'Fórmula'!I123*(INDEX(properties!A$1:CB$87,'Fórmula'!H123,30))+'Fórmula'!K123*(INDEX(properties!A$1:CB$87,'Fórmula'!J123,30))</f>
        <v>29.56</v>
      </c>
      <c r="CP123" s="117">
        <f t="array" ref="CP123">VARP(IF(INDEX(properties!A$1:CB$87,'Fórmula'!B123,30)&lt;&gt;"",INDEX(properties!A$1:CB$87,'Fórmula'!B123,30)),IF(INDEX(properties!A$1:CB$87,'Fórmula'!D123,30)&lt;&gt;"",INDEX(properties!A$1:CB$87,'Fórmula'!D123,30)),IF(INDEX(properties!A$1:CB$87,'Fórmula'!F123,30)&lt;&gt;"",INDEX(properties!A$1:CB$87,'Fórmula'!F123,30)),IF(INDEX(properties!A$1:CB$87,'Fórmula'!H123,30)&lt;&gt;"",INDEX(properties!A$1:CB$87,'Fórmula'!H123,30)),IF(INDEX(properties!A$1:CB$87,'Fórmula'!J123,30)&lt;&gt;"",INDEX(properties!A$1:CB$87,'Fórmula'!J123,30)))</f>
        <v>1.601344</v>
      </c>
      <c r="CQ123" s="117">
        <f t="array" ref="CQ123">MAX(INDEX(properties!A$1:CB$87,'Fórmula'!B123,30),INDEX(properties!A$1:CB$87,'Fórmula'!D123,30),INDEX(properties!A$1:CB$87,'Fórmula'!F123,30),INDEX(properties!A$1:CB$87,'Fórmula'!H123,30),INDEX(properties!A$1:CB$87,'Fórmula'!J123,30))</f>
        <v>3.44</v>
      </c>
      <c r="CR123" s="117">
        <f t="array" ref="CR123">MIN(IF(INDEX(properties!A$1:CB$87,'Fórmula'!B123,30)=0,10^6,INDEX(properties!A$1:CB$87,'Fórmula'!B123,30)),IF(INDEX(properties!A$1:CB$87,'Fórmula'!D123,30)=0,10^6,INDEX(properties!A$1:CB$87,'Fórmula'!D123,30)),IF(INDEX(properties!A$1:CB$87,'Fórmula'!F123,30)=0,10^6,INDEX(properties!A$1:CB$87,'Fórmula'!F123,30)),IF(INDEX(properties!A$1:CB$87,'Fórmula'!H123,30)=0,10^6,INDEX(properties!A$1:CB$87,'Fórmula'!H123,30)),IF(INDEX(properties!A$1:CB$87,'Fórmula'!J123,30)=0,10^6,INDEX(properties!A$1:CB$87,'Fórmula'!J123,30)))</f>
        <v>1.2</v>
      </c>
      <c r="CS123" s="117">
        <f t="shared" si="16"/>
        <v>2.24</v>
      </c>
      <c r="CT123" s="118">
        <f t="array" ref="CT123">(('Fórmula'!C123)/('Fórmula'!C123+'Fórmula'!E123+'Fórmula'!G123+'Fórmula'!I123+'Fórmula'!K123))*(INDEX(properties!A$1:CB$87,'Fórmula'!B123,31))+(('Fórmula'!E123)/('Fórmula'!C123+'Fórmula'!E123+'Fórmula'!G123+'Fórmula'!I123+'Fórmula'!K123))*(INDEX(properties!A$1:CB$87,'Fórmula'!D123,31))+(('Fórmula'!G123)/('Fórmula'!C123+'Fórmula'!E123+'Fórmula'!G123+'Fórmula'!I123+'Fórmula'!K123))*(INDEX(properties!A$1:CB$87,'Fórmula'!F123,31))+(('Fórmula'!I123)/('Fórmula'!C123+'Fórmula'!E123+'Fórmula'!G123+'Fórmula'!I123+'Fórmula'!K123))*(INDEX(properties!A$1:CB$87,'Fórmula'!H123,31))+(('Fórmula'!K123)/('Fórmula'!C123+'Fórmula'!E123+'Fórmula'!G123+'Fórmula'!I123+'Fórmula'!K123))*(INDEX(properties!A$1:CB$87,'Fórmula'!J123,31))</f>
        <v>2.650909091</v>
      </c>
      <c r="CU123" s="118">
        <f t="array" ref="CU123">'Fórmula'!C123*(INDEX(properties!A$1:CB$87,'Fórmula'!B123,31))+'Fórmula'!E123*(INDEX(properties!A$1:CB$87,'Fórmula'!D123,31))+'Fórmula'!G123*(INDEX(properties!A$1:CB$87,'Fórmula'!F123,31))+'Fórmula'!I123*(INDEX(properties!A$1:CB$87,'Fórmula'!H123,31))+'Fórmula'!K123*(INDEX(properties!A$1:CB$87,'Fórmula'!J123,31))</f>
        <v>29.16</v>
      </c>
      <c r="CV123" s="118">
        <f t="array" ref="CV123">VARP(IF(INDEX(properties!A$1:CB$87,'Fórmula'!B123,31)&lt;&gt;"",INDEX(properties!A$1:CB$87,'Fórmula'!B123,31)),IF(INDEX(properties!A$1:CB$87,'Fórmula'!D123,31)&lt;&gt;"",INDEX(properties!A$1:CB$87,'Fórmula'!D123,31)),IF(INDEX(properties!A$1:CB$87,'Fórmula'!F123,31)&lt;&gt;"",INDEX(properties!A$1:CB$87,'Fórmula'!F123,31)),IF(INDEX(properties!A$1:CB$87,'Fórmula'!H123,31)&lt;&gt;"",INDEX(properties!A$1:CB$87,'Fórmula'!H123,31)),IF(INDEX(properties!A$1:CB$87,'Fórmula'!J123,31)&lt;&gt;"",INDEX(properties!A$1:CB$87,'Fórmula'!J123,31)))</f>
        <v>1.560864</v>
      </c>
      <c r="CW123" s="118">
        <f t="array" ref="CW123">MAX(INDEX(properties!A$1:CB$87,'Fórmula'!B123,31),INDEX(properties!A$1:CB$87,'Fórmula'!D123,31),INDEX(properties!A$1:CB$87,'Fórmula'!F123,31),INDEX(properties!A$1:CB$87,'Fórmula'!H123,31),INDEX(properties!A$1:CB$87,'Fórmula'!J123,31))</f>
        <v>3.32</v>
      </c>
      <c r="CX123" s="118">
        <f t="array" ref="CX123">MIN(IF(INDEX(properties!A$1:CB$87,'Fórmula'!B123,31)=0,10^6,INDEX(properties!A$1:CB$87,'Fórmula'!B123,31)),IF(INDEX(properties!A$1:CB$87,'Fórmula'!D123,31)=0,10^6,INDEX(properties!A$1:CB$87,'Fórmula'!D123,31)),IF(INDEX(properties!A$1:CB$87,'Fórmula'!F123,31)=0,10^6,INDEX(properties!A$1:CB$87,'Fórmula'!F123,31)),IF(INDEX(properties!A$1:CB$87,'Fórmula'!H123,31)=0,10^6,INDEX(properties!A$1:CB$87,'Fórmula'!H123,31)),IF(INDEX(properties!A$1:CB$87,'Fórmula'!J123,31)=0,10^6,INDEX(properties!A$1:CB$87,'Fórmula'!J123,31)))</f>
        <v>1.1</v>
      </c>
      <c r="CY123" s="118">
        <f t="shared" si="17"/>
        <v>2.22</v>
      </c>
      <c r="CZ123" s="119">
        <f t="array" ref="CZ123">(('Fórmula'!C123)/('Fórmula'!C123+'Fórmula'!E123+'Fórmula'!G123+'Fórmula'!I123+'Fórmula'!K123))*(INDEX(properties!A$1:CB$87,'Fórmula'!B123,32))+(('Fórmula'!E123)/('Fórmula'!C123+'Fórmula'!E123+'Fórmula'!G123+'Fórmula'!I123+'Fórmula'!K123))*(INDEX(properties!A$1:CB$87,'Fórmula'!D123,32))+(('Fórmula'!G123)/('Fórmula'!C123+'Fórmula'!E123+'Fórmula'!G123+'Fórmula'!I123+'Fórmula'!K123))*(INDEX(properties!A$1:CB$87,'Fórmula'!F123,32))+(('Fórmula'!I123)/('Fórmula'!C123+'Fórmula'!E123+'Fórmula'!G123+'Fórmula'!I123+'Fórmula'!K123))*(INDEX(properties!A$1:CB$87,'Fórmula'!H123,32))+(('Fórmula'!K123)/('Fórmula'!C123+'Fórmula'!E123+'Fórmula'!G123+'Fórmula'!I123+'Fórmula'!K123))*(INDEX(properties!A$1:CB$87,'Fórmula'!J123,32))</f>
        <v>5.989090909</v>
      </c>
      <c r="DA123" s="119">
        <f t="array" ref="DA123">'Fórmula'!C123*(INDEX(properties!A$1:CB$87,'Fórmula'!B123,32))+'Fórmula'!E123*(INDEX(properties!A$1:CB$87,'Fórmula'!D123,32))+'Fórmula'!G123*(INDEX(properties!A$1:CB$87,'Fórmula'!F123,32))+'Fórmula'!I123*(INDEX(properties!A$1:CB$87,'Fórmula'!H123,32))+'Fórmula'!K123*(INDEX(properties!A$1:CB$87,'Fórmula'!J123,32))</f>
        <v>65.88</v>
      </c>
      <c r="DB123" s="119">
        <f t="array" ref="DB123">VARP(IF(INDEX(properties!A$1:CB$87,'Fórmula'!B123,32)&lt;&gt;"",INDEX(properties!A$1:CB$87,'Fórmula'!B123,32)),IF(INDEX(properties!A$1:CB$87,'Fórmula'!D123,32)&lt;&gt;"",INDEX(properties!A$1:CB$87,'Fórmula'!D123,32)),IF(INDEX(properties!A$1:CB$87,'Fórmula'!F123,32)&lt;&gt;"",INDEX(properties!A$1:CB$87,'Fórmula'!F123,32)),IF(INDEX(properties!A$1:CB$87,'Fórmula'!H123,32)&lt;&gt;"",INDEX(properties!A$1:CB$87,'Fórmula'!H123,32)),IF(INDEX(properties!A$1:CB$87,'Fórmula'!J123,32)&lt;&gt;"",INDEX(properties!A$1:CB$87,'Fórmula'!J123,32)))</f>
        <v>7.731696</v>
      </c>
      <c r="DC123" s="119">
        <f t="array" ref="DC123">MAX(INDEX(properties!A$1:CB$87,'Fórmula'!B123,32),INDEX(properties!A$1:CB$87,'Fórmula'!D123,32),INDEX(properties!A$1:CB$87,'Fórmula'!F123,32),INDEX(properties!A$1:CB$87,'Fórmula'!H123,32),INDEX(properties!A$1:CB$87,'Fórmula'!J123,32))</f>
        <v>7.54</v>
      </c>
      <c r="DD123" s="119">
        <f t="array" ref="DD123">MIN(IF(INDEX(properties!A$1:CB$87,'Fórmula'!B123,32)=0,10^6,INDEX(properties!A$1:CB$87,'Fórmula'!B123,32)),IF(INDEX(properties!A$1:CB$87,'Fórmula'!D123,32)=0,10^6,INDEX(properties!A$1:CB$87,'Fórmula'!D123,32)),IF(INDEX(properties!A$1:CB$87,'Fórmula'!F123,32)=0,10^6,INDEX(properties!A$1:CB$87,'Fórmula'!F123,32)),IF(INDEX(properties!A$1:CB$87,'Fórmula'!H123,32)=0,10^6,INDEX(properties!A$1:CB$87,'Fórmula'!H123,32)),IF(INDEX(properties!A$1:CB$87,'Fórmula'!J123,32)=0,10^6,INDEX(properties!A$1:CB$87,'Fórmula'!J123,32)))</f>
        <v>3.1</v>
      </c>
      <c r="DE123" s="119">
        <f t="shared" si="18"/>
        <v>4.44</v>
      </c>
      <c r="DF123" s="104">
        <f t="array" ref="DF123">(('Fórmula'!C123)/('Fórmula'!C123+'Fórmula'!E123+'Fórmula'!G123+'Fórmula'!I123+'Fórmula'!K123))*(INDEX(properties!A$1:CB$87,'Fórmula'!B123,34))+(('Fórmula'!E123)/('Fórmula'!C123+'Fórmula'!E123+'Fórmula'!G123+'Fórmula'!I123+'Fórmula'!K123))*(INDEX(properties!A$1:CB$87,'Fórmula'!D123,34))+(('Fórmula'!G123)/('Fórmula'!C123+'Fórmula'!E123+'Fórmula'!G123+'Fórmula'!I123+'Fórmula'!K123))*(INDEX(properties!A$1:CB$87,'Fórmula'!F123,34))+(('Fórmula'!I123)/('Fórmula'!C123+'Fórmula'!E123+'Fórmula'!G123+'Fórmula'!I123+'Fórmula'!K123))*(INDEX(properties!A$1:CB$87,'Fórmula'!H123,34))+(('Fórmula'!K123)/('Fórmula'!C123+'Fórmula'!E123+'Fórmula'!G123+'Fórmula'!I123+'Fórmula'!K123))*(INDEX(properties!A$1:CB$87,'Fórmula'!J123,34))</f>
        <v>2.746363636</v>
      </c>
      <c r="DG123" s="104">
        <f t="array" ref="DG123">'Fórmula'!C123*(INDEX(properties!A$1:CB$87,'Fórmula'!B123,34))+'Fórmula'!E123*(INDEX(properties!A$1:CB$87,'Fórmula'!D123,34))+'Fórmula'!G123*(INDEX(properties!A$1:CB$87,'Fórmula'!F123,34))+'Fórmula'!I123*(INDEX(properties!A$1:CB$87,'Fórmula'!H123,34))+'Fórmula'!K123*(INDEX(properties!A$1:CB$87,'Fórmula'!J123,34))</f>
        <v>30.21</v>
      </c>
      <c r="DH123" s="104">
        <f t="array" ref="DH123">VARP(IF(INDEX(properties!A$1:CB$87,'Fórmula'!B123,34)&lt;&gt;"",INDEX(properties!A$1:CB$87,'Fórmula'!B123,34)),IF(INDEX(properties!A$1:CB$87,'Fórmula'!D123,34)&lt;&gt;"",INDEX(properties!A$1:CB$87,'Fórmula'!D123,34)),IF(INDEX(properties!A$1:CB$87,'Fórmula'!F123,34)&lt;&gt;"",INDEX(properties!A$1:CB$87,'Fórmula'!F123,34)),IF(INDEX(properties!A$1:CB$87,'Fórmula'!H123,34)&lt;&gt;"",INDEX(properties!A$1:CB$87,'Fórmula'!H123,34)),IF(INDEX(properties!A$1:CB$87,'Fórmula'!J123,34)&lt;&gt;"",INDEX(properties!A$1:CB$87,'Fórmula'!J123,34)))</f>
        <v>1.746264</v>
      </c>
      <c r="DI123" s="104">
        <f t="array" ref="DI123">MAX(INDEX(properties!A$1:CB$87,'Fórmula'!B123,34),INDEX(properties!A$1:CB$87,'Fórmula'!D123,34),INDEX(properties!A$1:CB$87,'Fórmula'!F123,34),INDEX(properties!A$1:CB$87,'Fórmula'!H123,34),INDEX(properties!A$1:CB$87,'Fórmula'!J123,34))</f>
        <v>3.61</v>
      </c>
      <c r="DJ123" s="104">
        <f t="array" ref="DJ123">MIN(IF(INDEX(properties!A$1:CB$87,'Fórmula'!B123,34)=0,10^6,INDEX(properties!A$1:CB$87,'Fórmula'!B123,34)),IF(INDEX(properties!A$1:CB$87,'Fórmula'!D123,34)=0,10^6,INDEX(properties!A$1:CB$87,'Fórmula'!D123,34)),IF(INDEX(properties!A$1:CB$87,'Fórmula'!F123,34)=0,10^6,INDEX(properties!A$1:CB$87,'Fórmula'!F123,34)),IF(INDEX(properties!A$1:CB$87,'Fórmula'!H123,34)=0,10^6,INDEX(properties!A$1:CB$87,'Fórmula'!H123,34)),IF(INDEX(properties!A$1:CB$87,'Fórmula'!J123,34)=0,10^6,INDEX(properties!A$1:CB$87,'Fórmula'!J123,34)))</f>
        <v>1.09</v>
      </c>
      <c r="DK123" s="104">
        <f t="shared" si="19"/>
        <v>2.52</v>
      </c>
      <c r="DL123" s="105" t="str">
        <f t="array" ref="DL123">(('Fórmula'!C123)/('Fórmula'!C123+'Fórmula'!E123+'Fórmula'!G123+'Fórmula'!I123+'Fórmula'!K123))*(INDEX(properties!A$1:CB$87,'Fórmula'!B123,37))+(('Fórmula'!E123)/('Fórmula'!C123+'Fórmula'!E123+'Fórmula'!G123+'Fórmula'!I123+'Fórmula'!K123))*(INDEX(properties!A$1:CB$87,'Fórmula'!D123,37))+(('Fórmula'!G123)/('Fórmula'!C123+'Fórmula'!E123+'Fórmula'!G123+'Fórmula'!I123+'Fórmula'!K123))*(INDEX(properties!A$1:CB$87,'Fórmula'!F123,37))+(('Fórmula'!I123)/('Fórmula'!C123+'Fórmula'!E123+'Fórmula'!G123+'Fórmula'!I123+'Fórmula'!K123))*(INDEX(properties!A$1:CB$87,'Fórmula'!H123,37))+(('Fórmula'!K123)/('Fórmula'!C123+'Fórmula'!E123+'Fórmula'!G123+'Fórmula'!I123+'Fórmula'!K123))*(INDEX(properties!A$1:CB$87,'Fórmula'!J123,37))</f>
        <v>#VALUE!</v>
      </c>
      <c r="DM123" s="105" t="str">
        <f t="array" ref="DM123">'Fórmula'!C123*(INDEX(properties!A$1:CB$87,'Fórmula'!B123,37))+'Fórmula'!E123*(INDEX(properties!A$1:CB$87,'Fórmula'!D123,37))+'Fórmula'!G123*(INDEX(properties!A$1:CB$87,'Fórmula'!F123,37))+'Fórmula'!I123*(INDEX(properties!A$1:CB$87,'Fórmula'!H123,37))+'Fórmula'!K123*(INDEX(properties!A$1:CB$87,'Fórmula'!J123,37))</f>
        <v>#VALUE!</v>
      </c>
      <c r="DN123" s="105">
        <f t="array" ref="DN123">VARP(IF(INDEX(properties!A$1:CB$87,'Fórmula'!B123,37)&lt;&gt;"",INDEX(properties!A$1:CB$87,'Fórmula'!B123,37)),IF(INDEX(properties!A$1:CB$87,'Fórmula'!D123,37)&lt;&gt;"",INDEX(properties!A$1:CB$87,'Fórmula'!D123,37)),IF(INDEX(properties!A$1:CB$87,'Fórmula'!F123,37)&lt;&gt;"",INDEX(properties!A$1:CB$87,'Fórmula'!F123,37)),IF(INDEX(properties!A$1:CB$87,'Fórmula'!H123,37)&lt;&gt;"",INDEX(properties!A$1:CB$87,'Fórmula'!H123,37)),IF(INDEX(properties!A$1:CB$87,'Fórmula'!J123,37)&lt;&gt;"",INDEX(properties!A$1:CB$87,'Fórmula'!J123,37)))</f>
        <v>2.02171875</v>
      </c>
      <c r="DO123" s="105">
        <f t="array" ref="DO123">MAX(INDEX(properties!A$1:CB$87,'Fórmula'!B123,37),INDEX(properties!A$1:CB$87,'Fórmula'!D123,37),INDEX(properties!A$1:CB$87,'Fórmula'!F123,37),INDEX(properties!A$1:CB$87,'Fórmula'!H123,37),INDEX(properties!A$1:CB$87,'Fórmula'!J123,37))</f>
        <v>3.45</v>
      </c>
      <c r="DP123" s="105">
        <f t="array" ref="DP123">MIN(IF(INDEX(properties!A$1:CB$87,'Fórmula'!B123,37)=0,10^6,INDEX(properties!A$1:CB$87,'Fórmula'!B123,37)),IF(INDEX(properties!A$1:CB$87,'Fórmula'!D123,37)=0,10^6,INDEX(properties!A$1:CB$87,'Fórmula'!D123,37)),IF(INDEX(properties!A$1:CB$87,'Fórmula'!F123,37)=0,10^6,INDEX(properties!A$1:CB$87,'Fórmula'!F123,37)),IF(INDEX(properties!A$1:CB$87,'Fórmula'!H123,37)=0,10^6,INDEX(properties!A$1:CB$87,'Fórmula'!H123,37)),IF(INDEX(properties!A$1:CB$87,'Fórmula'!J123,37)=0,10^6,INDEX(properties!A$1:CB$87,'Fórmula'!J123,37)))</f>
        <v>1.6</v>
      </c>
      <c r="DQ123" s="105">
        <f t="shared" si="20"/>
        <v>1.85</v>
      </c>
      <c r="DR123" s="109">
        <f t="array" ref="DR123">(('Fórmula'!C123)/('Fórmula'!C123+'Fórmula'!E123+'Fórmula'!G123+'Fórmula'!I123+'Fórmula'!K123))*(INDEX(properties!A$1:CB$87,'Fórmula'!B123,39))+(('Fórmula'!E123)/('Fórmula'!C123+'Fórmula'!E123+'Fórmula'!G123+'Fórmula'!I123+'Fórmula'!K123))*(INDEX(properties!A$1:CB$87,'Fórmula'!D123,39))+(('Fórmula'!G123)/('Fórmula'!C123+'Fórmula'!E123+'Fórmula'!G123+'Fórmula'!I123+'Fórmula'!K123))*(INDEX(properties!A$1:CB$87,'Fórmula'!F123,39))+(('Fórmula'!I123)/('Fórmula'!C123+'Fórmula'!E123+'Fórmula'!G123+'Fórmula'!I123+'Fórmula'!K123))*(INDEX(properties!A$1:CB$87,'Fórmula'!H123,39))+(('Fórmula'!K123)/('Fórmula'!C123+'Fórmula'!E123+'Fórmula'!G123+'Fórmula'!I123+'Fórmula'!K123))*(INDEX(properties!A$1:CB$87,'Fórmula'!J123,39))</f>
        <v>1.049090909</v>
      </c>
      <c r="DS123" s="109">
        <f t="array" ref="DS123">'Fórmula'!C123*(INDEX(properties!A$1:CB$87,'Fórmula'!B123,39))+'Fórmula'!E123*(INDEX(properties!A$1:CB$87,'Fórmula'!D123,39))+'Fórmula'!G123*(INDEX(properties!A$1:CB$87,'Fórmula'!F123,39))+'Fórmula'!I123*(INDEX(properties!A$1:CB$87,'Fórmula'!H123,39))+'Fórmula'!K123*(INDEX(properties!A$1:CB$87,'Fórmula'!J123,39))</f>
        <v>11.54</v>
      </c>
      <c r="DT123" s="109">
        <f t="array" ref="DT123">VARP(IF(INDEX(properties!A$1:CB$87,'Fórmula'!B123,39)&lt;&gt;"",INDEX(properties!A$1:CB$87,'Fórmula'!B123,39)),IF(INDEX(properties!A$1:CB$87,'Fórmula'!D123,39)&lt;&gt;"",INDEX(properties!A$1:CB$87,'Fórmula'!D123,39)),IF(INDEX(properties!A$1:CB$87,'Fórmula'!F123,39)&lt;&gt;"",INDEX(properties!A$1:CB$87,'Fórmula'!F123,39)),IF(INDEX(properties!A$1:CB$87,'Fórmula'!H123,39)&lt;&gt;"",INDEX(properties!A$1:CB$87,'Fórmula'!H123,39)),IF(INDEX(properties!A$1:CB$87,'Fórmula'!J123,39)&lt;&gt;"",INDEX(properties!A$1:CB$87,'Fórmula'!J123,39)))</f>
        <v>0.915984</v>
      </c>
      <c r="DU123" s="120">
        <f t="array" ref="DU123">MAX(INDEX(properties!A$1:CB$87,'Fórmula'!B123,39),INDEX(properties!A$1:CB$87,'Fórmula'!D123,39),INDEX(properties!A$1:CB$87,'Fórmula'!F123,39),INDEX(properties!A$1:CB$87,'Fórmula'!H123,39),INDEX(properties!A$1:CB$87,'Fórmula'!J123,39))</f>
        <v>2.33</v>
      </c>
      <c r="DV123" s="120">
        <f t="array" ref="DV123">MIN(IF(INDEX(properties!A$1:CB$87,'Fórmula'!B123,39)=0,10^6,INDEX(properties!A$1:CB$87,'Fórmula'!B123,39)),IF(INDEX(properties!A$1:CB$87,'Fórmula'!D123,39)=0,10^6,INDEX(properties!A$1:CB$87,'Fórmula'!D123,39)),IF(INDEX(properties!A$1:CB$87,'Fórmula'!F123,39)=0,10^6,INDEX(properties!A$1:CB$87,'Fórmula'!F123,39)),IF(INDEX(properties!A$1:CB$87,'Fórmula'!H123,39)=0,10^6,INDEX(properties!A$1:CB$87,'Fórmula'!H123,39)),IF(INDEX(properties!A$1:CB$87,'Fórmula'!J123,39)=0,10^6,INDEX(properties!A$1:CB$87,'Fórmula'!J123,39)))</f>
        <v>0.48</v>
      </c>
      <c r="DW123" s="109">
        <f t="shared" si="21"/>
        <v>1.85</v>
      </c>
      <c r="DX123" s="110">
        <f t="array" ref="DX123">(('Fórmula'!C123)/('Fórmula'!C123+'Fórmula'!E123+'Fórmula'!G123+'Fórmula'!I123+'Fórmula'!K123))*(INDEX(properties!A$1:CB$87,'Fórmula'!B123,40))+(('Fórmula'!E123)/('Fórmula'!C123+'Fórmula'!E123+'Fórmula'!G123+'Fórmula'!I123+'Fórmula'!K123))*(INDEX(properties!A$1:CB$87,'Fórmula'!D123,40))+(('Fórmula'!G123)/('Fórmula'!C123+'Fórmula'!E123+'Fórmula'!G123+'Fórmula'!I123+'Fórmula'!K123))*(INDEX(properties!A$1:CB$87,'Fórmula'!F123,40))+(('Fórmula'!I123)/('Fórmula'!C123+'Fórmula'!E123+'Fórmula'!G123+'Fórmula'!I123+'Fórmula'!K123))*(INDEX(properties!A$1:CB$87,'Fórmula'!H123,40))+(('Fórmula'!K123)/('Fórmula'!C123+'Fórmula'!E123+'Fórmula'!G123+'Fórmula'!I123+'Fórmula'!K123))*(INDEX(properties!A$1:CB$87,'Fórmula'!J123,40))</f>
        <v>1.004545455</v>
      </c>
      <c r="DY123" s="110">
        <f t="array" ref="DY123">'Fórmula'!C123*(INDEX(properties!A$1:CB$87,'Fórmula'!B123,40))+'Fórmula'!E123*(INDEX(properties!A$1:CB$87,'Fórmula'!D123,40))+'Fórmula'!G123*(INDEX(properties!A$1:CB$87,'Fórmula'!F123,40))+'Fórmula'!I123*(INDEX(properties!A$1:CB$87,'Fórmula'!H123,40))+'Fórmula'!K123*(INDEX(properties!A$1:CB$87,'Fórmula'!J123,40))</f>
        <v>11.05</v>
      </c>
      <c r="DZ123" s="110">
        <f t="array" ref="DZ123">VARP(IF(INDEX(properties!A$1:CB$87,'Fórmula'!B123,40)&lt;&gt;"",INDEX(properties!A$1:CB$87,'Fórmula'!B123,40)),IF(INDEX(properties!A$1:CB$87,'Fórmula'!D123,40)&lt;&gt;"",INDEX(properties!A$1:CB$87,'Fórmula'!D123,40)),IF(INDEX(properties!A$1:CB$87,'Fórmula'!F123,40)&lt;&gt;"",INDEX(properties!A$1:CB$87,'Fórmula'!F123,40)),IF(INDEX(properties!A$1:CB$87,'Fórmula'!H123,40)&lt;&gt;"",INDEX(properties!A$1:CB$87,'Fórmula'!H123,40)),IF(INDEX(properties!A$1:CB$87,'Fórmula'!J123,40)&lt;&gt;"",INDEX(properties!A$1:CB$87,'Fórmula'!J123,40)))</f>
        <v>0.44732</v>
      </c>
      <c r="EA123" s="121">
        <f t="array" ref="EA123">MAX(INDEX(properties!A$1:CB$87,'Fórmula'!B123,40),INDEX(properties!A$1:CB$87,'Fórmula'!D123,40),INDEX(properties!A$1:CB$87,'Fórmula'!F123,40),INDEX(properties!A$1:CB$87,'Fórmula'!H123,40),INDEX(properties!A$1:CB$87,'Fórmula'!J123,40))</f>
        <v>1.61</v>
      </c>
      <c r="EB123" s="121">
        <f t="array" ref="EB123">MIN(IF(INDEX(properties!A$1:CB$87,'Fórmula'!B123,40)=0,10^6,INDEX(properties!A$1:CB$87,'Fórmula'!B123,40)),IF(INDEX(properties!A$1:CB$87,'Fórmula'!D123,40)=0,10^6,INDEX(properties!A$1:CB$87,'Fórmula'!D123,40)),IF(INDEX(properties!A$1:CB$87,'Fórmula'!F123,40)=0,10^6,INDEX(properties!A$1:CB$87,'Fórmula'!F123,40)),IF(INDEX(properties!A$1:CB$87,'Fórmula'!H123,40)=0,10^6,INDEX(properties!A$1:CB$87,'Fórmula'!H123,40)),IF(INDEX(properties!A$1:CB$87,'Fórmula'!J123,40)=0,10^6,INDEX(properties!A$1:CB$87,'Fórmula'!J123,40)))</f>
        <v>0.73</v>
      </c>
      <c r="EC123" s="110">
        <f t="shared" si="22"/>
        <v>0.88</v>
      </c>
      <c r="ED123" s="111">
        <f t="array" ref="ED123">(('Fórmula'!C123)/('Fórmula'!C123+'Fórmula'!E123+'Fórmula'!G123+'Fórmula'!I123+'Fórmula'!K123))*(INDEX(properties!A$1:CB$87,'Fórmula'!B123,41))+(('Fórmula'!E123)/('Fórmula'!C123+'Fórmula'!E123+'Fórmula'!G123+'Fórmula'!I123+'Fórmula'!K123))*(INDEX(properties!A$1:CB$87,'Fórmula'!D123,41))+(('Fórmula'!G123)/('Fórmula'!C123+'Fórmula'!E123+'Fórmula'!G123+'Fórmula'!I123+'Fórmula'!K123))*(INDEX(properties!A$1:CB$87,'Fórmula'!F123,41))+(('Fórmula'!I123)/('Fórmula'!C123+'Fórmula'!E123+'Fórmula'!G123+'Fórmula'!I123+'Fórmula'!K123))*(INDEX(properties!A$1:CB$87,'Fórmula'!H123,41))+(('Fórmula'!K123)/('Fórmula'!C123+'Fórmula'!E123+'Fórmula'!G123+'Fórmula'!I123+'Fórmula'!K123))*(INDEX(properties!A$1:CB$87,'Fórmula'!J123,41))</f>
        <v>1.18</v>
      </c>
      <c r="EE123" s="111">
        <f t="array" ref="EE123">'Fórmula'!C123*(INDEX(properties!A$1:CB$87,'Fórmula'!B123,41))+'Fórmula'!E123*(INDEX(properties!A$1:CB$87,'Fórmula'!D123,41))+'Fórmula'!G123*(INDEX(properties!A$1:CB$87,'Fórmula'!F123,41))+'Fórmula'!I123*(INDEX(properties!A$1:CB$87,'Fórmula'!H123,41))+'Fórmula'!K123*(INDEX(properties!A$1:CB$87,'Fórmula'!J123,41))</f>
        <v>12.98</v>
      </c>
      <c r="EF123" s="111">
        <f t="array" ref="EF123">VARP(IF(INDEX(properties!A$1:CB$87,'Fórmula'!B123,41)&lt;&gt;"",INDEX(properties!A$1:CB$87,'Fórmula'!B123,41)),IF(INDEX(properties!A$1:CB$87,'Fórmula'!D123,41)&lt;&gt;"",INDEX(properties!A$1:CB$87,'Fórmula'!D123,41)),IF(INDEX(properties!A$1:CB$87,'Fórmula'!F123,41)&lt;&gt;"",INDEX(properties!A$1:CB$87,'Fórmula'!F123,41)),IF(INDEX(properties!A$1:CB$87,'Fórmula'!H123,41)&lt;&gt;"",INDEX(properties!A$1:CB$87,'Fórmula'!H123,41)),IF(INDEX(properties!A$1:CB$87,'Fórmula'!J123,41)&lt;&gt;"",INDEX(properties!A$1:CB$87,'Fórmula'!J123,41)))</f>
        <v>0.304576</v>
      </c>
      <c r="EG123" s="122">
        <f t="array" ref="EG123">MAX(INDEX(properties!A$1:CB$87,'Fórmula'!B123,41),INDEX(properties!A$1:CB$87,'Fórmula'!D123,41),INDEX(properties!A$1:CB$87,'Fórmula'!F123,41),INDEX(properties!A$1:CB$87,'Fórmula'!H123,41),INDEX(properties!A$1:CB$87,'Fórmula'!J123,41))</f>
        <v>1.26</v>
      </c>
      <c r="EH123" s="122">
        <f t="array" ref="EH123">MIN(IF(INDEX(properties!A$1:CB$87,'Fórmula'!B123,41)=0,10^6,INDEX(properties!A$1:CB$87,'Fórmula'!B123,41)),IF(INDEX(properties!A$1:CB$87,'Fórmula'!D123,41)=0,10^6,INDEX(properties!A$1:CB$87,'Fórmula'!D123,41)),IF(INDEX(properties!A$1:CB$87,'Fórmula'!F123,41)=0,10^6,INDEX(properties!A$1:CB$87,'Fórmula'!F123,41)),IF(INDEX(properties!A$1:CB$87,'Fórmula'!H123,41)=0,10^6,INDEX(properties!A$1:CB$87,'Fórmula'!H123,41)),IF(INDEX(properties!A$1:CB$87,'Fórmula'!J123,41)=0,10^6,INDEX(properties!A$1:CB$87,'Fórmula'!J123,41)))</f>
        <v>1</v>
      </c>
      <c r="EI123" s="111">
        <f t="shared" si="23"/>
        <v>0.26</v>
      </c>
      <c r="EJ123" s="112">
        <f t="array" ref="EJ123">(('Fórmula'!C123)/('Fórmula'!C123+'Fórmula'!E123+'Fórmula'!G123+'Fórmula'!I123+'Fórmula'!K123))*(INDEX(properties!A$1:CB$87,'Fórmula'!B123,45))+(('Fórmula'!E123)/('Fórmula'!C123+'Fórmula'!E123+'Fórmula'!G123+'Fórmula'!I123+'Fórmula'!K123))*(INDEX(properties!A$1:CB$87,'Fórmula'!D123,45))+(('Fórmula'!G123)/('Fórmula'!C123+'Fórmula'!E123+'Fórmula'!G123+'Fórmula'!I123+'Fórmula'!K123))*(INDEX(properties!A$1:CB$87,'Fórmula'!F123,45))+(('Fórmula'!I123)/('Fórmula'!C123+'Fórmula'!E123+'Fórmula'!G123+'Fórmula'!I123+'Fórmula'!K123))*(INDEX(properties!A$1:CB$87,'Fórmula'!H123,45))+(('Fórmula'!K123)/('Fórmula'!C123+'Fórmula'!E123+'Fórmula'!G123+'Fórmula'!I123+'Fórmula'!K123))*(INDEX(properties!A$1:CB$87,'Fórmula'!J123,45))</f>
        <v>1.479090909</v>
      </c>
      <c r="EK123" s="112">
        <f t="array" ref="EK123">'Fórmula'!C123*(INDEX(properties!A$1:CB$87,'Fórmula'!B123,45))+'Fórmula'!E123*(INDEX(properties!A$1:CB$87,'Fórmula'!D123,45))+'Fórmula'!G123*(INDEX(properties!A$1:CB$87,'Fórmula'!F123,45))+'Fórmula'!I123*(INDEX(properties!A$1:CB$87,'Fórmula'!H123,45))+'Fórmula'!K123*(INDEX(properties!A$1:CB$87,'Fórmula'!J123,45))</f>
        <v>16.27</v>
      </c>
      <c r="EL123" s="112">
        <f t="array" ref="EL123">VARP(IF(INDEX(properties!A$1:CB$87,'Fórmula'!B123,45)&lt;&gt;"",INDEX(properties!A$1:CB$87,'Fórmula'!B123,45)),IF(INDEX(properties!A$1:CB$87,'Fórmula'!D123,45)&lt;&gt;"",INDEX(properties!A$1:CB$87,'Fórmula'!D123,45)),IF(INDEX(properties!A$1:CB$87,'Fórmula'!F123,45)&lt;&gt;"",INDEX(properties!A$1:CB$87,'Fórmula'!F123,45)),IF(INDEX(properties!A$1:CB$87,'Fórmula'!H123,45)&lt;&gt;"",INDEX(properties!A$1:CB$87,'Fórmula'!H123,45)),IF(INDEX(properties!A$1:CB$87,'Fórmula'!J123,45)&lt;&gt;"",INDEX(properties!A$1:CB$87,'Fórmula'!J123,45)))</f>
        <v>2.495416</v>
      </c>
      <c r="EM123" s="123">
        <f t="array" ref="EM123">MAX(INDEX(properties!A$1:CB$87,'Fórmula'!B123,45),INDEX(properties!A$1:CB$87,'Fórmula'!D123,45),INDEX(properties!A$1:CB$87,'Fórmula'!F123,45),INDEX(properties!A$1:CB$87,'Fórmula'!H123,45),INDEX(properties!A$1:CB$87,'Fórmula'!J123,45))</f>
        <v>3.91</v>
      </c>
      <c r="EN123" s="123">
        <f t="array" ref="EN123">MIN(IF(INDEX(properties!A$1:CB$87,'Fórmula'!B123,45)=0,10^6,INDEX(properties!A$1:CB$87,'Fórmula'!B123,45)),IF(INDEX(properties!A$1:CB$87,'Fórmula'!D123,45)=0,10^6,INDEX(properties!A$1:CB$87,'Fórmula'!D123,45)),IF(INDEX(properties!A$1:CB$87,'Fórmula'!F123,45)=0,10^6,INDEX(properties!A$1:CB$87,'Fórmula'!F123,45)),IF(INDEX(properties!A$1:CB$87,'Fórmula'!H123,45)=0,10^6,INDEX(properties!A$1:CB$87,'Fórmula'!H123,45)),IF(INDEX(properties!A$1:CB$87,'Fórmula'!J123,45)=0,10^6,INDEX(properties!A$1:CB$87,'Fórmula'!J123,45)))</f>
        <v>0.47</v>
      </c>
      <c r="EO123" s="112">
        <f t="shared" si="24"/>
        <v>3.44</v>
      </c>
      <c r="EP123" s="113">
        <f t="array" ref="EP123">(('Fórmula'!C123)/('Fórmula'!C123+'Fórmula'!E123+'Fórmula'!G123+'Fórmula'!I123+'Fórmula'!K123))*(INDEX(properties!A$1:CB$87,'Fórmula'!B123,46))+(('Fórmula'!E123)/('Fórmula'!C123+'Fórmula'!E123+'Fórmula'!G123+'Fórmula'!I123+'Fórmula'!K123))*(INDEX(properties!A$1:CB$87,'Fórmula'!D123,46))+(('Fórmula'!G123)/('Fórmula'!C123+'Fórmula'!E123+'Fórmula'!G123+'Fórmula'!I123+'Fórmula'!K123))*(INDEX(properties!A$1:CB$87,'Fórmula'!F123,46))+(('Fórmula'!I123)/('Fórmula'!C123+'Fórmula'!E123+'Fórmula'!G123+'Fórmula'!I123+'Fórmula'!K123))*(INDEX(properties!A$1:CB$87,'Fórmula'!H123,46))+(('Fórmula'!K123)/('Fórmula'!C123+'Fórmula'!E123+'Fórmula'!G123+'Fórmula'!I123+'Fórmula'!K123))*(INDEX(properties!A$1:CB$87,'Fórmula'!J123,46))</f>
        <v>1.102727273</v>
      </c>
      <c r="EQ123" s="113">
        <f t="array" ref="EQ123">'Fórmula'!C123*(INDEX(properties!A$1:CB$87,'Fórmula'!B123,46))+'Fórmula'!E123*(INDEX(properties!A$1:CB$87,'Fórmula'!D123,46))+'Fórmula'!G123*(INDEX(properties!A$1:CB$87,'Fórmula'!F123,46))+'Fórmula'!I123*(INDEX(properties!A$1:CB$87,'Fórmula'!H123,46))+'Fórmula'!K123*(INDEX(properties!A$1:CB$87,'Fórmula'!J123,46))</f>
        <v>12.13</v>
      </c>
      <c r="ER123" s="113">
        <f t="array" ref="ER123">VARP(IF(INDEX(properties!A$1:CB$87,'Fórmula'!B123,46)&lt;&gt;"",INDEX(properties!A$1:CB$87,'Fórmula'!B123,46)),IF(INDEX(properties!A$1:CB$87,'Fórmula'!D123,46)&lt;&gt;"",INDEX(properties!A$1:CB$87,'Fórmula'!D123,46)),IF(INDEX(properties!A$1:CB$87,'Fórmula'!F123,46)&lt;&gt;"",INDEX(properties!A$1:CB$87,'Fórmula'!F123,46)),IF(INDEX(properties!A$1:CB$87,'Fórmula'!H123,46)&lt;&gt;"",INDEX(properties!A$1:CB$87,'Fórmula'!H123,46)),IF(INDEX(properties!A$1:CB$87,'Fórmula'!J123,46)&lt;&gt;"",INDEX(properties!A$1:CB$87,'Fórmula'!J123,46)))</f>
        <v>0.268936</v>
      </c>
      <c r="ES123" s="124">
        <f t="array" ref="ES123">MAX(INDEX(properties!A$1:CB$87,'Fórmula'!B123,46),INDEX(properties!A$1:CB$87,'Fórmula'!D123,46),INDEX(properties!A$1:CB$87,'Fórmula'!F123,46),INDEX(properties!A$1:CB$87,'Fórmula'!H123,46),INDEX(properties!A$1:CB$87,'Fórmula'!J123,46))</f>
        <v>1.21</v>
      </c>
      <c r="ET123" s="124">
        <f t="array" ref="ET123">MIN(IF(INDEX(properties!A$1:CB$87,'Fórmula'!B123,46)=0,10^6,INDEX(properties!A$1:CB$87,'Fórmula'!B123,46)),IF(INDEX(properties!A$1:CB$87,'Fórmula'!D123,46)=0,10^6,INDEX(properties!A$1:CB$87,'Fórmula'!D123,46)),IF(INDEX(properties!A$1:CB$87,'Fórmula'!F123,46)=0,10^6,INDEX(properties!A$1:CB$87,'Fórmula'!F123,46)),IF(INDEX(properties!A$1:CB$87,'Fórmula'!H123,46)=0,10^6,INDEX(properties!A$1:CB$87,'Fórmula'!H123,46)),IF(INDEX(properties!A$1:CB$87,'Fórmula'!J123,46)=0,10^6,INDEX(properties!A$1:CB$87,'Fórmula'!J123,46)))</f>
        <v>0.75</v>
      </c>
      <c r="EU123" s="113">
        <f t="shared" si="25"/>
        <v>0.46</v>
      </c>
      <c r="EV123" s="114">
        <f t="array" ref="EV123">(('Fórmula'!C123)/('Fórmula'!C123+'Fórmula'!E123+'Fórmula'!G123+'Fórmula'!I123+'Fórmula'!K123))*(INDEX(properties!A$1:CB$87,'Fórmula'!B123,52))+(('Fórmula'!E123)/('Fórmula'!C123+'Fórmula'!E123+'Fórmula'!G123+'Fórmula'!I123+'Fórmula'!K123))*(INDEX(properties!A$1:CB$87,'Fórmula'!D123,52))+(('Fórmula'!G123)/('Fórmula'!C123+'Fórmula'!E123+'Fórmula'!G123+'Fórmula'!I123+'Fórmula'!K123))*(INDEX(properties!A$1:CB$87,'Fórmula'!F123,52))+(('Fórmula'!I123)/('Fórmula'!C123+'Fórmula'!E123+'Fórmula'!G123+'Fórmula'!I123+'Fórmula'!K123))*(INDEX(properties!A$1:CB$87,'Fórmula'!H123,52))+(('Fórmula'!K123)/('Fórmula'!C123+'Fórmula'!E123+'Fórmula'!G123+'Fórmula'!I123+'Fórmula'!K123))*(INDEX(properties!A$1:CB$87,'Fórmula'!J123,52))</f>
        <v>7.431909091</v>
      </c>
      <c r="EW123" s="114">
        <f t="array" ref="EW123">'Fórmula'!C123*(INDEX(properties!A$1:CB$87,'Fórmula'!B123,52))+'Fórmula'!E123*(INDEX(properties!A$1:CB$87,'Fórmula'!D123,52))+'Fórmula'!G123*(INDEX(properties!A$1:CB$87,'Fórmula'!F123,52))+'Fórmula'!I123*(INDEX(properties!A$1:CB$87,'Fórmula'!H123,52))+'Fórmula'!K123*(INDEX(properties!A$1:CB$87,'Fórmula'!J123,52))</f>
        <v>81.751</v>
      </c>
      <c r="EX123" s="114">
        <f t="array" ref="EX123">VARP(IF(INDEX(properties!A$1:CB$87,'Fórmula'!B123,52)&lt;&gt;"",INDEX(properties!A$1:CB$87,'Fórmula'!B123,52)),IF(INDEX(properties!A$1:CB$87,'Fórmula'!D123,52)&lt;&gt;"",INDEX(properties!A$1:CB$87,'Fórmula'!D123,52)),IF(INDEX(properties!A$1:CB$87,'Fórmula'!F123,52)&lt;&gt;"",INDEX(properties!A$1:CB$87,'Fórmula'!F123,52)),IF(INDEX(properties!A$1:CB$87,'Fórmula'!H123,52)&lt;&gt;"",INDEX(properties!A$1:CB$87,'Fórmula'!H123,52)),IF(INDEX(properties!A$1:CB$87,'Fórmula'!J123,52)&lt;&gt;"",INDEX(properties!A$1:CB$87,'Fórmula'!J123,52)))</f>
        <v>92.70115184</v>
      </c>
      <c r="EY123" s="114">
        <f t="array" ref="EY123">MAX(INDEX(properties!A$1:CB$87,'Fórmula'!B123,52),INDEX(properties!A$1:CB$87,'Fórmula'!D123,52),INDEX(properties!A$1:CB$87,'Fórmula'!F123,52),INDEX(properties!A$1:CB$87,'Fórmula'!H123,52),INDEX(properties!A$1:CB$87,'Fórmula'!J123,52))</f>
        <v>23.5</v>
      </c>
      <c r="EZ123" s="114">
        <f t="array" ref="EZ123">MIN(IF(INDEX(properties!A$1:CB$87,'Fórmula'!B123,52)=0,10^6,INDEX(properties!A$1:CB$87,'Fórmula'!B123,52)),IF(INDEX(properties!A$1:CB$87,'Fórmula'!D123,52)=0,10^6,INDEX(properties!A$1:CB$87,'Fórmula'!D123,52)),IF(INDEX(properties!A$1:CB$87,'Fórmula'!F123,52)=0,10^6,INDEX(properties!A$1:CB$87,'Fórmula'!F123,52)),IF(INDEX(properties!A$1:CB$87,'Fórmula'!H123,52)=0,10^6,INDEX(properties!A$1:CB$87,'Fórmula'!H123,52)),IF(INDEX(properties!A$1:CB$87,'Fórmula'!J123,52)=0,10^6,INDEX(properties!A$1:CB$87,'Fórmula'!J123,52)))</f>
        <v>0.793</v>
      </c>
      <c r="FA123" s="114">
        <f t="shared" si="26"/>
        <v>22.707</v>
      </c>
      <c r="FB123" s="115">
        <f t="array" ref="FB123">(('Fórmula'!C123)/('Fórmula'!C123+'Fórmula'!E123+'Fórmula'!G123+'Fórmula'!I123+'Fórmula'!K123))*(INDEX(properties!A$1:CB$87,'Fórmula'!B123,53))+(('Fórmula'!E123)/('Fórmula'!C123+'Fórmula'!E123+'Fórmula'!G123+'Fórmula'!I123+'Fórmula'!K123))*(INDEX(properties!A$1:CB$87,'Fórmula'!D123,53))+(('Fórmula'!G123)/('Fórmula'!C123+'Fórmula'!E123+'Fórmula'!G123+'Fórmula'!I123+'Fórmula'!K123))*(INDEX(properties!A$1:CB$87,'Fórmula'!F123,53))+(('Fórmula'!I123)/('Fórmula'!C123+'Fórmula'!E123+'Fórmula'!G123+'Fórmula'!I123+'Fórmula'!K123))*(INDEX(properties!A$1:CB$87,'Fórmula'!H123,53))+(('Fórmula'!K123)/('Fórmula'!C123+'Fórmula'!E123+'Fórmula'!G123+'Fórmula'!I123+'Fórmula'!K123))*(INDEX(properties!A$1:CB$87,'Fórmula'!J123,53))</f>
        <v>674.7136364</v>
      </c>
      <c r="FC123" s="115">
        <f t="array" ref="FC123">'Fórmula'!C123*(INDEX(properties!A$1:CB$87,'Fórmula'!B123,53))+'Fórmula'!E123*(INDEX(properties!A$1:CB$87,'Fórmula'!D123,53))+'Fórmula'!G123*(INDEX(properties!A$1:CB$87,'Fórmula'!F123,53))+'Fórmula'!I123*(INDEX(properties!A$1:CB$87,'Fórmula'!H123,53))+'Fórmula'!K123*(INDEX(properties!A$1:CB$87,'Fórmula'!J123,53))</f>
        <v>7421.85</v>
      </c>
      <c r="FD123" s="115">
        <f t="array" ref="FD123">VARP(IF(INDEX(properties!A$1:CB$87,'Fórmula'!B123,53)&lt;&gt;"",INDEX(properties!A$1:CB$87,'Fórmula'!B123,53)),IF(INDEX(properties!A$1:CB$87,'Fórmula'!D123,53)&lt;&gt;"",INDEX(properties!A$1:CB$87,'Fórmula'!D123,53)),IF(INDEX(properties!A$1:CB$87,'Fórmula'!F123,53)&lt;&gt;"",INDEX(properties!A$1:CB$87,'Fórmula'!F123,53)),IF(INDEX(properties!A$1:CB$87,'Fórmula'!H123,53)&lt;&gt;"",INDEX(properties!A$1:CB$87,'Fórmula'!H123,53)),IF(INDEX(properties!A$1:CB$87,'Fórmula'!J123,53)&lt;&gt;"",INDEX(properties!A$1:CB$87,'Fórmula'!J123,53)))</f>
        <v>740234.3254</v>
      </c>
      <c r="FE123" s="115">
        <f t="array" ref="FE123">MAX(INDEX(properties!A$1:CB$87,'Fórmula'!B123,53),INDEX(properties!A$1:CB$87,'Fórmula'!D123,53),INDEX(properties!A$1:CB$87,'Fórmula'!F123,53),INDEX(properties!A$1:CB$87,'Fórmula'!H123,53),INDEX(properties!A$1:CB$87,'Fórmula'!J123,53))</f>
        <v>1933.15</v>
      </c>
      <c r="FF123" s="115">
        <f t="array" ref="FF123">MIN(IF(INDEX(properties!A$1:CB$87,'Fórmula'!B123,53)=0,10^6,INDEX(properties!A$1:CB$87,'Fórmula'!B123,53)),IF(INDEX(properties!A$1:CB$87,'Fórmula'!D123,53)=0,10^6,INDEX(properties!A$1:CB$87,'Fórmula'!D123,53)),IF(INDEX(properties!A$1:CB$87,'Fórmula'!F123,53)=0,10^6,INDEX(properties!A$1:CB$87,'Fórmula'!F123,53)),IF(INDEX(properties!A$1:CB$87,'Fórmula'!H123,53)=0,10^6,INDEX(properties!A$1:CB$87,'Fórmula'!H123,53)),IF(INDEX(properties!A$1:CB$87,'Fórmula'!J123,53)=0,10^6,INDEX(properties!A$1:CB$87,'Fórmula'!J123,53)))</f>
        <v>54.75</v>
      </c>
      <c r="FG123" s="115">
        <f t="shared" si="27"/>
        <v>1878.4</v>
      </c>
      <c r="FH123" s="117">
        <f t="array" ref="FH123">(('Fórmula'!C123)/('Fórmula'!C123+'Fórmula'!E123+'Fórmula'!G123+'Fórmula'!I123+'Fórmula'!K123))*(INDEX(properties!A$1:CB$87,'Fórmula'!B123,54))+(('Fórmula'!E123)/('Fórmula'!C123+'Fórmula'!E123+'Fórmula'!G123+'Fórmula'!I123+'Fórmula'!K123))*(INDEX(properties!A$1:CB$87,'Fórmula'!D123,54))+(('Fórmula'!G123)/('Fórmula'!C123+'Fórmula'!E123+'Fórmula'!G123+'Fórmula'!I123+'Fórmula'!K123))*(INDEX(properties!A$1:CB$87,'Fórmula'!F123,54))+(('Fórmula'!I123)/('Fórmula'!C123+'Fórmula'!E123+'Fórmula'!G123+'Fórmula'!I123+'Fórmula'!K123))*(INDEX(properties!A$1:CB$87,'Fórmula'!H123,54))+(('Fórmula'!K123)/('Fórmula'!C123+'Fórmula'!E123+'Fórmula'!G123+'Fórmula'!I123+'Fórmula'!K123))*(INDEX(properties!A$1:CB$87,'Fórmula'!J123,54))</f>
        <v>1349.422727</v>
      </c>
      <c r="FI123" s="117">
        <f t="array" ref="FI123">'Fórmula'!C123*(INDEX(properties!A$1:CB$87,'Fórmula'!B123,54))+'Fórmula'!E123*(INDEX(properties!A$1:CB$87,'Fórmula'!D123,54))+'Fórmula'!G123*(INDEX(properties!A$1:CB$87,'Fórmula'!F123,54))+'Fórmula'!I123*(INDEX(properties!A$1:CB$87,'Fórmula'!H123,54))+'Fórmula'!K123*(INDEX(properties!A$1:CB$87,'Fórmula'!J123,54))</f>
        <v>14843.65</v>
      </c>
      <c r="FJ123" s="117">
        <f t="array" ref="FJ123">VARP(IF(INDEX(properties!A$1:CB$87,'Fórmula'!B123,54)&lt;&gt;"",INDEX(properties!A$1:CB$87,'Fórmula'!B123,54)),IF(INDEX(properties!A$1:CB$87,'Fórmula'!D123,54)&lt;&gt;"",INDEX(properties!A$1:CB$87,'Fórmula'!D123,54)),IF(INDEX(properties!A$1:CB$87,'Fórmula'!F123,54)&lt;&gt;"",INDEX(properties!A$1:CB$87,'Fórmula'!F123,54)),IF(INDEX(properties!A$1:CB$87,'Fórmula'!H123,54)&lt;&gt;"",INDEX(properties!A$1:CB$87,'Fórmula'!H123,54)),IF(INDEX(properties!A$1:CB$87,'Fórmula'!J123,54)&lt;&gt;"",INDEX(properties!A$1:CB$87,'Fórmula'!J123,54)))</f>
        <v>2980039.269</v>
      </c>
      <c r="FK123" s="117">
        <f t="array" ref="FK123">MAX(INDEX(properties!A$1:CB$87,'Fórmula'!B123,54),INDEX(properties!A$1:CB$87,'Fórmula'!D123,54),INDEX(properties!A$1:CB$87,'Fórmula'!F123,54),INDEX(properties!A$1:CB$87,'Fórmula'!H123,54),INDEX(properties!A$1:CB$87,'Fórmula'!J123,54))</f>
        <v>3560.15</v>
      </c>
      <c r="FL123" s="117">
        <f t="array" ref="FL123">MIN(IF(INDEX(properties!A$1:CB$87,'Fórmula'!B123,54)=0,10^6,INDEX(properties!A$1:CB$87,'Fórmula'!B123,54)),IF(INDEX(properties!A$1:CB$87,'Fórmula'!D123,54)=0,10^6,INDEX(properties!A$1:CB$87,'Fórmula'!D123,54)),IF(INDEX(properties!A$1:CB$87,'Fórmula'!F123,54)=0,10^6,INDEX(properties!A$1:CB$87,'Fórmula'!F123,54)),IF(INDEX(properties!A$1:CB$87,'Fórmula'!H123,54)=0,10^6,INDEX(properties!A$1:CB$87,'Fórmula'!H123,54)),IF(INDEX(properties!A$1:CB$87,'Fórmula'!J123,54)=0,10^6,INDEX(properties!A$1:CB$87,'Fórmula'!J123,54)))</f>
        <v>90.15</v>
      </c>
      <c r="FM123" s="117">
        <f t="shared" si="28"/>
        <v>3470</v>
      </c>
      <c r="FN123" s="118">
        <f t="array" ref="FN123">(('Fórmula'!C123)/('Fórmula'!C123+'Fórmula'!E123+'Fórmula'!G123+'Fórmula'!I123+'Fórmula'!K123))*(INDEX(properties!A$1:CB$87,'Fórmula'!B123,55))+(('Fórmula'!E123)/('Fórmula'!C123+'Fórmula'!E123+'Fórmula'!G123+'Fórmula'!I123+'Fórmula'!K123))*(INDEX(properties!A$1:CB$87,'Fórmula'!D123,55))+(('Fórmula'!G123)/('Fórmula'!C123+'Fórmula'!E123+'Fórmula'!G123+'Fórmula'!I123+'Fórmula'!K123))*(INDEX(properties!A$1:CB$87,'Fórmula'!F123,55))+(('Fórmula'!I123)/('Fórmula'!C123+'Fórmula'!E123+'Fórmula'!G123+'Fórmula'!I123+'Fórmula'!K123))*(INDEX(properties!A$1:CB$87,'Fórmula'!H123,55))+(('Fórmula'!K123)/('Fórmula'!C123+'Fórmula'!E123+'Fórmula'!G123+'Fórmula'!I123+'Fórmula'!K123))*(INDEX(properties!A$1:CB$87,'Fórmula'!J123,55))</f>
        <v>2.262728182</v>
      </c>
      <c r="FO123" s="118">
        <f t="array" ref="FO123">'Fórmula'!C123*(INDEX(properties!A$1:CB$87,'Fórmula'!B123,55))+'Fórmula'!E123*(INDEX(properties!A$1:CB$87,'Fórmula'!D123,54))+'Fórmula'!G123*(INDEX(properties!A$1:CB$87,'Fórmula'!F123,55))+'Fórmula'!I123*(INDEX(properties!A$1:CB$87,'Fórmula'!H123,55))+'Fórmula'!K123*(INDEX(properties!A$1:CB$87,'Fórmula'!J123,55))</f>
        <v>7136.11001</v>
      </c>
      <c r="FP123" s="118">
        <f t="array" ref="FP123">VARP(IF(INDEX(properties!A$1:CB$87,'Fórmula'!B123,55)&lt;&gt;"",INDEX(properties!A$1:CB$87,'Fórmula'!B123,55)),IF(INDEX(properties!A$1:CB$87,'Fórmula'!D123,55)&lt;&gt;"",INDEX(properties!A$1:CB$87,'Fórmula'!D123,55)),IF(INDEX(properties!A$1:CB$87,'Fórmula'!F123,55)&lt;&gt;"",INDEX(properties!A$1:CB$87,'Fórmula'!F123,55)),IF(INDEX(properties!A$1:CB$87,'Fórmula'!H123,55)&lt;&gt;"",INDEX(properties!A$1:CB$87,'Fórmula'!H123,55)),IF(INDEX(properties!A$1:CB$87,'Fórmula'!J123,55)&lt;&gt;"",INDEX(properties!A$1:CB$87,'Fórmula'!J123,55)))</f>
        <v>10.41275319</v>
      </c>
      <c r="FQ123" s="118">
        <f t="array" ref="FQ123">MAX(INDEX(properties!A$1:CB$87,'Fórmula'!B123,55),INDEX(properties!A$1:CB$87,'Fórmula'!D123,55),INDEX(properties!A$1:CB$87,'Fórmula'!F123,55),INDEX(properties!A$1:CB$87,'Fórmula'!H123,55),INDEX(properties!A$1:CB$87,'Fórmula'!J123,55))</f>
        <v>7.9</v>
      </c>
      <c r="FR123" s="118">
        <f t="array" ref="FR123">MIN(IF(INDEX(properties!A$1:CB$87,'Fórmula'!B123,55)=0,10^6,INDEX(properties!A$1:CB$87,'Fórmula'!B123,55)),IF(INDEX(properties!A$1:CB$87,'Fórmula'!D123,55)=0,10^6,INDEX(properties!A$1:CB$87,'Fórmula'!D123,55)),IF(INDEX(properties!A$1:CB$87,'Fórmula'!F123,55)=0,10^6,INDEX(properties!A$1:CB$87,'Fórmula'!F123,55)),IF(INDEX(properties!A$1:CB$87,'Fórmula'!H123,55)=0,10^6,INDEX(properties!A$1:CB$87,'Fórmula'!H123,55)),IF(INDEX(properties!A$1:CB$87,'Fórmula'!J123,55)=0,10^6,INDEX(properties!A$1:CB$87,'Fórmula'!J123,55)))</f>
        <v>0.00143</v>
      </c>
      <c r="FS123" s="118">
        <f t="shared" si="29"/>
        <v>7.89857</v>
      </c>
      <c r="FT123" s="119">
        <f t="array" ref="FT123">(('Fórmula'!C123)/('Fórmula'!C123+'Fórmula'!E123+'Fórmula'!G123+'Fórmula'!I123+'Fórmula'!K123))*(INDEX(properties!A$1:CB$87,'Fórmula'!B123,56))+(('Fórmula'!E123)/('Fórmula'!C123+'Fórmula'!E123+'Fórmula'!G123+'Fórmula'!I123+'Fórmula'!K123))*(INDEX(properties!A$1:CB$87,'Fórmula'!D123,56))+(('Fórmula'!G123)/('Fórmula'!C123+'Fórmula'!E123+'Fórmula'!G123+'Fórmula'!I123+'Fórmula'!K123))*(INDEX(properties!A$1:CB$87,'Fórmula'!F123,56))+(('Fórmula'!I123)/('Fórmula'!C123+'Fórmula'!E123+'Fórmula'!G123+'Fórmula'!I123+'Fórmula'!K123))*(INDEX(properties!A$1:CB$87,'Fórmula'!H123,56))+(('Fórmula'!K123)/('Fórmula'!C123+'Fórmula'!E123+'Fórmula'!G123+'Fórmula'!I123+'Fórmula'!K123))*(INDEX(properties!A$1:CB$87,'Fórmula'!J123,56))</f>
        <v>0.7218181818</v>
      </c>
      <c r="FU123" s="119">
        <f t="array" ref="FU123">'Fórmula'!C123*(INDEX(properties!A$1:CB$87,'Fórmula'!B123,56))+'Fórmula'!E123*(INDEX(properties!A$1:CB$87,'Fórmula'!D123,56))+'Fórmula'!G123*(INDEX(properties!A$1:CB$87,'Fórmula'!F123,56))+'Fórmula'!I123*(INDEX(properties!A$1:CB$87,'Fórmula'!H123,56))+'Fórmula'!K123*(INDEX(properties!A$1:CB$87,'Fórmula'!J123,56))</f>
        <v>7.94</v>
      </c>
      <c r="FV123" s="119">
        <f t="array" ref="FV123">VARP(IF(INDEX(properties!A$1:CB$87,'Fórmula'!B123,56)&lt;&gt;"",INDEX(properties!A$1:CB$87,'Fórmula'!B123,56)),IF(INDEX(properties!A$1:CB$87,'Fórmula'!D123,56)&lt;&gt;"",INDEX(properties!A$1:CB$87,'Fórmula'!D123,56)),IF(INDEX(properties!A$1:CB$87,'Fórmula'!F123,56)&lt;&gt;"",INDEX(properties!A$1:CB$87,'Fórmula'!F123,56)),IF(INDEX(properties!A$1:CB$87,'Fórmula'!H123,56)&lt;&gt;"",INDEX(properties!A$1:CB$87,'Fórmula'!H123,56)),IF(INDEX(properties!A$1:CB$87,'Fórmula'!J123,56)&lt;&gt;"",INDEX(properties!A$1:CB$87,'Fórmula'!J123,56)))</f>
        <v>0.122384</v>
      </c>
      <c r="FW123" s="119">
        <f t="array" ref="FW123">MAX(INDEX(properties!A$1:CB$87,'Fórmula'!B123,56),INDEX(properties!A$1:CB$87,'Fórmula'!D123,56),INDEX(properties!A$1:CB$87,'Fórmula'!F123,56),INDEX(properties!A$1:CB$87,'Fórmula'!H123,56),INDEX(properties!A$1:CB$87,'Fórmula'!J123,56))</f>
        <v>0.92</v>
      </c>
      <c r="FX123" s="119">
        <f t="array" ref="FX123">MIN(IF(INDEX(properties!A$1:CB$87,'Fórmula'!B123,56)=0,10^6,INDEX(properties!A$1:CB$87,'Fórmula'!B123,56)),IF(INDEX(properties!A$1:CB$87,'Fórmula'!D123,56)=0,10^6,INDEX(properties!A$1:CB$87,'Fórmula'!D123,56)),IF(INDEX(properties!A$1:CB$87,'Fórmula'!F123,56)=0,10^6,INDEX(properties!A$1:CB$87,'Fórmula'!F123,56)),IF(INDEX(properties!A$1:CB$87,'Fórmula'!H123,56)=0,10^6,INDEX(properties!A$1:CB$87,'Fórmula'!H123,56)),IF(INDEX(properties!A$1:CB$87,'Fórmula'!J123,56)=0,10^6,INDEX(properties!A$1:CB$87,'Fórmula'!J123,56)))</f>
        <v>0.23</v>
      </c>
      <c r="FY123" s="119">
        <f t="shared" si="30"/>
        <v>0.69</v>
      </c>
      <c r="FZ123" s="104">
        <f t="array" ref="FZ123">(('Fórmula'!C123)/('Fórmula'!C123+'Fórmula'!E123+'Fórmula'!G123+'Fórmula'!I123+'Fórmula'!K123))*(INDEX(properties!A$1:CB$87,'Fórmula'!B123,57))+(('Fórmula'!E123)/('Fórmula'!C123+'Fórmula'!E123+'Fórmula'!G123+'Fórmula'!I123+'Fórmula'!K123))*(INDEX(properties!A$1:CB$87,'Fórmula'!D123,57))+(('Fórmula'!G123)/('Fórmula'!C123+'Fórmula'!E123+'Fórmula'!G123+'Fórmula'!I123+'Fórmula'!K123))*(INDEX(properties!A$1:CB$87,'Fórmula'!F123,57))+(('Fórmula'!I123)/('Fórmula'!C123+'Fórmula'!E123+'Fórmula'!G123+'Fórmula'!I123+'Fórmula'!K123))*(INDEX(properties!A$1:CB$87,'Fórmula'!H123,57))+(('Fórmula'!K123)/('Fórmula'!C123+'Fórmula'!E123+'Fórmula'!G123+'Fórmula'!I123+'Fórmula'!K123))*(INDEX(properties!A$1:CB$87,'Fórmula'!J123,57))</f>
        <v>4.778011818</v>
      </c>
      <c r="GA123" s="104">
        <f t="array" ref="GA123">'Fórmula'!C123*(INDEX(properties!A$1:CB$87,'Fórmula'!B123,57))+'Fórmula'!E123*(INDEX(properties!A$1:CB$87,'Fórmula'!D123,57))+'Fórmula'!G123*(INDEX(properties!A$1:CB$87,'Fórmula'!F123,57))+'Fórmula'!I123*(INDEX(properties!A$1:CB$87,'Fórmula'!H123,57))+'Fórmula'!K123*(INDEX(properties!A$1:CB$87,'Fórmula'!J123,57))</f>
        <v>52.55813</v>
      </c>
      <c r="GB123" s="104">
        <f t="array" ref="GB123">VARP(IF(INDEX(properties!A$1:CB$87,'Fórmula'!B123,57)&lt;&gt;"",INDEX(properties!A$1:CB$87,'Fórmula'!B123,57)),IF(INDEX(properties!A$1:CB$87,'Fórmula'!D123,57)&lt;&gt;"",INDEX(properties!A$1:CB$87,'Fórmula'!D123,57)),IF(INDEX(properties!A$1:CB$87,'Fórmula'!F123,57)&lt;&gt;"",INDEX(properties!A$1:CB$87,'Fórmula'!F123,57)),IF(INDEX(properties!A$1:CB$87,'Fórmula'!H123,57)&lt;&gt;"",INDEX(properties!A$1:CB$87,'Fórmula'!H123,57)),IF(INDEX(properties!A$1:CB$87,'Fórmula'!J123,57)&lt;&gt;"",INDEX(properties!A$1:CB$87,'Fórmula'!J123,57)))</f>
        <v>41.48484381</v>
      </c>
      <c r="GC123" s="104">
        <f t="array" ref="GC123">MAX(INDEX(properties!A$1:CB$87,'Fórmula'!B123,57),INDEX(properties!A$1:CB$87,'Fórmula'!D123,57),INDEX(properties!A$1:CB$87,'Fórmula'!F123,57),INDEX(properties!A$1:CB$87,'Fórmula'!H123,57),INDEX(properties!A$1:CB$87,'Fórmula'!J123,57))</f>
        <v>15.45</v>
      </c>
      <c r="GD123" s="104">
        <f t="array" ref="GD123">MIN(IF(INDEX(properties!A$1:CB$87,'Fórmula'!B123,57)=0,10^6,INDEX(properties!A$1:CB$87,'Fórmula'!B123,57)),IF(INDEX(properties!A$1:CB$87,'Fórmula'!D123,57)=0,10^6,INDEX(properties!A$1:CB$87,'Fórmula'!D123,57)),IF(INDEX(properties!A$1:CB$87,'Fórmula'!F123,57)=0,10^6,INDEX(properties!A$1:CB$87,'Fórmula'!F123,57)),IF(INDEX(properties!A$1:CB$87,'Fórmula'!H123,57)=0,10^6,INDEX(properties!A$1:CB$87,'Fórmula'!H123,57)),IF(INDEX(properties!A$1:CB$87,'Fórmula'!J123,57)=0,10^6,INDEX(properties!A$1:CB$87,'Fórmula'!J123,57)))</f>
        <v>0.22259</v>
      </c>
      <c r="GE123" s="104">
        <f t="shared" si="31"/>
        <v>15.22741</v>
      </c>
      <c r="GF123" s="105">
        <f t="array" ref="GF123">(('Fórmula'!C123)/('Fórmula'!C123+'Fórmula'!E123+'Fórmula'!G123+'Fórmula'!I123+'Fórmula'!K123))*(INDEX(properties!A$1:CB$87,'Fórmula'!B123,60))+(('Fórmula'!E123)/('Fórmula'!C123+'Fórmula'!E123+'Fórmula'!G123+'Fórmula'!I123+'Fórmula'!K123))*(INDEX(properties!A$1:CB$87,'Fórmula'!D123,60))+(('Fórmula'!G123)/('Fórmula'!C123+'Fórmula'!E123+'Fórmula'!G123+'Fórmula'!I123+'Fórmula'!K123))*(INDEX(properties!A$1:CB$87,'Fórmula'!F123,60))+(('Fórmula'!I123)/('Fórmula'!C123+'Fórmula'!E123+'Fórmula'!G123+'Fórmula'!I123+'Fórmula'!K123))*(INDEX(properties!A$1:CB$87,'Fórmula'!H123,60))+(('Fórmula'!K123)/('Fórmula'!C123+'Fórmula'!E123+'Fórmula'!G123+'Fórmula'!I123+'Fórmula'!K123))*(INDEX(properties!A$1:CB$87,'Fórmula'!J123,60))</f>
        <v>5.926107273</v>
      </c>
      <c r="GG123" s="105">
        <f t="array" ref="GG123">'Fórmula'!C123*(INDEX(properties!A$1:CB$87,'Fórmula'!B123,60))+'Fórmula'!E123*(INDEX(properties!A$1:CB$87,'Fórmula'!D123,60))+'Fórmula'!G123*(INDEX(properties!A$1:CB$87,'Fórmula'!F123,60))+'Fórmula'!I123*(INDEX(properties!A$1:CB$87,'Fórmula'!H123,60))+'Fórmula'!K123*(INDEX(properties!A$1:CB$87,'Fórmula'!J123,60))</f>
        <v>65.18718</v>
      </c>
      <c r="GH123" s="105">
        <f t="array" ref="GH123">VARP(IF(INDEX(properties!A$1:CB$87,'Fórmula'!B123,60)&lt;&gt;"",INDEX(properties!A$1:CB$87,'Fórmula'!B123,60)),IF(INDEX(properties!A$1:CB$87,'Fórmula'!D123,60)&lt;&gt;"",INDEX(properties!A$1:CB$87,'Fórmula'!D123,60)),IF(INDEX(properties!A$1:CB$87,'Fórmula'!F123,60)&lt;&gt;"",INDEX(properties!A$1:CB$87,'Fórmula'!F123,60)),IF(INDEX(properties!A$1:CB$87,'Fórmula'!H123,60)&lt;&gt;"",INDEX(properties!A$1:CB$87,'Fórmula'!H123,60)),IF(INDEX(properties!A$1:CB$87,'Fórmula'!J123,60)&lt;&gt;"",INDEX(properties!A$1:CB$87,'Fórmula'!J123,60)))</f>
        <v>76.0745904</v>
      </c>
      <c r="GI123" s="105">
        <f t="array" ref="GI123">MAX(INDEX(properties!A$1:CB$87,'Fórmula'!B123,60),INDEX(properties!A$1:CB$87,'Fórmula'!D123,60),INDEX(properties!A$1:CB$87,'Fórmula'!F123,60),INDEX(properties!A$1:CB$87,'Fórmula'!H123,60),INDEX(properties!A$1:CB$87,'Fórmula'!J123,60))</f>
        <v>21.9</v>
      </c>
      <c r="GJ123" s="105">
        <f t="array" ref="GJ123">MIN(IF(INDEX(properties!A$1:CB$87,'Fórmula'!B123,60)=0,10^6,INDEX(properties!A$1:CB$87,'Fórmula'!B123,60)),IF(INDEX(properties!A$1:CB$87,'Fórmula'!D123,60)=0,10^6,INDEX(properties!A$1:CB$87,'Fórmula'!D123,60)),IF(INDEX(properties!A$1:CB$87,'Fórmula'!F123,60)=0,10^6,INDEX(properties!A$1:CB$87,'Fórmula'!F123,60)),IF(INDEX(properties!A$1:CB$87,'Fórmula'!H123,60)=0,10^6,INDEX(properties!A$1:CB$87,'Fórmula'!H123,60)),IF(INDEX(properties!A$1:CB$87,'Fórmula'!J123,60)=0,10^6,INDEX(properties!A$1:CB$87,'Fórmula'!J123,60)))</f>
        <v>0.02674</v>
      </c>
      <c r="GK123" s="105">
        <f t="shared" si="32"/>
        <v>21.87326</v>
      </c>
      <c r="GL123" s="106">
        <f t="array" ref="GL123">(('Fórmula'!C123)/('Fórmula'!C123+'Fórmula'!E123+'Fórmula'!G123+'Fórmula'!I123+'Fórmula'!K123))*(INDEX(properties!A$1:CB$87,'Fórmula'!B123,62))+(('Fórmula'!E123)/('Fórmula'!C123+'Fórmula'!E123+'Fórmula'!G123+'Fórmula'!I123+'Fórmula'!K123))*(INDEX(properties!A$1:CB$87,'Fórmula'!D123,62))+(('Fórmula'!G123)/('Fórmula'!C123+'Fórmula'!E123+'Fórmula'!G123+'Fórmula'!I123+'Fórmula'!K123))*(INDEX(properties!A$1:CB$87,'Fórmula'!F123,62))+(('Fórmula'!I123)/('Fórmula'!C123+'Fórmula'!E123+'Fórmula'!G123+'Fórmula'!I123+'Fórmula'!K123))*(INDEX(properties!A$1:CB$87,'Fórmula'!H123,62))+(('Fórmula'!K123)/('Fórmula'!C123+'Fórmula'!E123+'Fórmula'!G123+'Fórmula'!I123+'Fórmula'!K123))*(INDEX(properties!A$1:CB$87,'Fórmula'!J123,62))</f>
        <v>3.301818182</v>
      </c>
      <c r="GM123" s="106">
        <f t="array" ref="GM123">'Fórmula'!C123*(INDEX(properties!A$1:CB$87,'Fórmula'!B123,62))+'Fórmula'!E123*(INDEX(properties!A$1:CB$87,'Fórmula'!D123,62))+'Fórmula'!G123*(INDEX(properties!A$1:CB$87,'Fórmula'!F123,62))+'Fórmula'!I123*(INDEX(properties!A$1:CB$87,'Fórmula'!H123,62))+'Fórmula'!K123*(INDEX(properties!A$1:CB$87,'Fórmula'!J123,62))</f>
        <v>36.32</v>
      </c>
      <c r="GN123" s="106">
        <f t="array" ref="GN123">VARP(IF(INDEX(properties!A$1:CB$87,'Fórmula'!B123,62)&lt;&gt;"",INDEX(properties!A$1:CB$87,'Fórmula'!B123,62)),IF(INDEX(properties!A$1:CB$87,'Fórmula'!D123,62)&lt;&gt;"",INDEX(properties!A$1:CB$87,'Fórmula'!D123,62)),IF(INDEX(properties!A$1:CB$87,'Fórmula'!F123,62)&lt;&gt;"",INDEX(properties!A$1:CB$87,'Fórmula'!F123,62)),IF(INDEX(properties!A$1:CB$87,'Fórmula'!H123,62)&lt;&gt;"",INDEX(properties!A$1:CB$87,'Fórmula'!H123,62)),IF(INDEX(properties!A$1:CB$87,'Fórmula'!J123,62)&lt;&gt;"",INDEX(properties!A$1:CB$87,'Fórmula'!J123,62)))</f>
        <v>4.113616</v>
      </c>
      <c r="GO123" s="106">
        <f t="array" ref="GO123">MAX(INDEX(properties!A$1:CB$87,'Fórmula'!B123,62),INDEX(properties!A$1:CB$87,'Fórmula'!D123,62),INDEX(properties!A$1:CB$87,'Fórmula'!F123,62),INDEX(properties!A$1:CB$87,'Fórmula'!H123,62),INDEX(properties!A$1:CB$87,'Fórmula'!J123,62))</f>
        <v>4.85</v>
      </c>
      <c r="GP123" s="106">
        <f t="array" ref="GP123">MIN(IF(INDEX(properties!A$1:CB$87,'Fórmula'!B123,62)=0,10^6,INDEX(properties!A$1:CB$87,'Fórmula'!B123,62)),IF(INDEX(properties!A$1:CB$87,'Fórmula'!D123,62)=0,10^6,INDEX(properties!A$1:CB$87,'Fórmula'!D123,62)),IF(INDEX(properties!A$1:CB$87,'Fórmula'!F123,62)=0,10^6,INDEX(properties!A$1:CB$87,'Fórmula'!F123,62)),IF(INDEX(properties!A$1:CB$87,'Fórmula'!H123,62)=0,10^6,INDEX(properties!A$1:CB$87,'Fórmula'!H123,62)),IF(INDEX(properties!A$1:CB$87,'Fórmula'!J123,62)=0,10^6,INDEX(properties!A$1:CB$87,'Fórmula'!J123,62)))</f>
        <v>2.62</v>
      </c>
      <c r="GQ123" s="106">
        <f t="shared" si="33"/>
        <v>2.23</v>
      </c>
      <c r="GR123" s="106">
        <f>'Fórmula'!Q123</f>
        <v>227</v>
      </c>
      <c r="GS123" s="107">
        <f>'Fórmula'!P123</f>
        <v>1</v>
      </c>
      <c r="GT123" s="113">
        <f>'Fórmula'!O123</f>
        <v>6.57</v>
      </c>
      <c r="GU123" s="114">
        <f>AVERAGE('Fórmula'!R123/'Fórmula'!S123,'Fórmula'!S123/'Fórmula'!T123,'Fórmula'!T123/'Fórmula'!R123)</f>
        <v>1</v>
      </c>
      <c r="GV123" s="125">
        <f>'Fórmula'!U123</f>
        <v>298.15</v>
      </c>
      <c r="GW123" s="106">
        <f>'Fórmula'!N123</f>
        <v>0.04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scale="50" orientation="portrait"/>
  <drawing r:id="rId1"/>
</worksheet>
</file>